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oplastic" sheetId="1" state="visible" r:id="rId1"/>
    <sheet xmlns:r="http://schemas.openxmlformats.org/officeDocument/2006/relationships" name="SamplesX" sheetId="2" state="hidden" r:id="rId2"/>
    <sheet xmlns:r="http://schemas.openxmlformats.org/officeDocument/2006/relationships" name="SamplesY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164" fontId="2" fillId="0" borderId="2" applyAlignment="1" pivotButton="0" quotePrefix="0" xfId="3">
      <alignment horizontal="center" vertical="top"/>
    </xf>
    <xf numFmtId="165" fontId="2" fillId="0" borderId="5" applyAlignment="1" pivotButton="0" quotePrefix="0" xfId="7">
      <alignment horizontal="center" vertical="top"/>
    </xf>
    <xf numFmtId="49" fontId="2" fillId="0" borderId="5" applyAlignment="1" applyProtection="1" pivotButton="0" quotePrefix="0" xfId="6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C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min="11" max="11"/>
    <col hidden="1" min="12" max="12"/>
    <col hidden="1" min="13" max="13"/>
    <col hidden="1" min="14" max="14"/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5" max="35"/>
    <col hidden="1" min="36" max="36"/>
    <col hidden="1" min="37" max="37"/>
    <col hidden="1" min="38" max="38"/>
    <col hidden="1" min="39" max="39"/>
    <col hidden="1" min="40" max="40"/>
    <col hidden="1" min="41" max="41"/>
    <col hidden="1" min="42" max="42"/>
    <col hidden="1" min="43" max="43"/>
    <col hidden="1" min="44" max="44"/>
    <col hidden="1" min="45" max="45"/>
    <col hidden="1" min="46" max="46"/>
    <col hidden="1" min="75" max="75"/>
    <col hidden="1" min="76" max="76"/>
    <col hidden="1" min="77" max="77"/>
    <col hidden="1" min="78" max="78"/>
    <col hidden="1" min="79" max="79"/>
    <col hidden="1" min="80" max="80"/>
    <col hidden="1" min="81" max="81"/>
    <col hidden="1" min="82" max="82"/>
    <col hidden="1" min="83" max="83"/>
    <col hidden="1" min="84" max="84"/>
    <col hidden="1" min="85" max="85"/>
    <col hidden="1" min="86" max="86"/>
    <col hidden="1" min="87" max="87"/>
    <col hidden="1" min="88" max="88"/>
    <col hidden="1" min="89" max="89"/>
    <col hidden="1" min="90" max="90"/>
    <col hidden="1" min="91" max="91"/>
    <col hidden="1" min="92" max="92"/>
    <col hidden="1" min="93" max="93"/>
    <col hidden="1" min="94" max="94"/>
    <col hidden="1" min="95" max="95"/>
    <col hidden="1" min="96" max="96"/>
    <col hidden="1" min="97" max="97"/>
    <col hidden="1" min="98" max="98"/>
    <col hidden="1" min="99" max="99"/>
    <col hidden="1" min="100" max="100"/>
    <col hidden="1" min="101" max="101"/>
    <col hidden="1" min="102" max="102"/>
    <col hidden="1" min="103" max="103"/>
    <col hidden="1" min="104" max="104"/>
    <col hidden="1" min="105" max="105"/>
    <col hidden="1" min="106" max="106"/>
    <col hidden="1" min="107" max="107"/>
    <col hidden="1" min="108" max="108"/>
    <col hidden="1" min="109" max="109"/>
    <col hidden="1" min="110" max="110"/>
    <col hidden="1" min="111" max="111"/>
    <col hidden="1" min="112" max="112"/>
    <col hidden="1" min="113" max="113"/>
    <col hidden="1" min="114" max="114"/>
    <col hidden="1" min="115" max="115"/>
    <col hidden="1" min="116" max="116"/>
    <col hidden="1" min="117" max="117"/>
    <col hidden="1" min="118" max="118"/>
    <col hidden="1" min="119" max="119"/>
    <col hidden="1" min="120" max="120"/>
    <col hidden="1" min="121" max="121"/>
    <col hidden="1" min="122" max="122"/>
    <col hidden="1" min="123" max="123"/>
    <col hidden="1" min="124" max="124"/>
    <col hidden="1" min="125" max="125"/>
    <col hidden="1" min="126" max="126"/>
    <col hidden="1" min="127" max="127"/>
    <col hidden="1" min="128" max="128"/>
    <col hidden="1" min="129" max="129"/>
    <col hidden="1" min="130" max="130"/>
    <col hidden="1" min="131" max="131"/>
    <col hidden="1" min="132" max="132"/>
    <col hidden="1" min="133" max="133"/>
    <col hidden="1" min="134" max="134"/>
    <col hidden="1" min="135" max="135"/>
    <col hidden="1" min="136" max="136"/>
    <col hidden="1" min="137" max="137"/>
    <col hidden="1" min="138" max="138"/>
    <col hidden="1" min="139" max="139"/>
    <col hidden="1" min="140" max="140"/>
    <col hidden="1" min="141" max="141"/>
    <col hidden="1" min="142" max="142"/>
    <col hidden="1" min="143" max="143"/>
    <col hidden="1" min="144" max="144"/>
    <col hidden="1" min="145" max="145"/>
    <col hidden="1" min="146" max="146"/>
    <col hidden="1" min="147" max="147"/>
    <col hidden="1" min="148" max="148"/>
    <col hidden="1" min="149" max="149"/>
    <col hidden="1" min="150" max="150"/>
    <col hidden="1" min="151" max="151"/>
    <col hidden="1" min="152" max="152"/>
    <col hidden="1" min="153" max="153"/>
    <col hidden="1" min="154" max="154"/>
  </cols>
  <sheetData>
    <row r="1">
      <c r="A1" s="1" t="inlineStr">
        <is>
          <t>Bioplastic</t>
        </is>
      </c>
      <c r="B1" s="2" t="inlineStr">
        <is>
          <t>2025</t>
        </is>
      </c>
    </row>
    <row r="2">
      <c r="A2" s="3" t="inlineStr">
        <is>
          <t xml:space="preserve">Responsible: </t>
        </is>
      </c>
      <c r="B2" s="4">
        <f>HYPERLINK("mailto:nico.derlon@eawag.ch?subject=[Lab results]", "nico.derlon@eawag.ch")</f>
        <v/>
      </c>
    </row>
    <row r="3">
      <c r="A3" s="3" t="inlineStr">
        <is>
          <t xml:space="preserve">Samples: </t>
        </is>
      </c>
      <c r="B3" s="4">
        <f>HYPERLINK("Q:\Abteilungsprojekte\eng\EngData\AOS\Allgemein\LabSamples2025.xlsx#Bioplastic!A1","LabSamples2025.xlsx")</f>
        <v/>
      </c>
    </row>
    <row r="4">
      <c r="A4" s="5" t="n"/>
      <c r="B4" s="6" t="inlineStr"/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8" t="n"/>
      <c r="I5" s="7" t="inlineStr">
        <is>
          <t>SampleInfo</t>
        </is>
      </c>
      <c r="J5" s="7" t="inlineStr">
        <is>
          <t>Comment</t>
        </is>
      </c>
      <c r="K5" s="7" t="inlineStr">
        <is>
          <t>DOC</t>
        </is>
      </c>
      <c r="L5" s="9" t="n"/>
      <c r="M5" s="9" t="n"/>
      <c r="N5" s="8" t="n"/>
      <c r="O5" s="7" t="inlineStr">
        <is>
          <t>TOC</t>
        </is>
      </c>
      <c r="P5" s="9" t="n"/>
      <c r="Q5" s="9" t="n"/>
      <c r="R5" s="8" t="n"/>
      <c r="S5" s="7" t="inlineStr">
        <is>
          <t>TIC</t>
        </is>
      </c>
      <c r="T5" s="9" t="n"/>
      <c r="U5" s="9" t="n"/>
      <c r="V5" s="8" t="n"/>
      <c r="W5" s="7" t="inlineStr">
        <is>
          <t>Nsol</t>
        </is>
      </c>
      <c r="X5" s="9" t="n"/>
      <c r="Y5" s="9" t="n"/>
      <c r="Z5" s="8" t="n"/>
      <c r="AA5" s="7" t="inlineStr">
        <is>
          <t>Ntot</t>
        </is>
      </c>
      <c r="AB5" s="9" t="n"/>
      <c r="AC5" s="9" t="n"/>
      <c r="AD5" s="8" t="n"/>
      <c r="AE5" s="7" t="inlineStr">
        <is>
          <t>Cl</t>
        </is>
      </c>
      <c r="AF5" s="9" t="n"/>
      <c r="AG5" s="9" t="n"/>
      <c r="AH5" s="8" t="n"/>
      <c r="AI5" s="7" t="inlineStr">
        <is>
          <t>NO2-N</t>
        </is>
      </c>
      <c r="AJ5" s="9" t="n"/>
      <c r="AK5" s="9" t="n"/>
      <c r="AL5" s="8" t="n"/>
      <c r="AM5" s="7" t="inlineStr">
        <is>
          <t>Br</t>
        </is>
      </c>
      <c r="AN5" s="9" t="n"/>
      <c r="AO5" s="9" t="n"/>
      <c r="AP5" s="8" t="n"/>
      <c r="AQ5" s="7" t="inlineStr">
        <is>
          <t>NO3-N</t>
        </is>
      </c>
      <c r="AR5" s="9" t="n"/>
      <c r="AS5" s="9" t="n"/>
      <c r="AT5" s="8" t="n"/>
      <c r="AU5" s="7" t="inlineStr">
        <is>
          <t>PO4-P</t>
        </is>
      </c>
      <c r="AV5" s="9" t="n"/>
      <c r="AW5" s="9" t="n"/>
      <c r="AX5" s="8" t="n"/>
      <c r="AY5" s="7" t="inlineStr">
        <is>
          <t>SO4</t>
        </is>
      </c>
      <c r="AZ5" s="9" t="n"/>
      <c r="BA5" s="9" t="n"/>
      <c r="BB5" s="8" t="n"/>
      <c r="BC5" s="7" t="inlineStr">
        <is>
          <t>Na</t>
        </is>
      </c>
      <c r="BD5" s="9" t="n"/>
      <c r="BE5" s="9" t="n"/>
      <c r="BF5" s="8" t="n"/>
      <c r="BG5" s="7" t="inlineStr">
        <is>
          <t>NH4-N</t>
        </is>
      </c>
      <c r="BH5" s="9" t="n"/>
      <c r="BI5" s="9" t="n"/>
      <c r="BJ5" s="8" t="n"/>
      <c r="BK5" s="7" t="inlineStr">
        <is>
          <t>K</t>
        </is>
      </c>
      <c r="BL5" s="9" t="n"/>
      <c r="BM5" s="9" t="n"/>
      <c r="BN5" s="8" t="n"/>
      <c r="BO5" s="7" t="inlineStr">
        <is>
          <t>Ca</t>
        </is>
      </c>
      <c r="BP5" s="9" t="n"/>
      <c r="BQ5" s="9" t="n"/>
      <c r="BR5" s="8" t="n"/>
      <c r="BS5" s="7" t="inlineStr">
        <is>
          <t>Mg</t>
        </is>
      </c>
      <c r="BT5" s="9" t="n"/>
      <c r="BU5" s="9" t="n"/>
      <c r="BV5" s="8" t="n"/>
      <c r="BW5" s="7" t="inlineStr">
        <is>
          <t>Ptot</t>
        </is>
      </c>
      <c r="BX5" s="9" t="n"/>
      <c r="BY5" s="9" t="n"/>
      <c r="BZ5" s="8" t="n"/>
      <c r="CA5" s="7" t="inlineStr">
        <is>
          <t>Urea</t>
        </is>
      </c>
      <c r="CB5" s="9" t="n"/>
      <c r="CC5" s="9" t="n"/>
      <c r="CD5" s="8" t="n"/>
      <c r="CE5" s="7" t="inlineStr">
        <is>
          <t>CODsol</t>
        </is>
      </c>
      <c r="CF5" s="9" t="n"/>
      <c r="CG5" s="9" t="n"/>
      <c r="CH5" s="8" t="n"/>
      <c r="CI5" s="7" t="inlineStr">
        <is>
          <t>CODtot</t>
        </is>
      </c>
      <c r="CJ5" s="9" t="n"/>
      <c r="CK5" s="9" t="n"/>
      <c r="CL5" s="8" t="n"/>
      <c r="CM5" s="7" t="inlineStr">
        <is>
          <t>Alkalinity</t>
        </is>
      </c>
      <c r="CN5" s="9" t="n"/>
      <c r="CO5" s="9" t="n"/>
      <c r="CP5" s="8" t="n"/>
      <c r="CQ5" s="7" t="inlineStr">
        <is>
          <t>Conductivity</t>
        </is>
      </c>
      <c r="CR5" s="9" t="n"/>
      <c r="CS5" s="9" t="n"/>
      <c r="CT5" s="8" t="n"/>
      <c r="CU5" s="7" t="inlineStr">
        <is>
          <t>pH</t>
        </is>
      </c>
      <c r="CV5" s="9" t="n"/>
      <c r="CW5" s="9" t="n"/>
      <c r="CX5" s="8" t="n"/>
      <c r="CY5" s="7" t="inlineStr">
        <is>
          <t>Dissolved Oxygen</t>
        </is>
      </c>
      <c r="CZ5" s="9" t="n"/>
      <c r="DA5" s="9" t="n"/>
      <c r="DB5" s="8" t="n"/>
      <c r="DC5" s="7" t="inlineStr">
        <is>
          <t>Turbidity</t>
        </is>
      </c>
      <c r="DD5" s="9" t="n"/>
      <c r="DE5" s="9" t="n"/>
      <c r="DF5" s="8" t="n"/>
      <c r="DG5" s="7" t="inlineStr">
        <is>
          <t>TSS</t>
        </is>
      </c>
      <c r="DH5" s="9" t="n"/>
      <c r="DI5" s="9" t="n"/>
      <c r="DJ5" s="8" t="n"/>
      <c r="DK5" s="7" t="inlineStr">
        <is>
          <t>VSS</t>
        </is>
      </c>
      <c r="DL5" s="9" t="n"/>
      <c r="DM5" s="9" t="n"/>
      <c r="DN5" s="8" t="n"/>
      <c r="DO5" s="7" t="inlineStr">
        <is>
          <t>Lactic Acid</t>
        </is>
      </c>
      <c r="DP5" s="9" t="n"/>
      <c r="DQ5" s="9" t="n"/>
      <c r="DR5" s="8" t="n"/>
      <c r="DS5" s="7" t="inlineStr">
        <is>
          <t>Formic Acid</t>
        </is>
      </c>
      <c r="DT5" s="9" t="n"/>
      <c r="DU5" s="9" t="n"/>
      <c r="DV5" s="8" t="n"/>
      <c r="DW5" s="7" t="inlineStr">
        <is>
          <t>Acetic Acid</t>
        </is>
      </c>
      <c r="DX5" s="9" t="n"/>
      <c r="DY5" s="9" t="n"/>
      <c r="DZ5" s="8" t="n"/>
      <c r="EA5" s="7" t="inlineStr">
        <is>
          <t>Propionic Acid</t>
        </is>
      </c>
      <c r="EB5" s="9" t="n"/>
      <c r="EC5" s="9" t="n"/>
      <c r="ED5" s="8" t="n"/>
      <c r="EE5" s="7" t="inlineStr">
        <is>
          <t>Isobutyric Acid</t>
        </is>
      </c>
      <c r="EF5" s="9" t="n"/>
      <c r="EG5" s="9" t="n"/>
      <c r="EH5" s="8" t="n"/>
      <c r="EI5" s="7" t="inlineStr">
        <is>
          <t>Butyric Acid</t>
        </is>
      </c>
      <c r="EJ5" s="9" t="n"/>
      <c r="EK5" s="9" t="n"/>
      <c r="EL5" s="8" t="n"/>
      <c r="EM5" s="7" t="inlineStr">
        <is>
          <t>Isovaleric Acid</t>
        </is>
      </c>
      <c r="EN5" s="9" t="n"/>
      <c r="EO5" s="9" t="n"/>
      <c r="EP5" s="8" t="n"/>
      <c r="EQ5" s="7" t="inlineStr">
        <is>
          <t>Valeric Acid</t>
        </is>
      </c>
      <c r="ER5" s="9" t="n"/>
      <c r="ES5" s="9" t="n"/>
      <c r="ET5" s="8" t="n"/>
      <c r="EU5" s="7" t="inlineStr">
        <is>
          <t>Micropollutants</t>
        </is>
      </c>
      <c r="EV5" s="9" t="n"/>
      <c r="EW5" s="9" t="n"/>
      <c r="EX5" s="8" t="n"/>
      <c r="EZ5" t="inlineStr">
        <is>
          <t>ConcatID</t>
        </is>
      </c>
      <c r="FA5" t="inlineStr">
        <is>
          <t>ConcatID_X</t>
        </is>
      </c>
      <c r="FC5" t="inlineStr">
        <is>
          <t>MatchX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1" t="inlineStr">
        <is>
          <t>Time</t>
        </is>
      </c>
      <c r="I6" s="10" t="n"/>
      <c r="J6" s="10" t="n"/>
      <c r="K6" s="10" t="inlineStr">
        <is>
          <t>Final value</t>
        </is>
      </c>
      <c r="L6" s="12" t="inlineStr">
        <is>
          <t>Method</t>
        </is>
      </c>
      <c r="M6" s="12" t="inlineStr">
        <is>
          <t>Filtration</t>
        </is>
      </c>
      <c r="N6" s="11" t="inlineStr">
        <is>
          <t>Dilution</t>
        </is>
      </c>
      <c r="O6" s="10" t="inlineStr">
        <is>
          <t>Final value</t>
        </is>
      </c>
      <c r="P6" s="12" t="inlineStr">
        <is>
          <t>Method</t>
        </is>
      </c>
      <c r="Q6" s="12" t="inlineStr">
        <is>
          <t>Filtration</t>
        </is>
      </c>
      <c r="R6" s="11" t="inlineStr">
        <is>
          <t>Dilution</t>
        </is>
      </c>
      <c r="S6" s="10" t="inlineStr">
        <is>
          <t>Final value</t>
        </is>
      </c>
      <c r="T6" s="12" t="inlineStr">
        <is>
          <t>Method</t>
        </is>
      </c>
      <c r="U6" s="12" t="inlineStr">
        <is>
          <t>Filtration</t>
        </is>
      </c>
      <c r="V6" s="11" t="inlineStr">
        <is>
          <t>Dilution</t>
        </is>
      </c>
      <c r="W6" s="10" t="inlineStr">
        <is>
          <t>Final value</t>
        </is>
      </c>
      <c r="X6" s="12" t="inlineStr">
        <is>
          <t>Method</t>
        </is>
      </c>
      <c r="Y6" s="12" t="inlineStr">
        <is>
          <t>Filtration</t>
        </is>
      </c>
      <c r="Z6" s="11" t="inlineStr">
        <is>
          <t>Dilution</t>
        </is>
      </c>
      <c r="AA6" s="10" t="inlineStr">
        <is>
          <t>Final value</t>
        </is>
      </c>
      <c r="AB6" s="12" t="inlineStr">
        <is>
          <t>Method</t>
        </is>
      </c>
      <c r="AC6" s="12" t="inlineStr">
        <is>
          <t>Filtration</t>
        </is>
      </c>
      <c r="AD6" s="11" t="inlineStr">
        <is>
          <t>Dilution</t>
        </is>
      </c>
      <c r="AE6" s="10" t="inlineStr">
        <is>
          <t>Final value</t>
        </is>
      </c>
      <c r="AF6" s="12" t="inlineStr">
        <is>
          <t>Method</t>
        </is>
      </c>
      <c r="AG6" s="12" t="inlineStr">
        <is>
          <t>Filtration</t>
        </is>
      </c>
      <c r="AH6" s="11" t="inlineStr">
        <is>
          <t>Dilution</t>
        </is>
      </c>
      <c r="AI6" s="10" t="inlineStr">
        <is>
          <t>Final value</t>
        </is>
      </c>
      <c r="AJ6" s="12" t="inlineStr">
        <is>
          <t>Method</t>
        </is>
      </c>
      <c r="AK6" s="12" t="inlineStr">
        <is>
          <t>Filtration</t>
        </is>
      </c>
      <c r="AL6" s="11" t="inlineStr">
        <is>
          <t>Dilution</t>
        </is>
      </c>
      <c r="AM6" s="10" t="inlineStr">
        <is>
          <t>Final value</t>
        </is>
      </c>
      <c r="AN6" s="12" t="inlineStr">
        <is>
          <t>Method</t>
        </is>
      </c>
      <c r="AO6" s="12" t="inlineStr">
        <is>
          <t>Filtration</t>
        </is>
      </c>
      <c r="AP6" s="11" t="inlineStr">
        <is>
          <t>Dilution</t>
        </is>
      </c>
      <c r="AQ6" s="10" t="inlineStr">
        <is>
          <t>Final value</t>
        </is>
      </c>
      <c r="AR6" s="12" t="inlineStr">
        <is>
          <t>Method</t>
        </is>
      </c>
      <c r="AS6" s="12" t="inlineStr">
        <is>
          <t>Filtration</t>
        </is>
      </c>
      <c r="AT6" s="11" t="inlineStr">
        <is>
          <t>Dilution</t>
        </is>
      </c>
      <c r="AU6" s="10" t="inlineStr">
        <is>
          <t>Final value</t>
        </is>
      </c>
      <c r="AV6" s="12" t="inlineStr">
        <is>
          <t>Method</t>
        </is>
      </c>
      <c r="AW6" s="12" t="inlineStr">
        <is>
          <t>Filtration</t>
        </is>
      </c>
      <c r="AX6" s="11" t="inlineStr">
        <is>
          <t>Dilution</t>
        </is>
      </c>
      <c r="AY6" s="10" t="inlineStr">
        <is>
          <t>Final value</t>
        </is>
      </c>
      <c r="AZ6" s="12" t="inlineStr">
        <is>
          <t>Method</t>
        </is>
      </c>
      <c r="BA6" s="12" t="inlineStr">
        <is>
          <t>Filtration</t>
        </is>
      </c>
      <c r="BB6" s="11" t="inlineStr">
        <is>
          <t>Dilution</t>
        </is>
      </c>
      <c r="BC6" s="10" t="inlineStr">
        <is>
          <t>Final value</t>
        </is>
      </c>
      <c r="BD6" s="12" t="inlineStr">
        <is>
          <t>Method</t>
        </is>
      </c>
      <c r="BE6" s="12" t="inlineStr">
        <is>
          <t>Filtration</t>
        </is>
      </c>
      <c r="BF6" s="11" t="inlineStr">
        <is>
          <t>Dilution</t>
        </is>
      </c>
      <c r="BG6" s="10" t="inlineStr">
        <is>
          <t>Final value</t>
        </is>
      </c>
      <c r="BH6" s="12" t="inlineStr">
        <is>
          <t>Method</t>
        </is>
      </c>
      <c r="BI6" s="12" t="inlineStr">
        <is>
          <t>Filtration</t>
        </is>
      </c>
      <c r="BJ6" s="11" t="inlineStr">
        <is>
          <t>Dilution</t>
        </is>
      </c>
      <c r="BK6" s="10" t="inlineStr">
        <is>
          <t>Final value</t>
        </is>
      </c>
      <c r="BL6" s="12" t="inlineStr">
        <is>
          <t>Method</t>
        </is>
      </c>
      <c r="BM6" s="12" t="inlineStr">
        <is>
          <t>Filtration</t>
        </is>
      </c>
      <c r="BN6" s="11" t="inlineStr">
        <is>
          <t>Dilution</t>
        </is>
      </c>
      <c r="BO6" s="10" t="inlineStr">
        <is>
          <t>Final value</t>
        </is>
      </c>
      <c r="BP6" s="12" t="inlineStr">
        <is>
          <t>Method</t>
        </is>
      </c>
      <c r="BQ6" s="12" t="inlineStr">
        <is>
          <t>Filtration</t>
        </is>
      </c>
      <c r="BR6" s="11" t="inlineStr">
        <is>
          <t>Dilution</t>
        </is>
      </c>
      <c r="BS6" s="10" t="inlineStr">
        <is>
          <t>Final value</t>
        </is>
      </c>
      <c r="BT6" s="12" t="inlineStr">
        <is>
          <t>Method</t>
        </is>
      </c>
      <c r="BU6" s="12" t="inlineStr">
        <is>
          <t>Filtration</t>
        </is>
      </c>
      <c r="BV6" s="11" t="inlineStr">
        <is>
          <t>Dilution</t>
        </is>
      </c>
      <c r="BW6" s="10" t="inlineStr">
        <is>
          <t>Final value</t>
        </is>
      </c>
      <c r="BX6" s="12" t="inlineStr">
        <is>
          <t>Method</t>
        </is>
      </c>
      <c r="BY6" s="12" t="inlineStr">
        <is>
          <t>Filtration</t>
        </is>
      </c>
      <c r="BZ6" s="11" t="inlineStr">
        <is>
          <t>Dilution</t>
        </is>
      </c>
      <c r="CA6" s="10" t="inlineStr">
        <is>
          <t>Final value</t>
        </is>
      </c>
      <c r="CB6" s="12" t="inlineStr">
        <is>
          <t>Method</t>
        </is>
      </c>
      <c r="CC6" s="12" t="inlineStr">
        <is>
          <t>Filtration</t>
        </is>
      </c>
      <c r="CD6" s="11" t="inlineStr">
        <is>
          <t>Dilution</t>
        </is>
      </c>
      <c r="CE6" s="10" t="inlineStr">
        <is>
          <t>Final value</t>
        </is>
      </c>
      <c r="CF6" s="12" t="inlineStr">
        <is>
          <t>Method</t>
        </is>
      </c>
      <c r="CG6" s="12" t="inlineStr">
        <is>
          <t>Filtration</t>
        </is>
      </c>
      <c r="CH6" s="11" t="inlineStr">
        <is>
          <t>Dilution</t>
        </is>
      </c>
      <c r="CI6" s="10" t="inlineStr">
        <is>
          <t>Final value</t>
        </is>
      </c>
      <c r="CJ6" s="12" t="inlineStr">
        <is>
          <t>Method</t>
        </is>
      </c>
      <c r="CK6" s="12" t="inlineStr">
        <is>
          <t>Filtration</t>
        </is>
      </c>
      <c r="CL6" s="11" t="inlineStr">
        <is>
          <t>Dilution</t>
        </is>
      </c>
      <c r="CM6" s="10" t="inlineStr">
        <is>
          <t>Final value</t>
        </is>
      </c>
      <c r="CN6" s="12" t="inlineStr">
        <is>
          <t>Method</t>
        </is>
      </c>
      <c r="CO6" s="12" t="inlineStr">
        <is>
          <t>Filtration</t>
        </is>
      </c>
      <c r="CP6" s="11" t="inlineStr">
        <is>
          <t>Dilution</t>
        </is>
      </c>
      <c r="CQ6" s="10" t="inlineStr">
        <is>
          <t>Final value</t>
        </is>
      </c>
      <c r="CR6" s="12" t="inlineStr">
        <is>
          <t>Method</t>
        </is>
      </c>
      <c r="CS6" s="12" t="inlineStr">
        <is>
          <t>Filtration</t>
        </is>
      </c>
      <c r="CT6" s="11" t="inlineStr">
        <is>
          <t>Dilution</t>
        </is>
      </c>
      <c r="CU6" s="10" t="inlineStr">
        <is>
          <t>Final value</t>
        </is>
      </c>
      <c r="CV6" s="12" t="inlineStr">
        <is>
          <t>Method</t>
        </is>
      </c>
      <c r="CW6" s="12" t="inlineStr">
        <is>
          <t>Filtration</t>
        </is>
      </c>
      <c r="CX6" s="11" t="inlineStr">
        <is>
          <t>Dilution</t>
        </is>
      </c>
      <c r="CY6" s="10" t="inlineStr">
        <is>
          <t>Final value</t>
        </is>
      </c>
      <c r="CZ6" s="12" t="inlineStr">
        <is>
          <t>Method</t>
        </is>
      </c>
      <c r="DA6" s="12" t="inlineStr">
        <is>
          <t>Filtration</t>
        </is>
      </c>
      <c r="DB6" s="11" t="inlineStr">
        <is>
          <t>Dilution</t>
        </is>
      </c>
      <c r="DC6" s="10" t="inlineStr">
        <is>
          <t>Final value</t>
        </is>
      </c>
      <c r="DD6" s="12" t="inlineStr">
        <is>
          <t>Method</t>
        </is>
      </c>
      <c r="DE6" s="12" t="inlineStr">
        <is>
          <t>Filtration</t>
        </is>
      </c>
      <c r="DF6" s="11" t="inlineStr">
        <is>
          <t>Dilution</t>
        </is>
      </c>
      <c r="DG6" s="10" t="inlineStr">
        <is>
          <t>Final value</t>
        </is>
      </c>
      <c r="DH6" s="12" t="inlineStr">
        <is>
          <t>Method</t>
        </is>
      </c>
      <c r="DI6" s="12" t="inlineStr">
        <is>
          <t>Filtration</t>
        </is>
      </c>
      <c r="DJ6" s="11" t="inlineStr">
        <is>
          <t>Dilution</t>
        </is>
      </c>
      <c r="DK6" s="10" t="inlineStr">
        <is>
          <t>Final value</t>
        </is>
      </c>
      <c r="DL6" s="12" t="inlineStr">
        <is>
          <t>Method</t>
        </is>
      </c>
      <c r="DM6" s="12" t="inlineStr">
        <is>
          <t>Filtration</t>
        </is>
      </c>
      <c r="DN6" s="11" t="inlineStr">
        <is>
          <t>Dilution</t>
        </is>
      </c>
      <c r="DO6" s="10" t="inlineStr">
        <is>
          <t>Final value</t>
        </is>
      </c>
      <c r="DP6" s="12" t="inlineStr">
        <is>
          <t>Method</t>
        </is>
      </c>
      <c r="DQ6" s="12" t="inlineStr">
        <is>
          <t>Filtration</t>
        </is>
      </c>
      <c r="DR6" s="11" t="inlineStr">
        <is>
          <t>Dilution</t>
        </is>
      </c>
      <c r="DS6" s="10" t="inlineStr">
        <is>
          <t>Final value</t>
        </is>
      </c>
      <c r="DT6" s="12" t="inlineStr">
        <is>
          <t>Method</t>
        </is>
      </c>
      <c r="DU6" s="12" t="inlineStr">
        <is>
          <t>Filtration</t>
        </is>
      </c>
      <c r="DV6" s="11" t="inlineStr">
        <is>
          <t>Dilution</t>
        </is>
      </c>
      <c r="DW6" s="10" t="inlineStr">
        <is>
          <t>Final value</t>
        </is>
      </c>
      <c r="DX6" s="12" t="inlineStr">
        <is>
          <t>Method</t>
        </is>
      </c>
      <c r="DY6" s="12" t="inlineStr">
        <is>
          <t>Filtration</t>
        </is>
      </c>
      <c r="DZ6" s="11" t="inlineStr">
        <is>
          <t>Dilution</t>
        </is>
      </c>
      <c r="EA6" s="10" t="inlineStr">
        <is>
          <t>Final value</t>
        </is>
      </c>
      <c r="EB6" s="12" t="inlineStr">
        <is>
          <t>Method</t>
        </is>
      </c>
      <c r="EC6" s="12" t="inlineStr">
        <is>
          <t>Filtration</t>
        </is>
      </c>
      <c r="ED6" s="11" t="inlineStr">
        <is>
          <t>Dilution</t>
        </is>
      </c>
      <c r="EE6" s="10" t="inlineStr">
        <is>
          <t>Final value</t>
        </is>
      </c>
      <c r="EF6" s="12" t="inlineStr">
        <is>
          <t>Method</t>
        </is>
      </c>
      <c r="EG6" s="12" t="inlineStr">
        <is>
          <t>Filtration</t>
        </is>
      </c>
      <c r="EH6" s="11" t="inlineStr">
        <is>
          <t>Dilution</t>
        </is>
      </c>
      <c r="EI6" s="10" t="inlineStr">
        <is>
          <t>Final value</t>
        </is>
      </c>
      <c r="EJ6" s="12" t="inlineStr">
        <is>
          <t>Method</t>
        </is>
      </c>
      <c r="EK6" s="12" t="inlineStr">
        <is>
          <t>Filtration</t>
        </is>
      </c>
      <c r="EL6" s="11" t="inlineStr">
        <is>
          <t>Dilution</t>
        </is>
      </c>
      <c r="EM6" s="10" t="inlineStr">
        <is>
          <t>Final value</t>
        </is>
      </c>
      <c r="EN6" s="12" t="inlineStr">
        <is>
          <t>Method</t>
        </is>
      </c>
      <c r="EO6" s="12" t="inlineStr">
        <is>
          <t>Filtration</t>
        </is>
      </c>
      <c r="EP6" s="11" t="inlineStr">
        <is>
          <t>Dilution</t>
        </is>
      </c>
      <c r="EQ6" s="10" t="inlineStr">
        <is>
          <t>Final value</t>
        </is>
      </c>
      <c r="ER6" s="12" t="inlineStr">
        <is>
          <t>Method</t>
        </is>
      </c>
      <c r="ES6" s="12" t="inlineStr">
        <is>
          <t>Filtration</t>
        </is>
      </c>
      <c r="ET6" s="11" t="inlineStr">
        <is>
          <t>Dilution</t>
        </is>
      </c>
      <c r="EU6" s="10" t="inlineStr">
        <is>
          <t>Final value</t>
        </is>
      </c>
      <c r="EV6" s="12" t="inlineStr">
        <is>
          <t>Method</t>
        </is>
      </c>
      <c r="EW6" s="12" t="inlineStr">
        <is>
          <t>Filtration</t>
        </is>
      </c>
      <c r="EX6" s="11" t="inlineStr">
        <is>
          <t>Dilution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1" t="inlineStr">
        <is>
          <t>[HH:MM:SS]</t>
        </is>
      </c>
      <c r="I7" s="10" t="n"/>
      <c r="J7" s="10" t="n"/>
      <c r="K7" s="10" t="inlineStr">
        <is>
          <t>mg/L</t>
        </is>
      </c>
      <c r="L7" s="12" t="n"/>
      <c r="M7" s="12" t="n"/>
      <c r="N7" s="11" t="n"/>
      <c r="O7" s="10" t="inlineStr">
        <is>
          <t>mg/L</t>
        </is>
      </c>
      <c r="P7" s="12" t="n"/>
      <c r="Q7" s="12" t="n"/>
      <c r="R7" s="11" t="n"/>
      <c r="S7" s="10" t="inlineStr">
        <is>
          <t>mg/L</t>
        </is>
      </c>
      <c r="T7" s="12" t="n"/>
      <c r="U7" s="12" t="n"/>
      <c r="V7" s="11" t="n"/>
      <c r="W7" s="10" t="inlineStr">
        <is>
          <t>mg/L</t>
        </is>
      </c>
      <c r="X7" s="12" t="n"/>
      <c r="Y7" s="12" t="n"/>
      <c r="Z7" s="11" t="n"/>
      <c r="AA7" s="10" t="inlineStr">
        <is>
          <t>mg/L</t>
        </is>
      </c>
      <c r="AB7" s="12" t="n"/>
      <c r="AC7" s="12" t="n"/>
      <c r="AD7" s="11" t="n"/>
      <c r="AE7" s="10" t="inlineStr">
        <is>
          <t>mg/L</t>
        </is>
      </c>
      <c r="AF7" s="12" t="n"/>
      <c r="AG7" s="12" t="n"/>
      <c r="AH7" s="11" t="n"/>
      <c r="AI7" s="10" t="inlineStr">
        <is>
          <t>mg/L</t>
        </is>
      </c>
      <c r="AJ7" s="12" t="n"/>
      <c r="AK7" s="12" t="n"/>
      <c r="AL7" s="11" t="n"/>
      <c r="AM7" s="10" t="inlineStr">
        <is>
          <t>mg/L</t>
        </is>
      </c>
      <c r="AN7" s="12" t="n"/>
      <c r="AO7" s="12" t="n"/>
      <c r="AP7" s="11" t="n"/>
      <c r="AQ7" s="10" t="inlineStr">
        <is>
          <t>mg/L</t>
        </is>
      </c>
      <c r="AR7" s="12" t="n"/>
      <c r="AS7" s="12" t="n"/>
      <c r="AT7" s="11" t="n"/>
      <c r="AU7" s="10" t="inlineStr">
        <is>
          <t>mg/L</t>
        </is>
      </c>
      <c r="AV7" s="12" t="n"/>
      <c r="AW7" s="12" t="n"/>
      <c r="AX7" s="11" t="n"/>
      <c r="AY7" s="10" t="inlineStr">
        <is>
          <t>mg/L</t>
        </is>
      </c>
      <c r="AZ7" s="12" t="n"/>
      <c r="BA7" s="12" t="n"/>
      <c r="BB7" s="11" t="n"/>
      <c r="BC7" s="10" t="inlineStr">
        <is>
          <t>mg/L</t>
        </is>
      </c>
      <c r="BD7" s="12" t="n"/>
      <c r="BE7" s="12" t="n"/>
      <c r="BF7" s="11" t="n"/>
      <c r="BG7" s="10" t="inlineStr">
        <is>
          <t>mg/L</t>
        </is>
      </c>
      <c r="BH7" s="12" t="n"/>
      <c r="BI7" s="12" t="n"/>
      <c r="BJ7" s="11" t="n"/>
      <c r="BK7" s="10" t="inlineStr">
        <is>
          <t>mg/L</t>
        </is>
      </c>
      <c r="BL7" s="12" t="n"/>
      <c r="BM7" s="12" t="n"/>
      <c r="BN7" s="11" t="n"/>
      <c r="BO7" s="10" t="inlineStr">
        <is>
          <t>mg/L</t>
        </is>
      </c>
      <c r="BP7" s="12" t="n"/>
      <c r="BQ7" s="12" t="n"/>
      <c r="BR7" s="11" t="n"/>
      <c r="BS7" s="10" t="inlineStr">
        <is>
          <t>mg/L</t>
        </is>
      </c>
      <c r="BT7" s="12" t="n"/>
      <c r="BU7" s="12" t="n"/>
      <c r="BV7" s="11" t="n"/>
      <c r="BW7" s="10" t="inlineStr">
        <is>
          <t>mg/L</t>
        </is>
      </c>
      <c r="BX7" s="12" t="n"/>
      <c r="BY7" s="12" t="n"/>
      <c r="BZ7" s="11" t="n"/>
      <c r="CA7" s="10" t="inlineStr">
        <is>
          <t>mgN/L</t>
        </is>
      </c>
      <c r="CB7" s="12" t="n"/>
      <c r="CC7" s="12" t="n"/>
      <c r="CD7" s="11" t="n"/>
      <c r="CE7" s="10" t="inlineStr">
        <is>
          <t>mg/L</t>
        </is>
      </c>
      <c r="CF7" s="12" t="n"/>
      <c r="CG7" s="12" t="n"/>
      <c r="CH7" s="11" t="n"/>
      <c r="CI7" s="10" t="inlineStr">
        <is>
          <t>mg/L</t>
        </is>
      </c>
      <c r="CJ7" s="12" t="n"/>
      <c r="CK7" s="12" t="n"/>
      <c r="CL7" s="11" t="n"/>
      <c r="CM7" s="10" t="inlineStr">
        <is>
          <t>mmol/L</t>
        </is>
      </c>
      <c r="CN7" s="12" t="n"/>
      <c r="CO7" s="12" t="n"/>
      <c r="CP7" s="11" t="n"/>
      <c r="CQ7" s="10" t="inlineStr">
        <is>
          <t>microS/cm</t>
        </is>
      </c>
      <c r="CR7" s="12" t="n"/>
      <c r="CS7" s="12" t="n"/>
      <c r="CT7" s="11" t="n"/>
      <c r="CU7" s="10" t="inlineStr">
        <is>
          <t>1</t>
        </is>
      </c>
      <c r="CV7" s="12" t="n"/>
      <c r="CW7" s="12" t="n"/>
      <c r="CX7" s="11" t="n"/>
      <c r="CY7" s="10" t="inlineStr">
        <is>
          <t>mg/L</t>
        </is>
      </c>
      <c r="CZ7" s="12" t="n"/>
      <c r="DA7" s="12" t="n"/>
      <c r="DB7" s="11" t="n"/>
      <c r="DC7" s="10" t="inlineStr">
        <is>
          <t>NTU</t>
        </is>
      </c>
      <c r="DD7" s="12" t="n"/>
      <c r="DE7" s="12" t="n"/>
      <c r="DF7" s="11" t="n"/>
      <c r="DG7" s="10" t="inlineStr">
        <is>
          <t>mg/L</t>
        </is>
      </c>
      <c r="DH7" s="12" t="n"/>
      <c r="DI7" s="12" t="n"/>
      <c r="DJ7" s="11" t="n"/>
      <c r="DK7" s="10" t="inlineStr">
        <is>
          <t>mg/L</t>
        </is>
      </c>
      <c r="DL7" s="12" t="n"/>
      <c r="DM7" s="12" t="n"/>
      <c r="DN7" s="11" t="n"/>
      <c r="DO7" s="10" t="inlineStr">
        <is>
          <t>mg/L</t>
        </is>
      </c>
      <c r="DP7" s="12" t="n"/>
      <c r="DQ7" s="12" t="n"/>
      <c r="DR7" s="11" t="n"/>
      <c r="DS7" s="10" t="inlineStr">
        <is>
          <t>mg/L</t>
        </is>
      </c>
      <c r="DT7" s="12" t="n"/>
      <c r="DU7" s="12" t="n"/>
      <c r="DV7" s="11" t="n"/>
      <c r="DW7" s="10" t="inlineStr">
        <is>
          <t>mg/L</t>
        </is>
      </c>
      <c r="DX7" s="12" t="n"/>
      <c r="DY7" s="12" t="n"/>
      <c r="DZ7" s="11" t="n"/>
      <c r="EA7" s="10" t="inlineStr">
        <is>
          <t>mg/L</t>
        </is>
      </c>
      <c r="EB7" s="12" t="n"/>
      <c r="EC7" s="12" t="n"/>
      <c r="ED7" s="11" t="n"/>
      <c r="EE7" s="10" t="inlineStr">
        <is>
          <t>mg/L</t>
        </is>
      </c>
      <c r="EF7" s="12" t="n"/>
      <c r="EG7" s="12" t="n"/>
      <c r="EH7" s="11" t="n"/>
      <c r="EI7" s="10" t="inlineStr">
        <is>
          <t>mg/L</t>
        </is>
      </c>
      <c r="EJ7" s="12" t="n"/>
      <c r="EK7" s="12" t="n"/>
      <c r="EL7" s="11" t="n"/>
      <c r="EM7" s="10" t="inlineStr">
        <is>
          <t>mg/L</t>
        </is>
      </c>
      <c r="EN7" s="12" t="n"/>
      <c r="EO7" s="12" t="n"/>
      <c r="EP7" s="11" t="n"/>
      <c r="EQ7" s="10" t="inlineStr">
        <is>
          <t>mg/L</t>
        </is>
      </c>
      <c r="ER7" s="12" t="n"/>
      <c r="ES7" s="12" t="n"/>
      <c r="ET7" s="11" t="n"/>
      <c r="EU7" s="10" t="inlineStr">
        <is>
          <t>ng/L</t>
        </is>
      </c>
      <c r="EV7" s="12" t="n"/>
      <c r="EW7" s="12" t="n"/>
      <c r="EX7" s="11" t="n"/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4" t="inlineStr">
        <is>
          <t>Text</t>
        </is>
      </c>
      <c r="I8" s="13" t="n"/>
      <c r="J8" s="13" t="n"/>
      <c r="K8" s="13" t="inlineStr">
        <is>
          <t>Text</t>
        </is>
      </c>
      <c r="L8" s="15" t="inlineStr">
        <is>
          <t>Dropdown</t>
        </is>
      </c>
      <c r="M8" s="15" t="inlineStr">
        <is>
          <t>Dropdown</t>
        </is>
      </c>
      <c r="N8" s="14" t="inlineStr">
        <is>
          <t>Text</t>
        </is>
      </c>
      <c r="O8" s="13" t="inlineStr">
        <is>
          <t>Text</t>
        </is>
      </c>
      <c r="P8" s="15" t="inlineStr">
        <is>
          <t>Dropdown</t>
        </is>
      </c>
      <c r="Q8" s="15" t="inlineStr">
        <is>
          <t>Dropdown</t>
        </is>
      </c>
      <c r="R8" s="14" t="inlineStr">
        <is>
          <t>Text</t>
        </is>
      </c>
      <c r="S8" s="13" t="inlineStr">
        <is>
          <t>Text</t>
        </is>
      </c>
      <c r="T8" s="15" t="inlineStr">
        <is>
          <t>Dropdown</t>
        </is>
      </c>
      <c r="U8" s="15" t="inlineStr">
        <is>
          <t>Dropdown</t>
        </is>
      </c>
      <c r="V8" s="14" t="inlineStr">
        <is>
          <t>Text</t>
        </is>
      </c>
      <c r="W8" s="13" t="inlineStr">
        <is>
          <t>Text</t>
        </is>
      </c>
      <c r="X8" s="15" t="inlineStr">
        <is>
          <t>Dropdown</t>
        </is>
      </c>
      <c r="Y8" s="15" t="inlineStr">
        <is>
          <t>Dropdown</t>
        </is>
      </c>
      <c r="Z8" s="14" t="inlineStr">
        <is>
          <t>Text</t>
        </is>
      </c>
      <c r="AA8" s="13" t="inlineStr">
        <is>
          <t>Text</t>
        </is>
      </c>
      <c r="AB8" s="15" t="inlineStr">
        <is>
          <t>Dropdown</t>
        </is>
      </c>
      <c r="AC8" s="15" t="inlineStr">
        <is>
          <t>Dropdown</t>
        </is>
      </c>
      <c r="AD8" s="14" t="inlineStr">
        <is>
          <t>Text</t>
        </is>
      </c>
      <c r="AE8" s="13" t="inlineStr">
        <is>
          <t>Text</t>
        </is>
      </c>
      <c r="AF8" s="15" t="inlineStr">
        <is>
          <t>Dropdown</t>
        </is>
      </c>
      <c r="AG8" s="15" t="inlineStr">
        <is>
          <t>Dropdown</t>
        </is>
      </c>
      <c r="AH8" s="14" t="inlineStr">
        <is>
          <t>Text</t>
        </is>
      </c>
      <c r="AI8" s="13" t="inlineStr">
        <is>
          <t>Text</t>
        </is>
      </c>
      <c r="AJ8" s="15" t="inlineStr">
        <is>
          <t>Dropdown</t>
        </is>
      </c>
      <c r="AK8" s="15" t="inlineStr">
        <is>
          <t>Dropdown</t>
        </is>
      </c>
      <c r="AL8" s="14" t="inlineStr">
        <is>
          <t>Text</t>
        </is>
      </c>
      <c r="AM8" s="13" t="inlineStr">
        <is>
          <t>Text</t>
        </is>
      </c>
      <c r="AN8" s="15" t="inlineStr">
        <is>
          <t>Dropdown</t>
        </is>
      </c>
      <c r="AO8" s="15" t="inlineStr">
        <is>
          <t>Dropdown</t>
        </is>
      </c>
      <c r="AP8" s="14" t="inlineStr">
        <is>
          <t>Text</t>
        </is>
      </c>
      <c r="AQ8" s="13" t="inlineStr">
        <is>
          <t>Text</t>
        </is>
      </c>
      <c r="AR8" s="15" t="inlineStr">
        <is>
          <t>Dropdown</t>
        </is>
      </c>
      <c r="AS8" s="15" t="inlineStr">
        <is>
          <t>Dropdown</t>
        </is>
      </c>
      <c r="AT8" s="14" t="inlineStr">
        <is>
          <t>Text</t>
        </is>
      </c>
      <c r="AU8" s="13" t="inlineStr">
        <is>
          <t>Text</t>
        </is>
      </c>
      <c r="AV8" s="15" t="inlineStr">
        <is>
          <t>Dropdown</t>
        </is>
      </c>
      <c r="AW8" s="15" t="inlineStr">
        <is>
          <t>Dropdown</t>
        </is>
      </c>
      <c r="AX8" s="14" t="inlineStr">
        <is>
          <t>Text</t>
        </is>
      </c>
      <c r="AY8" s="13" t="inlineStr">
        <is>
          <t>Text</t>
        </is>
      </c>
      <c r="AZ8" s="15" t="inlineStr">
        <is>
          <t>Dropdown</t>
        </is>
      </c>
      <c r="BA8" s="15" t="inlineStr">
        <is>
          <t>Dropdown</t>
        </is>
      </c>
      <c r="BB8" s="14" t="inlineStr">
        <is>
          <t>Text</t>
        </is>
      </c>
      <c r="BC8" s="13" t="inlineStr">
        <is>
          <t>Text</t>
        </is>
      </c>
      <c r="BD8" s="15" t="inlineStr">
        <is>
          <t>Dropdown</t>
        </is>
      </c>
      <c r="BE8" s="15" t="inlineStr">
        <is>
          <t>Dropdown</t>
        </is>
      </c>
      <c r="BF8" s="14" t="inlineStr">
        <is>
          <t>Text</t>
        </is>
      </c>
      <c r="BG8" s="13" t="inlineStr">
        <is>
          <t>Text</t>
        </is>
      </c>
      <c r="BH8" s="15" t="inlineStr">
        <is>
          <t>Dropdown</t>
        </is>
      </c>
      <c r="BI8" s="15" t="inlineStr">
        <is>
          <t>Dropdown</t>
        </is>
      </c>
      <c r="BJ8" s="14" t="inlineStr">
        <is>
          <t>Text</t>
        </is>
      </c>
      <c r="BK8" s="13" t="inlineStr">
        <is>
          <t>Text</t>
        </is>
      </c>
      <c r="BL8" s="15" t="inlineStr">
        <is>
          <t>Dropdown</t>
        </is>
      </c>
      <c r="BM8" s="15" t="inlineStr">
        <is>
          <t>Dropdown</t>
        </is>
      </c>
      <c r="BN8" s="14" t="inlineStr">
        <is>
          <t>Text</t>
        </is>
      </c>
      <c r="BO8" s="13" t="inlineStr">
        <is>
          <t>Text</t>
        </is>
      </c>
      <c r="BP8" s="15" t="inlineStr">
        <is>
          <t>Dropdown</t>
        </is>
      </c>
      <c r="BQ8" s="15" t="inlineStr">
        <is>
          <t>Dropdown</t>
        </is>
      </c>
      <c r="BR8" s="14" t="inlineStr">
        <is>
          <t>Text</t>
        </is>
      </c>
      <c r="BS8" s="13" t="inlineStr">
        <is>
          <t>Text</t>
        </is>
      </c>
      <c r="BT8" s="15" t="inlineStr">
        <is>
          <t>Dropdown</t>
        </is>
      </c>
      <c r="BU8" s="15" t="inlineStr">
        <is>
          <t>Dropdown</t>
        </is>
      </c>
      <c r="BV8" s="14" t="inlineStr">
        <is>
          <t>Text</t>
        </is>
      </c>
      <c r="BW8" s="13" t="inlineStr">
        <is>
          <t>Text</t>
        </is>
      </c>
      <c r="BX8" s="15" t="inlineStr">
        <is>
          <t>Dropdown</t>
        </is>
      </c>
      <c r="BY8" s="15" t="inlineStr">
        <is>
          <t>Dropdown</t>
        </is>
      </c>
      <c r="BZ8" s="14" t="inlineStr">
        <is>
          <t>Text</t>
        </is>
      </c>
      <c r="CA8" s="13" t="inlineStr">
        <is>
          <t>Text</t>
        </is>
      </c>
      <c r="CB8" s="15" t="inlineStr">
        <is>
          <t>Dropdown</t>
        </is>
      </c>
      <c r="CC8" s="15" t="inlineStr">
        <is>
          <t>Dropdown</t>
        </is>
      </c>
      <c r="CD8" s="14" t="inlineStr">
        <is>
          <t>Text</t>
        </is>
      </c>
      <c r="CE8" s="13" t="inlineStr">
        <is>
          <t>Text</t>
        </is>
      </c>
      <c r="CF8" s="15" t="inlineStr">
        <is>
          <t>Dropdown</t>
        </is>
      </c>
      <c r="CG8" s="15" t="inlineStr">
        <is>
          <t>Dropdown</t>
        </is>
      </c>
      <c r="CH8" s="14" t="inlineStr">
        <is>
          <t>Text</t>
        </is>
      </c>
      <c r="CI8" s="13" t="inlineStr">
        <is>
          <t>Text</t>
        </is>
      </c>
      <c r="CJ8" s="15" t="inlineStr">
        <is>
          <t>Dropdown</t>
        </is>
      </c>
      <c r="CK8" s="15" t="inlineStr">
        <is>
          <t>Dropdown</t>
        </is>
      </c>
      <c r="CL8" s="14" t="inlineStr">
        <is>
          <t>Text</t>
        </is>
      </c>
      <c r="CM8" s="13" t="inlineStr">
        <is>
          <t>Text</t>
        </is>
      </c>
      <c r="CN8" s="15" t="inlineStr">
        <is>
          <t>Dropdown</t>
        </is>
      </c>
      <c r="CO8" s="15" t="inlineStr">
        <is>
          <t>Dropdown</t>
        </is>
      </c>
      <c r="CP8" s="14" t="inlineStr">
        <is>
          <t>Text</t>
        </is>
      </c>
      <c r="CQ8" s="13" t="inlineStr">
        <is>
          <t>Text</t>
        </is>
      </c>
      <c r="CR8" s="15" t="inlineStr">
        <is>
          <t>Dropdown</t>
        </is>
      </c>
      <c r="CS8" s="15" t="inlineStr">
        <is>
          <t>Dropdown</t>
        </is>
      </c>
      <c r="CT8" s="14" t="inlineStr">
        <is>
          <t>Text</t>
        </is>
      </c>
      <c r="CU8" s="13" t="inlineStr">
        <is>
          <t>Text</t>
        </is>
      </c>
      <c r="CV8" s="15" t="inlineStr">
        <is>
          <t>Dropdown</t>
        </is>
      </c>
      <c r="CW8" s="15" t="inlineStr">
        <is>
          <t>Dropdown</t>
        </is>
      </c>
      <c r="CX8" s="14" t="inlineStr">
        <is>
          <t>Text</t>
        </is>
      </c>
      <c r="CY8" s="13" t="inlineStr">
        <is>
          <t>Text</t>
        </is>
      </c>
      <c r="CZ8" s="15" t="inlineStr">
        <is>
          <t>Dropdown</t>
        </is>
      </c>
      <c r="DA8" s="15" t="inlineStr">
        <is>
          <t>Dropdown</t>
        </is>
      </c>
      <c r="DB8" s="14" t="inlineStr">
        <is>
          <t>Text</t>
        </is>
      </c>
      <c r="DC8" s="13" t="inlineStr">
        <is>
          <t>Text</t>
        </is>
      </c>
      <c r="DD8" s="15" t="inlineStr">
        <is>
          <t>Dropdown</t>
        </is>
      </c>
      <c r="DE8" s="15" t="inlineStr">
        <is>
          <t>Dropdown</t>
        </is>
      </c>
      <c r="DF8" s="14" t="inlineStr">
        <is>
          <t>Text</t>
        </is>
      </c>
      <c r="DG8" s="13" t="inlineStr">
        <is>
          <t>Text</t>
        </is>
      </c>
      <c r="DH8" s="15" t="inlineStr">
        <is>
          <t>Dropdown</t>
        </is>
      </c>
      <c r="DI8" s="15" t="inlineStr">
        <is>
          <t>Dropdown</t>
        </is>
      </c>
      <c r="DJ8" s="14" t="inlineStr">
        <is>
          <t>Text</t>
        </is>
      </c>
      <c r="DK8" s="13" t="inlineStr">
        <is>
          <t>Text</t>
        </is>
      </c>
      <c r="DL8" s="15" t="inlineStr">
        <is>
          <t>Dropdown</t>
        </is>
      </c>
      <c r="DM8" s="15" t="inlineStr">
        <is>
          <t>Dropdown</t>
        </is>
      </c>
      <c r="DN8" s="14" t="inlineStr">
        <is>
          <t>Text</t>
        </is>
      </c>
      <c r="DO8" s="13" t="inlineStr">
        <is>
          <t>Text</t>
        </is>
      </c>
      <c r="DP8" s="15" t="inlineStr">
        <is>
          <t>Dropdown</t>
        </is>
      </c>
      <c r="DQ8" s="15" t="inlineStr">
        <is>
          <t>Dropdown</t>
        </is>
      </c>
      <c r="DR8" s="14" t="inlineStr">
        <is>
          <t>Text</t>
        </is>
      </c>
      <c r="DS8" s="13" t="inlineStr">
        <is>
          <t>Text</t>
        </is>
      </c>
      <c r="DT8" s="15" t="inlineStr">
        <is>
          <t>Dropdown</t>
        </is>
      </c>
      <c r="DU8" s="15" t="inlineStr">
        <is>
          <t>Dropdown</t>
        </is>
      </c>
      <c r="DV8" s="14" t="inlineStr">
        <is>
          <t>Text</t>
        </is>
      </c>
      <c r="DW8" s="13" t="inlineStr">
        <is>
          <t>Text</t>
        </is>
      </c>
      <c r="DX8" s="15" t="inlineStr">
        <is>
          <t>Dropdown</t>
        </is>
      </c>
      <c r="DY8" s="15" t="inlineStr">
        <is>
          <t>Dropdown</t>
        </is>
      </c>
      <c r="DZ8" s="14" t="inlineStr">
        <is>
          <t>Text</t>
        </is>
      </c>
      <c r="EA8" s="13" t="inlineStr">
        <is>
          <t>Text</t>
        </is>
      </c>
      <c r="EB8" s="15" t="inlineStr">
        <is>
          <t>Dropdown</t>
        </is>
      </c>
      <c r="EC8" s="15" t="inlineStr">
        <is>
          <t>Dropdown</t>
        </is>
      </c>
      <c r="ED8" s="14" t="inlineStr">
        <is>
          <t>Text</t>
        </is>
      </c>
      <c r="EE8" s="13" t="inlineStr">
        <is>
          <t>Text</t>
        </is>
      </c>
      <c r="EF8" s="15" t="inlineStr">
        <is>
          <t>Dropdown</t>
        </is>
      </c>
      <c r="EG8" s="15" t="inlineStr">
        <is>
          <t>Dropdown</t>
        </is>
      </c>
      <c r="EH8" s="14" t="inlineStr">
        <is>
          <t>Text</t>
        </is>
      </c>
      <c r="EI8" s="13" t="inlineStr">
        <is>
          <t>Text</t>
        </is>
      </c>
      <c r="EJ8" s="15" t="inlineStr">
        <is>
          <t>Dropdown</t>
        </is>
      </c>
      <c r="EK8" s="15" t="inlineStr">
        <is>
          <t>Dropdown</t>
        </is>
      </c>
      <c r="EL8" s="14" t="inlineStr">
        <is>
          <t>Text</t>
        </is>
      </c>
      <c r="EM8" s="13" t="inlineStr">
        <is>
          <t>Text</t>
        </is>
      </c>
      <c r="EN8" s="15" t="inlineStr">
        <is>
          <t>Dropdown</t>
        </is>
      </c>
      <c r="EO8" s="15" t="inlineStr">
        <is>
          <t>Dropdown</t>
        </is>
      </c>
      <c r="EP8" s="14" t="inlineStr">
        <is>
          <t>Text</t>
        </is>
      </c>
      <c r="EQ8" s="13" t="inlineStr">
        <is>
          <t>Text</t>
        </is>
      </c>
      <c r="ER8" s="15" t="inlineStr">
        <is>
          <t>Dropdown</t>
        </is>
      </c>
      <c r="ES8" s="15" t="inlineStr">
        <is>
          <t>Dropdown</t>
        </is>
      </c>
      <c r="ET8" s="14" t="inlineStr">
        <is>
          <t>Text</t>
        </is>
      </c>
      <c r="EU8" s="13" t="inlineStr">
        <is>
          <t>Text</t>
        </is>
      </c>
      <c r="EV8" s="15" t="inlineStr">
        <is>
          <t>Dropdown</t>
        </is>
      </c>
      <c r="EW8" s="15" t="inlineStr">
        <is>
          <t>Dropdown</t>
        </is>
      </c>
      <c r="EX8" s="14" t="inlineStr">
        <is>
          <t>Text</t>
        </is>
      </c>
    </row>
    <row r="9">
      <c r="A9" s="16" t="inlineStr">
        <is>
          <t>BP</t>
        </is>
      </c>
      <c r="B9" s="17" t="inlineStr">
        <is>
          <t>25001</t>
        </is>
      </c>
      <c r="C9" s="10">
        <f>IF(ISNUMBER(FC9),INDIRECT("SamplesX!C"&amp;FC9),IF(ISNUMBER(FD9),INDIRECT("SamplesY!C"&amp;FD9),""))</f>
        <v/>
      </c>
      <c r="D9" s="12">
        <f>IF(ISNUMBER(FC9),INDIRECT("SamplesX!D"&amp;FC9),IF(ISNUMBER(FD9),INDIRECT("SamplesY!D"&amp;FD9),""))</f>
        <v/>
      </c>
      <c r="E9" s="12">
        <f>IF(ISNUMBER(FC9),INDIRECT("SamplesX!E"&amp;FC9),IF(ISNUMBER(FD9),INDIRECT("SamplesY!E"&amp;FD9),""))</f>
        <v/>
      </c>
      <c r="F9" s="11">
        <f>IF(ISNUMBER(FC9),INDIRECT("SamplesX!F"&amp;FC9),IF(ISNUMBER(FD9),INDIRECT("SamplesY!F"&amp;FD9),""))</f>
        <v/>
      </c>
      <c r="G9" s="18">
        <f>IF(ISNUMBER(FC9),INDIRECT("SamplesX!G"&amp;FC9),IF(ISNUMBER(FD9),INDIRECT("SamplesY!G"&amp;FD9),""))</f>
        <v/>
      </c>
      <c r="H9" s="19">
        <f>IF(ISNUMBER(FC9),INDIRECT("SamplesX!H"&amp;FC9),IF(ISNUMBER(FD9),INDIRECT("SamplesY!H"&amp;FD9),""))</f>
        <v/>
      </c>
      <c r="I9" s="16" t="n"/>
      <c r="J9" s="16" t="n"/>
      <c r="K9" s="16" t="n"/>
      <c r="L9" s="20" t="n"/>
      <c r="M9" s="20" t="inlineStr">
        <is>
          <t>None</t>
        </is>
      </c>
      <c r="N9" s="17" t="n"/>
      <c r="O9" s="16" t="n"/>
      <c r="P9" s="20" t="inlineStr">
        <is>
          <t>Shimadzu TOC-L</t>
        </is>
      </c>
      <c r="Q9" s="20" t="inlineStr">
        <is>
          <t>None</t>
        </is>
      </c>
      <c r="R9" s="17" t="n"/>
      <c r="S9" s="16" t="n"/>
      <c r="T9" s="20" t="inlineStr">
        <is>
          <t>Shimadzu TOC-L</t>
        </is>
      </c>
      <c r="U9" s="20" t="inlineStr">
        <is>
          <t>None</t>
        </is>
      </c>
      <c r="V9" s="17" t="n"/>
      <c r="W9" s="16" t="n"/>
      <c r="X9" s="20" t="n"/>
      <c r="Y9" s="20" t="inlineStr">
        <is>
          <t>None</t>
        </is>
      </c>
      <c r="Z9" s="17" t="n"/>
      <c r="AA9" s="16" t="n"/>
      <c r="AB9" s="20" t="n"/>
      <c r="AC9" s="20" t="inlineStr">
        <is>
          <t>None</t>
        </is>
      </c>
      <c r="AD9" s="17" t="n"/>
      <c r="AE9" s="16" t="inlineStr">
        <is>
          <t>148</t>
        </is>
      </c>
      <c r="AF9" s="20" t="inlineStr">
        <is>
          <t>IC Anionen</t>
        </is>
      </c>
      <c r="AG9" s="20" t="inlineStr">
        <is>
          <t>None</t>
        </is>
      </c>
      <c r="AH9" s="17" t="inlineStr">
        <is>
          <t>1*5</t>
        </is>
      </c>
      <c r="AI9" s="16" t="n"/>
      <c r="AJ9" s="20" t="n"/>
      <c r="AK9" s="20" t="inlineStr">
        <is>
          <t>None</t>
        </is>
      </c>
      <c r="AL9" s="17" t="n"/>
      <c r="AM9" s="16" t="n"/>
      <c r="AN9" s="20" t="inlineStr">
        <is>
          <t>IC Anionen</t>
        </is>
      </c>
      <c r="AO9" s="20" t="inlineStr">
        <is>
          <t>None</t>
        </is>
      </c>
      <c r="AP9" s="17" t="n"/>
      <c r="AQ9" s="16" t="n"/>
      <c r="AR9" s="20" t="n"/>
      <c r="AS9" s="20" t="inlineStr">
        <is>
          <t>None</t>
        </is>
      </c>
      <c r="AT9" s="17" t="n"/>
      <c r="AU9" s="16" t="inlineStr">
        <is>
          <t>10.4</t>
        </is>
      </c>
      <c r="AV9" s="20" t="inlineStr">
        <is>
          <t>IC Anionen</t>
        </is>
      </c>
      <c r="AW9" s="20" t="inlineStr">
        <is>
          <t>None</t>
        </is>
      </c>
      <c r="AX9" s="17" t="n"/>
      <c r="AY9" s="16" t="inlineStr">
        <is>
          <t>&lt;0.8</t>
        </is>
      </c>
      <c r="AZ9" s="20" t="inlineStr">
        <is>
          <t>IC Anionen</t>
        </is>
      </c>
      <c r="BA9" s="20" t="inlineStr">
        <is>
          <t>None</t>
        </is>
      </c>
      <c r="BB9" s="17" t="n"/>
      <c r="BC9" s="16" t="inlineStr">
        <is>
          <t>117</t>
        </is>
      </c>
      <c r="BD9" s="20" t="inlineStr">
        <is>
          <t>IC Kationen</t>
        </is>
      </c>
      <c r="BE9" s="20" t="inlineStr">
        <is>
          <t>None</t>
        </is>
      </c>
      <c r="BF9" s="17" t="inlineStr">
        <is>
          <t>1*10</t>
        </is>
      </c>
      <c r="BG9" s="16" t="n"/>
      <c r="BH9" s="20" t="n"/>
      <c r="BI9" s="20" t="inlineStr">
        <is>
          <t>None</t>
        </is>
      </c>
      <c r="BJ9" s="17" t="n"/>
      <c r="BK9" s="16" t="inlineStr">
        <is>
          <t>15.0</t>
        </is>
      </c>
      <c r="BL9" s="20" t="inlineStr">
        <is>
          <t>IC Kationen</t>
        </is>
      </c>
      <c r="BM9" s="20" t="inlineStr">
        <is>
          <t>None</t>
        </is>
      </c>
      <c r="BN9" s="17" t="n"/>
      <c r="BO9" s="16" t="inlineStr">
        <is>
          <t>207</t>
        </is>
      </c>
      <c r="BP9" s="20" t="inlineStr">
        <is>
          <t>IC Kationen</t>
        </is>
      </c>
      <c r="BQ9" s="20" t="inlineStr">
        <is>
          <t>None</t>
        </is>
      </c>
      <c r="BR9" s="17" t="inlineStr">
        <is>
          <t>1*10</t>
        </is>
      </c>
      <c r="BS9" s="16" t="inlineStr">
        <is>
          <t>26.0</t>
        </is>
      </c>
      <c r="BT9" s="20" t="inlineStr">
        <is>
          <t>IC Kationen</t>
        </is>
      </c>
      <c r="BU9" s="20" t="inlineStr">
        <is>
          <t>None</t>
        </is>
      </c>
      <c r="BV9" s="17" t="n"/>
      <c r="BW9" s="16" t="n"/>
      <c r="BX9" s="20" t="n"/>
      <c r="BY9" s="20" t="inlineStr">
        <is>
          <t>None</t>
        </is>
      </c>
      <c r="BZ9" s="17" t="n"/>
      <c r="CA9" s="16" t="n"/>
      <c r="CB9" s="20" t="n"/>
      <c r="CC9" s="20" t="inlineStr">
        <is>
          <t>None</t>
        </is>
      </c>
      <c r="CD9" s="17" t="n"/>
      <c r="CE9" s="16" t="n"/>
      <c r="CF9" s="20" t="n"/>
      <c r="CG9" s="20" t="inlineStr">
        <is>
          <t>None</t>
        </is>
      </c>
      <c r="CH9" s="17" t="n"/>
      <c r="CI9" s="16" t="n"/>
      <c r="CJ9" s="20" t="n"/>
      <c r="CK9" s="20" t="inlineStr">
        <is>
          <t>None</t>
        </is>
      </c>
      <c r="CL9" s="17" t="n"/>
      <c r="CM9" s="16" t="n"/>
      <c r="CN9" s="20" t="inlineStr">
        <is>
          <t>SOP 45-34</t>
        </is>
      </c>
      <c r="CO9" s="20" t="inlineStr">
        <is>
          <t>None</t>
        </is>
      </c>
      <c r="CP9" s="17" t="n"/>
      <c r="CQ9" s="16" t="n"/>
      <c r="CR9" s="20" t="n"/>
      <c r="CS9" s="20" t="inlineStr">
        <is>
          <t>None</t>
        </is>
      </c>
      <c r="CT9" s="17" t="n"/>
      <c r="CU9" s="16" t="n"/>
      <c r="CV9" s="20" t="n"/>
      <c r="CW9" s="20" t="inlineStr">
        <is>
          <t>None</t>
        </is>
      </c>
      <c r="CX9" s="17" t="n"/>
      <c r="CY9" s="16" t="n"/>
      <c r="CZ9" s="20" t="inlineStr">
        <is>
          <t>WTW Multimeter 3430 with FDO 925</t>
        </is>
      </c>
      <c r="DA9" s="20" t="inlineStr">
        <is>
          <t>None</t>
        </is>
      </c>
      <c r="DB9" s="17" t="n"/>
      <c r="DC9" s="16" t="n"/>
      <c r="DD9" s="20" t="n"/>
      <c r="DE9" s="20" t="inlineStr">
        <is>
          <t>None</t>
        </is>
      </c>
      <c r="DF9" s="17" t="n"/>
      <c r="DG9" s="16" t="n"/>
      <c r="DH9" s="20" t="inlineStr">
        <is>
          <t>SOP 45-09</t>
        </is>
      </c>
      <c r="DI9" s="20" t="inlineStr">
        <is>
          <t>None</t>
        </is>
      </c>
      <c r="DJ9" s="17" t="n"/>
      <c r="DK9" s="16" t="n"/>
      <c r="DL9" s="20" t="inlineStr">
        <is>
          <t>SOP 45-09 (SOP muss noch angepasst werden für VSS)</t>
        </is>
      </c>
      <c r="DM9" s="20" t="inlineStr">
        <is>
          <t>None</t>
        </is>
      </c>
      <c r="DN9" s="17" t="n"/>
      <c r="DO9" s="16" t="n"/>
      <c r="DP9" s="20" t="inlineStr">
        <is>
          <t>IC Organic Acids</t>
        </is>
      </c>
      <c r="DQ9" s="20" t="inlineStr">
        <is>
          <t>None</t>
        </is>
      </c>
      <c r="DR9" s="17" t="n"/>
      <c r="DS9" s="16" t="n"/>
      <c r="DT9" s="20" t="inlineStr">
        <is>
          <t>IC Organic Acids</t>
        </is>
      </c>
      <c r="DU9" s="20" t="inlineStr">
        <is>
          <t>None</t>
        </is>
      </c>
      <c r="DV9" s="17" t="n"/>
      <c r="DW9" s="16" t="n"/>
      <c r="DX9" s="20" t="inlineStr">
        <is>
          <t>IC Organic Acids</t>
        </is>
      </c>
      <c r="DY9" s="20" t="inlineStr">
        <is>
          <t>None</t>
        </is>
      </c>
      <c r="DZ9" s="17" t="n"/>
      <c r="EA9" s="16" t="n"/>
      <c r="EB9" s="20" t="inlineStr">
        <is>
          <t>IC Organic Acids</t>
        </is>
      </c>
      <c r="EC9" s="20" t="inlineStr">
        <is>
          <t>None</t>
        </is>
      </c>
      <c r="ED9" s="17" t="n"/>
      <c r="EE9" s="16" t="n"/>
      <c r="EF9" s="20" t="inlineStr">
        <is>
          <t>IC Organic Acids</t>
        </is>
      </c>
      <c r="EG9" s="20" t="inlineStr">
        <is>
          <t>None</t>
        </is>
      </c>
      <c r="EH9" s="17" t="n"/>
      <c r="EI9" s="16" t="n"/>
      <c r="EJ9" s="20" t="inlineStr">
        <is>
          <t>IC Organic Acids</t>
        </is>
      </c>
      <c r="EK9" s="20" t="inlineStr">
        <is>
          <t>None</t>
        </is>
      </c>
      <c r="EL9" s="17" t="n"/>
      <c r="EM9" s="16" t="n"/>
      <c r="EN9" s="20" t="inlineStr">
        <is>
          <t>IC Organic Acids</t>
        </is>
      </c>
      <c r="EO9" s="20" t="inlineStr">
        <is>
          <t>None</t>
        </is>
      </c>
      <c r="EP9" s="17" t="n"/>
      <c r="EQ9" s="16" t="n"/>
      <c r="ER9" s="20" t="inlineStr">
        <is>
          <t>IC Organic Acids</t>
        </is>
      </c>
      <c r="ES9" s="20" t="inlineStr">
        <is>
          <t>None</t>
        </is>
      </c>
      <c r="ET9" s="17" t="n"/>
      <c r="EU9" s="16" t="n"/>
      <c r="EV9" s="20" t="inlineStr">
        <is>
          <t>LC-MS</t>
        </is>
      </c>
      <c r="EW9" s="20" t="inlineStr">
        <is>
          <t>None</t>
        </is>
      </c>
      <c r="EX9" s="17" t="n"/>
      <c r="EY9" s="21" t="n"/>
      <c r="EZ9">
        <f>CONCATENATE(A9,B9)</f>
        <v/>
      </c>
      <c r="FA9">
        <f>CONCATENATE(SamplesX!A9,SamplesX!B9)</f>
        <v/>
      </c>
      <c r="FC9">
        <f>MATCH(EZ9,FA1:FA1008,0)</f>
        <v/>
      </c>
    </row>
    <row r="10">
      <c r="A10" s="16" t="inlineStr">
        <is>
          <t>BP</t>
        </is>
      </c>
      <c r="B10" s="17" t="inlineStr">
        <is>
          <t>25002</t>
        </is>
      </c>
      <c r="C10" s="10">
        <f>IF(ISNUMBER(FC10),INDIRECT("SamplesX!C"&amp;FC10),IF(ISNUMBER(FD10),INDIRECT("SamplesY!C"&amp;FD10),""))</f>
        <v/>
      </c>
      <c r="D10" s="12">
        <f>IF(ISNUMBER(FC10),INDIRECT("SamplesX!D"&amp;FC10),IF(ISNUMBER(FD10),INDIRECT("SamplesY!D"&amp;FD10),""))</f>
        <v/>
      </c>
      <c r="E10" s="12">
        <f>IF(ISNUMBER(FC10),INDIRECT("SamplesX!E"&amp;FC10),IF(ISNUMBER(FD10),INDIRECT("SamplesY!E"&amp;FD10),""))</f>
        <v/>
      </c>
      <c r="F10" s="11">
        <f>IF(ISNUMBER(FC10),INDIRECT("SamplesX!F"&amp;FC10),IF(ISNUMBER(FD10),INDIRECT("SamplesY!F"&amp;FD10),""))</f>
        <v/>
      </c>
      <c r="G10" s="18">
        <f>IF(ISNUMBER(FC10),INDIRECT("SamplesX!G"&amp;FC10),IF(ISNUMBER(FD10),INDIRECT("SamplesY!G"&amp;FD10),""))</f>
        <v/>
      </c>
      <c r="H10" s="19">
        <f>IF(ISNUMBER(FC10),INDIRECT("SamplesX!H"&amp;FC10),IF(ISNUMBER(FD10),INDIRECT("SamplesY!H"&amp;FD10),""))</f>
        <v/>
      </c>
      <c r="I10" s="16" t="n"/>
      <c r="J10" s="16" t="n"/>
      <c r="K10" s="16" t="n"/>
      <c r="L10" s="20" t="n"/>
      <c r="M10" s="20" t="inlineStr">
        <is>
          <t>None</t>
        </is>
      </c>
      <c r="N10" s="17" t="n"/>
      <c r="O10" s="16" t="n"/>
      <c r="P10" s="20" t="inlineStr">
        <is>
          <t>Shimadzu TOC-L</t>
        </is>
      </c>
      <c r="Q10" s="20" t="inlineStr">
        <is>
          <t>None</t>
        </is>
      </c>
      <c r="R10" s="17" t="n"/>
      <c r="S10" s="16" t="n"/>
      <c r="T10" s="20" t="inlineStr">
        <is>
          <t>Shimadzu TOC-L</t>
        </is>
      </c>
      <c r="U10" s="20" t="inlineStr">
        <is>
          <t>None</t>
        </is>
      </c>
      <c r="V10" s="17" t="n"/>
      <c r="W10" s="16" t="n"/>
      <c r="X10" s="20" t="n"/>
      <c r="Y10" s="20" t="inlineStr">
        <is>
          <t>None</t>
        </is>
      </c>
      <c r="Z10" s="17" t="n"/>
      <c r="AA10" s="16" t="n"/>
      <c r="AB10" s="20" t="n"/>
      <c r="AC10" s="20" t="inlineStr">
        <is>
          <t>None</t>
        </is>
      </c>
      <c r="AD10" s="17" t="n"/>
      <c r="AE10" s="16" t="inlineStr">
        <is>
          <t>161</t>
        </is>
      </c>
      <c r="AF10" s="20" t="inlineStr">
        <is>
          <t>IC Anionen</t>
        </is>
      </c>
      <c r="AG10" s="20" t="inlineStr">
        <is>
          <t>None</t>
        </is>
      </c>
      <c r="AH10" s="17" t="inlineStr">
        <is>
          <t>1*5</t>
        </is>
      </c>
      <c r="AI10" s="16" t="n"/>
      <c r="AJ10" s="20" t="n"/>
      <c r="AK10" s="20" t="inlineStr">
        <is>
          <t>None</t>
        </is>
      </c>
      <c r="AL10" s="17" t="n"/>
      <c r="AM10" s="16" t="n"/>
      <c r="AN10" s="20" t="inlineStr">
        <is>
          <t>IC Anionen</t>
        </is>
      </c>
      <c r="AO10" s="20" t="inlineStr">
        <is>
          <t>None</t>
        </is>
      </c>
      <c r="AP10" s="17" t="n"/>
      <c r="AQ10" s="16" t="n"/>
      <c r="AR10" s="20" t="n"/>
      <c r="AS10" s="20" t="inlineStr">
        <is>
          <t>None</t>
        </is>
      </c>
      <c r="AT10" s="17" t="n"/>
      <c r="AU10" s="16" t="inlineStr">
        <is>
          <t>12.8</t>
        </is>
      </c>
      <c r="AV10" s="20" t="inlineStr">
        <is>
          <t>IC Anionen</t>
        </is>
      </c>
      <c r="AW10" s="20" t="inlineStr">
        <is>
          <t>None</t>
        </is>
      </c>
      <c r="AX10" s="17" t="n"/>
      <c r="AY10" s="16" t="inlineStr">
        <is>
          <t>&lt;0.8</t>
        </is>
      </c>
      <c r="AZ10" s="20" t="inlineStr">
        <is>
          <t>IC Anionen</t>
        </is>
      </c>
      <c r="BA10" s="20" t="inlineStr">
        <is>
          <t>None</t>
        </is>
      </c>
      <c r="BB10" s="17" t="n"/>
      <c r="BC10" s="16" t="inlineStr">
        <is>
          <t>127</t>
        </is>
      </c>
      <c r="BD10" s="20" t="inlineStr">
        <is>
          <t>IC Kationen</t>
        </is>
      </c>
      <c r="BE10" s="20" t="inlineStr">
        <is>
          <t>None</t>
        </is>
      </c>
      <c r="BF10" s="17" t="inlineStr">
        <is>
          <t>1*10</t>
        </is>
      </c>
      <c r="BG10" s="16" t="n"/>
      <c r="BH10" s="20" t="n"/>
      <c r="BI10" s="20" t="inlineStr">
        <is>
          <t>None</t>
        </is>
      </c>
      <c r="BJ10" s="17" t="n"/>
      <c r="BK10" s="16" t="inlineStr">
        <is>
          <t>15.9</t>
        </is>
      </c>
      <c r="BL10" s="20" t="inlineStr">
        <is>
          <t>IC Kationen</t>
        </is>
      </c>
      <c r="BM10" s="20" t="inlineStr">
        <is>
          <t>None</t>
        </is>
      </c>
      <c r="BN10" s="17" t="n"/>
      <c r="BO10" s="16" t="inlineStr">
        <is>
          <t>244</t>
        </is>
      </c>
      <c r="BP10" s="20" t="inlineStr">
        <is>
          <t>IC Kationen</t>
        </is>
      </c>
      <c r="BQ10" s="20" t="inlineStr">
        <is>
          <t>None</t>
        </is>
      </c>
      <c r="BR10" s="17" t="inlineStr">
        <is>
          <t>1*10</t>
        </is>
      </c>
      <c r="BS10" s="16" t="inlineStr">
        <is>
          <t>28.2</t>
        </is>
      </c>
      <c r="BT10" s="20" t="inlineStr">
        <is>
          <t>IC Kationen</t>
        </is>
      </c>
      <c r="BU10" s="20" t="inlineStr">
        <is>
          <t>None</t>
        </is>
      </c>
      <c r="BV10" s="17" t="n"/>
      <c r="BW10" s="16" t="n"/>
      <c r="BX10" s="20" t="n"/>
      <c r="BY10" s="20" t="inlineStr">
        <is>
          <t>None</t>
        </is>
      </c>
      <c r="BZ10" s="17" t="n"/>
      <c r="CA10" s="16" t="n"/>
      <c r="CB10" s="20" t="n"/>
      <c r="CC10" s="20" t="inlineStr">
        <is>
          <t>None</t>
        </is>
      </c>
      <c r="CD10" s="17" t="n"/>
      <c r="CE10" s="16" t="n"/>
      <c r="CF10" s="20" t="n"/>
      <c r="CG10" s="20" t="inlineStr">
        <is>
          <t>None</t>
        </is>
      </c>
      <c r="CH10" s="17" t="n"/>
      <c r="CI10" s="16" t="n"/>
      <c r="CJ10" s="20" t="n"/>
      <c r="CK10" s="20" t="inlineStr">
        <is>
          <t>None</t>
        </is>
      </c>
      <c r="CL10" s="17" t="n"/>
      <c r="CM10" s="16" t="n"/>
      <c r="CN10" s="20" t="inlineStr">
        <is>
          <t>SOP 45-34</t>
        </is>
      </c>
      <c r="CO10" s="20" t="inlineStr">
        <is>
          <t>None</t>
        </is>
      </c>
      <c r="CP10" s="17" t="n"/>
      <c r="CQ10" s="16" t="n"/>
      <c r="CR10" s="20" t="n"/>
      <c r="CS10" s="20" t="inlineStr">
        <is>
          <t>None</t>
        </is>
      </c>
      <c r="CT10" s="17" t="n"/>
      <c r="CU10" s="16" t="n"/>
      <c r="CV10" s="20" t="n"/>
      <c r="CW10" s="20" t="inlineStr">
        <is>
          <t>None</t>
        </is>
      </c>
      <c r="CX10" s="17" t="n"/>
      <c r="CY10" s="16" t="n"/>
      <c r="CZ10" s="20" t="inlineStr">
        <is>
          <t>WTW Multimeter 3430 with FDO 925</t>
        </is>
      </c>
      <c r="DA10" s="20" t="inlineStr">
        <is>
          <t>None</t>
        </is>
      </c>
      <c r="DB10" s="17" t="n"/>
      <c r="DC10" s="16" t="n"/>
      <c r="DD10" s="20" t="n"/>
      <c r="DE10" s="20" t="inlineStr">
        <is>
          <t>None</t>
        </is>
      </c>
      <c r="DF10" s="17" t="n"/>
      <c r="DG10" s="16" t="n"/>
      <c r="DH10" s="20" t="inlineStr">
        <is>
          <t>SOP 45-09</t>
        </is>
      </c>
      <c r="DI10" s="20" t="inlineStr">
        <is>
          <t>None</t>
        </is>
      </c>
      <c r="DJ10" s="17" t="n"/>
      <c r="DK10" s="16" t="n"/>
      <c r="DL10" s="20" t="inlineStr">
        <is>
          <t>SOP 45-09 (SOP muss noch angepasst werden für VSS)</t>
        </is>
      </c>
      <c r="DM10" s="20" t="inlineStr">
        <is>
          <t>None</t>
        </is>
      </c>
      <c r="DN10" s="17" t="n"/>
      <c r="DO10" s="16" t="n"/>
      <c r="DP10" s="20" t="inlineStr">
        <is>
          <t>IC Organic Acids</t>
        </is>
      </c>
      <c r="DQ10" s="20" t="inlineStr">
        <is>
          <t>None</t>
        </is>
      </c>
      <c r="DR10" s="17" t="n"/>
      <c r="DS10" s="16" t="n"/>
      <c r="DT10" s="20" t="inlineStr">
        <is>
          <t>IC Organic Acids</t>
        </is>
      </c>
      <c r="DU10" s="20" t="inlineStr">
        <is>
          <t>None</t>
        </is>
      </c>
      <c r="DV10" s="17" t="n"/>
      <c r="DW10" s="16" t="n"/>
      <c r="DX10" s="20" t="inlineStr">
        <is>
          <t>IC Organic Acids</t>
        </is>
      </c>
      <c r="DY10" s="20" t="inlineStr">
        <is>
          <t>None</t>
        </is>
      </c>
      <c r="DZ10" s="17" t="n"/>
      <c r="EA10" s="16" t="n"/>
      <c r="EB10" s="20" t="inlineStr">
        <is>
          <t>IC Organic Acids</t>
        </is>
      </c>
      <c r="EC10" s="20" t="inlineStr">
        <is>
          <t>None</t>
        </is>
      </c>
      <c r="ED10" s="17" t="n"/>
      <c r="EE10" s="16" t="n"/>
      <c r="EF10" s="20" t="inlineStr">
        <is>
          <t>IC Organic Acids</t>
        </is>
      </c>
      <c r="EG10" s="20" t="inlineStr">
        <is>
          <t>None</t>
        </is>
      </c>
      <c r="EH10" s="17" t="n"/>
      <c r="EI10" s="16" t="n"/>
      <c r="EJ10" s="20" t="inlineStr">
        <is>
          <t>IC Organic Acids</t>
        </is>
      </c>
      <c r="EK10" s="20" t="inlineStr">
        <is>
          <t>None</t>
        </is>
      </c>
      <c r="EL10" s="17" t="n"/>
      <c r="EM10" s="16" t="n"/>
      <c r="EN10" s="20" t="inlineStr">
        <is>
          <t>IC Organic Acids</t>
        </is>
      </c>
      <c r="EO10" s="20" t="inlineStr">
        <is>
          <t>None</t>
        </is>
      </c>
      <c r="EP10" s="17" t="n"/>
      <c r="EQ10" s="16" t="n"/>
      <c r="ER10" s="20" t="inlineStr">
        <is>
          <t>IC Organic Acids</t>
        </is>
      </c>
      <c r="ES10" s="20" t="inlineStr">
        <is>
          <t>None</t>
        </is>
      </c>
      <c r="ET10" s="17" t="n"/>
      <c r="EU10" s="16" t="n"/>
      <c r="EV10" s="20" t="inlineStr">
        <is>
          <t>LC-MS</t>
        </is>
      </c>
      <c r="EW10" s="20" t="inlineStr">
        <is>
          <t>None</t>
        </is>
      </c>
      <c r="EX10" s="17" t="n"/>
      <c r="EY10" s="21" t="n"/>
      <c r="EZ10">
        <f>CONCATENATE(A10,B10)</f>
        <v/>
      </c>
      <c r="FA10">
        <f>CONCATENATE(SamplesX!A10,SamplesX!B10)</f>
        <v/>
      </c>
      <c r="FC10">
        <f>MATCH(EZ10,FA1:FA1008,0)</f>
        <v/>
      </c>
    </row>
    <row r="11">
      <c r="A11" s="16" t="inlineStr">
        <is>
          <t>BP</t>
        </is>
      </c>
      <c r="B11" s="17" t="inlineStr">
        <is>
          <t>25003</t>
        </is>
      </c>
      <c r="C11" s="10">
        <f>IF(ISNUMBER(FC11),INDIRECT("SamplesX!C"&amp;FC11),IF(ISNUMBER(FD11),INDIRECT("SamplesY!C"&amp;FD11),""))</f>
        <v/>
      </c>
      <c r="D11" s="12">
        <f>IF(ISNUMBER(FC11),INDIRECT("SamplesX!D"&amp;FC11),IF(ISNUMBER(FD11),INDIRECT("SamplesY!D"&amp;FD11),""))</f>
        <v/>
      </c>
      <c r="E11" s="12">
        <f>IF(ISNUMBER(FC11),INDIRECT("SamplesX!E"&amp;FC11),IF(ISNUMBER(FD11),INDIRECT("SamplesY!E"&amp;FD11),""))</f>
        <v/>
      </c>
      <c r="F11" s="11">
        <f>IF(ISNUMBER(FC11),INDIRECT("SamplesX!F"&amp;FC11),IF(ISNUMBER(FD11),INDIRECT("SamplesY!F"&amp;FD11),""))</f>
        <v/>
      </c>
      <c r="G11" s="18">
        <f>IF(ISNUMBER(FC11),INDIRECT("SamplesX!G"&amp;FC11),IF(ISNUMBER(FD11),INDIRECT("SamplesY!G"&amp;FD11),""))</f>
        <v/>
      </c>
      <c r="H11" s="19">
        <f>IF(ISNUMBER(FC11),INDIRECT("SamplesX!H"&amp;FC11),IF(ISNUMBER(FD11),INDIRECT("SamplesY!H"&amp;FD11),""))</f>
        <v/>
      </c>
      <c r="I11" s="16" t="n"/>
      <c r="J11" s="16" t="n"/>
      <c r="K11" s="16" t="n"/>
      <c r="L11" s="20" t="n"/>
      <c r="M11" s="20" t="inlineStr">
        <is>
          <t>None</t>
        </is>
      </c>
      <c r="N11" s="17" t="n"/>
      <c r="O11" s="16" t="n"/>
      <c r="P11" s="20" t="inlineStr">
        <is>
          <t>Shimadzu TOC-L</t>
        </is>
      </c>
      <c r="Q11" s="20" t="inlineStr">
        <is>
          <t>None</t>
        </is>
      </c>
      <c r="R11" s="17" t="n"/>
      <c r="S11" s="16" t="n"/>
      <c r="T11" s="20" t="inlineStr">
        <is>
          <t>Shimadzu TOC-L</t>
        </is>
      </c>
      <c r="U11" s="20" t="inlineStr">
        <is>
          <t>None</t>
        </is>
      </c>
      <c r="V11" s="17" t="n"/>
      <c r="W11" s="16" t="n"/>
      <c r="X11" s="20" t="n"/>
      <c r="Y11" s="20" t="inlineStr">
        <is>
          <t>None</t>
        </is>
      </c>
      <c r="Z11" s="17" t="n"/>
      <c r="AA11" s="16" t="n"/>
      <c r="AB11" s="20" t="n"/>
      <c r="AC11" s="20" t="inlineStr">
        <is>
          <t>None</t>
        </is>
      </c>
      <c r="AD11" s="17" t="n"/>
      <c r="AE11" s="16" t="inlineStr">
        <is>
          <t>175</t>
        </is>
      </c>
      <c r="AF11" s="20" t="inlineStr">
        <is>
          <t>IC Anionen</t>
        </is>
      </c>
      <c r="AG11" s="20" t="inlineStr">
        <is>
          <t>None</t>
        </is>
      </c>
      <c r="AH11" s="17" t="inlineStr">
        <is>
          <t>1*5</t>
        </is>
      </c>
      <c r="AI11" s="16" t="n"/>
      <c r="AJ11" s="20" t="n"/>
      <c r="AK11" s="20" t="inlineStr">
        <is>
          <t>None</t>
        </is>
      </c>
      <c r="AL11" s="17" t="n"/>
      <c r="AM11" s="16" t="n"/>
      <c r="AN11" s="20" t="inlineStr">
        <is>
          <t>IC Anionen</t>
        </is>
      </c>
      <c r="AO11" s="20" t="inlineStr">
        <is>
          <t>None</t>
        </is>
      </c>
      <c r="AP11" s="17" t="n"/>
      <c r="AQ11" s="16" t="n"/>
      <c r="AR11" s="20" t="n"/>
      <c r="AS11" s="20" t="inlineStr">
        <is>
          <t>None</t>
        </is>
      </c>
      <c r="AT11" s="17" t="n"/>
      <c r="AU11" s="16" t="inlineStr">
        <is>
          <t>16.6</t>
        </is>
      </c>
      <c r="AV11" s="20" t="inlineStr">
        <is>
          <t>IC Anionen</t>
        </is>
      </c>
      <c r="AW11" s="20" t="inlineStr">
        <is>
          <t>None</t>
        </is>
      </c>
      <c r="AX11" s="17" t="n"/>
      <c r="AY11" s="16" t="inlineStr">
        <is>
          <t>&lt;0.8</t>
        </is>
      </c>
      <c r="AZ11" s="20" t="inlineStr">
        <is>
          <t>IC Anionen</t>
        </is>
      </c>
      <c r="BA11" s="20" t="inlineStr">
        <is>
          <t>None</t>
        </is>
      </c>
      <c r="BB11" s="17" t="n"/>
      <c r="BC11" s="16" t="inlineStr">
        <is>
          <t>111</t>
        </is>
      </c>
      <c r="BD11" s="20" t="inlineStr">
        <is>
          <t>IC Kationen</t>
        </is>
      </c>
      <c r="BE11" s="20" t="inlineStr">
        <is>
          <t>None</t>
        </is>
      </c>
      <c r="BF11" s="17" t="inlineStr">
        <is>
          <t>1*10</t>
        </is>
      </c>
      <c r="BG11" s="16" t="n"/>
      <c r="BH11" s="20" t="n"/>
      <c r="BI11" s="20" t="inlineStr">
        <is>
          <t>None</t>
        </is>
      </c>
      <c r="BJ11" s="17" t="n"/>
      <c r="BK11" s="16" t="inlineStr">
        <is>
          <t>16.5</t>
        </is>
      </c>
      <c r="BL11" s="20" t="inlineStr">
        <is>
          <t>IC Kationen</t>
        </is>
      </c>
      <c r="BM11" s="20" t="inlineStr">
        <is>
          <t>None</t>
        </is>
      </c>
      <c r="BN11" s="17" t="n"/>
      <c r="BO11" s="16" t="inlineStr">
        <is>
          <t>278</t>
        </is>
      </c>
      <c r="BP11" s="20" t="inlineStr">
        <is>
          <t>IC Kationen</t>
        </is>
      </c>
      <c r="BQ11" s="20" t="inlineStr">
        <is>
          <t>None</t>
        </is>
      </c>
      <c r="BR11" s="17" t="inlineStr">
        <is>
          <t>1*10</t>
        </is>
      </c>
      <c r="BS11" s="16" t="inlineStr">
        <is>
          <t>27.0</t>
        </is>
      </c>
      <c r="BT11" s="20" t="inlineStr">
        <is>
          <t>IC Kationen</t>
        </is>
      </c>
      <c r="BU11" s="20" t="inlineStr">
        <is>
          <t>None</t>
        </is>
      </c>
      <c r="BV11" s="17" t="n"/>
      <c r="BW11" s="16" t="n"/>
      <c r="BX11" s="20" t="n"/>
      <c r="BY11" s="20" t="inlineStr">
        <is>
          <t>None</t>
        </is>
      </c>
      <c r="BZ11" s="17" t="n"/>
      <c r="CA11" s="16" t="n"/>
      <c r="CB11" s="20" t="n"/>
      <c r="CC11" s="20" t="inlineStr">
        <is>
          <t>None</t>
        </is>
      </c>
      <c r="CD11" s="17" t="n"/>
      <c r="CE11" s="16" t="n"/>
      <c r="CF11" s="20" t="n"/>
      <c r="CG11" s="20" t="inlineStr">
        <is>
          <t>None</t>
        </is>
      </c>
      <c r="CH11" s="17" t="n"/>
      <c r="CI11" s="16" t="n"/>
      <c r="CJ11" s="20" t="n"/>
      <c r="CK11" s="20" t="inlineStr">
        <is>
          <t>None</t>
        </is>
      </c>
      <c r="CL11" s="17" t="n"/>
      <c r="CM11" s="16" t="n"/>
      <c r="CN11" s="20" t="inlineStr">
        <is>
          <t>SOP 45-34</t>
        </is>
      </c>
      <c r="CO11" s="20" t="inlineStr">
        <is>
          <t>None</t>
        </is>
      </c>
      <c r="CP11" s="17" t="n"/>
      <c r="CQ11" s="16" t="n"/>
      <c r="CR11" s="20" t="n"/>
      <c r="CS11" s="20" t="inlineStr">
        <is>
          <t>None</t>
        </is>
      </c>
      <c r="CT11" s="17" t="n"/>
      <c r="CU11" s="16" t="n"/>
      <c r="CV11" s="20" t="n"/>
      <c r="CW11" s="20" t="inlineStr">
        <is>
          <t>None</t>
        </is>
      </c>
      <c r="CX11" s="17" t="n"/>
      <c r="CY11" s="16" t="n"/>
      <c r="CZ11" s="20" t="inlineStr">
        <is>
          <t>WTW Multimeter 3430 with FDO 925</t>
        </is>
      </c>
      <c r="DA11" s="20" t="inlineStr">
        <is>
          <t>None</t>
        </is>
      </c>
      <c r="DB11" s="17" t="n"/>
      <c r="DC11" s="16" t="n"/>
      <c r="DD11" s="20" t="n"/>
      <c r="DE11" s="20" t="inlineStr">
        <is>
          <t>None</t>
        </is>
      </c>
      <c r="DF11" s="17" t="n"/>
      <c r="DG11" s="16" t="n"/>
      <c r="DH11" s="20" t="inlineStr">
        <is>
          <t>SOP 45-09</t>
        </is>
      </c>
      <c r="DI11" s="20" t="inlineStr">
        <is>
          <t>None</t>
        </is>
      </c>
      <c r="DJ11" s="17" t="n"/>
      <c r="DK11" s="16" t="n"/>
      <c r="DL11" s="20" t="inlineStr">
        <is>
          <t>SOP 45-09 (SOP muss noch angepasst werden für VSS)</t>
        </is>
      </c>
      <c r="DM11" s="20" t="inlineStr">
        <is>
          <t>None</t>
        </is>
      </c>
      <c r="DN11" s="17" t="n"/>
      <c r="DO11" s="16" t="n"/>
      <c r="DP11" s="20" t="inlineStr">
        <is>
          <t>IC Organic Acids</t>
        </is>
      </c>
      <c r="DQ11" s="20" t="inlineStr">
        <is>
          <t>None</t>
        </is>
      </c>
      <c r="DR11" s="17" t="n"/>
      <c r="DS11" s="16" t="n"/>
      <c r="DT11" s="20" t="inlineStr">
        <is>
          <t>IC Organic Acids</t>
        </is>
      </c>
      <c r="DU11" s="20" t="inlineStr">
        <is>
          <t>None</t>
        </is>
      </c>
      <c r="DV11" s="17" t="n"/>
      <c r="DW11" s="16" t="n"/>
      <c r="DX11" s="20" t="inlineStr">
        <is>
          <t>IC Organic Acids</t>
        </is>
      </c>
      <c r="DY11" s="20" t="inlineStr">
        <is>
          <t>None</t>
        </is>
      </c>
      <c r="DZ11" s="17" t="n"/>
      <c r="EA11" s="16" t="n"/>
      <c r="EB11" s="20" t="inlineStr">
        <is>
          <t>IC Organic Acids</t>
        </is>
      </c>
      <c r="EC11" s="20" t="inlineStr">
        <is>
          <t>None</t>
        </is>
      </c>
      <c r="ED11" s="17" t="n"/>
      <c r="EE11" s="16" t="n"/>
      <c r="EF11" s="20" t="inlineStr">
        <is>
          <t>IC Organic Acids</t>
        </is>
      </c>
      <c r="EG11" s="20" t="inlineStr">
        <is>
          <t>None</t>
        </is>
      </c>
      <c r="EH11" s="17" t="n"/>
      <c r="EI11" s="16" t="n"/>
      <c r="EJ11" s="20" t="inlineStr">
        <is>
          <t>IC Organic Acids</t>
        </is>
      </c>
      <c r="EK11" s="20" t="inlineStr">
        <is>
          <t>None</t>
        </is>
      </c>
      <c r="EL11" s="17" t="n"/>
      <c r="EM11" s="16" t="n"/>
      <c r="EN11" s="20" t="inlineStr">
        <is>
          <t>IC Organic Acids</t>
        </is>
      </c>
      <c r="EO11" s="20" t="inlineStr">
        <is>
          <t>None</t>
        </is>
      </c>
      <c r="EP11" s="17" t="n"/>
      <c r="EQ11" s="16" t="n"/>
      <c r="ER11" s="20" t="inlineStr">
        <is>
          <t>IC Organic Acids</t>
        </is>
      </c>
      <c r="ES11" s="20" t="inlineStr">
        <is>
          <t>None</t>
        </is>
      </c>
      <c r="ET11" s="17" t="n"/>
      <c r="EU11" s="16" t="n"/>
      <c r="EV11" s="20" t="inlineStr">
        <is>
          <t>LC-MS</t>
        </is>
      </c>
      <c r="EW11" s="20" t="inlineStr">
        <is>
          <t>None</t>
        </is>
      </c>
      <c r="EX11" s="17" t="n"/>
      <c r="EY11" s="21" t="n"/>
      <c r="EZ11">
        <f>CONCATENATE(A11,B11)</f>
        <v/>
      </c>
      <c r="FA11">
        <f>CONCATENATE(SamplesX!A11,SamplesX!B11)</f>
        <v/>
      </c>
      <c r="FC11">
        <f>MATCH(EZ11,FA1:FA1008,0)</f>
        <v/>
      </c>
    </row>
    <row r="12">
      <c r="A12" s="16" t="inlineStr">
        <is>
          <t>BP</t>
        </is>
      </c>
      <c r="B12" s="17" t="inlineStr">
        <is>
          <t>25004</t>
        </is>
      </c>
      <c r="C12" s="10">
        <f>IF(ISNUMBER(FC12),INDIRECT("SamplesX!C"&amp;FC12),IF(ISNUMBER(FD12),INDIRECT("SamplesY!C"&amp;FD12),""))</f>
        <v/>
      </c>
      <c r="D12" s="12">
        <f>IF(ISNUMBER(FC12),INDIRECT("SamplesX!D"&amp;FC12),IF(ISNUMBER(FD12),INDIRECT("SamplesY!D"&amp;FD12),""))</f>
        <v/>
      </c>
      <c r="E12" s="12">
        <f>IF(ISNUMBER(FC12),INDIRECT("SamplesX!E"&amp;FC12),IF(ISNUMBER(FD12),INDIRECT("SamplesY!E"&amp;FD12),""))</f>
        <v/>
      </c>
      <c r="F12" s="11">
        <f>IF(ISNUMBER(FC12),INDIRECT("SamplesX!F"&amp;FC12),IF(ISNUMBER(FD12),INDIRECT("SamplesY!F"&amp;FD12),""))</f>
        <v/>
      </c>
      <c r="G12" s="18">
        <f>IF(ISNUMBER(FC12),INDIRECT("SamplesX!G"&amp;FC12),IF(ISNUMBER(FD12),INDIRECT("SamplesY!G"&amp;FD12),""))</f>
        <v/>
      </c>
      <c r="H12" s="19">
        <f>IF(ISNUMBER(FC12),INDIRECT("SamplesX!H"&amp;FC12),IF(ISNUMBER(FD12),INDIRECT("SamplesY!H"&amp;FD12),""))</f>
        <v/>
      </c>
      <c r="I12" s="16" t="n"/>
      <c r="J12" s="16" t="n"/>
      <c r="K12" s="16" t="n"/>
      <c r="L12" s="20" t="n"/>
      <c r="M12" s="20" t="inlineStr">
        <is>
          <t>None</t>
        </is>
      </c>
      <c r="N12" s="17" t="n"/>
      <c r="O12" s="16" t="n"/>
      <c r="P12" s="20" t="inlineStr">
        <is>
          <t>Shimadzu TOC-L</t>
        </is>
      </c>
      <c r="Q12" s="20" t="inlineStr">
        <is>
          <t>None</t>
        </is>
      </c>
      <c r="R12" s="17" t="n"/>
      <c r="S12" s="16" t="n"/>
      <c r="T12" s="20" t="inlineStr">
        <is>
          <t>Shimadzu TOC-L</t>
        </is>
      </c>
      <c r="U12" s="20" t="inlineStr">
        <is>
          <t>None</t>
        </is>
      </c>
      <c r="V12" s="17" t="n"/>
      <c r="W12" s="16" t="n"/>
      <c r="X12" s="20" t="n"/>
      <c r="Y12" s="20" t="inlineStr">
        <is>
          <t>None</t>
        </is>
      </c>
      <c r="Z12" s="17" t="n"/>
      <c r="AA12" s="16" t="n"/>
      <c r="AB12" s="20" t="n"/>
      <c r="AC12" s="20" t="inlineStr">
        <is>
          <t>None</t>
        </is>
      </c>
      <c r="AD12" s="17" t="n"/>
      <c r="AE12" s="16" t="inlineStr">
        <is>
          <t>165</t>
        </is>
      </c>
      <c r="AF12" s="20" t="inlineStr">
        <is>
          <t>IC Anionen</t>
        </is>
      </c>
      <c r="AG12" s="20" t="inlineStr">
        <is>
          <t>None</t>
        </is>
      </c>
      <c r="AH12" s="17" t="inlineStr">
        <is>
          <t>1*5</t>
        </is>
      </c>
      <c r="AI12" s="16" t="n"/>
      <c r="AJ12" s="20" t="n"/>
      <c r="AK12" s="20" t="inlineStr">
        <is>
          <t>None</t>
        </is>
      </c>
      <c r="AL12" s="17" t="n"/>
      <c r="AM12" s="16" t="n"/>
      <c r="AN12" s="20" t="inlineStr">
        <is>
          <t>IC Anionen</t>
        </is>
      </c>
      <c r="AO12" s="20" t="inlineStr">
        <is>
          <t>None</t>
        </is>
      </c>
      <c r="AP12" s="17" t="n"/>
      <c r="AQ12" s="16" t="n"/>
      <c r="AR12" s="20" t="n"/>
      <c r="AS12" s="20" t="inlineStr">
        <is>
          <t>None</t>
        </is>
      </c>
      <c r="AT12" s="17" t="n"/>
      <c r="AU12" s="16" t="inlineStr">
        <is>
          <t>18.2</t>
        </is>
      </c>
      <c r="AV12" s="20" t="inlineStr">
        <is>
          <t>IC Anionen</t>
        </is>
      </c>
      <c r="AW12" s="20" t="inlineStr">
        <is>
          <t>None</t>
        </is>
      </c>
      <c r="AX12" s="17" t="n"/>
      <c r="AY12" s="16" t="inlineStr">
        <is>
          <t>1.23</t>
        </is>
      </c>
      <c r="AZ12" s="20" t="inlineStr">
        <is>
          <t>IC Anionen</t>
        </is>
      </c>
      <c r="BA12" s="20" t="inlineStr">
        <is>
          <t>None</t>
        </is>
      </c>
      <c r="BB12" s="17" t="n"/>
      <c r="BC12" s="16" t="inlineStr">
        <is>
          <t>106</t>
        </is>
      </c>
      <c r="BD12" s="20" t="inlineStr">
        <is>
          <t>IC Kationen</t>
        </is>
      </c>
      <c r="BE12" s="20" t="inlineStr">
        <is>
          <t>None</t>
        </is>
      </c>
      <c r="BF12" s="17" t="inlineStr">
        <is>
          <t>1*10</t>
        </is>
      </c>
      <c r="BG12" s="16" t="n"/>
      <c r="BH12" s="20" t="n"/>
      <c r="BI12" s="20" t="inlineStr">
        <is>
          <t>None</t>
        </is>
      </c>
      <c r="BJ12" s="17" t="n"/>
      <c r="BK12" s="16" t="inlineStr">
        <is>
          <t>15.4</t>
        </is>
      </c>
      <c r="BL12" s="20" t="inlineStr">
        <is>
          <t>IC Kationen</t>
        </is>
      </c>
      <c r="BM12" s="20" t="inlineStr">
        <is>
          <t>None</t>
        </is>
      </c>
      <c r="BN12" s="17" t="n"/>
      <c r="BO12" s="16" t="inlineStr">
        <is>
          <t>273</t>
        </is>
      </c>
      <c r="BP12" s="20" t="inlineStr">
        <is>
          <t>IC Kationen</t>
        </is>
      </c>
      <c r="BQ12" s="20" t="inlineStr">
        <is>
          <t>None</t>
        </is>
      </c>
      <c r="BR12" s="17" t="inlineStr">
        <is>
          <t>1*10</t>
        </is>
      </c>
      <c r="BS12" s="16" t="inlineStr">
        <is>
          <t>26.9</t>
        </is>
      </c>
      <c r="BT12" s="20" t="inlineStr">
        <is>
          <t>IC Kationen</t>
        </is>
      </c>
      <c r="BU12" s="20" t="inlineStr">
        <is>
          <t>None</t>
        </is>
      </c>
      <c r="BV12" s="17" t="n"/>
      <c r="BW12" s="16" t="n"/>
      <c r="BX12" s="20" t="n"/>
      <c r="BY12" s="20" t="inlineStr">
        <is>
          <t>None</t>
        </is>
      </c>
      <c r="BZ12" s="17" t="n"/>
      <c r="CA12" s="16" t="n"/>
      <c r="CB12" s="20" t="n"/>
      <c r="CC12" s="20" t="inlineStr">
        <is>
          <t>None</t>
        </is>
      </c>
      <c r="CD12" s="17" t="n"/>
      <c r="CE12" s="16" t="n"/>
      <c r="CF12" s="20" t="n"/>
      <c r="CG12" s="20" t="inlineStr">
        <is>
          <t>None</t>
        </is>
      </c>
      <c r="CH12" s="17" t="n"/>
      <c r="CI12" s="16" t="n"/>
      <c r="CJ12" s="20" t="n"/>
      <c r="CK12" s="20" t="inlineStr">
        <is>
          <t>None</t>
        </is>
      </c>
      <c r="CL12" s="17" t="n"/>
      <c r="CM12" s="16" t="n"/>
      <c r="CN12" s="20" t="inlineStr">
        <is>
          <t>SOP 45-34</t>
        </is>
      </c>
      <c r="CO12" s="20" t="inlineStr">
        <is>
          <t>None</t>
        </is>
      </c>
      <c r="CP12" s="17" t="n"/>
      <c r="CQ12" s="16" t="n"/>
      <c r="CR12" s="20" t="n"/>
      <c r="CS12" s="20" t="inlineStr">
        <is>
          <t>None</t>
        </is>
      </c>
      <c r="CT12" s="17" t="n"/>
      <c r="CU12" s="16" t="n"/>
      <c r="CV12" s="20" t="n"/>
      <c r="CW12" s="20" t="inlineStr">
        <is>
          <t>None</t>
        </is>
      </c>
      <c r="CX12" s="17" t="n"/>
      <c r="CY12" s="16" t="n"/>
      <c r="CZ12" s="20" t="inlineStr">
        <is>
          <t>WTW Multimeter 3430 with FDO 925</t>
        </is>
      </c>
      <c r="DA12" s="20" t="inlineStr">
        <is>
          <t>None</t>
        </is>
      </c>
      <c r="DB12" s="17" t="n"/>
      <c r="DC12" s="16" t="n"/>
      <c r="DD12" s="20" t="n"/>
      <c r="DE12" s="20" t="inlineStr">
        <is>
          <t>None</t>
        </is>
      </c>
      <c r="DF12" s="17" t="n"/>
      <c r="DG12" s="16" t="n"/>
      <c r="DH12" s="20" t="inlineStr">
        <is>
          <t>SOP 45-09</t>
        </is>
      </c>
      <c r="DI12" s="20" t="inlineStr">
        <is>
          <t>None</t>
        </is>
      </c>
      <c r="DJ12" s="17" t="n"/>
      <c r="DK12" s="16" t="n"/>
      <c r="DL12" s="20" t="inlineStr">
        <is>
          <t>SOP 45-09 (SOP muss noch angepasst werden für VSS)</t>
        </is>
      </c>
      <c r="DM12" s="20" t="inlineStr">
        <is>
          <t>None</t>
        </is>
      </c>
      <c r="DN12" s="17" t="n"/>
      <c r="DO12" s="16" t="n"/>
      <c r="DP12" s="20" t="inlineStr">
        <is>
          <t>IC Organic Acids</t>
        </is>
      </c>
      <c r="DQ12" s="20" t="inlineStr">
        <is>
          <t>None</t>
        </is>
      </c>
      <c r="DR12" s="17" t="n"/>
      <c r="DS12" s="16" t="n"/>
      <c r="DT12" s="20" t="inlineStr">
        <is>
          <t>IC Organic Acids</t>
        </is>
      </c>
      <c r="DU12" s="20" t="inlineStr">
        <is>
          <t>None</t>
        </is>
      </c>
      <c r="DV12" s="17" t="n"/>
      <c r="DW12" s="16" t="n"/>
      <c r="DX12" s="20" t="inlineStr">
        <is>
          <t>IC Organic Acids</t>
        </is>
      </c>
      <c r="DY12" s="20" t="inlineStr">
        <is>
          <t>None</t>
        </is>
      </c>
      <c r="DZ12" s="17" t="n"/>
      <c r="EA12" s="16" t="n"/>
      <c r="EB12" s="20" t="inlineStr">
        <is>
          <t>IC Organic Acids</t>
        </is>
      </c>
      <c r="EC12" s="20" t="inlineStr">
        <is>
          <t>None</t>
        </is>
      </c>
      <c r="ED12" s="17" t="n"/>
      <c r="EE12" s="16" t="n"/>
      <c r="EF12" s="20" t="inlineStr">
        <is>
          <t>IC Organic Acids</t>
        </is>
      </c>
      <c r="EG12" s="20" t="inlineStr">
        <is>
          <t>None</t>
        </is>
      </c>
      <c r="EH12" s="17" t="n"/>
      <c r="EI12" s="16" t="n"/>
      <c r="EJ12" s="20" t="inlineStr">
        <is>
          <t>IC Organic Acids</t>
        </is>
      </c>
      <c r="EK12" s="20" t="inlineStr">
        <is>
          <t>None</t>
        </is>
      </c>
      <c r="EL12" s="17" t="n"/>
      <c r="EM12" s="16" t="n"/>
      <c r="EN12" s="20" t="inlineStr">
        <is>
          <t>IC Organic Acids</t>
        </is>
      </c>
      <c r="EO12" s="20" t="inlineStr">
        <is>
          <t>None</t>
        </is>
      </c>
      <c r="EP12" s="17" t="n"/>
      <c r="EQ12" s="16" t="n"/>
      <c r="ER12" s="20" t="inlineStr">
        <is>
          <t>IC Organic Acids</t>
        </is>
      </c>
      <c r="ES12" s="20" t="inlineStr">
        <is>
          <t>None</t>
        </is>
      </c>
      <c r="ET12" s="17" t="n"/>
      <c r="EU12" s="16" t="n"/>
      <c r="EV12" s="20" t="inlineStr">
        <is>
          <t>LC-MS</t>
        </is>
      </c>
      <c r="EW12" s="20" t="inlineStr">
        <is>
          <t>None</t>
        </is>
      </c>
      <c r="EX12" s="17" t="n"/>
      <c r="EY12" s="21" t="n"/>
      <c r="EZ12">
        <f>CONCATENATE(A12,B12)</f>
        <v/>
      </c>
      <c r="FA12">
        <f>CONCATENATE(SamplesX!A12,SamplesX!B12)</f>
        <v/>
      </c>
      <c r="FC12">
        <f>MATCH(EZ12,FA1:FA1008,0)</f>
        <v/>
      </c>
    </row>
    <row r="13">
      <c r="A13" s="16" t="inlineStr">
        <is>
          <t>BP</t>
        </is>
      </c>
      <c r="B13" s="17" t="inlineStr">
        <is>
          <t>25005</t>
        </is>
      </c>
      <c r="C13" s="10">
        <f>IF(ISNUMBER(FC13),INDIRECT("SamplesX!C"&amp;FC13),IF(ISNUMBER(FD13),INDIRECT("SamplesY!C"&amp;FD13),""))</f>
        <v/>
      </c>
      <c r="D13" s="12">
        <f>IF(ISNUMBER(FC13),INDIRECT("SamplesX!D"&amp;FC13),IF(ISNUMBER(FD13),INDIRECT("SamplesY!D"&amp;FD13),""))</f>
        <v/>
      </c>
      <c r="E13" s="12">
        <f>IF(ISNUMBER(FC13),INDIRECT("SamplesX!E"&amp;FC13),IF(ISNUMBER(FD13),INDIRECT("SamplesY!E"&amp;FD13),""))</f>
        <v/>
      </c>
      <c r="F13" s="11">
        <f>IF(ISNUMBER(FC13),INDIRECT("SamplesX!F"&amp;FC13),IF(ISNUMBER(FD13),INDIRECT("SamplesY!F"&amp;FD13),""))</f>
        <v/>
      </c>
      <c r="G13" s="18">
        <f>IF(ISNUMBER(FC13),INDIRECT("SamplesX!G"&amp;FC13),IF(ISNUMBER(FD13),INDIRECT("SamplesY!G"&amp;FD13),""))</f>
        <v/>
      </c>
      <c r="H13" s="19">
        <f>IF(ISNUMBER(FC13),INDIRECT("SamplesX!H"&amp;FC13),IF(ISNUMBER(FD13),INDIRECT("SamplesY!H"&amp;FD13),""))</f>
        <v/>
      </c>
      <c r="I13" s="16" t="n"/>
      <c r="J13" s="16" t="n"/>
      <c r="K13" s="16" t="n"/>
      <c r="L13" s="20" t="n"/>
      <c r="M13" s="20" t="inlineStr">
        <is>
          <t>None</t>
        </is>
      </c>
      <c r="N13" s="17" t="n"/>
      <c r="O13" s="16" t="n"/>
      <c r="P13" s="20" t="inlineStr">
        <is>
          <t>Shimadzu TOC-L</t>
        </is>
      </c>
      <c r="Q13" s="20" t="inlineStr">
        <is>
          <t>None</t>
        </is>
      </c>
      <c r="R13" s="17" t="n"/>
      <c r="S13" s="16" t="n"/>
      <c r="T13" s="20" t="inlineStr">
        <is>
          <t>Shimadzu TOC-L</t>
        </is>
      </c>
      <c r="U13" s="20" t="inlineStr">
        <is>
          <t>None</t>
        </is>
      </c>
      <c r="V13" s="17" t="n"/>
      <c r="W13" s="16" t="n"/>
      <c r="X13" s="20" t="n"/>
      <c r="Y13" s="20" t="inlineStr">
        <is>
          <t>None</t>
        </is>
      </c>
      <c r="Z13" s="17" t="n"/>
      <c r="AA13" s="16" t="n"/>
      <c r="AB13" s="20" t="n"/>
      <c r="AC13" s="20" t="inlineStr">
        <is>
          <t>None</t>
        </is>
      </c>
      <c r="AD13" s="17" t="n"/>
      <c r="AE13" s="16" t="inlineStr">
        <is>
          <t>161</t>
        </is>
      </c>
      <c r="AF13" s="20" t="inlineStr">
        <is>
          <t>IC Anionen</t>
        </is>
      </c>
      <c r="AG13" s="20" t="inlineStr">
        <is>
          <t>None</t>
        </is>
      </c>
      <c r="AH13" s="17" t="inlineStr">
        <is>
          <t>1*5</t>
        </is>
      </c>
      <c r="AI13" s="16" t="n"/>
      <c r="AJ13" s="20" t="n"/>
      <c r="AK13" s="20" t="inlineStr">
        <is>
          <t>None</t>
        </is>
      </c>
      <c r="AL13" s="17" t="n"/>
      <c r="AM13" s="16" t="n"/>
      <c r="AN13" s="20" t="inlineStr">
        <is>
          <t>IC Anionen</t>
        </is>
      </c>
      <c r="AO13" s="20" t="inlineStr">
        <is>
          <t>None</t>
        </is>
      </c>
      <c r="AP13" s="17" t="n"/>
      <c r="AQ13" s="16" t="n"/>
      <c r="AR13" s="20" t="n"/>
      <c r="AS13" s="20" t="inlineStr">
        <is>
          <t>None</t>
        </is>
      </c>
      <c r="AT13" s="17" t="n"/>
      <c r="AU13" s="16" t="inlineStr">
        <is>
          <t>18.0</t>
        </is>
      </c>
      <c r="AV13" s="20" t="inlineStr">
        <is>
          <t>IC Anionen</t>
        </is>
      </c>
      <c r="AW13" s="20" t="inlineStr">
        <is>
          <t>None</t>
        </is>
      </c>
      <c r="AX13" s="17" t="n"/>
      <c r="AY13" s="16" t="inlineStr">
        <is>
          <t>&lt;0.8</t>
        </is>
      </c>
      <c r="AZ13" s="20" t="inlineStr">
        <is>
          <t>IC Anionen</t>
        </is>
      </c>
      <c r="BA13" s="20" t="inlineStr">
        <is>
          <t>None</t>
        </is>
      </c>
      <c r="BB13" s="17" t="n"/>
      <c r="BC13" s="16" t="inlineStr">
        <is>
          <t>108</t>
        </is>
      </c>
      <c r="BD13" s="20" t="inlineStr">
        <is>
          <t>IC Kationen</t>
        </is>
      </c>
      <c r="BE13" s="20" t="inlineStr">
        <is>
          <t>None</t>
        </is>
      </c>
      <c r="BF13" s="17" t="inlineStr">
        <is>
          <t>1*10</t>
        </is>
      </c>
      <c r="BG13" s="16" t="n"/>
      <c r="BH13" s="20" t="n"/>
      <c r="BI13" s="20" t="inlineStr">
        <is>
          <t>None</t>
        </is>
      </c>
      <c r="BJ13" s="17" t="n"/>
      <c r="BK13" s="16" t="inlineStr">
        <is>
          <t>15.7</t>
        </is>
      </c>
      <c r="BL13" s="20" t="inlineStr">
        <is>
          <t>IC Kationen</t>
        </is>
      </c>
      <c r="BM13" s="20" t="inlineStr">
        <is>
          <t>None</t>
        </is>
      </c>
      <c r="BN13" s="17" t="n"/>
      <c r="BO13" s="16" t="inlineStr">
        <is>
          <t>272</t>
        </is>
      </c>
      <c r="BP13" s="20" t="inlineStr">
        <is>
          <t>IC Kationen</t>
        </is>
      </c>
      <c r="BQ13" s="20" t="inlineStr">
        <is>
          <t>None</t>
        </is>
      </c>
      <c r="BR13" s="17" t="inlineStr">
        <is>
          <t>1*10</t>
        </is>
      </c>
      <c r="BS13" s="16" t="inlineStr">
        <is>
          <t>27.2</t>
        </is>
      </c>
      <c r="BT13" s="20" t="inlineStr">
        <is>
          <t>IC Kationen</t>
        </is>
      </c>
      <c r="BU13" s="20" t="inlineStr">
        <is>
          <t>None</t>
        </is>
      </c>
      <c r="BV13" s="17" t="n"/>
      <c r="BW13" s="16" t="n"/>
      <c r="BX13" s="20" t="n"/>
      <c r="BY13" s="20" t="inlineStr">
        <is>
          <t>None</t>
        </is>
      </c>
      <c r="BZ13" s="17" t="n"/>
      <c r="CA13" s="16" t="n"/>
      <c r="CB13" s="20" t="n"/>
      <c r="CC13" s="20" t="inlineStr">
        <is>
          <t>None</t>
        </is>
      </c>
      <c r="CD13" s="17" t="n"/>
      <c r="CE13" s="16" t="n"/>
      <c r="CF13" s="20" t="n"/>
      <c r="CG13" s="20" t="inlineStr">
        <is>
          <t>None</t>
        </is>
      </c>
      <c r="CH13" s="17" t="n"/>
      <c r="CI13" s="16" t="n"/>
      <c r="CJ13" s="20" t="n"/>
      <c r="CK13" s="20" t="inlineStr">
        <is>
          <t>None</t>
        </is>
      </c>
      <c r="CL13" s="17" t="n"/>
      <c r="CM13" s="16" t="n"/>
      <c r="CN13" s="20" t="inlineStr">
        <is>
          <t>SOP 45-34</t>
        </is>
      </c>
      <c r="CO13" s="20" t="inlineStr">
        <is>
          <t>None</t>
        </is>
      </c>
      <c r="CP13" s="17" t="n"/>
      <c r="CQ13" s="16" t="n"/>
      <c r="CR13" s="20" t="n"/>
      <c r="CS13" s="20" t="inlineStr">
        <is>
          <t>None</t>
        </is>
      </c>
      <c r="CT13" s="17" t="n"/>
      <c r="CU13" s="16" t="n"/>
      <c r="CV13" s="20" t="n"/>
      <c r="CW13" s="20" t="inlineStr">
        <is>
          <t>None</t>
        </is>
      </c>
      <c r="CX13" s="17" t="n"/>
      <c r="CY13" s="16" t="n"/>
      <c r="CZ13" s="20" t="inlineStr">
        <is>
          <t>WTW Multimeter 3430 with FDO 925</t>
        </is>
      </c>
      <c r="DA13" s="20" t="inlineStr">
        <is>
          <t>None</t>
        </is>
      </c>
      <c r="DB13" s="17" t="n"/>
      <c r="DC13" s="16" t="n"/>
      <c r="DD13" s="20" t="n"/>
      <c r="DE13" s="20" t="inlineStr">
        <is>
          <t>None</t>
        </is>
      </c>
      <c r="DF13" s="17" t="n"/>
      <c r="DG13" s="16" t="n"/>
      <c r="DH13" s="20" t="inlineStr">
        <is>
          <t>SOP 45-09</t>
        </is>
      </c>
      <c r="DI13" s="20" t="inlineStr">
        <is>
          <t>None</t>
        </is>
      </c>
      <c r="DJ13" s="17" t="n"/>
      <c r="DK13" s="16" t="n"/>
      <c r="DL13" s="20" t="inlineStr">
        <is>
          <t>SOP 45-09 (SOP muss noch angepasst werden für VSS)</t>
        </is>
      </c>
      <c r="DM13" s="20" t="inlineStr">
        <is>
          <t>None</t>
        </is>
      </c>
      <c r="DN13" s="17" t="n"/>
      <c r="DO13" s="16" t="n"/>
      <c r="DP13" s="20" t="inlineStr">
        <is>
          <t>IC Organic Acids</t>
        </is>
      </c>
      <c r="DQ13" s="20" t="inlineStr">
        <is>
          <t>None</t>
        </is>
      </c>
      <c r="DR13" s="17" t="n"/>
      <c r="DS13" s="16" t="n"/>
      <c r="DT13" s="20" t="inlineStr">
        <is>
          <t>IC Organic Acids</t>
        </is>
      </c>
      <c r="DU13" s="20" t="inlineStr">
        <is>
          <t>None</t>
        </is>
      </c>
      <c r="DV13" s="17" t="n"/>
      <c r="DW13" s="16" t="n"/>
      <c r="DX13" s="20" t="inlineStr">
        <is>
          <t>IC Organic Acids</t>
        </is>
      </c>
      <c r="DY13" s="20" t="inlineStr">
        <is>
          <t>None</t>
        </is>
      </c>
      <c r="DZ13" s="17" t="n"/>
      <c r="EA13" s="16" t="n"/>
      <c r="EB13" s="20" t="inlineStr">
        <is>
          <t>IC Organic Acids</t>
        </is>
      </c>
      <c r="EC13" s="20" t="inlineStr">
        <is>
          <t>None</t>
        </is>
      </c>
      <c r="ED13" s="17" t="n"/>
      <c r="EE13" s="16" t="n"/>
      <c r="EF13" s="20" t="inlineStr">
        <is>
          <t>IC Organic Acids</t>
        </is>
      </c>
      <c r="EG13" s="20" t="inlineStr">
        <is>
          <t>None</t>
        </is>
      </c>
      <c r="EH13" s="17" t="n"/>
      <c r="EI13" s="16" t="n"/>
      <c r="EJ13" s="20" t="inlineStr">
        <is>
          <t>IC Organic Acids</t>
        </is>
      </c>
      <c r="EK13" s="20" t="inlineStr">
        <is>
          <t>None</t>
        </is>
      </c>
      <c r="EL13" s="17" t="n"/>
      <c r="EM13" s="16" t="n"/>
      <c r="EN13" s="20" t="inlineStr">
        <is>
          <t>IC Organic Acids</t>
        </is>
      </c>
      <c r="EO13" s="20" t="inlineStr">
        <is>
          <t>None</t>
        </is>
      </c>
      <c r="EP13" s="17" t="n"/>
      <c r="EQ13" s="16" t="n"/>
      <c r="ER13" s="20" t="inlineStr">
        <is>
          <t>IC Organic Acids</t>
        </is>
      </c>
      <c r="ES13" s="20" t="inlineStr">
        <is>
          <t>None</t>
        </is>
      </c>
      <c r="ET13" s="17" t="n"/>
      <c r="EU13" s="16" t="n"/>
      <c r="EV13" s="20" t="inlineStr">
        <is>
          <t>LC-MS</t>
        </is>
      </c>
      <c r="EW13" s="20" t="inlineStr">
        <is>
          <t>None</t>
        </is>
      </c>
      <c r="EX13" s="17" t="n"/>
      <c r="EY13" s="21" t="n"/>
      <c r="EZ13">
        <f>CONCATENATE(A13,B13)</f>
        <v/>
      </c>
      <c r="FA13">
        <f>CONCATENATE(SamplesX!A13,SamplesX!B13)</f>
        <v/>
      </c>
      <c r="FC13">
        <f>MATCH(EZ13,FA1:FA1008,0)</f>
        <v/>
      </c>
    </row>
    <row r="14">
      <c r="A14" s="16" t="inlineStr">
        <is>
          <t>BP</t>
        </is>
      </c>
      <c r="B14" s="17" t="inlineStr">
        <is>
          <t>25006</t>
        </is>
      </c>
      <c r="C14" s="10">
        <f>IF(ISNUMBER(FC14),INDIRECT("SamplesX!C"&amp;FC14),IF(ISNUMBER(FD14),INDIRECT("SamplesY!C"&amp;FD14),""))</f>
        <v/>
      </c>
      <c r="D14" s="12">
        <f>IF(ISNUMBER(FC14),INDIRECT("SamplesX!D"&amp;FC14),IF(ISNUMBER(FD14),INDIRECT("SamplesY!D"&amp;FD14),""))</f>
        <v/>
      </c>
      <c r="E14" s="12">
        <f>IF(ISNUMBER(FC14),INDIRECT("SamplesX!E"&amp;FC14),IF(ISNUMBER(FD14),INDIRECT("SamplesY!E"&amp;FD14),""))</f>
        <v/>
      </c>
      <c r="F14" s="11">
        <f>IF(ISNUMBER(FC14),INDIRECT("SamplesX!F"&amp;FC14),IF(ISNUMBER(FD14),INDIRECT("SamplesY!F"&amp;FD14),""))</f>
        <v/>
      </c>
      <c r="G14" s="18">
        <f>IF(ISNUMBER(FC14),INDIRECT("SamplesX!G"&amp;FC14),IF(ISNUMBER(FD14),INDIRECT("SamplesY!G"&amp;FD14),""))</f>
        <v/>
      </c>
      <c r="H14" s="19">
        <f>IF(ISNUMBER(FC14),INDIRECT("SamplesX!H"&amp;FC14),IF(ISNUMBER(FD14),INDIRECT("SamplesY!H"&amp;FD14),""))</f>
        <v/>
      </c>
      <c r="I14" s="16" t="n"/>
      <c r="J14" s="16" t="n"/>
      <c r="K14" s="16" t="n"/>
      <c r="L14" s="20" t="n"/>
      <c r="M14" s="20" t="inlineStr">
        <is>
          <t>None</t>
        </is>
      </c>
      <c r="N14" s="17" t="n"/>
      <c r="O14" s="16" t="n"/>
      <c r="P14" s="20" t="inlineStr">
        <is>
          <t>Shimadzu TOC-L</t>
        </is>
      </c>
      <c r="Q14" s="20" t="inlineStr">
        <is>
          <t>None</t>
        </is>
      </c>
      <c r="R14" s="17" t="n"/>
      <c r="S14" s="16" t="n"/>
      <c r="T14" s="20" t="inlineStr">
        <is>
          <t>Shimadzu TOC-L</t>
        </is>
      </c>
      <c r="U14" s="20" t="inlineStr">
        <is>
          <t>None</t>
        </is>
      </c>
      <c r="V14" s="17" t="n"/>
      <c r="W14" s="16" t="n"/>
      <c r="X14" s="20" t="n"/>
      <c r="Y14" s="20" t="inlineStr">
        <is>
          <t>None</t>
        </is>
      </c>
      <c r="Z14" s="17" t="n"/>
      <c r="AA14" s="16" t="n"/>
      <c r="AB14" s="20" t="n"/>
      <c r="AC14" s="20" t="inlineStr">
        <is>
          <t>None</t>
        </is>
      </c>
      <c r="AD14" s="17" t="n"/>
      <c r="AE14" s="16" t="inlineStr">
        <is>
          <t>174</t>
        </is>
      </c>
      <c r="AF14" s="20" t="inlineStr">
        <is>
          <t>IC Anionen</t>
        </is>
      </c>
      <c r="AG14" s="20" t="inlineStr">
        <is>
          <t>None</t>
        </is>
      </c>
      <c r="AH14" s="17" t="n"/>
      <c r="AI14" s="16" t="n"/>
      <c r="AJ14" s="20" t="n"/>
      <c r="AK14" s="20" t="inlineStr">
        <is>
          <t>None</t>
        </is>
      </c>
      <c r="AL14" s="17" t="n"/>
      <c r="AM14" s="16" t="n"/>
      <c r="AN14" s="20" t="inlineStr">
        <is>
          <t>IC Anionen</t>
        </is>
      </c>
      <c r="AO14" s="20" t="inlineStr">
        <is>
          <t>None</t>
        </is>
      </c>
      <c r="AP14" s="17" t="n"/>
      <c r="AQ14" s="16" t="n"/>
      <c r="AR14" s="20" t="n"/>
      <c r="AS14" s="20" t="inlineStr">
        <is>
          <t>None</t>
        </is>
      </c>
      <c r="AT14" s="17" t="n"/>
      <c r="AU14" s="16" t="inlineStr">
        <is>
          <t>18.6</t>
        </is>
      </c>
      <c r="AV14" s="20" t="inlineStr">
        <is>
          <t>IC Anionen</t>
        </is>
      </c>
      <c r="AW14" s="20" t="inlineStr">
        <is>
          <t>None</t>
        </is>
      </c>
      <c r="AX14" s="17" t="n"/>
      <c r="AY14" s="16" t="inlineStr">
        <is>
          <t>&lt;0.8</t>
        </is>
      </c>
      <c r="AZ14" s="20" t="inlineStr">
        <is>
          <t>IC Anionen</t>
        </is>
      </c>
      <c r="BA14" s="20" t="inlineStr">
        <is>
          <t>None</t>
        </is>
      </c>
      <c r="BB14" s="17" t="n"/>
      <c r="BC14" s="16" t="inlineStr">
        <is>
          <t>107</t>
        </is>
      </c>
      <c r="BD14" s="20" t="inlineStr">
        <is>
          <t>IC Kationen</t>
        </is>
      </c>
      <c r="BE14" s="20" t="inlineStr">
        <is>
          <t>None</t>
        </is>
      </c>
      <c r="BF14" s="17" t="n"/>
      <c r="BG14" s="16" t="inlineStr">
        <is>
          <t>32.0</t>
        </is>
      </c>
      <c r="BH14" s="20" t="inlineStr">
        <is>
          <t>IC Kationen</t>
        </is>
      </c>
      <c r="BI14" s="20" t="inlineStr">
        <is>
          <t>None</t>
        </is>
      </c>
      <c r="BJ14" s="17" t="n"/>
      <c r="BK14" s="16" t="inlineStr">
        <is>
          <t>16.7</t>
        </is>
      </c>
      <c r="BL14" s="20" t="inlineStr">
        <is>
          <t>IC Kationen</t>
        </is>
      </c>
      <c r="BM14" s="20" t="inlineStr">
        <is>
          <t>None</t>
        </is>
      </c>
      <c r="BN14" s="17" t="n"/>
      <c r="BO14" s="16" t="inlineStr">
        <is>
          <t>247</t>
        </is>
      </c>
      <c r="BP14" s="20" t="inlineStr">
        <is>
          <t>IC Kationen</t>
        </is>
      </c>
      <c r="BQ14" s="20" t="inlineStr">
        <is>
          <t>None</t>
        </is>
      </c>
      <c r="BR14" s="17" t="n"/>
      <c r="BS14" s="16" t="inlineStr">
        <is>
          <t>28.7</t>
        </is>
      </c>
      <c r="BT14" s="20" t="inlineStr">
        <is>
          <t>IC Kationen</t>
        </is>
      </c>
      <c r="BU14" s="20" t="inlineStr">
        <is>
          <t>None</t>
        </is>
      </c>
      <c r="BV14" s="17" t="n"/>
      <c r="BW14" s="16" t="n"/>
      <c r="BX14" s="20" t="n"/>
      <c r="BY14" s="20" t="inlineStr">
        <is>
          <t>None</t>
        </is>
      </c>
      <c r="BZ14" s="17" t="n"/>
      <c r="CA14" s="16" t="n"/>
      <c r="CB14" s="20" t="n"/>
      <c r="CC14" s="20" t="inlineStr">
        <is>
          <t>None</t>
        </is>
      </c>
      <c r="CD14" s="17" t="n"/>
      <c r="CE14" s="16" t="n"/>
      <c r="CF14" s="20" t="n"/>
      <c r="CG14" s="20" t="inlineStr">
        <is>
          <t>None</t>
        </is>
      </c>
      <c r="CH14" s="17" t="n"/>
      <c r="CI14" s="16" t="n"/>
      <c r="CJ14" s="20" t="n"/>
      <c r="CK14" s="20" t="inlineStr">
        <is>
          <t>None</t>
        </is>
      </c>
      <c r="CL14" s="17" t="n"/>
      <c r="CM14" s="16" t="n"/>
      <c r="CN14" s="20" t="inlineStr">
        <is>
          <t>SOP 45-34</t>
        </is>
      </c>
      <c r="CO14" s="20" t="inlineStr">
        <is>
          <t>None</t>
        </is>
      </c>
      <c r="CP14" s="17" t="n"/>
      <c r="CQ14" s="16" t="n"/>
      <c r="CR14" s="20" t="n"/>
      <c r="CS14" s="20" t="inlineStr">
        <is>
          <t>None</t>
        </is>
      </c>
      <c r="CT14" s="17" t="n"/>
      <c r="CU14" s="16" t="n"/>
      <c r="CV14" s="20" t="n"/>
      <c r="CW14" s="20" t="inlineStr">
        <is>
          <t>None</t>
        </is>
      </c>
      <c r="CX14" s="17" t="n"/>
      <c r="CY14" s="16" t="n"/>
      <c r="CZ14" s="20" t="inlineStr">
        <is>
          <t>WTW Multimeter 3430 with FDO 925</t>
        </is>
      </c>
      <c r="DA14" s="20" t="inlineStr">
        <is>
          <t>None</t>
        </is>
      </c>
      <c r="DB14" s="17" t="n"/>
      <c r="DC14" s="16" t="n"/>
      <c r="DD14" s="20" t="n"/>
      <c r="DE14" s="20" t="inlineStr">
        <is>
          <t>None</t>
        </is>
      </c>
      <c r="DF14" s="17" t="n"/>
      <c r="DG14" s="16" t="n"/>
      <c r="DH14" s="20" t="inlineStr">
        <is>
          <t>SOP 45-09</t>
        </is>
      </c>
      <c r="DI14" s="20" t="inlineStr">
        <is>
          <t>None</t>
        </is>
      </c>
      <c r="DJ14" s="17" t="n"/>
      <c r="DK14" s="16" t="n"/>
      <c r="DL14" s="20" t="inlineStr">
        <is>
          <t>SOP 45-09 (SOP muss noch angepasst werden für VSS)</t>
        </is>
      </c>
      <c r="DM14" s="20" t="inlineStr">
        <is>
          <t>None</t>
        </is>
      </c>
      <c r="DN14" s="17" t="n"/>
      <c r="DO14" s="16" t="n"/>
      <c r="DP14" s="20" t="inlineStr">
        <is>
          <t>IC Organic Acids</t>
        </is>
      </c>
      <c r="DQ14" s="20" t="inlineStr">
        <is>
          <t>None</t>
        </is>
      </c>
      <c r="DR14" s="17" t="n"/>
      <c r="DS14" s="16" t="n"/>
      <c r="DT14" s="20" t="inlineStr">
        <is>
          <t>IC Organic Acids</t>
        </is>
      </c>
      <c r="DU14" s="20" t="inlineStr">
        <is>
          <t>None</t>
        </is>
      </c>
      <c r="DV14" s="17" t="n"/>
      <c r="DW14" s="16" t="n"/>
      <c r="DX14" s="20" t="inlineStr">
        <is>
          <t>IC Organic Acids</t>
        </is>
      </c>
      <c r="DY14" s="20" t="inlineStr">
        <is>
          <t>None</t>
        </is>
      </c>
      <c r="DZ14" s="17" t="n"/>
      <c r="EA14" s="16" t="n"/>
      <c r="EB14" s="20" t="inlineStr">
        <is>
          <t>IC Organic Acids</t>
        </is>
      </c>
      <c r="EC14" s="20" t="inlineStr">
        <is>
          <t>None</t>
        </is>
      </c>
      <c r="ED14" s="17" t="n"/>
      <c r="EE14" s="16" t="n"/>
      <c r="EF14" s="20" t="inlineStr">
        <is>
          <t>IC Organic Acids</t>
        </is>
      </c>
      <c r="EG14" s="20" t="inlineStr">
        <is>
          <t>None</t>
        </is>
      </c>
      <c r="EH14" s="17" t="n"/>
      <c r="EI14" s="16" t="n"/>
      <c r="EJ14" s="20" t="inlineStr">
        <is>
          <t>IC Organic Acids</t>
        </is>
      </c>
      <c r="EK14" s="20" t="inlineStr">
        <is>
          <t>None</t>
        </is>
      </c>
      <c r="EL14" s="17" t="n"/>
      <c r="EM14" s="16" t="n"/>
      <c r="EN14" s="20" t="inlineStr">
        <is>
          <t>IC Organic Acids</t>
        </is>
      </c>
      <c r="EO14" s="20" t="inlineStr">
        <is>
          <t>None</t>
        </is>
      </c>
      <c r="EP14" s="17" t="n"/>
      <c r="EQ14" s="16" t="n"/>
      <c r="ER14" s="20" t="inlineStr">
        <is>
          <t>IC Organic Acids</t>
        </is>
      </c>
      <c r="ES14" s="20" t="inlineStr">
        <is>
          <t>None</t>
        </is>
      </c>
      <c r="ET14" s="17" t="n"/>
      <c r="EU14" s="16" t="n"/>
      <c r="EV14" s="20" t="inlineStr">
        <is>
          <t>LC-MS</t>
        </is>
      </c>
      <c r="EW14" s="20" t="inlineStr">
        <is>
          <t>None</t>
        </is>
      </c>
      <c r="EX14" s="17" t="n"/>
      <c r="EY14" s="21" t="n"/>
      <c r="EZ14">
        <f>CONCATENATE(A14,B14)</f>
        <v/>
      </c>
      <c r="FA14">
        <f>CONCATENATE(SamplesX!A14,SamplesX!B14)</f>
        <v/>
      </c>
      <c r="FC14">
        <f>MATCH(EZ14,FA1:FA1008,0)</f>
        <v/>
      </c>
    </row>
    <row r="15">
      <c r="A15" s="16" t="inlineStr">
        <is>
          <t>BP</t>
        </is>
      </c>
      <c r="B15" s="17" t="inlineStr">
        <is>
          <t>25007</t>
        </is>
      </c>
      <c r="C15" s="10">
        <f>IF(ISNUMBER(FC15),INDIRECT("SamplesX!C"&amp;FC15),IF(ISNUMBER(FD15),INDIRECT("SamplesY!C"&amp;FD15),""))</f>
        <v/>
      </c>
      <c r="D15" s="12">
        <f>IF(ISNUMBER(FC15),INDIRECT("SamplesX!D"&amp;FC15),IF(ISNUMBER(FD15),INDIRECT("SamplesY!D"&amp;FD15),""))</f>
        <v/>
      </c>
      <c r="E15" s="12">
        <f>IF(ISNUMBER(FC15),INDIRECT("SamplesX!E"&amp;FC15),IF(ISNUMBER(FD15),INDIRECT("SamplesY!E"&amp;FD15),""))</f>
        <v/>
      </c>
      <c r="F15" s="11">
        <f>IF(ISNUMBER(FC15),INDIRECT("SamplesX!F"&amp;FC15),IF(ISNUMBER(FD15),INDIRECT("SamplesY!F"&amp;FD15),""))</f>
        <v/>
      </c>
      <c r="G15" s="18">
        <f>IF(ISNUMBER(FC15),INDIRECT("SamplesX!G"&amp;FC15),IF(ISNUMBER(FD15),INDIRECT("SamplesY!G"&amp;FD15),""))</f>
        <v/>
      </c>
      <c r="H15" s="19">
        <f>IF(ISNUMBER(FC15),INDIRECT("SamplesX!H"&amp;FC15),IF(ISNUMBER(FD15),INDIRECT("SamplesY!H"&amp;FD15),""))</f>
        <v/>
      </c>
      <c r="I15" s="16" t="n"/>
      <c r="J15" s="16" t="n"/>
      <c r="K15" s="16" t="n"/>
      <c r="L15" s="20" t="n"/>
      <c r="M15" s="20" t="inlineStr">
        <is>
          <t>None</t>
        </is>
      </c>
      <c r="N15" s="17" t="n"/>
      <c r="O15" s="16" t="n"/>
      <c r="P15" s="20" t="inlineStr">
        <is>
          <t>Shimadzu TOC-L</t>
        </is>
      </c>
      <c r="Q15" s="20" t="inlineStr">
        <is>
          <t>None</t>
        </is>
      </c>
      <c r="R15" s="17" t="n"/>
      <c r="S15" s="16" t="n"/>
      <c r="T15" s="20" t="inlineStr">
        <is>
          <t>Shimadzu TOC-L</t>
        </is>
      </c>
      <c r="U15" s="20" t="inlineStr">
        <is>
          <t>None</t>
        </is>
      </c>
      <c r="V15" s="17" t="n"/>
      <c r="W15" s="16" t="n"/>
      <c r="X15" s="20" t="n"/>
      <c r="Y15" s="20" t="inlineStr">
        <is>
          <t>None</t>
        </is>
      </c>
      <c r="Z15" s="17" t="n"/>
      <c r="AA15" s="16" t="n"/>
      <c r="AB15" s="20" t="n"/>
      <c r="AC15" s="20" t="inlineStr">
        <is>
          <t>None</t>
        </is>
      </c>
      <c r="AD15" s="17" t="n"/>
      <c r="AE15" s="16" t="inlineStr">
        <is>
          <t>168</t>
        </is>
      </c>
      <c r="AF15" s="20" t="inlineStr">
        <is>
          <t>IC Anionen</t>
        </is>
      </c>
      <c r="AG15" s="20" t="inlineStr">
        <is>
          <t>None</t>
        </is>
      </c>
      <c r="AH15" s="17" t="n"/>
      <c r="AI15" s="16" t="n"/>
      <c r="AJ15" s="20" t="n"/>
      <c r="AK15" s="20" t="inlineStr">
        <is>
          <t>None</t>
        </is>
      </c>
      <c r="AL15" s="17" t="n"/>
      <c r="AM15" s="16" t="n"/>
      <c r="AN15" s="20" t="inlineStr">
        <is>
          <t>IC Anionen</t>
        </is>
      </c>
      <c r="AO15" s="20" t="inlineStr">
        <is>
          <t>None</t>
        </is>
      </c>
      <c r="AP15" s="17" t="n"/>
      <c r="AQ15" s="16" t="n"/>
      <c r="AR15" s="20" t="n"/>
      <c r="AS15" s="20" t="inlineStr">
        <is>
          <t>None</t>
        </is>
      </c>
      <c r="AT15" s="17" t="n"/>
      <c r="AU15" s="16" t="inlineStr">
        <is>
          <t>18.2</t>
        </is>
      </c>
      <c r="AV15" s="20" t="inlineStr">
        <is>
          <t>IC Anionen</t>
        </is>
      </c>
      <c r="AW15" s="20" t="inlineStr">
        <is>
          <t>None</t>
        </is>
      </c>
      <c r="AX15" s="17" t="n"/>
      <c r="AY15" s="16" t="inlineStr">
        <is>
          <t>&lt;0.8</t>
        </is>
      </c>
      <c r="AZ15" s="20" t="inlineStr">
        <is>
          <t>IC Anionen</t>
        </is>
      </c>
      <c r="BA15" s="20" t="inlineStr">
        <is>
          <t>None</t>
        </is>
      </c>
      <c r="BB15" s="17" t="n"/>
      <c r="BC15" s="16" t="inlineStr">
        <is>
          <t>115</t>
        </is>
      </c>
      <c r="BD15" s="20" t="inlineStr">
        <is>
          <t>IC Kationen</t>
        </is>
      </c>
      <c r="BE15" s="20" t="inlineStr">
        <is>
          <t>None</t>
        </is>
      </c>
      <c r="BF15" s="17" t="n"/>
      <c r="BG15" s="16" t="inlineStr">
        <is>
          <t>33.0</t>
        </is>
      </c>
      <c r="BH15" s="20" t="inlineStr">
        <is>
          <t>IC Kationen</t>
        </is>
      </c>
      <c r="BI15" s="20" t="inlineStr">
        <is>
          <t>None</t>
        </is>
      </c>
      <c r="BJ15" s="17" t="n"/>
      <c r="BK15" s="16" t="inlineStr">
        <is>
          <t>16.5</t>
        </is>
      </c>
      <c r="BL15" s="20" t="inlineStr">
        <is>
          <t>IC Kationen</t>
        </is>
      </c>
      <c r="BM15" s="20" t="inlineStr">
        <is>
          <t>None</t>
        </is>
      </c>
      <c r="BN15" s="17" t="n"/>
      <c r="BO15" s="16" t="inlineStr">
        <is>
          <t>240</t>
        </is>
      </c>
      <c r="BP15" s="20" t="inlineStr">
        <is>
          <t>IC Kationen</t>
        </is>
      </c>
      <c r="BQ15" s="20" t="inlineStr">
        <is>
          <t>None</t>
        </is>
      </c>
      <c r="BR15" s="17" t="n"/>
      <c r="BS15" s="16" t="inlineStr">
        <is>
          <t>27.3</t>
        </is>
      </c>
      <c r="BT15" s="20" t="inlineStr">
        <is>
          <t>IC Kationen</t>
        </is>
      </c>
      <c r="BU15" s="20" t="inlineStr">
        <is>
          <t>None</t>
        </is>
      </c>
      <c r="BV15" s="17" t="n"/>
      <c r="BW15" s="16" t="n"/>
      <c r="BX15" s="20" t="n"/>
      <c r="BY15" s="20" t="inlineStr">
        <is>
          <t>None</t>
        </is>
      </c>
      <c r="BZ15" s="17" t="n"/>
      <c r="CA15" s="16" t="n"/>
      <c r="CB15" s="20" t="n"/>
      <c r="CC15" s="20" t="inlineStr">
        <is>
          <t>None</t>
        </is>
      </c>
      <c r="CD15" s="17" t="n"/>
      <c r="CE15" s="16" t="n"/>
      <c r="CF15" s="20" t="n"/>
      <c r="CG15" s="20" t="inlineStr">
        <is>
          <t>None</t>
        </is>
      </c>
      <c r="CH15" s="17" t="n"/>
      <c r="CI15" s="16" t="n"/>
      <c r="CJ15" s="20" t="n"/>
      <c r="CK15" s="20" t="inlineStr">
        <is>
          <t>None</t>
        </is>
      </c>
      <c r="CL15" s="17" t="n"/>
      <c r="CM15" s="16" t="n"/>
      <c r="CN15" s="20" t="inlineStr">
        <is>
          <t>SOP 45-34</t>
        </is>
      </c>
      <c r="CO15" s="20" t="inlineStr">
        <is>
          <t>None</t>
        </is>
      </c>
      <c r="CP15" s="17" t="n"/>
      <c r="CQ15" s="16" t="n"/>
      <c r="CR15" s="20" t="n"/>
      <c r="CS15" s="20" t="inlineStr">
        <is>
          <t>None</t>
        </is>
      </c>
      <c r="CT15" s="17" t="n"/>
      <c r="CU15" s="16" t="n"/>
      <c r="CV15" s="20" t="n"/>
      <c r="CW15" s="20" t="inlineStr">
        <is>
          <t>None</t>
        </is>
      </c>
      <c r="CX15" s="17" t="n"/>
      <c r="CY15" s="16" t="n"/>
      <c r="CZ15" s="20" t="inlineStr">
        <is>
          <t>WTW Multimeter 3430 with FDO 925</t>
        </is>
      </c>
      <c r="DA15" s="20" t="inlineStr">
        <is>
          <t>None</t>
        </is>
      </c>
      <c r="DB15" s="17" t="n"/>
      <c r="DC15" s="16" t="n"/>
      <c r="DD15" s="20" t="n"/>
      <c r="DE15" s="20" t="inlineStr">
        <is>
          <t>None</t>
        </is>
      </c>
      <c r="DF15" s="17" t="n"/>
      <c r="DG15" s="16" t="n"/>
      <c r="DH15" s="20" t="inlineStr">
        <is>
          <t>SOP 45-09</t>
        </is>
      </c>
      <c r="DI15" s="20" t="inlineStr">
        <is>
          <t>None</t>
        </is>
      </c>
      <c r="DJ15" s="17" t="n"/>
      <c r="DK15" s="16" t="n"/>
      <c r="DL15" s="20" t="inlineStr">
        <is>
          <t>SOP 45-09 (SOP muss noch angepasst werden für VSS)</t>
        </is>
      </c>
      <c r="DM15" s="20" t="inlineStr">
        <is>
          <t>None</t>
        </is>
      </c>
      <c r="DN15" s="17" t="n"/>
      <c r="DO15" s="16" t="n"/>
      <c r="DP15" s="20" t="inlineStr">
        <is>
          <t>IC Organic Acids</t>
        </is>
      </c>
      <c r="DQ15" s="20" t="inlineStr">
        <is>
          <t>None</t>
        </is>
      </c>
      <c r="DR15" s="17" t="n"/>
      <c r="DS15" s="16" t="n"/>
      <c r="DT15" s="20" t="inlineStr">
        <is>
          <t>IC Organic Acids</t>
        </is>
      </c>
      <c r="DU15" s="20" t="inlineStr">
        <is>
          <t>None</t>
        </is>
      </c>
      <c r="DV15" s="17" t="n"/>
      <c r="DW15" s="16" t="n"/>
      <c r="DX15" s="20" t="inlineStr">
        <is>
          <t>IC Organic Acids</t>
        </is>
      </c>
      <c r="DY15" s="20" t="inlineStr">
        <is>
          <t>None</t>
        </is>
      </c>
      <c r="DZ15" s="17" t="n"/>
      <c r="EA15" s="16" t="n"/>
      <c r="EB15" s="20" t="inlineStr">
        <is>
          <t>IC Organic Acids</t>
        </is>
      </c>
      <c r="EC15" s="20" t="inlineStr">
        <is>
          <t>None</t>
        </is>
      </c>
      <c r="ED15" s="17" t="n"/>
      <c r="EE15" s="16" t="n"/>
      <c r="EF15" s="20" t="inlineStr">
        <is>
          <t>IC Organic Acids</t>
        </is>
      </c>
      <c r="EG15" s="20" t="inlineStr">
        <is>
          <t>None</t>
        </is>
      </c>
      <c r="EH15" s="17" t="n"/>
      <c r="EI15" s="16" t="n"/>
      <c r="EJ15" s="20" t="inlineStr">
        <is>
          <t>IC Organic Acids</t>
        </is>
      </c>
      <c r="EK15" s="20" t="inlineStr">
        <is>
          <t>None</t>
        </is>
      </c>
      <c r="EL15" s="17" t="n"/>
      <c r="EM15" s="16" t="n"/>
      <c r="EN15" s="20" t="inlineStr">
        <is>
          <t>IC Organic Acids</t>
        </is>
      </c>
      <c r="EO15" s="20" t="inlineStr">
        <is>
          <t>None</t>
        </is>
      </c>
      <c r="EP15" s="17" t="n"/>
      <c r="EQ15" s="16" t="n"/>
      <c r="ER15" s="20" t="inlineStr">
        <is>
          <t>IC Organic Acids</t>
        </is>
      </c>
      <c r="ES15" s="20" t="inlineStr">
        <is>
          <t>None</t>
        </is>
      </c>
      <c r="ET15" s="17" t="n"/>
      <c r="EU15" s="16" t="n"/>
      <c r="EV15" s="20" t="inlineStr">
        <is>
          <t>LC-MS</t>
        </is>
      </c>
      <c r="EW15" s="20" t="inlineStr">
        <is>
          <t>None</t>
        </is>
      </c>
      <c r="EX15" s="17" t="n"/>
      <c r="EY15" s="21" t="n"/>
      <c r="EZ15">
        <f>CONCATENATE(A15,B15)</f>
        <v/>
      </c>
      <c r="FA15">
        <f>CONCATENATE(SamplesX!A15,SamplesX!B15)</f>
        <v/>
      </c>
      <c r="FC15">
        <f>MATCH(EZ15,FA1:FA1008,0)</f>
        <v/>
      </c>
    </row>
    <row r="16">
      <c r="A16" s="16" t="inlineStr">
        <is>
          <t>BP</t>
        </is>
      </c>
      <c r="B16" s="17" t="inlineStr">
        <is>
          <t>25008</t>
        </is>
      </c>
      <c r="C16" s="10">
        <f>IF(ISNUMBER(FC16),INDIRECT("SamplesX!C"&amp;FC16),IF(ISNUMBER(FD16),INDIRECT("SamplesY!C"&amp;FD16),""))</f>
        <v/>
      </c>
      <c r="D16" s="12">
        <f>IF(ISNUMBER(FC16),INDIRECT("SamplesX!D"&amp;FC16),IF(ISNUMBER(FD16),INDIRECT("SamplesY!D"&amp;FD16),""))</f>
        <v/>
      </c>
      <c r="E16" s="12">
        <f>IF(ISNUMBER(FC16),INDIRECT("SamplesX!E"&amp;FC16),IF(ISNUMBER(FD16),INDIRECT("SamplesY!E"&amp;FD16),""))</f>
        <v/>
      </c>
      <c r="F16" s="11">
        <f>IF(ISNUMBER(FC16),INDIRECT("SamplesX!F"&amp;FC16),IF(ISNUMBER(FD16),INDIRECT("SamplesY!F"&amp;FD16),""))</f>
        <v/>
      </c>
      <c r="G16" s="18">
        <f>IF(ISNUMBER(FC16),INDIRECT("SamplesX!G"&amp;FC16),IF(ISNUMBER(FD16),INDIRECT("SamplesY!G"&amp;FD16),""))</f>
        <v/>
      </c>
      <c r="H16" s="19">
        <f>IF(ISNUMBER(FC16),INDIRECT("SamplesX!H"&amp;FC16),IF(ISNUMBER(FD16),INDIRECT("SamplesY!H"&amp;FD16),""))</f>
        <v/>
      </c>
      <c r="I16" s="16" t="n"/>
      <c r="J16" s="16" t="n"/>
      <c r="K16" s="16" t="n"/>
      <c r="L16" s="20" t="n"/>
      <c r="M16" s="20" t="inlineStr">
        <is>
          <t>None</t>
        </is>
      </c>
      <c r="N16" s="17" t="n"/>
      <c r="O16" s="16" t="n"/>
      <c r="P16" s="20" t="inlineStr">
        <is>
          <t>Shimadzu TOC-L</t>
        </is>
      </c>
      <c r="Q16" s="20" t="inlineStr">
        <is>
          <t>None</t>
        </is>
      </c>
      <c r="R16" s="17" t="n"/>
      <c r="S16" s="16" t="n"/>
      <c r="T16" s="20" t="inlineStr">
        <is>
          <t>Shimadzu TOC-L</t>
        </is>
      </c>
      <c r="U16" s="20" t="inlineStr">
        <is>
          <t>None</t>
        </is>
      </c>
      <c r="V16" s="17" t="n"/>
      <c r="W16" s="16" t="n"/>
      <c r="X16" s="20" t="n"/>
      <c r="Y16" s="20" t="inlineStr">
        <is>
          <t>None</t>
        </is>
      </c>
      <c r="Z16" s="17" t="n"/>
      <c r="AA16" s="16" t="n"/>
      <c r="AB16" s="20" t="n"/>
      <c r="AC16" s="20" t="inlineStr">
        <is>
          <t>None</t>
        </is>
      </c>
      <c r="AD16" s="17" t="n"/>
      <c r="AE16" s="16" t="inlineStr">
        <is>
          <t>168</t>
        </is>
      </c>
      <c r="AF16" s="20" t="inlineStr">
        <is>
          <t>IC Anionen</t>
        </is>
      </c>
      <c r="AG16" s="20" t="inlineStr">
        <is>
          <t>None</t>
        </is>
      </c>
      <c r="AH16" s="17" t="n"/>
      <c r="AI16" s="16" t="n"/>
      <c r="AJ16" s="20" t="n"/>
      <c r="AK16" s="20" t="inlineStr">
        <is>
          <t>None</t>
        </is>
      </c>
      <c r="AL16" s="17" t="n"/>
      <c r="AM16" s="16" t="n"/>
      <c r="AN16" s="20" t="inlineStr">
        <is>
          <t>IC Anionen</t>
        </is>
      </c>
      <c r="AO16" s="20" t="inlineStr">
        <is>
          <t>None</t>
        </is>
      </c>
      <c r="AP16" s="17" t="n"/>
      <c r="AQ16" s="16" t="n"/>
      <c r="AR16" s="20" t="n"/>
      <c r="AS16" s="20" t="inlineStr">
        <is>
          <t>None</t>
        </is>
      </c>
      <c r="AT16" s="17" t="n"/>
      <c r="AU16" s="16" t="inlineStr">
        <is>
          <t>11.4</t>
        </is>
      </c>
      <c r="AV16" s="20" t="inlineStr">
        <is>
          <t>IC Anionen</t>
        </is>
      </c>
      <c r="AW16" s="20" t="inlineStr">
        <is>
          <t>None</t>
        </is>
      </c>
      <c r="AX16" s="17" t="n"/>
      <c r="AY16" s="16" t="inlineStr">
        <is>
          <t>&lt;0.8</t>
        </is>
      </c>
      <c r="AZ16" s="20" t="inlineStr">
        <is>
          <t>IC Anionen</t>
        </is>
      </c>
      <c r="BA16" s="20" t="inlineStr">
        <is>
          <t>None</t>
        </is>
      </c>
      <c r="BB16" s="17" t="n"/>
      <c r="BC16" s="16" t="inlineStr">
        <is>
          <t>118</t>
        </is>
      </c>
      <c r="BD16" s="20" t="inlineStr">
        <is>
          <t>IC Kationen</t>
        </is>
      </c>
      <c r="BE16" s="20" t="inlineStr">
        <is>
          <t>None</t>
        </is>
      </c>
      <c r="BF16" s="17" t="n"/>
      <c r="BG16" s="16" t="inlineStr">
        <is>
          <t>26.1</t>
        </is>
      </c>
      <c r="BH16" s="20" t="inlineStr">
        <is>
          <t>IC Kationen</t>
        </is>
      </c>
      <c r="BI16" s="20" t="inlineStr">
        <is>
          <t>None</t>
        </is>
      </c>
      <c r="BJ16" s="17" t="n"/>
      <c r="BK16" s="16" t="inlineStr">
        <is>
          <t>16.1</t>
        </is>
      </c>
      <c r="BL16" s="20" t="inlineStr">
        <is>
          <t>IC Kationen</t>
        </is>
      </c>
      <c r="BM16" s="20" t="inlineStr">
        <is>
          <t>None</t>
        </is>
      </c>
      <c r="BN16" s="17" t="n"/>
      <c r="BO16" s="16" t="inlineStr">
        <is>
          <t>198</t>
        </is>
      </c>
      <c r="BP16" s="20" t="inlineStr">
        <is>
          <t>IC Kationen</t>
        </is>
      </c>
      <c r="BQ16" s="20" t="inlineStr">
        <is>
          <t>None</t>
        </is>
      </c>
      <c r="BR16" s="17" t="n"/>
      <c r="BS16" s="16" t="inlineStr">
        <is>
          <t>26.6</t>
        </is>
      </c>
      <c r="BT16" s="20" t="inlineStr">
        <is>
          <t>IC Kationen</t>
        </is>
      </c>
      <c r="BU16" s="20" t="inlineStr">
        <is>
          <t>None</t>
        </is>
      </c>
      <c r="BV16" s="17" t="n"/>
      <c r="BW16" s="16" t="n"/>
      <c r="BX16" s="20" t="n"/>
      <c r="BY16" s="20" t="inlineStr">
        <is>
          <t>None</t>
        </is>
      </c>
      <c r="BZ16" s="17" t="n"/>
      <c r="CA16" s="16" t="n"/>
      <c r="CB16" s="20" t="n"/>
      <c r="CC16" s="20" t="inlineStr">
        <is>
          <t>None</t>
        </is>
      </c>
      <c r="CD16" s="17" t="n"/>
      <c r="CE16" s="16" t="n"/>
      <c r="CF16" s="20" t="n"/>
      <c r="CG16" s="20" t="inlineStr">
        <is>
          <t>None</t>
        </is>
      </c>
      <c r="CH16" s="17" t="n"/>
      <c r="CI16" s="16" t="n"/>
      <c r="CJ16" s="20" t="n"/>
      <c r="CK16" s="20" t="inlineStr">
        <is>
          <t>None</t>
        </is>
      </c>
      <c r="CL16" s="17" t="n"/>
      <c r="CM16" s="16" t="n"/>
      <c r="CN16" s="20" t="inlineStr">
        <is>
          <t>SOP 45-34</t>
        </is>
      </c>
      <c r="CO16" s="20" t="inlineStr">
        <is>
          <t>None</t>
        </is>
      </c>
      <c r="CP16" s="17" t="n"/>
      <c r="CQ16" s="16" t="n"/>
      <c r="CR16" s="20" t="n"/>
      <c r="CS16" s="20" t="inlineStr">
        <is>
          <t>None</t>
        </is>
      </c>
      <c r="CT16" s="17" t="n"/>
      <c r="CU16" s="16" t="n"/>
      <c r="CV16" s="20" t="n"/>
      <c r="CW16" s="20" t="inlineStr">
        <is>
          <t>None</t>
        </is>
      </c>
      <c r="CX16" s="17" t="n"/>
      <c r="CY16" s="16" t="n"/>
      <c r="CZ16" s="20" t="inlineStr">
        <is>
          <t>WTW Multimeter 3430 with FDO 925</t>
        </is>
      </c>
      <c r="DA16" s="20" t="inlineStr">
        <is>
          <t>None</t>
        </is>
      </c>
      <c r="DB16" s="17" t="n"/>
      <c r="DC16" s="16" t="n"/>
      <c r="DD16" s="20" t="n"/>
      <c r="DE16" s="20" t="inlineStr">
        <is>
          <t>None</t>
        </is>
      </c>
      <c r="DF16" s="17" t="n"/>
      <c r="DG16" s="16" t="n"/>
      <c r="DH16" s="20" t="inlineStr">
        <is>
          <t>SOP 45-09</t>
        </is>
      </c>
      <c r="DI16" s="20" t="inlineStr">
        <is>
          <t>None</t>
        </is>
      </c>
      <c r="DJ16" s="17" t="n"/>
      <c r="DK16" s="16" t="n"/>
      <c r="DL16" s="20" t="inlineStr">
        <is>
          <t>SOP 45-09 (SOP muss noch angepasst werden für VSS)</t>
        </is>
      </c>
      <c r="DM16" s="20" t="inlineStr">
        <is>
          <t>None</t>
        </is>
      </c>
      <c r="DN16" s="17" t="n"/>
      <c r="DO16" s="16" t="n"/>
      <c r="DP16" s="20" t="inlineStr">
        <is>
          <t>IC Organic Acids</t>
        </is>
      </c>
      <c r="DQ16" s="20" t="inlineStr">
        <is>
          <t>None</t>
        </is>
      </c>
      <c r="DR16" s="17" t="n"/>
      <c r="DS16" s="16" t="n"/>
      <c r="DT16" s="20" t="inlineStr">
        <is>
          <t>IC Organic Acids</t>
        </is>
      </c>
      <c r="DU16" s="20" t="inlineStr">
        <is>
          <t>None</t>
        </is>
      </c>
      <c r="DV16" s="17" t="n"/>
      <c r="DW16" s="16" t="n"/>
      <c r="DX16" s="20" t="inlineStr">
        <is>
          <t>IC Organic Acids</t>
        </is>
      </c>
      <c r="DY16" s="20" t="inlineStr">
        <is>
          <t>None</t>
        </is>
      </c>
      <c r="DZ16" s="17" t="n"/>
      <c r="EA16" s="16" t="n"/>
      <c r="EB16" s="20" t="inlineStr">
        <is>
          <t>IC Organic Acids</t>
        </is>
      </c>
      <c r="EC16" s="20" t="inlineStr">
        <is>
          <t>None</t>
        </is>
      </c>
      <c r="ED16" s="17" t="n"/>
      <c r="EE16" s="16" t="n"/>
      <c r="EF16" s="20" t="inlineStr">
        <is>
          <t>IC Organic Acids</t>
        </is>
      </c>
      <c r="EG16" s="20" t="inlineStr">
        <is>
          <t>None</t>
        </is>
      </c>
      <c r="EH16" s="17" t="n"/>
      <c r="EI16" s="16" t="n"/>
      <c r="EJ16" s="20" t="inlineStr">
        <is>
          <t>IC Organic Acids</t>
        </is>
      </c>
      <c r="EK16" s="20" t="inlineStr">
        <is>
          <t>None</t>
        </is>
      </c>
      <c r="EL16" s="17" t="n"/>
      <c r="EM16" s="16" t="n"/>
      <c r="EN16" s="20" t="inlineStr">
        <is>
          <t>IC Organic Acids</t>
        </is>
      </c>
      <c r="EO16" s="20" t="inlineStr">
        <is>
          <t>None</t>
        </is>
      </c>
      <c r="EP16" s="17" t="n"/>
      <c r="EQ16" s="16" t="n"/>
      <c r="ER16" s="20" t="inlineStr">
        <is>
          <t>IC Organic Acids</t>
        </is>
      </c>
      <c r="ES16" s="20" t="inlineStr">
        <is>
          <t>None</t>
        </is>
      </c>
      <c r="ET16" s="17" t="n"/>
      <c r="EU16" s="16" t="n"/>
      <c r="EV16" s="20" t="inlineStr">
        <is>
          <t>LC-MS</t>
        </is>
      </c>
      <c r="EW16" s="20" t="inlineStr">
        <is>
          <t>None</t>
        </is>
      </c>
      <c r="EX16" s="17" t="n"/>
      <c r="EY16" s="21" t="n"/>
      <c r="EZ16">
        <f>CONCATENATE(A16,B16)</f>
        <v/>
      </c>
      <c r="FA16">
        <f>CONCATENATE(SamplesX!A16,SamplesX!B16)</f>
        <v/>
      </c>
      <c r="FC16">
        <f>MATCH(EZ16,FA1:FA1008,0)</f>
        <v/>
      </c>
    </row>
    <row r="17">
      <c r="A17" s="16" t="inlineStr">
        <is>
          <t>BP</t>
        </is>
      </c>
      <c r="B17" s="17" t="inlineStr">
        <is>
          <t>25009</t>
        </is>
      </c>
      <c r="C17" s="10">
        <f>IF(ISNUMBER(FC17),INDIRECT("SamplesX!C"&amp;FC17),IF(ISNUMBER(FD17),INDIRECT("SamplesY!C"&amp;FD17),""))</f>
        <v/>
      </c>
      <c r="D17" s="12">
        <f>IF(ISNUMBER(FC17),INDIRECT("SamplesX!D"&amp;FC17),IF(ISNUMBER(FD17),INDIRECT("SamplesY!D"&amp;FD17),""))</f>
        <v/>
      </c>
      <c r="E17" s="12">
        <f>IF(ISNUMBER(FC17),INDIRECT("SamplesX!E"&amp;FC17),IF(ISNUMBER(FD17),INDIRECT("SamplesY!E"&amp;FD17),""))</f>
        <v/>
      </c>
      <c r="F17" s="11">
        <f>IF(ISNUMBER(FC17),INDIRECT("SamplesX!F"&amp;FC17),IF(ISNUMBER(FD17),INDIRECT("SamplesY!F"&amp;FD17),""))</f>
        <v/>
      </c>
      <c r="G17" s="18">
        <f>IF(ISNUMBER(FC17),INDIRECT("SamplesX!G"&amp;FC17),IF(ISNUMBER(FD17),INDIRECT("SamplesY!G"&amp;FD17),""))</f>
        <v/>
      </c>
      <c r="H17" s="19">
        <f>IF(ISNUMBER(FC17),INDIRECT("SamplesX!H"&amp;FC17),IF(ISNUMBER(FD17),INDIRECT("SamplesY!H"&amp;FD17),""))</f>
        <v/>
      </c>
      <c r="I17" s="16" t="n"/>
      <c r="J17" s="16" t="n"/>
      <c r="K17" s="16" t="n"/>
      <c r="L17" s="20" t="n"/>
      <c r="M17" s="20" t="inlineStr">
        <is>
          <t>None</t>
        </is>
      </c>
      <c r="N17" s="17" t="n"/>
      <c r="O17" s="16" t="n"/>
      <c r="P17" s="20" t="inlineStr">
        <is>
          <t>Shimadzu TOC-L</t>
        </is>
      </c>
      <c r="Q17" s="20" t="inlineStr">
        <is>
          <t>None</t>
        </is>
      </c>
      <c r="R17" s="17" t="n"/>
      <c r="S17" s="16" t="n"/>
      <c r="T17" s="20" t="inlineStr">
        <is>
          <t>Shimadzu TOC-L</t>
        </is>
      </c>
      <c r="U17" s="20" t="inlineStr">
        <is>
          <t>None</t>
        </is>
      </c>
      <c r="V17" s="17" t="n"/>
      <c r="W17" s="16" t="n"/>
      <c r="X17" s="20" t="n"/>
      <c r="Y17" s="20" t="inlineStr">
        <is>
          <t>None</t>
        </is>
      </c>
      <c r="Z17" s="17" t="n"/>
      <c r="AA17" s="16" t="n"/>
      <c r="AB17" s="20" t="n"/>
      <c r="AC17" s="20" t="inlineStr">
        <is>
          <t>None</t>
        </is>
      </c>
      <c r="AD17" s="17" t="n"/>
      <c r="AE17" s="16" t="inlineStr">
        <is>
          <t>172</t>
        </is>
      </c>
      <c r="AF17" s="20" t="inlineStr">
        <is>
          <t>IC Anionen</t>
        </is>
      </c>
      <c r="AG17" s="20" t="inlineStr">
        <is>
          <t>None</t>
        </is>
      </c>
      <c r="AH17" s="17" t="n"/>
      <c r="AI17" s="16" t="n"/>
      <c r="AJ17" s="20" t="n"/>
      <c r="AK17" s="20" t="inlineStr">
        <is>
          <t>None</t>
        </is>
      </c>
      <c r="AL17" s="17" t="n"/>
      <c r="AM17" s="16" t="n"/>
      <c r="AN17" s="20" t="inlineStr">
        <is>
          <t>IC Anionen</t>
        </is>
      </c>
      <c r="AO17" s="20" t="inlineStr">
        <is>
          <t>None</t>
        </is>
      </c>
      <c r="AP17" s="17" t="n"/>
      <c r="AQ17" s="16" t="n"/>
      <c r="AR17" s="20" t="n"/>
      <c r="AS17" s="20" t="inlineStr">
        <is>
          <t>None</t>
        </is>
      </c>
      <c r="AT17" s="17" t="n"/>
      <c r="AU17" s="16" t="inlineStr">
        <is>
          <t>12.0</t>
        </is>
      </c>
      <c r="AV17" s="20" t="inlineStr">
        <is>
          <t>IC Anionen</t>
        </is>
      </c>
      <c r="AW17" s="20" t="inlineStr">
        <is>
          <t>None</t>
        </is>
      </c>
      <c r="AX17" s="17" t="n"/>
      <c r="AY17" s="16" t="inlineStr">
        <is>
          <t>&lt;0.8</t>
        </is>
      </c>
      <c r="AZ17" s="20" t="inlineStr">
        <is>
          <t>IC Anionen</t>
        </is>
      </c>
      <c r="BA17" s="20" t="inlineStr">
        <is>
          <t>None</t>
        </is>
      </c>
      <c r="BB17" s="17" t="n"/>
      <c r="BC17" s="16" t="inlineStr">
        <is>
          <t>116</t>
        </is>
      </c>
      <c r="BD17" s="20" t="inlineStr">
        <is>
          <t>IC Kationen</t>
        </is>
      </c>
      <c r="BE17" s="20" t="inlineStr">
        <is>
          <t>None</t>
        </is>
      </c>
      <c r="BF17" s="17" t="n"/>
      <c r="BG17" s="16" t="inlineStr">
        <is>
          <t>27.3</t>
        </is>
      </c>
      <c r="BH17" s="20" t="inlineStr">
        <is>
          <t>IC Kationen</t>
        </is>
      </c>
      <c r="BI17" s="20" t="inlineStr">
        <is>
          <t>None</t>
        </is>
      </c>
      <c r="BJ17" s="17" t="n"/>
      <c r="BK17" s="16" t="inlineStr">
        <is>
          <t>15.9</t>
        </is>
      </c>
      <c r="BL17" s="20" t="inlineStr">
        <is>
          <t>IC Kationen</t>
        </is>
      </c>
      <c r="BM17" s="20" t="inlineStr">
        <is>
          <t>None</t>
        </is>
      </c>
      <c r="BN17" s="17" t="n"/>
      <c r="BO17" s="16" t="inlineStr">
        <is>
          <t>201</t>
        </is>
      </c>
      <c r="BP17" s="20" t="inlineStr">
        <is>
          <t>IC Kationen</t>
        </is>
      </c>
      <c r="BQ17" s="20" t="inlineStr">
        <is>
          <t>None</t>
        </is>
      </c>
      <c r="BR17" s="17" t="n"/>
      <c r="BS17" s="16" t="inlineStr">
        <is>
          <t>26.2</t>
        </is>
      </c>
      <c r="BT17" s="20" t="inlineStr">
        <is>
          <t>IC Kationen</t>
        </is>
      </c>
      <c r="BU17" s="20" t="inlineStr">
        <is>
          <t>None</t>
        </is>
      </c>
      <c r="BV17" s="17" t="n"/>
      <c r="BW17" s="16" t="n"/>
      <c r="BX17" s="20" t="n"/>
      <c r="BY17" s="20" t="inlineStr">
        <is>
          <t>None</t>
        </is>
      </c>
      <c r="BZ17" s="17" t="n"/>
      <c r="CA17" s="16" t="n"/>
      <c r="CB17" s="20" t="n"/>
      <c r="CC17" s="20" t="inlineStr">
        <is>
          <t>None</t>
        </is>
      </c>
      <c r="CD17" s="17" t="n"/>
      <c r="CE17" s="16" t="n"/>
      <c r="CF17" s="20" t="n"/>
      <c r="CG17" s="20" t="inlineStr">
        <is>
          <t>None</t>
        </is>
      </c>
      <c r="CH17" s="17" t="n"/>
      <c r="CI17" s="16" t="n"/>
      <c r="CJ17" s="20" t="n"/>
      <c r="CK17" s="20" t="inlineStr">
        <is>
          <t>None</t>
        </is>
      </c>
      <c r="CL17" s="17" t="n"/>
      <c r="CM17" s="16" t="n"/>
      <c r="CN17" s="20" t="inlineStr">
        <is>
          <t>SOP 45-34</t>
        </is>
      </c>
      <c r="CO17" s="20" t="inlineStr">
        <is>
          <t>None</t>
        </is>
      </c>
      <c r="CP17" s="17" t="n"/>
      <c r="CQ17" s="16" t="n"/>
      <c r="CR17" s="20" t="n"/>
      <c r="CS17" s="20" t="inlineStr">
        <is>
          <t>None</t>
        </is>
      </c>
      <c r="CT17" s="17" t="n"/>
      <c r="CU17" s="16" t="n"/>
      <c r="CV17" s="20" t="n"/>
      <c r="CW17" s="20" t="inlineStr">
        <is>
          <t>None</t>
        </is>
      </c>
      <c r="CX17" s="17" t="n"/>
      <c r="CY17" s="16" t="n"/>
      <c r="CZ17" s="20" t="inlineStr">
        <is>
          <t>WTW Multimeter 3430 with FDO 925</t>
        </is>
      </c>
      <c r="DA17" s="20" t="inlineStr">
        <is>
          <t>None</t>
        </is>
      </c>
      <c r="DB17" s="17" t="n"/>
      <c r="DC17" s="16" t="n"/>
      <c r="DD17" s="20" t="n"/>
      <c r="DE17" s="20" t="inlineStr">
        <is>
          <t>None</t>
        </is>
      </c>
      <c r="DF17" s="17" t="n"/>
      <c r="DG17" s="16" t="n"/>
      <c r="DH17" s="20" t="inlineStr">
        <is>
          <t>SOP 45-09</t>
        </is>
      </c>
      <c r="DI17" s="20" t="inlineStr">
        <is>
          <t>None</t>
        </is>
      </c>
      <c r="DJ17" s="17" t="n"/>
      <c r="DK17" s="16" t="n"/>
      <c r="DL17" s="20" t="inlineStr">
        <is>
          <t>SOP 45-09 (SOP muss noch angepasst werden für VSS)</t>
        </is>
      </c>
      <c r="DM17" s="20" t="inlineStr">
        <is>
          <t>None</t>
        </is>
      </c>
      <c r="DN17" s="17" t="n"/>
      <c r="DO17" s="16" t="n"/>
      <c r="DP17" s="20" t="inlineStr">
        <is>
          <t>IC Organic Acids</t>
        </is>
      </c>
      <c r="DQ17" s="20" t="inlineStr">
        <is>
          <t>None</t>
        </is>
      </c>
      <c r="DR17" s="17" t="n"/>
      <c r="DS17" s="16" t="n"/>
      <c r="DT17" s="20" t="inlineStr">
        <is>
          <t>IC Organic Acids</t>
        </is>
      </c>
      <c r="DU17" s="20" t="inlineStr">
        <is>
          <t>None</t>
        </is>
      </c>
      <c r="DV17" s="17" t="n"/>
      <c r="DW17" s="16" t="n"/>
      <c r="DX17" s="20" t="inlineStr">
        <is>
          <t>IC Organic Acids</t>
        </is>
      </c>
      <c r="DY17" s="20" t="inlineStr">
        <is>
          <t>None</t>
        </is>
      </c>
      <c r="DZ17" s="17" t="n"/>
      <c r="EA17" s="16" t="n"/>
      <c r="EB17" s="20" t="inlineStr">
        <is>
          <t>IC Organic Acids</t>
        </is>
      </c>
      <c r="EC17" s="20" t="inlineStr">
        <is>
          <t>None</t>
        </is>
      </c>
      <c r="ED17" s="17" t="n"/>
      <c r="EE17" s="16" t="n"/>
      <c r="EF17" s="20" t="inlineStr">
        <is>
          <t>IC Organic Acids</t>
        </is>
      </c>
      <c r="EG17" s="20" t="inlineStr">
        <is>
          <t>None</t>
        </is>
      </c>
      <c r="EH17" s="17" t="n"/>
      <c r="EI17" s="16" t="n"/>
      <c r="EJ17" s="20" t="inlineStr">
        <is>
          <t>IC Organic Acids</t>
        </is>
      </c>
      <c r="EK17" s="20" t="inlineStr">
        <is>
          <t>None</t>
        </is>
      </c>
      <c r="EL17" s="17" t="n"/>
      <c r="EM17" s="16" t="n"/>
      <c r="EN17" s="20" t="inlineStr">
        <is>
          <t>IC Organic Acids</t>
        </is>
      </c>
      <c r="EO17" s="20" t="inlineStr">
        <is>
          <t>None</t>
        </is>
      </c>
      <c r="EP17" s="17" t="n"/>
      <c r="EQ17" s="16" t="n"/>
      <c r="ER17" s="20" t="inlineStr">
        <is>
          <t>IC Organic Acids</t>
        </is>
      </c>
      <c r="ES17" s="20" t="inlineStr">
        <is>
          <t>None</t>
        </is>
      </c>
      <c r="ET17" s="17" t="n"/>
      <c r="EU17" s="16" t="n"/>
      <c r="EV17" s="20" t="inlineStr">
        <is>
          <t>LC-MS</t>
        </is>
      </c>
      <c r="EW17" s="20" t="inlineStr">
        <is>
          <t>None</t>
        </is>
      </c>
      <c r="EX17" s="17" t="n"/>
      <c r="EY17" s="21" t="n"/>
      <c r="EZ17">
        <f>CONCATENATE(A17,B17)</f>
        <v/>
      </c>
      <c r="FA17">
        <f>CONCATENATE(SamplesX!A17,SamplesX!B17)</f>
        <v/>
      </c>
      <c r="FC17">
        <f>MATCH(EZ17,FA1:FA1008,0)</f>
        <v/>
      </c>
    </row>
    <row r="18">
      <c r="A18" s="16" t="inlineStr">
        <is>
          <t>BP</t>
        </is>
      </c>
      <c r="B18" s="17" t="inlineStr">
        <is>
          <t>25010</t>
        </is>
      </c>
      <c r="C18" s="10">
        <f>IF(ISNUMBER(FC18),INDIRECT("SamplesX!C"&amp;FC18),IF(ISNUMBER(FD18),INDIRECT("SamplesY!C"&amp;FD18),""))</f>
        <v/>
      </c>
      <c r="D18" s="12">
        <f>IF(ISNUMBER(FC18),INDIRECT("SamplesX!D"&amp;FC18),IF(ISNUMBER(FD18),INDIRECT("SamplesY!D"&amp;FD18),""))</f>
        <v/>
      </c>
      <c r="E18" s="12">
        <f>IF(ISNUMBER(FC18),INDIRECT("SamplesX!E"&amp;FC18),IF(ISNUMBER(FD18),INDIRECT("SamplesY!E"&amp;FD18),""))</f>
        <v/>
      </c>
      <c r="F18" s="11">
        <f>IF(ISNUMBER(FC18),INDIRECT("SamplesX!F"&amp;FC18),IF(ISNUMBER(FD18),INDIRECT("SamplesY!F"&amp;FD18),""))</f>
        <v/>
      </c>
      <c r="G18" s="18">
        <f>IF(ISNUMBER(FC18),INDIRECT("SamplesX!G"&amp;FC18),IF(ISNUMBER(FD18),INDIRECT("SamplesY!G"&amp;FD18),""))</f>
        <v/>
      </c>
      <c r="H18" s="19">
        <f>IF(ISNUMBER(FC18),INDIRECT("SamplesX!H"&amp;FC18),IF(ISNUMBER(FD18),INDIRECT("SamplesY!H"&amp;FD18),""))</f>
        <v/>
      </c>
      <c r="I18" s="16" t="n"/>
      <c r="J18" s="16" t="n"/>
      <c r="K18" s="16" t="n"/>
      <c r="L18" s="20" t="n"/>
      <c r="M18" s="20" t="inlineStr">
        <is>
          <t>None</t>
        </is>
      </c>
      <c r="N18" s="17" t="n"/>
      <c r="O18" s="16" t="n"/>
      <c r="P18" s="20" t="inlineStr">
        <is>
          <t>Shimadzu TOC-L</t>
        </is>
      </c>
      <c r="Q18" s="20" t="inlineStr">
        <is>
          <t>None</t>
        </is>
      </c>
      <c r="R18" s="17" t="n"/>
      <c r="S18" s="16" t="n"/>
      <c r="T18" s="20" t="inlineStr">
        <is>
          <t>Shimadzu TOC-L</t>
        </is>
      </c>
      <c r="U18" s="20" t="inlineStr">
        <is>
          <t>None</t>
        </is>
      </c>
      <c r="V18" s="17" t="n"/>
      <c r="W18" s="16" t="n"/>
      <c r="X18" s="20" t="n"/>
      <c r="Y18" s="20" t="inlineStr">
        <is>
          <t>None</t>
        </is>
      </c>
      <c r="Z18" s="17" t="n"/>
      <c r="AA18" s="16" t="n"/>
      <c r="AB18" s="20" t="n"/>
      <c r="AC18" s="20" t="inlineStr">
        <is>
          <t>None</t>
        </is>
      </c>
      <c r="AD18" s="17" t="n"/>
      <c r="AE18" s="16" t="inlineStr">
        <is>
          <t>163</t>
        </is>
      </c>
      <c r="AF18" s="20" t="inlineStr">
        <is>
          <t>IC Anionen</t>
        </is>
      </c>
      <c r="AG18" s="20" t="inlineStr">
        <is>
          <t>None</t>
        </is>
      </c>
      <c r="AH18" s="17" t="n"/>
      <c r="AI18" s="16" t="n"/>
      <c r="AJ18" s="20" t="n"/>
      <c r="AK18" s="20" t="inlineStr">
        <is>
          <t>None</t>
        </is>
      </c>
      <c r="AL18" s="17" t="n"/>
      <c r="AM18" s="16" t="n"/>
      <c r="AN18" s="20" t="inlineStr">
        <is>
          <t>IC Anionen</t>
        </is>
      </c>
      <c r="AO18" s="20" t="inlineStr">
        <is>
          <t>None</t>
        </is>
      </c>
      <c r="AP18" s="17" t="n"/>
      <c r="AQ18" s="16" t="n"/>
      <c r="AR18" s="20" t="n"/>
      <c r="AS18" s="20" t="inlineStr">
        <is>
          <t>None</t>
        </is>
      </c>
      <c r="AT18" s="17" t="n"/>
      <c r="AU18" s="16" t="inlineStr">
        <is>
          <t>11.9</t>
        </is>
      </c>
      <c r="AV18" s="20" t="inlineStr">
        <is>
          <t>IC Anionen</t>
        </is>
      </c>
      <c r="AW18" s="20" t="inlineStr">
        <is>
          <t>None</t>
        </is>
      </c>
      <c r="AX18" s="17" t="n"/>
      <c r="AY18" s="16" t="inlineStr">
        <is>
          <t>&lt;0.8</t>
        </is>
      </c>
      <c r="AZ18" s="20" t="inlineStr">
        <is>
          <t>IC Anionen</t>
        </is>
      </c>
      <c r="BA18" s="20" t="inlineStr">
        <is>
          <t>None</t>
        </is>
      </c>
      <c r="BB18" s="17" t="n"/>
      <c r="BC18" s="16" t="inlineStr">
        <is>
          <t>121</t>
        </is>
      </c>
      <c r="BD18" s="20" t="inlineStr">
        <is>
          <t>IC Kationen</t>
        </is>
      </c>
      <c r="BE18" s="20" t="inlineStr">
        <is>
          <t>None</t>
        </is>
      </c>
      <c r="BF18" s="17" t="n"/>
      <c r="BG18" s="16" t="inlineStr">
        <is>
          <t>23.3</t>
        </is>
      </c>
      <c r="BH18" s="20" t="inlineStr">
        <is>
          <t>IC Kationen</t>
        </is>
      </c>
      <c r="BI18" s="20" t="inlineStr">
        <is>
          <t>None</t>
        </is>
      </c>
      <c r="BJ18" s="17" t="n"/>
      <c r="BK18" s="16" t="inlineStr">
        <is>
          <t>15.1</t>
        </is>
      </c>
      <c r="BL18" s="20" t="inlineStr">
        <is>
          <t>IC Kationen</t>
        </is>
      </c>
      <c r="BM18" s="20" t="inlineStr">
        <is>
          <t>None</t>
        </is>
      </c>
      <c r="BN18" s="17" t="n"/>
      <c r="BO18" s="16" t="inlineStr">
        <is>
          <t>195</t>
        </is>
      </c>
      <c r="BP18" s="20" t="inlineStr">
        <is>
          <t>IC Kationen</t>
        </is>
      </c>
      <c r="BQ18" s="20" t="inlineStr">
        <is>
          <t>None</t>
        </is>
      </c>
      <c r="BR18" s="17" t="n"/>
      <c r="BS18" s="16" t="inlineStr">
        <is>
          <t>26.2</t>
        </is>
      </c>
      <c r="BT18" s="20" t="inlineStr">
        <is>
          <t>IC Kationen</t>
        </is>
      </c>
      <c r="BU18" s="20" t="inlineStr">
        <is>
          <t>None</t>
        </is>
      </c>
      <c r="BV18" s="17" t="n"/>
      <c r="BW18" s="16" t="n"/>
      <c r="BX18" s="20" t="n"/>
      <c r="BY18" s="20" t="inlineStr">
        <is>
          <t>None</t>
        </is>
      </c>
      <c r="BZ18" s="17" t="n"/>
      <c r="CA18" s="16" t="n"/>
      <c r="CB18" s="20" t="n"/>
      <c r="CC18" s="20" t="inlineStr">
        <is>
          <t>None</t>
        </is>
      </c>
      <c r="CD18" s="17" t="n"/>
      <c r="CE18" s="16" t="n"/>
      <c r="CF18" s="20" t="n"/>
      <c r="CG18" s="20" t="inlineStr">
        <is>
          <t>None</t>
        </is>
      </c>
      <c r="CH18" s="17" t="n"/>
      <c r="CI18" s="16" t="n"/>
      <c r="CJ18" s="20" t="n"/>
      <c r="CK18" s="20" t="inlineStr">
        <is>
          <t>None</t>
        </is>
      </c>
      <c r="CL18" s="17" t="n"/>
      <c r="CM18" s="16" t="n"/>
      <c r="CN18" s="20" t="inlineStr">
        <is>
          <t>SOP 45-34</t>
        </is>
      </c>
      <c r="CO18" s="20" t="inlineStr">
        <is>
          <t>None</t>
        </is>
      </c>
      <c r="CP18" s="17" t="n"/>
      <c r="CQ18" s="16" t="n"/>
      <c r="CR18" s="20" t="n"/>
      <c r="CS18" s="20" t="inlineStr">
        <is>
          <t>None</t>
        </is>
      </c>
      <c r="CT18" s="17" t="n"/>
      <c r="CU18" s="16" t="n"/>
      <c r="CV18" s="20" t="n"/>
      <c r="CW18" s="20" t="inlineStr">
        <is>
          <t>None</t>
        </is>
      </c>
      <c r="CX18" s="17" t="n"/>
      <c r="CY18" s="16" t="n"/>
      <c r="CZ18" s="20" t="inlineStr">
        <is>
          <t>WTW Multimeter 3430 with FDO 925</t>
        </is>
      </c>
      <c r="DA18" s="20" t="inlineStr">
        <is>
          <t>None</t>
        </is>
      </c>
      <c r="DB18" s="17" t="n"/>
      <c r="DC18" s="16" t="n"/>
      <c r="DD18" s="20" t="n"/>
      <c r="DE18" s="20" t="inlineStr">
        <is>
          <t>None</t>
        </is>
      </c>
      <c r="DF18" s="17" t="n"/>
      <c r="DG18" s="16" t="n"/>
      <c r="DH18" s="20" t="inlineStr">
        <is>
          <t>SOP 45-09</t>
        </is>
      </c>
      <c r="DI18" s="20" t="inlineStr">
        <is>
          <t>None</t>
        </is>
      </c>
      <c r="DJ18" s="17" t="n"/>
      <c r="DK18" s="16" t="n"/>
      <c r="DL18" s="20" t="inlineStr">
        <is>
          <t>SOP 45-09 (SOP muss noch angepasst werden für VSS)</t>
        </is>
      </c>
      <c r="DM18" s="20" t="inlineStr">
        <is>
          <t>None</t>
        </is>
      </c>
      <c r="DN18" s="17" t="n"/>
      <c r="DO18" s="16" t="n"/>
      <c r="DP18" s="20" t="inlineStr">
        <is>
          <t>IC Organic Acids</t>
        </is>
      </c>
      <c r="DQ18" s="20" t="inlineStr">
        <is>
          <t>None</t>
        </is>
      </c>
      <c r="DR18" s="17" t="n"/>
      <c r="DS18" s="16" t="n"/>
      <c r="DT18" s="20" t="inlineStr">
        <is>
          <t>IC Organic Acids</t>
        </is>
      </c>
      <c r="DU18" s="20" t="inlineStr">
        <is>
          <t>None</t>
        </is>
      </c>
      <c r="DV18" s="17" t="n"/>
      <c r="DW18" s="16" t="n"/>
      <c r="DX18" s="20" t="inlineStr">
        <is>
          <t>IC Organic Acids</t>
        </is>
      </c>
      <c r="DY18" s="20" t="inlineStr">
        <is>
          <t>None</t>
        </is>
      </c>
      <c r="DZ18" s="17" t="n"/>
      <c r="EA18" s="16" t="n"/>
      <c r="EB18" s="20" t="inlineStr">
        <is>
          <t>IC Organic Acids</t>
        </is>
      </c>
      <c r="EC18" s="20" t="inlineStr">
        <is>
          <t>None</t>
        </is>
      </c>
      <c r="ED18" s="17" t="n"/>
      <c r="EE18" s="16" t="n"/>
      <c r="EF18" s="20" t="inlineStr">
        <is>
          <t>IC Organic Acids</t>
        </is>
      </c>
      <c r="EG18" s="20" t="inlineStr">
        <is>
          <t>None</t>
        </is>
      </c>
      <c r="EH18" s="17" t="n"/>
      <c r="EI18" s="16" t="n"/>
      <c r="EJ18" s="20" t="inlineStr">
        <is>
          <t>IC Organic Acids</t>
        </is>
      </c>
      <c r="EK18" s="20" t="inlineStr">
        <is>
          <t>None</t>
        </is>
      </c>
      <c r="EL18" s="17" t="n"/>
      <c r="EM18" s="16" t="n"/>
      <c r="EN18" s="20" t="inlineStr">
        <is>
          <t>IC Organic Acids</t>
        </is>
      </c>
      <c r="EO18" s="20" t="inlineStr">
        <is>
          <t>None</t>
        </is>
      </c>
      <c r="EP18" s="17" t="n"/>
      <c r="EQ18" s="16" t="n"/>
      <c r="ER18" s="20" t="inlineStr">
        <is>
          <t>IC Organic Acids</t>
        </is>
      </c>
      <c r="ES18" s="20" t="inlineStr">
        <is>
          <t>None</t>
        </is>
      </c>
      <c r="ET18" s="17" t="n"/>
      <c r="EU18" s="16" t="n"/>
      <c r="EV18" s="20" t="inlineStr">
        <is>
          <t>LC-MS</t>
        </is>
      </c>
      <c r="EW18" s="20" t="inlineStr">
        <is>
          <t>None</t>
        </is>
      </c>
      <c r="EX18" s="17" t="n"/>
      <c r="EY18" s="21" t="n"/>
      <c r="EZ18">
        <f>CONCATENATE(A18,B18)</f>
        <v/>
      </c>
      <c r="FA18">
        <f>CONCATENATE(SamplesX!A18,SamplesX!B18)</f>
        <v/>
      </c>
      <c r="FC18">
        <f>MATCH(EZ18,FA1:FA1008,0)</f>
        <v/>
      </c>
    </row>
    <row r="19">
      <c r="A19" s="16" t="inlineStr">
        <is>
          <t>BP</t>
        </is>
      </c>
      <c r="B19" s="17" t="inlineStr">
        <is>
          <t>25011</t>
        </is>
      </c>
      <c r="C19" s="10">
        <f>IF(ISNUMBER(FC19),INDIRECT("SamplesX!C"&amp;FC19),IF(ISNUMBER(FD19),INDIRECT("SamplesY!C"&amp;FD19),""))</f>
        <v/>
      </c>
      <c r="D19" s="12">
        <f>IF(ISNUMBER(FC19),INDIRECT("SamplesX!D"&amp;FC19),IF(ISNUMBER(FD19),INDIRECT("SamplesY!D"&amp;FD19),""))</f>
        <v/>
      </c>
      <c r="E19" s="12">
        <f>IF(ISNUMBER(FC19),INDIRECT("SamplesX!E"&amp;FC19),IF(ISNUMBER(FD19),INDIRECT("SamplesY!E"&amp;FD19),""))</f>
        <v/>
      </c>
      <c r="F19" s="11">
        <f>IF(ISNUMBER(FC19),INDIRECT("SamplesX!F"&amp;FC19),IF(ISNUMBER(FD19),INDIRECT("SamplesY!F"&amp;FD19),""))</f>
        <v/>
      </c>
      <c r="G19" s="18">
        <f>IF(ISNUMBER(FC19),INDIRECT("SamplesX!G"&amp;FC19),IF(ISNUMBER(FD19),INDIRECT("SamplesY!G"&amp;FD19),""))</f>
        <v/>
      </c>
      <c r="H19" s="19">
        <f>IF(ISNUMBER(FC19),INDIRECT("SamplesX!H"&amp;FC19),IF(ISNUMBER(FD19),INDIRECT("SamplesY!H"&amp;FD19),""))</f>
        <v/>
      </c>
      <c r="I19" s="16" t="n"/>
      <c r="J19" s="16" t="n"/>
      <c r="K19" s="16" t="n"/>
      <c r="L19" s="20" t="n"/>
      <c r="M19" s="20" t="inlineStr">
        <is>
          <t>None</t>
        </is>
      </c>
      <c r="N19" s="17" t="n"/>
      <c r="O19" s="16" t="n"/>
      <c r="P19" s="20" t="inlineStr">
        <is>
          <t>Shimadzu TOC-L</t>
        </is>
      </c>
      <c r="Q19" s="20" t="inlineStr">
        <is>
          <t>None</t>
        </is>
      </c>
      <c r="R19" s="17" t="n"/>
      <c r="S19" s="16" t="n"/>
      <c r="T19" s="20" t="inlineStr">
        <is>
          <t>Shimadzu TOC-L</t>
        </is>
      </c>
      <c r="U19" s="20" t="inlineStr">
        <is>
          <t>None</t>
        </is>
      </c>
      <c r="V19" s="17" t="n"/>
      <c r="W19" s="16" t="n"/>
      <c r="X19" s="20" t="n"/>
      <c r="Y19" s="20" t="inlineStr">
        <is>
          <t>None</t>
        </is>
      </c>
      <c r="Z19" s="17" t="n"/>
      <c r="AA19" s="16" t="n"/>
      <c r="AB19" s="20" t="n"/>
      <c r="AC19" s="20" t="inlineStr">
        <is>
          <t>None</t>
        </is>
      </c>
      <c r="AD19" s="17" t="n"/>
      <c r="AE19" s="16" t="inlineStr">
        <is>
          <t>150</t>
        </is>
      </c>
      <c r="AF19" s="20" t="inlineStr">
        <is>
          <t>IC Anionen</t>
        </is>
      </c>
      <c r="AG19" s="20" t="inlineStr">
        <is>
          <t>None</t>
        </is>
      </c>
      <c r="AH19" s="17" t="n"/>
      <c r="AI19" s="16" t="n"/>
      <c r="AJ19" s="20" t="n"/>
      <c r="AK19" s="20" t="inlineStr">
        <is>
          <t>None</t>
        </is>
      </c>
      <c r="AL19" s="17" t="n"/>
      <c r="AM19" s="16" t="n"/>
      <c r="AN19" s="20" t="inlineStr">
        <is>
          <t>IC Anionen</t>
        </is>
      </c>
      <c r="AO19" s="20" t="inlineStr">
        <is>
          <t>None</t>
        </is>
      </c>
      <c r="AP19" s="17" t="n"/>
      <c r="AQ19" s="16" t="n"/>
      <c r="AR19" s="20" t="n"/>
      <c r="AS19" s="20" t="inlineStr">
        <is>
          <t>None</t>
        </is>
      </c>
      <c r="AT19" s="17" t="n"/>
      <c r="AU19" s="16" t="inlineStr">
        <is>
          <t>15.3</t>
        </is>
      </c>
      <c r="AV19" s="20" t="inlineStr">
        <is>
          <t>IC Anionen</t>
        </is>
      </c>
      <c r="AW19" s="20" t="inlineStr">
        <is>
          <t>None</t>
        </is>
      </c>
      <c r="AX19" s="17" t="n"/>
      <c r="AY19" s="16" t="inlineStr">
        <is>
          <t>&lt;0.8</t>
        </is>
      </c>
      <c r="AZ19" s="20" t="inlineStr">
        <is>
          <t>IC Anionen</t>
        </is>
      </c>
      <c r="BA19" s="20" t="inlineStr">
        <is>
          <t>None</t>
        </is>
      </c>
      <c r="BB19" s="17" t="n"/>
      <c r="BC19" s="16" t="inlineStr">
        <is>
          <t>116</t>
        </is>
      </c>
      <c r="BD19" s="20" t="inlineStr">
        <is>
          <t>IC Kationen</t>
        </is>
      </c>
      <c r="BE19" s="20" t="inlineStr">
        <is>
          <t>None</t>
        </is>
      </c>
      <c r="BF19" s="17" t="n"/>
      <c r="BG19" s="16" t="inlineStr">
        <is>
          <t>42.5</t>
        </is>
      </c>
      <c r="BH19" s="20" t="inlineStr">
        <is>
          <t>IC Kationen</t>
        </is>
      </c>
      <c r="BI19" s="20" t="inlineStr">
        <is>
          <t>None</t>
        </is>
      </c>
      <c r="BJ19" s="17" t="n"/>
      <c r="BK19" s="16" t="inlineStr">
        <is>
          <t>16.0</t>
        </is>
      </c>
      <c r="BL19" s="20" t="inlineStr">
        <is>
          <t>IC Kationen</t>
        </is>
      </c>
      <c r="BM19" s="20" t="inlineStr">
        <is>
          <t>None</t>
        </is>
      </c>
      <c r="BN19" s="17" t="n"/>
      <c r="BO19" s="16" t="inlineStr">
        <is>
          <t>177</t>
        </is>
      </c>
      <c r="BP19" s="20" t="inlineStr">
        <is>
          <t>IC Kationen</t>
        </is>
      </c>
      <c r="BQ19" s="20" t="inlineStr">
        <is>
          <t>None</t>
        </is>
      </c>
      <c r="BR19" s="17" t="n"/>
      <c r="BS19" s="16" t="inlineStr">
        <is>
          <t>25.0</t>
        </is>
      </c>
      <c r="BT19" s="20" t="inlineStr">
        <is>
          <t>IC Kationen</t>
        </is>
      </c>
      <c r="BU19" s="20" t="inlineStr">
        <is>
          <t>None</t>
        </is>
      </c>
      <c r="BV19" s="17" t="n"/>
      <c r="BW19" s="16" t="n"/>
      <c r="BX19" s="20" t="n"/>
      <c r="BY19" s="20" t="inlineStr">
        <is>
          <t>None</t>
        </is>
      </c>
      <c r="BZ19" s="17" t="n"/>
      <c r="CA19" s="16" t="n"/>
      <c r="CB19" s="20" t="n"/>
      <c r="CC19" s="20" t="inlineStr">
        <is>
          <t>None</t>
        </is>
      </c>
      <c r="CD19" s="17" t="n"/>
      <c r="CE19" s="16" t="n"/>
      <c r="CF19" s="20" t="n"/>
      <c r="CG19" s="20" t="inlineStr">
        <is>
          <t>None</t>
        </is>
      </c>
      <c r="CH19" s="17" t="n"/>
      <c r="CI19" s="16" t="n"/>
      <c r="CJ19" s="20" t="n"/>
      <c r="CK19" s="20" t="inlineStr">
        <is>
          <t>None</t>
        </is>
      </c>
      <c r="CL19" s="17" t="n"/>
      <c r="CM19" s="16" t="n"/>
      <c r="CN19" s="20" t="inlineStr">
        <is>
          <t>SOP 45-34</t>
        </is>
      </c>
      <c r="CO19" s="20" t="inlineStr">
        <is>
          <t>None</t>
        </is>
      </c>
      <c r="CP19" s="17" t="n"/>
      <c r="CQ19" s="16" t="n"/>
      <c r="CR19" s="20" t="n"/>
      <c r="CS19" s="20" t="inlineStr">
        <is>
          <t>None</t>
        </is>
      </c>
      <c r="CT19" s="17" t="n"/>
      <c r="CU19" s="16" t="n"/>
      <c r="CV19" s="20" t="n"/>
      <c r="CW19" s="20" t="inlineStr">
        <is>
          <t>None</t>
        </is>
      </c>
      <c r="CX19" s="17" t="n"/>
      <c r="CY19" s="16" t="n"/>
      <c r="CZ19" s="20" t="inlineStr">
        <is>
          <t>WTW Multimeter 3430 with FDO 925</t>
        </is>
      </c>
      <c r="DA19" s="20" t="inlineStr">
        <is>
          <t>None</t>
        </is>
      </c>
      <c r="DB19" s="17" t="n"/>
      <c r="DC19" s="16" t="n"/>
      <c r="DD19" s="20" t="n"/>
      <c r="DE19" s="20" t="inlineStr">
        <is>
          <t>None</t>
        </is>
      </c>
      <c r="DF19" s="17" t="n"/>
      <c r="DG19" s="16" t="n"/>
      <c r="DH19" s="20" t="inlineStr">
        <is>
          <t>SOP 45-09</t>
        </is>
      </c>
      <c r="DI19" s="20" t="inlineStr">
        <is>
          <t>None</t>
        </is>
      </c>
      <c r="DJ19" s="17" t="n"/>
      <c r="DK19" s="16" t="n"/>
      <c r="DL19" s="20" t="inlineStr">
        <is>
          <t>SOP 45-09 (SOP muss noch angepasst werden für VSS)</t>
        </is>
      </c>
      <c r="DM19" s="20" t="inlineStr">
        <is>
          <t>None</t>
        </is>
      </c>
      <c r="DN19" s="17" t="n"/>
      <c r="DO19" s="16" t="n"/>
      <c r="DP19" s="20" t="inlineStr">
        <is>
          <t>IC Organic Acids</t>
        </is>
      </c>
      <c r="DQ19" s="20" t="inlineStr">
        <is>
          <t>None</t>
        </is>
      </c>
      <c r="DR19" s="17" t="n"/>
      <c r="DS19" s="16" t="n"/>
      <c r="DT19" s="20" t="inlineStr">
        <is>
          <t>IC Organic Acids</t>
        </is>
      </c>
      <c r="DU19" s="20" t="inlineStr">
        <is>
          <t>None</t>
        </is>
      </c>
      <c r="DV19" s="17" t="n"/>
      <c r="DW19" s="16" t="n"/>
      <c r="DX19" s="20" t="inlineStr">
        <is>
          <t>IC Organic Acids</t>
        </is>
      </c>
      <c r="DY19" s="20" t="inlineStr">
        <is>
          <t>None</t>
        </is>
      </c>
      <c r="DZ19" s="17" t="n"/>
      <c r="EA19" s="16" t="n"/>
      <c r="EB19" s="20" t="inlineStr">
        <is>
          <t>IC Organic Acids</t>
        </is>
      </c>
      <c r="EC19" s="20" t="inlineStr">
        <is>
          <t>None</t>
        </is>
      </c>
      <c r="ED19" s="17" t="n"/>
      <c r="EE19" s="16" t="n"/>
      <c r="EF19" s="20" t="inlineStr">
        <is>
          <t>IC Organic Acids</t>
        </is>
      </c>
      <c r="EG19" s="20" t="inlineStr">
        <is>
          <t>None</t>
        </is>
      </c>
      <c r="EH19" s="17" t="n"/>
      <c r="EI19" s="16" t="n"/>
      <c r="EJ19" s="20" t="inlineStr">
        <is>
          <t>IC Organic Acids</t>
        </is>
      </c>
      <c r="EK19" s="20" t="inlineStr">
        <is>
          <t>None</t>
        </is>
      </c>
      <c r="EL19" s="17" t="n"/>
      <c r="EM19" s="16" t="n"/>
      <c r="EN19" s="20" t="inlineStr">
        <is>
          <t>IC Organic Acids</t>
        </is>
      </c>
      <c r="EO19" s="20" t="inlineStr">
        <is>
          <t>None</t>
        </is>
      </c>
      <c r="EP19" s="17" t="n"/>
      <c r="EQ19" s="16" t="n"/>
      <c r="ER19" s="20" t="inlineStr">
        <is>
          <t>IC Organic Acids</t>
        </is>
      </c>
      <c r="ES19" s="20" t="inlineStr">
        <is>
          <t>None</t>
        </is>
      </c>
      <c r="ET19" s="17" t="n"/>
      <c r="EU19" s="16" t="n"/>
      <c r="EV19" s="20" t="inlineStr">
        <is>
          <t>LC-MS</t>
        </is>
      </c>
      <c r="EW19" s="20" t="inlineStr">
        <is>
          <t>None</t>
        </is>
      </c>
      <c r="EX19" s="17" t="n"/>
      <c r="EY19" s="21" t="n"/>
      <c r="EZ19">
        <f>CONCATENATE(A19,B19)</f>
        <v/>
      </c>
      <c r="FA19">
        <f>CONCATENATE(SamplesX!A19,SamplesX!B19)</f>
        <v/>
      </c>
      <c r="FC19">
        <f>MATCH(EZ19,FA1:FA1008,0)</f>
        <v/>
      </c>
    </row>
    <row r="20">
      <c r="A20" s="16" t="inlineStr">
        <is>
          <t>BP</t>
        </is>
      </c>
      <c r="B20" s="17" t="inlineStr">
        <is>
          <t>25012</t>
        </is>
      </c>
      <c r="C20" s="10">
        <f>IF(ISNUMBER(FC20),INDIRECT("SamplesX!C"&amp;FC20),IF(ISNUMBER(FD20),INDIRECT("SamplesY!C"&amp;FD20),""))</f>
        <v/>
      </c>
      <c r="D20" s="12">
        <f>IF(ISNUMBER(FC20),INDIRECT("SamplesX!D"&amp;FC20),IF(ISNUMBER(FD20),INDIRECT("SamplesY!D"&amp;FD20),""))</f>
        <v/>
      </c>
      <c r="E20" s="12">
        <f>IF(ISNUMBER(FC20),INDIRECT("SamplesX!E"&amp;FC20),IF(ISNUMBER(FD20),INDIRECT("SamplesY!E"&amp;FD20),""))</f>
        <v/>
      </c>
      <c r="F20" s="11">
        <f>IF(ISNUMBER(FC20),INDIRECT("SamplesX!F"&amp;FC20),IF(ISNUMBER(FD20),INDIRECT("SamplesY!F"&amp;FD20),""))</f>
        <v/>
      </c>
      <c r="G20" s="18">
        <f>IF(ISNUMBER(FC20),INDIRECT("SamplesX!G"&amp;FC20),IF(ISNUMBER(FD20),INDIRECT("SamplesY!G"&amp;FD20),""))</f>
        <v/>
      </c>
      <c r="H20" s="19">
        <f>IF(ISNUMBER(FC20),INDIRECT("SamplesX!H"&amp;FC20),IF(ISNUMBER(FD20),INDIRECT("SamplesY!H"&amp;FD20),""))</f>
        <v/>
      </c>
      <c r="I20" s="16" t="n"/>
      <c r="J20" s="16" t="n"/>
      <c r="K20" s="16" t="n"/>
      <c r="L20" s="20" t="n"/>
      <c r="M20" s="20" t="inlineStr">
        <is>
          <t>None</t>
        </is>
      </c>
      <c r="N20" s="17" t="n"/>
      <c r="O20" s="16" t="n"/>
      <c r="P20" s="20" t="inlineStr">
        <is>
          <t>Shimadzu TOC-L</t>
        </is>
      </c>
      <c r="Q20" s="20" t="inlineStr">
        <is>
          <t>None</t>
        </is>
      </c>
      <c r="R20" s="17" t="n"/>
      <c r="S20" s="16" t="n"/>
      <c r="T20" s="20" t="inlineStr">
        <is>
          <t>Shimadzu TOC-L</t>
        </is>
      </c>
      <c r="U20" s="20" t="inlineStr">
        <is>
          <t>None</t>
        </is>
      </c>
      <c r="V20" s="17" t="n"/>
      <c r="W20" s="16" t="n"/>
      <c r="X20" s="20" t="n"/>
      <c r="Y20" s="20" t="inlineStr">
        <is>
          <t>None</t>
        </is>
      </c>
      <c r="Z20" s="17" t="n"/>
      <c r="AA20" s="16" t="n"/>
      <c r="AB20" s="20" t="n"/>
      <c r="AC20" s="20" t="inlineStr">
        <is>
          <t>None</t>
        </is>
      </c>
      <c r="AD20" s="17" t="n"/>
      <c r="AE20" s="16" t="inlineStr">
        <is>
          <t>155</t>
        </is>
      </c>
      <c r="AF20" s="20" t="inlineStr">
        <is>
          <t>IC Anionen</t>
        </is>
      </c>
      <c r="AG20" s="20" t="inlineStr">
        <is>
          <t>None</t>
        </is>
      </c>
      <c r="AH20" s="17" t="n"/>
      <c r="AI20" s="16" t="n"/>
      <c r="AJ20" s="20" t="n"/>
      <c r="AK20" s="20" t="inlineStr">
        <is>
          <t>None</t>
        </is>
      </c>
      <c r="AL20" s="17" t="n"/>
      <c r="AM20" s="16" t="n"/>
      <c r="AN20" s="20" t="inlineStr">
        <is>
          <t>IC Anionen</t>
        </is>
      </c>
      <c r="AO20" s="20" t="inlineStr">
        <is>
          <t>None</t>
        </is>
      </c>
      <c r="AP20" s="17" t="n"/>
      <c r="AQ20" s="16" t="n"/>
      <c r="AR20" s="20" t="n"/>
      <c r="AS20" s="20" t="inlineStr">
        <is>
          <t>None</t>
        </is>
      </c>
      <c r="AT20" s="17" t="n"/>
      <c r="AU20" s="16" t="inlineStr">
        <is>
          <t>14.0</t>
        </is>
      </c>
      <c r="AV20" s="20" t="inlineStr">
        <is>
          <t>IC Anionen</t>
        </is>
      </c>
      <c r="AW20" s="20" t="inlineStr">
        <is>
          <t>None</t>
        </is>
      </c>
      <c r="AX20" s="17" t="n"/>
      <c r="AY20" s="16" t="inlineStr">
        <is>
          <t>&lt;0.8</t>
        </is>
      </c>
      <c r="AZ20" s="20" t="inlineStr">
        <is>
          <t>IC Anionen</t>
        </is>
      </c>
      <c r="BA20" s="20" t="inlineStr">
        <is>
          <t>None</t>
        </is>
      </c>
      <c r="BB20" s="17" t="n"/>
      <c r="BC20" s="16" t="inlineStr">
        <is>
          <t>118</t>
        </is>
      </c>
      <c r="BD20" s="20" t="inlineStr">
        <is>
          <t>IC Kationen</t>
        </is>
      </c>
      <c r="BE20" s="20" t="inlineStr">
        <is>
          <t>None</t>
        </is>
      </c>
      <c r="BF20" s="17" t="n"/>
      <c r="BG20" s="16" t="inlineStr">
        <is>
          <t>40.8</t>
        </is>
      </c>
      <c r="BH20" s="20" t="inlineStr">
        <is>
          <t>IC Kationen</t>
        </is>
      </c>
      <c r="BI20" s="20" t="inlineStr">
        <is>
          <t>None</t>
        </is>
      </c>
      <c r="BJ20" s="17" t="n"/>
      <c r="BK20" s="16" t="inlineStr">
        <is>
          <t>15.3</t>
        </is>
      </c>
      <c r="BL20" s="20" t="inlineStr">
        <is>
          <t>IC Kationen</t>
        </is>
      </c>
      <c r="BM20" s="20" t="inlineStr">
        <is>
          <t>None</t>
        </is>
      </c>
      <c r="BN20" s="17" t="n"/>
      <c r="BO20" s="16" t="inlineStr">
        <is>
          <t>166</t>
        </is>
      </c>
      <c r="BP20" s="20" t="inlineStr">
        <is>
          <t>IC Kationen</t>
        </is>
      </c>
      <c r="BQ20" s="20" t="inlineStr">
        <is>
          <t>None</t>
        </is>
      </c>
      <c r="BR20" s="17" t="n"/>
      <c r="BS20" s="16" t="inlineStr">
        <is>
          <t>24.9</t>
        </is>
      </c>
      <c r="BT20" s="20" t="inlineStr">
        <is>
          <t>IC Kationen</t>
        </is>
      </c>
      <c r="BU20" s="20" t="inlineStr">
        <is>
          <t>None</t>
        </is>
      </c>
      <c r="BV20" s="17" t="n"/>
      <c r="BW20" s="16" t="n"/>
      <c r="BX20" s="20" t="n"/>
      <c r="BY20" s="20" t="inlineStr">
        <is>
          <t>None</t>
        </is>
      </c>
      <c r="BZ20" s="17" t="n"/>
      <c r="CA20" s="16" t="n"/>
      <c r="CB20" s="20" t="n"/>
      <c r="CC20" s="20" t="inlineStr">
        <is>
          <t>None</t>
        </is>
      </c>
      <c r="CD20" s="17" t="n"/>
      <c r="CE20" s="16" t="n"/>
      <c r="CF20" s="20" t="n"/>
      <c r="CG20" s="20" t="inlineStr">
        <is>
          <t>None</t>
        </is>
      </c>
      <c r="CH20" s="17" t="n"/>
      <c r="CI20" s="16" t="n"/>
      <c r="CJ20" s="20" t="n"/>
      <c r="CK20" s="20" t="inlineStr">
        <is>
          <t>None</t>
        </is>
      </c>
      <c r="CL20" s="17" t="n"/>
      <c r="CM20" s="16" t="n"/>
      <c r="CN20" s="20" t="inlineStr">
        <is>
          <t>SOP 45-34</t>
        </is>
      </c>
      <c r="CO20" s="20" t="inlineStr">
        <is>
          <t>None</t>
        </is>
      </c>
      <c r="CP20" s="17" t="n"/>
      <c r="CQ20" s="16" t="n"/>
      <c r="CR20" s="20" t="n"/>
      <c r="CS20" s="20" t="inlineStr">
        <is>
          <t>None</t>
        </is>
      </c>
      <c r="CT20" s="17" t="n"/>
      <c r="CU20" s="16" t="n"/>
      <c r="CV20" s="20" t="n"/>
      <c r="CW20" s="20" t="inlineStr">
        <is>
          <t>None</t>
        </is>
      </c>
      <c r="CX20" s="17" t="n"/>
      <c r="CY20" s="16" t="n"/>
      <c r="CZ20" s="20" t="inlineStr">
        <is>
          <t>WTW Multimeter 3430 with FDO 925</t>
        </is>
      </c>
      <c r="DA20" s="20" t="inlineStr">
        <is>
          <t>None</t>
        </is>
      </c>
      <c r="DB20" s="17" t="n"/>
      <c r="DC20" s="16" t="n"/>
      <c r="DD20" s="20" t="n"/>
      <c r="DE20" s="20" t="inlineStr">
        <is>
          <t>None</t>
        </is>
      </c>
      <c r="DF20" s="17" t="n"/>
      <c r="DG20" s="16" t="n"/>
      <c r="DH20" s="20" t="inlineStr">
        <is>
          <t>SOP 45-09</t>
        </is>
      </c>
      <c r="DI20" s="20" t="inlineStr">
        <is>
          <t>None</t>
        </is>
      </c>
      <c r="DJ20" s="17" t="n"/>
      <c r="DK20" s="16" t="n"/>
      <c r="DL20" s="20" t="inlineStr">
        <is>
          <t>SOP 45-09 (SOP muss noch angepasst werden für VSS)</t>
        </is>
      </c>
      <c r="DM20" s="20" t="inlineStr">
        <is>
          <t>None</t>
        </is>
      </c>
      <c r="DN20" s="17" t="n"/>
      <c r="DO20" s="16" t="n"/>
      <c r="DP20" s="20" t="inlineStr">
        <is>
          <t>IC Organic Acids</t>
        </is>
      </c>
      <c r="DQ20" s="20" t="inlineStr">
        <is>
          <t>None</t>
        </is>
      </c>
      <c r="DR20" s="17" t="n"/>
      <c r="DS20" s="16" t="n"/>
      <c r="DT20" s="20" t="inlineStr">
        <is>
          <t>IC Organic Acids</t>
        </is>
      </c>
      <c r="DU20" s="20" t="inlineStr">
        <is>
          <t>None</t>
        </is>
      </c>
      <c r="DV20" s="17" t="n"/>
      <c r="DW20" s="16" t="n"/>
      <c r="DX20" s="20" t="inlineStr">
        <is>
          <t>IC Organic Acids</t>
        </is>
      </c>
      <c r="DY20" s="20" t="inlineStr">
        <is>
          <t>None</t>
        </is>
      </c>
      <c r="DZ20" s="17" t="n"/>
      <c r="EA20" s="16" t="n"/>
      <c r="EB20" s="20" t="inlineStr">
        <is>
          <t>IC Organic Acids</t>
        </is>
      </c>
      <c r="EC20" s="20" t="inlineStr">
        <is>
          <t>None</t>
        </is>
      </c>
      <c r="ED20" s="17" t="n"/>
      <c r="EE20" s="16" t="n"/>
      <c r="EF20" s="20" t="inlineStr">
        <is>
          <t>IC Organic Acids</t>
        </is>
      </c>
      <c r="EG20" s="20" t="inlineStr">
        <is>
          <t>None</t>
        </is>
      </c>
      <c r="EH20" s="17" t="n"/>
      <c r="EI20" s="16" t="n"/>
      <c r="EJ20" s="20" t="inlineStr">
        <is>
          <t>IC Organic Acids</t>
        </is>
      </c>
      <c r="EK20" s="20" t="inlineStr">
        <is>
          <t>None</t>
        </is>
      </c>
      <c r="EL20" s="17" t="n"/>
      <c r="EM20" s="16" t="n"/>
      <c r="EN20" s="20" t="inlineStr">
        <is>
          <t>IC Organic Acids</t>
        </is>
      </c>
      <c r="EO20" s="20" t="inlineStr">
        <is>
          <t>None</t>
        </is>
      </c>
      <c r="EP20" s="17" t="n"/>
      <c r="EQ20" s="16" t="n"/>
      <c r="ER20" s="20" t="inlineStr">
        <is>
          <t>IC Organic Acids</t>
        </is>
      </c>
      <c r="ES20" s="20" t="inlineStr">
        <is>
          <t>None</t>
        </is>
      </c>
      <c r="ET20" s="17" t="n"/>
      <c r="EU20" s="16" t="n"/>
      <c r="EV20" s="20" t="inlineStr">
        <is>
          <t>LC-MS</t>
        </is>
      </c>
      <c r="EW20" s="20" t="inlineStr">
        <is>
          <t>None</t>
        </is>
      </c>
      <c r="EX20" s="17" t="n"/>
      <c r="EY20" s="21" t="n"/>
      <c r="EZ20">
        <f>CONCATENATE(A20,B20)</f>
        <v/>
      </c>
      <c r="FA20">
        <f>CONCATENATE(SamplesX!A20,SamplesX!B20)</f>
        <v/>
      </c>
      <c r="FC20">
        <f>MATCH(EZ20,FA1:FA1008,0)</f>
        <v/>
      </c>
    </row>
    <row r="21">
      <c r="A21" s="16" t="inlineStr">
        <is>
          <t>BP</t>
        </is>
      </c>
      <c r="B21" s="17" t="inlineStr">
        <is>
          <t>25013</t>
        </is>
      </c>
      <c r="C21" s="10">
        <f>IF(ISNUMBER(FC21),INDIRECT("SamplesX!C"&amp;FC21),IF(ISNUMBER(FD21),INDIRECT("SamplesY!C"&amp;FD21),""))</f>
        <v/>
      </c>
      <c r="D21" s="12">
        <f>IF(ISNUMBER(FC21),INDIRECT("SamplesX!D"&amp;FC21),IF(ISNUMBER(FD21),INDIRECT("SamplesY!D"&amp;FD21),""))</f>
        <v/>
      </c>
      <c r="E21" s="12">
        <f>IF(ISNUMBER(FC21),INDIRECT("SamplesX!E"&amp;FC21),IF(ISNUMBER(FD21),INDIRECT("SamplesY!E"&amp;FD21),""))</f>
        <v/>
      </c>
      <c r="F21" s="11">
        <f>IF(ISNUMBER(FC21),INDIRECT("SamplesX!F"&amp;FC21),IF(ISNUMBER(FD21),INDIRECT("SamplesY!F"&amp;FD21),""))</f>
        <v/>
      </c>
      <c r="G21" s="18">
        <f>IF(ISNUMBER(FC21),INDIRECT("SamplesX!G"&amp;FC21),IF(ISNUMBER(FD21),INDIRECT("SamplesY!G"&amp;FD21),""))</f>
        <v/>
      </c>
      <c r="H21" s="19">
        <f>IF(ISNUMBER(FC21),INDIRECT("SamplesX!H"&amp;FC21),IF(ISNUMBER(FD21),INDIRECT("SamplesY!H"&amp;FD21),""))</f>
        <v/>
      </c>
      <c r="I21" s="16" t="n"/>
      <c r="J21" s="16" t="n"/>
      <c r="K21" s="16" t="n"/>
      <c r="L21" s="20" t="n"/>
      <c r="M21" s="20" t="inlineStr">
        <is>
          <t>None</t>
        </is>
      </c>
      <c r="N21" s="17" t="n"/>
      <c r="O21" s="16" t="n"/>
      <c r="P21" s="20" t="inlineStr">
        <is>
          <t>Shimadzu TOC-L</t>
        </is>
      </c>
      <c r="Q21" s="20" t="inlineStr">
        <is>
          <t>None</t>
        </is>
      </c>
      <c r="R21" s="17" t="n"/>
      <c r="S21" s="16" t="n"/>
      <c r="T21" s="20" t="inlineStr">
        <is>
          <t>Shimadzu TOC-L</t>
        </is>
      </c>
      <c r="U21" s="20" t="inlineStr">
        <is>
          <t>None</t>
        </is>
      </c>
      <c r="V21" s="17" t="n"/>
      <c r="W21" s="16" t="n"/>
      <c r="X21" s="20" t="n"/>
      <c r="Y21" s="20" t="inlineStr">
        <is>
          <t>None</t>
        </is>
      </c>
      <c r="Z21" s="17" t="n"/>
      <c r="AA21" s="16" t="n"/>
      <c r="AB21" s="20" t="n"/>
      <c r="AC21" s="20" t="inlineStr">
        <is>
          <t>None</t>
        </is>
      </c>
      <c r="AD21" s="17" t="n"/>
      <c r="AE21" s="16" t="inlineStr">
        <is>
          <t>138</t>
        </is>
      </c>
      <c r="AF21" s="20" t="inlineStr">
        <is>
          <t>IC Anionen</t>
        </is>
      </c>
      <c r="AG21" s="20" t="inlineStr">
        <is>
          <t>None</t>
        </is>
      </c>
      <c r="AH21" s="17" t="n"/>
      <c r="AI21" s="16" t="n"/>
      <c r="AJ21" s="20" t="n"/>
      <c r="AK21" s="20" t="inlineStr">
        <is>
          <t>None</t>
        </is>
      </c>
      <c r="AL21" s="17" t="n"/>
      <c r="AM21" s="16" t="n"/>
      <c r="AN21" s="20" t="inlineStr">
        <is>
          <t>IC Anionen</t>
        </is>
      </c>
      <c r="AO21" s="20" t="inlineStr">
        <is>
          <t>None</t>
        </is>
      </c>
      <c r="AP21" s="17" t="n"/>
      <c r="AQ21" s="16" t="n"/>
      <c r="AR21" s="20" t="n"/>
      <c r="AS21" s="20" t="inlineStr">
        <is>
          <t>None</t>
        </is>
      </c>
      <c r="AT21" s="17" t="n"/>
      <c r="AU21" s="16" t="inlineStr">
        <is>
          <t>17.1</t>
        </is>
      </c>
      <c r="AV21" s="20" t="inlineStr">
        <is>
          <t>IC Anionen</t>
        </is>
      </c>
      <c r="AW21" s="20" t="inlineStr">
        <is>
          <t>None</t>
        </is>
      </c>
      <c r="AX21" s="17" t="n"/>
      <c r="AY21" s="16" t="inlineStr">
        <is>
          <t>&lt;0.8</t>
        </is>
      </c>
      <c r="AZ21" s="20" t="inlineStr">
        <is>
          <t>IC Anionen</t>
        </is>
      </c>
      <c r="BA21" s="20" t="inlineStr">
        <is>
          <t>None</t>
        </is>
      </c>
      <c r="BB21" s="17" t="n"/>
      <c r="BC21" s="16" t="inlineStr">
        <is>
          <t>107</t>
        </is>
      </c>
      <c r="BD21" s="20" t="inlineStr">
        <is>
          <t>IC Kationen</t>
        </is>
      </c>
      <c r="BE21" s="20" t="inlineStr">
        <is>
          <t>None</t>
        </is>
      </c>
      <c r="BF21" s="17" t="n"/>
      <c r="BG21" s="16" t="inlineStr">
        <is>
          <t>45.7</t>
        </is>
      </c>
      <c r="BH21" s="20" t="inlineStr">
        <is>
          <t>IC Kationen</t>
        </is>
      </c>
      <c r="BI21" s="20" t="inlineStr">
        <is>
          <t>None</t>
        </is>
      </c>
      <c r="BJ21" s="17" t="n"/>
      <c r="BK21" s="16" t="inlineStr">
        <is>
          <t>17.5</t>
        </is>
      </c>
      <c r="BL21" s="20" t="inlineStr">
        <is>
          <t>IC Kationen</t>
        </is>
      </c>
      <c r="BM21" s="20" t="inlineStr">
        <is>
          <t>None</t>
        </is>
      </c>
      <c r="BN21" s="17" t="n"/>
      <c r="BO21" s="16" t="inlineStr">
        <is>
          <t>187</t>
        </is>
      </c>
      <c r="BP21" s="20" t="inlineStr">
        <is>
          <t>IC Kationen</t>
        </is>
      </c>
      <c r="BQ21" s="20" t="inlineStr">
        <is>
          <t>None</t>
        </is>
      </c>
      <c r="BR21" s="17" t="n"/>
      <c r="BS21" s="16" t="inlineStr">
        <is>
          <t>24.5</t>
        </is>
      </c>
      <c r="BT21" s="20" t="inlineStr">
        <is>
          <t>IC Kationen</t>
        </is>
      </c>
      <c r="BU21" s="20" t="inlineStr">
        <is>
          <t>None</t>
        </is>
      </c>
      <c r="BV21" s="17" t="n"/>
      <c r="BW21" s="16" t="n"/>
      <c r="BX21" s="20" t="n"/>
      <c r="BY21" s="20" t="inlineStr">
        <is>
          <t>None</t>
        </is>
      </c>
      <c r="BZ21" s="17" t="n"/>
      <c r="CA21" s="16" t="n"/>
      <c r="CB21" s="20" t="n"/>
      <c r="CC21" s="20" t="inlineStr">
        <is>
          <t>None</t>
        </is>
      </c>
      <c r="CD21" s="17" t="n"/>
      <c r="CE21" s="16" t="n"/>
      <c r="CF21" s="20" t="n"/>
      <c r="CG21" s="20" t="inlineStr">
        <is>
          <t>None</t>
        </is>
      </c>
      <c r="CH21" s="17" t="n"/>
      <c r="CI21" s="16" t="n"/>
      <c r="CJ21" s="20" t="n"/>
      <c r="CK21" s="20" t="inlineStr">
        <is>
          <t>None</t>
        </is>
      </c>
      <c r="CL21" s="17" t="n"/>
      <c r="CM21" s="16" t="n"/>
      <c r="CN21" s="20" t="inlineStr">
        <is>
          <t>SOP 45-34</t>
        </is>
      </c>
      <c r="CO21" s="20" t="inlineStr">
        <is>
          <t>None</t>
        </is>
      </c>
      <c r="CP21" s="17" t="n"/>
      <c r="CQ21" s="16" t="n"/>
      <c r="CR21" s="20" t="n"/>
      <c r="CS21" s="20" t="inlineStr">
        <is>
          <t>None</t>
        </is>
      </c>
      <c r="CT21" s="17" t="n"/>
      <c r="CU21" s="16" t="n"/>
      <c r="CV21" s="20" t="n"/>
      <c r="CW21" s="20" t="inlineStr">
        <is>
          <t>None</t>
        </is>
      </c>
      <c r="CX21" s="17" t="n"/>
      <c r="CY21" s="16" t="n"/>
      <c r="CZ21" s="20" t="inlineStr">
        <is>
          <t>WTW Multimeter 3430 with FDO 925</t>
        </is>
      </c>
      <c r="DA21" s="20" t="inlineStr">
        <is>
          <t>None</t>
        </is>
      </c>
      <c r="DB21" s="17" t="n"/>
      <c r="DC21" s="16" t="n"/>
      <c r="DD21" s="20" t="n"/>
      <c r="DE21" s="20" t="inlineStr">
        <is>
          <t>None</t>
        </is>
      </c>
      <c r="DF21" s="17" t="n"/>
      <c r="DG21" s="16" t="n"/>
      <c r="DH21" s="20" t="inlineStr">
        <is>
          <t>SOP 45-09</t>
        </is>
      </c>
      <c r="DI21" s="20" t="inlineStr">
        <is>
          <t>None</t>
        </is>
      </c>
      <c r="DJ21" s="17" t="n"/>
      <c r="DK21" s="16" t="n"/>
      <c r="DL21" s="20" t="inlineStr">
        <is>
          <t>SOP 45-09 (SOP muss noch angepasst werden für VSS)</t>
        </is>
      </c>
      <c r="DM21" s="20" t="inlineStr">
        <is>
          <t>None</t>
        </is>
      </c>
      <c r="DN21" s="17" t="n"/>
      <c r="DO21" s="16" t="n"/>
      <c r="DP21" s="20" t="inlineStr">
        <is>
          <t>IC Organic Acids</t>
        </is>
      </c>
      <c r="DQ21" s="20" t="inlineStr">
        <is>
          <t>None</t>
        </is>
      </c>
      <c r="DR21" s="17" t="n"/>
      <c r="DS21" s="16" t="n"/>
      <c r="DT21" s="20" t="inlineStr">
        <is>
          <t>IC Organic Acids</t>
        </is>
      </c>
      <c r="DU21" s="20" t="inlineStr">
        <is>
          <t>None</t>
        </is>
      </c>
      <c r="DV21" s="17" t="n"/>
      <c r="DW21" s="16" t="n"/>
      <c r="DX21" s="20" t="inlineStr">
        <is>
          <t>IC Organic Acids</t>
        </is>
      </c>
      <c r="DY21" s="20" t="inlineStr">
        <is>
          <t>None</t>
        </is>
      </c>
      <c r="DZ21" s="17" t="n"/>
      <c r="EA21" s="16" t="n"/>
      <c r="EB21" s="20" t="inlineStr">
        <is>
          <t>IC Organic Acids</t>
        </is>
      </c>
      <c r="EC21" s="20" t="inlineStr">
        <is>
          <t>None</t>
        </is>
      </c>
      <c r="ED21" s="17" t="n"/>
      <c r="EE21" s="16" t="n"/>
      <c r="EF21" s="20" t="inlineStr">
        <is>
          <t>IC Organic Acids</t>
        </is>
      </c>
      <c r="EG21" s="20" t="inlineStr">
        <is>
          <t>None</t>
        </is>
      </c>
      <c r="EH21" s="17" t="n"/>
      <c r="EI21" s="16" t="n"/>
      <c r="EJ21" s="20" t="inlineStr">
        <is>
          <t>IC Organic Acids</t>
        </is>
      </c>
      <c r="EK21" s="20" t="inlineStr">
        <is>
          <t>None</t>
        </is>
      </c>
      <c r="EL21" s="17" t="n"/>
      <c r="EM21" s="16" t="n"/>
      <c r="EN21" s="20" t="inlineStr">
        <is>
          <t>IC Organic Acids</t>
        </is>
      </c>
      <c r="EO21" s="20" t="inlineStr">
        <is>
          <t>None</t>
        </is>
      </c>
      <c r="EP21" s="17" t="n"/>
      <c r="EQ21" s="16" t="n"/>
      <c r="ER21" s="20" t="inlineStr">
        <is>
          <t>IC Organic Acids</t>
        </is>
      </c>
      <c r="ES21" s="20" t="inlineStr">
        <is>
          <t>None</t>
        </is>
      </c>
      <c r="ET21" s="17" t="n"/>
      <c r="EU21" s="16" t="n"/>
      <c r="EV21" s="20" t="inlineStr">
        <is>
          <t>LC-MS</t>
        </is>
      </c>
      <c r="EW21" s="20" t="inlineStr">
        <is>
          <t>None</t>
        </is>
      </c>
      <c r="EX21" s="17" t="n"/>
      <c r="EY21" s="21" t="n"/>
      <c r="EZ21">
        <f>CONCATENATE(A21,B21)</f>
        <v/>
      </c>
      <c r="FA21">
        <f>CONCATENATE(SamplesX!A21,SamplesX!B21)</f>
        <v/>
      </c>
      <c r="FC21">
        <f>MATCH(EZ21,FA1:FA1008,0)</f>
        <v/>
      </c>
    </row>
    <row r="22">
      <c r="A22" s="16" t="inlineStr">
        <is>
          <t>BP</t>
        </is>
      </c>
      <c r="B22" s="17" t="inlineStr">
        <is>
          <t>25014</t>
        </is>
      </c>
      <c r="C22" s="10">
        <f>IF(ISNUMBER(FC22),INDIRECT("SamplesX!C"&amp;FC22),IF(ISNUMBER(FD22),INDIRECT("SamplesY!C"&amp;FD22),""))</f>
        <v/>
      </c>
      <c r="D22" s="12">
        <f>IF(ISNUMBER(FC22),INDIRECT("SamplesX!D"&amp;FC22),IF(ISNUMBER(FD22),INDIRECT("SamplesY!D"&amp;FD22),""))</f>
        <v/>
      </c>
      <c r="E22" s="12">
        <f>IF(ISNUMBER(FC22),INDIRECT("SamplesX!E"&amp;FC22),IF(ISNUMBER(FD22),INDIRECT("SamplesY!E"&amp;FD22),""))</f>
        <v/>
      </c>
      <c r="F22" s="11">
        <f>IF(ISNUMBER(FC22),INDIRECT("SamplesX!F"&amp;FC22),IF(ISNUMBER(FD22),INDIRECT("SamplesY!F"&amp;FD22),""))</f>
        <v/>
      </c>
      <c r="G22" s="18">
        <f>IF(ISNUMBER(FC22),INDIRECT("SamplesX!G"&amp;FC22),IF(ISNUMBER(FD22),INDIRECT("SamplesY!G"&amp;FD22),""))</f>
        <v/>
      </c>
      <c r="H22" s="19">
        <f>IF(ISNUMBER(FC22),INDIRECT("SamplesX!H"&amp;FC22),IF(ISNUMBER(FD22),INDIRECT("SamplesY!H"&amp;FD22),""))</f>
        <v/>
      </c>
      <c r="I22" s="16" t="n"/>
      <c r="J22" s="16" t="n"/>
      <c r="K22" s="16" t="n"/>
      <c r="L22" s="20" t="n"/>
      <c r="M22" s="20" t="inlineStr">
        <is>
          <t>None</t>
        </is>
      </c>
      <c r="N22" s="17" t="n"/>
      <c r="O22" s="16" t="n"/>
      <c r="P22" s="20" t="inlineStr">
        <is>
          <t>Shimadzu TOC-L</t>
        </is>
      </c>
      <c r="Q22" s="20" t="inlineStr">
        <is>
          <t>None</t>
        </is>
      </c>
      <c r="R22" s="17" t="n"/>
      <c r="S22" s="16" t="n"/>
      <c r="T22" s="20" t="inlineStr">
        <is>
          <t>Shimadzu TOC-L</t>
        </is>
      </c>
      <c r="U22" s="20" t="inlineStr">
        <is>
          <t>None</t>
        </is>
      </c>
      <c r="V22" s="17" t="n"/>
      <c r="W22" s="16" t="n"/>
      <c r="X22" s="20" t="n"/>
      <c r="Y22" s="20" t="inlineStr">
        <is>
          <t>None</t>
        </is>
      </c>
      <c r="Z22" s="17" t="n"/>
      <c r="AA22" s="16" t="n"/>
      <c r="AB22" s="20" t="n"/>
      <c r="AC22" s="20" t="inlineStr">
        <is>
          <t>None</t>
        </is>
      </c>
      <c r="AD22" s="17" t="n"/>
      <c r="AE22" s="16" t="inlineStr">
        <is>
          <t>132</t>
        </is>
      </c>
      <c r="AF22" s="20" t="inlineStr">
        <is>
          <t>IC Anionen</t>
        </is>
      </c>
      <c r="AG22" s="20" t="inlineStr">
        <is>
          <t>None</t>
        </is>
      </c>
      <c r="AH22" s="17" t="n"/>
      <c r="AI22" s="16" t="n"/>
      <c r="AJ22" s="20" t="n"/>
      <c r="AK22" s="20" t="inlineStr">
        <is>
          <t>None</t>
        </is>
      </c>
      <c r="AL22" s="17" t="n"/>
      <c r="AM22" s="16" t="n"/>
      <c r="AN22" s="20" t="inlineStr">
        <is>
          <t>IC Anionen</t>
        </is>
      </c>
      <c r="AO22" s="20" t="inlineStr">
        <is>
          <t>None</t>
        </is>
      </c>
      <c r="AP22" s="17" t="n"/>
      <c r="AQ22" s="16" t="n"/>
      <c r="AR22" s="20" t="n"/>
      <c r="AS22" s="20" t="inlineStr">
        <is>
          <t>None</t>
        </is>
      </c>
      <c r="AT22" s="17" t="n"/>
      <c r="AU22" s="16" t="inlineStr">
        <is>
          <t>14.9</t>
        </is>
      </c>
      <c r="AV22" s="20" t="inlineStr">
        <is>
          <t>IC Anionen</t>
        </is>
      </c>
      <c r="AW22" s="20" t="inlineStr">
        <is>
          <t>None</t>
        </is>
      </c>
      <c r="AX22" s="17" t="n"/>
      <c r="AY22" s="16" t="inlineStr">
        <is>
          <t>&lt;0.8</t>
        </is>
      </c>
      <c r="AZ22" s="20" t="inlineStr">
        <is>
          <t>IC Anionen</t>
        </is>
      </c>
      <c r="BA22" s="20" t="inlineStr">
        <is>
          <t>None</t>
        </is>
      </c>
      <c r="BB22" s="17" t="n"/>
      <c r="BC22" s="16" t="inlineStr">
        <is>
          <t>102</t>
        </is>
      </c>
      <c r="BD22" s="20" t="inlineStr">
        <is>
          <t>IC Kationen</t>
        </is>
      </c>
      <c r="BE22" s="20" t="inlineStr">
        <is>
          <t>None</t>
        </is>
      </c>
      <c r="BF22" s="17" t="n"/>
      <c r="BG22" s="16" t="inlineStr">
        <is>
          <t>44.4</t>
        </is>
      </c>
      <c r="BH22" s="20" t="inlineStr">
        <is>
          <t>IC Kationen</t>
        </is>
      </c>
      <c r="BI22" s="20" t="inlineStr">
        <is>
          <t>None</t>
        </is>
      </c>
      <c r="BJ22" s="17" t="n"/>
      <c r="BK22" s="16" t="inlineStr">
        <is>
          <t>16.0</t>
        </is>
      </c>
      <c r="BL22" s="20" t="inlineStr">
        <is>
          <t>IC Kationen</t>
        </is>
      </c>
      <c r="BM22" s="20" t="inlineStr">
        <is>
          <t>None</t>
        </is>
      </c>
      <c r="BN22" s="17" t="n"/>
      <c r="BO22" s="16" t="inlineStr">
        <is>
          <t>190</t>
        </is>
      </c>
      <c r="BP22" s="20" t="inlineStr">
        <is>
          <t>IC Kationen</t>
        </is>
      </c>
      <c r="BQ22" s="20" t="inlineStr">
        <is>
          <t>None</t>
        </is>
      </c>
      <c r="BR22" s="17" t="n"/>
      <c r="BS22" s="16" t="inlineStr">
        <is>
          <t>24.8</t>
        </is>
      </c>
      <c r="BT22" s="20" t="inlineStr">
        <is>
          <t>IC Kationen</t>
        </is>
      </c>
      <c r="BU22" s="20" t="inlineStr">
        <is>
          <t>None</t>
        </is>
      </c>
      <c r="BV22" s="17" t="n"/>
      <c r="BW22" s="16" t="n"/>
      <c r="BX22" s="20" t="n"/>
      <c r="BY22" s="20" t="inlineStr">
        <is>
          <t>None</t>
        </is>
      </c>
      <c r="BZ22" s="17" t="n"/>
      <c r="CA22" s="16" t="n"/>
      <c r="CB22" s="20" t="n"/>
      <c r="CC22" s="20" t="inlineStr">
        <is>
          <t>None</t>
        </is>
      </c>
      <c r="CD22" s="17" t="n"/>
      <c r="CE22" s="16" t="n"/>
      <c r="CF22" s="20" t="n"/>
      <c r="CG22" s="20" t="inlineStr">
        <is>
          <t>None</t>
        </is>
      </c>
      <c r="CH22" s="17" t="n"/>
      <c r="CI22" s="16" t="n"/>
      <c r="CJ22" s="20" t="n"/>
      <c r="CK22" s="20" t="inlineStr">
        <is>
          <t>None</t>
        </is>
      </c>
      <c r="CL22" s="17" t="n"/>
      <c r="CM22" s="16" t="n"/>
      <c r="CN22" s="20" t="inlineStr">
        <is>
          <t>SOP 45-34</t>
        </is>
      </c>
      <c r="CO22" s="20" t="inlineStr">
        <is>
          <t>None</t>
        </is>
      </c>
      <c r="CP22" s="17" t="n"/>
      <c r="CQ22" s="16" t="n"/>
      <c r="CR22" s="20" t="n"/>
      <c r="CS22" s="20" t="inlineStr">
        <is>
          <t>None</t>
        </is>
      </c>
      <c r="CT22" s="17" t="n"/>
      <c r="CU22" s="16" t="n"/>
      <c r="CV22" s="20" t="n"/>
      <c r="CW22" s="20" t="inlineStr">
        <is>
          <t>None</t>
        </is>
      </c>
      <c r="CX22" s="17" t="n"/>
      <c r="CY22" s="16" t="n"/>
      <c r="CZ22" s="20" t="inlineStr">
        <is>
          <t>WTW Multimeter 3430 with FDO 925</t>
        </is>
      </c>
      <c r="DA22" s="20" t="inlineStr">
        <is>
          <t>None</t>
        </is>
      </c>
      <c r="DB22" s="17" t="n"/>
      <c r="DC22" s="16" t="n"/>
      <c r="DD22" s="20" t="n"/>
      <c r="DE22" s="20" t="inlineStr">
        <is>
          <t>None</t>
        </is>
      </c>
      <c r="DF22" s="17" t="n"/>
      <c r="DG22" s="16" t="n"/>
      <c r="DH22" s="20" t="inlineStr">
        <is>
          <t>SOP 45-09</t>
        </is>
      </c>
      <c r="DI22" s="20" t="inlineStr">
        <is>
          <t>None</t>
        </is>
      </c>
      <c r="DJ22" s="17" t="n"/>
      <c r="DK22" s="16" t="n"/>
      <c r="DL22" s="20" t="inlineStr">
        <is>
          <t>SOP 45-09 (SOP muss noch angepasst werden für VSS)</t>
        </is>
      </c>
      <c r="DM22" s="20" t="inlineStr">
        <is>
          <t>None</t>
        </is>
      </c>
      <c r="DN22" s="17" t="n"/>
      <c r="DO22" s="16" t="n"/>
      <c r="DP22" s="20" t="inlineStr">
        <is>
          <t>IC Organic Acids</t>
        </is>
      </c>
      <c r="DQ22" s="20" t="inlineStr">
        <is>
          <t>None</t>
        </is>
      </c>
      <c r="DR22" s="17" t="n"/>
      <c r="DS22" s="16" t="n"/>
      <c r="DT22" s="20" t="inlineStr">
        <is>
          <t>IC Organic Acids</t>
        </is>
      </c>
      <c r="DU22" s="20" t="inlineStr">
        <is>
          <t>None</t>
        </is>
      </c>
      <c r="DV22" s="17" t="n"/>
      <c r="DW22" s="16" t="n"/>
      <c r="DX22" s="20" t="inlineStr">
        <is>
          <t>IC Organic Acids</t>
        </is>
      </c>
      <c r="DY22" s="20" t="inlineStr">
        <is>
          <t>None</t>
        </is>
      </c>
      <c r="DZ22" s="17" t="n"/>
      <c r="EA22" s="16" t="n"/>
      <c r="EB22" s="20" t="inlineStr">
        <is>
          <t>IC Organic Acids</t>
        </is>
      </c>
      <c r="EC22" s="20" t="inlineStr">
        <is>
          <t>None</t>
        </is>
      </c>
      <c r="ED22" s="17" t="n"/>
      <c r="EE22" s="16" t="n"/>
      <c r="EF22" s="20" t="inlineStr">
        <is>
          <t>IC Organic Acids</t>
        </is>
      </c>
      <c r="EG22" s="20" t="inlineStr">
        <is>
          <t>None</t>
        </is>
      </c>
      <c r="EH22" s="17" t="n"/>
      <c r="EI22" s="16" t="n"/>
      <c r="EJ22" s="20" t="inlineStr">
        <is>
          <t>IC Organic Acids</t>
        </is>
      </c>
      <c r="EK22" s="20" t="inlineStr">
        <is>
          <t>None</t>
        </is>
      </c>
      <c r="EL22" s="17" t="n"/>
      <c r="EM22" s="16" t="n"/>
      <c r="EN22" s="20" t="inlineStr">
        <is>
          <t>IC Organic Acids</t>
        </is>
      </c>
      <c r="EO22" s="20" t="inlineStr">
        <is>
          <t>None</t>
        </is>
      </c>
      <c r="EP22" s="17" t="n"/>
      <c r="EQ22" s="16" t="n"/>
      <c r="ER22" s="20" t="inlineStr">
        <is>
          <t>IC Organic Acids</t>
        </is>
      </c>
      <c r="ES22" s="20" t="inlineStr">
        <is>
          <t>None</t>
        </is>
      </c>
      <c r="ET22" s="17" t="n"/>
      <c r="EU22" s="16" t="n"/>
      <c r="EV22" s="20" t="inlineStr">
        <is>
          <t>LC-MS</t>
        </is>
      </c>
      <c r="EW22" s="20" t="inlineStr">
        <is>
          <t>None</t>
        </is>
      </c>
      <c r="EX22" s="17" t="n"/>
      <c r="EY22" s="21" t="n"/>
      <c r="EZ22">
        <f>CONCATENATE(A22,B22)</f>
        <v/>
      </c>
      <c r="FA22">
        <f>CONCATENATE(SamplesX!A22,SamplesX!B22)</f>
        <v/>
      </c>
      <c r="FC22">
        <f>MATCH(EZ22,FA1:FA1008,0)</f>
        <v/>
      </c>
    </row>
    <row r="23">
      <c r="A23" s="16" t="inlineStr">
        <is>
          <t>BP</t>
        </is>
      </c>
      <c r="B23" s="17" t="inlineStr">
        <is>
          <t>25015</t>
        </is>
      </c>
      <c r="C23" s="10">
        <f>IF(ISNUMBER(FC23),INDIRECT("SamplesX!C"&amp;FC23),IF(ISNUMBER(FD23),INDIRECT("SamplesY!C"&amp;FD23),""))</f>
        <v/>
      </c>
      <c r="D23" s="12">
        <f>IF(ISNUMBER(FC23),INDIRECT("SamplesX!D"&amp;FC23),IF(ISNUMBER(FD23),INDIRECT("SamplesY!D"&amp;FD23),""))</f>
        <v/>
      </c>
      <c r="E23" s="12">
        <f>IF(ISNUMBER(FC23),INDIRECT("SamplesX!E"&amp;FC23),IF(ISNUMBER(FD23),INDIRECT("SamplesY!E"&amp;FD23),""))</f>
        <v/>
      </c>
      <c r="F23" s="11">
        <f>IF(ISNUMBER(FC23),INDIRECT("SamplesX!F"&amp;FC23),IF(ISNUMBER(FD23),INDIRECT("SamplesY!F"&amp;FD23),""))</f>
        <v/>
      </c>
      <c r="G23" s="18">
        <f>IF(ISNUMBER(FC23),INDIRECT("SamplesX!G"&amp;FC23),IF(ISNUMBER(FD23),INDIRECT("SamplesY!G"&amp;FD23),""))</f>
        <v/>
      </c>
      <c r="H23" s="19">
        <f>IF(ISNUMBER(FC23),INDIRECT("SamplesX!H"&amp;FC23),IF(ISNUMBER(FD23),INDIRECT("SamplesY!H"&amp;FD23),""))</f>
        <v/>
      </c>
      <c r="I23" s="16" t="n"/>
      <c r="J23" s="16" t="n"/>
      <c r="K23" s="16" t="n"/>
      <c r="L23" s="20" t="n"/>
      <c r="M23" s="20" t="inlineStr">
        <is>
          <t>None</t>
        </is>
      </c>
      <c r="N23" s="17" t="n"/>
      <c r="O23" s="16" t="n"/>
      <c r="P23" s="20" t="inlineStr">
        <is>
          <t>Shimadzu TOC-L</t>
        </is>
      </c>
      <c r="Q23" s="20" t="inlineStr">
        <is>
          <t>None</t>
        </is>
      </c>
      <c r="R23" s="17" t="n"/>
      <c r="S23" s="16" t="n"/>
      <c r="T23" s="20" t="inlineStr">
        <is>
          <t>Shimadzu TOC-L</t>
        </is>
      </c>
      <c r="U23" s="20" t="inlineStr">
        <is>
          <t>None</t>
        </is>
      </c>
      <c r="V23" s="17" t="n"/>
      <c r="W23" s="16" t="n"/>
      <c r="X23" s="20" t="n"/>
      <c r="Y23" s="20" t="inlineStr">
        <is>
          <t>None</t>
        </is>
      </c>
      <c r="Z23" s="17" t="n"/>
      <c r="AA23" s="16" t="n"/>
      <c r="AB23" s="20" t="n"/>
      <c r="AC23" s="20" t="inlineStr">
        <is>
          <t>None</t>
        </is>
      </c>
      <c r="AD23" s="17" t="n"/>
      <c r="AE23" s="16" t="inlineStr">
        <is>
          <t>128</t>
        </is>
      </c>
      <c r="AF23" s="20" t="inlineStr">
        <is>
          <t>IC Anionen</t>
        </is>
      </c>
      <c r="AG23" s="20" t="inlineStr">
        <is>
          <t>None</t>
        </is>
      </c>
      <c r="AH23" s="17" t="n"/>
      <c r="AI23" s="16" t="n"/>
      <c r="AJ23" s="20" t="n"/>
      <c r="AK23" s="20" t="inlineStr">
        <is>
          <t>None</t>
        </is>
      </c>
      <c r="AL23" s="17" t="n"/>
      <c r="AM23" s="16" t="n"/>
      <c r="AN23" s="20" t="inlineStr">
        <is>
          <t>IC Anionen</t>
        </is>
      </c>
      <c r="AO23" s="20" t="inlineStr">
        <is>
          <t>None</t>
        </is>
      </c>
      <c r="AP23" s="17" t="n"/>
      <c r="AQ23" s="16" t="n"/>
      <c r="AR23" s="20" t="n"/>
      <c r="AS23" s="20" t="inlineStr">
        <is>
          <t>None</t>
        </is>
      </c>
      <c r="AT23" s="17" t="n"/>
      <c r="AU23" s="16" t="inlineStr">
        <is>
          <t>15.8</t>
        </is>
      </c>
      <c r="AV23" s="20" t="inlineStr">
        <is>
          <t>IC Anionen</t>
        </is>
      </c>
      <c r="AW23" s="20" t="inlineStr">
        <is>
          <t>None</t>
        </is>
      </c>
      <c r="AX23" s="17" t="n"/>
      <c r="AY23" s="16" t="inlineStr">
        <is>
          <t>0.84</t>
        </is>
      </c>
      <c r="AZ23" s="20" t="inlineStr">
        <is>
          <t>IC Anionen</t>
        </is>
      </c>
      <c r="BA23" s="20" t="inlineStr">
        <is>
          <t>None</t>
        </is>
      </c>
      <c r="BB23" s="17" t="n"/>
      <c r="BC23" s="16" t="inlineStr">
        <is>
          <t>109</t>
        </is>
      </c>
      <c r="BD23" s="20" t="inlineStr">
        <is>
          <t>IC Kationen</t>
        </is>
      </c>
      <c r="BE23" s="20" t="inlineStr">
        <is>
          <t>None</t>
        </is>
      </c>
      <c r="BF23" s="17" t="n"/>
      <c r="BG23" s="16" t="inlineStr">
        <is>
          <t>46.9</t>
        </is>
      </c>
      <c r="BH23" s="20" t="inlineStr">
        <is>
          <t>IC Kationen</t>
        </is>
      </c>
      <c r="BI23" s="20" t="inlineStr">
        <is>
          <t>None</t>
        </is>
      </c>
      <c r="BJ23" s="17" t="n"/>
      <c r="BK23" s="16" t="inlineStr">
        <is>
          <t>15.6</t>
        </is>
      </c>
      <c r="BL23" s="20" t="inlineStr">
        <is>
          <t>IC Kationen</t>
        </is>
      </c>
      <c r="BM23" s="20" t="inlineStr">
        <is>
          <t>None</t>
        </is>
      </c>
      <c r="BN23" s="17" t="n"/>
      <c r="BO23" s="16" t="inlineStr">
        <is>
          <t>190</t>
        </is>
      </c>
      <c r="BP23" s="20" t="inlineStr">
        <is>
          <t>IC Kationen</t>
        </is>
      </c>
      <c r="BQ23" s="20" t="inlineStr">
        <is>
          <t>None</t>
        </is>
      </c>
      <c r="BR23" s="17" t="n"/>
      <c r="BS23" s="16" t="inlineStr">
        <is>
          <t>24.7</t>
        </is>
      </c>
      <c r="BT23" s="20" t="inlineStr">
        <is>
          <t>IC Kationen</t>
        </is>
      </c>
      <c r="BU23" s="20" t="inlineStr">
        <is>
          <t>None</t>
        </is>
      </c>
      <c r="BV23" s="17" t="n"/>
      <c r="BW23" s="16" t="n"/>
      <c r="BX23" s="20" t="n"/>
      <c r="BY23" s="20" t="inlineStr">
        <is>
          <t>None</t>
        </is>
      </c>
      <c r="BZ23" s="17" t="n"/>
      <c r="CA23" s="16" t="n"/>
      <c r="CB23" s="20" t="n"/>
      <c r="CC23" s="20" t="inlineStr">
        <is>
          <t>None</t>
        </is>
      </c>
      <c r="CD23" s="17" t="n"/>
      <c r="CE23" s="16" t="n"/>
      <c r="CF23" s="20" t="n"/>
      <c r="CG23" s="20" t="inlineStr">
        <is>
          <t>None</t>
        </is>
      </c>
      <c r="CH23" s="17" t="n"/>
      <c r="CI23" s="16" t="n"/>
      <c r="CJ23" s="20" t="n"/>
      <c r="CK23" s="20" t="inlineStr">
        <is>
          <t>None</t>
        </is>
      </c>
      <c r="CL23" s="17" t="n"/>
      <c r="CM23" s="16" t="n"/>
      <c r="CN23" s="20" t="inlineStr">
        <is>
          <t>SOP 45-34</t>
        </is>
      </c>
      <c r="CO23" s="20" t="inlineStr">
        <is>
          <t>None</t>
        </is>
      </c>
      <c r="CP23" s="17" t="n"/>
      <c r="CQ23" s="16" t="n"/>
      <c r="CR23" s="20" t="n"/>
      <c r="CS23" s="20" t="inlineStr">
        <is>
          <t>None</t>
        </is>
      </c>
      <c r="CT23" s="17" t="n"/>
      <c r="CU23" s="16" t="n"/>
      <c r="CV23" s="20" t="n"/>
      <c r="CW23" s="20" t="inlineStr">
        <is>
          <t>None</t>
        </is>
      </c>
      <c r="CX23" s="17" t="n"/>
      <c r="CY23" s="16" t="n"/>
      <c r="CZ23" s="20" t="inlineStr">
        <is>
          <t>WTW Multimeter 3430 with FDO 925</t>
        </is>
      </c>
      <c r="DA23" s="20" t="inlineStr">
        <is>
          <t>None</t>
        </is>
      </c>
      <c r="DB23" s="17" t="n"/>
      <c r="DC23" s="16" t="n"/>
      <c r="DD23" s="20" t="n"/>
      <c r="DE23" s="20" t="inlineStr">
        <is>
          <t>None</t>
        </is>
      </c>
      <c r="DF23" s="17" t="n"/>
      <c r="DG23" s="16" t="n"/>
      <c r="DH23" s="20" t="inlineStr">
        <is>
          <t>SOP 45-09</t>
        </is>
      </c>
      <c r="DI23" s="20" t="inlineStr">
        <is>
          <t>None</t>
        </is>
      </c>
      <c r="DJ23" s="17" t="n"/>
      <c r="DK23" s="16" t="n"/>
      <c r="DL23" s="20" t="inlineStr">
        <is>
          <t>SOP 45-09 (SOP muss noch angepasst werden für VSS)</t>
        </is>
      </c>
      <c r="DM23" s="20" t="inlineStr">
        <is>
          <t>None</t>
        </is>
      </c>
      <c r="DN23" s="17" t="n"/>
      <c r="DO23" s="16" t="n"/>
      <c r="DP23" s="20" t="inlineStr">
        <is>
          <t>IC Organic Acids</t>
        </is>
      </c>
      <c r="DQ23" s="20" t="inlineStr">
        <is>
          <t>None</t>
        </is>
      </c>
      <c r="DR23" s="17" t="n"/>
      <c r="DS23" s="16" t="n"/>
      <c r="DT23" s="20" t="inlineStr">
        <is>
          <t>IC Organic Acids</t>
        </is>
      </c>
      <c r="DU23" s="20" t="inlineStr">
        <is>
          <t>None</t>
        </is>
      </c>
      <c r="DV23" s="17" t="n"/>
      <c r="DW23" s="16" t="n"/>
      <c r="DX23" s="20" t="inlineStr">
        <is>
          <t>IC Organic Acids</t>
        </is>
      </c>
      <c r="DY23" s="20" t="inlineStr">
        <is>
          <t>None</t>
        </is>
      </c>
      <c r="DZ23" s="17" t="n"/>
      <c r="EA23" s="16" t="n"/>
      <c r="EB23" s="20" t="inlineStr">
        <is>
          <t>IC Organic Acids</t>
        </is>
      </c>
      <c r="EC23" s="20" t="inlineStr">
        <is>
          <t>None</t>
        </is>
      </c>
      <c r="ED23" s="17" t="n"/>
      <c r="EE23" s="16" t="n"/>
      <c r="EF23" s="20" t="inlineStr">
        <is>
          <t>IC Organic Acids</t>
        </is>
      </c>
      <c r="EG23" s="20" t="inlineStr">
        <is>
          <t>None</t>
        </is>
      </c>
      <c r="EH23" s="17" t="n"/>
      <c r="EI23" s="16" t="n"/>
      <c r="EJ23" s="20" t="inlineStr">
        <is>
          <t>IC Organic Acids</t>
        </is>
      </c>
      <c r="EK23" s="20" t="inlineStr">
        <is>
          <t>None</t>
        </is>
      </c>
      <c r="EL23" s="17" t="n"/>
      <c r="EM23" s="16" t="n"/>
      <c r="EN23" s="20" t="inlineStr">
        <is>
          <t>IC Organic Acids</t>
        </is>
      </c>
      <c r="EO23" s="20" t="inlineStr">
        <is>
          <t>None</t>
        </is>
      </c>
      <c r="EP23" s="17" t="n"/>
      <c r="EQ23" s="16" t="n"/>
      <c r="ER23" s="20" t="inlineStr">
        <is>
          <t>IC Organic Acids</t>
        </is>
      </c>
      <c r="ES23" s="20" t="inlineStr">
        <is>
          <t>None</t>
        </is>
      </c>
      <c r="ET23" s="17" t="n"/>
      <c r="EU23" s="16" t="n"/>
      <c r="EV23" s="20" t="inlineStr">
        <is>
          <t>LC-MS</t>
        </is>
      </c>
      <c r="EW23" s="20" t="inlineStr">
        <is>
          <t>None</t>
        </is>
      </c>
      <c r="EX23" s="17" t="n"/>
      <c r="EY23" s="21" t="n"/>
      <c r="EZ23">
        <f>CONCATENATE(A23,B23)</f>
        <v/>
      </c>
      <c r="FA23">
        <f>CONCATENATE(SamplesX!A23,SamplesX!B23)</f>
        <v/>
      </c>
      <c r="FC23">
        <f>MATCH(EZ23,FA1:FA1008,0)</f>
        <v/>
      </c>
    </row>
    <row r="24">
      <c r="A24" s="16" t="inlineStr">
        <is>
          <t>BP</t>
        </is>
      </c>
      <c r="B24" s="17" t="inlineStr">
        <is>
          <t>25016</t>
        </is>
      </c>
      <c r="C24" s="10">
        <f>IF(ISNUMBER(FC24),INDIRECT("SamplesX!C"&amp;FC24),IF(ISNUMBER(FD24),INDIRECT("SamplesY!C"&amp;FD24),""))</f>
        <v/>
      </c>
      <c r="D24" s="12">
        <f>IF(ISNUMBER(FC24),INDIRECT("SamplesX!D"&amp;FC24),IF(ISNUMBER(FD24),INDIRECT("SamplesY!D"&amp;FD24),""))</f>
        <v/>
      </c>
      <c r="E24" s="12">
        <f>IF(ISNUMBER(FC24),INDIRECT("SamplesX!E"&amp;FC24),IF(ISNUMBER(FD24),INDIRECT("SamplesY!E"&amp;FD24),""))</f>
        <v/>
      </c>
      <c r="F24" s="11">
        <f>IF(ISNUMBER(FC24),INDIRECT("SamplesX!F"&amp;FC24),IF(ISNUMBER(FD24),INDIRECT("SamplesY!F"&amp;FD24),""))</f>
        <v/>
      </c>
      <c r="G24" s="18">
        <f>IF(ISNUMBER(FC24),INDIRECT("SamplesX!G"&amp;FC24),IF(ISNUMBER(FD24),INDIRECT("SamplesY!G"&amp;FD24),""))</f>
        <v/>
      </c>
      <c r="H24" s="19">
        <f>IF(ISNUMBER(FC24),INDIRECT("SamplesX!H"&amp;FC24),IF(ISNUMBER(FD24),INDIRECT("SamplesY!H"&amp;FD24),""))</f>
        <v/>
      </c>
      <c r="I24" s="16" t="n"/>
      <c r="J24" s="16" t="n"/>
      <c r="K24" s="16" t="n"/>
      <c r="L24" s="20" t="n"/>
      <c r="M24" s="20" t="inlineStr">
        <is>
          <t>None</t>
        </is>
      </c>
      <c r="N24" s="17" t="n"/>
      <c r="O24" s="16" t="n"/>
      <c r="P24" s="20" t="inlineStr">
        <is>
          <t>Shimadzu TOC-L</t>
        </is>
      </c>
      <c r="Q24" s="20" t="inlineStr">
        <is>
          <t>None</t>
        </is>
      </c>
      <c r="R24" s="17" t="n"/>
      <c r="S24" s="16" t="n"/>
      <c r="T24" s="20" t="inlineStr">
        <is>
          <t>Shimadzu TOC-L</t>
        </is>
      </c>
      <c r="U24" s="20" t="inlineStr">
        <is>
          <t>None</t>
        </is>
      </c>
      <c r="V24" s="17" t="n"/>
      <c r="W24" s="16" t="n"/>
      <c r="X24" s="20" t="n"/>
      <c r="Y24" s="20" t="inlineStr">
        <is>
          <t>None</t>
        </is>
      </c>
      <c r="Z24" s="17" t="n"/>
      <c r="AA24" s="16" t="n"/>
      <c r="AB24" s="20" t="n"/>
      <c r="AC24" s="20" t="inlineStr">
        <is>
          <t>None</t>
        </is>
      </c>
      <c r="AD24" s="17" t="n"/>
      <c r="AE24" s="16" t="inlineStr">
        <is>
          <t>133</t>
        </is>
      </c>
      <c r="AF24" s="20" t="inlineStr">
        <is>
          <t>IC Anionen</t>
        </is>
      </c>
      <c r="AG24" s="20" t="inlineStr">
        <is>
          <t>None</t>
        </is>
      </c>
      <c r="AH24" s="17" t="n"/>
      <c r="AI24" s="16" t="n"/>
      <c r="AJ24" s="20" t="n"/>
      <c r="AK24" s="20" t="inlineStr">
        <is>
          <t>None</t>
        </is>
      </c>
      <c r="AL24" s="17" t="n"/>
      <c r="AM24" s="16" t="n"/>
      <c r="AN24" s="20" t="inlineStr">
        <is>
          <t>IC Anionen</t>
        </is>
      </c>
      <c r="AO24" s="20" t="inlineStr">
        <is>
          <t>None</t>
        </is>
      </c>
      <c r="AP24" s="17" t="n"/>
      <c r="AQ24" s="16" t="n"/>
      <c r="AR24" s="20" t="n"/>
      <c r="AS24" s="20" t="inlineStr">
        <is>
          <t>None</t>
        </is>
      </c>
      <c r="AT24" s="17" t="n"/>
      <c r="AU24" s="16" t="inlineStr">
        <is>
          <t>14.5</t>
        </is>
      </c>
      <c r="AV24" s="20" t="inlineStr">
        <is>
          <t>IC Anionen</t>
        </is>
      </c>
      <c r="AW24" s="20" t="inlineStr">
        <is>
          <t>None</t>
        </is>
      </c>
      <c r="AX24" s="17" t="n"/>
      <c r="AY24" s="16" t="inlineStr">
        <is>
          <t>&lt;0.8</t>
        </is>
      </c>
      <c r="AZ24" s="20" t="inlineStr">
        <is>
          <t>IC Anionen</t>
        </is>
      </c>
      <c r="BA24" s="20" t="inlineStr">
        <is>
          <t>None</t>
        </is>
      </c>
      <c r="BB24" s="17" t="n"/>
      <c r="BC24" s="16" t="inlineStr">
        <is>
          <t>103</t>
        </is>
      </c>
      <c r="BD24" s="20" t="inlineStr">
        <is>
          <t>IC Kationen</t>
        </is>
      </c>
      <c r="BE24" s="20" t="inlineStr">
        <is>
          <t>None</t>
        </is>
      </c>
      <c r="BF24" s="17" t="n"/>
      <c r="BG24" s="16" t="inlineStr">
        <is>
          <t>41.3</t>
        </is>
      </c>
      <c r="BH24" s="20" t="inlineStr">
        <is>
          <t>IC Kationen</t>
        </is>
      </c>
      <c r="BI24" s="20" t="inlineStr">
        <is>
          <t>None</t>
        </is>
      </c>
      <c r="BJ24" s="17" t="n"/>
      <c r="BK24" s="16" t="inlineStr">
        <is>
          <t>15.0</t>
        </is>
      </c>
      <c r="BL24" s="20" t="inlineStr">
        <is>
          <t>IC Kationen</t>
        </is>
      </c>
      <c r="BM24" s="20" t="inlineStr">
        <is>
          <t>None</t>
        </is>
      </c>
      <c r="BN24" s="17" t="n"/>
      <c r="BO24" s="16" t="inlineStr">
        <is>
          <t>196</t>
        </is>
      </c>
      <c r="BP24" s="20" t="inlineStr">
        <is>
          <t>IC Kationen</t>
        </is>
      </c>
      <c r="BQ24" s="20" t="inlineStr">
        <is>
          <t>None</t>
        </is>
      </c>
      <c r="BR24" s="17" t="n"/>
      <c r="BS24" s="16" t="inlineStr">
        <is>
          <t>25.2</t>
        </is>
      </c>
      <c r="BT24" s="20" t="inlineStr">
        <is>
          <t>IC Kationen</t>
        </is>
      </c>
      <c r="BU24" s="20" t="inlineStr">
        <is>
          <t>None</t>
        </is>
      </c>
      <c r="BV24" s="17" t="n"/>
      <c r="BW24" s="16" t="n"/>
      <c r="BX24" s="20" t="n"/>
      <c r="BY24" s="20" t="inlineStr">
        <is>
          <t>None</t>
        </is>
      </c>
      <c r="BZ24" s="17" t="n"/>
      <c r="CA24" s="16" t="n"/>
      <c r="CB24" s="20" t="n"/>
      <c r="CC24" s="20" t="inlineStr">
        <is>
          <t>None</t>
        </is>
      </c>
      <c r="CD24" s="17" t="n"/>
      <c r="CE24" s="16" t="n"/>
      <c r="CF24" s="20" t="n"/>
      <c r="CG24" s="20" t="inlineStr">
        <is>
          <t>None</t>
        </is>
      </c>
      <c r="CH24" s="17" t="n"/>
      <c r="CI24" s="16" t="n"/>
      <c r="CJ24" s="20" t="n"/>
      <c r="CK24" s="20" t="inlineStr">
        <is>
          <t>None</t>
        </is>
      </c>
      <c r="CL24" s="17" t="n"/>
      <c r="CM24" s="16" t="n"/>
      <c r="CN24" s="20" t="inlineStr">
        <is>
          <t>SOP 45-34</t>
        </is>
      </c>
      <c r="CO24" s="20" t="inlineStr">
        <is>
          <t>None</t>
        </is>
      </c>
      <c r="CP24" s="17" t="n"/>
      <c r="CQ24" s="16" t="n"/>
      <c r="CR24" s="20" t="n"/>
      <c r="CS24" s="20" t="inlineStr">
        <is>
          <t>None</t>
        </is>
      </c>
      <c r="CT24" s="17" t="n"/>
      <c r="CU24" s="16" t="n"/>
      <c r="CV24" s="20" t="n"/>
      <c r="CW24" s="20" t="inlineStr">
        <is>
          <t>None</t>
        </is>
      </c>
      <c r="CX24" s="17" t="n"/>
      <c r="CY24" s="16" t="n"/>
      <c r="CZ24" s="20" t="inlineStr">
        <is>
          <t>WTW Multimeter 3430 with FDO 925</t>
        </is>
      </c>
      <c r="DA24" s="20" t="inlineStr">
        <is>
          <t>None</t>
        </is>
      </c>
      <c r="DB24" s="17" t="n"/>
      <c r="DC24" s="16" t="n"/>
      <c r="DD24" s="20" t="n"/>
      <c r="DE24" s="20" t="inlineStr">
        <is>
          <t>None</t>
        </is>
      </c>
      <c r="DF24" s="17" t="n"/>
      <c r="DG24" s="16" t="n"/>
      <c r="DH24" s="20" t="inlineStr">
        <is>
          <t>SOP 45-09</t>
        </is>
      </c>
      <c r="DI24" s="20" t="inlineStr">
        <is>
          <t>None</t>
        </is>
      </c>
      <c r="DJ24" s="17" t="n"/>
      <c r="DK24" s="16" t="n"/>
      <c r="DL24" s="20" t="inlineStr">
        <is>
          <t>SOP 45-09 (SOP muss noch angepasst werden für VSS)</t>
        </is>
      </c>
      <c r="DM24" s="20" t="inlineStr">
        <is>
          <t>None</t>
        </is>
      </c>
      <c r="DN24" s="17" t="n"/>
      <c r="DO24" s="16" t="n"/>
      <c r="DP24" s="20" t="inlineStr">
        <is>
          <t>IC Organic Acids</t>
        </is>
      </c>
      <c r="DQ24" s="20" t="inlineStr">
        <is>
          <t>None</t>
        </is>
      </c>
      <c r="DR24" s="17" t="n"/>
      <c r="DS24" s="16" t="n"/>
      <c r="DT24" s="20" t="inlineStr">
        <is>
          <t>IC Organic Acids</t>
        </is>
      </c>
      <c r="DU24" s="20" t="inlineStr">
        <is>
          <t>None</t>
        </is>
      </c>
      <c r="DV24" s="17" t="n"/>
      <c r="DW24" s="16" t="n"/>
      <c r="DX24" s="20" t="inlineStr">
        <is>
          <t>IC Organic Acids</t>
        </is>
      </c>
      <c r="DY24" s="20" t="inlineStr">
        <is>
          <t>None</t>
        </is>
      </c>
      <c r="DZ24" s="17" t="n"/>
      <c r="EA24" s="16" t="n"/>
      <c r="EB24" s="20" t="inlineStr">
        <is>
          <t>IC Organic Acids</t>
        </is>
      </c>
      <c r="EC24" s="20" t="inlineStr">
        <is>
          <t>None</t>
        </is>
      </c>
      <c r="ED24" s="17" t="n"/>
      <c r="EE24" s="16" t="n"/>
      <c r="EF24" s="20" t="inlineStr">
        <is>
          <t>IC Organic Acids</t>
        </is>
      </c>
      <c r="EG24" s="20" t="inlineStr">
        <is>
          <t>None</t>
        </is>
      </c>
      <c r="EH24" s="17" t="n"/>
      <c r="EI24" s="16" t="n"/>
      <c r="EJ24" s="20" t="inlineStr">
        <is>
          <t>IC Organic Acids</t>
        </is>
      </c>
      <c r="EK24" s="20" t="inlineStr">
        <is>
          <t>None</t>
        </is>
      </c>
      <c r="EL24" s="17" t="n"/>
      <c r="EM24" s="16" t="n"/>
      <c r="EN24" s="20" t="inlineStr">
        <is>
          <t>IC Organic Acids</t>
        </is>
      </c>
      <c r="EO24" s="20" t="inlineStr">
        <is>
          <t>None</t>
        </is>
      </c>
      <c r="EP24" s="17" t="n"/>
      <c r="EQ24" s="16" t="n"/>
      <c r="ER24" s="20" t="inlineStr">
        <is>
          <t>IC Organic Acids</t>
        </is>
      </c>
      <c r="ES24" s="20" t="inlineStr">
        <is>
          <t>None</t>
        </is>
      </c>
      <c r="ET24" s="17" t="n"/>
      <c r="EU24" s="16" t="n"/>
      <c r="EV24" s="20" t="inlineStr">
        <is>
          <t>LC-MS</t>
        </is>
      </c>
      <c r="EW24" s="20" t="inlineStr">
        <is>
          <t>None</t>
        </is>
      </c>
      <c r="EX24" s="17" t="n"/>
      <c r="EY24" s="21" t="n"/>
      <c r="EZ24">
        <f>CONCATENATE(A24,B24)</f>
        <v/>
      </c>
      <c r="FA24">
        <f>CONCATENATE(SamplesX!A24,SamplesX!B24)</f>
        <v/>
      </c>
      <c r="FC24">
        <f>MATCH(EZ24,FA1:FA1008,0)</f>
        <v/>
      </c>
    </row>
    <row r="25">
      <c r="A25" s="16" t="inlineStr">
        <is>
          <t>BP</t>
        </is>
      </c>
      <c r="B25" s="17" t="inlineStr">
        <is>
          <t>25017</t>
        </is>
      </c>
      <c r="C25" s="10">
        <f>IF(ISNUMBER(FC25),INDIRECT("SamplesX!C"&amp;FC25),IF(ISNUMBER(FD25),INDIRECT("SamplesY!C"&amp;FD25),""))</f>
        <v/>
      </c>
      <c r="D25" s="12">
        <f>IF(ISNUMBER(FC25),INDIRECT("SamplesX!D"&amp;FC25),IF(ISNUMBER(FD25),INDIRECT("SamplesY!D"&amp;FD25),""))</f>
        <v/>
      </c>
      <c r="E25" s="12">
        <f>IF(ISNUMBER(FC25),INDIRECT("SamplesX!E"&amp;FC25),IF(ISNUMBER(FD25),INDIRECT("SamplesY!E"&amp;FD25),""))</f>
        <v/>
      </c>
      <c r="F25" s="11">
        <f>IF(ISNUMBER(FC25),INDIRECT("SamplesX!F"&amp;FC25),IF(ISNUMBER(FD25),INDIRECT("SamplesY!F"&amp;FD25),""))</f>
        <v/>
      </c>
      <c r="G25" s="18">
        <f>IF(ISNUMBER(FC25),INDIRECT("SamplesX!G"&amp;FC25),IF(ISNUMBER(FD25),INDIRECT("SamplesY!G"&amp;FD25),""))</f>
        <v/>
      </c>
      <c r="H25" s="19">
        <f>IF(ISNUMBER(FC25),INDIRECT("SamplesX!H"&amp;FC25),IF(ISNUMBER(FD25),INDIRECT("SamplesY!H"&amp;FD25),""))</f>
        <v/>
      </c>
      <c r="I25" s="16" t="n"/>
      <c r="J25" s="16" t="n"/>
      <c r="K25" s="16" t="n"/>
      <c r="L25" s="20" t="n"/>
      <c r="M25" s="20" t="inlineStr">
        <is>
          <t>None</t>
        </is>
      </c>
      <c r="N25" s="17" t="n"/>
      <c r="O25" s="16" t="n"/>
      <c r="P25" s="20" t="inlineStr">
        <is>
          <t>Shimadzu TOC-L</t>
        </is>
      </c>
      <c r="Q25" s="20" t="inlineStr">
        <is>
          <t>None</t>
        </is>
      </c>
      <c r="R25" s="17" t="n"/>
      <c r="S25" s="16" t="n"/>
      <c r="T25" s="20" t="inlineStr">
        <is>
          <t>Shimadzu TOC-L</t>
        </is>
      </c>
      <c r="U25" s="20" t="inlineStr">
        <is>
          <t>None</t>
        </is>
      </c>
      <c r="V25" s="17" t="n"/>
      <c r="W25" s="16" t="n"/>
      <c r="X25" s="20" t="n"/>
      <c r="Y25" s="20" t="inlineStr">
        <is>
          <t>None</t>
        </is>
      </c>
      <c r="Z25" s="17" t="n"/>
      <c r="AA25" s="16" t="n"/>
      <c r="AB25" s="20" t="n"/>
      <c r="AC25" s="20" t="inlineStr">
        <is>
          <t>None</t>
        </is>
      </c>
      <c r="AD25" s="17" t="n"/>
      <c r="AE25" s="16" t="n"/>
      <c r="AF25" s="20" t="inlineStr">
        <is>
          <t>IC Anionen</t>
        </is>
      </c>
      <c r="AG25" s="20" t="inlineStr">
        <is>
          <t>None</t>
        </is>
      </c>
      <c r="AH25" s="17" t="n"/>
      <c r="AI25" s="16" t="n"/>
      <c r="AJ25" s="20" t="n"/>
      <c r="AK25" s="20" t="inlineStr">
        <is>
          <t>None</t>
        </is>
      </c>
      <c r="AL25" s="17" t="n"/>
      <c r="AM25" s="16" t="n"/>
      <c r="AN25" s="20" t="inlineStr">
        <is>
          <t>IC Anionen</t>
        </is>
      </c>
      <c r="AO25" s="20" t="inlineStr">
        <is>
          <t>None</t>
        </is>
      </c>
      <c r="AP25" s="17" t="n"/>
      <c r="AQ25" s="16" t="n"/>
      <c r="AR25" s="20" t="n"/>
      <c r="AS25" s="20" t="inlineStr">
        <is>
          <t>None</t>
        </is>
      </c>
      <c r="AT25" s="17" t="n"/>
      <c r="AU25" s="16" t="inlineStr">
        <is>
          <t>14.4</t>
        </is>
      </c>
      <c r="AV25" s="20" t="inlineStr">
        <is>
          <t>IC Anionen</t>
        </is>
      </c>
      <c r="AW25" s="20" t="inlineStr">
        <is>
          <t>None</t>
        </is>
      </c>
      <c r="AX25" s="17" t="inlineStr">
        <is>
          <t>1*2</t>
        </is>
      </c>
      <c r="AY25" s="16" t="n"/>
      <c r="AZ25" s="20" t="inlineStr">
        <is>
          <t>IC Anionen</t>
        </is>
      </c>
      <c r="BA25" s="20" t="inlineStr">
        <is>
          <t>None</t>
        </is>
      </c>
      <c r="BB25" s="17" t="n"/>
      <c r="BC25" s="16" t="n"/>
      <c r="BD25" s="20" t="inlineStr">
        <is>
          <t>IC Kationen</t>
        </is>
      </c>
      <c r="BE25" s="20" t="inlineStr">
        <is>
          <t>None</t>
        </is>
      </c>
      <c r="BF25" s="17" t="n"/>
      <c r="BG25" s="16" t="n"/>
      <c r="BH25" s="20" t="n"/>
      <c r="BI25" s="20" t="inlineStr">
        <is>
          <t>None</t>
        </is>
      </c>
      <c r="BJ25" s="17" t="n"/>
      <c r="BK25" s="16" t="n"/>
      <c r="BL25" s="20" t="inlineStr">
        <is>
          <t>IC Kationen</t>
        </is>
      </c>
      <c r="BM25" s="20" t="inlineStr">
        <is>
          <t>None</t>
        </is>
      </c>
      <c r="BN25" s="17" t="n"/>
      <c r="BO25" s="16" t="n"/>
      <c r="BP25" s="20" t="inlineStr">
        <is>
          <t>IC Kationen</t>
        </is>
      </c>
      <c r="BQ25" s="20" t="inlineStr">
        <is>
          <t>None</t>
        </is>
      </c>
      <c r="BR25" s="17" t="n"/>
      <c r="BS25" s="16" t="n"/>
      <c r="BT25" s="20" t="inlineStr">
        <is>
          <t>IC Kationen</t>
        </is>
      </c>
      <c r="BU25" s="20" t="inlineStr">
        <is>
          <t>None</t>
        </is>
      </c>
      <c r="BV25" s="17" t="n"/>
      <c r="BW25" s="16" t="n"/>
      <c r="BX25" s="20" t="n"/>
      <c r="BY25" s="20" t="inlineStr">
        <is>
          <t>None</t>
        </is>
      </c>
      <c r="BZ25" s="17" t="n"/>
      <c r="CA25" s="16" t="n"/>
      <c r="CB25" s="20" t="n"/>
      <c r="CC25" s="20" t="inlineStr">
        <is>
          <t>None</t>
        </is>
      </c>
      <c r="CD25" s="17" t="n"/>
      <c r="CE25" s="16" t="n"/>
      <c r="CF25" s="20" t="n"/>
      <c r="CG25" s="20" t="inlineStr">
        <is>
          <t>None</t>
        </is>
      </c>
      <c r="CH25" s="17" t="n"/>
      <c r="CI25" s="16" t="n"/>
      <c r="CJ25" s="20" t="n"/>
      <c r="CK25" s="20" t="inlineStr">
        <is>
          <t>None</t>
        </is>
      </c>
      <c r="CL25" s="17" t="n"/>
      <c r="CM25" s="16" t="n"/>
      <c r="CN25" s="20" t="inlineStr">
        <is>
          <t>SOP 45-34</t>
        </is>
      </c>
      <c r="CO25" s="20" t="inlineStr">
        <is>
          <t>None</t>
        </is>
      </c>
      <c r="CP25" s="17" t="n"/>
      <c r="CQ25" s="16" t="n"/>
      <c r="CR25" s="20" t="n"/>
      <c r="CS25" s="20" t="inlineStr">
        <is>
          <t>None</t>
        </is>
      </c>
      <c r="CT25" s="17" t="n"/>
      <c r="CU25" s="16" t="n"/>
      <c r="CV25" s="20" t="n"/>
      <c r="CW25" s="20" t="inlineStr">
        <is>
          <t>None</t>
        </is>
      </c>
      <c r="CX25" s="17" t="n"/>
      <c r="CY25" s="16" t="n"/>
      <c r="CZ25" s="20" t="inlineStr">
        <is>
          <t>WTW Multimeter 3430 with FDO 925</t>
        </is>
      </c>
      <c r="DA25" s="20" t="inlineStr">
        <is>
          <t>None</t>
        </is>
      </c>
      <c r="DB25" s="17" t="n"/>
      <c r="DC25" s="16" t="n"/>
      <c r="DD25" s="20" t="n"/>
      <c r="DE25" s="20" t="inlineStr">
        <is>
          <t>None</t>
        </is>
      </c>
      <c r="DF25" s="17" t="n"/>
      <c r="DG25" s="16" t="n"/>
      <c r="DH25" s="20" t="inlineStr">
        <is>
          <t>SOP 45-09</t>
        </is>
      </c>
      <c r="DI25" s="20" t="inlineStr">
        <is>
          <t>None</t>
        </is>
      </c>
      <c r="DJ25" s="17" t="n"/>
      <c r="DK25" s="16" t="n"/>
      <c r="DL25" s="20" t="inlineStr">
        <is>
          <t>SOP 45-09 (SOP muss noch angepasst werden für VSS)</t>
        </is>
      </c>
      <c r="DM25" s="20" t="inlineStr">
        <is>
          <t>None</t>
        </is>
      </c>
      <c r="DN25" s="17" t="n"/>
      <c r="DO25" s="16" t="n"/>
      <c r="DP25" s="20" t="inlineStr">
        <is>
          <t>IC Organic Acids</t>
        </is>
      </c>
      <c r="DQ25" s="20" t="inlineStr">
        <is>
          <t>None</t>
        </is>
      </c>
      <c r="DR25" s="17" t="n"/>
      <c r="DS25" s="16" t="n"/>
      <c r="DT25" s="20" t="inlineStr">
        <is>
          <t>IC Organic Acids</t>
        </is>
      </c>
      <c r="DU25" s="20" t="inlineStr">
        <is>
          <t>None</t>
        </is>
      </c>
      <c r="DV25" s="17" t="n"/>
      <c r="DW25" s="16" t="n"/>
      <c r="DX25" s="20" t="inlineStr">
        <is>
          <t>IC Organic Acids</t>
        </is>
      </c>
      <c r="DY25" s="20" t="inlineStr">
        <is>
          <t>None</t>
        </is>
      </c>
      <c r="DZ25" s="17" t="n"/>
      <c r="EA25" s="16" t="n"/>
      <c r="EB25" s="20" t="inlineStr">
        <is>
          <t>IC Organic Acids</t>
        </is>
      </c>
      <c r="EC25" s="20" t="inlineStr">
        <is>
          <t>None</t>
        </is>
      </c>
      <c r="ED25" s="17" t="n"/>
      <c r="EE25" s="16" t="n"/>
      <c r="EF25" s="20" t="inlineStr">
        <is>
          <t>IC Organic Acids</t>
        </is>
      </c>
      <c r="EG25" s="20" t="inlineStr">
        <is>
          <t>None</t>
        </is>
      </c>
      <c r="EH25" s="17" t="n"/>
      <c r="EI25" s="16" t="n"/>
      <c r="EJ25" s="20" t="inlineStr">
        <is>
          <t>IC Organic Acids</t>
        </is>
      </c>
      <c r="EK25" s="20" t="inlineStr">
        <is>
          <t>None</t>
        </is>
      </c>
      <c r="EL25" s="17" t="n"/>
      <c r="EM25" s="16" t="n"/>
      <c r="EN25" s="20" t="inlineStr">
        <is>
          <t>IC Organic Acids</t>
        </is>
      </c>
      <c r="EO25" s="20" t="inlineStr">
        <is>
          <t>None</t>
        </is>
      </c>
      <c r="EP25" s="17" t="n"/>
      <c r="EQ25" s="16" t="n"/>
      <c r="ER25" s="20" t="inlineStr">
        <is>
          <t>IC Organic Acids</t>
        </is>
      </c>
      <c r="ES25" s="20" t="inlineStr">
        <is>
          <t>None</t>
        </is>
      </c>
      <c r="ET25" s="17" t="n"/>
      <c r="EU25" s="16" t="n"/>
      <c r="EV25" s="20" t="inlineStr">
        <is>
          <t>LC-MS</t>
        </is>
      </c>
      <c r="EW25" s="20" t="inlineStr">
        <is>
          <t>None</t>
        </is>
      </c>
      <c r="EX25" s="17" t="n"/>
      <c r="EY25" s="21" t="n"/>
      <c r="EZ25">
        <f>CONCATENATE(A25,B25)</f>
        <v/>
      </c>
      <c r="FA25">
        <f>CONCATENATE(SamplesX!A25,SamplesX!B25)</f>
        <v/>
      </c>
      <c r="FC25">
        <f>MATCH(EZ25,FA1:FA1008,0)</f>
        <v/>
      </c>
    </row>
    <row r="26">
      <c r="A26" s="16" t="inlineStr">
        <is>
          <t>BP</t>
        </is>
      </c>
      <c r="B26" s="17" t="inlineStr">
        <is>
          <t>25018</t>
        </is>
      </c>
      <c r="C26" s="10">
        <f>IF(ISNUMBER(FC26),INDIRECT("SamplesX!C"&amp;FC26),IF(ISNUMBER(FD26),INDIRECT("SamplesY!C"&amp;FD26),""))</f>
        <v/>
      </c>
      <c r="D26" s="12">
        <f>IF(ISNUMBER(FC26),INDIRECT("SamplesX!D"&amp;FC26),IF(ISNUMBER(FD26),INDIRECT("SamplesY!D"&amp;FD26),""))</f>
        <v/>
      </c>
      <c r="E26" s="12">
        <f>IF(ISNUMBER(FC26),INDIRECT("SamplesX!E"&amp;FC26),IF(ISNUMBER(FD26),INDIRECT("SamplesY!E"&amp;FD26),""))</f>
        <v/>
      </c>
      <c r="F26" s="11">
        <f>IF(ISNUMBER(FC26),INDIRECT("SamplesX!F"&amp;FC26),IF(ISNUMBER(FD26),INDIRECT("SamplesY!F"&amp;FD26),""))</f>
        <v/>
      </c>
      <c r="G26" s="18">
        <f>IF(ISNUMBER(FC26),INDIRECT("SamplesX!G"&amp;FC26),IF(ISNUMBER(FD26),INDIRECT("SamplesY!G"&amp;FD26),""))</f>
        <v/>
      </c>
      <c r="H26" s="19">
        <f>IF(ISNUMBER(FC26),INDIRECT("SamplesX!H"&amp;FC26),IF(ISNUMBER(FD26),INDIRECT("SamplesY!H"&amp;FD26),""))</f>
        <v/>
      </c>
      <c r="I26" s="16" t="n"/>
      <c r="J26" s="16" t="n"/>
      <c r="K26" s="16" t="n"/>
      <c r="L26" s="20" t="n"/>
      <c r="M26" s="20" t="inlineStr">
        <is>
          <t>None</t>
        </is>
      </c>
      <c r="N26" s="17" t="n"/>
      <c r="O26" s="16" t="n"/>
      <c r="P26" s="20" t="inlineStr">
        <is>
          <t>Shimadzu TOC-L</t>
        </is>
      </c>
      <c r="Q26" s="20" t="inlineStr">
        <is>
          <t>None</t>
        </is>
      </c>
      <c r="R26" s="17" t="n"/>
      <c r="S26" s="16" t="n"/>
      <c r="T26" s="20" t="inlineStr">
        <is>
          <t>Shimadzu TOC-L</t>
        </is>
      </c>
      <c r="U26" s="20" t="inlineStr">
        <is>
          <t>None</t>
        </is>
      </c>
      <c r="V26" s="17" t="n"/>
      <c r="W26" s="16" t="n"/>
      <c r="X26" s="20" t="n"/>
      <c r="Y26" s="20" t="inlineStr">
        <is>
          <t>None</t>
        </is>
      </c>
      <c r="Z26" s="17" t="n"/>
      <c r="AA26" s="16" t="n"/>
      <c r="AB26" s="20" t="n"/>
      <c r="AC26" s="20" t="inlineStr">
        <is>
          <t>None</t>
        </is>
      </c>
      <c r="AD26" s="17" t="n"/>
      <c r="AE26" s="16" t="n"/>
      <c r="AF26" s="20" t="inlineStr">
        <is>
          <t>IC Anionen</t>
        </is>
      </c>
      <c r="AG26" s="20" t="inlineStr">
        <is>
          <t>None</t>
        </is>
      </c>
      <c r="AH26" s="17" t="n"/>
      <c r="AI26" s="16" t="n"/>
      <c r="AJ26" s="20" t="n"/>
      <c r="AK26" s="20" t="inlineStr">
        <is>
          <t>None</t>
        </is>
      </c>
      <c r="AL26" s="17" t="n"/>
      <c r="AM26" s="16" t="n"/>
      <c r="AN26" s="20" t="inlineStr">
        <is>
          <t>IC Anionen</t>
        </is>
      </c>
      <c r="AO26" s="20" t="inlineStr">
        <is>
          <t>None</t>
        </is>
      </c>
      <c r="AP26" s="17" t="n"/>
      <c r="AQ26" s="16" t="n"/>
      <c r="AR26" s="20" t="n"/>
      <c r="AS26" s="20" t="inlineStr">
        <is>
          <t>None</t>
        </is>
      </c>
      <c r="AT26" s="17" t="n"/>
      <c r="AU26" s="16" t="inlineStr">
        <is>
          <t>0.17</t>
        </is>
      </c>
      <c r="AV26" s="20" t="inlineStr">
        <is>
          <t>IC Anionen</t>
        </is>
      </c>
      <c r="AW26" s="20" t="inlineStr">
        <is>
          <t>None</t>
        </is>
      </c>
      <c r="AX26" s="17" t="n"/>
      <c r="AY26" s="16" t="n"/>
      <c r="AZ26" s="20" t="inlineStr">
        <is>
          <t>IC Anionen</t>
        </is>
      </c>
      <c r="BA26" s="20" t="inlineStr">
        <is>
          <t>None</t>
        </is>
      </c>
      <c r="BB26" s="17" t="n"/>
      <c r="BC26" s="16" t="n"/>
      <c r="BD26" s="20" t="inlineStr">
        <is>
          <t>IC Kationen</t>
        </is>
      </c>
      <c r="BE26" s="20" t="inlineStr">
        <is>
          <t>None</t>
        </is>
      </c>
      <c r="BF26" s="17" t="n"/>
      <c r="BG26" s="16" t="n"/>
      <c r="BH26" s="20" t="n"/>
      <c r="BI26" s="20" t="inlineStr">
        <is>
          <t>None</t>
        </is>
      </c>
      <c r="BJ26" s="17" t="n"/>
      <c r="BK26" s="16" t="n"/>
      <c r="BL26" s="20" t="inlineStr">
        <is>
          <t>IC Kationen</t>
        </is>
      </c>
      <c r="BM26" s="20" t="inlineStr">
        <is>
          <t>None</t>
        </is>
      </c>
      <c r="BN26" s="17" t="n"/>
      <c r="BO26" s="16" t="n"/>
      <c r="BP26" s="20" t="inlineStr">
        <is>
          <t>IC Kationen</t>
        </is>
      </c>
      <c r="BQ26" s="20" t="inlineStr">
        <is>
          <t>None</t>
        </is>
      </c>
      <c r="BR26" s="17" t="n"/>
      <c r="BS26" s="16" t="n"/>
      <c r="BT26" s="20" t="inlineStr">
        <is>
          <t>IC Kationen</t>
        </is>
      </c>
      <c r="BU26" s="20" t="inlineStr">
        <is>
          <t>None</t>
        </is>
      </c>
      <c r="BV26" s="17" t="n"/>
      <c r="BW26" s="16" t="n"/>
      <c r="BX26" s="20" t="n"/>
      <c r="BY26" s="20" t="inlineStr">
        <is>
          <t>None</t>
        </is>
      </c>
      <c r="BZ26" s="17" t="n"/>
      <c r="CA26" s="16" t="n"/>
      <c r="CB26" s="20" t="n"/>
      <c r="CC26" s="20" t="inlineStr">
        <is>
          <t>None</t>
        </is>
      </c>
      <c r="CD26" s="17" t="n"/>
      <c r="CE26" s="16" t="n"/>
      <c r="CF26" s="20" t="n"/>
      <c r="CG26" s="20" t="inlineStr">
        <is>
          <t>None</t>
        </is>
      </c>
      <c r="CH26" s="17" t="n"/>
      <c r="CI26" s="16" t="n"/>
      <c r="CJ26" s="20" t="n"/>
      <c r="CK26" s="20" t="inlineStr">
        <is>
          <t>None</t>
        </is>
      </c>
      <c r="CL26" s="17" t="n"/>
      <c r="CM26" s="16" t="n"/>
      <c r="CN26" s="20" t="inlineStr">
        <is>
          <t>SOP 45-34</t>
        </is>
      </c>
      <c r="CO26" s="20" t="inlineStr">
        <is>
          <t>None</t>
        </is>
      </c>
      <c r="CP26" s="17" t="n"/>
      <c r="CQ26" s="16" t="n"/>
      <c r="CR26" s="20" t="n"/>
      <c r="CS26" s="20" t="inlineStr">
        <is>
          <t>None</t>
        </is>
      </c>
      <c r="CT26" s="17" t="n"/>
      <c r="CU26" s="16" t="n"/>
      <c r="CV26" s="20" t="n"/>
      <c r="CW26" s="20" t="inlineStr">
        <is>
          <t>None</t>
        </is>
      </c>
      <c r="CX26" s="17" t="n"/>
      <c r="CY26" s="16" t="n"/>
      <c r="CZ26" s="20" t="inlineStr">
        <is>
          <t>WTW Multimeter 3430 with FDO 925</t>
        </is>
      </c>
      <c r="DA26" s="20" t="inlineStr">
        <is>
          <t>None</t>
        </is>
      </c>
      <c r="DB26" s="17" t="n"/>
      <c r="DC26" s="16" t="n"/>
      <c r="DD26" s="20" t="n"/>
      <c r="DE26" s="20" t="inlineStr">
        <is>
          <t>None</t>
        </is>
      </c>
      <c r="DF26" s="17" t="n"/>
      <c r="DG26" s="16" t="n"/>
      <c r="DH26" s="20" t="inlineStr">
        <is>
          <t>SOP 45-09</t>
        </is>
      </c>
      <c r="DI26" s="20" t="inlineStr">
        <is>
          <t>None</t>
        </is>
      </c>
      <c r="DJ26" s="17" t="n"/>
      <c r="DK26" s="16" t="n"/>
      <c r="DL26" s="20" t="inlineStr">
        <is>
          <t>SOP 45-09 (SOP muss noch angepasst werden für VSS)</t>
        </is>
      </c>
      <c r="DM26" s="20" t="inlineStr">
        <is>
          <t>None</t>
        </is>
      </c>
      <c r="DN26" s="17" t="n"/>
      <c r="DO26" s="16" t="n"/>
      <c r="DP26" s="20" t="inlineStr">
        <is>
          <t>IC Organic Acids</t>
        </is>
      </c>
      <c r="DQ26" s="20" t="inlineStr">
        <is>
          <t>None</t>
        </is>
      </c>
      <c r="DR26" s="17" t="n"/>
      <c r="DS26" s="16" t="n"/>
      <c r="DT26" s="20" t="inlineStr">
        <is>
          <t>IC Organic Acids</t>
        </is>
      </c>
      <c r="DU26" s="20" t="inlineStr">
        <is>
          <t>None</t>
        </is>
      </c>
      <c r="DV26" s="17" t="n"/>
      <c r="DW26" s="16" t="n"/>
      <c r="DX26" s="20" t="inlineStr">
        <is>
          <t>IC Organic Acids</t>
        </is>
      </c>
      <c r="DY26" s="20" t="inlineStr">
        <is>
          <t>None</t>
        </is>
      </c>
      <c r="DZ26" s="17" t="n"/>
      <c r="EA26" s="16" t="n"/>
      <c r="EB26" s="20" t="inlineStr">
        <is>
          <t>IC Organic Acids</t>
        </is>
      </c>
      <c r="EC26" s="20" t="inlineStr">
        <is>
          <t>None</t>
        </is>
      </c>
      <c r="ED26" s="17" t="n"/>
      <c r="EE26" s="16" t="n"/>
      <c r="EF26" s="20" t="inlineStr">
        <is>
          <t>IC Organic Acids</t>
        </is>
      </c>
      <c r="EG26" s="20" t="inlineStr">
        <is>
          <t>None</t>
        </is>
      </c>
      <c r="EH26" s="17" t="n"/>
      <c r="EI26" s="16" t="n"/>
      <c r="EJ26" s="20" t="inlineStr">
        <is>
          <t>IC Organic Acids</t>
        </is>
      </c>
      <c r="EK26" s="20" t="inlineStr">
        <is>
          <t>None</t>
        </is>
      </c>
      <c r="EL26" s="17" t="n"/>
      <c r="EM26" s="16" t="n"/>
      <c r="EN26" s="20" t="inlineStr">
        <is>
          <t>IC Organic Acids</t>
        </is>
      </c>
      <c r="EO26" s="20" t="inlineStr">
        <is>
          <t>None</t>
        </is>
      </c>
      <c r="EP26" s="17" t="n"/>
      <c r="EQ26" s="16" t="n"/>
      <c r="ER26" s="20" t="inlineStr">
        <is>
          <t>IC Organic Acids</t>
        </is>
      </c>
      <c r="ES26" s="20" t="inlineStr">
        <is>
          <t>None</t>
        </is>
      </c>
      <c r="ET26" s="17" t="n"/>
      <c r="EU26" s="16" t="n"/>
      <c r="EV26" s="20" t="inlineStr">
        <is>
          <t>LC-MS</t>
        </is>
      </c>
      <c r="EW26" s="20" t="inlineStr">
        <is>
          <t>None</t>
        </is>
      </c>
      <c r="EX26" s="17" t="n"/>
      <c r="EY26" s="21" t="n"/>
      <c r="EZ26">
        <f>CONCATENATE(A26,B26)</f>
        <v/>
      </c>
      <c r="FA26">
        <f>CONCATENATE(SamplesX!A26,SamplesX!B26)</f>
        <v/>
      </c>
      <c r="FC26">
        <f>MATCH(EZ26,FA1:FA1008,0)</f>
        <v/>
      </c>
    </row>
    <row r="27">
      <c r="A27" s="16" t="inlineStr">
        <is>
          <t>BP</t>
        </is>
      </c>
      <c r="B27" s="17" t="inlineStr">
        <is>
          <t>25019</t>
        </is>
      </c>
      <c r="C27" s="10">
        <f>IF(ISNUMBER(FC27),INDIRECT("SamplesX!C"&amp;FC27),IF(ISNUMBER(FD27),INDIRECT("SamplesY!C"&amp;FD27),""))</f>
        <v/>
      </c>
      <c r="D27" s="12">
        <f>IF(ISNUMBER(FC27),INDIRECT("SamplesX!D"&amp;FC27),IF(ISNUMBER(FD27),INDIRECT("SamplesY!D"&amp;FD27),""))</f>
        <v/>
      </c>
      <c r="E27" s="12">
        <f>IF(ISNUMBER(FC27),INDIRECT("SamplesX!E"&amp;FC27),IF(ISNUMBER(FD27),INDIRECT("SamplesY!E"&amp;FD27),""))</f>
        <v/>
      </c>
      <c r="F27" s="11">
        <f>IF(ISNUMBER(FC27),INDIRECT("SamplesX!F"&amp;FC27),IF(ISNUMBER(FD27),INDIRECT("SamplesY!F"&amp;FD27),""))</f>
        <v/>
      </c>
      <c r="G27" s="18">
        <f>IF(ISNUMBER(FC27),INDIRECT("SamplesX!G"&amp;FC27),IF(ISNUMBER(FD27),INDIRECT("SamplesY!G"&amp;FD27),""))</f>
        <v/>
      </c>
      <c r="H27" s="19">
        <f>IF(ISNUMBER(FC27),INDIRECT("SamplesX!H"&amp;FC27),IF(ISNUMBER(FD27),INDIRECT("SamplesY!H"&amp;FD27),""))</f>
        <v/>
      </c>
      <c r="I27" s="16" t="n"/>
      <c r="J27" s="16" t="n"/>
      <c r="K27" s="16" t="n"/>
      <c r="L27" s="20" t="n"/>
      <c r="M27" s="20" t="inlineStr">
        <is>
          <t>None</t>
        </is>
      </c>
      <c r="N27" s="17" t="n"/>
      <c r="O27" s="16" t="n"/>
      <c r="P27" s="20" t="inlineStr">
        <is>
          <t>Shimadzu TOC-L</t>
        </is>
      </c>
      <c r="Q27" s="20" t="inlineStr">
        <is>
          <t>None</t>
        </is>
      </c>
      <c r="R27" s="17" t="n"/>
      <c r="S27" s="16" t="n"/>
      <c r="T27" s="20" t="inlineStr">
        <is>
          <t>Shimadzu TOC-L</t>
        </is>
      </c>
      <c r="U27" s="20" t="inlineStr">
        <is>
          <t>None</t>
        </is>
      </c>
      <c r="V27" s="17" t="n"/>
      <c r="W27" s="16" t="n"/>
      <c r="X27" s="20" t="n"/>
      <c r="Y27" s="20" t="inlineStr">
        <is>
          <t>None</t>
        </is>
      </c>
      <c r="Z27" s="17" t="n"/>
      <c r="AA27" s="16" t="n"/>
      <c r="AB27" s="20" t="n"/>
      <c r="AC27" s="20" t="inlineStr">
        <is>
          <t>None</t>
        </is>
      </c>
      <c r="AD27" s="17" t="n"/>
      <c r="AE27" s="16" t="n"/>
      <c r="AF27" s="20" t="inlineStr">
        <is>
          <t>IC Anionen</t>
        </is>
      </c>
      <c r="AG27" s="20" t="inlineStr">
        <is>
          <t>None</t>
        </is>
      </c>
      <c r="AH27" s="17" t="n"/>
      <c r="AI27" s="16" t="n"/>
      <c r="AJ27" s="20" t="n"/>
      <c r="AK27" s="20" t="inlineStr">
        <is>
          <t>None</t>
        </is>
      </c>
      <c r="AL27" s="17" t="n"/>
      <c r="AM27" s="16" t="n"/>
      <c r="AN27" s="20" t="inlineStr">
        <is>
          <t>IC Anionen</t>
        </is>
      </c>
      <c r="AO27" s="20" t="inlineStr">
        <is>
          <t>None</t>
        </is>
      </c>
      <c r="AP27" s="17" t="n"/>
      <c r="AQ27" s="16" t="n"/>
      <c r="AR27" s="20" t="n"/>
      <c r="AS27" s="20" t="inlineStr">
        <is>
          <t>None</t>
        </is>
      </c>
      <c r="AT27" s="17" t="n"/>
      <c r="AU27" s="16" t="inlineStr">
        <is>
          <t>0.15</t>
        </is>
      </c>
      <c r="AV27" s="20" t="inlineStr">
        <is>
          <t>IC Anionen</t>
        </is>
      </c>
      <c r="AW27" s="20" t="inlineStr">
        <is>
          <t>None</t>
        </is>
      </c>
      <c r="AX27" s="17" t="n"/>
      <c r="AY27" s="16" t="n"/>
      <c r="AZ27" s="20" t="inlineStr">
        <is>
          <t>IC Anionen</t>
        </is>
      </c>
      <c r="BA27" s="20" t="inlineStr">
        <is>
          <t>None</t>
        </is>
      </c>
      <c r="BB27" s="17" t="n"/>
      <c r="BC27" s="16" t="n"/>
      <c r="BD27" s="20" t="inlineStr">
        <is>
          <t>IC Kationen</t>
        </is>
      </c>
      <c r="BE27" s="20" t="inlineStr">
        <is>
          <t>None</t>
        </is>
      </c>
      <c r="BF27" s="17" t="n"/>
      <c r="BG27" s="16" t="n"/>
      <c r="BH27" s="20" t="n"/>
      <c r="BI27" s="20" t="inlineStr">
        <is>
          <t>None</t>
        </is>
      </c>
      <c r="BJ27" s="17" t="n"/>
      <c r="BK27" s="16" t="n"/>
      <c r="BL27" s="20" t="inlineStr">
        <is>
          <t>IC Kationen</t>
        </is>
      </c>
      <c r="BM27" s="20" t="inlineStr">
        <is>
          <t>None</t>
        </is>
      </c>
      <c r="BN27" s="17" t="n"/>
      <c r="BO27" s="16" t="n"/>
      <c r="BP27" s="20" t="inlineStr">
        <is>
          <t>IC Kationen</t>
        </is>
      </c>
      <c r="BQ27" s="20" t="inlineStr">
        <is>
          <t>None</t>
        </is>
      </c>
      <c r="BR27" s="17" t="n"/>
      <c r="BS27" s="16" t="n"/>
      <c r="BT27" s="20" t="inlineStr">
        <is>
          <t>IC Kationen</t>
        </is>
      </c>
      <c r="BU27" s="20" t="inlineStr">
        <is>
          <t>None</t>
        </is>
      </c>
      <c r="BV27" s="17" t="n"/>
      <c r="BW27" s="16" t="n"/>
      <c r="BX27" s="20" t="n"/>
      <c r="BY27" s="20" t="inlineStr">
        <is>
          <t>None</t>
        </is>
      </c>
      <c r="BZ27" s="17" t="n"/>
      <c r="CA27" s="16" t="n"/>
      <c r="CB27" s="20" t="n"/>
      <c r="CC27" s="20" t="inlineStr">
        <is>
          <t>None</t>
        </is>
      </c>
      <c r="CD27" s="17" t="n"/>
      <c r="CE27" s="16" t="n"/>
      <c r="CF27" s="20" t="n"/>
      <c r="CG27" s="20" t="inlineStr">
        <is>
          <t>None</t>
        </is>
      </c>
      <c r="CH27" s="17" t="n"/>
      <c r="CI27" s="16" t="n"/>
      <c r="CJ27" s="20" t="n"/>
      <c r="CK27" s="20" t="inlineStr">
        <is>
          <t>None</t>
        </is>
      </c>
      <c r="CL27" s="17" t="n"/>
      <c r="CM27" s="16" t="n"/>
      <c r="CN27" s="20" t="inlineStr">
        <is>
          <t>SOP 45-34</t>
        </is>
      </c>
      <c r="CO27" s="20" t="inlineStr">
        <is>
          <t>None</t>
        </is>
      </c>
      <c r="CP27" s="17" t="n"/>
      <c r="CQ27" s="16" t="n"/>
      <c r="CR27" s="20" t="n"/>
      <c r="CS27" s="20" t="inlineStr">
        <is>
          <t>None</t>
        </is>
      </c>
      <c r="CT27" s="17" t="n"/>
      <c r="CU27" s="16" t="n"/>
      <c r="CV27" s="20" t="n"/>
      <c r="CW27" s="20" t="inlineStr">
        <is>
          <t>None</t>
        </is>
      </c>
      <c r="CX27" s="17" t="n"/>
      <c r="CY27" s="16" t="n"/>
      <c r="CZ27" s="20" t="inlineStr">
        <is>
          <t>WTW Multimeter 3430 with FDO 925</t>
        </is>
      </c>
      <c r="DA27" s="20" t="inlineStr">
        <is>
          <t>None</t>
        </is>
      </c>
      <c r="DB27" s="17" t="n"/>
      <c r="DC27" s="16" t="n"/>
      <c r="DD27" s="20" t="n"/>
      <c r="DE27" s="20" t="inlineStr">
        <is>
          <t>None</t>
        </is>
      </c>
      <c r="DF27" s="17" t="n"/>
      <c r="DG27" s="16" t="n"/>
      <c r="DH27" s="20" t="inlineStr">
        <is>
          <t>SOP 45-09</t>
        </is>
      </c>
      <c r="DI27" s="20" t="inlineStr">
        <is>
          <t>None</t>
        </is>
      </c>
      <c r="DJ27" s="17" t="n"/>
      <c r="DK27" s="16" t="n"/>
      <c r="DL27" s="20" t="inlineStr">
        <is>
          <t>SOP 45-09 (SOP muss noch angepasst werden für VSS)</t>
        </is>
      </c>
      <c r="DM27" s="20" t="inlineStr">
        <is>
          <t>None</t>
        </is>
      </c>
      <c r="DN27" s="17" t="n"/>
      <c r="DO27" s="16" t="n"/>
      <c r="DP27" s="20" t="inlineStr">
        <is>
          <t>IC Organic Acids</t>
        </is>
      </c>
      <c r="DQ27" s="20" t="inlineStr">
        <is>
          <t>None</t>
        </is>
      </c>
      <c r="DR27" s="17" t="n"/>
      <c r="DS27" s="16" t="n"/>
      <c r="DT27" s="20" t="inlineStr">
        <is>
          <t>IC Organic Acids</t>
        </is>
      </c>
      <c r="DU27" s="20" t="inlineStr">
        <is>
          <t>None</t>
        </is>
      </c>
      <c r="DV27" s="17" t="n"/>
      <c r="DW27" s="16" t="n"/>
      <c r="DX27" s="20" t="inlineStr">
        <is>
          <t>IC Organic Acids</t>
        </is>
      </c>
      <c r="DY27" s="20" t="inlineStr">
        <is>
          <t>None</t>
        </is>
      </c>
      <c r="DZ27" s="17" t="n"/>
      <c r="EA27" s="16" t="n"/>
      <c r="EB27" s="20" t="inlineStr">
        <is>
          <t>IC Organic Acids</t>
        </is>
      </c>
      <c r="EC27" s="20" t="inlineStr">
        <is>
          <t>None</t>
        </is>
      </c>
      <c r="ED27" s="17" t="n"/>
      <c r="EE27" s="16" t="n"/>
      <c r="EF27" s="20" t="inlineStr">
        <is>
          <t>IC Organic Acids</t>
        </is>
      </c>
      <c r="EG27" s="20" t="inlineStr">
        <is>
          <t>None</t>
        </is>
      </c>
      <c r="EH27" s="17" t="n"/>
      <c r="EI27" s="16" t="n"/>
      <c r="EJ27" s="20" t="inlineStr">
        <is>
          <t>IC Organic Acids</t>
        </is>
      </c>
      <c r="EK27" s="20" t="inlineStr">
        <is>
          <t>None</t>
        </is>
      </c>
      <c r="EL27" s="17" t="n"/>
      <c r="EM27" s="16" t="n"/>
      <c r="EN27" s="20" t="inlineStr">
        <is>
          <t>IC Organic Acids</t>
        </is>
      </c>
      <c r="EO27" s="20" t="inlineStr">
        <is>
          <t>None</t>
        </is>
      </c>
      <c r="EP27" s="17" t="n"/>
      <c r="EQ27" s="16" t="n"/>
      <c r="ER27" s="20" t="inlineStr">
        <is>
          <t>IC Organic Acids</t>
        </is>
      </c>
      <c r="ES27" s="20" t="inlineStr">
        <is>
          <t>None</t>
        </is>
      </c>
      <c r="ET27" s="17" t="n"/>
      <c r="EU27" s="16" t="n"/>
      <c r="EV27" s="20" t="inlineStr">
        <is>
          <t>LC-MS</t>
        </is>
      </c>
      <c r="EW27" s="20" t="inlineStr">
        <is>
          <t>None</t>
        </is>
      </c>
      <c r="EX27" s="17" t="n"/>
      <c r="EY27" s="21" t="n"/>
      <c r="EZ27">
        <f>CONCATENATE(A27,B27)</f>
        <v/>
      </c>
      <c r="FA27">
        <f>CONCATENATE(SamplesX!A27,SamplesX!B27)</f>
        <v/>
      </c>
      <c r="FC27">
        <f>MATCH(EZ27,FA1:FA1008,0)</f>
        <v/>
      </c>
    </row>
    <row r="28">
      <c r="A28" s="16" t="inlineStr">
        <is>
          <t>BP</t>
        </is>
      </c>
      <c r="B28" s="17" t="inlineStr">
        <is>
          <t>25020</t>
        </is>
      </c>
      <c r="C28" s="10">
        <f>IF(ISNUMBER(FC28),INDIRECT("SamplesX!C"&amp;FC28),IF(ISNUMBER(FD28),INDIRECT("SamplesY!C"&amp;FD28),""))</f>
        <v/>
      </c>
      <c r="D28" s="12">
        <f>IF(ISNUMBER(FC28),INDIRECT("SamplesX!D"&amp;FC28),IF(ISNUMBER(FD28),INDIRECT("SamplesY!D"&amp;FD28),""))</f>
        <v/>
      </c>
      <c r="E28" s="12">
        <f>IF(ISNUMBER(FC28),INDIRECT("SamplesX!E"&amp;FC28),IF(ISNUMBER(FD28),INDIRECT("SamplesY!E"&amp;FD28),""))</f>
        <v/>
      </c>
      <c r="F28" s="11">
        <f>IF(ISNUMBER(FC28),INDIRECT("SamplesX!F"&amp;FC28),IF(ISNUMBER(FD28),INDIRECT("SamplesY!F"&amp;FD28),""))</f>
        <v/>
      </c>
      <c r="G28" s="18">
        <f>IF(ISNUMBER(FC28),INDIRECT("SamplesX!G"&amp;FC28),IF(ISNUMBER(FD28),INDIRECT("SamplesY!G"&amp;FD28),""))</f>
        <v/>
      </c>
      <c r="H28" s="19">
        <f>IF(ISNUMBER(FC28),INDIRECT("SamplesX!H"&amp;FC28),IF(ISNUMBER(FD28),INDIRECT("SamplesY!H"&amp;FD28),""))</f>
        <v/>
      </c>
      <c r="I28" s="16" t="n"/>
      <c r="J28" s="16" t="n"/>
      <c r="K28" s="16" t="n"/>
      <c r="L28" s="20" t="n"/>
      <c r="M28" s="20" t="inlineStr">
        <is>
          <t>None</t>
        </is>
      </c>
      <c r="N28" s="17" t="n"/>
      <c r="O28" s="16" t="n"/>
      <c r="P28" s="20" t="inlineStr">
        <is>
          <t>Shimadzu TOC-L</t>
        </is>
      </c>
      <c r="Q28" s="20" t="inlineStr">
        <is>
          <t>None</t>
        </is>
      </c>
      <c r="R28" s="17" t="n"/>
      <c r="S28" s="16" t="n"/>
      <c r="T28" s="20" t="inlineStr">
        <is>
          <t>Shimadzu TOC-L</t>
        </is>
      </c>
      <c r="U28" s="20" t="inlineStr">
        <is>
          <t>None</t>
        </is>
      </c>
      <c r="V28" s="17" t="n"/>
      <c r="W28" s="16" t="n"/>
      <c r="X28" s="20" t="n"/>
      <c r="Y28" s="20" t="inlineStr">
        <is>
          <t>None</t>
        </is>
      </c>
      <c r="Z28" s="17" t="n"/>
      <c r="AA28" s="16" t="n"/>
      <c r="AB28" s="20" t="n"/>
      <c r="AC28" s="20" t="inlineStr">
        <is>
          <t>None</t>
        </is>
      </c>
      <c r="AD28" s="17" t="n"/>
      <c r="AE28" s="16" t="n"/>
      <c r="AF28" s="20" t="inlineStr">
        <is>
          <t>IC Anionen</t>
        </is>
      </c>
      <c r="AG28" s="20" t="inlineStr">
        <is>
          <t>None</t>
        </is>
      </c>
      <c r="AH28" s="17" t="n"/>
      <c r="AI28" s="16" t="n"/>
      <c r="AJ28" s="20" t="n"/>
      <c r="AK28" s="20" t="inlineStr">
        <is>
          <t>None</t>
        </is>
      </c>
      <c r="AL28" s="17" t="n"/>
      <c r="AM28" s="16" t="n"/>
      <c r="AN28" s="20" t="inlineStr">
        <is>
          <t>IC Anionen</t>
        </is>
      </c>
      <c r="AO28" s="20" t="inlineStr">
        <is>
          <t>None</t>
        </is>
      </c>
      <c r="AP28" s="17" t="n"/>
      <c r="AQ28" s="16" t="n"/>
      <c r="AR28" s="20" t="n"/>
      <c r="AS28" s="20" t="inlineStr">
        <is>
          <t>None</t>
        </is>
      </c>
      <c r="AT28" s="17" t="n"/>
      <c r="AU28" s="16" t="inlineStr">
        <is>
          <t>0.13</t>
        </is>
      </c>
      <c r="AV28" s="20" t="inlineStr">
        <is>
          <t>IC Anionen</t>
        </is>
      </c>
      <c r="AW28" s="20" t="inlineStr">
        <is>
          <t>None</t>
        </is>
      </c>
      <c r="AX28" s="17" t="n"/>
      <c r="AY28" s="16" t="n"/>
      <c r="AZ28" s="20" t="inlineStr">
        <is>
          <t>IC Anionen</t>
        </is>
      </c>
      <c r="BA28" s="20" t="inlineStr">
        <is>
          <t>None</t>
        </is>
      </c>
      <c r="BB28" s="17" t="n"/>
      <c r="BC28" s="16" t="n"/>
      <c r="BD28" s="20" t="inlineStr">
        <is>
          <t>IC Kationen</t>
        </is>
      </c>
      <c r="BE28" s="20" t="inlineStr">
        <is>
          <t>None</t>
        </is>
      </c>
      <c r="BF28" s="17" t="n"/>
      <c r="BG28" s="16" t="n"/>
      <c r="BH28" s="20" t="n"/>
      <c r="BI28" s="20" t="inlineStr">
        <is>
          <t>None</t>
        </is>
      </c>
      <c r="BJ28" s="17" t="n"/>
      <c r="BK28" s="16" t="n"/>
      <c r="BL28" s="20" t="inlineStr">
        <is>
          <t>IC Kationen</t>
        </is>
      </c>
      <c r="BM28" s="20" t="inlineStr">
        <is>
          <t>None</t>
        </is>
      </c>
      <c r="BN28" s="17" t="n"/>
      <c r="BO28" s="16" t="n"/>
      <c r="BP28" s="20" t="inlineStr">
        <is>
          <t>IC Kationen</t>
        </is>
      </c>
      <c r="BQ28" s="20" t="inlineStr">
        <is>
          <t>None</t>
        </is>
      </c>
      <c r="BR28" s="17" t="n"/>
      <c r="BS28" s="16" t="n"/>
      <c r="BT28" s="20" t="inlineStr">
        <is>
          <t>IC Kationen</t>
        </is>
      </c>
      <c r="BU28" s="20" t="inlineStr">
        <is>
          <t>None</t>
        </is>
      </c>
      <c r="BV28" s="17" t="n"/>
      <c r="BW28" s="16" t="n"/>
      <c r="BX28" s="20" t="n"/>
      <c r="BY28" s="20" t="inlineStr">
        <is>
          <t>None</t>
        </is>
      </c>
      <c r="BZ28" s="17" t="n"/>
      <c r="CA28" s="16" t="n"/>
      <c r="CB28" s="20" t="n"/>
      <c r="CC28" s="20" t="inlineStr">
        <is>
          <t>None</t>
        </is>
      </c>
      <c r="CD28" s="17" t="n"/>
      <c r="CE28" s="16" t="n"/>
      <c r="CF28" s="20" t="n"/>
      <c r="CG28" s="20" t="inlineStr">
        <is>
          <t>None</t>
        </is>
      </c>
      <c r="CH28" s="17" t="n"/>
      <c r="CI28" s="16" t="n"/>
      <c r="CJ28" s="20" t="n"/>
      <c r="CK28" s="20" t="inlineStr">
        <is>
          <t>None</t>
        </is>
      </c>
      <c r="CL28" s="17" t="n"/>
      <c r="CM28" s="16" t="n"/>
      <c r="CN28" s="20" t="inlineStr">
        <is>
          <t>SOP 45-34</t>
        </is>
      </c>
      <c r="CO28" s="20" t="inlineStr">
        <is>
          <t>None</t>
        </is>
      </c>
      <c r="CP28" s="17" t="n"/>
      <c r="CQ28" s="16" t="n"/>
      <c r="CR28" s="20" t="n"/>
      <c r="CS28" s="20" t="inlineStr">
        <is>
          <t>None</t>
        </is>
      </c>
      <c r="CT28" s="17" t="n"/>
      <c r="CU28" s="16" t="n"/>
      <c r="CV28" s="20" t="n"/>
      <c r="CW28" s="20" t="inlineStr">
        <is>
          <t>None</t>
        </is>
      </c>
      <c r="CX28" s="17" t="n"/>
      <c r="CY28" s="16" t="n"/>
      <c r="CZ28" s="20" t="inlineStr">
        <is>
          <t>WTW Multimeter 3430 with FDO 925</t>
        </is>
      </c>
      <c r="DA28" s="20" t="inlineStr">
        <is>
          <t>None</t>
        </is>
      </c>
      <c r="DB28" s="17" t="n"/>
      <c r="DC28" s="16" t="n"/>
      <c r="DD28" s="20" t="n"/>
      <c r="DE28" s="20" t="inlineStr">
        <is>
          <t>None</t>
        </is>
      </c>
      <c r="DF28" s="17" t="n"/>
      <c r="DG28" s="16" t="n"/>
      <c r="DH28" s="20" t="inlineStr">
        <is>
          <t>SOP 45-09</t>
        </is>
      </c>
      <c r="DI28" s="20" t="inlineStr">
        <is>
          <t>None</t>
        </is>
      </c>
      <c r="DJ28" s="17" t="n"/>
      <c r="DK28" s="16" t="n"/>
      <c r="DL28" s="20" t="inlineStr">
        <is>
          <t>SOP 45-09 (SOP muss noch angepasst werden für VSS)</t>
        </is>
      </c>
      <c r="DM28" s="20" t="inlineStr">
        <is>
          <t>None</t>
        </is>
      </c>
      <c r="DN28" s="17" t="n"/>
      <c r="DO28" s="16" t="n"/>
      <c r="DP28" s="20" t="inlineStr">
        <is>
          <t>IC Organic Acids</t>
        </is>
      </c>
      <c r="DQ28" s="20" t="inlineStr">
        <is>
          <t>None</t>
        </is>
      </c>
      <c r="DR28" s="17" t="n"/>
      <c r="DS28" s="16" t="n"/>
      <c r="DT28" s="20" t="inlineStr">
        <is>
          <t>IC Organic Acids</t>
        </is>
      </c>
      <c r="DU28" s="20" t="inlineStr">
        <is>
          <t>None</t>
        </is>
      </c>
      <c r="DV28" s="17" t="n"/>
      <c r="DW28" s="16" t="n"/>
      <c r="DX28" s="20" t="inlineStr">
        <is>
          <t>IC Organic Acids</t>
        </is>
      </c>
      <c r="DY28" s="20" t="inlineStr">
        <is>
          <t>None</t>
        </is>
      </c>
      <c r="DZ28" s="17" t="n"/>
      <c r="EA28" s="16" t="n"/>
      <c r="EB28" s="20" t="inlineStr">
        <is>
          <t>IC Organic Acids</t>
        </is>
      </c>
      <c r="EC28" s="20" t="inlineStr">
        <is>
          <t>None</t>
        </is>
      </c>
      <c r="ED28" s="17" t="n"/>
      <c r="EE28" s="16" t="n"/>
      <c r="EF28" s="20" t="inlineStr">
        <is>
          <t>IC Organic Acids</t>
        </is>
      </c>
      <c r="EG28" s="20" t="inlineStr">
        <is>
          <t>None</t>
        </is>
      </c>
      <c r="EH28" s="17" t="n"/>
      <c r="EI28" s="16" t="n"/>
      <c r="EJ28" s="20" t="inlineStr">
        <is>
          <t>IC Organic Acids</t>
        </is>
      </c>
      <c r="EK28" s="20" t="inlineStr">
        <is>
          <t>None</t>
        </is>
      </c>
      <c r="EL28" s="17" t="n"/>
      <c r="EM28" s="16" t="n"/>
      <c r="EN28" s="20" t="inlineStr">
        <is>
          <t>IC Organic Acids</t>
        </is>
      </c>
      <c r="EO28" s="20" t="inlineStr">
        <is>
          <t>None</t>
        </is>
      </c>
      <c r="EP28" s="17" t="n"/>
      <c r="EQ28" s="16" t="n"/>
      <c r="ER28" s="20" t="inlineStr">
        <is>
          <t>IC Organic Acids</t>
        </is>
      </c>
      <c r="ES28" s="20" t="inlineStr">
        <is>
          <t>None</t>
        </is>
      </c>
      <c r="ET28" s="17" t="n"/>
      <c r="EU28" s="16" t="n"/>
      <c r="EV28" s="20" t="inlineStr">
        <is>
          <t>LC-MS</t>
        </is>
      </c>
      <c r="EW28" s="20" t="inlineStr">
        <is>
          <t>None</t>
        </is>
      </c>
      <c r="EX28" s="17" t="n"/>
      <c r="EY28" s="21" t="n"/>
      <c r="EZ28">
        <f>CONCATENATE(A28,B28)</f>
        <v/>
      </c>
      <c r="FA28">
        <f>CONCATENATE(SamplesX!A28,SamplesX!B28)</f>
        <v/>
      </c>
      <c r="FC28">
        <f>MATCH(EZ28,FA1:FA1008,0)</f>
        <v/>
      </c>
    </row>
    <row r="29">
      <c r="A29" s="16" t="inlineStr">
        <is>
          <t>BP</t>
        </is>
      </c>
      <c r="B29" s="17" t="inlineStr">
        <is>
          <t>25021</t>
        </is>
      </c>
      <c r="C29" s="10">
        <f>IF(ISNUMBER(FC29),INDIRECT("SamplesX!C"&amp;FC29),IF(ISNUMBER(FD29),INDIRECT("SamplesY!C"&amp;FD29),""))</f>
        <v/>
      </c>
      <c r="D29" s="12">
        <f>IF(ISNUMBER(FC29),INDIRECT("SamplesX!D"&amp;FC29),IF(ISNUMBER(FD29),INDIRECT("SamplesY!D"&amp;FD29),""))</f>
        <v/>
      </c>
      <c r="E29" s="12">
        <f>IF(ISNUMBER(FC29),INDIRECT("SamplesX!E"&amp;FC29),IF(ISNUMBER(FD29),INDIRECT("SamplesY!E"&amp;FD29),""))</f>
        <v/>
      </c>
      <c r="F29" s="11">
        <f>IF(ISNUMBER(FC29),INDIRECT("SamplesX!F"&amp;FC29),IF(ISNUMBER(FD29),INDIRECT("SamplesY!F"&amp;FD29),""))</f>
        <v/>
      </c>
      <c r="G29" s="18">
        <f>IF(ISNUMBER(FC29),INDIRECT("SamplesX!G"&amp;FC29),IF(ISNUMBER(FD29),INDIRECT("SamplesY!G"&amp;FD29),""))</f>
        <v/>
      </c>
      <c r="H29" s="19">
        <f>IF(ISNUMBER(FC29),INDIRECT("SamplesX!H"&amp;FC29),IF(ISNUMBER(FD29),INDIRECT("SamplesY!H"&amp;FD29),""))</f>
        <v/>
      </c>
      <c r="I29" s="16" t="n"/>
      <c r="J29" s="16" t="n"/>
      <c r="K29" s="16" t="n"/>
      <c r="L29" s="20" t="n"/>
      <c r="M29" s="20" t="inlineStr">
        <is>
          <t>None</t>
        </is>
      </c>
      <c r="N29" s="17" t="n"/>
      <c r="O29" s="16" t="n"/>
      <c r="P29" s="20" t="inlineStr">
        <is>
          <t>Shimadzu TOC-L</t>
        </is>
      </c>
      <c r="Q29" s="20" t="inlineStr">
        <is>
          <t>None</t>
        </is>
      </c>
      <c r="R29" s="17" t="n"/>
      <c r="S29" s="16" t="n"/>
      <c r="T29" s="20" t="inlineStr">
        <is>
          <t>Shimadzu TOC-L</t>
        </is>
      </c>
      <c r="U29" s="20" t="inlineStr">
        <is>
          <t>None</t>
        </is>
      </c>
      <c r="V29" s="17" t="n"/>
      <c r="W29" s="16" t="n"/>
      <c r="X29" s="20" t="n"/>
      <c r="Y29" s="20" t="inlineStr">
        <is>
          <t>None</t>
        </is>
      </c>
      <c r="Z29" s="17" t="n"/>
      <c r="AA29" s="16" t="n"/>
      <c r="AB29" s="20" t="n"/>
      <c r="AC29" s="20" t="inlineStr">
        <is>
          <t>None</t>
        </is>
      </c>
      <c r="AD29" s="17" t="n"/>
      <c r="AE29" s="16" t="n"/>
      <c r="AF29" s="20" t="inlineStr">
        <is>
          <t>IC Anionen</t>
        </is>
      </c>
      <c r="AG29" s="20" t="inlineStr">
        <is>
          <t>None</t>
        </is>
      </c>
      <c r="AH29" s="17" t="n"/>
      <c r="AI29" s="16" t="n"/>
      <c r="AJ29" s="20" t="n"/>
      <c r="AK29" s="20" t="inlineStr">
        <is>
          <t>None</t>
        </is>
      </c>
      <c r="AL29" s="17" t="n"/>
      <c r="AM29" s="16" t="n"/>
      <c r="AN29" s="20" t="inlineStr">
        <is>
          <t>IC Anionen</t>
        </is>
      </c>
      <c r="AO29" s="20" t="inlineStr">
        <is>
          <t>None</t>
        </is>
      </c>
      <c r="AP29" s="17" t="n"/>
      <c r="AQ29" s="16" t="n"/>
      <c r="AR29" s="20" t="n"/>
      <c r="AS29" s="20" t="inlineStr">
        <is>
          <t>None</t>
        </is>
      </c>
      <c r="AT29" s="17" t="n"/>
      <c r="AU29" s="16" t="inlineStr">
        <is>
          <t>&lt;0.13</t>
        </is>
      </c>
      <c r="AV29" s="20" t="inlineStr">
        <is>
          <t>IC Anionen</t>
        </is>
      </c>
      <c r="AW29" s="20" t="inlineStr">
        <is>
          <t>None</t>
        </is>
      </c>
      <c r="AX29" s="17" t="n"/>
      <c r="AY29" s="16" t="n"/>
      <c r="AZ29" s="20" t="inlineStr">
        <is>
          <t>IC Anionen</t>
        </is>
      </c>
      <c r="BA29" s="20" t="inlineStr">
        <is>
          <t>None</t>
        </is>
      </c>
      <c r="BB29" s="17" t="n"/>
      <c r="BC29" s="16" t="n"/>
      <c r="BD29" s="20" t="inlineStr">
        <is>
          <t>IC Kationen</t>
        </is>
      </c>
      <c r="BE29" s="20" t="inlineStr">
        <is>
          <t>None</t>
        </is>
      </c>
      <c r="BF29" s="17" t="n"/>
      <c r="BG29" s="16" t="n"/>
      <c r="BH29" s="20" t="n"/>
      <c r="BI29" s="20" t="inlineStr">
        <is>
          <t>None</t>
        </is>
      </c>
      <c r="BJ29" s="17" t="n"/>
      <c r="BK29" s="16" t="n"/>
      <c r="BL29" s="20" t="inlineStr">
        <is>
          <t>IC Kationen</t>
        </is>
      </c>
      <c r="BM29" s="20" t="inlineStr">
        <is>
          <t>None</t>
        </is>
      </c>
      <c r="BN29" s="17" t="n"/>
      <c r="BO29" s="16" t="n"/>
      <c r="BP29" s="20" t="inlineStr">
        <is>
          <t>IC Kationen</t>
        </is>
      </c>
      <c r="BQ29" s="20" t="inlineStr">
        <is>
          <t>None</t>
        </is>
      </c>
      <c r="BR29" s="17" t="n"/>
      <c r="BS29" s="16" t="n"/>
      <c r="BT29" s="20" t="inlineStr">
        <is>
          <t>IC Kationen</t>
        </is>
      </c>
      <c r="BU29" s="20" t="inlineStr">
        <is>
          <t>None</t>
        </is>
      </c>
      <c r="BV29" s="17" t="n"/>
      <c r="BW29" s="16" t="n"/>
      <c r="BX29" s="20" t="n"/>
      <c r="BY29" s="20" t="inlineStr">
        <is>
          <t>None</t>
        </is>
      </c>
      <c r="BZ29" s="17" t="n"/>
      <c r="CA29" s="16" t="n"/>
      <c r="CB29" s="20" t="n"/>
      <c r="CC29" s="20" t="inlineStr">
        <is>
          <t>None</t>
        </is>
      </c>
      <c r="CD29" s="17" t="n"/>
      <c r="CE29" s="16" t="n"/>
      <c r="CF29" s="20" t="n"/>
      <c r="CG29" s="20" t="inlineStr">
        <is>
          <t>None</t>
        </is>
      </c>
      <c r="CH29" s="17" t="n"/>
      <c r="CI29" s="16" t="n"/>
      <c r="CJ29" s="20" t="n"/>
      <c r="CK29" s="20" t="inlineStr">
        <is>
          <t>None</t>
        </is>
      </c>
      <c r="CL29" s="17" t="n"/>
      <c r="CM29" s="16" t="n"/>
      <c r="CN29" s="20" t="inlineStr">
        <is>
          <t>SOP 45-34</t>
        </is>
      </c>
      <c r="CO29" s="20" t="inlineStr">
        <is>
          <t>None</t>
        </is>
      </c>
      <c r="CP29" s="17" t="n"/>
      <c r="CQ29" s="16" t="n"/>
      <c r="CR29" s="20" t="n"/>
      <c r="CS29" s="20" t="inlineStr">
        <is>
          <t>None</t>
        </is>
      </c>
      <c r="CT29" s="17" t="n"/>
      <c r="CU29" s="16" t="n"/>
      <c r="CV29" s="20" t="n"/>
      <c r="CW29" s="20" t="inlineStr">
        <is>
          <t>None</t>
        </is>
      </c>
      <c r="CX29" s="17" t="n"/>
      <c r="CY29" s="16" t="n"/>
      <c r="CZ29" s="20" t="inlineStr">
        <is>
          <t>WTW Multimeter 3430 with FDO 925</t>
        </is>
      </c>
      <c r="DA29" s="20" t="inlineStr">
        <is>
          <t>None</t>
        </is>
      </c>
      <c r="DB29" s="17" t="n"/>
      <c r="DC29" s="16" t="n"/>
      <c r="DD29" s="20" t="n"/>
      <c r="DE29" s="20" t="inlineStr">
        <is>
          <t>None</t>
        </is>
      </c>
      <c r="DF29" s="17" t="n"/>
      <c r="DG29" s="16" t="n"/>
      <c r="DH29" s="20" t="inlineStr">
        <is>
          <t>SOP 45-09</t>
        </is>
      </c>
      <c r="DI29" s="20" t="inlineStr">
        <is>
          <t>None</t>
        </is>
      </c>
      <c r="DJ29" s="17" t="n"/>
      <c r="DK29" s="16" t="n"/>
      <c r="DL29" s="20" t="inlineStr">
        <is>
          <t>SOP 45-09 (SOP muss noch angepasst werden für VSS)</t>
        </is>
      </c>
      <c r="DM29" s="20" t="inlineStr">
        <is>
          <t>None</t>
        </is>
      </c>
      <c r="DN29" s="17" t="n"/>
      <c r="DO29" s="16" t="n"/>
      <c r="DP29" s="20" t="inlineStr">
        <is>
          <t>IC Organic Acids</t>
        </is>
      </c>
      <c r="DQ29" s="20" t="inlineStr">
        <is>
          <t>None</t>
        </is>
      </c>
      <c r="DR29" s="17" t="n"/>
      <c r="DS29" s="16" t="n"/>
      <c r="DT29" s="20" t="inlineStr">
        <is>
          <t>IC Organic Acids</t>
        </is>
      </c>
      <c r="DU29" s="20" t="inlineStr">
        <is>
          <t>None</t>
        </is>
      </c>
      <c r="DV29" s="17" t="n"/>
      <c r="DW29" s="16" t="n"/>
      <c r="DX29" s="20" t="inlineStr">
        <is>
          <t>IC Organic Acids</t>
        </is>
      </c>
      <c r="DY29" s="20" t="inlineStr">
        <is>
          <t>None</t>
        </is>
      </c>
      <c r="DZ29" s="17" t="n"/>
      <c r="EA29" s="16" t="n"/>
      <c r="EB29" s="20" t="inlineStr">
        <is>
          <t>IC Organic Acids</t>
        </is>
      </c>
      <c r="EC29" s="20" t="inlineStr">
        <is>
          <t>None</t>
        </is>
      </c>
      <c r="ED29" s="17" t="n"/>
      <c r="EE29" s="16" t="n"/>
      <c r="EF29" s="20" t="inlineStr">
        <is>
          <t>IC Organic Acids</t>
        </is>
      </c>
      <c r="EG29" s="20" t="inlineStr">
        <is>
          <t>None</t>
        </is>
      </c>
      <c r="EH29" s="17" t="n"/>
      <c r="EI29" s="16" t="n"/>
      <c r="EJ29" s="20" t="inlineStr">
        <is>
          <t>IC Organic Acids</t>
        </is>
      </c>
      <c r="EK29" s="20" t="inlineStr">
        <is>
          <t>None</t>
        </is>
      </c>
      <c r="EL29" s="17" t="n"/>
      <c r="EM29" s="16" t="n"/>
      <c r="EN29" s="20" t="inlineStr">
        <is>
          <t>IC Organic Acids</t>
        </is>
      </c>
      <c r="EO29" s="20" t="inlineStr">
        <is>
          <t>None</t>
        </is>
      </c>
      <c r="EP29" s="17" t="n"/>
      <c r="EQ29" s="16" t="n"/>
      <c r="ER29" s="20" t="inlineStr">
        <is>
          <t>IC Organic Acids</t>
        </is>
      </c>
      <c r="ES29" s="20" t="inlineStr">
        <is>
          <t>None</t>
        </is>
      </c>
      <c r="ET29" s="17" t="n"/>
      <c r="EU29" s="16" t="n"/>
      <c r="EV29" s="20" t="inlineStr">
        <is>
          <t>LC-MS</t>
        </is>
      </c>
      <c r="EW29" s="20" t="inlineStr">
        <is>
          <t>None</t>
        </is>
      </c>
      <c r="EX29" s="17" t="n"/>
      <c r="EY29" s="21" t="n"/>
      <c r="EZ29">
        <f>CONCATENATE(A29,B29)</f>
        <v/>
      </c>
      <c r="FA29">
        <f>CONCATENATE(SamplesX!A29,SamplesX!B29)</f>
        <v/>
      </c>
      <c r="FC29">
        <f>MATCH(EZ29,FA1:FA1008,0)</f>
        <v/>
      </c>
    </row>
    <row r="30">
      <c r="A30" s="16" t="inlineStr">
        <is>
          <t>BP</t>
        </is>
      </c>
      <c r="B30" s="17" t="inlineStr">
        <is>
          <t>25022</t>
        </is>
      </c>
      <c r="C30" s="10">
        <f>IF(ISNUMBER(FC30),INDIRECT("SamplesX!C"&amp;FC30),IF(ISNUMBER(FD30),INDIRECT("SamplesY!C"&amp;FD30),""))</f>
        <v/>
      </c>
      <c r="D30" s="12">
        <f>IF(ISNUMBER(FC30),INDIRECT("SamplesX!D"&amp;FC30),IF(ISNUMBER(FD30),INDIRECT("SamplesY!D"&amp;FD30),""))</f>
        <v/>
      </c>
      <c r="E30" s="12">
        <f>IF(ISNUMBER(FC30),INDIRECT("SamplesX!E"&amp;FC30),IF(ISNUMBER(FD30),INDIRECT("SamplesY!E"&amp;FD30),""))</f>
        <v/>
      </c>
      <c r="F30" s="11">
        <f>IF(ISNUMBER(FC30),INDIRECT("SamplesX!F"&amp;FC30),IF(ISNUMBER(FD30),INDIRECT("SamplesY!F"&amp;FD30),""))</f>
        <v/>
      </c>
      <c r="G30" s="18">
        <f>IF(ISNUMBER(FC30),INDIRECT("SamplesX!G"&amp;FC30),IF(ISNUMBER(FD30),INDIRECT("SamplesY!G"&amp;FD30),""))</f>
        <v/>
      </c>
      <c r="H30" s="19">
        <f>IF(ISNUMBER(FC30),INDIRECT("SamplesX!H"&amp;FC30),IF(ISNUMBER(FD30),INDIRECT("SamplesY!H"&amp;FD30),""))</f>
        <v/>
      </c>
      <c r="I30" s="16" t="n"/>
      <c r="J30" s="16" t="n"/>
      <c r="K30" s="16" t="n"/>
      <c r="L30" s="20" t="n"/>
      <c r="M30" s="20" t="inlineStr">
        <is>
          <t>None</t>
        </is>
      </c>
      <c r="N30" s="17" t="n"/>
      <c r="O30" s="16" t="n"/>
      <c r="P30" s="20" t="inlineStr">
        <is>
          <t>Shimadzu TOC-L</t>
        </is>
      </c>
      <c r="Q30" s="20" t="inlineStr">
        <is>
          <t>None</t>
        </is>
      </c>
      <c r="R30" s="17" t="n"/>
      <c r="S30" s="16" t="n"/>
      <c r="T30" s="20" t="inlineStr">
        <is>
          <t>Shimadzu TOC-L</t>
        </is>
      </c>
      <c r="U30" s="20" t="inlineStr">
        <is>
          <t>None</t>
        </is>
      </c>
      <c r="V30" s="17" t="n"/>
      <c r="W30" s="16" t="n"/>
      <c r="X30" s="20" t="n"/>
      <c r="Y30" s="20" t="inlineStr">
        <is>
          <t>None</t>
        </is>
      </c>
      <c r="Z30" s="17" t="n"/>
      <c r="AA30" s="16" t="n"/>
      <c r="AB30" s="20" t="n"/>
      <c r="AC30" s="20" t="inlineStr">
        <is>
          <t>None</t>
        </is>
      </c>
      <c r="AD30" s="17" t="n"/>
      <c r="AE30" s="16" t="n"/>
      <c r="AF30" s="20" t="inlineStr">
        <is>
          <t>IC Anionen</t>
        </is>
      </c>
      <c r="AG30" s="20" t="inlineStr">
        <is>
          <t>None</t>
        </is>
      </c>
      <c r="AH30" s="17" t="n"/>
      <c r="AI30" s="16" t="n"/>
      <c r="AJ30" s="20" t="n"/>
      <c r="AK30" s="20" t="inlineStr">
        <is>
          <t>None</t>
        </is>
      </c>
      <c r="AL30" s="17" t="n"/>
      <c r="AM30" s="16" t="n"/>
      <c r="AN30" s="20" t="inlineStr">
        <is>
          <t>IC Anionen</t>
        </is>
      </c>
      <c r="AO30" s="20" t="inlineStr">
        <is>
          <t>None</t>
        </is>
      </c>
      <c r="AP30" s="17" t="n"/>
      <c r="AQ30" s="16" t="n"/>
      <c r="AR30" s="20" t="n"/>
      <c r="AS30" s="20" t="inlineStr">
        <is>
          <t>None</t>
        </is>
      </c>
      <c r="AT30" s="17" t="n"/>
      <c r="AU30" s="16" t="inlineStr">
        <is>
          <t>0.13</t>
        </is>
      </c>
      <c r="AV30" s="20" t="inlineStr">
        <is>
          <t>IC Anionen</t>
        </is>
      </c>
      <c r="AW30" s="20" t="inlineStr">
        <is>
          <t>None</t>
        </is>
      </c>
      <c r="AX30" s="17" t="n"/>
      <c r="AY30" s="16" t="n"/>
      <c r="AZ30" s="20" t="inlineStr">
        <is>
          <t>IC Anionen</t>
        </is>
      </c>
      <c r="BA30" s="20" t="inlineStr">
        <is>
          <t>None</t>
        </is>
      </c>
      <c r="BB30" s="17" t="n"/>
      <c r="BC30" s="16" t="n"/>
      <c r="BD30" s="20" t="inlineStr">
        <is>
          <t>IC Kationen</t>
        </is>
      </c>
      <c r="BE30" s="20" t="inlineStr">
        <is>
          <t>None</t>
        </is>
      </c>
      <c r="BF30" s="17" t="n"/>
      <c r="BG30" s="16" t="n"/>
      <c r="BH30" s="20" t="n"/>
      <c r="BI30" s="20" t="inlineStr">
        <is>
          <t>None</t>
        </is>
      </c>
      <c r="BJ30" s="17" t="n"/>
      <c r="BK30" s="16" t="n"/>
      <c r="BL30" s="20" t="inlineStr">
        <is>
          <t>IC Kationen</t>
        </is>
      </c>
      <c r="BM30" s="20" t="inlineStr">
        <is>
          <t>None</t>
        </is>
      </c>
      <c r="BN30" s="17" t="n"/>
      <c r="BO30" s="16" t="n"/>
      <c r="BP30" s="20" t="inlineStr">
        <is>
          <t>IC Kationen</t>
        </is>
      </c>
      <c r="BQ30" s="20" t="inlineStr">
        <is>
          <t>None</t>
        </is>
      </c>
      <c r="BR30" s="17" t="n"/>
      <c r="BS30" s="16" t="n"/>
      <c r="BT30" s="20" t="inlineStr">
        <is>
          <t>IC Kationen</t>
        </is>
      </c>
      <c r="BU30" s="20" t="inlineStr">
        <is>
          <t>None</t>
        </is>
      </c>
      <c r="BV30" s="17" t="n"/>
      <c r="BW30" s="16" t="n"/>
      <c r="BX30" s="20" t="n"/>
      <c r="BY30" s="20" t="inlineStr">
        <is>
          <t>None</t>
        </is>
      </c>
      <c r="BZ30" s="17" t="n"/>
      <c r="CA30" s="16" t="n"/>
      <c r="CB30" s="20" t="n"/>
      <c r="CC30" s="20" t="inlineStr">
        <is>
          <t>None</t>
        </is>
      </c>
      <c r="CD30" s="17" t="n"/>
      <c r="CE30" s="16" t="n"/>
      <c r="CF30" s="20" t="n"/>
      <c r="CG30" s="20" t="inlineStr">
        <is>
          <t>None</t>
        </is>
      </c>
      <c r="CH30" s="17" t="n"/>
      <c r="CI30" s="16" t="n"/>
      <c r="CJ30" s="20" t="n"/>
      <c r="CK30" s="20" t="inlineStr">
        <is>
          <t>None</t>
        </is>
      </c>
      <c r="CL30" s="17" t="n"/>
      <c r="CM30" s="16" t="n"/>
      <c r="CN30" s="20" t="inlineStr">
        <is>
          <t>SOP 45-34</t>
        </is>
      </c>
      <c r="CO30" s="20" t="inlineStr">
        <is>
          <t>None</t>
        </is>
      </c>
      <c r="CP30" s="17" t="n"/>
      <c r="CQ30" s="16" t="n"/>
      <c r="CR30" s="20" t="n"/>
      <c r="CS30" s="20" t="inlineStr">
        <is>
          <t>None</t>
        </is>
      </c>
      <c r="CT30" s="17" t="n"/>
      <c r="CU30" s="16" t="n"/>
      <c r="CV30" s="20" t="n"/>
      <c r="CW30" s="20" t="inlineStr">
        <is>
          <t>None</t>
        </is>
      </c>
      <c r="CX30" s="17" t="n"/>
      <c r="CY30" s="16" t="n"/>
      <c r="CZ30" s="20" t="inlineStr">
        <is>
          <t>WTW Multimeter 3430 with FDO 925</t>
        </is>
      </c>
      <c r="DA30" s="20" t="inlineStr">
        <is>
          <t>None</t>
        </is>
      </c>
      <c r="DB30" s="17" t="n"/>
      <c r="DC30" s="16" t="n"/>
      <c r="DD30" s="20" t="n"/>
      <c r="DE30" s="20" t="inlineStr">
        <is>
          <t>None</t>
        </is>
      </c>
      <c r="DF30" s="17" t="n"/>
      <c r="DG30" s="16" t="n"/>
      <c r="DH30" s="20" t="inlineStr">
        <is>
          <t>SOP 45-09</t>
        </is>
      </c>
      <c r="DI30" s="20" t="inlineStr">
        <is>
          <t>None</t>
        </is>
      </c>
      <c r="DJ30" s="17" t="n"/>
      <c r="DK30" s="16" t="n"/>
      <c r="DL30" s="20" t="inlineStr">
        <is>
          <t>SOP 45-09 (SOP muss noch angepasst werden für VSS)</t>
        </is>
      </c>
      <c r="DM30" s="20" t="inlineStr">
        <is>
          <t>None</t>
        </is>
      </c>
      <c r="DN30" s="17" t="n"/>
      <c r="DO30" s="16" t="n"/>
      <c r="DP30" s="20" t="inlineStr">
        <is>
          <t>IC Organic Acids</t>
        </is>
      </c>
      <c r="DQ30" s="20" t="inlineStr">
        <is>
          <t>None</t>
        </is>
      </c>
      <c r="DR30" s="17" t="n"/>
      <c r="DS30" s="16" t="n"/>
      <c r="DT30" s="20" t="inlineStr">
        <is>
          <t>IC Organic Acids</t>
        </is>
      </c>
      <c r="DU30" s="20" t="inlineStr">
        <is>
          <t>None</t>
        </is>
      </c>
      <c r="DV30" s="17" t="n"/>
      <c r="DW30" s="16" t="n"/>
      <c r="DX30" s="20" t="inlineStr">
        <is>
          <t>IC Organic Acids</t>
        </is>
      </c>
      <c r="DY30" s="20" t="inlineStr">
        <is>
          <t>None</t>
        </is>
      </c>
      <c r="DZ30" s="17" t="n"/>
      <c r="EA30" s="16" t="n"/>
      <c r="EB30" s="20" t="inlineStr">
        <is>
          <t>IC Organic Acids</t>
        </is>
      </c>
      <c r="EC30" s="20" t="inlineStr">
        <is>
          <t>None</t>
        </is>
      </c>
      <c r="ED30" s="17" t="n"/>
      <c r="EE30" s="16" t="n"/>
      <c r="EF30" s="20" t="inlineStr">
        <is>
          <t>IC Organic Acids</t>
        </is>
      </c>
      <c r="EG30" s="20" t="inlineStr">
        <is>
          <t>None</t>
        </is>
      </c>
      <c r="EH30" s="17" t="n"/>
      <c r="EI30" s="16" t="n"/>
      <c r="EJ30" s="20" t="inlineStr">
        <is>
          <t>IC Organic Acids</t>
        </is>
      </c>
      <c r="EK30" s="20" t="inlineStr">
        <is>
          <t>None</t>
        </is>
      </c>
      <c r="EL30" s="17" t="n"/>
      <c r="EM30" s="16" t="n"/>
      <c r="EN30" s="20" t="inlineStr">
        <is>
          <t>IC Organic Acids</t>
        </is>
      </c>
      <c r="EO30" s="20" t="inlineStr">
        <is>
          <t>None</t>
        </is>
      </c>
      <c r="EP30" s="17" t="n"/>
      <c r="EQ30" s="16" t="n"/>
      <c r="ER30" s="20" t="inlineStr">
        <is>
          <t>IC Organic Acids</t>
        </is>
      </c>
      <c r="ES30" s="20" t="inlineStr">
        <is>
          <t>None</t>
        </is>
      </c>
      <c r="ET30" s="17" t="n"/>
      <c r="EU30" s="16" t="n"/>
      <c r="EV30" s="20" t="inlineStr">
        <is>
          <t>LC-MS</t>
        </is>
      </c>
      <c r="EW30" s="20" t="inlineStr">
        <is>
          <t>None</t>
        </is>
      </c>
      <c r="EX30" s="17" t="n"/>
      <c r="EY30" s="21" t="n"/>
      <c r="EZ30">
        <f>CONCATENATE(A30,B30)</f>
        <v/>
      </c>
      <c r="FA30">
        <f>CONCATENATE(SamplesX!A30,SamplesX!B30)</f>
        <v/>
      </c>
      <c r="FC30">
        <f>MATCH(EZ30,FA1:FA1008,0)</f>
        <v/>
      </c>
    </row>
    <row r="31">
      <c r="A31" s="16" t="inlineStr">
        <is>
          <t>BP</t>
        </is>
      </c>
      <c r="B31" s="17" t="inlineStr">
        <is>
          <t>25023</t>
        </is>
      </c>
      <c r="C31" s="10">
        <f>IF(ISNUMBER(FC31),INDIRECT("SamplesX!C"&amp;FC31),IF(ISNUMBER(FD31),INDIRECT("SamplesY!C"&amp;FD31),""))</f>
        <v/>
      </c>
      <c r="D31" s="12">
        <f>IF(ISNUMBER(FC31),INDIRECT("SamplesX!D"&amp;FC31),IF(ISNUMBER(FD31),INDIRECT("SamplesY!D"&amp;FD31),""))</f>
        <v/>
      </c>
      <c r="E31" s="12">
        <f>IF(ISNUMBER(FC31),INDIRECT("SamplesX!E"&amp;FC31),IF(ISNUMBER(FD31),INDIRECT("SamplesY!E"&amp;FD31),""))</f>
        <v/>
      </c>
      <c r="F31" s="11">
        <f>IF(ISNUMBER(FC31),INDIRECT("SamplesX!F"&amp;FC31),IF(ISNUMBER(FD31),INDIRECT("SamplesY!F"&amp;FD31),""))</f>
        <v/>
      </c>
      <c r="G31" s="18">
        <f>IF(ISNUMBER(FC31),INDIRECT("SamplesX!G"&amp;FC31),IF(ISNUMBER(FD31),INDIRECT("SamplesY!G"&amp;FD31),""))</f>
        <v/>
      </c>
      <c r="H31" s="19">
        <f>IF(ISNUMBER(FC31),INDIRECT("SamplesX!H"&amp;FC31),IF(ISNUMBER(FD31),INDIRECT("SamplesY!H"&amp;FD31),""))</f>
        <v/>
      </c>
      <c r="I31" s="16" t="n"/>
      <c r="J31" s="16" t="n"/>
      <c r="K31" s="16" t="n"/>
      <c r="L31" s="20" t="n"/>
      <c r="M31" s="20" t="inlineStr">
        <is>
          <t>None</t>
        </is>
      </c>
      <c r="N31" s="17" t="n"/>
      <c r="O31" s="16" t="n"/>
      <c r="P31" s="20" t="inlineStr">
        <is>
          <t>Shimadzu TOC-L</t>
        </is>
      </c>
      <c r="Q31" s="20" t="inlineStr">
        <is>
          <t>None</t>
        </is>
      </c>
      <c r="R31" s="17" t="n"/>
      <c r="S31" s="16" t="n"/>
      <c r="T31" s="20" t="inlineStr">
        <is>
          <t>Shimadzu TOC-L</t>
        </is>
      </c>
      <c r="U31" s="20" t="inlineStr">
        <is>
          <t>None</t>
        </is>
      </c>
      <c r="V31" s="17" t="n"/>
      <c r="W31" s="16" t="n"/>
      <c r="X31" s="20" t="n"/>
      <c r="Y31" s="20" t="inlineStr">
        <is>
          <t>None</t>
        </is>
      </c>
      <c r="Z31" s="17" t="n"/>
      <c r="AA31" s="16" t="n"/>
      <c r="AB31" s="20" t="n"/>
      <c r="AC31" s="20" t="inlineStr">
        <is>
          <t>None</t>
        </is>
      </c>
      <c r="AD31" s="17" t="n"/>
      <c r="AE31" s="16" t="n"/>
      <c r="AF31" s="20" t="inlineStr">
        <is>
          <t>IC Anionen</t>
        </is>
      </c>
      <c r="AG31" s="20" t="inlineStr">
        <is>
          <t>None</t>
        </is>
      </c>
      <c r="AH31" s="17" t="n"/>
      <c r="AI31" s="16" t="n"/>
      <c r="AJ31" s="20" t="n"/>
      <c r="AK31" s="20" t="inlineStr">
        <is>
          <t>None</t>
        </is>
      </c>
      <c r="AL31" s="17" t="n"/>
      <c r="AM31" s="16" t="n"/>
      <c r="AN31" s="20" t="inlineStr">
        <is>
          <t>IC Anionen</t>
        </is>
      </c>
      <c r="AO31" s="20" t="inlineStr">
        <is>
          <t>None</t>
        </is>
      </c>
      <c r="AP31" s="17" t="n"/>
      <c r="AQ31" s="16" t="n"/>
      <c r="AR31" s="20" t="n"/>
      <c r="AS31" s="20" t="inlineStr">
        <is>
          <t>None</t>
        </is>
      </c>
      <c r="AT31" s="17" t="n"/>
      <c r="AU31" s="16" t="inlineStr">
        <is>
          <t>&lt;0.13</t>
        </is>
      </c>
      <c r="AV31" s="20" t="inlineStr">
        <is>
          <t>IC Anionen</t>
        </is>
      </c>
      <c r="AW31" s="20" t="inlineStr">
        <is>
          <t>None</t>
        </is>
      </c>
      <c r="AX31" s="17" t="n"/>
      <c r="AY31" s="16" t="n"/>
      <c r="AZ31" s="20" t="inlineStr">
        <is>
          <t>IC Anionen</t>
        </is>
      </c>
      <c r="BA31" s="20" t="inlineStr">
        <is>
          <t>None</t>
        </is>
      </c>
      <c r="BB31" s="17" t="n"/>
      <c r="BC31" s="16" t="n"/>
      <c r="BD31" s="20" t="inlineStr">
        <is>
          <t>IC Kationen</t>
        </is>
      </c>
      <c r="BE31" s="20" t="inlineStr">
        <is>
          <t>None</t>
        </is>
      </c>
      <c r="BF31" s="17" t="n"/>
      <c r="BG31" s="16" t="n"/>
      <c r="BH31" s="20" t="n"/>
      <c r="BI31" s="20" t="inlineStr">
        <is>
          <t>None</t>
        </is>
      </c>
      <c r="BJ31" s="17" t="n"/>
      <c r="BK31" s="16" t="n"/>
      <c r="BL31" s="20" t="inlineStr">
        <is>
          <t>IC Kationen</t>
        </is>
      </c>
      <c r="BM31" s="20" t="inlineStr">
        <is>
          <t>None</t>
        </is>
      </c>
      <c r="BN31" s="17" t="n"/>
      <c r="BO31" s="16" t="n"/>
      <c r="BP31" s="20" t="inlineStr">
        <is>
          <t>IC Kationen</t>
        </is>
      </c>
      <c r="BQ31" s="20" t="inlineStr">
        <is>
          <t>None</t>
        </is>
      </c>
      <c r="BR31" s="17" t="n"/>
      <c r="BS31" s="16" t="n"/>
      <c r="BT31" s="20" t="inlineStr">
        <is>
          <t>IC Kationen</t>
        </is>
      </c>
      <c r="BU31" s="20" t="inlineStr">
        <is>
          <t>None</t>
        </is>
      </c>
      <c r="BV31" s="17" t="n"/>
      <c r="BW31" s="16" t="n"/>
      <c r="BX31" s="20" t="n"/>
      <c r="BY31" s="20" t="inlineStr">
        <is>
          <t>None</t>
        </is>
      </c>
      <c r="BZ31" s="17" t="n"/>
      <c r="CA31" s="16" t="n"/>
      <c r="CB31" s="20" t="n"/>
      <c r="CC31" s="20" t="inlineStr">
        <is>
          <t>None</t>
        </is>
      </c>
      <c r="CD31" s="17" t="n"/>
      <c r="CE31" s="16" t="n"/>
      <c r="CF31" s="20" t="n"/>
      <c r="CG31" s="20" t="inlineStr">
        <is>
          <t>None</t>
        </is>
      </c>
      <c r="CH31" s="17" t="n"/>
      <c r="CI31" s="16" t="n"/>
      <c r="CJ31" s="20" t="n"/>
      <c r="CK31" s="20" t="inlineStr">
        <is>
          <t>None</t>
        </is>
      </c>
      <c r="CL31" s="17" t="n"/>
      <c r="CM31" s="16" t="n"/>
      <c r="CN31" s="20" t="inlineStr">
        <is>
          <t>SOP 45-34</t>
        </is>
      </c>
      <c r="CO31" s="20" t="inlineStr">
        <is>
          <t>None</t>
        </is>
      </c>
      <c r="CP31" s="17" t="n"/>
      <c r="CQ31" s="16" t="n"/>
      <c r="CR31" s="20" t="n"/>
      <c r="CS31" s="20" t="inlineStr">
        <is>
          <t>None</t>
        </is>
      </c>
      <c r="CT31" s="17" t="n"/>
      <c r="CU31" s="16" t="n"/>
      <c r="CV31" s="20" t="n"/>
      <c r="CW31" s="20" t="inlineStr">
        <is>
          <t>None</t>
        </is>
      </c>
      <c r="CX31" s="17" t="n"/>
      <c r="CY31" s="16" t="n"/>
      <c r="CZ31" s="20" t="inlineStr">
        <is>
          <t>WTW Multimeter 3430 with FDO 925</t>
        </is>
      </c>
      <c r="DA31" s="20" t="inlineStr">
        <is>
          <t>None</t>
        </is>
      </c>
      <c r="DB31" s="17" t="n"/>
      <c r="DC31" s="16" t="n"/>
      <c r="DD31" s="20" t="n"/>
      <c r="DE31" s="20" t="inlineStr">
        <is>
          <t>None</t>
        </is>
      </c>
      <c r="DF31" s="17" t="n"/>
      <c r="DG31" s="16" t="n"/>
      <c r="DH31" s="20" t="inlineStr">
        <is>
          <t>SOP 45-09</t>
        </is>
      </c>
      <c r="DI31" s="20" t="inlineStr">
        <is>
          <t>None</t>
        </is>
      </c>
      <c r="DJ31" s="17" t="n"/>
      <c r="DK31" s="16" t="n"/>
      <c r="DL31" s="20" t="inlineStr">
        <is>
          <t>SOP 45-09 (SOP muss noch angepasst werden für VSS)</t>
        </is>
      </c>
      <c r="DM31" s="20" t="inlineStr">
        <is>
          <t>None</t>
        </is>
      </c>
      <c r="DN31" s="17" t="n"/>
      <c r="DO31" s="16" t="n"/>
      <c r="DP31" s="20" t="inlineStr">
        <is>
          <t>IC Organic Acids</t>
        </is>
      </c>
      <c r="DQ31" s="20" t="inlineStr">
        <is>
          <t>None</t>
        </is>
      </c>
      <c r="DR31" s="17" t="n"/>
      <c r="DS31" s="16" t="n"/>
      <c r="DT31" s="20" t="inlineStr">
        <is>
          <t>IC Organic Acids</t>
        </is>
      </c>
      <c r="DU31" s="20" t="inlineStr">
        <is>
          <t>None</t>
        </is>
      </c>
      <c r="DV31" s="17" t="n"/>
      <c r="DW31" s="16" t="n"/>
      <c r="DX31" s="20" t="inlineStr">
        <is>
          <t>IC Organic Acids</t>
        </is>
      </c>
      <c r="DY31" s="20" t="inlineStr">
        <is>
          <t>None</t>
        </is>
      </c>
      <c r="DZ31" s="17" t="n"/>
      <c r="EA31" s="16" t="n"/>
      <c r="EB31" s="20" t="inlineStr">
        <is>
          <t>IC Organic Acids</t>
        </is>
      </c>
      <c r="EC31" s="20" t="inlineStr">
        <is>
          <t>None</t>
        </is>
      </c>
      <c r="ED31" s="17" t="n"/>
      <c r="EE31" s="16" t="n"/>
      <c r="EF31" s="20" t="inlineStr">
        <is>
          <t>IC Organic Acids</t>
        </is>
      </c>
      <c r="EG31" s="20" t="inlineStr">
        <is>
          <t>None</t>
        </is>
      </c>
      <c r="EH31" s="17" t="n"/>
      <c r="EI31" s="16" t="n"/>
      <c r="EJ31" s="20" t="inlineStr">
        <is>
          <t>IC Organic Acids</t>
        </is>
      </c>
      <c r="EK31" s="20" t="inlineStr">
        <is>
          <t>None</t>
        </is>
      </c>
      <c r="EL31" s="17" t="n"/>
      <c r="EM31" s="16" t="n"/>
      <c r="EN31" s="20" t="inlineStr">
        <is>
          <t>IC Organic Acids</t>
        </is>
      </c>
      <c r="EO31" s="20" t="inlineStr">
        <is>
          <t>None</t>
        </is>
      </c>
      <c r="EP31" s="17" t="n"/>
      <c r="EQ31" s="16" t="n"/>
      <c r="ER31" s="20" t="inlineStr">
        <is>
          <t>IC Organic Acids</t>
        </is>
      </c>
      <c r="ES31" s="20" t="inlineStr">
        <is>
          <t>None</t>
        </is>
      </c>
      <c r="ET31" s="17" t="n"/>
      <c r="EU31" s="16" t="n"/>
      <c r="EV31" s="20" t="inlineStr">
        <is>
          <t>LC-MS</t>
        </is>
      </c>
      <c r="EW31" s="20" t="inlineStr">
        <is>
          <t>None</t>
        </is>
      </c>
      <c r="EX31" s="17" t="n"/>
      <c r="EY31" s="21" t="n"/>
      <c r="EZ31">
        <f>CONCATENATE(A31,B31)</f>
        <v/>
      </c>
      <c r="FA31">
        <f>CONCATENATE(SamplesX!A31,SamplesX!B31)</f>
        <v/>
      </c>
      <c r="FC31">
        <f>MATCH(EZ31,FA1:FA1008,0)</f>
        <v/>
      </c>
    </row>
    <row r="32">
      <c r="A32" s="16" t="inlineStr">
        <is>
          <t>BP</t>
        </is>
      </c>
      <c r="B32" s="17" t="inlineStr">
        <is>
          <t>25024</t>
        </is>
      </c>
      <c r="C32" s="10">
        <f>IF(ISNUMBER(FC32),INDIRECT("SamplesX!C"&amp;FC32),IF(ISNUMBER(FD32),INDIRECT("SamplesY!C"&amp;FD32),""))</f>
        <v/>
      </c>
      <c r="D32" s="12">
        <f>IF(ISNUMBER(FC32),INDIRECT("SamplesX!D"&amp;FC32),IF(ISNUMBER(FD32),INDIRECT("SamplesY!D"&amp;FD32),""))</f>
        <v/>
      </c>
      <c r="E32" s="12">
        <f>IF(ISNUMBER(FC32),INDIRECT("SamplesX!E"&amp;FC32),IF(ISNUMBER(FD32),INDIRECT("SamplesY!E"&amp;FD32),""))</f>
        <v/>
      </c>
      <c r="F32" s="11">
        <f>IF(ISNUMBER(FC32),INDIRECT("SamplesX!F"&amp;FC32),IF(ISNUMBER(FD32),INDIRECT("SamplesY!F"&amp;FD32),""))</f>
        <v/>
      </c>
      <c r="G32" s="18">
        <f>IF(ISNUMBER(FC32),INDIRECT("SamplesX!G"&amp;FC32),IF(ISNUMBER(FD32),INDIRECT("SamplesY!G"&amp;FD32),""))</f>
        <v/>
      </c>
      <c r="H32" s="19">
        <f>IF(ISNUMBER(FC32),INDIRECT("SamplesX!H"&amp;FC32),IF(ISNUMBER(FD32),INDIRECT("SamplesY!H"&amp;FD32),""))</f>
        <v/>
      </c>
      <c r="I32" s="16" t="n"/>
      <c r="J32" s="16" t="n"/>
      <c r="K32" s="16" t="n"/>
      <c r="L32" s="20" t="n"/>
      <c r="M32" s="20" t="inlineStr">
        <is>
          <t>None</t>
        </is>
      </c>
      <c r="N32" s="17" t="n"/>
      <c r="O32" s="16" t="n"/>
      <c r="P32" s="20" t="inlineStr">
        <is>
          <t>Shimadzu TOC-L</t>
        </is>
      </c>
      <c r="Q32" s="20" t="inlineStr">
        <is>
          <t>None</t>
        </is>
      </c>
      <c r="R32" s="17" t="n"/>
      <c r="S32" s="16" t="n"/>
      <c r="T32" s="20" t="inlineStr">
        <is>
          <t>Shimadzu TOC-L</t>
        </is>
      </c>
      <c r="U32" s="20" t="inlineStr">
        <is>
          <t>None</t>
        </is>
      </c>
      <c r="V32" s="17" t="n"/>
      <c r="W32" s="16" t="n"/>
      <c r="X32" s="20" t="n"/>
      <c r="Y32" s="20" t="inlineStr">
        <is>
          <t>None</t>
        </is>
      </c>
      <c r="Z32" s="17" t="n"/>
      <c r="AA32" s="16" t="n"/>
      <c r="AB32" s="20" t="n"/>
      <c r="AC32" s="20" t="inlineStr">
        <is>
          <t>None</t>
        </is>
      </c>
      <c r="AD32" s="17" t="n"/>
      <c r="AE32" s="16" t="n"/>
      <c r="AF32" s="20" t="inlineStr">
        <is>
          <t>IC Anionen</t>
        </is>
      </c>
      <c r="AG32" s="20" t="inlineStr">
        <is>
          <t>None</t>
        </is>
      </c>
      <c r="AH32" s="17" t="n"/>
      <c r="AI32" s="16" t="n"/>
      <c r="AJ32" s="20" t="n"/>
      <c r="AK32" s="20" t="inlineStr">
        <is>
          <t>None</t>
        </is>
      </c>
      <c r="AL32" s="17" t="n"/>
      <c r="AM32" s="16" t="n"/>
      <c r="AN32" s="20" t="inlineStr">
        <is>
          <t>IC Anionen</t>
        </is>
      </c>
      <c r="AO32" s="20" t="inlineStr">
        <is>
          <t>None</t>
        </is>
      </c>
      <c r="AP32" s="17" t="n"/>
      <c r="AQ32" s="16" t="n"/>
      <c r="AR32" s="20" t="n"/>
      <c r="AS32" s="20" t="inlineStr">
        <is>
          <t>None</t>
        </is>
      </c>
      <c r="AT32" s="17" t="n"/>
      <c r="AU32" s="16" t="inlineStr">
        <is>
          <t>14.4</t>
        </is>
      </c>
      <c r="AV32" s="20" t="inlineStr">
        <is>
          <t>IC Anionen</t>
        </is>
      </c>
      <c r="AW32" s="20" t="inlineStr">
        <is>
          <t>None</t>
        </is>
      </c>
      <c r="AX32" s="17" t="inlineStr">
        <is>
          <t>1*2</t>
        </is>
      </c>
      <c r="AY32" s="16" t="n"/>
      <c r="AZ32" s="20" t="inlineStr">
        <is>
          <t>IC Anionen</t>
        </is>
      </c>
      <c r="BA32" s="20" t="inlineStr">
        <is>
          <t>None</t>
        </is>
      </c>
      <c r="BB32" s="17" t="n"/>
      <c r="BC32" s="16" t="n"/>
      <c r="BD32" s="20" t="inlineStr">
        <is>
          <t>IC Kationen</t>
        </is>
      </c>
      <c r="BE32" s="20" t="inlineStr">
        <is>
          <t>None</t>
        </is>
      </c>
      <c r="BF32" s="17" t="n"/>
      <c r="BG32" s="16" t="n"/>
      <c r="BH32" s="20" t="n"/>
      <c r="BI32" s="20" t="inlineStr">
        <is>
          <t>None</t>
        </is>
      </c>
      <c r="BJ32" s="17" t="n"/>
      <c r="BK32" s="16" t="n"/>
      <c r="BL32" s="20" t="inlineStr">
        <is>
          <t>IC Kationen</t>
        </is>
      </c>
      <c r="BM32" s="20" t="inlineStr">
        <is>
          <t>None</t>
        </is>
      </c>
      <c r="BN32" s="17" t="n"/>
      <c r="BO32" s="16" t="n"/>
      <c r="BP32" s="20" t="inlineStr">
        <is>
          <t>IC Kationen</t>
        </is>
      </c>
      <c r="BQ32" s="20" t="inlineStr">
        <is>
          <t>None</t>
        </is>
      </c>
      <c r="BR32" s="17" t="n"/>
      <c r="BS32" s="16" t="n"/>
      <c r="BT32" s="20" t="inlineStr">
        <is>
          <t>IC Kationen</t>
        </is>
      </c>
      <c r="BU32" s="20" t="inlineStr">
        <is>
          <t>None</t>
        </is>
      </c>
      <c r="BV32" s="17" t="n"/>
      <c r="BW32" s="16" t="n"/>
      <c r="BX32" s="20" t="n"/>
      <c r="BY32" s="20" t="inlineStr">
        <is>
          <t>None</t>
        </is>
      </c>
      <c r="BZ32" s="17" t="n"/>
      <c r="CA32" s="16" t="n"/>
      <c r="CB32" s="20" t="n"/>
      <c r="CC32" s="20" t="inlineStr">
        <is>
          <t>None</t>
        </is>
      </c>
      <c r="CD32" s="17" t="n"/>
      <c r="CE32" s="16" t="n"/>
      <c r="CF32" s="20" t="n"/>
      <c r="CG32" s="20" t="inlineStr">
        <is>
          <t>None</t>
        </is>
      </c>
      <c r="CH32" s="17" t="n"/>
      <c r="CI32" s="16" t="n"/>
      <c r="CJ32" s="20" t="n"/>
      <c r="CK32" s="20" t="inlineStr">
        <is>
          <t>None</t>
        </is>
      </c>
      <c r="CL32" s="17" t="n"/>
      <c r="CM32" s="16" t="n"/>
      <c r="CN32" s="20" t="inlineStr">
        <is>
          <t>SOP 45-34</t>
        </is>
      </c>
      <c r="CO32" s="20" t="inlineStr">
        <is>
          <t>None</t>
        </is>
      </c>
      <c r="CP32" s="17" t="n"/>
      <c r="CQ32" s="16" t="n"/>
      <c r="CR32" s="20" t="n"/>
      <c r="CS32" s="20" t="inlineStr">
        <is>
          <t>None</t>
        </is>
      </c>
      <c r="CT32" s="17" t="n"/>
      <c r="CU32" s="16" t="n"/>
      <c r="CV32" s="20" t="n"/>
      <c r="CW32" s="20" t="inlineStr">
        <is>
          <t>None</t>
        </is>
      </c>
      <c r="CX32" s="17" t="n"/>
      <c r="CY32" s="16" t="n"/>
      <c r="CZ32" s="20" t="inlineStr">
        <is>
          <t>WTW Multimeter 3430 with FDO 925</t>
        </is>
      </c>
      <c r="DA32" s="20" t="inlineStr">
        <is>
          <t>None</t>
        </is>
      </c>
      <c r="DB32" s="17" t="n"/>
      <c r="DC32" s="16" t="n"/>
      <c r="DD32" s="20" t="n"/>
      <c r="DE32" s="20" t="inlineStr">
        <is>
          <t>None</t>
        </is>
      </c>
      <c r="DF32" s="17" t="n"/>
      <c r="DG32" s="16" t="n"/>
      <c r="DH32" s="20" t="inlineStr">
        <is>
          <t>SOP 45-09</t>
        </is>
      </c>
      <c r="DI32" s="20" t="inlineStr">
        <is>
          <t>None</t>
        </is>
      </c>
      <c r="DJ32" s="17" t="n"/>
      <c r="DK32" s="16" t="n"/>
      <c r="DL32" s="20" t="inlineStr">
        <is>
          <t>SOP 45-09 (SOP muss noch angepasst werden für VSS)</t>
        </is>
      </c>
      <c r="DM32" s="20" t="inlineStr">
        <is>
          <t>None</t>
        </is>
      </c>
      <c r="DN32" s="17" t="n"/>
      <c r="DO32" s="16" t="n"/>
      <c r="DP32" s="20" t="inlineStr">
        <is>
          <t>IC Organic Acids</t>
        </is>
      </c>
      <c r="DQ32" s="20" t="inlineStr">
        <is>
          <t>None</t>
        </is>
      </c>
      <c r="DR32" s="17" t="n"/>
      <c r="DS32" s="16" t="n"/>
      <c r="DT32" s="20" t="inlineStr">
        <is>
          <t>IC Organic Acids</t>
        </is>
      </c>
      <c r="DU32" s="20" t="inlineStr">
        <is>
          <t>None</t>
        </is>
      </c>
      <c r="DV32" s="17" t="n"/>
      <c r="DW32" s="16" t="n"/>
      <c r="DX32" s="20" t="inlineStr">
        <is>
          <t>IC Organic Acids</t>
        </is>
      </c>
      <c r="DY32" s="20" t="inlineStr">
        <is>
          <t>None</t>
        </is>
      </c>
      <c r="DZ32" s="17" t="n"/>
      <c r="EA32" s="16" t="n"/>
      <c r="EB32" s="20" t="inlineStr">
        <is>
          <t>IC Organic Acids</t>
        </is>
      </c>
      <c r="EC32" s="20" t="inlineStr">
        <is>
          <t>None</t>
        </is>
      </c>
      <c r="ED32" s="17" t="n"/>
      <c r="EE32" s="16" t="n"/>
      <c r="EF32" s="20" t="inlineStr">
        <is>
          <t>IC Organic Acids</t>
        </is>
      </c>
      <c r="EG32" s="20" t="inlineStr">
        <is>
          <t>None</t>
        </is>
      </c>
      <c r="EH32" s="17" t="n"/>
      <c r="EI32" s="16" t="n"/>
      <c r="EJ32" s="20" t="inlineStr">
        <is>
          <t>IC Organic Acids</t>
        </is>
      </c>
      <c r="EK32" s="20" t="inlineStr">
        <is>
          <t>None</t>
        </is>
      </c>
      <c r="EL32" s="17" t="n"/>
      <c r="EM32" s="16" t="n"/>
      <c r="EN32" s="20" t="inlineStr">
        <is>
          <t>IC Organic Acids</t>
        </is>
      </c>
      <c r="EO32" s="20" t="inlineStr">
        <is>
          <t>None</t>
        </is>
      </c>
      <c r="EP32" s="17" t="n"/>
      <c r="EQ32" s="16" t="n"/>
      <c r="ER32" s="20" t="inlineStr">
        <is>
          <t>IC Organic Acids</t>
        </is>
      </c>
      <c r="ES32" s="20" t="inlineStr">
        <is>
          <t>None</t>
        </is>
      </c>
      <c r="ET32" s="17" t="n"/>
      <c r="EU32" s="16" t="n"/>
      <c r="EV32" s="20" t="inlineStr">
        <is>
          <t>LC-MS</t>
        </is>
      </c>
      <c r="EW32" s="20" t="inlineStr">
        <is>
          <t>None</t>
        </is>
      </c>
      <c r="EX32" s="17" t="n"/>
      <c r="EY32" s="21" t="n"/>
      <c r="EZ32">
        <f>CONCATENATE(A32,B32)</f>
        <v/>
      </c>
      <c r="FA32">
        <f>CONCATENATE(SamplesX!A32,SamplesX!B32)</f>
        <v/>
      </c>
      <c r="FC32">
        <f>MATCH(EZ32,FA1:FA1008,0)</f>
        <v/>
      </c>
    </row>
    <row r="33">
      <c r="A33" s="16" t="inlineStr">
        <is>
          <t>BP</t>
        </is>
      </c>
      <c r="B33" s="17" t="inlineStr">
        <is>
          <t>25025</t>
        </is>
      </c>
      <c r="C33" s="10">
        <f>IF(ISNUMBER(FC33),INDIRECT("SamplesX!C"&amp;FC33),IF(ISNUMBER(FD33),INDIRECT("SamplesY!C"&amp;FD33),""))</f>
        <v/>
      </c>
      <c r="D33" s="12">
        <f>IF(ISNUMBER(FC33),INDIRECT("SamplesX!D"&amp;FC33),IF(ISNUMBER(FD33),INDIRECT("SamplesY!D"&amp;FD33),""))</f>
        <v/>
      </c>
      <c r="E33" s="12">
        <f>IF(ISNUMBER(FC33),INDIRECT("SamplesX!E"&amp;FC33),IF(ISNUMBER(FD33),INDIRECT("SamplesY!E"&amp;FD33),""))</f>
        <v/>
      </c>
      <c r="F33" s="11">
        <f>IF(ISNUMBER(FC33),INDIRECT("SamplesX!F"&amp;FC33),IF(ISNUMBER(FD33),INDIRECT("SamplesY!F"&amp;FD33),""))</f>
        <v/>
      </c>
      <c r="G33" s="18">
        <f>IF(ISNUMBER(FC33),INDIRECT("SamplesX!G"&amp;FC33),IF(ISNUMBER(FD33),INDIRECT("SamplesY!G"&amp;FD33),""))</f>
        <v/>
      </c>
      <c r="H33" s="19">
        <f>IF(ISNUMBER(FC33),INDIRECT("SamplesX!H"&amp;FC33),IF(ISNUMBER(FD33),INDIRECT("SamplesY!H"&amp;FD33),""))</f>
        <v/>
      </c>
      <c r="I33" s="16" t="n"/>
      <c r="J33" s="16" t="n"/>
      <c r="K33" s="16" t="n"/>
      <c r="L33" s="20" t="n"/>
      <c r="M33" s="20" t="inlineStr">
        <is>
          <t>None</t>
        </is>
      </c>
      <c r="N33" s="17" t="n"/>
      <c r="O33" s="16" t="n"/>
      <c r="P33" s="20" t="inlineStr">
        <is>
          <t>Shimadzu TOC-L</t>
        </is>
      </c>
      <c r="Q33" s="20" t="inlineStr">
        <is>
          <t>None</t>
        </is>
      </c>
      <c r="R33" s="17" t="n"/>
      <c r="S33" s="16" t="n"/>
      <c r="T33" s="20" t="inlineStr">
        <is>
          <t>Shimadzu TOC-L</t>
        </is>
      </c>
      <c r="U33" s="20" t="inlineStr">
        <is>
          <t>None</t>
        </is>
      </c>
      <c r="V33" s="17" t="n"/>
      <c r="W33" s="16" t="n"/>
      <c r="X33" s="20" t="n"/>
      <c r="Y33" s="20" t="inlineStr">
        <is>
          <t>None</t>
        </is>
      </c>
      <c r="Z33" s="17" t="n"/>
      <c r="AA33" s="16" t="n"/>
      <c r="AB33" s="20" t="n"/>
      <c r="AC33" s="20" t="inlineStr">
        <is>
          <t>None</t>
        </is>
      </c>
      <c r="AD33" s="17" t="n"/>
      <c r="AE33" s="16" t="n"/>
      <c r="AF33" s="20" t="inlineStr">
        <is>
          <t>IC Anionen</t>
        </is>
      </c>
      <c r="AG33" s="20" t="inlineStr">
        <is>
          <t>None</t>
        </is>
      </c>
      <c r="AH33" s="17" t="n"/>
      <c r="AI33" s="16" t="n"/>
      <c r="AJ33" s="20" t="n"/>
      <c r="AK33" s="20" t="inlineStr">
        <is>
          <t>None</t>
        </is>
      </c>
      <c r="AL33" s="17" t="n"/>
      <c r="AM33" s="16" t="n"/>
      <c r="AN33" s="20" t="inlineStr">
        <is>
          <t>IC Anionen</t>
        </is>
      </c>
      <c r="AO33" s="20" t="inlineStr">
        <is>
          <t>None</t>
        </is>
      </c>
      <c r="AP33" s="17" t="n"/>
      <c r="AQ33" s="16" t="n"/>
      <c r="AR33" s="20" t="n"/>
      <c r="AS33" s="20" t="inlineStr">
        <is>
          <t>None</t>
        </is>
      </c>
      <c r="AT33" s="17" t="n"/>
      <c r="AU33" s="16" t="inlineStr">
        <is>
          <t>2.68</t>
        </is>
      </c>
      <c r="AV33" s="20" t="inlineStr">
        <is>
          <t>IC Anionen</t>
        </is>
      </c>
      <c r="AW33" s="20" t="inlineStr">
        <is>
          <t>None</t>
        </is>
      </c>
      <c r="AX33" s="17" t="n"/>
      <c r="AY33" s="16" t="n"/>
      <c r="AZ33" s="20" t="inlineStr">
        <is>
          <t>IC Anionen</t>
        </is>
      </c>
      <c r="BA33" s="20" t="inlineStr">
        <is>
          <t>None</t>
        </is>
      </c>
      <c r="BB33" s="17" t="n"/>
      <c r="BC33" s="16" t="n"/>
      <c r="BD33" s="20" t="inlineStr">
        <is>
          <t>IC Kationen</t>
        </is>
      </c>
      <c r="BE33" s="20" t="inlineStr">
        <is>
          <t>None</t>
        </is>
      </c>
      <c r="BF33" s="17" t="n"/>
      <c r="BG33" s="16" t="n"/>
      <c r="BH33" s="20" t="n"/>
      <c r="BI33" s="20" t="inlineStr">
        <is>
          <t>None</t>
        </is>
      </c>
      <c r="BJ33" s="17" t="n"/>
      <c r="BK33" s="16" t="n"/>
      <c r="BL33" s="20" t="inlineStr">
        <is>
          <t>IC Kationen</t>
        </is>
      </c>
      <c r="BM33" s="20" t="inlineStr">
        <is>
          <t>None</t>
        </is>
      </c>
      <c r="BN33" s="17" t="n"/>
      <c r="BO33" s="16" t="n"/>
      <c r="BP33" s="20" t="inlineStr">
        <is>
          <t>IC Kationen</t>
        </is>
      </c>
      <c r="BQ33" s="20" t="inlineStr">
        <is>
          <t>None</t>
        </is>
      </c>
      <c r="BR33" s="17" t="n"/>
      <c r="BS33" s="16" t="n"/>
      <c r="BT33" s="20" t="inlineStr">
        <is>
          <t>IC Kationen</t>
        </is>
      </c>
      <c r="BU33" s="20" t="inlineStr">
        <is>
          <t>None</t>
        </is>
      </c>
      <c r="BV33" s="17" t="n"/>
      <c r="BW33" s="16" t="n"/>
      <c r="BX33" s="20" t="n"/>
      <c r="BY33" s="20" t="inlineStr">
        <is>
          <t>None</t>
        </is>
      </c>
      <c r="BZ33" s="17" t="n"/>
      <c r="CA33" s="16" t="n"/>
      <c r="CB33" s="20" t="n"/>
      <c r="CC33" s="20" t="inlineStr">
        <is>
          <t>None</t>
        </is>
      </c>
      <c r="CD33" s="17" t="n"/>
      <c r="CE33" s="16" t="n"/>
      <c r="CF33" s="20" t="n"/>
      <c r="CG33" s="20" t="inlineStr">
        <is>
          <t>None</t>
        </is>
      </c>
      <c r="CH33" s="17" t="n"/>
      <c r="CI33" s="16" t="n"/>
      <c r="CJ33" s="20" t="n"/>
      <c r="CK33" s="20" t="inlineStr">
        <is>
          <t>None</t>
        </is>
      </c>
      <c r="CL33" s="17" t="n"/>
      <c r="CM33" s="16" t="n"/>
      <c r="CN33" s="20" t="inlineStr">
        <is>
          <t>SOP 45-34</t>
        </is>
      </c>
      <c r="CO33" s="20" t="inlineStr">
        <is>
          <t>None</t>
        </is>
      </c>
      <c r="CP33" s="17" t="n"/>
      <c r="CQ33" s="16" t="n"/>
      <c r="CR33" s="20" t="n"/>
      <c r="CS33" s="20" t="inlineStr">
        <is>
          <t>None</t>
        </is>
      </c>
      <c r="CT33" s="17" t="n"/>
      <c r="CU33" s="16" t="n"/>
      <c r="CV33" s="20" t="n"/>
      <c r="CW33" s="20" t="inlineStr">
        <is>
          <t>None</t>
        </is>
      </c>
      <c r="CX33" s="17" t="n"/>
      <c r="CY33" s="16" t="n"/>
      <c r="CZ33" s="20" t="inlineStr">
        <is>
          <t>WTW Multimeter 3430 with FDO 925</t>
        </is>
      </c>
      <c r="DA33" s="20" t="inlineStr">
        <is>
          <t>None</t>
        </is>
      </c>
      <c r="DB33" s="17" t="n"/>
      <c r="DC33" s="16" t="n"/>
      <c r="DD33" s="20" t="n"/>
      <c r="DE33" s="20" t="inlineStr">
        <is>
          <t>None</t>
        </is>
      </c>
      <c r="DF33" s="17" t="n"/>
      <c r="DG33" s="16" t="n"/>
      <c r="DH33" s="20" t="inlineStr">
        <is>
          <t>SOP 45-09</t>
        </is>
      </c>
      <c r="DI33" s="20" t="inlineStr">
        <is>
          <t>None</t>
        </is>
      </c>
      <c r="DJ33" s="17" t="n"/>
      <c r="DK33" s="16" t="n"/>
      <c r="DL33" s="20" t="inlineStr">
        <is>
          <t>SOP 45-09 (SOP muss noch angepasst werden für VSS)</t>
        </is>
      </c>
      <c r="DM33" s="20" t="inlineStr">
        <is>
          <t>None</t>
        </is>
      </c>
      <c r="DN33" s="17" t="n"/>
      <c r="DO33" s="16" t="n"/>
      <c r="DP33" s="20" t="inlineStr">
        <is>
          <t>IC Organic Acids</t>
        </is>
      </c>
      <c r="DQ33" s="20" t="inlineStr">
        <is>
          <t>None</t>
        </is>
      </c>
      <c r="DR33" s="17" t="n"/>
      <c r="DS33" s="16" t="n"/>
      <c r="DT33" s="20" t="inlineStr">
        <is>
          <t>IC Organic Acids</t>
        </is>
      </c>
      <c r="DU33" s="20" t="inlineStr">
        <is>
          <t>None</t>
        </is>
      </c>
      <c r="DV33" s="17" t="n"/>
      <c r="DW33" s="16" t="n"/>
      <c r="DX33" s="20" t="inlineStr">
        <is>
          <t>IC Organic Acids</t>
        </is>
      </c>
      <c r="DY33" s="20" t="inlineStr">
        <is>
          <t>None</t>
        </is>
      </c>
      <c r="DZ33" s="17" t="n"/>
      <c r="EA33" s="16" t="n"/>
      <c r="EB33" s="20" t="inlineStr">
        <is>
          <t>IC Organic Acids</t>
        </is>
      </c>
      <c r="EC33" s="20" t="inlineStr">
        <is>
          <t>None</t>
        </is>
      </c>
      <c r="ED33" s="17" t="n"/>
      <c r="EE33" s="16" t="n"/>
      <c r="EF33" s="20" t="inlineStr">
        <is>
          <t>IC Organic Acids</t>
        </is>
      </c>
      <c r="EG33" s="20" t="inlineStr">
        <is>
          <t>None</t>
        </is>
      </c>
      <c r="EH33" s="17" t="n"/>
      <c r="EI33" s="16" t="n"/>
      <c r="EJ33" s="20" t="inlineStr">
        <is>
          <t>IC Organic Acids</t>
        </is>
      </c>
      <c r="EK33" s="20" t="inlineStr">
        <is>
          <t>None</t>
        </is>
      </c>
      <c r="EL33" s="17" t="n"/>
      <c r="EM33" s="16" t="n"/>
      <c r="EN33" s="20" t="inlineStr">
        <is>
          <t>IC Organic Acids</t>
        </is>
      </c>
      <c r="EO33" s="20" t="inlineStr">
        <is>
          <t>None</t>
        </is>
      </c>
      <c r="EP33" s="17" t="n"/>
      <c r="EQ33" s="16" t="n"/>
      <c r="ER33" s="20" t="inlineStr">
        <is>
          <t>IC Organic Acids</t>
        </is>
      </c>
      <c r="ES33" s="20" t="inlineStr">
        <is>
          <t>None</t>
        </is>
      </c>
      <c r="ET33" s="17" t="n"/>
      <c r="EU33" s="16" t="n"/>
      <c r="EV33" s="20" t="inlineStr">
        <is>
          <t>LC-MS</t>
        </is>
      </c>
      <c r="EW33" s="20" t="inlineStr">
        <is>
          <t>None</t>
        </is>
      </c>
      <c r="EX33" s="17" t="n"/>
      <c r="EY33" s="21" t="n"/>
      <c r="EZ33">
        <f>CONCATENATE(A33,B33)</f>
        <v/>
      </c>
      <c r="FA33">
        <f>CONCATENATE(SamplesX!A33,SamplesX!B33)</f>
        <v/>
      </c>
      <c r="FC33">
        <f>MATCH(EZ33,FA1:FA1008,0)</f>
        <v/>
      </c>
    </row>
    <row r="34">
      <c r="A34" s="16" t="inlineStr">
        <is>
          <t>BP</t>
        </is>
      </c>
      <c r="B34" s="17" t="inlineStr">
        <is>
          <t>25026</t>
        </is>
      </c>
      <c r="C34" s="10">
        <f>IF(ISNUMBER(FC34),INDIRECT("SamplesX!C"&amp;FC34),IF(ISNUMBER(FD34),INDIRECT("SamplesY!C"&amp;FD34),""))</f>
        <v/>
      </c>
      <c r="D34" s="12">
        <f>IF(ISNUMBER(FC34),INDIRECT("SamplesX!D"&amp;FC34),IF(ISNUMBER(FD34),INDIRECT("SamplesY!D"&amp;FD34),""))</f>
        <v/>
      </c>
      <c r="E34" s="12">
        <f>IF(ISNUMBER(FC34),INDIRECT("SamplesX!E"&amp;FC34),IF(ISNUMBER(FD34),INDIRECT("SamplesY!E"&amp;FD34),""))</f>
        <v/>
      </c>
      <c r="F34" s="11">
        <f>IF(ISNUMBER(FC34),INDIRECT("SamplesX!F"&amp;FC34),IF(ISNUMBER(FD34),INDIRECT("SamplesY!F"&amp;FD34),""))</f>
        <v/>
      </c>
      <c r="G34" s="18">
        <f>IF(ISNUMBER(FC34),INDIRECT("SamplesX!G"&amp;FC34),IF(ISNUMBER(FD34),INDIRECT("SamplesY!G"&amp;FD34),""))</f>
        <v/>
      </c>
      <c r="H34" s="19">
        <f>IF(ISNUMBER(FC34),INDIRECT("SamplesX!H"&amp;FC34),IF(ISNUMBER(FD34),INDIRECT("SamplesY!H"&amp;FD34),""))</f>
        <v/>
      </c>
      <c r="I34" s="16" t="n"/>
      <c r="J34" s="16" t="n"/>
      <c r="K34" s="16" t="n"/>
      <c r="L34" s="20" t="n"/>
      <c r="M34" s="20" t="inlineStr">
        <is>
          <t>None</t>
        </is>
      </c>
      <c r="N34" s="17" t="n"/>
      <c r="O34" s="16" t="n"/>
      <c r="P34" s="20" t="inlineStr">
        <is>
          <t>Shimadzu TOC-L</t>
        </is>
      </c>
      <c r="Q34" s="20" t="inlineStr">
        <is>
          <t>None</t>
        </is>
      </c>
      <c r="R34" s="17" t="n"/>
      <c r="S34" s="16" t="n"/>
      <c r="T34" s="20" t="inlineStr">
        <is>
          <t>Shimadzu TOC-L</t>
        </is>
      </c>
      <c r="U34" s="20" t="inlineStr">
        <is>
          <t>None</t>
        </is>
      </c>
      <c r="V34" s="17" t="n"/>
      <c r="W34" s="16" t="n"/>
      <c r="X34" s="20" t="n"/>
      <c r="Y34" s="20" t="inlineStr">
        <is>
          <t>None</t>
        </is>
      </c>
      <c r="Z34" s="17" t="n"/>
      <c r="AA34" s="16" t="n"/>
      <c r="AB34" s="20" t="n"/>
      <c r="AC34" s="20" t="inlineStr">
        <is>
          <t>None</t>
        </is>
      </c>
      <c r="AD34" s="17" t="n"/>
      <c r="AE34" s="16" t="n"/>
      <c r="AF34" s="20" t="inlineStr">
        <is>
          <t>IC Anionen</t>
        </is>
      </c>
      <c r="AG34" s="20" t="inlineStr">
        <is>
          <t>None</t>
        </is>
      </c>
      <c r="AH34" s="17" t="n"/>
      <c r="AI34" s="16" t="n"/>
      <c r="AJ34" s="20" t="n"/>
      <c r="AK34" s="20" t="inlineStr">
        <is>
          <t>None</t>
        </is>
      </c>
      <c r="AL34" s="17" t="n"/>
      <c r="AM34" s="16" t="n"/>
      <c r="AN34" s="20" t="inlineStr">
        <is>
          <t>IC Anionen</t>
        </is>
      </c>
      <c r="AO34" s="20" t="inlineStr">
        <is>
          <t>None</t>
        </is>
      </c>
      <c r="AP34" s="17" t="n"/>
      <c r="AQ34" s="16" t="n"/>
      <c r="AR34" s="20" t="n"/>
      <c r="AS34" s="20" t="inlineStr">
        <is>
          <t>None</t>
        </is>
      </c>
      <c r="AT34" s="17" t="n"/>
      <c r="AU34" s="16" t="inlineStr">
        <is>
          <t>2.52</t>
        </is>
      </c>
      <c r="AV34" s="20" t="inlineStr">
        <is>
          <t>IC Anionen</t>
        </is>
      </c>
      <c r="AW34" s="20" t="inlineStr">
        <is>
          <t>None</t>
        </is>
      </c>
      <c r="AX34" s="17" t="n"/>
      <c r="AY34" s="16" t="n"/>
      <c r="AZ34" s="20" t="inlineStr">
        <is>
          <t>IC Anionen</t>
        </is>
      </c>
      <c r="BA34" s="20" t="inlineStr">
        <is>
          <t>None</t>
        </is>
      </c>
      <c r="BB34" s="17" t="n"/>
      <c r="BC34" s="16" t="n"/>
      <c r="BD34" s="20" t="inlineStr">
        <is>
          <t>IC Kationen</t>
        </is>
      </c>
      <c r="BE34" s="20" t="inlineStr">
        <is>
          <t>None</t>
        </is>
      </c>
      <c r="BF34" s="17" t="n"/>
      <c r="BG34" s="16" t="n"/>
      <c r="BH34" s="20" t="n"/>
      <c r="BI34" s="20" t="inlineStr">
        <is>
          <t>None</t>
        </is>
      </c>
      <c r="BJ34" s="17" t="n"/>
      <c r="BK34" s="16" t="n"/>
      <c r="BL34" s="20" t="inlineStr">
        <is>
          <t>IC Kationen</t>
        </is>
      </c>
      <c r="BM34" s="20" t="inlineStr">
        <is>
          <t>None</t>
        </is>
      </c>
      <c r="BN34" s="17" t="n"/>
      <c r="BO34" s="16" t="n"/>
      <c r="BP34" s="20" t="inlineStr">
        <is>
          <t>IC Kationen</t>
        </is>
      </c>
      <c r="BQ34" s="20" t="inlineStr">
        <is>
          <t>None</t>
        </is>
      </c>
      <c r="BR34" s="17" t="n"/>
      <c r="BS34" s="16" t="n"/>
      <c r="BT34" s="20" t="inlineStr">
        <is>
          <t>IC Kationen</t>
        </is>
      </c>
      <c r="BU34" s="20" t="inlineStr">
        <is>
          <t>None</t>
        </is>
      </c>
      <c r="BV34" s="17" t="n"/>
      <c r="BW34" s="16" t="n"/>
      <c r="BX34" s="20" t="n"/>
      <c r="BY34" s="20" t="inlineStr">
        <is>
          <t>None</t>
        </is>
      </c>
      <c r="BZ34" s="17" t="n"/>
      <c r="CA34" s="16" t="n"/>
      <c r="CB34" s="20" t="n"/>
      <c r="CC34" s="20" t="inlineStr">
        <is>
          <t>None</t>
        </is>
      </c>
      <c r="CD34" s="17" t="n"/>
      <c r="CE34" s="16" t="n"/>
      <c r="CF34" s="20" t="n"/>
      <c r="CG34" s="20" t="inlineStr">
        <is>
          <t>None</t>
        </is>
      </c>
      <c r="CH34" s="17" t="n"/>
      <c r="CI34" s="16" t="n"/>
      <c r="CJ34" s="20" t="n"/>
      <c r="CK34" s="20" t="inlineStr">
        <is>
          <t>None</t>
        </is>
      </c>
      <c r="CL34" s="17" t="n"/>
      <c r="CM34" s="16" t="n"/>
      <c r="CN34" s="20" t="inlineStr">
        <is>
          <t>SOP 45-34</t>
        </is>
      </c>
      <c r="CO34" s="20" t="inlineStr">
        <is>
          <t>None</t>
        </is>
      </c>
      <c r="CP34" s="17" t="n"/>
      <c r="CQ34" s="16" t="n"/>
      <c r="CR34" s="20" t="n"/>
      <c r="CS34" s="20" t="inlineStr">
        <is>
          <t>None</t>
        </is>
      </c>
      <c r="CT34" s="17" t="n"/>
      <c r="CU34" s="16" t="n"/>
      <c r="CV34" s="20" t="n"/>
      <c r="CW34" s="20" t="inlineStr">
        <is>
          <t>None</t>
        </is>
      </c>
      <c r="CX34" s="17" t="n"/>
      <c r="CY34" s="16" t="n"/>
      <c r="CZ34" s="20" t="inlineStr">
        <is>
          <t>WTW Multimeter 3430 with FDO 925</t>
        </is>
      </c>
      <c r="DA34" s="20" t="inlineStr">
        <is>
          <t>None</t>
        </is>
      </c>
      <c r="DB34" s="17" t="n"/>
      <c r="DC34" s="16" t="n"/>
      <c r="DD34" s="20" t="n"/>
      <c r="DE34" s="20" t="inlineStr">
        <is>
          <t>None</t>
        </is>
      </c>
      <c r="DF34" s="17" t="n"/>
      <c r="DG34" s="16" t="n"/>
      <c r="DH34" s="20" t="inlineStr">
        <is>
          <t>SOP 45-09</t>
        </is>
      </c>
      <c r="DI34" s="20" t="inlineStr">
        <is>
          <t>None</t>
        </is>
      </c>
      <c r="DJ34" s="17" t="n"/>
      <c r="DK34" s="16" t="n"/>
      <c r="DL34" s="20" t="inlineStr">
        <is>
          <t>SOP 45-09 (SOP muss noch angepasst werden für VSS)</t>
        </is>
      </c>
      <c r="DM34" s="20" t="inlineStr">
        <is>
          <t>None</t>
        </is>
      </c>
      <c r="DN34" s="17" t="n"/>
      <c r="DO34" s="16" t="n"/>
      <c r="DP34" s="20" t="inlineStr">
        <is>
          <t>IC Organic Acids</t>
        </is>
      </c>
      <c r="DQ34" s="20" t="inlineStr">
        <is>
          <t>None</t>
        </is>
      </c>
      <c r="DR34" s="17" t="n"/>
      <c r="DS34" s="16" t="n"/>
      <c r="DT34" s="20" t="inlineStr">
        <is>
          <t>IC Organic Acids</t>
        </is>
      </c>
      <c r="DU34" s="20" t="inlineStr">
        <is>
          <t>None</t>
        </is>
      </c>
      <c r="DV34" s="17" t="n"/>
      <c r="DW34" s="16" t="n"/>
      <c r="DX34" s="20" t="inlineStr">
        <is>
          <t>IC Organic Acids</t>
        </is>
      </c>
      <c r="DY34" s="20" t="inlineStr">
        <is>
          <t>None</t>
        </is>
      </c>
      <c r="DZ34" s="17" t="n"/>
      <c r="EA34" s="16" t="n"/>
      <c r="EB34" s="20" t="inlineStr">
        <is>
          <t>IC Organic Acids</t>
        </is>
      </c>
      <c r="EC34" s="20" t="inlineStr">
        <is>
          <t>None</t>
        </is>
      </c>
      <c r="ED34" s="17" t="n"/>
      <c r="EE34" s="16" t="n"/>
      <c r="EF34" s="20" t="inlineStr">
        <is>
          <t>IC Organic Acids</t>
        </is>
      </c>
      <c r="EG34" s="20" t="inlineStr">
        <is>
          <t>None</t>
        </is>
      </c>
      <c r="EH34" s="17" t="n"/>
      <c r="EI34" s="16" t="n"/>
      <c r="EJ34" s="20" t="inlineStr">
        <is>
          <t>IC Organic Acids</t>
        </is>
      </c>
      <c r="EK34" s="20" t="inlineStr">
        <is>
          <t>None</t>
        </is>
      </c>
      <c r="EL34" s="17" t="n"/>
      <c r="EM34" s="16" t="n"/>
      <c r="EN34" s="20" t="inlineStr">
        <is>
          <t>IC Organic Acids</t>
        </is>
      </c>
      <c r="EO34" s="20" t="inlineStr">
        <is>
          <t>None</t>
        </is>
      </c>
      <c r="EP34" s="17" t="n"/>
      <c r="EQ34" s="16" t="n"/>
      <c r="ER34" s="20" t="inlineStr">
        <is>
          <t>IC Organic Acids</t>
        </is>
      </c>
      <c r="ES34" s="20" t="inlineStr">
        <is>
          <t>None</t>
        </is>
      </c>
      <c r="ET34" s="17" t="n"/>
      <c r="EU34" s="16" t="n"/>
      <c r="EV34" s="20" t="inlineStr">
        <is>
          <t>LC-MS</t>
        </is>
      </c>
      <c r="EW34" s="20" t="inlineStr">
        <is>
          <t>None</t>
        </is>
      </c>
      <c r="EX34" s="17" t="n"/>
      <c r="EY34" s="21" t="n"/>
      <c r="EZ34">
        <f>CONCATENATE(A34,B34)</f>
        <v/>
      </c>
      <c r="FA34">
        <f>CONCATENATE(SamplesX!A34,SamplesX!B34)</f>
        <v/>
      </c>
      <c r="FC34">
        <f>MATCH(EZ34,FA1:FA1008,0)</f>
        <v/>
      </c>
    </row>
    <row r="35">
      <c r="A35" s="16" t="inlineStr">
        <is>
          <t>BP</t>
        </is>
      </c>
      <c r="B35" s="17" t="inlineStr">
        <is>
          <t>25027</t>
        </is>
      </c>
      <c r="C35" s="10">
        <f>IF(ISNUMBER(FC35),INDIRECT("SamplesX!C"&amp;FC35),IF(ISNUMBER(FD35),INDIRECT("SamplesY!C"&amp;FD35),""))</f>
        <v/>
      </c>
      <c r="D35" s="12">
        <f>IF(ISNUMBER(FC35),INDIRECT("SamplesX!D"&amp;FC35),IF(ISNUMBER(FD35),INDIRECT("SamplesY!D"&amp;FD35),""))</f>
        <v/>
      </c>
      <c r="E35" s="12">
        <f>IF(ISNUMBER(FC35),INDIRECT("SamplesX!E"&amp;FC35),IF(ISNUMBER(FD35),INDIRECT("SamplesY!E"&amp;FD35),""))</f>
        <v/>
      </c>
      <c r="F35" s="11">
        <f>IF(ISNUMBER(FC35),INDIRECT("SamplesX!F"&amp;FC35),IF(ISNUMBER(FD35),INDIRECT("SamplesY!F"&amp;FD35),""))</f>
        <v/>
      </c>
      <c r="G35" s="18">
        <f>IF(ISNUMBER(FC35),INDIRECT("SamplesX!G"&amp;FC35),IF(ISNUMBER(FD35),INDIRECT("SamplesY!G"&amp;FD35),""))</f>
        <v/>
      </c>
      <c r="H35" s="19">
        <f>IF(ISNUMBER(FC35),INDIRECT("SamplesX!H"&amp;FC35),IF(ISNUMBER(FD35),INDIRECT("SamplesY!H"&amp;FD35),""))</f>
        <v/>
      </c>
      <c r="I35" s="16" t="n"/>
      <c r="J35" s="16" t="n"/>
      <c r="K35" s="16" t="n"/>
      <c r="L35" s="20" t="n"/>
      <c r="M35" s="20" t="inlineStr">
        <is>
          <t>None</t>
        </is>
      </c>
      <c r="N35" s="17" t="n"/>
      <c r="O35" s="16" t="n"/>
      <c r="P35" s="20" t="inlineStr">
        <is>
          <t>Shimadzu TOC-L</t>
        </is>
      </c>
      <c r="Q35" s="20" t="inlineStr">
        <is>
          <t>None</t>
        </is>
      </c>
      <c r="R35" s="17" t="n"/>
      <c r="S35" s="16" t="n"/>
      <c r="T35" s="20" t="inlineStr">
        <is>
          <t>Shimadzu TOC-L</t>
        </is>
      </c>
      <c r="U35" s="20" t="inlineStr">
        <is>
          <t>None</t>
        </is>
      </c>
      <c r="V35" s="17" t="n"/>
      <c r="W35" s="16" t="n"/>
      <c r="X35" s="20" t="n"/>
      <c r="Y35" s="20" t="inlineStr">
        <is>
          <t>None</t>
        </is>
      </c>
      <c r="Z35" s="17" t="n"/>
      <c r="AA35" s="16" t="n"/>
      <c r="AB35" s="20" t="n"/>
      <c r="AC35" s="20" t="inlineStr">
        <is>
          <t>None</t>
        </is>
      </c>
      <c r="AD35" s="17" t="n"/>
      <c r="AE35" s="16" t="n"/>
      <c r="AF35" s="20" t="inlineStr">
        <is>
          <t>IC Anionen</t>
        </is>
      </c>
      <c r="AG35" s="20" t="inlineStr">
        <is>
          <t>None</t>
        </is>
      </c>
      <c r="AH35" s="17" t="n"/>
      <c r="AI35" s="16" t="n"/>
      <c r="AJ35" s="20" t="n"/>
      <c r="AK35" s="20" t="inlineStr">
        <is>
          <t>None</t>
        </is>
      </c>
      <c r="AL35" s="17" t="n"/>
      <c r="AM35" s="16" t="n"/>
      <c r="AN35" s="20" t="inlineStr">
        <is>
          <t>IC Anionen</t>
        </is>
      </c>
      <c r="AO35" s="20" t="inlineStr">
        <is>
          <t>None</t>
        </is>
      </c>
      <c r="AP35" s="17" t="n"/>
      <c r="AQ35" s="16" t="n"/>
      <c r="AR35" s="20" t="n"/>
      <c r="AS35" s="20" t="inlineStr">
        <is>
          <t>None</t>
        </is>
      </c>
      <c r="AT35" s="17" t="n"/>
      <c r="AU35" s="16" t="inlineStr">
        <is>
          <t>2.30</t>
        </is>
      </c>
      <c r="AV35" s="20" t="inlineStr">
        <is>
          <t>IC Anionen</t>
        </is>
      </c>
      <c r="AW35" s="20" t="inlineStr">
        <is>
          <t>None</t>
        </is>
      </c>
      <c r="AX35" s="17" t="n"/>
      <c r="AY35" s="16" t="n"/>
      <c r="AZ35" s="20" t="inlineStr">
        <is>
          <t>IC Anionen</t>
        </is>
      </c>
      <c r="BA35" s="20" t="inlineStr">
        <is>
          <t>None</t>
        </is>
      </c>
      <c r="BB35" s="17" t="n"/>
      <c r="BC35" s="16" t="n"/>
      <c r="BD35" s="20" t="inlineStr">
        <is>
          <t>IC Kationen</t>
        </is>
      </c>
      <c r="BE35" s="20" t="inlineStr">
        <is>
          <t>None</t>
        </is>
      </c>
      <c r="BF35" s="17" t="n"/>
      <c r="BG35" s="16" t="n"/>
      <c r="BH35" s="20" t="n"/>
      <c r="BI35" s="20" t="inlineStr">
        <is>
          <t>None</t>
        </is>
      </c>
      <c r="BJ35" s="17" t="n"/>
      <c r="BK35" s="16" t="n"/>
      <c r="BL35" s="20" t="inlineStr">
        <is>
          <t>IC Kationen</t>
        </is>
      </c>
      <c r="BM35" s="20" t="inlineStr">
        <is>
          <t>None</t>
        </is>
      </c>
      <c r="BN35" s="17" t="n"/>
      <c r="BO35" s="16" t="n"/>
      <c r="BP35" s="20" t="inlineStr">
        <is>
          <t>IC Kationen</t>
        </is>
      </c>
      <c r="BQ35" s="20" t="inlineStr">
        <is>
          <t>None</t>
        </is>
      </c>
      <c r="BR35" s="17" t="n"/>
      <c r="BS35" s="16" t="n"/>
      <c r="BT35" s="20" t="inlineStr">
        <is>
          <t>IC Kationen</t>
        </is>
      </c>
      <c r="BU35" s="20" t="inlineStr">
        <is>
          <t>None</t>
        </is>
      </c>
      <c r="BV35" s="17" t="n"/>
      <c r="BW35" s="16" t="n"/>
      <c r="BX35" s="20" t="n"/>
      <c r="BY35" s="20" t="inlineStr">
        <is>
          <t>None</t>
        </is>
      </c>
      <c r="BZ35" s="17" t="n"/>
      <c r="CA35" s="16" t="n"/>
      <c r="CB35" s="20" t="n"/>
      <c r="CC35" s="20" t="inlineStr">
        <is>
          <t>None</t>
        </is>
      </c>
      <c r="CD35" s="17" t="n"/>
      <c r="CE35" s="16" t="n"/>
      <c r="CF35" s="20" t="n"/>
      <c r="CG35" s="20" t="inlineStr">
        <is>
          <t>None</t>
        </is>
      </c>
      <c r="CH35" s="17" t="n"/>
      <c r="CI35" s="16" t="n"/>
      <c r="CJ35" s="20" t="n"/>
      <c r="CK35" s="20" t="inlineStr">
        <is>
          <t>None</t>
        </is>
      </c>
      <c r="CL35" s="17" t="n"/>
      <c r="CM35" s="16" t="n"/>
      <c r="CN35" s="20" t="inlineStr">
        <is>
          <t>SOP 45-34</t>
        </is>
      </c>
      <c r="CO35" s="20" t="inlineStr">
        <is>
          <t>None</t>
        </is>
      </c>
      <c r="CP35" s="17" t="n"/>
      <c r="CQ35" s="16" t="n"/>
      <c r="CR35" s="20" t="n"/>
      <c r="CS35" s="20" t="inlineStr">
        <is>
          <t>None</t>
        </is>
      </c>
      <c r="CT35" s="17" t="n"/>
      <c r="CU35" s="16" t="n"/>
      <c r="CV35" s="20" t="n"/>
      <c r="CW35" s="20" t="inlineStr">
        <is>
          <t>None</t>
        </is>
      </c>
      <c r="CX35" s="17" t="n"/>
      <c r="CY35" s="16" t="n"/>
      <c r="CZ35" s="20" t="inlineStr">
        <is>
          <t>WTW Multimeter 3430 with FDO 925</t>
        </is>
      </c>
      <c r="DA35" s="20" t="inlineStr">
        <is>
          <t>None</t>
        </is>
      </c>
      <c r="DB35" s="17" t="n"/>
      <c r="DC35" s="16" t="n"/>
      <c r="DD35" s="20" t="n"/>
      <c r="DE35" s="20" t="inlineStr">
        <is>
          <t>None</t>
        </is>
      </c>
      <c r="DF35" s="17" t="n"/>
      <c r="DG35" s="16" t="n"/>
      <c r="DH35" s="20" t="inlineStr">
        <is>
          <t>SOP 45-09</t>
        </is>
      </c>
      <c r="DI35" s="20" t="inlineStr">
        <is>
          <t>None</t>
        </is>
      </c>
      <c r="DJ35" s="17" t="n"/>
      <c r="DK35" s="16" t="n"/>
      <c r="DL35" s="20" t="inlineStr">
        <is>
          <t>SOP 45-09 (SOP muss noch angepasst werden für VSS)</t>
        </is>
      </c>
      <c r="DM35" s="20" t="inlineStr">
        <is>
          <t>None</t>
        </is>
      </c>
      <c r="DN35" s="17" t="n"/>
      <c r="DO35" s="16" t="n"/>
      <c r="DP35" s="20" t="inlineStr">
        <is>
          <t>IC Organic Acids</t>
        </is>
      </c>
      <c r="DQ35" s="20" t="inlineStr">
        <is>
          <t>None</t>
        </is>
      </c>
      <c r="DR35" s="17" t="n"/>
      <c r="DS35" s="16" t="n"/>
      <c r="DT35" s="20" t="inlineStr">
        <is>
          <t>IC Organic Acids</t>
        </is>
      </c>
      <c r="DU35" s="20" t="inlineStr">
        <is>
          <t>None</t>
        </is>
      </c>
      <c r="DV35" s="17" t="n"/>
      <c r="DW35" s="16" t="n"/>
      <c r="DX35" s="20" t="inlineStr">
        <is>
          <t>IC Organic Acids</t>
        </is>
      </c>
      <c r="DY35" s="20" t="inlineStr">
        <is>
          <t>None</t>
        </is>
      </c>
      <c r="DZ35" s="17" t="n"/>
      <c r="EA35" s="16" t="n"/>
      <c r="EB35" s="20" t="inlineStr">
        <is>
          <t>IC Organic Acids</t>
        </is>
      </c>
      <c r="EC35" s="20" t="inlineStr">
        <is>
          <t>None</t>
        </is>
      </c>
      <c r="ED35" s="17" t="n"/>
      <c r="EE35" s="16" t="n"/>
      <c r="EF35" s="20" t="inlineStr">
        <is>
          <t>IC Organic Acids</t>
        </is>
      </c>
      <c r="EG35" s="20" t="inlineStr">
        <is>
          <t>None</t>
        </is>
      </c>
      <c r="EH35" s="17" t="n"/>
      <c r="EI35" s="16" t="n"/>
      <c r="EJ35" s="20" t="inlineStr">
        <is>
          <t>IC Organic Acids</t>
        </is>
      </c>
      <c r="EK35" s="20" t="inlineStr">
        <is>
          <t>None</t>
        </is>
      </c>
      <c r="EL35" s="17" t="n"/>
      <c r="EM35" s="16" t="n"/>
      <c r="EN35" s="20" t="inlineStr">
        <is>
          <t>IC Organic Acids</t>
        </is>
      </c>
      <c r="EO35" s="20" t="inlineStr">
        <is>
          <t>None</t>
        </is>
      </c>
      <c r="EP35" s="17" t="n"/>
      <c r="EQ35" s="16" t="n"/>
      <c r="ER35" s="20" t="inlineStr">
        <is>
          <t>IC Organic Acids</t>
        </is>
      </c>
      <c r="ES35" s="20" t="inlineStr">
        <is>
          <t>None</t>
        </is>
      </c>
      <c r="ET35" s="17" t="n"/>
      <c r="EU35" s="16" t="n"/>
      <c r="EV35" s="20" t="inlineStr">
        <is>
          <t>LC-MS</t>
        </is>
      </c>
      <c r="EW35" s="20" t="inlineStr">
        <is>
          <t>None</t>
        </is>
      </c>
      <c r="EX35" s="17" t="n"/>
      <c r="EY35" s="21" t="n"/>
      <c r="EZ35">
        <f>CONCATENATE(A35,B35)</f>
        <v/>
      </c>
      <c r="FA35">
        <f>CONCATENATE(SamplesX!A35,SamplesX!B35)</f>
        <v/>
      </c>
      <c r="FC35">
        <f>MATCH(EZ35,FA1:FA1008,0)</f>
        <v/>
      </c>
    </row>
    <row r="36">
      <c r="A36" s="16" t="inlineStr">
        <is>
          <t>BP</t>
        </is>
      </c>
      <c r="B36" s="17" t="inlineStr">
        <is>
          <t>25028</t>
        </is>
      </c>
      <c r="C36" s="10">
        <f>IF(ISNUMBER(FC36),INDIRECT("SamplesX!C"&amp;FC36),IF(ISNUMBER(FD36),INDIRECT("SamplesY!C"&amp;FD36),""))</f>
        <v/>
      </c>
      <c r="D36" s="12">
        <f>IF(ISNUMBER(FC36),INDIRECT("SamplesX!D"&amp;FC36),IF(ISNUMBER(FD36),INDIRECT("SamplesY!D"&amp;FD36),""))</f>
        <v/>
      </c>
      <c r="E36" s="12">
        <f>IF(ISNUMBER(FC36),INDIRECT("SamplesX!E"&amp;FC36),IF(ISNUMBER(FD36),INDIRECT("SamplesY!E"&amp;FD36),""))</f>
        <v/>
      </c>
      <c r="F36" s="11">
        <f>IF(ISNUMBER(FC36),INDIRECT("SamplesX!F"&amp;FC36),IF(ISNUMBER(FD36),INDIRECT("SamplesY!F"&amp;FD36),""))</f>
        <v/>
      </c>
      <c r="G36" s="18">
        <f>IF(ISNUMBER(FC36),INDIRECT("SamplesX!G"&amp;FC36),IF(ISNUMBER(FD36),INDIRECT("SamplesY!G"&amp;FD36),""))</f>
        <v/>
      </c>
      <c r="H36" s="19">
        <f>IF(ISNUMBER(FC36),INDIRECT("SamplesX!H"&amp;FC36),IF(ISNUMBER(FD36),INDIRECT("SamplesY!H"&amp;FD36),""))</f>
        <v/>
      </c>
      <c r="I36" s="16" t="n"/>
      <c r="J36" s="16" t="n"/>
      <c r="K36" s="16" t="n"/>
      <c r="L36" s="20" t="n"/>
      <c r="M36" s="20" t="inlineStr">
        <is>
          <t>None</t>
        </is>
      </c>
      <c r="N36" s="17" t="n"/>
      <c r="O36" s="16" t="n"/>
      <c r="P36" s="20" t="inlineStr">
        <is>
          <t>Shimadzu TOC-L</t>
        </is>
      </c>
      <c r="Q36" s="20" t="inlineStr">
        <is>
          <t>None</t>
        </is>
      </c>
      <c r="R36" s="17" t="n"/>
      <c r="S36" s="16" t="n"/>
      <c r="T36" s="20" t="inlineStr">
        <is>
          <t>Shimadzu TOC-L</t>
        </is>
      </c>
      <c r="U36" s="20" t="inlineStr">
        <is>
          <t>None</t>
        </is>
      </c>
      <c r="V36" s="17" t="n"/>
      <c r="W36" s="16" t="n"/>
      <c r="X36" s="20" t="n"/>
      <c r="Y36" s="20" t="inlineStr">
        <is>
          <t>None</t>
        </is>
      </c>
      <c r="Z36" s="17" t="n"/>
      <c r="AA36" s="16" t="n"/>
      <c r="AB36" s="20" t="n"/>
      <c r="AC36" s="20" t="inlineStr">
        <is>
          <t>None</t>
        </is>
      </c>
      <c r="AD36" s="17" t="n"/>
      <c r="AE36" s="16" t="n"/>
      <c r="AF36" s="20" t="inlineStr">
        <is>
          <t>IC Anionen</t>
        </is>
      </c>
      <c r="AG36" s="20" t="inlineStr">
        <is>
          <t>None</t>
        </is>
      </c>
      <c r="AH36" s="17" t="n"/>
      <c r="AI36" s="16" t="n"/>
      <c r="AJ36" s="20" t="n"/>
      <c r="AK36" s="20" t="inlineStr">
        <is>
          <t>None</t>
        </is>
      </c>
      <c r="AL36" s="17" t="n"/>
      <c r="AM36" s="16" t="n"/>
      <c r="AN36" s="20" t="inlineStr">
        <is>
          <t>IC Anionen</t>
        </is>
      </c>
      <c r="AO36" s="20" t="inlineStr">
        <is>
          <t>None</t>
        </is>
      </c>
      <c r="AP36" s="17" t="n"/>
      <c r="AQ36" s="16" t="n"/>
      <c r="AR36" s="20" t="n"/>
      <c r="AS36" s="20" t="inlineStr">
        <is>
          <t>None</t>
        </is>
      </c>
      <c r="AT36" s="17" t="n"/>
      <c r="AU36" s="16" t="inlineStr">
        <is>
          <t>2.13</t>
        </is>
      </c>
      <c r="AV36" s="20" t="inlineStr">
        <is>
          <t>IC Anionen</t>
        </is>
      </c>
      <c r="AW36" s="20" t="inlineStr">
        <is>
          <t>None</t>
        </is>
      </c>
      <c r="AX36" s="17" t="n"/>
      <c r="AY36" s="16" t="n"/>
      <c r="AZ36" s="20" t="inlineStr">
        <is>
          <t>IC Anionen</t>
        </is>
      </c>
      <c r="BA36" s="20" t="inlineStr">
        <is>
          <t>None</t>
        </is>
      </c>
      <c r="BB36" s="17" t="n"/>
      <c r="BC36" s="16" t="n"/>
      <c r="BD36" s="20" t="inlineStr">
        <is>
          <t>IC Kationen</t>
        </is>
      </c>
      <c r="BE36" s="20" t="inlineStr">
        <is>
          <t>None</t>
        </is>
      </c>
      <c r="BF36" s="17" t="n"/>
      <c r="BG36" s="16" t="n"/>
      <c r="BH36" s="20" t="n"/>
      <c r="BI36" s="20" t="inlineStr">
        <is>
          <t>None</t>
        </is>
      </c>
      <c r="BJ36" s="17" t="n"/>
      <c r="BK36" s="16" t="n"/>
      <c r="BL36" s="20" t="inlineStr">
        <is>
          <t>IC Kationen</t>
        </is>
      </c>
      <c r="BM36" s="20" t="inlineStr">
        <is>
          <t>None</t>
        </is>
      </c>
      <c r="BN36" s="17" t="n"/>
      <c r="BO36" s="16" t="n"/>
      <c r="BP36" s="20" t="inlineStr">
        <is>
          <t>IC Kationen</t>
        </is>
      </c>
      <c r="BQ36" s="20" t="inlineStr">
        <is>
          <t>None</t>
        </is>
      </c>
      <c r="BR36" s="17" t="n"/>
      <c r="BS36" s="16" t="n"/>
      <c r="BT36" s="20" t="inlineStr">
        <is>
          <t>IC Kationen</t>
        </is>
      </c>
      <c r="BU36" s="20" t="inlineStr">
        <is>
          <t>None</t>
        </is>
      </c>
      <c r="BV36" s="17" t="n"/>
      <c r="BW36" s="16" t="n"/>
      <c r="BX36" s="20" t="n"/>
      <c r="BY36" s="20" t="inlineStr">
        <is>
          <t>None</t>
        </is>
      </c>
      <c r="BZ36" s="17" t="n"/>
      <c r="CA36" s="16" t="n"/>
      <c r="CB36" s="20" t="n"/>
      <c r="CC36" s="20" t="inlineStr">
        <is>
          <t>None</t>
        </is>
      </c>
      <c r="CD36" s="17" t="n"/>
      <c r="CE36" s="16" t="n"/>
      <c r="CF36" s="20" t="n"/>
      <c r="CG36" s="20" t="inlineStr">
        <is>
          <t>None</t>
        </is>
      </c>
      <c r="CH36" s="17" t="n"/>
      <c r="CI36" s="16" t="n"/>
      <c r="CJ36" s="20" t="n"/>
      <c r="CK36" s="20" t="inlineStr">
        <is>
          <t>None</t>
        </is>
      </c>
      <c r="CL36" s="17" t="n"/>
      <c r="CM36" s="16" t="n"/>
      <c r="CN36" s="20" t="inlineStr">
        <is>
          <t>SOP 45-34</t>
        </is>
      </c>
      <c r="CO36" s="20" t="inlineStr">
        <is>
          <t>None</t>
        </is>
      </c>
      <c r="CP36" s="17" t="n"/>
      <c r="CQ36" s="16" t="n"/>
      <c r="CR36" s="20" t="n"/>
      <c r="CS36" s="20" t="inlineStr">
        <is>
          <t>None</t>
        </is>
      </c>
      <c r="CT36" s="17" t="n"/>
      <c r="CU36" s="16" t="n"/>
      <c r="CV36" s="20" t="n"/>
      <c r="CW36" s="20" t="inlineStr">
        <is>
          <t>None</t>
        </is>
      </c>
      <c r="CX36" s="17" t="n"/>
      <c r="CY36" s="16" t="n"/>
      <c r="CZ36" s="20" t="inlineStr">
        <is>
          <t>WTW Multimeter 3430 with FDO 925</t>
        </is>
      </c>
      <c r="DA36" s="20" t="inlineStr">
        <is>
          <t>None</t>
        </is>
      </c>
      <c r="DB36" s="17" t="n"/>
      <c r="DC36" s="16" t="n"/>
      <c r="DD36" s="20" t="n"/>
      <c r="DE36" s="20" t="inlineStr">
        <is>
          <t>None</t>
        </is>
      </c>
      <c r="DF36" s="17" t="n"/>
      <c r="DG36" s="16" t="n"/>
      <c r="DH36" s="20" t="inlineStr">
        <is>
          <t>SOP 45-09</t>
        </is>
      </c>
      <c r="DI36" s="20" t="inlineStr">
        <is>
          <t>None</t>
        </is>
      </c>
      <c r="DJ36" s="17" t="n"/>
      <c r="DK36" s="16" t="n"/>
      <c r="DL36" s="20" t="inlineStr">
        <is>
          <t>SOP 45-09 (SOP muss noch angepasst werden für VSS)</t>
        </is>
      </c>
      <c r="DM36" s="20" t="inlineStr">
        <is>
          <t>None</t>
        </is>
      </c>
      <c r="DN36" s="17" t="n"/>
      <c r="DO36" s="16" t="n"/>
      <c r="DP36" s="20" t="inlineStr">
        <is>
          <t>IC Organic Acids</t>
        </is>
      </c>
      <c r="DQ36" s="20" t="inlineStr">
        <is>
          <t>None</t>
        </is>
      </c>
      <c r="DR36" s="17" t="n"/>
      <c r="DS36" s="16" t="n"/>
      <c r="DT36" s="20" t="inlineStr">
        <is>
          <t>IC Organic Acids</t>
        </is>
      </c>
      <c r="DU36" s="20" t="inlineStr">
        <is>
          <t>None</t>
        </is>
      </c>
      <c r="DV36" s="17" t="n"/>
      <c r="DW36" s="16" t="n"/>
      <c r="DX36" s="20" t="inlineStr">
        <is>
          <t>IC Organic Acids</t>
        </is>
      </c>
      <c r="DY36" s="20" t="inlineStr">
        <is>
          <t>None</t>
        </is>
      </c>
      <c r="DZ36" s="17" t="n"/>
      <c r="EA36" s="16" t="n"/>
      <c r="EB36" s="20" t="inlineStr">
        <is>
          <t>IC Organic Acids</t>
        </is>
      </c>
      <c r="EC36" s="20" t="inlineStr">
        <is>
          <t>None</t>
        </is>
      </c>
      <c r="ED36" s="17" t="n"/>
      <c r="EE36" s="16" t="n"/>
      <c r="EF36" s="20" t="inlineStr">
        <is>
          <t>IC Organic Acids</t>
        </is>
      </c>
      <c r="EG36" s="20" t="inlineStr">
        <is>
          <t>None</t>
        </is>
      </c>
      <c r="EH36" s="17" t="n"/>
      <c r="EI36" s="16" t="n"/>
      <c r="EJ36" s="20" t="inlineStr">
        <is>
          <t>IC Organic Acids</t>
        </is>
      </c>
      <c r="EK36" s="20" t="inlineStr">
        <is>
          <t>None</t>
        </is>
      </c>
      <c r="EL36" s="17" t="n"/>
      <c r="EM36" s="16" t="n"/>
      <c r="EN36" s="20" t="inlineStr">
        <is>
          <t>IC Organic Acids</t>
        </is>
      </c>
      <c r="EO36" s="20" t="inlineStr">
        <is>
          <t>None</t>
        </is>
      </c>
      <c r="EP36" s="17" t="n"/>
      <c r="EQ36" s="16" t="n"/>
      <c r="ER36" s="20" t="inlineStr">
        <is>
          <t>IC Organic Acids</t>
        </is>
      </c>
      <c r="ES36" s="20" t="inlineStr">
        <is>
          <t>None</t>
        </is>
      </c>
      <c r="ET36" s="17" t="n"/>
      <c r="EU36" s="16" t="n"/>
      <c r="EV36" s="20" t="inlineStr">
        <is>
          <t>LC-MS</t>
        </is>
      </c>
      <c r="EW36" s="20" t="inlineStr">
        <is>
          <t>None</t>
        </is>
      </c>
      <c r="EX36" s="17" t="n"/>
      <c r="EY36" s="21" t="n"/>
      <c r="EZ36">
        <f>CONCATENATE(A36,B36)</f>
        <v/>
      </c>
      <c r="FA36">
        <f>CONCATENATE(SamplesX!A36,SamplesX!B36)</f>
        <v/>
      </c>
      <c r="FC36">
        <f>MATCH(EZ36,FA1:FA1008,0)</f>
        <v/>
      </c>
    </row>
    <row r="37">
      <c r="A37" s="16" t="inlineStr">
        <is>
          <t>BP</t>
        </is>
      </c>
      <c r="B37" s="17" t="inlineStr">
        <is>
          <t>25029</t>
        </is>
      </c>
      <c r="C37" s="10">
        <f>IF(ISNUMBER(FC37),INDIRECT("SamplesX!C"&amp;FC37),IF(ISNUMBER(FD37),INDIRECT("SamplesY!C"&amp;FD37),""))</f>
        <v/>
      </c>
      <c r="D37" s="12">
        <f>IF(ISNUMBER(FC37),INDIRECT("SamplesX!D"&amp;FC37),IF(ISNUMBER(FD37),INDIRECT("SamplesY!D"&amp;FD37),""))</f>
        <v/>
      </c>
      <c r="E37" s="12">
        <f>IF(ISNUMBER(FC37),INDIRECT("SamplesX!E"&amp;FC37),IF(ISNUMBER(FD37),INDIRECT("SamplesY!E"&amp;FD37),""))</f>
        <v/>
      </c>
      <c r="F37" s="11">
        <f>IF(ISNUMBER(FC37),INDIRECT("SamplesX!F"&amp;FC37),IF(ISNUMBER(FD37),INDIRECT("SamplesY!F"&amp;FD37),""))</f>
        <v/>
      </c>
      <c r="G37" s="18">
        <f>IF(ISNUMBER(FC37),INDIRECT("SamplesX!G"&amp;FC37),IF(ISNUMBER(FD37),INDIRECT("SamplesY!G"&amp;FD37),""))</f>
        <v/>
      </c>
      <c r="H37" s="19">
        <f>IF(ISNUMBER(FC37),INDIRECT("SamplesX!H"&amp;FC37),IF(ISNUMBER(FD37),INDIRECT("SamplesY!H"&amp;FD37),""))</f>
        <v/>
      </c>
      <c r="I37" s="16" t="n"/>
      <c r="J37" s="16" t="n"/>
      <c r="K37" s="16" t="n"/>
      <c r="L37" s="20" t="n"/>
      <c r="M37" s="20" t="inlineStr">
        <is>
          <t>None</t>
        </is>
      </c>
      <c r="N37" s="17" t="n"/>
      <c r="O37" s="16" t="n"/>
      <c r="P37" s="20" t="inlineStr">
        <is>
          <t>Shimadzu TOC-L</t>
        </is>
      </c>
      <c r="Q37" s="20" t="inlineStr">
        <is>
          <t>None</t>
        </is>
      </c>
      <c r="R37" s="17" t="n"/>
      <c r="S37" s="16" t="n"/>
      <c r="T37" s="20" t="inlineStr">
        <is>
          <t>Shimadzu TOC-L</t>
        </is>
      </c>
      <c r="U37" s="20" t="inlineStr">
        <is>
          <t>None</t>
        </is>
      </c>
      <c r="V37" s="17" t="n"/>
      <c r="W37" s="16" t="n"/>
      <c r="X37" s="20" t="n"/>
      <c r="Y37" s="20" t="inlineStr">
        <is>
          <t>None</t>
        </is>
      </c>
      <c r="Z37" s="17" t="n"/>
      <c r="AA37" s="16" t="n"/>
      <c r="AB37" s="20" t="n"/>
      <c r="AC37" s="20" t="inlineStr">
        <is>
          <t>None</t>
        </is>
      </c>
      <c r="AD37" s="17" t="n"/>
      <c r="AE37" s="16" t="n"/>
      <c r="AF37" s="20" t="inlineStr">
        <is>
          <t>IC Anionen</t>
        </is>
      </c>
      <c r="AG37" s="20" t="inlineStr">
        <is>
          <t>None</t>
        </is>
      </c>
      <c r="AH37" s="17" t="n"/>
      <c r="AI37" s="16" t="n"/>
      <c r="AJ37" s="20" t="n"/>
      <c r="AK37" s="20" t="inlineStr">
        <is>
          <t>None</t>
        </is>
      </c>
      <c r="AL37" s="17" t="n"/>
      <c r="AM37" s="16" t="n"/>
      <c r="AN37" s="20" t="inlineStr">
        <is>
          <t>IC Anionen</t>
        </is>
      </c>
      <c r="AO37" s="20" t="inlineStr">
        <is>
          <t>None</t>
        </is>
      </c>
      <c r="AP37" s="17" t="n"/>
      <c r="AQ37" s="16" t="n"/>
      <c r="AR37" s="20" t="n"/>
      <c r="AS37" s="20" t="inlineStr">
        <is>
          <t>None</t>
        </is>
      </c>
      <c r="AT37" s="17" t="n"/>
      <c r="AU37" s="16" t="inlineStr">
        <is>
          <t>2.07</t>
        </is>
      </c>
      <c r="AV37" s="20" t="inlineStr">
        <is>
          <t>IC Anionen</t>
        </is>
      </c>
      <c r="AW37" s="20" t="inlineStr">
        <is>
          <t>None</t>
        </is>
      </c>
      <c r="AX37" s="17" t="n"/>
      <c r="AY37" s="16" t="n"/>
      <c r="AZ37" s="20" t="inlineStr">
        <is>
          <t>IC Anionen</t>
        </is>
      </c>
      <c r="BA37" s="20" t="inlineStr">
        <is>
          <t>None</t>
        </is>
      </c>
      <c r="BB37" s="17" t="n"/>
      <c r="BC37" s="16" t="n"/>
      <c r="BD37" s="20" t="inlineStr">
        <is>
          <t>IC Kationen</t>
        </is>
      </c>
      <c r="BE37" s="20" t="inlineStr">
        <is>
          <t>None</t>
        </is>
      </c>
      <c r="BF37" s="17" t="n"/>
      <c r="BG37" s="16" t="n"/>
      <c r="BH37" s="20" t="n"/>
      <c r="BI37" s="20" t="inlineStr">
        <is>
          <t>None</t>
        </is>
      </c>
      <c r="BJ37" s="17" t="n"/>
      <c r="BK37" s="16" t="n"/>
      <c r="BL37" s="20" t="inlineStr">
        <is>
          <t>IC Kationen</t>
        </is>
      </c>
      <c r="BM37" s="20" t="inlineStr">
        <is>
          <t>None</t>
        </is>
      </c>
      <c r="BN37" s="17" t="n"/>
      <c r="BO37" s="16" t="n"/>
      <c r="BP37" s="20" t="inlineStr">
        <is>
          <t>IC Kationen</t>
        </is>
      </c>
      <c r="BQ37" s="20" t="inlineStr">
        <is>
          <t>None</t>
        </is>
      </c>
      <c r="BR37" s="17" t="n"/>
      <c r="BS37" s="16" t="n"/>
      <c r="BT37" s="20" t="inlineStr">
        <is>
          <t>IC Kationen</t>
        </is>
      </c>
      <c r="BU37" s="20" t="inlineStr">
        <is>
          <t>None</t>
        </is>
      </c>
      <c r="BV37" s="17" t="n"/>
      <c r="BW37" s="16" t="n"/>
      <c r="BX37" s="20" t="n"/>
      <c r="BY37" s="20" t="inlineStr">
        <is>
          <t>None</t>
        </is>
      </c>
      <c r="BZ37" s="17" t="n"/>
      <c r="CA37" s="16" t="n"/>
      <c r="CB37" s="20" t="n"/>
      <c r="CC37" s="20" t="inlineStr">
        <is>
          <t>None</t>
        </is>
      </c>
      <c r="CD37" s="17" t="n"/>
      <c r="CE37" s="16" t="n"/>
      <c r="CF37" s="20" t="n"/>
      <c r="CG37" s="20" t="inlineStr">
        <is>
          <t>None</t>
        </is>
      </c>
      <c r="CH37" s="17" t="n"/>
      <c r="CI37" s="16" t="n"/>
      <c r="CJ37" s="20" t="n"/>
      <c r="CK37" s="20" t="inlineStr">
        <is>
          <t>None</t>
        </is>
      </c>
      <c r="CL37" s="17" t="n"/>
      <c r="CM37" s="16" t="n"/>
      <c r="CN37" s="20" t="inlineStr">
        <is>
          <t>SOP 45-34</t>
        </is>
      </c>
      <c r="CO37" s="20" t="inlineStr">
        <is>
          <t>None</t>
        </is>
      </c>
      <c r="CP37" s="17" t="n"/>
      <c r="CQ37" s="16" t="n"/>
      <c r="CR37" s="20" t="n"/>
      <c r="CS37" s="20" t="inlineStr">
        <is>
          <t>None</t>
        </is>
      </c>
      <c r="CT37" s="17" t="n"/>
      <c r="CU37" s="16" t="n"/>
      <c r="CV37" s="20" t="n"/>
      <c r="CW37" s="20" t="inlineStr">
        <is>
          <t>None</t>
        </is>
      </c>
      <c r="CX37" s="17" t="n"/>
      <c r="CY37" s="16" t="n"/>
      <c r="CZ37" s="20" t="inlineStr">
        <is>
          <t>WTW Multimeter 3430 with FDO 925</t>
        </is>
      </c>
      <c r="DA37" s="20" t="inlineStr">
        <is>
          <t>None</t>
        </is>
      </c>
      <c r="DB37" s="17" t="n"/>
      <c r="DC37" s="16" t="n"/>
      <c r="DD37" s="20" t="n"/>
      <c r="DE37" s="20" t="inlineStr">
        <is>
          <t>None</t>
        </is>
      </c>
      <c r="DF37" s="17" t="n"/>
      <c r="DG37" s="16" t="n"/>
      <c r="DH37" s="20" t="inlineStr">
        <is>
          <t>SOP 45-09</t>
        </is>
      </c>
      <c r="DI37" s="20" t="inlineStr">
        <is>
          <t>None</t>
        </is>
      </c>
      <c r="DJ37" s="17" t="n"/>
      <c r="DK37" s="16" t="n"/>
      <c r="DL37" s="20" t="inlineStr">
        <is>
          <t>SOP 45-09 (SOP muss noch angepasst werden für VSS)</t>
        </is>
      </c>
      <c r="DM37" s="20" t="inlineStr">
        <is>
          <t>None</t>
        </is>
      </c>
      <c r="DN37" s="17" t="n"/>
      <c r="DO37" s="16" t="n"/>
      <c r="DP37" s="20" t="inlineStr">
        <is>
          <t>IC Organic Acids</t>
        </is>
      </c>
      <c r="DQ37" s="20" t="inlineStr">
        <is>
          <t>None</t>
        </is>
      </c>
      <c r="DR37" s="17" t="n"/>
      <c r="DS37" s="16" t="n"/>
      <c r="DT37" s="20" t="inlineStr">
        <is>
          <t>IC Organic Acids</t>
        </is>
      </c>
      <c r="DU37" s="20" t="inlineStr">
        <is>
          <t>None</t>
        </is>
      </c>
      <c r="DV37" s="17" t="n"/>
      <c r="DW37" s="16" t="n"/>
      <c r="DX37" s="20" t="inlineStr">
        <is>
          <t>IC Organic Acids</t>
        </is>
      </c>
      <c r="DY37" s="20" t="inlineStr">
        <is>
          <t>None</t>
        </is>
      </c>
      <c r="DZ37" s="17" t="n"/>
      <c r="EA37" s="16" t="n"/>
      <c r="EB37" s="20" t="inlineStr">
        <is>
          <t>IC Organic Acids</t>
        </is>
      </c>
      <c r="EC37" s="20" t="inlineStr">
        <is>
          <t>None</t>
        </is>
      </c>
      <c r="ED37" s="17" t="n"/>
      <c r="EE37" s="16" t="n"/>
      <c r="EF37" s="20" t="inlineStr">
        <is>
          <t>IC Organic Acids</t>
        </is>
      </c>
      <c r="EG37" s="20" t="inlineStr">
        <is>
          <t>None</t>
        </is>
      </c>
      <c r="EH37" s="17" t="n"/>
      <c r="EI37" s="16" t="n"/>
      <c r="EJ37" s="20" t="inlineStr">
        <is>
          <t>IC Organic Acids</t>
        </is>
      </c>
      <c r="EK37" s="20" t="inlineStr">
        <is>
          <t>None</t>
        </is>
      </c>
      <c r="EL37" s="17" t="n"/>
      <c r="EM37" s="16" t="n"/>
      <c r="EN37" s="20" t="inlineStr">
        <is>
          <t>IC Organic Acids</t>
        </is>
      </c>
      <c r="EO37" s="20" t="inlineStr">
        <is>
          <t>None</t>
        </is>
      </c>
      <c r="EP37" s="17" t="n"/>
      <c r="EQ37" s="16" t="n"/>
      <c r="ER37" s="20" t="inlineStr">
        <is>
          <t>IC Organic Acids</t>
        </is>
      </c>
      <c r="ES37" s="20" t="inlineStr">
        <is>
          <t>None</t>
        </is>
      </c>
      <c r="ET37" s="17" t="n"/>
      <c r="EU37" s="16" t="n"/>
      <c r="EV37" s="20" t="inlineStr">
        <is>
          <t>LC-MS</t>
        </is>
      </c>
      <c r="EW37" s="20" t="inlineStr">
        <is>
          <t>None</t>
        </is>
      </c>
      <c r="EX37" s="17" t="n"/>
      <c r="EY37" s="21" t="n"/>
      <c r="EZ37">
        <f>CONCATENATE(A37,B37)</f>
        <v/>
      </c>
      <c r="FA37">
        <f>CONCATENATE(SamplesX!A37,SamplesX!B37)</f>
        <v/>
      </c>
      <c r="FC37">
        <f>MATCH(EZ37,FA1:FA1008,0)</f>
        <v/>
      </c>
    </row>
    <row r="38">
      <c r="A38" s="16" t="inlineStr">
        <is>
          <t>BP</t>
        </is>
      </c>
      <c r="B38" s="17" t="inlineStr">
        <is>
          <t>25030</t>
        </is>
      </c>
      <c r="C38" s="10">
        <f>IF(ISNUMBER(FC38),INDIRECT("SamplesX!C"&amp;FC38),IF(ISNUMBER(FD38),INDIRECT("SamplesY!C"&amp;FD38),""))</f>
        <v/>
      </c>
      <c r="D38" s="12">
        <f>IF(ISNUMBER(FC38),INDIRECT("SamplesX!D"&amp;FC38),IF(ISNUMBER(FD38),INDIRECT("SamplesY!D"&amp;FD38),""))</f>
        <v/>
      </c>
      <c r="E38" s="12">
        <f>IF(ISNUMBER(FC38),INDIRECT("SamplesX!E"&amp;FC38),IF(ISNUMBER(FD38),INDIRECT("SamplesY!E"&amp;FD38),""))</f>
        <v/>
      </c>
      <c r="F38" s="11">
        <f>IF(ISNUMBER(FC38),INDIRECT("SamplesX!F"&amp;FC38),IF(ISNUMBER(FD38),INDIRECT("SamplesY!F"&amp;FD38),""))</f>
        <v/>
      </c>
      <c r="G38" s="18">
        <f>IF(ISNUMBER(FC38),INDIRECT("SamplesX!G"&amp;FC38),IF(ISNUMBER(FD38),INDIRECT("SamplesY!G"&amp;FD38),""))</f>
        <v/>
      </c>
      <c r="H38" s="19">
        <f>IF(ISNUMBER(FC38),INDIRECT("SamplesX!H"&amp;FC38),IF(ISNUMBER(FD38),INDIRECT("SamplesY!H"&amp;FD38),""))</f>
        <v/>
      </c>
      <c r="I38" s="16" t="n"/>
      <c r="J38" s="16" t="n"/>
      <c r="K38" s="16" t="n"/>
      <c r="L38" s="20" t="n"/>
      <c r="M38" s="20" t="inlineStr">
        <is>
          <t>None</t>
        </is>
      </c>
      <c r="N38" s="17" t="n"/>
      <c r="O38" s="16" t="n"/>
      <c r="P38" s="20" t="inlineStr">
        <is>
          <t>Shimadzu TOC-L</t>
        </is>
      </c>
      <c r="Q38" s="20" t="inlineStr">
        <is>
          <t>None</t>
        </is>
      </c>
      <c r="R38" s="17" t="n"/>
      <c r="S38" s="16" t="n"/>
      <c r="T38" s="20" t="inlineStr">
        <is>
          <t>Shimadzu TOC-L</t>
        </is>
      </c>
      <c r="U38" s="20" t="inlineStr">
        <is>
          <t>None</t>
        </is>
      </c>
      <c r="V38" s="17" t="n"/>
      <c r="W38" s="16" t="n"/>
      <c r="X38" s="20" t="n"/>
      <c r="Y38" s="20" t="inlineStr">
        <is>
          <t>None</t>
        </is>
      </c>
      <c r="Z38" s="17" t="n"/>
      <c r="AA38" s="16" t="n"/>
      <c r="AB38" s="20" t="n"/>
      <c r="AC38" s="20" t="inlineStr">
        <is>
          <t>None</t>
        </is>
      </c>
      <c r="AD38" s="17" t="n"/>
      <c r="AE38" s="16" t="n"/>
      <c r="AF38" s="20" t="inlineStr">
        <is>
          <t>IC Anionen</t>
        </is>
      </c>
      <c r="AG38" s="20" t="inlineStr">
        <is>
          <t>None</t>
        </is>
      </c>
      <c r="AH38" s="17" t="n"/>
      <c r="AI38" s="16" t="n"/>
      <c r="AJ38" s="20" t="n"/>
      <c r="AK38" s="20" t="inlineStr">
        <is>
          <t>None</t>
        </is>
      </c>
      <c r="AL38" s="17" t="n"/>
      <c r="AM38" s="16" t="n"/>
      <c r="AN38" s="20" t="inlineStr">
        <is>
          <t>IC Anionen</t>
        </is>
      </c>
      <c r="AO38" s="20" t="inlineStr">
        <is>
          <t>None</t>
        </is>
      </c>
      <c r="AP38" s="17" t="n"/>
      <c r="AQ38" s="16" t="n"/>
      <c r="AR38" s="20" t="n"/>
      <c r="AS38" s="20" t="inlineStr">
        <is>
          <t>None</t>
        </is>
      </c>
      <c r="AT38" s="17" t="n"/>
      <c r="AU38" s="16" t="inlineStr">
        <is>
          <t>2.27</t>
        </is>
      </c>
      <c r="AV38" s="20" t="inlineStr">
        <is>
          <t>IC Anionen</t>
        </is>
      </c>
      <c r="AW38" s="20" t="inlineStr">
        <is>
          <t>None</t>
        </is>
      </c>
      <c r="AX38" s="17" t="n"/>
      <c r="AY38" s="16" t="n"/>
      <c r="AZ38" s="20" t="inlineStr">
        <is>
          <t>IC Anionen</t>
        </is>
      </c>
      <c r="BA38" s="20" t="inlineStr">
        <is>
          <t>None</t>
        </is>
      </c>
      <c r="BB38" s="17" t="n"/>
      <c r="BC38" s="16" t="n"/>
      <c r="BD38" s="20" t="inlineStr">
        <is>
          <t>IC Kationen</t>
        </is>
      </c>
      <c r="BE38" s="20" t="inlineStr">
        <is>
          <t>None</t>
        </is>
      </c>
      <c r="BF38" s="17" t="n"/>
      <c r="BG38" s="16" t="n"/>
      <c r="BH38" s="20" t="n"/>
      <c r="BI38" s="20" t="inlineStr">
        <is>
          <t>None</t>
        </is>
      </c>
      <c r="BJ38" s="17" t="n"/>
      <c r="BK38" s="16" t="n"/>
      <c r="BL38" s="20" t="inlineStr">
        <is>
          <t>IC Kationen</t>
        </is>
      </c>
      <c r="BM38" s="20" t="inlineStr">
        <is>
          <t>None</t>
        </is>
      </c>
      <c r="BN38" s="17" t="n"/>
      <c r="BO38" s="16" t="n"/>
      <c r="BP38" s="20" t="inlineStr">
        <is>
          <t>IC Kationen</t>
        </is>
      </c>
      <c r="BQ38" s="20" t="inlineStr">
        <is>
          <t>None</t>
        </is>
      </c>
      <c r="BR38" s="17" t="n"/>
      <c r="BS38" s="16" t="n"/>
      <c r="BT38" s="20" t="inlineStr">
        <is>
          <t>IC Kationen</t>
        </is>
      </c>
      <c r="BU38" s="20" t="inlineStr">
        <is>
          <t>None</t>
        </is>
      </c>
      <c r="BV38" s="17" t="n"/>
      <c r="BW38" s="16" t="n"/>
      <c r="BX38" s="20" t="n"/>
      <c r="BY38" s="20" t="inlineStr">
        <is>
          <t>None</t>
        </is>
      </c>
      <c r="BZ38" s="17" t="n"/>
      <c r="CA38" s="16" t="n"/>
      <c r="CB38" s="20" t="n"/>
      <c r="CC38" s="20" t="inlineStr">
        <is>
          <t>None</t>
        </is>
      </c>
      <c r="CD38" s="17" t="n"/>
      <c r="CE38" s="16" t="n"/>
      <c r="CF38" s="20" t="n"/>
      <c r="CG38" s="20" t="inlineStr">
        <is>
          <t>None</t>
        </is>
      </c>
      <c r="CH38" s="17" t="n"/>
      <c r="CI38" s="16" t="n"/>
      <c r="CJ38" s="20" t="n"/>
      <c r="CK38" s="20" t="inlineStr">
        <is>
          <t>None</t>
        </is>
      </c>
      <c r="CL38" s="17" t="n"/>
      <c r="CM38" s="16" t="n"/>
      <c r="CN38" s="20" t="inlineStr">
        <is>
          <t>SOP 45-34</t>
        </is>
      </c>
      <c r="CO38" s="20" t="inlineStr">
        <is>
          <t>None</t>
        </is>
      </c>
      <c r="CP38" s="17" t="n"/>
      <c r="CQ38" s="16" t="n"/>
      <c r="CR38" s="20" t="n"/>
      <c r="CS38" s="20" t="inlineStr">
        <is>
          <t>None</t>
        </is>
      </c>
      <c r="CT38" s="17" t="n"/>
      <c r="CU38" s="16" t="n"/>
      <c r="CV38" s="20" t="n"/>
      <c r="CW38" s="20" t="inlineStr">
        <is>
          <t>None</t>
        </is>
      </c>
      <c r="CX38" s="17" t="n"/>
      <c r="CY38" s="16" t="n"/>
      <c r="CZ38" s="20" t="inlineStr">
        <is>
          <t>WTW Multimeter 3430 with FDO 925</t>
        </is>
      </c>
      <c r="DA38" s="20" t="inlineStr">
        <is>
          <t>None</t>
        </is>
      </c>
      <c r="DB38" s="17" t="n"/>
      <c r="DC38" s="16" t="n"/>
      <c r="DD38" s="20" t="n"/>
      <c r="DE38" s="20" t="inlineStr">
        <is>
          <t>None</t>
        </is>
      </c>
      <c r="DF38" s="17" t="n"/>
      <c r="DG38" s="16" t="n"/>
      <c r="DH38" s="20" t="inlineStr">
        <is>
          <t>SOP 45-09</t>
        </is>
      </c>
      <c r="DI38" s="20" t="inlineStr">
        <is>
          <t>None</t>
        </is>
      </c>
      <c r="DJ38" s="17" t="n"/>
      <c r="DK38" s="16" t="n"/>
      <c r="DL38" s="20" t="inlineStr">
        <is>
          <t>SOP 45-09 (SOP muss noch angepasst werden für VSS)</t>
        </is>
      </c>
      <c r="DM38" s="20" t="inlineStr">
        <is>
          <t>None</t>
        </is>
      </c>
      <c r="DN38" s="17" t="n"/>
      <c r="DO38" s="16" t="n"/>
      <c r="DP38" s="20" t="inlineStr">
        <is>
          <t>IC Organic Acids</t>
        </is>
      </c>
      <c r="DQ38" s="20" t="inlineStr">
        <is>
          <t>None</t>
        </is>
      </c>
      <c r="DR38" s="17" t="n"/>
      <c r="DS38" s="16" t="n"/>
      <c r="DT38" s="20" t="inlineStr">
        <is>
          <t>IC Organic Acids</t>
        </is>
      </c>
      <c r="DU38" s="20" t="inlineStr">
        <is>
          <t>None</t>
        </is>
      </c>
      <c r="DV38" s="17" t="n"/>
      <c r="DW38" s="16" t="n"/>
      <c r="DX38" s="20" t="inlineStr">
        <is>
          <t>IC Organic Acids</t>
        </is>
      </c>
      <c r="DY38" s="20" t="inlineStr">
        <is>
          <t>None</t>
        </is>
      </c>
      <c r="DZ38" s="17" t="n"/>
      <c r="EA38" s="16" t="n"/>
      <c r="EB38" s="20" t="inlineStr">
        <is>
          <t>IC Organic Acids</t>
        </is>
      </c>
      <c r="EC38" s="20" t="inlineStr">
        <is>
          <t>None</t>
        </is>
      </c>
      <c r="ED38" s="17" t="n"/>
      <c r="EE38" s="16" t="n"/>
      <c r="EF38" s="20" t="inlineStr">
        <is>
          <t>IC Organic Acids</t>
        </is>
      </c>
      <c r="EG38" s="20" t="inlineStr">
        <is>
          <t>None</t>
        </is>
      </c>
      <c r="EH38" s="17" t="n"/>
      <c r="EI38" s="16" t="n"/>
      <c r="EJ38" s="20" t="inlineStr">
        <is>
          <t>IC Organic Acids</t>
        </is>
      </c>
      <c r="EK38" s="20" t="inlineStr">
        <is>
          <t>None</t>
        </is>
      </c>
      <c r="EL38" s="17" t="n"/>
      <c r="EM38" s="16" t="n"/>
      <c r="EN38" s="20" t="inlineStr">
        <is>
          <t>IC Organic Acids</t>
        </is>
      </c>
      <c r="EO38" s="20" t="inlineStr">
        <is>
          <t>None</t>
        </is>
      </c>
      <c r="EP38" s="17" t="n"/>
      <c r="EQ38" s="16" t="n"/>
      <c r="ER38" s="20" t="inlineStr">
        <is>
          <t>IC Organic Acids</t>
        </is>
      </c>
      <c r="ES38" s="20" t="inlineStr">
        <is>
          <t>None</t>
        </is>
      </c>
      <c r="ET38" s="17" t="n"/>
      <c r="EU38" s="16" t="n"/>
      <c r="EV38" s="20" t="inlineStr">
        <is>
          <t>LC-MS</t>
        </is>
      </c>
      <c r="EW38" s="20" t="inlineStr">
        <is>
          <t>None</t>
        </is>
      </c>
      <c r="EX38" s="17" t="n"/>
      <c r="EY38" s="21" t="n"/>
      <c r="EZ38">
        <f>CONCATENATE(A38,B38)</f>
        <v/>
      </c>
      <c r="FA38">
        <f>CONCATENATE(SamplesX!A38,SamplesX!B38)</f>
        <v/>
      </c>
      <c r="FC38">
        <f>MATCH(EZ38,FA1:FA1008,0)</f>
        <v/>
      </c>
    </row>
    <row r="39">
      <c r="A39" s="16" t="inlineStr">
        <is>
          <t>BP</t>
        </is>
      </c>
      <c r="B39" s="17" t="inlineStr">
        <is>
          <t>25031</t>
        </is>
      </c>
      <c r="C39" s="10">
        <f>IF(ISNUMBER(FC39),INDIRECT("SamplesX!C"&amp;FC39),IF(ISNUMBER(FD39),INDIRECT("SamplesY!C"&amp;FD39),""))</f>
        <v/>
      </c>
      <c r="D39" s="12">
        <f>IF(ISNUMBER(FC39),INDIRECT("SamplesX!D"&amp;FC39),IF(ISNUMBER(FD39),INDIRECT("SamplesY!D"&amp;FD39),""))</f>
        <v/>
      </c>
      <c r="E39" s="12">
        <f>IF(ISNUMBER(FC39),INDIRECT("SamplesX!E"&amp;FC39),IF(ISNUMBER(FD39),INDIRECT("SamplesY!E"&amp;FD39),""))</f>
        <v/>
      </c>
      <c r="F39" s="11">
        <f>IF(ISNUMBER(FC39),INDIRECT("SamplesX!F"&amp;FC39),IF(ISNUMBER(FD39),INDIRECT("SamplesY!F"&amp;FD39),""))</f>
        <v/>
      </c>
      <c r="G39" s="18">
        <f>IF(ISNUMBER(FC39),INDIRECT("SamplesX!G"&amp;FC39),IF(ISNUMBER(FD39),INDIRECT("SamplesY!G"&amp;FD39),""))</f>
        <v/>
      </c>
      <c r="H39" s="19">
        <f>IF(ISNUMBER(FC39),INDIRECT("SamplesX!H"&amp;FC39),IF(ISNUMBER(FD39),INDIRECT("SamplesY!H"&amp;FD39),""))</f>
        <v/>
      </c>
      <c r="I39" s="16" t="n"/>
      <c r="J39" s="16" t="n"/>
      <c r="K39" s="16" t="n"/>
      <c r="L39" s="20" t="n"/>
      <c r="M39" s="20" t="inlineStr">
        <is>
          <t>None</t>
        </is>
      </c>
      <c r="N39" s="17" t="n"/>
      <c r="O39" s="16" t="n"/>
      <c r="P39" s="20" t="inlineStr">
        <is>
          <t>Shimadzu TOC-L</t>
        </is>
      </c>
      <c r="Q39" s="20" t="inlineStr">
        <is>
          <t>None</t>
        </is>
      </c>
      <c r="R39" s="17" t="n"/>
      <c r="S39" s="16" t="n"/>
      <c r="T39" s="20" t="inlineStr">
        <is>
          <t>Shimadzu TOC-L</t>
        </is>
      </c>
      <c r="U39" s="20" t="inlineStr">
        <is>
          <t>None</t>
        </is>
      </c>
      <c r="V39" s="17" t="n"/>
      <c r="W39" s="16" t="n"/>
      <c r="X39" s="20" t="n"/>
      <c r="Y39" s="20" t="inlineStr">
        <is>
          <t>None</t>
        </is>
      </c>
      <c r="Z39" s="17" t="n"/>
      <c r="AA39" s="16" t="n"/>
      <c r="AB39" s="20" t="n"/>
      <c r="AC39" s="20" t="inlineStr">
        <is>
          <t>None</t>
        </is>
      </c>
      <c r="AD39" s="17" t="n"/>
      <c r="AE39" s="16" t="n"/>
      <c r="AF39" s="20" t="inlineStr">
        <is>
          <t>IC Anionen</t>
        </is>
      </c>
      <c r="AG39" s="20" t="inlineStr">
        <is>
          <t>None</t>
        </is>
      </c>
      <c r="AH39" s="17" t="n"/>
      <c r="AI39" s="16" t="n"/>
      <c r="AJ39" s="20" t="n"/>
      <c r="AK39" s="20" t="inlineStr">
        <is>
          <t>None</t>
        </is>
      </c>
      <c r="AL39" s="17" t="n"/>
      <c r="AM39" s="16" t="n"/>
      <c r="AN39" s="20" t="inlineStr">
        <is>
          <t>IC Anionen</t>
        </is>
      </c>
      <c r="AO39" s="20" t="inlineStr">
        <is>
          <t>None</t>
        </is>
      </c>
      <c r="AP39" s="17" t="n"/>
      <c r="AQ39" s="16" t="n"/>
      <c r="AR39" s="20" t="n"/>
      <c r="AS39" s="20" t="inlineStr">
        <is>
          <t>None</t>
        </is>
      </c>
      <c r="AT39" s="17" t="n"/>
      <c r="AU39" s="16" t="inlineStr">
        <is>
          <t>14.3</t>
        </is>
      </c>
      <c r="AV39" s="20" t="inlineStr">
        <is>
          <t>IC Anionen</t>
        </is>
      </c>
      <c r="AW39" s="20" t="inlineStr">
        <is>
          <t>None</t>
        </is>
      </c>
      <c r="AX39" s="17" t="inlineStr">
        <is>
          <t>1*2</t>
        </is>
      </c>
      <c r="AY39" s="16" t="n"/>
      <c r="AZ39" s="20" t="inlineStr">
        <is>
          <t>IC Anionen</t>
        </is>
      </c>
      <c r="BA39" s="20" t="inlineStr">
        <is>
          <t>None</t>
        </is>
      </c>
      <c r="BB39" s="17" t="n"/>
      <c r="BC39" s="16" t="n"/>
      <c r="BD39" s="20" t="inlineStr">
        <is>
          <t>IC Kationen</t>
        </is>
      </c>
      <c r="BE39" s="20" t="inlineStr">
        <is>
          <t>None</t>
        </is>
      </c>
      <c r="BF39" s="17" t="n"/>
      <c r="BG39" s="16" t="n"/>
      <c r="BH39" s="20" t="n"/>
      <c r="BI39" s="20" t="inlineStr">
        <is>
          <t>None</t>
        </is>
      </c>
      <c r="BJ39" s="17" t="n"/>
      <c r="BK39" s="16" t="n"/>
      <c r="BL39" s="20" t="inlineStr">
        <is>
          <t>IC Kationen</t>
        </is>
      </c>
      <c r="BM39" s="20" t="inlineStr">
        <is>
          <t>None</t>
        </is>
      </c>
      <c r="BN39" s="17" t="n"/>
      <c r="BO39" s="16" t="n"/>
      <c r="BP39" s="20" t="inlineStr">
        <is>
          <t>IC Kationen</t>
        </is>
      </c>
      <c r="BQ39" s="20" t="inlineStr">
        <is>
          <t>None</t>
        </is>
      </c>
      <c r="BR39" s="17" t="n"/>
      <c r="BS39" s="16" t="n"/>
      <c r="BT39" s="20" t="inlineStr">
        <is>
          <t>IC Kationen</t>
        </is>
      </c>
      <c r="BU39" s="20" t="inlineStr">
        <is>
          <t>None</t>
        </is>
      </c>
      <c r="BV39" s="17" t="n"/>
      <c r="BW39" s="16" t="n"/>
      <c r="BX39" s="20" t="n"/>
      <c r="BY39" s="20" t="inlineStr">
        <is>
          <t>None</t>
        </is>
      </c>
      <c r="BZ39" s="17" t="n"/>
      <c r="CA39" s="16" t="n"/>
      <c r="CB39" s="20" t="n"/>
      <c r="CC39" s="20" t="inlineStr">
        <is>
          <t>None</t>
        </is>
      </c>
      <c r="CD39" s="17" t="n"/>
      <c r="CE39" s="16" t="n"/>
      <c r="CF39" s="20" t="n"/>
      <c r="CG39" s="20" t="inlineStr">
        <is>
          <t>None</t>
        </is>
      </c>
      <c r="CH39" s="17" t="n"/>
      <c r="CI39" s="16" t="n"/>
      <c r="CJ39" s="20" t="n"/>
      <c r="CK39" s="20" t="inlineStr">
        <is>
          <t>None</t>
        </is>
      </c>
      <c r="CL39" s="17" t="n"/>
      <c r="CM39" s="16" t="n"/>
      <c r="CN39" s="20" t="inlineStr">
        <is>
          <t>SOP 45-34</t>
        </is>
      </c>
      <c r="CO39" s="20" t="inlineStr">
        <is>
          <t>None</t>
        </is>
      </c>
      <c r="CP39" s="17" t="n"/>
      <c r="CQ39" s="16" t="n"/>
      <c r="CR39" s="20" t="n"/>
      <c r="CS39" s="20" t="inlineStr">
        <is>
          <t>None</t>
        </is>
      </c>
      <c r="CT39" s="17" t="n"/>
      <c r="CU39" s="16" t="n"/>
      <c r="CV39" s="20" t="n"/>
      <c r="CW39" s="20" t="inlineStr">
        <is>
          <t>None</t>
        </is>
      </c>
      <c r="CX39" s="17" t="n"/>
      <c r="CY39" s="16" t="n"/>
      <c r="CZ39" s="20" t="inlineStr">
        <is>
          <t>WTW Multimeter 3430 with FDO 925</t>
        </is>
      </c>
      <c r="DA39" s="20" t="inlineStr">
        <is>
          <t>None</t>
        </is>
      </c>
      <c r="DB39" s="17" t="n"/>
      <c r="DC39" s="16" t="n"/>
      <c r="DD39" s="20" t="n"/>
      <c r="DE39" s="20" t="inlineStr">
        <is>
          <t>None</t>
        </is>
      </c>
      <c r="DF39" s="17" t="n"/>
      <c r="DG39" s="16" t="n"/>
      <c r="DH39" s="20" t="inlineStr">
        <is>
          <t>SOP 45-09</t>
        </is>
      </c>
      <c r="DI39" s="20" t="inlineStr">
        <is>
          <t>None</t>
        </is>
      </c>
      <c r="DJ39" s="17" t="n"/>
      <c r="DK39" s="16" t="n"/>
      <c r="DL39" s="20" t="inlineStr">
        <is>
          <t>SOP 45-09 (SOP muss noch angepasst werden für VSS)</t>
        </is>
      </c>
      <c r="DM39" s="20" t="inlineStr">
        <is>
          <t>None</t>
        </is>
      </c>
      <c r="DN39" s="17" t="n"/>
      <c r="DO39" s="16" t="n"/>
      <c r="DP39" s="20" t="inlineStr">
        <is>
          <t>IC Organic Acids</t>
        </is>
      </c>
      <c r="DQ39" s="20" t="inlineStr">
        <is>
          <t>None</t>
        </is>
      </c>
      <c r="DR39" s="17" t="n"/>
      <c r="DS39" s="16" t="n"/>
      <c r="DT39" s="20" t="inlineStr">
        <is>
          <t>IC Organic Acids</t>
        </is>
      </c>
      <c r="DU39" s="20" t="inlineStr">
        <is>
          <t>None</t>
        </is>
      </c>
      <c r="DV39" s="17" t="n"/>
      <c r="DW39" s="16" t="n"/>
      <c r="DX39" s="20" t="inlineStr">
        <is>
          <t>IC Organic Acids</t>
        </is>
      </c>
      <c r="DY39" s="20" t="inlineStr">
        <is>
          <t>None</t>
        </is>
      </c>
      <c r="DZ39" s="17" t="n"/>
      <c r="EA39" s="16" t="n"/>
      <c r="EB39" s="20" t="inlineStr">
        <is>
          <t>IC Organic Acids</t>
        </is>
      </c>
      <c r="EC39" s="20" t="inlineStr">
        <is>
          <t>None</t>
        </is>
      </c>
      <c r="ED39" s="17" t="n"/>
      <c r="EE39" s="16" t="n"/>
      <c r="EF39" s="20" t="inlineStr">
        <is>
          <t>IC Organic Acids</t>
        </is>
      </c>
      <c r="EG39" s="20" t="inlineStr">
        <is>
          <t>None</t>
        </is>
      </c>
      <c r="EH39" s="17" t="n"/>
      <c r="EI39" s="16" t="n"/>
      <c r="EJ39" s="20" t="inlineStr">
        <is>
          <t>IC Organic Acids</t>
        </is>
      </c>
      <c r="EK39" s="20" t="inlineStr">
        <is>
          <t>None</t>
        </is>
      </c>
      <c r="EL39" s="17" t="n"/>
      <c r="EM39" s="16" t="n"/>
      <c r="EN39" s="20" t="inlineStr">
        <is>
          <t>IC Organic Acids</t>
        </is>
      </c>
      <c r="EO39" s="20" t="inlineStr">
        <is>
          <t>None</t>
        </is>
      </c>
      <c r="EP39" s="17" t="n"/>
      <c r="EQ39" s="16" t="n"/>
      <c r="ER39" s="20" t="inlineStr">
        <is>
          <t>IC Organic Acids</t>
        </is>
      </c>
      <c r="ES39" s="20" t="inlineStr">
        <is>
          <t>None</t>
        </is>
      </c>
      <c r="ET39" s="17" t="n"/>
      <c r="EU39" s="16" t="n"/>
      <c r="EV39" s="20" t="inlineStr">
        <is>
          <t>LC-MS</t>
        </is>
      </c>
      <c r="EW39" s="20" t="inlineStr">
        <is>
          <t>None</t>
        </is>
      </c>
      <c r="EX39" s="17" t="n"/>
      <c r="EY39" s="21" t="n"/>
      <c r="EZ39">
        <f>CONCATENATE(A39,B39)</f>
        <v/>
      </c>
      <c r="FA39">
        <f>CONCATENATE(SamplesX!A39,SamplesX!B39)</f>
        <v/>
      </c>
      <c r="FC39">
        <f>MATCH(EZ39,FA1:FA1008,0)</f>
        <v/>
      </c>
    </row>
    <row r="40">
      <c r="A40" s="16" t="inlineStr">
        <is>
          <t>BP</t>
        </is>
      </c>
      <c r="B40" s="17" t="inlineStr">
        <is>
          <t>25032</t>
        </is>
      </c>
      <c r="C40" s="10">
        <f>IF(ISNUMBER(FC40),INDIRECT("SamplesX!C"&amp;FC40),IF(ISNUMBER(FD40),INDIRECT("SamplesY!C"&amp;FD40),""))</f>
        <v/>
      </c>
      <c r="D40" s="12">
        <f>IF(ISNUMBER(FC40),INDIRECT("SamplesX!D"&amp;FC40),IF(ISNUMBER(FD40),INDIRECT("SamplesY!D"&amp;FD40),""))</f>
        <v/>
      </c>
      <c r="E40" s="12">
        <f>IF(ISNUMBER(FC40),INDIRECT("SamplesX!E"&amp;FC40),IF(ISNUMBER(FD40),INDIRECT("SamplesY!E"&amp;FD40),""))</f>
        <v/>
      </c>
      <c r="F40" s="11">
        <f>IF(ISNUMBER(FC40),INDIRECT("SamplesX!F"&amp;FC40),IF(ISNUMBER(FD40),INDIRECT("SamplesY!F"&amp;FD40),""))</f>
        <v/>
      </c>
      <c r="G40" s="18">
        <f>IF(ISNUMBER(FC40),INDIRECT("SamplesX!G"&amp;FC40),IF(ISNUMBER(FD40),INDIRECT("SamplesY!G"&amp;FD40),""))</f>
        <v/>
      </c>
      <c r="H40" s="19">
        <f>IF(ISNUMBER(FC40),INDIRECT("SamplesX!H"&amp;FC40),IF(ISNUMBER(FD40),INDIRECT("SamplesY!H"&amp;FD40),""))</f>
        <v/>
      </c>
      <c r="I40" s="16" t="n"/>
      <c r="J40" s="16" t="n"/>
      <c r="K40" s="16" t="n"/>
      <c r="L40" s="20" t="n"/>
      <c r="M40" s="20" t="inlineStr">
        <is>
          <t>None</t>
        </is>
      </c>
      <c r="N40" s="17" t="n"/>
      <c r="O40" s="16" t="n"/>
      <c r="P40" s="20" t="inlineStr">
        <is>
          <t>Shimadzu TOC-L</t>
        </is>
      </c>
      <c r="Q40" s="20" t="inlineStr">
        <is>
          <t>None</t>
        </is>
      </c>
      <c r="R40" s="17" t="n"/>
      <c r="S40" s="16" t="n"/>
      <c r="T40" s="20" t="inlineStr">
        <is>
          <t>Shimadzu TOC-L</t>
        </is>
      </c>
      <c r="U40" s="20" t="inlineStr">
        <is>
          <t>None</t>
        </is>
      </c>
      <c r="V40" s="17" t="n"/>
      <c r="W40" s="16" t="n"/>
      <c r="X40" s="20" t="n"/>
      <c r="Y40" s="20" t="inlineStr">
        <is>
          <t>None</t>
        </is>
      </c>
      <c r="Z40" s="17" t="n"/>
      <c r="AA40" s="16" t="n"/>
      <c r="AB40" s="20" t="n"/>
      <c r="AC40" s="20" t="inlineStr">
        <is>
          <t>None</t>
        </is>
      </c>
      <c r="AD40" s="17" t="n"/>
      <c r="AE40" s="16" t="n"/>
      <c r="AF40" s="20" t="inlineStr">
        <is>
          <t>IC Anionen</t>
        </is>
      </c>
      <c r="AG40" s="20" t="inlineStr">
        <is>
          <t>None</t>
        </is>
      </c>
      <c r="AH40" s="17" t="n"/>
      <c r="AI40" s="16" t="n"/>
      <c r="AJ40" s="20" t="n"/>
      <c r="AK40" s="20" t="inlineStr">
        <is>
          <t>None</t>
        </is>
      </c>
      <c r="AL40" s="17" t="n"/>
      <c r="AM40" s="16" t="n"/>
      <c r="AN40" s="20" t="inlineStr">
        <is>
          <t>IC Anionen</t>
        </is>
      </c>
      <c r="AO40" s="20" t="inlineStr">
        <is>
          <t>None</t>
        </is>
      </c>
      <c r="AP40" s="17" t="n"/>
      <c r="AQ40" s="16" t="n"/>
      <c r="AR40" s="20" t="n"/>
      <c r="AS40" s="20" t="inlineStr">
        <is>
          <t>None</t>
        </is>
      </c>
      <c r="AT40" s="17" t="n"/>
      <c r="AU40" s="16" t="inlineStr">
        <is>
          <t>7.37</t>
        </is>
      </c>
      <c r="AV40" s="20" t="inlineStr">
        <is>
          <t>IC Anionen</t>
        </is>
      </c>
      <c r="AW40" s="20" t="inlineStr">
        <is>
          <t>None</t>
        </is>
      </c>
      <c r="AX40" s="17" t="n"/>
      <c r="AY40" s="16" t="n"/>
      <c r="AZ40" s="20" t="inlineStr">
        <is>
          <t>IC Anionen</t>
        </is>
      </c>
      <c r="BA40" s="20" t="inlineStr">
        <is>
          <t>None</t>
        </is>
      </c>
      <c r="BB40" s="17" t="n"/>
      <c r="BC40" s="16" t="n"/>
      <c r="BD40" s="20" t="inlineStr">
        <is>
          <t>IC Kationen</t>
        </is>
      </c>
      <c r="BE40" s="20" t="inlineStr">
        <is>
          <t>None</t>
        </is>
      </c>
      <c r="BF40" s="17" t="n"/>
      <c r="BG40" s="16" t="n"/>
      <c r="BH40" s="20" t="n"/>
      <c r="BI40" s="20" t="inlineStr">
        <is>
          <t>None</t>
        </is>
      </c>
      <c r="BJ40" s="17" t="n"/>
      <c r="BK40" s="16" t="n"/>
      <c r="BL40" s="20" t="inlineStr">
        <is>
          <t>IC Kationen</t>
        </is>
      </c>
      <c r="BM40" s="20" t="inlineStr">
        <is>
          <t>None</t>
        </is>
      </c>
      <c r="BN40" s="17" t="n"/>
      <c r="BO40" s="16" t="n"/>
      <c r="BP40" s="20" t="inlineStr">
        <is>
          <t>IC Kationen</t>
        </is>
      </c>
      <c r="BQ40" s="20" t="inlineStr">
        <is>
          <t>None</t>
        </is>
      </c>
      <c r="BR40" s="17" t="n"/>
      <c r="BS40" s="16" t="n"/>
      <c r="BT40" s="20" t="inlineStr">
        <is>
          <t>IC Kationen</t>
        </is>
      </c>
      <c r="BU40" s="20" t="inlineStr">
        <is>
          <t>None</t>
        </is>
      </c>
      <c r="BV40" s="17" t="n"/>
      <c r="BW40" s="16" t="n"/>
      <c r="BX40" s="20" t="n"/>
      <c r="BY40" s="20" t="inlineStr">
        <is>
          <t>None</t>
        </is>
      </c>
      <c r="BZ40" s="17" t="n"/>
      <c r="CA40" s="16" t="n"/>
      <c r="CB40" s="20" t="n"/>
      <c r="CC40" s="20" t="inlineStr">
        <is>
          <t>None</t>
        </is>
      </c>
      <c r="CD40" s="17" t="n"/>
      <c r="CE40" s="16" t="n"/>
      <c r="CF40" s="20" t="n"/>
      <c r="CG40" s="20" t="inlineStr">
        <is>
          <t>None</t>
        </is>
      </c>
      <c r="CH40" s="17" t="n"/>
      <c r="CI40" s="16" t="n"/>
      <c r="CJ40" s="20" t="n"/>
      <c r="CK40" s="20" t="inlineStr">
        <is>
          <t>None</t>
        </is>
      </c>
      <c r="CL40" s="17" t="n"/>
      <c r="CM40" s="16" t="n"/>
      <c r="CN40" s="20" t="inlineStr">
        <is>
          <t>SOP 45-34</t>
        </is>
      </c>
      <c r="CO40" s="20" t="inlineStr">
        <is>
          <t>None</t>
        </is>
      </c>
      <c r="CP40" s="17" t="n"/>
      <c r="CQ40" s="16" t="n"/>
      <c r="CR40" s="20" t="n"/>
      <c r="CS40" s="20" t="inlineStr">
        <is>
          <t>None</t>
        </is>
      </c>
      <c r="CT40" s="17" t="n"/>
      <c r="CU40" s="16" t="n"/>
      <c r="CV40" s="20" t="n"/>
      <c r="CW40" s="20" t="inlineStr">
        <is>
          <t>None</t>
        </is>
      </c>
      <c r="CX40" s="17" t="n"/>
      <c r="CY40" s="16" t="n"/>
      <c r="CZ40" s="20" t="inlineStr">
        <is>
          <t>WTW Multimeter 3430 with FDO 925</t>
        </is>
      </c>
      <c r="DA40" s="20" t="inlineStr">
        <is>
          <t>None</t>
        </is>
      </c>
      <c r="DB40" s="17" t="n"/>
      <c r="DC40" s="16" t="n"/>
      <c r="DD40" s="20" t="n"/>
      <c r="DE40" s="20" t="inlineStr">
        <is>
          <t>None</t>
        </is>
      </c>
      <c r="DF40" s="17" t="n"/>
      <c r="DG40" s="16" t="n"/>
      <c r="DH40" s="20" t="inlineStr">
        <is>
          <t>SOP 45-09</t>
        </is>
      </c>
      <c r="DI40" s="20" t="inlineStr">
        <is>
          <t>None</t>
        </is>
      </c>
      <c r="DJ40" s="17" t="n"/>
      <c r="DK40" s="16" t="n"/>
      <c r="DL40" s="20" t="inlineStr">
        <is>
          <t>SOP 45-09 (SOP muss noch angepasst werden für VSS)</t>
        </is>
      </c>
      <c r="DM40" s="20" t="inlineStr">
        <is>
          <t>None</t>
        </is>
      </c>
      <c r="DN40" s="17" t="n"/>
      <c r="DO40" s="16" t="n"/>
      <c r="DP40" s="20" t="inlineStr">
        <is>
          <t>IC Organic Acids</t>
        </is>
      </c>
      <c r="DQ40" s="20" t="inlineStr">
        <is>
          <t>None</t>
        </is>
      </c>
      <c r="DR40" s="17" t="n"/>
      <c r="DS40" s="16" t="n"/>
      <c r="DT40" s="20" t="inlineStr">
        <is>
          <t>IC Organic Acids</t>
        </is>
      </c>
      <c r="DU40" s="20" t="inlineStr">
        <is>
          <t>None</t>
        </is>
      </c>
      <c r="DV40" s="17" t="n"/>
      <c r="DW40" s="16" t="n"/>
      <c r="DX40" s="20" t="inlineStr">
        <is>
          <t>IC Organic Acids</t>
        </is>
      </c>
      <c r="DY40" s="20" t="inlineStr">
        <is>
          <t>None</t>
        </is>
      </c>
      <c r="DZ40" s="17" t="n"/>
      <c r="EA40" s="16" t="n"/>
      <c r="EB40" s="20" t="inlineStr">
        <is>
          <t>IC Organic Acids</t>
        </is>
      </c>
      <c r="EC40" s="20" t="inlineStr">
        <is>
          <t>None</t>
        </is>
      </c>
      <c r="ED40" s="17" t="n"/>
      <c r="EE40" s="16" t="n"/>
      <c r="EF40" s="20" t="inlineStr">
        <is>
          <t>IC Organic Acids</t>
        </is>
      </c>
      <c r="EG40" s="20" t="inlineStr">
        <is>
          <t>None</t>
        </is>
      </c>
      <c r="EH40" s="17" t="n"/>
      <c r="EI40" s="16" t="n"/>
      <c r="EJ40" s="20" t="inlineStr">
        <is>
          <t>IC Organic Acids</t>
        </is>
      </c>
      <c r="EK40" s="20" t="inlineStr">
        <is>
          <t>None</t>
        </is>
      </c>
      <c r="EL40" s="17" t="n"/>
      <c r="EM40" s="16" t="n"/>
      <c r="EN40" s="20" t="inlineStr">
        <is>
          <t>IC Organic Acids</t>
        </is>
      </c>
      <c r="EO40" s="20" t="inlineStr">
        <is>
          <t>None</t>
        </is>
      </c>
      <c r="EP40" s="17" t="n"/>
      <c r="EQ40" s="16" t="n"/>
      <c r="ER40" s="20" t="inlineStr">
        <is>
          <t>IC Organic Acids</t>
        </is>
      </c>
      <c r="ES40" s="20" t="inlineStr">
        <is>
          <t>None</t>
        </is>
      </c>
      <c r="ET40" s="17" t="n"/>
      <c r="EU40" s="16" t="n"/>
      <c r="EV40" s="20" t="inlineStr">
        <is>
          <t>LC-MS</t>
        </is>
      </c>
      <c r="EW40" s="20" t="inlineStr">
        <is>
          <t>None</t>
        </is>
      </c>
      <c r="EX40" s="17" t="n"/>
      <c r="EY40" s="21" t="n"/>
      <c r="EZ40">
        <f>CONCATENATE(A40,B40)</f>
        <v/>
      </c>
      <c r="FA40">
        <f>CONCATENATE(SamplesX!A40,SamplesX!B40)</f>
        <v/>
      </c>
      <c r="FC40">
        <f>MATCH(EZ40,FA1:FA1008,0)</f>
        <v/>
      </c>
    </row>
    <row r="41">
      <c r="A41" s="16" t="inlineStr">
        <is>
          <t>BP</t>
        </is>
      </c>
      <c r="B41" s="17" t="inlineStr">
        <is>
          <t>25033</t>
        </is>
      </c>
      <c r="C41" s="10">
        <f>IF(ISNUMBER(FC41),INDIRECT("SamplesX!C"&amp;FC41),IF(ISNUMBER(FD41),INDIRECT("SamplesY!C"&amp;FD41),""))</f>
        <v/>
      </c>
      <c r="D41" s="12">
        <f>IF(ISNUMBER(FC41),INDIRECT("SamplesX!D"&amp;FC41),IF(ISNUMBER(FD41),INDIRECT("SamplesY!D"&amp;FD41),""))</f>
        <v/>
      </c>
      <c r="E41" s="12">
        <f>IF(ISNUMBER(FC41),INDIRECT("SamplesX!E"&amp;FC41),IF(ISNUMBER(FD41),INDIRECT("SamplesY!E"&amp;FD41),""))</f>
        <v/>
      </c>
      <c r="F41" s="11">
        <f>IF(ISNUMBER(FC41),INDIRECT("SamplesX!F"&amp;FC41),IF(ISNUMBER(FD41),INDIRECT("SamplesY!F"&amp;FD41),""))</f>
        <v/>
      </c>
      <c r="G41" s="18">
        <f>IF(ISNUMBER(FC41),INDIRECT("SamplesX!G"&amp;FC41),IF(ISNUMBER(FD41),INDIRECT("SamplesY!G"&amp;FD41),""))</f>
        <v/>
      </c>
      <c r="H41" s="19">
        <f>IF(ISNUMBER(FC41),INDIRECT("SamplesX!H"&amp;FC41),IF(ISNUMBER(FD41),INDIRECT("SamplesY!H"&amp;FD41),""))</f>
        <v/>
      </c>
      <c r="I41" s="16" t="n"/>
      <c r="J41" s="16" t="n"/>
      <c r="K41" s="16" t="n"/>
      <c r="L41" s="20" t="n"/>
      <c r="M41" s="20" t="inlineStr">
        <is>
          <t>None</t>
        </is>
      </c>
      <c r="N41" s="17" t="n"/>
      <c r="O41" s="16" t="n"/>
      <c r="P41" s="20" t="inlineStr">
        <is>
          <t>Shimadzu TOC-L</t>
        </is>
      </c>
      <c r="Q41" s="20" t="inlineStr">
        <is>
          <t>None</t>
        </is>
      </c>
      <c r="R41" s="17" t="n"/>
      <c r="S41" s="16" t="n"/>
      <c r="T41" s="20" t="inlineStr">
        <is>
          <t>Shimadzu TOC-L</t>
        </is>
      </c>
      <c r="U41" s="20" t="inlineStr">
        <is>
          <t>None</t>
        </is>
      </c>
      <c r="V41" s="17" t="n"/>
      <c r="W41" s="16" t="n"/>
      <c r="X41" s="20" t="n"/>
      <c r="Y41" s="20" t="inlineStr">
        <is>
          <t>None</t>
        </is>
      </c>
      <c r="Z41" s="17" t="n"/>
      <c r="AA41" s="16" t="n"/>
      <c r="AB41" s="20" t="n"/>
      <c r="AC41" s="20" t="inlineStr">
        <is>
          <t>None</t>
        </is>
      </c>
      <c r="AD41" s="17" t="n"/>
      <c r="AE41" s="16" t="n"/>
      <c r="AF41" s="20" t="inlineStr">
        <is>
          <t>IC Anionen</t>
        </is>
      </c>
      <c r="AG41" s="20" t="inlineStr">
        <is>
          <t>None</t>
        </is>
      </c>
      <c r="AH41" s="17" t="n"/>
      <c r="AI41" s="16" t="n"/>
      <c r="AJ41" s="20" t="n"/>
      <c r="AK41" s="20" t="inlineStr">
        <is>
          <t>None</t>
        </is>
      </c>
      <c r="AL41" s="17" t="n"/>
      <c r="AM41" s="16" t="n"/>
      <c r="AN41" s="20" t="inlineStr">
        <is>
          <t>IC Anionen</t>
        </is>
      </c>
      <c r="AO41" s="20" t="inlineStr">
        <is>
          <t>None</t>
        </is>
      </c>
      <c r="AP41" s="17" t="n"/>
      <c r="AQ41" s="16" t="n"/>
      <c r="AR41" s="20" t="n"/>
      <c r="AS41" s="20" t="inlineStr">
        <is>
          <t>None</t>
        </is>
      </c>
      <c r="AT41" s="17" t="n"/>
      <c r="AU41" s="16" t="inlineStr">
        <is>
          <t>7.25</t>
        </is>
      </c>
      <c r="AV41" s="20" t="inlineStr">
        <is>
          <t>IC Anionen</t>
        </is>
      </c>
      <c r="AW41" s="20" t="inlineStr">
        <is>
          <t>None</t>
        </is>
      </c>
      <c r="AX41" s="17" t="n"/>
      <c r="AY41" s="16" t="n"/>
      <c r="AZ41" s="20" t="inlineStr">
        <is>
          <t>IC Anionen</t>
        </is>
      </c>
      <c r="BA41" s="20" t="inlineStr">
        <is>
          <t>None</t>
        </is>
      </c>
      <c r="BB41" s="17" t="n"/>
      <c r="BC41" s="16" t="n"/>
      <c r="BD41" s="20" t="inlineStr">
        <is>
          <t>IC Kationen</t>
        </is>
      </c>
      <c r="BE41" s="20" t="inlineStr">
        <is>
          <t>None</t>
        </is>
      </c>
      <c r="BF41" s="17" t="n"/>
      <c r="BG41" s="16" t="n"/>
      <c r="BH41" s="20" t="n"/>
      <c r="BI41" s="20" t="inlineStr">
        <is>
          <t>None</t>
        </is>
      </c>
      <c r="BJ41" s="17" t="n"/>
      <c r="BK41" s="16" t="n"/>
      <c r="BL41" s="20" t="inlineStr">
        <is>
          <t>IC Kationen</t>
        </is>
      </c>
      <c r="BM41" s="20" t="inlineStr">
        <is>
          <t>None</t>
        </is>
      </c>
      <c r="BN41" s="17" t="n"/>
      <c r="BO41" s="16" t="n"/>
      <c r="BP41" s="20" t="inlineStr">
        <is>
          <t>IC Kationen</t>
        </is>
      </c>
      <c r="BQ41" s="20" t="inlineStr">
        <is>
          <t>None</t>
        </is>
      </c>
      <c r="BR41" s="17" t="n"/>
      <c r="BS41" s="16" t="n"/>
      <c r="BT41" s="20" t="inlineStr">
        <is>
          <t>IC Kationen</t>
        </is>
      </c>
      <c r="BU41" s="20" t="inlineStr">
        <is>
          <t>None</t>
        </is>
      </c>
      <c r="BV41" s="17" t="n"/>
      <c r="BW41" s="16" t="n"/>
      <c r="BX41" s="20" t="n"/>
      <c r="BY41" s="20" t="inlineStr">
        <is>
          <t>None</t>
        </is>
      </c>
      <c r="BZ41" s="17" t="n"/>
      <c r="CA41" s="16" t="n"/>
      <c r="CB41" s="20" t="n"/>
      <c r="CC41" s="20" t="inlineStr">
        <is>
          <t>None</t>
        </is>
      </c>
      <c r="CD41" s="17" t="n"/>
      <c r="CE41" s="16" t="n"/>
      <c r="CF41" s="20" t="n"/>
      <c r="CG41" s="20" t="inlineStr">
        <is>
          <t>None</t>
        </is>
      </c>
      <c r="CH41" s="17" t="n"/>
      <c r="CI41" s="16" t="n"/>
      <c r="CJ41" s="20" t="n"/>
      <c r="CK41" s="20" t="inlineStr">
        <is>
          <t>None</t>
        </is>
      </c>
      <c r="CL41" s="17" t="n"/>
      <c r="CM41" s="16" t="n"/>
      <c r="CN41" s="20" t="inlineStr">
        <is>
          <t>SOP 45-34</t>
        </is>
      </c>
      <c r="CO41" s="20" t="inlineStr">
        <is>
          <t>None</t>
        </is>
      </c>
      <c r="CP41" s="17" t="n"/>
      <c r="CQ41" s="16" t="n"/>
      <c r="CR41" s="20" t="n"/>
      <c r="CS41" s="20" t="inlineStr">
        <is>
          <t>None</t>
        </is>
      </c>
      <c r="CT41" s="17" t="n"/>
      <c r="CU41" s="16" t="n"/>
      <c r="CV41" s="20" t="n"/>
      <c r="CW41" s="20" t="inlineStr">
        <is>
          <t>None</t>
        </is>
      </c>
      <c r="CX41" s="17" t="n"/>
      <c r="CY41" s="16" t="n"/>
      <c r="CZ41" s="20" t="inlineStr">
        <is>
          <t>WTW Multimeter 3430 with FDO 925</t>
        </is>
      </c>
      <c r="DA41" s="20" t="inlineStr">
        <is>
          <t>None</t>
        </is>
      </c>
      <c r="DB41" s="17" t="n"/>
      <c r="DC41" s="16" t="n"/>
      <c r="DD41" s="20" t="n"/>
      <c r="DE41" s="20" t="inlineStr">
        <is>
          <t>None</t>
        </is>
      </c>
      <c r="DF41" s="17" t="n"/>
      <c r="DG41" s="16" t="n"/>
      <c r="DH41" s="20" t="inlineStr">
        <is>
          <t>SOP 45-09</t>
        </is>
      </c>
      <c r="DI41" s="20" t="inlineStr">
        <is>
          <t>None</t>
        </is>
      </c>
      <c r="DJ41" s="17" t="n"/>
      <c r="DK41" s="16" t="n"/>
      <c r="DL41" s="20" t="inlineStr">
        <is>
          <t>SOP 45-09 (SOP muss noch angepasst werden für VSS)</t>
        </is>
      </c>
      <c r="DM41" s="20" t="inlineStr">
        <is>
          <t>None</t>
        </is>
      </c>
      <c r="DN41" s="17" t="n"/>
      <c r="DO41" s="16" t="n"/>
      <c r="DP41" s="20" t="inlineStr">
        <is>
          <t>IC Organic Acids</t>
        </is>
      </c>
      <c r="DQ41" s="20" t="inlineStr">
        <is>
          <t>None</t>
        </is>
      </c>
      <c r="DR41" s="17" t="n"/>
      <c r="DS41" s="16" t="n"/>
      <c r="DT41" s="20" t="inlineStr">
        <is>
          <t>IC Organic Acids</t>
        </is>
      </c>
      <c r="DU41" s="20" t="inlineStr">
        <is>
          <t>None</t>
        </is>
      </c>
      <c r="DV41" s="17" t="n"/>
      <c r="DW41" s="16" t="n"/>
      <c r="DX41" s="20" t="inlineStr">
        <is>
          <t>IC Organic Acids</t>
        </is>
      </c>
      <c r="DY41" s="20" t="inlineStr">
        <is>
          <t>None</t>
        </is>
      </c>
      <c r="DZ41" s="17" t="n"/>
      <c r="EA41" s="16" t="n"/>
      <c r="EB41" s="20" t="inlineStr">
        <is>
          <t>IC Organic Acids</t>
        </is>
      </c>
      <c r="EC41" s="20" t="inlineStr">
        <is>
          <t>None</t>
        </is>
      </c>
      <c r="ED41" s="17" t="n"/>
      <c r="EE41" s="16" t="n"/>
      <c r="EF41" s="20" t="inlineStr">
        <is>
          <t>IC Organic Acids</t>
        </is>
      </c>
      <c r="EG41" s="20" t="inlineStr">
        <is>
          <t>None</t>
        </is>
      </c>
      <c r="EH41" s="17" t="n"/>
      <c r="EI41" s="16" t="n"/>
      <c r="EJ41" s="20" t="inlineStr">
        <is>
          <t>IC Organic Acids</t>
        </is>
      </c>
      <c r="EK41" s="20" t="inlineStr">
        <is>
          <t>None</t>
        </is>
      </c>
      <c r="EL41" s="17" t="n"/>
      <c r="EM41" s="16" t="n"/>
      <c r="EN41" s="20" t="inlineStr">
        <is>
          <t>IC Organic Acids</t>
        </is>
      </c>
      <c r="EO41" s="20" t="inlineStr">
        <is>
          <t>None</t>
        </is>
      </c>
      <c r="EP41" s="17" t="n"/>
      <c r="EQ41" s="16" t="n"/>
      <c r="ER41" s="20" t="inlineStr">
        <is>
          <t>IC Organic Acids</t>
        </is>
      </c>
      <c r="ES41" s="20" t="inlineStr">
        <is>
          <t>None</t>
        </is>
      </c>
      <c r="ET41" s="17" t="n"/>
      <c r="EU41" s="16" t="n"/>
      <c r="EV41" s="20" t="inlineStr">
        <is>
          <t>LC-MS</t>
        </is>
      </c>
      <c r="EW41" s="20" t="inlineStr">
        <is>
          <t>None</t>
        </is>
      </c>
      <c r="EX41" s="17" t="n"/>
      <c r="EY41" s="21" t="n"/>
      <c r="EZ41">
        <f>CONCATENATE(A41,B41)</f>
        <v/>
      </c>
      <c r="FA41">
        <f>CONCATENATE(SamplesX!A41,SamplesX!B41)</f>
        <v/>
      </c>
      <c r="FC41">
        <f>MATCH(EZ41,FA1:FA1008,0)</f>
        <v/>
      </c>
    </row>
    <row r="42">
      <c r="A42" s="16" t="inlineStr">
        <is>
          <t>BP</t>
        </is>
      </c>
      <c r="B42" s="17" t="inlineStr">
        <is>
          <t>25034</t>
        </is>
      </c>
      <c r="C42" s="10">
        <f>IF(ISNUMBER(FC42),INDIRECT("SamplesX!C"&amp;FC42),IF(ISNUMBER(FD42),INDIRECT("SamplesY!C"&amp;FD42),""))</f>
        <v/>
      </c>
      <c r="D42" s="12">
        <f>IF(ISNUMBER(FC42),INDIRECT("SamplesX!D"&amp;FC42),IF(ISNUMBER(FD42),INDIRECT("SamplesY!D"&amp;FD42),""))</f>
        <v/>
      </c>
      <c r="E42" s="12">
        <f>IF(ISNUMBER(FC42),INDIRECT("SamplesX!E"&amp;FC42),IF(ISNUMBER(FD42),INDIRECT("SamplesY!E"&amp;FD42),""))</f>
        <v/>
      </c>
      <c r="F42" s="11">
        <f>IF(ISNUMBER(FC42),INDIRECT("SamplesX!F"&amp;FC42),IF(ISNUMBER(FD42),INDIRECT("SamplesY!F"&amp;FD42),""))</f>
        <v/>
      </c>
      <c r="G42" s="18">
        <f>IF(ISNUMBER(FC42),INDIRECT("SamplesX!G"&amp;FC42),IF(ISNUMBER(FD42),INDIRECT("SamplesY!G"&amp;FD42),""))</f>
        <v/>
      </c>
      <c r="H42" s="19">
        <f>IF(ISNUMBER(FC42),INDIRECT("SamplesX!H"&amp;FC42),IF(ISNUMBER(FD42),INDIRECT("SamplesY!H"&amp;FD42),""))</f>
        <v/>
      </c>
      <c r="I42" s="16" t="n"/>
      <c r="J42" s="16" t="n"/>
      <c r="K42" s="16" t="n"/>
      <c r="L42" s="20" t="n"/>
      <c r="M42" s="20" t="inlineStr">
        <is>
          <t>None</t>
        </is>
      </c>
      <c r="N42" s="17" t="n"/>
      <c r="O42" s="16" t="n"/>
      <c r="P42" s="20" t="inlineStr">
        <is>
          <t>Shimadzu TOC-L</t>
        </is>
      </c>
      <c r="Q42" s="20" t="inlineStr">
        <is>
          <t>None</t>
        </is>
      </c>
      <c r="R42" s="17" t="n"/>
      <c r="S42" s="16" t="n"/>
      <c r="T42" s="20" t="inlineStr">
        <is>
          <t>Shimadzu TOC-L</t>
        </is>
      </c>
      <c r="U42" s="20" t="inlineStr">
        <is>
          <t>None</t>
        </is>
      </c>
      <c r="V42" s="17" t="n"/>
      <c r="W42" s="16" t="n"/>
      <c r="X42" s="20" t="n"/>
      <c r="Y42" s="20" t="inlineStr">
        <is>
          <t>None</t>
        </is>
      </c>
      <c r="Z42" s="17" t="n"/>
      <c r="AA42" s="16" t="n"/>
      <c r="AB42" s="20" t="n"/>
      <c r="AC42" s="20" t="inlineStr">
        <is>
          <t>None</t>
        </is>
      </c>
      <c r="AD42" s="17" t="n"/>
      <c r="AE42" s="16" t="n"/>
      <c r="AF42" s="20" t="inlineStr">
        <is>
          <t>IC Anionen</t>
        </is>
      </c>
      <c r="AG42" s="20" t="inlineStr">
        <is>
          <t>None</t>
        </is>
      </c>
      <c r="AH42" s="17" t="n"/>
      <c r="AI42" s="16" t="n"/>
      <c r="AJ42" s="20" t="n"/>
      <c r="AK42" s="20" t="inlineStr">
        <is>
          <t>None</t>
        </is>
      </c>
      <c r="AL42" s="17" t="n"/>
      <c r="AM42" s="16" t="n"/>
      <c r="AN42" s="20" t="inlineStr">
        <is>
          <t>IC Anionen</t>
        </is>
      </c>
      <c r="AO42" s="20" t="inlineStr">
        <is>
          <t>None</t>
        </is>
      </c>
      <c r="AP42" s="17" t="n"/>
      <c r="AQ42" s="16" t="n"/>
      <c r="AR42" s="20" t="n"/>
      <c r="AS42" s="20" t="inlineStr">
        <is>
          <t>None</t>
        </is>
      </c>
      <c r="AT42" s="17" t="n"/>
      <c r="AU42" s="16" t="inlineStr">
        <is>
          <t>7.01</t>
        </is>
      </c>
      <c r="AV42" s="20" t="inlineStr">
        <is>
          <t>IC Anionen</t>
        </is>
      </c>
      <c r="AW42" s="20" t="inlineStr">
        <is>
          <t>None</t>
        </is>
      </c>
      <c r="AX42" s="17" t="n"/>
      <c r="AY42" s="16" t="n"/>
      <c r="AZ42" s="20" t="inlineStr">
        <is>
          <t>IC Anionen</t>
        </is>
      </c>
      <c r="BA42" s="20" t="inlineStr">
        <is>
          <t>None</t>
        </is>
      </c>
      <c r="BB42" s="17" t="n"/>
      <c r="BC42" s="16" t="n"/>
      <c r="BD42" s="20" t="inlineStr">
        <is>
          <t>IC Kationen</t>
        </is>
      </c>
      <c r="BE42" s="20" t="inlineStr">
        <is>
          <t>None</t>
        </is>
      </c>
      <c r="BF42" s="17" t="n"/>
      <c r="BG42" s="16" t="n"/>
      <c r="BH42" s="20" t="n"/>
      <c r="BI42" s="20" t="inlineStr">
        <is>
          <t>None</t>
        </is>
      </c>
      <c r="BJ42" s="17" t="n"/>
      <c r="BK42" s="16" t="n"/>
      <c r="BL42" s="20" t="inlineStr">
        <is>
          <t>IC Kationen</t>
        </is>
      </c>
      <c r="BM42" s="20" t="inlineStr">
        <is>
          <t>None</t>
        </is>
      </c>
      <c r="BN42" s="17" t="n"/>
      <c r="BO42" s="16" t="n"/>
      <c r="BP42" s="20" t="inlineStr">
        <is>
          <t>IC Kationen</t>
        </is>
      </c>
      <c r="BQ42" s="20" t="inlineStr">
        <is>
          <t>None</t>
        </is>
      </c>
      <c r="BR42" s="17" t="n"/>
      <c r="BS42" s="16" t="n"/>
      <c r="BT42" s="20" t="inlineStr">
        <is>
          <t>IC Kationen</t>
        </is>
      </c>
      <c r="BU42" s="20" t="inlineStr">
        <is>
          <t>None</t>
        </is>
      </c>
      <c r="BV42" s="17" t="n"/>
      <c r="BW42" s="16" t="n"/>
      <c r="BX42" s="20" t="n"/>
      <c r="BY42" s="20" t="inlineStr">
        <is>
          <t>None</t>
        </is>
      </c>
      <c r="BZ42" s="17" t="n"/>
      <c r="CA42" s="16" t="n"/>
      <c r="CB42" s="20" t="n"/>
      <c r="CC42" s="20" t="inlineStr">
        <is>
          <t>None</t>
        </is>
      </c>
      <c r="CD42" s="17" t="n"/>
      <c r="CE42" s="16" t="n"/>
      <c r="CF42" s="20" t="n"/>
      <c r="CG42" s="20" t="inlineStr">
        <is>
          <t>None</t>
        </is>
      </c>
      <c r="CH42" s="17" t="n"/>
      <c r="CI42" s="16" t="n"/>
      <c r="CJ42" s="20" t="n"/>
      <c r="CK42" s="20" t="inlineStr">
        <is>
          <t>None</t>
        </is>
      </c>
      <c r="CL42" s="17" t="n"/>
      <c r="CM42" s="16" t="n"/>
      <c r="CN42" s="20" t="inlineStr">
        <is>
          <t>SOP 45-34</t>
        </is>
      </c>
      <c r="CO42" s="20" t="inlineStr">
        <is>
          <t>None</t>
        </is>
      </c>
      <c r="CP42" s="17" t="n"/>
      <c r="CQ42" s="16" t="n"/>
      <c r="CR42" s="20" t="n"/>
      <c r="CS42" s="20" t="inlineStr">
        <is>
          <t>None</t>
        </is>
      </c>
      <c r="CT42" s="17" t="n"/>
      <c r="CU42" s="16" t="n"/>
      <c r="CV42" s="20" t="n"/>
      <c r="CW42" s="20" t="inlineStr">
        <is>
          <t>None</t>
        </is>
      </c>
      <c r="CX42" s="17" t="n"/>
      <c r="CY42" s="16" t="n"/>
      <c r="CZ42" s="20" t="inlineStr">
        <is>
          <t>WTW Multimeter 3430 with FDO 925</t>
        </is>
      </c>
      <c r="DA42" s="20" t="inlineStr">
        <is>
          <t>None</t>
        </is>
      </c>
      <c r="DB42" s="17" t="n"/>
      <c r="DC42" s="16" t="n"/>
      <c r="DD42" s="20" t="n"/>
      <c r="DE42" s="20" t="inlineStr">
        <is>
          <t>None</t>
        </is>
      </c>
      <c r="DF42" s="17" t="n"/>
      <c r="DG42" s="16" t="n"/>
      <c r="DH42" s="20" t="inlineStr">
        <is>
          <t>SOP 45-09</t>
        </is>
      </c>
      <c r="DI42" s="20" t="inlineStr">
        <is>
          <t>None</t>
        </is>
      </c>
      <c r="DJ42" s="17" t="n"/>
      <c r="DK42" s="16" t="n"/>
      <c r="DL42" s="20" t="inlineStr">
        <is>
          <t>SOP 45-09 (SOP muss noch angepasst werden für VSS)</t>
        </is>
      </c>
      <c r="DM42" s="20" t="inlineStr">
        <is>
          <t>None</t>
        </is>
      </c>
      <c r="DN42" s="17" t="n"/>
      <c r="DO42" s="16" t="n"/>
      <c r="DP42" s="20" t="inlineStr">
        <is>
          <t>IC Organic Acids</t>
        </is>
      </c>
      <c r="DQ42" s="20" t="inlineStr">
        <is>
          <t>None</t>
        </is>
      </c>
      <c r="DR42" s="17" t="n"/>
      <c r="DS42" s="16" t="n"/>
      <c r="DT42" s="20" t="inlineStr">
        <is>
          <t>IC Organic Acids</t>
        </is>
      </c>
      <c r="DU42" s="20" t="inlineStr">
        <is>
          <t>None</t>
        </is>
      </c>
      <c r="DV42" s="17" t="n"/>
      <c r="DW42" s="16" t="n"/>
      <c r="DX42" s="20" t="inlineStr">
        <is>
          <t>IC Organic Acids</t>
        </is>
      </c>
      <c r="DY42" s="20" t="inlineStr">
        <is>
          <t>None</t>
        </is>
      </c>
      <c r="DZ42" s="17" t="n"/>
      <c r="EA42" s="16" t="n"/>
      <c r="EB42" s="20" t="inlineStr">
        <is>
          <t>IC Organic Acids</t>
        </is>
      </c>
      <c r="EC42" s="20" t="inlineStr">
        <is>
          <t>None</t>
        </is>
      </c>
      <c r="ED42" s="17" t="n"/>
      <c r="EE42" s="16" t="n"/>
      <c r="EF42" s="20" t="inlineStr">
        <is>
          <t>IC Organic Acids</t>
        </is>
      </c>
      <c r="EG42" s="20" t="inlineStr">
        <is>
          <t>None</t>
        </is>
      </c>
      <c r="EH42" s="17" t="n"/>
      <c r="EI42" s="16" t="n"/>
      <c r="EJ42" s="20" t="inlineStr">
        <is>
          <t>IC Organic Acids</t>
        </is>
      </c>
      <c r="EK42" s="20" t="inlineStr">
        <is>
          <t>None</t>
        </is>
      </c>
      <c r="EL42" s="17" t="n"/>
      <c r="EM42" s="16" t="n"/>
      <c r="EN42" s="20" t="inlineStr">
        <is>
          <t>IC Organic Acids</t>
        </is>
      </c>
      <c r="EO42" s="20" t="inlineStr">
        <is>
          <t>None</t>
        </is>
      </c>
      <c r="EP42" s="17" t="n"/>
      <c r="EQ42" s="16" t="n"/>
      <c r="ER42" s="20" t="inlineStr">
        <is>
          <t>IC Organic Acids</t>
        </is>
      </c>
      <c r="ES42" s="20" t="inlineStr">
        <is>
          <t>None</t>
        </is>
      </c>
      <c r="ET42" s="17" t="n"/>
      <c r="EU42" s="16" t="n"/>
      <c r="EV42" s="20" t="inlineStr">
        <is>
          <t>LC-MS</t>
        </is>
      </c>
      <c r="EW42" s="20" t="inlineStr">
        <is>
          <t>None</t>
        </is>
      </c>
      <c r="EX42" s="17" t="n"/>
      <c r="EY42" s="21" t="n"/>
      <c r="EZ42">
        <f>CONCATENATE(A42,B42)</f>
        <v/>
      </c>
      <c r="FA42">
        <f>CONCATENATE(SamplesX!A42,SamplesX!B42)</f>
        <v/>
      </c>
      <c r="FC42">
        <f>MATCH(EZ42,FA1:FA1008,0)</f>
        <v/>
      </c>
    </row>
    <row r="43">
      <c r="A43" s="16" t="inlineStr">
        <is>
          <t>BP</t>
        </is>
      </c>
      <c r="B43" s="17" t="inlineStr">
        <is>
          <t>25035</t>
        </is>
      </c>
      <c r="C43" s="10">
        <f>IF(ISNUMBER(FC43),INDIRECT("SamplesX!C"&amp;FC43),IF(ISNUMBER(FD43),INDIRECT("SamplesY!C"&amp;FD43),""))</f>
        <v/>
      </c>
      <c r="D43" s="12">
        <f>IF(ISNUMBER(FC43),INDIRECT("SamplesX!D"&amp;FC43),IF(ISNUMBER(FD43),INDIRECT("SamplesY!D"&amp;FD43),""))</f>
        <v/>
      </c>
      <c r="E43" s="12">
        <f>IF(ISNUMBER(FC43),INDIRECT("SamplesX!E"&amp;FC43),IF(ISNUMBER(FD43),INDIRECT("SamplesY!E"&amp;FD43),""))</f>
        <v/>
      </c>
      <c r="F43" s="11">
        <f>IF(ISNUMBER(FC43),INDIRECT("SamplesX!F"&amp;FC43),IF(ISNUMBER(FD43),INDIRECT("SamplesY!F"&amp;FD43),""))</f>
        <v/>
      </c>
      <c r="G43" s="18">
        <f>IF(ISNUMBER(FC43),INDIRECT("SamplesX!G"&amp;FC43),IF(ISNUMBER(FD43),INDIRECT("SamplesY!G"&amp;FD43),""))</f>
        <v/>
      </c>
      <c r="H43" s="19">
        <f>IF(ISNUMBER(FC43),INDIRECT("SamplesX!H"&amp;FC43),IF(ISNUMBER(FD43),INDIRECT("SamplesY!H"&amp;FD43),""))</f>
        <v/>
      </c>
      <c r="I43" s="16" t="n"/>
      <c r="J43" s="16" t="n"/>
      <c r="K43" s="16" t="n"/>
      <c r="L43" s="20" t="n"/>
      <c r="M43" s="20" t="inlineStr">
        <is>
          <t>None</t>
        </is>
      </c>
      <c r="N43" s="17" t="n"/>
      <c r="O43" s="16" t="n"/>
      <c r="P43" s="20" t="inlineStr">
        <is>
          <t>Shimadzu TOC-L</t>
        </is>
      </c>
      <c r="Q43" s="20" t="inlineStr">
        <is>
          <t>None</t>
        </is>
      </c>
      <c r="R43" s="17" t="n"/>
      <c r="S43" s="16" t="n"/>
      <c r="T43" s="20" t="inlineStr">
        <is>
          <t>Shimadzu TOC-L</t>
        </is>
      </c>
      <c r="U43" s="20" t="inlineStr">
        <is>
          <t>None</t>
        </is>
      </c>
      <c r="V43" s="17" t="n"/>
      <c r="W43" s="16" t="n"/>
      <c r="X43" s="20" t="n"/>
      <c r="Y43" s="20" t="inlineStr">
        <is>
          <t>None</t>
        </is>
      </c>
      <c r="Z43" s="17" t="n"/>
      <c r="AA43" s="16" t="n"/>
      <c r="AB43" s="20" t="n"/>
      <c r="AC43" s="20" t="inlineStr">
        <is>
          <t>None</t>
        </is>
      </c>
      <c r="AD43" s="17" t="n"/>
      <c r="AE43" s="16" t="n"/>
      <c r="AF43" s="20" t="inlineStr">
        <is>
          <t>IC Anionen</t>
        </is>
      </c>
      <c r="AG43" s="20" t="inlineStr">
        <is>
          <t>None</t>
        </is>
      </c>
      <c r="AH43" s="17" t="n"/>
      <c r="AI43" s="16" t="n"/>
      <c r="AJ43" s="20" t="n"/>
      <c r="AK43" s="20" t="inlineStr">
        <is>
          <t>None</t>
        </is>
      </c>
      <c r="AL43" s="17" t="n"/>
      <c r="AM43" s="16" t="n"/>
      <c r="AN43" s="20" t="inlineStr">
        <is>
          <t>IC Anionen</t>
        </is>
      </c>
      <c r="AO43" s="20" t="inlineStr">
        <is>
          <t>None</t>
        </is>
      </c>
      <c r="AP43" s="17" t="n"/>
      <c r="AQ43" s="16" t="n"/>
      <c r="AR43" s="20" t="n"/>
      <c r="AS43" s="20" t="inlineStr">
        <is>
          <t>None</t>
        </is>
      </c>
      <c r="AT43" s="17" t="n"/>
      <c r="AU43" s="16" t="inlineStr">
        <is>
          <t>7.35</t>
        </is>
      </c>
      <c r="AV43" s="20" t="inlineStr">
        <is>
          <t>IC Anionen</t>
        </is>
      </c>
      <c r="AW43" s="20" t="inlineStr">
        <is>
          <t>None</t>
        </is>
      </c>
      <c r="AX43" s="17" t="n"/>
      <c r="AY43" s="16" t="n"/>
      <c r="AZ43" s="20" t="inlineStr">
        <is>
          <t>IC Anionen</t>
        </is>
      </c>
      <c r="BA43" s="20" t="inlineStr">
        <is>
          <t>None</t>
        </is>
      </c>
      <c r="BB43" s="17" t="n"/>
      <c r="BC43" s="16" t="n"/>
      <c r="BD43" s="20" t="inlineStr">
        <is>
          <t>IC Kationen</t>
        </is>
      </c>
      <c r="BE43" s="20" t="inlineStr">
        <is>
          <t>None</t>
        </is>
      </c>
      <c r="BF43" s="17" t="n"/>
      <c r="BG43" s="16" t="n"/>
      <c r="BH43" s="20" t="n"/>
      <c r="BI43" s="20" t="inlineStr">
        <is>
          <t>None</t>
        </is>
      </c>
      <c r="BJ43" s="17" t="n"/>
      <c r="BK43" s="16" t="n"/>
      <c r="BL43" s="20" t="inlineStr">
        <is>
          <t>IC Kationen</t>
        </is>
      </c>
      <c r="BM43" s="20" t="inlineStr">
        <is>
          <t>None</t>
        </is>
      </c>
      <c r="BN43" s="17" t="n"/>
      <c r="BO43" s="16" t="n"/>
      <c r="BP43" s="20" t="inlineStr">
        <is>
          <t>IC Kationen</t>
        </is>
      </c>
      <c r="BQ43" s="20" t="inlineStr">
        <is>
          <t>None</t>
        </is>
      </c>
      <c r="BR43" s="17" t="n"/>
      <c r="BS43" s="16" t="n"/>
      <c r="BT43" s="20" t="inlineStr">
        <is>
          <t>IC Kationen</t>
        </is>
      </c>
      <c r="BU43" s="20" t="inlineStr">
        <is>
          <t>None</t>
        </is>
      </c>
      <c r="BV43" s="17" t="n"/>
      <c r="BW43" s="16" t="n"/>
      <c r="BX43" s="20" t="n"/>
      <c r="BY43" s="20" t="inlineStr">
        <is>
          <t>None</t>
        </is>
      </c>
      <c r="BZ43" s="17" t="n"/>
      <c r="CA43" s="16" t="n"/>
      <c r="CB43" s="20" t="n"/>
      <c r="CC43" s="20" t="inlineStr">
        <is>
          <t>None</t>
        </is>
      </c>
      <c r="CD43" s="17" t="n"/>
      <c r="CE43" s="16" t="n"/>
      <c r="CF43" s="20" t="n"/>
      <c r="CG43" s="20" t="inlineStr">
        <is>
          <t>None</t>
        </is>
      </c>
      <c r="CH43" s="17" t="n"/>
      <c r="CI43" s="16" t="n"/>
      <c r="CJ43" s="20" t="n"/>
      <c r="CK43" s="20" t="inlineStr">
        <is>
          <t>None</t>
        </is>
      </c>
      <c r="CL43" s="17" t="n"/>
      <c r="CM43" s="16" t="n"/>
      <c r="CN43" s="20" t="inlineStr">
        <is>
          <t>SOP 45-34</t>
        </is>
      </c>
      <c r="CO43" s="20" t="inlineStr">
        <is>
          <t>None</t>
        </is>
      </c>
      <c r="CP43" s="17" t="n"/>
      <c r="CQ43" s="16" t="n"/>
      <c r="CR43" s="20" t="n"/>
      <c r="CS43" s="20" t="inlineStr">
        <is>
          <t>None</t>
        </is>
      </c>
      <c r="CT43" s="17" t="n"/>
      <c r="CU43" s="16" t="n"/>
      <c r="CV43" s="20" t="n"/>
      <c r="CW43" s="20" t="inlineStr">
        <is>
          <t>None</t>
        </is>
      </c>
      <c r="CX43" s="17" t="n"/>
      <c r="CY43" s="16" t="n"/>
      <c r="CZ43" s="20" t="inlineStr">
        <is>
          <t>WTW Multimeter 3430 with FDO 925</t>
        </is>
      </c>
      <c r="DA43" s="20" t="inlineStr">
        <is>
          <t>None</t>
        </is>
      </c>
      <c r="DB43" s="17" t="n"/>
      <c r="DC43" s="16" t="n"/>
      <c r="DD43" s="20" t="n"/>
      <c r="DE43" s="20" t="inlineStr">
        <is>
          <t>None</t>
        </is>
      </c>
      <c r="DF43" s="17" t="n"/>
      <c r="DG43" s="16" t="n"/>
      <c r="DH43" s="20" t="inlineStr">
        <is>
          <t>SOP 45-09</t>
        </is>
      </c>
      <c r="DI43" s="20" t="inlineStr">
        <is>
          <t>None</t>
        </is>
      </c>
      <c r="DJ43" s="17" t="n"/>
      <c r="DK43" s="16" t="n"/>
      <c r="DL43" s="20" t="inlineStr">
        <is>
          <t>SOP 45-09 (SOP muss noch angepasst werden für VSS)</t>
        </is>
      </c>
      <c r="DM43" s="20" t="inlineStr">
        <is>
          <t>None</t>
        </is>
      </c>
      <c r="DN43" s="17" t="n"/>
      <c r="DO43" s="16" t="n"/>
      <c r="DP43" s="20" t="inlineStr">
        <is>
          <t>IC Organic Acids</t>
        </is>
      </c>
      <c r="DQ43" s="20" t="inlineStr">
        <is>
          <t>None</t>
        </is>
      </c>
      <c r="DR43" s="17" t="n"/>
      <c r="DS43" s="16" t="n"/>
      <c r="DT43" s="20" t="inlineStr">
        <is>
          <t>IC Organic Acids</t>
        </is>
      </c>
      <c r="DU43" s="20" t="inlineStr">
        <is>
          <t>None</t>
        </is>
      </c>
      <c r="DV43" s="17" t="n"/>
      <c r="DW43" s="16" t="n"/>
      <c r="DX43" s="20" t="inlineStr">
        <is>
          <t>IC Organic Acids</t>
        </is>
      </c>
      <c r="DY43" s="20" t="inlineStr">
        <is>
          <t>None</t>
        </is>
      </c>
      <c r="DZ43" s="17" t="n"/>
      <c r="EA43" s="16" t="n"/>
      <c r="EB43" s="20" t="inlineStr">
        <is>
          <t>IC Organic Acids</t>
        </is>
      </c>
      <c r="EC43" s="20" t="inlineStr">
        <is>
          <t>None</t>
        </is>
      </c>
      <c r="ED43" s="17" t="n"/>
      <c r="EE43" s="16" t="n"/>
      <c r="EF43" s="20" t="inlineStr">
        <is>
          <t>IC Organic Acids</t>
        </is>
      </c>
      <c r="EG43" s="20" t="inlineStr">
        <is>
          <t>None</t>
        </is>
      </c>
      <c r="EH43" s="17" t="n"/>
      <c r="EI43" s="16" t="n"/>
      <c r="EJ43" s="20" t="inlineStr">
        <is>
          <t>IC Organic Acids</t>
        </is>
      </c>
      <c r="EK43" s="20" t="inlineStr">
        <is>
          <t>None</t>
        </is>
      </c>
      <c r="EL43" s="17" t="n"/>
      <c r="EM43" s="16" t="n"/>
      <c r="EN43" s="20" t="inlineStr">
        <is>
          <t>IC Organic Acids</t>
        </is>
      </c>
      <c r="EO43" s="20" t="inlineStr">
        <is>
          <t>None</t>
        </is>
      </c>
      <c r="EP43" s="17" t="n"/>
      <c r="EQ43" s="16" t="n"/>
      <c r="ER43" s="20" t="inlineStr">
        <is>
          <t>IC Organic Acids</t>
        </is>
      </c>
      <c r="ES43" s="20" t="inlineStr">
        <is>
          <t>None</t>
        </is>
      </c>
      <c r="ET43" s="17" t="n"/>
      <c r="EU43" s="16" t="n"/>
      <c r="EV43" s="20" t="inlineStr">
        <is>
          <t>LC-MS</t>
        </is>
      </c>
      <c r="EW43" s="20" t="inlineStr">
        <is>
          <t>None</t>
        </is>
      </c>
      <c r="EX43" s="17" t="n"/>
      <c r="EY43" s="21" t="n"/>
      <c r="EZ43">
        <f>CONCATENATE(A43,B43)</f>
        <v/>
      </c>
      <c r="FA43">
        <f>CONCATENATE(SamplesX!A43,SamplesX!B43)</f>
        <v/>
      </c>
      <c r="FC43">
        <f>MATCH(EZ43,FA1:FA1008,0)</f>
        <v/>
      </c>
    </row>
    <row r="44">
      <c r="A44" s="16" t="inlineStr">
        <is>
          <t>BP</t>
        </is>
      </c>
      <c r="B44" s="17" t="inlineStr">
        <is>
          <t>25036</t>
        </is>
      </c>
      <c r="C44" s="10">
        <f>IF(ISNUMBER(FC44),INDIRECT("SamplesX!C"&amp;FC44),IF(ISNUMBER(FD44),INDIRECT("SamplesY!C"&amp;FD44),""))</f>
        <v/>
      </c>
      <c r="D44" s="12">
        <f>IF(ISNUMBER(FC44),INDIRECT("SamplesX!D"&amp;FC44),IF(ISNUMBER(FD44),INDIRECT("SamplesY!D"&amp;FD44),""))</f>
        <v/>
      </c>
      <c r="E44" s="12">
        <f>IF(ISNUMBER(FC44),INDIRECT("SamplesX!E"&amp;FC44),IF(ISNUMBER(FD44),INDIRECT("SamplesY!E"&amp;FD44),""))</f>
        <v/>
      </c>
      <c r="F44" s="11">
        <f>IF(ISNUMBER(FC44),INDIRECT("SamplesX!F"&amp;FC44),IF(ISNUMBER(FD44),INDIRECT("SamplesY!F"&amp;FD44),""))</f>
        <v/>
      </c>
      <c r="G44" s="18">
        <f>IF(ISNUMBER(FC44),INDIRECT("SamplesX!G"&amp;FC44),IF(ISNUMBER(FD44),INDIRECT("SamplesY!G"&amp;FD44),""))</f>
        <v/>
      </c>
      <c r="H44" s="19">
        <f>IF(ISNUMBER(FC44),INDIRECT("SamplesX!H"&amp;FC44),IF(ISNUMBER(FD44),INDIRECT("SamplesY!H"&amp;FD44),""))</f>
        <v/>
      </c>
      <c r="I44" s="16" t="n"/>
      <c r="J44" s="16" t="n"/>
      <c r="K44" s="16" t="n"/>
      <c r="L44" s="20" t="n"/>
      <c r="M44" s="20" t="inlineStr">
        <is>
          <t>None</t>
        </is>
      </c>
      <c r="N44" s="17" t="n"/>
      <c r="O44" s="16" t="n"/>
      <c r="P44" s="20" t="inlineStr">
        <is>
          <t>Shimadzu TOC-L</t>
        </is>
      </c>
      <c r="Q44" s="20" t="inlineStr">
        <is>
          <t>None</t>
        </is>
      </c>
      <c r="R44" s="17" t="n"/>
      <c r="S44" s="16" t="n"/>
      <c r="T44" s="20" t="inlineStr">
        <is>
          <t>Shimadzu TOC-L</t>
        </is>
      </c>
      <c r="U44" s="20" t="inlineStr">
        <is>
          <t>None</t>
        </is>
      </c>
      <c r="V44" s="17" t="n"/>
      <c r="W44" s="16" t="n"/>
      <c r="X44" s="20" t="n"/>
      <c r="Y44" s="20" t="inlineStr">
        <is>
          <t>None</t>
        </is>
      </c>
      <c r="Z44" s="17" t="n"/>
      <c r="AA44" s="16" t="n"/>
      <c r="AB44" s="20" t="n"/>
      <c r="AC44" s="20" t="inlineStr">
        <is>
          <t>None</t>
        </is>
      </c>
      <c r="AD44" s="17" t="n"/>
      <c r="AE44" s="16" t="n"/>
      <c r="AF44" s="20" t="inlineStr">
        <is>
          <t>IC Anionen</t>
        </is>
      </c>
      <c r="AG44" s="20" t="inlineStr">
        <is>
          <t>None</t>
        </is>
      </c>
      <c r="AH44" s="17" t="n"/>
      <c r="AI44" s="16" t="n"/>
      <c r="AJ44" s="20" t="n"/>
      <c r="AK44" s="20" t="inlineStr">
        <is>
          <t>None</t>
        </is>
      </c>
      <c r="AL44" s="17" t="n"/>
      <c r="AM44" s="16" t="n"/>
      <c r="AN44" s="20" t="inlineStr">
        <is>
          <t>IC Anionen</t>
        </is>
      </c>
      <c r="AO44" s="20" t="inlineStr">
        <is>
          <t>None</t>
        </is>
      </c>
      <c r="AP44" s="17" t="n"/>
      <c r="AQ44" s="16" t="n"/>
      <c r="AR44" s="20" t="n"/>
      <c r="AS44" s="20" t="inlineStr">
        <is>
          <t>None</t>
        </is>
      </c>
      <c r="AT44" s="17" t="n"/>
      <c r="AU44" s="16" t="inlineStr">
        <is>
          <t>7.11</t>
        </is>
      </c>
      <c r="AV44" s="20" t="inlineStr">
        <is>
          <t>IC Anionen</t>
        </is>
      </c>
      <c r="AW44" s="20" t="inlineStr">
        <is>
          <t>None</t>
        </is>
      </c>
      <c r="AX44" s="17" t="n"/>
      <c r="AY44" s="16" t="n"/>
      <c r="AZ44" s="20" t="inlineStr">
        <is>
          <t>IC Anionen</t>
        </is>
      </c>
      <c r="BA44" s="20" t="inlineStr">
        <is>
          <t>None</t>
        </is>
      </c>
      <c r="BB44" s="17" t="n"/>
      <c r="BC44" s="16" t="n"/>
      <c r="BD44" s="20" t="inlineStr">
        <is>
          <t>IC Kationen</t>
        </is>
      </c>
      <c r="BE44" s="20" t="inlineStr">
        <is>
          <t>None</t>
        </is>
      </c>
      <c r="BF44" s="17" t="n"/>
      <c r="BG44" s="16" t="n"/>
      <c r="BH44" s="20" t="n"/>
      <c r="BI44" s="20" t="inlineStr">
        <is>
          <t>None</t>
        </is>
      </c>
      <c r="BJ44" s="17" t="n"/>
      <c r="BK44" s="16" t="n"/>
      <c r="BL44" s="20" t="inlineStr">
        <is>
          <t>IC Kationen</t>
        </is>
      </c>
      <c r="BM44" s="20" t="inlineStr">
        <is>
          <t>None</t>
        </is>
      </c>
      <c r="BN44" s="17" t="n"/>
      <c r="BO44" s="16" t="n"/>
      <c r="BP44" s="20" t="inlineStr">
        <is>
          <t>IC Kationen</t>
        </is>
      </c>
      <c r="BQ44" s="20" t="inlineStr">
        <is>
          <t>None</t>
        </is>
      </c>
      <c r="BR44" s="17" t="n"/>
      <c r="BS44" s="16" t="n"/>
      <c r="BT44" s="20" t="inlineStr">
        <is>
          <t>IC Kationen</t>
        </is>
      </c>
      <c r="BU44" s="20" t="inlineStr">
        <is>
          <t>None</t>
        </is>
      </c>
      <c r="BV44" s="17" t="n"/>
      <c r="BW44" s="16" t="n"/>
      <c r="BX44" s="20" t="n"/>
      <c r="BY44" s="20" t="inlineStr">
        <is>
          <t>None</t>
        </is>
      </c>
      <c r="BZ44" s="17" t="n"/>
      <c r="CA44" s="16" t="n"/>
      <c r="CB44" s="20" t="n"/>
      <c r="CC44" s="20" t="inlineStr">
        <is>
          <t>None</t>
        </is>
      </c>
      <c r="CD44" s="17" t="n"/>
      <c r="CE44" s="16" t="n"/>
      <c r="CF44" s="20" t="n"/>
      <c r="CG44" s="20" t="inlineStr">
        <is>
          <t>None</t>
        </is>
      </c>
      <c r="CH44" s="17" t="n"/>
      <c r="CI44" s="16" t="n"/>
      <c r="CJ44" s="20" t="n"/>
      <c r="CK44" s="20" t="inlineStr">
        <is>
          <t>None</t>
        </is>
      </c>
      <c r="CL44" s="17" t="n"/>
      <c r="CM44" s="16" t="n"/>
      <c r="CN44" s="20" t="inlineStr">
        <is>
          <t>SOP 45-34</t>
        </is>
      </c>
      <c r="CO44" s="20" t="inlineStr">
        <is>
          <t>None</t>
        </is>
      </c>
      <c r="CP44" s="17" t="n"/>
      <c r="CQ44" s="16" t="n"/>
      <c r="CR44" s="20" t="n"/>
      <c r="CS44" s="20" t="inlineStr">
        <is>
          <t>None</t>
        </is>
      </c>
      <c r="CT44" s="17" t="n"/>
      <c r="CU44" s="16" t="n"/>
      <c r="CV44" s="20" t="n"/>
      <c r="CW44" s="20" t="inlineStr">
        <is>
          <t>None</t>
        </is>
      </c>
      <c r="CX44" s="17" t="n"/>
      <c r="CY44" s="16" t="n"/>
      <c r="CZ44" s="20" t="inlineStr">
        <is>
          <t>WTW Multimeter 3430 with FDO 925</t>
        </is>
      </c>
      <c r="DA44" s="20" t="inlineStr">
        <is>
          <t>None</t>
        </is>
      </c>
      <c r="DB44" s="17" t="n"/>
      <c r="DC44" s="16" t="n"/>
      <c r="DD44" s="20" t="n"/>
      <c r="DE44" s="20" t="inlineStr">
        <is>
          <t>None</t>
        </is>
      </c>
      <c r="DF44" s="17" t="n"/>
      <c r="DG44" s="16" t="n"/>
      <c r="DH44" s="20" t="inlineStr">
        <is>
          <t>SOP 45-09</t>
        </is>
      </c>
      <c r="DI44" s="20" t="inlineStr">
        <is>
          <t>None</t>
        </is>
      </c>
      <c r="DJ44" s="17" t="n"/>
      <c r="DK44" s="16" t="n"/>
      <c r="DL44" s="20" t="inlineStr">
        <is>
          <t>SOP 45-09 (SOP muss noch angepasst werden für VSS)</t>
        </is>
      </c>
      <c r="DM44" s="20" t="inlineStr">
        <is>
          <t>None</t>
        </is>
      </c>
      <c r="DN44" s="17" t="n"/>
      <c r="DO44" s="16" t="n"/>
      <c r="DP44" s="20" t="inlineStr">
        <is>
          <t>IC Organic Acids</t>
        </is>
      </c>
      <c r="DQ44" s="20" t="inlineStr">
        <is>
          <t>None</t>
        </is>
      </c>
      <c r="DR44" s="17" t="n"/>
      <c r="DS44" s="16" t="n"/>
      <c r="DT44" s="20" t="inlineStr">
        <is>
          <t>IC Organic Acids</t>
        </is>
      </c>
      <c r="DU44" s="20" t="inlineStr">
        <is>
          <t>None</t>
        </is>
      </c>
      <c r="DV44" s="17" t="n"/>
      <c r="DW44" s="16" t="n"/>
      <c r="DX44" s="20" t="inlineStr">
        <is>
          <t>IC Organic Acids</t>
        </is>
      </c>
      <c r="DY44" s="20" t="inlineStr">
        <is>
          <t>None</t>
        </is>
      </c>
      <c r="DZ44" s="17" t="n"/>
      <c r="EA44" s="16" t="n"/>
      <c r="EB44" s="20" t="inlineStr">
        <is>
          <t>IC Organic Acids</t>
        </is>
      </c>
      <c r="EC44" s="20" t="inlineStr">
        <is>
          <t>None</t>
        </is>
      </c>
      <c r="ED44" s="17" t="n"/>
      <c r="EE44" s="16" t="n"/>
      <c r="EF44" s="20" t="inlineStr">
        <is>
          <t>IC Organic Acids</t>
        </is>
      </c>
      <c r="EG44" s="20" t="inlineStr">
        <is>
          <t>None</t>
        </is>
      </c>
      <c r="EH44" s="17" t="n"/>
      <c r="EI44" s="16" t="n"/>
      <c r="EJ44" s="20" t="inlineStr">
        <is>
          <t>IC Organic Acids</t>
        </is>
      </c>
      <c r="EK44" s="20" t="inlineStr">
        <is>
          <t>None</t>
        </is>
      </c>
      <c r="EL44" s="17" t="n"/>
      <c r="EM44" s="16" t="n"/>
      <c r="EN44" s="20" t="inlineStr">
        <is>
          <t>IC Organic Acids</t>
        </is>
      </c>
      <c r="EO44" s="20" t="inlineStr">
        <is>
          <t>None</t>
        </is>
      </c>
      <c r="EP44" s="17" t="n"/>
      <c r="EQ44" s="16" t="n"/>
      <c r="ER44" s="20" t="inlineStr">
        <is>
          <t>IC Organic Acids</t>
        </is>
      </c>
      <c r="ES44" s="20" t="inlineStr">
        <is>
          <t>None</t>
        </is>
      </c>
      <c r="ET44" s="17" t="n"/>
      <c r="EU44" s="16" t="n"/>
      <c r="EV44" s="20" t="inlineStr">
        <is>
          <t>LC-MS</t>
        </is>
      </c>
      <c r="EW44" s="20" t="inlineStr">
        <is>
          <t>None</t>
        </is>
      </c>
      <c r="EX44" s="17" t="n"/>
      <c r="EY44" s="21" t="n"/>
      <c r="EZ44">
        <f>CONCATENATE(A44,B44)</f>
        <v/>
      </c>
      <c r="FA44">
        <f>CONCATENATE(SamplesX!A44,SamplesX!B44)</f>
        <v/>
      </c>
      <c r="FC44">
        <f>MATCH(EZ44,FA1:FA1008,0)</f>
        <v/>
      </c>
    </row>
    <row r="45">
      <c r="A45" s="16" t="inlineStr">
        <is>
          <t>BP</t>
        </is>
      </c>
      <c r="B45" s="17" t="inlineStr">
        <is>
          <t>25037</t>
        </is>
      </c>
      <c r="C45" s="10">
        <f>IF(ISNUMBER(FC45),INDIRECT("SamplesX!C"&amp;FC45),IF(ISNUMBER(FD45),INDIRECT("SamplesY!C"&amp;FD45),""))</f>
        <v/>
      </c>
      <c r="D45" s="12">
        <f>IF(ISNUMBER(FC45),INDIRECT("SamplesX!D"&amp;FC45),IF(ISNUMBER(FD45),INDIRECT("SamplesY!D"&amp;FD45),""))</f>
        <v/>
      </c>
      <c r="E45" s="12">
        <f>IF(ISNUMBER(FC45),INDIRECT("SamplesX!E"&amp;FC45),IF(ISNUMBER(FD45),INDIRECT("SamplesY!E"&amp;FD45),""))</f>
        <v/>
      </c>
      <c r="F45" s="11">
        <f>IF(ISNUMBER(FC45),INDIRECT("SamplesX!F"&amp;FC45),IF(ISNUMBER(FD45),INDIRECT("SamplesY!F"&amp;FD45),""))</f>
        <v/>
      </c>
      <c r="G45" s="18">
        <f>IF(ISNUMBER(FC45),INDIRECT("SamplesX!G"&amp;FC45),IF(ISNUMBER(FD45),INDIRECT("SamplesY!G"&amp;FD45),""))</f>
        <v/>
      </c>
      <c r="H45" s="19">
        <f>IF(ISNUMBER(FC45),INDIRECT("SamplesX!H"&amp;FC45),IF(ISNUMBER(FD45),INDIRECT("SamplesY!H"&amp;FD45),""))</f>
        <v/>
      </c>
      <c r="I45" s="16" t="n"/>
      <c r="J45" s="16" t="n"/>
      <c r="K45" s="16" t="n"/>
      <c r="L45" s="20" t="n"/>
      <c r="M45" s="20" t="inlineStr">
        <is>
          <t>None</t>
        </is>
      </c>
      <c r="N45" s="17" t="n"/>
      <c r="O45" s="16" t="n"/>
      <c r="P45" s="20" t="inlineStr">
        <is>
          <t>Shimadzu TOC-L</t>
        </is>
      </c>
      <c r="Q45" s="20" t="inlineStr">
        <is>
          <t>None</t>
        </is>
      </c>
      <c r="R45" s="17" t="n"/>
      <c r="S45" s="16" t="n"/>
      <c r="T45" s="20" t="inlineStr">
        <is>
          <t>Shimadzu TOC-L</t>
        </is>
      </c>
      <c r="U45" s="20" t="inlineStr">
        <is>
          <t>None</t>
        </is>
      </c>
      <c r="V45" s="17" t="n"/>
      <c r="W45" s="16" t="n"/>
      <c r="X45" s="20" t="n"/>
      <c r="Y45" s="20" t="inlineStr">
        <is>
          <t>None</t>
        </is>
      </c>
      <c r="Z45" s="17" t="n"/>
      <c r="AA45" s="16" t="n"/>
      <c r="AB45" s="20" t="n"/>
      <c r="AC45" s="20" t="inlineStr">
        <is>
          <t>None</t>
        </is>
      </c>
      <c r="AD45" s="17" t="n"/>
      <c r="AE45" s="16" t="n"/>
      <c r="AF45" s="20" t="inlineStr">
        <is>
          <t>IC Anionen</t>
        </is>
      </c>
      <c r="AG45" s="20" t="inlineStr">
        <is>
          <t>None</t>
        </is>
      </c>
      <c r="AH45" s="17" t="n"/>
      <c r="AI45" s="16" t="n"/>
      <c r="AJ45" s="20" t="n"/>
      <c r="AK45" s="20" t="inlineStr">
        <is>
          <t>None</t>
        </is>
      </c>
      <c r="AL45" s="17" t="n"/>
      <c r="AM45" s="16" t="n"/>
      <c r="AN45" s="20" t="inlineStr">
        <is>
          <t>IC Anionen</t>
        </is>
      </c>
      <c r="AO45" s="20" t="inlineStr">
        <is>
          <t>None</t>
        </is>
      </c>
      <c r="AP45" s="17" t="n"/>
      <c r="AQ45" s="16" t="n"/>
      <c r="AR45" s="20" t="n"/>
      <c r="AS45" s="20" t="inlineStr">
        <is>
          <t>None</t>
        </is>
      </c>
      <c r="AT45" s="17" t="n"/>
      <c r="AU45" s="16" t="inlineStr">
        <is>
          <t>7.45</t>
        </is>
      </c>
      <c r="AV45" s="20" t="inlineStr">
        <is>
          <t>IC Anionen</t>
        </is>
      </c>
      <c r="AW45" s="20" t="inlineStr">
        <is>
          <t>None</t>
        </is>
      </c>
      <c r="AX45" s="17" t="n"/>
      <c r="AY45" s="16" t="n"/>
      <c r="AZ45" s="20" t="inlineStr">
        <is>
          <t>IC Anionen</t>
        </is>
      </c>
      <c r="BA45" s="20" t="inlineStr">
        <is>
          <t>None</t>
        </is>
      </c>
      <c r="BB45" s="17" t="n"/>
      <c r="BC45" s="16" t="n"/>
      <c r="BD45" s="20" t="inlineStr">
        <is>
          <t>IC Kationen</t>
        </is>
      </c>
      <c r="BE45" s="20" t="inlineStr">
        <is>
          <t>None</t>
        </is>
      </c>
      <c r="BF45" s="17" t="n"/>
      <c r="BG45" s="16" t="n"/>
      <c r="BH45" s="20" t="n"/>
      <c r="BI45" s="20" t="inlineStr">
        <is>
          <t>None</t>
        </is>
      </c>
      <c r="BJ45" s="17" t="n"/>
      <c r="BK45" s="16" t="n"/>
      <c r="BL45" s="20" t="inlineStr">
        <is>
          <t>IC Kationen</t>
        </is>
      </c>
      <c r="BM45" s="20" t="inlineStr">
        <is>
          <t>None</t>
        </is>
      </c>
      <c r="BN45" s="17" t="n"/>
      <c r="BO45" s="16" t="n"/>
      <c r="BP45" s="20" t="inlineStr">
        <is>
          <t>IC Kationen</t>
        </is>
      </c>
      <c r="BQ45" s="20" t="inlineStr">
        <is>
          <t>None</t>
        </is>
      </c>
      <c r="BR45" s="17" t="n"/>
      <c r="BS45" s="16" t="n"/>
      <c r="BT45" s="20" t="inlineStr">
        <is>
          <t>IC Kationen</t>
        </is>
      </c>
      <c r="BU45" s="20" t="inlineStr">
        <is>
          <t>None</t>
        </is>
      </c>
      <c r="BV45" s="17" t="n"/>
      <c r="BW45" s="16" t="n"/>
      <c r="BX45" s="20" t="n"/>
      <c r="BY45" s="20" t="inlineStr">
        <is>
          <t>None</t>
        </is>
      </c>
      <c r="BZ45" s="17" t="n"/>
      <c r="CA45" s="16" t="n"/>
      <c r="CB45" s="20" t="n"/>
      <c r="CC45" s="20" t="inlineStr">
        <is>
          <t>None</t>
        </is>
      </c>
      <c r="CD45" s="17" t="n"/>
      <c r="CE45" s="16" t="n"/>
      <c r="CF45" s="20" t="n"/>
      <c r="CG45" s="20" t="inlineStr">
        <is>
          <t>None</t>
        </is>
      </c>
      <c r="CH45" s="17" t="n"/>
      <c r="CI45" s="16" t="n"/>
      <c r="CJ45" s="20" t="n"/>
      <c r="CK45" s="20" t="inlineStr">
        <is>
          <t>None</t>
        </is>
      </c>
      <c r="CL45" s="17" t="n"/>
      <c r="CM45" s="16" t="n"/>
      <c r="CN45" s="20" t="inlineStr">
        <is>
          <t>SOP 45-34</t>
        </is>
      </c>
      <c r="CO45" s="20" t="inlineStr">
        <is>
          <t>None</t>
        </is>
      </c>
      <c r="CP45" s="17" t="n"/>
      <c r="CQ45" s="16" t="n"/>
      <c r="CR45" s="20" t="n"/>
      <c r="CS45" s="20" t="inlineStr">
        <is>
          <t>None</t>
        </is>
      </c>
      <c r="CT45" s="17" t="n"/>
      <c r="CU45" s="16" t="n"/>
      <c r="CV45" s="20" t="n"/>
      <c r="CW45" s="20" t="inlineStr">
        <is>
          <t>None</t>
        </is>
      </c>
      <c r="CX45" s="17" t="n"/>
      <c r="CY45" s="16" t="n"/>
      <c r="CZ45" s="20" t="inlineStr">
        <is>
          <t>WTW Multimeter 3430 with FDO 925</t>
        </is>
      </c>
      <c r="DA45" s="20" t="inlineStr">
        <is>
          <t>None</t>
        </is>
      </c>
      <c r="DB45" s="17" t="n"/>
      <c r="DC45" s="16" t="n"/>
      <c r="DD45" s="20" t="n"/>
      <c r="DE45" s="20" t="inlineStr">
        <is>
          <t>None</t>
        </is>
      </c>
      <c r="DF45" s="17" t="n"/>
      <c r="DG45" s="16" t="n"/>
      <c r="DH45" s="20" t="inlineStr">
        <is>
          <t>SOP 45-09</t>
        </is>
      </c>
      <c r="DI45" s="20" t="inlineStr">
        <is>
          <t>None</t>
        </is>
      </c>
      <c r="DJ45" s="17" t="n"/>
      <c r="DK45" s="16" t="n"/>
      <c r="DL45" s="20" t="inlineStr">
        <is>
          <t>SOP 45-09 (SOP muss noch angepasst werden für VSS)</t>
        </is>
      </c>
      <c r="DM45" s="20" t="inlineStr">
        <is>
          <t>None</t>
        </is>
      </c>
      <c r="DN45" s="17" t="n"/>
      <c r="DO45" s="16" t="n"/>
      <c r="DP45" s="20" t="inlineStr">
        <is>
          <t>IC Organic Acids</t>
        </is>
      </c>
      <c r="DQ45" s="20" t="inlineStr">
        <is>
          <t>None</t>
        </is>
      </c>
      <c r="DR45" s="17" t="n"/>
      <c r="DS45" s="16" t="n"/>
      <c r="DT45" s="20" t="inlineStr">
        <is>
          <t>IC Organic Acids</t>
        </is>
      </c>
      <c r="DU45" s="20" t="inlineStr">
        <is>
          <t>None</t>
        </is>
      </c>
      <c r="DV45" s="17" t="n"/>
      <c r="DW45" s="16" t="n"/>
      <c r="DX45" s="20" t="inlineStr">
        <is>
          <t>IC Organic Acids</t>
        </is>
      </c>
      <c r="DY45" s="20" t="inlineStr">
        <is>
          <t>None</t>
        </is>
      </c>
      <c r="DZ45" s="17" t="n"/>
      <c r="EA45" s="16" t="n"/>
      <c r="EB45" s="20" t="inlineStr">
        <is>
          <t>IC Organic Acids</t>
        </is>
      </c>
      <c r="EC45" s="20" t="inlineStr">
        <is>
          <t>None</t>
        </is>
      </c>
      <c r="ED45" s="17" t="n"/>
      <c r="EE45" s="16" t="n"/>
      <c r="EF45" s="20" t="inlineStr">
        <is>
          <t>IC Organic Acids</t>
        </is>
      </c>
      <c r="EG45" s="20" t="inlineStr">
        <is>
          <t>None</t>
        </is>
      </c>
      <c r="EH45" s="17" t="n"/>
      <c r="EI45" s="16" t="n"/>
      <c r="EJ45" s="20" t="inlineStr">
        <is>
          <t>IC Organic Acids</t>
        </is>
      </c>
      <c r="EK45" s="20" t="inlineStr">
        <is>
          <t>None</t>
        </is>
      </c>
      <c r="EL45" s="17" t="n"/>
      <c r="EM45" s="16" t="n"/>
      <c r="EN45" s="20" t="inlineStr">
        <is>
          <t>IC Organic Acids</t>
        </is>
      </c>
      <c r="EO45" s="20" t="inlineStr">
        <is>
          <t>None</t>
        </is>
      </c>
      <c r="EP45" s="17" t="n"/>
      <c r="EQ45" s="16" t="n"/>
      <c r="ER45" s="20" t="inlineStr">
        <is>
          <t>IC Organic Acids</t>
        </is>
      </c>
      <c r="ES45" s="20" t="inlineStr">
        <is>
          <t>None</t>
        </is>
      </c>
      <c r="ET45" s="17" t="n"/>
      <c r="EU45" s="16" t="n"/>
      <c r="EV45" s="20" t="inlineStr">
        <is>
          <t>LC-MS</t>
        </is>
      </c>
      <c r="EW45" s="20" t="inlineStr">
        <is>
          <t>None</t>
        </is>
      </c>
      <c r="EX45" s="17" t="n"/>
      <c r="EY45" s="21" t="n"/>
      <c r="EZ45">
        <f>CONCATENATE(A45,B45)</f>
        <v/>
      </c>
      <c r="FA45">
        <f>CONCATENATE(SamplesX!A45,SamplesX!B45)</f>
        <v/>
      </c>
      <c r="FC45">
        <f>MATCH(EZ45,FA1:FA1008,0)</f>
        <v/>
      </c>
    </row>
    <row r="46">
      <c r="A46" s="16" t="inlineStr">
        <is>
          <t>BP</t>
        </is>
      </c>
      <c r="B46" s="17" t="inlineStr">
        <is>
          <t>25038</t>
        </is>
      </c>
      <c r="C46" s="10">
        <f>IF(ISNUMBER(FC46),INDIRECT("SamplesX!C"&amp;FC46),IF(ISNUMBER(FD46),INDIRECT("SamplesY!C"&amp;FD46),""))</f>
        <v/>
      </c>
      <c r="D46" s="12">
        <f>IF(ISNUMBER(FC46),INDIRECT("SamplesX!D"&amp;FC46),IF(ISNUMBER(FD46),INDIRECT("SamplesY!D"&amp;FD46),""))</f>
        <v/>
      </c>
      <c r="E46" s="12">
        <f>IF(ISNUMBER(FC46),INDIRECT("SamplesX!E"&amp;FC46),IF(ISNUMBER(FD46),INDIRECT("SamplesY!E"&amp;FD46),""))</f>
        <v/>
      </c>
      <c r="F46" s="11">
        <f>IF(ISNUMBER(FC46),INDIRECT("SamplesX!F"&amp;FC46),IF(ISNUMBER(FD46),INDIRECT("SamplesY!F"&amp;FD46),""))</f>
        <v/>
      </c>
      <c r="G46" s="18">
        <f>IF(ISNUMBER(FC46),INDIRECT("SamplesX!G"&amp;FC46),IF(ISNUMBER(FD46),INDIRECT("SamplesY!G"&amp;FD46),""))</f>
        <v/>
      </c>
      <c r="H46" s="19">
        <f>IF(ISNUMBER(FC46),INDIRECT("SamplesX!H"&amp;FC46),IF(ISNUMBER(FD46),INDIRECT("SamplesY!H"&amp;FD46),""))</f>
        <v/>
      </c>
      <c r="I46" s="16" t="n"/>
      <c r="J46" s="16" t="n"/>
      <c r="K46" s="16" t="n"/>
      <c r="L46" s="20" t="n"/>
      <c r="M46" s="20" t="inlineStr">
        <is>
          <t>None</t>
        </is>
      </c>
      <c r="N46" s="17" t="n"/>
      <c r="O46" s="16" t="n"/>
      <c r="P46" s="20" t="inlineStr">
        <is>
          <t>Shimadzu TOC-L</t>
        </is>
      </c>
      <c r="Q46" s="20" t="inlineStr">
        <is>
          <t>None</t>
        </is>
      </c>
      <c r="R46" s="17" t="n"/>
      <c r="S46" s="16" t="n"/>
      <c r="T46" s="20" t="inlineStr">
        <is>
          <t>Shimadzu TOC-L</t>
        </is>
      </c>
      <c r="U46" s="20" t="inlineStr">
        <is>
          <t>None</t>
        </is>
      </c>
      <c r="V46" s="17" t="n"/>
      <c r="W46" s="16" t="n"/>
      <c r="X46" s="20" t="n"/>
      <c r="Y46" s="20" t="inlineStr">
        <is>
          <t>None</t>
        </is>
      </c>
      <c r="Z46" s="17" t="n"/>
      <c r="AA46" s="16" t="n"/>
      <c r="AB46" s="20" t="n"/>
      <c r="AC46" s="20" t="inlineStr">
        <is>
          <t>None</t>
        </is>
      </c>
      <c r="AD46" s="17" t="n"/>
      <c r="AE46" s="16" t="inlineStr">
        <is>
          <t>133</t>
        </is>
      </c>
      <c r="AF46" s="20" t="inlineStr">
        <is>
          <t>IC Anionen</t>
        </is>
      </c>
      <c r="AG46" s="20" t="inlineStr">
        <is>
          <t>None</t>
        </is>
      </c>
      <c r="AH46" s="17" t="n"/>
      <c r="AI46" s="16" t="n"/>
      <c r="AJ46" s="20" t="n"/>
      <c r="AK46" s="20" t="inlineStr">
        <is>
          <t>None</t>
        </is>
      </c>
      <c r="AL46" s="17" t="n"/>
      <c r="AM46" s="16" t="n"/>
      <c r="AN46" s="20" t="inlineStr">
        <is>
          <t>IC Anionen</t>
        </is>
      </c>
      <c r="AO46" s="20" t="inlineStr">
        <is>
          <t>None</t>
        </is>
      </c>
      <c r="AP46" s="17" t="n"/>
      <c r="AQ46" s="16" t="n"/>
      <c r="AR46" s="20" t="n"/>
      <c r="AS46" s="20" t="inlineStr">
        <is>
          <t>None</t>
        </is>
      </c>
      <c r="AT46" s="17" t="n"/>
      <c r="AU46" s="16" t="inlineStr">
        <is>
          <t>11.8</t>
        </is>
      </c>
      <c r="AV46" s="20" t="inlineStr">
        <is>
          <t>IC Anionen</t>
        </is>
      </c>
      <c r="AW46" s="20" t="inlineStr">
        <is>
          <t>None</t>
        </is>
      </c>
      <c r="AX46" s="17" t="n"/>
      <c r="AY46" s="16" t="inlineStr">
        <is>
          <t>&lt;0.80</t>
        </is>
      </c>
      <c r="AZ46" s="20" t="inlineStr">
        <is>
          <t>IC Anionen</t>
        </is>
      </c>
      <c r="BA46" s="20" t="inlineStr">
        <is>
          <t>None</t>
        </is>
      </c>
      <c r="BB46" s="17" t="n"/>
      <c r="BC46" s="16" t="inlineStr">
        <is>
          <t>105</t>
        </is>
      </c>
      <c r="BD46" s="20" t="inlineStr">
        <is>
          <t>IC Kationen</t>
        </is>
      </c>
      <c r="BE46" s="20" t="inlineStr">
        <is>
          <t>None</t>
        </is>
      </c>
      <c r="BF46" s="17" t="n"/>
      <c r="BG46" s="16" t="inlineStr">
        <is>
          <t>43.8</t>
        </is>
      </c>
      <c r="BH46" s="20" t="inlineStr">
        <is>
          <t>IC Kationen</t>
        </is>
      </c>
      <c r="BI46" s="20" t="inlineStr">
        <is>
          <t>None</t>
        </is>
      </c>
      <c r="BJ46" s="17" t="n"/>
      <c r="BK46" s="16" t="inlineStr">
        <is>
          <t>15.9</t>
        </is>
      </c>
      <c r="BL46" s="20" t="inlineStr">
        <is>
          <t>IC Kationen</t>
        </is>
      </c>
      <c r="BM46" s="20" t="inlineStr">
        <is>
          <t>None</t>
        </is>
      </c>
      <c r="BN46" s="17" t="n"/>
      <c r="BO46" s="16" t="inlineStr">
        <is>
          <t>182</t>
        </is>
      </c>
      <c r="BP46" s="20" t="inlineStr">
        <is>
          <t>IC Kationen</t>
        </is>
      </c>
      <c r="BQ46" s="20" t="inlineStr">
        <is>
          <t>None</t>
        </is>
      </c>
      <c r="BR46" s="17" t="n"/>
      <c r="BS46" s="16" t="inlineStr">
        <is>
          <t>24.7</t>
        </is>
      </c>
      <c r="BT46" s="20" t="inlineStr">
        <is>
          <t>IC Kationen</t>
        </is>
      </c>
      <c r="BU46" s="20" t="inlineStr">
        <is>
          <t>None</t>
        </is>
      </c>
      <c r="BV46" s="17" t="n"/>
      <c r="BW46" s="16" t="n"/>
      <c r="BX46" s="20" t="n"/>
      <c r="BY46" s="20" t="inlineStr">
        <is>
          <t>None</t>
        </is>
      </c>
      <c r="BZ46" s="17" t="n"/>
      <c r="CA46" s="16" t="n"/>
      <c r="CB46" s="20" t="n"/>
      <c r="CC46" s="20" t="inlineStr">
        <is>
          <t>None</t>
        </is>
      </c>
      <c r="CD46" s="17" t="n"/>
      <c r="CE46" s="16" t="n"/>
      <c r="CF46" s="20" t="n"/>
      <c r="CG46" s="20" t="inlineStr">
        <is>
          <t>None</t>
        </is>
      </c>
      <c r="CH46" s="17" t="n"/>
      <c r="CI46" s="16" t="n"/>
      <c r="CJ46" s="20" t="n"/>
      <c r="CK46" s="20" t="inlineStr">
        <is>
          <t>None</t>
        </is>
      </c>
      <c r="CL46" s="17" t="n"/>
      <c r="CM46" s="16" t="n"/>
      <c r="CN46" s="20" t="inlineStr">
        <is>
          <t>SOP 45-34</t>
        </is>
      </c>
      <c r="CO46" s="20" t="inlineStr">
        <is>
          <t>None</t>
        </is>
      </c>
      <c r="CP46" s="17" t="n"/>
      <c r="CQ46" s="16" t="n"/>
      <c r="CR46" s="20" t="n"/>
      <c r="CS46" s="20" t="inlineStr">
        <is>
          <t>None</t>
        </is>
      </c>
      <c r="CT46" s="17" t="n"/>
      <c r="CU46" s="16" t="n"/>
      <c r="CV46" s="20" t="n"/>
      <c r="CW46" s="20" t="inlineStr">
        <is>
          <t>None</t>
        </is>
      </c>
      <c r="CX46" s="17" t="n"/>
      <c r="CY46" s="16" t="n"/>
      <c r="CZ46" s="20" t="inlineStr">
        <is>
          <t>WTW Multimeter 3430 with FDO 925</t>
        </is>
      </c>
      <c r="DA46" s="20" t="inlineStr">
        <is>
          <t>None</t>
        </is>
      </c>
      <c r="DB46" s="17" t="n"/>
      <c r="DC46" s="16" t="n"/>
      <c r="DD46" s="20" t="n"/>
      <c r="DE46" s="20" t="inlineStr">
        <is>
          <t>None</t>
        </is>
      </c>
      <c r="DF46" s="17" t="n"/>
      <c r="DG46" s="16" t="n"/>
      <c r="DH46" s="20" t="inlineStr">
        <is>
          <t>SOP 45-09</t>
        </is>
      </c>
      <c r="DI46" s="20" t="inlineStr">
        <is>
          <t>None</t>
        </is>
      </c>
      <c r="DJ46" s="17" t="n"/>
      <c r="DK46" s="16" t="n"/>
      <c r="DL46" s="20" t="inlineStr">
        <is>
          <t>SOP 45-09 (SOP muss noch angepasst werden für VSS)</t>
        </is>
      </c>
      <c r="DM46" s="20" t="inlineStr">
        <is>
          <t>None</t>
        </is>
      </c>
      <c r="DN46" s="17" t="n"/>
      <c r="DO46" s="16" t="n"/>
      <c r="DP46" s="20" t="inlineStr">
        <is>
          <t>IC Organic Acids</t>
        </is>
      </c>
      <c r="DQ46" s="20" t="inlineStr">
        <is>
          <t>None</t>
        </is>
      </c>
      <c r="DR46" s="17" t="n"/>
      <c r="DS46" s="16" t="n"/>
      <c r="DT46" s="20" t="inlineStr">
        <is>
          <t>IC Organic Acids</t>
        </is>
      </c>
      <c r="DU46" s="20" t="inlineStr">
        <is>
          <t>None</t>
        </is>
      </c>
      <c r="DV46" s="17" t="n"/>
      <c r="DW46" s="16" t="n"/>
      <c r="DX46" s="20" t="inlineStr">
        <is>
          <t>IC Organic Acids</t>
        </is>
      </c>
      <c r="DY46" s="20" t="inlineStr">
        <is>
          <t>None</t>
        </is>
      </c>
      <c r="DZ46" s="17" t="n"/>
      <c r="EA46" s="16" t="n"/>
      <c r="EB46" s="20" t="inlineStr">
        <is>
          <t>IC Organic Acids</t>
        </is>
      </c>
      <c r="EC46" s="20" t="inlineStr">
        <is>
          <t>None</t>
        </is>
      </c>
      <c r="ED46" s="17" t="n"/>
      <c r="EE46" s="16" t="n"/>
      <c r="EF46" s="20" t="inlineStr">
        <is>
          <t>IC Organic Acids</t>
        </is>
      </c>
      <c r="EG46" s="20" t="inlineStr">
        <is>
          <t>None</t>
        </is>
      </c>
      <c r="EH46" s="17" t="n"/>
      <c r="EI46" s="16" t="n"/>
      <c r="EJ46" s="20" t="inlineStr">
        <is>
          <t>IC Organic Acids</t>
        </is>
      </c>
      <c r="EK46" s="20" t="inlineStr">
        <is>
          <t>None</t>
        </is>
      </c>
      <c r="EL46" s="17" t="n"/>
      <c r="EM46" s="16" t="n"/>
      <c r="EN46" s="20" t="inlineStr">
        <is>
          <t>IC Organic Acids</t>
        </is>
      </c>
      <c r="EO46" s="20" t="inlineStr">
        <is>
          <t>None</t>
        </is>
      </c>
      <c r="EP46" s="17" t="n"/>
      <c r="EQ46" s="16" t="n"/>
      <c r="ER46" s="20" t="inlineStr">
        <is>
          <t>IC Organic Acids</t>
        </is>
      </c>
      <c r="ES46" s="20" t="inlineStr">
        <is>
          <t>None</t>
        </is>
      </c>
      <c r="ET46" s="17" t="n"/>
      <c r="EU46" s="16" t="n"/>
      <c r="EV46" s="20" t="inlineStr">
        <is>
          <t>LC-MS</t>
        </is>
      </c>
      <c r="EW46" s="20" t="inlineStr">
        <is>
          <t>None</t>
        </is>
      </c>
      <c r="EX46" s="17" t="n"/>
      <c r="EY46" s="21" t="n"/>
      <c r="EZ46">
        <f>CONCATENATE(A46,B46)</f>
        <v/>
      </c>
      <c r="FA46">
        <f>CONCATENATE(SamplesX!A46,SamplesX!B46)</f>
        <v/>
      </c>
      <c r="FC46">
        <f>MATCH(EZ46,FA1:FA1008,0)</f>
        <v/>
      </c>
    </row>
    <row r="47">
      <c r="A47" s="16" t="inlineStr">
        <is>
          <t>BP</t>
        </is>
      </c>
      <c r="B47" s="17" t="inlineStr">
        <is>
          <t>25039</t>
        </is>
      </c>
      <c r="C47" s="10">
        <f>IF(ISNUMBER(FC47),INDIRECT("SamplesX!C"&amp;FC47),IF(ISNUMBER(FD47),INDIRECT("SamplesY!C"&amp;FD47),""))</f>
        <v/>
      </c>
      <c r="D47" s="12">
        <f>IF(ISNUMBER(FC47),INDIRECT("SamplesX!D"&amp;FC47),IF(ISNUMBER(FD47),INDIRECT("SamplesY!D"&amp;FD47),""))</f>
        <v/>
      </c>
      <c r="E47" s="12">
        <f>IF(ISNUMBER(FC47),INDIRECT("SamplesX!E"&amp;FC47),IF(ISNUMBER(FD47),INDIRECT("SamplesY!E"&amp;FD47),""))</f>
        <v/>
      </c>
      <c r="F47" s="11">
        <f>IF(ISNUMBER(FC47),INDIRECT("SamplesX!F"&amp;FC47),IF(ISNUMBER(FD47),INDIRECT("SamplesY!F"&amp;FD47),""))</f>
        <v/>
      </c>
      <c r="G47" s="18">
        <f>IF(ISNUMBER(FC47),INDIRECT("SamplesX!G"&amp;FC47),IF(ISNUMBER(FD47),INDIRECT("SamplesY!G"&amp;FD47),""))</f>
        <v/>
      </c>
      <c r="H47" s="19">
        <f>IF(ISNUMBER(FC47),INDIRECT("SamplesX!H"&amp;FC47),IF(ISNUMBER(FD47),INDIRECT("SamplesY!H"&amp;FD47),""))</f>
        <v/>
      </c>
      <c r="I47" s="16" t="n"/>
      <c r="J47" s="16" t="n"/>
      <c r="K47" s="16" t="n"/>
      <c r="L47" s="20" t="n"/>
      <c r="M47" s="20" t="inlineStr">
        <is>
          <t>None</t>
        </is>
      </c>
      <c r="N47" s="17" t="n"/>
      <c r="O47" s="16" t="n"/>
      <c r="P47" s="20" t="inlineStr">
        <is>
          <t>Shimadzu TOC-L</t>
        </is>
      </c>
      <c r="Q47" s="20" t="inlineStr">
        <is>
          <t>None</t>
        </is>
      </c>
      <c r="R47" s="17" t="n"/>
      <c r="S47" s="16" t="n"/>
      <c r="T47" s="20" t="inlineStr">
        <is>
          <t>Shimadzu TOC-L</t>
        </is>
      </c>
      <c r="U47" s="20" t="inlineStr">
        <is>
          <t>None</t>
        </is>
      </c>
      <c r="V47" s="17" t="n"/>
      <c r="W47" s="16" t="n"/>
      <c r="X47" s="20" t="n"/>
      <c r="Y47" s="20" t="inlineStr">
        <is>
          <t>None</t>
        </is>
      </c>
      <c r="Z47" s="17" t="n"/>
      <c r="AA47" s="16" t="n"/>
      <c r="AB47" s="20" t="n"/>
      <c r="AC47" s="20" t="inlineStr">
        <is>
          <t>None</t>
        </is>
      </c>
      <c r="AD47" s="17" t="n"/>
      <c r="AE47" s="16" t="inlineStr">
        <is>
          <t>136</t>
        </is>
      </c>
      <c r="AF47" s="20" t="inlineStr">
        <is>
          <t>IC Anionen</t>
        </is>
      </c>
      <c r="AG47" s="20" t="inlineStr">
        <is>
          <t>None</t>
        </is>
      </c>
      <c r="AH47" s="17" t="n"/>
      <c r="AI47" s="16" t="n"/>
      <c r="AJ47" s="20" t="n"/>
      <c r="AK47" s="20" t="inlineStr">
        <is>
          <t>None</t>
        </is>
      </c>
      <c r="AL47" s="17" t="n"/>
      <c r="AM47" s="16" t="n"/>
      <c r="AN47" s="20" t="inlineStr">
        <is>
          <t>IC Anionen</t>
        </is>
      </c>
      <c r="AO47" s="20" t="inlineStr">
        <is>
          <t>None</t>
        </is>
      </c>
      <c r="AP47" s="17" t="n"/>
      <c r="AQ47" s="16" t="n"/>
      <c r="AR47" s="20" t="n"/>
      <c r="AS47" s="20" t="inlineStr">
        <is>
          <t>None</t>
        </is>
      </c>
      <c r="AT47" s="17" t="n"/>
      <c r="AU47" s="16" t="inlineStr">
        <is>
          <t>16.7</t>
        </is>
      </c>
      <c r="AV47" s="20" t="inlineStr">
        <is>
          <t>IC Anionen</t>
        </is>
      </c>
      <c r="AW47" s="20" t="inlineStr">
        <is>
          <t>None</t>
        </is>
      </c>
      <c r="AX47" s="17" t="n"/>
      <c r="AY47" s="16" t="inlineStr">
        <is>
          <t>&lt;0.80</t>
        </is>
      </c>
      <c r="AZ47" s="20" t="inlineStr">
        <is>
          <t>IC Anionen</t>
        </is>
      </c>
      <c r="BA47" s="20" t="inlineStr">
        <is>
          <t>None</t>
        </is>
      </c>
      <c r="BB47" s="17" t="n"/>
      <c r="BC47" s="16" t="inlineStr">
        <is>
          <t>106</t>
        </is>
      </c>
      <c r="BD47" s="20" t="inlineStr">
        <is>
          <t>IC Kationen</t>
        </is>
      </c>
      <c r="BE47" s="20" t="inlineStr">
        <is>
          <t>None</t>
        </is>
      </c>
      <c r="BF47" s="17" t="n"/>
      <c r="BG47" s="16" t="inlineStr">
        <is>
          <t>46.7</t>
        </is>
      </c>
      <c r="BH47" s="20" t="inlineStr">
        <is>
          <t>IC Kationen</t>
        </is>
      </c>
      <c r="BI47" s="20" t="inlineStr">
        <is>
          <t>None</t>
        </is>
      </c>
      <c r="BJ47" s="17" t="n"/>
      <c r="BK47" s="16" t="inlineStr">
        <is>
          <t>16.1</t>
        </is>
      </c>
      <c r="BL47" s="20" t="inlineStr">
        <is>
          <t>IC Kationen</t>
        </is>
      </c>
      <c r="BM47" s="20" t="inlineStr">
        <is>
          <t>None</t>
        </is>
      </c>
      <c r="BN47" s="17" t="n"/>
      <c r="BO47" s="16" t="inlineStr">
        <is>
          <t>199</t>
        </is>
      </c>
      <c r="BP47" s="20" t="inlineStr">
        <is>
          <t>IC Kationen</t>
        </is>
      </c>
      <c r="BQ47" s="20" t="inlineStr">
        <is>
          <t>None</t>
        </is>
      </c>
      <c r="BR47" s="17" t="n"/>
      <c r="BS47" s="16" t="inlineStr">
        <is>
          <t>27.6</t>
        </is>
      </c>
      <c r="BT47" s="20" t="inlineStr">
        <is>
          <t>IC Kationen</t>
        </is>
      </c>
      <c r="BU47" s="20" t="inlineStr">
        <is>
          <t>None</t>
        </is>
      </c>
      <c r="BV47" s="17" t="n"/>
      <c r="BW47" s="16" t="n"/>
      <c r="BX47" s="20" t="n"/>
      <c r="BY47" s="20" t="inlineStr">
        <is>
          <t>None</t>
        </is>
      </c>
      <c r="BZ47" s="17" t="n"/>
      <c r="CA47" s="16" t="n"/>
      <c r="CB47" s="20" t="n"/>
      <c r="CC47" s="20" t="inlineStr">
        <is>
          <t>None</t>
        </is>
      </c>
      <c r="CD47" s="17" t="n"/>
      <c r="CE47" s="16" t="n"/>
      <c r="CF47" s="20" t="n"/>
      <c r="CG47" s="20" t="inlineStr">
        <is>
          <t>None</t>
        </is>
      </c>
      <c r="CH47" s="17" t="n"/>
      <c r="CI47" s="16" t="n"/>
      <c r="CJ47" s="20" t="n"/>
      <c r="CK47" s="20" t="inlineStr">
        <is>
          <t>None</t>
        </is>
      </c>
      <c r="CL47" s="17" t="n"/>
      <c r="CM47" s="16" t="n"/>
      <c r="CN47" s="20" t="inlineStr">
        <is>
          <t>SOP 45-34</t>
        </is>
      </c>
      <c r="CO47" s="20" t="inlineStr">
        <is>
          <t>None</t>
        </is>
      </c>
      <c r="CP47" s="17" t="n"/>
      <c r="CQ47" s="16" t="n"/>
      <c r="CR47" s="20" t="n"/>
      <c r="CS47" s="20" t="inlineStr">
        <is>
          <t>None</t>
        </is>
      </c>
      <c r="CT47" s="17" t="n"/>
      <c r="CU47" s="16" t="n"/>
      <c r="CV47" s="20" t="n"/>
      <c r="CW47" s="20" t="inlineStr">
        <is>
          <t>None</t>
        </is>
      </c>
      <c r="CX47" s="17" t="n"/>
      <c r="CY47" s="16" t="n"/>
      <c r="CZ47" s="20" t="inlineStr">
        <is>
          <t>WTW Multimeter 3430 with FDO 925</t>
        </is>
      </c>
      <c r="DA47" s="20" t="inlineStr">
        <is>
          <t>None</t>
        </is>
      </c>
      <c r="DB47" s="17" t="n"/>
      <c r="DC47" s="16" t="n"/>
      <c r="DD47" s="20" t="n"/>
      <c r="DE47" s="20" t="inlineStr">
        <is>
          <t>None</t>
        </is>
      </c>
      <c r="DF47" s="17" t="n"/>
      <c r="DG47" s="16" t="n"/>
      <c r="DH47" s="20" t="inlineStr">
        <is>
          <t>SOP 45-09</t>
        </is>
      </c>
      <c r="DI47" s="20" t="inlineStr">
        <is>
          <t>None</t>
        </is>
      </c>
      <c r="DJ47" s="17" t="n"/>
      <c r="DK47" s="16" t="n"/>
      <c r="DL47" s="20" t="inlineStr">
        <is>
          <t>SOP 45-09 (SOP muss noch angepasst werden für VSS)</t>
        </is>
      </c>
      <c r="DM47" s="20" t="inlineStr">
        <is>
          <t>None</t>
        </is>
      </c>
      <c r="DN47" s="17" t="n"/>
      <c r="DO47" s="16" t="n"/>
      <c r="DP47" s="20" t="inlineStr">
        <is>
          <t>IC Organic Acids</t>
        </is>
      </c>
      <c r="DQ47" s="20" t="inlineStr">
        <is>
          <t>None</t>
        </is>
      </c>
      <c r="DR47" s="17" t="n"/>
      <c r="DS47" s="16" t="n"/>
      <c r="DT47" s="20" t="inlineStr">
        <is>
          <t>IC Organic Acids</t>
        </is>
      </c>
      <c r="DU47" s="20" t="inlineStr">
        <is>
          <t>None</t>
        </is>
      </c>
      <c r="DV47" s="17" t="n"/>
      <c r="DW47" s="16" t="n"/>
      <c r="DX47" s="20" t="inlineStr">
        <is>
          <t>IC Organic Acids</t>
        </is>
      </c>
      <c r="DY47" s="20" t="inlineStr">
        <is>
          <t>None</t>
        </is>
      </c>
      <c r="DZ47" s="17" t="n"/>
      <c r="EA47" s="16" t="n"/>
      <c r="EB47" s="20" t="inlineStr">
        <is>
          <t>IC Organic Acids</t>
        </is>
      </c>
      <c r="EC47" s="20" t="inlineStr">
        <is>
          <t>None</t>
        </is>
      </c>
      <c r="ED47" s="17" t="n"/>
      <c r="EE47" s="16" t="n"/>
      <c r="EF47" s="20" t="inlineStr">
        <is>
          <t>IC Organic Acids</t>
        </is>
      </c>
      <c r="EG47" s="20" t="inlineStr">
        <is>
          <t>None</t>
        </is>
      </c>
      <c r="EH47" s="17" t="n"/>
      <c r="EI47" s="16" t="n"/>
      <c r="EJ47" s="20" t="inlineStr">
        <is>
          <t>IC Organic Acids</t>
        </is>
      </c>
      <c r="EK47" s="20" t="inlineStr">
        <is>
          <t>None</t>
        </is>
      </c>
      <c r="EL47" s="17" t="n"/>
      <c r="EM47" s="16" t="n"/>
      <c r="EN47" s="20" t="inlineStr">
        <is>
          <t>IC Organic Acids</t>
        </is>
      </c>
      <c r="EO47" s="20" t="inlineStr">
        <is>
          <t>None</t>
        </is>
      </c>
      <c r="EP47" s="17" t="n"/>
      <c r="EQ47" s="16" t="n"/>
      <c r="ER47" s="20" t="inlineStr">
        <is>
          <t>IC Organic Acids</t>
        </is>
      </c>
      <c r="ES47" s="20" t="inlineStr">
        <is>
          <t>None</t>
        </is>
      </c>
      <c r="ET47" s="17" t="n"/>
      <c r="EU47" s="16" t="n"/>
      <c r="EV47" s="20" t="inlineStr">
        <is>
          <t>LC-MS</t>
        </is>
      </c>
      <c r="EW47" s="20" t="inlineStr">
        <is>
          <t>None</t>
        </is>
      </c>
      <c r="EX47" s="17" t="n"/>
      <c r="EY47" s="21" t="n"/>
      <c r="EZ47">
        <f>CONCATENATE(A47,B47)</f>
        <v/>
      </c>
      <c r="FA47">
        <f>CONCATENATE(SamplesX!A47,SamplesX!B47)</f>
        <v/>
      </c>
      <c r="FC47">
        <f>MATCH(EZ47,FA1:FA1008,0)</f>
        <v/>
      </c>
    </row>
    <row r="48">
      <c r="A48" s="16" t="inlineStr">
        <is>
          <t>BP</t>
        </is>
      </c>
      <c r="B48" s="17" t="inlineStr">
        <is>
          <t>25040</t>
        </is>
      </c>
      <c r="C48" s="10">
        <f>IF(ISNUMBER(FC48),INDIRECT("SamplesX!C"&amp;FC48),IF(ISNUMBER(FD48),INDIRECT("SamplesY!C"&amp;FD48),""))</f>
        <v/>
      </c>
      <c r="D48" s="12">
        <f>IF(ISNUMBER(FC48),INDIRECT("SamplesX!D"&amp;FC48),IF(ISNUMBER(FD48),INDIRECT("SamplesY!D"&amp;FD48),""))</f>
        <v/>
      </c>
      <c r="E48" s="12">
        <f>IF(ISNUMBER(FC48),INDIRECT("SamplesX!E"&amp;FC48),IF(ISNUMBER(FD48),INDIRECT("SamplesY!E"&amp;FD48),""))</f>
        <v/>
      </c>
      <c r="F48" s="11">
        <f>IF(ISNUMBER(FC48),INDIRECT("SamplesX!F"&amp;FC48),IF(ISNUMBER(FD48),INDIRECT("SamplesY!F"&amp;FD48),""))</f>
        <v/>
      </c>
      <c r="G48" s="18">
        <f>IF(ISNUMBER(FC48),INDIRECT("SamplesX!G"&amp;FC48),IF(ISNUMBER(FD48),INDIRECT("SamplesY!G"&amp;FD48),""))</f>
        <v/>
      </c>
      <c r="H48" s="19">
        <f>IF(ISNUMBER(FC48),INDIRECT("SamplesX!H"&amp;FC48),IF(ISNUMBER(FD48),INDIRECT("SamplesY!H"&amp;FD48),""))</f>
        <v/>
      </c>
      <c r="I48" s="16" t="n"/>
      <c r="J48" s="16" t="n"/>
      <c r="K48" s="16" t="n"/>
      <c r="L48" s="20" t="n"/>
      <c r="M48" s="20" t="inlineStr">
        <is>
          <t>None</t>
        </is>
      </c>
      <c r="N48" s="17" t="n"/>
      <c r="O48" s="16" t="n"/>
      <c r="P48" s="20" t="inlineStr">
        <is>
          <t>Shimadzu TOC-L</t>
        </is>
      </c>
      <c r="Q48" s="20" t="inlineStr">
        <is>
          <t>None</t>
        </is>
      </c>
      <c r="R48" s="17" t="n"/>
      <c r="S48" s="16" t="n"/>
      <c r="T48" s="20" t="inlineStr">
        <is>
          <t>Shimadzu TOC-L</t>
        </is>
      </c>
      <c r="U48" s="20" t="inlineStr">
        <is>
          <t>None</t>
        </is>
      </c>
      <c r="V48" s="17" t="n"/>
      <c r="W48" s="16" t="n"/>
      <c r="X48" s="20" t="n"/>
      <c r="Y48" s="20" t="inlineStr">
        <is>
          <t>None</t>
        </is>
      </c>
      <c r="Z48" s="17" t="n"/>
      <c r="AA48" s="16" t="n"/>
      <c r="AB48" s="20" t="n"/>
      <c r="AC48" s="20" t="inlineStr">
        <is>
          <t>None</t>
        </is>
      </c>
      <c r="AD48" s="17" t="n"/>
      <c r="AE48" s="16" t="inlineStr">
        <is>
          <t>133</t>
        </is>
      </c>
      <c r="AF48" s="20" t="inlineStr">
        <is>
          <t>IC Anionen</t>
        </is>
      </c>
      <c r="AG48" s="20" t="inlineStr">
        <is>
          <t>None</t>
        </is>
      </c>
      <c r="AH48" s="17" t="n"/>
      <c r="AI48" s="16" t="n"/>
      <c r="AJ48" s="20" t="n"/>
      <c r="AK48" s="20" t="inlineStr">
        <is>
          <t>None</t>
        </is>
      </c>
      <c r="AL48" s="17" t="n"/>
      <c r="AM48" s="16" t="n"/>
      <c r="AN48" s="20" t="inlineStr">
        <is>
          <t>IC Anionen</t>
        </is>
      </c>
      <c r="AO48" s="20" t="inlineStr">
        <is>
          <t>None</t>
        </is>
      </c>
      <c r="AP48" s="17" t="n"/>
      <c r="AQ48" s="16" t="n"/>
      <c r="AR48" s="20" t="n"/>
      <c r="AS48" s="20" t="inlineStr">
        <is>
          <t>None</t>
        </is>
      </c>
      <c r="AT48" s="17" t="n"/>
      <c r="AU48" s="16" t="inlineStr">
        <is>
          <t>15.4</t>
        </is>
      </c>
      <c r="AV48" s="20" t="inlineStr">
        <is>
          <t>IC Anionen</t>
        </is>
      </c>
      <c r="AW48" s="20" t="inlineStr">
        <is>
          <t>None</t>
        </is>
      </c>
      <c r="AX48" s="17" t="n"/>
      <c r="AY48" s="16" t="inlineStr">
        <is>
          <t>&lt;0.80</t>
        </is>
      </c>
      <c r="AZ48" s="20" t="inlineStr">
        <is>
          <t>IC Anionen</t>
        </is>
      </c>
      <c r="BA48" s="20" t="inlineStr">
        <is>
          <t>None</t>
        </is>
      </c>
      <c r="BB48" s="17" t="n"/>
      <c r="BC48" s="16" t="inlineStr">
        <is>
          <t>109</t>
        </is>
      </c>
      <c r="BD48" s="20" t="inlineStr">
        <is>
          <t>IC Kationen</t>
        </is>
      </c>
      <c r="BE48" s="20" t="inlineStr">
        <is>
          <t>None</t>
        </is>
      </c>
      <c r="BF48" s="17" t="n"/>
      <c r="BG48" s="16" t="inlineStr">
        <is>
          <t>42.1</t>
        </is>
      </c>
      <c r="BH48" s="20" t="inlineStr">
        <is>
          <t>IC Kationen</t>
        </is>
      </c>
      <c r="BI48" s="20" t="inlineStr">
        <is>
          <t>None</t>
        </is>
      </c>
      <c r="BJ48" s="17" t="n"/>
      <c r="BK48" s="16" t="inlineStr">
        <is>
          <t>15.9</t>
        </is>
      </c>
      <c r="BL48" s="20" t="inlineStr">
        <is>
          <t>IC Kationen</t>
        </is>
      </c>
      <c r="BM48" s="20" t="inlineStr">
        <is>
          <t>None</t>
        </is>
      </c>
      <c r="BN48" s="17" t="n"/>
      <c r="BO48" s="16" t="inlineStr">
        <is>
          <t>168</t>
        </is>
      </c>
      <c r="BP48" s="20" t="inlineStr">
        <is>
          <t>IC Kationen</t>
        </is>
      </c>
      <c r="BQ48" s="20" t="inlineStr">
        <is>
          <t>None</t>
        </is>
      </c>
      <c r="BR48" s="17" t="n"/>
      <c r="BS48" s="16" t="inlineStr">
        <is>
          <t>24.3</t>
        </is>
      </c>
      <c r="BT48" s="20" t="inlineStr">
        <is>
          <t>IC Kationen</t>
        </is>
      </c>
      <c r="BU48" s="20" t="inlineStr">
        <is>
          <t>None</t>
        </is>
      </c>
      <c r="BV48" s="17" t="n"/>
      <c r="BW48" s="16" t="n"/>
      <c r="BX48" s="20" t="n"/>
      <c r="BY48" s="20" t="inlineStr">
        <is>
          <t>None</t>
        </is>
      </c>
      <c r="BZ48" s="17" t="n"/>
      <c r="CA48" s="16" t="n"/>
      <c r="CB48" s="20" t="n"/>
      <c r="CC48" s="20" t="inlineStr">
        <is>
          <t>None</t>
        </is>
      </c>
      <c r="CD48" s="17" t="n"/>
      <c r="CE48" s="16" t="n"/>
      <c r="CF48" s="20" t="n"/>
      <c r="CG48" s="20" t="inlineStr">
        <is>
          <t>None</t>
        </is>
      </c>
      <c r="CH48" s="17" t="n"/>
      <c r="CI48" s="16" t="n"/>
      <c r="CJ48" s="20" t="n"/>
      <c r="CK48" s="20" t="inlineStr">
        <is>
          <t>None</t>
        </is>
      </c>
      <c r="CL48" s="17" t="n"/>
      <c r="CM48" s="16" t="n"/>
      <c r="CN48" s="20" t="inlineStr">
        <is>
          <t>SOP 45-34</t>
        </is>
      </c>
      <c r="CO48" s="20" t="inlineStr">
        <is>
          <t>None</t>
        </is>
      </c>
      <c r="CP48" s="17" t="n"/>
      <c r="CQ48" s="16" t="n"/>
      <c r="CR48" s="20" t="n"/>
      <c r="CS48" s="20" t="inlineStr">
        <is>
          <t>None</t>
        </is>
      </c>
      <c r="CT48" s="17" t="n"/>
      <c r="CU48" s="16" t="n"/>
      <c r="CV48" s="20" t="n"/>
      <c r="CW48" s="20" t="inlineStr">
        <is>
          <t>None</t>
        </is>
      </c>
      <c r="CX48" s="17" t="n"/>
      <c r="CY48" s="16" t="n"/>
      <c r="CZ48" s="20" t="inlineStr">
        <is>
          <t>WTW Multimeter 3430 with FDO 925</t>
        </is>
      </c>
      <c r="DA48" s="20" t="inlineStr">
        <is>
          <t>None</t>
        </is>
      </c>
      <c r="DB48" s="17" t="n"/>
      <c r="DC48" s="16" t="n"/>
      <c r="DD48" s="20" t="n"/>
      <c r="DE48" s="20" t="inlineStr">
        <is>
          <t>None</t>
        </is>
      </c>
      <c r="DF48" s="17" t="n"/>
      <c r="DG48" s="16" t="n"/>
      <c r="DH48" s="20" t="inlineStr">
        <is>
          <t>SOP 45-09</t>
        </is>
      </c>
      <c r="DI48" s="20" t="inlineStr">
        <is>
          <t>None</t>
        </is>
      </c>
      <c r="DJ48" s="17" t="n"/>
      <c r="DK48" s="16" t="n"/>
      <c r="DL48" s="20" t="inlineStr">
        <is>
          <t>SOP 45-09 (SOP muss noch angepasst werden für VSS)</t>
        </is>
      </c>
      <c r="DM48" s="20" t="inlineStr">
        <is>
          <t>None</t>
        </is>
      </c>
      <c r="DN48" s="17" t="n"/>
      <c r="DO48" s="16" t="n"/>
      <c r="DP48" s="20" t="inlineStr">
        <is>
          <t>IC Organic Acids</t>
        </is>
      </c>
      <c r="DQ48" s="20" t="inlineStr">
        <is>
          <t>None</t>
        </is>
      </c>
      <c r="DR48" s="17" t="n"/>
      <c r="DS48" s="16" t="n"/>
      <c r="DT48" s="20" t="inlineStr">
        <is>
          <t>IC Organic Acids</t>
        </is>
      </c>
      <c r="DU48" s="20" t="inlineStr">
        <is>
          <t>None</t>
        </is>
      </c>
      <c r="DV48" s="17" t="n"/>
      <c r="DW48" s="16" t="n"/>
      <c r="DX48" s="20" t="inlineStr">
        <is>
          <t>IC Organic Acids</t>
        </is>
      </c>
      <c r="DY48" s="20" t="inlineStr">
        <is>
          <t>None</t>
        </is>
      </c>
      <c r="DZ48" s="17" t="n"/>
      <c r="EA48" s="16" t="n"/>
      <c r="EB48" s="20" t="inlineStr">
        <is>
          <t>IC Organic Acids</t>
        </is>
      </c>
      <c r="EC48" s="20" t="inlineStr">
        <is>
          <t>None</t>
        </is>
      </c>
      <c r="ED48" s="17" t="n"/>
      <c r="EE48" s="16" t="n"/>
      <c r="EF48" s="20" t="inlineStr">
        <is>
          <t>IC Organic Acids</t>
        </is>
      </c>
      <c r="EG48" s="20" t="inlineStr">
        <is>
          <t>None</t>
        </is>
      </c>
      <c r="EH48" s="17" t="n"/>
      <c r="EI48" s="16" t="n"/>
      <c r="EJ48" s="20" t="inlineStr">
        <is>
          <t>IC Organic Acids</t>
        </is>
      </c>
      <c r="EK48" s="20" t="inlineStr">
        <is>
          <t>None</t>
        </is>
      </c>
      <c r="EL48" s="17" t="n"/>
      <c r="EM48" s="16" t="n"/>
      <c r="EN48" s="20" t="inlineStr">
        <is>
          <t>IC Organic Acids</t>
        </is>
      </c>
      <c r="EO48" s="20" t="inlineStr">
        <is>
          <t>None</t>
        </is>
      </c>
      <c r="EP48" s="17" t="n"/>
      <c r="EQ48" s="16" t="n"/>
      <c r="ER48" s="20" t="inlineStr">
        <is>
          <t>IC Organic Acids</t>
        </is>
      </c>
      <c r="ES48" s="20" t="inlineStr">
        <is>
          <t>None</t>
        </is>
      </c>
      <c r="ET48" s="17" t="n"/>
      <c r="EU48" s="16" t="n"/>
      <c r="EV48" s="20" t="inlineStr">
        <is>
          <t>LC-MS</t>
        </is>
      </c>
      <c r="EW48" s="20" t="inlineStr">
        <is>
          <t>None</t>
        </is>
      </c>
      <c r="EX48" s="17" t="n"/>
      <c r="EY48" s="21" t="n"/>
      <c r="EZ48">
        <f>CONCATENATE(A48,B48)</f>
        <v/>
      </c>
      <c r="FA48">
        <f>CONCATENATE(SamplesX!A48,SamplesX!B48)</f>
        <v/>
      </c>
      <c r="FC48">
        <f>MATCH(EZ48,FA1:FA1008,0)</f>
        <v/>
      </c>
    </row>
    <row r="49">
      <c r="A49" s="16" t="inlineStr">
        <is>
          <t>BP</t>
        </is>
      </c>
      <c r="B49" s="17" t="inlineStr">
        <is>
          <t>25041</t>
        </is>
      </c>
      <c r="C49" s="10">
        <f>IF(ISNUMBER(FC49),INDIRECT("SamplesX!C"&amp;FC49),IF(ISNUMBER(FD49),INDIRECT("SamplesY!C"&amp;FD49),""))</f>
        <v/>
      </c>
      <c r="D49" s="12">
        <f>IF(ISNUMBER(FC49),INDIRECT("SamplesX!D"&amp;FC49),IF(ISNUMBER(FD49),INDIRECT("SamplesY!D"&amp;FD49),""))</f>
        <v/>
      </c>
      <c r="E49" s="12">
        <f>IF(ISNUMBER(FC49),INDIRECT("SamplesX!E"&amp;FC49),IF(ISNUMBER(FD49),INDIRECT("SamplesY!E"&amp;FD49),""))</f>
        <v/>
      </c>
      <c r="F49" s="11">
        <f>IF(ISNUMBER(FC49),INDIRECT("SamplesX!F"&amp;FC49),IF(ISNUMBER(FD49),INDIRECT("SamplesY!F"&amp;FD49),""))</f>
        <v/>
      </c>
      <c r="G49" s="18">
        <f>IF(ISNUMBER(FC49),INDIRECT("SamplesX!G"&amp;FC49),IF(ISNUMBER(FD49),INDIRECT("SamplesY!G"&amp;FD49),""))</f>
        <v/>
      </c>
      <c r="H49" s="19">
        <f>IF(ISNUMBER(FC49),INDIRECT("SamplesX!H"&amp;FC49),IF(ISNUMBER(FD49),INDIRECT("SamplesY!H"&amp;FD49),""))</f>
        <v/>
      </c>
      <c r="I49" s="16" t="n"/>
      <c r="J49" s="16" t="n"/>
      <c r="K49" s="16" t="n"/>
      <c r="L49" s="20" t="n"/>
      <c r="M49" s="20" t="inlineStr">
        <is>
          <t>None</t>
        </is>
      </c>
      <c r="N49" s="17" t="n"/>
      <c r="O49" s="16" t="n"/>
      <c r="P49" s="20" t="inlineStr">
        <is>
          <t>Shimadzu TOC-L</t>
        </is>
      </c>
      <c r="Q49" s="20" t="inlineStr">
        <is>
          <t>None</t>
        </is>
      </c>
      <c r="R49" s="17" t="n"/>
      <c r="S49" s="16" t="n"/>
      <c r="T49" s="20" t="inlineStr">
        <is>
          <t>Shimadzu TOC-L</t>
        </is>
      </c>
      <c r="U49" s="20" t="inlineStr">
        <is>
          <t>None</t>
        </is>
      </c>
      <c r="V49" s="17" t="n"/>
      <c r="W49" s="16" t="n"/>
      <c r="X49" s="20" t="n"/>
      <c r="Y49" s="20" t="inlineStr">
        <is>
          <t>None</t>
        </is>
      </c>
      <c r="Z49" s="17" t="n"/>
      <c r="AA49" s="16" t="n"/>
      <c r="AB49" s="20" t="n"/>
      <c r="AC49" s="20" t="inlineStr">
        <is>
          <t>None</t>
        </is>
      </c>
      <c r="AD49" s="17" t="n"/>
      <c r="AE49" s="16" t="inlineStr">
        <is>
          <t>133</t>
        </is>
      </c>
      <c r="AF49" s="20" t="inlineStr">
        <is>
          <t>IC Anionen</t>
        </is>
      </c>
      <c r="AG49" s="20" t="inlineStr">
        <is>
          <t>None</t>
        </is>
      </c>
      <c r="AH49" s="17" t="n"/>
      <c r="AI49" s="16" t="n"/>
      <c r="AJ49" s="20" t="n"/>
      <c r="AK49" s="20" t="inlineStr">
        <is>
          <t>None</t>
        </is>
      </c>
      <c r="AL49" s="17" t="n"/>
      <c r="AM49" s="16" t="n"/>
      <c r="AN49" s="20" t="inlineStr">
        <is>
          <t>IC Anionen</t>
        </is>
      </c>
      <c r="AO49" s="20" t="inlineStr">
        <is>
          <t>None</t>
        </is>
      </c>
      <c r="AP49" s="17" t="n"/>
      <c r="AQ49" s="16" t="n"/>
      <c r="AR49" s="20" t="n"/>
      <c r="AS49" s="20" t="inlineStr">
        <is>
          <t>None</t>
        </is>
      </c>
      <c r="AT49" s="17" t="n"/>
      <c r="AU49" s="16" t="inlineStr">
        <is>
          <t>18.0</t>
        </is>
      </c>
      <c r="AV49" s="20" t="inlineStr">
        <is>
          <t>IC Anionen</t>
        </is>
      </c>
      <c r="AW49" s="20" t="inlineStr">
        <is>
          <t>None</t>
        </is>
      </c>
      <c r="AX49" s="17" t="n"/>
      <c r="AY49" s="16" t="inlineStr">
        <is>
          <t>&lt;0.80</t>
        </is>
      </c>
      <c r="AZ49" s="20" t="inlineStr">
        <is>
          <t>IC Anionen</t>
        </is>
      </c>
      <c r="BA49" s="20" t="inlineStr">
        <is>
          <t>None</t>
        </is>
      </c>
      <c r="BB49" s="17" t="n"/>
      <c r="BC49" s="16" t="inlineStr">
        <is>
          <t>109</t>
        </is>
      </c>
      <c r="BD49" s="20" t="inlineStr">
        <is>
          <t>IC Kationen</t>
        </is>
      </c>
      <c r="BE49" s="20" t="inlineStr">
        <is>
          <t>None</t>
        </is>
      </c>
      <c r="BF49" s="17" t="n"/>
      <c r="BG49" s="16" t="inlineStr">
        <is>
          <t>48.9</t>
        </is>
      </c>
      <c r="BH49" s="20" t="inlineStr">
        <is>
          <t>IC Kationen</t>
        </is>
      </c>
      <c r="BI49" s="20" t="inlineStr">
        <is>
          <t>None</t>
        </is>
      </c>
      <c r="BJ49" s="17" t="n"/>
      <c r="BK49" s="16" t="inlineStr">
        <is>
          <t>16.7</t>
        </is>
      </c>
      <c r="BL49" s="20" t="inlineStr">
        <is>
          <t>IC Kationen</t>
        </is>
      </c>
      <c r="BM49" s="20" t="inlineStr">
        <is>
          <t>None</t>
        </is>
      </c>
      <c r="BN49" s="17" t="n"/>
      <c r="BO49" s="16" t="inlineStr">
        <is>
          <t>166</t>
        </is>
      </c>
      <c r="BP49" s="20" t="inlineStr">
        <is>
          <t>IC Kationen</t>
        </is>
      </c>
      <c r="BQ49" s="20" t="inlineStr">
        <is>
          <t>None</t>
        </is>
      </c>
      <c r="BR49" s="17" t="n"/>
      <c r="BS49" s="16" t="inlineStr">
        <is>
          <t>24.4</t>
        </is>
      </c>
      <c r="BT49" s="20" t="inlineStr">
        <is>
          <t>IC Kationen</t>
        </is>
      </c>
      <c r="BU49" s="20" t="inlineStr">
        <is>
          <t>None</t>
        </is>
      </c>
      <c r="BV49" s="17" t="n"/>
      <c r="BW49" s="16" t="n"/>
      <c r="BX49" s="20" t="n"/>
      <c r="BY49" s="20" t="inlineStr">
        <is>
          <t>None</t>
        </is>
      </c>
      <c r="BZ49" s="17" t="n"/>
      <c r="CA49" s="16" t="n"/>
      <c r="CB49" s="20" t="n"/>
      <c r="CC49" s="20" t="inlineStr">
        <is>
          <t>None</t>
        </is>
      </c>
      <c r="CD49" s="17" t="n"/>
      <c r="CE49" s="16" t="n"/>
      <c r="CF49" s="20" t="n"/>
      <c r="CG49" s="20" t="inlineStr">
        <is>
          <t>None</t>
        </is>
      </c>
      <c r="CH49" s="17" t="n"/>
      <c r="CI49" s="16" t="n"/>
      <c r="CJ49" s="20" t="n"/>
      <c r="CK49" s="20" t="inlineStr">
        <is>
          <t>None</t>
        </is>
      </c>
      <c r="CL49" s="17" t="n"/>
      <c r="CM49" s="16" t="n"/>
      <c r="CN49" s="20" t="inlineStr">
        <is>
          <t>SOP 45-34</t>
        </is>
      </c>
      <c r="CO49" s="20" t="inlineStr">
        <is>
          <t>None</t>
        </is>
      </c>
      <c r="CP49" s="17" t="n"/>
      <c r="CQ49" s="16" t="n"/>
      <c r="CR49" s="20" t="n"/>
      <c r="CS49" s="20" t="inlineStr">
        <is>
          <t>None</t>
        </is>
      </c>
      <c r="CT49" s="17" t="n"/>
      <c r="CU49" s="16" t="n"/>
      <c r="CV49" s="20" t="n"/>
      <c r="CW49" s="20" t="inlineStr">
        <is>
          <t>None</t>
        </is>
      </c>
      <c r="CX49" s="17" t="n"/>
      <c r="CY49" s="16" t="n"/>
      <c r="CZ49" s="20" t="inlineStr">
        <is>
          <t>WTW Multimeter 3430 with FDO 925</t>
        </is>
      </c>
      <c r="DA49" s="20" t="inlineStr">
        <is>
          <t>None</t>
        </is>
      </c>
      <c r="DB49" s="17" t="n"/>
      <c r="DC49" s="16" t="n"/>
      <c r="DD49" s="20" t="n"/>
      <c r="DE49" s="20" t="inlineStr">
        <is>
          <t>None</t>
        </is>
      </c>
      <c r="DF49" s="17" t="n"/>
      <c r="DG49" s="16" t="n"/>
      <c r="DH49" s="20" t="inlineStr">
        <is>
          <t>SOP 45-09</t>
        </is>
      </c>
      <c r="DI49" s="20" t="inlineStr">
        <is>
          <t>None</t>
        </is>
      </c>
      <c r="DJ49" s="17" t="n"/>
      <c r="DK49" s="16" t="n"/>
      <c r="DL49" s="20" t="inlineStr">
        <is>
          <t>SOP 45-09 (SOP muss noch angepasst werden für VSS)</t>
        </is>
      </c>
      <c r="DM49" s="20" t="inlineStr">
        <is>
          <t>None</t>
        </is>
      </c>
      <c r="DN49" s="17" t="n"/>
      <c r="DO49" s="16" t="n"/>
      <c r="DP49" s="20" t="inlineStr">
        <is>
          <t>IC Organic Acids</t>
        </is>
      </c>
      <c r="DQ49" s="20" t="inlineStr">
        <is>
          <t>None</t>
        </is>
      </c>
      <c r="DR49" s="17" t="n"/>
      <c r="DS49" s="16" t="n"/>
      <c r="DT49" s="20" t="inlineStr">
        <is>
          <t>IC Organic Acids</t>
        </is>
      </c>
      <c r="DU49" s="20" t="inlineStr">
        <is>
          <t>None</t>
        </is>
      </c>
      <c r="DV49" s="17" t="n"/>
      <c r="DW49" s="16" t="n"/>
      <c r="DX49" s="20" t="inlineStr">
        <is>
          <t>IC Organic Acids</t>
        </is>
      </c>
      <c r="DY49" s="20" t="inlineStr">
        <is>
          <t>None</t>
        </is>
      </c>
      <c r="DZ49" s="17" t="n"/>
      <c r="EA49" s="16" t="n"/>
      <c r="EB49" s="20" t="inlineStr">
        <is>
          <t>IC Organic Acids</t>
        </is>
      </c>
      <c r="EC49" s="20" t="inlineStr">
        <is>
          <t>None</t>
        </is>
      </c>
      <c r="ED49" s="17" t="n"/>
      <c r="EE49" s="16" t="n"/>
      <c r="EF49" s="20" t="inlineStr">
        <is>
          <t>IC Organic Acids</t>
        </is>
      </c>
      <c r="EG49" s="20" t="inlineStr">
        <is>
          <t>None</t>
        </is>
      </c>
      <c r="EH49" s="17" t="n"/>
      <c r="EI49" s="16" t="n"/>
      <c r="EJ49" s="20" t="inlineStr">
        <is>
          <t>IC Organic Acids</t>
        </is>
      </c>
      <c r="EK49" s="20" t="inlineStr">
        <is>
          <t>None</t>
        </is>
      </c>
      <c r="EL49" s="17" t="n"/>
      <c r="EM49" s="16" t="n"/>
      <c r="EN49" s="20" t="inlineStr">
        <is>
          <t>IC Organic Acids</t>
        </is>
      </c>
      <c r="EO49" s="20" t="inlineStr">
        <is>
          <t>None</t>
        </is>
      </c>
      <c r="EP49" s="17" t="n"/>
      <c r="EQ49" s="16" t="n"/>
      <c r="ER49" s="20" t="inlineStr">
        <is>
          <t>IC Organic Acids</t>
        </is>
      </c>
      <c r="ES49" s="20" t="inlineStr">
        <is>
          <t>None</t>
        </is>
      </c>
      <c r="ET49" s="17" t="n"/>
      <c r="EU49" s="16" t="n"/>
      <c r="EV49" s="20" t="inlineStr">
        <is>
          <t>LC-MS</t>
        </is>
      </c>
      <c r="EW49" s="20" t="inlineStr">
        <is>
          <t>None</t>
        </is>
      </c>
      <c r="EX49" s="17" t="n"/>
      <c r="EY49" s="21" t="n"/>
      <c r="EZ49">
        <f>CONCATENATE(A49,B49)</f>
        <v/>
      </c>
      <c r="FA49">
        <f>CONCATENATE(SamplesX!A49,SamplesX!B49)</f>
        <v/>
      </c>
      <c r="FC49">
        <f>MATCH(EZ49,FA1:FA1008,0)</f>
        <v/>
      </c>
    </row>
    <row r="50">
      <c r="A50" s="16" t="inlineStr">
        <is>
          <t>BP</t>
        </is>
      </c>
      <c r="B50" s="17" t="inlineStr">
        <is>
          <t>25042</t>
        </is>
      </c>
      <c r="C50" s="10">
        <f>IF(ISNUMBER(FC50),INDIRECT("SamplesX!C"&amp;FC50),IF(ISNUMBER(FD50),INDIRECT("SamplesY!C"&amp;FD50),""))</f>
        <v/>
      </c>
      <c r="D50" s="12">
        <f>IF(ISNUMBER(FC50),INDIRECT("SamplesX!D"&amp;FC50),IF(ISNUMBER(FD50),INDIRECT("SamplesY!D"&amp;FD50),""))</f>
        <v/>
      </c>
      <c r="E50" s="12">
        <f>IF(ISNUMBER(FC50),INDIRECT("SamplesX!E"&amp;FC50),IF(ISNUMBER(FD50),INDIRECT("SamplesY!E"&amp;FD50),""))</f>
        <v/>
      </c>
      <c r="F50" s="11">
        <f>IF(ISNUMBER(FC50),INDIRECT("SamplesX!F"&amp;FC50),IF(ISNUMBER(FD50),INDIRECT("SamplesY!F"&amp;FD50),""))</f>
        <v/>
      </c>
      <c r="G50" s="18">
        <f>IF(ISNUMBER(FC50),INDIRECT("SamplesX!G"&amp;FC50),IF(ISNUMBER(FD50),INDIRECT("SamplesY!G"&amp;FD50),""))</f>
        <v/>
      </c>
      <c r="H50" s="19">
        <f>IF(ISNUMBER(FC50),INDIRECT("SamplesX!H"&amp;FC50),IF(ISNUMBER(FD50),INDIRECT("SamplesY!H"&amp;FD50),""))</f>
        <v/>
      </c>
      <c r="I50" s="16" t="n"/>
      <c r="J50" s="16" t="n"/>
      <c r="K50" s="16" t="n"/>
      <c r="L50" s="20" t="n"/>
      <c r="M50" s="20" t="inlineStr">
        <is>
          <t>None</t>
        </is>
      </c>
      <c r="N50" s="17" t="n"/>
      <c r="O50" s="16" t="n"/>
      <c r="P50" s="20" t="inlineStr">
        <is>
          <t>Shimadzu TOC-L</t>
        </is>
      </c>
      <c r="Q50" s="20" t="inlineStr">
        <is>
          <t>None</t>
        </is>
      </c>
      <c r="R50" s="17" t="n"/>
      <c r="S50" s="16" t="n"/>
      <c r="T50" s="20" t="inlineStr">
        <is>
          <t>Shimadzu TOC-L</t>
        </is>
      </c>
      <c r="U50" s="20" t="inlineStr">
        <is>
          <t>None</t>
        </is>
      </c>
      <c r="V50" s="17" t="n"/>
      <c r="W50" s="16" t="n"/>
      <c r="X50" s="20" t="n"/>
      <c r="Y50" s="20" t="inlineStr">
        <is>
          <t>None</t>
        </is>
      </c>
      <c r="Z50" s="17" t="n"/>
      <c r="AA50" s="16" t="n"/>
      <c r="AB50" s="20" t="n"/>
      <c r="AC50" s="20" t="inlineStr">
        <is>
          <t>None</t>
        </is>
      </c>
      <c r="AD50" s="17" t="n"/>
      <c r="AE50" s="16" t="inlineStr">
        <is>
          <t>134</t>
        </is>
      </c>
      <c r="AF50" s="20" t="inlineStr">
        <is>
          <t>IC Anionen</t>
        </is>
      </c>
      <c r="AG50" s="20" t="inlineStr">
        <is>
          <t>None</t>
        </is>
      </c>
      <c r="AH50" s="17" t="n"/>
      <c r="AI50" s="16" t="n"/>
      <c r="AJ50" s="20" t="n"/>
      <c r="AK50" s="20" t="inlineStr">
        <is>
          <t>None</t>
        </is>
      </c>
      <c r="AL50" s="17" t="n"/>
      <c r="AM50" s="16" t="n"/>
      <c r="AN50" s="20" t="inlineStr">
        <is>
          <t>IC Anionen</t>
        </is>
      </c>
      <c r="AO50" s="20" t="inlineStr">
        <is>
          <t>None</t>
        </is>
      </c>
      <c r="AP50" s="17" t="n"/>
      <c r="AQ50" s="16" t="n"/>
      <c r="AR50" s="20" t="n"/>
      <c r="AS50" s="20" t="inlineStr">
        <is>
          <t>None</t>
        </is>
      </c>
      <c r="AT50" s="17" t="n"/>
      <c r="AU50" s="16" t="inlineStr">
        <is>
          <t>16.4</t>
        </is>
      </c>
      <c r="AV50" s="20" t="inlineStr">
        <is>
          <t>IC Anionen</t>
        </is>
      </c>
      <c r="AW50" s="20" t="inlineStr">
        <is>
          <t>None</t>
        </is>
      </c>
      <c r="AX50" s="17" t="n"/>
      <c r="AY50" s="16" t="inlineStr">
        <is>
          <t>&lt;0.80</t>
        </is>
      </c>
      <c r="AZ50" s="20" t="inlineStr">
        <is>
          <t>IC Anionen</t>
        </is>
      </c>
      <c r="BA50" s="20" t="inlineStr">
        <is>
          <t>None</t>
        </is>
      </c>
      <c r="BB50" s="17" t="n"/>
      <c r="BC50" s="16" t="inlineStr">
        <is>
          <t>108</t>
        </is>
      </c>
      <c r="BD50" s="20" t="inlineStr">
        <is>
          <t>IC Kationen</t>
        </is>
      </c>
      <c r="BE50" s="20" t="inlineStr">
        <is>
          <t>None</t>
        </is>
      </c>
      <c r="BF50" s="17" t="n"/>
      <c r="BG50" s="16" t="inlineStr">
        <is>
          <t>38.9</t>
        </is>
      </c>
      <c r="BH50" s="20" t="inlineStr">
        <is>
          <t>IC Kationen</t>
        </is>
      </c>
      <c r="BI50" s="20" t="inlineStr">
        <is>
          <t>None</t>
        </is>
      </c>
      <c r="BJ50" s="17" t="n"/>
      <c r="BK50" s="16" t="inlineStr">
        <is>
          <t>15.7</t>
        </is>
      </c>
      <c r="BL50" s="20" t="inlineStr">
        <is>
          <t>IC Kationen</t>
        </is>
      </c>
      <c r="BM50" s="20" t="inlineStr">
        <is>
          <t>None</t>
        </is>
      </c>
      <c r="BN50" s="17" t="n"/>
      <c r="BO50" s="16" t="inlineStr">
        <is>
          <t>162</t>
        </is>
      </c>
      <c r="BP50" s="20" t="inlineStr">
        <is>
          <t>IC Kationen</t>
        </is>
      </c>
      <c r="BQ50" s="20" t="inlineStr">
        <is>
          <t>None</t>
        </is>
      </c>
      <c r="BR50" s="17" t="n"/>
      <c r="BS50" s="16" t="inlineStr">
        <is>
          <t>23.6</t>
        </is>
      </c>
      <c r="BT50" s="20" t="inlineStr">
        <is>
          <t>IC Kationen</t>
        </is>
      </c>
      <c r="BU50" s="20" t="inlineStr">
        <is>
          <t>None</t>
        </is>
      </c>
      <c r="BV50" s="17" t="n"/>
      <c r="BW50" s="16" t="n"/>
      <c r="BX50" s="20" t="n"/>
      <c r="BY50" s="20" t="inlineStr">
        <is>
          <t>None</t>
        </is>
      </c>
      <c r="BZ50" s="17" t="n"/>
      <c r="CA50" s="16" t="n"/>
      <c r="CB50" s="20" t="n"/>
      <c r="CC50" s="20" t="inlineStr">
        <is>
          <t>None</t>
        </is>
      </c>
      <c r="CD50" s="17" t="n"/>
      <c r="CE50" s="16" t="n"/>
      <c r="CF50" s="20" t="n"/>
      <c r="CG50" s="20" t="inlineStr">
        <is>
          <t>None</t>
        </is>
      </c>
      <c r="CH50" s="17" t="n"/>
      <c r="CI50" s="16" t="n"/>
      <c r="CJ50" s="20" t="n"/>
      <c r="CK50" s="20" t="inlineStr">
        <is>
          <t>None</t>
        </is>
      </c>
      <c r="CL50" s="17" t="n"/>
      <c r="CM50" s="16" t="n"/>
      <c r="CN50" s="20" t="inlineStr">
        <is>
          <t>SOP 45-34</t>
        </is>
      </c>
      <c r="CO50" s="20" t="inlineStr">
        <is>
          <t>None</t>
        </is>
      </c>
      <c r="CP50" s="17" t="n"/>
      <c r="CQ50" s="16" t="n"/>
      <c r="CR50" s="20" t="n"/>
      <c r="CS50" s="20" t="inlineStr">
        <is>
          <t>None</t>
        </is>
      </c>
      <c r="CT50" s="17" t="n"/>
      <c r="CU50" s="16" t="n"/>
      <c r="CV50" s="20" t="n"/>
      <c r="CW50" s="20" t="inlineStr">
        <is>
          <t>None</t>
        </is>
      </c>
      <c r="CX50" s="17" t="n"/>
      <c r="CY50" s="16" t="n"/>
      <c r="CZ50" s="20" t="inlineStr">
        <is>
          <t>WTW Multimeter 3430 with FDO 925</t>
        </is>
      </c>
      <c r="DA50" s="20" t="inlineStr">
        <is>
          <t>None</t>
        </is>
      </c>
      <c r="DB50" s="17" t="n"/>
      <c r="DC50" s="16" t="n"/>
      <c r="DD50" s="20" t="n"/>
      <c r="DE50" s="20" t="inlineStr">
        <is>
          <t>None</t>
        </is>
      </c>
      <c r="DF50" s="17" t="n"/>
      <c r="DG50" s="16" t="n"/>
      <c r="DH50" s="20" t="inlineStr">
        <is>
          <t>SOP 45-09</t>
        </is>
      </c>
      <c r="DI50" s="20" t="inlineStr">
        <is>
          <t>None</t>
        </is>
      </c>
      <c r="DJ50" s="17" t="n"/>
      <c r="DK50" s="16" t="n"/>
      <c r="DL50" s="20" t="inlineStr">
        <is>
          <t>SOP 45-09 (SOP muss noch angepasst werden für VSS)</t>
        </is>
      </c>
      <c r="DM50" s="20" t="inlineStr">
        <is>
          <t>None</t>
        </is>
      </c>
      <c r="DN50" s="17" t="n"/>
      <c r="DO50" s="16" t="n"/>
      <c r="DP50" s="20" t="inlineStr">
        <is>
          <t>IC Organic Acids</t>
        </is>
      </c>
      <c r="DQ50" s="20" t="inlineStr">
        <is>
          <t>None</t>
        </is>
      </c>
      <c r="DR50" s="17" t="n"/>
      <c r="DS50" s="16" t="n"/>
      <c r="DT50" s="20" t="inlineStr">
        <is>
          <t>IC Organic Acids</t>
        </is>
      </c>
      <c r="DU50" s="20" t="inlineStr">
        <is>
          <t>None</t>
        </is>
      </c>
      <c r="DV50" s="17" t="n"/>
      <c r="DW50" s="16" t="n"/>
      <c r="DX50" s="20" t="inlineStr">
        <is>
          <t>IC Organic Acids</t>
        </is>
      </c>
      <c r="DY50" s="20" t="inlineStr">
        <is>
          <t>None</t>
        </is>
      </c>
      <c r="DZ50" s="17" t="n"/>
      <c r="EA50" s="16" t="n"/>
      <c r="EB50" s="20" t="inlineStr">
        <is>
          <t>IC Organic Acids</t>
        </is>
      </c>
      <c r="EC50" s="20" t="inlineStr">
        <is>
          <t>None</t>
        </is>
      </c>
      <c r="ED50" s="17" t="n"/>
      <c r="EE50" s="16" t="n"/>
      <c r="EF50" s="20" t="inlineStr">
        <is>
          <t>IC Organic Acids</t>
        </is>
      </c>
      <c r="EG50" s="20" t="inlineStr">
        <is>
          <t>None</t>
        </is>
      </c>
      <c r="EH50" s="17" t="n"/>
      <c r="EI50" s="16" t="n"/>
      <c r="EJ50" s="20" t="inlineStr">
        <is>
          <t>IC Organic Acids</t>
        </is>
      </c>
      <c r="EK50" s="20" t="inlineStr">
        <is>
          <t>None</t>
        </is>
      </c>
      <c r="EL50" s="17" t="n"/>
      <c r="EM50" s="16" t="n"/>
      <c r="EN50" s="20" t="inlineStr">
        <is>
          <t>IC Organic Acids</t>
        </is>
      </c>
      <c r="EO50" s="20" t="inlineStr">
        <is>
          <t>None</t>
        </is>
      </c>
      <c r="EP50" s="17" t="n"/>
      <c r="EQ50" s="16" t="n"/>
      <c r="ER50" s="20" t="inlineStr">
        <is>
          <t>IC Organic Acids</t>
        </is>
      </c>
      <c r="ES50" s="20" t="inlineStr">
        <is>
          <t>None</t>
        </is>
      </c>
      <c r="ET50" s="17" t="n"/>
      <c r="EU50" s="16" t="n"/>
      <c r="EV50" s="20" t="inlineStr">
        <is>
          <t>LC-MS</t>
        </is>
      </c>
      <c r="EW50" s="20" t="inlineStr">
        <is>
          <t>None</t>
        </is>
      </c>
      <c r="EX50" s="17" t="n"/>
      <c r="EY50" s="21" t="n"/>
      <c r="EZ50">
        <f>CONCATENATE(A50,B50)</f>
        <v/>
      </c>
      <c r="FA50">
        <f>CONCATENATE(SamplesX!A50,SamplesX!B50)</f>
        <v/>
      </c>
      <c r="FC50">
        <f>MATCH(EZ50,FA1:FA1008,0)</f>
        <v/>
      </c>
    </row>
    <row r="51">
      <c r="A51" s="16" t="inlineStr">
        <is>
          <t>BP</t>
        </is>
      </c>
      <c r="B51" s="17" t="inlineStr">
        <is>
          <t>25043</t>
        </is>
      </c>
      <c r="C51" s="10">
        <f>IF(ISNUMBER(FC51),INDIRECT("SamplesX!C"&amp;FC51),IF(ISNUMBER(FD51),INDIRECT("SamplesY!C"&amp;FD51),""))</f>
        <v/>
      </c>
      <c r="D51" s="12">
        <f>IF(ISNUMBER(FC51),INDIRECT("SamplesX!D"&amp;FC51),IF(ISNUMBER(FD51),INDIRECT("SamplesY!D"&amp;FD51),""))</f>
        <v/>
      </c>
      <c r="E51" s="12">
        <f>IF(ISNUMBER(FC51),INDIRECT("SamplesX!E"&amp;FC51),IF(ISNUMBER(FD51),INDIRECT("SamplesY!E"&amp;FD51),""))</f>
        <v/>
      </c>
      <c r="F51" s="11">
        <f>IF(ISNUMBER(FC51),INDIRECT("SamplesX!F"&amp;FC51),IF(ISNUMBER(FD51),INDIRECT("SamplesY!F"&amp;FD51),""))</f>
        <v/>
      </c>
      <c r="G51" s="18">
        <f>IF(ISNUMBER(FC51),INDIRECT("SamplesX!G"&amp;FC51),IF(ISNUMBER(FD51),INDIRECT("SamplesY!G"&amp;FD51),""))</f>
        <v/>
      </c>
      <c r="H51" s="19">
        <f>IF(ISNUMBER(FC51),INDIRECT("SamplesX!H"&amp;FC51),IF(ISNUMBER(FD51),INDIRECT("SamplesY!H"&amp;FD51),""))</f>
        <v/>
      </c>
      <c r="I51" s="16" t="n"/>
      <c r="J51" s="16" t="n"/>
      <c r="K51" s="16" t="n"/>
      <c r="L51" s="20" t="n"/>
      <c r="M51" s="20" t="inlineStr">
        <is>
          <t>None</t>
        </is>
      </c>
      <c r="N51" s="17" t="n"/>
      <c r="O51" s="16" t="n"/>
      <c r="P51" s="20" t="inlineStr">
        <is>
          <t>Shimadzu TOC-L</t>
        </is>
      </c>
      <c r="Q51" s="20" t="inlineStr">
        <is>
          <t>None</t>
        </is>
      </c>
      <c r="R51" s="17" t="n"/>
      <c r="S51" s="16" t="n"/>
      <c r="T51" s="20" t="inlineStr">
        <is>
          <t>Shimadzu TOC-L</t>
        </is>
      </c>
      <c r="U51" s="20" t="inlineStr">
        <is>
          <t>None</t>
        </is>
      </c>
      <c r="V51" s="17" t="n"/>
      <c r="W51" s="16" t="n"/>
      <c r="X51" s="20" t="n"/>
      <c r="Y51" s="20" t="inlineStr">
        <is>
          <t>None</t>
        </is>
      </c>
      <c r="Z51" s="17" t="n"/>
      <c r="AA51" s="16" t="n"/>
      <c r="AB51" s="20" t="n"/>
      <c r="AC51" s="20" t="inlineStr">
        <is>
          <t>None</t>
        </is>
      </c>
      <c r="AD51" s="17" t="n"/>
      <c r="AE51" s="16" t="inlineStr">
        <is>
          <t>142</t>
        </is>
      </c>
      <c r="AF51" s="20" t="inlineStr">
        <is>
          <t>IC Anionen</t>
        </is>
      </c>
      <c r="AG51" s="20" t="inlineStr">
        <is>
          <t>None</t>
        </is>
      </c>
      <c r="AH51" s="17" t="n"/>
      <c r="AI51" s="16" t="n"/>
      <c r="AJ51" s="20" t="n"/>
      <c r="AK51" s="20" t="inlineStr">
        <is>
          <t>None</t>
        </is>
      </c>
      <c r="AL51" s="17" t="n"/>
      <c r="AM51" s="16" t="n"/>
      <c r="AN51" s="20" t="inlineStr">
        <is>
          <t>IC Anionen</t>
        </is>
      </c>
      <c r="AO51" s="20" t="inlineStr">
        <is>
          <t>None</t>
        </is>
      </c>
      <c r="AP51" s="17" t="n"/>
      <c r="AQ51" s="16" t="n"/>
      <c r="AR51" s="20" t="n"/>
      <c r="AS51" s="20" t="inlineStr">
        <is>
          <t>None</t>
        </is>
      </c>
      <c r="AT51" s="17" t="n"/>
      <c r="AU51" s="16" t="inlineStr">
        <is>
          <t>12.9</t>
        </is>
      </c>
      <c r="AV51" s="20" t="inlineStr">
        <is>
          <t>IC Anionen</t>
        </is>
      </c>
      <c r="AW51" s="20" t="inlineStr">
        <is>
          <t>None</t>
        </is>
      </c>
      <c r="AX51" s="17" t="n"/>
      <c r="AY51" s="16" t="inlineStr">
        <is>
          <t>&lt;0.80</t>
        </is>
      </c>
      <c r="AZ51" s="20" t="inlineStr">
        <is>
          <t>IC Anionen</t>
        </is>
      </c>
      <c r="BA51" s="20" t="inlineStr">
        <is>
          <t>None</t>
        </is>
      </c>
      <c r="BB51" s="17" t="n"/>
      <c r="BC51" s="16" t="inlineStr">
        <is>
          <t>119</t>
        </is>
      </c>
      <c r="BD51" s="20" t="inlineStr">
        <is>
          <t>IC Kationen</t>
        </is>
      </c>
      <c r="BE51" s="20" t="inlineStr">
        <is>
          <t>None</t>
        </is>
      </c>
      <c r="BF51" s="17" t="n"/>
      <c r="BG51" s="16" t="inlineStr">
        <is>
          <t>37.6</t>
        </is>
      </c>
      <c r="BH51" s="20" t="inlineStr">
        <is>
          <t>IC Kationen</t>
        </is>
      </c>
      <c r="BI51" s="20" t="inlineStr">
        <is>
          <t>None</t>
        </is>
      </c>
      <c r="BJ51" s="17" t="n"/>
      <c r="BK51" s="16" t="inlineStr">
        <is>
          <t>15.4</t>
        </is>
      </c>
      <c r="BL51" s="20" t="inlineStr">
        <is>
          <t>IC Kationen</t>
        </is>
      </c>
      <c r="BM51" s="20" t="inlineStr">
        <is>
          <t>None</t>
        </is>
      </c>
      <c r="BN51" s="17" t="n"/>
      <c r="BO51" s="16" t="inlineStr">
        <is>
          <t>152</t>
        </is>
      </c>
      <c r="BP51" s="20" t="inlineStr">
        <is>
          <t>IC Kationen</t>
        </is>
      </c>
      <c r="BQ51" s="20" t="inlineStr">
        <is>
          <t>None</t>
        </is>
      </c>
      <c r="BR51" s="17" t="n"/>
      <c r="BS51" s="16" t="inlineStr">
        <is>
          <t>23.5</t>
        </is>
      </c>
      <c r="BT51" s="20" t="inlineStr">
        <is>
          <t>IC Kationen</t>
        </is>
      </c>
      <c r="BU51" s="20" t="inlineStr">
        <is>
          <t>None</t>
        </is>
      </c>
      <c r="BV51" s="17" t="n"/>
      <c r="BW51" s="16" t="n"/>
      <c r="BX51" s="20" t="n"/>
      <c r="BY51" s="20" t="inlineStr">
        <is>
          <t>None</t>
        </is>
      </c>
      <c r="BZ51" s="17" t="n"/>
      <c r="CA51" s="16" t="n"/>
      <c r="CB51" s="20" t="n"/>
      <c r="CC51" s="20" t="inlineStr">
        <is>
          <t>None</t>
        </is>
      </c>
      <c r="CD51" s="17" t="n"/>
      <c r="CE51" s="16" t="n"/>
      <c r="CF51" s="20" t="n"/>
      <c r="CG51" s="20" t="inlineStr">
        <is>
          <t>None</t>
        </is>
      </c>
      <c r="CH51" s="17" t="n"/>
      <c r="CI51" s="16" t="n"/>
      <c r="CJ51" s="20" t="n"/>
      <c r="CK51" s="20" t="inlineStr">
        <is>
          <t>None</t>
        </is>
      </c>
      <c r="CL51" s="17" t="n"/>
      <c r="CM51" s="16" t="n"/>
      <c r="CN51" s="20" t="inlineStr">
        <is>
          <t>SOP 45-34</t>
        </is>
      </c>
      <c r="CO51" s="20" t="inlineStr">
        <is>
          <t>None</t>
        </is>
      </c>
      <c r="CP51" s="17" t="n"/>
      <c r="CQ51" s="16" t="n"/>
      <c r="CR51" s="20" t="n"/>
      <c r="CS51" s="20" t="inlineStr">
        <is>
          <t>None</t>
        </is>
      </c>
      <c r="CT51" s="17" t="n"/>
      <c r="CU51" s="16" t="n"/>
      <c r="CV51" s="20" t="n"/>
      <c r="CW51" s="20" t="inlineStr">
        <is>
          <t>None</t>
        </is>
      </c>
      <c r="CX51" s="17" t="n"/>
      <c r="CY51" s="16" t="n"/>
      <c r="CZ51" s="20" t="inlineStr">
        <is>
          <t>WTW Multimeter 3430 with FDO 925</t>
        </is>
      </c>
      <c r="DA51" s="20" t="inlineStr">
        <is>
          <t>None</t>
        </is>
      </c>
      <c r="DB51" s="17" t="n"/>
      <c r="DC51" s="16" t="n"/>
      <c r="DD51" s="20" t="n"/>
      <c r="DE51" s="20" t="inlineStr">
        <is>
          <t>None</t>
        </is>
      </c>
      <c r="DF51" s="17" t="n"/>
      <c r="DG51" s="16" t="n"/>
      <c r="DH51" s="20" t="inlineStr">
        <is>
          <t>SOP 45-09</t>
        </is>
      </c>
      <c r="DI51" s="20" t="inlineStr">
        <is>
          <t>None</t>
        </is>
      </c>
      <c r="DJ51" s="17" t="n"/>
      <c r="DK51" s="16" t="n"/>
      <c r="DL51" s="20" t="inlineStr">
        <is>
          <t>SOP 45-09 (SOP muss noch angepasst werden für VSS)</t>
        </is>
      </c>
      <c r="DM51" s="20" t="inlineStr">
        <is>
          <t>None</t>
        </is>
      </c>
      <c r="DN51" s="17" t="n"/>
      <c r="DO51" s="16" t="n"/>
      <c r="DP51" s="20" t="inlineStr">
        <is>
          <t>IC Organic Acids</t>
        </is>
      </c>
      <c r="DQ51" s="20" t="inlineStr">
        <is>
          <t>None</t>
        </is>
      </c>
      <c r="DR51" s="17" t="n"/>
      <c r="DS51" s="16" t="n"/>
      <c r="DT51" s="20" t="inlineStr">
        <is>
          <t>IC Organic Acids</t>
        </is>
      </c>
      <c r="DU51" s="20" t="inlineStr">
        <is>
          <t>None</t>
        </is>
      </c>
      <c r="DV51" s="17" t="n"/>
      <c r="DW51" s="16" t="n"/>
      <c r="DX51" s="20" t="inlineStr">
        <is>
          <t>IC Organic Acids</t>
        </is>
      </c>
      <c r="DY51" s="20" t="inlineStr">
        <is>
          <t>None</t>
        </is>
      </c>
      <c r="DZ51" s="17" t="n"/>
      <c r="EA51" s="16" t="n"/>
      <c r="EB51" s="20" t="inlineStr">
        <is>
          <t>IC Organic Acids</t>
        </is>
      </c>
      <c r="EC51" s="20" t="inlineStr">
        <is>
          <t>None</t>
        </is>
      </c>
      <c r="ED51" s="17" t="n"/>
      <c r="EE51" s="16" t="n"/>
      <c r="EF51" s="20" t="inlineStr">
        <is>
          <t>IC Organic Acids</t>
        </is>
      </c>
      <c r="EG51" s="20" t="inlineStr">
        <is>
          <t>None</t>
        </is>
      </c>
      <c r="EH51" s="17" t="n"/>
      <c r="EI51" s="16" t="n"/>
      <c r="EJ51" s="20" t="inlineStr">
        <is>
          <t>IC Organic Acids</t>
        </is>
      </c>
      <c r="EK51" s="20" t="inlineStr">
        <is>
          <t>None</t>
        </is>
      </c>
      <c r="EL51" s="17" t="n"/>
      <c r="EM51" s="16" t="n"/>
      <c r="EN51" s="20" t="inlineStr">
        <is>
          <t>IC Organic Acids</t>
        </is>
      </c>
      <c r="EO51" s="20" t="inlineStr">
        <is>
          <t>None</t>
        </is>
      </c>
      <c r="EP51" s="17" t="n"/>
      <c r="EQ51" s="16" t="n"/>
      <c r="ER51" s="20" t="inlineStr">
        <is>
          <t>IC Organic Acids</t>
        </is>
      </c>
      <c r="ES51" s="20" t="inlineStr">
        <is>
          <t>None</t>
        </is>
      </c>
      <c r="ET51" s="17" t="n"/>
      <c r="EU51" s="16" t="n"/>
      <c r="EV51" s="20" t="inlineStr">
        <is>
          <t>LC-MS</t>
        </is>
      </c>
      <c r="EW51" s="20" t="inlineStr">
        <is>
          <t>None</t>
        </is>
      </c>
      <c r="EX51" s="17" t="n"/>
      <c r="EY51" s="21" t="n"/>
      <c r="EZ51">
        <f>CONCATENATE(A51,B51)</f>
        <v/>
      </c>
      <c r="FA51">
        <f>CONCATENATE(SamplesX!A51,SamplesX!B51)</f>
        <v/>
      </c>
      <c r="FC51">
        <f>MATCH(EZ51,FA1:FA1008,0)</f>
        <v/>
      </c>
    </row>
    <row r="52">
      <c r="A52" s="16" t="inlineStr">
        <is>
          <t>BP</t>
        </is>
      </c>
      <c r="B52" s="17" t="inlineStr">
        <is>
          <t>25044</t>
        </is>
      </c>
      <c r="C52" s="10">
        <f>IF(ISNUMBER(FC52),INDIRECT("SamplesX!C"&amp;FC52),IF(ISNUMBER(FD52),INDIRECT("SamplesY!C"&amp;FD52),""))</f>
        <v/>
      </c>
      <c r="D52" s="12">
        <f>IF(ISNUMBER(FC52),INDIRECT("SamplesX!D"&amp;FC52),IF(ISNUMBER(FD52),INDIRECT("SamplesY!D"&amp;FD52),""))</f>
        <v/>
      </c>
      <c r="E52" s="12">
        <f>IF(ISNUMBER(FC52),INDIRECT("SamplesX!E"&amp;FC52),IF(ISNUMBER(FD52),INDIRECT("SamplesY!E"&amp;FD52),""))</f>
        <v/>
      </c>
      <c r="F52" s="11">
        <f>IF(ISNUMBER(FC52),INDIRECT("SamplesX!F"&amp;FC52),IF(ISNUMBER(FD52),INDIRECT("SamplesY!F"&amp;FD52),""))</f>
        <v/>
      </c>
      <c r="G52" s="18">
        <f>IF(ISNUMBER(FC52),INDIRECT("SamplesX!G"&amp;FC52),IF(ISNUMBER(FD52),INDIRECT("SamplesY!G"&amp;FD52),""))</f>
        <v/>
      </c>
      <c r="H52" s="19">
        <f>IF(ISNUMBER(FC52),INDIRECT("SamplesX!H"&amp;FC52),IF(ISNUMBER(FD52),INDIRECT("SamplesY!H"&amp;FD52),""))</f>
        <v/>
      </c>
      <c r="I52" s="16" t="n"/>
      <c r="J52" s="16" t="n"/>
      <c r="K52" s="16" t="n"/>
      <c r="L52" s="20" t="n"/>
      <c r="M52" s="20" t="inlineStr">
        <is>
          <t>None</t>
        </is>
      </c>
      <c r="N52" s="17" t="n"/>
      <c r="O52" s="16" t="n"/>
      <c r="P52" s="20" t="inlineStr">
        <is>
          <t>Shimadzu TOC-L</t>
        </is>
      </c>
      <c r="Q52" s="20" t="inlineStr">
        <is>
          <t>None</t>
        </is>
      </c>
      <c r="R52" s="17" t="n"/>
      <c r="S52" s="16" t="n"/>
      <c r="T52" s="20" t="inlineStr">
        <is>
          <t>Shimadzu TOC-L</t>
        </is>
      </c>
      <c r="U52" s="20" t="inlineStr">
        <is>
          <t>None</t>
        </is>
      </c>
      <c r="V52" s="17" t="n"/>
      <c r="W52" s="16" t="n"/>
      <c r="X52" s="20" t="n"/>
      <c r="Y52" s="20" t="inlineStr">
        <is>
          <t>None</t>
        </is>
      </c>
      <c r="Z52" s="17" t="n"/>
      <c r="AA52" s="16" t="n"/>
      <c r="AB52" s="20" t="n"/>
      <c r="AC52" s="20" t="inlineStr">
        <is>
          <t>None</t>
        </is>
      </c>
      <c r="AD52" s="17" t="n"/>
      <c r="AE52" s="16" t="inlineStr">
        <is>
          <t>138</t>
        </is>
      </c>
      <c r="AF52" s="20" t="inlineStr">
        <is>
          <t>IC Anionen</t>
        </is>
      </c>
      <c r="AG52" s="20" t="inlineStr">
        <is>
          <t>None</t>
        </is>
      </c>
      <c r="AH52" s="17" t="n"/>
      <c r="AI52" s="16" t="n"/>
      <c r="AJ52" s="20" t="n"/>
      <c r="AK52" s="20" t="inlineStr">
        <is>
          <t>None</t>
        </is>
      </c>
      <c r="AL52" s="17" t="n"/>
      <c r="AM52" s="16" t="n"/>
      <c r="AN52" s="20" t="inlineStr">
        <is>
          <t>IC Anionen</t>
        </is>
      </c>
      <c r="AO52" s="20" t="inlineStr">
        <is>
          <t>None</t>
        </is>
      </c>
      <c r="AP52" s="17" t="n"/>
      <c r="AQ52" s="16" t="n"/>
      <c r="AR52" s="20" t="n"/>
      <c r="AS52" s="20" t="inlineStr">
        <is>
          <t>None</t>
        </is>
      </c>
      <c r="AT52" s="17" t="n"/>
      <c r="AU52" s="16" t="inlineStr">
        <is>
          <t>16.8</t>
        </is>
      </c>
      <c r="AV52" s="20" t="inlineStr">
        <is>
          <t>IC Anionen</t>
        </is>
      </c>
      <c r="AW52" s="20" t="inlineStr">
        <is>
          <t>None</t>
        </is>
      </c>
      <c r="AX52" s="17" t="n"/>
      <c r="AY52" s="16" t="inlineStr">
        <is>
          <t>&lt;0.80</t>
        </is>
      </c>
      <c r="AZ52" s="20" t="inlineStr">
        <is>
          <t>IC Anionen</t>
        </is>
      </c>
      <c r="BA52" s="20" t="inlineStr">
        <is>
          <t>None</t>
        </is>
      </c>
      <c r="BB52" s="17" t="n"/>
      <c r="BC52" s="16" t="inlineStr">
        <is>
          <t>110</t>
        </is>
      </c>
      <c r="BD52" s="20" t="inlineStr">
        <is>
          <t>IC Kationen</t>
        </is>
      </c>
      <c r="BE52" s="20" t="inlineStr">
        <is>
          <t>None</t>
        </is>
      </c>
      <c r="BF52" s="17" t="n"/>
      <c r="BG52" s="16" t="inlineStr">
        <is>
          <t>46.0</t>
        </is>
      </c>
      <c r="BH52" s="20" t="inlineStr">
        <is>
          <t>IC Kationen</t>
        </is>
      </c>
      <c r="BI52" s="20" t="inlineStr">
        <is>
          <t>None</t>
        </is>
      </c>
      <c r="BJ52" s="17" t="n"/>
      <c r="BK52" s="16" t="inlineStr">
        <is>
          <t>16.0</t>
        </is>
      </c>
      <c r="BL52" s="20" t="inlineStr">
        <is>
          <t>IC Kationen</t>
        </is>
      </c>
      <c r="BM52" s="20" t="inlineStr">
        <is>
          <t>None</t>
        </is>
      </c>
      <c r="BN52" s="17" t="n"/>
      <c r="BO52" s="16" t="inlineStr">
        <is>
          <t>159</t>
        </is>
      </c>
      <c r="BP52" s="20" t="inlineStr">
        <is>
          <t>IC Kationen</t>
        </is>
      </c>
      <c r="BQ52" s="20" t="inlineStr">
        <is>
          <t>None</t>
        </is>
      </c>
      <c r="BR52" s="17" t="n"/>
      <c r="BS52" s="16" t="inlineStr">
        <is>
          <t>24.4</t>
        </is>
      </c>
      <c r="BT52" s="20" t="inlineStr">
        <is>
          <t>IC Kationen</t>
        </is>
      </c>
      <c r="BU52" s="20" t="inlineStr">
        <is>
          <t>None</t>
        </is>
      </c>
      <c r="BV52" s="17" t="n"/>
      <c r="BW52" s="16" t="n"/>
      <c r="BX52" s="20" t="n"/>
      <c r="BY52" s="20" t="inlineStr">
        <is>
          <t>None</t>
        </is>
      </c>
      <c r="BZ52" s="17" t="n"/>
      <c r="CA52" s="16" t="n"/>
      <c r="CB52" s="20" t="n"/>
      <c r="CC52" s="20" t="inlineStr">
        <is>
          <t>None</t>
        </is>
      </c>
      <c r="CD52" s="17" t="n"/>
      <c r="CE52" s="16" t="n"/>
      <c r="CF52" s="20" t="n"/>
      <c r="CG52" s="20" t="inlineStr">
        <is>
          <t>None</t>
        </is>
      </c>
      <c r="CH52" s="17" t="n"/>
      <c r="CI52" s="16" t="n"/>
      <c r="CJ52" s="20" t="n"/>
      <c r="CK52" s="20" t="inlineStr">
        <is>
          <t>None</t>
        </is>
      </c>
      <c r="CL52" s="17" t="n"/>
      <c r="CM52" s="16" t="n"/>
      <c r="CN52" s="20" t="inlineStr">
        <is>
          <t>SOP 45-34</t>
        </is>
      </c>
      <c r="CO52" s="20" t="inlineStr">
        <is>
          <t>None</t>
        </is>
      </c>
      <c r="CP52" s="17" t="n"/>
      <c r="CQ52" s="16" t="n"/>
      <c r="CR52" s="20" t="n"/>
      <c r="CS52" s="20" t="inlineStr">
        <is>
          <t>None</t>
        </is>
      </c>
      <c r="CT52" s="17" t="n"/>
      <c r="CU52" s="16" t="n"/>
      <c r="CV52" s="20" t="n"/>
      <c r="CW52" s="20" t="inlineStr">
        <is>
          <t>None</t>
        </is>
      </c>
      <c r="CX52" s="17" t="n"/>
      <c r="CY52" s="16" t="n"/>
      <c r="CZ52" s="20" t="inlineStr">
        <is>
          <t>WTW Multimeter 3430 with FDO 925</t>
        </is>
      </c>
      <c r="DA52" s="20" t="inlineStr">
        <is>
          <t>None</t>
        </is>
      </c>
      <c r="DB52" s="17" t="n"/>
      <c r="DC52" s="16" t="n"/>
      <c r="DD52" s="20" t="n"/>
      <c r="DE52" s="20" t="inlineStr">
        <is>
          <t>None</t>
        </is>
      </c>
      <c r="DF52" s="17" t="n"/>
      <c r="DG52" s="16" t="n"/>
      <c r="DH52" s="20" t="inlineStr">
        <is>
          <t>SOP 45-09</t>
        </is>
      </c>
      <c r="DI52" s="20" t="inlineStr">
        <is>
          <t>None</t>
        </is>
      </c>
      <c r="DJ52" s="17" t="n"/>
      <c r="DK52" s="16" t="n"/>
      <c r="DL52" s="20" t="inlineStr">
        <is>
          <t>SOP 45-09 (SOP muss noch angepasst werden für VSS)</t>
        </is>
      </c>
      <c r="DM52" s="20" t="inlineStr">
        <is>
          <t>None</t>
        </is>
      </c>
      <c r="DN52" s="17" t="n"/>
      <c r="DO52" s="16" t="n"/>
      <c r="DP52" s="20" t="inlineStr">
        <is>
          <t>IC Organic Acids</t>
        </is>
      </c>
      <c r="DQ52" s="20" t="inlineStr">
        <is>
          <t>None</t>
        </is>
      </c>
      <c r="DR52" s="17" t="n"/>
      <c r="DS52" s="16" t="n"/>
      <c r="DT52" s="20" t="inlineStr">
        <is>
          <t>IC Organic Acids</t>
        </is>
      </c>
      <c r="DU52" s="20" t="inlineStr">
        <is>
          <t>None</t>
        </is>
      </c>
      <c r="DV52" s="17" t="n"/>
      <c r="DW52" s="16" t="n"/>
      <c r="DX52" s="20" t="inlineStr">
        <is>
          <t>IC Organic Acids</t>
        </is>
      </c>
      <c r="DY52" s="20" t="inlineStr">
        <is>
          <t>None</t>
        </is>
      </c>
      <c r="DZ52" s="17" t="n"/>
      <c r="EA52" s="16" t="n"/>
      <c r="EB52" s="20" t="inlineStr">
        <is>
          <t>IC Organic Acids</t>
        </is>
      </c>
      <c r="EC52" s="20" t="inlineStr">
        <is>
          <t>None</t>
        </is>
      </c>
      <c r="ED52" s="17" t="n"/>
      <c r="EE52" s="16" t="n"/>
      <c r="EF52" s="20" t="inlineStr">
        <is>
          <t>IC Organic Acids</t>
        </is>
      </c>
      <c r="EG52" s="20" t="inlineStr">
        <is>
          <t>None</t>
        </is>
      </c>
      <c r="EH52" s="17" t="n"/>
      <c r="EI52" s="16" t="n"/>
      <c r="EJ52" s="20" t="inlineStr">
        <is>
          <t>IC Organic Acids</t>
        </is>
      </c>
      <c r="EK52" s="20" t="inlineStr">
        <is>
          <t>None</t>
        </is>
      </c>
      <c r="EL52" s="17" t="n"/>
      <c r="EM52" s="16" t="n"/>
      <c r="EN52" s="20" t="inlineStr">
        <is>
          <t>IC Organic Acids</t>
        </is>
      </c>
      <c r="EO52" s="20" t="inlineStr">
        <is>
          <t>None</t>
        </is>
      </c>
      <c r="EP52" s="17" t="n"/>
      <c r="EQ52" s="16" t="n"/>
      <c r="ER52" s="20" t="inlineStr">
        <is>
          <t>IC Organic Acids</t>
        </is>
      </c>
      <c r="ES52" s="20" t="inlineStr">
        <is>
          <t>None</t>
        </is>
      </c>
      <c r="ET52" s="17" t="n"/>
      <c r="EU52" s="16" t="n"/>
      <c r="EV52" s="20" t="inlineStr">
        <is>
          <t>LC-MS</t>
        </is>
      </c>
      <c r="EW52" s="20" t="inlineStr">
        <is>
          <t>None</t>
        </is>
      </c>
      <c r="EX52" s="17" t="n"/>
      <c r="EY52" s="21" t="n"/>
      <c r="EZ52">
        <f>CONCATENATE(A52,B52)</f>
        <v/>
      </c>
      <c r="FA52">
        <f>CONCATENATE(SamplesX!A52,SamplesX!B52)</f>
        <v/>
      </c>
      <c r="FC52">
        <f>MATCH(EZ52,FA1:FA1008,0)</f>
        <v/>
      </c>
    </row>
    <row r="53">
      <c r="A53" s="16" t="inlineStr">
        <is>
          <t>BP</t>
        </is>
      </c>
      <c r="B53" s="17" t="inlineStr">
        <is>
          <t>25045</t>
        </is>
      </c>
      <c r="C53" s="10">
        <f>IF(ISNUMBER(FC53),INDIRECT("SamplesX!C"&amp;FC53),IF(ISNUMBER(FD53),INDIRECT("SamplesY!C"&amp;FD53),""))</f>
        <v/>
      </c>
      <c r="D53" s="12">
        <f>IF(ISNUMBER(FC53),INDIRECT("SamplesX!D"&amp;FC53),IF(ISNUMBER(FD53),INDIRECT("SamplesY!D"&amp;FD53),""))</f>
        <v/>
      </c>
      <c r="E53" s="12">
        <f>IF(ISNUMBER(FC53),INDIRECT("SamplesX!E"&amp;FC53),IF(ISNUMBER(FD53),INDIRECT("SamplesY!E"&amp;FD53),""))</f>
        <v/>
      </c>
      <c r="F53" s="11">
        <f>IF(ISNUMBER(FC53),INDIRECT("SamplesX!F"&amp;FC53),IF(ISNUMBER(FD53),INDIRECT("SamplesY!F"&amp;FD53),""))</f>
        <v/>
      </c>
      <c r="G53" s="18">
        <f>IF(ISNUMBER(FC53),INDIRECT("SamplesX!G"&amp;FC53),IF(ISNUMBER(FD53),INDIRECT("SamplesY!G"&amp;FD53),""))</f>
        <v/>
      </c>
      <c r="H53" s="19">
        <f>IF(ISNUMBER(FC53),INDIRECT("SamplesX!H"&amp;FC53),IF(ISNUMBER(FD53),INDIRECT("SamplesY!H"&amp;FD53),""))</f>
        <v/>
      </c>
      <c r="I53" s="16" t="n"/>
      <c r="J53" s="16" t="n"/>
      <c r="K53" s="16" t="n"/>
      <c r="L53" s="20" t="n"/>
      <c r="M53" s="20" t="inlineStr">
        <is>
          <t>None</t>
        </is>
      </c>
      <c r="N53" s="17" t="n"/>
      <c r="O53" s="16" t="n"/>
      <c r="P53" s="20" t="inlineStr">
        <is>
          <t>Shimadzu TOC-L</t>
        </is>
      </c>
      <c r="Q53" s="20" t="inlineStr">
        <is>
          <t>None</t>
        </is>
      </c>
      <c r="R53" s="17" t="n"/>
      <c r="S53" s="16" t="n"/>
      <c r="T53" s="20" t="inlineStr">
        <is>
          <t>Shimadzu TOC-L</t>
        </is>
      </c>
      <c r="U53" s="20" t="inlineStr">
        <is>
          <t>None</t>
        </is>
      </c>
      <c r="V53" s="17" t="n"/>
      <c r="W53" s="16" t="n"/>
      <c r="X53" s="20" t="n"/>
      <c r="Y53" s="20" t="inlineStr">
        <is>
          <t>None</t>
        </is>
      </c>
      <c r="Z53" s="17" t="n"/>
      <c r="AA53" s="16" t="n"/>
      <c r="AB53" s="20" t="n"/>
      <c r="AC53" s="20" t="inlineStr">
        <is>
          <t>None</t>
        </is>
      </c>
      <c r="AD53" s="17" t="n"/>
      <c r="AE53" s="16" t="inlineStr">
        <is>
          <t>164</t>
        </is>
      </c>
      <c r="AF53" s="20" t="inlineStr">
        <is>
          <t>IC Anionen</t>
        </is>
      </c>
      <c r="AG53" s="20" t="inlineStr">
        <is>
          <t>None</t>
        </is>
      </c>
      <c r="AH53" s="17" t="n"/>
      <c r="AI53" s="16" t="n"/>
      <c r="AJ53" s="20" t="n"/>
      <c r="AK53" s="20" t="inlineStr">
        <is>
          <t>None</t>
        </is>
      </c>
      <c r="AL53" s="17" t="n"/>
      <c r="AM53" s="16" t="n"/>
      <c r="AN53" s="20" t="inlineStr">
        <is>
          <t>IC Anionen</t>
        </is>
      </c>
      <c r="AO53" s="20" t="inlineStr">
        <is>
          <t>None</t>
        </is>
      </c>
      <c r="AP53" s="17" t="n"/>
      <c r="AQ53" s="16" t="n"/>
      <c r="AR53" s="20" t="n"/>
      <c r="AS53" s="20" t="inlineStr">
        <is>
          <t>None</t>
        </is>
      </c>
      <c r="AT53" s="17" t="n"/>
      <c r="AU53" s="16" t="inlineStr">
        <is>
          <t>14.6</t>
        </is>
      </c>
      <c r="AV53" s="20" t="inlineStr">
        <is>
          <t>IC Anionen</t>
        </is>
      </c>
      <c r="AW53" s="20" t="inlineStr">
        <is>
          <t>None</t>
        </is>
      </c>
      <c r="AX53" s="17" t="n"/>
      <c r="AY53" s="16" t="inlineStr">
        <is>
          <t>&lt;0.80</t>
        </is>
      </c>
      <c r="AZ53" s="20" t="inlineStr">
        <is>
          <t>IC Anionen</t>
        </is>
      </c>
      <c r="BA53" s="20" t="inlineStr">
        <is>
          <t>None</t>
        </is>
      </c>
      <c r="BB53" s="17" t="n"/>
      <c r="BC53" s="16" t="inlineStr">
        <is>
          <t>127</t>
        </is>
      </c>
      <c r="BD53" s="20" t="inlineStr">
        <is>
          <t>IC Kationen</t>
        </is>
      </c>
      <c r="BE53" s="20" t="inlineStr">
        <is>
          <t>None</t>
        </is>
      </c>
      <c r="BF53" s="17" t="n"/>
      <c r="BG53" s="16" t="inlineStr">
        <is>
          <t>26.2</t>
        </is>
      </c>
      <c r="BH53" s="20" t="inlineStr">
        <is>
          <t>IC Kationen</t>
        </is>
      </c>
      <c r="BI53" s="20" t="inlineStr">
        <is>
          <t>None</t>
        </is>
      </c>
      <c r="BJ53" s="17" t="n"/>
      <c r="BK53" s="16" t="inlineStr">
        <is>
          <t>16.6</t>
        </is>
      </c>
      <c r="BL53" s="20" t="inlineStr">
        <is>
          <t>IC Kationen</t>
        </is>
      </c>
      <c r="BM53" s="20" t="inlineStr">
        <is>
          <t>None</t>
        </is>
      </c>
      <c r="BN53" s="17" t="n"/>
      <c r="BO53" s="16" t="inlineStr">
        <is>
          <t>173</t>
        </is>
      </c>
      <c r="BP53" s="20" t="inlineStr">
        <is>
          <t>IC Kationen</t>
        </is>
      </c>
      <c r="BQ53" s="20" t="inlineStr">
        <is>
          <t>None</t>
        </is>
      </c>
      <c r="BR53" s="17" t="n"/>
      <c r="BS53" s="16" t="inlineStr">
        <is>
          <t>25.7</t>
        </is>
      </c>
      <c r="BT53" s="20" t="inlineStr">
        <is>
          <t>IC Kationen</t>
        </is>
      </c>
      <c r="BU53" s="20" t="inlineStr">
        <is>
          <t>None</t>
        </is>
      </c>
      <c r="BV53" s="17" t="n"/>
      <c r="BW53" s="16" t="n"/>
      <c r="BX53" s="20" t="n"/>
      <c r="BY53" s="20" t="inlineStr">
        <is>
          <t>None</t>
        </is>
      </c>
      <c r="BZ53" s="17" t="n"/>
      <c r="CA53" s="16" t="n"/>
      <c r="CB53" s="20" t="n"/>
      <c r="CC53" s="20" t="inlineStr">
        <is>
          <t>None</t>
        </is>
      </c>
      <c r="CD53" s="17" t="n"/>
      <c r="CE53" s="16" t="n"/>
      <c r="CF53" s="20" t="n"/>
      <c r="CG53" s="20" t="inlineStr">
        <is>
          <t>None</t>
        </is>
      </c>
      <c r="CH53" s="17" t="n"/>
      <c r="CI53" s="16" t="n"/>
      <c r="CJ53" s="20" t="n"/>
      <c r="CK53" s="20" t="inlineStr">
        <is>
          <t>None</t>
        </is>
      </c>
      <c r="CL53" s="17" t="n"/>
      <c r="CM53" s="16" t="n"/>
      <c r="CN53" s="20" t="inlineStr">
        <is>
          <t>SOP 45-34</t>
        </is>
      </c>
      <c r="CO53" s="20" t="inlineStr">
        <is>
          <t>None</t>
        </is>
      </c>
      <c r="CP53" s="17" t="n"/>
      <c r="CQ53" s="16" t="n"/>
      <c r="CR53" s="20" t="n"/>
      <c r="CS53" s="20" t="inlineStr">
        <is>
          <t>None</t>
        </is>
      </c>
      <c r="CT53" s="17" t="n"/>
      <c r="CU53" s="16" t="n"/>
      <c r="CV53" s="20" t="n"/>
      <c r="CW53" s="20" t="inlineStr">
        <is>
          <t>None</t>
        </is>
      </c>
      <c r="CX53" s="17" t="n"/>
      <c r="CY53" s="16" t="n"/>
      <c r="CZ53" s="20" t="inlineStr">
        <is>
          <t>WTW Multimeter 3430 with FDO 925</t>
        </is>
      </c>
      <c r="DA53" s="20" t="inlineStr">
        <is>
          <t>None</t>
        </is>
      </c>
      <c r="DB53" s="17" t="n"/>
      <c r="DC53" s="16" t="n"/>
      <c r="DD53" s="20" t="n"/>
      <c r="DE53" s="20" t="inlineStr">
        <is>
          <t>None</t>
        </is>
      </c>
      <c r="DF53" s="17" t="n"/>
      <c r="DG53" s="16" t="n"/>
      <c r="DH53" s="20" t="inlineStr">
        <is>
          <t>SOP 45-09</t>
        </is>
      </c>
      <c r="DI53" s="20" t="inlineStr">
        <is>
          <t>None</t>
        </is>
      </c>
      <c r="DJ53" s="17" t="n"/>
      <c r="DK53" s="16" t="n"/>
      <c r="DL53" s="20" t="inlineStr">
        <is>
          <t>SOP 45-09 (SOP muss noch angepasst werden für VSS)</t>
        </is>
      </c>
      <c r="DM53" s="20" t="inlineStr">
        <is>
          <t>None</t>
        </is>
      </c>
      <c r="DN53" s="17" t="n"/>
      <c r="DO53" s="16" t="n"/>
      <c r="DP53" s="20" t="inlineStr">
        <is>
          <t>IC Organic Acids</t>
        </is>
      </c>
      <c r="DQ53" s="20" t="inlineStr">
        <is>
          <t>None</t>
        </is>
      </c>
      <c r="DR53" s="17" t="n"/>
      <c r="DS53" s="16" t="n"/>
      <c r="DT53" s="20" t="inlineStr">
        <is>
          <t>IC Organic Acids</t>
        </is>
      </c>
      <c r="DU53" s="20" t="inlineStr">
        <is>
          <t>None</t>
        </is>
      </c>
      <c r="DV53" s="17" t="n"/>
      <c r="DW53" s="16" t="n"/>
      <c r="DX53" s="20" t="inlineStr">
        <is>
          <t>IC Organic Acids</t>
        </is>
      </c>
      <c r="DY53" s="20" t="inlineStr">
        <is>
          <t>None</t>
        </is>
      </c>
      <c r="DZ53" s="17" t="n"/>
      <c r="EA53" s="16" t="n"/>
      <c r="EB53" s="20" t="inlineStr">
        <is>
          <t>IC Organic Acids</t>
        </is>
      </c>
      <c r="EC53" s="20" t="inlineStr">
        <is>
          <t>None</t>
        </is>
      </c>
      <c r="ED53" s="17" t="n"/>
      <c r="EE53" s="16" t="n"/>
      <c r="EF53" s="20" t="inlineStr">
        <is>
          <t>IC Organic Acids</t>
        </is>
      </c>
      <c r="EG53" s="20" t="inlineStr">
        <is>
          <t>None</t>
        </is>
      </c>
      <c r="EH53" s="17" t="n"/>
      <c r="EI53" s="16" t="n"/>
      <c r="EJ53" s="20" t="inlineStr">
        <is>
          <t>IC Organic Acids</t>
        </is>
      </c>
      <c r="EK53" s="20" t="inlineStr">
        <is>
          <t>None</t>
        </is>
      </c>
      <c r="EL53" s="17" t="n"/>
      <c r="EM53" s="16" t="n"/>
      <c r="EN53" s="20" t="inlineStr">
        <is>
          <t>IC Organic Acids</t>
        </is>
      </c>
      <c r="EO53" s="20" t="inlineStr">
        <is>
          <t>None</t>
        </is>
      </c>
      <c r="EP53" s="17" t="n"/>
      <c r="EQ53" s="16" t="n"/>
      <c r="ER53" s="20" t="inlineStr">
        <is>
          <t>IC Organic Acids</t>
        </is>
      </c>
      <c r="ES53" s="20" t="inlineStr">
        <is>
          <t>None</t>
        </is>
      </c>
      <c r="ET53" s="17" t="n"/>
      <c r="EU53" s="16" t="n"/>
      <c r="EV53" s="20" t="inlineStr">
        <is>
          <t>LC-MS</t>
        </is>
      </c>
      <c r="EW53" s="20" t="inlineStr">
        <is>
          <t>None</t>
        </is>
      </c>
      <c r="EX53" s="17" t="n"/>
      <c r="EY53" s="21" t="n"/>
      <c r="EZ53">
        <f>CONCATENATE(A53,B53)</f>
        <v/>
      </c>
      <c r="FA53">
        <f>CONCATENATE(SamplesX!A53,SamplesX!B53)</f>
        <v/>
      </c>
      <c r="FC53">
        <f>MATCH(EZ53,FA1:FA1008,0)</f>
        <v/>
      </c>
    </row>
    <row r="54">
      <c r="A54" s="16" t="inlineStr">
        <is>
          <t>BP</t>
        </is>
      </c>
      <c r="B54" s="17" t="inlineStr">
        <is>
          <t>25046</t>
        </is>
      </c>
      <c r="C54" s="10">
        <f>IF(ISNUMBER(FC54),INDIRECT("SamplesX!C"&amp;FC54),IF(ISNUMBER(FD54),INDIRECT("SamplesY!C"&amp;FD54),""))</f>
        <v/>
      </c>
      <c r="D54" s="12">
        <f>IF(ISNUMBER(FC54),INDIRECT("SamplesX!D"&amp;FC54),IF(ISNUMBER(FD54),INDIRECT("SamplesY!D"&amp;FD54),""))</f>
        <v/>
      </c>
      <c r="E54" s="12">
        <f>IF(ISNUMBER(FC54),INDIRECT("SamplesX!E"&amp;FC54),IF(ISNUMBER(FD54),INDIRECT("SamplesY!E"&amp;FD54),""))</f>
        <v/>
      </c>
      <c r="F54" s="11">
        <f>IF(ISNUMBER(FC54),INDIRECT("SamplesX!F"&amp;FC54),IF(ISNUMBER(FD54),INDIRECT("SamplesY!F"&amp;FD54),""))</f>
        <v/>
      </c>
      <c r="G54" s="18">
        <f>IF(ISNUMBER(FC54),INDIRECT("SamplesX!G"&amp;FC54),IF(ISNUMBER(FD54),INDIRECT("SamplesY!G"&amp;FD54),""))</f>
        <v/>
      </c>
      <c r="H54" s="19">
        <f>IF(ISNUMBER(FC54),INDIRECT("SamplesX!H"&amp;FC54),IF(ISNUMBER(FD54),INDIRECT("SamplesY!H"&amp;FD54),""))</f>
        <v/>
      </c>
      <c r="I54" s="16" t="n"/>
      <c r="J54" s="16" t="n"/>
      <c r="K54" s="16" t="n"/>
      <c r="L54" s="20" t="n"/>
      <c r="M54" s="20" t="inlineStr">
        <is>
          <t>None</t>
        </is>
      </c>
      <c r="N54" s="17" t="n"/>
      <c r="O54" s="16" t="n"/>
      <c r="P54" s="20" t="inlineStr">
        <is>
          <t>Shimadzu TOC-L</t>
        </is>
      </c>
      <c r="Q54" s="20" t="inlineStr">
        <is>
          <t>None</t>
        </is>
      </c>
      <c r="R54" s="17" t="n"/>
      <c r="S54" s="16" t="n"/>
      <c r="T54" s="20" t="inlineStr">
        <is>
          <t>Shimadzu TOC-L</t>
        </is>
      </c>
      <c r="U54" s="20" t="inlineStr">
        <is>
          <t>None</t>
        </is>
      </c>
      <c r="V54" s="17" t="n"/>
      <c r="W54" s="16" t="n"/>
      <c r="X54" s="20" t="n"/>
      <c r="Y54" s="20" t="inlineStr">
        <is>
          <t>None</t>
        </is>
      </c>
      <c r="Z54" s="17" t="n"/>
      <c r="AA54" s="16" t="n"/>
      <c r="AB54" s="20" t="n"/>
      <c r="AC54" s="20" t="inlineStr">
        <is>
          <t>None</t>
        </is>
      </c>
      <c r="AD54" s="17" t="n"/>
      <c r="AE54" s="16" t="inlineStr">
        <is>
          <t>161</t>
        </is>
      </c>
      <c r="AF54" s="20" t="inlineStr">
        <is>
          <t>IC Anionen</t>
        </is>
      </c>
      <c r="AG54" s="20" t="inlineStr">
        <is>
          <t>None</t>
        </is>
      </c>
      <c r="AH54" s="17" t="n"/>
      <c r="AI54" s="16" t="n"/>
      <c r="AJ54" s="20" t="n"/>
      <c r="AK54" s="20" t="inlineStr">
        <is>
          <t>None</t>
        </is>
      </c>
      <c r="AL54" s="17" t="n"/>
      <c r="AM54" s="16" t="n"/>
      <c r="AN54" s="20" t="inlineStr">
        <is>
          <t>IC Anionen</t>
        </is>
      </c>
      <c r="AO54" s="20" t="inlineStr">
        <is>
          <t>None</t>
        </is>
      </c>
      <c r="AP54" s="17" t="n"/>
      <c r="AQ54" s="16" t="n"/>
      <c r="AR54" s="20" t="n"/>
      <c r="AS54" s="20" t="inlineStr">
        <is>
          <t>None</t>
        </is>
      </c>
      <c r="AT54" s="17" t="n"/>
      <c r="AU54" s="16" t="inlineStr">
        <is>
          <t>14.3</t>
        </is>
      </c>
      <c r="AV54" s="20" t="inlineStr">
        <is>
          <t>IC Anionen</t>
        </is>
      </c>
      <c r="AW54" s="20" t="inlineStr">
        <is>
          <t>None</t>
        </is>
      </c>
      <c r="AX54" s="17" t="n"/>
      <c r="AY54" s="16" t="inlineStr">
        <is>
          <t>1.76</t>
        </is>
      </c>
      <c r="AZ54" s="20" t="inlineStr">
        <is>
          <t>IC Anionen</t>
        </is>
      </c>
      <c r="BA54" s="20" t="inlineStr">
        <is>
          <t>None</t>
        </is>
      </c>
      <c r="BB54" s="17" t="n"/>
      <c r="BC54" s="16" t="inlineStr">
        <is>
          <t>120</t>
        </is>
      </c>
      <c r="BD54" s="20" t="inlineStr">
        <is>
          <t>IC Kationen</t>
        </is>
      </c>
      <c r="BE54" s="20" t="inlineStr">
        <is>
          <t>None</t>
        </is>
      </c>
      <c r="BF54" s="17" t="n"/>
      <c r="BG54" s="16" t="inlineStr">
        <is>
          <t>31.1</t>
        </is>
      </c>
      <c r="BH54" s="20" t="inlineStr">
        <is>
          <t>IC Kationen</t>
        </is>
      </c>
      <c r="BI54" s="20" t="inlineStr">
        <is>
          <t>None</t>
        </is>
      </c>
      <c r="BJ54" s="17" t="n"/>
      <c r="BK54" s="16" t="inlineStr">
        <is>
          <t>16.8</t>
        </is>
      </c>
      <c r="BL54" s="20" t="inlineStr">
        <is>
          <t>IC Kationen</t>
        </is>
      </c>
      <c r="BM54" s="20" t="inlineStr">
        <is>
          <t>None</t>
        </is>
      </c>
      <c r="BN54" s="17" t="n"/>
      <c r="BO54" s="16" t="inlineStr">
        <is>
          <t>160</t>
        </is>
      </c>
      <c r="BP54" s="20" t="inlineStr">
        <is>
          <t>IC Kationen</t>
        </is>
      </c>
      <c r="BQ54" s="20" t="inlineStr">
        <is>
          <t>None</t>
        </is>
      </c>
      <c r="BR54" s="17" t="n"/>
      <c r="BS54" s="16" t="inlineStr">
        <is>
          <t>25.3</t>
        </is>
      </c>
      <c r="BT54" s="20" t="inlineStr">
        <is>
          <t>IC Kationen</t>
        </is>
      </c>
      <c r="BU54" s="20" t="inlineStr">
        <is>
          <t>None</t>
        </is>
      </c>
      <c r="BV54" s="17" t="n"/>
      <c r="BW54" s="16" t="n"/>
      <c r="BX54" s="20" t="n"/>
      <c r="BY54" s="20" t="inlineStr">
        <is>
          <t>None</t>
        </is>
      </c>
      <c r="BZ54" s="17" t="n"/>
      <c r="CA54" s="16" t="n"/>
      <c r="CB54" s="20" t="n"/>
      <c r="CC54" s="20" t="inlineStr">
        <is>
          <t>None</t>
        </is>
      </c>
      <c r="CD54" s="17" t="n"/>
      <c r="CE54" s="16" t="n"/>
      <c r="CF54" s="20" t="n"/>
      <c r="CG54" s="20" t="inlineStr">
        <is>
          <t>None</t>
        </is>
      </c>
      <c r="CH54" s="17" t="n"/>
      <c r="CI54" s="16" t="n"/>
      <c r="CJ54" s="20" t="n"/>
      <c r="CK54" s="20" t="inlineStr">
        <is>
          <t>None</t>
        </is>
      </c>
      <c r="CL54" s="17" t="n"/>
      <c r="CM54" s="16" t="n"/>
      <c r="CN54" s="20" t="inlineStr">
        <is>
          <t>SOP 45-34</t>
        </is>
      </c>
      <c r="CO54" s="20" t="inlineStr">
        <is>
          <t>None</t>
        </is>
      </c>
      <c r="CP54" s="17" t="n"/>
      <c r="CQ54" s="16" t="n"/>
      <c r="CR54" s="20" t="n"/>
      <c r="CS54" s="20" t="inlineStr">
        <is>
          <t>None</t>
        </is>
      </c>
      <c r="CT54" s="17" t="n"/>
      <c r="CU54" s="16" t="n"/>
      <c r="CV54" s="20" t="n"/>
      <c r="CW54" s="20" t="inlineStr">
        <is>
          <t>None</t>
        </is>
      </c>
      <c r="CX54" s="17" t="n"/>
      <c r="CY54" s="16" t="n"/>
      <c r="CZ54" s="20" t="inlineStr">
        <is>
          <t>WTW Multimeter 3430 with FDO 925</t>
        </is>
      </c>
      <c r="DA54" s="20" t="inlineStr">
        <is>
          <t>None</t>
        </is>
      </c>
      <c r="DB54" s="17" t="n"/>
      <c r="DC54" s="16" t="n"/>
      <c r="DD54" s="20" t="n"/>
      <c r="DE54" s="20" t="inlineStr">
        <is>
          <t>None</t>
        </is>
      </c>
      <c r="DF54" s="17" t="n"/>
      <c r="DG54" s="16" t="n"/>
      <c r="DH54" s="20" t="inlineStr">
        <is>
          <t>SOP 45-09</t>
        </is>
      </c>
      <c r="DI54" s="20" t="inlineStr">
        <is>
          <t>None</t>
        </is>
      </c>
      <c r="DJ54" s="17" t="n"/>
      <c r="DK54" s="16" t="n"/>
      <c r="DL54" s="20" t="inlineStr">
        <is>
          <t>SOP 45-09 (SOP muss noch angepasst werden für VSS)</t>
        </is>
      </c>
      <c r="DM54" s="20" t="inlineStr">
        <is>
          <t>None</t>
        </is>
      </c>
      <c r="DN54" s="17" t="n"/>
      <c r="DO54" s="16" t="n"/>
      <c r="DP54" s="20" t="inlineStr">
        <is>
          <t>IC Organic Acids</t>
        </is>
      </c>
      <c r="DQ54" s="20" t="inlineStr">
        <is>
          <t>None</t>
        </is>
      </c>
      <c r="DR54" s="17" t="n"/>
      <c r="DS54" s="16" t="n"/>
      <c r="DT54" s="20" t="inlineStr">
        <is>
          <t>IC Organic Acids</t>
        </is>
      </c>
      <c r="DU54" s="20" t="inlineStr">
        <is>
          <t>None</t>
        </is>
      </c>
      <c r="DV54" s="17" t="n"/>
      <c r="DW54" s="16" t="n"/>
      <c r="DX54" s="20" t="inlineStr">
        <is>
          <t>IC Organic Acids</t>
        </is>
      </c>
      <c r="DY54" s="20" t="inlineStr">
        <is>
          <t>None</t>
        </is>
      </c>
      <c r="DZ54" s="17" t="n"/>
      <c r="EA54" s="16" t="n"/>
      <c r="EB54" s="20" t="inlineStr">
        <is>
          <t>IC Organic Acids</t>
        </is>
      </c>
      <c r="EC54" s="20" t="inlineStr">
        <is>
          <t>None</t>
        </is>
      </c>
      <c r="ED54" s="17" t="n"/>
      <c r="EE54" s="16" t="n"/>
      <c r="EF54" s="20" t="inlineStr">
        <is>
          <t>IC Organic Acids</t>
        </is>
      </c>
      <c r="EG54" s="20" t="inlineStr">
        <is>
          <t>None</t>
        </is>
      </c>
      <c r="EH54" s="17" t="n"/>
      <c r="EI54" s="16" t="n"/>
      <c r="EJ54" s="20" t="inlineStr">
        <is>
          <t>IC Organic Acids</t>
        </is>
      </c>
      <c r="EK54" s="20" t="inlineStr">
        <is>
          <t>None</t>
        </is>
      </c>
      <c r="EL54" s="17" t="n"/>
      <c r="EM54" s="16" t="n"/>
      <c r="EN54" s="20" t="inlineStr">
        <is>
          <t>IC Organic Acids</t>
        </is>
      </c>
      <c r="EO54" s="20" t="inlineStr">
        <is>
          <t>None</t>
        </is>
      </c>
      <c r="EP54" s="17" t="n"/>
      <c r="EQ54" s="16" t="n"/>
      <c r="ER54" s="20" t="inlineStr">
        <is>
          <t>IC Organic Acids</t>
        </is>
      </c>
      <c r="ES54" s="20" t="inlineStr">
        <is>
          <t>None</t>
        </is>
      </c>
      <c r="ET54" s="17" t="n"/>
      <c r="EU54" s="16" t="n"/>
      <c r="EV54" s="20" t="inlineStr">
        <is>
          <t>LC-MS</t>
        </is>
      </c>
      <c r="EW54" s="20" t="inlineStr">
        <is>
          <t>None</t>
        </is>
      </c>
      <c r="EX54" s="17" t="n"/>
      <c r="EY54" s="21" t="n"/>
      <c r="EZ54">
        <f>CONCATENATE(A54,B54)</f>
        <v/>
      </c>
      <c r="FA54">
        <f>CONCATENATE(SamplesX!A54,SamplesX!B54)</f>
        <v/>
      </c>
      <c r="FC54">
        <f>MATCH(EZ54,FA1:FA1008,0)</f>
        <v/>
      </c>
    </row>
    <row r="55">
      <c r="A55" s="16" t="inlineStr">
        <is>
          <t>BP</t>
        </is>
      </c>
      <c r="B55" s="17" t="inlineStr">
        <is>
          <t>25047</t>
        </is>
      </c>
      <c r="C55" s="10">
        <f>IF(ISNUMBER(FC55),INDIRECT("SamplesX!C"&amp;FC55),IF(ISNUMBER(FD55),INDIRECT("SamplesY!C"&amp;FD55),""))</f>
        <v/>
      </c>
      <c r="D55" s="12">
        <f>IF(ISNUMBER(FC55),INDIRECT("SamplesX!D"&amp;FC55),IF(ISNUMBER(FD55),INDIRECT("SamplesY!D"&amp;FD55),""))</f>
        <v/>
      </c>
      <c r="E55" s="12">
        <f>IF(ISNUMBER(FC55),INDIRECT("SamplesX!E"&amp;FC55),IF(ISNUMBER(FD55),INDIRECT("SamplesY!E"&amp;FD55),""))</f>
        <v/>
      </c>
      <c r="F55" s="11">
        <f>IF(ISNUMBER(FC55),INDIRECT("SamplesX!F"&amp;FC55),IF(ISNUMBER(FD55),INDIRECT("SamplesY!F"&amp;FD55),""))</f>
        <v/>
      </c>
      <c r="G55" s="18">
        <f>IF(ISNUMBER(FC55),INDIRECT("SamplesX!G"&amp;FC55),IF(ISNUMBER(FD55),INDIRECT("SamplesY!G"&amp;FD55),""))</f>
        <v/>
      </c>
      <c r="H55" s="19">
        <f>IF(ISNUMBER(FC55),INDIRECT("SamplesX!H"&amp;FC55),IF(ISNUMBER(FD55),INDIRECT("SamplesY!H"&amp;FD55),""))</f>
        <v/>
      </c>
      <c r="I55" s="16" t="n"/>
      <c r="J55" s="16" t="n"/>
      <c r="K55" s="16" t="n"/>
      <c r="L55" s="20" t="n"/>
      <c r="M55" s="20" t="inlineStr">
        <is>
          <t>None</t>
        </is>
      </c>
      <c r="N55" s="17" t="n"/>
      <c r="O55" s="16" t="n"/>
      <c r="P55" s="20" t="inlineStr">
        <is>
          <t>Shimadzu TOC-L</t>
        </is>
      </c>
      <c r="Q55" s="20" t="inlineStr">
        <is>
          <t>None</t>
        </is>
      </c>
      <c r="R55" s="17" t="n"/>
      <c r="S55" s="16" t="n"/>
      <c r="T55" s="20" t="inlineStr">
        <is>
          <t>Shimadzu TOC-L</t>
        </is>
      </c>
      <c r="U55" s="20" t="inlineStr">
        <is>
          <t>None</t>
        </is>
      </c>
      <c r="V55" s="17" t="n"/>
      <c r="W55" s="16" t="n"/>
      <c r="X55" s="20" t="n"/>
      <c r="Y55" s="20" t="inlineStr">
        <is>
          <t>None</t>
        </is>
      </c>
      <c r="Z55" s="17" t="n"/>
      <c r="AA55" s="16" t="n"/>
      <c r="AB55" s="20" t="n"/>
      <c r="AC55" s="20" t="inlineStr">
        <is>
          <t>None</t>
        </is>
      </c>
      <c r="AD55" s="17" t="n"/>
      <c r="AE55" s="16" t="inlineStr">
        <is>
          <t>163</t>
        </is>
      </c>
      <c r="AF55" s="20" t="inlineStr">
        <is>
          <t>IC Anionen</t>
        </is>
      </c>
      <c r="AG55" s="20" t="inlineStr">
        <is>
          <t>None</t>
        </is>
      </c>
      <c r="AH55" s="17" t="n"/>
      <c r="AI55" s="16" t="n"/>
      <c r="AJ55" s="20" t="n"/>
      <c r="AK55" s="20" t="inlineStr">
        <is>
          <t>None</t>
        </is>
      </c>
      <c r="AL55" s="17" t="n"/>
      <c r="AM55" s="16" t="n"/>
      <c r="AN55" s="20" t="inlineStr">
        <is>
          <t>IC Anionen</t>
        </is>
      </c>
      <c r="AO55" s="20" t="inlineStr">
        <is>
          <t>None</t>
        </is>
      </c>
      <c r="AP55" s="17" t="n"/>
      <c r="AQ55" s="16" t="n"/>
      <c r="AR55" s="20" t="n"/>
      <c r="AS55" s="20" t="inlineStr">
        <is>
          <t>None</t>
        </is>
      </c>
      <c r="AT55" s="17" t="n"/>
      <c r="AU55" s="16" t="inlineStr">
        <is>
          <t>15.2</t>
        </is>
      </c>
      <c r="AV55" s="20" t="inlineStr">
        <is>
          <t>IC Anionen</t>
        </is>
      </c>
      <c r="AW55" s="20" t="inlineStr">
        <is>
          <t>None</t>
        </is>
      </c>
      <c r="AX55" s="17" t="n"/>
      <c r="AY55" s="16" t="inlineStr">
        <is>
          <t>0.80</t>
        </is>
      </c>
      <c r="AZ55" s="20" t="inlineStr">
        <is>
          <t>IC Anionen</t>
        </is>
      </c>
      <c r="BA55" s="20" t="inlineStr">
        <is>
          <t>None</t>
        </is>
      </c>
      <c r="BB55" s="17" t="n"/>
      <c r="BC55" s="16" t="inlineStr">
        <is>
          <t>127</t>
        </is>
      </c>
      <c r="BD55" s="20" t="inlineStr">
        <is>
          <t>IC Kationen</t>
        </is>
      </c>
      <c r="BE55" s="20" t="inlineStr">
        <is>
          <t>None</t>
        </is>
      </c>
      <c r="BF55" s="17" t="n"/>
      <c r="BG55" s="16" t="inlineStr">
        <is>
          <t>24.5</t>
        </is>
      </c>
      <c r="BH55" s="20" t="inlineStr">
        <is>
          <t>IC Kationen</t>
        </is>
      </c>
      <c r="BI55" s="20" t="inlineStr">
        <is>
          <t>None</t>
        </is>
      </c>
      <c r="BJ55" s="17" t="n"/>
      <c r="BK55" s="16" t="inlineStr">
        <is>
          <t>16.3</t>
        </is>
      </c>
      <c r="BL55" s="20" t="inlineStr">
        <is>
          <t>IC Kationen</t>
        </is>
      </c>
      <c r="BM55" s="20" t="inlineStr">
        <is>
          <t>None</t>
        </is>
      </c>
      <c r="BN55" s="17" t="n"/>
      <c r="BO55" s="16" t="inlineStr">
        <is>
          <t>170</t>
        </is>
      </c>
      <c r="BP55" s="20" t="inlineStr">
        <is>
          <t>IC Kationen</t>
        </is>
      </c>
      <c r="BQ55" s="20" t="inlineStr">
        <is>
          <t>None</t>
        </is>
      </c>
      <c r="BR55" s="17" t="n"/>
      <c r="BS55" s="16" t="inlineStr">
        <is>
          <t>25.8</t>
        </is>
      </c>
      <c r="BT55" s="20" t="inlineStr">
        <is>
          <t>IC Kationen</t>
        </is>
      </c>
      <c r="BU55" s="20" t="inlineStr">
        <is>
          <t>None</t>
        </is>
      </c>
      <c r="BV55" s="17" t="n"/>
      <c r="BW55" s="16" t="n"/>
      <c r="BX55" s="20" t="n"/>
      <c r="BY55" s="20" t="inlineStr">
        <is>
          <t>None</t>
        </is>
      </c>
      <c r="BZ55" s="17" t="n"/>
      <c r="CA55" s="16" t="n"/>
      <c r="CB55" s="20" t="n"/>
      <c r="CC55" s="20" t="inlineStr">
        <is>
          <t>None</t>
        </is>
      </c>
      <c r="CD55" s="17" t="n"/>
      <c r="CE55" s="16" t="n"/>
      <c r="CF55" s="20" t="n"/>
      <c r="CG55" s="20" t="inlineStr">
        <is>
          <t>None</t>
        </is>
      </c>
      <c r="CH55" s="17" t="n"/>
      <c r="CI55" s="16" t="n"/>
      <c r="CJ55" s="20" t="n"/>
      <c r="CK55" s="20" t="inlineStr">
        <is>
          <t>None</t>
        </is>
      </c>
      <c r="CL55" s="17" t="n"/>
      <c r="CM55" s="16" t="n"/>
      <c r="CN55" s="20" t="inlineStr">
        <is>
          <t>SOP 45-34</t>
        </is>
      </c>
      <c r="CO55" s="20" t="inlineStr">
        <is>
          <t>None</t>
        </is>
      </c>
      <c r="CP55" s="17" t="n"/>
      <c r="CQ55" s="16" t="n"/>
      <c r="CR55" s="20" t="n"/>
      <c r="CS55" s="20" t="inlineStr">
        <is>
          <t>None</t>
        </is>
      </c>
      <c r="CT55" s="17" t="n"/>
      <c r="CU55" s="16" t="n"/>
      <c r="CV55" s="20" t="n"/>
      <c r="CW55" s="20" t="inlineStr">
        <is>
          <t>None</t>
        </is>
      </c>
      <c r="CX55" s="17" t="n"/>
      <c r="CY55" s="16" t="n"/>
      <c r="CZ55" s="20" t="inlineStr">
        <is>
          <t>WTW Multimeter 3430 with FDO 925</t>
        </is>
      </c>
      <c r="DA55" s="20" t="inlineStr">
        <is>
          <t>None</t>
        </is>
      </c>
      <c r="DB55" s="17" t="n"/>
      <c r="DC55" s="16" t="n"/>
      <c r="DD55" s="20" t="n"/>
      <c r="DE55" s="20" t="inlineStr">
        <is>
          <t>None</t>
        </is>
      </c>
      <c r="DF55" s="17" t="n"/>
      <c r="DG55" s="16" t="n"/>
      <c r="DH55" s="20" t="inlineStr">
        <is>
          <t>SOP 45-09</t>
        </is>
      </c>
      <c r="DI55" s="20" t="inlineStr">
        <is>
          <t>None</t>
        </is>
      </c>
      <c r="DJ55" s="17" t="n"/>
      <c r="DK55" s="16" t="n"/>
      <c r="DL55" s="20" t="inlineStr">
        <is>
          <t>SOP 45-09 (SOP muss noch angepasst werden für VSS)</t>
        </is>
      </c>
      <c r="DM55" s="20" t="inlineStr">
        <is>
          <t>None</t>
        </is>
      </c>
      <c r="DN55" s="17" t="n"/>
      <c r="DO55" s="16" t="n"/>
      <c r="DP55" s="20" t="inlineStr">
        <is>
          <t>IC Organic Acids</t>
        </is>
      </c>
      <c r="DQ55" s="20" t="inlineStr">
        <is>
          <t>None</t>
        </is>
      </c>
      <c r="DR55" s="17" t="n"/>
      <c r="DS55" s="16" t="n"/>
      <c r="DT55" s="20" t="inlineStr">
        <is>
          <t>IC Organic Acids</t>
        </is>
      </c>
      <c r="DU55" s="20" t="inlineStr">
        <is>
          <t>None</t>
        </is>
      </c>
      <c r="DV55" s="17" t="n"/>
      <c r="DW55" s="16" t="n"/>
      <c r="DX55" s="20" t="inlineStr">
        <is>
          <t>IC Organic Acids</t>
        </is>
      </c>
      <c r="DY55" s="20" t="inlineStr">
        <is>
          <t>None</t>
        </is>
      </c>
      <c r="DZ55" s="17" t="n"/>
      <c r="EA55" s="16" t="n"/>
      <c r="EB55" s="20" t="inlineStr">
        <is>
          <t>IC Organic Acids</t>
        </is>
      </c>
      <c r="EC55" s="20" t="inlineStr">
        <is>
          <t>None</t>
        </is>
      </c>
      <c r="ED55" s="17" t="n"/>
      <c r="EE55" s="16" t="n"/>
      <c r="EF55" s="20" t="inlineStr">
        <is>
          <t>IC Organic Acids</t>
        </is>
      </c>
      <c r="EG55" s="20" t="inlineStr">
        <is>
          <t>None</t>
        </is>
      </c>
      <c r="EH55" s="17" t="n"/>
      <c r="EI55" s="16" t="n"/>
      <c r="EJ55" s="20" t="inlineStr">
        <is>
          <t>IC Organic Acids</t>
        </is>
      </c>
      <c r="EK55" s="20" t="inlineStr">
        <is>
          <t>None</t>
        </is>
      </c>
      <c r="EL55" s="17" t="n"/>
      <c r="EM55" s="16" t="n"/>
      <c r="EN55" s="20" t="inlineStr">
        <is>
          <t>IC Organic Acids</t>
        </is>
      </c>
      <c r="EO55" s="20" t="inlineStr">
        <is>
          <t>None</t>
        </is>
      </c>
      <c r="EP55" s="17" t="n"/>
      <c r="EQ55" s="16" t="n"/>
      <c r="ER55" s="20" t="inlineStr">
        <is>
          <t>IC Organic Acids</t>
        </is>
      </c>
      <c r="ES55" s="20" t="inlineStr">
        <is>
          <t>None</t>
        </is>
      </c>
      <c r="ET55" s="17" t="n"/>
      <c r="EU55" s="16" t="n"/>
      <c r="EV55" s="20" t="inlineStr">
        <is>
          <t>LC-MS</t>
        </is>
      </c>
      <c r="EW55" s="20" t="inlineStr">
        <is>
          <t>None</t>
        </is>
      </c>
      <c r="EX55" s="17" t="n"/>
      <c r="EY55" s="21" t="n"/>
      <c r="EZ55">
        <f>CONCATENATE(A55,B55)</f>
        <v/>
      </c>
      <c r="FA55">
        <f>CONCATENATE(SamplesX!A55,SamplesX!B55)</f>
        <v/>
      </c>
      <c r="FC55">
        <f>MATCH(EZ55,FA1:FA1008,0)</f>
        <v/>
      </c>
    </row>
    <row r="56">
      <c r="A56" s="16" t="inlineStr">
        <is>
          <t>BP</t>
        </is>
      </c>
      <c r="B56" s="17" t="inlineStr">
        <is>
          <t>25048</t>
        </is>
      </c>
      <c r="C56" s="10">
        <f>IF(ISNUMBER(FC56),INDIRECT("SamplesX!C"&amp;FC56),IF(ISNUMBER(FD56),INDIRECT("SamplesY!C"&amp;FD56),""))</f>
        <v/>
      </c>
      <c r="D56" s="12">
        <f>IF(ISNUMBER(FC56),INDIRECT("SamplesX!D"&amp;FC56),IF(ISNUMBER(FD56),INDIRECT("SamplesY!D"&amp;FD56),""))</f>
        <v/>
      </c>
      <c r="E56" s="12">
        <f>IF(ISNUMBER(FC56),INDIRECT("SamplesX!E"&amp;FC56),IF(ISNUMBER(FD56),INDIRECT("SamplesY!E"&amp;FD56),""))</f>
        <v/>
      </c>
      <c r="F56" s="11">
        <f>IF(ISNUMBER(FC56),INDIRECT("SamplesX!F"&amp;FC56),IF(ISNUMBER(FD56),INDIRECT("SamplesY!F"&amp;FD56),""))</f>
        <v/>
      </c>
      <c r="G56" s="18">
        <f>IF(ISNUMBER(FC56),INDIRECT("SamplesX!G"&amp;FC56),IF(ISNUMBER(FD56),INDIRECT("SamplesY!G"&amp;FD56),""))</f>
        <v/>
      </c>
      <c r="H56" s="19">
        <f>IF(ISNUMBER(FC56),INDIRECT("SamplesX!H"&amp;FC56),IF(ISNUMBER(FD56),INDIRECT("SamplesY!H"&amp;FD56),""))</f>
        <v/>
      </c>
      <c r="I56" s="16" t="n"/>
      <c r="J56" s="16" t="n"/>
      <c r="K56" s="16" t="n"/>
      <c r="L56" s="20" t="n"/>
      <c r="M56" s="20" t="inlineStr">
        <is>
          <t>None</t>
        </is>
      </c>
      <c r="N56" s="17" t="n"/>
      <c r="O56" s="16" t="n"/>
      <c r="P56" s="20" t="inlineStr">
        <is>
          <t>Shimadzu TOC-L</t>
        </is>
      </c>
      <c r="Q56" s="20" t="inlineStr">
        <is>
          <t>None</t>
        </is>
      </c>
      <c r="R56" s="17" t="n"/>
      <c r="S56" s="16" t="n"/>
      <c r="T56" s="20" t="inlineStr">
        <is>
          <t>Shimadzu TOC-L</t>
        </is>
      </c>
      <c r="U56" s="20" t="inlineStr">
        <is>
          <t>None</t>
        </is>
      </c>
      <c r="V56" s="17" t="n"/>
      <c r="W56" s="16" t="n"/>
      <c r="X56" s="20" t="n"/>
      <c r="Y56" s="20" t="inlineStr">
        <is>
          <t>None</t>
        </is>
      </c>
      <c r="Z56" s="17" t="n"/>
      <c r="AA56" s="16" t="n"/>
      <c r="AB56" s="20" t="n"/>
      <c r="AC56" s="20" t="inlineStr">
        <is>
          <t>None</t>
        </is>
      </c>
      <c r="AD56" s="17" t="n"/>
      <c r="AE56" s="16" t="inlineStr">
        <is>
          <t>224</t>
        </is>
      </c>
      <c r="AF56" s="20" t="inlineStr">
        <is>
          <t>IC Anionen</t>
        </is>
      </c>
      <c r="AG56" s="20" t="inlineStr">
        <is>
          <t>None</t>
        </is>
      </c>
      <c r="AH56" s="17" t="n"/>
      <c r="AI56" s="16" t="n"/>
      <c r="AJ56" s="20" t="n"/>
      <c r="AK56" s="20" t="inlineStr">
        <is>
          <t>None</t>
        </is>
      </c>
      <c r="AL56" s="17" t="n"/>
      <c r="AM56" s="16" t="n"/>
      <c r="AN56" s="20" t="inlineStr">
        <is>
          <t>IC Anionen</t>
        </is>
      </c>
      <c r="AO56" s="20" t="inlineStr">
        <is>
          <t>None</t>
        </is>
      </c>
      <c r="AP56" s="17" t="n"/>
      <c r="AQ56" s="16" t="n"/>
      <c r="AR56" s="20" t="n"/>
      <c r="AS56" s="20" t="inlineStr">
        <is>
          <t>None</t>
        </is>
      </c>
      <c r="AT56" s="17" t="n"/>
      <c r="AU56" s="16" t="inlineStr">
        <is>
          <t>14.7</t>
        </is>
      </c>
      <c r="AV56" s="20" t="inlineStr">
        <is>
          <t>IC Anionen</t>
        </is>
      </c>
      <c r="AW56" s="20" t="inlineStr">
        <is>
          <t>None</t>
        </is>
      </c>
      <c r="AX56" s="17" t="n"/>
      <c r="AY56" s="16" t="inlineStr">
        <is>
          <t>3.32</t>
        </is>
      </c>
      <c r="AZ56" s="20" t="inlineStr">
        <is>
          <t>IC Anionen</t>
        </is>
      </c>
      <c r="BA56" s="20" t="inlineStr">
        <is>
          <t>None</t>
        </is>
      </c>
      <c r="BB56" s="17" t="n"/>
      <c r="BC56" s="16" t="inlineStr">
        <is>
          <t>147</t>
        </is>
      </c>
      <c r="BD56" s="20" t="inlineStr">
        <is>
          <t>IC Kationen</t>
        </is>
      </c>
      <c r="BE56" s="20" t="inlineStr">
        <is>
          <t>None</t>
        </is>
      </c>
      <c r="BF56" s="17" t="n"/>
      <c r="BG56" s="16" t="inlineStr">
        <is>
          <t>15.7</t>
        </is>
      </c>
      <c r="BH56" s="20" t="inlineStr">
        <is>
          <t>IC Kationen</t>
        </is>
      </c>
      <c r="BI56" s="20" t="inlineStr">
        <is>
          <t>None</t>
        </is>
      </c>
      <c r="BJ56" s="17" t="n"/>
      <c r="BK56" s="16" t="inlineStr">
        <is>
          <t>17.3</t>
        </is>
      </c>
      <c r="BL56" s="20" t="inlineStr">
        <is>
          <t>IC Kationen</t>
        </is>
      </c>
      <c r="BM56" s="20" t="inlineStr">
        <is>
          <t>None</t>
        </is>
      </c>
      <c r="BN56" s="17" t="n"/>
      <c r="BO56" s="16" t="inlineStr">
        <is>
          <t>209</t>
        </is>
      </c>
      <c r="BP56" s="20" t="inlineStr">
        <is>
          <t>IC Kationen</t>
        </is>
      </c>
      <c r="BQ56" s="20" t="inlineStr">
        <is>
          <t>None</t>
        </is>
      </c>
      <c r="BR56" s="17" t="n"/>
      <c r="BS56" s="16" t="inlineStr">
        <is>
          <t>29.9</t>
        </is>
      </c>
      <c r="BT56" s="20" t="inlineStr">
        <is>
          <t>IC Kationen</t>
        </is>
      </c>
      <c r="BU56" s="20" t="inlineStr">
        <is>
          <t>None</t>
        </is>
      </c>
      <c r="BV56" s="17" t="n"/>
      <c r="BW56" s="16" t="n"/>
      <c r="BX56" s="20" t="n"/>
      <c r="BY56" s="20" t="inlineStr">
        <is>
          <t>None</t>
        </is>
      </c>
      <c r="BZ56" s="17" t="n"/>
      <c r="CA56" s="16" t="n"/>
      <c r="CB56" s="20" t="n"/>
      <c r="CC56" s="20" t="inlineStr">
        <is>
          <t>None</t>
        </is>
      </c>
      <c r="CD56" s="17" t="n"/>
      <c r="CE56" s="16" t="n"/>
      <c r="CF56" s="20" t="n"/>
      <c r="CG56" s="20" t="inlineStr">
        <is>
          <t>None</t>
        </is>
      </c>
      <c r="CH56" s="17" t="n"/>
      <c r="CI56" s="16" t="n"/>
      <c r="CJ56" s="20" t="n"/>
      <c r="CK56" s="20" t="inlineStr">
        <is>
          <t>None</t>
        </is>
      </c>
      <c r="CL56" s="17" t="n"/>
      <c r="CM56" s="16" t="n"/>
      <c r="CN56" s="20" t="inlineStr">
        <is>
          <t>SOP 45-34</t>
        </is>
      </c>
      <c r="CO56" s="20" t="inlineStr">
        <is>
          <t>None</t>
        </is>
      </c>
      <c r="CP56" s="17" t="n"/>
      <c r="CQ56" s="16" t="n"/>
      <c r="CR56" s="20" t="n"/>
      <c r="CS56" s="20" t="inlineStr">
        <is>
          <t>None</t>
        </is>
      </c>
      <c r="CT56" s="17" t="n"/>
      <c r="CU56" s="16" t="n"/>
      <c r="CV56" s="20" t="n"/>
      <c r="CW56" s="20" t="inlineStr">
        <is>
          <t>None</t>
        </is>
      </c>
      <c r="CX56" s="17" t="n"/>
      <c r="CY56" s="16" t="n"/>
      <c r="CZ56" s="20" t="inlineStr">
        <is>
          <t>WTW Multimeter 3430 with FDO 925</t>
        </is>
      </c>
      <c r="DA56" s="20" t="inlineStr">
        <is>
          <t>None</t>
        </is>
      </c>
      <c r="DB56" s="17" t="n"/>
      <c r="DC56" s="16" t="n"/>
      <c r="DD56" s="20" t="n"/>
      <c r="DE56" s="20" t="inlineStr">
        <is>
          <t>None</t>
        </is>
      </c>
      <c r="DF56" s="17" t="n"/>
      <c r="DG56" s="16" t="n"/>
      <c r="DH56" s="20" t="inlineStr">
        <is>
          <t>SOP 45-09</t>
        </is>
      </c>
      <c r="DI56" s="20" t="inlineStr">
        <is>
          <t>None</t>
        </is>
      </c>
      <c r="DJ56" s="17" t="n"/>
      <c r="DK56" s="16" t="n"/>
      <c r="DL56" s="20" t="inlineStr">
        <is>
          <t>SOP 45-09 (SOP muss noch angepasst werden für VSS)</t>
        </is>
      </c>
      <c r="DM56" s="20" t="inlineStr">
        <is>
          <t>None</t>
        </is>
      </c>
      <c r="DN56" s="17" t="n"/>
      <c r="DO56" s="16" t="n"/>
      <c r="DP56" s="20" t="inlineStr">
        <is>
          <t>IC Organic Acids</t>
        </is>
      </c>
      <c r="DQ56" s="20" t="inlineStr">
        <is>
          <t>None</t>
        </is>
      </c>
      <c r="DR56" s="17" t="n"/>
      <c r="DS56" s="16" t="n"/>
      <c r="DT56" s="20" t="inlineStr">
        <is>
          <t>IC Organic Acids</t>
        </is>
      </c>
      <c r="DU56" s="20" t="inlineStr">
        <is>
          <t>None</t>
        </is>
      </c>
      <c r="DV56" s="17" t="n"/>
      <c r="DW56" s="16" t="n"/>
      <c r="DX56" s="20" t="inlineStr">
        <is>
          <t>IC Organic Acids</t>
        </is>
      </c>
      <c r="DY56" s="20" t="inlineStr">
        <is>
          <t>None</t>
        </is>
      </c>
      <c r="DZ56" s="17" t="n"/>
      <c r="EA56" s="16" t="n"/>
      <c r="EB56" s="20" t="inlineStr">
        <is>
          <t>IC Organic Acids</t>
        </is>
      </c>
      <c r="EC56" s="20" t="inlineStr">
        <is>
          <t>None</t>
        </is>
      </c>
      <c r="ED56" s="17" t="n"/>
      <c r="EE56" s="16" t="n"/>
      <c r="EF56" s="20" t="inlineStr">
        <is>
          <t>IC Organic Acids</t>
        </is>
      </c>
      <c r="EG56" s="20" t="inlineStr">
        <is>
          <t>None</t>
        </is>
      </c>
      <c r="EH56" s="17" t="n"/>
      <c r="EI56" s="16" t="n"/>
      <c r="EJ56" s="20" t="inlineStr">
        <is>
          <t>IC Organic Acids</t>
        </is>
      </c>
      <c r="EK56" s="20" t="inlineStr">
        <is>
          <t>None</t>
        </is>
      </c>
      <c r="EL56" s="17" t="n"/>
      <c r="EM56" s="16" t="n"/>
      <c r="EN56" s="20" t="inlineStr">
        <is>
          <t>IC Organic Acids</t>
        </is>
      </c>
      <c r="EO56" s="20" t="inlineStr">
        <is>
          <t>None</t>
        </is>
      </c>
      <c r="EP56" s="17" t="n"/>
      <c r="EQ56" s="16" t="n"/>
      <c r="ER56" s="20" t="inlineStr">
        <is>
          <t>IC Organic Acids</t>
        </is>
      </c>
      <c r="ES56" s="20" t="inlineStr">
        <is>
          <t>None</t>
        </is>
      </c>
      <c r="ET56" s="17" t="n"/>
      <c r="EU56" s="16" t="n"/>
      <c r="EV56" s="20" t="inlineStr">
        <is>
          <t>LC-MS</t>
        </is>
      </c>
      <c r="EW56" s="20" t="inlineStr">
        <is>
          <t>None</t>
        </is>
      </c>
      <c r="EX56" s="17" t="n"/>
      <c r="EY56" s="21" t="n"/>
      <c r="EZ56">
        <f>CONCATENATE(A56,B56)</f>
        <v/>
      </c>
      <c r="FA56">
        <f>CONCATENATE(SamplesX!A56,SamplesX!B56)</f>
        <v/>
      </c>
      <c r="FC56">
        <f>MATCH(EZ56,FA1:FA1008,0)</f>
        <v/>
      </c>
    </row>
    <row r="57">
      <c r="A57" s="16" t="inlineStr">
        <is>
          <t>BP</t>
        </is>
      </c>
      <c r="B57" s="17" t="inlineStr">
        <is>
          <t>25049</t>
        </is>
      </c>
      <c r="C57" s="10">
        <f>IF(ISNUMBER(FC57),INDIRECT("SamplesX!C"&amp;FC57),IF(ISNUMBER(FD57),INDIRECT("SamplesY!C"&amp;FD57),""))</f>
        <v/>
      </c>
      <c r="D57" s="12">
        <f>IF(ISNUMBER(FC57),INDIRECT("SamplesX!D"&amp;FC57),IF(ISNUMBER(FD57),INDIRECT("SamplesY!D"&amp;FD57),""))</f>
        <v/>
      </c>
      <c r="E57" s="12">
        <f>IF(ISNUMBER(FC57),INDIRECT("SamplesX!E"&amp;FC57),IF(ISNUMBER(FD57),INDIRECT("SamplesY!E"&amp;FD57),""))</f>
        <v/>
      </c>
      <c r="F57" s="11">
        <f>IF(ISNUMBER(FC57),INDIRECT("SamplesX!F"&amp;FC57),IF(ISNUMBER(FD57),INDIRECT("SamplesY!F"&amp;FD57),""))</f>
        <v/>
      </c>
      <c r="G57" s="18">
        <f>IF(ISNUMBER(FC57),INDIRECT("SamplesX!G"&amp;FC57),IF(ISNUMBER(FD57),INDIRECT("SamplesY!G"&amp;FD57),""))</f>
        <v/>
      </c>
      <c r="H57" s="19">
        <f>IF(ISNUMBER(FC57),INDIRECT("SamplesX!H"&amp;FC57),IF(ISNUMBER(FD57),INDIRECT("SamplesY!H"&amp;FD57),""))</f>
        <v/>
      </c>
      <c r="I57" s="16" t="n"/>
      <c r="J57" s="16" t="n"/>
      <c r="K57" s="16" t="n"/>
      <c r="L57" s="20" t="n"/>
      <c r="M57" s="20" t="inlineStr">
        <is>
          <t>None</t>
        </is>
      </c>
      <c r="N57" s="17" t="n"/>
      <c r="O57" s="16" t="n"/>
      <c r="P57" s="20" t="inlineStr">
        <is>
          <t>Shimadzu TOC-L</t>
        </is>
      </c>
      <c r="Q57" s="20" t="inlineStr">
        <is>
          <t>None</t>
        </is>
      </c>
      <c r="R57" s="17" t="n"/>
      <c r="S57" s="16" t="n"/>
      <c r="T57" s="20" t="inlineStr">
        <is>
          <t>Shimadzu TOC-L</t>
        </is>
      </c>
      <c r="U57" s="20" t="inlineStr">
        <is>
          <t>None</t>
        </is>
      </c>
      <c r="V57" s="17" t="n"/>
      <c r="W57" s="16" t="n"/>
      <c r="X57" s="20" t="n"/>
      <c r="Y57" s="20" t="inlineStr">
        <is>
          <t>None</t>
        </is>
      </c>
      <c r="Z57" s="17" t="n"/>
      <c r="AA57" s="16" t="n"/>
      <c r="AB57" s="20" t="n"/>
      <c r="AC57" s="20" t="inlineStr">
        <is>
          <t>None</t>
        </is>
      </c>
      <c r="AD57" s="17" t="n"/>
      <c r="AE57" s="16" t="inlineStr">
        <is>
          <t>172</t>
        </is>
      </c>
      <c r="AF57" s="20" t="inlineStr">
        <is>
          <t>IC Anionen</t>
        </is>
      </c>
      <c r="AG57" s="20" t="inlineStr">
        <is>
          <t>None</t>
        </is>
      </c>
      <c r="AH57" s="17" t="n"/>
      <c r="AI57" s="16" t="n"/>
      <c r="AJ57" s="20" t="n"/>
      <c r="AK57" s="20" t="inlineStr">
        <is>
          <t>None</t>
        </is>
      </c>
      <c r="AL57" s="17" t="n"/>
      <c r="AM57" s="16" t="n"/>
      <c r="AN57" s="20" t="inlineStr">
        <is>
          <t>IC Anionen</t>
        </is>
      </c>
      <c r="AO57" s="20" t="inlineStr">
        <is>
          <t>None</t>
        </is>
      </c>
      <c r="AP57" s="17" t="n"/>
      <c r="AQ57" s="16" t="n"/>
      <c r="AR57" s="20" t="n"/>
      <c r="AS57" s="20" t="inlineStr">
        <is>
          <t>None</t>
        </is>
      </c>
      <c r="AT57" s="17" t="n"/>
      <c r="AU57" s="16" t="inlineStr">
        <is>
          <t>5.02</t>
        </is>
      </c>
      <c r="AV57" s="20" t="inlineStr">
        <is>
          <t>IC Anionen</t>
        </is>
      </c>
      <c r="AW57" s="20" t="inlineStr">
        <is>
          <t>None</t>
        </is>
      </c>
      <c r="AX57" s="17" t="n"/>
      <c r="AY57" s="16" t="inlineStr">
        <is>
          <t>8.53</t>
        </is>
      </c>
      <c r="AZ57" s="20" t="inlineStr">
        <is>
          <t>IC Anionen</t>
        </is>
      </c>
      <c r="BA57" s="20" t="inlineStr">
        <is>
          <t>None</t>
        </is>
      </c>
      <c r="BB57" s="17" t="n"/>
      <c r="BC57" s="16" t="inlineStr">
        <is>
          <t>137</t>
        </is>
      </c>
      <c r="BD57" s="20" t="inlineStr">
        <is>
          <t>IC Kationen</t>
        </is>
      </c>
      <c r="BE57" s="20" t="inlineStr">
        <is>
          <t>None</t>
        </is>
      </c>
      <c r="BF57" s="17" t="n"/>
      <c r="BG57" s="16" t="inlineStr">
        <is>
          <t>18.7</t>
        </is>
      </c>
      <c r="BH57" s="20" t="inlineStr">
        <is>
          <t>IC Kationen</t>
        </is>
      </c>
      <c r="BI57" s="20" t="inlineStr">
        <is>
          <t>None</t>
        </is>
      </c>
      <c r="BJ57" s="17" t="n"/>
      <c r="BK57" s="16" t="inlineStr">
        <is>
          <t>17.5</t>
        </is>
      </c>
      <c r="BL57" s="20" t="inlineStr">
        <is>
          <t>IC Kationen</t>
        </is>
      </c>
      <c r="BM57" s="20" t="inlineStr">
        <is>
          <t>None</t>
        </is>
      </c>
      <c r="BN57" s="17" t="n"/>
      <c r="BO57" s="16" t="inlineStr">
        <is>
          <t>112</t>
        </is>
      </c>
      <c r="BP57" s="20" t="inlineStr">
        <is>
          <t>IC Kationen</t>
        </is>
      </c>
      <c r="BQ57" s="20" t="inlineStr">
        <is>
          <t>None</t>
        </is>
      </c>
      <c r="BR57" s="17" t="n"/>
      <c r="BS57" s="16" t="inlineStr">
        <is>
          <t>22.6</t>
        </is>
      </c>
      <c r="BT57" s="20" t="inlineStr">
        <is>
          <t>IC Kationen</t>
        </is>
      </c>
      <c r="BU57" s="20" t="inlineStr">
        <is>
          <t>None</t>
        </is>
      </c>
      <c r="BV57" s="17" t="n"/>
      <c r="BW57" s="16" t="n"/>
      <c r="BX57" s="20" t="n"/>
      <c r="BY57" s="20" t="inlineStr">
        <is>
          <t>None</t>
        </is>
      </c>
      <c r="BZ57" s="17" t="n"/>
      <c r="CA57" s="16" t="n"/>
      <c r="CB57" s="20" t="n"/>
      <c r="CC57" s="20" t="inlineStr">
        <is>
          <t>None</t>
        </is>
      </c>
      <c r="CD57" s="17" t="n"/>
      <c r="CE57" s="16" t="n"/>
      <c r="CF57" s="20" t="n"/>
      <c r="CG57" s="20" t="inlineStr">
        <is>
          <t>None</t>
        </is>
      </c>
      <c r="CH57" s="17" t="n"/>
      <c r="CI57" s="16" t="n"/>
      <c r="CJ57" s="20" t="n"/>
      <c r="CK57" s="20" t="inlineStr">
        <is>
          <t>None</t>
        </is>
      </c>
      <c r="CL57" s="17" t="n"/>
      <c r="CM57" s="16" t="n"/>
      <c r="CN57" s="20" t="inlineStr">
        <is>
          <t>SOP 45-34</t>
        </is>
      </c>
      <c r="CO57" s="20" t="inlineStr">
        <is>
          <t>None</t>
        </is>
      </c>
      <c r="CP57" s="17" t="n"/>
      <c r="CQ57" s="16" t="n"/>
      <c r="CR57" s="20" t="n"/>
      <c r="CS57" s="20" t="inlineStr">
        <is>
          <t>None</t>
        </is>
      </c>
      <c r="CT57" s="17" t="n"/>
      <c r="CU57" s="16" t="n"/>
      <c r="CV57" s="20" t="n"/>
      <c r="CW57" s="20" t="inlineStr">
        <is>
          <t>None</t>
        </is>
      </c>
      <c r="CX57" s="17" t="n"/>
      <c r="CY57" s="16" t="n"/>
      <c r="CZ57" s="20" t="inlineStr">
        <is>
          <t>WTW Multimeter 3430 with FDO 925</t>
        </is>
      </c>
      <c r="DA57" s="20" t="inlineStr">
        <is>
          <t>None</t>
        </is>
      </c>
      <c r="DB57" s="17" t="n"/>
      <c r="DC57" s="16" t="n"/>
      <c r="DD57" s="20" t="n"/>
      <c r="DE57" s="20" t="inlineStr">
        <is>
          <t>None</t>
        </is>
      </c>
      <c r="DF57" s="17" t="n"/>
      <c r="DG57" s="16" t="n"/>
      <c r="DH57" s="20" t="inlineStr">
        <is>
          <t>SOP 45-09</t>
        </is>
      </c>
      <c r="DI57" s="20" t="inlineStr">
        <is>
          <t>None</t>
        </is>
      </c>
      <c r="DJ57" s="17" t="n"/>
      <c r="DK57" s="16" t="n"/>
      <c r="DL57" s="20" t="inlineStr">
        <is>
          <t>SOP 45-09 (SOP muss noch angepasst werden für VSS)</t>
        </is>
      </c>
      <c r="DM57" s="20" t="inlineStr">
        <is>
          <t>None</t>
        </is>
      </c>
      <c r="DN57" s="17" t="n"/>
      <c r="DO57" s="16" t="n"/>
      <c r="DP57" s="20" t="inlineStr">
        <is>
          <t>IC Organic Acids</t>
        </is>
      </c>
      <c r="DQ57" s="20" t="inlineStr">
        <is>
          <t>None</t>
        </is>
      </c>
      <c r="DR57" s="17" t="n"/>
      <c r="DS57" s="16" t="n"/>
      <c r="DT57" s="20" t="inlineStr">
        <is>
          <t>IC Organic Acids</t>
        </is>
      </c>
      <c r="DU57" s="20" t="inlineStr">
        <is>
          <t>None</t>
        </is>
      </c>
      <c r="DV57" s="17" t="n"/>
      <c r="DW57" s="16" t="n"/>
      <c r="DX57" s="20" t="inlineStr">
        <is>
          <t>IC Organic Acids</t>
        </is>
      </c>
      <c r="DY57" s="20" t="inlineStr">
        <is>
          <t>None</t>
        </is>
      </c>
      <c r="DZ57" s="17" t="n"/>
      <c r="EA57" s="16" t="n"/>
      <c r="EB57" s="20" t="inlineStr">
        <is>
          <t>IC Organic Acids</t>
        </is>
      </c>
      <c r="EC57" s="20" t="inlineStr">
        <is>
          <t>None</t>
        </is>
      </c>
      <c r="ED57" s="17" t="n"/>
      <c r="EE57" s="16" t="n"/>
      <c r="EF57" s="20" t="inlineStr">
        <is>
          <t>IC Organic Acids</t>
        </is>
      </c>
      <c r="EG57" s="20" t="inlineStr">
        <is>
          <t>None</t>
        </is>
      </c>
      <c r="EH57" s="17" t="n"/>
      <c r="EI57" s="16" t="n"/>
      <c r="EJ57" s="20" t="inlineStr">
        <is>
          <t>IC Organic Acids</t>
        </is>
      </c>
      <c r="EK57" s="20" t="inlineStr">
        <is>
          <t>None</t>
        </is>
      </c>
      <c r="EL57" s="17" t="n"/>
      <c r="EM57" s="16" t="n"/>
      <c r="EN57" s="20" t="inlineStr">
        <is>
          <t>IC Organic Acids</t>
        </is>
      </c>
      <c r="EO57" s="20" t="inlineStr">
        <is>
          <t>None</t>
        </is>
      </c>
      <c r="EP57" s="17" t="n"/>
      <c r="EQ57" s="16" t="n"/>
      <c r="ER57" s="20" t="inlineStr">
        <is>
          <t>IC Organic Acids</t>
        </is>
      </c>
      <c r="ES57" s="20" t="inlineStr">
        <is>
          <t>None</t>
        </is>
      </c>
      <c r="ET57" s="17" t="n"/>
      <c r="EU57" s="16" t="n"/>
      <c r="EV57" s="20" t="inlineStr">
        <is>
          <t>LC-MS</t>
        </is>
      </c>
      <c r="EW57" s="20" t="inlineStr">
        <is>
          <t>None</t>
        </is>
      </c>
      <c r="EX57" s="17" t="n"/>
      <c r="EY57" s="21" t="n"/>
      <c r="EZ57">
        <f>CONCATENATE(A57,B57)</f>
        <v/>
      </c>
      <c r="FA57">
        <f>CONCATENATE(SamplesX!A57,SamplesX!B57)</f>
        <v/>
      </c>
      <c r="FC57">
        <f>MATCH(EZ57,FA1:FA1008,0)</f>
        <v/>
      </c>
    </row>
    <row r="58">
      <c r="A58" s="16" t="inlineStr">
        <is>
          <t>BP</t>
        </is>
      </c>
      <c r="B58" s="17" t="inlineStr">
        <is>
          <t>25050</t>
        </is>
      </c>
      <c r="C58" s="10">
        <f>IF(ISNUMBER(FC58),INDIRECT("SamplesX!C"&amp;FC58),IF(ISNUMBER(FD58),INDIRECT("SamplesY!C"&amp;FD58),""))</f>
        <v/>
      </c>
      <c r="D58" s="12">
        <f>IF(ISNUMBER(FC58),INDIRECT("SamplesX!D"&amp;FC58),IF(ISNUMBER(FD58),INDIRECT("SamplesY!D"&amp;FD58),""))</f>
        <v/>
      </c>
      <c r="E58" s="12">
        <f>IF(ISNUMBER(FC58),INDIRECT("SamplesX!E"&amp;FC58),IF(ISNUMBER(FD58),INDIRECT("SamplesY!E"&amp;FD58),""))</f>
        <v/>
      </c>
      <c r="F58" s="11">
        <f>IF(ISNUMBER(FC58),INDIRECT("SamplesX!F"&amp;FC58),IF(ISNUMBER(FD58),INDIRECT("SamplesY!F"&amp;FD58),""))</f>
        <v/>
      </c>
      <c r="G58" s="18">
        <f>IF(ISNUMBER(FC58),INDIRECT("SamplesX!G"&amp;FC58),IF(ISNUMBER(FD58),INDIRECT("SamplesY!G"&amp;FD58),""))</f>
        <v/>
      </c>
      <c r="H58" s="19">
        <f>IF(ISNUMBER(FC58),INDIRECT("SamplesX!H"&amp;FC58),IF(ISNUMBER(FD58),INDIRECT("SamplesY!H"&amp;FD58),""))</f>
        <v/>
      </c>
      <c r="I58" s="16" t="n"/>
      <c r="J58" s="16" t="n"/>
      <c r="K58" s="16" t="n"/>
      <c r="L58" s="20" t="n"/>
      <c r="M58" s="20" t="inlineStr">
        <is>
          <t>None</t>
        </is>
      </c>
      <c r="N58" s="17" t="n"/>
      <c r="O58" s="16" t="n"/>
      <c r="P58" s="20" t="inlineStr">
        <is>
          <t>Shimadzu TOC-L</t>
        </is>
      </c>
      <c r="Q58" s="20" t="inlineStr">
        <is>
          <t>None</t>
        </is>
      </c>
      <c r="R58" s="17" t="n"/>
      <c r="S58" s="16" t="n"/>
      <c r="T58" s="20" t="inlineStr">
        <is>
          <t>Shimadzu TOC-L</t>
        </is>
      </c>
      <c r="U58" s="20" t="inlineStr">
        <is>
          <t>None</t>
        </is>
      </c>
      <c r="V58" s="17" t="n"/>
      <c r="W58" s="16" t="n"/>
      <c r="X58" s="20" t="n"/>
      <c r="Y58" s="20" t="inlineStr">
        <is>
          <t>None</t>
        </is>
      </c>
      <c r="Z58" s="17" t="n"/>
      <c r="AA58" s="16" t="n"/>
      <c r="AB58" s="20" t="n"/>
      <c r="AC58" s="20" t="inlineStr">
        <is>
          <t>None</t>
        </is>
      </c>
      <c r="AD58" s="17" t="n"/>
      <c r="AE58" s="16" t="inlineStr">
        <is>
          <t>166</t>
        </is>
      </c>
      <c r="AF58" s="20" t="inlineStr">
        <is>
          <t>IC Anionen</t>
        </is>
      </c>
      <c r="AG58" s="20" t="inlineStr">
        <is>
          <t>None</t>
        </is>
      </c>
      <c r="AH58" s="17" t="n"/>
      <c r="AI58" s="16" t="n"/>
      <c r="AJ58" s="20" t="n"/>
      <c r="AK58" s="20" t="inlineStr">
        <is>
          <t>None</t>
        </is>
      </c>
      <c r="AL58" s="17" t="n"/>
      <c r="AM58" s="16" t="n"/>
      <c r="AN58" s="20" t="inlineStr">
        <is>
          <t>IC Anionen</t>
        </is>
      </c>
      <c r="AO58" s="20" t="inlineStr">
        <is>
          <t>None</t>
        </is>
      </c>
      <c r="AP58" s="17" t="n"/>
      <c r="AQ58" s="16" t="n"/>
      <c r="AR58" s="20" t="n"/>
      <c r="AS58" s="20" t="inlineStr">
        <is>
          <t>None</t>
        </is>
      </c>
      <c r="AT58" s="17" t="n"/>
      <c r="AU58" s="16" t="inlineStr">
        <is>
          <t>5.34</t>
        </is>
      </c>
      <c r="AV58" s="20" t="inlineStr">
        <is>
          <t>IC Anionen</t>
        </is>
      </c>
      <c r="AW58" s="20" t="inlineStr">
        <is>
          <t>None</t>
        </is>
      </c>
      <c r="AX58" s="17" t="n"/>
      <c r="AY58" s="16" t="inlineStr">
        <is>
          <t>3.11</t>
        </is>
      </c>
      <c r="AZ58" s="20" t="inlineStr">
        <is>
          <t>IC Anionen</t>
        </is>
      </c>
      <c r="BA58" s="20" t="inlineStr">
        <is>
          <t>None</t>
        </is>
      </c>
      <c r="BB58" s="17" t="n"/>
      <c r="BC58" s="16" t="inlineStr">
        <is>
          <t>133</t>
        </is>
      </c>
      <c r="BD58" s="20" t="inlineStr">
        <is>
          <t>IC Kationen</t>
        </is>
      </c>
      <c r="BE58" s="20" t="inlineStr">
        <is>
          <t>None</t>
        </is>
      </c>
      <c r="BF58" s="17" t="n"/>
      <c r="BG58" s="16" t="inlineStr">
        <is>
          <t>17.6</t>
        </is>
      </c>
      <c r="BH58" s="20" t="inlineStr">
        <is>
          <t>IC Kationen</t>
        </is>
      </c>
      <c r="BI58" s="20" t="inlineStr">
        <is>
          <t>None</t>
        </is>
      </c>
      <c r="BJ58" s="17" t="n"/>
      <c r="BK58" s="16" t="inlineStr">
        <is>
          <t>18.9</t>
        </is>
      </c>
      <c r="BL58" s="20" t="inlineStr">
        <is>
          <t>IC Kationen</t>
        </is>
      </c>
      <c r="BM58" s="20" t="inlineStr">
        <is>
          <t>None</t>
        </is>
      </c>
      <c r="BN58" s="17" t="n"/>
      <c r="BO58" s="16" t="inlineStr">
        <is>
          <t>113</t>
        </is>
      </c>
      <c r="BP58" s="20" t="inlineStr">
        <is>
          <t>IC Kationen</t>
        </is>
      </c>
      <c r="BQ58" s="20" t="inlineStr">
        <is>
          <t>None</t>
        </is>
      </c>
      <c r="BR58" s="17" t="n"/>
      <c r="BS58" s="16" t="inlineStr">
        <is>
          <t>23.2</t>
        </is>
      </c>
      <c r="BT58" s="20" t="inlineStr">
        <is>
          <t>IC Kationen</t>
        </is>
      </c>
      <c r="BU58" s="20" t="inlineStr">
        <is>
          <t>None</t>
        </is>
      </c>
      <c r="BV58" s="17" t="n"/>
      <c r="BW58" s="16" t="n"/>
      <c r="BX58" s="20" t="n"/>
      <c r="BY58" s="20" t="inlineStr">
        <is>
          <t>None</t>
        </is>
      </c>
      <c r="BZ58" s="17" t="n"/>
      <c r="CA58" s="16" t="n"/>
      <c r="CB58" s="20" t="n"/>
      <c r="CC58" s="20" t="inlineStr">
        <is>
          <t>None</t>
        </is>
      </c>
      <c r="CD58" s="17" t="n"/>
      <c r="CE58" s="16" t="n"/>
      <c r="CF58" s="20" t="n"/>
      <c r="CG58" s="20" t="inlineStr">
        <is>
          <t>None</t>
        </is>
      </c>
      <c r="CH58" s="17" t="n"/>
      <c r="CI58" s="16" t="n"/>
      <c r="CJ58" s="20" t="n"/>
      <c r="CK58" s="20" t="inlineStr">
        <is>
          <t>None</t>
        </is>
      </c>
      <c r="CL58" s="17" t="n"/>
      <c r="CM58" s="16" t="n"/>
      <c r="CN58" s="20" t="inlineStr">
        <is>
          <t>SOP 45-34</t>
        </is>
      </c>
      <c r="CO58" s="20" t="inlineStr">
        <is>
          <t>None</t>
        </is>
      </c>
      <c r="CP58" s="17" t="n"/>
      <c r="CQ58" s="16" t="n"/>
      <c r="CR58" s="20" t="n"/>
      <c r="CS58" s="20" t="inlineStr">
        <is>
          <t>None</t>
        </is>
      </c>
      <c r="CT58" s="17" t="n"/>
      <c r="CU58" s="16" t="n"/>
      <c r="CV58" s="20" t="n"/>
      <c r="CW58" s="20" t="inlineStr">
        <is>
          <t>None</t>
        </is>
      </c>
      <c r="CX58" s="17" t="n"/>
      <c r="CY58" s="16" t="n"/>
      <c r="CZ58" s="20" t="inlineStr">
        <is>
          <t>WTW Multimeter 3430 with FDO 925</t>
        </is>
      </c>
      <c r="DA58" s="20" t="inlineStr">
        <is>
          <t>None</t>
        </is>
      </c>
      <c r="DB58" s="17" t="n"/>
      <c r="DC58" s="16" t="n"/>
      <c r="DD58" s="20" t="n"/>
      <c r="DE58" s="20" t="inlineStr">
        <is>
          <t>None</t>
        </is>
      </c>
      <c r="DF58" s="17" t="n"/>
      <c r="DG58" s="16" t="n"/>
      <c r="DH58" s="20" t="inlineStr">
        <is>
          <t>SOP 45-09</t>
        </is>
      </c>
      <c r="DI58" s="20" t="inlineStr">
        <is>
          <t>None</t>
        </is>
      </c>
      <c r="DJ58" s="17" t="n"/>
      <c r="DK58" s="16" t="n"/>
      <c r="DL58" s="20" t="inlineStr">
        <is>
          <t>SOP 45-09 (SOP muss noch angepasst werden für VSS)</t>
        </is>
      </c>
      <c r="DM58" s="20" t="inlineStr">
        <is>
          <t>None</t>
        </is>
      </c>
      <c r="DN58" s="17" t="n"/>
      <c r="DO58" s="16" t="n"/>
      <c r="DP58" s="20" t="inlineStr">
        <is>
          <t>IC Organic Acids</t>
        </is>
      </c>
      <c r="DQ58" s="20" t="inlineStr">
        <is>
          <t>None</t>
        </is>
      </c>
      <c r="DR58" s="17" t="n"/>
      <c r="DS58" s="16" t="n"/>
      <c r="DT58" s="20" t="inlineStr">
        <is>
          <t>IC Organic Acids</t>
        </is>
      </c>
      <c r="DU58" s="20" t="inlineStr">
        <is>
          <t>None</t>
        </is>
      </c>
      <c r="DV58" s="17" t="n"/>
      <c r="DW58" s="16" t="n"/>
      <c r="DX58" s="20" t="inlineStr">
        <is>
          <t>IC Organic Acids</t>
        </is>
      </c>
      <c r="DY58" s="20" t="inlineStr">
        <is>
          <t>None</t>
        </is>
      </c>
      <c r="DZ58" s="17" t="n"/>
      <c r="EA58" s="16" t="n"/>
      <c r="EB58" s="20" t="inlineStr">
        <is>
          <t>IC Organic Acids</t>
        </is>
      </c>
      <c r="EC58" s="20" t="inlineStr">
        <is>
          <t>None</t>
        </is>
      </c>
      <c r="ED58" s="17" t="n"/>
      <c r="EE58" s="16" t="n"/>
      <c r="EF58" s="20" t="inlineStr">
        <is>
          <t>IC Organic Acids</t>
        </is>
      </c>
      <c r="EG58" s="20" t="inlineStr">
        <is>
          <t>None</t>
        </is>
      </c>
      <c r="EH58" s="17" t="n"/>
      <c r="EI58" s="16" t="n"/>
      <c r="EJ58" s="20" t="inlineStr">
        <is>
          <t>IC Organic Acids</t>
        </is>
      </c>
      <c r="EK58" s="20" t="inlineStr">
        <is>
          <t>None</t>
        </is>
      </c>
      <c r="EL58" s="17" t="n"/>
      <c r="EM58" s="16" t="n"/>
      <c r="EN58" s="20" t="inlineStr">
        <is>
          <t>IC Organic Acids</t>
        </is>
      </c>
      <c r="EO58" s="20" t="inlineStr">
        <is>
          <t>None</t>
        </is>
      </c>
      <c r="EP58" s="17" t="n"/>
      <c r="EQ58" s="16" t="n"/>
      <c r="ER58" s="20" t="inlineStr">
        <is>
          <t>IC Organic Acids</t>
        </is>
      </c>
      <c r="ES58" s="20" t="inlineStr">
        <is>
          <t>None</t>
        </is>
      </c>
      <c r="ET58" s="17" t="n"/>
      <c r="EU58" s="16" t="n"/>
      <c r="EV58" s="20" t="inlineStr">
        <is>
          <t>LC-MS</t>
        </is>
      </c>
      <c r="EW58" s="20" t="inlineStr">
        <is>
          <t>None</t>
        </is>
      </c>
      <c r="EX58" s="17" t="n"/>
      <c r="EY58" s="21" t="n"/>
      <c r="EZ58">
        <f>CONCATENATE(A58,B58)</f>
        <v/>
      </c>
      <c r="FA58">
        <f>CONCATENATE(SamplesX!A58,SamplesX!B58)</f>
        <v/>
      </c>
      <c r="FC58">
        <f>MATCH(EZ58,FA1:FA1008,0)</f>
        <v/>
      </c>
    </row>
    <row r="59">
      <c r="A59" s="16" t="inlineStr">
        <is>
          <t>BP</t>
        </is>
      </c>
      <c r="B59" s="17" t="inlineStr">
        <is>
          <t>25051</t>
        </is>
      </c>
      <c r="C59" s="10">
        <f>IF(ISNUMBER(FC59),INDIRECT("SamplesX!C"&amp;FC59),IF(ISNUMBER(FD59),INDIRECT("SamplesY!C"&amp;FD59),""))</f>
        <v/>
      </c>
      <c r="D59" s="12">
        <f>IF(ISNUMBER(FC59),INDIRECT("SamplesX!D"&amp;FC59),IF(ISNUMBER(FD59),INDIRECT("SamplesY!D"&amp;FD59),""))</f>
        <v/>
      </c>
      <c r="E59" s="12">
        <f>IF(ISNUMBER(FC59),INDIRECT("SamplesX!E"&amp;FC59),IF(ISNUMBER(FD59),INDIRECT("SamplesY!E"&amp;FD59),""))</f>
        <v/>
      </c>
      <c r="F59" s="11">
        <f>IF(ISNUMBER(FC59),INDIRECT("SamplesX!F"&amp;FC59),IF(ISNUMBER(FD59),INDIRECT("SamplesY!F"&amp;FD59),""))</f>
        <v/>
      </c>
      <c r="G59" s="18">
        <f>IF(ISNUMBER(FC59),INDIRECT("SamplesX!G"&amp;FC59),IF(ISNUMBER(FD59),INDIRECT("SamplesY!G"&amp;FD59),""))</f>
        <v/>
      </c>
      <c r="H59" s="19">
        <f>IF(ISNUMBER(FC59),INDIRECT("SamplesX!H"&amp;FC59),IF(ISNUMBER(FD59),INDIRECT("SamplesY!H"&amp;FD59),""))</f>
        <v/>
      </c>
      <c r="I59" s="16" t="n"/>
      <c r="J59" s="16" t="n"/>
      <c r="K59" s="16" t="n"/>
      <c r="L59" s="20" t="n"/>
      <c r="M59" s="20" t="inlineStr">
        <is>
          <t>None</t>
        </is>
      </c>
      <c r="N59" s="17" t="n"/>
      <c r="O59" s="16" t="n"/>
      <c r="P59" s="20" t="inlineStr">
        <is>
          <t>Shimadzu TOC-L</t>
        </is>
      </c>
      <c r="Q59" s="20" t="inlineStr">
        <is>
          <t>None</t>
        </is>
      </c>
      <c r="R59" s="17" t="n"/>
      <c r="S59" s="16" t="n"/>
      <c r="T59" s="20" t="inlineStr">
        <is>
          <t>Shimadzu TOC-L</t>
        </is>
      </c>
      <c r="U59" s="20" t="inlineStr">
        <is>
          <t>None</t>
        </is>
      </c>
      <c r="V59" s="17" t="n"/>
      <c r="W59" s="16" t="n"/>
      <c r="X59" s="20" t="n"/>
      <c r="Y59" s="20" t="inlineStr">
        <is>
          <t>None</t>
        </is>
      </c>
      <c r="Z59" s="17" t="n"/>
      <c r="AA59" s="16" t="n"/>
      <c r="AB59" s="20" t="n"/>
      <c r="AC59" s="20" t="inlineStr">
        <is>
          <t>None</t>
        </is>
      </c>
      <c r="AD59" s="17" t="n"/>
      <c r="AE59" s="16" t="inlineStr">
        <is>
          <t>201</t>
        </is>
      </c>
      <c r="AF59" s="20" t="inlineStr">
        <is>
          <t>IC Anionen</t>
        </is>
      </c>
      <c r="AG59" s="20" t="inlineStr">
        <is>
          <t>None</t>
        </is>
      </c>
      <c r="AH59" s="17" t="n"/>
      <c r="AI59" s="16" t="n"/>
      <c r="AJ59" s="20" t="n"/>
      <c r="AK59" s="20" t="inlineStr">
        <is>
          <t>None</t>
        </is>
      </c>
      <c r="AL59" s="17" t="n"/>
      <c r="AM59" s="16" t="n"/>
      <c r="AN59" s="20" t="inlineStr">
        <is>
          <t>IC Anionen</t>
        </is>
      </c>
      <c r="AO59" s="20" t="inlineStr">
        <is>
          <t>None</t>
        </is>
      </c>
      <c r="AP59" s="17" t="n"/>
      <c r="AQ59" s="16" t="n"/>
      <c r="AR59" s="20" t="n"/>
      <c r="AS59" s="20" t="inlineStr">
        <is>
          <t>None</t>
        </is>
      </c>
      <c r="AT59" s="17" t="n"/>
      <c r="AU59" s="16" t="inlineStr">
        <is>
          <t>12.5</t>
        </is>
      </c>
      <c r="AV59" s="20" t="inlineStr">
        <is>
          <t>IC Anionen</t>
        </is>
      </c>
      <c r="AW59" s="20" t="inlineStr">
        <is>
          <t>None</t>
        </is>
      </c>
      <c r="AX59" s="17" t="n"/>
      <c r="AY59" s="16" t="inlineStr">
        <is>
          <t>2.89</t>
        </is>
      </c>
      <c r="AZ59" s="20" t="inlineStr">
        <is>
          <t>IC Anionen</t>
        </is>
      </c>
      <c r="BA59" s="20" t="inlineStr">
        <is>
          <t>None</t>
        </is>
      </c>
      <c r="BB59" s="17" t="n"/>
      <c r="BC59" s="16" t="inlineStr">
        <is>
          <t>146</t>
        </is>
      </c>
      <c r="BD59" s="20" t="inlineStr">
        <is>
          <t>IC Kationen</t>
        </is>
      </c>
      <c r="BE59" s="20" t="inlineStr">
        <is>
          <t>None</t>
        </is>
      </c>
      <c r="BF59" s="17" t="n"/>
      <c r="BG59" s="16" t="inlineStr">
        <is>
          <t>21.5</t>
        </is>
      </c>
      <c r="BH59" s="20" t="inlineStr">
        <is>
          <t>IC Kationen</t>
        </is>
      </c>
      <c r="BI59" s="20" t="inlineStr">
        <is>
          <t>None</t>
        </is>
      </c>
      <c r="BJ59" s="17" t="n"/>
      <c r="BK59" s="16" t="inlineStr">
        <is>
          <t>16.5</t>
        </is>
      </c>
      <c r="BL59" s="20" t="inlineStr">
        <is>
          <t>IC Kationen</t>
        </is>
      </c>
      <c r="BM59" s="20" t="inlineStr">
        <is>
          <t>None</t>
        </is>
      </c>
      <c r="BN59" s="17" t="n"/>
      <c r="BO59" s="16" t="inlineStr">
        <is>
          <t>238</t>
        </is>
      </c>
      <c r="BP59" s="20" t="inlineStr">
        <is>
          <t>IC Kationen</t>
        </is>
      </c>
      <c r="BQ59" s="20" t="inlineStr">
        <is>
          <t>None</t>
        </is>
      </c>
      <c r="BR59" s="17" t="n"/>
      <c r="BS59" s="16" t="inlineStr">
        <is>
          <t>28.3</t>
        </is>
      </c>
      <c r="BT59" s="20" t="inlineStr">
        <is>
          <t>IC Kationen</t>
        </is>
      </c>
      <c r="BU59" s="20" t="inlineStr">
        <is>
          <t>None</t>
        </is>
      </c>
      <c r="BV59" s="17" t="n"/>
      <c r="BW59" s="16" t="n"/>
      <c r="BX59" s="20" t="n"/>
      <c r="BY59" s="20" t="inlineStr">
        <is>
          <t>None</t>
        </is>
      </c>
      <c r="BZ59" s="17" t="n"/>
      <c r="CA59" s="16" t="n"/>
      <c r="CB59" s="20" t="n"/>
      <c r="CC59" s="20" t="inlineStr">
        <is>
          <t>None</t>
        </is>
      </c>
      <c r="CD59" s="17" t="n"/>
      <c r="CE59" s="16" t="n"/>
      <c r="CF59" s="20" t="n"/>
      <c r="CG59" s="20" t="inlineStr">
        <is>
          <t>None</t>
        </is>
      </c>
      <c r="CH59" s="17" t="n"/>
      <c r="CI59" s="16" t="n"/>
      <c r="CJ59" s="20" t="n"/>
      <c r="CK59" s="20" t="inlineStr">
        <is>
          <t>None</t>
        </is>
      </c>
      <c r="CL59" s="17" t="n"/>
      <c r="CM59" s="16" t="n"/>
      <c r="CN59" s="20" t="inlineStr">
        <is>
          <t>SOP 45-34</t>
        </is>
      </c>
      <c r="CO59" s="20" t="inlineStr">
        <is>
          <t>None</t>
        </is>
      </c>
      <c r="CP59" s="17" t="n"/>
      <c r="CQ59" s="16" t="n"/>
      <c r="CR59" s="20" t="n"/>
      <c r="CS59" s="20" t="inlineStr">
        <is>
          <t>None</t>
        </is>
      </c>
      <c r="CT59" s="17" t="n"/>
      <c r="CU59" s="16" t="n"/>
      <c r="CV59" s="20" t="n"/>
      <c r="CW59" s="20" t="inlineStr">
        <is>
          <t>None</t>
        </is>
      </c>
      <c r="CX59" s="17" t="n"/>
      <c r="CY59" s="16" t="n"/>
      <c r="CZ59" s="20" t="inlineStr">
        <is>
          <t>WTW Multimeter 3430 with FDO 925</t>
        </is>
      </c>
      <c r="DA59" s="20" t="inlineStr">
        <is>
          <t>None</t>
        </is>
      </c>
      <c r="DB59" s="17" t="n"/>
      <c r="DC59" s="16" t="n"/>
      <c r="DD59" s="20" t="n"/>
      <c r="DE59" s="20" t="inlineStr">
        <is>
          <t>None</t>
        </is>
      </c>
      <c r="DF59" s="17" t="n"/>
      <c r="DG59" s="16" t="n"/>
      <c r="DH59" s="20" t="inlineStr">
        <is>
          <t>SOP 45-09</t>
        </is>
      </c>
      <c r="DI59" s="20" t="inlineStr">
        <is>
          <t>None</t>
        </is>
      </c>
      <c r="DJ59" s="17" t="n"/>
      <c r="DK59" s="16" t="n"/>
      <c r="DL59" s="20" t="inlineStr">
        <is>
          <t>SOP 45-09 (SOP muss noch angepasst werden für VSS)</t>
        </is>
      </c>
      <c r="DM59" s="20" t="inlineStr">
        <is>
          <t>None</t>
        </is>
      </c>
      <c r="DN59" s="17" t="n"/>
      <c r="DO59" s="16" t="n"/>
      <c r="DP59" s="20" t="inlineStr">
        <is>
          <t>IC Organic Acids</t>
        </is>
      </c>
      <c r="DQ59" s="20" t="inlineStr">
        <is>
          <t>None</t>
        </is>
      </c>
      <c r="DR59" s="17" t="n"/>
      <c r="DS59" s="16" t="n"/>
      <c r="DT59" s="20" t="inlineStr">
        <is>
          <t>IC Organic Acids</t>
        </is>
      </c>
      <c r="DU59" s="20" t="inlineStr">
        <is>
          <t>None</t>
        </is>
      </c>
      <c r="DV59" s="17" t="n"/>
      <c r="DW59" s="16" t="n"/>
      <c r="DX59" s="20" t="inlineStr">
        <is>
          <t>IC Organic Acids</t>
        </is>
      </c>
      <c r="DY59" s="20" t="inlineStr">
        <is>
          <t>None</t>
        </is>
      </c>
      <c r="DZ59" s="17" t="n"/>
      <c r="EA59" s="16" t="n"/>
      <c r="EB59" s="20" t="inlineStr">
        <is>
          <t>IC Organic Acids</t>
        </is>
      </c>
      <c r="EC59" s="20" t="inlineStr">
        <is>
          <t>None</t>
        </is>
      </c>
      <c r="ED59" s="17" t="n"/>
      <c r="EE59" s="16" t="n"/>
      <c r="EF59" s="20" t="inlineStr">
        <is>
          <t>IC Organic Acids</t>
        </is>
      </c>
      <c r="EG59" s="20" t="inlineStr">
        <is>
          <t>None</t>
        </is>
      </c>
      <c r="EH59" s="17" t="n"/>
      <c r="EI59" s="16" t="n"/>
      <c r="EJ59" s="20" t="inlineStr">
        <is>
          <t>IC Organic Acids</t>
        </is>
      </c>
      <c r="EK59" s="20" t="inlineStr">
        <is>
          <t>None</t>
        </is>
      </c>
      <c r="EL59" s="17" t="n"/>
      <c r="EM59" s="16" t="n"/>
      <c r="EN59" s="20" t="inlineStr">
        <is>
          <t>IC Organic Acids</t>
        </is>
      </c>
      <c r="EO59" s="20" t="inlineStr">
        <is>
          <t>None</t>
        </is>
      </c>
      <c r="EP59" s="17" t="n"/>
      <c r="EQ59" s="16" t="n"/>
      <c r="ER59" s="20" t="inlineStr">
        <is>
          <t>IC Organic Acids</t>
        </is>
      </c>
      <c r="ES59" s="20" t="inlineStr">
        <is>
          <t>None</t>
        </is>
      </c>
      <c r="ET59" s="17" t="n"/>
      <c r="EU59" s="16" t="n"/>
      <c r="EV59" s="20" t="inlineStr">
        <is>
          <t>LC-MS</t>
        </is>
      </c>
      <c r="EW59" s="20" t="inlineStr">
        <is>
          <t>None</t>
        </is>
      </c>
      <c r="EX59" s="17" t="n"/>
      <c r="EY59" s="21" t="n"/>
      <c r="EZ59">
        <f>CONCATENATE(A59,B59)</f>
        <v/>
      </c>
      <c r="FA59">
        <f>CONCATENATE(SamplesX!A59,SamplesX!B59)</f>
        <v/>
      </c>
      <c r="FC59">
        <f>MATCH(EZ59,FA1:FA1008,0)</f>
        <v/>
      </c>
    </row>
    <row r="60">
      <c r="A60" s="16" t="inlineStr">
        <is>
          <t>BP</t>
        </is>
      </c>
      <c r="B60" s="17" t="inlineStr">
        <is>
          <t>25052</t>
        </is>
      </c>
      <c r="C60" s="10">
        <f>IF(ISNUMBER(FC60),INDIRECT("SamplesX!C"&amp;FC60),IF(ISNUMBER(FD60),INDIRECT("SamplesY!C"&amp;FD60),""))</f>
        <v/>
      </c>
      <c r="D60" s="12">
        <f>IF(ISNUMBER(FC60),INDIRECT("SamplesX!D"&amp;FC60),IF(ISNUMBER(FD60),INDIRECT("SamplesY!D"&amp;FD60),""))</f>
        <v/>
      </c>
      <c r="E60" s="12">
        <f>IF(ISNUMBER(FC60),INDIRECT("SamplesX!E"&amp;FC60),IF(ISNUMBER(FD60),INDIRECT("SamplesY!E"&amp;FD60),""))</f>
        <v/>
      </c>
      <c r="F60" s="11">
        <f>IF(ISNUMBER(FC60),INDIRECT("SamplesX!F"&amp;FC60),IF(ISNUMBER(FD60),INDIRECT("SamplesY!F"&amp;FD60),""))</f>
        <v/>
      </c>
      <c r="G60" s="18">
        <f>IF(ISNUMBER(FC60),INDIRECT("SamplesX!G"&amp;FC60),IF(ISNUMBER(FD60),INDIRECT("SamplesY!G"&amp;FD60),""))</f>
        <v/>
      </c>
      <c r="H60" s="19">
        <f>IF(ISNUMBER(FC60),INDIRECT("SamplesX!H"&amp;FC60),IF(ISNUMBER(FD60),INDIRECT("SamplesY!H"&amp;FD60),""))</f>
        <v/>
      </c>
      <c r="I60" s="16" t="n"/>
      <c r="J60" s="16" t="n"/>
      <c r="K60" s="16" t="n"/>
      <c r="L60" s="20" t="n"/>
      <c r="M60" s="20" t="inlineStr">
        <is>
          <t>None</t>
        </is>
      </c>
      <c r="N60" s="17" t="n"/>
      <c r="O60" s="16" t="n"/>
      <c r="P60" s="20" t="inlineStr">
        <is>
          <t>Shimadzu TOC-L</t>
        </is>
      </c>
      <c r="Q60" s="20" t="inlineStr">
        <is>
          <t>None</t>
        </is>
      </c>
      <c r="R60" s="17" t="n"/>
      <c r="S60" s="16" t="n"/>
      <c r="T60" s="20" t="inlineStr">
        <is>
          <t>Shimadzu TOC-L</t>
        </is>
      </c>
      <c r="U60" s="20" t="inlineStr">
        <is>
          <t>None</t>
        </is>
      </c>
      <c r="V60" s="17" t="n"/>
      <c r="W60" s="16" t="n"/>
      <c r="X60" s="20" t="n"/>
      <c r="Y60" s="20" t="inlineStr">
        <is>
          <t>None</t>
        </is>
      </c>
      <c r="Z60" s="17" t="n"/>
      <c r="AA60" s="16" t="n"/>
      <c r="AB60" s="20" t="n"/>
      <c r="AC60" s="20" t="inlineStr">
        <is>
          <t>None</t>
        </is>
      </c>
      <c r="AD60" s="17" t="n"/>
      <c r="AE60" s="16" t="inlineStr">
        <is>
          <t>213</t>
        </is>
      </c>
      <c r="AF60" s="20" t="inlineStr">
        <is>
          <t>IC Anionen</t>
        </is>
      </c>
      <c r="AG60" s="20" t="inlineStr">
        <is>
          <t>None</t>
        </is>
      </c>
      <c r="AH60" s="17" t="n"/>
      <c r="AI60" s="16" t="n"/>
      <c r="AJ60" s="20" t="n"/>
      <c r="AK60" s="20" t="inlineStr">
        <is>
          <t>None</t>
        </is>
      </c>
      <c r="AL60" s="17" t="n"/>
      <c r="AM60" s="16" t="n"/>
      <c r="AN60" s="20" t="inlineStr">
        <is>
          <t>IC Anionen</t>
        </is>
      </c>
      <c r="AO60" s="20" t="inlineStr">
        <is>
          <t>None</t>
        </is>
      </c>
      <c r="AP60" s="17" t="n"/>
      <c r="AQ60" s="16" t="n"/>
      <c r="AR60" s="20" t="n"/>
      <c r="AS60" s="20" t="inlineStr">
        <is>
          <t>None</t>
        </is>
      </c>
      <c r="AT60" s="17" t="n"/>
      <c r="AU60" s="16" t="inlineStr">
        <is>
          <t>14.8</t>
        </is>
      </c>
      <c r="AV60" s="20" t="inlineStr">
        <is>
          <t>IC Anionen</t>
        </is>
      </c>
      <c r="AW60" s="20" t="inlineStr">
        <is>
          <t>None</t>
        </is>
      </c>
      <c r="AX60" s="17" t="n"/>
      <c r="AY60" s="16" t="inlineStr">
        <is>
          <t>4.34</t>
        </is>
      </c>
      <c r="AZ60" s="20" t="inlineStr">
        <is>
          <t>IC Anionen</t>
        </is>
      </c>
      <c r="BA60" s="20" t="inlineStr">
        <is>
          <t>None</t>
        </is>
      </c>
      <c r="BB60" s="17" t="n"/>
      <c r="BC60" s="16" t="inlineStr">
        <is>
          <t>146</t>
        </is>
      </c>
      <c r="BD60" s="20" t="inlineStr">
        <is>
          <t>IC Kationen</t>
        </is>
      </c>
      <c r="BE60" s="20" t="inlineStr">
        <is>
          <t>None</t>
        </is>
      </c>
      <c r="BF60" s="17" t="n"/>
      <c r="BG60" s="16" t="inlineStr">
        <is>
          <t>&lt;1.60</t>
        </is>
      </c>
      <c r="BH60" s="20" t="inlineStr">
        <is>
          <t>IC Kationen</t>
        </is>
      </c>
      <c r="BI60" s="20" t="inlineStr">
        <is>
          <t>None</t>
        </is>
      </c>
      <c r="BJ60" s="17" t="n"/>
      <c r="BK60" s="16" t="inlineStr">
        <is>
          <t>16.4</t>
        </is>
      </c>
      <c r="BL60" s="20" t="inlineStr">
        <is>
          <t>IC Kationen</t>
        </is>
      </c>
      <c r="BM60" s="20" t="inlineStr">
        <is>
          <t>None</t>
        </is>
      </c>
      <c r="BN60" s="17" t="n"/>
      <c r="BO60" s="16" t="inlineStr">
        <is>
          <t>303</t>
        </is>
      </c>
      <c r="BP60" s="20" t="inlineStr">
        <is>
          <t>IC Kationen</t>
        </is>
      </c>
      <c r="BQ60" s="20" t="inlineStr">
        <is>
          <t>None</t>
        </is>
      </c>
      <c r="BR60" s="17" t="n"/>
      <c r="BS60" s="16" t="inlineStr">
        <is>
          <t>32.3</t>
        </is>
      </c>
      <c r="BT60" s="20" t="inlineStr">
        <is>
          <t>IC Kationen</t>
        </is>
      </c>
      <c r="BU60" s="20" t="inlineStr">
        <is>
          <t>None</t>
        </is>
      </c>
      <c r="BV60" s="17" t="n"/>
      <c r="BW60" s="16" t="n"/>
      <c r="BX60" s="20" t="n"/>
      <c r="BY60" s="20" t="inlineStr">
        <is>
          <t>None</t>
        </is>
      </c>
      <c r="BZ60" s="17" t="n"/>
      <c r="CA60" s="16" t="n"/>
      <c r="CB60" s="20" t="n"/>
      <c r="CC60" s="20" t="inlineStr">
        <is>
          <t>None</t>
        </is>
      </c>
      <c r="CD60" s="17" t="n"/>
      <c r="CE60" s="16" t="n"/>
      <c r="CF60" s="20" t="n"/>
      <c r="CG60" s="20" t="inlineStr">
        <is>
          <t>None</t>
        </is>
      </c>
      <c r="CH60" s="17" t="n"/>
      <c r="CI60" s="16" t="n"/>
      <c r="CJ60" s="20" t="n"/>
      <c r="CK60" s="20" t="inlineStr">
        <is>
          <t>None</t>
        </is>
      </c>
      <c r="CL60" s="17" t="n"/>
      <c r="CM60" s="16" t="n"/>
      <c r="CN60" s="20" t="inlineStr">
        <is>
          <t>SOP 45-34</t>
        </is>
      </c>
      <c r="CO60" s="20" t="inlineStr">
        <is>
          <t>None</t>
        </is>
      </c>
      <c r="CP60" s="17" t="n"/>
      <c r="CQ60" s="16" t="n"/>
      <c r="CR60" s="20" t="n"/>
      <c r="CS60" s="20" t="inlineStr">
        <is>
          <t>None</t>
        </is>
      </c>
      <c r="CT60" s="17" t="n"/>
      <c r="CU60" s="16" t="n"/>
      <c r="CV60" s="20" t="n"/>
      <c r="CW60" s="20" t="inlineStr">
        <is>
          <t>None</t>
        </is>
      </c>
      <c r="CX60" s="17" t="n"/>
      <c r="CY60" s="16" t="n"/>
      <c r="CZ60" s="20" t="inlineStr">
        <is>
          <t>WTW Multimeter 3430 with FDO 925</t>
        </is>
      </c>
      <c r="DA60" s="20" t="inlineStr">
        <is>
          <t>None</t>
        </is>
      </c>
      <c r="DB60" s="17" t="n"/>
      <c r="DC60" s="16" t="n"/>
      <c r="DD60" s="20" t="n"/>
      <c r="DE60" s="20" t="inlineStr">
        <is>
          <t>None</t>
        </is>
      </c>
      <c r="DF60" s="17" t="n"/>
      <c r="DG60" s="16" t="n"/>
      <c r="DH60" s="20" t="inlineStr">
        <is>
          <t>SOP 45-09</t>
        </is>
      </c>
      <c r="DI60" s="20" t="inlineStr">
        <is>
          <t>None</t>
        </is>
      </c>
      <c r="DJ60" s="17" t="n"/>
      <c r="DK60" s="16" t="n"/>
      <c r="DL60" s="20" t="inlineStr">
        <is>
          <t>SOP 45-09 (SOP muss noch angepasst werden für VSS)</t>
        </is>
      </c>
      <c r="DM60" s="20" t="inlineStr">
        <is>
          <t>None</t>
        </is>
      </c>
      <c r="DN60" s="17" t="n"/>
      <c r="DO60" s="16" t="n"/>
      <c r="DP60" s="20" t="inlineStr">
        <is>
          <t>IC Organic Acids</t>
        </is>
      </c>
      <c r="DQ60" s="20" t="inlineStr">
        <is>
          <t>None</t>
        </is>
      </c>
      <c r="DR60" s="17" t="n"/>
      <c r="DS60" s="16" t="n"/>
      <c r="DT60" s="20" t="inlineStr">
        <is>
          <t>IC Organic Acids</t>
        </is>
      </c>
      <c r="DU60" s="20" t="inlineStr">
        <is>
          <t>None</t>
        </is>
      </c>
      <c r="DV60" s="17" t="n"/>
      <c r="DW60" s="16" t="n"/>
      <c r="DX60" s="20" t="inlineStr">
        <is>
          <t>IC Organic Acids</t>
        </is>
      </c>
      <c r="DY60" s="20" t="inlineStr">
        <is>
          <t>None</t>
        </is>
      </c>
      <c r="DZ60" s="17" t="n"/>
      <c r="EA60" s="16" t="n"/>
      <c r="EB60" s="20" t="inlineStr">
        <is>
          <t>IC Organic Acids</t>
        </is>
      </c>
      <c r="EC60" s="20" t="inlineStr">
        <is>
          <t>None</t>
        </is>
      </c>
      <c r="ED60" s="17" t="n"/>
      <c r="EE60" s="16" t="n"/>
      <c r="EF60" s="20" t="inlineStr">
        <is>
          <t>IC Organic Acids</t>
        </is>
      </c>
      <c r="EG60" s="20" t="inlineStr">
        <is>
          <t>None</t>
        </is>
      </c>
      <c r="EH60" s="17" t="n"/>
      <c r="EI60" s="16" t="n"/>
      <c r="EJ60" s="20" t="inlineStr">
        <is>
          <t>IC Organic Acids</t>
        </is>
      </c>
      <c r="EK60" s="20" t="inlineStr">
        <is>
          <t>None</t>
        </is>
      </c>
      <c r="EL60" s="17" t="n"/>
      <c r="EM60" s="16" t="n"/>
      <c r="EN60" s="20" t="inlineStr">
        <is>
          <t>IC Organic Acids</t>
        </is>
      </c>
      <c r="EO60" s="20" t="inlineStr">
        <is>
          <t>None</t>
        </is>
      </c>
      <c r="EP60" s="17" t="n"/>
      <c r="EQ60" s="16" t="n"/>
      <c r="ER60" s="20" t="inlineStr">
        <is>
          <t>IC Organic Acids</t>
        </is>
      </c>
      <c r="ES60" s="20" t="inlineStr">
        <is>
          <t>None</t>
        </is>
      </c>
      <c r="ET60" s="17" t="n"/>
      <c r="EU60" s="16" t="n"/>
      <c r="EV60" s="20" t="inlineStr">
        <is>
          <t>LC-MS</t>
        </is>
      </c>
      <c r="EW60" s="20" t="inlineStr">
        <is>
          <t>None</t>
        </is>
      </c>
      <c r="EX60" s="17" t="n"/>
      <c r="EY60" s="21" t="n"/>
      <c r="EZ60">
        <f>CONCATENATE(A60,B60)</f>
        <v/>
      </c>
      <c r="FA60">
        <f>CONCATENATE(SamplesX!A60,SamplesX!B60)</f>
        <v/>
      </c>
      <c r="FC60">
        <f>MATCH(EZ60,FA1:FA1008,0)</f>
        <v/>
      </c>
    </row>
    <row r="61">
      <c r="A61" s="16" t="inlineStr">
        <is>
          <t>BP</t>
        </is>
      </c>
      <c r="B61" s="17" t="inlineStr">
        <is>
          <t>25053</t>
        </is>
      </c>
      <c r="C61" s="10">
        <f>IF(ISNUMBER(FC61),INDIRECT("SamplesX!C"&amp;FC61),IF(ISNUMBER(FD61),INDIRECT("SamplesY!C"&amp;FD61),""))</f>
        <v/>
      </c>
      <c r="D61" s="12">
        <f>IF(ISNUMBER(FC61),INDIRECT("SamplesX!D"&amp;FC61),IF(ISNUMBER(FD61),INDIRECT("SamplesY!D"&amp;FD61),""))</f>
        <v/>
      </c>
      <c r="E61" s="12">
        <f>IF(ISNUMBER(FC61),INDIRECT("SamplesX!E"&amp;FC61),IF(ISNUMBER(FD61),INDIRECT("SamplesY!E"&amp;FD61),""))</f>
        <v/>
      </c>
      <c r="F61" s="11">
        <f>IF(ISNUMBER(FC61),INDIRECT("SamplesX!F"&amp;FC61),IF(ISNUMBER(FD61),INDIRECT("SamplesY!F"&amp;FD61),""))</f>
        <v/>
      </c>
      <c r="G61" s="18">
        <f>IF(ISNUMBER(FC61),INDIRECT("SamplesX!G"&amp;FC61),IF(ISNUMBER(FD61),INDIRECT("SamplesY!G"&amp;FD61),""))</f>
        <v/>
      </c>
      <c r="H61" s="19">
        <f>IF(ISNUMBER(FC61),INDIRECT("SamplesX!H"&amp;FC61),IF(ISNUMBER(FD61),INDIRECT("SamplesY!H"&amp;FD61),""))</f>
        <v/>
      </c>
      <c r="I61" s="16" t="n"/>
      <c r="J61" s="16" t="n"/>
      <c r="K61" s="16" t="n"/>
      <c r="L61" s="20" t="n"/>
      <c r="M61" s="20" t="inlineStr">
        <is>
          <t>None</t>
        </is>
      </c>
      <c r="N61" s="17" t="n"/>
      <c r="O61" s="16" t="n"/>
      <c r="P61" s="20" t="inlineStr">
        <is>
          <t>Shimadzu TOC-L</t>
        </is>
      </c>
      <c r="Q61" s="20" t="inlineStr">
        <is>
          <t>None</t>
        </is>
      </c>
      <c r="R61" s="17" t="n"/>
      <c r="S61" s="16" t="n"/>
      <c r="T61" s="20" t="inlineStr">
        <is>
          <t>Shimadzu TOC-L</t>
        </is>
      </c>
      <c r="U61" s="20" t="inlineStr">
        <is>
          <t>None</t>
        </is>
      </c>
      <c r="V61" s="17" t="n"/>
      <c r="W61" s="16" t="n"/>
      <c r="X61" s="20" t="n"/>
      <c r="Y61" s="20" t="inlineStr">
        <is>
          <t>None</t>
        </is>
      </c>
      <c r="Z61" s="17" t="n"/>
      <c r="AA61" s="16" t="n"/>
      <c r="AB61" s="20" t="n"/>
      <c r="AC61" s="20" t="inlineStr">
        <is>
          <t>None</t>
        </is>
      </c>
      <c r="AD61" s="17" t="n"/>
      <c r="AE61" s="16" t="inlineStr">
        <is>
          <t>208</t>
        </is>
      </c>
      <c r="AF61" s="20" t="inlineStr">
        <is>
          <t>IC Anionen</t>
        </is>
      </c>
      <c r="AG61" s="20" t="inlineStr">
        <is>
          <t>None</t>
        </is>
      </c>
      <c r="AH61" s="17" t="n"/>
      <c r="AI61" s="16" t="n"/>
      <c r="AJ61" s="20" t="n"/>
      <c r="AK61" s="20" t="inlineStr">
        <is>
          <t>None</t>
        </is>
      </c>
      <c r="AL61" s="17" t="n"/>
      <c r="AM61" s="16" t="n"/>
      <c r="AN61" s="20" t="inlineStr">
        <is>
          <t>IC Anionen</t>
        </is>
      </c>
      <c r="AO61" s="20" t="inlineStr">
        <is>
          <t>None</t>
        </is>
      </c>
      <c r="AP61" s="17" t="n"/>
      <c r="AQ61" s="16" t="n"/>
      <c r="AR61" s="20" t="n"/>
      <c r="AS61" s="20" t="inlineStr">
        <is>
          <t>None</t>
        </is>
      </c>
      <c r="AT61" s="17" t="n"/>
      <c r="AU61" s="16" t="inlineStr">
        <is>
          <t>15.0</t>
        </is>
      </c>
      <c r="AV61" s="20" t="inlineStr">
        <is>
          <t>IC Anionen</t>
        </is>
      </c>
      <c r="AW61" s="20" t="inlineStr">
        <is>
          <t>None</t>
        </is>
      </c>
      <c r="AX61" s="17" t="n"/>
      <c r="AY61" s="16" t="inlineStr">
        <is>
          <t>&lt;0.80</t>
        </is>
      </c>
      <c r="AZ61" s="20" t="inlineStr">
        <is>
          <t>IC Anionen</t>
        </is>
      </c>
      <c r="BA61" s="20" t="inlineStr">
        <is>
          <t>None</t>
        </is>
      </c>
      <c r="BB61" s="17" t="n"/>
      <c r="BC61" s="16" t="inlineStr">
        <is>
          <t>142</t>
        </is>
      </c>
      <c r="BD61" s="20" t="inlineStr">
        <is>
          <t>IC Kationen</t>
        </is>
      </c>
      <c r="BE61" s="20" t="inlineStr">
        <is>
          <t>None</t>
        </is>
      </c>
      <c r="BF61" s="17" t="n"/>
      <c r="BG61" s="16" t="inlineStr">
        <is>
          <t>33.3</t>
        </is>
      </c>
      <c r="BH61" s="20" t="inlineStr">
        <is>
          <t>IC Kationen</t>
        </is>
      </c>
      <c r="BI61" s="20" t="inlineStr">
        <is>
          <t>None</t>
        </is>
      </c>
      <c r="BJ61" s="17" t="n"/>
      <c r="BK61" s="16" t="inlineStr">
        <is>
          <t>18.7</t>
        </is>
      </c>
      <c r="BL61" s="20" t="inlineStr">
        <is>
          <t>IC Kationen</t>
        </is>
      </c>
      <c r="BM61" s="20" t="inlineStr">
        <is>
          <t>None</t>
        </is>
      </c>
      <c r="BN61" s="17" t="n"/>
      <c r="BO61" s="16" t="inlineStr">
        <is>
          <t>266</t>
        </is>
      </c>
      <c r="BP61" s="20" t="inlineStr">
        <is>
          <t>IC Kationen</t>
        </is>
      </c>
      <c r="BQ61" s="20" t="inlineStr">
        <is>
          <t>None</t>
        </is>
      </c>
      <c r="BR61" s="17" t="n"/>
      <c r="BS61" s="16" t="inlineStr">
        <is>
          <t>31.3</t>
        </is>
      </c>
      <c r="BT61" s="20" t="inlineStr">
        <is>
          <t>IC Kationen</t>
        </is>
      </c>
      <c r="BU61" s="20" t="inlineStr">
        <is>
          <t>None</t>
        </is>
      </c>
      <c r="BV61" s="17" t="n"/>
      <c r="BW61" s="16" t="n"/>
      <c r="BX61" s="20" t="n"/>
      <c r="BY61" s="20" t="inlineStr">
        <is>
          <t>None</t>
        </is>
      </c>
      <c r="BZ61" s="17" t="n"/>
      <c r="CA61" s="16" t="n"/>
      <c r="CB61" s="20" t="n"/>
      <c r="CC61" s="20" t="inlineStr">
        <is>
          <t>None</t>
        </is>
      </c>
      <c r="CD61" s="17" t="n"/>
      <c r="CE61" s="16" t="n"/>
      <c r="CF61" s="20" t="n"/>
      <c r="CG61" s="20" t="inlineStr">
        <is>
          <t>None</t>
        </is>
      </c>
      <c r="CH61" s="17" t="n"/>
      <c r="CI61" s="16" t="n"/>
      <c r="CJ61" s="20" t="n"/>
      <c r="CK61" s="20" t="inlineStr">
        <is>
          <t>None</t>
        </is>
      </c>
      <c r="CL61" s="17" t="n"/>
      <c r="CM61" s="16" t="n"/>
      <c r="CN61" s="20" t="inlineStr">
        <is>
          <t>SOP 45-34</t>
        </is>
      </c>
      <c r="CO61" s="20" t="inlineStr">
        <is>
          <t>None</t>
        </is>
      </c>
      <c r="CP61" s="17" t="n"/>
      <c r="CQ61" s="16" t="n"/>
      <c r="CR61" s="20" t="n"/>
      <c r="CS61" s="20" t="inlineStr">
        <is>
          <t>None</t>
        </is>
      </c>
      <c r="CT61" s="17" t="n"/>
      <c r="CU61" s="16" t="n"/>
      <c r="CV61" s="20" t="n"/>
      <c r="CW61" s="20" t="inlineStr">
        <is>
          <t>None</t>
        </is>
      </c>
      <c r="CX61" s="17" t="n"/>
      <c r="CY61" s="16" t="n"/>
      <c r="CZ61" s="20" t="inlineStr">
        <is>
          <t>WTW Multimeter 3430 with FDO 925</t>
        </is>
      </c>
      <c r="DA61" s="20" t="inlineStr">
        <is>
          <t>None</t>
        </is>
      </c>
      <c r="DB61" s="17" t="n"/>
      <c r="DC61" s="16" t="n"/>
      <c r="DD61" s="20" t="n"/>
      <c r="DE61" s="20" t="inlineStr">
        <is>
          <t>None</t>
        </is>
      </c>
      <c r="DF61" s="17" t="n"/>
      <c r="DG61" s="16" t="n"/>
      <c r="DH61" s="20" t="inlineStr">
        <is>
          <t>SOP 45-09</t>
        </is>
      </c>
      <c r="DI61" s="20" t="inlineStr">
        <is>
          <t>None</t>
        </is>
      </c>
      <c r="DJ61" s="17" t="n"/>
      <c r="DK61" s="16" t="n"/>
      <c r="DL61" s="20" t="inlineStr">
        <is>
          <t>SOP 45-09 (SOP muss noch angepasst werden für VSS)</t>
        </is>
      </c>
      <c r="DM61" s="20" t="inlineStr">
        <is>
          <t>None</t>
        </is>
      </c>
      <c r="DN61" s="17" t="n"/>
      <c r="DO61" s="16" t="n"/>
      <c r="DP61" s="20" t="inlineStr">
        <is>
          <t>IC Organic Acids</t>
        </is>
      </c>
      <c r="DQ61" s="20" t="inlineStr">
        <is>
          <t>None</t>
        </is>
      </c>
      <c r="DR61" s="17" t="n"/>
      <c r="DS61" s="16" t="n"/>
      <c r="DT61" s="20" t="inlineStr">
        <is>
          <t>IC Organic Acids</t>
        </is>
      </c>
      <c r="DU61" s="20" t="inlineStr">
        <is>
          <t>None</t>
        </is>
      </c>
      <c r="DV61" s="17" t="n"/>
      <c r="DW61" s="16" t="n"/>
      <c r="DX61" s="20" t="inlineStr">
        <is>
          <t>IC Organic Acids</t>
        </is>
      </c>
      <c r="DY61" s="20" t="inlineStr">
        <is>
          <t>None</t>
        </is>
      </c>
      <c r="DZ61" s="17" t="n"/>
      <c r="EA61" s="16" t="n"/>
      <c r="EB61" s="20" t="inlineStr">
        <is>
          <t>IC Organic Acids</t>
        </is>
      </c>
      <c r="EC61" s="20" t="inlineStr">
        <is>
          <t>None</t>
        </is>
      </c>
      <c r="ED61" s="17" t="n"/>
      <c r="EE61" s="16" t="n"/>
      <c r="EF61" s="20" t="inlineStr">
        <is>
          <t>IC Organic Acids</t>
        </is>
      </c>
      <c r="EG61" s="20" t="inlineStr">
        <is>
          <t>None</t>
        </is>
      </c>
      <c r="EH61" s="17" t="n"/>
      <c r="EI61" s="16" t="n"/>
      <c r="EJ61" s="20" t="inlineStr">
        <is>
          <t>IC Organic Acids</t>
        </is>
      </c>
      <c r="EK61" s="20" t="inlineStr">
        <is>
          <t>None</t>
        </is>
      </c>
      <c r="EL61" s="17" t="n"/>
      <c r="EM61" s="16" t="n"/>
      <c r="EN61" s="20" t="inlineStr">
        <is>
          <t>IC Organic Acids</t>
        </is>
      </c>
      <c r="EO61" s="20" t="inlineStr">
        <is>
          <t>None</t>
        </is>
      </c>
      <c r="EP61" s="17" t="n"/>
      <c r="EQ61" s="16" t="n"/>
      <c r="ER61" s="20" t="inlineStr">
        <is>
          <t>IC Organic Acids</t>
        </is>
      </c>
      <c r="ES61" s="20" t="inlineStr">
        <is>
          <t>None</t>
        </is>
      </c>
      <c r="ET61" s="17" t="n"/>
      <c r="EU61" s="16" t="n"/>
      <c r="EV61" s="20" t="inlineStr">
        <is>
          <t>LC-MS</t>
        </is>
      </c>
      <c r="EW61" s="20" t="inlineStr">
        <is>
          <t>None</t>
        </is>
      </c>
      <c r="EX61" s="17" t="n"/>
      <c r="EY61" s="21" t="n"/>
      <c r="EZ61">
        <f>CONCATENATE(A61,B61)</f>
        <v/>
      </c>
      <c r="FA61">
        <f>CONCATENATE(SamplesX!A61,SamplesX!B61)</f>
        <v/>
      </c>
      <c r="FC61">
        <f>MATCH(EZ61,FA1:FA1008,0)</f>
        <v/>
      </c>
    </row>
    <row r="62">
      <c r="A62" s="16" t="inlineStr">
        <is>
          <t>BP</t>
        </is>
      </c>
      <c r="B62" s="17" t="inlineStr">
        <is>
          <t>25054</t>
        </is>
      </c>
      <c r="C62" s="10">
        <f>IF(ISNUMBER(FC62),INDIRECT("SamplesX!C"&amp;FC62),IF(ISNUMBER(FD62),INDIRECT("SamplesY!C"&amp;FD62),""))</f>
        <v/>
      </c>
      <c r="D62" s="12">
        <f>IF(ISNUMBER(FC62),INDIRECT("SamplesX!D"&amp;FC62),IF(ISNUMBER(FD62),INDIRECT("SamplesY!D"&amp;FD62),""))</f>
        <v/>
      </c>
      <c r="E62" s="12">
        <f>IF(ISNUMBER(FC62),INDIRECT("SamplesX!E"&amp;FC62),IF(ISNUMBER(FD62),INDIRECT("SamplesY!E"&amp;FD62),""))</f>
        <v/>
      </c>
      <c r="F62" s="11">
        <f>IF(ISNUMBER(FC62),INDIRECT("SamplesX!F"&amp;FC62),IF(ISNUMBER(FD62),INDIRECT("SamplesY!F"&amp;FD62),""))</f>
        <v/>
      </c>
      <c r="G62" s="18">
        <f>IF(ISNUMBER(FC62),INDIRECT("SamplesX!G"&amp;FC62),IF(ISNUMBER(FD62),INDIRECT("SamplesY!G"&amp;FD62),""))</f>
        <v/>
      </c>
      <c r="H62" s="19">
        <f>IF(ISNUMBER(FC62),INDIRECT("SamplesX!H"&amp;FC62),IF(ISNUMBER(FD62),INDIRECT("SamplesY!H"&amp;FD62),""))</f>
        <v/>
      </c>
      <c r="I62" s="16" t="n"/>
      <c r="J62" s="16" t="n"/>
      <c r="K62" s="16" t="n"/>
      <c r="L62" s="20" t="n"/>
      <c r="M62" s="20" t="inlineStr">
        <is>
          <t>None</t>
        </is>
      </c>
      <c r="N62" s="17" t="n"/>
      <c r="O62" s="16" t="n"/>
      <c r="P62" s="20" t="inlineStr">
        <is>
          <t>Shimadzu TOC-L</t>
        </is>
      </c>
      <c r="Q62" s="20" t="inlineStr">
        <is>
          <t>None</t>
        </is>
      </c>
      <c r="R62" s="17" t="n"/>
      <c r="S62" s="16" t="n"/>
      <c r="T62" s="20" t="inlineStr">
        <is>
          <t>Shimadzu TOC-L</t>
        </is>
      </c>
      <c r="U62" s="20" t="inlineStr">
        <is>
          <t>None</t>
        </is>
      </c>
      <c r="V62" s="17" t="n"/>
      <c r="W62" s="16" t="n"/>
      <c r="X62" s="20" t="n"/>
      <c r="Y62" s="20" t="inlineStr">
        <is>
          <t>None</t>
        </is>
      </c>
      <c r="Z62" s="17" t="n"/>
      <c r="AA62" s="16" t="n"/>
      <c r="AB62" s="20" t="n"/>
      <c r="AC62" s="20" t="inlineStr">
        <is>
          <t>None</t>
        </is>
      </c>
      <c r="AD62" s="17" t="n"/>
      <c r="AE62" s="16" t="inlineStr">
        <is>
          <t>223</t>
        </is>
      </c>
      <c r="AF62" s="20" t="inlineStr">
        <is>
          <t>IC Anionen</t>
        </is>
      </c>
      <c r="AG62" s="20" t="inlineStr">
        <is>
          <t>None</t>
        </is>
      </c>
      <c r="AH62" s="17" t="n"/>
      <c r="AI62" s="16" t="n"/>
      <c r="AJ62" s="20" t="n"/>
      <c r="AK62" s="20" t="inlineStr">
        <is>
          <t>None</t>
        </is>
      </c>
      <c r="AL62" s="17" t="n"/>
      <c r="AM62" s="16" t="n"/>
      <c r="AN62" s="20" t="inlineStr">
        <is>
          <t>IC Anionen</t>
        </is>
      </c>
      <c r="AO62" s="20" t="inlineStr">
        <is>
          <t>None</t>
        </is>
      </c>
      <c r="AP62" s="17" t="n"/>
      <c r="AQ62" s="16" t="n"/>
      <c r="AR62" s="20" t="n"/>
      <c r="AS62" s="20" t="inlineStr">
        <is>
          <t>None</t>
        </is>
      </c>
      <c r="AT62" s="17" t="n"/>
      <c r="AU62" s="16" t="inlineStr">
        <is>
          <t>21.2</t>
        </is>
      </c>
      <c r="AV62" s="20" t="inlineStr">
        <is>
          <t>IC Anionen</t>
        </is>
      </c>
      <c r="AW62" s="20" t="inlineStr">
        <is>
          <t>None</t>
        </is>
      </c>
      <c r="AX62" s="17" t="n"/>
      <c r="AY62" s="16" t="inlineStr">
        <is>
          <t>1.86</t>
        </is>
      </c>
      <c r="AZ62" s="20" t="inlineStr">
        <is>
          <t>IC Anionen</t>
        </is>
      </c>
      <c r="BA62" s="20" t="inlineStr">
        <is>
          <t>None</t>
        </is>
      </c>
      <c r="BB62" s="17" t="n"/>
      <c r="BC62" s="16" t="inlineStr">
        <is>
          <t>149</t>
        </is>
      </c>
      <c r="BD62" s="20" t="inlineStr">
        <is>
          <t>IC Kationen</t>
        </is>
      </c>
      <c r="BE62" s="20" t="inlineStr">
        <is>
          <t>None</t>
        </is>
      </c>
      <c r="BF62" s="17" t="n"/>
      <c r="BG62" s="16" t="inlineStr">
        <is>
          <t>20.5</t>
        </is>
      </c>
      <c r="BH62" s="20" t="inlineStr">
        <is>
          <t>IC Kationen</t>
        </is>
      </c>
      <c r="BI62" s="20" t="inlineStr">
        <is>
          <t>None</t>
        </is>
      </c>
      <c r="BJ62" s="17" t="n"/>
      <c r="BK62" s="16" t="inlineStr">
        <is>
          <t>20.3</t>
        </is>
      </c>
      <c r="BL62" s="20" t="inlineStr">
        <is>
          <t>IC Kationen</t>
        </is>
      </c>
      <c r="BM62" s="20" t="inlineStr">
        <is>
          <t>None</t>
        </is>
      </c>
      <c r="BN62" s="17" t="n"/>
      <c r="BO62" s="16" t="inlineStr">
        <is>
          <t>325</t>
        </is>
      </c>
      <c r="BP62" s="20" t="inlineStr">
        <is>
          <t>IC Kationen</t>
        </is>
      </c>
      <c r="BQ62" s="20" t="inlineStr">
        <is>
          <t>None</t>
        </is>
      </c>
      <c r="BR62" s="17" t="n"/>
      <c r="BS62" s="16" t="inlineStr">
        <is>
          <t>35.5</t>
        </is>
      </c>
      <c r="BT62" s="20" t="inlineStr">
        <is>
          <t>IC Kationen</t>
        </is>
      </c>
      <c r="BU62" s="20" t="inlineStr">
        <is>
          <t>None</t>
        </is>
      </c>
      <c r="BV62" s="17" t="n"/>
      <c r="BW62" s="16" t="n"/>
      <c r="BX62" s="20" t="n"/>
      <c r="BY62" s="20" t="inlineStr">
        <is>
          <t>None</t>
        </is>
      </c>
      <c r="BZ62" s="17" t="n"/>
      <c r="CA62" s="16" t="n"/>
      <c r="CB62" s="20" t="n"/>
      <c r="CC62" s="20" t="inlineStr">
        <is>
          <t>None</t>
        </is>
      </c>
      <c r="CD62" s="17" t="n"/>
      <c r="CE62" s="16" t="n"/>
      <c r="CF62" s="20" t="n"/>
      <c r="CG62" s="20" t="inlineStr">
        <is>
          <t>None</t>
        </is>
      </c>
      <c r="CH62" s="17" t="n"/>
      <c r="CI62" s="16" t="n"/>
      <c r="CJ62" s="20" t="n"/>
      <c r="CK62" s="20" t="inlineStr">
        <is>
          <t>None</t>
        </is>
      </c>
      <c r="CL62" s="17" t="n"/>
      <c r="CM62" s="16" t="n"/>
      <c r="CN62" s="20" t="inlineStr">
        <is>
          <t>SOP 45-34</t>
        </is>
      </c>
      <c r="CO62" s="20" t="inlineStr">
        <is>
          <t>None</t>
        </is>
      </c>
      <c r="CP62" s="17" t="n"/>
      <c r="CQ62" s="16" t="n"/>
      <c r="CR62" s="20" t="n"/>
      <c r="CS62" s="20" t="inlineStr">
        <is>
          <t>None</t>
        </is>
      </c>
      <c r="CT62" s="17" t="n"/>
      <c r="CU62" s="16" t="n"/>
      <c r="CV62" s="20" t="n"/>
      <c r="CW62" s="20" t="inlineStr">
        <is>
          <t>None</t>
        </is>
      </c>
      <c r="CX62" s="17" t="n"/>
      <c r="CY62" s="16" t="n"/>
      <c r="CZ62" s="20" t="inlineStr">
        <is>
          <t>WTW Multimeter 3430 with FDO 925</t>
        </is>
      </c>
      <c r="DA62" s="20" t="inlineStr">
        <is>
          <t>None</t>
        </is>
      </c>
      <c r="DB62" s="17" t="n"/>
      <c r="DC62" s="16" t="n"/>
      <c r="DD62" s="20" t="n"/>
      <c r="DE62" s="20" t="inlineStr">
        <is>
          <t>None</t>
        </is>
      </c>
      <c r="DF62" s="17" t="n"/>
      <c r="DG62" s="16" t="n"/>
      <c r="DH62" s="20" t="inlineStr">
        <is>
          <t>SOP 45-09</t>
        </is>
      </c>
      <c r="DI62" s="20" t="inlineStr">
        <is>
          <t>None</t>
        </is>
      </c>
      <c r="DJ62" s="17" t="n"/>
      <c r="DK62" s="16" t="n"/>
      <c r="DL62" s="20" t="inlineStr">
        <is>
          <t>SOP 45-09 (SOP muss noch angepasst werden für VSS)</t>
        </is>
      </c>
      <c r="DM62" s="20" t="inlineStr">
        <is>
          <t>None</t>
        </is>
      </c>
      <c r="DN62" s="17" t="n"/>
      <c r="DO62" s="16" t="n"/>
      <c r="DP62" s="20" t="inlineStr">
        <is>
          <t>IC Organic Acids</t>
        </is>
      </c>
      <c r="DQ62" s="20" t="inlineStr">
        <is>
          <t>None</t>
        </is>
      </c>
      <c r="DR62" s="17" t="n"/>
      <c r="DS62" s="16" t="n"/>
      <c r="DT62" s="20" t="inlineStr">
        <is>
          <t>IC Organic Acids</t>
        </is>
      </c>
      <c r="DU62" s="20" t="inlineStr">
        <is>
          <t>None</t>
        </is>
      </c>
      <c r="DV62" s="17" t="n"/>
      <c r="DW62" s="16" t="n"/>
      <c r="DX62" s="20" t="inlineStr">
        <is>
          <t>IC Organic Acids</t>
        </is>
      </c>
      <c r="DY62" s="20" t="inlineStr">
        <is>
          <t>None</t>
        </is>
      </c>
      <c r="DZ62" s="17" t="n"/>
      <c r="EA62" s="16" t="n"/>
      <c r="EB62" s="20" t="inlineStr">
        <is>
          <t>IC Organic Acids</t>
        </is>
      </c>
      <c r="EC62" s="20" t="inlineStr">
        <is>
          <t>None</t>
        </is>
      </c>
      <c r="ED62" s="17" t="n"/>
      <c r="EE62" s="16" t="n"/>
      <c r="EF62" s="20" t="inlineStr">
        <is>
          <t>IC Organic Acids</t>
        </is>
      </c>
      <c r="EG62" s="20" t="inlineStr">
        <is>
          <t>None</t>
        </is>
      </c>
      <c r="EH62" s="17" t="n"/>
      <c r="EI62" s="16" t="n"/>
      <c r="EJ62" s="20" t="inlineStr">
        <is>
          <t>IC Organic Acids</t>
        </is>
      </c>
      <c r="EK62" s="20" t="inlineStr">
        <is>
          <t>None</t>
        </is>
      </c>
      <c r="EL62" s="17" t="n"/>
      <c r="EM62" s="16" t="n"/>
      <c r="EN62" s="20" t="inlineStr">
        <is>
          <t>IC Organic Acids</t>
        </is>
      </c>
      <c r="EO62" s="20" t="inlineStr">
        <is>
          <t>None</t>
        </is>
      </c>
      <c r="EP62" s="17" t="n"/>
      <c r="EQ62" s="16" t="n"/>
      <c r="ER62" s="20" t="inlineStr">
        <is>
          <t>IC Organic Acids</t>
        </is>
      </c>
      <c r="ES62" s="20" t="inlineStr">
        <is>
          <t>None</t>
        </is>
      </c>
      <c r="ET62" s="17" t="n"/>
      <c r="EU62" s="16" t="n"/>
      <c r="EV62" s="20" t="inlineStr">
        <is>
          <t>LC-MS</t>
        </is>
      </c>
      <c r="EW62" s="20" t="inlineStr">
        <is>
          <t>None</t>
        </is>
      </c>
      <c r="EX62" s="17" t="n"/>
      <c r="EY62" s="21" t="n"/>
      <c r="EZ62">
        <f>CONCATENATE(A62,B62)</f>
        <v/>
      </c>
      <c r="FA62">
        <f>CONCATENATE(SamplesX!A62,SamplesX!B62)</f>
        <v/>
      </c>
      <c r="FC62">
        <f>MATCH(EZ62,FA1:FA1008,0)</f>
        <v/>
      </c>
    </row>
    <row r="63">
      <c r="A63" s="16" t="inlineStr">
        <is>
          <t>BP</t>
        </is>
      </c>
      <c r="B63" s="17" t="inlineStr">
        <is>
          <t>25055</t>
        </is>
      </c>
      <c r="C63" s="10">
        <f>IF(ISNUMBER(FC63),INDIRECT("SamplesX!C"&amp;FC63),IF(ISNUMBER(FD63),INDIRECT("SamplesY!C"&amp;FD63),""))</f>
        <v/>
      </c>
      <c r="D63" s="12">
        <f>IF(ISNUMBER(FC63),INDIRECT("SamplesX!D"&amp;FC63),IF(ISNUMBER(FD63),INDIRECT("SamplesY!D"&amp;FD63),""))</f>
        <v/>
      </c>
      <c r="E63" s="12">
        <f>IF(ISNUMBER(FC63),INDIRECT("SamplesX!E"&amp;FC63),IF(ISNUMBER(FD63),INDIRECT("SamplesY!E"&amp;FD63),""))</f>
        <v/>
      </c>
      <c r="F63" s="11">
        <f>IF(ISNUMBER(FC63),INDIRECT("SamplesX!F"&amp;FC63),IF(ISNUMBER(FD63),INDIRECT("SamplesY!F"&amp;FD63),""))</f>
        <v/>
      </c>
      <c r="G63" s="18">
        <f>IF(ISNUMBER(FC63),INDIRECT("SamplesX!G"&amp;FC63),IF(ISNUMBER(FD63),INDIRECT("SamplesY!G"&amp;FD63),""))</f>
        <v/>
      </c>
      <c r="H63" s="19">
        <f>IF(ISNUMBER(FC63),INDIRECT("SamplesX!H"&amp;FC63),IF(ISNUMBER(FD63),INDIRECT("SamplesY!H"&amp;FD63),""))</f>
        <v/>
      </c>
      <c r="I63" s="16" t="n"/>
      <c r="J63" s="16" t="n"/>
      <c r="K63" s="16" t="n"/>
      <c r="L63" s="20" t="n"/>
      <c r="M63" s="20" t="inlineStr">
        <is>
          <t>None</t>
        </is>
      </c>
      <c r="N63" s="17" t="n"/>
      <c r="O63" s="16" t="n"/>
      <c r="P63" s="20" t="inlineStr">
        <is>
          <t>Shimadzu TOC-L</t>
        </is>
      </c>
      <c r="Q63" s="20" t="inlineStr">
        <is>
          <t>None</t>
        </is>
      </c>
      <c r="R63" s="17" t="n"/>
      <c r="S63" s="16" t="n"/>
      <c r="T63" s="20" t="inlineStr">
        <is>
          <t>Shimadzu TOC-L</t>
        </is>
      </c>
      <c r="U63" s="20" t="inlineStr">
        <is>
          <t>None</t>
        </is>
      </c>
      <c r="V63" s="17" t="n"/>
      <c r="W63" s="16" t="n"/>
      <c r="X63" s="20" t="n"/>
      <c r="Y63" s="20" t="inlineStr">
        <is>
          <t>None</t>
        </is>
      </c>
      <c r="Z63" s="17" t="n"/>
      <c r="AA63" s="16" t="n"/>
      <c r="AB63" s="20" t="n"/>
      <c r="AC63" s="20" t="inlineStr">
        <is>
          <t>None</t>
        </is>
      </c>
      <c r="AD63" s="17" t="n"/>
      <c r="AE63" s="16" t="inlineStr">
        <is>
          <t>276</t>
        </is>
      </c>
      <c r="AF63" s="20" t="inlineStr">
        <is>
          <t>IC Anionen</t>
        </is>
      </c>
      <c r="AG63" s="20" t="inlineStr">
        <is>
          <t>None</t>
        </is>
      </c>
      <c r="AH63" s="17" t="n"/>
      <c r="AI63" s="16" t="n"/>
      <c r="AJ63" s="20" t="n"/>
      <c r="AK63" s="20" t="inlineStr">
        <is>
          <t>None</t>
        </is>
      </c>
      <c r="AL63" s="17" t="n"/>
      <c r="AM63" s="16" t="n"/>
      <c r="AN63" s="20" t="inlineStr">
        <is>
          <t>IC Anionen</t>
        </is>
      </c>
      <c r="AO63" s="20" t="inlineStr">
        <is>
          <t>None</t>
        </is>
      </c>
      <c r="AP63" s="17" t="n"/>
      <c r="AQ63" s="16" t="n"/>
      <c r="AR63" s="20" t="n"/>
      <c r="AS63" s="20" t="inlineStr">
        <is>
          <t>None</t>
        </is>
      </c>
      <c r="AT63" s="17" t="n"/>
      <c r="AU63" s="16" t="inlineStr">
        <is>
          <t>0.25</t>
        </is>
      </c>
      <c r="AV63" s="20" t="inlineStr">
        <is>
          <t>IC Anionen</t>
        </is>
      </c>
      <c r="AW63" s="20" t="inlineStr">
        <is>
          <t>None</t>
        </is>
      </c>
      <c r="AX63" s="17" t="n"/>
      <c r="AY63" s="16" t="inlineStr">
        <is>
          <t>&lt;0.80</t>
        </is>
      </c>
      <c r="AZ63" s="20" t="inlineStr">
        <is>
          <t>IC Anionen</t>
        </is>
      </c>
      <c r="BA63" s="20" t="inlineStr">
        <is>
          <t>None</t>
        </is>
      </c>
      <c r="BB63" s="17" t="n"/>
      <c r="BC63" s="16" t="inlineStr">
        <is>
          <t>140</t>
        </is>
      </c>
      <c r="BD63" s="20" t="inlineStr">
        <is>
          <t>IC Kationen</t>
        </is>
      </c>
      <c r="BE63" s="20" t="inlineStr">
        <is>
          <t>None</t>
        </is>
      </c>
      <c r="BF63" s="17" t="n"/>
      <c r="BG63" s="16" t="inlineStr">
        <is>
          <t>&lt;1.60</t>
        </is>
      </c>
      <c r="BH63" s="20" t="inlineStr">
        <is>
          <t>IC Kationen</t>
        </is>
      </c>
      <c r="BI63" s="20" t="inlineStr">
        <is>
          <t>None</t>
        </is>
      </c>
      <c r="BJ63" s="17" t="n"/>
      <c r="BK63" s="16" t="inlineStr">
        <is>
          <t>15.6</t>
        </is>
      </c>
      <c r="BL63" s="20" t="inlineStr">
        <is>
          <t>IC Kationen</t>
        </is>
      </c>
      <c r="BM63" s="20" t="inlineStr">
        <is>
          <t>None</t>
        </is>
      </c>
      <c r="BN63" s="17" t="n"/>
      <c r="BO63" s="16" t="inlineStr">
        <is>
          <t>191</t>
        </is>
      </c>
      <c r="BP63" s="20" t="inlineStr">
        <is>
          <t>IC Kationen</t>
        </is>
      </c>
      <c r="BQ63" s="20" t="inlineStr">
        <is>
          <t>None</t>
        </is>
      </c>
      <c r="BR63" s="17" t="n"/>
      <c r="BS63" s="16" t="inlineStr">
        <is>
          <t>30.7</t>
        </is>
      </c>
      <c r="BT63" s="20" t="inlineStr">
        <is>
          <t>IC Kationen</t>
        </is>
      </c>
      <c r="BU63" s="20" t="inlineStr">
        <is>
          <t>None</t>
        </is>
      </c>
      <c r="BV63" s="17" t="n"/>
      <c r="BW63" s="16" t="n"/>
      <c r="BX63" s="20" t="n"/>
      <c r="BY63" s="20" t="inlineStr">
        <is>
          <t>None</t>
        </is>
      </c>
      <c r="BZ63" s="17" t="n"/>
      <c r="CA63" s="16" t="n"/>
      <c r="CB63" s="20" t="n"/>
      <c r="CC63" s="20" t="inlineStr">
        <is>
          <t>None</t>
        </is>
      </c>
      <c r="CD63" s="17" t="n"/>
      <c r="CE63" s="16" t="n"/>
      <c r="CF63" s="20" t="n"/>
      <c r="CG63" s="20" t="inlineStr">
        <is>
          <t>None</t>
        </is>
      </c>
      <c r="CH63" s="17" t="n"/>
      <c r="CI63" s="16" t="n"/>
      <c r="CJ63" s="20" t="n"/>
      <c r="CK63" s="20" t="inlineStr">
        <is>
          <t>None</t>
        </is>
      </c>
      <c r="CL63" s="17" t="n"/>
      <c r="CM63" s="16" t="n"/>
      <c r="CN63" s="20" t="inlineStr">
        <is>
          <t>SOP 45-34</t>
        </is>
      </c>
      <c r="CO63" s="20" t="inlineStr">
        <is>
          <t>None</t>
        </is>
      </c>
      <c r="CP63" s="17" t="n"/>
      <c r="CQ63" s="16" t="n"/>
      <c r="CR63" s="20" t="n"/>
      <c r="CS63" s="20" t="inlineStr">
        <is>
          <t>None</t>
        </is>
      </c>
      <c r="CT63" s="17" t="n"/>
      <c r="CU63" s="16" t="n"/>
      <c r="CV63" s="20" t="n"/>
      <c r="CW63" s="20" t="inlineStr">
        <is>
          <t>None</t>
        </is>
      </c>
      <c r="CX63" s="17" t="n"/>
      <c r="CY63" s="16" t="n"/>
      <c r="CZ63" s="20" t="inlineStr">
        <is>
          <t>WTW Multimeter 3430 with FDO 925</t>
        </is>
      </c>
      <c r="DA63" s="20" t="inlineStr">
        <is>
          <t>None</t>
        </is>
      </c>
      <c r="DB63" s="17" t="n"/>
      <c r="DC63" s="16" t="n"/>
      <c r="DD63" s="20" t="n"/>
      <c r="DE63" s="20" t="inlineStr">
        <is>
          <t>None</t>
        </is>
      </c>
      <c r="DF63" s="17" t="n"/>
      <c r="DG63" s="16" t="n"/>
      <c r="DH63" s="20" t="inlineStr">
        <is>
          <t>SOP 45-09</t>
        </is>
      </c>
      <c r="DI63" s="20" t="inlineStr">
        <is>
          <t>None</t>
        </is>
      </c>
      <c r="DJ63" s="17" t="n"/>
      <c r="DK63" s="16" t="n"/>
      <c r="DL63" s="20" t="inlineStr">
        <is>
          <t>SOP 45-09 (SOP muss noch angepasst werden für VSS)</t>
        </is>
      </c>
      <c r="DM63" s="20" t="inlineStr">
        <is>
          <t>None</t>
        </is>
      </c>
      <c r="DN63" s="17" t="n"/>
      <c r="DO63" s="16" t="n"/>
      <c r="DP63" s="20" t="inlineStr">
        <is>
          <t>IC Organic Acids</t>
        </is>
      </c>
      <c r="DQ63" s="20" t="inlineStr">
        <is>
          <t>None</t>
        </is>
      </c>
      <c r="DR63" s="17" t="n"/>
      <c r="DS63" s="16" t="n"/>
      <c r="DT63" s="20" t="inlineStr">
        <is>
          <t>IC Organic Acids</t>
        </is>
      </c>
      <c r="DU63" s="20" t="inlineStr">
        <is>
          <t>None</t>
        </is>
      </c>
      <c r="DV63" s="17" t="n"/>
      <c r="DW63" s="16" t="n"/>
      <c r="DX63" s="20" t="inlineStr">
        <is>
          <t>IC Organic Acids</t>
        </is>
      </c>
      <c r="DY63" s="20" t="inlineStr">
        <is>
          <t>None</t>
        </is>
      </c>
      <c r="DZ63" s="17" t="n"/>
      <c r="EA63" s="16" t="n"/>
      <c r="EB63" s="20" t="inlineStr">
        <is>
          <t>IC Organic Acids</t>
        </is>
      </c>
      <c r="EC63" s="20" t="inlineStr">
        <is>
          <t>None</t>
        </is>
      </c>
      <c r="ED63" s="17" t="n"/>
      <c r="EE63" s="16" t="n"/>
      <c r="EF63" s="20" t="inlineStr">
        <is>
          <t>IC Organic Acids</t>
        </is>
      </c>
      <c r="EG63" s="20" t="inlineStr">
        <is>
          <t>None</t>
        </is>
      </c>
      <c r="EH63" s="17" t="n"/>
      <c r="EI63" s="16" t="n"/>
      <c r="EJ63" s="20" t="inlineStr">
        <is>
          <t>IC Organic Acids</t>
        </is>
      </c>
      <c r="EK63" s="20" t="inlineStr">
        <is>
          <t>None</t>
        </is>
      </c>
      <c r="EL63" s="17" t="n"/>
      <c r="EM63" s="16" t="n"/>
      <c r="EN63" s="20" t="inlineStr">
        <is>
          <t>IC Organic Acids</t>
        </is>
      </c>
      <c r="EO63" s="20" t="inlineStr">
        <is>
          <t>None</t>
        </is>
      </c>
      <c r="EP63" s="17" t="n"/>
      <c r="EQ63" s="16" t="n"/>
      <c r="ER63" s="20" t="inlineStr">
        <is>
          <t>IC Organic Acids</t>
        </is>
      </c>
      <c r="ES63" s="20" t="inlineStr">
        <is>
          <t>None</t>
        </is>
      </c>
      <c r="ET63" s="17" t="n"/>
      <c r="EU63" s="16" t="n"/>
      <c r="EV63" s="20" t="inlineStr">
        <is>
          <t>LC-MS</t>
        </is>
      </c>
      <c r="EW63" s="20" t="inlineStr">
        <is>
          <t>None</t>
        </is>
      </c>
      <c r="EX63" s="17" t="n"/>
      <c r="EY63" s="21" t="n"/>
      <c r="EZ63">
        <f>CONCATENATE(A63,B63)</f>
        <v/>
      </c>
      <c r="FA63">
        <f>CONCATENATE(SamplesX!A63,SamplesX!B63)</f>
        <v/>
      </c>
      <c r="FC63">
        <f>MATCH(EZ63,FA1:FA1008,0)</f>
        <v/>
      </c>
    </row>
    <row r="64">
      <c r="A64" s="16" t="inlineStr">
        <is>
          <t>BP</t>
        </is>
      </c>
      <c r="B64" s="17" t="inlineStr">
        <is>
          <t>25056</t>
        </is>
      </c>
      <c r="C64" s="10">
        <f>IF(ISNUMBER(FC64),INDIRECT("SamplesX!C"&amp;FC64),IF(ISNUMBER(FD64),INDIRECT("SamplesY!C"&amp;FD64),""))</f>
        <v/>
      </c>
      <c r="D64" s="12">
        <f>IF(ISNUMBER(FC64),INDIRECT("SamplesX!D"&amp;FC64),IF(ISNUMBER(FD64),INDIRECT("SamplesY!D"&amp;FD64),""))</f>
        <v/>
      </c>
      <c r="E64" s="12">
        <f>IF(ISNUMBER(FC64),INDIRECT("SamplesX!E"&amp;FC64),IF(ISNUMBER(FD64),INDIRECT("SamplesY!E"&amp;FD64),""))</f>
        <v/>
      </c>
      <c r="F64" s="11">
        <f>IF(ISNUMBER(FC64),INDIRECT("SamplesX!F"&amp;FC64),IF(ISNUMBER(FD64),INDIRECT("SamplesY!F"&amp;FD64),""))</f>
        <v/>
      </c>
      <c r="G64" s="18">
        <f>IF(ISNUMBER(FC64),INDIRECT("SamplesX!G"&amp;FC64),IF(ISNUMBER(FD64),INDIRECT("SamplesY!G"&amp;FD64),""))</f>
        <v/>
      </c>
      <c r="H64" s="19">
        <f>IF(ISNUMBER(FC64),INDIRECT("SamplesX!H"&amp;FC64),IF(ISNUMBER(FD64),INDIRECT("SamplesY!H"&amp;FD64),""))</f>
        <v/>
      </c>
      <c r="I64" s="16" t="n"/>
      <c r="J64" s="16" t="n"/>
      <c r="K64" s="16" t="n"/>
      <c r="L64" s="20" t="n"/>
      <c r="M64" s="20" t="inlineStr">
        <is>
          <t>None</t>
        </is>
      </c>
      <c r="N64" s="17" t="n"/>
      <c r="O64" s="16" t="n"/>
      <c r="P64" s="20" t="inlineStr">
        <is>
          <t>Shimadzu TOC-L</t>
        </is>
      </c>
      <c r="Q64" s="20" t="inlineStr">
        <is>
          <t>None</t>
        </is>
      </c>
      <c r="R64" s="17" t="n"/>
      <c r="S64" s="16" t="n"/>
      <c r="T64" s="20" t="inlineStr">
        <is>
          <t>Shimadzu TOC-L</t>
        </is>
      </c>
      <c r="U64" s="20" t="inlineStr">
        <is>
          <t>None</t>
        </is>
      </c>
      <c r="V64" s="17" t="n"/>
      <c r="W64" s="16" t="n"/>
      <c r="X64" s="20" t="n"/>
      <c r="Y64" s="20" t="inlineStr">
        <is>
          <t>None</t>
        </is>
      </c>
      <c r="Z64" s="17" t="n"/>
      <c r="AA64" s="16" t="n"/>
      <c r="AB64" s="20" t="n"/>
      <c r="AC64" s="20" t="inlineStr">
        <is>
          <t>None</t>
        </is>
      </c>
      <c r="AD64" s="17" t="n"/>
      <c r="AE64" s="16" t="inlineStr">
        <is>
          <t>212</t>
        </is>
      </c>
      <c r="AF64" s="20" t="inlineStr">
        <is>
          <t>IC Anionen</t>
        </is>
      </c>
      <c r="AG64" s="20" t="inlineStr">
        <is>
          <t>None</t>
        </is>
      </c>
      <c r="AH64" s="17" t="n"/>
      <c r="AI64" s="16" t="n"/>
      <c r="AJ64" s="20" t="n"/>
      <c r="AK64" s="20" t="inlineStr">
        <is>
          <t>None</t>
        </is>
      </c>
      <c r="AL64" s="17" t="n"/>
      <c r="AM64" s="16" t="n"/>
      <c r="AN64" s="20" t="inlineStr">
        <is>
          <t>IC Anionen</t>
        </is>
      </c>
      <c r="AO64" s="20" t="inlineStr">
        <is>
          <t>None</t>
        </is>
      </c>
      <c r="AP64" s="17" t="n"/>
      <c r="AQ64" s="16" t="n"/>
      <c r="AR64" s="20" t="n"/>
      <c r="AS64" s="20" t="inlineStr">
        <is>
          <t>None</t>
        </is>
      </c>
      <c r="AT64" s="17" t="n"/>
      <c r="AU64" s="16" t="inlineStr">
        <is>
          <t>14.1</t>
        </is>
      </c>
      <c r="AV64" s="20" t="inlineStr">
        <is>
          <t>IC Anionen</t>
        </is>
      </c>
      <c r="AW64" s="20" t="inlineStr">
        <is>
          <t>None</t>
        </is>
      </c>
      <c r="AX64" s="17" t="n"/>
      <c r="AY64" s="16" t="inlineStr">
        <is>
          <t>&lt;0.80</t>
        </is>
      </c>
      <c r="AZ64" s="20" t="inlineStr">
        <is>
          <t>IC Anionen</t>
        </is>
      </c>
      <c r="BA64" s="20" t="inlineStr">
        <is>
          <t>None</t>
        </is>
      </c>
      <c r="BB64" s="17" t="n"/>
      <c r="BC64" s="16" t="inlineStr">
        <is>
          <t>144</t>
        </is>
      </c>
      <c r="BD64" s="20" t="inlineStr">
        <is>
          <t>IC Kationen</t>
        </is>
      </c>
      <c r="BE64" s="20" t="inlineStr">
        <is>
          <t>None</t>
        </is>
      </c>
      <c r="BF64" s="17" t="n"/>
      <c r="BG64" s="16" t="inlineStr">
        <is>
          <t>&lt;1.60</t>
        </is>
      </c>
      <c r="BH64" s="20" t="inlineStr">
        <is>
          <t>IC Kationen</t>
        </is>
      </c>
      <c r="BI64" s="20" t="inlineStr">
        <is>
          <t>None</t>
        </is>
      </c>
      <c r="BJ64" s="17" t="n"/>
      <c r="BK64" s="16" t="inlineStr">
        <is>
          <t>19.2</t>
        </is>
      </c>
      <c r="BL64" s="20" t="inlineStr">
        <is>
          <t>IC Kationen</t>
        </is>
      </c>
      <c r="BM64" s="20" t="inlineStr">
        <is>
          <t>None</t>
        </is>
      </c>
      <c r="BN64" s="17" t="n"/>
      <c r="BO64" s="16" t="inlineStr">
        <is>
          <t>340</t>
        </is>
      </c>
      <c r="BP64" s="20" t="inlineStr">
        <is>
          <t>IC Kationen</t>
        </is>
      </c>
      <c r="BQ64" s="20" t="inlineStr">
        <is>
          <t>None</t>
        </is>
      </c>
      <c r="BR64" s="17" t="n"/>
      <c r="BS64" s="16" t="inlineStr">
        <is>
          <t>33.7</t>
        </is>
      </c>
      <c r="BT64" s="20" t="inlineStr">
        <is>
          <t>IC Kationen</t>
        </is>
      </c>
      <c r="BU64" s="20" t="inlineStr">
        <is>
          <t>None</t>
        </is>
      </c>
      <c r="BV64" s="17" t="n"/>
      <c r="BW64" s="16" t="n"/>
      <c r="BX64" s="20" t="n"/>
      <c r="BY64" s="20" t="inlineStr">
        <is>
          <t>None</t>
        </is>
      </c>
      <c r="BZ64" s="17" t="n"/>
      <c r="CA64" s="16" t="n"/>
      <c r="CB64" s="20" t="n"/>
      <c r="CC64" s="20" t="inlineStr">
        <is>
          <t>None</t>
        </is>
      </c>
      <c r="CD64" s="17" t="n"/>
      <c r="CE64" s="16" t="n"/>
      <c r="CF64" s="20" t="n"/>
      <c r="CG64" s="20" t="inlineStr">
        <is>
          <t>None</t>
        </is>
      </c>
      <c r="CH64" s="17" t="n"/>
      <c r="CI64" s="16" t="n"/>
      <c r="CJ64" s="20" t="n"/>
      <c r="CK64" s="20" t="inlineStr">
        <is>
          <t>None</t>
        </is>
      </c>
      <c r="CL64" s="17" t="n"/>
      <c r="CM64" s="16" t="n"/>
      <c r="CN64" s="20" t="inlineStr">
        <is>
          <t>SOP 45-34</t>
        </is>
      </c>
      <c r="CO64" s="20" t="inlineStr">
        <is>
          <t>None</t>
        </is>
      </c>
      <c r="CP64" s="17" t="n"/>
      <c r="CQ64" s="16" t="n"/>
      <c r="CR64" s="20" t="n"/>
      <c r="CS64" s="20" t="inlineStr">
        <is>
          <t>None</t>
        </is>
      </c>
      <c r="CT64" s="17" t="n"/>
      <c r="CU64" s="16" t="n"/>
      <c r="CV64" s="20" t="n"/>
      <c r="CW64" s="20" t="inlineStr">
        <is>
          <t>None</t>
        </is>
      </c>
      <c r="CX64" s="17" t="n"/>
      <c r="CY64" s="16" t="n"/>
      <c r="CZ64" s="20" t="inlineStr">
        <is>
          <t>WTW Multimeter 3430 with FDO 925</t>
        </is>
      </c>
      <c r="DA64" s="20" t="inlineStr">
        <is>
          <t>None</t>
        </is>
      </c>
      <c r="DB64" s="17" t="n"/>
      <c r="DC64" s="16" t="n"/>
      <c r="DD64" s="20" t="n"/>
      <c r="DE64" s="20" t="inlineStr">
        <is>
          <t>None</t>
        </is>
      </c>
      <c r="DF64" s="17" t="n"/>
      <c r="DG64" s="16" t="n"/>
      <c r="DH64" s="20" t="inlineStr">
        <is>
          <t>SOP 45-09</t>
        </is>
      </c>
      <c r="DI64" s="20" t="inlineStr">
        <is>
          <t>None</t>
        </is>
      </c>
      <c r="DJ64" s="17" t="n"/>
      <c r="DK64" s="16" t="n"/>
      <c r="DL64" s="20" t="inlineStr">
        <is>
          <t>SOP 45-09 (SOP muss noch angepasst werden für VSS)</t>
        </is>
      </c>
      <c r="DM64" s="20" t="inlineStr">
        <is>
          <t>None</t>
        </is>
      </c>
      <c r="DN64" s="17" t="n"/>
      <c r="DO64" s="16" t="n"/>
      <c r="DP64" s="20" t="inlineStr">
        <is>
          <t>IC Organic Acids</t>
        </is>
      </c>
      <c r="DQ64" s="20" t="inlineStr">
        <is>
          <t>None</t>
        </is>
      </c>
      <c r="DR64" s="17" t="n"/>
      <c r="DS64" s="16" t="n"/>
      <c r="DT64" s="20" t="inlineStr">
        <is>
          <t>IC Organic Acids</t>
        </is>
      </c>
      <c r="DU64" s="20" t="inlineStr">
        <is>
          <t>None</t>
        </is>
      </c>
      <c r="DV64" s="17" t="n"/>
      <c r="DW64" s="16" t="n"/>
      <c r="DX64" s="20" t="inlineStr">
        <is>
          <t>IC Organic Acids</t>
        </is>
      </c>
      <c r="DY64" s="20" t="inlineStr">
        <is>
          <t>None</t>
        </is>
      </c>
      <c r="DZ64" s="17" t="n"/>
      <c r="EA64" s="16" t="n"/>
      <c r="EB64" s="20" t="inlineStr">
        <is>
          <t>IC Organic Acids</t>
        </is>
      </c>
      <c r="EC64" s="20" t="inlineStr">
        <is>
          <t>None</t>
        </is>
      </c>
      <c r="ED64" s="17" t="n"/>
      <c r="EE64" s="16" t="n"/>
      <c r="EF64" s="20" t="inlineStr">
        <is>
          <t>IC Organic Acids</t>
        </is>
      </c>
      <c r="EG64" s="20" t="inlineStr">
        <is>
          <t>None</t>
        </is>
      </c>
      <c r="EH64" s="17" t="n"/>
      <c r="EI64" s="16" t="n"/>
      <c r="EJ64" s="20" t="inlineStr">
        <is>
          <t>IC Organic Acids</t>
        </is>
      </c>
      <c r="EK64" s="20" t="inlineStr">
        <is>
          <t>None</t>
        </is>
      </c>
      <c r="EL64" s="17" t="n"/>
      <c r="EM64" s="16" t="n"/>
      <c r="EN64" s="20" t="inlineStr">
        <is>
          <t>IC Organic Acids</t>
        </is>
      </c>
      <c r="EO64" s="20" t="inlineStr">
        <is>
          <t>None</t>
        </is>
      </c>
      <c r="EP64" s="17" t="n"/>
      <c r="EQ64" s="16" t="n"/>
      <c r="ER64" s="20" t="inlineStr">
        <is>
          <t>IC Organic Acids</t>
        </is>
      </c>
      <c r="ES64" s="20" t="inlineStr">
        <is>
          <t>None</t>
        </is>
      </c>
      <c r="ET64" s="17" t="n"/>
      <c r="EU64" s="16" t="n"/>
      <c r="EV64" s="20" t="inlineStr">
        <is>
          <t>LC-MS</t>
        </is>
      </c>
      <c r="EW64" s="20" t="inlineStr">
        <is>
          <t>None</t>
        </is>
      </c>
      <c r="EX64" s="17" t="n"/>
      <c r="EY64" s="21" t="n"/>
      <c r="EZ64">
        <f>CONCATENATE(A64,B64)</f>
        <v/>
      </c>
      <c r="FA64">
        <f>CONCATENATE(SamplesX!A64,SamplesX!B64)</f>
        <v/>
      </c>
      <c r="FC64">
        <f>MATCH(EZ64,FA1:FA1008,0)</f>
        <v/>
      </c>
    </row>
    <row r="65">
      <c r="A65" s="16" t="inlineStr">
        <is>
          <t>BP</t>
        </is>
      </c>
      <c r="B65" s="17" t="inlineStr">
        <is>
          <t>25057</t>
        </is>
      </c>
      <c r="C65" s="10">
        <f>IF(ISNUMBER(FC65),INDIRECT("SamplesX!C"&amp;FC65),IF(ISNUMBER(FD65),INDIRECT("SamplesY!C"&amp;FD65),""))</f>
        <v/>
      </c>
      <c r="D65" s="12">
        <f>IF(ISNUMBER(FC65),INDIRECT("SamplesX!D"&amp;FC65),IF(ISNUMBER(FD65),INDIRECT("SamplesY!D"&amp;FD65),""))</f>
        <v/>
      </c>
      <c r="E65" s="12">
        <f>IF(ISNUMBER(FC65),INDIRECT("SamplesX!E"&amp;FC65),IF(ISNUMBER(FD65),INDIRECT("SamplesY!E"&amp;FD65),""))</f>
        <v/>
      </c>
      <c r="F65" s="11">
        <f>IF(ISNUMBER(FC65),INDIRECT("SamplesX!F"&amp;FC65),IF(ISNUMBER(FD65),INDIRECT("SamplesY!F"&amp;FD65),""))</f>
        <v/>
      </c>
      <c r="G65" s="18">
        <f>IF(ISNUMBER(FC65),INDIRECT("SamplesX!G"&amp;FC65),IF(ISNUMBER(FD65),INDIRECT("SamplesY!G"&amp;FD65),""))</f>
        <v/>
      </c>
      <c r="H65" s="19">
        <f>IF(ISNUMBER(FC65),INDIRECT("SamplesX!H"&amp;FC65),IF(ISNUMBER(FD65),INDIRECT("SamplesY!H"&amp;FD65),""))</f>
        <v/>
      </c>
      <c r="I65" s="16" t="n"/>
      <c r="J65" s="16" t="n"/>
      <c r="K65" s="16" t="n"/>
      <c r="L65" s="20" t="n"/>
      <c r="M65" s="20" t="inlineStr">
        <is>
          <t>None</t>
        </is>
      </c>
      <c r="N65" s="17" t="n"/>
      <c r="O65" s="16" t="n"/>
      <c r="P65" s="20" t="inlineStr">
        <is>
          <t>Shimadzu TOC-L</t>
        </is>
      </c>
      <c r="Q65" s="20" t="inlineStr">
        <is>
          <t>None</t>
        </is>
      </c>
      <c r="R65" s="17" t="n"/>
      <c r="S65" s="16" t="n"/>
      <c r="T65" s="20" t="inlineStr">
        <is>
          <t>Shimadzu TOC-L</t>
        </is>
      </c>
      <c r="U65" s="20" t="inlineStr">
        <is>
          <t>None</t>
        </is>
      </c>
      <c r="V65" s="17" t="n"/>
      <c r="W65" s="16" t="n"/>
      <c r="X65" s="20" t="n"/>
      <c r="Y65" s="20" t="inlineStr">
        <is>
          <t>None</t>
        </is>
      </c>
      <c r="Z65" s="17" t="n"/>
      <c r="AA65" s="16" t="n"/>
      <c r="AB65" s="20" t="n"/>
      <c r="AC65" s="20" t="inlineStr">
        <is>
          <t>None</t>
        </is>
      </c>
      <c r="AD65" s="17" t="n"/>
      <c r="AE65" s="16" t="inlineStr">
        <is>
          <t>231</t>
        </is>
      </c>
      <c r="AF65" s="20" t="inlineStr">
        <is>
          <t>IC Anionen</t>
        </is>
      </c>
      <c r="AG65" s="20" t="inlineStr">
        <is>
          <t>None</t>
        </is>
      </c>
      <c r="AH65" s="17" t="n"/>
      <c r="AI65" s="16" t="n"/>
      <c r="AJ65" s="20" t="n"/>
      <c r="AK65" s="20" t="inlineStr">
        <is>
          <t>None</t>
        </is>
      </c>
      <c r="AL65" s="17" t="n"/>
      <c r="AM65" s="16" t="n"/>
      <c r="AN65" s="20" t="inlineStr">
        <is>
          <t>IC Anionen</t>
        </is>
      </c>
      <c r="AO65" s="20" t="inlineStr">
        <is>
          <t>None</t>
        </is>
      </c>
      <c r="AP65" s="17" t="n"/>
      <c r="AQ65" s="16" t="n"/>
      <c r="AR65" s="20" t="n"/>
      <c r="AS65" s="20" t="inlineStr">
        <is>
          <t>None</t>
        </is>
      </c>
      <c r="AT65" s="17" t="n"/>
      <c r="AU65" s="16" t="inlineStr">
        <is>
          <t>24.5</t>
        </is>
      </c>
      <c r="AV65" s="20" t="inlineStr">
        <is>
          <t>IC Anionen</t>
        </is>
      </c>
      <c r="AW65" s="20" t="inlineStr">
        <is>
          <t>None</t>
        </is>
      </c>
      <c r="AX65" s="17" t="n"/>
      <c r="AY65" s="16" t="inlineStr">
        <is>
          <t>1.26</t>
        </is>
      </c>
      <c r="AZ65" s="20" t="inlineStr">
        <is>
          <t>IC Anionen</t>
        </is>
      </c>
      <c r="BA65" s="20" t="inlineStr">
        <is>
          <t>None</t>
        </is>
      </c>
      <c r="BB65" s="17" t="n"/>
      <c r="BC65" s="16" t="inlineStr">
        <is>
          <t>149</t>
        </is>
      </c>
      <c r="BD65" s="20" t="inlineStr">
        <is>
          <t>IC Kationen</t>
        </is>
      </c>
      <c r="BE65" s="20" t="inlineStr">
        <is>
          <t>None</t>
        </is>
      </c>
      <c r="BF65" s="17" t="n"/>
      <c r="BG65" s="16" t="inlineStr">
        <is>
          <t>11.7</t>
        </is>
      </c>
      <c r="BH65" s="20" t="inlineStr">
        <is>
          <t>IC Kationen</t>
        </is>
      </c>
      <c r="BI65" s="20" t="inlineStr">
        <is>
          <t>None</t>
        </is>
      </c>
      <c r="BJ65" s="17" t="n"/>
      <c r="BK65" s="16" t="inlineStr">
        <is>
          <t>19.5</t>
        </is>
      </c>
      <c r="BL65" s="20" t="inlineStr">
        <is>
          <t>IC Kationen</t>
        </is>
      </c>
      <c r="BM65" s="20" t="inlineStr">
        <is>
          <t>None</t>
        </is>
      </c>
      <c r="BN65" s="17" t="n"/>
      <c r="BO65" s="16" t="inlineStr">
        <is>
          <t>254</t>
        </is>
      </c>
      <c r="BP65" s="20" t="inlineStr">
        <is>
          <t>IC Kationen</t>
        </is>
      </c>
      <c r="BQ65" s="20" t="inlineStr">
        <is>
          <t>None</t>
        </is>
      </c>
      <c r="BR65" s="17" t="n"/>
      <c r="BS65" s="16" t="inlineStr">
        <is>
          <t>37.1</t>
        </is>
      </c>
      <c r="BT65" s="20" t="inlineStr">
        <is>
          <t>IC Kationen</t>
        </is>
      </c>
      <c r="BU65" s="20" t="inlineStr">
        <is>
          <t>None</t>
        </is>
      </c>
      <c r="BV65" s="17" t="n"/>
      <c r="BW65" s="16" t="n"/>
      <c r="BX65" s="20" t="n"/>
      <c r="BY65" s="20" t="inlineStr">
        <is>
          <t>None</t>
        </is>
      </c>
      <c r="BZ65" s="17" t="n"/>
      <c r="CA65" s="16" t="n"/>
      <c r="CB65" s="20" t="n"/>
      <c r="CC65" s="20" t="inlineStr">
        <is>
          <t>None</t>
        </is>
      </c>
      <c r="CD65" s="17" t="n"/>
      <c r="CE65" s="16" t="n"/>
      <c r="CF65" s="20" t="n"/>
      <c r="CG65" s="20" t="inlineStr">
        <is>
          <t>None</t>
        </is>
      </c>
      <c r="CH65" s="17" t="n"/>
      <c r="CI65" s="16" t="n"/>
      <c r="CJ65" s="20" t="n"/>
      <c r="CK65" s="20" t="inlineStr">
        <is>
          <t>None</t>
        </is>
      </c>
      <c r="CL65" s="17" t="n"/>
      <c r="CM65" s="16" t="n"/>
      <c r="CN65" s="20" t="inlineStr">
        <is>
          <t>SOP 45-34</t>
        </is>
      </c>
      <c r="CO65" s="20" t="inlineStr">
        <is>
          <t>None</t>
        </is>
      </c>
      <c r="CP65" s="17" t="n"/>
      <c r="CQ65" s="16" t="n"/>
      <c r="CR65" s="20" t="n"/>
      <c r="CS65" s="20" t="inlineStr">
        <is>
          <t>None</t>
        </is>
      </c>
      <c r="CT65" s="17" t="n"/>
      <c r="CU65" s="16" t="n"/>
      <c r="CV65" s="20" t="n"/>
      <c r="CW65" s="20" t="inlineStr">
        <is>
          <t>None</t>
        </is>
      </c>
      <c r="CX65" s="17" t="n"/>
      <c r="CY65" s="16" t="n"/>
      <c r="CZ65" s="20" t="inlineStr">
        <is>
          <t>WTW Multimeter 3430 with FDO 925</t>
        </is>
      </c>
      <c r="DA65" s="20" t="inlineStr">
        <is>
          <t>None</t>
        </is>
      </c>
      <c r="DB65" s="17" t="n"/>
      <c r="DC65" s="16" t="n"/>
      <c r="DD65" s="20" t="n"/>
      <c r="DE65" s="20" t="inlineStr">
        <is>
          <t>None</t>
        </is>
      </c>
      <c r="DF65" s="17" t="n"/>
      <c r="DG65" s="16" t="n"/>
      <c r="DH65" s="20" t="inlineStr">
        <is>
          <t>SOP 45-09</t>
        </is>
      </c>
      <c r="DI65" s="20" t="inlineStr">
        <is>
          <t>None</t>
        </is>
      </c>
      <c r="DJ65" s="17" t="n"/>
      <c r="DK65" s="16" t="n"/>
      <c r="DL65" s="20" t="inlineStr">
        <is>
          <t>SOP 45-09 (SOP muss noch angepasst werden für VSS)</t>
        </is>
      </c>
      <c r="DM65" s="20" t="inlineStr">
        <is>
          <t>None</t>
        </is>
      </c>
      <c r="DN65" s="17" t="n"/>
      <c r="DO65" s="16" t="n"/>
      <c r="DP65" s="20" t="inlineStr">
        <is>
          <t>IC Organic Acids</t>
        </is>
      </c>
      <c r="DQ65" s="20" t="inlineStr">
        <is>
          <t>None</t>
        </is>
      </c>
      <c r="DR65" s="17" t="n"/>
      <c r="DS65" s="16" t="n"/>
      <c r="DT65" s="20" t="inlineStr">
        <is>
          <t>IC Organic Acids</t>
        </is>
      </c>
      <c r="DU65" s="20" t="inlineStr">
        <is>
          <t>None</t>
        </is>
      </c>
      <c r="DV65" s="17" t="n"/>
      <c r="DW65" s="16" t="n"/>
      <c r="DX65" s="20" t="inlineStr">
        <is>
          <t>IC Organic Acids</t>
        </is>
      </c>
      <c r="DY65" s="20" t="inlineStr">
        <is>
          <t>None</t>
        </is>
      </c>
      <c r="DZ65" s="17" t="n"/>
      <c r="EA65" s="16" t="n"/>
      <c r="EB65" s="20" t="inlineStr">
        <is>
          <t>IC Organic Acids</t>
        </is>
      </c>
      <c r="EC65" s="20" t="inlineStr">
        <is>
          <t>None</t>
        </is>
      </c>
      <c r="ED65" s="17" t="n"/>
      <c r="EE65" s="16" t="n"/>
      <c r="EF65" s="20" t="inlineStr">
        <is>
          <t>IC Organic Acids</t>
        </is>
      </c>
      <c r="EG65" s="20" t="inlineStr">
        <is>
          <t>None</t>
        </is>
      </c>
      <c r="EH65" s="17" t="n"/>
      <c r="EI65" s="16" t="n"/>
      <c r="EJ65" s="20" t="inlineStr">
        <is>
          <t>IC Organic Acids</t>
        </is>
      </c>
      <c r="EK65" s="20" t="inlineStr">
        <is>
          <t>None</t>
        </is>
      </c>
      <c r="EL65" s="17" t="n"/>
      <c r="EM65" s="16" t="n"/>
      <c r="EN65" s="20" t="inlineStr">
        <is>
          <t>IC Organic Acids</t>
        </is>
      </c>
      <c r="EO65" s="20" t="inlineStr">
        <is>
          <t>None</t>
        </is>
      </c>
      <c r="EP65" s="17" t="n"/>
      <c r="EQ65" s="16" t="n"/>
      <c r="ER65" s="20" t="inlineStr">
        <is>
          <t>IC Organic Acids</t>
        </is>
      </c>
      <c r="ES65" s="20" t="inlineStr">
        <is>
          <t>None</t>
        </is>
      </c>
      <c r="ET65" s="17" t="n"/>
      <c r="EU65" s="16" t="n"/>
      <c r="EV65" s="20" t="inlineStr">
        <is>
          <t>LC-MS</t>
        </is>
      </c>
      <c r="EW65" s="20" t="inlineStr">
        <is>
          <t>None</t>
        </is>
      </c>
      <c r="EX65" s="17" t="n"/>
      <c r="EY65" s="21" t="n"/>
      <c r="EZ65">
        <f>CONCATENATE(A65,B65)</f>
        <v/>
      </c>
      <c r="FA65">
        <f>CONCATENATE(SamplesX!A65,SamplesX!B65)</f>
        <v/>
      </c>
      <c r="FC65">
        <f>MATCH(EZ65,FA1:FA1008,0)</f>
        <v/>
      </c>
    </row>
    <row r="66">
      <c r="A66" s="16" t="inlineStr">
        <is>
          <t>BP</t>
        </is>
      </c>
      <c r="B66" s="17" t="inlineStr">
        <is>
          <t>25058</t>
        </is>
      </c>
      <c r="C66" s="10">
        <f>IF(ISNUMBER(FC66),INDIRECT("SamplesX!C"&amp;FC66),IF(ISNUMBER(FD66),INDIRECT("SamplesY!C"&amp;FD66),""))</f>
        <v/>
      </c>
      <c r="D66" s="12">
        <f>IF(ISNUMBER(FC66),INDIRECT("SamplesX!D"&amp;FC66),IF(ISNUMBER(FD66),INDIRECT("SamplesY!D"&amp;FD66),""))</f>
        <v/>
      </c>
      <c r="E66" s="12">
        <f>IF(ISNUMBER(FC66),INDIRECT("SamplesX!E"&amp;FC66),IF(ISNUMBER(FD66),INDIRECT("SamplesY!E"&amp;FD66),""))</f>
        <v/>
      </c>
      <c r="F66" s="11">
        <f>IF(ISNUMBER(FC66),INDIRECT("SamplesX!F"&amp;FC66),IF(ISNUMBER(FD66),INDIRECT("SamplesY!F"&amp;FD66),""))</f>
        <v/>
      </c>
      <c r="G66" s="18">
        <f>IF(ISNUMBER(FC66),INDIRECT("SamplesX!G"&amp;FC66),IF(ISNUMBER(FD66),INDIRECT("SamplesY!G"&amp;FD66),""))</f>
        <v/>
      </c>
      <c r="H66" s="19">
        <f>IF(ISNUMBER(FC66),INDIRECT("SamplesX!H"&amp;FC66),IF(ISNUMBER(FD66),INDIRECT("SamplesY!H"&amp;FD66),""))</f>
        <v/>
      </c>
      <c r="I66" s="16" t="n"/>
      <c r="J66" s="16" t="n"/>
      <c r="K66" s="16" t="n"/>
      <c r="L66" s="20" t="n"/>
      <c r="M66" s="20" t="inlineStr">
        <is>
          <t>None</t>
        </is>
      </c>
      <c r="N66" s="17" t="n"/>
      <c r="O66" s="16" t="n"/>
      <c r="P66" s="20" t="inlineStr">
        <is>
          <t>Shimadzu TOC-L</t>
        </is>
      </c>
      <c r="Q66" s="20" t="inlineStr">
        <is>
          <t>None</t>
        </is>
      </c>
      <c r="R66" s="17" t="n"/>
      <c r="S66" s="16" t="n"/>
      <c r="T66" s="20" t="inlineStr">
        <is>
          <t>Shimadzu TOC-L</t>
        </is>
      </c>
      <c r="U66" s="20" t="inlineStr">
        <is>
          <t>None</t>
        </is>
      </c>
      <c r="V66" s="17" t="n"/>
      <c r="W66" s="16" t="n"/>
      <c r="X66" s="20" t="n"/>
      <c r="Y66" s="20" t="inlineStr">
        <is>
          <t>None</t>
        </is>
      </c>
      <c r="Z66" s="17" t="n"/>
      <c r="AA66" s="16" t="n"/>
      <c r="AB66" s="20" t="n"/>
      <c r="AC66" s="20" t="inlineStr">
        <is>
          <t>None</t>
        </is>
      </c>
      <c r="AD66" s="17" t="n"/>
      <c r="AE66" s="16" t="inlineStr">
        <is>
          <t>254</t>
        </is>
      </c>
      <c r="AF66" s="20" t="inlineStr">
        <is>
          <t>IC Anionen</t>
        </is>
      </c>
      <c r="AG66" s="20" t="inlineStr">
        <is>
          <t>None</t>
        </is>
      </c>
      <c r="AH66" s="17" t="n"/>
      <c r="AI66" s="16" t="n"/>
      <c r="AJ66" s="20" t="n"/>
      <c r="AK66" s="20" t="inlineStr">
        <is>
          <t>None</t>
        </is>
      </c>
      <c r="AL66" s="17" t="n"/>
      <c r="AM66" s="16" t="n"/>
      <c r="AN66" s="20" t="inlineStr">
        <is>
          <t>IC Anionen</t>
        </is>
      </c>
      <c r="AO66" s="20" t="inlineStr">
        <is>
          <t>None</t>
        </is>
      </c>
      <c r="AP66" s="17" t="n"/>
      <c r="AQ66" s="16" t="n"/>
      <c r="AR66" s="20" t="n"/>
      <c r="AS66" s="20" t="inlineStr">
        <is>
          <t>None</t>
        </is>
      </c>
      <c r="AT66" s="17" t="n"/>
      <c r="AU66" s="16" t="inlineStr">
        <is>
          <t>0.39</t>
        </is>
      </c>
      <c r="AV66" s="20" t="inlineStr">
        <is>
          <t>IC Anionen</t>
        </is>
      </c>
      <c r="AW66" s="20" t="inlineStr">
        <is>
          <t>None</t>
        </is>
      </c>
      <c r="AX66" s="17" t="n"/>
      <c r="AY66" s="16" t="inlineStr">
        <is>
          <t>1.94</t>
        </is>
      </c>
      <c r="AZ66" s="20" t="inlineStr">
        <is>
          <t>IC Anionen</t>
        </is>
      </c>
      <c r="BA66" s="20" t="inlineStr">
        <is>
          <t>None</t>
        </is>
      </c>
      <c r="BB66" s="17" t="n"/>
      <c r="BC66" s="16" t="inlineStr">
        <is>
          <t>133</t>
        </is>
      </c>
      <c r="BD66" s="20" t="inlineStr">
        <is>
          <t>IC Kationen</t>
        </is>
      </c>
      <c r="BE66" s="20" t="inlineStr">
        <is>
          <t>None</t>
        </is>
      </c>
      <c r="BF66" s="17" t="n"/>
      <c r="BG66" s="16" t="inlineStr">
        <is>
          <t>&lt;1.60</t>
        </is>
      </c>
      <c r="BH66" s="20" t="inlineStr">
        <is>
          <t>IC Kationen</t>
        </is>
      </c>
      <c r="BI66" s="20" t="inlineStr">
        <is>
          <t>None</t>
        </is>
      </c>
      <c r="BJ66" s="17" t="n"/>
      <c r="BK66" s="16" t="inlineStr">
        <is>
          <t>9.84</t>
        </is>
      </c>
      <c r="BL66" s="20" t="inlineStr">
        <is>
          <t>IC Kationen</t>
        </is>
      </c>
      <c r="BM66" s="20" t="inlineStr">
        <is>
          <t>None</t>
        </is>
      </c>
      <c r="BN66" s="17" t="n"/>
      <c r="BO66" s="16" t="inlineStr">
        <is>
          <t>255</t>
        </is>
      </c>
      <c r="BP66" s="20" t="inlineStr">
        <is>
          <t>IC Kationen</t>
        </is>
      </c>
      <c r="BQ66" s="20" t="inlineStr">
        <is>
          <t>None</t>
        </is>
      </c>
      <c r="BR66" s="17" t="n"/>
      <c r="BS66" s="16" t="inlineStr">
        <is>
          <t>29.4</t>
        </is>
      </c>
      <c r="BT66" s="20" t="inlineStr">
        <is>
          <t>IC Kationen</t>
        </is>
      </c>
      <c r="BU66" s="20" t="inlineStr">
        <is>
          <t>None</t>
        </is>
      </c>
      <c r="BV66" s="17" t="n"/>
      <c r="BW66" s="16" t="n"/>
      <c r="BX66" s="20" t="n"/>
      <c r="BY66" s="20" t="inlineStr">
        <is>
          <t>None</t>
        </is>
      </c>
      <c r="BZ66" s="17" t="n"/>
      <c r="CA66" s="16" t="n"/>
      <c r="CB66" s="20" t="n"/>
      <c r="CC66" s="20" t="inlineStr">
        <is>
          <t>None</t>
        </is>
      </c>
      <c r="CD66" s="17" t="n"/>
      <c r="CE66" s="16" t="n"/>
      <c r="CF66" s="20" t="n"/>
      <c r="CG66" s="20" t="inlineStr">
        <is>
          <t>None</t>
        </is>
      </c>
      <c r="CH66" s="17" t="n"/>
      <c r="CI66" s="16" t="n"/>
      <c r="CJ66" s="20" t="n"/>
      <c r="CK66" s="20" t="inlineStr">
        <is>
          <t>None</t>
        </is>
      </c>
      <c r="CL66" s="17" t="n"/>
      <c r="CM66" s="16" t="n"/>
      <c r="CN66" s="20" t="inlineStr">
        <is>
          <t>SOP 45-34</t>
        </is>
      </c>
      <c r="CO66" s="20" t="inlineStr">
        <is>
          <t>None</t>
        </is>
      </c>
      <c r="CP66" s="17" t="n"/>
      <c r="CQ66" s="16" t="n"/>
      <c r="CR66" s="20" t="n"/>
      <c r="CS66" s="20" t="inlineStr">
        <is>
          <t>None</t>
        </is>
      </c>
      <c r="CT66" s="17" t="n"/>
      <c r="CU66" s="16" t="n"/>
      <c r="CV66" s="20" t="n"/>
      <c r="CW66" s="20" t="inlineStr">
        <is>
          <t>None</t>
        </is>
      </c>
      <c r="CX66" s="17" t="n"/>
      <c r="CY66" s="16" t="n"/>
      <c r="CZ66" s="20" t="inlineStr">
        <is>
          <t>WTW Multimeter 3430 with FDO 925</t>
        </is>
      </c>
      <c r="DA66" s="20" t="inlineStr">
        <is>
          <t>None</t>
        </is>
      </c>
      <c r="DB66" s="17" t="n"/>
      <c r="DC66" s="16" t="n"/>
      <c r="DD66" s="20" t="n"/>
      <c r="DE66" s="20" t="inlineStr">
        <is>
          <t>None</t>
        </is>
      </c>
      <c r="DF66" s="17" t="n"/>
      <c r="DG66" s="16" t="n"/>
      <c r="DH66" s="20" t="inlineStr">
        <is>
          <t>SOP 45-09</t>
        </is>
      </c>
      <c r="DI66" s="20" t="inlineStr">
        <is>
          <t>None</t>
        </is>
      </c>
      <c r="DJ66" s="17" t="n"/>
      <c r="DK66" s="16" t="n"/>
      <c r="DL66" s="20" t="inlineStr">
        <is>
          <t>SOP 45-09 (SOP muss noch angepasst werden für VSS)</t>
        </is>
      </c>
      <c r="DM66" s="20" t="inlineStr">
        <is>
          <t>None</t>
        </is>
      </c>
      <c r="DN66" s="17" t="n"/>
      <c r="DO66" s="16" t="n"/>
      <c r="DP66" s="20" t="inlineStr">
        <is>
          <t>IC Organic Acids</t>
        </is>
      </c>
      <c r="DQ66" s="20" t="inlineStr">
        <is>
          <t>None</t>
        </is>
      </c>
      <c r="DR66" s="17" t="n"/>
      <c r="DS66" s="16" t="n"/>
      <c r="DT66" s="20" t="inlineStr">
        <is>
          <t>IC Organic Acids</t>
        </is>
      </c>
      <c r="DU66" s="20" t="inlineStr">
        <is>
          <t>None</t>
        </is>
      </c>
      <c r="DV66" s="17" t="n"/>
      <c r="DW66" s="16" t="n"/>
      <c r="DX66" s="20" t="inlineStr">
        <is>
          <t>IC Organic Acids</t>
        </is>
      </c>
      <c r="DY66" s="20" t="inlineStr">
        <is>
          <t>None</t>
        </is>
      </c>
      <c r="DZ66" s="17" t="n"/>
      <c r="EA66" s="16" t="n"/>
      <c r="EB66" s="20" t="inlineStr">
        <is>
          <t>IC Organic Acids</t>
        </is>
      </c>
      <c r="EC66" s="20" t="inlineStr">
        <is>
          <t>None</t>
        </is>
      </c>
      <c r="ED66" s="17" t="n"/>
      <c r="EE66" s="16" t="n"/>
      <c r="EF66" s="20" t="inlineStr">
        <is>
          <t>IC Organic Acids</t>
        </is>
      </c>
      <c r="EG66" s="20" t="inlineStr">
        <is>
          <t>None</t>
        </is>
      </c>
      <c r="EH66" s="17" t="n"/>
      <c r="EI66" s="16" t="n"/>
      <c r="EJ66" s="20" t="inlineStr">
        <is>
          <t>IC Organic Acids</t>
        </is>
      </c>
      <c r="EK66" s="20" t="inlineStr">
        <is>
          <t>None</t>
        </is>
      </c>
      <c r="EL66" s="17" t="n"/>
      <c r="EM66" s="16" t="n"/>
      <c r="EN66" s="20" t="inlineStr">
        <is>
          <t>IC Organic Acids</t>
        </is>
      </c>
      <c r="EO66" s="20" t="inlineStr">
        <is>
          <t>None</t>
        </is>
      </c>
      <c r="EP66" s="17" t="n"/>
      <c r="EQ66" s="16" t="n"/>
      <c r="ER66" s="20" t="inlineStr">
        <is>
          <t>IC Organic Acids</t>
        </is>
      </c>
      <c r="ES66" s="20" t="inlineStr">
        <is>
          <t>None</t>
        </is>
      </c>
      <c r="ET66" s="17" t="n"/>
      <c r="EU66" s="16" t="n"/>
      <c r="EV66" s="20" t="inlineStr">
        <is>
          <t>LC-MS</t>
        </is>
      </c>
      <c r="EW66" s="20" t="inlineStr">
        <is>
          <t>None</t>
        </is>
      </c>
      <c r="EX66" s="17" t="n"/>
      <c r="EY66" s="21" t="n"/>
      <c r="EZ66">
        <f>CONCATENATE(A66,B66)</f>
        <v/>
      </c>
      <c r="FA66">
        <f>CONCATENATE(SamplesX!A66,SamplesX!B66)</f>
        <v/>
      </c>
      <c r="FC66">
        <f>MATCH(EZ66,FA1:FA1008,0)</f>
        <v/>
      </c>
    </row>
    <row r="67">
      <c r="A67" s="16" t="inlineStr">
        <is>
          <t>BP</t>
        </is>
      </c>
      <c r="B67" s="17" t="inlineStr">
        <is>
          <t>25059</t>
        </is>
      </c>
      <c r="C67" s="10">
        <f>IF(ISNUMBER(FC67),INDIRECT("SamplesX!C"&amp;FC67),IF(ISNUMBER(FD67),INDIRECT("SamplesY!C"&amp;FD67),""))</f>
        <v/>
      </c>
      <c r="D67" s="12">
        <f>IF(ISNUMBER(FC67),INDIRECT("SamplesX!D"&amp;FC67),IF(ISNUMBER(FD67),INDIRECT("SamplesY!D"&amp;FD67),""))</f>
        <v/>
      </c>
      <c r="E67" s="12">
        <f>IF(ISNUMBER(FC67),INDIRECT("SamplesX!E"&amp;FC67),IF(ISNUMBER(FD67),INDIRECT("SamplesY!E"&amp;FD67),""))</f>
        <v/>
      </c>
      <c r="F67" s="11">
        <f>IF(ISNUMBER(FC67),INDIRECT("SamplesX!F"&amp;FC67),IF(ISNUMBER(FD67),INDIRECT("SamplesY!F"&amp;FD67),""))</f>
        <v/>
      </c>
      <c r="G67" s="18">
        <f>IF(ISNUMBER(FC67),INDIRECT("SamplesX!G"&amp;FC67),IF(ISNUMBER(FD67),INDIRECT("SamplesY!G"&amp;FD67),""))</f>
        <v/>
      </c>
      <c r="H67" s="19">
        <f>IF(ISNUMBER(FC67),INDIRECT("SamplesX!H"&amp;FC67),IF(ISNUMBER(FD67),INDIRECT("SamplesY!H"&amp;FD67),""))</f>
        <v/>
      </c>
      <c r="I67" s="16" t="n"/>
      <c r="J67" s="16" t="n"/>
      <c r="K67" s="16" t="n"/>
      <c r="L67" s="20" t="n"/>
      <c r="M67" s="20" t="inlineStr">
        <is>
          <t>None</t>
        </is>
      </c>
      <c r="N67" s="17" t="n"/>
      <c r="O67" s="16" t="n"/>
      <c r="P67" s="20" t="inlineStr">
        <is>
          <t>Shimadzu TOC-L</t>
        </is>
      </c>
      <c r="Q67" s="20" t="inlineStr">
        <is>
          <t>None</t>
        </is>
      </c>
      <c r="R67" s="17" t="n"/>
      <c r="S67" s="16" t="n"/>
      <c r="T67" s="20" t="inlineStr">
        <is>
          <t>Shimadzu TOC-L</t>
        </is>
      </c>
      <c r="U67" s="20" t="inlineStr">
        <is>
          <t>None</t>
        </is>
      </c>
      <c r="V67" s="17" t="n"/>
      <c r="W67" s="16" t="n"/>
      <c r="X67" s="20" t="n"/>
      <c r="Y67" s="20" t="inlineStr">
        <is>
          <t>None</t>
        </is>
      </c>
      <c r="Z67" s="17" t="n"/>
      <c r="AA67" s="16" t="n"/>
      <c r="AB67" s="20" t="n"/>
      <c r="AC67" s="20" t="inlineStr">
        <is>
          <t>None</t>
        </is>
      </c>
      <c r="AD67" s="17" t="n"/>
      <c r="AE67" s="16" t="inlineStr">
        <is>
          <t>228</t>
        </is>
      </c>
      <c r="AF67" s="20" t="inlineStr">
        <is>
          <t>IC Anionen</t>
        </is>
      </c>
      <c r="AG67" s="20" t="inlineStr">
        <is>
          <t>None</t>
        </is>
      </c>
      <c r="AH67" s="17" t="n"/>
      <c r="AI67" s="16" t="n"/>
      <c r="AJ67" s="20" t="n"/>
      <c r="AK67" s="20" t="inlineStr">
        <is>
          <t>None</t>
        </is>
      </c>
      <c r="AL67" s="17" t="n"/>
      <c r="AM67" s="16" t="n"/>
      <c r="AN67" s="20" t="inlineStr">
        <is>
          <t>IC Anionen</t>
        </is>
      </c>
      <c r="AO67" s="20" t="inlineStr">
        <is>
          <t>None</t>
        </is>
      </c>
      <c r="AP67" s="17" t="n"/>
      <c r="AQ67" s="16" t="n"/>
      <c r="AR67" s="20" t="n"/>
      <c r="AS67" s="20" t="inlineStr">
        <is>
          <t>None</t>
        </is>
      </c>
      <c r="AT67" s="17" t="n"/>
      <c r="AU67" s="16" t="inlineStr">
        <is>
          <t>23.0</t>
        </is>
      </c>
      <c r="AV67" s="20" t="inlineStr">
        <is>
          <t>IC Anionen</t>
        </is>
      </c>
      <c r="AW67" s="20" t="inlineStr">
        <is>
          <t>None</t>
        </is>
      </c>
      <c r="AX67" s="17" t="n"/>
      <c r="AY67" s="16" t="inlineStr">
        <is>
          <t>1.43</t>
        </is>
      </c>
      <c r="AZ67" s="20" t="inlineStr">
        <is>
          <t>IC Anionen</t>
        </is>
      </c>
      <c r="BA67" s="20" t="inlineStr">
        <is>
          <t>None</t>
        </is>
      </c>
      <c r="BB67" s="17" t="n"/>
      <c r="BC67" s="16" t="inlineStr">
        <is>
          <t>149</t>
        </is>
      </c>
      <c r="BD67" s="20" t="inlineStr">
        <is>
          <t>IC Kationen</t>
        </is>
      </c>
      <c r="BE67" s="20" t="inlineStr">
        <is>
          <t>None</t>
        </is>
      </c>
      <c r="BF67" s="17" t="n"/>
      <c r="BG67" s="16" t="inlineStr">
        <is>
          <t>1.71</t>
        </is>
      </c>
      <c r="BH67" s="20" t="inlineStr">
        <is>
          <t>IC Kationen</t>
        </is>
      </c>
      <c r="BI67" s="20" t="inlineStr">
        <is>
          <t>None</t>
        </is>
      </c>
      <c r="BJ67" s="17" t="n"/>
      <c r="BK67" s="16" t="inlineStr">
        <is>
          <t>18.0</t>
        </is>
      </c>
      <c r="BL67" s="20" t="inlineStr">
        <is>
          <t>IC Kationen</t>
        </is>
      </c>
      <c r="BM67" s="20" t="inlineStr">
        <is>
          <t>None</t>
        </is>
      </c>
      <c r="BN67" s="17" t="n"/>
      <c r="BO67" s="16" t="inlineStr">
        <is>
          <t>298</t>
        </is>
      </c>
      <c r="BP67" s="20" t="inlineStr">
        <is>
          <t>IC Kationen</t>
        </is>
      </c>
      <c r="BQ67" s="20" t="inlineStr">
        <is>
          <t>None</t>
        </is>
      </c>
      <c r="BR67" s="17" t="n"/>
      <c r="BS67" s="16" t="inlineStr">
        <is>
          <t>36.4</t>
        </is>
      </c>
      <c r="BT67" s="20" t="inlineStr">
        <is>
          <t>IC Kationen</t>
        </is>
      </c>
      <c r="BU67" s="20" t="inlineStr">
        <is>
          <t>None</t>
        </is>
      </c>
      <c r="BV67" s="17" t="n"/>
      <c r="BW67" s="16" t="n"/>
      <c r="BX67" s="20" t="n"/>
      <c r="BY67" s="20" t="inlineStr">
        <is>
          <t>None</t>
        </is>
      </c>
      <c r="BZ67" s="17" t="n"/>
      <c r="CA67" s="16" t="n"/>
      <c r="CB67" s="20" t="n"/>
      <c r="CC67" s="20" t="inlineStr">
        <is>
          <t>None</t>
        </is>
      </c>
      <c r="CD67" s="17" t="n"/>
      <c r="CE67" s="16" t="n"/>
      <c r="CF67" s="20" t="n"/>
      <c r="CG67" s="20" t="inlineStr">
        <is>
          <t>None</t>
        </is>
      </c>
      <c r="CH67" s="17" t="n"/>
      <c r="CI67" s="16" t="n"/>
      <c r="CJ67" s="20" t="n"/>
      <c r="CK67" s="20" t="inlineStr">
        <is>
          <t>None</t>
        </is>
      </c>
      <c r="CL67" s="17" t="n"/>
      <c r="CM67" s="16" t="n"/>
      <c r="CN67" s="20" t="inlineStr">
        <is>
          <t>SOP 45-34</t>
        </is>
      </c>
      <c r="CO67" s="20" t="inlineStr">
        <is>
          <t>None</t>
        </is>
      </c>
      <c r="CP67" s="17" t="n"/>
      <c r="CQ67" s="16" t="n"/>
      <c r="CR67" s="20" t="n"/>
      <c r="CS67" s="20" t="inlineStr">
        <is>
          <t>None</t>
        </is>
      </c>
      <c r="CT67" s="17" t="n"/>
      <c r="CU67" s="16" t="n"/>
      <c r="CV67" s="20" t="n"/>
      <c r="CW67" s="20" t="inlineStr">
        <is>
          <t>None</t>
        </is>
      </c>
      <c r="CX67" s="17" t="n"/>
      <c r="CY67" s="16" t="n"/>
      <c r="CZ67" s="20" t="inlineStr">
        <is>
          <t>WTW Multimeter 3430 with FDO 925</t>
        </is>
      </c>
      <c r="DA67" s="20" t="inlineStr">
        <is>
          <t>None</t>
        </is>
      </c>
      <c r="DB67" s="17" t="n"/>
      <c r="DC67" s="16" t="n"/>
      <c r="DD67" s="20" t="n"/>
      <c r="DE67" s="20" t="inlineStr">
        <is>
          <t>None</t>
        </is>
      </c>
      <c r="DF67" s="17" t="n"/>
      <c r="DG67" s="16" t="n"/>
      <c r="DH67" s="20" t="inlineStr">
        <is>
          <t>SOP 45-09</t>
        </is>
      </c>
      <c r="DI67" s="20" t="inlineStr">
        <is>
          <t>None</t>
        </is>
      </c>
      <c r="DJ67" s="17" t="n"/>
      <c r="DK67" s="16" t="n"/>
      <c r="DL67" s="20" t="inlineStr">
        <is>
          <t>SOP 45-09 (SOP muss noch angepasst werden für VSS)</t>
        </is>
      </c>
      <c r="DM67" s="20" t="inlineStr">
        <is>
          <t>None</t>
        </is>
      </c>
      <c r="DN67" s="17" t="n"/>
      <c r="DO67" s="16" t="n"/>
      <c r="DP67" s="20" t="inlineStr">
        <is>
          <t>IC Organic Acids</t>
        </is>
      </c>
      <c r="DQ67" s="20" t="inlineStr">
        <is>
          <t>None</t>
        </is>
      </c>
      <c r="DR67" s="17" t="n"/>
      <c r="DS67" s="16" t="n"/>
      <c r="DT67" s="20" t="inlineStr">
        <is>
          <t>IC Organic Acids</t>
        </is>
      </c>
      <c r="DU67" s="20" t="inlineStr">
        <is>
          <t>None</t>
        </is>
      </c>
      <c r="DV67" s="17" t="n"/>
      <c r="DW67" s="16" t="n"/>
      <c r="DX67" s="20" t="inlineStr">
        <is>
          <t>IC Organic Acids</t>
        </is>
      </c>
      <c r="DY67" s="20" t="inlineStr">
        <is>
          <t>None</t>
        </is>
      </c>
      <c r="DZ67" s="17" t="n"/>
      <c r="EA67" s="16" t="n"/>
      <c r="EB67" s="20" t="inlineStr">
        <is>
          <t>IC Organic Acids</t>
        </is>
      </c>
      <c r="EC67" s="20" t="inlineStr">
        <is>
          <t>None</t>
        </is>
      </c>
      <c r="ED67" s="17" t="n"/>
      <c r="EE67" s="16" t="n"/>
      <c r="EF67" s="20" t="inlineStr">
        <is>
          <t>IC Organic Acids</t>
        </is>
      </c>
      <c r="EG67" s="20" t="inlineStr">
        <is>
          <t>None</t>
        </is>
      </c>
      <c r="EH67" s="17" t="n"/>
      <c r="EI67" s="16" t="n"/>
      <c r="EJ67" s="20" t="inlineStr">
        <is>
          <t>IC Organic Acids</t>
        </is>
      </c>
      <c r="EK67" s="20" t="inlineStr">
        <is>
          <t>None</t>
        </is>
      </c>
      <c r="EL67" s="17" t="n"/>
      <c r="EM67" s="16" t="n"/>
      <c r="EN67" s="20" t="inlineStr">
        <is>
          <t>IC Organic Acids</t>
        </is>
      </c>
      <c r="EO67" s="20" t="inlineStr">
        <is>
          <t>None</t>
        </is>
      </c>
      <c r="EP67" s="17" t="n"/>
      <c r="EQ67" s="16" t="n"/>
      <c r="ER67" s="20" t="inlineStr">
        <is>
          <t>IC Organic Acids</t>
        </is>
      </c>
      <c r="ES67" s="20" t="inlineStr">
        <is>
          <t>None</t>
        </is>
      </c>
      <c r="ET67" s="17" t="n"/>
      <c r="EU67" s="16" t="n"/>
      <c r="EV67" s="20" t="inlineStr">
        <is>
          <t>LC-MS</t>
        </is>
      </c>
      <c r="EW67" s="20" t="inlineStr">
        <is>
          <t>None</t>
        </is>
      </c>
      <c r="EX67" s="17" t="n"/>
      <c r="EY67" s="21" t="n"/>
      <c r="EZ67">
        <f>CONCATENATE(A67,B67)</f>
        <v/>
      </c>
      <c r="FA67">
        <f>CONCATENATE(SamplesX!A67,SamplesX!B67)</f>
        <v/>
      </c>
      <c r="FC67">
        <f>MATCH(EZ67,FA1:FA1008,0)</f>
        <v/>
      </c>
    </row>
    <row r="68">
      <c r="A68" s="16" t="inlineStr">
        <is>
          <t>BP</t>
        </is>
      </c>
      <c r="B68" s="17" t="inlineStr">
        <is>
          <t>25060</t>
        </is>
      </c>
      <c r="C68" s="10">
        <f>IF(ISNUMBER(FC68),INDIRECT("SamplesX!C"&amp;FC68),IF(ISNUMBER(FD68),INDIRECT("SamplesY!C"&amp;FD68),""))</f>
        <v/>
      </c>
      <c r="D68" s="12">
        <f>IF(ISNUMBER(FC68),INDIRECT("SamplesX!D"&amp;FC68),IF(ISNUMBER(FD68),INDIRECT("SamplesY!D"&amp;FD68),""))</f>
        <v/>
      </c>
      <c r="E68" s="12">
        <f>IF(ISNUMBER(FC68),INDIRECT("SamplesX!E"&amp;FC68),IF(ISNUMBER(FD68),INDIRECT("SamplesY!E"&amp;FD68),""))</f>
        <v/>
      </c>
      <c r="F68" s="11">
        <f>IF(ISNUMBER(FC68),INDIRECT("SamplesX!F"&amp;FC68),IF(ISNUMBER(FD68),INDIRECT("SamplesY!F"&amp;FD68),""))</f>
        <v/>
      </c>
      <c r="G68" s="18">
        <f>IF(ISNUMBER(FC68),INDIRECT("SamplesX!G"&amp;FC68),IF(ISNUMBER(FD68),INDIRECT("SamplesY!G"&amp;FD68),""))</f>
        <v/>
      </c>
      <c r="H68" s="19">
        <f>IF(ISNUMBER(FC68),INDIRECT("SamplesX!H"&amp;FC68),IF(ISNUMBER(FD68),INDIRECT("SamplesY!H"&amp;FD68),""))</f>
        <v/>
      </c>
      <c r="I68" s="16" t="n"/>
      <c r="J68" s="16" t="n"/>
      <c r="K68" s="16" t="n"/>
      <c r="L68" s="20" t="n"/>
      <c r="M68" s="20" t="inlineStr">
        <is>
          <t>None</t>
        </is>
      </c>
      <c r="N68" s="17" t="n"/>
      <c r="O68" s="16" t="n"/>
      <c r="P68" s="20" t="inlineStr">
        <is>
          <t>Shimadzu TOC-L</t>
        </is>
      </c>
      <c r="Q68" s="20" t="inlineStr">
        <is>
          <t>None</t>
        </is>
      </c>
      <c r="R68" s="17" t="n"/>
      <c r="S68" s="16" t="n"/>
      <c r="T68" s="20" t="inlineStr">
        <is>
          <t>Shimadzu TOC-L</t>
        </is>
      </c>
      <c r="U68" s="20" t="inlineStr">
        <is>
          <t>None</t>
        </is>
      </c>
      <c r="V68" s="17" t="n"/>
      <c r="W68" s="16" t="n"/>
      <c r="X68" s="20" t="n"/>
      <c r="Y68" s="20" t="inlineStr">
        <is>
          <t>None</t>
        </is>
      </c>
      <c r="Z68" s="17" t="n"/>
      <c r="AA68" s="16" t="n"/>
      <c r="AB68" s="20" t="n"/>
      <c r="AC68" s="20" t="inlineStr">
        <is>
          <t>None</t>
        </is>
      </c>
      <c r="AD68" s="17" t="n"/>
      <c r="AE68" s="16" t="inlineStr">
        <is>
          <t>223</t>
        </is>
      </c>
      <c r="AF68" s="20" t="inlineStr">
        <is>
          <t>IC Anionen</t>
        </is>
      </c>
      <c r="AG68" s="20" t="inlineStr">
        <is>
          <t>None</t>
        </is>
      </c>
      <c r="AH68" s="17" t="n"/>
      <c r="AI68" s="16" t="n"/>
      <c r="AJ68" s="20" t="n"/>
      <c r="AK68" s="20" t="inlineStr">
        <is>
          <t>None</t>
        </is>
      </c>
      <c r="AL68" s="17" t="n"/>
      <c r="AM68" s="16" t="n"/>
      <c r="AN68" s="20" t="inlineStr">
        <is>
          <t>IC Anionen</t>
        </is>
      </c>
      <c r="AO68" s="20" t="inlineStr">
        <is>
          <t>None</t>
        </is>
      </c>
      <c r="AP68" s="17" t="n"/>
      <c r="AQ68" s="16" t="n"/>
      <c r="AR68" s="20" t="n"/>
      <c r="AS68" s="20" t="inlineStr">
        <is>
          <t>None</t>
        </is>
      </c>
      <c r="AT68" s="17" t="n"/>
      <c r="AU68" s="16" t="inlineStr">
        <is>
          <t>23.7</t>
        </is>
      </c>
      <c r="AV68" s="20" t="inlineStr">
        <is>
          <t>IC Anionen</t>
        </is>
      </c>
      <c r="AW68" s="20" t="inlineStr">
        <is>
          <t>None</t>
        </is>
      </c>
      <c r="AX68" s="17" t="n"/>
      <c r="AY68" s="16" t="inlineStr">
        <is>
          <t>&lt;0.80</t>
        </is>
      </c>
      <c r="AZ68" s="20" t="inlineStr">
        <is>
          <t>IC Anionen</t>
        </is>
      </c>
      <c r="BA68" s="20" t="inlineStr">
        <is>
          <t>None</t>
        </is>
      </c>
      <c r="BB68" s="17" t="n"/>
      <c r="BC68" s="16" t="inlineStr">
        <is>
          <t>143</t>
        </is>
      </c>
      <c r="BD68" s="20" t="inlineStr">
        <is>
          <t>IC Kationen</t>
        </is>
      </c>
      <c r="BE68" s="20" t="inlineStr">
        <is>
          <t>None</t>
        </is>
      </c>
      <c r="BF68" s="17" t="n"/>
      <c r="BG68" s="16" t="inlineStr">
        <is>
          <t>8.07</t>
        </is>
      </c>
      <c r="BH68" s="20" t="inlineStr">
        <is>
          <t>IC Kationen</t>
        </is>
      </c>
      <c r="BI68" s="20" t="inlineStr">
        <is>
          <t>None</t>
        </is>
      </c>
      <c r="BJ68" s="17" t="n"/>
      <c r="BK68" s="16" t="inlineStr">
        <is>
          <t>19.2</t>
        </is>
      </c>
      <c r="BL68" s="20" t="inlineStr">
        <is>
          <t>IC Kationen</t>
        </is>
      </c>
      <c r="BM68" s="20" t="inlineStr">
        <is>
          <t>None</t>
        </is>
      </c>
      <c r="BN68" s="17" t="n"/>
      <c r="BO68" s="16" t="inlineStr">
        <is>
          <t>339</t>
        </is>
      </c>
      <c r="BP68" s="20" t="inlineStr">
        <is>
          <t>IC Kationen</t>
        </is>
      </c>
      <c r="BQ68" s="20" t="inlineStr">
        <is>
          <t>None</t>
        </is>
      </c>
      <c r="BR68" s="17" t="n"/>
      <c r="BS68" s="16" t="inlineStr">
        <is>
          <t>36.5</t>
        </is>
      </c>
      <c r="BT68" s="20" t="inlineStr">
        <is>
          <t>IC Kationen</t>
        </is>
      </c>
      <c r="BU68" s="20" t="inlineStr">
        <is>
          <t>None</t>
        </is>
      </c>
      <c r="BV68" s="17" t="n"/>
      <c r="BW68" s="16" t="n"/>
      <c r="BX68" s="20" t="n"/>
      <c r="BY68" s="20" t="inlineStr">
        <is>
          <t>None</t>
        </is>
      </c>
      <c r="BZ68" s="17" t="n"/>
      <c r="CA68" s="16" t="n"/>
      <c r="CB68" s="20" t="n"/>
      <c r="CC68" s="20" t="inlineStr">
        <is>
          <t>None</t>
        </is>
      </c>
      <c r="CD68" s="17" t="n"/>
      <c r="CE68" s="16" t="n"/>
      <c r="CF68" s="20" t="n"/>
      <c r="CG68" s="20" t="inlineStr">
        <is>
          <t>None</t>
        </is>
      </c>
      <c r="CH68" s="17" t="n"/>
      <c r="CI68" s="16" t="n"/>
      <c r="CJ68" s="20" t="n"/>
      <c r="CK68" s="20" t="inlineStr">
        <is>
          <t>None</t>
        </is>
      </c>
      <c r="CL68" s="17" t="n"/>
      <c r="CM68" s="16" t="n"/>
      <c r="CN68" s="20" t="inlineStr">
        <is>
          <t>SOP 45-34</t>
        </is>
      </c>
      <c r="CO68" s="20" t="inlineStr">
        <is>
          <t>None</t>
        </is>
      </c>
      <c r="CP68" s="17" t="n"/>
      <c r="CQ68" s="16" t="n"/>
      <c r="CR68" s="20" t="n"/>
      <c r="CS68" s="20" t="inlineStr">
        <is>
          <t>None</t>
        </is>
      </c>
      <c r="CT68" s="17" t="n"/>
      <c r="CU68" s="16" t="n"/>
      <c r="CV68" s="20" t="n"/>
      <c r="CW68" s="20" t="inlineStr">
        <is>
          <t>None</t>
        </is>
      </c>
      <c r="CX68" s="17" t="n"/>
      <c r="CY68" s="16" t="n"/>
      <c r="CZ68" s="20" t="inlineStr">
        <is>
          <t>WTW Multimeter 3430 with FDO 925</t>
        </is>
      </c>
      <c r="DA68" s="20" t="inlineStr">
        <is>
          <t>None</t>
        </is>
      </c>
      <c r="DB68" s="17" t="n"/>
      <c r="DC68" s="16" t="n"/>
      <c r="DD68" s="20" t="n"/>
      <c r="DE68" s="20" t="inlineStr">
        <is>
          <t>None</t>
        </is>
      </c>
      <c r="DF68" s="17" t="n"/>
      <c r="DG68" s="16" t="n"/>
      <c r="DH68" s="20" t="inlineStr">
        <is>
          <t>SOP 45-09</t>
        </is>
      </c>
      <c r="DI68" s="20" t="inlineStr">
        <is>
          <t>None</t>
        </is>
      </c>
      <c r="DJ68" s="17" t="n"/>
      <c r="DK68" s="16" t="n"/>
      <c r="DL68" s="20" t="inlineStr">
        <is>
          <t>SOP 45-09 (SOP muss noch angepasst werden für VSS)</t>
        </is>
      </c>
      <c r="DM68" s="20" t="inlineStr">
        <is>
          <t>None</t>
        </is>
      </c>
      <c r="DN68" s="17" t="n"/>
      <c r="DO68" s="16" t="n"/>
      <c r="DP68" s="20" t="inlineStr">
        <is>
          <t>IC Organic Acids</t>
        </is>
      </c>
      <c r="DQ68" s="20" t="inlineStr">
        <is>
          <t>None</t>
        </is>
      </c>
      <c r="DR68" s="17" t="n"/>
      <c r="DS68" s="16" t="n"/>
      <c r="DT68" s="20" t="inlineStr">
        <is>
          <t>IC Organic Acids</t>
        </is>
      </c>
      <c r="DU68" s="20" t="inlineStr">
        <is>
          <t>None</t>
        </is>
      </c>
      <c r="DV68" s="17" t="n"/>
      <c r="DW68" s="16" t="n"/>
      <c r="DX68" s="20" t="inlineStr">
        <is>
          <t>IC Organic Acids</t>
        </is>
      </c>
      <c r="DY68" s="20" t="inlineStr">
        <is>
          <t>None</t>
        </is>
      </c>
      <c r="DZ68" s="17" t="n"/>
      <c r="EA68" s="16" t="n"/>
      <c r="EB68" s="20" t="inlineStr">
        <is>
          <t>IC Organic Acids</t>
        </is>
      </c>
      <c r="EC68" s="20" t="inlineStr">
        <is>
          <t>None</t>
        </is>
      </c>
      <c r="ED68" s="17" t="n"/>
      <c r="EE68" s="16" t="n"/>
      <c r="EF68" s="20" t="inlineStr">
        <is>
          <t>IC Organic Acids</t>
        </is>
      </c>
      <c r="EG68" s="20" t="inlineStr">
        <is>
          <t>None</t>
        </is>
      </c>
      <c r="EH68" s="17" t="n"/>
      <c r="EI68" s="16" t="n"/>
      <c r="EJ68" s="20" t="inlineStr">
        <is>
          <t>IC Organic Acids</t>
        </is>
      </c>
      <c r="EK68" s="20" t="inlineStr">
        <is>
          <t>None</t>
        </is>
      </c>
      <c r="EL68" s="17" t="n"/>
      <c r="EM68" s="16" t="n"/>
      <c r="EN68" s="20" t="inlineStr">
        <is>
          <t>IC Organic Acids</t>
        </is>
      </c>
      <c r="EO68" s="20" t="inlineStr">
        <is>
          <t>None</t>
        </is>
      </c>
      <c r="EP68" s="17" t="n"/>
      <c r="EQ68" s="16" t="n"/>
      <c r="ER68" s="20" t="inlineStr">
        <is>
          <t>IC Organic Acids</t>
        </is>
      </c>
      <c r="ES68" s="20" t="inlineStr">
        <is>
          <t>None</t>
        </is>
      </c>
      <c r="ET68" s="17" t="n"/>
      <c r="EU68" s="16" t="n"/>
      <c r="EV68" s="20" t="inlineStr">
        <is>
          <t>LC-MS</t>
        </is>
      </c>
      <c r="EW68" s="20" t="inlineStr">
        <is>
          <t>None</t>
        </is>
      </c>
      <c r="EX68" s="17" t="n"/>
      <c r="EY68" s="21" t="n"/>
      <c r="EZ68">
        <f>CONCATENATE(A68,B68)</f>
        <v/>
      </c>
      <c r="FA68">
        <f>CONCATENATE(SamplesX!A68,SamplesX!B68)</f>
        <v/>
      </c>
      <c r="FC68">
        <f>MATCH(EZ68,FA1:FA1008,0)</f>
        <v/>
      </c>
    </row>
    <row r="69">
      <c r="A69" s="16" t="inlineStr">
        <is>
          <t>BP</t>
        </is>
      </c>
      <c r="B69" s="17" t="inlineStr">
        <is>
          <t>25061</t>
        </is>
      </c>
      <c r="C69" s="10">
        <f>IF(ISNUMBER(FC69),INDIRECT("SamplesX!C"&amp;FC69),IF(ISNUMBER(FD69),INDIRECT("SamplesY!C"&amp;FD69),""))</f>
        <v/>
      </c>
      <c r="D69" s="12">
        <f>IF(ISNUMBER(FC69),INDIRECT("SamplesX!D"&amp;FC69),IF(ISNUMBER(FD69),INDIRECT("SamplesY!D"&amp;FD69),""))</f>
        <v/>
      </c>
      <c r="E69" s="12">
        <f>IF(ISNUMBER(FC69),INDIRECT("SamplesX!E"&amp;FC69),IF(ISNUMBER(FD69),INDIRECT("SamplesY!E"&amp;FD69),""))</f>
        <v/>
      </c>
      <c r="F69" s="11">
        <f>IF(ISNUMBER(FC69),INDIRECT("SamplesX!F"&amp;FC69),IF(ISNUMBER(FD69),INDIRECT("SamplesY!F"&amp;FD69),""))</f>
        <v/>
      </c>
      <c r="G69" s="18">
        <f>IF(ISNUMBER(FC69),INDIRECT("SamplesX!G"&amp;FC69),IF(ISNUMBER(FD69),INDIRECT("SamplesY!G"&amp;FD69),""))</f>
        <v/>
      </c>
      <c r="H69" s="19">
        <f>IF(ISNUMBER(FC69),INDIRECT("SamplesX!H"&amp;FC69),IF(ISNUMBER(FD69),INDIRECT("SamplesY!H"&amp;FD69),""))</f>
        <v/>
      </c>
      <c r="I69" s="16" t="n"/>
      <c r="J69" s="16" t="n"/>
      <c r="K69" s="16" t="n"/>
      <c r="L69" s="20" t="n"/>
      <c r="M69" s="20" t="inlineStr">
        <is>
          <t>None</t>
        </is>
      </c>
      <c r="N69" s="17" t="n"/>
      <c r="O69" s="16" t="n"/>
      <c r="P69" s="20" t="inlineStr">
        <is>
          <t>Shimadzu TOC-L</t>
        </is>
      </c>
      <c r="Q69" s="20" t="inlineStr">
        <is>
          <t>None</t>
        </is>
      </c>
      <c r="R69" s="17" t="n"/>
      <c r="S69" s="16" t="n"/>
      <c r="T69" s="20" t="inlineStr">
        <is>
          <t>Shimadzu TOC-L</t>
        </is>
      </c>
      <c r="U69" s="20" t="inlineStr">
        <is>
          <t>None</t>
        </is>
      </c>
      <c r="V69" s="17" t="n"/>
      <c r="W69" s="16" t="n"/>
      <c r="X69" s="20" t="n"/>
      <c r="Y69" s="20" t="inlineStr">
        <is>
          <t>None</t>
        </is>
      </c>
      <c r="Z69" s="17" t="n"/>
      <c r="AA69" s="16" t="n"/>
      <c r="AB69" s="20" t="n"/>
      <c r="AC69" s="20" t="inlineStr">
        <is>
          <t>None</t>
        </is>
      </c>
      <c r="AD69" s="17" t="n"/>
      <c r="AE69" s="16" t="inlineStr">
        <is>
          <t>246</t>
        </is>
      </c>
      <c r="AF69" s="20" t="inlineStr">
        <is>
          <t>IC Anionen</t>
        </is>
      </c>
      <c r="AG69" s="20" t="inlineStr">
        <is>
          <t>None</t>
        </is>
      </c>
      <c r="AH69" s="17" t="n"/>
      <c r="AI69" s="16" t="n"/>
      <c r="AJ69" s="20" t="n"/>
      <c r="AK69" s="20" t="inlineStr">
        <is>
          <t>None</t>
        </is>
      </c>
      <c r="AL69" s="17" t="n"/>
      <c r="AM69" s="16" t="n"/>
      <c r="AN69" s="20" t="inlineStr">
        <is>
          <t>IC Anionen</t>
        </is>
      </c>
      <c r="AO69" s="20" t="inlineStr">
        <is>
          <t>None</t>
        </is>
      </c>
      <c r="AP69" s="17" t="n"/>
      <c r="AQ69" s="16" t="n"/>
      <c r="AR69" s="20" t="n"/>
      <c r="AS69" s="20" t="inlineStr">
        <is>
          <t>None</t>
        </is>
      </c>
      <c r="AT69" s="17" t="n"/>
      <c r="AU69" s="16" t="inlineStr">
        <is>
          <t>2.35</t>
        </is>
      </c>
      <c r="AV69" s="20" t="inlineStr">
        <is>
          <t>IC Anionen</t>
        </is>
      </c>
      <c r="AW69" s="20" t="inlineStr">
        <is>
          <t>None</t>
        </is>
      </c>
      <c r="AX69" s="17" t="n"/>
      <c r="AY69" s="16" t="inlineStr">
        <is>
          <t>&lt;0.80</t>
        </is>
      </c>
      <c r="AZ69" s="20" t="inlineStr">
        <is>
          <t>IC Anionen</t>
        </is>
      </c>
      <c r="BA69" s="20" t="inlineStr">
        <is>
          <t>None</t>
        </is>
      </c>
      <c r="BB69" s="17" t="n"/>
      <c r="BC69" s="16" t="inlineStr">
        <is>
          <t>129</t>
        </is>
      </c>
      <c r="BD69" s="20" t="inlineStr">
        <is>
          <t>IC Kationen</t>
        </is>
      </c>
      <c r="BE69" s="20" t="inlineStr">
        <is>
          <t>None</t>
        </is>
      </c>
      <c r="BF69" s="17" t="n"/>
      <c r="BG69" s="16" t="inlineStr">
        <is>
          <t>&lt;1.60</t>
        </is>
      </c>
      <c r="BH69" s="20" t="inlineStr">
        <is>
          <t>IC Kationen</t>
        </is>
      </c>
      <c r="BI69" s="20" t="inlineStr">
        <is>
          <t>None</t>
        </is>
      </c>
      <c r="BJ69" s="17" t="n"/>
      <c r="BK69" s="16" t="inlineStr">
        <is>
          <t>12.1</t>
        </is>
      </c>
      <c r="BL69" s="20" t="inlineStr">
        <is>
          <t>IC Kationen</t>
        </is>
      </c>
      <c r="BM69" s="20" t="inlineStr">
        <is>
          <t>None</t>
        </is>
      </c>
      <c r="BN69" s="17" t="n"/>
      <c r="BO69" s="16" t="inlineStr">
        <is>
          <t>238</t>
        </is>
      </c>
      <c r="BP69" s="20" t="inlineStr">
        <is>
          <t>IC Kationen</t>
        </is>
      </c>
      <c r="BQ69" s="20" t="inlineStr">
        <is>
          <t>None</t>
        </is>
      </c>
      <c r="BR69" s="17" t="n"/>
      <c r="BS69" s="16" t="inlineStr">
        <is>
          <t>29.9</t>
        </is>
      </c>
      <c r="BT69" s="20" t="inlineStr">
        <is>
          <t>IC Kationen</t>
        </is>
      </c>
      <c r="BU69" s="20" t="inlineStr">
        <is>
          <t>None</t>
        </is>
      </c>
      <c r="BV69" s="17" t="n"/>
      <c r="BW69" s="16" t="n"/>
      <c r="BX69" s="20" t="n"/>
      <c r="BY69" s="20" t="inlineStr">
        <is>
          <t>None</t>
        </is>
      </c>
      <c r="BZ69" s="17" t="n"/>
      <c r="CA69" s="16" t="n"/>
      <c r="CB69" s="20" t="n"/>
      <c r="CC69" s="20" t="inlineStr">
        <is>
          <t>None</t>
        </is>
      </c>
      <c r="CD69" s="17" t="n"/>
      <c r="CE69" s="16" t="n"/>
      <c r="CF69" s="20" t="n"/>
      <c r="CG69" s="20" t="inlineStr">
        <is>
          <t>None</t>
        </is>
      </c>
      <c r="CH69" s="17" t="n"/>
      <c r="CI69" s="16" t="n"/>
      <c r="CJ69" s="20" t="n"/>
      <c r="CK69" s="20" t="inlineStr">
        <is>
          <t>None</t>
        </is>
      </c>
      <c r="CL69" s="17" t="n"/>
      <c r="CM69" s="16" t="n"/>
      <c r="CN69" s="20" t="inlineStr">
        <is>
          <t>SOP 45-34</t>
        </is>
      </c>
      <c r="CO69" s="20" t="inlineStr">
        <is>
          <t>None</t>
        </is>
      </c>
      <c r="CP69" s="17" t="n"/>
      <c r="CQ69" s="16" t="n"/>
      <c r="CR69" s="20" t="n"/>
      <c r="CS69" s="20" t="inlineStr">
        <is>
          <t>None</t>
        </is>
      </c>
      <c r="CT69" s="17" t="n"/>
      <c r="CU69" s="16" t="n"/>
      <c r="CV69" s="20" t="n"/>
      <c r="CW69" s="20" t="inlineStr">
        <is>
          <t>None</t>
        </is>
      </c>
      <c r="CX69" s="17" t="n"/>
      <c r="CY69" s="16" t="n"/>
      <c r="CZ69" s="20" t="inlineStr">
        <is>
          <t>WTW Multimeter 3430 with FDO 925</t>
        </is>
      </c>
      <c r="DA69" s="20" t="inlineStr">
        <is>
          <t>None</t>
        </is>
      </c>
      <c r="DB69" s="17" t="n"/>
      <c r="DC69" s="16" t="n"/>
      <c r="DD69" s="20" t="n"/>
      <c r="DE69" s="20" t="inlineStr">
        <is>
          <t>None</t>
        </is>
      </c>
      <c r="DF69" s="17" t="n"/>
      <c r="DG69" s="16" t="n"/>
      <c r="DH69" s="20" t="inlineStr">
        <is>
          <t>SOP 45-09</t>
        </is>
      </c>
      <c r="DI69" s="20" t="inlineStr">
        <is>
          <t>None</t>
        </is>
      </c>
      <c r="DJ69" s="17" t="n"/>
      <c r="DK69" s="16" t="n"/>
      <c r="DL69" s="20" t="inlineStr">
        <is>
          <t>SOP 45-09 (SOP muss noch angepasst werden für VSS)</t>
        </is>
      </c>
      <c r="DM69" s="20" t="inlineStr">
        <is>
          <t>None</t>
        </is>
      </c>
      <c r="DN69" s="17" t="n"/>
      <c r="DO69" s="16" t="n"/>
      <c r="DP69" s="20" t="inlineStr">
        <is>
          <t>IC Organic Acids</t>
        </is>
      </c>
      <c r="DQ69" s="20" t="inlineStr">
        <is>
          <t>None</t>
        </is>
      </c>
      <c r="DR69" s="17" t="n"/>
      <c r="DS69" s="16" t="n"/>
      <c r="DT69" s="20" t="inlineStr">
        <is>
          <t>IC Organic Acids</t>
        </is>
      </c>
      <c r="DU69" s="20" t="inlineStr">
        <is>
          <t>None</t>
        </is>
      </c>
      <c r="DV69" s="17" t="n"/>
      <c r="DW69" s="16" t="n"/>
      <c r="DX69" s="20" t="inlineStr">
        <is>
          <t>IC Organic Acids</t>
        </is>
      </c>
      <c r="DY69" s="20" t="inlineStr">
        <is>
          <t>None</t>
        </is>
      </c>
      <c r="DZ69" s="17" t="n"/>
      <c r="EA69" s="16" t="n"/>
      <c r="EB69" s="20" t="inlineStr">
        <is>
          <t>IC Organic Acids</t>
        </is>
      </c>
      <c r="EC69" s="20" t="inlineStr">
        <is>
          <t>None</t>
        </is>
      </c>
      <c r="ED69" s="17" t="n"/>
      <c r="EE69" s="16" t="n"/>
      <c r="EF69" s="20" t="inlineStr">
        <is>
          <t>IC Organic Acids</t>
        </is>
      </c>
      <c r="EG69" s="20" t="inlineStr">
        <is>
          <t>None</t>
        </is>
      </c>
      <c r="EH69" s="17" t="n"/>
      <c r="EI69" s="16" t="n"/>
      <c r="EJ69" s="20" t="inlineStr">
        <is>
          <t>IC Organic Acids</t>
        </is>
      </c>
      <c r="EK69" s="20" t="inlineStr">
        <is>
          <t>None</t>
        </is>
      </c>
      <c r="EL69" s="17" t="n"/>
      <c r="EM69" s="16" t="n"/>
      <c r="EN69" s="20" t="inlineStr">
        <is>
          <t>IC Organic Acids</t>
        </is>
      </c>
      <c r="EO69" s="20" t="inlineStr">
        <is>
          <t>None</t>
        </is>
      </c>
      <c r="EP69" s="17" t="n"/>
      <c r="EQ69" s="16" t="n"/>
      <c r="ER69" s="20" t="inlineStr">
        <is>
          <t>IC Organic Acids</t>
        </is>
      </c>
      <c r="ES69" s="20" t="inlineStr">
        <is>
          <t>None</t>
        </is>
      </c>
      <c r="ET69" s="17" t="n"/>
      <c r="EU69" s="16" t="n"/>
      <c r="EV69" s="20" t="inlineStr">
        <is>
          <t>LC-MS</t>
        </is>
      </c>
      <c r="EW69" s="20" t="inlineStr">
        <is>
          <t>None</t>
        </is>
      </c>
      <c r="EX69" s="17" t="n"/>
      <c r="EY69" s="21" t="n"/>
      <c r="EZ69">
        <f>CONCATENATE(A69,B69)</f>
        <v/>
      </c>
      <c r="FA69">
        <f>CONCATENATE(SamplesX!A69,SamplesX!B69)</f>
        <v/>
      </c>
      <c r="FC69">
        <f>MATCH(EZ69,FA1:FA1008,0)</f>
        <v/>
      </c>
    </row>
    <row r="70">
      <c r="A70" s="16" t="inlineStr">
        <is>
          <t>BP</t>
        </is>
      </c>
      <c r="B70" s="17" t="inlineStr">
        <is>
          <t>25062</t>
        </is>
      </c>
      <c r="C70" s="10">
        <f>IF(ISNUMBER(FC70),INDIRECT("SamplesX!C"&amp;FC70),IF(ISNUMBER(FD70),INDIRECT("SamplesY!C"&amp;FD70),""))</f>
        <v/>
      </c>
      <c r="D70" s="12">
        <f>IF(ISNUMBER(FC70),INDIRECT("SamplesX!D"&amp;FC70),IF(ISNUMBER(FD70),INDIRECT("SamplesY!D"&amp;FD70),""))</f>
        <v/>
      </c>
      <c r="E70" s="12">
        <f>IF(ISNUMBER(FC70),INDIRECT("SamplesX!E"&amp;FC70),IF(ISNUMBER(FD70),INDIRECT("SamplesY!E"&amp;FD70),""))</f>
        <v/>
      </c>
      <c r="F70" s="11">
        <f>IF(ISNUMBER(FC70),INDIRECT("SamplesX!F"&amp;FC70),IF(ISNUMBER(FD70),INDIRECT("SamplesY!F"&amp;FD70),""))</f>
        <v/>
      </c>
      <c r="G70" s="18">
        <f>IF(ISNUMBER(FC70),INDIRECT("SamplesX!G"&amp;FC70),IF(ISNUMBER(FD70),INDIRECT("SamplesY!G"&amp;FD70),""))</f>
        <v/>
      </c>
      <c r="H70" s="19">
        <f>IF(ISNUMBER(FC70),INDIRECT("SamplesX!H"&amp;FC70),IF(ISNUMBER(FD70),INDIRECT("SamplesY!H"&amp;FD70),""))</f>
        <v/>
      </c>
      <c r="I70" s="16" t="n"/>
      <c r="J70" s="16" t="n"/>
      <c r="K70" s="16" t="n"/>
      <c r="L70" s="20" t="n"/>
      <c r="M70" s="20" t="inlineStr">
        <is>
          <t>None</t>
        </is>
      </c>
      <c r="N70" s="17" t="n"/>
      <c r="O70" s="16" t="n"/>
      <c r="P70" s="20" t="inlineStr">
        <is>
          <t>Shimadzu TOC-L</t>
        </is>
      </c>
      <c r="Q70" s="20" t="inlineStr">
        <is>
          <t>None</t>
        </is>
      </c>
      <c r="R70" s="17" t="n"/>
      <c r="S70" s="16" t="n"/>
      <c r="T70" s="20" t="inlineStr">
        <is>
          <t>Shimadzu TOC-L</t>
        </is>
      </c>
      <c r="U70" s="20" t="inlineStr">
        <is>
          <t>None</t>
        </is>
      </c>
      <c r="V70" s="17" t="n"/>
      <c r="W70" s="16" t="n"/>
      <c r="X70" s="20" t="n"/>
      <c r="Y70" s="20" t="inlineStr">
        <is>
          <t>None</t>
        </is>
      </c>
      <c r="Z70" s="17" t="n"/>
      <c r="AA70" s="16" t="n"/>
      <c r="AB70" s="20" t="n"/>
      <c r="AC70" s="20" t="inlineStr">
        <is>
          <t>None</t>
        </is>
      </c>
      <c r="AD70" s="17" t="n"/>
      <c r="AE70" s="16" t="inlineStr">
        <is>
          <t>214</t>
        </is>
      </c>
      <c r="AF70" s="20" t="inlineStr">
        <is>
          <t>IC Anionen</t>
        </is>
      </c>
      <c r="AG70" s="20" t="inlineStr">
        <is>
          <t>None</t>
        </is>
      </c>
      <c r="AH70" s="17" t="n"/>
      <c r="AI70" s="16" t="n"/>
      <c r="AJ70" s="20" t="n"/>
      <c r="AK70" s="20" t="inlineStr">
        <is>
          <t>None</t>
        </is>
      </c>
      <c r="AL70" s="17" t="n"/>
      <c r="AM70" s="16" t="n"/>
      <c r="AN70" s="20" t="inlineStr">
        <is>
          <t>IC Anionen</t>
        </is>
      </c>
      <c r="AO70" s="20" t="inlineStr">
        <is>
          <t>None</t>
        </is>
      </c>
      <c r="AP70" s="17" t="n"/>
      <c r="AQ70" s="16" t="n"/>
      <c r="AR70" s="20" t="n"/>
      <c r="AS70" s="20" t="inlineStr">
        <is>
          <t>None</t>
        </is>
      </c>
      <c r="AT70" s="17" t="n"/>
      <c r="AU70" s="16" t="inlineStr">
        <is>
          <t>20.6</t>
        </is>
      </c>
      <c r="AV70" s="20" t="inlineStr">
        <is>
          <t>IC Anionen</t>
        </is>
      </c>
      <c r="AW70" s="20" t="inlineStr">
        <is>
          <t>None</t>
        </is>
      </c>
      <c r="AX70" s="17" t="n"/>
      <c r="AY70" s="16" t="inlineStr">
        <is>
          <t>4.71</t>
        </is>
      </c>
      <c r="AZ70" s="20" t="inlineStr">
        <is>
          <t>IC Anionen</t>
        </is>
      </c>
      <c r="BA70" s="20" t="inlineStr">
        <is>
          <t>None</t>
        </is>
      </c>
      <c r="BB70" s="17" t="n"/>
      <c r="BC70" s="16" t="inlineStr">
        <is>
          <t>151</t>
        </is>
      </c>
      <c r="BD70" s="20" t="inlineStr">
        <is>
          <t>IC Kationen</t>
        </is>
      </c>
      <c r="BE70" s="20" t="inlineStr">
        <is>
          <t>None</t>
        </is>
      </c>
      <c r="BF70" s="17" t="n"/>
      <c r="BG70" s="16" t="inlineStr">
        <is>
          <t>&lt;1.60</t>
        </is>
      </c>
      <c r="BH70" s="20" t="inlineStr">
        <is>
          <t>IC Kationen</t>
        </is>
      </c>
      <c r="BI70" s="20" t="inlineStr">
        <is>
          <t>None</t>
        </is>
      </c>
      <c r="BJ70" s="17" t="n"/>
      <c r="BK70" s="16" t="inlineStr">
        <is>
          <t>15.2</t>
        </is>
      </c>
      <c r="BL70" s="20" t="inlineStr">
        <is>
          <t>IC Kationen</t>
        </is>
      </c>
      <c r="BM70" s="20" t="inlineStr">
        <is>
          <t>None</t>
        </is>
      </c>
      <c r="BN70" s="17" t="n"/>
      <c r="BO70" s="16" t="inlineStr">
        <is>
          <t>330</t>
        </is>
      </c>
      <c r="BP70" s="20" t="inlineStr">
        <is>
          <t>IC Kationen</t>
        </is>
      </c>
      <c r="BQ70" s="20" t="inlineStr">
        <is>
          <t>None</t>
        </is>
      </c>
      <c r="BR70" s="17" t="n"/>
      <c r="BS70" s="16" t="inlineStr">
        <is>
          <t>38.5</t>
        </is>
      </c>
      <c r="BT70" s="20" t="inlineStr">
        <is>
          <t>IC Kationen</t>
        </is>
      </c>
      <c r="BU70" s="20" t="inlineStr">
        <is>
          <t>None</t>
        </is>
      </c>
      <c r="BV70" s="17" t="n"/>
      <c r="BW70" s="16" t="n"/>
      <c r="BX70" s="20" t="n"/>
      <c r="BY70" s="20" t="inlineStr">
        <is>
          <t>None</t>
        </is>
      </c>
      <c r="BZ70" s="17" t="n"/>
      <c r="CA70" s="16" t="n"/>
      <c r="CB70" s="20" t="n"/>
      <c r="CC70" s="20" t="inlineStr">
        <is>
          <t>None</t>
        </is>
      </c>
      <c r="CD70" s="17" t="n"/>
      <c r="CE70" s="16" t="n"/>
      <c r="CF70" s="20" t="n"/>
      <c r="CG70" s="20" t="inlineStr">
        <is>
          <t>None</t>
        </is>
      </c>
      <c r="CH70" s="17" t="n"/>
      <c r="CI70" s="16" t="n"/>
      <c r="CJ70" s="20" t="n"/>
      <c r="CK70" s="20" t="inlineStr">
        <is>
          <t>None</t>
        </is>
      </c>
      <c r="CL70" s="17" t="n"/>
      <c r="CM70" s="16" t="n"/>
      <c r="CN70" s="20" t="inlineStr">
        <is>
          <t>SOP 45-34</t>
        </is>
      </c>
      <c r="CO70" s="20" t="inlineStr">
        <is>
          <t>None</t>
        </is>
      </c>
      <c r="CP70" s="17" t="n"/>
      <c r="CQ70" s="16" t="n"/>
      <c r="CR70" s="20" t="n"/>
      <c r="CS70" s="20" t="inlineStr">
        <is>
          <t>None</t>
        </is>
      </c>
      <c r="CT70" s="17" t="n"/>
      <c r="CU70" s="16" t="n"/>
      <c r="CV70" s="20" t="n"/>
      <c r="CW70" s="20" t="inlineStr">
        <is>
          <t>None</t>
        </is>
      </c>
      <c r="CX70" s="17" t="n"/>
      <c r="CY70" s="16" t="n"/>
      <c r="CZ70" s="20" t="inlineStr">
        <is>
          <t>WTW Multimeter 3430 with FDO 925</t>
        </is>
      </c>
      <c r="DA70" s="20" t="inlineStr">
        <is>
          <t>None</t>
        </is>
      </c>
      <c r="DB70" s="17" t="n"/>
      <c r="DC70" s="16" t="n"/>
      <c r="DD70" s="20" t="n"/>
      <c r="DE70" s="20" t="inlineStr">
        <is>
          <t>None</t>
        </is>
      </c>
      <c r="DF70" s="17" t="n"/>
      <c r="DG70" s="16" t="n"/>
      <c r="DH70" s="20" t="inlineStr">
        <is>
          <t>SOP 45-09</t>
        </is>
      </c>
      <c r="DI70" s="20" t="inlineStr">
        <is>
          <t>None</t>
        </is>
      </c>
      <c r="DJ70" s="17" t="n"/>
      <c r="DK70" s="16" t="n"/>
      <c r="DL70" s="20" t="inlineStr">
        <is>
          <t>SOP 45-09 (SOP muss noch angepasst werden für VSS)</t>
        </is>
      </c>
      <c r="DM70" s="20" t="inlineStr">
        <is>
          <t>None</t>
        </is>
      </c>
      <c r="DN70" s="17" t="n"/>
      <c r="DO70" s="16" t="n"/>
      <c r="DP70" s="20" t="inlineStr">
        <is>
          <t>IC Organic Acids</t>
        </is>
      </c>
      <c r="DQ70" s="20" t="inlineStr">
        <is>
          <t>None</t>
        </is>
      </c>
      <c r="DR70" s="17" t="n"/>
      <c r="DS70" s="16" t="n"/>
      <c r="DT70" s="20" t="inlineStr">
        <is>
          <t>IC Organic Acids</t>
        </is>
      </c>
      <c r="DU70" s="20" t="inlineStr">
        <is>
          <t>None</t>
        </is>
      </c>
      <c r="DV70" s="17" t="n"/>
      <c r="DW70" s="16" t="n"/>
      <c r="DX70" s="20" t="inlineStr">
        <is>
          <t>IC Organic Acids</t>
        </is>
      </c>
      <c r="DY70" s="20" t="inlineStr">
        <is>
          <t>None</t>
        </is>
      </c>
      <c r="DZ70" s="17" t="n"/>
      <c r="EA70" s="16" t="n"/>
      <c r="EB70" s="20" t="inlineStr">
        <is>
          <t>IC Organic Acids</t>
        </is>
      </c>
      <c r="EC70" s="20" t="inlineStr">
        <is>
          <t>None</t>
        </is>
      </c>
      <c r="ED70" s="17" t="n"/>
      <c r="EE70" s="16" t="n"/>
      <c r="EF70" s="20" t="inlineStr">
        <is>
          <t>IC Organic Acids</t>
        </is>
      </c>
      <c r="EG70" s="20" t="inlineStr">
        <is>
          <t>None</t>
        </is>
      </c>
      <c r="EH70" s="17" t="n"/>
      <c r="EI70" s="16" t="n"/>
      <c r="EJ70" s="20" t="inlineStr">
        <is>
          <t>IC Organic Acids</t>
        </is>
      </c>
      <c r="EK70" s="20" t="inlineStr">
        <is>
          <t>None</t>
        </is>
      </c>
      <c r="EL70" s="17" t="n"/>
      <c r="EM70" s="16" t="n"/>
      <c r="EN70" s="20" t="inlineStr">
        <is>
          <t>IC Organic Acids</t>
        </is>
      </c>
      <c r="EO70" s="20" t="inlineStr">
        <is>
          <t>None</t>
        </is>
      </c>
      <c r="EP70" s="17" t="n"/>
      <c r="EQ70" s="16" t="n"/>
      <c r="ER70" s="20" t="inlineStr">
        <is>
          <t>IC Organic Acids</t>
        </is>
      </c>
      <c r="ES70" s="20" t="inlineStr">
        <is>
          <t>None</t>
        </is>
      </c>
      <c r="ET70" s="17" t="n"/>
      <c r="EU70" s="16" t="n"/>
      <c r="EV70" s="20" t="inlineStr">
        <is>
          <t>LC-MS</t>
        </is>
      </c>
      <c r="EW70" s="20" t="inlineStr">
        <is>
          <t>None</t>
        </is>
      </c>
      <c r="EX70" s="17" t="n"/>
      <c r="EY70" s="21" t="n"/>
      <c r="EZ70">
        <f>CONCATENATE(A70,B70)</f>
        <v/>
      </c>
      <c r="FA70">
        <f>CONCATENATE(SamplesX!A70,SamplesX!B70)</f>
        <v/>
      </c>
      <c r="FC70">
        <f>MATCH(EZ70,FA1:FA1008,0)</f>
        <v/>
      </c>
    </row>
    <row r="71">
      <c r="A71" s="16" t="inlineStr">
        <is>
          <t>BP</t>
        </is>
      </c>
      <c r="B71" s="17" t="inlineStr">
        <is>
          <t>25063</t>
        </is>
      </c>
      <c r="C71" s="10">
        <f>IF(ISNUMBER(FC71),INDIRECT("SamplesX!C"&amp;FC71),IF(ISNUMBER(FD71),INDIRECT("SamplesY!C"&amp;FD71),""))</f>
        <v/>
      </c>
      <c r="D71" s="12">
        <f>IF(ISNUMBER(FC71),INDIRECT("SamplesX!D"&amp;FC71),IF(ISNUMBER(FD71),INDIRECT("SamplesY!D"&amp;FD71),""))</f>
        <v/>
      </c>
      <c r="E71" s="12">
        <f>IF(ISNUMBER(FC71),INDIRECT("SamplesX!E"&amp;FC71),IF(ISNUMBER(FD71),INDIRECT("SamplesY!E"&amp;FD71),""))</f>
        <v/>
      </c>
      <c r="F71" s="11">
        <f>IF(ISNUMBER(FC71),INDIRECT("SamplesX!F"&amp;FC71),IF(ISNUMBER(FD71),INDIRECT("SamplesY!F"&amp;FD71),""))</f>
        <v/>
      </c>
      <c r="G71" s="18">
        <f>IF(ISNUMBER(FC71),INDIRECT("SamplesX!G"&amp;FC71),IF(ISNUMBER(FD71),INDIRECT("SamplesY!G"&amp;FD71),""))</f>
        <v/>
      </c>
      <c r="H71" s="19">
        <f>IF(ISNUMBER(FC71),INDIRECT("SamplesX!H"&amp;FC71),IF(ISNUMBER(FD71),INDIRECT("SamplesY!H"&amp;FD71),""))</f>
        <v/>
      </c>
      <c r="I71" s="16" t="n"/>
      <c r="J71" s="16" t="n"/>
      <c r="K71" s="16" t="n"/>
      <c r="L71" s="20" t="n"/>
      <c r="M71" s="20" t="inlineStr">
        <is>
          <t>None</t>
        </is>
      </c>
      <c r="N71" s="17" t="n"/>
      <c r="O71" s="16" t="n"/>
      <c r="P71" s="20" t="inlineStr">
        <is>
          <t>Shimadzu TOC-L</t>
        </is>
      </c>
      <c r="Q71" s="20" t="inlineStr">
        <is>
          <t>None</t>
        </is>
      </c>
      <c r="R71" s="17" t="n"/>
      <c r="S71" s="16" t="n"/>
      <c r="T71" s="20" t="inlineStr">
        <is>
          <t>Shimadzu TOC-L</t>
        </is>
      </c>
      <c r="U71" s="20" t="inlineStr">
        <is>
          <t>None</t>
        </is>
      </c>
      <c r="V71" s="17" t="n"/>
      <c r="W71" s="16" t="n"/>
      <c r="X71" s="20" t="n"/>
      <c r="Y71" s="20" t="inlineStr">
        <is>
          <t>None</t>
        </is>
      </c>
      <c r="Z71" s="17" t="n"/>
      <c r="AA71" s="16" t="n"/>
      <c r="AB71" s="20" t="n"/>
      <c r="AC71" s="20" t="inlineStr">
        <is>
          <t>None</t>
        </is>
      </c>
      <c r="AD71" s="17" t="n"/>
      <c r="AE71" s="16" t="inlineStr">
        <is>
          <t>278</t>
        </is>
      </c>
      <c r="AF71" s="20" t="inlineStr">
        <is>
          <t>IC Anionen</t>
        </is>
      </c>
      <c r="AG71" s="20" t="inlineStr">
        <is>
          <t>None</t>
        </is>
      </c>
      <c r="AH71" s="17" t="n"/>
      <c r="AI71" s="16" t="n"/>
      <c r="AJ71" s="20" t="n"/>
      <c r="AK71" s="20" t="inlineStr">
        <is>
          <t>None</t>
        </is>
      </c>
      <c r="AL71" s="17" t="n"/>
      <c r="AM71" s="16" t="n"/>
      <c r="AN71" s="20" t="inlineStr">
        <is>
          <t>IC Anionen</t>
        </is>
      </c>
      <c r="AO71" s="20" t="inlineStr">
        <is>
          <t>None</t>
        </is>
      </c>
      <c r="AP71" s="17" t="n"/>
      <c r="AQ71" s="16" t="n"/>
      <c r="AR71" s="20" t="n"/>
      <c r="AS71" s="20" t="inlineStr">
        <is>
          <t>None</t>
        </is>
      </c>
      <c r="AT71" s="17" t="n"/>
      <c r="AU71" s="16" t="inlineStr">
        <is>
          <t>9.41</t>
        </is>
      </c>
      <c r="AV71" s="20" t="inlineStr">
        <is>
          <t>IC Anionen</t>
        </is>
      </c>
      <c r="AW71" s="20" t="inlineStr">
        <is>
          <t>None</t>
        </is>
      </c>
      <c r="AX71" s="17" t="n"/>
      <c r="AY71" s="16" t="inlineStr">
        <is>
          <t>&lt;0.80</t>
        </is>
      </c>
      <c r="AZ71" s="20" t="inlineStr">
        <is>
          <t>IC Anionen</t>
        </is>
      </c>
      <c r="BA71" s="20" t="inlineStr">
        <is>
          <t>None</t>
        </is>
      </c>
      <c r="BB71" s="17" t="n"/>
      <c r="BC71" s="16" t="inlineStr">
        <is>
          <t>139</t>
        </is>
      </c>
      <c r="BD71" s="20" t="inlineStr">
        <is>
          <t>IC Kationen</t>
        </is>
      </c>
      <c r="BE71" s="20" t="inlineStr">
        <is>
          <t>None</t>
        </is>
      </c>
      <c r="BF71" s="17" t="n"/>
      <c r="BG71" s="16" t="inlineStr">
        <is>
          <t>4.01</t>
        </is>
      </c>
      <c r="BH71" s="20" t="inlineStr">
        <is>
          <t>IC Kationen</t>
        </is>
      </c>
      <c r="BI71" s="20" t="inlineStr">
        <is>
          <t>None</t>
        </is>
      </c>
      <c r="BJ71" s="17" t="n"/>
      <c r="BK71" s="16" t="inlineStr">
        <is>
          <t>17.3</t>
        </is>
      </c>
      <c r="BL71" s="20" t="inlineStr">
        <is>
          <t>IC Kationen</t>
        </is>
      </c>
      <c r="BM71" s="20" t="inlineStr">
        <is>
          <t>None</t>
        </is>
      </c>
      <c r="BN71" s="17" t="n"/>
      <c r="BO71" s="16" t="inlineStr">
        <is>
          <t>333</t>
        </is>
      </c>
      <c r="BP71" s="20" t="inlineStr">
        <is>
          <t>IC Kationen</t>
        </is>
      </c>
      <c r="BQ71" s="20" t="inlineStr">
        <is>
          <t>None</t>
        </is>
      </c>
      <c r="BR71" s="17" t="n"/>
      <c r="BS71" s="16" t="inlineStr">
        <is>
          <t>35.2</t>
        </is>
      </c>
      <c r="BT71" s="20" t="inlineStr">
        <is>
          <t>IC Kationen</t>
        </is>
      </c>
      <c r="BU71" s="20" t="inlineStr">
        <is>
          <t>None</t>
        </is>
      </c>
      <c r="BV71" s="17" t="n"/>
      <c r="BW71" s="16" t="n"/>
      <c r="BX71" s="20" t="n"/>
      <c r="BY71" s="20" t="inlineStr">
        <is>
          <t>None</t>
        </is>
      </c>
      <c r="BZ71" s="17" t="n"/>
      <c r="CA71" s="16" t="n"/>
      <c r="CB71" s="20" t="n"/>
      <c r="CC71" s="20" t="inlineStr">
        <is>
          <t>None</t>
        </is>
      </c>
      <c r="CD71" s="17" t="n"/>
      <c r="CE71" s="16" t="n"/>
      <c r="CF71" s="20" t="n"/>
      <c r="CG71" s="20" t="inlineStr">
        <is>
          <t>None</t>
        </is>
      </c>
      <c r="CH71" s="17" t="n"/>
      <c r="CI71" s="16" t="n"/>
      <c r="CJ71" s="20" t="n"/>
      <c r="CK71" s="20" t="inlineStr">
        <is>
          <t>None</t>
        </is>
      </c>
      <c r="CL71" s="17" t="n"/>
      <c r="CM71" s="16" t="n"/>
      <c r="CN71" s="20" t="inlineStr">
        <is>
          <t>SOP 45-34</t>
        </is>
      </c>
      <c r="CO71" s="20" t="inlineStr">
        <is>
          <t>None</t>
        </is>
      </c>
      <c r="CP71" s="17" t="n"/>
      <c r="CQ71" s="16" t="n"/>
      <c r="CR71" s="20" t="n"/>
      <c r="CS71" s="20" t="inlineStr">
        <is>
          <t>None</t>
        </is>
      </c>
      <c r="CT71" s="17" t="n"/>
      <c r="CU71" s="16" t="n"/>
      <c r="CV71" s="20" t="n"/>
      <c r="CW71" s="20" t="inlineStr">
        <is>
          <t>None</t>
        </is>
      </c>
      <c r="CX71" s="17" t="n"/>
      <c r="CY71" s="16" t="n"/>
      <c r="CZ71" s="20" t="inlineStr">
        <is>
          <t>WTW Multimeter 3430 with FDO 925</t>
        </is>
      </c>
      <c r="DA71" s="20" t="inlineStr">
        <is>
          <t>None</t>
        </is>
      </c>
      <c r="DB71" s="17" t="n"/>
      <c r="DC71" s="16" t="n"/>
      <c r="DD71" s="20" t="n"/>
      <c r="DE71" s="20" t="inlineStr">
        <is>
          <t>None</t>
        </is>
      </c>
      <c r="DF71" s="17" t="n"/>
      <c r="DG71" s="16" t="n"/>
      <c r="DH71" s="20" t="inlineStr">
        <is>
          <t>SOP 45-09</t>
        </is>
      </c>
      <c r="DI71" s="20" t="inlineStr">
        <is>
          <t>None</t>
        </is>
      </c>
      <c r="DJ71" s="17" t="n"/>
      <c r="DK71" s="16" t="n"/>
      <c r="DL71" s="20" t="inlineStr">
        <is>
          <t>SOP 45-09 (SOP muss noch angepasst werden für VSS)</t>
        </is>
      </c>
      <c r="DM71" s="20" t="inlineStr">
        <is>
          <t>None</t>
        </is>
      </c>
      <c r="DN71" s="17" t="n"/>
      <c r="DO71" s="16" t="n"/>
      <c r="DP71" s="20" t="inlineStr">
        <is>
          <t>IC Organic Acids</t>
        </is>
      </c>
      <c r="DQ71" s="20" t="inlineStr">
        <is>
          <t>None</t>
        </is>
      </c>
      <c r="DR71" s="17" t="n"/>
      <c r="DS71" s="16" t="n"/>
      <c r="DT71" s="20" t="inlineStr">
        <is>
          <t>IC Organic Acids</t>
        </is>
      </c>
      <c r="DU71" s="20" t="inlineStr">
        <is>
          <t>None</t>
        </is>
      </c>
      <c r="DV71" s="17" t="n"/>
      <c r="DW71" s="16" t="n"/>
      <c r="DX71" s="20" t="inlineStr">
        <is>
          <t>IC Organic Acids</t>
        </is>
      </c>
      <c r="DY71" s="20" t="inlineStr">
        <is>
          <t>None</t>
        </is>
      </c>
      <c r="DZ71" s="17" t="n"/>
      <c r="EA71" s="16" t="n"/>
      <c r="EB71" s="20" t="inlineStr">
        <is>
          <t>IC Organic Acids</t>
        </is>
      </c>
      <c r="EC71" s="20" t="inlineStr">
        <is>
          <t>None</t>
        </is>
      </c>
      <c r="ED71" s="17" t="n"/>
      <c r="EE71" s="16" t="n"/>
      <c r="EF71" s="20" t="inlineStr">
        <is>
          <t>IC Organic Acids</t>
        </is>
      </c>
      <c r="EG71" s="20" t="inlineStr">
        <is>
          <t>None</t>
        </is>
      </c>
      <c r="EH71" s="17" t="n"/>
      <c r="EI71" s="16" t="n"/>
      <c r="EJ71" s="20" t="inlineStr">
        <is>
          <t>IC Organic Acids</t>
        </is>
      </c>
      <c r="EK71" s="20" t="inlineStr">
        <is>
          <t>None</t>
        </is>
      </c>
      <c r="EL71" s="17" t="n"/>
      <c r="EM71" s="16" t="n"/>
      <c r="EN71" s="20" t="inlineStr">
        <is>
          <t>IC Organic Acids</t>
        </is>
      </c>
      <c r="EO71" s="20" t="inlineStr">
        <is>
          <t>None</t>
        </is>
      </c>
      <c r="EP71" s="17" t="n"/>
      <c r="EQ71" s="16" t="n"/>
      <c r="ER71" s="20" t="inlineStr">
        <is>
          <t>IC Organic Acids</t>
        </is>
      </c>
      <c r="ES71" s="20" t="inlineStr">
        <is>
          <t>None</t>
        </is>
      </c>
      <c r="ET71" s="17" t="n"/>
      <c r="EU71" s="16" t="n"/>
      <c r="EV71" s="20" t="inlineStr">
        <is>
          <t>LC-MS</t>
        </is>
      </c>
      <c r="EW71" s="20" t="inlineStr">
        <is>
          <t>None</t>
        </is>
      </c>
      <c r="EX71" s="17" t="n"/>
      <c r="EY71" s="21" t="n"/>
      <c r="EZ71">
        <f>CONCATENATE(A71,B71)</f>
        <v/>
      </c>
      <c r="FA71">
        <f>CONCATENATE(SamplesX!A71,SamplesX!B71)</f>
        <v/>
      </c>
      <c r="FC71">
        <f>MATCH(EZ71,FA1:FA1008,0)</f>
        <v/>
      </c>
    </row>
    <row r="72">
      <c r="A72" s="16" t="inlineStr">
        <is>
          <t>BP</t>
        </is>
      </c>
      <c r="B72" s="17" t="inlineStr">
        <is>
          <t>25064</t>
        </is>
      </c>
      <c r="C72" s="10">
        <f>IF(ISNUMBER(FC72),INDIRECT("SamplesX!C"&amp;FC72),IF(ISNUMBER(FD72),INDIRECT("SamplesY!C"&amp;FD72),""))</f>
        <v/>
      </c>
      <c r="D72" s="12">
        <f>IF(ISNUMBER(FC72),INDIRECT("SamplesX!D"&amp;FC72),IF(ISNUMBER(FD72),INDIRECT("SamplesY!D"&amp;FD72),""))</f>
        <v/>
      </c>
      <c r="E72" s="12">
        <f>IF(ISNUMBER(FC72),INDIRECT("SamplesX!E"&amp;FC72),IF(ISNUMBER(FD72),INDIRECT("SamplesY!E"&amp;FD72),""))</f>
        <v/>
      </c>
      <c r="F72" s="11">
        <f>IF(ISNUMBER(FC72),INDIRECT("SamplesX!F"&amp;FC72),IF(ISNUMBER(FD72),INDIRECT("SamplesY!F"&amp;FD72),""))</f>
        <v/>
      </c>
      <c r="G72" s="18">
        <f>IF(ISNUMBER(FC72),INDIRECT("SamplesX!G"&amp;FC72),IF(ISNUMBER(FD72),INDIRECT("SamplesY!G"&amp;FD72),""))</f>
        <v/>
      </c>
      <c r="H72" s="19">
        <f>IF(ISNUMBER(FC72),INDIRECT("SamplesX!H"&amp;FC72),IF(ISNUMBER(FD72),INDIRECT("SamplesY!H"&amp;FD72),""))</f>
        <v/>
      </c>
      <c r="I72" s="16" t="n"/>
      <c r="J72" s="16" t="n"/>
      <c r="K72" s="16" t="n"/>
      <c r="L72" s="20" t="n"/>
      <c r="M72" s="20" t="inlineStr">
        <is>
          <t>None</t>
        </is>
      </c>
      <c r="N72" s="17" t="n"/>
      <c r="O72" s="16" t="n"/>
      <c r="P72" s="20" t="inlineStr">
        <is>
          <t>Shimadzu TOC-L</t>
        </is>
      </c>
      <c r="Q72" s="20" t="inlineStr">
        <is>
          <t>None</t>
        </is>
      </c>
      <c r="R72" s="17" t="n"/>
      <c r="S72" s="16" t="n"/>
      <c r="T72" s="20" t="inlineStr">
        <is>
          <t>Shimadzu TOC-L</t>
        </is>
      </c>
      <c r="U72" s="20" t="inlineStr">
        <is>
          <t>None</t>
        </is>
      </c>
      <c r="V72" s="17" t="n"/>
      <c r="W72" s="16" t="n"/>
      <c r="X72" s="20" t="n"/>
      <c r="Y72" s="20" t="inlineStr">
        <is>
          <t>None</t>
        </is>
      </c>
      <c r="Z72" s="17" t="n"/>
      <c r="AA72" s="16" t="n"/>
      <c r="AB72" s="20" t="n"/>
      <c r="AC72" s="20" t="inlineStr">
        <is>
          <t>None</t>
        </is>
      </c>
      <c r="AD72" s="17" t="n"/>
      <c r="AE72" s="16" t="inlineStr">
        <is>
          <t>235</t>
        </is>
      </c>
      <c r="AF72" s="20" t="inlineStr">
        <is>
          <t>IC Anionen</t>
        </is>
      </c>
      <c r="AG72" s="20" t="inlineStr">
        <is>
          <t>None</t>
        </is>
      </c>
      <c r="AH72" s="17" t="n"/>
      <c r="AI72" s="16" t="n"/>
      <c r="AJ72" s="20" t="n"/>
      <c r="AK72" s="20" t="inlineStr">
        <is>
          <t>None</t>
        </is>
      </c>
      <c r="AL72" s="17" t="n"/>
      <c r="AM72" s="16" t="n"/>
      <c r="AN72" s="20" t="inlineStr">
        <is>
          <t>IC Anionen</t>
        </is>
      </c>
      <c r="AO72" s="20" t="inlineStr">
        <is>
          <t>None</t>
        </is>
      </c>
      <c r="AP72" s="17" t="n"/>
      <c r="AQ72" s="16" t="n"/>
      <c r="AR72" s="20" t="n"/>
      <c r="AS72" s="20" t="inlineStr">
        <is>
          <t>None</t>
        </is>
      </c>
      <c r="AT72" s="17" t="n"/>
      <c r="AU72" s="16" t="inlineStr">
        <is>
          <t>24.8</t>
        </is>
      </c>
      <c r="AV72" s="20" t="inlineStr">
        <is>
          <t>IC Anionen</t>
        </is>
      </c>
      <c r="AW72" s="20" t="inlineStr">
        <is>
          <t>None</t>
        </is>
      </c>
      <c r="AX72" s="17" t="n"/>
      <c r="AY72" s="16" t="inlineStr">
        <is>
          <t>&lt;0.80</t>
        </is>
      </c>
      <c r="AZ72" s="20" t="inlineStr">
        <is>
          <t>IC Anionen</t>
        </is>
      </c>
      <c r="BA72" s="20" t="inlineStr">
        <is>
          <t>None</t>
        </is>
      </c>
      <c r="BB72" s="17" t="n"/>
      <c r="BC72" s="16" t="inlineStr">
        <is>
          <t>147</t>
        </is>
      </c>
      <c r="BD72" s="20" t="inlineStr">
        <is>
          <t>IC Kationen</t>
        </is>
      </c>
      <c r="BE72" s="20" t="inlineStr">
        <is>
          <t>None</t>
        </is>
      </c>
      <c r="BF72" s="17" t="n"/>
      <c r="BG72" s="16" t="inlineStr">
        <is>
          <t>7.83</t>
        </is>
      </c>
      <c r="BH72" s="20" t="inlineStr">
        <is>
          <t>IC Kationen</t>
        </is>
      </c>
      <c r="BI72" s="20" t="inlineStr">
        <is>
          <t>None</t>
        </is>
      </c>
      <c r="BJ72" s="17" t="n"/>
      <c r="BK72" s="16" t="inlineStr">
        <is>
          <t>19.9</t>
        </is>
      </c>
      <c r="BL72" s="20" t="inlineStr">
        <is>
          <t>IC Kationen</t>
        </is>
      </c>
      <c r="BM72" s="20" t="inlineStr">
        <is>
          <t>None</t>
        </is>
      </c>
      <c r="BN72" s="17" t="n"/>
      <c r="BO72" s="16" t="inlineStr">
        <is>
          <t>351</t>
        </is>
      </c>
      <c r="BP72" s="20" t="inlineStr">
        <is>
          <t>IC Kationen</t>
        </is>
      </c>
      <c r="BQ72" s="20" t="inlineStr">
        <is>
          <t>None</t>
        </is>
      </c>
      <c r="BR72" s="17" t="n"/>
      <c r="BS72" s="16" t="inlineStr">
        <is>
          <t>39.0</t>
        </is>
      </c>
      <c r="BT72" s="20" t="inlineStr">
        <is>
          <t>IC Kationen</t>
        </is>
      </c>
      <c r="BU72" s="20" t="inlineStr">
        <is>
          <t>None</t>
        </is>
      </c>
      <c r="BV72" s="17" t="n"/>
      <c r="BW72" s="16" t="n"/>
      <c r="BX72" s="20" t="n"/>
      <c r="BY72" s="20" t="inlineStr">
        <is>
          <t>None</t>
        </is>
      </c>
      <c r="BZ72" s="17" t="n"/>
      <c r="CA72" s="16" t="n"/>
      <c r="CB72" s="20" t="n"/>
      <c r="CC72" s="20" t="inlineStr">
        <is>
          <t>None</t>
        </is>
      </c>
      <c r="CD72" s="17" t="n"/>
      <c r="CE72" s="16" t="n"/>
      <c r="CF72" s="20" t="n"/>
      <c r="CG72" s="20" t="inlineStr">
        <is>
          <t>None</t>
        </is>
      </c>
      <c r="CH72" s="17" t="n"/>
      <c r="CI72" s="16" t="n"/>
      <c r="CJ72" s="20" t="n"/>
      <c r="CK72" s="20" t="inlineStr">
        <is>
          <t>None</t>
        </is>
      </c>
      <c r="CL72" s="17" t="n"/>
      <c r="CM72" s="16" t="n"/>
      <c r="CN72" s="20" t="inlineStr">
        <is>
          <t>SOP 45-34</t>
        </is>
      </c>
      <c r="CO72" s="20" t="inlineStr">
        <is>
          <t>None</t>
        </is>
      </c>
      <c r="CP72" s="17" t="n"/>
      <c r="CQ72" s="16" t="n"/>
      <c r="CR72" s="20" t="n"/>
      <c r="CS72" s="20" t="inlineStr">
        <is>
          <t>None</t>
        </is>
      </c>
      <c r="CT72" s="17" t="n"/>
      <c r="CU72" s="16" t="n"/>
      <c r="CV72" s="20" t="n"/>
      <c r="CW72" s="20" t="inlineStr">
        <is>
          <t>None</t>
        </is>
      </c>
      <c r="CX72" s="17" t="n"/>
      <c r="CY72" s="16" t="n"/>
      <c r="CZ72" s="20" t="inlineStr">
        <is>
          <t>WTW Multimeter 3430 with FDO 925</t>
        </is>
      </c>
      <c r="DA72" s="20" t="inlineStr">
        <is>
          <t>None</t>
        </is>
      </c>
      <c r="DB72" s="17" t="n"/>
      <c r="DC72" s="16" t="n"/>
      <c r="DD72" s="20" t="n"/>
      <c r="DE72" s="20" t="inlineStr">
        <is>
          <t>None</t>
        </is>
      </c>
      <c r="DF72" s="17" t="n"/>
      <c r="DG72" s="16" t="n"/>
      <c r="DH72" s="20" t="inlineStr">
        <is>
          <t>SOP 45-09</t>
        </is>
      </c>
      <c r="DI72" s="20" t="inlineStr">
        <is>
          <t>None</t>
        </is>
      </c>
      <c r="DJ72" s="17" t="n"/>
      <c r="DK72" s="16" t="n"/>
      <c r="DL72" s="20" t="inlineStr">
        <is>
          <t>SOP 45-09 (SOP muss noch angepasst werden für VSS)</t>
        </is>
      </c>
      <c r="DM72" s="20" t="inlineStr">
        <is>
          <t>None</t>
        </is>
      </c>
      <c r="DN72" s="17" t="n"/>
      <c r="DO72" s="16" t="n"/>
      <c r="DP72" s="20" t="inlineStr">
        <is>
          <t>IC Organic Acids</t>
        </is>
      </c>
      <c r="DQ72" s="20" t="inlineStr">
        <is>
          <t>None</t>
        </is>
      </c>
      <c r="DR72" s="17" t="n"/>
      <c r="DS72" s="16" t="n"/>
      <c r="DT72" s="20" t="inlineStr">
        <is>
          <t>IC Organic Acids</t>
        </is>
      </c>
      <c r="DU72" s="20" t="inlineStr">
        <is>
          <t>None</t>
        </is>
      </c>
      <c r="DV72" s="17" t="n"/>
      <c r="DW72" s="16" t="n"/>
      <c r="DX72" s="20" t="inlineStr">
        <is>
          <t>IC Organic Acids</t>
        </is>
      </c>
      <c r="DY72" s="20" t="inlineStr">
        <is>
          <t>None</t>
        </is>
      </c>
      <c r="DZ72" s="17" t="n"/>
      <c r="EA72" s="16" t="n"/>
      <c r="EB72" s="20" t="inlineStr">
        <is>
          <t>IC Organic Acids</t>
        </is>
      </c>
      <c r="EC72" s="20" t="inlineStr">
        <is>
          <t>None</t>
        </is>
      </c>
      <c r="ED72" s="17" t="n"/>
      <c r="EE72" s="16" t="n"/>
      <c r="EF72" s="20" t="inlineStr">
        <is>
          <t>IC Organic Acids</t>
        </is>
      </c>
      <c r="EG72" s="20" t="inlineStr">
        <is>
          <t>None</t>
        </is>
      </c>
      <c r="EH72" s="17" t="n"/>
      <c r="EI72" s="16" t="n"/>
      <c r="EJ72" s="20" t="inlineStr">
        <is>
          <t>IC Organic Acids</t>
        </is>
      </c>
      <c r="EK72" s="20" t="inlineStr">
        <is>
          <t>None</t>
        </is>
      </c>
      <c r="EL72" s="17" t="n"/>
      <c r="EM72" s="16" t="n"/>
      <c r="EN72" s="20" t="inlineStr">
        <is>
          <t>IC Organic Acids</t>
        </is>
      </c>
      <c r="EO72" s="20" t="inlineStr">
        <is>
          <t>None</t>
        </is>
      </c>
      <c r="EP72" s="17" t="n"/>
      <c r="EQ72" s="16" t="n"/>
      <c r="ER72" s="20" t="inlineStr">
        <is>
          <t>IC Organic Acids</t>
        </is>
      </c>
      <c r="ES72" s="20" t="inlineStr">
        <is>
          <t>None</t>
        </is>
      </c>
      <c r="ET72" s="17" t="n"/>
      <c r="EU72" s="16" t="n"/>
      <c r="EV72" s="20" t="inlineStr">
        <is>
          <t>LC-MS</t>
        </is>
      </c>
      <c r="EW72" s="20" t="inlineStr">
        <is>
          <t>None</t>
        </is>
      </c>
      <c r="EX72" s="17" t="n"/>
      <c r="EY72" s="21" t="n"/>
      <c r="EZ72">
        <f>CONCATENATE(A72,B72)</f>
        <v/>
      </c>
      <c r="FA72">
        <f>CONCATENATE(SamplesX!A72,SamplesX!B72)</f>
        <v/>
      </c>
      <c r="FC72">
        <f>MATCH(EZ72,FA1:FA1008,0)</f>
        <v/>
      </c>
    </row>
    <row r="73">
      <c r="A73" s="16" t="inlineStr">
        <is>
          <t>BP</t>
        </is>
      </c>
      <c r="B73" s="17" t="inlineStr">
        <is>
          <t>25065</t>
        </is>
      </c>
      <c r="C73" s="10">
        <f>IF(ISNUMBER(FC73),INDIRECT("SamplesX!C"&amp;FC73),IF(ISNUMBER(FD73),INDIRECT("SamplesY!C"&amp;FD73),""))</f>
        <v/>
      </c>
      <c r="D73" s="12">
        <f>IF(ISNUMBER(FC73),INDIRECT("SamplesX!D"&amp;FC73),IF(ISNUMBER(FD73),INDIRECT("SamplesY!D"&amp;FD73),""))</f>
        <v/>
      </c>
      <c r="E73" s="12">
        <f>IF(ISNUMBER(FC73),INDIRECT("SamplesX!E"&amp;FC73),IF(ISNUMBER(FD73),INDIRECT("SamplesY!E"&amp;FD73),""))</f>
        <v/>
      </c>
      <c r="F73" s="11">
        <f>IF(ISNUMBER(FC73),INDIRECT("SamplesX!F"&amp;FC73),IF(ISNUMBER(FD73),INDIRECT("SamplesY!F"&amp;FD73),""))</f>
        <v/>
      </c>
      <c r="G73" s="18">
        <f>IF(ISNUMBER(FC73),INDIRECT("SamplesX!G"&amp;FC73),IF(ISNUMBER(FD73),INDIRECT("SamplesY!G"&amp;FD73),""))</f>
        <v/>
      </c>
      <c r="H73" s="19">
        <f>IF(ISNUMBER(FC73),INDIRECT("SamplesX!H"&amp;FC73),IF(ISNUMBER(FD73),INDIRECT("SamplesY!H"&amp;FD73),""))</f>
        <v/>
      </c>
      <c r="I73" s="16" t="n"/>
      <c r="J73" s="16" t="n"/>
      <c r="K73" s="16" t="n"/>
      <c r="L73" s="20" t="n"/>
      <c r="M73" s="20" t="inlineStr">
        <is>
          <t>None</t>
        </is>
      </c>
      <c r="N73" s="17" t="n"/>
      <c r="O73" s="16" t="n"/>
      <c r="P73" s="20" t="inlineStr">
        <is>
          <t>Shimadzu TOC-L</t>
        </is>
      </c>
      <c r="Q73" s="20" t="inlineStr">
        <is>
          <t>None</t>
        </is>
      </c>
      <c r="R73" s="17" t="n"/>
      <c r="S73" s="16" t="n"/>
      <c r="T73" s="20" t="inlineStr">
        <is>
          <t>Shimadzu TOC-L</t>
        </is>
      </c>
      <c r="U73" s="20" t="inlineStr">
        <is>
          <t>None</t>
        </is>
      </c>
      <c r="V73" s="17" t="n"/>
      <c r="W73" s="16" t="n"/>
      <c r="X73" s="20" t="n"/>
      <c r="Y73" s="20" t="inlineStr">
        <is>
          <t>None</t>
        </is>
      </c>
      <c r="Z73" s="17" t="n"/>
      <c r="AA73" s="16" t="n"/>
      <c r="AB73" s="20" t="n"/>
      <c r="AC73" s="20" t="inlineStr">
        <is>
          <t>None</t>
        </is>
      </c>
      <c r="AD73" s="17" t="n"/>
      <c r="AE73" s="16" t="inlineStr">
        <is>
          <t>320</t>
        </is>
      </c>
      <c r="AF73" s="20" t="inlineStr">
        <is>
          <t>IC Anionen</t>
        </is>
      </c>
      <c r="AG73" s="20" t="inlineStr">
        <is>
          <t>None</t>
        </is>
      </c>
      <c r="AH73" s="17" t="n"/>
      <c r="AI73" s="16" t="n"/>
      <c r="AJ73" s="20" t="n"/>
      <c r="AK73" s="20" t="inlineStr">
        <is>
          <t>None</t>
        </is>
      </c>
      <c r="AL73" s="17" t="n"/>
      <c r="AM73" s="16" t="n"/>
      <c r="AN73" s="20" t="inlineStr">
        <is>
          <t>IC Anionen</t>
        </is>
      </c>
      <c r="AO73" s="20" t="inlineStr">
        <is>
          <t>None</t>
        </is>
      </c>
      <c r="AP73" s="17" t="n"/>
      <c r="AQ73" s="16" t="n"/>
      <c r="AR73" s="20" t="n"/>
      <c r="AS73" s="20" t="inlineStr">
        <is>
          <t>None</t>
        </is>
      </c>
      <c r="AT73" s="17" t="n"/>
      <c r="AU73" s="16" t="inlineStr">
        <is>
          <t>2.72</t>
        </is>
      </c>
      <c r="AV73" s="20" t="inlineStr">
        <is>
          <t>IC Anionen</t>
        </is>
      </c>
      <c r="AW73" s="20" t="inlineStr">
        <is>
          <t>None</t>
        </is>
      </c>
      <c r="AX73" s="17" t="n"/>
      <c r="AY73" s="16" t="inlineStr">
        <is>
          <t>&lt;0.80</t>
        </is>
      </c>
      <c r="AZ73" s="20" t="inlineStr">
        <is>
          <t>IC Anionen</t>
        </is>
      </c>
      <c r="BA73" s="20" t="inlineStr">
        <is>
          <t>None</t>
        </is>
      </c>
      <c r="BB73" s="17" t="n"/>
      <c r="BC73" s="16" t="inlineStr">
        <is>
          <t>130</t>
        </is>
      </c>
      <c r="BD73" s="20" t="inlineStr">
        <is>
          <t>IC Kationen</t>
        </is>
      </c>
      <c r="BE73" s="20" t="inlineStr">
        <is>
          <t>None</t>
        </is>
      </c>
      <c r="BF73" s="17" t="n"/>
      <c r="BG73" s="16" t="inlineStr">
        <is>
          <t>3.13</t>
        </is>
      </c>
      <c r="BH73" s="20" t="inlineStr">
        <is>
          <t>IC Kationen</t>
        </is>
      </c>
      <c r="BI73" s="20" t="inlineStr">
        <is>
          <t>None</t>
        </is>
      </c>
      <c r="BJ73" s="17" t="n"/>
      <c r="BK73" s="16" t="inlineStr">
        <is>
          <t>16.7</t>
        </is>
      </c>
      <c r="BL73" s="20" t="inlineStr">
        <is>
          <t>IC Kationen</t>
        </is>
      </c>
      <c r="BM73" s="20" t="inlineStr">
        <is>
          <t>None</t>
        </is>
      </c>
      <c r="BN73" s="17" t="n"/>
      <c r="BO73" s="16" t="inlineStr">
        <is>
          <t>308</t>
        </is>
      </c>
      <c r="BP73" s="20" t="inlineStr">
        <is>
          <t>IC Kationen</t>
        </is>
      </c>
      <c r="BQ73" s="20" t="inlineStr">
        <is>
          <t>None</t>
        </is>
      </c>
      <c r="BR73" s="17" t="n"/>
      <c r="BS73" s="16" t="inlineStr">
        <is>
          <t>34.0</t>
        </is>
      </c>
      <c r="BT73" s="20" t="inlineStr">
        <is>
          <t>IC Kationen</t>
        </is>
      </c>
      <c r="BU73" s="20" t="inlineStr">
        <is>
          <t>None</t>
        </is>
      </c>
      <c r="BV73" s="17" t="n"/>
      <c r="BW73" s="16" t="n"/>
      <c r="BX73" s="20" t="n"/>
      <c r="BY73" s="20" t="inlineStr">
        <is>
          <t>None</t>
        </is>
      </c>
      <c r="BZ73" s="17" t="n"/>
      <c r="CA73" s="16" t="n"/>
      <c r="CB73" s="20" t="n"/>
      <c r="CC73" s="20" t="inlineStr">
        <is>
          <t>None</t>
        </is>
      </c>
      <c r="CD73" s="17" t="n"/>
      <c r="CE73" s="16" t="n"/>
      <c r="CF73" s="20" t="n"/>
      <c r="CG73" s="20" t="inlineStr">
        <is>
          <t>None</t>
        </is>
      </c>
      <c r="CH73" s="17" t="n"/>
      <c r="CI73" s="16" t="n"/>
      <c r="CJ73" s="20" t="n"/>
      <c r="CK73" s="20" t="inlineStr">
        <is>
          <t>None</t>
        </is>
      </c>
      <c r="CL73" s="17" t="n"/>
      <c r="CM73" s="16" t="n"/>
      <c r="CN73" s="20" t="inlineStr">
        <is>
          <t>SOP 45-34</t>
        </is>
      </c>
      <c r="CO73" s="20" t="inlineStr">
        <is>
          <t>None</t>
        </is>
      </c>
      <c r="CP73" s="17" t="n"/>
      <c r="CQ73" s="16" t="n"/>
      <c r="CR73" s="20" t="n"/>
      <c r="CS73" s="20" t="inlineStr">
        <is>
          <t>None</t>
        </is>
      </c>
      <c r="CT73" s="17" t="n"/>
      <c r="CU73" s="16" t="n"/>
      <c r="CV73" s="20" t="n"/>
      <c r="CW73" s="20" t="inlineStr">
        <is>
          <t>None</t>
        </is>
      </c>
      <c r="CX73" s="17" t="n"/>
      <c r="CY73" s="16" t="n"/>
      <c r="CZ73" s="20" t="inlineStr">
        <is>
          <t>WTW Multimeter 3430 with FDO 925</t>
        </is>
      </c>
      <c r="DA73" s="20" t="inlineStr">
        <is>
          <t>None</t>
        </is>
      </c>
      <c r="DB73" s="17" t="n"/>
      <c r="DC73" s="16" t="n"/>
      <c r="DD73" s="20" t="n"/>
      <c r="DE73" s="20" t="inlineStr">
        <is>
          <t>None</t>
        </is>
      </c>
      <c r="DF73" s="17" t="n"/>
      <c r="DG73" s="16" t="n"/>
      <c r="DH73" s="20" t="inlineStr">
        <is>
          <t>SOP 45-09</t>
        </is>
      </c>
      <c r="DI73" s="20" t="inlineStr">
        <is>
          <t>None</t>
        </is>
      </c>
      <c r="DJ73" s="17" t="n"/>
      <c r="DK73" s="16" t="n"/>
      <c r="DL73" s="20" t="inlineStr">
        <is>
          <t>SOP 45-09 (SOP muss noch angepasst werden für VSS)</t>
        </is>
      </c>
      <c r="DM73" s="20" t="inlineStr">
        <is>
          <t>None</t>
        </is>
      </c>
      <c r="DN73" s="17" t="n"/>
      <c r="DO73" s="16" t="n"/>
      <c r="DP73" s="20" t="inlineStr">
        <is>
          <t>IC Organic Acids</t>
        </is>
      </c>
      <c r="DQ73" s="20" t="inlineStr">
        <is>
          <t>None</t>
        </is>
      </c>
      <c r="DR73" s="17" t="n"/>
      <c r="DS73" s="16" t="n"/>
      <c r="DT73" s="20" t="inlineStr">
        <is>
          <t>IC Organic Acids</t>
        </is>
      </c>
      <c r="DU73" s="20" t="inlineStr">
        <is>
          <t>None</t>
        </is>
      </c>
      <c r="DV73" s="17" t="n"/>
      <c r="DW73" s="16" t="n"/>
      <c r="DX73" s="20" t="inlineStr">
        <is>
          <t>IC Organic Acids</t>
        </is>
      </c>
      <c r="DY73" s="20" t="inlineStr">
        <is>
          <t>None</t>
        </is>
      </c>
      <c r="DZ73" s="17" t="n"/>
      <c r="EA73" s="16" t="n"/>
      <c r="EB73" s="20" t="inlineStr">
        <is>
          <t>IC Organic Acids</t>
        </is>
      </c>
      <c r="EC73" s="20" t="inlineStr">
        <is>
          <t>None</t>
        </is>
      </c>
      <c r="ED73" s="17" t="n"/>
      <c r="EE73" s="16" t="n"/>
      <c r="EF73" s="20" t="inlineStr">
        <is>
          <t>IC Organic Acids</t>
        </is>
      </c>
      <c r="EG73" s="20" t="inlineStr">
        <is>
          <t>None</t>
        </is>
      </c>
      <c r="EH73" s="17" t="n"/>
      <c r="EI73" s="16" t="n"/>
      <c r="EJ73" s="20" t="inlineStr">
        <is>
          <t>IC Organic Acids</t>
        </is>
      </c>
      <c r="EK73" s="20" t="inlineStr">
        <is>
          <t>None</t>
        </is>
      </c>
      <c r="EL73" s="17" t="n"/>
      <c r="EM73" s="16" t="n"/>
      <c r="EN73" s="20" t="inlineStr">
        <is>
          <t>IC Organic Acids</t>
        </is>
      </c>
      <c r="EO73" s="20" t="inlineStr">
        <is>
          <t>None</t>
        </is>
      </c>
      <c r="EP73" s="17" t="n"/>
      <c r="EQ73" s="16" t="n"/>
      <c r="ER73" s="20" t="inlineStr">
        <is>
          <t>IC Organic Acids</t>
        </is>
      </c>
      <c r="ES73" s="20" t="inlineStr">
        <is>
          <t>None</t>
        </is>
      </c>
      <c r="ET73" s="17" t="n"/>
      <c r="EU73" s="16" t="n"/>
      <c r="EV73" s="20" t="inlineStr">
        <is>
          <t>LC-MS</t>
        </is>
      </c>
      <c r="EW73" s="20" t="inlineStr">
        <is>
          <t>None</t>
        </is>
      </c>
      <c r="EX73" s="17" t="n"/>
      <c r="EY73" s="21" t="n"/>
      <c r="EZ73">
        <f>CONCATENATE(A73,B73)</f>
        <v/>
      </c>
      <c r="FA73">
        <f>CONCATENATE(SamplesX!A73,SamplesX!B73)</f>
        <v/>
      </c>
      <c r="FC73">
        <f>MATCH(EZ73,FA1:FA1008,0)</f>
        <v/>
      </c>
    </row>
    <row r="74">
      <c r="A74" s="16" t="inlineStr">
        <is>
          <t>BP</t>
        </is>
      </c>
      <c r="B74" s="17" t="inlineStr">
        <is>
          <t>25066</t>
        </is>
      </c>
      <c r="C74" s="10">
        <f>IF(ISNUMBER(FC74),INDIRECT("SamplesX!C"&amp;FC74),IF(ISNUMBER(FD74),INDIRECT("SamplesY!C"&amp;FD74),""))</f>
        <v/>
      </c>
      <c r="D74" s="12">
        <f>IF(ISNUMBER(FC74),INDIRECT("SamplesX!D"&amp;FC74),IF(ISNUMBER(FD74),INDIRECT("SamplesY!D"&amp;FD74),""))</f>
        <v/>
      </c>
      <c r="E74" s="12">
        <f>IF(ISNUMBER(FC74),INDIRECT("SamplesX!E"&amp;FC74),IF(ISNUMBER(FD74),INDIRECT("SamplesY!E"&amp;FD74),""))</f>
        <v/>
      </c>
      <c r="F74" s="11">
        <f>IF(ISNUMBER(FC74),INDIRECT("SamplesX!F"&amp;FC74),IF(ISNUMBER(FD74),INDIRECT("SamplesY!F"&amp;FD74),""))</f>
        <v/>
      </c>
      <c r="G74" s="18">
        <f>IF(ISNUMBER(FC74),INDIRECT("SamplesX!G"&amp;FC74),IF(ISNUMBER(FD74),INDIRECT("SamplesY!G"&amp;FD74),""))</f>
        <v/>
      </c>
      <c r="H74" s="19">
        <f>IF(ISNUMBER(FC74),INDIRECT("SamplesX!H"&amp;FC74),IF(ISNUMBER(FD74),INDIRECT("SamplesY!H"&amp;FD74),""))</f>
        <v/>
      </c>
      <c r="I74" s="16" t="n"/>
      <c r="J74" s="16" t="n"/>
      <c r="K74" s="16" t="n"/>
      <c r="L74" s="20" t="n"/>
      <c r="M74" s="20" t="inlineStr">
        <is>
          <t>None</t>
        </is>
      </c>
      <c r="N74" s="17" t="n"/>
      <c r="O74" s="16" t="n"/>
      <c r="P74" s="20" t="inlineStr">
        <is>
          <t>Shimadzu TOC-L</t>
        </is>
      </c>
      <c r="Q74" s="20" t="inlineStr">
        <is>
          <t>None</t>
        </is>
      </c>
      <c r="R74" s="17" t="n"/>
      <c r="S74" s="16" t="n"/>
      <c r="T74" s="20" t="inlineStr">
        <is>
          <t>Shimadzu TOC-L</t>
        </is>
      </c>
      <c r="U74" s="20" t="inlineStr">
        <is>
          <t>None</t>
        </is>
      </c>
      <c r="V74" s="17" t="n"/>
      <c r="W74" s="16" t="n"/>
      <c r="X74" s="20" t="n"/>
      <c r="Y74" s="20" t="inlineStr">
        <is>
          <t>None</t>
        </is>
      </c>
      <c r="Z74" s="17" t="n"/>
      <c r="AA74" s="16" t="n"/>
      <c r="AB74" s="20" t="n"/>
      <c r="AC74" s="20" t="inlineStr">
        <is>
          <t>None</t>
        </is>
      </c>
      <c r="AD74" s="17" t="n"/>
      <c r="AE74" s="16" t="inlineStr">
        <is>
          <t>302</t>
        </is>
      </c>
      <c r="AF74" s="20" t="inlineStr">
        <is>
          <t>IC Anionen</t>
        </is>
      </c>
      <c r="AG74" s="20" t="inlineStr">
        <is>
          <t>None</t>
        </is>
      </c>
      <c r="AH74" s="17" t="n"/>
      <c r="AI74" s="16" t="n"/>
      <c r="AJ74" s="20" t="n"/>
      <c r="AK74" s="20" t="inlineStr">
        <is>
          <t>None</t>
        </is>
      </c>
      <c r="AL74" s="17" t="n"/>
      <c r="AM74" s="16" t="n"/>
      <c r="AN74" s="20" t="inlineStr">
        <is>
          <t>IC Anionen</t>
        </is>
      </c>
      <c r="AO74" s="20" t="inlineStr">
        <is>
          <t>None</t>
        </is>
      </c>
      <c r="AP74" s="17" t="n"/>
      <c r="AQ74" s="16" t="n"/>
      <c r="AR74" s="20" t="n"/>
      <c r="AS74" s="20" t="inlineStr">
        <is>
          <t>None</t>
        </is>
      </c>
      <c r="AT74" s="17" t="n"/>
      <c r="AU74" s="16" t="inlineStr">
        <is>
          <t>0.44</t>
        </is>
      </c>
      <c r="AV74" s="20" t="inlineStr">
        <is>
          <t>IC Anionen</t>
        </is>
      </c>
      <c r="AW74" s="20" t="inlineStr">
        <is>
          <t>None</t>
        </is>
      </c>
      <c r="AX74" s="17" t="n"/>
      <c r="AY74" s="16" t="inlineStr">
        <is>
          <t>&lt;0.80</t>
        </is>
      </c>
      <c r="AZ74" s="20" t="inlineStr">
        <is>
          <t>IC Anionen</t>
        </is>
      </c>
      <c r="BA74" s="20" t="inlineStr">
        <is>
          <t>None</t>
        </is>
      </c>
      <c r="BB74" s="17" t="n"/>
      <c r="BC74" s="16" t="inlineStr">
        <is>
          <t>133</t>
        </is>
      </c>
      <c r="BD74" s="20" t="inlineStr">
        <is>
          <t>IC Kationen</t>
        </is>
      </c>
      <c r="BE74" s="20" t="inlineStr">
        <is>
          <t>None</t>
        </is>
      </c>
      <c r="BF74" s="17" t="n"/>
      <c r="BG74" s="16" t="inlineStr">
        <is>
          <t>&lt;1.60</t>
        </is>
      </c>
      <c r="BH74" s="20" t="inlineStr">
        <is>
          <t>IC Kationen</t>
        </is>
      </c>
      <c r="BI74" s="20" t="inlineStr">
        <is>
          <t>None</t>
        </is>
      </c>
      <c r="BJ74" s="17" t="n"/>
      <c r="BK74" s="16" t="inlineStr">
        <is>
          <t>15.5</t>
        </is>
      </c>
      <c r="BL74" s="20" t="inlineStr">
        <is>
          <t>IC Kationen</t>
        </is>
      </c>
      <c r="BM74" s="20" t="inlineStr">
        <is>
          <t>None</t>
        </is>
      </c>
      <c r="BN74" s="17" t="n"/>
      <c r="BO74" s="16" t="inlineStr">
        <is>
          <t>304</t>
        </is>
      </c>
      <c r="BP74" s="20" t="inlineStr">
        <is>
          <t>IC Kationen</t>
        </is>
      </c>
      <c r="BQ74" s="20" t="inlineStr">
        <is>
          <t>None</t>
        </is>
      </c>
      <c r="BR74" s="17" t="n"/>
      <c r="BS74" s="16" t="inlineStr">
        <is>
          <t>34.1</t>
        </is>
      </c>
      <c r="BT74" s="20" t="inlineStr">
        <is>
          <t>IC Kationen</t>
        </is>
      </c>
      <c r="BU74" s="20" t="inlineStr">
        <is>
          <t>None</t>
        </is>
      </c>
      <c r="BV74" s="17" t="n"/>
      <c r="BW74" s="16" t="n"/>
      <c r="BX74" s="20" t="n"/>
      <c r="BY74" s="20" t="inlineStr">
        <is>
          <t>None</t>
        </is>
      </c>
      <c r="BZ74" s="17" t="n"/>
      <c r="CA74" s="16" t="n"/>
      <c r="CB74" s="20" t="n"/>
      <c r="CC74" s="20" t="inlineStr">
        <is>
          <t>None</t>
        </is>
      </c>
      <c r="CD74" s="17" t="n"/>
      <c r="CE74" s="16" t="n"/>
      <c r="CF74" s="20" t="n"/>
      <c r="CG74" s="20" t="inlineStr">
        <is>
          <t>None</t>
        </is>
      </c>
      <c r="CH74" s="17" t="n"/>
      <c r="CI74" s="16" t="n"/>
      <c r="CJ74" s="20" t="n"/>
      <c r="CK74" s="20" t="inlineStr">
        <is>
          <t>None</t>
        </is>
      </c>
      <c r="CL74" s="17" t="n"/>
      <c r="CM74" s="16" t="n"/>
      <c r="CN74" s="20" t="inlineStr">
        <is>
          <t>SOP 45-34</t>
        </is>
      </c>
      <c r="CO74" s="20" t="inlineStr">
        <is>
          <t>None</t>
        </is>
      </c>
      <c r="CP74" s="17" t="n"/>
      <c r="CQ74" s="16" t="n"/>
      <c r="CR74" s="20" t="n"/>
      <c r="CS74" s="20" t="inlineStr">
        <is>
          <t>None</t>
        </is>
      </c>
      <c r="CT74" s="17" t="n"/>
      <c r="CU74" s="16" t="n"/>
      <c r="CV74" s="20" t="n"/>
      <c r="CW74" s="20" t="inlineStr">
        <is>
          <t>None</t>
        </is>
      </c>
      <c r="CX74" s="17" t="n"/>
      <c r="CY74" s="16" t="n"/>
      <c r="CZ74" s="20" t="inlineStr">
        <is>
          <t>WTW Multimeter 3430 with FDO 925</t>
        </is>
      </c>
      <c r="DA74" s="20" t="inlineStr">
        <is>
          <t>None</t>
        </is>
      </c>
      <c r="DB74" s="17" t="n"/>
      <c r="DC74" s="16" t="n"/>
      <c r="DD74" s="20" t="n"/>
      <c r="DE74" s="20" t="inlineStr">
        <is>
          <t>None</t>
        </is>
      </c>
      <c r="DF74" s="17" t="n"/>
      <c r="DG74" s="16" t="n"/>
      <c r="DH74" s="20" t="inlineStr">
        <is>
          <t>SOP 45-09</t>
        </is>
      </c>
      <c r="DI74" s="20" t="inlineStr">
        <is>
          <t>None</t>
        </is>
      </c>
      <c r="DJ74" s="17" t="n"/>
      <c r="DK74" s="16" t="n"/>
      <c r="DL74" s="20" t="inlineStr">
        <is>
          <t>SOP 45-09 (SOP muss noch angepasst werden für VSS)</t>
        </is>
      </c>
      <c r="DM74" s="20" t="inlineStr">
        <is>
          <t>None</t>
        </is>
      </c>
      <c r="DN74" s="17" t="n"/>
      <c r="DO74" s="16" t="n"/>
      <c r="DP74" s="20" t="inlineStr">
        <is>
          <t>IC Organic Acids</t>
        </is>
      </c>
      <c r="DQ74" s="20" t="inlineStr">
        <is>
          <t>None</t>
        </is>
      </c>
      <c r="DR74" s="17" t="n"/>
      <c r="DS74" s="16" t="n"/>
      <c r="DT74" s="20" t="inlineStr">
        <is>
          <t>IC Organic Acids</t>
        </is>
      </c>
      <c r="DU74" s="20" t="inlineStr">
        <is>
          <t>None</t>
        </is>
      </c>
      <c r="DV74" s="17" t="n"/>
      <c r="DW74" s="16" t="n"/>
      <c r="DX74" s="20" t="inlineStr">
        <is>
          <t>IC Organic Acids</t>
        </is>
      </c>
      <c r="DY74" s="20" t="inlineStr">
        <is>
          <t>None</t>
        </is>
      </c>
      <c r="DZ74" s="17" t="n"/>
      <c r="EA74" s="16" t="n"/>
      <c r="EB74" s="20" t="inlineStr">
        <is>
          <t>IC Organic Acids</t>
        </is>
      </c>
      <c r="EC74" s="20" t="inlineStr">
        <is>
          <t>None</t>
        </is>
      </c>
      <c r="ED74" s="17" t="n"/>
      <c r="EE74" s="16" t="n"/>
      <c r="EF74" s="20" t="inlineStr">
        <is>
          <t>IC Organic Acids</t>
        </is>
      </c>
      <c r="EG74" s="20" t="inlineStr">
        <is>
          <t>None</t>
        </is>
      </c>
      <c r="EH74" s="17" t="n"/>
      <c r="EI74" s="16" t="n"/>
      <c r="EJ74" s="20" t="inlineStr">
        <is>
          <t>IC Organic Acids</t>
        </is>
      </c>
      <c r="EK74" s="20" t="inlineStr">
        <is>
          <t>None</t>
        </is>
      </c>
      <c r="EL74" s="17" t="n"/>
      <c r="EM74" s="16" t="n"/>
      <c r="EN74" s="20" t="inlineStr">
        <is>
          <t>IC Organic Acids</t>
        </is>
      </c>
      <c r="EO74" s="20" t="inlineStr">
        <is>
          <t>None</t>
        </is>
      </c>
      <c r="EP74" s="17" t="n"/>
      <c r="EQ74" s="16" t="n"/>
      <c r="ER74" s="20" t="inlineStr">
        <is>
          <t>IC Organic Acids</t>
        </is>
      </c>
      <c r="ES74" s="20" t="inlineStr">
        <is>
          <t>None</t>
        </is>
      </c>
      <c r="ET74" s="17" t="n"/>
      <c r="EU74" s="16" t="n"/>
      <c r="EV74" s="20" t="inlineStr">
        <is>
          <t>LC-MS</t>
        </is>
      </c>
      <c r="EW74" s="20" t="inlineStr">
        <is>
          <t>None</t>
        </is>
      </c>
      <c r="EX74" s="17" t="n"/>
      <c r="EY74" s="21" t="n"/>
      <c r="EZ74">
        <f>CONCATENATE(A74,B74)</f>
        <v/>
      </c>
      <c r="FA74">
        <f>CONCATENATE(SamplesX!A74,SamplesX!B74)</f>
        <v/>
      </c>
      <c r="FC74">
        <f>MATCH(EZ74,FA1:FA1008,0)</f>
        <v/>
      </c>
    </row>
    <row r="75">
      <c r="A75" s="16" t="inlineStr">
        <is>
          <t>BP</t>
        </is>
      </c>
      <c r="B75" s="17" t="inlineStr">
        <is>
          <t>25067</t>
        </is>
      </c>
      <c r="C75" s="10">
        <f>IF(ISNUMBER(FC75),INDIRECT("SamplesX!C"&amp;FC75),IF(ISNUMBER(FD75),INDIRECT("SamplesY!C"&amp;FD75),""))</f>
        <v/>
      </c>
      <c r="D75" s="12">
        <f>IF(ISNUMBER(FC75),INDIRECT("SamplesX!D"&amp;FC75),IF(ISNUMBER(FD75),INDIRECT("SamplesY!D"&amp;FD75),""))</f>
        <v/>
      </c>
      <c r="E75" s="12">
        <f>IF(ISNUMBER(FC75),INDIRECT("SamplesX!E"&amp;FC75),IF(ISNUMBER(FD75),INDIRECT("SamplesY!E"&amp;FD75),""))</f>
        <v/>
      </c>
      <c r="F75" s="11">
        <f>IF(ISNUMBER(FC75),INDIRECT("SamplesX!F"&amp;FC75),IF(ISNUMBER(FD75),INDIRECT("SamplesY!F"&amp;FD75),""))</f>
        <v/>
      </c>
      <c r="G75" s="18">
        <f>IF(ISNUMBER(FC75),INDIRECT("SamplesX!G"&amp;FC75),IF(ISNUMBER(FD75),INDIRECT("SamplesY!G"&amp;FD75),""))</f>
        <v/>
      </c>
      <c r="H75" s="19">
        <f>IF(ISNUMBER(FC75),INDIRECT("SamplesX!H"&amp;FC75),IF(ISNUMBER(FD75),INDIRECT("SamplesY!H"&amp;FD75),""))</f>
        <v/>
      </c>
      <c r="I75" s="16" t="n"/>
      <c r="J75" s="16" t="n"/>
      <c r="K75" s="16" t="n"/>
      <c r="L75" s="20" t="n"/>
      <c r="M75" s="20" t="inlineStr">
        <is>
          <t>None</t>
        </is>
      </c>
      <c r="N75" s="17" t="n"/>
      <c r="O75" s="16" t="n"/>
      <c r="P75" s="20" t="inlineStr">
        <is>
          <t>Shimadzu TOC-L</t>
        </is>
      </c>
      <c r="Q75" s="20" t="inlineStr">
        <is>
          <t>None</t>
        </is>
      </c>
      <c r="R75" s="17" t="n"/>
      <c r="S75" s="16" t="n"/>
      <c r="T75" s="20" t="inlineStr">
        <is>
          <t>Shimadzu TOC-L</t>
        </is>
      </c>
      <c r="U75" s="20" t="inlineStr">
        <is>
          <t>None</t>
        </is>
      </c>
      <c r="V75" s="17" t="n"/>
      <c r="W75" s="16" t="n"/>
      <c r="X75" s="20" t="n"/>
      <c r="Y75" s="20" t="inlineStr">
        <is>
          <t>None</t>
        </is>
      </c>
      <c r="Z75" s="17" t="n"/>
      <c r="AA75" s="16" t="n"/>
      <c r="AB75" s="20" t="n"/>
      <c r="AC75" s="20" t="inlineStr">
        <is>
          <t>None</t>
        </is>
      </c>
      <c r="AD75" s="17" t="n"/>
      <c r="AE75" s="16" t="inlineStr">
        <is>
          <t>227</t>
        </is>
      </c>
      <c r="AF75" s="20" t="inlineStr">
        <is>
          <t>IC Anionen</t>
        </is>
      </c>
      <c r="AG75" s="20" t="inlineStr">
        <is>
          <t>None</t>
        </is>
      </c>
      <c r="AH75" s="17" t="n"/>
      <c r="AI75" s="16" t="n"/>
      <c r="AJ75" s="20" t="n"/>
      <c r="AK75" s="20" t="inlineStr">
        <is>
          <t>None</t>
        </is>
      </c>
      <c r="AL75" s="17" t="n"/>
      <c r="AM75" s="16" t="n"/>
      <c r="AN75" s="20" t="inlineStr">
        <is>
          <t>IC Anionen</t>
        </is>
      </c>
      <c r="AO75" s="20" t="inlineStr">
        <is>
          <t>None</t>
        </is>
      </c>
      <c r="AP75" s="17" t="n"/>
      <c r="AQ75" s="16" t="n"/>
      <c r="AR75" s="20" t="n"/>
      <c r="AS75" s="20" t="inlineStr">
        <is>
          <t>None</t>
        </is>
      </c>
      <c r="AT75" s="17" t="n"/>
      <c r="AU75" s="16" t="inlineStr">
        <is>
          <t>21.7</t>
        </is>
      </c>
      <c r="AV75" s="20" t="inlineStr">
        <is>
          <t>IC Anionen</t>
        </is>
      </c>
      <c r="AW75" s="20" t="inlineStr">
        <is>
          <t>None</t>
        </is>
      </c>
      <c r="AX75" s="17" t="n"/>
      <c r="AY75" s="16" t="inlineStr">
        <is>
          <t>&lt;0.80</t>
        </is>
      </c>
      <c r="AZ75" s="20" t="inlineStr">
        <is>
          <t>IC Anionen</t>
        </is>
      </c>
      <c r="BA75" s="20" t="inlineStr">
        <is>
          <t>None</t>
        </is>
      </c>
      <c r="BB75" s="17" t="n"/>
      <c r="BC75" s="16" t="inlineStr">
        <is>
          <t>144</t>
        </is>
      </c>
      <c r="BD75" s="20" t="inlineStr">
        <is>
          <t>IC Kationen</t>
        </is>
      </c>
      <c r="BE75" s="20" t="inlineStr">
        <is>
          <t>None</t>
        </is>
      </c>
      <c r="BF75" s="17" t="n"/>
      <c r="BG75" s="16" t="inlineStr">
        <is>
          <t>&lt;1.60</t>
        </is>
      </c>
      <c r="BH75" s="20" t="inlineStr">
        <is>
          <t>IC Kationen</t>
        </is>
      </c>
      <c r="BI75" s="20" t="inlineStr">
        <is>
          <t>None</t>
        </is>
      </c>
      <c r="BJ75" s="17" t="n"/>
      <c r="BK75" s="16" t="inlineStr">
        <is>
          <t>17.4</t>
        </is>
      </c>
      <c r="BL75" s="20" t="inlineStr">
        <is>
          <t>IC Kationen</t>
        </is>
      </c>
      <c r="BM75" s="20" t="inlineStr">
        <is>
          <t>None</t>
        </is>
      </c>
      <c r="BN75" s="17" t="n"/>
      <c r="BO75" s="16" t="inlineStr">
        <is>
          <t>346</t>
        </is>
      </c>
      <c r="BP75" s="20" t="inlineStr">
        <is>
          <t>IC Kationen</t>
        </is>
      </c>
      <c r="BQ75" s="20" t="inlineStr">
        <is>
          <t>None</t>
        </is>
      </c>
      <c r="BR75" s="17" t="n"/>
      <c r="BS75" s="16" t="inlineStr">
        <is>
          <t>38.3</t>
        </is>
      </c>
      <c r="BT75" s="20" t="inlineStr">
        <is>
          <t>IC Kationen</t>
        </is>
      </c>
      <c r="BU75" s="20" t="inlineStr">
        <is>
          <t>None</t>
        </is>
      </c>
      <c r="BV75" s="17" t="n"/>
      <c r="BW75" s="16" t="n"/>
      <c r="BX75" s="20" t="n"/>
      <c r="BY75" s="20" t="inlineStr">
        <is>
          <t>None</t>
        </is>
      </c>
      <c r="BZ75" s="17" t="n"/>
      <c r="CA75" s="16" t="n"/>
      <c r="CB75" s="20" t="n"/>
      <c r="CC75" s="20" t="inlineStr">
        <is>
          <t>None</t>
        </is>
      </c>
      <c r="CD75" s="17" t="n"/>
      <c r="CE75" s="16" t="n"/>
      <c r="CF75" s="20" t="n"/>
      <c r="CG75" s="20" t="inlineStr">
        <is>
          <t>None</t>
        </is>
      </c>
      <c r="CH75" s="17" t="n"/>
      <c r="CI75" s="16" t="n"/>
      <c r="CJ75" s="20" t="n"/>
      <c r="CK75" s="20" t="inlineStr">
        <is>
          <t>None</t>
        </is>
      </c>
      <c r="CL75" s="17" t="n"/>
      <c r="CM75" s="16" t="n"/>
      <c r="CN75" s="20" t="inlineStr">
        <is>
          <t>SOP 45-34</t>
        </is>
      </c>
      <c r="CO75" s="20" t="inlineStr">
        <is>
          <t>None</t>
        </is>
      </c>
      <c r="CP75" s="17" t="n"/>
      <c r="CQ75" s="16" t="n"/>
      <c r="CR75" s="20" t="n"/>
      <c r="CS75" s="20" t="inlineStr">
        <is>
          <t>None</t>
        </is>
      </c>
      <c r="CT75" s="17" t="n"/>
      <c r="CU75" s="16" t="n"/>
      <c r="CV75" s="20" t="n"/>
      <c r="CW75" s="20" t="inlineStr">
        <is>
          <t>None</t>
        </is>
      </c>
      <c r="CX75" s="17" t="n"/>
      <c r="CY75" s="16" t="n"/>
      <c r="CZ75" s="20" t="inlineStr">
        <is>
          <t>WTW Multimeter 3430 with FDO 925</t>
        </is>
      </c>
      <c r="DA75" s="20" t="inlineStr">
        <is>
          <t>None</t>
        </is>
      </c>
      <c r="DB75" s="17" t="n"/>
      <c r="DC75" s="16" t="n"/>
      <c r="DD75" s="20" t="n"/>
      <c r="DE75" s="20" t="inlineStr">
        <is>
          <t>None</t>
        </is>
      </c>
      <c r="DF75" s="17" t="n"/>
      <c r="DG75" s="16" t="n"/>
      <c r="DH75" s="20" t="inlineStr">
        <is>
          <t>SOP 45-09</t>
        </is>
      </c>
      <c r="DI75" s="20" t="inlineStr">
        <is>
          <t>None</t>
        </is>
      </c>
      <c r="DJ75" s="17" t="n"/>
      <c r="DK75" s="16" t="n"/>
      <c r="DL75" s="20" t="inlineStr">
        <is>
          <t>SOP 45-09 (SOP muss noch angepasst werden für VSS)</t>
        </is>
      </c>
      <c r="DM75" s="20" t="inlineStr">
        <is>
          <t>None</t>
        </is>
      </c>
      <c r="DN75" s="17" t="n"/>
      <c r="DO75" s="16" t="n"/>
      <c r="DP75" s="20" t="inlineStr">
        <is>
          <t>IC Organic Acids</t>
        </is>
      </c>
      <c r="DQ75" s="20" t="inlineStr">
        <is>
          <t>None</t>
        </is>
      </c>
      <c r="DR75" s="17" t="n"/>
      <c r="DS75" s="16" t="n"/>
      <c r="DT75" s="20" t="inlineStr">
        <is>
          <t>IC Organic Acids</t>
        </is>
      </c>
      <c r="DU75" s="20" t="inlineStr">
        <is>
          <t>None</t>
        </is>
      </c>
      <c r="DV75" s="17" t="n"/>
      <c r="DW75" s="16" t="n"/>
      <c r="DX75" s="20" t="inlineStr">
        <is>
          <t>IC Organic Acids</t>
        </is>
      </c>
      <c r="DY75" s="20" t="inlineStr">
        <is>
          <t>None</t>
        </is>
      </c>
      <c r="DZ75" s="17" t="n"/>
      <c r="EA75" s="16" t="n"/>
      <c r="EB75" s="20" t="inlineStr">
        <is>
          <t>IC Organic Acids</t>
        </is>
      </c>
      <c r="EC75" s="20" t="inlineStr">
        <is>
          <t>None</t>
        </is>
      </c>
      <c r="ED75" s="17" t="n"/>
      <c r="EE75" s="16" t="n"/>
      <c r="EF75" s="20" t="inlineStr">
        <is>
          <t>IC Organic Acids</t>
        </is>
      </c>
      <c r="EG75" s="20" t="inlineStr">
        <is>
          <t>None</t>
        </is>
      </c>
      <c r="EH75" s="17" t="n"/>
      <c r="EI75" s="16" t="n"/>
      <c r="EJ75" s="20" t="inlineStr">
        <is>
          <t>IC Organic Acids</t>
        </is>
      </c>
      <c r="EK75" s="20" t="inlineStr">
        <is>
          <t>None</t>
        </is>
      </c>
      <c r="EL75" s="17" t="n"/>
      <c r="EM75" s="16" t="n"/>
      <c r="EN75" s="20" t="inlineStr">
        <is>
          <t>IC Organic Acids</t>
        </is>
      </c>
      <c r="EO75" s="20" t="inlineStr">
        <is>
          <t>None</t>
        </is>
      </c>
      <c r="EP75" s="17" t="n"/>
      <c r="EQ75" s="16" t="n"/>
      <c r="ER75" s="20" t="inlineStr">
        <is>
          <t>IC Organic Acids</t>
        </is>
      </c>
      <c r="ES75" s="20" t="inlineStr">
        <is>
          <t>None</t>
        </is>
      </c>
      <c r="ET75" s="17" t="n"/>
      <c r="EU75" s="16" t="n"/>
      <c r="EV75" s="20" t="inlineStr">
        <is>
          <t>LC-MS</t>
        </is>
      </c>
      <c r="EW75" s="20" t="inlineStr">
        <is>
          <t>None</t>
        </is>
      </c>
      <c r="EX75" s="17" t="n"/>
      <c r="EY75" s="21" t="n"/>
      <c r="EZ75">
        <f>CONCATENATE(A75,B75)</f>
        <v/>
      </c>
      <c r="FA75">
        <f>CONCATENATE(SamplesX!A75,SamplesX!B75)</f>
        <v/>
      </c>
      <c r="FC75">
        <f>MATCH(EZ75,FA1:FA1008,0)</f>
        <v/>
      </c>
    </row>
    <row r="76">
      <c r="A76" s="16" t="inlineStr">
        <is>
          <t>BP</t>
        </is>
      </c>
      <c r="B76" s="17" t="inlineStr">
        <is>
          <t>25068</t>
        </is>
      </c>
      <c r="C76" s="10">
        <f>IF(ISNUMBER(FC76),INDIRECT("SamplesX!C"&amp;FC76),IF(ISNUMBER(FD76),INDIRECT("SamplesY!C"&amp;FD76),""))</f>
        <v/>
      </c>
      <c r="D76" s="12">
        <f>IF(ISNUMBER(FC76),INDIRECT("SamplesX!D"&amp;FC76),IF(ISNUMBER(FD76),INDIRECT("SamplesY!D"&amp;FD76),""))</f>
        <v/>
      </c>
      <c r="E76" s="12">
        <f>IF(ISNUMBER(FC76),INDIRECT("SamplesX!E"&amp;FC76),IF(ISNUMBER(FD76),INDIRECT("SamplesY!E"&amp;FD76),""))</f>
        <v/>
      </c>
      <c r="F76" s="11">
        <f>IF(ISNUMBER(FC76),INDIRECT("SamplesX!F"&amp;FC76),IF(ISNUMBER(FD76),INDIRECT("SamplesY!F"&amp;FD76),""))</f>
        <v/>
      </c>
      <c r="G76" s="18">
        <f>IF(ISNUMBER(FC76),INDIRECT("SamplesX!G"&amp;FC76),IF(ISNUMBER(FD76),INDIRECT("SamplesY!G"&amp;FD76),""))</f>
        <v/>
      </c>
      <c r="H76" s="19">
        <f>IF(ISNUMBER(FC76),INDIRECT("SamplesX!H"&amp;FC76),IF(ISNUMBER(FD76),INDIRECT("SamplesY!H"&amp;FD76),""))</f>
        <v/>
      </c>
      <c r="I76" s="16" t="n"/>
      <c r="J76" s="16" t="n"/>
      <c r="K76" s="16" t="n"/>
      <c r="L76" s="20" t="n"/>
      <c r="M76" s="20" t="inlineStr">
        <is>
          <t>None</t>
        </is>
      </c>
      <c r="N76" s="17" t="n"/>
      <c r="O76" s="16" t="n"/>
      <c r="P76" s="20" t="inlineStr">
        <is>
          <t>Shimadzu TOC-L</t>
        </is>
      </c>
      <c r="Q76" s="20" t="inlineStr">
        <is>
          <t>None</t>
        </is>
      </c>
      <c r="R76" s="17" t="n"/>
      <c r="S76" s="16" t="n"/>
      <c r="T76" s="20" t="inlineStr">
        <is>
          <t>Shimadzu TOC-L</t>
        </is>
      </c>
      <c r="U76" s="20" t="inlineStr">
        <is>
          <t>None</t>
        </is>
      </c>
      <c r="V76" s="17" t="n"/>
      <c r="W76" s="16" t="n"/>
      <c r="X76" s="20" t="n"/>
      <c r="Y76" s="20" t="inlineStr">
        <is>
          <t>None</t>
        </is>
      </c>
      <c r="Z76" s="17" t="n"/>
      <c r="AA76" s="16" t="n"/>
      <c r="AB76" s="20" t="n"/>
      <c r="AC76" s="20" t="inlineStr">
        <is>
          <t>None</t>
        </is>
      </c>
      <c r="AD76" s="17" t="n"/>
      <c r="AE76" s="16" t="inlineStr">
        <is>
          <t>236</t>
        </is>
      </c>
      <c r="AF76" s="20" t="inlineStr">
        <is>
          <t>IC Anionen</t>
        </is>
      </c>
      <c r="AG76" s="20" t="inlineStr">
        <is>
          <t>None</t>
        </is>
      </c>
      <c r="AH76" s="17" t="n"/>
      <c r="AI76" s="16" t="n"/>
      <c r="AJ76" s="20" t="n"/>
      <c r="AK76" s="20" t="inlineStr">
        <is>
          <t>None</t>
        </is>
      </c>
      <c r="AL76" s="17" t="n"/>
      <c r="AM76" s="16" t="n"/>
      <c r="AN76" s="20" t="inlineStr">
        <is>
          <t>IC Anionen</t>
        </is>
      </c>
      <c r="AO76" s="20" t="inlineStr">
        <is>
          <t>None</t>
        </is>
      </c>
      <c r="AP76" s="17" t="n"/>
      <c r="AQ76" s="16" t="n"/>
      <c r="AR76" s="20" t="n"/>
      <c r="AS76" s="20" t="inlineStr">
        <is>
          <t>None</t>
        </is>
      </c>
      <c r="AT76" s="17" t="n"/>
      <c r="AU76" s="16" t="inlineStr">
        <is>
          <t>25.1</t>
        </is>
      </c>
      <c r="AV76" s="20" t="inlineStr">
        <is>
          <t>IC Anionen</t>
        </is>
      </c>
      <c r="AW76" s="20" t="inlineStr">
        <is>
          <t>None</t>
        </is>
      </c>
      <c r="AX76" s="17" t="n"/>
      <c r="AY76" s="16" t="inlineStr">
        <is>
          <t>&lt;0.80</t>
        </is>
      </c>
      <c r="AZ76" s="20" t="inlineStr">
        <is>
          <t>IC Anionen</t>
        </is>
      </c>
      <c r="BA76" s="20" t="inlineStr">
        <is>
          <t>None</t>
        </is>
      </c>
      <c r="BB76" s="17" t="n"/>
      <c r="BC76" s="16" t="inlineStr">
        <is>
          <t>146</t>
        </is>
      </c>
      <c r="BD76" s="20" t="inlineStr">
        <is>
          <t>IC Kationen</t>
        </is>
      </c>
      <c r="BE76" s="20" t="inlineStr">
        <is>
          <t>None</t>
        </is>
      </c>
      <c r="BF76" s="17" t="n"/>
      <c r="BG76" s="16" t="inlineStr">
        <is>
          <t>8.21</t>
        </is>
      </c>
      <c r="BH76" s="20" t="inlineStr">
        <is>
          <t>IC Kationen</t>
        </is>
      </c>
      <c r="BI76" s="20" t="inlineStr">
        <is>
          <t>None</t>
        </is>
      </c>
      <c r="BJ76" s="17" t="n"/>
      <c r="BK76" s="16" t="inlineStr">
        <is>
          <t>19.8</t>
        </is>
      </c>
      <c r="BL76" s="20" t="inlineStr">
        <is>
          <t>IC Kationen</t>
        </is>
      </c>
      <c r="BM76" s="20" t="inlineStr">
        <is>
          <t>None</t>
        </is>
      </c>
      <c r="BN76" s="17" t="n"/>
      <c r="BO76" s="16" t="inlineStr">
        <is>
          <t>346</t>
        </is>
      </c>
      <c r="BP76" s="20" t="inlineStr">
        <is>
          <t>IC Kationen</t>
        </is>
      </c>
      <c r="BQ76" s="20" t="inlineStr">
        <is>
          <t>None</t>
        </is>
      </c>
      <c r="BR76" s="17" t="n"/>
      <c r="BS76" s="16" t="inlineStr">
        <is>
          <t>38.3</t>
        </is>
      </c>
      <c r="BT76" s="20" t="inlineStr">
        <is>
          <t>IC Kationen</t>
        </is>
      </c>
      <c r="BU76" s="20" t="inlineStr">
        <is>
          <t>None</t>
        </is>
      </c>
      <c r="BV76" s="17" t="n"/>
      <c r="BW76" s="16" t="n"/>
      <c r="BX76" s="20" t="n"/>
      <c r="BY76" s="20" t="inlineStr">
        <is>
          <t>None</t>
        </is>
      </c>
      <c r="BZ76" s="17" t="n"/>
      <c r="CA76" s="16" t="n"/>
      <c r="CB76" s="20" t="n"/>
      <c r="CC76" s="20" t="inlineStr">
        <is>
          <t>None</t>
        </is>
      </c>
      <c r="CD76" s="17" t="n"/>
      <c r="CE76" s="16" t="n"/>
      <c r="CF76" s="20" t="n"/>
      <c r="CG76" s="20" t="inlineStr">
        <is>
          <t>None</t>
        </is>
      </c>
      <c r="CH76" s="17" t="n"/>
      <c r="CI76" s="16" t="n"/>
      <c r="CJ76" s="20" t="n"/>
      <c r="CK76" s="20" t="inlineStr">
        <is>
          <t>None</t>
        </is>
      </c>
      <c r="CL76" s="17" t="n"/>
      <c r="CM76" s="16" t="n"/>
      <c r="CN76" s="20" t="inlineStr">
        <is>
          <t>SOP 45-34</t>
        </is>
      </c>
      <c r="CO76" s="20" t="inlineStr">
        <is>
          <t>None</t>
        </is>
      </c>
      <c r="CP76" s="17" t="n"/>
      <c r="CQ76" s="16" t="n"/>
      <c r="CR76" s="20" t="n"/>
      <c r="CS76" s="20" t="inlineStr">
        <is>
          <t>None</t>
        </is>
      </c>
      <c r="CT76" s="17" t="n"/>
      <c r="CU76" s="16" t="n"/>
      <c r="CV76" s="20" t="n"/>
      <c r="CW76" s="20" t="inlineStr">
        <is>
          <t>None</t>
        </is>
      </c>
      <c r="CX76" s="17" t="n"/>
      <c r="CY76" s="16" t="n"/>
      <c r="CZ76" s="20" t="inlineStr">
        <is>
          <t>WTW Multimeter 3430 with FDO 925</t>
        </is>
      </c>
      <c r="DA76" s="20" t="inlineStr">
        <is>
          <t>None</t>
        </is>
      </c>
      <c r="DB76" s="17" t="n"/>
      <c r="DC76" s="16" t="n"/>
      <c r="DD76" s="20" t="n"/>
      <c r="DE76" s="20" t="inlineStr">
        <is>
          <t>None</t>
        </is>
      </c>
      <c r="DF76" s="17" t="n"/>
      <c r="DG76" s="16" t="n"/>
      <c r="DH76" s="20" t="inlineStr">
        <is>
          <t>SOP 45-09</t>
        </is>
      </c>
      <c r="DI76" s="20" t="inlineStr">
        <is>
          <t>None</t>
        </is>
      </c>
      <c r="DJ76" s="17" t="n"/>
      <c r="DK76" s="16" t="n"/>
      <c r="DL76" s="20" t="inlineStr">
        <is>
          <t>SOP 45-09 (SOP muss noch angepasst werden für VSS)</t>
        </is>
      </c>
      <c r="DM76" s="20" t="inlineStr">
        <is>
          <t>None</t>
        </is>
      </c>
      <c r="DN76" s="17" t="n"/>
      <c r="DO76" s="16" t="n"/>
      <c r="DP76" s="20" t="inlineStr">
        <is>
          <t>IC Organic Acids</t>
        </is>
      </c>
      <c r="DQ76" s="20" t="inlineStr">
        <is>
          <t>None</t>
        </is>
      </c>
      <c r="DR76" s="17" t="n"/>
      <c r="DS76" s="16" t="n"/>
      <c r="DT76" s="20" t="inlineStr">
        <is>
          <t>IC Organic Acids</t>
        </is>
      </c>
      <c r="DU76" s="20" t="inlineStr">
        <is>
          <t>None</t>
        </is>
      </c>
      <c r="DV76" s="17" t="n"/>
      <c r="DW76" s="16" t="n"/>
      <c r="DX76" s="20" t="inlineStr">
        <is>
          <t>IC Organic Acids</t>
        </is>
      </c>
      <c r="DY76" s="20" t="inlineStr">
        <is>
          <t>None</t>
        </is>
      </c>
      <c r="DZ76" s="17" t="n"/>
      <c r="EA76" s="16" t="n"/>
      <c r="EB76" s="20" t="inlineStr">
        <is>
          <t>IC Organic Acids</t>
        </is>
      </c>
      <c r="EC76" s="20" t="inlineStr">
        <is>
          <t>None</t>
        </is>
      </c>
      <c r="ED76" s="17" t="n"/>
      <c r="EE76" s="16" t="n"/>
      <c r="EF76" s="20" t="inlineStr">
        <is>
          <t>IC Organic Acids</t>
        </is>
      </c>
      <c r="EG76" s="20" t="inlineStr">
        <is>
          <t>None</t>
        </is>
      </c>
      <c r="EH76" s="17" t="n"/>
      <c r="EI76" s="16" t="n"/>
      <c r="EJ76" s="20" t="inlineStr">
        <is>
          <t>IC Organic Acids</t>
        </is>
      </c>
      <c r="EK76" s="20" t="inlineStr">
        <is>
          <t>None</t>
        </is>
      </c>
      <c r="EL76" s="17" t="n"/>
      <c r="EM76" s="16" t="n"/>
      <c r="EN76" s="20" t="inlineStr">
        <is>
          <t>IC Organic Acids</t>
        </is>
      </c>
      <c r="EO76" s="20" t="inlineStr">
        <is>
          <t>None</t>
        </is>
      </c>
      <c r="EP76" s="17" t="n"/>
      <c r="EQ76" s="16" t="n"/>
      <c r="ER76" s="20" t="inlineStr">
        <is>
          <t>IC Organic Acids</t>
        </is>
      </c>
      <c r="ES76" s="20" t="inlineStr">
        <is>
          <t>None</t>
        </is>
      </c>
      <c r="ET76" s="17" t="n"/>
      <c r="EU76" s="16" t="n"/>
      <c r="EV76" s="20" t="inlineStr">
        <is>
          <t>LC-MS</t>
        </is>
      </c>
      <c r="EW76" s="20" t="inlineStr">
        <is>
          <t>None</t>
        </is>
      </c>
      <c r="EX76" s="17" t="n"/>
      <c r="EY76" s="21" t="n"/>
      <c r="EZ76">
        <f>CONCATENATE(A76,B76)</f>
        <v/>
      </c>
      <c r="FA76">
        <f>CONCATENATE(SamplesX!A76,SamplesX!B76)</f>
        <v/>
      </c>
      <c r="FC76">
        <f>MATCH(EZ76,FA1:FA1008,0)</f>
        <v/>
      </c>
    </row>
    <row r="77">
      <c r="A77" s="16" t="inlineStr">
        <is>
          <t>BP</t>
        </is>
      </c>
      <c r="B77" s="17" t="inlineStr">
        <is>
          <t>25069</t>
        </is>
      </c>
      <c r="C77" s="10">
        <f>IF(ISNUMBER(FC77),INDIRECT("SamplesX!C"&amp;FC77),IF(ISNUMBER(FD77),INDIRECT("SamplesY!C"&amp;FD77),""))</f>
        <v/>
      </c>
      <c r="D77" s="12">
        <f>IF(ISNUMBER(FC77),INDIRECT("SamplesX!D"&amp;FC77),IF(ISNUMBER(FD77),INDIRECT("SamplesY!D"&amp;FD77),""))</f>
        <v/>
      </c>
      <c r="E77" s="12">
        <f>IF(ISNUMBER(FC77),INDIRECT("SamplesX!E"&amp;FC77),IF(ISNUMBER(FD77),INDIRECT("SamplesY!E"&amp;FD77),""))</f>
        <v/>
      </c>
      <c r="F77" s="11">
        <f>IF(ISNUMBER(FC77),INDIRECT("SamplesX!F"&amp;FC77),IF(ISNUMBER(FD77),INDIRECT("SamplesY!F"&amp;FD77),""))</f>
        <v/>
      </c>
      <c r="G77" s="18">
        <f>IF(ISNUMBER(FC77),INDIRECT("SamplesX!G"&amp;FC77),IF(ISNUMBER(FD77),INDIRECT("SamplesY!G"&amp;FD77),""))</f>
        <v/>
      </c>
      <c r="H77" s="19">
        <f>IF(ISNUMBER(FC77),INDIRECT("SamplesX!H"&amp;FC77),IF(ISNUMBER(FD77),INDIRECT("SamplesY!H"&amp;FD77),""))</f>
        <v/>
      </c>
      <c r="I77" s="16" t="n"/>
      <c r="J77" s="16" t="n"/>
      <c r="K77" s="16" t="n"/>
      <c r="L77" s="20" t="n"/>
      <c r="M77" s="20" t="inlineStr">
        <is>
          <t>None</t>
        </is>
      </c>
      <c r="N77" s="17" t="n"/>
      <c r="O77" s="16" t="n"/>
      <c r="P77" s="20" t="inlineStr">
        <is>
          <t>Shimadzu TOC-L</t>
        </is>
      </c>
      <c r="Q77" s="20" t="inlineStr">
        <is>
          <t>None</t>
        </is>
      </c>
      <c r="R77" s="17" t="n"/>
      <c r="S77" s="16" t="n"/>
      <c r="T77" s="20" t="inlineStr">
        <is>
          <t>Shimadzu TOC-L</t>
        </is>
      </c>
      <c r="U77" s="20" t="inlineStr">
        <is>
          <t>None</t>
        </is>
      </c>
      <c r="V77" s="17" t="n"/>
      <c r="W77" s="16" t="n"/>
      <c r="X77" s="20" t="n"/>
      <c r="Y77" s="20" t="inlineStr">
        <is>
          <t>None</t>
        </is>
      </c>
      <c r="Z77" s="17" t="n"/>
      <c r="AA77" s="16" t="n"/>
      <c r="AB77" s="20" t="n"/>
      <c r="AC77" s="20" t="inlineStr">
        <is>
          <t>None</t>
        </is>
      </c>
      <c r="AD77" s="17" t="n"/>
      <c r="AE77" s="16" t="inlineStr">
        <is>
          <t>307</t>
        </is>
      </c>
      <c r="AF77" s="20" t="inlineStr">
        <is>
          <t>IC Anionen</t>
        </is>
      </c>
      <c r="AG77" s="20" t="inlineStr">
        <is>
          <t>None</t>
        </is>
      </c>
      <c r="AH77" s="17" t="n"/>
      <c r="AI77" s="16" t="n"/>
      <c r="AJ77" s="20" t="n"/>
      <c r="AK77" s="20" t="inlineStr">
        <is>
          <t>None</t>
        </is>
      </c>
      <c r="AL77" s="17" t="n"/>
      <c r="AM77" s="16" t="n"/>
      <c r="AN77" s="20" t="inlineStr">
        <is>
          <t>IC Anionen</t>
        </is>
      </c>
      <c r="AO77" s="20" t="inlineStr">
        <is>
          <t>None</t>
        </is>
      </c>
      <c r="AP77" s="17" t="n"/>
      <c r="AQ77" s="16" t="n"/>
      <c r="AR77" s="20" t="n"/>
      <c r="AS77" s="20" t="inlineStr">
        <is>
          <t>None</t>
        </is>
      </c>
      <c r="AT77" s="17" t="n"/>
      <c r="AU77" s="16" t="inlineStr">
        <is>
          <t>5.03</t>
        </is>
      </c>
      <c r="AV77" s="20" t="inlineStr">
        <is>
          <t>IC Anionen</t>
        </is>
      </c>
      <c r="AW77" s="20" t="inlineStr">
        <is>
          <t>None</t>
        </is>
      </c>
      <c r="AX77" s="17" t="n"/>
      <c r="AY77" s="16" t="inlineStr">
        <is>
          <t>&lt;0.80</t>
        </is>
      </c>
      <c r="AZ77" s="20" t="inlineStr">
        <is>
          <t>IC Anionen</t>
        </is>
      </c>
      <c r="BA77" s="20" t="inlineStr">
        <is>
          <t>None</t>
        </is>
      </c>
      <c r="BB77" s="17" t="n"/>
      <c r="BC77" s="16" t="inlineStr">
        <is>
          <t>134</t>
        </is>
      </c>
      <c r="BD77" s="20" t="inlineStr">
        <is>
          <t>IC Kationen</t>
        </is>
      </c>
      <c r="BE77" s="20" t="inlineStr">
        <is>
          <t>None</t>
        </is>
      </c>
      <c r="BF77" s="17" t="n"/>
      <c r="BG77" s="16" t="inlineStr">
        <is>
          <t>3.45</t>
        </is>
      </c>
      <c r="BH77" s="20" t="inlineStr">
        <is>
          <t>IC Kationen</t>
        </is>
      </c>
      <c r="BI77" s="20" t="inlineStr">
        <is>
          <t>None</t>
        </is>
      </c>
      <c r="BJ77" s="17" t="n"/>
      <c r="BK77" s="16" t="inlineStr">
        <is>
          <t>17.0</t>
        </is>
      </c>
      <c r="BL77" s="20" t="inlineStr">
        <is>
          <t>IC Kationen</t>
        </is>
      </c>
      <c r="BM77" s="20" t="inlineStr">
        <is>
          <t>None</t>
        </is>
      </c>
      <c r="BN77" s="17" t="n"/>
      <c r="BO77" s="16" t="inlineStr">
        <is>
          <t>319</t>
        </is>
      </c>
      <c r="BP77" s="20" t="inlineStr">
        <is>
          <t>IC Kationen</t>
        </is>
      </c>
      <c r="BQ77" s="20" t="inlineStr">
        <is>
          <t>None</t>
        </is>
      </c>
      <c r="BR77" s="17" t="n"/>
      <c r="BS77" s="16" t="inlineStr">
        <is>
          <t>35.8</t>
        </is>
      </c>
      <c r="BT77" s="20" t="inlineStr">
        <is>
          <t>IC Kationen</t>
        </is>
      </c>
      <c r="BU77" s="20" t="inlineStr">
        <is>
          <t>None</t>
        </is>
      </c>
      <c r="BV77" s="17" t="n"/>
      <c r="BW77" s="16" t="n"/>
      <c r="BX77" s="20" t="n"/>
      <c r="BY77" s="20" t="inlineStr">
        <is>
          <t>None</t>
        </is>
      </c>
      <c r="BZ77" s="17" t="n"/>
      <c r="CA77" s="16" t="n"/>
      <c r="CB77" s="20" t="n"/>
      <c r="CC77" s="20" t="inlineStr">
        <is>
          <t>None</t>
        </is>
      </c>
      <c r="CD77" s="17" t="n"/>
      <c r="CE77" s="16" t="n"/>
      <c r="CF77" s="20" t="n"/>
      <c r="CG77" s="20" t="inlineStr">
        <is>
          <t>None</t>
        </is>
      </c>
      <c r="CH77" s="17" t="n"/>
      <c r="CI77" s="16" t="n"/>
      <c r="CJ77" s="20" t="n"/>
      <c r="CK77" s="20" t="inlineStr">
        <is>
          <t>None</t>
        </is>
      </c>
      <c r="CL77" s="17" t="n"/>
      <c r="CM77" s="16" t="n"/>
      <c r="CN77" s="20" t="inlineStr">
        <is>
          <t>SOP 45-34</t>
        </is>
      </c>
      <c r="CO77" s="20" t="inlineStr">
        <is>
          <t>None</t>
        </is>
      </c>
      <c r="CP77" s="17" t="n"/>
      <c r="CQ77" s="16" t="n"/>
      <c r="CR77" s="20" t="n"/>
      <c r="CS77" s="20" t="inlineStr">
        <is>
          <t>None</t>
        </is>
      </c>
      <c r="CT77" s="17" t="n"/>
      <c r="CU77" s="16" t="n"/>
      <c r="CV77" s="20" t="n"/>
      <c r="CW77" s="20" t="inlineStr">
        <is>
          <t>None</t>
        </is>
      </c>
      <c r="CX77" s="17" t="n"/>
      <c r="CY77" s="16" t="n"/>
      <c r="CZ77" s="20" t="inlineStr">
        <is>
          <t>WTW Multimeter 3430 with FDO 925</t>
        </is>
      </c>
      <c r="DA77" s="20" t="inlineStr">
        <is>
          <t>None</t>
        </is>
      </c>
      <c r="DB77" s="17" t="n"/>
      <c r="DC77" s="16" t="n"/>
      <c r="DD77" s="20" t="n"/>
      <c r="DE77" s="20" t="inlineStr">
        <is>
          <t>None</t>
        </is>
      </c>
      <c r="DF77" s="17" t="n"/>
      <c r="DG77" s="16" t="n"/>
      <c r="DH77" s="20" t="inlineStr">
        <is>
          <t>SOP 45-09</t>
        </is>
      </c>
      <c r="DI77" s="20" t="inlineStr">
        <is>
          <t>None</t>
        </is>
      </c>
      <c r="DJ77" s="17" t="n"/>
      <c r="DK77" s="16" t="n"/>
      <c r="DL77" s="20" t="inlineStr">
        <is>
          <t>SOP 45-09 (SOP muss noch angepasst werden für VSS)</t>
        </is>
      </c>
      <c r="DM77" s="20" t="inlineStr">
        <is>
          <t>None</t>
        </is>
      </c>
      <c r="DN77" s="17" t="n"/>
      <c r="DO77" s="16" t="n"/>
      <c r="DP77" s="20" t="inlineStr">
        <is>
          <t>IC Organic Acids</t>
        </is>
      </c>
      <c r="DQ77" s="20" t="inlineStr">
        <is>
          <t>None</t>
        </is>
      </c>
      <c r="DR77" s="17" t="n"/>
      <c r="DS77" s="16" t="n"/>
      <c r="DT77" s="20" t="inlineStr">
        <is>
          <t>IC Organic Acids</t>
        </is>
      </c>
      <c r="DU77" s="20" t="inlineStr">
        <is>
          <t>None</t>
        </is>
      </c>
      <c r="DV77" s="17" t="n"/>
      <c r="DW77" s="16" t="n"/>
      <c r="DX77" s="20" t="inlineStr">
        <is>
          <t>IC Organic Acids</t>
        </is>
      </c>
      <c r="DY77" s="20" t="inlineStr">
        <is>
          <t>None</t>
        </is>
      </c>
      <c r="DZ77" s="17" t="n"/>
      <c r="EA77" s="16" t="n"/>
      <c r="EB77" s="20" t="inlineStr">
        <is>
          <t>IC Organic Acids</t>
        </is>
      </c>
      <c r="EC77" s="20" t="inlineStr">
        <is>
          <t>None</t>
        </is>
      </c>
      <c r="ED77" s="17" t="n"/>
      <c r="EE77" s="16" t="n"/>
      <c r="EF77" s="20" t="inlineStr">
        <is>
          <t>IC Organic Acids</t>
        </is>
      </c>
      <c r="EG77" s="20" t="inlineStr">
        <is>
          <t>None</t>
        </is>
      </c>
      <c r="EH77" s="17" t="n"/>
      <c r="EI77" s="16" t="n"/>
      <c r="EJ77" s="20" t="inlineStr">
        <is>
          <t>IC Organic Acids</t>
        </is>
      </c>
      <c r="EK77" s="20" t="inlineStr">
        <is>
          <t>None</t>
        </is>
      </c>
      <c r="EL77" s="17" t="n"/>
      <c r="EM77" s="16" t="n"/>
      <c r="EN77" s="20" t="inlineStr">
        <is>
          <t>IC Organic Acids</t>
        </is>
      </c>
      <c r="EO77" s="20" t="inlineStr">
        <is>
          <t>None</t>
        </is>
      </c>
      <c r="EP77" s="17" t="n"/>
      <c r="EQ77" s="16" t="n"/>
      <c r="ER77" s="20" t="inlineStr">
        <is>
          <t>IC Organic Acids</t>
        </is>
      </c>
      <c r="ES77" s="20" t="inlineStr">
        <is>
          <t>None</t>
        </is>
      </c>
      <c r="ET77" s="17" t="n"/>
      <c r="EU77" s="16" t="n"/>
      <c r="EV77" s="20" t="inlineStr">
        <is>
          <t>LC-MS</t>
        </is>
      </c>
      <c r="EW77" s="20" t="inlineStr">
        <is>
          <t>None</t>
        </is>
      </c>
      <c r="EX77" s="17" t="n"/>
      <c r="EY77" s="21" t="n"/>
      <c r="EZ77">
        <f>CONCATENATE(A77,B77)</f>
        <v/>
      </c>
      <c r="FA77">
        <f>CONCATENATE(SamplesX!A77,SamplesX!B77)</f>
        <v/>
      </c>
      <c r="FC77">
        <f>MATCH(EZ77,FA1:FA1008,0)</f>
        <v/>
      </c>
    </row>
    <row r="78">
      <c r="A78" s="16" t="inlineStr">
        <is>
          <t>BP</t>
        </is>
      </c>
      <c r="B78" s="17" t="inlineStr">
        <is>
          <t>25070</t>
        </is>
      </c>
      <c r="C78" s="10">
        <f>IF(ISNUMBER(FC78),INDIRECT("SamplesX!C"&amp;FC78),IF(ISNUMBER(FD78),INDIRECT("SamplesY!C"&amp;FD78),""))</f>
        <v/>
      </c>
      <c r="D78" s="12">
        <f>IF(ISNUMBER(FC78),INDIRECT("SamplesX!D"&amp;FC78),IF(ISNUMBER(FD78),INDIRECT("SamplesY!D"&amp;FD78),""))</f>
        <v/>
      </c>
      <c r="E78" s="12">
        <f>IF(ISNUMBER(FC78),INDIRECT("SamplesX!E"&amp;FC78),IF(ISNUMBER(FD78),INDIRECT("SamplesY!E"&amp;FD78),""))</f>
        <v/>
      </c>
      <c r="F78" s="11">
        <f>IF(ISNUMBER(FC78),INDIRECT("SamplesX!F"&amp;FC78),IF(ISNUMBER(FD78),INDIRECT("SamplesY!F"&amp;FD78),""))</f>
        <v/>
      </c>
      <c r="G78" s="18">
        <f>IF(ISNUMBER(FC78),INDIRECT("SamplesX!G"&amp;FC78),IF(ISNUMBER(FD78),INDIRECT("SamplesY!G"&amp;FD78),""))</f>
        <v/>
      </c>
      <c r="H78" s="19">
        <f>IF(ISNUMBER(FC78),INDIRECT("SamplesX!H"&amp;FC78),IF(ISNUMBER(FD78),INDIRECT("SamplesY!H"&amp;FD78),""))</f>
        <v/>
      </c>
      <c r="I78" s="16" t="n"/>
      <c r="J78" s="16" t="n"/>
      <c r="K78" s="16" t="n"/>
      <c r="L78" s="20" t="n"/>
      <c r="M78" s="20" t="inlineStr">
        <is>
          <t>None</t>
        </is>
      </c>
      <c r="N78" s="17" t="n"/>
      <c r="O78" s="16" t="n"/>
      <c r="P78" s="20" t="inlineStr">
        <is>
          <t>Shimadzu TOC-L</t>
        </is>
      </c>
      <c r="Q78" s="20" t="inlineStr">
        <is>
          <t>None</t>
        </is>
      </c>
      <c r="R78" s="17" t="n"/>
      <c r="S78" s="16" t="n"/>
      <c r="T78" s="20" t="inlineStr">
        <is>
          <t>Shimadzu TOC-L</t>
        </is>
      </c>
      <c r="U78" s="20" t="inlineStr">
        <is>
          <t>None</t>
        </is>
      </c>
      <c r="V78" s="17" t="n"/>
      <c r="W78" s="16" t="n"/>
      <c r="X78" s="20" t="n"/>
      <c r="Y78" s="20" t="inlineStr">
        <is>
          <t>None</t>
        </is>
      </c>
      <c r="Z78" s="17" t="n"/>
      <c r="AA78" s="16" t="n"/>
      <c r="AB78" s="20" t="n"/>
      <c r="AC78" s="20" t="inlineStr">
        <is>
          <t>None</t>
        </is>
      </c>
      <c r="AD78" s="17" t="n"/>
      <c r="AE78" s="16" t="inlineStr">
        <is>
          <t>295</t>
        </is>
      </c>
      <c r="AF78" s="20" t="inlineStr">
        <is>
          <t>IC Anionen</t>
        </is>
      </c>
      <c r="AG78" s="20" t="inlineStr">
        <is>
          <t>None</t>
        </is>
      </c>
      <c r="AH78" s="17" t="n"/>
      <c r="AI78" s="16" t="n"/>
      <c r="AJ78" s="20" t="n"/>
      <c r="AK78" s="20" t="inlineStr">
        <is>
          <t>None</t>
        </is>
      </c>
      <c r="AL78" s="17" t="n"/>
      <c r="AM78" s="16" t="n"/>
      <c r="AN78" s="20" t="inlineStr">
        <is>
          <t>IC Anionen</t>
        </is>
      </c>
      <c r="AO78" s="20" t="inlineStr">
        <is>
          <t>None</t>
        </is>
      </c>
      <c r="AP78" s="17" t="n"/>
      <c r="AQ78" s="16" t="n"/>
      <c r="AR78" s="20" t="n"/>
      <c r="AS78" s="20" t="inlineStr">
        <is>
          <t>None</t>
        </is>
      </c>
      <c r="AT78" s="17" t="n"/>
      <c r="AU78" s="16" t="inlineStr">
        <is>
          <t>0.66</t>
        </is>
      </c>
      <c r="AV78" s="20" t="inlineStr">
        <is>
          <t>IC Anionen</t>
        </is>
      </c>
      <c r="AW78" s="20" t="inlineStr">
        <is>
          <t>None</t>
        </is>
      </c>
      <c r="AX78" s="17" t="n"/>
      <c r="AY78" s="16" t="inlineStr">
        <is>
          <t>&lt;0.80</t>
        </is>
      </c>
      <c r="AZ78" s="20" t="inlineStr">
        <is>
          <t>IC Anionen</t>
        </is>
      </c>
      <c r="BA78" s="20" t="inlineStr">
        <is>
          <t>None</t>
        </is>
      </c>
      <c r="BB78" s="17" t="n"/>
      <c r="BC78" s="16" t="inlineStr">
        <is>
          <t>127</t>
        </is>
      </c>
      <c r="BD78" s="20" t="inlineStr">
        <is>
          <t>IC Kationen</t>
        </is>
      </c>
      <c r="BE78" s="20" t="inlineStr">
        <is>
          <t>None</t>
        </is>
      </c>
      <c r="BF78" s="17" t="n"/>
      <c r="BG78" s="16" t="inlineStr">
        <is>
          <t>&lt;1.60</t>
        </is>
      </c>
      <c r="BH78" s="20" t="inlineStr">
        <is>
          <t>IC Kationen</t>
        </is>
      </c>
      <c r="BI78" s="20" t="inlineStr">
        <is>
          <t>None</t>
        </is>
      </c>
      <c r="BJ78" s="17" t="n"/>
      <c r="BK78" s="16" t="inlineStr">
        <is>
          <t>15.2</t>
        </is>
      </c>
      <c r="BL78" s="20" t="inlineStr">
        <is>
          <t>IC Kationen</t>
        </is>
      </c>
      <c r="BM78" s="20" t="inlineStr">
        <is>
          <t>None</t>
        </is>
      </c>
      <c r="BN78" s="17" t="n"/>
      <c r="BO78" s="16" t="inlineStr">
        <is>
          <t>292</t>
        </is>
      </c>
      <c r="BP78" s="20" t="inlineStr">
        <is>
          <t>IC Kationen</t>
        </is>
      </c>
      <c r="BQ78" s="20" t="inlineStr">
        <is>
          <t>None</t>
        </is>
      </c>
      <c r="BR78" s="17" t="n"/>
      <c r="BS78" s="16" t="inlineStr">
        <is>
          <t>33.0</t>
        </is>
      </c>
      <c r="BT78" s="20" t="inlineStr">
        <is>
          <t>IC Kationen</t>
        </is>
      </c>
      <c r="BU78" s="20" t="inlineStr">
        <is>
          <t>None</t>
        </is>
      </c>
      <c r="BV78" s="17" t="n"/>
      <c r="BW78" s="16" t="n"/>
      <c r="BX78" s="20" t="n"/>
      <c r="BY78" s="20" t="inlineStr">
        <is>
          <t>None</t>
        </is>
      </c>
      <c r="BZ78" s="17" t="n"/>
      <c r="CA78" s="16" t="n"/>
      <c r="CB78" s="20" t="n"/>
      <c r="CC78" s="20" t="inlineStr">
        <is>
          <t>None</t>
        </is>
      </c>
      <c r="CD78" s="17" t="n"/>
      <c r="CE78" s="16" t="n"/>
      <c r="CF78" s="20" t="n"/>
      <c r="CG78" s="20" t="inlineStr">
        <is>
          <t>None</t>
        </is>
      </c>
      <c r="CH78" s="17" t="n"/>
      <c r="CI78" s="16" t="n"/>
      <c r="CJ78" s="20" t="n"/>
      <c r="CK78" s="20" t="inlineStr">
        <is>
          <t>None</t>
        </is>
      </c>
      <c r="CL78" s="17" t="n"/>
      <c r="CM78" s="16" t="n"/>
      <c r="CN78" s="20" t="inlineStr">
        <is>
          <t>SOP 45-34</t>
        </is>
      </c>
      <c r="CO78" s="20" t="inlineStr">
        <is>
          <t>None</t>
        </is>
      </c>
      <c r="CP78" s="17" t="n"/>
      <c r="CQ78" s="16" t="n"/>
      <c r="CR78" s="20" t="n"/>
      <c r="CS78" s="20" t="inlineStr">
        <is>
          <t>None</t>
        </is>
      </c>
      <c r="CT78" s="17" t="n"/>
      <c r="CU78" s="16" t="n"/>
      <c r="CV78" s="20" t="n"/>
      <c r="CW78" s="20" t="inlineStr">
        <is>
          <t>None</t>
        </is>
      </c>
      <c r="CX78" s="17" t="n"/>
      <c r="CY78" s="16" t="n"/>
      <c r="CZ78" s="20" t="inlineStr">
        <is>
          <t>WTW Multimeter 3430 with FDO 925</t>
        </is>
      </c>
      <c r="DA78" s="20" t="inlineStr">
        <is>
          <t>None</t>
        </is>
      </c>
      <c r="DB78" s="17" t="n"/>
      <c r="DC78" s="16" t="n"/>
      <c r="DD78" s="20" t="n"/>
      <c r="DE78" s="20" t="inlineStr">
        <is>
          <t>None</t>
        </is>
      </c>
      <c r="DF78" s="17" t="n"/>
      <c r="DG78" s="16" t="n"/>
      <c r="DH78" s="20" t="inlineStr">
        <is>
          <t>SOP 45-09</t>
        </is>
      </c>
      <c r="DI78" s="20" t="inlineStr">
        <is>
          <t>None</t>
        </is>
      </c>
      <c r="DJ78" s="17" t="n"/>
      <c r="DK78" s="16" t="n"/>
      <c r="DL78" s="20" t="inlineStr">
        <is>
          <t>SOP 45-09 (SOP muss noch angepasst werden für VSS)</t>
        </is>
      </c>
      <c r="DM78" s="20" t="inlineStr">
        <is>
          <t>None</t>
        </is>
      </c>
      <c r="DN78" s="17" t="n"/>
      <c r="DO78" s="16" t="n"/>
      <c r="DP78" s="20" t="inlineStr">
        <is>
          <t>IC Organic Acids</t>
        </is>
      </c>
      <c r="DQ78" s="20" t="inlineStr">
        <is>
          <t>None</t>
        </is>
      </c>
      <c r="DR78" s="17" t="n"/>
      <c r="DS78" s="16" t="n"/>
      <c r="DT78" s="20" t="inlineStr">
        <is>
          <t>IC Organic Acids</t>
        </is>
      </c>
      <c r="DU78" s="20" t="inlineStr">
        <is>
          <t>None</t>
        </is>
      </c>
      <c r="DV78" s="17" t="n"/>
      <c r="DW78" s="16" t="n"/>
      <c r="DX78" s="20" t="inlineStr">
        <is>
          <t>IC Organic Acids</t>
        </is>
      </c>
      <c r="DY78" s="20" t="inlineStr">
        <is>
          <t>None</t>
        </is>
      </c>
      <c r="DZ78" s="17" t="n"/>
      <c r="EA78" s="16" t="n"/>
      <c r="EB78" s="20" t="inlineStr">
        <is>
          <t>IC Organic Acids</t>
        </is>
      </c>
      <c r="EC78" s="20" t="inlineStr">
        <is>
          <t>None</t>
        </is>
      </c>
      <c r="ED78" s="17" t="n"/>
      <c r="EE78" s="16" t="n"/>
      <c r="EF78" s="20" t="inlineStr">
        <is>
          <t>IC Organic Acids</t>
        </is>
      </c>
      <c r="EG78" s="20" t="inlineStr">
        <is>
          <t>None</t>
        </is>
      </c>
      <c r="EH78" s="17" t="n"/>
      <c r="EI78" s="16" t="n"/>
      <c r="EJ78" s="20" t="inlineStr">
        <is>
          <t>IC Organic Acids</t>
        </is>
      </c>
      <c r="EK78" s="20" t="inlineStr">
        <is>
          <t>None</t>
        </is>
      </c>
      <c r="EL78" s="17" t="n"/>
      <c r="EM78" s="16" t="n"/>
      <c r="EN78" s="20" t="inlineStr">
        <is>
          <t>IC Organic Acids</t>
        </is>
      </c>
      <c r="EO78" s="20" t="inlineStr">
        <is>
          <t>None</t>
        </is>
      </c>
      <c r="EP78" s="17" t="n"/>
      <c r="EQ78" s="16" t="n"/>
      <c r="ER78" s="20" t="inlineStr">
        <is>
          <t>IC Organic Acids</t>
        </is>
      </c>
      <c r="ES78" s="20" t="inlineStr">
        <is>
          <t>None</t>
        </is>
      </c>
      <c r="ET78" s="17" t="n"/>
      <c r="EU78" s="16" t="n"/>
      <c r="EV78" s="20" t="inlineStr">
        <is>
          <t>LC-MS</t>
        </is>
      </c>
      <c r="EW78" s="20" t="inlineStr">
        <is>
          <t>None</t>
        </is>
      </c>
      <c r="EX78" s="17" t="n"/>
      <c r="EY78" s="21" t="n"/>
      <c r="EZ78">
        <f>CONCATENATE(A78,B78)</f>
        <v/>
      </c>
      <c r="FA78">
        <f>CONCATENATE(SamplesX!A78,SamplesX!B78)</f>
        <v/>
      </c>
      <c r="FC78">
        <f>MATCH(EZ78,FA1:FA1008,0)</f>
        <v/>
      </c>
    </row>
    <row r="79">
      <c r="A79" s="16" t="inlineStr">
        <is>
          <t>BP</t>
        </is>
      </c>
      <c r="B79" s="17" t="inlineStr">
        <is>
          <t>25071</t>
        </is>
      </c>
      <c r="C79" s="10">
        <f>IF(ISNUMBER(FC79),INDIRECT("SamplesX!C"&amp;FC79),IF(ISNUMBER(FD79),INDIRECT("SamplesY!C"&amp;FD79),""))</f>
        <v/>
      </c>
      <c r="D79" s="12">
        <f>IF(ISNUMBER(FC79),INDIRECT("SamplesX!D"&amp;FC79),IF(ISNUMBER(FD79),INDIRECT("SamplesY!D"&amp;FD79),""))</f>
        <v/>
      </c>
      <c r="E79" s="12">
        <f>IF(ISNUMBER(FC79),INDIRECT("SamplesX!E"&amp;FC79),IF(ISNUMBER(FD79),INDIRECT("SamplesY!E"&amp;FD79),""))</f>
        <v/>
      </c>
      <c r="F79" s="11">
        <f>IF(ISNUMBER(FC79),INDIRECT("SamplesX!F"&amp;FC79),IF(ISNUMBER(FD79),INDIRECT("SamplesY!F"&amp;FD79),""))</f>
        <v/>
      </c>
      <c r="G79" s="18">
        <f>IF(ISNUMBER(FC79),INDIRECT("SamplesX!G"&amp;FC79),IF(ISNUMBER(FD79),INDIRECT("SamplesY!G"&amp;FD79),""))</f>
        <v/>
      </c>
      <c r="H79" s="19">
        <f>IF(ISNUMBER(FC79),INDIRECT("SamplesX!H"&amp;FC79),IF(ISNUMBER(FD79),INDIRECT("SamplesY!H"&amp;FD79),""))</f>
        <v/>
      </c>
      <c r="I79" s="16" t="n"/>
      <c r="J79" s="16" t="n"/>
      <c r="K79" s="16" t="n"/>
      <c r="L79" s="20" t="n"/>
      <c r="M79" s="20" t="inlineStr">
        <is>
          <t>None</t>
        </is>
      </c>
      <c r="N79" s="17" t="n"/>
      <c r="O79" s="16" t="n"/>
      <c r="P79" s="20" t="inlineStr">
        <is>
          <t>Shimadzu TOC-L</t>
        </is>
      </c>
      <c r="Q79" s="20" t="inlineStr">
        <is>
          <t>None</t>
        </is>
      </c>
      <c r="R79" s="17" t="n"/>
      <c r="S79" s="16" t="n"/>
      <c r="T79" s="20" t="inlineStr">
        <is>
          <t>Shimadzu TOC-L</t>
        </is>
      </c>
      <c r="U79" s="20" t="inlineStr">
        <is>
          <t>None</t>
        </is>
      </c>
      <c r="V79" s="17" t="n"/>
      <c r="W79" s="16" t="n"/>
      <c r="X79" s="20" t="n"/>
      <c r="Y79" s="20" t="inlineStr">
        <is>
          <t>None</t>
        </is>
      </c>
      <c r="Z79" s="17" t="n"/>
      <c r="AA79" s="16" t="n"/>
      <c r="AB79" s="20" t="n"/>
      <c r="AC79" s="20" t="inlineStr">
        <is>
          <t>None</t>
        </is>
      </c>
      <c r="AD79" s="17" t="n"/>
      <c r="AE79" s="16" t="inlineStr">
        <is>
          <t>234</t>
        </is>
      </c>
      <c r="AF79" s="20" t="inlineStr">
        <is>
          <t>IC Anionen</t>
        </is>
      </c>
      <c r="AG79" s="20" t="inlineStr">
        <is>
          <t>None</t>
        </is>
      </c>
      <c r="AH79" s="17" t="n"/>
      <c r="AI79" s="16" t="n"/>
      <c r="AJ79" s="20" t="n"/>
      <c r="AK79" s="20" t="inlineStr">
        <is>
          <t>None</t>
        </is>
      </c>
      <c r="AL79" s="17" t="n"/>
      <c r="AM79" s="16" t="n"/>
      <c r="AN79" s="20" t="inlineStr">
        <is>
          <t>IC Anionen</t>
        </is>
      </c>
      <c r="AO79" s="20" t="inlineStr">
        <is>
          <t>None</t>
        </is>
      </c>
      <c r="AP79" s="17" t="n"/>
      <c r="AQ79" s="16" t="n"/>
      <c r="AR79" s="20" t="n"/>
      <c r="AS79" s="20" t="inlineStr">
        <is>
          <t>None</t>
        </is>
      </c>
      <c r="AT79" s="17" t="n"/>
      <c r="AU79" s="16" t="inlineStr">
        <is>
          <t>17.3</t>
        </is>
      </c>
      <c r="AV79" s="20" t="inlineStr">
        <is>
          <t>IC Anionen</t>
        </is>
      </c>
      <c r="AW79" s="20" t="inlineStr">
        <is>
          <t>None</t>
        </is>
      </c>
      <c r="AX79" s="17" t="n"/>
      <c r="AY79" s="16" t="inlineStr">
        <is>
          <t>&lt;0.80</t>
        </is>
      </c>
      <c r="AZ79" s="20" t="inlineStr">
        <is>
          <t>IC Anionen</t>
        </is>
      </c>
      <c r="BA79" s="20" t="inlineStr">
        <is>
          <t>None</t>
        </is>
      </c>
      <c r="BB79" s="17" t="n"/>
      <c r="BC79" s="16" t="inlineStr">
        <is>
          <t>144</t>
        </is>
      </c>
      <c r="BD79" s="20" t="inlineStr">
        <is>
          <t>IC Kationen</t>
        </is>
      </c>
      <c r="BE79" s="20" t="inlineStr">
        <is>
          <t>None</t>
        </is>
      </c>
      <c r="BF79" s="17" t="n"/>
      <c r="BG79" s="16" t="inlineStr">
        <is>
          <t>1.68</t>
        </is>
      </c>
      <c r="BH79" s="20" t="inlineStr">
        <is>
          <t>IC Kationen</t>
        </is>
      </c>
      <c r="BI79" s="20" t="inlineStr">
        <is>
          <t>None</t>
        </is>
      </c>
      <c r="BJ79" s="17" t="n"/>
      <c r="BK79" s="16" t="inlineStr">
        <is>
          <t>18.3</t>
        </is>
      </c>
      <c r="BL79" s="20" t="inlineStr">
        <is>
          <t>IC Kationen</t>
        </is>
      </c>
      <c r="BM79" s="20" t="inlineStr">
        <is>
          <t>None</t>
        </is>
      </c>
      <c r="BN79" s="17" t="n"/>
      <c r="BO79" s="16" t="inlineStr">
        <is>
          <t>336</t>
        </is>
      </c>
      <c r="BP79" s="20" t="inlineStr">
        <is>
          <t>IC Kationen</t>
        </is>
      </c>
      <c r="BQ79" s="20" t="inlineStr">
        <is>
          <t>None</t>
        </is>
      </c>
      <c r="BR79" s="17" t="n"/>
      <c r="BS79" s="16" t="inlineStr">
        <is>
          <t>39.4</t>
        </is>
      </c>
      <c r="BT79" s="20" t="inlineStr">
        <is>
          <t>IC Kationen</t>
        </is>
      </c>
      <c r="BU79" s="20" t="inlineStr">
        <is>
          <t>None</t>
        </is>
      </c>
      <c r="BV79" s="17" t="n"/>
      <c r="BW79" s="16" t="n"/>
      <c r="BX79" s="20" t="n"/>
      <c r="BY79" s="20" t="inlineStr">
        <is>
          <t>None</t>
        </is>
      </c>
      <c r="BZ79" s="17" t="n"/>
      <c r="CA79" s="16" t="n"/>
      <c r="CB79" s="20" t="n"/>
      <c r="CC79" s="20" t="inlineStr">
        <is>
          <t>None</t>
        </is>
      </c>
      <c r="CD79" s="17" t="n"/>
      <c r="CE79" s="16" t="n"/>
      <c r="CF79" s="20" t="n"/>
      <c r="CG79" s="20" t="inlineStr">
        <is>
          <t>None</t>
        </is>
      </c>
      <c r="CH79" s="17" t="n"/>
      <c r="CI79" s="16" t="n"/>
      <c r="CJ79" s="20" t="n"/>
      <c r="CK79" s="20" t="inlineStr">
        <is>
          <t>None</t>
        </is>
      </c>
      <c r="CL79" s="17" t="n"/>
      <c r="CM79" s="16" t="n"/>
      <c r="CN79" s="20" t="inlineStr">
        <is>
          <t>SOP 45-34</t>
        </is>
      </c>
      <c r="CO79" s="20" t="inlineStr">
        <is>
          <t>None</t>
        </is>
      </c>
      <c r="CP79" s="17" t="n"/>
      <c r="CQ79" s="16" t="n"/>
      <c r="CR79" s="20" t="n"/>
      <c r="CS79" s="20" t="inlineStr">
        <is>
          <t>None</t>
        </is>
      </c>
      <c r="CT79" s="17" t="n"/>
      <c r="CU79" s="16" t="n"/>
      <c r="CV79" s="20" t="n"/>
      <c r="CW79" s="20" t="inlineStr">
        <is>
          <t>None</t>
        </is>
      </c>
      <c r="CX79" s="17" t="n"/>
      <c r="CY79" s="16" t="n"/>
      <c r="CZ79" s="20" t="inlineStr">
        <is>
          <t>WTW Multimeter 3430 with FDO 925</t>
        </is>
      </c>
      <c r="DA79" s="20" t="inlineStr">
        <is>
          <t>None</t>
        </is>
      </c>
      <c r="DB79" s="17" t="n"/>
      <c r="DC79" s="16" t="n"/>
      <c r="DD79" s="20" t="n"/>
      <c r="DE79" s="20" t="inlineStr">
        <is>
          <t>None</t>
        </is>
      </c>
      <c r="DF79" s="17" t="n"/>
      <c r="DG79" s="16" t="n"/>
      <c r="DH79" s="20" t="inlineStr">
        <is>
          <t>SOP 45-09</t>
        </is>
      </c>
      <c r="DI79" s="20" t="inlineStr">
        <is>
          <t>None</t>
        </is>
      </c>
      <c r="DJ79" s="17" t="n"/>
      <c r="DK79" s="16" t="n"/>
      <c r="DL79" s="20" t="inlineStr">
        <is>
          <t>SOP 45-09 (SOP muss noch angepasst werden für VSS)</t>
        </is>
      </c>
      <c r="DM79" s="20" t="inlineStr">
        <is>
          <t>None</t>
        </is>
      </c>
      <c r="DN79" s="17" t="n"/>
      <c r="DO79" s="16" t="n"/>
      <c r="DP79" s="20" t="inlineStr">
        <is>
          <t>IC Organic Acids</t>
        </is>
      </c>
      <c r="DQ79" s="20" t="inlineStr">
        <is>
          <t>None</t>
        </is>
      </c>
      <c r="DR79" s="17" t="n"/>
      <c r="DS79" s="16" t="n"/>
      <c r="DT79" s="20" t="inlineStr">
        <is>
          <t>IC Organic Acids</t>
        </is>
      </c>
      <c r="DU79" s="20" t="inlineStr">
        <is>
          <t>None</t>
        </is>
      </c>
      <c r="DV79" s="17" t="n"/>
      <c r="DW79" s="16" t="n"/>
      <c r="DX79" s="20" t="inlineStr">
        <is>
          <t>IC Organic Acids</t>
        </is>
      </c>
      <c r="DY79" s="20" t="inlineStr">
        <is>
          <t>None</t>
        </is>
      </c>
      <c r="DZ79" s="17" t="n"/>
      <c r="EA79" s="16" t="n"/>
      <c r="EB79" s="20" t="inlineStr">
        <is>
          <t>IC Organic Acids</t>
        </is>
      </c>
      <c r="EC79" s="20" t="inlineStr">
        <is>
          <t>None</t>
        </is>
      </c>
      <c r="ED79" s="17" t="n"/>
      <c r="EE79" s="16" t="n"/>
      <c r="EF79" s="20" t="inlineStr">
        <is>
          <t>IC Organic Acids</t>
        </is>
      </c>
      <c r="EG79" s="20" t="inlineStr">
        <is>
          <t>None</t>
        </is>
      </c>
      <c r="EH79" s="17" t="n"/>
      <c r="EI79" s="16" t="n"/>
      <c r="EJ79" s="20" t="inlineStr">
        <is>
          <t>IC Organic Acids</t>
        </is>
      </c>
      <c r="EK79" s="20" t="inlineStr">
        <is>
          <t>None</t>
        </is>
      </c>
      <c r="EL79" s="17" t="n"/>
      <c r="EM79" s="16" t="n"/>
      <c r="EN79" s="20" t="inlineStr">
        <is>
          <t>IC Organic Acids</t>
        </is>
      </c>
      <c r="EO79" s="20" t="inlineStr">
        <is>
          <t>None</t>
        </is>
      </c>
      <c r="EP79" s="17" t="n"/>
      <c r="EQ79" s="16" t="n"/>
      <c r="ER79" s="20" t="inlineStr">
        <is>
          <t>IC Organic Acids</t>
        </is>
      </c>
      <c r="ES79" s="20" t="inlineStr">
        <is>
          <t>None</t>
        </is>
      </c>
      <c r="ET79" s="17" t="n"/>
      <c r="EU79" s="16" t="n"/>
      <c r="EV79" s="20" t="inlineStr">
        <is>
          <t>LC-MS</t>
        </is>
      </c>
      <c r="EW79" s="20" t="inlineStr">
        <is>
          <t>None</t>
        </is>
      </c>
      <c r="EX79" s="17" t="n"/>
      <c r="EY79" s="21" t="n"/>
      <c r="EZ79">
        <f>CONCATENATE(A79,B79)</f>
        <v/>
      </c>
      <c r="FA79">
        <f>CONCATENATE(SamplesX!A79,SamplesX!B79)</f>
        <v/>
      </c>
      <c r="FC79">
        <f>MATCH(EZ79,FA1:FA1008,0)</f>
        <v/>
      </c>
    </row>
    <row r="80">
      <c r="A80" s="16" t="inlineStr">
        <is>
          <t>BP</t>
        </is>
      </c>
      <c r="B80" s="17" t="inlineStr">
        <is>
          <t>25072</t>
        </is>
      </c>
      <c r="C80" s="10">
        <f>IF(ISNUMBER(FC80),INDIRECT("SamplesX!C"&amp;FC80),IF(ISNUMBER(FD80),INDIRECT("SamplesY!C"&amp;FD80),""))</f>
        <v/>
      </c>
      <c r="D80" s="12">
        <f>IF(ISNUMBER(FC80),INDIRECT("SamplesX!D"&amp;FC80),IF(ISNUMBER(FD80),INDIRECT("SamplesY!D"&amp;FD80),""))</f>
        <v/>
      </c>
      <c r="E80" s="12">
        <f>IF(ISNUMBER(FC80),INDIRECT("SamplesX!E"&amp;FC80),IF(ISNUMBER(FD80),INDIRECT("SamplesY!E"&amp;FD80),""))</f>
        <v/>
      </c>
      <c r="F80" s="11">
        <f>IF(ISNUMBER(FC80),INDIRECT("SamplesX!F"&amp;FC80),IF(ISNUMBER(FD80),INDIRECT("SamplesY!F"&amp;FD80),""))</f>
        <v/>
      </c>
      <c r="G80" s="18">
        <f>IF(ISNUMBER(FC80),INDIRECT("SamplesX!G"&amp;FC80),IF(ISNUMBER(FD80),INDIRECT("SamplesY!G"&amp;FD80),""))</f>
        <v/>
      </c>
      <c r="H80" s="19">
        <f>IF(ISNUMBER(FC80),INDIRECT("SamplesX!H"&amp;FC80),IF(ISNUMBER(FD80),INDIRECT("SamplesY!H"&amp;FD80),""))</f>
        <v/>
      </c>
      <c r="I80" s="16" t="n"/>
      <c r="J80" s="16" t="n"/>
      <c r="K80" s="16" t="n"/>
      <c r="L80" s="20" t="n"/>
      <c r="M80" s="20" t="inlineStr">
        <is>
          <t>None</t>
        </is>
      </c>
      <c r="N80" s="17" t="n"/>
      <c r="O80" s="16" t="n"/>
      <c r="P80" s="20" t="inlineStr">
        <is>
          <t>Shimadzu TOC-L</t>
        </is>
      </c>
      <c r="Q80" s="20" t="inlineStr">
        <is>
          <t>None</t>
        </is>
      </c>
      <c r="R80" s="17" t="n"/>
      <c r="S80" s="16" t="n"/>
      <c r="T80" s="20" t="inlineStr">
        <is>
          <t>Shimadzu TOC-L</t>
        </is>
      </c>
      <c r="U80" s="20" t="inlineStr">
        <is>
          <t>None</t>
        </is>
      </c>
      <c r="V80" s="17" t="n"/>
      <c r="W80" s="16" t="n"/>
      <c r="X80" s="20" t="n"/>
      <c r="Y80" s="20" t="inlineStr">
        <is>
          <t>None</t>
        </is>
      </c>
      <c r="Z80" s="17" t="n"/>
      <c r="AA80" s="16" t="n"/>
      <c r="AB80" s="20" t="n"/>
      <c r="AC80" s="20" t="inlineStr">
        <is>
          <t>None</t>
        </is>
      </c>
      <c r="AD80" s="17" t="n"/>
      <c r="AE80" s="16" t="inlineStr">
        <is>
          <t>215</t>
        </is>
      </c>
      <c r="AF80" s="20" t="inlineStr">
        <is>
          <t>IC Anionen</t>
        </is>
      </c>
      <c r="AG80" s="20" t="inlineStr">
        <is>
          <t>None</t>
        </is>
      </c>
      <c r="AH80" s="17" t="n"/>
      <c r="AI80" s="16" t="n"/>
      <c r="AJ80" s="20" t="n"/>
      <c r="AK80" s="20" t="inlineStr">
        <is>
          <t>None</t>
        </is>
      </c>
      <c r="AL80" s="17" t="n"/>
      <c r="AM80" s="16" t="n"/>
      <c r="AN80" s="20" t="inlineStr">
        <is>
          <t>IC Anionen</t>
        </is>
      </c>
      <c r="AO80" s="20" t="inlineStr">
        <is>
          <t>None</t>
        </is>
      </c>
      <c r="AP80" s="17" t="n"/>
      <c r="AQ80" s="16" t="n"/>
      <c r="AR80" s="20" t="n"/>
      <c r="AS80" s="20" t="inlineStr">
        <is>
          <t>None</t>
        </is>
      </c>
      <c r="AT80" s="17" t="n"/>
      <c r="AU80" s="16" t="inlineStr">
        <is>
          <t>24.4</t>
        </is>
      </c>
      <c r="AV80" s="20" t="inlineStr">
        <is>
          <t>IC Anionen</t>
        </is>
      </c>
      <c r="AW80" s="20" t="inlineStr">
        <is>
          <t>None</t>
        </is>
      </c>
      <c r="AX80" s="17" t="n"/>
      <c r="AY80" s="16" t="inlineStr">
        <is>
          <t>&lt;0.8</t>
        </is>
      </c>
      <c r="AZ80" s="20" t="inlineStr">
        <is>
          <t>IC Anionen</t>
        </is>
      </c>
      <c r="BA80" s="20" t="inlineStr">
        <is>
          <t>None</t>
        </is>
      </c>
      <c r="BB80" s="17" t="n"/>
      <c r="BC80" s="16" t="inlineStr">
        <is>
          <t>132</t>
        </is>
      </c>
      <c r="BD80" s="20" t="inlineStr">
        <is>
          <t>IC Kationen</t>
        </is>
      </c>
      <c r="BE80" s="20" t="inlineStr">
        <is>
          <t>None</t>
        </is>
      </c>
      <c r="BF80" s="17" t="n"/>
      <c r="BG80" s="16" t="inlineStr">
        <is>
          <t>12.3</t>
        </is>
      </c>
      <c r="BH80" s="20" t="inlineStr">
        <is>
          <t>IC Kationen</t>
        </is>
      </c>
      <c r="BI80" s="20" t="inlineStr">
        <is>
          <t>None</t>
        </is>
      </c>
      <c r="BJ80" s="17" t="n"/>
      <c r="BK80" s="16" t="inlineStr">
        <is>
          <t>18.3</t>
        </is>
      </c>
      <c r="BL80" s="20" t="inlineStr">
        <is>
          <t>IC Kationen</t>
        </is>
      </c>
      <c r="BM80" s="20" t="inlineStr">
        <is>
          <t>None</t>
        </is>
      </c>
      <c r="BN80" s="17" t="n"/>
      <c r="BO80" s="16" t="inlineStr">
        <is>
          <t>320</t>
        </is>
      </c>
      <c r="BP80" s="20" t="inlineStr">
        <is>
          <t>IC Kationen</t>
        </is>
      </c>
      <c r="BQ80" s="20" t="inlineStr">
        <is>
          <t>None</t>
        </is>
      </c>
      <c r="BR80" s="17" t="n"/>
      <c r="BS80" s="16" t="inlineStr">
        <is>
          <t>36.0</t>
        </is>
      </c>
      <c r="BT80" s="20" t="inlineStr">
        <is>
          <t>IC Kationen</t>
        </is>
      </c>
      <c r="BU80" s="20" t="inlineStr">
        <is>
          <t>None</t>
        </is>
      </c>
      <c r="BV80" s="17" t="n"/>
      <c r="BW80" s="16" t="n"/>
      <c r="BX80" s="20" t="n"/>
      <c r="BY80" s="20" t="inlineStr">
        <is>
          <t>None</t>
        </is>
      </c>
      <c r="BZ80" s="17" t="n"/>
      <c r="CA80" s="16" t="n"/>
      <c r="CB80" s="20" t="n"/>
      <c r="CC80" s="20" t="inlineStr">
        <is>
          <t>None</t>
        </is>
      </c>
      <c r="CD80" s="17" t="n"/>
      <c r="CE80" s="16" t="n"/>
      <c r="CF80" s="20" t="n"/>
      <c r="CG80" s="20" t="inlineStr">
        <is>
          <t>None</t>
        </is>
      </c>
      <c r="CH80" s="17" t="n"/>
      <c r="CI80" s="16" t="n"/>
      <c r="CJ80" s="20" t="n"/>
      <c r="CK80" s="20" t="inlineStr">
        <is>
          <t>None</t>
        </is>
      </c>
      <c r="CL80" s="17" t="n"/>
      <c r="CM80" s="16" t="n"/>
      <c r="CN80" s="20" t="inlineStr">
        <is>
          <t>SOP 45-34</t>
        </is>
      </c>
      <c r="CO80" s="20" t="inlineStr">
        <is>
          <t>None</t>
        </is>
      </c>
      <c r="CP80" s="17" t="n"/>
      <c r="CQ80" s="16" t="n"/>
      <c r="CR80" s="20" t="n"/>
      <c r="CS80" s="20" t="inlineStr">
        <is>
          <t>None</t>
        </is>
      </c>
      <c r="CT80" s="17" t="n"/>
      <c r="CU80" s="16" t="n"/>
      <c r="CV80" s="20" t="n"/>
      <c r="CW80" s="20" t="inlineStr">
        <is>
          <t>None</t>
        </is>
      </c>
      <c r="CX80" s="17" t="n"/>
      <c r="CY80" s="16" t="n"/>
      <c r="CZ80" s="20" t="inlineStr">
        <is>
          <t>WTW Multimeter 3430 with FDO 925</t>
        </is>
      </c>
      <c r="DA80" s="20" t="inlineStr">
        <is>
          <t>None</t>
        </is>
      </c>
      <c r="DB80" s="17" t="n"/>
      <c r="DC80" s="16" t="n"/>
      <c r="DD80" s="20" t="n"/>
      <c r="DE80" s="20" t="inlineStr">
        <is>
          <t>None</t>
        </is>
      </c>
      <c r="DF80" s="17" t="n"/>
      <c r="DG80" s="16" t="n"/>
      <c r="DH80" s="20" t="inlineStr">
        <is>
          <t>SOP 45-09</t>
        </is>
      </c>
      <c r="DI80" s="20" t="inlineStr">
        <is>
          <t>None</t>
        </is>
      </c>
      <c r="DJ80" s="17" t="n"/>
      <c r="DK80" s="16" t="n"/>
      <c r="DL80" s="20" t="inlineStr">
        <is>
          <t>SOP 45-09 (SOP muss noch angepasst werden für VSS)</t>
        </is>
      </c>
      <c r="DM80" s="20" t="inlineStr">
        <is>
          <t>None</t>
        </is>
      </c>
      <c r="DN80" s="17" t="n"/>
      <c r="DO80" s="16" t="n"/>
      <c r="DP80" s="20" t="inlineStr">
        <is>
          <t>IC Organic Acids</t>
        </is>
      </c>
      <c r="DQ80" s="20" t="inlineStr">
        <is>
          <t>None</t>
        </is>
      </c>
      <c r="DR80" s="17" t="n"/>
      <c r="DS80" s="16" t="n"/>
      <c r="DT80" s="20" t="inlineStr">
        <is>
          <t>IC Organic Acids</t>
        </is>
      </c>
      <c r="DU80" s="20" t="inlineStr">
        <is>
          <t>None</t>
        </is>
      </c>
      <c r="DV80" s="17" t="n"/>
      <c r="DW80" s="16" t="n"/>
      <c r="DX80" s="20" t="inlineStr">
        <is>
          <t>IC Organic Acids</t>
        </is>
      </c>
      <c r="DY80" s="20" t="inlineStr">
        <is>
          <t>None</t>
        </is>
      </c>
      <c r="DZ80" s="17" t="n"/>
      <c r="EA80" s="16" t="n"/>
      <c r="EB80" s="20" t="inlineStr">
        <is>
          <t>IC Organic Acids</t>
        </is>
      </c>
      <c r="EC80" s="20" t="inlineStr">
        <is>
          <t>None</t>
        </is>
      </c>
      <c r="ED80" s="17" t="n"/>
      <c r="EE80" s="16" t="n"/>
      <c r="EF80" s="20" t="inlineStr">
        <is>
          <t>IC Organic Acids</t>
        </is>
      </c>
      <c r="EG80" s="20" t="inlineStr">
        <is>
          <t>None</t>
        </is>
      </c>
      <c r="EH80" s="17" t="n"/>
      <c r="EI80" s="16" t="n"/>
      <c r="EJ80" s="20" t="inlineStr">
        <is>
          <t>IC Organic Acids</t>
        </is>
      </c>
      <c r="EK80" s="20" t="inlineStr">
        <is>
          <t>None</t>
        </is>
      </c>
      <c r="EL80" s="17" t="n"/>
      <c r="EM80" s="16" t="n"/>
      <c r="EN80" s="20" t="inlineStr">
        <is>
          <t>IC Organic Acids</t>
        </is>
      </c>
      <c r="EO80" s="20" t="inlineStr">
        <is>
          <t>None</t>
        </is>
      </c>
      <c r="EP80" s="17" t="n"/>
      <c r="EQ80" s="16" t="n"/>
      <c r="ER80" s="20" t="inlineStr">
        <is>
          <t>IC Organic Acids</t>
        </is>
      </c>
      <c r="ES80" s="20" t="inlineStr">
        <is>
          <t>None</t>
        </is>
      </c>
      <c r="ET80" s="17" t="n"/>
      <c r="EU80" s="16" t="n"/>
      <c r="EV80" s="20" t="inlineStr">
        <is>
          <t>LC-MS</t>
        </is>
      </c>
      <c r="EW80" s="20" t="inlineStr">
        <is>
          <t>None</t>
        </is>
      </c>
      <c r="EX80" s="17" t="n"/>
      <c r="EY80" s="21" t="n"/>
      <c r="EZ80">
        <f>CONCATENATE(A80,B80)</f>
        <v/>
      </c>
      <c r="FA80">
        <f>CONCATENATE(SamplesX!A80,SamplesX!B80)</f>
        <v/>
      </c>
      <c r="FC80">
        <f>MATCH(EZ80,FA1:FA1008,0)</f>
        <v/>
      </c>
    </row>
    <row r="81">
      <c r="A81" s="16" t="inlineStr">
        <is>
          <t>BP</t>
        </is>
      </c>
      <c r="B81" s="17" t="inlineStr">
        <is>
          <t>25073</t>
        </is>
      </c>
      <c r="C81" s="10">
        <f>IF(ISNUMBER(FC81),INDIRECT("SamplesX!C"&amp;FC81),IF(ISNUMBER(FD81),INDIRECT("SamplesY!C"&amp;FD81),""))</f>
        <v/>
      </c>
      <c r="D81" s="12">
        <f>IF(ISNUMBER(FC81),INDIRECT("SamplesX!D"&amp;FC81),IF(ISNUMBER(FD81),INDIRECT("SamplesY!D"&amp;FD81),""))</f>
        <v/>
      </c>
      <c r="E81" s="12">
        <f>IF(ISNUMBER(FC81),INDIRECT("SamplesX!E"&amp;FC81),IF(ISNUMBER(FD81),INDIRECT("SamplesY!E"&amp;FD81),""))</f>
        <v/>
      </c>
      <c r="F81" s="11">
        <f>IF(ISNUMBER(FC81),INDIRECT("SamplesX!F"&amp;FC81),IF(ISNUMBER(FD81),INDIRECT("SamplesY!F"&amp;FD81),""))</f>
        <v/>
      </c>
      <c r="G81" s="18">
        <f>IF(ISNUMBER(FC81),INDIRECT("SamplesX!G"&amp;FC81),IF(ISNUMBER(FD81),INDIRECT("SamplesY!G"&amp;FD81),""))</f>
        <v/>
      </c>
      <c r="H81" s="19">
        <f>IF(ISNUMBER(FC81),INDIRECT("SamplesX!H"&amp;FC81),IF(ISNUMBER(FD81),INDIRECT("SamplesY!H"&amp;FD81),""))</f>
        <v/>
      </c>
      <c r="I81" s="16" t="n"/>
      <c r="J81" s="16" t="n"/>
      <c r="K81" s="16" t="n"/>
      <c r="L81" s="20" t="n"/>
      <c r="M81" s="20" t="inlineStr">
        <is>
          <t>None</t>
        </is>
      </c>
      <c r="N81" s="17" t="n"/>
      <c r="O81" s="16" t="n"/>
      <c r="P81" s="20" t="inlineStr">
        <is>
          <t>Shimadzu TOC-L</t>
        </is>
      </c>
      <c r="Q81" s="20" t="inlineStr">
        <is>
          <t>None</t>
        </is>
      </c>
      <c r="R81" s="17" t="n"/>
      <c r="S81" s="16" t="n"/>
      <c r="T81" s="20" t="inlineStr">
        <is>
          <t>Shimadzu TOC-L</t>
        </is>
      </c>
      <c r="U81" s="20" t="inlineStr">
        <is>
          <t>None</t>
        </is>
      </c>
      <c r="V81" s="17" t="n"/>
      <c r="W81" s="16" t="n"/>
      <c r="X81" s="20" t="n"/>
      <c r="Y81" s="20" t="inlineStr">
        <is>
          <t>None</t>
        </is>
      </c>
      <c r="Z81" s="17" t="n"/>
      <c r="AA81" s="16" t="n"/>
      <c r="AB81" s="20" t="n"/>
      <c r="AC81" s="20" t="inlineStr">
        <is>
          <t>None</t>
        </is>
      </c>
      <c r="AD81" s="17" t="n"/>
      <c r="AE81" s="16" t="inlineStr">
        <is>
          <t>332</t>
        </is>
      </c>
      <c r="AF81" s="20" t="inlineStr">
        <is>
          <t>IC Anionen</t>
        </is>
      </c>
      <c r="AG81" s="20" t="inlineStr">
        <is>
          <t>None</t>
        </is>
      </c>
      <c r="AH81" s="17" t="n"/>
      <c r="AI81" s="16" t="n"/>
      <c r="AJ81" s="20" t="n"/>
      <c r="AK81" s="20" t="inlineStr">
        <is>
          <t>None</t>
        </is>
      </c>
      <c r="AL81" s="17" t="n"/>
      <c r="AM81" s="16" t="n"/>
      <c r="AN81" s="20" t="inlineStr">
        <is>
          <t>IC Anionen</t>
        </is>
      </c>
      <c r="AO81" s="20" t="inlineStr">
        <is>
          <t>None</t>
        </is>
      </c>
      <c r="AP81" s="17" t="n"/>
      <c r="AQ81" s="16" t="n"/>
      <c r="AR81" s="20" t="n"/>
      <c r="AS81" s="20" t="inlineStr">
        <is>
          <t>None</t>
        </is>
      </c>
      <c r="AT81" s="17" t="n"/>
      <c r="AU81" s="16" t="inlineStr">
        <is>
          <t>1.70</t>
        </is>
      </c>
      <c r="AV81" s="20" t="inlineStr">
        <is>
          <t>IC Anionen</t>
        </is>
      </c>
      <c r="AW81" s="20" t="inlineStr">
        <is>
          <t>None</t>
        </is>
      </c>
      <c r="AX81" s="17" t="n"/>
      <c r="AY81" s="16" t="inlineStr">
        <is>
          <t>&lt;0.8</t>
        </is>
      </c>
      <c r="AZ81" s="20" t="inlineStr">
        <is>
          <t>IC Anionen</t>
        </is>
      </c>
      <c r="BA81" s="20" t="inlineStr">
        <is>
          <t>None</t>
        </is>
      </c>
      <c r="BB81" s="17" t="n"/>
      <c r="BC81" s="16" t="inlineStr">
        <is>
          <t>125</t>
        </is>
      </c>
      <c r="BD81" s="20" t="inlineStr">
        <is>
          <t>IC Kationen</t>
        </is>
      </c>
      <c r="BE81" s="20" t="inlineStr">
        <is>
          <t>None</t>
        </is>
      </c>
      <c r="BF81" s="17" t="n"/>
      <c r="BG81" s="16" t="inlineStr">
        <is>
          <t>5.17</t>
        </is>
      </c>
      <c r="BH81" s="20" t="inlineStr">
        <is>
          <t>IC Kationen</t>
        </is>
      </c>
      <c r="BI81" s="20" t="inlineStr">
        <is>
          <t>None</t>
        </is>
      </c>
      <c r="BJ81" s="17" t="n"/>
      <c r="BK81" s="16" t="inlineStr">
        <is>
          <t>15.9</t>
        </is>
      </c>
      <c r="BL81" s="20" t="inlineStr">
        <is>
          <t>IC Kationen</t>
        </is>
      </c>
      <c r="BM81" s="20" t="inlineStr">
        <is>
          <t>None</t>
        </is>
      </c>
      <c r="BN81" s="17" t="n"/>
      <c r="BO81" s="16" t="inlineStr">
        <is>
          <t>299</t>
        </is>
      </c>
      <c r="BP81" s="20" t="inlineStr">
        <is>
          <t>IC Kationen</t>
        </is>
      </c>
      <c r="BQ81" s="20" t="inlineStr">
        <is>
          <t>None</t>
        </is>
      </c>
      <c r="BR81" s="17" t="n"/>
      <c r="BS81" s="16" t="inlineStr">
        <is>
          <t>33.6</t>
        </is>
      </c>
      <c r="BT81" s="20" t="inlineStr">
        <is>
          <t>IC Kationen</t>
        </is>
      </c>
      <c r="BU81" s="20" t="inlineStr">
        <is>
          <t>None</t>
        </is>
      </c>
      <c r="BV81" s="17" t="n"/>
      <c r="BW81" s="16" t="n"/>
      <c r="BX81" s="20" t="n"/>
      <c r="BY81" s="20" t="inlineStr">
        <is>
          <t>None</t>
        </is>
      </c>
      <c r="BZ81" s="17" t="n"/>
      <c r="CA81" s="16" t="n"/>
      <c r="CB81" s="20" t="n"/>
      <c r="CC81" s="20" t="inlineStr">
        <is>
          <t>None</t>
        </is>
      </c>
      <c r="CD81" s="17" t="n"/>
      <c r="CE81" s="16" t="n"/>
      <c r="CF81" s="20" t="n"/>
      <c r="CG81" s="20" t="inlineStr">
        <is>
          <t>None</t>
        </is>
      </c>
      <c r="CH81" s="17" t="n"/>
      <c r="CI81" s="16" t="n"/>
      <c r="CJ81" s="20" t="n"/>
      <c r="CK81" s="20" t="inlineStr">
        <is>
          <t>None</t>
        </is>
      </c>
      <c r="CL81" s="17" t="n"/>
      <c r="CM81" s="16" t="n"/>
      <c r="CN81" s="20" t="inlineStr">
        <is>
          <t>SOP 45-34</t>
        </is>
      </c>
      <c r="CO81" s="20" t="inlineStr">
        <is>
          <t>None</t>
        </is>
      </c>
      <c r="CP81" s="17" t="n"/>
      <c r="CQ81" s="16" t="n"/>
      <c r="CR81" s="20" t="n"/>
      <c r="CS81" s="20" t="inlineStr">
        <is>
          <t>None</t>
        </is>
      </c>
      <c r="CT81" s="17" t="n"/>
      <c r="CU81" s="16" t="n"/>
      <c r="CV81" s="20" t="n"/>
      <c r="CW81" s="20" t="inlineStr">
        <is>
          <t>None</t>
        </is>
      </c>
      <c r="CX81" s="17" t="n"/>
      <c r="CY81" s="16" t="n"/>
      <c r="CZ81" s="20" t="inlineStr">
        <is>
          <t>WTW Multimeter 3430 with FDO 925</t>
        </is>
      </c>
      <c r="DA81" s="20" t="inlineStr">
        <is>
          <t>None</t>
        </is>
      </c>
      <c r="DB81" s="17" t="n"/>
      <c r="DC81" s="16" t="n"/>
      <c r="DD81" s="20" t="n"/>
      <c r="DE81" s="20" t="inlineStr">
        <is>
          <t>None</t>
        </is>
      </c>
      <c r="DF81" s="17" t="n"/>
      <c r="DG81" s="16" t="n"/>
      <c r="DH81" s="20" t="inlineStr">
        <is>
          <t>SOP 45-09</t>
        </is>
      </c>
      <c r="DI81" s="20" t="inlineStr">
        <is>
          <t>None</t>
        </is>
      </c>
      <c r="DJ81" s="17" t="n"/>
      <c r="DK81" s="16" t="n"/>
      <c r="DL81" s="20" t="inlineStr">
        <is>
          <t>SOP 45-09 (SOP muss noch angepasst werden für VSS)</t>
        </is>
      </c>
      <c r="DM81" s="20" t="inlineStr">
        <is>
          <t>None</t>
        </is>
      </c>
      <c r="DN81" s="17" t="n"/>
      <c r="DO81" s="16" t="n"/>
      <c r="DP81" s="20" t="inlineStr">
        <is>
          <t>IC Organic Acids</t>
        </is>
      </c>
      <c r="DQ81" s="20" t="inlineStr">
        <is>
          <t>None</t>
        </is>
      </c>
      <c r="DR81" s="17" t="n"/>
      <c r="DS81" s="16" t="n"/>
      <c r="DT81" s="20" t="inlineStr">
        <is>
          <t>IC Organic Acids</t>
        </is>
      </c>
      <c r="DU81" s="20" t="inlineStr">
        <is>
          <t>None</t>
        </is>
      </c>
      <c r="DV81" s="17" t="n"/>
      <c r="DW81" s="16" t="n"/>
      <c r="DX81" s="20" t="inlineStr">
        <is>
          <t>IC Organic Acids</t>
        </is>
      </c>
      <c r="DY81" s="20" t="inlineStr">
        <is>
          <t>None</t>
        </is>
      </c>
      <c r="DZ81" s="17" t="n"/>
      <c r="EA81" s="16" t="n"/>
      <c r="EB81" s="20" t="inlineStr">
        <is>
          <t>IC Organic Acids</t>
        </is>
      </c>
      <c r="EC81" s="20" t="inlineStr">
        <is>
          <t>None</t>
        </is>
      </c>
      <c r="ED81" s="17" t="n"/>
      <c r="EE81" s="16" t="n"/>
      <c r="EF81" s="20" t="inlineStr">
        <is>
          <t>IC Organic Acids</t>
        </is>
      </c>
      <c r="EG81" s="20" t="inlineStr">
        <is>
          <t>None</t>
        </is>
      </c>
      <c r="EH81" s="17" t="n"/>
      <c r="EI81" s="16" t="n"/>
      <c r="EJ81" s="20" t="inlineStr">
        <is>
          <t>IC Organic Acids</t>
        </is>
      </c>
      <c r="EK81" s="20" t="inlineStr">
        <is>
          <t>None</t>
        </is>
      </c>
      <c r="EL81" s="17" t="n"/>
      <c r="EM81" s="16" t="n"/>
      <c r="EN81" s="20" t="inlineStr">
        <is>
          <t>IC Organic Acids</t>
        </is>
      </c>
      <c r="EO81" s="20" t="inlineStr">
        <is>
          <t>None</t>
        </is>
      </c>
      <c r="EP81" s="17" t="n"/>
      <c r="EQ81" s="16" t="n"/>
      <c r="ER81" s="20" t="inlineStr">
        <is>
          <t>IC Organic Acids</t>
        </is>
      </c>
      <c r="ES81" s="20" t="inlineStr">
        <is>
          <t>None</t>
        </is>
      </c>
      <c r="ET81" s="17" t="n"/>
      <c r="EU81" s="16" t="n"/>
      <c r="EV81" s="20" t="inlineStr">
        <is>
          <t>LC-MS</t>
        </is>
      </c>
      <c r="EW81" s="20" t="inlineStr">
        <is>
          <t>None</t>
        </is>
      </c>
      <c r="EX81" s="17" t="n"/>
      <c r="EY81" s="21" t="n"/>
      <c r="EZ81">
        <f>CONCATENATE(A81,B81)</f>
        <v/>
      </c>
      <c r="FA81">
        <f>CONCATENATE(SamplesX!A81,SamplesX!B81)</f>
        <v/>
      </c>
      <c r="FC81">
        <f>MATCH(EZ81,FA1:FA1008,0)</f>
        <v/>
      </c>
    </row>
    <row r="82">
      <c r="A82" s="16" t="inlineStr">
        <is>
          <t>BP</t>
        </is>
      </c>
      <c r="B82" s="17" t="inlineStr">
        <is>
          <t>25074</t>
        </is>
      </c>
      <c r="C82" s="10">
        <f>IF(ISNUMBER(FC82),INDIRECT("SamplesX!C"&amp;FC82),IF(ISNUMBER(FD82),INDIRECT("SamplesY!C"&amp;FD82),""))</f>
        <v/>
      </c>
      <c r="D82" s="12">
        <f>IF(ISNUMBER(FC82),INDIRECT("SamplesX!D"&amp;FC82),IF(ISNUMBER(FD82),INDIRECT("SamplesY!D"&amp;FD82),""))</f>
        <v/>
      </c>
      <c r="E82" s="12">
        <f>IF(ISNUMBER(FC82),INDIRECT("SamplesX!E"&amp;FC82),IF(ISNUMBER(FD82),INDIRECT("SamplesY!E"&amp;FD82),""))</f>
        <v/>
      </c>
      <c r="F82" s="11">
        <f>IF(ISNUMBER(FC82),INDIRECT("SamplesX!F"&amp;FC82),IF(ISNUMBER(FD82),INDIRECT("SamplesY!F"&amp;FD82),""))</f>
        <v/>
      </c>
      <c r="G82" s="18">
        <f>IF(ISNUMBER(FC82),INDIRECT("SamplesX!G"&amp;FC82),IF(ISNUMBER(FD82),INDIRECT("SamplesY!G"&amp;FD82),""))</f>
        <v/>
      </c>
      <c r="H82" s="19">
        <f>IF(ISNUMBER(FC82),INDIRECT("SamplesX!H"&amp;FC82),IF(ISNUMBER(FD82),INDIRECT("SamplesY!H"&amp;FD82),""))</f>
        <v/>
      </c>
      <c r="I82" s="16" t="n"/>
      <c r="J82" s="16" t="n"/>
      <c r="K82" s="16" t="n"/>
      <c r="L82" s="20" t="n"/>
      <c r="M82" s="20" t="inlineStr">
        <is>
          <t>None</t>
        </is>
      </c>
      <c r="N82" s="17" t="n"/>
      <c r="O82" s="16" t="n"/>
      <c r="P82" s="20" t="inlineStr">
        <is>
          <t>Shimadzu TOC-L</t>
        </is>
      </c>
      <c r="Q82" s="20" t="inlineStr">
        <is>
          <t>None</t>
        </is>
      </c>
      <c r="R82" s="17" t="n"/>
      <c r="S82" s="16" t="n"/>
      <c r="T82" s="20" t="inlineStr">
        <is>
          <t>Shimadzu TOC-L</t>
        </is>
      </c>
      <c r="U82" s="20" t="inlineStr">
        <is>
          <t>None</t>
        </is>
      </c>
      <c r="V82" s="17" t="n"/>
      <c r="W82" s="16" t="n"/>
      <c r="X82" s="20" t="n"/>
      <c r="Y82" s="20" t="inlineStr">
        <is>
          <t>None</t>
        </is>
      </c>
      <c r="Z82" s="17" t="n"/>
      <c r="AA82" s="16" t="n"/>
      <c r="AB82" s="20" t="n"/>
      <c r="AC82" s="20" t="inlineStr">
        <is>
          <t>None</t>
        </is>
      </c>
      <c r="AD82" s="17" t="n"/>
      <c r="AE82" s="16" t="inlineStr">
        <is>
          <t>333</t>
        </is>
      </c>
      <c r="AF82" s="20" t="inlineStr">
        <is>
          <t>IC Anionen</t>
        </is>
      </c>
      <c r="AG82" s="20" t="inlineStr">
        <is>
          <t>None</t>
        </is>
      </c>
      <c r="AH82" s="17" t="n"/>
      <c r="AI82" s="16" t="n"/>
      <c r="AJ82" s="20" t="n"/>
      <c r="AK82" s="20" t="inlineStr">
        <is>
          <t>None</t>
        </is>
      </c>
      <c r="AL82" s="17" t="n"/>
      <c r="AM82" s="16" t="n"/>
      <c r="AN82" s="20" t="inlineStr">
        <is>
          <t>IC Anionen</t>
        </is>
      </c>
      <c r="AO82" s="20" t="inlineStr">
        <is>
          <t>None</t>
        </is>
      </c>
      <c r="AP82" s="17" t="n"/>
      <c r="AQ82" s="16" t="n"/>
      <c r="AR82" s="20" t="n"/>
      <c r="AS82" s="20" t="inlineStr">
        <is>
          <t>None</t>
        </is>
      </c>
      <c r="AT82" s="17" t="n"/>
      <c r="AU82" s="16" t="inlineStr">
        <is>
          <t>0.29</t>
        </is>
      </c>
      <c r="AV82" s="20" t="inlineStr">
        <is>
          <t>IC Anionen</t>
        </is>
      </c>
      <c r="AW82" s="20" t="inlineStr">
        <is>
          <t>None</t>
        </is>
      </c>
      <c r="AX82" s="17" t="n"/>
      <c r="AY82" s="16" t="inlineStr">
        <is>
          <t>2.03</t>
        </is>
      </c>
      <c r="AZ82" s="20" t="inlineStr">
        <is>
          <t>IC Anionen</t>
        </is>
      </c>
      <c r="BA82" s="20" t="inlineStr">
        <is>
          <t>None</t>
        </is>
      </c>
      <c r="BB82" s="17" t="n"/>
      <c r="BC82" s="16" t="inlineStr">
        <is>
          <t>130</t>
        </is>
      </c>
      <c r="BD82" s="20" t="inlineStr">
        <is>
          <t>IC Kationen</t>
        </is>
      </c>
      <c r="BE82" s="20" t="inlineStr">
        <is>
          <t>None</t>
        </is>
      </c>
      <c r="BF82" s="17" t="n"/>
      <c r="BG82" s="16" t="inlineStr">
        <is>
          <t>2.88</t>
        </is>
      </c>
      <c r="BH82" s="20" t="inlineStr">
        <is>
          <t>IC Kationen</t>
        </is>
      </c>
      <c r="BI82" s="20" t="inlineStr">
        <is>
          <t>None</t>
        </is>
      </c>
      <c r="BJ82" s="17" t="n"/>
      <c r="BK82" s="16" t="inlineStr">
        <is>
          <t>15.2</t>
        </is>
      </c>
      <c r="BL82" s="20" t="inlineStr">
        <is>
          <t>IC Kationen</t>
        </is>
      </c>
      <c r="BM82" s="20" t="inlineStr">
        <is>
          <t>None</t>
        </is>
      </c>
      <c r="BN82" s="17" t="n"/>
      <c r="BO82" s="16" t="inlineStr">
        <is>
          <t>179</t>
        </is>
      </c>
      <c r="BP82" s="20" t="inlineStr">
        <is>
          <t>IC Kationen</t>
        </is>
      </c>
      <c r="BQ82" s="20" t="inlineStr">
        <is>
          <t>None</t>
        </is>
      </c>
      <c r="BR82" s="17" t="n"/>
      <c r="BS82" s="16" t="inlineStr">
        <is>
          <t>33.5</t>
        </is>
      </c>
      <c r="BT82" s="20" t="inlineStr">
        <is>
          <t>IC Kationen</t>
        </is>
      </c>
      <c r="BU82" s="20" t="inlineStr">
        <is>
          <t>None</t>
        </is>
      </c>
      <c r="BV82" s="17" t="n"/>
      <c r="BW82" s="16" t="n"/>
      <c r="BX82" s="20" t="n"/>
      <c r="BY82" s="20" t="inlineStr">
        <is>
          <t>None</t>
        </is>
      </c>
      <c r="BZ82" s="17" t="n"/>
      <c r="CA82" s="16" t="n"/>
      <c r="CB82" s="20" t="n"/>
      <c r="CC82" s="20" t="inlineStr">
        <is>
          <t>None</t>
        </is>
      </c>
      <c r="CD82" s="17" t="n"/>
      <c r="CE82" s="16" t="n"/>
      <c r="CF82" s="20" t="n"/>
      <c r="CG82" s="20" t="inlineStr">
        <is>
          <t>None</t>
        </is>
      </c>
      <c r="CH82" s="17" t="n"/>
      <c r="CI82" s="16" t="n"/>
      <c r="CJ82" s="20" t="n"/>
      <c r="CK82" s="20" t="inlineStr">
        <is>
          <t>None</t>
        </is>
      </c>
      <c r="CL82" s="17" t="n"/>
      <c r="CM82" s="16" t="n"/>
      <c r="CN82" s="20" t="inlineStr">
        <is>
          <t>SOP 45-34</t>
        </is>
      </c>
      <c r="CO82" s="20" t="inlineStr">
        <is>
          <t>None</t>
        </is>
      </c>
      <c r="CP82" s="17" t="n"/>
      <c r="CQ82" s="16" t="n"/>
      <c r="CR82" s="20" t="n"/>
      <c r="CS82" s="20" t="inlineStr">
        <is>
          <t>None</t>
        </is>
      </c>
      <c r="CT82" s="17" t="n"/>
      <c r="CU82" s="16" t="n"/>
      <c r="CV82" s="20" t="n"/>
      <c r="CW82" s="20" t="inlineStr">
        <is>
          <t>None</t>
        </is>
      </c>
      <c r="CX82" s="17" t="n"/>
      <c r="CY82" s="16" t="n"/>
      <c r="CZ82" s="20" t="inlineStr">
        <is>
          <t>WTW Multimeter 3430 with FDO 925</t>
        </is>
      </c>
      <c r="DA82" s="20" t="inlineStr">
        <is>
          <t>None</t>
        </is>
      </c>
      <c r="DB82" s="17" t="n"/>
      <c r="DC82" s="16" t="n"/>
      <c r="DD82" s="20" t="n"/>
      <c r="DE82" s="20" t="inlineStr">
        <is>
          <t>None</t>
        </is>
      </c>
      <c r="DF82" s="17" t="n"/>
      <c r="DG82" s="16" t="n"/>
      <c r="DH82" s="20" t="inlineStr">
        <is>
          <t>SOP 45-09</t>
        </is>
      </c>
      <c r="DI82" s="20" t="inlineStr">
        <is>
          <t>None</t>
        </is>
      </c>
      <c r="DJ82" s="17" t="n"/>
      <c r="DK82" s="16" t="n"/>
      <c r="DL82" s="20" t="inlineStr">
        <is>
          <t>SOP 45-09 (SOP muss noch angepasst werden für VSS)</t>
        </is>
      </c>
      <c r="DM82" s="20" t="inlineStr">
        <is>
          <t>None</t>
        </is>
      </c>
      <c r="DN82" s="17" t="n"/>
      <c r="DO82" s="16" t="n"/>
      <c r="DP82" s="20" t="inlineStr">
        <is>
          <t>IC Organic Acids</t>
        </is>
      </c>
      <c r="DQ82" s="20" t="inlineStr">
        <is>
          <t>None</t>
        </is>
      </c>
      <c r="DR82" s="17" t="n"/>
      <c r="DS82" s="16" t="n"/>
      <c r="DT82" s="20" t="inlineStr">
        <is>
          <t>IC Organic Acids</t>
        </is>
      </c>
      <c r="DU82" s="20" t="inlineStr">
        <is>
          <t>None</t>
        </is>
      </c>
      <c r="DV82" s="17" t="n"/>
      <c r="DW82" s="16" t="n"/>
      <c r="DX82" s="20" t="inlineStr">
        <is>
          <t>IC Organic Acids</t>
        </is>
      </c>
      <c r="DY82" s="20" t="inlineStr">
        <is>
          <t>None</t>
        </is>
      </c>
      <c r="DZ82" s="17" t="n"/>
      <c r="EA82" s="16" t="n"/>
      <c r="EB82" s="20" t="inlineStr">
        <is>
          <t>IC Organic Acids</t>
        </is>
      </c>
      <c r="EC82" s="20" t="inlineStr">
        <is>
          <t>None</t>
        </is>
      </c>
      <c r="ED82" s="17" t="n"/>
      <c r="EE82" s="16" t="n"/>
      <c r="EF82" s="20" t="inlineStr">
        <is>
          <t>IC Organic Acids</t>
        </is>
      </c>
      <c r="EG82" s="20" t="inlineStr">
        <is>
          <t>None</t>
        </is>
      </c>
      <c r="EH82" s="17" t="n"/>
      <c r="EI82" s="16" t="n"/>
      <c r="EJ82" s="20" t="inlineStr">
        <is>
          <t>IC Organic Acids</t>
        </is>
      </c>
      <c r="EK82" s="20" t="inlineStr">
        <is>
          <t>None</t>
        </is>
      </c>
      <c r="EL82" s="17" t="n"/>
      <c r="EM82" s="16" t="n"/>
      <c r="EN82" s="20" t="inlineStr">
        <is>
          <t>IC Organic Acids</t>
        </is>
      </c>
      <c r="EO82" s="20" t="inlineStr">
        <is>
          <t>None</t>
        </is>
      </c>
      <c r="EP82" s="17" t="n"/>
      <c r="EQ82" s="16" t="n"/>
      <c r="ER82" s="20" t="inlineStr">
        <is>
          <t>IC Organic Acids</t>
        </is>
      </c>
      <c r="ES82" s="20" t="inlineStr">
        <is>
          <t>None</t>
        </is>
      </c>
      <c r="ET82" s="17" t="n"/>
      <c r="EU82" s="16" t="n"/>
      <c r="EV82" s="20" t="inlineStr">
        <is>
          <t>LC-MS</t>
        </is>
      </c>
      <c r="EW82" s="20" t="inlineStr">
        <is>
          <t>None</t>
        </is>
      </c>
      <c r="EX82" s="17" t="n"/>
      <c r="EY82" s="21" t="n"/>
      <c r="EZ82">
        <f>CONCATENATE(A82,B82)</f>
        <v/>
      </c>
      <c r="FA82">
        <f>CONCATENATE(SamplesX!A82,SamplesX!B82)</f>
        <v/>
      </c>
      <c r="FC82">
        <f>MATCH(EZ82,FA1:FA1008,0)</f>
        <v/>
      </c>
    </row>
    <row r="83">
      <c r="A83" s="16" t="inlineStr">
        <is>
          <t>BP</t>
        </is>
      </c>
      <c r="B83" s="17" t="inlineStr">
        <is>
          <t>25075</t>
        </is>
      </c>
      <c r="C83" s="10">
        <f>IF(ISNUMBER(FC83),INDIRECT("SamplesX!C"&amp;FC83),IF(ISNUMBER(FD83),INDIRECT("SamplesY!C"&amp;FD83),""))</f>
        <v/>
      </c>
      <c r="D83" s="12">
        <f>IF(ISNUMBER(FC83),INDIRECT("SamplesX!D"&amp;FC83),IF(ISNUMBER(FD83),INDIRECT("SamplesY!D"&amp;FD83),""))</f>
        <v/>
      </c>
      <c r="E83" s="12">
        <f>IF(ISNUMBER(FC83),INDIRECT("SamplesX!E"&amp;FC83),IF(ISNUMBER(FD83),INDIRECT("SamplesY!E"&amp;FD83),""))</f>
        <v/>
      </c>
      <c r="F83" s="11">
        <f>IF(ISNUMBER(FC83),INDIRECT("SamplesX!F"&amp;FC83),IF(ISNUMBER(FD83),INDIRECT("SamplesY!F"&amp;FD83),""))</f>
        <v/>
      </c>
      <c r="G83" s="18">
        <f>IF(ISNUMBER(FC83),INDIRECT("SamplesX!G"&amp;FC83),IF(ISNUMBER(FD83),INDIRECT("SamplesY!G"&amp;FD83),""))</f>
        <v/>
      </c>
      <c r="H83" s="19">
        <f>IF(ISNUMBER(FC83),INDIRECT("SamplesX!H"&amp;FC83),IF(ISNUMBER(FD83),INDIRECT("SamplesY!H"&amp;FD83),""))</f>
        <v/>
      </c>
      <c r="I83" s="16" t="n"/>
      <c r="J83" s="16" t="n"/>
      <c r="K83" s="16" t="n"/>
      <c r="L83" s="20" t="n"/>
      <c r="M83" s="20" t="inlineStr">
        <is>
          <t>None</t>
        </is>
      </c>
      <c r="N83" s="17" t="n"/>
      <c r="O83" s="16" t="n"/>
      <c r="P83" s="20" t="inlineStr">
        <is>
          <t>Shimadzu TOC-L</t>
        </is>
      </c>
      <c r="Q83" s="20" t="inlineStr">
        <is>
          <t>None</t>
        </is>
      </c>
      <c r="R83" s="17" t="n"/>
      <c r="S83" s="16" t="n"/>
      <c r="T83" s="20" t="inlineStr">
        <is>
          <t>Shimadzu TOC-L</t>
        </is>
      </c>
      <c r="U83" s="20" t="inlineStr">
        <is>
          <t>None</t>
        </is>
      </c>
      <c r="V83" s="17" t="n"/>
      <c r="W83" s="16" t="n"/>
      <c r="X83" s="20" t="n"/>
      <c r="Y83" s="20" t="inlineStr">
        <is>
          <t>None</t>
        </is>
      </c>
      <c r="Z83" s="17" t="n"/>
      <c r="AA83" s="16" t="n"/>
      <c r="AB83" s="20" t="n"/>
      <c r="AC83" s="20" t="inlineStr">
        <is>
          <t>None</t>
        </is>
      </c>
      <c r="AD83" s="17" t="n"/>
      <c r="AE83" s="16" t="inlineStr">
        <is>
          <t>211</t>
        </is>
      </c>
      <c r="AF83" s="20" t="inlineStr">
        <is>
          <t>IC Anionen</t>
        </is>
      </c>
      <c r="AG83" s="20" t="inlineStr">
        <is>
          <t>None</t>
        </is>
      </c>
      <c r="AH83" s="17" t="n"/>
      <c r="AI83" s="16" t="n"/>
      <c r="AJ83" s="20" t="n"/>
      <c r="AK83" s="20" t="inlineStr">
        <is>
          <t>None</t>
        </is>
      </c>
      <c r="AL83" s="17" t="n"/>
      <c r="AM83" s="16" t="n"/>
      <c r="AN83" s="20" t="inlineStr">
        <is>
          <t>IC Anionen</t>
        </is>
      </c>
      <c r="AO83" s="20" t="inlineStr">
        <is>
          <t>None</t>
        </is>
      </c>
      <c r="AP83" s="17" t="n"/>
      <c r="AQ83" s="16" t="n"/>
      <c r="AR83" s="20" t="n"/>
      <c r="AS83" s="20" t="inlineStr">
        <is>
          <t>None</t>
        </is>
      </c>
      <c r="AT83" s="17" t="n"/>
      <c r="AU83" s="16" t="inlineStr">
        <is>
          <t>20.7</t>
        </is>
      </c>
      <c r="AV83" s="20" t="inlineStr">
        <is>
          <t>IC Anionen</t>
        </is>
      </c>
      <c r="AW83" s="20" t="inlineStr">
        <is>
          <t>None</t>
        </is>
      </c>
      <c r="AX83" s="17" t="n"/>
      <c r="AY83" s="16" t="inlineStr">
        <is>
          <t>&lt;0.8</t>
        </is>
      </c>
      <c r="AZ83" s="20" t="inlineStr">
        <is>
          <t>IC Anionen</t>
        </is>
      </c>
      <c r="BA83" s="20" t="inlineStr">
        <is>
          <t>None</t>
        </is>
      </c>
      <c r="BB83" s="17" t="n"/>
      <c r="BC83" s="16" t="inlineStr">
        <is>
          <t>133</t>
        </is>
      </c>
      <c r="BD83" s="20" t="inlineStr">
        <is>
          <t>IC Kationen</t>
        </is>
      </c>
      <c r="BE83" s="20" t="inlineStr">
        <is>
          <t>None</t>
        </is>
      </c>
      <c r="BF83" s="17" t="n"/>
      <c r="BG83" s="16" t="inlineStr">
        <is>
          <t>1.68</t>
        </is>
      </c>
      <c r="BH83" s="20" t="inlineStr">
        <is>
          <t>IC Kationen</t>
        </is>
      </c>
      <c r="BI83" s="20" t="inlineStr">
        <is>
          <t>None</t>
        </is>
      </c>
      <c r="BJ83" s="17" t="n"/>
      <c r="BK83" s="16" t="inlineStr">
        <is>
          <t>17.0</t>
        </is>
      </c>
      <c r="BL83" s="20" t="inlineStr">
        <is>
          <t>IC Kationen</t>
        </is>
      </c>
      <c r="BM83" s="20" t="inlineStr">
        <is>
          <t>None</t>
        </is>
      </c>
      <c r="BN83" s="17" t="n"/>
      <c r="BO83" s="16" t="inlineStr">
        <is>
          <t>323</t>
        </is>
      </c>
      <c r="BP83" s="20" t="inlineStr">
        <is>
          <t>IC Kationen</t>
        </is>
      </c>
      <c r="BQ83" s="20" t="inlineStr">
        <is>
          <t>None</t>
        </is>
      </c>
      <c r="BR83" s="17" t="n"/>
      <c r="BS83" s="16" t="inlineStr">
        <is>
          <t>36.4</t>
        </is>
      </c>
      <c r="BT83" s="20" t="inlineStr">
        <is>
          <t>IC Kationen</t>
        </is>
      </c>
      <c r="BU83" s="20" t="inlineStr">
        <is>
          <t>None</t>
        </is>
      </c>
      <c r="BV83" s="17" t="n"/>
      <c r="BW83" s="16" t="n"/>
      <c r="BX83" s="20" t="n"/>
      <c r="BY83" s="20" t="inlineStr">
        <is>
          <t>None</t>
        </is>
      </c>
      <c r="BZ83" s="17" t="n"/>
      <c r="CA83" s="16" t="n"/>
      <c r="CB83" s="20" t="n"/>
      <c r="CC83" s="20" t="inlineStr">
        <is>
          <t>None</t>
        </is>
      </c>
      <c r="CD83" s="17" t="n"/>
      <c r="CE83" s="16" t="n"/>
      <c r="CF83" s="20" t="n"/>
      <c r="CG83" s="20" t="inlineStr">
        <is>
          <t>None</t>
        </is>
      </c>
      <c r="CH83" s="17" t="n"/>
      <c r="CI83" s="16" t="n"/>
      <c r="CJ83" s="20" t="n"/>
      <c r="CK83" s="20" t="inlineStr">
        <is>
          <t>None</t>
        </is>
      </c>
      <c r="CL83" s="17" t="n"/>
      <c r="CM83" s="16" t="n"/>
      <c r="CN83" s="20" t="inlineStr">
        <is>
          <t>SOP 45-34</t>
        </is>
      </c>
      <c r="CO83" s="20" t="inlineStr">
        <is>
          <t>None</t>
        </is>
      </c>
      <c r="CP83" s="17" t="n"/>
      <c r="CQ83" s="16" t="n"/>
      <c r="CR83" s="20" t="n"/>
      <c r="CS83" s="20" t="inlineStr">
        <is>
          <t>None</t>
        </is>
      </c>
      <c r="CT83" s="17" t="n"/>
      <c r="CU83" s="16" t="n"/>
      <c r="CV83" s="20" t="n"/>
      <c r="CW83" s="20" t="inlineStr">
        <is>
          <t>None</t>
        </is>
      </c>
      <c r="CX83" s="17" t="n"/>
      <c r="CY83" s="16" t="n"/>
      <c r="CZ83" s="20" t="inlineStr">
        <is>
          <t>WTW Multimeter 3430 with FDO 925</t>
        </is>
      </c>
      <c r="DA83" s="20" t="inlineStr">
        <is>
          <t>None</t>
        </is>
      </c>
      <c r="DB83" s="17" t="n"/>
      <c r="DC83" s="16" t="n"/>
      <c r="DD83" s="20" t="n"/>
      <c r="DE83" s="20" t="inlineStr">
        <is>
          <t>None</t>
        </is>
      </c>
      <c r="DF83" s="17" t="n"/>
      <c r="DG83" s="16" t="n"/>
      <c r="DH83" s="20" t="inlineStr">
        <is>
          <t>SOP 45-09</t>
        </is>
      </c>
      <c r="DI83" s="20" t="inlineStr">
        <is>
          <t>None</t>
        </is>
      </c>
      <c r="DJ83" s="17" t="n"/>
      <c r="DK83" s="16" t="n"/>
      <c r="DL83" s="20" t="inlineStr">
        <is>
          <t>SOP 45-09 (SOP muss noch angepasst werden für VSS)</t>
        </is>
      </c>
      <c r="DM83" s="20" t="inlineStr">
        <is>
          <t>None</t>
        </is>
      </c>
      <c r="DN83" s="17" t="n"/>
      <c r="DO83" s="16" t="n"/>
      <c r="DP83" s="20" t="inlineStr">
        <is>
          <t>IC Organic Acids</t>
        </is>
      </c>
      <c r="DQ83" s="20" t="inlineStr">
        <is>
          <t>None</t>
        </is>
      </c>
      <c r="DR83" s="17" t="n"/>
      <c r="DS83" s="16" t="n"/>
      <c r="DT83" s="20" t="inlineStr">
        <is>
          <t>IC Organic Acids</t>
        </is>
      </c>
      <c r="DU83" s="20" t="inlineStr">
        <is>
          <t>None</t>
        </is>
      </c>
      <c r="DV83" s="17" t="n"/>
      <c r="DW83" s="16" t="n"/>
      <c r="DX83" s="20" t="inlineStr">
        <is>
          <t>IC Organic Acids</t>
        </is>
      </c>
      <c r="DY83" s="20" t="inlineStr">
        <is>
          <t>None</t>
        </is>
      </c>
      <c r="DZ83" s="17" t="n"/>
      <c r="EA83" s="16" t="n"/>
      <c r="EB83" s="20" t="inlineStr">
        <is>
          <t>IC Organic Acids</t>
        </is>
      </c>
      <c r="EC83" s="20" t="inlineStr">
        <is>
          <t>None</t>
        </is>
      </c>
      <c r="ED83" s="17" t="n"/>
      <c r="EE83" s="16" t="n"/>
      <c r="EF83" s="20" t="inlineStr">
        <is>
          <t>IC Organic Acids</t>
        </is>
      </c>
      <c r="EG83" s="20" t="inlineStr">
        <is>
          <t>None</t>
        </is>
      </c>
      <c r="EH83" s="17" t="n"/>
      <c r="EI83" s="16" t="n"/>
      <c r="EJ83" s="20" t="inlineStr">
        <is>
          <t>IC Organic Acids</t>
        </is>
      </c>
      <c r="EK83" s="20" t="inlineStr">
        <is>
          <t>None</t>
        </is>
      </c>
      <c r="EL83" s="17" t="n"/>
      <c r="EM83" s="16" t="n"/>
      <c r="EN83" s="20" t="inlineStr">
        <is>
          <t>IC Organic Acids</t>
        </is>
      </c>
      <c r="EO83" s="20" t="inlineStr">
        <is>
          <t>None</t>
        </is>
      </c>
      <c r="EP83" s="17" t="n"/>
      <c r="EQ83" s="16" t="n"/>
      <c r="ER83" s="20" t="inlineStr">
        <is>
          <t>IC Organic Acids</t>
        </is>
      </c>
      <c r="ES83" s="20" t="inlineStr">
        <is>
          <t>None</t>
        </is>
      </c>
      <c r="ET83" s="17" t="n"/>
      <c r="EU83" s="16" t="n"/>
      <c r="EV83" s="20" t="inlineStr">
        <is>
          <t>LC-MS</t>
        </is>
      </c>
      <c r="EW83" s="20" t="inlineStr">
        <is>
          <t>None</t>
        </is>
      </c>
      <c r="EX83" s="17" t="n"/>
      <c r="EY83" s="21" t="n"/>
      <c r="EZ83">
        <f>CONCATENATE(A83,B83)</f>
        <v/>
      </c>
      <c r="FA83">
        <f>CONCATENATE(SamplesX!A83,SamplesX!B83)</f>
        <v/>
      </c>
      <c r="FC83">
        <f>MATCH(EZ83,FA1:FA1008,0)</f>
        <v/>
      </c>
    </row>
    <row r="84">
      <c r="A84" s="16" t="inlineStr">
        <is>
          <t>BP</t>
        </is>
      </c>
      <c r="B84" s="17" t="inlineStr">
        <is>
          <t>25076</t>
        </is>
      </c>
      <c r="C84" s="10">
        <f>IF(ISNUMBER(FC84),INDIRECT("SamplesX!C"&amp;FC84),IF(ISNUMBER(FD84),INDIRECT("SamplesY!C"&amp;FD84),""))</f>
        <v/>
      </c>
      <c r="D84" s="12">
        <f>IF(ISNUMBER(FC84),INDIRECT("SamplesX!D"&amp;FC84),IF(ISNUMBER(FD84),INDIRECT("SamplesY!D"&amp;FD84),""))</f>
        <v/>
      </c>
      <c r="E84" s="12">
        <f>IF(ISNUMBER(FC84),INDIRECT("SamplesX!E"&amp;FC84),IF(ISNUMBER(FD84),INDIRECT("SamplesY!E"&amp;FD84),""))</f>
        <v/>
      </c>
      <c r="F84" s="11">
        <f>IF(ISNUMBER(FC84),INDIRECT("SamplesX!F"&amp;FC84),IF(ISNUMBER(FD84),INDIRECT("SamplesY!F"&amp;FD84),""))</f>
        <v/>
      </c>
      <c r="G84" s="18">
        <f>IF(ISNUMBER(FC84),INDIRECT("SamplesX!G"&amp;FC84),IF(ISNUMBER(FD84),INDIRECT("SamplesY!G"&amp;FD84),""))</f>
        <v/>
      </c>
      <c r="H84" s="19">
        <f>IF(ISNUMBER(FC84),INDIRECT("SamplesX!H"&amp;FC84),IF(ISNUMBER(FD84),INDIRECT("SamplesY!H"&amp;FD84),""))</f>
        <v/>
      </c>
      <c r="I84" s="16" t="n"/>
      <c r="J84" s="16" t="n"/>
      <c r="K84" s="16" t="n"/>
      <c r="L84" s="20" t="n"/>
      <c r="M84" s="20" t="inlineStr">
        <is>
          <t>None</t>
        </is>
      </c>
      <c r="N84" s="17" t="n"/>
      <c r="O84" s="16" t="n"/>
      <c r="P84" s="20" t="inlineStr">
        <is>
          <t>Shimadzu TOC-L</t>
        </is>
      </c>
      <c r="Q84" s="20" t="inlineStr">
        <is>
          <t>None</t>
        </is>
      </c>
      <c r="R84" s="17" t="n"/>
      <c r="S84" s="16" t="n"/>
      <c r="T84" s="20" t="inlineStr">
        <is>
          <t>Shimadzu TOC-L</t>
        </is>
      </c>
      <c r="U84" s="20" t="inlineStr">
        <is>
          <t>None</t>
        </is>
      </c>
      <c r="V84" s="17" t="n"/>
      <c r="W84" s="16" t="n"/>
      <c r="X84" s="20" t="n"/>
      <c r="Y84" s="20" t="inlineStr">
        <is>
          <t>None</t>
        </is>
      </c>
      <c r="Z84" s="17" t="n"/>
      <c r="AA84" s="16" t="n"/>
      <c r="AB84" s="20" t="n"/>
      <c r="AC84" s="20" t="inlineStr">
        <is>
          <t>None</t>
        </is>
      </c>
      <c r="AD84" s="17" t="n"/>
      <c r="AE84" s="16" t="inlineStr">
        <is>
          <t>208</t>
        </is>
      </c>
      <c r="AF84" s="20" t="inlineStr">
        <is>
          <t>IC Anionen</t>
        </is>
      </c>
      <c r="AG84" s="20" t="inlineStr">
        <is>
          <t>None</t>
        </is>
      </c>
      <c r="AH84" s="17" t="n"/>
      <c r="AI84" s="16" t="n"/>
      <c r="AJ84" s="20" t="n"/>
      <c r="AK84" s="20" t="inlineStr">
        <is>
          <t>None</t>
        </is>
      </c>
      <c r="AL84" s="17" t="n"/>
      <c r="AM84" s="16" t="n"/>
      <c r="AN84" s="20" t="inlineStr">
        <is>
          <t>IC Anionen</t>
        </is>
      </c>
      <c r="AO84" s="20" t="inlineStr">
        <is>
          <t>None</t>
        </is>
      </c>
      <c r="AP84" s="17" t="n"/>
      <c r="AQ84" s="16" t="n"/>
      <c r="AR84" s="20" t="n"/>
      <c r="AS84" s="20" t="inlineStr">
        <is>
          <t>None</t>
        </is>
      </c>
      <c r="AT84" s="17" t="n"/>
      <c r="AU84" s="16" t="inlineStr">
        <is>
          <t>24.6</t>
        </is>
      </c>
      <c r="AV84" s="20" t="inlineStr">
        <is>
          <t>IC Anionen</t>
        </is>
      </c>
      <c r="AW84" s="20" t="inlineStr">
        <is>
          <t>None</t>
        </is>
      </c>
      <c r="AX84" s="17" t="n"/>
      <c r="AY84" s="16" t="inlineStr">
        <is>
          <t>&lt;0.8</t>
        </is>
      </c>
      <c r="AZ84" s="20" t="inlineStr">
        <is>
          <t>IC Anionen</t>
        </is>
      </c>
      <c r="BA84" s="20" t="inlineStr">
        <is>
          <t>None</t>
        </is>
      </c>
      <c r="BB84" s="17" t="n"/>
      <c r="BC84" s="16" t="inlineStr">
        <is>
          <t>129</t>
        </is>
      </c>
      <c r="BD84" s="20" t="inlineStr">
        <is>
          <t>IC Kationen</t>
        </is>
      </c>
      <c r="BE84" s="20" t="inlineStr">
        <is>
          <t>None</t>
        </is>
      </c>
      <c r="BF84" s="17" t="n"/>
      <c r="BG84" s="16" t="inlineStr">
        <is>
          <t>15.6</t>
        </is>
      </c>
      <c r="BH84" s="20" t="inlineStr">
        <is>
          <t>IC Kationen</t>
        </is>
      </c>
      <c r="BI84" s="20" t="inlineStr">
        <is>
          <t>None</t>
        </is>
      </c>
      <c r="BJ84" s="17" t="n"/>
      <c r="BK84" s="16" t="inlineStr">
        <is>
          <t>19.6</t>
        </is>
      </c>
      <c r="BL84" s="20" t="inlineStr">
        <is>
          <t>IC Kationen</t>
        </is>
      </c>
      <c r="BM84" s="20" t="inlineStr">
        <is>
          <t>None</t>
        </is>
      </c>
      <c r="BN84" s="17" t="n"/>
      <c r="BO84" s="16" t="inlineStr">
        <is>
          <t>313</t>
        </is>
      </c>
      <c r="BP84" s="20" t="inlineStr">
        <is>
          <t>IC Kationen</t>
        </is>
      </c>
      <c r="BQ84" s="20" t="inlineStr">
        <is>
          <t>None</t>
        </is>
      </c>
      <c r="BR84" s="17" t="n"/>
      <c r="BS84" s="16" t="inlineStr">
        <is>
          <t>35.8</t>
        </is>
      </c>
      <c r="BT84" s="20" t="inlineStr">
        <is>
          <t>IC Kationen</t>
        </is>
      </c>
      <c r="BU84" s="20" t="inlineStr">
        <is>
          <t>None</t>
        </is>
      </c>
      <c r="BV84" s="17" t="n"/>
      <c r="BW84" s="16" t="n"/>
      <c r="BX84" s="20" t="n"/>
      <c r="BY84" s="20" t="inlineStr">
        <is>
          <t>None</t>
        </is>
      </c>
      <c r="BZ84" s="17" t="n"/>
      <c r="CA84" s="16" t="n"/>
      <c r="CB84" s="20" t="n"/>
      <c r="CC84" s="20" t="inlineStr">
        <is>
          <t>None</t>
        </is>
      </c>
      <c r="CD84" s="17" t="n"/>
      <c r="CE84" s="16" t="n"/>
      <c r="CF84" s="20" t="n"/>
      <c r="CG84" s="20" t="inlineStr">
        <is>
          <t>None</t>
        </is>
      </c>
      <c r="CH84" s="17" t="n"/>
      <c r="CI84" s="16" t="n"/>
      <c r="CJ84" s="20" t="n"/>
      <c r="CK84" s="20" t="inlineStr">
        <is>
          <t>None</t>
        </is>
      </c>
      <c r="CL84" s="17" t="n"/>
      <c r="CM84" s="16" t="n"/>
      <c r="CN84" s="20" t="inlineStr">
        <is>
          <t>SOP 45-34</t>
        </is>
      </c>
      <c r="CO84" s="20" t="inlineStr">
        <is>
          <t>None</t>
        </is>
      </c>
      <c r="CP84" s="17" t="n"/>
      <c r="CQ84" s="16" t="n"/>
      <c r="CR84" s="20" t="n"/>
      <c r="CS84" s="20" t="inlineStr">
        <is>
          <t>None</t>
        </is>
      </c>
      <c r="CT84" s="17" t="n"/>
      <c r="CU84" s="16" t="n"/>
      <c r="CV84" s="20" t="n"/>
      <c r="CW84" s="20" t="inlineStr">
        <is>
          <t>None</t>
        </is>
      </c>
      <c r="CX84" s="17" t="n"/>
      <c r="CY84" s="16" t="n"/>
      <c r="CZ84" s="20" t="inlineStr">
        <is>
          <t>WTW Multimeter 3430 with FDO 925</t>
        </is>
      </c>
      <c r="DA84" s="20" t="inlineStr">
        <is>
          <t>None</t>
        </is>
      </c>
      <c r="DB84" s="17" t="n"/>
      <c r="DC84" s="16" t="n"/>
      <c r="DD84" s="20" t="n"/>
      <c r="DE84" s="20" t="inlineStr">
        <is>
          <t>None</t>
        </is>
      </c>
      <c r="DF84" s="17" t="n"/>
      <c r="DG84" s="16" t="n"/>
      <c r="DH84" s="20" t="inlineStr">
        <is>
          <t>SOP 45-09</t>
        </is>
      </c>
      <c r="DI84" s="20" t="inlineStr">
        <is>
          <t>None</t>
        </is>
      </c>
      <c r="DJ84" s="17" t="n"/>
      <c r="DK84" s="16" t="n"/>
      <c r="DL84" s="20" t="inlineStr">
        <is>
          <t>SOP 45-09 (SOP muss noch angepasst werden für VSS)</t>
        </is>
      </c>
      <c r="DM84" s="20" t="inlineStr">
        <is>
          <t>None</t>
        </is>
      </c>
      <c r="DN84" s="17" t="n"/>
      <c r="DO84" s="16" t="n"/>
      <c r="DP84" s="20" t="inlineStr">
        <is>
          <t>IC Organic Acids</t>
        </is>
      </c>
      <c r="DQ84" s="20" t="inlineStr">
        <is>
          <t>None</t>
        </is>
      </c>
      <c r="DR84" s="17" t="n"/>
      <c r="DS84" s="16" t="n"/>
      <c r="DT84" s="20" t="inlineStr">
        <is>
          <t>IC Organic Acids</t>
        </is>
      </c>
      <c r="DU84" s="20" t="inlineStr">
        <is>
          <t>None</t>
        </is>
      </c>
      <c r="DV84" s="17" t="n"/>
      <c r="DW84" s="16" t="n"/>
      <c r="DX84" s="20" t="inlineStr">
        <is>
          <t>IC Organic Acids</t>
        </is>
      </c>
      <c r="DY84" s="20" t="inlineStr">
        <is>
          <t>None</t>
        </is>
      </c>
      <c r="DZ84" s="17" t="n"/>
      <c r="EA84" s="16" t="n"/>
      <c r="EB84" s="20" t="inlineStr">
        <is>
          <t>IC Organic Acids</t>
        </is>
      </c>
      <c r="EC84" s="20" t="inlineStr">
        <is>
          <t>None</t>
        </is>
      </c>
      <c r="ED84" s="17" t="n"/>
      <c r="EE84" s="16" t="n"/>
      <c r="EF84" s="20" t="inlineStr">
        <is>
          <t>IC Organic Acids</t>
        </is>
      </c>
      <c r="EG84" s="20" t="inlineStr">
        <is>
          <t>None</t>
        </is>
      </c>
      <c r="EH84" s="17" t="n"/>
      <c r="EI84" s="16" t="n"/>
      <c r="EJ84" s="20" t="inlineStr">
        <is>
          <t>IC Organic Acids</t>
        </is>
      </c>
      <c r="EK84" s="20" t="inlineStr">
        <is>
          <t>None</t>
        </is>
      </c>
      <c r="EL84" s="17" t="n"/>
      <c r="EM84" s="16" t="n"/>
      <c r="EN84" s="20" t="inlineStr">
        <is>
          <t>IC Organic Acids</t>
        </is>
      </c>
      <c r="EO84" s="20" t="inlineStr">
        <is>
          <t>None</t>
        </is>
      </c>
      <c r="EP84" s="17" t="n"/>
      <c r="EQ84" s="16" t="n"/>
      <c r="ER84" s="20" t="inlineStr">
        <is>
          <t>IC Organic Acids</t>
        </is>
      </c>
      <c r="ES84" s="20" t="inlineStr">
        <is>
          <t>None</t>
        </is>
      </c>
      <c r="ET84" s="17" t="n"/>
      <c r="EU84" s="16" t="n"/>
      <c r="EV84" s="20" t="inlineStr">
        <is>
          <t>LC-MS</t>
        </is>
      </c>
      <c r="EW84" s="20" t="inlineStr">
        <is>
          <t>None</t>
        </is>
      </c>
      <c r="EX84" s="17" t="n"/>
      <c r="EY84" s="21" t="n"/>
      <c r="EZ84">
        <f>CONCATENATE(A84,B84)</f>
        <v/>
      </c>
      <c r="FA84">
        <f>CONCATENATE(SamplesX!A84,SamplesX!B84)</f>
        <v/>
      </c>
      <c r="FC84">
        <f>MATCH(EZ84,FA1:FA1008,0)</f>
        <v/>
      </c>
    </row>
    <row r="85">
      <c r="A85" s="16" t="inlineStr">
        <is>
          <t>BP</t>
        </is>
      </c>
      <c r="B85" s="17" t="inlineStr">
        <is>
          <t>25077</t>
        </is>
      </c>
      <c r="C85" s="10">
        <f>IF(ISNUMBER(FC85),INDIRECT("SamplesX!C"&amp;FC85),IF(ISNUMBER(FD85),INDIRECT("SamplesY!C"&amp;FD85),""))</f>
        <v/>
      </c>
      <c r="D85" s="12">
        <f>IF(ISNUMBER(FC85),INDIRECT("SamplesX!D"&amp;FC85),IF(ISNUMBER(FD85),INDIRECT("SamplesY!D"&amp;FD85),""))</f>
        <v/>
      </c>
      <c r="E85" s="12">
        <f>IF(ISNUMBER(FC85),INDIRECT("SamplesX!E"&amp;FC85),IF(ISNUMBER(FD85),INDIRECT("SamplesY!E"&amp;FD85),""))</f>
        <v/>
      </c>
      <c r="F85" s="11">
        <f>IF(ISNUMBER(FC85),INDIRECT("SamplesX!F"&amp;FC85),IF(ISNUMBER(FD85),INDIRECT("SamplesY!F"&amp;FD85),""))</f>
        <v/>
      </c>
      <c r="G85" s="18">
        <f>IF(ISNUMBER(FC85),INDIRECT("SamplesX!G"&amp;FC85),IF(ISNUMBER(FD85),INDIRECT("SamplesY!G"&amp;FD85),""))</f>
        <v/>
      </c>
      <c r="H85" s="19">
        <f>IF(ISNUMBER(FC85),INDIRECT("SamplesX!H"&amp;FC85),IF(ISNUMBER(FD85),INDIRECT("SamplesY!H"&amp;FD85),""))</f>
        <v/>
      </c>
      <c r="I85" s="16" t="n"/>
      <c r="J85" s="16" t="n"/>
      <c r="K85" s="16" t="n"/>
      <c r="L85" s="20" t="n"/>
      <c r="M85" s="20" t="inlineStr">
        <is>
          <t>None</t>
        </is>
      </c>
      <c r="N85" s="17" t="n"/>
      <c r="O85" s="16" t="n"/>
      <c r="P85" s="20" t="inlineStr">
        <is>
          <t>Shimadzu TOC-L</t>
        </is>
      </c>
      <c r="Q85" s="20" t="inlineStr">
        <is>
          <t>None</t>
        </is>
      </c>
      <c r="R85" s="17" t="n"/>
      <c r="S85" s="16" t="n"/>
      <c r="T85" s="20" t="inlineStr">
        <is>
          <t>Shimadzu TOC-L</t>
        </is>
      </c>
      <c r="U85" s="20" t="inlineStr">
        <is>
          <t>None</t>
        </is>
      </c>
      <c r="V85" s="17" t="n"/>
      <c r="W85" s="16" t="n"/>
      <c r="X85" s="20" t="n"/>
      <c r="Y85" s="20" t="inlineStr">
        <is>
          <t>None</t>
        </is>
      </c>
      <c r="Z85" s="17" t="n"/>
      <c r="AA85" s="16" t="n"/>
      <c r="AB85" s="20" t="n"/>
      <c r="AC85" s="20" t="inlineStr">
        <is>
          <t>None</t>
        </is>
      </c>
      <c r="AD85" s="17" t="n"/>
      <c r="AE85" s="16" t="inlineStr">
        <is>
          <t>252</t>
        </is>
      </c>
      <c r="AF85" s="20" t="inlineStr">
        <is>
          <t>IC Anionen</t>
        </is>
      </c>
      <c r="AG85" s="20" t="inlineStr">
        <is>
          <t>None</t>
        </is>
      </c>
      <c r="AH85" s="17" t="n"/>
      <c r="AI85" s="16" t="n"/>
      <c r="AJ85" s="20" t="n"/>
      <c r="AK85" s="20" t="inlineStr">
        <is>
          <t>None</t>
        </is>
      </c>
      <c r="AL85" s="17" t="n"/>
      <c r="AM85" s="16" t="n"/>
      <c r="AN85" s="20" t="inlineStr">
        <is>
          <t>IC Anionen</t>
        </is>
      </c>
      <c r="AO85" s="20" t="inlineStr">
        <is>
          <t>None</t>
        </is>
      </c>
      <c r="AP85" s="17" t="n"/>
      <c r="AQ85" s="16" t="n"/>
      <c r="AR85" s="20" t="n"/>
      <c r="AS85" s="20" t="inlineStr">
        <is>
          <t>None</t>
        </is>
      </c>
      <c r="AT85" s="17" t="n"/>
      <c r="AU85" s="16" t="inlineStr">
        <is>
          <t>14.2</t>
        </is>
      </c>
      <c r="AV85" s="20" t="inlineStr">
        <is>
          <t>IC Anionen</t>
        </is>
      </c>
      <c r="AW85" s="20" t="inlineStr">
        <is>
          <t>None</t>
        </is>
      </c>
      <c r="AX85" s="17" t="n"/>
      <c r="AY85" s="16" t="inlineStr">
        <is>
          <t>&lt;0.8</t>
        </is>
      </c>
      <c r="AZ85" s="20" t="inlineStr">
        <is>
          <t>IC Anionen</t>
        </is>
      </c>
      <c r="BA85" s="20" t="inlineStr">
        <is>
          <t>None</t>
        </is>
      </c>
      <c r="BB85" s="17" t="n"/>
      <c r="BC85" s="16" t="inlineStr">
        <is>
          <t>121</t>
        </is>
      </c>
      <c r="BD85" s="20" t="inlineStr">
        <is>
          <t>IC Kationen</t>
        </is>
      </c>
      <c r="BE85" s="20" t="inlineStr">
        <is>
          <t>None</t>
        </is>
      </c>
      <c r="BF85" s="17" t="n"/>
      <c r="BG85" s="16" t="inlineStr">
        <is>
          <t>8.15</t>
        </is>
      </c>
      <c r="BH85" s="20" t="inlineStr">
        <is>
          <t>IC Kationen</t>
        </is>
      </c>
      <c r="BI85" s="20" t="inlineStr">
        <is>
          <t>None</t>
        </is>
      </c>
      <c r="BJ85" s="17" t="n"/>
      <c r="BK85" s="16" t="inlineStr">
        <is>
          <t>17.3</t>
        </is>
      </c>
      <c r="BL85" s="20" t="inlineStr">
        <is>
          <t>IC Kationen</t>
        </is>
      </c>
      <c r="BM85" s="20" t="inlineStr">
        <is>
          <t>None</t>
        </is>
      </c>
      <c r="BN85" s="17" t="n"/>
      <c r="BO85" s="16" t="inlineStr">
        <is>
          <t>292</t>
        </is>
      </c>
      <c r="BP85" s="20" t="inlineStr">
        <is>
          <t>IC Kationen</t>
        </is>
      </c>
      <c r="BQ85" s="20" t="inlineStr">
        <is>
          <t>None</t>
        </is>
      </c>
      <c r="BR85" s="17" t="n"/>
      <c r="BS85" s="16" t="inlineStr">
        <is>
          <t>33.4</t>
        </is>
      </c>
      <c r="BT85" s="20" t="inlineStr">
        <is>
          <t>IC Kationen</t>
        </is>
      </c>
      <c r="BU85" s="20" t="inlineStr">
        <is>
          <t>None</t>
        </is>
      </c>
      <c r="BV85" s="17" t="n"/>
      <c r="BW85" s="16" t="n"/>
      <c r="BX85" s="20" t="n"/>
      <c r="BY85" s="20" t="inlineStr">
        <is>
          <t>None</t>
        </is>
      </c>
      <c r="BZ85" s="17" t="n"/>
      <c r="CA85" s="16" t="n"/>
      <c r="CB85" s="20" t="n"/>
      <c r="CC85" s="20" t="inlineStr">
        <is>
          <t>None</t>
        </is>
      </c>
      <c r="CD85" s="17" t="n"/>
      <c r="CE85" s="16" t="n"/>
      <c r="CF85" s="20" t="n"/>
      <c r="CG85" s="20" t="inlineStr">
        <is>
          <t>None</t>
        </is>
      </c>
      <c r="CH85" s="17" t="n"/>
      <c r="CI85" s="16" t="n"/>
      <c r="CJ85" s="20" t="n"/>
      <c r="CK85" s="20" t="inlineStr">
        <is>
          <t>None</t>
        </is>
      </c>
      <c r="CL85" s="17" t="n"/>
      <c r="CM85" s="16" t="n"/>
      <c r="CN85" s="20" t="inlineStr">
        <is>
          <t>SOP 45-34</t>
        </is>
      </c>
      <c r="CO85" s="20" t="inlineStr">
        <is>
          <t>None</t>
        </is>
      </c>
      <c r="CP85" s="17" t="n"/>
      <c r="CQ85" s="16" t="n"/>
      <c r="CR85" s="20" t="n"/>
      <c r="CS85" s="20" t="inlineStr">
        <is>
          <t>None</t>
        </is>
      </c>
      <c r="CT85" s="17" t="n"/>
      <c r="CU85" s="16" t="n"/>
      <c r="CV85" s="20" t="n"/>
      <c r="CW85" s="20" t="inlineStr">
        <is>
          <t>None</t>
        </is>
      </c>
      <c r="CX85" s="17" t="n"/>
      <c r="CY85" s="16" t="n"/>
      <c r="CZ85" s="20" t="inlineStr">
        <is>
          <t>WTW Multimeter 3430 with FDO 925</t>
        </is>
      </c>
      <c r="DA85" s="20" t="inlineStr">
        <is>
          <t>None</t>
        </is>
      </c>
      <c r="DB85" s="17" t="n"/>
      <c r="DC85" s="16" t="n"/>
      <c r="DD85" s="20" t="n"/>
      <c r="DE85" s="20" t="inlineStr">
        <is>
          <t>None</t>
        </is>
      </c>
      <c r="DF85" s="17" t="n"/>
      <c r="DG85" s="16" t="n"/>
      <c r="DH85" s="20" t="inlineStr">
        <is>
          <t>SOP 45-09</t>
        </is>
      </c>
      <c r="DI85" s="20" t="inlineStr">
        <is>
          <t>None</t>
        </is>
      </c>
      <c r="DJ85" s="17" t="n"/>
      <c r="DK85" s="16" t="n"/>
      <c r="DL85" s="20" t="inlineStr">
        <is>
          <t>SOP 45-09 (SOP muss noch angepasst werden für VSS)</t>
        </is>
      </c>
      <c r="DM85" s="20" t="inlineStr">
        <is>
          <t>None</t>
        </is>
      </c>
      <c r="DN85" s="17" t="n"/>
      <c r="DO85" s="16" t="n"/>
      <c r="DP85" s="20" t="inlineStr">
        <is>
          <t>IC Organic Acids</t>
        </is>
      </c>
      <c r="DQ85" s="20" t="inlineStr">
        <is>
          <t>None</t>
        </is>
      </c>
      <c r="DR85" s="17" t="n"/>
      <c r="DS85" s="16" t="n"/>
      <c r="DT85" s="20" t="inlineStr">
        <is>
          <t>IC Organic Acids</t>
        </is>
      </c>
      <c r="DU85" s="20" t="inlineStr">
        <is>
          <t>None</t>
        </is>
      </c>
      <c r="DV85" s="17" t="n"/>
      <c r="DW85" s="16" t="n"/>
      <c r="DX85" s="20" t="inlineStr">
        <is>
          <t>IC Organic Acids</t>
        </is>
      </c>
      <c r="DY85" s="20" t="inlineStr">
        <is>
          <t>None</t>
        </is>
      </c>
      <c r="DZ85" s="17" t="n"/>
      <c r="EA85" s="16" t="n"/>
      <c r="EB85" s="20" t="inlineStr">
        <is>
          <t>IC Organic Acids</t>
        </is>
      </c>
      <c r="EC85" s="20" t="inlineStr">
        <is>
          <t>None</t>
        </is>
      </c>
      <c r="ED85" s="17" t="n"/>
      <c r="EE85" s="16" t="n"/>
      <c r="EF85" s="20" t="inlineStr">
        <is>
          <t>IC Organic Acids</t>
        </is>
      </c>
      <c r="EG85" s="20" t="inlineStr">
        <is>
          <t>None</t>
        </is>
      </c>
      <c r="EH85" s="17" t="n"/>
      <c r="EI85" s="16" t="n"/>
      <c r="EJ85" s="20" t="inlineStr">
        <is>
          <t>IC Organic Acids</t>
        </is>
      </c>
      <c r="EK85" s="20" t="inlineStr">
        <is>
          <t>None</t>
        </is>
      </c>
      <c r="EL85" s="17" t="n"/>
      <c r="EM85" s="16" t="n"/>
      <c r="EN85" s="20" t="inlineStr">
        <is>
          <t>IC Organic Acids</t>
        </is>
      </c>
      <c r="EO85" s="20" t="inlineStr">
        <is>
          <t>None</t>
        </is>
      </c>
      <c r="EP85" s="17" t="n"/>
      <c r="EQ85" s="16" t="n"/>
      <c r="ER85" s="20" t="inlineStr">
        <is>
          <t>IC Organic Acids</t>
        </is>
      </c>
      <c r="ES85" s="20" t="inlineStr">
        <is>
          <t>None</t>
        </is>
      </c>
      <c r="ET85" s="17" t="n"/>
      <c r="EU85" s="16" t="n"/>
      <c r="EV85" s="20" t="inlineStr">
        <is>
          <t>LC-MS</t>
        </is>
      </c>
      <c r="EW85" s="20" t="inlineStr">
        <is>
          <t>None</t>
        </is>
      </c>
      <c r="EX85" s="17" t="n"/>
      <c r="EY85" s="21" t="n"/>
      <c r="EZ85">
        <f>CONCATENATE(A85,B85)</f>
        <v/>
      </c>
      <c r="FA85">
        <f>CONCATENATE(SamplesX!A85,SamplesX!B85)</f>
        <v/>
      </c>
      <c r="FC85">
        <f>MATCH(EZ85,FA1:FA1008,0)</f>
        <v/>
      </c>
    </row>
    <row r="86">
      <c r="A86" s="16" t="inlineStr">
        <is>
          <t>BP</t>
        </is>
      </c>
      <c r="B86" s="17" t="inlineStr">
        <is>
          <t>25078</t>
        </is>
      </c>
      <c r="C86" s="10">
        <f>IF(ISNUMBER(FC86),INDIRECT("SamplesX!C"&amp;FC86),IF(ISNUMBER(FD86),INDIRECT("SamplesY!C"&amp;FD86),""))</f>
        <v/>
      </c>
      <c r="D86" s="12">
        <f>IF(ISNUMBER(FC86),INDIRECT("SamplesX!D"&amp;FC86),IF(ISNUMBER(FD86),INDIRECT("SamplesY!D"&amp;FD86),""))</f>
        <v/>
      </c>
      <c r="E86" s="12">
        <f>IF(ISNUMBER(FC86),INDIRECT("SamplesX!E"&amp;FC86),IF(ISNUMBER(FD86),INDIRECT("SamplesY!E"&amp;FD86),""))</f>
        <v/>
      </c>
      <c r="F86" s="11">
        <f>IF(ISNUMBER(FC86),INDIRECT("SamplesX!F"&amp;FC86),IF(ISNUMBER(FD86),INDIRECT("SamplesY!F"&amp;FD86),""))</f>
        <v/>
      </c>
      <c r="G86" s="18">
        <f>IF(ISNUMBER(FC86),INDIRECT("SamplesX!G"&amp;FC86),IF(ISNUMBER(FD86),INDIRECT("SamplesY!G"&amp;FD86),""))</f>
        <v/>
      </c>
      <c r="H86" s="19">
        <f>IF(ISNUMBER(FC86),INDIRECT("SamplesX!H"&amp;FC86),IF(ISNUMBER(FD86),INDIRECT("SamplesY!H"&amp;FD86),""))</f>
        <v/>
      </c>
      <c r="I86" s="16" t="n"/>
      <c r="J86" s="16" t="n"/>
      <c r="K86" s="16" t="n"/>
      <c r="L86" s="20" t="n"/>
      <c r="M86" s="20" t="inlineStr">
        <is>
          <t>None</t>
        </is>
      </c>
      <c r="N86" s="17" t="n"/>
      <c r="O86" s="16" t="n"/>
      <c r="P86" s="20" t="inlineStr">
        <is>
          <t>Shimadzu TOC-L</t>
        </is>
      </c>
      <c r="Q86" s="20" t="inlineStr">
        <is>
          <t>None</t>
        </is>
      </c>
      <c r="R86" s="17" t="n"/>
      <c r="S86" s="16" t="n"/>
      <c r="T86" s="20" t="inlineStr">
        <is>
          <t>Shimadzu TOC-L</t>
        </is>
      </c>
      <c r="U86" s="20" t="inlineStr">
        <is>
          <t>None</t>
        </is>
      </c>
      <c r="V86" s="17" t="n"/>
      <c r="W86" s="16" t="n"/>
      <c r="X86" s="20" t="n"/>
      <c r="Y86" s="20" t="inlineStr">
        <is>
          <t>None</t>
        </is>
      </c>
      <c r="Z86" s="17" t="n"/>
      <c r="AA86" s="16" t="n"/>
      <c r="AB86" s="20" t="n"/>
      <c r="AC86" s="20" t="inlineStr">
        <is>
          <t>None</t>
        </is>
      </c>
      <c r="AD86" s="17" t="n"/>
      <c r="AE86" s="16" t="inlineStr">
        <is>
          <t>281</t>
        </is>
      </c>
      <c r="AF86" s="20" t="inlineStr">
        <is>
          <t>IC Anionen</t>
        </is>
      </c>
      <c r="AG86" s="20" t="inlineStr">
        <is>
          <t>None</t>
        </is>
      </c>
      <c r="AH86" s="17" t="n"/>
      <c r="AI86" s="16" t="n"/>
      <c r="AJ86" s="20" t="n"/>
      <c r="AK86" s="20" t="inlineStr">
        <is>
          <t>None</t>
        </is>
      </c>
      <c r="AL86" s="17" t="n"/>
      <c r="AM86" s="16" t="n"/>
      <c r="AN86" s="20" t="inlineStr">
        <is>
          <t>IC Anionen</t>
        </is>
      </c>
      <c r="AO86" s="20" t="inlineStr">
        <is>
          <t>None</t>
        </is>
      </c>
      <c r="AP86" s="17" t="n"/>
      <c r="AQ86" s="16" t="n"/>
      <c r="AR86" s="20" t="n"/>
      <c r="AS86" s="20" t="inlineStr">
        <is>
          <t>None</t>
        </is>
      </c>
      <c r="AT86" s="17" t="n"/>
      <c r="AU86" s="16" t="inlineStr">
        <is>
          <t>0.73</t>
        </is>
      </c>
      <c r="AV86" s="20" t="inlineStr">
        <is>
          <t>IC Anionen</t>
        </is>
      </c>
      <c r="AW86" s="20" t="inlineStr">
        <is>
          <t>None</t>
        </is>
      </c>
      <c r="AX86" s="17" t="n"/>
      <c r="AY86" s="16" t="inlineStr">
        <is>
          <t>&lt;0.8</t>
        </is>
      </c>
      <c r="AZ86" s="20" t="inlineStr">
        <is>
          <t>IC Anionen</t>
        </is>
      </c>
      <c r="BA86" s="20" t="inlineStr">
        <is>
          <t>None</t>
        </is>
      </c>
      <c r="BB86" s="17" t="n"/>
      <c r="BC86" s="16" t="inlineStr">
        <is>
          <t>127</t>
        </is>
      </c>
      <c r="BD86" s="20" t="inlineStr">
        <is>
          <t>IC Kationen</t>
        </is>
      </c>
      <c r="BE86" s="20" t="inlineStr">
        <is>
          <t>None</t>
        </is>
      </c>
      <c r="BF86" s="17" t="n"/>
      <c r="BG86" s="16" t="inlineStr">
        <is>
          <t>&lt;1.6</t>
        </is>
      </c>
      <c r="BH86" s="20" t="inlineStr">
        <is>
          <t>IC Kationen</t>
        </is>
      </c>
      <c r="BI86" s="20" t="inlineStr">
        <is>
          <t>None</t>
        </is>
      </c>
      <c r="BJ86" s="17" t="n"/>
      <c r="BK86" s="16" t="inlineStr">
        <is>
          <t>15.8</t>
        </is>
      </c>
      <c r="BL86" s="20" t="inlineStr">
        <is>
          <t>IC Kationen</t>
        </is>
      </c>
      <c r="BM86" s="20" t="inlineStr">
        <is>
          <t>None</t>
        </is>
      </c>
      <c r="BN86" s="17" t="n"/>
      <c r="BO86" s="16" t="inlineStr">
        <is>
          <t>275</t>
        </is>
      </c>
      <c r="BP86" s="20" t="inlineStr">
        <is>
          <t>IC Kationen</t>
        </is>
      </c>
      <c r="BQ86" s="20" t="inlineStr">
        <is>
          <t>None</t>
        </is>
      </c>
      <c r="BR86" s="17" t="n"/>
      <c r="BS86" s="16" t="inlineStr">
        <is>
          <t>33.1</t>
        </is>
      </c>
      <c r="BT86" s="20" t="inlineStr">
        <is>
          <t>IC Kationen</t>
        </is>
      </c>
      <c r="BU86" s="20" t="inlineStr">
        <is>
          <t>None</t>
        </is>
      </c>
      <c r="BV86" s="17" t="n"/>
      <c r="BW86" s="16" t="n"/>
      <c r="BX86" s="20" t="n"/>
      <c r="BY86" s="20" t="inlineStr">
        <is>
          <t>None</t>
        </is>
      </c>
      <c r="BZ86" s="17" t="n"/>
      <c r="CA86" s="16" t="n"/>
      <c r="CB86" s="20" t="n"/>
      <c r="CC86" s="20" t="inlineStr">
        <is>
          <t>None</t>
        </is>
      </c>
      <c r="CD86" s="17" t="n"/>
      <c r="CE86" s="16" t="n"/>
      <c r="CF86" s="20" t="n"/>
      <c r="CG86" s="20" t="inlineStr">
        <is>
          <t>None</t>
        </is>
      </c>
      <c r="CH86" s="17" t="n"/>
      <c r="CI86" s="16" t="n"/>
      <c r="CJ86" s="20" t="n"/>
      <c r="CK86" s="20" t="inlineStr">
        <is>
          <t>None</t>
        </is>
      </c>
      <c r="CL86" s="17" t="n"/>
      <c r="CM86" s="16" t="n"/>
      <c r="CN86" s="20" t="inlineStr">
        <is>
          <t>SOP 45-34</t>
        </is>
      </c>
      <c r="CO86" s="20" t="inlineStr">
        <is>
          <t>None</t>
        </is>
      </c>
      <c r="CP86" s="17" t="n"/>
      <c r="CQ86" s="16" t="n"/>
      <c r="CR86" s="20" t="n"/>
      <c r="CS86" s="20" t="inlineStr">
        <is>
          <t>None</t>
        </is>
      </c>
      <c r="CT86" s="17" t="n"/>
      <c r="CU86" s="16" t="n"/>
      <c r="CV86" s="20" t="n"/>
      <c r="CW86" s="20" t="inlineStr">
        <is>
          <t>None</t>
        </is>
      </c>
      <c r="CX86" s="17" t="n"/>
      <c r="CY86" s="16" t="n"/>
      <c r="CZ86" s="20" t="inlineStr">
        <is>
          <t>WTW Multimeter 3430 with FDO 925</t>
        </is>
      </c>
      <c r="DA86" s="20" t="inlineStr">
        <is>
          <t>None</t>
        </is>
      </c>
      <c r="DB86" s="17" t="n"/>
      <c r="DC86" s="16" t="n"/>
      <c r="DD86" s="20" t="n"/>
      <c r="DE86" s="20" t="inlineStr">
        <is>
          <t>None</t>
        </is>
      </c>
      <c r="DF86" s="17" t="n"/>
      <c r="DG86" s="16" t="n"/>
      <c r="DH86" s="20" t="inlineStr">
        <is>
          <t>SOP 45-09</t>
        </is>
      </c>
      <c r="DI86" s="20" t="inlineStr">
        <is>
          <t>None</t>
        </is>
      </c>
      <c r="DJ86" s="17" t="n"/>
      <c r="DK86" s="16" t="n"/>
      <c r="DL86" s="20" t="inlineStr">
        <is>
          <t>SOP 45-09 (SOP muss noch angepasst werden für VSS)</t>
        </is>
      </c>
      <c r="DM86" s="20" t="inlineStr">
        <is>
          <t>None</t>
        </is>
      </c>
      <c r="DN86" s="17" t="n"/>
      <c r="DO86" s="16" t="n"/>
      <c r="DP86" s="20" t="inlineStr">
        <is>
          <t>IC Organic Acids</t>
        </is>
      </c>
      <c r="DQ86" s="20" t="inlineStr">
        <is>
          <t>None</t>
        </is>
      </c>
      <c r="DR86" s="17" t="n"/>
      <c r="DS86" s="16" t="n"/>
      <c r="DT86" s="20" t="inlineStr">
        <is>
          <t>IC Organic Acids</t>
        </is>
      </c>
      <c r="DU86" s="20" t="inlineStr">
        <is>
          <t>None</t>
        </is>
      </c>
      <c r="DV86" s="17" t="n"/>
      <c r="DW86" s="16" t="n"/>
      <c r="DX86" s="20" t="inlineStr">
        <is>
          <t>IC Organic Acids</t>
        </is>
      </c>
      <c r="DY86" s="20" t="inlineStr">
        <is>
          <t>None</t>
        </is>
      </c>
      <c r="DZ86" s="17" t="n"/>
      <c r="EA86" s="16" t="n"/>
      <c r="EB86" s="20" t="inlineStr">
        <is>
          <t>IC Organic Acids</t>
        </is>
      </c>
      <c r="EC86" s="20" t="inlineStr">
        <is>
          <t>None</t>
        </is>
      </c>
      <c r="ED86" s="17" t="n"/>
      <c r="EE86" s="16" t="n"/>
      <c r="EF86" s="20" t="inlineStr">
        <is>
          <t>IC Organic Acids</t>
        </is>
      </c>
      <c r="EG86" s="20" t="inlineStr">
        <is>
          <t>None</t>
        </is>
      </c>
      <c r="EH86" s="17" t="n"/>
      <c r="EI86" s="16" t="n"/>
      <c r="EJ86" s="20" t="inlineStr">
        <is>
          <t>IC Organic Acids</t>
        </is>
      </c>
      <c r="EK86" s="20" t="inlineStr">
        <is>
          <t>None</t>
        </is>
      </c>
      <c r="EL86" s="17" t="n"/>
      <c r="EM86" s="16" t="n"/>
      <c r="EN86" s="20" t="inlineStr">
        <is>
          <t>IC Organic Acids</t>
        </is>
      </c>
      <c r="EO86" s="20" t="inlineStr">
        <is>
          <t>None</t>
        </is>
      </c>
      <c r="EP86" s="17" t="n"/>
      <c r="EQ86" s="16" t="n"/>
      <c r="ER86" s="20" t="inlineStr">
        <is>
          <t>IC Organic Acids</t>
        </is>
      </c>
      <c r="ES86" s="20" t="inlineStr">
        <is>
          <t>None</t>
        </is>
      </c>
      <c r="ET86" s="17" t="n"/>
      <c r="EU86" s="16" t="n"/>
      <c r="EV86" s="20" t="inlineStr">
        <is>
          <t>LC-MS</t>
        </is>
      </c>
      <c r="EW86" s="20" t="inlineStr">
        <is>
          <t>None</t>
        </is>
      </c>
      <c r="EX86" s="17" t="n"/>
      <c r="EY86" s="21" t="n"/>
      <c r="EZ86">
        <f>CONCATENATE(A86,B86)</f>
        <v/>
      </c>
      <c r="FA86">
        <f>CONCATENATE(SamplesX!A86,SamplesX!B86)</f>
        <v/>
      </c>
      <c r="FC86">
        <f>MATCH(EZ86,FA1:FA1008,0)</f>
        <v/>
      </c>
    </row>
    <row r="87">
      <c r="A87" s="16" t="inlineStr">
        <is>
          <t>BP</t>
        </is>
      </c>
      <c r="B87" s="17" t="inlineStr">
        <is>
          <t>25079</t>
        </is>
      </c>
      <c r="C87" s="10">
        <f>IF(ISNUMBER(FC87),INDIRECT("SamplesX!C"&amp;FC87),IF(ISNUMBER(FD87),INDIRECT("SamplesY!C"&amp;FD87),""))</f>
        <v/>
      </c>
      <c r="D87" s="12">
        <f>IF(ISNUMBER(FC87),INDIRECT("SamplesX!D"&amp;FC87),IF(ISNUMBER(FD87),INDIRECT("SamplesY!D"&amp;FD87),""))</f>
        <v/>
      </c>
      <c r="E87" s="12">
        <f>IF(ISNUMBER(FC87),INDIRECT("SamplesX!E"&amp;FC87),IF(ISNUMBER(FD87),INDIRECT("SamplesY!E"&amp;FD87),""))</f>
        <v/>
      </c>
      <c r="F87" s="11">
        <f>IF(ISNUMBER(FC87),INDIRECT("SamplesX!F"&amp;FC87),IF(ISNUMBER(FD87),INDIRECT("SamplesY!F"&amp;FD87),""))</f>
        <v/>
      </c>
      <c r="G87" s="18">
        <f>IF(ISNUMBER(FC87),INDIRECT("SamplesX!G"&amp;FC87),IF(ISNUMBER(FD87),INDIRECT("SamplesY!G"&amp;FD87),""))</f>
        <v/>
      </c>
      <c r="H87" s="19">
        <f>IF(ISNUMBER(FC87),INDIRECT("SamplesX!H"&amp;FC87),IF(ISNUMBER(FD87),INDIRECT("SamplesY!H"&amp;FD87),""))</f>
        <v/>
      </c>
      <c r="I87" s="16" t="n"/>
      <c r="J87" s="16" t="n"/>
      <c r="K87" s="16" t="n"/>
      <c r="L87" s="20" t="n"/>
      <c r="M87" s="20" t="inlineStr">
        <is>
          <t>None</t>
        </is>
      </c>
      <c r="N87" s="17" t="n"/>
      <c r="O87" s="16" t="n"/>
      <c r="P87" s="20" t="inlineStr">
        <is>
          <t>Shimadzu TOC-L</t>
        </is>
      </c>
      <c r="Q87" s="20" t="inlineStr">
        <is>
          <t>None</t>
        </is>
      </c>
      <c r="R87" s="17" t="n"/>
      <c r="S87" s="16" t="n"/>
      <c r="T87" s="20" t="inlineStr">
        <is>
          <t>Shimadzu TOC-L</t>
        </is>
      </c>
      <c r="U87" s="20" t="inlineStr">
        <is>
          <t>None</t>
        </is>
      </c>
      <c r="V87" s="17" t="n"/>
      <c r="W87" s="16" t="n"/>
      <c r="X87" s="20" t="n"/>
      <c r="Y87" s="20" t="inlineStr">
        <is>
          <t>None</t>
        </is>
      </c>
      <c r="Z87" s="17" t="n"/>
      <c r="AA87" s="16" t="n"/>
      <c r="AB87" s="20" t="n"/>
      <c r="AC87" s="20" t="inlineStr">
        <is>
          <t>None</t>
        </is>
      </c>
      <c r="AD87" s="17" t="n"/>
      <c r="AE87" s="16" t="inlineStr">
        <is>
          <t>206</t>
        </is>
      </c>
      <c r="AF87" s="20" t="inlineStr">
        <is>
          <t>IC Anionen</t>
        </is>
      </c>
      <c r="AG87" s="20" t="inlineStr">
        <is>
          <t>None</t>
        </is>
      </c>
      <c r="AH87" s="17" t="n"/>
      <c r="AI87" s="16" t="n"/>
      <c r="AJ87" s="20" t="n"/>
      <c r="AK87" s="20" t="inlineStr">
        <is>
          <t>None</t>
        </is>
      </c>
      <c r="AL87" s="17" t="n"/>
      <c r="AM87" s="16" t="n"/>
      <c r="AN87" s="20" t="inlineStr">
        <is>
          <t>IC Anionen</t>
        </is>
      </c>
      <c r="AO87" s="20" t="inlineStr">
        <is>
          <t>None</t>
        </is>
      </c>
      <c r="AP87" s="17" t="n"/>
      <c r="AQ87" s="16" t="n"/>
      <c r="AR87" s="20" t="n"/>
      <c r="AS87" s="20" t="inlineStr">
        <is>
          <t>None</t>
        </is>
      </c>
      <c r="AT87" s="17" t="n"/>
      <c r="AU87" s="16" t="inlineStr">
        <is>
          <t>13.6</t>
        </is>
      </c>
      <c r="AV87" s="20" t="inlineStr">
        <is>
          <t>IC Anionen</t>
        </is>
      </c>
      <c r="AW87" s="20" t="inlineStr">
        <is>
          <t>None</t>
        </is>
      </c>
      <c r="AX87" s="17" t="n"/>
      <c r="AY87" s="16" t="inlineStr">
        <is>
          <t>&lt;0.8</t>
        </is>
      </c>
      <c r="AZ87" s="20" t="inlineStr">
        <is>
          <t>IC Anionen</t>
        </is>
      </c>
      <c r="BA87" s="20" t="inlineStr">
        <is>
          <t>None</t>
        </is>
      </c>
      <c r="BB87" s="17" t="n"/>
      <c r="BC87" s="16" t="inlineStr">
        <is>
          <t>212</t>
        </is>
      </c>
      <c r="BD87" s="20" t="inlineStr">
        <is>
          <t>IC Kationen</t>
        </is>
      </c>
      <c r="BE87" s="20" t="inlineStr">
        <is>
          <t>None</t>
        </is>
      </c>
      <c r="BF87" s="17" t="n"/>
      <c r="BG87" s="16" t="inlineStr">
        <is>
          <t>&lt;1.6</t>
        </is>
      </c>
      <c r="BH87" s="20" t="inlineStr">
        <is>
          <t>IC Kationen</t>
        </is>
      </c>
      <c r="BI87" s="20" t="inlineStr">
        <is>
          <t>None</t>
        </is>
      </c>
      <c r="BJ87" s="17" t="n"/>
      <c r="BK87" s="16" t="inlineStr">
        <is>
          <t>20.0</t>
        </is>
      </c>
      <c r="BL87" s="20" t="inlineStr">
        <is>
          <t>IC Kationen</t>
        </is>
      </c>
      <c r="BM87" s="20" t="inlineStr">
        <is>
          <t>None</t>
        </is>
      </c>
      <c r="BN87" s="17" t="n"/>
      <c r="BO87" s="16" t="inlineStr">
        <is>
          <t>319</t>
        </is>
      </c>
      <c r="BP87" s="20" t="inlineStr">
        <is>
          <t>IC Kationen</t>
        </is>
      </c>
      <c r="BQ87" s="20" t="inlineStr">
        <is>
          <t>None</t>
        </is>
      </c>
      <c r="BR87" s="17" t="n"/>
      <c r="BS87" s="16" t="inlineStr">
        <is>
          <t>38.0</t>
        </is>
      </c>
      <c r="BT87" s="20" t="inlineStr">
        <is>
          <t>IC Kationen</t>
        </is>
      </c>
      <c r="BU87" s="20" t="inlineStr">
        <is>
          <t>None</t>
        </is>
      </c>
      <c r="BV87" s="17" t="n"/>
      <c r="BW87" s="16" t="n"/>
      <c r="BX87" s="20" t="n"/>
      <c r="BY87" s="20" t="inlineStr">
        <is>
          <t>None</t>
        </is>
      </c>
      <c r="BZ87" s="17" t="n"/>
      <c r="CA87" s="16" t="n"/>
      <c r="CB87" s="20" t="n"/>
      <c r="CC87" s="20" t="inlineStr">
        <is>
          <t>None</t>
        </is>
      </c>
      <c r="CD87" s="17" t="n"/>
      <c r="CE87" s="16" t="n"/>
      <c r="CF87" s="20" t="n"/>
      <c r="CG87" s="20" t="inlineStr">
        <is>
          <t>None</t>
        </is>
      </c>
      <c r="CH87" s="17" t="n"/>
      <c r="CI87" s="16" t="n"/>
      <c r="CJ87" s="20" t="n"/>
      <c r="CK87" s="20" t="inlineStr">
        <is>
          <t>None</t>
        </is>
      </c>
      <c r="CL87" s="17" t="n"/>
      <c r="CM87" s="16" t="n"/>
      <c r="CN87" s="20" t="inlineStr">
        <is>
          <t>SOP 45-34</t>
        </is>
      </c>
      <c r="CO87" s="20" t="inlineStr">
        <is>
          <t>None</t>
        </is>
      </c>
      <c r="CP87" s="17" t="n"/>
      <c r="CQ87" s="16" t="n"/>
      <c r="CR87" s="20" t="n"/>
      <c r="CS87" s="20" t="inlineStr">
        <is>
          <t>None</t>
        </is>
      </c>
      <c r="CT87" s="17" t="n"/>
      <c r="CU87" s="16" t="n"/>
      <c r="CV87" s="20" t="n"/>
      <c r="CW87" s="20" t="inlineStr">
        <is>
          <t>None</t>
        </is>
      </c>
      <c r="CX87" s="17" t="n"/>
      <c r="CY87" s="16" t="n"/>
      <c r="CZ87" s="20" t="inlineStr">
        <is>
          <t>WTW Multimeter 3430 with FDO 925</t>
        </is>
      </c>
      <c r="DA87" s="20" t="inlineStr">
        <is>
          <t>None</t>
        </is>
      </c>
      <c r="DB87" s="17" t="n"/>
      <c r="DC87" s="16" t="n"/>
      <c r="DD87" s="20" t="n"/>
      <c r="DE87" s="20" t="inlineStr">
        <is>
          <t>None</t>
        </is>
      </c>
      <c r="DF87" s="17" t="n"/>
      <c r="DG87" s="16" t="n"/>
      <c r="DH87" s="20" t="inlineStr">
        <is>
          <t>SOP 45-09</t>
        </is>
      </c>
      <c r="DI87" s="20" t="inlineStr">
        <is>
          <t>None</t>
        </is>
      </c>
      <c r="DJ87" s="17" t="n"/>
      <c r="DK87" s="16" t="n"/>
      <c r="DL87" s="20" t="inlineStr">
        <is>
          <t>SOP 45-09 (SOP muss noch angepasst werden für VSS)</t>
        </is>
      </c>
      <c r="DM87" s="20" t="inlineStr">
        <is>
          <t>None</t>
        </is>
      </c>
      <c r="DN87" s="17" t="n"/>
      <c r="DO87" s="16" t="n"/>
      <c r="DP87" s="20" t="inlineStr">
        <is>
          <t>IC Organic Acids</t>
        </is>
      </c>
      <c r="DQ87" s="20" t="inlineStr">
        <is>
          <t>None</t>
        </is>
      </c>
      <c r="DR87" s="17" t="n"/>
      <c r="DS87" s="16" t="n"/>
      <c r="DT87" s="20" t="inlineStr">
        <is>
          <t>IC Organic Acids</t>
        </is>
      </c>
      <c r="DU87" s="20" t="inlineStr">
        <is>
          <t>None</t>
        </is>
      </c>
      <c r="DV87" s="17" t="n"/>
      <c r="DW87" s="16" t="n"/>
      <c r="DX87" s="20" t="inlineStr">
        <is>
          <t>IC Organic Acids</t>
        </is>
      </c>
      <c r="DY87" s="20" t="inlineStr">
        <is>
          <t>None</t>
        </is>
      </c>
      <c r="DZ87" s="17" t="n"/>
      <c r="EA87" s="16" t="n"/>
      <c r="EB87" s="20" t="inlineStr">
        <is>
          <t>IC Organic Acids</t>
        </is>
      </c>
      <c r="EC87" s="20" t="inlineStr">
        <is>
          <t>None</t>
        </is>
      </c>
      <c r="ED87" s="17" t="n"/>
      <c r="EE87" s="16" t="n"/>
      <c r="EF87" s="20" t="inlineStr">
        <is>
          <t>IC Organic Acids</t>
        </is>
      </c>
      <c r="EG87" s="20" t="inlineStr">
        <is>
          <t>None</t>
        </is>
      </c>
      <c r="EH87" s="17" t="n"/>
      <c r="EI87" s="16" t="n"/>
      <c r="EJ87" s="20" t="inlineStr">
        <is>
          <t>IC Organic Acids</t>
        </is>
      </c>
      <c r="EK87" s="20" t="inlineStr">
        <is>
          <t>None</t>
        </is>
      </c>
      <c r="EL87" s="17" t="n"/>
      <c r="EM87" s="16" t="n"/>
      <c r="EN87" s="20" t="inlineStr">
        <is>
          <t>IC Organic Acids</t>
        </is>
      </c>
      <c r="EO87" s="20" t="inlineStr">
        <is>
          <t>None</t>
        </is>
      </c>
      <c r="EP87" s="17" t="n"/>
      <c r="EQ87" s="16" t="n"/>
      <c r="ER87" s="20" t="inlineStr">
        <is>
          <t>IC Organic Acids</t>
        </is>
      </c>
      <c r="ES87" s="20" t="inlineStr">
        <is>
          <t>None</t>
        </is>
      </c>
      <c r="ET87" s="17" t="n"/>
      <c r="EU87" s="16" t="n"/>
      <c r="EV87" s="20" t="inlineStr">
        <is>
          <t>LC-MS</t>
        </is>
      </c>
      <c r="EW87" s="20" t="inlineStr">
        <is>
          <t>None</t>
        </is>
      </c>
      <c r="EX87" s="17" t="n"/>
      <c r="EY87" s="21" t="n"/>
      <c r="EZ87">
        <f>CONCATENATE(A87,B87)</f>
        <v/>
      </c>
      <c r="FA87">
        <f>CONCATENATE(SamplesX!A87,SamplesX!B87)</f>
        <v/>
      </c>
      <c r="FC87">
        <f>MATCH(EZ87,FA1:FA1008,0)</f>
        <v/>
      </c>
    </row>
    <row r="88">
      <c r="A88" s="16" t="inlineStr">
        <is>
          <t>BP</t>
        </is>
      </c>
      <c r="B88" s="17" t="inlineStr">
        <is>
          <t>25080</t>
        </is>
      </c>
      <c r="C88" s="10">
        <f>IF(ISNUMBER(FC88),INDIRECT("SamplesX!C"&amp;FC88),IF(ISNUMBER(FD88),INDIRECT("SamplesY!C"&amp;FD88),""))</f>
        <v/>
      </c>
      <c r="D88" s="12">
        <f>IF(ISNUMBER(FC88),INDIRECT("SamplesX!D"&amp;FC88),IF(ISNUMBER(FD88),INDIRECT("SamplesY!D"&amp;FD88),""))</f>
        <v/>
      </c>
      <c r="E88" s="12">
        <f>IF(ISNUMBER(FC88),INDIRECT("SamplesX!E"&amp;FC88),IF(ISNUMBER(FD88),INDIRECT("SamplesY!E"&amp;FD88),""))</f>
        <v/>
      </c>
      <c r="F88" s="11">
        <f>IF(ISNUMBER(FC88),INDIRECT("SamplesX!F"&amp;FC88),IF(ISNUMBER(FD88),INDIRECT("SamplesY!F"&amp;FD88),""))</f>
        <v/>
      </c>
      <c r="G88" s="18">
        <f>IF(ISNUMBER(FC88),INDIRECT("SamplesX!G"&amp;FC88),IF(ISNUMBER(FD88),INDIRECT("SamplesY!G"&amp;FD88),""))</f>
        <v/>
      </c>
      <c r="H88" s="19">
        <f>IF(ISNUMBER(FC88),INDIRECT("SamplesX!H"&amp;FC88),IF(ISNUMBER(FD88),INDIRECT("SamplesY!H"&amp;FD88),""))</f>
        <v/>
      </c>
      <c r="I88" s="16" t="n"/>
      <c r="J88" s="16" t="n"/>
      <c r="K88" s="16" t="n"/>
      <c r="L88" s="20" t="n"/>
      <c r="M88" s="20" t="inlineStr">
        <is>
          <t>None</t>
        </is>
      </c>
      <c r="N88" s="17" t="n"/>
      <c r="O88" s="16" t="n"/>
      <c r="P88" s="20" t="inlineStr">
        <is>
          <t>Shimadzu TOC-L</t>
        </is>
      </c>
      <c r="Q88" s="20" t="inlineStr">
        <is>
          <t>None</t>
        </is>
      </c>
      <c r="R88" s="17" t="n"/>
      <c r="S88" s="16" t="n"/>
      <c r="T88" s="20" t="inlineStr">
        <is>
          <t>Shimadzu TOC-L</t>
        </is>
      </c>
      <c r="U88" s="20" t="inlineStr">
        <is>
          <t>None</t>
        </is>
      </c>
      <c r="V88" s="17" t="n"/>
      <c r="W88" s="16" t="n"/>
      <c r="X88" s="20" t="n"/>
      <c r="Y88" s="20" t="inlineStr">
        <is>
          <t>None</t>
        </is>
      </c>
      <c r="Z88" s="17" t="n"/>
      <c r="AA88" s="16" t="n"/>
      <c r="AB88" s="20" t="n"/>
      <c r="AC88" s="20" t="inlineStr">
        <is>
          <t>None</t>
        </is>
      </c>
      <c r="AD88" s="17" t="n"/>
      <c r="AE88" s="16" t="inlineStr">
        <is>
          <t>200</t>
        </is>
      </c>
      <c r="AF88" s="20" t="inlineStr">
        <is>
          <t>IC Anionen</t>
        </is>
      </c>
      <c r="AG88" s="20" t="inlineStr">
        <is>
          <t>None</t>
        </is>
      </c>
      <c r="AH88" s="17" t="n"/>
      <c r="AI88" s="16" t="n"/>
      <c r="AJ88" s="20" t="n"/>
      <c r="AK88" s="20" t="inlineStr">
        <is>
          <t>None</t>
        </is>
      </c>
      <c r="AL88" s="17" t="n"/>
      <c r="AM88" s="16" t="n"/>
      <c r="AN88" s="20" t="inlineStr">
        <is>
          <t>IC Anionen</t>
        </is>
      </c>
      <c r="AO88" s="20" t="inlineStr">
        <is>
          <t>None</t>
        </is>
      </c>
      <c r="AP88" s="17" t="n"/>
      <c r="AQ88" s="16" t="n"/>
      <c r="AR88" s="20" t="n"/>
      <c r="AS88" s="20" t="inlineStr">
        <is>
          <t>None</t>
        </is>
      </c>
      <c r="AT88" s="17" t="n"/>
      <c r="AU88" s="16" t="inlineStr">
        <is>
          <t>22.5</t>
        </is>
      </c>
      <c r="AV88" s="20" t="inlineStr">
        <is>
          <t>IC Anionen</t>
        </is>
      </c>
      <c r="AW88" s="20" t="inlineStr">
        <is>
          <t>None</t>
        </is>
      </c>
      <c r="AX88" s="17" t="n"/>
      <c r="AY88" s="16" t="inlineStr">
        <is>
          <t>&lt;0.8</t>
        </is>
      </c>
      <c r="AZ88" s="20" t="inlineStr">
        <is>
          <t>IC Anionen</t>
        </is>
      </c>
      <c r="BA88" s="20" t="inlineStr">
        <is>
          <t>None</t>
        </is>
      </c>
      <c r="BB88" s="17" t="n"/>
      <c r="BC88" s="16" t="inlineStr">
        <is>
          <t>129</t>
        </is>
      </c>
      <c r="BD88" s="20" t="inlineStr">
        <is>
          <t>IC Kationen</t>
        </is>
      </c>
      <c r="BE88" s="20" t="inlineStr">
        <is>
          <t>None</t>
        </is>
      </c>
      <c r="BF88" s="17" t="n"/>
      <c r="BG88" s="16" t="inlineStr">
        <is>
          <t>14.2</t>
        </is>
      </c>
      <c r="BH88" s="20" t="inlineStr">
        <is>
          <t>IC Kationen</t>
        </is>
      </c>
      <c r="BI88" s="20" t="inlineStr">
        <is>
          <t>None</t>
        </is>
      </c>
      <c r="BJ88" s="17" t="n"/>
      <c r="BK88" s="16" t="inlineStr">
        <is>
          <t>19.8</t>
        </is>
      </c>
      <c r="BL88" s="20" t="inlineStr">
        <is>
          <t>IC Kationen</t>
        </is>
      </c>
      <c r="BM88" s="20" t="inlineStr">
        <is>
          <t>None</t>
        </is>
      </c>
      <c r="BN88" s="17" t="n"/>
      <c r="BO88" s="16" t="inlineStr">
        <is>
          <t>316</t>
        </is>
      </c>
      <c r="BP88" s="20" t="inlineStr">
        <is>
          <t>IC Kationen</t>
        </is>
      </c>
      <c r="BQ88" s="20" t="inlineStr">
        <is>
          <t>None</t>
        </is>
      </c>
      <c r="BR88" s="17" t="n"/>
      <c r="BS88" s="16" t="inlineStr">
        <is>
          <t>36.7</t>
        </is>
      </c>
      <c r="BT88" s="20" t="inlineStr">
        <is>
          <t>IC Kationen</t>
        </is>
      </c>
      <c r="BU88" s="20" t="inlineStr">
        <is>
          <t>None</t>
        </is>
      </c>
      <c r="BV88" s="17" t="n"/>
      <c r="BW88" s="16" t="n"/>
      <c r="BX88" s="20" t="n"/>
      <c r="BY88" s="20" t="inlineStr">
        <is>
          <t>None</t>
        </is>
      </c>
      <c r="BZ88" s="17" t="n"/>
      <c r="CA88" s="16" t="n"/>
      <c r="CB88" s="20" t="n"/>
      <c r="CC88" s="20" t="inlineStr">
        <is>
          <t>None</t>
        </is>
      </c>
      <c r="CD88" s="17" t="n"/>
      <c r="CE88" s="16" t="n"/>
      <c r="CF88" s="20" t="n"/>
      <c r="CG88" s="20" t="inlineStr">
        <is>
          <t>None</t>
        </is>
      </c>
      <c r="CH88" s="17" t="n"/>
      <c r="CI88" s="16" t="n"/>
      <c r="CJ88" s="20" t="n"/>
      <c r="CK88" s="20" t="inlineStr">
        <is>
          <t>None</t>
        </is>
      </c>
      <c r="CL88" s="17" t="n"/>
      <c r="CM88" s="16" t="n"/>
      <c r="CN88" s="20" t="inlineStr">
        <is>
          <t>SOP 45-34</t>
        </is>
      </c>
      <c r="CO88" s="20" t="inlineStr">
        <is>
          <t>None</t>
        </is>
      </c>
      <c r="CP88" s="17" t="n"/>
      <c r="CQ88" s="16" t="n"/>
      <c r="CR88" s="20" t="n"/>
      <c r="CS88" s="20" t="inlineStr">
        <is>
          <t>None</t>
        </is>
      </c>
      <c r="CT88" s="17" t="n"/>
      <c r="CU88" s="16" t="n"/>
      <c r="CV88" s="20" t="n"/>
      <c r="CW88" s="20" t="inlineStr">
        <is>
          <t>None</t>
        </is>
      </c>
      <c r="CX88" s="17" t="n"/>
      <c r="CY88" s="16" t="n"/>
      <c r="CZ88" s="20" t="inlineStr">
        <is>
          <t>WTW Multimeter 3430 with FDO 925</t>
        </is>
      </c>
      <c r="DA88" s="20" t="inlineStr">
        <is>
          <t>None</t>
        </is>
      </c>
      <c r="DB88" s="17" t="n"/>
      <c r="DC88" s="16" t="n"/>
      <c r="DD88" s="20" t="n"/>
      <c r="DE88" s="20" t="inlineStr">
        <is>
          <t>None</t>
        </is>
      </c>
      <c r="DF88" s="17" t="n"/>
      <c r="DG88" s="16" t="n"/>
      <c r="DH88" s="20" t="inlineStr">
        <is>
          <t>SOP 45-09</t>
        </is>
      </c>
      <c r="DI88" s="20" t="inlineStr">
        <is>
          <t>None</t>
        </is>
      </c>
      <c r="DJ88" s="17" t="n"/>
      <c r="DK88" s="16" t="n"/>
      <c r="DL88" s="20" t="inlineStr">
        <is>
          <t>SOP 45-09 (SOP muss noch angepasst werden für VSS)</t>
        </is>
      </c>
      <c r="DM88" s="20" t="inlineStr">
        <is>
          <t>None</t>
        </is>
      </c>
      <c r="DN88" s="17" t="n"/>
      <c r="DO88" s="16" t="n"/>
      <c r="DP88" s="20" t="inlineStr">
        <is>
          <t>IC Organic Acids</t>
        </is>
      </c>
      <c r="DQ88" s="20" t="inlineStr">
        <is>
          <t>None</t>
        </is>
      </c>
      <c r="DR88" s="17" t="n"/>
      <c r="DS88" s="16" t="n"/>
      <c r="DT88" s="20" t="inlineStr">
        <is>
          <t>IC Organic Acids</t>
        </is>
      </c>
      <c r="DU88" s="20" t="inlineStr">
        <is>
          <t>None</t>
        </is>
      </c>
      <c r="DV88" s="17" t="n"/>
      <c r="DW88" s="16" t="n"/>
      <c r="DX88" s="20" t="inlineStr">
        <is>
          <t>IC Organic Acids</t>
        </is>
      </c>
      <c r="DY88" s="20" t="inlineStr">
        <is>
          <t>None</t>
        </is>
      </c>
      <c r="DZ88" s="17" t="n"/>
      <c r="EA88" s="16" t="n"/>
      <c r="EB88" s="20" t="inlineStr">
        <is>
          <t>IC Organic Acids</t>
        </is>
      </c>
      <c r="EC88" s="20" t="inlineStr">
        <is>
          <t>None</t>
        </is>
      </c>
      <c r="ED88" s="17" t="n"/>
      <c r="EE88" s="16" t="n"/>
      <c r="EF88" s="20" t="inlineStr">
        <is>
          <t>IC Organic Acids</t>
        </is>
      </c>
      <c r="EG88" s="20" t="inlineStr">
        <is>
          <t>None</t>
        </is>
      </c>
      <c r="EH88" s="17" t="n"/>
      <c r="EI88" s="16" t="n"/>
      <c r="EJ88" s="20" t="inlineStr">
        <is>
          <t>IC Organic Acids</t>
        </is>
      </c>
      <c r="EK88" s="20" t="inlineStr">
        <is>
          <t>None</t>
        </is>
      </c>
      <c r="EL88" s="17" t="n"/>
      <c r="EM88" s="16" t="n"/>
      <c r="EN88" s="20" t="inlineStr">
        <is>
          <t>IC Organic Acids</t>
        </is>
      </c>
      <c r="EO88" s="20" t="inlineStr">
        <is>
          <t>None</t>
        </is>
      </c>
      <c r="EP88" s="17" t="n"/>
      <c r="EQ88" s="16" t="n"/>
      <c r="ER88" s="20" t="inlineStr">
        <is>
          <t>IC Organic Acids</t>
        </is>
      </c>
      <c r="ES88" s="20" t="inlineStr">
        <is>
          <t>None</t>
        </is>
      </c>
      <c r="ET88" s="17" t="n"/>
      <c r="EU88" s="16" t="n"/>
      <c r="EV88" s="20" t="inlineStr">
        <is>
          <t>LC-MS</t>
        </is>
      </c>
      <c r="EW88" s="20" t="inlineStr">
        <is>
          <t>None</t>
        </is>
      </c>
      <c r="EX88" s="17" t="n"/>
      <c r="EY88" s="21" t="n"/>
      <c r="EZ88">
        <f>CONCATENATE(A88,B88)</f>
        <v/>
      </c>
      <c r="FA88">
        <f>CONCATENATE(SamplesX!A88,SamplesX!B88)</f>
        <v/>
      </c>
      <c r="FC88">
        <f>MATCH(EZ88,FA1:FA1008,0)</f>
        <v/>
      </c>
    </row>
    <row r="89">
      <c r="A89" s="16" t="inlineStr">
        <is>
          <t>BP</t>
        </is>
      </c>
      <c r="B89" s="17" t="inlineStr">
        <is>
          <t>25081</t>
        </is>
      </c>
      <c r="C89" s="10">
        <f>IF(ISNUMBER(FC89),INDIRECT("SamplesX!C"&amp;FC89),IF(ISNUMBER(FD89),INDIRECT("SamplesY!C"&amp;FD89),""))</f>
        <v/>
      </c>
      <c r="D89" s="12">
        <f>IF(ISNUMBER(FC89),INDIRECT("SamplesX!D"&amp;FC89),IF(ISNUMBER(FD89),INDIRECT("SamplesY!D"&amp;FD89),""))</f>
        <v/>
      </c>
      <c r="E89" s="12">
        <f>IF(ISNUMBER(FC89),INDIRECT("SamplesX!E"&amp;FC89),IF(ISNUMBER(FD89),INDIRECT("SamplesY!E"&amp;FD89),""))</f>
        <v/>
      </c>
      <c r="F89" s="11">
        <f>IF(ISNUMBER(FC89),INDIRECT("SamplesX!F"&amp;FC89),IF(ISNUMBER(FD89),INDIRECT("SamplesY!F"&amp;FD89),""))</f>
        <v/>
      </c>
      <c r="G89" s="18">
        <f>IF(ISNUMBER(FC89),INDIRECT("SamplesX!G"&amp;FC89),IF(ISNUMBER(FD89),INDIRECT("SamplesY!G"&amp;FD89),""))</f>
        <v/>
      </c>
      <c r="H89" s="19">
        <f>IF(ISNUMBER(FC89),INDIRECT("SamplesX!H"&amp;FC89),IF(ISNUMBER(FD89),INDIRECT("SamplesY!H"&amp;FD89),""))</f>
        <v/>
      </c>
      <c r="I89" s="16" t="n"/>
      <c r="J89" s="16" t="n"/>
      <c r="K89" s="16" t="n"/>
      <c r="L89" s="20" t="n"/>
      <c r="M89" s="20" t="inlineStr">
        <is>
          <t>None</t>
        </is>
      </c>
      <c r="N89" s="17" t="n"/>
      <c r="O89" s="16" t="n"/>
      <c r="P89" s="20" t="inlineStr">
        <is>
          <t>Shimadzu TOC-L</t>
        </is>
      </c>
      <c r="Q89" s="20" t="inlineStr">
        <is>
          <t>None</t>
        </is>
      </c>
      <c r="R89" s="17" t="n"/>
      <c r="S89" s="16" t="n"/>
      <c r="T89" s="20" t="inlineStr">
        <is>
          <t>Shimadzu TOC-L</t>
        </is>
      </c>
      <c r="U89" s="20" t="inlineStr">
        <is>
          <t>None</t>
        </is>
      </c>
      <c r="V89" s="17" t="n"/>
      <c r="W89" s="16" t="n"/>
      <c r="X89" s="20" t="n"/>
      <c r="Y89" s="20" t="inlineStr">
        <is>
          <t>None</t>
        </is>
      </c>
      <c r="Z89" s="17" t="n"/>
      <c r="AA89" s="16" t="n"/>
      <c r="AB89" s="20" t="n"/>
      <c r="AC89" s="20" t="inlineStr">
        <is>
          <t>None</t>
        </is>
      </c>
      <c r="AD89" s="17" t="n"/>
      <c r="AE89" s="16" t="inlineStr">
        <is>
          <t>273</t>
        </is>
      </c>
      <c r="AF89" s="20" t="inlineStr">
        <is>
          <t>IC Anionen</t>
        </is>
      </c>
      <c r="AG89" s="20" t="inlineStr">
        <is>
          <t>None</t>
        </is>
      </c>
      <c r="AH89" s="17" t="n"/>
      <c r="AI89" s="16" t="n"/>
      <c r="AJ89" s="20" t="n"/>
      <c r="AK89" s="20" t="inlineStr">
        <is>
          <t>None</t>
        </is>
      </c>
      <c r="AL89" s="17" t="n"/>
      <c r="AM89" s="16" t="n"/>
      <c r="AN89" s="20" t="inlineStr">
        <is>
          <t>IC Anionen</t>
        </is>
      </c>
      <c r="AO89" s="20" t="inlineStr">
        <is>
          <t>None</t>
        </is>
      </c>
      <c r="AP89" s="17" t="n"/>
      <c r="AQ89" s="16" t="n"/>
      <c r="AR89" s="20" t="n"/>
      <c r="AS89" s="20" t="inlineStr">
        <is>
          <t>None</t>
        </is>
      </c>
      <c r="AT89" s="17" t="n"/>
      <c r="AU89" s="16" t="inlineStr">
        <is>
          <t>4.94</t>
        </is>
      </c>
      <c r="AV89" s="20" t="inlineStr">
        <is>
          <t>IC Anionen</t>
        </is>
      </c>
      <c r="AW89" s="20" t="inlineStr">
        <is>
          <t>None</t>
        </is>
      </c>
      <c r="AX89" s="17" t="n"/>
      <c r="AY89" s="16" t="inlineStr">
        <is>
          <t>&lt;0.8</t>
        </is>
      </c>
      <c r="AZ89" s="20" t="inlineStr">
        <is>
          <t>IC Anionen</t>
        </is>
      </c>
      <c r="BA89" s="20" t="inlineStr">
        <is>
          <t>None</t>
        </is>
      </c>
      <c r="BB89" s="17" t="n"/>
      <c r="BC89" s="16" t="inlineStr">
        <is>
          <t>118</t>
        </is>
      </c>
      <c r="BD89" s="20" t="inlineStr">
        <is>
          <t>IC Kationen</t>
        </is>
      </c>
      <c r="BE89" s="20" t="inlineStr">
        <is>
          <t>None</t>
        </is>
      </c>
      <c r="BF89" s="17" t="n"/>
      <c r="BG89" s="16" t="inlineStr">
        <is>
          <t>9.94</t>
        </is>
      </c>
      <c r="BH89" s="20" t="inlineStr">
        <is>
          <t>IC Kationen</t>
        </is>
      </c>
      <c r="BI89" s="20" t="inlineStr">
        <is>
          <t>None</t>
        </is>
      </c>
      <c r="BJ89" s="17" t="n"/>
      <c r="BK89" s="16" t="inlineStr">
        <is>
          <t>17.5</t>
        </is>
      </c>
      <c r="BL89" s="20" t="inlineStr">
        <is>
          <t>IC Kationen</t>
        </is>
      </c>
      <c r="BM89" s="20" t="inlineStr">
        <is>
          <t>None</t>
        </is>
      </c>
      <c r="BN89" s="17" t="n"/>
      <c r="BO89" s="16" t="inlineStr">
        <is>
          <t>285</t>
        </is>
      </c>
      <c r="BP89" s="20" t="inlineStr">
        <is>
          <t>IC Kationen</t>
        </is>
      </c>
      <c r="BQ89" s="20" t="inlineStr">
        <is>
          <t>None</t>
        </is>
      </c>
      <c r="BR89" s="17" t="n"/>
      <c r="BS89" s="16" t="inlineStr">
        <is>
          <t>32.9</t>
        </is>
      </c>
      <c r="BT89" s="20" t="inlineStr">
        <is>
          <t>IC Kationen</t>
        </is>
      </c>
      <c r="BU89" s="20" t="inlineStr">
        <is>
          <t>None</t>
        </is>
      </c>
      <c r="BV89" s="17" t="n"/>
      <c r="BW89" s="16" t="n"/>
      <c r="BX89" s="20" t="n"/>
      <c r="BY89" s="20" t="inlineStr">
        <is>
          <t>None</t>
        </is>
      </c>
      <c r="BZ89" s="17" t="n"/>
      <c r="CA89" s="16" t="n"/>
      <c r="CB89" s="20" t="n"/>
      <c r="CC89" s="20" t="inlineStr">
        <is>
          <t>None</t>
        </is>
      </c>
      <c r="CD89" s="17" t="n"/>
      <c r="CE89" s="16" t="n"/>
      <c r="CF89" s="20" t="n"/>
      <c r="CG89" s="20" t="inlineStr">
        <is>
          <t>None</t>
        </is>
      </c>
      <c r="CH89" s="17" t="n"/>
      <c r="CI89" s="16" t="n"/>
      <c r="CJ89" s="20" t="n"/>
      <c r="CK89" s="20" t="inlineStr">
        <is>
          <t>None</t>
        </is>
      </c>
      <c r="CL89" s="17" t="n"/>
      <c r="CM89" s="16" t="n"/>
      <c r="CN89" s="20" t="inlineStr">
        <is>
          <t>SOP 45-34</t>
        </is>
      </c>
      <c r="CO89" s="20" t="inlineStr">
        <is>
          <t>None</t>
        </is>
      </c>
      <c r="CP89" s="17" t="n"/>
      <c r="CQ89" s="16" t="n"/>
      <c r="CR89" s="20" t="n"/>
      <c r="CS89" s="20" t="inlineStr">
        <is>
          <t>None</t>
        </is>
      </c>
      <c r="CT89" s="17" t="n"/>
      <c r="CU89" s="16" t="n"/>
      <c r="CV89" s="20" t="n"/>
      <c r="CW89" s="20" t="inlineStr">
        <is>
          <t>None</t>
        </is>
      </c>
      <c r="CX89" s="17" t="n"/>
      <c r="CY89" s="16" t="n"/>
      <c r="CZ89" s="20" t="inlineStr">
        <is>
          <t>WTW Multimeter 3430 with FDO 925</t>
        </is>
      </c>
      <c r="DA89" s="20" t="inlineStr">
        <is>
          <t>None</t>
        </is>
      </c>
      <c r="DB89" s="17" t="n"/>
      <c r="DC89" s="16" t="n"/>
      <c r="DD89" s="20" t="n"/>
      <c r="DE89" s="20" t="inlineStr">
        <is>
          <t>None</t>
        </is>
      </c>
      <c r="DF89" s="17" t="n"/>
      <c r="DG89" s="16" t="n"/>
      <c r="DH89" s="20" t="inlineStr">
        <is>
          <t>SOP 45-09</t>
        </is>
      </c>
      <c r="DI89" s="20" t="inlineStr">
        <is>
          <t>None</t>
        </is>
      </c>
      <c r="DJ89" s="17" t="n"/>
      <c r="DK89" s="16" t="n"/>
      <c r="DL89" s="20" t="inlineStr">
        <is>
          <t>SOP 45-09 (SOP muss noch angepasst werden für VSS)</t>
        </is>
      </c>
      <c r="DM89" s="20" t="inlineStr">
        <is>
          <t>None</t>
        </is>
      </c>
      <c r="DN89" s="17" t="n"/>
      <c r="DO89" s="16" t="n"/>
      <c r="DP89" s="20" t="inlineStr">
        <is>
          <t>IC Organic Acids</t>
        </is>
      </c>
      <c r="DQ89" s="20" t="inlineStr">
        <is>
          <t>None</t>
        </is>
      </c>
      <c r="DR89" s="17" t="n"/>
      <c r="DS89" s="16" t="n"/>
      <c r="DT89" s="20" t="inlineStr">
        <is>
          <t>IC Organic Acids</t>
        </is>
      </c>
      <c r="DU89" s="20" t="inlineStr">
        <is>
          <t>None</t>
        </is>
      </c>
      <c r="DV89" s="17" t="n"/>
      <c r="DW89" s="16" t="n"/>
      <c r="DX89" s="20" t="inlineStr">
        <is>
          <t>IC Organic Acids</t>
        </is>
      </c>
      <c r="DY89" s="20" t="inlineStr">
        <is>
          <t>None</t>
        </is>
      </c>
      <c r="DZ89" s="17" t="n"/>
      <c r="EA89" s="16" t="n"/>
      <c r="EB89" s="20" t="inlineStr">
        <is>
          <t>IC Organic Acids</t>
        </is>
      </c>
      <c r="EC89" s="20" t="inlineStr">
        <is>
          <t>None</t>
        </is>
      </c>
      <c r="ED89" s="17" t="n"/>
      <c r="EE89" s="16" t="n"/>
      <c r="EF89" s="20" t="inlineStr">
        <is>
          <t>IC Organic Acids</t>
        </is>
      </c>
      <c r="EG89" s="20" t="inlineStr">
        <is>
          <t>None</t>
        </is>
      </c>
      <c r="EH89" s="17" t="n"/>
      <c r="EI89" s="16" t="n"/>
      <c r="EJ89" s="20" t="inlineStr">
        <is>
          <t>IC Organic Acids</t>
        </is>
      </c>
      <c r="EK89" s="20" t="inlineStr">
        <is>
          <t>None</t>
        </is>
      </c>
      <c r="EL89" s="17" t="n"/>
      <c r="EM89" s="16" t="n"/>
      <c r="EN89" s="20" t="inlineStr">
        <is>
          <t>IC Organic Acids</t>
        </is>
      </c>
      <c r="EO89" s="20" t="inlineStr">
        <is>
          <t>None</t>
        </is>
      </c>
      <c r="EP89" s="17" t="n"/>
      <c r="EQ89" s="16" t="n"/>
      <c r="ER89" s="20" t="inlineStr">
        <is>
          <t>IC Organic Acids</t>
        </is>
      </c>
      <c r="ES89" s="20" t="inlineStr">
        <is>
          <t>None</t>
        </is>
      </c>
      <c r="ET89" s="17" t="n"/>
      <c r="EU89" s="16" t="n"/>
      <c r="EV89" s="20" t="inlineStr">
        <is>
          <t>LC-MS</t>
        </is>
      </c>
      <c r="EW89" s="20" t="inlineStr">
        <is>
          <t>None</t>
        </is>
      </c>
      <c r="EX89" s="17" t="n"/>
      <c r="EY89" s="21" t="n"/>
      <c r="EZ89">
        <f>CONCATENATE(A89,B89)</f>
        <v/>
      </c>
      <c r="FA89">
        <f>CONCATENATE(SamplesX!A89,SamplesX!B89)</f>
        <v/>
      </c>
      <c r="FC89">
        <f>MATCH(EZ89,FA1:FA1008,0)</f>
        <v/>
      </c>
    </row>
    <row r="90">
      <c r="A90" s="16" t="inlineStr">
        <is>
          <t>BP</t>
        </is>
      </c>
      <c r="B90" s="17" t="inlineStr">
        <is>
          <t>25082</t>
        </is>
      </c>
      <c r="C90" s="10">
        <f>IF(ISNUMBER(FC90),INDIRECT("SamplesX!C"&amp;FC90),IF(ISNUMBER(FD90),INDIRECT("SamplesY!C"&amp;FD90),""))</f>
        <v/>
      </c>
      <c r="D90" s="12">
        <f>IF(ISNUMBER(FC90),INDIRECT("SamplesX!D"&amp;FC90),IF(ISNUMBER(FD90),INDIRECT("SamplesY!D"&amp;FD90),""))</f>
        <v/>
      </c>
      <c r="E90" s="12">
        <f>IF(ISNUMBER(FC90),INDIRECT("SamplesX!E"&amp;FC90),IF(ISNUMBER(FD90),INDIRECT("SamplesY!E"&amp;FD90),""))</f>
        <v/>
      </c>
      <c r="F90" s="11">
        <f>IF(ISNUMBER(FC90),INDIRECT("SamplesX!F"&amp;FC90),IF(ISNUMBER(FD90),INDIRECT("SamplesY!F"&amp;FD90),""))</f>
        <v/>
      </c>
      <c r="G90" s="18">
        <f>IF(ISNUMBER(FC90),INDIRECT("SamplesX!G"&amp;FC90),IF(ISNUMBER(FD90),INDIRECT("SamplesY!G"&amp;FD90),""))</f>
        <v/>
      </c>
      <c r="H90" s="19">
        <f>IF(ISNUMBER(FC90),INDIRECT("SamplesX!H"&amp;FC90),IF(ISNUMBER(FD90),INDIRECT("SamplesY!H"&amp;FD90),""))</f>
        <v/>
      </c>
      <c r="I90" s="16" t="n"/>
      <c r="J90" s="16" t="n"/>
      <c r="K90" s="16" t="n"/>
      <c r="L90" s="20" t="n"/>
      <c r="M90" s="20" t="inlineStr">
        <is>
          <t>None</t>
        </is>
      </c>
      <c r="N90" s="17" t="n"/>
      <c r="O90" s="16" t="n"/>
      <c r="P90" s="20" t="inlineStr">
        <is>
          <t>Shimadzu TOC-L</t>
        </is>
      </c>
      <c r="Q90" s="20" t="inlineStr">
        <is>
          <t>None</t>
        </is>
      </c>
      <c r="R90" s="17" t="n"/>
      <c r="S90" s="16" t="n"/>
      <c r="T90" s="20" t="inlineStr">
        <is>
          <t>Shimadzu TOC-L</t>
        </is>
      </c>
      <c r="U90" s="20" t="inlineStr">
        <is>
          <t>None</t>
        </is>
      </c>
      <c r="V90" s="17" t="n"/>
      <c r="W90" s="16" t="n"/>
      <c r="X90" s="20" t="n"/>
      <c r="Y90" s="20" t="inlineStr">
        <is>
          <t>None</t>
        </is>
      </c>
      <c r="Z90" s="17" t="n"/>
      <c r="AA90" s="16" t="n"/>
      <c r="AB90" s="20" t="n"/>
      <c r="AC90" s="20" t="inlineStr">
        <is>
          <t>None</t>
        </is>
      </c>
      <c r="AD90" s="17" t="n"/>
      <c r="AE90" s="16" t="inlineStr">
        <is>
          <t>274</t>
        </is>
      </c>
      <c r="AF90" s="20" t="inlineStr">
        <is>
          <t>IC Anionen</t>
        </is>
      </c>
      <c r="AG90" s="20" t="inlineStr">
        <is>
          <t>None</t>
        </is>
      </c>
      <c r="AH90" s="17" t="n"/>
      <c r="AI90" s="16" t="n"/>
      <c r="AJ90" s="20" t="n"/>
      <c r="AK90" s="20" t="inlineStr">
        <is>
          <t>None</t>
        </is>
      </c>
      <c r="AL90" s="17" t="n"/>
      <c r="AM90" s="16" t="n"/>
      <c r="AN90" s="20" t="inlineStr">
        <is>
          <t>IC Anionen</t>
        </is>
      </c>
      <c r="AO90" s="20" t="inlineStr">
        <is>
          <t>None</t>
        </is>
      </c>
      <c r="AP90" s="17" t="n"/>
      <c r="AQ90" s="16" t="n"/>
      <c r="AR90" s="20" t="n"/>
      <c r="AS90" s="20" t="inlineStr">
        <is>
          <t>None</t>
        </is>
      </c>
      <c r="AT90" s="17" t="n"/>
      <c r="AU90" s="16" t="inlineStr">
        <is>
          <t>0.70</t>
        </is>
      </c>
      <c r="AV90" s="20" t="inlineStr">
        <is>
          <t>IC Anionen</t>
        </is>
      </c>
      <c r="AW90" s="20" t="inlineStr">
        <is>
          <t>None</t>
        </is>
      </c>
      <c r="AX90" s="17" t="n"/>
      <c r="AY90" s="16" t="inlineStr">
        <is>
          <t>&lt;0.8</t>
        </is>
      </c>
      <c r="AZ90" s="20" t="inlineStr">
        <is>
          <t>IC Anionen</t>
        </is>
      </c>
      <c r="BA90" s="20" t="inlineStr">
        <is>
          <t>None</t>
        </is>
      </c>
      <c r="BB90" s="17" t="n"/>
      <c r="BC90" s="16" t="inlineStr">
        <is>
          <t>122</t>
        </is>
      </c>
      <c r="BD90" s="20" t="inlineStr">
        <is>
          <t>IC Kationen</t>
        </is>
      </c>
      <c r="BE90" s="20" t="inlineStr">
        <is>
          <t>None</t>
        </is>
      </c>
      <c r="BF90" s="17" t="n"/>
      <c r="BG90" s="16" t="inlineStr">
        <is>
          <t>&lt;1.60</t>
        </is>
      </c>
      <c r="BH90" s="20" t="inlineStr">
        <is>
          <t>IC Kationen</t>
        </is>
      </c>
      <c r="BI90" s="20" t="inlineStr">
        <is>
          <t>None</t>
        </is>
      </c>
      <c r="BJ90" s="17" t="n"/>
      <c r="BK90" s="16" t="inlineStr">
        <is>
          <t>14.1</t>
        </is>
      </c>
      <c r="BL90" s="20" t="inlineStr">
        <is>
          <t>IC Kationen</t>
        </is>
      </c>
      <c r="BM90" s="20" t="inlineStr">
        <is>
          <t>None</t>
        </is>
      </c>
      <c r="BN90" s="17" t="n"/>
      <c r="BO90" s="16" t="inlineStr">
        <is>
          <t>218</t>
        </is>
      </c>
      <c r="BP90" s="20" t="inlineStr">
        <is>
          <t>IC Kationen</t>
        </is>
      </c>
      <c r="BQ90" s="20" t="inlineStr">
        <is>
          <t>None</t>
        </is>
      </c>
      <c r="BR90" s="17" t="n"/>
      <c r="BS90" s="16" t="inlineStr">
        <is>
          <t>31.9</t>
        </is>
      </c>
      <c r="BT90" s="20" t="inlineStr">
        <is>
          <t>IC Kationen</t>
        </is>
      </c>
      <c r="BU90" s="20" t="inlineStr">
        <is>
          <t>None</t>
        </is>
      </c>
      <c r="BV90" s="17" t="n"/>
      <c r="BW90" s="16" t="n"/>
      <c r="BX90" s="20" t="n"/>
      <c r="BY90" s="20" t="inlineStr">
        <is>
          <t>None</t>
        </is>
      </c>
      <c r="BZ90" s="17" t="n"/>
      <c r="CA90" s="16" t="n"/>
      <c r="CB90" s="20" t="n"/>
      <c r="CC90" s="20" t="inlineStr">
        <is>
          <t>None</t>
        </is>
      </c>
      <c r="CD90" s="17" t="n"/>
      <c r="CE90" s="16" t="n"/>
      <c r="CF90" s="20" t="n"/>
      <c r="CG90" s="20" t="inlineStr">
        <is>
          <t>None</t>
        </is>
      </c>
      <c r="CH90" s="17" t="n"/>
      <c r="CI90" s="16" t="n"/>
      <c r="CJ90" s="20" t="n"/>
      <c r="CK90" s="20" t="inlineStr">
        <is>
          <t>None</t>
        </is>
      </c>
      <c r="CL90" s="17" t="n"/>
      <c r="CM90" s="16" t="n"/>
      <c r="CN90" s="20" t="inlineStr">
        <is>
          <t>SOP 45-34</t>
        </is>
      </c>
      <c r="CO90" s="20" t="inlineStr">
        <is>
          <t>None</t>
        </is>
      </c>
      <c r="CP90" s="17" t="n"/>
      <c r="CQ90" s="16" t="n"/>
      <c r="CR90" s="20" t="n"/>
      <c r="CS90" s="20" t="inlineStr">
        <is>
          <t>None</t>
        </is>
      </c>
      <c r="CT90" s="17" t="n"/>
      <c r="CU90" s="16" t="n"/>
      <c r="CV90" s="20" t="n"/>
      <c r="CW90" s="20" t="inlineStr">
        <is>
          <t>None</t>
        </is>
      </c>
      <c r="CX90" s="17" t="n"/>
      <c r="CY90" s="16" t="n"/>
      <c r="CZ90" s="20" t="inlineStr">
        <is>
          <t>WTW Multimeter 3430 with FDO 925</t>
        </is>
      </c>
      <c r="DA90" s="20" t="inlineStr">
        <is>
          <t>None</t>
        </is>
      </c>
      <c r="DB90" s="17" t="n"/>
      <c r="DC90" s="16" t="n"/>
      <c r="DD90" s="20" t="n"/>
      <c r="DE90" s="20" t="inlineStr">
        <is>
          <t>None</t>
        </is>
      </c>
      <c r="DF90" s="17" t="n"/>
      <c r="DG90" s="16" t="n"/>
      <c r="DH90" s="20" t="inlineStr">
        <is>
          <t>SOP 45-09</t>
        </is>
      </c>
      <c r="DI90" s="20" t="inlineStr">
        <is>
          <t>None</t>
        </is>
      </c>
      <c r="DJ90" s="17" t="n"/>
      <c r="DK90" s="16" t="n"/>
      <c r="DL90" s="20" t="inlineStr">
        <is>
          <t>SOP 45-09 (SOP muss noch angepasst werden für VSS)</t>
        </is>
      </c>
      <c r="DM90" s="20" t="inlineStr">
        <is>
          <t>None</t>
        </is>
      </c>
      <c r="DN90" s="17" t="n"/>
      <c r="DO90" s="16" t="n"/>
      <c r="DP90" s="20" t="inlineStr">
        <is>
          <t>IC Organic Acids</t>
        </is>
      </c>
      <c r="DQ90" s="20" t="inlineStr">
        <is>
          <t>None</t>
        </is>
      </c>
      <c r="DR90" s="17" t="n"/>
      <c r="DS90" s="16" t="n"/>
      <c r="DT90" s="20" t="inlineStr">
        <is>
          <t>IC Organic Acids</t>
        </is>
      </c>
      <c r="DU90" s="20" t="inlineStr">
        <is>
          <t>None</t>
        </is>
      </c>
      <c r="DV90" s="17" t="n"/>
      <c r="DW90" s="16" t="n"/>
      <c r="DX90" s="20" t="inlineStr">
        <is>
          <t>IC Organic Acids</t>
        </is>
      </c>
      <c r="DY90" s="20" t="inlineStr">
        <is>
          <t>None</t>
        </is>
      </c>
      <c r="DZ90" s="17" t="n"/>
      <c r="EA90" s="16" t="n"/>
      <c r="EB90" s="20" t="inlineStr">
        <is>
          <t>IC Organic Acids</t>
        </is>
      </c>
      <c r="EC90" s="20" t="inlineStr">
        <is>
          <t>None</t>
        </is>
      </c>
      <c r="ED90" s="17" t="n"/>
      <c r="EE90" s="16" t="n"/>
      <c r="EF90" s="20" t="inlineStr">
        <is>
          <t>IC Organic Acids</t>
        </is>
      </c>
      <c r="EG90" s="20" t="inlineStr">
        <is>
          <t>None</t>
        </is>
      </c>
      <c r="EH90" s="17" t="n"/>
      <c r="EI90" s="16" t="n"/>
      <c r="EJ90" s="20" t="inlineStr">
        <is>
          <t>IC Organic Acids</t>
        </is>
      </c>
      <c r="EK90" s="20" t="inlineStr">
        <is>
          <t>None</t>
        </is>
      </c>
      <c r="EL90" s="17" t="n"/>
      <c r="EM90" s="16" t="n"/>
      <c r="EN90" s="20" t="inlineStr">
        <is>
          <t>IC Organic Acids</t>
        </is>
      </c>
      <c r="EO90" s="20" t="inlineStr">
        <is>
          <t>None</t>
        </is>
      </c>
      <c r="EP90" s="17" t="n"/>
      <c r="EQ90" s="16" t="n"/>
      <c r="ER90" s="20" t="inlineStr">
        <is>
          <t>IC Organic Acids</t>
        </is>
      </c>
      <c r="ES90" s="20" t="inlineStr">
        <is>
          <t>None</t>
        </is>
      </c>
      <c r="ET90" s="17" t="n"/>
      <c r="EU90" s="16" t="n"/>
      <c r="EV90" s="20" t="inlineStr">
        <is>
          <t>LC-MS</t>
        </is>
      </c>
      <c r="EW90" s="20" t="inlineStr">
        <is>
          <t>None</t>
        </is>
      </c>
      <c r="EX90" s="17" t="n"/>
      <c r="EY90" s="21" t="n"/>
      <c r="EZ90">
        <f>CONCATENATE(A90,B90)</f>
        <v/>
      </c>
      <c r="FA90">
        <f>CONCATENATE(SamplesX!A90,SamplesX!B90)</f>
        <v/>
      </c>
      <c r="FC90">
        <f>MATCH(EZ90,FA1:FA1008,0)</f>
        <v/>
      </c>
    </row>
    <row r="91">
      <c r="A91" s="16" t="inlineStr">
        <is>
          <t>BP</t>
        </is>
      </c>
      <c r="B91" s="17" t="inlineStr">
        <is>
          <t>25083</t>
        </is>
      </c>
      <c r="C91" s="10">
        <f>IF(ISNUMBER(FC91),INDIRECT("SamplesX!C"&amp;FC91),IF(ISNUMBER(FD91),INDIRECT("SamplesY!C"&amp;FD91),""))</f>
        <v/>
      </c>
      <c r="D91" s="12">
        <f>IF(ISNUMBER(FC91),INDIRECT("SamplesX!D"&amp;FC91),IF(ISNUMBER(FD91),INDIRECT("SamplesY!D"&amp;FD91),""))</f>
        <v/>
      </c>
      <c r="E91" s="12">
        <f>IF(ISNUMBER(FC91),INDIRECT("SamplesX!E"&amp;FC91),IF(ISNUMBER(FD91),INDIRECT("SamplesY!E"&amp;FD91),""))</f>
        <v/>
      </c>
      <c r="F91" s="11">
        <f>IF(ISNUMBER(FC91),INDIRECT("SamplesX!F"&amp;FC91),IF(ISNUMBER(FD91),INDIRECT("SamplesY!F"&amp;FD91),""))</f>
        <v/>
      </c>
      <c r="G91" s="18">
        <f>IF(ISNUMBER(FC91),INDIRECT("SamplesX!G"&amp;FC91),IF(ISNUMBER(FD91),INDIRECT("SamplesY!G"&amp;FD91),""))</f>
        <v/>
      </c>
      <c r="H91" s="19">
        <f>IF(ISNUMBER(FC91),INDIRECT("SamplesX!H"&amp;FC91),IF(ISNUMBER(FD91),INDIRECT("SamplesY!H"&amp;FD91),""))</f>
        <v/>
      </c>
      <c r="I91" s="16" t="n"/>
      <c r="J91" s="16" t="n"/>
      <c r="K91" s="16" t="n"/>
      <c r="L91" s="20" t="n"/>
      <c r="M91" s="20" t="inlineStr">
        <is>
          <t>None</t>
        </is>
      </c>
      <c r="N91" s="17" t="n"/>
      <c r="O91" s="16" t="n"/>
      <c r="P91" s="20" t="inlineStr">
        <is>
          <t>Shimadzu TOC-L</t>
        </is>
      </c>
      <c r="Q91" s="20" t="inlineStr">
        <is>
          <t>None</t>
        </is>
      </c>
      <c r="R91" s="17" t="n"/>
      <c r="S91" s="16" t="n"/>
      <c r="T91" s="20" t="inlineStr">
        <is>
          <t>Shimadzu TOC-L</t>
        </is>
      </c>
      <c r="U91" s="20" t="inlineStr">
        <is>
          <t>None</t>
        </is>
      </c>
      <c r="V91" s="17" t="n"/>
      <c r="W91" s="16" t="n"/>
      <c r="X91" s="20" t="n"/>
      <c r="Y91" s="20" t="inlineStr">
        <is>
          <t>None</t>
        </is>
      </c>
      <c r="Z91" s="17" t="n"/>
      <c r="AA91" s="16" t="n"/>
      <c r="AB91" s="20" t="n"/>
      <c r="AC91" s="20" t="inlineStr">
        <is>
          <t>None</t>
        </is>
      </c>
      <c r="AD91" s="17" t="n"/>
      <c r="AE91" s="16" t="inlineStr">
        <is>
          <t>194</t>
        </is>
      </c>
      <c r="AF91" s="20" t="inlineStr">
        <is>
          <t>IC Anionen</t>
        </is>
      </c>
      <c r="AG91" s="20" t="inlineStr">
        <is>
          <t>None</t>
        </is>
      </c>
      <c r="AH91" s="17" t="n"/>
      <c r="AI91" s="16" t="n"/>
      <c r="AJ91" s="20" t="n"/>
      <c r="AK91" s="20" t="inlineStr">
        <is>
          <t>None</t>
        </is>
      </c>
      <c r="AL91" s="17" t="n"/>
      <c r="AM91" s="16" t="n"/>
      <c r="AN91" s="20" t="inlineStr">
        <is>
          <t>IC Anionen</t>
        </is>
      </c>
      <c r="AO91" s="20" t="inlineStr">
        <is>
          <t>None</t>
        </is>
      </c>
      <c r="AP91" s="17" t="n"/>
      <c r="AQ91" s="16" t="n"/>
      <c r="AR91" s="20" t="n"/>
      <c r="AS91" s="20" t="inlineStr">
        <is>
          <t>None</t>
        </is>
      </c>
      <c r="AT91" s="17" t="n"/>
      <c r="AU91" s="16" t="inlineStr">
        <is>
          <t>3.07</t>
        </is>
      </c>
      <c r="AV91" s="20" t="inlineStr">
        <is>
          <t>IC Anionen</t>
        </is>
      </c>
      <c r="AW91" s="20" t="inlineStr">
        <is>
          <t>None</t>
        </is>
      </c>
      <c r="AX91" s="17" t="n"/>
      <c r="AY91" s="16" t="inlineStr">
        <is>
          <t>&lt;0.8</t>
        </is>
      </c>
      <c r="AZ91" s="20" t="inlineStr">
        <is>
          <t>IC Anionen</t>
        </is>
      </c>
      <c r="BA91" s="20" t="inlineStr">
        <is>
          <t>None</t>
        </is>
      </c>
      <c r="BB91" s="17" t="n"/>
      <c r="BC91" s="16" t="inlineStr">
        <is>
          <t>133</t>
        </is>
      </c>
      <c r="BD91" s="20" t="inlineStr">
        <is>
          <t>IC Kationen</t>
        </is>
      </c>
      <c r="BE91" s="20" t="inlineStr">
        <is>
          <t>None</t>
        </is>
      </c>
      <c r="BF91" s="17" t="n"/>
      <c r="BG91" s="16" t="inlineStr">
        <is>
          <t>&lt;1.60</t>
        </is>
      </c>
      <c r="BH91" s="20" t="inlineStr">
        <is>
          <t>IC Kationen</t>
        </is>
      </c>
      <c r="BI91" s="20" t="inlineStr">
        <is>
          <t>None</t>
        </is>
      </c>
      <c r="BJ91" s="17" t="n"/>
      <c r="BK91" s="16" t="inlineStr">
        <is>
          <t>18.3</t>
        </is>
      </c>
      <c r="BL91" s="20" t="inlineStr">
        <is>
          <t>IC Kationen</t>
        </is>
      </c>
      <c r="BM91" s="20" t="inlineStr">
        <is>
          <t>None</t>
        </is>
      </c>
      <c r="BN91" s="17" t="n"/>
      <c r="BO91" s="16" t="inlineStr">
        <is>
          <t>280</t>
        </is>
      </c>
      <c r="BP91" s="20" t="inlineStr">
        <is>
          <t>IC Kationen</t>
        </is>
      </c>
      <c r="BQ91" s="20" t="inlineStr">
        <is>
          <t>None</t>
        </is>
      </c>
      <c r="BR91" s="17" t="n"/>
      <c r="BS91" s="16" t="inlineStr">
        <is>
          <t>35.0</t>
        </is>
      </c>
      <c r="BT91" s="20" t="inlineStr">
        <is>
          <t>IC Kationen</t>
        </is>
      </c>
      <c r="BU91" s="20" t="inlineStr">
        <is>
          <t>None</t>
        </is>
      </c>
      <c r="BV91" s="17" t="n"/>
      <c r="BW91" s="16" t="n"/>
      <c r="BX91" s="20" t="n"/>
      <c r="BY91" s="20" t="inlineStr">
        <is>
          <t>None</t>
        </is>
      </c>
      <c r="BZ91" s="17" t="n"/>
      <c r="CA91" s="16" t="n"/>
      <c r="CB91" s="20" t="n"/>
      <c r="CC91" s="20" t="inlineStr">
        <is>
          <t>None</t>
        </is>
      </c>
      <c r="CD91" s="17" t="n"/>
      <c r="CE91" s="16" t="n"/>
      <c r="CF91" s="20" t="n"/>
      <c r="CG91" s="20" t="inlineStr">
        <is>
          <t>None</t>
        </is>
      </c>
      <c r="CH91" s="17" t="n"/>
      <c r="CI91" s="16" t="n"/>
      <c r="CJ91" s="20" t="n"/>
      <c r="CK91" s="20" t="inlineStr">
        <is>
          <t>None</t>
        </is>
      </c>
      <c r="CL91" s="17" t="n"/>
      <c r="CM91" s="16" t="n"/>
      <c r="CN91" s="20" t="inlineStr">
        <is>
          <t>SOP 45-34</t>
        </is>
      </c>
      <c r="CO91" s="20" t="inlineStr">
        <is>
          <t>None</t>
        </is>
      </c>
      <c r="CP91" s="17" t="n"/>
      <c r="CQ91" s="16" t="n"/>
      <c r="CR91" s="20" t="n"/>
      <c r="CS91" s="20" t="inlineStr">
        <is>
          <t>None</t>
        </is>
      </c>
      <c r="CT91" s="17" t="n"/>
      <c r="CU91" s="16" t="n"/>
      <c r="CV91" s="20" t="n"/>
      <c r="CW91" s="20" t="inlineStr">
        <is>
          <t>None</t>
        </is>
      </c>
      <c r="CX91" s="17" t="n"/>
      <c r="CY91" s="16" t="n"/>
      <c r="CZ91" s="20" t="inlineStr">
        <is>
          <t>WTW Multimeter 3430 with FDO 925</t>
        </is>
      </c>
      <c r="DA91" s="20" t="inlineStr">
        <is>
          <t>None</t>
        </is>
      </c>
      <c r="DB91" s="17" t="n"/>
      <c r="DC91" s="16" t="n"/>
      <c r="DD91" s="20" t="n"/>
      <c r="DE91" s="20" t="inlineStr">
        <is>
          <t>None</t>
        </is>
      </c>
      <c r="DF91" s="17" t="n"/>
      <c r="DG91" s="16" t="n"/>
      <c r="DH91" s="20" t="inlineStr">
        <is>
          <t>SOP 45-09</t>
        </is>
      </c>
      <c r="DI91" s="20" t="inlineStr">
        <is>
          <t>None</t>
        </is>
      </c>
      <c r="DJ91" s="17" t="n"/>
      <c r="DK91" s="16" t="n"/>
      <c r="DL91" s="20" t="inlineStr">
        <is>
          <t>SOP 45-09 (SOP muss noch angepasst werden für VSS)</t>
        </is>
      </c>
      <c r="DM91" s="20" t="inlineStr">
        <is>
          <t>None</t>
        </is>
      </c>
      <c r="DN91" s="17" t="n"/>
      <c r="DO91" s="16" t="n"/>
      <c r="DP91" s="20" t="inlineStr">
        <is>
          <t>IC Organic Acids</t>
        </is>
      </c>
      <c r="DQ91" s="20" t="inlineStr">
        <is>
          <t>None</t>
        </is>
      </c>
      <c r="DR91" s="17" t="n"/>
      <c r="DS91" s="16" t="n"/>
      <c r="DT91" s="20" t="inlineStr">
        <is>
          <t>IC Organic Acids</t>
        </is>
      </c>
      <c r="DU91" s="20" t="inlineStr">
        <is>
          <t>None</t>
        </is>
      </c>
      <c r="DV91" s="17" t="n"/>
      <c r="DW91" s="16" t="n"/>
      <c r="DX91" s="20" t="inlineStr">
        <is>
          <t>IC Organic Acids</t>
        </is>
      </c>
      <c r="DY91" s="20" t="inlineStr">
        <is>
          <t>None</t>
        </is>
      </c>
      <c r="DZ91" s="17" t="n"/>
      <c r="EA91" s="16" t="n"/>
      <c r="EB91" s="20" t="inlineStr">
        <is>
          <t>IC Organic Acids</t>
        </is>
      </c>
      <c r="EC91" s="20" t="inlineStr">
        <is>
          <t>None</t>
        </is>
      </c>
      <c r="ED91" s="17" t="n"/>
      <c r="EE91" s="16" t="n"/>
      <c r="EF91" s="20" t="inlineStr">
        <is>
          <t>IC Organic Acids</t>
        </is>
      </c>
      <c r="EG91" s="20" t="inlineStr">
        <is>
          <t>None</t>
        </is>
      </c>
      <c r="EH91" s="17" t="n"/>
      <c r="EI91" s="16" t="n"/>
      <c r="EJ91" s="20" t="inlineStr">
        <is>
          <t>IC Organic Acids</t>
        </is>
      </c>
      <c r="EK91" s="20" t="inlineStr">
        <is>
          <t>None</t>
        </is>
      </c>
      <c r="EL91" s="17" t="n"/>
      <c r="EM91" s="16" t="n"/>
      <c r="EN91" s="20" t="inlineStr">
        <is>
          <t>IC Organic Acids</t>
        </is>
      </c>
      <c r="EO91" s="20" t="inlineStr">
        <is>
          <t>None</t>
        </is>
      </c>
      <c r="EP91" s="17" t="n"/>
      <c r="EQ91" s="16" t="n"/>
      <c r="ER91" s="20" t="inlineStr">
        <is>
          <t>IC Organic Acids</t>
        </is>
      </c>
      <c r="ES91" s="20" t="inlineStr">
        <is>
          <t>None</t>
        </is>
      </c>
      <c r="ET91" s="17" t="n"/>
      <c r="EU91" s="16" t="n"/>
      <c r="EV91" s="20" t="inlineStr">
        <is>
          <t>LC-MS</t>
        </is>
      </c>
      <c r="EW91" s="20" t="inlineStr">
        <is>
          <t>None</t>
        </is>
      </c>
      <c r="EX91" s="17" t="n"/>
      <c r="EY91" s="21" t="n"/>
      <c r="EZ91">
        <f>CONCATENATE(A91,B91)</f>
        <v/>
      </c>
      <c r="FA91">
        <f>CONCATENATE(SamplesX!A91,SamplesX!B91)</f>
        <v/>
      </c>
      <c r="FC91">
        <f>MATCH(EZ91,FA1:FA1008,0)</f>
        <v/>
      </c>
    </row>
    <row r="92">
      <c r="A92" s="16" t="inlineStr">
        <is>
          <t>BP</t>
        </is>
      </c>
      <c r="B92" s="17" t="inlineStr">
        <is>
          <t>25084</t>
        </is>
      </c>
      <c r="C92" s="10">
        <f>IF(ISNUMBER(FC92),INDIRECT("SamplesX!C"&amp;FC92),IF(ISNUMBER(FD92),INDIRECT("SamplesY!C"&amp;FD92),""))</f>
        <v/>
      </c>
      <c r="D92" s="12">
        <f>IF(ISNUMBER(FC92),INDIRECT("SamplesX!D"&amp;FC92),IF(ISNUMBER(FD92),INDIRECT("SamplesY!D"&amp;FD92),""))</f>
        <v/>
      </c>
      <c r="E92" s="12">
        <f>IF(ISNUMBER(FC92),INDIRECT("SamplesX!E"&amp;FC92),IF(ISNUMBER(FD92),INDIRECT("SamplesY!E"&amp;FD92),""))</f>
        <v/>
      </c>
      <c r="F92" s="11">
        <f>IF(ISNUMBER(FC92),INDIRECT("SamplesX!F"&amp;FC92),IF(ISNUMBER(FD92),INDIRECT("SamplesY!F"&amp;FD92),""))</f>
        <v/>
      </c>
      <c r="G92" s="18">
        <f>IF(ISNUMBER(FC92),INDIRECT("SamplesX!G"&amp;FC92),IF(ISNUMBER(FD92),INDIRECT("SamplesY!G"&amp;FD92),""))</f>
        <v/>
      </c>
      <c r="H92" s="19">
        <f>IF(ISNUMBER(FC92),INDIRECT("SamplesX!H"&amp;FC92),IF(ISNUMBER(FD92),INDIRECT("SamplesY!H"&amp;FD92),""))</f>
        <v/>
      </c>
      <c r="I92" s="16" t="n"/>
      <c r="J92" s="16" t="n"/>
      <c r="K92" s="16" t="n"/>
      <c r="L92" s="20" t="n"/>
      <c r="M92" s="20" t="inlineStr">
        <is>
          <t>None</t>
        </is>
      </c>
      <c r="N92" s="17" t="n"/>
      <c r="O92" s="16" t="n"/>
      <c r="P92" s="20" t="inlineStr">
        <is>
          <t>Shimadzu TOC-L</t>
        </is>
      </c>
      <c r="Q92" s="20" t="inlineStr">
        <is>
          <t>None</t>
        </is>
      </c>
      <c r="R92" s="17" t="n"/>
      <c r="S92" s="16" t="n"/>
      <c r="T92" s="20" t="inlineStr">
        <is>
          <t>Shimadzu TOC-L</t>
        </is>
      </c>
      <c r="U92" s="20" t="inlineStr">
        <is>
          <t>None</t>
        </is>
      </c>
      <c r="V92" s="17" t="n"/>
      <c r="W92" s="16" t="n"/>
      <c r="X92" s="20" t="n"/>
      <c r="Y92" s="20" t="inlineStr">
        <is>
          <t>None</t>
        </is>
      </c>
      <c r="Z92" s="17" t="n"/>
      <c r="AA92" s="16" t="n"/>
      <c r="AB92" s="20" t="n"/>
      <c r="AC92" s="20" t="inlineStr">
        <is>
          <t>None</t>
        </is>
      </c>
      <c r="AD92" s="17" t="n"/>
      <c r="AE92" s="16" t="inlineStr">
        <is>
          <t>180</t>
        </is>
      </c>
      <c r="AF92" s="20" t="inlineStr">
        <is>
          <t>IC Anionen</t>
        </is>
      </c>
      <c r="AG92" s="20" t="inlineStr">
        <is>
          <t>None</t>
        </is>
      </c>
      <c r="AH92" s="17" t="n"/>
      <c r="AI92" s="16" t="n"/>
      <c r="AJ92" s="20" t="n"/>
      <c r="AK92" s="20" t="inlineStr">
        <is>
          <t>None</t>
        </is>
      </c>
      <c r="AL92" s="17" t="n"/>
      <c r="AM92" s="16" t="n"/>
      <c r="AN92" s="20" t="inlineStr">
        <is>
          <t>IC Anionen</t>
        </is>
      </c>
      <c r="AO92" s="20" t="inlineStr">
        <is>
          <t>None</t>
        </is>
      </c>
      <c r="AP92" s="17" t="n"/>
      <c r="AQ92" s="16" t="n"/>
      <c r="AR92" s="20" t="n"/>
      <c r="AS92" s="20" t="inlineStr">
        <is>
          <t>None</t>
        </is>
      </c>
      <c r="AT92" s="17" t="n"/>
      <c r="AU92" s="16" t="inlineStr">
        <is>
          <t>23.8</t>
        </is>
      </c>
      <c r="AV92" s="20" t="inlineStr">
        <is>
          <t>IC Anionen</t>
        </is>
      </c>
      <c r="AW92" s="20" t="inlineStr">
        <is>
          <t>None</t>
        </is>
      </c>
      <c r="AX92" s="17" t="n"/>
      <c r="AY92" s="16" t="inlineStr">
        <is>
          <t>&lt;0.8</t>
        </is>
      </c>
      <c r="AZ92" s="20" t="inlineStr">
        <is>
          <t>IC Anionen</t>
        </is>
      </c>
      <c r="BA92" s="20" t="inlineStr">
        <is>
          <t>None</t>
        </is>
      </c>
      <c r="BB92" s="17" t="n"/>
      <c r="BC92" s="16" t="inlineStr">
        <is>
          <t>118</t>
        </is>
      </c>
      <c r="BD92" s="20" t="inlineStr">
        <is>
          <t>IC Kationen</t>
        </is>
      </c>
      <c r="BE92" s="20" t="inlineStr">
        <is>
          <t>None</t>
        </is>
      </c>
      <c r="BF92" s="17" t="n"/>
      <c r="BG92" s="16" t="inlineStr">
        <is>
          <t>20.6</t>
        </is>
      </c>
      <c r="BH92" s="20" t="inlineStr">
        <is>
          <t>IC Kationen</t>
        </is>
      </c>
      <c r="BI92" s="20" t="inlineStr">
        <is>
          <t>None</t>
        </is>
      </c>
      <c r="BJ92" s="17" t="n"/>
      <c r="BK92" s="16" t="inlineStr">
        <is>
          <t>19.5</t>
        </is>
      </c>
      <c r="BL92" s="20" t="inlineStr">
        <is>
          <t>IC Kationen</t>
        </is>
      </c>
      <c r="BM92" s="20" t="inlineStr">
        <is>
          <t>None</t>
        </is>
      </c>
      <c r="BN92" s="17" t="n"/>
      <c r="BO92" s="16" t="inlineStr">
        <is>
          <t>294</t>
        </is>
      </c>
      <c r="BP92" s="20" t="inlineStr">
        <is>
          <t>IC Kationen</t>
        </is>
      </c>
      <c r="BQ92" s="20" t="inlineStr">
        <is>
          <t>None</t>
        </is>
      </c>
      <c r="BR92" s="17" t="n"/>
      <c r="BS92" s="16" t="inlineStr">
        <is>
          <t>33.1</t>
        </is>
      </c>
      <c r="BT92" s="20" t="inlineStr">
        <is>
          <t>IC Kationen</t>
        </is>
      </c>
      <c r="BU92" s="20" t="inlineStr">
        <is>
          <t>None</t>
        </is>
      </c>
      <c r="BV92" s="17" t="n"/>
      <c r="BW92" s="16" t="n"/>
      <c r="BX92" s="20" t="n"/>
      <c r="BY92" s="20" t="inlineStr">
        <is>
          <t>None</t>
        </is>
      </c>
      <c r="BZ92" s="17" t="n"/>
      <c r="CA92" s="16" t="n"/>
      <c r="CB92" s="20" t="n"/>
      <c r="CC92" s="20" t="inlineStr">
        <is>
          <t>None</t>
        </is>
      </c>
      <c r="CD92" s="17" t="n"/>
      <c r="CE92" s="16" t="n"/>
      <c r="CF92" s="20" t="n"/>
      <c r="CG92" s="20" t="inlineStr">
        <is>
          <t>None</t>
        </is>
      </c>
      <c r="CH92" s="17" t="n"/>
      <c r="CI92" s="16" t="n"/>
      <c r="CJ92" s="20" t="n"/>
      <c r="CK92" s="20" t="inlineStr">
        <is>
          <t>None</t>
        </is>
      </c>
      <c r="CL92" s="17" t="n"/>
      <c r="CM92" s="16" t="n"/>
      <c r="CN92" s="20" t="inlineStr">
        <is>
          <t>SOP 45-34</t>
        </is>
      </c>
      <c r="CO92" s="20" t="inlineStr">
        <is>
          <t>None</t>
        </is>
      </c>
      <c r="CP92" s="17" t="n"/>
      <c r="CQ92" s="16" t="n"/>
      <c r="CR92" s="20" t="n"/>
      <c r="CS92" s="20" t="inlineStr">
        <is>
          <t>None</t>
        </is>
      </c>
      <c r="CT92" s="17" t="n"/>
      <c r="CU92" s="16" t="n"/>
      <c r="CV92" s="20" t="n"/>
      <c r="CW92" s="20" t="inlineStr">
        <is>
          <t>None</t>
        </is>
      </c>
      <c r="CX92" s="17" t="n"/>
      <c r="CY92" s="16" t="n"/>
      <c r="CZ92" s="20" t="inlineStr">
        <is>
          <t>WTW Multimeter 3430 with FDO 925</t>
        </is>
      </c>
      <c r="DA92" s="20" t="inlineStr">
        <is>
          <t>None</t>
        </is>
      </c>
      <c r="DB92" s="17" t="n"/>
      <c r="DC92" s="16" t="n"/>
      <c r="DD92" s="20" t="n"/>
      <c r="DE92" s="20" t="inlineStr">
        <is>
          <t>None</t>
        </is>
      </c>
      <c r="DF92" s="17" t="n"/>
      <c r="DG92" s="16" t="n"/>
      <c r="DH92" s="20" t="inlineStr">
        <is>
          <t>SOP 45-09</t>
        </is>
      </c>
      <c r="DI92" s="20" t="inlineStr">
        <is>
          <t>None</t>
        </is>
      </c>
      <c r="DJ92" s="17" t="n"/>
      <c r="DK92" s="16" t="n"/>
      <c r="DL92" s="20" t="inlineStr">
        <is>
          <t>SOP 45-09 (SOP muss noch angepasst werden für VSS)</t>
        </is>
      </c>
      <c r="DM92" s="20" t="inlineStr">
        <is>
          <t>None</t>
        </is>
      </c>
      <c r="DN92" s="17" t="n"/>
      <c r="DO92" s="16" t="n"/>
      <c r="DP92" s="20" t="inlineStr">
        <is>
          <t>IC Organic Acids</t>
        </is>
      </c>
      <c r="DQ92" s="20" t="inlineStr">
        <is>
          <t>None</t>
        </is>
      </c>
      <c r="DR92" s="17" t="n"/>
      <c r="DS92" s="16" t="n"/>
      <c r="DT92" s="20" t="inlineStr">
        <is>
          <t>IC Organic Acids</t>
        </is>
      </c>
      <c r="DU92" s="20" t="inlineStr">
        <is>
          <t>None</t>
        </is>
      </c>
      <c r="DV92" s="17" t="n"/>
      <c r="DW92" s="16" t="n"/>
      <c r="DX92" s="20" t="inlineStr">
        <is>
          <t>IC Organic Acids</t>
        </is>
      </c>
      <c r="DY92" s="20" t="inlineStr">
        <is>
          <t>None</t>
        </is>
      </c>
      <c r="DZ92" s="17" t="n"/>
      <c r="EA92" s="16" t="n"/>
      <c r="EB92" s="20" t="inlineStr">
        <is>
          <t>IC Organic Acids</t>
        </is>
      </c>
      <c r="EC92" s="20" t="inlineStr">
        <is>
          <t>None</t>
        </is>
      </c>
      <c r="ED92" s="17" t="n"/>
      <c r="EE92" s="16" t="n"/>
      <c r="EF92" s="20" t="inlineStr">
        <is>
          <t>IC Organic Acids</t>
        </is>
      </c>
      <c r="EG92" s="20" t="inlineStr">
        <is>
          <t>None</t>
        </is>
      </c>
      <c r="EH92" s="17" t="n"/>
      <c r="EI92" s="16" t="n"/>
      <c r="EJ92" s="20" t="inlineStr">
        <is>
          <t>IC Organic Acids</t>
        </is>
      </c>
      <c r="EK92" s="20" t="inlineStr">
        <is>
          <t>None</t>
        </is>
      </c>
      <c r="EL92" s="17" t="n"/>
      <c r="EM92" s="16" t="n"/>
      <c r="EN92" s="20" t="inlineStr">
        <is>
          <t>IC Organic Acids</t>
        </is>
      </c>
      <c r="EO92" s="20" t="inlineStr">
        <is>
          <t>None</t>
        </is>
      </c>
      <c r="EP92" s="17" t="n"/>
      <c r="EQ92" s="16" t="n"/>
      <c r="ER92" s="20" t="inlineStr">
        <is>
          <t>IC Organic Acids</t>
        </is>
      </c>
      <c r="ES92" s="20" t="inlineStr">
        <is>
          <t>None</t>
        </is>
      </c>
      <c r="ET92" s="17" t="n"/>
      <c r="EU92" s="16" t="n"/>
      <c r="EV92" s="20" t="inlineStr">
        <is>
          <t>LC-MS</t>
        </is>
      </c>
      <c r="EW92" s="20" t="inlineStr">
        <is>
          <t>None</t>
        </is>
      </c>
      <c r="EX92" s="17" t="n"/>
      <c r="EY92" s="21" t="n"/>
      <c r="EZ92">
        <f>CONCATENATE(A92,B92)</f>
        <v/>
      </c>
      <c r="FA92">
        <f>CONCATENATE(SamplesX!A92,SamplesX!B92)</f>
        <v/>
      </c>
      <c r="FC92">
        <f>MATCH(EZ92,FA1:FA1008,0)</f>
        <v/>
      </c>
    </row>
    <row r="93">
      <c r="A93" s="16" t="inlineStr">
        <is>
          <t>BP</t>
        </is>
      </c>
      <c r="B93" s="17" t="inlineStr">
        <is>
          <t>25085</t>
        </is>
      </c>
      <c r="C93" s="10">
        <f>IF(ISNUMBER(FC93),INDIRECT("SamplesX!C"&amp;FC93),IF(ISNUMBER(FD93),INDIRECT("SamplesY!C"&amp;FD93),""))</f>
        <v/>
      </c>
      <c r="D93" s="12">
        <f>IF(ISNUMBER(FC93),INDIRECT("SamplesX!D"&amp;FC93),IF(ISNUMBER(FD93),INDIRECT("SamplesY!D"&amp;FD93),""))</f>
        <v/>
      </c>
      <c r="E93" s="12">
        <f>IF(ISNUMBER(FC93),INDIRECT("SamplesX!E"&amp;FC93),IF(ISNUMBER(FD93),INDIRECT("SamplesY!E"&amp;FD93),""))</f>
        <v/>
      </c>
      <c r="F93" s="11">
        <f>IF(ISNUMBER(FC93),INDIRECT("SamplesX!F"&amp;FC93),IF(ISNUMBER(FD93),INDIRECT("SamplesY!F"&amp;FD93),""))</f>
        <v/>
      </c>
      <c r="G93" s="18">
        <f>IF(ISNUMBER(FC93),INDIRECT("SamplesX!G"&amp;FC93),IF(ISNUMBER(FD93),INDIRECT("SamplesY!G"&amp;FD93),""))</f>
        <v/>
      </c>
      <c r="H93" s="19">
        <f>IF(ISNUMBER(FC93),INDIRECT("SamplesX!H"&amp;FC93),IF(ISNUMBER(FD93),INDIRECT("SamplesY!H"&amp;FD93),""))</f>
        <v/>
      </c>
      <c r="I93" s="16" t="n"/>
      <c r="J93" s="16" t="n"/>
      <c r="K93" s="16" t="n"/>
      <c r="L93" s="20" t="n"/>
      <c r="M93" s="20" t="inlineStr">
        <is>
          <t>None</t>
        </is>
      </c>
      <c r="N93" s="17" t="n"/>
      <c r="O93" s="16" t="n"/>
      <c r="P93" s="20" t="inlineStr">
        <is>
          <t>Shimadzu TOC-L</t>
        </is>
      </c>
      <c r="Q93" s="20" t="inlineStr">
        <is>
          <t>None</t>
        </is>
      </c>
      <c r="R93" s="17" t="n"/>
      <c r="S93" s="16" t="n"/>
      <c r="T93" s="20" t="inlineStr">
        <is>
          <t>Shimadzu TOC-L</t>
        </is>
      </c>
      <c r="U93" s="20" t="inlineStr">
        <is>
          <t>None</t>
        </is>
      </c>
      <c r="V93" s="17" t="n"/>
      <c r="W93" s="16" t="n"/>
      <c r="X93" s="20" t="n"/>
      <c r="Y93" s="20" t="inlineStr">
        <is>
          <t>None</t>
        </is>
      </c>
      <c r="Z93" s="17" t="n"/>
      <c r="AA93" s="16" t="n"/>
      <c r="AB93" s="20" t="n"/>
      <c r="AC93" s="20" t="inlineStr">
        <is>
          <t>None</t>
        </is>
      </c>
      <c r="AD93" s="17" t="n"/>
      <c r="AE93" s="16" t="inlineStr">
        <is>
          <t>270</t>
        </is>
      </c>
      <c r="AF93" s="20" t="inlineStr">
        <is>
          <t>IC Anionen</t>
        </is>
      </c>
      <c r="AG93" s="20" t="inlineStr">
        <is>
          <t>None</t>
        </is>
      </c>
      <c r="AH93" s="17" t="n"/>
      <c r="AI93" s="16" t="n"/>
      <c r="AJ93" s="20" t="n"/>
      <c r="AK93" s="20" t="inlineStr">
        <is>
          <t>None</t>
        </is>
      </c>
      <c r="AL93" s="17" t="n"/>
      <c r="AM93" s="16" t="n"/>
      <c r="AN93" s="20" t="inlineStr">
        <is>
          <t>IC Anionen</t>
        </is>
      </c>
      <c r="AO93" s="20" t="inlineStr">
        <is>
          <t>None</t>
        </is>
      </c>
      <c r="AP93" s="17" t="n"/>
      <c r="AQ93" s="16" t="n"/>
      <c r="AR93" s="20" t="n"/>
      <c r="AS93" s="20" t="inlineStr">
        <is>
          <t>None</t>
        </is>
      </c>
      <c r="AT93" s="17" t="n"/>
      <c r="AU93" s="16" t="inlineStr">
        <is>
          <t>4.62</t>
        </is>
      </c>
      <c r="AV93" s="20" t="inlineStr">
        <is>
          <t>IC Anionen</t>
        </is>
      </c>
      <c r="AW93" s="20" t="inlineStr">
        <is>
          <t>None</t>
        </is>
      </c>
      <c r="AX93" s="17" t="n"/>
      <c r="AY93" s="16" t="inlineStr">
        <is>
          <t>&lt;0.8</t>
        </is>
      </c>
      <c r="AZ93" s="20" t="inlineStr">
        <is>
          <t>IC Anionen</t>
        </is>
      </c>
      <c r="BA93" s="20" t="inlineStr">
        <is>
          <t>None</t>
        </is>
      </c>
      <c r="BB93" s="17" t="n"/>
      <c r="BC93" s="16" t="inlineStr">
        <is>
          <t>117</t>
        </is>
      </c>
      <c r="BD93" s="20" t="inlineStr">
        <is>
          <t>IC Kationen</t>
        </is>
      </c>
      <c r="BE93" s="20" t="inlineStr">
        <is>
          <t>None</t>
        </is>
      </c>
      <c r="BF93" s="17" t="n"/>
      <c r="BG93" s="16" t="inlineStr">
        <is>
          <t>11.4</t>
        </is>
      </c>
      <c r="BH93" s="20" t="inlineStr">
        <is>
          <t>IC Kationen</t>
        </is>
      </c>
      <c r="BI93" s="20" t="inlineStr">
        <is>
          <t>None</t>
        </is>
      </c>
      <c r="BJ93" s="17" t="n"/>
      <c r="BK93" s="16" t="inlineStr">
        <is>
          <t>17.4</t>
        </is>
      </c>
      <c r="BL93" s="20" t="inlineStr">
        <is>
          <t>IC Kationen</t>
        </is>
      </c>
      <c r="BM93" s="20" t="inlineStr">
        <is>
          <t>None</t>
        </is>
      </c>
      <c r="BN93" s="17" t="n"/>
      <c r="BO93" s="16" t="inlineStr">
        <is>
          <t>297</t>
        </is>
      </c>
      <c r="BP93" s="20" t="inlineStr">
        <is>
          <t>IC Kationen</t>
        </is>
      </c>
      <c r="BQ93" s="20" t="inlineStr">
        <is>
          <t>None</t>
        </is>
      </c>
      <c r="BR93" s="17" t="n"/>
      <c r="BS93" s="16" t="inlineStr">
        <is>
          <t>34.3</t>
        </is>
      </c>
      <c r="BT93" s="20" t="inlineStr">
        <is>
          <t>IC Kationen</t>
        </is>
      </c>
      <c r="BU93" s="20" t="inlineStr">
        <is>
          <t>None</t>
        </is>
      </c>
      <c r="BV93" s="17" t="n"/>
      <c r="BW93" s="16" t="n"/>
      <c r="BX93" s="20" t="n"/>
      <c r="BY93" s="20" t="inlineStr">
        <is>
          <t>None</t>
        </is>
      </c>
      <c r="BZ93" s="17" t="n"/>
      <c r="CA93" s="16" t="n"/>
      <c r="CB93" s="20" t="n"/>
      <c r="CC93" s="20" t="inlineStr">
        <is>
          <t>None</t>
        </is>
      </c>
      <c r="CD93" s="17" t="n"/>
      <c r="CE93" s="16" t="n"/>
      <c r="CF93" s="20" t="n"/>
      <c r="CG93" s="20" t="inlineStr">
        <is>
          <t>None</t>
        </is>
      </c>
      <c r="CH93" s="17" t="n"/>
      <c r="CI93" s="16" t="n"/>
      <c r="CJ93" s="20" t="n"/>
      <c r="CK93" s="20" t="inlineStr">
        <is>
          <t>None</t>
        </is>
      </c>
      <c r="CL93" s="17" t="n"/>
      <c r="CM93" s="16" t="n"/>
      <c r="CN93" s="20" t="inlineStr">
        <is>
          <t>SOP 45-34</t>
        </is>
      </c>
      <c r="CO93" s="20" t="inlineStr">
        <is>
          <t>None</t>
        </is>
      </c>
      <c r="CP93" s="17" t="n"/>
      <c r="CQ93" s="16" t="n"/>
      <c r="CR93" s="20" t="n"/>
      <c r="CS93" s="20" t="inlineStr">
        <is>
          <t>None</t>
        </is>
      </c>
      <c r="CT93" s="17" t="n"/>
      <c r="CU93" s="16" t="n"/>
      <c r="CV93" s="20" t="n"/>
      <c r="CW93" s="20" t="inlineStr">
        <is>
          <t>None</t>
        </is>
      </c>
      <c r="CX93" s="17" t="n"/>
      <c r="CY93" s="16" t="n"/>
      <c r="CZ93" s="20" t="inlineStr">
        <is>
          <t>WTW Multimeter 3430 with FDO 925</t>
        </is>
      </c>
      <c r="DA93" s="20" t="inlineStr">
        <is>
          <t>None</t>
        </is>
      </c>
      <c r="DB93" s="17" t="n"/>
      <c r="DC93" s="16" t="n"/>
      <c r="DD93" s="20" t="n"/>
      <c r="DE93" s="20" t="inlineStr">
        <is>
          <t>None</t>
        </is>
      </c>
      <c r="DF93" s="17" t="n"/>
      <c r="DG93" s="16" t="n"/>
      <c r="DH93" s="20" t="inlineStr">
        <is>
          <t>SOP 45-09</t>
        </is>
      </c>
      <c r="DI93" s="20" t="inlineStr">
        <is>
          <t>None</t>
        </is>
      </c>
      <c r="DJ93" s="17" t="n"/>
      <c r="DK93" s="16" t="n"/>
      <c r="DL93" s="20" t="inlineStr">
        <is>
          <t>SOP 45-09 (SOP muss noch angepasst werden für VSS)</t>
        </is>
      </c>
      <c r="DM93" s="20" t="inlineStr">
        <is>
          <t>None</t>
        </is>
      </c>
      <c r="DN93" s="17" t="n"/>
      <c r="DO93" s="16" t="n"/>
      <c r="DP93" s="20" t="inlineStr">
        <is>
          <t>IC Organic Acids</t>
        </is>
      </c>
      <c r="DQ93" s="20" t="inlineStr">
        <is>
          <t>None</t>
        </is>
      </c>
      <c r="DR93" s="17" t="n"/>
      <c r="DS93" s="16" t="n"/>
      <c r="DT93" s="20" t="inlineStr">
        <is>
          <t>IC Organic Acids</t>
        </is>
      </c>
      <c r="DU93" s="20" t="inlineStr">
        <is>
          <t>None</t>
        </is>
      </c>
      <c r="DV93" s="17" t="n"/>
      <c r="DW93" s="16" t="n"/>
      <c r="DX93" s="20" t="inlineStr">
        <is>
          <t>IC Organic Acids</t>
        </is>
      </c>
      <c r="DY93" s="20" t="inlineStr">
        <is>
          <t>None</t>
        </is>
      </c>
      <c r="DZ93" s="17" t="n"/>
      <c r="EA93" s="16" t="n"/>
      <c r="EB93" s="20" t="inlineStr">
        <is>
          <t>IC Organic Acids</t>
        </is>
      </c>
      <c r="EC93" s="20" t="inlineStr">
        <is>
          <t>None</t>
        </is>
      </c>
      <c r="ED93" s="17" t="n"/>
      <c r="EE93" s="16" t="n"/>
      <c r="EF93" s="20" t="inlineStr">
        <is>
          <t>IC Organic Acids</t>
        </is>
      </c>
      <c r="EG93" s="20" t="inlineStr">
        <is>
          <t>None</t>
        </is>
      </c>
      <c r="EH93" s="17" t="n"/>
      <c r="EI93" s="16" t="n"/>
      <c r="EJ93" s="20" t="inlineStr">
        <is>
          <t>IC Organic Acids</t>
        </is>
      </c>
      <c r="EK93" s="20" t="inlineStr">
        <is>
          <t>None</t>
        </is>
      </c>
      <c r="EL93" s="17" t="n"/>
      <c r="EM93" s="16" t="n"/>
      <c r="EN93" s="20" t="inlineStr">
        <is>
          <t>IC Organic Acids</t>
        </is>
      </c>
      <c r="EO93" s="20" t="inlineStr">
        <is>
          <t>None</t>
        </is>
      </c>
      <c r="EP93" s="17" t="n"/>
      <c r="EQ93" s="16" t="n"/>
      <c r="ER93" s="20" t="inlineStr">
        <is>
          <t>IC Organic Acids</t>
        </is>
      </c>
      <c r="ES93" s="20" t="inlineStr">
        <is>
          <t>None</t>
        </is>
      </c>
      <c r="ET93" s="17" t="n"/>
      <c r="EU93" s="16" t="n"/>
      <c r="EV93" s="20" t="inlineStr">
        <is>
          <t>LC-MS</t>
        </is>
      </c>
      <c r="EW93" s="20" t="inlineStr">
        <is>
          <t>None</t>
        </is>
      </c>
      <c r="EX93" s="17" t="n"/>
      <c r="EY93" s="21" t="n"/>
      <c r="EZ93">
        <f>CONCATENATE(A93,B93)</f>
        <v/>
      </c>
      <c r="FA93">
        <f>CONCATENATE(SamplesX!A93,SamplesX!B93)</f>
        <v/>
      </c>
      <c r="FC93">
        <f>MATCH(EZ93,FA1:FA1008,0)</f>
        <v/>
      </c>
    </row>
    <row r="94">
      <c r="A94" s="16" t="inlineStr">
        <is>
          <t>BP</t>
        </is>
      </c>
      <c r="B94" s="17" t="inlineStr">
        <is>
          <t>25086</t>
        </is>
      </c>
      <c r="C94" s="10">
        <f>IF(ISNUMBER(FC94),INDIRECT("SamplesX!C"&amp;FC94),IF(ISNUMBER(FD94),INDIRECT("SamplesY!C"&amp;FD94),""))</f>
        <v/>
      </c>
      <c r="D94" s="12">
        <f>IF(ISNUMBER(FC94),INDIRECT("SamplesX!D"&amp;FC94),IF(ISNUMBER(FD94),INDIRECT("SamplesY!D"&amp;FD94),""))</f>
        <v/>
      </c>
      <c r="E94" s="12">
        <f>IF(ISNUMBER(FC94),INDIRECT("SamplesX!E"&amp;FC94),IF(ISNUMBER(FD94),INDIRECT("SamplesY!E"&amp;FD94),""))</f>
        <v/>
      </c>
      <c r="F94" s="11">
        <f>IF(ISNUMBER(FC94),INDIRECT("SamplesX!F"&amp;FC94),IF(ISNUMBER(FD94),INDIRECT("SamplesY!F"&amp;FD94),""))</f>
        <v/>
      </c>
      <c r="G94" s="18">
        <f>IF(ISNUMBER(FC94),INDIRECT("SamplesX!G"&amp;FC94),IF(ISNUMBER(FD94),INDIRECT("SamplesY!G"&amp;FD94),""))</f>
        <v/>
      </c>
      <c r="H94" s="19">
        <f>IF(ISNUMBER(FC94),INDIRECT("SamplesX!H"&amp;FC94),IF(ISNUMBER(FD94),INDIRECT("SamplesY!H"&amp;FD94),""))</f>
        <v/>
      </c>
      <c r="I94" s="16" t="n"/>
      <c r="J94" s="16" t="n"/>
      <c r="K94" s="16" t="n"/>
      <c r="L94" s="20" t="n"/>
      <c r="M94" s="20" t="inlineStr">
        <is>
          <t>None</t>
        </is>
      </c>
      <c r="N94" s="17" t="n"/>
      <c r="O94" s="16" t="n"/>
      <c r="P94" s="20" t="inlineStr">
        <is>
          <t>Shimadzu TOC-L</t>
        </is>
      </c>
      <c r="Q94" s="20" t="inlineStr">
        <is>
          <t>None</t>
        </is>
      </c>
      <c r="R94" s="17" t="n"/>
      <c r="S94" s="16" t="n"/>
      <c r="T94" s="20" t="inlineStr">
        <is>
          <t>Shimadzu TOC-L</t>
        </is>
      </c>
      <c r="U94" s="20" t="inlineStr">
        <is>
          <t>None</t>
        </is>
      </c>
      <c r="V94" s="17" t="n"/>
      <c r="W94" s="16" t="n"/>
      <c r="X94" s="20" t="n"/>
      <c r="Y94" s="20" t="inlineStr">
        <is>
          <t>None</t>
        </is>
      </c>
      <c r="Z94" s="17" t="n"/>
      <c r="AA94" s="16" t="n"/>
      <c r="AB94" s="20" t="n"/>
      <c r="AC94" s="20" t="inlineStr">
        <is>
          <t>None</t>
        </is>
      </c>
      <c r="AD94" s="17" t="n"/>
      <c r="AE94" s="16" t="inlineStr">
        <is>
          <t>278</t>
        </is>
      </c>
      <c r="AF94" s="20" t="inlineStr">
        <is>
          <t>IC Anionen</t>
        </is>
      </c>
      <c r="AG94" s="20" t="inlineStr">
        <is>
          <t>None</t>
        </is>
      </c>
      <c r="AH94" s="17" t="n"/>
      <c r="AI94" s="16" t="n"/>
      <c r="AJ94" s="20" t="n"/>
      <c r="AK94" s="20" t="inlineStr">
        <is>
          <t>None</t>
        </is>
      </c>
      <c r="AL94" s="17" t="n"/>
      <c r="AM94" s="16" t="n"/>
      <c r="AN94" s="20" t="inlineStr">
        <is>
          <t>IC Anionen</t>
        </is>
      </c>
      <c r="AO94" s="20" t="inlineStr">
        <is>
          <t>None</t>
        </is>
      </c>
      <c r="AP94" s="17" t="n"/>
      <c r="AQ94" s="16" t="n"/>
      <c r="AR94" s="20" t="n"/>
      <c r="AS94" s="20" t="inlineStr">
        <is>
          <t>None</t>
        </is>
      </c>
      <c r="AT94" s="17" t="n"/>
      <c r="AU94" s="16" t="inlineStr">
        <is>
          <t>&lt;0.13</t>
        </is>
      </c>
      <c r="AV94" s="20" t="inlineStr">
        <is>
          <t>IC Anionen</t>
        </is>
      </c>
      <c r="AW94" s="20" t="inlineStr">
        <is>
          <t>None</t>
        </is>
      </c>
      <c r="AX94" s="17" t="n"/>
      <c r="AY94" s="16" t="inlineStr">
        <is>
          <t>&lt;0.8</t>
        </is>
      </c>
      <c r="AZ94" s="20" t="inlineStr">
        <is>
          <t>IC Anionen</t>
        </is>
      </c>
      <c r="BA94" s="20" t="inlineStr">
        <is>
          <t>None</t>
        </is>
      </c>
      <c r="BB94" s="17" t="n"/>
      <c r="BC94" s="16" t="inlineStr">
        <is>
          <t>119</t>
        </is>
      </c>
      <c r="BD94" s="20" t="inlineStr">
        <is>
          <t>IC Kationen</t>
        </is>
      </c>
      <c r="BE94" s="20" t="inlineStr">
        <is>
          <t>None</t>
        </is>
      </c>
      <c r="BF94" s="17" t="n"/>
      <c r="BG94" s="16" t="inlineStr">
        <is>
          <t>&lt;1.60</t>
        </is>
      </c>
      <c r="BH94" s="20" t="inlineStr">
        <is>
          <t>IC Kationen</t>
        </is>
      </c>
      <c r="BI94" s="20" t="inlineStr">
        <is>
          <t>None</t>
        </is>
      </c>
      <c r="BJ94" s="17" t="n"/>
      <c r="BK94" s="16" t="inlineStr">
        <is>
          <t>15.6</t>
        </is>
      </c>
      <c r="BL94" s="20" t="inlineStr">
        <is>
          <t>IC Kationen</t>
        </is>
      </c>
      <c r="BM94" s="20" t="inlineStr">
        <is>
          <t>None</t>
        </is>
      </c>
      <c r="BN94" s="17" t="n"/>
      <c r="BO94" s="16" t="inlineStr">
        <is>
          <t>155</t>
        </is>
      </c>
      <c r="BP94" s="20" t="inlineStr">
        <is>
          <t>IC Kationen</t>
        </is>
      </c>
      <c r="BQ94" s="20" t="inlineStr">
        <is>
          <t>None</t>
        </is>
      </c>
      <c r="BR94" s="17" t="n"/>
      <c r="BS94" s="16" t="inlineStr">
        <is>
          <t>31.5</t>
        </is>
      </c>
      <c r="BT94" s="20" t="inlineStr">
        <is>
          <t>IC Kationen</t>
        </is>
      </c>
      <c r="BU94" s="20" t="inlineStr">
        <is>
          <t>None</t>
        </is>
      </c>
      <c r="BV94" s="17" t="n"/>
      <c r="BW94" s="16" t="n"/>
      <c r="BX94" s="20" t="n"/>
      <c r="BY94" s="20" t="inlineStr">
        <is>
          <t>None</t>
        </is>
      </c>
      <c r="BZ94" s="17" t="n"/>
      <c r="CA94" s="16" t="n"/>
      <c r="CB94" s="20" t="n"/>
      <c r="CC94" s="20" t="inlineStr">
        <is>
          <t>None</t>
        </is>
      </c>
      <c r="CD94" s="17" t="n"/>
      <c r="CE94" s="16" t="n"/>
      <c r="CF94" s="20" t="n"/>
      <c r="CG94" s="20" t="inlineStr">
        <is>
          <t>None</t>
        </is>
      </c>
      <c r="CH94" s="17" t="n"/>
      <c r="CI94" s="16" t="n"/>
      <c r="CJ94" s="20" t="n"/>
      <c r="CK94" s="20" t="inlineStr">
        <is>
          <t>None</t>
        </is>
      </c>
      <c r="CL94" s="17" t="n"/>
      <c r="CM94" s="16" t="n"/>
      <c r="CN94" s="20" t="inlineStr">
        <is>
          <t>SOP 45-34</t>
        </is>
      </c>
      <c r="CO94" s="20" t="inlineStr">
        <is>
          <t>None</t>
        </is>
      </c>
      <c r="CP94" s="17" t="n"/>
      <c r="CQ94" s="16" t="n"/>
      <c r="CR94" s="20" t="n"/>
      <c r="CS94" s="20" t="inlineStr">
        <is>
          <t>None</t>
        </is>
      </c>
      <c r="CT94" s="17" t="n"/>
      <c r="CU94" s="16" t="n"/>
      <c r="CV94" s="20" t="n"/>
      <c r="CW94" s="20" t="inlineStr">
        <is>
          <t>None</t>
        </is>
      </c>
      <c r="CX94" s="17" t="n"/>
      <c r="CY94" s="16" t="n"/>
      <c r="CZ94" s="20" t="inlineStr">
        <is>
          <t>WTW Multimeter 3430 with FDO 925</t>
        </is>
      </c>
      <c r="DA94" s="20" t="inlineStr">
        <is>
          <t>None</t>
        </is>
      </c>
      <c r="DB94" s="17" t="n"/>
      <c r="DC94" s="16" t="n"/>
      <c r="DD94" s="20" t="n"/>
      <c r="DE94" s="20" t="inlineStr">
        <is>
          <t>None</t>
        </is>
      </c>
      <c r="DF94" s="17" t="n"/>
      <c r="DG94" s="16" t="n"/>
      <c r="DH94" s="20" t="inlineStr">
        <is>
          <t>SOP 45-09</t>
        </is>
      </c>
      <c r="DI94" s="20" t="inlineStr">
        <is>
          <t>None</t>
        </is>
      </c>
      <c r="DJ94" s="17" t="n"/>
      <c r="DK94" s="16" t="n"/>
      <c r="DL94" s="20" t="inlineStr">
        <is>
          <t>SOP 45-09 (SOP muss noch angepasst werden für VSS)</t>
        </is>
      </c>
      <c r="DM94" s="20" t="inlineStr">
        <is>
          <t>None</t>
        </is>
      </c>
      <c r="DN94" s="17" t="n"/>
      <c r="DO94" s="16" t="n"/>
      <c r="DP94" s="20" t="inlineStr">
        <is>
          <t>IC Organic Acids</t>
        </is>
      </c>
      <c r="DQ94" s="20" t="inlineStr">
        <is>
          <t>None</t>
        </is>
      </c>
      <c r="DR94" s="17" t="n"/>
      <c r="DS94" s="16" t="n"/>
      <c r="DT94" s="20" t="inlineStr">
        <is>
          <t>IC Organic Acids</t>
        </is>
      </c>
      <c r="DU94" s="20" t="inlineStr">
        <is>
          <t>None</t>
        </is>
      </c>
      <c r="DV94" s="17" t="n"/>
      <c r="DW94" s="16" t="n"/>
      <c r="DX94" s="20" t="inlineStr">
        <is>
          <t>IC Organic Acids</t>
        </is>
      </c>
      <c r="DY94" s="20" t="inlineStr">
        <is>
          <t>None</t>
        </is>
      </c>
      <c r="DZ94" s="17" t="n"/>
      <c r="EA94" s="16" t="n"/>
      <c r="EB94" s="20" t="inlineStr">
        <is>
          <t>IC Organic Acids</t>
        </is>
      </c>
      <c r="EC94" s="20" t="inlineStr">
        <is>
          <t>None</t>
        </is>
      </c>
      <c r="ED94" s="17" t="n"/>
      <c r="EE94" s="16" t="n"/>
      <c r="EF94" s="20" t="inlineStr">
        <is>
          <t>IC Organic Acids</t>
        </is>
      </c>
      <c r="EG94" s="20" t="inlineStr">
        <is>
          <t>None</t>
        </is>
      </c>
      <c r="EH94" s="17" t="n"/>
      <c r="EI94" s="16" t="n"/>
      <c r="EJ94" s="20" t="inlineStr">
        <is>
          <t>IC Organic Acids</t>
        </is>
      </c>
      <c r="EK94" s="20" t="inlineStr">
        <is>
          <t>None</t>
        </is>
      </c>
      <c r="EL94" s="17" t="n"/>
      <c r="EM94" s="16" t="n"/>
      <c r="EN94" s="20" t="inlineStr">
        <is>
          <t>IC Organic Acids</t>
        </is>
      </c>
      <c r="EO94" s="20" t="inlineStr">
        <is>
          <t>None</t>
        </is>
      </c>
      <c r="EP94" s="17" t="n"/>
      <c r="EQ94" s="16" t="n"/>
      <c r="ER94" s="20" t="inlineStr">
        <is>
          <t>IC Organic Acids</t>
        </is>
      </c>
      <c r="ES94" s="20" t="inlineStr">
        <is>
          <t>None</t>
        </is>
      </c>
      <c r="ET94" s="17" t="n"/>
      <c r="EU94" s="16" t="n"/>
      <c r="EV94" s="20" t="inlineStr">
        <is>
          <t>LC-MS</t>
        </is>
      </c>
      <c r="EW94" s="20" t="inlineStr">
        <is>
          <t>None</t>
        </is>
      </c>
      <c r="EX94" s="17" t="n"/>
      <c r="EY94" s="21" t="n"/>
      <c r="EZ94">
        <f>CONCATENATE(A94,B94)</f>
        <v/>
      </c>
      <c r="FA94">
        <f>CONCATENATE(SamplesX!A94,SamplesX!B94)</f>
        <v/>
      </c>
      <c r="FC94">
        <f>MATCH(EZ94,FA1:FA1008,0)</f>
        <v/>
      </c>
    </row>
    <row r="95">
      <c r="A95" s="16" t="inlineStr">
        <is>
          <t>BP</t>
        </is>
      </c>
      <c r="B95" s="17" t="inlineStr">
        <is>
          <t>25087</t>
        </is>
      </c>
      <c r="C95" s="10">
        <f>IF(ISNUMBER(FC95),INDIRECT("SamplesX!C"&amp;FC95),IF(ISNUMBER(FD95),INDIRECT("SamplesY!C"&amp;FD95),""))</f>
        <v/>
      </c>
      <c r="D95" s="12">
        <f>IF(ISNUMBER(FC95),INDIRECT("SamplesX!D"&amp;FC95),IF(ISNUMBER(FD95),INDIRECT("SamplesY!D"&amp;FD95),""))</f>
        <v/>
      </c>
      <c r="E95" s="12">
        <f>IF(ISNUMBER(FC95),INDIRECT("SamplesX!E"&amp;FC95),IF(ISNUMBER(FD95),INDIRECT("SamplesY!E"&amp;FD95),""))</f>
        <v/>
      </c>
      <c r="F95" s="11">
        <f>IF(ISNUMBER(FC95),INDIRECT("SamplesX!F"&amp;FC95),IF(ISNUMBER(FD95),INDIRECT("SamplesY!F"&amp;FD95),""))</f>
        <v/>
      </c>
      <c r="G95" s="18">
        <f>IF(ISNUMBER(FC95),INDIRECT("SamplesX!G"&amp;FC95),IF(ISNUMBER(FD95),INDIRECT("SamplesY!G"&amp;FD95),""))</f>
        <v/>
      </c>
      <c r="H95" s="19">
        <f>IF(ISNUMBER(FC95),INDIRECT("SamplesX!H"&amp;FC95),IF(ISNUMBER(FD95),INDIRECT("SamplesY!H"&amp;FD95),""))</f>
        <v/>
      </c>
      <c r="I95" s="16" t="n"/>
      <c r="J95" s="16" t="n"/>
      <c r="K95" s="16" t="n"/>
      <c r="L95" s="20" t="n"/>
      <c r="M95" s="20" t="inlineStr">
        <is>
          <t>None</t>
        </is>
      </c>
      <c r="N95" s="17" t="n"/>
      <c r="O95" s="16" t="n"/>
      <c r="P95" s="20" t="inlineStr">
        <is>
          <t>Shimadzu TOC-L</t>
        </is>
      </c>
      <c r="Q95" s="20" t="inlineStr">
        <is>
          <t>None</t>
        </is>
      </c>
      <c r="R95" s="17" t="n"/>
      <c r="S95" s="16" t="n"/>
      <c r="T95" s="20" t="inlineStr">
        <is>
          <t>Shimadzu TOC-L</t>
        </is>
      </c>
      <c r="U95" s="20" t="inlineStr">
        <is>
          <t>None</t>
        </is>
      </c>
      <c r="V95" s="17" t="n"/>
      <c r="W95" s="16" t="n"/>
      <c r="X95" s="20" t="n"/>
      <c r="Y95" s="20" t="inlineStr">
        <is>
          <t>None</t>
        </is>
      </c>
      <c r="Z95" s="17" t="n"/>
      <c r="AA95" s="16" t="n"/>
      <c r="AB95" s="20" t="n"/>
      <c r="AC95" s="20" t="inlineStr">
        <is>
          <t>None</t>
        </is>
      </c>
      <c r="AD95" s="17" t="n"/>
      <c r="AE95" s="16" t="inlineStr">
        <is>
          <t>184</t>
        </is>
      </c>
      <c r="AF95" s="20" t="inlineStr">
        <is>
          <t>IC Anionen</t>
        </is>
      </c>
      <c r="AG95" s="20" t="inlineStr">
        <is>
          <t>None</t>
        </is>
      </c>
      <c r="AH95" s="17" t="n"/>
      <c r="AI95" s="16" t="n"/>
      <c r="AJ95" s="20" t="n"/>
      <c r="AK95" s="20" t="inlineStr">
        <is>
          <t>None</t>
        </is>
      </c>
      <c r="AL95" s="17" t="n"/>
      <c r="AM95" s="16" t="n"/>
      <c r="AN95" s="20" t="inlineStr">
        <is>
          <t>IC Anionen</t>
        </is>
      </c>
      <c r="AO95" s="20" t="inlineStr">
        <is>
          <t>None</t>
        </is>
      </c>
      <c r="AP95" s="17" t="n"/>
      <c r="AQ95" s="16" t="n"/>
      <c r="AR95" s="20" t="n"/>
      <c r="AS95" s="20" t="inlineStr">
        <is>
          <t>None</t>
        </is>
      </c>
      <c r="AT95" s="17" t="n"/>
      <c r="AU95" s="16" t="inlineStr">
        <is>
          <t>4.65</t>
        </is>
      </c>
      <c r="AV95" s="20" t="inlineStr">
        <is>
          <t>IC Anionen</t>
        </is>
      </c>
      <c r="AW95" s="20" t="inlineStr">
        <is>
          <t>None</t>
        </is>
      </c>
      <c r="AX95" s="17" t="n"/>
      <c r="AY95" s="16" t="inlineStr">
        <is>
          <t>&lt;0.8</t>
        </is>
      </c>
      <c r="AZ95" s="20" t="inlineStr">
        <is>
          <t>IC Anionen</t>
        </is>
      </c>
      <c r="BA95" s="20" t="inlineStr">
        <is>
          <t>None</t>
        </is>
      </c>
      <c r="BB95" s="17" t="n"/>
      <c r="BC95" s="16" t="inlineStr">
        <is>
          <t>127</t>
        </is>
      </c>
      <c r="BD95" s="20" t="inlineStr">
        <is>
          <t>IC Kationen</t>
        </is>
      </c>
      <c r="BE95" s="20" t="inlineStr">
        <is>
          <t>None</t>
        </is>
      </c>
      <c r="BF95" s="17" t="n"/>
      <c r="BG95" s="16" t="inlineStr">
        <is>
          <t>&lt;1.60</t>
        </is>
      </c>
      <c r="BH95" s="20" t="inlineStr">
        <is>
          <t>IC Kationen</t>
        </is>
      </c>
      <c r="BI95" s="20" t="inlineStr">
        <is>
          <t>None</t>
        </is>
      </c>
      <c r="BJ95" s="17" t="n"/>
      <c r="BK95" s="16" t="inlineStr">
        <is>
          <t>17.7</t>
        </is>
      </c>
      <c r="BL95" s="20" t="inlineStr">
        <is>
          <t>IC Kationen</t>
        </is>
      </c>
      <c r="BM95" s="20" t="inlineStr">
        <is>
          <t>None</t>
        </is>
      </c>
      <c r="BN95" s="17" t="n"/>
      <c r="BO95" s="16" t="inlineStr">
        <is>
          <t>271</t>
        </is>
      </c>
      <c r="BP95" s="20" t="inlineStr">
        <is>
          <t>IC Kationen</t>
        </is>
      </c>
      <c r="BQ95" s="20" t="inlineStr">
        <is>
          <t>None</t>
        </is>
      </c>
      <c r="BR95" s="17" t="n"/>
      <c r="BS95" s="16" t="inlineStr">
        <is>
          <t>34.3</t>
        </is>
      </c>
      <c r="BT95" s="20" t="inlineStr">
        <is>
          <t>IC Kationen</t>
        </is>
      </c>
      <c r="BU95" s="20" t="inlineStr">
        <is>
          <t>None</t>
        </is>
      </c>
      <c r="BV95" s="17" t="n"/>
      <c r="BW95" s="16" t="n"/>
      <c r="BX95" s="20" t="n"/>
      <c r="BY95" s="20" t="inlineStr">
        <is>
          <t>None</t>
        </is>
      </c>
      <c r="BZ95" s="17" t="n"/>
      <c r="CA95" s="16" t="n"/>
      <c r="CB95" s="20" t="n"/>
      <c r="CC95" s="20" t="inlineStr">
        <is>
          <t>None</t>
        </is>
      </c>
      <c r="CD95" s="17" t="n"/>
      <c r="CE95" s="16" t="n"/>
      <c r="CF95" s="20" t="n"/>
      <c r="CG95" s="20" t="inlineStr">
        <is>
          <t>None</t>
        </is>
      </c>
      <c r="CH95" s="17" t="n"/>
      <c r="CI95" s="16" t="n"/>
      <c r="CJ95" s="20" t="n"/>
      <c r="CK95" s="20" t="inlineStr">
        <is>
          <t>None</t>
        </is>
      </c>
      <c r="CL95" s="17" t="n"/>
      <c r="CM95" s="16" t="n"/>
      <c r="CN95" s="20" t="inlineStr">
        <is>
          <t>SOP 45-34</t>
        </is>
      </c>
      <c r="CO95" s="20" t="inlineStr">
        <is>
          <t>None</t>
        </is>
      </c>
      <c r="CP95" s="17" t="n"/>
      <c r="CQ95" s="16" t="n"/>
      <c r="CR95" s="20" t="n"/>
      <c r="CS95" s="20" t="inlineStr">
        <is>
          <t>None</t>
        </is>
      </c>
      <c r="CT95" s="17" t="n"/>
      <c r="CU95" s="16" t="n"/>
      <c r="CV95" s="20" t="n"/>
      <c r="CW95" s="20" t="inlineStr">
        <is>
          <t>None</t>
        </is>
      </c>
      <c r="CX95" s="17" t="n"/>
      <c r="CY95" s="16" t="n"/>
      <c r="CZ95" s="20" t="inlineStr">
        <is>
          <t>WTW Multimeter 3430 with FDO 925</t>
        </is>
      </c>
      <c r="DA95" s="20" t="inlineStr">
        <is>
          <t>None</t>
        </is>
      </c>
      <c r="DB95" s="17" t="n"/>
      <c r="DC95" s="16" t="n"/>
      <c r="DD95" s="20" t="n"/>
      <c r="DE95" s="20" t="inlineStr">
        <is>
          <t>None</t>
        </is>
      </c>
      <c r="DF95" s="17" t="n"/>
      <c r="DG95" s="16" t="n"/>
      <c r="DH95" s="20" t="inlineStr">
        <is>
          <t>SOP 45-09</t>
        </is>
      </c>
      <c r="DI95" s="20" t="inlineStr">
        <is>
          <t>None</t>
        </is>
      </c>
      <c r="DJ95" s="17" t="n"/>
      <c r="DK95" s="16" t="n"/>
      <c r="DL95" s="20" t="inlineStr">
        <is>
          <t>SOP 45-09 (SOP muss noch angepasst werden für VSS)</t>
        </is>
      </c>
      <c r="DM95" s="20" t="inlineStr">
        <is>
          <t>None</t>
        </is>
      </c>
      <c r="DN95" s="17" t="n"/>
      <c r="DO95" s="16" t="n"/>
      <c r="DP95" s="20" t="inlineStr">
        <is>
          <t>IC Organic Acids</t>
        </is>
      </c>
      <c r="DQ95" s="20" t="inlineStr">
        <is>
          <t>None</t>
        </is>
      </c>
      <c r="DR95" s="17" t="n"/>
      <c r="DS95" s="16" t="n"/>
      <c r="DT95" s="20" t="inlineStr">
        <is>
          <t>IC Organic Acids</t>
        </is>
      </c>
      <c r="DU95" s="20" t="inlineStr">
        <is>
          <t>None</t>
        </is>
      </c>
      <c r="DV95" s="17" t="n"/>
      <c r="DW95" s="16" t="n"/>
      <c r="DX95" s="20" t="inlineStr">
        <is>
          <t>IC Organic Acids</t>
        </is>
      </c>
      <c r="DY95" s="20" t="inlineStr">
        <is>
          <t>None</t>
        </is>
      </c>
      <c r="DZ95" s="17" t="n"/>
      <c r="EA95" s="16" t="n"/>
      <c r="EB95" s="20" t="inlineStr">
        <is>
          <t>IC Organic Acids</t>
        </is>
      </c>
      <c r="EC95" s="20" t="inlineStr">
        <is>
          <t>None</t>
        </is>
      </c>
      <c r="ED95" s="17" t="n"/>
      <c r="EE95" s="16" t="n"/>
      <c r="EF95" s="20" t="inlineStr">
        <is>
          <t>IC Organic Acids</t>
        </is>
      </c>
      <c r="EG95" s="20" t="inlineStr">
        <is>
          <t>None</t>
        </is>
      </c>
      <c r="EH95" s="17" t="n"/>
      <c r="EI95" s="16" t="n"/>
      <c r="EJ95" s="20" t="inlineStr">
        <is>
          <t>IC Organic Acids</t>
        </is>
      </c>
      <c r="EK95" s="20" t="inlineStr">
        <is>
          <t>None</t>
        </is>
      </c>
      <c r="EL95" s="17" t="n"/>
      <c r="EM95" s="16" t="n"/>
      <c r="EN95" s="20" t="inlineStr">
        <is>
          <t>IC Organic Acids</t>
        </is>
      </c>
      <c r="EO95" s="20" t="inlineStr">
        <is>
          <t>None</t>
        </is>
      </c>
      <c r="EP95" s="17" t="n"/>
      <c r="EQ95" s="16" t="n"/>
      <c r="ER95" s="20" t="inlineStr">
        <is>
          <t>IC Organic Acids</t>
        </is>
      </c>
      <c r="ES95" s="20" t="inlineStr">
        <is>
          <t>None</t>
        </is>
      </c>
      <c r="ET95" s="17" t="n"/>
      <c r="EU95" s="16" t="n"/>
      <c r="EV95" s="20" t="inlineStr">
        <is>
          <t>LC-MS</t>
        </is>
      </c>
      <c r="EW95" s="20" t="inlineStr">
        <is>
          <t>None</t>
        </is>
      </c>
      <c r="EX95" s="17" t="n"/>
      <c r="EY95" s="21" t="n"/>
      <c r="EZ95">
        <f>CONCATENATE(A95,B95)</f>
        <v/>
      </c>
      <c r="FA95">
        <f>CONCATENATE(SamplesX!A95,SamplesX!B95)</f>
        <v/>
      </c>
      <c r="FC95">
        <f>MATCH(EZ95,FA1:FA1008,0)</f>
        <v/>
      </c>
    </row>
    <row r="96">
      <c r="A96" s="16" t="inlineStr">
        <is>
          <t>BP</t>
        </is>
      </c>
      <c r="B96" s="17" t="inlineStr">
        <is>
          <t>25088</t>
        </is>
      </c>
      <c r="C96" s="10">
        <f>IF(ISNUMBER(FC96),INDIRECT("SamplesX!C"&amp;FC96),IF(ISNUMBER(FD96),INDIRECT("SamplesY!C"&amp;FD96),""))</f>
        <v/>
      </c>
      <c r="D96" s="12">
        <f>IF(ISNUMBER(FC96),INDIRECT("SamplesX!D"&amp;FC96),IF(ISNUMBER(FD96),INDIRECT("SamplesY!D"&amp;FD96),""))</f>
        <v/>
      </c>
      <c r="E96" s="12">
        <f>IF(ISNUMBER(FC96),INDIRECT("SamplesX!E"&amp;FC96),IF(ISNUMBER(FD96),INDIRECT("SamplesY!E"&amp;FD96),""))</f>
        <v/>
      </c>
      <c r="F96" s="11">
        <f>IF(ISNUMBER(FC96),INDIRECT("SamplesX!F"&amp;FC96),IF(ISNUMBER(FD96),INDIRECT("SamplesY!F"&amp;FD96),""))</f>
        <v/>
      </c>
      <c r="G96" s="18">
        <f>IF(ISNUMBER(FC96),INDIRECT("SamplesX!G"&amp;FC96),IF(ISNUMBER(FD96),INDIRECT("SamplesY!G"&amp;FD96),""))</f>
        <v/>
      </c>
      <c r="H96" s="19">
        <f>IF(ISNUMBER(FC96),INDIRECT("SamplesX!H"&amp;FC96),IF(ISNUMBER(FD96),INDIRECT("SamplesY!H"&amp;FD96),""))</f>
        <v/>
      </c>
      <c r="I96" s="16" t="n"/>
      <c r="J96" s="16" t="n"/>
      <c r="K96" s="16" t="n"/>
      <c r="L96" s="20" t="n"/>
      <c r="M96" s="20" t="inlineStr">
        <is>
          <t>None</t>
        </is>
      </c>
      <c r="N96" s="17" t="n"/>
      <c r="O96" s="16" t="n"/>
      <c r="P96" s="20" t="inlineStr">
        <is>
          <t>Shimadzu TOC-L</t>
        </is>
      </c>
      <c r="Q96" s="20" t="inlineStr">
        <is>
          <t>None</t>
        </is>
      </c>
      <c r="R96" s="17" t="n"/>
      <c r="S96" s="16" t="n"/>
      <c r="T96" s="20" t="inlineStr">
        <is>
          <t>Shimadzu TOC-L</t>
        </is>
      </c>
      <c r="U96" s="20" t="inlineStr">
        <is>
          <t>None</t>
        </is>
      </c>
      <c r="V96" s="17" t="n"/>
      <c r="W96" s="16" t="n"/>
      <c r="X96" s="20" t="n"/>
      <c r="Y96" s="20" t="inlineStr">
        <is>
          <t>None</t>
        </is>
      </c>
      <c r="Z96" s="17" t="n"/>
      <c r="AA96" s="16" t="n"/>
      <c r="AB96" s="20" t="n"/>
      <c r="AC96" s="20" t="inlineStr">
        <is>
          <t>None</t>
        </is>
      </c>
      <c r="AD96" s="17" t="n"/>
      <c r="AE96" s="16" t="inlineStr">
        <is>
          <t>192</t>
        </is>
      </c>
      <c r="AF96" s="20" t="inlineStr">
        <is>
          <t>IC Anionen</t>
        </is>
      </c>
      <c r="AG96" s="20" t="inlineStr">
        <is>
          <t>None</t>
        </is>
      </c>
      <c r="AH96" s="17" t="n"/>
      <c r="AI96" s="16" t="n"/>
      <c r="AJ96" s="20" t="n"/>
      <c r="AK96" s="20" t="inlineStr">
        <is>
          <t>None</t>
        </is>
      </c>
      <c r="AL96" s="17" t="n"/>
      <c r="AM96" s="16" t="n"/>
      <c r="AN96" s="20" t="inlineStr">
        <is>
          <t>IC Anionen</t>
        </is>
      </c>
      <c r="AO96" s="20" t="inlineStr">
        <is>
          <t>None</t>
        </is>
      </c>
      <c r="AP96" s="17" t="n"/>
      <c r="AQ96" s="16" t="n"/>
      <c r="AR96" s="20" t="n"/>
      <c r="AS96" s="20" t="inlineStr">
        <is>
          <t>None</t>
        </is>
      </c>
      <c r="AT96" s="17" t="n"/>
      <c r="AU96" s="16" t="inlineStr">
        <is>
          <t>25.6</t>
        </is>
      </c>
      <c r="AV96" s="20" t="inlineStr">
        <is>
          <t>IC Anionen</t>
        </is>
      </c>
      <c r="AW96" s="20" t="inlineStr">
        <is>
          <t>None</t>
        </is>
      </c>
      <c r="AX96" s="17" t="n"/>
      <c r="AY96" s="16" t="inlineStr">
        <is>
          <t>&lt;0.80</t>
        </is>
      </c>
      <c r="AZ96" s="20" t="inlineStr">
        <is>
          <t>IC Anionen</t>
        </is>
      </c>
      <c r="BA96" s="20" t="inlineStr">
        <is>
          <t>None</t>
        </is>
      </c>
      <c r="BB96" s="17" t="n"/>
      <c r="BC96" s="16" t="inlineStr">
        <is>
          <t>126</t>
        </is>
      </c>
      <c r="BD96" s="20" t="inlineStr">
        <is>
          <t>IC Kationen</t>
        </is>
      </c>
      <c r="BE96" s="20" t="inlineStr">
        <is>
          <t>None</t>
        </is>
      </c>
      <c r="BF96" s="17" t="n"/>
      <c r="BG96" s="16" t="inlineStr">
        <is>
          <t>18.3</t>
        </is>
      </c>
      <c r="BH96" s="20" t="inlineStr">
        <is>
          <t>IC Kationen</t>
        </is>
      </c>
      <c r="BI96" s="20" t="inlineStr">
        <is>
          <t>None</t>
        </is>
      </c>
      <c r="BJ96" s="17" t="n"/>
      <c r="BK96" s="16" t="inlineStr">
        <is>
          <t>18.8</t>
        </is>
      </c>
      <c r="BL96" s="20" t="inlineStr">
        <is>
          <t>IC Kationen</t>
        </is>
      </c>
      <c r="BM96" s="20" t="inlineStr">
        <is>
          <t>None</t>
        </is>
      </c>
      <c r="BN96" s="17" t="n"/>
      <c r="BO96" s="16" t="inlineStr">
        <is>
          <t>313</t>
        </is>
      </c>
      <c r="BP96" s="20" t="inlineStr">
        <is>
          <t>IC Kationen</t>
        </is>
      </c>
      <c r="BQ96" s="20" t="inlineStr">
        <is>
          <t>None</t>
        </is>
      </c>
      <c r="BR96" s="17" t="n"/>
      <c r="BS96" s="16" t="inlineStr">
        <is>
          <t>36.7</t>
        </is>
      </c>
      <c r="BT96" s="20" t="inlineStr">
        <is>
          <t>IC Kationen</t>
        </is>
      </c>
      <c r="BU96" s="20" t="inlineStr">
        <is>
          <t>None</t>
        </is>
      </c>
      <c r="BV96" s="17" t="n"/>
      <c r="BW96" s="16" t="n"/>
      <c r="BX96" s="20" t="n"/>
      <c r="BY96" s="20" t="inlineStr">
        <is>
          <t>None</t>
        </is>
      </c>
      <c r="BZ96" s="17" t="n"/>
      <c r="CA96" s="16" t="n"/>
      <c r="CB96" s="20" t="n"/>
      <c r="CC96" s="20" t="inlineStr">
        <is>
          <t>None</t>
        </is>
      </c>
      <c r="CD96" s="17" t="n"/>
      <c r="CE96" s="16" t="n"/>
      <c r="CF96" s="20" t="n"/>
      <c r="CG96" s="20" t="inlineStr">
        <is>
          <t>None</t>
        </is>
      </c>
      <c r="CH96" s="17" t="n"/>
      <c r="CI96" s="16" t="n"/>
      <c r="CJ96" s="20" t="n"/>
      <c r="CK96" s="20" t="inlineStr">
        <is>
          <t>None</t>
        </is>
      </c>
      <c r="CL96" s="17" t="n"/>
      <c r="CM96" s="16" t="n"/>
      <c r="CN96" s="20" t="inlineStr">
        <is>
          <t>SOP 45-34</t>
        </is>
      </c>
      <c r="CO96" s="20" t="inlineStr">
        <is>
          <t>None</t>
        </is>
      </c>
      <c r="CP96" s="17" t="n"/>
      <c r="CQ96" s="16" t="n"/>
      <c r="CR96" s="20" t="n"/>
      <c r="CS96" s="20" t="inlineStr">
        <is>
          <t>None</t>
        </is>
      </c>
      <c r="CT96" s="17" t="n"/>
      <c r="CU96" s="16" t="n"/>
      <c r="CV96" s="20" t="n"/>
      <c r="CW96" s="20" t="inlineStr">
        <is>
          <t>None</t>
        </is>
      </c>
      <c r="CX96" s="17" t="n"/>
      <c r="CY96" s="16" t="n"/>
      <c r="CZ96" s="20" t="inlineStr">
        <is>
          <t>WTW Multimeter 3430 with FDO 925</t>
        </is>
      </c>
      <c r="DA96" s="20" t="inlineStr">
        <is>
          <t>None</t>
        </is>
      </c>
      <c r="DB96" s="17" t="n"/>
      <c r="DC96" s="16" t="n"/>
      <c r="DD96" s="20" t="n"/>
      <c r="DE96" s="20" t="inlineStr">
        <is>
          <t>None</t>
        </is>
      </c>
      <c r="DF96" s="17" t="n"/>
      <c r="DG96" s="16" t="n"/>
      <c r="DH96" s="20" t="inlineStr">
        <is>
          <t>SOP 45-09</t>
        </is>
      </c>
      <c r="DI96" s="20" t="inlineStr">
        <is>
          <t>None</t>
        </is>
      </c>
      <c r="DJ96" s="17" t="n"/>
      <c r="DK96" s="16" t="n"/>
      <c r="DL96" s="20" t="inlineStr">
        <is>
          <t>SOP 45-09 (SOP muss noch angepasst werden für VSS)</t>
        </is>
      </c>
      <c r="DM96" s="20" t="inlineStr">
        <is>
          <t>None</t>
        </is>
      </c>
      <c r="DN96" s="17" t="n"/>
      <c r="DO96" s="16" t="n"/>
      <c r="DP96" s="20" t="inlineStr">
        <is>
          <t>IC Organic Acids</t>
        </is>
      </c>
      <c r="DQ96" s="20" t="inlineStr">
        <is>
          <t>None</t>
        </is>
      </c>
      <c r="DR96" s="17" t="n"/>
      <c r="DS96" s="16" t="n"/>
      <c r="DT96" s="20" t="inlineStr">
        <is>
          <t>IC Organic Acids</t>
        </is>
      </c>
      <c r="DU96" s="20" t="inlineStr">
        <is>
          <t>None</t>
        </is>
      </c>
      <c r="DV96" s="17" t="n"/>
      <c r="DW96" s="16" t="n"/>
      <c r="DX96" s="20" t="inlineStr">
        <is>
          <t>IC Organic Acids</t>
        </is>
      </c>
      <c r="DY96" s="20" t="inlineStr">
        <is>
          <t>None</t>
        </is>
      </c>
      <c r="DZ96" s="17" t="n"/>
      <c r="EA96" s="16" t="n"/>
      <c r="EB96" s="20" t="inlineStr">
        <is>
          <t>IC Organic Acids</t>
        </is>
      </c>
      <c r="EC96" s="20" t="inlineStr">
        <is>
          <t>None</t>
        </is>
      </c>
      <c r="ED96" s="17" t="n"/>
      <c r="EE96" s="16" t="n"/>
      <c r="EF96" s="20" t="inlineStr">
        <is>
          <t>IC Organic Acids</t>
        </is>
      </c>
      <c r="EG96" s="20" t="inlineStr">
        <is>
          <t>None</t>
        </is>
      </c>
      <c r="EH96" s="17" t="n"/>
      <c r="EI96" s="16" t="n"/>
      <c r="EJ96" s="20" t="inlineStr">
        <is>
          <t>IC Organic Acids</t>
        </is>
      </c>
      <c r="EK96" s="20" t="inlineStr">
        <is>
          <t>None</t>
        </is>
      </c>
      <c r="EL96" s="17" t="n"/>
      <c r="EM96" s="16" t="n"/>
      <c r="EN96" s="20" t="inlineStr">
        <is>
          <t>IC Organic Acids</t>
        </is>
      </c>
      <c r="EO96" s="20" t="inlineStr">
        <is>
          <t>None</t>
        </is>
      </c>
      <c r="EP96" s="17" t="n"/>
      <c r="EQ96" s="16" t="n"/>
      <c r="ER96" s="20" t="inlineStr">
        <is>
          <t>IC Organic Acids</t>
        </is>
      </c>
      <c r="ES96" s="20" t="inlineStr">
        <is>
          <t>None</t>
        </is>
      </c>
      <c r="ET96" s="17" t="n"/>
      <c r="EU96" s="16" t="n"/>
      <c r="EV96" s="20" t="inlineStr">
        <is>
          <t>LC-MS</t>
        </is>
      </c>
      <c r="EW96" s="20" t="inlineStr">
        <is>
          <t>None</t>
        </is>
      </c>
      <c r="EX96" s="17" t="n"/>
      <c r="EY96" s="21" t="n"/>
      <c r="EZ96">
        <f>CONCATENATE(A96,B96)</f>
        <v/>
      </c>
      <c r="FA96">
        <f>CONCATENATE(SamplesX!A96,SamplesX!B96)</f>
        <v/>
      </c>
      <c r="FC96">
        <f>MATCH(EZ96,FA1:FA1008,0)</f>
        <v/>
      </c>
    </row>
    <row r="97">
      <c r="A97" s="16" t="inlineStr">
        <is>
          <t>BP</t>
        </is>
      </c>
      <c r="B97" s="17" t="inlineStr">
        <is>
          <t>25089</t>
        </is>
      </c>
      <c r="C97" s="10">
        <f>IF(ISNUMBER(FC97),INDIRECT("SamplesX!C"&amp;FC97),IF(ISNUMBER(FD97),INDIRECT("SamplesY!C"&amp;FD97),""))</f>
        <v/>
      </c>
      <c r="D97" s="12">
        <f>IF(ISNUMBER(FC97),INDIRECT("SamplesX!D"&amp;FC97),IF(ISNUMBER(FD97),INDIRECT("SamplesY!D"&amp;FD97),""))</f>
        <v/>
      </c>
      <c r="E97" s="12">
        <f>IF(ISNUMBER(FC97),INDIRECT("SamplesX!E"&amp;FC97),IF(ISNUMBER(FD97),INDIRECT("SamplesY!E"&amp;FD97),""))</f>
        <v/>
      </c>
      <c r="F97" s="11">
        <f>IF(ISNUMBER(FC97),INDIRECT("SamplesX!F"&amp;FC97),IF(ISNUMBER(FD97),INDIRECT("SamplesY!F"&amp;FD97),""))</f>
        <v/>
      </c>
      <c r="G97" s="18">
        <f>IF(ISNUMBER(FC97),INDIRECT("SamplesX!G"&amp;FC97),IF(ISNUMBER(FD97),INDIRECT("SamplesY!G"&amp;FD97),""))</f>
        <v/>
      </c>
      <c r="H97" s="19">
        <f>IF(ISNUMBER(FC97),INDIRECT("SamplesX!H"&amp;FC97),IF(ISNUMBER(FD97),INDIRECT("SamplesY!H"&amp;FD97),""))</f>
        <v/>
      </c>
      <c r="I97" s="16" t="n"/>
      <c r="J97" s="16" t="n"/>
      <c r="K97" s="16" t="n"/>
      <c r="L97" s="20" t="n"/>
      <c r="M97" s="20" t="inlineStr">
        <is>
          <t>None</t>
        </is>
      </c>
      <c r="N97" s="17" t="n"/>
      <c r="O97" s="16" t="n"/>
      <c r="P97" s="20" t="inlineStr">
        <is>
          <t>Shimadzu TOC-L</t>
        </is>
      </c>
      <c r="Q97" s="20" t="inlineStr">
        <is>
          <t>None</t>
        </is>
      </c>
      <c r="R97" s="17" t="n"/>
      <c r="S97" s="16" t="n"/>
      <c r="T97" s="20" t="inlineStr">
        <is>
          <t>Shimadzu TOC-L</t>
        </is>
      </c>
      <c r="U97" s="20" t="inlineStr">
        <is>
          <t>None</t>
        </is>
      </c>
      <c r="V97" s="17" t="n"/>
      <c r="W97" s="16" t="n"/>
      <c r="X97" s="20" t="n"/>
      <c r="Y97" s="20" t="inlineStr">
        <is>
          <t>None</t>
        </is>
      </c>
      <c r="Z97" s="17" t="n"/>
      <c r="AA97" s="16" t="n"/>
      <c r="AB97" s="20" t="n"/>
      <c r="AC97" s="20" t="inlineStr">
        <is>
          <t>None</t>
        </is>
      </c>
      <c r="AD97" s="17" t="n"/>
      <c r="AE97" s="16" t="inlineStr">
        <is>
          <t>280</t>
        </is>
      </c>
      <c r="AF97" s="20" t="inlineStr">
        <is>
          <t>IC Anionen</t>
        </is>
      </c>
      <c r="AG97" s="20" t="inlineStr">
        <is>
          <t>None</t>
        </is>
      </c>
      <c r="AH97" s="17" t="n"/>
      <c r="AI97" s="16" t="n"/>
      <c r="AJ97" s="20" t="n"/>
      <c r="AK97" s="20" t="inlineStr">
        <is>
          <t>None</t>
        </is>
      </c>
      <c r="AL97" s="17" t="n"/>
      <c r="AM97" s="16" t="n"/>
      <c r="AN97" s="20" t="inlineStr">
        <is>
          <t>IC Anionen</t>
        </is>
      </c>
      <c r="AO97" s="20" t="inlineStr">
        <is>
          <t>None</t>
        </is>
      </c>
      <c r="AP97" s="17" t="n"/>
      <c r="AQ97" s="16" t="n"/>
      <c r="AR97" s="20" t="n"/>
      <c r="AS97" s="20" t="inlineStr">
        <is>
          <t>None</t>
        </is>
      </c>
      <c r="AT97" s="17" t="n"/>
      <c r="AU97" s="16" t="inlineStr">
        <is>
          <t>2.24</t>
        </is>
      </c>
      <c r="AV97" s="20" t="inlineStr">
        <is>
          <t>IC Anionen</t>
        </is>
      </c>
      <c r="AW97" s="20" t="inlineStr">
        <is>
          <t>None</t>
        </is>
      </c>
      <c r="AX97" s="17" t="n"/>
      <c r="AY97" s="16" t="inlineStr">
        <is>
          <t>0.84</t>
        </is>
      </c>
      <c r="AZ97" s="20" t="inlineStr">
        <is>
          <t>IC Anionen</t>
        </is>
      </c>
      <c r="BA97" s="20" t="inlineStr">
        <is>
          <t>None</t>
        </is>
      </c>
      <c r="BB97" s="17" t="n"/>
      <c r="BC97" s="16" t="inlineStr">
        <is>
          <t>110</t>
        </is>
      </c>
      <c r="BD97" s="20" t="inlineStr">
        <is>
          <t>IC Kationen</t>
        </is>
      </c>
      <c r="BE97" s="20" t="inlineStr">
        <is>
          <t>None</t>
        </is>
      </c>
      <c r="BF97" s="17" t="n"/>
      <c r="BG97" s="16" t="inlineStr">
        <is>
          <t>11.6</t>
        </is>
      </c>
      <c r="BH97" s="20" t="inlineStr">
        <is>
          <t>IC Kationen</t>
        </is>
      </c>
      <c r="BI97" s="20" t="inlineStr">
        <is>
          <t>None</t>
        </is>
      </c>
      <c r="BJ97" s="17" t="n"/>
      <c r="BK97" s="16" t="inlineStr">
        <is>
          <t>17.2</t>
        </is>
      </c>
      <c r="BL97" s="20" t="inlineStr">
        <is>
          <t>IC Kationen</t>
        </is>
      </c>
      <c r="BM97" s="20" t="inlineStr">
        <is>
          <t>None</t>
        </is>
      </c>
      <c r="BN97" s="17" t="n"/>
      <c r="BO97" s="16" t="inlineStr">
        <is>
          <t>268</t>
        </is>
      </c>
      <c r="BP97" s="20" t="inlineStr">
        <is>
          <t>IC Kationen</t>
        </is>
      </c>
      <c r="BQ97" s="20" t="inlineStr">
        <is>
          <t>None</t>
        </is>
      </c>
      <c r="BR97" s="17" t="n"/>
      <c r="BS97" s="16" t="inlineStr">
        <is>
          <t>7.53</t>
        </is>
      </c>
      <c r="BT97" s="20" t="inlineStr">
        <is>
          <t>IC Kationen</t>
        </is>
      </c>
      <c r="BU97" s="20" t="inlineStr">
        <is>
          <t>None</t>
        </is>
      </c>
      <c r="BV97" s="17" t="n"/>
      <c r="BW97" s="16" t="n"/>
      <c r="BX97" s="20" t="n"/>
      <c r="BY97" s="20" t="inlineStr">
        <is>
          <t>None</t>
        </is>
      </c>
      <c r="BZ97" s="17" t="n"/>
      <c r="CA97" s="16" t="n"/>
      <c r="CB97" s="20" t="n"/>
      <c r="CC97" s="20" t="inlineStr">
        <is>
          <t>None</t>
        </is>
      </c>
      <c r="CD97" s="17" t="n"/>
      <c r="CE97" s="16" t="n"/>
      <c r="CF97" s="20" t="n"/>
      <c r="CG97" s="20" t="inlineStr">
        <is>
          <t>None</t>
        </is>
      </c>
      <c r="CH97" s="17" t="n"/>
      <c r="CI97" s="16" t="n"/>
      <c r="CJ97" s="20" t="n"/>
      <c r="CK97" s="20" t="inlineStr">
        <is>
          <t>None</t>
        </is>
      </c>
      <c r="CL97" s="17" t="n"/>
      <c r="CM97" s="16" t="n"/>
      <c r="CN97" s="20" t="inlineStr">
        <is>
          <t>SOP 45-34</t>
        </is>
      </c>
      <c r="CO97" s="20" t="inlineStr">
        <is>
          <t>None</t>
        </is>
      </c>
      <c r="CP97" s="17" t="n"/>
      <c r="CQ97" s="16" t="n"/>
      <c r="CR97" s="20" t="n"/>
      <c r="CS97" s="20" t="inlineStr">
        <is>
          <t>None</t>
        </is>
      </c>
      <c r="CT97" s="17" t="n"/>
      <c r="CU97" s="16" t="n"/>
      <c r="CV97" s="20" t="n"/>
      <c r="CW97" s="20" t="inlineStr">
        <is>
          <t>None</t>
        </is>
      </c>
      <c r="CX97" s="17" t="n"/>
      <c r="CY97" s="16" t="n"/>
      <c r="CZ97" s="20" t="inlineStr">
        <is>
          <t>WTW Multimeter 3430 with FDO 925</t>
        </is>
      </c>
      <c r="DA97" s="20" t="inlineStr">
        <is>
          <t>None</t>
        </is>
      </c>
      <c r="DB97" s="17" t="n"/>
      <c r="DC97" s="16" t="n"/>
      <c r="DD97" s="20" t="n"/>
      <c r="DE97" s="20" t="inlineStr">
        <is>
          <t>None</t>
        </is>
      </c>
      <c r="DF97" s="17" t="n"/>
      <c r="DG97" s="16" t="n"/>
      <c r="DH97" s="20" t="inlineStr">
        <is>
          <t>SOP 45-09</t>
        </is>
      </c>
      <c r="DI97" s="20" t="inlineStr">
        <is>
          <t>None</t>
        </is>
      </c>
      <c r="DJ97" s="17" t="n"/>
      <c r="DK97" s="16" t="n"/>
      <c r="DL97" s="20" t="inlineStr">
        <is>
          <t>SOP 45-09 (SOP muss noch angepasst werden für VSS)</t>
        </is>
      </c>
      <c r="DM97" s="20" t="inlineStr">
        <is>
          <t>None</t>
        </is>
      </c>
      <c r="DN97" s="17" t="n"/>
      <c r="DO97" s="16" t="n"/>
      <c r="DP97" s="20" t="inlineStr">
        <is>
          <t>IC Organic Acids</t>
        </is>
      </c>
      <c r="DQ97" s="20" t="inlineStr">
        <is>
          <t>None</t>
        </is>
      </c>
      <c r="DR97" s="17" t="n"/>
      <c r="DS97" s="16" t="n"/>
      <c r="DT97" s="20" t="inlineStr">
        <is>
          <t>IC Organic Acids</t>
        </is>
      </c>
      <c r="DU97" s="20" t="inlineStr">
        <is>
          <t>None</t>
        </is>
      </c>
      <c r="DV97" s="17" t="n"/>
      <c r="DW97" s="16" t="n"/>
      <c r="DX97" s="20" t="inlineStr">
        <is>
          <t>IC Organic Acids</t>
        </is>
      </c>
      <c r="DY97" s="20" t="inlineStr">
        <is>
          <t>None</t>
        </is>
      </c>
      <c r="DZ97" s="17" t="n"/>
      <c r="EA97" s="16" t="n"/>
      <c r="EB97" s="20" t="inlineStr">
        <is>
          <t>IC Organic Acids</t>
        </is>
      </c>
      <c r="EC97" s="20" t="inlineStr">
        <is>
          <t>None</t>
        </is>
      </c>
      <c r="ED97" s="17" t="n"/>
      <c r="EE97" s="16" t="n"/>
      <c r="EF97" s="20" t="inlineStr">
        <is>
          <t>IC Organic Acids</t>
        </is>
      </c>
      <c r="EG97" s="20" t="inlineStr">
        <is>
          <t>None</t>
        </is>
      </c>
      <c r="EH97" s="17" t="n"/>
      <c r="EI97" s="16" t="n"/>
      <c r="EJ97" s="20" t="inlineStr">
        <is>
          <t>IC Organic Acids</t>
        </is>
      </c>
      <c r="EK97" s="20" t="inlineStr">
        <is>
          <t>None</t>
        </is>
      </c>
      <c r="EL97" s="17" t="n"/>
      <c r="EM97" s="16" t="n"/>
      <c r="EN97" s="20" t="inlineStr">
        <is>
          <t>IC Organic Acids</t>
        </is>
      </c>
      <c r="EO97" s="20" t="inlineStr">
        <is>
          <t>None</t>
        </is>
      </c>
      <c r="EP97" s="17" t="n"/>
      <c r="EQ97" s="16" t="n"/>
      <c r="ER97" s="20" t="inlineStr">
        <is>
          <t>IC Organic Acids</t>
        </is>
      </c>
      <c r="ES97" s="20" t="inlineStr">
        <is>
          <t>None</t>
        </is>
      </c>
      <c r="ET97" s="17" t="n"/>
      <c r="EU97" s="16" t="n"/>
      <c r="EV97" s="20" t="inlineStr">
        <is>
          <t>LC-MS</t>
        </is>
      </c>
      <c r="EW97" s="20" t="inlineStr">
        <is>
          <t>None</t>
        </is>
      </c>
      <c r="EX97" s="17" t="n"/>
      <c r="EY97" s="21" t="n"/>
      <c r="EZ97">
        <f>CONCATENATE(A97,B97)</f>
        <v/>
      </c>
      <c r="FA97">
        <f>CONCATENATE(SamplesX!A97,SamplesX!B97)</f>
        <v/>
      </c>
      <c r="FC97">
        <f>MATCH(EZ97,FA1:FA1008,0)</f>
        <v/>
      </c>
    </row>
    <row r="98">
      <c r="A98" s="16" t="inlineStr">
        <is>
          <t>BP</t>
        </is>
      </c>
      <c r="B98" s="17" t="inlineStr">
        <is>
          <t>25090</t>
        </is>
      </c>
      <c r="C98" s="10">
        <f>IF(ISNUMBER(FC98),INDIRECT("SamplesX!C"&amp;FC98),IF(ISNUMBER(FD98),INDIRECT("SamplesY!C"&amp;FD98),""))</f>
        <v/>
      </c>
      <c r="D98" s="12">
        <f>IF(ISNUMBER(FC98),INDIRECT("SamplesX!D"&amp;FC98),IF(ISNUMBER(FD98),INDIRECT("SamplesY!D"&amp;FD98),""))</f>
        <v/>
      </c>
      <c r="E98" s="12">
        <f>IF(ISNUMBER(FC98),INDIRECT("SamplesX!E"&amp;FC98),IF(ISNUMBER(FD98),INDIRECT("SamplesY!E"&amp;FD98),""))</f>
        <v/>
      </c>
      <c r="F98" s="11">
        <f>IF(ISNUMBER(FC98),INDIRECT("SamplesX!F"&amp;FC98),IF(ISNUMBER(FD98),INDIRECT("SamplesY!F"&amp;FD98),""))</f>
        <v/>
      </c>
      <c r="G98" s="18">
        <f>IF(ISNUMBER(FC98),INDIRECT("SamplesX!G"&amp;FC98),IF(ISNUMBER(FD98),INDIRECT("SamplesY!G"&amp;FD98),""))</f>
        <v/>
      </c>
      <c r="H98" s="19">
        <f>IF(ISNUMBER(FC98),INDIRECT("SamplesX!H"&amp;FC98),IF(ISNUMBER(FD98),INDIRECT("SamplesY!H"&amp;FD98),""))</f>
        <v/>
      </c>
      <c r="I98" s="16" t="n"/>
      <c r="J98" s="16" t="n"/>
      <c r="K98" s="16" t="n"/>
      <c r="L98" s="20" t="n"/>
      <c r="M98" s="20" t="inlineStr">
        <is>
          <t>None</t>
        </is>
      </c>
      <c r="N98" s="17" t="n"/>
      <c r="O98" s="16" t="n"/>
      <c r="P98" s="20" t="inlineStr">
        <is>
          <t>Shimadzu TOC-L</t>
        </is>
      </c>
      <c r="Q98" s="20" t="inlineStr">
        <is>
          <t>None</t>
        </is>
      </c>
      <c r="R98" s="17" t="n"/>
      <c r="S98" s="16" t="n"/>
      <c r="T98" s="20" t="inlineStr">
        <is>
          <t>Shimadzu TOC-L</t>
        </is>
      </c>
      <c r="U98" s="20" t="inlineStr">
        <is>
          <t>None</t>
        </is>
      </c>
      <c r="V98" s="17" t="n"/>
      <c r="W98" s="16" t="n"/>
      <c r="X98" s="20" t="n"/>
      <c r="Y98" s="20" t="inlineStr">
        <is>
          <t>None</t>
        </is>
      </c>
      <c r="Z98" s="17" t="n"/>
      <c r="AA98" s="16" t="n"/>
      <c r="AB98" s="20" t="n"/>
      <c r="AC98" s="20" t="inlineStr">
        <is>
          <t>None</t>
        </is>
      </c>
      <c r="AD98" s="17" t="n"/>
      <c r="AE98" s="16" t="inlineStr">
        <is>
          <t>264</t>
        </is>
      </c>
      <c r="AF98" s="20" t="inlineStr">
        <is>
          <t>IC Anionen</t>
        </is>
      </c>
      <c r="AG98" s="20" t="inlineStr">
        <is>
          <t>None</t>
        </is>
      </c>
      <c r="AH98" s="17" t="n"/>
      <c r="AI98" s="16" t="n"/>
      <c r="AJ98" s="20" t="n"/>
      <c r="AK98" s="20" t="inlineStr">
        <is>
          <t>None</t>
        </is>
      </c>
      <c r="AL98" s="17" t="n"/>
      <c r="AM98" s="16" t="n"/>
      <c r="AN98" s="20" t="inlineStr">
        <is>
          <t>IC Anionen</t>
        </is>
      </c>
      <c r="AO98" s="20" t="inlineStr">
        <is>
          <t>None</t>
        </is>
      </c>
      <c r="AP98" s="17" t="n"/>
      <c r="AQ98" s="16" t="n"/>
      <c r="AR98" s="20" t="n"/>
      <c r="AS98" s="20" t="inlineStr">
        <is>
          <t>None</t>
        </is>
      </c>
      <c r="AT98" s="17" t="n"/>
      <c r="AU98" s="16" t="inlineStr">
        <is>
          <t>&lt;0.13</t>
        </is>
      </c>
      <c r="AV98" s="20" t="inlineStr">
        <is>
          <t>IC Anionen</t>
        </is>
      </c>
      <c r="AW98" s="20" t="inlineStr">
        <is>
          <t>None</t>
        </is>
      </c>
      <c r="AX98" s="17" t="n"/>
      <c r="AY98" s="16" t="inlineStr">
        <is>
          <t>1.08</t>
        </is>
      </c>
      <c r="AZ98" s="20" t="inlineStr">
        <is>
          <t>IC Anionen</t>
        </is>
      </c>
      <c r="BA98" s="20" t="inlineStr">
        <is>
          <t>None</t>
        </is>
      </c>
      <c r="BB98" s="17" t="n"/>
      <c r="BC98" s="16" t="inlineStr">
        <is>
          <t>108</t>
        </is>
      </c>
      <c r="BD98" s="20" t="inlineStr">
        <is>
          <t>IC Kationen</t>
        </is>
      </c>
      <c r="BE98" s="20" t="inlineStr">
        <is>
          <t>None</t>
        </is>
      </c>
      <c r="BF98" s="17" t="n"/>
      <c r="BG98" s="16" t="inlineStr">
        <is>
          <t>&lt;1.60</t>
        </is>
      </c>
      <c r="BH98" s="20" t="inlineStr">
        <is>
          <t>IC Kationen</t>
        </is>
      </c>
      <c r="BI98" s="20" t="inlineStr">
        <is>
          <t>None</t>
        </is>
      </c>
      <c r="BJ98" s="17" t="n"/>
      <c r="BK98" s="16" t="inlineStr">
        <is>
          <t>12.0</t>
        </is>
      </c>
      <c r="BL98" s="20" t="inlineStr">
        <is>
          <t>IC Kationen</t>
        </is>
      </c>
      <c r="BM98" s="20" t="inlineStr">
        <is>
          <t>None</t>
        </is>
      </c>
      <c r="BN98" s="17" t="n"/>
      <c r="BO98" s="16" t="inlineStr">
        <is>
          <t>159</t>
        </is>
      </c>
      <c r="BP98" s="20" t="inlineStr">
        <is>
          <t>IC Kationen</t>
        </is>
      </c>
      <c r="BQ98" s="20" t="inlineStr">
        <is>
          <t>None</t>
        </is>
      </c>
      <c r="BR98" s="17" t="n"/>
      <c r="BS98" s="16" t="inlineStr">
        <is>
          <t>29.7</t>
        </is>
      </c>
      <c r="BT98" s="20" t="inlineStr">
        <is>
          <t>IC Kationen</t>
        </is>
      </c>
      <c r="BU98" s="20" t="inlineStr">
        <is>
          <t>None</t>
        </is>
      </c>
      <c r="BV98" s="17" t="n"/>
      <c r="BW98" s="16" t="n"/>
      <c r="BX98" s="20" t="n"/>
      <c r="BY98" s="20" t="inlineStr">
        <is>
          <t>None</t>
        </is>
      </c>
      <c r="BZ98" s="17" t="n"/>
      <c r="CA98" s="16" t="n"/>
      <c r="CB98" s="20" t="n"/>
      <c r="CC98" s="20" t="inlineStr">
        <is>
          <t>None</t>
        </is>
      </c>
      <c r="CD98" s="17" t="n"/>
      <c r="CE98" s="16" t="n"/>
      <c r="CF98" s="20" t="n"/>
      <c r="CG98" s="20" t="inlineStr">
        <is>
          <t>None</t>
        </is>
      </c>
      <c r="CH98" s="17" t="n"/>
      <c r="CI98" s="16" t="n"/>
      <c r="CJ98" s="20" t="n"/>
      <c r="CK98" s="20" t="inlineStr">
        <is>
          <t>None</t>
        </is>
      </c>
      <c r="CL98" s="17" t="n"/>
      <c r="CM98" s="16" t="n"/>
      <c r="CN98" s="20" t="inlineStr">
        <is>
          <t>SOP 45-34</t>
        </is>
      </c>
      <c r="CO98" s="20" t="inlineStr">
        <is>
          <t>None</t>
        </is>
      </c>
      <c r="CP98" s="17" t="n"/>
      <c r="CQ98" s="16" t="n"/>
      <c r="CR98" s="20" t="n"/>
      <c r="CS98" s="20" t="inlineStr">
        <is>
          <t>None</t>
        </is>
      </c>
      <c r="CT98" s="17" t="n"/>
      <c r="CU98" s="16" t="n"/>
      <c r="CV98" s="20" t="n"/>
      <c r="CW98" s="20" t="inlineStr">
        <is>
          <t>None</t>
        </is>
      </c>
      <c r="CX98" s="17" t="n"/>
      <c r="CY98" s="16" t="n"/>
      <c r="CZ98" s="20" t="inlineStr">
        <is>
          <t>WTW Multimeter 3430 with FDO 925</t>
        </is>
      </c>
      <c r="DA98" s="20" t="inlineStr">
        <is>
          <t>None</t>
        </is>
      </c>
      <c r="DB98" s="17" t="n"/>
      <c r="DC98" s="16" t="n"/>
      <c r="DD98" s="20" t="n"/>
      <c r="DE98" s="20" t="inlineStr">
        <is>
          <t>None</t>
        </is>
      </c>
      <c r="DF98" s="17" t="n"/>
      <c r="DG98" s="16" t="n"/>
      <c r="DH98" s="20" t="inlineStr">
        <is>
          <t>SOP 45-09</t>
        </is>
      </c>
      <c r="DI98" s="20" t="inlineStr">
        <is>
          <t>None</t>
        </is>
      </c>
      <c r="DJ98" s="17" t="n"/>
      <c r="DK98" s="16" t="n"/>
      <c r="DL98" s="20" t="inlineStr">
        <is>
          <t>SOP 45-09 (SOP muss noch angepasst werden für VSS)</t>
        </is>
      </c>
      <c r="DM98" s="20" t="inlineStr">
        <is>
          <t>None</t>
        </is>
      </c>
      <c r="DN98" s="17" t="n"/>
      <c r="DO98" s="16" t="n"/>
      <c r="DP98" s="20" t="inlineStr">
        <is>
          <t>IC Organic Acids</t>
        </is>
      </c>
      <c r="DQ98" s="20" t="inlineStr">
        <is>
          <t>None</t>
        </is>
      </c>
      <c r="DR98" s="17" t="n"/>
      <c r="DS98" s="16" t="n"/>
      <c r="DT98" s="20" t="inlineStr">
        <is>
          <t>IC Organic Acids</t>
        </is>
      </c>
      <c r="DU98" s="20" t="inlineStr">
        <is>
          <t>None</t>
        </is>
      </c>
      <c r="DV98" s="17" t="n"/>
      <c r="DW98" s="16" t="n"/>
      <c r="DX98" s="20" t="inlineStr">
        <is>
          <t>IC Organic Acids</t>
        </is>
      </c>
      <c r="DY98" s="20" t="inlineStr">
        <is>
          <t>None</t>
        </is>
      </c>
      <c r="DZ98" s="17" t="n"/>
      <c r="EA98" s="16" t="n"/>
      <c r="EB98" s="20" t="inlineStr">
        <is>
          <t>IC Organic Acids</t>
        </is>
      </c>
      <c r="EC98" s="20" t="inlineStr">
        <is>
          <t>None</t>
        </is>
      </c>
      <c r="ED98" s="17" t="n"/>
      <c r="EE98" s="16" t="n"/>
      <c r="EF98" s="20" t="inlineStr">
        <is>
          <t>IC Organic Acids</t>
        </is>
      </c>
      <c r="EG98" s="20" t="inlineStr">
        <is>
          <t>None</t>
        </is>
      </c>
      <c r="EH98" s="17" t="n"/>
      <c r="EI98" s="16" t="n"/>
      <c r="EJ98" s="20" t="inlineStr">
        <is>
          <t>IC Organic Acids</t>
        </is>
      </c>
      <c r="EK98" s="20" t="inlineStr">
        <is>
          <t>None</t>
        </is>
      </c>
      <c r="EL98" s="17" t="n"/>
      <c r="EM98" s="16" t="n"/>
      <c r="EN98" s="20" t="inlineStr">
        <is>
          <t>IC Organic Acids</t>
        </is>
      </c>
      <c r="EO98" s="20" t="inlineStr">
        <is>
          <t>None</t>
        </is>
      </c>
      <c r="EP98" s="17" t="n"/>
      <c r="EQ98" s="16" t="n"/>
      <c r="ER98" s="20" t="inlineStr">
        <is>
          <t>IC Organic Acids</t>
        </is>
      </c>
      <c r="ES98" s="20" t="inlineStr">
        <is>
          <t>None</t>
        </is>
      </c>
      <c r="ET98" s="17" t="n"/>
      <c r="EU98" s="16" t="n"/>
      <c r="EV98" s="20" t="inlineStr">
        <is>
          <t>LC-MS</t>
        </is>
      </c>
      <c r="EW98" s="20" t="inlineStr">
        <is>
          <t>None</t>
        </is>
      </c>
      <c r="EX98" s="17" t="n"/>
      <c r="EY98" s="21" t="n"/>
      <c r="EZ98">
        <f>CONCATENATE(A98,B98)</f>
        <v/>
      </c>
      <c r="FA98">
        <f>CONCATENATE(SamplesX!A98,SamplesX!B98)</f>
        <v/>
      </c>
      <c r="FC98">
        <f>MATCH(EZ98,FA1:FA1008,0)</f>
        <v/>
      </c>
    </row>
    <row r="99">
      <c r="A99" s="16" t="inlineStr">
        <is>
          <t>BP</t>
        </is>
      </c>
      <c r="B99" s="17" t="inlineStr">
        <is>
          <t>25091</t>
        </is>
      </c>
      <c r="C99" s="10">
        <f>IF(ISNUMBER(FC99),INDIRECT("SamplesX!C"&amp;FC99),IF(ISNUMBER(FD99),INDIRECT("SamplesY!C"&amp;FD99),""))</f>
        <v/>
      </c>
      <c r="D99" s="12">
        <f>IF(ISNUMBER(FC99),INDIRECT("SamplesX!D"&amp;FC99),IF(ISNUMBER(FD99),INDIRECT("SamplesY!D"&amp;FD99),""))</f>
        <v/>
      </c>
      <c r="E99" s="12">
        <f>IF(ISNUMBER(FC99),INDIRECT("SamplesX!E"&amp;FC99),IF(ISNUMBER(FD99),INDIRECT("SamplesY!E"&amp;FD99),""))</f>
        <v/>
      </c>
      <c r="F99" s="11">
        <f>IF(ISNUMBER(FC99),INDIRECT("SamplesX!F"&amp;FC99),IF(ISNUMBER(FD99),INDIRECT("SamplesY!F"&amp;FD99),""))</f>
        <v/>
      </c>
      <c r="G99" s="18">
        <f>IF(ISNUMBER(FC99),INDIRECT("SamplesX!G"&amp;FC99),IF(ISNUMBER(FD99),INDIRECT("SamplesY!G"&amp;FD99),""))</f>
        <v/>
      </c>
      <c r="H99" s="19">
        <f>IF(ISNUMBER(FC99),INDIRECT("SamplesX!H"&amp;FC99),IF(ISNUMBER(FD99),INDIRECT("SamplesY!H"&amp;FD99),""))</f>
        <v/>
      </c>
      <c r="I99" s="16" t="n"/>
      <c r="J99" s="16" t="n"/>
      <c r="K99" s="16" t="n"/>
      <c r="L99" s="20" t="n"/>
      <c r="M99" s="20" t="inlineStr">
        <is>
          <t>None</t>
        </is>
      </c>
      <c r="N99" s="17" t="n"/>
      <c r="O99" s="16" t="n"/>
      <c r="P99" s="20" t="inlineStr">
        <is>
          <t>Shimadzu TOC-L</t>
        </is>
      </c>
      <c r="Q99" s="20" t="inlineStr">
        <is>
          <t>None</t>
        </is>
      </c>
      <c r="R99" s="17" t="n"/>
      <c r="S99" s="16" t="n"/>
      <c r="T99" s="20" t="inlineStr">
        <is>
          <t>Shimadzu TOC-L</t>
        </is>
      </c>
      <c r="U99" s="20" t="inlineStr">
        <is>
          <t>None</t>
        </is>
      </c>
      <c r="V99" s="17" t="n"/>
      <c r="W99" s="16" t="n"/>
      <c r="X99" s="20" t="n"/>
      <c r="Y99" s="20" t="inlineStr">
        <is>
          <t>None</t>
        </is>
      </c>
      <c r="Z99" s="17" t="n"/>
      <c r="AA99" s="16" t="n"/>
      <c r="AB99" s="20" t="n"/>
      <c r="AC99" s="20" t="inlineStr">
        <is>
          <t>None</t>
        </is>
      </c>
      <c r="AD99" s="17" t="n"/>
      <c r="AE99" s="16" t="inlineStr">
        <is>
          <t>183</t>
        </is>
      </c>
      <c r="AF99" s="20" t="inlineStr">
        <is>
          <t>IC Anionen</t>
        </is>
      </c>
      <c r="AG99" s="20" t="inlineStr">
        <is>
          <t>None</t>
        </is>
      </c>
      <c r="AH99" s="17" t="n"/>
      <c r="AI99" s="16" t="n"/>
      <c r="AJ99" s="20" t="n"/>
      <c r="AK99" s="20" t="inlineStr">
        <is>
          <t>None</t>
        </is>
      </c>
      <c r="AL99" s="17" t="n"/>
      <c r="AM99" s="16" t="n"/>
      <c r="AN99" s="20" t="inlineStr">
        <is>
          <t>IC Anionen</t>
        </is>
      </c>
      <c r="AO99" s="20" t="inlineStr">
        <is>
          <t>None</t>
        </is>
      </c>
      <c r="AP99" s="17" t="n"/>
      <c r="AQ99" s="16" t="n"/>
      <c r="AR99" s="20" t="n"/>
      <c r="AS99" s="20" t="inlineStr">
        <is>
          <t>None</t>
        </is>
      </c>
      <c r="AT99" s="17" t="n"/>
      <c r="AU99" s="16" t="inlineStr">
        <is>
          <t>2.20</t>
        </is>
      </c>
      <c r="AV99" s="20" t="inlineStr">
        <is>
          <t>IC Anionen</t>
        </is>
      </c>
      <c r="AW99" s="20" t="inlineStr">
        <is>
          <t>None</t>
        </is>
      </c>
      <c r="AX99" s="17" t="n"/>
      <c r="AY99" s="16" t="inlineStr">
        <is>
          <t>&lt;0.80</t>
        </is>
      </c>
      <c r="AZ99" s="20" t="inlineStr">
        <is>
          <t>IC Anionen</t>
        </is>
      </c>
      <c r="BA99" s="20" t="inlineStr">
        <is>
          <t>None</t>
        </is>
      </c>
      <c r="BB99" s="17" t="n"/>
      <c r="BC99" s="16" t="inlineStr">
        <is>
          <t>127</t>
        </is>
      </c>
      <c r="BD99" s="20" t="inlineStr">
        <is>
          <t>IC Kationen</t>
        </is>
      </c>
      <c r="BE99" s="20" t="inlineStr">
        <is>
          <t>None</t>
        </is>
      </c>
      <c r="BF99" s="17" t="n"/>
      <c r="BG99" s="16" t="inlineStr">
        <is>
          <t>&lt;1.60</t>
        </is>
      </c>
      <c r="BH99" s="20" t="inlineStr">
        <is>
          <t>IC Kationen</t>
        </is>
      </c>
      <c r="BI99" s="20" t="inlineStr">
        <is>
          <t>None</t>
        </is>
      </c>
      <c r="BJ99" s="17" t="n"/>
      <c r="BK99" s="16" t="inlineStr">
        <is>
          <t>14.7</t>
        </is>
      </c>
      <c r="BL99" s="20" t="inlineStr">
        <is>
          <t>IC Kationen</t>
        </is>
      </c>
      <c r="BM99" s="20" t="inlineStr">
        <is>
          <t>None</t>
        </is>
      </c>
      <c r="BN99" s="17" t="n"/>
      <c r="BO99" s="16" t="inlineStr">
        <is>
          <t>261</t>
        </is>
      </c>
      <c r="BP99" s="20" t="inlineStr">
        <is>
          <t>IC Kationen</t>
        </is>
      </c>
      <c r="BQ99" s="20" t="inlineStr">
        <is>
          <t>None</t>
        </is>
      </c>
      <c r="BR99" s="17" t="n"/>
      <c r="BS99" s="16" t="inlineStr">
        <is>
          <t>33.8</t>
        </is>
      </c>
      <c r="BT99" s="20" t="inlineStr">
        <is>
          <t>IC Kationen</t>
        </is>
      </c>
      <c r="BU99" s="20" t="inlineStr">
        <is>
          <t>None</t>
        </is>
      </c>
      <c r="BV99" s="17" t="n"/>
      <c r="BW99" s="16" t="n"/>
      <c r="BX99" s="20" t="n"/>
      <c r="BY99" s="20" t="inlineStr">
        <is>
          <t>None</t>
        </is>
      </c>
      <c r="BZ99" s="17" t="n"/>
      <c r="CA99" s="16" t="n"/>
      <c r="CB99" s="20" t="n"/>
      <c r="CC99" s="20" t="inlineStr">
        <is>
          <t>None</t>
        </is>
      </c>
      <c r="CD99" s="17" t="n"/>
      <c r="CE99" s="16" t="n"/>
      <c r="CF99" s="20" t="n"/>
      <c r="CG99" s="20" t="inlineStr">
        <is>
          <t>None</t>
        </is>
      </c>
      <c r="CH99" s="17" t="n"/>
      <c r="CI99" s="16" t="n"/>
      <c r="CJ99" s="20" t="n"/>
      <c r="CK99" s="20" t="inlineStr">
        <is>
          <t>None</t>
        </is>
      </c>
      <c r="CL99" s="17" t="n"/>
      <c r="CM99" s="16" t="n"/>
      <c r="CN99" s="20" t="inlineStr">
        <is>
          <t>SOP 45-34</t>
        </is>
      </c>
      <c r="CO99" s="20" t="inlineStr">
        <is>
          <t>None</t>
        </is>
      </c>
      <c r="CP99" s="17" t="n"/>
      <c r="CQ99" s="16" t="n"/>
      <c r="CR99" s="20" t="n"/>
      <c r="CS99" s="20" t="inlineStr">
        <is>
          <t>None</t>
        </is>
      </c>
      <c r="CT99" s="17" t="n"/>
      <c r="CU99" s="16" t="n"/>
      <c r="CV99" s="20" t="n"/>
      <c r="CW99" s="20" t="inlineStr">
        <is>
          <t>None</t>
        </is>
      </c>
      <c r="CX99" s="17" t="n"/>
      <c r="CY99" s="16" t="n"/>
      <c r="CZ99" s="20" t="inlineStr">
        <is>
          <t>WTW Multimeter 3430 with FDO 925</t>
        </is>
      </c>
      <c r="DA99" s="20" t="inlineStr">
        <is>
          <t>None</t>
        </is>
      </c>
      <c r="DB99" s="17" t="n"/>
      <c r="DC99" s="16" t="n"/>
      <c r="DD99" s="20" t="n"/>
      <c r="DE99" s="20" t="inlineStr">
        <is>
          <t>None</t>
        </is>
      </c>
      <c r="DF99" s="17" t="n"/>
      <c r="DG99" s="16" t="n"/>
      <c r="DH99" s="20" t="inlineStr">
        <is>
          <t>SOP 45-09</t>
        </is>
      </c>
      <c r="DI99" s="20" t="inlineStr">
        <is>
          <t>None</t>
        </is>
      </c>
      <c r="DJ99" s="17" t="n"/>
      <c r="DK99" s="16" t="n"/>
      <c r="DL99" s="20" t="inlineStr">
        <is>
          <t>SOP 45-09 (SOP muss noch angepasst werden für VSS)</t>
        </is>
      </c>
      <c r="DM99" s="20" t="inlineStr">
        <is>
          <t>None</t>
        </is>
      </c>
      <c r="DN99" s="17" t="n"/>
      <c r="DO99" s="16" t="n"/>
      <c r="DP99" s="20" t="inlineStr">
        <is>
          <t>IC Organic Acids</t>
        </is>
      </c>
      <c r="DQ99" s="20" t="inlineStr">
        <is>
          <t>None</t>
        </is>
      </c>
      <c r="DR99" s="17" t="n"/>
      <c r="DS99" s="16" t="n"/>
      <c r="DT99" s="20" t="inlineStr">
        <is>
          <t>IC Organic Acids</t>
        </is>
      </c>
      <c r="DU99" s="20" t="inlineStr">
        <is>
          <t>None</t>
        </is>
      </c>
      <c r="DV99" s="17" t="n"/>
      <c r="DW99" s="16" t="n"/>
      <c r="DX99" s="20" t="inlineStr">
        <is>
          <t>IC Organic Acids</t>
        </is>
      </c>
      <c r="DY99" s="20" t="inlineStr">
        <is>
          <t>None</t>
        </is>
      </c>
      <c r="DZ99" s="17" t="n"/>
      <c r="EA99" s="16" t="n"/>
      <c r="EB99" s="20" t="inlineStr">
        <is>
          <t>IC Organic Acids</t>
        </is>
      </c>
      <c r="EC99" s="20" t="inlineStr">
        <is>
          <t>None</t>
        </is>
      </c>
      <c r="ED99" s="17" t="n"/>
      <c r="EE99" s="16" t="n"/>
      <c r="EF99" s="20" t="inlineStr">
        <is>
          <t>IC Organic Acids</t>
        </is>
      </c>
      <c r="EG99" s="20" t="inlineStr">
        <is>
          <t>None</t>
        </is>
      </c>
      <c r="EH99" s="17" t="n"/>
      <c r="EI99" s="16" t="n"/>
      <c r="EJ99" s="20" t="inlineStr">
        <is>
          <t>IC Organic Acids</t>
        </is>
      </c>
      <c r="EK99" s="20" t="inlineStr">
        <is>
          <t>None</t>
        </is>
      </c>
      <c r="EL99" s="17" t="n"/>
      <c r="EM99" s="16" t="n"/>
      <c r="EN99" s="20" t="inlineStr">
        <is>
          <t>IC Organic Acids</t>
        </is>
      </c>
      <c r="EO99" s="20" t="inlineStr">
        <is>
          <t>None</t>
        </is>
      </c>
      <c r="EP99" s="17" t="n"/>
      <c r="EQ99" s="16" t="n"/>
      <c r="ER99" s="20" t="inlineStr">
        <is>
          <t>IC Organic Acids</t>
        </is>
      </c>
      <c r="ES99" s="20" t="inlineStr">
        <is>
          <t>None</t>
        </is>
      </c>
      <c r="ET99" s="17" t="n"/>
      <c r="EU99" s="16" t="n"/>
      <c r="EV99" s="20" t="inlineStr">
        <is>
          <t>LC-MS</t>
        </is>
      </c>
      <c r="EW99" s="20" t="inlineStr">
        <is>
          <t>None</t>
        </is>
      </c>
      <c r="EX99" s="17" t="n"/>
      <c r="EY99" s="21" t="n"/>
      <c r="EZ99">
        <f>CONCATENATE(A99,B99)</f>
        <v/>
      </c>
      <c r="FA99">
        <f>CONCATENATE(SamplesX!A99,SamplesX!B99)</f>
        <v/>
      </c>
      <c r="FC99">
        <f>MATCH(EZ99,FA1:FA1008,0)</f>
        <v/>
      </c>
    </row>
    <row r="100">
      <c r="A100" s="16" t="inlineStr">
        <is>
          <t>BP</t>
        </is>
      </c>
      <c r="B100" s="17" t="inlineStr">
        <is>
          <t>25092</t>
        </is>
      </c>
      <c r="C100" s="10">
        <f>IF(ISNUMBER(FC100),INDIRECT("SamplesX!C"&amp;FC100),IF(ISNUMBER(FD100),INDIRECT("SamplesY!C"&amp;FD100),""))</f>
        <v/>
      </c>
      <c r="D100" s="12">
        <f>IF(ISNUMBER(FC100),INDIRECT("SamplesX!D"&amp;FC100),IF(ISNUMBER(FD100),INDIRECT("SamplesY!D"&amp;FD100),""))</f>
        <v/>
      </c>
      <c r="E100" s="12">
        <f>IF(ISNUMBER(FC100),INDIRECT("SamplesX!E"&amp;FC100),IF(ISNUMBER(FD100),INDIRECT("SamplesY!E"&amp;FD100),""))</f>
        <v/>
      </c>
      <c r="F100" s="11">
        <f>IF(ISNUMBER(FC100),INDIRECT("SamplesX!F"&amp;FC100),IF(ISNUMBER(FD100),INDIRECT("SamplesY!F"&amp;FD100),""))</f>
        <v/>
      </c>
      <c r="G100" s="18">
        <f>IF(ISNUMBER(FC100),INDIRECT("SamplesX!G"&amp;FC100),IF(ISNUMBER(FD100),INDIRECT("SamplesY!G"&amp;FD100),""))</f>
        <v/>
      </c>
      <c r="H100" s="19">
        <f>IF(ISNUMBER(FC100),INDIRECT("SamplesX!H"&amp;FC100),IF(ISNUMBER(FD100),INDIRECT("SamplesY!H"&amp;FD100),""))</f>
        <v/>
      </c>
      <c r="I100" s="16" t="n"/>
      <c r="J100" s="16" t="n"/>
      <c r="K100" s="16" t="n"/>
      <c r="L100" s="20" t="n"/>
      <c r="M100" s="20" t="inlineStr">
        <is>
          <t>None</t>
        </is>
      </c>
      <c r="N100" s="17" t="n"/>
      <c r="O100" s="16" t="n"/>
      <c r="P100" s="20" t="inlineStr">
        <is>
          <t>Shimadzu TOC-L</t>
        </is>
      </c>
      <c r="Q100" s="20" t="inlineStr">
        <is>
          <t>None</t>
        </is>
      </c>
      <c r="R100" s="17" t="n"/>
      <c r="S100" s="16" t="n"/>
      <c r="T100" s="20" t="inlineStr">
        <is>
          <t>Shimadzu TOC-L</t>
        </is>
      </c>
      <c r="U100" s="20" t="inlineStr">
        <is>
          <t>None</t>
        </is>
      </c>
      <c r="V100" s="17" t="n"/>
      <c r="W100" s="16" t="n"/>
      <c r="X100" s="20" t="n"/>
      <c r="Y100" s="20" t="inlineStr">
        <is>
          <t>None</t>
        </is>
      </c>
      <c r="Z100" s="17" t="n"/>
      <c r="AA100" s="16" t="n"/>
      <c r="AB100" s="20" t="n"/>
      <c r="AC100" s="20" t="inlineStr">
        <is>
          <t>None</t>
        </is>
      </c>
      <c r="AD100" s="17" t="n"/>
      <c r="AE100" s="16" t="inlineStr">
        <is>
          <t>178</t>
        </is>
      </c>
      <c r="AF100" s="20" t="inlineStr">
        <is>
          <t>IC Anionen</t>
        </is>
      </c>
      <c r="AG100" s="20" t="inlineStr">
        <is>
          <t>None</t>
        </is>
      </c>
      <c r="AH100" s="17" t="n"/>
      <c r="AI100" s="16" t="n"/>
      <c r="AJ100" s="20" t="n"/>
      <c r="AK100" s="20" t="inlineStr">
        <is>
          <t>None</t>
        </is>
      </c>
      <c r="AL100" s="17" t="n"/>
      <c r="AM100" s="16" t="n"/>
      <c r="AN100" s="20" t="inlineStr">
        <is>
          <t>IC Anionen</t>
        </is>
      </c>
      <c r="AO100" s="20" t="inlineStr">
        <is>
          <t>None</t>
        </is>
      </c>
      <c r="AP100" s="17" t="n"/>
      <c r="AQ100" s="16" t="n"/>
      <c r="AR100" s="20" t="n"/>
      <c r="AS100" s="20" t="inlineStr">
        <is>
          <t>None</t>
        </is>
      </c>
      <c r="AT100" s="17" t="n"/>
      <c r="AU100" s="16" t="inlineStr">
        <is>
          <t>22.5</t>
        </is>
      </c>
      <c r="AV100" s="20" t="inlineStr">
        <is>
          <t>IC Anionen</t>
        </is>
      </c>
      <c r="AW100" s="20" t="inlineStr">
        <is>
          <t>None</t>
        </is>
      </c>
      <c r="AX100" s="17" t="n"/>
      <c r="AY100" s="16" t="inlineStr">
        <is>
          <t>&lt;0.80</t>
        </is>
      </c>
      <c r="AZ100" s="20" t="inlineStr">
        <is>
          <t>IC Anionen</t>
        </is>
      </c>
      <c r="BA100" s="20" t="inlineStr">
        <is>
          <t>None</t>
        </is>
      </c>
      <c r="BB100" s="17" t="n"/>
      <c r="BC100" s="16" t="inlineStr">
        <is>
          <t>121</t>
        </is>
      </c>
      <c r="BD100" s="20" t="inlineStr">
        <is>
          <t>IC Kationen</t>
        </is>
      </c>
      <c r="BE100" s="20" t="inlineStr">
        <is>
          <t>None</t>
        </is>
      </c>
      <c r="BF100" s="17" t="n"/>
      <c r="BG100" s="16" t="inlineStr">
        <is>
          <t>30.9</t>
        </is>
      </c>
      <c r="BH100" s="20" t="inlineStr">
        <is>
          <t>IC Kationen</t>
        </is>
      </c>
      <c r="BI100" s="20" t="inlineStr">
        <is>
          <t>None</t>
        </is>
      </c>
      <c r="BJ100" s="17" t="n"/>
      <c r="BK100" s="16" t="inlineStr">
        <is>
          <t>17.8</t>
        </is>
      </c>
      <c r="BL100" s="20" t="inlineStr">
        <is>
          <t>IC Kationen</t>
        </is>
      </c>
      <c r="BM100" s="20" t="inlineStr">
        <is>
          <t>None</t>
        </is>
      </c>
      <c r="BN100" s="17" t="n"/>
      <c r="BO100" s="16" t="inlineStr">
        <is>
          <t>290</t>
        </is>
      </c>
      <c r="BP100" s="20" t="inlineStr">
        <is>
          <t>IC Kationen</t>
        </is>
      </c>
      <c r="BQ100" s="20" t="inlineStr">
        <is>
          <t>None</t>
        </is>
      </c>
      <c r="BR100" s="17" t="n"/>
      <c r="BS100" s="16" t="inlineStr">
        <is>
          <t>34.8</t>
        </is>
      </c>
      <c r="BT100" s="20" t="inlineStr">
        <is>
          <t>IC Kationen</t>
        </is>
      </c>
      <c r="BU100" s="20" t="inlineStr">
        <is>
          <t>None</t>
        </is>
      </c>
      <c r="BV100" s="17" t="n"/>
      <c r="BW100" s="16" t="n"/>
      <c r="BX100" s="20" t="n"/>
      <c r="BY100" s="20" t="inlineStr">
        <is>
          <t>None</t>
        </is>
      </c>
      <c r="BZ100" s="17" t="n"/>
      <c r="CA100" s="16" t="n"/>
      <c r="CB100" s="20" t="n"/>
      <c r="CC100" s="20" t="inlineStr">
        <is>
          <t>None</t>
        </is>
      </c>
      <c r="CD100" s="17" t="n"/>
      <c r="CE100" s="16" t="n"/>
      <c r="CF100" s="20" t="n"/>
      <c r="CG100" s="20" t="inlineStr">
        <is>
          <t>None</t>
        </is>
      </c>
      <c r="CH100" s="17" t="n"/>
      <c r="CI100" s="16" t="n"/>
      <c r="CJ100" s="20" t="n"/>
      <c r="CK100" s="20" t="inlineStr">
        <is>
          <t>None</t>
        </is>
      </c>
      <c r="CL100" s="17" t="n"/>
      <c r="CM100" s="16" t="n"/>
      <c r="CN100" s="20" t="inlineStr">
        <is>
          <t>SOP 45-34</t>
        </is>
      </c>
      <c r="CO100" s="20" t="inlineStr">
        <is>
          <t>None</t>
        </is>
      </c>
      <c r="CP100" s="17" t="n"/>
      <c r="CQ100" s="16" t="n"/>
      <c r="CR100" s="20" t="n"/>
      <c r="CS100" s="20" t="inlineStr">
        <is>
          <t>None</t>
        </is>
      </c>
      <c r="CT100" s="17" t="n"/>
      <c r="CU100" s="16" t="n"/>
      <c r="CV100" s="20" t="n"/>
      <c r="CW100" s="20" t="inlineStr">
        <is>
          <t>None</t>
        </is>
      </c>
      <c r="CX100" s="17" t="n"/>
      <c r="CY100" s="16" t="n"/>
      <c r="CZ100" s="20" t="inlineStr">
        <is>
          <t>WTW Multimeter 3430 with FDO 925</t>
        </is>
      </c>
      <c r="DA100" s="20" t="inlineStr">
        <is>
          <t>None</t>
        </is>
      </c>
      <c r="DB100" s="17" t="n"/>
      <c r="DC100" s="16" t="n"/>
      <c r="DD100" s="20" t="n"/>
      <c r="DE100" s="20" t="inlineStr">
        <is>
          <t>None</t>
        </is>
      </c>
      <c r="DF100" s="17" t="n"/>
      <c r="DG100" s="16" t="n"/>
      <c r="DH100" s="20" t="inlineStr">
        <is>
          <t>SOP 45-09</t>
        </is>
      </c>
      <c r="DI100" s="20" t="inlineStr">
        <is>
          <t>None</t>
        </is>
      </c>
      <c r="DJ100" s="17" t="n"/>
      <c r="DK100" s="16" t="n"/>
      <c r="DL100" s="20" t="inlineStr">
        <is>
          <t>SOP 45-09 (SOP muss noch angepasst werden für VSS)</t>
        </is>
      </c>
      <c r="DM100" s="20" t="inlineStr">
        <is>
          <t>None</t>
        </is>
      </c>
      <c r="DN100" s="17" t="n"/>
      <c r="DO100" s="16" t="n"/>
      <c r="DP100" s="20" t="inlineStr">
        <is>
          <t>IC Organic Acids</t>
        </is>
      </c>
      <c r="DQ100" s="20" t="inlineStr">
        <is>
          <t>None</t>
        </is>
      </c>
      <c r="DR100" s="17" t="n"/>
      <c r="DS100" s="16" t="n"/>
      <c r="DT100" s="20" t="inlineStr">
        <is>
          <t>IC Organic Acids</t>
        </is>
      </c>
      <c r="DU100" s="20" t="inlineStr">
        <is>
          <t>None</t>
        </is>
      </c>
      <c r="DV100" s="17" t="n"/>
      <c r="DW100" s="16" t="n"/>
      <c r="DX100" s="20" t="inlineStr">
        <is>
          <t>IC Organic Acids</t>
        </is>
      </c>
      <c r="DY100" s="20" t="inlineStr">
        <is>
          <t>None</t>
        </is>
      </c>
      <c r="DZ100" s="17" t="n"/>
      <c r="EA100" s="16" t="n"/>
      <c r="EB100" s="20" t="inlineStr">
        <is>
          <t>IC Organic Acids</t>
        </is>
      </c>
      <c r="EC100" s="20" t="inlineStr">
        <is>
          <t>None</t>
        </is>
      </c>
      <c r="ED100" s="17" t="n"/>
      <c r="EE100" s="16" t="n"/>
      <c r="EF100" s="20" t="inlineStr">
        <is>
          <t>IC Organic Acids</t>
        </is>
      </c>
      <c r="EG100" s="20" t="inlineStr">
        <is>
          <t>None</t>
        </is>
      </c>
      <c r="EH100" s="17" t="n"/>
      <c r="EI100" s="16" t="n"/>
      <c r="EJ100" s="20" t="inlineStr">
        <is>
          <t>IC Organic Acids</t>
        </is>
      </c>
      <c r="EK100" s="20" t="inlineStr">
        <is>
          <t>None</t>
        </is>
      </c>
      <c r="EL100" s="17" t="n"/>
      <c r="EM100" s="16" t="n"/>
      <c r="EN100" s="20" t="inlineStr">
        <is>
          <t>IC Organic Acids</t>
        </is>
      </c>
      <c r="EO100" s="20" t="inlineStr">
        <is>
          <t>None</t>
        </is>
      </c>
      <c r="EP100" s="17" t="n"/>
      <c r="EQ100" s="16" t="n"/>
      <c r="ER100" s="20" t="inlineStr">
        <is>
          <t>IC Organic Acids</t>
        </is>
      </c>
      <c r="ES100" s="20" t="inlineStr">
        <is>
          <t>None</t>
        </is>
      </c>
      <c r="ET100" s="17" t="n"/>
      <c r="EU100" s="16" t="n"/>
      <c r="EV100" s="20" t="inlineStr">
        <is>
          <t>LC-MS</t>
        </is>
      </c>
      <c r="EW100" s="20" t="inlineStr">
        <is>
          <t>None</t>
        </is>
      </c>
      <c r="EX100" s="17" t="n"/>
      <c r="EY100" s="21" t="n"/>
      <c r="EZ100">
        <f>CONCATENATE(A100,B100)</f>
        <v/>
      </c>
      <c r="FA100">
        <f>CONCATENATE(SamplesX!A100,SamplesX!B100)</f>
        <v/>
      </c>
      <c r="FC100">
        <f>MATCH(EZ100,FA1:FA1008,0)</f>
        <v/>
      </c>
    </row>
    <row r="101">
      <c r="A101" s="16" t="inlineStr">
        <is>
          <t>BP</t>
        </is>
      </c>
      <c r="B101" s="17" t="inlineStr">
        <is>
          <t>25093</t>
        </is>
      </c>
      <c r="C101" s="10">
        <f>IF(ISNUMBER(FC101),INDIRECT("SamplesX!C"&amp;FC101),IF(ISNUMBER(FD101),INDIRECT("SamplesY!C"&amp;FD101),""))</f>
        <v/>
      </c>
      <c r="D101" s="12">
        <f>IF(ISNUMBER(FC101),INDIRECT("SamplesX!D"&amp;FC101),IF(ISNUMBER(FD101),INDIRECT("SamplesY!D"&amp;FD101),""))</f>
        <v/>
      </c>
      <c r="E101" s="12">
        <f>IF(ISNUMBER(FC101),INDIRECT("SamplesX!E"&amp;FC101),IF(ISNUMBER(FD101),INDIRECT("SamplesY!E"&amp;FD101),""))</f>
        <v/>
      </c>
      <c r="F101" s="11">
        <f>IF(ISNUMBER(FC101),INDIRECT("SamplesX!F"&amp;FC101),IF(ISNUMBER(FD101),INDIRECT("SamplesY!F"&amp;FD101),""))</f>
        <v/>
      </c>
      <c r="G101" s="18">
        <f>IF(ISNUMBER(FC101),INDIRECT("SamplesX!G"&amp;FC101),IF(ISNUMBER(FD101),INDIRECT("SamplesY!G"&amp;FD101),""))</f>
        <v/>
      </c>
      <c r="H101" s="19">
        <f>IF(ISNUMBER(FC101),INDIRECT("SamplesX!H"&amp;FC101),IF(ISNUMBER(FD101),INDIRECT("SamplesY!H"&amp;FD101),""))</f>
        <v/>
      </c>
      <c r="I101" s="16" t="n"/>
      <c r="J101" s="16" t="n"/>
      <c r="K101" s="16" t="n"/>
      <c r="L101" s="20" t="n"/>
      <c r="M101" s="20" t="inlineStr">
        <is>
          <t>None</t>
        </is>
      </c>
      <c r="N101" s="17" t="n"/>
      <c r="O101" s="16" t="n"/>
      <c r="P101" s="20" t="inlineStr">
        <is>
          <t>Shimadzu TOC-L</t>
        </is>
      </c>
      <c r="Q101" s="20" t="inlineStr">
        <is>
          <t>None</t>
        </is>
      </c>
      <c r="R101" s="17" t="n"/>
      <c r="S101" s="16" t="n"/>
      <c r="T101" s="20" t="inlineStr">
        <is>
          <t>Shimadzu TOC-L</t>
        </is>
      </c>
      <c r="U101" s="20" t="inlineStr">
        <is>
          <t>None</t>
        </is>
      </c>
      <c r="V101" s="17" t="n"/>
      <c r="W101" s="16" t="n"/>
      <c r="X101" s="20" t="n"/>
      <c r="Y101" s="20" t="inlineStr">
        <is>
          <t>None</t>
        </is>
      </c>
      <c r="Z101" s="17" t="n"/>
      <c r="AA101" s="16" t="n"/>
      <c r="AB101" s="20" t="n"/>
      <c r="AC101" s="20" t="inlineStr">
        <is>
          <t>None</t>
        </is>
      </c>
      <c r="AD101" s="17" t="n"/>
      <c r="AE101" s="16" t="inlineStr">
        <is>
          <t>325</t>
        </is>
      </c>
      <c r="AF101" s="20" t="inlineStr">
        <is>
          <t>IC Anionen</t>
        </is>
      </c>
      <c r="AG101" s="20" t="inlineStr">
        <is>
          <t>None</t>
        </is>
      </c>
      <c r="AH101" s="17" t="n"/>
      <c r="AI101" s="16" t="n"/>
      <c r="AJ101" s="20" t="n"/>
      <c r="AK101" s="20" t="inlineStr">
        <is>
          <t>None</t>
        </is>
      </c>
      <c r="AL101" s="17" t="n"/>
      <c r="AM101" s="16" t="n"/>
      <c r="AN101" s="20" t="inlineStr">
        <is>
          <t>IC Anionen</t>
        </is>
      </c>
      <c r="AO101" s="20" t="inlineStr">
        <is>
          <t>None</t>
        </is>
      </c>
      <c r="AP101" s="17" t="n"/>
      <c r="AQ101" s="16" t="n"/>
      <c r="AR101" s="20" t="n"/>
      <c r="AS101" s="20" t="inlineStr">
        <is>
          <t>None</t>
        </is>
      </c>
      <c r="AT101" s="17" t="n"/>
      <c r="AU101" s="16" t="inlineStr">
        <is>
          <t>0.83</t>
        </is>
      </c>
      <c r="AV101" s="20" t="inlineStr">
        <is>
          <t>IC Anionen</t>
        </is>
      </c>
      <c r="AW101" s="20" t="inlineStr">
        <is>
          <t>None</t>
        </is>
      </c>
      <c r="AX101" s="17" t="n"/>
      <c r="AY101" s="16" t="inlineStr">
        <is>
          <t>0.94</t>
        </is>
      </c>
      <c r="AZ101" s="20" t="inlineStr">
        <is>
          <t>IC Anionen</t>
        </is>
      </c>
      <c r="BA101" s="20" t="inlineStr">
        <is>
          <t>None</t>
        </is>
      </c>
      <c r="BB101" s="17" t="n"/>
      <c r="BC101" s="16" t="inlineStr">
        <is>
          <t>110</t>
        </is>
      </c>
      <c r="BD101" s="20" t="inlineStr">
        <is>
          <t>IC Kationen</t>
        </is>
      </c>
      <c r="BE101" s="20" t="inlineStr">
        <is>
          <t>None</t>
        </is>
      </c>
      <c r="BF101" s="17" t="n"/>
      <c r="BG101" s="16" t="inlineStr">
        <is>
          <t>21.2</t>
        </is>
      </c>
      <c r="BH101" s="20" t="inlineStr">
        <is>
          <t>IC Kationen</t>
        </is>
      </c>
      <c r="BI101" s="20" t="inlineStr">
        <is>
          <t>None</t>
        </is>
      </c>
      <c r="BJ101" s="17" t="n"/>
      <c r="BK101" s="16" t="inlineStr">
        <is>
          <t>15.4</t>
        </is>
      </c>
      <c r="BL101" s="20" t="inlineStr">
        <is>
          <t>IC Kationen</t>
        </is>
      </c>
      <c r="BM101" s="20" t="inlineStr">
        <is>
          <t>None</t>
        </is>
      </c>
      <c r="BN101" s="17" t="n"/>
      <c r="BO101" s="16" t="inlineStr">
        <is>
          <t>259</t>
        </is>
      </c>
      <c r="BP101" s="20" t="inlineStr">
        <is>
          <t>IC Kationen</t>
        </is>
      </c>
      <c r="BQ101" s="20" t="inlineStr">
        <is>
          <t>None</t>
        </is>
      </c>
      <c r="BR101" s="17" t="n"/>
      <c r="BS101" s="16" t="inlineStr">
        <is>
          <t>31.5</t>
        </is>
      </c>
      <c r="BT101" s="20" t="inlineStr">
        <is>
          <t>IC Kationen</t>
        </is>
      </c>
      <c r="BU101" s="20" t="inlineStr">
        <is>
          <t>None</t>
        </is>
      </c>
      <c r="BV101" s="17" t="n"/>
      <c r="BW101" s="16" t="n"/>
      <c r="BX101" s="20" t="n"/>
      <c r="BY101" s="20" t="inlineStr">
        <is>
          <t>None</t>
        </is>
      </c>
      <c r="BZ101" s="17" t="n"/>
      <c r="CA101" s="16" t="n"/>
      <c r="CB101" s="20" t="n"/>
      <c r="CC101" s="20" t="inlineStr">
        <is>
          <t>None</t>
        </is>
      </c>
      <c r="CD101" s="17" t="n"/>
      <c r="CE101" s="16" t="n"/>
      <c r="CF101" s="20" t="n"/>
      <c r="CG101" s="20" t="inlineStr">
        <is>
          <t>None</t>
        </is>
      </c>
      <c r="CH101" s="17" t="n"/>
      <c r="CI101" s="16" t="n"/>
      <c r="CJ101" s="20" t="n"/>
      <c r="CK101" s="20" t="inlineStr">
        <is>
          <t>None</t>
        </is>
      </c>
      <c r="CL101" s="17" t="n"/>
      <c r="CM101" s="16" t="n"/>
      <c r="CN101" s="20" t="inlineStr">
        <is>
          <t>SOP 45-34</t>
        </is>
      </c>
      <c r="CO101" s="20" t="inlineStr">
        <is>
          <t>None</t>
        </is>
      </c>
      <c r="CP101" s="17" t="n"/>
      <c r="CQ101" s="16" t="n"/>
      <c r="CR101" s="20" t="n"/>
      <c r="CS101" s="20" t="inlineStr">
        <is>
          <t>None</t>
        </is>
      </c>
      <c r="CT101" s="17" t="n"/>
      <c r="CU101" s="16" t="n"/>
      <c r="CV101" s="20" t="n"/>
      <c r="CW101" s="20" t="inlineStr">
        <is>
          <t>None</t>
        </is>
      </c>
      <c r="CX101" s="17" t="n"/>
      <c r="CY101" s="16" t="n"/>
      <c r="CZ101" s="20" t="inlineStr">
        <is>
          <t>WTW Multimeter 3430 with FDO 925</t>
        </is>
      </c>
      <c r="DA101" s="20" t="inlineStr">
        <is>
          <t>None</t>
        </is>
      </c>
      <c r="DB101" s="17" t="n"/>
      <c r="DC101" s="16" t="n"/>
      <c r="DD101" s="20" t="n"/>
      <c r="DE101" s="20" t="inlineStr">
        <is>
          <t>None</t>
        </is>
      </c>
      <c r="DF101" s="17" t="n"/>
      <c r="DG101" s="16" t="n"/>
      <c r="DH101" s="20" t="inlineStr">
        <is>
          <t>SOP 45-09</t>
        </is>
      </c>
      <c r="DI101" s="20" t="inlineStr">
        <is>
          <t>None</t>
        </is>
      </c>
      <c r="DJ101" s="17" t="n"/>
      <c r="DK101" s="16" t="n"/>
      <c r="DL101" s="20" t="inlineStr">
        <is>
          <t>SOP 45-09 (SOP muss noch angepasst werden für VSS)</t>
        </is>
      </c>
      <c r="DM101" s="20" t="inlineStr">
        <is>
          <t>None</t>
        </is>
      </c>
      <c r="DN101" s="17" t="n"/>
      <c r="DO101" s="16" t="n"/>
      <c r="DP101" s="20" t="inlineStr">
        <is>
          <t>IC Organic Acids</t>
        </is>
      </c>
      <c r="DQ101" s="20" t="inlineStr">
        <is>
          <t>None</t>
        </is>
      </c>
      <c r="DR101" s="17" t="n"/>
      <c r="DS101" s="16" t="n"/>
      <c r="DT101" s="20" t="inlineStr">
        <is>
          <t>IC Organic Acids</t>
        </is>
      </c>
      <c r="DU101" s="20" t="inlineStr">
        <is>
          <t>None</t>
        </is>
      </c>
      <c r="DV101" s="17" t="n"/>
      <c r="DW101" s="16" t="n"/>
      <c r="DX101" s="20" t="inlineStr">
        <is>
          <t>IC Organic Acids</t>
        </is>
      </c>
      <c r="DY101" s="20" t="inlineStr">
        <is>
          <t>None</t>
        </is>
      </c>
      <c r="DZ101" s="17" t="n"/>
      <c r="EA101" s="16" t="n"/>
      <c r="EB101" s="20" t="inlineStr">
        <is>
          <t>IC Organic Acids</t>
        </is>
      </c>
      <c r="EC101" s="20" t="inlineStr">
        <is>
          <t>None</t>
        </is>
      </c>
      <c r="ED101" s="17" t="n"/>
      <c r="EE101" s="16" t="n"/>
      <c r="EF101" s="20" t="inlineStr">
        <is>
          <t>IC Organic Acids</t>
        </is>
      </c>
      <c r="EG101" s="20" t="inlineStr">
        <is>
          <t>None</t>
        </is>
      </c>
      <c r="EH101" s="17" t="n"/>
      <c r="EI101" s="16" t="n"/>
      <c r="EJ101" s="20" t="inlineStr">
        <is>
          <t>IC Organic Acids</t>
        </is>
      </c>
      <c r="EK101" s="20" t="inlineStr">
        <is>
          <t>None</t>
        </is>
      </c>
      <c r="EL101" s="17" t="n"/>
      <c r="EM101" s="16" t="n"/>
      <c r="EN101" s="20" t="inlineStr">
        <is>
          <t>IC Organic Acids</t>
        </is>
      </c>
      <c r="EO101" s="20" t="inlineStr">
        <is>
          <t>None</t>
        </is>
      </c>
      <c r="EP101" s="17" t="n"/>
      <c r="EQ101" s="16" t="n"/>
      <c r="ER101" s="20" t="inlineStr">
        <is>
          <t>IC Organic Acids</t>
        </is>
      </c>
      <c r="ES101" s="20" t="inlineStr">
        <is>
          <t>None</t>
        </is>
      </c>
      <c r="ET101" s="17" t="n"/>
      <c r="EU101" s="16" t="n"/>
      <c r="EV101" s="20" t="inlineStr">
        <is>
          <t>LC-MS</t>
        </is>
      </c>
      <c r="EW101" s="20" t="inlineStr">
        <is>
          <t>None</t>
        </is>
      </c>
      <c r="EX101" s="17" t="n"/>
      <c r="EY101" s="21" t="n"/>
      <c r="EZ101">
        <f>CONCATENATE(A101,B101)</f>
        <v/>
      </c>
      <c r="FA101">
        <f>CONCATENATE(SamplesX!A101,SamplesX!B101)</f>
        <v/>
      </c>
      <c r="FC101">
        <f>MATCH(EZ101,FA1:FA1008,0)</f>
        <v/>
      </c>
    </row>
    <row r="102">
      <c r="A102" s="16" t="inlineStr">
        <is>
          <t>BP</t>
        </is>
      </c>
      <c r="B102" s="17" t="inlineStr">
        <is>
          <t>25094</t>
        </is>
      </c>
      <c r="C102" s="10">
        <f>IF(ISNUMBER(FC102),INDIRECT("SamplesX!C"&amp;FC102),IF(ISNUMBER(FD102),INDIRECT("SamplesY!C"&amp;FD102),""))</f>
        <v/>
      </c>
      <c r="D102" s="12">
        <f>IF(ISNUMBER(FC102),INDIRECT("SamplesX!D"&amp;FC102),IF(ISNUMBER(FD102),INDIRECT("SamplesY!D"&amp;FD102),""))</f>
        <v/>
      </c>
      <c r="E102" s="12">
        <f>IF(ISNUMBER(FC102),INDIRECT("SamplesX!E"&amp;FC102),IF(ISNUMBER(FD102),INDIRECT("SamplesY!E"&amp;FD102),""))</f>
        <v/>
      </c>
      <c r="F102" s="11">
        <f>IF(ISNUMBER(FC102),INDIRECT("SamplesX!F"&amp;FC102),IF(ISNUMBER(FD102),INDIRECT("SamplesY!F"&amp;FD102),""))</f>
        <v/>
      </c>
      <c r="G102" s="18">
        <f>IF(ISNUMBER(FC102),INDIRECT("SamplesX!G"&amp;FC102),IF(ISNUMBER(FD102),INDIRECT("SamplesY!G"&amp;FD102),""))</f>
        <v/>
      </c>
      <c r="H102" s="19">
        <f>IF(ISNUMBER(FC102),INDIRECT("SamplesX!H"&amp;FC102),IF(ISNUMBER(FD102),INDIRECT("SamplesY!H"&amp;FD102),""))</f>
        <v/>
      </c>
      <c r="I102" s="16" t="n"/>
      <c r="J102" s="16" t="n"/>
      <c r="K102" s="16" t="n"/>
      <c r="L102" s="20" t="n"/>
      <c r="M102" s="20" t="inlineStr">
        <is>
          <t>None</t>
        </is>
      </c>
      <c r="N102" s="17" t="n"/>
      <c r="O102" s="16" t="n"/>
      <c r="P102" s="20" t="inlineStr">
        <is>
          <t>Shimadzu TOC-L</t>
        </is>
      </c>
      <c r="Q102" s="20" t="inlineStr">
        <is>
          <t>None</t>
        </is>
      </c>
      <c r="R102" s="17" t="n"/>
      <c r="S102" s="16" t="n"/>
      <c r="T102" s="20" t="inlineStr">
        <is>
          <t>Shimadzu TOC-L</t>
        </is>
      </c>
      <c r="U102" s="20" t="inlineStr">
        <is>
          <t>None</t>
        </is>
      </c>
      <c r="V102" s="17" t="n"/>
      <c r="W102" s="16" t="n"/>
      <c r="X102" s="20" t="n"/>
      <c r="Y102" s="20" t="inlineStr">
        <is>
          <t>None</t>
        </is>
      </c>
      <c r="Z102" s="17" t="n"/>
      <c r="AA102" s="16" t="n"/>
      <c r="AB102" s="20" t="n"/>
      <c r="AC102" s="20" t="inlineStr">
        <is>
          <t>None</t>
        </is>
      </c>
      <c r="AD102" s="17" t="n"/>
      <c r="AE102" s="16" t="inlineStr">
        <is>
          <t>303</t>
        </is>
      </c>
      <c r="AF102" s="20" t="inlineStr">
        <is>
          <t>IC Anionen</t>
        </is>
      </c>
      <c r="AG102" s="20" t="inlineStr">
        <is>
          <t>None</t>
        </is>
      </c>
      <c r="AH102" s="17" t="n"/>
      <c r="AI102" s="16" t="n"/>
      <c r="AJ102" s="20" t="n"/>
      <c r="AK102" s="20" t="inlineStr">
        <is>
          <t>None</t>
        </is>
      </c>
      <c r="AL102" s="17" t="n"/>
      <c r="AM102" s="16" t="n"/>
      <c r="AN102" s="20" t="inlineStr">
        <is>
          <t>IC Anionen</t>
        </is>
      </c>
      <c r="AO102" s="20" t="inlineStr">
        <is>
          <t>None</t>
        </is>
      </c>
      <c r="AP102" s="17" t="n"/>
      <c r="AQ102" s="16" t="n"/>
      <c r="AR102" s="20" t="n"/>
      <c r="AS102" s="20" t="inlineStr">
        <is>
          <t>None</t>
        </is>
      </c>
      <c r="AT102" s="17" t="n"/>
      <c r="AU102" s="16" t="inlineStr">
        <is>
          <t>&lt;0.13</t>
        </is>
      </c>
      <c r="AV102" s="20" t="inlineStr">
        <is>
          <t>IC Anionen</t>
        </is>
      </c>
      <c r="AW102" s="20" t="inlineStr">
        <is>
          <t>None</t>
        </is>
      </c>
      <c r="AX102" s="17" t="n"/>
      <c r="AY102" s="16" t="inlineStr">
        <is>
          <t>&lt;0.80</t>
        </is>
      </c>
      <c r="AZ102" s="20" t="inlineStr">
        <is>
          <t>IC Anionen</t>
        </is>
      </c>
      <c r="BA102" s="20" t="inlineStr">
        <is>
          <t>None</t>
        </is>
      </c>
      <c r="BB102" s="17" t="n"/>
      <c r="BC102" s="16" t="inlineStr">
        <is>
          <t>111</t>
        </is>
      </c>
      <c r="BD102" s="20" t="inlineStr">
        <is>
          <t>IC Kationen</t>
        </is>
      </c>
      <c r="BE102" s="20" t="inlineStr">
        <is>
          <t>None</t>
        </is>
      </c>
      <c r="BF102" s="17" t="n"/>
      <c r="BG102" s="16" t="inlineStr">
        <is>
          <t>&lt;1.60</t>
        </is>
      </c>
      <c r="BH102" s="20" t="inlineStr">
        <is>
          <t>IC Kationen</t>
        </is>
      </c>
      <c r="BI102" s="20" t="inlineStr">
        <is>
          <t>None</t>
        </is>
      </c>
      <c r="BJ102" s="17" t="n"/>
      <c r="BK102" s="16" t="inlineStr">
        <is>
          <t>12.4</t>
        </is>
      </c>
      <c r="BL102" s="20" t="inlineStr">
        <is>
          <t>IC Kationen</t>
        </is>
      </c>
      <c r="BM102" s="20" t="inlineStr">
        <is>
          <t>None</t>
        </is>
      </c>
      <c r="BN102" s="17" t="n"/>
      <c r="BO102" s="16" t="inlineStr">
        <is>
          <t>238</t>
        </is>
      </c>
      <c r="BP102" s="20" t="inlineStr">
        <is>
          <t>IC Kationen</t>
        </is>
      </c>
      <c r="BQ102" s="20" t="inlineStr">
        <is>
          <t>None</t>
        </is>
      </c>
      <c r="BR102" s="17" t="n"/>
      <c r="BS102" s="16" t="inlineStr">
        <is>
          <t>30.7</t>
        </is>
      </c>
      <c r="BT102" s="20" t="inlineStr">
        <is>
          <t>IC Kationen</t>
        </is>
      </c>
      <c r="BU102" s="20" t="inlineStr">
        <is>
          <t>None</t>
        </is>
      </c>
      <c r="BV102" s="17" t="n"/>
      <c r="BW102" s="16" t="n"/>
      <c r="BX102" s="20" t="n"/>
      <c r="BY102" s="20" t="inlineStr">
        <is>
          <t>None</t>
        </is>
      </c>
      <c r="BZ102" s="17" t="n"/>
      <c r="CA102" s="16" t="n"/>
      <c r="CB102" s="20" t="n"/>
      <c r="CC102" s="20" t="inlineStr">
        <is>
          <t>None</t>
        </is>
      </c>
      <c r="CD102" s="17" t="n"/>
      <c r="CE102" s="16" t="n"/>
      <c r="CF102" s="20" t="n"/>
      <c r="CG102" s="20" t="inlineStr">
        <is>
          <t>None</t>
        </is>
      </c>
      <c r="CH102" s="17" t="n"/>
      <c r="CI102" s="16" t="n"/>
      <c r="CJ102" s="20" t="n"/>
      <c r="CK102" s="20" t="inlineStr">
        <is>
          <t>None</t>
        </is>
      </c>
      <c r="CL102" s="17" t="n"/>
      <c r="CM102" s="16" t="n"/>
      <c r="CN102" s="20" t="inlineStr">
        <is>
          <t>SOP 45-34</t>
        </is>
      </c>
      <c r="CO102" s="20" t="inlineStr">
        <is>
          <t>None</t>
        </is>
      </c>
      <c r="CP102" s="17" t="n"/>
      <c r="CQ102" s="16" t="n"/>
      <c r="CR102" s="20" t="n"/>
      <c r="CS102" s="20" t="inlineStr">
        <is>
          <t>None</t>
        </is>
      </c>
      <c r="CT102" s="17" t="n"/>
      <c r="CU102" s="16" t="n"/>
      <c r="CV102" s="20" t="n"/>
      <c r="CW102" s="20" t="inlineStr">
        <is>
          <t>None</t>
        </is>
      </c>
      <c r="CX102" s="17" t="n"/>
      <c r="CY102" s="16" t="n"/>
      <c r="CZ102" s="20" t="inlineStr">
        <is>
          <t>WTW Multimeter 3430 with FDO 925</t>
        </is>
      </c>
      <c r="DA102" s="20" t="inlineStr">
        <is>
          <t>None</t>
        </is>
      </c>
      <c r="DB102" s="17" t="n"/>
      <c r="DC102" s="16" t="n"/>
      <c r="DD102" s="20" t="n"/>
      <c r="DE102" s="20" t="inlineStr">
        <is>
          <t>None</t>
        </is>
      </c>
      <c r="DF102" s="17" t="n"/>
      <c r="DG102" s="16" t="n"/>
      <c r="DH102" s="20" t="inlineStr">
        <is>
          <t>SOP 45-09</t>
        </is>
      </c>
      <c r="DI102" s="20" t="inlineStr">
        <is>
          <t>None</t>
        </is>
      </c>
      <c r="DJ102" s="17" t="n"/>
      <c r="DK102" s="16" t="n"/>
      <c r="DL102" s="20" t="inlineStr">
        <is>
          <t>SOP 45-09 (SOP muss noch angepasst werden für VSS)</t>
        </is>
      </c>
      <c r="DM102" s="20" t="inlineStr">
        <is>
          <t>None</t>
        </is>
      </c>
      <c r="DN102" s="17" t="n"/>
      <c r="DO102" s="16" t="n"/>
      <c r="DP102" s="20" t="inlineStr">
        <is>
          <t>IC Organic Acids</t>
        </is>
      </c>
      <c r="DQ102" s="20" t="inlineStr">
        <is>
          <t>None</t>
        </is>
      </c>
      <c r="DR102" s="17" t="n"/>
      <c r="DS102" s="16" t="n"/>
      <c r="DT102" s="20" t="inlineStr">
        <is>
          <t>IC Organic Acids</t>
        </is>
      </c>
      <c r="DU102" s="20" t="inlineStr">
        <is>
          <t>None</t>
        </is>
      </c>
      <c r="DV102" s="17" t="n"/>
      <c r="DW102" s="16" t="n"/>
      <c r="DX102" s="20" t="inlineStr">
        <is>
          <t>IC Organic Acids</t>
        </is>
      </c>
      <c r="DY102" s="20" t="inlineStr">
        <is>
          <t>None</t>
        </is>
      </c>
      <c r="DZ102" s="17" t="n"/>
      <c r="EA102" s="16" t="n"/>
      <c r="EB102" s="20" t="inlineStr">
        <is>
          <t>IC Organic Acids</t>
        </is>
      </c>
      <c r="EC102" s="20" t="inlineStr">
        <is>
          <t>None</t>
        </is>
      </c>
      <c r="ED102" s="17" t="n"/>
      <c r="EE102" s="16" t="n"/>
      <c r="EF102" s="20" t="inlineStr">
        <is>
          <t>IC Organic Acids</t>
        </is>
      </c>
      <c r="EG102" s="20" t="inlineStr">
        <is>
          <t>None</t>
        </is>
      </c>
      <c r="EH102" s="17" t="n"/>
      <c r="EI102" s="16" t="n"/>
      <c r="EJ102" s="20" t="inlineStr">
        <is>
          <t>IC Organic Acids</t>
        </is>
      </c>
      <c r="EK102" s="20" t="inlineStr">
        <is>
          <t>None</t>
        </is>
      </c>
      <c r="EL102" s="17" t="n"/>
      <c r="EM102" s="16" t="n"/>
      <c r="EN102" s="20" t="inlineStr">
        <is>
          <t>IC Organic Acids</t>
        </is>
      </c>
      <c r="EO102" s="20" t="inlineStr">
        <is>
          <t>None</t>
        </is>
      </c>
      <c r="EP102" s="17" t="n"/>
      <c r="EQ102" s="16" t="n"/>
      <c r="ER102" s="20" t="inlineStr">
        <is>
          <t>IC Organic Acids</t>
        </is>
      </c>
      <c r="ES102" s="20" t="inlineStr">
        <is>
          <t>None</t>
        </is>
      </c>
      <c r="ET102" s="17" t="n"/>
      <c r="EU102" s="16" t="n"/>
      <c r="EV102" s="20" t="inlineStr">
        <is>
          <t>LC-MS</t>
        </is>
      </c>
      <c r="EW102" s="20" t="inlineStr">
        <is>
          <t>None</t>
        </is>
      </c>
      <c r="EX102" s="17" t="n"/>
      <c r="EY102" s="21" t="n"/>
      <c r="EZ102">
        <f>CONCATENATE(A102,B102)</f>
        <v/>
      </c>
      <c r="FA102">
        <f>CONCATENATE(SamplesX!A102,SamplesX!B102)</f>
        <v/>
      </c>
      <c r="FC102">
        <f>MATCH(EZ102,FA1:FA1008,0)</f>
        <v/>
      </c>
    </row>
    <row r="103">
      <c r="A103" s="16" t="inlineStr">
        <is>
          <t>BP</t>
        </is>
      </c>
      <c r="B103" s="17" t="inlineStr">
        <is>
          <t>25095</t>
        </is>
      </c>
      <c r="C103" s="10">
        <f>IF(ISNUMBER(FC103),INDIRECT("SamplesX!C"&amp;FC103),IF(ISNUMBER(FD103),INDIRECT("SamplesY!C"&amp;FD103),""))</f>
        <v/>
      </c>
      <c r="D103" s="12">
        <f>IF(ISNUMBER(FC103),INDIRECT("SamplesX!D"&amp;FC103),IF(ISNUMBER(FD103),INDIRECT("SamplesY!D"&amp;FD103),""))</f>
        <v/>
      </c>
      <c r="E103" s="12">
        <f>IF(ISNUMBER(FC103),INDIRECT("SamplesX!E"&amp;FC103),IF(ISNUMBER(FD103),INDIRECT("SamplesY!E"&amp;FD103),""))</f>
        <v/>
      </c>
      <c r="F103" s="11">
        <f>IF(ISNUMBER(FC103),INDIRECT("SamplesX!F"&amp;FC103),IF(ISNUMBER(FD103),INDIRECT("SamplesY!F"&amp;FD103),""))</f>
        <v/>
      </c>
      <c r="G103" s="18">
        <f>IF(ISNUMBER(FC103),INDIRECT("SamplesX!G"&amp;FC103),IF(ISNUMBER(FD103),INDIRECT("SamplesY!G"&amp;FD103),""))</f>
        <v/>
      </c>
      <c r="H103" s="19">
        <f>IF(ISNUMBER(FC103),INDIRECT("SamplesX!H"&amp;FC103),IF(ISNUMBER(FD103),INDIRECT("SamplesY!H"&amp;FD103),""))</f>
        <v/>
      </c>
      <c r="I103" s="16" t="n"/>
      <c r="J103" s="16" t="n"/>
      <c r="K103" s="16" t="n"/>
      <c r="L103" s="20" t="n"/>
      <c r="M103" s="20" t="inlineStr">
        <is>
          <t>None</t>
        </is>
      </c>
      <c r="N103" s="17" t="n"/>
      <c r="O103" s="16" t="n"/>
      <c r="P103" s="20" t="inlineStr">
        <is>
          <t>Shimadzu TOC-L</t>
        </is>
      </c>
      <c r="Q103" s="20" t="inlineStr">
        <is>
          <t>None</t>
        </is>
      </c>
      <c r="R103" s="17" t="n"/>
      <c r="S103" s="16" t="n"/>
      <c r="T103" s="20" t="inlineStr">
        <is>
          <t>Shimadzu TOC-L</t>
        </is>
      </c>
      <c r="U103" s="20" t="inlineStr">
        <is>
          <t>None</t>
        </is>
      </c>
      <c r="V103" s="17" t="n"/>
      <c r="W103" s="16" t="n"/>
      <c r="X103" s="20" t="n"/>
      <c r="Y103" s="20" t="inlineStr">
        <is>
          <t>None</t>
        </is>
      </c>
      <c r="Z103" s="17" t="n"/>
      <c r="AA103" s="16" t="n"/>
      <c r="AB103" s="20" t="n"/>
      <c r="AC103" s="20" t="inlineStr">
        <is>
          <t>None</t>
        </is>
      </c>
      <c r="AD103" s="17" t="n"/>
      <c r="AE103" s="16" t="inlineStr">
        <is>
          <t>172</t>
        </is>
      </c>
      <c r="AF103" s="20" t="inlineStr">
        <is>
          <t>IC Anionen</t>
        </is>
      </c>
      <c r="AG103" s="20" t="inlineStr">
        <is>
          <t>None</t>
        </is>
      </c>
      <c r="AH103" s="17" t="n"/>
      <c r="AI103" s="16" t="n"/>
      <c r="AJ103" s="20" t="n"/>
      <c r="AK103" s="20" t="inlineStr">
        <is>
          <t>None</t>
        </is>
      </c>
      <c r="AL103" s="17" t="n"/>
      <c r="AM103" s="16" t="n"/>
      <c r="AN103" s="20" t="inlineStr">
        <is>
          <t>IC Anionen</t>
        </is>
      </c>
      <c r="AO103" s="20" t="inlineStr">
        <is>
          <t>None</t>
        </is>
      </c>
      <c r="AP103" s="17" t="n"/>
      <c r="AQ103" s="16" t="n"/>
      <c r="AR103" s="20" t="n"/>
      <c r="AS103" s="20" t="inlineStr">
        <is>
          <t>None</t>
        </is>
      </c>
      <c r="AT103" s="17" t="n"/>
      <c r="AU103" s="16" t="inlineStr">
        <is>
          <t>2.95</t>
        </is>
      </c>
      <c r="AV103" s="20" t="inlineStr">
        <is>
          <t>IC Anionen</t>
        </is>
      </c>
      <c r="AW103" s="20" t="inlineStr">
        <is>
          <t>None</t>
        </is>
      </c>
      <c r="AX103" s="17" t="n"/>
      <c r="AY103" s="16" t="inlineStr">
        <is>
          <t>&lt;0.80</t>
        </is>
      </c>
      <c r="AZ103" s="20" t="inlineStr">
        <is>
          <t>IC Anionen</t>
        </is>
      </c>
      <c r="BA103" s="20" t="inlineStr">
        <is>
          <t>None</t>
        </is>
      </c>
      <c r="BB103" s="17" t="n"/>
      <c r="BC103" s="16" t="inlineStr">
        <is>
          <t>123</t>
        </is>
      </c>
      <c r="BD103" s="20" t="inlineStr">
        <is>
          <t>IC Kationen</t>
        </is>
      </c>
      <c r="BE103" s="20" t="inlineStr">
        <is>
          <t>None</t>
        </is>
      </c>
      <c r="BF103" s="17" t="n"/>
      <c r="BG103" s="16" t="inlineStr">
        <is>
          <t>&lt;1.60</t>
        </is>
      </c>
      <c r="BH103" s="20" t="inlineStr">
        <is>
          <t>IC Kationen</t>
        </is>
      </c>
      <c r="BI103" s="20" t="inlineStr">
        <is>
          <t>None</t>
        </is>
      </c>
      <c r="BJ103" s="17" t="n"/>
      <c r="BK103" s="16" t="inlineStr">
        <is>
          <t>12.9</t>
        </is>
      </c>
      <c r="BL103" s="20" t="inlineStr">
        <is>
          <t>IC Kationen</t>
        </is>
      </c>
      <c r="BM103" s="20" t="inlineStr">
        <is>
          <t>None</t>
        </is>
      </c>
      <c r="BN103" s="17" t="n"/>
      <c r="BO103" s="16" t="inlineStr">
        <is>
          <t>234</t>
        </is>
      </c>
      <c r="BP103" s="20" t="inlineStr">
        <is>
          <t>IC Kationen</t>
        </is>
      </c>
      <c r="BQ103" s="20" t="inlineStr">
        <is>
          <t>None</t>
        </is>
      </c>
      <c r="BR103" s="17" t="n"/>
      <c r="BS103" s="16" t="inlineStr">
        <is>
          <t>35.6</t>
        </is>
      </c>
      <c r="BT103" s="20" t="inlineStr">
        <is>
          <t>IC Kationen</t>
        </is>
      </c>
      <c r="BU103" s="20" t="inlineStr">
        <is>
          <t>None</t>
        </is>
      </c>
      <c r="BV103" s="17" t="n"/>
      <c r="BW103" s="16" t="n"/>
      <c r="BX103" s="20" t="n"/>
      <c r="BY103" s="20" t="inlineStr">
        <is>
          <t>None</t>
        </is>
      </c>
      <c r="BZ103" s="17" t="n"/>
      <c r="CA103" s="16" t="n"/>
      <c r="CB103" s="20" t="n"/>
      <c r="CC103" s="20" t="inlineStr">
        <is>
          <t>None</t>
        </is>
      </c>
      <c r="CD103" s="17" t="n"/>
      <c r="CE103" s="16" t="n"/>
      <c r="CF103" s="20" t="n"/>
      <c r="CG103" s="20" t="inlineStr">
        <is>
          <t>None</t>
        </is>
      </c>
      <c r="CH103" s="17" t="n"/>
      <c r="CI103" s="16" t="n"/>
      <c r="CJ103" s="20" t="n"/>
      <c r="CK103" s="20" t="inlineStr">
        <is>
          <t>None</t>
        </is>
      </c>
      <c r="CL103" s="17" t="n"/>
      <c r="CM103" s="16" t="n"/>
      <c r="CN103" s="20" t="inlineStr">
        <is>
          <t>SOP 45-34</t>
        </is>
      </c>
      <c r="CO103" s="20" t="inlineStr">
        <is>
          <t>None</t>
        </is>
      </c>
      <c r="CP103" s="17" t="n"/>
      <c r="CQ103" s="16" t="n"/>
      <c r="CR103" s="20" t="n"/>
      <c r="CS103" s="20" t="inlineStr">
        <is>
          <t>None</t>
        </is>
      </c>
      <c r="CT103" s="17" t="n"/>
      <c r="CU103" s="16" t="n"/>
      <c r="CV103" s="20" t="n"/>
      <c r="CW103" s="20" t="inlineStr">
        <is>
          <t>None</t>
        </is>
      </c>
      <c r="CX103" s="17" t="n"/>
      <c r="CY103" s="16" t="n"/>
      <c r="CZ103" s="20" t="inlineStr">
        <is>
          <t>WTW Multimeter 3430 with FDO 925</t>
        </is>
      </c>
      <c r="DA103" s="20" t="inlineStr">
        <is>
          <t>None</t>
        </is>
      </c>
      <c r="DB103" s="17" t="n"/>
      <c r="DC103" s="16" t="n"/>
      <c r="DD103" s="20" t="n"/>
      <c r="DE103" s="20" t="inlineStr">
        <is>
          <t>None</t>
        </is>
      </c>
      <c r="DF103" s="17" t="n"/>
      <c r="DG103" s="16" t="n"/>
      <c r="DH103" s="20" t="inlineStr">
        <is>
          <t>SOP 45-09</t>
        </is>
      </c>
      <c r="DI103" s="20" t="inlineStr">
        <is>
          <t>None</t>
        </is>
      </c>
      <c r="DJ103" s="17" t="n"/>
      <c r="DK103" s="16" t="n"/>
      <c r="DL103" s="20" t="inlineStr">
        <is>
          <t>SOP 45-09 (SOP muss noch angepasst werden für VSS)</t>
        </is>
      </c>
      <c r="DM103" s="20" t="inlineStr">
        <is>
          <t>None</t>
        </is>
      </c>
      <c r="DN103" s="17" t="n"/>
      <c r="DO103" s="16" t="n"/>
      <c r="DP103" s="20" t="inlineStr">
        <is>
          <t>IC Organic Acids</t>
        </is>
      </c>
      <c r="DQ103" s="20" t="inlineStr">
        <is>
          <t>None</t>
        </is>
      </c>
      <c r="DR103" s="17" t="n"/>
      <c r="DS103" s="16" t="n"/>
      <c r="DT103" s="20" t="inlineStr">
        <is>
          <t>IC Organic Acids</t>
        </is>
      </c>
      <c r="DU103" s="20" t="inlineStr">
        <is>
          <t>None</t>
        </is>
      </c>
      <c r="DV103" s="17" t="n"/>
      <c r="DW103" s="16" t="n"/>
      <c r="DX103" s="20" t="inlineStr">
        <is>
          <t>IC Organic Acids</t>
        </is>
      </c>
      <c r="DY103" s="20" t="inlineStr">
        <is>
          <t>None</t>
        </is>
      </c>
      <c r="DZ103" s="17" t="n"/>
      <c r="EA103" s="16" t="n"/>
      <c r="EB103" s="20" t="inlineStr">
        <is>
          <t>IC Organic Acids</t>
        </is>
      </c>
      <c r="EC103" s="20" t="inlineStr">
        <is>
          <t>None</t>
        </is>
      </c>
      <c r="ED103" s="17" t="n"/>
      <c r="EE103" s="16" t="n"/>
      <c r="EF103" s="20" t="inlineStr">
        <is>
          <t>IC Organic Acids</t>
        </is>
      </c>
      <c r="EG103" s="20" t="inlineStr">
        <is>
          <t>None</t>
        </is>
      </c>
      <c r="EH103" s="17" t="n"/>
      <c r="EI103" s="16" t="n"/>
      <c r="EJ103" s="20" t="inlineStr">
        <is>
          <t>IC Organic Acids</t>
        </is>
      </c>
      <c r="EK103" s="20" t="inlineStr">
        <is>
          <t>None</t>
        </is>
      </c>
      <c r="EL103" s="17" t="n"/>
      <c r="EM103" s="16" t="n"/>
      <c r="EN103" s="20" t="inlineStr">
        <is>
          <t>IC Organic Acids</t>
        </is>
      </c>
      <c r="EO103" s="20" t="inlineStr">
        <is>
          <t>None</t>
        </is>
      </c>
      <c r="EP103" s="17" t="n"/>
      <c r="EQ103" s="16" t="n"/>
      <c r="ER103" s="20" t="inlineStr">
        <is>
          <t>IC Organic Acids</t>
        </is>
      </c>
      <c r="ES103" s="20" t="inlineStr">
        <is>
          <t>None</t>
        </is>
      </c>
      <c r="ET103" s="17" t="n"/>
      <c r="EU103" s="16" t="n"/>
      <c r="EV103" s="20" t="inlineStr">
        <is>
          <t>LC-MS</t>
        </is>
      </c>
      <c r="EW103" s="20" t="inlineStr">
        <is>
          <t>None</t>
        </is>
      </c>
      <c r="EX103" s="17" t="n"/>
      <c r="EY103" s="21" t="n"/>
      <c r="EZ103">
        <f>CONCATENATE(A103,B103)</f>
        <v/>
      </c>
      <c r="FA103">
        <f>CONCATENATE(SamplesX!A103,SamplesX!B103)</f>
        <v/>
      </c>
      <c r="FC103">
        <f>MATCH(EZ103,FA1:FA1008,0)</f>
        <v/>
      </c>
    </row>
    <row r="104">
      <c r="A104" s="16" t="inlineStr">
        <is>
          <t>BP</t>
        </is>
      </c>
      <c r="B104" s="17" t="inlineStr">
        <is>
          <t>25096</t>
        </is>
      </c>
      <c r="C104" s="10">
        <f>IF(ISNUMBER(FC104),INDIRECT("SamplesX!C"&amp;FC104),IF(ISNUMBER(FD104),INDIRECT("SamplesY!C"&amp;FD104),""))</f>
        <v/>
      </c>
      <c r="D104" s="12">
        <f>IF(ISNUMBER(FC104),INDIRECT("SamplesX!D"&amp;FC104),IF(ISNUMBER(FD104),INDIRECT("SamplesY!D"&amp;FD104),""))</f>
        <v/>
      </c>
      <c r="E104" s="12">
        <f>IF(ISNUMBER(FC104),INDIRECT("SamplesX!E"&amp;FC104),IF(ISNUMBER(FD104),INDIRECT("SamplesY!E"&amp;FD104),""))</f>
        <v/>
      </c>
      <c r="F104" s="11">
        <f>IF(ISNUMBER(FC104),INDIRECT("SamplesX!F"&amp;FC104),IF(ISNUMBER(FD104),INDIRECT("SamplesY!F"&amp;FD104),""))</f>
        <v/>
      </c>
      <c r="G104" s="18">
        <f>IF(ISNUMBER(FC104),INDIRECT("SamplesX!G"&amp;FC104),IF(ISNUMBER(FD104),INDIRECT("SamplesY!G"&amp;FD104),""))</f>
        <v/>
      </c>
      <c r="H104" s="19">
        <f>IF(ISNUMBER(FC104),INDIRECT("SamplesX!H"&amp;FC104),IF(ISNUMBER(FD104),INDIRECT("SamplesY!H"&amp;FD104),""))</f>
        <v/>
      </c>
      <c r="I104" s="16" t="n"/>
      <c r="J104" s="16" t="n"/>
      <c r="K104" s="16" t="n"/>
      <c r="L104" s="20" t="n"/>
      <c r="M104" s="20" t="inlineStr">
        <is>
          <t>None</t>
        </is>
      </c>
      <c r="N104" s="17" t="n"/>
      <c r="O104" s="16" t="n"/>
      <c r="P104" s="20" t="inlineStr">
        <is>
          <t>Shimadzu TOC-L</t>
        </is>
      </c>
      <c r="Q104" s="20" t="inlineStr">
        <is>
          <t>None</t>
        </is>
      </c>
      <c r="R104" s="17" t="n"/>
      <c r="S104" s="16" t="n"/>
      <c r="T104" s="20" t="inlineStr">
        <is>
          <t>Shimadzu TOC-L</t>
        </is>
      </c>
      <c r="U104" s="20" t="inlineStr">
        <is>
          <t>None</t>
        </is>
      </c>
      <c r="V104" s="17" t="n"/>
      <c r="W104" s="16" t="n"/>
      <c r="X104" s="20" t="n"/>
      <c r="Y104" s="20" t="inlineStr">
        <is>
          <t>None</t>
        </is>
      </c>
      <c r="Z104" s="17" t="n"/>
      <c r="AA104" s="16" t="n"/>
      <c r="AB104" s="20" t="n"/>
      <c r="AC104" s="20" t="inlineStr">
        <is>
          <t>None</t>
        </is>
      </c>
      <c r="AD104" s="17" t="n"/>
      <c r="AE104" s="16" t="inlineStr">
        <is>
          <t>199</t>
        </is>
      </c>
      <c r="AF104" s="20" t="inlineStr">
        <is>
          <t>IC Anionen</t>
        </is>
      </c>
      <c r="AG104" s="20" t="inlineStr">
        <is>
          <t>None</t>
        </is>
      </c>
      <c r="AH104" s="17" t="n"/>
      <c r="AI104" s="16" t="n"/>
      <c r="AJ104" s="20" t="n"/>
      <c r="AK104" s="20" t="inlineStr">
        <is>
          <t>None</t>
        </is>
      </c>
      <c r="AL104" s="17" t="n"/>
      <c r="AM104" s="16" t="n"/>
      <c r="AN104" s="20" t="inlineStr">
        <is>
          <t>IC Anionen</t>
        </is>
      </c>
      <c r="AO104" s="20" t="inlineStr">
        <is>
          <t>None</t>
        </is>
      </c>
      <c r="AP104" s="17" t="n"/>
      <c r="AQ104" s="16" t="n"/>
      <c r="AR104" s="20" t="n"/>
      <c r="AS104" s="20" t="inlineStr">
        <is>
          <t>None</t>
        </is>
      </c>
      <c r="AT104" s="17" t="n"/>
      <c r="AU104" s="16" t="inlineStr">
        <is>
          <t>22.6</t>
        </is>
      </c>
      <c r="AV104" s="20" t="inlineStr">
        <is>
          <t>IC Anionen</t>
        </is>
      </c>
      <c r="AW104" s="20" t="inlineStr">
        <is>
          <t>None</t>
        </is>
      </c>
      <c r="AX104" s="17" t="n"/>
      <c r="AY104" s="16" t="inlineStr">
        <is>
          <t>&lt;0.80</t>
        </is>
      </c>
      <c r="AZ104" s="20" t="inlineStr">
        <is>
          <t>IC Anionen</t>
        </is>
      </c>
      <c r="BA104" s="20" t="inlineStr">
        <is>
          <t>None</t>
        </is>
      </c>
      <c r="BB104" s="17" t="n"/>
      <c r="BC104" s="16" t="inlineStr">
        <is>
          <t>141</t>
        </is>
      </c>
      <c r="BD104" s="20" t="inlineStr">
        <is>
          <t>IC Kationen</t>
        </is>
      </c>
      <c r="BE104" s="20" t="inlineStr">
        <is>
          <t>None</t>
        </is>
      </c>
      <c r="BF104" s="17" t="n"/>
      <c r="BG104" s="16" t="inlineStr">
        <is>
          <t>55.0</t>
        </is>
      </c>
      <c r="BH104" s="20" t="inlineStr">
        <is>
          <t>IC Kationen</t>
        </is>
      </c>
      <c r="BI104" s="20" t="inlineStr">
        <is>
          <t>None</t>
        </is>
      </c>
      <c r="BJ104" s="17" t="n"/>
      <c r="BK104" s="16" t="inlineStr">
        <is>
          <t>18.7</t>
        </is>
      </c>
      <c r="BL104" s="20" t="inlineStr">
        <is>
          <t>IC Kationen</t>
        </is>
      </c>
      <c r="BM104" s="20" t="inlineStr">
        <is>
          <t>None</t>
        </is>
      </c>
      <c r="BN104" s="17" t="n"/>
      <c r="BO104" s="16" t="inlineStr">
        <is>
          <t>267</t>
        </is>
      </c>
      <c r="BP104" s="20" t="inlineStr">
        <is>
          <t>IC Kationen</t>
        </is>
      </c>
      <c r="BQ104" s="20" t="inlineStr">
        <is>
          <t>None</t>
        </is>
      </c>
      <c r="BR104" s="17" t="n"/>
      <c r="BS104" s="16" t="inlineStr">
        <is>
          <t>32.0</t>
        </is>
      </c>
      <c r="BT104" s="20" t="inlineStr">
        <is>
          <t>IC Kationen</t>
        </is>
      </c>
      <c r="BU104" s="20" t="inlineStr">
        <is>
          <t>None</t>
        </is>
      </c>
      <c r="BV104" s="17" t="n"/>
      <c r="BW104" s="16" t="n"/>
      <c r="BX104" s="20" t="n"/>
      <c r="BY104" s="20" t="inlineStr">
        <is>
          <t>None</t>
        </is>
      </c>
      <c r="BZ104" s="17" t="n"/>
      <c r="CA104" s="16" t="n"/>
      <c r="CB104" s="20" t="n"/>
      <c r="CC104" s="20" t="inlineStr">
        <is>
          <t>None</t>
        </is>
      </c>
      <c r="CD104" s="17" t="n"/>
      <c r="CE104" s="16" t="n"/>
      <c r="CF104" s="20" t="n"/>
      <c r="CG104" s="20" t="inlineStr">
        <is>
          <t>None</t>
        </is>
      </c>
      <c r="CH104" s="17" t="n"/>
      <c r="CI104" s="16" t="n"/>
      <c r="CJ104" s="20" t="n"/>
      <c r="CK104" s="20" t="inlineStr">
        <is>
          <t>None</t>
        </is>
      </c>
      <c r="CL104" s="17" t="n"/>
      <c r="CM104" s="16" t="n"/>
      <c r="CN104" s="20" t="inlineStr">
        <is>
          <t>SOP 45-34</t>
        </is>
      </c>
      <c r="CO104" s="20" t="inlineStr">
        <is>
          <t>None</t>
        </is>
      </c>
      <c r="CP104" s="17" t="n"/>
      <c r="CQ104" s="16" t="n"/>
      <c r="CR104" s="20" t="n"/>
      <c r="CS104" s="20" t="inlineStr">
        <is>
          <t>None</t>
        </is>
      </c>
      <c r="CT104" s="17" t="n"/>
      <c r="CU104" s="16" t="n"/>
      <c r="CV104" s="20" t="n"/>
      <c r="CW104" s="20" t="inlineStr">
        <is>
          <t>None</t>
        </is>
      </c>
      <c r="CX104" s="17" t="n"/>
      <c r="CY104" s="16" t="n"/>
      <c r="CZ104" s="20" t="inlineStr">
        <is>
          <t>WTW Multimeter 3430 with FDO 925</t>
        </is>
      </c>
      <c r="DA104" s="20" t="inlineStr">
        <is>
          <t>None</t>
        </is>
      </c>
      <c r="DB104" s="17" t="n"/>
      <c r="DC104" s="16" t="n"/>
      <c r="DD104" s="20" t="n"/>
      <c r="DE104" s="20" t="inlineStr">
        <is>
          <t>None</t>
        </is>
      </c>
      <c r="DF104" s="17" t="n"/>
      <c r="DG104" s="16" t="n"/>
      <c r="DH104" s="20" t="inlineStr">
        <is>
          <t>SOP 45-09</t>
        </is>
      </c>
      <c r="DI104" s="20" t="inlineStr">
        <is>
          <t>None</t>
        </is>
      </c>
      <c r="DJ104" s="17" t="n"/>
      <c r="DK104" s="16" t="n"/>
      <c r="DL104" s="20" t="inlineStr">
        <is>
          <t>SOP 45-09 (SOP muss noch angepasst werden für VSS)</t>
        </is>
      </c>
      <c r="DM104" s="20" t="inlineStr">
        <is>
          <t>None</t>
        </is>
      </c>
      <c r="DN104" s="17" t="n"/>
      <c r="DO104" s="16" t="n"/>
      <c r="DP104" s="20" t="inlineStr">
        <is>
          <t>IC Organic Acids</t>
        </is>
      </c>
      <c r="DQ104" s="20" t="inlineStr">
        <is>
          <t>None</t>
        </is>
      </c>
      <c r="DR104" s="17" t="n"/>
      <c r="DS104" s="16" t="n"/>
      <c r="DT104" s="20" t="inlineStr">
        <is>
          <t>IC Organic Acids</t>
        </is>
      </c>
      <c r="DU104" s="20" t="inlineStr">
        <is>
          <t>None</t>
        </is>
      </c>
      <c r="DV104" s="17" t="n"/>
      <c r="DW104" s="16" t="n"/>
      <c r="DX104" s="20" t="inlineStr">
        <is>
          <t>IC Organic Acids</t>
        </is>
      </c>
      <c r="DY104" s="20" t="inlineStr">
        <is>
          <t>None</t>
        </is>
      </c>
      <c r="DZ104" s="17" t="n"/>
      <c r="EA104" s="16" t="n"/>
      <c r="EB104" s="20" t="inlineStr">
        <is>
          <t>IC Organic Acids</t>
        </is>
      </c>
      <c r="EC104" s="20" t="inlineStr">
        <is>
          <t>None</t>
        </is>
      </c>
      <c r="ED104" s="17" t="n"/>
      <c r="EE104" s="16" t="n"/>
      <c r="EF104" s="20" t="inlineStr">
        <is>
          <t>IC Organic Acids</t>
        </is>
      </c>
      <c r="EG104" s="20" t="inlineStr">
        <is>
          <t>None</t>
        </is>
      </c>
      <c r="EH104" s="17" t="n"/>
      <c r="EI104" s="16" t="n"/>
      <c r="EJ104" s="20" t="inlineStr">
        <is>
          <t>IC Organic Acids</t>
        </is>
      </c>
      <c r="EK104" s="20" t="inlineStr">
        <is>
          <t>None</t>
        </is>
      </c>
      <c r="EL104" s="17" t="n"/>
      <c r="EM104" s="16" t="n"/>
      <c r="EN104" s="20" t="inlineStr">
        <is>
          <t>IC Organic Acids</t>
        </is>
      </c>
      <c r="EO104" s="20" t="inlineStr">
        <is>
          <t>None</t>
        </is>
      </c>
      <c r="EP104" s="17" t="n"/>
      <c r="EQ104" s="16" t="n"/>
      <c r="ER104" s="20" t="inlineStr">
        <is>
          <t>IC Organic Acids</t>
        </is>
      </c>
      <c r="ES104" s="20" t="inlineStr">
        <is>
          <t>None</t>
        </is>
      </c>
      <c r="ET104" s="17" t="n"/>
      <c r="EU104" s="16" t="n"/>
      <c r="EV104" s="20" t="inlineStr">
        <is>
          <t>LC-MS</t>
        </is>
      </c>
      <c r="EW104" s="20" t="inlineStr">
        <is>
          <t>None</t>
        </is>
      </c>
      <c r="EX104" s="17" t="n"/>
      <c r="EY104" s="21" t="n"/>
      <c r="EZ104">
        <f>CONCATENATE(A104,B104)</f>
        <v/>
      </c>
      <c r="FA104">
        <f>CONCATENATE(SamplesX!A104,SamplesX!B104)</f>
        <v/>
      </c>
      <c r="FC104">
        <f>MATCH(EZ104,FA1:FA1008,0)</f>
        <v/>
      </c>
    </row>
    <row r="105">
      <c r="A105" s="16" t="inlineStr">
        <is>
          <t>BP</t>
        </is>
      </c>
      <c r="B105" s="17" t="inlineStr">
        <is>
          <t>25097</t>
        </is>
      </c>
      <c r="C105" s="10">
        <f>IF(ISNUMBER(FC105),INDIRECT("SamplesX!C"&amp;FC105),IF(ISNUMBER(FD105),INDIRECT("SamplesY!C"&amp;FD105),""))</f>
        <v/>
      </c>
      <c r="D105" s="12">
        <f>IF(ISNUMBER(FC105),INDIRECT("SamplesX!D"&amp;FC105),IF(ISNUMBER(FD105),INDIRECT("SamplesY!D"&amp;FD105),""))</f>
        <v/>
      </c>
      <c r="E105" s="12">
        <f>IF(ISNUMBER(FC105),INDIRECT("SamplesX!E"&amp;FC105),IF(ISNUMBER(FD105),INDIRECT("SamplesY!E"&amp;FD105),""))</f>
        <v/>
      </c>
      <c r="F105" s="11">
        <f>IF(ISNUMBER(FC105),INDIRECT("SamplesX!F"&amp;FC105),IF(ISNUMBER(FD105),INDIRECT("SamplesY!F"&amp;FD105),""))</f>
        <v/>
      </c>
      <c r="G105" s="18">
        <f>IF(ISNUMBER(FC105),INDIRECT("SamplesX!G"&amp;FC105),IF(ISNUMBER(FD105),INDIRECT("SamplesY!G"&amp;FD105),""))</f>
        <v/>
      </c>
      <c r="H105" s="19">
        <f>IF(ISNUMBER(FC105),INDIRECT("SamplesX!H"&amp;FC105),IF(ISNUMBER(FD105),INDIRECT("SamplesY!H"&amp;FD105),""))</f>
        <v/>
      </c>
      <c r="I105" s="16" t="n"/>
      <c r="J105" s="16" t="n"/>
      <c r="K105" s="16" t="n"/>
      <c r="L105" s="20" t="n"/>
      <c r="M105" s="20" t="inlineStr">
        <is>
          <t>None</t>
        </is>
      </c>
      <c r="N105" s="17" t="n"/>
      <c r="O105" s="16" t="n"/>
      <c r="P105" s="20" t="inlineStr">
        <is>
          <t>Shimadzu TOC-L</t>
        </is>
      </c>
      <c r="Q105" s="20" t="inlineStr">
        <is>
          <t>None</t>
        </is>
      </c>
      <c r="R105" s="17" t="n"/>
      <c r="S105" s="16" t="n"/>
      <c r="T105" s="20" t="inlineStr">
        <is>
          <t>Shimadzu TOC-L</t>
        </is>
      </c>
      <c r="U105" s="20" t="inlineStr">
        <is>
          <t>None</t>
        </is>
      </c>
      <c r="V105" s="17" t="n"/>
      <c r="W105" s="16" t="n"/>
      <c r="X105" s="20" t="n"/>
      <c r="Y105" s="20" t="inlineStr">
        <is>
          <t>None</t>
        </is>
      </c>
      <c r="Z105" s="17" t="n"/>
      <c r="AA105" s="16" t="n"/>
      <c r="AB105" s="20" t="n"/>
      <c r="AC105" s="20" t="inlineStr">
        <is>
          <t>None</t>
        </is>
      </c>
      <c r="AD105" s="17" t="n"/>
      <c r="AE105" s="16" t="inlineStr">
        <is>
          <t>379</t>
        </is>
      </c>
      <c r="AF105" s="20" t="inlineStr">
        <is>
          <t>IC Anionen</t>
        </is>
      </c>
      <c r="AG105" s="20" t="inlineStr">
        <is>
          <t>None</t>
        </is>
      </c>
      <c r="AH105" s="17" t="n"/>
      <c r="AI105" s="16" t="n"/>
      <c r="AJ105" s="20" t="n"/>
      <c r="AK105" s="20" t="inlineStr">
        <is>
          <t>None</t>
        </is>
      </c>
      <c r="AL105" s="17" t="n"/>
      <c r="AM105" s="16" t="n"/>
      <c r="AN105" s="20" t="inlineStr">
        <is>
          <t>IC Anionen</t>
        </is>
      </c>
      <c r="AO105" s="20" t="inlineStr">
        <is>
          <t>None</t>
        </is>
      </c>
      <c r="AP105" s="17" t="n"/>
      <c r="AQ105" s="16" t="n"/>
      <c r="AR105" s="20" t="n"/>
      <c r="AS105" s="20" t="inlineStr">
        <is>
          <t>None</t>
        </is>
      </c>
      <c r="AT105" s="17" t="n"/>
      <c r="AU105" s="16" t="inlineStr">
        <is>
          <t>0.87</t>
        </is>
      </c>
      <c r="AV105" s="20" t="inlineStr">
        <is>
          <t>IC Anionen</t>
        </is>
      </c>
      <c r="AW105" s="20" t="inlineStr">
        <is>
          <t>None</t>
        </is>
      </c>
      <c r="AX105" s="17" t="n"/>
      <c r="AY105" s="16" t="inlineStr">
        <is>
          <t>1.43</t>
        </is>
      </c>
      <c r="AZ105" s="20" t="inlineStr">
        <is>
          <t>IC Anionen</t>
        </is>
      </c>
      <c r="BA105" s="20" t="inlineStr">
        <is>
          <t>None</t>
        </is>
      </c>
      <c r="BB105" s="17" t="n"/>
      <c r="BC105" s="16" t="inlineStr">
        <is>
          <t>107</t>
        </is>
      </c>
      <c r="BD105" s="20" t="inlineStr">
        <is>
          <t>IC Kationen</t>
        </is>
      </c>
      <c r="BE105" s="20" t="inlineStr">
        <is>
          <t>None</t>
        </is>
      </c>
      <c r="BF105" s="17" t="n"/>
      <c r="BG105" s="16" t="inlineStr">
        <is>
          <t>22.0</t>
        </is>
      </c>
      <c r="BH105" s="20" t="inlineStr">
        <is>
          <t>IC Kationen</t>
        </is>
      </c>
      <c r="BI105" s="20" t="inlineStr">
        <is>
          <t>None</t>
        </is>
      </c>
      <c r="BJ105" s="17" t="n"/>
      <c r="BK105" s="16" t="inlineStr">
        <is>
          <t>16.9</t>
        </is>
      </c>
      <c r="BL105" s="20" t="inlineStr">
        <is>
          <t>IC Kationen</t>
        </is>
      </c>
      <c r="BM105" s="20" t="inlineStr">
        <is>
          <t>None</t>
        </is>
      </c>
      <c r="BN105" s="17" t="n"/>
      <c r="BO105" s="16" t="inlineStr">
        <is>
          <t>248</t>
        </is>
      </c>
      <c r="BP105" s="20" t="inlineStr">
        <is>
          <t>IC Kationen</t>
        </is>
      </c>
      <c r="BQ105" s="20" t="inlineStr">
        <is>
          <t>None</t>
        </is>
      </c>
      <c r="BR105" s="17" t="n"/>
      <c r="BS105" s="16" t="inlineStr">
        <is>
          <t>27.2</t>
        </is>
      </c>
      <c r="BT105" s="20" t="inlineStr">
        <is>
          <t>IC Kationen</t>
        </is>
      </c>
      <c r="BU105" s="20" t="inlineStr">
        <is>
          <t>None</t>
        </is>
      </c>
      <c r="BV105" s="17" t="n"/>
      <c r="BW105" s="16" t="n"/>
      <c r="BX105" s="20" t="n"/>
      <c r="BY105" s="20" t="inlineStr">
        <is>
          <t>None</t>
        </is>
      </c>
      <c r="BZ105" s="17" t="n"/>
      <c r="CA105" s="16" t="n"/>
      <c r="CB105" s="20" t="n"/>
      <c r="CC105" s="20" t="inlineStr">
        <is>
          <t>None</t>
        </is>
      </c>
      <c r="CD105" s="17" t="n"/>
      <c r="CE105" s="16" t="n"/>
      <c r="CF105" s="20" t="n"/>
      <c r="CG105" s="20" t="inlineStr">
        <is>
          <t>None</t>
        </is>
      </c>
      <c r="CH105" s="17" t="n"/>
      <c r="CI105" s="16" t="n"/>
      <c r="CJ105" s="20" t="n"/>
      <c r="CK105" s="20" t="inlineStr">
        <is>
          <t>None</t>
        </is>
      </c>
      <c r="CL105" s="17" t="n"/>
      <c r="CM105" s="16" t="n"/>
      <c r="CN105" s="20" t="inlineStr">
        <is>
          <t>SOP 45-34</t>
        </is>
      </c>
      <c r="CO105" s="20" t="inlineStr">
        <is>
          <t>None</t>
        </is>
      </c>
      <c r="CP105" s="17" t="n"/>
      <c r="CQ105" s="16" t="n"/>
      <c r="CR105" s="20" t="n"/>
      <c r="CS105" s="20" t="inlineStr">
        <is>
          <t>None</t>
        </is>
      </c>
      <c r="CT105" s="17" t="n"/>
      <c r="CU105" s="16" t="n"/>
      <c r="CV105" s="20" t="n"/>
      <c r="CW105" s="20" t="inlineStr">
        <is>
          <t>None</t>
        </is>
      </c>
      <c r="CX105" s="17" t="n"/>
      <c r="CY105" s="16" t="n"/>
      <c r="CZ105" s="20" t="inlineStr">
        <is>
          <t>WTW Multimeter 3430 with FDO 925</t>
        </is>
      </c>
      <c r="DA105" s="20" t="inlineStr">
        <is>
          <t>None</t>
        </is>
      </c>
      <c r="DB105" s="17" t="n"/>
      <c r="DC105" s="16" t="n"/>
      <c r="DD105" s="20" t="n"/>
      <c r="DE105" s="20" t="inlineStr">
        <is>
          <t>None</t>
        </is>
      </c>
      <c r="DF105" s="17" t="n"/>
      <c r="DG105" s="16" t="n"/>
      <c r="DH105" s="20" t="inlineStr">
        <is>
          <t>SOP 45-09</t>
        </is>
      </c>
      <c r="DI105" s="20" t="inlineStr">
        <is>
          <t>None</t>
        </is>
      </c>
      <c r="DJ105" s="17" t="n"/>
      <c r="DK105" s="16" t="n"/>
      <c r="DL105" s="20" t="inlineStr">
        <is>
          <t>SOP 45-09 (SOP muss noch angepasst werden für VSS)</t>
        </is>
      </c>
      <c r="DM105" s="20" t="inlineStr">
        <is>
          <t>None</t>
        </is>
      </c>
      <c r="DN105" s="17" t="n"/>
      <c r="DO105" s="16" t="n"/>
      <c r="DP105" s="20" t="inlineStr">
        <is>
          <t>IC Organic Acids</t>
        </is>
      </c>
      <c r="DQ105" s="20" t="inlineStr">
        <is>
          <t>None</t>
        </is>
      </c>
      <c r="DR105" s="17" t="n"/>
      <c r="DS105" s="16" t="n"/>
      <c r="DT105" s="20" t="inlineStr">
        <is>
          <t>IC Organic Acids</t>
        </is>
      </c>
      <c r="DU105" s="20" t="inlineStr">
        <is>
          <t>None</t>
        </is>
      </c>
      <c r="DV105" s="17" t="n"/>
      <c r="DW105" s="16" t="n"/>
      <c r="DX105" s="20" t="inlineStr">
        <is>
          <t>IC Organic Acids</t>
        </is>
      </c>
      <c r="DY105" s="20" t="inlineStr">
        <is>
          <t>None</t>
        </is>
      </c>
      <c r="DZ105" s="17" t="n"/>
      <c r="EA105" s="16" t="n"/>
      <c r="EB105" s="20" t="inlineStr">
        <is>
          <t>IC Organic Acids</t>
        </is>
      </c>
      <c r="EC105" s="20" t="inlineStr">
        <is>
          <t>None</t>
        </is>
      </c>
      <c r="ED105" s="17" t="n"/>
      <c r="EE105" s="16" t="n"/>
      <c r="EF105" s="20" t="inlineStr">
        <is>
          <t>IC Organic Acids</t>
        </is>
      </c>
      <c r="EG105" s="20" t="inlineStr">
        <is>
          <t>None</t>
        </is>
      </c>
      <c r="EH105" s="17" t="n"/>
      <c r="EI105" s="16" t="n"/>
      <c r="EJ105" s="20" t="inlineStr">
        <is>
          <t>IC Organic Acids</t>
        </is>
      </c>
      <c r="EK105" s="20" t="inlineStr">
        <is>
          <t>None</t>
        </is>
      </c>
      <c r="EL105" s="17" t="n"/>
      <c r="EM105" s="16" t="n"/>
      <c r="EN105" s="20" t="inlineStr">
        <is>
          <t>IC Organic Acids</t>
        </is>
      </c>
      <c r="EO105" s="20" t="inlineStr">
        <is>
          <t>None</t>
        </is>
      </c>
      <c r="EP105" s="17" t="n"/>
      <c r="EQ105" s="16" t="n"/>
      <c r="ER105" s="20" t="inlineStr">
        <is>
          <t>IC Organic Acids</t>
        </is>
      </c>
      <c r="ES105" s="20" t="inlineStr">
        <is>
          <t>None</t>
        </is>
      </c>
      <c r="ET105" s="17" t="n"/>
      <c r="EU105" s="16" t="n"/>
      <c r="EV105" s="20" t="inlineStr">
        <is>
          <t>LC-MS</t>
        </is>
      </c>
      <c r="EW105" s="20" t="inlineStr">
        <is>
          <t>None</t>
        </is>
      </c>
      <c r="EX105" s="17" t="n"/>
      <c r="EY105" s="21" t="n"/>
      <c r="EZ105">
        <f>CONCATENATE(A105,B105)</f>
        <v/>
      </c>
      <c r="FA105">
        <f>CONCATENATE(SamplesX!A105,SamplesX!B105)</f>
        <v/>
      </c>
      <c r="FC105">
        <f>MATCH(EZ105,FA1:FA1008,0)</f>
        <v/>
      </c>
    </row>
    <row r="106">
      <c r="A106" s="16" t="inlineStr">
        <is>
          <t>BP</t>
        </is>
      </c>
      <c r="B106" s="17" t="inlineStr">
        <is>
          <t>25098</t>
        </is>
      </c>
      <c r="C106" s="10">
        <f>IF(ISNUMBER(FC106),INDIRECT("SamplesX!C"&amp;FC106),IF(ISNUMBER(FD106),INDIRECT("SamplesY!C"&amp;FD106),""))</f>
        <v/>
      </c>
      <c r="D106" s="12">
        <f>IF(ISNUMBER(FC106),INDIRECT("SamplesX!D"&amp;FC106),IF(ISNUMBER(FD106),INDIRECT("SamplesY!D"&amp;FD106),""))</f>
        <v/>
      </c>
      <c r="E106" s="12">
        <f>IF(ISNUMBER(FC106),INDIRECT("SamplesX!E"&amp;FC106),IF(ISNUMBER(FD106),INDIRECT("SamplesY!E"&amp;FD106),""))</f>
        <v/>
      </c>
      <c r="F106" s="11">
        <f>IF(ISNUMBER(FC106),INDIRECT("SamplesX!F"&amp;FC106),IF(ISNUMBER(FD106),INDIRECT("SamplesY!F"&amp;FD106),""))</f>
        <v/>
      </c>
      <c r="G106" s="18">
        <f>IF(ISNUMBER(FC106),INDIRECT("SamplesX!G"&amp;FC106),IF(ISNUMBER(FD106),INDIRECT("SamplesY!G"&amp;FD106),""))</f>
        <v/>
      </c>
      <c r="H106" s="19">
        <f>IF(ISNUMBER(FC106),INDIRECT("SamplesX!H"&amp;FC106),IF(ISNUMBER(FD106),INDIRECT("SamplesY!H"&amp;FD106),""))</f>
        <v/>
      </c>
      <c r="I106" s="16" t="n"/>
      <c r="J106" s="16" t="n"/>
      <c r="K106" s="16" t="n"/>
      <c r="L106" s="20" t="n"/>
      <c r="M106" s="20" t="inlineStr">
        <is>
          <t>None</t>
        </is>
      </c>
      <c r="N106" s="17" t="n"/>
      <c r="O106" s="16" t="n"/>
      <c r="P106" s="20" t="inlineStr">
        <is>
          <t>Shimadzu TOC-L</t>
        </is>
      </c>
      <c r="Q106" s="20" t="inlineStr">
        <is>
          <t>None</t>
        </is>
      </c>
      <c r="R106" s="17" t="n"/>
      <c r="S106" s="16" t="n"/>
      <c r="T106" s="20" t="inlineStr">
        <is>
          <t>Shimadzu TOC-L</t>
        </is>
      </c>
      <c r="U106" s="20" t="inlineStr">
        <is>
          <t>None</t>
        </is>
      </c>
      <c r="V106" s="17" t="n"/>
      <c r="W106" s="16" t="n"/>
      <c r="X106" s="20" t="n"/>
      <c r="Y106" s="20" t="inlineStr">
        <is>
          <t>None</t>
        </is>
      </c>
      <c r="Z106" s="17" t="n"/>
      <c r="AA106" s="16" t="n"/>
      <c r="AB106" s="20" t="n"/>
      <c r="AC106" s="20" t="inlineStr">
        <is>
          <t>None</t>
        </is>
      </c>
      <c r="AD106" s="17" t="n"/>
      <c r="AE106" s="16" t="inlineStr">
        <is>
          <t>326</t>
        </is>
      </c>
      <c r="AF106" s="20" t="inlineStr">
        <is>
          <t>IC Anionen</t>
        </is>
      </c>
      <c r="AG106" s="20" t="inlineStr">
        <is>
          <t>None</t>
        </is>
      </c>
      <c r="AH106" s="17" t="n"/>
      <c r="AI106" s="16" t="n"/>
      <c r="AJ106" s="20" t="n"/>
      <c r="AK106" s="20" t="inlineStr">
        <is>
          <t>None</t>
        </is>
      </c>
      <c r="AL106" s="17" t="n"/>
      <c r="AM106" s="16" t="n"/>
      <c r="AN106" s="20" t="inlineStr">
        <is>
          <t>IC Anionen</t>
        </is>
      </c>
      <c r="AO106" s="20" t="inlineStr">
        <is>
          <t>None</t>
        </is>
      </c>
      <c r="AP106" s="17" t="n"/>
      <c r="AQ106" s="16" t="n"/>
      <c r="AR106" s="20" t="n"/>
      <c r="AS106" s="20" t="inlineStr">
        <is>
          <t>None</t>
        </is>
      </c>
      <c r="AT106" s="17" t="n"/>
      <c r="AU106" s="16" t="inlineStr">
        <is>
          <t>&lt;0.13</t>
        </is>
      </c>
      <c r="AV106" s="20" t="inlineStr">
        <is>
          <t>IC Anionen</t>
        </is>
      </c>
      <c r="AW106" s="20" t="inlineStr">
        <is>
          <t>None</t>
        </is>
      </c>
      <c r="AX106" s="17" t="n"/>
      <c r="AY106" s="16" t="inlineStr">
        <is>
          <t>&lt;0.80</t>
        </is>
      </c>
      <c r="AZ106" s="20" t="inlineStr">
        <is>
          <t>IC Anionen</t>
        </is>
      </c>
      <c r="BA106" s="20" t="inlineStr">
        <is>
          <t>None</t>
        </is>
      </c>
      <c r="BB106" s="17" t="n"/>
      <c r="BC106" s="16" t="inlineStr">
        <is>
          <t>114</t>
        </is>
      </c>
      <c r="BD106" s="20" t="inlineStr">
        <is>
          <t>IC Kationen</t>
        </is>
      </c>
      <c r="BE106" s="20" t="inlineStr">
        <is>
          <t>None</t>
        </is>
      </c>
      <c r="BF106" s="17" t="n"/>
      <c r="BG106" s="16" t="inlineStr">
        <is>
          <t>&lt;1.60</t>
        </is>
      </c>
      <c r="BH106" s="20" t="inlineStr">
        <is>
          <t>IC Kationen</t>
        </is>
      </c>
      <c r="BI106" s="20" t="inlineStr">
        <is>
          <t>None</t>
        </is>
      </c>
      <c r="BJ106" s="17" t="n"/>
      <c r="BK106" s="16" t="inlineStr">
        <is>
          <t>11.9</t>
        </is>
      </c>
      <c r="BL106" s="20" t="inlineStr">
        <is>
          <t>IC Kationen</t>
        </is>
      </c>
      <c r="BM106" s="20" t="inlineStr">
        <is>
          <t>None</t>
        </is>
      </c>
      <c r="BN106" s="17" t="n"/>
      <c r="BO106" s="16" t="inlineStr">
        <is>
          <t>192</t>
        </is>
      </c>
      <c r="BP106" s="20" t="inlineStr">
        <is>
          <t>IC Kationen</t>
        </is>
      </c>
      <c r="BQ106" s="20" t="inlineStr">
        <is>
          <t>None</t>
        </is>
      </c>
      <c r="BR106" s="17" t="n"/>
      <c r="BS106" s="16" t="inlineStr">
        <is>
          <t>28.9</t>
        </is>
      </c>
      <c r="BT106" s="20" t="inlineStr">
        <is>
          <t>IC Kationen</t>
        </is>
      </c>
      <c r="BU106" s="20" t="inlineStr">
        <is>
          <t>None</t>
        </is>
      </c>
      <c r="BV106" s="17" t="n"/>
      <c r="BW106" s="16" t="n"/>
      <c r="BX106" s="20" t="n"/>
      <c r="BY106" s="20" t="inlineStr">
        <is>
          <t>None</t>
        </is>
      </c>
      <c r="BZ106" s="17" t="n"/>
      <c r="CA106" s="16" t="n"/>
      <c r="CB106" s="20" t="n"/>
      <c r="CC106" s="20" t="inlineStr">
        <is>
          <t>None</t>
        </is>
      </c>
      <c r="CD106" s="17" t="n"/>
      <c r="CE106" s="16" t="n"/>
      <c r="CF106" s="20" t="n"/>
      <c r="CG106" s="20" t="inlineStr">
        <is>
          <t>None</t>
        </is>
      </c>
      <c r="CH106" s="17" t="n"/>
      <c r="CI106" s="16" t="n"/>
      <c r="CJ106" s="20" t="n"/>
      <c r="CK106" s="20" t="inlineStr">
        <is>
          <t>None</t>
        </is>
      </c>
      <c r="CL106" s="17" t="n"/>
      <c r="CM106" s="16" t="n"/>
      <c r="CN106" s="20" t="inlineStr">
        <is>
          <t>SOP 45-34</t>
        </is>
      </c>
      <c r="CO106" s="20" t="inlineStr">
        <is>
          <t>None</t>
        </is>
      </c>
      <c r="CP106" s="17" t="n"/>
      <c r="CQ106" s="16" t="n"/>
      <c r="CR106" s="20" t="n"/>
      <c r="CS106" s="20" t="inlineStr">
        <is>
          <t>None</t>
        </is>
      </c>
      <c r="CT106" s="17" t="n"/>
      <c r="CU106" s="16" t="n"/>
      <c r="CV106" s="20" t="n"/>
      <c r="CW106" s="20" t="inlineStr">
        <is>
          <t>None</t>
        </is>
      </c>
      <c r="CX106" s="17" t="n"/>
      <c r="CY106" s="16" t="n"/>
      <c r="CZ106" s="20" t="inlineStr">
        <is>
          <t>WTW Multimeter 3430 with FDO 925</t>
        </is>
      </c>
      <c r="DA106" s="20" t="inlineStr">
        <is>
          <t>None</t>
        </is>
      </c>
      <c r="DB106" s="17" t="n"/>
      <c r="DC106" s="16" t="n"/>
      <c r="DD106" s="20" t="n"/>
      <c r="DE106" s="20" t="inlineStr">
        <is>
          <t>None</t>
        </is>
      </c>
      <c r="DF106" s="17" t="n"/>
      <c r="DG106" s="16" t="n"/>
      <c r="DH106" s="20" t="inlineStr">
        <is>
          <t>SOP 45-09</t>
        </is>
      </c>
      <c r="DI106" s="20" t="inlineStr">
        <is>
          <t>None</t>
        </is>
      </c>
      <c r="DJ106" s="17" t="n"/>
      <c r="DK106" s="16" t="n"/>
      <c r="DL106" s="20" t="inlineStr">
        <is>
          <t>SOP 45-09 (SOP muss noch angepasst werden für VSS)</t>
        </is>
      </c>
      <c r="DM106" s="20" t="inlineStr">
        <is>
          <t>None</t>
        </is>
      </c>
      <c r="DN106" s="17" t="n"/>
      <c r="DO106" s="16" t="n"/>
      <c r="DP106" s="20" t="inlineStr">
        <is>
          <t>IC Organic Acids</t>
        </is>
      </c>
      <c r="DQ106" s="20" t="inlineStr">
        <is>
          <t>None</t>
        </is>
      </c>
      <c r="DR106" s="17" t="n"/>
      <c r="DS106" s="16" t="n"/>
      <c r="DT106" s="20" t="inlineStr">
        <is>
          <t>IC Organic Acids</t>
        </is>
      </c>
      <c r="DU106" s="20" t="inlineStr">
        <is>
          <t>None</t>
        </is>
      </c>
      <c r="DV106" s="17" t="n"/>
      <c r="DW106" s="16" t="n"/>
      <c r="DX106" s="20" t="inlineStr">
        <is>
          <t>IC Organic Acids</t>
        </is>
      </c>
      <c r="DY106" s="20" t="inlineStr">
        <is>
          <t>None</t>
        </is>
      </c>
      <c r="DZ106" s="17" t="n"/>
      <c r="EA106" s="16" t="n"/>
      <c r="EB106" s="20" t="inlineStr">
        <is>
          <t>IC Organic Acids</t>
        </is>
      </c>
      <c r="EC106" s="20" t="inlineStr">
        <is>
          <t>None</t>
        </is>
      </c>
      <c r="ED106" s="17" t="n"/>
      <c r="EE106" s="16" t="n"/>
      <c r="EF106" s="20" t="inlineStr">
        <is>
          <t>IC Organic Acids</t>
        </is>
      </c>
      <c r="EG106" s="20" t="inlineStr">
        <is>
          <t>None</t>
        </is>
      </c>
      <c r="EH106" s="17" t="n"/>
      <c r="EI106" s="16" t="n"/>
      <c r="EJ106" s="20" t="inlineStr">
        <is>
          <t>IC Organic Acids</t>
        </is>
      </c>
      <c r="EK106" s="20" t="inlineStr">
        <is>
          <t>None</t>
        </is>
      </c>
      <c r="EL106" s="17" t="n"/>
      <c r="EM106" s="16" t="n"/>
      <c r="EN106" s="20" t="inlineStr">
        <is>
          <t>IC Organic Acids</t>
        </is>
      </c>
      <c r="EO106" s="20" t="inlineStr">
        <is>
          <t>None</t>
        </is>
      </c>
      <c r="EP106" s="17" t="n"/>
      <c r="EQ106" s="16" t="n"/>
      <c r="ER106" s="20" t="inlineStr">
        <is>
          <t>IC Organic Acids</t>
        </is>
      </c>
      <c r="ES106" s="20" t="inlineStr">
        <is>
          <t>None</t>
        </is>
      </c>
      <c r="ET106" s="17" t="n"/>
      <c r="EU106" s="16" t="n"/>
      <c r="EV106" s="20" t="inlineStr">
        <is>
          <t>LC-MS</t>
        </is>
      </c>
      <c r="EW106" s="20" t="inlineStr">
        <is>
          <t>None</t>
        </is>
      </c>
      <c r="EX106" s="17" t="n"/>
      <c r="EY106" s="21" t="n"/>
      <c r="EZ106">
        <f>CONCATENATE(A106,B106)</f>
        <v/>
      </c>
      <c r="FA106">
        <f>CONCATENATE(SamplesX!A106,SamplesX!B106)</f>
        <v/>
      </c>
      <c r="FC106">
        <f>MATCH(EZ106,FA1:FA1008,0)</f>
        <v/>
      </c>
    </row>
    <row r="107">
      <c r="A107" s="16" t="inlineStr">
        <is>
          <t>BP</t>
        </is>
      </c>
      <c r="B107" s="17" t="inlineStr">
        <is>
          <t>25099</t>
        </is>
      </c>
      <c r="C107" s="10">
        <f>IF(ISNUMBER(FC107),INDIRECT("SamplesX!C"&amp;FC107),IF(ISNUMBER(FD107),INDIRECT("SamplesY!C"&amp;FD107),""))</f>
        <v/>
      </c>
      <c r="D107" s="12">
        <f>IF(ISNUMBER(FC107),INDIRECT("SamplesX!D"&amp;FC107),IF(ISNUMBER(FD107),INDIRECT("SamplesY!D"&amp;FD107),""))</f>
        <v/>
      </c>
      <c r="E107" s="12">
        <f>IF(ISNUMBER(FC107),INDIRECT("SamplesX!E"&amp;FC107),IF(ISNUMBER(FD107),INDIRECT("SamplesY!E"&amp;FD107),""))</f>
        <v/>
      </c>
      <c r="F107" s="11">
        <f>IF(ISNUMBER(FC107),INDIRECT("SamplesX!F"&amp;FC107),IF(ISNUMBER(FD107),INDIRECT("SamplesY!F"&amp;FD107),""))</f>
        <v/>
      </c>
      <c r="G107" s="18">
        <f>IF(ISNUMBER(FC107),INDIRECT("SamplesX!G"&amp;FC107),IF(ISNUMBER(FD107),INDIRECT("SamplesY!G"&amp;FD107),""))</f>
        <v/>
      </c>
      <c r="H107" s="19">
        <f>IF(ISNUMBER(FC107),INDIRECT("SamplesX!H"&amp;FC107),IF(ISNUMBER(FD107),INDIRECT("SamplesY!H"&amp;FD107),""))</f>
        <v/>
      </c>
      <c r="I107" s="16" t="n"/>
      <c r="J107" s="16" t="n"/>
      <c r="K107" s="16" t="n"/>
      <c r="L107" s="20" t="n"/>
      <c r="M107" s="20" t="inlineStr">
        <is>
          <t>None</t>
        </is>
      </c>
      <c r="N107" s="17" t="n"/>
      <c r="O107" s="16" t="n"/>
      <c r="P107" s="20" t="inlineStr">
        <is>
          <t>Shimadzu TOC-L</t>
        </is>
      </c>
      <c r="Q107" s="20" t="inlineStr">
        <is>
          <t>None</t>
        </is>
      </c>
      <c r="R107" s="17" t="n"/>
      <c r="S107" s="16" t="n"/>
      <c r="T107" s="20" t="inlineStr">
        <is>
          <t>Shimadzu TOC-L</t>
        </is>
      </c>
      <c r="U107" s="20" t="inlineStr">
        <is>
          <t>None</t>
        </is>
      </c>
      <c r="V107" s="17" t="n"/>
      <c r="W107" s="16" t="n"/>
      <c r="X107" s="20" t="n"/>
      <c r="Y107" s="20" t="inlineStr">
        <is>
          <t>None</t>
        </is>
      </c>
      <c r="Z107" s="17" t="n"/>
      <c r="AA107" s="16" t="n"/>
      <c r="AB107" s="20" t="n"/>
      <c r="AC107" s="20" t="inlineStr">
        <is>
          <t>None</t>
        </is>
      </c>
      <c r="AD107" s="17" t="n"/>
      <c r="AE107" s="16" t="inlineStr">
        <is>
          <t>170</t>
        </is>
      </c>
      <c r="AF107" s="20" t="inlineStr">
        <is>
          <t>IC Anionen</t>
        </is>
      </c>
      <c r="AG107" s="20" t="inlineStr">
        <is>
          <t>None</t>
        </is>
      </c>
      <c r="AH107" s="17" t="n"/>
      <c r="AI107" s="16" t="n"/>
      <c r="AJ107" s="20" t="n"/>
      <c r="AK107" s="20" t="inlineStr">
        <is>
          <t>None</t>
        </is>
      </c>
      <c r="AL107" s="17" t="n"/>
      <c r="AM107" s="16" t="n"/>
      <c r="AN107" s="20" t="inlineStr">
        <is>
          <t>IC Anionen</t>
        </is>
      </c>
      <c r="AO107" s="20" t="inlineStr">
        <is>
          <t>None</t>
        </is>
      </c>
      <c r="AP107" s="17" t="n"/>
      <c r="AQ107" s="16" t="n"/>
      <c r="AR107" s="20" t="n"/>
      <c r="AS107" s="20" t="inlineStr">
        <is>
          <t>None</t>
        </is>
      </c>
      <c r="AT107" s="17" t="n"/>
      <c r="AU107" s="16" t="inlineStr">
        <is>
          <t>3.77</t>
        </is>
      </c>
      <c r="AV107" s="20" t="inlineStr">
        <is>
          <t>IC Anionen</t>
        </is>
      </c>
      <c r="AW107" s="20" t="inlineStr">
        <is>
          <t>None</t>
        </is>
      </c>
      <c r="AX107" s="17" t="n"/>
      <c r="AY107" s="16" t="inlineStr">
        <is>
          <t>&lt;0.80</t>
        </is>
      </c>
      <c r="AZ107" s="20" t="inlineStr">
        <is>
          <t>IC Anionen</t>
        </is>
      </c>
      <c r="BA107" s="20" t="inlineStr">
        <is>
          <t>None</t>
        </is>
      </c>
      <c r="BB107" s="17" t="n"/>
      <c r="BC107" s="16" t="inlineStr">
        <is>
          <t>124</t>
        </is>
      </c>
      <c r="BD107" s="20" t="inlineStr">
        <is>
          <t>IC Kationen</t>
        </is>
      </c>
      <c r="BE107" s="20" t="inlineStr">
        <is>
          <t>None</t>
        </is>
      </c>
      <c r="BF107" s="17" t="n"/>
      <c r="BG107" s="16" t="inlineStr">
        <is>
          <t>&lt;1.60</t>
        </is>
      </c>
      <c r="BH107" s="20" t="inlineStr">
        <is>
          <t>IC Kationen</t>
        </is>
      </c>
      <c r="BI107" s="20" t="inlineStr">
        <is>
          <t>None</t>
        </is>
      </c>
      <c r="BJ107" s="17" t="n"/>
      <c r="BK107" s="16" t="inlineStr">
        <is>
          <t>12.9</t>
        </is>
      </c>
      <c r="BL107" s="20" t="inlineStr">
        <is>
          <t>IC Kationen</t>
        </is>
      </c>
      <c r="BM107" s="20" t="inlineStr">
        <is>
          <t>None</t>
        </is>
      </c>
      <c r="BN107" s="17" t="n"/>
      <c r="BO107" s="16" t="inlineStr">
        <is>
          <t>242</t>
        </is>
      </c>
      <c r="BP107" s="20" t="inlineStr">
        <is>
          <t>IC Kationen</t>
        </is>
      </c>
      <c r="BQ107" s="20" t="inlineStr">
        <is>
          <t>None</t>
        </is>
      </c>
      <c r="BR107" s="17" t="n"/>
      <c r="BS107" s="16" t="inlineStr">
        <is>
          <t>32.0</t>
        </is>
      </c>
      <c r="BT107" s="20" t="inlineStr">
        <is>
          <t>IC Kationen</t>
        </is>
      </c>
      <c r="BU107" s="20" t="inlineStr">
        <is>
          <t>None</t>
        </is>
      </c>
      <c r="BV107" s="17" t="n"/>
      <c r="BW107" s="16" t="n"/>
      <c r="BX107" s="20" t="n"/>
      <c r="BY107" s="20" t="inlineStr">
        <is>
          <t>None</t>
        </is>
      </c>
      <c r="BZ107" s="17" t="n"/>
      <c r="CA107" s="16" t="n"/>
      <c r="CB107" s="20" t="n"/>
      <c r="CC107" s="20" t="inlineStr">
        <is>
          <t>None</t>
        </is>
      </c>
      <c r="CD107" s="17" t="n"/>
      <c r="CE107" s="16" t="n"/>
      <c r="CF107" s="20" t="n"/>
      <c r="CG107" s="20" t="inlineStr">
        <is>
          <t>None</t>
        </is>
      </c>
      <c r="CH107" s="17" t="n"/>
      <c r="CI107" s="16" t="n"/>
      <c r="CJ107" s="20" t="n"/>
      <c r="CK107" s="20" t="inlineStr">
        <is>
          <t>None</t>
        </is>
      </c>
      <c r="CL107" s="17" t="n"/>
      <c r="CM107" s="16" t="n"/>
      <c r="CN107" s="20" t="inlineStr">
        <is>
          <t>SOP 45-34</t>
        </is>
      </c>
      <c r="CO107" s="20" t="inlineStr">
        <is>
          <t>None</t>
        </is>
      </c>
      <c r="CP107" s="17" t="n"/>
      <c r="CQ107" s="16" t="n"/>
      <c r="CR107" s="20" t="n"/>
      <c r="CS107" s="20" t="inlineStr">
        <is>
          <t>None</t>
        </is>
      </c>
      <c r="CT107" s="17" t="n"/>
      <c r="CU107" s="16" t="n"/>
      <c r="CV107" s="20" t="n"/>
      <c r="CW107" s="20" t="inlineStr">
        <is>
          <t>None</t>
        </is>
      </c>
      <c r="CX107" s="17" t="n"/>
      <c r="CY107" s="16" t="n"/>
      <c r="CZ107" s="20" t="inlineStr">
        <is>
          <t>WTW Multimeter 3430 with FDO 925</t>
        </is>
      </c>
      <c r="DA107" s="20" t="inlineStr">
        <is>
          <t>None</t>
        </is>
      </c>
      <c r="DB107" s="17" t="n"/>
      <c r="DC107" s="16" t="n"/>
      <c r="DD107" s="20" t="n"/>
      <c r="DE107" s="20" t="inlineStr">
        <is>
          <t>None</t>
        </is>
      </c>
      <c r="DF107" s="17" t="n"/>
      <c r="DG107" s="16" t="n"/>
      <c r="DH107" s="20" t="inlineStr">
        <is>
          <t>SOP 45-09</t>
        </is>
      </c>
      <c r="DI107" s="20" t="inlineStr">
        <is>
          <t>None</t>
        </is>
      </c>
      <c r="DJ107" s="17" t="n"/>
      <c r="DK107" s="16" t="n"/>
      <c r="DL107" s="20" t="inlineStr">
        <is>
          <t>SOP 45-09 (SOP muss noch angepasst werden für VSS)</t>
        </is>
      </c>
      <c r="DM107" s="20" t="inlineStr">
        <is>
          <t>None</t>
        </is>
      </c>
      <c r="DN107" s="17" t="n"/>
      <c r="DO107" s="16" t="n"/>
      <c r="DP107" s="20" t="inlineStr">
        <is>
          <t>IC Organic Acids</t>
        </is>
      </c>
      <c r="DQ107" s="20" t="inlineStr">
        <is>
          <t>None</t>
        </is>
      </c>
      <c r="DR107" s="17" t="n"/>
      <c r="DS107" s="16" t="n"/>
      <c r="DT107" s="20" t="inlineStr">
        <is>
          <t>IC Organic Acids</t>
        </is>
      </c>
      <c r="DU107" s="20" t="inlineStr">
        <is>
          <t>None</t>
        </is>
      </c>
      <c r="DV107" s="17" t="n"/>
      <c r="DW107" s="16" t="n"/>
      <c r="DX107" s="20" t="inlineStr">
        <is>
          <t>IC Organic Acids</t>
        </is>
      </c>
      <c r="DY107" s="20" t="inlineStr">
        <is>
          <t>None</t>
        </is>
      </c>
      <c r="DZ107" s="17" t="n"/>
      <c r="EA107" s="16" t="n"/>
      <c r="EB107" s="20" t="inlineStr">
        <is>
          <t>IC Organic Acids</t>
        </is>
      </c>
      <c r="EC107" s="20" t="inlineStr">
        <is>
          <t>None</t>
        </is>
      </c>
      <c r="ED107" s="17" t="n"/>
      <c r="EE107" s="16" t="n"/>
      <c r="EF107" s="20" t="inlineStr">
        <is>
          <t>IC Organic Acids</t>
        </is>
      </c>
      <c r="EG107" s="20" t="inlineStr">
        <is>
          <t>None</t>
        </is>
      </c>
      <c r="EH107" s="17" t="n"/>
      <c r="EI107" s="16" t="n"/>
      <c r="EJ107" s="20" t="inlineStr">
        <is>
          <t>IC Organic Acids</t>
        </is>
      </c>
      <c r="EK107" s="20" t="inlineStr">
        <is>
          <t>None</t>
        </is>
      </c>
      <c r="EL107" s="17" t="n"/>
      <c r="EM107" s="16" t="n"/>
      <c r="EN107" s="20" t="inlineStr">
        <is>
          <t>IC Organic Acids</t>
        </is>
      </c>
      <c r="EO107" s="20" t="inlineStr">
        <is>
          <t>None</t>
        </is>
      </c>
      <c r="EP107" s="17" t="n"/>
      <c r="EQ107" s="16" t="n"/>
      <c r="ER107" s="20" t="inlineStr">
        <is>
          <t>IC Organic Acids</t>
        </is>
      </c>
      <c r="ES107" s="20" t="inlineStr">
        <is>
          <t>None</t>
        </is>
      </c>
      <c r="ET107" s="17" t="n"/>
      <c r="EU107" s="16" t="n"/>
      <c r="EV107" s="20" t="inlineStr">
        <is>
          <t>LC-MS</t>
        </is>
      </c>
      <c r="EW107" s="20" t="inlineStr">
        <is>
          <t>None</t>
        </is>
      </c>
      <c r="EX107" s="17" t="n"/>
      <c r="EY107" s="21" t="n"/>
      <c r="EZ107">
        <f>CONCATENATE(A107,B107)</f>
        <v/>
      </c>
      <c r="FA107">
        <f>CONCATENATE(SamplesX!A107,SamplesX!B107)</f>
        <v/>
      </c>
      <c r="FC107">
        <f>MATCH(EZ107,FA1:FA1008,0)</f>
        <v/>
      </c>
    </row>
    <row r="108">
      <c r="A108" s="16" t="inlineStr">
        <is>
          <t>BP</t>
        </is>
      </c>
      <c r="B108" s="17" t="inlineStr">
        <is>
          <t>25100</t>
        </is>
      </c>
      <c r="C108" s="10">
        <f>IF(ISNUMBER(FC108),INDIRECT("SamplesX!C"&amp;FC108),IF(ISNUMBER(FD108),INDIRECT("SamplesY!C"&amp;FD108),""))</f>
        <v/>
      </c>
      <c r="D108" s="12">
        <f>IF(ISNUMBER(FC108),INDIRECT("SamplesX!D"&amp;FC108),IF(ISNUMBER(FD108),INDIRECT("SamplesY!D"&amp;FD108),""))</f>
        <v/>
      </c>
      <c r="E108" s="12">
        <f>IF(ISNUMBER(FC108),INDIRECT("SamplesX!E"&amp;FC108),IF(ISNUMBER(FD108),INDIRECT("SamplesY!E"&amp;FD108),""))</f>
        <v/>
      </c>
      <c r="F108" s="11">
        <f>IF(ISNUMBER(FC108),INDIRECT("SamplesX!F"&amp;FC108),IF(ISNUMBER(FD108),INDIRECT("SamplesY!F"&amp;FD108),""))</f>
        <v/>
      </c>
      <c r="G108" s="18">
        <f>IF(ISNUMBER(FC108),INDIRECT("SamplesX!G"&amp;FC108),IF(ISNUMBER(FD108),INDIRECT("SamplesY!G"&amp;FD108),""))</f>
        <v/>
      </c>
      <c r="H108" s="19">
        <f>IF(ISNUMBER(FC108),INDIRECT("SamplesX!H"&amp;FC108),IF(ISNUMBER(FD108),INDIRECT("SamplesY!H"&amp;FD108),""))</f>
        <v/>
      </c>
      <c r="I108" s="16" t="n"/>
      <c r="J108" s="16" t="n"/>
      <c r="K108" s="16" t="n"/>
      <c r="L108" s="20" t="n"/>
      <c r="M108" s="20" t="inlineStr">
        <is>
          <t>None</t>
        </is>
      </c>
      <c r="N108" s="17" t="n"/>
      <c r="O108" s="16" t="n"/>
      <c r="P108" s="20" t="inlineStr">
        <is>
          <t>Shimadzu TOC-L</t>
        </is>
      </c>
      <c r="Q108" s="20" t="inlineStr">
        <is>
          <t>None</t>
        </is>
      </c>
      <c r="R108" s="17" t="n"/>
      <c r="S108" s="16" t="n"/>
      <c r="T108" s="20" t="inlineStr">
        <is>
          <t>Shimadzu TOC-L</t>
        </is>
      </c>
      <c r="U108" s="20" t="inlineStr">
        <is>
          <t>None</t>
        </is>
      </c>
      <c r="V108" s="17" t="n"/>
      <c r="W108" s="16" t="n"/>
      <c r="X108" s="20" t="n"/>
      <c r="Y108" s="20" t="inlineStr">
        <is>
          <t>None</t>
        </is>
      </c>
      <c r="Z108" s="17" t="n"/>
      <c r="AA108" s="16" t="n"/>
      <c r="AB108" s="20" t="n"/>
      <c r="AC108" s="20" t="inlineStr">
        <is>
          <t>None</t>
        </is>
      </c>
      <c r="AD108" s="17" t="n"/>
      <c r="AE108" s="16" t="inlineStr">
        <is>
          <t>161</t>
        </is>
      </c>
      <c r="AF108" s="20" t="inlineStr">
        <is>
          <t>IC Anionen</t>
        </is>
      </c>
      <c r="AG108" s="20" t="inlineStr">
        <is>
          <t>None</t>
        </is>
      </c>
      <c r="AH108" s="17" t="n"/>
      <c r="AI108" s="16" t="n"/>
      <c r="AJ108" s="20" t="n"/>
      <c r="AK108" s="20" t="inlineStr">
        <is>
          <t>None</t>
        </is>
      </c>
      <c r="AL108" s="17" t="n"/>
      <c r="AM108" s="16" t="n"/>
      <c r="AN108" s="20" t="inlineStr">
        <is>
          <t>IC Anionen</t>
        </is>
      </c>
      <c r="AO108" s="20" t="inlineStr">
        <is>
          <t>None</t>
        </is>
      </c>
      <c r="AP108" s="17" t="n"/>
      <c r="AQ108" s="16" t="n"/>
      <c r="AR108" s="20" t="n"/>
      <c r="AS108" s="20" t="inlineStr">
        <is>
          <t>None</t>
        </is>
      </c>
      <c r="AT108" s="17" t="n"/>
      <c r="AU108" s="16" t="inlineStr">
        <is>
          <t>21.5</t>
        </is>
      </c>
      <c r="AV108" s="20" t="inlineStr">
        <is>
          <t>IC Anionen</t>
        </is>
      </c>
      <c r="AW108" s="20" t="inlineStr">
        <is>
          <t>None</t>
        </is>
      </c>
      <c r="AX108" s="17" t="n"/>
      <c r="AY108" s="16" t="inlineStr">
        <is>
          <t>&lt;0.80</t>
        </is>
      </c>
      <c r="AZ108" s="20" t="inlineStr">
        <is>
          <t>IC Anionen</t>
        </is>
      </c>
      <c r="BA108" s="20" t="inlineStr">
        <is>
          <t>None</t>
        </is>
      </c>
      <c r="BB108" s="17" t="n"/>
      <c r="BC108" s="16" t="inlineStr">
        <is>
          <t>113</t>
        </is>
      </c>
      <c r="BD108" s="20" t="inlineStr">
        <is>
          <t>IC Kationen</t>
        </is>
      </c>
      <c r="BE108" s="20" t="inlineStr">
        <is>
          <t>None</t>
        </is>
      </c>
      <c r="BF108" s="17" t="n"/>
      <c r="BG108" s="16" t="inlineStr">
        <is>
          <t>65.8</t>
        </is>
      </c>
      <c r="BH108" s="20" t="inlineStr">
        <is>
          <t>IC Kationen</t>
        </is>
      </c>
      <c r="BI108" s="20" t="inlineStr">
        <is>
          <t>None</t>
        </is>
      </c>
      <c r="BJ108" s="17" t="n"/>
      <c r="BK108" s="16" t="inlineStr">
        <is>
          <t>18.7</t>
        </is>
      </c>
      <c r="BL108" s="20" t="inlineStr">
        <is>
          <t>IC Kationen</t>
        </is>
      </c>
      <c r="BM108" s="20" t="inlineStr">
        <is>
          <t>None</t>
        </is>
      </c>
      <c r="BN108" s="17" t="n"/>
      <c r="BO108" s="16" t="inlineStr">
        <is>
          <t>234</t>
        </is>
      </c>
      <c r="BP108" s="20" t="inlineStr">
        <is>
          <t>IC Kationen</t>
        </is>
      </c>
      <c r="BQ108" s="20" t="inlineStr">
        <is>
          <t>None</t>
        </is>
      </c>
      <c r="BR108" s="17" t="n"/>
      <c r="BS108" s="16" t="inlineStr">
        <is>
          <t>30.2</t>
        </is>
      </c>
      <c r="BT108" s="20" t="inlineStr">
        <is>
          <t>IC Kationen</t>
        </is>
      </c>
      <c r="BU108" s="20" t="inlineStr">
        <is>
          <t>None</t>
        </is>
      </c>
      <c r="BV108" s="17" t="n"/>
      <c r="BW108" s="16" t="n"/>
      <c r="BX108" s="20" t="n"/>
      <c r="BY108" s="20" t="inlineStr">
        <is>
          <t>None</t>
        </is>
      </c>
      <c r="BZ108" s="17" t="n"/>
      <c r="CA108" s="16" t="n"/>
      <c r="CB108" s="20" t="n"/>
      <c r="CC108" s="20" t="inlineStr">
        <is>
          <t>None</t>
        </is>
      </c>
      <c r="CD108" s="17" t="n"/>
      <c r="CE108" s="16" t="n"/>
      <c r="CF108" s="20" t="n"/>
      <c r="CG108" s="20" t="inlineStr">
        <is>
          <t>None</t>
        </is>
      </c>
      <c r="CH108" s="17" t="n"/>
      <c r="CI108" s="16" t="n"/>
      <c r="CJ108" s="20" t="n"/>
      <c r="CK108" s="20" t="inlineStr">
        <is>
          <t>None</t>
        </is>
      </c>
      <c r="CL108" s="17" t="n"/>
      <c r="CM108" s="16" t="n"/>
      <c r="CN108" s="20" t="inlineStr">
        <is>
          <t>SOP 45-34</t>
        </is>
      </c>
      <c r="CO108" s="20" t="inlineStr">
        <is>
          <t>None</t>
        </is>
      </c>
      <c r="CP108" s="17" t="n"/>
      <c r="CQ108" s="16" t="n"/>
      <c r="CR108" s="20" t="n"/>
      <c r="CS108" s="20" t="inlineStr">
        <is>
          <t>None</t>
        </is>
      </c>
      <c r="CT108" s="17" t="n"/>
      <c r="CU108" s="16" t="n"/>
      <c r="CV108" s="20" t="n"/>
      <c r="CW108" s="20" t="inlineStr">
        <is>
          <t>None</t>
        </is>
      </c>
      <c r="CX108" s="17" t="n"/>
      <c r="CY108" s="16" t="n"/>
      <c r="CZ108" s="20" t="inlineStr">
        <is>
          <t>WTW Multimeter 3430 with FDO 925</t>
        </is>
      </c>
      <c r="DA108" s="20" t="inlineStr">
        <is>
          <t>None</t>
        </is>
      </c>
      <c r="DB108" s="17" t="n"/>
      <c r="DC108" s="16" t="n"/>
      <c r="DD108" s="20" t="n"/>
      <c r="DE108" s="20" t="inlineStr">
        <is>
          <t>None</t>
        </is>
      </c>
      <c r="DF108" s="17" t="n"/>
      <c r="DG108" s="16" t="n"/>
      <c r="DH108" s="20" t="inlineStr">
        <is>
          <t>SOP 45-09</t>
        </is>
      </c>
      <c r="DI108" s="20" t="inlineStr">
        <is>
          <t>None</t>
        </is>
      </c>
      <c r="DJ108" s="17" t="n"/>
      <c r="DK108" s="16" t="n"/>
      <c r="DL108" s="20" t="inlineStr">
        <is>
          <t>SOP 45-09 (SOP muss noch angepasst werden für VSS)</t>
        </is>
      </c>
      <c r="DM108" s="20" t="inlineStr">
        <is>
          <t>None</t>
        </is>
      </c>
      <c r="DN108" s="17" t="n"/>
      <c r="DO108" s="16" t="n"/>
      <c r="DP108" s="20" t="inlineStr">
        <is>
          <t>IC Organic Acids</t>
        </is>
      </c>
      <c r="DQ108" s="20" t="inlineStr">
        <is>
          <t>None</t>
        </is>
      </c>
      <c r="DR108" s="17" t="n"/>
      <c r="DS108" s="16" t="n"/>
      <c r="DT108" s="20" t="inlineStr">
        <is>
          <t>IC Organic Acids</t>
        </is>
      </c>
      <c r="DU108" s="20" t="inlineStr">
        <is>
          <t>None</t>
        </is>
      </c>
      <c r="DV108" s="17" t="n"/>
      <c r="DW108" s="16" t="n"/>
      <c r="DX108" s="20" t="inlineStr">
        <is>
          <t>IC Organic Acids</t>
        </is>
      </c>
      <c r="DY108" s="20" t="inlineStr">
        <is>
          <t>None</t>
        </is>
      </c>
      <c r="DZ108" s="17" t="n"/>
      <c r="EA108" s="16" t="n"/>
      <c r="EB108" s="20" t="inlineStr">
        <is>
          <t>IC Organic Acids</t>
        </is>
      </c>
      <c r="EC108" s="20" t="inlineStr">
        <is>
          <t>None</t>
        </is>
      </c>
      <c r="ED108" s="17" t="n"/>
      <c r="EE108" s="16" t="n"/>
      <c r="EF108" s="20" t="inlineStr">
        <is>
          <t>IC Organic Acids</t>
        </is>
      </c>
      <c r="EG108" s="20" t="inlineStr">
        <is>
          <t>None</t>
        </is>
      </c>
      <c r="EH108" s="17" t="n"/>
      <c r="EI108" s="16" t="n"/>
      <c r="EJ108" s="20" t="inlineStr">
        <is>
          <t>IC Organic Acids</t>
        </is>
      </c>
      <c r="EK108" s="20" t="inlineStr">
        <is>
          <t>None</t>
        </is>
      </c>
      <c r="EL108" s="17" t="n"/>
      <c r="EM108" s="16" t="n"/>
      <c r="EN108" s="20" t="inlineStr">
        <is>
          <t>IC Organic Acids</t>
        </is>
      </c>
      <c r="EO108" s="20" t="inlineStr">
        <is>
          <t>None</t>
        </is>
      </c>
      <c r="EP108" s="17" t="n"/>
      <c r="EQ108" s="16" t="n"/>
      <c r="ER108" s="20" t="inlineStr">
        <is>
          <t>IC Organic Acids</t>
        </is>
      </c>
      <c r="ES108" s="20" t="inlineStr">
        <is>
          <t>None</t>
        </is>
      </c>
      <c r="ET108" s="17" t="n"/>
      <c r="EU108" s="16" t="n"/>
      <c r="EV108" s="20" t="inlineStr">
        <is>
          <t>LC-MS</t>
        </is>
      </c>
      <c r="EW108" s="20" t="inlineStr">
        <is>
          <t>None</t>
        </is>
      </c>
      <c r="EX108" s="17" t="n"/>
      <c r="EY108" s="21" t="n"/>
      <c r="EZ108">
        <f>CONCATENATE(A108,B108)</f>
        <v/>
      </c>
      <c r="FA108">
        <f>CONCATENATE(SamplesX!A108,SamplesX!B108)</f>
        <v/>
      </c>
      <c r="FC108">
        <f>MATCH(EZ108,FA1:FA1008,0)</f>
        <v/>
      </c>
    </row>
    <row r="109">
      <c r="A109" s="16" t="inlineStr">
        <is>
          <t>BP</t>
        </is>
      </c>
      <c r="B109" s="17" t="inlineStr">
        <is>
          <t>25101</t>
        </is>
      </c>
      <c r="C109" s="10">
        <f>IF(ISNUMBER(FC109),INDIRECT("SamplesX!C"&amp;FC109),IF(ISNUMBER(FD109),INDIRECT("SamplesY!C"&amp;FD109),""))</f>
        <v/>
      </c>
      <c r="D109" s="12">
        <f>IF(ISNUMBER(FC109),INDIRECT("SamplesX!D"&amp;FC109),IF(ISNUMBER(FD109),INDIRECT("SamplesY!D"&amp;FD109),""))</f>
        <v/>
      </c>
      <c r="E109" s="12">
        <f>IF(ISNUMBER(FC109),INDIRECT("SamplesX!E"&amp;FC109),IF(ISNUMBER(FD109),INDIRECT("SamplesY!E"&amp;FD109),""))</f>
        <v/>
      </c>
      <c r="F109" s="11">
        <f>IF(ISNUMBER(FC109),INDIRECT("SamplesX!F"&amp;FC109),IF(ISNUMBER(FD109),INDIRECT("SamplesY!F"&amp;FD109),""))</f>
        <v/>
      </c>
      <c r="G109" s="18">
        <f>IF(ISNUMBER(FC109),INDIRECT("SamplesX!G"&amp;FC109),IF(ISNUMBER(FD109),INDIRECT("SamplesY!G"&amp;FD109),""))</f>
        <v/>
      </c>
      <c r="H109" s="19">
        <f>IF(ISNUMBER(FC109),INDIRECT("SamplesX!H"&amp;FC109),IF(ISNUMBER(FD109),INDIRECT("SamplesY!H"&amp;FD109),""))</f>
        <v/>
      </c>
      <c r="I109" s="16" t="n"/>
      <c r="J109" s="16" t="n"/>
      <c r="K109" s="16" t="n"/>
      <c r="L109" s="20" t="n"/>
      <c r="M109" s="20" t="inlineStr">
        <is>
          <t>None</t>
        </is>
      </c>
      <c r="N109" s="17" t="n"/>
      <c r="O109" s="16" t="n"/>
      <c r="P109" s="20" t="inlineStr">
        <is>
          <t>Shimadzu TOC-L</t>
        </is>
      </c>
      <c r="Q109" s="20" t="inlineStr">
        <is>
          <t>None</t>
        </is>
      </c>
      <c r="R109" s="17" t="n"/>
      <c r="S109" s="16" t="n"/>
      <c r="T109" s="20" t="inlineStr">
        <is>
          <t>Shimadzu TOC-L</t>
        </is>
      </c>
      <c r="U109" s="20" t="inlineStr">
        <is>
          <t>None</t>
        </is>
      </c>
      <c r="V109" s="17" t="n"/>
      <c r="W109" s="16" t="n"/>
      <c r="X109" s="20" t="n"/>
      <c r="Y109" s="20" t="inlineStr">
        <is>
          <t>None</t>
        </is>
      </c>
      <c r="Z109" s="17" t="n"/>
      <c r="AA109" s="16" t="n"/>
      <c r="AB109" s="20" t="n"/>
      <c r="AC109" s="20" t="inlineStr">
        <is>
          <t>None</t>
        </is>
      </c>
      <c r="AD109" s="17" t="n"/>
      <c r="AE109" s="16" t="inlineStr">
        <is>
          <t>411</t>
        </is>
      </c>
      <c r="AF109" s="20" t="inlineStr">
        <is>
          <t>IC Anionen</t>
        </is>
      </c>
      <c r="AG109" s="20" t="inlineStr">
        <is>
          <t>None</t>
        </is>
      </c>
      <c r="AH109" s="17" t="n"/>
      <c r="AI109" s="16" t="n"/>
      <c r="AJ109" s="20" t="n"/>
      <c r="AK109" s="20" t="inlineStr">
        <is>
          <t>None</t>
        </is>
      </c>
      <c r="AL109" s="17" t="n"/>
      <c r="AM109" s="16" t="n"/>
      <c r="AN109" s="20" t="inlineStr">
        <is>
          <t>IC Anionen</t>
        </is>
      </c>
      <c r="AO109" s="20" t="inlineStr">
        <is>
          <t>None</t>
        </is>
      </c>
      <c r="AP109" s="17" t="n"/>
      <c r="AQ109" s="16" t="n"/>
      <c r="AR109" s="20" t="n"/>
      <c r="AS109" s="20" t="inlineStr">
        <is>
          <t>None</t>
        </is>
      </c>
      <c r="AT109" s="17" t="n"/>
      <c r="AU109" s="16" t="inlineStr">
        <is>
          <t>0.43</t>
        </is>
      </c>
      <c r="AV109" s="20" t="inlineStr">
        <is>
          <t>IC Anionen</t>
        </is>
      </c>
      <c r="AW109" s="20" t="inlineStr">
        <is>
          <t>None</t>
        </is>
      </c>
      <c r="AX109" s="17" t="n"/>
      <c r="AY109" s="16" t="inlineStr">
        <is>
          <t>1.50</t>
        </is>
      </c>
      <c r="AZ109" s="20" t="inlineStr">
        <is>
          <t>IC Anionen</t>
        </is>
      </c>
      <c r="BA109" s="20" t="inlineStr">
        <is>
          <t>None</t>
        </is>
      </c>
      <c r="BB109" s="17" t="n"/>
      <c r="BC109" s="16" t="inlineStr">
        <is>
          <t>100</t>
        </is>
      </c>
      <c r="BD109" s="20" t="inlineStr">
        <is>
          <t>IC Kationen</t>
        </is>
      </c>
      <c r="BE109" s="20" t="inlineStr">
        <is>
          <t>None</t>
        </is>
      </c>
      <c r="BF109" s="17" t="n"/>
      <c r="BG109" s="16" t="inlineStr">
        <is>
          <t>39.8</t>
        </is>
      </c>
      <c r="BH109" s="20" t="inlineStr">
        <is>
          <t>IC Kationen</t>
        </is>
      </c>
      <c r="BI109" s="20" t="inlineStr">
        <is>
          <t>None</t>
        </is>
      </c>
      <c r="BJ109" s="17" t="n"/>
      <c r="BK109" s="16" t="inlineStr">
        <is>
          <t>16.8</t>
        </is>
      </c>
      <c r="BL109" s="20" t="inlineStr">
        <is>
          <t>IC Kationen</t>
        </is>
      </c>
      <c r="BM109" s="20" t="inlineStr">
        <is>
          <t>None</t>
        </is>
      </c>
      <c r="BN109" s="17" t="n"/>
      <c r="BO109" s="16" t="inlineStr">
        <is>
          <t>216</t>
        </is>
      </c>
      <c r="BP109" s="20" t="inlineStr">
        <is>
          <t>IC Kationen</t>
        </is>
      </c>
      <c r="BQ109" s="20" t="inlineStr">
        <is>
          <t>None</t>
        </is>
      </c>
      <c r="BR109" s="17" t="n"/>
      <c r="BS109" s="16" t="inlineStr">
        <is>
          <t>25.5</t>
        </is>
      </c>
      <c r="BT109" s="20" t="inlineStr">
        <is>
          <t>IC Kationen</t>
        </is>
      </c>
      <c r="BU109" s="20" t="inlineStr">
        <is>
          <t>None</t>
        </is>
      </c>
      <c r="BV109" s="17" t="n"/>
      <c r="BW109" s="16" t="n"/>
      <c r="BX109" s="20" t="n"/>
      <c r="BY109" s="20" t="inlineStr">
        <is>
          <t>None</t>
        </is>
      </c>
      <c r="BZ109" s="17" t="n"/>
      <c r="CA109" s="16" t="n"/>
      <c r="CB109" s="20" t="n"/>
      <c r="CC109" s="20" t="inlineStr">
        <is>
          <t>None</t>
        </is>
      </c>
      <c r="CD109" s="17" t="n"/>
      <c r="CE109" s="16" t="n"/>
      <c r="CF109" s="20" t="n"/>
      <c r="CG109" s="20" t="inlineStr">
        <is>
          <t>None</t>
        </is>
      </c>
      <c r="CH109" s="17" t="n"/>
      <c r="CI109" s="16" t="n"/>
      <c r="CJ109" s="20" t="n"/>
      <c r="CK109" s="20" t="inlineStr">
        <is>
          <t>None</t>
        </is>
      </c>
      <c r="CL109" s="17" t="n"/>
      <c r="CM109" s="16" t="n"/>
      <c r="CN109" s="20" t="inlineStr">
        <is>
          <t>SOP 45-34</t>
        </is>
      </c>
      <c r="CO109" s="20" t="inlineStr">
        <is>
          <t>None</t>
        </is>
      </c>
      <c r="CP109" s="17" t="n"/>
      <c r="CQ109" s="16" t="n"/>
      <c r="CR109" s="20" t="n"/>
      <c r="CS109" s="20" t="inlineStr">
        <is>
          <t>None</t>
        </is>
      </c>
      <c r="CT109" s="17" t="n"/>
      <c r="CU109" s="16" t="n"/>
      <c r="CV109" s="20" t="n"/>
      <c r="CW109" s="20" t="inlineStr">
        <is>
          <t>None</t>
        </is>
      </c>
      <c r="CX109" s="17" t="n"/>
      <c r="CY109" s="16" t="n"/>
      <c r="CZ109" s="20" t="inlineStr">
        <is>
          <t>WTW Multimeter 3430 with FDO 925</t>
        </is>
      </c>
      <c r="DA109" s="20" t="inlineStr">
        <is>
          <t>None</t>
        </is>
      </c>
      <c r="DB109" s="17" t="n"/>
      <c r="DC109" s="16" t="n"/>
      <c r="DD109" s="20" t="n"/>
      <c r="DE109" s="20" t="inlineStr">
        <is>
          <t>None</t>
        </is>
      </c>
      <c r="DF109" s="17" t="n"/>
      <c r="DG109" s="16" t="n"/>
      <c r="DH109" s="20" t="inlineStr">
        <is>
          <t>SOP 45-09</t>
        </is>
      </c>
      <c r="DI109" s="20" t="inlineStr">
        <is>
          <t>None</t>
        </is>
      </c>
      <c r="DJ109" s="17" t="n"/>
      <c r="DK109" s="16" t="n"/>
      <c r="DL109" s="20" t="inlineStr">
        <is>
          <t>SOP 45-09 (SOP muss noch angepasst werden für VSS)</t>
        </is>
      </c>
      <c r="DM109" s="20" t="inlineStr">
        <is>
          <t>None</t>
        </is>
      </c>
      <c r="DN109" s="17" t="n"/>
      <c r="DO109" s="16" t="n"/>
      <c r="DP109" s="20" t="inlineStr">
        <is>
          <t>IC Organic Acids</t>
        </is>
      </c>
      <c r="DQ109" s="20" t="inlineStr">
        <is>
          <t>None</t>
        </is>
      </c>
      <c r="DR109" s="17" t="n"/>
      <c r="DS109" s="16" t="n"/>
      <c r="DT109" s="20" t="inlineStr">
        <is>
          <t>IC Organic Acids</t>
        </is>
      </c>
      <c r="DU109" s="20" t="inlineStr">
        <is>
          <t>None</t>
        </is>
      </c>
      <c r="DV109" s="17" t="n"/>
      <c r="DW109" s="16" t="n"/>
      <c r="DX109" s="20" t="inlineStr">
        <is>
          <t>IC Organic Acids</t>
        </is>
      </c>
      <c r="DY109" s="20" t="inlineStr">
        <is>
          <t>None</t>
        </is>
      </c>
      <c r="DZ109" s="17" t="n"/>
      <c r="EA109" s="16" t="n"/>
      <c r="EB109" s="20" t="inlineStr">
        <is>
          <t>IC Organic Acids</t>
        </is>
      </c>
      <c r="EC109" s="20" t="inlineStr">
        <is>
          <t>None</t>
        </is>
      </c>
      <c r="ED109" s="17" t="n"/>
      <c r="EE109" s="16" t="n"/>
      <c r="EF109" s="20" t="inlineStr">
        <is>
          <t>IC Organic Acids</t>
        </is>
      </c>
      <c r="EG109" s="20" t="inlineStr">
        <is>
          <t>None</t>
        </is>
      </c>
      <c r="EH109" s="17" t="n"/>
      <c r="EI109" s="16" t="n"/>
      <c r="EJ109" s="20" t="inlineStr">
        <is>
          <t>IC Organic Acids</t>
        </is>
      </c>
      <c r="EK109" s="20" t="inlineStr">
        <is>
          <t>None</t>
        </is>
      </c>
      <c r="EL109" s="17" t="n"/>
      <c r="EM109" s="16" t="n"/>
      <c r="EN109" s="20" t="inlineStr">
        <is>
          <t>IC Organic Acids</t>
        </is>
      </c>
      <c r="EO109" s="20" t="inlineStr">
        <is>
          <t>None</t>
        </is>
      </c>
      <c r="EP109" s="17" t="n"/>
      <c r="EQ109" s="16" t="n"/>
      <c r="ER109" s="20" t="inlineStr">
        <is>
          <t>IC Organic Acids</t>
        </is>
      </c>
      <c r="ES109" s="20" t="inlineStr">
        <is>
          <t>None</t>
        </is>
      </c>
      <c r="ET109" s="17" t="n"/>
      <c r="EU109" s="16" t="n"/>
      <c r="EV109" s="20" t="inlineStr">
        <is>
          <t>LC-MS</t>
        </is>
      </c>
      <c r="EW109" s="20" t="inlineStr">
        <is>
          <t>None</t>
        </is>
      </c>
      <c r="EX109" s="17" t="n"/>
      <c r="EY109" s="21" t="n"/>
      <c r="EZ109">
        <f>CONCATENATE(A109,B109)</f>
        <v/>
      </c>
      <c r="FA109">
        <f>CONCATENATE(SamplesX!A109,SamplesX!B109)</f>
        <v/>
      </c>
      <c r="FC109">
        <f>MATCH(EZ109,FA1:FA1008,0)</f>
        <v/>
      </c>
    </row>
    <row r="110">
      <c r="A110" s="16" t="inlineStr">
        <is>
          <t>BP</t>
        </is>
      </c>
      <c r="B110" s="17" t="inlineStr">
        <is>
          <t>25102</t>
        </is>
      </c>
      <c r="C110" s="10">
        <f>IF(ISNUMBER(FC110),INDIRECT("SamplesX!C"&amp;FC110),IF(ISNUMBER(FD110),INDIRECT("SamplesY!C"&amp;FD110),""))</f>
        <v/>
      </c>
      <c r="D110" s="12">
        <f>IF(ISNUMBER(FC110),INDIRECT("SamplesX!D"&amp;FC110),IF(ISNUMBER(FD110),INDIRECT("SamplesY!D"&amp;FD110),""))</f>
        <v/>
      </c>
      <c r="E110" s="12">
        <f>IF(ISNUMBER(FC110),INDIRECT("SamplesX!E"&amp;FC110),IF(ISNUMBER(FD110),INDIRECT("SamplesY!E"&amp;FD110),""))</f>
        <v/>
      </c>
      <c r="F110" s="11">
        <f>IF(ISNUMBER(FC110),INDIRECT("SamplesX!F"&amp;FC110),IF(ISNUMBER(FD110),INDIRECT("SamplesY!F"&amp;FD110),""))</f>
        <v/>
      </c>
      <c r="G110" s="18">
        <f>IF(ISNUMBER(FC110),INDIRECT("SamplesX!G"&amp;FC110),IF(ISNUMBER(FD110),INDIRECT("SamplesY!G"&amp;FD110),""))</f>
        <v/>
      </c>
      <c r="H110" s="19">
        <f>IF(ISNUMBER(FC110),INDIRECT("SamplesX!H"&amp;FC110),IF(ISNUMBER(FD110),INDIRECT("SamplesY!H"&amp;FD110),""))</f>
        <v/>
      </c>
      <c r="I110" s="16" t="n"/>
      <c r="J110" s="16" t="n"/>
      <c r="K110" s="16" t="n"/>
      <c r="L110" s="20" t="n"/>
      <c r="M110" s="20" t="inlineStr">
        <is>
          <t>None</t>
        </is>
      </c>
      <c r="N110" s="17" t="n"/>
      <c r="O110" s="16" t="n"/>
      <c r="P110" s="20" t="inlineStr">
        <is>
          <t>Shimadzu TOC-L</t>
        </is>
      </c>
      <c r="Q110" s="20" t="inlineStr">
        <is>
          <t>None</t>
        </is>
      </c>
      <c r="R110" s="17" t="n"/>
      <c r="S110" s="16" t="n"/>
      <c r="T110" s="20" t="inlineStr">
        <is>
          <t>Shimadzu TOC-L</t>
        </is>
      </c>
      <c r="U110" s="20" t="inlineStr">
        <is>
          <t>None</t>
        </is>
      </c>
      <c r="V110" s="17" t="n"/>
      <c r="W110" s="16" t="n"/>
      <c r="X110" s="20" t="n"/>
      <c r="Y110" s="20" t="inlineStr">
        <is>
          <t>None</t>
        </is>
      </c>
      <c r="Z110" s="17" t="n"/>
      <c r="AA110" s="16" t="n"/>
      <c r="AB110" s="20" t="n"/>
      <c r="AC110" s="20" t="inlineStr">
        <is>
          <t>None</t>
        </is>
      </c>
      <c r="AD110" s="17" t="n"/>
      <c r="AE110" s="16" t="inlineStr">
        <is>
          <t>353</t>
        </is>
      </c>
      <c r="AF110" s="20" t="inlineStr">
        <is>
          <t>IC Anionen</t>
        </is>
      </c>
      <c r="AG110" s="20" t="inlineStr">
        <is>
          <t>None</t>
        </is>
      </c>
      <c r="AH110" s="17" t="n"/>
      <c r="AI110" s="16" t="n"/>
      <c r="AJ110" s="20" t="n"/>
      <c r="AK110" s="20" t="inlineStr">
        <is>
          <t>None</t>
        </is>
      </c>
      <c r="AL110" s="17" t="n"/>
      <c r="AM110" s="16" t="n"/>
      <c r="AN110" s="20" t="inlineStr">
        <is>
          <t>IC Anionen</t>
        </is>
      </c>
      <c r="AO110" s="20" t="inlineStr">
        <is>
          <t>None</t>
        </is>
      </c>
      <c r="AP110" s="17" t="n"/>
      <c r="AQ110" s="16" t="n"/>
      <c r="AR110" s="20" t="n"/>
      <c r="AS110" s="20" t="inlineStr">
        <is>
          <t>None</t>
        </is>
      </c>
      <c r="AT110" s="17" t="n"/>
      <c r="AU110" s="16" t="inlineStr">
        <is>
          <t>&lt;0.13</t>
        </is>
      </c>
      <c r="AV110" s="20" t="inlineStr">
        <is>
          <t>IC Anionen</t>
        </is>
      </c>
      <c r="AW110" s="20" t="inlineStr">
        <is>
          <t>None</t>
        </is>
      </c>
      <c r="AX110" s="17" t="n"/>
      <c r="AY110" s="16" t="inlineStr">
        <is>
          <t>&lt;0.80</t>
        </is>
      </c>
      <c r="AZ110" s="20" t="inlineStr">
        <is>
          <t>IC Anionen</t>
        </is>
      </c>
      <c r="BA110" s="20" t="inlineStr">
        <is>
          <t>None</t>
        </is>
      </c>
      <c r="BB110" s="17" t="n"/>
      <c r="BC110" s="16" t="inlineStr">
        <is>
          <t>104</t>
        </is>
      </c>
      <c r="BD110" s="20" t="inlineStr">
        <is>
          <t>IC Kationen</t>
        </is>
      </c>
      <c r="BE110" s="20" t="inlineStr">
        <is>
          <t>None</t>
        </is>
      </c>
      <c r="BF110" s="17" t="n"/>
      <c r="BG110" s="16" t="inlineStr">
        <is>
          <t>&lt;1.60</t>
        </is>
      </c>
      <c r="BH110" s="20" t="inlineStr">
        <is>
          <t>IC Kationen</t>
        </is>
      </c>
      <c r="BI110" s="20" t="inlineStr">
        <is>
          <t>None</t>
        </is>
      </c>
      <c r="BJ110" s="17" t="n"/>
      <c r="BK110" s="16" t="inlineStr">
        <is>
          <t>11.8</t>
        </is>
      </c>
      <c r="BL110" s="20" t="inlineStr">
        <is>
          <t>IC Kationen</t>
        </is>
      </c>
      <c r="BM110" s="20" t="inlineStr">
        <is>
          <t>None</t>
        </is>
      </c>
      <c r="BN110" s="17" t="n"/>
      <c r="BO110" s="16" t="inlineStr">
        <is>
          <t>181</t>
        </is>
      </c>
      <c r="BP110" s="20" t="inlineStr">
        <is>
          <t>IC Kationen</t>
        </is>
      </c>
      <c r="BQ110" s="20" t="inlineStr">
        <is>
          <t>None</t>
        </is>
      </c>
      <c r="BR110" s="17" t="n"/>
      <c r="BS110" s="16" t="inlineStr">
        <is>
          <t>25.6</t>
        </is>
      </c>
      <c r="BT110" s="20" t="inlineStr">
        <is>
          <t>IC Kationen</t>
        </is>
      </c>
      <c r="BU110" s="20" t="inlineStr">
        <is>
          <t>None</t>
        </is>
      </c>
      <c r="BV110" s="17" t="n"/>
      <c r="BW110" s="16" t="n"/>
      <c r="BX110" s="20" t="n"/>
      <c r="BY110" s="20" t="inlineStr">
        <is>
          <t>None</t>
        </is>
      </c>
      <c r="BZ110" s="17" t="n"/>
      <c r="CA110" s="16" t="n"/>
      <c r="CB110" s="20" t="n"/>
      <c r="CC110" s="20" t="inlineStr">
        <is>
          <t>None</t>
        </is>
      </c>
      <c r="CD110" s="17" t="n"/>
      <c r="CE110" s="16" t="n"/>
      <c r="CF110" s="20" t="n"/>
      <c r="CG110" s="20" t="inlineStr">
        <is>
          <t>None</t>
        </is>
      </c>
      <c r="CH110" s="17" t="n"/>
      <c r="CI110" s="16" t="n"/>
      <c r="CJ110" s="20" t="n"/>
      <c r="CK110" s="20" t="inlineStr">
        <is>
          <t>None</t>
        </is>
      </c>
      <c r="CL110" s="17" t="n"/>
      <c r="CM110" s="16" t="n"/>
      <c r="CN110" s="20" t="inlineStr">
        <is>
          <t>SOP 45-34</t>
        </is>
      </c>
      <c r="CO110" s="20" t="inlineStr">
        <is>
          <t>None</t>
        </is>
      </c>
      <c r="CP110" s="17" t="n"/>
      <c r="CQ110" s="16" t="n"/>
      <c r="CR110" s="20" t="n"/>
      <c r="CS110" s="20" t="inlineStr">
        <is>
          <t>None</t>
        </is>
      </c>
      <c r="CT110" s="17" t="n"/>
      <c r="CU110" s="16" t="n"/>
      <c r="CV110" s="20" t="n"/>
      <c r="CW110" s="20" t="inlineStr">
        <is>
          <t>None</t>
        </is>
      </c>
      <c r="CX110" s="17" t="n"/>
      <c r="CY110" s="16" t="n"/>
      <c r="CZ110" s="20" t="inlineStr">
        <is>
          <t>WTW Multimeter 3430 with FDO 925</t>
        </is>
      </c>
      <c r="DA110" s="20" t="inlineStr">
        <is>
          <t>None</t>
        </is>
      </c>
      <c r="DB110" s="17" t="n"/>
      <c r="DC110" s="16" t="n"/>
      <c r="DD110" s="20" t="n"/>
      <c r="DE110" s="20" t="inlineStr">
        <is>
          <t>None</t>
        </is>
      </c>
      <c r="DF110" s="17" t="n"/>
      <c r="DG110" s="16" t="n"/>
      <c r="DH110" s="20" t="inlineStr">
        <is>
          <t>SOP 45-09</t>
        </is>
      </c>
      <c r="DI110" s="20" t="inlineStr">
        <is>
          <t>None</t>
        </is>
      </c>
      <c r="DJ110" s="17" t="n"/>
      <c r="DK110" s="16" t="n"/>
      <c r="DL110" s="20" t="inlineStr">
        <is>
          <t>SOP 45-09 (SOP muss noch angepasst werden für VSS)</t>
        </is>
      </c>
      <c r="DM110" s="20" t="inlineStr">
        <is>
          <t>None</t>
        </is>
      </c>
      <c r="DN110" s="17" t="n"/>
      <c r="DO110" s="16" t="n"/>
      <c r="DP110" s="20" t="inlineStr">
        <is>
          <t>IC Organic Acids</t>
        </is>
      </c>
      <c r="DQ110" s="20" t="inlineStr">
        <is>
          <t>None</t>
        </is>
      </c>
      <c r="DR110" s="17" t="n"/>
      <c r="DS110" s="16" t="n"/>
      <c r="DT110" s="20" t="inlineStr">
        <is>
          <t>IC Organic Acids</t>
        </is>
      </c>
      <c r="DU110" s="20" t="inlineStr">
        <is>
          <t>None</t>
        </is>
      </c>
      <c r="DV110" s="17" t="n"/>
      <c r="DW110" s="16" t="n"/>
      <c r="DX110" s="20" t="inlineStr">
        <is>
          <t>IC Organic Acids</t>
        </is>
      </c>
      <c r="DY110" s="20" t="inlineStr">
        <is>
          <t>None</t>
        </is>
      </c>
      <c r="DZ110" s="17" t="n"/>
      <c r="EA110" s="16" t="n"/>
      <c r="EB110" s="20" t="inlineStr">
        <is>
          <t>IC Organic Acids</t>
        </is>
      </c>
      <c r="EC110" s="20" t="inlineStr">
        <is>
          <t>None</t>
        </is>
      </c>
      <c r="ED110" s="17" t="n"/>
      <c r="EE110" s="16" t="n"/>
      <c r="EF110" s="20" t="inlineStr">
        <is>
          <t>IC Organic Acids</t>
        </is>
      </c>
      <c r="EG110" s="20" t="inlineStr">
        <is>
          <t>None</t>
        </is>
      </c>
      <c r="EH110" s="17" t="n"/>
      <c r="EI110" s="16" t="n"/>
      <c r="EJ110" s="20" t="inlineStr">
        <is>
          <t>IC Organic Acids</t>
        </is>
      </c>
      <c r="EK110" s="20" t="inlineStr">
        <is>
          <t>None</t>
        </is>
      </c>
      <c r="EL110" s="17" t="n"/>
      <c r="EM110" s="16" t="n"/>
      <c r="EN110" s="20" t="inlineStr">
        <is>
          <t>IC Organic Acids</t>
        </is>
      </c>
      <c r="EO110" s="20" t="inlineStr">
        <is>
          <t>None</t>
        </is>
      </c>
      <c r="EP110" s="17" t="n"/>
      <c r="EQ110" s="16" t="n"/>
      <c r="ER110" s="20" t="inlineStr">
        <is>
          <t>IC Organic Acids</t>
        </is>
      </c>
      <c r="ES110" s="20" t="inlineStr">
        <is>
          <t>None</t>
        </is>
      </c>
      <c r="ET110" s="17" t="n"/>
      <c r="EU110" s="16" t="n"/>
      <c r="EV110" s="20" t="inlineStr">
        <is>
          <t>LC-MS</t>
        </is>
      </c>
      <c r="EW110" s="20" t="inlineStr">
        <is>
          <t>None</t>
        </is>
      </c>
      <c r="EX110" s="17" t="n"/>
      <c r="EY110" s="21" t="n"/>
      <c r="EZ110">
        <f>CONCATENATE(A110,B110)</f>
        <v/>
      </c>
      <c r="FA110">
        <f>CONCATENATE(SamplesX!A110,SamplesX!B110)</f>
        <v/>
      </c>
      <c r="FC110">
        <f>MATCH(EZ110,FA1:FA1008,0)</f>
        <v/>
      </c>
    </row>
    <row r="111">
      <c r="A111" s="16" t="inlineStr">
        <is>
          <t>BP</t>
        </is>
      </c>
      <c r="B111" s="17" t="inlineStr">
        <is>
          <t>25103</t>
        </is>
      </c>
      <c r="C111" s="10">
        <f>IF(ISNUMBER(FC111),INDIRECT("SamplesX!C"&amp;FC111),IF(ISNUMBER(FD111),INDIRECT("SamplesY!C"&amp;FD111),""))</f>
        <v/>
      </c>
      <c r="D111" s="12">
        <f>IF(ISNUMBER(FC111),INDIRECT("SamplesX!D"&amp;FC111),IF(ISNUMBER(FD111),INDIRECT("SamplesY!D"&amp;FD111),""))</f>
        <v/>
      </c>
      <c r="E111" s="12">
        <f>IF(ISNUMBER(FC111),INDIRECT("SamplesX!E"&amp;FC111),IF(ISNUMBER(FD111),INDIRECT("SamplesY!E"&amp;FD111),""))</f>
        <v/>
      </c>
      <c r="F111" s="11">
        <f>IF(ISNUMBER(FC111),INDIRECT("SamplesX!F"&amp;FC111),IF(ISNUMBER(FD111),INDIRECT("SamplesY!F"&amp;FD111),""))</f>
        <v/>
      </c>
      <c r="G111" s="18">
        <f>IF(ISNUMBER(FC111),INDIRECT("SamplesX!G"&amp;FC111),IF(ISNUMBER(FD111),INDIRECT("SamplesY!G"&amp;FD111),""))</f>
        <v/>
      </c>
      <c r="H111" s="19">
        <f>IF(ISNUMBER(FC111),INDIRECT("SamplesX!H"&amp;FC111),IF(ISNUMBER(FD111),INDIRECT("SamplesY!H"&amp;FD111),""))</f>
        <v/>
      </c>
      <c r="I111" s="16" t="n"/>
      <c r="J111" s="16" t="n"/>
      <c r="K111" s="16" t="n"/>
      <c r="L111" s="20" t="n"/>
      <c r="M111" s="20" t="inlineStr">
        <is>
          <t>None</t>
        </is>
      </c>
      <c r="N111" s="17" t="n"/>
      <c r="O111" s="16" t="n"/>
      <c r="P111" s="20" t="inlineStr">
        <is>
          <t>Shimadzu TOC-L</t>
        </is>
      </c>
      <c r="Q111" s="20" t="inlineStr">
        <is>
          <t>None</t>
        </is>
      </c>
      <c r="R111" s="17" t="n"/>
      <c r="S111" s="16" t="n"/>
      <c r="T111" s="20" t="inlineStr">
        <is>
          <t>Shimadzu TOC-L</t>
        </is>
      </c>
      <c r="U111" s="20" t="inlineStr">
        <is>
          <t>None</t>
        </is>
      </c>
      <c r="V111" s="17" t="n"/>
      <c r="W111" s="16" t="n"/>
      <c r="X111" s="20" t="n"/>
      <c r="Y111" s="20" t="inlineStr">
        <is>
          <t>None</t>
        </is>
      </c>
      <c r="Z111" s="17" t="n"/>
      <c r="AA111" s="16" t="n"/>
      <c r="AB111" s="20" t="n"/>
      <c r="AC111" s="20" t="inlineStr">
        <is>
          <t>None</t>
        </is>
      </c>
      <c r="AD111" s="17" t="n"/>
      <c r="AE111" s="16" t="inlineStr">
        <is>
          <t>165</t>
        </is>
      </c>
      <c r="AF111" s="20" t="inlineStr">
        <is>
          <t>IC Anionen</t>
        </is>
      </c>
      <c r="AG111" s="20" t="inlineStr">
        <is>
          <t>None</t>
        </is>
      </c>
      <c r="AH111" s="17" t="n"/>
      <c r="AI111" s="16" t="n"/>
      <c r="AJ111" s="20" t="n"/>
      <c r="AK111" s="20" t="inlineStr">
        <is>
          <t>None</t>
        </is>
      </c>
      <c r="AL111" s="17" t="n"/>
      <c r="AM111" s="16" t="n"/>
      <c r="AN111" s="20" t="inlineStr">
        <is>
          <t>IC Anionen</t>
        </is>
      </c>
      <c r="AO111" s="20" t="inlineStr">
        <is>
          <t>None</t>
        </is>
      </c>
      <c r="AP111" s="17" t="n"/>
      <c r="AQ111" s="16" t="n"/>
      <c r="AR111" s="20" t="n"/>
      <c r="AS111" s="20" t="inlineStr">
        <is>
          <t>None</t>
        </is>
      </c>
      <c r="AT111" s="17" t="n"/>
      <c r="AU111" s="16" t="inlineStr">
        <is>
          <t>3.26</t>
        </is>
      </c>
      <c r="AV111" s="20" t="inlineStr">
        <is>
          <t>IC Anionen</t>
        </is>
      </c>
      <c r="AW111" s="20" t="inlineStr">
        <is>
          <t>None</t>
        </is>
      </c>
      <c r="AX111" s="17" t="n"/>
      <c r="AY111" s="16" t="inlineStr">
        <is>
          <t>&lt;0.80</t>
        </is>
      </c>
      <c r="AZ111" s="20" t="inlineStr">
        <is>
          <t>IC Anionen</t>
        </is>
      </c>
      <c r="BA111" s="20" t="inlineStr">
        <is>
          <t>None</t>
        </is>
      </c>
      <c r="BB111" s="17" t="n"/>
      <c r="BC111" s="16" t="inlineStr">
        <is>
          <t>122</t>
        </is>
      </c>
      <c r="BD111" s="20" t="inlineStr">
        <is>
          <t>IC Kationen</t>
        </is>
      </c>
      <c r="BE111" s="20" t="inlineStr">
        <is>
          <t>None</t>
        </is>
      </c>
      <c r="BF111" s="17" t="n"/>
      <c r="BG111" s="16" t="inlineStr">
        <is>
          <t>&lt;1.60</t>
        </is>
      </c>
      <c r="BH111" s="20" t="inlineStr">
        <is>
          <t>IC Kationen</t>
        </is>
      </c>
      <c r="BI111" s="20" t="inlineStr">
        <is>
          <t>None</t>
        </is>
      </c>
      <c r="BJ111" s="17" t="n"/>
      <c r="BK111" s="16" t="inlineStr">
        <is>
          <t>12.6</t>
        </is>
      </c>
      <c r="BL111" s="20" t="inlineStr">
        <is>
          <t>IC Kationen</t>
        </is>
      </c>
      <c r="BM111" s="20" t="inlineStr">
        <is>
          <t>None</t>
        </is>
      </c>
      <c r="BN111" s="17" t="n"/>
      <c r="BO111" s="16" t="inlineStr">
        <is>
          <t>220</t>
        </is>
      </c>
      <c r="BP111" s="20" t="inlineStr">
        <is>
          <t>IC Kationen</t>
        </is>
      </c>
      <c r="BQ111" s="20" t="inlineStr">
        <is>
          <t>None</t>
        </is>
      </c>
      <c r="BR111" s="17" t="n"/>
      <c r="BS111" s="16" t="inlineStr">
        <is>
          <t>29.1</t>
        </is>
      </c>
      <c r="BT111" s="20" t="inlineStr">
        <is>
          <t>IC Kationen</t>
        </is>
      </c>
      <c r="BU111" s="20" t="inlineStr">
        <is>
          <t>None</t>
        </is>
      </c>
      <c r="BV111" s="17" t="n"/>
      <c r="BW111" s="16" t="n"/>
      <c r="BX111" s="20" t="n"/>
      <c r="BY111" s="20" t="inlineStr">
        <is>
          <t>None</t>
        </is>
      </c>
      <c r="BZ111" s="17" t="n"/>
      <c r="CA111" s="16" t="n"/>
      <c r="CB111" s="20" t="n"/>
      <c r="CC111" s="20" t="inlineStr">
        <is>
          <t>None</t>
        </is>
      </c>
      <c r="CD111" s="17" t="n"/>
      <c r="CE111" s="16" t="n"/>
      <c r="CF111" s="20" t="n"/>
      <c r="CG111" s="20" t="inlineStr">
        <is>
          <t>None</t>
        </is>
      </c>
      <c r="CH111" s="17" t="n"/>
      <c r="CI111" s="16" t="n"/>
      <c r="CJ111" s="20" t="n"/>
      <c r="CK111" s="20" t="inlineStr">
        <is>
          <t>None</t>
        </is>
      </c>
      <c r="CL111" s="17" t="n"/>
      <c r="CM111" s="16" t="n"/>
      <c r="CN111" s="20" t="inlineStr">
        <is>
          <t>SOP 45-34</t>
        </is>
      </c>
      <c r="CO111" s="20" t="inlineStr">
        <is>
          <t>None</t>
        </is>
      </c>
      <c r="CP111" s="17" t="n"/>
      <c r="CQ111" s="16" t="n"/>
      <c r="CR111" s="20" t="n"/>
      <c r="CS111" s="20" t="inlineStr">
        <is>
          <t>None</t>
        </is>
      </c>
      <c r="CT111" s="17" t="n"/>
      <c r="CU111" s="16" t="n"/>
      <c r="CV111" s="20" t="n"/>
      <c r="CW111" s="20" t="inlineStr">
        <is>
          <t>None</t>
        </is>
      </c>
      <c r="CX111" s="17" t="n"/>
      <c r="CY111" s="16" t="n"/>
      <c r="CZ111" s="20" t="inlineStr">
        <is>
          <t>WTW Multimeter 3430 with FDO 925</t>
        </is>
      </c>
      <c r="DA111" s="20" t="inlineStr">
        <is>
          <t>None</t>
        </is>
      </c>
      <c r="DB111" s="17" t="n"/>
      <c r="DC111" s="16" t="n"/>
      <c r="DD111" s="20" t="n"/>
      <c r="DE111" s="20" t="inlineStr">
        <is>
          <t>None</t>
        </is>
      </c>
      <c r="DF111" s="17" t="n"/>
      <c r="DG111" s="16" t="n"/>
      <c r="DH111" s="20" t="inlineStr">
        <is>
          <t>SOP 45-09</t>
        </is>
      </c>
      <c r="DI111" s="20" t="inlineStr">
        <is>
          <t>None</t>
        </is>
      </c>
      <c r="DJ111" s="17" t="n"/>
      <c r="DK111" s="16" t="n"/>
      <c r="DL111" s="20" t="inlineStr">
        <is>
          <t>SOP 45-09 (SOP muss noch angepasst werden für VSS)</t>
        </is>
      </c>
      <c r="DM111" s="20" t="inlineStr">
        <is>
          <t>None</t>
        </is>
      </c>
      <c r="DN111" s="17" t="n"/>
      <c r="DO111" s="16" t="n"/>
      <c r="DP111" s="20" t="inlineStr">
        <is>
          <t>IC Organic Acids</t>
        </is>
      </c>
      <c r="DQ111" s="20" t="inlineStr">
        <is>
          <t>None</t>
        </is>
      </c>
      <c r="DR111" s="17" t="n"/>
      <c r="DS111" s="16" t="n"/>
      <c r="DT111" s="20" t="inlineStr">
        <is>
          <t>IC Organic Acids</t>
        </is>
      </c>
      <c r="DU111" s="20" t="inlineStr">
        <is>
          <t>None</t>
        </is>
      </c>
      <c r="DV111" s="17" t="n"/>
      <c r="DW111" s="16" t="n"/>
      <c r="DX111" s="20" t="inlineStr">
        <is>
          <t>IC Organic Acids</t>
        </is>
      </c>
      <c r="DY111" s="20" t="inlineStr">
        <is>
          <t>None</t>
        </is>
      </c>
      <c r="DZ111" s="17" t="n"/>
      <c r="EA111" s="16" t="n"/>
      <c r="EB111" s="20" t="inlineStr">
        <is>
          <t>IC Organic Acids</t>
        </is>
      </c>
      <c r="EC111" s="20" t="inlineStr">
        <is>
          <t>None</t>
        </is>
      </c>
      <c r="ED111" s="17" t="n"/>
      <c r="EE111" s="16" t="n"/>
      <c r="EF111" s="20" t="inlineStr">
        <is>
          <t>IC Organic Acids</t>
        </is>
      </c>
      <c r="EG111" s="20" t="inlineStr">
        <is>
          <t>None</t>
        </is>
      </c>
      <c r="EH111" s="17" t="n"/>
      <c r="EI111" s="16" t="n"/>
      <c r="EJ111" s="20" t="inlineStr">
        <is>
          <t>IC Organic Acids</t>
        </is>
      </c>
      <c r="EK111" s="20" t="inlineStr">
        <is>
          <t>None</t>
        </is>
      </c>
      <c r="EL111" s="17" t="n"/>
      <c r="EM111" s="16" t="n"/>
      <c r="EN111" s="20" t="inlineStr">
        <is>
          <t>IC Organic Acids</t>
        </is>
      </c>
      <c r="EO111" s="20" t="inlineStr">
        <is>
          <t>None</t>
        </is>
      </c>
      <c r="EP111" s="17" t="n"/>
      <c r="EQ111" s="16" t="n"/>
      <c r="ER111" s="20" t="inlineStr">
        <is>
          <t>IC Organic Acids</t>
        </is>
      </c>
      <c r="ES111" s="20" t="inlineStr">
        <is>
          <t>None</t>
        </is>
      </c>
      <c r="ET111" s="17" t="n"/>
      <c r="EU111" s="16" t="n"/>
      <c r="EV111" s="20" t="inlineStr">
        <is>
          <t>LC-MS</t>
        </is>
      </c>
      <c r="EW111" s="20" t="inlineStr">
        <is>
          <t>None</t>
        </is>
      </c>
      <c r="EX111" s="17" t="n"/>
      <c r="EY111" s="21" t="n"/>
      <c r="EZ111">
        <f>CONCATENATE(A111,B111)</f>
        <v/>
      </c>
      <c r="FA111">
        <f>CONCATENATE(SamplesX!A111,SamplesX!B111)</f>
        <v/>
      </c>
      <c r="FC111">
        <f>MATCH(EZ111,FA1:FA1008,0)</f>
        <v/>
      </c>
    </row>
    <row r="112">
      <c r="A112" s="16" t="inlineStr">
        <is>
          <t>BP</t>
        </is>
      </c>
      <c r="B112" s="17" t="inlineStr">
        <is>
          <t>25104</t>
        </is>
      </c>
      <c r="C112" s="10">
        <f>IF(ISNUMBER(FC112),INDIRECT("SamplesX!C"&amp;FC112),IF(ISNUMBER(FD112),INDIRECT("SamplesY!C"&amp;FD112),""))</f>
        <v/>
      </c>
      <c r="D112" s="12">
        <f>IF(ISNUMBER(FC112),INDIRECT("SamplesX!D"&amp;FC112),IF(ISNUMBER(FD112),INDIRECT("SamplesY!D"&amp;FD112),""))</f>
        <v/>
      </c>
      <c r="E112" s="12">
        <f>IF(ISNUMBER(FC112),INDIRECT("SamplesX!E"&amp;FC112),IF(ISNUMBER(FD112),INDIRECT("SamplesY!E"&amp;FD112),""))</f>
        <v/>
      </c>
      <c r="F112" s="11">
        <f>IF(ISNUMBER(FC112),INDIRECT("SamplesX!F"&amp;FC112),IF(ISNUMBER(FD112),INDIRECT("SamplesY!F"&amp;FD112),""))</f>
        <v/>
      </c>
      <c r="G112" s="18">
        <f>IF(ISNUMBER(FC112),INDIRECT("SamplesX!G"&amp;FC112),IF(ISNUMBER(FD112),INDIRECT("SamplesY!G"&amp;FD112),""))</f>
        <v/>
      </c>
      <c r="H112" s="19">
        <f>IF(ISNUMBER(FC112),INDIRECT("SamplesX!H"&amp;FC112),IF(ISNUMBER(FD112),INDIRECT("SamplesY!H"&amp;FD112),""))</f>
        <v/>
      </c>
      <c r="I112" s="16" t="n"/>
      <c r="J112" s="16" t="n"/>
      <c r="K112" s="16" t="n"/>
      <c r="L112" s="20" t="n"/>
      <c r="M112" s="20" t="inlineStr">
        <is>
          <t>None</t>
        </is>
      </c>
      <c r="N112" s="17" t="n"/>
      <c r="O112" s="16" t="n"/>
      <c r="P112" s="20" t="inlineStr">
        <is>
          <t>Shimadzu TOC-L</t>
        </is>
      </c>
      <c r="Q112" s="20" t="inlineStr">
        <is>
          <t>None</t>
        </is>
      </c>
      <c r="R112" s="17" t="n"/>
      <c r="S112" s="16" t="n"/>
      <c r="T112" s="20" t="inlineStr">
        <is>
          <t>Shimadzu TOC-L</t>
        </is>
      </c>
      <c r="U112" s="20" t="inlineStr">
        <is>
          <t>None</t>
        </is>
      </c>
      <c r="V112" s="17" t="n"/>
      <c r="W112" s="16" t="n"/>
      <c r="X112" s="20" t="n"/>
      <c r="Y112" s="20" t="inlineStr">
        <is>
          <t>None</t>
        </is>
      </c>
      <c r="Z112" s="17" t="n"/>
      <c r="AA112" s="16" t="n"/>
      <c r="AB112" s="20" t="n"/>
      <c r="AC112" s="20" t="inlineStr">
        <is>
          <t>None</t>
        </is>
      </c>
      <c r="AD112" s="17" t="n"/>
      <c r="AE112" s="16" t="inlineStr">
        <is>
          <t>137</t>
        </is>
      </c>
      <c r="AF112" s="20" t="inlineStr">
        <is>
          <t>IC Anionen</t>
        </is>
      </c>
      <c r="AG112" s="20" t="inlineStr">
        <is>
          <t>None</t>
        </is>
      </c>
      <c r="AH112" s="17" t="n"/>
      <c r="AI112" s="16" t="inlineStr">
        <is>
          <t>&lt;0.15</t>
        </is>
      </c>
      <c r="AJ112" s="20" t="inlineStr">
        <is>
          <t>IC Anionen</t>
        </is>
      </c>
      <c r="AK112" s="20" t="inlineStr">
        <is>
          <t>None</t>
        </is>
      </c>
      <c r="AL112" s="17" t="n"/>
      <c r="AM112" s="16" t="n"/>
      <c r="AN112" s="20" t="inlineStr">
        <is>
          <t>IC Anionen</t>
        </is>
      </c>
      <c r="AO112" s="20" t="inlineStr">
        <is>
          <t>None</t>
        </is>
      </c>
      <c r="AP112" s="17" t="n"/>
      <c r="AQ112" s="16" t="inlineStr">
        <is>
          <t>&lt;0.18</t>
        </is>
      </c>
      <c r="AR112" s="20" t="inlineStr">
        <is>
          <t>IC Anionen</t>
        </is>
      </c>
      <c r="AS112" s="20" t="inlineStr">
        <is>
          <t>None</t>
        </is>
      </c>
      <c r="AT112" s="17" t="n"/>
      <c r="AU112" s="16" t="inlineStr">
        <is>
          <t>24.7</t>
        </is>
      </c>
      <c r="AV112" s="20" t="inlineStr">
        <is>
          <t>IC Anionen</t>
        </is>
      </c>
      <c r="AW112" s="20" t="inlineStr">
        <is>
          <t>None</t>
        </is>
      </c>
      <c r="AX112" s="17" t="n"/>
      <c r="AY112" s="16" t="inlineStr">
        <is>
          <t>&lt;0.80</t>
        </is>
      </c>
      <c r="AZ112" s="20" t="inlineStr">
        <is>
          <t>IC Anionen</t>
        </is>
      </c>
      <c r="BA112" s="20" t="inlineStr">
        <is>
          <t>None</t>
        </is>
      </c>
      <c r="BB112" s="17" t="n"/>
      <c r="BC112" s="16" t="inlineStr">
        <is>
          <t>108</t>
        </is>
      </c>
      <c r="BD112" s="20" t="inlineStr">
        <is>
          <t>IC Kationen</t>
        </is>
      </c>
      <c r="BE112" s="20" t="inlineStr">
        <is>
          <t>None</t>
        </is>
      </c>
      <c r="BF112" s="17" t="n"/>
      <c r="BG112" s="16" t="inlineStr">
        <is>
          <t>102</t>
        </is>
      </c>
      <c r="BH112" s="20" t="inlineStr">
        <is>
          <t>IC Kationen</t>
        </is>
      </c>
      <c r="BI112" s="20" t="inlineStr">
        <is>
          <t>None</t>
        </is>
      </c>
      <c r="BJ112" s="17" t="n"/>
      <c r="BK112" s="16" t="inlineStr">
        <is>
          <t>19.3</t>
        </is>
      </c>
      <c r="BL112" s="20" t="inlineStr">
        <is>
          <t>IC Kationen</t>
        </is>
      </c>
      <c r="BM112" s="20" t="inlineStr">
        <is>
          <t>None</t>
        </is>
      </c>
      <c r="BN112" s="17" t="n"/>
      <c r="BO112" s="16" t="inlineStr">
        <is>
          <t>243</t>
        </is>
      </c>
      <c r="BP112" s="20" t="inlineStr">
        <is>
          <t>IC Kationen</t>
        </is>
      </c>
      <c r="BQ112" s="20" t="inlineStr">
        <is>
          <t>None</t>
        </is>
      </c>
      <c r="BR112" s="17" t="n"/>
      <c r="BS112" s="16" t="inlineStr">
        <is>
          <t>29.5</t>
        </is>
      </c>
      <c r="BT112" s="20" t="inlineStr">
        <is>
          <t>IC Kationen</t>
        </is>
      </c>
      <c r="BU112" s="20" t="inlineStr">
        <is>
          <t>None</t>
        </is>
      </c>
      <c r="BV112" s="17" t="n"/>
      <c r="BW112" s="16" t="n"/>
      <c r="BX112" s="20" t="n"/>
      <c r="BY112" s="20" t="inlineStr">
        <is>
          <t>None</t>
        </is>
      </c>
      <c r="BZ112" s="17" t="n"/>
      <c r="CA112" s="16" t="n"/>
      <c r="CB112" s="20" t="n"/>
      <c r="CC112" s="20" t="inlineStr">
        <is>
          <t>None</t>
        </is>
      </c>
      <c r="CD112" s="17" t="n"/>
      <c r="CE112" s="16" t="n"/>
      <c r="CF112" s="20" t="n"/>
      <c r="CG112" s="20" t="inlineStr">
        <is>
          <t>None</t>
        </is>
      </c>
      <c r="CH112" s="17" t="n"/>
      <c r="CI112" s="16" t="n"/>
      <c r="CJ112" s="20" t="n"/>
      <c r="CK112" s="20" t="inlineStr">
        <is>
          <t>None</t>
        </is>
      </c>
      <c r="CL112" s="17" t="n"/>
      <c r="CM112" s="16" t="n"/>
      <c r="CN112" s="20" t="inlineStr">
        <is>
          <t>SOP 45-34</t>
        </is>
      </c>
      <c r="CO112" s="20" t="inlineStr">
        <is>
          <t>None</t>
        </is>
      </c>
      <c r="CP112" s="17" t="n"/>
      <c r="CQ112" s="16" t="n"/>
      <c r="CR112" s="20" t="n"/>
      <c r="CS112" s="20" t="inlineStr">
        <is>
          <t>None</t>
        </is>
      </c>
      <c r="CT112" s="17" t="n"/>
      <c r="CU112" s="16" t="n"/>
      <c r="CV112" s="20" t="n"/>
      <c r="CW112" s="20" t="inlineStr">
        <is>
          <t>None</t>
        </is>
      </c>
      <c r="CX112" s="17" t="n"/>
      <c r="CY112" s="16" t="n"/>
      <c r="CZ112" s="20" t="inlineStr">
        <is>
          <t>WTW Multimeter 3430 with FDO 925</t>
        </is>
      </c>
      <c r="DA112" s="20" t="inlineStr">
        <is>
          <t>None</t>
        </is>
      </c>
      <c r="DB112" s="17" t="n"/>
      <c r="DC112" s="16" t="n"/>
      <c r="DD112" s="20" t="n"/>
      <c r="DE112" s="20" t="inlineStr">
        <is>
          <t>None</t>
        </is>
      </c>
      <c r="DF112" s="17" t="n"/>
      <c r="DG112" s="16" t="n"/>
      <c r="DH112" s="20" t="inlineStr">
        <is>
          <t>SOP 45-09</t>
        </is>
      </c>
      <c r="DI112" s="20" t="inlineStr">
        <is>
          <t>None</t>
        </is>
      </c>
      <c r="DJ112" s="17" t="n"/>
      <c r="DK112" s="16" t="n"/>
      <c r="DL112" s="20" t="inlineStr">
        <is>
          <t>SOP 45-09 (SOP muss noch angepasst werden für VSS)</t>
        </is>
      </c>
      <c r="DM112" s="20" t="inlineStr">
        <is>
          <t>None</t>
        </is>
      </c>
      <c r="DN112" s="17" t="n"/>
      <c r="DO112" s="16" t="n"/>
      <c r="DP112" s="20" t="inlineStr">
        <is>
          <t>IC Organic Acids</t>
        </is>
      </c>
      <c r="DQ112" s="20" t="inlineStr">
        <is>
          <t>None</t>
        </is>
      </c>
      <c r="DR112" s="17" t="n"/>
      <c r="DS112" s="16" t="n"/>
      <c r="DT112" s="20" t="inlineStr">
        <is>
          <t>IC Organic Acids</t>
        </is>
      </c>
      <c r="DU112" s="20" t="inlineStr">
        <is>
          <t>None</t>
        </is>
      </c>
      <c r="DV112" s="17" t="n"/>
      <c r="DW112" s="16" t="n"/>
      <c r="DX112" s="20" t="inlineStr">
        <is>
          <t>IC Organic Acids</t>
        </is>
      </c>
      <c r="DY112" s="20" t="inlineStr">
        <is>
          <t>None</t>
        </is>
      </c>
      <c r="DZ112" s="17" t="n"/>
      <c r="EA112" s="16" t="n"/>
      <c r="EB112" s="20" t="inlineStr">
        <is>
          <t>IC Organic Acids</t>
        </is>
      </c>
      <c r="EC112" s="20" t="inlineStr">
        <is>
          <t>None</t>
        </is>
      </c>
      <c r="ED112" s="17" t="n"/>
      <c r="EE112" s="16" t="n"/>
      <c r="EF112" s="20" t="inlineStr">
        <is>
          <t>IC Organic Acids</t>
        </is>
      </c>
      <c r="EG112" s="20" t="inlineStr">
        <is>
          <t>None</t>
        </is>
      </c>
      <c r="EH112" s="17" t="n"/>
      <c r="EI112" s="16" t="n"/>
      <c r="EJ112" s="20" t="inlineStr">
        <is>
          <t>IC Organic Acids</t>
        </is>
      </c>
      <c r="EK112" s="20" t="inlineStr">
        <is>
          <t>None</t>
        </is>
      </c>
      <c r="EL112" s="17" t="n"/>
      <c r="EM112" s="16" t="n"/>
      <c r="EN112" s="20" t="inlineStr">
        <is>
          <t>IC Organic Acids</t>
        </is>
      </c>
      <c r="EO112" s="20" t="inlineStr">
        <is>
          <t>None</t>
        </is>
      </c>
      <c r="EP112" s="17" t="n"/>
      <c r="EQ112" s="16" t="n"/>
      <c r="ER112" s="20" t="inlineStr">
        <is>
          <t>IC Organic Acids</t>
        </is>
      </c>
      <c r="ES112" s="20" t="inlineStr">
        <is>
          <t>None</t>
        </is>
      </c>
      <c r="ET112" s="17" t="n"/>
      <c r="EU112" s="16" t="n"/>
      <c r="EV112" s="20" t="inlineStr">
        <is>
          <t>LC-MS</t>
        </is>
      </c>
      <c r="EW112" s="20" t="inlineStr">
        <is>
          <t>None</t>
        </is>
      </c>
      <c r="EX112" s="17" t="n"/>
      <c r="EY112" s="21" t="n"/>
      <c r="EZ112">
        <f>CONCATENATE(A112,B112)</f>
        <v/>
      </c>
      <c r="FA112">
        <f>CONCATENATE(SamplesX!A112,SamplesX!B112)</f>
        <v/>
      </c>
      <c r="FC112">
        <f>MATCH(EZ112,FA1:FA1008,0)</f>
        <v/>
      </c>
    </row>
    <row r="113">
      <c r="A113" s="16" t="inlineStr">
        <is>
          <t>BP</t>
        </is>
      </c>
      <c r="B113" s="17" t="inlineStr">
        <is>
          <t>25105</t>
        </is>
      </c>
      <c r="C113" s="10">
        <f>IF(ISNUMBER(FC113),INDIRECT("SamplesX!C"&amp;FC113),IF(ISNUMBER(FD113),INDIRECT("SamplesY!C"&amp;FD113),""))</f>
        <v/>
      </c>
      <c r="D113" s="12">
        <f>IF(ISNUMBER(FC113),INDIRECT("SamplesX!D"&amp;FC113),IF(ISNUMBER(FD113),INDIRECT("SamplesY!D"&amp;FD113),""))</f>
        <v/>
      </c>
      <c r="E113" s="12">
        <f>IF(ISNUMBER(FC113),INDIRECT("SamplesX!E"&amp;FC113),IF(ISNUMBER(FD113),INDIRECT("SamplesY!E"&amp;FD113),""))</f>
        <v/>
      </c>
      <c r="F113" s="11">
        <f>IF(ISNUMBER(FC113),INDIRECT("SamplesX!F"&amp;FC113),IF(ISNUMBER(FD113),INDIRECT("SamplesY!F"&amp;FD113),""))</f>
        <v/>
      </c>
      <c r="G113" s="18">
        <f>IF(ISNUMBER(FC113),INDIRECT("SamplesX!G"&amp;FC113),IF(ISNUMBER(FD113),INDIRECT("SamplesY!G"&amp;FD113),""))</f>
        <v/>
      </c>
      <c r="H113" s="19">
        <f>IF(ISNUMBER(FC113),INDIRECT("SamplesX!H"&amp;FC113),IF(ISNUMBER(FD113),INDIRECT("SamplesY!H"&amp;FD113),""))</f>
        <v/>
      </c>
      <c r="I113" s="16" t="n"/>
      <c r="J113" s="16" t="n"/>
      <c r="K113" s="16" t="n"/>
      <c r="L113" s="20" t="n"/>
      <c r="M113" s="20" t="inlineStr">
        <is>
          <t>None</t>
        </is>
      </c>
      <c r="N113" s="17" t="n"/>
      <c r="O113" s="16" t="n"/>
      <c r="P113" s="20" t="inlineStr">
        <is>
          <t>Shimadzu TOC-L</t>
        </is>
      </c>
      <c r="Q113" s="20" t="inlineStr">
        <is>
          <t>None</t>
        </is>
      </c>
      <c r="R113" s="17" t="n"/>
      <c r="S113" s="16" t="n"/>
      <c r="T113" s="20" t="inlineStr">
        <is>
          <t>Shimadzu TOC-L</t>
        </is>
      </c>
      <c r="U113" s="20" t="inlineStr">
        <is>
          <t>None</t>
        </is>
      </c>
      <c r="V113" s="17" t="n"/>
      <c r="W113" s="16" t="n"/>
      <c r="X113" s="20" t="n"/>
      <c r="Y113" s="20" t="inlineStr">
        <is>
          <t>None</t>
        </is>
      </c>
      <c r="Z113" s="17" t="n"/>
      <c r="AA113" s="16" t="n"/>
      <c r="AB113" s="20" t="n"/>
      <c r="AC113" s="20" t="inlineStr">
        <is>
          <t>None</t>
        </is>
      </c>
      <c r="AD113" s="17" t="n"/>
      <c r="AE113" s="16" t="inlineStr">
        <is>
          <t>273</t>
        </is>
      </c>
      <c r="AF113" s="20" t="inlineStr">
        <is>
          <t>IC Anionen</t>
        </is>
      </c>
      <c r="AG113" s="20" t="inlineStr">
        <is>
          <t>None</t>
        </is>
      </c>
      <c r="AH113" s="17" t="n"/>
      <c r="AI113" s="16" t="inlineStr">
        <is>
          <t>&lt;0.15</t>
        </is>
      </c>
      <c r="AJ113" s="20" t="inlineStr">
        <is>
          <t>IC Anionen</t>
        </is>
      </c>
      <c r="AK113" s="20" t="inlineStr">
        <is>
          <t>None</t>
        </is>
      </c>
      <c r="AL113" s="17" t="n"/>
      <c r="AM113" s="16" t="n"/>
      <c r="AN113" s="20" t="inlineStr">
        <is>
          <t>IC Anionen</t>
        </is>
      </c>
      <c r="AO113" s="20" t="inlineStr">
        <is>
          <t>None</t>
        </is>
      </c>
      <c r="AP113" s="17" t="n"/>
      <c r="AQ113" s="16" t="inlineStr">
        <is>
          <t>&lt;0.19</t>
        </is>
      </c>
      <c r="AR113" s="20" t="inlineStr">
        <is>
          <t>IC Anionen</t>
        </is>
      </c>
      <c r="AS113" s="20" t="inlineStr">
        <is>
          <t>None</t>
        </is>
      </c>
      <c r="AT113" s="17" t="n"/>
      <c r="AU113" s="16" t="inlineStr">
        <is>
          <t>&lt;0.13</t>
        </is>
      </c>
      <c r="AV113" s="20" t="inlineStr">
        <is>
          <t>IC Anionen</t>
        </is>
      </c>
      <c r="AW113" s="20" t="inlineStr">
        <is>
          <t>None</t>
        </is>
      </c>
      <c r="AX113" s="17" t="n"/>
      <c r="AY113" s="16" t="inlineStr">
        <is>
          <t>1.57</t>
        </is>
      </c>
      <c r="AZ113" s="20" t="inlineStr">
        <is>
          <t>IC Anionen</t>
        </is>
      </c>
      <c r="BA113" s="20" t="inlineStr">
        <is>
          <t>None</t>
        </is>
      </c>
      <c r="BB113" s="17" t="n"/>
      <c r="BC113" s="16" t="inlineStr">
        <is>
          <t>95.5</t>
        </is>
      </c>
      <c r="BD113" s="20" t="inlineStr">
        <is>
          <t>IC Kationen</t>
        </is>
      </c>
      <c r="BE113" s="20" t="inlineStr">
        <is>
          <t>None</t>
        </is>
      </c>
      <c r="BF113" s="17" t="n"/>
      <c r="BG113" s="16" t="inlineStr">
        <is>
          <t>110</t>
        </is>
      </c>
      <c r="BH113" s="20" t="inlineStr">
        <is>
          <t>IC Kationen</t>
        </is>
      </c>
      <c r="BI113" s="20" t="inlineStr">
        <is>
          <t>None</t>
        </is>
      </c>
      <c r="BJ113" s="17" t="n"/>
      <c r="BK113" s="16" t="inlineStr">
        <is>
          <t>17.9</t>
        </is>
      </c>
      <c r="BL113" s="20" t="inlineStr">
        <is>
          <t>IC Kationen</t>
        </is>
      </c>
      <c r="BM113" s="20" t="inlineStr">
        <is>
          <t>None</t>
        </is>
      </c>
      <c r="BN113" s="17" t="n"/>
      <c r="BO113" s="16" t="inlineStr">
        <is>
          <t>197</t>
        </is>
      </c>
      <c r="BP113" s="20" t="inlineStr">
        <is>
          <t>IC Kationen</t>
        </is>
      </c>
      <c r="BQ113" s="20" t="inlineStr">
        <is>
          <t>None</t>
        </is>
      </c>
      <c r="BR113" s="17" t="n"/>
      <c r="BS113" s="16" t="inlineStr">
        <is>
          <t>24.7</t>
        </is>
      </c>
      <c r="BT113" s="20" t="inlineStr">
        <is>
          <t>IC Kationen</t>
        </is>
      </c>
      <c r="BU113" s="20" t="inlineStr">
        <is>
          <t>None</t>
        </is>
      </c>
      <c r="BV113" s="17" t="n"/>
      <c r="BW113" s="16" t="n"/>
      <c r="BX113" s="20" t="n"/>
      <c r="BY113" s="20" t="inlineStr">
        <is>
          <t>None</t>
        </is>
      </c>
      <c r="BZ113" s="17" t="n"/>
      <c r="CA113" s="16" t="n"/>
      <c r="CB113" s="20" t="n"/>
      <c r="CC113" s="20" t="inlineStr">
        <is>
          <t>None</t>
        </is>
      </c>
      <c r="CD113" s="17" t="n"/>
      <c r="CE113" s="16" t="n"/>
      <c r="CF113" s="20" t="n"/>
      <c r="CG113" s="20" t="inlineStr">
        <is>
          <t>None</t>
        </is>
      </c>
      <c r="CH113" s="17" t="n"/>
      <c r="CI113" s="16" t="n"/>
      <c r="CJ113" s="20" t="n"/>
      <c r="CK113" s="20" t="inlineStr">
        <is>
          <t>None</t>
        </is>
      </c>
      <c r="CL113" s="17" t="n"/>
      <c r="CM113" s="16" t="n"/>
      <c r="CN113" s="20" t="inlineStr">
        <is>
          <t>SOP 45-34</t>
        </is>
      </c>
      <c r="CO113" s="20" t="inlineStr">
        <is>
          <t>None</t>
        </is>
      </c>
      <c r="CP113" s="17" t="n"/>
      <c r="CQ113" s="16" t="n"/>
      <c r="CR113" s="20" t="n"/>
      <c r="CS113" s="20" t="inlineStr">
        <is>
          <t>None</t>
        </is>
      </c>
      <c r="CT113" s="17" t="n"/>
      <c r="CU113" s="16" t="n"/>
      <c r="CV113" s="20" t="n"/>
      <c r="CW113" s="20" t="inlineStr">
        <is>
          <t>None</t>
        </is>
      </c>
      <c r="CX113" s="17" t="n"/>
      <c r="CY113" s="16" t="n"/>
      <c r="CZ113" s="20" t="inlineStr">
        <is>
          <t>WTW Multimeter 3430 with FDO 925</t>
        </is>
      </c>
      <c r="DA113" s="20" t="inlineStr">
        <is>
          <t>None</t>
        </is>
      </c>
      <c r="DB113" s="17" t="n"/>
      <c r="DC113" s="16" t="n"/>
      <c r="DD113" s="20" t="n"/>
      <c r="DE113" s="20" t="inlineStr">
        <is>
          <t>None</t>
        </is>
      </c>
      <c r="DF113" s="17" t="n"/>
      <c r="DG113" s="16" t="n"/>
      <c r="DH113" s="20" t="inlineStr">
        <is>
          <t>SOP 45-09</t>
        </is>
      </c>
      <c r="DI113" s="20" t="inlineStr">
        <is>
          <t>None</t>
        </is>
      </c>
      <c r="DJ113" s="17" t="n"/>
      <c r="DK113" s="16" t="n"/>
      <c r="DL113" s="20" t="inlineStr">
        <is>
          <t>SOP 45-09 (SOP muss noch angepasst werden für VSS)</t>
        </is>
      </c>
      <c r="DM113" s="20" t="inlineStr">
        <is>
          <t>None</t>
        </is>
      </c>
      <c r="DN113" s="17" t="n"/>
      <c r="DO113" s="16" t="n"/>
      <c r="DP113" s="20" t="inlineStr">
        <is>
          <t>IC Organic Acids</t>
        </is>
      </c>
      <c r="DQ113" s="20" t="inlineStr">
        <is>
          <t>None</t>
        </is>
      </c>
      <c r="DR113" s="17" t="n"/>
      <c r="DS113" s="16" t="n"/>
      <c r="DT113" s="20" t="inlineStr">
        <is>
          <t>IC Organic Acids</t>
        </is>
      </c>
      <c r="DU113" s="20" t="inlineStr">
        <is>
          <t>None</t>
        </is>
      </c>
      <c r="DV113" s="17" t="n"/>
      <c r="DW113" s="16" t="n"/>
      <c r="DX113" s="20" t="inlineStr">
        <is>
          <t>IC Organic Acids</t>
        </is>
      </c>
      <c r="DY113" s="20" t="inlineStr">
        <is>
          <t>None</t>
        </is>
      </c>
      <c r="DZ113" s="17" t="n"/>
      <c r="EA113" s="16" t="n"/>
      <c r="EB113" s="20" t="inlineStr">
        <is>
          <t>IC Organic Acids</t>
        </is>
      </c>
      <c r="EC113" s="20" t="inlineStr">
        <is>
          <t>None</t>
        </is>
      </c>
      <c r="ED113" s="17" t="n"/>
      <c r="EE113" s="16" t="n"/>
      <c r="EF113" s="20" t="inlineStr">
        <is>
          <t>IC Organic Acids</t>
        </is>
      </c>
      <c r="EG113" s="20" t="inlineStr">
        <is>
          <t>None</t>
        </is>
      </c>
      <c r="EH113" s="17" t="n"/>
      <c r="EI113" s="16" t="n"/>
      <c r="EJ113" s="20" t="inlineStr">
        <is>
          <t>IC Organic Acids</t>
        </is>
      </c>
      <c r="EK113" s="20" t="inlineStr">
        <is>
          <t>None</t>
        </is>
      </c>
      <c r="EL113" s="17" t="n"/>
      <c r="EM113" s="16" t="n"/>
      <c r="EN113" s="20" t="inlineStr">
        <is>
          <t>IC Organic Acids</t>
        </is>
      </c>
      <c r="EO113" s="20" t="inlineStr">
        <is>
          <t>None</t>
        </is>
      </c>
      <c r="EP113" s="17" t="n"/>
      <c r="EQ113" s="16" t="n"/>
      <c r="ER113" s="20" t="inlineStr">
        <is>
          <t>IC Organic Acids</t>
        </is>
      </c>
      <c r="ES113" s="20" t="inlineStr">
        <is>
          <t>None</t>
        </is>
      </c>
      <c r="ET113" s="17" t="n"/>
      <c r="EU113" s="16" t="n"/>
      <c r="EV113" s="20" t="inlineStr">
        <is>
          <t>LC-MS</t>
        </is>
      </c>
      <c r="EW113" s="20" t="inlineStr">
        <is>
          <t>None</t>
        </is>
      </c>
      <c r="EX113" s="17" t="n"/>
      <c r="EY113" s="21" t="n"/>
      <c r="EZ113">
        <f>CONCATENATE(A113,B113)</f>
        <v/>
      </c>
      <c r="FA113">
        <f>CONCATENATE(SamplesX!A113,SamplesX!B113)</f>
        <v/>
      </c>
      <c r="FC113">
        <f>MATCH(EZ113,FA1:FA1008,0)</f>
        <v/>
      </c>
    </row>
    <row r="114">
      <c r="A114" s="16" t="inlineStr">
        <is>
          <t>BP</t>
        </is>
      </c>
      <c r="B114" s="17" t="inlineStr">
        <is>
          <t>25106</t>
        </is>
      </c>
      <c r="C114" s="10">
        <f>IF(ISNUMBER(FC114),INDIRECT("SamplesX!C"&amp;FC114),IF(ISNUMBER(FD114),INDIRECT("SamplesY!C"&amp;FD114),""))</f>
        <v/>
      </c>
      <c r="D114" s="12">
        <f>IF(ISNUMBER(FC114),INDIRECT("SamplesX!D"&amp;FC114),IF(ISNUMBER(FD114),INDIRECT("SamplesY!D"&amp;FD114),""))</f>
        <v/>
      </c>
      <c r="E114" s="12">
        <f>IF(ISNUMBER(FC114),INDIRECT("SamplesX!E"&amp;FC114),IF(ISNUMBER(FD114),INDIRECT("SamplesY!E"&amp;FD114),""))</f>
        <v/>
      </c>
      <c r="F114" s="11">
        <f>IF(ISNUMBER(FC114),INDIRECT("SamplesX!F"&amp;FC114),IF(ISNUMBER(FD114),INDIRECT("SamplesY!F"&amp;FD114),""))</f>
        <v/>
      </c>
      <c r="G114" s="18">
        <f>IF(ISNUMBER(FC114),INDIRECT("SamplesX!G"&amp;FC114),IF(ISNUMBER(FD114),INDIRECT("SamplesY!G"&amp;FD114),""))</f>
        <v/>
      </c>
      <c r="H114" s="19">
        <f>IF(ISNUMBER(FC114),INDIRECT("SamplesX!H"&amp;FC114),IF(ISNUMBER(FD114),INDIRECT("SamplesY!H"&amp;FD114),""))</f>
        <v/>
      </c>
      <c r="I114" s="16" t="n"/>
      <c r="J114" s="16" t="n"/>
      <c r="K114" s="16" t="n"/>
      <c r="L114" s="20" t="n"/>
      <c r="M114" s="20" t="inlineStr">
        <is>
          <t>None</t>
        </is>
      </c>
      <c r="N114" s="17" t="n"/>
      <c r="O114" s="16" t="n"/>
      <c r="P114" s="20" t="inlineStr">
        <is>
          <t>Shimadzu TOC-L</t>
        </is>
      </c>
      <c r="Q114" s="20" t="inlineStr">
        <is>
          <t>None</t>
        </is>
      </c>
      <c r="R114" s="17" t="n"/>
      <c r="S114" s="16" t="n"/>
      <c r="T114" s="20" t="inlineStr">
        <is>
          <t>Shimadzu TOC-L</t>
        </is>
      </c>
      <c r="U114" s="20" t="inlineStr">
        <is>
          <t>None</t>
        </is>
      </c>
      <c r="V114" s="17" t="n"/>
      <c r="W114" s="16" t="n"/>
      <c r="X114" s="20" t="n"/>
      <c r="Y114" s="20" t="inlineStr">
        <is>
          <t>None</t>
        </is>
      </c>
      <c r="Z114" s="17" t="n"/>
      <c r="AA114" s="16" t="n"/>
      <c r="AB114" s="20" t="n"/>
      <c r="AC114" s="20" t="inlineStr">
        <is>
          <t>None</t>
        </is>
      </c>
      <c r="AD114" s="17" t="n"/>
      <c r="AE114" s="16" t="inlineStr">
        <is>
          <t>290</t>
        </is>
      </c>
      <c r="AF114" s="20" t="inlineStr">
        <is>
          <t>IC Anionen</t>
        </is>
      </c>
      <c r="AG114" s="20" t="inlineStr">
        <is>
          <t>None</t>
        </is>
      </c>
      <c r="AH114" s="17" t="n"/>
      <c r="AI114" s="16" t="inlineStr">
        <is>
          <t>&lt;0.15</t>
        </is>
      </c>
      <c r="AJ114" s="20" t="inlineStr">
        <is>
          <t>IC Anionen</t>
        </is>
      </c>
      <c r="AK114" s="20" t="inlineStr">
        <is>
          <t>None</t>
        </is>
      </c>
      <c r="AL114" s="17" t="n"/>
      <c r="AM114" s="16" t="n"/>
      <c r="AN114" s="20" t="inlineStr">
        <is>
          <t>IC Anionen</t>
        </is>
      </c>
      <c r="AO114" s="20" t="inlineStr">
        <is>
          <t>None</t>
        </is>
      </c>
      <c r="AP114" s="17" t="n"/>
      <c r="AQ114" s="16" t="inlineStr">
        <is>
          <t>&lt;0.20</t>
        </is>
      </c>
      <c r="AR114" s="20" t="inlineStr">
        <is>
          <t>IC Anionen</t>
        </is>
      </c>
      <c r="AS114" s="20" t="inlineStr">
        <is>
          <t>None</t>
        </is>
      </c>
      <c r="AT114" s="17" t="n"/>
      <c r="AU114" s="16" t="inlineStr">
        <is>
          <t>&lt;0.13</t>
        </is>
      </c>
      <c r="AV114" s="20" t="inlineStr">
        <is>
          <t>IC Anionen</t>
        </is>
      </c>
      <c r="AW114" s="20" t="inlineStr">
        <is>
          <t>None</t>
        </is>
      </c>
      <c r="AX114" s="17" t="n"/>
      <c r="AY114" s="16" t="inlineStr">
        <is>
          <t>&lt;0.80</t>
        </is>
      </c>
      <c r="AZ114" s="20" t="inlineStr">
        <is>
          <t>IC Anionen</t>
        </is>
      </c>
      <c r="BA114" s="20" t="inlineStr">
        <is>
          <t>None</t>
        </is>
      </c>
      <c r="BB114" s="17" t="n"/>
      <c r="BC114" s="16" t="inlineStr">
        <is>
          <t>97.8</t>
        </is>
      </c>
      <c r="BD114" s="20" t="inlineStr">
        <is>
          <t>IC Kationen</t>
        </is>
      </c>
      <c r="BE114" s="20" t="inlineStr">
        <is>
          <t>None</t>
        </is>
      </c>
      <c r="BF114" s="17" t="n"/>
      <c r="BG114" s="16" t="inlineStr">
        <is>
          <t>62.0</t>
        </is>
      </c>
      <c r="BH114" s="20" t="inlineStr">
        <is>
          <t>IC Kationen</t>
        </is>
      </c>
      <c r="BI114" s="20" t="inlineStr">
        <is>
          <t>None</t>
        </is>
      </c>
      <c r="BJ114" s="17" t="n"/>
      <c r="BK114" s="16" t="inlineStr">
        <is>
          <t>16.8</t>
        </is>
      </c>
      <c r="BL114" s="20" t="inlineStr">
        <is>
          <t>IC Kationen</t>
        </is>
      </c>
      <c r="BM114" s="20" t="inlineStr">
        <is>
          <t>None</t>
        </is>
      </c>
      <c r="BN114" s="17" t="n"/>
      <c r="BO114" s="16" t="inlineStr">
        <is>
          <t>122</t>
        </is>
      </c>
      <c r="BP114" s="20" t="inlineStr">
        <is>
          <t>IC Kationen</t>
        </is>
      </c>
      <c r="BQ114" s="20" t="inlineStr">
        <is>
          <t>None</t>
        </is>
      </c>
      <c r="BR114" s="17" t="n"/>
      <c r="BS114" s="16" t="inlineStr">
        <is>
          <t>23.1</t>
        </is>
      </c>
      <c r="BT114" s="20" t="inlineStr">
        <is>
          <t>IC Kationen</t>
        </is>
      </c>
      <c r="BU114" s="20" t="inlineStr">
        <is>
          <t>None</t>
        </is>
      </c>
      <c r="BV114" s="17" t="n"/>
      <c r="BW114" s="16" t="n"/>
      <c r="BX114" s="20" t="n"/>
      <c r="BY114" s="20" t="inlineStr">
        <is>
          <t>None</t>
        </is>
      </c>
      <c r="BZ114" s="17" t="n"/>
      <c r="CA114" s="16" t="n"/>
      <c r="CB114" s="20" t="n"/>
      <c r="CC114" s="20" t="inlineStr">
        <is>
          <t>None</t>
        </is>
      </c>
      <c r="CD114" s="17" t="n"/>
      <c r="CE114" s="16" t="n"/>
      <c r="CF114" s="20" t="n"/>
      <c r="CG114" s="20" t="inlineStr">
        <is>
          <t>None</t>
        </is>
      </c>
      <c r="CH114" s="17" t="n"/>
      <c r="CI114" s="16" t="n"/>
      <c r="CJ114" s="20" t="n"/>
      <c r="CK114" s="20" t="inlineStr">
        <is>
          <t>None</t>
        </is>
      </c>
      <c r="CL114" s="17" t="n"/>
      <c r="CM114" s="16" t="n"/>
      <c r="CN114" s="20" t="inlineStr">
        <is>
          <t>SOP 45-34</t>
        </is>
      </c>
      <c r="CO114" s="20" t="inlineStr">
        <is>
          <t>None</t>
        </is>
      </c>
      <c r="CP114" s="17" t="n"/>
      <c r="CQ114" s="16" t="n"/>
      <c r="CR114" s="20" t="n"/>
      <c r="CS114" s="20" t="inlineStr">
        <is>
          <t>None</t>
        </is>
      </c>
      <c r="CT114" s="17" t="n"/>
      <c r="CU114" s="16" t="n"/>
      <c r="CV114" s="20" t="n"/>
      <c r="CW114" s="20" t="inlineStr">
        <is>
          <t>None</t>
        </is>
      </c>
      <c r="CX114" s="17" t="n"/>
      <c r="CY114" s="16" t="n"/>
      <c r="CZ114" s="20" t="inlineStr">
        <is>
          <t>WTW Multimeter 3430 with FDO 925</t>
        </is>
      </c>
      <c r="DA114" s="20" t="inlineStr">
        <is>
          <t>None</t>
        </is>
      </c>
      <c r="DB114" s="17" t="n"/>
      <c r="DC114" s="16" t="n"/>
      <c r="DD114" s="20" t="n"/>
      <c r="DE114" s="20" t="inlineStr">
        <is>
          <t>None</t>
        </is>
      </c>
      <c r="DF114" s="17" t="n"/>
      <c r="DG114" s="16" t="n"/>
      <c r="DH114" s="20" t="inlineStr">
        <is>
          <t>SOP 45-09</t>
        </is>
      </c>
      <c r="DI114" s="20" t="inlineStr">
        <is>
          <t>None</t>
        </is>
      </c>
      <c r="DJ114" s="17" t="n"/>
      <c r="DK114" s="16" t="n"/>
      <c r="DL114" s="20" t="inlineStr">
        <is>
          <t>SOP 45-09 (SOP muss noch angepasst werden für VSS)</t>
        </is>
      </c>
      <c r="DM114" s="20" t="inlineStr">
        <is>
          <t>None</t>
        </is>
      </c>
      <c r="DN114" s="17" t="n"/>
      <c r="DO114" s="16" t="n"/>
      <c r="DP114" s="20" t="inlineStr">
        <is>
          <t>IC Organic Acids</t>
        </is>
      </c>
      <c r="DQ114" s="20" t="inlineStr">
        <is>
          <t>None</t>
        </is>
      </c>
      <c r="DR114" s="17" t="n"/>
      <c r="DS114" s="16" t="n"/>
      <c r="DT114" s="20" t="inlineStr">
        <is>
          <t>IC Organic Acids</t>
        </is>
      </c>
      <c r="DU114" s="20" t="inlineStr">
        <is>
          <t>None</t>
        </is>
      </c>
      <c r="DV114" s="17" t="n"/>
      <c r="DW114" s="16" t="n"/>
      <c r="DX114" s="20" t="inlineStr">
        <is>
          <t>IC Organic Acids</t>
        </is>
      </c>
      <c r="DY114" s="20" t="inlineStr">
        <is>
          <t>None</t>
        </is>
      </c>
      <c r="DZ114" s="17" t="n"/>
      <c r="EA114" s="16" t="n"/>
      <c r="EB114" s="20" t="inlineStr">
        <is>
          <t>IC Organic Acids</t>
        </is>
      </c>
      <c r="EC114" s="20" t="inlineStr">
        <is>
          <t>None</t>
        </is>
      </c>
      <c r="ED114" s="17" t="n"/>
      <c r="EE114" s="16" t="n"/>
      <c r="EF114" s="20" t="inlineStr">
        <is>
          <t>IC Organic Acids</t>
        </is>
      </c>
      <c r="EG114" s="20" t="inlineStr">
        <is>
          <t>None</t>
        </is>
      </c>
      <c r="EH114" s="17" t="n"/>
      <c r="EI114" s="16" t="n"/>
      <c r="EJ114" s="20" t="inlineStr">
        <is>
          <t>IC Organic Acids</t>
        </is>
      </c>
      <c r="EK114" s="20" t="inlineStr">
        <is>
          <t>None</t>
        </is>
      </c>
      <c r="EL114" s="17" t="n"/>
      <c r="EM114" s="16" t="n"/>
      <c r="EN114" s="20" t="inlineStr">
        <is>
          <t>IC Organic Acids</t>
        </is>
      </c>
      <c r="EO114" s="20" t="inlineStr">
        <is>
          <t>None</t>
        </is>
      </c>
      <c r="EP114" s="17" t="n"/>
      <c r="EQ114" s="16" t="n"/>
      <c r="ER114" s="20" t="inlineStr">
        <is>
          <t>IC Organic Acids</t>
        </is>
      </c>
      <c r="ES114" s="20" t="inlineStr">
        <is>
          <t>None</t>
        </is>
      </c>
      <c r="ET114" s="17" t="n"/>
      <c r="EU114" s="16" t="n"/>
      <c r="EV114" s="20" t="inlineStr">
        <is>
          <t>LC-MS</t>
        </is>
      </c>
      <c r="EW114" s="20" t="inlineStr">
        <is>
          <t>None</t>
        </is>
      </c>
      <c r="EX114" s="17" t="n"/>
      <c r="EY114" s="21" t="n"/>
      <c r="EZ114">
        <f>CONCATENATE(A114,B114)</f>
        <v/>
      </c>
      <c r="FA114">
        <f>CONCATENATE(SamplesX!A114,SamplesX!B114)</f>
        <v/>
      </c>
      <c r="FC114">
        <f>MATCH(EZ114,FA1:FA1008,0)</f>
        <v/>
      </c>
    </row>
    <row r="115">
      <c r="A115" s="16" t="inlineStr">
        <is>
          <t>BP</t>
        </is>
      </c>
      <c r="B115" s="17" t="inlineStr">
        <is>
          <t>25107</t>
        </is>
      </c>
      <c r="C115" s="10">
        <f>IF(ISNUMBER(FC115),INDIRECT("SamplesX!C"&amp;FC115),IF(ISNUMBER(FD115),INDIRECT("SamplesY!C"&amp;FD115),""))</f>
        <v/>
      </c>
      <c r="D115" s="12">
        <f>IF(ISNUMBER(FC115),INDIRECT("SamplesX!D"&amp;FC115),IF(ISNUMBER(FD115),INDIRECT("SamplesY!D"&amp;FD115),""))</f>
        <v/>
      </c>
      <c r="E115" s="12">
        <f>IF(ISNUMBER(FC115),INDIRECT("SamplesX!E"&amp;FC115),IF(ISNUMBER(FD115),INDIRECT("SamplesY!E"&amp;FD115),""))</f>
        <v/>
      </c>
      <c r="F115" s="11">
        <f>IF(ISNUMBER(FC115),INDIRECT("SamplesX!F"&amp;FC115),IF(ISNUMBER(FD115),INDIRECT("SamplesY!F"&amp;FD115),""))</f>
        <v/>
      </c>
      <c r="G115" s="18">
        <f>IF(ISNUMBER(FC115),INDIRECT("SamplesX!G"&amp;FC115),IF(ISNUMBER(FD115),INDIRECT("SamplesY!G"&amp;FD115),""))</f>
        <v/>
      </c>
      <c r="H115" s="19">
        <f>IF(ISNUMBER(FC115),INDIRECT("SamplesX!H"&amp;FC115),IF(ISNUMBER(FD115),INDIRECT("SamplesY!H"&amp;FD115),""))</f>
        <v/>
      </c>
      <c r="I115" s="16" t="n"/>
      <c r="J115" s="16" t="n"/>
      <c r="K115" s="16" t="n"/>
      <c r="L115" s="20" t="n"/>
      <c r="M115" s="20" t="inlineStr">
        <is>
          <t>None</t>
        </is>
      </c>
      <c r="N115" s="17" t="n"/>
      <c r="O115" s="16" t="n"/>
      <c r="P115" s="20" t="inlineStr">
        <is>
          <t>Shimadzu TOC-L</t>
        </is>
      </c>
      <c r="Q115" s="20" t="inlineStr">
        <is>
          <t>None</t>
        </is>
      </c>
      <c r="R115" s="17" t="n"/>
      <c r="S115" s="16" t="n"/>
      <c r="T115" s="20" t="inlineStr">
        <is>
          <t>Shimadzu TOC-L</t>
        </is>
      </c>
      <c r="U115" s="20" t="inlineStr">
        <is>
          <t>None</t>
        </is>
      </c>
      <c r="V115" s="17" t="n"/>
      <c r="W115" s="16" t="n"/>
      <c r="X115" s="20" t="n"/>
      <c r="Y115" s="20" t="inlineStr">
        <is>
          <t>None</t>
        </is>
      </c>
      <c r="Z115" s="17" t="n"/>
      <c r="AA115" s="16" t="n"/>
      <c r="AB115" s="20" t="n"/>
      <c r="AC115" s="20" t="inlineStr">
        <is>
          <t>None</t>
        </is>
      </c>
      <c r="AD115" s="17" t="n"/>
      <c r="AE115" s="16" t="inlineStr">
        <is>
          <t>129</t>
        </is>
      </c>
      <c r="AF115" s="20" t="inlineStr">
        <is>
          <t>IC Anionen</t>
        </is>
      </c>
      <c r="AG115" s="20" t="inlineStr">
        <is>
          <t>None</t>
        </is>
      </c>
      <c r="AH115" s="17" t="n"/>
      <c r="AI115" s="16" t="inlineStr">
        <is>
          <t>&lt;0.15</t>
        </is>
      </c>
      <c r="AJ115" s="20" t="inlineStr">
        <is>
          <t>IC Anionen</t>
        </is>
      </c>
      <c r="AK115" s="20" t="inlineStr">
        <is>
          <t>None</t>
        </is>
      </c>
      <c r="AL115" s="17" t="n"/>
      <c r="AM115" s="16" t="n"/>
      <c r="AN115" s="20" t="inlineStr">
        <is>
          <t>IC Anionen</t>
        </is>
      </c>
      <c r="AO115" s="20" t="inlineStr">
        <is>
          <t>None</t>
        </is>
      </c>
      <c r="AP115" s="17" t="n"/>
      <c r="AQ115" s="16" t="inlineStr">
        <is>
          <t>&lt;0.21</t>
        </is>
      </c>
      <c r="AR115" s="20" t="inlineStr">
        <is>
          <t>IC Anionen</t>
        </is>
      </c>
      <c r="AS115" s="20" t="inlineStr">
        <is>
          <t>None</t>
        </is>
      </c>
      <c r="AT115" s="17" t="n"/>
      <c r="AU115" s="16" t="inlineStr">
        <is>
          <t>5.46</t>
        </is>
      </c>
      <c r="AV115" s="20" t="inlineStr">
        <is>
          <t>IC Anionen</t>
        </is>
      </c>
      <c r="AW115" s="20" t="inlineStr">
        <is>
          <t>None</t>
        </is>
      </c>
      <c r="AX115" s="17" t="n"/>
      <c r="AY115" s="16" t="inlineStr">
        <is>
          <t>1.26</t>
        </is>
      </c>
      <c r="AZ115" s="20" t="inlineStr">
        <is>
          <t>IC Anionen</t>
        </is>
      </c>
      <c r="BA115" s="20" t="inlineStr">
        <is>
          <t>None</t>
        </is>
      </c>
      <c r="BB115" s="17" t="n"/>
      <c r="BC115" s="16" t="inlineStr">
        <is>
          <t>108</t>
        </is>
      </c>
      <c r="BD115" s="20" t="inlineStr">
        <is>
          <t>IC Kationen</t>
        </is>
      </c>
      <c r="BE115" s="20" t="inlineStr">
        <is>
          <t>None</t>
        </is>
      </c>
      <c r="BF115" s="17" t="n"/>
      <c r="BG115" s="16" t="inlineStr">
        <is>
          <t>29.8</t>
        </is>
      </c>
      <c r="BH115" s="20" t="inlineStr">
        <is>
          <t>IC Kationen</t>
        </is>
      </c>
      <c r="BI115" s="20" t="inlineStr">
        <is>
          <t>None</t>
        </is>
      </c>
      <c r="BJ115" s="17" t="n"/>
      <c r="BK115" s="16" t="inlineStr">
        <is>
          <t>15.7</t>
        </is>
      </c>
      <c r="BL115" s="20" t="inlineStr">
        <is>
          <t>IC Kationen</t>
        </is>
      </c>
      <c r="BM115" s="20" t="inlineStr">
        <is>
          <t>None</t>
        </is>
      </c>
      <c r="BN115" s="17" t="n"/>
      <c r="BO115" s="16" t="inlineStr">
        <is>
          <t>213</t>
        </is>
      </c>
      <c r="BP115" s="20" t="inlineStr">
        <is>
          <t>IC Kationen</t>
        </is>
      </c>
      <c r="BQ115" s="20" t="inlineStr">
        <is>
          <t>None</t>
        </is>
      </c>
      <c r="BR115" s="17" t="n"/>
      <c r="BS115" s="16" t="inlineStr">
        <is>
          <t>25.0</t>
        </is>
      </c>
      <c r="BT115" s="20" t="inlineStr">
        <is>
          <t>IC Kationen</t>
        </is>
      </c>
      <c r="BU115" s="20" t="inlineStr">
        <is>
          <t>None</t>
        </is>
      </c>
      <c r="BV115" s="17" t="n"/>
      <c r="BW115" s="16" t="n"/>
      <c r="BX115" s="20" t="n"/>
      <c r="BY115" s="20" t="inlineStr">
        <is>
          <t>None</t>
        </is>
      </c>
      <c r="BZ115" s="17" t="n"/>
      <c r="CA115" s="16" t="n"/>
      <c r="CB115" s="20" t="n"/>
      <c r="CC115" s="20" t="inlineStr">
        <is>
          <t>None</t>
        </is>
      </c>
      <c r="CD115" s="17" t="n"/>
      <c r="CE115" s="16" t="n"/>
      <c r="CF115" s="20" t="n"/>
      <c r="CG115" s="20" t="inlineStr">
        <is>
          <t>None</t>
        </is>
      </c>
      <c r="CH115" s="17" t="n"/>
      <c r="CI115" s="16" t="n"/>
      <c r="CJ115" s="20" t="n"/>
      <c r="CK115" s="20" t="inlineStr">
        <is>
          <t>None</t>
        </is>
      </c>
      <c r="CL115" s="17" t="n"/>
      <c r="CM115" s="16" t="n"/>
      <c r="CN115" s="20" t="inlineStr">
        <is>
          <t>SOP 45-34</t>
        </is>
      </c>
      <c r="CO115" s="20" t="inlineStr">
        <is>
          <t>None</t>
        </is>
      </c>
      <c r="CP115" s="17" t="n"/>
      <c r="CQ115" s="16" t="n"/>
      <c r="CR115" s="20" t="n"/>
      <c r="CS115" s="20" t="inlineStr">
        <is>
          <t>None</t>
        </is>
      </c>
      <c r="CT115" s="17" t="n"/>
      <c r="CU115" s="16" t="n"/>
      <c r="CV115" s="20" t="n"/>
      <c r="CW115" s="20" t="inlineStr">
        <is>
          <t>None</t>
        </is>
      </c>
      <c r="CX115" s="17" t="n"/>
      <c r="CY115" s="16" t="n"/>
      <c r="CZ115" s="20" t="inlineStr">
        <is>
          <t>WTW Multimeter 3430 with FDO 925</t>
        </is>
      </c>
      <c r="DA115" s="20" t="inlineStr">
        <is>
          <t>None</t>
        </is>
      </c>
      <c r="DB115" s="17" t="n"/>
      <c r="DC115" s="16" t="n"/>
      <c r="DD115" s="20" t="n"/>
      <c r="DE115" s="20" t="inlineStr">
        <is>
          <t>None</t>
        </is>
      </c>
      <c r="DF115" s="17" t="n"/>
      <c r="DG115" s="16" t="n"/>
      <c r="DH115" s="20" t="inlineStr">
        <is>
          <t>SOP 45-09</t>
        </is>
      </c>
      <c r="DI115" s="20" t="inlineStr">
        <is>
          <t>None</t>
        </is>
      </c>
      <c r="DJ115" s="17" t="n"/>
      <c r="DK115" s="16" t="n"/>
      <c r="DL115" s="20" t="inlineStr">
        <is>
          <t>SOP 45-09 (SOP muss noch angepasst werden für VSS)</t>
        </is>
      </c>
      <c r="DM115" s="20" t="inlineStr">
        <is>
          <t>None</t>
        </is>
      </c>
      <c r="DN115" s="17" t="n"/>
      <c r="DO115" s="16" t="n"/>
      <c r="DP115" s="20" t="inlineStr">
        <is>
          <t>IC Organic Acids</t>
        </is>
      </c>
      <c r="DQ115" s="20" t="inlineStr">
        <is>
          <t>None</t>
        </is>
      </c>
      <c r="DR115" s="17" t="n"/>
      <c r="DS115" s="16" t="n"/>
      <c r="DT115" s="20" t="inlineStr">
        <is>
          <t>IC Organic Acids</t>
        </is>
      </c>
      <c r="DU115" s="20" t="inlineStr">
        <is>
          <t>None</t>
        </is>
      </c>
      <c r="DV115" s="17" t="n"/>
      <c r="DW115" s="16" t="n"/>
      <c r="DX115" s="20" t="inlineStr">
        <is>
          <t>IC Organic Acids</t>
        </is>
      </c>
      <c r="DY115" s="20" t="inlineStr">
        <is>
          <t>None</t>
        </is>
      </c>
      <c r="DZ115" s="17" t="n"/>
      <c r="EA115" s="16" t="n"/>
      <c r="EB115" s="20" t="inlineStr">
        <is>
          <t>IC Organic Acids</t>
        </is>
      </c>
      <c r="EC115" s="20" t="inlineStr">
        <is>
          <t>None</t>
        </is>
      </c>
      <c r="ED115" s="17" t="n"/>
      <c r="EE115" s="16" t="n"/>
      <c r="EF115" s="20" t="inlineStr">
        <is>
          <t>IC Organic Acids</t>
        </is>
      </c>
      <c r="EG115" s="20" t="inlineStr">
        <is>
          <t>None</t>
        </is>
      </c>
      <c r="EH115" s="17" t="n"/>
      <c r="EI115" s="16" t="n"/>
      <c r="EJ115" s="20" t="inlineStr">
        <is>
          <t>IC Organic Acids</t>
        </is>
      </c>
      <c r="EK115" s="20" t="inlineStr">
        <is>
          <t>None</t>
        </is>
      </c>
      <c r="EL115" s="17" t="n"/>
      <c r="EM115" s="16" t="n"/>
      <c r="EN115" s="20" t="inlineStr">
        <is>
          <t>IC Organic Acids</t>
        </is>
      </c>
      <c r="EO115" s="20" t="inlineStr">
        <is>
          <t>None</t>
        </is>
      </c>
      <c r="EP115" s="17" t="n"/>
      <c r="EQ115" s="16" t="n"/>
      <c r="ER115" s="20" t="inlineStr">
        <is>
          <t>IC Organic Acids</t>
        </is>
      </c>
      <c r="ES115" s="20" t="inlineStr">
        <is>
          <t>None</t>
        </is>
      </c>
      <c r="ET115" s="17" t="n"/>
      <c r="EU115" s="16" t="n"/>
      <c r="EV115" s="20" t="inlineStr">
        <is>
          <t>LC-MS</t>
        </is>
      </c>
      <c r="EW115" s="20" t="inlineStr">
        <is>
          <t>None</t>
        </is>
      </c>
      <c r="EX115" s="17" t="n"/>
      <c r="EY115" s="21" t="n"/>
      <c r="EZ115">
        <f>CONCATENATE(A115,B115)</f>
        <v/>
      </c>
      <c r="FA115">
        <f>CONCATENATE(SamplesX!A115,SamplesX!B115)</f>
        <v/>
      </c>
      <c r="FC115">
        <f>MATCH(EZ115,FA1:FA1008,0)</f>
        <v/>
      </c>
    </row>
    <row r="116">
      <c r="A116" s="16" t="inlineStr">
        <is>
          <t>BP</t>
        </is>
      </c>
      <c r="B116" s="17" t="inlineStr">
        <is>
          <t>25108</t>
        </is>
      </c>
      <c r="C116" s="10">
        <f>IF(ISNUMBER(FC116),INDIRECT("SamplesX!C"&amp;FC116),IF(ISNUMBER(FD116),INDIRECT("SamplesY!C"&amp;FD116),""))</f>
        <v/>
      </c>
      <c r="D116" s="12">
        <f>IF(ISNUMBER(FC116),INDIRECT("SamplesX!D"&amp;FC116),IF(ISNUMBER(FD116),INDIRECT("SamplesY!D"&amp;FD116),""))</f>
        <v/>
      </c>
      <c r="E116" s="12">
        <f>IF(ISNUMBER(FC116),INDIRECT("SamplesX!E"&amp;FC116),IF(ISNUMBER(FD116),INDIRECT("SamplesY!E"&amp;FD116),""))</f>
        <v/>
      </c>
      <c r="F116" s="11">
        <f>IF(ISNUMBER(FC116),INDIRECT("SamplesX!F"&amp;FC116),IF(ISNUMBER(FD116),INDIRECT("SamplesY!F"&amp;FD116),""))</f>
        <v/>
      </c>
      <c r="G116" s="18">
        <f>IF(ISNUMBER(FC116),INDIRECT("SamplesX!G"&amp;FC116),IF(ISNUMBER(FD116),INDIRECT("SamplesY!G"&amp;FD116),""))</f>
        <v/>
      </c>
      <c r="H116" s="19">
        <f>IF(ISNUMBER(FC116),INDIRECT("SamplesX!H"&amp;FC116),IF(ISNUMBER(FD116),INDIRECT("SamplesY!H"&amp;FD116),""))</f>
        <v/>
      </c>
      <c r="I116" s="16" t="n"/>
      <c r="J116" s="16" t="n"/>
      <c r="K116" s="16" t="n"/>
      <c r="L116" s="20" t="n"/>
      <c r="M116" s="20" t="inlineStr">
        <is>
          <t>None</t>
        </is>
      </c>
      <c r="N116" s="17" t="n"/>
      <c r="O116" s="16" t="n"/>
      <c r="P116" s="20" t="inlineStr">
        <is>
          <t>Shimadzu TOC-L</t>
        </is>
      </c>
      <c r="Q116" s="20" t="inlineStr">
        <is>
          <t>None</t>
        </is>
      </c>
      <c r="R116" s="17" t="n"/>
      <c r="S116" s="16" t="n"/>
      <c r="T116" s="20" t="inlineStr">
        <is>
          <t>Shimadzu TOC-L</t>
        </is>
      </c>
      <c r="U116" s="20" t="inlineStr">
        <is>
          <t>None</t>
        </is>
      </c>
      <c r="V116" s="17" t="n"/>
      <c r="W116" s="16" t="n"/>
      <c r="X116" s="20" t="n"/>
      <c r="Y116" s="20" t="inlineStr">
        <is>
          <t>None</t>
        </is>
      </c>
      <c r="Z116" s="17" t="n"/>
      <c r="AA116" s="16" t="n"/>
      <c r="AB116" s="20" t="n"/>
      <c r="AC116" s="20" t="inlineStr">
        <is>
          <t>None</t>
        </is>
      </c>
      <c r="AD116" s="17" t="n"/>
      <c r="AE116" s="16" t="inlineStr">
        <is>
          <t>140</t>
        </is>
      </c>
      <c r="AF116" s="20" t="inlineStr">
        <is>
          <t>IC Anionen</t>
        </is>
      </c>
      <c r="AG116" s="20" t="inlineStr">
        <is>
          <t>None</t>
        </is>
      </c>
      <c r="AH116" s="17" t="n"/>
      <c r="AI116" s="16" t="inlineStr">
        <is>
          <t>&lt;0.15</t>
        </is>
      </c>
      <c r="AJ116" s="20" t="inlineStr">
        <is>
          <t>IC Anionen</t>
        </is>
      </c>
      <c r="AK116" s="20" t="inlineStr">
        <is>
          <t>None</t>
        </is>
      </c>
      <c r="AL116" s="17" t="n"/>
      <c r="AM116" s="16" t="n"/>
      <c r="AN116" s="20" t="inlineStr">
        <is>
          <t>IC Anionen</t>
        </is>
      </c>
      <c r="AO116" s="20" t="inlineStr">
        <is>
          <t>None</t>
        </is>
      </c>
      <c r="AP116" s="17" t="n"/>
      <c r="AQ116" s="16" t="inlineStr">
        <is>
          <t>&lt;0.22</t>
        </is>
      </c>
      <c r="AR116" s="20" t="inlineStr">
        <is>
          <t>IC Anionen</t>
        </is>
      </c>
      <c r="AS116" s="20" t="inlineStr">
        <is>
          <t>None</t>
        </is>
      </c>
      <c r="AT116" s="17" t="n"/>
      <c r="AU116" s="16" t="inlineStr">
        <is>
          <t>33.7</t>
        </is>
      </c>
      <c r="AV116" s="20" t="inlineStr">
        <is>
          <t>IC Anionen</t>
        </is>
      </c>
      <c r="AW116" s="20" t="inlineStr">
        <is>
          <t>None</t>
        </is>
      </c>
      <c r="AX116" s="17" t="n"/>
      <c r="AY116" s="16" t="inlineStr">
        <is>
          <t>3.06</t>
        </is>
      </c>
      <c r="AZ116" s="20" t="inlineStr">
        <is>
          <t>IC Anionen</t>
        </is>
      </c>
      <c r="BA116" s="20" t="inlineStr">
        <is>
          <t>None</t>
        </is>
      </c>
      <c r="BB116" s="17" t="n"/>
      <c r="BC116" s="16" t="inlineStr">
        <is>
          <t>108</t>
        </is>
      </c>
      <c r="BD116" s="20" t="inlineStr">
        <is>
          <t>IC Kationen</t>
        </is>
      </c>
      <c r="BE116" s="20" t="inlineStr">
        <is>
          <t>None</t>
        </is>
      </c>
      <c r="BF116" s="17" t="n"/>
      <c r="BG116" s="16" t="inlineStr">
        <is>
          <t>192</t>
        </is>
      </c>
      <c r="BH116" s="20" t="inlineStr">
        <is>
          <t>IC Kationen</t>
        </is>
      </c>
      <c r="BI116" s="20" t="inlineStr">
        <is>
          <t>None</t>
        </is>
      </c>
      <c r="BJ116" s="17" t="n"/>
      <c r="BK116" s="16" t="inlineStr">
        <is>
          <t>19.2</t>
        </is>
      </c>
      <c r="BL116" s="20" t="inlineStr">
        <is>
          <t>IC Kationen</t>
        </is>
      </c>
      <c r="BM116" s="20" t="inlineStr">
        <is>
          <t>None</t>
        </is>
      </c>
      <c r="BN116" s="17" t="n"/>
      <c r="BO116" s="16" t="inlineStr">
        <is>
          <t>212</t>
        </is>
      </c>
      <c r="BP116" s="20" t="inlineStr">
        <is>
          <t>IC Kationen</t>
        </is>
      </c>
      <c r="BQ116" s="20" t="inlineStr">
        <is>
          <t>None</t>
        </is>
      </c>
      <c r="BR116" s="17" t="n"/>
      <c r="BS116" s="16" t="inlineStr">
        <is>
          <t>28.7</t>
        </is>
      </c>
      <c r="BT116" s="20" t="inlineStr">
        <is>
          <t>IC Kationen</t>
        </is>
      </c>
      <c r="BU116" s="20" t="inlineStr">
        <is>
          <t>None</t>
        </is>
      </c>
      <c r="BV116" s="17" t="n"/>
      <c r="BW116" s="16" t="n"/>
      <c r="BX116" s="20" t="n"/>
      <c r="BY116" s="20" t="inlineStr">
        <is>
          <t>None</t>
        </is>
      </c>
      <c r="BZ116" s="17" t="n"/>
      <c r="CA116" s="16" t="n"/>
      <c r="CB116" s="20" t="n"/>
      <c r="CC116" s="20" t="inlineStr">
        <is>
          <t>None</t>
        </is>
      </c>
      <c r="CD116" s="17" t="n"/>
      <c r="CE116" s="16" t="n"/>
      <c r="CF116" s="20" t="n"/>
      <c r="CG116" s="20" t="inlineStr">
        <is>
          <t>None</t>
        </is>
      </c>
      <c r="CH116" s="17" t="n"/>
      <c r="CI116" s="16" t="n"/>
      <c r="CJ116" s="20" t="n"/>
      <c r="CK116" s="20" t="inlineStr">
        <is>
          <t>None</t>
        </is>
      </c>
      <c r="CL116" s="17" t="n"/>
      <c r="CM116" s="16" t="n"/>
      <c r="CN116" s="20" t="inlineStr">
        <is>
          <t>SOP 45-34</t>
        </is>
      </c>
      <c r="CO116" s="20" t="inlineStr">
        <is>
          <t>None</t>
        </is>
      </c>
      <c r="CP116" s="17" t="n"/>
      <c r="CQ116" s="16" t="n"/>
      <c r="CR116" s="20" t="n"/>
      <c r="CS116" s="20" t="inlineStr">
        <is>
          <t>None</t>
        </is>
      </c>
      <c r="CT116" s="17" t="n"/>
      <c r="CU116" s="16" t="n"/>
      <c r="CV116" s="20" t="n"/>
      <c r="CW116" s="20" t="inlineStr">
        <is>
          <t>None</t>
        </is>
      </c>
      <c r="CX116" s="17" t="n"/>
      <c r="CY116" s="16" t="n"/>
      <c r="CZ116" s="20" t="inlineStr">
        <is>
          <t>WTW Multimeter 3430 with FDO 925</t>
        </is>
      </c>
      <c r="DA116" s="20" t="inlineStr">
        <is>
          <t>None</t>
        </is>
      </c>
      <c r="DB116" s="17" t="n"/>
      <c r="DC116" s="16" t="n"/>
      <c r="DD116" s="20" t="n"/>
      <c r="DE116" s="20" t="inlineStr">
        <is>
          <t>None</t>
        </is>
      </c>
      <c r="DF116" s="17" t="n"/>
      <c r="DG116" s="16" t="n"/>
      <c r="DH116" s="20" t="inlineStr">
        <is>
          <t>SOP 45-09</t>
        </is>
      </c>
      <c r="DI116" s="20" t="inlineStr">
        <is>
          <t>None</t>
        </is>
      </c>
      <c r="DJ116" s="17" t="n"/>
      <c r="DK116" s="16" t="n"/>
      <c r="DL116" s="20" t="inlineStr">
        <is>
          <t>SOP 45-09 (SOP muss noch angepasst werden für VSS)</t>
        </is>
      </c>
      <c r="DM116" s="20" t="inlineStr">
        <is>
          <t>None</t>
        </is>
      </c>
      <c r="DN116" s="17" t="n"/>
      <c r="DO116" s="16" t="n"/>
      <c r="DP116" s="20" t="inlineStr">
        <is>
          <t>IC Organic Acids</t>
        </is>
      </c>
      <c r="DQ116" s="20" t="inlineStr">
        <is>
          <t>None</t>
        </is>
      </c>
      <c r="DR116" s="17" t="n"/>
      <c r="DS116" s="16" t="n"/>
      <c r="DT116" s="20" t="inlineStr">
        <is>
          <t>IC Organic Acids</t>
        </is>
      </c>
      <c r="DU116" s="20" t="inlineStr">
        <is>
          <t>None</t>
        </is>
      </c>
      <c r="DV116" s="17" t="n"/>
      <c r="DW116" s="16" t="n"/>
      <c r="DX116" s="20" t="inlineStr">
        <is>
          <t>IC Organic Acids</t>
        </is>
      </c>
      <c r="DY116" s="20" t="inlineStr">
        <is>
          <t>None</t>
        </is>
      </c>
      <c r="DZ116" s="17" t="n"/>
      <c r="EA116" s="16" t="n"/>
      <c r="EB116" s="20" t="inlineStr">
        <is>
          <t>IC Organic Acids</t>
        </is>
      </c>
      <c r="EC116" s="20" t="inlineStr">
        <is>
          <t>None</t>
        </is>
      </c>
      <c r="ED116" s="17" t="n"/>
      <c r="EE116" s="16" t="n"/>
      <c r="EF116" s="20" t="inlineStr">
        <is>
          <t>IC Organic Acids</t>
        </is>
      </c>
      <c r="EG116" s="20" t="inlineStr">
        <is>
          <t>None</t>
        </is>
      </c>
      <c r="EH116" s="17" t="n"/>
      <c r="EI116" s="16" t="n"/>
      <c r="EJ116" s="20" t="inlineStr">
        <is>
          <t>IC Organic Acids</t>
        </is>
      </c>
      <c r="EK116" s="20" t="inlineStr">
        <is>
          <t>None</t>
        </is>
      </c>
      <c r="EL116" s="17" t="n"/>
      <c r="EM116" s="16" t="n"/>
      <c r="EN116" s="20" t="inlineStr">
        <is>
          <t>IC Organic Acids</t>
        </is>
      </c>
      <c r="EO116" s="20" t="inlineStr">
        <is>
          <t>None</t>
        </is>
      </c>
      <c r="EP116" s="17" t="n"/>
      <c r="EQ116" s="16" t="n"/>
      <c r="ER116" s="20" t="inlineStr">
        <is>
          <t>IC Organic Acids</t>
        </is>
      </c>
      <c r="ES116" s="20" t="inlineStr">
        <is>
          <t>None</t>
        </is>
      </c>
      <c r="ET116" s="17" t="n"/>
      <c r="EU116" s="16" t="n"/>
      <c r="EV116" s="20" t="inlineStr">
        <is>
          <t>LC-MS</t>
        </is>
      </c>
      <c r="EW116" s="20" t="inlineStr">
        <is>
          <t>None</t>
        </is>
      </c>
      <c r="EX116" s="17" t="n"/>
      <c r="EY116" s="21" t="n"/>
      <c r="EZ116">
        <f>CONCATENATE(A116,B116)</f>
        <v/>
      </c>
      <c r="FA116">
        <f>CONCATENATE(SamplesX!A116,SamplesX!B116)</f>
        <v/>
      </c>
      <c r="FC116">
        <f>MATCH(EZ116,FA1:FA1008,0)</f>
        <v/>
      </c>
    </row>
    <row r="117">
      <c r="A117" s="16" t="inlineStr">
        <is>
          <t>BP</t>
        </is>
      </c>
      <c r="B117" s="17" t="inlineStr">
        <is>
          <t>25109</t>
        </is>
      </c>
      <c r="C117" s="10">
        <f>IF(ISNUMBER(FC117),INDIRECT("SamplesX!C"&amp;FC117),IF(ISNUMBER(FD117),INDIRECT("SamplesY!C"&amp;FD117),""))</f>
        <v/>
      </c>
      <c r="D117" s="12">
        <f>IF(ISNUMBER(FC117),INDIRECT("SamplesX!D"&amp;FC117),IF(ISNUMBER(FD117),INDIRECT("SamplesY!D"&amp;FD117),""))</f>
        <v/>
      </c>
      <c r="E117" s="12">
        <f>IF(ISNUMBER(FC117),INDIRECT("SamplesX!E"&amp;FC117),IF(ISNUMBER(FD117),INDIRECT("SamplesY!E"&amp;FD117),""))</f>
        <v/>
      </c>
      <c r="F117" s="11">
        <f>IF(ISNUMBER(FC117),INDIRECT("SamplesX!F"&amp;FC117),IF(ISNUMBER(FD117),INDIRECT("SamplesY!F"&amp;FD117),""))</f>
        <v/>
      </c>
      <c r="G117" s="18">
        <f>IF(ISNUMBER(FC117),INDIRECT("SamplesX!G"&amp;FC117),IF(ISNUMBER(FD117),INDIRECT("SamplesY!G"&amp;FD117),""))</f>
        <v/>
      </c>
      <c r="H117" s="19">
        <f>IF(ISNUMBER(FC117),INDIRECT("SamplesX!H"&amp;FC117),IF(ISNUMBER(FD117),INDIRECT("SamplesY!H"&amp;FD117),""))</f>
        <v/>
      </c>
      <c r="I117" s="16" t="n"/>
      <c r="J117" s="16" t="n"/>
      <c r="K117" s="16" t="n"/>
      <c r="L117" s="20" t="n"/>
      <c r="M117" s="20" t="inlineStr">
        <is>
          <t>None</t>
        </is>
      </c>
      <c r="N117" s="17" t="n"/>
      <c r="O117" s="16" t="n"/>
      <c r="P117" s="20" t="inlineStr">
        <is>
          <t>Shimadzu TOC-L</t>
        </is>
      </c>
      <c r="Q117" s="20" t="inlineStr">
        <is>
          <t>None</t>
        </is>
      </c>
      <c r="R117" s="17" t="n"/>
      <c r="S117" s="16" t="n"/>
      <c r="T117" s="20" t="inlineStr">
        <is>
          <t>Shimadzu TOC-L</t>
        </is>
      </c>
      <c r="U117" s="20" t="inlineStr">
        <is>
          <t>None</t>
        </is>
      </c>
      <c r="V117" s="17" t="n"/>
      <c r="W117" s="16" t="n"/>
      <c r="X117" s="20" t="n"/>
      <c r="Y117" s="20" t="inlineStr">
        <is>
          <t>None</t>
        </is>
      </c>
      <c r="Z117" s="17" t="n"/>
      <c r="AA117" s="16" t="n"/>
      <c r="AB117" s="20" t="n"/>
      <c r="AC117" s="20" t="inlineStr">
        <is>
          <t>None</t>
        </is>
      </c>
      <c r="AD117" s="17" t="n"/>
      <c r="AE117" s="16" t="inlineStr">
        <is>
          <t>358</t>
        </is>
      </c>
      <c r="AF117" s="20" t="inlineStr">
        <is>
          <t>IC Anionen</t>
        </is>
      </c>
      <c r="AG117" s="20" t="inlineStr">
        <is>
          <t>None</t>
        </is>
      </c>
      <c r="AH117" s="17" t="n"/>
      <c r="AI117" s="16" t="inlineStr">
        <is>
          <t>&lt;0.15</t>
        </is>
      </c>
      <c r="AJ117" s="20" t="inlineStr">
        <is>
          <t>IC Anionen</t>
        </is>
      </c>
      <c r="AK117" s="20" t="inlineStr">
        <is>
          <t>None</t>
        </is>
      </c>
      <c r="AL117" s="17" t="n"/>
      <c r="AM117" s="16" t="n"/>
      <c r="AN117" s="20" t="inlineStr">
        <is>
          <t>IC Anionen</t>
        </is>
      </c>
      <c r="AO117" s="20" t="inlineStr">
        <is>
          <t>None</t>
        </is>
      </c>
      <c r="AP117" s="17" t="n"/>
      <c r="AQ117" s="16" t="inlineStr">
        <is>
          <t>&lt;0.23</t>
        </is>
      </c>
      <c r="AR117" s="20" t="inlineStr">
        <is>
          <t>IC Anionen</t>
        </is>
      </c>
      <c r="AS117" s="20" t="inlineStr">
        <is>
          <t>None</t>
        </is>
      </c>
      <c r="AT117" s="17" t="n"/>
      <c r="AU117" s="16" t="inlineStr">
        <is>
          <t>&lt;0.13</t>
        </is>
      </c>
      <c r="AV117" s="20" t="inlineStr">
        <is>
          <t>IC Anionen</t>
        </is>
      </c>
      <c r="AW117" s="20" t="inlineStr">
        <is>
          <t>None</t>
        </is>
      </c>
      <c r="AX117" s="17" t="n"/>
      <c r="AY117" s="16" t="inlineStr">
        <is>
          <t>&lt;0.80</t>
        </is>
      </c>
      <c r="AZ117" s="20" t="inlineStr">
        <is>
          <t>IC Anionen</t>
        </is>
      </c>
      <c r="BA117" s="20" t="inlineStr">
        <is>
          <t>None</t>
        </is>
      </c>
      <c r="BB117" s="17" t="n"/>
      <c r="BC117" s="16" t="inlineStr">
        <is>
          <t>99.1</t>
        </is>
      </c>
      <c r="BD117" s="20" t="inlineStr">
        <is>
          <t>IC Kationen</t>
        </is>
      </c>
      <c r="BE117" s="20" t="inlineStr">
        <is>
          <t>None</t>
        </is>
      </c>
      <c r="BF117" s="17" t="n"/>
      <c r="BG117" s="16" t="inlineStr">
        <is>
          <t>88.8</t>
        </is>
      </c>
      <c r="BH117" s="20" t="inlineStr">
        <is>
          <t>IC Kationen</t>
        </is>
      </c>
      <c r="BI117" s="20" t="inlineStr">
        <is>
          <t>None</t>
        </is>
      </c>
      <c r="BJ117" s="17" t="n"/>
      <c r="BK117" s="16" t="inlineStr">
        <is>
          <t>18.1</t>
        </is>
      </c>
      <c r="BL117" s="20" t="inlineStr">
        <is>
          <t>IC Kationen</t>
        </is>
      </c>
      <c r="BM117" s="20" t="inlineStr">
        <is>
          <t>None</t>
        </is>
      </c>
      <c r="BN117" s="17" t="n"/>
      <c r="BO117" s="16" t="inlineStr">
        <is>
          <t>192</t>
        </is>
      </c>
      <c r="BP117" s="20" t="inlineStr">
        <is>
          <t>IC Kationen</t>
        </is>
      </c>
      <c r="BQ117" s="20" t="inlineStr">
        <is>
          <t>None</t>
        </is>
      </c>
      <c r="BR117" s="17" t="n"/>
      <c r="BS117" s="16" t="inlineStr">
        <is>
          <t>25.2</t>
        </is>
      </c>
      <c r="BT117" s="20" t="inlineStr">
        <is>
          <t>IC Kationen</t>
        </is>
      </c>
      <c r="BU117" s="20" t="inlineStr">
        <is>
          <t>None</t>
        </is>
      </c>
      <c r="BV117" s="17" t="n"/>
      <c r="BW117" s="16" t="n"/>
      <c r="BX117" s="20" t="n"/>
      <c r="BY117" s="20" t="inlineStr">
        <is>
          <t>None</t>
        </is>
      </c>
      <c r="BZ117" s="17" t="n"/>
      <c r="CA117" s="16" t="n"/>
      <c r="CB117" s="20" t="n"/>
      <c r="CC117" s="20" t="inlineStr">
        <is>
          <t>None</t>
        </is>
      </c>
      <c r="CD117" s="17" t="n"/>
      <c r="CE117" s="16" t="n"/>
      <c r="CF117" s="20" t="n"/>
      <c r="CG117" s="20" t="inlineStr">
        <is>
          <t>None</t>
        </is>
      </c>
      <c r="CH117" s="17" t="n"/>
      <c r="CI117" s="16" t="n"/>
      <c r="CJ117" s="20" t="n"/>
      <c r="CK117" s="20" t="inlineStr">
        <is>
          <t>None</t>
        </is>
      </c>
      <c r="CL117" s="17" t="n"/>
      <c r="CM117" s="16" t="n"/>
      <c r="CN117" s="20" t="inlineStr">
        <is>
          <t>SOP 45-34</t>
        </is>
      </c>
      <c r="CO117" s="20" t="inlineStr">
        <is>
          <t>None</t>
        </is>
      </c>
      <c r="CP117" s="17" t="n"/>
      <c r="CQ117" s="16" t="n"/>
      <c r="CR117" s="20" t="n"/>
      <c r="CS117" s="20" t="inlineStr">
        <is>
          <t>None</t>
        </is>
      </c>
      <c r="CT117" s="17" t="n"/>
      <c r="CU117" s="16" t="n"/>
      <c r="CV117" s="20" t="n"/>
      <c r="CW117" s="20" t="inlineStr">
        <is>
          <t>None</t>
        </is>
      </c>
      <c r="CX117" s="17" t="n"/>
      <c r="CY117" s="16" t="n"/>
      <c r="CZ117" s="20" t="inlineStr">
        <is>
          <t>WTW Multimeter 3430 with FDO 925</t>
        </is>
      </c>
      <c r="DA117" s="20" t="inlineStr">
        <is>
          <t>None</t>
        </is>
      </c>
      <c r="DB117" s="17" t="n"/>
      <c r="DC117" s="16" t="n"/>
      <c r="DD117" s="20" t="n"/>
      <c r="DE117" s="20" t="inlineStr">
        <is>
          <t>None</t>
        </is>
      </c>
      <c r="DF117" s="17" t="n"/>
      <c r="DG117" s="16" t="n"/>
      <c r="DH117" s="20" t="inlineStr">
        <is>
          <t>SOP 45-09</t>
        </is>
      </c>
      <c r="DI117" s="20" t="inlineStr">
        <is>
          <t>None</t>
        </is>
      </c>
      <c r="DJ117" s="17" t="n"/>
      <c r="DK117" s="16" t="n"/>
      <c r="DL117" s="20" t="inlineStr">
        <is>
          <t>SOP 45-09 (SOP muss noch angepasst werden für VSS)</t>
        </is>
      </c>
      <c r="DM117" s="20" t="inlineStr">
        <is>
          <t>None</t>
        </is>
      </c>
      <c r="DN117" s="17" t="n"/>
      <c r="DO117" s="16" t="n"/>
      <c r="DP117" s="20" t="inlineStr">
        <is>
          <t>IC Organic Acids</t>
        </is>
      </c>
      <c r="DQ117" s="20" t="inlineStr">
        <is>
          <t>None</t>
        </is>
      </c>
      <c r="DR117" s="17" t="n"/>
      <c r="DS117" s="16" t="n"/>
      <c r="DT117" s="20" t="inlineStr">
        <is>
          <t>IC Organic Acids</t>
        </is>
      </c>
      <c r="DU117" s="20" t="inlineStr">
        <is>
          <t>None</t>
        </is>
      </c>
      <c r="DV117" s="17" t="n"/>
      <c r="DW117" s="16" t="n"/>
      <c r="DX117" s="20" t="inlineStr">
        <is>
          <t>IC Organic Acids</t>
        </is>
      </c>
      <c r="DY117" s="20" t="inlineStr">
        <is>
          <t>None</t>
        </is>
      </c>
      <c r="DZ117" s="17" t="n"/>
      <c r="EA117" s="16" t="n"/>
      <c r="EB117" s="20" t="inlineStr">
        <is>
          <t>IC Organic Acids</t>
        </is>
      </c>
      <c r="EC117" s="20" t="inlineStr">
        <is>
          <t>None</t>
        </is>
      </c>
      <c r="ED117" s="17" t="n"/>
      <c r="EE117" s="16" t="n"/>
      <c r="EF117" s="20" t="inlineStr">
        <is>
          <t>IC Organic Acids</t>
        </is>
      </c>
      <c r="EG117" s="20" t="inlineStr">
        <is>
          <t>None</t>
        </is>
      </c>
      <c r="EH117" s="17" t="n"/>
      <c r="EI117" s="16" t="n"/>
      <c r="EJ117" s="20" t="inlineStr">
        <is>
          <t>IC Organic Acids</t>
        </is>
      </c>
      <c r="EK117" s="20" t="inlineStr">
        <is>
          <t>None</t>
        </is>
      </c>
      <c r="EL117" s="17" t="n"/>
      <c r="EM117" s="16" t="n"/>
      <c r="EN117" s="20" t="inlineStr">
        <is>
          <t>IC Organic Acids</t>
        </is>
      </c>
      <c r="EO117" s="20" t="inlineStr">
        <is>
          <t>None</t>
        </is>
      </c>
      <c r="EP117" s="17" t="n"/>
      <c r="EQ117" s="16" t="n"/>
      <c r="ER117" s="20" t="inlineStr">
        <is>
          <t>IC Organic Acids</t>
        </is>
      </c>
      <c r="ES117" s="20" t="inlineStr">
        <is>
          <t>None</t>
        </is>
      </c>
      <c r="ET117" s="17" t="n"/>
      <c r="EU117" s="16" t="n"/>
      <c r="EV117" s="20" t="inlineStr">
        <is>
          <t>LC-MS</t>
        </is>
      </c>
      <c r="EW117" s="20" t="inlineStr">
        <is>
          <t>None</t>
        </is>
      </c>
      <c r="EX117" s="17" t="n"/>
      <c r="EY117" s="21" t="n"/>
      <c r="EZ117">
        <f>CONCATENATE(A117,B117)</f>
        <v/>
      </c>
      <c r="FA117">
        <f>CONCATENATE(SamplesX!A117,SamplesX!B117)</f>
        <v/>
      </c>
      <c r="FC117">
        <f>MATCH(EZ117,FA1:FA1008,0)</f>
        <v/>
      </c>
    </row>
    <row r="118">
      <c r="A118" s="16" t="inlineStr">
        <is>
          <t>BP</t>
        </is>
      </c>
      <c r="B118" s="17" t="inlineStr">
        <is>
          <t>25110</t>
        </is>
      </c>
      <c r="C118" s="10">
        <f>IF(ISNUMBER(FC118),INDIRECT("SamplesX!C"&amp;FC118),IF(ISNUMBER(FD118),INDIRECT("SamplesY!C"&amp;FD118),""))</f>
        <v/>
      </c>
      <c r="D118" s="12">
        <f>IF(ISNUMBER(FC118),INDIRECT("SamplesX!D"&amp;FC118),IF(ISNUMBER(FD118),INDIRECT("SamplesY!D"&amp;FD118),""))</f>
        <v/>
      </c>
      <c r="E118" s="12">
        <f>IF(ISNUMBER(FC118),INDIRECT("SamplesX!E"&amp;FC118),IF(ISNUMBER(FD118),INDIRECT("SamplesY!E"&amp;FD118),""))</f>
        <v/>
      </c>
      <c r="F118" s="11">
        <f>IF(ISNUMBER(FC118),INDIRECT("SamplesX!F"&amp;FC118),IF(ISNUMBER(FD118),INDIRECT("SamplesY!F"&amp;FD118),""))</f>
        <v/>
      </c>
      <c r="G118" s="18">
        <f>IF(ISNUMBER(FC118),INDIRECT("SamplesX!G"&amp;FC118),IF(ISNUMBER(FD118),INDIRECT("SamplesY!G"&amp;FD118),""))</f>
        <v/>
      </c>
      <c r="H118" s="19">
        <f>IF(ISNUMBER(FC118),INDIRECT("SamplesX!H"&amp;FC118),IF(ISNUMBER(FD118),INDIRECT("SamplesY!H"&amp;FD118),""))</f>
        <v/>
      </c>
      <c r="I118" s="16" t="n"/>
      <c r="J118" s="16" t="n"/>
      <c r="K118" s="16" t="n"/>
      <c r="L118" s="20" t="n"/>
      <c r="M118" s="20" t="inlineStr">
        <is>
          <t>None</t>
        </is>
      </c>
      <c r="N118" s="17" t="n"/>
      <c r="O118" s="16" t="n"/>
      <c r="P118" s="20" t="inlineStr">
        <is>
          <t>Shimadzu TOC-L</t>
        </is>
      </c>
      <c r="Q118" s="20" t="inlineStr">
        <is>
          <t>None</t>
        </is>
      </c>
      <c r="R118" s="17" t="n"/>
      <c r="S118" s="16" t="n"/>
      <c r="T118" s="20" t="inlineStr">
        <is>
          <t>Shimadzu TOC-L</t>
        </is>
      </c>
      <c r="U118" s="20" t="inlineStr">
        <is>
          <t>None</t>
        </is>
      </c>
      <c r="V118" s="17" t="n"/>
      <c r="W118" s="16" t="n"/>
      <c r="X118" s="20" t="n"/>
      <c r="Y118" s="20" t="inlineStr">
        <is>
          <t>None</t>
        </is>
      </c>
      <c r="Z118" s="17" t="n"/>
      <c r="AA118" s="16" t="n"/>
      <c r="AB118" s="20" t="n"/>
      <c r="AC118" s="20" t="inlineStr">
        <is>
          <t>None</t>
        </is>
      </c>
      <c r="AD118" s="17" t="n"/>
      <c r="AE118" s="16" t="inlineStr">
        <is>
          <t>348</t>
        </is>
      </c>
      <c r="AF118" s="20" t="inlineStr">
        <is>
          <t>IC Anionen</t>
        </is>
      </c>
      <c r="AG118" s="20" t="inlineStr">
        <is>
          <t>None</t>
        </is>
      </c>
      <c r="AH118" s="17" t="n"/>
      <c r="AI118" s="16" t="inlineStr">
        <is>
          <t>&lt;0.15</t>
        </is>
      </c>
      <c r="AJ118" s="20" t="inlineStr">
        <is>
          <t>IC Anionen</t>
        </is>
      </c>
      <c r="AK118" s="20" t="inlineStr">
        <is>
          <t>None</t>
        </is>
      </c>
      <c r="AL118" s="17" t="n"/>
      <c r="AM118" s="16" t="n"/>
      <c r="AN118" s="20" t="inlineStr">
        <is>
          <t>IC Anionen</t>
        </is>
      </c>
      <c r="AO118" s="20" t="inlineStr">
        <is>
          <t>None</t>
        </is>
      </c>
      <c r="AP118" s="17" t="n"/>
      <c r="AQ118" s="16" t="inlineStr">
        <is>
          <t>&lt;0.24</t>
        </is>
      </c>
      <c r="AR118" s="20" t="inlineStr">
        <is>
          <t>IC Anionen</t>
        </is>
      </c>
      <c r="AS118" s="20" t="inlineStr">
        <is>
          <t>None</t>
        </is>
      </c>
      <c r="AT118" s="17" t="n"/>
      <c r="AU118" s="16" t="inlineStr">
        <is>
          <t>&lt;0.13</t>
        </is>
      </c>
      <c r="AV118" s="20" t="inlineStr">
        <is>
          <t>IC Anionen</t>
        </is>
      </c>
      <c r="AW118" s="20" t="inlineStr">
        <is>
          <t>None</t>
        </is>
      </c>
      <c r="AX118" s="17" t="n"/>
      <c r="AY118" s="16" t="inlineStr">
        <is>
          <t>&lt;0.80</t>
        </is>
      </c>
      <c r="AZ118" s="20" t="inlineStr">
        <is>
          <t>IC Anionen</t>
        </is>
      </c>
      <c r="BA118" s="20" t="inlineStr">
        <is>
          <t>None</t>
        </is>
      </c>
      <c r="BB118" s="17" t="n"/>
      <c r="BC118" s="16" t="inlineStr">
        <is>
          <t>99.8</t>
        </is>
      </c>
      <c r="BD118" s="20" t="inlineStr">
        <is>
          <t>IC Kationen</t>
        </is>
      </c>
      <c r="BE118" s="20" t="inlineStr">
        <is>
          <t>None</t>
        </is>
      </c>
      <c r="BF118" s="17" t="n"/>
      <c r="BG118" s="16" t="inlineStr">
        <is>
          <t>65.4</t>
        </is>
      </c>
      <c r="BH118" s="20" t="inlineStr">
        <is>
          <t>IC Kationen</t>
        </is>
      </c>
      <c r="BI118" s="20" t="inlineStr">
        <is>
          <t>None</t>
        </is>
      </c>
      <c r="BJ118" s="17" t="n"/>
      <c r="BK118" s="16" t="inlineStr">
        <is>
          <t>17.1</t>
        </is>
      </c>
      <c r="BL118" s="20" t="inlineStr">
        <is>
          <t>IC Kationen</t>
        </is>
      </c>
      <c r="BM118" s="20" t="inlineStr">
        <is>
          <t>None</t>
        </is>
      </c>
      <c r="BN118" s="17" t="n"/>
      <c r="BO118" s="16" t="inlineStr">
        <is>
          <t>147</t>
        </is>
      </c>
      <c r="BP118" s="20" t="inlineStr">
        <is>
          <t>IC Kationen</t>
        </is>
      </c>
      <c r="BQ118" s="20" t="inlineStr">
        <is>
          <t>None</t>
        </is>
      </c>
      <c r="BR118" s="17" t="n"/>
      <c r="BS118" s="16" t="inlineStr">
        <is>
          <t>25.5</t>
        </is>
      </c>
      <c r="BT118" s="20" t="inlineStr">
        <is>
          <t>IC Kationen</t>
        </is>
      </c>
      <c r="BU118" s="20" t="inlineStr">
        <is>
          <t>None</t>
        </is>
      </c>
      <c r="BV118" s="17" t="n"/>
      <c r="BW118" s="16" t="n"/>
      <c r="BX118" s="20" t="n"/>
      <c r="BY118" s="20" t="inlineStr">
        <is>
          <t>None</t>
        </is>
      </c>
      <c r="BZ118" s="17" t="n"/>
      <c r="CA118" s="16" t="n"/>
      <c r="CB118" s="20" t="n"/>
      <c r="CC118" s="20" t="inlineStr">
        <is>
          <t>None</t>
        </is>
      </c>
      <c r="CD118" s="17" t="n"/>
      <c r="CE118" s="16" t="n"/>
      <c r="CF118" s="20" t="n"/>
      <c r="CG118" s="20" t="inlineStr">
        <is>
          <t>None</t>
        </is>
      </c>
      <c r="CH118" s="17" t="n"/>
      <c r="CI118" s="16" t="n"/>
      <c r="CJ118" s="20" t="n"/>
      <c r="CK118" s="20" t="inlineStr">
        <is>
          <t>None</t>
        </is>
      </c>
      <c r="CL118" s="17" t="n"/>
      <c r="CM118" s="16" t="n"/>
      <c r="CN118" s="20" t="inlineStr">
        <is>
          <t>SOP 45-34</t>
        </is>
      </c>
      <c r="CO118" s="20" t="inlineStr">
        <is>
          <t>None</t>
        </is>
      </c>
      <c r="CP118" s="17" t="n"/>
      <c r="CQ118" s="16" t="n"/>
      <c r="CR118" s="20" t="n"/>
      <c r="CS118" s="20" t="inlineStr">
        <is>
          <t>None</t>
        </is>
      </c>
      <c r="CT118" s="17" t="n"/>
      <c r="CU118" s="16" t="n"/>
      <c r="CV118" s="20" t="n"/>
      <c r="CW118" s="20" t="inlineStr">
        <is>
          <t>None</t>
        </is>
      </c>
      <c r="CX118" s="17" t="n"/>
      <c r="CY118" s="16" t="n"/>
      <c r="CZ118" s="20" t="inlineStr">
        <is>
          <t>WTW Multimeter 3430 with FDO 925</t>
        </is>
      </c>
      <c r="DA118" s="20" t="inlineStr">
        <is>
          <t>None</t>
        </is>
      </c>
      <c r="DB118" s="17" t="n"/>
      <c r="DC118" s="16" t="n"/>
      <c r="DD118" s="20" t="n"/>
      <c r="DE118" s="20" t="inlineStr">
        <is>
          <t>None</t>
        </is>
      </c>
      <c r="DF118" s="17" t="n"/>
      <c r="DG118" s="16" t="n"/>
      <c r="DH118" s="20" t="inlineStr">
        <is>
          <t>SOP 45-09</t>
        </is>
      </c>
      <c r="DI118" s="20" t="inlineStr">
        <is>
          <t>None</t>
        </is>
      </c>
      <c r="DJ118" s="17" t="n"/>
      <c r="DK118" s="16" t="n"/>
      <c r="DL118" s="20" t="inlineStr">
        <is>
          <t>SOP 45-09 (SOP muss noch angepasst werden für VSS)</t>
        </is>
      </c>
      <c r="DM118" s="20" t="inlineStr">
        <is>
          <t>None</t>
        </is>
      </c>
      <c r="DN118" s="17" t="n"/>
      <c r="DO118" s="16" t="n"/>
      <c r="DP118" s="20" t="inlineStr">
        <is>
          <t>IC Organic Acids</t>
        </is>
      </c>
      <c r="DQ118" s="20" t="inlineStr">
        <is>
          <t>None</t>
        </is>
      </c>
      <c r="DR118" s="17" t="n"/>
      <c r="DS118" s="16" t="n"/>
      <c r="DT118" s="20" t="inlineStr">
        <is>
          <t>IC Organic Acids</t>
        </is>
      </c>
      <c r="DU118" s="20" t="inlineStr">
        <is>
          <t>None</t>
        </is>
      </c>
      <c r="DV118" s="17" t="n"/>
      <c r="DW118" s="16" t="n"/>
      <c r="DX118" s="20" t="inlineStr">
        <is>
          <t>IC Organic Acids</t>
        </is>
      </c>
      <c r="DY118" s="20" t="inlineStr">
        <is>
          <t>None</t>
        </is>
      </c>
      <c r="DZ118" s="17" t="n"/>
      <c r="EA118" s="16" t="n"/>
      <c r="EB118" s="20" t="inlineStr">
        <is>
          <t>IC Organic Acids</t>
        </is>
      </c>
      <c r="EC118" s="20" t="inlineStr">
        <is>
          <t>None</t>
        </is>
      </c>
      <c r="ED118" s="17" t="n"/>
      <c r="EE118" s="16" t="n"/>
      <c r="EF118" s="20" t="inlineStr">
        <is>
          <t>IC Organic Acids</t>
        </is>
      </c>
      <c r="EG118" s="20" t="inlineStr">
        <is>
          <t>None</t>
        </is>
      </c>
      <c r="EH118" s="17" t="n"/>
      <c r="EI118" s="16" t="n"/>
      <c r="EJ118" s="20" t="inlineStr">
        <is>
          <t>IC Organic Acids</t>
        </is>
      </c>
      <c r="EK118" s="20" t="inlineStr">
        <is>
          <t>None</t>
        </is>
      </c>
      <c r="EL118" s="17" t="n"/>
      <c r="EM118" s="16" t="n"/>
      <c r="EN118" s="20" t="inlineStr">
        <is>
          <t>IC Organic Acids</t>
        </is>
      </c>
      <c r="EO118" s="20" t="inlineStr">
        <is>
          <t>None</t>
        </is>
      </c>
      <c r="EP118" s="17" t="n"/>
      <c r="EQ118" s="16" t="n"/>
      <c r="ER118" s="20" t="inlineStr">
        <is>
          <t>IC Organic Acids</t>
        </is>
      </c>
      <c r="ES118" s="20" t="inlineStr">
        <is>
          <t>None</t>
        </is>
      </c>
      <c r="ET118" s="17" t="n"/>
      <c r="EU118" s="16" t="n"/>
      <c r="EV118" s="20" t="inlineStr">
        <is>
          <t>LC-MS</t>
        </is>
      </c>
      <c r="EW118" s="20" t="inlineStr">
        <is>
          <t>None</t>
        </is>
      </c>
      <c r="EX118" s="17" t="n"/>
      <c r="EY118" s="21" t="n"/>
      <c r="EZ118">
        <f>CONCATENATE(A118,B118)</f>
        <v/>
      </c>
      <c r="FA118">
        <f>CONCATENATE(SamplesX!A118,SamplesX!B118)</f>
        <v/>
      </c>
      <c r="FC118">
        <f>MATCH(EZ118,FA1:FA1008,0)</f>
        <v/>
      </c>
    </row>
    <row r="119">
      <c r="A119" s="16" t="inlineStr">
        <is>
          <t>BP</t>
        </is>
      </c>
      <c r="B119" s="17" t="inlineStr">
        <is>
          <t>25111</t>
        </is>
      </c>
      <c r="C119" s="10">
        <f>IF(ISNUMBER(FC119),INDIRECT("SamplesX!C"&amp;FC119),IF(ISNUMBER(FD119),INDIRECT("SamplesY!C"&amp;FD119),""))</f>
        <v/>
      </c>
      <c r="D119" s="12">
        <f>IF(ISNUMBER(FC119),INDIRECT("SamplesX!D"&amp;FC119),IF(ISNUMBER(FD119),INDIRECT("SamplesY!D"&amp;FD119),""))</f>
        <v/>
      </c>
      <c r="E119" s="12">
        <f>IF(ISNUMBER(FC119),INDIRECT("SamplesX!E"&amp;FC119),IF(ISNUMBER(FD119),INDIRECT("SamplesY!E"&amp;FD119),""))</f>
        <v/>
      </c>
      <c r="F119" s="11">
        <f>IF(ISNUMBER(FC119),INDIRECT("SamplesX!F"&amp;FC119),IF(ISNUMBER(FD119),INDIRECT("SamplesY!F"&amp;FD119),""))</f>
        <v/>
      </c>
      <c r="G119" s="18">
        <f>IF(ISNUMBER(FC119),INDIRECT("SamplesX!G"&amp;FC119),IF(ISNUMBER(FD119),INDIRECT("SamplesY!G"&amp;FD119),""))</f>
        <v/>
      </c>
      <c r="H119" s="19">
        <f>IF(ISNUMBER(FC119),INDIRECT("SamplesX!H"&amp;FC119),IF(ISNUMBER(FD119),INDIRECT("SamplesY!H"&amp;FD119),""))</f>
        <v/>
      </c>
      <c r="I119" s="16" t="n"/>
      <c r="J119" s="16" t="n"/>
      <c r="K119" s="16" t="n"/>
      <c r="L119" s="20" t="n"/>
      <c r="M119" s="20" t="inlineStr">
        <is>
          <t>None</t>
        </is>
      </c>
      <c r="N119" s="17" t="n"/>
      <c r="O119" s="16" t="n"/>
      <c r="P119" s="20" t="inlineStr">
        <is>
          <t>Shimadzu TOC-L</t>
        </is>
      </c>
      <c r="Q119" s="20" t="inlineStr">
        <is>
          <t>None</t>
        </is>
      </c>
      <c r="R119" s="17" t="n"/>
      <c r="S119" s="16" t="n"/>
      <c r="T119" s="20" t="inlineStr">
        <is>
          <t>Shimadzu TOC-L</t>
        </is>
      </c>
      <c r="U119" s="20" t="inlineStr">
        <is>
          <t>None</t>
        </is>
      </c>
      <c r="V119" s="17" t="n"/>
      <c r="W119" s="16" t="n"/>
      <c r="X119" s="20" t="n"/>
      <c r="Y119" s="20" t="inlineStr">
        <is>
          <t>None</t>
        </is>
      </c>
      <c r="Z119" s="17" t="n"/>
      <c r="AA119" s="16" t="n"/>
      <c r="AB119" s="20" t="n"/>
      <c r="AC119" s="20" t="inlineStr">
        <is>
          <t>None</t>
        </is>
      </c>
      <c r="AD119" s="17" t="n"/>
      <c r="AE119" s="16" t="inlineStr">
        <is>
          <t>139</t>
        </is>
      </c>
      <c r="AF119" s="20" t="inlineStr">
        <is>
          <t>IC Anionen</t>
        </is>
      </c>
      <c r="AG119" s="20" t="inlineStr">
        <is>
          <t>None</t>
        </is>
      </c>
      <c r="AH119" s="17" t="n"/>
      <c r="AI119" s="16" t="inlineStr">
        <is>
          <t>&lt;0.15</t>
        </is>
      </c>
      <c r="AJ119" s="20" t="inlineStr">
        <is>
          <t>IC Anionen</t>
        </is>
      </c>
      <c r="AK119" s="20" t="inlineStr">
        <is>
          <t>None</t>
        </is>
      </c>
      <c r="AL119" s="17" t="n"/>
      <c r="AM119" s="16" t="n"/>
      <c r="AN119" s="20" t="inlineStr">
        <is>
          <t>IC Anionen</t>
        </is>
      </c>
      <c r="AO119" s="20" t="inlineStr">
        <is>
          <t>None</t>
        </is>
      </c>
      <c r="AP119" s="17" t="n"/>
      <c r="AQ119" s="16" t="inlineStr">
        <is>
          <t>&lt;0.25</t>
        </is>
      </c>
      <c r="AR119" s="20" t="inlineStr">
        <is>
          <t>IC Anionen</t>
        </is>
      </c>
      <c r="AS119" s="20" t="inlineStr">
        <is>
          <t>None</t>
        </is>
      </c>
      <c r="AT119" s="17" t="n"/>
      <c r="AU119" s="16" t="inlineStr">
        <is>
          <t>4.04</t>
        </is>
      </c>
      <c r="AV119" s="20" t="inlineStr">
        <is>
          <t>IC Anionen</t>
        </is>
      </c>
      <c r="AW119" s="20" t="inlineStr">
        <is>
          <t>None</t>
        </is>
      </c>
      <c r="AX119" s="17" t="n"/>
      <c r="AY119" s="16" t="inlineStr">
        <is>
          <t>8.24</t>
        </is>
      </c>
      <c r="AZ119" s="20" t="inlineStr">
        <is>
          <t>IC Anionen</t>
        </is>
      </c>
      <c r="BA119" s="20" t="inlineStr">
        <is>
          <t>None</t>
        </is>
      </c>
      <c r="BB119" s="17" t="n"/>
      <c r="BC119" s="16" t="inlineStr">
        <is>
          <t>112</t>
        </is>
      </c>
      <c r="BD119" s="20" t="inlineStr">
        <is>
          <t>IC Kationen</t>
        </is>
      </c>
      <c r="BE119" s="20" t="inlineStr">
        <is>
          <t>None</t>
        </is>
      </c>
      <c r="BF119" s="17" t="n"/>
      <c r="BG119" s="16" t="inlineStr">
        <is>
          <t>63.8</t>
        </is>
      </c>
      <c r="BH119" s="20" t="inlineStr">
        <is>
          <t>IC Kationen</t>
        </is>
      </c>
      <c r="BI119" s="20" t="inlineStr">
        <is>
          <t>None</t>
        </is>
      </c>
      <c r="BJ119" s="17" t="n"/>
      <c r="BK119" s="16" t="inlineStr">
        <is>
          <t>18.1</t>
        </is>
      </c>
      <c r="BL119" s="20" t="inlineStr">
        <is>
          <t>IC Kationen</t>
        </is>
      </c>
      <c r="BM119" s="20" t="inlineStr">
        <is>
          <t>None</t>
        </is>
      </c>
      <c r="BN119" s="17" t="n"/>
      <c r="BO119" s="16" t="inlineStr">
        <is>
          <t>180</t>
        </is>
      </c>
      <c r="BP119" s="20" t="inlineStr">
        <is>
          <t>IC Kationen</t>
        </is>
      </c>
      <c r="BQ119" s="20" t="inlineStr">
        <is>
          <t>None</t>
        </is>
      </c>
      <c r="BR119" s="17" t="n"/>
      <c r="BS119" s="16" t="inlineStr">
        <is>
          <t>26.8</t>
        </is>
      </c>
      <c r="BT119" s="20" t="inlineStr">
        <is>
          <t>IC Kationen</t>
        </is>
      </c>
      <c r="BU119" s="20" t="inlineStr">
        <is>
          <t>None</t>
        </is>
      </c>
      <c r="BV119" s="17" t="n"/>
      <c r="BW119" s="16" t="n"/>
      <c r="BX119" s="20" t="n"/>
      <c r="BY119" s="20" t="inlineStr">
        <is>
          <t>None</t>
        </is>
      </c>
      <c r="BZ119" s="17" t="n"/>
      <c r="CA119" s="16" t="n"/>
      <c r="CB119" s="20" t="n"/>
      <c r="CC119" s="20" t="inlineStr">
        <is>
          <t>None</t>
        </is>
      </c>
      <c r="CD119" s="17" t="n"/>
      <c r="CE119" s="16" t="n"/>
      <c r="CF119" s="20" t="n"/>
      <c r="CG119" s="20" t="inlineStr">
        <is>
          <t>None</t>
        </is>
      </c>
      <c r="CH119" s="17" t="n"/>
      <c r="CI119" s="16" t="n"/>
      <c r="CJ119" s="20" t="n"/>
      <c r="CK119" s="20" t="inlineStr">
        <is>
          <t>None</t>
        </is>
      </c>
      <c r="CL119" s="17" t="n"/>
      <c r="CM119" s="16" t="n"/>
      <c r="CN119" s="20" t="inlineStr">
        <is>
          <t>SOP 45-34</t>
        </is>
      </c>
      <c r="CO119" s="20" t="inlineStr">
        <is>
          <t>None</t>
        </is>
      </c>
      <c r="CP119" s="17" t="n"/>
      <c r="CQ119" s="16" t="n"/>
      <c r="CR119" s="20" t="n"/>
      <c r="CS119" s="20" t="inlineStr">
        <is>
          <t>None</t>
        </is>
      </c>
      <c r="CT119" s="17" t="n"/>
      <c r="CU119" s="16" t="n"/>
      <c r="CV119" s="20" t="n"/>
      <c r="CW119" s="20" t="inlineStr">
        <is>
          <t>None</t>
        </is>
      </c>
      <c r="CX119" s="17" t="n"/>
      <c r="CY119" s="16" t="n"/>
      <c r="CZ119" s="20" t="inlineStr">
        <is>
          <t>WTW Multimeter 3430 with FDO 925</t>
        </is>
      </c>
      <c r="DA119" s="20" t="inlineStr">
        <is>
          <t>None</t>
        </is>
      </c>
      <c r="DB119" s="17" t="n"/>
      <c r="DC119" s="16" t="n"/>
      <c r="DD119" s="20" t="n"/>
      <c r="DE119" s="20" t="inlineStr">
        <is>
          <t>None</t>
        </is>
      </c>
      <c r="DF119" s="17" t="n"/>
      <c r="DG119" s="16" t="n"/>
      <c r="DH119" s="20" t="inlineStr">
        <is>
          <t>SOP 45-09</t>
        </is>
      </c>
      <c r="DI119" s="20" t="inlineStr">
        <is>
          <t>None</t>
        </is>
      </c>
      <c r="DJ119" s="17" t="n"/>
      <c r="DK119" s="16" t="n"/>
      <c r="DL119" s="20" t="inlineStr">
        <is>
          <t>SOP 45-09 (SOP muss noch angepasst werden für VSS)</t>
        </is>
      </c>
      <c r="DM119" s="20" t="inlineStr">
        <is>
          <t>None</t>
        </is>
      </c>
      <c r="DN119" s="17" t="n"/>
      <c r="DO119" s="16" t="n"/>
      <c r="DP119" s="20" t="inlineStr">
        <is>
          <t>IC Organic Acids</t>
        </is>
      </c>
      <c r="DQ119" s="20" t="inlineStr">
        <is>
          <t>None</t>
        </is>
      </c>
      <c r="DR119" s="17" t="n"/>
      <c r="DS119" s="16" t="n"/>
      <c r="DT119" s="20" t="inlineStr">
        <is>
          <t>IC Organic Acids</t>
        </is>
      </c>
      <c r="DU119" s="20" t="inlineStr">
        <is>
          <t>None</t>
        </is>
      </c>
      <c r="DV119" s="17" t="n"/>
      <c r="DW119" s="16" t="n"/>
      <c r="DX119" s="20" t="inlineStr">
        <is>
          <t>IC Organic Acids</t>
        </is>
      </c>
      <c r="DY119" s="20" t="inlineStr">
        <is>
          <t>None</t>
        </is>
      </c>
      <c r="DZ119" s="17" t="n"/>
      <c r="EA119" s="16" t="n"/>
      <c r="EB119" s="20" t="inlineStr">
        <is>
          <t>IC Organic Acids</t>
        </is>
      </c>
      <c r="EC119" s="20" t="inlineStr">
        <is>
          <t>None</t>
        </is>
      </c>
      <c r="ED119" s="17" t="n"/>
      <c r="EE119" s="16" t="n"/>
      <c r="EF119" s="20" t="inlineStr">
        <is>
          <t>IC Organic Acids</t>
        </is>
      </c>
      <c r="EG119" s="20" t="inlineStr">
        <is>
          <t>None</t>
        </is>
      </c>
      <c r="EH119" s="17" t="n"/>
      <c r="EI119" s="16" t="n"/>
      <c r="EJ119" s="20" t="inlineStr">
        <is>
          <t>IC Organic Acids</t>
        </is>
      </c>
      <c r="EK119" s="20" t="inlineStr">
        <is>
          <t>None</t>
        </is>
      </c>
      <c r="EL119" s="17" t="n"/>
      <c r="EM119" s="16" t="n"/>
      <c r="EN119" s="20" t="inlineStr">
        <is>
          <t>IC Organic Acids</t>
        </is>
      </c>
      <c r="EO119" s="20" t="inlineStr">
        <is>
          <t>None</t>
        </is>
      </c>
      <c r="EP119" s="17" t="n"/>
      <c r="EQ119" s="16" t="n"/>
      <c r="ER119" s="20" t="inlineStr">
        <is>
          <t>IC Organic Acids</t>
        </is>
      </c>
      <c r="ES119" s="20" t="inlineStr">
        <is>
          <t>None</t>
        </is>
      </c>
      <c r="ET119" s="17" t="n"/>
      <c r="EU119" s="16" t="n"/>
      <c r="EV119" s="20" t="inlineStr">
        <is>
          <t>LC-MS</t>
        </is>
      </c>
      <c r="EW119" s="20" t="inlineStr">
        <is>
          <t>None</t>
        </is>
      </c>
      <c r="EX119" s="17" t="n"/>
      <c r="EY119" s="21" t="n"/>
      <c r="EZ119">
        <f>CONCATENATE(A119,B119)</f>
        <v/>
      </c>
      <c r="FA119">
        <f>CONCATENATE(SamplesX!A119,SamplesX!B119)</f>
        <v/>
      </c>
      <c r="FC119">
        <f>MATCH(EZ119,FA1:FA1008,0)</f>
        <v/>
      </c>
    </row>
    <row r="120">
      <c r="A120" s="16" t="inlineStr">
        <is>
          <t>BP</t>
        </is>
      </c>
      <c r="B120" s="17" t="inlineStr">
        <is>
          <t>25112</t>
        </is>
      </c>
      <c r="C120" s="10">
        <f>IF(ISNUMBER(FC120),INDIRECT("SamplesX!C"&amp;FC120),IF(ISNUMBER(FD120),INDIRECT("SamplesY!C"&amp;FD120),""))</f>
        <v/>
      </c>
      <c r="D120" s="12">
        <f>IF(ISNUMBER(FC120),INDIRECT("SamplesX!D"&amp;FC120),IF(ISNUMBER(FD120),INDIRECT("SamplesY!D"&amp;FD120),""))</f>
        <v/>
      </c>
      <c r="E120" s="12">
        <f>IF(ISNUMBER(FC120),INDIRECT("SamplesX!E"&amp;FC120),IF(ISNUMBER(FD120),INDIRECT("SamplesY!E"&amp;FD120),""))</f>
        <v/>
      </c>
      <c r="F120" s="11">
        <f>IF(ISNUMBER(FC120),INDIRECT("SamplesX!F"&amp;FC120),IF(ISNUMBER(FD120),INDIRECT("SamplesY!F"&amp;FD120),""))</f>
        <v/>
      </c>
      <c r="G120" s="18">
        <f>IF(ISNUMBER(FC120),INDIRECT("SamplesX!G"&amp;FC120),IF(ISNUMBER(FD120),INDIRECT("SamplesY!G"&amp;FD120),""))</f>
        <v/>
      </c>
      <c r="H120" s="19">
        <f>IF(ISNUMBER(FC120),INDIRECT("SamplesX!H"&amp;FC120),IF(ISNUMBER(FD120),INDIRECT("SamplesY!H"&amp;FD120),""))</f>
        <v/>
      </c>
      <c r="I120" s="16" t="n"/>
      <c r="J120" s="16" t="n"/>
      <c r="K120" s="16" t="n"/>
      <c r="L120" s="20" t="n"/>
      <c r="M120" s="20" t="inlineStr">
        <is>
          <t>None</t>
        </is>
      </c>
      <c r="N120" s="17" t="n"/>
      <c r="O120" s="16" t="n"/>
      <c r="P120" s="20" t="inlineStr">
        <is>
          <t>Shimadzu TOC-L</t>
        </is>
      </c>
      <c r="Q120" s="20" t="inlineStr">
        <is>
          <t>None</t>
        </is>
      </c>
      <c r="R120" s="17" t="n"/>
      <c r="S120" s="16" t="n"/>
      <c r="T120" s="20" t="inlineStr">
        <is>
          <t>Shimadzu TOC-L</t>
        </is>
      </c>
      <c r="U120" s="20" t="inlineStr">
        <is>
          <t>None</t>
        </is>
      </c>
      <c r="V120" s="17" t="n"/>
      <c r="W120" s="16" t="n"/>
      <c r="X120" s="20" t="n"/>
      <c r="Y120" s="20" t="inlineStr">
        <is>
          <t>None</t>
        </is>
      </c>
      <c r="Z120" s="17" t="n"/>
      <c r="AA120" s="16" t="n"/>
      <c r="AB120" s="20" t="n"/>
      <c r="AC120" s="20" t="inlineStr">
        <is>
          <t>None</t>
        </is>
      </c>
      <c r="AD120" s="17" t="n"/>
      <c r="AE120" s="16" t="inlineStr">
        <is>
          <t>135</t>
        </is>
      </c>
      <c r="AF120" s="20" t="inlineStr">
        <is>
          <t>IC Anionen</t>
        </is>
      </c>
      <c r="AG120" s="20" t="inlineStr">
        <is>
          <t>None</t>
        </is>
      </c>
      <c r="AH120" s="17" t="n"/>
      <c r="AI120" s="16" t="inlineStr">
        <is>
          <t>&lt;0.15</t>
        </is>
      </c>
      <c r="AJ120" s="20" t="inlineStr">
        <is>
          <t>IC Anionen</t>
        </is>
      </c>
      <c r="AK120" s="20" t="inlineStr">
        <is>
          <t>None</t>
        </is>
      </c>
      <c r="AL120" s="17" t="n"/>
      <c r="AM120" s="16" t="n"/>
      <c r="AN120" s="20" t="inlineStr">
        <is>
          <t>IC Anionen</t>
        </is>
      </c>
      <c r="AO120" s="20" t="inlineStr">
        <is>
          <t>None</t>
        </is>
      </c>
      <c r="AP120" s="17" t="n"/>
      <c r="AQ120" s="16" t="inlineStr">
        <is>
          <t>&lt;0.26</t>
        </is>
      </c>
      <c r="AR120" s="20" t="inlineStr">
        <is>
          <t>IC Anionen</t>
        </is>
      </c>
      <c r="AS120" s="20" t="inlineStr">
        <is>
          <t>None</t>
        </is>
      </c>
      <c r="AT120" s="17" t="n"/>
      <c r="AU120" s="16" t="inlineStr">
        <is>
          <t>22.8</t>
        </is>
      </c>
      <c r="AV120" s="20" t="inlineStr">
        <is>
          <t>IC Anionen</t>
        </is>
      </c>
      <c r="AW120" s="20" t="inlineStr">
        <is>
          <t>None</t>
        </is>
      </c>
      <c r="AX120" s="17" t="n"/>
      <c r="AY120" s="16" t="inlineStr">
        <is>
          <t>&lt;0.80</t>
        </is>
      </c>
      <c r="AZ120" s="20" t="inlineStr">
        <is>
          <t>IC Anionen</t>
        </is>
      </c>
      <c r="BA120" s="20" t="inlineStr">
        <is>
          <t>None</t>
        </is>
      </c>
      <c r="BB120" s="17" t="n"/>
      <c r="BC120" s="16" t="inlineStr">
        <is>
          <t>106</t>
        </is>
      </c>
      <c r="BD120" s="20" t="inlineStr">
        <is>
          <t>IC Kationen</t>
        </is>
      </c>
      <c r="BE120" s="20" t="inlineStr">
        <is>
          <t>None</t>
        </is>
      </c>
      <c r="BF120" s="17" t="n"/>
      <c r="BG120" s="16" t="inlineStr">
        <is>
          <t>89.9</t>
        </is>
      </c>
      <c r="BH120" s="20" t="inlineStr">
        <is>
          <t>IC Kationen</t>
        </is>
      </c>
      <c r="BI120" s="20" t="inlineStr">
        <is>
          <t>None</t>
        </is>
      </c>
      <c r="BJ120" s="17" t="n"/>
      <c r="BK120" s="16" t="inlineStr">
        <is>
          <t>19.0</t>
        </is>
      </c>
      <c r="BL120" s="20" t="inlineStr">
        <is>
          <t>IC Kationen</t>
        </is>
      </c>
      <c r="BM120" s="20" t="inlineStr">
        <is>
          <t>None</t>
        </is>
      </c>
      <c r="BN120" s="17" t="n"/>
      <c r="BO120" s="16" t="inlineStr">
        <is>
          <t>243</t>
        </is>
      </c>
      <c r="BP120" s="20" t="inlineStr">
        <is>
          <t>IC Kationen</t>
        </is>
      </c>
      <c r="BQ120" s="20" t="inlineStr">
        <is>
          <t>None</t>
        </is>
      </c>
      <c r="BR120" s="17" t="n"/>
      <c r="BS120" s="16" t="inlineStr">
        <is>
          <t>26.4</t>
        </is>
      </c>
      <c r="BT120" s="20" t="inlineStr">
        <is>
          <t>IC Kationen</t>
        </is>
      </c>
      <c r="BU120" s="20" t="inlineStr">
        <is>
          <t>None</t>
        </is>
      </c>
      <c r="BV120" s="17" t="n"/>
      <c r="BW120" s="16" t="n"/>
      <c r="BX120" s="20" t="n"/>
      <c r="BY120" s="20" t="inlineStr">
        <is>
          <t>None</t>
        </is>
      </c>
      <c r="BZ120" s="17" t="n"/>
      <c r="CA120" s="16" t="n"/>
      <c r="CB120" s="20" t="n"/>
      <c r="CC120" s="20" t="inlineStr">
        <is>
          <t>None</t>
        </is>
      </c>
      <c r="CD120" s="17" t="n"/>
      <c r="CE120" s="16" t="n"/>
      <c r="CF120" s="20" t="n"/>
      <c r="CG120" s="20" t="inlineStr">
        <is>
          <t>None</t>
        </is>
      </c>
      <c r="CH120" s="17" t="n"/>
      <c r="CI120" s="16" t="n"/>
      <c r="CJ120" s="20" t="n"/>
      <c r="CK120" s="20" t="inlineStr">
        <is>
          <t>None</t>
        </is>
      </c>
      <c r="CL120" s="17" t="n"/>
      <c r="CM120" s="16" t="n"/>
      <c r="CN120" s="20" t="inlineStr">
        <is>
          <t>SOP 45-34</t>
        </is>
      </c>
      <c r="CO120" s="20" t="inlineStr">
        <is>
          <t>None</t>
        </is>
      </c>
      <c r="CP120" s="17" t="n"/>
      <c r="CQ120" s="16" t="n"/>
      <c r="CR120" s="20" t="n"/>
      <c r="CS120" s="20" t="inlineStr">
        <is>
          <t>None</t>
        </is>
      </c>
      <c r="CT120" s="17" t="n"/>
      <c r="CU120" s="16" t="n"/>
      <c r="CV120" s="20" t="n"/>
      <c r="CW120" s="20" t="inlineStr">
        <is>
          <t>None</t>
        </is>
      </c>
      <c r="CX120" s="17" t="n"/>
      <c r="CY120" s="16" t="n"/>
      <c r="CZ120" s="20" t="inlineStr">
        <is>
          <t>WTW Multimeter 3430 with FDO 925</t>
        </is>
      </c>
      <c r="DA120" s="20" t="inlineStr">
        <is>
          <t>None</t>
        </is>
      </c>
      <c r="DB120" s="17" t="n"/>
      <c r="DC120" s="16" t="n"/>
      <c r="DD120" s="20" t="n"/>
      <c r="DE120" s="20" t="inlineStr">
        <is>
          <t>None</t>
        </is>
      </c>
      <c r="DF120" s="17" t="n"/>
      <c r="DG120" s="16" t="n"/>
      <c r="DH120" s="20" t="inlineStr">
        <is>
          <t>SOP 45-09</t>
        </is>
      </c>
      <c r="DI120" s="20" t="inlineStr">
        <is>
          <t>None</t>
        </is>
      </c>
      <c r="DJ120" s="17" t="n"/>
      <c r="DK120" s="16" t="n"/>
      <c r="DL120" s="20" t="inlineStr">
        <is>
          <t>SOP 45-09 (SOP muss noch angepasst werden für VSS)</t>
        </is>
      </c>
      <c r="DM120" s="20" t="inlineStr">
        <is>
          <t>None</t>
        </is>
      </c>
      <c r="DN120" s="17" t="n"/>
      <c r="DO120" s="16" t="n"/>
      <c r="DP120" s="20" t="inlineStr">
        <is>
          <t>IC Organic Acids</t>
        </is>
      </c>
      <c r="DQ120" s="20" t="inlineStr">
        <is>
          <t>None</t>
        </is>
      </c>
      <c r="DR120" s="17" t="n"/>
      <c r="DS120" s="16" t="n"/>
      <c r="DT120" s="20" t="inlineStr">
        <is>
          <t>IC Organic Acids</t>
        </is>
      </c>
      <c r="DU120" s="20" t="inlineStr">
        <is>
          <t>None</t>
        </is>
      </c>
      <c r="DV120" s="17" t="n"/>
      <c r="DW120" s="16" t="n"/>
      <c r="DX120" s="20" t="inlineStr">
        <is>
          <t>IC Organic Acids</t>
        </is>
      </c>
      <c r="DY120" s="20" t="inlineStr">
        <is>
          <t>None</t>
        </is>
      </c>
      <c r="DZ120" s="17" t="n"/>
      <c r="EA120" s="16" t="n"/>
      <c r="EB120" s="20" t="inlineStr">
        <is>
          <t>IC Organic Acids</t>
        </is>
      </c>
      <c r="EC120" s="20" t="inlineStr">
        <is>
          <t>None</t>
        </is>
      </c>
      <c r="ED120" s="17" t="n"/>
      <c r="EE120" s="16" t="n"/>
      <c r="EF120" s="20" t="inlineStr">
        <is>
          <t>IC Organic Acids</t>
        </is>
      </c>
      <c r="EG120" s="20" t="inlineStr">
        <is>
          <t>None</t>
        </is>
      </c>
      <c r="EH120" s="17" t="n"/>
      <c r="EI120" s="16" t="n"/>
      <c r="EJ120" s="20" t="inlineStr">
        <is>
          <t>IC Organic Acids</t>
        </is>
      </c>
      <c r="EK120" s="20" t="inlineStr">
        <is>
          <t>None</t>
        </is>
      </c>
      <c r="EL120" s="17" t="n"/>
      <c r="EM120" s="16" t="n"/>
      <c r="EN120" s="20" t="inlineStr">
        <is>
          <t>IC Organic Acids</t>
        </is>
      </c>
      <c r="EO120" s="20" t="inlineStr">
        <is>
          <t>None</t>
        </is>
      </c>
      <c r="EP120" s="17" t="n"/>
      <c r="EQ120" s="16" t="n"/>
      <c r="ER120" s="20" t="inlineStr">
        <is>
          <t>IC Organic Acids</t>
        </is>
      </c>
      <c r="ES120" s="20" t="inlineStr">
        <is>
          <t>None</t>
        </is>
      </c>
      <c r="ET120" s="17" t="n"/>
      <c r="EU120" s="16" t="n"/>
      <c r="EV120" s="20" t="inlineStr">
        <is>
          <t>LC-MS</t>
        </is>
      </c>
      <c r="EW120" s="20" t="inlineStr">
        <is>
          <t>None</t>
        </is>
      </c>
      <c r="EX120" s="17" t="n"/>
      <c r="EY120" s="21" t="n"/>
      <c r="EZ120">
        <f>CONCATENATE(A120,B120)</f>
        <v/>
      </c>
      <c r="FA120">
        <f>CONCATENATE(SamplesX!A120,SamplesX!B120)</f>
        <v/>
      </c>
      <c r="FC120">
        <f>MATCH(EZ120,FA1:FA1008,0)</f>
        <v/>
      </c>
    </row>
    <row r="121">
      <c r="A121" s="16" t="inlineStr">
        <is>
          <t>BP</t>
        </is>
      </c>
      <c r="B121" s="17" t="inlineStr">
        <is>
          <t>25113</t>
        </is>
      </c>
      <c r="C121" s="10">
        <f>IF(ISNUMBER(FC121),INDIRECT("SamplesX!C"&amp;FC121),IF(ISNUMBER(FD121),INDIRECT("SamplesY!C"&amp;FD121),""))</f>
        <v/>
      </c>
      <c r="D121" s="12">
        <f>IF(ISNUMBER(FC121),INDIRECT("SamplesX!D"&amp;FC121),IF(ISNUMBER(FD121),INDIRECT("SamplesY!D"&amp;FD121),""))</f>
        <v/>
      </c>
      <c r="E121" s="12">
        <f>IF(ISNUMBER(FC121),INDIRECT("SamplesX!E"&amp;FC121),IF(ISNUMBER(FD121),INDIRECT("SamplesY!E"&amp;FD121),""))</f>
        <v/>
      </c>
      <c r="F121" s="11">
        <f>IF(ISNUMBER(FC121),INDIRECT("SamplesX!F"&amp;FC121),IF(ISNUMBER(FD121),INDIRECT("SamplesY!F"&amp;FD121),""))</f>
        <v/>
      </c>
      <c r="G121" s="18">
        <f>IF(ISNUMBER(FC121),INDIRECT("SamplesX!G"&amp;FC121),IF(ISNUMBER(FD121),INDIRECT("SamplesY!G"&amp;FD121),""))</f>
        <v/>
      </c>
      <c r="H121" s="19">
        <f>IF(ISNUMBER(FC121),INDIRECT("SamplesX!H"&amp;FC121),IF(ISNUMBER(FD121),INDIRECT("SamplesY!H"&amp;FD121),""))</f>
        <v/>
      </c>
      <c r="I121" s="16" t="n"/>
      <c r="J121" s="16" t="n"/>
      <c r="K121" s="16" t="n"/>
      <c r="L121" s="20" t="n"/>
      <c r="M121" s="20" t="inlineStr">
        <is>
          <t>None</t>
        </is>
      </c>
      <c r="N121" s="17" t="n"/>
      <c r="O121" s="16" t="n"/>
      <c r="P121" s="20" t="inlineStr">
        <is>
          <t>Shimadzu TOC-L</t>
        </is>
      </c>
      <c r="Q121" s="20" t="inlineStr">
        <is>
          <t>None</t>
        </is>
      </c>
      <c r="R121" s="17" t="n"/>
      <c r="S121" s="16" t="n"/>
      <c r="T121" s="20" t="inlineStr">
        <is>
          <t>Shimadzu TOC-L</t>
        </is>
      </c>
      <c r="U121" s="20" t="inlineStr">
        <is>
          <t>None</t>
        </is>
      </c>
      <c r="V121" s="17" t="n"/>
      <c r="W121" s="16" t="n"/>
      <c r="X121" s="20" t="n"/>
      <c r="Y121" s="20" t="inlineStr">
        <is>
          <t>None</t>
        </is>
      </c>
      <c r="Z121" s="17" t="n"/>
      <c r="AA121" s="16" t="n"/>
      <c r="AB121" s="20" t="n"/>
      <c r="AC121" s="20" t="inlineStr">
        <is>
          <t>None</t>
        </is>
      </c>
      <c r="AD121" s="17" t="n"/>
      <c r="AE121" s="16" t="inlineStr">
        <is>
          <t>311</t>
        </is>
      </c>
      <c r="AF121" s="20" t="inlineStr">
        <is>
          <t>IC Anionen</t>
        </is>
      </c>
      <c r="AG121" s="20" t="inlineStr">
        <is>
          <t>None</t>
        </is>
      </c>
      <c r="AH121" s="17" t="n"/>
      <c r="AI121" s="16" t="inlineStr">
        <is>
          <t>&lt;0.15</t>
        </is>
      </c>
      <c r="AJ121" s="20" t="inlineStr">
        <is>
          <t>IC Anionen</t>
        </is>
      </c>
      <c r="AK121" s="20" t="inlineStr">
        <is>
          <t>None</t>
        </is>
      </c>
      <c r="AL121" s="17" t="n"/>
      <c r="AM121" s="16" t="n"/>
      <c r="AN121" s="20" t="inlineStr">
        <is>
          <t>IC Anionen</t>
        </is>
      </c>
      <c r="AO121" s="20" t="inlineStr">
        <is>
          <t>None</t>
        </is>
      </c>
      <c r="AP121" s="17" t="n"/>
      <c r="AQ121" s="16" t="inlineStr">
        <is>
          <t>&lt;0.27</t>
        </is>
      </c>
      <c r="AR121" s="20" t="inlineStr">
        <is>
          <t>IC Anionen</t>
        </is>
      </c>
      <c r="AS121" s="20" t="inlineStr">
        <is>
          <t>None</t>
        </is>
      </c>
      <c r="AT121" s="17" t="n"/>
      <c r="AU121" s="16" t="inlineStr">
        <is>
          <t>&lt;0.13</t>
        </is>
      </c>
      <c r="AV121" s="20" t="inlineStr">
        <is>
          <t>IC Anionen</t>
        </is>
      </c>
      <c r="AW121" s="20" t="inlineStr">
        <is>
          <t>None</t>
        </is>
      </c>
      <c r="AX121" s="17" t="n"/>
      <c r="AY121" s="16" t="inlineStr">
        <is>
          <t>1.36</t>
        </is>
      </c>
      <c r="AZ121" s="20" t="inlineStr">
        <is>
          <t>IC Anionen</t>
        </is>
      </c>
      <c r="BA121" s="20" t="inlineStr">
        <is>
          <t>None</t>
        </is>
      </c>
      <c r="BB121" s="17" t="n"/>
      <c r="BC121" s="16" t="inlineStr">
        <is>
          <t>96.8</t>
        </is>
      </c>
      <c r="BD121" s="20" t="inlineStr">
        <is>
          <t>IC Kationen</t>
        </is>
      </c>
      <c r="BE121" s="20" t="inlineStr">
        <is>
          <t>None</t>
        </is>
      </c>
      <c r="BF121" s="17" t="n"/>
      <c r="BG121" s="16" t="inlineStr">
        <is>
          <t>108</t>
        </is>
      </c>
      <c r="BH121" s="20" t="inlineStr">
        <is>
          <t>IC Kationen</t>
        </is>
      </c>
      <c r="BI121" s="20" t="inlineStr">
        <is>
          <t>None</t>
        </is>
      </c>
      <c r="BJ121" s="17" t="n"/>
      <c r="BK121" s="16" t="inlineStr">
        <is>
          <t>18.3</t>
        </is>
      </c>
      <c r="BL121" s="20" t="inlineStr">
        <is>
          <t>IC Kationen</t>
        </is>
      </c>
      <c r="BM121" s="20" t="inlineStr">
        <is>
          <t>None</t>
        </is>
      </c>
      <c r="BN121" s="17" t="n"/>
      <c r="BO121" s="16" t="inlineStr">
        <is>
          <t>205</t>
        </is>
      </c>
      <c r="BP121" s="20" t="inlineStr">
        <is>
          <t>IC Kationen</t>
        </is>
      </c>
      <c r="BQ121" s="20" t="inlineStr">
        <is>
          <t>None</t>
        </is>
      </c>
      <c r="BR121" s="17" t="n"/>
      <c r="BS121" s="16" t="inlineStr">
        <is>
          <t>24.7</t>
        </is>
      </c>
      <c r="BT121" s="20" t="inlineStr">
        <is>
          <t>IC Kationen</t>
        </is>
      </c>
      <c r="BU121" s="20" t="inlineStr">
        <is>
          <t>None</t>
        </is>
      </c>
      <c r="BV121" s="17" t="n"/>
      <c r="BW121" s="16" t="n"/>
      <c r="BX121" s="20" t="n"/>
      <c r="BY121" s="20" t="inlineStr">
        <is>
          <t>None</t>
        </is>
      </c>
      <c r="BZ121" s="17" t="n"/>
      <c r="CA121" s="16" t="n"/>
      <c r="CB121" s="20" t="n"/>
      <c r="CC121" s="20" t="inlineStr">
        <is>
          <t>None</t>
        </is>
      </c>
      <c r="CD121" s="17" t="n"/>
      <c r="CE121" s="16" t="n"/>
      <c r="CF121" s="20" t="n"/>
      <c r="CG121" s="20" t="inlineStr">
        <is>
          <t>None</t>
        </is>
      </c>
      <c r="CH121" s="17" t="n"/>
      <c r="CI121" s="16" t="n"/>
      <c r="CJ121" s="20" t="n"/>
      <c r="CK121" s="20" t="inlineStr">
        <is>
          <t>None</t>
        </is>
      </c>
      <c r="CL121" s="17" t="n"/>
      <c r="CM121" s="16" t="n"/>
      <c r="CN121" s="20" t="inlineStr">
        <is>
          <t>SOP 45-34</t>
        </is>
      </c>
      <c r="CO121" s="20" t="inlineStr">
        <is>
          <t>None</t>
        </is>
      </c>
      <c r="CP121" s="17" t="n"/>
      <c r="CQ121" s="16" t="n"/>
      <c r="CR121" s="20" t="n"/>
      <c r="CS121" s="20" t="inlineStr">
        <is>
          <t>None</t>
        </is>
      </c>
      <c r="CT121" s="17" t="n"/>
      <c r="CU121" s="16" t="n"/>
      <c r="CV121" s="20" t="n"/>
      <c r="CW121" s="20" t="inlineStr">
        <is>
          <t>None</t>
        </is>
      </c>
      <c r="CX121" s="17" t="n"/>
      <c r="CY121" s="16" t="n"/>
      <c r="CZ121" s="20" t="inlineStr">
        <is>
          <t>WTW Multimeter 3430 with FDO 925</t>
        </is>
      </c>
      <c r="DA121" s="20" t="inlineStr">
        <is>
          <t>None</t>
        </is>
      </c>
      <c r="DB121" s="17" t="n"/>
      <c r="DC121" s="16" t="n"/>
      <c r="DD121" s="20" t="n"/>
      <c r="DE121" s="20" t="inlineStr">
        <is>
          <t>None</t>
        </is>
      </c>
      <c r="DF121" s="17" t="n"/>
      <c r="DG121" s="16" t="n"/>
      <c r="DH121" s="20" t="inlineStr">
        <is>
          <t>SOP 45-09</t>
        </is>
      </c>
      <c r="DI121" s="20" t="inlineStr">
        <is>
          <t>None</t>
        </is>
      </c>
      <c r="DJ121" s="17" t="n"/>
      <c r="DK121" s="16" t="n"/>
      <c r="DL121" s="20" t="inlineStr">
        <is>
          <t>SOP 45-09 (SOP muss noch angepasst werden für VSS)</t>
        </is>
      </c>
      <c r="DM121" s="20" t="inlineStr">
        <is>
          <t>None</t>
        </is>
      </c>
      <c r="DN121" s="17" t="n"/>
      <c r="DO121" s="16" t="n"/>
      <c r="DP121" s="20" t="inlineStr">
        <is>
          <t>IC Organic Acids</t>
        </is>
      </c>
      <c r="DQ121" s="20" t="inlineStr">
        <is>
          <t>None</t>
        </is>
      </c>
      <c r="DR121" s="17" t="n"/>
      <c r="DS121" s="16" t="n"/>
      <c r="DT121" s="20" t="inlineStr">
        <is>
          <t>IC Organic Acids</t>
        </is>
      </c>
      <c r="DU121" s="20" t="inlineStr">
        <is>
          <t>None</t>
        </is>
      </c>
      <c r="DV121" s="17" t="n"/>
      <c r="DW121" s="16" t="n"/>
      <c r="DX121" s="20" t="inlineStr">
        <is>
          <t>IC Organic Acids</t>
        </is>
      </c>
      <c r="DY121" s="20" t="inlineStr">
        <is>
          <t>None</t>
        </is>
      </c>
      <c r="DZ121" s="17" t="n"/>
      <c r="EA121" s="16" t="n"/>
      <c r="EB121" s="20" t="inlineStr">
        <is>
          <t>IC Organic Acids</t>
        </is>
      </c>
      <c r="EC121" s="20" t="inlineStr">
        <is>
          <t>None</t>
        </is>
      </c>
      <c r="ED121" s="17" t="n"/>
      <c r="EE121" s="16" t="n"/>
      <c r="EF121" s="20" t="inlineStr">
        <is>
          <t>IC Organic Acids</t>
        </is>
      </c>
      <c r="EG121" s="20" t="inlineStr">
        <is>
          <t>None</t>
        </is>
      </c>
      <c r="EH121" s="17" t="n"/>
      <c r="EI121" s="16" t="n"/>
      <c r="EJ121" s="20" t="inlineStr">
        <is>
          <t>IC Organic Acids</t>
        </is>
      </c>
      <c r="EK121" s="20" t="inlineStr">
        <is>
          <t>None</t>
        </is>
      </c>
      <c r="EL121" s="17" t="n"/>
      <c r="EM121" s="16" t="n"/>
      <c r="EN121" s="20" t="inlineStr">
        <is>
          <t>IC Organic Acids</t>
        </is>
      </c>
      <c r="EO121" s="20" t="inlineStr">
        <is>
          <t>None</t>
        </is>
      </c>
      <c r="EP121" s="17" t="n"/>
      <c r="EQ121" s="16" t="n"/>
      <c r="ER121" s="20" t="inlineStr">
        <is>
          <t>IC Organic Acids</t>
        </is>
      </c>
      <c r="ES121" s="20" t="inlineStr">
        <is>
          <t>None</t>
        </is>
      </c>
      <c r="ET121" s="17" t="n"/>
      <c r="EU121" s="16" t="n"/>
      <c r="EV121" s="20" t="inlineStr">
        <is>
          <t>LC-MS</t>
        </is>
      </c>
      <c r="EW121" s="20" t="inlineStr">
        <is>
          <t>None</t>
        </is>
      </c>
      <c r="EX121" s="17" t="n"/>
      <c r="EY121" s="21" t="n"/>
      <c r="EZ121">
        <f>CONCATENATE(A121,B121)</f>
        <v/>
      </c>
      <c r="FA121">
        <f>CONCATENATE(SamplesX!A121,SamplesX!B121)</f>
        <v/>
      </c>
      <c r="FC121">
        <f>MATCH(EZ121,FA1:FA1008,0)</f>
        <v/>
      </c>
    </row>
    <row r="122">
      <c r="A122" s="16" t="inlineStr">
        <is>
          <t>BP</t>
        </is>
      </c>
      <c r="B122" s="17" t="inlineStr">
        <is>
          <t>25114</t>
        </is>
      </c>
      <c r="C122" s="10">
        <f>IF(ISNUMBER(FC122),INDIRECT("SamplesX!C"&amp;FC122),IF(ISNUMBER(FD122),INDIRECT("SamplesY!C"&amp;FD122),""))</f>
        <v/>
      </c>
      <c r="D122" s="12">
        <f>IF(ISNUMBER(FC122),INDIRECT("SamplesX!D"&amp;FC122),IF(ISNUMBER(FD122),INDIRECT("SamplesY!D"&amp;FD122),""))</f>
        <v/>
      </c>
      <c r="E122" s="12">
        <f>IF(ISNUMBER(FC122),INDIRECT("SamplesX!E"&amp;FC122),IF(ISNUMBER(FD122),INDIRECT("SamplesY!E"&amp;FD122),""))</f>
        <v/>
      </c>
      <c r="F122" s="11">
        <f>IF(ISNUMBER(FC122),INDIRECT("SamplesX!F"&amp;FC122),IF(ISNUMBER(FD122),INDIRECT("SamplesY!F"&amp;FD122),""))</f>
        <v/>
      </c>
      <c r="G122" s="18">
        <f>IF(ISNUMBER(FC122),INDIRECT("SamplesX!G"&amp;FC122),IF(ISNUMBER(FD122),INDIRECT("SamplesY!G"&amp;FD122),""))</f>
        <v/>
      </c>
      <c r="H122" s="19">
        <f>IF(ISNUMBER(FC122),INDIRECT("SamplesX!H"&amp;FC122),IF(ISNUMBER(FD122),INDIRECT("SamplesY!H"&amp;FD122),""))</f>
        <v/>
      </c>
      <c r="I122" s="16" t="n"/>
      <c r="J122" s="16" t="n"/>
      <c r="K122" s="16" t="n"/>
      <c r="L122" s="20" t="n"/>
      <c r="M122" s="20" t="inlineStr">
        <is>
          <t>None</t>
        </is>
      </c>
      <c r="N122" s="17" t="n"/>
      <c r="O122" s="16" t="n"/>
      <c r="P122" s="20" t="inlineStr">
        <is>
          <t>Shimadzu TOC-L</t>
        </is>
      </c>
      <c r="Q122" s="20" t="inlineStr">
        <is>
          <t>None</t>
        </is>
      </c>
      <c r="R122" s="17" t="n"/>
      <c r="S122" s="16" t="n"/>
      <c r="T122" s="20" t="inlineStr">
        <is>
          <t>Shimadzu TOC-L</t>
        </is>
      </c>
      <c r="U122" s="20" t="inlineStr">
        <is>
          <t>None</t>
        </is>
      </c>
      <c r="V122" s="17" t="n"/>
      <c r="W122" s="16" t="n"/>
      <c r="X122" s="20" t="n"/>
      <c r="Y122" s="20" t="inlineStr">
        <is>
          <t>None</t>
        </is>
      </c>
      <c r="Z122" s="17" t="n"/>
      <c r="AA122" s="16" t="n"/>
      <c r="AB122" s="20" t="n"/>
      <c r="AC122" s="20" t="inlineStr">
        <is>
          <t>None</t>
        </is>
      </c>
      <c r="AD122" s="17" t="n"/>
      <c r="AE122" s="16" t="inlineStr">
        <is>
          <t>289</t>
        </is>
      </c>
      <c r="AF122" s="20" t="inlineStr">
        <is>
          <t>IC Anionen</t>
        </is>
      </c>
      <c r="AG122" s="20" t="inlineStr">
        <is>
          <t>None</t>
        </is>
      </c>
      <c r="AH122" s="17" t="n"/>
      <c r="AI122" s="16" t="inlineStr">
        <is>
          <t>&lt;0.15</t>
        </is>
      </c>
      <c r="AJ122" s="20" t="inlineStr">
        <is>
          <t>IC Anionen</t>
        </is>
      </c>
      <c r="AK122" s="20" t="inlineStr">
        <is>
          <t>None</t>
        </is>
      </c>
      <c r="AL122" s="17" t="n"/>
      <c r="AM122" s="16" t="n"/>
      <c r="AN122" s="20" t="inlineStr">
        <is>
          <t>IC Anionen</t>
        </is>
      </c>
      <c r="AO122" s="20" t="inlineStr">
        <is>
          <t>None</t>
        </is>
      </c>
      <c r="AP122" s="17" t="n"/>
      <c r="AQ122" s="16" t="inlineStr">
        <is>
          <t>&lt;0.28</t>
        </is>
      </c>
      <c r="AR122" s="20" t="inlineStr">
        <is>
          <t>IC Anionen</t>
        </is>
      </c>
      <c r="AS122" s="20" t="inlineStr">
        <is>
          <t>None</t>
        </is>
      </c>
      <c r="AT122" s="17" t="n"/>
      <c r="AU122" s="16" t="inlineStr">
        <is>
          <t>&lt;0.13</t>
        </is>
      </c>
      <c r="AV122" s="20" t="inlineStr">
        <is>
          <t>IC Anionen</t>
        </is>
      </c>
      <c r="AW122" s="20" t="inlineStr">
        <is>
          <t>None</t>
        </is>
      </c>
      <c r="AX122" s="17" t="n"/>
      <c r="AY122" s="16" t="inlineStr">
        <is>
          <t>&lt;0.80</t>
        </is>
      </c>
      <c r="AZ122" s="20" t="inlineStr">
        <is>
          <t>IC Anionen</t>
        </is>
      </c>
      <c r="BA122" s="20" t="inlineStr">
        <is>
          <t>None</t>
        </is>
      </c>
      <c r="BB122" s="17" t="n"/>
      <c r="BC122" s="16" t="inlineStr">
        <is>
          <t>96.1</t>
        </is>
      </c>
      <c r="BD122" s="20" t="inlineStr">
        <is>
          <t>IC Kationen</t>
        </is>
      </c>
      <c r="BE122" s="20" t="inlineStr">
        <is>
          <t>None</t>
        </is>
      </c>
      <c r="BF122" s="17" t="n"/>
      <c r="BG122" s="16" t="inlineStr">
        <is>
          <t>59.7</t>
        </is>
      </c>
      <c r="BH122" s="20" t="inlineStr">
        <is>
          <t>IC Kationen</t>
        </is>
      </c>
      <c r="BI122" s="20" t="inlineStr">
        <is>
          <t>None</t>
        </is>
      </c>
      <c r="BJ122" s="17" t="n"/>
      <c r="BK122" s="16" t="inlineStr">
        <is>
          <t>17.0</t>
        </is>
      </c>
      <c r="BL122" s="20" t="inlineStr">
        <is>
          <t>IC Kationen</t>
        </is>
      </c>
      <c r="BM122" s="20" t="inlineStr">
        <is>
          <t>None</t>
        </is>
      </c>
      <c r="BN122" s="17" t="n"/>
      <c r="BO122" s="16" t="inlineStr">
        <is>
          <t>127</t>
        </is>
      </c>
      <c r="BP122" s="20" t="inlineStr">
        <is>
          <t>IC Kationen</t>
        </is>
      </c>
      <c r="BQ122" s="20" t="inlineStr">
        <is>
          <t>None</t>
        </is>
      </c>
      <c r="BR122" s="17" t="n"/>
      <c r="BS122" s="16" t="inlineStr">
        <is>
          <t>25.7</t>
        </is>
      </c>
      <c r="BT122" s="20" t="inlineStr">
        <is>
          <t>IC Kationen</t>
        </is>
      </c>
      <c r="BU122" s="20" t="inlineStr">
        <is>
          <t>None</t>
        </is>
      </c>
      <c r="BV122" s="17" t="n"/>
      <c r="BW122" s="16" t="n"/>
      <c r="BX122" s="20" t="n"/>
      <c r="BY122" s="20" t="inlineStr">
        <is>
          <t>None</t>
        </is>
      </c>
      <c r="BZ122" s="17" t="n"/>
      <c r="CA122" s="16" t="n"/>
      <c r="CB122" s="20" t="n"/>
      <c r="CC122" s="20" t="inlineStr">
        <is>
          <t>None</t>
        </is>
      </c>
      <c r="CD122" s="17" t="n"/>
      <c r="CE122" s="16" t="n"/>
      <c r="CF122" s="20" t="n"/>
      <c r="CG122" s="20" t="inlineStr">
        <is>
          <t>None</t>
        </is>
      </c>
      <c r="CH122" s="17" t="n"/>
      <c r="CI122" s="16" t="n"/>
      <c r="CJ122" s="20" t="n"/>
      <c r="CK122" s="20" t="inlineStr">
        <is>
          <t>None</t>
        </is>
      </c>
      <c r="CL122" s="17" t="n"/>
      <c r="CM122" s="16" t="n"/>
      <c r="CN122" s="20" t="inlineStr">
        <is>
          <t>SOP 45-34</t>
        </is>
      </c>
      <c r="CO122" s="20" t="inlineStr">
        <is>
          <t>None</t>
        </is>
      </c>
      <c r="CP122" s="17" t="n"/>
      <c r="CQ122" s="16" t="n"/>
      <c r="CR122" s="20" t="n"/>
      <c r="CS122" s="20" t="inlineStr">
        <is>
          <t>None</t>
        </is>
      </c>
      <c r="CT122" s="17" t="n"/>
      <c r="CU122" s="16" t="n"/>
      <c r="CV122" s="20" t="n"/>
      <c r="CW122" s="20" t="inlineStr">
        <is>
          <t>None</t>
        </is>
      </c>
      <c r="CX122" s="17" t="n"/>
      <c r="CY122" s="16" t="n"/>
      <c r="CZ122" s="20" t="inlineStr">
        <is>
          <t>WTW Multimeter 3430 with FDO 925</t>
        </is>
      </c>
      <c r="DA122" s="20" t="inlineStr">
        <is>
          <t>None</t>
        </is>
      </c>
      <c r="DB122" s="17" t="n"/>
      <c r="DC122" s="16" t="n"/>
      <c r="DD122" s="20" t="n"/>
      <c r="DE122" s="20" t="inlineStr">
        <is>
          <t>None</t>
        </is>
      </c>
      <c r="DF122" s="17" t="n"/>
      <c r="DG122" s="16" t="n"/>
      <c r="DH122" s="20" t="inlineStr">
        <is>
          <t>SOP 45-09</t>
        </is>
      </c>
      <c r="DI122" s="20" t="inlineStr">
        <is>
          <t>None</t>
        </is>
      </c>
      <c r="DJ122" s="17" t="n"/>
      <c r="DK122" s="16" t="n"/>
      <c r="DL122" s="20" t="inlineStr">
        <is>
          <t>SOP 45-09 (SOP muss noch angepasst werden für VSS)</t>
        </is>
      </c>
      <c r="DM122" s="20" t="inlineStr">
        <is>
          <t>None</t>
        </is>
      </c>
      <c r="DN122" s="17" t="n"/>
      <c r="DO122" s="16" t="n"/>
      <c r="DP122" s="20" t="inlineStr">
        <is>
          <t>IC Organic Acids</t>
        </is>
      </c>
      <c r="DQ122" s="20" t="inlineStr">
        <is>
          <t>None</t>
        </is>
      </c>
      <c r="DR122" s="17" t="n"/>
      <c r="DS122" s="16" t="n"/>
      <c r="DT122" s="20" t="inlineStr">
        <is>
          <t>IC Organic Acids</t>
        </is>
      </c>
      <c r="DU122" s="20" t="inlineStr">
        <is>
          <t>None</t>
        </is>
      </c>
      <c r="DV122" s="17" t="n"/>
      <c r="DW122" s="16" t="n"/>
      <c r="DX122" s="20" t="inlineStr">
        <is>
          <t>IC Organic Acids</t>
        </is>
      </c>
      <c r="DY122" s="20" t="inlineStr">
        <is>
          <t>None</t>
        </is>
      </c>
      <c r="DZ122" s="17" t="n"/>
      <c r="EA122" s="16" t="n"/>
      <c r="EB122" s="20" t="inlineStr">
        <is>
          <t>IC Organic Acids</t>
        </is>
      </c>
      <c r="EC122" s="20" t="inlineStr">
        <is>
          <t>None</t>
        </is>
      </c>
      <c r="ED122" s="17" t="n"/>
      <c r="EE122" s="16" t="n"/>
      <c r="EF122" s="20" t="inlineStr">
        <is>
          <t>IC Organic Acids</t>
        </is>
      </c>
      <c r="EG122" s="20" t="inlineStr">
        <is>
          <t>None</t>
        </is>
      </c>
      <c r="EH122" s="17" t="n"/>
      <c r="EI122" s="16" t="n"/>
      <c r="EJ122" s="20" t="inlineStr">
        <is>
          <t>IC Organic Acids</t>
        </is>
      </c>
      <c r="EK122" s="20" t="inlineStr">
        <is>
          <t>None</t>
        </is>
      </c>
      <c r="EL122" s="17" t="n"/>
      <c r="EM122" s="16" t="n"/>
      <c r="EN122" s="20" t="inlineStr">
        <is>
          <t>IC Organic Acids</t>
        </is>
      </c>
      <c r="EO122" s="20" t="inlineStr">
        <is>
          <t>None</t>
        </is>
      </c>
      <c r="EP122" s="17" t="n"/>
      <c r="EQ122" s="16" t="n"/>
      <c r="ER122" s="20" t="inlineStr">
        <is>
          <t>IC Organic Acids</t>
        </is>
      </c>
      <c r="ES122" s="20" t="inlineStr">
        <is>
          <t>None</t>
        </is>
      </c>
      <c r="ET122" s="17" t="n"/>
      <c r="EU122" s="16" t="n"/>
      <c r="EV122" s="20" t="inlineStr">
        <is>
          <t>LC-MS</t>
        </is>
      </c>
      <c r="EW122" s="20" t="inlineStr">
        <is>
          <t>None</t>
        </is>
      </c>
      <c r="EX122" s="17" t="n"/>
      <c r="EY122" s="21" t="n"/>
      <c r="EZ122">
        <f>CONCATENATE(A122,B122)</f>
        <v/>
      </c>
      <c r="FA122">
        <f>CONCATENATE(SamplesX!A122,SamplesX!B122)</f>
        <v/>
      </c>
      <c r="FC122">
        <f>MATCH(EZ122,FA1:FA1008,0)</f>
        <v/>
      </c>
    </row>
    <row r="123">
      <c r="A123" s="16" t="inlineStr">
        <is>
          <t>BP</t>
        </is>
      </c>
      <c r="B123" s="17" t="inlineStr">
        <is>
          <t>25115</t>
        </is>
      </c>
      <c r="C123" s="10">
        <f>IF(ISNUMBER(FC123),INDIRECT("SamplesX!C"&amp;FC123),IF(ISNUMBER(FD123),INDIRECT("SamplesY!C"&amp;FD123),""))</f>
        <v/>
      </c>
      <c r="D123" s="12">
        <f>IF(ISNUMBER(FC123),INDIRECT("SamplesX!D"&amp;FC123),IF(ISNUMBER(FD123),INDIRECT("SamplesY!D"&amp;FD123),""))</f>
        <v/>
      </c>
      <c r="E123" s="12">
        <f>IF(ISNUMBER(FC123),INDIRECT("SamplesX!E"&amp;FC123),IF(ISNUMBER(FD123),INDIRECT("SamplesY!E"&amp;FD123),""))</f>
        <v/>
      </c>
      <c r="F123" s="11">
        <f>IF(ISNUMBER(FC123),INDIRECT("SamplesX!F"&amp;FC123),IF(ISNUMBER(FD123),INDIRECT("SamplesY!F"&amp;FD123),""))</f>
        <v/>
      </c>
      <c r="G123" s="18">
        <f>IF(ISNUMBER(FC123),INDIRECT("SamplesX!G"&amp;FC123),IF(ISNUMBER(FD123),INDIRECT("SamplesY!G"&amp;FD123),""))</f>
        <v/>
      </c>
      <c r="H123" s="19">
        <f>IF(ISNUMBER(FC123),INDIRECT("SamplesX!H"&amp;FC123),IF(ISNUMBER(FD123),INDIRECT("SamplesY!H"&amp;FD123),""))</f>
        <v/>
      </c>
      <c r="I123" s="16" t="n"/>
      <c r="J123" s="16" t="n"/>
      <c r="K123" s="16" t="n"/>
      <c r="L123" s="20" t="n"/>
      <c r="M123" s="20" t="inlineStr">
        <is>
          <t>None</t>
        </is>
      </c>
      <c r="N123" s="17" t="n"/>
      <c r="O123" s="16" t="n"/>
      <c r="P123" s="20" t="inlineStr">
        <is>
          <t>Shimadzu TOC-L</t>
        </is>
      </c>
      <c r="Q123" s="20" t="inlineStr">
        <is>
          <t>None</t>
        </is>
      </c>
      <c r="R123" s="17" t="n"/>
      <c r="S123" s="16" t="n"/>
      <c r="T123" s="20" t="inlineStr">
        <is>
          <t>Shimadzu TOC-L</t>
        </is>
      </c>
      <c r="U123" s="20" t="inlineStr">
        <is>
          <t>None</t>
        </is>
      </c>
      <c r="V123" s="17" t="n"/>
      <c r="W123" s="16" t="n"/>
      <c r="X123" s="20" t="n"/>
      <c r="Y123" s="20" t="inlineStr">
        <is>
          <t>None</t>
        </is>
      </c>
      <c r="Z123" s="17" t="n"/>
      <c r="AA123" s="16" t="n"/>
      <c r="AB123" s="20" t="n"/>
      <c r="AC123" s="20" t="inlineStr">
        <is>
          <t>None</t>
        </is>
      </c>
      <c r="AD123" s="17" t="n"/>
      <c r="AE123" s="16" t="inlineStr">
        <is>
          <t>128</t>
        </is>
      </c>
      <c r="AF123" s="20" t="inlineStr">
        <is>
          <t>IC Anionen</t>
        </is>
      </c>
      <c r="AG123" s="20" t="inlineStr">
        <is>
          <t>None</t>
        </is>
      </c>
      <c r="AH123" s="17" t="n"/>
      <c r="AI123" s="16" t="inlineStr">
        <is>
          <t>&lt;0.15</t>
        </is>
      </c>
      <c r="AJ123" s="20" t="inlineStr">
        <is>
          <t>IC Anionen</t>
        </is>
      </c>
      <c r="AK123" s="20" t="inlineStr">
        <is>
          <t>None</t>
        </is>
      </c>
      <c r="AL123" s="17" t="n"/>
      <c r="AM123" s="16" t="n"/>
      <c r="AN123" s="20" t="inlineStr">
        <is>
          <t>IC Anionen</t>
        </is>
      </c>
      <c r="AO123" s="20" t="inlineStr">
        <is>
          <t>None</t>
        </is>
      </c>
      <c r="AP123" s="17" t="n"/>
      <c r="AQ123" s="16" t="inlineStr">
        <is>
          <t>&lt;0.29</t>
        </is>
      </c>
      <c r="AR123" s="20" t="inlineStr">
        <is>
          <t>IC Anionen</t>
        </is>
      </c>
      <c r="AS123" s="20" t="inlineStr">
        <is>
          <t>None</t>
        </is>
      </c>
      <c r="AT123" s="17" t="n"/>
      <c r="AU123" s="16" t="inlineStr">
        <is>
          <t>5.83</t>
        </is>
      </c>
      <c r="AV123" s="20" t="inlineStr">
        <is>
          <t>IC Anionen</t>
        </is>
      </c>
      <c r="AW123" s="20" t="inlineStr">
        <is>
          <t>None</t>
        </is>
      </c>
      <c r="AX123" s="17" t="n"/>
      <c r="AY123" s="16" t="inlineStr">
        <is>
          <t>&lt;0.80</t>
        </is>
      </c>
      <c r="AZ123" s="20" t="inlineStr">
        <is>
          <t>IC Anionen</t>
        </is>
      </c>
      <c r="BA123" s="20" t="inlineStr">
        <is>
          <t>None</t>
        </is>
      </c>
      <c r="BB123" s="17" t="n"/>
      <c r="BC123" s="16" t="inlineStr">
        <is>
          <t>107</t>
        </is>
      </c>
      <c r="BD123" s="20" t="inlineStr">
        <is>
          <t>IC Kationen</t>
        </is>
      </c>
      <c r="BE123" s="20" t="inlineStr">
        <is>
          <t>None</t>
        </is>
      </c>
      <c r="BF123" s="17" t="n"/>
      <c r="BG123" s="16" t="inlineStr">
        <is>
          <t>26.6</t>
        </is>
      </c>
      <c r="BH123" s="20" t="inlineStr">
        <is>
          <t>IC Kationen</t>
        </is>
      </c>
      <c r="BI123" s="20" t="inlineStr">
        <is>
          <t>None</t>
        </is>
      </c>
      <c r="BJ123" s="17" t="n"/>
      <c r="BK123" s="16" t="inlineStr">
        <is>
          <t>15.9</t>
        </is>
      </c>
      <c r="BL123" s="20" t="inlineStr">
        <is>
          <t>IC Kationen</t>
        </is>
      </c>
      <c r="BM123" s="20" t="inlineStr">
        <is>
          <t>None</t>
        </is>
      </c>
      <c r="BN123" s="17" t="n"/>
      <c r="BO123" s="16" t="inlineStr">
        <is>
          <t>214</t>
        </is>
      </c>
      <c r="BP123" s="20" t="inlineStr">
        <is>
          <t>IC Kationen</t>
        </is>
      </c>
      <c r="BQ123" s="20" t="inlineStr">
        <is>
          <t>None</t>
        </is>
      </c>
      <c r="BR123" s="17" t="n"/>
      <c r="BS123" s="16" t="inlineStr">
        <is>
          <t>26.1</t>
        </is>
      </c>
      <c r="BT123" s="20" t="inlineStr">
        <is>
          <t>IC Kationen</t>
        </is>
      </c>
      <c r="BU123" s="20" t="inlineStr">
        <is>
          <t>None</t>
        </is>
      </c>
      <c r="BV123" s="17" t="n"/>
      <c r="BW123" s="16" t="n"/>
      <c r="BX123" s="20" t="n"/>
      <c r="BY123" s="20" t="inlineStr">
        <is>
          <t>None</t>
        </is>
      </c>
      <c r="BZ123" s="17" t="n"/>
      <c r="CA123" s="16" t="n"/>
      <c r="CB123" s="20" t="n"/>
      <c r="CC123" s="20" t="inlineStr">
        <is>
          <t>None</t>
        </is>
      </c>
      <c r="CD123" s="17" t="n"/>
      <c r="CE123" s="16" t="n"/>
      <c r="CF123" s="20" t="n"/>
      <c r="CG123" s="20" t="inlineStr">
        <is>
          <t>None</t>
        </is>
      </c>
      <c r="CH123" s="17" t="n"/>
      <c r="CI123" s="16" t="n"/>
      <c r="CJ123" s="20" t="n"/>
      <c r="CK123" s="20" t="inlineStr">
        <is>
          <t>None</t>
        </is>
      </c>
      <c r="CL123" s="17" t="n"/>
      <c r="CM123" s="16" t="n"/>
      <c r="CN123" s="20" t="inlineStr">
        <is>
          <t>SOP 45-34</t>
        </is>
      </c>
      <c r="CO123" s="20" t="inlineStr">
        <is>
          <t>None</t>
        </is>
      </c>
      <c r="CP123" s="17" t="n"/>
      <c r="CQ123" s="16" t="n"/>
      <c r="CR123" s="20" t="n"/>
      <c r="CS123" s="20" t="inlineStr">
        <is>
          <t>None</t>
        </is>
      </c>
      <c r="CT123" s="17" t="n"/>
      <c r="CU123" s="16" t="n"/>
      <c r="CV123" s="20" t="n"/>
      <c r="CW123" s="20" t="inlineStr">
        <is>
          <t>None</t>
        </is>
      </c>
      <c r="CX123" s="17" t="n"/>
      <c r="CY123" s="16" t="n"/>
      <c r="CZ123" s="20" t="inlineStr">
        <is>
          <t>WTW Multimeter 3430 with FDO 925</t>
        </is>
      </c>
      <c r="DA123" s="20" t="inlineStr">
        <is>
          <t>None</t>
        </is>
      </c>
      <c r="DB123" s="17" t="n"/>
      <c r="DC123" s="16" t="n"/>
      <c r="DD123" s="20" t="n"/>
      <c r="DE123" s="20" t="inlineStr">
        <is>
          <t>None</t>
        </is>
      </c>
      <c r="DF123" s="17" t="n"/>
      <c r="DG123" s="16" t="n"/>
      <c r="DH123" s="20" t="inlineStr">
        <is>
          <t>SOP 45-09</t>
        </is>
      </c>
      <c r="DI123" s="20" t="inlineStr">
        <is>
          <t>None</t>
        </is>
      </c>
      <c r="DJ123" s="17" t="n"/>
      <c r="DK123" s="16" t="n"/>
      <c r="DL123" s="20" t="inlineStr">
        <is>
          <t>SOP 45-09 (SOP muss noch angepasst werden für VSS)</t>
        </is>
      </c>
      <c r="DM123" s="20" t="inlineStr">
        <is>
          <t>None</t>
        </is>
      </c>
      <c r="DN123" s="17" t="n"/>
      <c r="DO123" s="16" t="n"/>
      <c r="DP123" s="20" t="inlineStr">
        <is>
          <t>IC Organic Acids</t>
        </is>
      </c>
      <c r="DQ123" s="20" t="inlineStr">
        <is>
          <t>None</t>
        </is>
      </c>
      <c r="DR123" s="17" t="n"/>
      <c r="DS123" s="16" t="n"/>
      <c r="DT123" s="20" t="inlineStr">
        <is>
          <t>IC Organic Acids</t>
        </is>
      </c>
      <c r="DU123" s="20" t="inlineStr">
        <is>
          <t>None</t>
        </is>
      </c>
      <c r="DV123" s="17" t="n"/>
      <c r="DW123" s="16" t="n"/>
      <c r="DX123" s="20" t="inlineStr">
        <is>
          <t>IC Organic Acids</t>
        </is>
      </c>
      <c r="DY123" s="20" t="inlineStr">
        <is>
          <t>None</t>
        </is>
      </c>
      <c r="DZ123" s="17" t="n"/>
      <c r="EA123" s="16" t="n"/>
      <c r="EB123" s="20" t="inlineStr">
        <is>
          <t>IC Organic Acids</t>
        </is>
      </c>
      <c r="EC123" s="20" t="inlineStr">
        <is>
          <t>None</t>
        </is>
      </c>
      <c r="ED123" s="17" t="n"/>
      <c r="EE123" s="16" t="n"/>
      <c r="EF123" s="20" t="inlineStr">
        <is>
          <t>IC Organic Acids</t>
        </is>
      </c>
      <c r="EG123" s="20" t="inlineStr">
        <is>
          <t>None</t>
        </is>
      </c>
      <c r="EH123" s="17" t="n"/>
      <c r="EI123" s="16" t="n"/>
      <c r="EJ123" s="20" t="inlineStr">
        <is>
          <t>IC Organic Acids</t>
        </is>
      </c>
      <c r="EK123" s="20" t="inlineStr">
        <is>
          <t>None</t>
        </is>
      </c>
      <c r="EL123" s="17" t="n"/>
      <c r="EM123" s="16" t="n"/>
      <c r="EN123" s="20" t="inlineStr">
        <is>
          <t>IC Organic Acids</t>
        </is>
      </c>
      <c r="EO123" s="20" t="inlineStr">
        <is>
          <t>None</t>
        </is>
      </c>
      <c r="EP123" s="17" t="n"/>
      <c r="EQ123" s="16" t="n"/>
      <c r="ER123" s="20" t="inlineStr">
        <is>
          <t>IC Organic Acids</t>
        </is>
      </c>
      <c r="ES123" s="20" t="inlineStr">
        <is>
          <t>None</t>
        </is>
      </c>
      <c r="ET123" s="17" t="n"/>
      <c r="EU123" s="16" t="n"/>
      <c r="EV123" s="20" t="inlineStr">
        <is>
          <t>LC-MS</t>
        </is>
      </c>
      <c r="EW123" s="20" t="inlineStr">
        <is>
          <t>None</t>
        </is>
      </c>
      <c r="EX123" s="17" t="n"/>
      <c r="EY123" s="21" t="n"/>
      <c r="EZ123">
        <f>CONCATENATE(A123,B123)</f>
        <v/>
      </c>
      <c r="FA123">
        <f>CONCATENATE(SamplesX!A123,SamplesX!B123)</f>
        <v/>
      </c>
      <c r="FC123">
        <f>MATCH(EZ123,FA1:FA1008,0)</f>
        <v/>
      </c>
    </row>
    <row r="124">
      <c r="A124" s="16" t="inlineStr">
        <is>
          <t>BP</t>
        </is>
      </c>
      <c r="B124" s="17" t="inlineStr">
        <is>
          <t>25116</t>
        </is>
      </c>
      <c r="C124" s="10">
        <f>IF(ISNUMBER(FC124),INDIRECT("SamplesX!C"&amp;FC124),IF(ISNUMBER(FD124),INDIRECT("SamplesY!C"&amp;FD124),""))</f>
        <v/>
      </c>
      <c r="D124" s="12">
        <f>IF(ISNUMBER(FC124),INDIRECT("SamplesX!D"&amp;FC124),IF(ISNUMBER(FD124),INDIRECT("SamplesY!D"&amp;FD124),""))</f>
        <v/>
      </c>
      <c r="E124" s="12">
        <f>IF(ISNUMBER(FC124),INDIRECT("SamplesX!E"&amp;FC124),IF(ISNUMBER(FD124),INDIRECT("SamplesY!E"&amp;FD124),""))</f>
        <v/>
      </c>
      <c r="F124" s="11">
        <f>IF(ISNUMBER(FC124),INDIRECT("SamplesX!F"&amp;FC124),IF(ISNUMBER(FD124),INDIRECT("SamplesY!F"&amp;FD124),""))</f>
        <v/>
      </c>
      <c r="G124" s="18">
        <f>IF(ISNUMBER(FC124),INDIRECT("SamplesX!G"&amp;FC124),IF(ISNUMBER(FD124),INDIRECT("SamplesY!G"&amp;FD124),""))</f>
        <v/>
      </c>
      <c r="H124" s="19">
        <f>IF(ISNUMBER(FC124),INDIRECT("SamplesX!H"&amp;FC124),IF(ISNUMBER(FD124),INDIRECT("SamplesY!H"&amp;FD124),""))</f>
        <v/>
      </c>
      <c r="I124" s="16" t="n"/>
      <c r="J124" s="16" t="n"/>
      <c r="K124" s="16" t="n"/>
      <c r="L124" s="20" t="n"/>
      <c r="M124" s="20" t="inlineStr">
        <is>
          <t>None</t>
        </is>
      </c>
      <c r="N124" s="17" t="n"/>
      <c r="O124" s="16" t="n"/>
      <c r="P124" s="20" t="inlineStr">
        <is>
          <t>Shimadzu TOC-L</t>
        </is>
      </c>
      <c r="Q124" s="20" t="inlineStr">
        <is>
          <t>None</t>
        </is>
      </c>
      <c r="R124" s="17" t="n"/>
      <c r="S124" s="16" t="n"/>
      <c r="T124" s="20" t="inlineStr">
        <is>
          <t>Shimadzu TOC-L</t>
        </is>
      </c>
      <c r="U124" s="20" t="inlineStr">
        <is>
          <t>None</t>
        </is>
      </c>
      <c r="V124" s="17" t="n"/>
      <c r="W124" s="16" t="n"/>
      <c r="X124" s="20" t="n"/>
      <c r="Y124" s="20" t="inlineStr">
        <is>
          <t>None</t>
        </is>
      </c>
      <c r="Z124" s="17" t="n"/>
      <c r="AA124" s="16" t="n"/>
      <c r="AB124" s="20" t="n"/>
      <c r="AC124" s="20" t="inlineStr">
        <is>
          <t>None</t>
        </is>
      </c>
      <c r="AD124" s="17" t="n"/>
      <c r="AE124" s="16" t="inlineStr">
        <is>
          <t>147</t>
        </is>
      </c>
      <c r="AF124" s="20" t="inlineStr">
        <is>
          <t>IC Anionen</t>
        </is>
      </c>
      <c r="AG124" s="20" t="inlineStr">
        <is>
          <t>None</t>
        </is>
      </c>
      <c r="AH124" s="17" t="n"/>
      <c r="AI124" s="16" t="n"/>
      <c r="AJ124" s="20" t="n"/>
      <c r="AK124" s="20" t="inlineStr">
        <is>
          <t>None</t>
        </is>
      </c>
      <c r="AL124" s="17" t="n"/>
      <c r="AM124" s="16" t="n"/>
      <c r="AN124" s="20" t="inlineStr">
        <is>
          <t>IC Anionen</t>
        </is>
      </c>
      <c r="AO124" s="20" t="inlineStr">
        <is>
          <t>None</t>
        </is>
      </c>
      <c r="AP124" s="17" t="n"/>
      <c r="AQ124" s="16" t="n"/>
      <c r="AR124" s="20" t="n"/>
      <c r="AS124" s="20" t="inlineStr">
        <is>
          <t>None</t>
        </is>
      </c>
      <c r="AT124" s="17" t="n"/>
      <c r="AU124" s="16" t="inlineStr">
        <is>
          <t>15.6</t>
        </is>
      </c>
      <c r="AV124" s="20" t="inlineStr">
        <is>
          <t>IC Anionen</t>
        </is>
      </c>
      <c r="AW124" s="20" t="inlineStr">
        <is>
          <t>None</t>
        </is>
      </c>
      <c r="AX124" s="17" t="n"/>
      <c r="AY124" s="16" t="inlineStr">
        <is>
          <t>&lt;0.80</t>
        </is>
      </c>
      <c r="AZ124" s="20" t="inlineStr">
        <is>
          <t>IC Anionen</t>
        </is>
      </c>
      <c r="BA124" s="20" t="inlineStr">
        <is>
          <t>None</t>
        </is>
      </c>
      <c r="BB124" s="17" t="n"/>
      <c r="BC124" s="16" t="inlineStr">
        <is>
          <t>108</t>
        </is>
      </c>
      <c r="BD124" s="20" t="inlineStr">
        <is>
          <t>IC Kationen</t>
        </is>
      </c>
      <c r="BE124" s="20" t="inlineStr">
        <is>
          <t>None</t>
        </is>
      </c>
      <c r="BF124" s="17" t="n"/>
      <c r="BG124" s="16" t="inlineStr">
        <is>
          <t>42.3</t>
        </is>
      </c>
      <c r="BH124" s="20" t="inlineStr">
        <is>
          <t>IC Kationen</t>
        </is>
      </c>
      <c r="BI124" s="20" t="inlineStr">
        <is>
          <t>None</t>
        </is>
      </c>
      <c r="BJ124" s="17" t="n"/>
      <c r="BK124" s="16" t="inlineStr">
        <is>
          <t>18.0</t>
        </is>
      </c>
      <c r="BL124" s="20" t="inlineStr">
        <is>
          <t>IC Kationen</t>
        </is>
      </c>
      <c r="BM124" s="20" t="inlineStr">
        <is>
          <t>None</t>
        </is>
      </c>
      <c r="BN124" s="17" t="n"/>
      <c r="BO124" s="16" t="inlineStr">
        <is>
          <t>251</t>
        </is>
      </c>
      <c r="BP124" s="20" t="inlineStr">
        <is>
          <t>IC Kationen</t>
        </is>
      </c>
      <c r="BQ124" s="20" t="inlineStr">
        <is>
          <t>None</t>
        </is>
      </c>
      <c r="BR124" s="17" t="n"/>
      <c r="BS124" s="16" t="inlineStr">
        <is>
          <t>29.2</t>
        </is>
      </c>
      <c r="BT124" s="20" t="inlineStr">
        <is>
          <t>IC Kationen</t>
        </is>
      </c>
      <c r="BU124" s="20" t="inlineStr">
        <is>
          <t>None</t>
        </is>
      </c>
      <c r="BV124" s="17" t="n"/>
      <c r="BW124" s="16" t="n"/>
      <c r="BX124" s="20" t="n"/>
      <c r="BY124" s="20" t="inlineStr">
        <is>
          <t>None</t>
        </is>
      </c>
      <c r="BZ124" s="17" t="n"/>
      <c r="CA124" s="16" t="n"/>
      <c r="CB124" s="20" t="n"/>
      <c r="CC124" s="20" t="inlineStr">
        <is>
          <t>None</t>
        </is>
      </c>
      <c r="CD124" s="17" t="n"/>
      <c r="CE124" s="16" t="n"/>
      <c r="CF124" s="20" t="n"/>
      <c r="CG124" s="20" t="inlineStr">
        <is>
          <t>None</t>
        </is>
      </c>
      <c r="CH124" s="17" t="n"/>
      <c r="CI124" s="16" t="n"/>
      <c r="CJ124" s="20" t="n"/>
      <c r="CK124" s="20" t="inlineStr">
        <is>
          <t>None</t>
        </is>
      </c>
      <c r="CL124" s="17" t="n"/>
      <c r="CM124" s="16" t="n"/>
      <c r="CN124" s="20" t="inlineStr">
        <is>
          <t>SOP 45-34</t>
        </is>
      </c>
      <c r="CO124" s="20" t="inlineStr">
        <is>
          <t>None</t>
        </is>
      </c>
      <c r="CP124" s="17" t="n"/>
      <c r="CQ124" s="16" t="n"/>
      <c r="CR124" s="20" t="n"/>
      <c r="CS124" s="20" t="inlineStr">
        <is>
          <t>None</t>
        </is>
      </c>
      <c r="CT124" s="17" t="n"/>
      <c r="CU124" s="16" t="n"/>
      <c r="CV124" s="20" t="n"/>
      <c r="CW124" s="20" t="inlineStr">
        <is>
          <t>None</t>
        </is>
      </c>
      <c r="CX124" s="17" t="n"/>
      <c r="CY124" s="16" t="n"/>
      <c r="CZ124" s="20" t="inlineStr">
        <is>
          <t>WTW Multimeter 3430 with FDO 925</t>
        </is>
      </c>
      <c r="DA124" s="20" t="inlineStr">
        <is>
          <t>None</t>
        </is>
      </c>
      <c r="DB124" s="17" t="n"/>
      <c r="DC124" s="16" t="n"/>
      <c r="DD124" s="20" t="n"/>
      <c r="DE124" s="20" t="inlineStr">
        <is>
          <t>None</t>
        </is>
      </c>
      <c r="DF124" s="17" t="n"/>
      <c r="DG124" s="16" t="n"/>
      <c r="DH124" s="20" t="inlineStr">
        <is>
          <t>SOP 45-09</t>
        </is>
      </c>
      <c r="DI124" s="20" t="inlineStr">
        <is>
          <t>None</t>
        </is>
      </c>
      <c r="DJ124" s="17" t="n"/>
      <c r="DK124" s="16" t="n"/>
      <c r="DL124" s="20" t="inlineStr">
        <is>
          <t>SOP 45-09 (SOP muss noch angepasst werden für VSS)</t>
        </is>
      </c>
      <c r="DM124" s="20" t="inlineStr">
        <is>
          <t>None</t>
        </is>
      </c>
      <c r="DN124" s="17" t="n"/>
      <c r="DO124" s="16" t="n"/>
      <c r="DP124" s="20" t="inlineStr">
        <is>
          <t>IC Organic Acids</t>
        </is>
      </c>
      <c r="DQ124" s="20" t="inlineStr">
        <is>
          <t>None</t>
        </is>
      </c>
      <c r="DR124" s="17" t="n"/>
      <c r="DS124" s="16" t="n"/>
      <c r="DT124" s="20" t="inlineStr">
        <is>
          <t>IC Organic Acids</t>
        </is>
      </c>
      <c r="DU124" s="20" t="inlineStr">
        <is>
          <t>None</t>
        </is>
      </c>
      <c r="DV124" s="17" t="n"/>
      <c r="DW124" s="16" t="n"/>
      <c r="DX124" s="20" t="inlineStr">
        <is>
          <t>IC Organic Acids</t>
        </is>
      </c>
      <c r="DY124" s="20" t="inlineStr">
        <is>
          <t>None</t>
        </is>
      </c>
      <c r="DZ124" s="17" t="n"/>
      <c r="EA124" s="16" t="n"/>
      <c r="EB124" s="20" t="inlineStr">
        <is>
          <t>IC Organic Acids</t>
        </is>
      </c>
      <c r="EC124" s="20" t="inlineStr">
        <is>
          <t>None</t>
        </is>
      </c>
      <c r="ED124" s="17" t="n"/>
      <c r="EE124" s="16" t="n"/>
      <c r="EF124" s="20" t="inlineStr">
        <is>
          <t>IC Organic Acids</t>
        </is>
      </c>
      <c r="EG124" s="20" t="inlineStr">
        <is>
          <t>None</t>
        </is>
      </c>
      <c r="EH124" s="17" t="n"/>
      <c r="EI124" s="16" t="n"/>
      <c r="EJ124" s="20" t="inlineStr">
        <is>
          <t>IC Organic Acids</t>
        </is>
      </c>
      <c r="EK124" s="20" t="inlineStr">
        <is>
          <t>None</t>
        </is>
      </c>
      <c r="EL124" s="17" t="n"/>
      <c r="EM124" s="16" t="n"/>
      <c r="EN124" s="20" t="inlineStr">
        <is>
          <t>IC Organic Acids</t>
        </is>
      </c>
      <c r="EO124" s="20" t="inlineStr">
        <is>
          <t>None</t>
        </is>
      </c>
      <c r="EP124" s="17" t="n"/>
      <c r="EQ124" s="16" t="n"/>
      <c r="ER124" s="20" t="inlineStr">
        <is>
          <t>IC Organic Acids</t>
        </is>
      </c>
      <c r="ES124" s="20" t="inlineStr">
        <is>
          <t>None</t>
        </is>
      </c>
      <c r="ET124" s="17" t="n"/>
      <c r="EU124" s="16" t="n"/>
      <c r="EV124" s="20" t="inlineStr">
        <is>
          <t>LC-MS</t>
        </is>
      </c>
      <c r="EW124" s="20" t="inlineStr">
        <is>
          <t>None</t>
        </is>
      </c>
      <c r="EX124" s="17" t="n"/>
      <c r="EY124" s="21" t="n"/>
      <c r="EZ124">
        <f>CONCATENATE(A124,B124)</f>
        <v/>
      </c>
      <c r="FA124">
        <f>CONCATENATE(SamplesX!A124,SamplesX!B124)</f>
        <v/>
      </c>
      <c r="FC124">
        <f>MATCH(EZ124,FA1:FA1008,0)</f>
        <v/>
      </c>
    </row>
    <row r="125">
      <c r="A125" s="16" t="inlineStr">
        <is>
          <t>BP</t>
        </is>
      </c>
      <c r="B125" s="17" t="inlineStr">
        <is>
          <t>25117</t>
        </is>
      </c>
      <c r="C125" s="10">
        <f>IF(ISNUMBER(FC125),INDIRECT("SamplesX!C"&amp;FC125),IF(ISNUMBER(FD125),INDIRECT("SamplesY!C"&amp;FD125),""))</f>
        <v/>
      </c>
      <c r="D125" s="12">
        <f>IF(ISNUMBER(FC125),INDIRECT("SamplesX!D"&amp;FC125),IF(ISNUMBER(FD125),INDIRECT("SamplesY!D"&amp;FD125),""))</f>
        <v/>
      </c>
      <c r="E125" s="12">
        <f>IF(ISNUMBER(FC125),INDIRECT("SamplesX!E"&amp;FC125),IF(ISNUMBER(FD125),INDIRECT("SamplesY!E"&amp;FD125),""))</f>
        <v/>
      </c>
      <c r="F125" s="11">
        <f>IF(ISNUMBER(FC125),INDIRECT("SamplesX!F"&amp;FC125),IF(ISNUMBER(FD125),INDIRECT("SamplesY!F"&amp;FD125),""))</f>
        <v/>
      </c>
      <c r="G125" s="18">
        <f>IF(ISNUMBER(FC125),INDIRECT("SamplesX!G"&amp;FC125),IF(ISNUMBER(FD125),INDIRECT("SamplesY!G"&amp;FD125),""))</f>
        <v/>
      </c>
      <c r="H125" s="19">
        <f>IF(ISNUMBER(FC125),INDIRECT("SamplesX!H"&amp;FC125),IF(ISNUMBER(FD125),INDIRECT("SamplesY!H"&amp;FD125),""))</f>
        <v/>
      </c>
      <c r="I125" s="16" t="n"/>
      <c r="J125" s="16" t="n"/>
      <c r="K125" s="16" t="n"/>
      <c r="L125" s="20" t="n"/>
      <c r="M125" s="20" t="inlineStr">
        <is>
          <t>None</t>
        </is>
      </c>
      <c r="N125" s="17" t="n"/>
      <c r="O125" s="16" t="n"/>
      <c r="P125" s="20" t="inlineStr">
        <is>
          <t>Shimadzu TOC-L</t>
        </is>
      </c>
      <c r="Q125" s="20" t="inlineStr">
        <is>
          <t>None</t>
        </is>
      </c>
      <c r="R125" s="17" t="n"/>
      <c r="S125" s="16" t="n"/>
      <c r="T125" s="20" t="inlineStr">
        <is>
          <t>Shimadzu TOC-L</t>
        </is>
      </c>
      <c r="U125" s="20" t="inlineStr">
        <is>
          <t>None</t>
        </is>
      </c>
      <c r="V125" s="17" t="n"/>
      <c r="W125" s="16" t="n"/>
      <c r="X125" s="20" t="n"/>
      <c r="Y125" s="20" t="inlineStr">
        <is>
          <t>None</t>
        </is>
      </c>
      <c r="Z125" s="17" t="n"/>
      <c r="AA125" s="16" t="n"/>
      <c r="AB125" s="20" t="n"/>
      <c r="AC125" s="20" t="inlineStr">
        <is>
          <t>None</t>
        </is>
      </c>
      <c r="AD125" s="17" t="n"/>
      <c r="AE125" s="16" t="inlineStr">
        <is>
          <t>397</t>
        </is>
      </c>
      <c r="AF125" s="20" t="inlineStr">
        <is>
          <t>IC Anionen</t>
        </is>
      </c>
      <c r="AG125" s="20" t="inlineStr">
        <is>
          <t>None</t>
        </is>
      </c>
      <c r="AH125" s="17" t="n"/>
      <c r="AI125" s="16" t="n"/>
      <c r="AJ125" s="20" t="n"/>
      <c r="AK125" s="20" t="inlineStr">
        <is>
          <t>None</t>
        </is>
      </c>
      <c r="AL125" s="17" t="n"/>
      <c r="AM125" s="16" t="n"/>
      <c r="AN125" s="20" t="inlineStr">
        <is>
          <t>IC Anionen</t>
        </is>
      </c>
      <c r="AO125" s="20" t="inlineStr">
        <is>
          <t>None</t>
        </is>
      </c>
      <c r="AP125" s="17" t="n"/>
      <c r="AQ125" s="16" t="n"/>
      <c r="AR125" s="20" t="n"/>
      <c r="AS125" s="20" t="inlineStr">
        <is>
          <t>None</t>
        </is>
      </c>
      <c r="AT125" s="17" t="n"/>
      <c r="AU125" s="16" t="inlineStr">
        <is>
          <t>0.13</t>
        </is>
      </c>
      <c r="AV125" s="20" t="inlineStr">
        <is>
          <t>IC Anionen</t>
        </is>
      </c>
      <c r="AW125" s="20" t="inlineStr">
        <is>
          <t>None</t>
        </is>
      </c>
      <c r="AX125" s="17" t="n"/>
      <c r="AY125" s="16" t="inlineStr">
        <is>
          <t>1.74</t>
        </is>
      </c>
      <c r="AZ125" s="20" t="inlineStr">
        <is>
          <t>IC Anionen</t>
        </is>
      </c>
      <c r="BA125" s="20" t="inlineStr">
        <is>
          <t>None</t>
        </is>
      </c>
      <c r="BB125" s="17" t="n"/>
      <c r="BC125" s="16" t="inlineStr">
        <is>
          <t>87.0</t>
        </is>
      </c>
      <c r="BD125" s="20" t="inlineStr">
        <is>
          <t>IC Kationen</t>
        </is>
      </c>
      <c r="BE125" s="20" t="inlineStr">
        <is>
          <t>None</t>
        </is>
      </c>
      <c r="BF125" s="17" t="n"/>
      <c r="BG125" s="16" t="inlineStr">
        <is>
          <t>46.6</t>
        </is>
      </c>
      <c r="BH125" s="20" t="inlineStr">
        <is>
          <t>IC Kationen</t>
        </is>
      </c>
      <c r="BI125" s="20" t="inlineStr">
        <is>
          <t>None</t>
        </is>
      </c>
      <c r="BJ125" s="17" t="n"/>
      <c r="BK125" s="16" t="inlineStr">
        <is>
          <t>17.1</t>
        </is>
      </c>
      <c r="BL125" s="20" t="inlineStr">
        <is>
          <t>IC Kationen</t>
        </is>
      </c>
      <c r="BM125" s="20" t="inlineStr">
        <is>
          <t>None</t>
        </is>
      </c>
      <c r="BN125" s="17" t="n"/>
      <c r="BO125" s="16" t="inlineStr">
        <is>
          <t>203</t>
        </is>
      </c>
      <c r="BP125" s="20" t="inlineStr">
        <is>
          <t>IC Kationen</t>
        </is>
      </c>
      <c r="BQ125" s="20" t="inlineStr">
        <is>
          <t>None</t>
        </is>
      </c>
      <c r="BR125" s="17" t="n"/>
      <c r="BS125" s="16" t="inlineStr">
        <is>
          <t>23.4</t>
        </is>
      </c>
      <c r="BT125" s="20" t="inlineStr">
        <is>
          <t>IC Kationen</t>
        </is>
      </c>
      <c r="BU125" s="20" t="inlineStr">
        <is>
          <t>None</t>
        </is>
      </c>
      <c r="BV125" s="17" t="n"/>
      <c r="BW125" s="16" t="n"/>
      <c r="BX125" s="20" t="n"/>
      <c r="BY125" s="20" t="inlineStr">
        <is>
          <t>None</t>
        </is>
      </c>
      <c r="BZ125" s="17" t="n"/>
      <c r="CA125" s="16" t="n"/>
      <c r="CB125" s="20" t="n"/>
      <c r="CC125" s="20" t="inlineStr">
        <is>
          <t>None</t>
        </is>
      </c>
      <c r="CD125" s="17" t="n"/>
      <c r="CE125" s="16" t="n"/>
      <c r="CF125" s="20" t="n"/>
      <c r="CG125" s="20" t="inlineStr">
        <is>
          <t>None</t>
        </is>
      </c>
      <c r="CH125" s="17" t="n"/>
      <c r="CI125" s="16" t="n"/>
      <c r="CJ125" s="20" t="n"/>
      <c r="CK125" s="20" t="inlineStr">
        <is>
          <t>None</t>
        </is>
      </c>
      <c r="CL125" s="17" t="n"/>
      <c r="CM125" s="16" t="n"/>
      <c r="CN125" s="20" t="inlineStr">
        <is>
          <t>SOP 45-34</t>
        </is>
      </c>
      <c r="CO125" s="20" t="inlineStr">
        <is>
          <t>None</t>
        </is>
      </c>
      <c r="CP125" s="17" t="n"/>
      <c r="CQ125" s="16" t="n"/>
      <c r="CR125" s="20" t="n"/>
      <c r="CS125" s="20" t="inlineStr">
        <is>
          <t>None</t>
        </is>
      </c>
      <c r="CT125" s="17" t="n"/>
      <c r="CU125" s="16" t="n"/>
      <c r="CV125" s="20" t="n"/>
      <c r="CW125" s="20" t="inlineStr">
        <is>
          <t>None</t>
        </is>
      </c>
      <c r="CX125" s="17" t="n"/>
      <c r="CY125" s="16" t="n"/>
      <c r="CZ125" s="20" t="inlineStr">
        <is>
          <t>WTW Multimeter 3430 with FDO 925</t>
        </is>
      </c>
      <c r="DA125" s="20" t="inlineStr">
        <is>
          <t>None</t>
        </is>
      </c>
      <c r="DB125" s="17" t="n"/>
      <c r="DC125" s="16" t="n"/>
      <c r="DD125" s="20" t="n"/>
      <c r="DE125" s="20" t="inlineStr">
        <is>
          <t>None</t>
        </is>
      </c>
      <c r="DF125" s="17" t="n"/>
      <c r="DG125" s="16" t="n"/>
      <c r="DH125" s="20" t="inlineStr">
        <is>
          <t>SOP 45-09</t>
        </is>
      </c>
      <c r="DI125" s="20" t="inlineStr">
        <is>
          <t>None</t>
        </is>
      </c>
      <c r="DJ125" s="17" t="n"/>
      <c r="DK125" s="16" t="n"/>
      <c r="DL125" s="20" t="inlineStr">
        <is>
          <t>SOP 45-09 (SOP muss noch angepasst werden für VSS)</t>
        </is>
      </c>
      <c r="DM125" s="20" t="inlineStr">
        <is>
          <t>None</t>
        </is>
      </c>
      <c r="DN125" s="17" t="n"/>
      <c r="DO125" s="16" t="n"/>
      <c r="DP125" s="20" t="inlineStr">
        <is>
          <t>IC Organic Acids</t>
        </is>
      </c>
      <c r="DQ125" s="20" t="inlineStr">
        <is>
          <t>None</t>
        </is>
      </c>
      <c r="DR125" s="17" t="n"/>
      <c r="DS125" s="16" t="n"/>
      <c r="DT125" s="20" t="inlineStr">
        <is>
          <t>IC Organic Acids</t>
        </is>
      </c>
      <c r="DU125" s="20" t="inlineStr">
        <is>
          <t>None</t>
        </is>
      </c>
      <c r="DV125" s="17" t="n"/>
      <c r="DW125" s="16" t="n"/>
      <c r="DX125" s="20" t="inlineStr">
        <is>
          <t>IC Organic Acids</t>
        </is>
      </c>
      <c r="DY125" s="20" t="inlineStr">
        <is>
          <t>None</t>
        </is>
      </c>
      <c r="DZ125" s="17" t="n"/>
      <c r="EA125" s="16" t="n"/>
      <c r="EB125" s="20" t="inlineStr">
        <is>
          <t>IC Organic Acids</t>
        </is>
      </c>
      <c r="EC125" s="20" t="inlineStr">
        <is>
          <t>None</t>
        </is>
      </c>
      <c r="ED125" s="17" t="n"/>
      <c r="EE125" s="16" t="n"/>
      <c r="EF125" s="20" t="inlineStr">
        <is>
          <t>IC Organic Acids</t>
        </is>
      </c>
      <c r="EG125" s="20" t="inlineStr">
        <is>
          <t>None</t>
        </is>
      </c>
      <c r="EH125" s="17" t="n"/>
      <c r="EI125" s="16" t="n"/>
      <c r="EJ125" s="20" t="inlineStr">
        <is>
          <t>IC Organic Acids</t>
        </is>
      </c>
      <c r="EK125" s="20" t="inlineStr">
        <is>
          <t>None</t>
        </is>
      </c>
      <c r="EL125" s="17" t="n"/>
      <c r="EM125" s="16" t="n"/>
      <c r="EN125" s="20" t="inlineStr">
        <is>
          <t>IC Organic Acids</t>
        </is>
      </c>
      <c r="EO125" s="20" t="inlineStr">
        <is>
          <t>None</t>
        </is>
      </c>
      <c r="EP125" s="17" t="n"/>
      <c r="EQ125" s="16" t="n"/>
      <c r="ER125" s="20" t="inlineStr">
        <is>
          <t>IC Organic Acids</t>
        </is>
      </c>
      <c r="ES125" s="20" t="inlineStr">
        <is>
          <t>None</t>
        </is>
      </c>
      <c r="ET125" s="17" t="n"/>
      <c r="EU125" s="16" t="n"/>
      <c r="EV125" s="20" t="inlineStr">
        <is>
          <t>LC-MS</t>
        </is>
      </c>
      <c r="EW125" s="20" t="inlineStr">
        <is>
          <t>None</t>
        </is>
      </c>
      <c r="EX125" s="17" t="n"/>
      <c r="EY125" s="21" t="n"/>
      <c r="EZ125">
        <f>CONCATENATE(A125,B125)</f>
        <v/>
      </c>
      <c r="FA125">
        <f>CONCATENATE(SamplesX!A125,SamplesX!B125)</f>
        <v/>
      </c>
      <c r="FC125">
        <f>MATCH(EZ125,FA1:FA1008,0)</f>
        <v/>
      </c>
    </row>
    <row r="126">
      <c r="A126" s="16" t="inlineStr">
        <is>
          <t>BP</t>
        </is>
      </c>
      <c r="B126" s="17" t="inlineStr">
        <is>
          <t>25118</t>
        </is>
      </c>
      <c r="C126" s="10">
        <f>IF(ISNUMBER(FC126),INDIRECT("SamplesX!C"&amp;FC126),IF(ISNUMBER(FD126),INDIRECT("SamplesY!C"&amp;FD126),""))</f>
        <v/>
      </c>
      <c r="D126" s="12">
        <f>IF(ISNUMBER(FC126),INDIRECT("SamplesX!D"&amp;FC126),IF(ISNUMBER(FD126),INDIRECT("SamplesY!D"&amp;FD126),""))</f>
        <v/>
      </c>
      <c r="E126" s="12">
        <f>IF(ISNUMBER(FC126),INDIRECT("SamplesX!E"&amp;FC126),IF(ISNUMBER(FD126),INDIRECT("SamplesY!E"&amp;FD126),""))</f>
        <v/>
      </c>
      <c r="F126" s="11">
        <f>IF(ISNUMBER(FC126),INDIRECT("SamplesX!F"&amp;FC126),IF(ISNUMBER(FD126),INDIRECT("SamplesY!F"&amp;FD126),""))</f>
        <v/>
      </c>
      <c r="G126" s="18">
        <f>IF(ISNUMBER(FC126),INDIRECT("SamplesX!G"&amp;FC126),IF(ISNUMBER(FD126),INDIRECT("SamplesY!G"&amp;FD126),""))</f>
        <v/>
      </c>
      <c r="H126" s="19">
        <f>IF(ISNUMBER(FC126),INDIRECT("SamplesX!H"&amp;FC126),IF(ISNUMBER(FD126),INDIRECT("SamplesY!H"&amp;FD126),""))</f>
        <v/>
      </c>
      <c r="I126" s="16" t="n"/>
      <c r="J126" s="16" t="n"/>
      <c r="K126" s="16" t="n"/>
      <c r="L126" s="20" t="n"/>
      <c r="M126" s="20" t="inlineStr">
        <is>
          <t>None</t>
        </is>
      </c>
      <c r="N126" s="17" t="n"/>
      <c r="O126" s="16" t="n"/>
      <c r="P126" s="20" t="inlineStr">
        <is>
          <t>Shimadzu TOC-L</t>
        </is>
      </c>
      <c r="Q126" s="20" t="inlineStr">
        <is>
          <t>None</t>
        </is>
      </c>
      <c r="R126" s="17" t="n"/>
      <c r="S126" s="16" t="n"/>
      <c r="T126" s="20" t="inlineStr">
        <is>
          <t>Shimadzu TOC-L</t>
        </is>
      </c>
      <c r="U126" s="20" t="inlineStr">
        <is>
          <t>None</t>
        </is>
      </c>
      <c r="V126" s="17" t="n"/>
      <c r="W126" s="16" t="n"/>
      <c r="X126" s="20" t="n"/>
      <c r="Y126" s="20" t="inlineStr">
        <is>
          <t>None</t>
        </is>
      </c>
      <c r="Z126" s="17" t="n"/>
      <c r="AA126" s="16" t="n"/>
      <c r="AB126" s="20" t="n"/>
      <c r="AC126" s="20" t="inlineStr">
        <is>
          <t>None</t>
        </is>
      </c>
      <c r="AD126" s="17" t="n"/>
      <c r="AE126" s="16" t="inlineStr">
        <is>
          <t>424</t>
        </is>
      </c>
      <c r="AF126" s="20" t="inlineStr">
        <is>
          <t>IC Anionen</t>
        </is>
      </c>
      <c r="AG126" s="20" t="inlineStr">
        <is>
          <t>None</t>
        </is>
      </c>
      <c r="AH126" s="17" t="n"/>
      <c r="AI126" s="16" t="n"/>
      <c r="AJ126" s="20" t="n"/>
      <c r="AK126" s="20" t="inlineStr">
        <is>
          <t>None</t>
        </is>
      </c>
      <c r="AL126" s="17" t="n"/>
      <c r="AM126" s="16" t="n"/>
      <c r="AN126" s="20" t="inlineStr">
        <is>
          <t>IC Anionen</t>
        </is>
      </c>
      <c r="AO126" s="20" t="inlineStr">
        <is>
          <t>None</t>
        </is>
      </c>
      <c r="AP126" s="17" t="n"/>
      <c r="AQ126" s="16" t="n"/>
      <c r="AR126" s="20" t="n"/>
      <c r="AS126" s="20" t="inlineStr">
        <is>
          <t>None</t>
        </is>
      </c>
      <c r="AT126" s="17" t="n"/>
      <c r="AU126" s="16" t="inlineStr">
        <is>
          <t>&lt;0.13</t>
        </is>
      </c>
      <c r="AV126" s="20" t="inlineStr">
        <is>
          <t>IC Anionen</t>
        </is>
      </c>
      <c r="AW126" s="20" t="inlineStr">
        <is>
          <t>None</t>
        </is>
      </c>
      <c r="AX126" s="17" t="n"/>
      <c r="AY126" s="16" t="inlineStr">
        <is>
          <t>&lt;0.80</t>
        </is>
      </c>
      <c r="AZ126" s="20" t="inlineStr">
        <is>
          <t>IC Anionen</t>
        </is>
      </c>
      <c r="BA126" s="20" t="inlineStr">
        <is>
          <t>None</t>
        </is>
      </c>
      <c r="BB126" s="17" t="n"/>
      <c r="BC126" s="16" t="inlineStr">
        <is>
          <t>94.0</t>
        </is>
      </c>
      <c r="BD126" s="20" t="inlineStr">
        <is>
          <t>IC Kationen</t>
        </is>
      </c>
      <c r="BE126" s="20" t="inlineStr">
        <is>
          <t>None</t>
        </is>
      </c>
      <c r="BF126" s="17" t="n"/>
      <c r="BG126" s="16" t="inlineStr">
        <is>
          <t>9.19</t>
        </is>
      </c>
      <c r="BH126" s="20" t="inlineStr">
        <is>
          <t>IC Kationen</t>
        </is>
      </c>
      <c r="BI126" s="20" t="inlineStr">
        <is>
          <t>None</t>
        </is>
      </c>
      <c r="BJ126" s="17" t="n"/>
      <c r="BK126" s="16" t="inlineStr">
        <is>
          <t>14.1</t>
        </is>
      </c>
      <c r="BL126" s="20" t="inlineStr">
        <is>
          <t>IC Kationen</t>
        </is>
      </c>
      <c r="BM126" s="20" t="inlineStr">
        <is>
          <t>None</t>
        </is>
      </c>
      <c r="BN126" s="17" t="n"/>
      <c r="BO126" s="16" t="inlineStr">
        <is>
          <t>195</t>
        </is>
      </c>
      <c r="BP126" s="20" t="inlineStr">
        <is>
          <t>IC Kationen</t>
        </is>
      </c>
      <c r="BQ126" s="20" t="inlineStr">
        <is>
          <t>None</t>
        </is>
      </c>
      <c r="BR126" s="17" t="n"/>
      <c r="BS126" s="16" t="inlineStr">
        <is>
          <t>23.6</t>
        </is>
      </c>
      <c r="BT126" s="20" t="inlineStr">
        <is>
          <t>IC Kationen</t>
        </is>
      </c>
      <c r="BU126" s="20" t="inlineStr">
        <is>
          <t>None</t>
        </is>
      </c>
      <c r="BV126" s="17" t="n"/>
      <c r="BW126" s="16" t="n"/>
      <c r="BX126" s="20" t="n"/>
      <c r="BY126" s="20" t="inlineStr">
        <is>
          <t>None</t>
        </is>
      </c>
      <c r="BZ126" s="17" t="n"/>
      <c r="CA126" s="16" t="n"/>
      <c r="CB126" s="20" t="n"/>
      <c r="CC126" s="20" t="inlineStr">
        <is>
          <t>None</t>
        </is>
      </c>
      <c r="CD126" s="17" t="n"/>
      <c r="CE126" s="16" t="n"/>
      <c r="CF126" s="20" t="n"/>
      <c r="CG126" s="20" t="inlineStr">
        <is>
          <t>None</t>
        </is>
      </c>
      <c r="CH126" s="17" t="n"/>
      <c r="CI126" s="16" t="n"/>
      <c r="CJ126" s="20" t="n"/>
      <c r="CK126" s="20" t="inlineStr">
        <is>
          <t>None</t>
        </is>
      </c>
      <c r="CL126" s="17" t="n"/>
      <c r="CM126" s="16" t="n"/>
      <c r="CN126" s="20" t="inlineStr">
        <is>
          <t>SOP 45-34</t>
        </is>
      </c>
      <c r="CO126" s="20" t="inlineStr">
        <is>
          <t>None</t>
        </is>
      </c>
      <c r="CP126" s="17" t="n"/>
      <c r="CQ126" s="16" t="n"/>
      <c r="CR126" s="20" t="n"/>
      <c r="CS126" s="20" t="inlineStr">
        <is>
          <t>None</t>
        </is>
      </c>
      <c r="CT126" s="17" t="n"/>
      <c r="CU126" s="16" t="n"/>
      <c r="CV126" s="20" t="n"/>
      <c r="CW126" s="20" t="inlineStr">
        <is>
          <t>None</t>
        </is>
      </c>
      <c r="CX126" s="17" t="n"/>
      <c r="CY126" s="16" t="n"/>
      <c r="CZ126" s="20" t="inlineStr">
        <is>
          <t>WTW Multimeter 3430 with FDO 925</t>
        </is>
      </c>
      <c r="DA126" s="20" t="inlineStr">
        <is>
          <t>None</t>
        </is>
      </c>
      <c r="DB126" s="17" t="n"/>
      <c r="DC126" s="16" t="n"/>
      <c r="DD126" s="20" t="n"/>
      <c r="DE126" s="20" t="inlineStr">
        <is>
          <t>None</t>
        </is>
      </c>
      <c r="DF126" s="17" t="n"/>
      <c r="DG126" s="16" t="n"/>
      <c r="DH126" s="20" t="inlineStr">
        <is>
          <t>SOP 45-09</t>
        </is>
      </c>
      <c r="DI126" s="20" t="inlineStr">
        <is>
          <t>None</t>
        </is>
      </c>
      <c r="DJ126" s="17" t="n"/>
      <c r="DK126" s="16" t="n"/>
      <c r="DL126" s="20" t="inlineStr">
        <is>
          <t>SOP 45-09 (SOP muss noch angepasst werden für VSS)</t>
        </is>
      </c>
      <c r="DM126" s="20" t="inlineStr">
        <is>
          <t>None</t>
        </is>
      </c>
      <c r="DN126" s="17" t="n"/>
      <c r="DO126" s="16" t="n"/>
      <c r="DP126" s="20" t="inlineStr">
        <is>
          <t>IC Organic Acids</t>
        </is>
      </c>
      <c r="DQ126" s="20" t="inlineStr">
        <is>
          <t>None</t>
        </is>
      </c>
      <c r="DR126" s="17" t="n"/>
      <c r="DS126" s="16" t="n"/>
      <c r="DT126" s="20" t="inlineStr">
        <is>
          <t>IC Organic Acids</t>
        </is>
      </c>
      <c r="DU126" s="20" t="inlineStr">
        <is>
          <t>None</t>
        </is>
      </c>
      <c r="DV126" s="17" t="n"/>
      <c r="DW126" s="16" t="n"/>
      <c r="DX126" s="20" t="inlineStr">
        <is>
          <t>IC Organic Acids</t>
        </is>
      </c>
      <c r="DY126" s="20" t="inlineStr">
        <is>
          <t>None</t>
        </is>
      </c>
      <c r="DZ126" s="17" t="n"/>
      <c r="EA126" s="16" t="n"/>
      <c r="EB126" s="20" t="inlineStr">
        <is>
          <t>IC Organic Acids</t>
        </is>
      </c>
      <c r="EC126" s="20" t="inlineStr">
        <is>
          <t>None</t>
        </is>
      </c>
      <c r="ED126" s="17" t="n"/>
      <c r="EE126" s="16" t="n"/>
      <c r="EF126" s="20" t="inlineStr">
        <is>
          <t>IC Organic Acids</t>
        </is>
      </c>
      <c r="EG126" s="20" t="inlineStr">
        <is>
          <t>None</t>
        </is>
      </c>
      <c r="EH126" s="17" t="n"/>
      <c r="EI126" s="16" t="n"/>
      <c r="EJ126" s="20" t="inlineStr">
        <is>
          <t>IC Organic Acids</t>
        </is>
      </c>
      <c r="EK126" s="20" t="inlineStr">
        <is>
          <t>None</t>
        </is>
      </c>
      <c r="EL126" s="17" t="n"/>
      <c r="EM126" s="16" t="n"/>
      <c r="EN126" s="20" t="inlineStr">
        <is>
          <t>IC Organic Acids</t>
        </is>
      </c>
      <c r="EO126" s="20" t="inlineStr">
        <is>
          <t>None</t>
        </is>
      </c>
      <c r="EP126" s="17" t="n"/>
      <c r="EQ126" s="16" t="n"/>
      <c r="ER126" s="20" t="inlineStr">
        <is>
          <t>IC Organic Acids</t>
        </is>
      </c>
      <c r="ES126" s="20" t="inlineStr">
        <is>
          <t>None</t>
        </is>
      </c>
      <c r="ET126" s="17" t="n"/>
      <c r="EU126" s="16" t="n"/>
      <c r="EV126" s="20" t="inlineStr">
        <is>
          <t>LC-MS</t>
        </is>
      </c>
      <c r="EW126" s="20" t="inlineStr">
        <is>
          <t>None</t>
        </is>
      </c>
      <c r="EX126" s="17" t="n"/>
      <c r="EY126" s="21" t="n"/>
      <c r="EZ126">
        <f>CONCATENATE(A126,B126)</f>
        <v/>
      </c>
      <c r="FA126">
        <f>CONCATENATE(SamplesX!A126,SamplesX!B126)</f>
        <v/>
      </c>
      <c r="FC126">
        <f>MATCH(EZ126,FA1:FA1008,0)</f>
        <v/>
      </c>
    </row>
    <row r="127">
      <c r="A127" s="16" t="inlineStr">
        <is>
          <t>BP</t>
        </is>
      </c>
      <c r="B127" s="17" t="inlineStr">
        <is>
          <t>25119</t>
        </is>
      </c>
      <c r="C127" s="10">
        <f>IF(ISNUMBER(FC127),INDIRECT("SamplesX!C"&amp;FC127),IF(ISNUMBER(FD127),INDIRECT("SamplesY!C"&amp;FD127),""))</f>
        <v/>
      </c>
      <c r="D127" s="12">
        <f>IF(ISNUMBER(FC127),INDIRECT("SamplesX!D"&amp;FC127),IF(ISNUMBER(FD127),INDIRECT("SamplesY!D"&amp;FD127),""))</f>
        <v/>
      </c>
      <c r="E127" s="12">
        <f>IF(ISNUMBER(FC127),INDIRECT("SamplesX!E"&amp;FC127),IF(ISNUMBER(FD127),INDIRECT("SamplesY!E"&amp;FD127),""))</f>
        <v/>
      </c>
      <c r="F127" s="11">
        <f>IF(ISNUMBER(FC127),INDIRECT("SamplesX!F"&amp;FC127),IF(ISNUMBER(FD127),INDIRECT("SamplesY!F"&amp;FD127),""))</f>
        <v/>
      </c>
      <c r="G127" s="18">
        <f>IF(ISNUMBER(FC127),INDIRECT("SamplesX!G"&amp;FC127),IF(ISNUMBER(FD127),INDIRECT("SamplesY!G"&amp;FD127),""))</f>
        <v/>
      </c>
      <c r="H127" s="19">
        <f>IF(ISNUMBER(FC127),INDIRECT("SamplesX!H"&amp;FC127),IF(ISNUMBER(FD127),INDIRECT("SamplesY!H"&amp;FD127),""))</f>
        <v/>
      </c>
      <c r="I127" s="16" t="n"/>
      <c r="J127" s="16" t="n"/>
      <c r="K127" s="16" t="n"/>
      <c r="L127" s="20" t="n"/>
      <c r="M127" s="20" t="inlineStr">
        <is>
          <t>None</t>
        </is>
      </c>
      <c r="N127" s="17" t="n"/>
      <c r="O127" s="16" t="n"/>
      <c r="P127" s="20" t="inlineStr">
        <is>
          <t>Shimadzu TOC-L</t>
        </is>
      </c>
      <c r="Q127" s="20" t="inlineStr">
        <is>
          <t>None</t>
        </is>
      </c>
      <c r="R127" s="17" t="n"/>
      <c r="S127" s="16" t="n"/>
      <c r="T127" s="20" t="inlineStr">
        <is>
          <t>Shimadzu TOC-L</t>
        </is>
      </c>
      <c r="U127" s="20" t="inlineStr">
        <is>
          <t>None</t>
        </is>
      </c>
      <c r="V127" s="17" t="n"/>
      <c r="W127" s="16" t="n"/>
      <c r="X127" s="20" t="n"/>
      <c r="Y127" s="20" t="inlineStr">
        <is>
          <t>None</t>
        </is>
      </c>
      <c r="Z127" s="17" t="n"/>
      <c r="AA127" s="16" t="n"/>
      <c r="AB127" s="20" t="n"/>
      <c r="AC127" s="20" t="inlineStr">
        <is>
          <t>None</t>
        </is>
      </c>
      <c r="AD127" s="17" t="n"/>
      <c r="AE127" s="16" t="inlineStr">
        <is>
          <t>138</t>
        </is>
      </c>
      <c r="AF127" s="20" t="inlineStr">
        <is>
          <t>IC Anionen</t>
        </is>
      </c>
      <c r="AG127" s="20" t="inlineStr">
        <is>
          <t>None</t>
        </is>
      </c>
      <c r="AH127" s="17" t="n"/>
      <c r="AI127" s="16" t="n"/>
      <c r="AJ127" s="20" t="n"/>
      <c r="AK127" s="20" t="inlineStr">
        <is>
          <t>None</t>
        </is>
      </c>
      <c r="AL127" s="17" t="n"/>
      <c r="AM127" s="16" t="n"/>
      <c r="AN127" s="20" t="inlineStr">
        <is>
          <t>IC Anionen</t>
        </is>
      </c>
      <c r="AO127" s="20" t="inlineStr">
        <is>
          <t>None</t>
        </is>
      </c>
      <c r="AP127" s="17" t="n"/>
      <c r="AQ127" s="16" t="n"/>
      <c r="AR127" s="20" t="n"/>
      <c r="AS127" s="20" t="inlineStr">
        <is>
          <t>None</t>
        </is>
      </c>
      <c r="AT127" s="17" t="n"/>
      <c r="AU127" s="16" t="inlineStr">
        <is>
          <t>2.79</t>
        </is>
      </c>
      <c r="AV127" s="20" t="inlineStr">
        <is>
          <t>IC Anionen</t>
        </is>
      </c>
      <c r="AW127" s="20" t="inlineStr">
        <is>
          <t>None</t>
        </is>
      </c>
      <c r="AX127" s="17" t="n"/>
      <c r="AY127" s="16" t="inlineStr">
        <is>
          <t>7.46</t>
        </is>
      </c>
      <c r="AZ127" s="20" t="inlineStr">
        <is>
          <t>IC Anionen</t>
        </is>
      </c>
      <c r="BA127" s="20" t="inlineStr">
        <is>
          <t>None</t>
        </is>
      </c>
      <c r="BB127" s="17" t="n"/>
      <c r="BC127" s="16" t="inlineStr">
        <is>
          <t>107</t>
        </is>
      </c>
      <c r="BD127" s="20" t="inlineStr">
        <is>
          <t>IC Kationen</t>
        </is>
      </c>
      <c r="BE127" s="20" t="inlineStr">
        <is>
          <t>None</t>
        </is>
      </c>
      <c r="BF127" s="17" t="n"/>
      <c r="BG127" s="16" t="inlineStr">
        <is>
          <t>&lt;1.60</t>
        </is>
      </c>
      <c r="BH127" s="20" t="inlineStr">
        <is>
          <t>IC Kationen</t>
        </is>
      </c>
      <c r="BI127" s="20" t="inlineStr">
        <is>
          <t>None</t>
        </is>
      </c>
      <c r="BJ127" s="17" t="n"/>
      <c r="BK127" s="16" t="inlineStr">
        <is>
          <t>12.5</t>
        </is>
      </c>
      <c r="BL127" s="20" t="inlineStr">
        <is>
          <t>IC Kationen</t>
        </is>
      </c>
      <c r="BM127" s="20" t="inlineStr">
        <is>
          <t>None</t>
        </is>
      </c>
      <c r="BN127" s="17" t="n"/>
      <c r="BO127" s="16" t="inlineStr">
        <is>
          <t>218</t>
        </is>
      </c>
      <c r="BP127" s="20" t="inlineStr">
        <is>
          <t>IC Kationen</t>
        </is>
      </c>
      <c r="BQ127" s="20" t="inlineStr">
        <is>
          <t>None</t>
        </is>
      </c>
      <c r="BR127" s="17" t="n"/>
      <c r="BS127" s="16" t="inlineStr">
        <is>
          <t>27.4</t>
        </is>
      </c>
      <c r="BT127" s="20" t="inlineStr">
        <is>
          <t>IC Kationen</t>
        </is>
      </c>
      <c r="BU127" s="20" t="inlineStr">
        <is>
          <t>None</t>
        </is>
      </c>
      <c r="BV127" s="17" t="n"/>
      <c r="BW127" s="16" t="n"/>
      <c r="BX127" s="20" t="n"/>
      <c r="BY127" s="20" t="inlineStr">
        <is>
          <t>None</t>
        </is>
      </c>
      <c r="BZ127" s="17" t="n"/>
      <c r="CA127" s="16" t="n"/>
      <c r="CB127" s="20" t="n"/>
      <c r="CC127" s="20" t="inlineStr">
        <is>
          <t>None</t>
        </is>
      </c>
      <c r="CD127" s="17" t="n"/>
      <c r="CE127" s="16" t="n"/>
      <c r="CF127" s="20" t="n"/>
      <c r="CG127" s="20" t="inlineStr">
        <is>
          <t>None</t>
        </is>
      </c>
      <c r="CH127" s="17" t="n"/>
      <c r="CI127" s="16" t="n"/>
      <c r="CJ127" s="20" t="n"/>
      <c r="CK127" s="20" t="inlineStr">
        <is>
          <t>None</t>
        </is>
      </c>
      <c r="CL127" s="17" t="n"/>
      <c r="CM127" s="16" t="n"/>
      <c r="CN127" s="20" t="inlineStr">
        <is>
          <t>SOP 45-34</t>
        </is>
      </c>
      <c r="CO127" s="20" t="inlineStr">
        <is>
          <t>None</t>
        </is>
      </c>
      <c r="CP127" s="17" t="n"/>
      <c r="CQ127" s="16" t="n"/>
      <c r="CR127" s="20" t="n"/>
      <c r="CS127" s="20" t="inlineStr">
        <is>
          <t>None</t>
        </is>
      </c>
      <c r="CT127" s="17" t="n"/>
      <c r="CU127" s="16" t="n"/>
      <c r="CV127" s="20" t="n"/>
      <c r="CW127" s="20" t="inlineStr">
        <is>
          <t>None</t>
        </is>
      </c>
      <c r="CX127" s="17" t="n"/>
      <c r="CY127" s="16" t="n"/>
      <c r="CZ127" s="20" t="inlineStr">
        <is>
          <t>WTW Multimeter 3430 with FDO 925</t>
        </is>
      </c>
      <c r="DA127" s="20" t="inlineStr">
        <is>
          <t>None</t>
        </is>
      </c>
      <c r="DB127" s="17" t="n"/>
      <c r="DC127" s="16" t="n"/>
      <c r="DD127" s="20" t="n"/>
      <c r="DE127" s="20" t="inlineStr">
        <is>
          <t>None</t>
        </is>
      </c>
      <c r="DF127" s="17" t="n"/>
      <c r="DG127" s="16" t="n"/>
      <c r="DH127" s="20" t="inlineStr">
        <is>
          <t>SOP 45-09</t>
        </is>
      </c>
      <c r="DI127" s="20" t="inlineStr">
        <is>
          <t>None</t>
        </is>
      </c>
      <c r="DJ127" s="17" t="n"/>
      <c r="DK127" s="16" t="n"/>
      <c r="DL127" s="20" t="inlineStr">
        <is>
          <t>SOP 45-09 (SOP muss noch angepasst werden für VSS)</t>
        </is>
      </c>
      <c r="DM127" s="20" t="inlineStr">
        <is>
          <t>None</t>
        </is>
      </c>
      <c r="DN127" s="17" t="n"/>
      <c r="DO127" s="16" t="n"/>
      <c r="DP127" s="20" t="inlineStr">
        <is>
          <t>IC Organic Acids</t>
        </is>
      </c>
      <c r="DQ127" s="20" t="inlineStr">
        <is>
          <t>None</t>
        </is>
      </c>
      <c r="DR127" s="17" t="n"/>
      <c r="DS127" s="16" t="n"/>
      <c r="DT127" s="20" t="inlineStr">
        <is>
          <t>IC Organic Acids</t>
        </is>
      </c>
      <c r="DU127" s="20" t="inlineStr">
        <is>
          <t>None</t>
        </is>
      </c>
      <c r="DV127" s="17" t="n"/>
      <c r="DW127" s="16" t="n"/>
      <c r="DX127" s="20" t="inlineStr">
        <is>
          <t>IC Organic Acids</t>
        </is>
      </c>
      <c r="DY127" s="20" t="inlineStr">
        <is>
          <t>None</t>
        </is>
      </c>
      <c r="DZ127" s="17" t="n"/>
      <c r="EA127" s="16" t="n"/>
      <c r="EB127" s="20" t="inlineStr">
        <is>
          <t>IC Organic Acids</t>
        </is>
      </c>
      <c r="EC127" s="20" t="inlineStr">
        <is>
          <t>None</t>
        </is>
      </c>
      <c r="ED127" s="17" t="n"/>
      <c r="EE127" s="16" t="n"/>
      <c r="EF127" s="20" t="inlineStr">
        <is>
          <t>IC Organic Acids</t>
        </is>
      </c>
      <c r="EG127" s="20" t="inlineStr">
        <is>
          <t>None</t>
        </is>
      </c>
      <c r="EH127" s="17" t="n"/>
      <c r="EI127" s="16" t="n"/>
      <c r="EJ127" s="20" t="inlineStr">
        <is>
          <t>IC Organic Acids</t>
        </is>
      </c>
      <c r="EK127" s="20" t="inlineStr">
        <is>
          <t>None</t>
        </is>
      </c>
      <c r="EL127" s="17" t="n"/>
      <c r="EM127" s="16" t="n"/>
      <c r="EN127" s="20" t="inlineStr">
        <is>
          <t>IC Organic Acids</t>
        </is>
      </c>
      <c r="EO127" s="20" t="inlineStr">
        <is>
          <t>None</t>
        </is>
      </c>
      <c r="EP127" s="17" t="n"/>
      <c r="EQ127" s="16" t="n"/>
      <c r="ER127" s="20" t="inlineStr">
        <is>
          <t>IC Organic Acids</t>
        </is>
      </c>
      <c r="ES127" s="20" t="inlineStr">
        <is>
          <t>None</t>
        </is>
      </c>
      <c r="ET127" s="17" t="n"/>
      <c r="EU127" s="16" t="n"/>
      <c r="EV127" s="20" t="inlineStr">
        <is>
          <t>LC-MS</t>
        </is>
      </c>
      <c r="EW127" s="20" t="inlineStr">
        <is>
          <t>None</t>
        </is>
      </c>
      <c r="EX127" s="17" t="n"/>
      <c r="EY127" s="21" t="n"/>
      <c r="EZ127">
        <f>CONCATENATE(A127,B127)</f>
        <v/>
      </c>
      <c r="FA127">
        <f>CONCATENATE(SamplesX!A127,SamplesX!B127)</f>
        <v/>
      </c>
      <c r="FC127">
        <f>MATCH(EZ127,FA1:FA1008,0)</f>
        <v/>
      </c>
    </row>
    <row r="128">
      <c r="A128" s="16" t="inlineStr">
        <is>
          <t>BP</t>
        </is>
      </c>
      <c r="B128" s="17" t="inlineStr">
        <is>
          <t>25120</t>
        </is>
      </c>
      <c r="C128" s="10">
        <f>IF(ISNUMBER(FC128),INDIRECT("SamplesX!C"&amp;FC128),IF(ISNUMBER(FD128),INDIRECT("SamplesY!C"&amp;FD128),""))</f>
        <v/>
      </c>
      <c r="D128" s="12">
        <f>IF(ISNUMBER(FC128),INDIRECT("SamplesX!D"&amp;FC128),IF(ISNUMBER(FD128),INDIRECT("SamplesY!D"&amp;FD128),""))</f>
        <v/>
      </c>
      <c r="E128" s="12">
        <f>IF(ISNUMBER(FC128),INDIRECT("SamplesX!E"&amp;FC128),IF(ISNUMBER(FD128),INDIRECT("SamplesY!E"&amp;FD128),""))</f>
        <v/>
      </c>
      <c r="F128" s="11">
        <f>IF(ISNUMBER(FC128),INDIRECT("SamplesX!F"&amp;FC128),IF(ISNUMBER(FD128),INDIRECT("SamplesY!F"&amp;FD128),""))</f>
        <v/>
      </c>
      <c r="G128" s="18">
        <f>IF(ISNUMBER(FC128),INDIRECT("SamplesX!G"&amp;FC128),IF(ISNUMBER(FD128),INDIRECT("SamplesY!G"&amp;FD128),""))</f>
        <v/>
      </c>
      <c r="H128" s="19">
        <f>IF(ISNUMBER(FC128),INDIRECT("SamplesX!H"&amp;FC128),IF(ISNUMBER(FD128),INDIRECT("SamplesY!H"&amp;FD128),""))</f>
        <v/>
      </c>
      <c r="I128" s="16" t="n"/>
      <c r="J128" s="16" t="n"/>
      <c r="K128" s="16" t="n"/>
      <c r="L128" s="20" t="n"/>
      <c r="M128" s="20" t="inlineStr">
        <is>
          <t>None</t>
        </is>
      </c>
      <c r="N128" s="17" t="n"/>
      <c r="O128" s="16" t="n"/>
      <c r="P128" s="20" t="inlineStr">
        <is>
          <t>Shimadzu TOC-L</t>
        </is>
      </c>
      <c r="Q128" s="20" t="inlineStr">
        <is>
          <t>None</t>
        </is>
      </c>
      <c r="R128" s="17" t="n"/>
      <c r="S128" s="16" t="n"/>
      <c r="T128" s="20" t="inlineStr">
        <is>
          <t>Shimadzu TOC-L</t>
        </is>
      </c>
      <c r="U128" s="20" t="inlineStr">
        <is>
          <t>None</t>
        </is>
      </c>
      <c r="V128" s="17" t="n"/>
      <c r="W128" s="16" t="n"/>
      <c r="X128" s="20" t="n"/>
      <c r="Y128" s="20" t="inlineStr">
        <is>
          <t>None</t>
        </is>
      </c>
      <c r="Z128" s="17" t="n"/>
      <c r="AA128" s="16" t="n"/>
      <c r="AB128" s="20" t="n"/>
      <c r="AC128" s="20" t="inlineStr">
        <is>
          <t>None</t>
        </is>
      </c>
      <c r="AD128" s="17" t="n"/>
      <c r="AE128" s="16" t="inlineStr">
        <is>
          <t>152</t>
        </is>
      </c>
      <c r="AF128" s="20" t="inlineStr">
        <is>
          <t>IC Anionen</t>
        </is>
      </c>
      <c r="AG128" s="20" t="inlineStr">
        <is>
          <t>None</t>
        </is>
      </c>
      <c r="AH128" s="17" t="n"/>
      <c r="AI128" s="16" t="n"/>
      <c r="AJ128" s="20" t="n"/>
      <c r="AK128" s="20" t="inlineStr">
        <is>
          <t>None</t>
        </is>
      </c>
      <c r="AL128" s="17" t="n"/>
      <c r="AM128" s="16" t="n"/>
      <c r="AN128" s="20" t="inlineStr">
        <is>
          <t>IC Anionen</t>
        </is>
      </c>
      <c r="AO128" s="20" t="inlineStr">
        <is>
          <t>None</t>
        </is>
      </c>
      <c r="AP128" s="17" t="n"/>
      <c r="AQ128" s="16" t="n"/>
      <c r="AR128" s="20" t="n"/>
      <c r="AS128" s="20" t="inlineStr">
        <is>
          <t>None</t>
        </is>
      </c>
      <c r="AT128" s="17" t="n"/>
      <c r="AU128" s="16" t="inlineStr">
        <is>
          <t>16.5</t>
        </is>
      </c>
      <c r="AV128" s="20" t="inlineStr">
        <is>
          <t>IC Anionen</t>
        </is>
      </c>
      <c r="AW128" s="20" t="inlineStr">
        <is>
          <t>None</t>
        </is>
      </c>
      <c r="AX128" s="17" t="n"/>
      <c r="AY128" s="16" t="inlineStr">
        <is>
          <t>1.83</t>
        </is>
      </c>
      <c r="AZ128" s="20" t="inlineStr">
        <is>
          <t>IC Anionen</t>
        </is>
      </c>
      <c r="BA128" s="20" t="inlineStr">
        <is>
          <t>None</t>
        </is>
      </c>
      <c r="BB128" s="17" t="n"/>
      <c r="BC128" s="16" t="inlineStr">
        <is>
          <t>103</t>
        </is>
      </c>
      <c r="BD128" s="20" t="inlineStr">
        <is>
          <t>IC Kationen</t>
        </is>
      </c>
      <c r="BE128" s="20" t="inlineStr">
        <is>
          <t>None</t>
        </is>
      </c>
      <c r="BF128" s="17" t="n"/>
      <c r="BG128" s="16" t="inlineStr">
        <is>
          <t>33.1</t>
        </is>
      </c>
      <c r="BH128" s="20" t="inlineStr">
        <is>
          <t>IC Kationen</t>
        </is>
      </c>
      <c r="BI128" s="20" t="inlineStr">
        <is>
          <t>None</t>
        </is>
      </c>
      <c r="BJ128" s="17" t="n"/>
      <c r="BK128" s="16" t="inlineStr">
        <is>
          <t>18.5</t>
        </is>
      </c>
      <c r="BL128" s="20" t="inlineStr">
        <is>
          <t>IC Kationen</t>
        </is>
      </c>
      <c r="BM128" s="20" t="inlineStr">
        <is>
          <t>None</t>
        </is>
      </c>
      <c r="BN128" s="17" t="n"/>
      <c r="BO128" s="16" t="inlineStr">
        <is>
          <t>244</t>
        </is>
      </c>
      <c r="BP128" s="20" t="inlineStr">
        <is>
          <t>IC Kationen</t>
        </is>
      </c>
      <c r="BQ128" s="20" t="inlineStr">
        <is>
          <t>None</t>
        </is>
      </c>
      <c r="BR128" s="17" t="n"/>
      <c r="BS128" s="16" t="inlineStr">
        <is>
          <t>28.2</t>
        </is>
      </c>
      <c r="BT128" s="20" t="inlineStr">
        <is>
          <t>IC Kationen</t>
        </is>
      </c>
      <c r="BU128" s="20" t="inlineStr">
        <is>
          <t>None</t>
        </is>
      </c>
      <c r="BV128" s="17" t="n"/>
      <c r="BW128" s="16" t="n"/>
      <c r="BX128" s="20" t="n"/>
      <c r="BY128" s="20" t="inlineStr">
        <is>
          <t>None</t>
        </is>
      </c>
      <c r="BZ128" s="17" t="n"/>
      <c r="CA128" s="16" t="n"/>
      <c r="CB128" s="20" t="n"/>
      <c r="CC128" s="20" t="inlineStr">
        <is>
          <t>None</t>
        </is>
      </c>
      <c r="CD128" s="17" t="n"/>
      <c r="CE128" s="16" t="n"/>
      <c r="CF128" s="20" t="n"/>
      <c r="CG128" s="20" t="inlineStr">
        <is>
          <t>None</t>
        </is>
      </c>
      <c r="CH128" s="17" t="n"/>
      <c r="CI128" s="16" t="n"/>
      <c r="CJ128" s="20" t="n"/>
      <c r="CK128" s="20" t="inlineStr">
        <is>
          <t>None</t>
        </is>
      </c>
      <c r="CL128" s="17" t="n"/>
      <c r="CM128" s="16" t="n"/>
      <c r="CN128" s="20" t="inlineStr">
        <is>
          <t>SOP 45-34</t>
        </is>
      </c>
      <c r="CO128" s="20" t="inlineStr">
        <is>
          <t>None</t>
        </is>
      </c>
      <c r="CP128" s="17" t="n"/>
      <c r="CQ128" s="16" t="n"/>
      <c r="CR128" s="20" t="n"/>
      <c r="CS128" s="20" t="inlineStr">
        <is>
          <t>None</t>
        </is>
      </c>
      <c r="CT128" s="17" t="n"/>
      <c r="CU128" s="16" t="n"/>
      <c r="CV128" s="20" t="n"/>
      <c r="CW128" s="20" t="inlineStr">
        <is>
          <t>None</t>
        </is>
      </c>
      <c r="CX128" s="17" t="n"/>
      <c r="CY128" s="16" t="n"/>
      <c r="CZ128" s="20" t="inlineStr">
        <is>
          <t>WTW Multimeter 3430 with FDO 925</t>
        </is>
      </c>
      <c r="DA128" s="20" t="inlineStr">
        <is>
          <t>None</t>
        </is>
      </c>
      <c r="DB128" s="17" t="n"/>
      <c r="DC128" s="16" t="n"/>
      <c r="DD128" s="20" t="n"/>
      <c r="DE128" s="20" t="inlineStr">
        <is>
          <t>None</t>
        </is>
      </c>
      <c r="DF128" s="17" t="n"/>
      <c r="DG128" s="16" t="n"/>
      <c r="DH128" s="20" t="inlineStr">
        <is>
          <t>SOP 45-09</t>
        </is>
      </c>
      <c r="DI128" s="20" t="inlineStr">
        <is>
          <t>None</t>
        </is>
      </c>
      <c r="DJ128" s="17" t="n"/>
      <c r="DK128" s="16" t="n"/>
      <c r="DL128" s="20" t="inlineStr">
        <is>
          <t>SOP 45-09 (SOP muss noch angepasst werden für VSS)</t>
        </is>
      </c>
      <c r="DM128" s="20" t="inlineStr">
        <is>
          <t>None</t>
        </is>
      </c>
      <c r="DN128" s="17" t="n"/>
      <c r="DO128" s="16" t="n"/>
      <c r="DP128" s="20" t="inlineStr">
        <is>
          <t>IC Organic Acids</t>
        </is>
      </c>
      <c r="DQ128" s="20" t="inlineStr">
        <is>
          <t>None</t>
        </is>
      </c>
      <c r="DR128" s="17" t="n"/>
      <c r="DS128" s="16" t="n"/>
      <c r="DT128" s="20" t="inlineStr">
        <is>
          <t>IC Organic Acids</t>
        </is>
      </c>
      <c r="DU128" s="20" t="inlineStr">
        <is>
          <t>None</t>
        </is>
      </c>
      <c r="DV128" s="17" t="n"/>
      <c r="DW128" s="16" t="n"/>
      <c r="DX128" s="20" t="inlineStr">
        <is>
          <t>IC Organic Acids</t>
        </is>
      </c>
      <c r="DY128" s="20" t="inlineStr">
        <is>
          <t>None</t>
        </is>
      </c>
      <c r="DZ128" s="17" t="n"/>
      <c r="EA128" s="16" t="n"/>
      <c r="EB128" s="20" t="inlineStr">
        <is>
          <t>IC Organic Acids</t>
        </is>
      </c>
      <c r="EC128" s="20" t="inlineStr">
        <is>
          <t>None</t>
        </is>
      </c>
      <c r="ED128" s="17" t="n"/>
      <c r="EE128" s="16" t="n"/>
      <c r="EF128" s="20" t="inlineStr">
        <is>
          <t>IC Organic Acids</t>
        </is>
      </c>
      <c r="EG128" s="20" t="inlineStr">
        <is>
          <t>None</t>
        </is>
      </c>
      <c r="EH128" s="17" t="n"/>
      <c r="EI128" s="16" t="n"/>
      <c r="EJ128" s="20" t="inlineStr">
        <is>
          <t>IC Organic Acids</t>
        </is>
      </c>
      <c r="EK128" s="20" t="inlineStr">
        <is>
          <t>None</t>
        </is>
      </c>
      <c r="EL128" s="17" t="n"/>
      <c r="EM128" s="16" t="n"/>
      <c r="EN128" s="20" t="inlineStr">
        <is>
          <t>IC Organic Acids</t>
        </is>
      </c>
      <c r="EO128" s="20" t="inlineStr">
        <is>
          <t>None</t>
        </is>
      </c>
      <c r="EP128" s="17" t="n"/>
      <c r="EQ128" s="16" t="n"/>
      <c r="ER128" s="20" t="inlineStr">
        <is>
          <t>IC Organic Acids</t>
        </is>
      </c>
      <c r="ES128" s="20" t="inlineStr">
        <is>
          <t>None</t>
        </is>
      </c>
      <c r="ET128" s="17" t="n"/>
      <c r="EU128" s="16" t="n"/>
      <c r="EV128" s="20" t="inlineStr">
        <is>
          <t>LC-MS</t>
        </is>
      </c>
      <c r="EW128" s="20" t="inlineStr">
        <is>
          <t>None</t>
        </is>
      </c>
      <c r="EX128" s="17" t="n"/>
      <c r="EY128" s="21" t="n"/>
      <c r="EZ128">
        <f>CONCATENATE(A128,B128)</f>
        <v/>
      </c>
      <c r="FA128">
        <f>CONCATENATE(SamplesX!A128,SamplesX!B128)</f>
        <v/>
      </c>
      <c r="FC128">
        <f>MATCH(EZ128,FA1:FA1008,0)</f>
        <v/>
      </c>
    </row>
    <row r="129">
      <c r="A129" s="16" t="inlineStr">
        <is>
          <t>BP</t>
        </is>
      </c>
      <c r="B129" s="17" t="inlineStr">
        <is>
          <t>25121</t>
        </is>
      </c>
      <c r="C129" s="10">
        <f>IF(ISNUMBER(FC129),INDIRECT("SamplesX!C"&amp;FC129),IF(ISNUMBER(FD129),INDIRECT("SamplesY!C"&amp;FD129),""))</f>
        <v/>
      </c>
      <c r="D129" s="12">
        <f>IF(ISNUMBER(FC129),INDIRECT("SamplesX!D"&amp;FC129),IF(ISNUMBER(FD129),INDIRECT("SamplesY!D"&amp;FD129),""))</f>
        <v/>
      </c>
      <c r="E129" s="12">
        <f>IF(ISNUMBER(FC129),INDIRECT("SamplesX!E"&amp;FC129),IF(ISNUMBER(FD129),INDIRECT("SamplesY!E"&amp;FD129),""))</f>
        <v/>
      </c>
      <c r="F129" s="11">
        <f>IF(ISNUMBER(FC129),INDIRECT("SamplesX!F"&amp;FC129),IF(ISNUMBER(FD129),INDIRECT("SamplesY!F"&amp;FD129),""))</f>
        <v/>
      </c>
      <c r="G129" s="18">
        <f>IF(ISNUMBER(FC129),INDIRECT("SamplesX!G"&amp;FC129),IF(ISNUMBER(FD129),INDIRECT("SamplesY!G"&amp;FD129),""))</f>
        <v/>
      </c>
      <c r="H129" s="19">
        <f>IF(ISNUMBER(FC129),INDIRECT("SamplesX!H"&amp;FC129),IF(ISNUMBER(FD129),INDIRECT("SamplesY!H"&amp;FD129),""))</f>
        <v/>
      </c>
      <c r="I129" s="16" t="n"/>
      <c r="J129" s="16" t="n"/>
      <c r="K129" s="16" t="n"/>
      <c r="L129" s="20" t="n"/>
      <c r="M129" s="20" t="inlineStr">
        <is>
          <t>None</t>
        </is>
      </c>
      <c r="N129" s="17" t="n"/>
      <c r="O129" s="16" t="n"/>
      <c r="P129" s="20" t="inlineStr">
        <is>
          <t>Shimadzu TOC-L</t>
        </is>
      </c>
      <c r="Q129" s="20" t="inlineStr">
        <is>
          <t>None</t>
        </is>
      </c>
      <c r="R129" s="17" t="n"/>
      <c r="S129" s="16" t="n"/>
      <c r="T129" s="20" t="inlineStr">
        <is>
          <t>Shimadzu TOC-L</t>
        </is>
      </c>
      <c r="U129" s="20" t="inlineStr">
        <is>
          <t>None</t>
        </is>
      </c>
      <c r="V129" s="17" t="n"/>
      <c r="W129" s="16" t="n"/>
      <c r="X129" s="20" t="n"/>
      <c r="Y129" s="20" t="inlineStr">
        <is>
          <t>None</t>
        </is>
      </c>
      <c r="Z129" s="17" t="n"/>
      <c r="AA129" s="16" t="n"/>
      <c r="AB129" s="20" t="n"/>
      <c r="AC129" s="20" t="inlineStr">
        <is>
          <t>None</t>
        </is>
      </c>
      <c r="AD129" s="17" t="n"/>
      <c r="AE129" s="16" t="inlineStr">
        <is>
          <t>403</t>
        </is>
      </c>
      <c r="AF129" s="20" t="inlineStr">
        <is>
          <t>IC Anionen</t>
        </is>
      </c>
      <c r="AG129" s="20" t="inlineStr">
        <is>
          <t>None</t>
        </is>
      </c>
      <c r="AH129" s="17" t="n"/>
      <c r="AI129" s="16" t="n"/>
      <c r="AJ129" s="20" t="n"/>
      <c r="AK129" s="20" t="inlineStr">
        <is>
          <t>None</t>
        </is>
      </c>
      <c r="AL129" s="17" t="n"/>
      <c r="AM129" s="16" t="n"/>
      <c r="AN129" s="20" t="inlineStr">
        <is>
          <t>IC Anionen</t>
        </is>
      </c>
      <c r="AO129" s="20" t="inlineStr">
        <is>
          <t>None</t>
        </is>
      </c>
      <c r="AP129" s="17" t="n"/>
      <c r="AQ129" s="16" t="n"/>
      <c r="AR129" s="20" t="n"/>
      <c r="AS129" s="20" t="inlineStr">
        <is>
          <t>None</t>
        </is>
      </c>
      <c r="AT129" s="17" t="n"/>
      <c r="AU129" s="16" t="inlineStr">
        <is>
          <t>0.37</t>
        </is>
      </c>
      <c r="AV129" s="20" t="inlineStr">
        <is>
          <t>IC Anionen</t>
        </is>
      </c>
      <c r="AW129" s="20" t="inlineStr">
        <is>
          <t>None</t>
        </is>
      </c>
      <c r="AX129" s="17" t="n"/>
      <c r="AY129" s="16" t="inlineStr">
        <is>
          <t>2.11</t>
        </is>
      </c>
      <c r="AZ129" s="20" t="inlineStr">
        <is>
          <t>IC Anionen</t>
        </is>
      </c>
      <c r="BA129" s="20" t="inlineStr">
        <is>
          <t>None</t>
        </is>
      </c>
      <c r="BB129" s="17" t="n"/>
      <c r="BC129" s="16" t="inlineStr">
        <is>
          <t>87.5</t>
        </is>
      </c>
      <c r="BD129" s="20" t="inlineStr">
        <is>
          <t>IC Kationen</t>
        </is>
      </c>
      <c r="BE129" s="20" t="inlineStr">
        <is>
          <t>None</t>
        </is>
      </c>
      <c r="BF129" s="17" t="n"/>
      <c r="BG129" s="16" t="inlineStr">
        <is>
          <t>34.8</t>
        </is>
      </c>
      <c r="BH129" s="20" t="inlineStr">
        <is>
          <t>IC Kationen</t>
        </is>
      </c>
      <c r="BI129" s="20" t="inlineStr">
        <is>
          <t>None</t>
        </is>
      </c>
      <c r="BJ129" s="17" t="n"/>
      <c r="BK129" s="16" t="inlineStr">
        <is>
          <t>16.8</t>
        </is>
      </c>
      <c r="BL129" s="20" t="inlineStr">
        <is>
          <t>IC Kationen</t>
        </is>
      </c>
      <c r="BM129" s="20" t="inlineStr">
        <is>
          <t>None</t>
        </is>
      </c>
      <c r="BN129" s="17" t="n"/>
      <c r="BO129" s="16" t="inlineStr">
        <is>
          <t>205</t>
        </is>
      </c>
      <c r="BP129" s="20" t="inlineStr">
        <is>
          <t>IC Kationen</t>
        </is>
      </c>
      <c r="BQ129" s="20" t="inlineStr">
        <is>
          <t>None</t>
        </is>
      </c>
      <c r="BR129" s="17" t="n"/>
      <c r="BS129" s="16" t="inlineStr">
        <is>
          <t>23.9</t>
        </is>
      </c>
      <c r="BT129" s="20" t="inlineStr">
        <is>
          <t>IC Kationen</t>
        </is>
      </c>
      <c r="BU129" s="20" t="inlineStr">
        <is>
          <t>None</t>
        </is>
      </c>
      <c r="BV129" s="17" t="n"/>
      <c r="BW129" s="16" t="n"/>
      <c r="BX129" s="20" t="n"/>
      <c r="BY129" s="20" t="inlineStr">
        <is>
          <t>None</t>
        </is>
      </c>
      <c r="BZ129" s="17" t="n"/>
      <c r="CA129" s="16" t="n"/>
      <c r="CB129" s="20" t="n"/>
      <c r="CC129" s="20" t="inlineStr">
        <is>
          <t>None</t>
        </is>
      </c>
      <c r="CD129" s="17" t="n"/>
      <c r="CE129" s="16" t="n"/>
      <c r="CF129" s="20" t="n"/>
      <c r="CG129" s="20" t="inlineStr">
        <is>
          <t>None</t>
        </is>
      </c>
      <c r="CH129" s="17" t="n"/>
      <c r="CI129" s="16" t="n"/>
      <c r="CJ129" s="20" t="n"/>
      <c r="CK129" s="20" t="inlineStr">
        <is>
          <t>None</t>
        </is>
      </c>
      <c r="CL129" s="17" t="n"/>
      <c r="CM129" s="16" t="n"/>
      <c r="CN129" s="20" t="inlineStr">
        <is>
          <t>SOP 45-34</t>
        </is>
      </c>
      <c r="CO129" s="20" t="inlineStr">
        <is>
          <t>None</t>
        </is>
      </c>
      <c r="CP129" s="17" t="n"/>
      <c r="CQ129" s="16" t="n"/>
      <c r="CR129" s="20" t="n"/>
      <c r="CS129" s="20" t="inlineStr">
        <is>
          <t>None</t>
        </is>
      </c>
      <c r="CT129" s="17" t="n"/>
      <c r="CU129" s="16" t="n"/>
      <c r="CV129" s="20" t="n"/>
      <c r="CW129" s="20" t="inlineStr">
        <is>
          <t>None</t>
        </is>
      </c>
      <c r="CX129" s="17" t="n"/>
      <c r="CY129" s="16" t="n"/>
      <c r="CZ129" s="20" t="inlineStr">
        <is>
          <t>WTW Multimeter 3430 with FDO 925</t>
        </is>
      </c>
      <c r="DA129" s="20" t="inlineStr">
        <is>
          <t>None</t>
        </is>
      </c>
      <c r="DB129" s="17" t="n"/>
      <c r="DC129" s="16" t="n"/>
      <c r="DD129" s="20" t="n"/>
      <c r="DE129" s="20" t="inlineStr">
        <is>
          <t>None</t>
        </is>
      </c>
      <c r="DF129" s="17" t="n"/>
      <c r="DG129" s="16" t="n"/>
      <c r="DH129" s="20" t="inlineStr">
        <is>
          <t>SOP 45-09</t>
        </is>
      </c>
      <c r="DI129" s="20" t="inlineStr">
        <is>
          <t>None</t>
        </is>
      </c>
      <c r="DJ129" s="17" t="n"/>
      <c r="DK129" s="16" t="n"/>
      <c r="DL129" s="20" t="inlineStr">
        <is>
          <t>SOP 45-09 (SOP muss noch angepasst werden für VSS)</t>
        </is>
      </c>
      <c r="DM129" s="20" t="inlineStr">
        <is>
          <t>None</t>
        </is>
      </c>
      <c r="DN129" s="17" t="n"/>
      <c r="DO129" s="16" t="n"/>
      <c r="DP129" s="20" t="inlineStr">
        <is>
          <t>IC Organic Acids</t>
        </is>
      </c>
      <c r="DQ129" s="20" t="inlineStr">
        <is>
          <t>None</t>
        </is>
      </c>
      <c r="DR129" s="17" t="n"/>
      <c r="DS129" s="16" t="n"/>
      <c r="DT129" s="20" t="inlineStr">
        <is>
          <t>IC Organic Acids</t>
        </is>
      </c>
      <c r="DU129" s="20" t="inlineStr">
        <is>
          <t>None</t>
        </is>
      </c>
      <c r="DV129" s="17" t="n"/>
      <c r="DW129" s="16" t="n"/>
      <c r="DX129" s="20" t="inlineStr">
        <is>
          <t>IC Organic Acids</t>
        </is>
      </c>
      <c r="DY129" s="20" t="inlineStr">
        <is>
          <t>None</t>
        </is>
      </c>
      <c r="DZ129" s="17" t="n"/>
      <c r="EA129" s="16" t="n"/>
      <c r="EB129" s="20" t="inlineStr">
        <is>
          <t>IC Organic Acids</t>
        </is>
      </c>
      <c r="EC129" s="20" t="inlineStr">
        <is>
          <t>None</t>
        </is>
      </c>
      <c r="ED129" s="17" t="n"/>
      <c r="EE129" s="16" t="n"/>
      <c r="EF129" s="20" t="inlineStr">
        <is>
          <t>IC Organic Acids</t>
        </is>
      </c>
      <c r="EG129" s="20" t="inlineStr">
        <is>
          <t>None</t>
        </is>
      </c>
      <c r="EH129" s="17" t="n"/>
      <c r="EI129" s="16" t="n"/>
      <c r="EJ129" s="20" t="inlineStr">
        <is>
          <t>IC Organic Acids</t>
        </is>
      </c>
      <c r="EK129" s="20" t="inlineStr">
        <is>
          <t>None</t>
        </is>
      </c>
      <c r="EL129" s="17" t="n"/>
      <c r="EM129" s="16" t="n"/>
      <c r="EN129" s="20" t="inlineStr">
        <is>
          <t>IC Organic Acids</t>
        </is>
      </c>
      <c r="EO129" s="20" t="inlineStr">
        <is>
          <t>None</t>
        </is>
      </c>
      <c r="EP129" s="17" t="n"/>
      <c r="EQ129" s="16" t="n"/>
      <c r="ER129" s="20" t="inlineStr">
        <is>
          <t>IC Organic Acids</t>
        </is>
      </c>
      <c r="ES129" s="20" t="inlineStr">
        <is>
          <t>None</t>
        </is>
      </c>
      <c r="ET129" s="17" t="n"/>
      <c r="EU129" s="16" t="n"/>
      <c r="EV129" s="20" t="inlineStr">
        <is>
          <t>LC-MS</t>
        </is>
      </c>
      <c r="EW129" s="20" t="inlineStr">
        <is>
          <t>None</t>
        </is>
      </c>
      <c r="EX129" s="17" t="n"/>
      <c r="EY129" s="21" t="n"/>
      <c r="EZ129">
        <f>CONCATENATE(A129,B129)</f>
        <v/>
      </c>
      <c r="FA129">
        <f>CONCATENATE(SamplesX!A129,SamplesX!B129)</f>
        <v/>
      </c>
      <c r="FC129">
        <f>MATCH(EZ129,FA1:FA1008,0)</f>
        <v/>
      </c>
    </row>
    <row r="130">
      <c r="A130" s="16" t="inlineStr">
        <is>
          <t>BP</t>
        </is>
      </c>
      <c r="B130" s="17" t="inlineStr">
        <is>
          <t>25122</t>
        </is>
      </c>
      <c r="C130" s="10">
        <f>IF(ISNUMBER(FC130),INDIRECT("SamplesX!C"&amp;FC130),IF(ISNUMBER(FD130),INDIRECT("SamplesY!C"&amp;FD130),""))</f>
        <v/>
      </c>
      <c r="D130" s="12">
        <f>IF(ISNUMBER(FC130),INDIRECT("SamplesX!D"&amp;FC130),IF(ISNUMBER(FD130),INDIRECT("SamplesY!D"&amp;FD130),""))</f>
        <v/>
      </c>
      <c r="E130" s="12">
        <f>IF(ISNUMBER(FC130),INDIRECT("SamplesX!E"&amp;FC130),IF(ISNUMBER(FD130),INDIRECT("SamplesY!E"&amp;FD130),""))</f>
        <v/>
      </c>
      <c r="F130" s="11">
        <f>IF(ISNUMBER(FC130),INDIRECT("SamplesX!F"&amp;FC130),IF(ISNUMBER(FD130),INDIRECT("SamplesY!F"&amp;FD130),""))</f>
        <v/>
      </c>
      <c r="G130" s="18">
        <f>IF(ISNUMBER(FC130),INDIRECT("SamplesX!G"&amp;FC130),IF(ISNUMBER(FD130),INDIRECT("SamplesY!G"&amp;FD130),""))</f>
        <v/>
      </c>
      <c r="H130" s="19">
        <f>IF(ISNUMBER(FC130),INDIRECT("SamplesX!H"&amp;FC130),IF(ISNUMBER(FD130),INDIRECT("SamplesY!H"&amp;FD130),""))</f>
        <v/>
      </c>
      <c r="I130" s="16" t="n"/>
      <c r="J130" s="16" t="n"/>
      <c r="K130" s="16" t="n"/>
      <c r="L130" s="20" t="n"/>
      <c r="M130" s="20" t="inlineStr">
        <is>
          <t>None</t>
        </is>
      </c>
      <c r="N130" s="17" t="n"/>
      <c r="O130" s="16" t="n"/>
      <c r="P130" s="20" t="inlineStr">
        <is>
          <t>Shimadzu TOC-L</t>
        </is>
      </c>
      <c r="Q130" s="20" t="inlineStr">
        <is>
          <t>None</t>
        </is>
      </c>
      <c r="R130" s="17" t="n"/>
      <c r="S130" s="16" t="n"/>
      <c r="T130" s="20" t="inlineStr">
        <is>
          <t>Shimadzu TOC-L</t>
        </is>
      </c>
      <c r="U130" s="20" t="inlineStr">
        <is>
          <t>None</t>
        </is>
      </c>
      <c r="V130" s="17" t="n"/>
      <c r="W130" s="16" t="n"/>
      <c r="X130" s="20" t="n"/>
      <c r="Y130" s="20" t="inlineStr">
        <is>
          <t>None</t>
        </is>
      </c>
      <c r="Z130" s="17" t="n"/>
      <c r="AA130" s="16" t="n"/>
      <c r="AB130" s="20" t="n"/>
      <c r="AC130" s="20" t="inlineStr">
        <is>
          <t>None</t>
        </is>
      </c>
      <c r="AD130" s="17" t="n"/>
      <c r="AE130" s="16" t="inlineStr">
        <is>
          <t>430</t>
        </is>
      </c>
      <c r="AF130" s="20" t="inlineStr">
        <is>
          <t>IC Anionen</t>
        </is>
      </c>
      <c r="AG130" s="20" t="inlineStr">
        <is>
          <t>None</t>
        </is>
      </c>
      <c r="AH130" s="17" t="n"/>
      <c r="AI130" s="16" t="n"/>
      <c r="AJ130" s="20" t="n"/>
      <c r="AK130" s="20" t="inlineStr">
        <is>
          <t>None</t>
        </is>
      </c>
      <c r="AL130" s="17" t="n"/>
      <c r="AM130" s="16" t="n"/>
      <c r="AN130" s="20" t="inlineStr">
        <is>
          <t>IC Anionen</t>
        </is>
      </c>
      <c r="AO130" s="20" t="inlineStr">
        <is>
          <t>None</t>
        </is>
      </c>
      <c r="AP130" s="17" t="n"/>
      <c r="AQ130" s="16" t="n"/>
      <c r="AR130" s="20" t="n"/>
      <c r="AS130" s="20" t="inlineStr">
        <is>
          <t>None</t>
        </is>
      </c>
      <c r="AT130" s="17" t="n"/>
      <c r="AU130" s="16" t="inlineStr">
        <is>
          <t>&lt;0.13</t>
        </is>
      </c>
      <c r="AV130" s="20" t="inlineStr">
        <is>
          <t>IC Anionen</t>
        </is>
      </c>
      <c r="AW130" s="20" t="inlineStr">
        <is>
          <t>None</t>
        </is>
      </c>
      <c r="AX130" s="17" t="n"/>
      <c r="AY130" s="16" t="inlineStr">
        <is>
          <t>&lt;0.80</t>
        </is>
      </c>
      <c r="AZ130" s="20" t="inlineStr">
        <is>
          <t>IC Anionen</t>
        </is>
      </c>
      <c r="BA130" s="20" t="inlineStr">
        <is>
          <t>None</t>
        </is>
      </c>
      <c r="BB130" s="17" t="n"/>
      <c r="BC130" s="16" t="inlineStr">
        <is>
          <t>91.1</t>
        </is>
      </c>
      <c r="BD130" s="20" t="inlineStr">
        <is>
          <t>IC Kationen</t>
        </is>
      </c>
      <c r="BE130" s="20" t="inlineStr">
        <is>
          <t>None</t>
        </is>
      </c>
      <c r="BF130" s="17" t="n"/>
      <c r="BG130" s="16" t="inlineStr">
        <is>
          <t>&lt;1.60</t>
        </is>
      </c>
      <c r="BH130" s="20" t="inlineStr">
        <is>
          <t>IC Kationen</t>
        </is>
      </c>
      <c r="BI130" s="20" t="inlineStr">
        <is>
          <t>None</t>
        </is>
      </c>
      <c r="BJ130" s="17" t="n"/>
      <c r="BK130" s="16" t="inlineStr">
        <is>
          <t>12.3</t>
        </is>
      </c>
      <c r="BL130" s="20" t="inlineStr">
        <is>
          <t>IC Kationen</t>
        </is>
      </c>
      <c r="BM130" s="20" t="inlineStr">
        <is>
          <t>None</t>
        </is>
      </c>
      <c r="BN130" s="17" t="n"/>
      <c r="BO130" s="16" t="inlineStr">
        <is>
          <t>196</t>
        </is>
      </c>
      <c r="BP130" s="20" t="inlineStr">
        <is>
          <t>IC Kationen</t>
        </is>
      </c>
      <c r="BQ130" s="20" t="inlineStr">
        <is>
          <t>None</t>
        </is>
      </c>
      <c r="BR130" s="17" t="n"/>
      <c r="BS130" s="16" t="inlineStr">
        <is>
          <t>23.5</t>
        </is>
      </c>
      <c r="BT130" s="20" t="inlineStr">
        <is>
          <t>IC Kationen</t>
        </is>
      </c>
      <c r="BU130" s="20" t="inlineStr">
        <is>
          <t>None</t>
        </is>
      </c>
      <c r="BV130" s="17" t="n"/>
      <c r="BW130" s="16" t="n"/>
      <c r="BX130" s="20" t="n"/>
      <c r="BY130" s="20" t="inlineStr">
        <is>
          <t>None</t>
        </is>
      </c>
      <c r="BZ130" s="17" t="n"/>
      <c r="CA130" s="16" t="n"/>
      <c r="CB130" s="20" t="n"/>
      <c r="CC130" s="20" t="inlineStr">
        <is>
          <t>None</t>
        </is>
      </c>
      <c r="CD130" s="17" t="n"/>
      <c r="CE130" s="16" t="n"/>
      <c r="CF130" s="20" t="n"/>
      <c r="CG130" s="20" t="inlineStr">
        <is>
          <t>None</t>
        </is>
      </c>
      <c r="CH130" s="17" t="n"/>
      <c r="CI130" s="16" t="n"/>
      <c r="CJ130" s="20" t="n"/>
      <c r="CK130" s="20" t="inlineStr">
        <is>
          <t>None</t>
        </is>
      </c>
      <c r="CL130" s="17" t="n"/>
      <c r="CM130" s="16" t="n"/>
      <c r="CN130" s="20" t="inlineStr">
        <is>
          <t>SOP 45-34</t>
        </is>
      </c>
      <c r="CO130" s="20" t="inlineStr">
        <is>
          <t>None</t>
        </is>
      </c>
      <c r="CP130" s="17" t="n"/>
      <c r="CQ130" s="16" t="n"/>
      <c r="CR130" s="20" t="n"/>
      <c r="CS130" s="20" t="inlineStr">
        <is>
          <t>None</t>
        </is>
      </c>
      <c r="CT130" s="17" t="n"/>
      <c r="CU130" s="16" t="n"/>
      <c r="CV130" s="20" t="n"/>
      <c r="CW130" s="20" t="inlineStr">
        <is>
          <t>None</t>
        </is>
      </c>
      <c r="CX130" s="17" t="n"/>
      <c r="CY130" s="16" t="n"/>
      <c r="CZ130" s="20" t="inlineStr">
        <is>
          <t>WTW Multimeter 3430 with FDO 925</t>
        </is>
      </c>
      <c r="DA130" s="20" t="inlineStr">
        <is>
          <t>None</t>
        </is>
      </c>
      <c r="DB130" s="17" t="n"/>
      <c r="DC130" s="16" t="n"/>
      <c r="DD130" s="20" t="n"/>
      <c r="DE130" s="20" t="inlineStr">
        <is>
          <t>None</t>
        </is>
      </c>
      <c r="DF130" s="17" t="n"/>
      <c r="DG130" s="16" t="n"/>
      <c r="DH130" s="20" t="inlineStr">
        <is>
          <t>SOP 45-09</t>
        </is>
      </c>
      <c r="DI130" s="20" t="inlineStr">
        <is>
          <t>None</t>
        </is>
      </c>
      <c r="DJ130" s="17" t="n"/>
      <c r="DK130" s="16" t="n"/>
      <c r="DL130" s="20" t="inlineStr">
        <is>
          <t>SOP 45-09 (SOP muss noch angepasst werden für VSS)</t>
        </is>
      </c>
      <c r="DM130" s="20" t="inlineStr">
        <is>
          <t>None</t>
        </is>
      </c>
      <c r="DN130" s="17" t="n"/>
      <c r="DO130" s="16" t="n"/>
      <c r="DP130" s="20" t="inlineStr">
        <is>
          <t>IC Organic Acids</t>
        </is>
      </c>
      <c r="DQ130" s="20" t="inlineStr">
        <is>
          <t>None</t>
        </is>
      </c>
      <c r="DR130" s="17" t="n"/>
      <c r="DS130" s="16" t="n"/>
      <c r="DT130" s="20" t="inlineStr">
        <is>
          <t>IC Organic Acids</t>
        </is>
      </c>
      <c r="DU130" s="20" t="inlineStr">
        <is>
          <t>None</t>
        </is>
      </c>
      <c r="DV130" s="17" t="n"/>
      <c r="DW130" s="16" t="n"/>
      <c r="DX130" s="20" t="inlineStr">
        <is>
          <t>IC Organic Acids</t>
        </is>
      </c>
      <c r="DY130" s="20" t="inlineStr">
        <is>
          <t>None</t>
        </is>
      </c>
      <c r="DZ130" s="17" t="n"/>
      <c r="EA130" s="16" t="n"/>
      <c r="EB130" s="20" t="inlineStr">
        <is>
          <t>IC Organic Acids</t>
        </is>
      </c>
      <c r="EC130" s="20" t="inlineStr">
        <is>
          <t>None</t>
        </is>
      </c>
      <c r="ED130" s="17" t="n"/>
      <c r="EE130" s="16" t="n"/>
      <c r="EF130" s="20" t="inlineStr">
        <is>
          <t>IC Organic Acids</t>
        </is>
      </c>
      <c r="EG130" s="20" t="inlineStr">
        <is>
          <t>None</t>
        </is>
      </c>
      <c r="EH130" s="17" t="n"/>
      <c r="EI130" s="16" t="n"/>
      <c r="EJ130" s="20" t="inlineStr">
        <is>
          <t>IC Organic Acids</t>
        </is>
      </c>
      <c r="EK130" s="20" t="inlineStr">
        <is>
          <t>None</t>
        </is>
      </c>
      <c r="EL130" s="17" t="n"/>
      <c r="EM130" s="16" t="n"/>
      <c r="EN130" s="20" t="inlineStr">
        <is>
          <t>IC Organic Acids</t>
        </is>
      </c>
      <c r="EO130" s="20" t="inlineStr">
        <is>
          <t>None</t>
        </is>
      </c>
      <c r="EP130" s="17" t="n"/>
      <c r="EQ130" s="16" t="n"/>
      <c r="ER130" s="20" t="inlineStr">
        <is>
          <t>IC Organic Acids</t>
        </is>
      </c>
      <c r="ES130" s="20" t="inlineStr">
        <is>
          <t>None</t>
        </is>
      </c>
      <c r="ET130" s="17" t="n"/>
      <c r="EU130" s="16" t="n"/>
      <c r="EV130" s="20" t="inlineStr">
        <is>
          <t>LC-MS</t>
        </is>
      </c>
      <c r="EW130" s="20" t="inlineStr">
        <is>
          <t>None</t>
        </is>
      </c>
      <c r="EX130" s="17" t="n"/>
      <c r="EY130" s="21" t="n"/>
      <c r="EZ130">
        <f>CONCATENATE(A130,B130)</f>
        <v/>
      </c>
      <c r="FA130">
        <f>CONCATENATE(SamplesX!A130,SamplesX!B130)</f>
        <v/>
      </c>
      <c r="FC130">
        <f>MATCH(EZ130,FA1:FA1008,0)</f>
        <v/>
      </c>
    </row>
    <row r="131">
      <c r="A131" s="16" t="inlineStr">
        <is>
          <t>BP</t>
        </is>
      </c>
      <c r="B131" s="17" t="inlineStr">
        <is>
          <t>25123</t>
        </is>
      </c>
      <c r="C131" s="10">
        <f>IF(ISNUMBER(FC131),INDIRECT("SamplesX!C"&amp;FC131),IF(ISNUMBER(FD131),INDIRECT("SamplesY!C"&amp;FD131),""))</f>
        <v/>
      </c>
      <c r="D131" s="12">
        <f>IF(ISNUMBER(FC131),INDIRECT("SamplesX!D"&amp;FC131),IF(ISNUMBER(FD131),INDIRECT("SamplesY!D"&amp;FD131),""))</f>
        <v/>
      </c>
      <c r="E131" s="12">
        <f>IF(ISNUMBER(FC131),INDIRECT("SamplesX!E"&amp;FC131),IF(ISNUMBER(FD131),INDIRECT("SamplesY!E"&amp;FD131),""))</f>
        <v/>
      </c>
      <c r="F131" s="11">
        <f>IF(ISNUMBER(FC131),INDIRECT("SamplesX!F"&amp;FC131),IF(ISNUMBER(FD131),INDIRECT("SamplesY!F"&amp;FD131),""))</f>
        <v/>
      </c>
      <c r="G131" s="18">
        <f>IF(ISNUMBER(FC131),INDIRECT("SamplesX!G"&amp;FC131),IF(ISNUMBER(FD131),INDIRECT("SamplesY!G"&amp;FD131),""))</f>
        <v/>
      </c>
      <c r="H131" s="19">
        <f>IF(ISNUMBER(FC131),INDIRECT("SamplesX!H"&amp;FC131),IF(ISNUMBER(FD131),INDIRECT("SamplesY!H"&amp;FD131),""))</f>
        <v/>
      </c>
      <c r="I131" s="16" t="n"/>
      <c r="J131" s="16" t="n"/>
      <c r="K131" s="16" t="n"/>
      <c r="L131" s="20" t="n"/>
      <c r="M131" s="20" t="inlineStr">
        <is>
          <t>None</t>
        </is>
      </c>
      <c r="N131" s="17" t="n"/>
      <c r="O131" s="16" t="n"/>
      <c r="P131" s="20" t="inlineStr">
        <is>
          <t>Shimadzu TOC-L</t>
        </is>
      </c>
      <c r="Q131" s="20" t="inlineStr">
        <is>
          <t>None</t>
        </is>
      </c>
      <c r="R131" s="17" t="n"/>
      <c r="S131" s="16" t="n"/>
      <c r="T131" s="20" t="inlineStr">
        <is>
          <t>Shimadzu TOC-L</t>
        </is>
      </c>
      <c r="U131" s="20" t="inlineStr">
        <is>
          <t>None</t>
        </is>
      </c>
      <c r="V131" s="17" t="n"/>
      <c r="W131" s="16" t="n"/>
      <c r="X131" s="20" t="n"/>
      <c r="Y131" s="20" t="inlineStr">
        <is>
          <t>None</t>
        </is>
      </c>
      <c r="Z131" s="17" t="n"/>
      <c r="AA131" s="16" t="n"/>
      <c r="AB131" s="20" t="n"/>
      <c r="AC131" s="20" t="inlineStr">
        <is>
          <t>None</t>
        </is>
      </c>
      <c r="AD131" s="17" t="n"/>
      <c r="AE131" s="16" t="inlineStr">
        <is>
          <t>141</t>
        </is>
      </c>
      <c r="AF131" s="20" t="inlineStr">
        <is>
          <t>IC Anionen</t>
        </is>
      </c>
      <c r="AG131" s="20" t="inlineStr">
        <is>
          <t>None</t>
        </is>
      </c>
      <c r="AH131" s="17" t="n"/>
      <c r="AI131" s="16" t="n"/>
      <c r="AJ131" s="20" t="n"/>
      <c r="AK131" s="20" t="inlineStr">
        <is>
          <t>None</t>
        </is>
      </c>
      <c r="AL131" s="17" t="n"/>
      <c r="AM131" s="16" t="n"/>
      <c r="AN131" s="20" t="inlineStr">
        <is>
          <t>IC Anionen</t>
        </is>
      </c>
      <c r="AO131" s="20" t="inlineStr">
        <is>
          <t>None</t>
        </is>
      </c>
      <c r="AP131" s="17" t="n"/>
      <c r="AQ131" s="16" t="n"/>
      <c r="AR131" s="20" t="n"/>
      <c r="AS131" s="20" t="inlineStr">
        <is>
          <t>None</t>
        </is>
      </c>
      <c r="AT131" s="17" t="n"/>
      <c r="AU131" s="16" t="inlineStr">
        <is>
          <t>2.27</t>
        </is>
      </c>
      <c r="AV131" s="20" t="inlineStr">
        <is>
          <t>IC Anionen</t>
        </is>
      </c>
      <c r="AW131" s="20" t="inlineStr">
        <is>
          <t>None</t>
        </is>
      </c>
      <c r="AX131" s="17" t="n"/>
      <c r="AY131" s="16" t="inlineStr">
        <is>
          <t>7.18</t>
        </is>
      </c>
      <c r="AZ131" s="20" t="inlineStr">
        <is>
          <t>IC Anionen</t>
        </is>
      </c>
      <c r="BA131" s="20" t="inlineStr">
        <is>
          <t>None</t>
        </is>
      </c>
      <c r="BB131" s="17" t="n"/>
      <c r="BC131" s="16" t="inlineStr">
        <is>
          <t>105</t>
        </is>
      </c>
      <c r="BD131" s="20" t="inlineStr">
        <is>
          <t>IC Kationen</t>
        </is>
      </c>
      <c r="BE131" s="20" t="inlineStr">
        <is>
          <t>None</t>
        </is>
      </c>
      <c r="BF131" s="17" t="n"/>
      <c r="BG131" s="16" t="inlineStr">
        <is>
          <t>&lt;1.60</t>
        </is>
      </c>
      <c r="BH131" s="20" t="inlineStr">
        <is>
          <t>IC Kationen</t>
        </is>
      </c>
      <c r="BI131" s="20" t="inlineStr">
        <is>
          <t>None</t>
        </is>
      </c>
      <c r="BJ131" s="17" t="n"/>
      <c r="BK131" s="16" t="inlineStr">
        <is>
          <t>12.9</t>
        </is>
      </c>
      <c r="BL131" s="20" t="inlineStr">
        <is>
          <t>IC Kationen</t>
        </is>
      </c>
      <c r="BM131" s="20" t="inlineStr">
        <is>
          <t>None</t>
        </is>
      </c>
      <c r="BN131" s="17" t="n"/>
      <c r="BO131" s="16" t="inlineStr">
        <is>
          <t>215</t>
        </is>
      </c>
      <c r="BP131" s="20" t="inlineStr">
        <is>
          <t>IC Kationen</t>
        </is>
      </c>
      <c r="BQ131" s="20" t="inlineStr">
        <is>
          <t>None</t>
        </is>
      </c>
      <c r="BR131" s="17" t="n"/>
      <c r="BS131" s="16" t="inlineStr">
        <is>
          <t>27.0</t>
        </is>
      </c>
      <c r="BT131" s="20" t="inlineStr">
        <is>
          <t>IC Kationen</t>
        </is>
      </c>
      <c r="BU131" s="20" t="inlineStr">
        <is>
          <t>None</t>
        </is>
      </c>
      <c r="BV131" s="17" t="n"/>
      <c r="BW131" s="16" t="n"/>
      <c r="BX131" s="20" t="n"/>
      <c r="BY131" s="20" t="inlineStr">
        <is>
          <t>None</t>
        </is>
      </c>
      <c r="BZ131" s="17" t="n"/>
      <c r="CA131" s="16" t="n"/>
      <c r="CB131" s="20" t="n"/>
      <c r="CC131" s="20" t="inlineStr">
        <is>
          <t>None</t>
        </is>
      </c>
      <c r="CD131" s="17" t="n"/>
      <c r="CE131" s="16" t="n"/>
      <c r="CF131" s="20" t="n"/>
      <c r="CG131" s="20" t="inlineStr">
        <is>
          <t>None</t>
        </is>
      </c>
      <c r="CH131" s="17" t="n"/>
      <c r="CI131" s="16" t="n"/>
      <c r="CJ131" s="20" t="n"/>
      <c r="CK131" s="20" t="inlineStr">
        <is>
          <t>None</t>
        </is>
      </c>
      <c r="CL131" s="17" t="n"/>
      <c r="CM131" s="16" t="n"/>
      <c r="CN131" s="20" t="inlineStr">
        <is>
          <t>SOP 45-34</t>
        </is>
      </c>
      <c r="CO131" s="20" t="inlineStr">
        <is>
          <t>None</t>
        </is>
      </c>
      <c r="CP131" s="17" t="n"/>
      <c r="CQ131" s="16" t="n"/>
      <c r="CR131" s="20" t="n"/>
      <c r="CS131" s="20" t="inlineStr">
        <is>
          <t>None</t>
        </is>
      </c>
      <c r="CT131" s="17" t="n"/>
      <c r="CU131" s="16" t="n"/>
      <c r="CV131" s="20" t="n"/>
      <c r="CW131" s="20" t="inlineStr">
        <is>
          <t>None</t>
        </is>
      </c>
      <c r="CX131" s="17" t="n"/>
      <c r="CY131" s="16" t="n"/>
      <c r="CZ131" s="20" t="inlineStr">
        <is>
          <t>WTW Multimeter 3430 with FDO 925</t>
        </is>
      </c>
      <c r="DA131" s="20" t="inlineStr">
        <is>
          <t>None</t>
        </is>
      </c>
      <c r="DB131" s="17" t="n"/>
      <c r="DC131" s="16" t="n"/>
      <c r="DD131" s="20" t="n"/>
      <c r="DE131" s="20" t="inlineStr">
        <is>
          <t>None</t>
        </is>
      </c>
      <c r="DF131" s="17" t="n"/>
      <c r="DG131" s="16" t="n"/>
      <c r="DH131" s="20" t="inlineStr">
        <is>
          <t>SOP 45-09</t>
        </is>
      </c>
      <c r="DI131" s="20" t="inlineStr">
        <is>
          <t>None</t>
        </is>
      </c>
      <c r="DJ131" s="17" t="n"/>
      <c r="DK131" s="16" t="n"/>
      <c r="DL131" s="20" t="inlineStr">
        <is>
          <t>SOP 45-09 (SOP muss noch angepasst werden für VSS)</t>
        </is>
      </c>
      <c r="DM131" s="20" t="inlineStr">
        <is>
          <t>None</t>
        </is>
      </c>
      <c r="DN131" s="17" t="n"/>
      <c r="DO131" s="16" t="n"/>
      <c r="DP131" s="20" t="inlineStr">
        <is>
          <t>IC Organic Acids</t>
        </is>
      </c>
      <c r="DQ131" s="20" t="inlineStr">
        <is>
          <t>None</t>
        </is>
      </c>
      <c r="DR131" s="17" t="n"/>
      <c r="DS131" s="16" t="n"/>
      <c r="DT131" s="20" t="inlineStr">
        <is>
          <t>IC Organic Acids</t>
        </is>
      </c>
      <c r="DU131" s="20" t="inlineStr">
        <is>
          <t>None</t>
        </is>
      </c>
      <c r="DV131" s="17" t="n"/>
      <c r="DW131" s="16" t="n"/>
      <c r="DX131" s="20" t="inlineStr">
        <is>
          <t>IC Organic Acids</t>
        </is>
      </c>
      <c r="DY131" s="20" t="inlineStr">
        <is>
          <t>None</t>
        </is>
      </c>
      <c r="DZ131" s="17" t="n"/>
      <c r="EA131" s="16" t="n"/>
      <c r="EB131" s="20" t="inlineStr">
        <is>
          <t>IC Organic Acids</t>
        </is>
      </c>
      <c r="EC131" s="20" t="inlineStr">
        <is>
          <t>None</t>
        </is>
      </c>
      <c r="ED131" s="17" t="n"/>
      <c r="EE131" s="16" t="n"/>
      <c r="EF131" s="20" t="inlineStr">
        <is>
          <t>IC Organic Acids</t>
        </is>
      </c>
      <c r="EG131" s="20" t="inlineStr">
        <is>
          <t>None</t>
        </is>
      </c>
      <c r="EH131" s="17" t="n"/>
      <c r="EI131" s="16" t="n"/>
      <c r="EJ131" s="20" t="inlineStr">
        <is>
          <t>IC Organic Acids</t>
        </is>
      </c>
      <c r="EK131" s="20" t="inlineStr">
        <is>
          <t>None</t>
        </is>
      </c>
      <c r="EL131" s="17" t="n"/>
      <c r="EM131" s="16" t="n"/>
      <c r="EN131" s="20" t="inlineStr">
        <is>
          <t>IC Organic Acids</t>
        </is>
      </c>
      <c r="EO131" s="20" t="inlineStr">
        <is>
          <t>None</t>
        </is>
      </c>
      <c r="EP131" s="17" t="n"/>
      <c r="EQ131" s="16" t="n"/>
      <c r="ER131" s="20" t="inlineStr">
        <is>
          <t>IC Organic Acids</t>
        </is>
      </c>
      <c r="ES131" s="20" t="inlineStr">
        <is>
          <t>None</t>
        </is>
      </c>
      <c r="ET131" s="17" t="n"/>
      <c r="EU131" s="16" t="n"/>
      <c r="EV131" s="20" t="inlineStr">
        <is>
          <t>LC-MS</t>
        </is>
      </c>
      <c r="EW131" s="20" t="inlineStr">
        <is>
          <t>None</t>
        </is>
      </c>
      <c r="EX131" s="17" t="n"/>
      <c r="EY131" s="21" t="n"/>
      <c r="EZ131">
        <f>CONCATENATE(A131,B131)</f>
        <v/>
      </c>
      <c r="FA131">
        <f>CONCATENATE(SamplesX!A131,SamplesX!B131)</f>
        <v/>
      </c>
      <c r="FC131">
        <f>MATCH(EZ131,FA1:FA1008,0)</f>
        <v/>
      </c>
    </row>
    <row r="132">
      <c r="A132" s="16" t="inlineStr">
        <is>
          <t>BP</t>
        </is>
      </c>
      <c r="B132" s="17" t="inlineStr">
        <is>
          <t>25124</t>
        </is>
      </c>
      <c r="C132" s="10">
        <f>IF(ISNUMBER(FC132),INDIRECT("SamplesX!C"&amp;FC132),IF(ISNUMBER(FD132),INDIRECT("SamplesY!C"&amp;FD132),""))</f>
        <v/>
      </c>
      <c r="D132" s="12">
        <f>IF(ISNUMBER(FC132),INDIRECT("SamplesX!D"&amp;FC132),IF(ISNUMBER(FD132),INDIRECT("SamplesY!D"&amp;FD132),""))</f>
        <v/>
      </c>
      <c r="E132" s="12">
        <f>IF(ISNUMBER(FC132),INDIRECT("SamplesX!E"&amp;FC132),IF(ISNUMBER(FD132),INDIRECT("SamplesY!E"&amp;FD132),""))</f>
        <v/>
      </c>
      <c r="F132" s="11">
        <f>IF(ISNUMBER(FC132),INDIRECT("SamplesX!F"&amp;FC132),IF(ISNUMBER(FD132),INDIRECT("SamplesY!F"&amp;FD132),""))</f>
        <v/>
      </c>
      <c r="G132" s="18">
        <f>IF(ISNUMBER(FC132),INDIRECT("SamplesX!G"&amp;FC132),IF(ISNUMBER(FD132),INDIRECT("SamplesY!G"&amp;FD132),""))</f>
        <v/>
      </c>
      <c r="H132" s="19">
        <f>IF(ISNUMBER(FC132),INDIRECT("SamplesX!H"&amp;FC132),IF(ISNUMBER(FD132),INDIRECT("SamplesY!H"&amp;FD132),""))</f>
        <v/>
      </c>
      <c r="I132" s="16" t="n"/>
      <c r="J132" s="16" t="n"/>
      <c r="K132" s="16" t="n"/>
      <c r="L132" s="20" t="n"/>
      <c r="M132" s="20" t="inlineStr">
        <is>
          <t>None</t>
        </is>
      </c>
      <c r="N132" s="17" t="n"/>
      <c r="O132" s="16" t="n"/>
      <c r="P132" s="20" t="inlineStr">
        <is>
          <t>Shimadzu TOC-L</t>
        </is>
      </c>
      <c r="Q132" s="20" t="inlineStr">
        <is>
          <t>None</t>
        </is>
      </c>
      <c r="R132" s="17" t="n"/>
      <c r="S132" s="16" t="n"/>
      <c r="T132" s="20" t="inlineStr">
        <is>
          <t>Shimadzu TOC-L</t>
        </is>
      </c>
      <c r="U132" s="20" t="inlineStr">
        <is>
          <t>None</t>
        </is>
      </c>
      <c r="V132" s="17" t="n"/>
      <c r="W132" s="16" t="n"/>
      <c r="X132" s="20" t="n"/>
      <c r="Y132" s="20" t="inlineStr">
        <is>
          <t>None</t>
        </is>
      </c>
      <c r="Z132" s="17" t="n"/>
      <c r="AA132" s="16" t="n"/>
      <c r="AB132" s="20" t="n"/>
      <c r="AC132" s="20" t="inlineStr">
        <is>
          <t>None</t>
        </is>
      </c>
      <c r="AD132" s="17" t="n"/>
      <c r="AE132" s="16" t="inlineStr">
        <is>
          <t>206</t>
        </is>
      </c>
      <c r="AF132" s="20" t="inlineStr">
        <is>
          <t>IC Anionen</t>
        </is>
      </c>
      <c r="AG132" s="20" t="inlineStr">
        <is>
          <t>None</t>
        </is>
      </c>
      <c r="AH132" s="17" t="n"/>
      <c r="AI132" s="16" t="n"/>
      <c r="AJ132" s="20" t="n"/>
      <c r="AK132" s="20" t="inlineStr">
        <is>
          <t>None</t>
        </is>
      </c>
      <c r="AL132" s="17" t="n"/>
      <c r="AM132" s="16" t="n"/>
      <c r="AN132" s="20" t="inlineStr">
        <is>
          <t>IC Anionen</t>
        </is>
      </c>
      <c r="AO132" s="20" t="inlineStr">
        <is>
          <t>None</t>
        </is>
      </c>
      <c r="AP132" s="17" t="n"/>
      <c r="AQ132" s="16" t="n"/>
      <c r="AR132" s="20" t="n"/>
      <c r="AS132" s="20" t="inlineStr">
        <is>
          <t>None</t>
        </is>
      </c>
      <c r="AT132" s="17" t="n"/>
      <c r="AU132" s="16" t="inlineStr">
        <is>
          <t>18.4</t>
        </is>
      </c>
      <c r="AV132" s="20" t="inlineStr">
        <is>
          <t>IC Anionen</t>
        </is>
      </c>
      <c r="AW132" s="20" t="inlineStr">
        <is>
          <t>None</t>
        </is>
      </c>
      <c r="AX132" s="17" t="n"/>
      <c r="AY132" s="16" t="inlineStr">
        <is>
          <t>1.36</t>
        </is>
      </c>
      <c r="AZ132" s="20" t="inlineStr">
        <is>
          <t>IC Anionen</t>
        </is>
      </c>
      <c r="BA132" s="20" t="inlineStr">
        <is>
          <t>None</t>
        </is>
      </c>
      <c r="BB132" s="17" t="n"/>
      <c r="BC132" s="16" t="inlineStr">
        <is>
          <t>128</t>
        </is>
      </c>
      <c r="BD132" s="20" t="inlineStr">
        <is>
          <t>IC Kationen</t>
        </is>
      </c>
      <c r="BE132" s="20" t="inlineStr">
        <is>
          <t>None</t>
        </is>
      </c>
      <c r="BF132" s="17" t="n"/>
      <c r="BG132" s="16" t="inlineStr">
        <is>
          <t>17.0</t>
        </is>
      </c>
      <c r="BH132" s="20" t="inlineStr">
        <is>
          <t>IC Kationen</t>
        </is>
      </c>
      <c r="BI132" s="20" t="inlineStr">
        <is>
          <t>None</t>
        </is>
      </c>
      <c r="BJ132" s="17" t="n"/>
      <c r="BK132" s="16" t="inlineStr">
        <is>
          <t>18.7</t>
        </is>
      </c>
      <c r="BL132" s="20" t="inlineStr">
        <is>
          <t>IC Kationen</t>
        </is>
      </c>
      <c r="BM132" s="20" t="inlineStr">
        <is>
          <t>None</t>
        </is>
      </c>
      <c r="BN132" s="17" t="n"/>
      <c r="BO132" s="16" t="inlineStr">
        <is>
          <t>295</t>
        </is>
      </c>
      <c r="BP132" s="20" t="inlineStr">
        <is>
          <t>IC Kationen</t>
        </is>
      </c>
      <c r="BQ132" s="20" t="inlineStr">
        <is>
          <t>None</t>
        </is>
      </c>
      <c r="BR132" s="17" t="n"/>
      <c r="BS132" s="16" t="inlineStr">
        <is>
          <t>33.3</t>
        </is>
      </c>
      <c r="BT132" s="20" t="inlineStr">
        <is>
          <t>IC Kationen</t>
        </is>
      </c>
      <c r="BU132" s="20" t="inlineStr">
        <is>
          <t>None</t>
        </is>
      </c>
      <c r="BV132" s="17" t="n"/>
      <c r="BW132" s="16" t="n"/>
      <c r="BX132" s="20" t="n"/>
      <c r="BY132" s="20" t="inlineStr">
        <is>
          <t>None</t>
        </is>
      </c>
      <c r="BZ132" s="17" t="n"/>
      <c r="CA132" s="16" t="n"/>
      <c r="CB132" s="20" t="n"/>
      <c r="CC132" s="20" t="inlineStr">
        <is>
          <t>None</t>
        </is>
      </c>
      <c r="CD132" s="17" t="n"/>
      <c r="CE132" s="16" t="n"/>
      <c r="CF132" s="20" t="n"/>
      <c r="CG132" s="20" t="inlineStr">
        <is>
          <t>None</t>
        </is>
      </c>
      <c r="CH132" s="17" t="n"/>
      <c r="CI132" s="16" t="n"/>
      <c r="CJ132" s="20" t="n"/>
      <c r="CK132" s="20" t="inlineStr">
        <is>
          <t>None</t>
        </is>
      </c>
      <c r="CL132" s="17" t="n"/>
      <c r="CM132" s="16" t="n"/>
      <c r="CN132" s="20" t="inlineStr">
        <is>
          <t>SOP 45-34</t>
        </is>
      </c>
      <c r="CO132" s="20" t="inlineStr">
        <is>
          <t>None</t>
        </is>
      </c>
      <c r="CP132" s="17" t="n"/>
      <c r="CQ132" s="16" t="n"/>
      <c r="CR132" s="20" t="n"/>
      <c r="CS132" s="20" t="inlineStr">
        <is>
          <t>None</t>
        </is>
      </c>
      <c r="CT132" s="17" t="n"/>
      <c r="CU132" s="16" t="n"/>
      <c r="CV132" s="20" t="n"/>
      <c r="CW132" s="20" t="inlineStr">
        <is>
          <t>None</t>
        </is>
      </c>
      <c r="CX132" s="17" t="n"/>
      <c r="CY132" s="16" t="n"/>
      <c r="CZ132" s="20" t="inlineStr">
        <is>
          <t>WTW Multimeter 3430 with FDO 925</t>
        </is>
      </c>
      <c r="DA132" s="20" t="inlineStr">
        <is>
          <t>None</t>
        </is>
      </c>
      <c r="DB132" s="17" t="n"/>
      <c r="DC132" s="16" t="n"/>
      <c r="DD132" s="20" t="n"/>
      <c r="DE132" s="20" t="inlineStr">
        <is>
          <t>None</t>
        </is>
      </c>
      <c r="DF132" s="17" t="n"/>
      <c r="DG132" s="16" t="n"/>
      <c r="DH132" s="20" t="inlineStr">
        <is>
          <t>SOP 45-09</t>
        </is>
      </c>
      <c r="DI132" s="20" t="inlineStr">
        <is>
          <t>None</t>
        </is>
      </c>
      <c r="DJ132" s="17" t="n"/>
      <c r="DK132" s="16" t="n"/>
      <c r="DL132" s="20" t="inlineStr">
        <is>
          <t>SOP 45-09 (SOP muss noch angepasst werden für VSS)</t>
        </is>
      </c>
      <c r="DM132" s="20" t="inlineStr">
        <is>
          <t>None</t>
        </is>
      </c>
      <c r="DN132" s="17" t="n"/>
      <c r="DO132" s="16" t="n"/>
      <c r="DP132" s="20" t="inlineStr">
        <is>
          <t>IC Organic Acids</t>
        </is>
      </c>
      <c r="DQ132" s="20" t="inlineStr">
        <is>
          <t>None</t>
        </is>
      </c>
      <c r="DR132" s="17" t="n"/>
      <c r="DS132" s="16" t="n"/>
      <c r="DT132" s="20" t="inlineStr">
        <is>
          <t>IC Organic Acids</t>
        </is>
      </c>
      <c r="DU132" s="20" t="inlineStr">
        <is>
          <t>None</t>
        </is>
      </c>
      <c r="DV132" s="17" t="n"/>
      <c r="DW132" s="16" t="n"/>
      <c r="DX132" s="20" t="inlineStr">
        <is>
          <t>IC Organic Acids</t>
        </is>
      </c>
      <c r="DY132" s="20" t="inlineStr">
        <is>
          <t>None</t>
        </is>
      </c>
      <c r="DZ132" s="17" t="n"/>
      <c r="EA132" s="16" t="n"/>
      <c r="EB132" s="20" t="inlineStr">
        <is>
          <t>IC Organic Acids</t>
        </is>
      </c>
      <c r="EC132" s="20" t="inlineStr">
        <is>
          <t>None</t>
        </is>
      </c>
      <c r="ED132" s="17" t="n"/>
      <c r="EE132" s="16" t="n"/>
      <c r="EF132" s="20" t="inlineStr">
        <is>
          <t>IC Organic Acids</t>
        </is>
      </c>
      <c r="EG132" s="20" t="inlineStr">
        <is>
          <t>None</t>
        </is>
      </c>
      <c r="EH132" s="17" t="n"/>
      <c r="EI132" s="16" t="n"/>
      <c r="EJ132" s="20" t="inlineStr">
        <is>
          <t>IC Organic Acids</t>
        </is>
      </c>
      <c r="EK132" s="20" t="inlineStr">
        <is>
          <t>None</t>
        </is>
      </c>
      <c r="EL132" s="17" t="n"/>
      <c r="EM132" s="16" t="n"/>
      <c r="EN132" s="20" t="inlineStr">
        <is>
          <t>IC Organic Acids</t>
        </is>
      </c>
      <c r="EO132" s="20" t="inlineStr">
        <is>
          <t>None</t>
        </is>
      </c>
      <c r="EP132" s="17" t="n"/>
      <c r="EQ132" s="16" t="n"/>
      <c r="ER132" s="20" t="inlineStr">
        <is>
          <t>IC Organic Acids</t>
        </is>
      </c>
      <c r="ES132" s="20" t="inlineStr">
        <is>
          <t>None</t>
        </is>
      </c>
      <c r="ET132" s="17" t="n"/>
      <c r="EU132" s="16" t="n"/>
      <c r="EV132" s="20" t="inlineStr">
        <is>
          <t>LC-MS</t>
        </is>
      </c>
      <c r="EW132" s="20" t="inlineStr">
        <is>
          <t>None</t>
        </is>
      </c>
      <c r="EX132" s="17" t="n"/>
      <c r="EY132" s="21" t="n"/>
      <c r="EZ132">
        <f>CONCATENATE(A132,B132)</f>
        <v/>
      </c>
      <c r="FA132">
        <f>CONCATENATE(SamplesX!A132,SamplesX!B132)</f>
        <v/>
      </c>
      <c r="FC132">
        <f>MATCH(EZ132,FA1:FA1008,0)</f>
        <v/>
      </c>
    </row>
    <row r="133">
      <c r="A133" s="16" t="inlineStr">
        <is>
          <t>BP</t>
        </is>
      </c>
      <c r="B133" s="17" t="inlineStr">
        <is>
          <t>25125</t>
        </is>
      </c>
      <c r="C133" s="10">
        <f>IF(ISNUMBER(FC133),INDIRECT("SamplesX!C"&amp;FC133),IF(ISNUMBER(FD133),INDIRECT("SamplesY!C"&amp;FD133),""))</f>
        <v/>
      </c>
      <c r="D133" s="12">
        <f>IF(ISNUMBER(FC133),INDIRECT("SamplesX!D"&amp;FC133),IF(ISNUMBER(FD133),INDIRECT("SamplesY!D"&amp;FD133),""))</f>
        <v/>
      </c>
      <c r="E133" s="12">
        <f>IF(ISNUMBER(FC133),INDIRECT("SamplesX!E"&amp;FC133),IF(ISNUMBER(FD133),INDIRECT("SamplesY!E"&amp;FD133),""))</f>
        <v/>
      </c>
      <c r="F133" s="11">
        <f>IF(ISNUMBER(FC133),INDIRECT("SamplesX!F"&amp;FC133),IF(ISNUMBER(FD133),INDIRECT("SamplesY!F"&amp;FD133),""))</f>
        <v/>
      </c>
      <c r="G133" s="18">
        <f>IF(ISNUMBER(FC133),INDIRECT("SamplesX!G"&amp;FC133),IF(ISNUMBER(FD133),INDIRECT("SamplesY!G"&amp;FD133),""))</f>
        <v/>
      </c>
      <c r="H133" s="19">
        <f>IF(ISNUMBER(FC133),INDIRECT("SamplesX!H"&amp;FC133),IF(ISNUMBER(FD133),INDIRECT("SamplesY!H"&amp;FD133),""))</f>
        <v/>
      </c>
      <c r="I133" s="16" t="n"/>
      <c r="J133" s="16" t="n"/>
      <c r="K133" s="16" t="n"/>
      <c r="L133" s="20" t="n"/>
      <c r="M133" s="20" t="inlineStr">
        <is>
          <t>None</t>
        </is>
      </c>
      <c r="N133" s="17" t="n"/>
      <c r="O133" s="16" t="n"/>
      <c r="P133" s="20" t="inlineStr">
        <is>
          <t>Shimadzu TOC-L</t>
        </is>
      </c>
      <c r="Q133" s="20" t="inlineStr">
        <is>
          <t>None</t>
        </is>
      </c>
      <c r="R133" s="17" t="n"/>
      <c r="S133" s="16" t="n"/>
      <c r="T133" s="20" t="inlineStr">
        <is>
          <t>Shimadzu TOC-L</t>
        </is>
      </c>
      <c r="U133" s="20" t="inlineStr">
        <is>
          <t>None</t>
        </is>
      </c>
      <c r="V133" s="17" t="n"/>
      <c r="W133" s="16" t="n"/>
      <c r="X133" s="20" t="n"/>
      <c r="Y133" s="20" t="inlineStr">
        <is>
          <t>None</t>
        </is>
      </c>
      <c r="Z133" s="17" t="n"/>
      <c r="AA133" s="16" t="n"/>
      <c r="AB133" s="20" t="n"/>
      <c r="AC133" s="20" t="inlineStr">
        <is>
          <t>None</t>
        </is>
      </c>
      <c r="AD133" s="17" t="n"/>
      <c r="AE133" s="16" t="inlineStr">
        <is>
          <t>416</t>
        </is>
      </c>
      <c r="AF133" s="20" t="inlineStr">
        <is>
          <t>IC Anionen</t>
        </is>
      </c>
      <c r="AG133" s="20" t="inlineStr">
        <is>
          <t>None</t>
        </is>
      </c>
      <c r="AH133" s="17" t="n"/>
      <c r="AI133" s="16" t="n"/>
      <c r="AJ133" s="20" t="n"/>
      <c r="AK133" s="20" t="inlineStr">
        <is>
          <t>None</t>
        </is>
      </c>
      <c r="AL133" s="17" t="n"/>
      <c r="AM133" s="16" t="n"/>
      <c r="AN133" s="20" t="inlineStr">
        <is>
          <t>IC Anionen</t>
        </is>
      </c>
      <c r="AO133" s="20" t="inlineStr">
        <is>
          <t>None</t>
        </is>
      </c>
      <c r="AP133" s="17" t="n"/>
      <c r="AQ133" s="16" t="n"/>
      <c r="AR133" s="20" t="n"/>
      <c r="AS133" s="20" t="inlineStr">
        <is>
          <t>None</t>
        </is>
      </c>
      <c r="AT133" s="17" t="n"/>
      <c r="AU133" s="16" t="inlineStr">
        <is>
          <t>6.40</t>
        </is>
      </c>
      <c r="AV133" s="20" t="inlineStr">
        <is>
          <t>IC Anionen</t>
        </is>
      </c>
      <c r="AW133" s="20" t="inlineStr">
        <is>
          <t>None</t>
        </is>
      </c>
      <c r="AX133" s="17" t="n"/>
      <c r="AY133" s="16" t="inlineStr">
        <is>
          <t>1.98</t>
        </is>
      </c>
      <c r="AZ133" s="20" t="inlineStr">
        <is>
          <t>IC Anionen</t>
        </is>
      </c>
      <c r="BA133" s="20" t="inlineStr">
        <is>
          <t>None</t>
        </is>
      </c>
      <c r="BB133" s="17" t="n"/>
      <c r="BC133" s="16" t="inlineStr">
        <is>
          <t>112</t>
        </is>
      </c>
      <c r="BD133" s="20" t="inlineStr">
        <is>
          <t>IC Kationen</t>
        </is>
      </c>
      <c r="BE133" s="20" t="inlineStr">
        <is>
          <t>None</t>
        </is>
      </c>
      <c r="BF133" s="17" t="n"/>
      <c r="BG133" s="16" t="inlineStr">
        <is>
          <t>14.4</t>
        </is>
      </c>
      <c r="BH133" s="20" t="inlineStr">
        <is>
          <t>IC Kationen</t>
        </is>
      </c>
      <c r="BI133" s="20" t="inlineStr">
        <is>
          <t>None</t>
        </is>
      </c>
      <c r="BJ133" s="17" t="n"/>
      <c r="BK133" s="16" t="inlineStr">
        <is>
          <t>17.7</t>
        </is>
      </c>
      <c r="BL133" s="20" t="inlineStr">
        <is>
          <t>IC Kationen</t>
        </is>
      </c>
      <c r="BM133" s="20" t="inlineStr">
        <is>
          <t>None</t>
        </is>
      </c>
      <c r="BN133" s="17" t="n"/>
      <c r="BO133" s="16" t="inlineStr">
        <is>
          <t>268</t>
        </is>
      </c>
      <c r="BP133" s="20" t="inlineStr">
        <is>
          <t>IC Kationen</t>
        </is>
      </c>
      <c r="BQ133" s="20" t="inlineStr">
        <is>
          <t>None</t>
        </is>
      </c>
      <c r="BR133" s="17" t="n"/>
      <c r="BS133" s="16" t="inlineStr">
        <is>
          <t>31.0</t>
        </is>
      </c>
      <c r="BT133" s="20" t="inlineStr">
        <is>
          <t>IC Kationen</t>
        </is>
      </c>
      <c r="BU133" s="20" t="inlineStr">
        <is>
          <t>None</t>
        </is>
      </c>
      <c r="BV133" s="17" t="n"/>
      <c r="BW133" s="16" t="n"/>
      <c r="BX133" s="20" t="n"/>
      <c r="BY133" s="20" t="inlineStr">
        <is>
          <t>None</t>
        </is>
      </c>
      <c r="BZ133" s="17" t="n"/>
      <c r="CA133" s="16" t="n"/>
      <c r="CB133" s="20" t="n"/>
      <c r="CC133" s="20" t="inlineStr">
        <is>
          <t>None</t>
        </is>
      </c>
      <c r="CD133" s="17" t="n"/>
      <c r="CE133" s="16" t="n"/>
      <c r="CF133" s="20" t="n"/>
      <c r="CG133" s="20" t="inlineStr">
        <is>
          <t>None</t>
        </is>
      </c>
      <c r="CH133" s="17" t="n"/>
      <c r="CI133" s="16" t="n"/>
      <c r="CJ133" s="20" t="n"/>
      <c r="CK133" s="20" t="inlineStr">
        <is>
          <t>None</t>
        </is>
      </c>
      <c r="CL133" s="17" t="n"/>
      <c r="CM133" s="16" t="n"/>
      <c r="CN133" s="20" t="inlineStr">
        <is>
          <t>SOP 45-34</t>
        </is>
      </c>
      <c r="CO133" s="20" t="inlineStr">
        <is>
          <t>None</t>
        </is>
      </c>
      <c r="CP133" s="17" t="n"/>
      <c r="CQ133" s="16" t="n"/>
      <c r="CR133" s="20" t="n"/>
      <c r="CS133" s="20" t="inlineStr">
        <is>
          <t>None</t>
        </is>
      </c>
      <c r="CT133" s="17" t="n"/>
      <c r="CU133" s="16" t="n"/>
      <c r="CV133" s="20" t="n"/>
      <c r="CW133" s="20" t="inlineStr">
        <is>
          <t>None</t>
        </is>
      </c>
      <c r="CX133" s="17" t="n"/>
      <c r="CY133" s="16" t="n"/>
      <c r="CZ133" s="20" t="inlineStr">
        <is>
          <t>WTW Multimeter 3430 with FDO 925</t>
        </is>
      </c>
      <c r="DA133" s="20" t="inlineStr">
        <is>
          <t>None</t>
        </is>
      </c>
      <c r="DB133" s="17" t="n"/>
      <c r="DC133" s="16" t="n"/>
      <c r="DD133" s="20" t="n"/>
      <c r="DE133" s="20" t="inlineStr">
        <is>
          <t>None</t>
        </is>
      </c>
      <c r="DF133" s="17" t="n"/>
      <c r="DG133" s="16" t="n"/>
      <c r="DH133" s="20" t="inlineStr">
        <is>
          <t>SOP 45-09</t>
        </is>
      </c>
      <c r="DI133" s="20" t="inlineStr">
        <is>
          <t>None</t>
        </is>
      </c>
      <c r="DJ133" s="17" t="n"/>
      <c r="DK133" s="16" t="n"/>
      <c r="DL133" s="20" t="inlineStr">
        <is>
          <t>SOP 45-09 (SOP muss noch angepasst werden für VSS)</t>
        </is>
      </c>
      <c r="DM133" s="20" t="inlineStr">
        <is>
          <t>None</t>
        </is>
      </c>
      <c r="DN133" s="17" t="n"/>
      <c r="DO133" s="16" t="n"/>
      <c r="DP133" s="20" t="inlineStr">
        <is>
          <t>IC Organic Acids</t>
        </is>
      </c>
      <c r="DQ133" s="20" t="inlineStr">
        <is>
          <t>None</t>
        </is>
      </c>
      <c r="DR133" s="17" t="n"/>
      <c r="DS133" s="16" t="n"/>
      <c r="DT133" s="20" t="inlineStr">
        <is>
          <t>IC Organic Acids</t>
        </is>
      </c>
      <c r="DU133" s="20" t="inlineStr">
        <is>
          <t>None</t>
        </is>
      </c>
      <c r="DV133" s="17" t="n"/>
      <c r="DW133" s="16" t="n"/>
      <c r="DX133" s="20" t="inlineStr">
        <is>
          <t>IC Organic Acids</t>
        </is>
      </c>
      <c r="DY133" s="20" t="inlineStr">
        <is>
          <t>None</t>
        </is>
      </c>
      <c r="DZ133" s="17" t="n"/>
      <c r="EA133" s="16" t="n"/>
      <c r="EB133" s="20" t="inlineStr">
        <is>
          <t>IC Organic Acids</t>
        </is>
      </c>
      <c r="EC133" s="20" t="inlineStr">
        <is>
          <t>None</t>
        </is>
      </c>
      <c r="ED133" s="17" t="n"/>
      <c r="EE133" s="16" t="n"/>
      <c r="EF133" s="20" t="inlineStr">
        <is>
          <t>IC Organic Acids</t>
        </is>
      </c>
      <c r="EG133" s="20" t="inlineStr">
        <is>
          <t>None</t>
        </is>
      </c>
      <c r="EH133" s="17" t="n"/>
      <c r="EI133" s="16" t="n"/>
      <c r="EJ133" s="20" t="inlineStr">
        <is>
          <t>IC Organic Acids</t>
        </is>
      </c>
      <c r="EK133" s="20" t="inlineStr">
        <is>
          <t>None</t>
        </is>
      </c>
      <c r="EL133" s="17" t="n"/>
      <c r="EM133" s="16" t="n"/>
      <c r="EN133" s="20" t="inlineStr">
        <is>
          <t>IC Organic Acids</t>
        </is>
      </c>
      <c r="EO133" s="20" t="inlineStr">
        <is>
          <t>None</t>
        </is>
      </c>
      <c r="EP133" s="17" t="n"/>
      <c r="EQ133" s="16" t="n"/>
      <c r="ER133" s="20" t="inlineStr">
        <is>
          <t>IC Organic Acids</t>
        </is>
      </c>
      <c r="ES133" s="20" t="inlineStr">
        <is>
          <t>None</t>
        </is>
      </c>
      <c r="ET133" s="17" t="n"/>
      <c r="EU133" s="16" t="n"/>
      <c r="EV133" s="20" t="inlineStr">
        <is>
          <t>LC-MS</t>
        </is>
      </c>
      <c r="EW133" s="20" t="inlineStr">
        <is>
          <t>None</t>
        </is>
      </c>
      <c r="EX133" s="17" t="n"/>
      <c r="EY133" s="21" t="n"/>
      <c r="EZ133">
        <f>CONCATENATE(A133,B133)</f>
        <v/>
      </c>
      <c r="FA133">
        <f>CONCATENATE(SamplesX!A133,SamplesX!B133)</f>
        <v/>
      </c>
      <c r="FC133">
        <f>MATCH(EZ133,FA1:FA1008,0)</f>
        <v/>
      </c>
    </row>
    <row r="134">
      <c r="A134" s="16" t="inlineStr">
        <is>
          <t>BP</t>
        </is>
      </c>
      <c r="B134" s="17" t="inlineStr">
        <is>
          <t>25126</t>
        </is>
      </c>
      <c r="C134" s="10">
        <f>IF(ISNUMBER(FC134),INDIRECT("SamplesX!C"&amp;FC134),IF(ISNUMBER(FD134),INDIRECT("SamplesY!C"&amp;FD134),""))</f>
        <v/>
      </c>
      <c r="D134" s="12">
        <f>IF(ISNUMBER(FC134),INDIRECT("SamplesX!D"&amp;FC134),IF(ISNUMBER(FD134),INDIRECT("SamplesY!D"&amp;FD134),""))</f>
        <v/>
      </c>
      <c r="E134" s="12">
        <f>IF(ISNUMBER(FC134),INDIRECT("SamplesX!E"&amp;FC134),IF(ISNUMBER(FD134),INDIRECT("SamplesY!E"&amp;FD134),""))</f>
        <v/>
      </c>
      <c r="F134" s="11">
        <f>IF(ISNUMBER(FC134),INDIRECT("SamplesX!F"&amp;FC134),IF(ISNUMBER(FD134),INDIRECT("SamplesY!F"&amp;FD134),""))</f>
        <v/>
      </c>
      <c r="G134" s="18">
        <f>IF(ISNUMBER(FC134),INDIRECT("SamplesX!G"&amp;FC134),IF(ISNUMBER(FD134),INDIRECT("SamplesY!G"&amp;FD134),""))</f>
        <v/>
      </c>
      <c r="H134" s="19">
        <f>IF(ISNUMBER(FC134),INDIRECT("SamplesX!H"&amp;FC134),IF(ISNUMBER(FD134),INDIRECT("SamplesY!H"&amp;FD134),""))</f>
        <v/>
      </c>
      <c r="I134" s="16" t="n"/>
      <c r="J134" s="16" t="n"/>
      <c r="K134" s="16" t="n"/>
      <c r="L134" s="20" t="n"/>
      <c r="M134" s="20" t="inlineStr">
        <is>
          <t>None</t>
        </is>
      </c>
      <c r="N134" s="17" t="n"/>
      <c r="O134" s="16" t="n"/>
      <c r="P134" s="20" t="inlineStr">
        <is>
          <t>Shimadzu TOC-L</t>
        </is>
      </c>
      <c r="Q134" s="20" t="inlineStr">
        <is>
          <t>None</t>
        </is>
      </c>
      <c r="R134" s="17" t="n"/>
      <c r="S134" s="16" t="n"/>
      <c r="T134" s="20" t="inlineStr">
        <is>
          <t>Shimadzu TOC-L</t>
        </is>
      </c>
      <c r="U134" s="20" t="inlineStr">
        <is>
          <t>None</t>
        </is>
      </c>
      <c r="V134" s="17" t="n"/>
      <c r="W134" s="16" t="n"/>
      <c r="X134" s="20" t="n"/>
      <c r="Y134" s="20" t="inlineStr">
        <is>
          <t>None</t>
        </is>
      </c>
      <c r="Z134" s="17" t="n"/>
      <c r="AA134" s="16" t="n"/>
      <c r="AB134" s="20" t="n"/>
      <c r="AC134" s="20" t="inlineStr">
        <is>
          <t>None</t>
        </is>
      </c>
      <c r="AD134" s="17" t="n"/>
      <c r="AE134" s="16" t="inlineStr">
        <is>
          <t>405</t>
        </is>
      </c>
      <c r="AF134" s="20" t="inlineStr">
        <is>
          <t>IC Anionen</t>
        </is>
      </c>
      <c r="AG134" s="20" t="inlineStr">
        <is>
          <t>None</t>
        </is>
      </c>
      <c r="AH134" s="17" t="n"/>
      <c r="AI134" s="16" t="n"/>
      <c r="AJ134" s="20" t="n"/>
      <c r="AK134" s="20" t="inlineStr">
        <is>
          <t>None</t>
        </is>
      </c>
      <c r="AL134" s="17" t="n"/>
      <c r="AM134" s="16" t="n"/>
      <c r="AN134" s="20" t="inlineStr">
        <is>
          <t>IC Anionen</t>
        </is>
      </c>
      <c r="AO134" s="20" t="inlineStr">
        <is>
          <t>None</t>
        </is>
      </c>
      <c r="AP134" s="17" t="n"/>
      <c r="AQ134" s="16" t="n"/>
      <c r="AR134" s="20" t="n"/>
      <c r="AS134" s="20" t="inlineStr">
        <is>
          <t>None</t>
        </is>
      </c>
      <c r="AT134" s="17" t="n"/>
      <c r="AU134" s="16" t="inlineStr">
        <is>
          <t>&lt;0.13</t>
        </is>
      </c>
      <c r="AV134" s="20" t="inlineStr">
        <is>
          <t>IC Anionen</t>
        </is>
      </c>
      <c r="AW134" s="20" t="inlineStr">
        <is>
          <t>None</t>
        </is>
      </c>
      <c r="AX134" s="17" t="n"/>
      <c r="AY134" s="16" t="inlineStr">
        <is>
          <t>1.71</t>
        </is>
      </c>
      <c r="AZ134" s="20" t="inlineStr">
        <is>
          <t>IC Anionen</t>
        </is>
      </c>
      <c r="BA134" s="20" t="inlineStr">
        <is>
          <t>None</t>
        </is>
      </c>
      <c r="BB134" s="17" t="n"/>
      <c r="BC134" s="16" t="inlineStr">
        <is>
          <t>108</t>
        </is>
      </c>
      <c r="BD134" s="20" t="inlineStr">
        <is>
          <t>IC Kationen</t>
        </is>
      </c>
      <c r="BE134" s="20" t="inlineStr">
        <is>
          <t>None</t>
        </is>
      </c>
      <c r="BF134" s="17" t="n"/>
      <c r="BG134" s="16" t="inlineStr">
        <is>
          <t>&lt;1.60</t>
        </is>
      </c>
      <c r="BH134" s="20" t="inlineStr">
        <is>
          <t>IC Kationen</t>
        </is>
      </c>
      <c r="BI134" s="20" t="inlineStr">
        <is>
          <t>None</t>
        </is>
      </c>
      <c r="BJ134" s="17" t="n"/>
      <c r="BK134" s="16" t="inlineStr">
        <is>
          <t>15.2</t>
        </is>
      </c>
      <c r="BL134" s="20" t="inlineStr">
        <is>
          <t>IC Kationen</t>
        </is>
      </c>
      <c r="BM134" s="20" t="inlineStr">
        <is>
          <t>None</t>
        </is>
      </c>
      <c r="BN134" s="17" t="n"/>
      <c r="BO134" s="16" t="inlineStr">
        <is>
          <t>201</t>
        </is>
      </c>
      <c r="BP134" s="20" t="inlineStr">
        <is>
          <t>IC Kationen</t>
        </is>
      </c>
      <c r="BQ134" s="20" t="inlineStr">
        <is>
          <t>None</t>
        </is>
      </c>
      <c r="BR134" s="17" t="n"/>
      <c r="BS134" s="16" t="inlineStr">
        <is>
          <t>28.5</t>
        </is>
      </c>
      <c r="BT134" s="20" t="inlineStr">
        <is>
          <t>IC Kationen</t>
        </is>
      </c>
      <c r="BU134" s="20" t="inlineStr">
        <is>
          <t>None</t>
        </is>
      </c>
      <c r="BV134" s="17" t="n"/>
      <c r="BW134" s="16" t="n"/>
      <c r="BX134" s="20" t="n"/>
      <c r="BY134" s="20" t="inlineStr">
        <is>
          <t>None</t>
        </is>
      </c>
      <c r="BZ134" s="17" t="n"/>
      <c r="CA134" s="16" t="n"/>
      <c r="CB134" s="20" t="n"/>
      <c r="CC134" s="20" t="inlineStr">
        <is>
          <t>None</t>
        </is>
      </c>
      <c r="CD134" s="17" t="n"/>
      <c r="CE134" s="16" t="n"/>
      <c r="CF134" s="20" t="n"/>
      <c r="CG134" s="20" t="inlineStr">
        <is>
          <t>None</t>
        </is>
      </c>
      <c r="CH134" s="17" t="n"/>
      <c r="CI134" s="16" t="n"/>
      <c r="CJ134" s="20" t="n"/>
      <c r="CK134" s="20" t="inlineStr">
        <is>
          <t>None</t>
        </is>
      </c>
      <c r="CL134" s="17" t="n"/>
      <c r="CM134" s="16" t="n"/>
      <c r="CN134" s="20" t="inlineStr">
        <is>
          <t>SOP 45-34</t>
        </is>
      </c>
      <c r="CO134" s="20" t="inlineStr">
        <is>
          <t>None</t>
        </is>
      </c>
      <c r="CP134" s="17" t="n"/>
      <c r="CQ134" s="16" t="n"/>
      <c r="CR134" s="20" t="n"/>
      <c r="CS134" s="20" t="inlineStr">
        <is>
          <t>None</t>
        </is>
      </c>
      <c r="CT134" s="17" t="n"/>
      <c r="CU134" s="16" t="n"/>
      <c r="CV134" s="20" t="n"/>
      <c r="CW134" s="20" t="inlineStr">
        <is>
          <t>None</t>
        </is>
      </c>
      <c r="CX134" s="17" t="n"/>
      <c r="CY134" s="16" t="n"/>
      <c r="CZ134" s="20" t="inlineStr">
        <is>
          <t>WTW Multimeter 3430 with FDO 925</t>
        </is>
      </c>
      <c r="DA134" s="20" t="inlineStr">
        <is>
          <t>None</t>
        </is>
      </c>
      <c r="DB134" s="17" t="n"/>
      <c r="DC134" s="16" t="n"/>
      <c r="DD134" s="20" t="n"/>
      <c r="DE134" s="20" t="inlineStr">
        <is>
          <t>None</t>
        </is>
      </c>
      <c r="DF134" s="17" t="n"/>
      <c r="DG134" s="16" t="n"/>
      <c r="DH134" s="20" t="inlineStr">
        <is>
          <t>SOP 45-09</t>
        </is>
      </c>
      <c r="DI134" s="20" t="inlineStr">
        <is>
          <t>None</t>
        </is>
      </c>
      <c r="DJ134" s="17" t="n"/>
      <c r="DK134" s="16" t="n"/>
      <c r="DL134" s="20" t="inlineStr">
        <is>
          <t>SOP 45-09 (SOP muss noch angepasst werden für VSS)</t>
        </is>
      </c>
      <c r="DM134" s="20" t="inlineStr">
        <is>
          <t>None</t>
        </is>
      </c>
      <c r="DN134" s="17" t="n"/>
      <c r="DO134" s="16" t="n"/>
      <c r="DP134" s="20" t="inlineStr">
        <is>
          <t>IC Organic Acids</t>
        </is>
      </c>
      <c r="DQ134" s="20" t="inlineStr">
        <is>
          <t>None</t>
        </is>
      </c>
      <c r="DR134" s="17" t="n"/>
      <c r="DS134" s="16" t="n"/>
      <c r="DT134" s="20" t="inlineStr">
        <is>
          <t>IC Organic Acids</t>
        </is>
      </c>
      <c r="DU134" s="20" t="inlineStr">
        <is>
          <t>None</t>
        </is>
      </c>
      <c r="DV134" s="17" t="n"/>
      <c r="DW134" s="16" t="n"/>
      <c r="DX134" s="20" t="inlineStr">
        <is>
          <t>IC Organic Acids</t>
        </is>
      </c>
      <c r="DY134" s="20" t="inlineStr">
        <is>
          <t>None</t>
        </is>
      </c>
      <c r="DZ134" s="17" t="n"/>
      <c r="EA134" s="16" t="n"/>
      <c r="EB134" s="20" t="inlineStr">
        <is>
          <t>IC Organic Acids</t>
        </is>
      </c>
      <c r="EC134" s="20" t="inlineStr">
        <is>
          <t>None</t>
        </is>
      </c>
      <c r="ED134" s="17" t="n"/>
      <c r="EE134" s="16" t="n"/>
      <c r="EF134" s="20" t="inlineStr">
        <is>
          <t>IC Organic Acids</t>
        </is>
      </c>
      <c r="EG134" s="20" t="inlineStr">
        <is>
          <t>None</t>
        </is>
      </c>
      <c r="EH134" s="17" t="n"/>
      <c r="EI134" s="16" t="n"/>
      <c r="EJ134" s="20" t="inlineStr">
        <is>
          <t>IC Organic Acids</t>
        </is>
      </c>
      <c r="EK134" s="20" t="inlineStr">
        <is>
          <t>None</t>
        </is>
      </c>
      <c r="EL134" s="17" t="n"/>
      <c r="EM134" s="16" t="n"/>
      <c r="EN134" s="20" t="inlineStr">
        <is>
          <t>IC Organic Acids</t>
        </is>
      </c>
      <c r="EO134" s="20" t="inlineStr">
        <is>
          <t>None</t>
        </is>
      </c>
      <c r="EP134" s="17" t="n"/>
      <c r="EQ134" s="16" t="n"/>
      <c r="ER134" s="20" t="inlineStr">
        <is>
          <t>IC Organic Acids</t>
        </is>
      </c>
      <c r="ES134" s="20" t="inlineStr">
        <is>
          <t>None</t>
        </is>
      </c>
      <c r="ET134" s="17" t="n"/>
      <c r="EU134" s="16" t="n"/>
      <c r="EV134" s="20" t="inlineStr">
        <is>
          <t>LC-MS</t>
        </is>
      </c>
      <c r="EW134" s="20" t="inlineStr">
        <is>
          <t>None</t>
        </is>
      </c>
      <c r="EX134" s="17" t="n"/>
      <c r="EY134" s="21" t="n"/>
      <c r="EZ134">
        <f>CONCATENATE(A134,B134)</f>
        <v/>
      </c>
      <c r="FA134">
        <f>CONCATENATE(SamplesX!A134,SamplesX!B134)</f>
        <v/>
      </c>
      <c r="FC134">
        <f>MATCH(EZ134,FA1:FA1008,0)</f>
        <v/>
      </c>
    </row>
    <row r="135">
      <c r="A135" s="16" t="inlineStr">
        <is>
          <t>BP</t>
        </is>
      </c>
      <c r="B135" s="17" t="inlineStr">
        <is>
          <t>25127</t>
        </is>
      </c>
      <c r="C135" s="10">
        <f>IF(ISNUMBER(FC135),INDIRECT("SamplesX!C"&amp;FC135),IF(ISNUMBER(FD135),INDIRECT("SamplesY!C"&amp;FD135),""))</f>
        <v/>
      </c>
      <c r="D135" s="12">
        <f>IF(ISNUMBER(FC135),INDIRECT("SamplesX!D"&amp;FC135),IF(ISNUMBER(FD135),INDIRECT("SamplesY!D"&amp;FD135),""))</f>
        <v/>
      </c>
      <c r="E135" s="12">
        <f>IF(ISNUMBER(FC135),INDIRECT("SamplesX!E"&amp;FC135),IF(ISNUMBER(FD135),INDIRECT("SamplesY!E"&amp;FD135),""))</f>
        <v/>
      </c>
      <c r="F135" s="11">
        <f>IF(ISNUMBER(FC135),INDIRECT("SamplesX!F"&amp;FC135),IF(ISNUMBER(FD135),INDIRECT("SamplesY!F"&amp;FD135),""))</f>
        <v/>
      </c>
      <c r="G135" s="18">
        <f>IF(ISNUMBER(FC135),INDIRECT("SamplesX!G"&amp;FC135),IF(ISNUMBER(FD135),INDIRECT("SamplesY!G"&amp;FD135),""))</f>
        <v/>
      </c>
      <c r="H135" s="19">
        <f>IF(ISNUMBER(FC135),INDIRECT("SamplesX!H"&amp;FC135),IF(ISNUMBER(FD135),INDIRECT("SamplesY!H"&amp;FD135),""))</f>
        <v/>
      </c>
      <c r="I135" s="16" t="n"/>
      <c r="J135" s="16" t="n"/>
      <c r="K135" s="16" t="n"/>
      <c r="L135" s="20" t="n"/>
      <c r="M135" s="20" t="inlineStr">
        <is>
          <t>None</t>
        </is>
      </c>
      <c r="N135" s="17" t="n"/>
      <c r="O135" s="16" t="n"/>
      <c r="P135" s="20" t="inlineStr">
        <is>
          <t>Shimadzu TOC-L</t>
        </is>
      </c>
      <c r="Q135" s="20" t="inlineStr">
        <is>
          <t>None</t>
        </is>
      </c>
      <c r="R135" s="17" t="n"/>
      <c r="S135" s="16" t="n"/>
      <c r="T135" s="20" t="inlineStr">
        <is>
          <t>Shimadzu TOC-L</t>
        </is>
      </c>
      <c r="U135" s="20" t="inlineStr">
        <is>
          <t>None</t>
        </is>
      </c>
      <c r="V135" s="17" t="n"/>
      <c r="W135" s="16" t="n"/>
      <c r="X135" s="20" t="n"/>
      <c r="Y135" s="20" t="inlineStr">
        <is>
          <t>None</t>
        </is>
      </c>
      <c r="Z135" s="17" t="n"/>
      <c r="AA135" s="16" t="n"/>
      <c r="AB135" s="20" t="n"/>
      <c r="AC135" s="20" t="inlineStr">
        <is>
          <t>None</t>
        </is>
      </c>
      <c r="AD135" s="17" t="n"/>
      <c r="AE135" s="16" t="inlineStr">
        <is>
          <t>180</t>
        </is>
      </c>
      <c r="AF135" s="20" t="inlineStr">
        <is>
          <t>IC Anionen</t>
        </is>
      </c>
      <c r="AG135" s="20" t="inlineStr">
        <is>
          <t>None</t>
        </is>
      </c>
      <c r="AH135" s="17" t="n"/>
      <c r="AI135" s="16" t="n"/>
      <c r="AJ135" s="20" t="n"/>
      <c r="AK135" s="20" t="inlineStr">
        <is>
          <t>None</t>
        </is>
      </c>
      <c r="AL135" s="17" t="n"/>
      <c r="AM135" s="16" t="n"/>
      <c r="AN135" s="20" t="inlineStr">
        <is>
          <t>IC Anionen</t>
        </is>
      </c>
      <c r="AO135" s="20" t="inlineStr">
        <is>
          <t>None</t>
        </is>
      </c>
      <c r="AP135" s="17" t="n"/>
      <c r="AQ135" s="16" t="n"/>
      <c r="AR135" s="20" t="n"/>
      <c r="AS135" s="20" t="inlineStr">
        <is>
          <t>None</t>
        </is>
      </c>
      <c r="AT135" s="17" t="n"/>
      <c r="AU135" s="16" t="inlineStr">
        <is>
          <t>1.08</t>
        </is>
      </c>
      <c r="AV135" s="20" t="inlineStr">
        <is>
          <t>IC Anionen</t>
        </is>
      </c>
      <c r="AW135" s="20" t="inlineStr">
        <is>
          <t>None</t>
        </is>
      </c>
      <c r="AX135" s="17" t="n"/>
      <c r="AY135" s="16" t="inlineStr">
        <is>
          <t>10.4</t>
        </is>
      </c>
      <c r="AZ135" s="20" t="inlineStr">
        <is>
          <t>IC Anionen</t>
        </is>
      </c>
      <c r="BA135" s="20" t="inlineStr">
        <is>
          <t>None</t>
        </is>
      </c>
      <c r="BB135" s="17" t="n"/>
      <c r="BC135" s="16" t="inlineStr">
        <is>
          <t>116</t>
        </is>
      </c>
      <c r="BD135" s="20" t="inlineStr">
        <is>
          <t>IC Kationen</t>
        </is>
      </c>
      <c r="BE135" s="20" t="inlineStr">
        <is>
          <t>None</t>
        </is>
      </c>
      <c r="BF135" s="17" t="n"/>
      <c r="BG135" s="16" t="inlineStr">
        <is>
          <t>&lt;1.60</t>
        </is>
      </c>
      <c r="BH135" s="20" t="inlineStr">
        <is>
          <t>IC Kationen</t>
        </is>
      </c>
      <c r="BI135" s="20" t="inlineStr">
        <is>
          <t>None</t>
        </is>
      </c>
      <c r="BJ135" s="17" t="n"/>
      <c r="BK135" s="16" t="inlineStr">
        <is>
          <t>13.3</t>
        </is>
      </c>
      <c r="BL135" s="20" t="inlineStr">
        <is>
          <t>IC Kationen</t>
        </is>
      </c>
      <c r="BM135" s="20" t="inlineStr">
        <is>
          <t>None</t>
        </is>
      </c>
      <c r="BN135" s="17" t="n"/>
      <c r="BO135" s="16" t="inlineStr">
        <is>
          <t>213</t>
        </is>
      </c>
      <c r="BP135" s="20" t="inlineStr">
        <is>
          <t>IC Kationen</t>
        </is>
      </c>
      <c r="BQ135" s="20" t="inlineStr">
        <is>
          <t>None</t>
        </is>
      </c>
      <c r="BR135" s="17" t="n"/>
      <c r="BS135" s="16" t="inlineStr">
        <is>
          <t>29.0</t>
        </is>
      </c>
      <c r="BT135" s="20" t="inlineStr">
        <is>
          <t>IC Kationen</t>
        </is>
      </c>
      <c r="BU135" s="20" t="inlineStr">
        <is>
          <t>None</t>
        </is>
      </c>
      <c r="BV135" s="17" t="n"/>
      <c r="BW135" s="16" t="n"/>
      <c r="BX135" s="20" t="n"/>
      <c r="BY135" s="20" t="inlineStr">
        <is>
          <t>None</t>
        </is>
      </c>
      <c r="BZ135" s="17" t="n"/>
      <c r="CA135" s="16" t="n"/>
      <c r="CB135" s="20" t="n"/>
      <c r="CC135" s="20" t="inlineStr">
        <is>
          <t>None</t>
        </is>
      </c>
      <c r="CD135" s="17" t="n"/>
      <c r="CE135" s="16" t="n"/>
      <c r="CF135" s="20" t="n"/>
      <c r="CG135" s="20" t="inlineStr">
        <is>
          <t>None</t>
        </is>
      </c>
      <c r="CH135" s="17" t="n"/>
      <c r="CI135" s="16" t="n"/>
      <c r="CJ135" s="20" t="n"/>
      <c r="CK135" s="20" t="inlineStr">
        <is>
          <t>None</t>
        </is>
      </c>
      <c r="CL135" s="17" t="n"/>
      <c r="CM135" s="16" t="n"/>
      <c r="CN135" s="20" t="inlineStr">
        <is>
          <t>SOP 45-34</t>
        </is>
      </c>
      <c r="CO135" s="20" t="inlineStr">
        <is>
          <t>None</t>
        </is>
      </c>
      <c r="CP135" s="17" t="n"/>
      <c r="CQ135" s="16" t="n"/>
      <c r="CR135" s="20" t="n"/>
      <c r="CS135" s="20" t="inlineStr">
        <is>
          <t>None</t>
        </is>
      </c>
      <c r="CT135" s="17" t="n"/>
      <c r="CU135" s="16" t="n"/>
      <c r="CV135" s="20" t="n"/>
      <c r="CW135" s="20" t="inlineStr">
        <is>
          <t>None</t>
        </is>
      </c>
      <c r="CX135" s="17" t="n"/>
      <c r="CY135" s="16" t="n"/>
      <c r="CZ135" s="20" t="inlineStr">
        <is>
          <t>WTW Multimeter 3430 with FDO 925</t>
        </is>
      </c>
      <c r="DA135" s="20" t="inlineStr">
        <is>
          <t>None</t>
        </is>
      </c>
      <c r="DB135" s="17" t="n"/>
      <c r="DC135" s="16" t="n"/>
      <c r="DD135" s="20" t="n"/>
      <c r="DE135" s="20" t="inlineStr">
        <is>
          <t>None</t>
        </is>
      </c>
      <c r="DF135" s="17" t="n"/>
      <c r="DG135" s="16" t="n"/>
      <c r="DH135" s="20" t="inlineStr">
        <is>
          <t>SOP 45-09</t>
        </is>
      </c>
      <c r="DI135" s="20" t="inlineStr">
        <is>
          <t>None</t>
        </is>
      </c>
      <c r="DJ135" s="17" t="n"/>
      <c r="DK135" s="16" t="n"/>
      <c r="DL135" s="20" t="inlineStr">
        <is>
          <t>SOP 45-09 (SOP muss noch angepasst werden für VSS)</t>
        </is>
      </c>
      <c r="DM135" s="20" t="inlineStr">
        <is>
          <t>None</t>
        </is>
      </c>
      <c r="DN135" s="17" t="n"/>
      <c r="DO135" s="16" t="n"/>
      <c r="DP135" s="20" t="inlineStr">
        <is>
          <t>IC Organic Acids</t>
        </is>
      </c>
      <c r="DQ135" s="20" t="inlineStr">
        <is>
          <t>None</t>
        </is>
      </c>
      <c r="DR135" s="17" t="n"/>
      <c r="DS135" s="16" t="n"/>
      <c r="DT135" s="20" t="inlineStr">
        <is>
          <t>IC Organic Acids</t>
        </is>
      </c>
      <c r="DU135" s="20" t="inlineStr">
        <is>
          <t>None</t>
        </is>
      </c>
      <c r="DV135" s="17" t="n"/>
      <c r="DW135" s="16" t="n"/>
      <c r="DX135" s="20" t="inlineStr">
        <is>
          <t>IC Organic Acids</t>
        </is>
      </c>
      <c r="DY135" s="20" t="inlineStr">
        <is>
          <t>None</t>
        </is>
      </c>
      <c r="DZ135" s="17" t="n"/>
      <c r="EA135" s="16" t="n"/>
      <c r="EB135" s="20" t="inlineStr">
        <is>
          <t>IC Organic Acids</t>
        </is>
      </c>
      <c r="EC135" s="20" t="inlineStr">
        <is>
          <t>None</t>
        </is>
      </c>
      <c r="ED135" s="17" t="n"/>
      <c r="EE135" s="16" t="n"/>
      <c r="EF135" s="20" t="inlineStr">
        <is>
          <t>IC Organic Acids</t>
        </is>
      </c>
      <c r="EG135" s="20" t="inlineStr">
        <is>
          <t>None</t>
        </is>
      </c>
      <c r="EH135" s="17" t="n"/>
      <c r="EI135" s="16" t="n"/>
      <c r="EJ135" s="20" t="inlineStr">
        <is>
          <t>IC Organic Acids</t>
        </is>
      </c>
      <c r="EK135" s="20" t="inlineStr">
        <is>
          <t>None</t>
        </is>
      </c>
      <c r="EL135" s="17" t="n"/>
      <c r="EM135" s="16" t="n"/>
      <c r="EN135" s="20" t="inlineStr">
        <is>
          <t>IC Organic Acids</t>
        </is>
      </c>
      <c r="EO135" s="20" t="inlineStr">
        <is>
          <t>None</t>
        </is>
      </c>
      <c r="EP135" s="17" t="n"/>
      <c r="EQ135" s="16" t="n"/>
      <c r="ER135" s="20" t="inlineStr">
        <is>
          <t>IC Organic Acids</t>
        </is>
      </c>
      <c r="ES135" s="20" t="inlineStr">
        <is>
          <t>None</t>
        </is>
      </c>
      <c r="ET135" s="17" t="n"/>
      <c r="EU135" s="16" t="n"/>
      <c r="EV135" s="20" t="inlineStr">
        <is>
          <t>LC-MS</t>
        </is>
      </c>
      <c r="EW135" s="20" t="inlineStr">
        <is>
          <t>None</t>
        </is>
      </c>
      <c r="EX135" s="17" t="n"/>
      <c r="EY135" s="21" t="n"/>
      <c r="EZ135">
        <f>CONCATENATE(A135,B135)</f>
        <v/>
      </c>
      <c r="FA135">
        <f>CONCATENATE(SamplesX!A135,SamplesX!B135)</f>
        <v/>
      </c>
      <c r="FC135">
        <f>MATCH(EZ135,FA1:FA1008,0)</f>
        <v/>
      </c>
    </row>
    <row r="136">
      <c r="A136" s="16" t="inlineStr">
        <is>
          <t>BP</t>
        </is>
      </c>
      <c r="B136" s="17" t="inlineStr">
        <is>
          <t>25128</t>
        </is>
      </c>
      <c r="C136" s="10">
        <f>IF(ISNUMBER(FC136),INDIRECT("SamplesX!C"&amp;FC136),IF(ISNUMBER(FD136),INDIRECT("SamplesY!C"&amp;FD136),""))</f>
        <v/>
      </c>
      <c r="D136" s="12">
        <f>IF(ISNUMBER(FC136),INDIRECT("SamplesX!D"&amp;FC136),IF(ISNUMBER(FD136),INDIRECT("SamplesY!D"&amp;FD136),""))</f>
        <v/>
      </c>
      <c r="E136" s="12">
        <f>IF(ISNUMBER(FC136),INDIRECT("SamplesX!E"&amp;FC136),IF(ISNUMBER(FD136),INDIRECT("SamplesY!E"&amp;FD136),""))</f>
        <v/>
      </c>
      <c r="F136" s="11">
        <f>IF(ISNUMBER(FC136),INDIRECT("SamplesX!F"&amp;FC136),IF(ISNUMBER(FD136),INDIRECT("SamplesY!F"&amp;FD136),""))</f>
        <v/>
      </c>
      <c r="G136" s="18">
        <f>IF(ISNUMBER(FC136),INDIRECT("SamplesX!G"&amp;FC136),IF(ISNUMBER(FD136),INDIRECT("SamplesY!G"&amp;FD136),""))</f>
        <v/>
      </c>
      <c r="H136" s="19">
        <f>IF(ISNUMBER(FC136),INDIRECT("SamplesX!H"&amp;FC136),IF(ISNUMBER(FD136),INDIRECT("SamplesY!H"&amp;FD136),""))</f>
        <v/>
      </c>
      <c r="I136" s="16" t="n"/>
      <c r="J136" s="16" t="n"/>
      <c r="K136" s="16" t="n"/>
      <c r="L136" s="20" t="n"/>
      <c r="M136" s="20" t="inlineStr">
        <is>
          <t>None</t>
        </is>
      </c>
      <c r="N136" s="17" t="n"/>
      <c r="O136" s="16" t="n"/>
      <c r="P136" s="20" t="inlineStr">
        <is>
          <t>Shimadzu TOC-L</t>
        </is>
      </c>
      <c r="Q136" s="20" t="inlineStr">
        <is>
          <t>None</t>
        </is>
      </c>
      <c r="R136" s="17" t="n"/>
      <c r="S136" s="16" t="n"/>
      <c r="T136" s="20" t="inlineStr">
        <is>
          <t>Shimadzu TOC-L</t>
        </is>
      </c>
      <c r="U136" s="20" t="inlineStr">
        <is>
          <t>None</t>
        </is>
      </c>
      <c r="V136" s="17" t="n"/>
      <c r="W136" s="16" t="n"/>
      <c r="X136" s="20" t="n"/>
      <c r="Y136" s="20" t="inlineStr">
        <is>
          <t>None</t>
        </is>
      </c>
      <c r="Z136" s="17" t="n"/>
      <c r="AA136" s="16" t="n"/>
      <c r="AB136" s="20" t="n"/>
      <c r="AC136" s="20" t="inlineStr">
        <is>
          <t>None</t>
        </is>
      </c>
      <c r="AD136" s="17" t="n"/>
      <c r="AE136" s="16" t="inlineStr">
        <is>
          <t>191</t>
        </is>
      </c>
      <c r="AF136" s="20" t="inlineStr">
        <is>
          <t>IC Anionen</t>
        </is>
      </c>
      <c r="AG136" s="20" t="inlineStr">
        <is>
          <t>None</t>
        </is>
      </c>
      <c r="AH136" s="17" t="n"/>
      <c r="AI136" s="16" t="n"/>
      <c r="AJ136" s="20" t="n"/>
      <c r="AK136" s="20" t="inlineStr">
        <is>
          <t>None</t>
        </is>
      </c>
      <c r="AL136" s="17" t="n"/>
      <c r="AM136" s="16" t="n"/>
      <c r="AN136" s="20" t="inlineStr">
        <is>
          <t>IC Anionen</t>
        </is>
      </c>
      <c r="AO136" s="20" t="inlineStr">
        <is>
          <t>None</t>
        </is>
      </c>
      <c r="AP136" s="17" t="n"/>
      <c r="AQ136" s="16" t="n"/>
      <c r="AR136" s="20" t="n"/>
      <c r="AS136" s="20" t="inlineStr">
        <is>
          <t>None</t>
        </is>
      </c>
      <c r="AT136" s="17" t="n"/>
      <c r="AU136" s="16" t="inlineStr">
        <is>
          <t>15.4</t>
        </is>
      </c>
      <c r="AV136" s="20" t="inlineStr">
        <is>
          <t>IC Anionen</t>
        </is>
      </c>
      <c r="AW136" s="20" t="inlineStr">
        <is>
          <t>None</t>
        </is>
      </c>
      <c r="AX136" s="17" t="n"/>
      <c r="AY136" s="16" t="inlineStr">
        <is>
          <t>1.55</t>
        </is>
      </c>
      <c r="AZ136" s="20" t="inlineStr">
        <is>
          <t>IC Anionen</t>
        </is>
      </c>
      <c r="BA136" s="20" t="inlineStr">
        <is>
          <t>None</t>
        </is>
      </c>
      <c r="BB136" s="17" t="n"/>
      <c r="BC136" s="16" t="inlineStr">
        <is>
          <t>119</t>
        </is>
      </c>
      <c r="BD136" s="20" t="inlineStr">
        <is>
          <t>IC Kationen</t>
        </is>
      </c>
      <c r="BE136" s="20" t="inlineStr">
        <is>
          <t>None</t>
        </is>
      </c>
      <c r="BF136" s="17" t="n"/>
      <c r="BG136" s="16" t="inlineStr">
        <is>
          <t>13.7</t>
        </is>
      </c>
      <c r="BH136" s="20" t="inlineStr">
        <is>
          <t>IC Kationen</t>
        </is>
      </c>
      <c r="BI136" s="20" t="inlineStr">
        <is>
          <t>None</t>
        </is>
      </c>
      <c r="BJ136" s="17" t="n"/>
      <c r="BK136" s="16" t="inlineStr">
        <is>
          <t>18.4</t>
        </is>
      </c>
      <c r="BL136" s="20" t="inlineStr">
        <is>
          <t>IC Kationen</t>
        </is>
      </c>
      <c r="BM136" s="20" t="inlineStr">
        <is>
          <t>None</t>
        </is>
      </c>
      <c r="BN136" s="17" t="n"/>
      <c r="BO136" s="16" t="inlineStr">
        <is>
          <t>277</t>
        </is>
      </c>
      <c r="BP136" s="20" t="inlineStr">
        <is>
          <t>IC Kationen</t>
        </is>
      </c>
      <c r="BQ136" s="20" t="inlineStr">
        <is>
          <t>None</t>
        </is>
      </c>
      <c r="BR136" s="17" t="n"/>
      <c r="BS136" s="16" t="inlineStr">
        <is>
          <t>31.7</t>
        </is>
      </c>
      <c r="BT136" s="20" t="inlineStr">
        <is>
          <t>IC Kationen</t>
        </is>
      </c>
      <c r="BU136" s="20" t="inlineStr">
        <is>
          <t>None</t>
        </is>
      </c>
      <c r="BV136" s="17" t="n"/>
      <c r="BW136" s="16" t="n"/>
      <c r="BX136" s="20" t="n"/>
      <c r="BY136" s="20" t="inlineStr">
        <is>
          <t>None</t>
        </is>
      </c>
      <c r="BZ136" s="17" t="n"/>
      <c r="CA136" s="16" t="n"/>
      <c r="CB136" s="20" t="n"/>
      <c r="CC136" s="20" t="inlineStr">
        <is>
          <t>None</t>
        </is>
      </c>
      <c r="CD136" s="17" t="n"/>
      <c r="CE136" s="16" t="n"/>
      <c r="CF136" s="20" t="n"/>
      <c r="CG136" s="20" t="inlineStr">
        <is>
          <t>None</t>
        </is>
      </c>
      <c r="CH136" s="17" t="n"/>
      <c r="CI136" s="16" t="n"/>
      <c r="CJ136" s="20" t="n"/>
      <c r="CK136" s="20" t="inlineStr">
        <is>
          <t>None</t>
        </is>
      </c>
      <c r="CL136" s="17" t="n"/>
      <c r="CM136" s="16" t="n"/>
      <c r="CN136" s="20" t="inlineStr">
        <is>
          <t>SOP 45-34</t>
        </is>
      </c>
      <c r="CO136" s="20" t="inlineStr">
        <is>
          <t>None</t>
        </is>
      </c>
      <c r="CP136" s="17" t="n"/>
      <c r="CQ136" s="16" t="n"/>
      <c r="CR136" s="20" t="n"/>
      <c r="CS136" s="20" t="inlineStr">
        <is>
          <t>None</t>
        </is>
      </c>
      <c r="CT136" s="17" t="n"/>
      <c r="CU136" s="16" t="n"/>
      <c r="CV136" s="20" t="n"/>
      <c r="CW136" s="20" t="inlineStr">
        <is>
          <t>None</t>
        </is>
      </c>
      <c r="CX136" s="17" t="n"/>
      <c r="CY136" s="16" t="n"/>
      <c r="CZ136" s="20" t="inlineStr">
        <is>
          <t>WTW Multimeter 3430 with FDO 925</t>
        </is>
      </c>
      <c r="DA136" s="20" t="inlineStr">
        <is>
          <t>None</t>
        </is>
      </c>
      <c r="DB136" s="17" t="n"/>
      <c r="DC136" s="16" t="n"/>
      <c r="DD136" s="20" t="n"/>
      <c r="DE136" s="20" t="inlineStr">
        <is>
          <t>None</t>
        </is>
      </c>
      <c r="DF136" s="17" t="n"/>
      <c r="DG136" s="16" t="n"/>
      <c r="DH136" s="20" t="inlineStr">
        <is>
          <t>SOP 45-09</t>
        </is>
      </c>
      <c r="DI136" s="20" t="inlineStr">
        <is>
          <t>None</t>
        </is>
      </c>
      <c r="DJ136" s="17" t="n"/>
      <c r="DK136" s="16" t="n"/>
      <c r="DL136" s="20" t="inlineStr">
        <is>
          <t>SOP 45-09 (SOP muss noch angepasst werden für VSS)</t>
        </is>
      </c>
      <c r="DM136" s="20" t="inlineStr">
        <is>
          <t>None</t>
        </is>
      </c>
      <c r="DN136" s="17" t="n"/>
      <c r="DO136" s="16" t="n"/>
      <c r="DP136" s="20" t="inlineStr">
        <is>
          <t>IC Organic Acids</t>
        </is>
      </c>
      <c r="DQ136" s="20" t="inlineStr">
        <is>
          <t>None</t>
        </is>
      </c>
      <c r="DR136" s="17" t="n"/>
      <c r="DS136" s="16" t="n"/>
      <c r="DT136" s="20" t="inlineStr">
        <is>
          <t>IC Organic Acids</t>
        </is>
      </c>
      <c r="DU136" s="20" t="inlineStr">
        <is>
          <t>None</t>
        </is>
      </c>
      <c r="DV136" s="17" t="n"/>
      <c r="DW136" s="16" t="n"/>
      <c r="DX136" s="20" t="inlineStr">
        <is>
          <t>IC Organic Acids</t>
        </is>
      </c>
      <c r="DY136" s="20" t="inlineStr">
        <is>
          <t>None</t>
        </is>
      </c>
      <c r="DZ136" s="17" t="n"/>
      <c r="EA136" s="16" t="n"/>
      <c r="EB136" s="20" t="inlineStr">
        <is>
          <t>IC Organic Acids</t>
        </is>
      </c>
      <c r="EC136" s="20" t="inlineStr">
        <is>
          <t>None</t>
        </is>
      </c>
      <c r="ED136" s="17" t="n"/>
      <c r="EE136" s="16" t="n"/>
      <c r="EF136" s="20" t="inlineStr">
        <is>
          <t>IC Organic Acids</t>
        </is>
      </c>
      <c r="EG136" s="20" t="inlineStr">
        <is>
          <t>None</t>
        </is>
      </c>
      <c r="EH136" s="17" t="n"/>
      <c r="EI136" s="16" t="n"/>
      <c r="EJ136" s="20" t="inlineStr">
        <is>
          <t>IC Organic Acids</t>
        </is>
      </c>
      <c r="EK136" s="20" t="inlineStr">
        <is>
          <t>None</t>
        </is>
      </c>
      <c r="EL136" s="17" t="n"/>
      <c r="EM136" s="16" t="n"/>
      <c r="EN136" s="20" t="inlineStr">
        <is>
          <t>IC Organic Acids</t>
        </is>
      </c>
      <c r="EO136" s="20" t="inlineStr">
        <is>
          <t>None</t>
        </is>
      </c>
      <c r="EP136" s="17" t="n"/>
      <c r="EQ136" s="16" t="n"/>
      <c r="ER136" s="20" t="inlineStr">
        <is>
          <t>IC Organic Acids</t>
        </is>
      </c>
      <c r="ES136" s="20" t="inlineStr">
        <is>
          <t>None</t>
        </is>
      </c>
      <c r="ET136" s="17" t="n"/>
      <c r="EU136" s="16" t="n"/>
      <c r="EV136" s="20" t="inlineStr">
        <is>
          <t>LC-MS</t>
        </is>
      </c>
      <c r="EW136" s="20" t="inlineStr">
        <is>
          <t>None</t>
        </is>
      </c>
      <c r="EX136" s="17" t="n"/>
      <c r="EY136" s="21" t="n"/>
      <c r="EZ136">
        <f>CONCATENATE(A136,B136)</f>
        <v/>
      </c>
      <c r="FA136">
        <f>CONCATENATE(SamplesX!A136,SamplesX!B136)</f>
        <v/>
      </c>
      <c r="FC136">
        <f>MATCH(EZ136,FA1:FA1008,0)</f>
        <v/>
      </c>
    </row>
    <row r="137">
      <c r="A137" s="16" t="inlineStr">
        <is>
          <t>BP</t>
        </is>
      </c>
      <c r="B137" s="17" t="inlineStr">
        <is>
          <t>25129</t>
        </is>
      </c>
      <c r="C137" s="10">
        <f>IF(ISNUMBER(FC137),INDIRECT("SamplesX!C"&amp;FC137),IF(ISNUMBER(FD137),INDIRECT("SamplesY!C"&amp;FD137),""))</f>
        <v/>
      </c>
      <c r="D137" s="12">
        <f>IF(ISNUMBER(FC137),INDIRECT("SamplesX!D"&amp;FC137),IF(ISNUMBER(FD137),INDIRECT("SamplesY!D"&amp;FD137),""))</f>
        <v/>
      </c>
      <c r="E137" s="12">
        <f>IF(ISNUMBER(FC137),INDIRECT("SamplesX!E"&amp;FC137),IF(ISNUMBER(FD137),INDIRECT("SamplesY!E"&amp;FD137),""))</f>
        <v/>
      </c>
      <c r="F137" s="11">
        <f>IF(ISNUMBER(FC137),INDIRECT("SamplesX!F"&amp;FC137),IF(ISNUMBER(FD137),INDIRECT("SamplesY!F"&amp;FD137),""))</f>
        <v/>
      </c>
      <c r="G137" s="18">
        <f>IF(ISNUMBER(FC137),INDIRECT("SamplesX!G"&amp;FC137),IF(ISNUMBER(FD137),INDIRECT("SamplesY!G"&amp;FD137),""))</f>
        <v/>
      </c>
      <c r="H137" s="19">
        <f>IF(ISNUMBER(FC137),INDIRECT("SamplesX!H"&amp;FC137),IF(ISNUMBER(FD137),INDIRECT("SamplesY!H"&amp;FD137),""))</f>
        <v/>
      </c>
      <c r="I137" s="16" t="n"/>
      <c r="J137" s="16" t="n"/>
      <c r="K137" s="16" t="n"/>
      <c r="L137" s="20" t="n"/>
      <c r="M137" s="20" t="inlineStr">
        <is>
          <t>None</t>
        </is>
      </c>
      <c r="N137" s="17" t="n"/>
      <c r="O137" s="16" t="n"/>
      <c r="P137" s="20" t="inlineStr">
        <is>
          <t>Shimadzu TOC-L</t>
        </is>
      </c>
      <c r="Q137" s="20" t="inlineStr">
        <is>
          <t>None</t>
        </is>
      </c>
      <c r="R137" s="17" t="n"/>
      <c r="S137" s="16" t="n"/>
      <c r="T137" s="20" t="inlineStr">
        <is>
          <t>Shimadzu TOC-L</t>
        </is>
      </c>
      <c r="U137" s="20" t="inlineStr">
        <is>
          <t>None</t>
        </is>
      </c>
      <c r="V137" s="17" t="n"/>
      <c r="W137" s="16" t="n"/>
      <c r="X137" s="20" t="n"/>
      <c r="Y137" s="20" t="inlineStr">
        <is>
          <t>None</t>
        </is>
      </c>
      <c r="Z137" s="17" t="n"/>
      <c r="AA137" s="16" t="n"/>
      <c r="AB137" s="20" t="n"/>
      <c r="AC137" s="20" t="inlineStr">
        <is>
          <t>None</t>
        </is>
      </c>
      <c r="AD137" s="17" t="n"/>
      <c r="AE137" s="16" t="inlineStr">
        <is>
          <t>427</t>
        </is>
      </c>
      <c r="AF137" s="20" t="inlineStr">
        <is>
          <t>IC Anionen</t>
        </is>
      </c>
      <c r="AG137" s="20" t="inlineStr">
        <is>
          <t>None</t>
        </is>
      </c>
      <c r="AH137" s="17" t="n"/>
      <c r="AI137" s="16" t="n"/>
      <c r="AJ137" s="20" t="n"/>
      <c r="AK137" s="20" t="inlineStr">
        <is>
          <t>None</t>
        </is>
      </c>
      <c r="AL137" s="17" t="n"/>
      <c r="AM137" s="16" t="n"/>
      <c r="AN137" s="20" t="inlineStr">
        <is>
          <t>IC Anionen</t>
        </is>
      </c>
      <c r="AO137" s="20" t="inlineStr">
        <is>
          <t>None</t>
        </is>
      </c>
      <c r="AP137" s="17" t="n"/>
      <c r="AQ137" s="16" t="n"/>
      <c r="AR137" s="20" t="n"/>
      <c r="AS137" s="20" t="inlineStr">
        <is>
          <t>None</t>
        </is>
      </c>
      <c r="AT137" s="17" t="n"/>
      <c r="AU137" s="16" t="inlineStr">
        <is>
          <t>3.49</t>
        </is>
      </c>
      <c r="AV137" s="20" t="inlineStr">
        <is>
          <t>IC Anionen</t>
        </is>
      </c>
      <c r="AW137" s="20" t="inlineStr">
        <is>
          <t>None</t>
        </is>
      </c>
      <c r="AX137" s="17" t="n"/>
      <c r="AY137" s="16" t="inlineStr">
        <is>
          <t>5.32</t>
        </is>
      </c>
      <c r="AZ137" s="20" t="inlineStr">
        <is>
          <t>IC Anionen</t>
        </is>
      </c>
      <c r="BA137" s="20" t="inlineStr">
        <is>
          <t>None</t>
        </is>
      </c>
      <c r="BB137" s="17" t="n"/>
      <c r="BC137" s="16" t="inlineStr">
        <is>
          <t>107</t>
        </is>
      </c>
      <c r="BD137" s="20" t="inlineStr">
        <is>
          <t>IC Kationen</t>
        </is>
      </c>
      <c r="BE137" s="20" t="inlineStr">
        <is>
          <t>None</t>
        </is>
      </c>
      <c r="BF137" s="17" t="n"/>
      <c r="BG137" s="16" t="inlineStr">
        <is>
          <t>15.2</t>
        </is>
      </c>
      <c r="BH137" s="20" t="inlineStr">
        <is>
          <t>IC Kationen</t>
        </is>
      </c>
      <c r="BI137" s="20" t="inlineStr">
        <is>
          <t>None</t>
        </is>
      </c>
      <c r="BJ137" s="17" t="n"/>
      <c r="BK137" s="16" t="inlineStr">
        <is>
          <t>17.9</t>
        </is>
      </c>
      <c r="BL137" s="20" t="inlineStr">
        <is>
          <t>IC Kationen</t>
        </is>
      </c>
      <c r="BM137" s="20" t="inlineStr">
        <is>
          <t>None</t>
        </is>
      </c>
      <c r="BN137" s="17" t="n"/>
      <c r="BO137" s="16" t="inlineStr">
        <is>
          <t>255</t>
        </is>
      </c>
      <c r="BP137" s="20" t="inlineStr">
        <is>
          <t>IC Kationen</t>
        </is>
      </c>
      <c r="BQ137" s="20" t="inlineStr">
        <is>
          <t>None</t>
        </is>
      </c>
      <c r="BR137" s="17" t="n"/>
      <c r="BS137" s="16" t="inlineStr">
        <is>
          <t>29.2</t>
        </is>
      </c>
      <c r="BT137" s="20" t="inlineStr">
        <is>
          <t>IC Kationen</t>
        </is>
      </c>
      <c r="BU137" s="20" t="inlineStr">
        <is>
          <t>None</t>
        </is>
      </c>
      <c r="BV137" s="17" t="n"/>
      <c r="BW137" s="16" t="n"/>
      <c r="BX137" s="20" t="n"/>
      <c r="BY137" s="20" t="inlineStr">
        <is>
          <t>None</t>
        </is>
      </c>
      <c r="BZ137" s="17" t="n"/>
      <c r="CA137" s="16" t="n"/>
      <c r="CB137" s="20" t="n"/>
      <c r="CC137" s="20" t="inlineStr">
        <is>
          <t>None</t>
        </is>
      </c>
      <c r="CD137" s="17" t="n"/>
      <c r="CE137" s="16" t="n"/>
      <c r="CF137" s="20" t="n"/>
      <c r="CG137" s="20" t="inlineStr">
        <is>
          <t>None</t>
        </is>
      </c>
      <c r="CH137" s="17" t="n"/>
      <c r="CI137" s="16" t="n"/>
      <c r="CJ137" s="20" t="n"/>
      <c r="CK137" s="20" t="inlineStr">
        <is>
          <t>None</t>
        </is>
      </c>
      <c r="CL137" s="17" t="n"/>
      <c r="CM137" s="16" t="n"/>
      <c r="CN137" s="20" t="inlineStr">
        <is>
          <t>SOP 45-34</t>
        </is>
      </c>
      <c r="CO137" s="20" t="inlineStr">
        <is>
          <t>None</t>
        </is>
      </c>
      <c r="CP137" s="17" t="n"/>
      <c r="CQ137" s="16" t="n"/>
      <c r="CR137" s="20" t="n"/>
      <c r="CS137" s="20" t="inlineStr">
        <is>
          <t>None</t>
        </is>
      </c>
      <c r="CT137" s="17" t="n"/>
      <c r="CU137" s="16" t="n"/>
      <c r="CV137" s="20" t="n"/>
      <c r="CW137" s="20" t="inlineStr">
        <is>
          <t>None</t>
        </is>
      </c>
      <c r="CX137" s="17" t="n"/>
      <c r="CY137" s="16" t="n"/>
      <c r="CZ137" s="20" t="inlineStr">
        <is>
          <t>WTW Multimeter 3430 with FDO 925</t>
        </is>
      </c>
      <c r="DA137" s="20" t="inlineStr">
        <is>
          <t>None</t>
        </is>
      </c>
      <c r="DB137" s="17" t="n"/>
      <c r="DC137" s="16" t="n"/>
      <c r="DD137" s="20" t="n"/>
      <c r="DE137" s="20" t="inlineStr">
        <is>
          <t>None</t>
        </is>
      </c>
      <c r="DF137" s="17" t="n"/>
      <c r="DG137" s="16" t="n"/>
      <c r="DH137" s="20" t="inlineStr">
        <is>
          <t>SOP 45-09</t>
        </is>
      </c>
      <c r="DI137" s="20" t="inlineStr">
        <is>
          <t>None</t>
        </is>
      </c>
      <c r="DJ137" s="17" t="n"/>
      <c r="DK137" s="16" t="n"/>
      <c r="DL137" s="20" t="inlineStr">
        <is>
          <t>SOP 45-09 (SOP muss noch angepasst werden für VSS)</t>
        </is>
      </c>
      <c r="DM137" s="20" t="inlineStr">
        <is>
          <t>None</t>
        </is>
      </c>
      <c r="DN137" s="17" t="n"/>
      <c r="DO137" s="16" t="n"/>
      <c r="DP137" s="20" t="inlineStr">
        <is>
          <t>IC Organic Acids</t>
        </is>
      </c>
      <c r="DQ137" s="20" t="inlineStr">
        <is>
          <t>None</t>
        </is>
      </c>
      <c r="DR137" s="17" t="n"/>
      <c r="DS137" s="16" t="n"/>
      <c r="DT137" s="20" t="inlineStr">
        <is>
          <t>IC Organic Acids</t>
        </is>
      </c>
      <c r="DU137" s="20" t="inlineStr">
        <is>
          <t>None</t>
        </is>
      </c>
      <c r="DV137" s="17" t="n"/>
      <c r="DW137" s="16" t="n"/>
      <c r="DX137" s="20" t="inlineStr">
        <is>
          <t>IC Organic Acids</t>
        </is>
      </c>
      <c r="DY137" s="20" t="inlineStr">
        <is>
          <t>None</t>
        </is>
      </c>
      <c r="DZ137" s="17" t="n"/>
      <c r="EA137" s="16" t="n"/>
      <c r="EB137" s="20" t="inlineStr">
        <is>
          <t>IC Organic Acids</t>
        </is>
      </c>
      <c r="EC137" s="20" t="inlineStr">
        <is>
          <t>None</t>
        </is>
      </c>
      <c r="ED137" s="17" t="n"/>
      <c r="EE137" s="16" t="n"/>
      <c r="EF137" s="20" t="inlineStr">
        <is>
          <t>IC Organic Acids</t>
        </is>
      </c>
      <c r="EG137" s="20" t="inlineStr">
        <is>
          <t>None</t>
        </is>
      </c>
      <c r="EH137" s="17" t="n"/>
      <c r="EI137" s="16" t="n"/>
      <c r="EJ137" s="20" t="inlineStr">
        <is>
          <t>IC Organic Acids</t>
        </is>
      </c>
      <c r="EK137" s="20" t="inlineStr">
        <is>
          <t>None</t>
        </is>
      </c>
      <c r="EL137" s="17" t="n"/>
      <c r="EM137" s="16" t="n"/>
      <c r="EN137" s="20" t="inlineStr">
        <is>
          <t>IC Organic Acids</t>
        </is>
      </c>
      <c r="EO137" s="20" t="inlineStr">
        <is>
          <t>None</t>
        </is>
      </c>
      <c r="EP137" s="17" t="n"/>
      <c r="EQ137" s="16" t="n"/>
      <c r="ER137" s="20" t="inlineStr">
        <is>
          <t>IC Organic Acids</t>
        </is>
      </c>
      <c r="ES137" s="20" t="inlineStr">
        <is>
          <t>None</t>
        </is>
      </c>
      <c r="ET137" s="17" t="n"/>
      <c r="EU137" s="16" t="n"/>
      <c r="EV137" s="20" t="inlineStr">
        <is>
          <t>LC-MS</t>
        </is>
      </c>
      <c r="EW137" s="20" t="inlineStr">
        <is>
          <t>None</t>
        </is>
      </c>
      <c r="EX137" s="17" t="n"/>
      <c r="EY137" s="21" t="n"/>
      <c r="EZ137">
        <f>CONCATENATE(A137,B137)</f>
        <v/>
      </c>
      <c r="FA137">
        <f>CONCATENATE(SamplesX!A137,SamplesX!B137)</f>
        <v/>
      </c>
      <c r="FC137">
        <f>MATCH(EZ137,FA1:FA1008,0)</f>
        <v/>
      </c>
    </row>
    <row r="138">
      <c r="A138" s="16" t="inlineStr">
        <is>
          <t>BP</t>
        </is>
      </c>
      <c r="B138" s="17" t="inlineStr">
        <is>
          <t>25130</t>
        </is>
      </c>
      <c r="C138" s="10">
        <f>IF(ISNUMBER(FC138),INDIRECT("SamplesX!C"&amp;FC138),IF(ISNUMBER(FD138),INDIRECT("SamplesY!C"&amp;FD138),""))</f>
        <v/>
      </c>
      <c r="D138" s="12">
        <f>IF(ISNUMBER(FC138),INDIRECT("SamplesX!D"&amp;FC138),IF(ISNUMBER(FD138),INDIRECT("SamplesY!D"&amp;FD138),""))</f>
        <v/>
      </c>
      <c r="E138" s="12">
        <f>IF(ISNUMBER(FC138),INDIRECT("SamplesX!E"&amp;FC138),IF(ISNUMBER(FD138),INDIRECT("SamplesY!E"&amp;FD138),""))</f>
        <v/>
      </c>
      <c r="F138" s="11">
        <f>IF(ISNUMBER(FC138),INDIRECT("SamplesX!F"&amp;FC138),IF(ISNUMBER(FD138),INDIRECT("SamplesY!F"&amp;FD138),""))</f>
        <v/>
      </c>
      <c r="G138" s="18">
        <f>IF(ISNUMBER(FC138),INDIRECT("SamplesX!G"&amp;FC138),IF(ISNUMBER(FD138),INDIRECT("SamplesY!G"&amp;FD138),""))</f>
        <v/>
      </c>
      <c r="H138" s="19">
        <f>IF(ISNUMBER(FC138),INDIRECT("SamplesX!H"&amp;FC138),IF(ISNUMBER(FD138),INDIRECT("SamplesY!H"&amp;FD138),""))</f>
        <v/>
      </c>
      <c r="I138" s="16" t="n"/>
      <c r="J138" s="16" t="n"/>
      <c r="K138" s="16" t="n"/>
      <c r="L138" s="20" t="n"/>
      <c r="M138" s="20" t="inlineStr">
        <is>
          <t>None</t>
        </is>
      </c>
      <c r="N138" s="17" t="n"/>
      <c r="O138" s="16" t="n"/>
      <c r="P138" s="20" t="inlineStr">
        <is>
          <t>Shimadzu TOC-L</t>
        </is>
      </c>
      <c r="Q138" s="20" t="inlineStr">
        <is>
          <t>None</t>
        </is>
      </c>
      <c r="R138" s="17" t="n"/>
      <c r="S138" s="16" t="n"/>
      <c r="T138" s="20" t="inlineStr">
        <is>
          <t>Shimadzu TOC-L</t>
        </is>
      </c>
      <c r="U138" s="20" t="inlineStr">
        <is>
          <t>None</t>
        </is>
      </c>
      <c r="V138" s="17" t="n"/>
      <c r="W138" s="16" t="n"/>
      <c r="X138" s="20" t="n"/>
      <c r="Y138" s="20" t="inlineStr">
        <is>
          <t>None</t>
        </is>
      </c>
      <c r="Z138" s="17" t="n"/>
      <c r="AA138" s="16" t="n"/>
      <c r="AB138" s="20" t="n"/>
      <c r="AC138" s="20" t="inlineStr">
        <is>
          <t>None</t>
        </is>
      </c>
      <c r="AD138" s="17" t="n"/>
      <c r="AE138" s="16" t="inlineStr">
        <is>
          <t>401</t>
        </is>
      </c>
      <c r="AF138" s="20" t="inlineStr">
        <is>
          <t>IC Anionen</t>
        </is>
      </c>
      <c r="AG138" s="20" t="inlineStr">
        <is>
          <t>None</t>
        </is>
      </c>
      <c r="AH138" s="17" t="n"/>
      <c r="AI138" s="16" t="n"/>
      <c r="AJ138" s="20" t="n"/>
      <c r="AK138" s="20" t="inlineStr">
        <is>
          <t>None</t>
        </is>
      </c>
      <c r="AL138" s="17" t="n"/>
      <c r="AM138" s="16" t="n"/>
      <c r="AN138" s="20" t="inlineStr">
        <is>
          <t>IC Anionen</t>
        </is>
      </c>
      <c r="AO138" s="20" t="inlineStr">
        <is>
          <t>None</t>
        </is>
      </c>
      <c r="AP138" s="17" t="n"/>
      <c r="AQ138" s="16" t="n"/>
      <c r="AR138" s="20" t="n"/>
      <c r="AS138" s="20" t="inlineStr">
        <is>
          <t>None</t>
        </is>
      </c>
      <c r="AT138" s="17" t="n"/>
      <c r="AU138" s="16" t="inlineStr">
        <is>
          <t>&lt;0.13</t>
        </is>
      </c>
      <c r="AV138" s="20" t="inlineStr">
        <is>
          <t>IC Anionen</t>
        </is>
      </c>
      <c r="AW138" s="20" t="inlineStr">
        <is>
          <t>None</t>
        </is>
      </c>
      <c r="AX138" s="17" t="n"/>
      <c r="AY138" s="16" t="inlineStr">
        <is>
          <t>1.27</t>
        </is>
      </c>
      <c r="AZ138" s="20" t="inlineStr">
        <is>
          <t>IC Anionen</t>
        </is>
      </c>
      <c r="BA138" s="20" t="inlineStr">
        <is>
          <t>None</t>
        </is>
      </c>
      <c r="BB138" s="17" t="n"/>
      <c r="BC138" s="16" t="inlineStr">
        <is>
          <t>106</t>
        </is>
      </c>
      <c r="BD138" s="20" t="inlineStr">
        <is>
          <t>IC Kationen</t>
        </is>
      </c>
      <c r="BE138" s="20" t="inlineStr">
        <is>
          <t>None</t>
        </is>
      </c>
      <c r="BF138" s="17" t="n"/>
      <c r="BG138" s="16" t="inlineStr">
        <is>
          <t>&lt;1.60</t>
        </is>
      </c>
      <c r="BH138" s="20" t="inlineStr">
        <is>
          <t>IC Kationen</t>
        </is>
      </c>
      <c r="BI138" s="20" t="inlineStr">
        <is>
          <t>None</t>
        </is>
      </c>
      <c r="BJ138" s="17" t="n"/>
      <c r="BK138" s="16" t="inlineStr">
        <is>
          <t>15.1</t>
        </is>
      </c>
      <c r="BL138" s="20" t="inlineStr">
        <is>
          <t>IC Kationen</t>
        </is>
      </c>
      <c r="BM138" s="20" t="inlineStr">
        <is>
          <t>None</t>
        </is>
      </c>
      <c r="BN138" s="17" t="n"/>
      <c r="BO138" s="16" t="inlineStr">
        <is>
          <t>204</t>
        </is>
      </c>
      <c r="BP138" s="20" t="inlineStr">
        <is>
          <t>IC Kationen</t>
        </is>
      </c>
      <c r="BQ138" s="20" t="inlineStr">
        <is>
          <t>None</t>
        </is>
      </c>
      <c r="BR138" s="17" t="n"/>
      <c r="BS138" s="16" t="inlineStr">
        <is>
          <t>29.1</t>
        </is>
      </c>
      <c r="BT138" s="20" t="inlineStr">
        <is>
          <t>IC Kationen</t>
        </is>
      </c>
      <c r="BU138" s="20" t="inlineStr">
        <is>
          <t>None</t>
        </is>
      </c>
      <c r="BV138" s="17" t="n"/>
      <c r="BW138" s="16" t="n"/>
      <c r="BX138" s="20" t="n"/>
      <c r="BY138" s="20" t="inlineStr">
        <is>
          <t>None</t>
        </is>
      </c>
      <c r="BZ138" s="17" t="n"/>
      <c r="CA138" s="16" t="n"/>
      <c r="CB138" s="20" t="n"/>
      <c r="CC138" s="20" t="inlineStr">
        <is>
          <t>None</t>
        </is>
      </c>
      <c r="CD138" s="17" t="n"/>
      <c r="CE138" s="16" t="n"/>
      <c r="CF138" s="20" t="n"/>
      <c r="CG138" s="20" t="inlineStr">
        <is>
          <t>None</t>
        </is>
      </c>
      <c r="CH138" s="17" t="n"/>
      <c r="CI138" s="16" t="n"/>
      <c r="CJ138" s="20" t="n"/>
      <c r="CK138" s="20" t="inlineStr">
        <is>
          <t>None</t>
        </is>
      </c>
      <c r="CL138" s="17" t="n"/>
      <c r="CM138" s="16" t="n"/>
      <c r="CN138" s="20" t="inlineStr">
        <is>
          <t>SOP 45-34</t>
        </is>
      </c>
      <c r="CO138" s="20" t="inlineStr">
        <is>
          <t>None</t>
        </is>
      </c>
      <c r="CP138" s="17" t="n"/>
      <c r="CQ138" s="16" t="n"/>
      <c r="CR138" s="20" t="n"/>
      <c r="CS138" s="20" t="inlineStr">
        <is>
          <t>None</t>
        </is>
      </c>
      <c r="CT138" s="17" t="n"/>
      <c r="CU138" s="16" t="n"/>
      <c r="CV138" s="20" t="n"/>
      <c r="CW138" s="20" t="inlineStr">
        <is>
          <t>None</t>
        </is>
      </c>
      <c r="CX138" s="17" t="n"/>
      <c r="CY138" s="16" t="n"/>
      <c r="CZ138" s="20" t="inlineStr">
        <is>
          <t>WTW Multimeter 3430 with FDO 925</t>
        </is>
      </c>
      <c r="DA138" s="20" t="inlineStr">
        <is>
          <t>None</t>
        </is>
      </c>
      <c r="DB138" s="17" t="n"/>
      <c r="DC138" s="16" t="n"/>
      <c r="DD138" s="20" t="n"/>
      <c r="DE138" s="20" t="inlineStr">
        <is>
          <t>None</t>
        </is>
      </c>
      <c r="DF138" s="17" t="n"/>
      <c r="DG138" s="16" t="n"/>
      <c r="DH138" s="20" t="inlineStr">
        <is>
          <t>SOP 45-09</t>
        </is>
      </c>
      <c r="DI138" s="20" t="inlineStr">
        <is>
          <t>None</t>
        </is>
      </c>
      <c r="DJ138" s="17" t="n"/>
      <c r="DK138" s="16" t="n"/>
      <c r="DL138" s="20" t="inlineStr">
        <is>
          <t>SOP 45-09 (SOP muss noch angepasst werden für VSS)</t>
        </is>
      </c>
      <c r="DM138" s="20" t="inlineStr">
        <is>
          <t>None</t>
        </is>
      </c>
      <c r="DN138" s="17" t="n"/>
      <c r="DO138" s="16" t="n"/>
      <c r="DP138" s="20" t="inlineStr">
        <is>
          <t>IC Organic Acids</t>
        </is>
      </c>
      <c r="DQ138" s="20" t="inlineStr">
        <is>
          <t>None</t>
        </is>
      </c>
      <c r="DR138" s="17" t="n"/>
      <c r="DS138" s="16" t="n"/>
      <c r="DT138" s="20" t="inlineStr">
        <is>
          <t>IC Organic Acids</t>
        </is>
      </c>
      <c r="DU138" s="20" t="inlineStr">
        <is>
          <t>None</t>
        </is>
      </c>
      <c r="DV138" s="17" t="n"/>
      <c r="DW138" s="16" t="n"/>
      <c r="DX138" s="20" t="inlineStr">
        <is>
          <t>IC Organic Acids</t>
        </is>
      </c>
      <c r="DY138" s="20" t="inlineStr">
        <is>
          <t>None</t>
        </is>
      </c>
      <c r="DZ138" s="17" t="n"/>
      <c r="EA138" s="16" t="n"/>
      <c r="EB138" s="20" t="inlineStr">
        <is>
          <t>IC Organic Acids</t>
        </is>
      </c>
      <c r="EC138" s="20" t="inlineStr">
        <is>
          <t>None</t>
        </is>
      </c>
      <c r="ED138" s="17" t="n"/>
      <c r="EE138" s="16" t="n"/>
      <c r="EF138" s="20" t="inlineStr">
        <is>
          <t>IC Organic Acids</t>
        </is>
      </c>
      <c r="EG138" s="20" t="inlineStr">
        <is>
          <t>None</t>
        </is>
      </c>
      <c r="EH138" s="17" t="n"/>
      <c r="EI138" s="16" t="n"/>
      <c r="EJ138" s="20" t="inlineStr">
        <is>
          <t>IC Organic Acids</t>
        </is>
      </c>
      <c r="EK138" s="20" t="inlineStr">
        <is>
          <t>None</t>
        </is>
      </c>
      <c r="EL138" s="17" t="n"/>
      <c r="EM138" s="16" t="n"/>
      <c r="EN138" s="20" t="inlineStr">
        <is>
          <t>IC Organic Acids</t>
        </is>
      </c>
      <c r="EO138" s="20" t="inlineStr">
        <is>
          <t>None</t>
        </is>
      </c>
      <c r="EP138" s="17" t="n"/>
      <c r="EQ138" s="16" t="n"/>
      <c r="ER138" s="20" t="inlineStr">
        <is>
          <t>IC Organic Acids</t>
        </is>
      </c>
      <c r="ES138" s="20" t="inlineStr">
        <is>
          <t>None</t>
        </is>
      </c>
      <c r="ET138" s="17" t="n"/>
      <c r="EU138" s="16" t="n"/>
      <c r="EV138" s="20" t="inlineStr">
        <is>
          <t>LC-MS</t>
        </is>
      </c>
      <c r="EW138" s="20" t="inlineStr">
        <is>
          <t>None</t>
        </is>
      </c>
      <c r="EX138" s="17" t="n"/>
      <c r="EY138" s="21" t="n"/>
      <c r="EZ138">
        <f>CONCATENATE(A138,B138)</f>
        <v/>
      </c>
      <c r="FA138">
        <f>CONCATENATE(SamplesX!A138,SamplesX!B138)</f>
        <v/>
      </c>
      <c r="FC138">
        <f>MATCH(EZ138,FA1:FA1008,0)</f>
        <v/>
      </c>
    </row>
    <row r="139">
      <c r="A139" s="16" t="inlineStr">
        <is>
          <t>BP</t>
        </is>
      </c>
      <c r="B139" s="17" t="inlineStr">
        <is>
          <t>25131</t>
        </is>
      </c>
      <c r="C139" s="10">
        <f>IF(ISNUMBER(FC139),INDIRECT("SamplesX!C"&amp;FC139),IF(ISNUMBER(FD139),INDIRECT("SamplesY!C"&amp;FD139),""))</f>
        <v/>
      </c>
      <c r="D139" s="12">
        <f>IF(ISNUMBER(FC139),INDIRECT("SamplesX!D"&amp;FC139),IF(ISNUMBER(FD139),INDIRECT("SamplesY!D"&amp;FD139),""))</f>
        <v/>
      </c>
      <c r="E139" s="12">
        <f>IF(ISNUMBER(FC139),INDIRECT("SamplesX!E"&amp;FC139),IF(ISNUMBER(FD139),INDIRECT("SamplesY!E"&amp;FD139),""))</f>
        <v/>
      </c>
      <c r="F139" s="11">
        <f>IF(ISNUMBER(FC139),INDIRECT("SamplesX!F"&amp;FC139),IF(ISNUMBER(FD139),INDIRECT("SamplesY!F"&amp;FD139),""))</f>
        <v/>
      </c>
      <c r="G139" s="18">
        <f>IF(ISNUMBER(FC139),INDIRECT("SamplesX!G"&amp;FC139),IF(ISNUMBER(FD139),INDIRECT("SamplesY!G"&amp;FD139),""))</f>
        <v/>
      </c>
      <c r="H139" s="19">
        <f>IF(ISNUMBER(FC139),INDIRECT("SamplesX!H"&amp;FC139),IF(ISNUMBER(FD139),INDIRECT("SamplesY!H"&amp;FD139),""))</f>
        <v/>
      </c>
      <c r="I139" s="16" t="n"/>
      <c r="J139" s="16" t="n"/>
      <c r="K139" s="16" t="n"/>
      <c r="L139" s="20" t="n"/>
      <c r="M139" s="20" t="inlineStr">
        <is>
          <t>None</t>
        </is>
      </c>
      <c r="N139" s="17" t="n"/>
      <c r="O139" s="16" t="n"/>
      <c r="P139" s="20" t="inlineStr">
        <is>
          <t>Shimadzu TOC-L</t>
        </is>
      </c>
      <c r="Q139" s="20" t="inlineStr">
        <is>
          <t>None</t>
        </is>
      </c>
      <c r="R139" s="17" t="n"/>
      <c r="S139" s="16" t="n"/>
      <c r="T139" s="20" t="inlineStr">
        <is>
          <t>Shimadzu TOC-L</t>
        </is>
      </c>
      <c r="U139" s="20" t="inlineStr">
        <is>
          <t>None</t>
        </is>
      </c>
      <c r="V139" s="17" t="n"/>
      <c r="W139" s="16" t="n"/>
      <c r="X139" s="20" t="n"/>
      <c r="Y139" s="20" t="inlineStr">
        <is>
          <t>None</t>
        </is>
      </c>
      <c r="Z139" s="17" t="n"/>
      <c r="AA139" s="16" t="n"/>
      <c r="AB139" s="20" t="n"/>
      <c r="AC139" s="20" t="inlineStr">
        <is>
          <t>None</t>
        </is>
      </c>
      <c r="AD139" s="17" t="n"/>
      <c r="AE139" s="16" t="inlineStr">
        <is>
          <t>178</t>
        </is>
      </c>
      <c r="AF139" s="20" t="inlineStr">
        <is>
          <t>IC Anionen</t>
        </is>
      </c>
      <c r="AG139" s="20" t="inlineStr">
        <is>
          <t>None</t>
        </is>
      </c>
      <c r="AH139" s="17" t="n"/>
      <c r="AI139" s="16" t="n"/>
      <c r="AJ139" s="20" t="n"/>
      <c r="AK139" s="20" t="inlineStr">
        <is>
          <t>None</t>
        </is>
      </c>
      <c r="AL139" s="17" t="n"/>
      <c r="AM139" s="16" t="n"/>
      <c r="AN139" s="20" t="inlineStr">
        <is>
          <t>IC Anionen</t>
        </is>
      </c>
      <c r="AO139" s="20" t="inlineStr">
        <is>
          <t>None</t>
        </is>
      </c>
      <c r="AP139" s="17" t="n"/>
      <c r="AQ139" s="16" t="n"/>
      <c r="AR139" s="20" t="n"/>
      <c r="AS139" s="20" t="inlineStr">
        <is>
          <t>None</t>
        </is>
      </c>
      <c r="AT139" s="17" t="n"/>
      <c r="AU139" s="16" t="inlineStr">
        <is>
          <t>1.42</t>
        </is>
      </c>
      <c r="AV139" s="20" t="inlineStr">
        <is>
          <t>IC Anionen</t>
        </is>
      </c>
      <c r="AW139" s="20" t="inlineStr">
        <is>
          <t>None</t>
        </is>
      </c>
      <c r="AX139" s="17" t="n"/>
      <c r="AY139" s="16" t="inlineStr">
        <is>
          <t>10.2</t>
        </is>
      </c>
      <c r="AZ139" s="20" t="inlineStr">
        <is>
          <t>IC Anionen</t>
        </is>
      </c>
      <c r="BA139" s="20" t="inlineStr">
        <is>
          <t>None</t>
        </is>
      </c>
      <c r="BB139" s="17" t="n"/>
      <c r="BC139" s="16" t="inlineStr">
        <is>
          <t>118</t>
        </is>
      </c>
      <c r="BD139" s="20" t="inlineStr">
        <is>
          <t>IC Kationen</t>
        </is>
      </c>
      <c r="BE139" s="20" t="inlineStr">
        <is>
          <t>None</t>
        </is>
      </c>
      <c r="BF139" s="17" t="n"/>
      <c r="BG139" s="16" t="inlineStr">
        <is>
          <t>&lt;1.60</t>
        </is>
      </c>
      <c r="BH139" s="20" t="inlineStr">
        <is>
          <t>IC Kationen</t>
        </is>
      </c>
      <c r="BI139" s="20" t="inlineStr">
        <is>
          <t>None</t>
        </is>
      </c>
      <c r="BJ139" s="17" t="n"/>
      <c r="BK139" s="16" t="inlineStr">
        <is>
          <t>13.1</t>
        </is>
      </c>
      <c r="BL139" s="20" t="inlineStr">
        <is>
          <t>IC Kationen</t>
        </is>
      </c>
      <c r="BM139" s="20" t="inlineStr">
        <is>
          <t>None</t>
        </is>
      </c>
      <c r="BN139" s="17" t="n"/>
      <c r="BO139" s="16" t="inlineStr">
        <is>
          <t>247</t>
        </is>
      </c>
      <c r="BP139" s="20" t="inlineStr">
        <is>
          <t>IC Kationen</t>
        </is>
      </c>
      <c r="BQ139" s="20" t="inlineStr">
        <is>
          <t>None</t>
        </is>
      </c>
      <c r="BR139" s="17" t="n"/>
      <c r="BS139" s="16" t="inlineStr">
        <is>
          <t>29.6</t>
        </is>
      </c>
      <c r="BT139" s="20" t="inlineStr">
        <is>
          <t>IC Kationen</t>
        </is>
      </c>
      <c r="BU139" s="20" t="inlineStr">
        <is>
          <t>None</t>
        </is>
      </c>
      <c r="BV139" s="17" t="n"/>
      <c r="BW139" s="16" t="n"/>
      <c r="BX139" s="20" t="n"/>
      <c r="BY139" s="20" t="inlineStr">
        <is>
          <t>None</t>
        </is>
      </c>
      <c r="BZ139" s="17" t="n"/>
      <c r="CA139" s="16" t="n"/>
      <c r="CB139" s="20" t="n"/>
      <c r="CC139" s="20" t="inlineStr">
        <is>
          <t>None</t>
        </is>
      </c>
      <c r="CD139" s="17" t="n"/>
      <c r="CE139" s="16" t="n"/>
      <c r="CF139" s="20" t="n"/>
      <c r="CG139" s="20" t="inlineStr">
        <is>
          <t>None</t>
        </is>
      </c>
      <c r="CH139" s="17" t="n"/>
      <c r="CI139" s="16" t="n"/>
      <c r="CJ139" s="20" t="n"/>
      <c r="CK139" s="20" t="inlineStr">
        <is>
          <t>None</t>
        </is>
      </c>
      <c r="CL139" s="17" t="n"/>
      <c r="CM139" s="16" t="n"/>
      <c r="CN139" s="20" t="inlineStr">
        <is>
          <t>SOP 45-34</t>
        </is>
      </c>
      <c r="CO139" s="20" t="inlineStr">
        <is>
          <t>None</t>
        </is>
      </c>
      <c r="CP139" s="17" t="n"/>
      <c r="CQ139" s="16" t="n"/>
      <c r="CR139" s="20" t="n"/>
      <c r="CS139" s="20" t="inlineStr">
        <is>
          <t>None</t>
        </is>
      </c>
      <c r="CT139" s="17" t="n"/>
      <c r="CU139" s="16" t="n"/>
      <c r="CV139" s="20" t="n"/>
      <c r="CW139" s="20" t="inlineStr">
        <is>
          <t>None</t>
        </is>
      </c>
      <c r="CX139" s="17" t="n"/>
      <c r="CY139" s="16" t="n"/>
      <c r="CZ139" s="20" t="inlineStr">
        <is>
          <t>WTW Multimeter 3430 with FDO 925</t>
        </is>
      </c>
      <c r="DA139" s="20" t="inlineStr">
        <is>
          <t>None</t>
        </is>
      </c>
      <c r="DB139" s="17" t="n"/>
      <c r="DC139" s="16" t="n"/>
      <c r="DD139" s="20" t="n"/>
      <c r="DE139" s="20" t="inlineStr">
        <is>
          <t>None</t>
        </is>
      </c>
      <c r="DF139" s="17" t="n"/>
      <c r="DG139" s="16" t="n"/>
      <c r="DH139" s="20" t="inlineStr">
        <is>
          <t>SOP 45-09</t>
        </is>
      </c>
      <c r="DI139" s="20" t="inlineStr">
        <is>
          <t>None</t>
        </is>
      </c>
      <c r="DJ139" s="17" t="n"/>
      <c r="DK139" s="16" t="n"/>
      <c r="DL139" s="20" t="inlineStr">
        <is>
          <t>SOP 45-09 (SOP muss noch angepasst werden für VSS)</t>
        </is>
      </c>
      <c r="DM139" s="20" t="inlineStr">
        <is>
          <t>None</t>
        </is>
      </c>
      <c r="DN139" s="17" t="n"/>
      <c r="DO139" s="16" t="n"/>
      <c r="DP139" s="20" t="inlineStr">
        <is>
          <t>IC Organic Acids</t>
        </is>
      </c>
      <c r="DQ139" s="20" t="inlineStr">
        <is>
          <t>None</t>
        </is>
      </c>
      <c r="DR139" s="17" t="n"/>
      <c r="DS139" s="16" t="n"/>
      <c r="DT139" s="20" t="inlineStr">
        <is>
          <t>IC Organic Acids</t>
        </is>
      </c>
      <c r="DU139" s="20" t="inlineStr">
        <is>
          <t>None</t>
        </is>
      </c>
      <c r="DV139" s="17" t="n"/>
      <c r="DW139" s="16" t="n"/>
      <c r="DX139" s="20" t="inlineStr">
        <is>
          <t>IC Organic Acids</t>
        </is>
      </c>
      <c r="DY139" s="20" t="inlineStr">
        <is>
          <t>None</t>
        </is>
      </c>
      <c r="DZ139" s="17" t="n"/>
      <c r="EA139" s="16" t="n"/>
      <c r="EB139" s="20" t="inlineStr">
        <is>
          <t>IC Organic Acids</t>
        </is>
      </c>
      <c r="EC139" s="20" t="inlineStr">
        <is>
          <t>None</t>
        </is>
      </c>
      <c r="ED139" s="17" t="n"/>
      <c r="EE139" s="16" t="n"/>
      <c r="EF139" s="20" t="inlineStr">
        <is>
          <t>IC Organic Acids</t>
        </is>
      </c>
      <c r="EG139" s="20" t="inlineStr">
        <is>
          <t>None</t>
        </is>
      </c>
      <c r="EH139" s="17" t="n"/>
      <c r="EI139" s="16" t="n"/>
      <c r="EJ139" s="20" t="inlineStr">
        <is>
          <t>IC Organic Acids</t>
        </is>
      </c>
      <c r="EK139" s="20" t="inlineStr">
        <is>
          <t>None</t>
        </is>
      </c>
      <c r="EL139" s="17" t="n"/>
      <c r="EM139" s="16" t="n"/>
      <c r="EN139" s="20" t="inlineStr">
        <is>
          <t>IC Organic Acids</t>
        </is>
      </c>
      <c r="EO139" s="20" t="inlineStr">
        <is>
          <t>None</t>
        </is>
      </c>
      <c r="EP139" s="17" t="n"/>
      <c r="EQ139" s="16" t="n"/>
      <c r="ER139" s="20" t="inlineStr">
        <is>
          <t>IC Organic Acids</t>
        </is>
      </c>
      <c r="ES139" s="20" t="inlineStr">
        <is>
          <t>None</t>
        </is>
      </c>
      <c r="ET139" s="17" t="n"/>
      <c r="EU139" s="16" t="n"/>
      <c r="EV139" s="20" t="inlineStr">
        <is>
          <t>LC-MS</t>
        </is>
      </c>
      <c r="EW139" s="20" t="inlineStr">
        <is>
          <t>None</t>
        </is>
      </c>
      <c r="EX139" s="17" t="n"/>
      <c r="EY139" s="21" t="n"/>
      <c r="EZ139">
        <f>CONCATENATE(A139,B139)</f>
        <v/>
      </c>
      <c r="FA139">
        <f>CONCATENATE(SamplesX!A139,SamplesX!B139)</f>
        <v/>
      </c>
      <c r="FC139">
        <f>MATCH(EZ139,FA1:FA1008,0)</f>
        <v/>
      </c>
    </row>
    <row r="140">
      <c r="A140" s="16" t="inlineStr">
        <is>
          <t>BP</t>
        </is>
      </c>
      <c r="B140" s="17" t="inlineStr">
        <is>
          <t>25132</t>
        </is>
      </c>
      <c r="C140" s="10">
        <f>IF(ISNUMBER(FC140),INDIRECT("SamplesX!C"&amp;FC140),IF(ISNUMBER(FD140),INDIRECT("SamplesY!C"&amp;FD140),""))</f>
        <v/>
      </c>
      <c r="D140" s="12">
        <f>IF(ISNUMBER(FC140),INDIRECT("SamplesX!D"&amp;FC140),IF(ISNUMBER(FD140),INDIRECT("SamplesY!D"&amp;FD140),""))</f>
        <v/>
      </c>
      <c r="E140" s="12">
        <f>IF(ISNUMBER(FC140),INDIRECT("SamplesX!E"&amp;FC140),IF(ISNUMBER(FD140),INDIRECT("SamplesY!E"&amp;FD140),""))</f>
        <v/>
      </c>
      <c r="F140" s="11">
        <f>IF(ISNUMBER(FC140),INDIRECT("SamplesX!F"&amp;FC140),IF(ISNUMBER(FD140),INDIRECT("SamplesY!F"&amp;FD140),""))</f>
        <v/>
      </c>
      <c r="G140" s="18">
        <f>IF(ISNUMBER(FC140),INDIRECT("SamplesX!G"&amp;FC140),IF(ISNUMBER(FD140),INDIRECT("SamplesY!G"&amp;FD140),""))</f>
        <v/>
      </c>
      <c r="H140" s="19">
        <f>IF(ISNUMBER(FC140),INDIRECT("SamplesX!H"&amp;FC140),IF(ISNUMBER(FD140),INDIRECT("SamplesY!H"&amp;FD140),""))</f>
        <v/>
      </c>
      <c r="I140" s="16" t="n"/>
      <c r="J140" s="16" t="n"/>
      <c r="K140" s="16" t="n"/>
      <c r="L140" s="20" t="n"/>
      <c r="M140" s="20" t="inlineStr">
        <is>
          <t>None</t>
        </is>
      </c>
      <c r="N140" s="17" t="n"/>
      <c r="O140" s="16" t="n"/>
      <c r="P140" s="20" t="inlineStr">
        <is>
          <t>Shimadzu TOC-L</t>
        </is>
      </c>
      <c r="Q140" s="20" t="inlineStr">
        <is>
          <t>None</t>
        </is>
      </c>
      <c r="R140" s="17" t="n"/>
      <c r="S140" s="16" t="n"/>
      <c r="T140" s="20" t="inlineStr">
        <is>
          <t>Shimadzu TOC-L</t>
        </is>
      </c>
      <c r="U140" s="20" t="inlineStr">
        <is>
          <t>None</t>
        </is>
      </c>
      <c r="V140" s="17" t="n"/>
      <c r="W140" s="16" t="n"/>
      <c r="X140" s="20" t="n"/>
      <c r="Y140" s="20" t="inlineStr">
        <is>
          <t>None</t>
        </is>
      </c>
      <c r="Z140" s="17" t="n"/>
      <c r="AA140" s="16" t="n"/>
      <c r="AB140" s="20" t="n"/>
      <c r="AC140" s="20" t="inlineStr">
        <is>
          <t>None</t>
        </is>
      </c>
      <c r="AD140" s="17" t="n"/>
      <c r="AE140" s="16" t="inlineStr">
        <is>
          <t>232</t>
        </is>
      </c>
      <c r="AF140" s="20" t="inlineStr">
        <is>
          <t>IC Anionen</t>
        </is>
      </c>
      <c r="AG140" s="20" t="inlineStr">
        <is>
          <t>None</t>
        </is>
      </c>
      <c r="AH140" s="17" t="n"/>
      <c r="AI140" s="16" t="n"/>
      <c r="AJ140" s="20" t="n"/>
      <c r="AK140" s="20" t="inlineStr">
        <is>
          <t>None</t>
        </is>
      </c>
      <c r="AL140" s="17" t="n"/>
      <c r="AM140" s="16" t="n"/>
      <c r="AN140" s="20" t="inlineStr">
        <is>
          <t>IC Anionen</t>
        </is>
      </c>
      <c r="AO140" s="20" t="inlineStr">
        <is>
          <t>None</t>
        </is>
      </c>
      <c r="AP140" s="17" t="n"/>
      <c r="AQ140" s="16" t="n"/>
      <c r="AR140" s="20" t="n"/>
      <c r="AS140" s="20" t="inlineStr">
        <is>
          <t>None</t>
        </is>
      </c>
      <c r="AT140" s="17" t="n"/>
      <c r="AU140" s="16" t="inlineStr">
        <is>
          <t>20.7</t>
        </is>
      </c>
      <c r="AV140" s="20" t="inlineStr">
        <is>
          <t>IC Anionen</t>
        </is>
      </c>
      <c r="AW140" s="20" t="inlineStr">
        <is>
          <t>None</t>
        </is>
      </c>
      <c r="AX140" s="17" t="n"/>
      <c r="AY140" s="16" t="inlineStr">
        <is>
          <t>1.40</t>
        </is>
      </c>
      <c r="AZ140" s="20" t="inlineStr">
        <is>
          <t>IC Anionen</t>
        </is>
      </c>
      <c r="BA140" s="20" t="inlineStr">
        <is>
          <t>None</t>
        </is>
      </c>
      <c r="BB140" s="17" t="n"/>
      <c r="BC140" s="16" t="inlineStr">
        <is>
          <t>137</t>
        </is>
      </c>
      <c r="BD140" s="20" t="inlineStr">
        <is>
          <t>IC Kationen</t>
        </is>
      </c>
      <c r="BE140" s="20" t="inlineStr">
        <is>
          <t>None</t>
        </is>
      </c>
      <c r="BF140" s="17" t="n"/>
      <c r="BG140" s="16" t="inlineStr">
        <is>
          <t>20.5</t>
        </is>
      </c>
      <c r="BH140" s="20" t="inlineStr">
        <is>
          <t>IC Kationen</t>
        </is>
      </c>
      <c r="BI140" s="20" t="inlineStr">
        <is>
          <t>None</t>
        </is>
      </c>
      <c r="BJ140" s="17" t="n"/>
      <c r="BK140" s="16" t="inlineStr">
        <is>
          <t>19.3</t>
        </is>
      </c>
      <c r="BL140" s="20" t="inlineStr">
        <is>
          <t>IC Kationen</t>
        </is>
      </c>
      <c r="BM140" s="20" t="inlineStr">
        <is>
          <t>None</t>
        </is>
      </c>
      <c r="BN140" s="17" t="n"/>
      <c r="BO140" s="16" t="inlineStr">
        <is>
          <t>303</t>
        </is>
      </c>
      <c r="BP140" s="20" t="inlineStr">
        <is>
          <t>IC Kationen</t>
        </is>
      </c>
      <c r="BQ140" s="20" t="inlineStr">
        <is>
          <t>None</t>
        </is>
      </c>
      <c r="BR140" s="17" t="n"/>
      <c r="BS140" s="16" t="inlineStr">
        <is>
          <t>35.5</t>
        </is>
      </c>
      <c r="BT140" s="20" t="inlineStr">
        <is>
          <t>IC Kationen</t>
        </is>
      </c>
      <c r="BU140" s="20" t="inlineStr">
        <is>
          <t>None</t>
        </is>
      </c>
      <c r="BV140" s="17" t="n"/>
      <c r="BW140" s="16" t="n"/>
      <c r="BX140" s="20" t="n"/>
      <c r="BY140" s="20" t="inlineStr">
        <is>
          <t>None</t>
        </is>
      </c>
      <c r="BZ140" s="17" t="n"/>
      <c r="CA140" s="16" t="n"/>
      <c r="CB140" s="20" t="n"/>
      <c r="CC140" s="20" t="inlineStr">
        <is>
          <t>None</t>
        </is>
      </c>
      <c r="CD140" s="17" t="n"/>
      <c r="CE140" s="16" t="n"/>
      <c r="CF140" s="20" t="n"/>
      <c r="CG140" s="20" t="inlineStr">
        <is>
          <t>None</t>
        </is>
      </c>
      <c r="CH140" s="17" t="n"/>
      <c r="CI140" s="16" t="n"/>
      <c r="CJ140" s="20" t="n"/>
      <c r="CK140" s="20" t="inlineStr">
        <is>
          <t>None</t>
        </is>
      </c>
      <c r="CL140" s="17" t="n"/>
      <c r="CM140" s="16" t="n"/>
      <c r="CN140" s="20" t="inlineStr">
        <is>
          <t>SOP 45-34</t>
        </is>
      </c>
      <c r="CO140" s="20" t="inlineStr">
        <is>
          <t>None</t>
        </is>
      </c>
      <c r="CP140" s="17" t="n"/>
      <c r="CQ140" s="16" t="n"/>
      <c r="CR140" s="20" t="n"/>
      <c r="CS140" s="20" t="inlineStr">
        <is>
          <t>None</t>
        </is>
      </c>
      <c r="CT140" s="17" t="n"/>
      <c r="CU140" s="16" t="n"/>
      <c r="CV140" s="20" t="n"/>
      <c r="CW140" s="20" t="inlineStr">
        <is>
          <t>None</t>
        </is>
      </c>
      <c r="CX140" s="17" t="n"/>
      <c r="CY140" s="16" t="n"/>
      <c r="CZ140" s="20" t="inlineStr">
        <is>
          <t>WTW Multimeter 3430 with FDO 925</t>
        </is>
      </c>
      <c r="DA140" s="20" t="inlineStr">
        <is>
          <t>None</t>
        </is>
      </c>
      <c r="DB140" s="17" t="n"/>
      <c r="DC140" s="16" t="n"/>
      <c r="DD140" s="20" t="n"/>
      <c r="DE140" s="20" t="inlineStr">
        <is>
          <t>None</t>
        </is>
      </c>
      <c r="DF140" s="17" t="n"/>
      <c r="DG140" s="16" t="n"/>
      <c r="DH140" s="20" t="inlineStr">
        <is>
          <t>SOP 45-09</t>
        </is>
      </c>
      <c r="DI140" s="20" t="inlineStr">
        <is>
          <t>None</t>
        </is>
      </c>
      <c r="DJ140" s="17" t="n"/>
      <c r="DK140" s="16" t="n"/>
      <c r="DL140" s="20" t="inlineStr">
        <is>
          <t>SOP 45-09 (SOP muss noch angepasst werden für VSS)</t>
        </is>
      </c>
      <c r="DM140" s="20" t="inlineStr">
        <is>
          <t>None</t>
        </is>
      </c>
      <c r="DN140" s="17" t="n"/>
      <c r="DO140" s="16" t="n"/>
      <c r="DP140" s="20" t="inlineStr">
        <is>
          <t>IC Organic Acids</t>
        </is>
      </c>
      <c r="DQ140" s="20" t="inlineStr">
        <is>
          <t>None</t>
        </is>
      </c>
      <c r="DR140" s="17" t="n"/>
      <c r="DS140" s="16" t="n"/>
      <c r="DT140" s="20" t="inlineStr">
        <is>
          <t>IC Organic Acids</t>
        </is>
      </c>
      <c r="DU140" s="20" t="inlineStr">
        <is>
          <t>None</t>
        </is>
      </c>
      <c r="DV140" s="17" t="n"/>
      <c r="DW140" s="16" t="n"/>
      <c r="DX140" s="20" t="inlineStr">
        <is>
          <t>IC Organic Acids</t>
        </is>
      </c>
      <c r="DY140" s="20" t="inlineStr">
        <is>
          <t>None</t>
        </is>
      </c>
      <c r="DZ140" s="17" t="n"/>
      <c r="EA140" s="16" t="n"/>
      <c r="EB140" s="20" t="inlineStr">
        <is>
          <t>IC Organic Acids</t>
        </is>
      </c>
      <c r="EC140" s="20" t="inlineStr">
        <is>
          <t>None</t>
        </is>
      </c>
      <c r="ED140" s="17" t="n"/>
      <c r="EE140" s="16" t="n"/>
      <c r="EF140" s="20" t="inlineStr">
        <is>
          <t>IC Organic Acids</t>
        </is>
      </c>
      <c r="EG140" s="20" t="inlineStr">
        <is>
          <t>None</t>
        </is>
      </c>
      <c r="EH140" s="17" t="n"/>
      <c r="EI140" s="16" t="n"/>
      <c r="EJ140" s="20" t="inlineStr">
        <is>
          <t>IC Organic Acids</t>
        </is>
      </c>
      <c r="EK140" s="20" t="inlineStr">
        <is>
          <t>None</t>
        </is>
      </c>
      <c r="EL140" s="17" t="n"/>
      <c r="EM140" s="16" t="n"/>
      <c r="EN140" s="20" t="inlineStr">
        <is>
          <t>IC Organic Acids</t>
        </is>
      </c>
      <c r="EO140" s="20" t="inlineStr">
        <is>
          <t>None</t>
        </is>
      </c>
      <c r="EP140" s="17" t="n"/>
      <c r="EQ140" s="16" t="n"/>
      <c r="ER140" s="20" t="inlineStr">
        <is>
          <t>IC Organic Acids</t>
        </is>
      </c>
      <c r="ES140" s="20" t="inlineStr">
        <is>
          <t>None</t>
        </is>
      </c>
      <c r="ET140" s="17" t="n"/>
      <c r="EU140" s="16" t="n"/>
      <c r="EV140" s="20" t="inlineStr">
        <is>
          <t>LC-MS</t>
        </is>
      </c>
      <c r="EW140" s="20" t="inlineStr">
        <is>
          <t>None</t>
        </is>
      </c>
      <c r="EX140" s="17" t="n"/>
      <c r="EY140" s="21" t="n"/>
      <c r="EZ140">
        <f>CONCATENATE(A140,B140)</f>
        <v/>
      </c>
      <c r="FA140">
        <f>CONCATENATE(SamplesX!A140,SamplesX!B140)</f>
        <v/>
      </c>
      <c r="FC140">
        <f>MATCH(EZ140,FA1:FA1008,0)</f>
        <v/>
      </c>
    </row>
    <row r="141">
      <c r="A141" s="16" t="inlineStr">
        <is>
          <t>BP</t>
        </is>
      </c>
      <c r="B141" s="17" t="inlineStr">
        <is>
          <t>25133</t>
        </is>
      </c>
      <c r="C141" s="10">
        <f>IF(ISNUMBER(FC141),INDIRECT("SamplesX!C"&amp;FC141),IF(ISNUMBER(FD141),INDIRECT("SamplesY!C"&amp;FD141),""))</f>
        <v/>
      </c>
      <c r="D141" s="12">
        <f>IF(ISNUMBER(FC141),INDIRECT("SamplesX!D"&amp;FC141),IF(ISNUMBER(FD141),INDIRECT("SamplesY!D"&amp;FD141),""))</f>
        <v/>
      </c>
      <c r="E141" s="12">
        <f>IF(ISNUMBER(FC141),INDIRECT("SamplesX!E"&amp;FC141),IF(ISNUMBER(FD141),INDIRECT("SamplesY!E"&amp;FD141),""))</f>
        <v/>
      </c>
      <c r="F141" s="11">
        <f>IF(ISNUMBER(FC141),INDIRECT("SamplesX!F"&amp;FC141),IF(ISNUMBER(FD141),INDIRECT("SamplesY!F"&amp;FD141),""))</f>
        <v/>
      </c>
      <c r="G141" s="18">
        <f>IF(ISNUMBER(FC141),INDIRECT("SamplesX!G"&amp;FC141),IF(ISNUMBER(FD141),INDIRECT("SamplesY!G"&amp;FD141),""))</f>
        <v/>
      </c>
      <c r="H141" s="19">
        <f>IF(ISNUMBER(FC141),INDIRECT("SamplesX!H"&amp;FC141),IF(ISNUMBER(FD141),INDIRECT("SamplesY!H"&amp;FD141),""))</f>
        <v/>
      </c>
      <c r="I141" s="16" t="n"/>
      <c r="J141" s="16" t="n"/>
      <c r="K141" s="16" t="n"/>
      <c r="L141" s="20" t="n"/>
      <c r="M141" s="20" t="inlineStr">
        <is>
          <t>None</t>
        </is>
      </c>
      <c r="N141" s="17" t="n"/>
      <c r="O141" s="16" t="n"/>
      <c r="P141" s="20" t="inlineStr">
        <is>
          <t>Shimadzu TOC-L</t>
        </is>
      </c>
      <c r="Q141" s="20" t="inlineStr">
        <is>
          <t>None</t>
        </is>
      </c>
      <c r="R141" s="17" t="n"/>
      <c r="S141" s="16" t="n"/>
      <c r="T141" s="20" t="inlineStr">
        <is>
          <t>Shimadzu TOC-L</t>
        </is>
      </c>
      <c r="U141" s="20" t="inlineStr">
        <is>
          <t>None</t>
        </is>
      </c>
      <c r="V141" s="17" t="n"/>
      <c r="W141" s="16" t="n"/>
      <c r="X141" s="20" t="n"/>
      <c r="Y141" s="20" t="inlineStr">
        <is>
          <t>None</t>
        </is>
      </c>
      <c r="Z141" s="17" t="n"/>
      <c r="AA141" s="16" t="n"/>
      <c r="AB141" s="20" t="n"/>
      <c r="AC141" s="20" t="inlineStr">
        <is>
          <t>None</t>
        </is>
      </c>
      <c r="AD141" s="17" t="n"/>
      <c r="AE141" s="16" t="inlineStr">
        <is>
          <t>391</t>
        </is>
      </c>
      <c r="AF141" s="20" t="inlineStr">
        <is>
          <t>IC Anionen</t>
        </is>
      </c>
      <c r="AG141" s="20" t="inlineStr">
        <is>
          <t>None</t>
        </is>
      </c>
      <c r="AH141" s="17" t="n"/>
      <c r="AI141" s="16" t="n"/>
      <c r="AJ141" s="20" t="n"/>
      <c r="AK141" s="20" t="inlineStr">
        <is>
          <t>None</t>
        </is>
      </c>
      <c r="AL141" s="17" t="n"/>
      <c r="AM141" s="16" t="n"/>
      <c r="AN141" s="20" t="inlineStr">
        <is>
          <t>IC Anionen</t>
        </is>
      </c>
      <c r="AO141" s="20" t="inlineStr">
        <is>
          <t>None</t>
        </is>
      </c>
      <c r="AP141" s="17" t="n"/>
      <c r="AQ141" s="16" t="n"/>
      <c r="AR141" s="20" t="n"/>
      <c r="AS141" s="20" t="inlineStr">
        <is>
          <t>None</t>
        </is>
      </c>
      <c r="AT141" s="17" t="n"/>
      <c r="AU141" s="16" t="inlineStr">
        <is>
          <t>4.99</t>
        </is>
      </c>
      <c r="AV141" s="20" t="inlineStr">
        <is>
          <t>IC Anionen</t>
        </is>
      </c>
      <c r="AW141" s="20" t="inlineStr">
        <is>
          <t>None</t>
        </is>
      </c>
      <c r="AX141" s="17" t="n"/>
      <c r="AY141" s="16" t="inlineStr">
        <is>
          <t>1.51</t>
        </is>
      </c>
      <c r="AZ141" s="20" t="inlineStr">
        <is>
          <t>IC Anionen</t>
        </is>
      </c>
      <c r="BA141" s="20" t="inlineStr">
        <is>
          <t>None</t>
        </is>
      </c>
      <c r="BB141" s="17" t="n"/>
      <c r="BC141" s="16" t="inlineStr">
        <is>
          <t>121</t>
        </is>
      </c>
      <c r="BD141" s="20" t="inlineStr">
        <is>
          <t>IC Kationen</t>
        </is>
      </c>
      <c r="BE141" s="20" t="inlineStr">
        <is>
          <t>None</t>
        </is>
      </c>
      <c r="BF141" s="17" t="n"/>
      <c r="BG141" s="16" t="inlineStr">
        <is>
          <t>14.1</t>
        </is>
      </c>
      <c r="BH141" s="20" t="inlineStr">
        <is>
          <t>IC Kationen</t>
        </is>
      </c>
      <c r="BI141" s="20" t="inlineStr">
        <is>
          <t>None</t>
        </is>
      </c>
      <c r="BJ141" s="17" t="n"/>
      <c r="BK141" s="16" t="inlineStr">
        <is>
          <t>17.9</t>
        </is>
      </c>
      <c r="BL141" s="20" t="inlineStr">
        <is>
          <t>IC Kationen</t>
        </is>
      </c>
      <c r="BM141" s="20" t="inlineStr">
        <is>
          <t>None</t>
        </is>
      </c>
      <c r="BN141" s="17" t="n"/>
      <c r="BO141" s="16" t="inlineStr">
        <is>
          <t>273</t>
        </is>
      </c>
      <c r="BP141" s="20" t="inlineStr">
        <is>
          <t>IC Kationen</t>
        </is>
      </c>
      <c r="BQ141" s="20" t="inlineStr">
        <is>
          <t>None</t>
        </is>
      </c>
      <c r="BR141" s="17" t="n"/>
      <c r="BS141" s="16" t="inlineStr">
        <is>
          <t>31.2</t>
        </is>
      </c>
      <c r="BT141" s="20" t="inlineStr">
        <is>
          <t>IC Kationen</t>
        </is>
      </c>
      <c r="BU141" s="20" t="inlineStr">
        <is>
          <t>None</t>
        </is>
      </c>
      <c r="BV141" s="17" t="n"/>
      <c r="BW141" s="16" t="n"/>
      <c r="BX141" s="20" t="n"/>
      <c r="BY141" s="20" t="inlineStr">
        <is>
          <t>None</t>
        </is>
      </c>
      <c r="BZ141" s="17" t="n"/>
      <c r="CA141" s="16" t="n"/>
      <c r="CB141" s="20" t="n"/>
      <c r="CC141" s="20" t="inlineStr">
        <is>
          <t>None</t>
        </is>
      </c>
      <c r="CD141" s="17" t="n"/>
      <c r="CE141" s="16" t="n"/>
      <c r="CF141" s="20" t="n"/>
      <c r="CG141" s="20" t="inlineStr">
        <is>
          <t>None</t>
        </is>
      </c>
      <c r="CH141" s="17" t="n"/>
      <c r="CI141" s="16" t="n"/>
      <c r="CJ141" s="20" t="n"/>
      <c r="CK141" s="20" t="inlineStr">
        <is>
          <t>None</t>
        </is>
      </c>
      <c r="CL141" s="17" t="n"/>
      <c r="CM141" s="16" t="n"/>
      <c r="CN141" s="20" t="inlineStr">
        <is>
          <t>SOP 45-34</t>
        </is>
      </c>
      <c r="CO141" s="20" t="inlineStr">
        <is>
          <t>None</t>
        </is>
      </c>
      <c r="CP141" s="17" t="n"/>
      <c r="CQ141" s="16" t="n"/>
      <c r="CR141" s="20" t="n"/>
      <c r="CS141" s="20" t="inlineStr">
        <is>
          <t>None</t>
        </is>
      </c>
      <c r="CT141" s="17" t="n"/>
      <c r="CU141" s="16" t="n"/>
      <c r="CV141" s="20" t="n"/>
      <c r="CW141" s="20" t="inlineStr">
        <is>
          <t>None</t>
        </is>
      </c>
      <c r="CX141" s="17" t="n"/>
      <c r="CY141" s="16" t="n"/>
      <c r="CZ141" s="20" t="inlineStr">
        <is>
          <t>WTW Multimeter 3430 with FDO 925</t>
        </is>
      </c>
      <c r="DA141" s="20" t="inlineStr">
        <is>
          <t>None</t>
        </is>
      </c>
      <c r="DB141" s="17" t="n"/>
      <c r="DC141" s="16" t="n"/>
      <c r="DD141" s="20" t="n"/>
      <c r="DE141" s="20" t="inlineStr">
        <is>
          <t>None</t>
        </is>
      </c>
      <c r="DF141" s="17" t="n"/>
      <c r="DG141" s="16" t="n"/>
      <c r="DH141" s="20" t="inlineStr">
        <is>
          <t>SOP 45-09</t>
        </is>
      </c>
      <c r="DI141" s="20" t="inlineStr">
        <is>
          <t>None</t>
        </is>
      </c>
      <c r="DJ141" s="17" t="n"/>
      <c r="DK141" s="16" t="n"/>
      <c r="DL141" s="20" t="inlineStr">
        <is>
          <t>SOP 45-09 (SOP muss noch angepasst werden für VSS)</t>
        </is>
      </c>
      <c r="DM141" s="20" t="inlineStr">
        <is>
          <t>None</t>
        </is>
      </c>
      <c r="DN141" s="17" t="n"/>
      <c r="DO141" s="16" t="n"/>
      <c r="DP141" s="20" t="inlineStr">
        <is>
          <t>IC Organic Acids</t>
        </is>
      </c>
      <c r="DQ141" s="20" t="inlineStr">
        <is>
          <t>None</t>
        </is>
      </c>
      <c r="DR141" s="17" t="n"/>
      <c r="DS141" s="16" t="n"/>
      <c r="DT141" s="20" t="inlineStr">
        <is>
          <t>IC Organic Acids</t>
        </is>
      </c>
      <c r="DU141" s="20" t="inlineStr">
        <is>
          <t>None</t>
        </is>
      </c>
      <c r="DV141" s="17" t="n"/>
      <c r="DW141" s="16" t="n"/>
      <c r="DX141" s="20" t="inlineStr">
        <is>
          <t>IC Organic Acids</t>
        </is>
      </c>
      <c r="DY141" s="20" t="inlineStr">
        <is>
          <t>None</t>
        </is>
      </c>
      <c r="DZ141" s="17" t="n"/>
      <c r="EA141" s="16" t="n"/>
      <c r="EB141" s="20" t="inlineStr">
        <is>
          <t>IC Organic Acids</t>
        </is>
      </c>
      <c r="EC141" s="20" t="inlineStr">
        <is>
          <t>None</t>
        </is>
      </c>
      <c r="ED141" s="17" t="n"/>
      <c r="EE141" s="16" t="n"/>
      <c r="EF141" s="20" t="inlineStr">
        <is>
          <t>IC Organic Acids</t>
        </is>
      </c>
      <c r="EG141" s="20" t="inlineStr">
        <is>
          <t>None</t>
        </is>
      </c>
      <c r="EH141" s="17" t="n"/>
      <c r="EI141" s="16" t="n"/>
      <c r="EJ141" s="20" t="inlineStr">
        <is>
          <t>IC Organic Acids</t>
        </is>
      </c>
      <c r="EK141" s="20" t="inlineStr">
        <is>
          <t>None</t>
        </is>
      </c>
      <c r="EL141" s="17" t="n"/>
      <c r="EM141" s="16" t="n"/>
      <c r="EN141" s="20" t="inlineStr">
        <is>
          <t>IC Organic Acids</t>
        </is>
      </c>
      <c r="EO141" s="20" t="inlineStr">
        <is>
          <t>None</t>
        </is>
      </c>
      <c r="EP141" s="17" t="n"/>
      <c r="EQ141" s="16" t="n"/>
      <c r="ER141" s="20" t="inlineStr">
        <is>
          <t>IC Organic Acids</t>
        </is>
      </c>
      <c r="ES141" s="20" t="inlineStr">
        <is>
          <t>None</t>
        </is>
      </c>
      <c r="ET141" s="17" t="n"/>
      <c r="EU141" s="16" t="n"/>
      <c r="EV141" s="20" t="inlineStr">
        <is>
          <t>LC-MS</t>
        </is>
      </c>
      <c r="EW141" s="20" t="inlineStr">
        <is>
          <t>None</t>
        </is>
      </c>
      <c r="EX141" s="17" t="n"/>
      <c r="EY141" s="21" t="n"/>
      <c r="EZ141">
        <f>CONCATENATE(A141,B141)</f>
        <v/>
      </c>
      <c r="FA141">
        <f>CONCATENATE(SamplesX!A141,SamplesX!B141)</f>
        <v/>
      </c>
      <c r="FC141">
        <f>MATCH(EZ141,FA1:FA1008,0)</f>
        <v/>
      </c>
    </row>
    <row r="142">
      <c r="A142" s="16" t="inlineStr">
        <is>
          <t>BP</t>
        </is>
      </c>
      <c r="B142" s="17" t="inlineStr">
        <is>
          <t>25134</t>
        </is>
      </c>
      <c r="C142" s="10">
        <f>IF(ISNUMBER(FC142),INDIRECT("SamplesX!C"&amp;FC142),IF(ISNUMBER(FD142),INDIRECT("SamplesY!C"&amp;FD142),""))</f>
        <v/>
      </c>
      <c r="D142" s="12">
        <f>IF(ISNUMBER(FC142),INDIRECT("SamplesX!D"&amp;FC142),IF(ISNUMBER(FD142),INDIRECT("SamplesY!D"&amp;FD142),""))</f>
        <v/>
      </c>
      <c r="E142" s="12">
        <f>IF(ISNUMBER(FC142),INDIRECT("SamplesX!E"&amp;FC142),IF(ISNUMBER(FD142),INDIRECT("SamplesY!E"&amp;FD142),""))</f>
        <v/>
      </c>
      <c r="F142" s="11">
        <f>IF(ISNUMBER(FC142),INDIRECT("SamplesX!F"&amp;FC142),IF(ISNUMBER(FD142),INDIRECT("SamplesY!F"&amp;FD142),""))</f>
        <v/>
      </c>
      <c r="G142" s="18">
        <f>IF(ISNUMBER(FC142),INDIRECT("SamplesX!G"&amp;FC142),IF(ISNUMBER(FD142),INDIRECT("SamplesY!G"&amp;FD142),""))</f>
        <v/>
      </c>
      <c r="H142" s="19">
        <f>IF(ISNUMBER(FC142),INDIRECT("SamplesX!H"&amp;FC142),IF(ISNUMBER(FD142),INDIRECT("SamplesY!H"&amp;FD142),""))</f>
        <v/>
      </c>
      <c r="I142" s="16" t="n"/>
      <c r="J142" s="16" t="n"/>
      <c r="K142" s="16" t="n"/>
      <c r="L142" s="20" t="n"/>
      <c r="M142" s="20" t="inlineStr">
        <is>
          <t>None</t>
        </is>
      </c>
      <c r="N142" s="17" t="n"/>
      <c r="O142" s="16" t="n"/>
      <c r="P142" s="20" t="inlineStr">
        <is>
          <t>Shimadzu TOC-L</t>
        </is>
      </c>
      <c r="Q142" s="20" t="inlineStr">
        <is>
          <t>None</t>
        </is>
      </c>
      <c r="R142" s="17" t="n"/>
      <c r="S142" s="16" t="n"/>
      <c r="T142" s="20" t="inlineStr">
        <is>
          <t>Shimadzu TOC-L</t>
        </is>
      </c>
      <c r="U142" s="20" t="inlineStr">
        <is>
          <t>None</t>
        </is>
      </c>
      <c r="V142" s="17" t="n"/>
      <c r="W142" s="16" t="n"/>
      <c r="X142" s="20" t="n"/>
      <c r="Y142" s="20" t="inlineStr">
        <is>
          <t>None</t>
        </is>
      </c>
      <c r="Z142" s="17" t="n"/>
      <c r="AA142" s="16" t="n"/>
      <c r="AB142" s="20" t="n"/>
      <c r="AC142" s="20" t="inlineStr">
        <is>
          <t>None</t>
        </is>
      </c>
      <c r="AD142" s="17" t="n"/>
      <c r="AE142" s="16" t="inlineStr">
        <is>
          <t>415</t>
        </is>
      </c>
      <c r="AF142" s="20" t="inlineStr">
        <is>
          <t>IC Anionen</t>
        </is>
      </c>
      <c r="AG142" s="20" t="inlineStr">
        <is>
          <t>None</t>
        </is>
      </c>
      <c r="AH142" s="17" t="n"/>
      <c r="AI142" s="16" t="n"/>
      <c r="AJ142" s="20" t="n"/>
      <c r="AK142" s="20" t="inlineStr">
        <is>
          <t>None</t>
        </is>
      </c>
      <c r="AL142" s="17" t="n"/>
      <c r="AM142" s="16" t="n"/>
      <c r="AN142" s="20" t="inlineStr">
        <is>
          <t>IC Anionen</t>
        </is>
      </c>
      <c r="AO142" s="20" t="inlineStr">
        <is>
          <t>None</t>
        </is>
      </c>
      <c r="AP142" s="17" t="n"/>
      <c r="AQ142" s="16" t="n"/>
      <c r="AR142" s="20" t="n"/>
      <c r="AS142" s="20" t="inlineStr">
        <is>
          <t>None</t>
        </is>
      </c>
      <c r="AT142" s="17" t="n"/>
      <c r="AU142" s="16" t="inlineStr">
        <is>
          <t>&lt;0.13</t>
        </is>
      </c>
      <c r="AV142" s="20" t="inlineStr">
        <is>
          <t>IC Anionen</t>
        </is>
      </c>
      <c r="AW142" s="20" t="inlineStr">
        <is>
          <t>None</t>
        </is>
      </c>
      <c r="AX142" s="17" t="n"/>
      <c r="AY142" s="16" t="inlineStr">
        <is>
          <t>2.19</t>
        </is>
      </c>
      <c r="AZ142" s="20" t="inlineStr">
        <is>
          <t>IC Anionen</t>
        </is>
      </c>
      <c r="BA142" s="20" t="inlineStr">
        <is>
          <t>None</t>
        </is>
      </c>
      <c r="BB142" s="17" t="n"/>
      <c r="BC142" s="16" t="inlineStr">
        <is>
          <t>142</t>
        </is>
      </c>
      <c r="BD142" s="20" t="inlineStr">
        <is>
          <t>IC Kationen</t>
        </is>
      </c>
      <c r="BE142" s="20" t="inlineStr">
        <is>
          <t>None</t>
        </is>
      </c>
      <c r="BF142" s="17" t="n"/>
      <c r="BG142" s="16" t="inlineStr">
        <is>
          <t>&lt;1.60</t>
        </is>
      </c>
      <c r="BH142" s="20" t="inlineStr">
        <is>
          <t>IC Kationen</t>
        </is>
      </c>
      <c r="BI142" s="20" t="inlineStr">
        <is>
          <t>None</t>
        </is>
      </c>
      <c r="BJ142" s="17" t="n"/>
      <c r="BK142" s="16" t="inlineStr">
        <is>
          <t>15.4</t>
        </is>
      </c>
      <c r="BL142" s="20" t="inlineStr">
        <is>
          <t>IC Kationen</t>
        </is>
      </c>
      <c r="BM142" s="20" t="inlineStr">
        <is>
          <t>None</t>
        </is>
      </c>
      <c r="BN142" s="17" t="n"/>
      <c r="BO142" s="16" t="inlineStr">
        <is>
          <t>208</t>
        </is>
      </c>
      <c r="BP142" s="20" t="inlineStr">
        <is>
          <t>IC Kationen</t>
        </is>
      </c>
      <c r="BQ142" s="20" t="inlineStr">
        <is>
          <t>None</t>
        </is>
      </c>
      <c r="BR142" s="17" t="n"/>
      <c r="BS142" s="16" t="inlineStr">
        <is>
          <t>30.3</t>
        </is>
      </c>
      <c r="BT142" s="20" t="inlineStr">
        <is>
          <t>IC Kationen</t>
        </is>
      </c>
      <c r="BU142" s="20" t="inlineStr">
        <is>
          <t>None</t>
        </is>
      </c>
      <c r="BV142" s="17" t="n"/>
      <c r="BW142" s="16" t="n"/>
      <c r="BX142" s="20" t="n"/>
      <c r="BY142" s="20" t="inlineStr">
        <is>
          <t>None</t>
        </is>
      </c>
      <c r="BZ142" s="17" t="n"/>
      <c r="CA142" s="16" t="n"/>
      <c r="CB142" s="20" t="n"/>
      <c r="CC142" s="20" t="inlineStr">
        <is>
          <t>None</t>
        </is>
      </c>
      <c r="CD142" s="17" t="n"/>
      <c r="CE142" s="16" t="n"/>
      <c r="CF142" s="20" t="n"/>
      <c r="CG142" s="20" t="inlineStr">
        <is>
          <t>None</t>
        </is>
      </c>
      <c r="CH142" s="17" t="n"/>
      <c r="CI142" s="16" t="n"/>
      <c r="CJ142" s="20" t="n"/>
      <c r="CK142" s="20" t="inlineStr">
        <is>
          <t>None</t>
        </is>
      </c>
      <c r="CL142" s="17" t="n"/>
      <c r="CM142" s="16" t="n"/>
      <c r="CN142" s="20" t="inlineStr">
        <is>
          <t>SOP 45-34</t>
        </is>
      </c>
      <c r="CO142" s="20" t="inlineStr">
        <is>
          <t>None</t>
        </is>
      </c>
      <c r="CP142" s="17" t="n"/>
      <c r="CQ142" s="16" t="n"/>
      <c r="CR142" s="20" t="n"/>
      <c r="CS142" s="20" t="inlineStr">
        <is>
          <t>None</t>
        </is>
      </c>
      <c r="CT142" s="17" t="n"/>
      <c r="CU142" s="16" t="n"/>
      <c r="CV142" s="20" t="n"/>
      <c r="CW142" s="20" t="inlineStr">
        <is>
          <t>None</t>
        </is>
      </c>
      <c r="CX142" s="17" t="n"/>
      <c r="CY142" s="16" t="n"/>
      <c r="CZ142" s="20" t="inlineStr">
        <is>
          <t>WTW Multimeter 3430 with FDO 925</t>
        </is>
      </c>
      <c r="DA142" s="20" t="inlineStr">
        <is>
          <t>None</t>
        </is>
      </c>
      <c r="DB142" s="17" t="n"/>
      <c r="DC142" s="16" t="n"/>
      <c r="DD142" s="20" t="n"/>
      <c r="DE142" s="20" t="inlineStr">
        <is>
          <t>None</t>
        </is>
      </c>
      <c r="DF142" s="17" t="n"/>
      <c r="DG142" s="16" t="n"/>
      <c r="DH142" s="20" t="inlineStr">
        <is>
          <t>SOP 45-09</t>
        </is>
      </c>
      <c r="DI142" s="20" t="inlineStr">
        <is>
          <t>None</t>
        </is>
      </c>
      <c r="DJ142" s="17" t="n"/>
      <c r="DK142" s="16" t="n"/>
      <c r="DL142" s="20" t="inlineStr">
        <is>
          <t>SOP 45-09 (SOP muss noch angepasst werden für VSS)</t>
        </is>
      </c>
      <c r="DM142" s="20" t="inlineStr">
        <is>
          <t>None</t>
        </is>
      </c>
      <c r="DN142" s="17" t="n"/>
      <c r="DO142" s="16" t="n"/>
      <c r="DP142" s="20" t="inlineStr">
        <is>
          <t>IC Organic Acids</t>
        </is>
      </c>
      <c r="DQ142" s="20" t="inlineStr">
        <is>
          <t>None</t>
        </is>
      </c>
      <c r="DR142" s="17" t="n"/>
      <c r="DS142" s="16" t="n"/>
      <c r="DT142" s="20" t="inlineStr">
        <is>
          <t>IC Organic Acids</t>
        </is>
      </c>
      <c r="DU142" s="20" t="inlineStr">
        <is>
          <t>None</t>
        </is>
      </c>
      <c r="DV142" s="17" t="n"/>
      <c r="DW142" s="16" t="n"/>
      <c r="DX142" s="20" t="inlineStr">
        <is>
          <t>IC Organic Acids</t>
        </is>
      </c>
      <c r="DY142" s="20" t="inlineStr">
        <is>
          <t>None</t>
        </is>
      </c>
      <c r="DZ142" s="17" t="n"/>
      <c r="EA142" s="16" t="n"/>
      <c r="EB142" s="20" t="inlineStr">
        <is>
          <t>IC Organic Acids</t>
        </is>
      </c>
      <c r="EC142" s="20" t="inlineStr">
        <is>
          <t>None</t>
        </is>
      </c>
      <c r="ED142" s="17" t="n"/>
      <c r="EE142" s="16" t="n"/>
      <c r="EF142" s="20" t="inlineStr">
        <is>
          <t>IC Organic Acids</t>
        </is>
      </c>
      <c r="EG142" s="20" t="inlineStr">
        <is>
          <t>None</t>
        </is>
      </c>
      <c r="EH142" s="17" t="n"/>
      <c r="EI142" s="16" t="n"/>
      <c r="EJ142" s="20" t="inlineStr">
        <is>
          <t>IC Organic Acids</t>
        </is>
      </c>
      <c r="EK142" s="20" t="inlineStr">
        <is>
          <t>None</t>
        </is>
      </c>
      <c r="EL142" s="17" t="n"/>
      <c r="EM142" s="16" t="n"/>
      <c r="EN142" s="20" t="inlineStr">
        <is>
          <t>IC Organic Acids</t>
        </is>
      </c>
      <c r="EO142" s="20" t="inlineStr">
        <is>
          <t>None</t>
        </is>
      </c>
      <c r="EP142" s="17" t="n"/>
      <c r="EQ142" s="16" t="n"/>
      <c r="ER142" s="20" t="inlineStr">
        <is>
          <t>IC Organic Acids</t>
        </is>
      </c>
      <c r="ES142" s="20" t="inlineStr">
        <is>
          <t>None</t>
        </is>
      </c>
      <c r="ET142" s="17" t="n"/>
      <c r="EU142" s="16" t="n"/>
      <c r="EV142" s="20" t="inlineStr">
        <is>
          <t>LC-MS</t>
        </is>
      </c>
      <c r="EW142" s="20" t="inlineStr">
        <is>
          <t>None</t>
        </is>
      </c>
      <c r="EX142" s="17" t="n"/>
      <c r="EY142" s="21" t="n"/>
      <c r="EZ142">
        <f>CONCATENATE(A142,B142)</f>
        <v/>
      </c>
      <c r="FA142">
        <f>CONCATENATE(SamplesX!A142,SamplesX!B142)</f>
        <v/>
      </c>
      <c r="FC142">
        <f>MATCH(EZ142,FA1:FA1008,0)</f>
        <v/>
      </c>
    </row>
    <row r="143">
      <c r="A143" s="16" t="inlineStr">
        <is>
          <t>BP</t>
        </is>
      </c>
      <c r="B143" s="17" t="inlineStr">
        <is>
          <t>25135</t>
        </is>
      </c>
      <c r="C143" s="10">
        <f>IF(ISNUMBER(FC143),INDIRECT("SamplesX!C"&amp;FC143),IF(ISNUMBER(FD143),INDIRECT("SamplesY!C"&amp;FD143),""))</f>
        <v/>
      </c>
      <c r="D143" s="12">
        <f>IF(ISNUMBER(FC143),INDIRECT("SamplesX!D"&amp;FC143),IF(ISNUMBER(FD143),INDIRECT("SamplesY!D"&amp;FD143),""))</f>
        <v/>
      </c>
      <c r="E143" s="12">
        <f>IF(ISNUMBER(FC143),INDIRECT("SamplesX!E"&amp;FC143),IF(ISNUMBER(FD143),INDIRECT("SamplesY!E"&amp;FD143),""))</f>
        <v/>
      </c>
      <c r="F143" s="11">
        <f>IF(ISNUMBER(FC143),INDIRECT("SamplesX!F"&amp;FC143),IF(ISNUMBER(FD143),INDIRECT("SamplesY!F"&amp;FD143),""))</f>
        <v/>
      </c>
      <c r="G143" s="18">
        <f>IF(ISNUMBER(FC143),INDIRECT("SamplesX!G"&amp;FC143),IF(ISNUMBER(FD143),INDIRECT("SamplesY!G"&amp;FD143),""))</f>
        <v/>
      </c>
      <c r="H143" s="19">
        <f>IF(ISNUMBER(FC143),INDIRECT("SamplesX!H"&amp;FC143),IF(ISNUMBER(FD143),INDIRECT("SamplesY!H"&amp;FD143),""))</f>
        <v/>
      </c>
      <c r="I143" s="16" t="n"/>
      <c r="J143" s="16" t="n"/>
      <c r="K143" s="16" t="n"/>
      <c r="L143" s="20" t="n"/>
      <c r="M143" s="20" t="inlineStr">
        <is>
          <t>None</t>
        </is>
      </c>
      <c r="N143" s="17" t="n"/>
      <c r="O143" s="16" t="n"/>
      <c r="P143" s="20" t="inlineStr">
        <is>
          <t>Shimadzu TOC-L</t>
        </is>
      </c>
      <c r="Q143" s="20" t="inlineStr">
        <is>
          <t>None</t>
        </is>
      </c>
      <c r="R143" s="17" t="n"/>
      <c r="S143" s="16" t="n"/>
      <c r="T143" s="20" t="inlineStr">
        <is>
          <t>Shimadzu TOC-L</t>
        </is>
      </c>
      <c r="U143" s="20" t="inlineStr">
        <is>
          <t>None</t>
        </is>
      </c>
      <c r="V143" s="17" t="n"/>
      <c r="W143" s="16" t="n"/>
      <c r="X143" s="20" t="n"/>
      <c r="Y143" s="20" t="inlineStr">
        <is>
          <t>None</t>
        </is>
      </c>
      <c r="Z143" s="17" t="n"/>
      <c r="AA143" s="16" t="n"/>
      <c r="AB143" s="20" t="n"/>
      <c r="AC143" s="20" t="inlineStr">
        <is>
          <t>None</t>
        </is>
      </c>
      <c r="AD143" s="17" t="n"/>
      <c r="AE143" s="16" t="inlineStr">
        <is>
          <t>184</t>
        </is>
      </c>
      <c r="AF143" s="20" t="inlineStr">
        <is>
          <t>IC Anionen</t>
        </is>
      </c>
      <c r="AG143" s="20" t="inlineStr">
        <is>
          <t>None</t>
        </is>
      </c>
      <c r="AH143" s="17" t="n"/>
      <c r="AI143" s="16" t="n"/>
      <c r="AJ143" s="20" t="n"/>
      <c r="AK143" s="20" t="inlineStr">
        <is>
          <t>None</t>
        </is>
      </c>
      <c r="AL143" s="17" t="n"/>
      <c r="AM143" s="16" t="n"/>
      <c r="AN143" s="20" t="inlineStr">
        <is>
          <t>IC Anionen</t>
        </is>
      </c>
      <c r="AO143" s="20" t="inlineStr">
        <is>
          <t>None</t>
        </is>
      </c>
      <c r="AP143" s="17" t="n"/>
      <c r="AQ143" s="16" t="n"/>
      <c r="AR143" s="20" t="n"/>
      <c r="AS143" s="20" t="inlineStr">
        <is>
          <t>None</t>
        </is>
      </c>
      <c r="AT143" s="17" t="n"/>
      <c r="AU143" s="16" t="inlineStr">
        <is>
          <t>0.84</t>
        </is>
      </c>
      <c r="AV143" s="20" t="inlineStr">
        <is>
          <t>IC Anionen</t>
        </is>
      </c>
      <c r="AW143" s="20" t="inlineStr">
        <is>
          <t>None</t>
        </is>
      </c>
      <c r="AX143" s="17" t="n"/>
      <c r="AY143" s="16" t="inlineStr">
        <is>
          <t>10.7</t>
        </is>
      </c>
      <c r="AZ143" s="20" t="inlineStr">
        <is>
          <t>IC Anionen</t>
        </is>
      </c>
      <c r="BA143" s="20" t="inlineStr">
        <is>
          <t>None</t>
        </is>
      </c>
      <c r="BB143" s="17" t="n"/>
      <c r="BC143" s="16" t="inlineStr">
        <is>
          <t>118</t>
        </is>
      </c>
      <c r="BD143" s="20" t="inlineStr">
        <is>
          <t>IC Kationen</t>
        </is>
      </c>
      <c r="BE143" s="20" t="inlineStr">
        <is>
          <t>None</t>
        </is>
      </c>
      <c r="BF143" s="17" t="n"/>
      <c r="BG143" s="16" t="inlineStr">
        <is>
          <t>&lt;1.60</t>
        </is>
      </c>
      <c r="BH143" s="20" t="inlineStr">
        <is>
          <t>IC Kationen</t>
        </is>
      </c>
      <c r="BI143" s="20" t="inlineStr">
        <is>
          <t>None</t>
        </is>
      </c>
      <c r="BJ143" s="17" t="n"/>
      <c r="BK143" s="16" t="inlineStr">
        <is>
          <t>13.8</t>
        </is>
      </c>
      <c r="BL143" s="20" t="inlineStr">
        <is>
          <t>IC Kationen</t>
        </is>
      </c>
      <c r="BM143" s="20" t="inlineStr">
        <is>
          <t>None</t>
        </is>
      </c>
      <c r="BN143" s="17" t="n"/>
      <c r="BO143" s="16" t="inlineStr">
        <is>
          <t>197</t>
        </is>
      </c>
      <c r="BP143" s="20" t="inlineStr">
        <is>
          <t>IC Kationen</t>
        </is>
      </c>
      <c r="BQ143" s="20" t="inlineStr">
        <is>
          <t>None</t>
        </is>
      </c>
      <c r="BR143" s="17" t="n"/>
      <c r="BS143" s="16" t="inlineStr">
        <is>
          <t>30.6</t>
        </is>
      </c>
      <c r="BT143" s="20" t="inlineStr">
        <is>
          <t>IC Kationen</t>
        </is>
      </c>
      <c r="BU143" s="20" t="inlineStr">
        <is>
          <t>None</t>
        </is>
      </c>
      <c r="BV143" s="17" t="n"/>
      <c r="BW143" s="16" t="n"/>
      <c r="BX143" s="20" t="n"/>
      <c r="BY143" s="20" t="inlineStr">
        <is>
          <t>None</t>
        </is>
      </c>
      <c r="BZ143" s="17" t="n"/>
      <c r="CA143" s="16" t="n"/>
      <c r="CB143" s="20" t="n"/>
      <c r="CC143" s="20" t="inlineStr">
        <is>
          <t>None</t>
        </is>
      </c>
      <c r="CD143" s="17" t="n"/>
      <c r="CE143" s="16" t="n"/>
      <c r="CF143" s="20" t="n"/>
      <c r="CG143" s="20" t="inlineStr">
        <is>
          <t>None</t>
        </is>
      </c>
      <c r="CH143" s="17" t="n"/>
      <c r="CI143" s="16" t="n"/>
      <c r="CJ143" s="20" t="n"/>
      <c r="CK143" s="20" t="inlineStr">
        <is>
          <t>None</t>
        </is>
      </c>
      <c r="CL143" s="17" t="n"/>
      <c r="CM143" s="16" t="n"/>
      <c r="CN143" s="20" t="inlineStr">
        <is>
          <t>SOP 45-34</t>
        </is>
      </c>
      <c r="CO143" s="20" t="inlineStr">
        <is>
          <t>None</t>
        </is>
      </c>
      <c r="CP143" s="17" t="n"/>
      <c r="CQ143" s="16" t="n"/>
      <c r="CR143" s="20" t="n"/>
      <c r="CS143" s="20" t="inlineStr">
        <is>
          <t>None</t>
        </is>
      </c>
      <c r="CT143" s="17" t="n"/>
      <c r="CU143" s="16" t="n"/>
      <c r="CV143" s="20" t="n"/>
      <c r="CW143" s="20" t="inlineStr">
        <is>
          <t>None</t>
        </is>
      </c>
      <c r="CX143" s="17" t="n"/>
      <c r="CY143" s="16" t="n"/>
      <c r="CZ143" s="20" t="inlineStr">
        <is>
          <t>WTW Multimeter 3430 with FDO 925</t>
        </is>
      </c>
      <c r="DA143" s="20" t="inlineStr">
        <is>
          <t>None</t>
        </is>
      </c>
      <c r="DB143" s="17" t="n"/>
      <c r="DC143" s="16" t="n"/>
      <c r="DD143" s="20" t="n"/>
      <c r="DE143" s="20" t="inlineStr">
        <is>
          <t>None</t>
        </is>
      </c>
      <c r="DF143" s="17" t="n"/>
      <c r="DG143" s="16" t="n"/>
      <c r="DH143" s="20" t="inlineStr">
        <is>
          <t>SOP 45-09</t>
        </is>
      </c>
      <c r="DI143" s="20" t="inlineStr">
        <is>
          <t>None</t>
        </is>
      </c>
      <c r="DJ143" s="17" t="n"/>
      <c r="DK143" s="16" t="n"/>
      <c r="DL143" s="20" t="inlineStr">
        <is>
          <t>SOP 45-09 (SOP muss noch angepasst werden für VSS)</t>
        </is>
      </c>
      <c r="DM143" s="20" t="inlineStr">
        <is>
          <t>None</t>
        </is>
      </c>
      <c r="DN143" s="17" t="n"/>
      <c r="DO143" s="16" t="n"/>
      <c r="DP143" s="20" t="inlineStr">
        <is>
          <t>IC Organic Acids</t>
        </is>
      </c>
      <c r="DQ143" s="20" t="inlineStr">
        <is>
          <t>None</t>
        </is>
      </c>
      <c r="DR143" s="17" t="n"/>
      <c r="DS143" s="16" t="n"/>
      <c r="DT143" s="20" t="inlineStr">
        <is>
          <t>IC Organic Acids</t>
        </is>
      </c>
      <c r="DU143" s="20" t="inlineStr">
        <is>
          <t>None</t>
        </is>
      </c>
      <c r="DV143" s="17" t="n"/>
      <c r="DW143" s="16" t="n"/>
      <c r="DX143" s="20" t="inlineStr">
        <is>
          <t>IC Organic Acids</t>
        </is>
      </c>
      <c r="DY143" s="20" t="inlineStr">
        <is>
          <t>None</t>
        </is>
      </c>
      <c r="DZ143" s="17" t="n"/>
      <c r="EA143" s="16" t="n"/>
      <c r="EB143" s="20" t="inlineStr">
        <is>
          <t>IC Organic Acids</t>
        </is>
      </c>
      <c r="EC143" s="20" t="inlineStr">
        <is>
          <t>None</t>
        </is>
      </c>
      <c r="ED143" s="17" t="n"/>
      <c r="EE143" s="16" t="n"/>
      <c r="EF143" s="20" t="inlineStr">
        <is>
          <t>IC Organic Acids</t>
        </is>
      </c>
      <c r="EG143" s="20" t="inlineStr">
        <is>
          <t>None</t>
        </is>
      </c>
      <c r="EH143" s="17" t="n"/>
      <c r="EI143" s="16" t="n"/>
      <c r="EJ143" s="20" t="inlineStr">
        <is>
          <t>IC Organic Acids</t>
        </is>
      </c>
      <c r="EK143" s="20" t="inlineStr">
        <is>
          <t>None</t>
        </is>
      </c>
      <c r="EL143" s="17" t="n"/>
      <c r="EM143" s="16" t="n"/>
      <c r="EN143" s="20" t="inlineStr">
        <is>
          <t>IC Organic Acids</t>
        </is>
      </c>
      <c r="EO143" s="20" t="inlineStr">
        <is>
          <t>None</t>
        </is>
      </c>
      <c r="EP143" s="17" t="n"/>
      <c r="EQ143" s="16" t="n"/>
      <c r="ER143" s="20" t="inlineStr">
        <is>
          <t>IC Organic Acids</t>
        </is>
      </c>
      <c r="ES143" s="20" t="inlineStr">
        <is>
          <t>None</t>
        </is>
      </c>
      <c r="ET143" s="17" t="n"/>
      <c r="EU143" s="16" t="n"/>
      <c r="EV143" s="20" t="inlineStr">
        <is>
          <t>LC-MS</t>
        </is>
      </c>
      <c r="EW143" s="20" t="inlineStr">
        <is>
          <t>None</t>
        </is>
      </c>
      <c r="EX143" s="17" t="n"/>
      <c r="EY143" s="21" t="n"/>
      <c r="EZ143">
        <f>CONCATENATE(A143,B143)</f>
        <v/>
      </c>
      <c r="FA143">
        <f>CONCATENATE(SamplesX!A143,SamplesX!B143)</f>
        <v/>
      </c>
      <c r="FC143">
        <f>MATCH(EZ143,FA1:FA1008,0)</f>
        <v/>
      </c>
    </row>
    <row r="144">
      <c r="A144" s="16" t="inlineStr">
        <is>
          <t>BP</t>
        </is>
      </c>
      <c r="B144" s="17" t="inlineStr">
        <is>
          <t>25136</t>
        </is>
      </c>
      <c r="C144" s="10">
        <f>IF(ISNUMBER(FC144),INDIRECT("SamplesX!C"&amp;FC144),IF(ISNUMBER(FD144),INDIRECT("SamplesY!C"&amp;FD144),""))</f>
        <v/>
      </c>
      <c r="D144" s="12">
        <f>IF(ISNUMBER(FC144),INDIRECT("SamplesX!D"&amp;FC144),IF(ISNUMBER(FD144),INDIRECT("SamplesY!D"&amp;FD144),""))</f>
        <v/>
      </c>
      <c r="E144" s="12">
        <f>IF(ISNUMBER(FC144),INDIRECT("SamplesX!E"&amp;FC144),IF(ISNUMBER(FD144),INDIRECT("SamplesY!E"&amp;FD144),""))</f>
        <v/>
      </c>
      <c r="F144" s="11">
        <f>IF(ISNUMBER(FC144),INDIRECT("SamplesX!F"&amp;FC144),IF(ISNUMBER(FD144),INDIRECT("SamplesY!F"&amp;FD144),""))</f>
        <v/>
      </c>
      <c r="G144" s="18">
        <f>IF(ISNUMBER(FC144),INDIRECT("SamplesX!G"&amp;FC144),IF(ISNUMBER(FD144),INDIRECT("SamplesY!G"&amp;FD144),""))</f>
        <v/>
      </c>
      <c r="H144" s="19">
        <f>IF(ISNUMBER(FC144),INDIRECT("SamplesX!H"&amp;FC144),IF(ISNUMBER(FD144),INDIRECT("SamplesY!H"&amp;FD144),""))</f>
        <v/>
      </c>
      <c r="I144" s="16" t="n"/>
      <c r="J144" s="16" t="n"/>
      <c r="K144" s="16" t="n"/>
      <c r="L144" s="20" t="n"/>
      <c r="M144" s="20" t="inlineStr">
        <is>
          <t>None</t>
        </is>
      </c>
      <c r="N144" s="17" t="n"/>
      <c r="O144" s="16" t="n"/>
      <c r="P144" s="20" t="inlineStr">
        <is>
          <t>Shimadzu TOC-L</t>
        </is>
      </c>
      <c r="Q144" s="20" t="inlineStr">
        <is>
          <t>None</t>
        </is>
      </c>
      <c r="R144" s="17" t="n"/>
      <c r="S144" s="16" t="n"/>
      <c r="T144" s="20" t="inlineStr">
        <is>
          <t>Shimadzu TOC-L</t>
        </is>
      </c>
      <c r="U144" s="20" t="inlineStr">
        <is>
          <t>None</t>
        </is>
      </c>
      <c r="V144" s="17" t="n"/>
      <c r="W144" s="16" t="n"/>
      <c r="X144" s="20" t="n"/>
      <c r="Y144" s="20" t="inlineStr">
        <is>
          <t>None</t>
        </is>
      </c>
      <c r="Z144" s="17" t="n"/>
      <c r="AA144" s="16" t="n"/>
      <c r="AB144" s="20" t="n"/>
      <c r="AC144" s="20" t="inlineStr">
        <is>
          <t>None</t>
        </is>
      </c>
      <c r="AD144" s="17" t="n"/>
      <c r="AE144" s="16" t="n"/>
      <c r="AF144" s="20" t="inlineStr">
        <is>
          <t>IC Anionen</t>
        </is>
      </c>
      <c r="AG144" s="20" t="inlineStr">
        <is>
          <t>None</t>
        </is>
      </c>
      <c r="AH144" s="17" t="n"/>
      <c r="AI144" s="16" t="n"/>
      <c r="AJ144" s="20" t="n"/>
      <c r="AK144" s="20" t="inlineStr">
        <is>
          <t>None</t>
        </is>
      </c>
      <c r="AL144" s="17" t="n"/>
      <c r="AM144" s="16" t="n"/>
      <c r="AN144" s="20" t="inlineStr">
        <is>
          <t>IC Anionen</t>
        </is>
      </c>
      <c r="AO144" s="20" t="inlineStr">
        <is>
          <t>None</t>
        </is>
      </c>
      <c r="AP144" s="17" t="n"/>
      <c r="AQ144" s="16" t="n"/>
      <c r="AR144" s="20" t="n"/>
      <c r="AS144" s="20" t="inlineStr">
        <is>
          <t>None</t>
        </is>
      </c>
      <c r="AT144" s="17" t="n"/>
      <c r="AU144" s="16" t="inlineStr">
        <is>
          <t>11.8</t>
        </is>
      </c>
      <c r="AV144" s="20" t="inlineStr">
        <is>
          <t>IC Anionen</t>
        </is>
      </c>
      <c r="AW144" s="20" t="inlineStr">
        <is>
          <t>None</t>
        </is>
      </c>
      <c r="AX144" s="17" t="inlineStr">
        <is>
          <t>1*5</t>
        </is>
      </c>
      <c r="AY144" s="16" t="n"/>
      <c r="AZ144" s="20" t="inlineStr">
        <is>
          <t>IC Anionen</t>
        </is>
      </c>
      <c r="BA144" s="20" t="inlineStr">
        <is>
          <t>None</t>
        </is>
      </c>
      <c r="BB144" s="17" t="n"/>
      <c r="BC144" s="16" t="n"/>
      <c r="BD144" s="20" t="inlineStr">
        <is>
          <t>IC Kationen</t>
        </is>
      </c>
      <c r="BE144" s="20" t="inlineStr">
        <is>
          <t>None</t>
        </is>
      </c>
      <c r="BF144" s="17" t="n"/>
      <c r="BG144" s="16" t="inlineStr">
        <is>
          <t>24.1</t>
        </is>
      </c>
      <c r="BH144" s="20" t="inlineStr">
        <is>
          <t>FIA Lachat QC8500</t>
        </is>
      </c>
      <c r="BI144" s="20" t="inlineStr">
        <is>
          <t>None</t>
        </is>
      </c>
      <c r="BJ144" s="17" t="n"/>
      <c r="BK144" s="16" t="n"/>
      <c r="BL144" s="20" t="inlineStr">
        <is>
          <t>IC Kationen</t>
        </is>
      </c>
      <c r="BM144" s="20" t="inlineStr">
        <is>
          <t>None</t>
        </is>
      </c>
      <c r="BN144" s="17" t="n"/>
      <c r="BO144" s="16" t="n"/>
      <c r="BP144" s="20" t="inlineStr">
        <is>
          <t>IC Kationen</t>
        </is>
      </c>
      <c r="BQ144" s="20" t="inlineStr">
        <is>
          <t>None</t>
        </is>
      </c>
      <c r="BR144" s="17" t="n"/>
      <c r="BS144" s="16" t="n"/>
      <c r="BT144" s="20" t="inlineStr">
        <is>
          <t>IC Kationen</t>
        </is>
      </c>
      <c r="BU144" s="20" t="inlineStr">
        <is>
          <t>None</t>
        </is>
      </c>
      <c r="BV144" s="17" t="n"/>
      <c r="BW144" s="16" t="n"/>
      <c r="BX144" s="20" t="n"/>
      <c r="BY144" s="20" t="inlineStr">
        <is>
          <t>None</t>
        </is>
      </c>
      <c r="BZ144" s="17" t="n"/>
      <c r="CA144" s="16" t="n"/>
      <c r="CB144" s="20" t="n"/>
      <c r="CC144" s="20" t="inlineStr">
        <is>
          <t>None</t>
        </is>
      </c>
      <c r="CD144" s="17" t="n"/>
      <c r="CE144" s="16" t="n"/>
      <c r="CF144" s="20" t="n"/>
      <c r="CG144" s="20" t="inlineStr">
        <is>
          <t>None</t>
        </is>
      </c>
      <c r="CH144" s="17" t="n"/>
      <c r="CI144" s="16" t="n"/>
      <c r="CJ144" s="20" t="n"/>
      <c r="CK144" s="20" t="inlineStr">
        <is>
          <t>None</t>
        </is>
      </c>
      <c r="CL144" s="17" t="n"/>
      <c r="CM144" s="16" t="n"/>
      <c r="CN144" s="20" t="inlineStr">
        <is>
          <t>SOP 45-34</t>
        </is>
      </c>
      <c r="CO144" s="20" t="inlineStr">
        <is>
          <t>None</t>
        </is>
      </c>
      <c r="CP144" s="17" t="n"/>
      <c r="CQ144" s="16" t="n"/>
      <c r="CR144" s="20" t="n"/>
      <c r="CS144" s="20" t="inlineStr">
        <is>
          <t>None</t>
        </is>
      </c>
      <c r="CT144" s="17" t="n"/>
      <c r="CU144" s="16" t="n"/>
      <c r="CV144" s="20" t="n"/>
      <c r="CW144" s="20" t="inlineStr">
        <is>
          <t>None</t>
        </is>
      </c>
      <c r="CX144" s="17" t="n"/>
      <c r="CY144" s="16" t="n"/>
      <c r="CZ144" s="20" t="inlineStr">
        <is>
          <t>WTW Multimeter 3430 with FDO 925</t>
        </is>
      </c>
      <c r="DA144" s="20" t="inlineStr">
        <is>
          <t>None</t>
        </is>
      </c>
      <c r="DB144" s="17" t="n"/>
      <c r="DC144" s="16" t="n"/>
      <c r="DD144" s="20" t="n"/>
      <c r="DE144" s="20" t="inlineStr">
        <is>
          <t>None</t>
        </is>
      </c>
      <c r="DF144" s="17" t="n"/>
      <c r="DG144" s="16" t="n"/>
      <c r="DH144" s="20" t="inlineStr">
        <is>
          <t>SOP 45-09</t>
        </is>
      </c>
      <c r="DI144" s="20" t="inlineStr">
        <is>
          <t>None</t>
        </is>
      </c>
      <c r="DJ144" s="17" t="n"/>
      <c r="DK144" s="16" t="n"/>
      <c r="DL144" s="20" t="inlineStr">
        <is>
          <t>SOP 45-09 (SOP muss noch angepasst werden für VSS)</t>
        </is>
      </c>
      <c r="DM144" s="20" t="inlineStr">
        <is>
          <t>None</t>
        </is>
      </c>
      <c r="DN144" s="17" t="n"/>
      <c r="DO144" s="16" t="n"/>
      <c r="DP144" s="20" t="inlineStr">
        <is>
          <t>IC Organic Acids</t>
        </is>
      </c>
      <c r="DQ144" s="20" t="inlineStr">
        <is>
          <t>None</t>
        </is>
      </c>
      <c r="DR144" s="17" t="n"/>
      <c r="DS144" s="16" t="n"/>
      <c r="DT144" s="20" t="inlineStr">
        <is>
          <t>IC Organic Acids</t>
        </is>
      </c>
      <c r="DU144" s="20" t="inlineStr">
        <is>
          <t>None</t>
        </is>
      </c>
      <c r="DV144" s="17" t="n"/>
      <c r="DW144" s="16" t="n"/>
      <c r="DX144" s="20" t="inlineStr">
        <is>
          <t>IC Organic Acids</t>
        </is>
      </c>
      <c r="DY144" s="20" t="inlineStr">
        <is>
          <t>None</t>
        </is>
      </c>
      <c r="DZ144" s="17" t="n"/>
      <c r="EA144" s="16" t="n"/>
      <c r="EB144" s="20" t="inlineStr">
        <is>
          <t>IC Organic Acids</t>
        </is>
      </c>
      <c r="EC144" s="20" t="inlineStr">
        <is>
          <t>None</t>
        </is>
      </c>
      <c r="ED144" s="17" t="n"/>
      <c r="EE144" s="16" t="n"/>
      <c r="EF144" s="20" t="inlineStr">
        <is>
          <t>IC Organic Acids</t>
        </is>
      </c>
      <c r="EG144" s="20" t="inlineStr">
        <is>
          <t>None</t>
        </is>
      </c>
      <c r="EH144" s="17" t="n"/>
      <c r="EI144" s="16" t="n"/>
      <c r="EJ144" s="20" t="inlineStr">
        <is>
          <t>IC Organic Acids</t>
        </is>
      </c>
      <c r="EK144" s="20" t="inlineStr">
        <is>
          <t>None</t>
        </is>
      </c>
      <c r="EL144" s="17" t="n"/>
      <c r="EM144" s="16" t="n"/>
      <c r="EN144" s="20" t="inlineStr">
        <is>
          <t>IC Organic Acids</t>
        </is>
      </c>
      <c r="EO144" s="20" t="inlineStr">
        <is>
          <t>None</t>
        </is>
      </c>
      <c r="EP144" s="17" t="n"/>
      <c r="EQ144" s="16" t="n"/>
      <c r="ER144" s="20" t="inlineStr">
        <is>
          <t>IC Organic Acids</t>
        </is>
      </c>
      <c r="ES144" s="20" t="inlineStr">
        <is>
          <t>None</t>
        </is>
      </c>
      <c r="ET144" s="17" t="n"/>
      <c r="EU144" s="16" t="n"/>
      <c r="EV144" s="20" t="inlineStr">
        <is>
          <t>LC-MS</t>
        </is>
      </c>
      <c r="EW144" s="20" t="inlineStr">
        <is>
          <t>None</t>
        </is>
      </c>
      <c r="EX144" s="17" t="n"/>
      <c r="EY144" s="21" t="n"/>
      <c r="EZ144">
        <f>CONCATENATE(A144,B144)</f>
        <v/>
      </c>
      <c r="FA144">
        <f>CONCATENATE(SamplesX!A144,SamplesX!B144)</f>
        <v/>
      </c>
      <c r="FC144">
        <f>MATCH(EZ144,FA1:FA1008,0)</f>
        <v/>
      </c>
    </row>
    <row r="145">
      <c r="A145" s="16" t="inlineStr">
        <is>
          <t>BP</t>
        </is>
      </c>
      <c r="B145" s="17" t="inlineStr">
        <is>
          <t>25137</t>
        </is>
      </c>
      <c r="C145" s="10">
        <f>IF(ISNUMBER(FC145),INDIRECT("SamplesX!C"&amp;FC145),IF(ISNUMBER(FD145),INDIRECT("SamplesY!C"&amp;FD145),""))</f>
        <v/>
      </c>
      <c r="D145" s="12">
        <f>IF(ISNUMBER(FC145),INDIRECT("SamplesX!D"&amp;FC145),IF(ISNUMBER(FD145),INDIRECT("SamplesY!D"&amp;FD145),""))</f>
        <v/>
      </c>
      <c r="E145" s="12">
        <f>IF(ISNUMBER(FC145),INDIRECT("SamplesX!E"&amp;FC145),IF(ISNUMBER(FD145),INDIRECT("SamplesY!E"&amp;FD145),""))</f>
        <v/>
      </c>
      <c r="F145" s="11">
        <f>IF(ISNUMBER(FC145),INDIRECT("SamplesX!F"&amp;FC145),IF(ISNUMBER(FD145),INDIRECT("SamplesY!F"&amp;FD145),""))</f>
        <v/>
      </c>
      <c r="G145" s="18">
        <f>IF(ISNUMBER(FC145),INDIRECT("SamplesX!G"&amp;FC145),IF(ISNUMBER(FD145),INDIRECT("SamplesY!G"&amp;FD145),""))</f>
        <v/>
      </c>
      <c r="H145" s="19">
        <f>IF(ISNUMBER(FC145),INDIRECT("SamplesX!H"&amp;FC145),IF(ISNUMBER(FD145),INDIRECT("SamplesY!H"&amp;FD145),""))</f>
        <v/>
      </c>
      <c r="I145" s="16" t="n"/>
      <c r="J145" s="16" t="n"/>
      <c r="K145" s="16" t="n"/>
      <c r="L145" s="20" t="n"/>
      <c r="M145" s="20" t="inlineStr">
        <is>
          <t>None</t>
        </is>
      </c>
      <c r="N145" s="17" t="n"/>
      <c r="O145" s="16" t="n"/>
      <c r="P145" s="20" t="inlineStr">
        <is>
          <t>Shimadzu TOC-L</t>
        </is>
      </c>
      <c r="Q145" s="20" t="inlineStr">
        <is>
          <t>None</t>
        </is>
      </c>
      <c r="R145" s="17" t="n"/>
      <c r="S145" s="16" t="n"/>
      <c r="T145" s="20" t="inlineStr">
        <is>
          <t>Shimadzu TOC-L</t>
        </is>
      </c>
      <c r="U145" s="20" t="inlineStr">
        <is>
          <t>None</t>
        </is>
      </c>
      <c r="V145" s="17" t="n"/>
      <c r="W145" s="16" t="n"/>
      <c r="X145" s="20" t="n"/>
      <c r="Y145" s="20" t="inlineStr">
        <is>
          <t>None</t>
        </is>
      </c>
      <c r="Z145" s="17" t="n"/>
      <c r="AA145" s="16" t="n"/>
      <c r="AB145" s="20" t="n"/>
      <c r="AC145" s="20" t="inlineStr">
        <is>
          <t>None</t>
        </is>
      </c>
      <c r="AD145" s="17" t="n"/>
      <c r="AE145" s="16" t="n"/>
      <c r="AF145" s="20" t="inlineStr">
        <is>
          <t>IC Anionen</t>
        </is>
      </c>
      <c r="AG145" s="20" t="inlineStr">
        <is>
          <t>None</t>
        </is>
      </c>
      <c r="AH145" s="17" t="n"/>
      <c r="AI145" s="16" t="n"/>
      <c r="AJ145" s="20" t="n"/>
      <c r="AK145" s="20" t="inlineStr">
        <is>
          <t>None</t>
        </is>
      </c>
      <c r="AL145" s="17" t="n"/>
      <c r="AM145" s="16" t="n"/>
      <c r="AN145" s="20" t="inlineStr">
        <is>
          <t>IC Anionen</t>
        </is>
      </c>
      <c r="AO145" s="20" t="inlineStr">
        <is>
          <t>None</t>
        </is>
      </c>
      <c r="AP145" s="17" t="n"/>
      <c r="AQ145" s="16" t="n"/>
      <c r="AR145" s="20" t="n"/>
      <c r="AS145" s="20" t="inlineStr">
        <is>
          <t>None</t>
        </is>
      </c>
      <c r="AT145" s="17" t="n"/>
      <c r="AU145" s="16" t="inlineStr">
        <is>
          <t>12.2</t>
        </is>
      </c>
      <c r="AV145" s="20" t="inlineStr">
        <is>
          <t>IC Anionen</t>
        </is>
      </c>
      <c r="AW145" s="20" t="inlineStr">
        <is>
          <t>None</t>
        </is>
      </c>
      <c r="AX145" s="17" t="inlineStr">
        <is>
          <t>1*5</t>
        </is>
      </c>
      <c r="AY145" s="16" t="n"/>
      <c r="AZ145" s="20" t="inlineStr">
        <is>
          <t>IC Anionen</t>
        </is>
      </c>
      <c r="BA145" s="20" t="inlineStr">
        <is>
          <t>None</t>
        </is>
      </c>
      <c r="BB145" s="17" t="n"/>
      <c r="BC145" s="16" t="n"/>
      <c r="BD145" s="20" t="inlineStr">
        <is>
          <t>IC Kationen</t>
        </is>
      </c>
      <c r="BE145" s="20" t="inlineStr">
        <is>
          <t>None</t>
        </is>
      </c>
      <c r="BF145" s="17" t="n"/>
      <c r="BG145" s="16" t="inlineStr">
        <is>
          <t>24.5</t>
        </is>
      </c>
      <c r="BH145" s="20" t="inlineStr">
        <is>
          <t>FIA Lachat QC8500</t>
        </is>
      </c>
      <c r="BI145" s="20" t="inlineStr">
        <is>
          <t>None</t>
        </is>
      </c>
      <c r="BJ145" s="17" t="n"/>
      <c r="BK145" s="16" t="n"/>
      <c r="BL145" s="20" t="inlineStr">
        <is>
          <t>IC Kationen</t>
        </is>
      </c>
      <c r="BM145" s="20" t="inlineStr">
        <is>
          <t>None</t>
        </is>
      </c>
      <c r="BN145" s="17" t="n"/>
      <c r="BO145" s="16" t="n"/>
      <c r="BP145" s="20" t="inlineStr">
        <is>
          <t>IC Kationen</t>
        </is>
      </c>
      <c r="BQ145" s="20" t="inlineStr">
        <is>
          <t>None</t>
        </is>
      </c>
      <c r="BR145" s="17" t="n"/>
      <c r="BS145" s="16" t="n"/>
      <c r="BT145" s="20" t="inlineStr">
        <is>
          <t>IC Kationen</t>
        </is>
      </c>
      <c r="BU145" s="20" t="inlineStr">
        <is>
          <t>None</t>
        </is>
      </c>
      <c r="BV145" s="17" t="n"/>
      <c r="BW145" s="16" t="n"/>
      <c r="BX145" s="20" t="n"/>
      <c r="BY145" s="20" t="inlineStr">
        <is>
          <t>None</t>
        </is>
      </c>
      <c r="BZ145" s="17" t="n"/>
      <c r="CA145" s="16" t="n"/>
      <c r="CB145" s="20" t="n"/>
      <c r="CC145" s="20" t="inlineStr">
        <is>
          <t>None</t>
        </is>
      </c>
      <c r="CD145" s="17" t="n"/>
      <c r="CE145" s="16" t="n"/>
      <c r="CF145" s="20" t="n"/>
      <c r="CG145" s="20" t="inlineStr">
        <is>
          <t>None</t>
        </is>
      </c>
      <c r="CH145" s="17" t="n"/>
      <c r="CI145" s="16" t="n"/>
      <c r="CJ145" s="20" t="n"/>
      <c r="CK145" s="20" t="inlineStr">
        <is>
          <t>None</t>
        </is>
      </c>
      <c r="CL145" s="17" t="n"/>
      <c r="CM145" s="16" t="n"/>
      <c r="CN145" s="20" t="inlineStr">
        <is>
          <t>SOP 45-34</t>
        </is>
      </c>
      <c r="CO145" s="20" t="inlineStr">
        <is>
          <t>None</t>
        </is>
      </c>
      <c r="CP145" s="17" t="n"/>
      <c r="CQ145" s="16" t="n"/>
      <c r="CR145" s="20" t="n"/>
      <c r="CS145" s="20" t="inlineStr">
        <is>
          <t>None</t>
        </is>
      </c>
      <c r="CT145" s="17" t="n"/>
      <c r="CU145" s="16" t="n"/>
      <c r="CV145" s="20" t="n"/>
      <c r="CW145" s="20" t="inlineStr">
        <is>
          <t>None</t>
        </is>
      </c>
      <c r="CX145" s="17" t="n"/>
      <c r="CY145" s="16" t="n"/>
      <c r="CZ145" s="20" t="inlineStr">
        <is>
          <t>WTW Multimeter 3430 with FDO 925</t>
        </is>
      </c>
      <c r="DA145" s="20" t="inlineStr">
        <is>
          <t>None</t>
        </is>
      </c>
      <c r="DB145" s="17" t="n"/>
      <c r="DC145" s="16" t="n"/>
      <c r="DD145" s="20" t="n"/>
      <c r="DE145" s="20" t="inlineStr">
        <is>
          <t>None</t>
        </is>
      </c>
      <c r="DF145" s="17" t="n"/>
      <c r="DG145" s="16" t="n"/>
      <c r="DH145" s="20" t="inlineStr">
        <is>
          <t>SOP 45-09</t>
        </is>
      </c>
      <c r="DI145" s="20" t="inlineStr">
        <is>
          <t>None</t>
        </is>
      </c>
      <c r="DJ145" s="17" t="n"/>
      <c r="DK145" s="16" t="n"/>
      <c r="DL145" s="20" t="inlineStr">
        <is>
          <t>SOP 45-09 (SOP muss noch angepasst werden für VSS)</t>
        </is>
      </c>
      <c r="DM145" s="20" t="inlineStr">
        <is>
          <t>None</t>
        </is>
      </c>
      <c r="DN145" s="17" t="n"/>
      <c r="DO145" s="16" t="n"/>
      <c r="DP145" s="20" t="inlineStr">
        <is>
          <t>IC Organic Acids</t>
        </is>
      </c>
      <c r="DQ145" s="20" t="inlineStr">
        <is>
          <t>None</t>
        </is>
      </c>
      <c r="DR145" s="17" t="n"/>
      <c r="DS145" s="16" t="n"/>
      <c r="DT145" s="20" t="inlineStr">
        <is>
          <t>IC Organic Acids</t>
        </is>
      </c>
      <c r="DU145" s="20" t="inlineStr">
        <is>
          <t>None</t>
        </is>
      </c>
      <c r="DV145" s="17" t="n"/>
      <c r="DW145" s="16" t="n"/>
      <c r="DX145" s="20" t="inlineStr">
        <is>
          <t>IC Organic Acids</t>
        </is>
      </c>
      <c r="DY145" s="20" t="inlineStr">
        <is>
          <t>None</t>
        </is>
      </c>
      <c r="DZ145" s="17" t="n"/>
      <c r="EA145" s="16" t="n"/>
      <c r="EB145" s="20" t="inlineStr">
        <is>
          <t>IC Organic Acids</t>
        </is>
      </c>
      <c r="EC145" s="20" t="inlineStr">
        <is>
          <t>None</t>
        </is>
      </c>
      <c r="ED145" s="17" t="n"/>
      <c r="EE145" s="16" t="n"/>
      <c r="EF145" s="20" t="inlineStr">
        <is>
          <t>IC Organic Acids</t>
        </is>
      </c>
      <c r="EG145" s="20" t="inlineStr">
        <is>
          <t>None</t>
        </is>
      </c>
      <c r="EH145" s="17" t="n"/>
      <c r="EI145" s="16" t="n"/>
      <c r="EJ145" s="20" t="inlineStr">
        <is>
          <t>IC Organic Acids</t>
        </is>
      </c>
      <c r="EK145" s="20" t="inlineStr">
        <is>
          <t>None</t>
        </is>
      </c>
      <c r="EL145" s="17" t="n"/>
      <c r="EM145" s="16" t="n"/>
      <c r="EN145" s="20" t="inlineStr">
        <is>
          <t>IC Organic Acids</t>
        </is>
      </c>
      <c r="EO145" s="20" t="inlineStr">
        <is>
          <t>None</t>
        </is>
      </c>
      <c r="EP145" s="17" t="n"/>
      <c r="EQ145" s="16" t="n"/>
      <c r="ER145" s="20" t="inlineStr">
        <is>
          <t>IC Organic Acids</t>
        </is>
      </c>
      <c r="ES145" s="20" t="inlineStr">
        <is>
          <t>None</t>
        </is>
      </c>
      <c r="ET145" s="17" t="n"/>
      <c r="EU145" s="16" t="n"/>
      <c r="EV145" s="20" t="inlineStr">
        <is>
          <t>LC-MS</t>
        </is>
      </c>
      <c r="EW145" s="20" t="inlineStr">
        <is>
          <t>None</t>
        </is>
      </c>
      <c r="EX145" s="17" t="n"/>
      <c r="EY145" s="21" t="n"/>
      <c r="EZ145">
        <f>CONCATENATE(A145,B145)</f>
        <v/>
      </c>
      <c r="FA145">
        <f>CONCATENATE(SamplesX!A145,SamplesX!B145)</f>
        <v/>
      </c>
      <c r="FC145">
        <f>MATCH(EZ145,FA1:FA1008,0)</f>
        <v/>
      </c>
    </row>
    <row r="146">
      <c r="A146" s="16" t="inlineStr">
        <is>
          <t>BP</t>
        </is>
      </c>
      <c r="B146" s="17" t="inlineStr">
        <is>
          <t>25138</t>
        </is>
      </c>
      <c r="C146" s="10">
        <f>IF(ISNUMBER(FC146),INDIRECT("SamplesX!C"&amp;FC146),IF(ISNUMBER(FD146),INDIRECT("SamplesY!C"&amp;FD146),""))</f>
        <v/>
      </c>
      <c r="D146" s="12">
        <f>IF(ISNUMBER(FC146),INDIRECT("SamplesX!D"&amp;FC146),IF(ISNUMBER(FD146),INDIRECT("SamplesY!D"&amp;FD146),""))</f>
        <v/>
      </c>
      <c r="E146" s="12">
        <f>IF(ISNUMBER(FC146),INDIRECT("SamplesX!E"&amp;FC146),IF(ISNUMBER(FD146),INDIRECT("SamplesY!E"&amp;FD146),""))</f>
        <v/>
      </c>
      <c r="F146" s="11">
        <f>IF(ISNUMBER(FC146),INDIRECT("SamplesX!F"&amp;FC146),IF(ISNUMBER(FD146),INDIRECT("SamplesY!F"&amp;FD146),""))</f>
        <v/>
      </c>
      <c r="G146" s="18">
        <f>IF(ISNUMBER(FC146),INDIRECT("SamplesX!G"&amp;FC146),IF(ISNUMBER(FD146),INDIRECT("SamplesY!G"&amp;FD146),""))</f>
        <v/>
      </c>
      <c r="H146" s="19">
        <f>IF(ISNUMBER(FC146),INDIRECT("SamplesX!H"&amp;FC146),IF(ISNUMBER(FD146),INDIRECT("SamplesY!H"&amp;FD146),""))</f>
        <v/>
      </c>
      <c r="I146" s="16" t="n"/>
      <c r="J146" s="16" t="n"/>
      <c r="K146" s="16" t="n"/>
      <c r="L146" s="20" t="n"/>
      <c r="M146" s="20" t="inlineStr">
        <is>
          <t>None</t>
        </is>
      </c>
      <c r="N146" s="17" t="n"/>
      <c r="O146" s="16" t="n"/>
      <c r="P146" s="20" t="inlineStr">
        <is>
          <t>Shimadzu TOC-L</t>
        </is>
      </c>
      <c r="Q146" s="20" t="inlineStr">
        <is>
          <t>None</t>
        </is>
      </c>
      <c r="R146" s="17" t="n"/>
      <c r="S146" s="16" t="n"/>
      <c r="T146" s="20" t="inlineStr">
        <is>
          <t>Shimadzu TOC-L</t>
        </is>
      </c>
      <c r="U146" s="20" t="inlineStr">
        <is>
          <t>None</t>
        </is>
      </c>
      <c r="V146" s="17" t="n"/>
      <c r="W146" s="16" t="n"/>
      <c r="X146" s="20" t="n"/>
      <c r="Y146" s="20" t="inlineStr">
        <is>
          <t>None</t>
        </is>
      </c>
      <c r="Z146" s="17" t="n"/>
      <c r="AA146" s="16" t="n"/>
      <c r="AB146" s="20" t="n"/>
      <c r="AC146" s="20" t="inlineStr">
        <is>
          <t>None</t>
        </is>
      </c>
      <c r="AD146" s="17" t="n"/>
      <c r="AE146" s="16" t="n"/>
      <c r="AF146" s="20" t="inlineStr">
        <is>
          <t>IC Anionen</t>
        </is>
      </c>
      <c r="AG146" s="20" t="inlineStr">
        <is>
          <t>None</t>
        </is>
      </c>
      <c r="AH146" s="17" t="n"/>
      <c r="AI146" s="16" t="n"/>
      <c r="AJ146" s="20" t="n"/>
      <c r="AK146" s="20" t="inlineStr">
        <is>
          <t>None</t>
        </is>
      </c>
      <c r="AL146" s="17" t="n"/>
      <c r="AM146" s="16" t="n"/>
      <c r="AN146" s="20" t="inlineStr">
        <is>
          <t>IC Anionen</t>
        </is>
      </c>
      <c r="AO146" s="20" t="inlineStr">
        <is>
          <t>None</t>
        </is>
      </c>
      <c r="AP146" s="17" t="n"/>
      <c r="AQ146" s="16" t="n"/>
      <c r="AR146" s="20" t="n"/>
      <c r="AS146" s="20" t="inlineStr">
        <is>
          <t>None</t>
        </is>
      </c>
      <c r="AT146" s="17" t="n"/>
      <c r="AU146" s="16" t="inlineStr">
        <is>
          <t>12.0</t>
        </is>
      </c>
      <c r="AV146" s="20" t="inlineStr">
        <is>
          <t>IC Anionen</t>
        </is>
      </c>
      <c r="AW146" s="20" t="inlineStr">
        <is>
          <t>None</t>
        </is>
      </c>
      <c r="AX146" s="17" t="inlineStr">
        <is>
          <t>1*5</t>
        </is>
      </c>
      <c r="AY146" s="16" t="n"/>
      <c r="AZ146" s="20" t="inlineStr">
        <is>
          <t>IC Anionen</t>
        </is>
      </c>
      <c r="BA146" s="20" t="inlineStr">
        <is>
          <t>None</t>
        </is>
      </c>
      <c r="BB146" s="17" t="n"/>
      <c r="BC146" s="16" t="n"/>
      <c r="BD146" s="20" t="inlineStr">
        <is>
          <t>IC Kationen</t>
        </is>
      </c>
      <c r="BE146" s="20" t="inlineStr">
        <is>
          <t>None</t>
        </is>
      </c>
      <c r="BF146" s="17" t="n"/>
      <c r="BG146" s="16" t="inlineStr">
        <is>
          <t>23.9</t>
        </is>
      </c>
      <c r="BH146" s="20" t="inlineStr">
        <is>
          <t>FIA Lachat QC8500</t>
        </is>
      </c>
      <c r="BI146" s="20" t="inlineStr">
        <is>
          <t>None</t>
        </is>
      </c>
      <c r="BJ146" s="17" t="n"/>
      <c r="BK146" s="16" t="n"/>
      <c r="BL146" s="20" t="inlineStr">
        <is>
          <t>IC Kationen</t>
        </is>
      </c>
      <c r="BM146" s="20" t="inlineStr">
        <is>
          <t>None</t>
        </is>
      </c>
      <c r="BN146" s="17" t="n"/>
      <c r="BO146" s="16" t="n"/>
      <c r="BP146" s="20" t="inlineStr">
        <is>
          <t>IC Kationen</t>
        </is>
      </c>
      <c r="BQ146" s="20" t="inlineStr">
        <is>
          <t>None</t>
        </is>
      </c>
      <c r="BR146" s="17" t="n"/>
      <c r="BS146" s="16" t="n"/>
      <c r="BT146" s="20" t="inlineStr">
        <is>
          <t>IC Kationen</t>
        </is>
      </c>
      <c r="BU146" s="20" t="inlineStr">
        <is>
          <t>None</t>
        </is>
      </c>
      <c r="BV146" s="17" t="n"/>
      <c r="BW146" s="16" t="n"/>
      <c r="BX146" s="20" t="n"/>
      <c r="BY146" s="20" t="inlineStr">
        <is>
          <t>None</t>
        </is>
      </c>
      <c r="BZ146" s="17" t="n"/>
      <c r="CA146" s="16" t="n"/>
      <c r="CB146" s="20" t="n"/>
      <c r="CC146" s="20" t="inlineStr">
        <is>
          <t>None</t>
        </is>
      </c>
      <c r="CD146" s="17" t="n"/>
      <c r="CE146" s="16" t="n"/>
      <c r="CF146" s="20" t="n"/>
      <c r="CG146" s="20" t="inlineStr">
        <is>
          <t>None</t>
        </is>
      </c>
      <c r="CH146" s="17" t="n"/>
      <c r="CI146" s="16" t="n"/>
      <c r="CJ146" s="20" t="n"/>
      <c r="CK146" s="20" t="inlineStr">
        <is>
          <t>None</t>
        </is>
      </c>
      <c r="CL146" s="17" t="n"/>
      <c r="CM146" s="16" t="n"/>
      <c r="CN146" s="20" t="inlineStr">
        <is>
          <t>SOP 45-34</t>
        </is>
      </c>
      <c r="CO146" s="20" t="inlineStr">
        <is>
          <t>None</t>
        </is>
      </c>
      <c r="CP146" s="17" t="n"/>
      <c r="CQ146" s="16" t="n"/>
      <c r="CR146" s="20" t="n"/>
      <c r="CS146" s="20" t="inlineStr">
        <is>
          <t>None</t>
        </is>
      </c>
      <c r="CT146" s="17" t="n"/>
      <c r="CU146" s="16" t="n"/>
      <c r="CV146" s="20" t="n"/>
      <c r="CW146" s="20" t="inlineStr">
        <is>
          <t>None</t>
        </is>
      </c>
      <c r="CX146" s="17" t="n"/>
      <c r="CY146" s="16" t="n"/>
      <c r="CZ146" s="20" t="inlineStr">
        <is>
          <t>WTW Multimeter 3430 with FDO 925</t>
        </is>
      </c>
      <c r="DA146" s="20" t="inlineStr">
        <is>
          <t>None</t>
        </is>
      </c>
      <c r="DB146" s="17" t="n"/>
      <c r="DC146" s="16" t="n"/>
      <c r="DD146" s="20" t="n"/>
      <c r="DE146" s="20" t="inlineStr">
        <is>
          <t>None</t>
        </is>
      </c>
      <c r="DF146" s="17" t="n"/>
      <c r="DG146" s="16" t="n"/>
      <c r="DH146" s="20" t="inlineStr">
        <is>
          <t>SOP 45-09</t>
        </is>
      </c>
      <c r="DI146" s="20" t="inlineStr">
        <is>
          <t>None</t>
        </is>
      </c>
      <c r="DJ146" s="17" t="n"/>
      <c r="DK146" s="16" t="n"/>
      <c r="DL146" s="20" t="inlineStr">
        <is>
          <t>SOP 45-09 (SOP muss noch angepasst werden für VSS)</t>
        </is>
      </c>
      <c r="DM146" s="20" t="inlineStr">
        <is>
          <t>None</t>
        </is>
      </c>
      <c r="DN146" s="17" t="n"/>
      <c r="DO146" s="16" t="n"/>
      <c r="DP146" s="20" t="inlineStr">
        <is>
          <t>IC Organic Acids</t>
        </is>
      </c>
      <c r="DQ146" s="20" t="inlineStr">
        <is>
          <t>None</t>
        </is>
      </c>
      <c r="DR146" s="17" t="n"/>
      <c r="DS146" s="16" t="n"/>
      <c r="DT146" s="20" t="inlineStr">
        <is>
          <t>IC Organic Acids</t>
        </is>
      </c>
      <c r="DU146" s="20" t="inlineStr">
        <is>
          <t>None</t>
        </is>
      </c>
      <c r="DV146" s="17" t="n"/>
      <c r="DW146" s="16" t="n"/>
      <c r="DX146" s="20" t="inlineStr">
        <is>
          <t>IC Organic Acids</t>
        </is>
      </c>
      <c r="DY146" s="20" t="inlineStr">
        <is>
          <t>None</t>
        </is>
      </c>
      <c r="DZ146" s="17" t="n"/>
      <c r="EA146" s="16" t="n"/>
      <c r="EB146" s="20" t="inlineStr">
        <is>
          <t>IC Organic Acids</t>
        </is>
      </c>
      <c r="EC146" s="20" t="inlineStr">
        <is>
          <t>None</t>
        </is>
      </c>
      <c r="ED146" s="17" t="n"/>
      <c r="EE146" s="16" t="n"/>
      <c r="EF146" s="20" t="inlineStr">
        <is>
          <t>IC Organic Acids</t>
        </is>
      </c>
      <c r="EG146" s="20" t="inlineStr">
        <is>
          <t>None</t>
        </is>
      </c>
      <c r="EH146" s="17" t="n"/>
      <c r="EI146" s="16" t="n"/>
      <c r="EJ146" s="20" t="inlineStr">
        <is>
          <t>IC Organic Acids</t>
        </is>
      </c>
      <c r="EK146" s="20" t="inlineStr">
        <is>
          <t>None</t>
        </is>
      </c>
      <c r="EL146" s="17" t="n"/>
      <c r="EM146" s="16" t="n"/>
      <c r="EN146" s="20" t="inlineStr">
        <is>
          <t>IC Organic Acids</t>
        </is>
      </c>
      <c r="EO146" s="20" t="inlineStr">
        <is>
          <t>None</t>
        </is>
      </c>
      <c r="EP146" s="17" t="n"/>
      <c r="EQ146" s="16" t="n"/>
      <c r="ER146" s="20" t="inlineStr">
        <is>
          <t>IC Organic Acids</t>
        </is>
      </c>
      <c r="ES146" s="20" t="inlineStr">
        <is>
          <t>None</t>
        </is>
      </c>
      <c r="ET146" s="17" t="n"/>
      <c r="EU146" s="16" t="n"/>
      <c r="EV146" s="20" t="inlineStr">
        <is>
          <t>LC-MS</t>
        </is>
      </c>
      <c r="EW146" s="20" t="inlineStr">
        <is>
          <t>None</t>
        </is>
      </c>
      <c r="EX146" s="17" t="n"/>
      <c r="EY146" s="21" t="n"/>
      <c r="EZ146">
        <f>CONCATENATE(A146,B146)</f>
        <v/>
      </c>
      <c r="FA146">
        <f>CONCATENATE(SamplesX!A146,SamplesX!B146)</f>
        <v/>
      </c>
      <c r="FC146">
        <f>MATCH(EZ146,FA1:FA1008,0)</f>
        <v/>
      </c>
    </row>
    <row r="147">
      <c r="A147" s="16" t="inlineStr">
        <is>
          <t>BP</t>
        </is>
      </c>
      <c r="B147" s="17" t="inlineStr">
        <is>
          <t>25139</t>
        </is>
      </c>
      <c r="C147" s="10">
        <f>IF(ISNUMBER(FC147),INDIRECT("SamplesX!C"&amp;FC147),IF(ISNUMBER(FD147),INDIRECT("SamplesY!C"&amp;FD147),""))</f>
        <v/>
      </c>
      <c r="D147" s="12">
        <f>IF(ISNUMBER(FC147),INDIRECT("SamplesX!D"&amp;FC147),IF(ISNUMBER(FD147),INDIRECT("SamplesY!D"&amp;FD147),""))</f>
        <v/>
      </c>
      <c r="E147" s="12">
        <f>IF(ISNUMBER(FC147),INDIRECT("SamplesX!E"&amp;FC147),IF(ISNUMBER(FD147),INDIRECT("SamplesY!E"&amp;FD147),""))</f>
        <v/>
      </c>
      <c r="F147" s="11">
        <f>IF(ISNUMBER(FC147),INDIRECT("SamplesX!F"&amp;FC147),IF(ISNUMBER(FD147),INDIRECT("SamplesY!F"&amp;FD147),""))</f>
        <v/>
      </c>
      <c r="G147" s="18">
        <f>IF(ISNUMBER(FC147),INDIRECT("SamplesX!G"&amp;FC147),IF(ISNUMBER(FD147),INDIRECT("SamplesY!G"&amp;FD147),""))</f>
        <v/>
      </c>
      <c r="H147" s="19">
        <f>IF(ISNUMBER(FC147),INDIRECT("SamplesX!H"&amp;FC147),IF(ISNUMBER(FD147),INDIRECT("SamplesY!H"&amp;FD147),""))</f>
        <v/>
      </c>
      <c r="I147" s="16" t="n"/>
      <c r="J147" s="16" t="n"/>
      <c r="K147" s="16" t="n"/>
      <c r="L147" s="20" t="n"/>
      <c r="M147" s="20" t="inlineStr">
        <is>
          <t>None</t>
        </is>
      </c>
      <c r="N147" s="17" t="n"/>
      <c r="O147" s="16" t="n"/>
      <c r="P147" s="20" t="inlineStr">
        <is>
          <t>Shimadzu TOC-L</t>
        </is>
      </c>
      <c r="Q147" s="20" t="inlineStr">
        <is>
          <t>None</t>
        </is>
      </c>
      <c r="R147" s="17" t="n"/>
      <c r="S147" s="16" t="n"/>
      <c r="T147" s="20" t="inlineStr">
        <is>
          <t>Shimadzu TOC-L</t>
        </is>
      </c>
      <c r="U147" s="20" t="inlineStr">
        <is>
          <t>None</t>
        </is>
      </c>
      <c r="V147" s="17" t="n"/>
      <c r="W147" s="16" t="n"/>
      <c r="X147" s="20" t="n"/>
      <c r="Y147" s="20" t="inlineStr">
        <is>
          <t>None</t>
        </is>
      </c>
      <c r="Z147" s="17" t="n"/>
      <c r="AA147" s="16" t="n"/>
      <c r="AB147" s="20" t="n"/>
      <c r="AC147" s="20" t="inlineStr">
        <is>
          <t>None</t>
        </is>
      </c>
      <c r="AD147" s="17" t="n"/>
      <c r="AE147" s="16" t="n"/>
      <c r="AF147" s="20" t="inlineStr">
        <is>
          <t>IC Anionen</t>
        </is>
      </c>
      <c r="AG147" s="20" t="inlineStr">
        <is>
          <t>None</t>
        </is>
      </c>
      <c r="AH147" s="17" t="n"/>
      <c r="AI147" s="16" t="n"/>
      <c r="AJ147" s="20" t="n"/>
      <c r="AK147" s="20" t="inlineStr">
        <is>
          <t>None</t>
        </is>
      </c>
      <c r="AL147" s="17" t="n"/>
      <c r="AM147" s="16" t="n"/>
      <c r="AN147" s="20" t="inlineStr">
        <is>
          <t>IC Anionen</t>
        </is>
      </c>
      <c r="AO147" s="20" t="inlineStr">
        <is>
          <t>None</t>
        </is>
      </c>
      <c r="AP147" s="17" t="n"/>
      <c r="AQ147" s="16" t="n"/>
      <c r="AR147" s="20" t="n"/>
      <c r="AS147" s="20" t="inlineStr">
        <is>
          <t>None</t>
        </is>
      </c>
      <c r="AT147" s="17" t="n"/>
      <c r="AU147" s="16" t="inlineStr">
        <is>
          <t>10.9</t>
        </is>
      </c>
      <c r="AV147" s="20" t="inlineStr">
        <is>
          <t>IC Anionen</t>
        </is>
      </c>
      <c r="AW147" s="20" t="inlineStr">
        <is>
          <t>None</t>
        </is>
      </c>
      <c r="AX147" s="17" t="inlineStr">
        <is>
          <t>1*5</t>
        </is>
      </c>
      <c r="AY147" s="16" t="n"/>
      <c r="AZ147" s="20" t="inlineStr">
        <is>
          <t>IC Anionen</t>
        </is>
      </c>
      <c r="BA147" s="20" t="inlineStr">
        <is>
          <t>None</t>
        </is>
      </c>
      <c r="BB147" s="17" t="n"/>
      <c r="BC147" s="16" t="n"/>
      <c r="BD147" s="20" t="inlineStr">
        <is>
          <t>IC Kationen</t>
        </is>
      </c>
      <c r="BE147" s="20" t="inlineStr">
        <is>
          <t>None</t>
        </is>
      </c>
      <c r="BF147" s="17" t="n"/>
      <c r="BG147" s="16" t="inlineStr">
        <is>
          <t>24.1</t>
        </is>
      </c>
      <c r="BH147" s="20" t="inlineStr">
        <is>
          <t>FIA Lachat QC8500</t>
        </is>
      </c>
      <c r="BI147" s="20" t="inlineStr">
        <is>
          <t>None</t>
        </is>
      </c>
      <c r="BJ147" s="17" t="n"/>
      <c r="BK147" s="16" t="n"/>
      <c r="BL147" s="20" t="inlineStr">
        <is>
          <t>IC Kationen</t>
        </is>
      </c>
      <c r="BM147" s="20" t="inlineStr">
        <is>
          <t>None</t>
        </is>
      </c>
      <c r="BN147" s="17" t="n"/>
      <c r="BO147" s="16" t="n"/>
      <c r="BP147" s="20" t="inlineStr">
        <is>
          <t>IC Kationen</t>
        </is>
      </c>
      <c r="BQ147" s="20" t="inlineStr">
        <is>
          <t>None</t>
        </is>
      </c>
      <c r="BR147" s="17" t="n"/>
      <c r="BS147" s="16" t="n"/>
      <c r="BT147" s="20" t="inlineStr">
        <is>
          <t>IC Kationen</t>
        </is>
      </c>
      <c r="BU147" s="20" t="inlineStr">
        <is>
          <t>None</t>
        </is>
      </c>
      <c r="BV147" s="17" t="n"/>
      <c r="BW147" s="16" t="n"/>
      <c r="BX147" s="20" t="n"/>
      <c r="BY147" s="20" t="inlineStr">
        <is>
          <t>None</t>
        </is>
      </c>
      <c r="BZ147" s="17" t="n"/>
      <c r="CA147" s="16" t="n"/>
      <c r="CB147" s="20" t="n"/>
      <c r="CC147" s="20" t="inlineStr">
        <is>
          <t>None</t>
        </is>
      </c>
      <c r="CD147" s="17" t="n"/>
      <c r="CE147" s="16" t="n"/>
      <c r="CF147" s="20" t="n"/>
      <c r="CG147" s="20" t="inlineStr">
        <is>
          <t>None</t>
        </is>
      </c>
      <c r="CH147" s="17" t="n"/>
      <c r="CI147" s="16" t="n"/>
      <c r="CJ147" s="20" t="n"/>
      <c r="CK147" s="20" t="inlineStr">
        <is>
          <t>None</t>
        </is>
      </c>
      <c r="CL147" s="17" t="n"/>
      <c r="CM147" s="16" t="n"/>
      <c r="CN147" s="20" t="inlineStr">
        <is>
          <t>SOP 45-34</t>
        </is>
      </c>
      <c r="CO147" s="20" t="inlineStr">
        <is>
          <t>None</t>
        </is>
      </c>
      <c r="CP147" s="17" t="n"/>
      <c r="CQ147" s="16" t="n"/>
      <c r="CR147" s="20" t="n"/>
      <c r="CS147" s="20" t="inlineStr">
        <is>
          <t>None</t>
        </is>
      </c>
      <c r="CT147" s="17" t="n"/>
      <c r="CU147" s="16" t="n"/>
      <c r="CV147" s="20" t="n"/>
      <c r="CW147" s="20" t="inlineStr">
        <is>
          <t>None</t>
        </is>
      </c>
      <c r="CX147" s="17" t="n"/>
      <c r="CY147" s="16" t="n"/>
      <c r="CZ147" s="20" t="inlineStr">
        <is>
          <t>WTW Multimeter 3430 with FDO 925</t>
        </is>
      </c>
      <c r="DA147" s="20" t="inlineStr">
        <is>
          <t>None</t>
        </is>
      </c>
      <c r="DB147" s="17" t="n"/>
      <c r="DC147" s="16" t="n"/>
      <c r="DD147" s="20" t="n"/>
      <c r="DE147" s="20" t="inlineStr">
        <is>
          <t>None</t>
        </is>
      </c>
      <c r="DF147" s="17" t="n"/>
      <c r="DG147" s="16" t="n"/>
      <c r="DH147" s="20" t="inlineStr">
        <is>
          <t>SOP 45-09</t>
        </is>
      </c>
      <c r="DI147" s="20" t="inlineStr">
        <is>
          <t>None</t>
        </is>
      </c>
      <c r="DJ147" s="17" t="n"/>
      <c r="DK147" s="16" t="n"/>
      <c r="DL147" s="20" t="inlineStr">
        <is>
          <t>SOP 45-09 (SOP muss noch angepasst werden für VSS)</t>
        </is>
      </c>
      <c r="DM147" s="20" t="inlineStr">
        <is>
          <t>None</t>
        </is>
      </c>
      <c r="DN147" s="17" t="n"/>
      <c r="DO147" s="16" t="n"/>
      <c r="DP147" s="20" t="inlineStr">
        <is>
          <t>IC Organic Acids</t>
        </is>
      </c>
      <c r="DQ147" s="20" t="inlineStr">
        <is>
          <t>None</t>
        </is>
      </c>
      <c r="DR147" s="17" t="n"/>
      <c r="DS147" s="16" t="n"/>
      <c r="DT147" s="20" t="inlineStr">
        <is>
          <t>IC Organic Acids</t>
        </is>
      </c>
      <c r="DU147" s="20" t="inlineStr">
        <is>
          <t>None</t>
        </is>
      </c>
      <c r="DV147" s="17" t="n"/>
      <c r="DW147" s="16" t="n"/>
      <c r="DX147" s="20" t="inlineStr">
        <is>
          <t>IC Organic Acids</t>
        </is>
      </c>
      <c r="DY147" s="20" t="inlineStr">
        <is>
          <t>None</t>
        </is>
      </c>
      <c r="DZ147" s="17" t="n"/>
      <c r="EA147" s="16" t="n"/>
      <c r="EB147" s="20" t="inlineStr">
        <is>
          <t>IC Organic Acids</t>
        </is>
      </c>
      <c r="EC147" s="20" t="inlineStr">
        <is>
          <t>None</t>
        </is>
      </c>
      <c r="ED147" s="17" t="n"/>
      <c r="EE147" s="16" t="n"/>
      <c r="EF147" s="20" t="inlineStr">
        <is>
          <t>IC Organic Acids</t>
        </is>
      </c>
      <c r="EG147" s="20" t="inlineStr">
        <is>
          <t>None</t>
        </is>
      </c>
      <c r="EH147" s="17" t="n"/>
      <c r="EI147" s="16" t="n"/>
      <c r="EJ147" s="20" t="inlineStr">
        <is>
          <t>IC Organic Acids</t>
        </is>
      </c>
      <c r="EK147" s="20" t="inlineStr">
        <is>
          <t>None</t>
        </is>
      </c>
      <c r="EL147" s="17" t="n"/>
      <c r="EM147" s="16" t="n"/>
      <c r="EN147" s="20" t="inlineStr">
        <is>
          <t>IC Organic Acids</t>
        </is>
      </c>
      <c r="EO147" s="20" t="inlineStr">
        <is>
          <t>None</t>
        </is>
      </c>
      <c r="EP147" s="17" t="n"/>
      <c r="EQ147" s="16" t="n"/>
      <c r="ER147" s="20" t="inlineStr">
        <is>
          <t>IC Organic Acids</t>
        </is>
      </c>
      <c r="ES147" s="20" t="inlineStr">
        <is>
          <t>None</t>
        </is>
      </c>
      <c r="ET147" s="17" t="n"/>
      <c r="EU147" s="16" t="n"/>
      <c r="EV147" s="20" t="inlineStr">
        <is>
          <t>LC-MS</t>
        </is>
      </c>
      <c r="EW147" s="20" t="inlineStr">
        <is>
          <t>None</t>
        </is>
      </c>
      <c r="EX147" s="17" t="n"/>
      <c r="EY147" s="21" t="n"/>
      <c r="EZ147">
        <f>CONCATENATE(A147,B147)</f>
        <v/>
      </c>
      <c r="FA147">
        <f>CONCATENATE(SamplesX!A147,SamplesX!B147)</f>
        <v/>
      </c>
      <c r="FC147">
        <f>MATCH(EZ147,FA1:FA1008,0)</f>
        <v/>
      </c>
    </row>
    <row r="148">
      <c r="A148" s="16" t="inlineStr">
        <is>
          <t>BP</t>
        </is>
      </c>
      <c r="B148" s="17" t="inlineStr">
        <is>
          <t>25140</t>
        </is>
      </c>
      <c r="C148" s="10">
        <f>IF(ISNUMBER(FC148),INDIRECT("SamplesX!C"&amp;FC148),IF(ISNUMBER(FD148),INDIRECT("SamplesY!C"&amp;FD148),""))</f>
        <v/>
      </c>
      <c r="D148" s="12">
        <f>IF(ISNUMBER(FC148),INDIRECT("SamplesX!D"&amp;FC148),IF(ISNUMBER(FD148),INDIRECT("SamplesY!D"&amp;FD148),""))</f>
        <v/>
      </c>
      <c r="E148" s="12">
        <f>IF(ISNUMBER(FC148),INDIRECT("SamplesX!E"&amp;FC148),IF(ISNUMBER(FD148),INDIRECT("SamplesY!E"&amp;FD148),""))</f>
        <v/>
      </c>
      <c r="F148" s="11">
        <f>IF(ISNUMBER(FC148),INDIRECT("SamplesX!F"&amp;FC148),IF(ISNUMBER(FD148),INDIRECT("SamplesY!F"&amp;FD148),""))</f>
        <v/>
      </c>
      <c r="G148" s="18">
        <f>IF(ISNUMBER(FC148),INDIRECT("SamplesX!G"&amp;FC148),IF(ISNUMBER(FD148),INDIRECT("SamplesY!G"&amp;FD148),""))</f>
        <v/>
      </c>
      <c r="H148" s="19">
        <f>IF(ISNUMBER(FC148),INDIRECT("SamplesX!H"&amp;FC148),IF(ISNUMBER(FD148),INDIRECT("SamplesY!H"&amp;FD148),""))</f>
        <v/>
      </c>
      <c r="I148" s="16" t="n"/>
      <c r="J148" s="16" t="n"/>
      <c r="K148" s="16" t="n"/>
      <c r="L148" s="20" t="n"/>
      <c r="M148" s="20" t="inlineStr">
        <is>
          <t>None</t>
        </is>
      </c>
      <c r="N148" s="17" t="n"/>
      <c r="O148" s="16" t="n"/>
      <c r="P148" s="20" t="inlineStr">
        <is>
          <t>Shimadzu TOC-L</t>
        </is>
      </c>
      <c r="Q148" s="20" t="inlineStr">
        <is>
          <t>None</t>
        </is>
      </c>
      <c r="R148" s="17" t="n"/>
      <c r="S148" s="16" t="n"/>
      <c r="T148" s="20" t="inlineStr">
        <is>
          <t>Shimadzu TOC-L</t>
        </is>
      </c>
      <c r="U148" s="20" t="inlineStr">
        <is>
          <t>None</t>
        </is>
      </c>
      <c r="V148" s="17" t="n"/>
      <c r="W148" s="16" t="n"/>
      <c r="X148" s="20" t="n"/>
      <c r="Y148" s="20" t="inlineStr">
        <is>
          <t>None</t>
        </is>
      </c>
      <c r="Z148" s="17" t="n"/>
      <c r="AA148" s="16" t="n"/>
      <c r="AB148" s="20" t="n"/>
      <c r="AC148" s="20" t="inlineStr">
        <is>
          <t>None</t>
        </is>
      </c>
      <c r="AD148" s="17" t="n"/>
      <c r="AE148" s="16" t="n"/>
      <c r="AF148" s="20" t="inlineStr">
        <is>
          <t>IC Anionen</t>
        </is>
      </c>
      <c r="AG148" s="20" t="inlineStr">
        <is>
          <t>None</t>
        </is>
      </c>
      <c r="AH148" s="17" t="n"/>
      <c r="AI148" s="16" t="n"/>
      <c r="AJ148" s="20" t="n"/>
      <c r="AK148" s="20" t="inlineStr">
        <is>
          <t>None</t>
        </is>
      </c>
      <c r="AL148" s="17" t="n"/>
      <c r="AM148" s="16" t="n"/>
      <c r="AN148" s="20" t="inlineStr">
        <is>
          <t>IC Anionen</t>
        </is>
      </c>
      <c r="AO148" s="20" t="inlineStr">
        <is>
          <t>None</t>
        </is>
      </c>
      <c r="AP148" s="17" t="n"/>
      <c r="AQ148" s="16" t="n"/>
      <c r="AR148" s="20" t="n"/>
      <c r="AS148" s="20" t="inlineStr">
        <is>
          <t>None</t>
        </is>
      </c>
      <c r="AT148" s="17" t="n"/>
      <c r="AU148" s="16" t="inlineStr">
        <is>
          <t>10.8</t>
        </is>
      </c>
      <c r="AV148" s="20" t="inlineStr">
        <is>
          <t>IC Anionen</t>
        </is>
      </c>
      <c r="AW148" s="20" t="inlineStr">
        <is>
          <t>None</t>
        </is>
      </c>
      <c r="AX148" s="17" t="inlineStr">
        <is>
          <t>1*5</t>
        </is>
      </c>
      <c r="AY148" s="16" t="n"/>
      <c r="AZ148" s="20" t="inlineStr">
        <is>
          <t>IC Anionen</t>
        </is>
      </c>
      <c r="BA148" s="20" t="inlineStr">
        <is>
          <t>None</t>
        </is>
      </c>
      <c r="BB148" s="17" t="n"/>
      <c r="BC148" s="16" t="n"/>
      <c r="BD148" s="20" t="inlineStr">
        <is>
          <t>IC Kationen</t>
        </is>
      </c>
      <c r="BE148" s="20" t="inlineStr">
        <is>
          <t>None</t>
        </is>
      </c>
      <c r="BF148" s="17" t="n"/>
      <c r="BG148" s="16" t="inlineStr">
        <is>
          <t>24.3</t>
        </is>
      </c>
      <c r="BH148" s="20" t="inlineStr">
        <is>
          <t>FIA Lachat QC8500</t>
        </is>
      </c>
      <c r="BI148" s="20" t="inlineStr">
        <is>
          <t>None</t>
        </is>
      </c>
      <c r="BJ148" s="17" t="n"/>
      <c r="BK148" s="16" t="n"/>
      <c r="BL148" s="20" t="inlineStr">
        <is>
          <t>IC Kationen</t>
        </is>
      </c>
      <c r="BM148" s="20" t="inlineStr">
        <is>
          <t>None</t>
        </is>
      </c>
      <c r="BN148" s="17" t="n"/>
      <c r="BO148" s="16" t="n"/>
      <c r="BP148" s="20" t="inlineStr">
        <is>
          <t>IC Kationen</t>
        </is>
      </c>
      <c r="BQ148" s="20" t="inlineStr">
        <is>
          <t>None</t>
        </is>
      </c>
      <c r="BR148" s="17" t="n"/>
      <c r="BS148" s="16" t="n"/>
      <c r="BT148" s="20" t="inlineStr">
        <is>
          <t>IC Kationen</t>
        </is>
      </c>
      <c r="BU148" s="20" t="inlineStr">
        <is>
          <t>None</t>
        </is>
      </c>
      <c r="BV148" s="17" t="n"/>
      <c r="BW148" s="16" t="n"/>
      <c r="BX148" s="20" t="n"/>
      <c r="BY148" s="20" t="inlineStr">
        <is>
          <t>None</t>
        </is>
      </c>
      <c r="BZ148" s="17" t="n"/>
      <c r="CA148" s="16" t="n"/>
      <c r="CB148" s="20" t="n"/>
      <c r="CC148" s="20" t="inlineStr">
        <is>
          <t>None</t>
        </is>
      </c>
      <c r="CD148" s="17" t="n"/>
      <c r="CE148" s="16" t="n"/>
      <c r="CF148" s="20" t="n"/>
      <c r="CG148" s="20" t="inlineStr">
        <is>
          <t>None</t>
        </is>
      </c>
      <c r="CH148" s="17" t="n"/>
      <c r="CI148" s="16" t="n"/>
      <c r="CJ148" s="20" t="n"/>
      <c r="CK148" s="20" t="inlineStr">
        <is>
          <t>None</t>
        </is>
      </c>
      <c r="CL148" s="17" t="n"/>
      <c r="CM148" s="16" t="n"/>
      <c r="CN148" s="20" t="inlineStr">
        <is>
          <t>SOP 45-34</t>
        </is>
      </c>
      <c r="CO148" s="20" t="inlineStr">
        <is>
          <t>None</t>
        </is>
      </c>
      <c r="CP148" s="17" t="n"/>
      <c r="CQ148" s="16" t="n"/>
      <c r="CR148" s="20" t="n"/>
      <c r="CS148" s="20" t="inlineStr">
        <is>
          <t>None</t>
        </is>
      </c>
      <c r="CT148" s="17" t="n"/>
      <c r="CU148" s="16" t="n"/>
      <c r="CV148" s="20" t="n"/>
      <c r="CW148" s="20" t="inlineStr">
        <is>
          <t>None</t>
        </is>
      </c>
      <c r="CX148" s="17" t="n"/>
      <c r="CY148" s="16" t="n"/>
      <c r="CZ148" s="20" t="inlineStr">
        <is>
          <t>WTW Multimeter 3430 with FDO 925</t>
        </is>
      </c>
      <c r="DA148" s="20" t="inlineStr">
        <is>
          <t>None</t>
        </is>
      </c>
      <c r="DB148" s="17" t="n"/>
      <c r="DC148" s="16" t="n"/>
      <c r="DD148" s="20" t="n"/>
      <c r="DE148" s="20" t="inlineStr">
        <is>
          <t>None</t>
        </is>
      </c>
      <c r="DF148" s="17" t="n"/>
      <c r="DG148" s="16" t="n"/>
      <c r="DH148" s="20" t="inlineStr">
        <is>
          <t>SOP 45-09</t>
        </is>
      </c>
      <c r="DI148" s="20" t="inlineStr">
        <is>
          <t>None</t>
        </is>
      </c>
      <c r="DJ148" s="17" t="n"/>
      <c r="DK148" s="16" t="n"/>
      <c r="DL148" s="20" t="inlineStr">
        <is>
          <t>SOP 45-09 (SOP muss noch angepasst werden für VSS)</t>
        </is>
      </c>
      <c r="DM148" s="20" t="inlineStr">
        <is>
          <t>None</t>
        </is>
      </c>
      <c r="DN148" s="17" t="n"/>
      <c r="DO148" s="16" t="n"/>
      <c r="DP148" s="20" t="inlineStr">
        <is>
          <t>IC Organic Acids</t>
        </is>
      </c>
      <c r="DQ148" s="20" t="inlineStr">
        <is>
          <t>None</t>
        </is>
      </c>
      <c r="DR148" s="17" t="n"/>
      <c r="DS148" s="16" t="n"/>
      <c r="DT148" s="20" t="inlineStr">
        <is>
          <t>IC Organic Acids</t>
        </is>
      </c>
      <c r="DU148" s="20" t="inlineStr">
        <is>
          <t>None</t>
        </is>
      </c>
      <c r="DV148" s="17" t="n"/>
      <c r="DW148" s="16" t="n"/>
      <c r="DX148" s="20" t="inlineStr">
        <is>
          <t>IC Organic Acids</t>
        </is>
      </c>
      <c r="DY148" s="20" t="inlineStr">
        <is>
          <t>None</t>
        </is>
      </c>
      <c r="DZ148" s="17" t="n"/>
      <c r="EA148" s="16" t="n"/>
      <c r="EB148" s="20" t="inlineStr">
        <is>
          <t>IC Organic Acids</t>
        </is>
      </c>
      <c r="EC148" s="20" t="inlineStr">
        <is>
          <t>None</t>
        </is>
      </c>
      <c r="ED148" s="17" t="n"/>
      <c r="EE148" s="16" t="n"/>
      <c r="EF148" s="20" t="inlineStr">
        <is>
          <t>IC Organic Acids</t>
        </is>
      </c>
      <c r="EG148" s="20" t="inlineStr">
        <is>
          <t>None</t>
        </is>
      </c>
      <c r="EH148" s="17" t="n"/>
      <c r="EI148" s="16" t="n"/>
      <c r="EJ148" s="20" t="inlineStr">
        <is>
          <t>IC Organic Acids</t>
        </is>
      </c>
      <c r="EK148" s="20" t="inlineStr">
        <is>
          <t>None</t>
        </is>
      </c>
      <c r="EL148" s="17" t="n"/>
      <c r="EM148" s="16" t="n"/>
      <c r="EN148" s="20" t="inlineStr">
        <is>
          <t>IC Organic Acids</t>
        </is>
      </c>
      <c r="EO148" s="20" t="inlineStr">
        <is>
          <t>None</t>
        </is>
      </c>
      <c r="EP148" s="17" t="n"/>
      <c r="EQ148" s="16" t="n"/>
      <c r="ER148" s="20" t="inlineStr">
        <is>
          <t>IC Organic Acids</t>
        </is>
      </c>
      <c r="ES148" s="20" t="inlineStr">
        <is>
          <t>None</t>
        </is>
      </c>
      <c r="ET148" s="17" t="n"/>
      <c r="EU148" s="16" t="n"/>
      <c r="EV148" s="20" t="inlineStr">
        <is>
          <t>LC-MS</t>
        </is>
      </c>
      <c r="EW148" s="20" t="inlineStr">
        <is>
          <t>None</t>
        </is>
      </c>
      <c r="EX148" s="17" t="n"/>
      <c r="EY148" s="21" t="n"/>
      <c r="EZ148">
        <f>CONCATENATE(A148,B148)</f>
        <v/>
      </c>
      <c r="FA148">
        <f>CONCATENATE(SamplesX!A148,SamplesX!B148)</f>
        <v/>
      </c>
      <c r="FC148">
        <f>MATCH(EZ148,FA1:FA1008,0)</f>
        <v/>
      </c>
    </row>
    <row r="149">
      <c r="A149" s="16" t="inlineStr">
        <is>
          <t>BP</t>
        </is>
      </c>
      <c r="B149" s="17" t="inlineStr">
        <is>
          <t>25141</t>
        </is>
      </c>
      <c r="C149" s="10">
        <f>IF(ISNUMBER(FC149),INDIRECT("SamplesX!C"&amp;FC149),IF(ISNUMBER(FD149),INDIRECT("SamplesY!C"&amp;FD149),""))</f>
        <v/>
      </c>
      <c r="D149" s="12">
        <f>IF(ISNUMBER(FC149),INDIRECT("SamplesX!D"&amp;FC149),IF(ISNUMBER(FD149),INDIRECT("SamplesY!D"&amp;FD149),""))</f>
        <v/>
      </c>
      <c r="E149" s="12">
        <f>IF(ISNUMBER(FC149),INDIRECT("SamplesX!E"&amp;FC149),IF(ISNUMBER(FD149),INDIRECT("SamplesY!E"&amp;FD149),""))</f>
        <v/>
      </c>
      <c r="F149" s="11">
        <f>IF(ISNUMBER(FC149),INDIRECT("SamplesX!F"&amp;FC149),IF(ISNUMBER(FD149),INDIRECT("SamplesY!F"&amp;FD149),""))</f>
        <v/>
      </c>
      <c r="G149" s="18">
        <f>IF(ISNUMBER(FC149),INDIRECT("SamplesX!G"&amp;FC149),IF(ISNUMBER(FD149),INDIRECT("SamplesY!G"&amp;FD149),""))</f>
        <v/>
      </c>
      <c r="H149" s="19">
        <f>IF(ISNUMBER(FC149),INDIRECT("SamplesX!H"&amp;FC149),IF(ISNUMBER(FD149),INDIRECT("SamplesY!H"&amp;FD149),""))</f>
        <v/>
      </c>
      <c r="I149" s="16" t="n"/>
      <c r="J149" s="16" t="n"/>
      <c r="K149" s="16" t="n"/>
      <c r="L149" s="20" t="n"/>
      <c r="M149" s="20" t="inlineStr">
        <is>
          <t>None</t>
        </is>
      </c>
      <c r="N149" s="17" t="n"/>
      <c r="O149" s="16" t="n"/>
      <c r="P149" s="20" t="inlineStr">
        <is>
          <t>Shimadzu TOC-L</t>
        </is>
      </c>
      <c r="Q149" s="20" t="inlineStr">
        <is>
          <t>None</t>
        </is>
      </c>
      <c r="R149" s="17" t="n"/>
      <c r="S149" s="16" t="n"/>
      <c r="T149" s="20" t="inlineStr">
        <is>
          <t>Shimadzu TOC-L</t>
        </is>
      </c>
      <c r="U149" s="20" t="inlineStr">
        <is>
          <t>None</t>
        </is>
      </c>
      <c r="V149" s="17" t="n"/>
      <c r="W149" s="16" t="n"/>
      <c r="X149" s="20" t="n"/>
      <c r="Y149" s="20" t="inlineStr">
        <is>
          <t>None</t>
        </is>
      </c>
      <c r="Z149" s="17" t="n"/>
      <c r="AA149" s="16" t="n"/>
      <c r="AB149" s="20" t="n"/>
      <c r="AC149" s="20" t="inlineStr">
        <is>
          <t>None</t>
        </is>
      </c>
      <c r="AD149" s="17" t="n"/>
      <c r="AE149" s="16" t="n"/>
      <c r="AF149" s="20" t="inlineStr">
        <is>
          <t>IC Anionen</t>
        </is>
      </c>
      <c r="AG149" s="20" t="inlineStr">
        <is>
          <t>None</t>
        </is>
      </c>
      <c r="AH149" s="17" t="n"/>
      <c r="AI149" s="16" t="n"/>
      <c r="AJ149" s="20" t="n"/>
      <c r="AK149" s="20" t="inlineStr">
        <is>
          <t>None</t>
        </is>
      </c>
      <c r="AL149" s="17" t="n"/>
      <c r="AM149" s="16" t="n"/>
      <c r="AN149" s="20" t="inlineStr">
        <is>
          <t>IC Anionen</t>
        </is>
      </c>
      <c r="AO149" s="20" t="inlineStr">
        <is>
          <t>None</t>
        </is>
      </c>
      <c r="AP149" s="17" t="n"/>
      <c r="AQ149" s="16" t="n"/>
      <c r="AR149" s="20" t="n"/>
      <c r="AS149" s="20" t="inlineStr">
        <is>
          <t>None</t>
        </is>
      </c>
      <c r="AT149" s="17" t="n"/>
      <c r="AU149" s="16" t="inlineStr">
        <is>
          <t>8.67</t>
        </is>
      </c>
      <c r="AV149" s="20" t="inlineStr">
        <is>
          <t>IC Anionen</t>
        </is>
      </c>
      <c r="AW149" s="20" t="inlineStr">
        <is>
          <t>None</t>
        </is>
      </c>
      <c r="AX149" s="17" t="n"/>
      <c r="AY149" s="16" t="n"/>
      <c r="AZ149" s="20" t="inlineStr">
        <is>
          <t>IC Anionen</t>
        </is>
      </c>
      <c r="BA149" s="20" t="inlineStr">
        <is>
          <t>None</t>
        </is>
      </c>
      <c r="BB149" s="17" t="n"/>
      <c r="BC149" s="16" t="n"/>
      <c r="BD149" s="20" t="inlineStr">
        <is>
          <t>IC Kationen</t>
        </is>
      </c>
      <c r="BE149" s="20" t="inlineStr">
        <is>
          <t>None</t>
        </is>
      </c>
      <c r="BF149" s="17" t="n"/>
      <c r="BG149" s="16" t="inlineStr">
        <is>
          <t>24.2</t>
        </is>
      </c>
      <c r="BH149" s="20" t="inlineStr">
        <is>
          <t>FIA Lachat QC8500</t>
        </is>
      </c>
      <c r="BI149" s="20" t="inlineStr">
        <is>
          <t>None</t>
        </is>
      </c>
      <c r="BJ149" s="17" t="n"/>
      <c r="BK149" s="16" t="n"/>
      <c r="BL149" s="20" t="inlineStr">
        <is>
          <t>IC Kationen</t>
        </is>
      </c>
      <c r="BM149" s="20" t="inlineStr">
        <is>
          <t>None</t>
        </is>
      </c>
      <c r="BN149" s="17" t="n"/>
      <c r="BO149" s="16" t="n"/>
      <c r="BP149" s="20" t="inlineStr">
        <is>
          <t>IC Kationen</t>
        </is>
      </c>
      <c r="BQ149" s="20" t="inlineStr">
        <is>
          <t>None</t>
        </is>
      </c>
      <c r="BR149" s="17" t="n"/>
      <c r="BS149" s="16" t="n"/>
      <c r="BT149" s="20" t="inlineStr">
        <is>
          <t>IC Kationen</t>
        </is>
      </c>
      <c r="BU149" s="20" t="inlineStr">
        <is>
          <t>None</t>
        </is>
      </c>
      <c r="BV149" s="17" t="n"/>
      <c r="BW149" s="16" t="n"/>
      <c r="BX149" s="20" t="n"/>
      <c r="BY149" s="20" t="inlineStr">
        <is>
          <t>None</t>
        </is>
      </c>
      <c r="BZ149" s="17" t="n"/>
      <c r="CA149" s="16" t="n"/>
      <c r="CB149" s="20" t="n"/>
      <c r="CC149" s="20" t="inlineStr">
        <is>
          <t>None</t>
        </is>
      </c>
      <c r="CD149" s="17" t="n"/>
      <c r="CE149" s="16" t="n"/>
      <c r="CF149" s="20" t="n"/>
      <c r="CG149" s="20" t="inlineStr">
        <is>
          <t>None</t>
        </is>
      </c>
      <c r="CH149" s="17" t="n"/>
      <c r="CI149" s="16" t="n"/>
      <c r="CJ149" s="20" t="n"/>
      <c r="CK149" s="20" t="inlineStr">
        <is>
          <t>None</t>
        </is>
      </c>
      <c r="CL149" s="17" t="n"/>
      <c r="CM149" s="16" t="n"/>
      <c r="CN149" s="20" t="inlineStr">
        <is>
          <t>SOP 45-34</t>
        </is>
      </c>
      <c r="CO149" s="20" t="inlineStr">
        <is>
          <t>None</t>
        </is>
      </c>
      <c r="CP149" s="17" t="n"/>
      <c r="CQ149" s="16" t="n"/>
      <c r="CR149" s="20" t="n"/>
      <c r="CS149" s="20" t="inlineStr">
        <is>
          <t>None</t>
        </is>
      </c>
      <c r="CT149" s="17" t="n"/>
      <c r="CU149" s="16" t="n"/>
      <c r="CV149" s="20" t="n"/>
      <c r="CW149" s="20" t="inlineStr">
        <is>
          <t>None</t>
        </is>
      </c>
      <c r="CX149" s="17" t="n"/>
      <c r="CY149" s="16" t="n"/>
      <c r="CZ149" s="20" t="inlineStr">
        <is>
          <t>WTW Multimeter 3430 with FDO 925</t>
        </is>
      </c>
      <c r="DA149" s="20" t="inlineStr">
        <is>
          <t>None</t>
        </is>
      </c>
      <c r="DB149" s="17" t="n"/>
      <c r="DC149" s="16" t="n"/>
      <c r="DD149" s="20" t="n"/>
      <c r="DE149" s="20" t="inlineStr">
        <is>
          <t>None</t>
        </is>
      </c>
      <c r="DF149" s="17" t="n"/>
      <c r="DG149" s="16" t="n"/>
      <c r="DH149" s="20" t="inlineStr">
        <is>
          <t>SOP 45-09</t>
        </is>
      </c>
      <c r="DI149" s="20" t="inlineStr">
        <is>
          <t>None</t>
        </is>
      </c>
      <c r="DJ149" s="17" t="n"/>
      <c r="DK149" s="16" t="n"/>
      <c r="DL149" s="20" t="inlineStr">
        <is>
          <t>SOP 45-09 (SOP muss noch angepasst werden für VSS)</t>
        </is>
      </c>
      <c r="DM149" s="20" t="inlineStr">
        <is>
          <t>None</t>
        </is>
      </c>
      <c r="DN149" s="17" t="n"/>
      <c r="DO149" s="16" t="n"/>
      <c r="DP149" s="20" t="inlineStr">
        <is>
          <t>IC Organic Acids</t>
        </is>
      </c>
      <c r="DQ149" s="20" t="inlineStr">
        <is>
          <t>None</t>
        </is>
      </c>
      <c r="DR149" s="17" t="n"/>
      <c r="DS149" s="16" t="n"/>
      <c r="DT149" s="20" t="inlineStr">
        <is>
          <t>IC Organic Acids</t>
        </is>
      </c>
      <c r="DU149" s="20" t="inlineStr">
        <is>
          <t>None</t>
        </is>
      </c>
      <c r="DV149" s="17" t="n"/>
      <c r="DW149" s="16" t="n"/>
      <c r="DX149" s="20" t="inlineStr">
        <is>
          <t>IC Organic Acids</t>
        </is>
      </c>
      <c r="DY149" s="20" t="inlineStr">
        <is>
          <t>None</t>
        </is>
      </c>
      <c r="DZ149" s="17" t="n"/>
      <c r="EA149" s="16" t="n"/>
      <c r="EB149" s="20" t="inlineStr">
        <is>
          <t>IC Organic Acids</t>
        </is>
      </c>
      <c r="EC149" s="20" t="inlineStr">
        <is>
          <t>None</t>
        </is>
      </c>
      <c r="ED149" s="17" t="n"/>
      <c r="EE149" s="16" t="n"/>
      <c r="EF149" s="20" t="inlineStr">
        <is>
          <t>IC Organic Acids</t>
        </is>
      </c>
      <c r="EG149" s="20" t="inlineStr">
        <is>
          <t>None</t>
        </is>
      </c>
      <c r="EH149" s="17" t="n"/>
      <c r="EI149" s="16" t="n"/>
      <c r="EJ149" s="20" t="inlineStr">
        <is>
          <t>IC Organic Acids</t>
        </is>
      </c>
      <c r="EK149" s="20" t="inlineStr">
        <is>
          <t>None</t>
        </is>
      </c>
      <c r="EL149" s="17" t="n"/>
      <c r="EM149" s="16" t="n"/>
      <c r="EN149" s="20" t="inlineStr">
        <is>
          <t>IC Organic Acids</t>
        </is>
      </c>
      <c r="EO149" s="20" t="inlineStr">
        <is>
          <t>None</t>
        </is>
      </c>
      <c r="EP149" s="17" t="n"/>
      <c r="EQ149" s="16" t="n"/>
      <c r="ER149" s="20" t="inlineStr">
        <is>
          <t>IC Organic Acids</t>
        </is>
      </c>
      <c r="ES149" s="20" t="inlineStr">
        <is>
          <t>None</t>
        </is>
      </c>
      <c r="ET149" s="17" t="n"/>
      <c r="EU149" s="16" t="n"/>
      <c r="EV149" s="20" t="inlineStr">
        <is>
          <t>LC-MS</t>
        </is>
      </c>
      <c r="EW149" s="20" t="inlineStr">
        <is>
          <t>None</t>
        </is>
      </c>
      <c r="EX149" s="17" t="n"/>
      <c r="EY149" s="21" t="n"/>
      <c r="EZ149">
        <f>CONCATENATE(A149,B149)</f>
        <v/>
      </c>
      <c r="FA149">
        <f>CONCATENATE(SamplesX!A149,SamplesX!B149)</f>
        <v/>
      </c>
      <c r="FC149">
        <f>MATCH(EZ149,FA1:FA1008,0)</f>
        <v/>
      </c>
    </row>
    <row r="150">
      <c r="A150" s="16" t="inlineStr">
        <is>
          <t>BP</t>
        </is>
      </c>
      <c r="B150" s="17" t="inlineStr">
        <is>
          <t>25142</t>
        </is>
      </c>
      <c r="C150" s="10">
        <f>IF(ISNUMBER(FC150),INDIRECT("SamplesX!C"&amp;FC150),IF(ISNUMBER(FD150),INDIRECT("SamplesY!C"&amp;FD150),""))</f>
        <v/>
      </c>
      <c r="D150" s="12">
        <f>IF(ISNUMBER(FC150),INDIRECT("SamplesX!D"&amp;FC150),IF(ISNUMBER(FD150),INDIRECT("SamplesY!D"&amp;FD150),""))</f>
        <v/>
      </c>
      <c r="E150" s="12">
        <f>IF(ISNUMBER(FC150),INDIRECT("SamplesX!E"&amp;FC150),IF(ISNUMBER(FD150),INDIRECT("SamplesY!E"&amp;FD150),""))</f>
        <v/>
      </c>
      <c r="F150" s="11">
        <f>IF(ISNUMBER(FC150),INDIRECT("SamplesX!F"&amp;FC150),IF(ISNUMBER(FD150),INDIRECT("SamplesY!F"&amp;FD150),""))</f>
        <v/>
      </c>
      <c r="G150" s="18">
        <f>IF(ISNUMBER(FC150),INDIRECT("SamplesX!G"&amp;FC150),IF(ISNUMBER(FD150),INDIRECT("SamplesY!G"&amp;FD150),""))</f>
        <v/>
      </c>
      <c r="H150" s="19">
        <f>IF(ISNUMBER(FC150),INDIRECT("SamplesX!H"&amp;FC150),IF(ISNUMBER(FD150),INDIRECT("SamplesY!H"&amp;FD150),""))</f>
        <v/>
      </c>
      <c r="I150" s="16" t="n"/>
      <c r="J150" s="16" t="n"/>
      <c r="K150" s="16" t="n"/>
      <c r="L150" s="20" t="n"/>
      <c r="M150" s="20" t="inlineStr">
        <is>
          <t>None</t>
        </is>
      </c>
      <c r="N150" s="17" t="n"/>
      <c r="O150" s="16" t="n"/>
      <c r="P150" s="20" t="inlineStr">
        <is>
          <t>Shimadzu TOC-L</t>
        </is>
      </c>
      <c r="Q150" s="20" t="inlineStr">
        <is>
          <t>None</t>
        </is>
      </c>
      <c r="R150" s="17" t="n"/>
      <c r="S150" s="16" t="n"/>
      <c r="T150" s="20" t="inlineStr">
        <is>
          <t>Shimadzu TOC-L</t>
        </is>
      </c>
      <c r="U150" s="20" t="inlineStr">
        <is>
          <t>None</t>
        </is>
      </c>
      <c r="V150" s="17" t="n"/>
      <c r="W150" s="16" t="n"/>
      <c r="X150" s="20" t="n"/>
      <c r="Y150" s="20" t="inlineStr">
        <is>
          <t>None</t>
        </is>
      </c>
      <c r="Z150" s="17" t="n"/>
      <c r="AA150" s="16" t="n"/>
      <c r="AB150" s="20" t="n"/>
      <c r="AC150" s="20" t="inlineStr">
        <is>
          <t>None</t>
        </is>
      </c>
      <c r="AD150" s="17" t="n"/>
      <c r="AE150" s="16" t="n"/>
      <c r="AF150" s="20" t="inlineStr">
        <is>
          <t>IC Anionen</t>
        </is>
      </c>
      <c r="AG150" s="20" t="inlineStr">
        <is>
          <t>None</t>
        </is>
      </c>
      <c r="AH150" s="17" t="n"/>
      <c r="AI150" s="16" t="n"/>
      <c r="AJ150" s="20" t="n"/>
      <c r="AK150" s="20" t="inlineStr">
        <is>
          <t>None</t>
        </is>
      </c>
      <c r="AL150" s="17" t="n"/>
      <c r="AM150" s="16" t="n"/>
      <c r="AN150" s="20" t="inlineStr">
        <is>
          <t>IC Anionen</t>
        </is>
      </c>
      <c r="AO150" s="20" t="inlineStr">
        <is>
          <t>None</t>
        </is>
      </c>
      <c r="AP150" s="17" t="n"/>
      <c r="AQ150" s="16" t="n"/>
      <c r="AR150" s="20" t="n"/>
      <c r="AS150" s="20" t="inlineStr">
        <is>
          <t>None</t>
        </is>
      </c>
      <c r="AT150" s="17" t="n"/>
      <c r="AU150" s="16" t="inlineStr">
        <is>
          <t>8.33</t>
        </is>
      </c>
      <c r="AV150" s="20" t="inlineStr">
        <is>
          <t>IC Anionen</t>
        </is>
      </c>
      <c r="AW150" s="20" t="inlineStr">
        <is>
          <t>None</t>
        </is>
      </c>
      <c r="AX150" s="17" t="n"/>
      <c r="AY150" s="16" t="n"/>
      <c r="AZ150" s="20" t="inlineStr">
        <is>
          <t>IC Anionen</t>
        </is>
      </c>
      <c r="BA150" s="20" t="inlineStr">
        <is>
          <t>None</t>
        </is>
      </c>
      <c r="BB150" s="17" t="n"/>
      <c r="BC150" s="16" t="n"/>
      <c r="BD150" s="20" t="inlineStr">
        <is>
          <t>IC Kationen</t>
        </is>
      </c>
      <c r="BE150" s="20" t="inlineStr">
        <is>
          <t>None</t>
        </is>
      </c>
      <c r="BF150" s="17" t="n"/>
      <c r="BG150" s="16" t="inlineStr">
        <is>
          <t>24.1</t>
        </is>
      </c>
      <c r="BH150" s="20" t="inlineStr">
        <is>
          <t>FIA Lachat QC8500</t>
        </is>
      </c>
      <c r="BI150" s="20" t="inlineStr">
        <is>
          <t>None</t>
        </is>
      </c>
      <c r="BJ150" s="17" t="n"/>
      <c r="BK150" s="16" t="n"/>
      <c r="BL150" s="20" t="inlineStr">
        <is>
          <t>IC Kationen</t>
        </is>
      </c>
      <c r="BM150" s="20" t="inlineStr">
        <is>
          <t>None</t>
        </is>
      </c>
      <c r="BN150" s="17" t="n"/>
      <c r="BO150" s="16" t="n"/>
      <c r="BP150" s="20" t="inlineStr">
        <is>
          <t>IC Kationen</t>
        </is>
      </c>
      <c r="BQ150" s="20" t="inlineStr">
        <is>
          <t>None</t>
        </is>
      </c>
      <c r="BR150" s="17" t="n"/>
      <c r="BS150" s="16" t="n"/>
      <c r="BT150" s="20" t="inlineStr">
        <is>
          <t>IC Kationen</t>
        </is>
      </c>
      <c r="BU150" s="20" t="inlineStr">
        <is>
          <t>None</t>
        </is>
      </c>
      <c r="BV150" s="17" t="n"/>
      <c r="BW150" s="16" t="n"/>
      <c r="BX150" s="20" t="n"/>
      <c r="BY150" s="20" t="inlineStr">
        <is>
          <t>None</t>
        </is>
      </c>
      <c r="BZ150" s="17" t="n"/>
      <c r="CA150" s="16" t="n"/>
      <c r="CB150" s="20" t="n"/>
      <c r="CC150" s="20" t="inlineStr">
        <is>
          <t>None</t>
        </is>
      </c>
      <c r="CD150" s="17" t="n"/>
      <c r="CE150" s="16" t="n"/>
      <c r="CF150" s="20" t="n"/>
      <c r="CG150" s="20" t="inlineStr">
        <is>
          <t>None</t>
        </is>
      </c>
      <c r="CH150" s="17" t="n"/>
      <c r="CI150" s="16" t="n"/>
      <c r="CJ150" s="20" t="n"/>
      <c r="CK150" s="20" t="inlineStr">
        <is>
          <t>None</t>
        </is>
      </c>
      <c r="CL150" s="17" t="n"/>
      <c r="CM150" s="16" t="n"/>
      <c r="CN150" s="20" t="inlineStr">
        <is>
          <t>SOP 45-34</t>
        </is>
      </c>
      <c r="CO150" s="20" t="inlineStr">
        <is>
          <t>None</t>
        </is>
      </c>
      <c r="CP150" s="17" t="n"/>
      <c r="CQ150" s="16" t="n"/>
      <c r="CR150" s="20" t="n"/>
      <c r="CS150" s="20" t="inlineStr">
        <is>
          <t>None</t>
        </is>
      </c>
      <c r="CT150" s="17" t="n"/>
      <c r="CU150" s="16" t="n"/>
      <c r="CV150" s="20" t="n"/>
      <c r="CW150" s="20" t="inlineStr">
        <is>
          <t>None</t>
        </is>
      </c>
      <c r="CX150" s="17" t="n"/>
      <c r="CY150" s="16" t="n"/>
      <c r="CZ150" s="20" t="inlineStr">
        <is>
          <t>WTW Multimeter 3430 with FDO 925</t>
        </is>
      </c>
      <c r="DA150" s="20" t="inlineStr">
        <is>
          <t>None</t>
        </is>
      </c>
      <c r="DB150" s="17" t="n"/>
      <c r="DC150" s="16" t="n"/>
      <c r="DD150" s="20" t="n"/>
      <c r="DE150" s="20" t="inlineStr">
        <is>
          <t>None</t>
        </is>
      </c>
      <c r="DF150" s="17" t="n"/>
      <c r="DG150" s="16" t="n"/>
      <c r="DH150" s="20" t="inlineStr">
        <is>
          <t>SOP 45-09</t>
        </is>
      </c>
      <c r="DI150" s="20" t="inlineStr">
        <is>
          <t>None</t>
        </is>
      </c>
      <c r="DJ150" s="17" t="n"/>
      <c r="DK150" s="16" t="n"/>
      <c r="DL150" s="20" t="inlineStr">
        <is>
          <t>SOP 45-09 (SOP muss noch angepasst werden für VSS)</t>
        </is>
      </c>
      <c r="DM150" s="20" t="inlineStr">
        <is>
          <t>None</t>
        </is>
      </c>
      <c r="DN150" s="17" t="n"/>
      <c r="DO150" s="16" t="n"/>
      <c r="DP150" s="20" t="inlineStr">
        <is>
          <t>IC Organic Acids</t>
        </is>
      </c>
      <c r="DQ150" s="20" t="inlineStr">
        <is>
          <t>None</t>
        </is>
      </c>
      <c r="DR150" s="17" t="n"/>
      <c r="DS150" s="16" t="n"/>
      <c r="DT150" s="20" t="inlineStr">
        <is>
          <t>IC Organic Acids</t>
        </is>
      </c>
      <c r="DU150" s="20" t="inlineStr">
        <is>
          <t>None</t>
        </is>
      </c>
      <c r="DV150" s="17" t="n"/>
      <c r="DW150" s="16" t="n"/>
      <c r="DX150" s="20" t="inlineStr">
        <is>
          <t>IC Organic Acids</t>
        </is>
      </c>
      <c r="DY150" s="20" t="inlineStr">
        <is>
          <t>None</t>
        </is>
      </c>
      <c r="DZ150" s="17" t="n"/>
      <c r="EA150" s="16" t="n"/>
      <c r="EB150" s="20" t="inlineStr">
        <is>
          <t>IC Organic Acids</t>
        </is>
      </c>
      <c r="EC150" s="20" t="inlineStr">
        <is>
          <t>None</t>
        </is>
      </c>
      <c r="ED150" s="17" t="n"/>
      <c r="EE150" s="16" t="n"/>
      <c r="EF150" s="20" t="inlineStr">
        <is>
          <t>IC Organic Acids</t>
        </is>
      </c>
      <c r="EG150" s="20" t="inlineStr">
        <is>
          <t>None</t>
        </is>
      </c>
      <c r="EH150" s="17" t="n"/>
      <c r="EI150" s="16" t="n"/>
      <c r="EJ150" s="20" t="inlineStr">
        <is>
          <t>IC Organic Acids</t>
        </is>
      </c>
      <c r="EK150" s="20" t="inlineStr">
        <is>
          <t>None</t>
        </is>
      </c>
      <c r="EL150" s="17" t="n"/>
      <c r="EM150" s="16" t="n"/>
      <c r="EN150" s="20" t="inlineStr">
        <is>
          <t>IC Organic Acids</t>
        </is>
      </c>
      <c r="EO150" s="20" t="inlineStr">
        <is>
          <t>None</t>
        </is>
      </c>
      <c r="EP150" s="17" t="n"/>
      <c r="EQ150" s="16" t="n"/>
      <c r="ER150" s="20" t="inlineStr">
        <is>
          <t>IC Organic Acids</t>
        </is>
      </c>
      <c r="ES150" s="20" t="inlineStr">
        <is>
          <t>None</t>
        </is>
      </c>
      <c r="ET150" s="17" t="n"/>
      <c r="EU150" s="16" t="n"/>
      <c r="EV150" s="20" t="inlineStr">
        <is>
          <t>LC-MS</t>
        </is>
      </c>
      <c r="EW150" s="20" t="inlineStr">
        <is>
          <t>None</t>
        </is>
      </c>
      <c r="EX150" s="17" t="n"/>
      <c r="EY150" s="21" t="n"/>
      <c r="EZ150">
        <f>CONCATENATE(A150,B150)</f>
        <v/>
      </c>
      <c r="FA150">
        <f>CONCATENATE(SamplesX!A150,SamplesX!B150)</f>
        <v/>
      </c>
      <c r="FC150">
        <f>MATCH(EZ150,FA1:FA1008,0)</f>
        <v/>
      </c>
    </row>
    <row r="151">
      <c r="A151" s="16" t="inlineStr">
        <is>
          <t>BP</t>
        </is>
      </c>
      <c r="B151" s="17" t="inlineStr">
        <is>
          <t>25143</t>
        </is>
      </c>
      <c r="C151" s="10">
        <f>IF(ISNUMBER(FC151),INDIRECT("SamplesX!C"&amp;FC151),IF(ISNUMBER(FD151),INDIRECT("SamplesY!C"&amp;FD151),""))</f>
        <v/>
      </c>
      <c r="D151" s="12">
        <f>IF(ISNUMBER(FC151),INDIRECT("SamplesX!D"&amp;FC151),IF(ISNUMBER(FD151),INDIRECT("SamplesY!D"&amp;FD151),""))</f>
        <v/>
      </c>
      <c r="E151" s="12">
        <f>IF(ISNUMBER(FC151),INDIRECT("SamplesX!E"&amp;FC151),IF(ISNUMBER(FD151),INDIRECT("SamplesY!E"&amp;FD151),""))</f>
        <v/>
      </c>
      <c r="F151" s="11">
        <f>IF(ISNUMBER(FC151),INDIRECT("SamplesX!F"&amp;FC151),IF(ISNUMBER(FD151),INDIRECT("SamplesY!F"&amp;FD151),""))</f>
        <v/>
      </c>
      <c r="G151" s="18">
        <f>IF(ISNUMBER(FC151),INDIRECT("SamplesX!G"&amp;FC151),IF(ISNUMBER(FD151),INDIRECT("SamplesY!G"&amp;FD151),""))</f>
        <v/>
      </c>
      <c r="H151" s="19">
        <f>IF(ISNUMBER(FC151),INDIRECT("SamplesX!H"&amp;FC151),IF(ISNUMBER(FD151),INDIRECT("SamplesY!H"&amp;FD151),""))</f>
        <v/>
      </c>
      <c r="I151" s="16" t="n"/>
      <c r="J151" s="16" t="n"/>
      <c r="K151" s="16" t="n"/>
      <c r="L151" s="20" t="n"/>
      <c r="M151" s="20" t="inlineStr">
        <is>
          <t>None</t>
        </is>
      </c>
      <c r="N151" s="17" t="n"/>
      <c r="O151" s="16" t="n"/>
      <c r="P151" s="20" t="inlineStr">
        <is>
          <t>Shimadzu TOC-L</t>
        </is>
      </c>
      <c r="Q151" s="20" t="inlineStr">
        <is>
          <t>None</t>
        </is>
      </c>
      <c r="R151" s="17" t="n"/>
      <c r="S151" s="16" t="n"/>
      <c r="T151" s="20" t="inlineStr">
        <is>
          <t>Shimadzu TOC-L</t>
        </is>
      </c>
      <c r="U151" s="20" t="inlineStr">
        <is>
          <t>None</t>
        </is>
      </c>
      <c r="V151" s="17" t="n"/>
      <c r="W151" s="16" t="n"/>
      <c r="X151" s="20" t="n"/>
      <c r="Y151" s="20" t="inlineStr">
        <is>
          <t>None</t>
        </is>
      </c>
      <c r="Z151" s="17" t="n"/>
      <c r="AA151" s="16" t="n"/>
      <c r="AB151" s="20" t="n"/>
      <c r="AC151" s="20" t="inlineStr">
        <is>
          <t>None</t>
        </is>
      </c>
      <c r="AD151" s="17" t="n"/>
      <c r="AE151" s="16" t="n"/>
      <c r="AF151" s="20" t="inlineStr">
        <is>
          <t>IC Anionen</t>
        </is>
      </c>
      <c r="AG151" s="20" t="inlineStr">
        <is>
          <t>None</t>
        </is>
      </c>
      <c r="AH151" s="17" t="n"/>
      <c r="AI151" s="16" t="n"/>
      <c r="AJ151" s="20" t="n"/>
      <c r="AK151" s="20" t="inlineStr">
        <is>
          <t>None</t>
        </is>
      </c>
      <c r="AL151" s="17" t="n"/>
      <c r="AM151" s="16" t="n"/>
      <c r="AN151" s="20" t="inlineStr">
        <is>
          <t>IC Anionen</t>
        </is>
      </c>
      <c r="AO151" s="20" t="inlineStr">
        <is>
          <t>None</t>
        </is>
      </c>
      <c r="AP151" s="17" t="n"/>
      <c r="AQ151" s="16" t="n"/>
      <c r="AR151" s="20" t="n"/>
      <c r="AS151" s="20" t="inlineStr">
        <is>
          <t>None</t>
        </is>
      </c>
      <c r="AT151" s="17" t="n"/>
      <c r="AU151" s="16" t="inlineStr">
        <is>
          <t>7.18</t>
        </is>
      </c>
      <c r="AV151" s="20" t="inlineStr">
        <is>
          <t>IC Anionen</t>
        </is>
      </c>
      <c r="AW151" s="20" t="inlineStr">
        <is>
          <t>None</t>
        </is>
      </c>
      <c r="AX151" s="17" t="inlineStr">
        <is>
          <t>1*5</t>
        </is>
      </c>
      <c r="AY151" s="16" t="n"/>
      <c r="AZ151" s="20" t="inlineStr">
        <is>
          <t>IC Anionen</t>
        </is>
      </c>
      <c r="BA151" s="20" t="inlineStr">
        <is>
          <t>None</t>
        </is>
      </c>
      <c r="BB151" s="17" t="n"/>
      <c r="BC151" s="16" t="n"/>
      <c r="BD151" s="20" t="inlineStr">
        <is>
          <t>IC Kationen</t>
        </is>
      </c>
      <c r="BE151" s="20" t="inlineStr">
        <is>
          <t>None</t>
        </is>
      </c>
      <c r="BF151" s="17" t="n"/>
      <c r="BG151" s="16" t="inlineStr">
        <is>
          <t>23.9</t>
        </is>
      </c>
      <c r="BH151" s="20" t="inlineStr">
        <is>
          <t>FIA Lachat QC8500</t>
        </is>
      </c>
      <c r="BI151" s="20" t="inlineStr">
        <is>
          <t>None</t>
        </is>
      </c>
      <c r="BJ151" s="17" t="n"/>
      <c r="BK151" s="16" t="n"/>
      <c r="BL151" s="20" t="inlineStr">
        <is>
          <t>IC Kationen</t>
        </is>
      </c>
      <c r="BM151" s="20" t="inlineStr">
        <is>
          <t>None</t>
        </is>
      </c>
      <c r="BN151" s="17" t="n"/>
      <c r="BO151" s="16" t="n"/>
      <c r="BP151" s="20" t="inlineStr">
        <is>
          <t>IC Kationen</t>
        </is>
      </c>
      <c r="BQ151" s="20" t="inlineStr">
        <is>
          <t>None</t>
        </is>
      </c>
      <c r="BR151" s="17" t="n"/>
      <c r="BS151" s="16" t="n"/>
      <c r="BT151" s="20" t="inlineStr">
        <is>
          <t>IC Kationen</t>
        </is>
      </c>
      <c r="BU151" s="20" t="inlineStr">
        <is>
          <t>None</t>
        </is>
      </c>
      <c r="BV151" s="17" t="n"/>
      <c r="BW151" s="16" t="n"/>
      <c r="BX151" s="20" t="n"/>
      <c r="BY151" s="20" t="inlineStr">
        <is>
          <t>None</t>
        </is>
      </c>
      <c r="BZ151" s="17" t="n"/>
      <c r="CA151" s="16" t="n"/>
      <c r="CB151" s="20" t="n"/>
      <c r="CC151" s="20" t="inlineStr">
        <is>
          <t>None</t>
        </is>
      </c>
      <c r="CD151" s="17" t="n"/>
      <c r="CE151" s="16" t="n"/>
      <c r="CF151" s="20" t="n"/>
      <c r="CG151" s="20" t="inlineStr">
        <is>
          <t>None</t>
        </is>
      </c>
      <c r="CH151" s="17" t="n"/>
      <c r="CI151" s="16" t="n"/>
      <c r="CJ151" s="20" t="n"/>
      <c r="CK151" s="20" t="inlineStr">
        <is>
          <t>None</t>
        </is>
      </c>
      <c r="CL151" s="17" t="n"/>
      <c r="CM151" s="16" t="n"/>
      <c r="CN151" s="20" t="inlineStr">
        <is>
          <t>SOP 45-34</t>
        </is>
      </c>
      <c r="CO151" s="20" t="inlineStr">
        <is>
          <t>None</t>
        </is>
      </c>
      <c r="CP151" s="17" t="n"/>
      <c r="CQ151" s="16" t="n"/>
      <c r="CR151" s="20" t="n"/>
      <c r="CS151" s="20" t="inlineStr">
        <is>
          <t>None</t>
        </is>
      </c>
      <c r="CT151" s="17" t="n"/>
      <c r="CU151" s="16" t="n"/>
      <c r="CV151" s="20" t="n"/>
      <c r="CW151" s="20" t="inlineStr">
        <is>
          <t>None</t>
        </is>
      </c>
      <c r="CX151" s="17" t="n"/>
      <c r="CY151" s="16" t="n"/>
      <c r="CZ151" s="20" t="inlineStr">
        <is>
          <t>WTW Multimeter 3430 with FDO 925</t>
        </is>
      </c>
      <c r="DA151" s="20" t="inlineStr">
        <is>
          <t>None</t>
        </is>
      </c>
      <c r="DB151" s="17" t="n"/>
      <c r="DC151" s="16" t="n"/>
      <c r="DD151" s="20" t="n"/>
      <c r="DE151" s="20" t="inlineStr">
        <is>
          <t>None</t>
        </is>
      </c>
      <c r="DF151" s="17" t="n"/>
      <c r="DG151" s="16" t="n"/>
      <c r="DH151" s="20" t="inlineStr">
        <is>
          <t>SOP 45-09</t>
        </is>
      </c>
      <c r="DI151" s="20" t="inlineStr">
        <is>
          <t>None</t>
        </is>
      </c>
      <c r="DJ151" s="17" t="n"/>
      <c r="DK151" s="16" t="n"/>
      <c r="DL151" s="20" t="inlineStr">
        <is>
          <t>SOP 45-09 (SOP muss noch angepasst werden für VSS)</t>
        </is>
      </c>
      <c r="DM151" s="20" t="inlineStr">
        <is>
          <t>None</t>
        </is>
      </c>
      <c r="DN151" s="17" t="n"/>
      <c r="DO151" s="16" t="n"/>
      <c r="DP151" s="20" t="inlineStr">
        <is>
          <t>IC Organic Acids</t>
        </is>
      </c>
      <c r="DQ151" s="20" t="inlineStr">
        <is>
          <t>None</t>
        </is>
      </c>
      <c r="DR151" s="17" t="n"/>
      <c r="DS151" s="16" t="n"/>
      <c r="DT151" s="20" t="inlineStr">
        <is>
          <t>IC Organic Acids</t>
        </is>
      </c>
      <c r="DU151" s="20" t="inlineStr">
        <is>
          <t>None</t>
        </is>
      </c>
      <c r="DV151" s="17" t="n"/>
      <c r="DW151" s="16" t="n"/>
      <c r="DX151" s="20" t="inlineStr">
        <is>
          <t>IC Organic Acids</t>
        </is>
      </c>
      <c r="DY151" s="20" t="inlineStr">
        <is>
          <t>None</t>
        </is>
      </c>
      <c r="DZ151" s="17" t="n"/>
      <c r="EA151" s="16" t="n"/>
      <c r="EB151" s="20" t="inlineStr">
        <is>
          <t>IC Organic Acids</t>
        </is>
      </c>
      <c r="EC151" s="20" t="inlineStr">
        <is>
          <t>None</t>
        </is>
      </c>
      <c r="ED151" s="17" t="n"/>
      <c r="EE151" s="16" t="n"/>
      <c r="EF151" s="20" t="inlineStr">
        <is>
          <t>IC Organic Acids</t>
        </is>
      </c>
      <c r="EG151" s="20" t="inlineStr">
        <is>
          <t>None</t>
        </is>
      </c>
      <c r="EH151" s="17" t="n"/>
      <c r="EI151" s="16" t="n"/>
      <c r="EJ151" s="20" t="inlineStr">
        <is>
          <t>IC Organic Acids</t>
        </is>
      </c>
      <c r="EK151" s="20" t="inlineStr">
        <is>
          <t>None</t>
        </is>
      </c>
      <c r="EL151" s="17" t="n"/>
      <c r="EM151" s="16" t="n"/>
      <c r="EN151" s="20" t="inlineStr">
        <is>
          <t>IC Organic Acids</t>
        </is>
      </c>
      <c r="EO151" s="20" t="inlineStr">
        <is>
          <t>None</t>
        </is>
      </c>
      <c r="EP151" s="17" t="n"/>
      <c r="EQ151" s="16" t="n"/>
      <c r="ER151" s="20" t="inlineStr">
        <is>
          <t>IC Organic Acids</t>
        </is>
      </c>
      <c r="ES151" s="20" t="inlineStr">
        <is>
          <t>None</t>
        </is>
      </c>
      <c r="ET151" s="17" t="n"/>
      <c r="EU151" s="16" t="n"/>
      <c r="EV151" s="20" t="inlineStr">
        <is>
          <t>LC-MS</t>
        </is>
      </c>
      <c r="EW151" s="20" t="inlineStr">
        <is>
          <t>None</t>
        </is>
      </c>
      <c r="EX151" s="17" t="n"/>
      <c r="EY151" s="21" t="n"/>
      <c r="EZ151">
        <f>CONCATENATE(A151,B151)</f>
        <v/>
      </c>
      <c r="FA151">
        <f>CONCATENATE(SamplesX!A151,SamplesX!B151)</f>
        <v/>
      </c>
      <c r="FC151">
        <f>MATCH(EZ151,FA1:FA1008,0)</f>
        <v/>
      </c>
    </row>
    <row r="152">
      <c r="A152" s="16" t="inlineStr">
        <is>
          <t>BP</t>
        </is>
      </c>
      <c r="B152" s="17" t="inlineStr">
        <is>
          <t>25144</t>
        </is>
      </c>
      <c r="C152" s="10">
        <f>IF(ISNUMBER(FC152),INDIRECT("SamplesX!C"&amp;FC152),IF(ISNUMBER(FD152),INDIRECT("SamplesY!C"&amp;FD152),""))</f>
        <v/>
      </c>
      <c r="D152" s="12">
        <f>IF(ISNUMBER(FC152),INDIRECT("SamplesX!D"&amp;FC152),IF(ISNUMBER(FD152),INDIRECT("SamplesY!D"&amp;FD152),""))</f>
        <v/>
      </c>
      <c r="E152" s="12">
        <f>IF(ISNUMBER(FC152),INDIRECT("SamplesX!E"&amp;FC152),IF(ISNUMBER(FD152),INDIRECT("SamplesY!E"&amp;FD152),""))</f>
        <v/>
      </c>
      <c r="F152" s="11">
        <f>IF(ISNUMBER(FC152),INDIRECT("SamplesX!F"&amp;FC152),IF(ISNUMBER(FD152),INDIRECT("SamplesY!F"&amp;FD152),""))</f>
        <v/>
      </c>
      <c r="G152" s="18">
        <f>IF(ISNUMBER(FC152),INDIRECT("SamplesX!G"&amp;FC152),IF(ISNUMBER(FD152),INDIRECT("SamplesY!G"&amp;FD152),""))</f>
        <v/>
      </c>
      <c r="H152" s="19">
        <f>IF(ISNUMBER(FC152),INDIRECT("SamplesX!H"&amp;FC152),IF(ISNUMBER(FD152),INDIRECT("SamplesY!H"&amp;FD152),""))</f>
        <v/>
      </c>
      <c r="I152" s="16" t="n"/>
      <c r="J152" s="16" t="n"/>
      <c r="K152" s="16" t="n"/>
      <c r="L152" s="20" t="n"/>
      <c r="M152" s="20" t="inlineStr">
        <is>
          <t>None</t>
        </is>
      </c>
      <c r="N152" s="17" t="n"/>
      <c r="O152" s="16" t="n"/>
      <c r="P152" s="20" t="inlineStr">
        <is>
          <t>Shimadzu TOC-L</t>
        </is>
      </c>
      <c r="Q152" s="20" t="inlineStr">
        <is>
          <t>None</t>
        </is>
      </c>
      <c r="R152" s="17" t="n"/>
      <c r="S152" s="16" t="n"/>
      <c r="T152" s="20" t="inlineStr">
        <is>
          <t>Shimadzu TOC-L</t>
        </is>
      </c>
      <c r="U152" s="20" t="inlineStr">
        <is>
          <t>None</t>
        </is>
      </c>
      <c r="V152" s="17" t="n"/>
      <c r="W152" s="16" t="n"/>
      <c r="X152" s="20" t="n"/>
      <c r="Y152" s="20" t="inlineStr">
        <is>
          <t>None</t>
        </is>
      </c>
      <c r="Z152" s="17" t="n"/>
      <c r="AA152" s="16" t="n"/>
      <c r="AB152" s="20" t="n"/>
      <c r="AC152" s="20" t="inlineStr">
        <is>
          <t>None</t>
        </is>
      </c>
      <c r="AD152" s="17" t="n"/>
      <c r="AE152" s="16" t="n"/>
      <c r="AF152" s="20" t="inlineStr">
        <is>
          <t>IC Anionen</t>
        </is>
      </c>
      <c r="AG152" s="20" t="inlineStr">
        <is>
          <t>None</t>
        </is>
      </c>
      <c r="AH152" s="17" t="n"/>
      <c r="AI152" s="16" t="n"/>
      <c r="AJ152" s="20" t="n"/>
      <c r="AK152" s="20" t="inlineStr">
        <is>
          <t>None</t>
        </is>
      </c>
      <c r="AL152" s="17" t="n"/>
      <c r="AM152" s="16" t="n"/>
      <c r="AN152" s="20" t="inlineStr">
        <is>
          <t>IC Anionen</t>
        </is>
      </c>
      <c r="AO152" s="20" t="inlineStr">
        <is>
          <t>None</t>
        </is>
      </c>
      <c r="AP152" s="17" t="n"/>
      <c r="AQ152" s="16" t="n"/>
      <c r="AR152" s="20" t="n"/>
      <c r="AS152" s="20" t="inlineStr">
        <is>
          <t>None</t>
        </is>
      </c>
      <c r="AT152" s="17" t="n"/>
      <c r="AU152" s="16" t="inlineStr">
        <is>
          <t>5.97</t>
        </is>
      </c>
      <c r="AV152" s="20" t="inlineStr">
        <is>
          <t>IC Anionen</t>
        </is>
      </c>
      <c r="AW152" s="20" t="inlineStr">
        <is>
          <t>None</t>
        </is>
      </c>
      <c r="AX152" s="17" t="inlineStr">
        <is>
          <t>1*5</t>
        </is>
      </c>
      <c r="AY152" s="16" t="n"/>
      <c r="AZ152" s="20" t="inlineStr">
        <is>
          <t>IC Anionen</t>
        </is>
      </c>
      <c r="BA152" s="20" t="inlineStr">
        <is>
          <t>None</t>
        </is>
      </c>
      <c r="BB152" s="17" t="n"/>
      <c r="BC152" s="16" t="n"/>
      <c r="BD152" s="20" t="inlineStr">
        <is>
          <t>IC Kationen</t>
        </is>
      </c>
      <c r="BE152" s="20" t="inlineStr">
        <is>
          <t>None</t>
        </is>
      </c>
      <c r="BF152" s="17" t="n"/>
      <c r="BG152" s="16" t="inlineStr">
        <is>
          <t>24.2</t>
        </is>
      </c>
      <c r="BH152" s="20" t="inlineStr">
        <is>
          <t>FIA Lachat QC8500</t>
        </is>
      </c>
      <c r="BI152" s="20" t="inlineStr">
        <is>
          <t>None</t>
        </is>
      </c>
      <c r="BJ152" s="17" t="n"/>
      <c r="BK152" s="16" t="n"/>
      <c r="BL152" s="20" t="inlineStr">
        <is>
          <t>IC Kationen</t>
        </is>
      </c>
      <c r="BM152" s="20" t="inlineStr">
        <is>
          <t>None</t>
        </is>
      </c>
      <c r="BN152" s="17" t="n"/>
      <c r="BO152" s="16" t="n"/>
      <c r="BP152" s="20" t="inlineStr">
        <is>
          <t>IC Kationen</t>
        </is>
      </c>
      <c r="BQ152" s="20" t="inlineStr">
        <is>
          <t>None</t>
        </is>
      </c>
      <c r="BR152" s="17" t="n"/>
      <c r="BS152" s="16" t="n"/>
      <c r="BT152" s="20" t="inlineStr">
        <is>
          <t>IC Kationen</t>
        </is>
      </c>
      <c r="BU152" s="20" t="inlineStr">
        <is>
          <t>None</t>
        </is>
      </c>
      <c r="BV152" s="17" t="n"/>
      <c r="BW152" s="16" t="n"/>
      <c r="BX152" s="20" t="n"/>
      <c r="BY152" s="20" t="inlineStr">
        <is>
          <t>None</t>
        </is>
      </c>
      <c r="BZ152" s="17" t="n"/>
      <c r="CA152" s="16" t="n"/>
      <c r="CB152" s="20" t="n"/>
      <c r="CC152" s="20" t="inlineStr">
        <is>
          <t>None</t>
        </is>
      </c>
      <c r="CD152" s="17" t="n"/>
      <c r="CE152" s="16" t="n"/>
      <c r="CF152" s="20" t="n"/>
      <c r="CG152" s="20" t="inlineStr">
        <is>
          <t>None</t>
        </is>
      </c>
      <c r="CH152" s="17" t="n"/>
      <c r="CI152" s="16" t="n"/>
      <c r="CJ152" s="20" t="n"/>
      <c r="CK152" s="20" t="inlineStr">
        <is>
          <t>None</t>
        </is>
      </c>
      <c r="CL152" s="17" t="n"/>
      <c r="CM152" s="16" t="n"/>
      <c r="CN152" s="20" t="inlineStr">
        <is>
          <t>SOP 45-34</t>
        </is>
      </c>
      <c r="CO152" s="20" t="inlineStr">
        <is>
          <t>None</t>
        </is>
      </c>
      <c r="CP152" s="17" t="n"/>
      <c r="CQ152" s="16" t="n"/>
      <c r="CR152" s="20" t="n"/>
      <c r="CS152" s="20" t="inlineStr">
        <is>
          <t>None</t>
        </is>
      </c>
      <c r="CT152" s="17" t="n"/>
      <c r="CU152" s="16" t="n"/>
      <c r="CV152" s="20" t="n"/>
      <c r="CW152" s="20" t="inlineStr">
        <is>
          <t>None</t>
        </is>
      </c>
      <c r="CX152" s="17" t="n"/>
      <c r="CY152" s="16" t="n"/>
      <c r="CZ152" s="20" t="inlineStr">
        <is>
          <t>WTW Multimeter 3430 with FDO 925</t>
        </is>
      </c>
      <c r="DA152" s="20" t="inlineStr">
        <is>
          <t>None</t>
        </is>
      </c>
      <c r="DB152" s="17" t="n"/>
      <c r="DC152" s="16" t="n"/>
      <c r="DD152" s="20" t="n"/>
      <c r="DE152" s="20" t="inlineStr">
        <is>
          <t>None</t>
        </is>
      </c>
      <c r="DF152" s="17" t="n"/>
      <c r="DG152" s="16" t="n"/>
      <c r="DH152" s="20" t="inlineStr">
        <is>
          <t>SOP 45-09</t>
        </is>
      </c>
      <c r="DI152" s="20" t="inlineStr">
        <is>
          <t>None</t>
        </is>
      </c>
      <c r="DJ152" s="17" t="n"/>
      <c r="DK152" s="16" t="n"/>
      <c r="DL152" s="20" t="inlineStr">
        <is>
          <t>SOP 45-09 (SOP muss noch angepasst werden für VSS)</t>
        </is>
      </c>
      <c r="DM152" s="20" t="inlineStr">
        <is>
          <t>None</t>
        </is>
      </c>
      <c r="DN152" s="17" t="n"/>
      <c r="DO152" s="16" t="n"/>
      <c r="DP152" s="20" t="inlineStr">
        <is>
          <t>IC Organic Acids</t>
        </is>
      </c>
      <c r="DQ152" s="20" t="inlineStr">
        <is>
          <t>None</t>
        </is>
      </c>
      <c r="DR152" s="17" t="n"/>
      <c r="DS152" s="16" t="n"/>
      <c r="DT152" s="20" t="inlineStr">
        <is>
          <t>IC Organic Acids</t>
        </is>
      </c>
      <c r="DU152" s="20" t="inlineStr">
        <is>
          <t>None</t>
        </is>
      </c>
      <c r="DV152" s="17" t="n"/>
      <c r="DW152" s="16" t="n"/>
      <c r="DX152" s="20" t="inlineStr">
        <is>
          <t>IC Organic Acids</t>
        </is>
      </c>
      <c r="DY152" s="20" t="inlineStr">
        <is>
          <t>None</t>
        </is>
      </c>
      <c r="DZ152" s="17" t="n"/>
      <c r="EA152" s="16" t="n"/>
      <c r="EB152" s="20" t="inlineStr">
        <is>
          <t>IC Organic Acids</t>
        </is>
      </c>
      <c r="EC152" s="20" t="inlineStr">
        <is>
          <t>None</t>
        </is>
      </c>
      <c r="ED152" s="17" t="n"/>
      <c r="EE152" s="16" t="n"/>
      <c r="EF152" s="20" t="inlineStr">
        <is>
          <t>IC Organic Acids</t>
        </is>
      </c>
      <c r="EG152" s="20" t="inlineStr">
        <is>
          <t>None</t>
        </is>
      </c>
      <c r="EH152" s="17" t="n"/>
      <c r="EI152" s="16" t="n"/>
      <c r="EJ152" s="20" t="inlineStr">
        <is>
          <t>IC Organic Acids</t>
        </is>
      </c>
      <c r="EK152" s="20" t="inlineStr">
        <is>
          <t>None</t>
        </is>
      </c>
      <c r="EL152" s="17" t="n"/>
      <c r="EM152" s="16" t="n"/>
      <c r="EN152" s="20" t="inlineStr">
        <is>
          <t>IC Organic Acids</t>
        </is>
      </c>
      <c r="EO152" s="20" t="inlineStr">
        <is>
          <t>None</t>
        </is>
      </c>
      <c r="EP152" s="17" t="n"/>
      <c r="EQ152" s="16" t="n"/>
      <c r="ER152" s="20" t="inlineStr">
        <is>
          <t>IC Organic Acids</t>
        </is>
      </c>
      <c r="ES152" s="20" t="inlineStr">
        <is>
          <t>None</t>
        </is>
      </c>
      <c r="ET152" s="17" t="n"/>
      <c r="EU152" s="16" t="n"/>
      <c r="EV152" s="20" t="inlineStr">
        <is>
          <t>LC-MS</t>
        </is>
      </c>
      <c r="EW152" s="20" t="inlineStr">
        <is>
          <t>None</t>
        </is>
      </c>
      <c r="EX152" s="17" t="n"/>
      <c r="EY152" s="21" t="n"/>
      <c r="EZ152">
        <f>CONCATENATE(A152,B152)</f>
        <v/>
      </c>
      <c r="FA152">
        <f>CONCATENATE(SamplesX!A152,SamplesX!B152)</f>
        <v/>
      </c>
      <c r="FC152">
        <f>MATCH(EZ152,FA1:FA1008,0)</f>
        <v/>
      </c>
    </row>
    <row r="153">
      <c r="A153" s="16" t="inlineStr">
        <is>
          <t>BP</t>
        </is>
      </c>
      <c r="B153" s="17" t="inlineStr">
        <is>
          <t>25145</t>
        </is>
      </c>
      <c r="C153" s="10">
        <f>IF(ISNUMBER(FC153),INDIRECT("SamplesX!C"&amp;FC153),IF(ISNUMBER(FD153),INDIRECT("SamplesY!C"&amp;FD153),""))</f>
        <v/>
      </c>
      <c r="D153" s="12">
        <f>IF(ISNUMBER(FC153),INDIRECT("SamplesX!D"&amp;FC153),IF(ISNUMBER(FD153),INDIRECT("SamplesY!D"&amp;FD153),""))</f>
        <v/>
      </c>
      <c r="E153" s="12">
        <f>IF(ISNUMBER(FC153),INDIRECT("SamplesX!E"&amp;FC153),IF(ISNUMBER(FD153),INDIRECT("SamplesY!E"&amp;FD153),""))</f>
        <v/>
      </c>
      <c r="F153" s="11">
        <f>IF(ISNUMBER(FC153),INDIRECT("SamplesX!F"&amp;FC153),IF(ISNUMBER(FD153),INDIRECT("SamplesY!F"&amp;FD153),""))</f>
        <v/>
      </c>
      <c r="G153" s="18">
        <f>IF(ISNUMBER(FC153),INDIRECT("SamplesX!G"&amp;FC153),IF(ISNUMBER(FD153),INDIRECT("SamplesY!G"&amp;FD153),""))</f>
        <v/>
      </c>
      <c r="H153" s="19">
        <f>IF(ISNUMBER(FC153),INDIRECT("SamplesX!H"&amp;FC153),IF(ISNUMBER(FD153),INDIRECT("SamplesY!H"&amp;FD153),""))</f>
        <v/>
      </c>
      <c r="I153" s="16" t="n"/>
      <c r="J153" s="16" t="n"/>
      <c r="K153" s="16" t="n"/>
      <c r="L153" s="20" t="n"/>
      <c r="M153" s="20" t="inlineStr">
        <is>
          <t>None</t>
        </is>
      </c>
      <c r="N153" s="17" t="n"/>
      <c r="O153" s="16" t="n"/>
      <c r="P153" s="20" t="inlineStr">
        <is>
          <t>Shimadzu TOC-L</t>
        </is>
      </c>
      <c r="Q153" s="20" t="inlineStr">
        <is>
          <t>None</t>
        </is>
      </c>
      <c r="R153" s="17" t="n"/>
      <c r="S153" s="16" t="n"/>
      <c r="T153" s="20" t="inlineStr">
        <is>
          <t>Shimadzu TOC-L</t>
        </is>
      </c>
      <c r="U153" s="20" t="inlineStr">
        <is>
          <t>None</t>
        </is>
      </c>
      <c r="V153" s="17" t="n"/>
      <c r="W153" s="16" t="n"/>
      <c r="X153" s="20" t="n"/>
      <c r="Y153" s="20" t="inlineStr">
        <is>
          <t>None</t>
        </is>
      </c>
      <c r="Z153" s="17" t="n"/>
      <c r="AA153" s="16" t="n"/>
      <c r="AB153" s="20" t="n"/>
      <c r="AC153" s="20" t="inlineStr">
        <is>
          <t>None</t>
        </is>
      </c>
      <c r="AD153" s="17" t="n"/>
      <c r="AE153" s="16" t="n"/>
      <c r="AF153" s="20" t="inlineStr">
        <is>
          <t>IC Anionen</t>
        </is>
      </c>
      <c r="AG153" s="20" t="inlineStr">
        <is>
          <t>None</t>
        </is>
      </c>
      <c r="AH153" s="17" t="n"/>
      <c r="AI153" s="16" t="n"/>
      <c r="AJ153" s="20" t="n"/>
      <c r="AK153" s="20" t="inlineStr">
        <is>
          <t>None</t>
        </is>
      </c>
      <c r="AL153" s="17" t="n"/>
      <c r="AM153" s="16" t="n"/>
      <c r="AN153" s="20" t="inlineStr">
        <is>
          <t>IC Anionen</t>
        </is>
      </c>
      <c r="AO153" s="20" t="inlineStr">
        <is>
          <t>None</t>
        </is>
      </c>
      <c r="AP153" s="17" t="n"/>
      <c r="AQ153" s="16" t="n"/>
      <c r="AR153" s="20" t="n"/>
      <c r="AS153" s="20" t="inlineStr">
        <is>
          <t>None</t>
        </is>
      </c>
      <c r="AT153" s="17" t="n"/>
      <c r="AU153" s="16" t="inlineStr">
        <is>
          <t>3.68</t>
        </is>
      </c>
      <c r="AV153" s="20" t="inlineStr">
        <is>
          <t>IC Anionen</t>
        </is>
      </c>
      <c r="AW153" s="20" t="inlineStr">
        <is>
          <t>None</t>
        </is>
      </c>
      <c r="AX153" s="17" t="n"/>
      <c r="AY153" s="16" t="n"/>
      <c r="AZ153" s="20" t="inlineStr">
        <is>
          <t>IC Anionen</t>
        </is>
      </c>
      <c r="BA153" s="20" t="inlineStr">
        <is>
          <t>None</t>
        </is>
      </c>
      <c r="BB153" s="17" t="n"/>
      <c r="BC153" s="16" t="n"/>
      <c r="BD153" s="20" t="inlineStr">
        <is>
          <t>IC Kationen</t>
        </is>
      </c>
      <c r="BE153" s="20" t="inlineStr">
        <is>
          <t>None</t>
        </is>
      </c>
      <c r="BF153" s="17" t="n"/>
      <c r="BG153" s="16" t="inlineStr">
        <is>
          <t>24.1</t>
        </is>
      </c>
      <c r="BH153" s="20" t="inlineStr">
        <is>
          <t>FIA Lachat QC8500</t>
        </is>
      </c>
      <c r="BI153" s="20" t="inlineStr">
        <is>
          <t>None</t>
        </is>
      </c>
      <c r="BJ153" s="17" t="n"/>
      <c r="BK153" s="16" t="n"/>
      <c r="BL153" s="20" t="inlineStr">
        <is>
          <t>IC Kationen</t>
        </is>
      </c>
      <c r="BM153" s="20" t="inlineStr">
        <is>
          <t>None</t>
        </is>
      </c>
      <c r="BN153" s="17" t="n"/>
      <c r="BO153" s="16" t="n"/>
      <c r="BP153" s="20" t="inlineStr">
        <is>
          <t>IC Kationen</t>
        </is>
      </c>
      <c r="BQ153" s="20" t="inlineStr">
        <is>
          <t>None</t>
        </is>
      </c>
      <c r="BR153" s="17" t="n"/>
      <c r="BS153" s="16" t="n"/>
      <c r="BT153" s="20" t="inlineStr">
        <is>
          <t>IC Kationen</t>
        </is>
      </c>
      <c r="BU153" s="20" t="inlineStr">
        <is>
          <t>None</t>
        </is>
      </c>
      <c r="BV153" s="17" t="n"/>
      <c r="BW153" s="16" t="n"/>
      <c r="BX153" s="20" t="n"/>
      <c r="BY153" s="20" t="inlineStr">
        <is>
          <t>None</t>
        </is>
      </c>
      <c r="BZ153" s="17" t="n"/>
      <c r="CA153" s="16" t="n"/>
      <c r="CB153" s="20" t="n"/>
      <c r="CC153" s="20" t="inlineStr">
        <is>
          <t>None</t>
        </is>
      </c>
      <c r="CD153" s="17" t="n"/>
      <c r="CE153" s="16" t="n"/>
      <c r="CF153" s="20" t="n"/>
      <c r="CG153" s="20" t="inlineStr">
        <is>
          <t>None</t>
        </is>
      </c>
      <c r="CH153" s="17" t="n"/>
      <c r="CI153" s="16" t="n"/>
      <c r="CJ153" s="20" t="n"/>
      <c r="CK153" s="20" t="inlineStr">
        <is>
          <t>None</t>
        </is>
      </c>
      <c r="CL153" s="17" t="n"/>
      <c r="CM153" s="16" t="n"/>
      <c r="CN153" s="20" t="inlineStr">
        <is>
          <t>SOP 45-34</t>
        </is>
      </c>
      <c r="CO153" s="20" t="inlineStr">
        <is>
          <t>None</t>
        </is>
      </c>
      <c r="CP153" s="17" t="n"/>
      <c r="CQ153" s="16" t="n"/>
      <c r="CR153" s="20" t="n"/>
      <c r="CS153" s="20" t="inlineStr">
        <is>
          <t>None</t>
        </is>
      </c>
      <c r="CT153" s="17" t="n"/>
      <c r="CU153" s="16" t="n"/>
      <c r="CV153" s="20" t="n"/>
      <c r="CW153" s="20" t="inlineStr">
        <is>
          <t>None</t>
        </is>
      </c>
      <c r="CX153" s="17" t="n"/>
      <c r="CY153" s="16" t="n"/>
      <c r="CZ153" s="20" t="inlineStr">
        <is>
          <t>WTW Multimeter 3430 with FDO 925</t>
        </is>
      </c>
      <c r="DA153" s="20" t="inlineStr">
        <is>
          <t>None</t>
        </is>
      </c>
      <c r="DB153" s="17" t="n"/>
      <c r="DC153" s="16" t="n"/>
      <c r="DD153" s="20" t="n"/>
      <c r="DE153" s="20" t="inlineStr">
        <is>
          <t>None</t>
        </is>
      </c>
      <c r="DF153" s="17" t="n"/>
      <c r="DG153" s="16" t="n"/>
      <c r="DH153" s="20" t="inlineStr">
        <is>
          <t>SOP 45-09</t>
        </is>
      </c>
      <c r="DI153" s="20" t="inlineStr">
        <is>
          <t>None</t>
        </is>
      </c>
      <c r="DJ153" s="17" t="n"/>
      <c r="DK153" s="16" t="n"/>
      <c r="DL153" s="20" t="inlineStr">
        <is>
          <t>SOP 45-09 (SOP muss noch angepasst werden für VSS)</t>
        </is>
      </c>
      <c r="DM153" s="20" t="inlineStr">
        <is>
          <t>None</t>
        </is>
      </c>
      <c r="DN153" s="17" t="n"/>
      <c r="DO153" s="16" t="n"/>
      <c r="DP153" s="20" t="inlineStr">
        <is>
          <t>IC Organic Acids</t>
        </is>
      </c>
      <c r="DQ153" s="20" t="inlineStr">
        <is>
          <t>None</t>
        </is>
      </c>
      <c r="DR153" s="17" t="n"/>
      <c r="DS153" s="16" t="n"/>
      <c r="DT153" s="20" t="inlineStr">
        <is>
          <t>IC Organic Acids</t>
        </is>
      </c>
      <c r="DU153" s="20" t="inlineStr">
        <is>
          <t>None</t>
        </is>
      </c>
      <c r="DV153" s="17" t="n"/>
      <c r="DW153" s="16" t="n"/>
      <c r="DX153" s="20" t="inlineStr">
        <is>
          <t>IC Organic Acids</t>
        </is>
      </c>
      <c r="DY153" s="20" t="inlineStr">
        <is>
          <t>None</t>
        </is>
      </c>
      <c r="DZ153" s="17" t="n"/>
      <c r="EA153" s="16" t="n"/>
      <c r="EB153" s="20" t="inlineStr">
        <is>
          <t>IC Organic Acids</t>
        </is>
      </c>
      <c r="EC153" s="20" t="inlineStr">
        <is>
          <t>None</t>
        </is>
      </c>
      <c r="ED153" s="17" t="n"/>
      <c r="EE153" s="16" t="n"/>
      <c r="EF153" s="20" t="inlineStr">
        <is>
          <t>IC Organic Acids</t>
        </is>
      </c>
      <c r="EG153" s="20" t="inlineStr">
        <is>
          <t>None</t>
        </is>
      </c>
      <c r="EH153" s="17" t="n"/>
      <c r="EI153" s="16" t="n"/>
      <c r="EJ153" s="20" t="inlineStr">
        <is>
          <t>IC Organic Acids</t>
        </is>
      </c>
      <c r="EK153" s="20" t="inlineStr">
        <is>
          <t>None</t>
        </is>
      </c>
      <c r="EL153" s="17" t="n"/>
      <c r="EM153" s="16" t="n"/>
      <c r="EN153" s="20" t="inlineStr">
        <is>
          <t>IC Organic Acids</t>
        </is>
      </c>
      <c r="EO153" s="20" t="inlineStr">
        <is>
          <t>None</t>
        </is>
      </c>
      <c r="EP153" s="17" t="n"/>
      <c r="EQ153" s="16" t="n"/>
      <c r="ER153" s="20" t="inlineStr">
        <is>
          <t>IC Organic Acids</t>
        </is>
      </c>
      <c r="ES153" s="20" t="inlineStr">
        <is>
          <t>None</t>
        </is>
      </c>
      <c r="ET153" s="17" t="n"/>
      <c r="EU153" s="16" t="n"/>
      <c r="EV153" s="20" t="inlineStr">
        <is>
          <t>LC-MS</t>
        </is>
      </c>
      <c r="EW153" s="20" t="inlineStr">
        <is>
          <t>None</t>
        </is>
      </c>
      <c r="EX153" s="17" t="n"/>
      <c r="EY153" s="21" t="n"/>
      <c r="EZ153">
        <f>CONCATENATE(A153,B153)</f>
        <v/>
      </c>
      <c r="FA153">
        <f>CONCATENATE(SamplesX!A153,SamplesX!B153)</f>
        <v/>
      </c>
      <c r="FC153">
        <f>MATCH(EZ153,FA1:FA1008,0)</f>
        <v/>
      </c>
    </row>
    <row r="154">
      <c r="A154" s="16" t="inlineStr">
        <is>
          <t>BP</t>
        </is>
      </c>
      <c r="B154" s="17" t="inlineStr">
        <is>
          <t>25146</t>
        </is>
      </c>
      <c r="C154" s="10">
        <f>IF(ISNUMBER(FC154),INDIRECT("SamplesX!C"&amp;FC154),IF(ISNUMBER(FD154),INDIRECT("SamplesY!C"&amp;FD154),""))</f>
        <v/>
      </c>
      <c r="D154" s="12">
        <f>IF(ISNUMBER(FC154),INDIRECT("SamplesX!D"&amp;FC154),IF(ISNUMBER(FD154),INDIRECT("SamplesY!D"&amp;FD154),""))</f>
        <v/>
      </c>
      <c r="E154" s="12">
        <f>IF(ISNUMBER(FC154),INDIRECT("SamplesX!E"&amp;FC154),IF(ISNUMBER(FD154),INDIRECT("SamplesY!E"&amp;FD154),""))</f>
        <v/>
      </c>
      <c r="F154" s="11">
        <f>IF(ISNUMBER(FC154),INDIRECT("SamplesX!F"&amp;FC154),IF(ISNUMBER(FD154),INDIRECT("SamplesY!F"&amp;FD154),""))</f>
        <v/>
      </c>
      <c r="G154" s="18">
        <f>IF(ISNUMBER(FC154),INDIRECT("SamplesX!G"&amp;FC154),IF(ISNUMBER(FD154),INDIRECT("SamplesY!G"&amp;FD154),""))</f>
        <v/>
      </c>
      <c r="H154" s="19">
        <f>IF(ISNUMBER(FC154),INDIRECT("SamplesX!H"&amp;FC154),IF(ISNUMBER(FD154),INDIRECT("SamplesY!H"&amp;FD154),""))</f>
        <v/>
      </c>
      <c r="I154" s="16" t="n"/>
      <c r="J154" s="16" t="n"/>
      <c r="K154" s="16" t="n"/>
      <c r="L154" s="20" t="n"/>
      <c r="M154" s="20" t="inlineStr">
        <is>
          <t>None</t>
        </is>
      </c>
      <c r="N154" s="17" t="n"/>
      <c r="O154" s="16" t="n"/>
      <c r="P154" s="20" t="inlineStr">
        <is>
          <t>Shimadzu TOC-L</t>
        </is>
      </c>
      <c r="Q154" s="20" t="inlineStr">
        <is>
          <t>None</t>
        </is>
      </c>
      <c r="R154" s="17" t="n"/>
      <c r="S154" s="16" t="n"/>
      <c r="T154" s="20" t="inlineStr">
        <is>
          <t>Shimadzu TOC-L</t>
        </is>
      </c>
      <c r="U154" s="20" t="inlineStr">
        <is>
          <t>None</t>
        </is>
      </c>
      <c r="V154" s="17" t="n"/>
      <c r="W154" s="16" t="n"/>
      <c r="X154" s="20" t="n"/>
      <c r="Y154" s="20" t="inlineStr">
        <is>
          <t>None</t>
        </is>
      </c>
      <c r="Z154" s="17" t="n"/>
      <c r="AA154" s="16" t="n"/>
      <c r="AB154" s="20" t="n"/>
      <c r="AC154" s="20" t="inlineStr">
        <is>
          <t>None</t>
        </is>
      </c>
      <c r="AD154" s="17" t="n"/>
      <c r="AE154" s="16" t="n"/>
      <c r="AF154" s="20" t="inlineStr">
        <is>
          <t>IC Anionen</t>
        </is>
      </c>
      <c r="AG154" s="20" t="inlineStr">
        <is>
          <t>None</t>
        </is>
      </c>
      <c r="AH154" s="17" t="n"/>
      <c r="AI154" s="16" t="n"/>
      <c r="AJ154" s="20" t="n"/>
      <c r="AK154" s="20" t="inlineStr">
        <is>
          <t>None</t>
        </is>
      </c>
      <c r="AL154" s="17" t="n"/>
      <c r="AM154" s="16" t="n"/>
      <c r="AN154" s="20" t="inlineStr">
        <is>
          <t>IC Anionen</t>
        </is>
      </c>
      <c r="AO154" s="20" t="inlineStr">
        <is>
          <t>None</t>
        </is>
      </c>
      <c r="AP154" s="17" t="n"/>
      <c r="AQ154" s="16" t="n"/>
      <c r="AR154" s="20" t="n"/>
      <c r="AS154" s="20" t="inlineStr">
        <is>
          <t>None</t>
        </is>
      </c>
      <c r="AT154" s="17" t="n"/>
      <c r="AU154" s="16" t="inlineStr">
        <is>
          <t>3.67</t>
        </is>
      </c>
      <c r="AV154" s="20" t="inlineStr">
        <is>
          <t>IC Anionen</t>
        </is>
      </c>
      <c r="AW154" s="20" t="inlineStr">
        <is>
          <t>None</t>
        </is>
      </c>
      <c r="AX154" s="17" t="n"/>
      <c r="AY154" s="16" t="n"/>
      <c r="AZ154" s="20" t="inlineStr">
        <is>
          <t>IC Anionen</t>
        </is>
      </c>
      <c r="BA154" s="20" t="inlineStr">
        <is>
          <t>None</t>
        </is>
      </c>
      <c r="BB154" s="17" t="n"/>
      <c r="BC154" s="16" t="n"/>
      <c r="BD154" s="20" t="inlineStr">
        <is>
          <t>IC Kationen</t>
        </is>
      </c>
      <c r="BE154" s="20" t="inlineStr">
        <is>
          <t>None</t>
        </is>
      </c>
      <c r="BF154" s="17" t="n"/>
      <c r="BG154" s="16" t="inlineStr">
        <is>
          <t>23.9</t>
        </is>
      </c>
      <c r="BH154" s="20" t="inlineStr">
        <is>
          <t>FIA Lachat QC8500</t>
        </is>
      </c>
      <c r="BI154" s="20" t="inlineStr">
        <is>
          <t>None</t>
        </is>
      </c>
      <c r="BJ154" s="17" t="n"/>
      <c r="BK154" s="16" t="n"/>
      <c r="BL154" s="20" t="inlineStr">
        <is>
          <t>IC Kationen</t>
        </is>
      </c>
      <c r="BM154" s="20" t="inlineStr">
        <is>
          <t>None</t>
        </is>
      </c>
      <c r="BN154" s="17" t="n"/>
      <c r="BO154" s="16" t="n"/>
      <c r="BP154" s="20" t="inlineStr">
        <is>
          <t>IC Kationen</t>
        </is>
      </c>
      <c r="BQ154" s="20" t="inlineStr">
        <is>
          <t>None</t>
        </is>
      </c>
      <c r="BR154" s="17" t="n"/>
      <c r="BS154" s="16" t="n"/>
      <c r="BT154" s="20" t="inlineStr">
        <is>
          <t>IC Kationen</t>
        </is>
      </c>
      <c r="BU154" s="20" t="inlineStr">
        <is>
          <t>None</t>
        </is>
      </c>
      <c r="BV154" s="17" t="n"/>
      <c r="BW154" s="16" t="n"/>
      <c r="BX154" s="20" t="n"/>
      <c r="BY154" s="20" t="inlineStr">
        <is>
          <t>None</t>
        </is>
      </c>
      <c r="BZ154" s="17" t="n"/>
      <c r="CA154" s="16" t="n"/>
      <c r="CB154" s="20" t="n"/>
      <c r="CC154" s="20" t="inlineStr">
        <is>
          <t>None</t>
        </is>
      </c>
      <c r="CD154" s="17" t="n"/>
      <c r="CE154" s="16" t="n"/>
      <c r="CF154" s="20" t="n"/>
      <c r="CG154" s="20" t="inlineStr">
        <is>
          <t>None</t>
        </is>
      </c>
      <c r="CH154" s="17" t="n"/>
      <c r="CI154" s="16" t="n"/>
      <c r="CJ154" s="20" t="n"/>
      <c r="CK154" s="20" t="inlineStr">
        <is>
          <t>None</t>
        </is>
      </c>
      <c r="CL154" s="17" t="n"/>
      <c r="CM154" s="16" t="n"/>
      <c r="CN154" s="20" t="inlineStr">
        <is>
          <t>SOP 45-34</t>
        </is>
      </c>
      <c r="CO154" s="20" t="inlineStr">
        <is>
          <t>None</t>
        </is>
      </c>
      <c r="CP154" s="17" t="n"/>
      <c r="CQ154" s="16" t="n"/>
      <c r="CR154" s="20" t="n"/>
      <c r="CS154" s="20" t="inlineStr">
        <is>
          <t>None</t>
        </is>
      </c>
      <c r="CT154" s="17" t="n"/>
      <c r="CU154" s="16" t="n"/>
      <c r="CV154" s="20" t="n"/>
      <c r="CW154" s="20" t="inlineStr">
        <is>
          <t>None</t>
        </is>
      </c>
      <c r="CX154" s="17" t="n"/>
      <c r="CY154" s="16" t="n"/>
      <c r="CZ154" s="20" t="inlineStr">
        <is>
          <t>WTW Multimeter 3430 with FDO 925</t>
        </is>
      </c>
      <c r="DA154" s="20" t="inlineStr">
        <is>
          <t>None</t>
        </is>
      </c>
      <c r="DB154" s="17" t="n"/>
      <c r="DC154" s="16" t="n"/>
      <c r="DD154" s="20" t="n"/>
      <c r="DE154" s="20" t="inlineStr">
        <is>
          <t>None</t>
        </is>
      </c>
      <c r="DF154" s="17" t="n"/>
      <c r="DG154" s="16" t="n"/>
      <c r="DH154" s="20" t="inlineStr">
        <is>
          <t>SOP 45-09</t>
        </is>
      </c>
      <c r="DI154" s="20" t="inlineStr">
        <is>
          <t>None</t>
        </is>
      </c>
      <c r="DJ154" s="17" t="n"/>
      <c r="DK154" s="16" t="n"/>
      <c r="DL154" s="20" t="inlineStr">
        <is>
          <t>SOP 45-09 (SOP muss noch angepasst werden für VSS)</t>
        </is>
      </c>
      <c r="DM154" s="20" t="inlineStr">
        <is>
          <t>None</t>
        </is>
      </c>
      <c r="DN154" s="17" t="n"/>
      <c r="DO154" s="16" t="n"/>
      <c r="DP154" s="20" t="inlineStr">
        <is>
          <t>IC Organic Acids</t>
        </is>
      </c>
      <c r="DQ154" s="20" t="inlineStr">
        <is>
          <t>None</t>
        </is>
      </c>
      <c r="DR154" s="17" t="n"/>
      <c r="DS154" s="16" t="n"/>
      <c r="DT154" s="20" t="inlineStr">
        <is>
          <t>IC Organic Acids</t>
        </is>
      </c>
      <c r="DU154" s="20" t="inlineStr">
        <is>
          <t>None</t>
        </is>
      </c>
      <c r="DV154" s="17" t="n"/>
      <c r="DW154" s="16" t="n"/>
      <c r="DX154" s="20" t="inlineStr">
        <is>
          <t>IC Organic Acids</t>
        </is>
      </c>
      <c r="DY154" s="20" t="inlineStr">
        <is>
          <t>None</t>
        </is>
      </c>
      <c r="DZ154" s="17" t="n"/>
      <c r="EA154" s="16" t="n"/>
      <c r="EB154" s="20" t="inlineStr">
        <is>
          <t>IC Organic Acids</t>
        </is>
      </c>
      <c r="EC154" s="20" t="inlineStr">
        <is>
          <t>None</t>
        </is>
      </c>
      <c r="ED154" s="17" t="n"/>
      <c r="EE154" s="16" t="n"/>
      <c r="EF154" s="20" t="inlineStr">
        <is>
          <t>IC Organic Acids</t>
        </is>
      </c>
      <c r="EG154" s="20" t="inlineStr">
        <is>
          <t>None</t>
        </is>
      </c>
      <c r="EH154" s="17" t="n"/>
      <c r="EI154" s="16" t="n"/>
      <c r="EJ154" s="20" t="inlineStr">
        <is>
          <t>IC Organic Acids</t>
        </is>
      </c>
      <c r="EK154" s="20" t="inlineStr">
        <is>
          <t>None</t>
        </is>
      </c>
      <c r="EL154" s="17" t="n"/>
      <c r="EM154" s="16" t="n"/>
      <c r="EN154" s="20" t="inlineStr">
        <is>
          <t>IC Organic Acids</t>
        </is>
      </c>
      <c r="EO154" s="20" t="inlineStr">
        <is>
          <t>None</t>
        </is>
      </c>
      <c r="EP154" s="17" t="n"/>
      <c r="EQ154" s="16" t="n"/>
      <c r="ER154" s="20" t="inlineStr">
        <is>
          <t>IC Organic Acids</t>
        </is>
      </c>
      <c r="ES154" s="20" t="inlineStr">
        <is>
          <t>None</t>
        </is>
      </c>
      <c r="ET154" s="17" t="n"/>
      <c r="EU154" s="16" t="n"/>
      <c r="EV154" s="20" t="inlineStr">
        <is>
          <t>LC-MS</t>
        </is>
      </c>
      <c r="EW154" s="20" t="inlineStr">
        <is>
          <t>None</t>
        </is>
      </c>
      <c r="EX154" s="17" t="n"/>
      <c r="EY154" s="21" t="n"/>
      <c r="EZ154">
        <f>CONCATENATE(A154,B154)</f>
        <v/>
      </c>
      <c r="FA154">
        <f>CONCATENATE(SamplesX!A154,SamplesX!B154)</f>
        <v/>
      </c>
      <c r="FC154">
        <f>MATCH(EZ154,FA1:FA1008,0)</f>
        <v/>
      </c>
    </row>
    <row r="155">
      <c r="A155" s="16" t="inlineStr">
        <is>
          <t>BP</t>
        </is>
      </c>
      <c r="B155" s="17" t="inlineStr">
        <is>
          <t>25147</t>
        </is>
      </c>
      <c r="C155" s="10">
        <f>IF(ISNUMBER(FC155),INDIRECT("SamplesX!C"&amp;FC155),IF(ISNUMBER(FD155),INDIRECT("SamplesY!C"&amp;FD155),""))</f>
        <v/>
      </c>
      <c r="D155" s="12">
        <f>IF(ISNUMBER(FC155),INDIRECT("SamplesX!D"&amp;FC155),IF(ISNUMBER(FD155),INDIRECT("SamplesY!D"&amp;FD155),""))</f>
        <v/>
      </c>
      <c r="E155" s="12">
        <f>IF(ISNUMBER(FC155),INDIRECT("SamplesX!E"&amp;FC155),IF(ISNUMBER(FD155),INDIRECT("SamplesY!E"&amp;FD155),""))</f>
        <v/>
      </c>
      <c r="F155" s="11">
        <f>IF(ISNUMBER(FC155),INDIRECT("SamplesX!F"&amp;FC155),IF(ISNUMBER(FD155),INDIRECT("SamplesY!F"&amp;FD155),""))</f>
        <v/>
      </c>
      <c r="G155" s="18">
        <f>IF(ISNUMBER(FC155),INDIRECT("SamplesX!G"&amp;FC155),IF(ISNUMBER(FD155),INDIRECT("SamplesY!G"&amp;FD155),""))</f>
        <v/>
      </c>
      <c r="H155" s="19">
        <f>IF(ISNUMBER(FC155),INDIRECT("SamplesX!H"&amp;FC155),IF(ISNUMBER(FD155),INDIRECT("SamplesY!H"&amp;FD155),""))</f>
        <v/>
      </c>
      <c r="I155" s="16" t="n"/>
      <c r="J155" s="16" t="n"/>
      <c r="K155" s="16" t="n"/>
      <c r="L155" s="20" t="n"/>
      <c r="M155" s="20" t="inlineStr">
        <is>
          <t>None</t>
        </is>
      </c>
      <c r="N155" s="17" t="n"/>
      <c r="O155" s="16" t="n"/>
      <c r="P155" s="20" t="inlineStr">
        <is>
          <t>Shimadzu TOC-L</t>
        </is>
      </c>
      <c r="Q155" s="20" t="inlineStr">
        <is>
          <t>None</t>
        </is>
      </c>
      <c r="R155" s="17" t="n"/>
      <c r="S155" s="16" t="n"/>
      <c r="T155" s="20" t="inlineStr">
        <is>
          <t>Shimadzu TOC-L</t>
        </is>
      </c>
      <c r="U155" s="20" t="inlineStr">
        <is>
          <t>None</t>
        </is>
      </c>
      <c r="V155" s="17" t="n"/>
      <c r="W155" s="16" t="n"/>
      <c r="X155" s="20" t="n"/>
      <c r="Y155" s="20" t="inlineStr">
        <is>
          <t>None</t>
        </is>
      </c>
      <c r="Z155" s="17" t="n"/>
      <c r="AA155" s="16" t="n"/>
      <c r="AB155" s="20" t="n"/>
      <c r="AC155" s="20" t="inlineStr">
        <is>
          <t>None</t>
        </is>
      </c>
      <c r="AD155" s="17" t="n"/>
      <c r="AE155" s="16" t="n"/>
      <c r="AF155" s="20" t="inlineStr">
        <is>
          <t>IC Anionen</t>
        </is>
      </c>
      <c r="AG155" s="20" t="inlineStr">
        <is>
          <t>None</t>
        </is>
      </c>
      <c r="AH155" s="17" t="n"/>
      <c r="AI155" s="16" t="n"/>
      <c r="AJ155" s="20" t="n"/>
      <c r="AK155" s="20" t="inlineStr">
        <is>
          <t>None</t>
        </is>
      </c>
      <c r="AL155" s="17" t="n"/>
      <c r="AM155" s="16" t="n"/>
      <c r="AN155" s="20" t="inlineStr">
        <is>
          <t>IC Anionen</t>
        </is>
      </c>
      <c r="AO155" s="20" t="inlineStr">
        <is>
          <t>None</t>
        </is>
      </c>
      <c r="AP155" s="17" t="n"/>
      <c r="AQ155" s="16" t="n"/>
      <c r="AR155" s="20" t="n"/>
      <c r="AS155" s="20" t="inlineStr">
        <is>
          <t>None</t>
        </is>
      </c>
      <c r="AT155" s="17" t="n"/>
      <c r="AU155" s="16" t="inlineStr">
        <is>
          <t>3.74</t>
        </is>
      </c>
      <c r="AV155" s="20" t="inlineStr">
        <is>
          <t>IC Anionen</t>
        </is>
      </c>
      <c r="AW155" s="20" t="inlineStr">
        <is>
          <t>None</t>
        </is>
      </c>
      <c r="AX155" s="17" t="n"/>
      <c r="AY155" s="16" t="n"/>
      <c r="AZ155" s="20" t="inlineStr">
        <is>
          <t>IC Anionen</t>
        </is>
      </c>
      <c r="BA155" s="20" t="inlineStr">
        <is>
          <t>None</t>
        </is>
      </c>
      <c r="BB155" s="17" t="n"/>
      <c r="BC155" s="16" t="n"/>
      <c r="BD155" s="20" t="inlineStr">
        <is>
          <t>IC Kationen</t>
        </is>
      </c>
      <c r="BE155" s="20" t="inlineStr">
        <is>
          <t>None</t>
        </is>
      </c>
      <c r="BF155" s="17" t="n"/>
      <c r="BG155" s="16" t="inlineStr">
        <is>
          <t>24.4</t>
        </is>
      </c>
      <c r="BH155" s="20" t="inlineStr">
        <is>
          <t>FIA Lachat QC8500</t>
        </is>
      </c>
      <c r="BI155" s="20" t="inlineStr">
        <is>
          <t>None</t>
        </is>
      </c>
      <c r="BJ155" s="17" t="n"/>
      <c r="BK155" s="16" t="n"/>
      <c r="BL155" s="20" t="inlineStr">
        <is>
          <t>IC Kationen</t>
        </is>
      </c>
      <c r="BM155" s="20" t="inlineStr">
        <is>
          <t>None</t>
        </is>
      </c>
      <c r="BN155" s="17" t="n"/>
      <c r="BO155" s="16" t="n"/>
      <c r="BP155" s="20" t="inlineStr">
        <is>
          <t>IC Kationen</t>
        </is>
      </c>
      <c r="BQ155" s="20" t="inlineStr">
        <is>
          <t>None</t>
        </is>
      </c>
      <c r="BR155" s="17" t="n"/>
      <c r="BS155" s="16" t="n"/>
      <c r="BT155" s="20" t="inlineStr">
        <is>
          <t>IC Kationen</t>
        </is>
      </c>
      <c r="BU155" s="20" t="inlineStr">
        <is>
          <t>None</t>
        </is>
      </c>
      <c r="BV155" s="17" t="n"/>
      <c r="BW155" s="16" t="n"/>
      <c r="BX155" s="20" t="n"/>
      <c r="BY155" s="20" t="inlineStr">
        <is>
          <t>None</t>
        </is>
      </c>
      <c r="BZ155" s="17" t="n"/>
      <c r="CA155" s="16" t="n"/>
      <c r="CB155" s="20" t="n"/>
      <c r="CC155" s="20" t="inlineStr">
        <is>
          <t>None</t>
        </is>
      </c>
      <c r="CD155" s="17" t="n"/>
      <c r="CE155" s="16" t="n"/>
      <c r="CF155" s="20" t="n"/>
      <c r="CG155" s="20" t="inlineStr">
        <is>
          <t>None</t>
        </is>
      </c>
      <c r="CH155" s="17" t="n"/>
      <c r="CI155" s="16" t="n"/>
      <c r="CJ155" s="20" t="n"/>
      <c r="CK155" s="20" t="inlineStr">
        <is>
          <t>None</t>
        </is>
      </c>
      <c r="CL155" s="17" t="n"/>
      <c r="CM155" s="16" t="n"/>
      <c r="CN155" s="20" t="inlineStr">
        <is>
          <t>SOP 45-34</t>
        </is>
      </c>
      <c r="CO155" s="20" t="inlineStr">
        <is>
          <t>None</t>
        </is>
      </c>
      <c r="CP155" s="17" t="n"/>
      <c r="CQ155" s="16" t="n"/>
      <c r="CR155" s="20" t="n"/>
      <c r="CS155" s="20" t="inlineStr">
        <is>
          <t>None</t>
        </is>
      </c>
      <c r="CT155" s="17" t="n"/>
      <c r="CU155" s="16" t="n"/>
      <c r="CV155" s="20" t="n"/>
      <c r="CW155" s="20" t="inlineStr">
        <is>
          <t>None</t>
        </is>
      </c>
      <c r="CX155" s="17" t="n"/>
      <c r="CY155" s="16" t="n"/>
      <c r="CZ155" s="20" t="inlineStr">
        <is>
          <t>WTW Multimeter 3430 with FDO 925</t>
        </is>
      </c>
      <c r="DA155" s="20" t="inlineStr">
        <is>
          <t>None</t>
        </is>
      </c>
      <c r="DB155" s="17" t="n"/>
      <c r="DC155" s="16" t="n"/>
      <c r="DD155" s="20" t="n"/>
      <c r="DE155" s="20" t="inlineStr">
        <is>
          <t>None</t>
        </is>
      </c>
      <c r="DF155" s="17" t="n"/>
      <c r="DG155" s="16" t="n"/>
      <c r="DH155" s="20" t="inlineStr">
        <is>
          <t>SOP 45-09</t>
        </is>
      </c>
      <c r="DI155" s="20" t="inlineStr">
        <is>
          <t>None</t>
        </is>
      </c>
      <c r="DJ155" s="17" t="n"/>
      <c r="DK155" s="16" t="n"/>
      <c r="DL155" s="20" t="inlineStr">
        <is>
          <t>SOP 45-09 (SOP muss noch angepasst werden für VSS)</t>
        </is>
      </c>
      <c r="DM155" s="20" t="inlineStr">
        <is>
          <t>None</t>
        </is>
      </c>
      <c r="DN155" s="17" t="n"/>
      <c r="DO155" s="16" t="n"/>
      <c r="DP155" s="20" t="inlineStr">
        <is>
          <t>IC Organic Acids</t>
        </is>
      </c>
      <c r="DQ155" s="20" t="inlineStr">
        <is>
          <t>None</t>
        </is>
      </c>
      <c r="DR155" s="17" t="n"/>
      <c r="DS155" s="16" t="n"/>
      <c r="DT155" s="20" t="inlineStr">
        <is>
          <t>IC Organic Acids</t>
        </is>
      </c>
      <c r="DU155" s="20" t="inlineStr">
        <is>
          <t>None</t>
        </is>
      </c>
      <c r="DV155" s="17" t="n"/>
      <c r="DW155" s="16" t="n"/>
      <c r="DX155" s="20" t="inlineStr">
        <is>
          <t>IC Organic Acids</t>
        </is>
      </c>
      <c r="DY155" s="20" t="inlineStr">
        <is>
          <t>None</t>
        </is>
      </c>
      <c r="DZ155" s="17" t="n"/>
      <c r="EA155" s="16" t="n"/>
      <c r="EB155" s="20" t="inlineStr">
        <is>
          <t>IC Organic Acids</t>
        </is>
      </c>
      <c r="EC155" s="20" t="inlineStr">
        <is>
          <t>None</t>
        </is>
      </c>
      <c r="ED155" s="17" t="n"/>
      <c r="EE155" s="16" t="n"/>
      <c r="EF155" s="20" t="inlineStr">
        <is>
          <t>IC Organic Acids</t>
        </is>
      </c>
      <c r="EG155" s="20" t="inlineStr">
        <is>
          <t>None</t>
        </is>
      </c>
      <c r="EH155" s="17" t="n"/>
      <c r="EI155" s="16" t="n"/>
      <c r="EJ155" s="20" t="inlineStr">
        <is>
          <t>IC Organic Acids</t>
        </is>
      </c>
      <c r="EK155" s="20" t="inlineStr">
        <is>
          <t>None</t>
        </is>
      </c>
      <c r="EL155" s="17" t="n"/>
      <c r="EM155" s="16" t="n"/>
      <c r="EN155" s="20" t="inlineStr">
        <is>
          <t>IC Organic Acids</t>
        </is>
      </c>
      <c r="EO155" s="20" t="inlineStr">
        <is>
          <t>None</t>
        </is>
      </c>
      <c r="EP155" s="17" t="n"/>
      <c r="EQ155" s="16" t="n"/>
      <c r="ER155" s="20" t="inlineStr">
        <is>
          <t>IC Organic Acids</t>
        </is>
      </c>
      <c r="ES155" s="20" t="inlineStr">
        <is>
          <t>None</t>
        </is>
      </c>
      <c r="ET155" s="17" t="n"/>
      <c r="EU155" s="16" t="n"/>
      <c r="EV155" s="20" t="inlineStr">
        <is>
          <t>LC-MS</t>
        </is>
      </c>
      <c r="EW155" s="20" t="inlineStr">
        <is>
          <t>None</t>
        </is>
      </c>
      <c r="EX155" s="17" t="n"/>
      <c r="EY155" s="21" t="n"/>
      <c r="EZ155">
        <f>CONCATENATE(A155,B155)</f>
        <v/>
      </c>
      <c r="FA155">
        <f>CONCATENATE(SamplesX!A155,SamplesX!B155)</f>
        <v/>
      </c>
      <c r="FC155">
        <f>MATCH(EZ155,FA1:FA1008,0)</f>
        <v/>
      </c>
    </row>
    <row r="156">
      <c r="A156" s="16" t="inlineStr">
        <is>
          <t>BP</t>
        </is>
      </c>
      <c r="B156" s="17" t="inlineStr">
        <is>
          <t>25148</t>
        </is>
      </c>
      <c r="C156" s="10">
        <f>IF(ISNUMBER(FC156),INDIRECT("SamplesX!C"&amp;FC156),IF(ISNUMBER(FD156),INDIRECT("SamplesY!C"&amp;FD156),""))</f>
        <v/>
      </c>
      <c r="D156" s="12">
        <f>IF(ISNUMBER(FC156),INDIRECT("SamplesX!D"&amp;FC156),IF(ISNUMBER(FD156),INDIRECT("SamplesY!D"&amp;FD156),""))</f>
        <v/>
      </c>
      <c r="E156" s="12">
        <f>IF(ISNUMBER(FC156),INDIRECT("SamplesX!E"&amp;FC156),IF(ISNUMBER(FD156),INDIRECT("SamplesY!E"&amp;FD156),""))</f>
        <v/>
      </c>
      <c r="F156" s="11">
        <f>IF(ISNUMBER(FC156),INDIRECT("SamplesX!F"&amp;FC156),IF(ISNUMBER(FD156),INDIRECT("SamplesY!F"&amp;FD156),""))</f>
        <v/>
      </c>
      <c r="G156" s="18">
        <f>IF(ISNUMBER(FC156),INDIRECT("SamplesX!G"&amp;FC156),IF(ISNUMBER(FD156),INDIRECT("SamplesY!G"&amp;FD156),""))</f>
        <v/>
      </c>
      <c r="H156" s="19">
        <f>IF(ISNUMBER(FC156),INDIRECT("SamplesX!H"&amp;FC156),IF(ISNUMBER(FD156),INDIRECT("SamplesY!H"&amp;FD156),""))</f>
        <v/>
      </c>
      <c r="I156" s="16" t="n"/>
      <c r="J156" s="16" t="n"/>
      <c r="K156" s="16" t="n"/>
      <c r="L156" s="20" t="n"/>
      <c r="M156" s="20" t="inlineStr">
        <is>
          <t>None</t>
        </is>
      </c>
      <c r="N156" s="17" t="n"/>
      <c r="O156" s="16" t="n"/>
      <c r="P156" s="20" t="inlineStr">
        <is>
          <t>Shimadzu TOC-L</t>
        </is>
      </c>
      <c r="Q156" s="20" t="inlineStr">
        <is>
          <t>None</t>
        </is>
      </c>
      <c r="R156" s="17" t="n"/>
      <c r="S156" s="16" t="n"/>
      <c r="T156" s="20" t="inlineStr">
        <is>
          <t>Shimadzu TOC-L</t>
        </is>
      </c>
      <c r="U156" s="20" t="inlineStr">
        <is>
          <t>None</t>
        </is>
      </c>
      <c r="V156" s="17" t="n"/>
      <c r="W156" s="16" t="n"/>
      <c r="X156" s="20" t="n"/>
      <c r="Y156" s="20" t="inlineStr">
        <is>
          <t>None</t>
        </is>
      </c>
      <c r="Z156" s="17" t="n"/>
      <c r="AA156" s="16" t="n"/>
      <c r="AB156" s="20" t="n"/>
      <c r="AC156" s="20" t="inlineStr">
        <is>
          <t>None</t>
        </is>
      </c>
      <c r="AD156" s="17" t="n"/>
      <c r="AE156" s="16" t="n"/>
      <c r="AF156" s="20" t="inlineStr">
        <is>
          <t>IC Anionen</t>
        </is>
      </c>
      <c r="AG156" s="20" t="inlineStr">
        <is>
          <t>None</t>
        </is>
      </c>
      <c r="AH156" s="17" t="n"/>
      <c r="AI156" s="16" t="n"/>
      <c r="AJ156" s="20" t="n"/>
      <c r="AK156" s="20" t="inlineStr">
        <is>
          <t>None</t>
        </is>
      </c>
      <c r="AL156" s="17" t="n"/>
      <c r="AM156" s="16" t="n"/>
      <c r="AN156" s="20" t="inlineStr">
        <is>
          <t>IC Anionen</t>
        </is>
      </c>
      <c r="AO156" s="20" t="inlineStr">
        <is>
          <t>None</t>
        </is>
      </c>
      <c r="AP156" s="17" t="n"/>
      <c r="AQ156" s="16" t="n"/>
      <c r="AR156" s="20" t="n"/>
      <c r="AS156" s="20" t="inlineStr">
        <is>
          <t>None</t>
        </is>
      </c>
      <c r="AT156" s="17" t="n"/>
      <c r="AU156" s="16" t="inlineStr">
        <is>
          <t>3.52</t>
        </is>
      </c>
      <c r="AV156" s="20" t="inlineStr">
        <is>
          <t>IC Anionen</t>
        </is>
      </c>
      <c r="AW156" s="20" t="inlineStr">
        <is>
          <t>None</t>
        </is>
      </c>
      <c r="AX156" s="17" t="n"/>
      <c r="AY156" s="16" t="n"/>
      <c r="AZ156" s="20" t="inlineStr">
        <is>
          <t>IC Anionen</t>
        </is>
      </c>
      <c r="BA156" s="20" t="inlineStr">
        <is>
          <t>None</t>
        </is>
      </c>
      <c r="BB156" s="17" t="n"/>
      <c r="BC156" s="16" t="n"/>
      <c r="BD156" s="20" t="inlineStr">
        <is>
          <t>IC Kationen</t>
        </is>
      </c>
      <c r="BE156" s="20" t="inlineStr">
        <is>
          <t>None</t>
        </is>
      </c>
      <c r="BF156" s="17" t="n"/>
      <c r="BG156" s="16" t="inlineStr">
        <is>
          <t>23.9</t>
        </is>
      </c>
      <c r="BH156" s="20" t="inlineStr">
        <is>
          <t>FIA Lachat QC8500</t>
        </is>
      </c>
      <c r="BI156" s="20" t="inlineStr">
        <is>
          <t>None</t>
        </is>
      </c>
      <c r="BJ156" s="17" t="n"/>
      <c r="BK156" s="16" t="n"/>
      <c r="BL156" s="20" t="inlineStr">
        <is>
          <t>IC Kationen</t>
        </is>
      </c>
      <c r="BM156" s="20" t="inlineStr">
        <is>
          <t>None</t>
        </is>
      </c>
      <c r="BN156" s="17" t="n"/>
      <c r="BO156" s="16" t="n"/>
      <c r="BP156" s="20" t="inlineStr">
        <is>
          <t>IC Kationen</t>
        </is>
      </c>
      <c r="BQ156" s="20" t="inlineStr">
        <is>
          <t>None</t>
        </is>
      </c>
      <c r="BR156" s="17" t="n"/>
      <c r="BS156" s="16" t="n"/>
      <c r="BT156" s="20" t="inlineStr">
        <is>
          <t>IC Kationen</t>
        </is>
      </c>
      <c r="BU156" s="20" t="inlineStr">
        <is>
          <t>None</t>
        </is>
      </c>
      <c r="BV156" s="17" t="n"/>
      <c r="BW156" s="16" t="n"/>
      <c r="BX156" s="20" t="n"/>
      <c r="BY156" s="20" t="inlineStr">
        <is>
          <t>None</t>
        </is>
      </c>
      <c r="BZ156" s="17" t="n"/>
      <c r="CA156" s="16" t="n"/>
      <c r="CB156" s="20" t="n"/>
      <c r="CC156" s="20" t="inlineStr">
        <is>
          <t>None</t>
        </is>
      </c>
      <c r="CD156" s="17" t="n"/>
      <c r="CE156" s="16" t="n"/>
      <c r="CF156" s="20" t="n"/>
      <c r="CG156" s="20" t="inlineStr">
        <is>
          <t>None</t>
        </is>
      </c>
      <c r="CH156" s="17" t="n"/>
      <c r="CI156" s="16" t="n"/>
      <c r="CJ156" s="20" t="n"/>
      <c r="CK156" s="20" t="inlineStr">
        <is>
          <t>None</t>
        </is>
      </c>
      <c r="CL156" s="17" t="n"/>
      <c r="CM156" s="16" t="n"/>
      <c r="CN156" s="20" t="inlineStr">
        <is>
          <t>SOP 45-34</t>
        </is>
      </c>
      <c r="CO156" s="20" t="inlineStr">
        <is>
          <t>None</t>
        </is>
      </c>
      <c r="CP156" s="17" t="n"/>
      <c r="CQ156" s="16" t="n"/>
      <c r="CR156" s="20" t="n"/>
      <c r="CS156" s="20" t="inlineStr">
        <is>
          <t>None</t>
        </is>
      </c>
      <c r="CT156" s="17" t="n"/>
      <c r="CU156" s="16" t="n"/>
      <c r="CV156" s="20" t="n"/>
      <c r="CW156" s="20" t="inlineStr">
        <is>
          <t>None</t>
        </is>
      </c>
      <c r="CX156" s="17" t="n"/>
      <c r="CY156" s="16" t="n"/>
      <c r="CZ156" s="20" t="inlineStr">
        <is>
          <t>WTW Multimeter 3430 with FDO 925</t>
        </is>
      </c>
      <c r="DA156" s="20" t="inlineStr">
        <is>
          <t>None</t>
        </is>
      </c>
      <c r="DB156" s="17" t="n"/>
      <c r="DC156" s="16" t="n"/>
      <c r="DD156" s="20" t="n"/>
      <c r="DE156" s="20" t="inlineStr">
        <is>
          <t>None</t>
        </is>
      </c>
      <c r="DF156" s="17" t="n"/>
      <c r="DG156" s="16" t="n"/>
      <c r="DH156" s="20" t="inlineStr">
        <is>
          <t>SOP 45-09</t>
        </is>
      </c>
      <c r="DI156" s="20" t="inlineStr">
        <is>
          <t>None</t>
        </is>
      </c>
      <c r="DJ156" s="17" t="n"/>
      <c r="DK156" s="16" t="n"/>
      <c r="DL156" s="20" t="inlineStr">
        <is>
          <t>SOP 45-09 (SOP muss noch angepasst werden für VSS)</t>
        </is>
      </c>
      <c r="DM156" s="20" t="inlineStr">
        <is>
          <t>None</t>
        </is>
      </c>
      <c r="DN156" s="17" t="n"/>
      <c r="DO156" s="16" t="n"/>
      <c r="DP156" s="20" t="inlineStr">
        <is>
          <t>IC Organic Acids</t>
        </is>
      </c>
      <c r="DQ156" s="20" t="inlineStr">
        <is>
          <t>None</t>
        </is>
      </c>
      <c r="DR156" s="17" t="n"/>
      <c r="DS156" s="16" t="n"/>
      <c r="DT156" s="20" t="inlineStr">
        <is>
          <t>IC Organic Acids</t>
        </is>
      </c>
      <c r="DU156" s="20" t="inlineStr">
        <is>
          <t>None</t>
        </is>
      </c>
      <c r="DV156" s="17" t="n"/>
      <c r="DW156" s="16" t="n"/>
      <c r="DX156" s="20" t="inlineStr">
        <is>
          <t>IC Organic Acids</t>
        </is>
      </c>
      <c r="DY156" s="20" t="inlineStr">
        <is>
          <t>None</t>
        </is>
      </c>
      <c r="DZ156" s="17" t="n"/>
      <c r="EA156" s="16" t="n"/>
      <c r="EB156" s="20" t="inlineStr">
        <is>
          <t>IC Organic Acids</t>
        </is>
      </c>
      <c r="EC156" s="20" t="inlineStr">
        <is>
          <t>None</t>
        </is>
      </c>
      <c r="ED156" s="17" t="n"/>
      <c r="EE156" s="16" t="n"/>
      <c r="EF156" s="20" t="inlineStr">
        <is>
          <t>IC Organic Acids</t>
        </is>
      </c>
      <c r="EG156" s="20" t="inlineStr">
        <is>
          <t>None</t>
        </is>
      </c>
      <c r="EH156" s="17" t="n"/>
      <c r="EI156" s="16" t="n"/>
      <c r="EJ156" s="20" t="inlineStr">
        <is>
          <t>IC Organic Acids</t>
        </is>
      </c>
      <c r="EK156" s="20" t="inlineStr">
        <is>
          <t>None</t>
        </is>
      </c>
      <c r="EL156" s="17" t="n"/>
      <c r="EM156" s="16" t="n"/>
      <c r="EN156" s="20" t="inlineStr">
        <is>
          <t>IC Organic Acids</t>
        </is>
      </c>
      <c r="EO156" s="20" t="inlineStr">
        <is>
          <t>None</t>
        </is>
      </c>
      <c r="EP156" s="17" t="n"/>
      <c r="EQ156" s="16" t="n"/>
      <c r="ER156" s="20" t="inlineStr">
        <is>
          <t>IC Organic Acids</t>
        </is>
      </c>
      <c r="ES156" s="20" t="inlineStr">
        <is>
          <t>None</t>
        </is>
      </c>
      <c r="ET156" s="17" t="n"/>
      <c r="EU156" s="16" t="n"/>
      <c r="EV156" s="20" t="inlineStr">
        <is>
          <t>LC-MS</t>
        </is>
      </c>
      <c r="EW156" s="20" t="inlineStr">
        <is>
          <t>None</t>
        </is>
      </c>
      <c r="EX156" s="17" t="n"/>
      <c r="EY156" s="21" t="n"/>
      <c r="EZ156">
        <f>CONCATENATE(A156,B156)</f>
        <v/>
      </c>
      <c r="FA156">
        <f>CONCATENATE(SamplesX!A156,SamplesX!B156)</f>
        <v/>
      </c>
      <c r="FC156">
        <f>MATCH(EZ156,FA1:FA1008,0)</f>
        <v/>
      </c>
    </row>
    <row r="157">
      <c r="A157" s="16" t="inlineStr">
        <is>
          <t>BP</t>
        </is>
      </c>
      <c r="B157" s="17" t="inlineStr">
        <is>
          <t>25149</t>
        </is>
      </c>
      <c r="C157" s="10">
        <f>IF(ISNUMBER(FC157),INDIRECT("SamplesX!C"&amp;FC157),IF(ISNUMBER(FD157),INDIRECT("SamplesY!C"&amp;FD157),""))</f>
        <v/>
      </c>
      <c r="D157" s="12">
        <f>IF(ISNUMBER(FC157),INDIRECT("SamplesX!D"&amp;FC157),IF(ISNUMBER(FD157),INDIRECT("SamplesY!D"&amp;FD157),""))</f>
        <v/>
      </c>
      <c r="E157" s="12">
        <f>IF(ISNUMBER(FC157),INDIRECT("SamplesX!E"&amp;FC157),IF(ISNUMBER(FD157),INDIRECT("SamplesY!E"&amp;FD157),""))</f>
        <v/>
      </c>
      <c r="F157" s="11">
        <f>IF(ISNUMBER(FC157),INDIRECT("SamplesX!F"&amp;FC157),IF(ISNUMBER(FD157),INDIRECT("SamplesY!F"&amp;FD157),""))</f>
        <v/>
      </c>
      <c r="G157" s="18">
        <f>IF(ISNUMBER(FC157),INDIRECT("SamplesX!G"&amp;FC157),IF(ISNUMBER(FD157),INDIRECT("SamplesY!G"&amp;FD157),""))</f>
        <v/>
      </c>
      <c r="H157" s="19">
        <f>IF(ISNUMBER(FC157),INDIRECT("SamplesX!H"&amp;FC157),IF(ISNUMBER(FD157),INDIRECT("SamplesY!H"&amp;FD157),""))</f>
        <v/>
      </c>
      <c r="I157" s="16" t="n"/>
      <c r="J157" s="16" t="n"/>
      <c r="K157" s="16" t="n"/>
      <c r="L157" s="20" t="n"/>
      <c r="M157" s="20" t="inlineStr">
        <is>
          <t>None</t>
        </is>
      </c>
      <c r="N157" s="17" t="n"/>
      <c r="O157" s="16" t="n"/>
      <c r="P157" s="20" t="inlineStr">
        <is>
          <t>Shimadzu TOC-L</t>
        </is>
      </c>
      <c r="Q157" s="20" t="inlineStr">
        <is>
          <t>None</t>
        </is>
      </c>
      <c r="R157" s="17" t="n"/>
      <c r="S157" s="16" t="n"/>
      <c r="T157" s="20" t="inlineStr">
        <is>
          <t>Shimadzu TOC-L</t>
        </is>
      </c>
      <c r="U157" s="20" t="inlineStr">
        <is>
          <t>None</t>
        </is>
      </c>
      <c r="V157" s="17" t="n"/>
      <c r="W157" s="16" t="n"/>
      <c r="X157" s="20" t="n"/>
      <c r="Y157" s="20" t="inlineStr">
        <is>
          <t>None</t>
        </is>
      </c>
      <c r="Z157" s="17" t="n"/>
      <c r="AA157" s="16" t="n"/>
      <c r="AB157" s="20" t="n"/>
      <c r="AC157" s="20" t="inlineStr">
        <is>
          <t>None</t>
        </is>
      </c>
      <c r="AD157" s="17" t="n"/>
      <c r="AE157" s="16" t="n"/>
      <c r="AF157" s="20" t="inlineStr">
        <is>
          <t>IC Anionen</t>
        </is>
      </c>
      <c r="AG157" s="20" t="inlineStr">
        <is>
          <t>None</t>
        </is>
      </c>
      <c r="AH157" s="17" t="n"/>
      <c r="AI157" s="16" t="n"/>
      <c r="AJ157" s="20" t="n"/>
      <c r="AK157" s="20" t="inlineStr">
        <is>
          <t>None</t>
        </is>
      </c>
      <c r="AL157" s="17" t="n"/>
      <c r="AM157" s="16" t="n"/>
      <c r="AN157" s="20" t="inlineStr">
        <is>
          <t>IC Anionen</t>
        </is>
      </c>
      <c r="AO157" s="20" t="inlineStr">
        <is>
          <t>None</t>
        </is>
      </c>
      <c r="AP157" s="17" t="n"/>
      <c r="AQ157" s="16" t="n"/>
      <c r="AR157" s="20" t="n"/>
      <c r="AS157" s="20" t="inlineStr">
        <is>
          <t>None</t>
        </is>
      </c>
      <c r="AT157" s="17" t="n"/>
      <c r="AU157" s="16" t="inlineStr">
        <is>
          <t>3.97</t>
        </is>
      </c>
      <c r="AV157" s="20" t="inlineStr">
        <is>
          <t>IC Anionen</t>
        </is>
      </c>
      <c r="AW157" s="20" t="inlineStr">
        <is>
          <t>None</t>
        </is>
      </c>
      <c r="AX157" s="17" t="n"/>
      <c r="AY157" s="16" t="n"/>
      <c r="AZ157" s="20" t="inlineStr">
        <is>
          <t>IC Anionen</t>
        </is>
      </c>
      <c r="BA157" s="20" t="inlineStr">
        <is>
          <t>None</t>
        </is>
      </c>
      <c r="BB157" s="17" t="n"/>
      <c r="BC157" s="16" t="n"/>
      <c r="BD157" s="20" t="inlineStr">
        <is>
          <t>IC Kationen</t>
        </is>
      </c>
      <c r="BE157" s="20" t="inlineStr">
        <is>
          <t>None</t>
        </is>
      </c>
      <c r="BF157" s="17" t="n"/>
      <c r="BG157" s="16" t="inlineStr">
        <is>
          <t>24.0</t>
        </is>
      </c>
      <c r="BH157" s="20" t="inlineStr">
        <is>
          <t>FIA Lachat QC8500</t>
        </is>
      </c>
      <c r="BI157" s="20" t="inlineStr">
        <is>
          <t>None</t>
        </is>
      </c>
      <c r="BJ157" s="17" t="n"/>
      <c r="BK157" s="16" t="n"/>
      <c r="BL157" s="20" t="inlineStr">
        <is>
          <t>IC Kationen</t>
        </is>
      </c>
      <c r="BM157" s="20" t="inlineStr">
        <is>
          <t>None</t>
        </is>
      </c>
      <c r="BN157" s="17" t="n"/>
      <c r="BO157" s="16" t="n"/>
      <c r="BP157" s="20" t="inlineStr">
        <is>
          <t>IC Kationen</t>
        </is>
      </c>
      <c r="BQ157" s="20" t="inlineStr">
        <is>
          <t>None</t>
        </is>
      </c>
      <c r="BR157" s="17" t="n"/>
      <c r="BS157" s="16" t="n"/>
      <c r="BT157" s="20" t="inlineStr">
        <is>
          <t>IC Kationen</t>
        </is>
      </c>
      <c r="BU157" s="20" t="inlineStr">
        <is>
          <t>None</t>
        </is>
      </c>
      <c r="BV157" s="17" t="n"/>
      <c r="BW157" s="16" t="n"/>
      <c r="BX157" s="20" t="n"/>
      <c r="BY157" s="20" t="inlineStr">
        <is>
          <t>None</t>
        </is>
      </c>
      <c r="BZ157" s="17" t="n"/>
      <c r="CA157" s="16" t="n"/>
      <c r="CB157" s="20" t="n"/>
      <c r="CC157" s="20" t="inlineStr">
        <is>
          <t>None</t>
        </is>
      </c>
      <c r="CD157" s="17" t="n"/>
      <c r="CE157" s="16" t="n"/>
      <c r="CF157" s="20" t="n"/>
      <c r="CG157" s="20" t="inlineStr">
        <is>
          <t>None</t>
        </is>
      </c>
      <c r="CH157" s="17" t="n"/>
      <c r="CI157" s="16" t="n"/>
      <c r="CJ157" s="20" t="n"/>
      <c r="CK157" s="20" t="inlineStr">
        <is>
          <t>None</t>
        </is>
      </c>
      <c r="CL157" s="17" t="n"/>
      <c r="CM157" s="16" t="n"/>
      <c r="CN157" s="20" t="inlineStr">
        <is>
          <t>SOP 45-34</t>
        </is>
      </c>
      <c r="CO157" s="20" t="inlineStr">
        <is>
          <t>None</t>
        </is>
      </c>
      <c r="CP157" s="17" t="n"/>
      <c r="CQ157" s="16" t="n"/>
      <c r="CR157" s="20" t="n"/>
      <c r="CS157" s="20" t="inlineStr">
        <is>
          <t>None</t>
        </is>
      </c>
      <c r="CT157" s="17" t="n"/>
      <c r="CU157" s="16" t="n"/>
      <c r="CV157" s="20" t="n"/>
      <c r="CW157" s="20" t="inlineStr">
        <is>
          <t>None</t>
        </is>
      </c>
      <c r="CX157" s="17" t="n"/>
      <c r="CY157" s="16" t="n"/>
      <c r="CZ157" s="20" t="inlineStr">
        <is>
          <t>WTW Multimeter 3430 with FDO 925</t>
        </is>
      </c>
      <c r="DA157" s="20" t="inlineStr">
        <is>
          <t>None</t>
        </is>
      </c>
      <c r="DB157" s="17" t="n"/>
      <c r="DC157" s="16" t="n"/>
      <c r="DD157" s="20" t="n"/>
      <c r="DE157" s="20" t="inlineStr">
        <is>
          <t>None</t>
        </is>
      </c>
      <c r="DF157" s="17" t="n"/>
      <c r="DG157" s="16" t="n"/>
      <c r="DH157" s="20" t="inlineStr">
        <is>
          <t>SOP 45-09</t>
        </is>
      </c>
      <c r="DI157" s="20" t="inlineStr">
        <is>
          <t>None</t>
        </is>
      </c>
      <c r="DJ157" s="17" t="n"/>
      <c r="DK157" s="16" t="n"/>
      <c r="DL157" s="20" t="inlineStr">
        <is>
          <t>SOP 45-09 (SOP muss noch angepasst werden für VSS)</t>
        </is>
      </c>
      <c r="DM157" s="20" t="inlineStr">
        <is>
          <t>None</t>
        </is>
      </c>
      <c r="DN157" s="17" t="n"/>
      <c r="DO157" s="16" t="n"/>
      <c r="DP157" s="20" t="inlineStr">
        <is>
          <t>IC Organic Acids</t>
        </is>
      </c>
      <c r="DQ157" s="20" t="inlineStr">
        <is>
          <t>None</t>
        </is>
      </c>
      <c r="DR157" s="17" t="n"/>
      <c r="DS157" s="16" t="n"/>
      <c r="DT157" s="20" t="inlineStr">
        <is>
          <t>IC Organic Acids</t>
        </is>
      </c>
      <c r="DU157" s="20" t="inlineStr">
        <is>
          <t>None</t>
        </is>
      </c>
      <c r="DV157" s="17" t="n"/>
      <c r="DW157" s="16" t="n"/>
      <c r="DX157" s="20" t="inlineStr">
        <is>
          <t>IC Organic Acids</t>
        </is>
      </c>
      <c r="DY157" s="20" t="inlineStr">
        <is>
          <t>None</t>
        </is>
      </c>
      <c r="DZ157" s="17" t="n"/>
      <c r="EA157" s="16" t="n"/>
      <c r="EB157" s="20" t="inlineStr">
        <is>
          <t>IC Organic Acids</t>
        </is>
      </c>
      <c r="EC157" s="20" t="inlineStr">
        <is>
          <t>None</t>
        </is>
      </c>
      <c r="ED157" s="17" t="n"/>
      <c r="EE157" s="16" t="n"/>
      <c r="EF157" s="20" t="inlineStr">
        <is>
          <t>IC Organic Acids</t>
        </is>
      </c>
      <c r="EG157" s="20" t="inlineStr">
        <is>
          <t>None</t>
        </is>
      </c>
      <c r="EH157" s="17" t="n"/>
      <c r="EI157" s="16" t="n"/>
      <c r="EJ157" s="20" t="inlineStr">
        <is>
          <t>IC Organic Acids</t>
        </is>
      </c>
      <c r="EK157" s="20" t="inlineStr">
        <is>
          <t>None</t>
        </is>
      </c>
      <c r="EL157" s="17" t="n"/>
      <c r="EM157" s="16" t="n"/>
      <c r="EN157" s="20" t="inlineStr">
        <is>
          <t>IC Organic Acids</t>
        </is>
      </c>
      <c r="EO157" s="20" t="inlineStr">
        <is>
          <t>None</t>
        </is>
      </c>
      <c r="EP157" s="17" t="n"/>
      <c r="EQ157" s="16" t="n"/>
      <c r="ER157" s="20" t="inlineStr">
        <is>
          <t>IC Organic Acids</t>
        </is>
      </c>
      <c r="ES157" s="20" t="inlineStr">
        <is>
          <t>None</t>
        </is>
      </c>
      <c r="ET157" s="17" t="n"/>
      <c r="EU157" s="16" t="n"/>
      <c r="EV157" s="20" t="inlineStr">
        <is>
          <t>LC-MS</t>
        </is>
      </c>
      <c r="EW157" s="20" t="inlineStr">
        <is>
          <t>None</t>
        </is>
      </c>
      <c r="EX157" s="17" t="n"/>
      <c r="EY157" s="21" t="n"/>
      <c r="EZ157">
        <f>CONCATENATE(A157,B157)</f>
        <v/>
      </c>
      <c r="FA157">
        <f>CONCATENATE(SamplesX!A157,SamplesX!B157)</f>
        <v/>
      </c>
      <c r="FC157">
        <f>MATCH(EZ157,FA1:FA1008,0)</f>
        <v/>
      </c>
    </row>
    <row r="158">
      <c r="A158" s="16" t="inlineStr">
        <is>
          <t>BP</t>
        </is>
      </c>
      <c r="B158" s="17" t="inlineStr">
        <is>
          <t>25150</t>
        </is>
      </c>
      <c r="C158" s="10">
        <f>IF(ISNUMBER(FC158),INDIRECT("SamplesX!C"&amp;FC158),IF(ISNUMBER(FD158),INDIRECT("SamplesY!C"&amp;FD158),""))</f>
        <v/>
      </c>
      <c r="D158" s="12">
        <f>IF(ISNUMBER(FC158),INDIRECT("SamplesX!D"&amp;FC158),IF(ISNUMBER(FD158),INDIRECT("SamplesY!D"&amp;FD158),""))</f>
        <v/>
      </c>
      <c r="E158" s="12">
        <f>IF(ISNUMBER(FC158),INDIRECT("SamplesX!E"&amp;FC158),IF(ISNUMBER(FD158),INDIRECT("SamplesY!E"&amp;FD158),""))</f>
        <v/>
      </c>
      <c r="F158" s="11">
        <f>IF(ISNUMBER(FC158),INDIRECT("SamplesX!F"&amp;FC158),IF(ISNUMBER(FD158),INDIRECT("SamplesY!F"&amp;FD158),""))</f>
        <v/>
      </c>
      <c r="G158" s="18">
        <f>IF(ISNUMBER(FC158),INDIRECT("SamplesX!G"&amp;FC158),IF(ISNUMBER(FD158),INDIRECT("SamplesY!G"&amp;FD158),""))</f>
        <v/>
      </c>
      <c r="H158" s="19">
        <f>IF(ISNUMBER(FC158),INDIRECT("SamplesX!H"&amp;FC158),IF(ISNUMBER(FD158),INDIRECT("SamplesY!H"&amp;FD158),""))</f>
        <v/>
      </c>
      <c r="I158" s="16" t="n"/>
      <c r="J158" s="16" t="n"/>
      <c r="K158" s="16" t="n"/>
      <c r="L158" s="20" t="n"/>
      <c r="M158" s="20" t="inlineStr">
        <is>
          <t>None</t>
        </is>
      </c>
      <c r="N158" s="17" t="n"/>
      <c r="O158" s="16" t="n"/>
      <c r="P158" s="20" t="inlineStr">
        <is>
          <t>Shimadzu TOC-L</t>
        </is>
      </c>
      <c r="Q158" s="20" t="inlineStr">
        <is>
          <t>None</t>
        </is>
      </c>
      <c r="R158" s="17" t="n"/>
      <c r="S158" s="16" t="n"/>
      <c r="T158" s="20" t="inlineStr">
        <is>
          <t>Shimadzu TOC-L</t>
        </is>
      </c>
      <c r="U158" s="20" t="inlineStr">
        <is>
          <t>None</t>
        </is>
      </c>
      <c r="V158" s="17" t="n"/>
      <c r="W158" s="16" t="n"/>
      <c r="X158" s="20" t="n"/>
      <c r="Y158" s="20" t="inlineStr">
        <is>
          <t>None</t>
        </is>
      </c>
      <c r="Z158" s="17" t="n"/>
      <c r="AA158" s="16" t="n"/>
      <c r="AB158" s="20" t="n"/>
      <c r="AC158" s="20" t="inlineStr">
        <is>
          <t>None</t>
        </is>
      </c>
      <c r="AD158" s="17" t="n"/>
      <c r="AE158" s="16" t="n"/>
      <c r="AF158" s="20" t="inlineStr">
        <is>
          <t>IC Anionen</t>
        </is>
      </c>
      <c r="AG158" s="20" t="inlineStr">
        <is>
          <t>None</t>
        </is>
      </c>
      <c r="AH158" s="17" t="n"/>
      <c r="AI158" s="16" t="n"/>
      <c r="AJ158" s="20" t="n"/>
      <c r="AK158" s="20" t="inlineStr">
        <is>
          <t>None</t>
        </is>
      </c>
      <c r="AL158" s="17" t="n"/>
      <c r="AM158" s="16" t="n"/>
      <c r="AN158" s="20" t="inlineStr">
        <is>
          <t>IC Anionen</t>
        </is>
      </c>
      <c r="AO158" s="20" t="inlineStr">
        <is>
          <t>None</t>
        </is>
      </c>
      <c r="AP158" s="17" t="n"/>
      <c r="AQ158" s="16" t="n"/>
      <c r="AR158" s="20" t="n"/>
      <c r="AS158" s="20" t="inlineStr">
        <is>
          <t>None</t>
        </is>
      </c>
      <c r="AT158" s="17" t="n"/>
      <c r="AU158" s="16" t="inlineStr">
        <is>
          <t>0.19</t>
        </is>
      </c>
      <c r="AV158" s="20" t="inlineStr">
        <is>
          <t>IC Anionen</t>
        </is>
      </c>
      <c r="AW158" s="20" t="inlineStr">
        <is>
          <t>None</t>
        </is>
      </c>
      <c r="AX158" s="17" t="n"/>
      <c r="AY158" s="16" t="n"/>
      <c r="AZ158" s="20" t="inlineStr">
        <is>
          <t>IC Anionen</t>
        </is>
      </c>
      <c r="BA158" s="20" t="inlineStr">
        <is>
          <t>None</t>
        </is>
      </c>
      <c r="BB158" s="17" t="n"/>
      <c r="BC158" s="16" t="n"/>
      <c r="BD158" s="20" t="inlineStr">
        <is>
          <t>IC Kationen</t>
        </is>
      </c>
      <c r="BE158" s="20" t="inlineStr">
        <is>
          <t>None</t>
        </is>
      </c>
      <c r="BF158" s="17" t="n"/>
      <c r="BG158" s="16" t="inlineStr">
        <is>
          <t>23.5</t>
        </is>
      </c>
      <c r="BH158" s="20" t="inlineStr">
        <is>
          <t>FIA Lachat QC8500</t>
        </is>
      </c>
      <c r="BI158" s="20" t="inlineStr">
        <is>
          <t>None</t>
        </is>
      </c>
      <c r="BJ158" s="17" t="n"/>
      <c r="BK158" s="16" t="n"/>
      <c r="BL158" s="20" t="inlineStr">
        <is>
          <t>IC Kationen</t>
        </is>
      </c>
      <c r="BM158" s="20" t="inlineStr">
        <is>
          <t>None</t>
        </is>
      </c>
      <c r="BN158" s="17" t="n"/>
      <c r="BO158" s="16" t="n"/>
      <c r="BP158" s="20" t="inlineStr">
        <is>
          <t>IC Kationen</t>
        </is>
      </c>
      <c r="BQ158" s="20" t="inlineStr">
        <is>
          <t>None</t>
        </is>
      </c>
      <c r="BR158" s="17" t="n"/>
      <c r="BS158" s="16" t="n"/>
      <c r="BT158" s="20" t="inlineStr">
        <is>
          <t>IC Kationen</t>
        </is>
      </c>
      <c r="BU158" s="20" t="inlineStr">
        <is>
          <t>None</t>
        </is>
      </c>
      <c r="BV158" s="17" t="n"/>
      <c r="BW158" s="16" t="n"/>
      <c r="BX158" s="20" t="n"/>
      <c r="BY158" s="20" t="inlineStr">
        <is>
          <t>None</t>
        </is>
      </c>
      <c r="BZ158" s="17" t="n"/>
      <c r="CA158" s="16" t="n"/>
      <c r="CB158" s="20" t="n"/>
      <c r="CC158" s="20" t="inlineStr">
        <is>
          <t>None</t>
        </is>
      </c>
      <c r="CD158" s="17" t="n"/>
      <c r="CE158" s="16" t="n"/>
      <c r="CF158" s="20" t="n"/>
      <c r="CG158" s="20" t="inlineStr">
        <is>
          <t>None</t>
        </is>
      </c>
      <c r="CH158" s="17" t="n"/>
      <c r="CI158" s="16" t="n"/>
      <c r="CJ158" s="20" t="n"/>
      <c r="CK158" s="20" t="inlineStr">
        <is>
          <t>None</t>
        </is>
      </c>
      <c r="CL158" s="17" t="n"/>
      <c r="CM158" s="16" t="n"/>
      <c r="CN158" s="20" t="inlineStr">
        <is>
          <t>SOP 45-34</t>
        </is>
      </c>
      <c r="CO158" s="20" t="inlineStr">
        <is>
          <t>None</t>
        </is>
      </c>
      <c r="CP158" s="17" t="n"/>
      <c r="CQ158" s="16" t="n"/>
      <c r="CR158" s="20" t="n"/>
      <c r="CS158" s="20" t="inlineStr">
        <is>
          <t>None</t>
        </is>
      </c>
      <c r="CT158" s="17" t="n"/>
      <c r="CU158" s="16" t="n"/>
      <c r="CV158" s="20" t="n"/>
      <c r="CW158" s="20" t="inlineStr">
        <is>
          <t>None</t>
        </is>
      </c>
      <c r="CX158" s="17" t="n"/>
      <c r="CY158" s="16" t="n"/>
      <c r="CZ158" s="20" t="inlineStr">
        <is>
          <t>WTW Multimeter 3430 with FDO 925</t>
        </is>
      </c>
      <c r="DA158" s="20" t="inlineStr">
        <is>
          <t>None</t>
        </is>
      </c>
      <c r="DB158" s="17" t="n"/>
      <c r="DC158" s="16" t="n"/>
      <c r="DD158" s="20" t="n"/>
      <c r="DE158" s="20" t="inlineStr">
        <is>
          <t>None</t>
        </is>
      </c>
      <c r="DF158" s="17" t="n"/>
      <c r="DG158" s="16" t="n"/>
      <c r="DH158" s="20" t="inlineStr">
        <is>
          <t>SOP 45-09</t>
        </is>
      </c>
      <c r="DI158" s="20" t="inlineStr">
        <is>
          <t>None</t>
        </is>
      </c>
      <c r="DJ158" s="17" t="n"/>
      <c r="DK158" s="16" t="n"/>
      <c r="DL158" s="20" t="inlineStr">
        <is>
          <t>SOP 45-09 (SOP muss noch angepasst werden für VSS)</t>
        </is>
      </c>
      <c r="DM158" s="20" t="inlineStr">
        <is>
          <t>None</t>
        </is>
      </c>
      <c r="DN158" s="17" t="n"/>
      <c r="DO158" s="16" t="n"/>
      <c r="DP158" s="20" t="inlineStr">
        <is>
          <t>IC Organic Acids</t>
        </is>
      </c>
      <c r="DQ158" s="20" t="inlineStr">
        <is>
          <t>None</t>
        </is>
      </c>
      <c r="DR158" s="17" t="n"/>
      <c r="DS158" s="16" t="n"/>
      <c r="DT158" s="20" t="inlineStr">
        <is>
          <t>IC Organic Acids</t>
        </is>
      </c>
      <c r="DU158" s="20" t="inlineStr">
        <is>
          <t>None</t>
        </is>
      </c>
      <c r="DV158" s="17" t="n"/>
      <c r="DW158" s="16" t="n"/>
      <c r="DX158" s="20" t="inlineStr">
        <is>
          <t>IC Organic Acids</t>
        </is>
      </c>
      <c r="DY158" s="20" t="inlineStr">
        <is>
          <t>None</t>
        </is>
      </c>
      <c r="DZ158" s="17" t="n"/>
      <c r="EA158" s="16" t="n"/>
      <c r="EB158" s="20" t="inlineStr">
        <is>
          <t>IC Organic Acids</t>
        </is>
      </c>
      <c r="EC158" s="20" t="inlineStr">
        <is>
          <t>None</t>
        </is>
      </c>
      <c r="ED158" s="17" t="n"/>
      <c r="EE158" s="16" t="n"/>
      <c r="EF158" s="20" t="inlineStr">
        <is>
          <t>IC Organic Acids</t>
        </is>
      </c>
      <c r="EG158" s="20" t="inlineStr">
        <is>
          <t>None</t>
        </is>
      </c>
      <c r="EH158" s="17" t="n"/>
      <c r="EI158" s="16" t="n"/>
      <c r="EJ158" s="20" t="inlineStr">
        <is>
          <t>IC Organic Acids</t>
        </is>
      </c>
      <c r="EK158" s="20" t="inlineStr">
        <is>
          <t>None</t>
        </is>
      </c>
      <c r="EL158" s="17" t="n"/>
      <c r="EM158" s="16" t="n"/>
      <c r="EN158" s="20" t="inlineStr">
        <is>
          <t>IC Organic Acids</t>
        </is>
      </c>
      <c r="EO158" s="20" t="inlineStr">
        <is>
          <t>None</t>
        </is>
      </c>
      <c r="EP158" s="17" t="n"/>
      <c r="EQ158" s="16" t="n"/>
      <c r="ER158" s="20" t="inlineStr">
        <is>
          <t>IC Organic Acids</t>
        </is>
      </c>
      <c r="ES158" s="20" t="inlineStr">
        <is>
          <t>None</t>
        </is>
      </c>
      <c r="ET158" s="17" t="n"/>
      <c r="EU158" s="16" t="n"/>
      <c r="EV158" s="20" t="inlineStr">
        <is>
          <t>LC-MS</t>
        </is>
      </c>
      <c r="EW158" s="20" t="inlineStr">
        <is>
          <t>None</t>
        </is>
      </c>
      <c r="EX158" s="17" t="n"/>
      <c r="EY158" s="21" t="n"/>
      <c r="EZ158">
        <f>CONCATENATE(A158,B158)</f>
        <v/>
      </c>
      <c r="FA158">
        <f>CONCATENATE(SamplesX!A158,SamplesX!B158)</f>
        <v/>
      </c>
      <c r="FC158">
        <f>MATCH(EZ158,FA1:FA1008,0)</f>
        <v/>
      </c>
    </row>
    <row r="159">
      <c r="A159" s="16" t="inlineStr">
        <is>
          <t>BP</t>
        </is>
      </c>
      <c r="B159" s="17" t="inlineStr">
        <is>
          <t>25151</t>
        </is>
      </c>
      <c r="C159" s="10">
        <f>IF(ISNUMBER(FC159),INDIRECT("SamplesX!C"&amp;FC159),IF(ISNUMBER(FD159),INDIRECT("SamplesY!C"&amp;FD159),""))</f>
        <v/>
      </c>
      <c r="D159" s="12">
        <f>IF(ISNUMBER(FC159),INDIRECT("SamplesX!D"&amp;FC159),IF(ISNUMBER(FD159),INDIRECT("SamplesY!D"&amp;FD159),""))</f>
        <v/>
      </c>
      <c r="E159" s="12">
        <f>IF(ISNUMBER(FC159),INDIRECT("SamplesX!E"&amp;FC159),IF(ISNUMBER(FD159),INDIRECT("SamplesY!E"&amp;FD159),""))</f>
        <v/>
      </c>
      <c r="F159" s="11">
        <f>IF(ISNUMBER(FC159),INDIRECT("SamplesX!F"&amp;FC159),IF(ISNUMBER(FD159),INDIRECT("SamplesY!F"&amp;FD159),""))</f>
        <v/>
      </c>
      <c r="G159" s="18">
        <f>IF(ISNUMBER(FC159),INDIRECT("SamplesX!G"&amp;FC159),IF(ISNUMBER(FD159),INDIRECT("SamplesY!G"&amp;FD159),""))</f>
        <v/>
      </c>
      <c r="H159" s="19">
        <f>IF(ISNUMBER(FC159),INDIRECT("SamplesX!H"&amp;FC159),IF(ISNUMBER(FD159),INDIRECT("SamplesY!H"&amp;FD159),""))</f>
        <v/>
      </c>
      <c r="I159" s="16" t="n"/>
      <c r="J159" s="16" t="n"/>
      <c r="K159" s="16" t="n"/>
      <c r="L159" s="20" t="n"/>
      <c r="M159" s="20" t="inlineStr">
        <is>
          <t>None</t>
        </is>
      </c>
      <c r="N159" s="17" t="n"/>
      <c r="O159" s="16" t="n"/>
      <c r="P159" s="20" t="inlineStr">
        <is>
          <t>Shimadzu TOC-L</t>
        </is>
      </c>
      <c r="Q159" s="20" t="inlineStr">
        <is>
          <t>None</t>
        </is>
      </c>
      <c r="R159" s="17" t="n"/>
      <c r="S159" s="16" t="n"/>
      <c r="T159" s="20" t="inlineStr">
        <is>
          <t>Shimadzu TOC-L</t>
        </is>
      </c>
      <c r="U159" s="20" t="inlineStr">
        <is>
          <t>None</t>
        </is>
      </c>
      <c r="V159" s="17" t="n"/>
      <c r="W159" s="16" t="n"/>
      <c r="X159" s="20" t="n"/>
      <c r="Y159" s="20" t="inlineStr">
        <is>
          <t>None</t>
        </is>
      </c>
      <c r="Z159" s="17" t="n"/>
      <c r="AA159" s="16" t="n"/>
      <c r="AB159" s="20" t="n"/>
      <c r="AC159" s="20" t="inlineStr">
        <is>
          <t>None</t>
        </is>
      </c>
      <c r="AD159" s="17" t="n"/>
      <c r="AE159" s="16" t="n"/>
      <c r="AF159" s="20" t="inlineStr">
        <is>
          <t>IC Anionen</t>
        </is>
      </c>
      <c r="AG159" s="20" t="inlineStr">
        <is>
          <t>None</t>
        </is>
      </c>
      <c r="AH159" s="17" t="n"/>
      <c r="AI159" s="16" t="n"/>
      <c r="AJ159" s="20" t="n"/>
      <c r="AK159" s="20" t="inlineStr">
        <is>
          <t>None</t>
        </is>
      </c>
      <c r="AL159" s="17" t="n"/>
      <c r="AM159" s="16" t="n"/>
      <c r="AN159" s="20" t="inlineStr">
        <is>
          <t>IC Anionen</t>
        </is>
      </c>
      <c r="AO159" s="20" t="inlineStr">
        <is>
          <t>None</t>
        </is>
      </c>
      <c r="AP159" s="17" t="n"/>
      <c r="AQ159" s="16" t="n"/>
      <c r="AR159" s="20" t="n"/>
      <c r="AS159" s="20" t="inlineStr">
        <is>
          <t>None</t>
        </is>
      </c>
      <c r="AT159" s="17" t="n"/>
      <c r="AU159" s="16" t="inlineStr">
        <is>
          <t>0.17</t>
        </is>
      </c>
      <c r="AV159" s="20" t="inlineStr">
        <is>
          <t>IC Anionen</t>
        </is>
      </c>
      <c r="AW159" s="20" t="inlineStr">
        <is>
          <t>None</t>
        </is>
      </c>
      <c r="AX159" s="17" t="n"/>
      <c r="AY159" s="16" t="n"/>
      <c r="AZ159" s="20" t="inlineStr">
        <is>
          <t>IC Anionen</t>
        </is>
      </c>
      <c r="BA159" s="20" t="inlineStr">
        <is>
          <t>None</t>
        </is>
      </c>
      <c r="BB159" s="17" t="n"/>
      <c r="BC159" s="16" t="n"/>
      <c r="BD159" s="20" t="inlineStr">
        <is>
          <t>IC Kationen</t>
        </is>
      </c>
      <c r="BE159" s="20" t="inlineStr">
        <is>
          <t>None</t>
        </is>
      </c>
      <c r="BF159" s="17" t="n"/>
      <c r="BG159" s="16" t="inlineStr">
        <is>
          <t>23.8</t>
        </is>
      </c>
      <c r="BH159" s="20" t="inlineStr">
        <is>
          <t>FIA Lachat QC8500</t>
        </is>
      </c>
      <c r="BI159" s="20" t="inlineStr">
        <is>
          <t>None</t>
        </is>
      </c>
      <c r="BJ159" s="17" t="n"/>
      <c r="BK159" s="16" t="n"/>
      <c r="BL159" s="20" t="inlineStr">
        <is>
          <t>IC Kationen</t>
        </is>
      </c>
      <c r="BM159" s="20" t="inlineStr">
        <is>
          <t>None</t>
        </is>
      </c>
      <c r="BN159" s="17" t="n"/>
      <c r="BO159" s="16" t="n"/>
      <c r="BP159" s="20" t="inlineStr">
        <is>
          <t>IC Kationen</t>
        </is>
      </c>
      <c r="BQ159" s="20" t="inlineStr">
        <is>
          <t>None</t>
        </is>
      </c>
      <c r="BR159" s="17" t="n"/>
      <c r="BS159" s="16" t="n"/>
      <c r="BT159" s="20" t="inlineStr">
        <is>
          <t>IC Kationen</t>
        </is>
      </c>
      <c r="BU159" s="20" t="inlineStr">
        <is>
          <t>None</t>
        </is>
      </c>
      <c r="BV159" s="17" t="n"/>
      <c r="BW159" s="16" t="n"/>
      <c r="BX159" s="20" t="n"/>
      <c r="BY159" s="20" t="inlineStr">
        <is>
          <t>None</t>
        </is>
      </c>
      <c r="BZ159" s="17" t="n"/>
      <c r="CA159" s="16" t="n"/>
      <c r="CB159" s="20" t="n"/>
      <c r="CC159" s="20" t="inlineStr">
        <is>
          <t>None</t>
        </is>
      </c>
      <c r="CD159" s="17" t="n"/>
      <c r="CE159" s="16" t="n"/>
      <c r="CF159" s="20" t="n"/>
      <c r="CG159" s="20" t="inlineStr">
        <is>
          <t>None</t>
        </is>
      </c>
      <c r="CH159" s="17" t="n"/>
      <c r="CI159" s="16" t="n"/>
      <c r="CJ159" s="20" t="n"/>
      <c r="CK159" s="20" t="inlineStr">
        <is>
          <t>None</t>
        </is>
      </c>
      <c r="CL159" s="17" t="n"/>
      <c r="CM159" s="16" t="n"/>
      <c r="CN159" s="20" t="inlineStr">
        <is>
          <t>SOP 45-34</t>
        </is>
      </c>
      <c r="CO159" s="20" t="inlineStr">
        <is>
          <t>None</t>
        </is>
      </c>
      <c r="CP159" s="17" t="n"/>
      <c r="CQ159" s="16" t="n"/>
      <c r="CR159" s="20" t="n"/>
      <c r="CS159" s="20" t="inlineStr">
        <is>
          <t>None</t>
        </is>
      </c>
      <c r="CT159" s="17" t="n"/>
      <c r="CU159" s="16" t="n"/>
      <c r="CV159" s="20" t="n"/>
      <c r="CW159" s="20" t="inlineStr">
        <is>
          <t>None</t>
        </is>
      </c>
      <c r="CX159" s="17" t="n"/>
      <c r="CY159" s="16" t="n"/>
      <c r="CZ159" s="20" t="inlineStr">
        <is>
          <t>WTW Multimeter 3430 with FDO 925</t>
        </is>
      </c>
      <c r="DA159" s="20" t="inlineStr">
        <is>
          <t>None</t>
        </is>
      </c>
      <c r="DB159" s="17" t="n"/>
      <c r="DC159" s="16" t="n"/>
      <c r="DD159" s="20" t="n"/>
      <c r="DE159" s="20" t="inlineStr">
        <is>
          <t>None</t>
        </is>
      </c>
      <c r="DF159" s="17" t="n"/>
      <c r="DG159" s="16" t="n"/>
      <c r="DH159" s="20" t="inlineStr">
        <is>
          <t>SOP 45-09</t>
        </is>
      </c>
      <c r="DI159" s="20" t="inlineStr">
        <is>
          <t>None</t>
        </is>
      </c>
      <c r="DJ159" s="17" t="n"/>
      <c r="DK159" s="16" t="n"/>
      <c r="DL159" s="20" t="inlineStr">
        <is>
          <t>SOP 45-09 (SOP muss noch angepasst werden für VSS)</t>
        </is>
      </c>
      <c r="DM159" s="20" t="inlineStr">
        <is>
          <t>None</t>
        </is>
      </c>
      <c r="DN159" s="17" t="n"/>
      <c r="DO159" s="16" t="n"/>
      <c r="DP159" s="20" t="inlineStr">
        <is>
          <t>IC Organic Acids</t>
        </is>
      </c>
      <c r="DQ159" s="20" t="inlineStr">
        <is>
          <t>None</t>
        </is>
      </c>
      <c r="DR159" s="17" t="n"/>
      <c r="DS159" s="16" t="n"/>
      <c r="DT159" s="20" t="inlineStr">
        <is>
          <t>IC Organic Acids</t>
        </is>
      </c>
      <c r="DU159" s="20" t="inlineStr">
        <is>
          <t>None</t>
        </is>
      </c>
      <c r="DV159" s="17" t="n"/>
      <c r="DW159" s="16" t="n"/>
      <c r="DX159" s="20" t="inlineStr">
        <is>
          <t>IC Organic Acids</t>
        </is>
      </c>
      <c r="DY159" s="20" t="inlineStr">
        <is>
          <t>None</t>
        </is>
      </c>
      <c r="DZ159" s="17" t="n"/>
      <c r="EA159" s="16" t="n"/>
      <c r="EB159" s="20" t="inlineStr">
        <is>
          <t>IC Organic Acids</t>
        </is>
      </c>
      <c r="EC159" s="20" t="inlineStr">
        <is>
          <t>None</t>
        </is>
      </c>
      <c r="ED159" s="17" t="n"/>
      <c r="EE159" s="16" t="n"/>
      <c r="EF159" s="20" t="inlineStr">
        <is>
          <t>IC Organic Acids</t>
        </is>
      </c>
      <c r="EG159" s="20" t="inlineStr">
        <is>
          <t>None</t>
        </is>
      </c>
      <c r="EH159" s="17" t="n"/>
      <c r="EI159" s="16" t="n"/>
      <c r="EJ159" s="20" t="inlineStr">
        <is>
          <t>IC Organic Acids</t>
        </is>
      </c>
      <c r="EK159" s="20" t="inlineStr">
        <is>
          <t>None</t>
        </is>
      </c>
      <c r="EL159" s="17" t="n"/>
      <c r="EM159" s="16" t="n"/>
      <c r="EN159" s="20" t="inlineStr">
        <is>
          <t>IC Organic Acids</t>
        </is>
      </c>
      <c r="EO159" s="20" t="inlineStr">
        <is>
          <t>None</t>
        </is>
      </c>
      <c r="EP159" s="17" t="n"/>
      <c r="EQ159" s="16" t="n"/>
      <c r="ER159" s="20" t="inlineStr">
        <is>
          <t>IC Organic Acids</t>
        </is>
      </c>
      <c r="ES159" s="20" t="inlineStr">
        <is>
          <t>None</t>
        </is>
      </c>
      <c r="ET159" s="17" t="n"/>
      <c r="EU159" s="16" t="n"/>
      <c r="EV159" s="20" t="inlineStr">
        <is>
          <t>LC-MS</t>
        </is>
      </c>
      <c r="EW159" s="20" t="inlineStr">
        <is>
          <t>None</t>
        </is>
      </c>
      <c r="EX159" s="17" t="n"/>
      <c r="EY159" s="21" t="n"/>
      <c r="EZ159">
        <f>CONCATENATE(A159,B159)</f>
        <v/>
      </c>
      <c r="FA159">
        <f>CONCATENATE(SamplesX!A159,SamplesX!B159)</f>
        <v/>
      </c>
      <c r="FC159">
        <f>MATCH(EZ159,FA1:FA1008,0)</f>
        <v/>
      </c>
    </row>
    <row r="160">
      <c r="A160" s="16" t="inlineStr">
        <is>
          <t>BP</t>
        </is>
      </c>
      <c r="B160" s="17" t="inlineStr">
        <is>
          <t>25152</t>
        </is>
      </c>
      <c r="C160" s="10">
        <f>IF(ISNUMBER(FC160),INDIRECT("SamplesX!C"&amp;FC160),IF(ISNUMBER(FD160),INDIRECT("SamplesY!C"&amp;FD160),""))</f>
        <v/>
      </c>
      <c r="D160" s="12">
        <f>IF(ISNUMBER(FC160),INDIRECT("SamplesX!D"&amp;FC160),IF(ISNUMBER(FD160),INDIRECT("SamplesY!D"&amp;FD160),""))</f>
        <v/>
      </c>
      <c r="E160" s="12">
        <f>IF(ISNUMBER(FC160),INDIRECT("SamplesX!E"&amp;FC160),IF(ISNUMBER(FD160),INDIRECT("SamplesY!E"&amp;FD160),""))</f>
        <v/>
      </c>
      <c r="F160" s="11">
        <f>IF(ISNUMBER(FC160),INDIRECT("SamplesX!F"&amp;FC160),IF(ISNUMBER(FD160),INDIRECT("SamplesY!F"&amp;FD160),""))</f>
        <v/>
      </c>
      <c r="G160" s="18">
        <f>IF(ISNUMBER(FC160),INDIRECT("SamplesX!G"&amp;FC160),IF(ISNUMBER(FD160),INDIRECT("SamplesY!G"&amp;FD160),""))</f>
        <v/>
      </c>
      <c r="H160" s="19">
        <f>IF(ISNUMBER(FC160),INDIRECT("SamplesX!H"&amp;FC160),IF(ISNUMBER(FD160),INDIRECT("SamplesY!H"&amp;FD160),""))</f>
        <v/>
      </c>
      <c r="I160" s="16" t="n"/>
      <c r="J160" s="16" t="n"/>
      <c r="K160" s="16" t="n"/>
      <c r="L160" s="20" t="n"/>
      <c r="M160" s="20" t="inlineStr">
        <is>
          <t>None</t>
        </is>
      </c>
      <c r="N160" s="17" t="n"/>
      <c r="O160" s="16" t="n"/>
      <c r="P160" s="20" t="inlineStr">
        <is>
          <t>Shimadzu TOC-L</t>
        </is>
      </c>
      <c r="Q160" s="20" t="inlineStr">
        <is>
          <t>None</t>
        </is>
      </c>
      <c r="R160" s="17" t="n"/>
      <c r="S160" s="16" t="n"/>
      <c r="T160" s="20" t="inlineStr">
        <is>
          <t>Shimadzu TOC-L</t>
        </is>
      </c>
      <c r="U160" s="20" t="inlineStr">
        <is>
          <t>None</t>
        </is>
      </c>
      <c r="V160" s="17" t="n"/>
      <c r="W160" s="16" t="n"/>
      <c r="X160" s="20" t="n"/>
      <c r="Y160" s="20" t="inlineStr">
        <is>
          <t>None</t>
        </is>
      </c>
      <c r="Z160" s="17" t="n"/>
      <c r="AA160" s="16" t="n"/>
      <c r="AB160" s="20" t="n"/>
      <c r="AC160" s="20" t="inlineStr">
        <is>
          <t>None</t>
        </is>
      </c>
      <c r="AD160" s="17" t="n"/>
      <c r="AE160" s="16" t="n"/>
      <c r="AF160" s="20" t="inlineStr">
        <is>
          <t>IC Anionen</t>
        </is>
      </c>
      <c r="AG160" s="20" t="inlineStr">
        <is>
          <t>None</t>
        </is>
      </c>
      <c r="AH160" s="17" t="n"/>
      <c r="AI160" s="16" t="n"/>
      <c r="AJ160" s="20" t="n"/>
      <c r="AK160" s="20" t="inlineStr">
        <is>
          <t>None</t>
        </is>
      </c>
      <c r="AL160" s="17" t="n"/>
      <c r="AM160" s="16" t="n"/>
      <c r="AN160" s="20" t="inlineStr">
        <is>
          <t>IC Anionen</t>
        </is>
      </c>
      <c r="AO160" s="20" t="inlineStr">
        <is>
          <t>None</t>
        </is>
      </c>
      <c r="AP160" s="17" t="n"/>
      <c r="AQ160" s="16" t="n"/>
      <c r="AR160" s="20" t="n"/>
      <c r="AS160" s="20" t="inlineStr">
        <is>
          <t>None</t>
        </is>
      </c>
      <c r="AT160" s="17" t="n"/>
      <c r="AU160" s="16" t="inlineStr">
        <is>
          <t>&lt;0.13</t>
        </is>
      </c>
      <c r="AV160" s="20" t="inlineStr">
        <is>
          <t>IC Anionen</t>
        </is>
      </c>
      <c r="AW160" s="20" t="inlineStr">
        <is>
          <t>None</t>
        </is>
      </c>
      <c r="AX160" s="17" t="n"/>
      <c r="AY160" s="16" t="n"/>
      <c r="AZ160" s="20" t="inlineStr">
        <is>
          <t>IC Anionen</t>
        </is>
      </c>
      <c r="BA160" s="20" t="inlineStr">
        <is>
          <t>None</t>
        </is>
      </c>
      <c r="BB160" s="17" t="n"/>
      <c r="BC160" s="16" t="n"/>
      <c r="BD160" s="20" t="inlineStr">
        <is>
          <t>IC Kationen</t>
        </is>
      </c>
      <c r="BE160" s="20" t="inlineStr">
        <is>
          <t>None</t>
        </is>
      </c>
      <c r="BF160" s="17" t="n"/>
      <c r="BG160" s="16" t="inlineStr">
        <is>
          <t>23.7</t>
        </is>
      </c>
      <c r="BH160" s="20" t="inlineStr">
        <is>
          <t>FIA Lachat QC8500</t>
        </is>
      </c>
      <c r="BI160" s="20" t="inlineStr">
        <is>
          <t>None</t>
        </is>
      </c>
      <c r="BJ160" s="17" t="n"/>
      <c r="BK160" s="16" t="n"/>
      <c r="BL160" s="20" t="inlineStr">
        <is>
          <t>IC Kationen</t>
        </is>
      </c>
      <c r="BM160" s="20" t="inlineStr">
        <is>
          <t>None</t>
        </is>
      </c>
      <c r="BN160" s="17" t="n"/>
      <c r="BO160" s="16" t="n"/>
      <c r="BP160" s="20" t="inlineStr">
        <is>
          <t>IC Kationen</t>
        </is>
      </c>
      <c r="BQ160" s="20" t="inlineStr">
        <is>
          <t>None</t>
        </is>
      </c>
      <c r="BR160" s="17" t="n"/>
      <c r="BS160" s="16" t="n"/>
      <c r="BT160" s="20" t="inlineStr">
        <is>
          <t>IC Kationen</t>
        </is>
      </c>
      <c r="BU160" s="20" t="inlineStr">
        <is>
          <t>None</t>
        </is>
      </c>
      <c r="BV160" s="17" t="n"/>
      <c r="BW160" s="16" t="n"/>
      <c r="BX160" s="20" t="n"/>
      <c r="BY160" s="20" t="inlineStr">
        <is>
          <t>None</t>
        </is>
      </c>
      <c r="BZ160" s="17" t="n"/>
      <c r="CA160" s="16" t="n"/>
      <c r="CB160" s="20" t="n"/>
      <c r="CC160" s="20" t="inlineStr">
        <is>
          <t>None</t>
        </is>
      </c>
      <c r="CD160" s="17" t="n"/>
      <c r="CE160" s="16" t="n"/>
      <c r="CF160" s="20" t="n"/>
      <c r="CG160" s="20" t="inlineStr">
        <is>
          <t>None</t>
        </is>
      </c>
      <c r="CH160" s="17" t="n"/>
      <c r="CI160" s="16" t="n"/>
      <c r="CJ160" s="20" t="n"/>
      <c r="CK160" s="20" t="inlineStr">
        <is>
          <t>None</t>
        </is>
      </c>
      <c r="CL160" s="17" t="n"/>
      <c r="CM160" s="16" t="n"/>
      <c r="CN160" s="20" t="inlineStr">
        <is>
          <t>SOP 45-34</t>
        </is>
      </c>
      <c r="CO160" s="20" t="inlineStr">
        <is>
          <t>None</t>
        </is>
      </c>
      <c r="CP160" s="17" t="n"/>
      <c r="CQ160" s="16" t="n"/>
      <c r="CR160" s="20" t="n"/>
      <c r="CS160" s="20" t="inlineStr">
        <is>
          <t>None</t>
        </is>
      </c>
      <c r="CT160" s="17" t="n"/>
      <c r="CU160" s="16" t="n"/>
      <c r="CV160" s="20" t="n"/>
      <c r="CW160" s="20" t="inlineStr">
        <is>
          <t>None</t>
        </is>
      </c>
      <c r="CX160" s="17" t="n"/>
      <c r="CY160" s="16" t="n"/>
      <c r="CZ160" s="20" t="inlineStr">
        <is>
          <t>WTW Multimeter 3430 with FDO 925</t>
        </is>
      </c>
      <c r="DA160" s="20" t="inlineStr">
        <is>
          <t>None</t>
        </is>
      </c>
      <c r="DB160" s="17" t="n"/>
      <c r="DC160" s="16" t="n"/>
      <c r="DD160" s="20" t="n"/>
      <c r="DE160" s="20" t="inlineStr">
        <is>
          <t>None</t>
        </is>
      </c>
      <c r="DF160" s="17" t="n"/>
      <c r="DG160" s="16" t="n"/>
      <c r="DH160" s="20" t="inlineStr">
        <is>
          <t>SOP 45-09</t>
        </is>
      </c>
      <c r="DI160" s="20" t="inlineStr">
        <is>
          <t>None</t>
        </is>
      </c>
      <c r="DJ160" s="17" t="n"/>
      <c r="DK160" s="16" t="n"/>
      <c r="DL160" s="20" t="inlineStr">
        <is>
          <t>SOP 45-09 (SOP muss noch angepasst werden für VSS)</t>
        </is>
      </c>
      <c r="DM160" s="20" t="inlineStr">
        <is>
          <t>None</t>
        </is>
      </c>
      <c r="DN160" s="17" t="n"/>
      <c r="DO160" s="16" t="n"/>
      <c r="DP160" s="20" t="inlineStr">
        <is>
          <t>IC Organic Acids</t>
        </is>
      </c>
      <c r="DQ160" s="20" t="inlineStr">
        <is>
          <t>None</t>
        </is>
      </c>
      <c r="DR160" s="17" t="n"/>
      <c r="DS160" s="16" t="n"/>
      <c r="DT160" s="20" t="inlineStr">
        <is>
          <t>IC Organic Acids</t>
        </is>
      </c>
      <c r="DU160" s="20" t="inlineStr">
        <is>
          <t>None</t>
        </is>
      </c>
      <c r="DV160" s="17" t="n"/>
      <c r="DW160" s="16" t="n"/>
      <c r="DX160" s="20" t="inlineStr">
        <is>
          <t>IC Organic Acids</t>
        </is>
      </c>
      <c r="DY160" s="20" t="inlineStr">
        <is>
          <t>None</t>
        </is>
      </c>
      <c r="DZ160" s="17" t="n"/>
      <c r="EA160" s="16" t="n"/>
      <c r="EB160" s="20" t="inlineStr">
        <is>
          <t>IC Organic Acids</t>
        </is>
      </c>
      <c r="EC160" s="20" t="inlineStr">
        <is>
          <t>None</t>
        </is>
      </c>
      <c r="ED160" s="17" t="n"/>
      <c r="EE160" s="16" t="n"/>
      <c r="EF160" s="20" t="inlineStr">
        <is>
          <t>IC Organic Acids</t>
        </is>
      </c>
      <c r="EG160" s="20" t="inlineStr">
        <is>
          <t>None</t>
        </is>
      </c>
      <c r="EH160" s="17" t="n"/>
      <c r="EI160" s="16" t="n"/>
      <c r="EJ160" s="20" t="inlineStr">
        <is>
          <t>IC Organic Acids</t>
        </is>
      </c>
      <c r="EK160" s="20" t="inlineStr">
        <is>
          <t>None</t>
        </is>
      </c>
      <c r="EL160" s="17" t="n"/>
      <c r="EM160" s="16" t="n"/>
      <c r="EN160" s="20" t="inlineStr">
        <is>
          <t>IC Organic Acids</t>
        </is>
      </c>
      <c r="EO160" s="20" t="inlineStr">
        <is>
          <t>None</t>
        </is>
      </c>
      <c r="EP160" s="17" t="n"/>
      <c r="EQ160" s="16" t="n"/>
      <c r="ER160" s="20" t="inlineStr">
        <is>
          <t>IC Organic Acids</t>
        </is>
      </c>
      <c r="ES160" s="20" t="inlineStr">
        <is>
          <t>None</t>
        </is>
      </c>
      <c r="ET160" s="17" t="n"/>
      <c r="EU160" s="16" t="n"/>
      <c r="EV160" s="20" t="inlineStr">
        <is>
          <t>LC-MS</t>
        </is>
      </c>
      <c r="EW160" s="20" t="inlineStr">
        <is>
          <t>None</t>
        </is>
      </c>
      <c r="EX160" s="17" t="n"/>
      <c r="EY160" s="21" t="n"/>
      <c r="EZ160">
        <f>CONCATENATE(A160,B160)</f>
        <v/>
      </c>
      <c r="FA160">
        <f>CONCATENATE(SamplesX!A160,SamplesX!B160)</f>
        <v/>
      </c>
      <c r="FC160">
        <f>MATCH(EZ160,FA1:FA1008,0)</f>
        <v/>
      </c>
    </row>
    <row r="161">
      <c r="A161" s="16" t="inlineStr">
        <is>
          <t>BP</t>
        </is>
      </c>
      <c r="B161" s="17" t="inlineStr">
        <is>
          <t>25153</t>
        </is>
      </c>
      <c r="C161" s="10">
        <f>IF(ISNUMBER(FC161),INDIRECT("SamplesX!C"&amp;FC161),IF(ISNUMBER(FD161),INDIRECT("SamplesY!C"&amp;FD161),""))</f>
        <v/>
      </c>
      <c r="D161" s="12">
        <f>IF(ISNUMBER(FC161),INDIRECT("SamplesX!D"&amp;FC161),IF(ISNUMBER(FD161),INDIRECT("SamplesY!D"&amp;FD161),""))</f>
        <v/>
      </c>
      <c r="E161" s="12">
        <f>IF(ISNUMBER(FC161),INDIRECT("SamplesX!E"&amp;FC161),IF(ISNUMBER(FD161),INDIRECT("SamplesY!E"&amp;FD161),""))</f>
        <v/>
      </c>
      <c r="F161" s="11">
        <f>IF(ISNUMBER(FC161),INDIRECT("SamplesX!F"&amp;FC161),IF(ISNUMBER(FD161),INDIRECT("SamplesY!F"&amp;FD161),""))</f>
        <v/>
      </c>
      <c r="G161" s="18">
        <f>IF(ISNUMBER(FC161),INDIRECT("SamplesX!G"&amp;FC161),IF(ISNUMBER(FD161),INDIRECT("SamplesY!G"&amp;FD161),""))</f>
        <v/>
      </c>
      <c r="H161" s="19">
        <f>IF(ISNUMBER(FC161),INDIRECT("SamplesX!H"&amp;FC161),IF(ISNUMBER(FD161),INDIRECT("SamplesY!H"&amp;FD161),""))</f>
        <v/>
      </c>
      <c r="I161" s="16" t="n"/>
      <c r="J161" s="16" t="n"/>
      <c r="K161" s="16" t="n"/>
      <c r="L161" s="20" t="n"/>
      <c r="M161" s="20" t="inlineStr">
        <is>
          <t>None</t>
        </is>
      </c>
      <c r="N161" s="17" t="n"/>
      <c r="O161" s="16" t="n"/>
      <c r="P161" s="20" t="inlineStr">
        <is>
          <t>Shimadzu TOC-L</t>
        </is>
      </c>
      <c r="Q161" s="20" t="inlineStr">
        <is>
          <t>None</t>
        </is>
      </c>
      <c r="R161" s="17" t="n"/>
      <c r="S161" s="16" t="n"/>
      <c r="T161" s="20" t="inlineStr">
        <is>
          <t>Shimadzu TOC-L</t>
        </is>
      </c>
      <c r="U161" s="20" t="inlineStr">
        <is>
          <t>None</t>
        </is>
      </c>
      <c r="V161" s="17" t="n"/>
      <c r="W161" s="16" t="n"/>
      <c r="X161" s="20" t="n"/>
      <c r="Y161" s="20" t="inlineStr">
        <is>
          <t>None</t>
        </is>
      </c>
      <c r="Z161" s="17" t="n"/>
      <c r="AA161" s="16" t="n"/>
      <c r="AB161" s="20" t="n"/>
      <c r="AC161" s="20" t="inlineStr">
        <is>
          <t>None</t>
        </is>
      </c>
      <c r="AD161" s="17" t="n"/>
      <c r="AE161" s="16" t="n"/>
      <c r="AF161" s="20" t="inlineStr">
        <is>
          <t>IC Anionen</t>
        </is>
      </c>
      <c r="AG161" s="20" t="inlineStr">
        <is>
          <t>None</t>
        </is>
      </c>
      <c r="AH161" s="17" t="n"/>
      <c r="AI161" s="16" t="n"/>
      <c r="AJ161" s="20" t="n"/>
      <c r="AK161" s="20" t="inlineStr">
        <is>
          <t>None</t>
        </is>
      </c>
      <c r="AL161" s="17" t="n"/>
      <c r="AM161" s="16" t="n"/>
      <c r="AN161" s="20" t="inlineStr">
        <is>
          <t>IC Anionen</t>
        </is>
      </c>
      <c r="AO161" s="20" t="inlineStr">
        <is>
          <t>None</t>
        </is>
      </c>
      <c r="AP161" s="17" t="n"/>
      <c r="AQ161" s="16" t="n"/>
      <c r="AR161" s="20" t="n"/>
      <c r="AS161" s="20" t="inlineStr">
        <is>
          <t>None</t>
        </is>
      </c>
      <c r="AT161" s="17" t="n"/>
      <c r="AU161" s="16" t="inlineStr">
        <is>
          <t>&lt;0.13</t>
        </is>
      </c>
      <c r="AV161" s="20" t="inlineStr">
        <is>
          <t>IC Anionen</t>
        </is>
      </c>
      <c r="AW161" s="20" t="inlineStr">
        <is>
          <t>None</t>
        </is>
      </c>
      <c r="AX161" s="17" t="n"/>
      <c r="AY161" s="16" t="n"/>
      <c r="AZ161" s="20" t="inlineStr">
        <is>
          <t>IC Anionen</t>
        </is>
      </c>
      <c r="BA161" s="20" t="inlineStr">
        <is>
          <t>None</t>
        </is>
      </c>
      <c r="BB161" s="17" t="n"/>
      <c r="BC161" s="16" t="n"/>
      <c r="BD161" s="20" t="inlineStr">
        <is>
          <t>IC Kationen</t>
        </is>
      </c>
      <c r="BE161" s="20" t="inlineStr">
        <is>
          <t>None</t>
        </is>
      </c>
      <c r="BF161" s="17" t="n"/>
      <c r="BG161" s="16" t="inlineStr">
        <is>
          <t>23.9</t>
        </is>
      </c>
      <c r="BH161" s="20" t="inlineStr">
        <is>
          <t>FIA Lachat QC8500</t>
        </is>
      </c>
      <c r="BI161" s="20" t="inlineStr">
        <is>
          <t>None</t>
        </is>
      </c>
      <c r="BJ161" s="17" t="n"/>
      <c r="BK161" s="16" t="n"/>
      <c r="BL161" s="20" t="inlineStr">
        <is>
          <t>IC Kationen</t>
        </is>
      </c>
      <c r="BM161" s="20" t="inlineStr">
        <is>
          <t>None</t>
        </is>
      </c>
      <c r="BN161" s="17" t="n"/>
      <c r="BO161" s="16" t="n"/>
      <c r="BP161" s="20" t="inlineStr">
        <is>
          <t>IC Kationen</t>
        </is>
      </c>
      <c r="BQ161" s="20" t="inlineStr">
        <is>
          <t>None</t>
        </is>
      </c>
      <c r="BR161" s="17" t="n"/>
      <c r="BS161" s="16" t="n"/>
      <c r="BT161" s="20" t="inlineStr">
        <is>
          <t>IC Kationen</t>
        </is>
      </c>
      <c r="BU161" s="20" t="inlineStr">
        <is>
          <t>None</t>
        </is>
      </c>
      <c r="BV161" s="17" t="n"/>
      <c r="BW161" s="16" t="n"/>
      <c r="BX161" s="20" t="n"/>
      <c r="BY161" s="20" t="inlineStr">
        <is>
          <t>None</t>
        </is>
      </c>
      <c r="BZ161" s="17" t="n"/>
      <c r="CA161" s="16" t="n"/>
      <c r="CB161" s="20" t="n"/>
      <c r="CC161" s="20" t="inlineStr">
        <is>
          <t>None</t>
        </is>
      </c>
      <c r="CD161" s="17" t="n"/>
      <c r="CE161" s="16" t="n"/>
      <c r="CF161" s="20" t="n"/>
      <c r="CG161" s="20" t="inlineStr">
        <is>
          <t>None</t>
        </is>
      </c>
      <c r="CH161" s="17" t="n"/>
      <c r="CI161" s="16" t="n"/>
      <c r="CJ161" s="20" t="n"/>
      <c r="CK161" s="20" t="inlineStr">
        <is>
          <t>None</t>
        </is>
      </c>
      <c r="CL161" s="17" t="n"/>
      <c r="CM161" s="16" t="n"/>
      <c r="CN161" s="20" t="inlineStr">
        <is>
          <t>SOP 45-34</t>
        </is>
      </c>
      <c r="CO161" s="20" t="inlineStr">
        <is>
          <t>None</t>
        </is>
      </c>
      <c r="CP161" s="17" t="n"/>
      <c r="CQ161" s="16" t="n"/>
      <c r="CR161" s="20" t="n"/>
      <c r="CS161" s="20" t="inlineStr">
        <is>
          <t>None</t>
        </is>
      </c>
      <c r="CT161" s="17" t="n"/>
      <c r="CU161" s="16" t="n"/>
      <c r="CV161" s="20" t="n"/>
      <c r="CW161" s="20" t="inlineStr">
        <is>
          <t>None</t>
        </is>
      </c>
      <c r="CX161" s="17" t="n"/>
      <c r="CY161" s="16" t="n"/>
      <c r="CZ161" s="20" t="inlineStr">
        <is>
          <t>WTW Multimeter 3430 with FDO 925</t>
        </is>
      </c>
      <c r="DA161" s="20" t="inlineStr">
        <is>
          <t>None</t>
        </is>
      </c>
      <c r="DB161" s="17" t="n"/>
      <c r="DC161" s="16" t="n"/>
      <c r="DD161" s="20" t="n"/>
      <c r="DE161" s="20" t="inlineStr">
        <is>
          <t>None</t>
        </is>
      </c>
      <c r="DF161" s="17" t="n"/>
      <c r="DG161" s="16" t="n"/>
      <c r="DH161" s="20" t="inlineStr">
        <is>
          <t>SOP 45-09</t>
        </is>
      </c>
      <c r="DI161" s="20" t="inlineStr">
        <is>
          <t>None</t>
        </is>
      </c>
      <c r="DJ161" s="17" t="n"/>
      <c r="DK161" s="16" t="n"/>
      <c r="DL161" s="20" t="inlineStr">
        <is>
          <t>SOP 45-09 (SOP muss noch angepasst werden für VSS)</t>
        </is>
      </c>
      <c r="DM161" s="20" t="inlineStr">
        <is>
          <t>None</t>
        </is>
      </c>
      <c r="DN161" s="17" t="n"/>
      <c r="DO161" s="16" t="n"/>
      <c r="DP161" s="20" t="inlineStr">
        <is>
          <t>IC Organic Acids</t>
        </is>
      </c>
      <c r="DQ161" s="20" t="inlineStr">
        <is>
          <t>None</t>
        </is>
      </c>
      <c r="DR161" s="17" t="n"/>
      <c r="DS161" s="16" t="n"/>
      <c r="DT161" s="20" t="inlineStr">
        <is>
          <t>IC Organic Acids</t>
        </is>
      </c>
      <c r="DU161" s="20" t="inlineStr">
        <is>
          <t>None</t>
        </is>
      </c>
      <c r="DV161" s="17" t="n"/>
      <c r="DW161" s="16" t="n"/>
      <c r="DX161" s="20" t="inlineStr">
        <is>
          <t>IC Organic Acids</t>
        </is>
      </c>
      <c r="DY161" s="20" t="inlineStr">
        <is>
          <t>None</t>
        </is>
      </c>
      <c r="DZ161" s="17" t="n"/>
      <c r="EA161" s="16" t="n"/>
      <c r="EB161" s="20" t="inlineStr">
        <is>
          <t>IC Organic Acids</t>
        </is>
      </c>
      <c r="EC161" s="20" t="inlineStr">
        <is>
          <t>None</t>
        </is>
      </c>
      <c r="ED161" s="17" t="n"/>
      <c r="EE161" s="16" t="n"/>
      <c r="EF161" s="20" t="inlineStr">
        <is>
          <t>IC Organic Acids</t>
        </is>
      </c>
      <c r="EG161" s="20" t="inlineStr">
        <is>
          <t>None</t>
        </is>
      </c>
      <c r="EH161" s="17" t="n"/>
      <c r="EI161" s="16" t="n"/>
      <c r="EJ161" s="20" t="inlineStr">
        <is>
          <t>IC Organic Acids</t>
        </is>
      </c>
      <c r="EK161" s="20" t="inlineStr">
        <is>
          <t>None</t>
        </is>
      </c>
      <c r="EL161" s="17" t="n"/>
      <c r="EM161" s="16" t="n"/>
      <c r="EN161" s="20" t="inlineStr">
        <is>
          <t>IC Organic Acids</t>
        </is>
      </c>
      <c r="EO161" s="20" t="inlineStr">
        <is>
          <t>None</t>
        </is>
      </c>
      <c r="EP161" s="17" t="n"/>
      <c r="EQ161" s="16" t="n"/>
      <c r="ER161" s="20" t="inlineStr">
        <is>
          <t>IC Organic Acids</t>
        </is>
      </c>
      <c r="ES161" s="20" t="inlineStr">
        <is>
          <t>None</t>
        </is>
      </c>
      <c r="ET161" s="17" t="n"/>
      <c r="EU161" s="16" t="n"/>
      <c r="EV161" s="20" t="inlineStr">
        <is>
          <t>LC-MS</t>
        </is>
      </c>
      <c r="EW161" s="20" t="inlineStr">
        <is>
          <t>None</t>
        </is>
      </c>
      <c r="EX161" s="17" t="n"/>
      <c r="EY161" s="21" t="n"/>
      <c r="EZ161">
        <f>CONCATENATE(A161,B161)</f>
        <v/>
      </c>
      <c r="FA161">
        <f>CONCATENATE(SamplesX!A161,SamplesX!B161)</f>
        <v/>
      </c>
      <c r="FC161">
        <f>MATCH(EZ161,FA1:FA1008,0)</f>
        <v/>
      </c>
    </row>
    <row r="162">
      <c r="A162" s="16" t="inlineStr">
        <is>
          <t>BP</t>
        </is>
      </c>
      <c r="B162" s="17" t="inlineStr">
        <is>
          <t>25154</t>
        </is>
      </c>
      <c r="C162" s="10">
        <f>IF(ISNUMBER(FC162),INDIRECT("SamplesX!C"&amp;FC162),IF(ISNUMBER(FD162),INDIRECT("SamplesY!C"&amp;FD162),""))</f>
        <v/>
      </c>
      <c r="D162" s="12">
        <f>IF(ISNUMBER(FC162),INDIRECT("SamplesX!D"&amp;FC162),IF(ISNUMBER(FD162),INDIRECT("SamplesY!D"&amp;FD162),""))</f>
        <v/>
      </c>
      <c r="E162" s="12">
        <f>IF(ISNUMBER(FC162),INDIRECT("SamplesX!E"&amp;FC162),IF(ISNUMBER(FD162),INDIRECT("SamplesY!E"&amp;FD162),""))</f>
        <v/>
      </c>
      <c r="F162" s="11">
        <f>IF(ISNUMBER(FC162),INDIRECT("SamplesX!F"&amp;FC162),IF(ISNUMBER(FD162),INDIRECT("SamplesY!F"&amp;FD162),""))</f>
        <v/>
      </c>
      <c r="G162" s="18">
        <f>IF(ISNUMBER(FC162),INDIRECT("SamplesX!G"&amp;FC162),IF(ISNUMBER(FD162),INDIRECT("SamplesY!G"&amp;FD162),""))</f>
        <v/>
      </c>
      <c r="H162" s="19">
        <f>IF(ISNUMBER(FC162),INDIRECT("SamplesX!H"&amp;FC162),IF(ISNUMBER(FD162),INDIRECT("SamplesY!H"&amp;FD162),""))</f>
        <v/>
      </c>
      <c r="I162" s="16" t="n"/>
      <c r="J162" s="16" t="n"/>
      <c r="K162" s="16" t="n"/>
      <c r="L162" s="20" t="n"/>
      <c r="M162" s="20" t="inlineStr">
        <is>
          <t>None</t>
        </is>
      </c>
      <c r="N162" s="17" t="n"/>
      <c r="O162" s="16" t="n"/>
      <c r="P162" s="20" t="inlineStr">
        <is>
          <t>Shimadzu TOC-L</t>
        </is>
      </c>
      <c r="Q162" s="20" t="inlineStr">
        <is>
          <t>None</t>
        </is>
      </c>
      <c r="R162" s="17" t="n"/>
      <c r="S162" s="16" t="n"/>
      <c r="T162" s="20" t="inlineStr">
        <is>
          <t>Shimadzu TOC-L</t>
        </is>
      </c>
      <c r="U162" s="20" t="inlineStr">
        <is>
          <t>None</t>
        </is>
      </c>
      <c r="V162" s="17" t="n"/>
      <c r="W162" s="16" t="n"/>
      <c r="X162" s="20" t="n"/>
      <c r="Y162" s="20" t="inlineStr">
        <is>
          <t>None</t>
        </is>
      </c>
      <c r="Z162" s="17" t="n"/>
      <c r="AA162" s="16" t="n"/>
      <c r="AB162" s="20" t="n"/>
      <c r="AC162" s="20" t="inlineStr">
        <is>
          <t>None</t>
        </is>
      </c>
      <c r="AD162" s="17" t="n"/>
      <c r="AE162" s="16" t="n"/>
      <c r="AF162" s="20" t="inlineStr">
        <is>
          <t>IC Anionen</t>
        </is>
      </c>
      <c r="AG162" s="20" t="inlineStr">
        <is>
          <t>None</t>
        </is>
      </c>
      <c r="AH162" s="17" t="n"/>
      <c r="AI162" s="16" t="n"/>
      <c r="AJ162" s="20" t="n"/>
      <c r="AK162" s="20" t="inlineStr">
        <is>
          <t>None</t>
        </is>
      </c>
      <c r="AL162" s="17" t="n"/>
      <c r="AM162" s="16" t="n"/>
      <c r="AN162" s="20" t="inlineStr">
        <is>
          <t>IC Anionen</t>
        </is>
      </c>
      <c r="AO162" s="20" t="inlineStr">
        <is>
          <t>None</t>
        </is>
      </c>
      <c r="AP162" s="17" t="n"/>
      <c r="AQ162" s="16" t="n"/>
      <c r="AR162" s="20" t="n"/>
      <c r="AS162" s="20" t="inlineStr">
        <is>
          <t>None</t>
        </is>
      </c>
      <c r="AT162" s="17" t="n"/>
      <c r="AU162" s="16" t="inlineStr">
        <is>
          <t>&lt;0.13</t>
        </is>
      </c>
      <c r="AV162" s="20" t="inlineStr">
        <is>
          <t>IC Anionen</t>
        </is>
      </c>
      <c r="AW162" s="20" t="inlineStr">
        <is>
          <t>None</t>
        </is>
      </c>
      <c r="AX162" s="17" t="n"/>
      <c r="AY162" s="16" t="n"/>
      <c r="AZ162" s="20" t="inlineStr">
        <is>
          <t>IC Anionen</t>
        </is>
      </c>
      <c r="BA162" s="20" t="inlineStr">
        <is>
          <t>None</t>
        </is>
      </c>
      <c r="BB162" s="17" t="n"/>
      <c r="BC162" s="16" t="n"/>
      <c r="BD162" s="20" t="inlineStr">
        <is>
          <t>IC Kationen</t>
        </is>
      </c>
      <c r="BE162" s="20" t="inlineStr">
        <is>
          <t>None</t>
        </is>
      </c>
      <c r="BF162" s="17" t="n"/>
      <c r="BG162" s="16" t="inlineStr">
        <is>
          <t>23.8</t>
        </is>
      </c>
      <c r="BH162" s="20" t="inlineStr">
        <is>
          <t>FIA Lachat QC8500</t>
        </is>
      </c>
      <c r="BI162" s="20" t="inlineStr">
        <is>
          <t>None</t>
        </is>
      </c>
      <c r="BJ162" s="17" t="n"/>
      <c r="BK162" s="16" t="n"/>
      <c r="BL162" s="20" t="inlineStr">
        <is>
          <t>IC Kationen</t>
        </is>
      </c>
      <c r="BM162" s="20" t="inlineStr">
        <is>
          <t>None</t>
        </is>
      </c>
      <c r="BN162" s="17" t="n"/>
      <c r="BO162" s="16" t="n"/>
      <c r="BP162" s="20" t="inlineStr">
        <is>
          <t>IC Kationen</t>
        </is>
      </c>
      <c r="BQ162" s="20" t="inlineStr">
        <is>
          <t>None</t>
        </is>
      </c>
      <c r="BR162" s="17" t="n"/>
      <c r="BS162" s="16" t="n"/>
      <c r="BT162" s="20" t="inlineStr">
        <is>
          <t>IC Kationen</t>
        </is>
      </c>
      <c r="BU162" s="20" t="inlineStr">
        <is>
          <t>None</t>
        </is>
      </c>
      <c r="BV162" s="17" t="n"/>
      <c r="BW162" s="16" t="n"/>
      <c r="BX162" s="20" t="n"/>
      <c r="BY162" s="20" t="inlineStr">
        <is>
          <t>None</t>
        </is>
      </c>
      <c r="BZ162" s="17" t="n"/>
      <c r="CA162" s="16" t="n"/>
      <c r="CB162" s="20" t="n"/>
      <c r="CC162" s="20" t="inlineStr">
        <is>
          <t>None</t>
        </is>
      </c>
      <c r="CD162" s="17" t="n"/>
      <c r="CE162" s="16" t="n"/>
      <c r="CF162" s="20" t="n"/>
      <c r="CG162" s="20" t="inlineStr">
        <is>
          <t>None</t>
        </is>
      </c>
      <c r="CH162" s="17" t="n"/>
      <c r="CI162" s="16" t="n"/>
      <c r="CJ162" s="20" t="n"/>
      <c r="CK162" s="20" t="inlineStr">
        <is>
          <t>None</t>
        </is>
      </c>
      <c r="CL162" s="17" t="n"/>
      <c r="CM162" s="16" t="n"/>
      <c r="CN162" s="20" t="inlineStr">
        <is>
          <t>SOP 45-34</t>
        </is>
      </c>
      <c r="CO162" s="20" t="inlineStr">
        <is>
          <t>None</t>
        </is>
      </c>
      <c r="CP162" s="17" t="n"/>
      <c r="CQ162" s="16" t="n"/>
      <c r="CR162" s="20" t="n"/>
      <c r="CS162" s="20" t="inlineStr">
        <is>
          <t>None</t>
        </is>
      </c>
      <c r="CT162" s="17" t="n"/>
      <c r="CU162" s="16" t="n"/>
      <c r="CV162" s="20" t="n"/>
      <c r="CW162" s="20" t="inlineStr">
        <is>
          <t>None</t>
        </is>
      </c>
      <c r="CX162" s="17" t="n"/>
      <c r="CY162" s="16" t="n"/>
      <c r="CZ162" s="20" t="inlineStr">
        <is>
          <t>WTW Multimeter 3430 with FDO 925</t>
        </is>
      </c>
      <c r="DA162" s="20" t="inlineStr">
        <is>
          <t>None</t>
        </is>
      </c>
      <c r="DB162" s="17" t="n"/>
      <c r="DC162" s="16" t="n"/>
      <c r="DD162" s="20" t="n"/>
      <c r="DE162" s="20" t="inlineStr">
        <is>
          <t>None</t>
        </is>
      </c>
      <c r="DF162" s="17" t="n"/>
      <c r="DG162" s="16" t="n"/>
      <c r="DH162" s="20" t="inlineStr">
        <is>
          <t>SOP 45-09</t>
        </is>
      </c>
      <c r="DI162" s="20" t="inlineStr">
        <is>
          <t>None</t>
        </is>
      </c>
      <c r="DJ162" s="17" t="n"/>
      <c r="DK162" s="16" t="n"/>
      <c r="DL162" s="20" t="inlineStr">
        <is>
          <t>SOP 45-09 (SOP muss noch angepasst werden für VSS)</t>
        </is>
      </c>
      <c r="DM162" s="20" t="inlineStr">
        <is>
          <t>None</t>
        </is>
      </c>
      <c r="DN162" s="17" t="n"/>
      <c r="DO162" s="16" t="n"/>
      <c r="DP162" s="20" t="inlineStr">
        <is>
          <t>IC Organic Acids</t>
        </is>
      </c>
      <c r="DQ162" s="20" t="inlineStr">
        <is>
          <t>None</t>
        </is>
      </c>
      <c r="DR162" s="17" t="n"/>
      <c r="DS162" s="16" t="n"/>
      <c r="DT162" s="20" t="inlineStr">
        <is>
          <t>IC Organic Acids</t>
        </is>
      </c>
      <c r="DU162" s="20" t="inlineStr">
        <is>
          <t>None</t>
        </is>
      </c>
      <c r="DV162" s="17" t="n"/>
      <c r="DW162" s="16" t="n"/>
      <c r="DX162" s="20" t="inlineStr">
        <is>
          <t>IC Organic Acids</t>
        </is>
      </c>
      <c r="DY162" s="20" t="inlineStr">
        <is>
          <t>None</t>
        </is>
      </c>
      <c r="DZ162" s="17" t="n"/>
      <c r="EA162" s="16" t="n"/>
      <c r="EB162" s="20" t="inlineStr">
        <is>
          <t>IC Organic Acids</t>
        </is>
      </c>
      <c r="EC162" s="20" t="inlineStr">
        <is>
          <t>None</t>
        </is>
      </c>
      <c r="ED162" s="17" t="n"/>
      <c r="EE162" s="16" t="n"/>
      <c r="EF162" s="20" t="inlineStr">
        <is>
          <t>IC Organic Acids</t>
        </is>
      </c>
      <c r="EG162" s="20" t="inlineStr">
        <is>
          <t>None</t>
        </is>
      </c>
      <c r="EH162" s="17" t="n"/>
      <c r="EI162" s="16" t="n"/>
      <c r="EJ162" s="20" t="inlineStr">
        <is>
          <t>IC Organic Acids</t>
        </is>
      </c>
      <c r="EK162" s="20" t="inlineStr">
        <is>
          <t>None</t>
        </is>
      </c>
      <c r="EL162" s="17" t="n"/>
      <c r="EM162" s="16" t="n"/>
      <c r="EN162" s="20" t="inlineStr">
        <is>
          <t>IC Organic Acids</t>
        </is>
      </c>
      <c r="EO162" s="20" t="inlineStr">
        <is>
          <t>None</t>
        </is>
      </c>
      <c r="EP162" s="17" t="n"/>
      <c r="EQ162" s="16" t="n"/>
      <c r="ER162" s="20" t="inlineStr">
        <is>
          <t>IC Organic Acids</t>
        </is>
      </c>
      <c r="ES162" s="20" t="inlineStr">
        <is>
          <t>None</t>
        </is>
      </c>
      <c r="ET162" s="17" t="n"/>
      <c r="EU162" s="16" t="n"/>
      <c r="EV162" s="20" t="inlineStr">
        <is>
          <t>LC-MS</t>
        </is>
      </c>
      <c r="EW162" s="20" t="inlineStr">
        <is>
          <t>None</t>
        </is>
      </c>
      <c r="EX162" s="17" t="n"/>
      <c r="EY162" s="21" t="n"/>
      <c r="EZ162">
        <f>CONCATENATE(A162,B162)</f>
        <v/>
      </c>
      <c r="FA162">
        <f>CONCATENATE(SamplesX!A162,SamplesX!B162)</f>
        <v/>
      </c>
      <c r="FC162">
        <f>MATCH(EZ162,FA1:FA1008,0)</f>
        <v/>
      </c>
    </row>
    <row r="163">
      <c r="A163" s="16" t="inlineStr">
        <is>
          <t>BP</t>
        </is>
      </c>
      <c r="B163" s="17" t="inlineStr">
        <is>
          <t>25155</t>
        </is>
      </c>
      <c r="C163" s="10">
        <f>IF(ISNUMBER(FC163),INDIRECT("SamplesX!C"&amp;FC163),IF(ISNUMBER(FD163),INDIRECT("SamplesY!C"&amp;FD163),""))</f>
        <v/>
      </c>
      <c r="D163" s="12">
        <f>IF(ISNUMBER(FC163),INDIRECT("SamplesX!D"&amp;FC163),IF(ISNUMBER(FD163),INDIRECT("SamplesY!D"&amp;FD163),""))</f>
        <v/>
      </c>
      <c r="E163" s="12">
        <f>IF(ISNUMBER(FC163),INDIRECT("SamplesX!E"&amp;FC163),IF(ISNUMBER(FD163),INDIRECT("SamplesY!E"&amp;FD163),""))</f>
        <v/>
      </c>
      <c r="F163" s="11">
        <f>IF(ISNUMBER(FC163),INDIRECT("SamplesX!F"&amp;FC163),IF(ISNUMBER(FD163),INDIRECT("SamplesY!F"&amp;FD163),""))</f>
        <v/>
      </c>
      <c r="G163" s="18">
        <f>IF(ISNUMBER(FC163),INDIRECT("SamplesX!G"&amp;FC163),IF(ISNUMBER(FD163),INDIRECT("SamplesY!G"&amp;FD163),""))</f>
        <v/>
      </c>
      <c r="H163" s="19">
        <f>IF(ISNUMBER(FC163),INDIRECT("SamplesX!H"&amp;FC163),IF(ISNUMBER(FD163),INDIRECT("SamplesY!H"&amp;FD163),""))</f>
        <v/>
      </c>
      <c r="I163" s="16" t="n"/>
      <c r="J163" s="16" t="n"/>
      <c r="K163" s="16" t="n"/>
      <c r="L163" s="20" t="n"/>
      <c r="M163" s="20" t="inlineStr">
        <is>
          <t>None</t>
        </is>
      </c>
      <c r="N163" s="17" t="n"/>
      <c r="O163" s="16" t="n"/>
      <c r="P163" s="20" t="inlineStr">
        <is>
          <t>Shimadzu TOC-L</t>
        </is>
      </c>
      <c r="Q163" s="20" t="inlineStr">
        <is>
          <t>None</t>
        </is>
      </c>
      <c r="R163" s="17" t="n"/>
      <c r="S163" s="16" t="n"/>
      <c r="T163" s="20" t="inlineStr">
        <is>
          <t>Shimadzu TOC-L</t>
        </is>
      </c>
      <c r="U163" s="20" t="inlineStr">
        <is>
          <t>None</t>
        </is>
      </c>
      <c r="V163" s="17" t="n"/>
      <c r="W163" s="16" t="n"/>
      <c r="X163" s="20" t="n"/>
      <c r="Y163" s="20" t="inlineStr">
        <is>
          <t>None</t>
        </is>
      </c>
      <c r="Z163" s="17" t="n"/>
      <c r="AA163" s="16" t="n"/>
      <c r="AB163" s="20" t="n"/>
      <c r="AC163" s="20" t="inlineStr">
        <is>
          <t>None</t>
        </is>
      </c>
      <c r="AD163" s="17" t="n"/>
      <c r="AE163" s="16" t="n"/>
      <c r="AF163" s="20" t="inlineStr">
        <is>
          <t>IC Anionen</t>
        </is>
      </c>
      <c r="AG163" s="20" t="inlineStr">
        <is>
          <t>None</t>
        </is>
      </c>
      <c r="AH163" s="17" t="n"/>
      <c r="AI163" s="16" t="n"/>
      <c r="AJ163" s="20" t="n"/>
      <c r="AK163" s="20" t="inlineStr">
        <is>
          <t>None</t>
        </is>
      </c>
      <c r="AL163" s="17" t="n"/>
      <c r="AM163" s="16" t="n"/>
      <c r="AN163" s="20" t="inlineStr">
        <is>
          <t>IC Anionen</t>
        </is>
      </c>
      <c r="AO163" s="20" t="inlineStr">
        <is>
          <t>None</t>
        </is>
      </c>
      <c r="AP163" s="17" t="n"/>
      <c r="AQ163" s="16" t="n"/>
      <c r="AR163" s="20" t="n"/>
      <c r="AS163" s="20" t="inlineStr">
        <is>
          <t>None</t>
        </is>
      </c>
      <c r="AT163" s="17" t="n"/>
      <c r="AU163" s="16" t="inlineStr">
        <is>
          <t>&lt;0.13</t>
        </is>
      </c>
      <c r="AV163" s="20" t="inlineStr">
        <is>
          <t>IC Anionen</t>
        </is>
      </c>
      <c r="AW163" s="20" t="inlineStr">
        <is>
          <t>None</t>
        </is>
      </c>
      <c r="AX163" s="17" t="n"/>
      <c r="AY163" s="16" t="n"/>
      <c r="AZ163" s="20" t="inlineStr">
        <is>
          <t>IC Anionen</t>
        </is>
      </c>
      <c r="BA163" s="20" t="inlineStr">
        <is>
          <t>None</t>
        </is>
      </c>
      <c r="BB163" s="17" t="n"/>
      <c r="BC163" s="16" t="n"/>
      <c r="BD163" s="20" t="inlineStr">
        <is>
          <t>IC Kationen</t>
        </is>
      </c>
      <c r="BE163" s="20" t="inlineStr">
        <is>
          <t>None</t>
        </is>
      </c>
      <c r="BF163" s="17" t="n"/>
      <c r="BG163" s="16" t="inlineStr">
        <is>
          <t>23.7</t>
        </is>
      </c>
      <c r="BH163" s="20" t="inlineStr">
        <is>
          <t>FIA Lachat QC8500</t>
        </is>
      </c>
      <c r="BI163" s="20" t="inlineStr">
        <is>
          <t>None</t>
        </is>
      </c>
      <c r="BJ163" s="17" t="n"/>
      <c r="BK163" s="16" t="n"/>
      <c r="BL163" s="20" t="inlineStr">
        <is>
          <t>IC Kationen</t>
        </is>
      </c>
      <c r="BM163" s="20" t="inlineStr">
        <is>
          <t>None</t>
        </is>
      </c>
      <c r="BN163" s="17" t="n"/>
      <c r="BO163" s="16" t="n"/>
      <c r="BP163" s="20" t="inlineStr">
        <is>
          <t>IC Kationen</t>
        </is>
      </c>
      <c r="BQ163" s="20" t="inlineStr">
        <is>
          <t>None</t>
        </is>
      </c>
      <c r="BR163" s="17" t="n"/>
      <c r="BS163" s="16" t="n"/>
      <c r="BT163" s="20" t="inlineStr">
        <is>
          <t>IC Kationen</t>
        </is>
      </c>
      <c r="BU163" s="20" t="inlineStr">
        <is>
          <t>None</t>
        </is>
      </c>
      <c r="BV163" s="17" t="n"/>
      <c r="BW163" s="16" t="n"/>
      <c r="BX163" s="20" t="n"/>
      <c r="BY163" s="20" t="inlineStr">
        <is>
          <t>None</t>
        </is>
      </c>
      <c r="BZ163" s="17" t="n"/>
      <c r="CA163" s="16" t="n"/>
      <c r="CB163" s="20" t="n"/>
      <c r="CC163" s="20" t="inlineStr">
        <is>
          <t>None</t>
        </is>
      </c>
      <c r="CD163" s="17" t="n"/>
      <c r="CE163" s="16" t="n"/>
      <c r="CF163" s="20" t="n"/>
      <c r="CG163" s="20" t="inlineStr">
        <is>
          <t>None</t>
        </is>
      </c>
      <c r="CH163" s="17" t="n"/>
      <c r="CI163" s="16" t="n"/>
      <c r="CJ163" s="20" t="n"/>
      <c r="CK163" s="20" t="inlineStr">
        <is>
          <t>None</t>
        </is>
      </c>
      <c r="CL163" s="17" t="n"/>
      <c r="CM163" s="16" t="n"/>
      <c r="CN163" s="20" t="inlineStr">
        <is>
          <t>SOP 45-34</t>
        </is>
      </c>
      <c r="CO163" s="20" t="inlineStr">
        <is>
          <t>None</t>
        </is>
      </c>
      <c r="CP163" s="17" t="n"/>
      <c r="CQ163" s="16" t="n"/>
      <c r="CR163" s="20" t="n"/>
      <c r="CS163" s="20" t="inlineStr">
        <is>
          <t>None</t>
        </is>
      </c>
      <c r="CT163" s="17" t="n"/>
      <c r="CU163" s="16" t="n"/>
      <c r="CV163" s="20" t="n"/>
      <c r="CW163" s="20" t="inlineStr">
        <is>
          <t>None</t>
        </is>
      </c>
      <c r="CX163" s="17" t="n"/>
      <c r="CY163" s="16" t="n"/>
      <c r="CZ163" s="20" t="inlineStr">
        <is>
          <t>WTW Multimeter 3430 with FDO 925</t>
        </is>
      </c>
      <c r="DA163" s="20" t="inlineStr">
        <is>
          <t>None</t>
        </is>
      </c>
      <c r="DB163" s="17" t="n"/>
      <c r="DC163" s="16" t="n"/>
      <c r="DD163" s="20" t="n"/>
      <c r="DE163" s="20" t="inlineStr">
        <is>
          <t>None</t>
        </is>
      </c>
      <c r="DF163" s="17" t="n"/>
      <c r="DG163" s="16" t="n"/>
      <c r="DH163" s="20" t="inlineStr">
        <is>
          <t>SOP 45-09</t>
        </is>
      </c>
      <c r="DI163" s="20" t="inlineStr">
        <is>
          <t>None</t>
        </is>
      </c>
      <c r="DJ163" s="17" t="n"/>
      <c r="DK163" s="16" t="n"/>
      <c r="DL163" s="20" t="inlineStr">
        <is>
          <t>SOP 45-09 (SOP muss noch angepasst werden für VSS)</t>
        </is>
      </c>
      <c r="DM163" s="20" t="inlineStr">
        <is>
          <t>None</t>
        </is>
      </c>
      <c r="DN163" s="17" t="n"/>
      <c r="DO163" s="16" t="n"/>
      <c r="DP163" s="20" t="inlineStr">
        <is>
          <t>IC Organic Acids</t>
        </is>
      </c>
      <c r="DQ163" s="20" t="inlineStr">
        <is>
          <t>None</t>
        </is>
      </c>
      <c r="DR163" s="17" t="n"/>
      <c r="DS163" s="16" t="n"/>
      <c r="DT163" s="20" t="inlineStr">
        <is>
          <t>IC Organic Acids</t>
        </is>
      </c>
      <c r="DU163" s="20" t="inlineStr">
        <is>
          <t>None</t>
        </is>
      </c>
      <c r="DV163" s="17" t="n"/>
      <c r="DW163" s="16" t="n"/>
      <c r="DX163" s="20" t="inlineStr">
        <is>
          <t>IC Organic Acids</t>
        </is>
      </c>
      <c r="DY163" s="20" t="inlineStr">
        <is>
          <t>None</t>
        </is>
      </c>
      <c r="DZ163" s="17" t="n"/>
      <c r="EA163" s="16" t="n"/>
      <c r="EB163" s="20" t="inlineStr">
        <is>
          <t>IC Organic Acids</t>
        </is>
      </c>
      <c r="EC163" s="20" t="inlineStr">
        <is>
          <t>None</t>
        </is>
      </c>
      <c r="ED163" s="17" t="n"/>
      <c r="EE163" s="16" t="n"/>
      <c r="EF163" s="20" t="inlineStr">
        <is>
          <t>IC Organic Acids</t>
        </is>
      </c>
      <c r="EG163" s="20" t="inlineStr">
        <is>
          <t>None</t>
        </is>
      </c>
      <c r="EH163" s="17" t="n"/>
      <c r="EI163" s="16" t="n"/>
      <c r="EJ163" s="20" t="inlineStr">
        <is>
          <t>IC Organic Acids</t>
        </is>
      </c>
      <c r="EK163" s="20" t="inlineStr">
        <is>
          <t>None</t>
        </is>
      </c>
      <c r="EL163" s="17" t="n"/>
      <c r="EM163" s="16" t="n"/>
      <c r="EN163" s="20" t="inlineStr">
        <is>
          <t>IC Organic Acids</t>
        </is>
      </c>
      <c r="EO163" s="20" t="inlineStr">
        <is>
          <t>None</t>
        </is>
      </c>
      <c r="EP163" s="17" t="n"/>
      <c r="EQ163" s="16" t="n"/>
      <c r="ER163" s="20" t="inlineStr">
        <is>
          <t>IC Organic Acids</t>
        </is>
      </c>
      <c r="ES163" s="20" t="inlineStr">
        <is>
          <t>None</t>
        </is>
      </c>
      <c r="ET163" s="17" t="n"/>
      <c r="EU163" s="16" t="n"/>
      <c r="EV163" s="20" t="inlineStr">
        <is>
          <t>LC-MS</t>
        </is>
      </c>
      <c r="EW163" s="20" t="inlineStr">
        <is>
          <t>None</t>
        </is>
      </c>
      <c r="EX163" s="17" t="n"/>
      <c r="EY163" s="21" t="n"/>
      <c r="EZ163">
        <f>CONCATENATE(A163,B163)</f>
        <v/>
      </c>
      <c r="FA163">
        <f>CONCATENATE(SamplesX!A163,SamplesX!B163)</f>
        <v/>
      </c>
      <c r="FC163">
        <f>MATCH(EZ163,FA1:FA1008,0)</f>
        <v/>
      </c>
    </row>
    <row r="164">
      <c r="A164" s="16" t="inlineStr">
        <is>
          <t>BP</t>
        </is>
      </c>
      <c r="B164" s="17" t="inlineStr">
        <is>
          <t>25156</t>
        </is>
      </c>
      <c r="C164" s="10">
        <f>IF(ISNUMBER(FC164),INDIRECT("SamplesX!C"&amp;FC164),IF(ISNUMBER(FD164),INDIRECT("SamplesY!C"&amp;FD164),""))</f>
        <v/>
      </c>
      <c r="D164" s="12">
        <f>IF(ISNUMBER(FC164),INDIRECT("SamplesX!D"&amp;FC164),IF(ISNUMBER(FD164),INDIRECT("SamplesY!D"&amp;FD164),""))</f>
        <v/>
      </c>
      <c r="E164" s="12">
        <f>IF(ISNUMBER(FC164),INDIRECT("SamplesX!E"&amp;FC164),IF(ISNUMBER(FD164),INDIRECT("SamplesY!E"&amp;FD164),""))</f>
        <v/>
      </c>
      <c r="F164" s="11">
        <f>IF(ISNUMBER(FC164),INDIRECT("SamplesX!F"&amp;FC164),IF(ISNUMBER(FD164),INDIRECT("SamplesY!F"&amp;FD164),""))</f>
        <v/>
      </c>
      <c r="G164" s="18">
        <f>IF(ISNUMBER(FC164),INDIRECT("SamplesX!G"&amp;FC164),IF(ISNUMBER(FD164),INDIRECT("SamplesY!G"&amp;FD164),""))</f>
        <v/>
      </c>
      <c r="H164" s="19">
        <f>IF(ISNUMBER(FC164),INDIRECT("SamplesX!H"&amp;FC164),IF(ISNUMBER(FD164),INDIRECT("SamplesY!H"&amp;FD164),""))</f>
        <v/>
      </c>
      <c r="I164" s="16" t="n"/>
      <c r="J164" s="16" t="n"/>
      <c r="K164" s="16" t="n"/>
      <c r="L164" s="20" t="n"/>
      <c r="M164" s="20" t="inlineStr">
        <is>
          <t>None</t>
        </is>
      </c>
      <c r="N164" s="17" t="n"/>
      <c r="O164" s="16" t="n"/>
      <c r="P164" s="20" t="inlineStr">
        <is>
          <t>Shimadzu TOC-L</t>
        </is>
      </c>
      <c r="Q164" s="20" t="inlineStr">
        <is>
          <t>None</t>
        </is>
      </c>
      <c r="R164" s="17" t="n"/>
      <c r="S164" s="16" t="n"/>
      <c r="T164" s="20" t="inlineStr">
        <is>
          <t>Shimadzu TOC-L</t>
        </is>
      </c>
      <c r="U164" s="20" t="inlineStr">
        <is>
          <t>None</t>
        </is>
      </c>
      <c r="V164" s="17" t="n"/>
      <c r="W164" s="16" t="n"/>
      <c r="X164" s="20" t="n"/>
      <c r="Y164" s="20" t="inlineStr">
        <is>
          <t>None</t>
        </is>
      </c>
      <c r="Z164" s="17" t="n"/>
      <c r="AA164" s="16" t="n"/>
      <c r="AB164" s="20" t="n"/>
      <c r="AC164" s="20" t="inlineStr">
        <is>
          <t>None</t>
        </is>
      </c>
      <c r="AD164" s="17" t="n"/>
      <c r="AE164" s="16" t="n"/>
      <c r="AF164" s="20" t="inlineStr">
        <is>
          <t>IC Anionen</t>
        </is>
      </c>
      <c r="AG164" s="20" t="inlineStr">
        <is>
          <t>None</t>
        </is>
      </c>
      <c r="AH164" s="17" t="n"/>
      <c r="AI164" s="16" t="n"/>
      <c r="AJ164" s="20" t="n"/>
      <c r="AK164" s="20" t="inlineStr">
        <is>
          <t>None</t>
        </is>
      </c>
      <c r="AL164" s="17" t="n"/>
      <c r="AM164" s="16" t="n"/>
      <c r="AN164" s="20" t="inlineStr">
        <is>
          <t>IC Anionen</t>
        </is>
      </c>
      <c r="AO164" s="20" t="inlineStr">
        <is>
          <t>None</t>
        </is>
      </c>
      <c r="AP164" s="17" t="n"/>
      <c r="AQ164" s="16" t="n"/>
      <c r="AR164" s="20" t="n"/>
      <c r="AS164" s="20" t="inlineStr">
        <is>
          <t>None</t>
        </is>
      </c>
      <c r="AT164" s="17" t="n"/>
      <c r="AU164" s="16" t="inlineStr">
        <is>
          <t>0.17</t>
        </is>
      </c>
      <c r="AV164" s="20" t="inlineStr">
        <is>
          <t>IC Anionen</t>
        </is>
      </c>
      <c r="AW164" s="20" t="inlineStr">
        <is>
          <t>None</t>
        </is>
      </c>
      <c r="AX164" s="17" t="n"/>
      <c r="AY164" s="16" t="n"/>
      <c r="AZ164" s="20" t="inlineStr">
        <is>
          <t>IC Anionen</t>
        </is>
      </c>
      <c r="BA164" s="20" t="inlineStr">
        <is>
          <t>None</t>
        </is>
      </c>
      <c r="BB164" s="17" t="n"/>
      <c r="BC164" s="16" t="n"/>
      <c r="BD164" s="20" t="inlineStr">
        <is>
          <t>IC Kationen</t>
        </is>
      </c>
      <c r="BE164" s="20" t="inlineStr">
        <is>
          <t>None</t>
        </is>
      </c>
      <c r="BF164" s="17" t="n"/>
      <c r="BG164" s="16" t="inlineStr">
        <is>
          <t>23.8</t>
        </is>
      </c>
      <c r="BH164" s="20" t="inlineStr">
        <is>
          <t>FIA Lachat QC8500</t>
        </is>
      </c>
      <c r="BI164" s="20" t="inlineStr">
        <is>
          <t>None</t>
        </is>
      </c>
      <c r="BJ164" s="17" t="n"/>
      <c r="BK164" s="16" t="n"/>
      <c r="BL164" s="20" t="inlineStr">
        <is>
          <t>IC Kationen</t>
        </is>
      </c>
      <c r="BM164" s="20" t="inlineStr">
        <is>
          <t>None</t>
        </is>
      </c>
      <c r="BN164" s="17" t="n"/>
      <c r="BO164" s="16" t="n"/>
      <c r="BP164" s="20" t="inlineStr">
        <is>
          <t>IC Kationen</t>
        </is>
      </c>
      <c r="BQ164" s="20" t="inlineStr">
        <is>
          <t>None</t>
        </is>
      </c>
      <c r="BR164" s="17" t="n"/>
      <c r="BS164" s="16" t="n"/>
      <c r="BT164" s="20" t="inlineStr">
        <is>
          <t>IC Kationen</t>
        </is>
      </c>
      <c r="BU164" s="20" t="inlineStr">
        <is>
          <t>None</t>
        </is>
      </c>
      <c r="BV164" s="17" t="n"/>
      <c r="BW164" s="16" t="n"/>
      <c r="BX164" s="20" t="n"/>
      <c r="BY164" s="20" t="inlineStr">
        <is>
          <t>None</t>
        </is>
      </c>
      <c r="BZ164" s="17" t="n"/>
      <c r="CA164" s="16" t="n"/>
      <c r="CB164" s="20" t="n"/>
      <c r="CC164" s="20" t="inlineStr">
        <is>
          <t>None</t>
        </is>
      </c>
      <c r="CD164" s="17" t="n"/>
      <c r="CE164" s="16" t="n"/>
      <c r="CF164" s="20" t="n"/>
      <c r="CG164" s="20" t="inlineStr">
        <is>
          <t>None</t>
        </is>
      </c>
      <c r="CH164" s="17" t="n"/>
      <c r="CI164" s="16" t="n"/>
      <c r="CJ164" s="20" t="n"/>
      <c r="CK164" s="20" t="inlineStr">
        <is>
          <t>None</t>
        </is>
      </c>
      <c r="CL164" s="17" t="n"/>
      <c r="CM164" s="16" t="n"/>
      <c r="CN164" s="20" t="inlineStr">
        <is>
          <t>SOP 45-34</t>
        </is>
      </c>
      <c r="CO164" s="20" t="inlineStr">
        <is>
          <t>None</t>
        </is>
      </c>
      <c r="CP164" s="17" t="n"/>
      <c r="CQ164" s="16" t="n"/>
      <c r="CR164" s="20" t="n"/>
      <c r="CS164" s="20" t="inlineStr">
        <is>
          <t>None</t>
        </is>
      </c>
      <c r="CT164" s="17" t="n"/>
      <c r="CU164" s="16" t="n"/>
      <c r="CV164" s="20" t="n"/>
      <c r="CW164" s="20" t="inlineStr">
        <is>
          <t>None</t>
        </is>
      </c>
      <c r="CX164" s="17" t="n"/>
      <c r="CY164" s="16" t="n"/>
      <c r="CZ164" s="20" t="inlineStr">
        <is>
          <t>WTW Multimeter 3430 with FDO 925</t>
        </is>
      </c>
      <c r="DA164" s="20" t="inlineStr">
        <is>
          <t>None</t>
        </is>
      </c>
      <c r="DB164" s="17" t="n"/>
      <c r="DC164" s="16" t="n"/>
      <c r="DD164" s="20" t="n"/>
      <c r="DE164" s="20" t="inlineStr">
        <is>
          <t>None</t>
        </is>
      </c>
      <c r="DF164" s="17" t="n"/>
      <c r="DG164" s="16" t="n"/>
      <c r="DH164" s="20" t="inlineStr">
        <is>
          <t>SOP 45-09</t>
        </is>
      </c>
      <c r="DI164" s="20" t="inlineStr">
        <is>
          <t>None</t>
        </is>
      </c>
      <c r="DJ164" s="17" t="n"/>
      <c r="DK164" s="16" t="n"/>
      <c r="DL164" s="20" t="inlineStr">
        <is>
          <t>SOP 45-09 (SOP muss noch angepasst werden für VSS)</t>
        </is>
      </c>
      <c r="DM164" s="20" t="inlineStr">
        <is>
          <t>None</t>
        </is>
      </c>
      <c r="DN164" s="17" t="n"/>
      <c r="DO164" s="16" t="n"/>
      <c r="DP164" s="20" t="inlineStr">
        <is>
          <t>IC Organic Acids</t>
        </is>
      </c>
      <c r="DQ164" s="20" t="inlineStr">
        <is>
          <t>None</t>
        </is>
      </c>
      <c r="DR164" s="17" t="n"/>
      <c r="DS164" s="16" t="n"/>
      <c r="DT164" s="20" t="inlineStr">
        <is>
          <t>IC Organic Acids</t>
        </is>
      </c>
      <c r="DU164" s="20" t="inlineStr">
        <is>
          <t>None</t>
        </is>
      </c>
      <c r="DV164" s="17" t="n"/>
      <c r="DW164" s="16" t="n"/>
      <c r="DX164" s="20" t="inlineStr">
        <is>
          <t>IC Organic Acids</t>
        </is>
      </c>
      <c r="DY164" s="20" t="inlineStr">
        <is>
          <t>None</t>
        </is>
      </c>
      <c r="DZ164" s="17" t="n"/>
      <c r="EA164" s="16" t="n"/>
      <c r="EB164" s="20" t="inlineStr">
        <is>
          <t>IC Organic Acids</t>
        </is>
      </c>
      <c r="EC164" s="20" t="inlineStr">
        <is>
          <t>None</t>
        </is>
      </c>
      <c r="ED164" s="17" t="n"/>
      <c r="EE164" s="16" t="n"/>
      <c r="EF164" s="20" t="inlineStr">
        <is>
          <t>IC Organic Acids</t>
        </is>
      </c>
      <c r="EG164" s="20" t="inlineStr">
        <is>
          <t>None</t>
        </is>
      </c>
      <c r="EH164" s="17" t="n"/>
      <c r="EI164" s="16" t="n"/>
      <c r="EJ164" s="20" t="inlineStr">
        <is>
          <t>IC Organic Acids</t>
        </is>
      </c>
      <c r="EK164" s="20" t="inlineStr">
        <is>
          <t>None</t>
        </is>
      </c>
      <c r="EL164" s="17" t="n"/>
      <c r="EM164" s="16" t="n"/>
      <c r="EN164" s="20" t="inlineStr">
        <is>
          <t>IC Organic Acids</t>
        </is>
      </c>
      <c r="EO164" s="20" t="inlineStr">
        <is>
          <t>None</t>
        </is>
      </c>
      <c r="EP164" s="17" t="n"/>
      <c r="EQ164" s="16" t="n"/>
      <c r="ER164" s="20" t="inlineStr">
        <is>
          <t>IC Organic Acids</t>
        </is>
      </c>
      <c r="ES164" s="20" t="inlineStr">
        <is>
          <t>None</t>
        </is>
      </c>
      <c r="ET164" s="17" t="n"/>
      <c r="EU164" s="16" t="n"/>
      <c r="EV164" s="20" t="inlineStr">
        <is>
          <t>LC-MS</t>
        </is>
      </c>
      <c r="EW164" s="20" t="inlineStr">
        <is>
          <t>None</t>
        </is>
      </c>
      <c r="EX164" s="17" t="n"/>
      <c r="EY164" s="21" t="n"/>
      <c r="EZ164">
        <f>CONCATENATE(A164,B164)</f>
        <v/>
      </c>
      <c r="FA164">
        <f>CONCATENATE(SamplesX!A164,SamplesX!B164)</f>
        <v/>
      </c>
      <c r="FC164">
        <f>MATCH(EZ164,FA1:FA1008,0)</f>
        <v/>
      </c>
    </row>
    <row r="165">
      <c r="A165" s="16" t="inlineStr">
        <is>
          <t>BP</t>
        </is>
      </c>
      <c r="B165" s="17" t="inlineStr">
        <is>
          <t>25157</t>
        </is>
      </c>
      <c r="C165" s="10">
        <f>IF(ISNUMBER(FC165),INDIRECT("SamplesX!C"&amp;FC165),IF(ISNUMBER(FD165),INDIRECT("SamplesY!C"&amp;FD165),""))</f>
        <v/>
      </c>
      <c r="D165" s="12">
        <f>IF(ISNUMBER(FC165),INDIRECT("SamplesX!D"&amp;FC165),IF(ISNUMBER(FD165),INDIRECT("SamplesY!D"&amp;FD165),""))</f>
        <v/>
      </c>
      <c r="E165" s="12">
        <f>IF(ISNUMBER(FC165),INDIRECT("SamplesX!E"&amp;FC165),IF(ISNUMBER(FD165),INDIRECT("SamplesY!E"&amp;FD165),""))</f>
        <v/>
      </c>
      <c r="F165" s="11">
        <f>IF(ISNUMBER(FC165),INDIRECT("SamplesX!F"&amp;FC165),IF(ISNUMBER(FD165),INDIRECT("SamplesY!F"&amp;FD165),""))</f>
        <v/>
      </c>
      <c r="G165" s="18">
        <f>IF(ISNUMBER(FC165),INDIRECT("SamplesX!G"&amp;FC165),IF(ISNUMBER(FD165),INDIRECT("SamplesY!G"&amp;FD165),""))</f>
        <v/>
      </c>
      <c r="H165" s="19">
        <f>IF(ISNUMBER(FC165),INDIRECT("SamplesX!H"&amp;FC165),IF(ISNUMBER(FD165),INDIRECT("SamplesY!H"&amp;FD165),""))</f>
        <v/>
      </c>
      <c r="I165" s="16" t="n"/>
      <c r="J165" s="16" t="n"/>
      <c r="K165" s="16" t="n"/>
      <c r="L165" s="20" t="n"/>
      <c r="M165" s="20" t="inlineStr">
        <is>
          <t>None</t>
        </is>
      </c>
      <c r="N165" s="17" t="n"/>
      <c r="O165" s="16" t="n"/>
      <c r="P165" s="20" t="inlineStr">
        <is>
          <t>Shimadzu TOC-L</t>
        </is>
      </c>
      <c r="Q165" s="20" t="inlineStr">
        <is>
          <t>None</t>
        </is>
      </c>
      <c r="R165" s="17" t="n"/>
      <c r="S165" s="16" t="n"/>
      <c r="T165" s="20" t="inlineStr">
        <is>
          <t>Shimadzu TOC-L</t>
        </is>
      </c>
      <c r="U165" s="20" t="inlineStr">
        <is>
          <t>None</t>
        </is>
      </c>
      <c r="V165" s="17" t="n"/>
      <c r="W165" s="16" t="n"/>
      <c r="X165" s="20" t="n"/>
      <c r="Y165" s="20" t="inlineStr">
        <is>
          <t>None</t>
        </is>
      </c>
      <c r="Z165" s="17" t="n"/>
      <c r="AA165" s="16" t="n"/>
      <c r="AB165" s="20" t="n"/>
      <c r="AC165" s="20" t="inlineStr">
        <is>
          <t>None</t>
        </is>
      </c>
      <c r="AD165" s="17" t="n"/>
      <c r="AE165" s="16" t="inlineStr">
        <is>
          <t>231</t>
        </is>
      </c>
      <c r="AF165" s="20" t="inlineStr">
        <is>
          <t>IC Anionen</t>
        </is>
      </c>
      <c r="AG165" s="20" t="inlineStr">
        <is>
          <t>None</t>
        </is>
      </c>
      <c r="AH165" s="17" t="n"/>
      <c r="AI165" s="16" t="n"/>
      <c r="AJ165" s="20" t="n"/>
      <c r="AK165" s="20" t="inlineStr">
        <is>
          <t>None</t>
        </is>
      </c>
      <c r="AL165" s="17" t="n"/>
      <c r="AM165" s="16" t="n"/>
      <c r="AN165" s="20" t="inlineStr">
        <is>
          <t>IC Anionen</t>
        </is>
      </c>
      <c r="AO165" s="20" t="inlineStr">
        <is>
          <t>None</t>
        </is>
      </c>
      <c r="AP165" s="17" t="n"/>
      <c r="AQ165" s="16" t="n"/>
      <c r="AR165" s="20" t="n"/>
      <c r="AS165" s="20" t="inlineStr">
        <is>
          <t>None</t>
        </is>
      </c>
      <c r="AT165" s="17" t="n"/>
      <c r="AU165" s="16" t="inlineStr">
        <is>
          <t>16.0</t>
        </is>
      </c>
      <c r="AV165" s="20" t="inlineStr">
        <is>
          <t>IC Anionen</t>
        </is>
      </c>
      <c r="AW165" s="20" t="inlineStr">
        <is>
          <t>None</t>
        </is>
      </c>
      <c r="AX165" s="17" t="n"/>
      <c r="AY165" s="16" t="inlineStr">
        <is>
          <t>1.33</t>
        </is>
      </c>
      <c r="AZ165" s="20" t="inlineStr">
        <is>
          <t>IC Anionen</t>
        </is>
      </c>
      <c r="BA165" s="20" t="inlineStr">
        <is>
          <t>None</t>
        </is>
      </c>
      <c r="BB165" s="17" t="n"/>
      <c r="BC165" s="16" t="inlineStr">
        <is>
          <t>139</t>
        </is>
      </c>
      <c r="BD165" s="20" t="inlineStr">
        <is>
          <t>IC Kationen</t>
        </is>
      </c>
      <c r="BE165" s="20" t="inlineStr">
        <is>
          <t>None</t>
        </is>
      </c>
      <c r="BF165" s="17" t="n"/>
      <c r="BG165" s="16" t="inlineStr">
        <is>
          <t>20.8</t>
        </is>
      </c>
      <c r="BH165" s="20" t="inlineStr">
        <is>
          <t>IC Kationen</t>
        </is>
      </c>
      <c r="BI165" s="20" t="inlineStr">
        <is>
          <t>None</t>
        </is>
      </c>
      <c r="BJ165" s="17" t="n"/>
      <c r="BK165" s="16" t="inlineStr">
        <is>
          <t>19.2</t>
        </is>
      </c>
      <c r="BL165" s="20" t="inlineStr">
        <is>
          <t>IC Kationen</t>
        </is>
      </c>
      <c r="BM165" s="20" t="inlineStr">
        <is>
          <t>None</t>
        </is>
      </c>
      <c r="BN165" s="17" t="n"/>
      <c r="BO165" s="16" t="inlineStr">
        <is>
          <t>308</t>
        </is>
      </c>
      <c r="BP165" s="20" t="inlineStr">
        <is>
          <t>IC Kationen</t>
        </is>
      </c>
      <c r="BQ165" s="20" t="inlineStr">
        <is>
          <t>None</t>
        </is>
      </c>
      <c r="BR165" s="17" t="n"/>
      <c r="BS165" s="16" t="inlineStr">
        <is>
          <t>32.1</t>
        </is>
      </c>
      <c r="BT165" s="20" t="inlineStr">
        <is>
          <t>IC Kationen</t>
        </is>
      </c>
      <c r="BU165" s="20" t="inlineStr">
        <is>
          <t>None</t>
        </is>
      </c>
      <c r="BV165" s="17" t="n"/>
      <c r="BW165" s="16" t="n"/>
      <c r="BX165" s="20" t="n"/>
      <c r="BY165" s="20" t="inlineStr">
        <is>
          <t>None</t>
        </is>
      </c>
      <c r="BZ165" s="17" t="n"/>
      <c r="CA165" s="16" t="n"/>
      <c r="CB165" s="20" t="n"/>
      <c r="CC165" s="20" t="inlineStr">
        <is>
          <t>None</t>
        </is>
      </c>
      <c r="CD165" s="17" t="n"/>
      <c r="CE165" s="16" t="n"/>
      <c r="CF165" s="20" t="n"/>
      <c r="CG165" s="20" t="inlineStr">
        <is>
          <t>None</t>
        </is>
      </c>
      <c r="CH165" s="17" t="n"/>
      <c r="CI165" s="16" t="n"/>
      <c r="CJ165" s="20" t="n"/>
      <c r="CK165" s="20" t="inlineStr">
        <is>
          <t>None</t>
        </is>
      </c>
      <c r="CL165" s="17" t="n"/>
      <c r="CM165" s="16" t="n"/>
      <c r="CN165" s="20" t="inlineStr">
        <is>
          <t>SOP 45-34</t>
        </is>
      </c>
      <c r="CO165" s="20" t="inlineStr">
        <is>
          <t>None</t>
        </is>
      </c>
      <c r="CP165" s="17" t="n"/>
      <c r="CQ165" s="16" t="n"/>
      <c r="CR165" s="20" t="n"/>
      <c r="CS165" s="20" t="inlineStr">
        <is>
          <t>None</t>
        </is>
      </c>
      <c r="CT165" s="17" t="n"/>
      <c r="CU165" s="16" t="n"/>
      <c r="CV165" s="20" t="n"/>
      <c r="CW165" s="20" t="inlineStr">
        <is>
          <t>None</t>
        </is>
      </c>
      <c r="CX165" s="17" t="n"/>
      <c r="CY165" s="16" t="n"/>
      <c r="CZ165" s="20" t="inlineStr">
        <is>
          <t>WTW Multimeter 3430 with FDO 925</t>
        </is>
      </c>
      <c r="DA165" s="20" t="inlineStr">
        <is>
          <t>None</t>
        </is>
      </c>
      <c r="DB165" s="17" t="n"/>
      <c r="DC165" s="16" t="n"/>
      <c r="DD165" s="20" t="n"/>
      <c r="DE165" s="20" t="inlineStr">
        <is>
          <t>None</t>
        </is>
      </c>
      <c r="DF165" s="17" t="n"/>
      <c r="DG165" s="16" t="n"/>
      <c r="DH165" s="20" t="inlineStr">
        <is>
          <t>SOP 45-09</t>
        </is>
      </c>
      <c r="DI165" s="20" t="inlineStr">
        <is>
          <t>None</t>
        </is>
      </c>
      <c r="DJ165" s="17" t="n"/>
      <c r="DK165" s="16" t="n"/>
      <c r="DL165" s="20" t="inlineStr">
        <is>
          <t>SOP 45-09 (SOP muss noch angepasst werden für VSS)</t>
        </is>
      </c>
      <c r="DM165" s="20" t="inlineStr">
        <is>
          <t>None</t>
        </is>
      </c>
      <c r="DN165" s="17" t="n"/>
      <c r="DO165" s="16" t="n"/>
      <c r="DP165" s="20" t="inlineStr">
        <is>
          <t>IC Organic Acids</t>
        </is>
      </c>
      <c r="DQ165" s="20" t="inlineStr">
        <is>
          <t>None</t>
        </is>
      </c>
      <c r="DR165" s="17" t="n"/>
      <c r="DS165" s="16" t="n"/>
      <c r="DT165" s="20" t="inlineStr">
        <is>
          <t>IC Organic Acids</t>
        </is>
      </c>
      <c r="DU165" s="20" t="inlineStr">
        <is>
          <t>None</t>
        </is>
      </c>
      <c r="DV165" s="17" t="n"/>
      <c r="DW165" s="16" t="n"/>
      <c r="DX165" s="20" t="inlineStr">
        <is>
          <t>IC Organic Acids</t>
        </is>
      </c>
      <c r="DY165" s="20" t="inlineStr">
        <is>
          <t>None</t>
        </is>
      </c>
      <c r="DZ165" s="17" t="n"/>
      <c r="EA165" s="16" t="n"/>
      <c r="EB165" s="20" t="inlineStr">
        <is>
          <t>IC Organic Acids</t>
        </is>
      </c>
      <c r="EC165" s="20" t="inlineStr">
        <is>
          <t>None</t>
        </is>
      </c>
      <c r="ED165" s="17" t="n"/>
      <c r="EE165" s="16" t="n"/>
      <c r="EF165" s="20" t="inlineStr">
        <is>
          <t>IC Organic Acids</t>
        </is>
      </c>
      <c r="EG165" s="20" t="inlineStr">
        <is>
          <t>None</t>
        </is>
      </c>
      <c r="EH165" s="17" t="n"/>
      <c r="EI165" s="16" t="n"/>
      <c r="EJ165" s="20" t="inlineStr">
        <is>
          <t>IC Organic Acids</t>
        </is>
      </c>
      <c r="EK165" s="20" t="inlineStr">
        <is>
          <t>None</t>
        </is>
      </c>
      <c r="EL165" s="17" t="n"/>
      <c r="EM165" s="16" t="n"/>
      <c r="EN165" s="20" t="inlineStr">
        <is>
          <t>IC Organic Acids</t>
        </is>
      </c>
      <c r="EO165" s="20" t="inlineStr">
        <is>
          <t>None</t>
        </is>
      </c>
      <c r="EP165" s="17" t="n"/>
      <c r="EQ165" s="16" t="n"/>
      <c r="ER165" s="20" t="inlineStr">
        <is>
          <t>IC Organic Acids</t>
        </is>
      </c>
      <c r="ES165" s="20" t="inlineStr">
        <is>
          <t>None</t>
        </is>
      </c>
      <c r="ET165" s="17" t="n"/>
      <c r="EU165" s="16" t="n"/>
      <c r="EV165" s="20" t="inlineStr">
        <is>
          <t>LC-MS</t>
        </is>
      </c>
      <c r="EW165" s="20" t="inlineStr">
        <is>
          <t>None</t>
        </is>
      </c>
      <c r="EX165" s="17" t="n"/>
      <c r="EY165" s="21" t="n"/>
      <c r="EZ165">
        <f>CONCATENATE(A165,B165)</f>
        <v/>
      </c>
      <c r="FA165">
        <f>CONCATENATE(SamplesX!A165,SamplesX!B165)</f>
        <v/>
      </c>
      <c r="FC165">
        <f>MATCH(EZ165,FA1:FA1008,0)</f>
        <v/>
      </c>
    </row>
    <row r="166">
      <c r="A166" s="16" t="inlineStr">
        <is>
          <t>BP</t>
        </is>
      </c>
      <c r="B166" s="17" t="inlineStr">
        <is>
          <t>25158</t>
        </is>
      </c>
      <c r="C166" s="10">
        <f>IF(ISNUMBER(FC166),INDIRECT("SamplesX!C"&amp;FC166),IF(ISNUMBER(FD166),INDIRECT("SamplesY!C"&amp;FD166),""))</f>
        <v/>
      </c>
      <c r="D166" s="12">
        <f>IF(ISNUMBER(FC166),INDIRECT("SamplesX!D"&amp;FC166),IF(ISNUMBER(FD166),INDIRECT("SamplesY!D"&amp;FD166),""))</f>
        <v/>
      </c>
      <c r="E166" s="12">
        <f>IF(ISNUMBER(FC166),INDIRECT("SamplesX!E"&amp;FC166),IF(ISNUMBER(FD166),INDIRECT("SamplesY!E"&amp;FD166),""))</f>
        <v/>
      </c>
      <c r="F166" s="11">
        <f>IF(ISNUMBER(FC166),INDIRECT("SamplesX!F"&amp;FC166),IF(ISNUMBER(FD166),INDIRECT("SamplesY!F"&amp;FD166),""))</f>
        <v/>
      </c>
      <c r="G166" s="18">
        <f>IF(ISNUMBER(FC166),INDIRECT("SamplesX!G"&amp;FC166),IF(ISNUMBER(FD166),INDIRECT("SamplesY!G"&amp;FD166),""))</f>
        <v/>
      </c>
      <c r="H166" s="19">
        <f>IF(ISNUMBER(FC166),INDIRECT("SamplesX!H"&amp;FC166),IF(ISNUMBER(FD166),INDIRECT("SamplesY!H"&amp;FD166),""))</f>
        <v/>
      </c>
      <c r="I166" s="16" t="n"/>
      <c r="J166" s="16" t="n"/>
      <c r="K166" s="16" t="n"/>
      <c r="L166" s="20" t="n"/>
      <c r="M166" s="20" t="inlineStr">
        <is>
          <t>None</t>
        </is>
      </c>
      <c r="N166" s="17" t="n"/>
      <c r="O166" s="16" t="n"/>
      <c r="P166" s="20" t="inlineStr">
        <is>
          <t>Shimadzu TOC-L</t>
        </is>
      </c>
      <c r="Q166" s="20" t="inlineStr">
        <is>
          <t>None</t>
        </is>
      </c>
      <c r="R166" s="17" t="n"/>
      <c r="S166" s="16" t="n"/>
      <c r="T166" s="20" t="inlineStr">
        <is>
          <t>Shimadzu TOC-L</t>
        </is>
      </c>
      <c r="U166" s="20" t="inlineStr">
        <is>
          <t>None</t>
        </is>
      </c>
      <c r="V166" s="17" t="n"/>
      <c r="W166" s="16" t="n"/>
      <c r="X166" s="20" t="n"/>
      <c r="Y166" s="20" t="inlineStr">
        <is>
          <t>None</t>
        </is>
      </c>
      <c r="Z166" s="17" t="n"/>
      <c r="AA166" s="16" t="n"/>
      <c r="AB166" s="20" t="n"/>
      <c r="AC166" s="20" t="inlineStr">
        <is>
          <t>None</t>
        </is>
      </c>
      <c r="AD166" s="17" t="n"/>
      <c r="AE166" s="16" t="inlineStr">
        <is>
          <t>378</t>
        </is>
      </c>
      <c r="AF166" s="20" t="inlineStr">
        <is>
          <t>IC Anionen</t>
        </is>
      </c>
      <c r="AG166" s="20" t="inlineStr">
        <is>
          <t>None</t>
        </is>
      </c>
      <c r="AH166" s="17" t="n"/>
      <c r="AI166" s="16" t="n"/>
      <c r="AJ166" s="20" t="n"/>
      <c r="AK166" s="20" t="inlineStr">
        <is>
          <t>None</t>
        </is>
      </c>
      <c r="AL166" s="17" t="n"/>
      <c r="AM166" s="16" t="n"/>
      <c r="AN166" s="20" t="inlineStr">
        <is>
          <t>IC Anionen</t>
        </is>
      </c>
      <c r="AO166" s="20" t="inlineStr">
        <is>
          <t>None</t>
        </is>
      </c>
      <c r="AP166" s="17" t="n"/>
      <c r="AQ166" s="16" t="n"/>
      <c r="AR166" s="20" t="n"/>
      <c r="AS166" s="20" t="inlineStr">
        <is>
          <t>None</t>
        </is>
      </c>
      <c r="AT166" s="17" t="n"/>
      <c r="AU166" s="16" t="inlineStr">
        <is>
          <t>0.45</t>
        </is>
      </c>
      <c r="AV166" s="20" t="inlineStr">
        <is>
          <t>IC Anionen</t>
        </is>
      </c>
      <c r="AW166" s="20" t="inlineStr">
        <is>
          <t>None</t>
        </is>
      </c>
      <c r="AX166" s="17" t="n"/>
      <c r="AY166" s="16" t="inlineStr">
        <is>
          <t>1.58</t>
        </is>
      </c>
      <c r="AZ166" s="20" t="inlineStr">
        <is>
          <t>IC Anionen</t>
        </is>
      </c>
      <c r="BA166" s="20" t="inlineStr">
        <is>
          <t>None</t>
        </is>
      </c>
      <c r="BB166" s="17" t="n"/>
      <c r="BC166" s="16" t="inlineStr">
        <is>
          <t>119</t>
        </is>
      </c>
      <c r="BD166" s="20" t="inlineStr">
        <is>
          <t>IC Kationen</t>
        </is>
      </c>
      <c r="BE166" s="20" t="inlineStr">
        <is>
          <t>None</t>
        </is>
      </c>
      <c r="BF166" s="17" t="n"/>
      <c r="BG166" s="16" t="inlineStr">
        <is>
          <t>15.3</t>
        </is>
      </c>
      <c r="BH166" s="20" t="inlineStr">
        <is>
          <t>IC Kationen</t>
        </is>
      </c>
      <c r="BI166" s="20" t="inlineStr">
        <is>
          <t>None</t>
        </is>
      </c>
      <c r="BJ166" s="17" t="n"/>
      <c r="BK166" s="16" t="inlineStr">
        <is>
          <t>18.2</t>
        </is>
      </c>
      <c r="BL166" s="20" t="inlineStr">
        <is>
          <t>IC Kationen</t>
        </is>
      </c>
      <c r="BM166" s="20" t="inlineStr">
        <is>
          <t>None</t>
        </is>
      </c>
      <c r="BN166" s="17" t="n"/>
      <c r="BO166" s="16" t="inlineStr">
        <is>
          <t>265</t>
        </is>
      </c>
      <c r="BP166" s="20" t="inlineStr">
        <is>
          <t>IC Kationen</t>
        </is>
      </c>
      <c r="BQ166" s="20" t="inlineStr">
        <is>
          <t>None</t>
        </is>
      </c>
      <c r="BR166" s="17" t="n"/>
      <c r="BS166" s="16" t="inlineStr">
        <is>
          <t>29.5</t>
        </is>
      </c>
      <c r="BT166" s="20" t="inlineStr">
        <is>
          <t>IC Kationen</t>
        </is>
      </c>
      <c r="BU166" s="20" t="inlineStr">
        <is>
          <t>None</t>
        </is>
      </c>
      <c r="BV166" s="17" t="n"/>
      <c r="BW166" s="16" t="n"/>
      <c r="BX166" s="20" t="n"/>
      <c r="BY166" s="20" t="inlineStr">
        <is>
          <t>None</t>
        </is>
      </c>
      <c r="BZ166" s="17" t="n"/>
      <c r="CA166" s="16" t="n"/>
      <c r="CB166" s="20" t="n"/>
      <c r="CC166" s="20" t="inlineStr">
        <is>
          <t>None</t>
        </is>
      </c>
      <c r="CD166" s="17" t="n"/>
      <c r="CE166" s="16" t="n"/>
      <c r="CF166" s="20" t="n"/>
      <c r="CG166" s="20" t="inlineStr">
        <is>
          <t>None</t>
        </is>
      </c>
      <c r="CH166" s="17" t="n"/>
      <c r="CI166" s="16" t="n"/>
      <c r="CJ166" s="20" t="n"/>
      <c r="CK166" s="20" t="inlineStr">
        <is>
          <t>None</t>
        </is>
      </c>
      <c r="CL166" s="17" t="n"/>
      <c r="CM166" s="16" t="n"/>
      <c r="CN166" s="20" t="inlineStr">
        <is>
          <t>SOP 45-34</t>
        </is>
      </c>
      <c r="CO166" s="20" t="inlineStr">
        <is>
          <t>None</t>
        </is>
      </c>
      <c r="CP166" s="17" t="n"/>
      <c r="CQ166" s="16" t="n"/>
      <c r="CR166" s="20" t="n"/>
      <c r="CS166" s="20" t="inlineStr">
        <is>
          <t>None</t>
        </is>
      </c>
      <c r="CT166" s="17" t="n"/>
      <c r="CU166" s="16" t="n"/>
      <c r="CV166" s="20" t="n"/>
      <c r="CW166" s="20" t="inlineStr">
        <is>
          <t>None</t>
        </is>
      </c>
      <c r="CX166" s="17" t="n"/>
      <c r="CY166" s="16" t="n"/>
      <c r="CZ166" s="20" t="inlineStr">
        <is>
          <t>WTW Multimeter 3430 with FDO 925</t>
        </is>
      </c>
      <c r="DA166" s="20" t="inlineStr">
        <is>
          <t>None</t>
        </is>
      </c>
      <c r="DB166" s="17" t="n"/>
      <c r="DC166" s="16" t="n"/>
      <c r="DD166" s="20" t="n"/>
      <c r="DE166" s="20" t="inlineStr">
        <is>
          <t>None</t>
        </is>
      </c>
      <c r="DF166" s="17" t="n"/>
      <c r="DG166" s="16" t="n"/>
      <c r="DH166" s="20" t="inlineStr">
        <is>
          <t>SOP 45-09</t>
        </is>
      </c>
      <c r="DI166" s="20" t="inlineStr">
        <is>
          <t>None</t>
        </is>
      </c>
      <c r="DJ166" s="17" t="n"/>
      <c r="DK166" s="16" t="n"/>
      <c r="DL166" s="20" t="inlineStr">
        <is>
          <t>SOP 45-09 (SOP muss noch angepasst werden für VSS)</t>
        </is>
      </c>
      <c r="DM166" s="20" t="inlineStr">
        <is>
          <t>None</t>
        </is>
      </c>
      <c r="DN166" s="17" t="n"/>
      <c r="DO166" s="16" t="n"/>
      <c r="DP166" s="20" t="inlineStr">
        <is>
          <t>IC Organic Acids</t>
        </is>
      </c>
      <c r="DQ166" s="20" t="inlineStr">
        <is>
          <t>None</t>
        </is>
      </c>
      <c r="DR166" s="17" t="n"/>
      <c r="DS166" s="16" t="n"/>
      <c r="DT166" s="20" t="inlineStr">
        <is>
          <t>IC Organic Acids</t>
        </is>
      </c>
      <c r="DU166" s="20" t="inlineStr">
        <is>
          <t>None</t>
        </is>
      </c>
      <c r="DV166" s="17" t="n"/>
      <c r="DW166" s="16" t="n"/>
      <c r="DX166" s="20" t="inlineStr">
        <is>
          <t>IC Organic Acids</t>
        </is>
      </c>
      <c r="DY166" s="20" t="inlineStr">
        <is>
          <t>None</t>
        </is>
      </c>
      <c r="DZ166" s="17" t="n"/>
      <c r="EA166" s="16" t="n"/>
      <c r="EB166" s="20" t="inlineStr">
        <is>
          <t>IC Organic Acids</t>
        </is>
      </c>
      <c r="EC166" s="20" t="inlineStr">
        <is>
          <t>None</t>
        </is>
      </c>
      <c r="ED166" s="17" t="n"/>
      <c r="EE166" s="16" t="n"/>
      <c r="EF166" s="20" t="inlineStr">
        <is>
          <t>IC Organic Acids</t>
        </is>
      </c>
      <c r="EG166" s="20" t="inlineStr">
        <is>
          <t>None</t>
        </is>
      </c>
      <c r="EH166" s="17" t="n"/>
      <c r="EI166" s="16" t="n"/>
      <c r="EJ166" s="20" t="inlineStr">
        <is>
          <t>IC Organic Acids</t>
        </is>
      </c>
      <c r="EK166" s="20" t="inlineStr">
        <is>
          <t>None</t>
        </is>
      </c>
      <c r="EL166" s="17" t="n"/>
      <c r="EM166" s="16" t="n"/>
      <c r="EN166" s="20" t="inlineStr">
        <is>
          <t>IC Organic Acids</t>
        </is>
      </c>
      <c r="EO166" s="20" t="inlineStr">
        <is>
          <t>None</t>
        </is>
      </c>
      <c r="EP166" s="17" t="n"/>
      <c r="EQ166" s="16" t="n"/>
      <c r="ER166" s="20" t="inlineStr">
        <is>
          <t>IC Organic Acids</t>
        </is>
      </c>
      <c r="ES166" s="20" t="inlineStr">
        <is>
          <t>None</t>
        </is>
      </c>
      <c r="ET166" s="17" t="n"/>
      <c r="EU166" s="16" t="n"/>
      <c r="EV166" s="20" t="inlineStr">
        <is>
          <t>LC-MS</t>
        </is>
      </c>
      <c r="EW166" s="20" t="inlineStr">
        <is>
          <t>None</t>
        </is>
      </c>
      <c r="EX166" s="17" t="n"/>
      <c r="EY166" s="21" t="n"/>
      <c r="EZ166">
        <f>CONCATENATE(A166,B166)</f>
        <v/>
      </c>
      <c r="FA166">
        <f>CONCATENATE(SamplesX!A166,SamplesX!B166)</f>
        <v/>
      </c>
      <c r="FC166">
        <f>MATCH(EZ166,FA1:FA1008,0)</f>
        <v/>
      </c>
    </row>
    <row r="167">
      <c r="A167" s="16" t="inlineStr">
        <is>
          <t>BP</t>
        </is>
      </c>
      <c r="B167" s="17" t="inlineStr">
        <is>
          <t>25159</t>
        </is>
      </c>
      <c r="C167" s="10">
        <f>IF(ISNUMBER(FC167),INDIRECT("SamplesX!C"&amp;FC167),IF(ISNUMBER(FD167),INDIRECT("SamplesY!C"&amp;FD167),""))</f>
        <v/>
      </c>
      <c r="D167" s="12">
        <f>IF(ISNUMBER(FC167),INDIRECT("SamplesX!D"&amp;FC167),IF(ISNUMBER(FD167),INDIRECT("SamplesY!D"&amp;FD167),""))</f>
        <v/>
      </c>
      <c r="E167" s="12">
        <f>IF(ISNUMBER(FC167),INDIRECT("SamplesX!E"&amp;FC167),IF(ISNUMBER(FD167),INDIRECT("SamplesY!E"&amp;FD167),""))</f>
        <v/>
      </c>
      <c r="F167" s="11">
        <f>IF(ISNUMBER(FC167),INDIRECT("SamplesX!F"&amp;FC167),IF(ISNUMBER(FD167),INDIRECT("SamplesY!F"&amp;FD167),""))</f>
        <v/>
      </c>
      <c r="G167" s="18">
        <f>IF(ISNUMBER(FC167),INDIRECT("SamplesX!G"&amp;FC167),IF(ISNUMBER(FD167),INDIRECT("SamplesY!G"&amp;FD167),""))</f>
        <v/>
      </c>
      <c r="H167" s="19">
        <f>IF(ISNUMBER(FC167),INDIRECT("SamplesX!H"&amp;FC167),IF(ISNUMBER(FD167),INDIRECT("SamplesY!H"&amp;FD167),""))</f>
        <v/>
      </c>
      <c r="I167" s="16" t="n"/>
      <c r="J167" s="16" t="n"/>
      <c r="K167" s="16" t="n"/>
      <c r="L167" s="20" t="n"/>
      <c r="M167" s="20" t="inlineStr">
        <is>
          <t>None</t>
        </is>
      </c>
      <c r="N167" s="17" t="n"/>
      <c r="O167" s="16" t="n"/>
      <c r="P167" s="20" t="inlineStr">
        <is>
          <t>Shimadzu TOC-L</t>
        </is>
      </c>
      <c r="Q167" s="20" t="inlineStr">
        <is>
          <t>None</t>
        </is>
      </c>
      <c r="R167" s="17" t="n"/>
      <c r="S167" s="16" t="n"/>
      <c r="T167" s="20" t="inlineStr">
        <is>
          <t>Shimadzu TOC-L</t>
        </is>
      </c>
      <c r="U167" s="20" t="inlineStr">
        <is>
          <t>None</t>
        </is>
      </c>
      <c r="V167" s="17" t="n"/>
      <c r="W167" s="16" t="n"/>
      <c r="X167" s="20" t="n"/>
      <c r="Y167" s="20" t="inlineStr">
        <is>
          <t>None</t>
        </is>
      </c>
      <c r="Z167" s="17" t="n"/>
      <c r="AA167" s="16" t="n"/>
      <c r="AB167" s="20" t="n"/>
      <c r="AC167" s="20" t="inlineStr">
        <is>
          <t>None</t>
        </is>
      </c>
      <c r="AD167" s="17" t="n"/>
      <c r="AE167" s="16" t="inlineStr">
        <is>
          <t>410</t>
        </is>
      </c>
      <c r="AF167" s="20" t="inlineStr">
        <is>
          <t>IC Anionen</t>
        </is>
      </c>
      <c r="AG167" s="20" t="inlineStr">
        <is>
          <t>None</t>
        </is>
      </c>
      <c r="AH167" s="17" t="n"/>
      <c r="AI167" s="16" t="n"/>
      <c r="AJ167" s="20" t="n"/>
      <c r="AK167" s="20" t="inlineStr">
        <is>
          <t>None</t>
        </is>
      </c>
      <c r="AL167" s="17" t="n"/>
      <c r="AM167" s="16" t="n"/>
      <c r="AN167" s="20" t="inlineStr">
        <is>
          <t>IC Anionen</t>
        </is>
      </c>
      <c r="AO167" s="20" t="inlineStr">
        <is>
          <t>None</t>
        </is>
      </c>
      <c r="AP167" s="17" t="n"/>
      <c r="AQ167" s="16" t="n"/>
      <c r="AR167" s="20" t="n"/>
      <c r="AS167" s="20" t="inlineStr">
        <is>
          <t>None</t>
        </is>
      </c>
      <c r="AT167" s="17" t="n"/>
      <c r="AU167" s="16" t="inlineStr">
        <is>
          <t>&lt;0.18</t>
        </is>
      </c>
      <c r="AV167" s="20" t="inlineStr">
        <is>
          <t>IC Anionen</t>
        </is>
      </c>
      <c r="AW167" s="20" t="inlineStr">
        <is>
          <t>None</t>
        </is>
      </c>
      <c r="AX167" s="17" t="n"/>
      <c r="AY167" s="16" t="inlineStr">
        <is>
          <t>2.08</t>
        </is>
      </c>
      <c r="AZ167" s="20" t="inlineStr">
        <is>
          <t>IC Anionen</t>
        </is>
      </c>
      <c r="BA167" s="20" t="inlineStr">
        <is>
          <t>None</t>
        </is>
      </c>
      <c r="BB167" s="17" t="n"/>
      <c r="BC167" s="16" t="inlineStr">
        <is>
          <t>117</t>
        </is>
      </c>
      <c r="BD167" s="20" t="inlineStr">
        <is>
          <t>IC Kationen</t>
        </is>
      </c>
      <c r="BE167" s="20" t="inlineStr">
        <is>
          <t>None</t>
        </is>
      </c>
      <c r="BF167" s="17" t="n"/>
      <c r="BG167" s="16" t="inlineStr">
        <is>
          <t>&lt;1.60</t>
        </is>
      </c>
      <c r="BH167" s="20" t="inlineStr">
        <is>
          <t>IC Kationen</t>
        </is>
      </c>
      <c r="BI167" s="20" t="inlineStr">
        <is>
          <t>None</t>
        </is>
      </c>
      <c r="BJ167" s="17" t="n"/>
      <c r="BK167" s="16" t="inlineStr">
        <is>
          <t>14.9</t>
        </is>
      </c>
      <c r="BL167" s="20" t="inlineStr">
        <is>
          <t>IC Kationen</t>
        </is>
      </c>
      <c r="BM167" s="20" t="inlineStr">
        <is>
          <t>None</t>
        </is>
      </c>
      <c r="BN167" s="17" t="n"/>
      <c r="BO167" s="16" t="inlineStr">
        <is>
          <t>205</t>
        </is>
      </c>
      <c r="BP167" s="20" t="inlineStr">
        <is>
          <t>IC Kationen</t>
        </is>
      </c>
      <c r="BQ167" s="20" t="inlineStr">
        <is>
          <t>None</t>
        </is>
      </c>
      <c r="BR167" s="17" t="n"/>
      <c r="BS167" s="16" t="inlineStr">
        <is>
          <t>28.5</t>
        </is>
      </c>
      <c r="BT167" s="20" t="inlineStr">
        <is>
          <t>IC Kationen</t>
        </is>
      </c>
      <c r="BU167" s="20" t="inlineStr">
        <is>
          <t>None</t>
        </is>
      </c>
      <c r="BV167" s="17" t="n"/>
      <c r="BW167" s="16" t="n"/>
      <c r="BX167" s="20" t="n"/>
      <c r="BY167" s="20" t="inlineStr">
        <is>
          <t>None</t>
        </is>
      </c>
      <c r="BZ167" s="17" t="n"/>
      <c r="CA167" s="16" t="n"/>
      <c r="CB167" s="20" t="n"/>
      <c r="CC167" s="20" t="inlineStr">
        <is>
          <t>None</t>
        </is>
      </c>
      <c r="CD167" s="17" t="n"/>
      <c r="CE167" s="16" t="n"/>
      <c r="CF167" s="20" t="n"/>
      <c r="CG167" s="20" t="inlineStr">
        <is>
          <t>None</t>
        </is>
      </c>
      <c r="CH167" s="17" t="n"/>
      <c r="CI167" s="16" t="n"/>
      <c r="CJ167" s="20" t="n"/>
      <c r="CK167" s="20" t="inlineStr">
        <is>
          <t>None</t>
        </is>
      </c>
      <c r="CL167" s="17" t="n"/>
      <c r="CM167" s="16" t="n"/>
      <c r="CN167" s="20" t="inlineStr">
        <is>
          <t>SOP 45-34</t>
        </is>
      </c>
      <c r="CO167" s="20" t="inlineStr">
        <is>
          <t>None</t>
        </is>
      </c>
      <c r="CP167" s="17" t="n"/>
      <c r="CQ167" s="16" t="n"/>
      <c r="CR167" s="20" t="n"/>
      <c r="CS167" s="20" t="inlineStr">
        <is>
          <t>None</t>
        </is>
      </c>
      <c r="CT167" s="17" t="n"/>
      <c r="CU167" s="16" t="n"/>
      <c r="CV167" s="20" t="n"/>
      <c r="CW167" s="20" t="inlineStr">
        <is>
          <t>None</t>
        </is>
      </c>
      <c r="CX167" s="17" t="n"/>
      <c r="CY167" s="16" t="n"/>
      <c r="CZ167" s="20" t="inlineStr">
        <is>
          <t>WTW Multimeter 3430 with FDO 925</t>
        </is>
      </c>
      <c r="DA167" s="20" t="inlineStr">
        <is>
          <t>None</t>
        </is>
      </c>
      <c r="DB167" s="17" t="n"/>
      <c r="DC167" s="16" t="n"/>
      <c r="DD167" s="20" t="n"/>
      <c r="DE167" s="20" t="inlineStr">
        <is>
          <t>None</t>
        </is>
      </c>
      <c r="DF167" s="17" t="n"/>
      <c r="DG167" s="16" t="n"/>
      <c r="DH167" s="20" t="inlineStr">
        <is>
          <t>SOP 45-09</t>
        </is>
      </c>
      <c r="DI167" s="20" t="inlineStr">
        <is>
          <t>None</t>
        </is>
      </c>
      <c r="DJ167" s="17" t="n"/>
      <c r="DK167" s="16" t="n"/>
      <c r="DL167" s="20" t="inlineStr">
        <is>
          <t>SOP 45-09 (SOP muss noch angepasst werden für VSS)</t>
        </is>
      </c>
      <c r="DM167" s="20" t="inlineStr">
        <is>
          <t>None</t>
        </is>
      </c>
      <c r="DN167" s="17" t="n"/>
      <c r="DO167" s="16" t="n"/>
      <c r="DP167" s="20" t="inlineStr">
        <is>
          <t>IC Organic Acids</t>
        </is>
      </c>
      <c r="DQ167" s="20" t="inlineStr">
        <is>
          <t>None</t>
        </is>
      </c>
      <c r="DR167" s="17" t="n"/>
      <c r="DS167" s="16" t="n"/>
      <c r="DT167" s="20" t="inlineStr">
        <is>
          <t>IC Organic Acids</t>
        </is>
      </c>
      <c r="DU167" s="20" t="inlineStr">
        <is>
          <t>None</t>
        </is>
      </c>
      <c r="DV167" s="17" t="n"/>
      <c r="DW167" s="16" t="n"/>
      <c r="DX167" s="20" t="inlineStr">
        <is>
          <t>IC Organic Acids</t>
        </is>
      </c>
      <c r="DY167" s="20" t="inlineStr">
        <is>
          <t>None</t>
        </is>
      </c>
      <c r="DZ167" s="17" t="n"/>
      <c r="EA167" s="16" t="n"/>
      <c r="EB167" s="20" t="inlineStr">
        <is>
          <t>IC Organic Acids</t>
        </is>
      </c>
      <c r="EC167" s="20" t="inlineStr">
        <is>
          <t>None</t>
        </is>
      </c>
      <c r="ED167" s="17" t="n"/>
      <c r="EE167" s="16" t="n"/>
      <c r="EF167" s="20" t="inlineStr">
        <is>
          <t>IC Organic Acids</t>
        </is>
      </c>
      <c r="EG167" s="20" t="inlineStr">
        <is>
          <t>None</t>
        </is>
      </c>
      <c r="EH167" s="17" t="n"/>
      <c r="EI167" s="16" t="n"/>
      <c r="EJ167" s="20" t="inlineStr">
        <is>
          <t>IC Organic Acids</t>
        </is>
      </c>
      <c r="EK167" s="20" t="inlineStr">
        <is>
          <t>None</t>
        </is>
      </c>
      <c r="EL167" s="17" t="n"/>
      <c r="EM167" s="16" t="n"/>
      <c r="EN167" s="20" t="inlineStr">
        <is>
          <t>IC Organic Acids</t>
        </is>
      </c>
      <c r="EO167" s="20" t="inlineStr">
        <is>
          <t>None</t>
        </is>
      </c>
      <c r="EP167" s="17" t="n"/>
      <c r="EQ167" s="16" t="n"/>
      <c r="ER167" s="20" t="inlineStr">
        <is>
          <t>IC Organic Acids</t>
        </is>
      </c>
      <c r="ES167" s="20" t="inlineStr">
        <is>
          <t>None</t>
        </is>
      </c>
      <c r="ET167" s="17" t="n"/>
      <c r="EU167" s="16" t="n"/>
      <c r="EV167" s="20" t="inlineStr">
        <is>
          <t>LC-MS</t>
        </is>
      </c>
      <c r="EW167" s="20" t="inlineStr">
        <is>
          <t>None</t>
        </is>
      </c>
      <c r="EX167" s="17" t="n"/>
      <c r="EY167" s="21" t="n"/>
      <c r="EZ167">
        <f>CONCATENATE(A167,B167)</f>
        <v/>
      </c>
      <c r="FA167">
        <f>CONCATENATE(SamplesX!A167,SamplesX!B167)</f>
        <v/>
      </c>
      <c r="FC167">
        <f>MATCH(EZ167,FA1:FA1008,0)</f>
        <v/>
      </c>
    </row>
    <row r="168">
      <c r="A168" s="16" t="inlineStr">
        <is>
          <t>BP</t>
        </is>
      </c>
      <c r="B168" s="17" t="inlineStr">
        <is>
          <t>25160</t>
        </is>
      </c>
      <c r="C168" s="10">
        <f>IF(ISNUMBER(FC168),INDIRECT("SamplesX!C"&amp;FC168),IF(ISNUMBER(FD168),INDIRECT("SamplesY!C"&amp;FD168),""))</f>
        <v/>
      </c>
      <c r="D168" s="12">
        <f>IF(ISNUMBER(FC168),INDIRECT("SamplesX!D"&amp;FC168),IF(ISNUMBER(FD168),INDIRECT("SamplesY!D"&amp;FD168),""))</f>
        <v/>
      </c>
      <c r="E168" s="12">
        <f>IF(ISNUMBER(FC168),INDIRECT("SamplesX!E"&amp;FC168),IF(ISNUMBER(FD168),INDIRECT("SamplesY!E"&amp;FD168),""))</f>
        <v/>
      </c>
      <c r="F168" s="11">
        <f>IF(ISNUMBER(FC168),INDIRECT("SamplesX!F"&amp;FC168),IF(ISNUMBER(FD168),INDIRECT("SamplesY!F"&amp;FD168),""))</f>
        <v/>
      </c>
      <c r="G168" s="18">
        <f>IF(ISNUMBER(FC168),INDIRECT("SamplesX!G"&amp;FC168),IF(ISNUMBER(FD168),INDIRECT("SamplesY!G"&amp;FD168),""))</f>
        <v/>
      </c>
      <c r="H168" s="19">
        <f>IF(ISNUMBER(FC168),INDIRECT("SamplesX!H"&amp;FC168),IF(ISNUMBER(FD168),INDIRECT("SamplesY!H"&amp;FD168),""))</f>
        <v/>
      </c>
      <c r="I168" s="16" t="n"/>
      <c r="J168" s="16" t="n"/>
      <c r="K168" s="16" t="n"/>
      <c r="L168" s="20" t="n"/>
      <c r="M168" s="20" t="inlineStr">
        <is>
          <t>None</t>
        </is>
      </c>
      <c r="N168" s="17" t="n"/>
      <c r="O168" s="16" t="n"/>
      <c r="P168" s="20" t="inlineStr">
        <is>
          <t>Shimadzu TOC-L</t>
        </is>
      </c>
      <c r="Q168" s="20" t="inlineStr">
        <is>
          <t>None</t>
        </is>
      </c>
      <c r="R168" s="17" t="n"/>
      <c r="S168" s="16" t="n"/>
      <c r="T168" s="20" t="inlineStr">
        <is>
          <t>Shimadzu TOC-L</t>
        </is>
      </c>
      <c r="U168" s="20" t="inlineStr">
        <is>
          <t>None</t>
        </is>
      </c>
      <c r="V168" s="17" t="n"/>
      <c r="W168" s="16" t="n"/>
      <c r="X168" s="20" t="n"/>
      <c r="Y168" s="20" t="inlineStr">
        <is>
          <t>None</t>
        </is>
      </c>
      <c r="Z168" s="17" t="n"/>
      <c r="AA168" s="16" t="n"/>
      <c r="AB168" s="20" t="n"/>
      <c r="AC168" s="20" t="inlineStr">
        <is>
          <t>None</t>
        </is>
      </c>
      <c r="AD168" s="17" t="n"/>
      <c r="AE168" s="16" t="inlineStr">
        <is>
          <t>184</t>
        </is>
      </c>
      <c r="AF168" s="20" t="inlineStr">
        <is>
          <t>IC Anionen</t>
        </is>
      </c>
      <c r="AG168" s="20" t="inlineStr">
        <is>
          <t>None</t>
        </is>
      </c>
      <c r="AH168" s="17" t="n"/>
      <c r="AI168" s="16" t="n"/>
      <c r="AJ168" s="20" t="n"/>
      <c r="AK168" s="20" t="inlineStr">
        <is>
          <t>None</t>
        </is>
      </c>
      <c r="AL168" s="17" t="n"/>
      <c r="AM168" s="16" t="n"/>
      <c r="AN168" s="20" t="inlineStr">
        <is>
          <t>IC Anionen</t>
        </is>
      </c>
      <c r="AO168" s="20" t="inlineStr">
        <is>
          <t>None</t>
        </is>
      </c>
      <c r="AP168" s="17" t="n"/>
      <c r="AQ168" s="16" t="n"/>
      <c r="AR168" s="20" t="n"/>
      <c r="AS168" s="20" t="inlineStr">
        <is>
          <t>None</t>
        </is>
      </c>
      <c r="AT168" s="17" t="n"/>
      <c r="AU168" s="16" t="inlineStr">
        <is>
          <t>0.73</t>
        </is>
      </c>
      <c r="AV168" s="20" t="inlineStr">
        <is>
          <t>IC Anionen</t>
        </is>
      </c>
      <c r="AW168" s="20" t="inlineStr">
        <is>
          <t>None</t>
        </is>
      </c>
      <c r="AX168" s="17" t="n"/>
      <c r="AY168" s="16" t="inlineStr">
        <is>
          <t>10.3</t>
        </is>
      </c>
      <c r="AZ168" s="20" t="inlineStr">
        <is>
          <t>IC Anionen</t>
        </is>
      </c>
      <c r="BA168" s="20" t="inlineStr">
        <is>
          <t>None</t>
        </is>
      </c>
      <c r="BB168" s="17" t="n"/>
      <c r="BC168" s="16" t="inlineStr">
        <is>
          <t>120</t>
        </is>
      </c>
      <c r="BD168" s="20" t="inlineStr">
        <is>
          <t>IC Kationen</t>
        </is>
      </c>
      <c r="BE168" s="20" t="inlineStr">
        <is>
          <t>None</t>
        </is>
      </c>
      <c r="BF168" s="17" t="n"/>
      <c r="BG168" s="16" t="inlineStr">
        <is>
          <t>&lt;1.60</t>
        </is>
      </c>
      <c r="BH168" s="20" t="inlineStr">
        <is>
          <t>IC Kationen</t>
        </is>
      </c>
      <c r="BI168" s="20" t="inlineStr">
        <is>
          <t>None</t>
        </is>
      </c>
      <c r="BJ168" s="17" t="n"/>
      <c r="BK168" s="16" t="inlineStr">
        <is>
          <t>13.8</t>
        </is>
      </c>
      <c r="BL168" s="20" t="inlineStr">
        <is>
          <t>IC Kationen</t>
        </is>
      </c>
      <c r="BM168" s="20" t="inlineStr">
        <is>
          <t>None</t>
        </is>
      </c>
      <c r="BN168" s="17" t="n"/>
      <c r="BO168" s="16" t="inlineStr">
        <is>
          <t>200</t>
        </is>
      </c>
      <c r="BP168" s="20" t="inlineStr">
        <is>
          <t>IC Kationen</t>
        </is>
      </c>
      <c r="BQ168" s="20" t="inlineStr">
        <is>
          <t>None</t>
        </is>
      </c>
      <c r="BR168" s="17" t="n"/>
      <c r="BS168" s="16" t="inlineStr">
        <is>
          <t>28.8</t>
        </is>
      </c>
      <c r="BT168" s="20" t="inlineStr">
        <is>
          <t>IC Kationen</t>
        </is>
      </c>
      <c r="BU168" s="20" t="inlineStr">
        <is>
          <t>None</t>
        </is>
      </c>
      <c r="BV168" s="17" t="n"/>
      <c r="BW168" s="16" t="n"/>
      <c r="BX168" s="20" t="n"/>
      <c r="BY168" s="20" t="inlineStr">
        <is>
          <t>None</t>
        </is>
      </c>
      <c r="BZ168" s="17" t="n"/>
      <c r="CA168" s="16" t="n"/>
      <c r="CB168" s="20" t="n"/>
      <c r="CC168" s="20" t="inlineStr">
        <is>
          <t>None</t>
        </is>
      </c>
      <c r="CD168" s="17" t="n"/>
      <c r="CE168" s="16" t="n"/>
      <c r="CF168" s="20" t="n"/>
      <c r="CG168" s="20" t="inlineStr">
        <is>
          <t>None</t>
        </is>
      </c>
      <c r="CH168" s="17" t="n"/>
      <c r="CI168" s="16" t="n"/>
      <c r="CJ168" s="20" t="n"/>
      <c r="CK168" s="20" t="inlineStr">
        <is>
          <t>None</t>
        </is>
      </c>
      <c r="CL168" s="17" t="n"/>
      <c r="CM168" s="16" t="n"/>
      <c r="CN168" s="20" t="inlineStr">
        <is>
          <t>SOP 45-34</t>
        </is>
      </c>
      <c r="CO168" s="20" t="inlineStr">
        <is>
          <t>None</t>
        </is>
      </c>
      <c r="CP168" s="17" t="n"/>
      <c r="CQ168" s="16" t="n"/>
      <c r="CR168" s="20" t="n"/>
      <c r="CS168" s="20" t="inlineStr">
        <is>
          <t>None</t>
        </is>
      </c>
      <c r="CT168" s="17" t="n"/>
      <c r="CU168" s="16" t="n"/>
      <c r="CV168" s="20" t="n"/>
      <c r="CW168" s="20" t="inlineStr">
        <is>
          <t>None</t>
        </is>
      </c>
      <c r="CX168" s="17" t="n"/>
      <c r="CY168" s="16" t="n"/>
      <c r="CZ168" s="20" t="inlineStr">
        <is>
          <t>WTW Multimeter 3430 with FDO 925</t>
        </is>
      </c>
      <c r="DA168" s="20" t="inlineStr">
        <is>
          <t>None</t>
        </is>
      </c>
      <c r="DB168" s="17" t="n"/>
      <c r="DC168" s="16" t="n"/>
      <c r="DD168" s="20" t="n"/>
      <c r="DE168" s="20" t="inlineStr">
        <is>
          <t>None</t>
        </is>
      </c>
      <c r="DF168" s="17" t="n"/>
      <c r="DG168" s="16" t="n"/>
      <c r="DH168" s="20" t="inlineStr">
        <is>
          <t>SOP 45-09</t>
        </is>
      </c>
      <c r="DI168" s="20" t="inlineStr">
        <is>
          <t>None</t>
        </is>
      </c>
      <c r="DJ168" s="17" t="n"/>
      <c r="DK168" s="16" t="n"/>
      <c r="DL168" s="20" t="inlineStr">
        <is>
          <t>SOP 45-09 (SOP muss noch angepasst werden für VSS)</t>
        </is>
      </c>
      <c r="DM168" s="20" t="inlineStr">
        <is>
          <t>None</t>
        </is>
      </c>
      <c r="DN168" s="17" t="n"/>
      <c r="DO168" s="16" t="n"/>
      <c r="DP168" s="20" t="inlineStr">
        <is>
          <t>IC Organic Acids</t>
        </is>
      </c>
      <c r="DQ168" s="20" t="inlineStr">
        <is>
          <t>None</t>
        </is>
      </c>
      <c r="DR168" s="17" t="n"/>
      <c r="DS168" s="16" t="n"/>
      <c r="DT168" s="20" t="inlineStr">
        <is>
          <t>IC Organic Acids</t>
        </is>
      </c>
      <c r="DU168" s="20" t="inlineStr">
        <is>
          <t>None</t>
        </is>
      </c>
      <c r="DV168" s="17" t="n"/>
      <c r="DW168" s="16" t="n"/>
      <c r="DX168" s="20" t="inlineStr">
        <is>
          <t>IC Organic Acids</t>
        </is>
      </c>
      <c r="DY168" s="20" t="inlineStr">
        <is>
          <t>None</t>
        </is>
      </c>
      <c r="DZ168" s="17" t="n"/>
      <c r="EA168" s="16" t="n"/>
      <c r="EB168" s="20" t="inlineStr">
        <is>
          <t>IC Organic Acids</t>
        </is>
      </c>
      <c r="EC168" s="20" t="inlineStr">
        <is>
          <t>None</t>
        </is>
      </c>
      <c r="ED168" s="17" t="n"/>
      <c r="EE168" s="16" t="n"/>
      <c r="EF168" s="20" t="inlineStr">
        <is>
          <t>IC Organic Acids</t>
        </is>
      </c>
      <c r="EG168" s="20" t="inlineStr">
        <is>
          <t>None</t>
        </is>
      </c>
      <c r="EH168" s="17" t="n"/>
      <c r="EI168" s="16" t="n"/>
      <c r="EJ168" s="20" t="inlineStr">
        <is>
          <t>IC Organic Acids</t>
        </is>
      </c>
      <c r="EK168" s="20" t="inlineStr">
        <is>
          <t>None</t>
        </is>
      </c>
      <c r="EL168" s="17" t="n"/>
      <c r="EM168" s="16" t="n"/>
      <c r="EN168" s="20" t="inlineStr">
        <is>
          <t>IC Organic Acids</t>
        </is>
      </c>
      <c r="EO168" s="20" t="inlineStr">
        <is>
          <t>None</t>
        </is>
      </c>
      <c r="EP168" s="17" t="n"/>
      <c r="EQ168" s="16" t="n"/>
      <c r="ER168" s="20" t="inlineStr">
        <is>
          <t>IC Organic Acids</t>
        </is>
      </c>
      <c r="ES168" s="20" t="inlineStr">
        <is>
          <t>None</t>
        </is>
      </c>
      <c r="ET168" s="17" t="n"/>
      <c r="EU168" s="16" t="n"/>
      <c r="EV168" s="20" t="inlineStr">
        <is>
          <t>LC-MS</t>
        </is>
      </c>
      <c r="EW168" s="20" t="inlineStr">
        <is>
          <t>None</t>
        </is>
      </c>
      <c r="EX168" s="17" t="n"/>
      <c r="EY168" s="21" t="n"/>
      <c r="EZ168">
        <f>CONCATENATE(A168,B168)</f>
        <v/>
      </c>
      <c r="FA168">
        <f>CONCATENATE(SamplesX!A168,SamplesX!B168)</f>
        <v/>
      </c>
      <c r="FC168">
        <f>MATCH(EZ168,FA1:FA1008,0)</f>
        <v/>
      </c>
    </row>
    <row r="169">
      <c r="A169" s="16" t="inlineStr">
        <is>
          <t>BP</t>
        </is>
      </c>
      <c r="B169" s="17" t="inlineStr">
        <is>
          <t>25161</t>
        </is>
      </c>
      <c r="C169" s="10">
        <f>IF(ISNUMBER(FC169),INDIRECT("SamplesX!C"&amp;FC169),IF(ISNUMBER(FD169),INDIRECT("SamplesY!C"&amp;FD169),""))</f>
        <v/>
      </c>
      <c r="D169" s="12">
        <f>IF(ISNUMBER(FC169),INDIRECT("SamplesX!D"&amp;FC169),IF(ISNUMBER(FD169),INDIRECT("SamplesY!D"&amp;FD169),""))</f>
        <v/>
      </c>
      <c r="E169" s="12">
        <f>IF(ISNUMBER(FC169),INDIRECT("SamplesX!E"&amp;FC169),IF(ISNUMBER(FD169),INDIRECT("SamplesY!E"&amp;FD169),""))</f>
        <v/>
      </c>
      <c r="F169" s="11">
        <f>IF(ISNUMBER(FC169),INDIRECT("SamplesX!F"&amp;FC169),IF(ISNUMBER(FD169),INDIRECT("SamplesY!F"&amp;FD169),""))</f>
        <v/>
      </c>
      <c r="G169" s="18">
        <f>IF(ISNUMBER(FC169),INDIRECT("SamplesX!G"&amp;FC169),IF(ISNUMBER(FD169),INDIRECT("SamplesY!G"&amp;FD169),""))</f>
        <v/>
      </c>
      <c r="H169" s="19">
        <f>IF(ISNUMBER(FC169),INDIRECT("SamplesX!H"&amp;FC169),IF(ISNUMBER(FD169),INDIRECT("SamplesY!H"&amp;FD169),""))</f>
        <v/>
      </c>
      <c r="I169" s="16" t="n"/>
      <c r="J169" s="16" t="n"/>
      <c r="K169" s="16" t="n"/>
      <c r="L169" s="20" t="n"/>
      <c r="M169" s="20" t="inlineStr">
        <is>
          <t>None</t>
        </is>
      </c>
      <c r="N169" s="17" t="n"/>
      <c r="O169" s="16" t="n"/>
      <c r="P169" s="20" t="inlineStr">
        <is>
          <t>Shimadzu TOC-L</t>
        </is>
      </c>
      <c r="Q169" s="20" t="inlineStr">
        <is>
          <t>None</t>
        </is>
      </c>
      <c r="R169" s="17" t="n"/>
      <c r="S169" s="16" t="n"/>
      <c r="T169" s="20" t="inlineStr">
        <is>
          <t>Shimadzu TOC-L</t>
        </is>
      </c>
      <c r="U169" s="20" t="inlineStr">
        <is>
          <t>None</t>
        </is>
      </c>
      <c r="V169" s="17" t="n"/>
      <c r="W169" s="16" t="n"/>
      <c r="X169" s="20" t="n"/>
      <c r="Y169" s="20" t="inlineStr">
        <is>
          <t>None</t>
        </is>
      </c>
      <c r="Z169" s="17" t="n"/>
      <c r="AA169" s="16" t="n"/>
      <c r="AB169" s="20" t="n"/>
      <c r="AC169" s="20" t="inlineStr">
        <is>
          <t>None</t>
        </is>
      </c>
      <c r="AD169" s="17" t="n"/>
      <c r="AE169" s="16" t="inlineStr">
        <is>
          <t>286</t>
        </is>
      </c>
      <c r="AF169" s="20" t="inlineStr">
        <is>
          <t>IC Anionen</t>
        </is>
      </c>
      <c r="AG169" s="20" t="inlineStr">
        <is>
          <t>None</t>
        </is>
      </c>
      <c r="AH169" s="17" t="n"/>
      <c r="AI169" s="16" t="n"/>
      <c r="AJ169" s="20" t="n"/>
      <c r="AK169" s="20" t="inlineStr">
        <is>
          <t>None</t>
        </is>
      </c>
      <c r="AL169" s="17" t="n"/>
      <c r="AM169" s="16" t="n"/>
      <c r="AN169" s="20" t="inlineStr">
        <is>
          <t>IC Anionen</t>
        </is>
      </c>
      <c r="AO169" s="20" t="inlineStr">
        <is>
          <t>None</t>
        </is>
      </c>
      <c r="AP169" s="17" t="n"/>
      <c r="AQ169" s="16" t="n"/>
      <c r="AR169" s="20" t="n"/>
      <c r="AS169" s="20" t="inlineStr">
        <is>
          <t>None</t>
        </is>
      </c>
      <c r="AT169" s="17" t="n"/>
      <c r="AU169" s="16" t="inlineStr">
        <is>
          <t>18.5</t>
        </is>
      </c>
      <c r="AV169" s="20" t="inlineStr">
        <is>
          <t>IC Anionen</t>
        </is>
      </c>
      <c r="AW169" s="20" t="inlineStr">
        <is>
          <t>None</t>
        </is>
      </c>
      <c r="AX169" s="17" t="n"/>
      <c r="AY169" s="16" t="inlineStr">
        <is>
          <t>2.55</t>
        </is>
      </c>
      <c r="AZ169" s="20" t="inlineStr">
        <is>
          <t>IC Anionen</t>
        </is>
      </c>
      <c r="BA169" s="20" t="inlineStr">
        <is>
          <t>None</t>
        </is>
      </c>
      <c r="BB169" s="17" t="n"/>
      <c r="BC169" s="16" t="inlineStr">
        <is>
          <t>163</t>
        </is>
      </c>
      <c r="BD169" s="20" t="inlineStr">
        <is>
          <t>IC Kationen</t>
        </is>
      </c>
      <c r="BE169" s="20" t="inlineStr">
        <is>
          <t>None</t>
        </is>
      </c>
      <c r="BF169" s="17" t="n"/>
      <c r="BG169" s="16" t="inlineStr">
        <is>
          <t>75.2</t>
        </is>
      </c>
      <c r="BH169" s="20" t="inlineStr">
        <is>
          <t>IC Kationen</t>
        </is>
      </c>
      <c r="BI169" s="20" t="inlineStr">
        <is>
          <t>None</t>
        </is>
      </c>
      <c r="BJ169" s="17" t="n"/>
      <c r="BK169" s="16" t="inlineStr">
        <is>
          <t>18.7</t>
        </is>
      </c>
      <c r="BL169" s="20" t="inlineStr">
        <is>
          <t>IC Kationen</t>
        </is>
      </c>
      <c r="BM169" s="20" t="inlineStr">
        <is>
          <t>None</t>
        </is>
      </c>
      <c r="BN169" s="17" t="n"/>
      <c r="BO169" s="16" t="inlineStr">
        <is>
          <t>270</t>
        </is>
      </c>
      <c r="BP169" s="20" t="inlineStr">
        <is>
          <t>IC Kationen</t>
        </is>
      </c>
      <c r="BQ169" s="20" t="inlineStr">
        <is>
          <t>None</t>
        </is>
      </c>
      <c r="BR169" s="17" t="n"/>
      <c r="BS169" s="16" t="inlineStr">
        <is>
          <t>36.2</t>
        </is>
      </c>
      <c r="BT169" s="20" t="inlineStr">
        <is>
          <t>IC Kationen</t>
        </is>
      </c>
      <c r="BU169" s="20" t="inlineStr">
        <is>
          <t>None</t>
        </is>
      </c>
      <c r="BV169" s="17" t="n"/>
      <c r="BW169" s="16" t="n"/>
      <c r="BX169" s="20" t="n"/>
      <c r="BY169" s="20" t="inlineStr">
        <is>
          <t>None</t>
        </is>
      </c>
      <c r="BZ169" s="17" t="n"/>
      <c r="CA169" s="16" t="n"/>
      <c r="CB169" s="20" t="n"/>
      <c r="CC169" s="20" t="inlineStr">
        <is>
          <t>None</t>
        </is>
      </c>
      <c r="CD169" s="17" t="n"/>
      <c r="CE169" s="16" t="n"/>
      <c r="CF169" s="20" t="n"/>
      <c r="CG169" s="20" t="inlineStr">
        <is>
          <t>None</t>
        </is>
      </c>
      <c r="CH169" s="17" t="n"/>
      <c r="CI169" s="16" t="n"/>
      <c r="CJ169" s="20" t="n"/>
      <c r="CK169" s="20" t="inlineStr">
        <is>
          <t>None</t>
        </is>
      </c>
      <c r="CL169" s="17" t="n"/>
      <c r="CM169" s="16" t="n"/>
      <c r="CN169" s="20" t="inlineStr">
        <is>
          <t>SOP 45-34</t>
        </is>
      </c>
      <c r="CO169" s="20" t="inlineStr">
        <is>
          <t>None</t>
        </is>
      </c>
      <c r="CP169" s="17" t="n"/>
      <c r="CQ169" s="16" t="n"/>
      <c r="CR169" s="20" t="n"/>
      <c r="CS169" s="20" t="inlineStr">
        <is>
          <t>None</t>
        </is>
      </c>
      <c r="CT169" s="17" t="n"/>
      <c r="CU169" s="16" t="n"/>
      <c r="CV169" s="20" t="n"/>
      <c r="CW169" s="20" t="inlineStr">
        <is>
          <t>None</t>
        </is>
      </c>
      <c r="CX169" s="17" t="n"/>
      <c r="CY169" s="16" t="n"/>
      <c r="CZ169" s="20" t="inlineStr">
        <is>
          <t>WTW Multimeter 3430 with FDO 925</t>
        </is>
      </c>
      <c r="DA169" s="20" t="inlineStr">
        <is>
          <t>None</t>
        </is>
      </c>
      <c r="DB169" s="17" t="n"/>
      <c r="DC169" s="16" t="n"/>
      <c r="DD169" s="20" t="n"/>
      <c r="DE169" s="20" t="inlineStr">
        <is>
          <t>None</t>
        </is>
      </c>
      <c r="DF169" s="17" t="n"/>
      <c r="DG169" s="16" t="n"/>
      <c r="DH169" s="20" t="inlineStr">
        <is>
          <t>SOP 45-09</t>
        </is>
      </c>
      <c r="DI169" s="20" t="inlineStr">
        <is>
          <t>None</t>
        </is>
      </c>
      <c r="DJ169" s="17" t="n"/>
      <c r="DK169" s="16" t="n"/>
      <c r="DL169" s="20" t="inlineStr">
        <is>
          <t>SOP 45-09 (SOP muss noch angepasst werden für VSS)</t>
        </is>
      </c>
      <c r="DM169" s="20" t="inlineStr">
        <is>
          <t>None</t>
        </is>
      </c>
      <c r="DN169" s="17" t="n"/>
      <c r="DO169" s="16" t="n"/>
      <c r="DP169" s="20" t="inlineStr">
        <is>
          <t>IC Organic Acids</t>
        </is>
      </c>
      <c r="DQ169" s="20" t="inlineStr">
        <is>
          <t>None</t>
        </is>
      </c>
      <c r="DR169" s="17" t="n"/>
      <c r="DS169" s="16" t="n"/>
      <c r="DT169" s="20" t="inlineStr">
        <is>
          <t>IC Organic Acids</t>
        </is>
      </c>
      <c r="DU169" s="20" t="inlineStr">
        <is>
          <t>None</t>
        </is>
      </c>
      <c r="DV169" s="17" t="n"/>
      <c r="DW169" s="16" t="n"/>
      <c r="DX169" s="20" t="inlineStr">
        <is>
          <t>IC Organic Acids</t>
        </is>
      </c>
      <c r="DY169" s="20" t="inlineStr">
        <is>
          <t>None</t>
        </is>
      </c>
      <c r="DZ169" s="17" t="n"/>
      <c r="EA169" s="16" t="n"/>
      <c r="EB169" s="20" t="inlineStr">
        <is>
          <t>IC Organic Acids</t>
        </is>
      </c>
      <c r="EC169" s="20" t="inlineStr">
        <is>
          <t>None</t>
        </is>
      </c>
      <c r="ED169" s="17" t="n"/>
      <c r="EE169" s="16" t="n"/>
      <c r="EF169" s="20" t="inlineStr">
        <is>
          <t>IC Organic Acids</t>
        </is>
      </c>
      <c r="EG169" s="20" t="inlineStr">
        <is>
          <t>None</t>
        </is>
      </c>
      <c r="EH169" s="17" t="n"/>
      <c r="EI169" s="16" t="n"/>
      <c r="EJ169" s="20" t="inlineStr">
        <is>
          <t>IC Organic Acids</t>
        </is>
      </c>
      <c r="EK169" s="20" t="inlineStr">
        <is>
          <t>None</t>
        </is>
      </c>
      <c r="EL169" s="17" t="n"/>
      <c r="EM169" s="16" t="n"/>
      <c r="EN169" s="20" t="inlineStr">
        <is>
          <t>IC Organic Acids</t>
        </is>
      </c>
      <c r="EO169" s="20" t="inlineStr">
        <is>
          <t>None</t>
        </is>
      </c>
      <c r="EP169" s="17" t="n"/>
      <c r="EQ169" s="16" t="n"/>
      <c r="ER169" s="20" t="inlineStr">
        <is>
          <t>IC Organic Acids</t>
        </is>
      </c>
      <c r="ES169" s="20" t="inlineStr">
        <is>
          <t>None</t>
        </is>
      </c>
      <c r="ET169" s="17" t="n"/>
      <c r="EU169" s="16" t="n"/>
      <c r="EV169" s="20" t="inlineStr">
        <is>
          <t>LC-MS</t>
        </is>
      </c>
      <c r="EW169" s="20" t="inlineStr">
        <is>
          <t>None</t>
        </is>
      </c>
      <c r="EX169" s="17" t="n"/>
      <c r="EY169" s="21" t="n"/>
      <c r="EZ169">
        <f>CONCATENATE(A169,B169)</f>
        <v/>
      </c>
      <c r="FA169">
        <f>CONCATENATE(SamplesX!A169,SamplesX!B169)</f>
        <v/>
      </c>
      <c r="FC169">
        <f>MATCH(EZ169,FA1:FA1008,0)</f>
        <v/>
      </c>
    </row>
    <row r="170">
      <c r="A170" s="16" t="inlineStr">
        <is>
          <t>BP</t>
        </is>
      </c>
      <c r="B170" s="17" t="inlineStr">
        <is>
          <t>25162</t>
        </is>
      </c>
      <c r="C170" s="10">
        <f>IF(ISNUMBER(FC170),INDIRECT("SamplesX!C"&amp;FC170),IF(ISNUMBER(FD170),INDIRECT("SamplesY!C"&amp;FD170),""))</f>
        <v/>
      </c>
      <c r="D170" s="12">
        <f>IF(ISNUMBER(FC170),INDIRECT("SamplesX!D"&amp;FC170),IF(ISNUMBER(FD170),INDIRECT("SamplesY!D"&amp;FD170),""))</f>
        <v/>
      </c>
      <c r="E170" s="12">
        <f>IF(ISNUMBER(FC170),INDIRECT("SamplesX!E"&amp;FC170),IF(ISNUMBER(FD170),INDIRECT("SamplesY!E"&amp;FD170),""))</f>
        <v/>
      </c>
      <c r="F170" s="11">
        <f>IF(ISNUMBER(FC170),INDIRECT("SamplesX!F"&amp;FC170),IF(ISNUMBER(FD170),INDIRECT("SamplesY!F"&amp;FD170),""))</f>
        <v/>
      </c>
      <c r="G170" s="18">
        <f>IF(ISNUMBER(FC170),INDIRECT("SamplesX!G"&amp;FC170),IF(ISNUMBER(FD170),INDIRECT("SamplesY!G"&amp;FD170),""))</f>
        <v/>
      </c>
      <c r="H170" s="19">
        <f>IF(ISNUMBER(FC170),INDIRECT("SamplesX!H"&amp;FC170),IF(ISNUMBER(FD170),INDIRECT("SamplesY!H"&amp;FD170),""))</f>
        <v/>
      </c>
      <c r="I170" s="16" t="n"/>
      <c r="J170" s="16" t="n"/>
      <c r="K170" s="16" t="n"/>
      <c r="L170" s="20" t="n"/>
      <c r="M170" s="20" t="inlineStr">
        <is>
          <t>None</t>
        </is>
      </c>
      <c r="N170" s="17" t="n"/>
      <c r="O170" s="16" t="n"/>
      <c r="P170" s="20" t="inlineStr">
        <is>
          <t>Shimadzu TOC-L</t>
        </is>
      </c>
      <c r="Q170" s="20" t="inlineStr">
        <is>
          <t>None</t>
        </is>
      </c>
      <c r="R170" s="17" t="n"/>
      <c r="S170" s="16" t="n"/>
      <c r="T170" s="20" t="inlineStr">
        <is>
          <t>Shimadzu TOC-L</t>
        </is>
      </c>
      <c r="U170" s="20" t="inlineStr">
        <is>
          <t>None</t>
        </is>
      </c>
      <c r="V170" s="17" t="n"/>
      <c r="W170" s="16" t="n"/>
      <c r="X170" s="20" t="n"/>
      <c r="Y170" s="20" t="inlineStr">
        <is>
          <t>None</t>
        </is>
      </c>
      <c r="Z170" s="17" t="n"/>
      <c r="AA170" s="16" t="n"/>
      <c r="AB170" s="20" t="n"/>
      <c r="AC170" s="20" t="inlineStr">
        <is>
          <t>None</t>
        </is>
      </c>
      <c r="AD170" s="17" t="n"/>
      <c r="AE170" s="16" t="inlineStr">
        <is>
          <t>367</t>
        </is>
      </c>
      <c r="AF170" s="20" t="inlineStr">
        <is>
          <t>IC Anionen</t>
        </is>
      </c>
      <c r="AG170" s="20" t="inlineStr">
        <is>
          <t>None</t>
        </is>
      </c>
      <c r="AH170" s="17" t="n"/>
      <c r="AI170" s="16" t="n"/>
      <c r="AJ170" s="20" t="n"/>
      <c r="AK170" s="20" t="inlineStr">
        <is>
          <t>None</t>
        </is>
      </c>
      <c r="AL170" s="17" t="n"/>
      <c r="AM170" s="16" t="n"/>
      <c r="AN170" s="20" t="inlineStr">
        <is>
          <t>IC Anionen</t>
        </is>
      </c>
      <c r="AO170" s="20" t="inlineStr">
        <is>
          <t>None</t>
        </is>
      </c>
      <c r="AP170" s="17" t="n"/>
      <c r="AQ170" s="16" t="n"/>
      <c r="AR170" s="20" t="n"/>
      <c r="AS170" s="20" t="inlineStr">
        <is>
          <t>None</t>
        </is>
      </c>
      <c r="AT170" s="17" t="n"/>
      <c r="AU170" s="16" t="inlineStr">
        <is>
          <t>&lt;0.18</t>
        </is>
      </c>
      <c r="AV170" s="20" t="inlineStr">
        <is>
          <t>IC Anionen</t>
        </is>
      </c>
      <c r="AW170" s="20" t="inlineStr">
        <is>
          <t>None</t>
        </is>
      </c>
      <c r="AX170" s="17" t="n"/>
      <c r="AY170" s="16" t="inlineStr">
        <is>
          <t>&lt;0.80</t>
        </is>
      </c>
      <c r="AZ170" s="20" t="inlineStr">
        <is>
          <t>IC Anionen</t>
        </is>
      </c>
      <c r="BA170" s="20" t="inlineStr">
        <is>
          <t>None</t>
        </is>
      </c>
      <c r="BB170" s="17" t="n"/>
      <c r="BC170" s="16" t="inlineStr">
        <is>
          <t>146</t>
        </is>
      </c>
      <c r="BD170" s="20" t="inlineStr">
        <is>
          <t>IC Kationen</t>
        </is>
      </c>
      <c r="BE170" s="20" t="inlineStr">
        <is>
          <t>None</t>
        </is>
      </c>
      <c r="BF170" s="17" t="n"/>
      <c r="BG170" s="16" t="inlineStr">
        <is>
          <t>62.2</t>
        </is>
      </c>
      <c r="BH170" s="20" t="inlineStr">
        <is>
          <t>IC Kationen</t>
        </is>
      </c>
      <c r="BI170" s="20" t="inlineStr">
        <is>
          <t>None</t>
        </is>
      </c>
      <c r="BJ170" s="17" t="n"/>
      <c r="BK170" s="16" t="inlineStr">
        <is>
          <t>18.3</t>
        </is>
      </c>
      <c r="BL170" s="20" t="inlineStr">
        <is>
          <t>IC Kationen</t>
        </is>
      </c>
      <c r="BM170" s="20" t="inlineStr">
        <is>
          <t>None</t>
        </is>
      </c>
      <c r="BN170" s="17" t="n"/>
      <c r="BO170" s="16" t="inlineStr">
        <is>
          <t>266</t>
        </is>
      </c>
      <c r="BP170" s="20" t="inlineStr">
        <is>
          <t>IC Kationen</t>
        </is>
      </c>
      <c r="BQ170" s="20" t="inlineStr">
        <is>
          <t>None</t>
        </is>
      </c>
      <c r="BR170" s="17" t="n"/>
      <c r="BS170" s="16" t="inlineStr">
        <is>
          <t>32.4</t>
        </is>
      </c>
      <c r="BT170" s="20" t="inlineStr">
        <is>
          <t>IC Kationen</t>
        </is>
      </c>
      <c r="BU170" s="20" t="inlineStr">
        <is>
          <t>None</t>
        </is>
      </c>
      <c r="BV170" s="17" t="n"/>
      <c r="BW170" s="16" t="n"/>
      <c r="BX170" s="20" t="n"/>
      <c r="BY170" s="20" t="inlineStr">
        <is>
          <t>None</t>
        </is>
      </c>
      <c r="BZ170" s="17" t="n"/>
      <c r="CA170" s="16" t="n"/>
      <c r="CB170" s="20" t="n"/>
      <c r="CC170" s="20" t="inlineStr">
        <is>
          <t>None</t>
        </is>
      </c>
      <c r="CD170" s="17" t="n"/>
      <c r="CE170" s="16" t="n"/>
      <c r="CF170" s="20" t="n"/>
      <c r="CG170" s="20" t="inlineStr">
        <is>
          <t>None</t>
        </is>
      </c>
      <c r="CH170" s="17" t="n"/>
      <c r="CI170" s="16" t="n"/>
      <c r="CJ170" s="20" t="n"/>
      <c r="CK170" s="20" t="inlineStr">
        <is>
          <t>None</t>
        </is>
      </c>
      <c r="CL170" s="17" t="n"/>
      <c r="CM170" s="16" t="n"/>
      <c r="CN170" s="20" t="inlineStr">
        <is>
          <t>SOP 45-34</t>
        </is>
      </c>
      <c r="CO170" s="20" t="inlineStr">
        <is>
          <t>None</t>
        </is>
      </c>
      <c r="CP170" s="17" t="n"/>
      <c r="CQ170" s="16" t="n"/>
      <c r="CR170" s="20" t="n"/>
      <c r="CS170" s="20" t="inlineStr">
        <is>
          <t>None</t>
        </is>
      </c>
      <c r="CT170" s="17" t="n"/>
      <c r="CU170" s="16" t="n"/>
      <c r="CV170" s="20" t="n"/>
      <c r="CW170" s="20" t="inlineStr">
        <is>
          <t>None</t>
        </is>
      </c>
      <c r="CX170" s="17" t="n"/>
      <c r="CY170" s="16" t="n"/>
      <c r="CZ170" s="20" t="inlineStr">
        <is>
          <t>WTW Multimeter 3430 with FDO 925</t>
        </is>
      </c>
      <c r="DA170" s="20" t="inlineStr">
        <is>
          <t>None</t>
        </is>
      </c>
      <c r="DB170" s="17" t="n"/>
      <c r="DC170" s="16" t="n"/>
      <c r="DD170" s="20" t="n"/>
      <c r="DE170" s="20" t="inlineStr">
        <is>
          <t>None</t>
        </is>
      </c>
      <c r="DF170" s="17" t="n"/>
      <c r="DG170" s="16" t="n"/>
      <c r="DH170" s="20" t="inlineStr">
        <is>
          <t>SOP 45-09</t>
        </is>
      </c>
      <c r="DI170" s="20" t="inlineStr">
        <is>
          <t>None</t>
        </is>
      </c>
      <c r="DJ170" s="17" t="n"/>
      <c r="DK170" s="16" t="n"/>
      <c r="DL170" s="20" t="inlineStr">
        <is>
          <t>SOP 45-09 (SOP muss noch angepasst werden für VSS)</t>
        </is>
      </c>
      <c r="DM170" s="20" t="inlineStr">
        <is>
          <t>None</t>
        </is>
      </c>
      <c r="DN170" s="17" t="n"/>
      <c r="DO170" s="16" t="n"/>
      <c r="DP170" s="20" t="inlineStr">
        <is>
          <t>IC Organic Acids</t>
        </is>
      </c>
      <c r="DQ170" s="20" t="inlineStr">
        <is>
          <t>None</t>
        </is>
      </c>
      <c r="DR170" s="17" t="n"/>
      <c r="DS170" s="16" t="n"/>
      <c r="DT170" s="20" t="inlineStr">
        <is>
          <t>IC Organic Acids</t>
        </is>
      </c>
      <c r="DU170" s="20" t="inlineStr">
        <is>
          <t>None</t>
        </is>
      </c>
      <c r="DV170" s="17" t="n"/>
      <c r="DW170" s="16" t="n"/>
      <c r="DX170" s="20" t="inlineStr">
        <is>
          <t>IC Organic Acids</t>
        </is>
      </c>
      <c r="DY170" s="20" t="inlineStr">
        <is>
          <t>None</t>
        </is>
      </c>
      <c r="DZ170" s="17" t="n"/>
      <c r="EA170" s="16" t="n"/>
      <c r="EB170" s="20" t="inlineStr">
        <is>
          <t>IC Organic Acids</t>
        </is>
      </c>
      <c r="EC170" s="20" t="inlineStr">
        <is>
          <t>None</t>
        </is>
      </c>
      <c r="ED170" s="17" t="n"/>
      <c r="EE170" s="16" t="n"/>
      <c r="EF170" s="20" t="inlineStr">
        <is>
          <t>IC Organic Acids</t>
        </is>
      </c>
      <c r="EG170" s="20" t="inlineStr">
        <is>
          <t>None</t>
        </is>
      </c>
      <c r="EH170" s="17" t="n"/>
      <c r="EI170" s="16" t="n"/>
      <c r="EJ170" s="20" t="inlineStr">
        <is>
          <t>IC Organic Acids</t>
        </is>
      </c>
      <c r="EK170" s="20" t="inlineStr">
        <is>
          <t>None</t>
        </is>
      </c>
      <c r="EL170" s="17" t="n"/>
      <c r="EM170" s="16" t="n"/>
      <c r="EN170" s="20" t="inlineStr">
        <is>
          <t>IC Organic Acids</t>
        </is>
      </c>
      <c r="EO170" s="20" t="inlineStr">
        <is>
          <t>None</t>
        </is>
      </c>
      <c r="EP170" s="17" t="n"/>
      <c r="EQ170" s="16" t="n"/>
      <c r="ER170" s="20" t="inlineStr">
        <is>
          <t>IC Organic Acids</t>
        </is>
      </c>
      <c r="ES170" s="20" t="inlineStr">
        <is>
          <t>None</t>
        </is>
      </c>
      <c r="ET170" s="17" t="n"/>
      <c r="EU170" s="16" t="n"/>
      <c r="EV170" s="20" t="inlineStr">
        <is>
          <t>LC-MS</t>
        </is>
      </c>
      <c r="EW170" s="20" t="inlineStr">
        <is>
          <t>None</t>
        </is>
      </c>
      <c r="EX170" s="17" t="n"/>
      <c r="EY170" s="21" t="n"/>
      <c r="EZ170">
        <f>CONCATENATE(A170,B170)</f>
        <v/>
      </c>
      <c r="FA170">
        <f>CONCATENATE(SamplesX!A170,SamplesX!B170)</f>
        <v/>
      </c>
      <c r="FC170">
        <f>MATCH(EZ170,FA1:FA1008,0)</f>
        <v/>
      </c>
    </row>
    <row r="171">
      <c r="A171" s="16" t="inlineStr">
        <is>
          <t>BP</t>
        </is>
      </c>
      <c r="B171" s="17" t="inlineStr">
        <is>
          <t>25163</t>
        </is>
      </c>
      <c r="C171" s="10">
        <f>IF(ISNUMBER(FC171),INDIRECT("SamplesX!C"&amp;FC171),IF(ISNUMBER(FD171),INDIRECT("SamplesY!C"&amp;FD171),""))</f>
        <v/>
      </c>
      <c r="D171" s="12">
        <f>IF(ISNUMBER(FC171),INDIRECT("SamplesX!D"&amp;FC171),IF(ISNUMBER(FD171),INDIRECT("SamplesY!D"&amp;FD171),""))</f>
        <v/>
      </c>
      <c r="E171" s="12">
        <f>IF(ISNUMBER(FC171),INDIRECT("SamplesX!E"&amp;FC171),IF(ISNUMBER(FD171),INDIRECT("SamplesY!E"&amp;FD171),""))</f>
        <v/>
      </c>
      <c r="F171" s="11">
        <f>IF(ISNUMBER(FC171),INDIRECT("SamplesX!F"&amp;FC171),IF(ISNUMBER(FD171),INDIRECT("SamplesY!F"&amp;FD171),""))</f>
        <v/>
      </c>
      <c r="G171" s="18">
        <f>IF(ISNUMBER(FC171),INDIRECT("SamplesX!G"&amp;FC171),IF(ISNUMBER(FD171),INDIRECT("SamplesY!G"&amp;FD171),""))</f>
        <v/>
      </c>
      <c r="H171" s="19">
        <f>IF(ISNUMBER(FC171),INDIRECT("SamplesX!H"&amp;FC171),IF(ISNUMBER(FD171),INDIRECT("SamplesY!H"&amp;FD171),""))</f>
        <v/>
      </c>
      <c r="I171" s="16" t="n"/>
      <c r="J171" s="16" t="n"/>
      <c r="K171" s="16" t="n"/>
      <c r="L171" s="20" t="n"/>
      <c r="M171" s="20" t="inlineStr">
        <is>
          <t>None</t>
        </is>
      </c>
      <c r="N171" s="17" t="n"/>
      <c r="O171" s="16" t="n"/>
      <c r="P171" s="20" t="inlineStr">
        <is>
          <t>Shimadzu TOC-L</t>
        </is>
      </c>
      <c r="Q171" s="20" t="inlineStr">
        <is>
          <t>None</t>
        </is>
      </c>
      <c r="R171" s="17" t="n"/>
      <c r="S171" s="16" t="n"/>
      <c r="T171" s="20" t="inlineStr">
        <is>
          <t>Shimadzu TOC-L</t>
        </is>
      </c>
      <c r="U171" s="20" t="inlineStr">
        <is>
          <t>None</t>
        </is>
      </c>
      <c r="V171" s="17" t="n"/>
      <c r="W171" s="16" t="n"/>
      <c r="X171" s="20" t="n"/>
      <c r="Y171" s="20" t="inlineStr">
        <is>
          <t>None</t>
        </is>
      </c>
      <c r="Z171" s="17" t="n"/>
      <c r="AA171" s="16" t="n"/>
      <c r="AB171" s="20" t="n"/>
      <c r="AC171" s="20" t="inlineStr">
        <is>
          <t>None</t>
        </is>
      </c>
      <c r="AD171" s="17" t="n"/>
      <c r="AE171" s="16" t="inlineStr">
        <is>
          <t>354</t>
        </is>
      </c>
      <c r="AF171" s="20" t="inlineStr">
        <is>
          <t>IC Anionen</t>
        </is>
      </c>
      <c r="AG171" s="20" t="inlineStr">
        <is>
          <t>None</t>
        </is>
      </c>
      <c r="AH171" s="17" t="n"/>
      <c r="AI171" s="16" t="n"/>
      <c r="AJ171" s="20" t="n"/>
      <c r="AK171" s="20" t="inlineStr">
        <is>
          <t>None</t>
        </is>
      </c>
      <c r="AL171" s="17" t="n"/>
      <c r="AM171" s="16" t="n"/>
      <c r="AN171" s="20" t="inlineStr">
        <is>
          <t>IC Anionen</t>
        </is>
      </c>
      <c r="AO171" s="20" t="inlineStr">
        <is>
          <t>None</t>
        </is>
      </c>
      <c r="AP171" s="17" t="n"/>
      <c r="AQ171" s="16" t="n"/>
      <c r="AR171" s="20" t="n"/>
      <c r="AS171" s="20" t="inlineStr">
        <is>
          <t>None</t>
        </is>
      </c>
      <c r="AT171" s="17" t="n"/>
      <c r="AU171" s="16" t="inlineStr">
        <is>
          <t>&lt;0.18</t>
        </is>
      </c>
      <c r="AV171" s="20" t="inlineStr">
        <is>
          <t>IC Anionen</t>
        </is>
      </c>
      <c r="AW171" s="20" t="inlineStr">
        <is>
          <t>None</t>
        </is>
      </c>
      <c r="AX171" s="17" t="n"/>
      <c r="AY171" s="16" t="inlineStr">
        <is>
          <t>&lt;0.80</t>
        </is>
      </c>
      <c r="AZ171" s="20" t="inlineStr">
        <is>
          <t>IC Anionen</t>
        </is>
      </c>
      <c r="BA171" s="20" t="inlineStr">
        <is>
          <t>None</t>
        </is>
      </c>
      <c r="BB171" s="17" t="n"/>
      <c r="BC171" s="16" t="inlineStr">
        <is>
          <t>142</t>
        </is>
      </c>
      <c r="BD171" s="20" t="inlineStr">
        <is>
          <t>IC Kationen</t>
        </is>
      </c>
      <c r="BE171" s="20" t="inlineStr">
        <is>
          <t>None</t>
        </is>
      </c>
      <c r="BF171" s="17" t="n"/>
      <c r="BG171" s="16" t="inlineStr">
        <is>
          <t>18.5</t>
        </is>
      </c>
      <c r="BH171" s="20" t="inlineStr">
        <is>
          <t>IC Kationen</t>
        </is>
      </c>
      <c r="BI171" s="20" t="inlineStr">
        <is>
          <t>None</t>
        </is>
      </c>
      <c r="BJ171" s="17" t="n"/>
      <c r="BK171" s="16" t="inlineStr">
        <is>
          <t>14.9</t>
        </is>
      </c>
      <c r="BL171" s="20" t="inlineStr">
        <is>
          <t>IC Kationen</t>
        </is>
      </c>
      <c r="BM171" s="20" t="inlineStr">
        <is>
          <t>None</t>
        </is>
      </c>
      <c r="BN171" s="17" t="n"/>
      <c r="BO171" s="16" t="inlineStr">
        <is>
          <t>143</t>
        </is>
      </c>
      <c r="BP171" s="20" t="inlineStr">
        <is>
          <t>IC Kationen</t>
        </is>
      </c>
      <c r="BQ171" s="20" t="inlineStr">
        <is>
          <t>None</t>
        </is>
      </c>
      <c r="BR171" s="17" t="n"/>
      <c r="BS171" s="16" t="inlineStr">
        <is>
          <t>31.2</t>
        </is>
      </c>
      <c r="BT171" s="20" t="inlineStr">
        <is>
          <t>IC Kationen</t>
        </is>
      </c>
      <c r="BU171" s="20" t="inlineStr">
        <is>
          <t>None</t>
        </is>
      </c>
      <c r="BV171" s="17" t="n"/>
      <c r="BW171" s="16" t="n"/>
      <c r="BX171" s="20" t="n"/>
      <c r="BY171" s="20" t="inlineStr">
        <is>
          <t>None</t>
        </is>
      </c>
      <c r="BZ171" s="17" t="n"/>
      <c r="CA171" s="16" t="n"/>
      <c r="CB171" s="20" t="n"/>
      <c r="CC171" s="20" t="inlineStr">
        <is>
          <t>None</t>
        </is>
      </c>
      <c r="CD171" s="17" t="n"/>
      <c r="CE171" s="16" t="n"/>
      <c r="CF171" s="20" t="n"/>
      <c r="CG171" s="20" t="inlineStr">
        <is>
          <t>None</t>
        </is>
      </c>
      <c r="CH171" s="17" t="n"/>
      <c r="CI171" s="16" t="n"/>
      <c r="CJ171" s="20" t="n"/>
      <c r="CK171" s="20" t="inlineStr">
        <is>
          <t>None</t>
        </is>
      </c>
      <c r="CL171" s="17" t="n"/>
      <c r="CM171" s="16" t="n"/>
      <c r="CN171" s="20" t="inlineStr">
        <is>
          <t>SOP 45-34</t>
        </is>
      </c>
      <c r="CO171" s="20" t="inlineStr">
        <is>
          <t>None</t>
        </is>
      </c>
      <c r="CP171" s="17" t="n"/>
      <c r="CQ171" s="16" t="n"/>
      <c r="CR171" s="20" t="n"/>
      <c r="CS171" s="20" t="inlineStr">
        <is>
          <t>None</t>
        </is>
      </c>
      <c r="CT171" s="17" t="n"/>
      <c r="CU171" s="16" t="n"/>
      <c r="CV171" s="20" t="n"/>
      <c r="CW171" s="20" t="inlineStr">
        <is>
          <t>None</t>
        </is>
      </c>
      <c r="CX171" s="17" t="n"/>
      <c r="CY171" s="16" t="n"/>
      <c r="CZ171" s="20" t="inlineStr">
        <is>
          <t>WTW Multimeter 3430 with FDO 925</t>
        </is>
      </c>
      <c r="DA171" s="20" t="inlineStr">
        <is>
          <t>None</t>
        </is>
      </c>
      <c r="DB171" s="17" t="n"/>
      <c r="DC171" s="16" t="n"/>
      <c r="DD171" s="20" t="n"/>
      <c r="DE171" s="20" t="inlineStr">
        <is>
          <t>None</t>
        </is>
      </c>
      <c r="DF171" s="17" t="n"/>
      <c r="DG171" s="16" t="n"/>
      <c r="DH171" s="20" t="inlineStr">
        <is>
          <t>SOP 45-09</t>
        </is>
      </c>
      <c r="DI171" s="20" t="inlineStr">
        <is>
          <t>None</t>
        </is>
      </c>
      <c r="DJ171" s="17" t="n"/>
      <c r="DK171" s="16" t="n"/>
      <c r="DL171" s="20" t="inlineStr">
        <is>
          <t>SOP 45-09 (SOP muss noch angepasst werden für VSS)</t>
        </is>
      </c>
      <c r="DM171" s="20" t="inlineStr">
        <is>
          <t>None</t>
        </is>
      </c>
      <c r="DN171" s="17" t="n"/>
      <c r="DO171" s="16" t="n"/>
      <c r="DP171" s="20" t="inlineStr">
        <is>
          <t>IC Organic Acids</t>
        </is>
      </c>
      <c r="DQ171" s="20" t="inlineStr">
        <is>
          <t>None</t>
        </is>
      </c>
      <c r="DR171" s="17" t="n"/>
      <c r="DS171" s="16" t="n"/>
      <c r="DT171" s="20" t="inlineStr">
        <is>
          <t>IC Organic Acids</t>
        </is>
      </c>
      <c r="DU171" s="20" t="inlineStr">
        <is>
          <t>None</t>
        </is>
      </c>
      <c r="DV171" s="17" t="n"/>
      <c r="DW171" s="16" t="n"/>
      <c r="DX171" s="20" t="inlineStr">
        <is>
          <t>IC Organic Acids</t>
        </is>
      </c>
      <c r="DY171" s="20" t="inlineStr">
        <is>
          <t>None</t>
        </is>
      </c>
      <c r="DZ171" s="17" t="n"/>
      <c r="EA171" s="16" t="n"/>
      <c r="EB171" s="20" t="inlineStr">
        <is>
          <t>IC Organic Acids</t>
        </is>
      </c>
      <c r="EC171" s="20" t="inlineStr">
        <is>
          <t>None</t>
        </is>
      </c>
      <c r="ED171" s="17" t="n"/>
      <c r="EE171" s="16" t="n"/>
      <c r="EF171" s="20" t="inlineStr">
        <is>
          <t>IC Organic Acids</t>
        </is>
      </c>
      <c r="EG171" s="20" t="inlineStr">
        <is>
          <t>None</t>
        </is>
      </c>
      <c r="EH171" s="17" t="n"/>
      <c r="EI171" s="16" t="n"/>
      <c r="EJ171" s="20" t="inlineStr">
        <is>
          <t>IC Organic Acids</t>
        </is>
      </c>
      <c r="EK171" s="20" t="inlineStr">
        <is>
          <t>None</t>
        </is>
      </c>
      <c r="EL171" s="17" t="n"/>
      <c r="EM171" s="16" t="n"/>
      <c r="EN171" s="20" t="inlineStr">
        <is>
          <t>IC Organic Acids</t>
        </is>
      </c>
      <c r="EO171" s="20" t="inlineStr">
        <is>
          <t>None</t>
        </is>
      </c>
      <c r="EP171" s="17" t="n"/>
      <c r="EQ171" s="16" t="n"/>
      <c r="ER171" s="20" t="inlineStr">
        <is>
          <t>IC Organic Acids</t>
        </is>
      </c>
      <c r="ES171" s="20" t="inlineStr">
        <is>
          <t>None</t>
        </is>
      </c>
      <c r="ET171" s="17" t="n"/>
      <c r="EU171" s="16" t="n"/>
      <c r="EV171" s="20" t="inlineStr">
        <is>
          <t>LC-MS</t>
        </is>
      </c>
      <c r="EW171" s="20" t="inlineStr">
        <is>
          <t>None</t>
        </is>
      </c>
      <c r="EX171" s="17" t="n"/>
      <c r="EY171" s="21" t="n"/>
      <c r="EZ171">
        <f>CONCATENATE(A171,B171)</f>
        <v/>
      </c>
      <c r="FA171">
        <f>CONCATENATE(SamplesX!A171,SamplesX!B171)</f>
        <v/>
      </c>
      <c r="FC171">
        <f>MATCH(EZ171,FA1:FA1008,0)</f>
        <v/>
      </c>
    </row>
    <row r="172">
      <c r="A172" s="16" t="inlineStr">
        <is>
          <t>BP</t>
        </is>
      </c>
      <c r="B172" s="17" t="inlineStr">
        <is>
          <t>25164</t>
        </is>
      </c>
      <c r="C172" s="10">
        <f>IF(ISNUMBER(FC172),INDIRECT("SamplesX!C"&amp;FC172),IF(ISNUMBER(FD172),INDIRECT("SamplesY!C"&amp;FD172),""))</f>
        <v/>
      </c>
      <c r="D172" s="12">
        <f>IF(ISNUMBER(FC172),INDIRECT("SamplesX!D"&amp;FC172),IF(ISNUMBER(FD172),INDIRECT("SamplesY!D"&amp;FD172),""))</f>
        <v/>
      </c>
      <c r="E172" s="12">
        <f>IF(ISNUMBER(FC172),INDIRECT("SamplesX!E"&amp;FC172),IF(ISNUMBER(FD172),INDIRECT("SamplesY!E"&amp;FD172),""))</f>
        <v/>
      </c>
      <c r="F172" s="11">
        <f>IF(ISNUMBER(FC172),INDIRECT("SamplesX!F"&amp;FC172),IF(ISNUMBER(FD172),INDIRECT("SamplesY!F"&amp;FD172),""))</f>
        <v/>
      </c>
      <c r="G172" s="18">
        <f>IF(ISNUMBER(FC172),INDIRECT("SamplesX!G"&amp;FC172),IF(ISNUMBER(FD172),INDIRECT("SamplesY!G"&amp;FD172),""))</f>
        <v/>
      </c>
      <c r="H172" s="19">
        <f>IF(ISNUMBER(FC172),INDIRECT("SamplesX!H"&amp;FC172),IF(ISNUMBER(FD172),INDIRECT("SamplesY!H"&amp;FD172),""))</f>
        <v/>
      </c>
      <c r="I172" s="16" t="n"/>
      <c r="J172" s="16" t="n"/>
      <c r="K172" s="16" t="n"/>
      <c r="L172" s="20" t="n"/>
      <c r="M172" s="20" t="inlineStr">
        <is>
          <t>None</t>
        </is>
      </c>
      <c r="N172" s="17" t="n"/>
      <c r="O172" s="16" t="n"/>
      <c r="P172" s="20" t="inlineStr">
        <is>
          <t>Shimadzu TOC-L</t>
        </is>
      </c>
      <c r="Q172" s="20" t="inlineStr">
        <is>
          <t>None</t>
        </is>
      </c>
      <c r="R172" s="17" t="n"/>
      <c r="S172" s="16" t="n"/>
      <c r="T172" s="20" t="inlineStr">
        <is>
          <t>Shimadzu TOC-L</t>
        </is>
      </c>
      <c r="U172" s="20" t="inlineStr">
        <is>
          <t>None</t>
        </is>
      </c>
      <c r="V172" s="17" t="n"/>
      <c r="W172" s="16" t="n"/>
      <c r="X172" s="20" t="n"/>
      <c r="Y172" s="20" t="inlineStr">
        <is>
          <t>None</t>
        </is>
      </c>
      <c r="Z172" s="17" t="n"/>
      <c r="AA172" s="16" t="n"/>
      <c r="AB172" s="20" t="n"/>
      <c r="AC172" s="20" t="inlineStr">
        <is>
          <t>None</t>
        </is>
      </c>
      <c r="AD172" s="17" t="n"/>
      <c r="AE172" s="16" t="inlineStr">
        <is>
          <t>271</t>
        </is>
      </c>
      <c r="AF172" s="20" t="inlineStr">
        <is>
          <t>IC Anionen</t>
        </is>
      </c>
      <c r="AG172" s="20" t="inlineStr">
        <is>
          <t>None</t>
        </is>
      </c>
      <c r="AH172" s="17" t="n"/>
      <c r="AI172" s="16" t="n"/>
      <c r="AJ172" s="20" t="n"/>
      <c r="AK172" s="20" t="inlineStr">
        <is>
          <t>None</t>
        </is>
      </c>
      <c r="AL172" s="17" t="n"/>
      <c r="AM172" s="16" t="n"/>
      <c r="AN172" s="20" t="inlineStr">
        <is>
          <t>IC Anionen</t>
        </is>
      </c>
      <c r="AO172" s="20" t="inlineStr">
        <is>
          <t>None</t>
        </is>
      </c>
      <c r="AP172" s="17" t="n"/>
      <c r="AQ172" s="16" t="n"/>
      <c r="AR172" s="20" t="n"/>
      <c r="AS172" s="20" t="inlineStr">
        <is>
          <t>None</t>
        </is>
      </c>
      <c r="AT172" s="17" t="n"/>
      <c r="AU172" s="16" t="inlineStr">
        <is>
          <t>3.02</t>
        </is>
      </c>
      <c r="AV172" s="20" t="inlineStr">
        <is>
          <t>IC Anionen</t>
        </is>
      </c>
      <c r="AW172" s="20" t="inlineStr">
        <is>
          <t>None</t>
        </is>
      </c>
      <c r="AX172" s="17" t="n"/>
      <c r="AY172" s="16" t="inlineStr">
        <is>
          <t>&lt;0.80</t>
        </is>
      </c>
      <c r="AZ172" s="20" t="inlineStr">
        <is>
          <t>IC Anionen</t>
        </is>
      </c>
      <c r="BA172" s="20" t="inlineStr">
        <is>
          <t>None</t>
        </is>
      </c>
      <c r="BB172" s="17" t="n"/>
      <c r="BC172" s="16" t="inlineStr">
        <is>
          <t>160</t>
        </is>
      </c>
      <c r="BD172" s="20" t="inlineStr">
        <is>
          <t>IC Kationen</t>
        </is>
      </c>
      <c r="BE172" s="20" t="inlineStr">
        <is>
          <t>None</t>
        </is>
      </c>
      <c r="BF172" s="17" t="n"/>
      <c r="BG172" s="16" t="inlineStr">
        <is>
          <t>18.2</t>
        </is>
      </c>
      <c r="BH172" s="20" t="inlineStr">
        <is>
          <t>IC Kationen</t>
        </is>
      </c>
      <c r="BI172" s="20" t="inlineStr">
        <is>
          <t>None</t>
        </is>
      </c>
      <c r="BJ172" s="17" t="n"/>
      <c r="BK172" s="16" t="inlineStr">
        <is>
          <t>13.8</t>
        </is>
      </c>
      <c r="BL172" s="20" t="inlineStr">
        <is>
          <t>IC Kationen</t>
        </is>
      </c>
      <c r="BM172" s="20" t="inlineStr">
        <is>
          <t>None</t>
        </is>
      </c>
      <c r="BN172" s="17" t="n"/>
      <c r="BO172" s="16" t="inlineStr">
        <is>
          <t>184</t>
        </is>
      </c>
      <c r="BP172" s="20" t="inlineStr">
        <is>
          <t>IC Kationen</t>
        </is>
      </c>
      <c r="BQ172" s="20" t="inlineStr">
        <is>
          <t>None</t>
        </is>
      </c>
      <c r="BR172" s="17" t="n"/>
      <c r="BS172" s="16" t="inlineStr">
        <is>
          <t>34.3</t>
        </is>
      </c>
      <c r="BT172" s="20" t="inlineStr">
        <is>
          <t>IC Kationen</t>
        </is>
      </c>
      <c r="BU172" s="20" t="inlineStr">
        <is>
          <t>None</t>
        </is>
      </c>
      <c r="BV172" s="17" t="n"/>
      <c r="BW172" s="16" t="n"/>
      <c r="BX172" s="20" t="n"/>
      <c r="BY172" s="20" t="inlineStr">
        <is>
          <t>None</t>
        </is>
      </c>
      <c r="BZ172" s="17" t="n"/>
      <c r="CA172" s="16" t="n"/>
      <c r="CB172" s="20" t="n"/>
      <c r="CC172" s="20" t="inlineStr">
        <is>
          <t>None</t>
        </is>
      </c>
      <c r="CD172" s="17" t="n"/>
      <c r="CE172" s="16" t="n"/>
      <c r="CF172" s="20" t="n"/>
      <c r="CG172" s="20" t="inlineStr">
        <is>
          <t>None</t>
        </is>
      </c>
      <c r="CH172" s="17" t="n"/>
      <c r="CI172" s="16" t="n"/>
      <c r="CJ172" s="20" t="n"/>
      <c r="CK172" s="20" t="inlineStr">
        <is>
          <t>None</t>
        </is>
      </c>
      <c r="CL172" s="17" t="n"/>
      <c r="CM172" s="16" t="n"/>
      <c r="CN172" s="20" t="inlineStr">
        <is>
          <t>SOP 45-34</t>
        </is>
      </c>
      <c r="CO172" s="20" t="inlineStr">
        <is>
          <t>None</t>
        </is>
      </c>
      <c r="CP172" s="17" t="n"/>
      <c r="CQ172" s="16" t="n"/>
      <c r="CR172" s="20" t="n"/>
      <c r="CS172" s="20" t="inlineStr">
        <is>
          <t>None</t>
        </is>
      </c>
      <c r="CT172" s="17" t="n"/>
      <c r="CU172" s="16" t="n"/>
      <c r="CV172" s="20" t="n"/>
      <c r="CW172" s="20" t="inlineStr">
        <is>
          <t>None</t>
        </is>
      </c>
      <c r="CX172" s="17" t="n"/>
      <c r="CY172" s="16" t="n"/>
      <c r="CZ172" s="20" t="inlineStr">
        <is>
          <t>WTW Multimeter 3430 with FDO 925</t>
        </is>
      </c>
      <c r="DA172" s="20" t="inlineStr">
        <is>
          <t>None</t>
        </is>
      </c>
      <c r="DB172" s="17" t="n"/>
      <c r="DC172" s="16" t="n"/>
      <c r="DD172" s="20" t="n"/>
      <c r="DE172" s="20" t="inlineStr">
        <is>
          <t>None</t>
        </is>
      </c>
      <c r="DF172" s="17" t="n"/>
      <c r="DG172" s="16" t="n"/>
      <c r="DH172" s="20" t="inlineStr">
        <is>
          <t>SOP 45-09</t>
        </is>
      </c>
      <c r="DI172" s="20" t="inlineStr">
        <is>
          <t>None</t>
        </is>
      </c>
      <c r="DJ172" s="17" t="n"/>
      <c r="DK172" s="16" t="n"/>
      <c r="DL172" s="20" t="inlineStr">
        <is>
          <t>SOP 45-09 (SOP muss noch angepasst werden für VSS)</t>
        </is>
      </c>
      <c r="DM172" s="20" t="inlineStr">
        <is>
          <t>None</t>
        </is>
      </c>
      <c r="DN172" s="17" t="n"/>
      <c r="DO172" s="16" t="n"/>
      <c r="DP172" s="20" t="inlineStr">
        <is>
          <t>IC Organic Acids</t>
        </is>
      </c>
      <c r="DQ172" s="20" t="inlineStr">
        <is>
          <t>None</t>
        </is>
      </c>
      <c r="DR172" s="17" t="n"/>
      <c r="DS172" s="16" t="n"/>
      <c r="DT172" s="20" t="inlineStr">
        <is>
          <t>IC Organic Acids</t>
        </is>
      </c>
      <c r="DU172" s="20" t="inlineStr">
        <is>
          <t>None</t>
        </is>
      </c>
      <c r="DV172" s="17" t="n"/>
      <c r="DW172" s="16" t="n"/>
      <c r="DX172" s="20" t="inlineStr">
        <is>
          <t>IC Organic Acids</t>
        </is>
      </c>
      <c r="DY172" s="20" t="inlineStr">
        <is>
          <t>None</t>
        </is>
      </c>
      <c r="DZ172" s="17" t="n"/>
      <c r="EA172" s="16" t="n"/>
      <c r="EB172" s="20" t="inlineStr">
        <is>
          <t>IC Organic Acids</t>
        </is>
      </c>
      <c r="EC172" s="20" t="inlineStr">
        <is>
          <t>None</t>
        </is>
      </c>
      <c r="ED172" s="17" t="n"/>
      <c r="EE172" s="16" t="n"/>
      <c r="EF172" s="20" t="inlineStr">
        <is>
          <t>IC Organic Acids</t>
        </is>
      </c>
      <c r="EG172" s="20" t="inlineStr">
        <is>
          <t>None</t>
        </is>
      </c>
      <c r="EH172" s="17" t="n"/>
      <c r="EI172" s="16" t="n"/>
      <c r="EJ172" s="20" t="inlineStr">
        <is>
          <t>IC Organic Acids</t>
        </is>
      </c>
      <c r="EK172" s="20" t="inlineStr">
        <is>
          <t>None</t>
        </is>
      </c>
      <c r="EL172" s="17" t="n"/>
      <c r="EM172" s="16" t="n"/>
      <c r="EN172" s="20" t="inlineStr">
        <is>
          <t>IC Organic Acids</t>
        </is>
      </c>
      <c r="EO172" s="20" t="inlineStr">
        <is>
          <t>None</t>
        </is>
      </c>
      <c r="EP172" s="17" t="n"/>
      <c r="EQ172" s="16" t="n"/>
      <c r="ER172" s="20" t="inlineStr">
        <is>
          <t>IC Organic Acids</t>
        </is>
      </c>
      <c r="ES172" s="20" t="inlineStr">
        <is>
          <t>None</t>
        </is>
      </c>
      <c r="ET172" s="17" t="n"/>
      <c r="EU172" s="16" t="n"/>
      <c r="EV172" s="20" t="inlineStr">
        <is>
          <t>LC-MS</t>
        </is>
      </c>
      <c r="EW172" s="20" t="inlineStr">
        <is>
          <t>None</t>
        </is>
      </c>
      <c r="EX172" s="17" t="n"/>
      <c r="EY172" s="21" t="n"/>
      <c r="EZ172">
        <f>CONCATENATE(A172,B172)</f>
        <v/>
      </c>
      <c r="FA172">
        <f>CONCATENATE(SamplesX!A172,SamplesX!B172)</f>
        <v/>
      </c>
      <c r="FC172">
        <f>MATCH(EZ172,FA1:FA1008,0)</f>
        <v/>
      </c>
    </row>
    <row r="173">
      <c r="A173" s="16" t="inlineStr">
        <is>
          <t>BP</t>
        </is>
      </c>
      <c r="B173" s="17" t="inlineStr">
        <is>
          <t>25165</t>
        </is>
      </c>
      <c r="C173" s="10">
        <f>IF(ISNUMBER(FC173),INDIRECT("SamplesX!C"&amp;FC173),IF(ISNUMBER(FD173),INDIRECT("SamplesY!C"&amp;FD173),""))</f>
        <v/>
      </c>
      <c r="D173" s="12">
        <f>IF(ISNUMBER(FC173),INDIRECT("SamplesX!D"&amp;FC173),IF(ISNUMBER(FD173),INDIRECT("SamplesY!D"&amp;FD173),""))</f>
        <v/>
      </c>
      <c r="E173" s="12">
        <f>IF(ISNUMBER(FC173),INDIRECT("SamplesX!E"&amp;FC173),IF(ISNUMBER(FD173),INDIRECT("SamplesY!E"&amp;FD173),""))</f>
        <v/>
      </c>
      <c r="F173" s="11">
        <f>IF(ISNUMBER(FC173),INDIRECT("SamplesX!F"&amp;FC173),IF(ISNUMBER(FD173),INDIRECT("SamplesY!F"&amp;FD173),""))</f>
        <v/>
      </c>
      <c r="G173" s="18">
        <f>IF(ISNUMBER(FC173),INDIRECT("SamplesX!G"&amp;FC173),IF(ISNUMBER(FD173),INDIRECT("SamplesY!G"&amp;FD173),""))</f>
        <v/>
      </c>
      <c r="H173" s="19">
        <f>IF(ISNUMBER(FC173),INDIRECT("SamplesX!H"&amp;FC173),IF(ISNUMBER(FD173),INDIRECT("SamplesY!H"&amp;FD173),""))</f>
        <v/>
      </c>
      <c r="I173" s="16" t="n"/>
      <c r="J173" s="16" t="n"/>
      <c r="K173" s="16" t="n"/>
      <c r="L173" s="20" t="n"/>
      <c r="M173" s="20" t="inlineStr">
        <is>
          <t>None</t>
        </is>
      </c>
      <c r="N173" s="17" t="n"/>
      <c r="O173" s="16" t="n"/>
      <c r="P173" s="20" t="inlineStr">
        <is>
          <t>Shimadzu TOC-L</t>
        </is>
      </c>
      <c r="Q173" s="20" t="inlineStr">
        <is>
          <t>None</t>
        </is>
      </c>
      <c r="R173" s="17" t="n"/>
      <c r="S173" s="16" t="n"/>
      <c r="T173" s="20" t="inlineStr">
        <is>
          <t>Shimadzu TOC-L</t>
        </is>
      </c>
      <c r="U173" s="20" t="inlineStr">
        <is>
          <t>None</t>
        </is>
      </c>
      <c r="V173" s="17" t="n"/>
      <c r="W173" s="16" t="n"/>
      <c r="X173" s="20" t="n"/>
      <c r="Y173" s="20" t="inlineStr">
        <is>
          <t>None</t>
        </is>
      </c>
      <c r="Z173" s="17" t="n"/>
      <c r="AA173" s="16" t="n"/>
      <c r="AB173" s="20" t="n"/>
      <c r="AC173" s="20" t="inlineStr">
        <is>
          <t>None</t>
        </is>
      </c>
      <c r="AD173" s="17" t="n"/>
      <c r="AE173" s="16" t="inlineStr">
        <is>
          <t>293</t>
        </is>
      </c>
      <c r="AF173" s="20" t="inlineStr">
        <is>
          <t>IC Anionen</t>
        </is>
      </c>
      <c r="AG173" s="20" t="inlineStr">
        <is>
          <t>None</t>
        </is>
      </c>
      <c r="AH173" s="17" t="n"/>
      <c r="AI173" s="16" t="n"/>
      <c r="AJ173" s="20" t="n"/>
      <c r="AK173" s="20" t="inlineStr">
        <is>
          <t>None</t>
        </is>
      </c>
      <c r="AL173" s="17" t="n"/>
      <c r="AM173" s="16" t="n"/>
      <c r="AN173" s="20" t="inlineStr">
        <is>
          <t>IC Anionen</t>
        </is>
      </c>
      <c r="AO173" s="20" t="inlineStr">
        <is>
          <t>None</t>
        </is>
      </c>
      <c r="AP173" s="17" t="n"/>
      <c r="AQ173" s="16" t="n"/>
      <c r="AR173" s="20" t="n"/>
      <c r="AS173" s="20" t="inlineStr">
        <is>
          <t>None</t>
        </is>
      </c>
      <c r="AT173" s="17" t="n"/>
      <c r="AU173" s="16" t="inlineStr">
        <is>
          <t>15.8</t>
        </is>
      </c>
      <c r="AV173" s="20" t="inlineStr">
        <is>
          <t>IC Anionen</t>
        </is>
      </c>
      <c r="AW173" s="20" t="inlineStr">
        <is>
          <t>None</t>
        </is>
      </c>
      <c r="AX173" s="17" t="n"/>
      <c r="AY173" s="16" t="inlineStr">
        <is>
          <t>1.76</t>
        </is>
      </c>
      <c r="AZ173" s="20" t="inlineStr">
        <is>
          <t>IC Anionen</t>
        </is>
      </c>
      <c r="BA173" s="20" t="inlineStr">
        <is>
          <t>None</t>
        </is>
      </c>
      <c r="BB173" s="17" t="n"/>
      <c r="BC173" s="16" t="inlineStr">
        <is>
          <t>173</t>
        </is>
      </c>
      <c r="BD173" s="20" t="inlineStr">
        <is>
          <t>IC Kationen</t>
        </is>
      </c>
      <c r="BE173" s="20" t="inlineStr">
        <is>
          <t>None</t>
        </is>
      </c>
      <c r="BF173" s="17" t="n"/>
      <c r="BG173" s="16" t="inlineStr">
        <is>
          <t>94.0</t>
        </is>
      </c>
      <c r="BH173" s="20" t="inlineStr">
        <is>
          <t>IC Kationen</t>
        </is>
      </c>
      <c r="BI173" s="20" t="inlineStr">
        <is>
          <t>None</t>
        </is>
      </c>
      <c r="BJ173" s="17" t="n"/>
      <c r="BK173" s="16" t="inlineStr">
        <is>
          <t>15.8</t>
        </is>
      </c>
      <c r="BL173" s="20" t="inlineStr">
        <is>
          <t>IC Kationen</t>
        </is>
      </c>
      <c r="BM173" s="20" t="inlineStr">
        <is>
          <t>None</t>
        </is>
      </c>
      <c r="BN173" s="17" t="n"/>
      <c r="BO173" s="16" t="inlineStr">
        <is>
          <t>203</t>
        </is>
      </c>
      <c r="BP173" s="20" t="inlineStr">
        <is>
          <t>IC Kationen</t>
        </is>
      </c>
      <c r="BQ173" s="20" t="inlineStr">
        <is>
          <t>None</t>
        </is>
      </c>
      <c r="BR173" s="17" t="n"/>
      <c r="BS173" s="16" t="inlineStr">
        <is>
          <t>9.29</t>
        </is>
      </c>
      <c r="BT173" s="20" t="inlineStr">
        <is>
          <t>IC Kationen</t>
        </is>
      </c>
      <c r="BU173" s="20" t="inlineStr">
        <is>
          <t>None</t>
        </is>
      </c>
      <c r="BV173" s="17" t="n"/>
      <c r="BW173" s="16" t="n"/>
      <c r="BX173" s="20" t="n"/>
      <c r="BY173" s="20" t="inlineStr">
        <is>
          <t>None</t>
        </is>
      </c>
      <c r="BZ173" s="17" t="n"/>
      <c r="CA173" s="16" t="n"/>
      <c r="CB173" s="20" t="n"/>
      <c r="CC173" s="20" t="inlineStr">
        <is>
          <t>None</t>
        </is>
      </c>
      <c r="CD173" s="17" t="n"/>
      <c r="CE173" s="16" t="n"/>
      <c r="CF173" s="20" t="n"/>
      <c r="CG173" s="20" t="inlineStr">
        <is>
          <t>None</t>
        </is>
      </c>
      <c r="CH173" s="17" t="n"/>
      <c r="CI173" s="16" t="n"/>
      <c r="CJ173" s="20" t="n"/>
      <c r="CK173" s="20" t="inlineStr">
        <is>
          <t>None</t>
        </is>
      </c>
      <c r="CL173" s="17" t="n"/>
      <c r="CM173" s="16" t="n"/>
      <c r="CN173" s="20" t="inlineStr">
        <is>
          <t>SOP 45-34</t>
        </is>
      </c>
      <c r="CO173" s="20" t="inlineStr">
        <is>
          <t>None</t>
        </is>
      </c>
      <c r="CP173" s="17" t="n"/>
      <c r="CQ173" s="16" t="n"/>
      <c r="CR173" s="20" t="n"/>
      <c r="CS173" s="20" t="inlineStr">
        <is>
          <t>None</t>
        </is>
      </c>
      <c r="CT173" s="17" t="n"/>
      <c r="CU173" s="16" t="n"/>
      <c r="CV173" s="20" t="n"/>
      <c r="CW173" s="20" t="inlineStr">
        <is>
          <t>None</t>
        </is>
      </c>
      <c r="CX173" s="17" t="n"/>
      <c r="CY173" s="16" t="n"/>
      <c r="CZ173" s="20" t="inlineStr">
        <is>
          <t>WTW Multimeter 3430 with FDO 925</t>
        </is>
      </c>
      <c r="DA173" s="20" t="inlineStr">
        <is>
          <t>None</t>
        </is>
      </c>
      <c r="DB173" s="17" t="n"/>
      <c r="DC173" s="16" t="n"/>
      <c r="DD173" s="20" t="n"/>
      <c r="DE173" s="20" t="inlineStr">
        <is>
          <t>None</t>
        </is>
      </c>
      <c r="DF173" s="17" t="n"/>
      <c r="DG173" s="16" t="n"/>
      <c r="DH173" s="20" t="inlineStr">
        <is>
          <t>SOP 45-09</t>
        </is>
      </c>
      <c r="DI173" s="20" t="inlineStr">
        <is>
          <t>None</t>
        </is>
      </c>
      <c r="DJ173" s="17" t="n"/>
      <c r="DK173" s="16" t="n"/>
      <c r="DL173" s="20" t="inlineStr">
        <is>
          <t>SOP 45-09 (SOP muss noch angepasst werden für VSS)</t>
        </is>
      </c>
      <c r="DM173" s="20" t="inlineStr">
        <is>
          <t>None</t>
        </is>
      </c>
      <c r="DN173" s="17" t="n"/>
      <c r="DO173" s="16" t="n"/>
      <c r="DP173" s="20" t="inlineStr">
        <is>
          <t>IC Organic Acids</t>
        </is>
      </c>
      <c r="DQ173" s="20" t="inlineStr">
        <is>
          <t>None</t>
        </is>
      </c>
      <c r="DR173" s="17" t="n"/>
      <c r="DS173" s="16" t="n"/>
      <c r="DT173" s="20" t="inlineStr">
        <is>
          <t>IC Organic Acids</t>
        </is>
      </c>
      <c r="DU173" s="20" t="inlineStr">
        <is>
          <t>None</t>
        </is>
      </c>
      <c r="DV173" s="17" t="n"/>
      <c r="DW173" s="16" t="n"/>
      <c r="DX173" s="20" t="inlineStr">
        <is>
          <t>IC Organic Acids</t>
        </is>
      </c>
      <c r="DY173" s="20" t="inlineStr">
        <is>
          <t>None</t>
        </is>
      </c>
      <c r="DZ173" s="17" t="n"/>
      <c r="EA173" s="16" t="n"/>
      <c r="EB173" s="20" t="inlineStr">
        <is>
          <t>IC Organic Acids</t>
        </is>
      </c>
      <c r="EC173" s="20" t="inlineStr">
        <is>
          <t>None</t>
        </is>
      </c>
      <c r="ED173" s="17" t="n"/>
      <c r="EE173" s="16" t="n"/>
      <c r="EF173" s="20" t="inlineStr">
        <is>
          <t>IC Organic Acids</t>
        </is>
      </c>
      <c r="EG173" s="20" t="inlineStr">
        <is>
          <t>None</t>
        </is>
      </c>
      <c r="EH173" s="17" t="n"/>
      <c r="EI173" s="16" t="n"/>
      <c r="EJ173" s="20" t="inlineStr">
        <is>
          <t>IC Organic Acids</t>
        </is>
      </c>
      <c r="EK173" s="20" t="inlineStr">
        <is>
          <t>None</t>
        </is>
      </c>
      <c r="EL173" s="17" t="n"/>
      <c r="EM173" s="16" t="n"/>
      <c r="EN173" s="20" t="inlineStr">
        <is>
          <t>IC Organic Acids</t>
        </is>
      </c>
      <c r="EO173" s="20" t="inlineStr">
        <is>
          <t>None</t>
        </is>
      </c>
      <c r="EP173" s="17" t="n"/>
      <c r="EQ173" s="16" t="n"/>
      <c r="ER173" s="20" t="inlineStr">
        <is>
          <t>IC Organic Acids</t>
        </is>
      </c>
      <c r="ES173" s="20" t="inlineStr">
        <is>
          <t>None</t>
        </is>
      </c>
      <c r="ET173" s="17" t="n"/>
      <c r="EU173" s="16" t="n"/>
      <c r="EV173" s="20" t="inlineStr">
        <is>
          <t>LC-MS</t>
        </is>
      </c>
      <c r="EW173" s="20" t="inlineStr">
        <is>
          <t>None</t>
        </is>
      </c>
      <c r="EX173" s="17" t="n"/>
      <c r="EY173" s="21" t="n"/>
      <c r="EZ173">
        <f>CONCATENATE(A173,B173)</f>
        <v/>
      </c>
      <c r="FA173">
        <f>CONCATENATE(SamplesX!A173,SamplesX!B173)</f>
        <v/>
      </c>
      <c r="FC173">
        <f>MATCH(EZ173,FA1:FA1008,0)</f>
        <v/>
      </c>
    </row>
    <row r="174">
      <c r="A174" s="16" t="inlineStr">
        <is>
          <t>BP</t>
        </is>
      </c>
      <c r="B174" s="17" t="inlineStr">
        <is>
          <t>25166</t>
        </is>
      </c>
      <c r="C174" s="10">
        <f>IF(ISNUMBER(FC174),INDIRECT("SamplesX!C"&amp;FC174),IF(ISNUMBER(FD174),INDIRECT("SamplesY!C"&amp;FD174),""))</f>
        <v/>
      </c>
      <c r="D174" s="12">
        <f>IF(ISNUMBER(FC174),INDIRECT("SamplesX!D"&amp;FC174),IF(ISNUMBER(FD174),INDIRECT("SamplesY!D"&amp;FD174),""))</f>
        <v/>
      </c>
      <c r="E174" s="12">
        <f>IF(ISNUMBER(FC174),INDIRECT("SamplesX!E"&amp;FC174),IF(ISNUMBER(FD174),INDIRECT("SamplesY!E"&amp;FD174),""))</f>
        <v/>
      </c>
      <c r="F174" s="11">
        <f>IF(ISNUMBER(FC174),INDIRECT("SamplesX!F"&amp;FC174),IF(ISNUMBER(FD174),INDIRECT("SamplesY!F"&amp;FD174),""))</f>
        <v/>
      </c>
      <c r="G174" s="18">
        <f>IF(ISNUMBER(FC174),INDIRECT("SamplesX!G"&amp;FC174),IF(ISNUMBER(FD174),INDIRECT("SamplesY!G"&amp;FD174),""))</f>
        <v/>
      </c>
      <c r="H174" s="19">
        <f>IF(ISNUMBER(FC174),INDIRECT("SamplesX!H"&amp;FC174),IF(ISNUMBER(FD174),INDIRECT("SamplesY!H"&amp;FD174),""))</f>
        <v/>
      </c>
      <c r="I174" s="16" t="n"/>
      <c r="J174" s="16" t="n"/>
      <c r="K174" s="16" t="n"/>
      <c r="L174" s="20" t="n"/>
      <c r="M174" s="20" t="inlineStr">
        <is>
          <t>None</t>
        </is>
      </c>
      <c r="N174" s="17" t="n"/>
      <c r="O174" s="16" t="n"/>
      <c r="P174" s="20" t="inlineStr">
        <is>
          <t>Shimadzu TOC-L</t>
        </is>
      </c>
      <c r="Q174" s="20" t="inlineStr">
        <is>
          <t>None</t>
        </is>
      </c>
      <c r="R174" s="17" t="n"/>
      <c r="S174" s="16" t="n"/>
      <c r="T174" s="20" t="inlineStr">
        <is>
          <t>Shimadzu TOC-L</t>
        </is>
      </c>
      <c r="U174" s="20" t="inlineStr">
        <is>
          <t>None</t>
        </is>
      </c>
      <c r="V174" s="17" t="n"/>
      <c r="W174" s="16" t="n"/>
      <c r="X174" s="20" t="n"/>
      <c r="Y174" s="20" t="inlineStr">
        <is>
          <t>None</t>
        </is>
      </c>
      <c r="Z174" s="17" t="n"/>
      <c r="AA174" s="16" t="n"/>
      <c r="AB174" s="20" t="n"/>
      <c r="AC174" s="20" t="inlineStr">
        <is>
          <t>None</t>
        </is>
      </c>
      <c r="AD174" s="17" t="n"/>
      <c r="AE174" s="16" t="inlineStr">
        <is>
          <t>470</t>
        </is>
      </c>
      <c r="AF174" s="20" t="inlineStr">
        <is>
          <t>IC Anionen</t>
        </is>
      </c>
      <c r="AG174" s="20" t="inlineStr">
        <is>
          <t>None</t>
        </is>
      </c>
      <c r="AH174" s="17" t="n"/>
      <c r="AI174" s="16" t="n"/>
      <c r="AJ174" s="20" t="n"/>
      <c r="AK174" s="20" t="inlineStr">
        <is>
          <t>None</t>
        </is>
      </c>
      <c r="AL174" s="17" t="n"/>
      <c r="AM174" s="16" t="n"/>
      <c r="AN174" s="20" t="inlineStr">
        <is>
          <t>IC Anionen</t>
        </is>
      </c>
      <c r="AO174" s="20" t="inlineStr">
        <is>
          <t>None</t>
        </is>
      </c>
      <c r="AP174" s="17" t="n"/>
      <c r="AQ174" s="16" t="n"/>
      <c r="AR174" s="20" t="n"/>
      <c r="AS174" s="20" t="inlineStr">
        <is>
          <t>None</t>
        </is>
      </c>
      <c r="AT174" s="17" t="n"/>
      <c r="AU174" s="16" t="inlineStr">
        <is>
          <t>&lt;0.13</t>
        </is>
      </c>
      <c r="AV174" s="20" t="inlineStr">
        <is>
          <t>IC Anionen</t>
        </is>
      </c>
      <c r="AW174" s="20" t="inlineStr">
        <is>
          <t>None</t>
        </is>
      </c>
      <c r="AX174" s="17" t="n"/>
      <c r="AY174" s="16" t="inlineStr">
        <is>
          <t>&lt;0.80</t>
        </is>
      </c>
      <c r="AZ174" s="20" t="inlineStr">
        <is>
          <t>IC Anionen</t>
        </is>
      </c>
      <c r="BA174" s="20" t="inlineStr">
        <is>
          <t>None</t>
        </is>
      </c>
      <c r="BB174" s="17" t="n"/>
      <c r="BC174" s="16" t="inlineStr">
        <is>
          <t>156</t>
        </is>
      </c>
      <c r="BD174" s="20" t="inlineStr">
        <is>
          <t>IC Kationen</t>
        </is>
      </c>
      <c r="BE174" s="20" t="inlineStr">
        <is>
          <t>None</t>
        </is>
      </c>
      <c r="BF174" s="17" t="n"/>
      <c r="BG174" s="16" t="inlineStr">
        <is>
          <t>84.8</t>
        </is>
      </c>
      <c r="BH174" s="20" t="inlineStr">
        <is>
          <t>IC Kationen</t>
        </is>
      </c>
      <c r="BI174" s="20" t="inlineStr">
        <is>
          <t>None</t>
        </is>
      </c>
      <c r="BJ174" s="17" t="n"/>
      <c r="BK174" s="16" t="inlineStr">
        <is>
          <t>19.3</t>
        </is>
      </c>
      <c r="BL174" s="20" t="inlineStr">
        <is>
          <t>IC Kationen</t>
        </is>
      </c>
      <c r="BM174" s="20" t="inlineStr">
        <is>
          <t>None</t>
        </is>
      </c>
      <c r="BN174" s="17" t="n"/>
      <c r="BO174" s="16" t="inlineStr">
        <is>
          <t>197</t>
        </is>
      </c>
      <c r="BP174" s="20" t="inlineStr">
        <is>
          <t>IC Kationen</t>
        </is>
      </c>
      <c r="BQ174" s="20" t="inlineStr">
        <is>
          <t>None</t>
        </is>
      </c>
      <c r="BR174" s="17" t="n"/>
      <c r="BS174" s="16" t="inlineStr">
        <is>
          <t>31.0</t>
        </is>
      </c>
      <c r="BT174" s="20" t="inlineStr">
        <is>
          <t>IC Kationen</t>
        </is>
      </c>
      <c r="BU174" s="20" t="inlineStr">
        <is>
          <t>None</t>
        </is>
      </c>
      <c r="BV174" s="17" t="n"/>
      <c r="BW174" s="16" t="n"/>
      <c r="BX174" s="20" t="n"/>
      <c r="BY174" s="20" t="inlineStr">
        <is>
          <t>None</t>
        </is>
      </c>
      <c r="BZ174" s="17" t="n"/>
      <c r="CA174" s="16" t="n"/>
      <c r="CB174" s="20" t="n"/>
      <c r="CC174" s="20" t="inlineStr">
        <is>
          <t>None</t>
        </is>
      </c>
      <c r="CD174" s="17" t="n"/>
      <c r="CE174" s="16" t="n"/>
      <c r="CF174" s="20" t="n"/>
      <c r="CG174" s="20" t="inlineStr">
        <is>
          <t>None</t>
        </is>
      </c>
      <c r="CH174" s="17" t="n"/>
      <c r="CI174" s="16" t="n"/>
      <c r="CJ174" s="20" t="n"/>
      <c r="CK174" s="20" t="inlineStr">
        <is>
          <t>None</t>
        </is>
      </c>
      <c r="CL174" s="17" t="n"/>
      <c r="CM174" s="16" t="n"/>
      <c r="CN174" s="20" t="inlineStr">
        <is>
          <t>SOP 45-34</t>
        </is>
      </c>
      <c r="CO174" s="20" t="inlineStr">
        <is>
          <t>None</t>
        </is>
      </c>
      <c r="CP174" s="17" t="n"/>
      <c r="CQ174" s="16" t="n"/>
      <c r="CR174" s="20" t="n"/>
      <c r="CS174" s="20" t="inlineStr">
        <is>
          <t>None</t>
        </is>
      </c>
      <c r="CT174" s="17" t="n"/>
      <c r="CU174" s="16" t="n"/>
      <c r="CV174" s="20" t="n"/>
      <c r="CW174" s="20" t="inlineStr">
        <is>
          <t>None</t>
        </is>
      </c>
      <c r="CX174" s="17" t="n"/>
      <c r="CY174" s="16" t="n"/>
      <c r="CZ174" s="20" t="inlineStr">
        <is>
          <t>WTW Multimeter 3430 with FDO 925</t>
        </is>
      </c>
      <c r="DA174" s="20" t="inlineStr">
        <is>
          <t>None</t>
        </is>
      </c>
      <c r="DB174" s="17" t="n"/>
      <c r="DC174" s="16" t="n"/>
      <c r="DD174" s="20" t="n"/>
      <c r="DE174" s="20" t="inlineStr">
        <is>
          <t>None</t>
        </is>
      </c>
      <c r="DF174" s="17" t="n"/>
      <c r="DG174" s="16" t="n"/>
      <c r="DH174" s="20" t="inlineStr">
        <is>
          <t>SOP 45-09</t>
        </is>
      </c>
      <c r="DI174" s="20" t="inlineStr">
        <is>
          <t>None</t>
        </is>
      </c>
      <c r="DJ174" s="17" t="n"/>
      <c r="DK174" s="16" t="n"/>
      <c r="DL174" s="20" t="inlineStr">
        <is>
          <t>SOP 45-09 (SOP muss noch angepasst werden für VSS)</t>
        </is>
      </c>
      <c r="DM174" s="20" t="inlineStr">
        <is>
          <t>None</t>
        </is>
      </c>
      <c r="DN174" s="17" t="n"/>
      <c r="DO174" s="16" t="n"/>
      <c r="DP174" s="20" t="inlineStr">
        <is>
          <t>IC Organic Acids</t>
        </is>
      </c>
      <c r="DQ174" s="20" t="inlineStr">
        <is>
          <t>None</t>
        </is>
      </c>
      <c r="DR174" s="17" t="n"/>
      <c r="DS174" s="16" t="n"/>
      <c r="DT174" s="20" t="inlineStr">
        <is>
          <t>IC Organic Acids</t>
        </is>
      </c>
      <c r="DU174" s="20" t="inlineStr">
        <is>
          <t>None</t>
        </is>
      </c>
      <c r="DV174" s="17" t="n"/>
      <c r="DW174" s="16" t="n"/>
      <c r="DX174" s="20" t="inlineStr">
        <is>
          <t>IC Organic Acids</t>
        </is>
      </c>
      <c r="DY174" s="20" t="inlineStr">
        <is>
          <t>None</t>
        </is>
      </c>
      <c r="DZ174" s="17" t="n"/>
      <c r="EA174" s="16" t="n"/>
      <c r="EB174" s="20" t="inlineStr">
        <is>
          <t>IC Organic Acids</t>
        </is>
      </c>
      <c r="EC174" s="20" t="inlineStr">
        <is>
          <t>None</t>
        </is>
      </c>
      <c r="ED174" s="17" t="n"/>
      <c r="EE174" s="16" t="n"/>
      <c r="EF174" s="20" t="inlineStr">
        <is>
          <t>IC Organic Acids</t>
        </is>
      </c>
      <c r="EG174" s="20" t="inlineStr">
        <is>
          <t>None</t>
        </is>
      </c>
      <c r="EH174" s="17" t="n"/>
      <c r="EI174" s="16" t="n"/>
      <c r="EJ174" s="20" t="inlineStr">
        <is>
          <t>IC Organic Acids</t>
        </is>
      </c>
      <c r="EK174" s="20" t="inlineStr">
        <is>
          <t>None</t>
        </is>
      </c>
      <c r="EL174" s="17" t="n"/>
      <c r="EM174" s="16" t="n"/>
      <c r="EN174" s="20" t="inlineStr">
        <is>
          <t>IC Organic Acids</t>
        </is>
      </c>
      <c r="EO174" s="20" t="inlineStr">
        <is>
          <t>None</t>
        </is>
      </c>
      <c r="EP174" s="17" t="n"/>
      <c r="EQ174" s="16" t="n"/>
      <c r="ER174" s="20" t="inlineStr">
        <is>
          <t>IC Organic Acids</t>
        </is>
      </c>
      <c r="ES174" s="20" t="inlineStr">
        <is>
          <t>None</t>
        </is>
      </c>
      <c r="ET174" s="17" t="n"/>
      <c r="EU174" s="16" t="n"/>
      <c r="EV174" s="20" t="inlineStr">
        <is>
          <t>LC-MS</t>
        </is>
      </c>
      <c r="EW174" s="20" t="inlineStr">
        <is>
          <t>None</t>
        </is>
      </c>
      <c r="EX174" s="17" t="n"/>
      <c r="EY174" s="21" t="n"/>
      <c r="EZ174">
        <f>CONCATENATE(A174,B174)</f>
        <v/>
      </c>
      <c r="FA174">
        <f>CONCATENATE(SamplesX!A174,SamplesX!B174)</f>
        <v/>
      </c>
      <c r="FC174">
        <f>MATCH(EZ174,FA1:FA1008,0)</f>
        <v/>
      </c>
    </row>
    <row r="175">
      <c r="A175" s="16" t="inlineStr">
        <is>
          <t>BP</t>
        </is>
      </c>
      <c r="B175" s="17" t="inlineStr">
        <is>
          <t>25167</t>
        </is>
      </c>
      <c r="C175" s="10">
        <f>IF(ISNUMBER(FC175),INDIRECT("SamplesX!C"&amp;FC175),IF(ISNUMBER(FD175),INDIRECT("SamplesY!C"&amp;FD175),""))</f>
        <v/>
      </c>
      <c r="D175" s="12">
        <f>IF(ISNUMBER(FC175),INDIRECT("SamplesX!D"&amp;FC175),IF(ISNUMBER(FD175),INDIRECT("SamplesY!D"&amp;FD175),""))</f>
        <v/>
      </c>
      <c r="E175" s="12">
        <f>IF(ISNUMBER(FC175),INDIRECT("SamplesX!E"&amp;FC175),IF(ISNUMBER(FD175),INDIRECT("SamplesY!E"&amp;FD175),""))</f>
        <v/>
      </c>
      <c r="F175" s="11">
        <f>IF(ISNUMBER(FC175),INDIRECT("SamplesX!F"&amp;FC175),IF(ISNUMBER(FD175),INDIRECT("SamplesY!F"&amp;FD175),""))</f>
        <v/>
      </c>
      <c r="G175" s="18">
        <f>IF(ISNUMBER(FC175),INDIRECT("SamplesX!G"&amp;FC175),IF(ISNUMBER(FD175),INDIRECT("SamplesY!G"&amp;FD175),""))</f>
        <v/>
      </c>
      <c r="H175" s="19">
        <f>IF(ISNUMBER(FC175),INDIRECT("SamplesX!H"&amp;FC175),IF(ISNUMBER(FD175),INDIRECT("SamplesY!H"&amp;FD175),""))</f>
        <v/>
      </c>
      <c r="I175" s="16" t="n"/>
      <c r="J175" s="16" t="n"/>
      <c r="K175" s="16" t="n"/>
      <c r="L175" s="20" t="n"/>
      <c r="M175" s="20" t="inlineStr">
        <is>
          <t>None</t>
        </is>
      </c>
      <c r="N175" s="17" t="n"/>
      <c r="O175" s="16" t="n"/>
      <c r="P175" s="20" t="inlineStr">
        <is>
          <t>Shimadzu TOC-L</t>
        </is>
      </c>
      <c r="Q175" s="20" t="inlineStr">
        <is>
          <t>None</t>
        </is>
      </c>
      <c r="R175" s="17" t="n"/>
      <c r="S175" s="16" t="n"/>
      <c r="T175" s="20" t="inlineStr">
        <is>
          <t>Shimadzu TOC-L</t>
        </is>
      </c>
      <c r="U175" s="20" t="inlineStr">
        <is>
          <t>None</t>
        </is>
      </c>
      <c r="V175" s="17" t="n"/>
      <c r="W175" s="16" t="n"/>
      <c r="X175" s="20" t="n"/>
      <c r="Y175" s="20" t="inlineStr">
        <is>
          <t>None</t>
        </is>
      </c>
      <c r="Z175" s="17" t="n"/>
      <c r="AA175" s="16" t="n"/>
      <c r="AB175" s="20" t="n"/>
      <c r="AC175" s="20" t="inlineStr">
        <is>
          <t>None</t>
        </is>
      </c>
      <c r="AD175" s="17" t="n"/>
      <c r="AE175" s="16" t="inlineStr">
        <is>
          <t>512</t>
        </is>
      </c>
      <c r="AF175" s="20" t="inlineStr">
        <is>
          <t>IC Anionen</t>
        </is>
      </c>
      <c r="AG175" s="20" t="inlineStr">
        <is>
          <t>None</t>
        </is>
      </c>
      <c r="AH175" s="17" t="n"/>
      <c r="AI175" s="16" t="n"/>
      <c r="AJ175" s="20" t="n"/>
      <c r="AK175" s="20" t="inlineStr">
        <is>
          <t>None</t>
        </is>
      </c>
      <c r="AL175" s="17" t="n"/>
      <c r="AM175" s="16" t="n"/>
      <c r="AN175" s="20" t="inlineStr">
        <is>
          <t>IC Anionen</t>
        </is>
      </c>
      <c r="AO175" s="20" t="inlineStr">
        <is>
          <t>None</t>
        </is>
      </c>
      <c r="AP175" s="17" t="n"/>
      <c r="AQ175" s="16" t="n"/>
      <c r="AR175" s="20" t="n"/>
      <c r="AS175" s="20" t="inlineStr">
        <is>
          <t>None</t>
        </is>
      </c>
      <c r="AT175" s="17" t="n"/>
      <c r="AU175" s="16" t="inlineStr">
        <is>
          <t>&lt;0.13</t>
        </is>
      </c>
      <c r="AV175" s="20" t="inlineStr">
        <is>
          <t>IC Anionen</t>
        </is>
      </c>
      <c r="AW175" s="20" t="inlineStr">
        <is>
          <t>None</t>
        </is>
      </c>
      <c r="AX175" s="17" t="n"/>
      <c r="AY175" s="16" t="inlineStr">
        <is>
          <t>&lt;0.80</t>
        </is>
      </c>
      <c r="AZ175" s="20" t="inlineStr">
        <is>
          <t>IC Anionen</t>
        </is>
      </c>
      <c r="BA175" s="20" t="inlineStr">
        <is>
          <t>None</t>
        </is>
      </c>
      <c r="BB175" s="17" t="n"/>
      <c r="BC175" s="16" t="inlineStr">
        <is>
          <t>160</t>
        </is>
      </c>
      <c r="BD175" s="20" t="inlineStr">
        <is>
          <t>IC Kationen</t>
        </is>
      </c>
      <c r="BE175" s="20" t="inlineStr">
        <is>
          <t>None</t>
        </is>
      </c>
      <c r="BF175" s="17" t="n"/>
      <c r="BG175" s="16" t="inlineStr">
        <is>
          <t>63.3</t>
        </is>
      </c>
      <c r="BH175" s="20" t="inlineStr">
        <is>
          <t>IC Kationen</t>
        </is>
      </c>
      <c r="BI175" s="20" t="inlineStr">
        <is>
          <t>None</t>
        </is>
      </c>
      <c r="BJ175" s="17" t="n"/>
      <c r="BK175" s="16" t="inlineStr">
        <is>
          <t>15.3</t>
        </is>
      </c>
      <c r="BL175" s="20" t="inlineStr">
        <is>
          <t>IC Kationen</t>
        </is>
      </c>
      <c r="BM175" s="20" t="inlineStr">
        <is>
          <t>None</t>
        </is>
      </c>
      <c r="BN175" s="17" t="n"/>
      <c r="BO175" s="16" t="inlineStr">
        <is>
          <t>122</t>
        </is>
      </c>
      <c r="BP175" s="20" t="inlineStr">
        <is>
          <t>IC Kationen</t>
        </is>
      </c>
      <c r="BQ175" s="20" t="inlineStr">
        <is>
          <t>None</t>
        </is>
      </c>
      <c r="BR175" s="17" t="n"/>
      <c r="BS175" s="16" t="inlineStr">
        <is>
          <t>32.5</t>
        </is>
      </c>
      <c r="BT175" s="20" t="inlineStr">
        <is>
          <t>IC Kationen</t>
        </is>
      </c>
      <c r="BU175" s="20" t="inlineStr">
        <is>
          <t>None</t>
        </is>
      </c>
      <c r="BV175" s="17" t="n"/>
      <c r="BW175" s="16" t="n"/>
      <c r="BX175" s="20" t="n"/>
      <c r="BY175" s="20" t="inlineStr">
        <is>
          <t>None</t>
        </is>
      </c>
      <c r="BZ175" s="17" t="n"/>
      <c r="CA175" s="16" t="n"/>
      <c r="CB175" s="20" t="n"/>
      <c r="CC175" s="20" t="inlineStr">
        <is>
          <t>None</t>
        </is>
      </c>
      <c r="CD175" s="17" t="n"/>
      <c r="CE175" s="16" t="n"/>
      <c r="CF175" s="20" t="n"/>
      <c r="CG175" s="20" t="inlineStr">
        <is>
          <t>None</t>
        </is>
      </c>
      <c r="CH175" s="17" t="n"/>
      <c r="CI175" s="16" t="n"/>
      <c r="CJ175" s="20" t="n"/>
      <c r="CK175" s="20" t="inlineStr">
        <is>
          <t>None</t>
        </is>
      </c>
      <c r="CL175" s="17" t="n"/>
      <c r="CM175" s="16" t="n"/>
      <c r="CN175" s="20" t="inlineStr">
        <is>
          <t>SOP 45-34</t>
        </is>
      </c>
      <c r="CO175" s="20" t="inlineStr">
        <is>
          <t>None</t>
        </is>
      </c>
      <c r="CP175" s="17" t="n"/>
      <c r="CQ175" s="16" t="n"/>
      <c r="CR175" s="20" t="n"/>
      <c r="CS175" s="20" t="inlineStr">
        <is>
          <t>None</t>
        </is>
      </c>
      <c r="CT175" s="17" t="n"/>
      <c r="CU175" s="16" t="n"/>
      <c r="CV175" s="20" t="n"/>
      <c r="CW175" s="20" t="inlineStr">
        <is>
          <t>None</t>
        </is>
      </c>
      <c r="CX175" s="17" t="n"/>
      <c r="CY175" s="16" t="n"/>
      <c r="CZ175" s="20" t="inlineStr">
        <is>
          <t>WTW Multimeter 3430 with FDO 925</t>
        </is>
      </c>
      <c r="DA175" s="20" t="inlineStr">
        <is>
          <t>None</t>
        </is>
      </c>
      <c r="DB175" s="17" t="n"/>
      <c r="DC175" s="16" t="n"/>
      <c r="DD175" s="20" t="n"/>
      <c r="DE175" s="20" t="inlineStr">
        <is>
          <t>None</t>
        </is>
      </c>
      <c r="DF175" s="17" t="n"/>
      <c r="DG175" s="16" t="n"/>
      <c r="DH175" s="20" t="inlineStr">
        <is>
          <t>SOP 45-09</t>
        </is>
      </c>
      <c r="DI175" s="20" t="inlineStr">
        <is>
          <t>None</t>
        </is>
      </c>
      <c r="DJ175" s="17" t="n"/>
      <c r="DK175" s="16" t="n"/>
      <c r="DL175" s="20" t="inlineStr">
        <is>
          <t>SOP 45-09 (SOP muss noch angepasst werden für VSS)</t>
        </is>
      </c>
      <c r="DM175" s="20" t="inlineStr">
        <is>
          <t>None</t>
        </is>
      </c>
      <c r="DN175" s="17" t="n"/>
      <c r="DO175" s="16" t="n"/>
      <c r="DP175" s="20" t="inlineStr">
        <is>
          <t>IC Organic Acids</t>
        </is>
      </c>
      <c r="DQ175" s="20" t="inlineStr">
        <is>
          <t>None</t>
        </is>
      </c>
      <c r="DR175" s="17" t="n"/>
      <c r="DS175" s="16" t="n"/>
      <c r="DT175" s="20" t="inlineStr">
        <is>
          <t>IC Organic Acids</t>
        </is>
      </c>
      <c r="DU175" s="20" t="inlineStr">
        <is>
          <t>None</t>
        </is>
      </c>
      <c r="DV175" s="17" t="n"/>
      <c r="DW175" s="16" t="n"/>
      <c r="DX175" s="20" t="inlineStr">
        <is>
          <t>IC Organic Acids</t>
        </is>
      </c>
      <c r="DY175" s="20" t="inlineStr">
        <is>
          <t>None</t>
        </is>
      </c>
      <c r="DZ175" s="17" t="n"/>
      <c r="EA175" s="16" t="n"/>
      <c r="EB175" s="20" t="inlineStr">
        <is>
          <t>IC Organic Acids</t>
        </is>
      </c>
      <c r="EC175" s="20" t="inlineStr">
        <is>
          <t>None</t>
        </is>
      </c>
      <c r="ED175" s="17" t="n"/>
      <c r="EE175" s="16" t="n"/>
      <c r="EF175" s="20" t="inlineStr">
        <is>
          <t>IC Organic Acids</t>
        </is>
      </c>
      <c r="EG175" s="20" t="inlineStr">
        <is>
          <t>None</t>
        </is>
      </c>
      <c r="EH175" s="17" t="n"/>
      <c r="EI175" s="16" t="n"/>
      <c r="EJ175" s="20" t="inlineStr">
        <is>
          <t>IC Organic Acids</t>
        </is>
      </c>
      <c r="EK175" s="20" t="inlineStr">
        <is>
          <t>None</t>
        </is>
      </c>
      <c r="EL175" s="17" t="n"/>
      <c r="EM175" s="16" t="n"/>
      <c r="EN175" s="20" t="inlineStr">
        <is>
          <t>IC Organic Acids</t>
        </is>
      </c>
      <c r="EO175" s="20" t="inlineStr">
        <is>
          <t>None</t>
        </is>
      </c>
      <c r="EP175" s="17" t="n"/>
      <c r="EQ175" s="16" t="n"/>
      <c r="ER175" s="20" t="inlineStr">
        <is>
          <t>IC Organic Acids</t>
        </is>
      </c>
      <c r="ES175" s="20" t="inlineStr">
        <is>
          <t>None</t>
        </is>
      </c>
      <c r="ET175" s="17" t="n"/>
      <c r="EU175" s="16" t="n"/>
      <c r="EV175" s="20" t="inlineStr">
        <is>
          <t>LC-MS</t>
        </is>
      </c>
      <c r="EW175" s="20" t="inlineStr">
        <is>
          <t>None</t>
        </is>
      </c>
      <c r="EX175" s="17" t="n"/>
      <c r="EY175" s="21" t="n"/>
      <c r="EZ175">
        <f>CONCATENATE(A175,B175)</f>
        <v/>
      </c>
      <c r="FA175">
        <f>CONCATENATE(SamplesX!A175,SamplesX!B175)</f>
        <v/>
      </c>
      <c r="FC175">
        <f>MATCH(EZ175,FA1:FA1008,0)</f>
        <v/>
      </c>
    </row>
    <row r="176">
      <c r="A176" s="16" t="inlineStr">
        <is>
          <t>BP</t>
        </is>
      </c>
      <c r="B176" s="17" t="inlineStr">
        <is>
          <t>25168</t>
        </is>
      </c>
      <c r="C176" s="10">
        <f>IF(ISNUMBER(FC176),INDIRECT("SamplesX!C"&amp;FC176),IF(ISNUMBER(FD176),INDIRECT("SamplesY!C"&amp;FD176),""))</f>
        <v/>
      </c>
      <c r="D176" s="12">
        <f>IF(ISNUMBER(FC176),INDIRECT("SamplesX!D"&amp;FC176),IF(ISNUMBER(FD176),INDIRECT("SamplesY!D"&amp;FD176),""))</f>
        <v/>
      </c>
      <c r="E176" s="12">
        <f>IF(ISNUMBER(FC176),INDIRECT("SamplesX!E"&amp;FC176),IF(ISNUMBER(FD176),INDIRECT("SamplesY!E"&amp;FD176),""))</f>
        <v/>
      </c>
      <c r="F176" s="11">
        <f>IF(ISNUMBER(FC176),INDIRECT("SamplesX!F"&amp;FC176),IF(ISNUMBER(FD176),INDIRECT("SamplesY!F"&amp;FD176),""))</f>
        <v/>
      </c>
      <c r="G176" s="18">
        <f>IF(ISNUMBER(FC176),INDIRECT("SamplesX!G"&amp;FC176),IF(ISNUMBER(FD176),INDIRECT("SamplesY!G"&amp;FD176),""))</f>
        <v/>
      </c>
      <c r="H176" s="19">
        <f>IF(ISNUMBER(FC176),INDIRECT("SamplesX!H"&amp;FC176),IF(ISNUMBER(FD176),INDIRECT("SamplesY!H"&amp;FD176),""))</f>
        <v/>
      </c>
      <c r="I176" s="16" t="n"/>
      <c r="J176" s="16" t="n"/>
      <c r="K176" s="16" t="n"/>
      <c r="L176" s="20" t="n"/>
      <c r="M176" s="20" t="inlineStr">
        <is>
          <t>None</t>
        </is>
      </c>
      <c r="N176" s="17" t="n"/>
      <c r="O176" s="16" t="n"/>
      <c r="P176" s="20" t="inlineStr">
        <is>
          <t>Shimadzu TOC-L</t>
        </is>
      </c>
      <c r="Q176" s="20" t="inlineStr">
        <is>
          <t>None</t>
        </is>
      </c>
      <c r="R176" s="17" t="n"/>
      <c r="S176" s="16" t="n"/>
      <c r="T176" s="20" t="inlineStr">
        <is>
          <t>Shimadzu TOC-L</t>
        </is>
      </c>
      <c r="U176" s="20" t="inlineStr">
        <is>
          <t>None</t>
        </is>
      </c>
      <c r="V176" s="17" t="n"/>
      <c r="W176" s="16" t="n"/>
      <c r="X176" s="20" t="n"/>
      <c r="Y176" s="20" t="inlineStr">
        <is>
          <t>None</t>
        </is>
      </c>
      <c r="Z176" s="17" t="n"/>
      <c r="AA176" s="16" t="n"/>
      <c r="AB176" s="20" t="n"/>
      <c r="AC176" s="20" t="inlineStr">
        <is>
          <t>None</t>
        </is>
      </c>
      <c r="AD176" s="17" t="n"/>
      <c r="AE176" s="16" t="inlineStr">
        <is>
          <t>308</t>
        </is>
      </c>
      <c r="AF176" s="20" t="inlineStr">
        <is>
          <t>IC Anionen</t>
        </is>
      </c>
      <c r="AG176" s="20" t="inlineStr">
        <is>
          <t>None</t>
        </is>
      </c>
      <c r="AH176" s="17" t="n"/>
      <c r="AI176" s="16" t="n"/>
      <c r="AJ176" s="20" t="n"/>
      <c r="AK176" s="20" t="inlineStr">
        <is>
          <t>None</t>
        </is>
      </c>
      <c r="AL176" s="17" t="n"/>
      <c r="AM176" s="16" t="n"/>
      <c r="AN176" s="20" t="inlineStr">
        <is>
          <t>IC Anionen</t>
        </is>
      </c>
      <c r="AO176" s="20" t="inlineStr">
        <is>
          <t>None</t>
        </is>
      </c>
      <c r="AP176" s="17" t="n"/>
      <c r="AQ176" s="16" t="n"/>
      <c r="AR176" s="20" t="n"/>
      <c r="AS176" s="20" t="inlineStr">
        <is>
          <t>None</t>
        </is>
      </c>
      <c r="AT176" s="17" t="n"/>
      <c r="AU176" s="16" t="inlineStr">
        <is>
          <t>4.07</t>
        </is>
      </c>
      <c r="AV176" s="20" t="inlineStr">
        <is>
          <t>IC Anionen</t>
        </is>
      </c>
      <c r="AW176" s="20" t="inlineStr">
        <is>
          <t>None</t>
        </is>
      </c>
      <c r="AX176" s="17" t="n"/>
      <c r="AY176" s="16" t="inlineStr">
        <is>
          <t>&lt;0.80</t>
        </is>
      </c>
      <c r="AZ176" s="20" t="inlineStr">
        <is>
          <t>IC Anionen</t>
        </is>
      </c>
      <c r="BA176" s="20" t="inlineStr">
        <is>
          <t>None</t>
        </is>
      </c>
      <c r="BB176" s="17" t="n"/>
      <c r="BC176" s="16" t="inlineStr">
        <is>
          <t>185</t>
        </is>
      </c>
      <c r="BD176" s="20" t="inlineStr">
        <is>
          <t>IC Kationen</t>
        </is>
      </c>
      <c r="BE176" s="20" t="inlineStr">
        <is>
          <t>None</t>
        </is>
      </c>
      <c r="BF176" s="17" t="n"/>
      <c r="BG176" s="16" t="inlineStr">
        <is>
          <t>60.6</t>
        </is>
      </c>
      <c r="BH176" s="20" t="inlineStr">
        <is>
          <t>IC Kationen</t>
        </is>
      </c>
      <c r="BI176" s="20" t="inlineStr">
        <is>
          <t>None</t>
        </is>
      </c>
      <c r="BJ176" s="17" t="n"/>
      <c r="BK176" s="16" t="inlineStr">
        <is>
          <t>17.8</t>
        </is>
      </c>
      <c r="BL176" s="20" t="inlineStr">
        <is>
          <t>IC Kationen</t>
        </is>
      </c>
      <c r="BM176" s="20" t="inlineStr">
        <is>
          <t>None</t>
        </is>
      </c>
      <c r="BN176" s="17" t="n"/>
      <c r="BO176" s="16" t="inlineStr">
        <is>
          <t>200</t>
        </is>
      </c>
      <c r="BP176" s="20" t="inlineStr">
        <is>
          <t>IC Kationen</t>
        </is>
      </c>
      <c r="BQ176" s="20" t="inlineStr">
        <is>
          <t>None</t>
        </is>
      </c>
      <c r="BR176" s="17" t="n"/>
      <c r="BS176" s="16" t="inlineStr">
        <is>
          <t>33.0</t>
        </is>
      </c>
      <c r="BT176" s="20" t="inlineStr">
        <is>
          <t>IC Kationen</t>
        </is>
      </c>
      <c r="BU176" s="20" t="inlineStr">
        <is>
          <t>None</t>
        </is>
      </c>
      <c r="BV176" s="17" t="n"/>
      <c r="BW176" s="16" t="n"/>
      <c r="BX176" s="20" t="n"/>
      <c r="BY176" s="20" t="inlineStr">
        <is>
          <t>None</t>
        </is>
      </c>
      <c r="BZ176" s="17" t="n"/>
      <c r="CA176" s="16" t="n"/>
      <c r="CB176" s="20" t="n"/>
      <c r="CC176" s="20" t="inlineStr">
        <is>
          <t>None</t>
        </is>
      </c>
      <c r="CD176" s="17" t="n"/>
      <c r="CE176" s="16" t="n"/>
      <c r="CF176" s="20" t="n"/>
      <c r="CG176" s="20" t="inlineStr">
        <is>
          <t>None</t>
        </is>
      </c>
      <c r="CH176" s="17" t="n"/>
      <c r="CI176" s="16" t="n"/>
      <c r="CJ176" s="20" t="n"/>
      <c r="CK176" s="20" t="inlineStr">
        <is>
          <t>None</t>
        </is>
      </c>
      <c r="CL176" s="17" t="n"/>
      <c r="CM176" s="16" t="n"/>
      <c r="CN176" s="20" t="inlineStr">
        <is>
          <t>SOP 45-34</t>
        </is>
      </c>
      <c r="CO176" s="20" t="inlineStr">
        <is>
          <t>None</t>
        </is>
      </c>
      <c r="CP176" s="17" t="n"/>
      <c r="CQ176" s="16" t="n"/>
      <c r="CR176" s="20" t="n"/>
      <c r="CS176" s="20" t="inlineStr">
        <is>
          <t>None</t>
        </is>
      </c>
      <c r="CT176" s="17" t="n"/>
      <c r="CU176" s="16" t="n"/>
      <c r="CV176" s="20" t="n"/>
      <c r="CW176" s="20" t="inlineStr">
        <is>
          <t>None</t>
        </is>
      </c>
      <c r="CX176" s="17" t="n"/>
      <c r="CY176" s="16" t="n"/>
      <c r="CZ176" s="20" t="inlineStr">
        <is>
          <t>WTW Multimeter 3430 with FDO 925</t>
        </is>
      </c>
      <c r="DA176" s="20" t="inlineStr">
        <is>
          <t>None</t>
        </is>
      </c>
      <c r="DB176" s="17" t="n"/>
      <c r="DC176" s="16" t="n"/>
      <c r="DD176" s="20" t="n"/>
      <c r="DE176" s="20" t="inlineStr">
        <is>
          <t>None</t>
        </is>
      </c>
      <c r="DF176" s="17" t="n"/>
      <c r="DG176" s="16" t="n"/>
      <c r="DH176" s="20" t="inlineStr">
        <is>
          <t>SOP 45-09</t>
        </is>
      </c>
      <c r="DI176" s="20" t="inlineStr">
        <is>
          <t>None</t>
        </is>
      </c>
      <c r="DJ176" s="17" t="n"/>
      <c r="DK176" s="16" t="n"/>
      <c r="DL176" s="20" t="inlineStr">
        <is>
          <t>SOP 45-09 (SOP muss noch angepasst werden für VSS)</t>
        </is>
      </c>
      <c r="DM176" s="20" t="inlineStr">
        <is>
          <t>None</t>
        </is>
      </c>
      <c r="DN176" s="17" t="n"/>
      <c r="DO176" s="16" t="n"/>
      <c r="DP176" s="20" t="inlineStr">
        <is>
          <t>IC Organic Acids</t>
        </is>
      </c>
      <c r="DQ176" s="20" t="inlineStr">
        <is>
          <t>None</t>
        </is>
      </c>
      <c r="DR176" s="17" t="n"/>
      <c r="DS176" s="16" t="n"/>
      <c r="DT176" s="20" t="inlineStr">
        <is>
          <t>IC Organic Acids</t>
        </is>
      </c>
      <c r="DU176" s="20" t="inlineStr">
        <is>
          <t>None</t>
        </is>
      </c>
      <c r="DV176" s="17" t="n"/>
      <c r="DW176" s="16" t="n"/>
      <c r="DX176" s="20" t="inlineStr">
        <is>
          <t>IC Organic Acids</t>
        </is>
      </c>
      <c r="DY176" s="20" t="inlineStr">
        <is>
          <t>None</t>
        </is>
      </c>
      <c r="DZ176" s="17" t="n"/>
      <c r="EA176" s="16" t="n"/>
      <c r="EB176" s="20" t="inlineStr">
        <is>
          <t>IC Organic Acids</t>
        </is>
      </c>
      <c r="EC176" s="20" t="inlineStr">
        <is>
          <t>None</t>
        </is>
      </c>
      <c r="ED176" s="17" t="n"/>
      <c r="EE176" s="16" t="n"/>
      <c r="EF176" s="20" t="inlineStr">
        <is>
          <t>IC Organic Acids</t>
        </is>
      </c>
      <c r="EG176" s="20" t="inlineStr">
        <is>
          <t>None</t>
        </is>
      </c>
      <c r="EH176" s="17" t="n"/>
      <c r="EI176" s="16" t="n"/>
      <c r="EJ176" s="20" t="inlineStr">
        <is>
          <t>IC Organic Acids</t>
        </is>
      </c>
      <c r="EK176" s="20" t="inlineStr">
        <is>
          <t>None</t>
        </is>
      </c>
      <c r="EL176" s="17" t="n"/>
      <c r="EM176" s="16" t="n"/>
      <c r="EN176" s="20" t="inlineStr">
        <is>
          <t>IC Organic Acids</t>
        </is>
      </c>
      <c r="EO176" s="20" t="inlineStr">
        <is>
          <t>None</t>
        </is>
      </c>
      <c r="EP176" s="17" t="n"/>
      <c r="EQ176" s="16" t="n"/>
      <c r="ER176" s="20" t="inlineStr">
        <is>
          <t>IC Organic Acids</t>
        </is>
      </c>
      <c r="ES176" s="20" t="inlineStr">
        <is>
          <t>None</t>
        </is>
      </c>
      <c r="ET176" s="17" t="n"/>
      <c r="EU176" s="16" t="n"/>
      <c r="EV176" s="20" t="inlineStr">
        <is>
          <t>LC-MS</t>
        </is>
      </c>
      <c r="EW176" s="20" t="inlineStr">
        <is>
          <t>None</t>
        </is>
      </c>
      <c r="EX176" s="17" t="n"/>
      <c r="EY176" s="21" t="n"/>
      <c r="EZ176">
        <f>CONCATENATE(A176,B176)</f>
        <v/>
      </c>
      <c r="FA176">
        <f>CONCATENATE(SamplesX!A176,SamplesX!B176)</f>
        <v/>
      </c>
      <c r="FC176">
        <f>MATCH(EZ176,FA1:FA1008,0)</f>
        <v/>
      </c>
    </row>
    <row r="177">
      <c r="A177" s="16" t="inlineStr">
        <is>
          <t>BP</t>
        </is>
      </c>
      <c r="B177" s="17" t="inlineStr">
        <is>
          <t>25169</t>
        </is>
      </c>
      <c r="C177" s="10">
        <f>IF(ISNUMBER(FC177),INDIRECT("SamplesX!C"&amp;FC177),IF(ISNUMBER(FD177),INDIRECT("SamplesY!C"&amp;FD177),""))</f>
        <v/>
      </c>
      <c r="D177" s="12">
        <f>IF(ISNUMBER(FC177),INDIRECT("SamplesX!D"&amp;FC177),IF(ISNUMBER(FD177),INDIRECT("SamplesY!D"&amp;FD177),""))</f>
        <v/>
      </c>
      <c r="E177" s="12">
        <f>IF(ISNUMBER(FC177),INDIRECT("SamplesX!E"&amp;FC177),IF(ISNUMBER(FD177),INDIRECT("SamplesY!E"&amp;FD177),""))</f>
        <v/>
      </c>
      <c r="F177" s="11">
        <f>IF(ISNUMBER(FC177),INDIRECT("SamplesX!F"&amp;FC177),IF(ISNUMBER(FD177),INDIRECT("SamplesY!F"&amp;FD177),""))</f>
        <v/>
      </c>
      <c r="G177" s="18">
        <f>IF(ISNUMBER(FC177),INDIRECT("SamplesX!G"&amp;FC177),IF(ISNUMBER(FD177),INDIRECT("SamplesY!G"&amp;FD177),""))</f>
        <v/>
      </c>
      <c r="H177" s="19">
        <f>IF(ISNUMBER(FC177),INDIRECT("SamplesX!H"&amp;FC177),IF(ISNUMBER(FD177),INDIRECT("SamplesY!H"&amp;FD177),""))</f>
        <v/>
      </c>
      <c r="I177" s="16" t="n"/>
      <c r="J177" s="16" t="n"/>
      <c r="K177" s="16" t="n"/>
      <c r="L177" s="20" t="n"/>
      <c r="M177" s="20" t="inlineStr">
        <is>
          <t>None</t>
        </is>
      </c>
      <c r="N177" s="17" t="n"/>
      <c r="O177" s="16" t="n"/>
      <c r="P177" s="20" t="inlineStr">
        <is>
          <t>Shimadzu TOC-L</t>
        </is>
      </c>
      <c r="Q177" s="20" t="inlineStr">
        <is>
          <t>None</t>
        </is>
      </c>
      <c r="R177" s="17" t="n"/>
      <c r="S177" s="16" t="n"/>
      <c r="T177" s="20" t="inlineStr">
        <is>
          <t>Shimadzu TOC-L</t>
        </is>
      </c>
      <c r="U177" s="20" t="inlineStr">
        <is>
          <t>None</t>
        </is>
      </c>
      <c r="V177" s="17" t="n"/>
      <c r="W177" s="16" t="n"/>
      <c r="X177" s="20" t="n"/>
      <c r="Y177" s="20" t="inlineStr">
        <is>
          <t>None</t>
        </is>
      </c>
      <c r="Z177" s="17" t="n"/>
      <c r="AA177" s="16" t="n"/>
      <c r="AB177" s="20" t="n"/>
      <c r="AC177" s="20" t="inlineStr">
        <is>
          <t>None</t>
        </is>
      </c>
      <c r="AD177" s="17" t="n"/>
      <c r="AE177" s="16" t="inlineStr">
        <is>
          <t>306</t>
        </is>
      </c>
      <c r="AF177" s="20" t="inlineStr">
        <is>
          <t>IC Anionen</t>
        </is>
      </c>
      <c r="AG177" s="20" t="inlineStr">
        <is>
          <t>None</t>
        </is>
      </c>
      <c r="AH177" s="17" t="n"/>
      <c r="AI177" s="16" t="n"/>
      <c r="AJ177" s="20" t="n"/>
      <c r="AK177" s="20" t="inlineStr">
        <is>
          <t>None</t>
        </is>
      </c>
      <c r="AL177" s="17" t="n"/>
      <c r="AM177" s="16" t="n"/>
      <c r="AN177" s="20" t="inlineStr">
        <is>
          <t>IC Anionen</t>
        </is>
      </c>
      <c r="AO177" s="20" t="inlineStr">
        <is>
          <t>None</t>
        </is>
      </c>
      <c r="AP177" s="17" t="n"/>
      <c r="AQ177" s="16" t="n"/>
      <c r="AR177" s="20" t="n"/>
      <c r="AS177" s="20" t="inlineStr">
        <is>
          <t>None</t>
        </is>
      </c>
      <c r="AT177" s="17" t="n"/>
      <c r="AU177" s="16" t="inlineStr">
        <is>
          <t>15.4</t>
        </is>
      </c>
      <c r="AV177" s="20" t="inlineStr">
        <is>
          <t>IC Anionen</t>
        </is>
      </c>
      <c r="AW177" s="20" t="inlineStr">
        <is>
          <t>None</t>
        </is>
      </c>
      <c r="AX177" s="17" t="n"/>
      <c r="AY177" s="16" t="inlineStr">
        <is>
          <t>1.99</t>
        </is>
      </c>
      <c r="AZ177" s="20" t="inlineStr">
        <is>
          <t>IC Anionen</t>
        </is>
      </c>
      <c r="BA177" s="20" t="inlineStr">
        <is>
          <t>None</t>
        </is>
      </c>
      <c r="BB177" s="17" t="n"/>
      <c r="BC177" s="16" t="inlineStr">
        <is>
          <t>179</t>
        </is>
      </c>
      <c r="BD177" s="20" t="inlineStr">
        <is>
          <t>IC Kationen</t>
        </is>
      </c>
      <c r="BE177" s="20" t="inlineStr">
        <is>
          <t>None</t>
        </is>
      </c>
      <c r="BF177" s="17" t="n"/>
      <c r="BG177" s="16" t="inlineStr">
        <is>
          <t>55.9</t>
        </is>
      </c>
      <c r="BH177" s="20" t="inlineStr">
        <is>
          <t>IC Kationen</t>
        </is>
      </c>
      <c r="BI177" s="20" t="inlineStr">
        <is>
          <t>None</t>
        </is>
      </c>
      <c r="BJ177" s="17" t="n"/>
      <c r="BK177" s="16" t="inlineStr">
        <is>
          <t>19.0</t>
        </is>
      </c>
      <c r="BL177" s="20" t="inlineStr">
        <is>
          <t>IC Kationen</t>
        </is>
      </c>
      <c r="BM177" s="20" t="inlineStr">
        <is>
          <t>None</t>
        </is>
      </c>
      <c r="BN177" s="17" t="n"/>
      <c r="BO177" s="16" t="inlineStr">
        <is>
          <t>244</t>
        </is>
      </c>
      <c r="BP177" s="20" t="inlineStr">
        <is>
          <t>IC Kationen</t>
        </is>
      </c>
      <c r="BQ177" s="20" t="inlineStr">
        <is>
          <t>None</t>
        </is>
      </c>
      <c r="BR177" s="17" t="n"/>
      <c r="BS177" s="16" t="inlineStr">
        <is>
          <t>33.0</t>
        </is>
      </c>
      <c r="BT177" s="20" t="inlineStr">
        <is>
          <t>IC Kationen</t>
        </is>
      </c>
      <c r="BU177" s="20" t="inlineStr">
        <is>
          <t>None</t>
        </is>
      </c>
      <c r="BV177" s="17" t="n"/>
      <c r="BW177" s="16" t="n"/>
      <c r="BX177" s="20" t="n"/>
      <c r="BY177" s="20" t="inlineStr">
        <is>
          <t>None</t>
        </is>
      </c>
      <c r="BZ177" s="17" t="n"/>
      <c r="CA177" s="16" t="n"/>
      <c r="CB177" s="20" t="n"/>
      <c r="CC177" s="20" t="inlineStr">
        <is>
          <t>None</t>
        </is>
      </c>
      <c r="CD177" s="17" t="n"/>
      <c r="CE177" s="16" t="n"/>
      <c r="CF177" s="20" t="n"/>
      <c r="CG177" s="20" t="inlineStr">
        <is>
          <t>None</t>
        </is>
      </c>
      <c r="CH177" s="17" t="n"/>
      <c r="CI177" s="16" t="n"/>
      <c r="CJ177" s="20" t="n"/>
      <c r="CK177" s="20" t="inlineStr">
        <is>
          <t>None</t>
        </is>
      </c>
      <c r="CL177" s="17" t="n"/>
      <c r="CM177" s="16" t="n"/>
      <c r="CN177" s="20" t="inlineStr">
        <is>
          <t>SOP 45-34</t>
        </is>
      </c>
      <c r="CO177" s="20" t="inlineStr">
        <is>
          <t>None</t>
        </is>
      </c>
      <c r="CP177" s="17" t="n"/>
      <c r="CQ177" s="16" t="n"/>
      <c r="CR177" s="20" t="n"/>
      <c r="CS177" s="20" t="inlineStr">
        <is>
          <t>None</t>
        </is>
      </c>
      <c r="CT177" s="17" t="n"/>
      <c r="CU177" s="16" t="n"/>
      <c r="CV177" s="20" t="n"/>
      <c r="CW177" s="20" t="inlineStr">
        <is>
          <t>None</t>
        </is>
      </c>
      <c r="CX177" s="17" t="n"/>
      <c r="CY177" s="16" t="n"/>
      <c r="CZ177" s="20" t="inlineStr">
        <is>
          <t>WTW Multimeter 3430 with FDO 925</t>
        </is>
      </c>
      <c r="DA177" s="20" t="inlineStr">
        <is>
          <t>None</t>
        </is>
      </c>
      <c r="DB177" s="17" t="n"/>
      <c r="DC177" s="16" t="n"/>
      <c r="DD177" s="20" t="n"/>
      <c r="DE177" s="20" t="inlineStr">
        <is>
          <t>None</t>
        </is>
      </c>
      <c r="DF177" s="17" t="n"/>
      <c r="DG177" s="16" t="n"/>
      <c r="DH177" s="20" t="inlineStr">
        <is>
          <t>SOP 45-09</t>
        </is>
      </c>
      <c r="DI177" s="20" t="inlineStr">
        <is>
          <t>None</t>
        </is>
      </c>
      <c r="DJ177" s="17" t="n"/>
      <c r="DK177" s="16" t="n"/>
      <c r="DL177" s="20" t="inlineStr">
        <is>
          <t>SOP 45-09 (SOP muss noch angepasst werden für VSS)</t>
        </is>
      </c>
      <c r="DM177" s="20" t="inlineStr">
        <is>
          <t>None</t>
        </is>
      </c>
      <c r="DN177" s="17" t="n"/>
      <c r="DO177" s="16" t="n"/>
      <c r="DP177" s="20" t="inlineStr">
        <is>
          <t>IC Organic Acids</t>
        </is>
      </c>
      <c r="DQ177" s="20" t="inlineStr">
        <is>
          <t>None</t>
        </is>
      </c>
      <c r="DR177" s="17" t="n"/>
      <c r="DS177" s="16" t="n"/>
      <c r="DT177" s="20" t="inlineStr">
        <is>
          <t>IC Organic Acids</t>
        </is>
      </c>
      <c r="DU177" s="20" t="inlineStr">
        <is>
          <t>None</t>
        </is>
      </c>
      <c r="DV177" s="17" t="n"/>
      <c r="DW177" s="16" t="n"/>
      <c r="DX177" s="20" t="inlineStr">
        <is>
          <t>IC Organic Acids</t>
        </is>
      </c>
      <c r="DY177" s="20" t="inlineStr">
        <is>
          <t>None</t>
        </is>
      </c>
      <c r="DZ177" s="17" t="n"/>
      <c r="EA177" s="16" t="n"/>
      <c r="EB177" s="20" t="inlineStr">
        <is>
          <t>IC Organic Acids</t>
        </is>
      </c>
      <c r="EC177" s="20" t="inlineStr">
        <is>
          <t>None</t>
        </is>
      </c>
      <c r="ED177" s="17" t="n"/>
      <c r="EE177" s="16" t="n"/>
      <c r="EF177" s="20" t="inlineStr">
        <is>
          <t>IC Organic Acids</t>
        </is>
      </c>
      <c r="EG177" s="20" t="inlineStr">
        <is>
          <t>None</t>
        </is>
      </c>
      <c r="EH177" s="17" t="n"/>
      <c r="EI177" s="16" t="n"/>
      <c r="EJ177" s="20" t="inlineStr">
        <is>
          <t>IC Organic Acids</t>
        </is>
      </c>
      <c r="EK177" s="20" t="inlineStr">
        <is>
          <t>None</t>
        </is>
      </c>
      <c r="EL177" s="17" t="n"/>
      <c r="EM177" s="16" t="n"/>
      <c r="EN177" s="20" t="inlineStr">
        <is>
          <t>IC Organic Acids</t>
        </is>
      </c>
      <c r="EO177" s="20" t="inlineStr">
        <is>
          <t>None</t>
        </is>
      </c>
      <c r="EP177" s="17" t="n"/>
      <c r="EQ177" s="16" t="n"/>
      <c r="ER177" s="20" t="inlineStr">
        <is>
          <t>IC Organic Acids</t>
        </is>
      </c>
      <c r="ES177" s="20" t="inlineStr">
        <is>
          <t>None</t>
        </is>
      </c>
      <c r="ET177" s="17" t="n"/>
      <c r="EU177" s="16" t="n"/>
      <c r="EV177" s="20" t="inlineStr">
        <is>
          <t>LC-MS</t>
        </is>
      </c>
      <c r="EW177" s="20" t="inlineStr">
        <is>
          <t>None</t>
        </is>
      </c>
      <c r="EX177" s="17" t="n"/>
      <c r="EY177" s="21" t="n"/>
      <c r="EZ177">
        <f>CONCATENATE(A177,B177)</f>
        <v/>
      </c>
      <c r="FA177">
        <f>CONCATENATE(SamplesX!A177,SamplesX!B177)</f>
        <v/>
      </c>
      <c r="FC177">
        <f>MATCH(EZ177,FA1:FA1008,0)</f>
        <v/>
      </c>
    </row>
    <row r="178">
      <c r="A178" s="16" t="inlineStr">
        <is>
          <t>BP</t>
        </is>
      </c>
      <c r="B178" s="17" t="inlineStr">
        <is>
          <t>25170</t>
        </is>
      </c>
      <c r="C178" s="10">
        <f>IF(ISNUMBER(FC178),INDIRECT("SamplesX!C"&amp;FC178),IF(ISNUMBER(FD178),INDIRECT("SamplesY!C"&amp;FD178),""))</f>
        <v/>
      </c>
      <c r="D178" s="12">
        <f>IF(ISNUMBER(FC178),INDIRECT("SamplesX!D"&amp;FC178),IF(ISNUMBER(FD178),INDIRECT("SamplesY!D"&amp;FD178),""))</f>
        <v/>
      </c>
      <c r="E178" s="12">
        <f>IF(ISNUMBER(FC178),INDIRECT("SamplesX!E"&amp;FC178),IF(ISNUMBER(FD178),INDIRECT("SamplesY!E"&amp;FD178),""))</f>
        <v/>
      </c>
      <c r="F178" s="11">
        <f>IF(ISNUMBER(FC178),INDIRECT("SamplesX!F"&amp;FC178),IF(ISNUMBER(FD178),INDIRECT("SamplesY!F"&amp;FD178),""))</f>
        <v/>
      </c>
      <c r="G178" s="18">
        <f>IF(ISNUMBER(FC178),INDIRECT("SamplesX!G"&amp;FC178),IF(ISNUMBER(FD178),INDIRECT("SamplesY!G"&amp;FD178),""))</f>
        <v/>
      </c>
      <c r="H178" s="19">
        <f>IF(ISNUMBER(FC178),INDIRECT("SamplesX!H"&amp;FC178),IF(ISNUMBER(FD178),INDIRECT("SamplesY!H"&amp;FD178),""))</f>
        <v/>
      </c>
      <c r="I178" s="16" t="n"/>
      <c r="J178" s="16" t="n"/>
      <c r="K178" s="16" t="n"/>
      <c r="L178" s="20" t="n"/>
      <c r="M178" s="20" t="inlineStr">
        <is>
          <t>None</t>
        </is>
      </c>
      <c r="N178" s="17" t="n"/>
      <c r="O178" s="16" t="n"/>
      <c r="P178" s="20" t="inlineStr">
        <is>
          <t>Shimadzu TOC-L</t>
        </is>
      </c>
      <c r="Q178" s="20" t="inlineStr">
        <is>
          <t>None</t>
        </is>
      </c>
      <c r="R178" s="17" t="n"/>
      <c r="S178" s="16" t="n"/>
      <c r="T178" s="20" t="inlineStr">
        <is>
          <t>Shimadzu TOC-L</t>
        </is>
      </c>
      <c r="U178" s="20" t="inlineStr">
        <is>
          <t>None</t>
        </is>
      </c>
      <c r="V178" s="17" t="n"/>
      <c r="W178" s="16" t="n"/>
      <c r="X178" s="20" t="n"/>
      <c r="Y178" s="20" t="inlineStr">
        <is>
          <t>None</t>
        </is>
      </c>
      <c r="Z178" s="17" t="n"/>
      <c r="AA178" s="16" t="n"/>
      <c r="AB178" s="20" t="n"/>
      <c r="AC178" s="20" t="inlineStr">
        <is>
          <t>None</t>
        </is>
      </c>
      <c r="AD178" s="17" t="n"/>
      <c r="AE178" s="16" t="inlineStr">
        <is>
          <t>480</t>
        </is>
      </c>
      <c r="AF178" s="20" t="inlineStr">
        <is>
          <t>IC Anionen</t>
        </is>
      </c>
      <c r="AG178" s="20" t="inlineStr">
        <is>
          <t>None</t>
        </is>
      </c>
      <c r="AH178" s="17" t="n"/>
      <c r="AI178" s="16" t="n"/>
      <c r="AJ178" s="20" t="n"/>
      <c r="AK178" s="20" t="inlineStr">
        <is>
          <t>None</t>
        </is>
      </c>
      <c r="AL178" s="17" t="n"/>
      <c r="AM178" s="16" t="n"/>
      <c r="AN178" s="20" t="inlineStr">
        <is>
          <t>IC Anionen</t>
        </is>
      </c>
      <c r="AO178" s="20" t="inlineStr">
        <is>
          <t>None</t>
        </is>
      </c>
      <c r="AP178" s="17" t="n"/>
      <c r="AQ178" s="16" t="n"/>
      <c r="AR178" s="20" t="n"/>
      <c r="AS178" s="20" t="inlineStr">
        <is>
          <t>None</t>
        </is>
      </c>
      <c r="AT178" s="17" t="n"/>
      <c r="AU178" s="16" t="inlineStr">
        <is>
          <t>&lt;0.13</t>
        </is>
      </c>
      <c r="AV178" s="20" t="inlineStr">
        <is>
          <t>IC Anionen</t>
        </is>
      </c>
      <c r="AW178" s="20" t="inlineStr">
        <is>
          <t>None</t>
        </is>
      </c>
      <c r="AX178" s="17" t="n"/>
      <c r="AY178" s="16" t="inlineStr">
        <is>
          <t>&lt;0.80</t>
        </is>
      </c>
      <c r="AZ178" s="20" t="inlineStr">
        <is>
          <t>IC Anionen</t>
        </is>
      </c>
      <c r="BA178" s="20" t="inlineStr">
        <is>
          <t>None</t>
        </is>
      </c>
      <c r="BB178" s="17" t="n"/>
      <c r="BC178" s="16" t="inlineStr">
        <is>
          <t>163</t>
        </is>
      </c>
      <c r="BD178" s="20" t="inlineStr">
        <is>
          <t>IC Kationen</t>
        </is>
      </c>
      <c r="BE178" s="20" t="inlineStr">
        <is>
          <t>None</t>
        </is>
      </c>
      <c r="BF178" s="17" t="n"/>
      <c r="BG178" s="16" t="inlineStr">
        <is>
          <t>63.8</t>
        </is>
      </c>
      <c r="BH178" s="20" t="inlineStr">
        <is>
          <t>IC Kationen</t>
        </is>
      </c>
      <c r="BI178" s="20" t="inlineStr">
        <is>
          <t>None</t>
        </is>
      </c>
      <c r="BJ178" s="17" t="n"/>
      <c r="BK178" s="16" t="inlineStr">
        <is>
          <t>18.3</t>
        </is>
      </c>
      <c r="BL178" s="20" t="inlineStr">
        <is>
          <t>IC Kationen</t>
        </is>
      </c>
      <c r="BM178" s="20" t="inlineStr">
        <is>
          <t>None</t>
        </is>
      </c>
      <c r="BN178" s="17" t="n"/>
      <c r="BO178" s="16" t="inlineStr">
        <is>
          <t>218</t>
        </is>
      </c>
      <c r="BP178" s="20" t="inlineStr">
        <is>
          <t>IC Kationen</t>
        </is>
      </c>
      <c r="BQ178" s="20" t="inlineStr">
        <is>
          <t>None</t>
        </is>
      </c>
      <c r="BR178" s="17" t="n"/>
      <c r="BS178" s="16" t="inlineStr">
        <is>
          <t>31.7</t>
        </is>
      </c>
      <c r="BT178" s="20" t="inlineStr">
        <is>
          <t>IC Kationen</t>
        </is>
      </c>
      <c r="BU178" s="20" t="inlineStr">
        <is>
          <t>None</t>
        </is>
      </c>
      <c r="BV178" s="17" t="n"/>
      <c r="BW178" s="16" t="n"/>
      <c r="BX178" s="20" t="n"/>
      <c r="BY178" s="20" t="inlineStr">
        <is>
          <t>None</t>
        </is>
      </c>
      <c r="BZ178" s="17" t="n"/>
      <c r="CA178" s="16" t="n"/>
      <c r="CB178" s="20" t="n"/>
      <c r="CC178" s="20" t="inlineStr">
        <is>
          <t>None</t>
        </is>
      </c>
      <c r="CD178" s="17" t="n"/>
      <c r="CE178" s="16" t="n"/>
      <c r="CF178" s="20" t="n"/>
      <c r="CG178" s="20" t="inlineStr">
        <is>
          <t>None</t>
        </is>
      </c>
      <c r="CH178" s="17" t="n"/>
      <c r="CI178" s="16" t="n"/>
      <c r="CJ178" s="20" t="n"/>
      <c r="CK178" s="20" t="inlineStr">
        <is>
          <t>None</t>
        </is>
      </c>
      <c r="CL178" s="17" t="n"/>
      <c r="CM178" s="16" t="n"/>
      <c r="CN178" s="20" t="inlineStr">
        <is>
          <t>SOP 45-34</t>
        </is>
      </c>
      <c r="CO178" s="20" t="inlineStr">
        <is>
          <t>None</t>
        </is>
      </c>
      <c r="CP178" s="17" t="n"/>
      <c r="CQ178" s="16" t="n"/>
      <c r="CR178" s="20" t="n"/>
      <c r="CS178" s="20" t="inlineStr">
        <is>
          <t>None</t>
        </is>
      </c>
      <c r="CT178" s="17" t="n"/>
      <c r="CU178" s="16" t="n"/>
      <c r="CV178" s="20" t="n"/>
      <c r="CW178" s="20" t="inlineStr">
        <is>
          <t>None</t>
        </is>
      </c>
      <c r="CX178" s="17" t="n"/>
      <c r="CY178" s="16" t="n"/>
      <c r="CZ178" s="20" t="inlineStr">
        <is>
          <t>WTW Multimeter 3430 with FDO 925</t>
        </is>
      </c>
      <c r="DA178" s="20" t="inlineStr">
        <is>
          <t>None</t>
        </is>
      </c>
      <c r="DB178" s="17" t="n"/>
      <c r="DC178" s="16" t="n"/>
      <c r="DD178" s="20" t="n"/>
      <c r="DE178" s="20" t="inlineStr">
        <is>
          <t>None</t>
        </is>
      </c>
      <c r="DF178" s="17" t="n"/>
      <c r="DG178" s="16" t="n"/>
      <c r="DH178" s="20" t="inlineStr">
        <is>
          <t>SOP 45-09</t>
        </is>
      </c>
      <c r="DI178" s="20" t="inlineStr">
        <is>
          <t>None</t>
        </is>
      </c>
      <c r="DJ178" s="17" t="n"/>
      <c r="DK178" s="16" t="n"/>
      <c r="DL178" s="20" t="inlineStr">
        <is>
          <t>SOP 45-09 (SOP muss noch angepasst werden für VSS)</t>
        </is>
      </c>
      <c r="DM178" s="20" t="inlineStr">
        <is>
          <t>None</t>
        </is>
      </c>
      <c r="DN178" s="17" t="n"/>
      <c r="DO178" s="16" t="n"/>
      <c r="DP178" s="20" t="inlineStr">
        <is>
          <t>IC Organic Acids</t>
        </is>
      </c>
      <c r="DQ178" s="20" t="inlineStr">
        <is>
          <t>None</t>
        </is>
      </c>
      <c r="DR178" s="17" t="n"/>
      <c r="DS178" s="16" t="n"/>
      <c r="DT178" s="20" t="inlineStr">
        <is>
          <t>IC Organic Acids</t>
        </is>
      </c>
      <c r="DU178" s="20" t="inlineStr">
        <is>
          <t>None</t>
        </is>
      </c>
      <c r="DV178" s="17" t="n"/>
      <c r="DW178" s="16" t="n"/>
      <c r="DX178" s="20" t="inlineStr">
        <is>
          <t>IC Organic Acids</t>
        </is>
      </c>
      <c r="DY178" s="20" t="inlineStr">
        <is>
          <t>None</t>
        </is>
      </c>
      <c r="DZ178" s="17" t="n"/>
      <c r="EA178" s="16" t="n"/>
      <c r="EB178" s="20" t="inlineStr">
        <is>
          <t>IC Organic Acids</t>
        </is>
      </c>
      <c r="EC178" s="20" t="inlineStr">
        <is>
          <t>None</t>
        </is>
      </c>
      <c r="ED178" s="17" t="n"/>
      <c r="EE178" s="16" t="n"/>
      <c r="EF178" s="20" t="inlineStr">
        <is>
          <t>IC Organic Acids</t>
        </is>
      </c>
      <c r="EG178" s="20" t="inlineStr">
        <is>
          <t>None</t>
        </is>
      </c>
      <c r="EH178" s="17" t="n"/>
      <c r="EI178" s="16" t="n"/>
      <c r="EJ178" s="20" t="inlineStr">
        <is>
          <t>IC Organic Acids</t>
        </is>
      </c>
      <c r="EK178" s="20" t="inlineStr">
        <is>
          <t>None</t>
        </is>
      </c>
      <c r="EL178" s="17" t="n"/>
      <c r="EM178" s="16" t="n"/>
      <c r="EN178" s="20" t="inlineStr">
        <is>
          <t>IC Organic Acids</t>
        </is>
      </c>
      <c r="EO178" s="20" t="inlineStr">
        <is>
          <t>None</t>
        </is>
      </c>
      <c r="EP178" s="17" t="n"/>
      <c r="EQ178" s="16" t="n"/>
      <c r="ER178" s="20" t="inlineStr">
        <is>
          <t>IC Organic Acids</t>
        </is>
      </c>
      <c r="ES178" s="20" t="inlineStr">
        <is>
          <t>None</t>
        </is>
      </c>
      <c r="ET178" s="17" t="n"/>
      <c r="EU178" s="16" t="n"/>
      <c r="EV178" s="20" t="inlineStr">
        <is>
          <t>LC-MS</t>
        </is>
      </c>
      <c r="EW178" s="20" t="inlineStr">
        <is>
          <t>None</t>
        </is>
      </c>
      <c r="EX178" s="17" t="n"/>
      <c r="EY178" s="21" t="n"/>
      <c r="EZ178">
        <f>CONCATENATE(A178,B178)</f>
        <v/>
      </c>
      <c r="FA178">
        <f>CONCATENATE(SamplesX!A178,SamplesX!B178)</f>
        <v/>
      </c>
      <c r="FC178">
        <f>MATCH(EZ178,FA1:FA1008,0)</f>
        <v/>
      </c>
    </row>
    <row r="179">
      <c r="A179" s="16" t="inlineStr">
        <is>
          <t>BP</t>
        </is>
      </c>
      <c r="B179" s="17" t="inlineStr">
        <is>
          <t>25171</t>
        </is>
      </c>
      <c r="C179" s="10">
        <f>IF(ISNUMBER(FC179),INDIRECT("SamplesX!C"&amp;FC179),IF(ISNUMBER(FD179),INDIRECT("SamplesY!C"&amp;FD179),""))</f>
        <v/>
      </c>
      <c r="D179" s="12">
        <f>IF(ISNUMBER(FC179),INDIRECT("SamplesX!D"&amp;FC179),IF(ISNUMBER(FD179),INDIRECT("SamplesY!D"&amp;FD179),""))</f>
        <v/>
      </c>
      <c r="E179" s="12">
        <f>IF(ISNUMBER(FC179),INDIRECT("SamplesX!E"&amp;FC179),IF(ISNUMBER(FD179),INDIRECT("SamplesY!E"&amp;FD179),""))</f>
        <v/>
      </c>
      <c r="F179" s="11">
        <f>IF(ISNUMBER(FC179),INDIRECT("SamplesX!F"&amp;FC179),IF(ISNUMBER(FD179),INDIRECT("SamplesY!F"&amp;FD179),""))</f>
        <v/>
      </c>
      <c r="G179" s="18">
        <f>IF(ISNUMBER(FC179),INDIRECT("SamplesX!G"&amp;FC179),IF(ISNUMBER(FD179),INDIRECT("SamplesY!G"&amp;FD179),""))</f>
        <v/>
      </c>
      <c r="H179" s="19">
        <f>IF(ISNUMBER(FC179),INDIRECT("SamplesX!H"&amp;FC179),IF(ISNUMBER(FD179),INDIRECT("SamplesY!H"&amp;FD179),""))</f>
        <v/>
      </c>
      <c r="I179" s="16" t="n"/>
      <c r="J179" s="16" t="n"/>
      <c r="K179" s="16" t="n"/>
      <c r="L179" s="20" t="n"/>
      <c r="M179" s="20" t="inlineStr">
        <is>
          <t>None</t>
        </is>
      </c>
      <c r="N179" s="17" t="n"/>
      <c r="O179" s="16" t="n"/>
      <c r="P179" s="20" t="inlineStr">
        <is>
          <t>Shimadzu TOC-L</t>
        </is>
      </c>
      <c r="Q179" s="20" t="inlineStr">
        <is>
          <t>None</t>
        </is>
      </c>
      <c r="R179" s="17" t="n"/>
      <c r="S179" s="16" t="n"/>
      <c r="T179" s="20" t="inlineStr">
        <is>
          <t>Shimadzu TOC-L</t>
        </is>
      </c>
      <c r="U179" s="20" t="inlineStr">
        <is>
          <t>None</t>
        </is>
      </c>
      <c r="V179" s="17" t="n"/>
      <c r="W179" s="16" t="n"/>
      <c r="X179" s="20" t="n"/>
      <c r="Y179" s="20" t="inlineStr">
        <is>
          <t>None</t>
        </is>
      </c>
      <c r="Z179" s="17" t="n"/>
      <c r="AA179" s="16" t="n"/>
      <c r="AB179" s="20" t="n"/>
      <c r="AC179" s="20" t="inlineStr">
        <is>
          <t>None</t>
        </is>
      </c>
      <c r="AD179" s="17" t="n"/>
      <c r="AE179" s="16" t="inlineStr">
        <is>
          <t>484</t>
        </is>
      </c>
      <c r="AF179" s="20" t="inlineStr">
        <is>
          <t>IC Anionen</t>
        </is>
      </c>
      <c r="AG179" s="20" t="inlineStr">
        <is>
          <t>None</t>
        </is>
      </c>
      <c r="AH179" s="17" t="n"/>
      <c r="AI179" s="16" t="n"/>
      <c r="AJ179" s="20" t="n"/>
      <c r="AK179" s="20" t="inlineStr">
        <is>
          <t>None</t>
        </is>
      </c>
      <c r="AL179" s="17" t="n"/>
      <c r="AM179" s="16" t="n"/>
      <c r="AN179" s="20" t="inlineStr">
        <is>
          <t>IC Anionen</t>
        </is>
      </c>
      <c r="AO179" s="20" t="inlineStr">
        <is>
          <t>None</t>
        </is>
      </c>
      <c r="AP179" s="17" t="n"/>
      <c r="AQ179" s="16" t="n"/>
      <c r="AR179" s="20" t="n"/>
      <c r="AS179" s="20" t="inlineStr">
        <is>
          <t>None</t>
        </is>
      </c>
      <c r="AT179" s="17" t="n"/>
      <c r="AU179" s="16" t="inlineStr">
        <is>
          <t>&lt;0.13</t>
        </is>
      </c>
      <c r="AV179" s="20" t="inlineStr">
        <is>
          <t>IC Anionen</t>
        </is>
      </c>
      <c r="AW179" s="20" t="inlineStr">
        <is>
          <t>None</t>
        </is>
      </c>
      <c r="AX179" s="17" t="n"/>
      <c r="AY179" s="16" t="inlineStr">
        <is>
          <t>&lt;0.80</t>
        </is>
      </c>
      <c r="AZ179" s="20" t="inlineStr">
        <is>
          <t>IC Anionen</t>
        </is>
      </c>
      <c r="BA179" s="20" t="inlineStr">
        <is>
          <t>None</t>
        </is>
      </c>
      <c r="BB179" s="17" t="n"/>
      <c r="BC179" s="16" t="inlineStr">
        <is>
          <t>157</t>
        </is>
      </c>
      <c r="BD179" s="20" t="inlineStr">
        <is>
          <t>IC Kationen</t>
        </is>
      </c>
      <c r="BE179" s="20" t="inlineStr">
        <is>
          <t>None</t>
        </is>
      </c>
      <c r="BF179" s="17" t="n"/>
      <c r="BG179" s="16" t="inlineStr">
        <is>
          <t>50.5</t>
        </is>
      </c>
      <c r="BH179" s="20" t="inlineStr">
        <is>
          <t>IC Kationen</t>
        </is>
      </c>
      <c r="BI179" s="20" t="inlineStr">
        <is>
          <t>None</t>
        </is>
      </c>
      <c r="BJ179" s="17" t="n"/>
      <c r="BK179" s="16" t="inlineStr">
        <is>
          <t>17.2</t>
        </is>
      </c>
      <c r="BL179" s="20" t="inlineStr">
        <is>
          <t>IC Kationen</t>
        </is>
      </c>
      <c r="BM179" s="20" t="inlineStr">
        <is>
          <t>None</t>
        </is>
      </c>
      <c r="BN179" s="17" t="n"/>
      <c r="BO179" s="16" t="inlineStr">
        <is>
          <t>125</t>
        </is>
      </c>
      <c r="BP179" s="20" t="inlineStr">
        <is>
          <t>IC Kationen</t>
        </is>
      </c>
      <c r="BQ179" s="20" t="inlineStr">
        <is>
          <t>None</t>
        </is>
      </c>
      <c r="BR179" s="17" t="n"/>
      <c r="BS179" s="16" t="inlineStr">
        <is>
          <t>29.9</t>
        </is>
      </c>
      <c r="BT179" s="20" t="inlineStr">
        <is>
          <t>IC Kationen</t>
        </is>
      </c>
      <c r="BU179" s="20" t="inlineStr">
        <is>
          <t>None</t>
        </is>
      </c>
      <c r="BV179" s="17" t="n"/>
      <c r="BW179" s="16" t="n"/>
      <c r="BX179" s="20" t="n"/>
      <c r="BY179" s="20" t="inlineStr">
        <is>
          <t>None</t>
        </is>
      </c>
      <c r="BZ179" s="17" t="n"/>
      <c r="CA179" s="16" t="n"/>
      <c r="CB179" s="20" t="n"/>
      <c r="CC179" s="20" t="inlineStr">
        <is>
          <t>None</t>
        </is>
      </c>
      <c r="CD179" s="17" t="n"/>
      <c r="CE179" s="16" t="n"/>
      <c r="CF179" s="20" t="n"/>
      <c r="CG179" s="20" t="inlineStr">
        <is>
          <t>None</t>
        </is>
      </c>
      <c r="CH179" s="17" t="n"/>
      <c r="CI179" s="16" t="n"/>
      <c r="CJ179" s="20" t="n"/>
      <c r="CK179" s="20" t="inlineStr">
        <is>
          <t>None</t>
        </is>
      </c>
      <c r="CL179" s="17" t="n"/>
      <c r="CM179" s="16" t="n"/>
      <c r="CN179" s="20" t="inlineStr">
        <is>
          <t>SOP 45-34</t>
        </is>
      </c>
      <c r="CO179" s="20" t="inlineStr">
        <is>
          <t>None</t>
        </is>
      </c>
      <c r="CP179" s="17" t="n"/>
      <c r="CQ179" s="16" t="n"/>
      <c r="CR179" s="20" t="n"/>
      <c r="CS179" s="20" t="inlineStr">
        <is>
          <t>None</t>
        </is>
      </c>
      <c r="CT179" s="17" t="n"/>
      <c r="CU179" s="16" t="n"/>
      <c r="CV179" s="20" t="n"/>
      <c r="CW179" s="20" t="inlineStr">
        <is>
          <t>None</t>
        </is>
      </c>
      <c r="CX179" s="17" t="n"/>
      <c r="CY179" s="16" t="n"/>
      <c r="CZ179" s="20" t="inlineStr">
        <is>
          <t>WTW Multimeter 3430 with FDO 925</t>
        </is>
      </c>
      <c r="DA179" s="20" t="inlineStr">
        <is>
          <t>None</t>
        </is>
      </c>
      <c r="DB179" s="17" t="n"/>
      <c r="DC179" s="16" t="n"/>
      <c r="DD179" s="20" t="n"/>
      <c r="DE179" s="20" t="inlineStr">
        <is>
          <t>None</t>
        </is>
      </c>
      <c r="DF179" s="17" t="n"/>
      <c r="DG179" s="16" t="n"/>
      <c r="DH179" s="20" t="inlineStr">
        <is>
          <t>SOP 45-09</t>
        </is>
      </c>
      <c r="DI179" s="20" t="inlineStr">
        <is>
          <t>None</t>
        </is>
      </c>
      <c r="DJ179" s="17" t="n"/>
      <c r="DK179" s="16" t="n"/>
      <c r="DL179" s="20" t="inlineStr">
        <is>
          <t>SOP 45-09 (SOP muss noch angepasst werden für VSS)</t>
        </is>
      </c>
      <c r="DM179" s="20" t="inlineStr">
        <is>
          <t>None</t>
        </is>
      </c>
      <c r="DN179" s="17" t="n"/>
      <c r="DO179" s="16" t="n"/>
      <c r="DP179" s="20" t="inlineStr">
        <is>
          <t>IC Organic Acids</t>
        </is>
      </c>
      <c r="DQ179" s="20" t="inlineStr">
        <is>
          <t>None</t>
        </is>
      </c>
      <c r="DR179" s="17" t="n"/>
      <c r="DS179" s="16" t="n"/>
      <c r="DT179" s="20" t="inlineStr">
        <is>
          <t>IC Organic Acids</t>
        </is>
      </c>
      <c r="DU179" s="20" t="inlineStr">
        <is>
          <t>None</t>
        </is>
      </c>
      <c r="DV179" s="17" t="n"/>
      <c r="DW179" s="16" t="n"/>
      <c r="DX179" s="20" t="inlineStr">
        <is>
          <t>IC Organic Acids</t>
        </is>
      </c>
      <c r="DY179" s="20" t="inlineStr">
        <is>
          <t>None</t>
        </is>
      </c>
      <c r="DZ179" s="17" t="n"/>
      <c r="EA179" s="16" t="n"/>
      <c r="EB179" s="20" t="inlineStr">
        <is>
          <t>IC Organic Acids</t>
        </is>
      </c>
      <c r="EC179" s="20" t="inlineStr">
        <is>
          <t>None</t>
        </is>
      </c>
      <c r="ED179" s="17" t="n"/>
      <c r="EE179" s="16" t="n"/>
      <c r="EF179" s="20" t="inlineStr">
        <is>
          <t>IC Organic Acids</t>
        </is>
      </c>
      <c r="EG179" s="20" t="inlineStr">
        <is>
          <t>None</t>
        </is>
      </c>
      <c r="EH179" s="17" t="n"/>
      <c r="EI179" s="16" t="n"/>
      <c r="EJ179" s="20" t="inlineStr">
        <is>
          <t>IC Organic Acids</t>
        </is>
      </c>
      <c r="EK179" s="20" t="inlineStr">
        <is>
          <t>None</t>
        </is>
      </c>
      <c r="EL179" s="17" t="n"/>
      <c r="EM179" s="16" t="n"/>
      <c r="EN179" s="20" t="inlineStr">
        <is>
          <t>IC Organic Acids</t>
        </is>
      </c>
      <c r="EO179" s="20" t="inlineStr">
        <is>
          <t>None</t>
        </is>
      </c>
      <c r="EP179" s="17" t="n"/>
      <c r="EQ179" s="16" t="n"/>
      <c r="ER179" s="20" t="inlineStr">
        <is>
          <t>IC Organic Acids</t>
        </is>
      </c>
      <c r="ES179" s="20" t="inlineStr">
        <is>
          <t>None</t>
        </is>
      </c>
      <c r="ET179" s="17" t="n"/>
      <c r="EU179" s="16" t="n"/>
      <c r="EV179" s="20" t="inlineStr">
        <is>
          <t>LC-MS</t>
        </is>
      </c>
      <c r="EW179" s="20" t="inlineStr">
        <is>
          <t>None</t>
        </is>
      </c>
      <c r="EX179" s="17" t="n"/>
      <c r="EY179" s="21" t="n"/>
      <c r="EZ179">
        <f>CONCATENATE(A179,B179)</f>
        <v/>
      </c>
      <c r="FA179">
        <f>CONCATENATE(SamplesX!A179,SamplesX!B179)</f>
        <v/>
      </c>
      <c r="FC179">
        <f>MATCH(EZ179,FA1:FA1008,0)</f>
        <v/>
      </c>
    </row>
    <row r="180">
      <c r="A180" s="16" t="inlineStr">
        <is>
          <t>BP</t>
        </is>
      </c>
      <c r="B180" s="17" t="inlineStr">
        <is>
          <t>25172</t>
        </is>
      </c>
      <c r="C180" s="10">
        <f>IF(ISNUMBER(FC180),INDIRECT("SamplesX!C"&amp;FC180),IF(ISNUMBER(FD180),INDIRECT("SamplesY!C"&amp;FD180),""))</f>
        <v/>
      </c>
      <c r="D180" s="12">
        <f>IF(ISNUMBER(FC180),INDIRECT("SamplesX!D"&amp;FC180),IF(ISNUMBER(FD180),INDIRECT("SamplesY!D"&amp;FD180),""))</f>
        <v/>
      </c>
      <c r="E180" s="12">
        <f>IF(ISNUMBER(FC180),INDIRECT("SamplesX!E"&amp;FC180),IF(ISNUMBER(FD180),INDIRECT("SamplesY!E"&amp;FD180),""))</f>
        <v/>
      </c>
      <c r="F180" s="11">
        <f>IF(ISNUMBER(FC180),INDIRECT("SamplesX!F"&amp;FC180),IF(ISNUMBER(FD180),INDIRECT("SamplesY!F"&amp;FD180),""))</f>
        <v/>
      </c>
      <c r="G180" s="18">
        <f>IF(ISNUMBER(FC180),INDIRECT("SamplesX!G"&amp;FC180),IF(ISNUMBER(FD180),INDIRECT("SamplesY!G"&amp;FD180),""))</f>
        <v/>
      </c>
      <c r="H180" s="19">
        <f>IF(ISNUMBER(FC180),INDIRECT("SamplesX!H"&amp;FC180),IF(ISNUMBER(FD180),INDIRECT("SamplesY!H"&amp;FD180),""))</f>
        <v/>
      </c>
      <c r="I180" s="16" t="n"/>
      <c r="J180" s="16" t="n"/>
      <c r="K180" s="16" t="n"/>
      <c r="L180" s="20" t="n"/>
      <c r="M180" s="20" t="inlineStr">
        <is>
          <t>None</t>
        </is>
      </c>
      <c r="N180" s="17" t="n"/>
      <c r="O180" s="16" t="n"/>
      <c r="P180" s="20" t="inlineStr">
        <is>
          <t>Shimadzu TOC-L</t>
        </is>
      </c>
      <c r="Q180" s="20" t="inlineStr">
        <is>
          <t>None</t>
        </is>
      </c>
      <c r="R180" s="17" t="n"/>
      <c r="S180" s="16" t="n"/>
      <c r="T180" s="20" t="inlineStr">
        <is>
          <t>Shimadzu TOC-L</t>
        </is>
      </c>
      <c r="U180" s="20" t="inlineStr">
        <is>
          <t>None</t>
        </is>
      </c>
      <c r="V180" s="17" t="n"/>
      <c r="W180" s="16" t="n"/>
      <c r="X180" s="20" t="n"/>
      <c r="Y180" s="20" t="inlineStr">
        <is>
          <t>None</t>
        </is>
      </c>
      <c r="Z180" s="17" t="n"/>
      <c r="AA180" s="16" t="n"/>
      <c r="AB180" s="20" t="n"/>
      <c r="AC180" s="20" t="inlineStr">
        <is>
          <t>None</t>
        </is>
      </c>
      <c r="AD180" s="17" t="n"/>
      <c r="AE180" s="16" t="inlineStr">
        <is>
          <t>306</t>
        </is>
      </c>
      <c r="AF180" s="20" t="inlineStr">
        <is>
          <t>IC Anionen</t>
        </is>
      </c>
      <c r="AG180" s="20" t="inlineStr">
        <is>
          <t>None</t>
        </is>
      </c>
      <c r="AH180" s="17" t="n"/>
      <c r="AI180" s="16" t="n"/>
      <c r="AJ180" s="20" t="n"/>
      <c r="AK180" s="20" t="inlineStr">
        <is>
          <t>None</t>
        </is>
      </c>
      <c r="AL180" s="17" t="n"/>
      <c r="AM180" s="16" t="n"/>
      <c r="AN180" s="20" t="inlineStr">
        <is>
          <t>IC Anionen</t>
        </is>
      </c>
      <c r="AO180" s="20" t="inlineStr">
        <is>
          <t>None</t>
        </is>
      </c>
      <c r="AP180" s="17" t="n"/>
      <c r="AQ180" s="16" t="n"/>
      <c r="AR180" s="20" t="n"/>
      <c r="AS180" s="20" t="inlineStr">
        <is>
          <t>None</t>
        </is>
      </c>
      <c r="AT180" s="17" t="n"/>
      <c r="AU180" s="16" t="inlineStr">
        <is>
          <t>4.58</t>
        </is>
      </c>
      <c r="AV180" s="20" t="inlineStr">
        <is>
          <t>IC Anionen</t>
        </is>
      </c>
      <c r="AW180" s="20" t="inlineStr">
        <is>
          <t>None</t>
        </is>
      </c>
      <c r="AX180" s="17" t="n"/>
      <c r="AY180" s="16" t="inlineStr">
        <is>
          <t>1.53</t>
        </is>
      </c>
      <c r="AZ180" s="20" t="inlineStr">
        <is>
          <t>IC Anionen</t>
        </is>
      </c>
      <c r="BA180" s="20" t="inlineStr">
        <is>
          <t>None</t>
        </is>
      </c>
      <c r="BB180" s="17" t="n"/>
      <c r="BC180" s="16" t="inlineStr">
        <is>
          <t>181</t>
        </is>
      </c>
      <c r="BD180" s="20" t="inlineStr">
        <is>
          <t>IC Kationen</t>
        </is>
      </c>
      <c r="BE180" s="20" t="inlineStr">
        <is>
          <t>None</t>
        </is>
      </c>
      <c r="BF180" s="17" t="n"/>
      <c r="BG180" s="16" t="inlineStr">
        <is>
          <t>29.5</t>
        </is>
      </c>
      <c r="BH180" s="20" t="inlineStr">
        <is>
          <t>IC Kationen</t>
        </is>
      </c>
      <c r="BI180" s="20" t="inlineStr">
        <is>
          <t>None</t>
        </is>
      </c>
      <c r="BJ180" s="17" t="n"/>
      <c r="BK180" s="16" t="inlineStr">
        <is>
          <t>16.6</t>
        </is>
      </c>
      <c r="BL180" s="20" t="inlineStr">
        <is>
          <t>IC Kationen</t>
        </is>
      </c>
      <c r="BM180" s="20" t="inlineStr">
        <is>
          <t>None</t>
        </is>
      </c>
      <c r="BN180" s="17" t="n"/>
      <c r="BO180" s="16" t="inlineStr">
        <is>
          <t>242</t>
        </is>
      </c>
      <c r="BP180" s="20" t="inlineStr">
        <is>
          <t>IC Kationen</t>
        </is>
      </c>
      <c r="BQ180" s="20" t="inlineStr">
        <is>
          <t>None</t>
        </is>
      </c>
      <c r="BR180" s="17" t="n"/>
      <c r="BS180" s="16" t="inlineStr">
        <is>
          <t>32.7</t>
        </is>
      </c>
      <c r="BT180" s="20" t="inlineStr">
        <is>
          <t>IC Kationen</t>
        </is>
      </c>
      <c r="BU180" s="20" t="inlineStr">
        <is>
          <t>None</t>
        </is>
      </c>
      <c r="BV180" s="17" t="n"/>
      <c r="BW180" s="16" t="n"/>
      <c r="BX180" s="20" t="n"/>
      <c r="BY180" s="20" t="inlineStr">
        <is>
          <t>None</t>
        </is>
      </c>
      <c r="BZ180" s="17" t="n"/>
      <c r="CA180" s="16" t="n"/>
      <c r="CB180" s="20" t="n"/>
      <c r="CC180" s="20" t="inlineStr">
        <is>
          <t>None</t>
        </is>
      </c>
      <c r="CD180" s="17" t="n"/>
      <c r="CE180" s="16" t="n"/>
      <c r="CF180" s="20" t="n"/>
      <c r="CG180" s="20" t="inlineStr">
        <is>
          <t>None</t>
        </is>
      </c>
      <c r="CH180" s="17" t="n"/>
      <c r="CI180" s="16" t="n"/>
      <c r="CJ180" s="20" t="n"/>
      <c r="CK180" s="20" t="inlineStr">
        <is>
          <t>None</t>
        </is>
      </c>
      <c r="CL180" s="17" t="n"/>
      <c r="CM180" s="16" t="n"/>
      <c r="CN180" s="20" t="inlineStr">
        <is>
          <t>SOP 45-34</t>
        </is>
      </c>
      <c r="CO180" s="20" t="inlineStr">
        <is>
          <t>None</t>
        </is>
      </c>
      <c r="CP180" s="17" t="n"/>
      <c r="CQ180" s="16" t="n"/>
      <c r="CR180" s="20" t="n"/>
      <c r="CS180" s="20" t="inlineStr">
        <is>
          <t>None</t>
        </is>
      </c>
      <c r="CT180" s="17" t="n"/>
      <c r="CU180" s="16" t="n"/>
      <c r="CV180" s="20" t="n"/>
      <c r="CW180" s="20" t="inlineStr">
        <is>
          <t>None</t>
        </is>
      </c>
      <c r="CX180" s="17" t="n"/>
      <c r="CY180" s="16" t="n"/>
      <c r="CZ180" s="20" t="inlineStr">
        <is>
          <t>WTW Multimeter 3430 with FDO 925</t>
        </is>
      </c>
      <c r="DA180" s="20" t="inlineStr">
        <is>
          <t>None</t>
        </is>
      </c>
      <c r="DB180" s="17" t="n"/>
      <c r="DC180" s="16" t="n"/>
      <c r="DD180" s="20" t="n"/>
      <c r="DE180" s="20" t="inlineStr">
        <is>
          <t>None</t>
        </is>
      </c>
      <c r="DF180" s="17" t="n"/>
      <c r="DG180" s="16" t="n"/>
      <c r="DH180" s="20" t="inlineStr">
        <is>
          <t>SOP 45-09</t>
        </is>
      </c>
      <c r="DI180" s="20" t="inlineStr">
        <is>
          <t>None</t>
        </is>
      </c>
      <c r="DJ180" s="17" t="n"/>
      <c r="DK180" s="16" t="n"/>
      <c r="DL180" s="20" t="inlineStr">
        <is>
          <t>SOP 45-09 (SOP muss noch angepasst werden für VSS)</t>
        </is>
      </c>
      <c r="DM180" s="20" t="inlineStr">
        <is>
          <t>None</t>
        </is>
      </c>
      <c r="DN180" s="17" t="n"/>
      <c r="DO180" s="16" t="n"/>
      <c r="DP180" s="20" t="inlineStr">
        <is>
          <t>IC Organic Acids</t>
        </is>
      </c>
      <c r="DQ180" s="20" t="inlineStr">
        <is>
          <t>None</t>
        </is>
      </c>
      <c r="DR180" s="17" t="n"/>
      <c r="DS180" s="16" t="n"/>
      <c r="DT180" s="20" t="inlineStr">
        <is>
          <t>IC Organic Acids</t>
        </is>
      </c>
      <c r="DU180" s="20" t="inlineStr">
        <is>
          <t>None</t>
        </is>
      </c>
      <c r="DV180" s="17" t="n"/>
      <c r="DW180" s="16" t="n"/>
      <c r="DX180" s="20" t="inlineStr">
        <is>
          <t>IC Organic Acids</t>
        </is>
      </c>
      <c r="DY180" s="20" t="inlineStr">
        <is>
          <t>None</t>
        </is>
      </c>
      <c r="DZ180" s="17" t="n"/>
      <c r="EA180" s="16" t="n"/>
      <c r="EB180" s="20" t="inlineStr">
        <is>
          <t>IC Organic Acids</t>
        </is>
      </c>
      <c r="EC180" s="20" t="inlineStr">
        <is>
          <t>None</t>
        </is>
      </c>
      <c r="ED180" s="17" t="n"/>
      <c r="EE180" s="16" t="n"/>
      <c r="EF180" s="20" t="inlineStr">
        <is>
          <t>IC Organic Acids</t>
        </is>
      </c>
      <c r="EG180" s="20" t="inlineStr">
        <is>
          <t>None</t>
        </is>
      </c>
      <c r="EH180" s="17" t="n"/>
      <c r="EI180" s="16" t="n"/>
      <c r="EJ180" s="20" t="inlineStr">
        <is>
          <t>IC Organic Acids</t>
        </is>
      </c>
      <c r="EK180" s="20" t="inlineStr">
        <is>
          <t>None</t>
        </is>
      </c>
      <c r="EL180" s="17" t="n"/>
      <c r="EM180" s="16" t="n"/>
      <c r="EN180" s="20" t="inlineStr">
        <is>
          <t>IC Organic Acids</t>
        </is>
      </c>
      <c r="EO180" s="20" t="inlineStr">
        <is>
          <t>None</t>
        </is>
      </c>
      <c r="EP180" s="17" t="n"/>
      <c r="EQ180" s="16" t="n"/>
      <c r="ER180" s="20" t="inlineStr">
        <is>
          <t>IC Organic Acids</t>
        </is>
      </c>
      <c r="ES180" s="20" t="inlineStr">
        <is>
          <t>None</t>
        </is>
      </c>
      <c r="ET180" s="17" t="n"/>
      <c r="EU180" s="16" t="n"/>
      <c r="EV180" s="20" t="inlineStr">
        <is>
          <t>LC-MS</t>
        </is>
      </c>
      <c r="EW180" s="20" t="inlineStr">
        <is>
          <t>None</t>
        </is>
      </c>
      <c r="EX180" s="17" t="n"/>
      <c r="EY180" s="21" t="n"/>
      <c r="EZ180">
        <f>CONCATENATE(A180,B180)</f>
        <v/>
      </c>
      <c r="FA180">
        <f>CONCATENATE(SamplesX!A180,SamplesX!B180)</f>
        <v/>
      </c>
      <c r="FC180">
        <f>MATCH(EZ180,FA1:FA1008,0)</f>
        <v/>
      </c>
    </row>
    <row r="181">
      <c r="A181" s="16" t="inlineStr">
        <is>
          <t>BP</t>
        </is>
      </c>
      <c r="B181" s="17" t="inlineStr">
        <is>
          <t>25173</t>
        </is>
      </c>
      <c r="C181" s="10">
        <f>IF(ISNUMBER(FC181),INDIRECT("SamplesX!C"&amp;FC181),IF(ISNUMBER(FD181),INDIRECT("SamplesY!C"&amp;FD181),""))</f>
        <v/>
      </c>
      <c r="D181" s="12">
        <f>IF(ISNUMBER(FC181),INDIRECT("SamplesX!D"&amp;FC181),IF(ISNUMBER(FD181),INDIRECT("SamplesY!D"&amp;FD181),""))</f>
        <v/>
      </c>
      <c r="E181" s="12">
        <f>IF(ISNUMBER(FC181),INDIRECT("SamplesX!E"&amp;FC181),IF(ISNUMBER(FD181),INDIRECT("SamplesY!E"&amp;FD181),""))</f>
        <v/>
      </c>
      <c r="F181" s="11">
        <f>IF(ISNUMBER(FC181),INDIRECT("SamplesX!F"&amp;FC181),IF(ISNUMBER(FD181),INDIRECT("SamplesY!F"&amp;FD181),""))</f>
        <v/>
      </c>
      <c r="G181" s="18">
        <f>IF(ISNUMBER(FC181),INDIRECT("SamplesX!G"&amp;FC181),IF(ISNUMBER(FD181),INDIRECT("SamplesY!G"&amp;FD181),""))</f>
        <v/>
      </c>
      <c r="H181" s="19">
        <f>IF(ISNUMBER(FC181),INDIRECT("SamplesX!H"&amp;FC181),IF(ISNUMBER(FD181),INDIRECT("SamplesY!H"&amp;FD181),""))</f>
        <v/>
      </c>
      <c r="I181" s="16" t="n"/>
      <c r="J181" s="16" t="n"/>
      <c r="K181" s="16" t="n"/>
      <c r="L181" s="20" t="n"/>
      <c r="M181" s="20" t="inlineStr">
        <is>
          <t>None</t>
        </is>
      </c>
      <c r="N181" s="17" t="n"/>
      <c r="O181" s="16" t="n"/>
      <c r="P181" s="20" t="inlineStr">
        <is>
          <t>Shimadzu TOC-L</t>
        </is>
      </c>
      <c r="Q181" s="20" t="inlineStr">
        <is>
          <t>None</t>
        </is>
      </c>
      <c r="R181" s="17" t="n"/>
      <c r="S181" s="16" t="n"/>
      <c r="T181" s="20" t="inlineStr">
        <is>
          <t>Shimadzu TOC-L</t>
        </is>
      </c>
      <c r="U181" s="20" t="inlineStr">
        <is>
          <t>None</t>
        </is>
      </c>
      <c r="V181" s="17" t="n"/>
      <c r="W181" s="16" t="n"/>
      <c r="X181" s="20" t="n"/>
      <c r="Y181" s="20" t="inlineStr">
        <is>
          <t>None</t>
        </is>
      </c>
      <c r="Z181" s="17" t="n"/>
      <c r="AA181" s="16" t="n"/>
      <c r="AB181" s="20" t="n"/>
      <c r="AC181" s="20" t="inlineStr">
        <is>
          <t>None</t>
        </is>
      </c>
      <c r="AD181" s="17" t="n"/>
      <c r="AE181" s="16" t="inlineStr">
        <is>
          <t>298</t>
        </is>
      </c>
      <c r="AF181" s="20" t="inlineStr">
        <is>
          <t>IC Anionen</t>
        </is>
      </c>
      <c r="AG181" s="20" t="inlineStr">
        <is>
          <t>None</t>
        </is>
      </c>
      <c r="AH181" s="17" t="n"/>
      <c r="AI181" s="16" t="n"/>
      <c r="AJ181" s="20" t="n"/>
      <c r="AK181" s="20" t="inlineStr">
        <is>
          <t>None</t>
        </is>
      </c>
      <c r="AL181" s="17" t="n"/>
      <c r="AM181" s="16" t="n"/>
      <c r="AN181" s="20" t="inlineStr">
        <is>
          <t>IC Anionen</t>
        </is>
      </c>
      <c r="AO181" s="20" t="inlineStr">
        <is>
          <t>None</t>
        </is>
      </c>
      <c r="AP181" s="17" t="n"/>
      <c r="AQ181" s="16" t="n"/>
      <c r="AR181" s="20" t="n"/>
      <c r="AS181" s="20" t="inlineStr">
        <is>
          <t>None</t>
        </is>
      </c>
      <c r="AT181" s="17" t="n"/>
      <c r="AU181" s="16" t="inlineStr">
        <is>
          <t>14.2</t>
        </is>
      </c>
      <c r="AV181" s="20" t="inlineStr">
        <is>
          <t>IC Anionen</t>
        </is>
      </c>
      <c r="AW181" s="20" t="inlineStr">
        <is>
          <t>None</t>
        </is>
      </c>
      <c r="AX181" s="17" t="n"/>
      <c r="AY181" s="16" t="inlineStr">
        <is>
          <t>1.86</t>
        </is>
      </c>
      <c r="AZ181" s="20" t="inlineStr">
        <is>
          <t>IC Anionen</t>
        </is>
      </c>
      <c r="BA181" s="20" t="inlineStr">
        <is>
          <t>None</t>
        </is>
      </c>
      <c r="BB181" s="17" t="n"/>
      <c r="BC181" s="16" t="inlineStr">
        <is>
          <t>171</t>
        </is>
      </c>
      <c r="BD181" s="20" t="inlineStr">
        <is>
          <t>IC Kationen</t>
        </is>
      </c>
      <c r="BE181" s="20" t="inlineStr">
        <is>
          <t>None</t>
        </is>
      </c>
      <c r="BF181" s="17" t="n"/>
      <c r="BG181" s="16" t="inlineStr">
        <is>
          <t>12.6</t>
        </is>
      </c>
      <c r="BH181" s="20" t="inlineStr">
        <is>
          <t>IC Kationen</t>
        </is>
      </c>
      <c r="BI181" s="20" t="inlineStr">
        <is>
          <t>None</t>
        </is>
      </c>
      <c r="BJ181" s="17" t="n"/>
      <c r="BK181" s="16" t="inlineStr">
        <is>
          <t>18.2</t>
        </is>
      </c>
      <c r="BL181" s="20" t="inlineStr">
        <is>
          <t>IC Kationen</t>
        </is>
      </c>
      <c r="BM181" s="20" t="inlineStr">
        <is>
          <t>None</t>
        </is>
      </c>
      <c r="BN181" s="17" t="n"/>
      <c r="BO181" s="16" t="inlineStr">
        <is>
          <t>270</t>
        </is>
      </c>
      <c r="BP181" s="20" t="inlineStr">
        <is>
          <t>IC Kationen</t>
        </is>
      </c>
      <c r="BQ181" s="20" t="inlineStr">
        <is>
          <t>None</t>
        </is>
      </c>
      <c r="BR181" s="17" t="n"/>
      <c r="BS181" s="16" t="inlineStr">
        <is>
          <t>32.6</t>
        </is>
      </c>
      <c r="BT181" s="20" t="inlineStr">
        <is>
          <t>IC Kationen</t>
        </is>
      </c>
      <c r="BU181" s="20" t="inlineStr">
        <is>
          <t>None</t>
        </is>
      </c>
      <c r="BV181" s="17" t="n"/>
      <c r="BW181" s="16" t="n"/>
      <c r="BX181" s="20" t="n"/>
      <c r="BY181" s="20" t="inlineStr">
        <is>
          <t>None</t>
        </is>
      </c>
      <c r="BZ181" s="17" t="n"/>
      <c r="CA181" s="16" t="n"/>
      <c r="CB181" s="20" t="n"/>
      <c r="CC181" s="20" t="inlineStr">
        <is>
          <t>None</t>
        </is>
      </c>
      <c r="CD181" s="17" t="n"/>
      <c r="CE181" s="16" t="n"/>
      <c r="CF181" s="20" t="n"/>
      <c r="CG181" s="20" t="inlineStr">
        <is>
          <t>None</t>
        </is>
      </c>
      <c r="CH181" s="17" t="n"/>
      <c r="CI181" s="16" t="n"/>
      <c r="CJ181" s="20" t="n"/>
      <c r="CK181" s="20" t="inlineStr">
        <is>
          <t>None</t>
        </is>
      </c>
      <c r="CL181" s="17" t="n"/>
      <c r="CM181" s="16" t="n"/>
      <c r="CN181" s="20" t="inlineStr">
        <is>
          <t>SOP 45-34</t>
        </is>
      </c>
      <c r="CO181" s="20" t="inlineStr">
        <is>
          <t>None</t>
        </is>
      </c>
      <c r="CP181" s="17" t="n"/>
      <c r="CQ181" s="16" t="n"/>
      <c r="CR181" s="20" t="n"/>
      <c r="CS181" s="20" t="inlineStr">
        <is>
          <t>None</t>
        </is>
      </c>
      <c r="CT181" s="17" t="n"/>
      <c r="CU181" s="16" t="n"/>
      <c r="CV181" s="20" t="n"/>
      <c r="CW181" s="20" t="inlineStr">
        <is>
          <t>None</t>
        </is>
      </c>
      <c r="CX181" s="17" t="n"/>
      <c r="CY181" s="16" t="n"/>
      <c r="CZ181" s="20" t="inlineStr">
        <is>
          <t>WTW Multimeter 3430 with FDO 925</t>
        </is>
      </c>
      <c r="DA181" s="20" t="inlineStr">
        <is>
          <t>None</t>
        </is>
      </c>
      <c r="DB181" s="17" t="n"/>
      <c r="DC181" s="16" t="n"/>
      <c r="DD181" s="20" t="n"/>
      <c r="DE181" s="20" t="inlineStr">
        <is>
          <t>None</t>
        </is>
      </c>
      <c r="DF181" s="17" t="n"/>
      <c r="DG181" s="16" t="n"/>
      <c r="DH181" s="20" t="inlineStr">
        <is>
          <t>SOP 45-09</t>
        </is>
      </c>
      <c r="DI181" s="20" t="inlineStr">
        <is>
          <t>None</t>
        </is>
      </c>
      <c r="DJ181" s="17" t="n"/>
      <c r="DK181" s="16" t="n"/>
      <c r="DL181" s="20" t="inlineStr">
        <is>
          <t>SOP 45-09 (SOP muss noch angepasst werden für VSS)</t>
        </is>
      </c>
      <c r="DM181" s="20" t="inlineStr">
        <is>
          <t>None</t>
        </is>
      </c>
      <c r="DN181" s="17" t="n"/>
      <c r="DO181" s="16" t="n"/>
      <c r="DP181" s="20" t="inlineStr">
        <is>
          <t>IC Organic Acids</t>
        </is>
      </c>
      <c r="DQ181" s="20" t="inlineStr">
        <is>
          <t>None</t>
        </is>
      </c>
      <c r="DR181" s="17" t="n"/>
      <c r="DS181" s="16" t="n"/>
      <c r="DT181" s="20" t="inlineStr">
        <is>
          <t>IC Organic Acids</t>
        </is>
      </c>
      <c r="DU181" s="20" t="inlineStr">
        <is>
          <t>None</t>
        </is>
      </c>
      <c r="DV181" s="17" t="n"/>
      <c r="DW181" s="16" t="n"/>
      <c r="DX181" s="20" t="inlineStr">
        <is>
          <t>IC Organic Acids</t>
        </is>
      </c>
      <c r="DY181" s="20" t="inlineStr">
        <is>
          <t>None</t>
        </is>
      </c>
      <c r="DZ181" s="17" t="n"/>
      <c r="EA181" s="16" t="n"/>
      <c r="EB181" s="20" t="inlineStr">
        <is>
          <t>IC Organic Acids</t>
        </is>
      </c>
      <c r="EC181" s="20" t="inlineStr">
        <is>
          <t>None</t>
        </is>
      </c>
      <c r="ED181" s="17" t="n"/>
      <c r="EE181" s="16" t="n"/>
      <c r="EF181" s="20" t="inlineStr">
        <is>
          <t>IC Organic Acids</t>
        </is>
      </c>
      <c r="EG181" s="20" t="inlineStr">
        <is>
          <t>None</t>
        </is>
      </c>
      <c r="EH181" s="17" t="n"/>
      <c r="EI181" s="16" t="n"/>
      <c r="EJ181" s="20" t="inlineStr">
        <is>
          <t>IC Organic Acids</t>
        </is>
      </c>
      <c r="EK181" s="20" t="inlineStr">
        <is>
          <t>None</t>
        </is>
      </c>
      <c r="EL181" s="17" t="n"/>
      <c r="EM181" s="16" t="n"/>
      <c r="EN181" s="20" t="inlineStr">
        <is>
          <t>IC Organic Acids</t>
        </is>
      </c>
      <c r="EO181" s="20" t="inlineStr">
        <is>
          <t>None</t>
        </is>
      </c>
      <c r="EP181" s="17" t="n"/>
      <c r="EQ181" s="16" t="n"/>
      <c r="ER181" s="20" t="inlineStr">
        <is>
          <t>IC Organic Acids</t>
        </is>
      </c>
      <c r="ES181" s="20" t="inlineStr">
        <is>
          <t>None</t>
        </is>
      </c>
      <c r="ET181" s="17" t="n"/>
      <c r="EU181" s="16" t="n"/>
      <c r="EV181" s="20" t="inlineStr">
        <is>
          <t>LC-MS</t>
        </is>
      </c>
      <c r="EW181" s="20" t="inlineStr">
        <is>
          <t>None</t>
        </is>
      </c>
      <c r="EX181" s="17" t="n"/>
      <c r="EY181" s="21" t="n"/>
      <c r="EZ181">
        <f>CONCATENATE(A181,B181)</f>
        <v/>
      </c>
      <c r="FA181">
        <f>CONCATENATE(SamplesX!A181,SamplesX!B181)</f>
        <v/>
      </c>
      <c r="FC181">
        <f>MATCH(EZ181,FA1:FA1008,0)</f>
        <v/>
      </c>
    </row>
    <row r="182">
      <c r="A182" s="16" t="inlineStr">
        <is>
          <t>BP</t>
        </is>
      </c>
      <c r="B182" s="17" t="inlineStr">
        <is>
          <t>25174</t>
        </is>
      </c>
      <c r="C182" s="10">
        <f>IF(ISNUMBER(FC182),INDIRECT("SamplesX!C"&amp;FC182),IF(ISNUMBER(FD182),INDIRECT("SamplesY!C"&amp;FD182),""))</f>
        <v/>
      </c>
      <c r="D182" s="12">
        <f>IF(ISNUMBER(FC182),INDIRECT("SamplesX!D"&amp;FC182),IF(ISNUMBER(FD182),INDIRECT("SamplesY!D"&amp;FD182),""))</f>
        <v/>
      </c>
      <c r="E182" s="12">
        <f>IF(ISNUMBER(FC182),INDIRECT("SamplesX!E"&amp;FC182),IF(ISNUMBER(FD182),INDIRECT("SamplesY!E"&amp;FD182),""))</f>
        <v/>
      </c>
      <c r="F182" s="11">
        <f>IF(ISNUMBER(FC182),INDIRECT("SamplesX!F"&amp;FC182),IF(ISNUMBER(FD182),INDIRECT("SamplesY!F"&amp;FD182),""))</f>
        <v/>
      </c>
      <c r="G182" s="18">
        <f>IF(ISNUMBER(FC182),INDIRECT("SamplesX!G"&amp;FC182),IF(ISNUMBER(FD182),INDIRECT("SamplesY!G"&amp;FD182),""))</f>
        <v/>
      </c>
      <c r="H182" s="19">
        <f>IF(ISNUMBER(FC182),INDIRECT("SamplesX!H"&amp;FC182),IF(ISNUMBER(FD182),INDIRECT("SamplesY!H"&amp;FD182),""))</f>
        <v/>
      </c>
      <c r="I182" s="16" t="n"/>
      <c r="J182" s="16" t="n"/>
      <c r="K182" s="16" t="n"/>
      <c r="L182" s="20" t="n"/>
      <c r="M182" s="20" t="inlineStr">
        <is>
          <t>None</t>
        </is>
      </c>
      <c r="N182" s="17" t="n"/>
      <c r="O182" s="16" t="n"/>
      <c r="P182" s="20" t="inlineStr">
        <is>
          <t>Shimadzu TOC-L</t>
        </is>
      </c>
      <c r="Q182" s="20" t="inlineStr">
        <is>
          <t>None</t>
        </is>
      </c>
      <c r="R182" s="17" t="n"/>
      <c r="S182" s="16" t="n"/>
      <c r="T182" s="20" t="inlineStr">
        <is>
          <t>Shimadzu TOC-L</t>
        </is>
      </c>
      <c r="U182" s="20" t="inlineStr">
        <is>
          <t>None</t>
        </is>
      </c>
      <c r="V182" s="17" t="n"/>
      <c r="W182" s="16" t="n"/>
      <c r="X182" s="20" t="n"/>
      <c r="Y182" s="20" t="inlineStr">
        <is>
          <t>None</t>
        </is>
      </c>
      <c r="Z182" s="17" t="n"/>
      <c r="AA182" s="16" t="n"/>
      <c r="AB182" s="20" t="n"/>
      <c r="AC182" s="20" t="inlineStr">
        <is>
          <t>None</t>
        </is>
      </c>
      <c r="AD182" s="17" t="n"/>
      <c r="AE182" s="16" t="inlineStr">
        <is>
          <t>456</t>
        </is>
      </c>
      <c r="AF182" s="20" t="inlineStr">
        <is>
          <t>IC Anionen</t>
        </is>
      </c>
      <c r="AG182" s="20" t="inlineStr">
        <is>
          <t>None</t>
        </is>
      </c>
      <c r="AH182" s="17" t="n"/>
      <c r="AI182" s="16" t="n"/>
      <c r="AJ182" s="20" t="n"/>
      <c r="AK182" s="20" t="inlineStr">
        <is>
          <t>None</t>
        </is>
      </c>
      <c r="AL182" s="17" t="n"/>
      <c r="AM182" s="16" t="n"/>
      <c r="AN182" s="20" t="inlineStr">
        <is>
          <t>IC Anionen</t>
        </is>
      </c>
      <c r="AO182" s="20" t="inlineStr">
        <is>
          <t>None</t>
        </is>
      </c>
      <c r="AP182" s="17" t="n"/>
      <c r="AQ182" s="16" t="n"/>
      <c r="AR182" s="20" t="n"/>
      <c r="AS182" s="20" t="inlineStr">
        <is>
          <t>None</t>
        </is>
      </c>
      <c r="AT182" s="17" t="n"/>
      <c r="AU182" s="16" t="inlineStr">
        <is>
          <t>&lt;0.13</t>
        </is>
      </c>
      <c r="AV182" s="20" t="inlineStr">
        <is>
          <t>IC Anionen</t>
        </is>
      </c>
      <c r="AW182" s="20" t="inlineStr">
        <is>
          <t>None</t>
        </is>
      </c>
      <c r="AX182" s="17" t="n"/>
      <c r="AY182" s="16" t="inlineStr">
        <is>
          <t>&lt;0.80</t>
        </is>
      </c>
      <c r="AZ182" s="20" t="inlineStr">
        <is>
          <t>IC Anionen</t>
        </is>
      </c>
      <c r="BA182" s="20" t="inlineStr">
        <is>
          <t>None</t>
        </is>
      </c>
      <c r="BB182" s="17" t="n"/>
      <c r="BC182" s="16" t="inlineStr">
        <is>
          <t>159</t>
        </is>
      </c>
      <c r="BD182" s="20" t="inlineStr">
        <is>
          <t>IC Kationen</t>
        </is>
      </c>
      <c r="BE182" s="20" t="inlineStr">
        <is>
          <t>None</t>
        </is>
      </c>
      <c r="BF182" s="17" t="n"/>
      <c r="BG182" s="16" t="inlineStr">
        <is>
          <t>39.8</t>
        </is>
      </c>
      <c r="BH182" s="20" t="inlineStr">
        <is>
          <t>IC Kationen</t>
        </is>
      </c>
      <c r="BI182" s="20" t="inlineStr">
        <is>
          <t>None</t>
        </is>
      </c>
      <c r="BJ182" s="17" t="n"/>
      <c r="BK182" s="16" t="inlineStr">
        <is>
          <t>17.3</t>
        </is>
      </c>
      <c r="BL182" s="20" t="inlineStr">
        <is>
          <t>IC Kationen</t>
        </is>
      </c>
      <c r="BM182" s="20" t="inlineStr">
        <is>
          <t>None</t>
        </is>
      </c>
      <c r="BN182" s="17" t="n"/>
      <c r="BO182" s="16" t="inlineStr">
        <is>
          <t>226</t>
        </is>
      </c>
      <c r="BP182" s="20" t="inlineStr">
        <is>
          <t>IC Kationen</t>
        </is>
      </c>
      <c r="BQ182" s="20" t="inlineStr">
        <is>
          <t>None</t>
        </is>
      </c>
      <c r="BR182" s="17" t="n"/>
      <c r="BS182" s="16" t="inlineStr">
        <is>
          <t>8.54</t>
        </is>
      </c>
      <c r="BT182" s="20" t="inlineStr">
        <is>
          <t>IC Kationen</t>
        </is>
      </c>
      <c r="BU182" s="20" t="inlineStr">
        <is>
          <t>None</t>
        </is>
      </c>
      <c r="BV182" s="17" t="n"/>
      <c r="BW182" s="16" t="n"/>
      <c r="BX182" s="20" t="n"/>
      <c r="BY182" s="20" t="inlineStr">
        <is>
          <t>None</t>
        </is>
      </c>
      <c r="BZ182" s="17" t="n"/>
      <c r="CA182" s="16" t="n"/>
      <c r="CB182" s="20" t="n"/>
      <c r="CC182" s="20" t="inlineStr">
        <is>
          <t>None</t>
        </is>
      </c>
      <c r="CD182" s="17" t="n"/>
      <c r="CE182" s="16" t="n"/>
      <c r="CF182" s="20" t="n"/>
      <c r="CG182" s="20" t="inlineStr">
        <is>
          <t>None</t>
        </is>
      </c>
      <c r="CH182" s="17" t="n"/>
      <c r="CI182" s="16" t="n"/>
      <c r="CJ182" s="20" t="n"/>
      <c r="CK182" s="20" t="inlineStr">
        <is>
          <t>None</t>
        </is>
      </c>
      <c r="CL182" s="17" t="n"/>
      <c r="CM182" s="16" t="n"/>
      <c r="CN182" s="20" t="inlineStr">
        <is>
          <t>SOP 45-34</t>
        </is>
      </c>
      <c r="CO182" s="20" t="inlineStr">
        <is>
          <t>None</t>
        </is>
      </c>
      <c r="CP182" s="17" t="n"/>
      <c r="CQ182" s="16" t="n"/>
      <c r="CR182" s="20" t="n"/>
      <c r="CS182" s="20" t="inlineStr">
        <is>
          <t>None</t>
        </is>
      </c>
      <c r="CT182" s="17" t="n"/>
      <c r="CU182" s="16" t="n"/>
      <c r="CV182" s="20" t="n"/>
      <c r="CW182" s="20" t="inlineStr">
        <is>
          <t>None</t>
        </is>
      </c>
      <c r="CX182" s="17" t="n"/>
      <c r="CY182" s="16" t="n"/>
      <c r="CZ182" s="20" t="inlineStr">
        <is>
          <t>WTW Multimeter 3430 with FDO 925</t>
        </is>
      </c>
      <c r="DA182" s="20" t="inlineStr">
        <is>
          <t>None</t>
        </is>
      </c>
      <c r="DB182" s="17" t="n"/>
      <c r="DC182" s="16" t="n"/>
      <c r="DD182" s="20" t="n"/>
      <c r="DE182" s="20" t="inlineStr">
        <is>
          <t>None</t>
        </is>
      </c>
      <c r="DF182" s="17" t="n"/>
      <c r="DG182" s="16" t="n"/>
      <c r="DH182" s="20" t="inlineStr">
        <is>
          <t>SOP 45-09</t>
        </is>
      </c>
      <c r="DI182" s="20" t="inlineStr">
        <is>
          <t>None</t>
        </is>
      </c>
      <c r="DJ182" s="17" t="n"/>
      <c r="DK182" s="16" t="n"/>
      <c r="DL182" s="20" t="inlineStr">
        <is>
          <t>SOP 45-09 (SOP muss noch angepasst werden für VSS)</t>
        </is>
      </c>
      <c r="DM182" s="20" t="inlineStr">
        <is>
          <t>None</t>
        </is>
      </c>
      <c r="DN182" s="17" t="n"/>
      <c r="DO182" s="16" t="n"/>
      <c r="DP182" s="20" t="inlineStr">
        <is>
          <t>IC Organic Acids</t>
        </is>
      </c>
      <c r="DQ182" s="20" t="inlineStr">
        <is>
          <t>None</t>
        </is>
      </c>
      <c r="DR182" s="17" t="n"/>
      <c r="DS182" s="16" t="n"/>
      <c r="DT182" s="20" t="inlineStr">
        <is>
          <t>IC Organic Acids</t>
        </is>
      </c>
      <c r="DU182" s="20" t="inlineStr">
        <is>
          <t>None</t>
        </is>
      </c>
      <c r="DV182" s="17" t="n"/>
      <c r="DW182" s="16" t="n"/>
      <c r="DX182" s="20" t="inlineStr">
        <is>
          <t>IC Organic Acids</t>
        </is>
      </c>
      <c r="DY182" s="20" t="inlineStr">
        <is>
          <t>None</t>
        </is>
      </c>
      <c r="DZ182" s="17" t="n"/>
      <c r="EA182" s="16" t="n"/>
      <c r="EB182" s="20" t="inlineStr">
        <is>
          <t>IC Organic Acids</t>
        </is>
      </c>
      <c r="EC182" s="20" t="inlineStr">
        <is>
          <t>None</t>
        </is>
      </c>
      <c r="ED182" s="17" t="n"/>
      <c r="EE182" s="16" t="n"/>
      <c r="EF182" s="20" t="inlineStr">
        <is>
          <t>IC Organic Acids</t>
        </is>
      </c>
      <c r="EG182" s="20" t="inlineStr">
        <is>
          <t>None</t>
        </is>
      </c>
      <c r="EH182" s="17" t="n"/>
      <c r="EI182" s="16" t="n"/>
      <c r="EJ182" s="20" t="inlineStr">
        <is>
          <t>IC Organic Acids</t>
        </is>
      </c>
      <c r="EK182" s="20" t="inlineStr">
        <is>
          <t>None</t>
        </is>
      </c>
      <c r="EL182" s="17" t="n"/>
      <c r="EM182" s="16" t="n"/>
      <c r="EN182" s="20" t="inlineStr">
        <is>
          <t>IC Organic Acids</t>
        </is>
      </c>
      <c r="EO182" s="20" t="inlineStr">
        <is>
          <t>None</t>
        </is>
      </c>
      <c r="EP182" s="17" t="n"/>
      <c r="EQ182" s="16" t="n"/>
      <c r="ER182" s="20" t="inlineStr">
        <is>
          <t>IC Organic Acids</t>
        </is>
      </c>
      <c r="ES182" s="20" t="inlineStr">
        <is>
          <t>None</t>
        </is>
      </c>
      <c r="ET182" s="17" t="n"/>
      <c r="EU182" s="16" t="n"/>
      <c r="EV182" s="20" t="inlineStr">
        <is>
          <t>LC-MS</t>
        </is>
      </c>
      <c r="EW182" s="20" t="inlineStr">
        <is>
          <t>None</t>
        </is>
      </c>
      <c r="EX182" s="17" t="n"/>
      <c r="EY182" s="21" t="n"/>
      <c r="EZ182">
        <f>CONCATENATE(A182,B182)</f>
        <v/>
      </c>
      <c r="FA182">
        <f>CONCATENATE(SamplesX!A182,SamplesX!B182)</f>
        <v/>
      </c>
      <c r="FC182">
        <f>MATCH(EZ182,FA1:FA1008,0)</f>
        <v/>
      </c>
    </row>
    <row r="183">
      <c r="A183" s="16" t="inlineStr">
        <is>
          <t>BP</t>
        </is>
      </c>
      <c r="B183" s="17" t="inlineStr">
        <is>
          <t>25175</t>
        </is>
      </c>
      <c r="C183" s="10">
        <f>IF(ISNUMBER(FC183),INDIRECT("SamplesX!C"&amp;FC183),IF(ISNUMBER(FD183),INDIRECT("SamplesY!C"&amp;FD183),""))</f>
        <v/>
      </c>
      <c r="D183" s="12">
        <f>IF(ISNUMBER(FC183),INDIRECT("SamplesX!D"&amp;FC183),IF(ISNUMBER(FD183),INDIRECT("SamplesY!D"&amp;FD183),""))</f>
        <v/>
      </c>
      <c r="E183" s="12">
        <f>IF(ISNUMBER(FC183),INDIRECT("SamplesX!E"&amp;FC183),IF(ISNUMBER(FD183),INDIRECT("SamplesY!E"&amp;FD183),""))</f>
        <v/>
      </c>
      <c r="F183" s="11">
        <f>IF(ISNUMBER(FC183),INDIRECT("SamplesX!F"&amp;FC183),IF(ISNUMBER(FD183),INDIRECT("SamplesY!F"&amp;FD183),""))</f>
        <v/>
      </c>
      <c r="G183" s="18">
        <f>IF(ISNUMBER(FC183),INDIRECT("SamplesX!G"&amp;FC183),IF(ISNUMBER(FD183),INDIRECT("SamplesY!G"&amp;FD183),""))</f>
        <v/>
      </c>
      <c r="H183" s="19">
        <f>IF(ISNUMBER(FC183),INDIRECT("SamplesX!H"&amp;FC183),IF(ISNUMBER(FD183),INDIRECT("SamplesY!H"&amp;FD183),""))</f>
        <v/>
      </c>
      <c r="I183" s="16" t="n"/>
      <c r="J183" s="16" t="n"/>
      <c r="K183" s="16" t="n"/>
      <c r="L183" s="20" t="n"/>
      <c r="M183" s="20" t="inlineStr">
        <is>
          <t>None</t>
        </is>
      </c>
      <c r="N183" s="17" t="n"/>
      <c r="O183" s="16" t="n"/>
      <c r="P183" s="20" t="inlineStr">
        <is>
          <t>Shimadzu TOC-L</t>
        </is>
      </c>
      <c r="Q183" s="20" t="inlineStr">
        <is>
          <t>None</t>
        </is>
      </c>
      <c r="R183" s="17" t="n"/>
      <c r="S183" s="16" t="n"/>
      <c r="T183" s="20" t="inlineStr">
        <is>
          <t>Shimadzu TOC-L</t>
        </is>
      </c>
      <c r="U183" s="20" t="inlineStr">
        <is>
          <t>None</t>
        </is>
      </c>
      <c r="V183" s="17" t="n"/>
      <c r="W183" s="16" t="n"/>
      <c r="X183" s="20" t="n"/>
      <c r="Y183" s="20" t="inlineStr">
        <is>
          <t>None</t>
        </is>
      </c>
      <c r="Z183" s="17" t="n"/>
      <c r="AA183" s="16" t="n"/>
      <c r="AB183" s="20" t="n"/>
      <c r="AC183" s="20" t="inlineStr">
        <is>
          <t>None</t>
        </is>
      </c>
      <c r="AD183" s="17" t="n"/>
      <c r="AE183" s="16" t="inlineStr">
        <is>
          <t>464</t>
        </is>
      </c>
      <c r="AF183" s="20" t="inlineStr">
        <is>
          <t>IC Anionen</t>
        </is>
      </c>
      <c r="AG183" s="20" t="inlineStr">
        <is>
          <t>None</t>
        </is>
      </c>
      <c r="AH183" s="17" t="n"/>
      <c r="AI183" s="16" t="n"/>
      <c r="AJ183" s="20" t="n"/>
      <c r="AK183" s="20" t="inlineStr">
        <is>
          <t>None</t>
        </is>
      </c>
      <c r="AL183" s="17" t="n"/>
      <c r="AM183" s="16" t="n"/>
      <c r="AN183" s="20" t="inlineStr">
        <is>
          <t>IC Anionen</t>
        </is>
      </c>
      <c r="AO183" s="20" t="inlineStr">
        <is>
          <t>None</t>
        </is>
      </c>
      <c r="AP183" s="17" t="n"/>
      <c r="AQ183" s="16" t="n"/>
      <c r="AR183" s="20" t="n"/>
      <c r="AS183" s="20" t="inlineStr">
        <is>
          <t>None</t>
        </is>
      </c>
      <c r="AT183" s="17" t="n"/>
      <c r="AU183" s="16" t="inlineStr">
        <is>
          <t>&lt;0.13</t>
        </is>
      </c>
      <c r="AV183" s="20" t="inlineStr">
        <is>
          <t>IC Anionen</t>
        </is>
      </c>
      <c r="AW183" s="20" t="inlineStr">
        <is>
          <t>None</t>
        </is>
      </c>
      <c r="AX183" s="17" t="n"/>
      <c r="AY183" s="16" t="inlineStr">
        <is>
          <t>&lt;0.80</t>
        </is>
      </c>
      <c r="AZ183" s="20" t="inlineStr">
        <is>
          <t>IC Anionen</t>
        </is>
      </c>
      <c r="BA183" s="20" t="inlineStr">
        <is>
          <t>None</t>
        </is>
      </c>
      <c r="BB183" s="17" t="n"/>
      <c r="BC183" s="16" t="inlineStr">
        <is>
          <t>157</t>
        </is>
      </c>
      <c r="BD183" s="20" t="inlineStr">
        <is>
          <t>IC Kationen</t>
        </is>
      </c>
      <c r="BE183" s="20" t="inlineStr">
        <is>
          <t>None</t>
        </is>
      </c>
      <c r="BF183" s="17" t="n"/>
      <c r="BG183" s="16" t="inlineStr">
        <is>
          <t>40.3</t>
        </is>
      </c>
      <c r="BH183" s="20" t="inlineStr">
        <is>
          <t>IC Kationen</t>
        </is>
      </c>
      <c r="BI183" s="20" t="inlineStr">
        <is>
          <t>None</t>
        </is>
      </c>
      <c r="BJ183" s="17" t="n"/>
      <c r="BK183" s="16" t="inlineStr">
        <is>
          <t>16.1</t>
        </is>
      </c>
      <c r="BL183" s="20" t="inlineStr">
        <is>
          <t>IC Kationen</t>
        </is>
      </c>
      <c r="BM183" s="20" t="inlineStr">
        <is>
          <t>None</t>
        </is>
      </c>
      <c r="BN183" s="17" t="n"/>
      <c r="BO183" s="16" t="inlineStr">
        <is>
          <t>128</t>
        </is>
      </c>
      <c r="BP183" s="20" t="inlineStr">
        <is>
          <t>IC Kationen</t>
        </is>
      </c>
      <c r="BQ183" s="20" t="inlineStr">
        <is>
          <t>None</t>
        </is>
      </c>
      <c r="BR183" s="17" t="n"/>
      <c r="BS183" s="16" t="inlineStr">
        <is>
          <t>9.04</t>
        </is>
      </c>
      <c r="BT183" s="20" t="inlineStr">
        <is>
          <t>IC Kationen</t>
        </is>
      </c>
      <c r="BU183" s="20" t="inlineStr">
        <is>
          <t>None</t>
        </is>
      </c>
      <c r="BV183" s="17" t="n"/>
      <c r="BW183" s="16" t="n"/>
      <c r="BX183" s="20" t="n"/>
      <c r="BY183" s="20" t="inlineStr">
        <is>
          <t>None</t>
        </is>
      </c>
      <c r="BZ183" s="17" t="n"/>
      <c r="CA183" s="16" t="n"/>
      <c r="CB183" s="20" t="n"/>
      <c r="CC183" s="20" t="inlineStr">
        <is>
          <t>None</t>
        </is>
      </c>
      <c r="CD183" s="17" t="n"/>
      <c r="CE183" s="16" t="n"/>
      <c r="CF183" s="20" t="n"/>
      <c r="CG183" s="20" t="inlineStr">
        <is>
          <t>None</t>
        </is>
      </c>
      <c r="CH183" s="17" t="n"/>
      <c r="CI183" s="16" t="n"/>
      <c r="CJ183" s="20" t="n"/>
      <c r="CK183" s="20" t="inlineStr">
        <is>
          <t>None</t>
        </is>
      </c>
      <c r="CL183" s="17" t="n"/>
      <c r="CM183" s="16" t="n"/>
      <c r="CN183" s="20" t="inlineStr">
        <is>
          <t>SOP 45-34</t>
        </is>
      </c>
      <c r="CO183" s="20" t="inlineStr">
        <is>
          <t>None</t>
        </is>
      </c>
      <c r="CP183" s="17" t="n"/>
      <c r="CQ183" s="16" t="n"/>
      <c r="CR183" s="20" t="n"/>
      <c r="CS183" s="20" t="inlineStr">
        <is>
          <t>None</t>
        </is>
      </c>
      <c r="CT183" s="17" t="n"/>
      <c r="CU183" s="16" t="n"/>
      <c r="CV183" s="20" t="n"/>
      <c r="CW183" s="20" t="inlineStr">
        <is>
          <t>None</t>
        </is>
      </c>
      <c r="CX183" s="17" t="n"/>
      <c r="CY183" s="16" t="n"/>
      <c r="CZ183" s="20" t="inlineStr">
        <is>
          <t>WTW Multimeter 3430 with FDO 925</t>
        </is>
      </c>
      <c r="DA183" s="20" t="inlineStr">
        <is>
          <t>None</t>
        </is>
      </c>
      <c r="DB183" s="17" t="n"/>
      <c r="DC183" s="16" t="n"/>
      <c r="DD183" s="20" t="n"/>
      <c r="DE183" s="20" t="inlineStr">
        <is>
          <t>None</t>
        </is>
      </c>
      <c r="DF183" s="17" t="n"/>
      <c r="DG183" s="16" t="n"/>
      <c r="DH183" s="20" t="inlineStr">
        <is>
          <t>SOP 45-09</t>
        </is>
      </c>
      <c r="DI183" s="20" t="inlineStr">
        <is>
          <t>None</t>
        </is>
      </c>
      <c r="DJ183" s="17" t="n"/>
      <c r="DK183" s="16" t="n"/>
      <c r="DL183" s="20" t="inlineStr">
        <is>
          <t>SOP 45-09 (SOP muss noch angepasst werden für VSS)</t>
        </is>
      </c>
      <c r="DM183" s="20" t="inlineStr">
        <is>
          <t>None</t>
        </is>
      </c>
      <c r="DN183" s="17" t="n"/>
      <c r="DO183" s="16" t="n"/>
      <c r="DP183" s="20" t="inlineStr">
        <is>
          <t>IC Organic Acids</t>
        </is>
      </c>
      <c r="DQ183" s="20" t="inlineStr">
        <is>
          <t>None</t>
        </is>
      </c>
      <c r="DR183" s="17" t="n"/>
      <c r="DS183" s="16" t="n"/>
      <c r="DT183" s="20" t="inlineStr">
        <is>
          <t>IC Organic Acids</t>
        </is>
      </c>
      <c r="DU183" s="20" t="inlineStr">
        <is>
          <t>None</t>
        </is>
      </c>
      <c r="DV183" s="17" t="n"/>
      <c r="DW183" s="16" t="n"/>
      <c r="DX183" s="20" t="inlineStr">
        <is>
          <t>IC Organic Acids</t>
        </is>
      </c>
      <c r="DY183" s="20" t="inlineStr">
        <is>
          <t>None</t>
        </is>
      </c>
      <c r="DZ183" s="17" t="n"/>
      <c r="EA183" s="16" t="n"/>
      <c r="EB183" s="20" t="inlineStr">
        <is>
          <t>IC Organic Acids</t>
        </is>
      </c>
      <c r="EC183" s="20" t="inlineStr">
        <is>
          <t>None</t>
        </is>
      </c>
      <c r="ED183" s="17" t="n"/>
      <c r="EE183" s="16" t="n"/>
      <c r="EF183" s="20" t="inlineStr">
        <is>
          <t>IC Organic Acids</t>
        </is>
      </c>
      <c r="EG183" s="20" t="inlineStr">
        <is>
          <t>None</t>
        </is>
      </c>
      <c r="EH183" s="17" t="n"/>
      <c r="EI183" s="16" t="n"/>
      <c r="EJ183" s="20" t="inlineStr">
        <is>
          <t>IC Organic Acids</t>
        </is>
      </c>
      <c r="EK183" s="20" t="inlineStr">
        <is>
          <t>None</t>
        </is>
      </c>
      <c r="EL183" s="17" t="n"/>
      <c r="EM183" s="16" t="n"/>
      <c r="EN183" s="20" t="inlineStr">
        <is>
          <t>IC Organic Acids</t>
        </is>
      </c>
      <c r="EO183" s="20" t="inlineStr">
        <is>
          <t>None</t>
        </is>
      </c>
      <c r="EP183" s="17" t="n"/>
      <c r="EQ183" s="16" t="n"/>
      <c r="ER183" s="20" t="inlineStr">
        <is>
          <t>IC Organic Acids</t>
        </is>
      </c>
      <c r="ES183" s="20" t="inlineStr">
        <is>
          <t>None</t>
        </is>
      </c>
      <c r="ET183" s="17" t="n"/>
      <c r="EU183" s="16" t="n"/>
      <c r="EV183" s="20" t="inlineStr">
        <is>
          <t>LC-MS</t>
        </is>
      </c>
      <c r="EW183" s="20" t="inlineStr">
        <is>
          <t>None</t>
        </is>
      </c>
      <c r="EX183" s="17" t="n"/>
      <c r="EY183" s="21" t="n"/>
      <c r="EZ183">
        <f>CONCATENATE(A183,B183)</f>
        <v/>
      </c>
      <c r="FA183">
        <f>CONCATENATE(SamplesX!A183,SamplesX!B183)</f>
        <v/>
      </c>
      <c r="FC183">
        <f>MATCH(EZ183,FA1:FA1008,0)</f>
        <v/>
      </c>
    </row>
    <row r="184">
      <c r="A184" s="16" t="inlineStr">
        <is>
          <t>BP</t>
        </is>
      </c>
      <c r="B184" s="17" t="inlineStr">
        <is>
          <t>25176</t>
        </is>
      </c>
      <c r="C184" s="10">
        <f>IF(ISNUMBER(FC184),INDIRECT("SamplesX!C"&amp;FC184),IF(ISNUMBER(FD184),INDIRECT("SamplesY!C"&amp;FD184),""))</f>
        <v/>
      </c>
      <c r="D184" s="12">
        <f>IF(ISNUMBER(FC184),INDIRECT("SamplesX!D"&amp;FC184),IF(ISNUMBER(FD184),INDIRECT("SamplesY!D"&amp;FD184),""))</f>
        <v/>
      </c>
      <c r="E184" s="12">
        <f>IF(ISNUMBER(FC184),INDIRECT("SamplesX!E"&amp;FC184),IF(ISNUMBER(FD184),INDIRECT("SamplesY!E"&amp;FD184),""))</f>
        <v/>
      </c>
      <c r="F184" s="11">
        <f>IF(ISNUMBER(FC184),INDIRECT("SamplesX!F"&amp;FC184),IF(ISNUMBER(FD184),INDIRECT("SamplesY!F"&amp;FD184),""))</f>
        <v/>
      </c>
      <c r="G184" s="18">
        <f>IF(ISNUMBER(FC184),INDIRECT("SamplesX!G"&amp;FC184),IF(ISNUMBER(FD184),INDIRECT("SamplesY!G"&amp;FD184),""))</f>
        <v/>
      </c>
      <c r="H184" s="19">
        <f>IF(ISNUMBER(FC184),INDIRECT("SamplesX!H"&amp;FC184),IF(ISNUMBER(FD184),INDIRECT("SamplesY!H"&amp;FD184),""))</f>
        <v/>
      </c>
      <c r="I184" s="16" t="n"/>
      <c r="J184" s="16" t="n"/>
      <c r="K184" s="16" t="n"/>
      <c r="L184" s="20" t="n"/>
      <c r="M184" s="20" t="inlineStr">
        <is>
          <t>None</t>
        </is>
      </c>
      <c r="N184" s="17" t="n"/>
      <c r="O184" s="16" t="n"/>
      <c r="P184" s="20" t="inlineStr">
        <is>
          <t>Shimadzu TOC-L</t>
        </is>
      </c>
      <c r="Q184" s="20" t="inlineStr">
        <is>
          <t>None</t>
        </is>
      </c>
      <c r="R184" s="17" t="n"/>
      <c r="S184" s="16" t="n"/>
      <c r="T184" s="20" t="inlineStr">
        <is>
          <t>Shimadzu TOC-L</t>
        </is>
      </c>
      <c r="U184" s="20" t="inlineStr">
        <is>
          <t>None</t>
        </is>
      </c>
      <c r="V184" s="17" t="n"/>
      <c r="W184" s="16" t="n"/>
      <c r="X184" s="20" t="n"/>
      <c r="Y184" s="20" t="inlineStr">
        <is>
          <t>None</t>
        </is>
      </c>
      <c r="Z184" s="17" t="n"/>
      <c r="AA184" s="16" t="n"/>
      <c r="AB184" s="20" t="n"/>
      <c r="AC184" s="20" t="inlineStr">
        <is>
          <t>None</t>
        </is>
      </c>
      <c r="AD184" s="17" t="n"/>
      <c r="AE184" s="16" t="inlineStr">
        <is>
          <t>298</t>
        </is>
      </c>
      <c r="AF184" s="20" t="inlineStr">
        <is>
          <t>IC Anionen</t>
        </is>
      </c>
      <c r="AG184" s="20" t="inlineStr">
        <is>
          <t>None</t>
        </is>
      </c>
      <c r="AH184" s="17" t="n"/>
      <c r="AI184" s="16" t="n"/>
      <c r="AJ184" s="20" t="n"/>
      <c r="AK184" s="20" t="inlineStr">
        <is>
          <t>None</t>
        </is>
      </c>
      <c r="AL184" s="17" t="n"/>
      <c r="AM184" s="16" t="n"/>
      <c r="AN184" s="20" t="inlineStr">
        <is>
          <t>IC Anionen</t>
        </is>
      </c>
      <c r="AO184" s="20" t="inlineStr">
        <is>
          <t>None</t>
        </is>
      </c>
      <c r="AP184" s="17" t="n"/>
      <c r="AQ184" s="16" t="n"/>
      <c r="AR184" s="20" t="n"/>
      <c r="AS184" s="20" t="inlineStr">
        <is>
          <t>None</t>
        </is>
      </c>
      <c r="AT184" s="17" t="n"/>
      <c r="AU184" s="16" t="inlineStr">
        <is>
          <t>6.71</t>
        </is>
      </c>
      <c r="AV184" s="20" t="inlineStr">
        <is>
          <t>IC Anionen</t>
        </is>
      </c>
      <c r="AW184" s="20" t="inlineStr">
        <is>
          <t>None</t>
        </is>
      </c>
      <c r="AX184" s="17" t="n"/>
      <c r="AY184" s="16" t="inlineStr">
        <is>
          <t>3.94</t>
        </is>
      </c>
      <c r="AZ184" s="20" t="inlineStr">
        <is>
          <t>IC Anionen</t>
        </is>
      </c>
      <c r="BA184" s="20" t="inlineStr">
        <is>
          <t>None</t>
        </is>
      </c>
      <c r="BB184" s="17" t="n"/>
      <c r="BC184" s="16" t="inlineStr">
        <is>
          <t>175</t>
        </is>
      </c>
      <c r="BD184" s="20" t="inlineStr">
        <is>
          <t>IC Kationen</t>
        </is>
      </c>
      <c r="BE184" s="20" t="inlineStr">
        <is>
          <t>None</t>
        </is>
      </c>
      <c r="BF184" s="17" t="n"/>
      <c r="BG184" s="16" t="inlineStr">
        <is>
          <t>&lt;1.60</t>
        </is>
      </c>
      <c r="BH184" s="20" t="inlineStr">
        <is>
          <t>IC Kationen</t>
        </is>
      </c>
      <c r="BI184" s="20" t="inlineStr">
        <is>
          <t>None</t>
        </is>
      </c>
      <c r="BJ184" s="17" t="n"/>
      <c r="BK184" s="16" t="inlineStr">
        <is>
          <t>15.3</t>
        </is>
      </c>
      <c r="BL184" s="20" t="inlineStr">
        <is>
          <t>IC Kationen</t>
        </is>
      </c>
      <c r="BM184" s="20" t="inlineStr">
        <is>
          <t>None</t>
        </is>
      </c>
      <c r="BN184" s="17" t="n"/>
      <c r="BO184" s="16" t="inlineStr">
        <is>
          <t>273</t>
        </is>
      </c>
      <c r="BP184" s="20" t="inlineStr">
        <is>
          <t>IC Kationen</t>
        </is>
      </c>
      <c r="BQ184" s="20" t="inlineStr">
        <is>
          <t>None</t>
        </is>
      </c>
      <c r="BR184" s="17" t="n"/>
      <c r="BS184" s="16" t="inlineStr">
        <is>
          <t>8.81</t>
        </is>
      </c>
      <c r="BT184" s="20" t="inlineStr">
        <is>
          <t>IC Kationen</t>
        </is>
      </c>
      <c r="BU184" s="20" t="inlineStr">
        <is>
          <t>None</t>
        </is>
      </c>
      <c r="BV184" s="17" t="n"/>
      <c r="BW184" s="16" t="n"/>
      <c r="BX184" s="20" t="n"/>
      <c r="BY184" s="20" t="inlineStr">
        <is>
          <t>None</t>
        </is>
      </c>
      <c r="BZ184" s="17" t="n"/>
      <c r="CA184" s="16" t="n"/>
      <c r="CB184" s="20" t="n"/>
      <c r="CC184" s="20" t="inlineStr">
        <is>
          <t>None</t>
        </is>
      </c>
      <c r="CD184" s="17" t="n"/>
      <c r="CE184" s="16" t="n"/>
      <c r="CF184" s="20" t="n"/>
      <c r="CG184" s="20" t="inlineStr">
        <is>
          <t>None</t>
        </is>
      </c>
      <c r="CH184" s="17" t="n"/>
      <c r="CI184" s="16" t="n"/>
      <c r="CJ184" s="20" t="n"/>
      <c r="CK184" s="20" t="inlineStr">
        <is>
          <t>None</t>
        </is>
      </c>
      <c r="CL184" s="17" t="n"/>
      <c r="CM184" s="16" t="n"/>
      <c r="CN184" s="20" t="inlineStr">
        <is>
          <t>SOP 45-34</t>
        </is>
      </c>
      <c r="CO184" s="20" t="inlineStr">
        <is>
          <t>None</t>
        </is>
      </c>
      <c r="CP184" s="17" t="n"/>
      <c r="CQ184" s="16" t="n"/>
      <c r="CR184" s="20" t="n"/>
      <c r="CS184" s="20" t="inlineStr">
        <is>
          <t>None</t>
        </is>
      </c>
      <c r="CT184" s="17" t="n"/>
      <c r="CU184" s="16" t="n"/>
      <c r="CV184" s="20" t="n"/>
      <c r="CW184" s="20" t="inlineStr">
        <is>
          <t>None</t>
        </is>
      </c>
      <c r="CX184" s="17" t="n"/>
      <c r="CY184" s="16" t="n"/>
      <c r="CZ184" s="20" t="inlineStr">
        <is>
          <t>WTW Multimeter 3430 with FDO 925</t>
        </is>
      </c>
      <c r="DA184" s="20" t="inlineStr">
        <is>
          <t>None</t>
        </is>
      </c>
      <c r="DB184" s="17" t="n"/>
      <c r="DC184" s="16" t="n"/>
      <c r="DD184" s="20" t="n"/>
      <c r="DE184" s="20" t="inlineStr">
        <is>
          <t>None</t>
        </is>
      </c>
      <c r="DF184" s="17" t="n"/>
      <c r="DG184" s="16" t="n"/>
      <c r="DH184" s="20" t="inlineStr">
        <is>
          <t>SOP 45-09</t>
        </is>
      </c>
      <c r="DI184" s="20" t="inlineStr">
        <is>
          <t>None</t>
        </is>
      </c>
      <c r="DJ184" s="17" t="n"/>
      <c r="DK184" s="16" t="n"/>
      <c r="DL184" s="20" t="inlineStr">
        <is>
          <t>SOP 45-09 (SOP muss noch angepasst werden für VSS)</t>
        </is>
      </c>
      <c r="DM184" s="20" t="inlineStr">
        <is>
          <t>None</t>
        </is>
      </c>
      <c r="DN184" s="17" t="n"/>
      <c r="DO184" s="16" t="n"/>
      <c r="DP184" s="20" t="inlineStr">
        <is>
          <t>IC Organic Acids</t>
        </is>
      </c>
      <c r="DQ184" s="20" t="inlineStr">
        <is>
          <t>None</t>
        </is>
      </c>
      <c r="DR184" s="17" t="n"/>
      <c r="DS184" s="16" t="n"/>
      <c r="DT184" s="20" t="inlineStr">
        <is>
          <t>IC Organic Acids</t>
        </is>
      </c>
      <c r="DU184" s="20" t="inlineStr">
        <is>
          <t>None</t>
        </is>
      </c>
      <c r="DV184" s="17" t="n"/>
      <c r="DW184" s="16" t="n"/>
      <c r="DX184" s="20" t="inlineStr">
        <is>
          <t>IC Organic Acids</t>
        </is>
      </c>
      <c r="DY184" s="20" t="inlineStr">
        <is>
          <t>None</t>
        </is>
      </c>
      <c r="DZ184" s="17" t="n"/>
      <c r="EA184" s="16" t="n"/>
      <c r="EB184" s="20" t="inlineStr">
        <is>
          <t>IC Organic Acids</t>
        </is>
      </c>
      <c r="EC184" s="20" t="inlineStr">
        <is>
          <t>None</t>
        </is>
      </c>
      <c r="ED184" s="17" t="n"/>
      <c r="EE184" s="16" t="n"/>
      <c r="EF184" s="20" t="inlineStr">
        <is>
          <t>IC Organic Acids</t>
        </is>
      </c>
      <c r="EG184" s="20" t="inlineStr">
        <is>
          <t>None</t>
        </is>
      </c>
      <c r="EH184" s="17" t="n"/>
      <c r="EI184" s="16" t="n"/>
      <c r="EJ184" s="20" t="inlineStr">
        <is>
          <t>IC Organic Acids</t>
        </is>
      </c>
      <c r="EK184" s="20" t="inlineStr">
        <is>
          <t>None</t>
        </is>
      </c>
      <c r="EL184" s="17" t="n"/>
      <c r="EM184" s="16" t="n"/>
      <c r="EN184" s="20" t="inlineStr">
        <is>
          <t>IC Organic Acids</t>
        </is>
      </c>
      <c r="EO184" s="20" t="inlineStr">
        <is>
          <t>None</t>
        </is>
      </c>
      <c r="EP184" s="17" t="n"/>
      <c r="EQ184" s="16" t="n"/>
      <c r="ER184" s="20" t="inlineStr">
        <is>
          <t>IC Organic Acids</t>
        </is>
      </c>
      <c r="ES184" s="20" t="inlineStr">
        <is>
          <t>None</t>
        </is>
      </c>
      <c r="ET184" s="17" t="n"/>
      <c r="EU184" s="16" t="n"/>
      <c r="EV184" s="20" t="inlineStr">
        <is>
          <t>LC-MS</t>
        </is>
      </c>
      <c r="EW184" s="20" t="inlineStr">
        <is>
          <t>None</t>
        </is>
      </c>
      <c r="EX184" s="17" t="n"/>
      <c r="EY184" s="21" t="n"/>
      <c r="EZ184">
        <f>CONCATENATE(A184,B184)</f>
        <v/>
      </c>
      <c r="FA184">
        <f>CONCATENATE(SamplesX!A184,SamplesX!B184)</f>
        <v/>
      </c>
      <c r="FC184">
        <f>MATCH(EZ184,FA1:FA1008,0)</f>
        <v/>
      </c>
    </row>
    <row r="185">
      <c r="A185" s="16" t="inlineStr">
        <is>
          <t>BP</t>
        </is>
      </c>
      <c r="B185" s="17" t="inlineStr">
        <is>
          <t>25177</t>
        </is>
      </c>
      <c r="C185" s="10">
        <f>IF(ISNUMBER(FC185),INDIRECT("SamplesX!C"&amp;FC185),IF(ISNUMBER(FD185),INDIRECT("SamplesY!C"&amp;FD185),""))</f>
        <v/>
      </c>
      <c r="D185" s="12">
        <f>IF(ISNUMBER(FC185),INDIRECT("SamplesX!D"&amp;FC185),IF(ISNUMBER(FD185),INDIRECT("SamplesY!D"&amp;FD185),""))</f>
        <v/>
      </c>
      <c r="E185" s="12">
        <f>IF(ISNUMBER(FC185),INDIRECT("SamplesX!E"&amp;FC185),IF(ISNUMBER(FD185),INDIRECT("SamplesY!E"&amp;FD185),""))</f>
        <v/>
      </c>
      <c r="F185" s="11">
        <f>IF(ISNUMBER(FC185),INDIRECT("SamplesX!F"&amp;FC185),IF(ISNUMBER(FD185),INDIRECT("SamplesY!F"&amp;FD185),""))</f>
        <v/>
      </c>
      <c r="G185" s="18">
        <f>IF(ISNUMBER(FC185),INDIRECT("SamplesX!G"&amp;FC185),IF(ISNUMBER(FD185),INDIRECT("SamplesY!G"&amp;FD185),""))</f>
        <v/>
      </c>
      <c r="H185" s="19">
        <f>IF(ISNUMBER(FC185),INDIRECT("SamplesX!H"&amp;FC185),IF(ISNUMBER(FD185),INDIRECT("SamplesY!H"&amp;FD185),""))</f>
        <v/>
      </c>
      <c r="I185" s="16" t="n"/>
      <c r="J185" s="16" t="n"/>
      <c r="K185" s="16" t="n"/>
      <c r="L185" s="20" t="n"/>
      <c r="M185" s="20" t="inlineStr">
        <is>
          <t>None</t>
        </is>
      </c>
      <c r="N185" s="17" t="n"/>
      <c r="O185" s="16" t="n"/>
      <c r="P185" s="20" t="inlineStr">
        <is>
          <t>Shimadzu TOC-L</t>
        </is>
      </c>
      <c r="Q185" s="20" t="inlineStr">
        <is>
          <t>None</t>
        </is>
      </c>
      <c r="R185" s="17" t="n"/>
      <c r="S185" s="16" t="n"/>
      <c r="T185" s="20" t="inlineStr">
        <is>
          <t>Shimadzu TOC-L</t>
        </is>
      </c>
      <c r="U185" s="20" t="inlineStr">
        <is>
          <t>None</t>
        </is>
      </c>
      <c r="V185" s="17" t="n"/>
      <c r="W185" s="16" t="n"/>
      <c r="X185" s="20" t="n"/>
      <c r="Y185" s="20" t="inlineStr">
        <is>
          <t>None</t>
        </is>
      </c>
      <c r="Z185" s="17" t="n"/>
      <c r="AA185" s="16" t="n"/>
      <c r="AB185" s="20" t="n"/>
      <c r="AC185" s="20" t="inlineStr">
        <is>
          <t>None</t>
        </is>
      </c>
      <c r="AD185" s="17" t="n"/>
      <c r="AE185" s="16" t="inlineStr">
        <is>
          <t>327</t>
        </is>
      </c>
      <c r="AF185" s="20" t="inlineStr">
        <is>
          <t>IC Anionen</t>
        </is>
      </c>
      <c r="AG185" s="20" t="inlineStr">
        <is>
          <t>None</t>
        </is>
      </c>
      <c r="AH185" s="17" t="n"/>
      <c r="AI185" s="16" t="n"/>
      <c r="AJ185" s="20" t="n"/>
      <c r="AK185" s="20" t="inlineStr">
        <is>
          <t>None</t>
        </is>
      </c>
      <c r="AL185" s="17" t="n"/>
      <c r="AM185" s="16" t="n"/>
      <c r="AN185" s="20" t="inlineStr">
        <is>
          <t>IC Anionen</t>
        </is>
      </c>
      <c r="AO185" s="20" t="inlineStr">
        <is>
          <t>None</t>
        </is>
      </c>
      <c r="AP185" s="17" t="n"/>
      <c r="AQ185" s="16" t="n"/>
      <c r="AR185" s="20" t="n"/>
      <c r="AS185" s="20" t="inlineStr">
        <is>
          <t>None</t>
        </is>
      </c>
      <c r="AT185" s="17" t="n"/>
      <c r="AU185" s="16" t="inlineStr">
        <is>
          <t>14.6</t>
        </is>
      </c>
      <c r="AV185" s="20" t="inlineStr">
        <is>
          <t>IC Anionen</t>
        </is>
      </c>
      <c r="AW185" s="20" t="inlineStr">
        <is>
          <t>None</t>
        </is>
      </c>
      <c r="AX185" s="17" t="n"/>
      <c r="AY185" s="16" t="inlineStr">
        <is>
          <t>1.95</t>
        </is>
      </c>
      <c r="AZ185" s="20" t="inlineStr">
        <is>
          <t>IC Anionen</t>
        </is>
      </c>
      <c r="BA185" s="20" t="inlineStr">
        <is>
          <t>None</t>
        </is>
      </c>
      <c r="BB185" s="17" t="n"/>
      <c r="BC185" s="16" t="inlineStr">
        <is>
          <t>194</t>
        </is>
      </c>
      <c r="BD185" s="20" t="inlineStr">
        <is>
          <t>IC Kationen</t>
        </is>
      </c>
      <c r="BE185" s="20" t="inlineStr">
        <is>
          <t>None</t>
        </is>
      </c>
      <c r="BF185" s="17" t="n"/>
      <c r="BG185" s="16" t="inlineStr">
        <is>
          <t>8.90</t>
        </is>
      </c>
      <c r="BH185" s="20" t="inlineStr">
        <is>
          <t>FIA Lachat QC8500</t>
        </is>
      </c>
      <c r="BI185" s="20" t="inlineStr">
        <is>
          <t>None</t>
        </is>
      </c>
      <c r="BJ185" s="17" t="n"/>
      <c r="BK185" s="16" t="inlineStr">
        <is>
          <t>19.3</t>
        </is>
      </c>
      <c r="BL185" s="20" t="inlineStr">
        <is>
          <t>IC Kationen</t>
        </is>
      </c>
      <c r="BM185" s="20" t="inlineStr">
        <is>
          <t>None</t>
        </is>
      </c>
      <c r="BN185" s="17" t="n"/>
      <c r="BO185" s="16" t="inlineStr">
        <is>
          <t>319</t>
        </is>
      </c>
      <c r="BP185" s="20" t="inlineStr">
        <is>
          <t>IC Kationen</t>
        </is>
      </c>
      <c r="BQ185" s="20" t="inlineStr">
        <is>
          <t>None</t>
        </is>
      </c>
      <c r="BR185" s="17" t="n"/>
      <c r="BS185" s="16" t="inlineStr">
        <is>
          <t>36.9</t>
        </is>
      </c>
      <c r="BT185" s="20" t="inlineStr">
        <is>
          <t>IC Kationen</t>
        </is>
      </c>
      <c r="BU185" s="20" t="inlineStr">
        <is>
          <t>None</t>
        </is>
      </c>
      <c r="BV185" s="17" t="n"/>
      <c r="BW185" s="16" t="n"/>
      <c r="BX185" s="20" t="n"/>
      <c r="BY185" s="20" t="inlineStr">
        <is>
          <t>None</t>
        </is>
      </c>
      <c r="BZ185" s="17" t="n"/>
      <c r="CA185" s="16" t="n"/>
      <c r="CB185" s="20" t="n"/>
      <c r="CC185" s="20" t="inlineStr">
        <is>
          <t>None</t>
        </is>
      </c>
      <c r="CD185" s="17" t="n"/>
      <c r="CE185" s="16" t="n"/>
      <c r="CF185" s="20" t="n"/>
      <c r="CG185" s="20" t="inlineStr">
        <is>
          <t>None</t>
        </is>
      </c>
      <c r="CH185" s="17" t="n"/>
      <c r="CI185" s="16" t="n"/>
      <c r="CJ185" s="20" t="n"/>
      <c r="CK185" s="20" t="inlineStr">
        <is>
          <t>None</t>
        </is>
      </c>
      <c r="CL185" s="17" t="n"/>
      <c r="CM185" s="16" t="n"/>
      <c r="CN185" s="20" t="inlineStr">
        <is>
          <t>SOP 45-34</t>
        </is>
      </c>
      <c r="CO185" s="20" t="inlineStr">
        <is>
          <t>None</t>
        </is>
      </c>
      <c r="CP185" s="17" t="n"/>
      <c r="CQ185" s="16" t="n"/>
      <c r="CR185" s="20" t="n"/>
      <c r="CS185" s="20" t="inlineStr">
        <is>
          <t>None</t>
        </is>
      </c>
      <c r="CT185" s="17" t="n"/>
      <c r="CU185" s="16" t="n"/>
      <c r="CV185" s="20" t="n"/>
      <c r="CW185" s="20" t="inlineStr">
        <is>
          <t>None</t>
        </is>
      </c>
      <c r="CX185" s="17" t="n"/>
      <c r="CY185" s="16" t="n"/>
      <c r="CZ185" s="20" t="inlineStr">
        <is>
          <t>WTW Multimeter 3430 with FDO 925</t>
        </is>
      </c>
      <c r="DA185" s="20" t="inlineStr">
        <is>
          <t>None</t>
        </is>
      </c>
      <c r="DB185" s="17" t="n"/>
      <c r="DC185" s="16" t="n"/>
      <c r="DD185" s="20" t="n"/>
      <c r="DE185" s="20" t="inlineStr">
        <is>
          <t>None</t>
        </is>
      </c>
      <c r="DF185" s="17" t="n"/>
      <c r="DG185" s="16" t="n"/>
      <c r="DH185" s="20" t="inlineStr">
        <is>
          <t>SOP 45-09</t>
        </is>
      </c>
      <c r="DI185" s="20" t="inlineStr">
        <is>
          <t>None</t>
        </is>
      </c>
      <c r="DJ185" s="17" t="n"/>
      <c r="DK185" s="16" t="n"/>
      <c r="DL185" s="20" t="inlineStr">
        <is>
          <t>SOP 45-09 (SOP muss noch angepasst werden für VSS)</t>
        </is>
      </c>
      <c r="DM185" s="20" t="inlineStr">
        <is>
          <t>None</t>
        </is>
      </c>
      <c r="DN185" s="17" t="n"/>
      <c r="DO185" s="16" t="n"/>
      <c r="DP185" s="20" t="inlineStr">
        <is>
          <t>IC Organic Acids</t>
        </is>
      </c>
      <c r="DQ185" s="20" t="inlineStr">
        <is>
          <t>None</t>
        </is>
      </c>
      <c r="DR185" s="17" t="n"/>
      <c r="DS185" s="16" t="n"/>
      <c r="DT185" s="20" t="inlineStr">
        <is>
          <t>IC Organic Acids</t>
        </is>
      </c>
      <c r="DU185" s="20" t="inlineStr">
        <is>
          <t>None</t>
        </is>
      </c>
      <c r="DV185" s="17" t="n"/>
      <c r="DW185" s="16" t="n"/>
      <c r="DX185" s="20" t="inlineStr">
        <is>
          <t>IC Organic Acids</t>
        </is>
      </c>
      <c r="DY185" s="20" t="inlineStr">
        <is>
          <t>None</t>
        </is>
      </c>
      <c r="DZ185" s="17" t="n"/>
      <c r="EA185" s="16" t="n"/>
      <c r="EB185" s="20" t="inlineStr">
        <is>
          <t>IC Organic Acids</t>
        </is>
      </c>
      <c r="EC185" s="20" t="inlineStr">
        <is>
          <t>None</t>
        </is>
      </c>
      <c r="ED185" s="17" t="n"/>
      <c r="EE185" s="16" t="n"/>
      <c r="EF185" s="20" t="inlineStr">
        <is>
          <t>IC Organic Acids</t>
        </is>
      </c>
      <c r="EG185" s="20" t="inlineStr">
        <is>
          <t>None</t>
        </is>
      </c>
      <c r="EH185" s="17" t="n"/>
      <c r="EI185" s="16" t="n"/>
      <c r="EJ185" s="20" t="inlineStr">
        <is>
          <t>IC Organic Acids</t>
        </is>
      </c>
      <c r="EK185" s="20" t="inlineStr">
        <is>
          <t>None</t>
        </is>
      </c>
      <c r="EL185" s="17" t="n"/>
      <c r="EM185" s="16" t="n"/>
      <c r="EN185" s="20" t="inlineStr">
        <is>
          <t>IC Organic Acids</t>
        </is>
      </c>
      <c r="EO185" s="20" t="inlineStr">
        <is>
          <t>None</t>
        </is>
      </c>
      <c r="EP185" s="17" t="n"/>
      <c r="EQ185" s="16" t="n"/>
      <c r="ER185" s="20" t="inlineStr">
        <is>
          <t>IC Organic Acids</t>
        </is>
      </c>
      <c r="ES185" s="20" t="inlineStr">
        <is>
          <t>None</t>
        </is>
      </c>
      <c r="ET185" s="17" t="n"/>
      <c r="EU185" s="16" t="n"/>
      <c r="EV185" s="20" t="inlineStr">
        <is>
          <t>LC-MS</t>
        </is>
      </c>
      <c r="EW185" s="20" t="inlineStr">
        <is>
          <t>None</t>
        </is>
      </c>
      <c r="EX185" s="17" t="n"/>
      <c r="EY185" s="21" t="n"/>
      <c r="EZ185">
        <f>CONCATENATE(A185,B185)</f>
        <v/>
      </c>
      <c r="FA185">
        <f>CONCATENATE(SamplesX!A185,SamplesX!B185)</f>
        <v/>
      </c>
      <c r="FC185">
        <f>MATCH(EZ185,FA1:FA1008,0)</f>
        <v/>
      </c>
    </row>
    <row r="186">
      <c r="A186" s="16" t="inlineStr">
        <is>
          <t>BP</t>
        </is>
      </c>
      <c r="B186" s="17" t="inlineStr">
        <is>
          <t>25178</t>
        </is>
      </c>
      <c r="C186" s="10">
        <f>IF(ISNUMBER(FC186),INDIRECT("SamplesX!C"&amp;FC186),IF(ISNUMBER(FD186),INDIRECT("SamplesY!C"&amp;FD186),""))</f>
        <v/>
      </c>
      <c r="D186" s="12">
        <f>IF(ISNUMBER(FC186),INDIRECT("SamplesX!D"&amp;FC186),IF(ISNUMBER(FD186),INDIRECT("SamplesY!D"&amp;FD186),""))</f>
        <v/>
      </c>
      <c r="E186" s="12">
        <f>IF(ISNUMBER(FC186),INDIRECT("SamplesX!E"&amp;FC186),IF(ISNUMBER(FD186),INDIRECT("SamplesY!E"&amp;FD186),""))</f>
        <v/>
      </c>
      <c r="F186" s="11">
        <f>IF(ISNUMBER(FC186),INDIRECT("SamplesX!F"&amp;FC186),IF(ISNUMBER(FD186),INDIRECT("SamplesY!F"&amp;FD186),""))</f>
        <v/>
      </c>
      <c r="G186" s="18">
        <f>IF(ISNUMBER(FC186),INDIRECT("SamplesX!G"&amp;FC186),IF(ISNUMBER(FD186),INDIRECT("SamplesY!G"&amp;FD186),""))</f>
        <v/>
      </c>
      <c r="H186" s="19">
        <f>IF(ISNUMBER(FC186),INDIRECT("SamplesX!H"&amp;FC186),IF(ISNUMBER(FD186),INDIRECT("SamplesY!H"&amp;FD186),""))</f>
        <v/>
      </c>
      <c r="I186" s="16" t="n"/>
      <c r="J186" s="16" t="n"/>
      <c r="K186" s="16" t="n"/>
      <c r="L186" s="20" t="n"/>
      <c r="M186" s="20" t="inlineStr">
        <is>
          <t>None</t>
        </is>
      </c>
      <c r="N186" s="17" t="n"/>
      <c r="O186" s="16" t="n"/>
      <c r="P186" s="20" t="inlineStr">
        <is>
          <t>Shimadzu TOC-L</t>
        </is>
      </c>
      <c r="Q186" s="20" t="inlineStr">
        <is>
          <t>None</t>
        </is>
      </c>
      <c r="R186" s="17" t="n"/>
      <c r="S186" s="16" t="n"/>
      <c r="T186" s="20" t="inlineStr">
        <is>
          <t>Shimadzu TOC-L</t>
        </is>
      </c>
      <c r="U186" s="20" t="inlineStr">
        <is>
          <t>None</t>
        </is>
      </c>
      <c r="V186" s="17" t="n"/>
      <c r="W186" s="16" t="n"/>
      <c r="X186" s="20" t="n"/>
      <c r="Y186" s="20" t="inlineStr">
        <is>
          <t>None</t>
        </is>
      </c>
      <c r="Z186" s="17" t="n"/>
      <c r="AA186" s="16" t="n"/>
      <c r="AB186" s="20" t="n"/>
      <c r="AC186" s="20" t="inlineStr">
        <is>
          <t>None</t>
        </is>
      </c>
      <c r="AD186" s="17" t="n"/>
      <c r="AE186" s="16" t="inlineStr">
        <is>
          <t>432</t>
        </is>
      </c>
      <c r="AF186" s="20" t="inlineStr">
        <is>
          <t>IC Anionen</t>
        </is>
      </c>
      <c r="AG186" s="20" t="inlineStr">
        <is>
          <t>None</t>
        </is>
      </c>
      <c r="AH186" s="17" t="n"/>
      <c r="AI186" s="16" t="n"/>
      <c r="AJ186" s="20" t="n"/>
      <c r="AK186" s="20" t="inlineStr">
        <is>
          <t>None</t>
        </is>
      </c>
      <c r="AL186" s="17" t="n"/>
      <c r="AM186" s="16" t="n"/>
      <c r="AN186" s="20" t="inlineStr">
        <is>
          <t>IC Anionen</t>
        </is>
      </c>
      <c r="AO186" s="20" t="inlineStr">
        <is>
          <t>None</t>
        </is>
      </c>
      <c r="AP186" s="17" t="n"/>
      <c r="AQ186" s="16" t="n"/>
      <c r="AR186" s="20" t="n"/>
      <c r="AS186" s="20" t="inlineStr">
        <is>
          <t>None</t>
        </is>
      </c>
      <c r="AT186" s="17" t="n"/>
      <c r="AU186" s="16" t="inlineStr">
        <is>
          <t>1.45</t>
        </is>
      </c>
      <c r="AV186" s="20" t="inlineStr">
        <is>
          <t>IC Anionen</t>
        </is>
      </c>
      <c r="AW186" s="20" t="inlineStr">
        <is>
          <t>None</t>
        </is>
      </c>
      <c r="AX186" s="17" t="n"/>
      <c r="AY186" s="16" t="inlineStr">
        <is>
          <t>1.73</t>
        </is>
      </c>
      <c r="AZ186" s="20" t="inlineStr">
        <is>
          <t>IC Anionen</t>
        </is>
      </c>
      <c r="BA186" s="20" t="inlineStr">
        <is>
          <t>None</t>
        </is>
      </c>
      <c r="BB186" s="17" t="n"/>
      <c r="BC186" s="16" t="inlineStr">
        <is>
          <t>173</t>
        </is>
      </c>
      <c r="BD186" s="20" t="inlineStr">
        <is>
          <t>IC Kationen</t>
        </is>
      </c>
      <c r="BE186" s="20" t="inlineStr">
        <is>
          <t>None</t>
        </is>
      </c>
      <c r="BF186" s="17" t="n"/>
      <c r="BG186" s="16" t="inlineStr">
        <is>
          <t>8.34</t>
        </is>
      </c>
      <c r="BH186" s="20" t="inlineStr">
        <is>
          <t>FIA Lachat QC8500</t>
        </is>
      </c>
      <c r="BI186" s="20" t="inlineStr">
        <is>
          <t>None</t>
        </is>
      </c>
      <c r="BJ186" s="17" t="n"/>
      <c r="BK186" s="16" t="inlineStr">
        <is>
          <t>16.4</t>
        </is>
      </c>
      <c r="BL186" s="20" t="inlineStr">
        <is>
          <t>IC Kationen</t>
        </is>
      </c>
      <c r="BM186" s="20" t="inlineStr">
        <is>
          <t>None</t>
        </is>
      </c>
      <c r="BN186" s="17" t="n"/>
      <c r="BO186" s="16" t="inlineStr">
        <is>
          <t>276</t>
        </is>
      </c>
      <c r="BP186" s="20" t="inlineStr">
        <is>
          <t>IC Kationen</t>
        </is>
      </c>
      <c r="BQ186" s="20" t="inlineStr">
        <is>
          <t>None</t>
        </is>
      </c>
      <c r="BR186" s="17" t="n"/>
      <c r="BS186" s="16" t="inlineStr">
        <is>
          <t>32.4</t>
        </is>
      </c>
      <c r="BT186" s="20" t="inlineStr">
        <is>
          <t>IC Kationen</t>
        </is>
      </c>
      <c r="BU186" s="20" t="inlineStr">
        <is>
          <t>None</t>
        </is>
      </c>
      <c r="BV186" s="17" t="n"/>
      <c r="BW186" s="16" t="n"/>
      <c r="BX186" s="20" t="n"/>
      <c r="BY186" s="20" t="inlineStr">
        <is>
          <t>None</t>
        </is>
      </c>
      <c r="BZ186" s="17" t="n"/>
      <c r="CA186" s="16" t="n"/>
      <c r="CB186" s="20" t="n"/>
      <c r="CC186" s="20" t="inlineStr">
        <is>
          <t>None</t>
        </is>
      </c>
      <c r="CD186" s="17" t="n"/>
      <c r="CE186" s="16" t="n"/>
      <c r="CF186" s="20" t="n"/>
      <c r="CG186" s="20" t="inlineStr">
        <is>
          <t>None</t>
        </is>
      </c>
      <c r="CH186" s="17" t="n"/>
      <c r="CI186" s="16" t="n"/>
      <c r="CJ186" s="20" t="n"/>
      <c r="CK186" s="20" t="inlineStr">
        <is>
          <t>None</t>
        </is>
      </c>
      <c r="CL186" s="17" t="n"/>
      <c r="CM186" s="16" t="n"/>
      <c r="CN186" s="20" t="inlineStr">
        <is>
          <t>SOP 45-34</t>
        </is>
      </c>
      <c r="CO186" s="20" t="inlineStr">
        <is>
          <t>None</t>
        </is>
      </c>
      <c r="CP186" s="17" t="n"/>
      <c r="CQ186" s="16" t="n"/>
      <c r="CR186" s="20" t="n"/>
      <c r="CS186" s="20" t="inlineStr">
        <is>
          <t>None</t>
        </is>
      </c>
      <c r="CT186" s="17" t="n"/>
      <c r="CU186" s="16" t="n"/>
      <c r="CV186" s="20" t="n"/>
      <c r="CW186" s="20" t="inlineStr">
        <is>
          <t>None</t>
        </is>
      </c>
      <c r="CX186" s="17" t="n"/>
      <c r="CY186" s="16" t="n"/>
      <c r="CZ186" s="20" t="inlineStr">
        <is>
          <t>WTW Multimeter 3430 with FDO 925</t>
        </is>
      </c>
      <c r="DA186" s="20" t="inlineStr">
        <is>
          <t>None</t>
        </is>
      </c>
      <c r="DB186" s="17" t="n"/>
      <c r="DC186" s="16" t="n"/>
      <c r="DD186" s="20" t="n"/>
      <c r="DE186" s="20" t="inlineStr">
        <is>
          <t>None</t>
        </is>
      </c>
      <c r="DF186" s="17" t="n"/>
      <c r="DG186" s="16" t="n"/>
      <c r="DH186" s="20" t="inlineStr">
        <is>
          <t>SOP 45-09</t>
        </is>
      </c>
      <c r="DI186" s="20" t="inlineStr">
        <is>
          <t>None</t>
        </is>
      </c>
      <c r="DJ186" s="17" t="n"/>
      <c r="DK186" s="16" t="n"/>
      <c r="DL186" s="20" t="inlineStr">
        <is>
          <t>SOP 45-09 (SOP muss noch angepasst werden für VSS)</t>
        </is>
      </c>
      <c r="DM186" s="20" t="inlineStr">
        <is>
          <t>None</t>
        </is>
      </c>
      <c r="DN186" s="17" t="n"/>
      <c r="DO186" s="16" t="n"/>
      <c r="DP186" s="20" t="inlineStr">
        <is>
          <t>IC Organic Acids</t>
        </is>
      </c>
      <c r="DQ186" s="20" t="inlineStr">
        <is>
          <t>None</t>
        </is>
      </c>
      <c r="DR186" s="17" t="n"/>
      <c r="DS186" s="16" t="n"/>
      <c r="DT186" s="20" t="inlineStr">
        <is>
          <t>IC Organic Acids</t>
        </is>
      </c>
      <c r="DU186" s="20" t="inlineStr">
        <is>
          <t>None</t>
        </is>
      </c>
      <c r="DV186" s="17" t="n"/>
      <c r="DW186" s="16" t="n"/>
      <c r="DX186" s="20" t="inlineStr">
        <is>
          <t>IC Organic Acids</t>
        </is>
      </c>
      <c r="DY186" s="20" t="inlineStr">
        <is>
          <t>None</t>
        </is>
      </c>
      <c r="DZ186" s="17" t="n"/>
      <c r="EA186" s="16" t="n"/>
      <c r="EB186" s="20" t="inlineStr">
        <is>
          <t>IC Organic Acids</t>
        </is>
      </c>
      <c r="EC186" s="20" t="inlineStr">
        <is>
          <t>None</t>
        </is>
      </c>
      <c r="ED186" s="17" t="n"/>
      <c r="EE186" s="16" t="n"/>
      <c r="EF186" s="20" t="inlineStr">
        <is>
          <t>IC Organic Acids</t>
        </is>
      </c>
      <c r="EG186" s="20" t="inlineStr">
        <is>
          <t>None</t>
        </is>
      </c>
      <c r="EH186" s="17" t="n"/>
      <c r="EI186" s="16" t="n"/>
      <c r="EJ186" s="20" t="inlineStr">
        <is>
          <t>IC Organic Acids</t>
        </is>
      </c>
      <c r="EK186" s="20" t="inlineStr">
        <is>
          <t>None</t>
        </is>
      </c>
      <c r="EL186" s="17" t="n"/>
      <c r="EM186" s="16" t="n"/>
      <c r="EN186" s="20" t="inlineStr">
        <is>
          <t>IC Organic Acids</t>
        </is>
      </c>
      <c r="EO186" s="20" t="inlineStr">
        <is>
          <t>None</t>
        </is>
      </c>
      <c r="EP186" s="17" t="n"/>
      <c r="EQ186" s="16" t="n"/>
      <c r="ER186" s="20" t="inlineStr">
        <is>
          <t>IC Organic Acids</t>
        </is>
      </c>
      <c r="ES186" s="20" t="inlineStr">
        <is>
          <t>None</t>
        </is>
      </c>
      <c r="ET186" s="17" t="n"/>
      <c r="EU186" s="16" t="n"/>
      <c r="EV186" s="20" t="inlineStr">
        <is>
          <t>LC-MS</t>
        </is>
      </c>
      <c r="EW186" s="20" t="inlineStr">
        <is>
          <t>None</t>
        </is>
      </c>
      <c r="EX186" s="17" t="n"/>
      <c r="EY186" s="21" t="n"/>
      <c r="EZ186">
        <f>CONCATENATE(A186,B186)</f>
        <v/>
      </c>
      <c r="FA186">
        <f>CONCATENATE(SamplesX!A186,SamplesX!B186)</f>
        <v/>
      </c>
      <c r="FC186">
        <f>MATCH(EZ186,FA1:FA1008,0)</f>
        <v/>
      </c>
    </row>
    <row r="187">
      <c r="A187" s="16" t="inlineStr">
        <is>
          <t>BP</t>
        </is>
      </c>
      <c r="B187" s="17" t="inlineStr">
        <is>
          <t>25179</t>
        </is>
      </c>
      <c r="C187" s="10">
        <f>IF(ISNUMBER(FC187),INDIRECT("SamplesX!C"&amp;FC187),IF(ISNUMBER(FD187),INDIRECT("SamplesY!C"&amp;FD187),""))</f>
        <v/>
      </c>
      <c r="D187" s="12">
        <f>IF(ISNUMBER(FC187),INDIRECT("SamplesX!D"&amp;FC187),IF(ISNUMBER(FD187),INDIRECT("SamplesY!D"&amp;FD187),""))</f>
        <v/>
      </c>
      <c r="E187" s="12">
        <f>IF(ISNUMBER(FC187),INDIRECT("SamplesX!E"&amp;FC187),IF(ISNUMBER(FD187),INDIRECT("SamplesY!E"&amp;FD187),""))</f>
        <v/>
      </c>
      <c r="F187" s="11">
        <f>IF(ISNUMBER(FC187),INDIRECT("SamplesX!F"&amp;FC187),IF(ISNUMBER(FD187),INDIRECT("SamplesY!F"&amp;FD187),""))</f>
        <v/>
      </c>
      <c r="G187" s="18">
        <f>IF(ISNUMBER(FC187),INDIRECT("SamplesX!G"&amp;FC187),IF(ISNUMBER(FD187),INDIRECT("SamplesY!G"&amp;FD187),""))</f>
        <v/>
      </c>
      <c r="H187" s="19">
        <f>IF(ISNUMBER(FC187),INDIRECT("SamplesX!H"&amp;FC187),IF(ISNUMBER(FD187),INDIRECT("SamplesY!H"&amp;FD187),""))</f>
        <v/>
      </c>
      <c r="I187" s="16" t="n"/>
      <c r="J187" s="16" t="n"/>
      <c r="K187" s="16" t="n"/>
      <c r="L187" s="20" t="n"/>
      <c r="M187" s="20" t="inlineStr">
        <is>
          <t>None</t>
        </is>
      </c>
      <c r="N187" s="17" t="n"/>
      <c r="O187" s="16" t="n"/>
      <c r="P187" s="20" t="inlineStr">
        <is>
          <t>Shimadzu TOC-L</t>
        </is>
      </c>
      <c r="Q187" s="20" t="inlineStr">
        <is>
          <t>None</t>
        </is>
      </c>
      <c r="R187" s="17" t="n"/>
      <c r="S187" s="16" t="n"/>
      <c r="T187" s="20" t="inlineStr">
        <is>
          <t>Shimadzu TOC-L</t>
        </is>
      </c>
      <c r="U187" s="20" t="inlineStr">
        <is>
          <t>None</t>
        </is>
      </c>
      <c r="V187" s="17" t="n"/>
      <c r="W187" s="16" t="n"/>
      <c r="X187" s="20" t="n"/>
      <c r="Y187" s="20" t="inlineStr">
        <is>
          <t>None</t>
        </is>
      </c>
      <c r="Z187" s="17" t="n"/>
      <c r="AA187" s="16" t="n"/>
      <c r="AB187" s="20" t="n"/>
      <c r="AC187" s="20" t="inlineStr">
        <is>
          <t>None</t>
        </is>
      </c>
      <c r="AD187" s="17" t="n"/>
      <c r="AE187" s="16" t="inlineStr">
        <is>
          <t>463</t>
        </is>
      </c>
      <c r="AF187" s="20" t="inlineStr">
        <is>
          <t>IC Anionen</t>
        </is>
      </c>
      <c r="AG187" s="20" t="inlineStr">
        <is>
          <t>None</t>
        </is>
      </c>
      <c r="AH187" s="17" t="n"/>
      <c r="AI187" s="16" t="n"/>
      <c r="AJ187" s="20" t="n"/>
      <c r="AK187" s="20" t="inlineStr">
        <is>
          <t>None</t>
        </is>
      </c>
      <c r="AL187" s="17" t="n"/>
      <c r="AM187" s="16" t="n"/>
      <c r="AN187" s="20" t="inlineStr">
        <is>
          <t>IC Anionen</t>
        </is>
      </c>
      <c r="AO187" s="20" t="inlineStr">
        <is>
          <t>None</t>
        </is>
      </c>
      <c r="AP187" s="17" t="n"/>
      <c r="AQ187" s="16" t="n"/>
      <c r="AR187" s="20" t="n"/>
      <c r="AS187" s="20" t="inlineStr">
        <is>
          <t>None</t>
        </is>
      </c>
      <c r="AT187" s="17" t="n"/>
      <c r="AU187" s="16" t="inlineStr">
        <is>
          <t>&lt;0.13</t>
        </is>
      </c>
      <c r="AV187" s="20" t="inlineStr">
        <is>
          <t>IC Anionen</t>
        </is>
      </c>
      <c r="AW187" s="20" t="inlineStr">
        <is>
          <t>None</t>
        </is>
      </c>
      <c r="AX187" s="17" t="n"/>
      <c r="AY187" s="16" t="inlineStr">
        <is>
          <t>1.92</t>
        </is>
      </c>
      <c r="AZ187" s="20" t="inlineStr">
        <is>
          <t>IC Anionen</t>
        </is>
      </c>
      <c r="BA187" s="20" t="inlineStr">
        <is>
          <t>None</t>
        </is>
      </c>
      <c r="BB187" s="17" t="n"/>
      <c r="BC187" s="16" t="inlineStr">
        <is>
          <t>183</t>
        </is>
      </c>
      <c r="BD187" s="20" t="inlineStr">
        <is>
          <t>IC Kationen</t>
        </is>
      </c>
      <c r="BE187" s="20" t="inlineStr">
        <is>
          <t>None</t>
        </is>
      </c>
      <c r="BF187" s="17" t="n"/>
      <c r="BG187" s="16" t="inlineStr">
        <is>
          <t>&lt;0.50</t>
        </is>
      </c>
      <c r="BH187" s="20" t="inlineStr">
        <is>
          <t>FIA Lachat QC8500</t>
        </is>
      </c>
      <c r="BI187" s="20" t="inlineStr">
        <is>
          <t>None</t>
        </is>
      </c>
      <c r="BJ187" s="17" t="n"/>
      <c r="BK187" s="16" t="inlineStr">
        <is>
          <t>16.1</t>
        </is>
      </c>
      <c r="BL187" s="20" t="inlineStr">
        <is>
          <t>IC Kationen</t>
        </is>
      </c>
      <c r="BM187" s="20" t="inlineStr">
        <is>
          <t>None</t>
        </is>
      </c>
      <c r="BN187" s="17" t="n"/>
      <c r="BO187" s="16" t="inlineStr">
        <is>
          <t>272</t>
        </is>
      </c>
      <c r="BP187" s="20" t="inlineStr">
        <is>
          <t>IC Kationen</t>
        </is>
      </c>
      <c r="BQ187" s="20" t="inlineStr">
        <is>
          <t>None</t>
        </is>
      </c>
      <c r="BR187" s="17" t="n"/>
      <c r="BS187" s="16" t="inlineStr">
        <is>
          <t>34.5</t>
        </is>
      </c>
      <c r="BT187" s="20" t="inlineStr">
        <is>
          <t>IC Kationen</t>
        </is>
      </c>
      <c r="BU187" s="20" t="inlineStr">
        <is>
          <t>None</t>
        </is>
      </c>
      <c r="BV187" s="17" t="n"/>
      <c r="BW187" s="16" t="n"/>
      <c r="BX187" s="20" t="n"/>
      <c r="BY187" s="20" t="inlineStr">
        <is>
          <t>None</t>
        </is>
      </c>
      <c r="BZ187" s="17" t="n"/>
      <c r="CA187" s="16" t="n"/>
      <c r="CB187" s="20" t="n"/>
      <c r="CC187" s="20" t="inlineStr">
        <is>
          <t>None</t>
        </is>
      </c>
      <c r="CD187" s="17" t="n"/>
      <c r="CE187" s="16" t="n"/>
      <c r="CF187" s="20" t="n"/>
      <c r="CG187" s="20" t="inlineStr">
        <is>
          <t>None</t>
        </is>
      </c>
      <c r="CH187" s="17" t="n"/>
      <c r="CI187" s="16" t="n"/>
      <c r="CJ187" s="20" t="n"/>
      <c r="CK187" s="20" t="inlineStr">
        <is>
          <t>None</t>
        </is>
      </c>
      <c r="CL187" s="17" t="n"/>
      <c r="CM187" s="16" t="n"/>
      <c r="CN187" s="20" t="inlineStr">
        <is>
          <t>SOP 45-34</t>
        </is>
      </c>
      <c r="CO187" s="20" t="inlineStr">
        <is>
          <t>None</t>
        </is>
      </c>
      <c r="CP187" s="17" t="n"/>
      <c r="CQ187" s="16" t="n"/>
      <c r="CR187" s="20" t="n"/>
      <c r="CS187" s="20" t="inlineStr">
        <is>
          <t>None</t>
        </is>
      </c>
      <c r="CT187" s="17" t="n"/>
      <c r="CU187" s="16" t="n"/>
      <c r="CV187" s="20" t="n"/>
      <c r="CW187" s="20" t="inlineStr">
        <is>
          <t>None</t>
        </is>
      </c>
      <c r="CX187" s="17" t="n"/>
      <c r="CY187" s="16" t="n"/>
      <c r="CZ187" s="20" t="inlineStr">
        <is>
          <t>WTW Multimeter 3430 with FDO 925</t>
        </is>
      </c>
      <c r="DA187" s="20" t="inlineStr">
        <is>
          <t>None</t>
        </is>
      </c>
      <c r="DB187" s="17" t="n"/>
      <c r="DC187" s="16" t="n"/>
      <c r="DD187" s="20" t="n"/>
      <c r="DE187" s="20" t="inlineStr">
        <is>
          <t>None</t>
        </is>
      </c>
      <c r="DF187" s="17" t="n"/>
      <c r="DG187" s="16" t="n"/>
      <c r="DH187" s="20" t="inlineStr">
        <is>
          <t>SOP 45-09</t>
        </is>
      </c>
      <c r="DI187" s="20" t="inlineStr">
        <is>
          <t>None</t>
        </is>
      </c>
      <c r="DJ187" s="17" t="n"/>
      <c r="DK187" s="16" t="n"/>
      <c r="DL187" s="20" t="inlineStr">
        <is>
          <t>SOP 45-09 (SOP muss noch angepasst werden für VSS)</t>
        </is>
      </c>
      <c r="DM187" s="20" t="inlineStr">
        <is>
          <t>None</t>
        </is>
      </c>
      <c r="DN187" s="17" t="n"/>
      <c r="DO187" s="16" t="n"/>
      <c r="DP187" s="20" t="inlineStr">
        <is>
          <t>IC Organic Acids</t>
        </is>
      </c>
      <c r="DQ187" s="20" t="inlineStr">
        <is>
          <t>None</t>
        </is>
      </c>
      <c r="DR187" s="17" t="n"/>
      <c r="DS187" s="16" t="n"/>
      <c r="DT187" s="20" t="inlineStr">
        <is>
          <t>IC Organic Acids</t>
        </is>
      </c>
      <c r="DU187" s="20" t="inlineStr">
        <is>
          <t>None</t>
        </is>
      </c>
      <c r="DV187" s="17" t="n"/>
      <c r="DW187" s="16" t="n"/>
      <c r="DX187" s="20" t="inlineStr">
        <is>
          <t>IC Organic Acids</t>
        </is>
      </c>
      <c r="DY187" s="20" t="inlineStr">
        <is>
          <t>None</t>
        </is>
      </c>
      <c r="DZ187" s="17" t="n"/>
      <c r="EA187" s="16" t="n"/>
      <c r="EB187" s="20" t="inlineStr">
        <is>
          <t>IC Organic Acids</t>
        </is>
      </c>
      <c r="EC187" s="20" t="inlineStr">
        <is>
          <t>None</t>
        </is>
      </c>
      <c r="ED187" s="17" t="n"/>
      <c r="EE187" s="16" t="n"/>
      <c r="EF187" s="20" t="inlineStr">
        <is>
          <t>IC Organic Acids</t>
        </is>
      </c>
      <c r="EG187" s="20" t="inlineStr">
        <is>
          <t>None</t>
        </is>
      </c>
      <c r="EH187" s="17" t="n"/>
      <c r="EI187" s="16" t="n"/>
      <c r="EJ187" s="20" t="inlineStr">
        <is>
          <t>IC Organic Acids</t>
        </is>
      </c>
      <c r="EK187" s="20" t="inlineStr">
        <is>
          <t>None</t>
        </is>
      </c>
      <c r="EL187" s="17" t="n"/>
      <c r="EM187" s="16" t="n"/>
      <c r="EN187" s="20" t="inlineStr">
        <is>
          <t>IC Organic Acids</t>
        </is>
      </c>
      <c r="EO187" s="20" t="inlineStr">
        <is>
          <t>None</t>
        </is>
      </c>
      <c r="EP187" s="17" t="n"/>
      <c r="EQ187" s="16" t="n"/>
      <c r="ER187" s="20" t="inlineStr">
        <is>
          <t>IC Organic Acids</t>
        </is>
      </c>
      <c r="ES187" s="20" t="inlineStr">
        <is>
          <t>None</t>
        </is>
      </c>
      <c r="ET187" s="17" t="n"/>
      <c r="EU187" s="16" t="n"/>
      <c r="EV187" s="20" t="inlineStr">
        <is>
          <t>LC-MS</t>
        </is>
      </c>
      <c r="EW187" s="20" t="inlineStr">
        <is>
          <t>None</t>
        </is>
      </c>
      <c r="EX187" s="17" t="n"/>
      <c r="EY187" s="21" t="n"/>
      <c r="EZ187">
        <f>CONCATENATE(A187,B187)</f>
        <v/>
      </c>
      <c r="FA187">
        <f>CONCATENATE(SamplesX!A187,SamplesX!B187)</f>
        <v/>
      </c>
      <c r="FC187">
        <f>MATCH(EZ187,FA1:FA1008,0)</f>
        <v/>
      </c>
    </row>
    <row r="188">
      <c r="A188" s="16" t="inlineStr">
        <is>
          <t>BP</t>
        </is>
      </c>
      <c r="B188" s="17" t="inlineStr">
        <is>
          <t>25180</t>
        </is>
      </c>
      <c r="C188" s="10">
        <f>IF(ISNUMBER(FC188),INDIRECT("SamplesX!C"&amp;FC188),IF(ISNUMBER(FD188),INDIRECT("SamplesY!C"&amp;FD188),""))</f>
        <v/>
      </c>
      <c r="D188" s="12">
        <f>IF(ISNUMBER(FC188),INDIRECT("SamplesX!D"&amp;FC188),IF(ISNUMBER(FD188),INDIRECT("SamplesY!D"&amp;FD188),""))</f>
        <v/>
      </c>
      <c r="E188" s="12">
        <f>IF(ISNUMBER(FC188),INDIRECT("SamplesX!E"&amp;FC188),IF(ISNUMBER(FD188),INDIRECT("SamplesY!E"&amp;FD188),""))</f>
        <v/>
      </c>
      <c r="F188" s="11">
        <f>IF(ISNUMBER(FC188),INDIRECT("SamplesX!F"&amp;FC188),IF(ISNUMBER(FD188),INDIRECT("SamplesY!F"&amp;FD188),""))</f>
        <v/>
      </c>
      <c r="G188" s="18">
        <f>IF(ISNUMBER(FC188),INDIRECT("SamplesX!G"&amp;FC188),IF(ISNUMBER(FD188),INDIRECT("SamplesY!G"&amp;FD188),""))</f>
        <v/>
      </c>
      <c r="H188" s="19">
        <f>IF(ISNUMBER(FC188),INDIRECT("SamplesX!H"&amp;FC188),IF(ISNUMBER(FD188),INDIRECT("SamplesY!H"&amp;FD188),""))</f>
        <v/>
      </c>
      <c r="I188" s="16" t="n"/>
      <c r="J188" s="16" t="n"/>
      <c r="K188" s="16" t="n"/>
      <c r="L188" s="20" t="n"/>
      <c r="M188" s="20" t="inlineStr">
        <is>
          <t>None</t>
        </is>
      </c>
      <c r="N188" s="17" t="n"/>
      <c r="O188" s="16" t="n"/>
      <c r="P188" s="20" t="inlineStr">
        <is>
          <t>Shimadzu TOC-L</t>
        </is>
      </c>
      <c r="Q188" s="20" t="inlineStr">
        <is>
          <t>None</t>
        </is>
      </c>
      <c r="R188" s="17" t="n"/>
      <c r="S188" s="16" t="n"/>
      <c r="T188" s="20" t="inlineStr">
        <is>
          <t>Shimadzu TOC-L</t>
        </is>
      </c>
      <c r="U188" s="20" t="inlineStr">
        <is>
          <t>None</t>
        </is>
      </c>
      <c r="V188" s="17" t="n"/>
      <c r="W188" s="16" t="n"/>
      <c r="X188" s="20" t="n"/>
      <c r="Y188" s="20" t="inlineStr">
        <is>
          <t>None</t>
        </is>
      </c>
      <c r="Z188" s="17" t="n"/>
      <c r="AA188" s="16" t="n"/>
      <c r="AB188" s="20" t="n"/>
      <c r="AC188" s="20" t="inlineStr">
        <is>
          <t>None</t>
        </is>
      </c>
      <c r="AD188" s="17" t="n"/>
      <c r="AE188" s="16" t="inlineStr">
        <is>
          <t>310</t>
        </is>
      </c>
      <c r="AF188" s="20" t="inlineStr">
        <is>
          <t>IC Anionen</t>
        </is>
      </c>
      <c r="AG188" s="20" t="inlineStr">
        <is>
          <t>None</t>
        </is>
      </c>
      <c r="AH188" s="17" t="n"/>
      <c r="AI188" s="16" t="n"/>
      <c r="AJ188" s="20" t="n"/>
      <c r="AK188" s="20" t="inlineStr">
        <is>
          <t>None</t>
        </is>
      </c>
      <c r="AL188" s="17" t="n"/>
      <c r="AM188" s="16" t="n"/>
      <c r="AN188" s="20" t="inlineStr">
        <is>
          <t>IC Anionen</t>
        </is>
      </c>
      <c r="AO188" s="20" t="inlineStr">
        <is>
          <t>None</t>
        </is>
      </c>
      <c r="AP188" s="17" t="n"/>
      <c r="AQ188" s="16" t="n"/>
      <c r="AR188" s="20" t="n"/>
      <c r="AS188" s="20" t="inlineStr">
        <is>
          <t>None</t>
        </is>
      </c>
      <c r="AT188" s="17" t="n"/>
      <c r="AU188" s="16" t="inlineStr">
        <is>
          <t>2.36</t>
        </is>
      </c>
      <c r="AV188" s="20" t="inlineStr">
        <is>
          <t>IC Anionen</t>
        </is>
      </c>
      <c r="AW188" s="20" t="inlineStr">
        <is>
          <t>None</t>
        </is>
      </c>
      <c r="AX188" s="17" t="n"/>
      <c r="AY188" s="16" t="inlineStr">
        <is>
          <t>3.32</t>
        </is>
      </c>
      <c r="AZ188" s="20" t="inlineStr">
        <is>
          <t>IC Anionen</t>
        </is>
      </c>
      <c r="BA188" s="20" t="inlineStr">
        <is>
          <t>None</t>
        </is>
      </c>
      <c r="BB188" s="17" t="n"/>
      <c r="BC188" s="16" t="inlineStr">
        <is>
          <t>182</t>
        </is>
      </c>
      <c r="BD188" s="20" t="inlineStr">
        <is>
          <t>IC Kationen</t>
        </is>
      </c>
      <c r="BE188" s="20" t="inlineStr">
        <is>
          <t>None</t>
        </is>
      </c>
      <c r="BF188" s="17" t="n"/>
      <c r="BG188" s="16" t="inlineStr">
        <is>
          <t>&lt;0.50</t>
        </is>
      </c>
      <c r="BH188" s="20" t="inlineStr">
        <is>
          <t>FIA Lachat QC8500</t>
        </is>
      </c>
      <c r="BI188" s="20" t="inlineStr">
        <is>
          <t>None</t>
        </is>
      </c>
      <c r="BJ188" s="17" t="n"/>
      <c r="BK188" s="16" t="inlineStr">
        <is>
          <t>14.3</t>
        </is>
      </c>
      <c r="BL188" s="20" t="inlineStr">
        <is>
          <t>IC Kationen</t>
        </is>
      </c>
      <c r="BM188" s="20" t="inlineStr">
        <is>
          <t>None</t>
        </is>
      </c>
      <c r="BN188" s="17" t="n"/>
      <c r="BO188" s="16" t="inlineStr">
        <is>
          <t>271</t>
        </is>
      </c>
      <c r="BP188" s="20" t="inlineStr">
        <is>
          <t>IC Kationen</t>
        </is>
      </c>
      <c r="BQ188" s="20" t="inlineStr">
        <is>
          <t>None</t>
        </is>
      </c>
      <c r="BR188" s="17" t="n"/>
      <c r="BS188" s="16" t="inlineStr">
        <is>
          <t>33.3</t>
        </is>
      </c>
      <c r="BT188" s="20" t="inlineStr">
        <is>
          <t>IC Kationen</t>
        </is>
      </c>
      <c r="BU188" s="20" t="inlineStr">
        <is>
          <t>None</t>
        </is>
      </c>
      <c r="BV188" s="17" t="n"/>
      <c r="BW188" s="16" t="n"/>
      <c r="BX188" s="20" t="n"/>
      <c r="BY188" s="20" t="inlineStr">
        <is>
          <t>None</t>
        </is>
      </c>
      <c r="BZ188" s="17" t="n"/>
      <c r="CA188" s="16" t="n"/>
      <c r="CB188" s="20" t="n"/>
      <c r="CC188" s="20" t="inlineStr">
        <is>
          <t>None</t>
        </is>
      </c>
      <c r="CD188" s="17" t="n"/>
      <c r="CE188" s="16" t="n"/>
      <c r="CF188" s="20" t="n"/>
      <c r="CG188" s="20" t="inlineStr">
        <is>
          <t>None</t>
        </is>
      </c>
      <c r="CH188" s="17" t="n"/>
      <c r="CI188" s="16" t="n"/>
      <c r="CJ188" s="20" t="n"/>
      <c r="CK188" s="20" t="inlineStr">
        <is>
          <t>None</t>
        </is>
      </c>
      <c r="CL188" s="17" t="n"/>
      <c r="CM188" s="16" t="n"/>
      <c r="CN188" s="20" t="inlineStr">
        <is>
          <t>SOP 45-34</t>
        </is>
      </c>
      <c r="CO188" s="20" t="inlineStr">
        <is>
          <t>None</t>
        </is>
      </c>
      <c r="CP188" s="17" t="n"/>
      <c r="CQ188" s="16" t="n"/>
      <c r="CR188" s="20" t="n"/>
      <c r="CS188" s="20" t="inlineStr">
        <is>
          <t>None</t>
        </is>
      </c>
      <c r="CT188" s="17" t="n"/>
      <c r="CU188" s="16" t="n"/>
      <c r="CV188" s="20" t="n"/>
      <c r="CW188" s="20" t="inlineStr">
        <is>
          <t>None</t>
        </is>
      </c>
      <c r="CX188" s="17" t="n"/>
      <c r="CY188" s="16" t="n"/>
      <c r="CZ188" s="20" t="inlineStr">
        <is>
          <t>WTW Multimeter 3430 with FDO 925</t>
        </is>
      </c>
      <c r="DA188" s="20" t="inlineStr">
        <is>
          <t>None</t>
        </is>
      </c>
      <c r="DB188" s="17" t="n"/>
      <c r="DC188" s="16" t="n"/>
      <c r="DD188" s="20" t="n"/>
      <c r="DE188" s="20" t="inlineStr">
        <is>
          <t>None</t>
        </is>
      </c>
      <c r="DF188" s="17" t="n"/>
      <c r="DG188" s="16" t="n"/>
      <c r="DH188" s="20" t="inlineStr">
        <is>
          <t>SOP 45-09</t>
        </is>
      </c>
      <c r="DI188" s="20" t="inlineStr">
        <is>
          <t>None</t>
        </is>
      </c>
      <c r="DJ188" s="17" t="n"/>
      <c r="DK188" s="16" t="n"/>
      <c r="DL188" s="20" t="inlineStr">
        <is>
          <t>SOP 45-09 (SOP muss noch angepasst werden für VSS)</t>
        </is>
      </c>
      <c r="DM188" s="20" t="inlineStr">
        <is>
          <t>None</t>
        </is>
      </c>
      <c r="DN188" s="17" t="n"/>
      <c r="DO188" s="16" t="n"/>
      <c r="DP188" s="20" t="inlineStr">
        <is>
          <t>IC Organic Acids</t>
        </is>
      </c>
      <c r="DQ188" s="20" t="inlineStr">
        <is>
          <t>None</t>
        </is>
      </c>
      <c r="DR188" s="17" t="n"/>
      <c r="DS188" s="16" t="n"/>
      <c r="DT188" s="20" t="inlineStr">
        <is>
          <t>IC Organic Acids</t>
        </is>
      </c>
      <c r="DU188" s="20" t="inlineStr">
        <is>
          <t>None</t>
        </is>
      </c>
      <c r="DV188" s="17" t="n"/>
      <c r="DW188" s="16" t="n"/>
      <c r="DX188" s="20" t="inlineStr">
        <is>
          <t>IC Organic Acids</t>
        </is>
      </c>
      <c r="DY188" s="20" t="inlineStr">
        <is>
          <t>None</t>
        </is>
      </c>
      <c r="DZ188" s="17" t="n"/>
      <c r="EA188" s="16" t="n"/>
      <c r="EB188" s="20" t="inlineStr">
        <is>
          <t>IC Organic Acids</t>
        </is>
      </c>
      <c r="EC188" s="20" t="inlineStr">
        <is>
          <t>None</t>
        </is>
      </c>
      <c r="ED188" s="17" t="n"/>
      <c r="EE188" s="16" t="n"/>
      <c r="EF188" s="20" t="inlineStr">
        <is>
          <t>IC Organic Acids</t>
        </is>
      </c>
      <c r="EG188" s="20" t="inlineStr">
        <is>
          <t>None</t>
        </is>
      </c>
      <c r="EH188" s="17" t="n"/>
      <c r="EI188" s="16" t="n"/>
      <c r="EJ188" s="20" t="inlineStr">
        <is>
          <t>IC Organic Acids</t>
        </is>
      </c>
      <c r="EK188" s="20" t="inlineStr">
        <is>
          <t>None</t>
        </is>
      </c>
      <c r="EL188" s="17" t="n"/>
      <c r="EM188" s="16" t="n"/>
      <c r="EN188" s="20" t="inlineStr">
        <is>
          <t>IC Organic Acids</t>
        </is>
      </c>
      <c r="EO188" s="20" t="inlineStr">
        <is>
          <t>None</t>
        </is>
      </c>
      <c r="EP188" s="17" t="n"/>
      <c r="EQ188" s="16" t="n"/>
      <c r="ER188" s="20" t="inlineStr">
        <is>
          <t>IC Organic Acids</t>
        </is>
      </c>
      <c r="ES188" s="20" t="inlineStr">
        <is>
          <t>None</t>
        </is>
      </c>
      <c r="ET188" s="17" t="n"/>
      <c r="EU188" s="16" t="n"/>
      <c r="EV188" s="20" t="inlineStr">
        <is>
          <t>LC-MS</t>
        </is>
      </c>
      <c r="EW188" s="20" t="inlineStr">
        <is>
          <t>None</t>
        </is>
      </c>
      <c r="EX188" s="17" t="n"/>
      <c r="EY188" s="21" t="n"/>
      <c r="EZ188">
        <f>CONCATENATE(A188,B188)</f>
        <v/>
      </c>
      <c r="FA188">
        <f>CONCATENATE(SamplesX!A188,SamplesX!B188)</f>
        <v/>
      </c>
      <c r="FC188">
        <f>MATCH(EZ188,FA1:FA1008,0)</f>
        <v/>
      </c>
    </row>
    <row r="189">
      <c r="A189" s="16" t="inlineStr">
        <is>
          <t>BP</t>
        </is>
      </c>
      <c r="B189" s="17" t="inlineStr">
        <is>
          <t>25181</t>
        </is>
      </c>
      <c r="C189" s="10">
        <f>IF(ISNUMBER(FC189),INDIRECT("SamplesX!C"&amp;FC189),IF(ISNUMBER(FD189),INDIRECT("SamplesY!C"&amp;FD189),""))</f>
        <v/>
      </c>
      <c r="D189" s="12">
        <f>IF(ISNUMBER(FC189),INDIRECT("SamplesX!D"&amp;FC189),IF(ISNUMBER(FD189),INDIRECT("SamplesY!D"&amp;FD189),""))</f>
        <v/>
      </c>
      <c r="E189" s="12">
        <f>IF(ISNUMBER(FC189),INDIRECT("SamplesX!E"&amp;FC189),IF(ISNUMBER(FD189),INDIRECT("SamplesY!E"&amp;FD189),""))</f>
        <v/>
      </c>
      <c r="F189" s="11">
        <f>IF(ISNUMBER(FC189),INDIRECT("SamplesX!F"&amp;FC189),IF(ISNUMBER(FD189),INDIRECT("SamplesY!F"&amp;FD189),""))</f>
        <v/>
      </c>
      <c r="G189" s="18">
        <f>IF(ISNUMBER(FC189),INDIRECT("SamplesX!G"&amp;FC189),IF(ISNUMBER(FD189),INDIRECT("SamplesY!G"&amp;FD189),""))</f>
        <v/>
      </c>
      <c r="H189" s="19">
        <f>IF(ISNUMBER(FC189),INDIRECT("SamplesX!H"&amp;FC189),IF(ISNUMBER(FD189),INDIRECT("SamplesY!H"&amp;FD189),""))</f>
        <v/>
      </c>
      <c r="I189" s="16" t="n"/>
      <c r="J189" s="16" t="n"/>
      <c r="K189" s="16" t="n"/>
      <c r="L189" s="20" t="n"/>
      <c r="M189" s="20" t="inlineStr">
        <is>
          <t>None</t>
        </is>
      </c>
      <c r="N189" s="17" t="n"/>
      <c r="O189" s="16" t="n"/>
      <c r="P189" s="20" t="inlineStr">
        <is>
          <t>Shimadzu TOC-L</t>
        </is>
      </c>
      <c r="Q189" s="20" t="inlineStr">
        <is>
          <t>None</t>
        </is>
      </c>
      <c r="R189" s="17" t="n"/>
      <c r="S189" s="16" t="n"/>
      <c r="T189" s="20" t="inlineStr">
        <is>
          <t>Shimadzu TOC-L</t>
        </is>
      </c>
      <c r="U189" s="20" t="inlineStr">
        <is>
          <t>None</t>
        </is>
      </c>
      <c r="V189" s="17" t="n"/>
      <c r="W189" s="16" t="n"/>
      <c r="X189" s="20" t="n"/>
      <c r="Y189" s="20" t="inlineStr">
        <is>
          <t>None</t>
        </is>
      </c>
      <c r="Z189" s="17" t="n"/>
      <c r="AA189" s="16" t="n"/>
      <c r="AB189" s="20" t="n"/>
      <c r="AC189" s="20" t="inlineStr">
        <is>
          <t>None</t>
        </is>
      </c>
      <c r="AD189" s="17" t="n"/>
      <c r="AE189" s="16" t="inlineStr">
        <is>
          <t>294</t>
        </is>
      </c>
      <c r="AF189" s="20" t="inlineStr">
        <is>
          <t>IC Anionen</t>
        </is>
      </c>
      <c r="AG189" s="20" t="inlineStr">
        <is>
          <t>None</t>
        </is>
      </c>
      <c r="AH189" s="17" t="n"/>
      <c r="AI189" s="16" t="n"/>
      <c r="AJ189" s="20" t="n"/>
      <c r="AK189" s="20" t="inlineStr">
        <is>
          <t>None</t>
        </is>
      </c>
      <c r="AL189" s="17" t="n"/>
      <c r="AM189" s="16" t="n"/>
      <c r="AN189" s="20" t="inlineStr">
        <is>
          <t>IC Anionen</t>
        </is>
      </c>
      <c r="AO189" s="20" t="inlineStr">
        <is>
          <t>None</t>
        </is>
      </c>
      <c r="AP189" s="17" t="n"/>
      <c r="AQ189" s="16" t="n"/>
      <c r="AR189" s="20" t="n"/>
      <c r="AS189" s="20" t="inlineStr">
        <is>
          <t>None</t>
        </is>
      </c>
      <c r="AT189" s="17" t="n"/>
      <c r="AU189" s="16" t="inlineStr">
        <is>
          <t>17.0</t>
        </is>
      </c>
      <c r="AV189" s="20" t="inlineStr">
        <is>
          <t>IC Anionen</t>
        </is>
      </c>
      <c r="AW189" s="20" t="inlineStr">
        <is>
          <t>None</t>
        </is>
      </c>
      <c r="AX189" s="17" t="n"/>
      <c r="AY189" s="16" t="inlineStr">
        <is>
          <t>3.08</t>
        </is>
      </c>
      <c r="AZ189" s="20" t="inlineStr">
        <is>
          <t>IC Anionen</t>
        </is>
      </c>
      <c r="BA189" s="20" t="inlineStr">
        <is>
          <t>None</t>
        </is>
      </c>
      <c r="BB189" s="17" t="n"/>
      <c r="BC189" s="16" t="inlineStr">
        <is>
          <t>172</t>
        </is>
      </c>
      <c r="BD189" s="20" t="inlineStr">
        <is>
          <t>IC Kationen</t>
        </is>
      </c>
      <c r="BE189" s="20" t="inlineStr">
        <is>
          <t>None</t>
        </is>
      </c>
      <c r="BF189" s="17" t="n"/>
      <c r="BG189" s="16" t="inlineStr">
        <is>
          <t>29.5</t>
        </is>
      </c>
      <c r="BH189" s="20" t="inlineStr">
        <is>
          <t>IC Kationen</t>
        </is>
      </c>
      <c r="BI189" s="20" t="inlineStr">
        <is>
          <t>None</t>
        </is>
      </c>
      <c r="BJ189" s="17" t="n"/>
      <c r="BK189" s="16" t="inlineStr">
        <is>
          <t>18.9</t>
        </is>
      </c>
      <c r="BL189" s="20" t="inlineStr">
        <is>
          <t>IC Kationen</t>
        </is>
      </c>
      <c r="BM189" s="20" t="inlineStr">
        <is>
          <t>None</t>
        </is>
      </c>
      <c r="BN189" s="17" t="n"/>
      <c r="BO189" s="16" t="inlineStr">
        <is>
          <t>277</t>
        </is>
      </c>
      <c r="BP189" s="20" t="inlineStr">
        <is>
          <t>IC Kationen</t>
        </is>
      </c>
      <c r="BQ189" s="20" t="inlineStr">
        <is>
          <t>None</t>
        </is>
      </c>
      <c r="BR189" s="17" t="n"/>
      <c r="BS189" s="16" t="inlineStr">
        <is>
          <t>34.5</t>
        </is>
      </c>
      <c r="BT189" s="20" t="inlineStr">
        <is>
          <t>IC Kationen</t>
        </is>
      </c>
      <c r="BU189" s="20" t="inlineStr">
        <is>
          <t>None</t>
        </is>
      </c>
      <c r="BV189" s="17" t="n"/>
      <c r="BW189" s="16" t="n"/>
      <c r="BX189" s="20" t="n"/>
      <c r="BY189" s="20" t="inlineStr">
        <is>
          <t>None</t>
        </is>
      </c>
      <c r="BZ189" s="17" t="n"/>
      <c r="CA189" s="16" t="n"/>
      <c r="CB189" s="20" t="n"/>
      <c r="CC189" s="20" t="inlineStr">
        <is>
          <t>None</t>
        </is>
      </c>
      <c r="CD189" s="17" t="n"/>
      <c r="CE189" s="16" t="n"/>
      <c r="CF189" s="20" t="n"/>
      <c r="CG189" s="20" t="inlineStr">
        <is>
          <t>None</t>
        </is>
      </c>
      <c r="CH189" s="17" t="n"/>
      <c r="CI189" s="16" t="n"/>
      <c r="CJ189" s="20" t="n"/>
      <c r="CK189" s="20" t="inlineStr">
        <is>
          <t>None</t>
        </is>
      </c>
      <c r="CL189" s="17" t="n"/>
      <c r="CM189" s="16" t="n"/>
      <c r="CN189" s="20" t="inlineStr">
        <is>
          <t>SOP 45-34</t>
        </is>
      </c>
      <c r="CO189" s="20" t="inlineStr">
        <is>
          <t>None</t>
        </is>
      </c>
      <c r="CP189" s="17" t="n"/>
      <c r="CQ189" s="16" t="n"/>
      <c r="CR189" s="20" t="n"/>
      <c r="CS189" s="20" t="inlineStr">
        <is>
          <t>None</t>
        </is>
      </c>
      <c r="CT189" s="17" t="n"/>
      <c r="CU189" s="16" t="n"/>
      <c r="CV189" s="20" t="n"/>
      <c r="CW189" s="20" t="inlineStr">
        <is>
          <t>None</t>
        </is>
      </c>
      <c r="CX189" s="17" t="n"/>
      <c r="CY189" s="16" t="n"/>
      <c r="CZ189" s="20" t="inlineStr">
        <is>
          <t>WTW Multimeter 3430 with FDO 925</t>
        </is>
      </c>
      <c r="DA189" s="20" t="inlineStr">
        <is>
          <t>None</t>
        </is>
      </c>
      <c r="DB189" s="17" t="n"/>
      <c r="DC189" s="16" t="n"/>
      <c r="DD189" s="20" t="n"/>
      <c r="DE189" s="20" t="inlineStr">
        <is>
          <t>None</t>
        </is>
      </c>
      <c r="DF189" s="17" t="n"/>
      <c r="DG189" s="16" t="n"/>
      <c r="DH189" s="20" t="inlineStr">
        <is>
          <t>SOP 45-09</t>
        </is>
      </c>
      <c r="DI189" s="20" t="inlineStr">
        <is>
          <t>None</t>
        </is>
      </c>
      <c r="DJ189" s="17" t="n"/>
      <c r="DK189" s="16" t="n"/>
      <c r="DL189" s="20" t="inlineStr">
        <is>
          <t>SOP 45-09 (SOP muss noch angepasst werden für VSS)</t>
        </is>
      </c>
      <c r="DM189" s="20" t="inlineStr">
        <is>
          <t>None</t>
        </is>
      </c>
      <c r="DN189" s="17" t="n"/>
      <c r="DO189" s="16" t="n"/>
      <c r="DP189" s="20" t="inlineStr">
        <is>
          <t>IC Organic Acids</t>
        </is>
      </c>
      <c r="DQ189" s="20" t="inlineStr">
        <is>
          <t>None</t>
        </is>
      </c>
      <c r="DR189" s="17" t="n"/>
      <c r="DS189" s="16" t="n"/>
      <c r="DT189" s="20" t="inlineStr">
        <is>
          <t>IC Organic Acids</t>
        </is>
      </c>
      <c r="DU189" s="20" t="inlineStr">
        <is>
          <t>None</t>
        </is>
      </c>
      <c r="DV189" s="17" t="n"/>
      <c r="DW189" s="16" t="n"/>
      <c r="DX189" s="20" t="inlineStr">
        <is>
          <t>IC Organic Acids</t>
        </is>
      </c>
      <c r="DY189" s="20" t="inlineStr">
        <is>
          <t>None</t>
        </is>
      </c>
      <c r="DZ189" s="17" t="n"/>
      <c r="EA189" s="16" t="n"/>
      <c r="EB189" s="20" t="inlineStr">
        <is>
          <t>IC Organic Acids</t>
        </is>
      </c>
      <c r="EC189" s="20" t="inlineStr">
        <is>
          <t>None</t>
        </is>
      </c>
      <c r="ED189" s="17" t="n"/>
      <c r="EE189" s="16" t="n"/>
      <c r="EF189" s="20" t="inlineStr">
        <is>
          <t>IC Organic Acids</t>
        </is>
      </c>
      <c r="EG189" s="20" t="inlineStr">
        <is>
          <t>None</t>
        </is>
      </c>
      <c r="EH189" s="17" t="n"/>
      <c r="EI189" s="16" t="n"/>
      <c r="EJ189" s="20" t="inlineStr">
        <is>
          <t>IC Organic Acids</t>
        </is>
      </c>
      <c r="EK189" s="20" t="inlineStr">
        <is>
          <t>None</t>
        </is>
      </c>
      <c r="EL189" s="17" t="n"/>
      <c r="EM189" s="16" t="n"/>
      <c r="EN189" s="20" t="inlineStr">
        <is>
          <t>IC Organic Acids</t>
        </is>
      </c>
      <c r="EO189" s="20" t="inlineStr">
        <is>
          <t>None</t>
        </is>
      </c>
      <c r="EP189" s="17" t="n"/>
      <c r="EQ189" s="16" t="n"/>
      <c r="ER189" s="20" t="inlineStr">
        <is>
          <t>IC Organic Acids</t>
        </is>
      </c>
      <c r="ES189" s="20" t="inlineStr">
        <is>
          <t>None</t>
        </is>
      </c>
      <c r="ET189" s="17" t="n"/>
      <c r="EU189" s="16" t="n"/>
      <c r="EV189" s="20" t="inlineStr">
        <is>
          <t>LC-MS</t>
        </is>
      </c>
      <c r="EW189" s="20" t="inlineStr">
        <is>
          <t>None</t>
        </is>
      </c>
      <c r="EX189" s="17" t="n"/>
      <c r="EY189" s="21" t="n"/>
      <c r="EZ189">
        <f>CONCATENATE(A189,B189)</f>
        <v/>
      </c>
      <c r="FA189">
        <f>CONCATENATE(SamplesX!A189,SamplesX!B189)</f>
        <v/>
      </c>
      <c r="FC189">
        <f>MATCH(EZ189,FA1:FA1008,0)</f>
        <v/>
      </c>
    </row>
    <row r="190">
      <c r="A190" s="16" t="inlineStr">
        <is>
          <t>BP</t>
        </is>
      </c>
      <c r="B190" s="17" t="inlineStr">
        <is>
          <t>25182</t>
        </is>
      </c>
      <c r="C190" s="10">
        <f>IF(ISNUMBER(FC190),INDIRECT("SamplesX!C"&amp;FC190),IF(ISNUMBER(FD190),INDIRECT("SamplesY!C"&amp;FD190),""))</f>
        <v/>
      </c>
      <c r="D190" s="12">
        <f>IF(ISNUMBER(FC190),INDIRECT("SamplesX!D"&amp;FC190),IF(ISNUMBER(FD190),INDIRECT("SamplesY!D"&amp;FD190),""))</f>
        <v/>
      </c>
      <c r="E190" s="12">
        <f>IF(ISNUMBER(FC190),INDIRECT("SamplesX!E"&amp;FC190),IF(ISNUMBER(FD190),INDIRECT("SamplesY!E"&amp;FD190),""))</f>
        <v/>
      </c>
      <c r="F190" s="11">
        <f>IF(ISNUMBER(FC190),INDIRECT("SamplesX!F"&amp;FC190),IF(ISNUMBER(FD190),INDIRECT("SamplesY!F"&amp;FD190),""))</f>
        <v/>
      </c>
      <c r="G190" s="18">
        <f>IF(ISNUMBER(FC190),INDIRECT("SamplesX!G"&amp;FC190),IF(ISNUMBER(FD190),INDIRECT("SamplesY!G"&amp;FD190),""))</f>
        <v/>
      </c>
      <c r="H190" s="19">
        <f>IF(ISNUMBER(FC190),INDIRECT("SamplesX!H"&amp;FC190),IF(ISNUMBER(FD190),INDIRECT("SamplesY!H"&amp;FD190),""))</f>
        <v/>
      </c>
      <c r="I190" s="16" t="n"/>
      <c r="J190" s="16" t="n"/>
      <c r="K190" s="16" t="n"/>
      <c r="L190" s="20" t="n"/>
      <c r="M190" s="20" t="inlineStr">
        <is>
          <t>None</t>
        </is>
      </c>
      <c r="N190" s="17" t="n"/>
      <c r="O190" s="16" t="n"/>
      <c r="P190" s="20" t="inlineStr">
        <is>
          <t>Shimadzu TOC-L</t>
        </is>
      </c>
      <c r="Q190" s="20" t="inlineStr">
        <is>
          <t>None</t>
        </is>
      </c>
      <c r="R190" s="17" t="n"/>
      <c r="S190" s="16" t="n"/>
      <c r="T190" s="20" t="inlineStr">
        <is>
          <t>Shimadzu TOC-L</t>
        </is>
      </c>
      <c r="U190" s="20" t="inlineStr">
        <is>
          <t>None</t>
        </is>
      </c>
      <c r="V190" s="17" t="n"/>
      <c r="W190" s="16" t="n"/>
      <c r="X190" s="20" t="n"/>
      <c r="Y190" s="20" t="inlineStr">
        <is>
          <t>None</t>
        </is>
      </c>
      <c r="Z190" s="17" t="n"/>
      <c r="AA190" s="16" t="n"/>
      <c r="AB190" s="20" t="n"/>
      <c r="AC190" s="20" t="inlineStr">
        <is>
          <t>None</t>
        </is>
      </c>
      <c r="AD190" s="17" t="n"/>
      <c r="AE190" s="16" t="inlineStr">
        <is>
          <t>443</t>
        </is>
      </c>
      <c r="AF190" s="20" t="inlineStr">
        <is>
          <t>IC Anionen</t>
        </is>
      </c>
      <c r="AG190" s="20" t="inlineStr">
        <is>
          <t>None</t>
        </is>
      </c>
      <c r="AH190" s="17" t="n"/>
      <c r="AI190" s="16" t="n"/>
      <c r="AJ190" s="20" t="n"/>
      <c r="AK190" s="20" t="inlineStr">
        <is>
          <t>None</t>
        </is>
      </c>
      <c r="AL190" s="17" t="n"/>
      <c r="AM190" s="16" t="n"/>
      <c r="AN190" s="20" t="inlineStr">
        <is>
          <t>IC Anionen</t>
        </is>
      </c>
      <c r="AO190" s="20" t="inlineStr">
        <is>
          <t>None</t>
        </is>
      </c>
      <c r="AP190" s="17" t="n"/>
      <c r="AQ190" s="16" t="n"/>
      <c r="AR190" s="20" t="n"/>
      <c r="AS190" s="20" t="inlineStr">
        <is>
          <t>None</t>
        </is>
      </c>
      <c r="AT190" s="17" t="n"/>
      <c r="AU190" s="16" t="inlineStr">
        <is>
          <t>1.92</t>
        </is>
      </c>
      <c r="AV190" s="20" t="inlineStr">
        <is>
          <t>IC Anionen</t>
        </is>
      </c>
      <c r="AW190" s="20" t="inlineStr">
        <is>
          <t>None</t>
        </is>
      </c>
      <c r="AX190" s="17" t="n"/>
      <c r="AY190" s="16" t="inlineStr">
        <is>
          <t>1.85</t>
        </is>
      </c>
      <c r="AZ190" s="20" t="inlineStr">
        <is>
          <t>IC Anionen</t>
        </is>
      </c>
      <c r="BA190" s="20" t="inlineStr">
        <is>
          <t>None</t>
        </is>
      </c>
      <c r="BB190" s="17" t="n"/>
      <c r="BC190" s="16" t="inlineStr">
        <is>
          <t>179</t>
        </is>
      </c>
      <c r="BD190" s="20" t="inlineStr">
        <is>
          <t>IC Kationen</t>
        </is>
      </c>
      <c r="BE190" s="20" t="inlineStr">
        <is>
          <t>None</t>
        </is>
      </c>
      <c r="BF190" s="17" t="n"/>
      <c r="BG190" s="16" t="inlineStr">
        <is>
          <t>14.9</t>
        </is>
      </c>
      <c r="BH190" s="20" t="inlineStr">
        <is>
          <t>FIA Lachat QC8500</t>
        </is>
      </c>
      <c r="BI190" s="20" t="inlineStr">
        <is>
          <t>None</t>
        </is>
      </c>
      <c r="BJ190" s="17" t="n"/>
      <c r="BK190" s="16" t="inlineStr">
        <is>
          <t>18.5</t>
        </is>
      </c>
      <c r="BL190" s="20" t="inlineStr">
        <is>
          <t>IC Kationen</t>
        </is>
      </c>
      <c r="BM190" s="20" t="inlineStr">
        <is>
          <t>None</t>
        </is>
      </c>
      <c r="BN190" s="17" t="n"/>
      <c r="BO190" s="16" t="inlineStr">
        <is>
          <t>287</t>
        </is>
      </c>
      <c r="BP190" s="20" t="inlineStr">
        <is>
          <t>IC Kationen</t>
        </is>
      </c>
      <c r="BQ190" s="20" t="inlineStr">
        <is>
          <t>None</t>
        </is>
      </c>
      <c r="BR190" s="17" t="n"/>
      <c r="BS190" s="16" t="inlineStr">
        <is>
          <t>35.0</t>
        </is>
      </c>
      <c r="BT190" s="20" t="inlineStr">
        <is>
          <t>IC Kationen</t>
        </is>
      </c>
      <c r="BU190" s="20" t="inlineStr">
        <is>
          <t>None</t>
        </is>
      </c>
      <c r="BV190" s="17" t="n"/>
      <c r="BW190" s="16" t="n"/>
      <c r="BX190" s="20" t="n"/>
      <c r="BY190" s="20" t="inlineStr">
        <is>
          <t>None</t>
        </is>
      </c>
      <c r="BZ190" s="17" t="n"/>
      <c r="CA190" s="16" t="n"/>
      <c r="CB190" s="20" t="n"/>
      <c r="CC190" s="20" t="inlineStr">
        <is>
          <t>None</t>
        </is>
      </c>
      <c r="CD190" s="17" t="n"/>
      <c r="CE190" s="16" t="n"/>
      <c r="CF190" s="20" t="n"/>
      <c r="CG190" s="20" t="inlineStr">
        <is>
          <t>None</t>
        </is>
      </c>
      <c r="CH190" s="17" t="n"/>
      <c r="CI190" s="16" t="n"/>
      <c r="CJ190" s="20" t="n"/>
      <c r="CK190" s="20" t="inlineStr">
        <is>
          <t>None</t>
        </is>
      </c>
      <c r="CL190" s="17" t="n"/>
      <c r="CM190" s="16" t="n"/>
      <c r="CN190" s="20" t="inlineStr">
        <is>
          <t>SOP 45-34</t>
        </is>
      </c>
      <c r="CO190" s="20" t="inlineStr">
        <is>
          <t>None</t>
        </is>
      </c>
      <c r="CP190" s="17" t="n"/>
      <c r="CQ190" s="16" t="n"/>
      <c r="CR190" s="20" t="n"/>
      <c r="CS190" s="20" t="inlineStr">
        <is>
          <t>None</t>
        </is>
      </c>
      <c r="CT190" s="17" t="n"/>
      <c r="CU190" s="16" t="n"/>
      <c r="CV190" s="20" t="n"/>
      <c r="CW190" s="20" t="inlineStr">
        <is>
          <t>None</t>
        </is>
      </c>
      <c r="CX190" s="17" t="n"/>
      <c r="CY190" s="16" t="n"/>
      <c r="CZ190" s="20" t="inlineStr">
        <is>
          <t>WTW Multimeter 3430 with FDO 925</t>
        </is>
      </c>
      <c r="DA190" s="20" t="inlineStr">
        <is>
          <t>None</t>
        </is>
      </c>
      <c r="DB190" s="17" t="n"/>
      <c r="DC190" s="16" t="n"/>
      <c r="DD190" s="20" t="n"/>
      <c r="DE190" s="20" t="inlineStr">
        <is>
          <t>None</t>
        </is>
      </c>
      <c r="DF190" s="17" t="n"/>
      <c r="DG190" s="16" t="n"/>
      <c r="DH190" s="20" t="inlineStr">
        <is>
          <t>SOP 45-09</t>
        </is>
      </c>
      <c r="DI190" s="20" t="inlineStr">
        <is>
          <t>None</t>
        </is>
      </c>
      <c r="DJ190" s="17" t="n"/>
      <c r="DK190" s="16" t="n"/>
      <c r="DL190" s="20" t="inlineStr">
        <is>
          <t>SOP 45-09 (SOP muss noch angepasst werden für VSS)</t>
        </is>
      </c>
      <c r="DM190" s="20" t="inlineStr">
        <is>
          <t>None</t>
        </is>
      </c>
      <c r="DN190" s="17" t="n"/>
      <c r="DO190" s="16" t="n"/>
      <c r="DP190" s="20" t="inlineStr">
        <is>
          <t>IC Organic Acids</t>
        </is>
      </c>
      <c r="DQ190" s="20" t="inlineStr">
        <is>
          <t>None</t>
        </is>
      </c>
      <c r="DR190" s="17" t="n"/>
      <c r="DS190" s="16" t="n"/>
      <c r="DT190" s="20" t="inlineStr">
        <is>
          <t>IC Organic Acids</t>
        </is>
      </c>
      <c r="DU190" s="20" t="inlineStr">
        <is>
          <t>None</t>
        </is>
      </c>
      <c r="DV190" s="17" t="n"/>
      <c r="DW190" s="16" t="n"/>
      <c r="DX190" s="20" t="inlineStr">
        <is>
          <t>IC Organic Acids</t>
        </is>
      </c>
      <c r="DY190" s="20" t="inlineStr">
        <is>
          <t>None</t>
        </is>
      </c>
      <c r="DZ190" s="17" t="n"/>
      <c r="EA190" s="16" t="n"/>
      <c r="EB190" s="20" t="inlineStr">
        <is>
          <t>IC Organic Acids</t>
        </is>
      </c>
      <c r="EC190" s="20" t="inlineStr">
        <is>
          <t>None</t>
        </is>
      </c>
      <c r="ED190" s="17" t="n"/>
      <c r="EE190" s="16" t="n"/>
      <c r="EF190" s="20" t="inlineStr">
        <is>
          <t>IC Organic Acids</t>
        </is>
      </c>
      <c r="EG190" s="20" t="inlineStr">
        <is>
          <t>None</t>
        </is>
      </c>
      <c r="EH190" s="17" t="n"/>
      <c r="EI190" s="16" t="n"/>
      <c r="EJ190" s="20" t="inlineStr">
        <is>
          <t>IC Organic Acids</t>
        </is>
      </c>
      <c r="EK190" s="20" t="inlineStr">
        <is>
          <t>None</t>
        </is>
      </c>
      <c r="EL190" s="17" t="n"/>
      <c r="EM190" s="16" t="n"/>
      <c r="EN190" s="20" t="inlineStr">
        <is>
          <t>IC Organic Acids</t>
        </is>
      </c>
      <c r="EO190" s="20" t="inlineStr">
        <is>
          <t>None</t>
        </is>
      </c>
      <c r="EP190" s="17" t="n"/>
      <c r="EQ190" s="16" t="n"/>
      <c r="ER190" s="20" t="inlineStr">
        <is>
          <t>IC Organic Acids</t>
        </is>
      </c>
      <c r="ES190" s="20" t="inlineStr">
        <is>
          <t>None</t>
        </is>
      </c>
      <c r="ET190" s="17" t="n"/>
      <c r="EU190" s="16" t="n"/>
      <c r="EV190" s="20" t="inlineStr">
        <is>
          <t>LC-MS</t>
        </is>
      </c>
      <c r="EW190" s="20" t="inlineStr">
        <is>
          <t>None</t>
        </is>
      </c>
      <c r="EX190" s="17" t="n"/>
      <c r="EY190" s="21" t="n"/>
      <c r="EZ190">
        <f>CONCATENATE(A190,B190)</f>
        <v/>
      </c>
      <c r="FA190">
        <f>CONCATENATE(SamplesX!A190,SamplesX!B190)</f>
        <v/>
      </c>
      <c r="FC190">
        <f>MATCH(EZ190,FA1:FA1008,0)</f>
        <v/>
      </c>
    </row>
    <row r="191">
      <c r="A191" s="16" t="inlineStr">
        <is>
          <t>BP</t>
        </is>
      </c>
      <c r="B191" s="17" t="inlineStr">
        <is>
          <t>25183</t>
        </is>
      </c>
      <c r="C191" s="10">
        <f>IF(ISNUMBER(FC191),INDIRECT("SamplesX!C"&amp;FC191),IF(ISNUMBER(FD191),INDIRECT("SamplesY!C"&amp;FD191),""))</f>
        <v/>
      </c>
      <c r="D191" s="12">
        <f>IF(ISNUMBER(FC191),INDIRECT("SamplesX!D"&amp;FC191),IF(ISNUMBER(FD191),INDIRECT("SamplesY!D"&amp;FD191),""))</f>
        <v/>
      </c>
      <c r="E191" s="12">
        <f>IF(ISNUMBER(FC191),INDIRECT("SamplesX!E"&amp;FC191),IF(ISNUMBER(FD191),INDIRECT("SamplesY!E"&amp;FD191),""))</f>
        <v/>
      </c>
      <c r="F191" s="11">
        <f>IF(ISNUMBER(FC191),INDIRECT("SamplesX!F"&amp;FC191),IF(ISNUMBER(FD191),INDIRECT("SamplesY!F"&amp;FD191),""))</f>
        <v/>
      </c>
      <c r="G191" s="18">
        <f>IF(ISNUMBER(FC191),INDIRECT("SamplesX!G"&amp;FC191),IF(ISNUMBER(FD191),INDIRECT("SamplesY!G"&amp;FD191),""))</f>
        <v/>
      </c>
      <c r="H191" s="19">
        <f>IF(ISNUMBER(FC191),INDIRECT("SamplesX!H"&amp;FC191),IF(ISNUMBER(FD191),INDIRECT("SamplesY!H"&amp;FD191),""))</f>
        <v/>
      </c>
      <c r="I191" s="16" t="n"/>
      <c r="J191" s="16" t="n"/>
      <c r="K191" s="16" t="n"/>
      <c r="L191" s="20" t="n"/>
      <c r="M191" s="20" t="inlineStr">
        <is>
          <t>None</t>
        </is>
      </c>
      <c r="N191" s="17" t="n"/>
      <c r="O191" s="16" t="n"/>
      <c r="P191" s="20" t="inlineStr">
        <is>
          <t>Shimadzu TOC-L</t>
        </is>
      </c>
      <c r="Q191" s="20" t="inlineStr">
        <is>
          <t>None</t>
        </is>
      </c>
      <c r="R191" s="17" t="n"/>
      <c r="S191" s="16" t="n"/>
      <c r="T191" s="20" t="inlineStr">
        <is>
          <t>Shimadzu TOC-L</t>
        </is>
      </c>
      <c r="U191" s="20" t="inlineStr">
        <is>
          <t>None</t>
        </is>
      </c>
      <c r="V191" s="17" t="n"/>
      <c r="W191" s="16" t="n"/>
      <c r="X191" s="20" t="n"/>
      <c r="Y191" s="20" t="inlineStr">
        <is>
          <t>None</t>
        </is>
      </c>
      <c r="Z191" s="17" t="n"/>
      <c r="AA191" s="16" t="n"/>
      <c r="AB191" s="20" t="n"/>
      <c r="AC191" s="20" t="inlineStr">
        <is>
          <t>None</t>
        </is>
      </c>
      <c r="AD191" s="17" t="n"/>
      <c r="AE191" s="16" t="inlineStr">
        <is>
          <t>392</t>
        </is>
      </c>
      <c r="AF191" s="20" t="inlineStr">
        <is>
          <t>IC Anionen</t>
        </is>
      </c>
      <c r="AG191" s="20" t="inlineStr">
        <is>
          <t>None</t>
        </is>
      </c>
      <c r="AH191" s="17" t="n"/>
      <c r="AI191" s="16" t="n"/>
      <c r="AJ191" s="20" t="n"/>
      <c r="AK191" s="20" t="inlineStr">
        <is>
          <t>None</t>
        </is>
      </c>
      <c r="AL191" s="17" t="n"/>
      <c r="AM191" s="16" t="n"/>
      <c r="AN191" s="20" t="inlineStr">
        <is>
          <t>IC Anionen</t>
        </is>
      </c>
      <c r="AO191" s="20" t="inlineStr">
        <is>
          <t>None</t>
        </is>
      </c>
      <c r="AP191" s="17" t="n"/>
      <c r="AQ191" s="16" t="n"/>
      <c r="AR191" s="20" t="n"/>
      <c r="AS191" s="20" t="inlineStr">
        <is>
          <t>None</t>
        </is>
      </c>
      <c r="AT191" s="17" t="n"/>
      <c r="AU191" s="16" t="inlineStr">
        <is>
          <t>0.82</t>
        </is>
      </c>
      <c r="AV191" s="20" t="inlineStr">
        <is>
          <t>IC Anionen</t>
        </is>
      </c>
      <c r="AW191" s="20" t="inlineStr">
        <is>
          <t>None</t>
        </is>
      </c>
      <c r="AX191" s="17" t="n"/>
      <c r="AY191" s="16" t="inlineStr">
        <is>
          <t>0.95</t>
        </is>
      </c>
      <c r="AZ191" s="20" t="inlineStr">
        <is>
          <t>IC Anionen</t>
        </is>
      </c>
      <c r="BA191" s="20" t="inlineStr">
        <is>
          <t>None</t>
        </is>
      </c>
      <c r="BB191" s="17" t="n"/>
      <c r="BC191" s="16" t="inlineStr">
        <is>
          <t>183</t>
        </is>
      </c>
      <c r="BD191" s="20" t="inlineStr">
        <is>
          <t>IC Kationen</t>
        </is>
      </c>
      <c r="BE191" s="20" t="inlineStr">
        <is>
          <t>None</t>
        </is>
      </c>
      <c r="BF191" s="17" t="n"/>
      <c r="BG191" s="16" t="inlineStr">
        <is>
          <t>&lt;0.50</t>
        </is>
      </c>
      <c r="BH191" s="20" t="inlineStr">
        <is>
          <t>FIA Lachat QC8500</t>
        </is>
      </c>
      <c r="BI191" s="20" t="inlineStr">
        <is>
          <t>None</t>
        </is>
      </c>
      <c r="BJ191" s="17" t="n"/>
      <c r="BK191" s="16" t="inlineStr">
        <is>
          <t>15.5</t>
        </is>
      </c>
      <c r="BL191" s="20" t="inlineStr">
        <is>
          <t>IC Kationen</t>
        </is>
      </c>
      <c r="BM191" s="20" t="inlineStr">
        <is>
          <t>None</t>
        </is>
      </c>
      <c r="BN191" s="17" t="n"/>
      <c r="BO191" s="16" t="inlineStr">
        <is>
          <t>186</t>
        </is>
      </c>
      <c r="BP191" s="20" t="inlineStr">
        <is>
          <t>IC Kationen</t>
        </is>
      </c>
      <c r="BQ191" s="20" t="inlineStr">
        <is>
          <t>None</t>
        </is>
      </c>
      <c r="BR191" s="17" t="n"/>
      <c r="BS191" s="16" t="inlineStr">
        <is>
          <t>33.2</t>
        </is>
      </c>
      <c r="BT191" s="20" t="inlineStr">
        <is>
          <t>IC Kationen</t>
        </is>
      </c>
      <c r="BU191" s="20" t="inlineStr">
        <is>
          <t>None</t>
        </is>
      </c>
      <c r="BV191" s="17" t="n"/>
      <c r="BW191" s="16" t="n"/>
      <c r="BX191" s="20" t="n"/>
      <c r="BY191" s="20" t="inlineStr">
        <is>
          <t>None</t>
        </is>
      </c>
      <c r="BZ191" s="17" t="n"/>
      <c r="CA191" s="16" t="n"/>
      <c r="CB191" s="20" t="n"/>
      <c r="CC191" s="20" t="inlineStr">
        <is>
          <t>None</t>
        </is>
      </c>
      <c r="CD191" s="17" t="n"/>
      <c r="CE191" s="16" t="n"/>
      <c r="CF191" s="20" t="n"/>
      <c r="CG191" s="20" t="inlineStr">
        <is>
          <t>None</t>
        </is>
      </c>
      <c r="CH191" s="17" t="n"/>
      <c r="CI191" s="16" t="n"/>
      <c r="CJ191" s="20" t="n"/>
      <c r="CK191" s="20" t="inlineStr">
        <is>
          <t>None</t>
        </is>
      </c>
      <c r="CL191" s="17" t="n"/>
      <c r="CM191" s="16" t="n"/>
      <c r="CN191" s="20" t="inlineStr">
        <is>
          <t>SOP 45-34</t>
        </is>
      </c>
      <c r="CO191" s="20" t="inlineStr">
        <is>
          <t>None</t>
        </is>
      </c>
      <c r="CP191" s="17" t="n"/>
      <c r="CQ191" s="16" t="n"/>
      <c r="CR191" s="20" t="n"/>
      <c r="CS191" s="20" t="inlineStr">
        <is>
          <t>None</t>
        </is>
      </c>
      <c r="CT191" s="17" t="n"/>
      <c r="CU191" s="16" t="n"/>
      <c r="CV191" s="20" t="n"/>
      <c r="CW191" s="20" t="inlineStr">
        <is>
          <t>None</t>
        </is>
      </c>
      <c r="CX191" s="17" t="n"/>
      <c r="CY191" s="16" t="n"/>
      <c r="CZ191" s="20" t="inlineStr">
        <is>
          <t>WTW Multimeter 3430 with FDO 925</t>
        </is>
      </c>
      <c r="DA191" s="20" t="inlineStr">
        <is>
          <t>None</t>
        </is>
      </c>
      <c r="DB191" s="17" t="n"/>
      <c r="DC191" s="16" t="n"/>
      <c r="DD191" s="20" t="n"/>
      <c r="DE191" s="20" t="inlineStr">
        <is>
          <t>None</t>
        </is>
      </c>
      <c r="DF191" s="17" t="n"/>
      <c r="DG191" s="16" t="n"/>
      <c r="DH191" s="20" t="inlineStr">
        <is>
          <t>SOP 45-09</t>
        </is>
      </c>
      <c r="DI191" s="20" t="inlineStr">
        <is>
          <t>None</t>
        </is>
      </c>
      <c r="DJ191" s="17" t="n"/>
      <c r="DK191" s="16" t="n"/>
      <c r="DL191" s="20" t="inlineStr">
        <is>
          <t>SOP 45-09 (SOP muss noch angepasst werden für VSS)</t>
        </is>
      </c>
      <c r="DM191" s="20" t="inlineStr">
        <is>
          <t>None</t>
        </is>
      </c>
      <c r="DN191" s="17" t="n"/>
      <c r="DO191" s="16" t="n"/>
      <c r="DP191" s="20" t="inlineStr">
        <is>
          <t>IC Organic Acids</t>
        </is>
      </c>
      <c r="DQ191" s="20" t="inlineStr">
        <is>
          <t>None</t>
        </is>
      </c>
      <c r="DR191" s="17" t="n"/>
      <c r="DS191" s="16" t="n"/>
      <c r="DT191" s="20" t="inlineStr">
        <is>
          <t>IC Organic Acids</t>
        </is>
      </c>
      <c r="DU191" s="20" t="inlineStr">
        <is>
          <t>None</t>
        </is>
      </c>
      <c r="DV191" s="17" t="n"/>
      <c r="DW191" s="16" t="n"/>
      <c r="DX191" s="20" t="inlineStr">
        <is>
          <t>IC Organic Acids</t>
        </is>
      </c>
      <c r="DY191" s="20" t="inlineStr">
        <is>
          <t>None</t>
        </is>
      </c>
      <c r="DZ191" s="17" t="n"/>
      <c r="EA191" s="16" t="n"/>
      <c r="EB191" s="20" t="inlineStr">
        <is>
          <t>IC Organic Acids</t>
        </is>
      </c>
      <c r="EC191" s="20" t="inlineStr">
        <is>
          <t>None</t>
        </is>
      </c>
      <c r="ED191" s="17" t="n"/>
      <c r="EE191" s="16" t="n"/>
      <c r="EF191" s="20" t="inlineStr">
        <is>
          <t>IC Organic Acids</t>
        </is>
      </c>
      <c r="EG191" s="20" t="inlineStr">
        <is>
          <t>None</t>
        </is>
      </c>
      <c r="EH191" s="17" t="n"/>
      <c r="EI191" s="16" t="n"/>
      <c r="EJ191" s="20" t="inlineStr">
        <is>
          <t>IC Organic Acids</t>
        </is>
      </c>
      <c r="EK191" s="20" t="inlineStr">
        <is>
          <t>None</t>
        </is>
      </c>
      <c r="EL191" s="17" t="n"/>
      <c r="EM191" s="16" t="n"/>
      <c r="EN191" s="20" t="inlineStr">
        <is>
          <t>IC Organic Acids</t>
        </is>
      </c>
      <c r="EO191" s="20" t="inlineStr">
        <is>
          <t>None</t>
        </is>
      </c>
      <c r="EP191" s="17" t="n"/>
      <c r="EQ191" s="16" t="n"/>
      <c r="ER191" s="20" t="inlineStr">
        <is>
          <t>IC Organic Acids</t>
        </is>
      </c>
      <c r="ES191" s="20" t="inlineStr">
        <is>
          <t>None</t>
        </is>
      </c>
      <c r="ET191" s="17" t="n"/>
      <c r="EU191" s="16" t="n"/>
      <c r="EV191" s="20" t="inlineStr">
        <is>
          <t>LC-MS</t>
        </is>
      </c>
      <c r="EW191" s="20" t="inlineStr">
        <is>
          <t>None</t>
        </is>
      </c>
      <c r="EX191" s="17" t="n"/>
      <c r="EY191" s="21" t="n"/>
      <c r="EZ191">
        <f>CONCATENATE(A191,B191)</f>
        <v/>
      </c>
      <c r="FA191">
        <f>CONCATENATE(SamplesX!A191,SamplesX!B191)</f>
        <v/>
      </c>
      <c r="FC191">
        <f>MATCH(EZ191,FA1:FA1008,0)</f>
        <v/>
      </c>
    </row>
    <row r="192">
      <c r="A192" s="16" t="inlineStr">
        <is>
          <t>BP</t>
        </is>
      </c>
      <c r="B192" s="17" t="inlineStr">
        <is>
          <t>25184</t>
        </is>
      </c>
      <c r="C192" s="10">
        <f>IF(ISNUMBER(FC192),INDIRECT("SamplesX!C"&amp;FC192),IF(ISNUMBER(FD192),INDIRECT("SamplesY!C"&amp;FD192),""))</f>
        <v/>
      </c>
      <c r="D192" s="12">
        <f>IF(ISNUMBER(FC192),INDIRECT("SamplesX!D"&amp;FC192),IF(ISNUMBER(FD192),INDIRECT("SamplesY!D"&amp;FD192),""))</f>
        <v/>
      </c>
      <c r="E192" s="12">
        <f>IF(ISNUMBER(FC192),INDIRECT("SamplesX!E"&amp;FC192),IF(ISNUMBER(FD192),INDIRECT("SamplesY!E"&amp;FD192),""))</f>
        <v/>
      </c>
      <c r="F192" s="11">
        <f>IF(ISNUMBER(FC192),INDIRECT("SamplesX!F"&amp;FC192),IF(ISNUMBER(FD192),INDIRECT("SamplesY!F"&amp;FD192),""))</f>
        <v/>
      </c>
      <c r="G192" s="18">
        <f>IF(ISNUMBER(FC192),INDIRECT("SamplesX!G"&amp;FC192),IF(ISNUMBER(FD192),INDIRECT("SamplesY!G"&amp;FD192),""))</f>
        <v/>
      </c>
      <c r="H192" s="19">
        <f>IF(ISNUMBER(FC192),INDIRECT("SamplesX!H"&amp;FC192),IF(ISNUMBER(FD192),INDIRECT("SamplesY!H"&amp;FD192),""))</f>
        <v/>
      </c>
      <c r="I192" s="16" t="n"/>
      <c r="J192" s="16" t="n"/>
      <c r="K192" s="16" t="n"/>
      <c r="L192" s="20" t="n"/>
      <c r="M192" s="20" t="inlineStr">
        <is>
          <t>None</t>
        </is>
      </c>
      <c r="N192" s="17" t="n"/>
      <c r="O192" s="16" t="n"/>
      <c r="P192" s="20" t="inlineStr">
        <is>
          <t>Shimadzu TOC-L</t>
        </is>
      </c>
      <c r="Q192" s="20" t="inlineStr">
        <is>
          <t>None</t>
        </is>
      </c>
      <c r="R192" s="17" t="n"/>
      <c r="S192" s="16" t="n"/>
      <c r="T192" s="20" t="inlineStr">
        <is>
          <t>Shimadzu TOC-L</t>
        </is>
      </c>
      <c r="U192" s="20" t="inlineStr">
        <is>
          <t>None</t>
        </is>
      </c>
      <c r="V192" s="17" t="n"/>
      <c r="W192" s="16" t="n"/>
      <c r="X192" s="20" t="n"/>
      <c r="Y192" s="20" t="inlineStr">
        <is>
          <t>None</t>
        </is>
      </c>
      <c r="Z192" s="17" t="n"/>
      <c r="AA192" s="16" t="n"/>
      <c r="AB192" s="20" t="n"/>
      <c r="AC192" s="20" t="inlineStr">
        <is>
          <t>None</t>
        </is>
      </c>
      <c r="AD192" s="17" t="n"/>
      <c r="AE192" s="16" t="inlineStr">
        <is>
          <t>310</t>
        </is>
      </c>
      <c r="AF192" s="20" t="inlineStr">
        <is>
          <t>IC Anionen</t>
        </is>
      </c>
      <c r="AG192" s="20" t="inlineStr">
        <is>
          <t>None</t>
        </is>
      </c>
      <c r="AH192" s="17" t="n"/>
      <c r="AI192" s="16" t="n"/>
      <c r="AJ192" s="20" t="n"/>
      <c r="AK192" s="20" t="inlineStr">
        <is>
          <t>None</t>
        </is>
      </c>
      <c r="AL192" s="17" t="n"/>
      <c r="AM192" s="16" t="n"/>
      <c r="AN192" s="20" t="inlineStr">
        <is>
          <t>IC Anionen</t>
        </is>
      </c>
      <c r="AO192" s="20" t="inlineStr">
        <is>
          <t>None</t>
        </is>
      </c>
      <c r="AP192" s="17" t="n"/>
      <c r="AQ192" s="16" t="n"/>
      <c r="AR192" s="20" t="n"/>
      <c r="AS192" s="20" t="inlineStr">
        <is>
          <t>None</t>
        </is>
      </c>
      <c r="AT192" s="17" t="n"/>
      <c r="AU192" s="16" t="inlineStr">
        <is>
          <t>1.53</t>
        </is>
      </c>
      <c r="AV192" s="20" t="inlineStr">
        <is>
          <t>IC Anionen</t>
        </is>
      </c>
      <c r="AW192" s="20" t="inlineStr">
        <is>
          <t>None</t>
        </is>
      </c>
      <c r="AX192" s="17" t="n"/>
      <c r="AY192" s="16" t="inlineStr">
        <is>
          <t>3.43</t>
        </is>
      </c>
      <c r="AZ192" s="20" t="inlineStr">
        <is>
          <t>IC Anionen</t>
        </is>
      </c>
      <c r="BA192" s="20" t="inlineStr">
        <is>
          <t>None</t>
        </is>
      </c>
      <c r="BB192" s="17" t="n"/>
      <c r="BC192" s="16" t="inlineStr">
        <is>
          <t>189</t>
        </is>
      </c>
      <c r="BD192" s="20" t="inlineStr">
        <is>
          <t>IC Kationen</t>
        </is>
      </c>
      <c r="BE192" s="20" t="inlineStr">
        <is>
          <t>None</t>
        </is>
      </c>
      <c r="BF192" s="17" t="n"/>
      <c r="BG192" s="16" t="inlineStr">
        <is>
          <t>&lt;0.50</t>
        </is>
      </c>
      <c r="BH192" s="20" t="inlineStr">
        <is>
          <t>FIA Lachat QC8500</t>
        </is>
      </c>
      <c r="BI192" s="20" t="inlineStr">
        <is>
          <t>None</t>
        </is>
      </c>
      <c r="BJ192" s="17" t="n"/>
      <c r="BK192" s="16" t="inlineStr">
        <is>
          <t>14.0</t>
        </is>
      </c>
      <c r="BL192" s="20" t="inlineStr">
        <is>
          <t>IC Kationen</t>
        </is>
      </c>
      <c r="BM192" s="20" t="inlineStr">
        <is>
          <t>None</t>
        </is>
      </c>
      <c r="BN192" s="17" t="n"/>
      <c r="BO192" s="16" t="inlineStr">
        <is>
          <t>254</t>
        </is>
      </c>
      <c r="BP192" s="20" t="inlineStr">
        <is>
          <t>IC Kationen</t>
        </is>
      </c>
      <c r="BQ192" s="20" t="inlineStr">
        <is>
          <t>None</t>
        </is>
      </c>
      <c r="BR192" s="17" t="n"/>
      <c r="BS192" s="16" t="inlineStr">
        <is>
          <t>35.4</t>
        </is>
      </c>
      <c r="BT192" s="20" t="inlineStr">
        <is>
          <t>IC Kationen</t>
        </is>
      </c>
      <c r="BU192" s="20" t="inlineStr">
        <is>
          <t>None</t>
        </is>
      </c>
      <c r="BV192" s="17" t="n"/>
      <c r="BW192" s="16" t="n"/>
      <c r="BX192" s="20" t="n"/>
      <c r="BY192" s="20" t="inlineStr">
        <is>
          <t>None</t>
        </is>
      </c>
      <c r="BZ192" s="17" t="n"/>
      <c r="CA192" s="16" t="n"/>
      <c r="CB192" s="20" t="n"/>
      <c r="CC192" s="20" t="inlineStr">
        <is>
          <t>None</t>
        </is>
      </c>
      <c r="CD192" s="17" t="n"/>
      <c r="CE192" s="16" t="n"/>
      <c r="CF192" s="20" t="n"/>
      <c r="CG192" s="20" t="inlineStr">
        <is>
          <t>None</t>
        </is>
      </c>
      <c r="CH192" s="17" t="n"/>
      <c r="CI192" s="16" t="n"/>
      <c r="CJ192" s="20" t="n"/>
      <c r="CK192" s="20" t="inlineStr">
        <is>
          <t>None</t>
        </is>
      </c>
      <c r="CL192" s="17" t="n"/>
      <c r="CM192" s="16" t="n"/>
      <c r="CN192" s="20" t="inlineStr">
        <is>
          <t>SOP 45-34</t>
        </is>
      </c>
      <c r="CO192" s="20" t="inlineStr">
        <is>
          <t>None</t>
        </is>
      </c>
      <c r="CP192" s="17" t="n"/>
      <c r="CQ192" s="16" t="n"/>
      <c r="CR192" s="20" t="n"/>
      <c r="CS192" s="20" t="inlineStr">
        <is>
          <t>None</t>
        </is>
      </c>
      <c r="CT192" s="17" t="n"/>
      <c r="CU192" s="16" t="n"/>
      <c r="CV192" s="20" t="n"/>
      <c r="CW192" s="20" t="inlineStr">
        <is>
          <t>None</t>
        </is>
      </c>
      <c r="CX192" s="17" t="n"/>
      <c r="CY192" s="16" t="n"/>
      <c r="CZ192" s="20" t="inlineStr">
        <is>
          <t>WTW Multimeter 3430 with FDO 925</t>
        </is>
      </c>
      <c r="DA192" s="20" t="inlineStr">
        <is>
          <t>None</t>
        </is>
      </c>
      <c r="DB192" s="17" t="n"/>
      <c r="DC192" s="16" t="n"/>
      <c r="DD192" s="20" t="n"/>
      <c r="DE192" s="20" t="inlineStr">
        <is>
          <t>None</t>
        </is>
      </c>
      <c r="DF192" s="17" t="n"/>
      <c r="DG192" s="16" t="n"/>
      <c r="DH192" s="20" t="inlineStr">
        <is>
          <t>SOP 45-09</t>
        </is>
      </c>
      <c r="DI192" s="20" t="inlineStr">
        <is>
          <t>None</t>
        </is>
      </c>
      <c r="DJ192" s="17" t="n"/>
      <c r="DK192" s="16" t="n"/>
      <c r="DL192" s="20" t="inlineStr">
        <is>
          <t>SOP 45-09 (SOP muss noch angepasst werden für VSS)</t>
        </is>
      </c>
      <c r="DM192" s="20" t="inlineStr">
        <is>
          <t>None</t>
        </is>
      </c>
      <c r="DN192" s="17" t="n"/>
      <c r="DO192" s="16" t="n"/>
      <c r="DP192" s="20" t="inlineStr">
        <is>
          <t>IC Organic Acids</t>
        </is>
      </c>
      <c r="DQ192" s="20" t="inlineStr">
        <is>
          <t>None</t>
        </is>
      </c>
      <c r="DR192" s="17" t="n"/>
      <c r="DS192" s="16" t="n"/>
      <c r="DT192" s="20" t="inlineStr">
        <is>
          <t>IC Organic Acids</t>
        </is>
      </c>
      <c r="DU192" s="20" t="inlineStr">
        <is>
          <t>None</t>
        </is>
      </c>
      <c r="DV192" s="17" t="n"/>
      <c r="DW192" s="16" t="n"/>
      <c r="DX192" s="20" t="inlineStr">
        <is>
          <t>IC Organic Acids</t>
        </is>
      </c>
      <c r="DY192" s="20" t="inlineStr">
        <is>
          <t>None</t>
        </is>
      </c>
      <c r="DZ192" s="17" t="n"/>
      <c r="EA192" s="16" t="n"/>
      <c r="EB192" s="20" t="inlineStr">
        <is>
          <t>IC Organic Acids</t>
        </is>
      </c>
      <c r="EC192" s="20" t="inlineStr">
        <is>
          <t>None</t>
        </is>
      </c>
      <c r="ED192" s="17" t="n"/>
      <c r="EE192" s="16" t="n"/>
      <c r="EF192" s="20" t="inlineStr">
        <is>
          <t>IC Organic Acids</t>
        </is>
      </c>
      <c r="EG192" s="20" t="inlineStr">
        <is>
          <t>None</t>
        </is>
      </c>
      <c r="EH192" s="17" t="n"/>
      <c r="EI192" s="16" t="n"/>
      <c r="EJ192" s="20" t="inlineStr">
        <is>
          <t>IC Organic Acids</t>
        </is>
      </c>
      <c r="EK192" s="20" t="inlineStr">
        <is>
          <t>None</t>
        </is>
      </c>
      <c r="EL192" s="17" t="n"/>
      <c r="EM192" s="16" t="n"/>
      <c r="EN192" s="20" t="inlineStr">
        <is>
          <t>IC Organic Acids</t>
        </is>
      </c>
      <c r="EO192" s="20" t="inlineStr">
        <is>
          <t>None</t>
        </is>
      </c>
      <c r="EP192" s="17" t="n"/>
      <c r="EQ192" s="16" t="n"/>
      <c r="ER192" s="20" t="inlineStr">
        <is>
          <t>IC Organic Acids</t>
        </is>
      </c>
      <c r="ES192" s="20" t="inlineStr">
        <is>
          <t>None</t>
        </is>
      </c>
      <c r="ET192" s="17" t="n"/>
      <c r="EU192" s="16" t="n"/>
      <c r="EV192" s="20" t="inlineStr">
        <is>
          <t>LC-MS</t>
        </is>
      </c>
      <c r="EW192" s="20" t="inlineStr">
        <is>
          <t>None</t>
        </is>
      </c>
      <c r="EX192" s="17" t="n"/>
      <c r="EY192" s="21" t="n"/>
      <c r="EZ192">
        <f>CONCATENATE(A192,B192)</f>
        <v/>
      </c>
      <c r="FA192">
        <f>CONCATENATE(SamplesX!A192,SamplesX!B192)</f>
        <v/>
      </c>
      <c r="FC192">
        <f>MATCH(EZ192,FA1:FA1008,0)</f>
        <v/>
      </c>
    </row>
    <row r="193">
      <c r="A193" s="16" t="inlineStr">
        <is>
          <t>BP</t>
        </is>
      </c>
      <c r="B193" s="17" t="inlineStr">
        <is>
          <t>25185</t>
        </is>
      </c>
      <c r="C193" s="10">
        <f>IF(ISNUMBER(FC193),INDIRECT("SamplesX!C"&amp;FC193),IF(ISNUMBER(FD193),INDIRECT("SamplesY!C"&amp;FD193),""))</f>
        <v/>
      </c>
      <c r="D193" s="12">
        <f>IF(ISNUMBER(FC193),INDIRECT("SamplesX!D"&amp;FC193),IF(ISNUMBER(FD193),INDIRECT("SamplesY!D"&amp;FD193),""))</f>
        <v/>
      </c>
      <c r="E193" s="12">
        <f>IF(ISNUMBER(FC193),INDIRECT("SamplesX!E"&amp;FC193),IF(ISNUMBER(FD193),INDIRECT("SamplesY!E"&amp;FD193),""))</f>
        <v/>
      </c>
      <c r="F193" s="11">
        <f>IF(ISNUMBER(FC193),INDIRECT("SamplesX!F"&amp;FC193),IF(ISNUMBER(FD193),INDIRECT("SamplesY!F"&amp;FD193),""))</f>
        <v/>
      </c>
      <c r="G193" s="18">
        <f>IF(ISNUMBER(FC193),INDIRECT("SamplesX!G"&amp;FC193),IF(ISNUMBER(FD193),INDIRECT("SamplesY!G"&amp;FD193),""))</f>
        <v/>
      </c>
      <c r="H193" s="19">
        <f>IF(ISNUMBER(FC193),INDIRECT("SamplesX!H"&amp;FC193),IF(ISNUMBER(FD193),INDIRECT("SamplesY!H"&amp;FD193),""))</f>
        <v/>
      </c>
      <c r="I193" s="16" t="n"/>
      <c r="J193" s="16" t="n"/>
      <c r="K193" s="16" t="n"/>
      <c r="L193" s="20" t="n"/>
      <c r="M193" s="20" t="inlineStr">
        <is>
          <t>None</t>
        </is>
      </c>
      <c r="N193" s="17" t="n"/>
      <c r="O193" s="16" t="n"/>
      <c r="P193" s="20" t="inlineStr">
        <is>
          <t>Shimadzu TOC-L</t>
        </is>
      </c>
      <c r="Q193" s="20" t="inlineStr">
        <is>
          <t>None</t>
        </is>
      </c>
      <c r="R193" s="17" t="n"/>
      <c r="S193" s="16" t="n"/>
      <c r="T193" s="20" t="inlineStr">
        <is>
          <t>Shimadzu TOC-L</t>
        </is>
      </c>
      <c r="U193" s="20" t="inlineStr">
        <is>
          <t>None</t>
        </is>
      </c>
      <c r="V193" s="17" t="n"/>
      <c r="W193" s="16" t="n"/>
      <c r="X193" s="20" t="n"/>
      <c r="Y193" s="20" t="inlineStr">
        <is>
          <t>None</t>
        </is>
      </c>
      <c r="Z193" s="17" t="n"/>
      <c r="AA193" s="16" t="n"/>
      <c r="AB193" s="20" t="n"/>
      <c r="AC193" s="20" t="inlineStr">
        <is>
          <t>None</t>
        </is>
      </c>
      <c r="AD193" s="17" t="n"/>
      <c r="AE193" s="16" t="inlineStr">
        <is>
          <t>223</t>
        </is>
      </c>
      <c r="AF193" s="20" t="inlineStr">
        <is>
          <t>IC Anionen</t>
        </is>
      </c>
      <c r="AG193" s="20" t="inlineStr">
        <is>
          <t>None</t>
        </is>
      </c>
      <c r="AH193" s="17" t="n"/>
      <c r="AI193" s="16" t="n"/>
      <c r="AJ193" s="20" t="n"/>
      <c r="AK193" s="20" t="inlineStr">
        <is>
          <t>None</t>
        </is>
      </c>
      <c r="AL193" s="17" t="n"/>
      <c r="AM193" s="16" t="n"/>
      <c r="AN193" s="20" t="inlineStr">
        <is>
          <t>IC Anionen</t>
        </is>
      </c>
      <c r="AO193" s="20" t="inlineStr">
        <is>
          <t>None</t>
        </is>
      </c>
      <c r="AP193" s="17" t="n"/>
      <c r="AQ193" s="16" t="n"/>
      <c r="AR193" s="20" t="n"/>
      <c r="AS193" s="20" t="inlineStr">
        <is>
          <t>None</t>
        </is>
      </c>
      <c r="AT193" s="17" t="n"/>
      <c r="AU193" s="16" t="inlineStr">
        <is>
          <t>15.1</t>
        </is>
      </c>
      <c r="AV193" s="20" t="inlineStr">
        <is>
          <t>IC Anionen</t>
        </is>
      </c>
      <c r="AW193" s="20" t="inlineStr">
        <is>
          <t>None</t>
        </is>
      </c>
      <c r="AX193" s="17" t="n"/>
      <c r="AY193" s="16" t="inlineStr">
        <is>
          <t>2.07</t>
        </is>
      </c>
      <c r="AZ193" s="20" t="inlineStr">
        <is>
          <t>IC Anionen</t>
        </is>
      </c>
      <c r="BA193" s="20" t="inlineStr">
        <is>
          <t>None</t>
        </is>
      </c>
      <c r="BB193" s="17" t="n"/>
      <c r="BC193" s="16" t="inlineStr">
        <is>
          <t>149</t>
        </is>
      </c>
      <c r="BD193" s="20" t="inlineStr">
        <is>
          <t>IC Kationen</t>
        </is>
      </c>
      <c r="BE193" s="20" t="inlineStr">
        <is>
          <t>None</t>
        </is>
      </c>
      <c r="BF193" s="17" t="n"/>
      <c r="BG193" s="16" t="inlineStr">
        <is>
          <t>45.5</t>
        </is>
      </c>
      <c r="BH193" s="20" t="inlineStr">
        <is>
          <t>IC Kationen</t>
        </is>
      </c>
      <c r="BI193" s="20" t="inlineStr">
        <is>
          <t>None</t>
        </is>
      </c>
      <c r="BJ193" s="17" t="n"/>
      <c r="BK193" s="16" t="inlineStr">
        <is>
          <t>16.5</t>
        </is>
      </c>
      <c r="BL193" s="20" t="inlineStr">
        <is>
          <t>IC Kationen</t>
        </is>
      </c>
      <c r="BM193" s="20" t="inlineStr">
        <is>
          <t>None</t>
        </is>
      </c>
      <c r="BN193" s="17" t="n"/>
      <c r="BO193" s="16" t="inlineStr">
        <is>
          <t>206</t>
        </is>
      </c>
      <c r="BP193" s="20" t="inlineStr">
        <is>
          <t>IC Kationen</t>
        </is>
      </c>
      <c r="BQ193" s="20" t="inlineStr">
        <is>
          <t>None</t>
        </is>
      </c>
      <c r="BR193" s="17" t="n"/>
      <c r="BS193" s="16" t="inlineStr">
        <is>
          <t>28.3</t>
        </is>
      </c>
      <c r="BT193" s="20" t="inlineStr">
        <is>
          <t>IC Kationen</t>
        </is>
      </c>
      <c r="BU193" s="20" t="inlineStr">
        <is>
          <t>None</t>
        </is>
      </c>
      <c r="BV193" s="17" t="n"/>
      <c r="BW193" s="16" t="n"/>
      <c r="BX193" s="20" t="n"/>
      <c r="BY193" s="20" t="inlineStr">
        <is>
          <t>None</t>
        </is>
      </c>
      <c r="BZ193" s="17" t="n"/>
      <c r="CA193" s="16" t="n"/>
      <c r="CB193" s="20" t="n"/>
      <c r="CC193" s="20" t="inlineStr">
        <is>
          <t>None</t>
        </is>
      </c>
      <c r="CD193" s="17" t="n"/>
      <c r="CE193" s="16" t="n"/>
      <c r="CF193" s="20" t="n"/>
      <c r="CG193" s="20" t="inlineStr">
        <is>
          <t>None</t>
        </is>
      </c>
      <c r="CH193" s="17" t="n"/>
      <c r="CI193" s="16" t="n"/>
      <c r="CJ193" s="20" t="n"/>
      <c r="CK193" s="20" t="inlineStr">
        <is>
          <t>None</t>
        </is>
      </c>
      <c r="CL193" s="17" t="n"/>
      <c r="CM193" s="16" t="n"/>
      <c r="CN193" s="20" t="inlineStr">
        <is>
          <t>SOP 45-34</t>
        </is>
      </c>
      <c r="CO193" s="20" t="inlineStr">
        <is>
          <t>None</t>
        </is>
      </c>
      <c r="CP193" s="17" t="n"/>
      <c r="CQ193" s="16" t="n"/>
      <c r="CR193" s="20" t="n"/>
      <c r="CS193" s="20" t="inlineStr">
        <is>
          <t>None</t>
        </is>
      </c>
      <c r="CT193" s="17" t="n"/>
      <c r="CU193" s="16" t="n"/>
      <c r="CV193" s="20" t="n"/>
      <c r="CW193" s="20" t="inlineStr">
        <is>
          <t>None</t>
        </is>
      </c>
      <c r="CX193" s="17" t="n"/>
      <c r="CY193" s="16" t="n"/>
      <c r="CZ193" s="20" t="inlineStr">
        <is>
          <t>WTW Multimeter 3430 with FDO 925</t>
        </is>
      </c>
      <c r="DA193" s="20" t="inlineStr">
        <is>
          <t>None</t>
        </is>
      </c>
      <c r="DB193" s="17" t="n"/>
      <c r="DC193" s="16" t="n"/>
      <c r="DD193" s="20" t="n"/>
      <c r="DE193" s="20" t="inlineStr">
        <is>
          <t>None</t>
        </is>
      </c>
      <c r="DF193" s="17" t="n"/>
      <c r="DG193" s="16" t="n"/>
      <c r="DH193" s="20" t="inlineStr">
        <is>
          <t>SOP 45-09</t>
        </is>
      </c>
      <c r="DI193" s="20" t="inlineStr">
        <is>
          <t>None</t>
        </is>
      </c>
      <c r="DJ193" s="17" t="n"/>
      <c r="DK193" s="16" t="n"/>
      <c r="DL193" s="20" t="inlineStr">
        <is>
          <t>SOP 45-09 (SOP muss noch angepasst werden für VSS)</t>
        </is>
      </c>
      <c r="DM193" s="20" t="inlineStr">
        <is>
          <t>None</t>
        </is>
      </c>
      <c r="DN193" s="17" t="n"/>
      <c r="DO193" s="16" t="n"/>
      <c r="DP193" s="20" t="inlineStr">
        <is>
          <t>IC Organic Acids</t>
        </is>
      </c>
      <c r="DQ193" s="20" t="inlineStr">
        <is>
          <t>None</t>
        </is>
      </c>
      <c r="DR193" s="17" t="n"/>
      <c r="DS193" s="16" t="n"/>
      <c r="DT193" s="20" t="inlineStr">
        <is>
          <t>IC Organic Acids</t>
        </is>
      </c>
      <c r="DU193" s="20" t="inlineStr">
        <is>
          <t>None</t>
        </is>
      </c>
      <c r="DV193" s="17" t="n"/>
      <c r="DW193" s="16" t="n"/>
      <c r="DX193" s="20" t="inlineStr">
        <is>
          <t>IC Organic Acids</t>
        </is>
      </c>
      <c r="DY193" s="20" t="inlineStr">
        <is>
          <t>None</t>
        </is>
      </c>
      <c r="DZ193" s="17" t="n"/>
      <c r="EA193" s="16" t="n"/>
      <c r="EB193" s="20" t="inlineStr">
        <is>
          <t>IC Organic Acids</t>
        </is>
      </c>
      <c r="EC193" s="20" t="inlineStr">
        <is>
          <t>None</t>
        </is>
      </c>
      <c r="ED193" s="17" t="n"/>
      <c r="EE193" s="16" t="n"/>
      <c r="EF193" s="20" t="inlineStr">
        <is>
          <t>IC Organic Acids</t>
        </is>
      </c>
      <c r="EG193" s="20" t="inlineStr">
        <is>
          <t>None</t>
        </is>
      </c>
      <c r="EH193" s="17" t="n"/>
      <c r="EI193" s="16" t="n"/>
      <c r="EJ193" s="20" t="inlineStr">
        <is>
          <t>IC Organic Acids</t>
        </is>
      </c>
      <c r="EK193" s="20" t="inlineStr">
        <is>
          <t>None</t>
        </is>
      </c>
      <c r="EL193" s="17" t="n"/>
      <c r="EM193" s="16" t="n"/>
      <c r="EN193" s="20" t="inlineStr">
        <is>
          <t>IC Organic Acids</t>
        </is>
      </c>
      <c r="EO193" s="20" t="inlineStr">
        <is>
          <t>None</t>
        </is>
      </c>
      <c r="EP193" s="17" t="n"/>
      <c r="EQ193" s="16" t="n"/>
      <c r="ER193" s="20" t="inlineStr">
        <is>
          <t>IC Organic Acids</t>
        </is>
      </c>
      <c r="ES193" s="20" t="inlineStr">
        <is>
          <t>None</t>
        </is>
      </c>
      <c r="ET193" s="17" t="n"/>
      <c r="EU193" s="16" t="n"/>
      <c r="EV193" s="20" t="inlineStr">
        <is>
          <t>LC-MS</t>
        </is>
      </c>
      <c r="EW193" s="20" t="inlineStr">
        <is>
          <t>None</t>
        </is>
      </c>
      <c r="EX193" s="17" t="n"/>
      <c r="EY193" s="21" t="n"/>
      <c r="EZ193">
        <f>CONCATENATE(A193,B193)</f>
        <v/>
      </c>
      <c r="FA193">
        <f>CONCATENATE(SamplesX!A193,SamplesX!B193)</f>
        <v/>
      </c>
      <c r="FC193">
        <f>MATCH(EZ193,FA1:FA1008,0)</f>
        <v/>
      </c>
    </row>
    <row r="194">
      <c r="A194" s="16" t="inlineStr">
        <is>
          <t>BP</t>
        </is>
      </c>
      <c r="B194" s="17" t="inlineStr">
        <is>
          <t>25186</t>
        </is>
      </c>
      <c r="C194" s="10">
        <f>IF(ISNUMBER(FC194),INDIRECT("SamplesX!C"&amp;FC194),IF(ISNUMBER(FD194),INDIRECT("SamplesY!C"&amp;FD194),""))</f>
        <v/>
      </c>
      <c r="D194" s="12">
        <f>IF(ISNUMBER(FC194),INDIRECT("SamplesX!D"&amp;FC194),IF(ISNUMBER(FD194),INDIRECT("SamplesY!D"&amp;FD194),""))</f>
        <v/>
      </c>
      <c r="E194" s="12">
        <f>IF(ISNUMBER(FC194),INDIRECT("SamplesX!E"&amp;FC194),IF(ISNUMBER(FD194),INDIRECT("SamplesY!E"&amp;FD194),""))</f>
        <v/>
      </c>
      <c r="F194" s="11">
        <f>IF(ISNUMBER(FC194),INDIRECT("SamplesX!F"&amp;FC194),IF(ISNUMBER(FD194),INDIRECT("SamplesY!F"&amp;FD194),""))</f>
        <v/>
      </c>
      <c r="G194" s="18">
        <f>IF(ISNUMBER(FC194),INDIRECT("SamplesX!G"&amp;FC194),IF(ISNUMBER(FD194),INDIRECT("SamplesY!G"&amp;FD194),""))</f>
        <v/>
      </c>
      <c r="H194" s="19">
        <f>IF(ISNUMBER(FC194),INDIRECT("SamplesX!H"&amp;FC194),IF(ISNUMBER(FD194),INDIRECT("SamplesY!H"&amp;FD194),""))</f>
        <v/>
      </c>
      <c r="I194" s="16" t="n"/>
      <c r="J194" s="16" t="n"/>
      <c r="K194" s="16" t="n"/>
      <c r="L194" s="20" t="n"/>
      <c r="M194" s="20" t="inlineStr">
        <is>
          <t>None</t>
        </is>
      </c>
      <c r="N194" s="17" t="n"/>
      <c r="O194" s="16" t="n"/>
      <c r="P194" s="20" t="inlineStr">
        <is>
          <t>Shimadzu TOC-L</t>
        </is>
      </c>
      <c r="Q194" s="20" t="inlineStr">
        <is>
          <t>None</t>
        </is>
      </c>
      <c r="R194" s="17" t="n"/>
      <c r="S194" s="16" t="n"/>
      <c r="T194" s="20" t="inlineStr">
        <is>
          <t>Shimadzu TOC-L</t>
        </is>
      </c>
      <c r="U194" s="20" t="inlineStr">
        <is>
          <t>None</t>
        </is>
      </c>
      <c r="V194" s="17" t="n"/>
      <c r="W194" s="16" t="n"/>
      <c r="X194" s="20" t="n"/>
      <c r="Y194" s="20" t="inlineStr">
        <is>
          <t>None</t>
        </is>
      </c>
      <c r="Z194" s="17" t="n"/>
      <c r="AA194" s="16" t="n"/>
      <c r="AB194" s="20" t="n"/>
      <c r="AC194" s="20" t="inlineStr">
        <is>
          <t>None</t>
        </is>
      </c>
      <c r="AD194" s="17" t="n"/>
      <c r="AE194" s="16" t="inlineStr">
        <is>
          <t>392</t>
        </is>
      </c>
      <c r="AF194" s="20" t="inlineStr">
        <is>
          <t>IC Anionen</t>
        </is>
      </c>
      <c r="AG194" s="20" t="inlineStr">
        <is>
          <t>None</t>
        </is>
      </c>
      <c r="AH194" s="17" t="n"/>
      <c r="AI194" s="16" t="n"/>
      <c r="AJ194" s="20" t="n"/>
      <c r="AK194" s="20" t="inlineStr">
        <is>
          <t>None</t>
        </is>
      </c>
      <c r="AL194" s="17" t="n"/>
      <c r="AM194" s="16" t="n"/>
      <c r="AN194" s="20" t="inlineStr">
        <is>
          <t>IC Anionen</t>
        </is>
      </c>
      <c r="AO194" s="20" t="inlineStr">
        <is>
          <t>None</t>
        </is>
      </c>
      <c r="AP194" s="17" t="n"/>
      <c r="AQ194" s="16" t="n"/>
      <c r="AR194" s="20" t="n"/>
      <c r="AS194" s="20" t="inlineStr">
        <is>
          <t>None</t>
        </is>
      </c>
      <c r="AT194" s="17" t="n"/>
      <c r="AU194" s="16" t="inlineStr">
        <is>
          <t>&lt;0.13</t>
        </is>
      </c>
      <c r="AV194" s="20" t="inlineStr">
        <is>
          <t>IC Anionen</t>
        </is>
      </c>
      <c r="AW194" s="20" t="inlineStr">
        <is>
          <t>None</t>
        </is>
      </c>
      <c r="AX194" s="17" t="n"/>
      <c r="AY194" s="16" t="inlineStr">
        <is>
          <t>&lt;0.80</t>
        </is>
      </c>
      <c r="AZ194" s="20" t="inlineStr">
        <is>
          <t>IC Anionen</t>
        </is>
      </c>
      <c r="BA194" s="20" t="inlineStr">
        <is>
          <t>None</t>
        </is>
      </c>
      <c r="BB194" s="17" t="n"/>
      <c r="BC194" s="16" t="inlineStr">
        <is>
          <t>142</t>
        </is>
      </c>
      <c r="BD194" s="20" t="inlineStr">
        <is>
          <t>IC Kationen</t>
        </is>
      </c>
      <c r="BE194" s="20" t="inlineStr">
        <is>
          <t>None</t>
        </is>
      </c>
      <c r="BF194" s="17" t="n"/>
      <c r="BG194" s="16" t="inlineStr">
        <is>
          <t>35.2</t>
        </is>
      </c>
      <c r="BH194" s="20" t="inlineStr">
        <is>
          <t>IC Kationen</t>
        </is>
      </c>
      <c r="BI194" s="20" t="inlineStr">
        <is>
          <t>None</t>
        </is>
      </c>
      <c r="BJ194" s="17" t="n"/>
      <c r="BK194" s="16" t="inlineStr">
        <is>
          <t>16.5</t>
        </is>
      </c>
      <c r="BL194" s="20" t="inlineStr">
        <is>
          <t>IC Kationen</t>
        </is>
      </c>
      <c r="BM194" s="20" t="inlineStr">
        <is>
          <t>None</t>
        </is>
      </c>
      <c r="BN194" s="17" t="n"/>
      <c r="BO194" s="16" t="inlineStr">
        <is>
          <t>195</t>
        </is>
      </c>
      <c r="BP194" s="20" t="inlineStr">
        <is>
          <t>IC Kationen</t>
        </is>
      </c>
      <c r="BQ194" s="20" t="inlineStr">
        <is>
          <t>None</t>
        </is>
      </c>
      <c r="BR194" s="17" t="n"/>
      <c r="BS194" s="16" t="inlineStr">
        <is>
          <t>27.4</t>
        </is>
      </c>
      <c r="BT194" s="20" t="inlineStr">
        <is>
          <t>IC Kationen</t>
        </is>
      </c>
      <c r="BU194" s="20" t="inlineStr">
        <is>
          <t>None</t>
        </is>
      </c>
      <c r="BV194" s="17" t="n"/>
      <c r="BW194" s="16" t="n"/>
      <c r="BX194" s="20" t="n"/>
      <c r="BY194" s="20" t="inlineStr">
        <is>
          <t>None</t>
        </is>
      </c>
      <c r="BZ194" s="17" t="n"/>
      <c r="CA194" s="16" t="n"/>
      <c r="CB194" s="20" t="n"/>
      <c r="CC194" s="20" t="inlineStr">
        <is>
          <t>None</t>
        </is>
      </c>
      <c r="CD194" s="17" t="n"/>
      <c r="CE194" s="16" t="n"/>
      <c r="CF194" s="20" t="n"/>
      <c r="CG194" s="20" t="inlineStr">
        <is>
          <t>None</t>
        </is>
      </c>
      <c r="CH194" s="17" t="n"/>
      <c r="CI194" s="16" t="n"/>
      <c r="CJ194" s="20" t="n"/>
      <c r="CK194" s="20" t="inlineStr">
        <is>
          <t>None</t>
        </is>
      </c>
      <c r="CL194" s="17" t="n"/>
      <c r="CM194" s="16" t="n"/>
      <c r="CN194" s="20" t="inlineStr">
        <is>
          <t>SOP 45-34</t>
        </is>
      </c>
      <c r="CO194" s="20" t="inlineStr">
        <is>
          <t>None</t>
        </is>
      </c>
      <c r="CP194" s="17" t="n"/>
      <c r="CQ194" s="16" t="n"/>
      <c r="CR194" s="20" t="n"/>
      <c r="CS194" s="20" t="inlineStr">
        <is>
          <t>None</t>
        </is>
      </c>
      <c r="CT194" s="17" t="n"/>
      <c r="CU194" s="16" t="n"/>
      <c r="CV194" s="20" t="n"/>
      <c r="CW194" s="20" t="inlineStr">
        <is>
          <t>None</t>
        </is>
      </c>
      <c r="CX194" s="17" t="n"/>
      <c r="CY194" s="16" t="n"/>
      <c r="CZ194" s="20" t="inlineStr">
        <is>
          <t>WTW Multimeter 3430 with FDO 925</t>
        </is>
      </c>
      <c r="DA194" s="20" t="inlineStr">
        <is>
          <t>None</t>
        </is>
      </c>
      <c r="DB194" s="17" t="n"/>
      <c r="DC194" s="16" t="n"/>
      <c r="DD194" s="20" t="n"/>
      <c r="DE194" s="20" t="inlineStr">
        <is>
          <t>None</t>
        </is>
      </c>
      <c r="DF194" s="17" t="n"/>
      <c r="DG194" s="16" t="n"/>
      <c r="DH194" s="20" t="inlineStr">
        <is>
          <t>SOP 45-09</t>
        </is>
      </c>
      <c r="DI194" s="20" t="inlineStr">
        <is>
          <t>None</t>
        </is>
      </c>
      <c r="DJ194" s="17" t="n"/>
      <c r="DK194" s="16" t="n"/>
      <c r="DL194" s="20" t="inlineStr">
        <is>
          <t>SOP 45-09 (SOP muss noch angepasst werden für VSS)</t>
        </is>
      </c>
      <c r="DM194" s="20" t="inlineStr">
        <is>
          <t>None</t>
        </is>
      </c>
      <c r="DN194" s="17" t="n"/>
      <c r="DO194" s="16" t="n"/>
      <c r="DP194" s="20" t="inlineStr">
        <is>
          <t>IC Organic Acids</t>
        </is>
      </c>
      <c r="DQ194" s="20" t="inlineStr">
        <is>
          <t>None</t>
        </is>
      </c>
      <c r="DR194" s="17" t="n"/>
      <c r="DS194" s="16" t="n"/>
      <c r="DT194" s="20" t="inlineStr">
        <is>
          <t>IC Organic Acids</t>
        </is>
      </c>
      <c r="DU194" s="20" t="inlineStr">
        <is>
          <t>None</t>
        </is>
      </c>
      <c r="DV194" s="17" t="n"/>
      <c r="DW194" s="16" t="n"/>
      <c r="DX194" s="20" t="inlineStr">
        <is>
          <t>IC Organic Acids</t>
        </is>
      </c>
      <c r="DY194" s="20" t="inlineStr">
        <is>
          <t>None</t>
        </is>
      </c>
      <c r="DZ194" s="17" t="n"/>
      <c r="EA194" s="16" t="n"/>
      <c r="EB194" s="20" t="inlineStr">
        <is>
          <t>IC Organic Acids</t>
        </is>
      </c>
      <c r="EC194" s="20" t="inlineStr">
        <is>
          <t>None</t>
        </is>
      </c>
      <c r="ED194" s="17" t="n"/>
      <c r="EE194" s="16" t="n"/>
      <c r="EF194" s="20" t="inlineStr">
        <is>
          <t>IC Organic Acids</t>
        </is>
      </c>
      <c r="EG194" s="20" t="inlineStr">
        <is>
          <t>None</t>
        </is>
      </c>
      <c r="EH194" s="17" t="n"/>
      <c r="EI194" s="16" t="n"/>
      <c r="EJ194" s="20" t="inlineStr">
        <is>
          <t>IC Organic Acids</t>
        </is>
      </c>
      <c r="EK194" s="20" t="inlineStr">
        <is>
          <t>None</t>
        </is>
      </c>
      <c r="EL194" s="17" t="n"/>
      <c r="EM194" s="16" t="n"/>
      <c r="EN194" s="20" t="inlineStr">
        <is>
          <t>IC Organic Acids</t>
        </is>
      </c>
      <c r="EO194" s="20" t="inlineStr">
        <is>
          <t>None</t>
        </is>
      </c>
      <c r="EP194" s="17" t="n"/>
      <c r="EQ194" s="16" t="n"/>
      <c r="ER194" s="20" t="inlineStr">
        <is>
          <t>IC Organic Acids</t>
        </is>
      </c>
      <c r="ES194" s="20" t="inlineStr">
        <is>
          <t>None</t>
        </is>
      </c>
      <c r="ET194" s="17" t="n"/>
      <c r="EU194" s="16" t="n"/>
      <c r="EV194" s="20" t="inlineStr">
        <is>
          <t>LC-MS</t>
        </is>
      </c>
      <c r="EW194" s="20" t="inlineStr">
        <is>
          <t>None</t>
        </is>
      </c>
      <c r="EX194" s="17" t="n"/>
      <c r="EY194" s="21" t="n"/>
      <c r="EZ194">
        <f>CONCATENATE(A194,B194)</f>
        <v/>
      </c>
      <c r="FA194">
        <f>CONCATENATE(SamplesX!A194,SamplesX!B194)</f>
        <v/>
      </c>
      <c r="FC194">
        <f>MATCH(EZ194,FA1:FA1008,0)</f>
        <v/>
      </c>
    </row>
    <row r="195">
      <c r="A195" s="16" t="inlineStr">
        <is>
          <t>BP</t>
        </is>
      </c>
      <c r="B195" s="17" t="inlineStr">
        <is>
          <t>25187</t>
        </is>
      </c>
      <c r="C195" s="10">
        <f>IF(ISNUMBER(FC195),INDIRECT("SamplesX!C"&amp;FC195),IF(ISNUMBER(FD195),INDIRECT("SamplesY!C"&amp;FD195),""))</f>
        <v/>
      </c>
      <c r="D195" s="12">
        <f>IF(ISNUMBER(FC195),INDIRECT("SamplesX!D"&amp;FC195),IF(ISNUMBER(FD195),INDIRECT("SamplesY!D"&amp;FD195),""))</f>
        <v/>
      </c>
      <c r="E195" s="12">
        <f>IF(ISNUMBER(FC195),INDIRECT("SamplesX!E"&amp;FC195),IF(ISNUMBER(FD195),INDIRECT("SamplesY!E"&amp;FD195),""))</f>
        <v/>
      </c>
      <c r="F195" s="11">
        <f>IF(ISNUMBER(FC195),INDIRECT("SamplesX!F"&amp;FC195),IF(ISNUMBER(FD195),INDIRECT("SamplesY!F"&amp;FD195),""))</f>
        <v/>
      </c>
      <c r="G195" s="18">
        <f>IF(ISNUMBER(FC195),INDIRECT("SamplesX!G"&amp;FC195),IF(ISNUMBER(FD195),INDIRECT("SamplesY!G"&amp;FD195),""))</f>
        <v/>
      </c>
      <c r="H195" s="19">
        <f>IF(ISNUMBER(FC195),INDIRECT("SamplesX!H"&amp;FC195),IF(ISNUMBER(FD195),INDIRECT("SamplesY!H"&amp;FD195),""))</f>
        <v/>
      </c>
      <c r="I195" s="16" t="n"/>
      <c r="J195" s="16" t="n"/>
      <c r="K195" s="16" t="n"/>
      <c r="L195" s="20" t="n"/>
      <c r="M195" s="20" t="inlineStr">
        <is>
          <t>None</t>
        </is>
      </c>
      <c r="N195" s="17" t="n"/>
      <c r="O195" s="16" t="n"/>
      <c r="P195" s="20" t="inlineStr">
        <is>
          <t>Shimadzu TOC-L</t>
        </is>
      </c>
      <c r="Q195" s="20" t="inlineStr">
        <is>
          <t>None</t>
        </is>
      </c>
      <c r="R195" s="17" t="n"/>
      <c r="S195" s="16" t="n"/>
      <c r="T195" s="20" t="inlineStr">
        <is>
          <t>Shimadzu TOC-L</t>
        </is>
      </c>
      <c r="U195" s="20" t="inlineStr">
        <is>
          <t>None</t>
        </is>
      </c>
      <c r="V195" s="17" t="n"/>
      <c r="W195" s="16" t="n"/>
      <c r="X195" s="20" t="n"/>
      <c r="Y195" s="20" t="inlineStr">
        <is>
          <t>None</t>
        </is>
      </c>
      <c r="Z195" s="17" t="n"/>
      <c r="AA195" s="16" t="n"/>
      <c r="AB195" s="20" t="n"/>
      <c r="AC195" s="20" t="inlineStr">
        <is>
          <t>None</t>
        </is>
      </c>
      <c r="AD195" s="17" t="n"/>
      <c r="AE195" s="16" t="inlineStr">
        <is>
          <t>436</t>
        </is>
      </c>
      <c r="AF195" s="20" t="inlineStr">
        <is>
          <t>IC Anionen</t>
        </is>
      </c>
      <c r="AG195" s="20" t="inlineStr">
        <is>
          <t>None</t>
        </is>
      </c>
      <c r="AH195" s="17" t="n"/>
      <c r="AI195" s="16" t="n"/>
      <c r="AJ195" s="20" t="n"/>
      <c r="AK195" s="20" t="inlineStr">
        <is>
          <t>None</t>
        </is>
      </c>
      <c r="AL195" s="17" t="n"/>
      <c r="AM195" s="16" t="n"/>
      <c r="AN195" s="20" t="inlineStr">
        <is>
          <t>IC Anionen</t>
        </is>
      </c>
      <c r="AO195" s="20" t="inlineStr">
        <is>
          <t>None</t>
        </is>
      </c>
      <c r="AP195" s="17" t="n"/>
      <c r="AQ195" s="16" t="n"/>
      <c r="AR195" s="20" t="n"/>
      <c r="AS195" s="20" t="inlineStr">
        <is>
          <t>None</t>
        </is>
      </c>
      <c r="AT195" s="17" t="n"/>
      <c r="AU195" s="16" t="inlineStr">
        <is>
          <t>&lt;0.13</t>
        </is>
      </c>
      <c r="AV195" s="20" t="inlineStr">
        <is>
          <t>IC Anionen</t>
        </is>
      </c>
      <c r="AW195" s="20" t="inlineStr">
        <is>
          <t>None</t>
        </is>
      </c>
      <c r="AX195" s="17" t="n"/>
      <c r="AY195" s="16" t="inlineStr">
        <is>
          <t>&lt;0.80</t>
        </is>
      </c>
      <c r="AZ195" s="20" t="inlineStr">
        <is>
          <t>IC Anionen</t>
        </is>
      </c>
      <c r="BA195" s="20" t="inlineStr">
        <is>
          <t>None</t>
        </is>
      </c>
      <c r="BB195" s="17" t="n"/>
      <c r="BC195" s="16" t="inlineStr">
        <is>
          <t>150</t>
        </is>
      </c>
      <c r="BD195" s="20" t="inlineStr">
        <is>
          <t>IC Kationen</t>
        </is>
      </c>
      <c r="BE195" s="20" t="inlineStr">
        <is>
          <t>None</t>
        </is>
      </c>
      <c r="BF195" s="17" t="n"/>
      <c r="BG195" s="16" t="inlineStr">
        <is>
          <t>13.0</t>
        </is>
      </c>
      <c r="BH195" s="20" t="inlineStr">
        <is>
          <t>IC Kationen</t>
        </is>
      </c>
      <c r="BI195" s="20" t="inlineStr">
        <is>
          <t>None</t>
        </is>
      </c>
      <c r="BJ195" s="17" t="n"/>
      <c r="BK195" s="16" t="inlineStr">
        <is>
          <t>14.9</t>
        </is>
      </c>
      <c r="BL195" s="20" t="inlineStr">
        <is>
          <t>IC Kationen</t>
        </is>
      </c>
      <c r="BM195" s="20" t="inlineStr">
        <is>
          <t>None</t>
        </is>
      </c>
      <c r="BN195" s="17" t="n"/>
      <c r="BO195" s="16" t="inlineStr">
        <is>
          <t>163</t>
        </is>
      </c>
      <c r="BP195" s="20" t="inlineStr">
        <is>
          <t>IC Kationen</t>
        </is>
      </c>
      <c r="BQ195" s="20" t="inlineStr">
        <is>
          <t>None</t>
        </is>
      </c>
      <c r="BR195" s="17" t="n"/>
      <c r="BS195" s="16" t="inlineStr">
        <is>
          <t>28.6</t>
        </is>
      </c>
      <c r="BT195" s="20" t="inlineStr">
        <is>
          <t>IC Kationen</t>
        </is>
      </c>
      <c r="BU195" s="20" t="inlineStr">
        <is>
          <t>None</t>
        </is>
      </c>
      <c r="BV195" s="17" t="n"/>
      <c r="BW195" s="16" t="n"/>
      <c r="BX195" s="20" t="n"/>
      <c r="BY195" s="20" t="inlineStr">
        <is>
          <t>None</t>
        </is>
      </c>
      <c r="BZ195" s="17" t="n"/>
      <c r="CA195" s="16" t="n"/>
      <c r="CB195" s="20" t="n"/>
      <c r="CC195" s="20" t="inlineStr">
        <is>
          <t>None</t>
        </is>
      </c>
      <c r="CD195" s="17" t="n"/>
      <c r="CE195" s="16" t="n"/>
      <c r="CF195" s="20" t="n"/>
      <c r="CG195" s="20" t="inlineStr">
        <is>
          <t>None</t>
        </is>
      </c>
      <c r="CH195" s="17" t="n"/>
      <c r="CI195" s="16" t="n"/>
      <c r="CJ195" s="20" t="n"/>
      <c r="CK195" s="20" t="inlineStr">
        <is>
          <t>None</t>
        </is>
      </c>
      <c r="CL195" s="17" t="n"/>
      <c r="CM195" s="16" t="n"/>
      <c r="CN195" s="20" t="inlineStr">
        <is>
          <t>SOP 45-34</t>
        </is>
      </c>
      <c r="CO195" s="20" t="inlineStr">
        <is>
          <t>None</t>
        </is>
      </c>
      <c r="CP195" s="17" t="n"/>
      <c r="CQ195" s="16" t="n"/>
      <c r="CR195" s="20" t="n"/>
      <c r="CS195" s="20" t="inlineStr">
        <is>
          <t>None</t>
        </is>
      </c>
      <c r="CT195" s="17" t="n"/>
      <c r="CU195" s="16" t="n"/>
      <c r="CV195" s="20" t="n"/>
      <c r="CW195" s="20" t="inlineStr">
        <is>
          <t>None</t>
        </is>
      </c>
      <c r="CX195" s="17" t="n"/>
      <c r="CY195" s="16" t="n"/>
      <c r="CZ195" s="20" t="inlineStr">
        <is>
          <t>WTW Multimeter 3430 with FDO 925</t>
        </is>
      </c>
      <c r="DA195" s="20" t="inlineStr">
        <is>
          <t>None</t>
        </is>
      </c>
      <c r="DB195" s="17" t="n"/>
      <c r="DC195" s="16" t="n"/>
      <c r="DD195" s="20" t="n"/>
      <c r="DE195" s="20" t="inlineStr">
        <is>
          <t>None</t>
        </is>
      </c>
      <c r="DF195" s="17" t="n"/>
      <c r="DG195" s="16" t="n"/>
      <c r="DH195" s="20" t="inlineStr">
        <is>
          <t>SOP 45-09</t>
        </is>
      </c>
      <c r="DI195" s="20" t="inlineStr">
        <is>
          <t>None</t>
        </is>
      </c>
      <c r="DJ195" s="17" t="n"/>
      <c r="DK195" s="16" t="n"/>
      <c r="DL195" s="20" t="inlineStr">
        <is>
          <t>SOP 45-09 (SOP muss noch angepasst werden für VSS)</t>
        </is>
      </c>
      <c r="DM195" s="20" t="inlineStr">
        <is>
          <t>None</t>
        </is>
      </c>
      <c r="DN195" s="17" t="n"/>
      <c r="DO195" s="16" t="n"/>
      <c r="DP195" s="20" t="inlineStr">
        <is>
          <t>IC Organic Acids</t>
        </is>
      </c>
      <c r="DQ195" s="20" t="inlineStr">
        <is>
          <t>None</t>
        </is>
      </c>
      <c r="DR195" s="17" t="n"/>
      <c r="DS195" s="16" t="n"/>
      <c r="DT195" s="20" t="inlineStr">
        <is>
          <t>IC Organic Acids</t>
        </is>
      </c>
      <c r="DU195" s="20" t="inlineStr">
        <is>
          <t>None</t>
        </is>
      </c>
      <c r="DV195" s="17" t="n"/>
      <c r="DW195" s="16" t="n"/>
      <c r="DX195" s="20" t="inlineStr">
        <is>
          <t>IC Organic Acids</t>
        </is>
      </c>
      <c r="DY195" s="20" t="inlineStr">
        <is>
          <t>None</t>
        </is>
      </c>
      <c r="DZ195" s="17" t="n"/>
      <c r="EA195" s="16" t="n"/>
      <c r="EB195" s="20" t="inlineStr">
        <is>
          <t>IC Organic Acids</t>
        </is>
      </c>
      <c r="EC195" s="20" t="inlineStr">
        <is>
          <t>None</t>
        </is>
      </c>
      <c r="ED195" s="17" t="n"/>
      <c r="EE195" s="16" t="n"/>
      <c r="EF195" s="20" t="inlineStr">
        <is>
          <t>IC Organic Acids</t>
        </is>
      </c>
      <c r="EG195" s="20" t="inlineStr">
        <is>
          <t>None</t>
        </is>
      </c>
      <c r="EH195" s="17" t="n"/>
      <c r="EI195" s="16" t="n"/>
      <c r="EJ195" s="20" t="inlineStr">
        <is>
          <t>IC Organic Acids</t>
        </is>
      </c>
      <c r="EK195" s="20" t="inlineStr">
        <is>
          <t>None</t>
        </is>
      </c>
      <c r="EL195" s="17" t="n"/>
      <c r="EM195" s="16" t="n"/>
      <c r="EN195" s="20" t="inlineStr">
        <is>
          <t>IC Organic Acids</t>
        </is>
      </c>
      <c r="EO195" s="20" t="inlineStr">
        <is>
          <t>None</t>
        </is>
      </c>
      <c r="EP195" s="17" t="n"/>
      <c r="EQ195" s="16" t="n"/>
      <c r="ER195" s="20" t="inlineStr">
        <is>
          <t>IC Organic Acids</t>
        </is>
      </c>
      <c r="ES195" s="20" t="inlineStr">
        <is>
          <t>None</t>
        </is>
      </c>
      <c r="ET195" s="17" t="n"/>
      <c r="EU195" s="16" t="n"/>
      <c r="EV195" s="20" t="inlineStr">
        <is>
          <t>LC-MS</t>
        </is>
      </c>
      <c r="EW195" s="20" t="inlineStr">
        <is>
          <t>None</t>
        </is>
      </c>
      <c r="EX195" s="17" t="n"/>
      <c r="EY195" s="21" t="n"/>
      <c r="EZ195">
        <f>CONCATENATE(A195,B195)</f>
        <v/>
      </c>
      <c r="FA195">
        <f>CONCATENATE(SamplesX!A195,SamplesX!B195)</f>
        <v/>
      </c>
      <c r="FC195">
        <f>MATCH(EZ195,FA1:FA1008,0)</f>
        <v/>
      </c>
    </row>
    <row r="196">
      <c r="A196" s="16" t="inlineStr">
        <is>
          <t>BP</t>
        </is>
      </c>
      <c r="B196" s="17" t="inlineStr">
        <is>
          <t>25188</t>
        </is>
      </c>
      <c r="C196" s="10">
        <f>IF(ISNUMBER(FC196),INDIRECT("SamplesX!C"&amp;FC196),IF(ISNUMBER(FD196),INDIRECT("SamplesY!C"&amp;FD196),""))</f>
        <v/>
      </c>
      <c r="D196" s="12">
        <f>IF(ISNUMBER(FC196),INDIRECT("SamplesX!D"&amp;FC196),IF(ISNUMBER(FD196),INDIRECT("SamplesY!D"&amp;FD196),""))</f>
        <v/>
      </c>
      <c r="E196" s="12">
        <f>IF(ISNUMBER(FC196),INDIRECT("SamplesX!E"&amp;FC196),IF(ISNUMBER(FD196),INDIRECT("SamplesY!E"&amp;FD196),""))</f>
        <v/>
      </c>
      <c r="F196" s="11">
        <f>IF(ISNUMBER(FC196),INDIRECT("SamplesX!F"&amp;FC196),IF(ISNUMBER(FD196),INDIRECT("SamplesY!F"&amp;FD196),""))</f>
        <v/>
      </c>
      <c r="G196" s="18">
        <f>IF(ISNUMBER(FC196),INDIRECT("SamplesX!G"&amp;FC196),IF(ISNUMBER(FD196),INDIRECT("SamplesY!G"&amp;FD196),""))</f>
        <v/>
      </c>
      <c r="H196" s="19">
        <f>IF(ISNUMBER(FC196),INDIRECT("SamplesX!H"&amp;FC196),IF(ISNUMBER(FD196),INDIRECT("SamplesY!H"&amp;FD196),""))</f>
        <v/>
      </c>
      <c r="I196" s="16" t="n"/>
      <c r="J196" s="16" t="n"/>
      <c r="K196" s="16" t="n"/>
      <c r="L196" s="20" t="n"/>
      <c r="M196" s="20" t="inlineStr">
        <is>
          <t>None</t>
        </is>
      </c>
      <c r="N196" s="17" t="n"/>
      <c r="O196" s="16" t="n"/>
      <c r="P196" s="20" t="inlineStr">
        <is>
          <t>Shimadzu TOC-L</t>
        </is>
      </c>
      <c r="Q196" s="20" t="inlineStr">
        <is>
          <t>None</t>
        </is>
      </c>
      <c r="R196" s="17" t="n"/>
      <c r="S196" s="16" t="n"/>
      <c r="T196" s="20" t="inlineStr">
        <is>
          <t>Shimadzu TOC-L</t>
        </is>
      </c>
      <c r="U196" s="20" t="inlineStr">
        <is>
          <t>None</t>
        </is>
      </c>
      <c r="V196" s="17" t="n"/>
      <c r="W196" s="16" t="n"/>
      <c r="X196" s="20" t="n"/>
      <c r="Y196" s="20" t="inlineStr">
        <is>
          <t>None</t>
        </is>
      </c>
      <c r="Z196" s="17" t="n"/>
      <c r="AA196" s="16" t="n"/>
      <c r="AB196" s="20" t="n"/>
      <c r="AC196" s="20" t="inlineStr">
        <is>
          <t>None</t>
        </is>
      </c>
      <c r="AD196" s="17" t="n"/>
      <c r="AE196" s="16" t="inlineStr">
        <is>
          <t>244</t>
        </is>
      </c>
      <c r="AF196" s="20" t="inlineStr">
        <is>
          <t>IC Anionen</t>
        </is>
      </c>
      <c r="AG196" s="20" t="inlineStr">
        <is>
          <t>None</t>
        </is>
      </c>
      <c r="AH196" s="17" t="n"/>
      <c r="AI196" s="16" t="n"/>
      <c r="AJ196" s="20" t="n"/>
      <c r="AK196" s="20" t="inlineStr">
        <is>
          <t>None</t>
        </is>
      </c>
      <c r="AL196" s="17" t="n"/>
      <c r="AM196" s="16" t="n"/>
      <c r="AN196" s="20" t="inlineStr">
        <is>
          <t>IC Anionen</t>
        </is>
      </c>
      <c r="AO196" s="20" t="inlineStr">
        <is>
          <t>None</t>
        </is>
      </c>
      <c r="AP196" s="17" t="n"/>
      <c r="AQ196" s="16" t="n"/>
      <c r="AR196" s="20" t="n"/>
      <c r="AS196" s="20" t="inlineStr">
        <is>
          <t>None</t>
        </is>
      </c>
      <c r="AT196" s="17" t="n"/>
      <c r="AU196" s="16" t="inlineStr">
        <is>
          <t>2.48</t>
        </is>
      </c>
      <c r="AV196" s="20" t="inlineStr">
        <is>
          <t>IC Anionen</t>
        </is>
      </c>
      <c r="AW196" s="20" t="inlineStr">
        <is>
          <t>None</t>
        </is>
      </c>
      <c r="AX196" s="17" t="n"/>
      <c r="AY196" s="16" t="inlineStr">
        <is>
          <t>6.25</t>
        </is>
      </c>
      <c r="AZ196" s="20" t="inlineStr">
        <is>
          <t>IC Anionen</t>
        </is>
      </c>
      <c r="BA196" s="20" t="inlineStr">
        <is>
          <t>None</t>
        </is>
      </c>
      <c r="BB196" s="17" t="n"/>
      <c r="BC196" s="16" t="inlineStr">
        <is>
          <t>155</t>
        </is>
      </c>
      <c r="BD196" s="20" t="inlineStr">
        <is>
          <t>IC Kationen</t>
        </is>
      </c>
      <c r="BE196" s="20" t="inlineStr">
        <is>
          <t>None</t>
        </is>
      </c>
      <c r="BF196" s="17" t="n"/>
      <c r="BG196" s="16" t="inlineStr">
        <is>
          <t>21.4</t>
        </is>
      </c>
      <c r="BH196" s="20" t="inlineStr">
        <is>
          <t>IC Kationen</t>
        </is>
      </c>
      <c r="BI196" s="20" t="inlineStr">
        <is>
          <t>None</t>
        </is>
      </c>
      <c r="BJ196" s="17" t="n"/>
      <c r="BK196" s="16" t="inlineStr">
        <is>
          <t>17.8</t>
        </is>
      </c>
      <c r="BL196" s="20" t="inlineStr">
        <is>
          <t>IC Kationen</t>
        </is>
      </c>
      <c r="BM196" s="20" t="inlineStr">
        <is>
          <t>None</t>
        </is>
      </c>
      <c r="BN196" s="17" t="n"/>
      <c r="BO196" s="16" t="inlineStr">
        <is>
          <t>195</t>
        </is>
      </c>
      <c r="BP196" s="20" t="inlineStr">
        <is>
          <t>IC Kationen</t>
        </is>
      </c>
      <c r="BQ196" s="20" t="inlineStr">
        <is>
          <t>None</t>
        </is>
      </c>
      <c r="BR196" s="17" t="n"/>
      <c r="BS196" s="16" t="inlineStr">
        <is>
          <t>28.6</t>
        </is>
      </c>
      <c r="BT196" s="20" t="inlineStr">
        <is>
          <t>IC Kationen</t>
        </is>
      </c>
      <c r="BU196" s="20" t="inlineStr">
        <is>
          <t>None</t>
        </is>
      </c>
      <c r="BV196" s="17" t="n"/>
      <c r="BW196" s="16" t="n"/>
      <c r="BX196" s="20" t="n"/>
      <c r="BY196" s="20" t="inlineStr">
        <is>
          <t>None</t>
        </is>
      </c>
      <c r="BZ196" s="17" t="n"/>
      <c r="CA196" s="16" t="n"/>
      <c r="CB196" s="20" t="n"/>
      <c r="CC196" s="20" t="inlineStr">
        <is>
          <t>None</t>
        </is>
      </c>
      <c r="CD196" s="17" t="n"/>
      <c r="CE196" s="16" t="n"/>
      <c r="CF196" s="20" t="n"/>
      <c r="CG196" s="20" t="inlineStr">
        <is>
          <t>None</t>
        </is>
      </c>
      <c r="CH196" s="17" t="n"/>
      <c r="CI196" s="16" t="n"/>
      <c r="CJ196" s="20" t="n"/>
      <c r="CK196" s="20" t="inlineStr">
        <is>
          <t>None</t>
        </is>
      </c>
      <c r="CL196" s="17" t="n"/>
      <c r="CM196" s="16" t="n"/>
      <c r="CN196" s="20" t="inlineStr">
        <is>
          <t>SOP 45-34</t>
        </is>
      </c>
      <c r="CO196" s="20" t="inlineStr">
        <is>
          <t>None</t>
        </is>
      </c>
      <c r="CP196" s="17" t="n"/>
      <c r="CQ196" s="16" t="n"/>
      <c r="CR196" s="20" t="n"/>
      <c r="CS196" s="20" t="inlineStr">
        <is>
          <t>None</t>
        </is>
      </c>
      <c r="CT196" s="17" t="n"/>
      <c r="CU196" s="16" t="n"/>
      <c r="CV196" s="20" t="n"/>
      <c r="CW196" s="20" t="inlineStr">
        <is>
          <t>None</t>
        </is>
      </c>
      <c r="CX196" s="17" t="n"/>
      <c r="CY196" s="16" t="n"/>
      <c r="CZ196" s="20" t="inlineStr">
        <is>
          <t>WTW Multimeter 3430 with FDO 925</t>
        </is>
      </c>
      <c r="DA196" s="20" t="inlineStr">
        <is>
          <t>None</t>
        </is>
      </c>
      <c r="DB196" s="17" t="n"/>
      <c r="DC196" s="16" t="n"/>
      <c r="DD196" s="20" t="n"/>
      <c r="DE196" s="20" t="inlineStr">
        <is>
          <t>None</t>
        </is>
      </c>
      <c r="DF196" s="17" t="n"/>
      <c r="DG196" s="16" t="n"/>
      <c r="DH196" s="20" t="inlineStr">
        <is>
          <t>SOP 45-09</t>
        </is>
      </c>
      <c r="DI196" s="20" t="inlineStr">
        <is>
          <t>None</t>
        </is>
      </c>
      <c r="DJ196" s="17" t="n"/>
      <c r="DK196" s="16" t="n"/>
      <c r="DL196" s="20" t="inlineStr">
        <is>
          <t>SOP 45-09 (SOP muss noch angepasst werden für VSS)</t>
        </is>
      </c>
      <c r="DM196" s="20" t="inlineStr">
        <is>
          <t>None</t>
        </is>
      </c>
      <c r="DN196" s="17" t="n"/>
      <c r="DO196" s="16" t="n"/>
      <c r="DP196" s="20" t="inlineStr">
        <is>
          <t>IC Organic Acids</t>
        </is>
      </c>
      <c r="DQ196" s="20" t="inlineStr">
        <is>
          <t>None</t>
        </is>
      </c>
      <c r="DR196" s="17" t="n"/>
      <c r="DS196" s="16" t="n"/>
      <c r="DT196" s="20" t="inlineStr">
        <is>
          <t>IC Organic Acids</t>
        </is>
      </c>
      <c r="DU196" s="20" t="inlineStr">
        <is>
          <t>None</t>
        </is>
      </c>
      <c r="DV196" s="17" t="n"/>
      <c r="DW196" s="16" t="n"/>
      <c r="DX196" s="20" t="inlineStr">
        <is>
          <t>IC Organic Acids</t>
        </is>
      </c>
      <c r="DY196" s="20" t="inlineStr">
        <is>
          <t>None</t>
        </is>
      </c>
      <c r="DZ196" s="17" t="n"/>
      <c r="EA196" s="16" t="n"/>
      <c r="EB196" s="20" t="inlineStr">
        <is>
          <t>IC Organic Acids</t>
        </is>
      </c>
      <c r="EC196" s="20" t="inlineStr">
        <is>
          <t>None</t>
        </is>
      </c>
      <c r="ED196" s="17" t="n"/>
      <c r="EE196" s="16" t="n"/>
      <c r="EF196" s="20" t="inlineStr">
        <is>
          <t>IC Organic Acids</t>
        </is>
      </c>
      <c r="EG196" s="20" t="inlineStr">
        <is>
          <t>None</t>
        </is>
      </c>
      <c r="EH196" s="17" t="n"/>
      <c r="EI196" s="16" t="n"/>
      <c r="EJ196" s="20" t="inlineStr">
        <is>
          <t>IC Organic Acids</t>
        </is>
      </c>
      <c r="EK196" s="20" t="inlineStr">
        <is>
          <t>None</t>
        </is>
      </c>
      <c r="EL196" s="17" t="n"/>
      <c r="EM196" s="16" t="n"/>
      <c r="EN196" s="20" t="inlineStr">
        <is>
          <t>IC Organic Acids</t>
        </is>
      </c>
      <c r="EO196" s="20" t="inlineStr">
        <is>
          <t>None</t>
        </is>
      </c>
      <c r="EP196" s="17" t="n"/>
      <c r="EQ196" s="16" t="n"/>
      <c r="ER196" s="20" t="inlineStr">
        <is>
          <t>IC Organic Acids</t>
        </is>
      </c>
      <c r="ES196" s="20" t="inlineStr">
        <is>
          <t>None</t>
        </is>
      </c>
      <c r="ET196" s="17" t="n"/>
      <c r="EU196" s="16" t="n"/>
      <c r="EV196" s="20" t="inlineStr">
        <is>
          <t>LC-MS</t>
        </is>
      </c>
      <c r="EW196" s="20" t="inlineStr">
        <is>
          <t>None</t>
        </is>
      </c>
      <c r="EX196" s="17" t="n"/>
      <c r="EY196" s="21" t="n"/>
      <c r="EZ196">
        <f>CONCATENATE(A196,B196)</f>
        <v/>
      </c>
      <c r="FA196">
        <f>CONCATENATE(SamplesX!A196,SamplesX!B196)</f>
        <v/>
      </c>
      <c r="FC196">
        <f>MATCH(EZ196,FA1:FA1008,0)</f>
        <v/>
      </c>
    </row>
    <row r="197">
      <c r="A197" s="16" t="inlineStr">
        <is>
          <t>BP</t>
        </is>
      </c>
      <c r="B197" s="17" t="inlineStr">
        <is>
          <t>25189</t>
        </is>
      </c>
      <c r="C197" s="10">
        <f>IF(ISNUMBER(FC197),INDIRECT("SamplesX!C"&amp;FC197),IF(ISNUMBER(FD197),INDIRECT("SamplesY!C"&amp;FD197),""))</f>
        <v/>
      </c>
      <c r="D197" s="12">
        <f>IF(ISNUMBER(FC197),INDIRECT("SamplesX!D"&amp;FC197),IF(ISNUMBER(FD197),INDIRECT("SamplesY!D"&amp;FD197),""))</f>
        <v/>
      </c>
      <c r="E197" s="12">
        <f>IF(ISNUMBER(FC197),INDIRECT("SamplesX!E"&amp;FC197),IF(ISNUMBER(FD197),INDIRECT("SamplesY!E"&amp;FD197),""))</f>
        <v/>
      </c>
      <c r="F197" s="11">
        <f>IF(ISNUMBER(FC197),INDIRECT("SamplesX!F"&amp;FC197),IF(ISNUMBER(FD197),INDIRECT("SamplesY!F"&amp;FD197),""))</f>
        <v/>
      </c>
      <c r="G197" s="18">
        <f>IF(ISNUMBER(FC197),INDIRECT("SamplesX!G"&amp;FC197),IF(ISNUMBER(FD197),INDIRECT("SamplesY!G"&amp;FD197),""))</f>
        <v/>
      </c>
      <c r="H197" s="19">
        <f>IF(ISNUMBER(FC197),INDIRECT("SamplesX!H"&amp;FC197),IF(ISNUMBER(FD197),INDIRECT("SamplesY!H"&amp;FD197),""))</f>
        <v/>
      </c>
      <c r="I197" s="16" t="n"/>
      <c r="J197" s="16" t="n"/>
      <c r="K197" s="16" t="n"/>
      <c r="L197" s="20" t="n"/>
      <c r="M197" s="20" t="inlineStr">
        <is>
          <t>None</t>
        </is>
      </c>
      <c r="N197" s="17" t="n"/>
      <c r="O197" s="16" t="n"/>
      <c r="P197" s="20" t="inlineStr">
        <is>
          <t>Shimadzu TOC-L</t>
        </is>
      </c>
      <c r="Q197" s="20" t="inlineStr">
        <is>
          <t>None</t>
        </is>
      </c>
      <c r="R197" s="17" t="n"/>
      <c r="S197" s="16" t="n"/>
      <c r="T197" s="20" t="inlineStr">
        <is>
          <t>Shimadzu TOC-L</t>
        </is>
      </c>
      <c r="U197" s="20" t="inlineStr">
        <is>
          <t>None</t>
        </is>
      </c>
      <c r="V197" s="17" t="n"/>
      <c r="W197" s="16" t="n"/>
      <c r="X197" s="20" t="n"/>
      <c r="Y197" s="20" t="inlineStr">
        <is>
          <t>None</t>
        </is>
      </c>
      <c r="Z197" s="17" t="n"/>
      <c r="AA197" s="16" t="n"/>
      <c r="AB197" s="20" t="n"/>
      <c r="AC197" s="20" t="inlineStr">
        <is>
          <t>None</t>
        </is>
      </c>
      <c r="AD197" s="17" t="n"/>
      <c r="AE197" s="16" t="inlineStr">
        <is>
          <t>178</t>
        </is>
      </c>
      <c r="AF197" s="20" t="inlineStr">
        <is>
          <t>IC Anionen</t>
        </is>
      </c>
      <c r="AG197" s="20" t="inlineStr">
        <is>
          <t>None</t>
        </is>
      </c>
      <c r="AH197" s="17" t="n"/>
      <c r="AI197" s="16" t="n"/>
      <c r="AJ197" s="20" t="n"/>
      <c r="AK197" s="20" t="inlineStr">
        <is>
          <t>None</t>
        </is>
      </c>
      <c r="AL197" s="17" t="n"/>
      <c r="AM197" s="16" t="n"/>
      <c r="AN197" s="20" t="inlineStr">
        <is>
          <t>IC Anionen</t>
        </is>
      </c>
      <c r="AO197" s="20" t="inlineStr">
        <is>
          <t>None</t>
        </is>
      </c>
      <c r="AP197" s="17" t="n"/>
      <c r="AQ197" s="16" t="n"/>
      <c r="AR197" s="20" t="n"/>
      <c r="AS197" s="20" t="inlineStr">
        <is>
          <t>None</t>
        </is>
      </c>
      <c r="AT197" s="17" t="n"/>
      <c r="AU197" s="16" t="inlineStr">
        <is>
          <t>13.4</t>
        </is>
      </c>
      <c r="AV197" s="20" t="inlineStr">
        <is>
          <t>IC Anionen</t>
        </is>
      </c>
      <c r="AW197" s="20" t="inlineStr">
        <is>
          <t>None</t>
        </is>
      </c>
      <c r="AX197" s="17" t="n"/>
      <c r="AY197" s="16" t="inlineStr">
        <is>
          <t>1.67</t>
        </is>
      </c>
      <c r="AZ197" s="20" t="inlineStr">
        <is>
          <t>IC Anionen</t>
        </is>
      </c>
      <c r="BA197" s="20" t="inlineStr">
        <is>
          <t>None</t>
        </is>
      </c>
      <c r="BB197" s="17" t="n"/>
      <c r="BC197" s="16" t="inlineStr">
        <is>
          <t>128</t>
        </is>
      </c>
      <c r="BD197" s="20" t="inlineStr">
        <is>
          <t>IC Kationen</t>
        </is>
      </c>
      <c r="BE197" s="20" t="inlineStr">
        <is>
          <t>None</t>
        </is>
      </c>
      <c r="BF197" s="17" t="n"/>
      <c r="BG197" s="16" t="inlineStr">
        <is>
          <t>56.8</t>
        </is>
      </c>
      <c r="BH197" s="20" t="inlineStr">
        <is>
          <t>IC Kationen</t>
        </is>
      </c>
      <c r="BI197" s="20" t="inlineStr">
        <is>
          <t>None</t>
        </is>
      </c>
      <c r="BJ197" s="17" t="n"/>
      <c r="BK197" s="16" t="inlineStr">
        <is>
          <t>14.9</t>
        </is>
      </c>
      <c r="BL197" s="20" t="inlineStr">
        <is>
          <t>IC Kationen</t>
        </is>
      </c>
      <c r="BM197" s="20" t="inlineStr">
        <is>
          <t>None</t>
        </is>
      </c>
      <c r="BN197" s="17" t="n"/>
      <c r="BO197" s="16" t="inlineStr">
        <is>
          <t>181</t>
        </is>
      </c>
      <c r="BP197" s="20" t="inlineStr">
        <is>
          <t>IC Kationen</t>
        </is>
      </c>
      <c r="BQ197" s="20" t="inlineStr">
        <is>
          <t>None</t>
        </is>
      </c>
      <c r="BR197" s="17" t="n"/>
      <c r="BS197" s="16" t="inlineStr">
        <is>
          <t>25.4</t>
        </is>
      </c>
      <c r="BT197" s="20" t="inlineStr">
        <is>
          <t>IC Kationen</t>
        </is>
      </c>
      <c r="BU197" s="20" t="inlineStr">
        <is>
          <t>None</t>
        </is>
      </c>
      <c r="BV197" s="17" t="n"/>
      <c r="BW197" s="16" t="n"/>
      <c r="BX197" s="20" t="n"/>
      <c r="BY197" s="20" t="inlineStr">
        <is>
          <t>None</t>
        </is>
      </c>
      <c r="BZ197" s="17" t="n"/>
      <c r="CA197" s="16" t="n"/>
      <c r="CB197" s="20" t="n"/>
      <c r="CC197" s="20" t="inlineStr">
        <is>
          <t>None</t>
        </is>
      </c>
      <c r="CD197" s="17" t="n"/>
      <c r="CE197" s="16" t="n"/>
      <c r="CF197" s="20" t="n"/>
      <c r="CG197" s="20" t="inlineStr">
        <is>
          <t>None</t>
        </is>
      </c>
      <c r="CH197" s="17" t="n"/>
      <c r="CI197" s="16" t="n"/>
      <c r="CJ197" s="20" t="n"/>
      <c r="CK197" s="20" t="inlineStr">
        <is>
          <t>None</t>
        </is>
      </c>
      <c r="CL197" s="17" t="n"/>
      <c r="CM197" s="16" t="n"/>
      <c r="CN197" s="20" t="inlineStr">
        <is>
          <t>SOP 45-34</t>
        </is>
      </c>
      <c r="CO197" s="20" t="inlineStr">
        <is>
          <t>None</t>
        </is>
      </c>
      <c r="CP197" s="17" t="n"/>
      <c r="CQ197" s="16" t="n"/>
      <c r="CR197" s="20" t="n"/>
      <c r="CS197" s="20" t="inlineStr">
        <is>
          <t>None</t>
        </is>
      </c>
      <c r="CT197" s="17" t="n"/>
      <c r="CU197" s="16" t="n"/>
      <c r="CV197" s="20" t="n"/>
      <c r="CW197" s="20" t="inlineStr">
        <is>
          <t>None</t>
        </is>
      </c>
      <c r="CX197" s="17" t="n"/>
      <c r="CY197" s="16" t="n"/>
      <c r="CZ197" s="20" t="inlineStr">
        <is>
          <t>WTW Multimeter 3430 with FDO 925</t>
        </is>
      </c>
      <c r="DA197" s="20" t="inlineStr">
        <is>
          <t>None</t>
        </is>
      </c>
      <c r="DB197" s="17" t="n"/>
      <c r="DC197" s="16" t="n"/>
      <c r="DD197" s="20" t="n"/>
      <c r="DE197" s="20" t="inlineStr">
        <is>
          <t>None</t>
        </is>
      </c>
      <c r="DF197" s="17" t="n"/>
      <c r="DG197" s="16" t="n"/>
      <c r="DH197" s="20" t="inlineStr">
        <is>
          <t>SOP 45-09</t>
        </is>
      </c>
      <c r="DI197" s="20" t="inlineStr">
        <is>
          <t>None</t>
        </is>
      </c>
      <c r="DJ197" s="17" t="n"/>
      <c r="DK197" s="16" t="n"/>
      <c r="DL197" s="20" t="inlineStr">
        <is>
          <t>SOP 45-09 (SOP muss noch angepasst werden für VSS)</t>
        </is>
      </c>
      <c r="DM197" s="20" t="inlineStr">
        <is>
          <t>None</t>
        </is>
      </c>
      <c r="DN197" s="17" t="n"/>
      <c r="DO197" s="16" t="n"/>
      <c r="DP197" s="20" t="inlineStr">
        <is>
          <t>IC Organic Acids</t>
        </is>
      </c>
      <c r="DQ197" s="20" t="inlineStr">
        <is>
          <t>None</t>
        </is>
      </c>
      <c r="DR197" s="17" t="n"/>
      <c r="DS197" s="16" t="n"/>
      <c r="DT197" s="20" t="inlineStr">
        <is>
          <t>IC Organic Acids</t>
        </is>
      </c>
      <c r="DU197" s="20" t="inlineStr">
        <is>
          <t>None</t>
        </is>
      </c>
      <c r="DV197" s="17" t="n"/>
      <c r="DW197" s="16" t="n"/>
      <c r="DX197" s="20" t="inlineStr">
        <is>
          <t>IC Organic Acids</t>
        </is>
      </c>
      <c r="DY197" s="20" t="inlineStr">
        <is>
          <t>None</t>
        </is>
      </c>
      <c r="DZ197" s="17" t="n"/>
      <c r="EA197" s="16" t="n"/>
      <c r="EB197" s="20" t="inlineStr">
        <is>
          <t>IC Organic Acids</t>
        </is>
      </c>
      <c r="EC197" s="20" t="inlineStr">
        <is>
          <t>None</t>
        </is>
      </c>
      <c r="ED197" s="17" t="n"/>
      <c r="EE197" s="16" t="n"/>
      <c r="EF197" s="20" t="inlineStr">
        <is>
          <t>IC Organic Acids</t>
        </is>
      </c>
      <c r="EG197" s="20" t="inlineStr">
        <is>
          <t>None</t>
        </is>
      </c>
      <c r="EH197" s="17" t="n"/>
      <c r="EI197" s="16" t="n"/>
      <c r="EJ197" s="20" t="inlineStr">
        <is>
          <t>IC Organic Acids</t>
        </is>
      </c>
      <c r="EK197" s="20" t="inlineStr">
        <is>
          <t>None</t>
        </is>
      </c>
      <c r="EL197" s="17" t="n"/>
      <c r="EM197" s="16" t="n"/>
      <c r="EN197" s="20" t="inlineStr">
        <is>
          <t>IC Organic Acids</t>
        </is>
      </c>
      <c r="EO197" s="20" t="inlineStr">
        <is>
          <t>None</t>
        </is>
      </c>
      <c r="EP197" s="17" t="n"/>
      <c r="EQ197" s="16" t="n"/>
      <c r="ER197" s="20" t="inlineStr">
        <is>
          <t>IC Organic Acids</t>
        </is>
      </c>
      <c r="ES197" s="20" t="inlineStr">
        <is>
          <t>None</t>
        </is>
      </c>
      <c r="ET197" s="17" t="n"/>
      <c r="EU197" s="16" t="n"/>
      <c r="EV197" s="20" t="inlineStr">
        <is>
          <t>LC-MS</t>
        </is>
      </c>
      <c r="EW197" s="20" t="inlineStr">
        <is>
          <t>None</t>
        </is>
      </c>
      <c r="EX197" s="17" t="n"/>
      <c r="EY197" s="21" t="n"/>
      <c r="EZ197">
        <f>CONCATENATE(A197,B197)</f>
        <v/>
      </c>
      <c r="FA197">
        <f>CONCATENATE(SamplesX!A197,SamplesX!B197)</f>
        <v/>
      </c>
      <c r="FC197">
        <f>MATCH(EZ197,FA1:FA1008,0)</f>
        <v/>
      </c>
    </row>
    <row r="198">
      <c r="A198" s="16" t="inlineStr">
        <is>
          <t>BP</t>
        </is>
      </c>
      <c r="B198" s="17" t="inlineStr">
        <is>
          <t>25190</t>
        </is>
      </c>
      <c r="C198" s="10">
        <f>IF(ISNUMBER(FC198),INDIRECT("SamplesX!C"&amp;FC198),IF(ISNUMBER(FD198),INDIRECT("SamplesY!C"&amp;FD198),""))</f>
        <v/>
      </c>
      <c r="D198" s="12">
        <f>IF(ISNUMBER(FC198),INDIRECT("SamplesX!D"&amp;FC198),IF(ISNUMBER(FD198),INDIRECT("SamplesY!D"&amp;FD198),""))</f>
        <v/>
      </c>
      <c r="E198" s="12">
        <f>IF(ISNUMBER(FC198),INDIRECT("SamplesX!E"&amp;FC198),IF(ISNUMBER(FD198),INDIRECT("SamplesY!E"&amp;FD198),""))</f>
        <v/>
      </c>
      <c r="F198" s="11">
        <f>IF(ISNUMBER(FC198),INDIRECT("SamplesX!F"&amp;FC198),IF(ISNUMBER(FD198),INDIRECT("SamplesY!F"&amp;FD198),""))</f>
        <v/>
      </c>
      <c r="G198" s="18">
        <f>IF(ISNUMBER(FC198),INDIRECT("SamplesX!G"&amp;FC198),IF(ISNUMBER(FD198),INDIRECT("SamplesY!G"&amp;FD198),""))</f>
        <v/>
      </c>
      <c r="H198" s="19">
        <f>IF(ISNUMBER(FC198),INDIRECT("SamplesX!H"&amp;FC198),IF(ISNUMBER(FD198),INDIRECT("SamplesY!H"&amp;FD198),""))</f>
        <v/>
      </c>
      <c r="I198" s="16" t="n"/>
      <c r="J198" s="16" t="n"/>
      <c r="K198" s="16" t="n"/>
      <c r="L198" s="20" t="n"/>
      <c r="M198" s="20" t="inlineStr">
        <is>
          <t>None</t>
        </is>
      </c>
      <c r="N198" s="17" t="n"/>
      <c r="O198" s="16" t="n"/>
      <c r="P198" s="20" t="inlineStr">
        <is>
          <t>Shimadzu TOC-L</t>
        </is>
      </c>
      <c r="Q198" s="20" t="inlineStr">
        <is>
          <t>None</t>
        </is>
      </c>
      <c r="R198" s="17" t="n"/>
      <c r="S198" s="16" t="n"/>
      <c r="T198" s="20" t="inlineStr">
        <is>
          <t>Shimadzu TOC-L</t>
        </is>
      </c>
      <c r="U198" s="20" t="inlineStr">
        <is>
          <t>None</t>
        </is>
      </c>
      <c r="V198" s="17" t="n"/>
      <c r="W198" s="16" t="n"/>
      <c r="X198" s="20" t="n"/>
      <c r="Y198" s="20" t="inlineStr">
        <is>
          <t>None</t>
        </is>
      </c>
      <c r="Z198" s="17" t="n"/>
      <c r="AA198" s="16" t="n"/>
      <c r="AB198" s="20" t="n"/>
      <c r="AC198" s="20" t="inlineStr">
        <is>
          <t>None</t>
        </is>
      </c>
      <c r="AD198" s="17" t="n"/>
      <c r="AE198" s="16" t="inlineStr">
        <is>
          <t>293</t>
        </is>
      </c>
      <c r="AF198" s="20" t="inlineStr">
        <is>
          <t>IC Anionen</t>
        </is>
      </c>
      <c r="AG198" s="20" t="inlineStr">
        <is>
          <t>None</t>
        </is>
      </c>
      <c r="AH198" s="17" t="n"/>
      <c r="AI198" s="16" t="n"/>
      <c r="AJ198" s="20" t="n"/>
      <c r="AK198" s="20" t="inlineStr">
        <is>
          <t>None</t>
        </is>
      </c>
      <c r="AL198" s="17" t="n"/>
      <c r="AM198" s="16" t="n"/>
      <c r="AN198" s="20" t="inlineStr">
        <is>
          <t>IC Anionen</t>
        </is>
      </c>
      <c r="AO198" s="20" t="inlineStr">
        <is>
          <t>None</t>
        </is>
      </c>
      <c r="AP198" s="17" t="n"/>
      <c r="AQ198" s="16" t="n"/>
      <c r="AR198" s="20" t="n"/>
      <c r="AS198" s="20" t="inlineStr">
        <is>
          <t>None</t>
        </is>
      </c>
      <c r="AT198" s="17" t="n"/>
      <c r="AU198" s="16" t="inlineStr">
        <is>
          <t>&lt;0.13</t>
        </is>
      </c>
      <c r="AV198" s="20" t="inlineStr">
        <is>
          <t>IC Anionen</t>
        </is>
      </c>
      <c r="AW198" s="20" t="inlineStr">
        <is>
          <t>None</t>
        </is>
      </c>
      <c r="AX198" s="17" t="n"/>
      <c r="AY198" s="16" t="inlineStr">
        <is>
          <t>&lt;0.80</t>
        </is>
      </c>
      <c r="AZ198" s="20" t="inlineStr">
        <is>
          <t>IC Anionen</t>
        </is>
      </c>
      <c r="BA198" s="20" t="inlineStr">
        <is>
          <t>None</t>
        </is>
      </c>
      <c r="BB198" s="17" t="n"/>
      <c r="BC198" s="16" t="inlineStr">
        <is>
          <t>129</t>
        </is>
      </c>
      <c r="BD198" s="20" t="inlineStr">
        <is>
          <t>IC Kationen</t>
        </is>
      </c>
      <c r="BE198" s="20" t="inlineStr">
        <is>
          <t>None</t>
        </is>
      </c>
      <c r="BF198" s="17" t="n"/>
      <c r="BG198" s="16" t="inlineStr">
        <is>
          <t>46.4</t>
        </is>
      </c>
      <c r="BH198" s="20" t="inlineStr">
        <is>
          <t>IC Kationen</t>
        </is>
      </c>
      <c r="BI198" s="20" t="inlineStr">
        <is>
          <t>None</t>
        </is>
      </c>
      <c r="BJ198" s="17" t="n"/>
      <c r="BK198" s="16" t="inlineStr">
        <is>
          <t>14.9</t>
        </is>
      </c>
      <c r="BL198" s="20" t="inlineStr">
        <is>
          <t>IC Kationen</t>
        </is>
      </c>
      <c r="BM198" s="20" t="inlineStr">
        <is>
          <t>None</t>
        </is>
      </c>
      <c r="BN198" s="17" t="n"/>
      <c r="BO198" s="16" t="inlineStr">
        <is>
          <t>166</t>
        </is>
      </c>
      <c r="BP198" s="20" t="inlineStr">
        <is>
          <t>IC Kationen</t>
        </is>
      </c>
      <c r="BQ198" s="20" t="inlineStr">
        <is>
          <t>None</t>
        </is>
      </c>
      <c r="BR198" s="17" t="n"/>
      <c r="BS198" s="16" t="inlineStr">
        <is>
          <t>24.5</t>
        </is>
      </c>
      <c r="BT198" s="20" t="inlineStr">
        <is>
          <t>IC Kationen</t>
        </is>
      </c>
      <c r="BU198" s="20" t="inlineStr">
        <is>
          <t>None</t>
        </is>
      </c>
      <c r="BV198" s="17" t="n"/>
      <c r="BW198" s="16" t="n"/>
      <c r="BX198" s="20" t="n"/>
      <c r="BY198" s="20" t="inlineStr">
        <is>
          <t>None</t>
        </is>
      </c>
      <c r="BZ198" s="17" t="n"/>
      <c r="CA198" s="16" t="n"/>
      <c r="CB198" s="20" t="n"/>
      <c r="CC198" s="20" t="inlineStr">
        <is>
          <t>None</t>
        </is>
      </c>
      <c r="CD198" s="17" t="n"/>
      <c r="CE198" s="16" t="n"/>
      <c r="CF198" s="20" t="n"/>
      <c r="CG198" s="20" t="inlineStr">
        <is>
          <t>None</t>
        </is>
      </c>
      <c r="CH198" s="17" t="n"/>
      <c r="CI198" s="16" t="n"/>
      <c r="CJ198" s="20" t="n"/>
      <c r="CK198" s="20" t="inlineStr">
        <is>
          <t>None</t>
        </is>
      </c>
      <c r="CL198" s="17" t="n"/>
      <c r="CM198" s="16" t="n"/>
      <c r="CN198" s="20" t="inlineStr">
        <is>
          <t>SOP 45-34</t>
        </is>
      </c>
      <c r="CO198" s="20" t="inlineStr">
        <is>
          <t>None</t>
        </is>
      </c>
      <c r="CP198" s="17" t="n"/>
      <c r="CQ198" s="16" t="n"/>
      <c r="CR198" s="20" t="n"/>
      <c r="CS198" s="20" t="inlineStr">
        <is>
          <t>None</t>
        </is>
      </c>
      <c r="CT198" s="17" t="n"/>
      <c r="CU198" s="16" t="n"/>
      <c r="CV198" s="20" t="n"/>
      <c r="CW198" s="20" t="inlineStr">
        <is>
          <t>None</t>
        </is>
      </c>
      <c r="CX198" s="17" t="n"/>
      <c r="CY198" s="16" t="n"/>
      <c r="CZ198" s="20" t="inlineStr">
        <is>
          <t>WTW Multimeter 3430 with FDO 925</t>
        </is>
      </c>
      <c r="DA198" s="20" t="inlineStr">
        <is>
          <t>None</t>
        </is>
      </c>
      <c r="DB198" s="17" t="n"/>
      <c r="DC198" s="16" t="n"/>
      <c r="DD198" s="20" t="n"/>
      <c r="DE198" s="20" t="inlineStr">
        <is>
          <t>None</t>
        </is>
      </c>
      <c r="DF198" s="17" t="n"/>
      <c r="DG198" s="16" t="n"/>
      <c r="DH198" s="20" t="inlineStr">
        <is>
          <t>SOP 45-09</t>
        </is>
      </c>
      <c r="DI198" s="20" t="inlineStr">
        <is>
          <t>None</t>
        </is>
      </c>
      <c r="DJ198" s="17" t="n"/>
      <c r="DK198" s="16" t="n"/>
      <c r="DL198" s="20" t="inlineStr">
        <is>
          <t>SOP 45-09 (SOP muss noch angepasst werden für VSS)</t>
        </is>
      </c>
      <c r="DM198" s="20" t="inlineStr">
        <is>
          <t>None</t>
        </is>
      </c>
      <c r="DN198" s="17" t="n"/>
      <c r="DO198" s="16" t="n"/>
      <c r="DP198" s="20" t="inlineStr">
        <is>
          <t>IC Organic Acids</t>
        </is>
      </c>
      <c r="DQ198" s="20" t="inlineStr">
        <is>
          <t>None</t>
        </is>
      </c>
      <c r="DR198" s="17" t="n"/>
      <c r="DS198" s="16" t="n"/>
      <c r="DT198" s="20" t="inlineStr">
        <is>
          <t>IC Organic Acids</t>
        </is>
      </c>
      <c r="DU198" s="20" t="inlineStr">
        <is>
          <t>None</t>
        </is>
      </c>
      <c r="DV198" s="17" t="n"/>
      <c r="DW198" s="16" t="n"/>
      <c r="DX198" s="20" t="inlineStr">
        <is>
          <t>IC Organic Acids</t>
        </is>
      </c>
      <c r="DY198" s="20" t="inlineStr">
        <is>
          <t>None</t>
        </is>
      </c>
      <c r="DZ198" s="17" t="n"/>
      <c r="EA198" s="16" t="n"/>
      <c r="EB198" s="20" t="inlineStr">
        <is>
          <t>IC Organic Acids</t>
        </is>
      </c>
      <c r="EC198" s="20" t="inlineStr">
        <is>
          <t>None</t>
        </is>
      </c>
      <c r="ED198" s="17" t="n"/>
      <c r="EE198" s="16" t="n"/>
      <c r="EF198" s="20" t="inlineStr">
        <is>
          <t>IC Organic Acids</t>
        </is>
      </c>
      <c r="EG198" s="20" t="inlineStr">
        <is>
          <t>None</t>
        </is>
      </c>
      <c r="EH198" s="17" t="n"/>
      <c r="EI198" s="16" t="n"/>
      <c r="EJ198" s="20" t="inlineStr">
        <is>
          <t>IC Organic Acids</t>
        </is>
      </c>
      <c r="EK198" s="20" t="inlineStr">
        <is>
          <t>None</t>
        </is>
      </c>
      <c r="EL198" s="17" t="n"/>
      <c r="EM198" s="16" t="n"/>
      <c r="EN198" s="20" t="inlineStr">
        <is>
          <t>IC Organic Acids</t>
        </is>
      </c>
      <c r="EO198" s="20" t="inlineStr">
        <is>
          <t>None</t>
        </is>
      </c>
      <c r="EP198" s="17" t="n"/>
      <c r="EQ198" s="16" t="n"/>
      <c r="ER198" s="20" t="inlineStr">
        <is>
          <t>IC Organic Acids</t>
        </is>
      </c>
      <c r="ES198" s="20" t="inlineStr">
        <is>
          <t>None</t>
        </is>
      </c>
      <c r="ET198" s="17" t="n"/>
      <c r="EU198" s="16" t="n"/>
      <c r="EV198" s="20" t="inlineStr">
        <is>
          <t>LC-MS</t>
        </is>
      </c>
      <c r="EW198" s="20" t="inlineStr">
        <is>
          <t>None</t>
        </is>
      </c>
      <c r="EX198" s="17" t="n"/>
      <c r="EY198" s="21" t="n"/>
      <c r="EZ198">
        <f>CONCATENATE(A198,B198)</f>
        <v/>
      </c>
      <c r="FA198">
        <f>CONCATENATE(SamplesX!A198,SamplesX!B198)</f>
        <v/>
      </c>
      <c r="FC198">
        <f>MATCH(EZ198,FA1:FA1008,0)</f>
        <v/>
      </c>
    </row>
    <row r="199">
      <c r="A199" s="16" t="inlineStr">
        <is>
          <t>BP</t>
        </is>
      </c>
      <c r="B199" s="17" t="inlineStr">
        <is>
          <t>25191</t>
        </is>
      </c>
      <c r="C199" s="10">
        <f>IF(ISNUMBER(FC199),INDIRECT("SamplesX!C"&amp;FC199),IF(ISNUMBER(FD199),INDIRECT("SamplesY!C"&amp;FD199),""))</f>
        <v/>
      </c>
      <c r="D199" s="12">
        <f>IF(ISNUMBER(FC199),INDIRECT("SamplesX!D"&amp;FC199),IF(ISNUMBER(FD199),INDIRECT("SamplesY!D"&amp;FD199),""))</f>
        <v/>
      </c>
      <c r="E199" s="12">
        <f>IF(ISNUMBER(FC199),INDIRECT("SamplesX!E"&amp;FC199),IF(ISNUMBER(FD199),INDIRECT("SamplesY!E"&amp;FD199),""))</f>
        <v/>
      </c>
      <c r="F199" s="11">
        <f>IF(ISNUMBER(FC199),INDIRECT("SamplesX!F"&amp;FC199),IF(ISNUMBER(FD199),INDIRECT("SamplesY!F"&amp;FD199),""))</f>
        <v/>
      </c>
      <c r="G199" s="18">
        <f>IF(ISNUMBER(FC199),INDIRECT("SamplesX!G"&amp;FC199),IF(ISNUMBER(FD199),INDIRECT("SamplesY!G"&amp;FD199),""))</f>
        <v/>
      </c>
      <c r="H199" s="19">
        <f>IF(ISNUMBER(FC199),INDIRECT("SamplesX!H"&amp;FC199),IF(ISNUMBER(FD199),INDIRECT("SamplesY!H"&amp;FD199),""))</f>
        <v/>
      </c>
      <c r="I199" s="16" t="n"/>
      <c r="J199" s="16" t="n"/>
      <c r="K199" s="16" t="n"/>
      <c r="L199" s="20" t="n"/>
      <c r="M199" s="20" t="inlineStr">
        <is>
          <t>None</t>
        </is>
      </c>
      <c r="N199" s="17" t="n"/>
      <c r="O199" s="16" t="n"/>
      <c r="P199" s="20" t="inlineStr">
        <is>
          <t>Shimadzu TOC-L</t>
        </is>
      </c>
      <c r="Q199" s="20" t="inlineStr">
        <is>
          <t>None</t>
        </is>
      </c>
      <c r="R199" s="17" t="n"/>
      <c r="S199" s="16" t="n"/>
      <c r="T199" s="20" t="inlineStr">
        <is>
          <t>Shimadzu TOC-L</t>
        </is>
      </c>
      <c r="U199" s="20" t="inlineStr">
        <is>
          <t>None</t>
        </is>
      </c>
      <c r="V199" s="17" t="n"/>
      <c r="W199" s="16" t="n"/>
      <c r="X199" s="20" t="n"/>
      <c r="Y199" s="20" t="inlineStr">
        <is>
          <t>None</t>
        </is>
      </c>
      <c r="Z199" s="17" t="n"/>
      <c r="AA199" s="16" t="n"/>
      <c r="AB199" s="20" t="n"/>
      <c r="AC199" s="20" t="inlineStr">
        <is>
          <t>None</t>
        </is>
      </c>
      <c r="AD199" s="17" t="n"/>
      <c r="AE199" s="16" t="inlineStr">
        <is>
          <t>303</t>
        </is>
      </c>
      <c r="AF199" s="20" t="inlineStr">
        <is>
          <t>IC Anionen</t>
        </is>
      </c>
      <c r="AG199" s="20" t="inlineStr">
        <is>
          <t>None</t>
        </is>
      </c>
      <c r="AH199" s="17" t="n"/>
      <c r="AI199" s="16" t="n"/>
      <c r="AJ199" s="20" t="n"/>
      <c r="AK199" s="20" t="inlineStr">
        <is>
          <t>None</t>
        </is>
      </c>
      <c r="AL199" s="17" t="n"/>
      <c r="AM199" s="16" t="n"/>
      <c r="AN199" s="20" t="inlineStr">
        <is>
          <t>IC Anionen</t>
        </is>
      </c>
      <c r="AO199" s="20" t="inlineStr">
        <is>
          <t>None</t>
        </is>
      </c>
      <c r="AP199" s="17" t="n"/>
      <c r="AQ199" s="16" t="n"/>
      <c r="AR199" s="20" t="n"/>
      <c r="AS199" s="20" t="inlineStr">
        <is>
          <t>None</t>
        </is>
      </c>
      <c r="AT199" s="17" t="n"/>
      <c r="AU199" s="16" t="inlineStr">
        <is>
          <t>&lt;0.13</t>
        </is>
      </c>
      <c r="AV199" s="20" t="inlineStr">
        <is>
          <t>IC Anionen</t>
        </is>
      </c>
      <c r="AW199" s="20" t="inlineStr">
        <is>
          <t>None</t>
        </is>
      </c>
      <c r="AX199" s="17" t="n"/>
      <c r="AY199" s="16" t="inlineStr">
        <is>
          <t>&lt;0.80</t>
        </is>
      </c>
      <c r="AZ199" s="20" t="inlineStr">
        <is>
          <t>IC Anionen</t>
        </is>
      </c>
      <c r="BA199" s="20" t="inlineStr">
        <is>
          <t>None</t>
        </is>
      </c>
      <c r="BB199" s="17" t="n"/>
      <c r="BC199" s="16" t="inlineStr">
        <is>
          <t>133</t>
        </is>
      </c>
      <c r="BD199" s="20" t="inlineStr">
        <is>
          <t>IC Kationen</t>
        </is>
      </c>
      <c r="BE199" s="20" t="inlineStr">
        <is>
          <t>None</t>
        </is>
      </c>
      <c r="BF199" s="17" t="n"/>
      <c r="BG199" s="16" t="inlineStr">
        <is>
          <t>28.1</t>
        </is>
      </c>
      <c r="BH199" s="20" t="inlineStr">
        <is>
          <t>IC Kationen</t>
        </is>
      </c>
      <c r="BI199" s="20" t="inlineStr">
        <is>
          <t>None</t>
        </is>
      </c>
      <c r="BJ199" s="17" t="n"/>
      <c r="BK199" s="16" t="inlineStr">
        <is>
          <t>14.4</t>
        </is>
      </c>
      <c r="BL199" s="20" t="inlineStr">
        <is>
          <t>IC Kationen</t>
        </is>
      </c>
      <c r="BM199" s="20" t="inlineStr">
        <is>
          <t>None</t>
        </is>
      </c>
      <c r="BN199" s="17" t="n"/>
      <c r="BO199" s="16" t="inlineStr">
        <is>
          <t>109</t>
        </is>
      </c>
      <c r="BP199" s="20" t="inlineStr">
        <is>
          <t>IC Kationen</t>
        </is>
      </c>
      <c r="BQ199" s="20" t="inlineStr">
        <is>
          <t>None</t>
        </is>
      </c>
      <c r="BR199" s="17" t="n"/>
      <c r="BS199" s="16" t="inlineStr">
        <is>
          <t>24.4</t>
        </is>
      </c>
      <c r="BT199" s="20" t="inlineStr">
        <is>
          <t>IC Kationen</t>
        </is>
      </c>
      <c r="BU199" s="20" t="inlineStr">
        <is>
          <t>None</t>
        </is>
      </c>
      <c r="BV199" s="17" t="n"/>
      <c r="BW199" s="16" t="n"/>
      <c r="BX199" s="20" t="n"/>
      <c r="BY199" s="20" t="inlineStr">
        <is>
          <t>None</t>
        </is>
      </c>
      <c r="BZ199" s="17" t="n"/>
      <c r="CA199" s="16" t="n"/>
      <c r="CB199" s="20" t="n"/>
      <c r="CC199" s="20" t="inlineStr">
        <is>
          <t>None</t>
        </is>
      </c>
      <c r="CD199" s="17" t="n"/>
      <c r="CE199" s="16" t="n"/>
      <c r="CF199" s="20" t="n"/>
      <c r="CG199" s="20" t="inlineStr">
        <is>
          <t>None</t>
        </is>
      </c>
      <c r="CH199" s="17" t="n"/>
      <c r="CI199" s="16" t="n"/>
      <c r="CJ199" s="20" t="n"/>
      <c r="CK199" s="20" t="inlineStr">
        <is>
          <t>None</t>
        </is>
      </c>
      <c r="CL199" s="17" t="n"/>
      <c r="CM199" s="16" t="n"/>
      <c r="CN199" s="20" t="inlineStr">
        <is>
          <t>SOP 45-34</t>
        </is>
      </c>
      <c r="CO199" s="20" t="inlineStr">
        <is>
          <t>None</t>
        </is>
      </c>
      <c r="CP199" s="17" t="n"/>
      <c r="CQ199" s="16" t="n"/>
      <c r="CR199" s="20" t="n"/>
      <c r="CS199" s="20" t="inlineStr">
        <is>
          <t>None</t>
        </is>
      </c>
      <c r="CT199" s="17" t="n"/>
      <c r="CU199" s="16" t="n"/>
      <c r="CV199" s="20" t="n"/>
      <c r="CW199" s="20" t="inlineStr">
        <is>
          <t>None</t>
        </is>
      </c>
      <c r="CX199" s="17" t="n"/>
      <c r="CY199" s="16" t="n"/>
      <c r="CZ199" s="20" t="inlineStr">
        <is>
          <t>WTW Multimeter 3430 with FDO 925</t>
        </is>
      </c>
      <c r="DA199" s="20" t="inlineStr">
        <is>
          <t>None</t>
        </is>
      </c>
      <c r="DB199" s="17" t="n"/>
      <c r="DC199" s="16" t="n"/>
      <c r="DD199" s="20" t="n"/>
      <c r="DE199" s="20" t="inlineStr">
        <is>
          <t>None</t>
        </is>
      </c>
      <c r="DF199" s="17" t="n"/>
      <c r="DG199" s="16" t="n"/>
      <c r="DH199" s="20" t="inlineStr">
        <is>
          <t>SOP 45-09</t>
        </is>
      </c>
      <c r="DI199" s="20" t="inlineStr">
        <is>
          <t>None</t>
        </is>
      </c>
      <c r="DJ199" s="17" t="n"/>
      <c r="DK199" s="16" t="n"/>
      <c r="DL199" s="20" t="inlineStr">
        <is>
          <t>SOP 45-09 (SOP muss noch angepasst werden für VSS)</t>
        </is>
      </c>
      <c r="DM199" s="20" t="inlineStr">
        <is>
          <t>None</t>
        </is>
      </c>
      <c r="DN199" s="17" t="n"/>
      <c r="DO199" s="16" t="n"/>
      <c r="DP199" s="20" t="inlineStr">
        <is>
          <t>IC Organic Acids</t>
        </is>
      </c>
      <c r="DQ199" s="20" t="inlineStr">
        <is>
          <t>None</t>
        </is>
      </c>
      <c r="DR199" s="17" t="n"/>
      <c r="DS199" s="16" t="n"/>
      <c r="DT199" s="20" t="inlineStr">
        <is>
          <t>IC Organic Acids</t>
        </is>
      </c>
      <c r="DU199" s="20" t="inlineStr">
        <is>
          <t>None</t>
        </is>
      </c>
      <c r="DV199" s="17" t="n"/>
      <c r="DW199" s="16" t="n"/>
      <c r="DX199" s="20" t="inlineStr">
        <is>
          <t>IC Organic Acids</t>
        </is>
      </c>
      <c r="DY199" s="20" t="inlineStr">
        <is>
          <t>None</t>
        </is>
      </c>
      <c r="DZ199" s="17" t="n"/>
      <c r="EA199" s="16" t="n"/>
      <c r="EB199" s="20" t="inlineStr">
        <is>
          <t>IC Organic Acids</t>
        </is>
      </c>
      <c r="EC199" s="20" t="inlineStr">
        <is>
          <t>None</t>
        </is>
      </c>
      <c r="ED199" s="17" t="n"/>
      <c r="EE199" s="16" t="n"/>
      <c r="EF199" s="20" t="inlineStr">
        <is>
          <t>IC Organic Acids</t>
        </is>
      </c>
      <c r="EG199" s="20" t="inlineStr">
        <is>
          <t>None</t>
        </is>
      </c>
      <c r="EH199" s="17" t="n"/>
      <c r="EI199" s="16" t="n"/>
      <c r="EJ199" s="20" t="inlineStr">
        <is>
          <t>IC Organic Acids</t>
        </is>
      </c>
      <c r="EK199" s="20" t="inlineStr">
        <is>
          <t>None</t>
        </is>
      </c>
      <c r="EL199" s="17" t="n"/>
      <c r="EM199" s="16" t="n"/>
      <c r="EN199" s="20" t="inlineStr">
        <is>
          <t>IC Organic Acids</t>
        </is>
      </c>
      <c r="EO199" s="20" t="inlineStr">
        <is>
          <t>None</t>
        </is>
      </c>
      <c r="EP199" s="17" t="n"/>
      <c r="EQ199" s="16" t="n"/>
      <c r="ER199" s="20" t="inlineStr">
        <is>
          <t>IC Organic Acids</t>
        </is>
      </c>
      <c r="ES199" s="20" t="inlineStr">
        <is>
          <t>None</t>
        </is>
      </c>
      <c r="ET199" s="17" t="n"/>
      <c r="EU199" s="16" t="n"/>
      <c r="EV199" s="20" t="inlineStr">
        <is>
          <t>LC-MS</t>
        </is>
      </c>
      <c r="EW199" s="20" t="inlineStr">
        <is>
          <t>None</t>
        </is>
      </c>
      <c r="EX199" s="17" t="n"/>
      <c r="EY199" s="21" t="n"/>
      <c r="EZ199">
        <f>CONCATENATE(A199,B199)</f>
        <v/>
      </c>
      <c r="FA199">
        <f>CONCATENATE(SamplesX!A199,SamplesX!B199)</f>
        <v/>
      </c>
      <c r="FC199">
        <f>MATCH(EZ199,FA1:FA1008,0)</f>
        <v/>
      </c>
    </row>
    <row r="200">
      <c r="A200" s="16" t="inlineStr">
        <is>
          <t>BP</t>
        </is>
      </c>
      <c r="B200" s="17" t="inlineStr">
        <is>
          <t>25192</t>
        </is>
      </c>
      <c r="C200" s="10">
        <f>IF(ISNUMBER(FC200),INDIRECT("SamplesX!C"&amp;FC200),IF(ISNUMBER(FD200),INDIRECT("SamplesY!C"&amp;FD200),""))</f>
        <v/>
      </c>
      <c r="D200" s="12">
        <f>IF(ISNUMBER(FC200),INDIRECT("SamplesX!D"&amp;FC200),IF(ISNUMBER(FD200),INDIRECT("SamplesY!D"&amp;FD200),""))</f>
        <v/>
      </c>
      <c r="E200" s="12">
        <f>IF(ISNUMBER(FC200),INDIRECT("SamplesX!E"&amp;FC200),IF(ISNUMBER(FD200),INDIRECT("SamplesY!E"&amp;FD200),""))</f>
        <v/>
      </c>
      <c r="F200" s="11">
        <f>IF(ISNUMBER(FC200),INDIRECT("SamplesX!F"&amp;FC200),IF(ISNUMBER(FD200),INDIRECT("SamplesY!F"&amp;FD200),""))</f>
        <v/>
      </c>
      <c r="G200" s="18">
        <f>IF(ISNUMBER(FC200),INDIRECT("SamplesX!G"&amp;FC200),IF(ISNUMBER(FD200),INDIRECT("SamplesY!G"&amp;FD200),""))</f>
        <v/>
      </c>
      <c r="H200" s="19">
        <f>IF(ISNUMBER(FC200),INDIRECT("SamplesX!H"&amp;FC200),IF(ISNUMBER(FD200),INDIRECT("SamplesY!H"&amp;FD200),""))</f>
        <v/>
      </c>
      <c r="I200" s="16" t="n"/>
      <c r="J200" s="16" t="n"/>
      <c r="K200" s="16" t="n"/>
      <c r="L200" s="20" t="n"/>
      <c r="M200" s="20" t="inlineStr">
        <is>
          <t>None</t>
        </is>
      </c>
      <c r="N200" s="17" t="n"/>
      <c r="O200" s="16" t="n"/>
      <c r="P200" s="20" t="inlineStr">
        <is>
          <t>Shimadzu TOC-L</t>
        </is>
      </c>
      <c r="Q200" s="20" t="inlineStr">
        <is>
          <t>None</t>
        </is>
      </c>
      <c r="R200" s="17" t="n"/>
      <c r="S200" s="16" t="n"/>
      <c r="T200" s="20" t="inlineStr">
        <is>
          <t>Shimadzu TOC-L</t>
        </is>
      </c>
      <c r="U200" s="20" t="inlineStr">
        <is>
          <t>None</t>
        </is>
      </c>
      <c r="V200" s="17" t="n"/>
      <c r="W200" s="16" t="n"/>
      <c r="X200" s="20" t="n"/>
      <c r="Y200" s="20" t="inlineStr">
        <is>
          <t>None</t>
        </is>
      </c>
      <c r="Z200" s="17" t="n"/>
      <c r="AA200" s="16" t="n"/>
      <c r="AB200" s="20" t="n"/>
      <c r="AC200" s="20" t="inlineStr">
        <is>
          <t>None</t>
        </is>
      </c>
      <c r="AD200" s="17" t="n"/>
      <c r="AE200" s="16" t="inlineStr">
        <is>
          <t>206</t>
        </is>
      </c>
      <c r="AF200" s="20" t="inlineStr">
        <is>
          <t>IC Anionen</t>
        </is>
      </c>
      <c r="AG200" s="20" t="inlineStr">
        <is>
          <t>None</t>
        </is>
      </c>
      <c r="AH200" s="17" t="n"/>
      <c r="AI200" s="16" t="n"/>
      <c r="AJ200" s="20" t="n"/>
      <c r="AK200" s="20" t="inlineStr">
        <is>
          <t>None</t>
        </is>
      </c>
      <c r="AL200" s="17" t="n"/>
      <c r="AM200" s="16" t="n"/>
      <c r="AN200" s="20" t="inlineStr">
        <is>
          <t>IC Anionen</t>
        </is>
      </c>
      <c r="AO200" s="20" t="inlineStr">
        <is>
          <t>None</t>
        </is>
      </c>
      <c r="AP200" s="17" t="n"/>
      <c r="AQ200" s="16" t="n"/>
      <c r="AR200" s="20" t="n"/>
      <c r="AS200" s="20" t="inlineStr">
        <is>
          <t>None</t>
        </is>
      </c>
      <c r="AT200" s="17" t="n"/>
      <c r="AU200" s="16" t="inlineStr">
        <is>
          <t>2.96</t>
        </is>
      </c>
      <c r="AV200" s="20" t="inlineStr">
        <is>
          <t>IC Anionen</t>
        </is>
      </c>
      <c r="AW200" s="20" t="inlineStr">
        <is>
          <t>None</t>
        </is>
      </c>
      <c r="AX200" s="17" t="n"/>
      <c r="AY200" s="16" t="inlineStr">
        <is>
          <t>5.89</t>
        </is>
      </c>
      <c r="AZ200" s="20" t="inlineStr">
        <is>
          <t>IC Anionen</t>
        </is>
      </c>
      <c r="BA200" s="20" t="inlineStr">
        <is>
          <t>None</t>
        </is>
      </c>
      <c r="BB200" s="17" t="n"/>
      <c r="BC200" s="16" t="inlineStr">
        <is>
          <t>141</t>
        </is>
      </c>
      <c r="BD200" s="20" t="inlineStr">
        <is>
          <t>IC Kationen</t>
        </is>
      </c>
      <c r="BE200" s="20" t="inlineStr">
        <is>
          <t>None</t>
        </is>
      </c>
      <c r="BF200" s="17" t="n"/>
      <c r="BG200" s="16" t="inlineStr">
        <is>
          <t>32.7</t>
        </is>
      </c>
      <c r="BH200" s="20" t="inlineStr">
        <is>
          <t>IC Kationen</t>
        </is>
      </c>
      <c r="BI200" s="20" t="inlineStr">
        <is>
          <t>None</t>
        </is>
      </c>
      <c r="BJ200" s="17" t="n"/>
      <c r="BK200" s="16" t="inlineStr">
        <is>
          <t>16.3</t>
        </is>
      </c>
      <c r="BL200" s="20" t="inlineStr">
        <is>
          <t>IC Kationen</t>
        </is>
      </c>
      <c r="BM200" s="20" t="inlineStr">
        <is>
          <t>None</t>
        </is>
      </c>
      <c r="BN200" s="17" t="n"/>
      <c r="BO200" s="16" t="inlineStr">
        <is>
          <t>174</t>
        </is>
      </c>
      <c r="BP200" s="20" t="inlineStr">
        <is>
          <t>IC Kationen</t>
        </is>
      </c>
      <c r="BQ200" s="20" t="inlineStr">
        <is>
          <t>None</t>
        </is>
      </c>
      <c r="BR200" s="17" t="n"/>
      <c r="BS200" s="16" t="inlineStr">
        <is>
          <t>26.0</t>
        </is>
      </c>
      <c r="BT200" s="20" t="inlineStr">
        <is>
          <t>IC Kationen</t>
        </is>
      </c>
      <c r="BU200" s="20" t="inlineStr">
        <is>
          <t>None</t>
        </is>
      </c>
      <c r="BV200" s="17" t="n"/>
      <c r="BW200" s="16" t="n"/>
      <c r="BX200" s="20" t="n"/>
      <c r="BY200" s="20" t="inlineStr">
        <is>
          <t>None</t>
        </is>
      </c>
      <c r="BZ200" s="17" t="n"/>
      <c r="CA200" s="16" t="n"/>
      <c r="CB200" s="20" t="n"/>
      <c r="CC200" s="20" t="inlineStr">
        <is>
          <t>None</t>
        </is>
      </c>
      <c r="CD200" s="17" t="n"/>
      <c r="CE200" s="16" t="n"/>
      <c r="CF200" s="20" t="n"/>
      <c r="CG200" s="20" t="inlineStr">
        <is>
          <t>None</t>
        </is>
      </c>
      <c r="CH200" s="17" t="n"/>
      <c r="CI200" s="16" t="n"/>
      <c r="CJ200" s="20" t="n"/>
      <c r="CK200" s="20" t="inlineStr">
        <is>
          <t>None</t>
        </is>
      </c>
      <c r="CL200" s="17" t="n"/>
      <c r="CM200" s="16" t="n"/>
      <c r="CN200" s="20" t="inlineStr">
        <is>
          <t>SOP 45-34</t>
        </is>
      </c>
      <c r="CO200" s="20" t="inlineStr">
        <is>
          <t>None</t>
        </is>
      </c>
      <c r="CP200" s="17" t="n"/>
      <c r="CQ200" s="16" t="n"/>
      <c r="CR200" s="20" t="n"/>
      <c r="CS200" s="20" t="inlineStr">
        <is>
          <t>None</t>
        </is>
      </c>
      <c r="CT200" s="17" t="n"/>
      <c r="CU200" s="16" t="n"/>
      <c r="CV200" s="20" t="n"/>
      <c r="CW200" s="20" t="inlineStr">
        <is>
          <t>None</t>
        </is>
      </c>
      <c r="CX200" s="17" t="n"/>
      <c r="CY200" s="16" t="n"/>
      <c r="CZ200" s="20" t="inlineStr">
        <is>
          <t>WTW Multimeter 3430 with FDO 925</t>
        </is>
      </c>
      <c r="DA200" s="20" t="inlineStr">
        <is>
          <t>None</t>
        </is>
      </c>
      <c r="DB200" s="17" t="n"/>
      <c r="DC200" s="16" t="n"/>
      <c r="DD200" s="20" t="n"/>
      <c r="DE200" s="20" t="inlineStr">
        <is>
          <t>None</t>
        </is>
      </c>
      <c r="DF200" s="17" t="n"/>
      <c r="DG200" s="16" t="n"/>
      <c r="DH200" s="20" t="inlineStr">
        <is>
          <t>SOP 45-09</t>
        </is>
      </c>
      <c r="DI200" s="20" t="inlineStr">
        <is>
          <t>None</t>
        </is>
      </c>
      <c r="DJ200" s="17" t="n"/>
      <c r="DK200" s="16" t="n"/>
      <c r="DL200" s="20" t="inlineStr">
        <is>
          <t>SOP 45-09 (SOP muss noch angepasst werden für VSS)</t>
        </is>
      </c>
      <c r="DM200" s="20" t="inlineStr">
        <is>
          <t>None</t>
        </is>
      </c>
      <c r="DN200" s="17" t="n"/>
      <c r="DO200" s="16" t="n"/>
      <c r="DP200" s="20" t="inlineStr">
        <is>
          <t>IC Organic Acids</t>
        </is>
      </c>
      <c r="DQ200" s="20" t="inlineStr">
        <is>
          <t>None</t>
        </is>
      </c>
      <c r="DR200" s="17" t="n"/>
      <c r="DS200" s="16" t="n"/>
      <c r="DT200" s="20" t="inlineStr">
        <is>
          <t>IC Organic Acids</t>
        </is>
      </c>
      <c r="DU200" s="20" t="inlineStr">
        <is>
          <t>None</t>
        </is>
      </c>
      <c r="DV200" s="17" t="n"/>
      <c r="DW200" s="16" t="n"/>
      <c r="DX200" s="20" t="inlineStr">
        <is>
          <t>IC Organic Acids</t>
        </is>
      </c>
      <c r="DY200" s="20" t="inlineStr">
        <is>
          <t>None</t>
        </is>
      </c>
      <c r="DZ200" s="17" t="n"/>
      <c r="EA200" s="16" t="n"/>
      <c r="EB200" s="20" t="inlineStr">
        <is>
          <t>IC Organic Acids</t>
        </is>
      </c>
      <c r="EC200" s="20" t="inlineStr">
        <is>
          <t>None</t>
        </is>
      </c>
      <c r="ED200" s="17" t="n"/>
      <c r="EE200" s="16" t="n"/>
      <c r="EF200" s="20" t="inlineStr">
        <is>
          <t>IC Organic Acids</t>
        </is>
      </c>
      <c r="EG200" s="20" t="inlineStr">
        <is>
          <t>None</t>
        </is>
      </c>
      <c r="EH200" s="17" t="n"/>
      <c r="EI200" s="16" t="n"/>
      <c r="EJ200" s="20" t="inlineStr">
        <is>
          <t>IC Organic Acids</t>
        </is>
      </c>
      <c r="EK200" s="20" t="inlineStr">
        <is>
          <t>None</t>
        </is>
      </c>
      <c r="EL200" s="17" t="n"/>
      <c r="EM200" s="16" t="n"/>
      <c r="EN200" s="20" t="inlineStr">
        <is>
          <t>IC Organic Acids</t>
        </is>
      </c>
      <c r="EO200" s="20" t="inlineStr">
        <is>
          <t>None</t>
        </is>
      </c>
      <c r="EP200" s="17" t="n"/>
      <c r="EQ200" s="16" t="n"/>
      <c r="ER200" s="20" t="inlineStr">
        <is>
          <t>IC Organic Acids</t>
        </is>
      </c>
      <c r="ES200" s="20" t="inlineStr">
        <is>
          <t>None</t>
        </is>
      </c>
      <c r="ET200" s="17" t="n"/>
      <c r="EU200" s="16" t="n"/>
      <c r="EV200" s="20" t="inlineStr">
        <is>
          <t>LC-MS</t>
        </is>
      </c>
      <c r="EW200" s="20" t="inlineStr">
        <is>
          <t>None</t>
        </is>
      </c>
      <c r="EX200" s="17" t="n"/>
      <c r="EY200" s="21" t="n"/>
      <c r="EZ200">
        <f>CONCATENATE(A200,B200)</f>
        <v/>
      </c>
      <c r="FA200">
        <f>CONCATENATE(SamplesX!A200,SamplesX!B200)</f>
        <v/>
      </c>
      <c r="FC200">
        <f>MATCH(EZ200,FA1:FA1008,0)</f>
        <v/>
      </c>
    </row>
    <row r="201">
      <c r="A201" s="16" t="inlineStr">
        <is>
          <t>BP</t>
        </is>
      </c>
      <c r="B201" s="17" t="inlineStr">
        <is>
          <t>25193</t>
        </is>
      </c>
      <c r="C201" s="10">
        <f>IF(ISNUMBER(FC201),INDIRECT("SamplesX!C"&amp;FC201),IF(ISNUMBER(FD201),INDIRECT("SamplesY!C"&amp;FD201),""))</f>
        <v/>
      </c>
      <c r="D201" s="12">
        <f>IF(ISNUMBER(FC201),INDIRECT("SamplesX!D"&amp;FC201),IF(ISNUMBER(FD201),INDIRECT("SamplesY!D"&amp;FD201),""))</f>
        <v/>
      </c>
      <c r="E201" s="12">
        <f>IF(ISNUMBER(FC201),INDIRECT("SamplesX!E"&amp;FC201),IF(ISNUMBER(FD201),INDIRECT("SamplesY!E"&amp;FD201),""))</f>
        <v/>
      </c>
      <c r="F201" s="11">
        <f>IF(ISNUMBER(FC201),INDIRECT("SamplesX!F"&amp;FC201),IF(ISNUMBER(FD201),INDIRECT("SamplesY!F"&amp;FD201),""))</f>
        <v/>
      </c>
      <c r="G201" s="18">
        <f>IF(ISNUMBER(FC201),INDIRECT("SamplesX!G"&amp;FC201),IF(ISNUMBER(FD201),INDIRECT("SamplesY!G"&amp;FD201),""))</f>
        <v/>
      </c>
      <c r="H201" s="19">
        <f>IF(ISNUMBER(FC201),INDIRECT("SamplesX!H"&amp;FC201),IF(ISNUMBER(FD201),INDIRECT("SamplesY!H"&amp;FD201),""))</f>
        <v/>
      </c>
      <c r="I201" s="16" t="n"/>
      <c r="J201" s="16" t="n"/>
      <c r="K201" s="16" t="n"/>
      <c r="L201" s="20" t="n"/>
      <c r="M201" s="20" t="inlineStr">
        <is>
          <t>None</t>
        </is>
      </c>
      <c r="N201" s="17" t="n"/>
      <c r="O201" s="16" t="n"/>
      <c r="P201" s="20" t="inlineStr">
        <is>
          <t>Shimadzu TOC-L</t>
        </is>
      </c>
      <c r="Q201" s="20" t="inlineStr">
        <is>
          <t>None</t>
        </is>
      </c>
      <c r="R201" s="17" t="n"/>
      <c r="S201" s="16" t="n"/>
      <c r="T201" s="20" t="inlineStr">
        <is>
          <t>Shimadzu TOC-L</t>
        </is>
      </c>
      <c r="U201" s="20" t="inlineStr">
        <is>
          <t>None</t>
        </is>
      </c>
      <c r="V201" s="17" t="n"/>
      <c r="W201" s="16" t="n"/>
      <c r="X201" s="20" t="n"/>
      <c r="Y201" s="20" t="inlineStr">
        <is>
          <t>None</t>
        </is>
      </c>
      <c r="Z201" s="17" t="n"/>
      <c r="AA201" s="16" t="n"/>
      <c r="AB201" s="20" t="n"/>
      <c r="AC201" s="20" t="inlineStr">
        <is>
          <t>None</t>
        </is>
      </c>
      <c r="AD201" s="17" t="n"/>
      <c r="AE201" s="16" t="n"/>
      <c r="AF201" s="20" t="inlineStr">
        <is>
          <t>IC Anionen</t>
        </is>
      </c>
      <c r="AG201" s="20" t="inlineStr">
        <is>
          <t>None</t>
        </is>
      </c>
      <c r="AH201" s="17" t="n"/>
      <c r="AI201" s="16" t="n"/>
      <c r="AJ201" s="20" t="n"/>
      <c r="AK201" s="20" t="inlineStr">
        <is>
          <t>None</t>
        </is>
      </c>
      <c r="AL201" s="17" t="n"/>
      <c r="AM201" s="16" t="n"/>
      <c r="AN201" s="20" t="inlineStr">
        <is>
          <t>IC Anionen</t>
        </is>
      </c>
      <c r="AO201" s="20" t="inlineStr">
        <is>
          <t>None</t>
        </is>
      </c>
      <c r="AP201" s="17" t="n"/>
      <c r="AQ201" s="16" t="n"/>
      <c r="AR201" s="20" t="n"/>
      <c r="AS201" s="20" t="inlineStr">
        <is>
          <t>None</t>
        </is>
      </c>
      <c r="AT201" s="17" t="n"/>
      <c r="AU201" s="16" t="inlineStr">
        <is>
          <t>&lt;0.13</t>
        </is>
      </c>
      <c r="AV201" s="20" t="inlineStr">
        <is>
          <t>IC Anionen</t>
        </is>
      </c>
      <c r="AW201" s="20" t="inlineStr">
        <is>
          <t>None</t>
        </is>
      </c>
      <c r="AX201" s="17" t="n"/>
      <c r="AY201" s="16" t="inlineStr">
        <is>
          <t>&lt;0.80</t>
        </is>
      </c>
      <c r="AZ201" s="20" t="inlineStr">
        <is>
          <t>IC Anionen</t>
        </is>
      </c>
      <c r="BA201" s="20" t="inlineStr">
        <is>
          <t>None</t>
        </is>
      </c>
      <c r="BB201" s="17" t="n"/>
      <c r="BC201" s="16" t="inlineStr">
        <is>
          <t>133</t>
        </is>
      </c>
      <c r="BD201" s="20" t="inlineStr">
        <is>
          <t>IC Kationen</t>
        </is>
      </c>
      <c r="BE201" s="20" t="inlineStr">
        <is>
          <t>None</t>
        </is>
      </c>
      <c r="BF201" s="17" t="n"/>
      <c r="BG201" s="16" t="inlineStr">
        <is>
          <t>56.3</t>
        </is>
      </c>
      <c r="BH201" s="20" t="inlineStr">
        <is>
          <t>IC Kationen</t>
        </is>
      </c>
      <c r="BI201" s="20" t="inlineStr">
        <is>
          <t>None</t>
        </is>
      </c>
      <c r="BJ201" s="17" t="n"/>
      <c r="BK201" s="16" t="inlineStr">
        <is>
          <t>15.1</t>
        </is>
      </c>
      <c r="BL201" s="20" t="inlineStr">
        <is>
          <t>IC Kationen</t>
        </is>
      </c>
      <c r="BM201" s="20" t="inlineStr">
        <is>
          <t>None</t>
        </is>
      </c>
      <c r="BN201" s="17" t="n"/>
      <c r="BO201" s="16" t="inlineStr">
        <is>
          <t>173</t>
        </is>
      </c>
      <c r="BP201" s="20" t="inlineStr">
        <is>
          <t>IC Kationen</t>
        </is>
      </c>
      <c r="BQ201" s="20" t="inlineStr">
        <is>
          <t>None</t>
        </is>
      </c>
      <c r="BR201" s="17" t="n"/>
      <c r="BS201" s="16" t="inlineStr">
        <is>
          <t>25.4</t>
        </is>
      </c>
      <c r="BT201" s="20" t="inlineStr">
        <is>
          <t>IC Kationen</t>
        </is>
      </c>
      <c r="BU201" s="20" t="inlineStr">
        <is>
          <t>None</t>
        </is>
      </c>
      <c r="BV201" s="17" t="n"/>
      <c r="BW201" s="16" t="n"/>
      <c r="BX201" s="20" t="n"/>
      <c r="BY201" s="20" t="inlineStr">
        <is>
          <t>None</t>
        </is>
      </c>
      <c r="BZ201" s="17" t="n"/>
      <c r="CA201" s="16" t="n"/>
      <c r="CB201" s="20" t="n"/>
      <c r="CC201" s="20" t="inlineStr">
        <is>
          <t>None</t>
        </is>
      </c>
      <c r="CD201" s="17" t="n"/>
      <c r="CE201" s="16" t="n"/>
      <c r="CF201" s="20" t="n"/>
      <c r="CG201" s="20" t="inlineStr">
        <is>
          <t>None</t>
        </is>
      </c>
      <c r="CH201" s="17" t="n"/>
      <c r="CI201" s="16" t="n"/>
      <c r="CJ201" s="20" t="n"/>
      <c r="CK201" s="20" t="inlineStr">
        <is>
          <t>None</t>
        </is>
      </c>
      <c r="CL201" s="17" t="n"/>
      <c r="CM201" s="16" t="n"/>
      <c r="CN201" s="20" t="inlineStr">
        <is>
          <t>SOP 45-34</t>
        </is>
      </c>
      <c r="CO201" s="20" t="inlineStr">
        <is>
          <t>None</t>
        </is>
      </c>
      <c r="CP201" s="17" t="n"/>
      <c r="CQ201" s="16" t="n"/>
      <c r="CR201" s="20" t="n"/>
      <c r="CS201" s="20" t="inlineStr">
        <is>
          <t>None</t>
        </is>
      </c>
      <c r="CT201" s="17" t="n"/>
      <c r="CU201" s="16" t="n"/>
      <c r="CV201" s="20" t="n"/>
      <c r="CW201" s="20" t="inlineStr">
        <is>
          <t>None</t>
        </is>
      </c>
      <c r="CX201" s="17" t="n"/>
      <c r="CY201" s="16" t="n"/>
      <c r="CZ201" s="20" t="inlineStr">
        <is>
          <t>WTW Multimeter 3430 with FDO 925</t>
        </is>
      </c>
      <c r="DA201" s="20" t="inlineStr">
        <is>
          <t>None</t>
        </is>
      </c>
      <c r="DB201" s="17" t="n"/>
      <c r="DC201" s="16" t="n"/>
      <c r="DD201" s="20" t="n"/>
      <c r="DE201" s="20" t="inlineStr">
        <is>
          <t>None</t>
        </is>
      </c>
      <c r="DF201" s="17" t="n"/>
      <c r="DG201" s="16" t="n"/>
      <c r="DH201" s="20" t="inlineStr">
        <is>
          <t>SOP 45-09</t>
        </is>
      </c>
      <c r="DI201" s="20" t="inlineStr">
        <is>
          <t>None</t>
        </is>
      </c>
      <c r="DJ201" s="17" t="n"/>
      <c r="DK201" s="16" t="n"/>
      <c r="DL201" s="20" t="inlineStr">
        <is>
          <t>SOP 45-09 (SOP muss noch angepasst werden für VSS)</t>
        </is>
      </c>
      <c r="DM201" s="20" t="inlineStr">
        <is>
          <t>None</t>
        </is>
      </c>
      <c r="DN201" s="17" t="n"/>
      <c r="DO201" s="16" t="n"/>
      <c r="DP201" s="20" t="inlineStr">
        <is>
          <t>IC Organic Acids</t>
        </is>
      </c>
      <c r="DQ201" s="20" t="inlineStr">
        <is>
          <t>None</t>
        </is>
      </c>
      <c r="DR201" s="17" t="n"/>
      <c r="DS201" s="16" t="n"/>
      <c r="DT201" s="20" t="inlineStr">
        <is>
          <t>IC Organic Acids</t>
        </is>
      </c>
      <c r="DU201" s="20" t="inlineStr">
        <is>
          <t>None</t>
        </is>
      </c>
      <c r="DV201" s="17" t="n"/>
      <c r="DW201" s="16" t="n"/>
      <c r="DX201" s="20" t="inlineStr">
        <is>
          <t>IC Organic Acids</t>
        </is>
      </c>
      <c r="DY201" s="20" t="inlineStr">
        <is>
          <t>None</t>
        </is>
      </c>
      <c r="DZ201" s="17" t="n"/>
      <c r="EA201" s="16" t="n"/>
      <c r="EB201" s="20" t="inlineStr">
        <is>
          <t>IC Organic Acids</t>
        </is>
      </c>
      <c r="EC201" s="20" t="inlineStr">
        <is>
          <t>None</t>
        </is>
      </c>
      <c r="ED201" s="17" t="n"/>
      <c r="EE201" s="16" t="n"/>
      <c r="EF201" s="20" t="inlineStr">
        <is>
          <t>IC Organic Acids</t>
        </is>
      </c>
      <c r="EG201" s="20" t="inlineStr">
        <is>
          <t>None</t>
        </is>
      </c>
      <c r="EH201" s="17" t="n"/>
      <c r="EI201" s="16" t="n"/>
      <c r="EJ201" s="20" t="inlineStr">
        <is>
          <t>IC Organic Acids</t>
        </is>
      </c>
      <c r="EK201" s="20" t="inlineStr">
        <is>
          <t>None</t>
        </is>
      </c>
      <c r="EL201" s="17" t="n"/>
      <c r="EM201" s="16" t="n"/>
      <c r="EN201" s="20" t="inlineStr">
        <is>
          <t>IC Organic Acids</t>
        </is>
      </c>
      <c r="EO201" s="20" t="inlineStr">
        <is>
          <t>None</t>
        </is>
      </c>
      <c r="EP201" s="17" t="n"/>
      <c r="EQ201" s="16" t="n"/>
      <c r="ER201" s="20" t="inlineStr">
        <is>
          <t>IC Organic Acids</t>
        </is>
      </c>
      <c r="ES201" s="20" t="inlineStr">
        <is>
          <t>None</t>
        </is>
      </c>
      <c r="ET201" s="17" t="n"/>
      <c r="EU201" s="16" t="n"/>
      <c r="EV201" s="20" t="inlineStr">
        <is>
          <t>LC-MS</t>
        </is>
      </c>
      <c r="EW201" s="20" t="inlineStr">
        <is>
          <t>None</t>
        </is>
      </c>
      <c r="EX201" s="17" t="n"/>
      <c r="EY201" s="21" t="n"/>
      <c r="EZ201">
        <f>CONCATENATE(A201,B201)</f>
        <v/>
      </c>
      <c r="FA201">
        <f>CONCATENATE(SamplesX!A201,SamplesX!B201)</f>
        <v/>
      </c>
      <c r="FC201">
        <f>MATCH(EZ201,FA1:FA1008,0)</f>
        <v/>
      </c>
    </row>
    <row r="202">
      <c r="A202" s="16" t="inlineStr">
        <is>
          <t>BP</t>
        </is>
      </c>
      <c r="B202" s="17" t="inlineStr">
        <is>
          <t>25194</t>
        </is>
      </c>
      <c r="C202" s="10">
        <f>IF(ISNUMBER(FC202),INDIRECT("SamplesX!C"&amp;FC202),IF(ISNUMBER(FD202),INDIRECT("SamplesY!C"&amp;FD202),""))</f>
        <v/>
      </c>
      <c r="D202" s="12">
        <f>IF(ISNUMBER(FC202),INDIRECT("SamplesX!D"&amp;FC202),IF(ISNUMBER(FD202),INDIRECT("SamplesY!D"&amp;FD202),""))</f>
        <v/>
      </c>
      <c r="E202" s="12">
        <f>IF(ISNUMBER(FC202),INDIRECT("SamplesX!E"&amp;FC202),IF(ISNUMBER(FD202),INDIRECT("SamplesY!E"&amp;FD202),""))</f>
        <v/>
      </c>
      <c r="F202" s="11">
        <f>IF(ISNUMBER(FC202),INDIRECT("SamplesX!F"&amp;FC202),IF(ISNUMBER(FD202),INDIRECT("SamplesY!F"&amp;FD202),""))</f>
        <v/>
      </c>
      <c r="G202" s="18">
        <f>IF(ISNUMBER(FC202),INDIRECT("SamplesX!G"&amp;FC202),IF(ISNUMBER(FD202),INDIRECT("SamplesY!G"&amp;FD202),""))</f>
        <v/>
      </c>
      <c r="H202" s="19">
        <f>IF(ISNUMBER(FC202),INDIRECT("SamplesX!H"&amp;FC202),IF(ISNUMBER(FD202),INDIRECT("SamplesY!H"&amp;FD202),""))</f>
        <v/>
      </c>
      <c r="I202" s="16" t="n"/>
      <c r="J202" s="16" t="n"/>
      <c r="K202" s="16" t="n"/>
      <c r="L202" s="20" t="n"/>
      <c r="M202" s="20" t="inlineStr">
        <is>
          <t>None</t>
        </is>
      </c>
      <c r="N202" s="17" t="n"/>
      <c r="O202" s="16" t="n"/>
      <c r="P202" s="20" t="inlineStr">
        <is>
          <t>Shimadzu TOC-L</t>
        </is>
      </c>
      <c r="Q202" s="20" t="inlineStr">
        <is>
          <t>None</t>
        </is>
      </c>
      <c r="R202" s="17" t="n"/>
      <c r="S202" s="16" t="n"/>
      <c r="T202" s="20" t="inlineStr">
        <is>
          <t>Shimadzu TOC-L</t>
        </is>
      </c>
      <c r="U202" s="20" t="inlineStr">
        <is>
          <t>None</t>
        </is>
      </c>
      <c r="V202" s="17" t="n"/>
      <c r="W202" s="16" t="n"/>
      <c r="X202" s="20" t="n"/>
      <c r="Y202" s="20" t="inlineStr">
        <is>
          <t>None</t>
        </is>
      </c>
      <c r="Z202" s="17" t="n"/>
      <c r="AA202" s="16" t="n"/>
      <c r="AB202" s="20" t="n"/>
      <c r="AC202" s="20" t="inlineStr">
        <is>
          <t>None</t>
        </is>
      </c>
      <c r="AD202" s="17" t="n"/>
      <c r="AE202" s="16" t="n"/>
      <c r="AF202" s="20" t="inlineStr">
        <is>
          <t>IC Anionen</t>
        </is>
      </c>
      <c r="AG202" s="20" t="inlineStr">
        <is>
          <t>None</t>
        </is>
      </c>
      <c r="AH202" s="17" t="n"/>
      <c r="AI202" s="16" t="n"/>
      <c r="AJ202" s="20" t="n"/>
      <c r="AK202" s="20" t="inlineStr">
        <is>
          <t>None</t>
        </is>
      </c>
      <c r="AL202" s="17" t="n"/>
      <c r="AM202" s="16" t="n"/>
      <c r="AN202" s="20" t="inlineStr">
        <is>
          <t>IC Anionen</t>
        </is>
      </c>
      <c r="AO202" s="20" t="inlineStr">
        <is>
          <t>None</t>
        </is>
      </c>
      <c r="AP202" s="17" t="n"/>
      <c r="AQ202" s="16" t="n"/>
      <c r="AR202" s="20" t="n"/>
      <c r="AS202" s="20" t="inlineStr">
        <is>
          <t>None</t>
        </is>
      </c>
      <c r="AT202" s="17" t="n"/>
      <c r="AU202" s="16" t="inlineStr">
        <is>
          <t>10.8</t>
        </is>
      </c>
      <c r="AV202" s="20" t="inlineStr">
        <is>
          <t>IC Anionen</t>
        </is>
      </c>
      <c r="AW202" s="20" t="inlineStr">
        <is>
          <t>None</t>
        </is>
      </c>
      <c r="AX202" s="17" t="n"/>
      <c r="AY202" s="16" t="inlineStr">
        <is>
          <t>2.04</t>
        </is>
      </c>
      <c r="AZ202" s="20" t="inlineStr">
        <is>
          <t>IC Anionen</t>
        </is>
      </c>
      <c r="BA202" s="20" t="inlineStr">
        <is>
          <t>None</t>
        </is>
      </c>
      <c r="BB202" s="17" t="n"/>
      <c r="BC202" s="16" t="inlineStr">
        <is>
          <t>120</t>
        </is>
      </c>
      <c r="BD202" s="20" t="inlineStr">
        <is>
          <t>IC Kationen</t>
        </is>
      </c>
      <c r="BE202" s="20" t="inlineStr">
        <is>
          <t>None</t>
        </is>
      </c>
      <c r="BF202" s="17" t="n"/>
      <c r="BG202" s="16" t="inlineStr">
        <is>
          <t>63.2</t>
        </is>
      </c>
      <c r="BH202" s="20" t="inlineStr">
        <is>
          <t>IC Kationen</t>
        </is>
      </c>
      <c r="BI202" s="20" t="inlineStr">
        <is>
          <t>None</t>
        </is>
      </c>
      <c r="BJ202" s="17" t="n"/>
      <c r="BK202" s="16" t="inlineStr">
        <is>
          <t>15.1</t>
        </is>
      </c>
      <c r="BL202" s="20" t="inlineStr">
        <is>
          <t>IC Kationen</t>
        </is>
      </c>
      <c r="BM202" s="20" t="inlineStr">
        <is>
          <t>None</t>
        </is>
      </c>
      <c r="BN202" s="17" t="n"/>
      <c r="BO202" s="16" t="inlineStr">
        <is>
          <t>162</t>
        </is>
      </c>
      <c r="BP202" s="20" t="inlineStr">
        <is>
          <t>IC Kationen</t>
        </is>
      </c>
      <c r="BQ202" s="20" t="inlineStr">
        <is>
          <t>None</t>
        </is>
      </c>
      <c r="BR202" s="17" t="n"/>
      <c r="BS202" s="16" t="inlineStr">
        <is>
          <t>24.0</t>
        </is>
      </c>
      <c r="BT202" s="20" t="inlineStr">
        <is>
          <t>IC Kationen</t>
        </is>
      </c>
      <c r="BU202" s="20" t="inlineStr">
        <is>
          <t>None</t>
        </is>
      </c>
      <c r="BV202" s="17" t="n"/>
      <c r="BW202" s="16" t="n"/>
      <c r="BX202" s="20" t="n"/>
      <c r="BY202" s="20" t="inlineStr">
        <is>
          <t>None</t>
        </is>
      </c>
      <c r="BZ202" s="17" t="n"/>
      <c r="CA202" s="16" t="n"/>
      <c r="CB202" s="20" t="n"/>
      <c r="CC202" s="20" t="inlineStr">
        <is>
          <t>None</t>
        </is>
      </c>
      <c r="CD202" s="17" t="n"/>
      <c r="CE202" s="16" t="n"/>
      <c r="CF202" s="20" t="n"/>
      <c r="CG202" s="20" t="inlineStr">
        <is>
          <t>None</t>
        </is>
      </c>
      <c r="CH202" s="17" t="n"/>
      <c r="CI202" s="16" t="n"/>
      <c r="CJ202" s="20" t="n"/>
      <c r="CK202" s="20" t="inlineStr">
        <is>
          <t>None</t>
        </is>
      </c>
      <c r="CL202" s="17" t="n"/>
      <c r="CM202" s="16" t="n"/>
      <c r="CN202" s="20" t="inlineStr">
        <is>
          <t>SOP 45-34</t>
        </is>
      </c>
      <c r="CO202" s="20" t="inlineStr">
        <is>
          <t>None</t>
        </is>
      </c>
      <c r="CP202" s="17" t="n"/>
      <c r="CQ202" s="16" t="n"/>
      <c r="CR202" s="20" t="n"/>
      <c r="CS202" s="20" t="inlineStr">
        <is>
          <t>None</t>
        </is>
      </c>
      <c r="CT202" s="17" t="n"/>
      <c r="CU202" s="16" t="n"/>
      <c r="CV202" s="20" t="n"/>
      <c r="CW202" s="20" t="inlineStr">
        <is>
          <t>None</t>
        </is>
      </c>
      <c r="CX202" s="17" t="n"/>
      <c r="CY202" s="16" t="n"/>
      <c r="CZ202" s="20" t="inlineStr">
        <is>
          <t>WTW Multimeter 3430 with FDO 925</t>
        </is>
      </c>
      <c r="DA202" s="20" t="inlineStr">
        <is>
          <t>None</t>
        </is>
      </c>
      <c r="DB202" s="17" t="n"/>
      <c r="DC202" s="16" t="n"/>
      <c r="DD202" s="20" t="n"/>
      <c r="DE202" s="20" t="inlineStr">
        <is>
          <t>None</t>
        </is>
      </c>
      <c r="DF202" s="17" t="n"/>
      <c r="DG202" s="16" t="n"/>
      <c r="DH202" s="20" t="inlineStr">
        <is>
          <t>SOP 45-09</t>
        </is>
      </c>
      <c r="DI202" s="20" t="inlineStr">
        <is>
          <t>None</t>
        </is>
      </c>
      <c r="DJ202" s="17" t="n"/>
      <c r="DK202" s="16" t="n"/>
      <c r="DL202" s="20" t="inlineStr">
        <is>
          <t>SOP 45-09 (SOP muss noch angepasst werden für VSS)</t>
        </is>
      </c>
      <c r="DM202" s="20" t="inlineStr">
        <is>
          <t>None</t>
        </is>
      </c>
      <c r="DN202" s="17" t="n"/>
      <c r="DO202" s="16" t="n"/>
      <c r="DP202" s="20" t="inlineStr">
        <is>
          <t>IC Organic Acids</t>
        </is>
      </c>
      <c r="DQ202" s="20" t="inlineStr">
        <is>
          <t>None</t>
        </is>
      </c>
      <c r="DR202" s="17" t="n"/>
      <c r="DS202" s="16" t="n"/>
      <c r="DT202" s="20" t="inlineStr">
        <is>
          <t>IC Organic Acids</t>
        </is>
      </c>
      <c r="DU202" s="20" t="inlineStr">
        <is>
          <t>None</t>
        </is>
      </c>
      <c r="DV202" s="17" t="n"/>
      <c r="DW202" s="16" t="n"/>
      <c r="DX202" s="20" t="inlineStr">
        <is>
          <t>IC Organic Acids</t>
        </is>
      </c>
      <c r="DY202" s="20" t="inlineStr">
        <is>
          <t>None</t>
        </is>
      </c>
      <c r="DZ202" s="17" t="n"/>
      <c r="EA202" s="16" t="n"/>
      <c r="EB202" s="20" t="inlineStr">
        <is>
          <t>IC Organic Acids</t>
        </is>
      </c>
      <c r="EC202" s="20" t="inlineStr">
        <is>
          <t>None</t>
        </is>
      </c>
      <c r="ED202" s="17" t="n"/>
      <c r="EE202" s="16" t="n"/>
      <c r="EF202" s="20" t="inlineStr">
        <is>
          <t>IC Organic Acids</t>
        </is>
      </c>
      <c r="EG202" s="20" t="inlineStr">
        <is>
          <t>None</t>
        </is>
      </c>
      <c r="EH202" s="17" t="n"/>
      <c r="EI202" s="16" t="n"/>
      <c r="EJ202" s="20" t="inlineStr">
        <is>
          <t>IC Organic Acids</t>
        </is>
      </c>
      <c r="EK202" s="20" t="inlineStr">
        <is>
          <t>None</t>
        </is>
      </c>
      <c r="EL202" s="17" t="n"/>
      <c r="EM202" s="16" t="n"/>
      <c r="EN202" s="20" t="inlineStr">
        <is>
          <t>IC Organic Acids</t>
        </is>
      </c>
      <c r="EO202" s="20" t="inlineStr">
        <is>
          <t>None</t>
        </is>
      </c>
      <c r="EP202" s="17" t="n"/>
      <c r="EQ202" s="16" t="n"/>
      <c r="ER202" s="20" t="inlineStr">
        <is>
          <t>IC Organic Acids</t>
        </is>
      </c>
      <c r="ES202" s="20" t="inlineStr">
        <is>
          <t>None</t>
        </is>
      </c>
      <c r="ET202" s="17" t="n"/>
      <c r="EU202" s="16" t="n"/>
      <c r="EV202" s="20" t="inlineStr">
        <is>
          <t>LC-MS</t>
        </is>
      </c>
      <c r="EW202" s="20" t="inlineStr">
        <is>
          <t>None</t>
        </is>
      </c>
      <c r="EX202" s="17" t="n"/>
      <c r="EY202" s="21" t="n"/>
      <c r="EZ202">
        <f>CONCATENATE(A202,B202)</f>
        <v/>
      </c>
      <c r="FA202">
        <f>CONCATENATE(SamplesX!A202,SamplesX!B202)</f>
        <v/>
      </c>
      <c r="FC202">
        <f>MATCH(EZ202,FA1:FA1008,0)</f>
        <v/>
      </c>
    </row>
    <row r="203">
      <c r="A203" s="16" t="inlineStr">
        <is>
          <t>BP</t>
        </is>
      </c>
      <c r="B203" s="17" t="inlineStr">
        <is>
          <t>25195</t>
        </is>
      </c>
      <c r="C203" s="10">
        <f>IF(ISNUMBER(FC203),INDIRECT("SamplesX!C"&amp;FC203),IF(ISNUMBER(FD203),INDIRECT("SamplesY!C"&amp;FD203),""))</f>
        <v/>
      </c>
      <c r="D203" s="12">
        <f>IF(ISNUMBER(FC203),INDIRECT("SamplesX!D"&amp;FC203),IF(ISNUMBER(FD203),INDIRECT("SamplesY!D"&amp;FD203),""))</f>
        <v/>
      </c>
      <c r="E203" s="12">
        <f>IF(ISNUMBER(FC203),INDIRECT("SamplesX!E"&amp;FC203),IF(ISNUMBER(FD203),INDIRECT("SamplesY!E"&amp;FD203),""))</f>
        <v/>
      </c>
      <c r="F203" s="11">
        <f>IF(ISNUMBER(FC203),INDIRECT("SamplesX!F"&amp;FC203),IF(ISNUMBER(FD203),INDIRECT("SamplesY!F"&amp;FD203),""))</f>
        <v/>
      </c>
      <c r="G203" s="18">
        <f>IF(ISNUMBER(FC203),INDIRECT("SamplesX!G"&amp;FC203),IF(ISNUMBER(FD203),INDIRECT("SamplesY!G"&amp;FD203),""))</f>
        <v/>
      </c>
      <c r="H203" s="19">
        <f>IF(ISNUMBER(FC203),INDIRECT("SamplesX!H"&amp;FC203),IF(ISNUMBER(FD203),INDIRECT("SamplesY!H"&amp;FD203),""))</f>
        <v/>
      </c>
      <c r="I203" s="16" t="n"/>
      <c r="J203" s="16" t="n"/>
      <c r="K203" s="16" t="n"/>
      <c r="L203" s="20" t="n"/>
      <c r="M203" s="20" t="inlineStr">
        <is>
          <t>None</t>
        </is>
      </c>
      <c r="N203" s="17" t="n"/>
      <c r="O203" s="16" t="n"/>
      <c r="P203" s="20" t="inlineStr">
        <is>
          <t>Shimadzu TOC-L</t>
        </is>
      </c>
      <c r="Q203" s="20" t="inlineStr">
        <is>
          <t>None</t>
        </is>
      </c>
      <c r="R203" s="17" t="n"/>
      <c r="S203" s="16" t="n"/>
      <c r="T203" s="20" t="inlineStr">
        <is>
          <t>Shimadzu TOC-L</t>
        </is>
      </c>
      <c r="U203" s="20" t="inlineStr">
        <is>
          <t>None</t>
        </is>
      </c>
      <c r="V203" s="17" t="n"/>
      <c r="W203" s="16" t="n"/>
      <c r="X203" s="20" t="n"/>
      <c r="Y203" s="20" t="inlineStr">
        <is>
          <t>None</t>
        </is>
      </c>
      <c r="Z203" s="17" t="n"/>
      <c r="AA203" s="16" t="n"/>
      <c r="AB203" s="20" t="n"/>
      <c r="AC203" s="20" t="inlineStr">
        <is>
          <t>None</t>
        </is>
      </c>
      <c r="AD203" s="17" t="n"/>
      <c r="AE203" s="16" t="n"/>
      <c r="AF203" s="20" t="inlineStr">
        <is>
          <t>IC Anionen</t>
        </is>
      </c>
      <c r="AG203" s="20" t="inlineStr">
        <is>
          <t>None</t>
        </is>
      </c>
      <c r="AH203" s="17" t="n"/>
      <c r="AI203" s="16" t="n"/>
      <c r="AJ203" s="20" t="n"/>
      <c r="AK203" s="20" t="inlineStr">
        <is>
          <t>None</t>
        </is>
      </c>
      <c r="AL203" s="17" t="n"/>
      <c r="AM203" s="16" t="n"/>
      <c r="AN203" s="20" t="inlineStr">
        <is>
          <t>IC Anionen</t>
        </is>
      </c>
      <c r="AO203" s="20" t="inlineStr">
        <is>
          <t>None</t>
        </is>
      </c>
      <c r="AP203" s="17" t="n"/>
      <c r="AQ203" s="16" t="n"/>
      <c r="AR203" s="20" t="n"/>
      <c r="AS203" s="20" t="inlineStr">
        <is>
          <t>None</t>
        </is>
      </c>
      <c r="AT203" s="17" t="n"/>
      <c r="AU203" s="16" t="inlineStr">
        <is>
          <t>&lt;0.13</t>
        </is>
      </c>
      <c r="AV203" s="20" t="inlineStr">
        <is>
          <t>IC Anionen</t>
        </is>
      </c>
      <c r="AW203" s="20" t="inlineStr">
        <is>
          <t>None</t>
        </is>
      </c>
      <c r="AX203" s="17" t="n"/>
      <c r="AY203" s="16" t="inlineStr">
        <is>
          <t>&lt;0.80</t>
        </is>
      </c>
      <c r="AZ203" s="20" t="inlineStr">
        <is>
          <t>IC Anionen</t>
        </is>
      </c>
      <c r="BA203" s="20" t="inlineStr">
        <is>
          <t>None</t>
        </is>
      </c>
      <c r="BB203" s="17" t="n"/>
      <c r="BC203" s="16" t="inlineStr">
        <is>
          <t>125</t>
        </is>
      </c>
      <c r="BD203" s="20" t="inlineStr">
        <is>
          <t>IC Kationen</t>
        </is>
      </c>
      <c r="BE203" s="20" t="inlineStr">
        <is>
          <t>None</t>
        </is>
      </c>
      <c r="BF203" s="17" t="n"/>
      <c r="BG203" s="16" t="inlineStr">
        <is>
          <t>38.5</t>
        </is>
      </c>
      <c r="BH203" s="20" t="inlineStr">
        <is>
          <t>IC Kationen</t>
        </is>
      </c>
      <c r="BI203" s="20" t="inlineStr">
        <is>
          <t>None</t>
        </is>
      </c>
      <c r="BJ203" s="17" t="n"/>
      <c r="BK203" s="16" t="inlineStr">
        <is>
          <t>14.4</t>
        </is>
      </c>
      <c r="BL203" s="20" t="inlineStr">
        <is>
          <t>IC Kationen</t>
        </is>
      </c>
      <c r="BM203" s="20" t="inlineStr">
        <is>
          <t>None</t>
        </is>
      </c>
      <c r="BN203" s="17" t="n"/>
      <c r="BO203" s="16" t="inlineStr">
        <is>
          <t>128</t>
        </is>
      </c>
      <c r="BP203" s="20" t="inlineStr">
        <is>
          <t>IC Kationen</t>
        </is>
      </c>
      <c r="BQ203" s="20" t="inlineStr">
        <is>
          <t>None</t>
        </is>
      </c>
      <c r="BR203" s="17" t="n"/>
      <c r="BS203" s="16" t="inlineStr">
        <is>
          <t>23.4</t>
        </is>
      </c>
      <c r="BT203" s="20" t="inlineStr">
        <is>
          <t>IC Kationen</t>
        </is>
      </c>
      <c r="BU203" s="20" t="inlineStr">
        <is>
          <t>None</t>
        </is>
      </c>
      <c r="BV203" s="17" t="n"/>
      <c r="BW203" s="16" t="n"/>
      <c r="BX203" s="20" t="n"/>
      <c r="BY203" s="20" t="inlineStr">
        <is>
          <t>None</t>
        </is>
      </c>
      <c r="BZ203" s="17" t="n"/>
      <c r="CA203" s="16" t="n"/>
      <c r="CB203" s="20" t="n"/>
      <c r="CC203" s="20" t="inlineStr">
        <is>
          <t>None</t>
        </is>
      </c>
      <c r="CD203" s="17" t="n"/>
      <c r="CE203" s="16" t="n"/>
      <c r="CF203" s="20" t="n"/>
      <c r="CG203" s="20" t="inlineStr">
        <is>
          <t>None</t>
        </is>
      </c>
      <c r="CH203" s="17" t="n"/>
      <c r="CI203" s="16" t="n"/>
      <c r="CJ203" s="20" t="n"/>
      <c r="CK203" s="20" t="inlineStr">
        <is>
          <t>None</t>
        </is>
      </c>
      <c r="CL203" s="17" t="n"/>
      <c r="CM203" s="16" t="n"/>
      <c r="CN203" s="20" t="inlineStr">
        <is>
          <t>SOP 45-34</t>
        </is>
      </c>
      <c r="CO203" s="20" t="inlineStr">
        <is>
          <t>None</t>
        </is>
      </c>
      <c r="CP203" s="17" t="n"/>
      <c r="CQ203" s="16" t="n"/>
      <c r="CR203" s="20" t="n"/>
      <c r="CS203" s="20" t="inlineStr">
        <is>
          <t>None</t>
        </is>
      </c>
      <c r="CT203" s="17" t="n"/>
      <c r="CU203" s="16" t="n"/>
      <c r="CV203" s="20" t="n"/>
      <c r="CW203" s="20" t="inlineStr">
        <is>
          <t>None</t>
        </is>
      </c>
      <c r="CX203" s="17" t="n"/>
      <c r="CY203" s="16" t="n"/>
      <c r="CZ203" s="20" t="inlineStr">
        <is>
          <t>WTW Multimeter 3430 with FDO 925</t>
        </is>
      </c>
      <c r="DA203" s="20" t="inlineStr">
        <is>
          <t>None</t>
        </is>
      </c>
      <c r="DB203" s="17" t="n"/>
      <c r="DC203" s="16" t="n"/>
      <c r="DD203" s="20" t="n"/>
      <c r="DE203" s="20" t="inlineStr">
        <is>
          <t>None</t>
        </is>
      </c>
      <c r="DF203" s="17" t="n"/>
      <c r="DG203" s="16" t="n"/>
      <c r="DH203" s="20" t="inlineStr">
        <is>
          <t>SOP 45-09</t>
        </is>
      </c>
      <c r="DI203" s="20" t="inlineStr">
        <is>
          <t>None</t>
        </is>
      </c>
      <c r="DJ203" s="17" t="n"/>
      <c r="DK203" s="16" t="n"/>
      <c r="DL203" s="20" t="inlineStr">
        <is>
          <t>SOP 45-09 (SOP muss noch angepasst werden für VSS)</t>
        </is>
      </c>
      <c r="DM203" s="20" t="inlineStr">
        <is>
          <t>None</t>
        </is>
      </c>
      <c r="DN203" s="17" t="n"/>
      <c r="DO203" s="16" t="n"/>
      <c r="DP203" s="20" t="inlineStr">
        <is>
          <t>IC Organic Acids</t>
        </is>
      </c>
      <c r="DQ203" s="20" t="inlineStr">
        <is>
          <t>None</t>
        </is>
      </c>
      <c r="DR203" s="17" t="n"/>
      <c r="DS203" s="16" t="n"/>
      <c r="DT203" s="20" t="inlineStr">
        <is>
          <t>IC Organic Acids</t>
        </is>
      </c>
      <c r="DU203" s="20" t="inlineStr">
        <is>
          <t>None</t>
        </is>
      </c>
      <c r="DV203" s="17" t="n"/>
      <c r="DW203" s="16" t="n"/>
      <c r="DX203" s="20" t="inlineStr">
        <is>
          <t>IC Organic Acids</t>
        </is>
      </c>
      <c r="DY203" s="20" t="inlineStr">
        <is>
          <t>None</t>
        </is>
      </c>
      <c r="DZ203" s="17" t="n"/>
      <c r="EA203" s="16" t="n"/>
      <c r="EB203" s="20" t="inlineStr">
        <is>
          <t>IC Organic Acids</t>
        </is>
      </c>
      <c r="EC203" s="20" t="inlineStr">
        <is>
          <t>None</t>
        </is>
      </c>
      <c r="ED203" s="17" t="n"/>
      <c r="EE203" s="16" t="n"/>
      <c r="EF203" s="20" t="inlineStr">
        <is>
          <t>IC Organic Acids</t>
        </is>
      </c>
      <c r="EG203" s="20" t="inlineStr">
        <is>
          <t>None</t>
        </is>
      </c>
      <c r="EH203" s="17" t="n"/>
      <c r="EI203" s="16" t="n"/>
      <c r="EJ203" s="20" t="inlineStr">
        <is>
          <t>IC Organic Acids</t>
        </is>
      </c>
      <c r="EK203" s="20" t="inlineStr">
        <is>
          <t>None</t>
        </is>
      </c>
      <c r="EL203" s="17" t="n"/>
      <c r="EM203" s="16" t="n"/>
      <c r="EN203" s="20" t="inlineStr">
        <is>
          <t>IC Organic Acids</t>
        </is>
      </c>
      <c r="EO203" s="20" t="inlineStr">
        <is>
          <t>None</t>
        </is>
      </c>
      <c r="EP203" s="17" t="n"/>
      <c r="EQ203" s="16" t="n"/>
      <c r="ER203" s="20" t="inlineStr">
        <is>
          <t>IC Organic Acids</t>
        </is>
      </c>
      <c r="ES203" s="20" t="inlineStr">
        <is>
          <t>None</t>
        </is>
      </c>
      <c r="ET203" s="17" t="n"/>
      <c r="EU203" s="16" t="n"/>
      <c r="EV203" s="20" t="inlineStr">
        <is>
          <t>LC-MS</t>
        </is>
      </c>
      <c r="EW203" s="20" t="inlineStr">
        <is>
          <t>None</t>
        </is>
      </c>
      <c r="EX203" s="17" t="n"/>
      <c r="EY203" s="21" t="n"/>
      <c r="EZ203">
        <f>CONCATENATE(A203,B203)</f>
        <v/>
      </c>
      <c r="FA203">
        <f>CONCATENATE(SamplesX!A203,SamplesX!B203)</f>
        <v/>
      </c>
      <c r="FC203">
        <f>MATCH(EZ203,FA1:FA1008,0)</f>
        <v/>
      </c>
    </row>
    <row r="204">
      <c r="A204" s="16" t="inlineStr">
        <is>
          <t>BP</t>
        </is>
      </c>
      <c r="B204" s="17" t="inlineStr">
        <is>
          <t>25196</t>
        </is>
      </c>
      <c r="C204" s="10">
        <f>IF(ISNUMBER(FC204),INDIRECT("SamplesX!C"&amp;FC204),IF(ISNUMBER(FD204),INDIRECT("SamplesY!C"&amp;FD204),""))</f>
        <v/>
      </c>
      <c r="D204" s="12">
        <f>IF(ISNUMBER(FC204),INDIRECT("SamplesX!D"&amp;FC204),IF(ISNUMBER(FD204),INDIRECT("SamplesY!D"&amp;FD204),""))</f>
        <v/>
      </c>
      <c r="E204" s="12">
        <f>IF(ISNUMBER(FC204),INDIRECT("SamplesX!E"&amp;FC204),IF(ISNUMBER(FD204),INDIRECT("SamplesY!E"&amp;FD204),""))</f>
        <v/>
      </c>
      <c r="F204" s="11">
        <f>IF(ISNUMBER(FC204),INDIRECT("SamplesX!F"&amp;FC204),IF(ISNUMBER(FD204),INDIRECT("SamplesY!F"&amp;FD204),""))</f>
        <v/>
      </c>
      <c r="G204" s="18">
        <f>IF(ISNUMBER(FC204),INDIRECT("SamplesX!G"&amp;FC204),IF(ISNUMBER(FD204),INDIRECT("SamplesY!G"&amp;FD204),""))</f>
        <v/>
      </c>
      <c r="H204" s="19">
        <f>IF(ISNUMBER(FC204),INDIRECT("SamplesX!H"&amp;FC204),IF(ISNUMBER(FD204),INDIRECT("SamplesY!H"&amp;FD204),""))</f>
        <v/>
      </c>
      <c r="I204" s="16" t="n"/>
      <c r="J204" s="16" t="n"/>
      <c r="K204" s="16" t="n"/>
      <c r="L204" s="20" t="n"/>
      <c r="M204" s="20" t="inlineStr">
        <is>
          <t>None</t>
        </is>
      </c>
      <c r="N204" s="17" t="n"/>
      <c r="O204" s="16" t="n"/>
      <c r="P204" s="20" t="inlineStr">
        <is>
          <t>Shimadzu TOC-L</t>
        </is>
      </c>
      <c r="Q204" s="20" t="inlineStr">
        <is>
          <t>None</t>
        </is>
      </c>
      <c r="R204" s="17" t="n"/>
      <c r="S204" s="16" t="n"/>
      <c r="T204" s="20" t="inlineStr">
        <is>
          <t>Shimadzu TOC-L</t>
        </is>
      </c>
      <c r="U204" s="20" t="inlineStr">
        <is>
          <t>None</t>
        </is>
      </c>
      <c r="V204" s="17" t="n"/>
      <c r="W204" s="16" t="n"/>
      <c r="X204" s="20" t="n"/>
      <c r="Y204" s="20" t="inlineStr">
        <is>
          <t>None</t>
        </is>
      </c>
      <c r="Z204" s="17" t="n"/>
      <c r="AA204" s="16" t="n"/>
      <c r="AB204" s="20" t="n"/>
      <c r="AC204" s="20" t="inlineStr">
        <is>
          <t>None</t>
        </is>
      </c>
      <c r="AD204" s="17" t="n"/>
      <c r="AE204" s="16" t="n"/>
      <c r="AF204" s="20" t="inlineStr">
        <is>
          <t>IC Anionen</t>
        </is>
      </c>
      <c r="AG204" s="20" t="inlineStr">
        <is>
          <t>None</t>
        </is>
      </c>
      <c r="AH204" s="17" t="n"/>
      <c r="AI204" s="16" t="n"/>
      <c r="AJ204" s="20" t="n"/>
      <c r="AK204" s="20" t="inlineStr">
        <is>
          <t>None</t>
        </is>
      </c>
      <c r="AL204" s="17" t="n"/>
      <c r="AM204" s="16" t="n"/>
      <c r="AN204" s="20" t="inlineStr">
        <is>
          <t>IC Anionen</t>
        </is>
      </c>
      <c r="AO204" s="20" t="inlineStr">
        <is>
          <t>None</t>
        </is>
      </c>
      <c r="AP204" s="17" t="n"/>
      <c r="AQ204" s="16" t="n"/>
      <c r="AR204" s="20" t="n"/>
      <c r="AS204" s="20" t="inlineStr">
        <is>
          <t>None</t>
        </is>
      </c>
      <c r="AT204" s="17" t="n"/>
      <c r="AU204" s="16" t="inlineStr">
        <is>
          <t>2.98</t>
        </is>
      </c>
      <c r="AV204" s="20" t="inlineStr">
        <is>
          <t>IC Anionen</t>
        </is>
      </c>
      <c r="AW204" s="20" t="inlineStr">
        <is>
          <t>None</t>
        </is>
      </c>
      <c r="AX204" s="17" t="n"/>
      <c r="AY204" s="16" t="inlineStr">
        <is>
          <t>4.29</t>
        </is>
      </c>
      <c r="AZ204" s="20" t="inlineStr">
        <is>
          <t>IC Anionen</t>
        </is>
      </c>
      <c r="BA204" s="20" t="inlineStr">
        <is>
          <t>None</t>
        </is>
      </c>
      <c r="BB204" s="17" t="n"/>
      <c r="BC204" s="16" t="inlineStr">
        <is>
          <t>134</t>
        </is>
      </c>
      <c r="BD204" s="20" t="inlineStr">
        <is>
          <t>IC Kationen</t>
        </is>
      </c>
      <c r="BE204" s="20" t="inlineStr">
        <is>
          <t>None</t>
        </is>
      </c>
      <c r="BF204" s="17" t="n"/>
      <c r="BG204" s="16" t="inlineStr">
        <is>
          <t>34.5</t>
        </is>
      </c>
      <c r="BH204" s="20" t="inlineStr">
        <is>
          <t>IC Kationen</t>
        </is>
      </c>
      <c r="BI204" s="20" t="inlineStr">
        <is>
          <t>None</t>
        </is>
      </c>
      <c r="BJ204" s="17" t="n"/>
      <c r="BK204" s="16" t="inlineStr">
        <is>
          <t>16.3</t>
        </is>
      </c>
      <c r="BL204" s="20" t="inlineStr">
        <is>
          <t>IC Kationen</t>
        </is>
      </c>
      <c r="BM204" s="20" t="inlineStr">
        <is>
          <t>None</t>
        </is>
      </c>
      <c r="BN204" s="17" t="n"/>
      <c r="BO204" s="16" t="inlineStr">
        <is>
          <t>163</t>
        </is>
      </c>
      <c r="BP204" s="20" t="inlineStr">
        <is>
          <t>IC Kationen</t>
        </is>
      </c>
      <c r="BQ204" s="20" t="inlineStr">
        <is>
          <t>None</t>
        </is>
      </c>
      <c r="BR204" s="17" t="n"/>
      <c r="BS204" s="16" t="inlineStr">
        <is>
          <t>24.8</t>
        </is>
      </c>
      <c r="BT204" s="20" t="inlineStr">
        <is>
          <t>IC Kationen</t>
        </is>
      </c>
      <c r="BU204" s="20" t="inlineStr">
        <is>
          <t>None</t>
        </is>
      </c>
      <c r="BV204" s="17" t="n"/>
      <c r="BW204" s="16" t="n"/>
      <c r="BX204" s="20" t="n"/>
      <c r="BY204" s="20" t="inlineStr">
        <is>
          <t>None</t>
        </is>
      </c>
      <c r="BZ204" s="17" t="n"/>
      <c r="CA204" s="16" t="n"/>
      <c r="CB204" s="20" t="n"/>
      <c r="CC204" s="20" t="inlineStr">
        <is>
          <t>None</t>
        </is>
      </c>
      <c r="CD204" s="17" t="n"/>
      <c r="CE204" s="16" t="n"/>
      <c r="CF204" s="20" t="n"/>
      <c r="CG204" s="20" t="inlineStr">
        <is>
          <t>None</t>
        </is>
      </c>
      <c r="CH204" s="17" t="n"/>
      <c r="CI204" s="16" t="n"/>
      <c r="CJ204" s="20" t="n"/>
      <c r="CK204" s="20" t="inlineStr">
        <is>
          <t>None</t>
        </is>
      </c>
      <c r="CL204" s="17" t="n"/>
      <c r="CM204" s="16" t="n"/>
      <c r="CN204" s="20" t="inlineStr">
        <is>
          <t>SOP 45-34</t>
        </is>
      </c>
      <c r="CO204" s="20" t="inlineStr">
        <is>
          <t>None</t>
        </is>
      </c>
      <c r="CP204" s="17" t="n"/>
      <c r="CQ204" s="16" t="n"/>
      <c r="CR204" s="20" t="n"/>
      <c r="CS204" s="20" t="inlineStr">
        <is>
          <t>None</t>
        </is>
      </c>
      <c r="CT204" s="17" t="n"/>
      <c r="CU204" s="16" t="n"/>
      <c r="CV204" s="20" t="n"/>
      <c r="CW204" s="20" t="inlineStr">
        <is>
          <t>None</t>
        </is>
      </c>
      <c r="CX204" s="17" t="n"/>
      <c r="CY204" s="16" t="n"/>
      <c r="CZ204" s="20" t="inlineStr">
        <is>
          <t>WTW Multimeter 3430 with FDO 925</t>
        </is>
      </c>
      <c r="DA204" s="20" t="inlineStr">
        <is>
          <t>None</t>
        </is>
      </c>
      <c r="DB204" s="17" t="n"/>
      <c r="DC204" s="16" t="n"/>
      <c r="DD204" s="20" t="n"/>
      <c r="DE204" s="20" t="inlineStr">
        <is>
          <t>None</t>
        </is>
      </c>
      <c r="DF204" s="17" t="n"/>
      <c r="DG204" s="16" t="n"/>
      <c r="DH204" s="20" t="inlineStr">
        <is>
          <t>SOP 45-09</t>
        </is>
      </c>
      <c r="DI204" s="20" t="inlineStr">
        <is>
          <t>None</t>
        </is>
      </c>
      <c r="DJ204" s="17" t="n"/>
      <c r="DK204" s="16" t="n"/>
      <c r="DL204" s="20" t="inlineStr">
        <is>
          <t>SOP 45-09 (SOP muss noch angepasst werden für VSS)</t>
        </is>
      </c>
      <c r="DM204" s="20" t="inlineStr">
        <is>
          <t>None</t>
        </is>
      </c>
      <c r="DN204" s="17" t="n"/>
      <c r="DO204" s="16" t="n"/>
      <c r="DP204" s="20" t="inlineStr">
        <is>
          <t>IC Organic Acids</t>
        </is>
      </c>
      <c r="DQ204" s="20" t="inlineStr">
        <is>
          <t>None</t>
        </is>
      </c>
      <c r="DR204" s="17" t="n"/>
      <c r="DS204" s="16" t="n"/>
      <c r="DT204" s="20" t="inlineStr">
        <is>
          <t>IC Organic Acids</t>
        </is>
      </c>
      <c r="DU204" s="20" t="inlineStr">
        <is>
          <t>None</t>
        </is>
      </c>
      <c r="DV204" s="17" t="n"/>
      <c r="DW204" s="16" t="n"/>
      <c r="DX204" s="20" t="inlineStr">
        <is>
          <t>IC Organic Acids</t>
        </is>
      </c>
      <c r="DY204" s="20" t="inlineStr">
        <is>
          <t>None</t>
        </is>
      </c>
      <c r="DZ204" s="17" t="n"/>
      <c r="EA204" s="16" t="n"/>
      <c r="EB204" s="20" t="inlineStr">
        <is>
          <t>IC Organic Acids</t>
        </is>
      </c>
      <c r="EC204" s="20" t="inlineStr">
        <is>
          <t>None</t>
        </is>
      </c>
      <c r="ED204" s="17" t="n"/>
      <c r="EE204" s="16" t="n"/>
      <c r="EF204" s="20" t="inlineStr">
        <is>
          <t>IC Organic Acids</t>
        </is>
      </c>
      <c r="EG204" s="20" t="inlineStr">
        <is>
          <t>None</t>
        </is>
      </c>
      <c r="EH204" s="17" t="n"/>
      <c r="EI204" s="16" t="n"/>
      <c r="EJ204" s="20" t="inlineStr">
        <is>
          <t>IC Organic Acids</t>
        </is>
      </c>
      <c r="EK204" s="20" t="inlineStr">
        <is>
          <t>None</t>
        </is>
      </c>
      <c r="EL204" s="17" t="n"/>
      <c r="EM204" s="16" t="n"/>
      <c r="EN204" s="20" t="inlineStr">
        <is>
          <t>IC Organic Acids</t>
        </is>
      </c>
      <c r="EO204" s="20" t="inlineStr">
        <is>
          <t>None</t>
        </is>
      </c>
      <c r="EP204" s="17" t="n"/>
      <c r="EQ204" s="16" t="n"/>
      <c r="ER204" s="20" t="inlineStr">
        <is>
          <t>IC Organic Acids</t>
        </is>
      </c>
      <c r="ES204" s="20" t="inlineStr">
        <is>
          <t>None</t>
        </is>
      </c>
      <c r="ET204" s="17" t="n"/>
      <c r="EU204" s="16" t="n"/>
      <c r="EV204" s="20" t="inlineStr">
        <is>
          <t>LC-MS</t>
        </is>
      </c>
      <c r="EW204" s="20" t="inlineStr">
        <is>
          <t>None</t>
        </is>
      </c>
      <c r="EX204" s="17" t="n"/>
      <c r="EY204" s="21" t="n"/>
      <c r="EZ204">
        <f>CONCATENATE(A204,B204)</f>
        <v/>
      </c>
      <c r="FA204">
        <f>CONCATENATE(SamplesX!A204,SamplesX!B204)</f>
        <v/>
      </c>
      <c r="FC204">
        <f>MATCH(EZ204,FA1:FA1008,0)</f>
        <v/>
      </c>
    </row>
    <row r="205">
      <c r="A205" s="16" t="inlineStr">
        <is>
          <t>BP</t>
        </is>
      </c>
      <c r="B205" s="17" t="inlineStr">
        <is>
          <t>25197</t>
        </is>
      </c>
      <c r="C205" s="10">
        <f>IF(ISNUMBER(FC205),INDIRECT("SamplesX!C"&amp;FC205),IF(ISNUMBER(FD205),INDIRECT("SamplesY!C"&amp;FD205),""))</f>
        <v/>
      </c>
      <c r="D205" s="12">
        <f>IF(ISNUMBER(FC205),INDIRECT("SamplesX!D"&amp;FC205),IF(ISNUMBER(FD205),INDIRECT("SamplesY!D"&amp;FD205),""))</f>
        <v/>
      </c>
      <c r="E205" s="12">
        <f>IF(ISNUMBER(FC205),INDIRECT("SamplesX!E"&amp;FC205),IF(ISNUMBER(FD205),INDIRECT("SamplesY!E"&amp;FD205),""))</f>
        <v/>
      </c>
      <c r="F205" s="11">
        <f>IF(ISNUMBER(FC205),INDIRECT("SamplesX!F"&amp;FC205),IF(ISNUMBER(FD205),INDIRECT("SamplesY!F"&amp;FD205),""))</f>
        <v/>
      </c>
      <c r="G205" s="18">
        <f>IF(ISNUMBER(FC205),INDIRECT("SamplesX!G"&amp;FC205),IF(ISNUMBER(FD205),INDIRECT("SamplesY!G"&amp;FD205),""))</f>
        <v/>
      </c>
      <c r="H205" s="19">
        <f>IF(ISNUMBER(FC205),INDIRECT("SamplesX!H"&amp;FC205),IF(ISNUMBER(FD205),INDIRECT("SamplesY!H"&amp;FD205),""))</f>
        <v/>
      </c>
      <c r="I205" s="16" t="n"/>
      <c r="J205" s="16" t="n"/>
      <c r="K205" s="16" t="n"/>
      <c r="L205" s="20" t="n"/>
      <c r="M205" s="20" t="inlineStr">
        <is>
          <t>None</t>
        </is>
      </c>
      <c r="N205" s="17" t="n"/>
      <c r="O205" s="16" t="n"/>
      <c r="P205" s="20" t="inlineStr">
        <is>
          <t>Shimadzu TOC-L</t>
        </is>
      </c>
      <c r="Q205" s="20" t="inlineStr">
        <is>
          <t>None</t>
        </is>
      </c>
      <c r="R205" s="17" t="n"/>
      <c r="S205" s="16" t="n"/>
      <c r="T205" s="20" t="inlineStr">
        <is>
          <t>Shimadzu TOC-L</t>
        </is>
      </c>
      <c r="U205" s="20" t="inlineStr">
        <is>
          <t>None</t>
        </is>
      </c>
      <c r="V205" s="17" t="n"/>
      <c r="W205" s="16" t="n"/>
      <c r="X205" s="20" t="n"/>
      <c r="Y205" s="20" t="inlineStr">
        <is>
          <t>None</t>
        </is>
      </c>
      <c r="Z205" s="17" t="n"/>
      <c r="AA205" s="16" t="n"/>
      <c r="AB205" s="20" t="n"/>
      <c r="AC205" s="20" t="inlineStr">
        <is>
          <t>None</t>
        </is>
      </c>
      <c r="AD205" s="17" t="n"/>
      <c r="AE205" s="16" t="n"/>
      <c r="AF205" s="20" t="inlineStr">
        <is>
          <t>IC Anionen</t>
        </is>
      </c>
      <c r="AG205" s="20" t="inlineStr">
        <is>
          <t>None</t>
        </is>
      </c>
      <c r="AH205" s="17" t="n"/>
      <c r="AI205" s="16" t="n"/>
      <c r="AJ205" s="20" t="n"/>
      <c r="AK205" s="20" t="inlineStr">
        <is>
          <t>None</t>
        </is>
      </c>
      <c r="AL205" s="17" t="n"/>
      <c r="AM205" s="16" t="n"/>
      <c r="AN205" s="20" t="inlineStr">
        <is>
          <t>IC Anionen</t>
        </is>
      </c>
      <c r="AO205" s="20" t="inlineStr">
        <is>
          <t>None</t>
        </is>
      </c>
      <c r="AP205" s="17" t="n"/>
      <c r="AQ205" s="16" t="n"/>
      <c r="AR205" s="20" t="n"/>
      <c r="AS205" s="20" t="inlineStr">
        <is>
          <t>None</t>
        </is>
      </c>
      <c r="AT205" s="17" t="n"/>
      <c r="AU205" s="16" t="inlineStr">
        <is>
          <t>10.6</t>
        </is>
      </c>
      <c r="AV205" s="20" t="inlineStr">
        <is>
          <t>IC Anionen</t>
        </is>
      </c>
      <c r="AW205" s="20" t="inlineStr">
        <is>
          <t>None</t>
        </is>
      </c>
      <c r="AX205" s="17" t="n"/>
      <c r="AY205" s="16" t="inlineStr">
        <is>
          <t>1.05</t>
        </is>
      </c>
      <c r="AZ205" s="20" t="inlineStr">
        <is>
          <t>IC Anionen</t>
        </is>
      </c>
      <c r="BA205" s="20" t="inlineStr">
        <is>
          <t>None</t>
        </is>
      </c>
      <c r="BB205" s="17" t="n"/>
      <c r="BC205" s="16" t="inlineStr">
        <is>
          <t>109</t>
        </is>
      </c>
      <c r="BD205" s="20" t="inlineStr">
        <is>
          <t>IC Kationen</t>
        </is>
      </c>
      <c r="BE205" s="20" t="inlineStr">
        <is>
          <t>None</t>
        </is>
      </c>
      <c r="BF205" s="17" t="n"/>
      <c r="BG205" s="16" t="inlineStr">
        <is>
          <t>57.0</t>
        </is>
      </c>
      <c r="BH205" s="20" t="inlineStr">
        <is>
          <t>IC Kationen</t>
        </is>
      </c>
      <c r="BI205" s="20" t="inlineStr">
        <is>
          <t>None</t>
        </is>
      </c>
      <c r="BJ205" s="17" t="n"/>
      <c r="BK205" s="16" t="inlineStr">
        <is>
          <t>14.7</t>
        </is>
      </c>
      <c r="BL205" s="20" t="inlineStr">
        <is>
          <t>IC Kationen</t>
        </is>
      </c>
      <c r="BM205" s="20" t="inlineStr">
        <is>
          <t>None</t>
        </is>
      </c>
      <c r="BN205" s="17" t="n"/>
      <c r="BO205" s="16" t="inlineStr">
        <is>
          <t>147</t>
        </is>
      </c>
      <c r="BP205" s="20" t="inlineStr">
        <is>
          <t>IC Kationen</t>
        </is>
      </c>
      <c r="BQ205" s="20" t="inlineStr">
        <is>
          <t>None</t>
        </is>
      </c>
      <c r="BR205" s="17" t="n"/>
      <c r="BS205" s="16" t="inlineStr">
        <is>
          <t>21.9</t>
        </is>
      </c>
      <c r="BT205" s="20" t="inlineStr">
        <is>
          <t>IC Kationen</t>
        </is>
      </c>
      <c r="BU205" s="20" t="inlineStr">
        <is>
          <t>None</t>
        </is>
      </c>
      <c r="BV205" s="17" t="n"/>
      <c r="BW205" s="16" t="n"/>
      <c r="BX205" s="20" t="n"/>
      <c r="BY205" s="20" t="inlineStr">
        <is>
          <t>None</t>
        </is>
      </c>
      <c r="BZ205" s="17" t="n"/>
      <c r="CA205" s="16" t="n"/>
      <c r="CB205" s="20" t="n"/>
      <c r="CC205" s="20" t="inlineStr">
        <is>
          <t>None</t>
        </is>
      </c>
      <c r="CD205" s="17" t="n"/>
      <c r="CE205" s="16" t="n"/>
      <c r="CF205" s="20" t="n"/>
      <c r="CG205" s="20" t="inlineStr">
        <is>
          <t>None</t>
        </is>
      </c>
      <c r="CH205" s="17" t="n"/>
      <c r="CI205" s="16" t="n"/>
      <c r="CJ205" s="20" t="n"/>
      <c r="CK205" s="20" t="inlineStr">
        <is>
          <t>None</t>
        </is>
      </c>
      <c r="CL205" s="17" t="n"/>
      <c r="CM205" s="16" t="n"/>
      <c r="CN205" s="20" t="inlineStr">
        <is>
          <t>SOP 45-34</t>
        </is>
      </c>
      <c r="CO205" s="20" t="inlineStr">
        <is>
          <t>None</t>
        </is>
      </c>
      <c r="CP205" s="17" t="n"/>
      <c r="CQ205" s="16" t="n"/>
      <c r="CR205" s="20" t="n"/>
      <c r="CS205" s="20" t="inlineStr">
        <is>
          <t>None</t>
        </is>
      </c>
      <c r="CT205" s="17" t="n"/>
      <c r="CU205" s="16" t="n"/>
      <c r="CV205" s="20" t="n"/>
      <c r="CW205" s="20" t="inlineStr">
        <is>
          <t>None</t>
        </is>
      </c>
      <c r="CX205" s="17" t="n"/>
      <c r="CY205" s="16" t="n"/>
      <c r="CZ205" s="20" t="inlineStr">
        <is>
          <t>WTW Multimeter 3430 with FDO 925</t>
        </is>
      </c>
      <c r="DA205" s="20" t="inlineStr">
        <is>
          <t>None</t>
        </is>
      </c>
      <c r="DB205" s="17" t="n"/>
      <c r="DC205" s="16" t="n"/>
      <c r="DD205" s="20" t="n"/>
      <c r="DE205" s="20" t="inlineStr">
        <is>
          <t>None</t>
        </is>
      </c>
      <c r="DF205" s="17" t="n"/>
      <c r="DG205" s="16" t="n"/>
      <c r="DH205" s="20" t="inlineStr">
        <is>
          <t>SOP 45-09</t>
        </is>
      </c>
      <c r="DI205" s="20" t="inlineStr">
        <is>
          <t>None</t>
        </is>
      </c>
      <c r="DJ205" s="17" t="n"/>
      <c r="DK205" s="16" t="n"/>
      <c r="DL205" s="20" t="inlineStr">
        <is>
          <t>SOP 45-09 (SOP muss noch angepasst werden für VSS)</t>
        </is>
      </c>
      <c r="DM205" s="20" t="inlineStr">
        <is>
          <t>None</t>
        </is>
      </c>
      <c r="DN205" s="17" t="n"/>
      <c r="DO205" s="16" t="n"/>
      <c r="DP205" s="20" t="inlineStr">
        <is>
          <t>IC Organic Acids</t>
        </is>
      </c>
      <c r="DQ205" s="20" t="inlineStr">
        <is>
          <t>None</t>
        </is>
      </c>
      <c r="DR205" s="17" t="n"/>
      <c r="DS205" s="16" t="n"/>
      <c r="DT205" s="20" t="inlineStr">
        <is>
          <t>IC Organic Acids</t>
        </is>
      </c>
      <c r="DU205" s="20" t="inlineStr">
        <is>
          <t>None</t>
        </is>
      </c>
      <c r="DV205" s="17" t="n"/>
      <c r="DW205" s="16" t="n"/>
      <c r="DX205" s="20" t="inlineStr">
        <is>
          <t>IC Organic Acids</t>
        </is>
      </c>
      <c r="DY205" s="20" t="inlineStr">
        <is>
          <t>None</t>
        </is>
      </c>
      <c r="DZ205" s="17" t="n"/>
      <c r="EA205" s="16" t="n"/>
      <c r="EB205" s="20" t="inlineStr">
        <is>
          <t>IC Organic Acids</t>
        </is>
      </c>
      <c r="EC205" s="20" t="inlineStr">
        <is>
          <t>None</t>
        </is>
      </c>
      <c r="ED205" s="17" t="n"/>
      <c r="EE205" s="16" t="n"/>
      <c r="EF205" s="20" t="inlineStr">
        <is>
          <t>IC Organic Acids</t>
        </is>
      </c>
      <c r="EG205" s="20" t="inlineStr">
        <is>
          <t>None</t>
        </is>
      </c>
      <c r="EH205" s="17" t="n"/>
      <c r="EI205" s="16" t="n"/>
      <c r="EJ205" s="20" t="inlineStr">
        <is>
          <t>IC Organic Acids</t>
        </is>
      </c>
      <c r="EK205" s="20" t="inlineStr">
        <is>
          <t>None</t>
        </is>
      </c>
      <c r="EL205" s="17" t="n"/>
      <c r="EM205" s="16" t="n"/>
      <c r="EN205" s="20" t="inlineStr">
        <is>
          <t>IC Organic Acids</t>
        </is>
      </c>
      <c r="EO205" s="20" t="inlineStr">
        <is>
          <t>None</t>
        </is>
      </c>
      <c r="EP205" s="17" t="n"/>
      <c r="EQ205" s="16" t="n"/>
      <c r="ER205" s="20" t="inlineStr">
        <is>
          <t>IC Organic Acids</t>
        </is>
      </c>
      <c r="ES205" s="20" t="inlineStr">
        <is>
          <t>None</t>
        </is>
      </c>
      <c r="ET205" s="17" t="n"/>
      <c r="EU205" s="16" t="n"/>
      <c r="EV205" s="20" t="inlineStr">
        <is>
          <t>LC-MS</t>
        </is>
      </c>
      <c r="EW205" s="20" t="inlineStr">
        <is>
          <t>None</t>
        </is>
      </c>
      <c r="EX205" s="17" t="n"/>
      <c r="EY205" s="21" t="n"/>
      <c r="EZ205">
        <f>CONCATENATE(A205,B205)</f>
        <v/>
      </c>
      <c r="FA205">
        <f>CONCATENATE(SamplesX!A205,SamplesX!B205)</f>
        <v/>
      </c>
      <c r="FC205">
        <f>MATCH(EZ205,FA1:FA1008,0)</f>
        <v/>
      </c>
    </row>
    <row r="206">
      <c r="A206" s="16" t="inlineStr">
        <is>
          <t>BP</t>
        </is>
      </c>
      <c r="B206" s="17" t="inlineStr">
        <is>
          <t>25198</t>
        </is>
      </c>
      <c r="C206" s="10">
        <f>IF(ISNUMBER(FC206),INDIRECT("SamplesX!C"&amp;FC206),IF(ISNUMBER(FD206),INDIRECT("SamplesY!C"&amp;FD206),""))</f>
        <v/>
      </c>
      <c r="D206" s="12">
        <f>IF(ISNUMBER(FC206),INDIRECT("SamplesX!D"&amp;FC206),IF(ISNUMBER(FD206),INDIRECT("SamplesY!D"&amp;FD206),""))</f>
        <v/>
      </c>
      <c r="E206" s="12">
        <f>IF(ISNUMBER(FC206),INDIRECT("SamplesX!E"&amp;FC206),IF(ISNUMBER(FD206),INDIRECT("SamplesY!E"&amp;FD206),""))</f>
        <v/>
      </c>
      <c r="F206" s="11">
        <f>IF(ISNUMBER(FC206),INDIRECT("SamplesX!F"&amp;FC206),IF(ISNUMBER(FD206),INDIRECT("SamplesY!F"&amp;FD206),""))</f>
        <v/>
      </c>
      <c r="G206" s="18">
        <f>IF(ISNUMBER(FC206),INDIRECT("SamplesX!G"&amp;FC206),IF(ISNUMBER(FD206),INDIRECT("SamplesY!G"&amp;FD206),""))</f>
        <v/>
      </c>
      <c r="H206" s="19">
        <f>IF(ISNUMBER(FC206),INDIRECT("SamplesX!H"&amp;FC206),IF(ISNUMBER(FD206),INDIRECT("SamplesY!H"&amp;FD206),""))</f>
        <v/>
      </c>
      <c r="I206" s="16" t="n"/>
      <c r="J206" s="16" t="n"/>
      <c r="K206" s="16" t="n"/>
      <c r="L206" s="20" t="n"/>
      <c r="M206" s="20" t="inlineStr">
        <is>
          <t>None</t>
        </is>
      </c>
      <c r="N206" s="17" t="n"/>
      <c r="O206" s="16" t="n"/>
      <c r="P206" s="20" t="inlineStr">
        <is>
          <t>Shimadzu TOC-L</t>
        </is>
      </c>
      <c r="Q206" s="20" t="inlineStr">
        <is>
          <t>None</t>
        </is>
      </c>
      <c r="R206" s="17" t="n"/>
      <c r="S206" s="16" t="n"/>
      <c r="T206" s="20" t="inlineStr">
        <is>
          <t>Shimadzu TOC-L</t>
        </is>
      </c>
      <c r="U206" s="20" t="inlineStr">
        <is>
          <t>None</t>
        </is>
      </c>
      <c r="V206" s="17" t="n"/>
      <c r="W206" s="16" t="n"/>
      <c r="X206" s="20" t="n"/>
      <c r="Y206" s="20" t="inlineStr">
        <is>
          <t>None</t>
        </is>
      </c>
      <c r="Z206" s="17" t="n"/>
      <c r="AA206" s="16" t="n"/>
      <c r="AB206" s="20" t="n"/>
      <c r="AC206" s="20" t="inlineStr">
        <is>
          <t>None</t>
        </is>
      </c>
      <c r="AD206" s="17" t="n"/>
      <c r="AE206" s="16" t="n"/>
      <c r="AF206" s="20" t="inlineStr">
        <is>
          <t>IC Anionen</t>
        </is>
      </c>
      <c r="AG206" s="20" t="inlineStr">
        <is>
          <t>None</t>
        </is>
      </c>
      <c r="AH206" s="17" t="n"/>
      <c r="AI206" s="16" t="n"/>
      <c r="AJ206" s="20" t="n"/>
      <c r="AK206" s="20" t="inlineStr">
        <is>
          <t>None</t>
        </is>
      </c>
      <c r="AL206" s="17" t="n"/>
      <c r="AM206" s="16" t="n"/>
      <c r="AN206" s="20" t="inlineStr">
        <is>
          <t>IC Anionen</t>
        </is>
      </c>
      <c r="AO206" s="20" t="inlineStr">
        <is>
          <t>None</t>
        </is>
      </c>
      <c r="AP206" s="17" t="n"/>
      <c r="AQ206" s="16" t="n"/>
      <c r="AR206" s="20" t="n"/>
      <c r="AS206" s="20" t="inlineStr">
        <is>
          <t>None</t>
        </is>
      </c>
      <c r="AT206" s="17" t="n"/>
      <c r="AU206" s="16" t="inlineStr">
        <is>
          <t>&lt;0.13</t>
        </is>
      </c>
      <c r="AV206" s="20" t="inlineStr">
        <is>
          <t>IC Anionen</t>
        </is>
      </c>
      <c r="AW206" s="20" t="inlineStr">
        <is>
          <t>None</t>
        </is>
      </c>
      <c r="AX206" s="17" t="n"/>
      <c r="AY206" s="16" t="inlineStr">
        <is>
          <t>&lt;0.80</t>
        </is>
      </c>
      <c r="AZ206" s="20" t="inlineStr">
        <is>
          <t>IC Anionen</t>
        </is>
      </c>
      <c r="BA206" s="20" t="inlineStr">
        <is>
          <t>None</t>
        </is>
      </c>
      <c r="BB206" s="17" t="n"/>
      <c r="BC206" s="16" t="inlineStr">
        <is>
          <t>110</t>
        </is>
      </c>
      <c r="BD206" s="20" t="inlineStr">
        <is>
          <t>IC Kationen</t>
        </is>
      </c>
      <c r="BE206" s="20" t="inlineStr">
        <is>
          <t>None</t>
        </is>
      </c>
      <c r="BF206" s="17" t="n"/>
      <c r="BG206" s="16" t="inlineStr">
        <is>
          <t>51.9</t>
        </is>
      </c>
      <c r="BH206" s="20" t="inlineStr">
        <is>
          <t>IC Kationen</t>
        </is>
      </c>
      <c r="BI206" s="20" t="inlineStr">
        <is>
          <t>None</t>
        </is>
      </c>
      <c r="BJ206" s="17" t="n"/>
      <c r="BK206" s="16" t="inlineStr">
        <is>
          <t>14.8</t>
        </is>
      </c>
      <c r="BL206" s="20" t="inlineStr">
        <is>
          <t>IC Kationen</t>
        </is>
      </c>
      <c r="BM206" s="20" t="inlineStr">
        <is>
          <t>None</t>
        </is>
      </c>
      <c r="BN206" s="17" t="n"/>
      <c r="BO206" s="16" t="inlineStr">
        <is>
          <t>143</t>
        </is>
      </c>
      <c r="BP206" s="20" t="inlineStr">
        <is>
          <t>IC Kationen</t>
        </is>
      </c>
      <c r="BQ206" s="20" t="inlineStr">
        <is>
          <t>None</t>
        </is>
      </c>
      <c r="BR206" s="17" t="n"/>
      <c r="BS206" s="16" t="inlineStr">
        <is>
          <t>21.0</t>
        </is>
      </c>
      <c r="BT206" s="20" t="inlineStr">
        <is>
          <t>IC Kationen</t>
        </is>
      </c>
      <c r="BU206" s="20" t="inlineStr">
        <is>
          <t>None</t>
        </is>
      </c>
      <c r="BV206" s="17" t="n"/>
      <c r="BW206" s="16" t="n"/>
      <c r="BX206" s="20" t="n"/>
      <c r="BY206" s="20" t="inlineStr">
        <is>
          <t>None</t>
        </is>
      </c>
      <c r="BZ206" s="17" t="n"/>
      <c r="CA206" s="16" t="n"/>
      <c r="CB206" s="20" t="n"/>
      <c r="CC206" s="20" t="inlineStr">
        <is>
          <t>None</t>
        </is>
      </c>
      <c r="CD206" s="17" t="n"/>
      <c r="CE206" s="16" t="n"/>
      <c r="CF206" s="20" t="n"/>
      <c r="CG206" s="20" t="inlineStr">
        <is>
          <t>None</t>
        </is>
      </c>
      <c r="CH206" s="17" t="n"/>
      <c r="CI206" s="16" t="n"/>
      <c r="CJ206" s="20" t="n"/>
      <c r="CK206" s="20" t="inlineStr">
        <is>
          <t>None</t>
        </is>
      </c>
      <c r="CL206" s="17" t="n"/>
      <c r="CM206" s="16" t="n"/>
      <c r="CN206" s="20" t="inlineStr">
        <is>
          <t>SOP 45-34</t>
        </is>
      </c>
      <c r="CO206" s="20" t="inlineStr">
        <is>
          <t>None</t>
        </is>
      </c>
      <c r="CP206" s="17" t="n"/>
      <c r="CQ206" s="16" t="n"/>
      <c r="CR206" s="20" t="n"/>
      <c r="CS206" s="20" t="inlineStr">
        <is>
          <t>None</t>
        </is>
      </c>
      <c r="CT206" s="17" t="n"/>
      <c r="CU206" s="16" t="n"/>
      <c r="CV206" s="20" t="n"/>
      <c r="CW206" s="20" t="inlineStr">
        <is>
          <t>None</t>
        </is>
      </c>
      <c r="CX206" s="17" t="n"/>
      <c r="CY206" s="16" t="n"/>
      <c r="CZ206" s="20" t="inlineStr">
        <is>
          <t>WTW Multimeter 3430 with FDO 925</t>
        </is>
      </c>
      <c r="DA206" s="20" t="inlineStr">
        <is>
          <t>None</t>
        </is>
      </c>
      <c r="DB206" s="17" t="n"/>
      <c r="DC206" s="16" t="n"/>
      <c r="DD206" s="20" t="n"/>
      <c r="DE206" s="20" t="inlineStr">
        <is>
          <t>None</t>
        </is>
      </c>
      <c r="DF206" s="17" t="n"/>
      <c r="DG206" s="16" t="n"/>
      <c r="DH206" s="20" t="inlineStr">
        <is>
          <t>SOP 45-09</t>
        </is>
      </c>
      <c r="DI206" s="20" t="inlineStr">
        <is>
          <t>None</t>
        </is>
      </c>
      <c r="DJ206" s="17" t="n"/>
      <c r="DK206" s="16" t="n"/>
      <c r="DL206" s="20" t="inlineStr">
        <is>
          <t>SOP 45-09 (SOP muss noch angepasst werden für VSS)</t>
        </is>
      </c>
      <c r="DM206" s="20" t="inlineStr">
        <is>
          <t>None</t>
        </is>
      </c>
      <c r="DN206" s="17" t="n"/>
      <c r="DO206" s="16" t="n"/>
      <c r="DP206" s="20" t="inlineStr">
        <is>
          <t>IC Organic Acids</t>
        </is>
      </c>
      <c r="DQ206" s="20" t="inlineStr">
        <is>
          <t>None</t>
        </is>
      </c>
      <c r="DR206" s="17" t="n"/>
      <c r="DS206" s="16" t="n"/>
      <c r="DT206" s="20" t="inlineStr">
        <is>
          <t>IC Organic Acids</t>
        </is>
      </c>
      <c r="DU206" s="20" t="inlineStr">
        <is>
          <t>None</t>
        </is>
      </c>
      <c r="DV206" s="17" t="n"/>
      <c r="DW206" s="16" t="n"/>
      <c r="DX206" s="20" t="inlineStr">
        <is>
          <t>IC Organic Acids</t>
        </is>
      </c>
      <c r="DY206" s="20" t="inlineStr">
        <is>
          <t>None</t>
        </is>
      </c>
      <c r="DZ206" s="17" t="n"/>
      <c r="EA206" s="16" t="n"/>
      <c r="EB206" s="20" t="inlineStr">
        <is>
          <t>IC Organic Acids</t>
        </is>
      </c>
      <c r="EC206" s="20" t="inlineStr">
        <is>
          <t>None</t>
        </is>
      </c>
      <c r="ED206" s="17" t="n"/>
      <c r="EE206" s="16" t="n"/>
      <c r="EF206" s="20" t="inlineStr">
        <is>
          <t>IC Organic Acids</t>
        </is>
      </c>
      <c r="EG206" s="20" t="inlineStr">
        <is>
          <t>None</t>
        </is>
      </c>
      <c r="EH206" s="17" t="n"/>
      <c r="EI206" s="16" t="n"/>
      <c r="EJ206" s="20" t="inlineStr">
        <is>
          <t>IC Organic Acids</t>
        </is>
      </c>
      <c r="EK206" s="20" t="inlineStr">
        <is>
          <t>None</t>
        </is>
      </c>
      <c r="EL206" s="17" t="n"/>
      <c r="EM206" s="16" t="n"/>
      <c r="EN206" s="20" t="inlineStr">
        <is>
          <t>IC Organic Acids</t>
        </is>
      </c>
      <c r="EO206" s="20" t="inlineStr">
        <is>
          <t>None</t>
        </is>
      </c>
      <c r="EP206" s="17" t="n"/>
      <c r="EQ206" s="16" t="n"/>
      <c r="ER206" s="20" t="inlineStr">
        <is>
          <t>IC Organic Acids</t>
        </is>
      </c>
      <c r="ES206" s="20" t="inlineStr">
        <is>
          <t>None</t>
        </is>
      </c>
      <c r="ET206" s="17" t="n"/>
      <c r="EU206" s="16" t="n"/>
      <c r="EV206" s="20" t="inlineStr">
        <is>
          <t>LC-MS</t>
        </is>
      </c>
      <c r="EW206" s="20" t="inlineStr">
        <is>
          <t>None</t>
        </is>
      </c>
      <c r="EX206" s="17" t="n"/>
      <c r="EY206" s="21" t="n"/>
      <c r="EZ206">
        <f>CONCATENATE(A206,B206)</f>
        <v/>
      </c>
      <c r="FA206">
        <f>CONCATENATE(SamplesX!A206,SamplesX!B206)</f>
        <v/>
      </c>
      <c r="FC206">
        <f>MATCH(EZ206,FA1:FA1008,0)</f>
        <v/>
      </c>
    </row>
    <row r="207">
      <c r="A207" s="16" t="inlineStr">
        <is>
          <t>BP</t>
        </is>
      </c>
      <c r="B207" s="17" t="inlineStr">
        <is>
          <t>25199</t>
        </is>
      </c>
      <c r="C207" s="10">
        <f>IF(ISNUMBER(FC207),INDIRECT("SamplesX!C"&amp;FC207),IF(ISNUMBER(FD207),INDIRECT("SamplesY!C"&amp;FD207),""))</f>
        <v/>
      </c>
      <c r="D207" s="12">
        <f>IF(ISNUMBER(FC207),INDIRECT("SamplesX!D"&amp;FC207),IF(ISNUMBER(FD207),INDIRECT("SamplesY!D"&amp;FD207),""))</f>
        <v/>
      </c>
      <c r="E207" s="12">
        <f>IF(ISNUMBER(FC207),INDIRECT("SamplesX!E"&amp;FC207),IF(ISNUMBER(FD207),INDIRECT("SamplesY!E"&amp;FD207),""))</f>
        <v/>
      </c>
      <c r="F207" s="11">
        <f>IF(ISNUMBER(FC207),INDIRECT("SamplesX!F"&amp;FC207),IF(ISNUMBER(FD207),INDIRECT("SamplesY!F"&amp;FD207),""))</f>
        <v/>
      </c>
      <c r="G207" s="18">
        <f>IF(ISNUMBER(FC207),INDIRECT("SamplesX!G"&amp;FC207),IF(ISNUMBER(FD207),INDIRECT("SamplesY!G"&amp;FD207),""))</f>
        <v/>
      </c>
      <c r="H207" s="19">
        <f>IF(ISNUMBER(FC207),INDIRECT("SamplesX!H"&amp;FC207),IF(ISNUMBER(FD207),INDIRECT("SamplesY!H"&amp;FD207),""))</f>
        <v/>
      </c>
      <c r="I207" s="16" t="n"/>
      <c r="J207" s="16" t="n"/>
      <c r="K207" s="16" t="n"/>
      <c r="L207" s="20" t="n"/>
      <c r="M207" s="20" t="inlineStr">
        <is>
          <t>None</t>
        </is>
      </c>
      <c r="N207" s="17" t="n"/>
      <c r="O207" s="16" t="n"/>
      <c r="P207" s="20" t="inlineStr">
        <is>
          <t>Shimadzu TOC-L</t>
        </is>
      </c>
      <c r="Q207" s="20" t="inlineStr">
        <is>
          <t>None</t>
        </is>
      </c>
      <c r="R207" s="17" t="n"/>
      <c r="S207" s="16" t="n"/>
      <c r="T207" s="20" t="inlineStr">
        <is>
          <t>Shimadzu TOC-L</t>
        </is>
      </c>
      <c r="U207" s="20" t="inlineStr">
        <is>
          <t>None</t>
        </is>
      </c>
      <c r="V207" s="17" t="n"/>
      <c r="W207" s="16" t="n"/>
      <c r="X207" s="20" t="n"/>
      <c r="Y207" s="20" t="inlineStr">
        <is>
          <t>None</t>
        </is>
      </c>
      <c r="Z207" s="17" t="n"/>
      <c r="AA207" s="16" t="n"/>
      <c r="AB207" s="20" t="n"/>
      <c r="AC207" s="20" t="inlineStr">
        <is>
          <t>None</t>
        </is>
      </c>
      <c r="AD207" s="17" t="n"/>
      <c r="AE207" s="16" t="n"/>
      <c r="AF207" s="20" t="inlineStr">
        <is>
          <t>IC Anionen</t>
        </is>
      </c>
      <c r="AG207" s="20" t="inlineStr">
        <is>
          <t>None</t>
        </is>
      </c>
      <c r="AH207" s="17" t="n"/>
      <c r="AI207" s="16" t="n"/>
      <c r="AJ207" s="20" t="n"/>
      <c r="AK207" s="20" t="inlineStr">
        <is>
          <t>None</t>
        </is>
      </c>
      <c r="AL207" s="17" t="n"/>
      <c r="AM207" s="16" t="n"/>
      <c r="AN207" s="20" t="inlineStr">
        <is>
          <t>IC Anionen</t>
        </is>
      </c>
      <c r="AO207" s="20" t="inlineStr">
        <is>
          <t>None</t>
        </is>
      </c>
      <c r="AP207" s="17" t="n"/>
      <c r="AQ207" s="16" t="n"/>
      <c r="AR207" s="20" t="n"/>
      <c r="AS207" s="20" t="inlineStr">
        <is>
          <t>None</t>
        </is>
      </c>
      <c r="AT207" s="17" t="n"/>
      <c r="AU207" s="16" t="inlineStr">
        <is>
          <t>&lt;0.13</t>
        </is>
      </c>
      <c r="AV207" s="20" t="inlineStr">
        <is>
          <t>IC Anionen</t>
        </is>
      </c>
      <c r="AW207" s="20" t="inlineStr">
        <is>
          <t>None</t>
        </is>
      </c>
      <c r="AX207" s="17" t="n"/>
      <c r="AY207" s="16" t="inlineStr">
        <is>
          <t>&lt;0.80</t>
        </is>
      </c>
      <c r="AZ207" s="20" t="inlineStr">
        <is>
          <t>IC Anionen</t>
        </is>
      </c>
      <c r="BA207" s="20" t="inlineStr">
        <is>
          <t>None</t>
        </is>
      </c>
      <c r="BB207" s="17" t="n"/>
      <c r="BC207" s="16" t="inlineStr">
        <is>
          <t>120</t>
        </is>
      </c>
      <c r="BD207" s="20" t="inlineStr">
        <is>
          <t>IC Kationen</t>
        </is>
      </c>
      <c r="BE207" s="20" t="inlineStr">
        <is>
          <t>None</t>
        </is>
      </c>
      <c r="BF207" s="17" t="n"/>
      <c r="BG207" s="16" t="inlineStr">
        <is>
          <t>41.4</t>
        </is>
      </c>
      <c r="BH207" s="20" t="inlineStr">
        <is>
          <t>IC Kationen</t>
        </is>
      </c>
      <c r="BI207" s="20" t="inlineStr">
        <is>
          <t>None</t>
        </is>
      </c>
      <c r="BJ207" s="17" t="n"/>
      <c r="BK207" s="16" t="inlineStr">
        <is>
          <t>14.4</t>
        </is>
      </c>
      <c r="BL207" s="20" t="inlineStr">
        <is>
          <t>IC Kationen</t>
        </is>
      </c>
      <c r="BM207" s="20" t="inlineStr">
        <is>
          <t>None</t>
        </is>
      </c>
      <c r="BN207" s="17" t="n"/>
      <c r="BO207" s="16" t="inlineStr">
        <is>
          <t>116</t>
        </is>
      </c>
      <c r="BP207" s="20" t="inlineStr">
        <is>
          <t>IC Kationen</t>
        </is>
      </c>
      <c r="BQ207" s="20" t="inlineStr">
        <is>
          <t>None</t>
        </is>
      </c>
      <c r="BR207" s="17" t="n"/>
      <c r="BS207" s="16" t="inlineStr">
        <is>
          <t>22.4</t>
        </is>
      </c>
      <c r="BT207" s="20" t="inlineStr">
        <is>
          <t>IC Kationen</t>
        </is>
      </c>
      <c r="BU207" s="20" t="inlineStr">
        <is>
          <t>None</t>
        </is>
      </c>
      <c r="BV207" s="17" t="n"/>
      <c r="BW207" s="16" t="n"/>
      <c r="BX207" s="20" t="n"/>
      <c r="BY207" s="20" t="inlineStr">
        <is>
          <t>None</t>
        </is>
      </c>
      <c r="BZ207" s="17" t="n"/>
      <c r="CA207" s="16" t="n"/>
      <c r="CB207" s="20" t="n"/>
      <c r="CC207" s="20" t="inlineStr">
        <is>
          <t>None</t>
        </is>
      </c>
      <c r="CD207" s="17" t="n"/>
      <c r="CE207" s="16" t="n"/>
      <c r="CF207" s="20" t="n"/>
      <c r="CG207" s="20" t="inlineStr">
        <is>
          <t>None</t>
        </is>
      </c>
      <c r="CH207" s="17" t="n"/>
      <c r="CI207" s="16" t="n"/>
      <c r="CJ207" s="20" t="n"/>
      <c r="CK207" s="20" t="inlineStr">
        <is>
          <t>None</t>
        </is>
      </c>
      <c r="CL207" s="17" t="n"/>
      <c r="CM207" s="16" t="n"/>
      <c r="CN207" s="20" t="inlineStr">
        <is>
          <t>SOP 45-34</t>
        </is>
      </c>
      <c r="CO207" s="20" t="inlineStr">
        <is>
          <t>None</t>
        </is>
      </c>
      <c r="CP207" s="17" t="n"/>
      <c r="CQ207" s="16" t="n"/>
      <c r="CR207" s="20" t="n"/>
      <c r="CS207" s="20" t="inlineStr">
        <is>
          <t>None</t>
        </is>
      </c>
      <c r="CT207" s="17" t="n"/>
      <c r="CU207" s="16" t="n"/>
      <c r="CV207" s="20" t="n"/>
      <c r="CW207" s="20" t="inlineStr">
        <is>
          <t>None</t>
        </is>
      </c>
      <c r="CX207" s="17" t="n"/>
      <c r="CY207" s="16" t="n"/>
      <c r="CZ207" s="20" t="inlineStr">
        <is>
          <t>WTW Multimeter 3430 with FDO 925</t>
        </is>
      </c>
      <c r="DA207" s="20" t="inlineStr">
        <is>
          <t>None</t>
        </is>
      </c>
      <c r="DB207" s="17" t="n"/>
      <c r="DC207" s="16" t="n"/>
      <c r="DD207" s="20" t="n"/>
      <c r="DE207" s="20" t="inlineStr">
        <is>
          <t>None</t>
        </is>
      </c>
      <c r="DF207" s="17" t="n"/>
      <c r="DG207" s="16" t="n"/>
      <c r="DH207" s="20" t="inlineStr">
        <is>
          <t>SOP 45-09</t>
        </is>
      </c>
      <c r="DI207" s="20" t="inlineStr">
        <is>
          <t>None</t>
        </is>
      </c>
      <c r="DJ207" s="17" t="n"/>
      <c r="DK207" s="16" t="n"/>
      <c r="DL207" s="20" t="inlineStr">
        <is>
          <t>SOP 45-09 (SOP muss noch angepasst werden für VSS)</t>
        </is>
      </c>
      <c r="DM207" s="20" t="inlineStr">
        <is>
          <t>None</t>
        </is>
      </c>
      <c r="DN207" s="17" t="n"/>
      <c r="DO207" s="16" t="n"/>
      <c r="DP207" s="20" t="inlineStr">
        <is>
          <t>IC Organic Acids</t>
        </is>
      </c>
      <c r="DQ207" s="20" t="inlineStr">
        <is>
          <t>None</t>
        </is>
      </c>
      <c r="DR207" s="17" t="n"/>
      <c r="DS207" s="16" t="n"/>
      <c r="DT207" s="20" t="inlineStr">
        <is>
          <t>IC Organic Acids</t>
        </is>
      </c>
      <c r="DU207" s="20" t="inlineStr">
        <is>
          <t>None</t>
        </is>
      </c>
      <c r="DV207" s="17" t="n"/>
      <c r="DW207" s="16" t="n"/>
      <c r="DX207" s="20" t="inlineStr">
        <is>
          <t>IC Organic Acids</t>
        </is>
      </c>
      <c r="DY207" s="20" t="inlineStr">
        <is>
          <t>None</t>
        </is>
      </c>
      <c r="DZ207" s="17" t="n"/>
      <c r="EA207" s="16" t="n"/>
      <c r="EB207" s="20" t="inlineStr">
        <is>
          <t>IC Organic Acids</t>
        </is>
      </c>
      <c r="EC207" s="20" t="inlineStr">
        <is>
          <t>None</t>
        </is>
      </c>
      <c r="ED207" s="17" t="n"/>
      <c r="EE207" s="16" t="n"/>
      <c r="EF207" s="20" t="inlineStr">
        <is>
          <t>IC Organic Acids</t>
        </is>
      </c>
      <c r="EG207" s="20" t="inlineStr">
        <is>
          <t>None</t>
        </is>
      </c>
      <c r="EH207" s="17" t="n"/>
      <c r="EI207" s="16" t="n"/>
      <c r="EJ207" s="20" t="inlineStr">
        <is>
          <t>IC Organic Acids</t>
        </is>
      </c>
      <c r="EK207" s="20" t="inlineStr">
        <is>
          <t>None</t>
        </is>
      </c>
      <c r="EL207" s="17" t="n"/>
      <c r="EM207" s="16" t="n"/>
      <c r="EN207" s="20" t="inlineStr">
        <is>
          <t>IC Organic Acids</t>
        </is>
      </c>
      <c r="EO207" s="20" t="inlineStr">
        <is>
          <t>None</t>
        </is>
      </c>
      <c r="EP207" s="17" t="n"/>
      <c r="EQ207" s="16" t="n"/>
      <c r="ER207" s="20" t="inlineStr">
        <is>
          <t>IC Organic Acids</t>
        </is>
      </c>
      <c r="ES207" s="20" t="inlineStr">
        <is>
          <t>None</t>
        </is>
      </c>
      <c r="ET207" s="17" t="n"/>
      <c r="EU207" s="16" t="n"/>
      <c r="EV207" s="20" t="inlineStr">
        <is>
          <t>LC-MS</t>
        </is>
      </c>
      <c r="EW207" s="20" t="inlineStr">
        <is>
          <t>None</t>
        </is>
      </c>
      <c r="EX207" s="17" t="n"/>
      <c r="EY207" s="21" t="n"/>
      <c r="EZ207">
        <f>CONCATENATE(A207,B207)</f>
        <v/>
      </c>
      <c r="FA207">
        <f>CONCATENATE(SamplesX!A207,SamplesX!B207)</f>
        <v/>
      </c>
      <c r="FC207">
        <f>MATCH(EZ207,FA1:FA1008,0)</f>
        <v/>
      </c>
    </row>
    <row r="208">
      <c r="A208" s="16" t="inlineStr">
        <is>
          <t>BP</t>
        </is>
      </c>
      <c r="B208" s="17" t="inlineStr">
        <is>
          <t>25200</t>
        </is>
      </c>
      <c r="C208" s="10">
        <f>IF(ISNUMBER(FC208),INDIRECT("SamplesX!C"&amp;FC208),IF(ISNUMBER(FD208),INDIRECT("SamplesY!C"&amp;FD208),""))</f>
        <v/>
      </c>
      <c r="D208" s="12">
        <f>IF(ISNUMBER(FC208),INDIRECT("SamplesX!D"&amp;FC208),IF(ISNUMBER(FD208),INDIRECT("SamplesY!D"&amp;FD208),""))</f>
        <v/>
      </c>
      <c r="E208" s="12">
        <f>IF(ISNUMBER(FC208),INDIRECT("SamplesX!E"&amp;FC208),IF(ISNUMBER(FD208),INDIRECT("SamplesY!E"&amp;FD208),""))</f>
        <v/>
      </c>
      <c r="F208" s="11">
        <f>IF(ISNUMBER(FC208),INDIRECT("SamplesX!F"&amp;FC208),IF(ISNUMBER(FD208),INDIRECT("SamplesY!F"&amp;FD208),""))</f>
        <v/>
      </c>
      <c r="G208" s="18">
        <f>IF(ISNUMBER(FC208),INDIRECT("SamplesX!G"&amp;FC208),IF(ISNUMBER(FD208),INDIRECT("SamplesY!G"&amp;FD208),""))</f>
        <v/>
      </c>
      <c r="H208" s="19">
        <f>IF(ISNUMBER(FC208),INDIRECT("SamplesX!H"&amp;FC208),IF(ISNUMBER(FD208),INDIRECT("SamplesY!H"&amp;FD208),""))</f>
        <v/>
      </c>
      <c r="I208" s="16" t="n"/>
      <c r="J208" s="16" t="n"/>
      <c r="K208" s="16" t="n"/>
      <c r="L208" s="20" t="n"/>
      <c r="M208" s="20" t="inlineStr">
        <is>
          <t>None</t>
        </is>
      </c>
      <c r="N208" s="17" t="n"/>
      <c r="O208" s="16" t="n"/>
      <c r="P208" s="20" t="inlineStr">
        <is>
          <t>Shimadzu TOC-L</t>
        </is>
      </c>
      <c r="Q208" s="20" t="inlineStr">
        <is>
          <t>None</t>
        </is>
      </c>
      <c r="R208" s="17" t="n"/>
      <c r="S208" s="16" t="n"/>
      <c r="T208" s="20" t="inlineStr">
        <is>
          <t>Shimadzu TOC-L</t>
        </is>
      </c>
      <c r="U208" s="20" t="inlineStr">
        <is>
          <t>None</t>
        </is>
      </c>
      <c r="V208" s="17" t="n"/>
      <c r="W208" s="16" t="n"/>
      <c r="X208" s="20" t="n"/>
      <c r="Y208" s="20" t="inlineStr">
        <is>
          <t>None</t>
        </is>
      </c>
      <c r="Z208" s="17" t="n"/>
      <c r="AA208" s="16" t="n"/>
      <c r="AB208" s="20" t="n"/>
      <c r="AC208" s="20" t="inlineStr">
        <is>
          <t>None</t>
        </is>
      </c>
      <c r="AD208" s="17" t="n"/>
      <c r="AE208" s="16" t="n"/>
      <c r="AF208" s="20" t="inlineStr">
        <is>
          <t>IC Anionen</t>
        </is>
      </c>
      <c r="AG208" s="20" t="inlineStr">
        <is>
          <t>None</t>
        </is>
      </c>
      <c r="AH208" s="17" t="n"/>
      <c r="AI208" s="16" t="n"/>
      <c r="AJ208" s="20" t="n"/>
      <c r="AK208" s="20" t="inlineStr">
        <is>
          <t>None</t>
        </is>
      </c>
      <c r="AL208" s="17" t="n"/>
      <c r="AM208" s="16" t="n"/>
      <c r="AN208" s="20" t="inlineStr">
        <is>
          <t>IC Anionen</t>
        </is>
      </c>
      <c r="AO208" s="20" t="inlineStr">
        <is>
          <t>None</t>
        </is>
      </c>
      <c r="AP208" s="17" t="n"/>
      <c r="AQ208" s="16" t="n"/>
      <c r="AR208" s="20" t="n"/>
      <c r="AS208" s="20" t="inlineStr">
        <is>
          <t>None</t>
        </is>
      </c>
      <c r="AT208" s="17" t="n"/>
      <c r="AU208" s="16" t="inlineStr">
        <is>
          <t>2.99</t>
        </is>
      </c>
      <c r="AV208" s="20" t="inlineStr">
        <is>
          <t>IC Anionen</t>
        </is>
      </c>
      <c r="AW208" s="20" t="inlineStr">
        <is>
          <t>None</t>
        </is>
      </c>
      <c r="AX208" s="17" t="n"/>
      <c r="AY208" s="16" t="inlineStr">
        <is>
          <t>3.77</t>
        </is>
      </c>
      <c r="AZ208" s="20" t="inlineStr">
        <is>
          <t>IC Anionen</t>
        </is>
      </c>
      <c r="BA208" s="20" t="inlineStr">
        <is>
          <t>None</t>
        </is>
      </c>
      <c r="BB208" s="17" t="n"/>
      <c r="BC208" s="16" t="inlineStr">
        <is>
          <t>116</t>
        </is>
      </c>
      <c r="BD208" s="20" t="inlineStr">
        <is>
          <t>IC Kationen</t>
        </is>
      </c>
      <c r="BE208" s="20" t="inlineStr">
        <is>
          <t>None</t>
        </is>
      </c>
      <c r="BF208" s="17" t="n"/>
      <c r="BG208" s="16" t="inlineStr">
        <is>
          <t>34.2</t>
        </is>
      </c>
      <c r="BH208" s="20" t="inlineStr">
        <is>
          <t>IC Kationen</t>
        </is>
      </c>
      <c r="BI208" s="20" t="inlineStr">
        <is>
          <t>None</t>
        </is>
      </c>
      <c r="BJ208" s="17" t="n"/>
      <c r="BK208" s="16" t="inlineStr">
        <is>
          <t>15.0</t>
        </is>
      </c>
      <c r="BL208" s="20" t="inlineStr">
        <is>
          <t>IC Kationen</t>
        </is>
      </c>
      <c r="BM208" s="20" t="inlineStr">
        <is>
          <t>None</t>
        </is>
      </c>
      <c r="BN208" s="17" t="n"/>
      <c r="BO208" s="16" t="inlineStr">
        <is>
          <t>140</t>
        </is>
      </c>
      <c r="BP208" s="20" t="inlineStr">
        <is>
          <t>IC Kationen</t>
        </is>
      </c>
      <c r="BQ208" s="20" t="inlineStr">
        <is>
          <t>None</t>
        </is>
      </c>
      <c r="BR208" s="17" t="n"/>
      <c r="BS208" s="16" t="inlineStr">
        <is>
          <t>21.8</t>
        </is>
      </c>
      <c r="BT208" s="20" t="inlineStr">
        <is>
          <t>IC Kationen</t>
        </is>
      </c>
      <c r="BU208" s="20" t="inlineStr">
        <is>
          <t>None</t>
        </is>
      </c>
      <c r="BV208" s="17" t="n"/>
      <c r="BW208" s="16" t="n"/>
      <c r="BX208" s="20" t="n"/>
      <c r="BY208" s="20" t="inlineStr">
        <is>
          <t>None</t>
        </is>
      </c>
      <c r="BZ208" s="17" t="n"/>
      <c r="CA208" s="16" t="n"/>
      <c r="CB208" s="20" t="n"/>
      <c r="CC208" s="20" t="inlineStr">
        <is>
          <t>None</t>
        </is>
      </c>
      <c r="CD208" s="17" t="n"/>
      <c r="CE208" s="16" t="n"/>
      <c r="CF208" s="20" t="n"/>
      <c r="CG208" s="20" t="inlineStr">
        <is>
          <t>None</t>
        </is>
      </c>
      <c r="CH208" s="17" t="n"/>
      <c r="CI208" s="16" t="n"/>
      <c r="CJ208" s="20" t="n"/>
      <c r="CK208" s="20" t="inlineStr">
        <is>
          <t>None</t>
        </is>
      </c>
      <c r="CL208" s="17" t="n"/>
      <c r="CM208" s="16" t="n"/>
      <c r="CN208" s="20" t="inlineStr">
        <is>
          <t>SOP 45-34</t>
        </is>
      </c>
      <c r="CO208" s="20" t="inlineStr">
        <is>
          <t>None</t>
        </is>
      </c>
      <c r="CP208" s="17" t="n"/>
      <c r="CQ208" s="16" t="n"/>
      <c r="CR208" s="20" t="n"/>
      <c r="CS208" s="20" t="inlineStr">
        <is>
          <t>None</t>
        </is>
      </c>
      <c r="CT208" s="17" t="n"/>
      <c r="CU208" s="16" t="n"/>
      <c r="CV208" s="20" t="n"/>
      <c r="CW208" s="20" t="inlineStr">
        <is>
          <t>None</t>
        </is>
      </c>
      <c r="CX208" s="17" t="n"/>
      <c r="CY208" s="16" t="n"/>
      <c r="CZ208" s="20" t="inlineStr">
        <is>
          <t>WTW Multimeter 3430 with FDO 925</t>
        </is>
      </c>
      <c r="DA208" s="20" t="inlineStr">
        <is>
          <t>None</t>
        </is>
      </c>
      <c r="DB208" s="17" t="n"/>
      <c r="DC208" s="16" t="n"/>
      <c r="DD208" s="20" t="n"/>
      <c r="DE208" s="20" t="inlineStr">
        <is>
          <t>None</t>
        </is>
      </c>
      <c r="DF208" s="17" t="n"/>
      <c r="DG208" s="16" t="n"/>
      <c r="DH208" s="20" t="inlineStr">
        <is>
          <t>SOP 45-09</t>
        </is>
      </c>
      <c r="DI208" s="20" t="inlineStr">
        <is>
          <t>None</t>
        </is>
      </c>
      <c r="DJ208" s="17" t="n"/>
      <c r="DK208" s="16" t="n"/>
      <c r="DL208" s="20" t="inlineStr">
        <is>
          <t>SOP 45-09 (SOP muss noch angepasst werden für VSS)</t>
        </is>
      </c>
      <c r="DM208" s="20" t="inlineStr">
        <is>
          <t>None</t>
        </is>
      </c>
      <c r="DN208" s="17" t="n"/>
      <c r="DO208" s="16" t="n"/>
      <c r="DP208" s="20" t="inlineStr">
        <is>
          <t>IC Organic Acids</t>
        </is>
      </c>
      <c r="DQ208" s="20" t="inlineStr">
        <is>
          <t>None</t>
        </is>
      </c>
      <c r="DR208" s="17" t="n"/>
      <c r="DS208" s="16" t="n"/>
      <c r="DT208" s="20" t="inlineStr">
        <is>
          <t>IC Organic Acids</t>
        </is>
      </c>
      <c r="DU208" s="20" t="inlineStr">
        <is>
          <t>None</t>
        </is>
      </c>
      <c r="DV208" s="17" t="n"/>
      <c r="DW208" s="16" t="n"/>
      <c r="DX208" s="20" t="inlineStr">
        <is>
          <t>IC Organic Acids</t>
        </is>
      </c>
      <c r="DY208" s="20" t="inlineStr">
        <is>
          <t>None</t>
        </is>
      </c>
      <c r="DZ208" s="17" t="n"/>
      <c r="EA208" s="16" t="n"/>
      <c r="EB208" s="20" t="inlineStr">
        <is>
          <t>IC Organic Acids</t>
        </is>
      </c>
      <c r="EC208" s="20" t="inlineStr">
        <is>
          <t>None</t>
        </is>
      </c>
      <c r="ED208" s="17" t="n"/>
      <c r="EE208" s="16" t="n"/>
      <c r="EF208" s="20" t="inlineStr">
        <is>
          <t>IC Organic Acids</t>
        </is>
      </c>
      <c r="EG208" s="20" t="inlineStr">
        <is>
          <t>None</t>
        </is>
      </c>
      <c r="EH208" s="17" t="n"/>
      <c r="EI208" s="16" t="n"/>
      <c r="EJ208" s="20" t="inlineStr">
        <is>
          <t>IC Organic Acids</t>
        </is>
      </c>
      <c r="EK208" s="20" t="inlineStr">
        <is>
          <t>None</t>
        </is>
      </c>
      <c r="EL208" s="17" t="n"/>
      <c r="EM208" s="16" t="n"/>
      <c r="EN208" s="20" t="inlineStr">
        <is>
          <t>IC Organic Acids</t>
        </is>
      </c>
      <c r="EO208" s="20" t="inlineStr">
        <is>
          <t>None</t>
        </is>
      </c>
      <c r="EP208" s="17" t="n"/>
      <c r="EQ208" s="16" t="n"/>
      <c r="ER208" s="20" t="inlineStr">
        <is>
          <t>IC Organic Acids</t>
        </is>
      </c>
      <c r="ES208" s="20" t="inlineStr">
        <is>
          <t>None</t>
        </is>
      </c>
      <c r="ET208" s="17" t="n"/>
      <c r="EU208" s="16" t="n"/>
      <c r="EV208" s="20" t="inlineStr">
        <is>
          <t>LC-MS</t>
        </is>
      </c>
      <c r="EW208" s="20" t="inlineStr">
        <is>
          <t>None</t>
        </is>
      </c>
      <c r="EX208" s="17" t="n"/>
      <c r="EY208" s="21" t="n"/>
      <c r="EZ208">
        <f>CONCATENATE(A208,B208)</f>
        <v/>
      </c>
      <c r="FA208">
        <f>CONCATENATE(SamplesX!A208,SamplesX!B208)</f>
        <v/>
      </c>
      <c r="FC208">
        <f>MATCH(EZ208,FA1:FA1008,0)</f>
        <v/>
      </c>
    </row>
    <row r="209">
      <c r="A209" s="16" t="inlineStr">
        <is>
          <t>BP</t>
        </is>
      </c>
      <c r="B209" s="17" t="inlineStr">
        <is>
          <t>25201</t>
        </is>
      </c>
      <c r="C209" s="10">
        <f>IF(ISNUMBER(FC209),INDIRECT("SamplesX!C"&amp;FC209),IF(ISNUMBER(FD209),INDIRECT("SamplesY!C"&amp;FD209),""))</f>
        <v/>
      </c>
      <c r="D209" s="12">
        <f>IF(ISNUMBER(FC209),INDIRECT("SamplesX!D"&amp;FC209),IF(ISNUMBER(FD209),INDIRECT("SamplesY!D"&amp;FD209),""))</f>
        <v/>
      </c>
      <c r="E209" s="12">
        <f>IF(ISNUMBER(FC209),INDIRECT("SamplesX!E"&amp;FC209),IF(ISNUMBER(FD209),INDIRECT("SamplesY!E"&amp;FD209),""))</f>
        <v/>
      </c>
      <c r="F209" s="11">
        <f>IF(ISNUMBER(FC209),INDIRECT("SamplesX!F"&amp;FC209),IF(ISNUMBER(FD209),INDIRECT("SamplesY!F"&amp;FD209),""))</f>
        <v/>
      </c>
      <c r="G209" s="18">
        <f>IF(ISNUMBER(FC209),INDIRECT("SamplesX!G"&amp;FC209),IF(ISNUMBER(FD209),INDIRECT("SamplesY!G"&amp;FD209),""))</f>
        <v/>
      </c>
      <c r="H209" s="19">
        <f>IF(ISNUMBER(FC209),INDIRECT("SamplesX!H"&amp;FC209),IF(ISNUMBER(FD209),INDIRECT("SamplesY!H"&amp;FD209),""))</f>
        <v/>
      </c>
      <c r="I209" s="16" t="n"/>
      <c r="J209" s="16" t="n"/>
      <c r="K209" s="16" t="n"/>
      <c r="L209" s="20" t="n"/>
      <c r="M209" s="20" t="inlineStr">
        <is>
          <t>None</t>
        </is>
      </c>
      <c r="N209" s="17" t="n"/>
      <c r="O209" s="16" t="n"/>
      <c r="P209" s="20" t="inlineStr">
        <is>
          <t>Shimadzu TOC-L</t>
        </is>
      </c>
      <c r="Q209" s="20" t="inlineStr">
        <is>
          <t>None</t>
        </is>
      </c>
      <c r="R209" s="17" t="n"/>
      <c r="S209" s="16" t="n"/>
      <c r="T209" s="20" t="inlineStr">
        <is>
          <t>Shimadzu TOC-L</t>
        </is>
      </c>
      <c r="U209" s="20" t="inlineStr">
        <is>
          <t>None</t>
        </is>
      </c>
      <c r="V209" s="17" t="n"/>
      <c r="W209" s="16" t="n"/>
      <c r="X209" s="20" t="n"/>
      <c r="Y209" s="20" t="inlineStr">
        <is>
          <t>None</t>
        </is>
      </c>
      <c r="Z209" s="17" t="n"/>
      <c r="AA209" s="16" t="n"/>
      <c r="AB209" s="20" t="n"/>
      <c r="AC209" s="20" t="inlineStr">
        <is>
          <t>None</t>
        </is>
      </c>
      <c r="AD209" s="17" t="n"/>
      <c r="AE209" s="16" t="n"/>
      <c r="AF209" s="20" t="inlineStr">
        <is>
          <t>IC Anionen</t>
        </is>
      </c>
      <c r="AG209" s="20" t="inlineStr">
        <is>
          <t>None</t>
        </is>
      </c>
      <c r="AH209" s="17" t="n"/>
      <c r="AI209" s="16" t="n"/>
      <c r="AJ209" s="20" t="n"/>
      <c r="AK209" s="20" t="inlineStr">
        <is>
          <t>None</t>
        </is>
      </c>
      <c r="AL209" s="17" t="n"/>
      <c r="AM209" s="16" t="n"/>
      <c r="AN209" s="20" t="inlineStr">
        <is>
          <t>IC Anionen</t>
        </is>
      </c>
      <c r="AO209" s="20" t="inlineStr">
        <is>
          <t>None</t>
        </is>
      </c>
      <c r="AP209" s="17" t="n"/>
      <c r="AQ209" s="16" t="n"/>
      <c r="AR209" s="20" t="n"/>
      <c r="AS209" s="20" t="inlineStr">
        <is>
          <t>None</t>
        </is>
      </c>
      <c r="AT209" s="17" t="n"/>
      <c r="AU209" s="16" t="inlineStr">
        <is>
          <t>6.71</t>
        </is>
      </c>
      <c r="AV209" s="20" t="inlineStr">
        <is>
          <t>IC Anionen</t>
        </is>
      </c>
      <c r="AW209" s="20" t="inlineStr">
        <is>
          <t>None</t>
        </is>
      </c>
      <c r="AX209" s="17" t="n"/>
      <c r="AY209" s="16" t="inlineStr">
        <is>
          <t>1.14</t>
        </is>
      </c>
      <c r="AZ209" s="20" t="inlineStr">
        <is>
          <t>IC Anionen</t>
        </is>
      </c>
      <c r="BA209" s="20" t="inlineStr">
        <is>
          <t>None</t>
        </is>
      </c>
      <c r="BB209" s="17" t="n"/>
      <c r="BC209" s="16" t="inlineStr">
        <is>
          <t>134</t>
        </is>
      </c>
      <c r="BD209" s="20" t="inlineStr">
        <is>
          <t>IC Kationen</t>
        </is>
      </c>
      <c r="BE209" s="20" t="inlineStr">
        <is>
          <t>None</t>
        </is>
      </c>
      <c r="BF209" s="17" t="n"/>
      <c r="BG209" s="16" t="inlineStr">
        <is>
          <t>39.5</t>
        </is>
      </c>
      <c r="BH209" s="20" t="inlineStr">
        <is>
          <t>IC Kationen</t>
        </is>
      </c>
      <c r="BI209" s="20" t="inlineStr">
        <is>
          <t>None</t>
        </is>
      </c>
      <c r="BJ209" s="17" t="n"/>
      <c r="BK209" s="16" t="inlineStr">
        <is>
          <t>17.6</t>
        </is>
      </c>
      <c r="BL209" s="20" t="inlineStr">
        <is>
          <t>IC Kationen</t>
        </is>
      </c>
      <c r="BM209" s="20" t="inlineStr">
        <is>
          <t>None</t>
        </is>
      </c>
      <c r="BN209" s="17" t="n"/>
      <c r="BO209" s="16" t="inlineStr">
        <is>
          <t>220</t>
        </is>
      </c>
      <c r="BP209" s="20" t="inlineStr">
        <is>
          <t>IC Kationen</t>
        </is>
      </c>
      <c r="BQ209" s="20" t="inlineStr">
        <is>
          <t>None</t>
        </is>
      </c>
      <c r="BR209" s="17" t="n"/>
      <c r="BS209" s="16" t="inlineStr">
        <is>
          <t>29.0</t>
        </is>
      </c>
      <c r="BT209" s="20" t="inlineStr">
        <is>
          <t>IC Kationen</t>
        </is>
      </c>
      <c r="BU209" s="20" t="inlineStr">
        <is>
          <t>None</t>
        </is>
      </c>
      <c r="BV209" s="17" t="n"/>
      <c r="BW209" s="16" t="n"/>
      <c r="BX209" s="20" t="n"/>
      <c r="BY209" s="20" t="inlineStr">
        <is>
          <t>None</t>
        </is>
      </c>
      <c r="BZ209" s="17" t="n"/>
      <c r="CA209" s="16" t="n"/>
      <c r="CB209" s="20" t="n"/>
      <c r="CC209" s="20" t="inlineStr">
        <is>
          <t>None</t>
        </is>
      </c>
      <c r="CD209" s="17" t="n"/>
      <c r="CE209" s="16" t="n"/>
      <c r="CF209" s="20" t="n"/>
      <c r="CG209" s="20" t="inlineStr">
        <is>
          <t>None</t>
        </is>
      </c>
      <c r="CH209" s="17" t="n"/>
      <c r="CI209" s="16" t="n"/>
      <c r="CJ209" s="20" t="n"/>
      <c r="CK209" s="20" t="inlineStr">
        <is>
          <t>None</t>
        </is>
      </c>
      <c r="CL209" s="17" t="n"/>
      <c r="CM209" s="16" t="n"/>
      <c r="CN209" s="20" t="inlineStr">
        <is>
          <t>SOP 45-34</t>
        </is>
      </c>
      <c r="CO209" s="20" t="inlineStr">
        <is>
          <t>None</t>
        </is>
      </c>
      <c r="CP209" s="17" t="n"/>
      <c r="CQ209" s="16" t="n"/>
      <c r="CR209" s="20" t="n"/>
      <c r="CS209" s="20" t="inlineStr">
        <is>
          <t>None</t>
        </is>
      </c>
      <c r="CT209" s="17" t="n"/>
      <c r="CU209" s="16" t="n"/>
      <c r="CV209" s="20" t="n"/>
      <c r="CW209" s="20" t="inlineStr">
        <is>
          <t>None</t>
        </is>
      </c>
      <c r="CX209" s="17" t="n"/>
      <c r="CY209" s="16" t="n"/>
      <c r="CZ209" s="20" t="inlineStr">
        <is>
          <t>WTW Multimeter 3430 with FDO 925</t>
        </is>
      </c>
      <c r="DA209" s="20" t="inlineStr">
        <is>
          <t>None</t>
        </is>
      </c>
      <c r="DB209" s="17" t="n"/>
      <c r="DC209" s="16" t="n"/>
      <c r="DD209" s="20" t="n"/>
      <c r="DE209" s="20" t="inlineStr">
        <is>
          <t>None</t>
        </is>
      </c>
      <c r="DF209" s="17" t="n"/>
      <c r="DG209" s="16" t="n"/>
      <c r="DH209" s="20" t="inlineStr">
        <is>
          <t>SOP 45-09</t>
        </is>
      </c>
      <c r="DI209" s="20" t="inlineStr">
        <is>
          <t>None</t>
        </is>
      </c>
      <c r="DJ209" s="17" t="n"/>
      <c r="DK209" s="16" t="n"/>
      <c r="DL209" s="20" t="inlineStr">
        <is>
          <t>SOP 45-09 (SOP muss noch angepasst werden für VSS)</t>
        </is>
      </c>
      <c r="DM209" s="20" t="inlineStr">
        <is>
          <t>None</t>
        </is>
      </c>
      <c r="DN209" s="17" t="n"/>
      <c r="DO209" s="16" t="n"/>
      <c r="DP209" s="20" t="inlineStr">
        <is>
          <t>IC Organic Acids</t>
        </is>
      </c>
      <c r="DQ209" s="20" t="inlineStr">
        <is>
          <t>None</t>
        </is>
      </c>
      <c r="DR209" s="17" t="n"/>
      <c r="DS209" s="16" t="n"/>
      <c r="DT209" s="20" t="inlineStr">
        <is>
          <t>IC Organic Acids</t>
        </is>
      </c>
      <c r="DU209" s="20" t="inlineStr">
        <is>
          <t>None</t>
        </is>
      </c>
      <c r="DV209" s="17" t="n"/>
      <c r="DW209" s="16" t="n"/>
      <c r="DX209" s="20" t="inlineStr">
        <is>
          <t>IC Organic Acids</t>
        </is>
      </c>
      <c r="DY209" s="20" t="inlineStr">
        <is>
          <t>None</t>
        </is>
      </c>
      <c r="DZ209" s="17" t="n"/>
      <c r="EA209" s="16" t="n"/>
      <c r="EB209" s="20" t="inlineStr">
        <is>
          <t>IC Organic Acids</t>
        </is>
      </c>
      <c r="EC209" s="20" t="inlineStr">
        <is>
          <t>None</t>
        </is>
      </c>
      <c r="ED209" s="17" t="n"/>
      <c r="EE209" s="16" t="n"/>
      <c r="EF209" s="20" t="inlineStr">
        <is>
          <t>IC Organic Acids</t>
        </is>
      </c>
      <c r="EG209" s="20" t="inlineStr">
        <is>
          <t>None</t>
        </is>
      </c>
      <c r="EH209" s="17" t="n"/>
      <c r="EI209" s="16" t="n"/>
      <c r="EJ209" s="20" t="inlineStr">
        <is>
          <t>IC Organic Acids</t>
        </is>
      </c>
      <c r="EK209" s="20" t="inlineStr">
        <is>
          <t>None</t>
        </is>
      </c>
      <c r="EL209" s="17" t="n"/>
      <c r="EM209" s="16" t="n"/>
      <c r="EN209" s="20" t="inlineStr">
        <is>
          <t>IC Organic Acids</t>
        </is>
      </c>
      <c r="EO209" s="20" t="inlineStr">
        <is>
          <t>None</t>
        </is>
      </c>
      <c r="EP209" s="17" t="n"/>
      <c r="EQ209" s="16" t="n"/>
      <c r="ER209" s="20" t="inlineStr">
        <is>
          <t>IC Organic Acids</t>
        </is>
      </c>
      <c r="ES209" s="20" t="inlineStr">
        <is>
          <t>None</t>
        </is>
      </c>
      <c r="ET209" s="17" t="n"/>
      <c r="EU209" s="16" t="n"/>
      <c r="EV209" s="20" t="inlineStr">
        <is>
          <t>LC-MS</t>
        </is>
      </c>
      <c r="EW209" s="20" t="inlineStr">
        <is>
          <t>None</t>
        </is>
      </c>
      <c r="EX209" s="17" t="n"/>
      <c r="EY209" s="21" t="n"/>
      <c r="EZ209">
        <f>CONCATENATE(A209,B209)</f>
        <v/>
      </c>
      <c r="FA209">
        <f>CONCATENATE(SamplesX!A209,SamplesX!B209)</f>
        <v/>
      </c>
      <c r="FC209">
        <f>MATCH(EZ209,FA1:FA1008,0)</f>
        <v/>
      </c>
    </row>
    <row r="210">
      <c r="A210" s="16" t="inlineStr">
        <is>
          <t>BP</t>
        </is>
      </c>
      <c r="B210" s="17" t="inlineStr">
        <is>
          <t>25202</t>
        </is>
      </c>
      <c r="C210" s="10">
        <f>IF(ISNUMBER(FC210),INDIRECT("SamplesX!C"&amp;FC210),IF(ISNUMBER(FD210),INDIRECT("SamplesY!C"&amp;FD210),""))</f>
        <v/>
      </c>
      <c r="D210" s="12">
        <f>IF(ISNUMBER(FC210),INDIRECT("SamplesX!D"&amp;FC210),IF(ISNUMBER(FD210),INDIRECT("SamplesY!D"&amp;FD210),""))</f>
        <v/>
      </c>
      <c r="E210" s="12">
        <f>IF(ISNUMBER(FC210),INDIRECT("SamplesX!E"&amp;FC210),IF(ISNUMBER(FD210),INDIRECT("SamplesY!E"&amp;FD210),""))</f>
        <v/>
      </c>
      <c r="F210" s="11">
        <f>IF(ISNUMBER(FC210),INDIRECT("SamplesX!F"&amp;FC210),IF(ISNUMBER(FD210),INDIRECT("SamplesY!F"&amp;FD210),""))</f>
        <v/>
      </c>
      <c r="G210" s="18">
        <f>IF(ISNUMBER(FC210),INDIRECT("SamplesX!G"&amp;FC210),IF(ISNUMBER(FD210),INDIRECT("SamplesY!G"&amp;FD210),""))</f>
        <v/>
      </c>
      <c r="H210" s="19">
        <f>IF(ISNUMBER(FC210),INDIRECT("SamplesX!H"&amp;FC210),IF(ISNUMBER(FD210),INDIRECT("SamplesY!H"&amp;FD210),""))</f>
        <v/>
      </c>
      <c r="I210" s="16" t="n"/>
      <c r="J210" s="16" t="n"/>
      <c r="K210" s="16" t="n"/>
      <c r="L210" s="20" t="n"/>
      <c r="M210" s="20" t="inlineStr">
        <is>
          <t>None</t>
        </is>
      </c>
      <c r="N210" s="17" t="n"/>
      <c r="O210" s="16" t="n"/>
      <c r="P210" s="20" t="inlineStr">
        <is>
          <t>Shimadzu TOC-L</t>
        </is>
      </c>
      <c r="Q210" s="20" t="inlineStr">
        <is>
          <t>None</t>
        </is>
      </c>
      <c r="R210" s="17" t="n"/>
      <c r="S210" s="16" t="n"/>
      <c r="T210" s="20" t="inlineStr">
        <is>
          <t>Shimadzu TOC-L</t>
        </is>
      </c>
      <c r="U210" s="20" t="inlineStr">
        <is>
          <t>None</t>
        </is>
      </c>
      <c r="V210" s="17" t="n"/>
      <c r="W210" s="16" t="n"/>
      <c r="X210" s="20" t="n"/>
      <c r="Y210" s="20" t="inlineStr">
        <is>
          <t>None</t>
        </is>
      </c>
      <c r="Z210" s="17" t="n"/>
      <c r="AA210" s="16" t="n"/>
      <c r="AB210" s="20" t="n"/>
      <c r="AC210" s="20" t="inlineStr">
        <is>
          <t>None</t>
        </is>
      </c>
      <c r="AD210" s="17" t="n"/>
      <c r="AE210" s="16" t="n"/>
      <c r="AF210" s="20" t="inlineStr">
        <is>
          <t>IC Anionen</t>
        </is>
      </c>
      <c r="AG210" s="20" t="inlineStr">
        <is>
          <t>None</t>
        </is>
      </c>
      <c r="AH210" s="17" t="n"/>
      <c r="AI210" s="16" t="n"/>
      <c r="AJ210" s="20" t="n"/>
      <c r="AK210" s="20" t="inlineStr">
        <is>
          <t>None</t>
        </is>
      </c>
      <c r="AL210" s="17" t="n"/>
      <c r="AM210" s="16" t="n"/>
      <c r="AN210" s="20" t="inlineStr">
        <is>
          <t>IC Anionen</t>
        </is>
      </c>
      <c r="AO210" s="20" t="inlineStr">
        <is>
          <t>None</t>
        </is>
      </c>
      <c r="AP210" s="17" t="n"/>
      <c r="AQ210" s="16" t="n"/>
      <c r="AR210" s="20" t="n"/>
      <c r="AS210" s="20" t="inlineStr">
        <is>
          <t>None</t>
        </is>
      </c>
      <c r="AT210" s="17" t="n"/>
      <c r="AU210" s="16" t="inlineStr">
        <is>
          <t>&lt;0.13</t>
        </is>
      </c>
      <c r="AV210" s="20" t="inlineStr">
        <is>
          <t>IC Anionen</t>
        </is>
      </c>
      <c r="AW210" s="20" t="inlineStr">
        <is>
          <t>None</t>
        </is>
      </c>
      <c r="AX210" s="17" t="n"/>
      <c r="AY210" s="16" t="inlineStr">
        <is>
          <t>&lt;0.80</t>
        </is>
      </c>
      <c r="AZ210" s="20" t="inlineStr">
        <is>
          <t>IC Anionen</t>
        </is>
      </c>
      <c r="BA210" s="20" t="inlineStr">
        <is>
          <t>None</t>
        </is>
      </c>
      <c r="BB210" s="17" t="n"/>
      <c r="BC210" s="16" t="inlineStr">
        <is>
          <t>129</t>
        </is>
      </c>
      <c r="BD210" s="20" t="inlineStr">
        <is>
          <t>IC Kationen</t>
        </is>
      </c>
      <c r="BE210" s="20" t="inlineStr">
        <is>
          <t>None</t>
        </is>
      </c>
      <c r="BF210" s="17" t="n"/>
      <c r="BG210" s="16" t="inlineStr">
        <is>
          <t>34.2</t>
        </is>
      </c>
      <c r="BH210" s="20" t="inlineStr">
        <is>
          <t>IC Kationen</t>
        </is>
      </c>
      <c r="BI210" s="20" t="inlineStr">
        <is>
          <t>None</t>
        </is>
      </c>
      <c r="BJ210" s="17" t="n"/>
      <c r="BK210" s="16" t="inlineStr">
        <is>
          <t>17.4</t>
        </is>
      </c>
      <c r="BL210" s="20" t="inlineStr">
        <is>
          <t>IC Kationen</t>
        </is>
      </c>
      <c r="BM210" s="20" t="inlineStr">
        <is>
          <t>None</t>
        </is>
      </c>
      <c r="BN210" s="17" t="n"/>
      <c r="BO210" s="16" t="inlineStr">
        <is>
          <t>208</t>
        </is>
      </c>
      <c r="BP210" s="20" t="inlineStr">
        <is>
          <t>IC Kationen</t>
        </is>
      </c>
      <c r="BQ210" s="20" t="inlineStr">
        <is>
          <t>None</t>
        </is>
      </c>
      <c r="BR210" s="17" t="n"/>
      <c r="BS210" s="16" t="inlineStr">
        <is>
          <t>27.8</t>
        </is>
      </c>
      <c r="BT210" s="20" t="inlineStr">
        <is>
          <t>IC Kationen</t>
        </is>
      </c>
      <c r="BU210" s="20" t="inlineStr">
        <is>
          <t>None</t>
        </is>
      </c>
      <c r="BV210" s="17" t="n"/>
      <c r="BW210" s="16" t="n"/>
      <c r="BX210" s="20" t="n"/>
      <c r="BY210" s="20" t="inlineStr">
        <is>
          <t>None</t>
        </is>
      </c>
      <c r="BZ210" s="17" t="n"/>
      <c r="CA210" s="16" t="n"/>
      <c r="CB210" s="20" t="n"/>
      <c r="CC210" s="20" t="inlineStr">
        <is>
          <t>None</t>
        </is>
      </c>
      <c r="CD210" s="17" t="n"/>
      <c r="CE210" s="16" t="n"/>
      <c r="CF210" s="20" t="n"/>
      <c r="CG210" s="20" t="inlineStr">
        <is>
          <t>None</t>
        </is>
      </c>
      <c r="CH210" s="17" t="n"/>
      <c r="CI210" s="16" t="n"/>
      <c r="CJ210" s="20" t="n"/>
      <c r="CK210" s="20" t="inlineStr">
        <is>
          <t>None</t>
        </is>
      </c>
      <c r="CL210" s="17" t="n"/>
      <c r="CM210" s="16" t="n"/>
      <c r="CN210" s="20" t="inlineStr">
        <is>
          <t>SOP 45-34</t>
        </is>
      </c>
      <c r="CO210" s="20" t="inlineStr">
        <is>
          <t>None</t>
        </is>
      </c>
      <c r="CP210" s="17" t="n"/>
      <c r="CQ210" s="16" t="n"/>
      <c r="CR210" s="20" t="n"/>
      <c r="CS210" s="20" t="inlineStr">
        <is>
          <t>None</t>
        </is>
      </c>
      <c r="CT210" s="17" t="n"/>
      <c r="CU210" s="16" t="n"/>
      <c r="CV210" s="20" t="n"/>
      <c r="CW210" s="20" t="inlineStr">
        <is>
          <t>None</t>
        </is>
      </c>
      <c r="CX210" s="17" t="n"/>
      <c r="CY210" s="16" t="n"/>
      <c r="CZ210" s="20" t="inlineStr">
        <is>
          <t>WTW Multimeter 3430 with FDO 925</t>
        </is>
      </c>
      <c r="DA210" s="20" t="inlineStr">
        <is>
          <t>None</t>
        </is>
      </c>
      <c r="DB210" s="17" t="n"/>
      <c r="DC210" s="16" t="n"/>
      <c r="DD210" s="20" t="n"/>
      <c r="DE210" s="20" t="inlineStr">
        <is>
          <t>None</t>
        </is>
      </c>
      <c r="DF210" s="17" t="n"/>
      <c r="DG210" s="16" t="n"/>
      <c r="DH210" s="20" t="inlineStr">
        <is>
          <t>SOP 45-09</t>
        </is>
      </c>
      <c r="DI210" s="20" t="inlineStr">
        <is>
          <t>None</t>
        </is>
      </c>
      <c r="DJ210" s="17" t="n"/>
      <c r="DK210" s="16" t="n"/>
      <c r="DL210" s="20" t="inlineStr">
        <is>
          <t>SOP 45-09 (SOP muss noch angepasst werden für VSS)</t>
        </is>
      </c>
      <c r="DM210" s="20" t="inlineStr">
        <is>
          <t>None</t>
        </is>
      </c>
      <c r="DN210" s="17" t="n"/>
      <c r="DO210" s="16" t="n"/>
      <c r="DP210" s="20" t="inlineStr">
        <is>
          <t>IC Organic Acids</t>
        </is>
      </c>
      <c r="DQ210" s="20" t="inlineStr">
        <is>
          <t>None</t>
        </is>
      </c>
      <c r="DR210" s="17" t="n"/>
      <c r="DS210" s="16" t="n"/>
      <c r="DT210" s="20" t="inlineStr">
        <is>
          <t>IC Organic Acids</t>
        </is>
      </c>
      <c r="DU210" s="20" t="inlineStr">
        <is>
          <t>None</t>
        </is>
      </c>
      <c r="DV210" s="17" t="n"/>
      <c r="DW210" s="16" t="n"/>
      <c r="DX210" s="20" t="inlineStr">
        <is>
          <t>IC Organic Acids</t>
        </is>
      </c>
      <c r="DY210" s="20" t="inlineStr">
        <is>
          <t>None</t>
        </is>
      </c>
      <c r="DZ210" s="17" t="n"/>
      <c r="EA210" s="16" t="n"/>
      <c r="EB210" s="20" t="inlineStr">
        <is>
          <t>IC Organic Acids</t>
        </is>
      </c>
      <c r="EC210" s="20" t="inlineStr">
        <is>
          <t>None</t>
        </is>
      </c>
      <c r="ED210" s="17" t="n"/>
      <c r="EE210" s="16" t="n"/>
      <c r="EF210" s="20" t="inlineStr">
        <is>
          <t>IC Organic Acids</t>
        </is>
      </c>
      <c r="EG210" s="20" t="inlineStr">
        <is>
          <t>None</t>
        </is>
      </c>
      <c r="EH210" s="17" t="n"/>
      <c r="EI210" s="16" t="n"/>
      <c r="EJ210" s="20" t="inlineStr">
        <is>
          <t>IC Organic Acids</t>
        </is>
      </c>
      <c r="EK210" s="20" t="inlineStr">
        <is>
          <t>None</t>
        </is>
      </c>
      <c r="EL210" s="17" t="n"/>
      <c r="EM210" s="16" t="n"/>
      <c r="EN210" s="20" t="inlineStr">
        <is>
          <t>IC Organic Acids</t>
        </is>
      </c>
      <c r="EO210" s="20" t="inlineStr">
        <is>
          <t>None</t>
        </is>
      </c>
      <c r="EP210" s="17" t="n"/>
      <c r="EQ210" s="16" t="n"/>
      <c r="ER210" s="20" t="inlineStr">
        <is>
          <t>IC Organic Acids</t>
        </is>
      </c>
      <c r="ES210" s="20" t="inlineStr">
        <is>
          <t>None</t>
        </is>
      </c>
      <c r="ET210" s="17" t="n"/>
      <c r="EU210" s="16" t="n"/>
      <c r="EV210" s="20" t="inlineStr">
        <is>
          <t>LC-MS</t>
        </is>
      </c>
      <c r="EW210" s="20" t="inlineStr">
        <is>
          <t>None</t>
        </is>
      </c>
      <c r="EX210" s="17" t="n"/>
      <c r="EY210" s="21" t="n"/>
      <c r="EZ210">
        <f>CONCATENATE(A210,B210)</f>
        <v/>
      </c>
      <c r="FA210">
        <f>CONCATENATE(SamplesX!A210,SamplesX!B210)</f>
        <v/>
      </c>
      <c r="FC210">
        <f>MATCH(EZ210,FA1:FA1008,0)</f>
        <v/>
      </c>
    </row>
    <row r="211">
      <c r="A211" s="16" t="inlineStr">
        <is>
          <t>BP</t>
        </is>
      </c>
      <c r="B211" s="17" t="inlineStr">
        <is>
          <t>25203</t>
        </is>
      </c>
      <c r="C211" s="10">
        <f>IF(ISNUMBER(FC211),INDIRECT("SamplesX!C"&amp;FC211),IF(ISNUMBER(FD211),INDIRECT("SamplesY!C"&amp;FD211),""))</f>
        <v/>
      </c>
      <c r="D211" s="12">
        <f>IF(ISNUMBER(FC211),INDIRECT("SamplesX!D"&amp;FC211),IF(ISNUMBER(FD211),INDIRECT("SamplesY!D"&amp;FD211),""))</f>
        <v/>
      </c>
      <c r="E211" s="12">
        <f>IF(ISNUMBER(FC211),INDIRECT("SamplesX!E"&amp;FC211),IF(ISNUMBER(FD211),INDIRECT("SamplesY!E"&amp;FD211),""))</f>
        <v/>
      </c>
      <c r="F211" s="11">
        <f>IF(ISNUMBER(FC211),INDIRECT("SamplesX!F"&amp;FC211),IF(ISNUMBER(FD211),INDIRECT("SamplesY!F"&amp;FD211),""))</f>
        <v/>
      </c>
      <c r="G211" s="18">
        <f>IF(ISNUMBER(FC211),INDIRECT("SamplesX!G"&amp;FC211),IF(ISNUMBER(FD211),INDIRECT("SamplesY!G"&amp;FD211),""))</f>
        <v/>
      </c>
      <c r="H211" s="19">
        <f>IF(ISNUMBER(FC211),INDIRECT("SamplesX!H"&amp;FC211),IF(ISNUMBER(FD211),INDIRECT("SamplesY!H"&amp;FD211),""))</f>
        <v/>
      </c>
      <c r="I211" s="16" t="n"/>
      <c r="J211" s="16" t="n"/>
      <c r="K211" s="16" t="n"/>
      <c r="L211" s="20" t="n"/>
      <c r="M211" s="20" t="inlineStr">
        <is>
          <t>None</t>
        </is>
      </c>
      <c r="N211" s="17" t="n"/>
      <c r="O211" s="16" t="n"/>
      <c r="P211" s="20" t="inlineStr">
        <is>
          <t>Shimadzu TOC-L</t>
        </is>
      </c>
      <c r="Q211" s="20" t="inlineStr">
        <is>
          <t>None</t>
        </is>
      </c>
      <c r="R211" s="17" t="n"/>
      <c r="S211" s="16" t="n"/>
      <c r="T211" s="20" t="inlineStr">
        <is>
          <t>Shimadzu TOC-L</t>
        </is>
      </c>
      <c r="U211" s="20" t="inlineStr">
        <is>
          <t>None</t>
        </is>
      </c>
      <c r="V211" s="17" t="n"/>
      <c r="W211" s="16" t="n"/>
      <c r="X211" s="20" t="n"/>
      <c r="Y211" s="20" t="inlineStr">
        <is>
          <t>None</t>
        </is>
      </c>
      <c r="Z211" s="17" t="n"/>
      <c r="AA211" s="16" t="n"/>
      <c r="AB211" s="20" t="n"/>
      <c r="AC211" s="20" t="inlineStr">
        <is>
          <t>None</t>
        </is>
      </c>
      <c r="AD211" s="17" t="n"/>
      <c r="AE211" s="16" t="n"/>
      <c r="AF211" s="20" t="inlineStr">
        <is>
          <t>IC Anionen</t>
        </is>
      </c>
      <c r="AG211" s="20" t="inlineStr">
        <is>
          <t>None</t>
        </is>
      </c>
      <c r="AH211" s="17" t="n"/>
      <c r="AI211" s="16" t="n"/>
      <c r="AJ211" s="20" t="n"/>
      <c r="AK211" s="20" t="inlineStr">
        <is>
          <t>None</t>
        </is>
      </c>
      <c r="AL211" s="17" t="n"/>
      <c r="AM211" s="16" t="n"/>
      <c r="AN211" s="20" t="inlineStr">
        <is>
          <t>IC Anionen</t>
        </is>
      </c>
      <c r="AO211" s="20" t="inlineStr">
        <is>
          <t>None</t>
        </is>
      </c>
      <c r="AP211" s="17" t="n"/>
      <c r="AQ211" s="16" t="n"/>
      <c r="AR211" s="20" t="n"/>
      <c r="AS211" s="20" t="inlineStr">
        <is>
          <t>None</t>
        </is>
      </c>
      <c r="AT211" s="17" t="n"/>
      <c r="AU211" s="16" t="inlineStr">
        <is>
          <t>&lt;0.13</t>
        </is>
      </c>
      <c r="AV211" s="20" t="inlineStr">
        <is>
          <t>IC Anionen</t>
        </is>
      </c>
      <c r="AW211" s="20" t="inlineStr">
        <is>
          <t>None</t>
        </is>
      </c>
      <c r="AX211" s="17" t="n"/>
      <c r="AY211" s="16" t="inlineStr">
        <is>
          <t>&lt;0.80</t>
        </is>
      </c>
      <c r="AZ211" s="20" t="inlineStr">
        <is>
          <t>IC Anionen</t>
        </is>
      </c>
      <c r="BA211" s="20" t="inlineStr">
        <is>
          <t>None</t>
        </is>
      </c>
      <c r="BB211" s="17" t="n"/>
      <c r="BC211" s="16" t="inlineStr">
        <is>
          <t>127</t>
        </is>
      </c>
      <c r="BD211" s="20" t="inlineStr">
        <is>
          <t>IC Kationen</t>
        </is>
      </c>
      <c r="BE211" s="20" t="inlineStr">
        <is>
          <t>None</t>
        </is>
      </c>
      <c r="BF211" s="17" t="n"/>
      <c r="BG211" s="16" t="inlineStr">
        <is>
          <t>19.6</t>
        </is>
      </c>
      <c r="BH211" s="20" t="inlineStr">
        <is>
          <t>IC Kationen</t>
        </is>
      </c>
      <c r="BI211" s="20" t="inlineStr">
        <is>
          <t>None</t>
        </is>
      </c>
      <c r="BJ211" s="17" t="n"/>
      <c r="BK211" s="16" t="inlineStr">
        <is>
          <t>19.6</t>
        </is>
      </c>
      <c r="BL211" s="20" t="inlineStr">
        <is>
          <t>IC Kationen</t>
        </is>
      </c>
      <c r="BM211" s="20" t="inlineStr">
        <is>
          <t>None</t>
        </is>
      </c>
      <c r="BN211" s="17" t="n"/>
      <c r="BO211" s="16" t="inlineStr">
        <is>
          <t>163</t>
        </is>
      </c>
      <c r="BP211" s="20" t="inlineStr">
        <is>
          <t>IC Kationen</t>
        </is>
      </c>
      <c r="BQ211" s="20" t="inlineStr">
        <is>
          <t>None</t>
        </is>
      </c>
      <c r="BR211" s="17" t="n"/>
      <c r="BS211" s="16" t="inlineStr">
        <is>
          <t>25.9</t>
        </is>
      </c>
      <c r="BT211" s="20" t="inlineStr">
        <is>
          <t>IC Kationen</t>
        </is>
      </c>
      <c r="BU211" s="20" t="inlineStr">
        <is>
          <t>None</t>
        </is>
      </c>
      <c r="BV211" s="17" t="n"/>
      <c r="BW211" s="16" t="n"/>
      <c r="BX211" s="20" t="n"/>
      <c r="BY211" s="20" t="inlineStr">
        <is>
          <t>None</t>
        </is>
      </c>
      <c r="BZ211" s="17" t="n"/>
      <c r="CA211" s="16" t="n"/>
      <c r="CB211" s="20" t="n"/>
      <c r="CC211" s="20" t="inlineStr">
        <is>
          <t>None</t>
        </is>
      </c>
      <c r="CD211" s="17" t="n"/>
      <c r="CE211" s="16" t="n"/>
      <c r="CF211" s="20" t="n"/>
      <c r="CG211" s="20" t="inlineStr">
        <is>
          <t>None</t>
        </is>
      </c>
      <c r="CH211" s="17" t="n"/>
      <c r="CI211" s="16" t="n"/>
      <c r="CJ211" s="20" t="n"/>
      <c r="CK211" s="20" t="inlineStr">
        <is>
          <t>None</t>
        </is>
      </c>
      <c r="CL211" s="17" t="n"/>
      <c r="CM211" s="16" t="n"/>
      <c r="CN211" s="20" t="inlineStr">
        <is>
          <t>SOP 45-34</t>
        </is>
      </c>
      <c r="CO211" s="20" t="inlineStr">
        <is>
          <t>None</t>
        </is>
      </c>
      <c r="CP211" s="17" t="n"/>
      <c r="CQ211" s="16" t="n"/>
      <c r="CR211" s="20" t="n"/>
      <c r="CS211" s="20" t="inlineStr">
        <is>
          <t>None</t>
        </is>
      </c>
      <c r="CT211" s="17" t="n"/>
      <c r="CU211" s="16" t="n"/>
      <c r="CV211" s="20" t="n"/>
      <c r="CW211" s="20" t="inlineStr">
        <is>
          <t>None</t>
        </is>
      </c>
      <c r="CX211" s="17" t="n"/>
      <c r="CY211" s="16" t="n"/>
      <c r="CZ211" s="20" t="inlineStr">
        <is>
          <t>WTW Multimeter 3430 with FDO 925</t>
        </is>
      </c>
      <c r="DA211" s="20" t="inlineStr">
        <is>
          <t>None</t>
        </is>
      </c>
      <c r="DB211" s="17" t="n"/>
      <c r="DC211" s="16" t="n"/>
      <c r="DD211" s="20" t="n"/>
      <c r="DE211" s="20" t="inlineStr">
        <is>
          <t>None</t>
        </is>
      </c>
      <c r="DF211" s="17" t="n"/>
      <c r="DG211" s="16" t="n"/>
      <c r="DH211" s="20" t="inlineStr">
        <is>
          <t>SOP 45-09</t>
        </is>
      </c>
      <c r="DI211" s="20" t="inlineStr">
        <is>
          <t>None</t>
        </is>
      </c>
      <c r="DJ211" s="17" t="n"/>
      <c r="DK211" s="16" t="n"/>
      <c r="DL211" s="20" t="inlineStr">
        <is>
          <t>SOP 45-09 (SOP muss noch angepasst werden für VSS)</t>
        </is>
      </c>
      <c r="DM211" s="20" t="inlineStr">
        <is>
          <t>None</t>
        </is>
      </c>
      <c r="DN211" s="17" t="n"/>
      <c r="DO211" s="16" t="n"/>
      <c r="DP211" s="20" t="inlineStr">
        <is>
          <t>IC Organic Acids</t>
        </is>
      </c>
      <c r="DQ211" s="20" t="inlineStr">
        <is>
          <t>None</t>
        </is>
      </c>
      <c r="DR211" s="17" t="n"/>
      <c r="DS211" s="16" t="n"/>
      <c r="DT211" s="20" t="inlineStr">
        <is>
          <t>IC Organic Acids</t>
        </is>
      </c>
      <c r="DU211" s="20" t="inlineStr">
        <is>
          <t>None</t>
        </is>
      </c>
      <c r="DV211" s="17" t="n"/>
      <c r="DW211" s="16" t="n"/>
      <c r="DX211" s="20" t="inlineStr">
        <is>
          <t>IC Organic Acids</t>
        </is>
      </c>
      <c r="DY211" s="20" t="inlineStr">
        <is>
          <t>None</t>
        </is>
      </c>
      <c r="DZ211" s="17" t="n"/>
      <c r="EA211" s="16" t="n"/>
      <c r="EB211" s="20" t="inlineStr">
        <is>
          <t>IC Organic Acids</t>
        </is>
      </c>
      <c r="EC211" s="20" t="inlineStr">
        <is>
          <t>None</t>
        </is>
      </c>
      <c r="ED211" s="17" t="n"/>
      <c r="EE211" s="16" t="n"/>
      <c r="EF211" s="20" t="inlineStr">
        <is>
          <t>IC Organic Acids</t>
        </is>
      </c>
      <c r="EG211" s="20" t="inlineStr">
        <is>
          <t>None</t>
        </is>
      </c>
      <c r="EH211" s="17" t="n"/>
      <c r="EI211" s="16" t="n"/>
      <c r="EJ211" s="20" t="inlineStr">
        <is>
          <t>IC Organic Acids</t>
        </is>
      </c>
      <c r="EK211" s="20" t="inlineStr">
        <is>
          <t>None</t>
        </is>
      </c>
      <c r="EL211" s="17" t="n"/>
      <c r="EM211" s="16" t="n"/>
      <c r="EN211" s="20" t="inlineStr">
        <is>
          <t>IC Organic Acids</t>
        </is>
      </c>
      <c r="EO211" s="20" t="inlineStr">
        <is>
          <t>None</t>
        </is>
      </c>
      <c r="EP211" s="17" t="n"/>
      <c r="EQ211" s="16" t="n"/>
      <c r="ER211" s="20" t="inlineStr">
        <is>
          <t>IC Organic Acids</t>
        </is>
      </c>
      <c r="ES211" s="20" t="inlineStr">
        <is>
          <t>None</t>
        </is>
      </c>
      <c r="ET211" s="17" t="n"/>
      <c r="EU211" s="16" t="n"/>
      <c r="EV211" s="20" t="inlineStr">
        <is>
          <t>LC-MS</t>
        </is>
      </c>
      <c r="EW211" s="20" t="inlineStr">
        <is>
          <t>None</t>
        </is>
      </c>
      <c r="EX211" s="17" t="n"/>
      <c r="EY211" s="21" t="n"/>
      <c r="EZ211">
        <f>CONCATENATE(A211,B211)</f>
        <v/>
      </c>
      <c r="FA211">
        <f>CONCATENATE(SamplesX!A211,SamplesX!B211)</f>
        <v/>
      </c>
      <c r="FC211">
        <f>MATCH(EZ211,FA1:FA1008,0)</f>
        <v/>
      </c>
    </row>
    <row r="212">
      <c r="A212" s="16" t="inlineStr">
        <is>
          <t>BP</t>
        </is>
      </c>
      <c r="B212" s="17" t="inlineStr">
        <is>
          <t>25204</t>
        </is>
      </c>
      <c r="C212" s="10">
        <f>IF(ISNUMBER(FC212),INDIRECT("SamplesX!C"&amp;FC212),IF(ISNUMBER(FD212),INDIRECT("SamplesY!C"&amp;FD212),""))</f>
        <v/>
      </c>
      <c r="D212" s="12">
        <f>IF(ISNUMBER(FC212),INDIRECT("SamplesX!D"&amp;FC212),IF(ISNUMBER(FD212),INDIRECT("SamplesY!D"&amp;FD212),""))</f>
        <v/>
      </c>
      <c r="E212" s="12">
        <f>IF(ISNUMBER(FC212),INDIRECT("SamplesX!E"&amp;FC212),IF(ISNUMBER(FD212),INDIRECT("SamplesY!E"&amp;FD212),""))</f>
        <v/>
      </c>
      <c r="F212" s="11">
        <f>IF(ISNUMBER(FC212),INDIRECT("SamplesX!F"&amp;FC212),IF(ISNUMBER(FD212),INDIRECT("SamplesY!F"&amp;FD212),""))</f>
        <v/>
      </c>
      <c r="G212" s="18">
        <f>IF(ISNUMBER(FC212),INDIRECT("SamplesX!G"&amp;FC212),IF(ISNUMBER(FD212),INDIRECT("SamplesY!G"&amp;FD212),""))</f>
        <v/>
      </c>
      <c r="H212" s="19">
        <f>IF(ISNUMBER(FC212),INDIRECT("SamplesX!H"&amp;FC212),IF(ISNUMBER(FD212),INDIRECT("SamplesY!H"&amp;FD212),""))</f>
        <v/>
      </c>
      <c r="I212" s="16" t="n"/>
      <c r="J212" s="16" t="n"/>
      <c r="K212" s="16" t="n"/>
      <c r="L212" s="20" t="n"/>
      <c r="M212" s="20" t="inlineStr">
        <is>
          <t>None</t>
        </is>
      </c>
      <c r="N212" s="17" t="n"/>
      <c r="O212" s="16" t="n"/>
      <c r="P212" s="20" t="inlineStr">
        <is>
          <t>Shimadzu TOC-L</t>
        </is>
      </c>
      <c r="Q212" s="20" t="inlineStr">
        <is>
          <t>None</t>
        </is>
      </c>
      <c r="R212" s="17" t="n"/>
      <c r="S212" s="16" t="n"/>
      <c r="T212" s="20" t="inlineStr">
        <is>
          <t>Shimadzu TOC-L</t>
        </is>
      </c>
      <c r="U212" s="20" t="inlineStr">
        <is>
          <t>None</t>
        </is>
      </c>
      <c r="V212" s="17" t="n"/>
      <c r="W212" s="16" t="n"/>
      <c r="X212" s="20" t="n"/>
      <c r="Y212" s="20" t="inlineStr">
        <is>
          <t>None</t>
        </is>
      </c>
      <c r="Z212" s="17" t="n"/>
      <c r="AA212" s="16" t="n"/>
      <c r="AB212" s="20" t="n"/>
      <c r="AC212" s="20" t="inlineStr">
        <is>
          <t>None</t>
        </is>
      </c>
      <c r="AD212" s="17" t="n"/>
      <c r="AE212" s="16" t="n"/>
      <c r="AF212" s="20" t="inlineStr">
        <is>
          <t>IC Anionen</t>
        </is>
      </c>
      <c r="AG212" s="20" t="inlineStr">
        <is>
          <t>None</t>
        </is>
      </c>
      <c r="AH212" s="17" t="n"/>
      <c r="AI212" s="16" t="n"/>
      <c r="AJ212" s="20" t="n"/>
      <c r="AK212" s="20" t="inlineStr">
        <is>
          <t>None</t>
        </is>
      </c>
      <c r="AL212" s="17" t="n"/>
      <c r="AM212" s="16" t="n"/>
      <c r="AN212" s="20" t="inlineStr">
        <is>
          <t>IC Anionen</t>
        </is>
      </c>
      <c r="AO212" s="20" t="inlineStr">
        <is>
          <t>None</t>
        </is>
      </c>
      <c r="AP212" s="17" t="n"/>
      <c r="AQ212" s="16" t="n"/>
      <c r="AR212" s="20" t="n"/>
      <c r="AS212" s="20" t="inlineStr">
        <is>
          <t>None</t>
        </is>
      </c>
      <c r="AT212" s="17" t="n"/>
      <c r="AU212" s="16" t="inlineStr">
        <is>
          <t>2.98</t>
        </is>
      </c>
      <c r="AV212" s="20" t="inlineStr">
        <is>
          <t>IC Anionen</t>
        </is>
      </c>
      <c r="AW212" s="20" t="inlineStr">
        <is>
          <t>None</t>
        </is>
      </c>
      <c r="AX212" s="17" t="n"/>
      <c r="AY212" s="16" t="inlineStr">
        <is>
          <t>3.70</t>
        </is>
      </c>
      <c r="AZ212" s="20" t="inlineStr">
        <is>
          <t>IC Anionen</t>
        </is>
      </c>
      <c r="BA212" s="20" t="inlineStr">
        <is>
          <t>None</t>
        </is>
      </c>
      <c r="BB212" s="17" t="n"/>
      <c r="BC212" s="16" t="inlineStr">
        <is>
          <t>137</t>
        </is>
      </c>
      <c r="BD212" s="20" t="inlineStr">
        <is>
          <t>IC Kationen</t>
        </is>
      </c>
      <c r="BE212" s="20" t="inlineStr">
        <is>
          <t>None</t>
        </is>
      </c>
      <c r="BF212" s="17" t="n"/>
      <c r="BG212" s="16" t="inlineStr">
        <is>
          <t>15.7</t>
        </is>
      </c>
      <c r="BH212" s="20" t="inlineStr">
        <is>
          <t>IC Kationen</t>
        </is>
      </c>
      <c r="BI212" s="20" t="inlineStr">
        <is>
          <t>None</t>
        </is>
      </c>
      <c r="BJ212" s="17" t="n"/>
      <c r="BK212" s="16" t="inlineStr">
        <is>
          <t>16.4</t>
        </is>
      </c>
      <c r="BL212" s="20" t="inlineStr">
        <is>
          <t>IC Kationen</t>
        </is>
      </c>
      <c r="BM212" s="20" t="inlineStr">
        <is>
          <t>None</t>
        </is>
      </c>
      <c r="BN212" s="17" t="n"/>
      <c r="BO212" s="16" t="inlineStr">
        <is>
          <t>204</t>
        </is>
      </c>
      <c r="BP212" s="20" t="inlineStr">
        <is>
          <t>IC Kationen</t>
        </is>
      </c>
      <c r="BQ212" s="20" t="inlineStr">
        <is>
          <t>None</t>
        </is>
      </c>
      <c r="BR212" s="17" t="n"/>
      <c r="BS212" s="16" t="inlineStr">
        <is>
          <t>28.0</t>
        </is>
      </c>
      <c r="BT212" s="20" t="inlineStr">
        <is>
          <t>IC Kationen</t>
        </is>
      </c>
      <c r="BU212" s="20" t="inlineStr">
        <is>
          <t>None</t>
        </is>
      </c>
      <c r="BV212" s="17" t="n"/>
      <c r="BW212" s="16" t="n"/>
      <c r="BX212" s="20" t="n"/>
      <c r="BY212" s="20" t="inlineStr">
        <is>
          <t>None</t>
        </is>
      </c>
      <c r="BZ212" s="17" t="n"/>
      <c r="CA212" s="16" t="n"/>
      <c r="CB212" s="20" t="n"/>
      <c r="CC212" s="20" t="inlineStr">
        <is>
          <t>None</t>
        </is>
      </c>
      <c r="CD212" s="17" t="n"/>
      <c r="CE212" s="16" t="n"/>
      <c r="CF212" s="20" t="n"/>
      <c r="CG212" s="20" t="inlineStr">
        <is>
          <t>None</t>
        </is>
      </c>
      <c r="CH212" s="17" t="n"/>
      <c r="CI212" s="16" t="n"/>
      <c r="CJ212" s="20" t="n"/>
      <c r="CK212" s="20" t="inlineStr">
        <is>
          <t>None</t>
        </is>
      </c>
      <c r="CL212" s="17" t="n"/>
      <c r="CM212" s="16" t="n"/>
      <c r="CN212" s="20" t="inlineStr">
        <is>
          <t>SOP 45-34</t>
        </is>
      </c>
      <c r="CO212" s="20" t="inlineStr">
        <is>
          <t>None</t>
        </is>
      </c>
      <c r="CP212" s="17" t="n"/>
      <c r="CQ212" s="16" t="n"/>
      <c r="CR212" s="20" t="n"/>
      <c r="CS212" s="20" t="inlineStr">
        <is>
          <t>None</t>
        </is>
      </c>
      <c r="CT212" s="17" t="n"/>
      <c r="CU212" s="16" t="n"/>
      <c r="CV212" s="20" t="n"/>
      <c r="CW212" s="20" t="inlineStr">
        <is>
          <t>None</t>
        </is>
      </c>
      <c r="CX212" s="17" t="n"/>
      <c r="CY212" s="16" t="n"/>
      <c r="CZ212" s="20" t="inlineStr">
        <is>
          <t>WTW Multimeter 3430 with FDO 925</t>
        </is>
      </c>
      <c r="DA212" s="20" t="inlineStr">
        <is>
          <t>None</t>
        </is>
      </c>
      <c r="DB212" s="17" t="n"/>
      <c r="DC212" s="16" t="n"/>
      <c r="DD212" s="20" t="n"/>
      <c r="DE212" s="20" t="inlineStr">
        <is>
          <t>None</t>
        </is>
      </c>
      <c r="DF212" s="17" t="n"/>
      <c r="DG212" s="16" t="n"/>
      <c r="DH212" s="20" t="inlineStr">
        <is>
          <t>SOP 45-09</t>
        </is>
      </c>
      <c r="DI212" s="20" t="inlineStr">
        <is>
          <t>None</t>
        </is>
      </c>
      <c r="DJ212" s="17" t="n"/>
      <c r="DK212" s="16" t="n"/>
      <c r="DL212" s="20" t="inlineStr">
        <is>
          <t>SOP 45-09 (SOP muss noch angepasst werden für VSS)</t>
        </is>
      </c>
      <c r="DM212" s="20" t="inlineStr">
        <is>
          <t>None</t>
        </is>
      </c>
      <c r="DN212" s="17" t="n"/>
      <c r="DO212" s="16" t="n"/>
      <c r="DP212" s="20" t="inlineStr">
        <is>
          <t>IC Organic Acids</t>
        </is>
      </c>
      <c r="DQ212" s="20" t="inlineStr">
        <is>
          <t>None</t>
        </is>
      </c>
      <c r="DR212" s="17" t="n"/>
      <c r="DS212" s="16" t="n"/>
      <c r="DT212" s="20" t="inlineStr">
        <is>
          <t>IC Organic Acids</t>
        </is>
      </c>
      <c r="DU212" s="20" t="inlineStr">
        <is>
          <t>None</t>
        </is>
      </c>
      <c r="DV212" s="17" t="n"/>
      <c r="DW212" s="16" t="n"/>
      <c r="DX212" s="20" t="inlineStr">
        <is>
          <t>IC Organic Acids</t>
        </is>
      </c>
      <c r="DY212" s="20" t="inlineStr">
        <is>
          <t>None</t>
        </is>
      </c>
      <c r="DZ212" s="17" t="n"/>
      <c r="EA212" s="16" t="n"/>
      <c r="EB212" s="20" t="inlineStr">
        <is>
          <t>IC Organic Acids</t>
        </is>
      </c>
      <c r="EC212" s="20" t="inlineStr">
        <is>
          <t>None</t>
        </is>
      </c>
      <c r="ED212" s="17" t="n"/>
      <c r="EE212" s="16" t="n"/>
      <c r="EF212" s="20" t="inlineStr">
        <is>
          <t>IC Organic Acids</t>
        </is>
      </c>
      <c r="EG212" s="20" t="inlineStr">
        <is>
          <t>None</t>
        </is>
      </c>
      <c r="EH212" s="17" t="n"/>
      <c r="EI212" s="16" t="n"/>
      <c r="EJ212" s="20" t="inlineStr">
        <is>
          <t>IC Organic Acids</t>
        </is>
      </c>
      <c r="EK212" s="20" t="inlineStr">
        <is>
          <t>None</t>
        </is>
      </c>
      <c r="EL212" s="17" t="n"/>
      <c r="EM212" s="16" t="n"/>
      <c r="EN212" s="20" t="inlineStr">
        <is>
          <t>IC Organic Acids</t>
        </is>
      </c>
      <c r="EO212" s="20" t="inlineStr">
        <is>
          <t>None</t>
        </is>
      </c>
      <c r="EP212" s="17" t="n"/>
      <c r="EQ212" s="16" t="n"/>
      <c r="ER212" s="20" t="inlineStr">
        <is>
          <t>IC Organic Acids</t>
        </is>
      </c>
      <c r="ES212" s="20" t="inlineStr">
        <is>
          <t>None</t>
        </is>
      </c>
      <c r="ET212" s="17" t="n"/>
      <c r="EU212" s="16" t="n"/>
      <c r="EV212" s="20" t="inlineStr">
        <is>
          <t>LC-MS</t>
        </is>
      </c>
      <c r="EW212" s="20" t="inlineStr">
        <is>
          <t>None</t>
        </is>
      </c>
      <c r="EX212" s="17" t="n"/>
      <c r="EY212" s="21" t="n"/>
      <c r="EZ212">
        <f>CONCATENATE(A212,B212)</f>
        <v/>
      </c>
      <c r="FA212">
        <f>CONCATENATE(SamplesX!A212,SamplesX!B212)</f>
        <v/>
      </c>
      <c r="FC212">
        <f>MATCH(EZ212,FA1:FA1008,0)</f>
        <v/>
      </c>
    </row>
    <row r="213">
      <c r="A213" s="16" t="inlineStr">
        <is>
          <t>BP</t>
        </is>
      </c>
      <c r="B213" s="17" t="inlineStr">
        <is>
          <t>25205</t>
        </is>
      </c>
      <c r="C213" s="10">
        <f>IF(ISNUMBER(FC213),INDIRECT("SamplesX!C"&amp;FC213),IF(ISNUMBER(FD213),INDIRECT("SamplesY!C"&amp;FD213),""))</f>
        <v/>
      </c>
      <c r="D213" s="12">
        <f>IF(ISNUMBER(FC213),INDIRECT("SamplesX!D"&amp;FC213),IF(ISNUMBER(FD213),INDIRECT("SamplesY!D"&amp;FD213),""))</f>
        <v/>
      </c>
      <c r="E213" s="12">
        <f>IF(ISNUMBER(FC213),INDIRECT("SamplesX!E"&amp;FC213),IF(ISNUMBER(FD213),INDIRECT("SamplesY!E"&amp;FD213),""))</f>
        <v/>
      </c>
      <c r="F213" s="11">
        <f>IF(ISNUMBER(FC213),INDIRECT("SamplesX!F"&amp;FC213),IF(ISNUMBER(FD213),INDIRECT("SamplesY!F"&amp;FD213),""))</f>
        <v/>
      </c>
      <c r="G213" s="18">
        <f>IF(ISNUMBER(FC213),INDIRECT("SamplesX!G"&amp;FC213),IF(ISNUMBER(FD213),INDIRECT("SamplesY!G"&amp;FD213),""))</f>
        <v/>
      </c>
      <c r="H213" s="19">
        <f>IF(ISNUMBER(FC213),INDIRECT("SamplesX!H"&amp;FC213),IF(ISNUMBER(FD213),INDIRECT("SamplesY!H"&amp;FD213),""))</f>
        <v/>
      </c>
      <c r="I213" s="16" t="n"/>
      <c r="J213" s="16" t="n"/>
      <c r="K213" s="16" t="n"/>
      <c r="L213" s="20" t="n"/>
      <c r="M213" s="20" t="inlineStr">
        <is>
          <t>None</t>
        </is>
      </c>
      <c r="N213" s="17" t="n"/>
      <c r="O213" s="16" t="n"/>
      <c r="P213" s="20" t="inlineStr">
        <is>
          <t>Shimadzu TOC-L</t>
        </is>
      </c>
      <c r="Q213" s="20" t="inlineStr">
        <is>
          <t>None</t>
        </is>
      </c>
      <c r="R213" s="17" t="n"/>
      <c r="S213" s="16" t="n"/>
      <c r="T213" s="20" t="inlineStr">
        <is>
          <t>Shimadzu TOC-L</t>
        </is>
      </c>
      <c r="U213" s="20" t="inlineStr">
        <is>
          <t>None</t>
        </is>
      </c>
      <c r="V213" s="17" t="n"/>
      <c r="W213" s="16" t="n"/>
      <c r="X213" s="20" t="n"/>
      <c r="Y213" s="20" t="inlineStr">
        <is>
          <t>None</t>
        </is>
      </c>
      <c r="Z213" s="17" t="n"/>
      <c r="AA213" s="16" t="n"/>
      <c r="AB213" s="20" t="n"/>
      <c r="AC213" s="20" t="inlineStr">
        <is>
          <t>None</t>
        </is>
      </c>
      <c r="AD213" s="17" t="n"/>
      <c r="AE213" s="16" t="n"/>
      <c r="AF213" s="20" t="inlineStr">
        <is>
          <t>IC Anionen</t>
        </is>
      </c>
      <c r="AG213" s="20" t="inlineStr">
        <is>
          <t>None</t>
        </is>
      </c>
      <c r="AH213" s="17" t="n"/>
      <c r="AI213" s="16" t="n"/>
      <c r="AJ213" s="20" t="n"/>
      <c r="AK213" s="20" t="inlineStr">
        <is>
          <t>None</t>
        </is>
      </c>
      <c r="AL213" s="17" t="n"/>
      <c r="AM213" s="16" t="n"/>
      <c r="AN213" s="20" t="inlineStr">
        <is>
          <t>IC Anionen</t>
        </is>
      </c>
      <c r="AO213" s="20" t="inlineStr">
        <is>
          <t>None</t>
        </is>
      </c>
      <c r="AP213" s="17" t="n"/>
      <c r="AQ213" s="16" t="n"/>
      <c r="AR213" s="20" t="n"/>
      <c r="AS213" s="20" t="inlineStr">
        <is>
          <t>None</t>
        </is>
      </c>
      <c r="AT213" s="17" t="n"/>
      <c r="AU213" s="16" t="inlineStr">
        <is>
          <t>19.7</t>
        </is>
      </c>
      <c r="AV213" s="20" t="inlineStr">
        <is>
          <t>IC Anionen</t>
        </is>
      </c>
      <c r="AW213" s="20" t="inlineStr">
        <is>
          <t>None</t>
        </is>
      </c>
      <c r="AX213" s="17" t="n"/>
      <c r="AY213" s="16" t="inlineStr">
        <is>
          <t>2.01</t>
        </is>
      </c>
      <c r="AZ213" s="20" t="inlineStr">
        <is>
          <t>IC Anionen</t>
        </is>
      </c>
      <c r="BA213" s="20" t="inlineStr">
        <is>
          <t>None</t>
        </is>
      </c>
      <c r="BB213" s="17" t="n"/>
      <c r="BC213" s="16" t="inlineStr">
        <is>
          <t>142</t>
        </is>
      </c>
      <c r="BD213" s="20" t="inlineStr">
        <is>
          <t>IC Kationen</t>
        </is>
      </c>
      <c r="BE213" s="20" t="inlineStr">
        <is>
          <t>None</t>
        </is>
      </c>
      <c r="BF213" s="17" t="n"/>
      <c r="BG213" s="16" t="inlineStr">
        <is>
          <t>25.4</t>
        </is>
      </c>
      <c r="BH213" s="20" t="inlineStr">
        <is>
          <t>IC Kationen</t>
        </is>
      </c>
      <c r="BI213" s="20" t="inlineStr">
        <is>
          <t>None</t>
        </is>
      </c>
      <c r="BJ213" s="17" t="n"/>
      <c r="BK213" s="16" t="inlineStr">
        <is>
          <t>20.9</t>
        </is>
      </c>
      <c r="BL213" s="20" t="inlineStr">
        <is>
          <t>IC Kationen</t>
        </is>
      </c>
      <c r="BM213" s="20" t="inlineStr">
        <is>
          <t>None</t>
        </is>
      </c>
      <c r="BN213" s="17" t="n"/>
      <c r="BO213" s="16" t="inlineStr">
        <is>
          <t>264</t>
        </is>
      </c>
      <c r="BP213" s="20" t="inlineStr">
        <is>
          <t>IC Kationen</t>
        </is>
      </c>
      <c r="BQ213" s="20" t="inlineStr">
        <is>
          <t>None</t>
        </is>
      </c>
      <c r="BR213" s="17" t="n"/>
      <c r="BS213" s="16" t="inlineStr">
        <is>
          <t>31.9</t>
        </is>
      </c>
      <c r="BT213" s="20" t="inlineStr">
        <is>
          <t>IC Kationen</t>
        </is>
      </c>
      <c r="BU213" s="20" t="inlineStr">
        <is>
          <t>None</t>
        </is>
      </c>
      <c r="BV213" s="17" t="n"/>
      <c r="BW213" s="16" t="n"/>
      <c r="BX213" s="20" t="n"/>
      <c r="BY213" s="20" t="inlineStr">
        <is>
          <t>None</t>
        </is>
      </c>
      <c r="BZ213" s="17" t="n"/>
      <c r="CA213" s="16" t="n"/>
      <c r="CB213" s="20" t="n"/>
      <c r="CC213" s="20" t="inlineStr">
        <is>
          <t>None</t>
        </is>
      </c>
      <c r="CD213" s="17" t="n"/>
      <c r="CE213" s="16" t="n"/>
      <c r="CF213" s="20" t="n"/>
      <c r="CG213" s="20" t="inlineStr">
        <is>
          <t>None</t>
        </is>
      </c>
      <c r="CH213" s="17" t="n"/>
      <c r="CI213" s="16" t="n"/>
      <c r="CJ213" s="20" t="n"/>
      <c r="CK213" s="20" t="inlineStr">
        <is>
          <t>None</t>
        </is>
      </c>
      <c r="CL213" s="17" t="n"/>
      <c r="CM213" s="16" t="n"/>
      <c r="CN213" s="20" t="inlineStr">
        <is>
          <t>SOP 45-34</t>
        </is>
      </c>
      <c r="CO213" s="20" t="inlineStr">
        <is>
          <t>None</t>
        </is>
      </c>
      <c r="CP213" s="17" t="n"/>
      <c r="CQ213" s="16" t="n"/>
      <c r="CR213" s="20" t="n"/>
      <c r="CS213" s="20" t="inlineStr">
        <is>
          <t>None</t>
        </is>
      </c>
      <c r="CT213" s="17" t="n"/>
      <c r="CU213" s="16" t="n"/>
      <c r="CV213" s="20" t="n"/>
      <c r="CW213" s="20" t="inlineStr">
        <is>
          <t>None</t>
        </is>
      </c>
      <c r="CX213" s="17" t="n"/>
      <c r="CY213" s="16" t="n"/>
      <c r="CZ213" s="20" t="inlineStr">
        <is>
          <t>WTW Multimeter 3430 with FDO 925</t>
        </is>
      </c>
      <c r="DA213" s="20" t="inlineStr">
        <is>
          <t>None</t>
        </is>
      </c>
      <c r="DB213" s="17" t="n"/>
      <c r="DC213" s="16" t="n"/>
      <c r="DD213" s="20" t="n"/>
      <c r="DE213" s="20" t="inlineStr">
        <is>
          <t>None</t>
        </is>
      </c>
      <c r="DF213" s="17" t="n"/>
      <c r="DG213" s="16" t="n"/>
      <c r="DH213" s="20" t="inlineStr">
        <is>
          <t>SOP 45-09</t>
        </is>
      </c>
      <c r="DI213" s="20" t="inlineStr">
        <is>
          <t>None</t>
        </is>
      </c>
      <c r="DJ213" s="17" t="n"/>
      <c r="DK213" s="16" t="n"/>
      <c r="DL213" s="20" t="inlineStr">
        <is>
          <t>SOP 45-09 (SOP muss noch angepasst werden für VSS)</t>
        </is>
      </c>
      <c r="DM213" s="20" t="inlineStr">
        <is>
          <t>None</t>
        </is>
      </c>
      <c r="DN213" s="17" t="n"/>
      <c r="DO213" s="16" t="n"/>
      <c r="DP213" s="20" t="inlineStr">
        <is>
          <t>IC Organic Acids</t>
        </is>
      </c>
      <c r="DQ213" s="20" t="inlineStr">
        <is>
          <t>None</t>
        </is>
      </c>
      <c r="DR213" s="17" t="n"/>
      <c r="DS213" s="16" t="n"/>
      <c r="DT213" s="20" t="inlineStr">
        <is>
          <t>IC Organic Acids</t>
        </is>
      </c>
      <c r="DU213" s="20" t="inlineStr">
        <is>
          <t>None</t>
        </is>
      </c>
      <c r="DV213" s="17" t="n"/>
      <c r="DW213" s="16" t="n"/>
      <c r="DX213" s="20" t="inlineStr">
        <is>
          <t>IC Organic Acids</t>
        </is>
      </c>
      <c r="DY213" s="20" t="inlineStr">
        <is>
          <t>None</t>
        </is>
      </c>
      <c r="DZ213" s="17" t="n"/>
      <c r="EA213" s="16" t="n"/>
      <c r="EB213" s="20" t="inlineStr">
        <is>
          <t>IC Organic Acids</t>
        </is>
      </c>
      <c r="EC213" s="20" t="inlineStr">
        <is>
          <t>None</t>
        </is>
      </c>
      <c r="ED213" s="17" t="n"/>
      <c r="EE213" s="16" t="n"/>
      <c r="EF213" s="20" t="inlineStr">
        <is>
          <t>IC Organic Acids</t>
        </is>
      </c>
      <c r="EG213" s="20" t="inlineStr">
        <is>
          <t>None</t>
        </is>
      </c>
      <c r="EH213" s="17" t="n"/>
      <c r="EI213" s="16" t="n"/>
      <c r="EJ213" s="20" t="inlineStr">
        <is>
          <t>IC Organic Acids</t>
        </is>
      </c>
      <c r="EK213" s="20" t="inlineStr">
        <is>
          <t>None</t>
        </is>
      </c>
      <c r="EL213" s="17" t="n"/>
      <c r="EM213" s="16" t="n"/>
      <c r="EN213" s="20" t="inlineStr">
        <is>
          <t>IC Organic Acids</t>
        </is>
      </c>
      <c r="EO213" s="20" t="inlineStr">
        <is>
          <t>None</t>
        </is>
      </c>
      <c r="EP213" s="17" t="n"/>
      <c r="EQ213" s="16" t="n"/>
      <c r="ER213" s="20" t="inlineStr">
        <is>
          <t>IC Organic Acids</t>
        </is>
      </c>
      <c r="ES213" s="20" t="inlineStr">
        <is>
          <t>None</t>
        </is>
      </c>
      <c r="ET213" s="17" t="n"/>
      <c r="EU213" s="16" t="n"/>
      <c r="EV213" s="20" t="inlineStr">
        <is>
          <t>LC-MS</t>
        </is>
      </c>
      <c r="EW213" s="20" t="inlineStr">
        <is>
          <t>None</t>
        </is>
      </c>
      <c r="EX213" s="17" t="n"/>
      <c r="EY213" s="21" t="n"/>
      <c r="EZ213">
        <f>CONCATENATE(A213,B213)</f>
        <v/>
      </c>
      <c r="FA213">
        <f>CONCATENATE(SamplesX!A213,SamplesX!B213)</f>
        <v/>
      </c>
      <c r="FC213">
        <f>MATCH(EZ213,FA1:FA1008,0)</f>
        <v/>
      </c>
    </row>
    <row r="214">
      <c r="A214" s="16" t="inlineStr">
        <is>
          <t>BP</t>
        </is>
      </c>
      <c r="B214" s="17" t="inlineStr">
        <is>
          <t>25206</t>
        </is>
      </c>
      <c r="C214" s="10">
        <f>IF(ISNUMBER(FC214),INDIRECT("SamplesX!C"&amp;FC214),IF(ISNUMBER(FD214),INDIRECT("SamplesY!C"&amp;FD214),""))</f>
        <v/>
      </c>
      <c r="D214" s="12">
        <f>IF(ISNUMBER(FC214),INDIRECT("SamplesX!D"&amp;FC214),IF(ISNUMBER(FD214),INDIRECT("SamplesY!D"&amp;FD214),""))</f>
        <v/>
      </c>
      <c r="E214" s="12">
        <f>IF(ISNUMBER(FC214),INDIRECT("SamplesX!E"&amp;FC214),IF(ISNUMBER(FD214),INDIRECT("SamplesY!E"&amp;FD214),""))</f>
        <v/>
      </c>
      <c r="F214" s="11">
        <f>IF(ISNUMBER(FC214),INDIRECT("SamplesX!F"&amp;FC214),IF(ISNUMBER(FD214),INDIRECT("SamplesY!F"&amp;FD214),""))</f>
        <v/>
      </c>
      <c r="G214" s="18">
        <f>IF(ISNUMBER(FC214),INDIRECT("SamplesX!G"&amp;FC214),IF(ISNUMBER(FD214),INDIRECT("SamplesY!G"&amp;FD214),""))</f>
        <v/>
      </c>
      <c r="H214" s="19">
        <f>IF(ISNUMBER(FC214),INDIRECT("SamplesX!H"&amp;FC214),IF(ISNUMBER(FD214),INDIRECT("SamplesY!H"&amp;FD214),""))</f>
        <v/>
      </c>
      <c r="I214" s="16" t="n"/>
      <c r="J214" s="16" t="n"/>
      <c r="K214" s="16" t="n"/>
      <c r="L214" s="20" t="n"/>
      <c r="M214" s="20" t="inlineStr">
        <is>
          <t>None</t>
        </is>
      </c>
      <c r="N214" s="17" t="n"/>
      <c r="O214" s="16" t="n"/>
      <c r="P214" s="20" t="inlineStr">
        <is>
          <t>Shimadzu TOC-L</t>
        </is>
      </c>
      <c r="Q214" s="20" t="inlineStr">
        <is>
          <t>None</t>
        </is>
      </c>
      <c r="R214" s="17" t="n"/>
      <c r="S214" s="16" t="n"/>
      <c r="T214" s="20" t="inlineStr">
        <is>
          <t>Shimadzu TOC-L</t>
        </is>
      </c>
      <c r="U214" s="20" t="inlineStr">
        <is>
          <t>None</t>
        </is>
      </c>
      <c r="V214" s="17" t="n"/>
      <c r="W214" s="16" t="n"/>
      <c r="X214" s="20" t="n"/>
      <c r="Y214" s="20" t="inlineStr">
        <is>
          <t>None</t>
        </is>
      </c>
      <c r="Z214" s="17" t="n"/>
      <c r="AA214" s="16" t="n"/>
      <c r="AB214" s="20" t="n"/>
      <c r="AC214" s="20" t="inlineStr">
        <is>
          <t>None</t>
        </is>
      </c>
      <c r="AD214" s="17" t="n"/>
      <c r="AE214" s="16" t="n"/>
      <c r="AF214" s="20" t="inlineStr">
        <is>
          <t>IC Anionen</t>
        </is>
      </c>
      <c r="AG214" s="20" t="inlineStr">
        <is>
          <t>None</t>
        </is>
      </c>
      <c r="AH214" s="17" t="n"/>
      <c r="AI214" s="16" t="n"/>
      <c r="AJ214" s="20" t="n"/>
      <c r="AK214" s="20" t="inlineStr">
        <is>
          <t>None</t>
        </is>
      </c>
      <c r="AL214" s="17" t="n"/>
      <c r="AM214" s="16" t="n"/>
      <c r="AN214" s="20" t="inlineStr">
        <is>
          <t>IC Anionen</t>
        </is>
      </c>
      <c r="AO214" s="20" t="inlineStr">
        <is>
          <t>None</t>
        </is>
      </c>
      <c r="AP214" s="17" t="n"/>
      <c r="AQ214" s="16" t="n"/>
      <c r="AR214" s="20" t="n"/>
      <c r="AS214" s="20" t="inlineStr">
        <is>
          <t>None</t>
        </is>
      </c>
      <c r="AT214" s="17" t="n"/>
      <c r="AU214" s="16" t="inlineStr">
        <is>
          <t>0.30</t>
        </is>
      </c>
      <c r="AV214" s="20" t="inlineStr">
        <is>
          <t>IC Anionen</t>
        </is>
      </c>
      <c r="AW214" s="20" t="inlineStr">
        <is>
          <t>None</t>
        </is>
      </c>
      <c r="AX214" s="17" t="n"/>
      <c r="AY214" s="16" t="inlineStr">
        <is>
          <t>&lt;0.80</t>
        </is>
      </c>
      <c r="AZ214" s="20" t="inlineStr">
        <is>
          <t>IC Anionen</t>
        </is>
      </c>
      <c r="BA214" s="20" t="inlineStr">
        <is>
          <t>None</t>
        </is>
      </c>
      <c r="BB214" s="17" t="n"/>
      <c r="BC214" s="16" t="inlineStr">
        <is>
          <t>133</t>
        </is>
      </c>
      <c r="BD214" s="20" t="inlineStr">
        <is>
          <t>IC Kationen</t>
        </is>
      </c>
      <c r="BE214" s="20" t="inlineStr">
        <is>
          <t>None</t>
        </is>
      </c>
      <c r="BF214" s="17" t="n"/>
      <c r="BG214" s="16" t="inlineStr">
        <is>
          <t>15.9</t>
        </is>
      </c>
      <c r="BH214" s="20" t="inlineStr">
        <is>
          <t>IC Kationen</t>
        </is>
      </c>
      <c r="BI214" s="20" t="inlineStr">
        <is>
          <t>None</t>
        </is>
      </c>
      <c r="BJ214" s="17" t="n"/>
      <c r="BK214" s="16" t="inlineStr">
        <is>
          <t>19.3</t>
        </is>
      </c>
      <c r="BL214" s="20" t="inlineStr">
        <is>
          <t>IC Kationen</t>
        </is>
      </c>
      <c r="BM214" s="20" t="inlineStr">
        <is>
          <t>None</t>
        </is>
      </c>
      <c r="BN214" s="17" t="n"/>
      <c r="BO214" s="16" t="inlineStr">
        <is>
          <t>245</t>
        </is>
      </c>
      <c r="BP214" s="20" t="inlineStr">
        <is>
          <t>IC Kationen</t>
        </is>
      </c>
      <c r="BQ214" s="20" t="inlineStr">
        <is>
          <t>None</t>
        </is>
      </c>
      <c r="BR214" s="17" t="n"/>
      <c r="BS214" s="16" t="inlineStr">
        <is>
          <t>30.3</t>
        </is>
      </c>
      <c r="BT214" s="20" t="inlineStr">
        <is>
          <t>IC Kationen</t>
        </is>
      </c>
      <c r="BU214" s="20" t="inlineStr">
        <is>
          <t>None</t>
        </is>
      </c>
      <c r="BV214" s="17" t="n"/>
      <c r="BW214" s="16" t="n"/>
      <c r="BX214" s="20" t="n"/>
      <c r="BY214" s="20" t="inlineStr">
        <is>
          <t>None</t>
        </is>
      </c>
      <c r="BZ214" s="17" t="n"/>
      <c r="CA214" s="16" t="n"/>
      <c r="CB214" s="20" t="n"/>
      <c r="CC214" s="20" t="inlineStr">
        <is>
          <t>None</t>
        </is>
      </c>
      <c r="CD214" s="17" t="n"/>
      <c r="CE214" s="16" t="n"/>
      <c r="CF214" s="20" t="n"/>
      <c r="CG214" s="20" t="inlineStr">
        <is>
          <t>None</t>
        </is>
      </c>
      <c r="CH214" s="17" t="n"/>
      <c r="CI214" s="16" t="n"/>
      <c r="CJ214" s="20" t="n"/>
      <c r="CK214" s="20" t="inlineStr">
        <is>
          <t>None</t>
        </is>
      </c>
      <c r="CL214" s="17" t="n"/>
      <c r="CM214" s="16" t="n"/>
      <c r="CN214" s="20" t="inlineStr">
        <is>
          <t>SOP 45-34</t>
        </is>
      </c>
      <c r="CO214" s="20" t="inlineStr">
        <is>
          <t>None</t>
        </is>
      </c>
      <c r="CP214" s="17" t="n"/>
      <c r="CQ214" s="16" t="n"/>
      <c r="CR214" s="20" t="n"/>
      <c r="CS214" s="20" t="inlineStr">
        <is>
          <t>None</t>
        </is>
      </c>
      <c r="CT214" s="17" t="n"/>
      <c r="CU214" s="16" t="n"/>
      <c r="CV214" s="20" t="n"/>
      <c r="CW214" s="20" t="inlineStr">
        <is>
          <t>None</t>
        </is>
      </c>
      <c r="CX214" s="17" t="n"/>
      <c r="CY214" s="16" t="n"/>
      <c r="CZ214" s="20" t="inlineStr">
        <is>
          <t>WTW Multimeter 3430 with FDO 925</t>
        </is>
      </c>
      <c r="DA214" s="20" t="inlineStr">
        <is>
          <t>None</t>
        </is>
      </c>
      <c r="DB214" s="17" t="n"/>
      <c r="DC214" s="16" t="n"/>
      <c r="DD214" s="20" t="n"/>
      <c r="DE214" s="20" t="inlineStr">
        <is>
          <t>None</t>
        </is>
      </c>
      <c r="DF214" s="17" t="n"/>
      <c r="DG214" s="16" t="n"/>
      <c r="DH214" s="20" t="inlineStr">
        <is>
          <t>SOP 45-09</t>
        </is>
      </c>
      <c r="DI214" s="20" t="inlineStr">
        <is>
          <t>None</t>
        </is>
      </c>
      <c r="DJ214" s="17" t="n"/>
      <c r="DK214" s="16" t="n"/>
      <c r="DL214" s="20" t="inlineStr">
        <is>
          <t>SOP 45-09 (SOP muss noch angepasst werden für VSS)</t>
        </is>
      </c>
      <c r="DM214" s="20" t="inlineStr">
        <is>
          <t>None</t>
        </is>
      </c>
      <c r="DN214" s="17" t="n"/>
      <c r="DO214" s="16" t="n"/>
      <c r="DP214" s="20" t="inlineStr">
        <is>
          <t>IC Organic Acids</t>
        </is>
      </c>
      <c r="DQ214" s="20" t="inlineStr">
        <is>
          <t>None</t>
        </is>
      </c>
      <c r="DR214" s="17" t="n"/>
      <c r="DS214" s="16" t="n"/>
      <c r="DT214" s="20" t="inlineStr">
        <is>
          <t>IC Organic Acids</t>
        </is>
      </c>
      <c r="DU214" s="20" t="inlineStr">
        <is>
          <t>None</t>
        </is>
      </c>
      <c r="DV214" s="17" t="n"/>
      <c r="DW214" s="16" t="n"/>
      <c r="DX214" s="20" t="inlineStr">
        <is>
          <t>IC Organic Acids</t>
        </is>
      </c>
      <c r="DY214" s="20" t="inlineStr">
        <is>
          <t>None</t>
        </is>
      </c>
      <c r="DZ214" s="17" t="n"/>
      <c r="EA214" s="16" t="n"/>
      <c r="EB214" s="20" t="inlineStr">
        <is>
          <t>IC Organic Acids</t>
        </is>
      </c>
      <c r="EC214" s="20" t="inlineStr">
        <is>
          <t>None</t>
        </is>
      </c>
      <c r="ED214" s="17" t="n"/>
      <c r="EE214" s="16" t="n"/>
      <c r="EF214" s="20" t="inlineStr">
        <is>
          <t>IC Organic Acids</t>
        </is>
      </c>
      <c r="EG214" s="20" t="inlineStr">
        <is>
          <t>None</t>
        </is>
      </c>
      <c r="EH214" s="17" t="n"/>
      <c r="EI214" s="16" t="n"/>
      <c r="EJ214" s="20" t="inlineStr">
        <is>
          <t>IC Organic Acids</t>
        </is>
      </c>
      <c r="EK214" s="20" t="inlineStr">
        <is>
          <t>None</t>
        </is>
      </c>
      <c r="EL214" s="17" t="n"/>
      <c r="EM214" s="16" t="n"/>
      <c r="EN214" s="20" t="inlineStr">
        <is>
          <t>IC Organic Acids</t>
        </is>
      </c>
      <c r="EO214" s="20" t="inlineStr">
        <is>
          <t>None</t>
        </is>
      </c>
      <c r="EP214" s="17" t="n"/>
      <c r="EQ214" s="16" t="n"/>
      <c r="ER214" s="20" t="inlineStr">
        <is>
          <t>IC Organic Acids</t>
        </is>
      </c>
      <c r="ES214" s="20" t="inlineStr">
        <is>
          <t>None</t>
        </is>
      </c>
      <c r="ET214" s="17" t="n"/>
      <c r="EU214" s="16" t="n"/>
      <c r="EV214" s="20" t="inlineStr">
        <is>
          <t>LC-MS</t>
        </is>
      </c>
      <c r="EW214" s="20" t="inlineStr">
        <is>
          <t>None</t>
        </is>
      </c>
      <c r="EX214" s="17" t="n"/>
      <c r="EY214" s="21" t="n"/>
      <c r="EZ214">
        <f>CONCATENATE(A214,B214)</f>
        <v/>
      </c>
      <c r="FA214">
        <f>CONCATENATE(SamplesX!A214,SamplesX!B214)</f>
        <v/>
      </c>
      <c r="FC214">
        <f>MATCH(EZ214,FA1:FA1008,0)</f>
        <v/>
      </c>
    </row>
    <row r="215">
      <c r="A215" s="16" t="inlineStr">
        <is>
          <t>BP</t>
        </is>
      </c>
      <c r="B215" s="17" t="inlineStr">
        <is>
          <t>25207</t>
        </is>
      </c>
      <c r="C215" s="10">
        <f>IF(ISNUMBER(FC215),INDIRECT("SamplesX!C"&amp;FC215),IF(ISNUMBER(FD215),INDIRECT("SamplesY!C"&amp;FD215),""))</f>
        <v/>
      </c>
      <c r="D215" s="12">
        <f>IF(ISNUMBER(FC215),INDIRECT("SamplesX!D"&amp;FC215),IF(ISNUMBER(FD215),INDIRECT("SamplesY!D"&amp;FD215),""))</f>
        <v/>
      </c>
      <c r="E215" s="12">
        <f>IF(ISNUMBER(FC215),INDIRECT("SamplesX!E"&amp;FC215),IF(ISNUMBER(FD215),INDIRECT("SamplesY!E"&amp;FD215),""))</f>
        <v/>
      </c>
      <c r="F215" s="11">
        <f>IF(ISNUMBER(FC215),INDIRECT("SamplesX!F"&amp;FC215),IF(ISNUMBER(FD215),INDIRECT("SamplesY!F"&amp;FD215),""))</f>
        <v/>
      </c>
      <c r="G215" s="18">
        <f>IF(ISNUMBER(FC215),INDIRECT("SamplesX!G"&amp;FC215),IF(ISNUMBER(FD215),INDIRECT("SamplesY!G"&amp;FD215),""))</f>
        <v/>
      </c>
      <c r="H215" s="19">
        <f>IF(ISNUMBER(FC215),INDIRECT("SamplesX!H"&amp;FC215),IF(ISNUMBER(FD215),INDIRECT("SamplesY!H"&amp;FD215),""))</f>
        <v/>
      </c>
      <c r="I215" s="16" t="n"/>
      <c r="J215" s="16" t="n"/>
      <c r="K215" s="16" t="n"/>
      <c r="L215" s="20" t="n"/>
      <c r="M215" s="20" t="inlineStr">
        <is>
          <t>None</t>
        </is>
      </c>
      <c r="N215" s="17" t="n"/>
      <c r="O215" s="16" t="n"/>
      <c r="P215" s="20" t="inlineStr">
        <is>
          <t>Shimadzu TOC-L</t>
        </is>
      </c>
      <c r="Q215" s="20" t="inlineStr">
        <is>
          <t>None</t>
        </is>
      </c>
      <c r="R215" s="17" t="n"/>
      <c r="S215" s="16" t="n"/>
      <c r="T215" s="20" t="inlineStr">
        <is>
          <t>Shimadzu TOC-L</t>
        </is>
      </c>
      <c r="U215" s="20" t="inlineStr">
        <is>
          <t>None</t>
        </is>
      </c>
      <c r="V215" s="17" t="n"/>
      <c r="W215" s="16" t="n"/>
      <c r="X215" s="20" t="n"/>
      <c r="Y215" s="20" t="inlineStr">
        <is>
          <t>None</t>
        </is>
      </c>
      <c r="Z215" s="17" t="n"/>
      <c r="AA215" s="16" t="n"/>
      <c r="AB215" s="20" t="n"/>
      <c r="AC215" s="20" t="inlineStr">
        <is>
          <t>None</t>
        </is>
      </c>
      <c r="AD215" s="17" t="n"/>
      <c r="AE215" s="16" t="n"/>
      <c r="AF215" s="20" t="inlineStr">
        <is>
          <t>IC Anionen</t>
        </is>
      </c>
      <c r="AG215" s="20" t="inlineStr">
        <is>
          <t>None</t>
        </is>
      </c>
      <c r="AH215" s="17" t="n"/>
      <c r="AI215" s="16" t="n"/>
      <c r="AJ215" s="20" t="n"/>
      <c r="AK215" s="20" t="inlineStr">
        <is>
          <t>None</t>
        </is>
      </c>
      <c r="AL215" s="17" t="n"/>
      <c r="AM215" s="16" t="n"/>
      <c r="AN215" s="20" t="inlineStr">
        <is>
          <t>IC Anionen</t>
        </is>
      </c>
      <c r="AO215" s="20" t="inlineStr">
        <is>
          <t>None</t>
        </is>
      </c>
      <c r="AP215" s="17" t="n"/>
      <c r="AQ215" s="16" t="n"/>
      <c r="AR215" s="20" t="n"/>
      <c r="AS215" s="20" t="inlineStr">
        <is>
          <t>None</t>
        </is>
      </c>
      <c r="AT215" s="17" t="n"/>
      <c r="AU215" s="16" t="inlineStr">
        <is>
          <t>&lt;0.13</t>
        </is>
      </c>
      <c r="AV215" s="20" t="inlineStr">
        <is>
          <t>IC Anionen</t>
        </is>
      </c>
      <c r="AW215" s="20" t="inlineStr">
        <is>
          <t>None</t>
        </is>
      </c>
      <c r="AX215" s="17" t="n"/>
      <c r="AY215" s="16" t="inlineStr">
        <is>
          <t>&lt;0.80</t>
        </is>
      </c>
      <c r="AZ215" s="20" t="inlineStr">
        <is>
          <t>IC Anionen</t>
        </is>
      </c>
      <c r="BA215" s="20" t="inlineStr">
        <is>
          <t>None</t>
        </is>
      </c>
      <c r="BB215" s="17" t="n"/>
      <c r="BC215" s="16" t="inlineStr">
        <is>
          <t>127</t>
        </is>
      </c>
      <c r="BD215" s="20" t="inlineStr">
        <is>
          <t>IC Kationen</t>
        </is>
      </c>
      <c r="BE215" s="20" t="inlineStr">
        <is>
          <t>None</t>
        </is>
      </c>
      <c r="BF215" s="17" t="n"/>
      <c r="BG215" s="16" t="inlineStr">
        <is>
          <t>&lt;1.6</t>
        </is>
      </c>
      <c r="BH215" s="20" t="inlineStr">
        <is>
          <t>IC Kationen</t>
        </is>
      </c>
      <c r="BI215" s="20" t="inlineStr">
        <is>
          <t>None</t>
        </is>
      </c>
      <c r="BJ215" s="17" t="n"/>
      <c r="BK215" s="16" t="inlineStr">
        <is>
          <t>16.5</t>
        </is>
      </c>
      <c r="BL215" s="20" t="inlineStr">
        <is>
          <t>IC Kationen</t>
        </is>
      </c>
      <c r="BM215" s="20" t="inlineStr">
        <is>
          <t>None</t>
        </is>
      </c>
      <c r="BN215" s="17" t="n"/>
      <c r="BO215" s="16" t="inlineStr">
        <is>
          <t>199</t>
        </is>
      </c>
      <c r="BP215" s="20" t="inlineStr">
        <is>
          <t>IC Kationen</t>
        </is>
      </c>
      <c r="BQ215" s="20" t="inlineStr">
        <is>
          <t>None</t>
        </is>
      </c>
      <c r="BR215" s="17" t="n"/>
      <c r="BS215" s="16" t="inlineStr">
        <is>
          <t>28.3</t>
        </is>
      </c>
      <c r="BT215" s="20" t="inlineStr">
        <is>
          <t>IC Kationen</t>
        </is>
      </c>
      <c r="BU215" s="20" t="inlineStr">
        <is>
          <t>None</t>
        </is>
      </c>
      <c r="BV215" s="17" t="n"/>
      <c r="BW215" s="16" t="n"/>
      <c r="BX215" s="20" t="n"/>
      <c r="BY215" s="20" t="inlineStr">
        <is>
          <t>None</t>
        </is>
      </c>
      <c r="BZ215" s="17" t="n"/>
      <c r="CA215" s="16" t="n"/>
      <c r="CB215" s="20" t="n"/>
      <c r="CC215" s="20" t="inlineStr">
        <is>
          <t>None</t>
        </is>
      </c>
      <c r="CD215" s="17" t="n"/>
      <c r="CE215" s="16" t="n"/>
      <c r="CF215" s="20" t="n"/>
      <c r="CG215" s="20" t="inlineStr">
        <is>
          <t>None</t>
        </is>
      </c>
      <c r="CH215" s="17" t="n"/>
      <c r="CI215" s="16" t="n"/>
      <c r="CJ215" s="20" t="n"/>
      <c r="CK215" s="20" t="inlineStr">
        <is>
          <t>None</t>
        </is>
      </c>
      <c r="CL215" s="17" t="n"/>
      <c r="CM215" s="16" t="n"/>
      <c r="CN215" s="20" t="inlineStr">
        <is>
          <t>SOP 45-34</t>
        </is>
      </c>
      <c r="CO215" s="20" t="inlineStr">
        <is>
          <t>None</t>
        </is>
      </c>
      <c r="CP215" s="17" t="n"/>
      <c r="CQ215" s="16" t="n"/>
      <c r="CR215" s="20" t="n"/>
      <c r="CS215" s="20" t="inlineStr">
        <is>
          <t>None</t>
        </is>
      </c>
      <c r="CT215" s="17" t="n"/>
      <c r="CU215" s="16" t="n"/>
      <c r="CV215" s="20" t="n"/>
      <c r="CW215" s="20" t="inlineStr">
        <is>
          <t>None</t>
        </is>
      </c>
      <c r="CX215" s="17" t="n"/>
      <c r="CY215" s="16" t="n"/>
      <c r="CZ215" s="20" t="inlineStr">
        <is>
          <t>WTW Multimeter 3430 with FDO 925</t>
        </is>
      </c>
      <c r="DA215" s="20" t="inlineStr">
        <is>
          <t>None</t>
        </is>
      </c>
      <c r="DB215" s="17" t="n"/>
      <c r="DC215" s="16" t="n"/>
      <c r="DD215" s="20" t="n"/>
      <c r="DE215" s="20" t="inlineStr">
        <is>
          <t>None</t>
        </is>
      </c>
      <c r="DF215" s="17" t="n"/>
      <c r="DG215" s="16" t="n"/>
      <c r="DH215" s="20" t="inlineStr">
        <is>
          <t>SOP 45-09</t>
        </is>
      </c>
      <c r="DI215" s="20" t="inlineStr">
        <is>
          <t>None</t>
        </is>
      </c>
      <c r="DJ215" s="17" t="n"/>
      <c r="DK215" s="16" t="n"/>
      <c r="DL215" s="20" t="inlineStr">
        <is>
          <t>SOP 45-09 (SOP muss noch angepasst werden für VSS)</t>
        </is>
      </c>
      <c r="DM215" s="20" t="inlineStr">
        <is>
          <t>None</t>
        </is>
      </c>
      <c r="DN215" s="17" t="n"/>
      <c r="DO215" s="16" t="n"/>
      <c r="DP215" s="20" t="inlineStr">
        <is>
          <t>IC Organic Acids</t>
        </is>
      </c>
      <c r="DQ215" s="20" t="inlineStr">
        <is>
          <t>None</t>
        </is>
      </c>
      <c r="DR215" s="17" t="n"/>
      <c r="DS215" s="16" t="n"/>
      <c r="DT215" s="20" t="inlineStr">
        <is>
          <t>IC Organic Acids</t>
        </is>
      </c>
      <c r="DU215" s="20" t="inlineStr">
        <is>
          <t>None</t>
        </is>
      </c>
      <c r="DV215" s="17" t="n"/>
      <c r="DW215" s="16" t="n"/>
      <c r="DX215" s="20" t="inlineStr">
        <is>
          <t>IC Organic Acids</t>
        </is>
      </c>
      <c r="DY215" s="20" t="inlineStr">
        <is>
          <t>None</t>
        </is>
      </c>
      <c r="DZ215" s="17" t="n"/>
      <c r="EA215" s="16" t="n"/>
      <c r="EB215" s="20" t="inlineStr">
        <is>
          <t>IC Organic Acids</t>
        </is>
      </c>
      <c r="EC215" s="20" t="inlineStr">
        <is>
          <t>None</t>
        </is>
      </c>
      <c r="ED215" s="17" t="n"/>
      <c r="EE215" s="16" t="n"/>
      <c r="EF215" s="20" t="inlineStr">
        <is>
          <t>IC Organic Acids</t>
        </is>
      </c>
      <c r="EG215" s="20" t="inlineStr">
        <is>
          <t>None</t>
        </is>
      </c>
      <c r="EH215" s="17" t="n"/>
      <c r="EI215" s="16" t="n"/>
      <c r="EJ215" s="20" t="inlineStr">
        <is>
          <t>IC Organic Acids</t>
        </is>
      </c>
      <c r="EK215" s="20" t="inlineStr">
        <is>
          <t>None</t>
        </is>
      </c>
      <c r="EL215" s="17" t="n"/>
      <c r="EM215" s="16" t="n"/>
      <c r="EN215" s="20" t="inlineStr">
        <is>
          <t>IC Organic Acids</t>
        </is>
      </c>
      <c r="EO215" s="20" t="inlineStr">
        <is>
          <t>None</t>
        </is>
      </c>
      <c r="EP215" s="17" t="n"/>
      <c r="EQ215" s="16" t="n"/>
      <c r="ER215" s="20" t="inlineStr">
        <is>
          <t>IC Organic Acids</t>
        </is>
      </c>
      <c r="ES215" s="20" t="inlineStr">
        <is>
          <t>None</t>
        </is>
      </c>
      <c r="ET215" s="17" t="n"/>
      <c r="EU215" s="16" t="n"/>
      <c r="EV215" s="20" t="inlineStr">
        <is>
          <t>LC-MS</t>
        </is>
      </c>
      <c r="EW215" s="20" t="inlineStr">
        <is>
          <t>None</t>
        </is>
      </c>
      <c r="EX215" s="17" t="n"/>
      <c r="EY215" s="21" t="n"/>
      <c r="EZ215">
        <f>CONCATENATE(A215,B215)</f>
        <v/>
      </c>
      <c r="FA215">
        <f>CONCATENATE(SamplesX!A215,SamplesX!B215)</f>
        <v/>
      </c>
      <c r="FC215">
        <f>MATCH(EZ215,FA1:FA1008,0)</f>
        <v/>
      </c>
    </row>
    <row r="216">
      <c r="A216" s="16" t="inlineStr">
        <is>
          <t>BP</t>
        </is>
      </c>
      <c r="B216" s="17" t="inlineStr">
        <is>
          <t>25208</t>
        </is>
      </c>
      <c r="C216" s="10">
        <f>IF(ISNUMBER(FC216),INDIRECT("SamplesX!C"&amp;FC216),IF(ISNUMBER(FD216),INDIRECT("SamplesY!C"&amp;FD216),""))</f>
        <v/>
      </c>
      <c r="D216" s="12">
        <f>IF(ISNUMBER(FC216),INDIRECT("SamplesX!D"&amp;FC216),IF(ISNUMBER(FD216),INDIRECT("SamplesY!D"&amp;FD216),""))</f>
        <v/>
      </c>
      <c r="E216" s="12">
        <f>IF(ISNUMBER(FC216),INDIRECT("SamplesX!E"&amp;FC216),IF(ISNUMBER(FD216),INDIRECT("SamplesY!E"&amp;FD216),""))</f>
        <v/>
      </c>
      <c r="F216" s="11">
        <f>IF(ISNUMBER(FC216),INDIRECT("SamplesX!F"&amp;FC216),IF(ISNUMBER(FD216),INDIRECT("SamplesY!F"&amp;FD216),""))</f>
        <v/>
      </c>
      <c r="G216" s="18">
        <f>IF(ISNUMBER(FC216),INDIRECT("SamplesX!G"&amp;FC216),IF(ISNUMBER(FD216),INDIRECT("SamplesY!G"&amp;FD216),""))</f>
        <v/>
      </c>
      <c r="H216" s="19">
        <f>IF(ISNUMBER(FC216),INDIRECT("SamplesX!H"&amp;FC216),IF(ISNUMBER(FD216),INDIRECT("SamplesY!H"&amp;FD216),""))</f>
        <v/>
      </c>
      <c r="I216" s="16" t="n"/>
      <c r="J216" s="16" t="n"/>
      <c r="K216" s="16" t="n"/>
      <c r="L216" s="20" t="n"/>
      <c r="M216" s="20" t="inlineStr">
        <is>
          <t>None</t>
        </is>
      </c>
      <c r="N216" s="17" t="n"/>
      <c r="O216" s="16" t="n"/>
      <c r="P216" s="20" t="inlineStr">
        <is>
          <t>Shimadzu TOC-L</t>
        </is>
      </c>
      <c r="Q216" s="20" t="inlineStr">
        <is>
          <t>None</t>
        </is>
      </c>
      <c r="R216" s="17" t="n"/>
      <c r="S216" s="16" t="n"/>
      <c r="T216" s="20" t="inlineStr">
        <is>
          <t>Shimadzu TOC-L</t>
        </is>
      </c>
      <c r="U216" s="20" t="inlineStr">
        <is>
          <t>None</t>
        </is>
      </c>
      <c r="V216" s="17" t="n"/>
      <c r="W216" s="16" t="n"/>
      <c r="X216" s="20" t="n"/>
      <c r="Y216" s="20" t="inlineStr">
        <is>
          <t>None</t>
        </is>
      </c>
      <c r="Z216" s="17" t="n"/>
      <c r="AA216" s="16" t="n"/>
      <c r="AB216" s="20" t="n"/>
      <c r="AC216" s="20" t="inlineStr">
        <is>
          <t>None</t>
        </is>
      </c>
      <c r="AD216" s="17" t="n"/>
      <c r="AE216" s="16" t="n"/>
      <c r="AF216" s="20" t="inlineStr">
        <is>
          <t>IC Anionen</t>
        </is>
      </c>
      <c r="AG216" s="20" t="inlineStr">
        <is>
          <t>None</t>
        </is>
      </c>
      <c r="AH216" s="17" t="n"/>
      <c r="AI216" s="16" t="n"/>
      <c r="AJ216" s="20" t="n"/>
      <c r="AK216" s="20" t="inlineStr">
        <is>
          <t>None</t>
        </is>
      </c>
      <c r="AL216" s="17" t="n"/>
      <c r="AM216" s="16" t="n"/>
      <c r="AN216" s="20" t="inlineStr">
        <is>
          <t>IC Anionen</t>
        </is>
      </c>
      <c r="AO216" s="20" t="inlineStr">
        <is>
          <t>None</t>
        </is>
      </c>
      <c r="AP216" s="17" t="n"/>
      <c r="AQ216" s="16" t="n"/>
      <c r="AR216" s="20" t="n"/>
      <c r="AS216" s="20" t="inlineStr">
        <is>
          <t>None</t>
        </is>
      </c>
      <c r="AT216" s="17" t="n"/>
      <c r="AU216" s="16" t="inlineStr">
        <is>
          <t>3.93</t>
        </is>
      </c>
      <c r="AV216" s="20" t="inlineStr">
        <is>
          <t>IC Anionen</t>
        </is>
      </c>
      <c r="AW216" s="20" t="inlineStr">
        <is>
          <t>None</t>
        </is>
      </c>
      <c r="AX216" s="17" t="n"/>
      <c r="AY216" s="16" t="inlineStr">
        <is>
          <t>4.31</t>
        </is>
      </c>
      <c r="AZ216" s="20" t="inlineStr">
        <is>
          <t>IC Anionen</t>
        </is>
      </c>
      <c r="BA216" s="20" t="inlineStr">
        <is>
          <t>None</t>
        </is>
      </c>
      <c r="BB216" s="17" t="n"/>
      <c r="BC216" s="16" t="inlineStr">
        <is>
          <t>96.5</t>
        </is>
      </c>
      <c r="BD216" s="20" t="inlineStr">
        <is>
          <t>IC Kationen</t>
        </is>
      </c>
      <c r="BE216" s="20" t="inlineStr">
        <is>
          <t>None</t>
        </is>
      </c>
      <c r="BF216" s="17" t="n"/>
      <c r="BG216" s="16" t="inlineStr">
        <is>
          <t>&lt;1.6</t>
        </is>
      </c>
      <c r="BH216" s="20" t="inlineStr">
        <is>
          <t>IC Kationen</t>
        </is>
      </c>
      <c r="BI216" s="20" t="inlineStr">
        <is>
          <t>None</t>
        </is>
      </c>
      <c r="BJ216" s="17" t="n"/>
      <c r="BK216" s="16" t="inlineStr">
        <is>
          <t>17.6</t>
        </is>
      </c>
      <c r="BL216" s="20" t="inlineStr">
        <is>
          <t>IC Kationen</t>
        </is>
      </c>
      <c r="BM216" s="20" t="inlineStr">
        <is>
          <t>None</t>
        </is>
      </c>
      <c r="BN216" s="17" t="n"/>
      <c r="BO216" s="16" t="inlineStr">
        <is>
          <t>166</t>
        </is>
      </c>
      <c r="BP216" s="20" t="inlineStr">
        <is>
          <t>IC Kationen</t>
        </is>
      </c>
      <c r="BQ216" s="20" t="inlineStr">
        <is>
          <t>None</t>
        </is>
      </c>
      <c r="BR216" s="17" t="n"/>
      <c r="BS216" s="16" t="inlineStr">
        <is>
          <t>20.4</t>
        </is>
      </c>
      <c r="BT216" s="20" t="inlineStr">
        <is>
          <t>IC Kationen</t>
        </is>
      </c>
      <c r="BU216" s="20" t="inlineStr">
        <is>
          <t>None</t>
        </is>
      </c>
      <c r="BV216" s="17" t="n"/>
      <c r="BW216" s="16" t="n"/>
      <c r="BX216" s="20" t="n"/>
      <c r="BY216" s="20" t="inlineStr">
        <is>
          <t>None</t>
        </is>
      </c>
      <c r="BZ216" s="17" t="n"/>
      <c r="CA216" s="16" t="n"/>
      <c r="CB216" s="20" t="n"/>
      <c r="CC216" s="20" t="inlineStr">
        <is>
          <t>None</t>
        </is>
      </c>
      <c r="CD216" s="17" t="n"/>
      <c r="CE216" s="16" t="n"/>
      <c r="CF216" s="20" t="n"/>
      <c r="CG216" s="20" t="inlineStr">
        <is>
          <t>None</t>
        </is>
      </c>
      <c r="CH216" s="17" t="n"/>
      <c r="CI216" s="16" t="n"/>
      <c r="CJ216" s="20" t="n"/>
      <c r="CK216" s="20" t="inlineStr">
        <is>
          <t>None</t>
        </is>
      </c>
      <c r="CL216" s="17" t="n"/>
      <c r="CM216" s="16" t="n"/>
      <c r="CN216" s="20" t="inlineStr">
        <is>
          <t>SOP 45-34</t>
        </is>
      </c>
      <c r="CO216" s="20" t="inlineStr">
        <is>
          <t>None</t>
        </is>
      </c>
      <c r="CP216" s="17" t="n"/>
      <c r="CQ216" s="16" t="n"/>
      <c r="CR216" s="20" t="n"/>
      <c r="CS216" s="20" t="inlineStr">
        <is>
          <t>None</t>
        </is>
      </c>
      <c r="CT216" s="17" t="n"/>
      <c r="CU216" s="16" t="n"/>
      <c r="CV216" s="20" t="n"/>
      <c r="CW216" s="20" t="inlineStr">
        <is>
          <t>None</t>
        </is>
      </c>
      <c r="CX216" s="17" t="n"/>
      <c r="CY216" s="16" t="n"/>
      <c r="CZ216" s="20" t="inlineStr">
        <is>
          <t>WTW Multimeter 3430 with FDO 925</t>
        </is>
      </c>
      <c r="DA216" s="20" t="inlineStr">
        <is>
          <t>None</t>
        </is>
      </c>
      <c r="DB216" s="17" t="n"/>
      <c r="DC216" s="16" t="n"/>
      <c r="DD216" s="20" t="n"/>
      <c r="DE216" s="20" t="inlineStr">
        <is>
          <t>None</t>
        </is>
      </c>
      <c r="DF216" s="17" t="n"/>
      <c r="DG216" s="16" t="n"/>
      <c r="DH216" s="20" t="inlineStr">
        <is>
          <t>SOP 45-09</t>
        </is>
      </c>
      <c r="DI216" s="20" t="inlineStr">
        <is>
          <t>None</t>
        </is>
      </c>
      <c r="DJ216" s="17" t="n"/>
      <c r="DK216" s="16" t="n"/>
      <c r="DL216" s="20" t="inlineStr">
        <is>
          <t>SOP 45-09 (SOP muss noch angepasst werden für VSS)</t>
        </is>
      </c>
      <c r="DM216" s="20" t="inlineStr">
        <is>
          <t>None</t>
        </is>
      </c>
      <c r="DN216" s="17" t="n"/>
      <c r="DO216" s="16" t="n"/>
      <c r="DP216" s="20" t="inlineStr">
        <is>
          <t>IC Organic Acids</t>
        </is>
      </c>
      <c r="DQ216" s="20" t="inlineStr">
        <is>
          <t>None</t>
        </is>
      </c>
      <c r="DR216" s="17" t="n"/>
      <c r="DS216" s="16" t="n"/>
      <c r="DT216" s="20" t="inlineStr">
        <is>
          <t>IC Organic Acids</t>
        </is>
      </c>
      <c r="DU216" s="20" t="inlineStr">
        <is>
          <t>None</t>
        </is>
      </c>
      <c r="DV216" s="17" t="n"/>
      <c r="DW216" s="16" t="n"/>
      <c r="DX216" s="20" t="inlineStr">
        <is>
          <t>IC Organic Acids</t>
        </is>
      </c>
      <c r="DY216" s="20" t="inlineStr">
        <is>
          <t>None</t>
        </is>
      </c>
      <c r="DZ216" s="17" t="n"/>
      <c r="EA216" s="16" t="n"/>
      <c r="EB216" s="20" t="inlineStr">
        <is>
          <t>IC Organic Acids</t>
        </is>
      </c>
      <c r="EC216" s="20" t="inlineStr">
        <is>
          <t>None</t>
        </is>
      </c>
      <c r="ED216" s="17" t="n"/>
      <c r="EE216" s="16" t="n"/>
      <c r="EF216" s="20" t="inlineStr">
        <is>
          <t>IC Organic Acids</t>
        </is>
      </c>
      <c r="EG216" s="20" t="inlineStr">
        <is>
          <t>None</t>
        </is>
      </c>
      <c r="EH216" s="17" t="n"/>
      <c r="EI216" s="16" t="n"/>
      <c r="EJ216" s="20" t="inlineStr">
        <is>
          <t>IC Organic Acids</t>
        </is>
      </c>
      <c r="EK216" s="20" t="inlineStr">
        <is>
          <t>None</t>
        </is>
      </c>
      <c r="EL216" s="17" t="n"/>
      <c r="EM216" s="16" t="n"/>
      <c r="EN216" s="20" t="inlineStr">
        <is>
          <t>IC Organic Acids</t>
        </is>
      </c>
      <c r="EO216" s="20" t="inlineStr">
        <is>
          <t>None</t>
        </is>
      </c>
      <c r="EP216" s="17" t="n"/>
      <c r="EQ216" s="16" t="n"/>
      <c r="ER216" s="20" t="inlineStr">
        <is>
          <t>IC Organic Acids</t>
        </is>
      </c>
      <c r="ES216" s="20" t="inlineStr">
        <is>
          <t>None</t>
        </is>
      </c>
      <c r="ET216" s="17" t="n"/>
      <c r="EU216" s="16" t="n"/>
      <c r="EV216" s="20" t="inlineStr">
        <is>
          <t>LC-MS</t>
        </is>
      </c>
      <c r="EW216" s="20" t="inlineStr">
        <is>
          <t>None</t>
        </is>
      </c>
      <c r="EX216" s="17" t="n"/>
      <c r="EY216" s="21" t="n"/>
      <c r="EZ216">
        <f>CONCATENATE(A216,B216)</f>
        <v/>
      </c>
      <c r="FA216">
        <f>CONCATENATE(SamplesX!A216,SamplesX!B216)</f>
        <v/>
      </c>
      <c r="FC216">
        <f>MATCH(EZ216,FA1:FA1008,0)</f>
        <v/>
      </c>
    </row>
    <row r="217">
      <c r="A217" s="16" t="inlineStr">
        <is>
          <t>BP</t>
        </is>
      </c>
      <c r="B217" s="17" t="inlineStr">
        <is>
          <t>25209</t>
        </is>
      </c>
      <c r="C217" s="10">
        <f>IF(ISNUMBER(FC217),INDIRECT("SamplesX!C"&amp;FC217),IF(ISNUMBER(FD217),INDIRECT("SamplesY!C"&amp;FD217),""))</f>
        <v/>
      </c>
      <c r="D217" s="12">
        <f>IF(ISNUMBER(FC217),INDIRECT("SamplesX!D"&amp;FC217),IF(ISNUMBER(FD217),INDIRECT("SamplesY!D"&amp;FD217),""))</f>
        <v/>
      </c>
      <c r="E217" s="12">
        <f>IF(ISNUMBER(FC217),INDIRECT("SamplesX!E"&amp;FC217),IF(ISNUMBER(FD217),INDIRECT("SamplesY!E"&amp;FD217),""))</f>
        <v/>
      </c>
      <c r="F217" s="11">
        <f>IF(ISNUMBER(FC217),INDIRECT("SamplesX!F"&amp;FC217),IF(ISNUMBER(FD217),INDIRECT("SamplesY!F"&amp;FD217),""))</f>
        <v/>
      </c>
      <c r="G217" s="18">
        <f>IF(ISNUMBER(FC217),INDIRECT("SamplesX!G"&amp;FC217),IF(ISNUMBER(FD217),INDIRECT("SamplesY!G"&amp;FD217),""))</f>
        <v/>
      </c>
      <c r="H217" s="19">
        <f>IF(ISNUMBER(FC217),INDIRECT("SamplesX!H"&amp;FC217),IF(ISNUMBER(FD217),INDIRECT("SamplesY!H"&amp;FD217),""))</f>
        <v/>
      </c>
      <c r="I217" s="16" t="n"/>
      <c r="J217" s="16" t="n"/>
      <c r="K217" s="16" t="n"/>
      <c r="L217" s="20" t="n"/>
      <c r="M217" s="20" t="inlineStr">
        <is>
          <t>None</t>
        </is>
      </c>
      <c r="N217" s="17" t="n"/>
      <c r="O217" s="16" t="n"/>
      <c r="P217" s="20" t="inlineStr">
        <is>
          <t>Shimadzu TOC-L</t>
        </is>
      </c>
      <c r="Q217" s="20" t="inlineStr">
        <is>
          <t>None</t>
        </is>
      </c>
      <c r="R217" s="17" t="n"/>
      <c r="S217" s="16" t="n"/>
      <c r="T217" s="20" t="inlineStr">
        <is>
          <t>Shimadzu TOC-L</t>
        </is>
      </c>
      <c r="U217" s="20" t="inlineStr">
        <is>
          <t>None</t>
        </is>
      </c>
      <c r="V217" s="17" t="n"/>
      <c r="W217" s="16" t="n"/>
      <c r="X217" s="20" t="n"/>
      <c r="Y217" s="20" t="inlineStr">
        <is>
          <t>None</t>
        </is>
      </c>
      <c r="Z217" s="17" t="n"/>
      <c r="AA217" s="16" t="n"/>
      <c r="AB217" s="20" t="n"/>
      <c r="AC217" s="20" t="inlineStr">
        <is>
          <t>None</t>
        </is>
      </c>
      <c r="AD217" s="17" t="n"/>
      <c r="AE217" s="16" t="n"/>
      <c r="AF217" s="20" t="inlineStr">
        <is>
          <t>IC Anionen</t>
        </is>
      </c>
      <c r="AG217" s="20" t="inlineStr">
        <is>
          <t>None</t>
        </is>
      </c>
      <c r="AH217" s="17" t="n"/>
      <c r="AI217" s="16" t="n"/>
      <c r="AJ217" s="20" t="n"/>
      <c r="AK217" s="20" t="inlineStr">
        <is>
          <t>None</t>
        </is>
      </c>
      <c r="AL217" s="17" t="n"/>
      <c r="AM217" s="16" t="n"/>
      <c r="AN217" s="20" t="inlineStr">
        <is>
          <t>IC Anionen</t>
        </is>
      </c>
      <c r="AO217" s="20" t="inlineStr">
        <is>
          <t>None</t>
        </is>
      </c>
      <c r="AP217" s="17" t="n"/>
      <c r="AQ217" s="16" t="n"/>
      <c r="AR217" s="20" t="n"/>
      <c r="AS217" s="20" t="inlineStr">
        <is>
          <t>None</t>
        </is>
      </c>
      <c r="AT217" s="17" t="n"/>
      <c r="AU217" s="16" t="inlineStr">
        <is>
          <t>16.1</t>
        </is>
      </c>
      <c r="AV217" s="20" t="inlineStr">
        <is>
          <t>IC Anionen</t>
        </is>
      </c>
      <c r="AW217" s="20" t="inlineStr">
        <is>
          <t>None</t>
        </is>
      </c>
      <c r="AX217" s="17" t="n"/>
      <c r="AY217" s="16" t="inlineStr">
        <is>
          <t>1.28</t>
        </is>
      </c>
      <c r="AZ217" s="20" t="inlineStr">
        <is>
          <t>IC Anionen</t>
        </is>
      </c>
      <c r="BA217" s="20" t="inlineStr">
        <is>
          <t>None</t>
        </is>
      </c>
      <c r="BB217" s="17" t="n"/>
      <c r="BC217" s="16" t="inlineStr">
        <is>
          <t>130</t>
        </is>
      </c>
      <c r="BD217" s="20" t="inlineStr">
        <is>
          <t>IC Kationen</t>
        </is>
      </c>
      <c r="BE217" s="20" t="inlineStr">
        <is>
          <t>None</t>
        </is>
      </c>
      <c r="BF217" s="17" t="n"/>
      <c r="BG217" s="16" t="inlineStr">
        <is>
          <t>25.3</t>
        </is>
      </c>
      <c r="BH217" s="20" t="inlineStr">
        <is>
          <t>IC Kationen</t>
        </is>
      </c>
      <c r="BI217" s="20" t="inlineStr">
        <is>
          <t>None</t>
        </is>
      </c>
      <c r="BJ217" s="17" t="n"/>
      <c r="BK217" s="16" t="inlineStr">
        <is>
          <t>19.2</t>
        </is>
      </c>
      <c r="BL217" s="20" t="inlineStr">
        <is>
          <t>IC Kationen</t>
        </is>
      </c>
      <c r="BM217" s="20" t="inlineStr">
        <is>
          <t>None</t>
        </is>
      </c>
      <c r="BN217" s="17" t="n"/>
      <c r="BO217" s="16" t="inlineStr">
        <is>
          <t>225</t>
        </is>
      </c>
      <c r="BP217" s="20" t="inlineStr">
        <is>
          <t>IC Kationen</t>
        </is>
      </c>
      <c r="BQ217" s="20" t="inlineStr">
        <is>
          <t>None</t>
        </is>
      </c>
      <c r="BR217" s="17" t="n"/>
      <c r="BS217" s="16" t="inlineStr">
        <is>
          <t>27.9</t>
        </is>
      </c>
      <c r="BT217" s="20" t="inlineStr">
        <is>
          <t>IC Kationen</t>
        </is>
      </c>
      <c r="BU217" s="20" t="inlineStr">
        <is>
          <t>None</t>
        </is>
      </c>
      <c r="BV217" s="17" t="n"/>
      <c r="BW217" s="16" t="n"/>
      <c r="BX217" s="20" t="n"/>
      <c r="BY217" s="20" t="inlineStr">
        <is>
          <t>None</t>
        </is>
      </c>
      <c r="BZ217" s="17" t="n"/>
      <c r="CA217" s="16" t="n"/>
      <c r="CB217" s="20" t="n"/>
      <c r="CC217" s="20" t="inlineStr">
        <is>
          <t>None</t>
        </is>
      </c>
      <c r="CD217" s="17" t="n"/>
      <c r="CE217" s="16" t="n"/>
      <c r="CF217" s="20" t="n"/>
      <c r="CG217" s="20" t="inlineStr">
        <is>
          <t>None</t>
        </is>
      </c>
      <c r="CH217" s="17" t="n"/>
      <c r="CI217" s="16" t="n"/>
      <c r="CJ217" s="20" t="n"/>
      <c r="CK217" s="20" t="inlineStr">
        <is>
          <t>None</t>
        </is>
      </c>
      <c r="CL217" s="17" t="n"/>
      <c r="CM217" s="16" t="n"/>
      <c r="CN217" s="20" t="inlineStr">
        <is>
          <t>SOP 45-34</t>
        </is>
      </c>
      <c r="CO217" s="20" t="inlineStr">
        <is>
          <t>None</t>
        </is>
      </c>
      <c r="CP217" s="17" t="n"/>
      <c r="CQ217" s="16" t="n"/>
      <c r="CR217" s="20" t="n"/>
      <c r="CS217" s="20" t="inlineStr">
        <is>
          <t>None</t>
        </is>
      </c>
      <c r="CT217" s="17" t="n"/>
      <c r="CU217" s="16" t="n"/>
      <c r="CV217" s="20" t="n"/>
      <c r="CW217" s="20" t="inlineStr">
        <is>
          <t>None</t>
        </is>
      </c>
      <c r="CX217" s="17" t="n"/>
      <c r="CY217" s="16" t="n"/>
      <c r="CZ217" s="20" t="inlineStr">
        <is>
          <t>WTW Multimeter 3430 with FDO 925</t>
        </is>
      </c>
      <c r="DA217" s="20" t="inlineStr">
        <is>
          <t>None</t>
        </is>
      </c>
      <c r="DB217" s="17" t="n"/>
      <c r="DC217" s="16" t="n"/>
      <c r="DD217" s="20" t="n"/>
      <c r="DE217" s="20" t="inlineStr">
        <is>
          <t>None</t>
        </is>
      </c>
      <c r="DF217" s="17" t="n"/>
      <c r="DG217" s="16" t="n"/>
      <c r="DH217" s="20" t="inlineStr">
        <is>
          <t>SOP 45-09</t>
        </is>
      </c>
      <c r="DI217" s="20" t="inlineStr">
        <is>
          <t>None</t>
        </is>
      </c>
      <c r="DJ217" s="17" t="n"/>
      <c r="DK217" s="16" t="n"/>
      <c r="DL217" s="20" t="inlineStr">
        <is>
          <t>SOP 45-09 (SOP muss noch angepasst werden für VSS)</t>
        </is>
      </c>
      <c r="DM217" s="20" t="inlineStr">
        <is>
          <t>None</t>
        </is>
      </c>
      <c r="DN217" s="17" t="n"/>
      <c r="DO217" s="16" t="n"/>
      <c r="DP217" s="20" t="inlineStr">
        <is>
          <t>IC Organic Acids</t>
        </is>
      </c>
      <c r="DQ217" s="20" t="inlineStr">
        <is>
          <t>None</t>
        </is>
      </c>
      <c r="DR217" s="17" t="n"/>
      <c r="DS217" s="16" t="n"/>
      <c r="DT217" s="20" t="inlineStr">
        <is>
          <t>IC Organic Acids</t>
        </is>
      </c>
      <c r="DU217" s="20" t="inlineStr">
        <is>
          <t>None</t>
        </is>
      </c>
      <c r="DV217" s="17" t="n"/>
      <c r="DW217" s="16" t="n"/>
      <c r="DX217" s="20" t="inlineStr">
        <is>
          <t>IC Organic Acids</t>
        </is>
      </c>
      <c r="DY217" s="20" t="inlineStr">
        <is>
          <t>None</t>
        </is>
      </c>
      <c r="DZ217" s="17" t="n"/>
      <c r="EA217" s="16" t="n"/>
      <c r="EB217" s="20" t="inlineStr">
        <is>
          <t>IC Organic Acids</t>
        </is>
      </c>
      <c r="EC217" s="20" t="inlineStr">
        <is>
          <t>None</t>
        </is>
      </c>
      <c r="ED217" s="17" t="n"/>
      <c r="EE217" s="16" t="n"/>
      <c r="EF217" s="20" t="inlineStr">
        <is>
          <t>IC Organic Acids</t>
        </is>
      </c>
      <c r="EG217" s="20" t="inlineStr">
        <is>
          <t>None</t>
        </is>
      </c>
      <c r="EH217" s="17" t="n"/>
      <c r="EI217" s="16" t="n"/>
      <c r="EJ217" s="20" t="inlineStr">
        <is>
          <t>IC Organic Acids</t>
        </is>
      </c>
      <c r="EK217" s="20" t="inlineStr">
        <is>
          <t>None</t>
        </is>
      </c>
      <c r="EL217" s="17" t="n"/>
      <c r="EM217" s="16" t="n"/>
      <c r="EN217" s="20" t="inlineStr">
        <is>
          <t>IC Organic Acids</t>
        </is>
      </c>
      <c r="EO217" s="20" t="inlineStr">
        <is>
          <t>None</t>
        </is>
      </c>
      <c r="EP217" s="17" t="n"/>
      <c r="EQ217" s="16" t="n"/>
      <c r="ER217" s="20" t="inlineStr">
        <is>
          <t>IC Organic Acids</t>
        </is>
      </c>
      <c r="ES217" s="20" t="inlineStr">
        <is>
          <t>None</t>
        </is>
      </c>
      <c r="ET217" s="17" t="n"/>
      <c r="EU217" s="16" t="n"/>
      <c r="EV217" s="20" t="inlineStr">
        <is>
          <t>LC-MS</t>
        </is>
      </c>
      <c r="EW217" s="20" t="inlineStr">
        <is>
          <t>None</t>
        </is>
      </c>
      <c r="EX217" s="17" t="n"/>
      <c r="EY217" s="21" t="n"/>
      <c r="EZ217">
        <f>CONCATENATE(A217,B217)</f>
        <v/>
      </c>
      <c r="FA217">
        <f>CONCATENATE(SamplesX!A217,SamplesX!B217)</f>
        <v/>
      </c>
      <c r="FC217">
        <f>MATCH(EZ217,FA1:FA1008,0)</f>
        <v/>
      </c>
    </row>
    <row r="218">
      <c r="A218" s="16" t="inlineStr">
        <is>
          <t>BP</t>
        </is>
      </c>
      <c r="B218" s="17" t="inlineStr">
        <is>
          <t>25210</t>
        </is>
      </c>
      <c r="C218" s="10">
        <f>IF(ISNUMBER(FC218),INDIRECT("SamplesX!C"&amp;FC218),IF(ISNUMBER(FD218),INDIRECT("SamplesY!C"&amp;FD218),""))</f>
        <v/>
      </c>
      <c r="D218" s="12">
        <f>IF(ISNUMBER(FC218),INDIRECT("SamplesX!D"&amp;FC218),IF(ISNUMBER(FD218),INDIRECT("SamplesY!D"&amp;FD218),""))</f>
        <v/>
      </c>
      <c r="E218" s="12">
        <f>IF(ISNUMBER(FC218),INDIRECT("SamplesX!E"&amp;FC218),IF(ISNUMBER(FD218),INDIRECT("SamplesY!E"&amp;FD218),""))</f>
        <v/>
      </c>
      <c r="F218" s="11">
        <f>IF(ISNUMBER(FC218),INDIRECT("SamplesX!F"&amp;FC218),IF(ISNUMBER(FD218),INDIRECT("SamplesY!F"&amp;FD218),""))</f>
        <v/>
      </c>
      <c r="G218" s="18">
        <f>IF(ISNUMBER(FC218),INDIRECT("SamplesX!G"&amp;FC218),IF(ISNUMBER(FD218),INDIRECT("SamplesY!G"&amp;FD218),""))</f>
        <v/>
      </c>
      <c r="H218" s="19">
        <f>IF(ISNUMBER(FC218),INDIRECT("SamplesX!H"&amp;FC218),IF(ISNUMBER(FD218),INDIRECT("SamplesY!H"&amp;FD218),""))</f>
        <v/>
      </c>
      <c r="I218" s="16" t="n"/>
      <c r="J218" s="16" t="n"/>
      <c r="K218" s="16" t="n"/>
      <c r="L218" s="20" t="n"/>
      <c r="M218" s="20" t="inlineStr">
        <is>
          <t>None</t>
        </is>
      </c>
      <c r="N218" s="17" t="n"/>
      <c r="O218" s="16" t="n"/>
      <c r="P218" s="20" t="inlineStr">
        <is>
          <t>Shimadzu TOC-L</t>
        </is>
      </c>
      <c r="Q218" s="20" t="inlineStr">
        <is>
          <t>None</t>
        </is>
      </c>
      <c r="R218" s="17" t="n"/>
      <c r="S218" s="16" t="n"/>
      <c r="T218" s="20" t="inlineStr">
        <is>
          <t>Shimadzu TOC-L</t>
        </is>
      </c>
      <c r="U218" s="20" t="inlineStr">
        <is>
          <t>None</t>
        </is>
      </c>
      <c r="V218" s="17" t="n"/>
      <c r="W218" s="16" t="n"/>
      <c r="X218" s="20" t="n"/>
      <c r="Y218" s="20" t="inlineStr">
        <is>
          <t>None</t>
        </is>
      </c>
      <c r="Z218" s="17" t="n"/>
      <c r="AA218" s="16" t="n"/>
      <c r="AB218" s="20" t="n"/>
      <c r="AC218" s="20" t="inlineStr">
        <is>
          <t>None</t>
        </is>
      </c>
      <c r="AD218" s="17" t="n"/>
      <c r="AE218" s="16" t="n"/>
      <c r="AF218" s="20" t="inlineStr">
        <is>
          <t>IC Anionen</t>
        </is>
      </c>
      <c r="AG218" s="20" t="inlineStr">
        <is>
          <t>None</t>
        </is>
      </c>
      <c r="AH218" s="17" t="n"/>
      <c r="AI218" s="16" t="n"/>
      <c r="AJ218" s="20" t="n"/>
      <c r="AK218" s="20" t="inlineStr">
        <is>
          <t>None</t>
        </is>
      </c>
      <c r="AL218" s="17" t="n"/>
      <c r="AM218" s="16" t="n"/>
      <c r="AN218" s="20" t="inlineStr">
        <is>
          <t>IC Anionen</t>
        </is>
      </c>
      <c r="AO218" s="20" t="inlineStr">
        <is>
          <t>None</t>
        </is>
      </c>
      <c r="AP218" s="17" t="n"/>
      <c r="AQ218" s="16" t="n"/>
      <c r="AR218" s="20" t="n"/>
      <c r="AS218" s="20" t="inlineStr">
        <is>
          <t>None</t>
        </is>
      </c>
      <c r="AT218" s="17" t="n"/>
      <c r="AU218" s="16" t="inlineStr">
        <is>
          <t>1.05</t>
        </is>
      </c>
      <c r="AV218" s="20" t="inlineStr">
        <is>
          <t>IC Anionen</t>
        </is>
      </c>
      <c r="AW218" s="20" t="inlineStr">
        <is>
          <t>None</t>
        </is>
      </c>
      <c r="AX218" s="17" t="n"/>
      <c r="AY218" s="16" t="inlineStr">
        <is>
          <t>2.05</t>
        </is>
      </c>
      <c r="AZ218" s="20" t="inlineStr">
        <is>
          <t>IC Anionen</t>
        </is>
      </c>
      <c r="BA218" s="20" t="inlineStr">
        <is>
          <t>None</t>
        </is>
      </c>
      <c r="BB218" s="17" t="n"/>
      <c r="BC218" s="16" t="inlineStr">
        <is>
          <t>129</t>
        </is>
      </c>
      <c r="BD218" s="20" t="inlineStr">
        <is>
          <t>IC Kationen</t>
        </is>
      </c>
      <c r="BE218" s="20" t="inlineStr">
        <is>
          <t>None</t>
        </is>
      </c>
      <c r="BF218" s="17" t="n"/>
      <c r="BG218" s="16" t="inlineStr">
        <is>
          <t>24.0</t>
        </is>
      </c>
      <c r="BH218" s="20" t="inlineStr">
        <is>
          <t>IC Kationen</t>
        </is>
      </c>
      <c r="BI218" s="20" t="inlineStr">
        <is>
          <t>None</t>
        </is>
      </c>
      <c r="BJ218" s="17" t="n"/>
      <c r="BK218" s="16" t="inlineStr">
        <is>
          <t>19.3</t>
        </is>
      </c>
      <c r="BL218" s="20" t="inlineStr">
        <is>
          <t>IC Kationen</t>
        </is>
      </c>
      <c r="BM218" s="20" t="inlineStr">
        <is>
          <t>None</t>
        </is>
      </c>
      <c r="BN218" s="17" t="n"/>
      <c r="BO218" s="16" t="inlineStr">
        <is>
          <t>228</t>
        </is>
      </c>
      <c r="BP218" s="20" t="inlineStr">
        <is>
          <t>IC Kationen</t>
        </is>
      </c>
      <c r="BQ218" s="20" t="inlineStr">
        <is>
          <t>None</t>
        </is>
      </c>
      <c r="BR218" s="17" t="n"/>
      <c r="BS218" s="16" t="inlineStr">
        <is>
          <t>28.3</t>
        </is>
      </c>
      <c r="BT218" s="20" t="inlineStr">
        <is>
          <t>IC Kationen</t>
        </is>
      </c>
      <c r="BU218" s="20" t="inlineStr">
        <is>
          <t>None</t>
        </is>
      </c>
      <c r="BV218" s="17" t="n"/>
      <c r="BW218" s="16" t="n"/>
      <c r="BX218" s="20" t="n"/>
      <c r="BY218" s="20" t="inlineStr">
        <is>
          <t>None</t>
        </is>
      </c>
      <c r="BZ218" s="17" t="n"/>
      <c r="CA218" s="16" t="n"/>
      <c r="CB218" s="20" t="n"/>
      <c r="CC218" s="20" t="inlineStr">
        <is>
          <t>None</t>
        </is>
      </c>
      <c r="CD218" s="17" t="n"/>
      <c r="CE218" s="16" t="n"/>
      <c r="CF218" s="20" t="n"/>
      <c r="CG218" s="20" t="inlineStr">
        <is>
          <t>None</t>
        </is>
      </c>
      <c r="CH218" s="17" t="n"/>
      <c r="CI218" s="16" t="n"/>
      <c r="CJ218" s="20" t="n"/>
      <c r="CK218" s="20" t="inlineStr">
        <is>
          <t>None</t>
        </is>
      </c>
      <c r="CL218" s="17" t="n"/>
      <c r="CM218" s="16" t="n"/>
      <c r="CN218" s="20" t="inlineStr">
        <is>
          <t>SOP 45-34</t>
        </is>
      </c>
      <c r="CO218" s="20" t="inlineStr">
        <is>
          <t>None</t>
        </is>
      </c>
      <c r="CP218" s="17" t="n"/>
      <c r="CQ218" s="16" t="n"/>
      <c r="CR218" s="20" t="n"/>
      <c r="CS218" s="20" t="inlineStr">
        <is>
          <t>None</t>
        </is>
      </c>
      <c r="CT218" s="17" t="n"/>
      <c r="CU218" s="16" t="n"/>
      <c r="CV218" s="20" t="n"/>
      <c r="CW218" s="20" t="inlineStr">
        <is>
          <t>None</t>
        </is>
      </c>
      <c r="CX218" s="17" t="n"/>
      <c r="CY218" s="16" t="n"/>
      <c r="CZ218" s="20" t="inlineStr">
        <is>
          <t>WTW Multimeter 3430 with FDO 925</t>
        </is>
      </c>
      <c r="DA218" s="20" t="inlineStr">
        <is>
          <t>None</t>
        </is>
      </c>
      <c r="DB218" s="17" t="n"/>
      <c r="DC218" s="16" t="n"/>
      <c r="DD218" s="20" t="n"/>
      <c r="DE218" s="20" t="inlineStr">
        <is>
          <t>None</t>
        </is>
      </c>
      <c r="DF218" s="17" t="n"/>
      <c r="DG218" s="16" t="n"/>
      <c r="DH218" s="20" t="inlineStr">
        <is>
          <t>SOP 45-09</t>
        </is>
      </c>
      <c r="DI218" s="20" t="inlineStr">
        <is>
          <t>None</t>
        </is>
      </c>
      <c r="DJ218" s="17" t="n"/>
      <c r="DK218" s="16" t="n"/>
      <c r="DL218" s="20" t="inlineStr">
        <is>
          <t>SOP 45-09 (SOP muss noch angepasst werden für VSS)</t>
        </is>
      </c>
      <c r="DM218" s="20" t="inlineStr">
        <is>
          <t>None</t>
        </is>
      </c>
      <c r="DN218" s="17" t="n"/>
      <c r="DO218" s="16" t="n"/>
      <c r="DP218" s="20" t="inlineStr">
        <is>
          <t>IC Organic Acids</t>
        </is>
      </c>
      <c r="DQ218" s="20" t="inlineStr">
        <is>
          <t>None</t>
        </is>
      </c>
      <c r="DR218" s="17" t="n"/>
      <c r="DS218" s="16" t="n"/>
      <c r="DT218" s="20" t="inlineStr">
        <is>
          <t>IC Organic Acids</t>
        </is>
      </c>
      <c r="DU218" s="20" t="inlineStr">
        <is>
          <t>None</t>
        </is>
      </c>
      <c r="DV218" s="17" t="n"/>
      <c r="DW218" s="16" t="n"/>
      <c r="DX218" s="20" t="inlineStr">
        <is>
          <t>IC Organic Acids</t>
        </is>
      </c>
      <c r="DY218" s="20" t="inlineStr">
        <is>
          <t>None</t>
        </is>
      </c>
      <c r="DZ218" s="17" t="n"/>
      <c r="EA218" s="16" t="n"/>
      <c r="EB218" s="20" t="inlineStr">
        <is>
          <t>IC Organic Acids</t>
        </is>
      </c>
      <c r="EC218" s="20" t="inlineStr">
        <is>
          <t>None</t>
        </is>
      </c>
      <c r="ED218" s="17" t="n"/>
      <c r="EE218" s="16" t="n"/>
      <c r="EF218" s="20" t="inlineStr">
        <is>
          <t>IC Organic Acids</t>
        </is>
      </c>
      <c r="EG218" s="20" t="inlineStr">
        <is>
          <t>None</t>
        </is>
      </c>
      <c r="EH218" s="17" t="n"/>
      <c r="EI218" s="16" t="n"/>
      <c r="EJ218" s="20" t="inlineStr">
        <is>
          <t>IC Organic Acids</t>
        </is>
      </c>
      <c r="EK218" s="20" t="inlineStr">
        <is>
          <t>None</t>
        </is>
      </c>
      <c r="EL218" s="17" t="n"/>
      <c r="EM218" s="16" t="n"/>
      <c r="EN218" s="20" t="inlineStr">
        <is>
          <t>IC Organic Acids</t>
        </is>
      </c>
      <c r="EO218" s="20" t="inlineStr">
        <is>
          <t>None</t>
        </is>
      </c>
      <c r="EP218" s="17" t="n"/>
      <c r="EQ218" s="16" t="n"/>
      <c r="ER218" s="20" t="inlineStr">
        <is>
          <t>IC Organic Acids</t>
        </is>
      </c>
      <c r="ES218" s="20" t="inlineStr">
        <is>
          <t>None</t>
        </is>
      </c>
      <c r="ET218" s="17" t="n"/>
      <c r="EU218" s="16" t="n"/>
      <c r="EV218" s="20" t="inlineStr">
        <is>
          <t>LC-MS</t>
        </is>
      </c>
      <c r="EW218" s="20" t="inlineStr">
        <is>
          <t>None</t>
        </is>
      </c>
      <c r="EX218" s="17" t="n"/>
      <c r="EY218" s="21" t="n"/>
      <c r="EZ218">
        <f>CONCATENATE(A218,B218)</f>
        <v/>
      </c>
      <c r="FA218">
        <f>CONCATENATE(SamplesX!A218,SamplesX!B218)</f>
        <v/>
      </c>
      <c r="FC218">
        <f>MATCH(EZ218,FA1:FA1008,0)</f>
        <v/>
      </c>
    </row>
    <row r="219">
      <c r="A219" s="16" t="inlineStr">
        <is>
          <t>BP</t>
        </is>
      </c>
      <c r="B219" s="17" t="inlineStr">
        <is>
          <t>25211</t>
        </is>
      </c>
      <c r="C219" s="10">
        <f>IF(ISNUMBER(FC219),INDIRECT("SamplesX!C"&amp;FC219),IF(ISNUMBER(FD219),INDIRECT("SamplesY!C"&amp;FD219),""))</f>
        <v/>
      </c>
      <c r="D219" s="12">
        <f>IF(ISNUMBER(FC219),INDIRECT("SamplesX!D"&amp;FC219),IF(ISNUMBER(FD219),INDIRECT("SamplesY!D"&amp;FD219),""))</f>
        <v/>
      </c>
      <c r="E219" s="12">
        <f>IF(ISNUMBER(FC219),INDIRECT("SamplesX!E"&amp;FC219),IF(ISNUMBER(FD219),INDIRECT("SamplesY!E"&amp;FD219),""))</f>
        <v/>
      </c>
      <c r="F219" s="11">
        <f>IF(ISNUMBER(FC219),INDIRECT("SamplesX!F"&amp;FC219),IF(ISNUMBER(FD219),INDIRECT("SamplesY!F"&amp;FD219),""))</f>
        <v/>
      </c>
      <c r="G219" s="18">
        <f>IF(ISNUMBER(FC219),INDIRECT("SamplesX!G"&amp;FC219),IF(ISNUMBER(FD219),INDIRECT("SamplesY!G"&amp;FD219),""))</f>
        <v/>
      </c>
      <c r="H219" s="19">
        <f>IF(ISNUMBER(FC219),INDIRECT("SamplesX!H"&amp;FC219),IF(ISNUMBER(FD219),INDIRECT("SamplesY!H"&amp;FD219),""))</f>
        <v/>
      </c>
      <c r="I219" s="16" t="n"/>
      <c r="J219" s="16" t="n"/>
      <c r="K219" s="16" t="n"/>
      <c r="L219" s="20" t="n"/>
      <c r="M219" s="20" t="inlineStr">
        <is>
          <t>None</t>
        </is>
      </c>
      <c r="N219" s="17" t="n"/>
      <c r="O219" s="16" t="n"/>
      <c r="P219" s="20" t="inlineStr">
        <is>
          <t>Shimadzu TOC-L</t>
        </is>
      </c>
      <c r="Q219" s="20" t="inlineStr">
        <is>
          <t>None</t>
        </is>
      </c>
      <c r="R219" s="17" t="n"/>
      <c r="S219" s="16" t="n"/>
      <c r="T219" s="20" t="inlineStr">
        <is>
          <t>Shimadzu TOC-L</t>
        </is>
      </c>
      <c r="U219" s="20" t="inlineStr">
        <is>
          <t>None</t>
        </is>
      </c>
      <c r="V219" s="17" t="n"/>
      <c r="W219" s="16" t="n"/>
      <c r="X219" s="20" t="n"/>
      <c r="Y219" s="20" t="inlineStr">
        <is>
          <t>None</t>
        </is>
      </c>
      <c r="Z219" s="17" t="n"/>
      <c r="AA219" s="16" t="n"/>
      <c r="AB219" s="20" t="n"/>
      <c r="AC219" s="20" t="inlineStr">
        <is>
          <t>None</t>
        </is>
      </c>
      <c r="AD219" s="17" t="n"/>
      <c r="AE219" s="16" t="n"/>
      <c r="AF219" s="20" t="inlineStr">
        <is>
          <t>IC Anionen</t>
        </is>
      </c>
      <c r="AG219" s="20" t="inlineStr">
        <is>
          <t>None</t>
        </is>
      </c>
      <c r="AH219" s="17" t="n"/>
      <c r="AI219" s="16" t="n"/>
      <c r="AJ219" s="20" t="n"/>
      <c r="AK219" s="20" t="inlineStr">
        <is>
          <t>None</t>
        </is>
      </c>
      <c r="AL219" s="17" t="n"/>
      <c r="AM219" s="16" t="n"/>
      <c r="AN219" s="20" t="inlineStr">
        <is>
          <t>IC Anionen</t>
        </is>
      </c>
      <c r="AO219" s="20" t="inlineStr">
        <is>
          <t>None</t>
        </is>
      </c>
      <c r="AP219" s="17" t="n"/>
      <c r="AQ219" s="16" t="n"/>
      <c r="AR219" s="20" t="n"/>
      <c r="AS219" s="20" t="inlineStr">
        <is>
          <t>None</t>
        </is>
      </c>
      <c r="AT219" s="17" t="n"/>
      <c r="AU219" s="16" t="inlineStr">
        <is>
          <t>&lt;0.13</t>
        </is>
      </c>
      <c r="AV219" s="20" t="inlineStr">
        <is>
          <t>IC Anionen</t>
        </is>
      </c>
      <c r="AW219" s="20" t="inlineStr">
        <is>
          <t>None</t>
        </is>
      </c>
      <c r="AX219" s="17" t="n"/>
      <c r="AY219" s="16" t="inlineStr">
        <is>
          <t>&lt;0.80</t>
        </is>
      </c>
      <c r="AZ219" s="20" t="inlineStr">
        <is>
          <t>IC Anionen</t>
        </is>
      </c>
      <c r="BA219" s="20" t="inlineStr">
        <is>
          <t>None</t>
        </is>
      </c>
      <c r="BB219" s="17" t="n"/>
      <c r="BC219" s="16" t="inlineStr">
        <is>
          <t>126</t>
        </is>
      </c>
      <c r="BD219" s="20" t="inlineStr">
        <is>
          <t>IC Kationen</t>
        </is>
      </c>
      <c r="BE219" s="20" t="inlineStr">
        <is>
          <t>None</t>
        </is>
      </c>
      <c r="BF219" s="17" t="n"/>
      <c r="BG219" s="16" t="inlineStr">
        <is>
          <t>&lt;1.6</t>
        </is>
      </c>
      <c r="BH219" s="20" t="inlineStr">
        <is>
          <t>IC Kationen</t>
        </is>
      </c>
      <c r="BI219" s="20" t="inlineStr">
        <is>
          <t>None</t>
        </is>
      </c>
      <c r="BJ219" s="17" t="n"/>
      <c r="BK219" s="16" t="inlineStr">
        <is>
          <t>16.9</t>
        </is>
      </c>
      <c r="BL219" s="20" t="inlineStr">
        <is>
          <t>IC Kationen</t>
        </is>
      </c>
      <c r="BM219" s="20" t="inlineStr">
        <is>
          <t>None</t>
        </is>
      </c>
      <c r="BN219" s="17" t="n"/>
      <c r="BO219" s="16" t="inlineStr">
        <is>
          <t>216</t>
        </is>
      </c>
      <c r="BP219" s="20" t="inlineStr">
        <is>
          <t>IC Kationen</t>
        </is>
      </c>
      <c r="BQ219" s="20" t="inlineStr">
        <is>
          <t>None</t>
        </is>
      </c>
      <c r="BR219" s="17" t="n"/>
      <c r="BS219" s="16" t="inlineStr">
        <is>
          <t>27.2</t>
        </is>
      </c>
      <c r="BT219" s="20" t="inlineStr">
        <is>
          <t>IC Kationen</t>
        </is>
      </c>
      <c r="BU219" s="20" t="inlineStr">
        <is>
          <t>None</t>
        </is>
      </c>
      <c r="BV219" s="17" t="n"/>
      <c r="BW219" s="16" t="n"/>
      <c r="BX219" s="20" t="n"/>
      <c r="BY219" s="20" t="inlineStr">
        <is>
          <t>None</t>
        </is>
      </c>
      <c r="BZ219" s="17" t="n"/>
      <c r="CA219" s="16" t="n"/>
      <c r="CB219" s="20" t="n"/>
      <c r="CC219" s="20" t="inlineStr">
        <is>
          <t>None</t>
        </is>
      </c>
      <c r="CD219" s="17" t="n"/>
      <c r="CE219" s="16" t="n"/>
      <c r="CF219" s="20" t="n"/>
      <c r="CG219" s="20" t="inlineStr">
        <is>
          <t>None</t>
        </is>
      </c>
      <c r="CH219" s="17" t="n"/>
      <c r="CI219" s="16" t="n"/>
      <c r="CJ219" s="20" t="n"/>
      <c r="CK219" s="20" t="inlineStr">
        <is>
          <t>None</t>
        </is>
      </c>
      <c r="CL219" s="17" t="n"/>
      <c r="CM219" s="16" t="n"/>
      <c r="CN219" s="20" t="inlineStr">
        <is>
          <t>SOP 45-34</t>
        </is>
      </c>
      <c r="CO219" s="20" t="inlineStr">
        <is>
          <t>None</t>
        </is>
      </c>
      <c r="CP219" s="17" t="n"/>
      <c r="CQ219" s="16" t="n"/>
      <c r="CR219" s="20" t="n"/>
      <c r="CS219" s="20" t="inlineStr">
        <is>
          <t>None</t>
        </is>
      </c>
      <c r="CT219" s="17" t="n"/>
      <c r="CU219" s="16" t="n"/>
      <c r="CV219" s="20" t="n"/>
      <c r="CW219" s="20" t="inlineStr">
        <is>
          <t>None</t>
        </is>
      </c>
      <c r="CX219" s="17" t="n"/>
      <c r="CY219" s="16" t="n"/>
      <c r="CZ219" s="20" t="inlineStr">
        <is>
          <t>WTW Multimeter 3430 with FDO 925</t>
        </is>
      </c>
      <c r="DA219" s="20" t="inlineStr">
        <is>
          <t>None</t>
        </is>
      </c>
      <c r="DB219" s="17" t="n"/>
      <c r="DC219" s="16" t="n"/>
      <c r="DD219" s="20" t="n"/>
      <c r="DE219" s="20" t="inlineStr">
        <is>
          <t>None</t>
        </is>
      </c>
      <c r="DF219" s="17" t="n"/>
      <c r="DG219" s="16" t="n"/>
      <c r="DH219" s="20" t="inlineStr">
        <is>
          <t>SOP 45-09</t>
        </is>
      </c>
      <c r="DI219" s="20" t="inlineStr">
        <is>
          <t>None</t>
        </is>
      </c>
      <c r="DJ219" s="17" t="n"/>
      <c r="DK219" s="16" t="n"/>
      <c r="DL219" s="20" t="inlineStr">
        <is>
          <t>SOP 45-09 (SOP muss noch angepasst werden für VSS)</t>
        </is>
      </c>
      <c r="DM219" s="20" t="inlineStr">
        <is>
          <t>None</t>
        </is>
      </c>
      <c r="DN219" s="17" t="n"/>
      <c r="DO219" s="16" t="n"/>
      <c r="DP219" s="20" t="inlineStr">
        <is>
          <t>IC Organic Acids</t>
        </is>
      </c>
      <c r="DQ219" s="20" t="inlineStr">
        <is>
          <t>None</t>
        </is>
      </c>
      <c r="DR219" s="17" t="n"/>
      <c r="DS219" s="16" t="n"/>
      <c r="DT219" s="20" t="inlineStr">
        <is>
          <t>IC Organic Acids</t>
        </is>
      </c>
      <c r="DU219" s="20" t="inlineStr">
        <is>
          <t>None</t>
        </is>
      </c>
      <c r="DV219" s="17" t="n"/>
      <c r="DW219" s="16" t="n"/>
      <c r="DX219" s="20" t="inlineStr">
        <is>
          <t>IC Organic Acids</t>
        </is>
      </c>
      <c r="DY219" s="20" t="inlineStr">
        <is>
          <t>None</t>
        </is>
      </c>
      <c r="DZ219" s="17" t="n"/>
      <c r="EA219" s="16" t="n"/>
      <c r="EB219" s="20" t="inlineStr">
        <is>
          <t>IC Organic Acids</t>
        </is>
      </c>
      <c r="EC219" s="20" t="inlineStr">
        <is>
          <t>None</t>
        </is>
      </c>
      <c r="ED219" s="17" t="n"/>
      <c r="EE219" s="16" t="n"/>
      <c r="EF219" s="20" t="inlineStr">
        <is>
          <t>IC Organic Acids</t>
        </is>
      </c>
      <c r="EG219" s="20" t="inlineStr">
        <is>
          <t>None</t>
        </is>
      </c>
      <c r="EH219" s="17" t="n"/>
      <c r="EI219" s="16" t="n"/>
      <c r="EJ219" s="20" t="inlineStr">
        <is>
          <t>IC Organic Acids</t>
        </is>
      </c>
      <c r="EK219" s="20" t="inlineStr">
        <is>
          <t>None</t>
        </is>
      </c>
      <c r="EL219" s="17" t="n"/>
      <c r="EM219" s="16" t="n"/>
      <c r="EN219" s="20" t="inlineStr">
        <is>
          <t>IC Organic Acids</t>
        </is>
      </c>
      <c r="EO219" s="20" t="inlineStr">
        <is>
          <t>None</t>
        </is>
      </c>
      <c r="EP219" s="17" t="n"/>
      <c r="EQ219" s="16" t="n"/>
      <c r="ER219" s="20" t="inlineStr">
        <is>
          <t>IC Organic Acids</t>
        </is>
      </c>
      <c r="ES219" s="20" t="inlineStr">
        <is>
          <t>None</t>
        </is>
      </c>
      <c r="ET219" s="17" t="n"/>
      <c r="EU219" s="16" t="n"/>
      <c r="EV219" s="20" t="inlineStr">
        <is>
          <t>LC-MS</t>
        </is>
      </c>
      <c r="EW219" s="20" t="inlineStr">
        <is>
          <t>None</t>
        </is>
      </c>
      <c r="EX219" s="17" t="n"/>
      <c r="EY219" s="21" t="n"/>
      <c r="EZ219">
        <f>CONCATENATE(A219,B219)</f>
        <v/>
      </c>
      <c r="FA219">
        <f>CONCATENATE(SamplesX!A219,SamplesX!B219)</f>
        <v/>
      </c>
      <c r="FC219">
        <f>MATCH(EZ219,FA1:FA1008,0)</f>
        <v/>
      </c>
    </row>
    <row r="220">
      <c r="A220" s="16" t="inlineStr">
        <is>
          <t>BP</t>
        </is>
      </c>
      <c r="B220" s="17" t="inlineStr">
        <is>
          <t>25212</t>
        </is>
      </c>
      <c r="C220" s="10">
        <f>IF(ISNUMBER(FC220),INDIRECT("SamplesX!C"&amp;FC220),IF(ISNUMBER(FD220),INDIRECT("SamplesY!C"&amp;FD220),""))</f>
        <v/>
      </c>
      <c r="D220" s="12">
        <f>IF(ISNUMBER(FC220),INDIRECT("SamplesX!D"&amp;FC220),IF(ISNUMBER(FD220),INDIRECT("SamplesY!D"&amp;FD220),""))</f>
        <v/>
      </c>
      <c r="E220" s="12">
        <f>IF(ISNUMBER(FC220),INDIRECT("SamplesX!E"&amp;FC220),IF(ISNUMBER(FD220),INDIRECT("SamplesY!E"&amp;FD220),""))</f>
        <v/>
      </c>
      <c r="F220" s="11">
        <f>IF(ISNUMBER(FC220),INDIRECT("SamplesX!F"&amp;FC220),IF(ISNUMBER(FD220),INDIRECT("SamplesY!F"&amp;FD220),""))</f>
        <v/>
      </c>
      <c r="G220" s="18">
        <f>IF(ISNUMBER(FC220),INDIRECT("SamplesX!G"&amp;FC220),IF(ISNUMBER(FD220),INDIRECT("SamplesY!G"&amp;FD220),""))</f>
        <v/>
      </c>
      <c r="H220" s="19">
        <f>IF(ISNUMBER(FC220),INDIRECT("SamplesX!H"&amp;FC220),IF(ISNUMBER(FD220),INDIRECT("SamplesY!H"&amp;FD220),""))</f>
        <v/>
      </c>
      <c r="I220" s="16" t="n"/>
      <c r="J220" s="16" t="n"/>
      <c r="K220" s="16" t="n"/>
      <c r="L220" s="20" t="n"/>
      <c r="M220" s="20" t="inlineStr">
        <is>
          <t>None</t>
        </is>
      </c>
      <c r="N220" s="17" t="n"/>
      <c r="O220" s="16" t="n"/>
      <c r="P220" s="20" t="inlineStr">
        <is>
          <t>Shimadzu TOC-L</t>
        </is>
      </c>
      <c r="Q220" s="20" t="inlineStr">
        <is>
          <t>None</t>
        </is>
      </c>
      <c r="R220" s="17" t="n"/>
      <c r="S220" s="16" t="n"/>
      <c r="T220" s="20" t="inlineStr">
        <is>
          <t>Shimadzu TOC-L</t>
        </is>
      </c>
      <c r="U220" s="20" t="inlineStr">
        <is>
          <t>None</t>
        </is>
      </c>
      <c r="V220" s="17" t="n"/>
      <c r="W220" s="16" t="n"/>
      <c r="X220" s="20" t="n"/>
      <c r="Y220" s="20" t="inlineStr">
        <is>
          <t>None</t>
        </is>
      </c>
      <c r="Z220" s="17" t="n"/>
      <c r="AA220" s="16" t="n"/>
      <c r="AB220" s="20" t="n"/>
      <c r="AC220" s="20" t="inlineStr">
        <is>
          <t>None</t>
        </is>
      </c>
      <c r="AD220" s="17" t="n"/>
      <c r="AE220" s="16" t="n"/>
      <c r="AF220" s="20" t="inlineStr">
        <is>
          <t>IC Anionen</t>
        </is>
      </c>
      <c r="AG220" s="20" t="inlineStr">
        <is>
          <t>None</t>
        </is>
      </c>
      <c r="AH220" s="17" t="n"/>
      <c r="AI220" s="16" t="n"/>
      <c r="AJ220" s="20" t="n"/>
      <c r="AK220" s="20" t="inlineStr">
        <is>
          <t>None</t>
        </is>
      </c>
      <c r="AL220" s="17" t="n"/>
      <c r="AM220" s="16" t="n"/>
      <c r="AN220" s="20" t="inlineStr">
        <is>
          <t>IC Anionen</t>
        </is>
      </c>
      <c r="AO220" s="20" t="inlineStr">
        <is>
          <t>None</t>
        </is>
      </c>
      <c r="AP220" s="17" t="n"/>
      <c r="AQ220" s="16" t="n"/>
      <c r="AR220" s="20" t="n"/>
      <c r="AS220" s="20" t="inlineStr">
        <is>
          <t>None</t>
        </is>
      </c>
      <c r="AT220" s="17" t="n"/>
      <c r="AU220" s="16" t="inlineStr">
        <is>
          <t>1.61</t>
        </is>
      </c>
      <c r="AV220" s="20" t="inlineStr">
        <is>
          <t>IC Anionen</t>
        </is>
      </c>
      <c r="AW220" s="20" t="inlineStr">
        <is>
          <t>None</t>
        </is>
      </c>
      <c r="AX220" s="17" t="n"/>
      <c r="AY220" s="16" t="inlineStr">
        <is>
          <t>4.04</t>
        </is>
      </c>
      <c r="AZ220" s="20" t="inlineStr">
        <is>
          <t>IC Anionen</t>
        </is>
      </c>
      <c r="BA220" s="20" t="inlineStr">
        <is>
          <t>None</t>
        </is>
      </c>
      <c r="BB220" s="17" t="n"/>
      <c r="BC220" s="16" t="inlineStr">
        <is>
          <t>142</t>
        </is>
      </c>
      <c r="BD220" s="20" t="inlineStr">
        <is>
          <t>IC Kationen</t>
        </is>
      </c>
      <c r="BE220" s="20" t="inlineStr">
        <is>
          <t>None</t>
        </is>
      </c>
      <c r="BF220" s="17" t="n"/>
      <c r="BG220" s="16" t="inlineStr">
        <is>
          <t>&lt;1.6</t>
        </is>
      </c>
      <c r="BH220" s="20" t="inlineStr">
        <is>
          <t>IC Kationen</t>
        </is>
      </c>
      <c r="BI220" s="20" t="inlineStr">
        <is>
          <t>None</t>
        </is>
      </c>
      <c r="BJ220" s="17" t="n"/>
      <c r="BK220" s="16" t="inlineStr">
        <is>
          <t>13.9</t>
        </is>
      </c>
      <c r="BL220" s="20" t="inlineStr">
        <is>
          <t>IC Kationen</t>
        </is>
      </c>
      <c r="BM220" s="20" t="inlineStr">
        <is>
          <t>None</t>
        </is>
      </c>
      <c r="BN220" s="17" t="n"/>
      <c r="BO220" s="16" t="inlineStr">
        <is>
          <t>207</t>
        </is>
      </c>
      <c r="BP220" s="20" t="inlineStr">
        <is>
          <t>IC Kationen</t>
        </is>
      </c>
      <c r="BQ220" s="20" t="inlineStr">
        <is>
          <t>None</t>
        </is>
      </c>
      <c r="BR220" s="17" t="n"/>
      <c r="BS220" s="16" t="inlineStr">
        <is>
          <t>28.4</t>
        </is>
      </c>
      <c r="BT220" s="20" t="inlineStr">
        <is>
          <t>IC Kationen</t>
        </is>
      </c>
      <c r="BU220" s="20" t="inlineStr">
        <is>
          <t>None</t>
        </is>
      </c>
      <c r="BV220" s="17" t="n"/>
      <c r="BW220" s="16" t="n"/>
      <c r="BX220" s="20" t="n"/>
      <c r="BY220" s="20" t="inlineStr">
        <is>
          <t>None</t>
        </is>
      </c>
      <c r="BZ220" s="17" t="n"/>
      <c r="CA220" s="16" t="n"/>
      <c r="CB220" s="20" t="n"/>
      <c r="CC220" s="20" t="inlineStr">
        <is>
          <t>None</t>
        </is>
      </c>
      <c r="CD220" s="17" t="n"/>
      <c r="CE220" s="16" t="n"/>
      <c r="CF220" s="20" t="n"/>
      <c r="CG220" s="20" t="inlineStr">
        <is>
          <t>None</t>
        </is>
      </c>
      <c r="CH220" s="17" t="n"/>
      <c r="CI220" s="16" t="n"/>
      <c r="CJ220" s="20" t="n"/>
      <c r="CK220" s="20" t="inlineStr">
        <is>
          <t>None</t>
        </is>
      </c>
      <c r="CL220" s="17" t="n"/>
      <c r="CM220" s="16" t="n"/>
      <c r="CN220" s="20" t="inlineStr">
        <is>
          <t>SOP 45-34</t>
        </is>
      </c>
      <c r="CO220" s="20" t="inlineStr">
        <is>
          <t>None</t>
        </is>
      </c>
      <c r="CP220" s="17" t="n"/>
      <c r="CQ220" s="16" t="n"/>
      <c r="CR220" s="20" t="n"/>
      <c r="CS220" s="20" t="inlineStr">
        <is>
          <t>None</t>
        </is>
      </c>
      <c r="CT220" s="17" t="n"/>
      <c r="CU220" s="16" t="n"/>
      <c r="CV220" s="20" t="n"/>
      <c r="CW220" s="20" t="inlineStr">
        <is>
          <t>None</t>
        </is>
      </c>
      <c r="CX220" s="17" t="n"/>
      <c r="CY220" s="16" t="n"/>
      <c r="CZ220" s="20" t="inlineStr">
        <is>
          <t>WTW Multimeter 3430 with FDO 925</t>
        </is>
      </c>
      <c r="DA220" s="20" t="inlineStr">
        <is>
          <t>None</t>
        </is>
      </c>
      <c r="DB220" s="17" t="n"/>
      <c r="DC220" s="16" t="n"/>
      <c r="DD220" s="20" t="n"/>
      <c r="DE220" s="20" t="inlineStr">
        <is>
          <t>None</t>
        </is>
      </c>
      <c r="DF220" s="17" t="n"/>
      <c r="DG220" s="16" t="n"/>
      <c r="DH220" s="20" t="inlineStr">
        <is>
          <t>SOP 45-09</t>
        </is>
      </c>
      <c r="DI220" s="20" t="inlineStr">
        <is>
          <t>None</t>
        </is>
      </c>
      <c r="DJ220" s="17" t="n"/>
      <c r="DK220" s="16" t="n"/>
      <c r="DL220" s="20" t="inlineStr">
        <is>
          <t>SOP 45-09 (SOP muss noch angepasst werden für VSS)</t>
        </is>
      </c>
      <c r="DM220" s="20" t="inlineStr">
        <is>
          <t>None</t>
        </is>
      </c>
      <c r="DN220" s="17" t="n"/>
      <c r="DO220" s="16" t="n"/>
      <c r="DP220" s="20" t="inlineStr">
        <is>
          <t>IC Organic Acids</t>
        </is>
      </c>
      <c r="DQ220" s="20" t="inlineStr">
        <is>
          <t>None</t>
        </is>
      </c>
      <c r="DR220" s="17" t="n"/>
      <c r="DS220" s="16" t="n"/>
      <c r="DT220" s="20" t="inlineStr">
        <is>
          <t>IC Organic Acids</t>
        </is>
      </c>
      <c r="DU220" s="20" t="inlineStr">
        <is>
          <t>None</t>
        </is>
      </c>
      <c r="DV220" s="17" t="n"/>
      <c r="DW220" s="16" t="n"/>
      <c r="DX220" s="20" t="inlineStr">
        <is>
          <t>IC Organic Acids</t>
        </is>
      </c>
      <c r="DY220" s="20" t="inlineStr">
        <is>
          <t>None</t>
        </is>
      </c>
      <c r="DZ220" s="17" t="n"/>
      <c r="EA220" s="16" t="n"/>
      <c r="EB220" s="20" t="inlineStr">
        <is>
          <t>IC Organic Acids</t>
        </is>
      </c>
      <c r="EC220" s="20" t="inlineStr">
        <is>
          <t>None</t>
        </is>
      </c>
      <c r="ED220" s="17" t="n"/>
      <c r="EE220" s="16" t="n"/>
      <c r="EF220" s="20" t="inlineStr">
        <is>
          <t>IC Organic Acids</t>
        </is>
      </c>
      <c r="EG220" s="20" t="inlineStr">
        <is>
          <t>None</t>
        </is>
      </c>
      <c r="EH220" s="17" t="n"/>
      <c r="EI220" s="16" t="n"/>
      <c r="EJ220" s="20" t="inlineStr">
        <is>
          <t>IC Organic Acids</t>
        </is>
      </c>
      <c r="EK220" s="20" t="inlineStr">
        <is>
          <t>None</t>
        </is>
      </c>
      <c r="EL220" s="17" t="n"/>
      <c r="EM220" s="16" t="n"/>
      <c r="EN220" s="20" t="inlineStr">
        <is>
          <t>IC Organic Acids</t>
        </is>
      </c>
      <c r="EO220" s="20" t="inlineStr">
        <is>
          <t>None</t>
        </is>
      </c>
      <c r="EP220" s="17" t="n"/>
      <c r="EQ220" s="16" t="n"/>
      <c r="ER220" s="20" t="inlineStr">
        <is>
          <t>IC Organic Acids</t>
        </is>
      </c>
      <c r="ES220" s="20" t="inlineStr">
        <is>
          <t>None</t>
        </is>
      </c>
      <c r="ET220" s="17" t="n"/>
      <c r="EU220" s="16" t="n"/>
      <c r="EV220" s="20" t="inlineStr">
        <is>
          <t>LC-MS</t>
        </is>
      </c>
      <c r="EW220" s="20" t="inlineStr">
        <is>
          <t>None</t>
        </is>
      </c>
      <c r="EX220" s="17" t="n"/>
      <c r="EY220" s="21" t="n"/>
      <c r="EZ220">
        <f>CONCATENATE(A220,B220)</f>
        <v/>
      </c>
      <c r="FA220">
        <f>CONCATENATE(SamplesX!A220,SamplesX!B220)</f>
        <v/>
      </c>
      <c r="FC220">
        <f>MATCH(EZ220,FA1:FA1008,0)</f>
        <v/>
      </c>
    </row>
    <row r="221">
      <c r="A221" s="16" t="inlineStr">
        <is>
          <t>BP</t>
        </is>
      </c>
      <c r="B221" s="17" t="inlineStr">
        <is>
          <t>25213</t>
        </is>
      </c>
      <c r="C221" s="10">
        <f>IF(ISNUMBER(FC221),INDIRECT("SamplesX!C"&amp;FC221),IF(ISNUMBER(FD221),INDIRECT("SamplesY!C"&amp;FD221),""))</f>
        <v/>
      </c>
      <c r="D221" s="12">
        <f>IF(ISNUMBER(FC221),INDIRECT("SamplesX!D"&amp;FC221),IF(ISNUMBER(FD221),INDIRECT("SamplesY!D"&amp;FD221),""))</f>
        <v/>
      </c>
      <c r="E221" s="12">
        <f>IF(ISNUMBER(FC221),INDIRECT("SamplesX!E"&amp;FC221),IF(ISNUMBER(FD221),INDIRECT("SamplesY!E"&amp;FD221),""))</f>
        <v/>
      </c>
      <c r="F221" s="11">
        <f>IF(ISNUMBER(FC221),INDIRECT("SamplesX!F"&amp;FC221),IF(ISNUMBER(FD221),INDIRECT("SamplesY!F"&amp;FD221),""))</f>
        <v/>
      </c>
      <c r="G221" s="18">
        <f>IF(ISNUMBER(FC221),INDIRECT("SamplesX!G"&amp;FC221),IF(ISNUMBER(FD221),INDIRECT("SamplesY!G"&amp;FD221),""))</f>
        <v/>
      </c>
      <c r="H221" s="19">
        <f>IF(ISNUMBER(FC221),INDIRECT("SamplesX!H"&amp;FC221),IF(ISNUMBER(FD221),INDIRECT("SamplesY!H"&amp;FD221),""))</f>
        <v/>
      </c>
      <c r="I221" s="16" t="n"/>
      <c r="J221" s="16" t="n"/>
      <c r="K221" s="16" t="n"/>
      <c r="L221" s="20" t="n"/>
      <c r="M221" s="20" t="inlineStr">
        <is>
          <t>None</t>
        </is>
      </c>
      <c r="N221" s="17" t="n"/>
      <c r="O221" s="16" t="n"/>
      <c r="P221" s="20" t="inlineStr">
        <is>
          <t>Shimadzu TOC-L</t>
        </is>
      </c>
      <c r="Q221" s="20" t="inlineStr">
        <is>
          <t>None</t>
        </is>
      </c>
      <c r="R221" s="17" t="n"/>
      <c r="S221" s="16" t="n"/>
      <c r="T221" s="20" t="inlineStr">
        <is>
          <t>Shimadzu TOC-L</t>
        </is>
      </c>
      <c r="U221" s="20" t="inlineStr">
        <is>
          <t>None</t>
        </is>
      </c>
      <c r="V221" s="17" t="n"/>
      <c r="W221" s="16" t="n"/>
      <c r="X221" s="20" t="n"/>
      <c r="Y221" s="20" t="inlineStr">
        <is>
          <t>None</t>
        </is>
      </c>
      <c r="Z221" s="17" t="n"/>
      <c r="AA221" s="16" t="n"/>
      <c r="AB221" s="20" t="n"/>
      <c r="AC221" s="20" t="inlineStr">
        <is>
          <t>None</t>
        </is>
      </c>
      <c r="AD221" s="17" t="n"/>
      <c r="AE221" s="16" t="n"/>
      <c r="AF221" s="20" t="inlineStr">
        <is>
          <t>IC Anionen</t>
        </is>
      </c>
      <c r="AG221" s="20" t="inlineStr">
        <is>
          <t>None</t>
        </is>
      </c>
      <c r="AH221" s="17" t="n"/>
      <c r="AI221" s="16" t="n"/>
      <c r="AJ221" s="20" t="n"/>
      <c r="AK221" s="20" t="inlineStr">
        <is>
          <t>None</t>
        </is>
      </c>
      <c r="AL221" s="17" t="n"/>
      <c r="AM221" s="16" t="n"/>
      <c r="AN221" s="20" t="inlineStr">
        <is>
          <t>IC Anionen</t>
        </is>
      </c>
      <c r="AO221" s="20" t="inlineStr">
        <is>
          <t>None</t>
        </is>
      </c>
      <c r="AP221" s="17" t="n"/>
      <c r="AQ221" s="16" t="n"/>
      <c r="AR221" s="20" t="n"/>
      <c r="AS221" s="20" t="inlineStr">
        <is>
          <t>None</t>
        </is>
      </c>
      <c r="AT221" s="17" t="n"/>
      <c r="AU221" s="16" t="n"/>
      <c r="AV221" s="20" t="inlineStr">
        <is>
          <t>IC Anionen</t>
        </is>
      </c>
      <c r="AW221" s="20" t="inlineStr">
        <is>
          <t>None</t>
        </is>
      </c>
      <c r="AX221" s="17" t="n"/>
      <c r="AY221" s="16" t="n"/>
      <c r="AZ221" s="20" t="inlineStr">
        <is>
          <t>IC Anionen</t>
        </is>
      </c>
      <c r="BA221" s="20" t="inlineStr">
        <is>
          <t>None</t>
        </is>
      </c>
      <c r="BB221" s="17" t="n"/>
      <c r="BC221" s="16" t="n"/>
      <c r="BD221" s="20" t="inlineStr">
        <is>
          <t>IC Kationen</t>
        </is>
      </c>
      <c r="BE221" s="20" t="inlineStr">
        <is>
          <t>None</t>
        </is>
      </c>
      <c r="BF221" s="17" t="n"/>
      <c r="BG221" s="16" t="n"/>
      <c r="BH221" s="20" t="inlineStr">
        <is>
          <t>IC Kationen</t>
        </is>
      </c>
      <c r="BI221" s="20" t="inlineStr">
        <is>
          <t>None</t>
        </is>
      </c>
      <c r="BJ221" s="17" t="n"/>
      <c r="BK221" s="16" t="n"/>
      <c r="BL221" s="20" t="inlineStr">
        <is>
          <t>IC Kationen</t>
        </is>
      </c>
      <c r="BM221" s="20" t="inlineStr">
        <is>
          <t>None</t>
        </is>
      </c>
      <c r="BN221" s="17" t="n"/>
      <c r="BO221" s="16" t="n"/>
      <c r="BP221" s="20" t="inlineStr">
        <is>
          <t>IC Kationen</t>
        </is>
      </c>
      <c r="BQ221" s="20" t="inlineStr">
        <is>
          <t>None</t>
        </is>
      </c>
      <c r="BR221" s="17" t="n"/>
      <c r="BS221" s="16" t="n"/>
      <c r="BT221" s="20" t="inlineStr">
        <is>
          <t>IC Kationen</t>
        </is>
      </c>
      <c r="BU221" s="20" t="inlineStr">
        <is>
          <t>None</t>
        </is>
      </c>
      <c r="BV221" s="17" t="n"/>
      <c r="BW221" s="16" t="n"/>
      <c r="BX221" s="20" t="n"/>
      <c r="BY221" s="20" t="inlineStr">
        <is>
          <t>None</t>
        </is>
      </c>
      <c r="BZ221" s="17" t="n"/>
      <c r="CA221" s="16" t="n"/>
      <c r="CB221" s="20" t="n"/>
      <c r="CC221" s="20" t="inlineStr">
        <is>
          <t>None</t>
        </is>
      </c>
      <c r="CD221" s="17" t="n"/>
      <c r="CE221" s="16" t="n"/>
      <c r="CF221" s="20" t="n"/>
      <c r="CG221" s="20" t="inlineStr">
        <is>
          <t>None</t>
        </is>
      </c>
      <c r="CH221" s="17" t="n"/>
      <c r="CI221" s="16" t="n"/>
      <c r="CJ221" s="20" t="n"/>
      <c r="CK221" s="20" t="inlineStr">
        <is>
          <t>None</t>
        </is>
      </c>
      <c r="CL221" s="17" t="n"/>
      <c r="CM221" s="16" t="n"/>
      <c r="CN221" s="20" t="inlineStr">
        <is>
          <t>SOP 45-34</t>
        </is>
      </c>
      <c r="CO221" s="20" t="inlineStr">
        <is>
          <t>None</t>
        </is>
      </c>
      <c r="CP221" s="17" t="n"/>
      <c r="CQ221" s="16" t="n"/>
      <c r="CR221" s="20" t="n"/>
      <c r="CS221" s="20" t="inlineStr">
        <is>
          <t>None</t>
        </is>
      </c>
      <c r="CT221" s="17" t="n"/>
      <c r="CU221" s="16" t="n"/>
      <c r="CV221" s="20" t="n"/>
      <c r="CW221" s="20" t="inlineStr">
        <is>
          <t>None</t>
        </is>
      </c>
      <c r="CX221" s="17" t="n"/>
      <c r="CY221" s="16" t="n"/>
      <c r="CZ221" s="20" t="inlineStr">
        <is>
          <t>WTW Multimeter 3430 with FDO 925</t>
        </is>
      </c>
      <c r="DA221" s="20" t="inlineStr">
        <is>
          <t>None</t>
        </is>
      </c>
      <c r="DB221" s="17" t="n"/>
      <c r="DC221" s="16" t="n"/>
      <c r="DD221" s="20" t="n"/>
      <c r="DE221" s="20" t="inlineStr">
        <is>
          <t>None</t>
        </is>
      </c>
      <c r="DF221" s="17" t="n"/>
      <c r="DG221" s="16" t="n"/>
      <c r="DH221" s="20" t="inlineStr">
        <is>
          <t>SOP 45-09</t>
        </is>
      </c>
      <c r="DI221" s="20" t="inlineStr">
        <is>
          <t>None</t>
        </is>
      </c>
      <c r="DJ221" s="17" t="n"/>
      <c r="DK221" s="16" t="n"/>
      <c r="DL221" s="20" t="inlineStr">
        <is>
          <t>SOP 45-09 (SOP muss noch angepasst werden für VSS)</t>
        </is>
      </c>
      <c r="DM221" s="20" t="inlineStr">
        <is>
          <t>None</t>
        </is>
      </c>
      <c r="DN221" s="17" t="n"/>
      <c r="DO221" s="16" t="n"/>
      <c r="DP221" s="20" t="inlineStr">
        <is>
          <t>IC Organic Acids</t>
        </is>
      </c>
      <c r="DQ221" s="20" t="inlineStr">
        <is>
          <t>None</t>
        </is>
      </c>
      <c r="DR221" s="17" t="n"/>
      <c r="DS221" s="16" t="n"/>
      <c r="DT221" s="20" t="inlineStr">
        <is>
          <t>IC Organic Acids</t>
        </is>
      </c>
      <c r="DU221" s="20" t="inlineStr">
        <is>
          <t>None</t>
        </is>
      </c>
      <c r="DV221" s="17" t="n"/>
      <c r="DW221" s="16" t="n"/>
      <c r="DX221" s="20" t="inlineStr">
        <is>
          <t>IC Organic Acids</t>
        </is>
      </c>
      <c r="DY221" s="20" t="inlineStr">
        <is>
          <t>None</t>
        </is>
      </c>
      <c r="DZ221" s="17" t="n"/>
      <c r="EA221" s="16" t="n"/>
      <c r="EB221" s="20" t="inlineStr">
        <is>
          <t>IC Organic Acids</t>
        </is>
      </c>
      <c r="EC221" s="20" t="inlineStr">
        <is>
          <t>None</t>
        </is>
      </c>
      <c r="ED221" s="17" t="n"/>
      <c r="EE221" s="16" t="n"/>
      <c r="EF221" s="20" t="inlineStr">
        <is>
          <t>IC Organic Acids</t>
        </is>
      </c>
      <c r="EG221" s="20" t="inlineStr">
        <is>
          <t>None</t>
        </is>
      </c>
      <c r="EH221" s="17" t="n"/>
      <c r="EI221" s="16" t="n"/>
      <c r="EJ221" s="20" t="inlineStr">
        <is>
          <t>IC Organic Acids</t>
        </is>
      </c>
      <c r="EK221" s="20" t="inlineStr">
        <is>
          <t>None</t>
        </is>
      </c>
      <c r="EL221" s="17" t="n"/>
      <c r="EM221" s="16" t="n"/>
      <c r="EN221" s="20" t="inlineStr">
        <is>
          <t>IC Organic Acids</t>
        </is>
      </c>
      <c r="EO221" s="20" t="inlineStr">
        <is>
          <t>None</t>
        </is>
      </c>
      <c r="EP221" s="17" t="n"/>
      <c r="EQ221" s="16" t="n"/>
      <c r="ER221" s="20" t="inlineStr">
        <is>
          <t>IC Organic Acids</t>
        </is>
      </c>
      <c r="ES221" s="20" t="inlineStr">
        <is>
          <t>None</t>
        </is>
      </c>
      <c r="ET221" s="17" t="n"/>
      <c r="EU221" s="16" t="n"/>
      <c r="EV221" s="20" t="inlineStr">
        <is>
          <t>LC-MS</t>
        </is>
      </c>
      <c r="EW221" s="20" t="inlineStr">
        <is>
          <t>None</t>
        </is>
      </c>
      <c r="EX221" s="17" t="n"/>
      <c r="EY221" s="21" t="n"/>
      <c r="EZ221">
        <f>CONCATENATE(A221,B221)</f>
        <v/>
      </c>
      <c r="FA221">
        <f>CONCATENATE(SamplesX!A221,SamplesX!B221)</f>
        <v/>
      </c>
      <c r="FC221">
        <f>MATCH(EZ221,FA1:FA1008,0)</f>
        <v/>
      </c>
    </row>
    <row r="222">
      <c r="A222" s="16" t="inlineStr">
        <is>
          <t>BP</t>
        </is>
      </c>
      <c r="B222" s="17" t="inlineStr">
        <is>
          <t>25214</t>
        </is>
      </c>
      <c r="C222" s="10">
        <f>IF(ISNUMBER(FC222),INDIRECT("SamplesX!C"&amp;FC222),IF(ISNUMBER(FD222),INDIRECT("SamplesY!C"&amp;FD222),""))</f>
        <v/>
      </c>
      <c r="D222" s="12">
        <f>IF(ISNUMBER(FC222),INDIRECT("SamplesX!D"&amp;FC222),IF(ISNUMBER(FD222),INDIRECT("SamplesY!D"&amp;FD222),""))</f>
        <v/>
      </c>
      <c r="E222" s="12">
        <f>IF(ISNUMBER(FC222),INDIRECT("SamplesX!E"&amp;FC222),IF(ISNUMBER(FD222),INDIRECT("SamplesY!E"&amp;FD222),""))</f>
        <v/>
      </c>
      <c r="F222" s="11">
        <f>IF(ISNUMBER(FC222),INDIRECT("SamplesX!F"&amp;FC222),IF(ISNUMBER(FD222),INDIRECT("SamplesY!F"&amp;FD222),""))</f>
        <v/>
      </c>
      <c r="G222" s="18">
        <f>IF(ISNUMBER(FC222),INDIRECT("SamplesX!G"&amp;FC222),IF(ISNUMBER(FD222),INDIRECT("SamplesY!G"&amp;FD222),""))</f>
        <v/>
      </c>
      <c r="H222" s="19">
        <f>IF(ISNUMBER(FC222),INDIRECT("SamplesX!H"&amp;FC222),IF(ISNUMBER(FD222),INDIRECT("SamplesY!H"&amp;FD222),""))</f>
        <v/>
      </c>
      <c r="I222" s="16" t="n"/>
      <c r="J222" s="16" t="n"/>
      <c r="K222" s="16" t="n"/>
      <c r="L222" s="20" t="n"/>
      <c r="M222" s="20" t="inlineStr">
        <is>
          <t>None</t>
        </is>
      </c>
      <c r="N222" s="17" t="n"/>
      <c r="O222" s="16" t="n"/>
      <c r="P222" s="20" t="inlineStr">
        <is>
          <t>Shimadzu TOC-L</t>
        </is>
      </c>
      <c r="Q222" s="20" t="inlineStr">
        <is>
          <t>None</t>
        </is>
      </c>
      <c r="R222" s="17" t="n"/>
      <c r="S222" s="16" t="n"/>
      <c r="T222" s="20" t="inlineStr">
        <is>
          <t>Shimadzu TOC-L</t>
        </is>
      </c>
      <c r="U222" s="20" t="inlineStr">
        <is>
          <t>None</t>
        </is>
      </c>
      <c r="V222" s="17" t="n"/>
      <c r="W222" s="16" t="n"/>
      <c r="X222" s="20" t="n"/>
      <c r="Y222" s="20" t="inlineStr">
        <is>
          <t>None</t>
        </is>
      </c>
      <c r="Z222" s="17" t="n"/>
      <c r="AA222" s="16" t="n"/>
      <c r="AB222" s="20" t="n"/>
      <c r="AC222" s="20" t="inlineStr">
        <is>
          <t>None</t>
        </is>
      </c>
      <c r="AD222" s="17" t="n"/>
      <c r="AE222" s="16" t="n"/>
      <c r="AF222" s="20" t="inlineStr">
        <is>
          <t>IC Anionen</t>
        </is>
      </c>
      <c r="AG222" s="20" t="inlineStr">
        <is>
          <t>None</t>
        </is>
      </c>
      <c r="AH222" s="17" t="n"/>
      <c r="AI222" s="16" t="n"/>
      <c r="AJ222" s="20" t="n"/>
      <c r="AK222" s="20" t="inlineStr">
        <is>
          <t>None</t>
        </is>
      </c>
      <c r="AL222" s="17" t="n"/>
      <c r="AM222" s="16" t="n"/>
      <c r="AN222" s="20" t="inlineStr">
        <is>
          <t>IC Anionen</t>
        </is>
      </c>
      <c r="AO222" s="20" t="inlineStr">
        <is>
          <t>None</t>
        </is>
      </c>
      <c r="AP222" s="17" t="n"/>
      <c r="AQ222" s="16" t="n"/>
      <c r="AR222" s="20" t="n"/>
      <c r="AS222" s="20" t="inlineStr">
        <is>
          <t>None</t>
        </is>
      </c>
      <c r="AT222" s="17" t="n"/>
      <c r="AU222" s="16" t="n"/>
      <c r="AV222" s="20" t="inlineStr">
        <is>
          <t>IC Anionen</t>
        </is>
      </c>
      <c r="AW222" s="20" t="inlineStr">
        <is>
          <t>None</t>
        </is>
      </c>
      <c r="AX222" s="17" t="n"/>
      <c r="AY222" s="16" t="n"/>
      <c r="AZ222" s="20" t="inlineStr">
        <is>
          <t>IC Anionen</t>
        </is>
      </c>
      <c r="BA222" s="20" t="inlineStr">
        <is>
          <t>None</t>
        </is>
      </c>
      <c r="BB222" s="17" t="n"/>
      <c r="BC222" s="16" t="n"/>
      <c r="BD222" s="20" t="inlineStr">
        <is>
          <t>IC Kationen</t>
        </is>
      </c>
      <c r="BE222" s="20" t="inlineStr">
        <is>
          <t>None</t>
        </is>
      </c>
      <c r="BF222" s="17" t="n"/>
      <c r="BG222" s="16" t="n"/>
      <c r="BH222" s="20" t="inlineStr">
        <is>
          <t>IC Kationen</t>
        </is>
      </c>
      <c r="BI222" s="20" t="inlineStr">
        <is>
          <t>None</t>
        </is>
      </c>
      <c r="BJ222" s="17" t="n"/>
      <c r="BK222" s="16" t="n"/>
      <c r="BL222" s="20" t="inlineStr">
        <is>
          <t>IC Kationen</t>
        </is>
      </c>
      <c r="BM222" s="20" t="inlineStr">
        <is>
          <t>None</t>
        </is>
      </c>
      <c r="BN222" s="17" t="n"/>
      <c r="BO222" s="16" t="n"/>
      <c r="BP222" s="20" t="inlineStr">
        <is>
          <t>IC Kationen</t>
        </is>
      </c>
      <c r="BQ222" s="20" t="inlineStr">
        <is>
          <t>None</t>
        </is>
      </c>
      <c r="BR222" s="17" t="n"/>
      <c r="BS222" s="16" t="n"/>
      <c r="BT222" s="20" t="inlineStr">
        <is>
          <t>IC Kationen</t>
        </is>
      </c>
      <c r="BU222" s="20" t="inlineStr">
        <is>
          <t>None</t>
        </is>
      </c>
      <c r="BV222" s="17" t="n"/>
      <c r="BW222" s="16" t="n"/>
      <c r="BX222" s="20" t="n"/>
      <c r="BY222" s="20" t="inlineStr">
        <is>
          <t>None</t>
        </is>
      </c>
      <c r="BZ222" s="17" t="n"/>
      <c r="CA222" s="16" t="n"/>
      <c r="CB222" s="20" t="n"/>
      <c r="CC222" s="20" t="inlineStr">
        <is>
          <t>None</t>
        </is>
      </c>
      <c r="CD222" s="17" t="n"/>
      <c r="CE222" s="16" t="n"/>
      <c r="CF222" s="20" t="n"/>
      <c r="CG222" s="20" t="inlineStr">
        <is>
          <t>None</t>
        </is>
      </c>
      <c r="CH222" s="17" t="n"/>
      <c r="CI222" s="16" t="n"/>
      <c r="CJ222" s="20" t="n"/>
      <c r="CK222" s="20" t="inlineStr">
        <is>
          <t>None</t>
        </is>
      </c>
      <c r="CL222" s="17" t="n"/>
      <c r="CM222" s="16" t="n"/>
      <c r="CN222" s="20" t="inlineStr">
        <is>
          <t>SOP 45-34</t>
        </is>
      </c>
      <c r="CO222" s="20" t="inlineStr">
        <is>
          <t>None</t>
        </is>
      </c>
      <c r="CP222" s="17" t="n"/>
      <c r="CQ222" s="16" t="n"/>
      <c r="CR222" s="20" t="n"/>
      <c r="CS222" s="20" t="inlineStr">
        <is>
          <t>None</t>
        </is>
      </c>
      <c r="CT222" s="17" t="n"/>
      <c r="CU222" s="16" t="n"/>
      <c r="CV222" s="20" t="n"/>
      <c r="CW222" s="20" t="inlineStr">
        <is>
          <t>None</t>
        </is>
      </c>
      <c r="CX222" s="17" t="n"/>
      <c r="CY222" s="16" t="n"/>
      <c r="CZ222" s="20" t="inlineStr">
        <is>
          <t>WTW Multimeter 3430 with FDO 925</t>
        </is>
      </c>
      <c r="DA222" s="20" t="inlineStr">
        <is>
          <t>None</t>
        </is>
      </c>
      <c r="DB222" s="17" t="n"/>
      <c r="DC222" s="16" t="n"/>
      <c r="DD222" s="20" t="n"/>
      <c r="DE222" s="20" t="inlineStr">
        <is>
          <t>None</t>
        </is>
      </c>
      <c r="DF222" s="17" t="n"/>
      <c r="DG222" s="16" t="n"/>
      <c r="DH222" s="20" t="inlineStr">
        <is>
          <t>SOP 45-09</t>
        </is>
      </c>
      <c r="DI222" s="20" t="inlineStr">
        <is>
          <t>None</t>
        </is>
      </c>
      <c r="DJ222" s="17" t="n"/>
      <c r="DK222" s="16" t="n"/>
      <c r="DL222" s="20" t="inlineStr">
        <is>
          <t>SOP 45-09 (SOP muss noch angepasst werden für VSS)</t>
        </is>
      </c>
      <c r="DM222" s="20" t="inlineStr">
        <is>
          <t>None</t>
        </is>
      </c>
      <c r="DN222" s="17" t="n"/>
      <c r="DO222" s="16" t="n"/>
      <c r="DP222" s="20" t="inlineStr">
        <is>
          <t>IC Organic Acids</t>
        </is>
      </c>
      <c r="DQ222" s="20" t="inlineStr">
        <is>
          <t>None</t>
        </is>
      </c>
      <c r="DR222" s="17" t="n"/>
      <c r="DS222" s="16" t="n"/>
      <c r="DT222" s="20" t="inlineStr">
        <is>
          <t>IC Organic Acids</t>
        </is>
      </c>
      <c r="DU222" s="20" t="inlineStr">
        <is>
          <t>None</t>
        </is>
      </c>
      <c r="DV222" s="17" t="n"/>
      <c r="DW222" s="16" t="n"/>
      <c r="DX222" s="20" t="inlineStr">
        <is>
          <t>IC Organic Acids</t>
        </is>
      </c>
      <c r="DY222" s="20" t="inlineStr">
        <is>
          <t>None</t>
        </is>
      </c>
      <c r="DZ222" s="17" t="n"/>
      <c r="EA222" s="16" t="n"/>
      <c r="EB222" s="20" t="inlineStr">
        <is>
          <t>IC Organic Acids</t>
        </is>
      </c>
      <c r="EC222" s="20" t="inlineStr">
        <is>
          <t>None</t>
        </is>
      </c>
      <c r="ED222" s="17" t="n"/>
      <c r="EE222" s="16" t="n"/>
      <c r="EF222" s="20" t="inlineStr">
        <is>
          <t>IC Organic Acids</t>
        </is>
      </c>
      <c r="EG222" s="20" t="inlineStr">
        <is>
          <t>None</t>
        </is>
      </c>
      <c r="EH222" s="17" t="n"/>
      <c r="EI222" s="16" t="n"/>
      <c r="EJ222" s="20" t="inlineStr">
        <is>
          <t>IC Organic Acids</t>
        </is>
      </c>
      <c r="EK222" s="20" t="inlineStr">
        <is>
          <t>None</t>
        </is>
      </c>
      <c r="EL222" s="17" t="n"/>
      <c r="EM222" s="16" t="n"/>
      <c r="EN222" s="20" t="inlineStr">
        <is>
          <t>IC Organic Acids</t>
        </is>
      </c>
      <c r="EO222" s="20" t="inlineStr">
        <is>
          <t>None</t>
        </is>
      </c>
      <c r="EP222" s="17" t="n"/>
      <c r="EQ222" s="16" t="n"/>
      <c r="ER222" s="20" t="inlineStr">
        <is>
          <t>IC Organic Acids</t>
        </is>
      </c>
      <c r="ES222" s="20" t="inlineStr">
        <is>
          <t>None</t>
        </is>
      </c>
      <c r="ET222" s="17" t="n"/>
      <c r="EU222" s="16" t="n"/>
      <c r="EV222" s="20" t="inlineStr">
        <is>
          <t>LC-MS</t>
        </is>
      </c>
      <c r="EW222" s="20" t="inlineStr">
        <is>
          <t>None</t>
        </is>
      </c>
      <c r="EX222" s="17" t="n"/>
      <c r="EY222" s="21" t="n"/>
      <c r="EZ222">
        <f>CONCATENATE(A222,B222)</f>
        <v/>
      </c>
      <c r="FA222">
        <f>CONCATENATE(SamplesX!A222,SamplesX!B222)</f>
        <v/>
      </c>
      <c r="FC222">
        <f>MATCH(EZ222,FA1:FA1008,0)</f>
        <v/>
      </c>
    </row>
    <row r="223">
      <c r="A223" s="16" t="inlineStr">
        <is>
          <t>BP</t>
        </is>
      </c>
      <c r="B223" s="17" t="inlineStr">
        <is>
          <t>25215</t>
        </is>
      </c>
      <c r="C223" s="10">
        <f>IF(ISNUMBER(FC223),INDIRECT("SamplesX!C"&amp;FC223),IF(ISNUMBER(FD223),INDIRECT("SamplesY!C"&amp;FD223),""))</f>
        <v/>
      </c>
      <c r="D223" s="12">
        <f>IF(ISNUMBER(FC223),INDIRECT("SamplesX!D"&amp;FC223),IF(ISNUMBER(FD223),INDIRECT("SamplesY!D"&amp;FD223),""))</f>
        <v/>
      </c>
      <c r="E223" s="12">
        <f>IF(ISNUMBER(FC223),INDIRECT("SamplesX!E"&amp;FC223),IF(ISNUMBER(FD223),INDIRECT("SamplesY!E"&amp;FD223),""))</f>
        <v/>
      </c>
      <c r="F223" s="11">
        <f>IF(ISNUMBER(FC223),INDIRECT("SamplesX!F"&amp;FC223),IF(ISNUMBER(FD223),INDIRECT("SamplesY!F"&amp;FD223),""))</f>
        <v/>
      </c>
      <c r="G223" s="18">
        <f>IF(ISNUMBER(FC223),INDIRECT("SamplesX!G"&amp;FC223),IF(ISNUMBER(FD223),INDIRECT("SamplesY!G"&amp;FD223),""))</f>
        <v/>
      </c>
      <c r="H223" s="19">
        <f>IF(ISNUMBER(FC223),INDIRECT("SamplesX!H"&amp;FC223),IF(ISNUMBER(FD223),INDIRECT("SamplesY!H"&amp;FD223),""))</f>
        <v/>
      </c>
      <c r="I223" s="16" t="n"/>
      <c r="J223" s="16" t="n"/>
      <c r="K223" s="16" t="n"/>
      <c r="L223" s="20" t="n"/>
      <c r="M223" s="20" t="inlineStr">
        <is>
          <t>None</t>
        </is>
      </c>
      <c r="N223" s="17" t="n"/>
      <c r="O223" s="16" t="n"/>
      <c r="P223" s="20" t="inlineStr">
        <is>
          <t>Shimadzu TOC-L</t>
        </is>
      </c>
      <c r="Q223" s="20" t="inlineStr">
        <is>
          <t>None</t>
        </is>
      </c>
      <c r="R223" s="17" t="n"/>
      <c r="S223" s="16" t="n"/>
      <c r="T223" s="20" t="inlineStr">
        <is>
          <t>Shimadzu TOC-L</t>
        </is>
      </c>
      <c r="U223" s="20" t="inlineStr">
        <is>
          <t>None</t>
        </is>
      </c>
      <c r="V223" s="17" t="n"/>
      <c r="W223" s="16" t="n"/>
      <c r="X223" s="20" t="n"/>
      <c r="Y223" s="20" t="inlineStr">
        <is>
          <t>None</t>
        </is>
      </c>
      <c r="Z223" s="17" t="n"/>
      <c r="AA223" s="16" t="n"/>
      <c r="AB223" s="20" t="n"/>
      <c r="AC223" s="20" t="inlineStr">
        <is>
          <t>None</t>
        </is>
      </c>
      <c r="AD223" s="17" t="n"/>
      <c r="AE223" s="16" t="n"/>
      <c r="AF223" s="20" t="inlineStr">
        <is>
          <t>IC Anionen</t>
        </is>
      </c>
      <c r="AG223" s="20" t="inlineStr">
        <is>
          <t>None</t>
        </is>
      </c>
      <c r="AH223" s="17" t="n"/>
      <c r="AI223" s="16" t="n"/>
      <c r="AJ223" s="20" t="n"/>
      <c r="AK223" s="20" t="inlineStr">
        <is>
          <t>None</t>
        </is>
      </c>
      <c r="AL223" s="17" t="n"/>
      <c r="AM223" s="16" t="n"/>
      <c r="AN223" s="20" t="inlineStr">
        <is>
          <t>IC Anionen</t>
        </is>
      </c>
      <c r="AO223" s="20" t="inlineStr">
        <is>
          <t>None</t>
        </is>
      </c>
      <c r="AP223" s="17" t="n"/>
      <c r="AQ223" s="16" t="n"/>
      <c r="AR223" s="20" t="n"/>
      <c r="AS223" s="20" t="inlineStr">
        <is>
          <t>None</t>
        </is>
      </c>
      <c r="AT223" s="17" t="n"/>
      <c r="AU223" s="16" t="n"/>
      <c r="AV223" s="20" t="inlineStr">
        <is>
          <t>IC Anionen</t>
        </is>
      </c>
      <c r="AW223" s="20" t="inlineStr">
        <is>
          <t>None</t>
        </is>
      </c>
      <c r="AX223" s="17" t="n"/>
      <c r="AY223" s="16" t="n"/>
      <c r="AZ223" s="20" t="inlineStr">
        <is>
          <t>IC Anionen</t>
        </is>
      </c>
      <c r="BA223" s="20" t="inlineStr">
        <is>
          <t>None</t>
        </is>
      </c>
      <c r="BB223" s="17" t="n"/>
      <c r="BC223" s="16" t="n"/>
      <c r="BD223" s="20" t="inlineStr">
        <is>
          <t>IC Kationen</t>
        </is>
      </c>
      <c r="BE223" s="20" t="inlineStr">
        <is>
          <t>None</t>
        </is>
      </c>
      <c r="BF223" s="17" t="n"/>
      <c r="BG223" s="16" t="n"/>
      <c r="BH223" s="20" t="inlineStr">
        <is>
          <t>IC Kationen</t>
        </is>
      </c>
      <c r="BI223" s="20" t="inlineStr">
        <is>
          <t>None</t>
        </is>
      </c>
      <c r="BJ223" s="17" t="n"/>
      <c r="BK223" s="16" t="n"/>
      <c r="BL223" s="20" t="inlineStr">
        <is>
          <t>IC Kationen</t>
        </is>
      </c>
      <c r="BM223" s="20" t="inlineStr">
        <is>
          <t>None</t>
        </is>
      </c>
      <c r="BN223" s="17" t="n"/>
      <c r="BO223" s="16" t="n"/>
      <c r="BP223" s="20" t="inlineStr">
        <is>
          <t>IC Kationen</t>
        </is>
      </c>
      <c r="BQ223" s="20" t="inlineStr">
        <is>
          <t>None</t>
        </is>
      </c>
      <c r="BR223" s="17" t="n"/>
      <c r="BS223" s="16" t="n"/>
      <c r="BT223" s="20" t="inlineStr">
        <is>
          <t>IC Kationen</t>
        </is>
      </c>
      <c r="BU223" s="20" t="inlineStr">
        <is>
          <t>None</t>
        </is>
      </c>
      <c r="BV223" s="17" t="n"/>
      <c r="BW223" s="16" t="n"/>
      <c r="BX223" s="20" t="n"/>
      <c r="BY223" s="20" t="inlineStr">
        <is>
          <t>None</t>
        </is>
      </c>
      <c r="BZ223" s="17" t="n"/>
      <c r="CA223" s="16" t="n"/>
      <c r="CB223" s="20" t="n"/>
      <c r="CC223" s="20" t="inlineStr">
        <is>
          <t>None</t>
        </is>
      </c>
      <c r="CD223" s="17" t="n"/>
      <c r="CE223" s="16" t="n"/>
      <c r="CF223" s="20" t="n"/>
      <c r="CG223" s="20" t="inlineStr">
        <is>
          <t>None</t>
        </is>
      </c>
      <c r="CH223" s="17" t="n"/>
      <c r="CI223" s="16" t="n"/>
      <c r="CJ223" s="20" t="n"/>
      <c r="CK223" s="20" t="inlineStr">
        <is>
          <t>None</t>
        </is>
      </c>
      <c r="CL223" s="17" t="n"/>
      <c r="CM223" s="16" t="n"/>
      <c r="CN223" s="20" t="inlineStr">
        <is>
          <t>SOP 45-34</t>
        </is>
      </c>
      <c r="CO223" s="20" t="inlineStr">
        <is>
          <t>None</t>
        </is>
      </c>
      <c r="CP223" s="17" t="n"/>
      <c r="CQ223" s="16" t="n"/>
      <c r="CR223" s="20" t="n"/>
      <c r="CS223" s="20" t="inlineStr">
        <is>
          <t>None</t>
        </is>
      </c>
      <c r="CT223" s="17" t="n"/>
      <c r="CU223" s="16" t="n"/>
      <c r="CV223" s="20" t="n"/>
      <c r="CW223" s="20" t="inlineStr">
        <is>
          <t>None</t>
        </is>
      </c>
      <c r="CX223" s="17" t="n"/>
      <c r="CY223" s="16" t="n"/>
      <c r="CZ223" s="20" t="inlineStr">
        <is>
          <t>WTW Multimeter 3430 with FDO 925</t>
        </is>
      </c>
      <c r="DA223" s="20" t="inlineStr">
        <is>
          <t>None</t>
        </is>
      </c>
      <c r="DB223" s="17" t="n"/>
      <c r="DC223" s="16" t="n"/>
      <c r="DD223" s="20" t="n"/>
      <c r="DE223" s="20" t="inlineStr">
        <is>
          <t>None</t>
        </is>
      </c>
      <c r="DF223" s="17" t="n"/>
      <c r="DG223" s="16" t="n"/>
      <c r="DH223" s="20" t="inlineStr">
        <is>
          <t>SOP 45-09</t>
        </is>
      </c>
      <c r="DI223" s="20" t="inlineStr">
        <is>
          <t>None</t>
        </is>
      </c>
      <c r="DJ223" s="17" t="n"/>
      <c r="DK223" s="16" t="n"/>
      <c r="DL223" s="20" t="inlineStr">
        <is>
          <t>SOP 45-09 (SOP muss noch angepasst werden für VSS)</t>
        </is>
      </c>
      <c r="DM223" s="20" t="inlineStr">
        <is>
          <t>None</t>
        </is>
      </c>
      <c r="DN223" s="17" t="n"/>
      <c r="DO223" s="16" t="n"/>
      <c r="DP223" s="20" t="inlineStr">
        <is>
          <t>IC Organic Acids</t>
        </is>
      </c>
      <c r="DQ223" s="20" t="inlineStr">
        <is>
          <t>None</t>
        </is>
      </c>
      <c r="DR223" s="17" t="n"/>
      <c r="DS223" s="16" t="n"/>
      <c r="DT223" s="20" t="inlineStr">
        <is>
          <t>IC Organic Acids</t>
        </is>
      </c>
      <c r="DU223" s="20" t="inlineStr">
        <is>
          <t>None</t>
        </is>
      </c>
      <c r="DV223" s="17" t="n"/>
      <c r="DW223" s="16" t="n"/>
      <c r="DX223" s="20" t="inlineStr">
        <is>
          <t>IC Organic Acids</t>
        </is>
      </c>
      <c r="DY223" s="20" t="inlineStr">
        <is>
          <t>None</t>
        </is>
      </c>
      <c r="DZ223" s="17" t="n"/>
      <c r="EA223" s="16" t="n"/>
      <c r="EB223" s="20" t="inlineStr">
        <is>
          <t>IC Organic Acids</t>
        </is>
      </c>
      <c r="EC223" s="20" t="inlineStr">
        <is>
          <t>None</t>
        </is>
      </c>
      <c r="ED223" s="17" t="n"/>
      <c r="EE223" s="16" t="n"/>
      <c r="EF223" s="20" t="inlineStr">
        <is>
          <t>IC Organic Acids</t>
        </is>
      </c>
      <c r="EG223" s="20" t="inlineStr">
        <is>
          <t>None</t>
        </is>
      </c>
      <c r="EH223" s="17" t="n"/>
      <c r="EI223" s="16" t="n"/>
      <c r="EJ223" s="20" t="inlineStr">
        <is>
          <t>IC Organic Acids</t>
        </is>
      </c>
      <c r="EK223" s="20" t="inlineStr">
        <is>
          <t>None</t>
        </is>
      </c>
      <c r="EL223" s="17" t="n"/>
      <c r="EM223" s="16" t="n"/>
      <c r="EN223" s="20" t="inlineStr">
        <is>
          <t>IC Organic Acids</t>
        </is>
      </c>
      <c r="EO223" s="20" t="inlineStr">
        <is>
          <t>None</t>
        </is>
      </c>
      <c r="EP223" s="17" t="n"/>
      <c r="EQ223" s="16" t="n"/>
      <c r="ER223" s="20" t="inlineStr">
        <is>
          <t>IC Organic Acids</t>
        </is>
      </c>
      <c r="ES223" s="20" t="inlineStr">
        <is>
          <t>None</t>
        </is>
      </c>
      <c r="ET223" s="17" t="n"/>
      <c r="EU223" s="16" t="n"/>
      <c r="EV223" s="20" t="inlineStr">
        <is>
          <t>LC-MS</t>
        </is>
      </c>
      <c r="EW223" s="20" t="inlineStr">
        <is>
          <t>None</t>
        </is>
      </c>
      <c r="EX223" s="17" t="n"/>
      <c r="EY223" s="21" t="n"/>
      <c r="EZ223">
        <f>CONCATENATE(A223,B223)</f>
        <v/>
      </c>
      <c r="FA223">
        <f>CONCATENATE(SamplesX!A223,SamplesX!B223)</f>
        <v/>
      </c>
      <c r="FC223">
        <f>MATCH(EZ223,FA1:FA1008,0)</f>
        <v/>
      </c>
    </row>
    <row r="224">
      <c r="A224" s="16" t="inlineStr">
        <is>
          <t>BP</t>
        </is>
      </c>
      <c r="B224" s="17" t="inlineStr">
        <is>
          <t>25216</t>
        </is>
      </c>
      <c r="C224" s="10">
        <f>IF(ISNUMBER(FC224),INDIRECT("SamplesX!C"&amp;FC224),IF(ISNUMBER(FD224),INDIRECT("SamplesY!C"&amp;FD224),""))</f>
        <v/>
      </c>
      <c r="D224" s="12">
        <f>IF(ISNUMBER(FC224),INDIRECT("SamplesX!D"&amp;FC224),IF(ISNUMBER(FD224),INDIRECT("SamplesY!D"&amp;FD224),""))</f>
        <v/>
      </c>
      <c r="E224" s="12">
        <f>IF(ISNUMBER(FC224),INDIRECT("SamplesX!E"&amp;FC224),IF(ISNUMBER(FD224),INDIRECT("SamplesY!E"&amp;FD224),""))</f>
        <v/>
      </c>
      <c r="F224" s="11">
        <f>IF(ISNUMBER(FC224),INDIRECT("SamplesX!F"&amp;FC224),IF(ISNUMBER(FD224),INDIRECT("SamplesY!F"&amp;FD224),""))</f>
        <v/>
      </c>
      <c r="G224" s="18">
        <f>IF(ISNUMBER(FC224),INDIRECT("SamplesX!G"&amp;FC224),IF(ISNUMBER(FD224),INDIRECT("SamplesY!G"&amp;FD224),""))</f>
        <v/>
      </c>
      <c r="H224" s="19">
        <f>IF(ISNUMBER(FC224),INDIRECT("SamplesX!H"&amp;FC224),IF(ISNUMBER(FD224),INDIRECT("SamplesY!H"&amp;FD224),""))</f>
        <v/>
      </c>
      <c r="I224" s="16" t="n"/>
      <c r="J224" s="16" t="n"/>
      <c r="K224" s="16" t="n"/>
      <c r="L224" s="20" t="n"/>
      <c r="M224" s="20" t="inlineStr">
        <is>
          <t>None</t>
        </is>
      </c>
      <c r="N224" s="17" t="n"/>
      <c r="O224" s="16" t="n"/>
      <c r="P224" s="20" t="inlineStr">
        <is>
          <t>Shimadzu TOC-L</t>
        </is>
      </c>
      <c r="Q224" s="20" t="inlineStr">
        <is>
          <t>None</t>
        </is>
      </c>
      <c r="R224" s="17" t="n"/>
      <c r="S224" s="16" t="n"/>
      <c r="T224" s="20" t="inlineStr">
        <is>
          <t>Shimadzu TOC-L</t>
        </is>
      </c>
      <c r="U224" s="20" t="inlineStr">
        <is>
          <t>None</t>
        </is>
      </c>
      <c r="V224" s="17" t="n"/>
      <c r="W224" s="16" t="n"/>
      <c r="X224" s="20" t="n"/>
      <c r="Y224" s="20" t="inlineStr">
        <is>
          <t>None</t>
        </is>
      </c>
      <c r="Z224" s="17" t="n"/>
      <c r="AA224" s="16" t="n"/>
      <c r="AB224" s="20" t="n"/>
      <c r="AC224" s="20" t="inlineStr">
        <is>
          <t>None</t>
        </is>
      </c>
      <c r="AD224" s="17" t="n"/>
      <c r="AE224" s="16" t="n"/>
      <c r="AF224" s="20" t="inlineStr">
        <is>
          <t>IC Anionen</t>
        </is>
      </c>
      <c r="AG224" s="20" t="inlineStr">
        <is>
          <t>None</t>
        </is>
      </c>
      <c r="AH224" s="17" t="n"/>
      <c r="AI224" s="16" t="n"/>
      <c r="AJ224" s="20" t="n"/>
      <c r="AK224" s="20" t="inlineStr">
        <is>
          <t>None</t>
        </is>
      </c>
      <c r="AL224" s="17" t="n"/>
      <c r="AM224" s="16" t="n"/>
      <c r="AN224" s="20" t="inlineStr">
        <is>
          <t>IC Anionen</t>
        </is>
      </c>
      <c r="AO224" s="20" t="inlineStr">
        <is>
          <t>None</t>
        </is>
      </c>
      <c r="AP224" s="17" t="n"/>
      <c r="AQ224" s="16" t="n"/>
      <c r="AR224" s="20" t="n"/>
      <c r="AS224" s="20" t="inlineStr">
        <is>
          <t>None</t>
        </is>
      </c>
      <c r="AT224" s="17" t="n"/>
      <c r="AU224" s="16" t="n"/>
      <c r="AV224" s="20" t="inlineStr">
        <is>
          <t>IC Anionen</t>
        </is>
      </c>
      <c r="AW224" s="20" t="inlineStr">
        <is>
          <t>None</t>
        </is>
      </c>
      <c r="AX224" s="17" t="n"/>
      <c r="AY224" s="16" t="n"/>
      <c r="AZ224" s="20" t="inlineStr">
        <is>
          <t>IC Anionen</t>
        </is>
      </c>
      <c r="BA224" s="20" t="inlineStr">
        <is>
          <t>None</t>
        </is>
      </c>
      <c r="BB224" s="17" t="n"/>
      <c r="BC224" s="16" t="n"/>
      <c r="BD224" s="20" t="inlineStr">
        <is>
          <t>IC Kationen</t>
        </is>
      </c>
      <c r="BE224" s="20" t="inlineStr">
        <is>
          <t>None</t>
        </is>
      </c>
      <c r="BF224" s="17" t="n"/>
      <c r="BG224" s="16" t="n"/>
      <c r="BH224" s="20" t="inlineStr">
        <is>
          <t>IC Kationen</t>
        </is>
      </c>
      <c r="BI224" s="20" t="inlineStr">
        <is>
          <t>None</t>
        </is>
      </c>
      <c r="BJ224" s="17" t="n"/>
      <c r="BK224" s="16" t="n"/>
      <c r="BL224" s="20" t="inlineStr">
        <is>
          <t>IC Kationen</t>
        </is>
      </c>
      <c r="BM224" s="20" t="inlineStr">
        <is>
          <t>None</t>
        </is>
      </c>
      <c r="BN224" s="17" t="n"/>
      <c r="BO224" s="16" t="n"/>
      <c r="BP224" s="20" t="inlineStr">
        <is>
          <t>IC Kationen</t>
        </is>
      </c>
      <c r="BQ224" s="20" t="inlineStr">
        <is>
          <t>None</t>
        </is>
      </c>
      <c r="BR224" s="17" t="n"/>
      <c r="BS224" s="16" t="n"/>
      <c r="BT224" s="20" t="inlineStr">
        <is>
          <t>IC Kationen</t>
        </is>
      </c>
      <c r="BU224" s="20" t="inlineStr">
        <is>
          <t>None</t>
        </is>
      </c>
      <c r="BV224" s="17" t="n"/>
      <c r="BW224" s="16" t="n"/>
      <c r="BX224" s="20" t="n"/>
      <c r="BY224" s="20" t="inlineStr">
        <is>
          <t>None</t>
        </is>
      </c>
      <c r="BZ224" s="17" t="n"/>
      <c r="CA224" s="16" t="n"/>
      <c r="CB224" s="20" t="n"/>
      <c r="CC224" s="20" t="inlineStr">
        <is>
          <t>None</t>
        </is>
      </c>
      <c r="CD224" s="17" t="n"/>
      <c r="CE224" s="16" t="n"/>
      <c r="CF224" s="20" t="n"/>
      <c r="CG224" s="20" t="inlineStr">
        <is>
          <t>None</t>
        </is>
      </c>
      <c r="CH224" s="17" t="n"/>
      <c r="CI224" s="16" t="n"/>
      <c r="CJ224" s="20" t="n"/>
      <c r="CK224" s="20" t="inlineStr">
        <is>
          <t>None</t>
        </is>
      </c>
      <c r="CL224" s="17" t="n"/>
      <c r="CM224" s="16" t="n"/>
      <c r="CN224" s="20" t="inlineStr">
        <is>
          <t>SOP 45-34</t>
        </is>
      </c>
      <c r="CO224" s="20" t="inlineStr">
        <is>
          <t>None</t>
        </is>
      </c>
      <c r="CP224" s="17" t="n"/>
      <c r="CQ224" s="16" t="n"/>
      <c r="CR224" s="20" t="n"/>
      <c r="CS224" s="20" t="inlineStr">
        <is>
          <t>None</t>
        </is>
      </c>
      <c r="CT224" s="17" t="n"/>
      <c r="CU224" s="16" t="n"/>
      <c r="CV224" s="20" t="n"/>
      <c r="CW224" s="20" t="inlineStr">
        <is>
          <t>None</t>
        </is>
      </c>
      <c r="CX224" s="17" t="n"/>
      <c r="CY224" s="16" t="n"/>
      <c r="CZ224" s="20" t="inlineStr">
        <is>
          <t>WTW Multimeter 3430 with FDO 925</t>
        </is>
      </c>
      <c r="DA224" s="20" t="inlineStr">
        <is>
          <t>None</t>
        </is>
      </c>
      <c r="DB224" s="17" t="n"/>
      <c r="DC224" s="16" t="n"/>
      <c r="DD224" s="20" t="n"/>
      <c r="DE224" s="20" t="inlineStr">
        <is>
          <t>None</t>
        </is>
      </c>
      <c r="DF224" s="17" t="n"/>
      <c r="DG224" s="16" t="n"/>
      <c r="DH224" s="20" t="inlineStr">
        <is>
          <t>SOP 45-09</t>
        </is>
      </c>
      <c r="DI224" s="20" t="inlineStr">
        <is>
          <t>None</t>
        </is>
      </c>
      <c r="DJ224" s="17" t="n"/>
      <c r="DK224" s="16" t="n"/>
      <c r="DL224" s="20" t="inlineStr">
        <is>
          <t>SOP 45-09 (SOP muss noch angepasst werden für VSS)</t>
        </is>
      </c>
      <c r="DM224" s="20" t="inlineStr">
        <is>
          <t>None</t>
        </is>
      </c>
      <c r="DN224" s="17" t="n"/>
      <c r="DO224" s="16" t="n"/>
      <c r="DP224" s="20" t="inlineStr">
        <is>
          <t>IC Organic Acids</t>
        </is>
      </c>
      <c r="DQ224" s="20" t="inlineStr">
        <is>
          <t>None</t>
        </is>
      </c>
      <c r="DR224" s="17" t="n"/>
      <c r="DS224" s="16" t="n"/>
      <c r="DT224" s="20" t="inlineStr">
        <is>
          <t>IC Organic Acids</t>
        </is>
      </c>
      <c r="DU224" s="20" t="inlineStr">
        <is>
          <t>None</t>
        </is>
      </c>
      <c r="DV224" s="17" t="n"/>
      <c r="DW224" s="16" t="n"/>
      <c r="DX224" s="20" t="inlineStr">
        <is>
          <t>IC Organic Acids</t>
        </is>
      </c>
      <c r="DY224" s="20" t="inlineStr">
        <is>
          <t>None</t>
        </is>
      </c>
      <c r="DZ224" s="17" t="n"/>
      <c r="EA224" s="16" t="n"/>
      <c r="EB224" s="20" t="inlineStr">
        <is>
          <t>IC Organic Acids</t>
        </is>
      </c>
      <c r="EC224" s="20" t="inlineStr">
        <is>
          <t>None</t>
        </is>
      </c>
      <c r="ED224" s="17" t="n"/>
      <c r="EE224" s="16" t="n"/>
      <c r="EF224" s="20" t="inlineStr">
        <is>
          <t>IC Organic Acids</t>
        </is>
      </c>
      <c r="EG224" s="20" t="inlineStr">
        <is>
          <t>None</t>
        </is>
      </c>
      <c r="EH224" s="17" t="n"/>
      <c r="EI224" s="16" t="n"/>
      <c r="EJ224" s="20" t="inlineStr">
        <is>
          <t>IC Organic Acids</t>
        </is>
      </c>
      <c r="EK224" s="20" t="inlineStr">
        <is>
          <t>None</t>
        </is>
      </c>
      <c r="EL224" s="17" t="n"/>
      <c r="EM224" s="16" t="n"/>
      <c r="EN224" s="20" t="inlineStr">
        <is>
          <t>IC Organic Acids</t>
        </is>
      </c>
      <c r="EO224" s="20" t="inlineStr">
        <is>
          <t>None</t>
        </is>
      </c>
      <c r="EP224" s="17" t="n"/>
      <c r="EQ224" s="16" t="n"/>
      <c r="ER224" s="20" t="inlineStr">
        <is>
          <t>IC Organic Acids</t>
        </is>
      </c>
      <c r="ES224" s="20" t="inlineStr">
        <is>
          <t>None</t>
        </is>
      </c>
      <c r="ET224" s="17" t="n"/>
      <c r="EU224" s="16" t="n"/>
      <c r="EV224" s="20" t="inlineStr">
        <is>
          <t>LC-MS</t>
        </is>
      </c>
      <c r="EW224" s="20" t="inlineStr">
        <is>
          <t>None</t>
        </is>
      </c>
      <c r="EX224" s="17" t="n"/>
      <c r="EY224" s="21" t="n"/>
      <c r="EZ224">
        <f>CONCATENATE(A224,B224)</f>
        <v/>
      </c>
      <c r="FA224">
        <f>CONCATENATE(SamplesX!A224,SamplesX!B224)</f>
        <v/>
      </c>
      <c r="FC224">
        <f>MATCH(EZ224,FA1:FA1008,0)</f>
        <v/>
      </c>
    </row>
    <row r="225">
      <c r="A225" s="16" t="inlineStr">
        <is>
          <t>BP</t>
        </is>
      </c>
      <c r="B225" s="17" t="inlineStr">
        <is>
          <t>25217</t>
        </is>
      </c>
      <c r="C225" s="10">
        <f>IF(ISNUMBER(FC225),INDIRECT("SamplesX!C"&amp;FC225),IF(ISNUMBER(FD225),INDIRECT("SamplesY!C"&amp;FD225),""))</f>
        <v/>
      </c>
      <c r="D225" s="12">
        <f>IF(ISNUMBER(FC225),INDIRECT("SamplesX!D"&amp;FC225),IF(ISNUMBER(FD225),INDIRECT("SamplesY!D"&amp;FD225),""))</f>
        <v/>
      </c>
      <c r="E225" s="12">
        <f>IF(ISNUMBER(FC225),INDIRECT("SamplesX!E"&amp;FC225),IF(ISNUMBER(FD225),INDIRECT("SamplesY!E"&amp;FD225),""))</f>
        <v/>
      </c>
      <c r="F225" s="11">
        <f>IF(ISNUMBER(FC225),INDIRECT("SamplesX!F"&amp;FC225),IF(ISNUMBER(FD225),INDIRECT("SamplesY!F"&amp;FD225),""))</f>
        <v/>
      </c>
      <c r="G225" s="18">
        <f>IF(ISNUMBER(FC225),INDIRECT("SamplesX!G"&amp;FC225),IF(ISNUMBER(FD225),INDIRECT("SamplesY!G"&amp;FD225),""))</f>
        <v/>
      </c>
      <c r="H225" s="19">
        <f>IF(ISNUMBER(FC225),INDIRECT("SamplesX!H"&amp;FC225),IF(ISNUMBER(FD225),INDIRECT("SamplesY!H"&amp;FD225),""))</f>
        <v/>
      </c>
      <c r="I225" s="16" t="n"/>
      <c r="J225" s="16" t="n"/>
      <c r="K225" s="16" t="n"/>
      <c r="L225" s="20" t="n"/>
      <c r="M225" s="20" t="inlineStr">
        <is>
          <t>None</t>
        </is>
      </c>
      <c r="N225" s="17" t="n"/>
      <c r="O225" s="16" t="n"/>
      <c r="P225" s="20" t="inlineStr">
        <is>
          <t>Shimadzu TOC-L</t>
        </is>
      </c>
      <c r="Q225" s="20" t="inlineStr">
        <is>
          <t>None</t>
        </is>
      </c>
      <c r="R225" s="17" t="n"/>
      <c r="S225" s="16" t="n"/>
      <c r="T225" s="20" t="inlineStr">
        <is>
          <t>Shimadzu TOC-L</t>
        </is>
      </c>
      <c r="U225" s="20" t="inlineStr">
        <is>
          <t>None</t>
        </is>
      </c>
      <c r="V225" s="17" t="n"/>
      <c r="W225" s="16" t="n"/>
      <c r="X225" s="20" t="n"/>
      <c r="Y225" s="20" t="inlineStr">
        <is>
          <t>None</t>
        </is>
      </c>
      <c r="Z225" s="17" t="n"/>
      <c r="AA225" s="16" t="n"/>
      <c r="AB225" s="20" t="n"/>
      <c r="AC225" s="20" t="inlineStr">
        <is>
          <t>None</t>
        </is>
      </c>
      <c r="AD225" s="17" t="n"/>
      <c r="AE225" s="16" t="n"/>
      <c r="AF225" s="20" t="inlineStr">
        <is>
          <t>IC Anionen</t>
        </is>
      </c>
      <c r="AG225" s="20" t="inlineStr">
        <is>
          <t>None</t>
        </is>
      </c>
      <c r="AH225" s="17" t="n"/>
      <c r="AI225" s="16" t="n"/>
      <c r="AJ225" s="20" t="n"/>
      <c r="AK225" s="20" t="inlineStr">
        <is>
          <t>None</t>
        </is>
      </c>
      <c r="AL225" s="17" t="n"/>
      <c r="AM225" s="16" t="n"/>
      <c r="AN225" s="20" t="inlineStr">
        <is>
          <t>IC Anionen</t>
        </is>
      </c>
      <c r="AO225" s="20" t="inlineStr">
        <is>
          <t>None</t>
        </is>
      </c>
      <c r="AP225" s="17" t="n"/>
      <c r="AQ225" s="16" t="n"/>
      <c r="AR225" s="20" t="n"/>
      <c r="AS225" s="20" t="inlineStr">
        <is>
          <t>None</t>
        </is>
      </c>
      <c r="AT225" s="17" t="n"/>
      <c r="AU225" s="16" t="n"/>
      <c r="AV225" s="20" t="inlineStr">
        <is>
          <t>IC Anionen</t>
        </is>
      </c>
      <c r="AW225" s="20" t="inlineStr">
        <is>
          <t>None</t>
        </is>
      </c>
      <c r="AX225" s="17" t="n"/>
      <c r="AY225" s="16" t="n"/>
      <c r="AZ225" s="20" t="inlineStr">
        <is>
          <t>IC Anionen</t>
        </is>
      </c>
      <c r="BA225" s="20" t="inlineStr">
        <is>
          <t>None</t>
        </is>
      </c>
      <c r="BB225" s="17" t="n"/>
      <c r="BC225" s="16" t="n"/>
      <c r="BD225" s="20" t="inlineStr">
        <is>
          <t>IC Kationen</t>
        </is>
      </c>
      <c r="BE225" s="20" t="inlineStr">
        <is>
          <t>None</t>
        </is>
      </c>
      <c r="BF225" s="17" t="n"/>
      <c r="BG225" s="16" t="n"/>
      <c r="BH225" s="20" t="inlineStr">
        <is>
          <t>IC Kationen</t>
        </is>
      </c>
      <c r="BI225" s="20" t="inlineStr">
        <is>
          <t>None</t>
        </is>
      </c>
      <c r="BJ225" s="17" t="n"/>
      <c r="BK225" s="16" t="n"/>
      <c r="BL225" s="20" t="inlineStr">
        <is>
          <t>IC Kationen</t>
        </is>
      </c>
      <c r="BM225" s="20" t="inlineStr">
        <is>
          <t>None</t>
        </is>
      </c>
      <c r="BN225" s="17" t="n"/>
      <c r="BO225" s="16" t="n"/>
      <c r="BP225" s="20" t="inlineStr">
        <is>
          <t>IC Kationen</t>
        </is>
      </c>
      <c r="BQ225" s="20" t="inlineStr">
        <is>
          <t>None</t>
        </is>
      </c>
      <c r="BR225" s="17" t="n"/>
      <c r="BS225" s="16" t="n"/>
      <c r="BT225" s="20" t="inlineStr">
        <is>
          <t>IC Kationen</t>
        </is>
      </c>
      <c r="BU225" s="20" t="inlineStr">
        <is>
          <t>None</t>
        </is>
      </c>
      <c r="BV225" s="17" t="n"/>
      <c r="BW225" s="16" t="n"/>
      <c r="BX225" s="20" t="n"/>
      <c r="BY225" s="20" t="inlineStr">
        <is>
          <t>None</t>
        </is>
      </c>
      <c r="BZ225" s="17" t="n"/>
      <c r="CA225" s="16" t="n"/>
      <c r="CB225" s="20" t="n"/>
      <c r="CC225" s="20" t="inlineStr">
        <is>
          <t>None</t>
        </is>
      </c>
      <c r="CD225" s="17" t="n"/>
      <c r="CE225" s="16" t="n"/>
      <c r="CF225" s="20" t="n"/>
      <c r="CG225" s="20" t="inlineStr">
        <is>
          <t>None</t>
        </is>
      </c>
      <c r="CH225" s="17" t="n"/>
      <c r="CI225" s="16" t="n"/>
      <c r="CJ225" s="20" t="n"/>
      <c r="CK225" s="20" t="inlineStr">
        <is>
          <t>None</t>
        </is>
      </c>
      <c r="CL225" s="17" t="n"/>
      <c r="CM225" s="16" t="n"/>
      <c r="CN225" s="20" t="inlineStr">
        <is>
          <t>SOP 45-34</t>
        </is>
      </c>
      <c r="CO225" s="20" t="inlineStr">
        <is>
          <t>None</t>
        </is>
      </c>
      <c r="CP225" s="17" t="n"/>
      <c r="CQ225" s="16" t="n"/>
      <c r="CR225" s="20" t="n"/>
      <c r="CS225" s="20" t="inlineStr">
        <is>
          <t>None</t>
        </is>
      </c>
      <c r="CT225" s="17" t="n"/>
      <c r="CU225" s="16" t="n"/>
      <c r="CV225" s="20" t="n"/>
      <c r="CW225" s="20" t="inlineStr">
        <is>
          <t>None</t>
        </is>
      </c>
      <c r="CX225" s="17" t="n"/>
      <c r="CY225" s="16" t="n"/>
      <c r="CZ225" s="20" t="inlineStr">
        <is>
          <t>WTW Multimeter 3430 with FDO 925</t>
        </is>
      </c>
      <c r="DA225" s="20" t="inlineStr">
        <is>
          <t>None</t>
        </is>
      </c>
      <c r="DB225" s="17" t="n"/>
      <c r="DC225" s="16" t="n"/>
      <c r="DD225" s="20" t="n"/>
      <c r="DE225" s="20" t="inlineStr">
        <is>
          <t>None</t>
        </is>
      </c>
      <c r="DF225" s="17" t="n"/>
      <c r="DG225" s="16" t="n"/>
      <c r="DH225" s="20" t="inlineStr">
        <is>
          <t>SOP 45-09</t>
        </is>
      </c>
      <c r="DI225" s="20" t="inlineStr">
        <is>
          <t>None</t>
        </is>
      </c>
      <c r="DJ225" s="17" t="n"/>
      <c r="DK225" s="16" t="n"/>
      <c r="DL225" s="20" t="inlineStr">
        <is>
          <t>SOP 45-09 (SOP muss noch angepasst werden für VSS)</t>
        </is>
      </c>
      <c r="DM225" s="20" t="inlineStr">
        <is>
          <t>None</t>
        </is>
      </c>
      <c r="DN225" s="17" t="n"/>
      <c r="DO225" s="16" t="n"/>
      <c r="DP225" s="20" t="inlineStr">
        <is>
          <t>IC Organic Acids</t>
        </is>
      </c>
      <c r="DQ225" s="20" t="inlineStr">
        <is>
          <t>None</t>
        </is>
      </c>
      <c r="DR225" s="17" t="n"/>
      <c r="DS225" s="16" t="n"/>
      <c r="DT225" s="20" t="inlineStr">
        <is>
          <t>IC Organic Acids</t>
        </is>
      </c>
      <c r="DU225" s="20" t="inlineStr">
        <is>
          <t>None</t>
        </is>
      </c>
      <c r="DV225" s="17" t="n"/>
      <c r="DW225" s="16" t="n"/>
      <c r="DX225" s="20" t="inlineStr">
        <is>
          <t>IC Organic Acids</t>
        </is>
      </c>
      <c r="DY225" s="20" t="inlineStr">
        <is>
          <t>None</t>
        </is>
      </c>
      <c r="DZ225" s="17" t="n"/>
      <c r="EA225" s="16" t="n"/>
      <c r="EB225" s="20" t="inlineStr">
        <is>
          <t>IC Organic Acids</t>
        </is>
      </c>
      <c r="EC225" s="20" t="inlineStr">
        <is>
          <t>None</t>
        </is>
      </c>
      <c r="ED225" s="17" t="n"/>
      <c r="EE225" s="16" t="n"/>
      <c r="EF225" s="20" t="inlineStr">
        <is>
          <t>IC Organic Acids</t>
        </is>
      </c>
      <c r="EG225" s="20" t="inlineStr">
        <is>
          <t>None</t>
        </is>
      </c>
      <c r="EH225" s="17" t="n"/>
      <c r="EI225" s="16" t="n"/>
      <c r="EJ225" s="20" t="inlineStr">
        <is>
          <t>IC Organic Acids</t>
        </is>
      </c>
      <c r="EK225" s="20" t="inlineStr">
        <is>
          <t>None</t>
        </is>
      </c>
      <c r="EL225" s="17" t="n"/>
      <c r="EM225" s="16" t="n"/>
      <c r="EN225" s="20" t="inlineStr">
        <is>
          <t>IC Organic Acids</t>
        </is>
      </c>
      <c r="EO225" s="20" t="inlineStr">
        <is>
          <t>None</t>
        </is>
      </c>
      <c r="EP225" s="17" t="n"/>
      <c r="EQ225" s="16" t="n"/>
      <c r="ER225" s="20" t="inlineStr">
        <is>
          <t>IC Organic Acids</t>
        </is>
      </c>
      <c r="ES225" s="20" t="inlineStr">
        <is>
          <t>None</t>
        </is>
      </c>
      <c r="ET225" s="17" t="n"/>
      <c r="EU225" s="16" t="n"/>
      <c r="EV225" s="20" t="inlineStr">
        <is>
          <t>LC-MS</t>
        </is>
      </c>
      <c r="EW225" s="20" t="inlineStr">
        <is>
          <t>None</t>
        </is>
      </c>
      <c r="EX225" s="17" t="n"/>
      <c r="EY225" s="21" t="n"/>
      <c r="EZ225">
        <f>CONCATENATE(A225,B225)</f>
        <v/>
      </c>
      <c r="FA225">
        <f>CONCATENATE(SamplesX!A225,SamplesX!B225)</f>
        <v/>
      </c>
      <c r="FC225">
        <f>MATCH(EZ225,FA1:FA1008,0)</f>
        <v/>
      </c>
    </row>
    <row r="226">
      <c r="A226" s="16" t="inlineStr">
        <is>
          <t>BP</t>
        </is>
      </c>
      <c r="B226" s="17" t="inlineStr">
        <is>
          <t>25218</t>
        </is>
      </c>
      <c r="C226" s="10">
        <f>IF(ISNUMBER(FC226),INDIRECT("SamplesX!C"&amp;FC226),IF(ISNUMBER(FD226),INDIRECT("SamplesY!C"&amp;FD226),""))</f>
        <v/>
      </c>
      <c r="D226" s="12">
        <f>IF(ISNUMBER(FC226),INDIRECT("SamplesX!D"&amp;FC226),IF(ISNUMBER(FD226),INDIRECT("SamplesY!D"&amp;FD226),""))</f>
        <v/>
      </c>
      <c r="E226" s="12">
        <f>IF(ISNUMBER(FC226),INDIRECT("SamplesX!E"&amp;FC226),IF(ISNUMBER(FD226),INDIRECT("SamplesY!E"&amp;FD226),""))</f>
        <v/>
      </c>
      <c r="F226" s="11">
        <f>IF(ISNUMBER(FC226),INDIRECT("SamplesX!F"&amp;FC226),IF(ISNUMBER(FD226),INDIRECT("SamplesY!F"&amp;FD226),""))</f>
        <v/>
      </c>
      <c r="G226" s="18">
        <f>IF(ISNUMBER(FC226),INDIRECT("SamplesX!G"&amp;FC226),IF(ISNUMBER(FD226),INDIRECT("SamplesY!G"&amp;FD226),""))</f>
        <v/>
      </c>
      <c r="H226" s="19">
        <f>IF(ISNUMBER(FC226),INDIRECT("SamplesX!H"&amp;FC226),IF(ISNUMBER(FD226),INDIRECT("SamplesY!H"&amp;FD226),""))</f>
        <v/>
      </c>
      <c r="I226" s="16" t="n"/>
      <c r="J226" s="16" t="n"/>
      <c r="K226" s="16" t="n"/>
      <c r="L226" s="20" t="n"/>
      <c r="M226" s="20" t="inlineStr">
        <is>
          <t>None</t>
        </is>
      </c>
      <c r="N226" s="17" t="n"/>
      <c r="O226" s="16" t="n"/>
      <c r="P226" s="20" t="inlineStr">
        <is>
          <t>Shimadzu TOC-L</t>
        </is>
      </c>
      <c r="Q226" s="20" t="inlineStr">
        <is>
          <t>None</t>
        </is>
      </c>
      <c r="R226" s="17" t="n"/>
      <c r="S226" s="16" t="n"/>
      <c r="T226" s="20" t="inlineStr">
        <is>
          <t>Shimadzu TOC-L</t>
        </is>
      </c>
      <c r="U226" s="20" t="inlineStr">
        <is>
          <t>None</t>
        </is>
      </c>
      <c r="V226" s="17" t="n"/>
      <c r="W226" s="16" t="n"/>
      <c r="X226" s="20" t="n"/>
      <c r="Y226" s="20" t="inlineStr">
        <is>
          <t>None</t>
        </is>
      </c>
      <c r="Z226" s="17" t="n"/>
      <c r="AA226" s="16" t="n"/>
      <c r="AB226" s="20" t="n"/>
      <c r="AC226" s="20" t="inlineStr">
        <is>
          <t>None</t>
        </is>
      </c>
      <c r="AD226" s="17" t="n"/>
      <c r="AE226" s="16" t="n"/>
      <c r="AF226" s="20" t="inlineStr">
        <is>
          <t>IC Anionen</t>
        </is>
      </c>
      <c r="AG226" s="20" t="inlineStr">
        <is>
          <t>None</t>
        </is>
      </c>
      <c r="AH226" s="17" t="n"/>
      <c r="AI226" s="16" t="n"/>
      <c r="AJ226" s="20" t="n"/>
      <c r="AK226" s="20" t="inlineStr">
        <is>
          <t>None</t>
        </is>
      </c>
      <c r="AL226" s="17" t="n"/>
      <c r="AM226" s="16" t="n"/>
      <c r="AN226" s="20" t="inlineStr">
        <is>
          <t>IC Anionen</t>
        </is>
      </c>
      <c r="AO226" s="20" t="inlineStr">
        <is>
          <t>None</t>
        </is>
      </c>
      <c r="AP226" s="17" t="n"/>
      <c r="AQ226" s="16" t="n"/>
      <c r="AR226" s="20" t="n"/>
      <c r="AS226" s="20" t="inlineStr">
        <is>
          <t>None</t>
        </is>
      </c>
      <c r="AT226" s="17" t="n"/>
      <c r="AU226" s="16" t="n"/>
      <c r="AV226" s="20" t="inlineStr">
        <is>
          <t>IC Anionen</t>
        </is>
      </c>
      <c r="AW226" s="20" t="inlineStr">
        <is>
          <t>None</t>
        </is>
      </c>
      <c r="AX226" s="17" t="n"/>
      <c r="AY226" s="16" t="n"/>
      <c r="AZ226" s="20" t="inlineStr">
        <is>
          <t>IC Anionen</t>
        </is>
      </c>
      <c r="BA226" s="20" t="inlineStr">
        <is>
          <t>None</t>
        </is>
      </c>
      <c r="BB226" s="17" t="n"/>
      <c r="BC226" s="16" t="n"/>
      <c r="BD226" s="20" t="inlineStr">
        <is>
          <t>IC Kationen</t>
        </is>
      </c>
      <c r="BE226" s="20" t="inlineStr">
        <is>
          <t>None</t>
        </is>
      </c>
      <c r="BF226" s="17" t="n"/>
      <c r="BG226" s="16" t="n"/>
      <c r="BH226" s="20" t="inlineStr">
        <is>
          <t>IC Kationen</t>
        </is>
      </c>
      <c r="BI226" s="20" t="inlineStr">
        <is>
          <t>None</t>
        </is>
      </c>
      <c r="BJ226" s="17" t="n"/>
      <c r="BK226" s="16" t="n"/>
      <c r="BL226" s="20" t="inlineStr">
        <is>
          <t>IC Kationen</t>
        </is>
      </c>
      <c r="BM226" s="20" t="inlineStr">
        <is>
          <t>None</t>
        </is>
      </c>
      <c r="BN226" s="17" t="n"/>
      <c r="BO226" s="16" t="n"/>
      <c r="BP226" s="20" t="inlineStr">
        <is>
          <t>IC Kationen</t>
        </is>
      </c>
      <c r="BQ226" s="20" t="inlineStr">
        <is>
          <t>None</t>
        </is>
      </c>
      <c r="BR226" s="17" t="n"/>
      <c r="BS226" s="16" t="n"/>
      <c r="BT226" s="20" t="inlineStr">
        <is>
          <t>IC Kationen</t>
        </is>
      </c>
      <c r="BU226" s="20" t="inlineStr">
        <is>
          <t>None</t>
        </is>
      </c>
      <c r="BV226" s="17" t="n"/>
      <c r="BW226" s="16" t="n"/>
      <c r="BX226" s="20" t="n"/>
      <c r="BY226" s="20" t="inlineStr">
        <is>
          <t>None</t>
        </is>
      </c>
      <c r="BZ226" s="17" t="n"/>
      <c r="CA226" s="16" t="n"/>
      <c r="CB226" s="20" t="n"/>
      <c r="CC226" s="20" t="inlineStr">
        <is>
          <t>None</t>
        </is>
      </c>
      <c r="CD226" s="17" t="n"/>
      <c r="CE226" s="16" t="n"/>
      <c r="CF226" s="20" t="n"/>
      <c r="CG226" s="20" t="inlineStr">
        <is>
          <t>None</t>
        </is>
      </c>
      <c r="CH226" s="17" t="n"/>
      <c r="CI226" s="16" t="n"/>
      <c r="CJ226" s="20" t="n"/>
      <c r="CK226" s="20" t="inlineStr">
        <is>
          <t>None</t>
        </is>
      </c>
      <c r="CL226" s="17" t="n"/>
      <c r="CM226" s="16" t="n"/>
      <c r="CN226" s="20" t="inlineStr">
        <is>
          <t>SOP 45-34</t>
        </is>
      </c>
      <c r="CO226" s="20" t="inlineStr">
        <is>
          <t>None</t>
        </is>
      </c>
      <c r="CP226" s="17" t="n"/>
      <c r="CQ226" s="16" t="n"/>
      <c r="CR226" s="20" t="n"/>
      <c r="CS226" s="20" t="inlineStr">
        <is>
          <t>None</t>
        </is>
      </c>
      <c r="CT226" s="17" t="n"/>
      <c r="CU226" s="16" t="n"/>
      <c r="CV226" s="20" t="n"/>
      <c r="CW226" s="20" t="inlineStr">
        <is>
          <t>None</t>
        </is>
      </c>
      <c r="CX226" s="17" t="n"/>
      <c r="CY226" s="16" t="n"/>
      <c r="CZ226" s="20" t="inlineStr">
        <is>
          <t>WTW Multimeter 3430 with FDO 925</t>
        </is>
      </c>
      <c r="DA226" s="20" t="inlineStr">
        <is>
          <t>None</t>
        </is>
      </c>
      <c r="DB226" s="17" t="n"/>
      <c r="DC226" s="16" t="n"/>
      <c r="DD226" s="20" t="n"/>
      <c r="DE226" s="20" t="inlineStr">
        <is>
          <t>None</t>
        </is>
      </c>
      <c r="DF226" s="17" t="n"/>
      <c r="DG226" s="16" t="n"/>
      <c r="DH226" s="20" t="inlineStr">
        <is>
          <t>SOP 45-09</t>
        </is>
      </c>
      <c r="DI226" s="20" t="inlineStr">
        <is>
          <t>None</t>
        </is>
      </c>
      <c r="DJ226" s="17" t="n"/>
      <c r="DK226" s="16" t="n"/>
      <c r="DL226" s="20" t="inlineStr">
        <is>
          <t>SOP 45-09 (SOP muss noch angepasst werden für VSS)</t>
        </is>
      </c>
      <c r="DM226" s="20" t="inlineStr">
        <is>
          <t>None</t>
        </is>
      </c>
      <c r="DN226" s="17" t="n"/>
      <c r="DO226" s="16" t="n"/>
      <c r="DP226" s="20" t="inlineStr">
        <is>
          <t>IC Organic Acids</t>
        </is>
      </c>
      <c r="DQ226" s="20" t="inlineStr">
        <is>
          <t>None</t>
        </is>
      </c>
      <c r="DR226" s="17" t="n"/>
      <c r="DS226" s="16" t="n"/>
      <c r="DT226" s="20" t="inlineStr">
        <is>
          <t>IC Organic Acids</t>
        </is>
      </c>
      <c r="DU226" s="20" t="inlineStr">
        <is>
          <t>None</t>
        </is>
      </c>
      <c r="DV226" s="17" t="n"/>
      <c r="DW226" s="16" t="n"/>
      <c r="DX226" s="20" t="inlineStr">
        <is>
          <t>IC Organic Acids</t>
        </is>
      </c>
      <c r="DY226" s="20" t="inlineStr">
        <is>
          <t>None</t>
        </is>
      </c>
      <c r="DZ226" s="17" t="n"/>
      <c r="EA226" s="16" t="n"/>
      <c r="EB226" s="20" t="inlineStr">
        <is>
          <t>IC Organic Acids</t>
        </is>
      </c>
      <c r="EC226" s="20" t="inlineStr">
        <is>
          <t>None</t>
        </is>
      </c>
      <c r="ED226" s="17" t="n"/>
      <c r="EE226" s="16" t="n"/>
      <c r="EF226" s="20" t="inlineStr">
        <is>
          <t>IC Organic Acids</t>
        </is>
      </c>
      <c r="EG226" s="20" t="inlineStr">
        <is>
          <t>None</t>
        </is>
      </c>
      <c r="EH226" s="17" t="n"/>
      <c r="EI226" s="16" t="n"/>
      <c r="EJ226" s="20" t="inlineStr">
        <is>
          <t>IC Organic Acids</t>
        </is>
      </c>
      <c r="EK226" s="20" t="inlineStr">
        <is>
          <t>None</t>
        </is>
      </c>
      <c r="EL226" s="17" t="n"/>
      <c r="EM226" s="16" t="n"/>
      <c r="EN226" s="20" t="inlineStr">
        <is>
          <t>IC Organic Acids</t>
        </is>
      </c>
      <c r="EO226" s="20" t="inlineStr">
        <is>
          <t>None</t>
        </is>
      </c>
      <c r="EP226" s="17" t="n"/>
      <c r="EQ226" s="16" t="n"/>
      <c r="ER226" s="20" t="inlineStr">
        <is>
          <t>IC Organic Acids</t>
        </is>
      </c>
      <c r="ES226" s="20" t="inlineStr">
        <is>
          <t>None</t>
        </is>
      </c>
      <c r="ET226" s="17" t="n"/>
      <c r="EU226" s="16" t="n"/>
      <c r="EV226" s="20" t="inlineStr">
        <is>
          <t>LC-MS</t>
        </is>
      </c>
      <c r="EW226" s="20" t="inlineStr">
        <is>
          <t>None</t>
        </is>
      </c>
      <c r="EX226" s="17" t="n"/>
      <c r="EY226" s="21" t="n"/>
      <c r="EZ226">
        <f>CONCATENATE(A226,B226)</f>
        <v/>
      </c>
      <c r="FA226">
        <f>CONCATENATE(SamplesX!A226,SamplesX!B226)</f>
        <v/>
      </c>
      <c r="FC226">
        <f>MATCH(EZ226,FA1:FA1008,0)</f>
        <v/>
      </c>
    </row>
    <row r="227">
      <c r="A227" s="16" t="inlineStr">
        <is>
          <t>BP</t>
        </is>
      </c>
      <c r="B227" s="17" t="inlineStr">
        <is>
          <t>25219</t>
        </is>
      </c>
      <c r="C227" s="10">
        <f>IF(ISNUMBER(FC227),INDIRECT("SamplesX!C"&amp;FC227),IF(ISNUMBER(FD227),INDIRECT("SamplesY!C"&amp;FD227),""))</f>
        <v/>
      </c>
      <c r="D227" s="12">
        <f>IF(ISNUMBER(FC227),INDIRECT("SamplesX!D"&amp;FC227),IF(ISNUMBER(FD227),INDIRECT("SamplesY!D"&amp;FD227),""))</f>
        <v/>
      </c>
      <c r="E227" s="12">
        <f>IF(ISNUMBER(FC227),INDIRECT("SamplesX!E"&amp;FC227),IF(ISNUMBER(FD227),INDIRECT("SamplesY!E"&amp;FD227),""))</f>
        <v/>
      </c>
      <c r="F227" s="11">
        <f>IF(ISNUMBER(FC227),INDIRECT("SamplesX!F"&amp;FC227),IF(ISNUMBER(FD227),INDIRECT("SamplesY!F"&amp;FD227),""))</f>
        <v/>
      </c>
      <c r="G227" s="18">
        <f>IF(ISNUMBER(FC227),INDIRECT("SamplesX!G"&amp;FC227),IF(ISNUMBER(FD227),INDIRECT("SamplesY!G"&amp;FD227),""))</f>
        <v/>
      </c>
      <c r="H227" s="19">
        <f>IF(ISNUMBER(FC227),INDIRECT("SamplesX!H"&amp;FC227),IF(ISNUMBER(FD227),INDIRECT("SamplesY!H"&amp;FD227),""))</f>
        <v/>
      </c>
      <c r="I227" s="16" t="n"/>
      <c r="J227" s="16" t="n"/>
      <c r="K227" s="16" t="n"/>
      <c r="L227" s="20" t="n"/>
      <c r="M227" s="20" t="inlineStr">
        <is>
          <t>None</t>
        </is>
      </c>
      <c r="N227" s="17" t="n"/>
      <c r="O227" s="16" t="n"/>
      <c r="P227" s="20" t="inlineStr">
        <is>
          <t>Shimadzu TOC-L</t>
        </is>
      </c>
      <c r="Q227" s="20" t="inlineStr">
        <is>
          <t>None</t>
        </is>
      </c>
      <c r="R227" s="17" t="n"/>
      <c r="S227" s="16" t="n"/>
      <c r="T227" s="20" t="inlineStr">
        <is>
          <t>Shimadzu TOC-L</t>
        </is>
      </c>
      <c r="U227" s="20" t="inlineStr">
        <is>
          <t>None</t>
        </is>
      </c>
      <c r="V227" s="17" t="n"/>
      <c r="W227" s="16" t="n"/>
      <c r="X227" s="20" t="n"/>
      <c r="Y227" s="20" t="inlineStr">
        <is>
          <t>None</t>
        </is>
      </c>
      <c r="Z227" s="17" t="n"/>
      <c r="AA227" s="16" t="n"/>
      <c r="AB227" s="20" t="n"/>
      <c r="AC227" s="20" t="inlineStr">
        <is>
          <t>None</t>
        </is>
      </c>
      <c r="AD227" s="17" t="n"/>
      <c r="AE227" s="16" t="n"/>
      <c r="AF227" s="20" t="inlineStr">
        <is>
          <t>IC Anionen</t>
        </is>
      </c>
      <c r="AG227" s="20" t="inlineStr">
        <is>
          <t>None</t>
        </is>
      </c>
      <c r="AH227" s="17" t="n"/>
      <c r="AI227" s="16" t="n"/>
      <c r="AJ227" s="20" t="n"/>
      <c r="AK227" s="20" t="inlineStr">
        <is>
          <t>None</t>
        </is>
      </c>
      <c r="AL227" s="17" t="n"/>
      <c r="AM227" s="16" t="n"/>
      <c r="AN227" s="20" t="inlineStr">
        <is>
          <t>IC Anionen</t>
        </is>
      </c>
      <c r="AO227" s="20" t="inlineStr">
        <is>
          <t>None</t>
        </is>
      </c>
      <c r="AP227" s="17" t="n"/>
      <c r="AQ227" s="16" t="n"/>
      <c r="AR227" s="20" t="n"/>
      <c r="AS227" s="20" t="inlineStr">
        <is>
          <t>None</t>
        </is>
      </c>
      <c r="AT227" s="17" t="n"/>
      <c r="AU227" s="16" t="n"/>
      <c r="AV227" s="20" t="inlineStr">
        <is>
          <t>IC Anionen</t>
        </is>
      </c>
      <c r="AW227" s="20" t="inlineStr">
        <is>
          <t>None</t>
        </is>
      </c>
      <c r="AX227" s="17" t="n"/>
      <c r="AY227" s="16" t="n"/>
      <c r="AZ227" s="20" t="inlineStr">
        <is>
          <t>IC Anionen</t>
        </is>
      </c>
      <c r="BA227" s="20" t="inlineStr">
        <is>
          <t>None</t>
        </is>
      </c>
      <c r="BB227" s="17" t="n"/>
      <c r="BC227" s="16" t="n"/>
      <c r="BD227" s="20" t="inlineStr">
        <is>
          <t>IC Kationen</t>
        </is>
      </c>
      <c r="BE227" s="20" t="inlineStr">
        <is>
          <t>None</t>
        </is>
      </c>
      <c r="BF227" s="17" t="n"/>
      <c r="BG227" s="16" t="n"/>
      <c r="BH227" s="20" t="inlineStr">
        <is>
          <t>IC Kationen</t>
        </is>
      </c>
      <c r="BI227" s="20" t="inlineStr">
        <is>
          <t>None</t>
        </is>
      </c>
      <c r="BJ227" s="17" t="n"/>
      <c r="BK227" s="16" t="n"/>
      <c r="BL227" s="20" t="inlineStr">
        <is>
          <t>IC Kationen</t>
        </is>
      </c>
      <c r="BM227" s="20" t="inlineStr">
        <is>
          <t>None</t>
        </is>
      </c>
      <c r="BN227" s="17" t="n"/>
      <c r="BO227" s="16" t="n"/>
      <c r="BP227" s="20" t="inlineStr">
        <is>
          <t>IC Kationen</t>
        </is>
      </c>
      <c r="BQ227" s="20" t="inlineStr">
        <is>
          <t>None</t>
        </is>
      </c>
      <c r="BR227" s="17" t="n"/>
      <c r="BS227" s="16" t="n"/>
      <c r="BT227" s="20" t="inlineStr">
        <is>
          <t>IC Kationen</t>
        </is>
      </c>
      <c r="BU227" s="20" t="inlineStr">
        <is>
          <t>None</t>
        </is>
      </c>
      <c r="BV227" s="17" t="n"/>
      <c r="BW227" s="16" t="n"/>
      <c r="BX227" s="20" t="n"/>
      <c r="BY227" s="20" t="inlineStr">
        <is>
          <t>None</t>
        </is>
      </c>
      <c r="BZ227" s="17" t="n"/>
      <c r="CA227" s="16" t="n"/>
      <c r="CB227" s="20" t="n"/>
      <c r="CC227" s="20" t="inlineStr">
        <is>
          <t>None</t>
        </is>
      </c>
      <c r="CD227" s="17" t="n"/>
      <c r="CE227" s="16" t="n"/>
      <c r="CF227" s="20" t="n"/>
      <c r="CG227" s="20" t="inlineStr">
        <is>
          <t>None</t>
        </is>
      </c>
      <c r="CH227" s="17" t="n"/>
      <c r="CI227" s="16" t="n"/>
      <c r="CJ227" s="20" t="n"/>
      <c r="CK227" s="20" t="inlineStr">
        <is>
          <t>None</t>
        </is>
      </c>
      <c r="CL227" s="17" t="n"/>
      <c r="CM227" s="16" t="n"/>
      <c r="CN227" s="20" t="inlineStr">
        <is>
          <t>SOP 45-34</t>
        </is>
      </c>
      <c r="CO227" s="20" t="inlineStr">
        <is>
          <t>None</t>
        </is>
      </c>
      <c r="CP227" s="17" t="n"/>
      <c r="CQ227" s="16" t="n"/>
      <c r="CR227" s="20" t="n"/>
      <c r="CS227" s="20" t="inlineStr">
        <is>
          <t>None</t>
        </is>
      </c>
      <c r="CT227" s="17" t="n"/>
      <c r="CU227" s="16" t="n"/>
      <c r="CV227" s="20" t="n"/>
      <c r="CW227" s="20" t="inlineStr">
        <is>
          <t>None</t>
        </is>
      </c>
      <c r="CX227" s="17" t="n"/>
      <c r="CY227" s="16" t="n"/>
      <c r="CZ227" s="20" t="inlineStr">
        <is>
          <t>WTW Multimeter 3430 with FDO 925</t>
        </is>
      </c>
      <c r="DA227" s="20" t="inlineStr">
        <is>
          <t>None</t>
        </is>
      </c>
      <c r="DB227" s="17" t="n"/>
      <c r="DC227" s="16" t="n"/>
      <c r="DD227" s="20" t="n"/>
      <c r="DE227" s="20" t="inlineStr">
        <is>
          <t>None</t>
        </is>
      </c>
      <c r="DF227" s="17" t="n"/>
      <c r="DG227" s="16" t="n"/>
      <c r="DH227" s="20" t="inlineStr">
        <is>
          <t>SOP 45-09</t>
        </is>
      </c>
      <c r="DI227" s="20" t="inlineStr">
        <is>
          <t>None</t>
        </is>
      </c>
      <c r="DJ227" s="17" t="n"/>
      <c r="DK227" s="16" t="n"/>
      <c r="DL227" s="20" t="inlineStr">
        <is>
          <t>SOP 45-09 (SOP muss noch angepasst werden für VSS)</t>
        </is>
      </c>
      <c r="DM227" s="20" t="inlineStr">
        <is>
          <t>None</t>
        </is>
      </c>
      <c r="DN227" s="17" t="n"/>
      <c r="DO227" s="16" t="n"/>
      <c r="DP227" s="20" t="inlineStr">
        <is>
          <t>IC Organic Acids</t>
        </is>
      </c>
      <c r="DQ227" s="20" t="inlineStr">
        <is>
          <t>None</t>
        </is>
      </c>
      <c r="DR227" s="17" t="n"/>
      <c r="DS227" s="16" t="n"/>
      <c r="DT227" s="20" t="inlineStr">
        <is>
          <t>IC Organic Acids</t>
        </is>
      </c>
      <c r="DU227" s="20" t="inlineStr">
        <is>
          <t>None</t>
        </is>
      </c>
      <c r="DV227" s="17" t="n"/>
      <c r="DW227" s="16" t="n"/>
      <c r="DX227" s="20" t="inlineStr">
        <is>
          <t>IC Organic Acids</t>
        </is>
      </c>
      <c r="DY227" s="20" t="inlineStr">
        <is>
          <t>None</t>
        </is>
      </c>
      <c r="DZ227" s="17" t="n"/>
      <c r="EA227" s="16" t="n"/>
      <c r="EB227" s="20" t="inlineStr">
        <is>
          <t>IC Organic Acids</t>
        </is>
      </c>
      <c r="EC227" s="20" t="inlineStr">
        <is>
          <t>None</t>
        </is>
      </c>
      <c r="ED227" s="17" t="n"/>
      <c r="EE227" s="16" t="n"/>
      <c r="EF227" s="20" t="inlineStr">
        <is>
          <t>IC Organic Acids</t>
        </is>
      </c>
      <c r="EG227" s="20" t="inlineStr">
        <is>
          <t>None</t>
        </is>
      </c>
      <c r="EH227" s="17" t="n"/>
      <c r="EI227" s="16" t="n"/>
      <c r="EJ227" s="20" t="inlineStr">
        <is>
          <t>IC Organic Acids</t>
        </is>
      </c>
      <c r="EK227" s="20" t="inlineStr">
        <is>
          <t>None</t>
        </is>
      </c>
      <c r="EL227" s="17" t="n"/>
      <c r="EM227" s="16" t="n"/>
      <c r="EN227" s="20" t="inlineStr">
        <is>
          <t>IC Organic Acids</t>
        </is>
      </c>
      <c r="EO227" s="20" t="inlineStr">
        <is>
          <t>None</t>
        </is>
      </c>
      <c r="EP227" s="17" t="n"/>
      <c r="EQ227" s="16" t="n"/>
      <c r="ER227" s="20" t="inlineStr">
        <is>
          <t>IC Organic Acids</t>
        </is>
      </c>
      <c r="ES227" s="20" t="inlineStr">
        <is>
          <t>None</t>
        </is>
      </c>
      <c r="ET227" s="17" t="n"/>
      <c r="EU227" s="16" t="n"/>
      <c r="EV227" s="20" t="inlineStr">
        <is>
          <t>LC-MS</t>
        </is>
      </c>
      <c r="EW227" s="20" t="inlineStr">
        <is>
          <t>None</t>
        </is>
      </c>
      <c r="EX227" s="17" t="n"/>
      <c r="EY227" s="21" t="n"/>
      <c r="EZ227">
        <f>CONCATENATE(A227,B227)</f>
        <v/>
      </c>
      <c r="FA227">
        <f>CONCATENATE(SamplesX!A227,SamplesX!B227)</f>
        <v/>
      </c>
      <c r="FC227">
        <f>MATCH(EZ227,FA1:FA1008,0)</f>
        <v/>
      </c>
    </row>
    <row r="228">
      <c r="A228" s="16" t="inlineStr">
        <is>
          <t>BP</t>
        </is>
      </c>
      <c r="B228" s="17" t="inlineStr">
        <is>
          <t>25220</t>
        </is>
      </c>
      <c r="C228" s="10">
        <f>IF(ISNUMBER(FC228),INDIRECT("SamplesX!C"&amp;FC228),IF(ISNUMBER(FD228),INDIRECT("SamplesY!C"&amp;FD228),""))</f>
        <v/>
      </c>
      <c r="D228" s="12">
        <f>IF(ISNUMBER(FC228),INDIRECT("SamplesX!D"&amp;FC228),IF(ISNUMBER(FD228),INDIRECT("SamplesY!D"&amp;FD228),""))</f>
        <v/>
      </c>
      <c r="E228" s="12">
        <f>IF(ISNUMBER(FC228),INDIRECT("SamplesX!E"&amp;FC228),IF(ISNUMBER(FD228),INDIRECT("SamplesY!E"&amp;FD228),""))</f>
        <v/>
      </c>
      <c r="F228" s="11">
        <f>IF(ISNUMBER(FC228),INDIRECT("SamplesX!F"&amp;FC228),IF(ISNUMBER(FD228),INDIRECT("SamplesY!F"&amp;FD228),""))</f>
        <v/>
      </c>
      <c r="G228" s="18">
        <f>IF(ISNUMBER(FC228),INDIRECT("SamplesX!G"&amp;FC228),IF(ISNUMBER(FD228),INDIRECT("SamplesY!G"&amp;FD228),""))</f>
        <v/>
      </c>
      <c r="H228" s="19">
        <f>IF(ISNUMBER(FC228),INDIRECT("SamplesX!H"&amp;FC228),IF(ISNUMBER(FD228),INDIRECT("SamplesY!H"&amp;FD228),""))</f>
        <v/>
      </c>
      <c r="I228" s="16" t="n"/>
      <c r="J228" s="16" t="n"/>
      <c r="K228" s="16" t="n"/>
      <c r="L228" s="20" t="n"/>
      <c r="M228" s="20" t="inlineStr">
        <is>
          <t>None</t>
        </is>
      </c>
      <c r="N228" s="17" t="n"/>
      <c r="O228" s="16" t="n"/>
      <c r="P228" s="20" t="inlineStr">
        <is>
          <t>Shimadzu TOC-L</t>
        </is>
      </c>
      <c r="Q228" s="20" t="inlineStr">
        <is>
          <t>None</t>
        </is>
      </c>
      <c r="R228" s="17" t="n"/>
      <c r="S228" s="16" t="n"/>
      <c r="T228" s="20" t="inlineStr">
        <is>
          <t>Shimadzu TOC-L</t>
        </is>
      </c>
      <c r="U228" s="20" t="inlineStr">
        <is>
          <t>None</t>
        </is>
      </c>
      <c r="V228" s="17" t="n"/>
      <c r="W228" s="16" t="n"/>
      <c r="X228" s="20" t="n"/>
      <c r="Y228" s="20" t="inlineStr">
        <is>
          <t>None</t>
        </is>
      </c>
      <c r="Z228" s="17" t="n"/>
      <c r="AA228" s="16" t="n"/>
      <c r="AB228" s="20" t="n"/>
      <c r="AC228" s="20" t="inlineStr">
        <is>
          <t>None</t>
        </is>
      </c>
      <c r="AD228" s="17" t="n"/>
      <c r="AE228" s="16" t="n"/>
      <c r="AF228" s="20" t="inlineStr">
        <is>
          <t>IC Anionen</t>
        </is>
      </c>
      <c r="AG228" s="20" t="inlineStr">
        <is>
          <t>None</t>
        </is>
      </c>
      <c r="AH228" s="17" t="n"/>
      <c r="AI228" s="16" t="n"/>
      <c r="AJ228" s="20" t="n"/>
      <c r="AK228" s="20" t="inlineStr">
        <is>
          <t>None</t>
        </is>
      </c>
      <c r="AL228" s="17" t="n"/>
      <c r="AM228" s="16" t="n"/>
      <c r="AN228" s="20" t="inlineStr">
        <is>
          <t>IC Anionen</t>
        </is>
      </c>
      <c r="AO228" s="20" t="inlineStr">
        <is>
          <t>None</t>
        </is>
      </c>
      <c r="AP228" s="17" t="n"/>
      <c r="AQ228" s="16" t="n"/>
      <c r="AR228" s="20" t="n"/>
      <c r="AS228" s="20" t="inlineStr">
        <is>
          <t>None</t>
        </is>
      </c>
      <c r="AT228" s="17" t="n"/>
      <c r="AU228" s="16" t="n"/>
      <c r="AV228" s="20" t="inlineStr">
        <is>
          <t>IC Anionen</t>
        </is>
      </c>
      <c r="AW228" s="20" t="inlineStr">
        <is>
          <t>None</t>
        </is>
      </c>
      <c r="AX228" s="17" t="n"/>
      <c r="AY228" s="16" t="n"/>
      <c r="AZ228" s="20" t="inlineStr">
        <is>
          <t>IC Anionen</t>
        </is>
      </c>
      <c r="BA228" s="20" t="inlineStr">
        <is>
          <t>None</t>
        </is>
      </c>
      <c r="BB228" s="17" t="n"/>
      <c r="BC228" s="16" t="n"/>
      <c r="BD228" s="20" t="inlineStr">
        <is>
          <t>IC Kationen</t>
        </is>
      </c>
      <c r="BE228" s="20" t="inlineStr">
        <is>
          <t>None</t>
        </is>
      </c>
      <c r="BF228" s="17" t="n"/>
      <c r="BG228" s="16" t="n"/>
      <c r="BH228" s="20" t="inlineStr">
        <is>
          <t>IC Kationen</t>
        </is>
      </c>
      <c r="BI228" s="20" t="inlineStr">
        <is>
          <t>None</t>
        </is>
      </c>
      <c r="BJ228" s="17" t="n"/>
      <c r="BK228" s="16" t="n"/>
      <c r="BL228" s="20" t="inlineStr">
        <is>
          <t>IC Kationen</t>
        </is>
      </c>
      <c r="BM228" s="20" t="inlineStr">
        <is>
          <t>None</t>
        </is>
      </c>
      <c r="BN228" s="17" t="n"/>
      <c r="BO228" s="16" t="n"/>
      <c r="BP228" s="20" t="inlineStr">
        <is>
          <t>IC Kationen</t>
        </is>
      </c>
      <c r="BQ228" s="20" t="inlineStr">
        <is>
          <t>None</t>
        </is>
      </c>
      <c r="BR228" s="17" t="n"/>
      <c r="BS228" s="16" t="n"/>
      <c r="BT228" s="20" t="inlineStr">
        <is>
          <t>IC Kationen</t>
        </is>
      </c>
      <c r="BU228" s="20" t="inlineStr">
        <is>
          <t>None</t>
        </is>
      </c>
      <c r="BV228" s="17" t="n"/>
      <c r="BW228" s="16" t="n"/>
      <c r="BX228" s="20" t="n"/>
      <c r="BY228" s="20" t="inlineStr">
        <is>
          <t>None</t>
        </is>
      </c>
      <c r="BZ228" s="17" t="n"/>
      <c r="CA228" s="16" t="n"/>
      <c r="CB228" s="20" t="n"/>
      <c r="CC228" s="20" t="inlineStr">
        <is>
          <t>None</t>
        </is>
      </c>
      <c r="CD228" s="17" t="n"/>
      <c r="CE228" s="16" t="n"/>
      <c r="CF228" s="20" t="n"/>
      <c r="CG228" s="20" t="inlineStr">
        <is>
          <t>None</t>
        </is>
      </c>
      <c r="CH228" s="17" t="n"/>
      <c r="CI228" s="16" t="n"/>
      <c r="CJ228" s="20" t="n"/>
      <c r="CK228" s="20" t="inlineStr">
        <is>
          <t>None</t>
        </is>
      </c>
      <c r="CL228" s="17" t="n"/>
      <c r="CM228" s="16" t="n"/>
      <c r="CN228" s="20" t="inlineStr">
        <is>
          <t>SOP 45-34</t>
        </is>
      </c>
      <c r="CO228" s="20" t="inlineStr">
        <is>
          <t>None</t>
        </is>
      </c>
      <c r="CP228" s="17" t="n"/>
      <c r="CQ228" s="16" t="n"/>
      <c r="CR228" s="20" t="n"/>
      <c r="CS228" s="20" t="inlineStr">
        <is>
          <t>None</t>
        </is>
      </c>
      <c r="CT228" s="17" t="n"/>
      <c r="CU228" s="16" t="n"/>
      <c r="CV228" s="20" t="n"/>
      <c r="CW228" s="20" t="inlineStr">
        <is>
          <t>None</t>
        </is>
      </c>
      <c r="CX228" s="17" t="n"/>
      <c r="CY228" s="16" t="n"/>
      <c r="CZ228" s="20" t="inlineStr">
        <is>
          <t>WTW Multimeter 3430 with FDO 925</t>
        </is>
      </c>
      <c r="DA228" s="20" t="inlineStr">
        <is>
          <t>None</t>
        </is>
      </c>
      <c r="DB228" s="17" t="n"/>
      <c r="DC228" s="16" t="n"/>
      <c r="DD228" s="20" t="n"/>
      <c r="DE228" s="20" t="inlineStr">
        <is>
          <t>None</t>
        </is>
      </c>
      <c r="DF228" s="17" t="n"/>
      <c r="DG228" s="16" t="n"/>
      <c r="DH228" s="20" t="inlineStr">
        <is>
          <t>SOP 45-09</t>
        </is>
      </c>
      <c r="DI228" s="20" t="inlineStr">
        <is>
          <t>None</t>
        </is>
      </c>
      <c r="DJ228" s="17" t="n"/>
      <c r="DK228" s="16" t="n"/>
      <c r="DL228" s="20" t="inlineStr">
        <is>
          <t>SOP 45-09 (SOP muss noch angepasst werden für VSS)</t>
        </is>
      </c>
      <c r="DM228" s="20" t="inlineStr">
        <is>
          <t>None</t>
        </is>
      </c>
      <c r="DN228" s="17" t="n"/>
      <c r="DO228" s="16" t="n"/>
      <c r="DP228" s="20" t="inlineStr">
        <is>
          <t>IC Organic Acids</t>
        </is>
      </c>
      <c r="DQ228" s="20" t="inlineStr">
        <is>
          <t>None</t>
        </is>
      </c>
      <c r="DR228" s="17" t="n"/>
      <c r="DS228" s="16" t="n"/>
      <c r="DT228" s="20" t="inlineStr">
        <is>
          <t>IC Organic Acids</t>
        </is>
      </c>
      <c r="DU228" s="20" t="inlineStr">
        <is>
          <t>None</t>
        </is>
      </c>
      <c r="DV228" s="17" t="n"/>
      <c r="DW228" s="16" t="n"/>
      <c r="DX228" s="20" t="inlineStr">
        <is>
          <t>IC Organic Acids</t>
        </is>
      </c>
      <c r="DY228" s="20" t="inlineStr">
        <is>
          <t>None</t>
        </is>
      </c>
      <c r="DZ228" s="17" t="n"/>
      <c r="EA228" s="16" t="n"/>
      <c r="EB228" s="20" t="inlineStr">
        <is>
          <t>IC Organic Acids</t>
        </is>
      </c>
      <c r="EC228" s="20" t="inlineStr">
        <is>
          <t>None</t>
        </is>
      </c>
      <c r="ED228" s="17" t="n"/>
      <c r="EE228" s="16" t="n"/>
      <c r="EF228" s="20" t="inlineStr">
        <is>
          <t>IC Organic Acids</t>
        </is>
      </c>
      <c r="EG228" s="20" t="inlineStr">
        <is>
          <t>None</t>
        </is>
      </c>
      <c r="EH228" s="17" t="n"/>
      <c r="EI228" s="16" t="n"/>
      <c r="EJ228" s="20" t="inlineStr">
        <is>
          <t>IC Organic Acids</t>
        </is>
      </c>
      <c r="EK228" s="20" t="inlineStr">
        <is>
          <t>None</t>
        </is>
      </c>
      <c r="EL228" s="17" t="n"/>
      <c r="EM228" s="16" t="n"/>
      <c r="EN228" s="20" t="inlineStr">
        <is>
          <t>IC Organic Acids</t>
        </is>
      </c>
      <c r="EO228" s="20" t="inlineStr">
        <is>
          <t>None</t>
        </is>
      </c>
      <c r="EP228" s="17" t="n"/>
      <c r="EQ228" s="16" t="n"/>
      <c r="ER228" s="20" t="inlineStr">
        <is>
          <t>IC Organic Acids</t>
        </is>
      </c>
      <c r="ES228" s="20" t="inlineStr">
        <is>
          <t>None</t>
        </is>
      </c>
      <c r="ET228" s="17" t="n"/>
      <c r="EU228" s="16" t="n"/>
      <c r="EV228" s="20" t="inlineStr">
        <is>
          <t>LC-MS</t>
        </is>
      </c>
      <c r="EW228" s="20" t="inlineStr">
        <is>
          <t>None</t>
        </is>
      </c>
      <c r="EX228" s="17" t="n"/>
      <c r="EY228" s="21" t="n"/>
      <c r="EZ228">
        <f>CONCATENATE(A228,B228)</f>
        <v/>
      </c>
      <c r="FA228">
        <f>CONCATENATE(SamplesX!A228,SamplesX!B228)</f>
        <v/>
      </c>
      <c r="FC228">
        <f>MATCH(EZ228,FA1:FA1008,0)</f>
        <v/>
      </c>
    </row>
    <row r="229">
      <c r="A229" s="16" t="inlineStr">
        <is>
          <t>BP</t>
        </is>
      </c>
      <c r="B229" s="17" t="inlineStr">
        <is>
          <t>25221</t>
        </is>
      </c>
      <c r="C229" s="10">
        <f>IF(ISNUMBER(FC229),INDIRECT("SamplesX!C"&amp;FC229),IF(ISNUMBER(FD229),INDIRECT("SamplesY!C"&amp;FD229),""))</f>
        <v/>
      </c>
      <c r="D229" s="12">
        <f>IF(ISNUMBER(FC229),INDIRECT("SamplesX!D"&amp;FC229),IF(ISNUMBER(FD229),INDIRECT("SamplesY!D"&amp;FD229),""))</f>
        <v/>
      </c>
      <c r="E229" s="12">
        <f>IF(ISNUMBER(FC229),INDIRECT("SamplesX!E"&amp;FC229),IF(ISNUMBER(FD229),INDIRECT("SamplesY!E"&amp;FD229),""))</f>
        <v/>
      </c>
      <c r="F229" s="11">
        <f>IF(ISNUMBER(FC229),INDIRECT("SamplesX!F"&amp;FC229),IF(ISNUMBER(FD229),INDIRECT("SamplesY!F"&amp;FD229),""))</f>
        <v/>
      </c>
      <c r="G229" s="18">
        <f>IF(ISNUMBER(FC229),INDIRECT("SamplesX!G"&amp;FC229),IF(ISNUMBER(FD229),INDIRECT("SamplesY!G"&amp;FD229),""))</f>
        <v/>
      </c>
      <c r="H229" s="19">
        <f>IF(ISNUMBER(FC229),INDIRECT("SamplesX!H"&amp;FC229),IF(ISNUMBER(FD229),INDIRECT("SamplesY!H"&amp;FD229),""))</f>
        <v/>
      </c>
      <c r="I229" s="16" t="n"/>
      <c r="J229" s="16" t="n"/>
      <c r="K229" s="16" t="n"/>
      <c r="L229" s="20" t="n"/>
      <c r="M229" s="20" t="inlineStr">
        <is>
          <t>None</t>
        </is>
      </c>
      <c r="N229" s="17" t="n"/>
      <c r="O229" s="16" t="n"/>
      <c r="P229" s="20" t="inlineStr">
        <is>
          <t>Shimadzu TOC-L</t>
        </is>
      </c>
      <c r="Q229" s="20" t="inlineStr">
        <is>
          <t>None</t>
        </is>
      </c>
      <c r="R229" s="17" t="n"/>
      <c r="S229" s="16" t="n"/>
      <c r="T229" s="20" t="inlineStr">
        <is>
          <t>Shimadzu TOC-L</t>
        </is>
      </c>
      <c r="U229" s="20" t="inlineStr">
        <is>
          <t>None</t>
        </is>
      </c>
      <c r="V229" s="17" t="n"/>
      <c r="W229" s="16" t="n"/>
      <c r="X229" s="20" t="n"/>
      <c r="Y229" s="20" t="inlineStr">
        <is>
          <t>None</t>
        </is>
      </c>
      <c r="Z229" s="17" t="n"/>
      <c r="AA229" s="16" t="n"/>
      <c r="AB229" s="20" t="n"/>
      <c r="AC229" s="20" t="inlineStr">
        <is>
          <t>None</t>
        </is>
      </c>
      <c r="AD229" s="17" t="n"/>
      <c r="AE229" s="16" t="n"/>
      <c r="AF229" s="20" t="inlineStr">
        <is>
          <t>IC Anionen</t>
        </is>
      </c>
      <c r="AG229" s="20" t="inlineStr">
        <is>
          <t>None</t>
        </is>
      </c>
      <c r="AH229" s="17" t="n"/>
      <c r="AI229" s="16" t="n"/>
      <c r="AJ229" s="20" t="n"/>
      <c r="AK229" s="20" t="inlineStr">
        <is>
          <t>None</t>
        </is>
      </c>
      <c r="AL229" s="17" t="n"/>
      <c r="AM229" s="16" t="n"/>
      <c r="AN229" s="20" t="inlineStr">
        <is>
          <t>IC Anionen</t>
        </is>
      </c>
      <c r="AO229" s="20" t="inlineStr">
        <is>
          <t>None</t>
        </is>
      </c>
      <c r="AP229" s="17" t="n"/>
      <c r="AQ229" s="16" t="n"/>
      <c r="AR229" s="20" t="n"/>
      <c r="AS229" s="20" t="inlineStr">
        <is>
          <t>None</t>
        </is>
      </c>
      <c r="AT229" s="17" t="n"/>
      <c r="AU229" s="16" t="n"/>
      <c r="AV229" s="20" t="inlineStr">
        <is>
          <t>IC Anionen</t>
        </is>
      </c>
      <c r="AW229" s="20" t="inlineStr">
        <is>
          <t>None</t>
        </is>
      </c>
      <c r="AX229" s="17" t="n"/>
      <c r="AY229" s="16" t="n"/>
      <c r="AZ229" s="20" t="inlineStr">
        <is>
          <t>IC Anionen</t>
        </is>
      </c>
      <c r="BA229" s="20" t="inlineStr">
        <is>
          <t>None</t>
        </is>
      </c>
      <c r="BB229" s="17" t="n"/>
      <c r="BC229" s="16" t="n"/>
      <c r="BD229" s="20" t="inlineStr">
        <is>
          <t>IC Kationen</t>
        </is>
      </c>
      <c r="BE229" s="20" t="inlineStr">
        <is>
          <t>None</t>
        </is>
      </c>
      <c r="BF229" s="17" t="n"/>
      <c r="BG229" s="16" t="n"/>
      <c r="BH229" s="20" t="inlineStr">
        <is>
          <t>IC Kationen</t>
        </is>
      </c>
      <c r="BI229" s="20" t="inlineStr">
        <is>
          <t>None</t>
        </is>
      </c>
      <c r="BJ229" s="17" t="n"/>
      <c r="BK229" s="16" t="n"/>
      <c r="BL229" s="20" t="inlineStr">
        <is>
          <t>IC Kationen</t>
        </is>
      </c>
      <c r="BM229" s="20" t="inlineStr">
        <is>
          <t>None</t>
        </is>
      </c>
      <c r="BN229" s="17" t="n"/>
      <c r="BO229" s="16" t="n"/>
      <c r="BP229" s="20" t="inlineStr">
        <is>
          <t>IC Kationen</t>
        </is>
      </c>
      <c r="BQ229" s="20" t="inlineStr">
        <is>
          <t>None</t>
        </is>
      </c>
      <c r="BR229" s="17" t="n"/>
      <c r="BS229" s="16" t="n"/>
      <c r="BT229" s="20" t="inlineStr">
        <is>
          <t>IC Kationen</t>
        </is>
      </c>
      <c r="BU229" s="20" t="inlineStr">
        <is>
          <t>None</t>
        </is>
      </c>
      <c r="BV229" s="17" t="n"/>
      <c r="BW229" s="16" t="n"/>
      <c r="BX229" s="20" t="n"/>
      <c r="BY229" s="20" t="inlineStr">
        <is>
          <t>None</t>
        </is>
      </c>
      <c r="BZ229" s="17" t="n"/>
      <c r="CA229" s="16" t="n"/>
      <c r="CB229" s="20" t="n"/>
      <c r="CC229" s="20" t="inlineStr">
        <is>
          <t>None</t>
        </is>
      </c>
      <c r="CD229" s="17" t="n"/>
      <c r="CE229" s="16" t="n"/>
      <c r="CF229" s="20" t="n"/>
      <c r="CG229" s="20" t="inlineStr">
        <is>
          <t>None</t>
        </is>
      </c>
      <c r="CH229" s="17" t="n"/>
      <c r="CI229" s="16" t="n"/>
      <c r="CJ229" s="20" t="n"/>
      <c r="CK229" s="20" t="inlineStr">
        <is>
          <t>None</t>
        </is>
      </c>
      <c r="CL229" s="17" t="n"/>
      <c r="CM229" s="16" t="n"/>
      <c r="CN229" s="20" t="inlineStr">
        <is>
          <t>SOP 45-34</t>
        </is>
      </c>
      <c r="CO229" s="20" t="inlineStr">
        <is>
          <t>None</t>
        </is>
      </c>
      <c r="CP229" s="17" t="n"/>
      <c r="CQ229" s="16" t="n"/>
      <c r="CR229" s="20" t="n"/>
      <c r="CS229" s="20" t="inlineStr">
        <is>
          <t>None</t>
        </is>
      </c>
      <c r="CT229" s="17" t="n"/>
      <c r="CU229" s="16" t="n"/>
      <c r="CV229" s="20" t="n"/>
      <c r="CW229" s="20" t="inlineStr">
        <is>
          <t>None</t>
        </is>
      </c>
      <c r="CX229" s="17" t="n"/>
      <c r="CY229" s="16" t="n"/>
      <c r="CZ229" s="20" t="inlineStr">
        <is>
          <t>WTW Multimeter 3430 with FDO 925</t>
        </is>
      </c>
      <c r="DA229" s="20" t="inlineStr">
        <is>
          <t>None</t>
        </is>
      </c>
      <c r="DB229" s="17" t="n"/>
      <c r="DC229" s="16" t="n"/>
      <c r="DD229" s="20" t="n"/>
      <c r="DE229" s="20" t="inlineStr">
        <is>
          <t>None</t>
        </is>
      </c>
      <c r="DF229" s="17" t="n"/>
      <c r="DG229" s="16" t="n"/>
      <c r="DH229" s="20" t="inlineStr">
        <is>
          <t>SOP 45-09</t>
        </is>
      </c>
      <c r="DI229" s="20" t="inlineStr">
        <is>
          <t>None</t>
        </is>
      </c>
      <c r="DJ229" s="17" t="n"/>
      <c r="DK229" s="16" t="n"/>
      <c r="DL229" s="20" t="inlineStr">
        <is>
          <t>SOP 45-09 (SOP muss noch angepasst werden für VSS)</t>
        </is>
      </c>
      <c r="DM229" s="20" t="inlineStr">
        <is>
          <t>None</t>
        </is>
      </c>
      <c r="DN229" s="17" t="n"/>
      <c r="DO229" s="16" t="n"/>
      <c r="DP229" s="20" t="inlineStr">
        <is>
          <t>IC Organic Acids</t>
        </is>
      </c>
      <c r="DQ229" s="20" t="inlineStr">
        <is>
          <t>None</t>
        </is>
      </c>
      <c r="DR229" s="17" t="n"/>
      <c r="DS229" s="16" t="n"/>
      <c r="DT229" s="20" t="inlineStr">
        <is>
          <t>IC Organic Acids</t>
        </is>
      </c>
      <c r="DU229" s="20" t="inlineStr">
        <is>
          <t>None</t>
        </is>
      </c>
      <c r="DV229" s="17" t="n"/>
      <c r="DW229" s="16" t="n"/>
      <c r="DX229" s="20" t="inlineStr">
        <is>
          <t>IC Organic Acids</t>
        </is>
      </c>
      <c r="DY229" s="20" t="inlineStr">
        <is>
          <t>None</t>
        </is>
      </c>
      <c r="DZ229" s="17" t="n"/>
      <c r="EA229" s="16" t="n"/>
      <c r="EB229" s="20" t="inlineStr">
        <is>
          <t>IC Organic Acids</t>
        </is>
      </c>
      <c r="EC229" s="20" t="inlineStr">
        <is>
          <t>None</t>
        </is>
      </c>
      <c r="ED229" s="17" t="n"/>
      <c r="EE229" s="16" t="n"/>
      <c r="EF229" s="20" t="inlineStr">
        <is>
          <t>IC Organic Acids</t>
        </is>
      </c>
      <c r="EG229" s="20" t="inlineStr">
        <is>
          <t>None</t>
        </is>
      </c>
      <c r="EH229" s="17" t="n"/>
      <c r="EI229" s="16" t="n"/>
      <c r="EJ229" s="20" t="inlineStr">
        <is>
          <t>IC Organic Acids</t>
        </is>
      </c>
      <c r="EK229" s="20" t="inlineStr">
        <is>
          <t>None</t>
        </is>
      </c>
      <c r="EL229" s="17" t="n"/>
      <c r="EM229" s="16" t="n"/>
      <c r="EN229" s="20" t="inlineStr">
        <is>
          <t>IC Organic Acids</t>
        </is>
      </c>
      <c r="EO229" s="20" t="inlineStr">
        <is>
          <t>None</t>
        </is>
      </c>
      <c r="EP229" s="17" t="n"/>
      <c r="EQ229" s="16" t="n"/>
      <c r="ER229" s="20" t="inlineStr">
        <is>
          <t>IC Organic Acids</t>
        </is>
      </c>
      <c r="ES229" s="20" t="inlineStr">
        <is>
          <t>None</t>
        </is>
      </c>
      <c r="ET229" s="17" t="n"/>
      <c r="EU229" s="16" t="n"/>
      <c r="EV229" s="20" t="inlineStr">
        <is>
          <t>LC-MS</t>
        </is>
      </c>
      <c r="EW229" s="20" t="inlineStr">
        <is>
          <t>None</t>
        </is>
      </c>
      <c r="EX229" s="17" t="n"/>
      <c r="EY229" s="21" t="n"/>
      <c r="EZ229">
        <f>CONCATENATE(A229,B229)</f>
        <v/>
      </c>
      <c r="FA229">
        <f>CONCATENATE(SamplesX!A229,SamplesX!B229)</f>
        <v/>
      </c>
      <c r="FC229">
        <f>MATCH(EZ229,FA1:FA1008,0)</f>
        <v/>
      </c>
    </row>
    <row r="230">
      <c r="A230" s="16" t="inlineStr">
        <is>
          <t>BP</t>
        </is>
      </c>
      <c r="B230" s="17" t="inlineStr">
        <is>
          <t>25222</t>
        </is>
      </c>
      <c r="C230" s="10">
        <f>IF(ISNUMBER(FC230),INDIRECT("SamplesX!C"&amp;FC230),IF(ISNUMBER(FD230),INDIRECT("SamplesY!C"&amp;FD230),""))</f>
        <v/>
      </c>
      <c r="D230" s="12">
        <f>IF(ISNUMBER(FC230),INDIRECT("SamplesX!D"&amp;FC230),IF(ISNUMBER(FD230),INDIRECT("SamplesY!D"&amp;FD230),""))</f>
        <v/>
      </c>
      <c r="E230" s="12">
        <f>IF(ISNUMBER(FC230),INDIRECT("SamplesX!E"&amp;FC230),IF(ISNUMBER(FD230),INDIRECT("SamplesY!E"&amp;FD230),""))</f>
        <v/>
      </c>
      <c r="F230" s="11">
        <f>IF(ISNUMBER(FC230),INDIRECT("SamplesX!F"&amp;FC230),IF(ISNUMBER(FD230),INDIRECT("SamplesY!F"&amp;FD230),""))</f>
        <v/>
      </c>
      <c r="G230" s="18">
        <f>IF(ISNUMBER(FC230),INDIRECT("SamplesX!G"&amp;FC230),IF(ISNUMBER(FD230),INDIRECT("SamplesY!G"&amp;FD230),""))</f>
        <v/>
      </c>
      <c r="H230" s="19">
        <f>IF(ISNUMBER(FC230),INDIRECT("SamplesX!H"&amp;FC230),IF(ISNUMBER(FD230),INDIRECT("SamplesY!H"&amp;FD230),""))</f>
        <v/>
      </c>
      <c r="I230" s="16" t="n"/>
      <c r="J230" s="16" t="n"/>
      <c r="K230" s="16" t="n"/>
      <c r="L230" s="20" t="n"/>
      <c r="M230" s="20" t="inlineStr">
        <is>
          <t>None</t>
        </is>
      </c>
      <c r="N230" s="17" t="n"/>
      <c r="O230" s="16" t="n"/>
      <c r="P230" s="20" t="inlineStr">
        <is>
          <t>Shimadzu TOC-L</t>
        </is>
      </c>
      <c r="Q230" s="20" t="inlineStr">
        <is>
          <t>None</t>
        </is>
      </c>
      <c r="R230" s="17" t="n"/>
      <c r="S230" s="16" t="n"/>
      <c r="T230" s="20" t="inlineStr">
        <is>
          <t>Shimadzu TOC-L</t>
        </is>
      </c>
      <c r="U230" s="20" t="inlineStr">
        <is>
          <t>None</t>
        </is>
      </c>
      <c r="V230" s="17" t="n"/>
      <c r="W230" s="16" t="n"/>
      <c r="X230" s="20" t="n"/>
      <c r="Y230" s="20" t="inlineStr">
        <is>
          <t>None</t>
        </is>
      </c>
      <c r="Z230" s="17" t="n"/>
      <c r="AA230" s="16" t="n"/>
      <c r="AB230" s="20" t="n"/>
      <c r="AC230" s="20" t="inlineStr">
        <is>
          <t>None</t>
        </is>
      </c>
      <c r="AD230" s="17" t="n"/>
      <c r="AE230" s="16" t="n"/>
      <c r="AF230" s="20" t="inlineStr">
        <is>
          <t>IC Anionen</t>
        </is>
      </c>
      <c r="AG230" s="20" t="inlineStr">
        <is>
          <t>None</t>
        </is>
      </c>
      <c r="AH230" s="17" t="n"/>
      <c r="AI230" s="16" t="n"/>
      <c r="AJ230" s="20" t="n"/>
      <c r="AK230" s="20" t="inlineStr">
        <is>
          <t>None</t>
        </is>
      </c>
      <c r="AL230" s="17" t="n"/>
      <c r="AM230" s="16" t="n"/>
      <c r="AN230" s="20" t="inlineStr">
        <is>
          <t>IC Anionen</t>
        </is>
      </c>
      <c r="AO230" s="20" t="inlineStr">
        <is>
          <t>None</t>
        </is>
      </c>
      <c r="AP230" s="17" t="n"/>
      <c r="AQ230" s="16" t="n"/>
      <c r="AR230" s="20" t="n"/>
      <c r="AS230" s="20" t="inlineStr">
        <is>
          <t>None</t>
        </is>
      </c>
      <c r="AT230" s="17" t="n"/>
      <c r="AU230" s="16" t="n"/>
      <c r="AV230" s="20" t="inlineStr">
        <is>
          <t>IC Anionen</t>
        </is>
      </c>
      <c r="AW230" s="20" t="inlineStr">
        <is>
          <t>None</t>
        </is>
      </c>
      <c r="AX230" s="17" t="n"/>
      <c r="AY230" s="16" t="n"/>
      <c r="AZ230" s="20" t="inlineStr">
        <is>
          <t>IC Anionen</t>
        </is>
      </c>
      <c r="BA230" s="20" t="inlineStr">
        <is>
          <t>None</t>
        </is>
      </c>
      <c r="BB230" s="17" t="n"/>
      <c r="BC230" s="16" t="n"/>
      <c r="BD230" s="20" t="inlineStr">
        <is>
          <t>IC Kationen</t>
        </is>
      </c>
      <c r="BE230" s="20" t="inlineStr">
        <is>
          <t>None</t>
        </is>
      </c>
      <c r="BF230" s="17" t="n"/>
      <c r="BG230" s="16" t="n"/>
      <c r="BH230" s="20" t="inlineStr">
        <is>
          <t>IC Kationen</t>
        </is>
      </c>
      <c r="BI230" s="20" t="inlineStr">
        <is>
          <t>None</t>
        </is>
      </c>
      <c r="BJ230" s="17" t="n"/>
      <c r="BK230" s="16" t="n"/>
      <c r="BL230" s="20" t="inlineStr">
        <is>
          <t>IC Kationen</t>
        </is>
      </c>
      <c r="BM230" s="20" t="inlineStr">
        <is>
          <t>None</t>
        </is>
      </c>
      <c r="BN230" s="17" t="n"/>
      <c r="BO230" s="16" t="n"/>
      <c r="BP230" s="20" t="inlineStr">
        <is>
          <t>IC Kationen</t>
        </is>
      </c>
      <c r="BQ230" s="20" t="inlineStr">
        <is>
          <t>None</t>
        </is>
      </c>
      <c r="BR230" s="17" t="n"/>
      <c r="BS230" s="16" t="n"/>
      <c r="BT230" s="20" t="inlineStr">
        <is>
          <t>IC Kationen</t>
        </is>
      </c>
      <c r="BU230" s="20" t="inlineStr">
        <is>
          <t>None</t>
        </is>
      </c>
      <c r="BV230" s="17" t="n"/>
      <c r="BW230" s="16" t="n"/>
      <c r="BX230" s="20" t="n"/>
      <c r="BY230" s="20" t="inlineStr">
        <is>
          <t>None</t>
        </is>
      </c>
      <c r="BZ230" s="17" t="n"/>
      <c r="CA230" s="16" t="n"/>
      <c r="CB230" s="20" t="n"/>
      <c r="CC230" s="20" t="inlineStr">
        <is>
          <t>None</t>
        </is>
      </c>
      <c r="CD230" s="17" t="n"/>
      <c r="CE230" s="16" t="n"/>
      <c r="CF230" s="20" t="n"/>
      <c r="CG230" s="20" t="inlineStr">
        <is>
          <t>None</t>
        </is>
      </c>
      <c r="CH230" s="17" t="n"/>
      <c r="CI230" s="16" t="n"/>
      <c r="CJ230" s="20" t="n"/>
      <c r="CK230" s="20" t="inlineStr">
        <is>
          <t>None</t>
        </is>
      </c>
      <c r="CL230" s="17" t="n"/>
      <c r="CM230" s="16" t="n"/>
      <c r="CN230" s="20" t="inlineStr">
        <is>
          <t>SOP 45-34</t>
        </is>
      </c>
      <c r="CO230" s="20" t="inlineStr">
        <is>
          <t>None</t>
        </is>
      </c>
      <c r="CP230" s="17" t="n"/>
      <c r="CQ230" s="16" t="n"/>
      <c r="CR230" s="20" t="n"/>
      <c r="CS230" s="20" t="inlineStr">
        <is>
          <t>None</t>
        </is>
      </c>
      <c r="CT230" s="17" t="n"/>
      <c r="CU230" s="16" t="n"/>
      <c r="CV230" s="20" t="n"/>
      <c r="CW230" s="20" t="inlineStr">
        <is>
          <t>None</t>
        </is>
      </c>
      <c r="CX230" s="17" t="n"/>
      <c r="CY230" s="16" t="n"/>
      <c r="CZ230" s="20" t="inlineStr">
        <is>
          <t>WTW Multimeter 3430 with FDO 925</t>
        </is>
      </c>
      <c r="DA230" s="20" t="inlineStr">
        <is>
          <t>None</t>
        </is>
      </c>
      <c r="DB230" s="17" t="n"/>
      <c r="DC230" s="16" t="n"/>
      <c r="DD230" s="20" t="n"/>
      <c r="DE230" s="20" t="inlineStr">
        <is>
          <t>None</t>
        </is>
      </c>
      <c r="DF230" s="17" t="n"/>
      <c r="DG230" s="16" t="n"/>
      <c r="DH230" s="20" t="inlineStr">
        <is>
          <t>SOP 45-09</t>
        </is>
      </c>
      <c r="DI230" s="20" t="inlineStr">
        <is>
          <t>None</t>
        </is>
      </c>
      <c r="DJ230" s="17" t="n"/>
      <c r="DK230" s="16" t="n"/>
      <c r="DL230" s="20" t="inlineStr">
        <is>
          <t>SOP 45-09 (SOP muss noch angepasst werden für VSS)</t>
        </is>
      </c>
      <c r="DM230" s="20" t="inlineStr">
        <is>
          <t>None</t>
        </is>
      </c>
      <c r="DN230" s="17" t="n"/>
      <c r="DO230" s="16" t="n"/>
      <c r="DP230" s="20" t="inlineStr">
        <is>
          <t>IC Organic Acids</t>
        </is>
      </c>
      <c r="DQ230" s="20" t="inlineStr">
        <is>
          <t>None</t>
        </is>
      </c>
      <c r="DR230" s="17" t="n"/>
      <c r="DS230" s="16" t="n"/>
      <c r="DT230" s="20" t="inlineStr">
        <is>
          <t>IC Organic Acids</t>
        </is>
      </c>
      <c r="DU230" s="20" t="inlineStr">
        <is>
          <t>None</t>
        </is>
      </c>
      <c r="DV230" s="17" t="n"/>
      <c r="DW230" s="16" t="n"/>
      <c r="DX230" s="20" t="inlineStr">
        <is>
          <t>IC Organic Acids</t>
        </is>
      </c>
      <c r="DY230" s="20" t="inlineStr">
        <is>
          <t>None</t>
        </is>
      </c>
      <c r="DZ230" s="17" t="n"/>
      <c r="EA230" s="16" t="n"/>
      <c r="EB230" s="20" t="inlineStr">
        <is>
          <t>IC Organic Acids</t>
        </is>
      </c>
      <c r="EC230" s="20" t="inlineStr">
        <is>
          <t>None</t>
        </is>
      </c>
      <c r="ED230" s="17" t="n"/>
      <c r="EE230" s="16" t="n"/>
      <c r="EF230" s="20" t="inlineStr">
        <is>
          <t>IC Organic Acids</t>
        </is>
      </c>
      <c r="EG230" s="20" t="inlineStr">
        <is>
          <t>None</t>
        </is>
      </c>
      <c r="EH230" s="17" t="n"/>
      <c r="EI230" s="16" t="n"/>
      <c r="EJ230" s="20" t="inlineStr">
        <is>
          <t>IC Organic Acids</t>
        </is>
      </c>
      <c r="EK230" s="20" t="inlineStr">
        <is>
          <t>None</t>
        </is>
      </c>
      <c r="EL230" s="17" t="n"/>
      <c r="EM230" s="16" t="n"/>
      <c r="EN230" s="20" t="inlineStr">
        <is>
          <t>IC Organic Acids</t>
        </is>
      </c>
      <c r="EO230" s="20" t="inlineStr">
        <is>
          <t>None</t>
        </is>
      </c>
      <c r="EP230" s="17" t="n"/>
      <c r="EQ230" s="16" t="n"/>
      <c r="ER230" s="20" t="inlineStr">
        <is>
          <t>IC Organic Acids</t>
        </is>
      </c>
      <c r="ES230" s="20" t="inlineStr">
        <is>
          <t>None</t>
        </is>
      </c>
      <c r="ET230" s="17" t="n"/>
      <c r="EU230" s="16" t="n"/>
      <c r="EV230" s="20" t="inlineStr">
        <is>
          <t>LC-MS</t>
        </is>
      </c>
      <c r="EW230" s="20" t="inlineStr">
        <is>
          <t>None</t>
        </is>
      </c>
      <c r="EX230" s="17" t="n"/>
      <c r="EY230" s="21" t="n"/>
      <c r="EZ230">
        <f>CONCATENATE(A230,B230)</f>
        <v/>
      </c>
      <c r="FA230">
        <f>CONCATENATE(SamplesX!A230,SamplesX!B230)</f>
        <v/>
      </c>
      <c r="FC230">
        <f>MATCH(EZ230,FA1:FA1008,0)</f>
        <v/>
      </c>
    </row>
    <row r="231">
      <c r="A231" s="16" t="inlineStr">
        <is>
          <t>BP</t>
        </is>
      </c>
      <c r="B231" s="17" t="inlineStr">
        <is>
          <t>25223</t>
        </is>
      </c>
      <c r="C231" s="10">
        <f>IF(ISNUMBER(FC231),INDIRECT("SamplesX!C"&amp;FC231),IF(ISNUMBER(FD231),INDIRECT("SamplesY!C"&amp;FD231),""))</f>
        <v/>
      </c>
      <c r="D231" s="12">
        <f>IF(ISNUMBER(FC231),INDIRECT("SamplesX!D"&amp;FC231),IF(ISNUMBER(FD231),INDIRECT("SamplesY!D"&amp;FD231),""))</f>
        <v/>
      </c>
      <c r="E231" s="12">
        <f>IF(ISNUMBER(FC231),INDIRECT("SamplesX!E"&amp;FC231),IF(ISNUMBER(FD231),INDIRECT("SamplesY!E"&amp;FD231),""))</f>
        <v/>
      </c>
      <c r="F231" s="11">
        <f>IF(ISNUMBER(FC231),INDIRECT("SamplesX!F"&amp;FC231),IF(ISNUMBER(FD231),INDIRECT("SamplesY!F"&amp;FD231),""))</f>
        <v/>
      </c>
      <c r="G231" s="18">
        <f>IF(ISNUMBER(FC231),INDIRECT("SamplesX!G"&amp;FC231),IF(ISNUMBER(FD231),INDIRECT("SamplesY!G"&amp;FD231),""))</f>
        <v/>
      </c>
      <c r="H231" s="19">
        <f>IF(ISNUMBER(FC231),INDIRECT("SamplesX!H"&amp;FC231),IF(ISNUMBER(FD231),INDIRECT("SamplesY!H"&amp;FD231),""))</f>
        <v/>
      </c>
      <c r="I231" s="16" t="n"/>
      <c r="J231" s="16" t="n"/>
      <c r="K231" s="16" t="n"/>
      <c r="L231" s="20" t="n"/>
      <c r="M231" s="20" t="inlineStr">
        <is>
          <t>None</t>
        </is>
      </c>
      <c r="N231" s="17" t="n"/>
      <c r="O231" s="16" t="n"/>
      <c r="P231" s="20" t="inlineStr">
        <is>
          <t>Shimadzu TOC-L</t>
        </is>
      </c>
      <c r="Q231" s="20" t="inlineStr">
        <is>
          <t>None</t>
        </is>
      </c>
      <c r="R231" s="17" t="n"/>
      <c r="S231" s="16" t="n"/>
      <c r="T231" s="20" t="inlineStr">
        <is>
          <t>Shimadzu TOC-L</t>
        </is>
      </c>
      <c r="U231" s="20" t="inlineStr">
        <is>
          <t>None</t>
        </is>
      </c>
      <c r="V231" s="17" t="n"/>
      <c r="W231" s="16" t="n"/>
      <c r="X231" s="20" t="n"/>
      <c r="Y231" s="20" t="inlineStr">
        <is>
          <t>None</t>
        </is>
      </c>
      <c r="Z231" s="17" t="n"/>
      <c r="AA231" s="16" t="n"/>
      <c r="AB231" s="20" t="n"/>
      <c r="AC231" s="20" t="inlineStr">
        <is>
          <t>None</t>
        </is>
      </c>
      <c r="AD231" s="17" t="n"/>
      <c r="AE231" s="16" t="n"/>
      <c r="AF231" s="20" t="inlineStr">
        <is>
          <t>IC Anionen</t>
        </is>
      </c>
      <c r="AG231" s="20" t="inlineStr">
        <is>
          <t>None</t>
        </is>
      </c>
      <c r="AH231" s="17" t="n"/>
      <c r="AI231" s="16" t="n"/>
      <c r="AJ231" s="20" t="n"/>
      <c r="AK231" s="20" t="inlineStr">
        <is>
          <t>None</t>
        </is>
      </c>
      <c r="AL231" s="17" t="n"/>
      <c r="AM231" s="16" t="n"/>
      <c r="AN231" s="20" t="inlineStr">
        <is>
          <t>IC Anionen</t>
        </is>
      </c>
      <c r="AO231" s="20" t="inlineStr">
        <is>
          <t>None</t>
        </is>
      </c>
      <c r="AP231" s="17" t="n"/>
      <c r="AQ231" s="16" t="n"/>
      <c r="AR231" s="20" t="n"/>
      <c r="AS231" s="20" t="inlineStr">
        <is>
          <t>None</t>
        </is>
      </c>
      <c r="AT231" s="17" t="n"/>
      <c r="AU231" s="16" t="n"/>
      <c r="AV231" s="20" t="inlineStr">
        <is>
          <t>IC Anionen</t>
        </is>
      </c>
      <c r="AW231" s="20" t="inlineStr">
        <is>
          <t>None</t>
        </is>
      </c>
      <c r="AX231" s="17" t="n"/>
      <c r="AY231" s="16" t="n"/>
      <c r="AZ231" s="20" t="inlineStr">
        <is>
          <t>IC Anionen</t>
        </is>
      </c>
      <c r="BA231" s="20" t="inlineStr">
        <is>
          <t>None</t>
        </is>
      </c>
      <c r="BB231" s="17" t="n"/>
      <c r="BC231" s="16" t="n"/>
      <c r="BD231" s="20" t="inlineStr">
        <is>
          <t>IC Kationen</t>
        </is>
      </c>
      <c r="BE231" s="20" t="inlineStr">
        <is>
          <t>None</t>
        </is>
      </c>
      <c r="BF231" s="17" t="n"/>
      <c r="BG231" s="16" t="n"/>
      <c r="BH231" s="20" t="inlineStr">
        <is>
          <t>IC Kationen</t>
        </is>
      </c>
      <c r="BI231" s="20" t="inlineStr">
        <is>
          <t>None</t>
        </is>
      </c>
      <c r="BJ231" s="17" t="n"/>
      <c r="BK231" s="16" t="n"/>
      <c r="BL231" s="20" t="inlineStr">
        <is>
          <t>IC Kationen</t>
        </is>
      </c>
      <c r="BM231" s="20" t="inlineStr">
        <is>
          <t>None</t>
        </is>
      </c>
      <c r="BN231" s="17" t="n"/>
      <c r="BO231" s="16" t="n"/>
      <c r="BP231" s="20" t="inlineStr">
        <is>
          <t>IC Kationen</t>
        </is>
      </c>
      <c r="BQ231" s="20" t="inlineStr">
        <is>
          <t>None</t>
        </is>
      </c>
      <c r="BR231" s="17" t="n"/>
      <c r="BS231" s="16" t="n"/>
      <c r="BT231" s="20" t="inlineStr">
        <is>
          <t>IC Kationen</t>
        </is>
      </c>
      <c r="BU231" s="20" t="inlineStr">
        <is>
          <t>None</t>
        </is>
      </c>
      <c r="BV231" s="17" t="n"/>
      <c r="BW231" s="16" t="n"/>
      <c r="BX231" s="20" t="n"/>
      <c r="BY231" s="20" t="inlineStr">
        <is>
          <t>None</t>
        </is>
      </c>
      <c r="BZ231" s="17" t="n"/>
      <c r="CA231" s="16" t="n"/>
      <c r="CB231" s="20" t="n"/>
      <c r="CC231" s="20" t="inlineStr">
        <is>
          <t>None</t>
        </is>
      </c>
      <c r="CD231" s="17" t="n"/>
      <c r="CE231" s="16" t="n"/>
      <c r="CF231" s="20" t="n"/>
      <c r="CG231" s="20" t="inlineStr">
        <is>
          <t>None</t>
        </is>
      </c>
      <c r="CH231" s="17" t="n"/>
      <c r="CI231" s="16" t="n"/>
      <c r="CJ231" s="20" t="n"/>
      <c r="CK231" s="20" t="inlineStr">
        <is>
          <t>None</t>
        </is>
      </c>
      <c r="CL231" s="17" t="n"/>
      <c r="CM231" s="16" t="n"/>
      <c r="CN231" s="20" t="inlineStr">
        <is>
          <t>SOP 45-34</t>
        </is>
      </c>
      <c r="CO231" s="20" t="inlineStr">
        <is>
          <t>None</t>
        </is>
      </c>
      <c r="CP231" s="17" t="n"/>
      <c r="CQ231" s="16" t="n"/>
      <c r="CR231" s="20" t="n"/>
      <c r="CS231" s="20" t="inlineStr">
        <is>
          <t>None</t>
        </is>
      </c>
      <c r="CT231" s="17" t="n"/>
      <c r="CU231" s="16" t="n"/>
      <c r="CV231" s="20" t="n"/>
      <c r="CW231" s="20" t="inlineStr">
        <is>
          <t>None</t>
        </is>
      </c>
      <c r="CX231" s="17" t="n"/>
      <c r="CY231" s="16" t="n"/>
      <c r="CZ231" s="20" t="inlineStr">
        <is>
          <t>WTW Multimeter 3430 with FDO 925</t>
        </is>
      </c>
      <c r="DA231" s="20" t="inlineStr">
        <is>
          <t>None</t>
        </is>
      </c>
      <c r="DB231" s="17" t="n"/>
      <c r="DC231" s="16" t="n"/>
      <c r="DD231" s="20" t="n"/>
      <c r="DE231" s="20" t="inlineStr">
        <is>
          <t>None</t>
        </is>
      </c>
      <c r="DF231" s="17" t="n"/>
      <c r="DG231" s="16" t="n"/>
      <c r="DH231" s="20" t="inlineStr">
        <is>
          <t>SOP 45-09</t>
        </is>
      </c>
      <c r="DI231" s="20" t="inlineStr">
        <is>
          <t>None</t>
        </is>
      </c>
      <c r="DJ231" s="17" t="n"/>
      <c r="DK231" s="16" t="n"/>
      <c r="DL231" s="20" t="inlineStr">
        <is>
          <t>SOP 45-09 (SOP muss noch angepasst werden für VSS)</t>
        </is>
      </c>
      <c r="DM231" s="20" t="inlineStr">
        <is>
          <t>None</t>
        </is>
      </c>
      <c r="DN231" s="17" t="n"/>
      <c r="DO231" s="16" t="n"/>
      <c r="DP231" s="20" t="inlineStr">
        <is>
          <t>IC Organic Acids</t>
        </is>
      </c>
      <c r="DQ231" s="20" t="inlineStr">
        <is>
          <t>None</t>
        </is>
      </c>
      <c r="DR231" s="17" t="n"/>
      <c r="DS231" s="16" t="n"/>
      <c r="DT231" s="20" t="inlineStr">
        <is>
          <t>IC Organic Acids</t>
        </is>
      </c>
      <c r="DU231" s="20" t="inlineStr">
        <is>
          <t>None</t>
        </is>
      </c>
      <c r="DV231" s="17" t="n"/>
      <c r="DW231" s="16" t="n"/>
      <c r="DX231" s="20" t="inlineStr">
        <is>
          <t>IC Organic Acids</t>
        </is>
      </c>
      <c r="DY231" s="20" t="inlineStr">
        <is>
          <t>None</t>
        </is>
      </c>
      <c r="DZ231" s="17" t="n"/>
      <c r="EA231" s="16" t="n"/>
      <c r="EB231" s="20" t="inlineStr">
        <is>
          <t>IC Organic Acids</t>
        </is>
      </c>
      <c r="EC231" s="20" t="inlineStr">
        <is>
          <t>None</t>
        </is>
      </c>
      <c r="ED231" s="17" t="n"/>
      <c r="EE231" s="16" t="n"/>
      <c r="EF231" s="20" t="inlineStr">
        <is>
          <t>IC Organic Acids</t>
        </is>
      </c>
      <c r="EG231" s="20" t="inlineStr">
        <is>
          <t>None</t>
        </is>
      </c>
      <c r="EH231" s="17" t="n"/>
      <c r="EI231" s="16" t="n"/>
      <c r="EJ231" s="20" t="inlineStr">
        <is>
          <t>IC Organic Acids</t>
        </is>
      </c>
      <c r="EK231" s="20" t="inlineStr">
        <is>
          <t>None</t>
        </is>
      </c>
      <c r="EL231" s="17" t="n"/>
      <c r="EM231" s="16" t="n"/>
      <c r="EN231" s="20" t="inlineStr">
        <is>
          <t>IC Organic Acids</t>
        </is>
      </c>
      <c r="EO231" s="20" t="inlineStr">
        <is>
          <t>None</t>
        </is>
      </c>
      <c r="EP231" s="17" t="n"/>
      <c r="EQ231" s="16" t="n"/>
      <c r="ER231" s="20" t="inlineStr">
        <is>
          <t>IC Organic Acids</t>
        </is>
      </c>
      <c r="ES231" s="20" t="inlineStr">
        <is>
          <t>None</t>
        </is>
      </c>
      <c r="ET231" s="17" t="n"/>
      <c r="EU231" s="16" t="n"/>
      <c r="EV231" s="20" t="inlineStr">
        <is>
          <t>LC-MS</t>
        </is>
      </c>
      <c r="EW231" s="20" t="inlineStr">
        <is>
          <t>None</t>
        </is>
      </c>
      <c r="EX231" s="17" t="n"/>
      <c r="EY231" s="21" t="n"/>
      <c r="EZ231">
        <f>CONCATENATE(A231,B231)</f>
        <v/>
      </c>
      <c r="FA231">
        <f>CONCATENATE(SamplesX!A231,SamplesX!B231)</f>
        <v/>
      </c>
      <c r="FC231">
        <f>MATCH(EZ231,FA1:FA1008,0)</f>
        <v/>
      </c>
    </row>
    <row r="232">
      <c r="A232" s="16" t="inlineStr">
        <is>
          <t>BP</t>
        </is>
      </c>
      <c r="B232" s="17" t="inlineStr">
        <is>
          <t>25224</t>
        </is>
      </c>
      <c r="C232" s="10">
        <f>IF(ISNUMBER(FC232),INDIRECT("SamplesX!C"&amp;FC232),IF(ISNUMBER(FD232),INDIRECT("SamplesY!C"&amp;FD232),""))</f>
        <v/>
      </c>
      <c r="D232" s="12">
        <f>IF(ISNUMBER(FC232),INDIRECT("SamplesX!D"&amp;FC232),IF(ISNUMBER(FD232),INDIRECT("SamplesY!D"&amp;FD232),""))</f>
        <v/>
      </c>
      <c r="E232" s="12">
        <f>IF(ISNUMBER(FC232),INDIRECT("SamplesX!E"&amp;FC232),IF(ISNUMBER(FD232),INDIRECT("SamplesY!E"&amp;FD232),""))</f>
        <v/>
      </c>
      <c r="F232" s="11">
        <f>IF(ISNUMBER(FC232),INDIRECT("SamplesX!F"&amp;FC232),IF(ISNUMBER(FD232),INDIRECT("SamplesY!F"&amp;FD232),""))</f>
        <v/>
      </c>
      <c r="G232" s="18">
        <f>IF(ISNUMBER(FC232),INDIRECT("SamplesX!G"&amp;FC232),IF(ISNUMBER(FD232),INDIRECT("SamplesY!G"&amp;FD232),""))</f>
        <v/>
      </c>
      <c r="H232" s="19">
        <f>IF(ISNUMBER(FC232),INDIRECT("SamplesX!H"&amp;FC232),IF(ISNUMBER(FD232),INDIRECT("SamplesY!H"&amp;FD232),""))</f>
        <v/>
      </c>
      <c r="I232" s="16" t="n"/>
      <c r="J232" s="16" t="n"/>
      <c r="K232" s="16" t="n"/>
      <c r="L232" s="20" t="n"/>
      <c r="M232" s="20" t="inlineStr">
        <is>
          <t>None</t>
        </is>
      </c>
      <c r="N232" s="17" t="n"/>
      <c r="O232" s="16" t="n"/>
      <c r="P232" s="20" t="inlineStr">
        <is>
          <t>Shimadzu TOC-L</t>
        </is>
      </c>
      <c r="Q232" s="20" t="inlineStr">
        <is>
          <t>None</t>
        </is>
      </c>
      <c r="R232" s="17" t="n"/>
      <c r="S232" s="16" t="n"/>
      <c r="T232" s="20" t="inlineStr">
        <is>
          <t>Shimadzu TOC-L</t>
        </is>
      </c>
      <c r="U232" s="20" t="inlineStr">
        <is>
          <t>None</t>
        </is>
      </c>
      <c r="V232" s="17" t="n"/>
      <c r="W232" s="16" t="n"/>
      <c r="X232" s="20" t="n"/>
      <c r="Y232" s="20" t="inlineStr">
        <is>
          <t>None</t>
        </is>
      </c>
      <c r="Z232" s="17" t="n"/>
      <c r="AA232" s="16" t="n"/>
      <c r="AB232" s="20" t="n"/>
      <c r="AC232" s="20" t="inlineStr">
        <is>
          <t>None</t>
        </is>
      </c>
      <c r="AD232" s="17" t="n"/>
      <c r="AE232" s="16" t="n"/>
      <c r="AF232" s="20" t="inlineStr">
        <is>
          <t>IC Anionen</t>
        </is>
      </c>
      <c r="AG232" s="20" t="inlineStr">
        <is>
          <t>None</t>
        </is>
      </c>
      <c r="AH232" s="17" t="n"/>
      <c r="AI232" s="16" t="n"/>
      <c r="AJ232" s="20" t="n"/>
      <c r="AK232" s="20" t="inlineStr">
        <is>
          <t>None</t>
        </is>
      </c>
      <c r="AL232" s="17" t="n"/>
      <c r="AM232" s="16" t="n"/>
      <c r="AN232" s="20" t="inlineStr">
        <is>
          <t>IC Anionen</t>
        </is>
      </c>
      <c r="AO232" s="20" t="inlineStr">
        <is>
          <t>None</t>
        </is>
      </c>
      <c r="AP232" s="17" t="n"/>
      <c r="AQ232" s="16" t="n"/>
      <c r="AR232" s="20" t="n"/>
      <c r="AS232" s="20" t="inlineStr">
        <is>
          <t>None</t>
        </is>
      </c>
      <c r="AT232" s="17" t="n"/>
      <c r="AU232" s="16" t="n"/>
      <c r="AV232" s="20" t="inlineStr">
        <is>
          <t>IC Anionen</t>
        </is>
      </c>
      <c r="AW232" s="20" t="inlineStr">
        <is>
          <t>None</t>
        </is>
      </c>
      <c r="AX232" s="17" t="n"/>
      <c r="AY232" s="16" t="n"/>
      <c r="AZ232" s="20" t="inlineStr">
        <is>
          <t>IC Anionen</t>
        </is>
      </c>
      <c r="BA232" s="20" t="inlineStr">
        <is>
          <t>None</t>
        </is>
      </c>
      <c r="BB232" s="17" t="n"/>
      <c r="BC232" s="16" t="n"/>
      <c r="BD232" s="20" t="inlineStr">
        <is>
          <t>IC Kationen</t>
        </is>
      </c>
      <c r="BE232" s="20" t="inlineStr">
        <is>
          <t>None</t>
        </is>
      </c>
      <c r="BF232" s="17" t="n"/>
      <c r="BG232" s="16" t="n"/>
      <c r="BH232" s="20" t="inlineStr">
        <is>
          <t>IC Kationen</t>
        </is>
      </c>
      <c r="BI232" s="20" t="inlineStr">
        <is>
          <t>None</t>
        </is>
      </c>
      <c r="BJ232" s="17" t="n"/>
      <c r="BK232" s="16" t="n"/>
      <c r="BL232" s="20" t="inlineStr">
        <is>
          <t>IC Kationen</t>
        </is>
      </c>
      <c r="BM232" s="20" t="inlineStr">
        <is>
          <t>None</t>
        </is>
      </c>
      <c r="BN232" s="17" t="n"/>
      <c r="BO232" s="16" t="n"/>
      <c r="BP232" s="20" t="inlineStr">
        <is>
          <t>IC Kationen</t>
        </is>
      </c>
      <c r="BQ232" s="20" t="inlineStr">
        <is>
          <t>None</t>
        </is>
      </c>
      <c r="BR232" s="17" t="n"/>
      <c r="BS232" s="16" t="n"/>
      <c r="BT232" s="20" t="inlineStr">
        <is>
          <t>IC Kationen</t>
        </is>
      </c>
      <c r="BU232" s="20" t="inlineStr">
        <is>
          <t>None</t>
        </is>
      </c>
      <c r="BV232" s="17" t="n"/>
      <c r="BW232" s="16" t="n"/>
      <c r="BX232" s="20" t="n"/>
      <c r="BY232" s="20" t="inlineStr">
        <is>
          <t>None</t>
        </is>
      </c>
      <c r="BZ232" s="17" t="n"/>
      <c r="CA232" s="16" t="n"/>
      <c r="CB232" s="20" t="n"/>
      <c r="CC232" s="20" t="inlineStr">
        <is>
          <t>None</t>
        </is>
      </c>
      <c r="CD232" s="17" t="n"/>
      <c r="CE232" s="16" t="n"/>
      <c r="CF232" s="20" t="n"/>
      <c r="CG232" s="20" t="inlineStr">
        <is>
          <t>None</t>
        </is>
      </c>
      <c r="CH232" s="17" t="n"/>
      <c r="CI232" s="16" t="n"/>
      <c r="CJ232" s="20" t="n"/>
      <c r="CK232" s="20" t="inlineStr">
        <is>
          <t>None</t>
        </is>
      </c>
      <c r="CL232" s="17" t="n"/>
      <c r="CM232" s="16" t="n"/>
      <c r="CN232" s="20" t="inlineStr">
        <is>
          <t>SOP 45-34</t>
        </is>
      </c>
      <c r="CO232" s="20" t="inlineStr">
        <is>
          <t>None</t>
        </is>
      </c>
      <c r="CP232" s="17" t="n"/>
      <c r="CQ232" s="16" t="n"/>
      <c r="CR232" s="20" t="n"/>
      <c r="CS232" s="20" t="inlineStr">
        <is>
          <t>None</t>
        </is>
      </c>
      <c r="CT232" s="17" t="n"/>
      <c r="CU232" s="16" t="n"/>
      <c r="CV232" s="20" t="n"/>
      <c r="CW232" s="20" t="inlineStr">
        <is>
          <t>None</t>
        </is>
      </c>
      <c r="CX232" s="17" t="n"/>
      <c r="CY232" s="16" t="n"/>
      <c r="CZ232" s="20" t="inlineStr">
        <is>
          <t>WTW Multimeter 3430 with FDO 925</t>
        </is>
      </c>
      <c r="DA232" s="20" t="inlineStr">
        <is>
          <t>None</t>
        </is>
      </c>
      <c r="DB232" s="17" t="n"/>
      <c r="DC232" s="16" t="n"/>
      <c r="DD232" s="20" t="n"/>
      <c r="DE232" s="20" t="inlineStr">
        <is>
          <t>None</t>
        </is>
      </c>
      <c r="DF232" s="17" t="n"/>
      <c r="DG232" s="16" t="n"/>
      <c r="DH232" s="20" t="inlineStr">
        <is>
          <t>SOP 45-09</t>
        </is>
      </c>
      <c r="DI232" s="20" t="inlineStr">
        <is>
          <t>None</t>
        </is>
      </c>
      <c r="DJ232" s="17" t="n"/>
      <c r="DK232" s="16" t="n"/>
      <c r="DL232" s="20" t="inlineStr">
        <is>
          <t>SOP 45-09 (SOP muss noch angepasst werden für VSS)</t>
        </is>
      </c>
      <c r="DM232" s="20" t="inlineStr">
        <is>
          <t>None</t>
        </is>
      </c>
      <c r="DN232" s="17" t="n"/>
      <c r="DO232" s="16" t="n"/>
      <c r="DP232" s="20" t="inlineStr">
        <is>
          <t>IC Organic Acids</t>
        </is>
      </c>
      <c r="DQ232" s="20" t="inlineStr">
        <is>
          <t>None</t>
        </is>
      </c>
      <c r="DR232" s="17" t="n"/>
      <c r="DS232" s="16" t="n"/>
      <c r="DT232" s="20" t="inlineStr">
        <is>
          <t>IC Organic Acids</t>
        </is>
      </c>
      <c r="DU232" s="20" t="inlineStr">
        <is>
          <t>None</t>
        </is>
      </c>
      <c r="DV232" s="17" t="n"/>
      <c r="DW232" s="16" t="n"/>
      <c r="DX232" s="20" t="inlineStr">
        <is>
          <t>IC Organic Acids</t>
        </is>
      </c>
      <c r="DY232" s="20" t="inlineStr">
        <is>
          <t>None</t>
        </is>
      </c>
      <c r="DZ232" s="17" t="n"/>
      <c r="EA232" s="16" t="n"/>
      <c r="EB232" s="20" t="inlineStr">
        <is>
          <t>IC Organic Acids</t>
        </is>
      </c>
      <c r="EC232" s="20" t="inlineStr">
        <is>
          <t>None</t>
        </is>
      </c>
      <c r="ED232" s="17" t="n"/>
      <c r="EE232" s="16" t="n"/>
      <c r="EF232" s="20" t="inlineStr">
        <is>
          <t>IC Organic Acids</t>
        </is>
      </c>
      <c r="EG232" s="20" t="inlineStr">
        <is>
          <t>None</t>
        </is>
      </c>
      <c r="EH232" s="17" t="n"/>
      <c r="EI232" s="16" t="n"/>
      <c r="EJ232" s="20" t="inlineStr">
        <is>
          <t>IC Organic Acids</t>
        </is>
      </c>
      <c r="EK232" s="20" t="inlineStr">
        <is>
          <t>None</t>
        </is>
      </c>
      <c r="EL232" s="17" t="n"/>
      <c r="EM232" s="16" t="n"/>
      <c r="EN232" s="20" t="inlineStr">
        <is>
          <t>IC Organic Acids</t>
        </is>
      </c>
      <c r="EO232" s="20" t="inlineStr">
        <is>
          <t>None</t>
        </is>
      </c>
      <c r="EP232" s="17" t="n"/>
      <c r="EQ232" s="16" t="n"/>
      <c r="ER232" s="20" t="inlineStr">
        <is>
          <t>IC Organic Acids</t>
        </is>
      </c>
      <c r="ES232" s="20" t="inlineStr">
        <is>
          <t>None</t>
        </is>
      </c>
      <c r="ET232" s="17" t="n"/>
      <c r="EU232" s="16" t="n"/>
      <c r="EV232" s="20" t="inlineStr">
        <is>
          <t>LC-MS</t>
        </is>
      </c>
      <c r="EW232" s="20" t="inlineStr">
        <is>
          <t>None</t>
        </is>
      </c>
      <c r="EX232" s="17" t="n"/>
      <c r="EY232" s="21" t="n"/>
      <c r="EZ232">
        <f>CONCATENATE(A232,B232)</f>
        <v/>
      </c>
      <c r="FA232">
        <f>CONCATENATE(SamplesX!A232,SamplesX!B232)</f>
        <v/>
      </c>
      <c r="FC232">
        <f>MATCH(EZ232,FA1:FA1008,0)</f>
        <v/>
      </c>
    </row>
    <row r="233">
      <c r="A233" s="16" t="inlineStr">
        <is>
          <t>BP</t>
        </is>
      </c>
      <c r="B233" s="17" t="inlineStr">
        <is>
          <t>25225</t>
        </is>
      </c>
      <c r="C233" s="10">
        <f>IF(ISNUMBER(FC233),INDIRECT("SamplesX!C"&amp;FC233),IF(ISNUMBER(FD233),INDIRECT("SamplesY!C"&amp;FD233),""))</f>
        <v/>
      </c>
      <c r="D233" s="12">
        <f>IF(ISNUMBER(FC233),INDIRECT("SamplesX!D"&amp;FC233),IF(ISNUMBER(FD233),INDIRECT("SamplesY!D"&amp;FD233),""))</f>
        <v/>
      </c>
      <c r="E233" s="12">
        <f>IF(ISNUMBER(FC233),INDIRECT("SamplesX!E"&amp;FC233),IF(ISNUMBER(FD233),INDIRECT("SamplesY!E"&amp;FD233),""))</f>
        <v/>
      </c>
      <c r="F233" s="11">
        <f>IF(ISNUMBER(FC233),INDIRECT("SamplesX!F"&amp;FC233),IF(ISNUMBER(FD233),INDIRECT("SamplesY!F"&amp;FD233),""))</f>
        <v/>
      </c>
      <c r="G233" s="18">
        <f>IF(ISNUMBER(FC233),INDIRECT("SamplesX!G"&amp;FC233),IF(ISNUMBER(FD233),INDIRECT("SamplesY!G"&amp;FD233),""))</f>
        <v/>
      </c>
      <c r="H233" s="19">
        <f>IF(ISNUMBER(FC233),INDIRECT("SamplesX!H"&amp;FC233),IF(ISNUMBER(FD233),INDIRECT("SamplesY!H"&amp;FD233),""))</f>
        <v/>
      </c>
      <c r="I233" s="16" t="n"/>
      <c r="J233" s="16" t="n"/>
      <c r="K233" s="16" t="n"/>
      <c r="L233" s="20" t="n"/>
      <c r="M233" s="20" t="inlineStr">
        <is>
          <t>None</t>
        </is>
      </c>
      <c r="N233" s="17" t="n"/>
      <c r="O233" s="16" t="n"/>
      <c r="P233" s="20" t="inlineStr">
        <is>
          <t>Shimadzu TOC-L</t>
        </is>
      </c>
      <c r="Q233" s="20" t="inlineStr">
        <is>
          <t>None</t>
        </is>
      </c>
      <c r="R233" s="17" t="n"/>
      <c r="S233" s="16" t="n"/>
      <c r="T233" s="20" t="inlineStr">
        <is>
          <t>Shimadzu TOC-L</t>
        </is>
      </c>
      <c r="U233" s="20" t="inlineStr">
        <is>
          <t>None</t>
        </is>
      </c>
      <c r="V233" s="17" t="n"/>
      <c r="W233" s="16" t="n"/>
      <c r="X233" s="20" t="n"/>
      <c r="Y233" s="20" t="inlineStr">
        <is>
          <t>None</t>
        </is>
      </c>
      <c r="Z233" s="17" t="n"/>
      <c r="AA233" s="16" t="n"/>
      <c r="AB233" s="20" t="n"/>
      <c r="AC233" s="20" t="inlineStr">
        <is>
          <t>None</t>
        </is>
      </c>
      <c r="AD233" s="17" t="n"/>
      <c r="AE233" s="16" t="n"/>
      <c r="AF233" s="20" t="inlineStr">
        <is>
          <t>IC Anionen</t>
        </is>
      </c>
      <c r="AG233" s="20" t="inlineStr">
        <is>
          <t>None</t>
        </is>
      </c>
      <c r="AH233" s="17" t="n"/>
      <c r="AI233" s="16" t="n"/>
      <c r="AJ233" s="20" t="n"/>
      <c r="AK233" s="20" t="inlineStr">
        <is>
          <t>None</t>
        </is>
      </c>
      <c r="AL233" s="17" t="n"/>
      <c r="AM233" s="16" t="n"/>
      <c r="AN233" s="20" t="inlineStr">
        <is>
          <t>IC Anionen</t>
        </is>
      </c>
      <c r="AO233" s="20" t="inlineStr">
        <is>
          <t>None</t>
        </is>
      </c>
      <c r="AP233" s="17" t="n"/>
      <c r="AQ233" s="16" t="n"/>
      <c r="AR233" s="20" t="n"/>
      <c r="AS233" s="20" t="inlineStr">
        <is>
          <t>None</t>
        </is>
      </c>
      <c r="AT233" s="17" t="n"/>
      <c r="AU233" s="16" t="n"/>
      <c r="AV233" s="20" t="inlineStr">
        <is>
          <t>IC Anionen</t>
        </is>
      </c>
      <c r="AW233" s="20" t="inlineStr">
        <is>
          <t>None</t>
        </is>
      </c>
      <c r="AX233" s="17" t="n"/>
      <c r="AY233" s="16" t="n"/>
      <c r="AZ233" s="20" t="inlineStr">
        <is>
          <t>IC Anionen</t>
        </is>
      </c>
      <c r="BA233" s="20" t="inlineStr">
        <is>
          <t>None</t>
        </is>
      </c>
      <c r="BB233" s="17" t="n"/>
      <c r="BC233" s="16" t="n"/>
      <c r="BD233" s="20" t="inlineStr">
        <is>
          <t>IC Kationen</t>
        </is>
      </c>
      <c r="BE233" s="20" t="inlineStr">
        <is>
          <t>None</t>
        </is>
      </c>
      <c r="BF233" s="17" t="n"/>
      <c r="BG233" s="16" t="n"/>
      <c r="BH233" s="20" t="inlineStr">
        <is>
          <t>IC Kationen</t>
        </is>
      </c>
      <c r="BI233" s="20" t="inlineStr">
        <is>
          <t>None</t>
        </is>
      </c>
      <c r="BJ233" s="17" t="n"/>
      <c r="BK233" s="16" t="n"/>
      <c r="BL233" s="20" t="inlineStr">
        <is>
          <t>IC Kationen</t>
        </is>
      </c>
      <c r="BM233" s="20" t="inlineStr">
        <is>
          <t>None</t>
        </is>
      </c>
      <c r="BN233" s="17" t="n"/>
      <c r="BO233" s="16" t="n"/>
      <c r="BP233" s="20" t="inlineStr">
        <is>
          <t>IC Kationen</t>
        </is>
      </c>
      <c r="BQ233" s="20" t="inlineStr">
        <is>
          <t>None</t>
        </is>
      </c>
      <c r="BR233" s="17" t="n"/>
      <c r="BS233" s="16" t="n"/>
      <c r="BT233" s="20" t="inlineStr">
        <is>
          <t>IC Kationen</t>
        </is>
      </c>
      <c r="BU233" s="20" t="inlineStr">
        <is>
          <t>None</t>
        </is>
      </c>
      <c r="BV233" s="17" t="n"/>
      <c r="BW233" s="16" t="n"/>
      <c r="BX233" s="20" t="n"/>
      <c r="BY233" s="20" t="inlineStr">
        <is>
          <t>None</t>
        </is>
      </c>
      <c r="BZ233" s="17" t="n"/>
      <c r="CA233" s="16" t="n"/>
      <c r="CB233" s="20" t="n"/>
      <c r="CC233" s="20" t="inlineStr">
        <is>
          <t>None</t>
        </is>
      </c>
      <c r="CD233" s="17" t="n"/>
      <c r="CE233" s="16" t="n"/>
      <c r="CF233" s="20" t="n"/>
      <c r="CG233" s="20" t="inlineStr">
        <is>
          <t>None</t>
        </is>
      </c>
      <c r="CH233" s="17" t="n"/>
      <c r="CI233" s="16" t="n"/>
      <c r="CJ233" s="20" t="n"/>
      <c r="CK233" s="20" t="inlineStr">
        <is>
          <t>None</t>
        </is>
      </c>
      <c r="CL233" s="17" t="n"/>
      <c r="CM233" s="16" t="n"/>
      <c r="CN233" s="20" t="inlineStr">
        <is>
          <t>SOP 45-34</t>
        </is>
      </c>
      <c r="CO233" s="20" t="inlineStr">
        <is>
          <t>None</t>
        </is>
      </c>
      <c r="CP233" s="17" t="n"/>
      <c r="CQ233" s="16" t="n"/>
      <c r="CR233" s="20" t="n"/>
      <c r="CS233" s="20" t="inlineStr">
        <is>
          <t>None</t>
        </is>
      </c>
      <c r="CT233" s="17" t="n"/>
      <c r="CU233" s="16" t="n"/>
      <c r="CV233" s="20" t="n"/>
      <c r="CW233" s="20" t="inlineStr">
        <is>
          <t>None</t>
        </is>
      </c>
      <c r="CX233" s="17" t="n"/>
      <c r="CY233" s="16" t="n"/>
      <c r="CZ233" s="20" t="inlineStr">
        <is>
          <t>WTW Multimeter 3430 with FDO 925</t>
        </is>
      </c>
      <c r="DA233" s="20" t="inlineStr">
        <is>
          <t>None</t>
        </is>
      </c>
      <c r="DB233" s="17" t="n"/>
      <c r="DC233" s="16" t="n"/>
      <c r="DD233" s="20" t="n"/>
      <c r="DE233" s="20" t="inlineStr">
        <is>
          <t>None</t>
        </is>
      </c>
      <c r="DF233" s="17" t="n"/>
      <c r="DG233" s="16" t="n"/>
      <c r="DH233" s="20" t="inlineStr">
        <is>
          <t>SOP 45-09</t>
        </is>
      </c>
      <c r="DI233" s="20" t="inlineStr">
        <is>
          <t>None</t>
        </is>
      </c>
      <c r="DJ233" s="17" t="n"/>
      <c r="DK233" s="16" t="n"/>
      <c r="DL233" s="20" t="inlineStr">
        <is>
          <t>SOP 45-09 (SOP muss noch angepasst werden für VSS)</t>
        </is>
      </c>
      <c r="DM233" s="20" t="inlineStr">
        <is>
          <t>None</t>
        </is>
      </c>
      <c r="DN233" s="17" t="n"/>
      <c r="DO233" s="16" t="n"/>
      <c r="DP233" s="20" t="inlineStr">
        <is>
          <t>IC Organic Acids</t>
        </is>
      </c>
      <c r="DQ233" s="20" t="inlineStr">
        <is>
          <t>None</t>
        </is>
      </c>
      <c r="DR233" s="17" t="n"/>
      <c r="DS233" s="16" t="n"/>
      <c r="DT233" s="20" t="inlineStr">
        <is>
          <t>IC Organic Acids</t>
        </is>
      </c>
      <c r="DU233" s="20" t="inlineStr">
        <is>
          <t>None</t>
        </is>
      </c>
      <c r="DV233" s="17" t="n"/>
      <c r="DW233" s="16" t="n"/>
      <c r="DX233" s="20" t="inlineStr">
        <is>
          <t>IC Organic Acids</t>
        </is>
      </c>
      <c r="DY233" s="20" t="inlineStr">
        <is>
          <t>None</t>
        </is>
      </c>
      <c r="DZ233" s="17" t="n"/>
      <c r="EA233" s="16" t="n"/>
      <c r="EB233" s="20" t="inlineStr">
        <is>
          <t>IC Organic Acids</t>
        </is>
      </c>
      <c r="EC233" s="20" t="inlineStr">
        <is>
          <t>None</t>
        </is>
      </c>
      <c r="ED233" s="17" t="n"/>
      <c r="EE233" s="16" t="n"/>
      <c r="EF233" s="20" t="inlineStr">
        <is>
          <t>IC Organic Acids</t>
        </is>
      </c>
      <c r="EG233" s="20" t="inlineStr">
        <is>
          <t>None</t>
        </is>
      </c>
      <c r="EH233" s="17" t="n"/>
      <c r="EI233" s="16" t="n"/>
      <c r="EJ233" s="20" t="inlineStr">
        <is>
          <t>IC Organic Acids</t>
        </is>
      </c>
      <c r="EK233" s="20" t="inlineStr">
        <is>
          <t>None</t>
        </is>
      </c>
      <c r="EL233" s="17" t="n"/>
      <c r="EM233" s="16" t="n"/>
      <c r="EN233" s="20" t="inlineStr">
        <is>
          <t>IC Organic Acids</t>
        </is>
      </c>
      <c r="EO233" s="20" t="inlineStr">
        <is>
          <t>None</t>
        </is>
      </c>
      <c r="EP233" s="17" t="n"/>
      <c r="EQ233" s="16" t="n"/>
      <c r="ER233" s="20" t="inlineStr">
        <is>
          <t>IC Organic Acids</t>
        </is>
      </c>
      <c r="ES233" s="20" t="inlineStr">
        <is>
          <t>None</t>
        </is>
      </c>
      <c r="ET233" s="17" t="n"/>
      <c r="EU233" s="16" t="n"/>
      <c r="EV233" s="20" t="inlineStr">
        <is>
          <t>LC-MS</t>
        </is>
      </c>
      <c r="EW233" s="20" t="inlineStr">
        <is>
          <t>None</t>
        </is>
      </c>
      <c r="EX233" s="17" t="n"/>
      <c r="EY233" s="21" t="n"/>
      <c r="EZ233">
        <f>CONCATENATE(A233,B233)</f>
        <v/>
      </c>
      <c r="FA233">
        <f>CONCATENATE(SamplesX!A233,SamplesX!B233)</f>
        <v/>
      </c>
      <c r="FC233">
        <f>MATCH(EZ233,FA1:FA1008,0)</f>
        <v/>
      </c>
    </row>
    <row r="234">
      <c r="A234" s="16" t="inlineStr">
        <is>
          <t>BP</t>
        </is>
      </c>
      <c r="B234" s="17" t="inlineStr">
        <is>
          <t>25226</t>
        </is>
      </c>
      <c r="C234" s="10">
        <f>IF(ISNUMBER(FC234),INDIRECT("SamplesX!C"&amp;FC234),IF(ISNUMBER(FD234),INDIRECT("SamplesY!C"&amp;FD234),""))</f>
        <v/>
      </c>
      <c r="D234" s="12">
        <f>IF(ISNUMBER(FC234),INDIRECT("SamplesX!D"&amp;FC234),IF(ISNUMBER(FD234),INDIRECT("SamplesY!D"&amp;FD234),""))</f>
        <v/>
      </c>
      <c r="E234" s="12">
        <f>IF(ISNUMBER(FC234),INDIRECT("SamplesX!E"&amp;FC234),IF(ISNUMBER(FD234),INDIRECT("SamplesY!E"&amp;FD234),""))</f>
        <v/>
      </c>
      <c r="F234" s="11">
        <f>IF(ISNUMBER(FC234),INDIRECT("SamplesX!F"&amp;FC234),IF(ISNUMBER(FD234),INDIRECT("SamplesY!F"&amp;FD234),""))</f>
        <v/>
      </c>
      <c r="G234" s="18">
        <f>IF(ISNUMBER(FC234),INDIRECT("SamplesX!G"&amp;FC234),IF(ISNUMBER(FD234),INDIRECT("SamplesY!G"&amp;FD234),""))</f>
        <v/>
      </c>
      <c r="H234" s="19">
        <f>IF(ISNUMBER(FC234),INDIRECT("SamplesX!H"&amp;FC234),IF(ISNUMBER(FD234),INDIRECT("SamplesY!H"&amp;FD234),""))</f>
        <v/>
      </c>
      <c r="I234" s="16" t="n"/>
      <c r="J234" s="16" t="n"/>
      <c r="K234" s="16" t="n"/>
      <c r="L234" s="20" t="n"/>
      <c r="M234" s="20" t="inlineStr">
        <is>
          <t>None</t>
        </is>
      </c>
      <c r="N234" s="17" t="n"/>
      <c r="O234" s="16" t="n"/>
      <c r="P234" s="20" t="inlineStr">
        <is>
          <t>Shimadzu TOC-L</t>
        </is>
      </c>
      <c r="Q234" s="20" t="inlineStr">
        <is>
          <t>None</t>
        </is>
      </c>
      <c r="R234" s="17" t="n"/>
      <c r="S234" s="16" t="n"/>
      <c r="T234" s="20" t="inlineStr">
        <is>
          <t>Shimadzu TOC-L</t>
        </is>
      </c>
      <c r="U234" s="20" t="inlineStr">
        <is>
          <t>None</t>
        </is>
      </c>
      <c r="V234" s="17" t="n"/>
      <c r="W234" s="16" t="n"/>
      <c r="X234" s="20" t="n"/>
      <c r="Y234" s="20" t="inlineStr">
        <is>
          <t>None</t>
        </is>
      </c>
      <c r="Z234" s="17" t="n"/>
      <c r="AA234" s="16" t="n"/>
      <c r="AB234" s="20" t="n"/>
      <c r="AC234" s="20" t="inlineStr">
        <is>
          <t>None</t>
        </is>
      </c>
      <c r="AD234" s="17" t="n"/>
      <c r="AE234" s="16" t="n"/>
      <c r="AF234" s="20" t="inlineStr">
        <is>
          <t>IC Anionen</t>
        </is>
      </c>
      <c r="AG234" s="20" t="inlineStr">
        <is>
          <t>None</t>
        </is>
      </c>
      <c r="AH234" s="17" t="n"/>
      <c r="AI234" s="16" t="n"/>
      <c r="AJ234" s="20" t="n"/>
      <c r="AK234" s="20" t="inlineStr">
        <is>
          <t>None</t>
        </is>
      </c>
      <c r="AL234" s="17" t="n"/>
      <c r="AM234" s="16" t="n"/>
      <c r="AN234" s="20" t="inlineStr">
        <is>
          <t>IC Anionen</t>
        </is>
      </c>
      <c r="AO234" s="20" t="inlineStr">
        <is>
          <t>None</t>
        </is>
      </c>
      <c r="AP234" s="17" t="n"/>
      <c r="AQ234" s="16" t="n"/>
      <c r="AR234" s="20" t="n"/>
      <c r="AS234" s="20" t="inlineStr">
        <is>
          <t>None</t>
        </is>
      </c>
      <c r="AT234" s="17" t="n"/>
      <c r="AU234" s="16" t="n"/>
      <c r="AV234" s="20" t="inlineStr">
        <is>
          <t>IC Anionen</t>
        </is>
      </c>
      <c r="AW234" s="20" t="inlineStr">
        <is>
          <t>None</t>
        </is>
      </c>
      <c r="AX234" s="17" t="n"/>
      <c r="AY234" s="16" t="n"/>
      <c r="AZ234" s="20" t="inlineStr">
        <is>
          <t>IC Anionen</t>
        </is>
      </c>
      <c r="BA234" s="20" t="inlineStr">
        <is>
          <t>None</t>
        </is>
      </c>
      <c r="BB234" s="17" t="n"/>
      <c r="BC234" s="16" t="n"/>
      <c r="BD234" s="20" t="inlineStr">
        <is>
          <t>IC Kationen</t>
        </is>
      </c>
      <c r="BE234" s="20" t="inlineStr">
        <is>
          <t>None</t>
        </is>
      </c>
      <c r="BF234" s="17" t="n"/>
      <c r="BG234" s="16" t="n"/>
      <c r="BH234" s="20" t="inlineStr">
        <is>
          <t>IC Kationen</t>
        </is>
      </c>
      <c r="BI234" s="20" t="inlineStr">
        <is>
          <t>None</t>
        </is>
      </c>
      <c r="BJ234" s="17" t="n"/>
      <c r="BK234" s="16" t="n"/>
      <c r="BL234" s="20" t="inlineStr">
        <is>
          <t>IC Kationen</t>
        </is>
      </c>
      <c r="BM234" s="20" t="inlineStr">
        <is>
          <t>None</t>
        </is>
      </c>
      <c r="BN234" s="17" t="n"/>
      <c r="BO234" s="16" t="n"/>
      <c r="BP234" s="20" t="inlineStr">
        <is>
          <t>IC Kationen</t>
        </is>
      </c>
      <c r="BQ234" s="20" t="inlineStr">
        <is>
          <t>None</t>
        </is>
      </c>
      <c r="BR234" s="17" t="n"/>
      <c r="BS234" s="16" t="n"/>
      <c r="BT234" s="20" t="inlineStr">
        <is>
          <t>IC Kationen</t>
        </is>
      </c>
      <c r="BU234" s="20" t="inlineStr">
        <is>
          <t>None</t>
        </is>
      </c>
      <c r="BV234" s="17" t="n"/>
      <c r="BW234" s="16" t="n"/>
      <c r="BX234" s="20" t="n"/>
      <c r="BY234" s="20" t="inlineStr">
        <is>
          <t>None</t>
        </is>
      </c>
      <c r="BZ234" s="17" t="n"/>
      <c r="CA234" s="16" t="n"/>
      <c r="CB234" s="20" t="n"/>
      <c r="CC234" s="20" t="inlineStr">
        <is>
          <t>None</t>
        </is>
      </c>
      <c r="CD234" s="17" t="n"/>
      <c r="CE234" s="16" t="n"/>
      <c r="CF234" s="20" t="n"/>
      <c r="CG234" s="20" t="inlineStr">
        <is>
          <t>None</t>
        </is>
      </c>
      <c r="CH234" s="17" t="n"/>
      <c r="CI234" s="16" t="n"/>
      <c r="CJ234" s="20" t="n"/>
      <c r="CK234" s="20" t="inlineStr">
        <is>
          <t>None</t>
        </is>
      </c>
      <c r="CL234" s="17" t="n"/>
      <c r="CM234" s="16" t="n"/>
      <c r="CN234" s="20" t="inlineStr">
        <is>
          <t>SOP 45-34</t>
        </is>
      </c>
      <c r="CO234" s="20" t="inlineStr">
        <is>
          <t>None</t>
        </is>
      </c>
      <c r="CP234" s="17" t="n"/>
      <c r="CQ234" s="16" t="n"/>
      <c r="CR234" s="20" t="n"/>
      <c r="CS234" s="20" t="inlineStr">
        <is>
          <t>None</t>
        </is>
      </c>
      <c r="CT234" s="17" t="n"/>
      <c r="CU234" s="16" t="n"/>
      <c r="CV234" s="20" t="n"/>
      <c r="CW234" s="20" t="inlineStr">
        <is>
          <t>None</t>
        </is>
      </c>
      <c r="CX234" s="17" t="n"/>
      <c r="CY234" s="16" t="n"/>
      <c r="CZ234" s="20" t="inlineStr">
        <is>
          <t>WTW Multimeter 3430 with FDO 925</t>
        </is>
      </c>
      <c r="DA234" s="20" t="inlineStr">
        <is>
          <t>None</t>
        </is>
      </c>
      <c r="DB234" s="17" t="n"/>
      <c r="DC234" s="16" t="n"/>
      <c r="DD234" s="20" t="n"/>
      <c r="DE234" s="20" t="inlineStr">
        <is>
          <t>None</t>
        </is>
      </c>
      <c r="DF234" s="17" t="n"/>
      <c r="DG234" s="16" t="n"/>
      <c r="DH234" s="20" t="inlineStr">
        <is>
          <t>SOP 45-09</t>
        </is>
      </c>
      <c r="DI234" s="20" t="inlineStr">
        <is>
          <t>None</t>
        </is>
      </c>
      <c r="DJ234" s="17" t="n"/>
      <c r="DK234" s="16" t="n"/>
      <c r="DL234" s="20" t="inlineStr">
        <is>
          <t>SOP 45-09 (SOP muss noch angepasst werden für VSS)</t>
        </is>
      </c>
      <c r="DM234" s="20" t="inlineStr">
        <is>
          <t>None</t>
        </is>
      </c>
      <c r="DN234" s="17" t="n"/>
      <c r="DO234" s="16" t="n"/>
      <c r="DP234" s="20" t="inlineStr">
        <is>
          <t>IC Organic Acids</t>
        </is>
      </c>
      <c r="DQ234" s="20" t="inlineStr">
        <is>
          <t>None</t>
        </is>
      </c>
      <c r="DR234" s="17" t="n"/>
      <c r="DS234" s="16" t="n"/>
      <c r="DT234" s="20" t="inlineStr">
        <is>
          <t>IC Organic Acids</t>
        </is>
      </c>
      <c r="DU234" s="20" t="inlineStr">
        <is>
          <t>None</t>
        </is>
      </c>
      <c r="DV234" s="17" t="n"/>
      <c r="DW234" s="16" t="n"/>
      <c r="DX234" s="20" t="inlineStr">
        <is>
          <t>IC Organic Acids</t>
        </is>
      </c>
      <c r="DY234" s="20" t="inlineStr">
        <is>
          <t>None</t>
        </is>
      </c>
      <c r="DZ234" s="17" t="n"/>
      <c r="EA234" s="16" t="n"/>
      <c r="EB234" s="20" t="inlineStr">
        <is>
          <t>IC Organic Acids</t>
        </is>
      </c>
      <c r="EC234" s="20" t="inlineStr">
        <is>
          <t>None</t>
        </is>
      </c>
      <c r="ED234" s="17" t="n"/>
      <c r="EE234" s="16" t="n"/>
      <c r="EF234" s="20" t="inlineStr">
        <is>
          <t>IC Organic Acids</t>
        </is>
      </c>
      <c r="EG234" s="20" t="inlineStr">
        <is>
          <t>None</t>
        </is>
      </c>
      <c r="EH234" s="17" t="n"/>
      <c r="EI234" s="16" t="n"/>
      <c r="EJ234" s="20" t="inlineStr">
        <is>
          <t>IC Organic Acids</t>
        </is>
      </c>
      <c r="EK234" s="20" t="inlineStr">
        <is>
          <t>None</t>
        </is>
      </c>
      <c r="EL234" s="17" t="n"/>
      <c r="EM234" s="16" t="n"/>
      <c r="EN234" s="20" t="inlineStr">
        <is>
          <t>IC Organic Acids</t>
        </is>
      </c>
      <c r="EO234" s="20" t="inlineStr">
        <is>
          <t>None</t>
        </is>
      </c>
      <c r="EP234" s="17" t="n"/>
      <c r="EQ234" s="16" t="n"/>
      <c r="ER234" s="20" t="inlineStr">
        <is>
          <t>IC Organic Acids</t>
        </is>
      </c>
      <c r="ES234" s="20" t="inlineStr">
        <is>
          <t>None</t>
        </is>
      </c>
      <c r="ET234" s="17" t="n"/>
      <c r="EU234" s="16" t="n"/>
      <c r="EV234" s="20" t="inlineStr">
        <is>
          <t>LC-MS</t>
        </is>
      </c>
      <c r="EW234" s="20" t="inlineStr">
        <is>
          <t>None</t>
        </is>
      </c>
      <c r="EX234" s="17" t="n"/>
      <c r="EY234" s="21" t="n"/>
      <c r="EZ234">
        <f>CONCATENATE(A234,B234)</f>
        <v/>
      </c>
      <c r="FA234">
        <f>CONCATENATE(SamplesX!A234,SamplesX!B234)</f>
        <v/>
      </c>
      <c r="FC234">
        <f>MATCH(EZ234,FA1:FA1008,0)</f>
        <v/>
      </c>
    </row>
    <row r="235">
      <c r="A235" s="16" t="inlineStr">
        <is>
          <t>BP</t>
        </is>
      </c>
      <c r="B235" s="17" t="inlineStr">
        <is>
          <t>25227</t>
        </is>
      </c>
      <c r="C235" s="10">
        <f>IF(ISNUMBER(FC235),INDIRECT("SamplesX!C"&amp;FC235),IF(ISNUMBER(FD235),INDIRECT("SamplesY!C"&amp;FD235),""))</f>
        <v/>
      </c>
      <c r="D235" s="12">
        <f>IF(ISNUMBER(FC235),INDIRECT("SamplesX!D"&amp;FC235),IF(ISNUMBER(FD235),INDIRECT("SamplesY!D"&amp;FD235),""))</f>
        <v/>
      </c>
      <c r="E235" s="12">
        <f>IF(ISNUMBER(FC235),INDIRECT("SamplesX!E"&amp;FC235),IF(ISNUMBER(FD235),INDIRECT("SamplesY!E"&amp;FD235),""))</f>
        <v/>
      </c>
      <c r="F235" s="11">
        <f>IF(ISNUMBER(FC235),INDIRECT("SamplesX!F"&amp;FC235),IF(ISNUMBER(FD235),INDIRECT("SamplesY!F"&amp;FD235),""))</f>
        <v/>
      </c>
      <c r="G235" s="18">
        <f>IF(ISNUMBER(FC235),INDIRECT("SamplesX!G"&amp;FC235),IF(ISNUMBER(FD235),INDIRECT("SamplesY!G"&amp;FD235),""))</f>
        <v/>
      </c>
      <c r="H235" s="19">
        <f>IF(ISNUMBER(FC235),INDIRECT("SamplesX!H"&amp;FC235),IF(ISNUMBER(FD235),INDIRECT("SamplesY!H"&amp;FD235),""))</f>
        <v/>
      </c>
      <c r="I235" s="16" t="n"/>
      <c r="J235" s="16" t="n"/>
      <c r="K235" s="16" t="n"/>
      <c r="L235" s="20" t="n"/>
      <c r="M235" s="20" t="inlineStr">
        <is>
          <t>None</t>
        </is>
      </c>
      <c r="N235" s="17" t="n"/>
      <c r="O235" s="16" t="n"/>
      <c r="P235" s="20" t="inlineStr">
        <is>
          <t>Shimadzu TOC-L</t>
        </is>
      </c>
      <c r="Q235" s="20" t="inlineStr">
        <is>
          <t>None</t>
        </is>
      </c>
      <c r="R235" s="17" t="n"/>
      <c r="S235" s="16" t="n"/>
      <c r="T235" s="20" t="inlineStr">
        <is>
          <t>Shimadzu TOC-L</t>
        </is>
      </c>
      <c r="U235" s="20" t="inlineStr">
        <is>
          <t>None</t>
        </is>
      </c>
      <c r="V235" s="17" t="n"/>
      <c r="W235" s="16" t="n"/>
      <c r="X235" s="20" t="n"/>
      <c r="Y235" s="20" t="inlineStr">
        <is>
          <t>None</t>
        </is>
      </c>
      <c r="Z235" s="17" t="n"/>
      <c r="AA235" s="16" t="n"/>
      <c r="AB235" s="20" t="n"/>
      <c r="AC235" s="20" t="inlineStr">
        <is>
          <t>None</t>
        </is>
      </c>
      <c r="AD235" s="17" t="n"/>
      <c r="AE235" s="16" t="n"/>
      <c r="AF235" s="20" t="inlineStr">
        <is>
          <t>IC Anionen</t>
        </is>
      </c>
      <c r="AG235" s="20" t="inlineStr">
        <is>
          <t>None</t>
        </is>
      </c>
      <c r="AH235" s="17" t="n"/>
      <c r="AI235" s="16" t="n"/>
      <c r="AJ235" s="20" t="n"/>
      <c r="AK235" s="20" t="inlineStr">
        <is>
          <t>None</t>
        </is>
      </c>
      <c r="AL235" s="17" t="n"/>
      <c r="AM235" s="16" t="n"/>
      <c r="AN235" s="20" t="inlineStr">
        <is>
          <t>IC Anionen</t>
        </is>
      </c>
      <c r="AO235" s="20" t="inlineStr">
        <is>
          <t>None</t>
        </is>
      </c>
      <c r="AP235" s="17" t="n"/>
      <c r="AQ235" s="16" t="n"/>
      <c r="AR235" s="20" t="n"/>
      <c r="AS235" s="20" t="inlineStr">
        <is>
          <t>None</t>
        </is>
      </c>
      <c r="AT235" s="17" t="n"/>
      <c r="AU235" s="16" t="n"/>
      <c r="AV235" s="20" t="inlineStr">
        <is>
          <t>IC Anionen</t>
        </is>
      </c>
      <c r="AW235" s="20" t="inlineStr">
        <is>
          <t>None</t>
        </is>
      </c>
      <c r="AX235" s="17" t="n"/>
      <c r="AY235" s="16" t="n"/>
      <c r="AZ235" s="20" t="inlineStr">
        <is>
          <t>IC Anionen</t>
        </is>
      </c>
      <c r="BA235" s="20" t="inlineStr">
        <is>
          <t>None</t>
        </is>
      </c>
      <c r="BB235" s="17" t="n"/>
      <c r="BC235" s="16" t="n"/>
      <c r="BD235" s="20" t="inlineStr">
        <is>
          <t>IC Kationen</t>
        </is>
      </c>
      <c r="BE235" s="20" t="inlineStr">
        <is>
          <t>None</t>
        </is>
      </c>
      <c r="BF235" s="17" t="n"/>
      <c r="BG235" s="16" t="n"/>
      <c r="BH235" s="20" t="inlineStr">
        <is>
          <t>IC Kationen</t>
        </is>
      </c>
      <c r="BI235" s="20" t="inlineStr">
        <is>
          <t>None</t>
        </is>
      </c>
      <c r="BJ235" s="17" t="n"/>
      <c r="BK235" s="16" t="n"/>
      <c r="BL235" s="20" t="inlineStr">
        <is>
          <t>IC Kationen</t>
        </is>
      </c>
      <c r="BM235" s="20" t="inlineStr">
        <is>
          <t>None</t>
        </is>
      </c>
      <c r="BN235" s="17" t="n"/>
      <c r="BO235" s="16" t="n"/>
      <c r="BP235" s="20" t="inlineStr">
        <is>
          <t>IC Kationen</t>
        </is>
      </c>
      <c r="BQ235" s="20" t="inlineStr">
        <is>
          <t>None</t>
        </is>
      </c>
      <c r="BR235" s="17" t="n"/>
      <c r="BS235" s="16" t="n"/>
      <c r="BT235" s="20" t="inlineStr">
        <is>
          <t>IC Kationen</t>
        </is>
      </c>
      <c r="BU235" s="20" t="inlineStr">
        <is>
          <t>None</t>
        </is>
      </c>
      <c r="BV235" s="17" t="n"/>
      <c r="BW235" s="16" t="n"/>
      <c r="BX235" s="20" t="n"/>
      <c r="BY235" s="20" t="inlineStr">
        <is>
          <t>None</t>
        </is>
      </c>
      <c r="BZ235" s="17" t="n"/>
      <c r="CA235" s="16" t="n"/>
      <c r="CB235" s="20" t="n"/>
      <c r="CC235" s="20" t="inlineStr">
        <is>
          <t>None</t>
        </is>
      </c>
      <c r="CD235" s="17" t="n"/>
      <c r="CE235" s="16" t="n"/>
      <c r="CF235" s="20" t="n"/>
      <c r="CG235" s="20" t="inlineStr">
        <is>
          <t>None</t>
        </is>
      </c>
      <c r="CH235" s="17" t="n"/>
      <c r="CI235" s="16" t="n"/>
      <c r="CJ235" s="20" t="n"/>
      <c r="CK235" s="20" t="inlineStr">
        <is>
          <t>None</t>
        </is>
      </c>
      <c r="CL235" s="17" t="n"/>
      <c r="CM235" s="16" t="n"/>
      <c r="CN235" s="20" t="inlineStr">
        <is>
          <t>SOP 45-34</t>
        </is>
      </c>
      <c r="CO235" s="20" t="inlineStr">
        <is>
          <t>None</t>
        </is>
      </c>
      <c r="CP235" s="17" t="n"/>
      <c r="CQ235" s="16" t="n"/>
      <c r="CR235" s="20" t="n"/>
      <c r="CS235" s="20" t="inlineStr">
        <is>
          <t>None</t>
        </is>
      </c>
      <c r="CT235" s="17" t="n"/>
      <c r="CU235" s="16" t="n"/>
      <c r="CV235" s="20" t="n"/>
      <c r="CW235" s="20" t="inlineStr">
        <is>
          <t>None</t>
        </is>
      </c>
      <c r="CX235" s="17" t="n"/>
      <c r="CY235" s="16" t="n"/>
      <c r="CZ235" s="20" t="inlineStr">
        <is>
          <t>WTW Multimeter 3430 with FDO 925</t>
        </is>
      </c>
      <c r="DA235" s="20" t="inlineStr">
        <is>
          <t>None</t>
        </is>
      </c>
      <c r="DB235" s="17" t="n"/>
      <c r="DC235" s="16" t="n"/>
      <c r="DD235" s="20" t="n"/>
      <c r="DE235" s="20" t="inlineStr">
        <is>
          <t>None</t>
        </is>
      </c>
      <c r="DF235" s="17" t="n"/>
      <c r="DG235" s="16" t="n"/>
      <c r="DH235" s="20" t="inlineStr">
        <is>
          <t>SOP 45-09</t>
        </is>
      </c>
      <c r="DI235" s="20" t="inlineStr">
        <is>
          <t>None</t>
        </is>
      </c>
      <c r="DJ235" s="17" t="n"/>
      <c r="DK235" s="16" t="n"/>
      <c r="DL235" s="20" t="inlineStr">
        <is>
          <t>SOP 45-09 (SOP muss noch angepasst werden für VSS)</t>
        </is>
      </c>
      <c r="DM235" s="20" t="inlineStr">
        <is>
          <t>None</t>
        </is>
      </c>
      <c r="DN235" s="17" t="n"/>
      <c r="DO235" s="16" t="n"/>
      <c r="DP235" s="20" t="inlineStr">
        <is>
          <t>IC Organic Acids</t>
        </is>
      </c>
      <c r="DQ235" s="20" t="inlineStr">
        <is>
          <t>None</t>
        </is>
      </c>
      <c r="DR235" s="17" t="n"/>
      <c r="DS235" s="16" t="n"/>
      <c r="DT235" s="20" t="inlineStr">
        <is>
          <t>IC Organic Acids</t>
        </is>
      </c>
      <c r="DU235" s="20" t="inlineStr">
        <is>
          <t>None</t>
        </is>
      </c>
      <c r="DV235" s="17" t="n"/>
      <c r="DW235" s="16" t="n"/>
      <c r="DX235" s="20" t="inlineStr">
        <is>
          <t>IC Organic Acids</t>
        </is>
      </c>
      <c r="DY235" s="20" t="inlineStr">
        <is>
          <t>None</t>
        </is>
      </c>
      <c r="DZ235" s="17" t="n"/>
      <c r="EA235" s="16" t="n"/>
      <c r="EB235" s="20" t="inlineStr">
        <is>
          <t>IC Organic Acids</t>
        </is>
      </c>
      <c r="EC235" s="20" t="inlineStr">
        <is>
          <t>None</t>
        </is>
      </c>
      <c r="ED235" s="17" t="n"/>
      <c r="EE235" s="16" t="n"/>
      <c r="EF235" s="20" t="inlineStr">
        <is>
          <t>IC Organic Acids</t>
        </is>
      </c>
      <c r="EG235" s="20" t="inlineStr">
        <is>
          <t>None</t>
        </is>
      </c>
      <c r="EH235" s="17" t="n"/>
      <c r="EI235" s="16" t="n"/>
      <c r="EJ235" s="20" t="inlineStr">
        <is>
          <t>IC Organic Acids</t>
        </is>
      </c>
      <c r="EK235" s="20" t="inlineStr">
        <is>
          <t>None</t>
        </is>
      </c>
      <c r="EL235" s="17" t="n"/>
      <c r="EM235" s="16" t="n"/>
      <c r="EN235" s="20" t="inlineStr">
        <is>
          <t>IC Organic Acids</t>
        </is>
      </c>
      <c r="EO235" s="20" t="inlineStr">
        <is>
          <t>None</t>
        </is>
      </c>
      <c r="EP235" s="17" t="n"/>
      <c r="EQ235" s="16" t="n"/>
      <c r="ER235" s="20" t="inlineStr">
        <is>
          <t>IC Organic Acids</t>
        </is>
      </c>
      <c r="ES235" s="20" t="inlineStr">
        <is>
          <t>None</t>
        </is>
      </c>
      <c r="ET235" s="17" t="n"/>
      <c r="EU235" s="16" t="n"/>
      <c r="EV235" s="20" t="inlineStr">
        <is>
          <t>LC-MS</t>
        </is>
      </c>
      <c r="EW235" s="20" t="inlineStr">
        <is>
          <t>None</t>
        </is>
      </c>
      <c r="EX235" s="17" t="n"/>
      <c r="EY235" s="21" t="n"/>
      <c r="EZ235">
        <f>CONCATENATE(A235,B235)</f>
        <v/>
      </c>
      <c r="FA235">
        <f>CONCATENATE(SamplesX!A235,SamplesX!B235)</f>
        <v/>
      </c>
      <c r="FC235">
        <f>MATCH(EZ235,FA1:FA1008,0)</f>
        <v/>
      </c>
    </row>
    <row r="236">
      <c r="A236" s="16" t="inlineStr">
        <is>
          <t>BP</t>
        </is>
      </c>
      <c r="B236" s="17" t="inlineStr">
        <is>
          <t>25228</t>
        </is>
      </c>
      <c r="C236" s="10">
        <f>IF(ISNUMBER(FC236),INDIRECT("SamplesX!C"&amp;FC236),IF(ISNUMBER(FD236),INDIRECT("SamplesY!C"&amp;FD236),""))</f>
        <v/>
      </c>
      <c r="D236" s="12">
        <f>IF(ISNUMBER(FC236),INDIRECT("SamplesX!D"&amp;FC236),IF(ISNUMBER(FD236),INDIRECT("SamplesY!D"&amp;FD236),""))</f>
        <v/>
      </c>
      <c r="E236" s="12">
        <f>IF(ISNUMBER(FC236),INDIRECT("SamplesX!E"&amp;FC236),IF(ISNUMBER(FD236),INDIRECT("SamplesY!E"&amp;FD236),""))</f>
        <v/>
      </c>
      <c r="F236" s="11">
        <f>IF(ISNUMBER(FC236),INDIRECT("SamplesX!F"&amp;FC236),IF(ISNUMBER(FD236),INDIRECT("SamplesY!F"&amp;FD236),""))</f>
        <v/>
      </c>
      <c r="G236" s="18">
        <f>IF(ISNUMBER(FC236),INDIRECT("SamplesX!G"&amp;FC236),IF(ISNUMBER(FD236),INDIRECT("SamplesY!G"&amp;FD236),""))</f>
        <v/>
      </c>
      <c r="H236" s="19">
        <f>IF(ISNUMBER(FC236),INDIRECT("SamplesX!H"&amp;FC236),IF(ISNUMBER(FD236),INDIRECT("SamplesY!H"&amp;FD236),""))</f>
        <v/>
      </c>
      <c r="I236" s="16" t="n"/>
      <c r="J236" s="16" t="n"/>
      <c r="K236" s="16" t="n"/>
      <c r="L236" s="20" t="n"/>
      <c r="M236" s="20" t="inlineStr">
        <is>
          <t>None</t>
        </is>
      </c>
      <c r="N236" s="17" t="n"/>
      <c r="O236" s="16" t="n"/>
      <c r="P236" s="20" t="inlineStr">
        <is>
          <t>Shimadzu TOC-L</t>
        </is>
      </c>
      <c r="Q236" s="20" t="inlineStr">
        <is>
          <t>None</t>
        </is>
      </c>
      <c r="R236" s="17" t="n"/>
      <c r="S236" s="16" t="n"/>
      <c r="T236" s="20" t="inlineStr">
        <is>
          <t>Shimadzu TOC-L</t>
        </is>
      </c>
      <c r="U236" s="20" t="inlineStr">
        <is>
          <t>None</t>
        </is>
      </c>
      <c r="V236" s="17" t="n"/>
      <c r="W236" s="16" t="n"/>
      <c r="X236" s="20" t="n"/>
      <c r="Y236" s="20" t="inlineStr">
        <is>
          <t>None</t>
        </is>
      </c>
      <c r="Z236" s="17" t="n"/>
      <c r="AA236" s="16" t="n"/>
      <c r="AB236" s="20" t="n"/>
      <c r="AC236" s="20" t="inlineStr">
        <is>
          <t>None</t>
        </is>
      </c>
      <c r="AD236" s="17" t="n"/>
      <c r="AE236" s="16" t="n"/>
      <c r="AF236" s="20" t="inlineStr">
        <is>
          <t>IC Anionen</t>
        </is>
      </c>
      <c r="AG236" s="20" t="inlineStr">
        <is>
          <t>None</t>
        </is>
      </c>
      <c r="AH236" s="17" t="n"/>
      <c r="AI236" s="16" t="n"/>
      <c r="AJ236" s="20" t="n"/>
      <c r="AK236" s="20" t="inlineStr">
        <is>
          <t>None</t>
        </is>
      </c>
      <c r="AL236" s="17" t="n"/>
      <c r="AM236" s="16" t="n"/>
      <c r="AN236" s="20" t="inlineStr">
        <is>
          <t>IC Anionen</t>
        </is>
      </c>
      <c r="AO236" s="20" t="inlineStr">
        <is>
          <t>None</t>
        </is>
      </c>
      <c r="AP236" s="17" t="n"/>
      <c r="AQ236" s="16" t="n"/>
      <c r="AR236" s="20" t="n"/>
      <c r="AS236" s="20" t="inlineStr">
        <is>
          <t>None</t>
        </is>
      </c>
      <c r="AT236" s="17" t="n"/>
      <c r="AU236" s="16" t="n"/>
      <c r="AV236" s="20" t="inlineStr">
        <is>
          <t>IC Anionen</t>
        </is>
      </c>
      <c r="AW236" s="20" t="inlineStr">
        <is>
          <t>None</t>
        </is>
      </c>
      <c r="AX236" s="17" t="n"/>
      <c r="AY236" s="16" t="n"/>
      <c r="AZ236" s="20" t="inlineStr">
        <is>
          <t>IC Anionen</t>
        </is>
      </c>
      <c r="BA236" s="20" t="inlineStr">
        <is>
          <t>None</t>
        </is>
      </c>
      <c r="BB236" s="17" t="n"/>
      <c r="BC236" s="16" t="n"/>
      <c r="BD236" s="20" t="inlineStr">
        <is>
          <t>IC Kationen</t>
        </is>
      </c>
      <c r="BE236" s="20" t="inlineStr">
        <is>
          <t>None</t>
        </is>
      </c>
      <c r="BF236" s="17" t="n"/>
      <c r="BG236" s="16" t="n"/>
      <c r="BH236" s="20" t="inlineStr">
        <is>
          <t>IC Kationen</t>
        </is>
      </c>
      <c r="BI236" s="20" t="inlineStr">
        <is>
          <t>None</t>
        </is>
      </c>
      <c r="BJ236" s="17" t="n"/>
      <c r="BK236" s="16" t="n"/>
      <c r="BL236" s="20" t="inlineStr">
        <is>
          <t>IC Kationen</t>
        </is>
      </c>
      <c r="BM236" s="20" t="inlineStr">
        <is>
          <t>None</t>
        </is>
      </c>
      <c r="BN236" s="17" t="n"/>
      <c r="BO236" s="16" t="n"/>
      <c r="BP236" s="20" t="inlineStr">
        <is>
          <t>IC Kationen</t>
        </is>
      </c>
      <c r="BQ236" s="20" t="inlineStr">
        <is>
          <t>None</t>
        </is>
      </c>
      <c r="BR236" s="17" t="n"/>
      <c r="BS236" s="16" t="n"/>
      <c r="BT236" s="20" t="inlineStr">
        <is>
          <t>IC Kationen</t>
        </is>
      </c>
      <c r="BU236" s="20" t="inlineStr">
        <is>
          <t>None</t>
        </is>
      </c>
      <c r="BV236" s="17" t="n"/>
      <c r="BW236" s="16" t="n"/>
      <c r="BX236" s="20" t="n"/>
      <c r="BY236" s="20" t="inlineStr">
        <is>
          <t>None</t>
        </is>
      </c>
      <c r="BZ236" s="17" t="n"/>
      <c r="CA236" s="16" t="n"/>
      <c r="CB236" s="20" t="n"/>
      <c r="CC236" s="20" t="inlineStr">
        <is>
          <t>None</t>
        </is>
      </c>
      <c r="CD236" s="17" t="n"/>
      <c r="CE236" s="16" t="n"/>
      <c r="CF236" s="20" t="n"/>
      <c r="CG236" s="20" t="inlineStr">
        <is>
          <t>None</t>
        </is>
      </c>
      <c r="CH236" s="17" t="n"/>
      <c r="CI236" s="16" t="n"/>
      <c r="CJ236" s="20" t="n"/>
      <c r="CK236" s="20" t="inlineStr">
        <is>
          <t>None</t>
        </is>
      </c>
      <c r="CL236" s="17" t="n"/>
      <c r="CM236" s="16" t="n"/>
      <c r="CN236" s="20" t="inlineStr">
        <is>
          <t>SOP 45-34</t>
        </is>
      </c>
      <c r="CO236" s="20" t="inlineStr">
        <is>
          <t>None</t>
        </is>
      </c>
      <c r="CP236" s="17" t="n"/>
      <c r="CQ236" s="16" t="n"/>
      <c r="CR236" s="20" t="n"/>
      <c r="CS236" s="20" t="inlineStr">
        <is>
          <t>None</t>
        </is>
      </c>
      <c r="CT236" s="17" t="n"/>
      <c r="CU236" s="16" t="n"/>
      <c r="CV236" s="20" t="n"/>
      <c r="CW236" s="20" t="inlineStr">
        <is>
          <t>None</t>
        </is>
      </c>
      <c r="CX236" s="17" t="n"/>
      <c r="CY236" s="16" t="n"/>
      <c r="CZ236" s="20" t="inlineStr">
        <is>
          <t>WTW Multimeter 3430 with FDO 925</t>
        </is>
      </c>
      <c r="DA236" s="20" t="inlineStr">
        <is>
          <t>None</t>
        </is>
      </c>
      <c r="DB236" s="17" t="n"/>
      <c r="DC236" s="16" t="n"/>
      <c r="DD236" s="20" t="n"/>
      <c r="DE236" s="20" t="inlineStr">
        <is>
          <t>None</t>
        </is>
      </c>
      <c r="DF236" s="17" t="n"/>
      <c r="DG236" s="16" t="n"/>
      <c r="DH236" s="20" t="inlineStr">
        <is>
          <t>SOP 45-09</t>
        </is>
      </c>
      <c r="DI236" s="20" t="inlineStr">
        <is>
          <t>None</t>
        </is>
      </c>
      <c r="DJ236" s="17" t="n"/>
      <c r="DK236" s="16" t="n"/>
      <c r="DL236" s="20" t="inlineStr">
        <is>
          <t>SOP 45-09 (SOP muss noch angepasst werden für VSS)</t>
        </is>
      </c>
      <c r="DM236" s="20" t="inlineStr">
        <is>
          <t>None</t>
        </is>
      </c>
      <c r="DN236" s="17" t="n"/>
      <c r="DO236" s="16" t="n"/>
      <c r="DP236" s="20" t="inlineStr">
        <is>
          <t>IC Organic Acids</t>
        </is>
      </c>
      <c r="DQ236" s="20" t="inlineStr">
        <is>
          <t>None</t>
        </is>
      </c>
      <c r="DR236" s="17" t="n"/>
      <c r="DS236" s="16" t="n"/>
      <c r="DT236" s="20" t="inlineStr">
        <is>
          <t>IC Organic Acids</t>
        </is>
      </c>
      <c r="DU236" s="20" t="inlineStr">
        <is>
          <t>None</t>
        </is>
      </c>
      <c r="DV236" s="17" t="n"/>
      <c r="DW236" s="16" t="n"/>
      <c r="DX236" s="20" t="inlineStr">
        <is>
          <t>IC Organic Acids</t>
        </is>
      </c>
      <c r="DY236" s="20" t="inlineStr">
        <is>
          <t>None</t>
        </is>
      </c>
      <c r="DZ236" s="17" t="n"/>
      <c r="EA236" s="16" t="n"/>
      <c r="EB236" s="20" t="inlineStr">
        <is>
          <t>IC Organic Acids</t>
        </is>
      </c>
      <c r="EC236" s="20" t="inlineStr">
        <is>
          <t>None</t>
        </is>
      </c>
      <c r="ED236" s="17" t="n"/>
      <c r="EE236" s="16" t="n"/>
      <c r="EF236" s="20" t="inlineStr">
        <is>
          <t>IC Organic Acids</t>
        </is>
      </c>
      <c r="EG236" s="20" t="inlineStr">
        <is>
          <t>None</t>
        </is>
      </c>
      <c r="EH236" s="17" t="n"/>
      <c r="EI236" s="16" t="n"/>
      <c r="EJ236" s="20" t="inlineStr">
        <is>
          <t>IC Organic Acids</t>
        </is>
      </c>
      <c r="EK236" s="20" t="inlineStr">
        <is>
          <t>None</t>
        </is>
      </c>
      <c r="EL236" s="17" t="n"/>
      <c r="EM236" s="16" t="n"/>
      <c r="EN236" s="20" t="inlineStr">
        <is>
          <t>IC Organic Acids</t>
        </is>
      </c>
      <c r="EO236" s="20" t="inlineStr">
        <is>
          <t>None</t>
        </is>
      </c>
      <c r="EP236" s="17" t="n"/>
      <c r="EQ236" s="16" t="n"/>
      <c r="ER236" s="20" t="inlineStr">
        <is>
          <t>IC Organic Acids</t>
        </is>
      </c>
      <c r="ES236" s="20" t="inlineStr">
        <is>
          <t>None</t>
        </is>
      </c>
      <c r="ET236" s="17" t="n"/>
      <c r="EU236" s="16" t="n"/>
      <c r="EV236" s="20" t="inlineStr">
        <is>
          <t>LC-MS</t>
        </is>
      </c>
      <c r="EW236" s="20" t="inlineStr">
        <is>
          <t>None</t>
        </is>
      </c>
      <c r="EX236" s="17" t="n"/>
      <c r="EY236" s="21" t="n"/>
      <c r="EZ236">
        <f>CONCATENATE(A236,B236)</f>
        <v/>
      </c>
      <c r="FA236">
        <f>CONCATENATE(SamplesX!A236,SamplesX!B236)</f>
        <v/>
      </c>
      <c r="FC236">
        <f>MATCH(EZ236,FA1:FA1008,0)</f>
        <v/>
      </c>
    </row>
    <row r="237">
      <c r="A237" s="16" t="inlineStr">
        <is>
          <t>BP</t>
        </is>
      </c>
      <c r="B237" s="17" t="inlineStr">
        <is>
          <t>25229</t>
        </is>
      </c>
      <c r="C237" s="10">
        <f>IF(ISNUMBER(FC237),INDIRECT("SamplesX!C"&amp;FC237),IF(ISNUMBER(FD237),INDIRECT("SamplesY!C"&amp;FD237),""))</f>
        <v/>
      </c>
      <c r="D237" s="12">
        <f>IF(ISNUMBER(FC237),INDIRECT("SamplesX!D"&amp;FC237),IF(ISNUMBER(FD237),INDIRECT("SamplesY!D"&amp;FD237),""))</f>
        <v/>
      </c>
      <c r="E237" s="12">
        <f>IF(ISNUMBER(FC237),INDIRECT("SamplesX!E"&amp;FC237),IF(ISNUMBER(FD237),INDIRECT("SamplesY!E"&amp;FD237),""))</f>
        <v/>
      </c>
      <c r="F237" s="11">
        <f>IF(ISNUMBER(FC237),INDIRECT("SamplesX!F"&amp;FC237),IF(ISNUMBER(FD237),INDIRECT("SamplesY!F"&amp;FD237),""))</f>
        <v/>
      </c>
      <c r="G237" s="18">
        <f>IF(ISNUMBER(FC237),INDIRECT("SamplesX!G"&amp;FC237),IF(ISNUMBER(FD237),INDIRECT("SamplesY!G"&amp;FD237),""))</f>
        <v/>
      </c>
      <c r="H237" s="19">
        <f>IF(ISNUMBER(FC237),INDIRECT("SamplesX!H"&amp;FC237),IF(ISNUMBER(FD237),INDIRECT("SamplesY!H"&amp;FD237),""))</f>
        <v/>
      </c>
      <c r="I237" s="16" t="n"/>
      <c r="J237" s="16" t="n"/>
      <c r="K237" s="16" t="n"/>
      <c r="L237" s="20" t="n"/>
      <c r="M237" s="20" t="inlineStr">
        <is>
          <t>None</t>
        </is>
      </c>
      <c r="N237" s="17" t="n"/>
      <c r="O237" s="16" t="n"/>
      <c r="P237" s="20" t="inlineStr">
        <is>
          <t>Shimadzu TOC-L</t>
        </is>
      </c>
      <c r="Q237" s="20" t="inlineStr">
        <is>
          <t>None</t>
        </is>
      </c>
      <c r="R237" s="17" t="n"/>
      <c r="S237" s="16" t="n"/>
      <c r="T237" s="20" t="inlineStr">
        <is>
          <t>Shimadzu TOC-L</t>
        </is>
      </c>
      <c r="U237" s="20" t="inlineStr">
        <is>
          <t>None</t>
        </is>
      </c>
      <c r="V237" s="17" t="n"/>
      <c r="W237" s="16" t="n"/>
      <c r="X237" s="20" t="n"/>
      <c r="Y237" s="20" t="inlineStr">
        <is>
          <t>None</t>
        </is>
      </c>
      <c r="Z237" s="17" t="n"/>
      <c r="AA237" s="16" t="n"/>
      <c r="AB237" s="20" t="n"/>
      <c r="AC237" s="20" t="inlineStr">
        <is>
          <t>None</t>
        </is>
      </c>
      <c r="AD237" s="17" t="n"/>
      <c r="AE237" s="16" t="n"/>
      <c r="AF237" s="20" t="inlineStr">
        <is>
          <t>IC Anionen</t>
        </is>
      </c>
      <c r="AG237" s="20" t="inlineStr">
        <is>
          <t>None</t>
        </is>
      </c>
      <c r="AH237" s="17" t="n"/>
      <c r="AI237" s="16" t="n"/>
      <c r="AJ237" s="20" t="n"/>
      <c r="AK237" s="20" t="inlineStr">
        <is>
          <t>None</t>
        </is>
      </c>
      <c r="AL237" s="17" t="n"/>
      <c r="AM237" s="16" t="n"/>
      <c r="AN237" s="20" t="inlineStr">
        <is>
          <t>IC Anionen</t>
        </is>
      </c>
      <c r="AO237" s="20" t="inlineStr">
        <is>
          <t>None</t>
        </is>
      </c>
      <c r="AP237" s="17" t="n"/>
      <c r="AQ237" s="16" t="n"/>
      <c r="AR237" s="20" t="n"/>
      <c r="AS237" s="20" t="inlineStr">
        <is>
          <t>None</t>
        </is>
      </c>
      <c r="AT237" s="17" t="n"/>
      <c r="AU237" s="16" t="n"/>
      <c r="AV237" s="20" t="inlineStr">
        <is>
          <t>IC Anionen</t>
        </is>
      </c>
      <c r="AW237" s="20" t="inlineStr">
        <is>
          <t>None</t>
        </is>
      </c>
      <c r="AX237" s="17" t="n"/>
      <c r="AY237" s="16" t="n"/>
      <c r="AZ237" s="20" t="inlineStr">
        <is>
          <t>IC Anionen</t>
        </is>
      </c>
      <c r="BA237" s="20" t="inlineStr">
        <is>
          <t>None</t>
        </is>
      </c>
      <c r="BB237" s="17" t="n"/>
      <c r="BC237" s="16" t="n"/>
      <c r="BD237" s="20" t="inlineStr">
        <is>
          <t>IC Kationen</t>
        </is>
      </c>
      <c r="BE237" s="20" t="inlineStr">
        <is>
          <t>None</t>
        </is>
      </c>
      <c r="BF237" s="17" t="n"/>
      <c r="BG237" s="16" t="n"/>
      <c r="BH237" s="20" t="inlineStr">
        <is>
          <t>IC Kationen</t>
        </is>
      </c>
      <c r="BI237" s="20" t="inlineStr">
        <is>
          <t>None</t>
        </is>
      </c>
      <c r="BJ237" s="17" t="n"/>
      <c r="BK237" s="16" t="n"/>
      <c r="BL237" s="20" t="inlineStr">
        <is>
          <t>IC Kationen</t>
        </is>
      </c>
      <c r="BM237" s="20" t="inlineStr">
        <is>
          <t>None</t>
        </is>
      </c>
      <c r="BN237" s="17" t="n"/>
      <c r="BO237" s="16" t="n"/>
      <c r="BP237" s="20" t="inlineStr">
        <is>
          <t>IC Kationen</t>
        </is>
      </c>
      <c r="BQ237" s="20" t="inlineStr">
        <is>
          <t>None</t>
        </is>
      </c>
      <c r="BR237" s="17" t="n"/>
      <c r="BS237" s="16" t="n"/>
      <c r="BT237" s="20" t="inlineStr">
        <is>
          <t>IC Kationen</t>
        </is>
      </c>
      <c r="BU237" s="20" t="inlineStr">
        <is>
          <t>None</t>
        </is>
      </c>
      <c r="BV237" s="17" t="n"/>
      <c r="BW237" s="16" t="n"/>
      <c r="BX237" s="20" t="n"/>
      <c r="BY237" s="20" t="inlineStr">
        <is>
          <t>None</t>
        </is>
      </c>
      <c r="BZ237" s="17" t="n"/>
      <c r="CA237" s="16" t="n"/>
      <c r="CB237" s="20" t="n"/>
      <c r="CC237" s="20" t="inlineStr">
        <is>
          <t>None</t>
        </is>
      </c>
      <c r="CD237" s="17" t="n"/>
      <c r="CE237" s="16" t="n"/>
      <c r="CF237" s="20" t="n"/>
      <c r="CG237" s="20" t="inlineStr">
        <is>
          <t>None</t>
        </is>
      </c>
      <c r="CH237" s="17" t="n"/>
      <c r="CI237" s="16" t="n"/>
      <c r="CJ237" s="20" t="n"/>
      <c r="CK237" s="20" t="inlineStr">
        <is>
          <t>None</t>
        </is>
      </c>
      <c r="CL237" s="17" t="n"/>
      <c r="CM237" s="16" t="n"/>
      <c r="CN237" s="20" t="inlineStr">
        <is>
          <t>SOP 45-34</t>
        </is>
      </c>
      <c r="CO237" s="20" t="inlineStr">
        <is>
          <t>None</t>
        </is>
      </c>
      <c r="CP237" s="17" t="n"/>
      <c r="CQ237" s="16" t="n"/>
      <c r="CR237" s="20" t="n"/>
      <c r="CS237" s="20" t="inlineStr">
        <is>
          <t>None</t>
        </is>
      </c>
      <c r="CT237" s="17" t="n"/>
      <c r="CU237" s="16" t="n"/>
      <c r="CV237" s="20" t="n"/>
      <c r="CW237" s="20" t="inlineStr">
        <is>
          <t>None</t>
        </is>
      </c>
      <c r="CX237" s="17" t="n"/>
      <c r="CY237" s="16" t="n"/>
      <c r="CZ237" s="20" t="inlineStr">
        <is>
          <t>WTW Multimeter 3430 with FDO 925</t>
        </is>
      </c>
      <c r="DA237" s="20" t="inlineStr">
        <is>
          <t>None</t>
        </is>
      </c>
      <c r="DB237" s="17" t="n"/>
      <c r="DC237" s="16" t="n"/>
      <c r="DD237" s="20" t="n"/>
      <c r="DE237" s="20" t="inlineStr">
        <is>
          <t>None</t>
        </is>
      </c>
      <c r="DF237" s="17" t="n"/>
      <c r="DG237" s="16" t="n"/>
      <c r="DH237" s="20" t="inlineStr">
        <is>
          <t>SOP 45-09</t>
        </is>
      </c>
      <c r="DI237" s="20" t="inlineStr">
        <is>
          <t>None</t>
        </is>
      </c>
      <c r="DJ237" s="17" t="n"/>
      <c r="DK237" s="16" t="n"/>
      <c r="DL237" s="20" t="inlineStr">
        <is>
          <t>SOP 45-09 (SOP muss noch angepasst werden für VSS)</t>
        </is>
      </c>
      <c r="DM237" s="20" t="inlineStr">
        <is>
          <t>None</t>
        </is>
      </c>
      <c r="DN237" s="17" t="n"/>
      <c r="DO237" s="16" t="n"/>
      <c r="DP237" s="20" t="inlineStr">
        <is>
          <t>IC Organic Acids</t>
        </is>
      </c>
      <c r="DQ237" s="20" t="inlineStr">
        <is>
          <t>None</t>
        </is>
      </c>
      <c r="DR237" s="17" t="n"/>
      <c r="DS237" s="16" t="n"/>
      <c r="DT237" s="20" t="inlineStr">
        <is>
          <t>IC Organic Acids</t>
        </is>
      </c>
      <c r="DU237" s="20" t="inlineStr">
        <is>
          <t>None</t>
        </is>
      </c>
      <c r="DV237" s="17" t="n"/>
      <c r="DW237" s="16" t="n"/>
      <c r="DX237" s="20" t="inlineStr">
        <is>
          <t>IC Organic Acids</t>
        </is>
      </c>
      <c r="DY237" s="20" t="inlineStr">
        <is>
          <t>None</t>
        </is>
      </c>
      <c r="DZ237" s="17" t="n"/>
      <c r="EA237" s="16" t="n"/>
      <c r="EB237" s="20" t="inlineStr">
        <is>
          <t>IC Organic Acids</t>
        </is>
      </c>
      <c r="EC237" s="20" t="inlineStr">
        <is>
          <t>None</t>
        </is>
      </c>
      <c r="ED237" s="17" t="n"/>
      <c r="EE237" s="16" t="n"/>
      <c r="EF237" s="20" t="inlineStr">
        <is>
          <t>IC Organic Acids</t>
        </is>
      </c>
      <c r="EG237" s="20" t="inlineStr">
        <is>
          <t>None</t>
        </is>
      </c>
      <c r="EH237" s="17" t="n"/>
      <c r="EI237" s="16" t="n"/>
      <c r="EJ237" s="20" t="inlineStr">
        <is>
          <t>IC Organic Acids</t>
        </is>
      </c>
      <c r="EK237" s="20" t="inlineStr">
        <is>
          <t>None</t>
        </is>
      </c>
      <c r="EL237" s="17" t="n"/>
      <c r="EM237" s="16" t="n"/>
      <c r="EN237" s="20" t="inlineStr">
        <is>
          <t>IC Organic Acids</t>
        </is>
      </c>
      <c r="EO237" s="20" t="inlineStr">
        <is>
          <t>None</t>
        </is>
      </c>
      <c r="EP237" s="17" t="n"/>
      <c r="EQ237" s="16" t="n"/>
      <c r="ER237" s="20" t="inlineStr">
        <is>
          <t>IC Organic Acids</t>
        </is>
      </c>
      <c r="ES237" s="20" t="inlineStr">
        <is>
          <t>None</t>
        </is>
      </c>
      <c r="ET237" s="17" t="n"/>
      <c r="EU237" s="16" t="n"/>
      <c r="EV237" s="20" t="inlineStr">
        <is>
          <t>LC-MS</t>
        </is>
      </c>
      <c r="EW237" s="20" t="inlineStr">
        <is>
          <t>None</t>
        </is>
      </c>
      <c r="EX237" s="17" t="n"/>
      <c r="EY237" s="21" t="n"/>
      <c r="EZ237">
        <f>CONCATENATE(A237,B237)</f>
        <v/>
      </c>
      <c r="FA237">
        <f>CONCATENATE(SamplesX!A237,SamplesX!B237)</f>
        <v/>
      </c>
      <c r="FC237">
        <f>MATCH(EZ237,FA1:FA1008,0)</f>
        <v/>
      </c>
    </row>
    <row r="238">
      <c r="A238" s="16" t="inlineStr">
        <is>
          <t>BP</t>
        </is>
      </c>
      <c r="B238" s="17" t="inlineStr">
        <is>
          <t>25230</t>
        </is>
      </c>
      <c r="C238" s="10">
        <f>IF(ISNUMBER(FC238),INDIRECT("SamplesX!C"&amp;FC238),IF(ISNUMBER(FD238),INDIRECT("SamplesY!C"&amp;FD238),""))</f>
        <v/>
      </c>
      <c r="D238" s="12">
        <f>IF(ISNUMBER(FC238),INDIRECT("SamplesX!D"&amp;FC238),IF(ISNUMBER(FD238),INDIRECT("SamplesY!D"&amp;FD238),""))</f>
        <v/>
      </c>
      <c r="E238" s="12">
        <f>IF(ISNUMBER(FC238),INDIRECT("SamplesX!E"&amp;FC238),IF(ISNUMBER(FD238),INDIRECT("SamplesY!E"&amp;FD238),""))</f>
        <v/>
      </c>
      <c r="F238" s="11">
        <f>IF(ISNUMBER(FC238),INDIRECT("SamplesX!F"&amp;FC238),IF(ISNUMBER(FD238),INDIRECT("SamplesY!F"&amp;FD238),""))</f>
        <v/>
      </c>
      <c r="G238" s="18">
        <f>IF(ISNUMBER(FC238),INDIRECT("SamplesX!G"&amp;FC238),IF(ISNUMBER(FD238),INDIRECT("SamplesY!G"&amp;FD238),""))</f>
        <v/>
      </c>
      <c r="H238" s="19">
        <f>IF(ISNUMBER(FC238),INDIRECT("SamplesX!H"&amp;FC238),IF(ISNUMBER(FD238),INDIRECT("SamplesY!H"&amp;FD238),""))</f>
        <v/>
      </c>
      <c r="I238" s="16" t="n"/>
      <c r="J238" s="16" t="n"/>
      <c r="K238" s="16" t="n"/>
      <c r="L238" s="20" t="n"/>
      <c r="M238" s="20" t="inlineStr">
        <is>
          <t>None</t>
        </is>
      </c>
      <c r="N238" s="17" t="n"/>
      <c r="O238" s="16" t="n"/>
      <c r="P238" s="20" t="inlineStr">
        <is>
          <t>Shimadzu TOC-L</t>
        </is>
      </c>
      <c r="Q238" s="20" t="inlineStr">
        <is>
          <t>None</t>
        </is>
      </c>
      <c r="R238" s="17" t="n"/>
      <c r="S238" s="16" t="n"/>
      <c r="T238" s="20" t="inlineStr">
        <is>
          <t>Shimadzu TOC-L</t>
        </is>
      </c>
      <c r="U238" s="20" t="inlineStr">
        <is>
          <t>None</t>
        </is>
      </c>
      <c r="V238" s="17" t="n"/>
      <c r="W238" s="16" t="n"/>
      <c r="X238" s="20" t="n"/>
      <c r="Y238" s="20" t="inlineStr">
        <is>
          <t>None</t>
        </is>
      </c>
      <c r="Z238" s="17" t="n"/>
      <c r="AA238" s="16" t="n"/>
      <c r="AB238" s="20" t="n"/>
      <c r="AC238" s="20" t="inlineStr">
        <is>
          <t>None</t>
        </is>
      </c>
      <c r="AD238" s="17" t="n"/>
      <c r="AE238" s="16" t="n"/>
      <c r="AF238" s="20" t="inlineStr">
        <is>
          <t>IC Anionen</t>
        </is>
      </c>
      <c r="AG238" s="20" t="inlineStr">
        <is>
          <t>None</t>
        </is>
      </c>
      <c r="AH238" s="17" t="n"/>
      <c r="AI238" s="16" t="n"/>
      <c r="AJ238" s="20" t="n"/>
      <c r="AK238" s="20" t="inlineStr">
        <is>
          <t>None</t>
        </is>
      </c>
      <c r="AL238" s="17" t="n"/>
      <c r="AM238" s="16" t="n"/>
      <c r="AN238" s="20" t="inlineStr">
        <is>
          <t>IC Anionen</t>
        </is>
      </c>
      <c r="AO238" s="20" t="inlineStr">
        <is>
          <t>None</t>
        </is>
      </c>
      <c r="AP238" s="17" t="n"/>
      <c r="AQ238" s="16" t="n"/>
      <c r="AR238" s="20" t="n"/>
      <c r="AS238" s="20" t="inlineStr">
        <is>
          <t>None</t>
        </is>
      </c>
      <c r="AT238" s="17" t="n"/>
      <c r="AU238" s="16" t="n"/>
      <c r="AV238" s="20" t="inlineStr">
        <is>
          <t>IC Anionen</t>
        </is>
      </c>
      <c r="AW238" s="20" t="inlineStr">
        <is>
          <t>None</t>
        </is>
      </c>
      <c r="AX238" s="17" t="n"/>
      <c r="AY238" s="16" t="n"/>
      <c r="AZ238" s="20" t="inlineStr">
        <is>
          <t>IC Anionen</t>
        </is>
      </c>
      <c r="BA238" s="20" t="inlineStr">
        <is>
          <t>None</t>
        </is>
      </c>
      <c r="BB238" s="17" t="n"/>
      <c r="BC238" s="16" t="n"/>
      <c r="BD238" s="20" t="inlineStr">
        <is>
          <t>IC Kationen</t>
        </is>
      </c>
      <c r="BE238" s="20" t="inlineStr">
        <is>
          <t>None</t>
        </is>
      </c>
      <c r="BF238" s="17" t="n"/>
      <c r="BG238" s="16" t="n"/>
      <c r="BH238" s="20" t="inlineStr">
        <is>
          <t>IC Kationen</t>
        </is>
      </c>
      <c r="BI238" s="20" t="inlineStr">
        <is>
          <t>None</t>
        </is>
      </c>
      <c r="BJ238" s="17" t="n"/>
      <c r="BK238" s="16" t="n"/>
      <c r="BL238" s="20" t="inlineStr">
        <is>
          <t>IC Kationen</t>
        </is>
      </c>
      <c r="BM238" s="20" t="inlineStr">
        <is>
          <t>None</t>
        </is>
      </c>
      <c r="BN238" s="17" t="n"/>
      <c r="BO238" s="16" t="n"/>
      <c r="BP238" s="20" t="inlineStr">
        <is>
          <t>IC Kationen</t>
        </is>
      </c>
      <c r="BQ238" s="20" t="inlineStr">
        <is>
          <t>None</t>
        </is>
      </c>
      <c r="BR238" s="17" t="n"/>
      <c r="BS238" s="16" t="n"/>
      <c r="BT238" s="20" t="inlineStr">
        <is>
          <t>IC Kationen</t>
        </is>
      </c>
      <c r="BU238" s="20" t="inlineStr">
        <is>
          <t>None</t>
        </is>
      </c>
      <c r="BV238" s="17" t="n"/>
      <c r="BW238" s="16" t="n"/>
      <c r="BX238" s="20" t="n"/>
      <c r="BY238" s="20" t="inlineStr">
        <is>
          <t>None</t>
        </is>
      </c>
      <c r="BZ238" s="17" t="n"/>
      <c r="CA238" s="16" t="n"/>
      <c r="CB238" s="20" t="n"/>
      <c r="CC238" s="20" t="inlineStr">
        <is>
          <t>None</t>
        </is>
      </c>
      <c r="CD238" s="17" t="n"/>
      <c r="CE238" s="16" t="n"/>
      <c r="CF238" s="20" t="n"/>
      <c r="CG238" s="20" t="inlineStr">
        <is>
          <t>None</t>
        </is>
      </c>
      <c r="CH238" s="17" t="n"/>
      <c r="CI238" s="16" t="n"/>
      <c r="CJ238" s="20" t="n"/>
      <c r="CK238" s="20" t="inlineStr">
        <is>
          <t>None</t>
        </is>
      </c>
      <c r="CL238" s="17" t="n"/>
      <c r="CM238" s="16" t="n"/>
      <c r="CN238" s="20" t="inlineStr">
        <is>
          <t>SOP 45-34</t>
        </is>
      </c>
      <c r="CO238" s="20" t="inlineStr">
        <is>
          <t>None</t>
        </is>
      </c>
      <c r="CP238" s="17" t="n"/>
      <c r="CQ238" s="16" t="n"/>
      <c r="CR238" s="20" t="n"/>
      <c r="CS238" s="20" t="inlineStr">
        <is>
          <t>None</t>
        </is>
      </c>
      <c r="CT238" s="17" t="n"/>
      <c r="CU238" s="16" t="n"/>
      <c r="CV238" s="20" t="n"/>
      <c r="CW238" s="20" t="inlineStr">
        <is>
          <t>None</t>
        </is>
      </c>
      <c r="CX238" s="17" t="n"/>
      <c r="CY238" s="16" t="n"/>
      <c r="CZ238" s="20" t="inlineStr">
        <is>
          <t>WTW Multimeter 3430 with FDO 925</t>
        </is>
      </c>
      <c r="DA238" s="20" t="inlineStr">
        <is>
          <t>None</t>
        </is>
      </c>
      <c r="DB238" s="17" t="n"/>
      <c r="DC238" s="16" t="n"/>
      <c r="DD238" s="20" t="n"/>
      <c r="DE238" s="20" t="inlineStr">
        <is>
          <t>None</t>
        </is>
      </c>
      <c r="DF238" s="17" t="n"/>
      <c r="DG238" s="16" t="n"/>
      <c r="DH238" s="20" t="inlineStr">
        <is>
          <t>SOP 45-09</t>
        </is>
      </c>
      <c r="DI238" s="20" t="inlineStr">
        <is>
          <t>None</t>
        </is>
      </c>
      <c r="DJ238" s="17" t="n"/>
      <c r="DK238" s="16" t="n"/>
      <c r="DL238" s="20" t="inlineStr">
        <is>
          <t>SOP 45-09 (SOP muss noch angepasst werden für VSS)</t>
        </is>
      </c>
      <c r="DM238" s="20" t="inlineStr">
        <is>
          <t>None</t>
        </is>
      </c>
      <c r="DN238" s="17" t="n"/>
      <c r="DO238" s="16" t="n"/>
      <c r="DP238" s="20" t="inlineStr">
        <is>
          <t>IC Organic Acids</t>
        </is>
      </c>
      <c r="DQ238" s="20" t="inlineStr">
        <is>
          <t>None</t>
        </is>
      </c>
      <c r="DR238" s="17" t="n"/>
      <c r="DS238" s="16" t="n"/>
      <c r="DT238" s="20" t="inlineStr">
        <is>
          <t>IC Organic Acids</t>
        </is>
      </c>
      <c r="DU238" s="20" t="inlineStr">
        <is>
          <t>None</t>
        </is>
      </c>
      <c r="DV238" s="17" t="n"/>
      <c r="DW238" s="16" t="n"/>
      <c r="DX238" s="20" t="inlineStr">
        <is>
          <t>IC Organic Acids</t>
        </is>
      </c>
      <c r="DY238" s="20" t="inlineStr">
        <is>
          <t>None</t>
        </is>
      </c>
      <c r="DZ238" s="17" t="n"/>
      <c r="EA238" s="16" t="n"/>
      <c r="EB238" s="20" t="inlineStr">
        <is>
          <t>IC Organic Acids</t>
        </is>
      </c>
      <c r="EC238" s="20" t="inlineStr">
        <is>
          <t>None</t>
        </is>
      </c>
      <c r="ED238" s="17" t="n"/>
      <c r="EE238" s="16" t="n"/>
      <c r="EF238" s="20" t="inlineStr">
        <is>
          <t>IC Organic Acids</t>
        </is>
      </c>
      <c r="EG238" s="20" t="inlineStr">
        <is>
          <t>None</t>
        </is>
      </c>
      <c r="EH238" s="17" t="n"/>
      <c r="EI238" s="16" t="n"/>
      <c r="EJ238" s="20" t="inlineStr">
        <is>
          <t>IC Organic Acids</t>
        </is>
      </c>
      <c r="EK238" s="20" t="inlineStr">
        <is>
          <t>None</t>
        </is>
      </c>
      <c r="EL238" s="17" t="n"/>
      <c r="EM238" s="16" t="n"/>
      <c r="EN238" s="20" t="inlineStr">
        <is>
          <t>IC Organic Acids</t>
        </is>
      </c>
      <c r="EO238" s="20" t="inlineStr">
        <is>
          <t>None</t>
        </is>
      </c>
      <c r="EP238" s="17" t="n"/>
      <c r="EQ238" s="16" t="n"/>
      <c r="ER238" s="20" t="inlineStr">
        <is>
          <t>IC Organic Acids</t>
        </is>
      </c>
      <c r="ES238" s="20" t="inlineStr">
        <is>
          <t>None</t>
        </is>
      </c>
      <c r="ET238" s="17" t="n"/>
      <c r="EU238" s="16" t="n"/>
      <c r="EV238" s="20" t="inlineStr">
        <is>
          <t>LC-MS</t>
        </is>
      </c>
      <c r="EW238" s="20" t="inlineStr">
        <is>
          <t>None</t>
        </is>
      </c>
      <c r="EX238" s="17" t="n"/>
      <c r="EY238" s="21" t="n"/>
      <c r="EZ238">
        <f>CONCATENATE(A238,B238)</f>
        <v/>
      </c>
      <c r="FA238">
        <f>CONCATENATE(SamplesX!A238,SamplesX!B238)</f>
        <v/>
      </c>
      <c r="FC238">
        <f>MATCH(EZ238,FA1:FA1008,0)</f>
        <v/>
      </c>
    </row>
    <row r="239">
      <c r="A239" s="16" t="inlineStr">
        <is>
          <t>BP</t>
        </is>
      </c>
      <c r="B239" s="17" t="inlineStr">
        <is>
          <t>25231</t>
        </is>
      </c>
      <c r="C239" s="10">
        <f>IF(ISNUMBER(FC239),INDIRECT("SamplesX!C"&amp;FC239),IF(ISNUMBER(FD239),INDIRECT("SamplesY!C"&amp;FD239),""))</f>
        <v/>
      </c>
      <c r="D239" s="12">
        <f>IF(ISNUMBER(FC239),INDIRECT("SamplesX!D"&amp;FC239),IF(ISNUMBER(FD239),INDIRECT("SamplesY!D"&amp;FD239),""))</f>
        <v/>
      </c>
      <c r="E239" s="12">
        <f>IF(ISNUMBER(FC239),INDIRECT("SamplesX!E"&amp;FC239),IF(ISNUMBER(FD239),INDIRECT("SamplesY!E"&amp;FD239),""))</f>
        <v/>
      </c>
      <c r="F239" s="11">
        <f>IF(ISNUMBER(FC239),INDIRECT("SamplesX!F"&amp;FC239),IF(ISNUMBER(FD239),INDIRECT("SamplesY!F"&amp;FD239),""))</f>
        <v/>
      </c>
      <c r="G239" s="18">
        <f>IF(ISNUMBER(FC239),INDIRECT("SamplesX!G"&amp;FC239),IF(ISNUMBER(FD239),INDIRECT("SamplesY!G"&amp;FD239),""))</f>
        <v/>
      </c>
      <c r="H239" s="19">
        <f>IF(ISNUMBER(FC239),INDIRECT("SamplesX!H"&amp;FC239),IF(ISNUMBER(FD239),INDIRECT("SamplesY!H"&amp;FD239),""))</f>
        <v/>
      </c>
      <c r="I239" s="16" t="n"/>
      <c r="J239" s="16" t="n"/>
      <c r="K239" s="16" t="n"/>
      <c r="L239" s="20" t="n"/>
      <c r="M239" s="20" t="inlineStr">
        <is>
          <t>None</t>
        </is>
      </c>
      <c r="N239" s="17" t="n"/>
      <c r="O239" s="16" t="n"/>
      <c r="P239" s="20" t="inlineStr">
        <is>
          <t>Shimadzu TOC-L</t>
        </is>
      </c>
      <c r="Q239" s="20" t="inlineStr">
        <is>
          <t>None</t>
        </is>
      </c>
      <c r="R239" s="17" t="n"/>
      <c r="S239" s="16" t="n"/>
      <c r="T239" s="20" t="inlineStr">
        <is>
          <t>Shimadzu TOC-L</t>
        </is>
      </c>
      <c r="U239" s="20" t="inlineStr">
        <is>
          <t>None</t>
        </is>
      </c>
      <c r="V239" s="17" t="n"/>
      <c r="W239" s="16" t="n"/>
      <c r="X239" s="20" t="n"/>
      <c r="Y239" s="20" t="inlineStr">
        <is>
          <t>None</t>
        </is>
      </c>
      <c r="Z239" s="17" t="n"/>
      <c r="AA239" s="16" t="n"/>
      <c r="AB239" s="20" t="n"/>
      <c r="AC239" s="20" t="inlineStr">
        <is>
          <t>None</t>
        </is>
      </c>
      <c r="AD239" s="17" t="n"/>
      <c r="AE239" s="16" t="n"/>
      <c r="AF239" s="20" t="inlineStr">
        <is>
          <t>IC Anionen</t>
        </is>
      </c>
      <c r="AG239" s="20" t="inlineStr">
        <is>
          <t>None</t>
        </is>
      </c>
      <c r="AH239" s="17" t="n"/>
      <c r="AI239" s="16" t="n"/>
      <c r="AJ239" s="20" t="n"/>
      <c r="AK239" s="20" t="inlineStr">
        <is>
          <t>None</t>
        </is>
      </c>
      <c r="AL239" s="17" t="n"/>
      <c r="AM239" s="16" t="n"/>
      <c r="AN239" s="20" t="inlineStr">
        <is>
          <t>IC Anionen</t>
        </is>
      </c>
      <c r="AO239" s="20" t="inlineStr">
        <is>
          <t>None</t>
        </is>
      </c>
      <c r="AP239" s="17" t="n"/>
      <c r="AQ239" s="16" t="n"/>
      <c r="AR239" s="20" t="n"/>
      <c r="AS239" s="20" t="inlineStr">
        <is>
          <t>None</t>
        </is>
      </c>
      <c r="AT239" s="17" t="n"/>
      <c r="AU239" s="16" t="n"/>
      <c r="AV239" s="20" t="inlineStr">
        <is>
          <t>IC Anionen</t>
        </is>
      </c>
      <c r="AW239" s="20" t="inlineStr">
        <is>
          <t>None</t>
        </is>
      </c>
      <c r="AX239" s="17" t="n"/>
      <c r="AY239" s="16" t="n"/>
      <c r="AZ239" s="20" t="inlineStr">
        <is>
          <t>IC Anionen</t>
        </is>
      </c>
      <c r="BA239" s="20" t="inlineStr">
        <is>
          <t>None</t>
        </is>
      </c>
      <c r="BB239" s="17" t="n"/>
      <c r="BC239" s="16" t="n"/>
      <c r="BD239" s="20" t="inlineStr">
        <is>
          <t>IC Kationen</t>
        </is>
      </c>
      <c r="BE239" s="20" t="inlineStr">
        <is>
          <t>None</t>
        </is>
      </c>
      <c r="BF239" s="17" t="n"/>
      <c r="BG239" s="16" t="n"/>
      <c r="BH239" s="20" t="inlineStr">
        <is>
          <t>IC Kationen</t>
        </is>
      </c>
      <c r="BI239" s="20" t="inlineStr">
        <is>
          <t>None</t>
        </is>
      </c>
      <c r="BJ239" s="17" t="n"/>
      <c r="BK239" s="16" t="n"/>
      <c r="BL239" s="20" t="inlineStr">
        <is>
          <t>IC Kationen</t>
        </is>
      </c>
      <c r="BM239" s="20" t="inlineStr">
        <is>
          <t>None</t>
        </is>
      </c>
      <c r="BN239" s="17" t="n"/>
      <c r="BO239" s="16" t="n"/>
      <c r="BP239" s="20" t="inlineStr">
        <is>
          <t>IC Kationen</t>
        </is>
      </c>
      <c r="BQ239" s="20" t="inlineStr">
        <is>
          <t>None</t>
        </is>
      </c>
      <c r="BR239" s="17" t="n"/>
      <c r="BS239" s="16" t="n"/>
      <c r="BT239" s="20" t="inlineStr">
        <is>
          <t>IC Kationen</t>
        </is>
      </c>
      <c r="BU239" s="20" t="inlineStr">
        <is>
          <t>None</t>
        </is>
      </c>
      <c r="BV239" s="17" t="n"/>
      <c r="BW239" s="16" t="n"/>
      <c r="BX239" s="20" t="n"/>
      <c r="BY239" s="20" t="inlineStr">
        <is>
          <t>None</t>
        </is>
      </c>
      <c r="BZ239" s="17" t="n"/>
      <c r="CA239" s="16" t="n"/>
      <c r="CB239" s="20" t="n"/>
      <c r="CC239" s="20" t="inlineStr">
        <is>
          <t>None</t>
        </is>
      </c>
      <c r="CD239" s="17" t="n"/>
      <c r="CE239" s="16" t="n"/>
      <c r="CF239" s="20" t="n"/>
      <c r="CG239" s="20" t="inlineStr">
        <is>
          <t>None</t>
        </is>
      </c>
      <c r="CH239" s="17" t="n"/>
      <c r="CI239" s="16" t="n"/>
      <c r="CJ239" s="20" t="n"/>
      <c r="CK239" s="20" t="inlineStr">
        <is>
          <t>None</t>
        </is>
      </c>
      <c r="CL239" s="17" t="n"/>
      <c r="CM239" s="16" t="n"/>
      <c r="CN239" s="20" t="inlineStr">
        <is>
          <t>SOP 45-34</t>
        </is>
      </c>
      <c r="CO239" s="20" t="inlineStr">
        <is>
          <t>None</t>
        </is>
      </c>
      <c r="CP239" s="17" t="n"/>
      <c r="CQ239" s="16" t="n"/>
      <c r="CR239" s="20" t="n"/>
      <c r="CS239" s="20" t="inlineStr">
        <is>
          <t>None</t>
        </is>
      </c>
      <c r="CT239" s="17" t="n"/>
      <c r="CU239" s="16" t="n"/>
      <c r="CV239" s="20" t="n"/>
      <c r="CW239" s="20" t="inlineStr">
        <is>
          <t>None</t>
        </is>
      </c>
      <c r="CX239" s="17" t="n"/>
      <c r="CY239" s="16" t="n"/>
      <c r="CZ239" s="20" t="inlineStr">
        <is>
          <t>WTW Multimeter 3430 with FDO 925</t>
        </is>
      </c>
      <c r="DA239" s="20" t="inlineStr">
        <is>
          <t>None</t>
        </is>
      </c>
      <c r="DB239" s="17" t="n"/>
      <c r="DC239" s="16" t="n"/>
      <c r="DD239" s="20" t="n"/>
      <c r="DE239" s="20" t="inlineStr">
        <is>
          <t>None</t>
        </is>
      </c>
      <c r="DF239" s="17" t="n"/>
      <c r="DG239" s="16" t="n"/>
      <c r="DH239" s="20" t="inlineStr">
        <is>
          <t>SOP 45-09</t>
        </is>
      </c>
      <c r="DI239" s="20" t="inlineStr">
        <is>
          <t>None</t>
        </is>
      </c>
      <c r="DJ239" s="17" t="n"/>
      <c r="DK239" s="16" t="n"/>
      <c r="DL239" s="20" t="inlineStr">
        <is>
          <t>SOP 45-09 (SOP muss noch angepasst werden für VSS)</t>
        </is>
      </c>
      <c r="DM239" s="20" t="inlineStr">
        <is>
          <t>None</t>
        </is>
      </c>
      <c r="DN239" s="17" t="n"/>
      <c r="DO239" s="16" t="n"/>
      <c r="DP239" s="20" t="inlineStr">
        <is>
          <t>IC Organic Acids</t>
        </is>
      </c>
      <c r="DQ239" s="20" t="inlineStr">
        <is>
          <t>None</t>
        </is>
      </c>
      <c r="DR239" s="17" t="n"/>
      <c r="DS239" s="16" t="n"/>
      <c r="DT239" s="20" t="inlineStr">
        <is>
          <t>IC Organic Acids</t>
        </is>
      </c>
      <c r="DU239" s="20" t="inlineStr">
        <is>
          <t>None</t>
        </is>
      </c>
      <c r="DV239" s="17" t="n"/>
      <c r="DW239" s="16" t="n"/>
      <c r="DX239" s="20" t="inlineStr">
        <is>
          <t>IC Organic Acids</t>
        </is>
      </c>
      <c r="DY239" s="20" t="inlineStr">
        <is>
          <t>None</t>
        </is>
      </c>
      <c r="DZ239" s="17" t="n"/>
      <c r="EA239" s="16" t="n"/>
      <c r="EB239" s="20" t="inlineStr">
        <is>
          <t>IC Organic Acids</t>
        </is>
      </c>
      <c r="EC239" s="20" t="inlineStr">
        <is>
          <t>None</t>
        </is>
      </c>
      <c r="ED239" s="17" t="n"/>
      <c r="EE239" s="16" t="n"/>
      <c r="EF239" s="20" t="inlineStr">
        <is>
          <t>IC Organic Acids</t>
        </is>
      </c>
      <c r="EG239" s="20" t="inlineStr">
        <is>
          <t>None</t>
        </is>
      </c>
      <c r="EH239" s="17" t="n"/>
      <c r="EI239" s="16" t="n"/>
      <c r="EJ239" s="20" t="inlineStr">
        <is>
          <t>IC Organic Acids</t>
        </is>
      </c>
      <c r="EK239" s="20" t="inlineStr">
        <is>
          <t>None</t>
        </is>
      </c>
      <c r="EL239" s="17" t="n"/>
      <c r="EM239" s="16" t="n"/>
      <c r="EN239" s="20" t="inlineStr">
        <is>
          <t>IC Organic Acids</t>
        </is>
      </c>
      <c r="EO239" s="20" t="inlineStr">
        <is>
          <t>None</t>
        </is>
      </c>
      <c r="EP239" s="17" t="n"/>
      <c r="EQ239" s="16" t="n"/>
      <c r="ER239" s="20" t="inlineStr">
        <is>
          <t>IC Organic Acids</t>
        </is>
      </c>
      <c r="ES239" s="20" t="inlineStr">
        <is>
          <t>None</t>
        </is>
      </c>
      <c r="ET239" s="17" t="n"/>
      <c r="EU239" s="16" t="n"/>
      <c r="EV239" s="20" t="inlineStr">
        <is>
          <t>LC-MS</t>
        </is>
      </c>
      <c r="EW239" s="20" t="inlineStr">
        <is>
          <t>None</t>
        </is>
      </c>
      <c r="EX239" s="17" t="n"/>
      <c r="EY239" s="21" t="n"/>
      <c r="EZ239">
        <f>CONCATENATE(A239,B239)</f>
        <v/>
      </c>
      <c r="FA239">
        <f>CONCATENATE(SamplesX!A239,SamplesX!B239)</f>
        <v/>
      </c>
      <c r="FC239">
        <f>MATCH(EZ239,FA1:FA1008,0)</f>
        <v/>
      </c>
    </row>
    <row r="240">
      <c r="A240" s="16" t="inlineStr">
        <is>
          <t>BP</t>
        </is>
      </c>
      <c r="B240" s="17" t="inlineStr">
        <is>
          <t>25232</t>
        </is>
      </c>
      <c r="C240" s="10">
        <f>IF(ISNUMBER(FC240),INDIRECT("SamplesX!C"&amp;FC240),IF(ISNUMBER(FD240),INDIRECT("SamplesY!C"&amp;FD240),""))</f>
        <v/>
      </c>
      <c r="D240" s="12">
        <f>IF(ISNUMBER(FC240),INDIRECT("SamplesX!D"&amp;FC240),IF(ISNUMBER(FD240),INDIRECT("SamplesY!D"&amp;FD240),""))</f>
        <v/>
      </c>
      <c r="E240" s="12">
        <f>IF(ISNUMBER(FC240),INDIRECT("SamplesX!E"&amp;FC240),IF(ISNUMBER(FD240),INDIRECT("SamplesY!E"&amp;FD240),""))</f>
        <v/>
      </c>
      <c r="F240" s="11">
        <f>IF(ISNUMBER(FC240),INDIRECT("SamplesX!F"&amp;FC240),IF(ISNUMBER(FD240),INDIRECT("SamplesY!F"&amp;FD240),""))</f>
        <v/>
      </c>
      <c r="G240" s="18">
        <f>IF(ISNUMBER(FC240),INDIRECT("SamplesX!G"&amp;FC240),IF(ISNUMBER(FD240),INDIRECT("SamplesY!G"&amp;FD240),""))</f>
        <v/>
      </c>
      <c r="H240" s="19">
        <f>IF(ISNUMBER(FC240),INDIRECT("SamplesX!H"&amp;FC240),IF(ISNUMBER(FD240),INDIRECT("SamplesY!H"&amp;FD240),""))</f>
        <v/>
      </c>
      <c r="I240" s="16" t="n"/>
      <c r="J240" s="16" t="n"/>
      <c r="K240" s="16" t="n"/>
      <c r="L240" s="20" t="n"/>
      <c r="M240" s="20" t="inlineStr">
        <is>
          <t>None</t>
        </is>
      </c>
      <c r="N240" s="17" t="n"/>
      <c r="O240" s="16" t="n"/>
      <c r="P240" s="20" t="inlineStr">
        <is>
          <t>Shimadzu TOC-L</t>
        </is>
      </c>
      <c r="Q240" s="20" t="inlineStr">
        <is>
          <t>None</t>
        </is>
      </c>
      <c r="R240" s="17" t="n"/>
      <c r="S240" s="16" t="n"/>
      <c r="T240" s="20" t="inlineStr">
        <is>
          <t>Shimadzu TOC-L</t>
        </is>
      </c>
      <c r="U240" s="20" t="inlineStr">
        <is>
          <t>None</t>
        </is>
      </c>
      <c r="V240" s="17" t="n"/>
      <c r="W240" s="16" t="n"/>
      <c r="X240" s="20" t="n"/>
      <c r="Y240" s="20" t="inlineStr">
        <is>
          <t>None</t>
        </is>
      </c>
      <c r="Z240" s="17" t="n"/>
      <c r="AA240" s="16" t="n"/>
      <c r="AB240" s="20" t="n"/>
      <c r="AC240" s="20" t="inlineStr">
        <is>
          <t>None</t>
        </is>
      </c>
      <c r="AD240" s="17" t="n"/>
      <c r="AE240" s="16" t="n"/>
      <c r="AF240" s="20" t="inlineStr">
        <is>
          <t>IC Anionen</t>
        </is>
      </c>
      <c r="AG240" s="20" t="inlineStr">
        <is>
          <t>None</t>
        </is>
      </c>
      <c r="AH240" s="17" t="n"/>
      <c r="AI240" s="16" t="n"/>
      <c r="AJ240" s="20" t="n"/>
      <c r="AK240" s="20" t="inlineStr">
        <is>
          <t>None</t>
        </is>
      </c>
      <c r="AL240" s="17" t="n"/>
      <c r="AM240" s="16" t="n"/>
      <c r="AN240" s="20" t="inlineStr">
        <is>
          <t>IC Anionen</t>
        </is>
      </c>
      <c r="AO240" s="20" t="inlineStr">
        <is>
          <t>None</t>
        </is>
      </c>
      <c r="AP240" s="17" t="n"/>
      <c r="AQ240" s="16" t="n"/>
      <c r="AR240" s="20" t="n"/>
      <c r="AS240" s="20" t="inlineStr">
        <is>
          <t>None</t>
        </is>
      </c>
      <c r="AT240" s="17" t="n"/>
      <c r="AU240" s="16" t="n"/>
      <c r="AV240" s="20" t="inlineStr">
        <is>
          <t>IC Anionen</t>
        </is>
      </c>
      <c r="AW240" s="20" t="inlineStr">
        <is>
          <t>None</t>
        </is>
      </c>
      <c r="AX240" s="17" t="n"/>
      <c r="AY240" s="16" t="n"/>
      <c r="AZ240" s="20" t="inlineStr">
        <is>
          <t>IC Anionen</t>
        </is>
      </c>
      <c r="BA240" s="20" t="inlineStr">
        <is>
          <t>None</t>
        </is>
      </c>
      <c r="BB240" s="17" t="n"/>
      <c r="BC240" s="16" t="n"/>
      <c r="BD240" s="20" t="inlineStr">
        <is>
          <t>IC Kationen</t>
        </is>
      </c>
      <c r="BE240" s="20" t="inlineStr">
        <is>
          <t>None</t>
        </is>
      </c>
      <c r="BF240" s="17" t="n"/>
      <c r="BG240" s="16" t="n"/>
      <c r="BH240" s="20" t="inlineStr">
        <is>
          <t>IC Kationen</t>
        </is>
      </c>
      <c r="BI240" s="20" t="inlineStr">
        <is>
          <t>None</t>
        </is>
      </c>
      <c r="BJ240" s="17" t="n"/>
      <c r="BK240" s="16" t="n"/>
      <c r="BL240" s="20" t="inlineStr">
        <is>
          <t>IC Kationen</t>
        </is>
      </c>
      <c r="BM240" s="20" t="inlineStr">
        <is>
          <t>None</t>
        </is>
      </c>
      <c r="BN240" s="17" t="n"/>
      <c r="BO240" s="16" t="n"/>
      <c r="BP240" s="20" t="inlineStr">
        <is>
          <t>IC Kationen</t>
        </is>
      </c>
      <c r="BQ240" s="20" t="inlineStr">
        <is>
          <t>None</t>
        </is>
      </c>
      <c r="BR240" s="17" t="n"/>
      <c r="BS240" s="16" t="n"/>
      <c r="BT240" s="20" t="inlineStr">
        <is>
          <t>IC Kationen</t>
        </is>
      </c>
      <c r="BU240" s="20" t="inlineStr">
        <is>
          <t>None</t>
        </is>
      </c>
      <c r="BV240" s="17" t="n"/>
      <c r="BW240" s="16" t="n"/>
      <c r="BX240" s="20" t="n"/>
      <c r="BY240" s="20" t="inlineStr">
        <is>
          <t>None</t>
        </is>
      </c>
      <c r="BZ240" s="17" t="n"/>
      <c r="CA240" s="16" t="n"/>
      <c r="CB240" s="20" t="n"/>
      <c r="CC240" s="20" t="inlineStr">
        <is>
          <t>None</t>
        </is>
      </c>
      <c r="CD240" s="17" t="n"/>
      <c r="CE240" s="16" t="n"/>
      <c r="CF240" s="20" t="n"/>
      <c r="CG240" s="20" t="inlineStr">
        <is>
          <t>None</t>
        </is>
      </c>
      <c r="CH240" s="17" t="n"/>
      <c r="CI240" s="16" t="n"/>
      <c r="CJ240" s="20" t="n"/>
      <c r="CK240" s="20" t="inlineStr">
        <is>
          <t>None</t>
        </is>
      </c>
      <c r="CL240" s="17" t="n"/>
      <c r="CM240" s="16" t="n"/>
      <c r="CN240" s="20" t="inlineStr">
        <is>
          <t>SOP 45-34</t>
        </is>
      </c>
      <c r="CO240" s="20" t="inlineStr">
        <is>
          <t>None</t>
        </is>
      </c>
      <c r="CP240" s="17" t="n"/>
      <c r="CQ240" s="16" t="n"/>
      <c r="CR240" s="20" t="n"/>
      <c r="CS240" s="20" t="inlineStr">
        <is>
          <t>None</t>
        </is>
      </c>
      <c r="CT240" s="17" t="n"/>
      <c r="CU240" s="16" t="n"/>
      <c r="CV240" s="20" t="n"/>
      <c r="CW240" s="20" t="inlineStr">
        <is>
          <t>None</t>
        </is>
      </c>
      <c r="CX240" s="17" t="n"/>
      <c r="CY240" s="16" t="n"/>
      <c r="CZ240" s="20" t="inlineStr">
        <is>
          <t>WTW Multimeter 3430 with FDO 925</t>
        </is>
      </c>
      <c r="DA240" s="20" t="inlineStr">
        <is>
          <t>None</t>
        </is>
      </c>
      <c r="DB240" s="17" t="n"/>
      <c r="DC240" s="16" t="n"/>
      <c r="DD240" s="20" t="n"/>
      <c r="DE240" s="20" t="inlineStr">
        <is>
          <t>None</t>
        </is>
      </c>
      <c r="DF240" s="17" t="n"/>
      <c r="DG240" s="16" t="n"/>
      <c r="DH240" s="20" t="inlineStr">
        <is>
          <t>SOP 45-09</t>
        </is>
      </c>
      <c r="DI240" s="20" t="inlineStr">
        <is>
          <t>None</t>
        </is>
      </c>
      <c r="DJ240" s="17" t="n"/>
      <c r="DK240" s="16" t="n"/>
      <c r="DL240" s="20" t="inlineStr">
        <is>
          <t>SOP 45-09 (SOP muss noch angepasst werden für VSS)</t>
        </is>
      </c>
      <c r="DM240" s="20" t="inlineStr">
        <is>
          <t>None</t>
        </is>
      </c>
      <c r="DN240" s="17" t="n"/>
      <c r="DO240" s="16" t="n"/>
      <c r="DP240" s="20" t="inlineStr">
        <is>
          <t>IC Organic Acids</t>
        </is>
      </c>
      <c r="DQ240" s="20" t="inlineStr">
        <is>
          <t>None</t>
        </is>
      </c>
      <c r="DR240" s="17" t="n"/>
      <c r="DS240" s="16" t="n"/>
      <c r="DT240" s="20" t="inlineStr">
        <is>
          <t>IC Organic Acids</t>
        </is>
      </c>
      <c r="DU240" s="20" t="inlineStr">
        <is>
          <t>None</t>
        </is>
      </c>
      <c r="DV240" s="17" t="n"/>
      <c r="DW240" s="16" t="n"/>
      <c r="DX240" s="20" t="inlineStr">
        <is>
          <t>IC Organic Acids</t>
        </is>
      </c>
      <c r="DY240" s="20" t="inlineStr">
        <is>
          <t>None</t>
        </is>
      </c>
      <c r="DZ240" s="17" t="n"/>
      <c r="EA240" s="16" t="n"/>
      <c r="EB240" s="20" t="inlineStr">
        <is>
          <t>IC Organic Acids</t>
        </is>
      </c>
      <c r="EC240" s="20" t="inlineStr">
        <is>
          <t>None</t>
        </is>
      </c>
      <c r="ED240" s="17" t="n"/>
      <c r="EE240" s="16" t="n"/>
      <c r="EF240" s="20" t="inlineStr">
        <is>
          <t>IC Organic Acids</t>
        </is>
      </c>
      <c r="EG240" s="20" t="inlineStr">
        <is>
          <t>None</t>
        </is>
      </c>
      <c r="EH240" s="17" t="n"/>
      <c r="EI240" s="16" t="n"/>
      <c r="EJ240" s="20" t="inlineStr">
        <is>
          <t>IC Organic Acids</t>
        </is>
      </c>
      <c r="EK240" s="20" t="inlineStr">
        <is>
          <t>None</t>
        </is>
      </c>
      <c r="EL240" s="17" t="n"/>
      <c r="EM240" s="16" t="n"/>
      <c r="EN240" s="20" t="inlineStr">
        <is>
          <t>IC Organic Acids</t>
        </is>
      </c>
      <c r="EO240" s="20" t="inlineStr">
        <is>
          <t>None</t>
        </is>
      </c>
      <c r="EP240" s="17" t="n"/>
      <c r="EQ240" s="16" t="n"/>
      <c r="ER240" s="20" t="inlineStr">
        <is>
          <t>IC Organic Acids</t>
        </is>
      </c>
      <c r="ES240" s="20" t="inlineStr">
        <is>
          <t>None</t>
        </is>
      </c>
      <c r="ET240" s="17" t="n"/>
      <c r="EU240" s="16" t="n"/>
      <c r="EV240" s="20" t="inlineStr">
        <is>
          <t>LC-MS</t>
        </is>
      </c>
      <c r="EW240" s="20" t="inlineStr">
        <is>
          <t>None</t>
        </is>
      </c>
      <c r="EX240" s="17" t="n"/>
      <c r="EY240" s="21" t="n"/>
      <c r="EZ240">
        <f>CONCATENATE(A240,B240)</f>
        <v/>
      </c>
      <c r="FA240">
        <f>CONCATENATE(SamplesX!A240,SamplesX!B240)</f>
        <v/>
      </c>
      <c r="FC240">
        <f>MATCH(EZ240,FA1:FA1008,0)</f>
        <v/>
      </c>
    </row>
    <row r="241">
      <c r="A241" s="16" t="inlineStr">
        <is>
          <t>BP</t>
        </is>
      </c>
      <c r="B241" s="17" t="inlineStr">
        <is>
          <t>25233</t>
        </is>
      </c>
      <c r="C241" s="10">
        <f>IF(ISNUMBER(FC241),INDIRECT("SamplesX!C"&amp;FC241),IF(ISNUMBER(FD241),INDIRECT("SamplesY!C"&amp;FD241),""))</f>
        <v/>
      </c>
      <c r="D241" s="12">
        <f>IF(ISNUMBER(FC241),INDIRECT("SamplesX!D"&amp;FC241),IF(ISNUMBER(FD241),INDIRECT("SamplesY!D"&amp;FD241),""))</f>
        <v/>
      </c>
      <c r="E241" s="12">
        <f>IF(ISNUMBER(FC241),INDIRECT("SamplesX!E"&amp;FC241),IF(ISNUMBER(FD241),INDIRECT("SamplesY!E"&amp;FD241),""))</f>
        <v/>
      </c>
      <c r="F241" s="11">
        <f>IF(ISNUMBER(FC241),INDIRECT("SamplesX!F"&amp;FC241),IF(ISNUMBER(FD241),INDIRECT("SamplesY!F"&amp;FD241),""))</f>
        <v/>
      </c>
      <c r="G241" s="18">
        <f>IF(ISNUMBER(FC241),INDIRECT("SamplesX!G"&amp;FC241),IF(ISNUMBER(FD241),INDIRECT("SamplesY!G"&amp;FD241),""))</f>
        <v/>
      </c>
      <c r="H241" s="19">
        <f>IF(ISNUMBER(FC241),INDIRECT("SamplesX!H"&amp;FC241),IF(ISNUMBER(FD241),INDIRECT("SamplesY!H"&amp;FD241),""))</f>
        <v/>
      </c>
      <c r="I241" s="16" t="n"/>
      <c r="J241" s="16" t="n"/>
      <c r="K241" s="16" t="n"/>
      <c r="L241" s="20" t="n"/>
      <c r="M241" s="20" t="inlineStr">
        <is>
          <t>None</t>
        </is>
      </c>
      <c r="N241" s="17" t="n"/>
      <c r="O241" s="16" t="n"/>
      <c r="P241" s="20" t="inlineStr">
        <is>
          <t>Shimadzu TOC-L</t>
        </is>
      </c>
      <c r="Q241" s="20" t="inlineStr">
        <is>
          <t>None</t>
        </is>
      </c>
      <c r="R241" s="17" t="n"/>
      <c r="S241" s="16" t="n"/>
      <c r="T241" s="20" t="inlineStr">
        <is>
          <t>Shimadzu TOC-L</t>
        </is>
      </c>
      <c r="U241" s="20" t="inlineStr">
        <is>
          <t>None</t>
        </is>
      </c>
      <c r="V241" s="17" t="n"/>
      <c r="W241" s="16" t="n"/>
      <c r="X241" s="20" t="n"/>
      <c r="Y241" s="20" t="inlineStr">
        <is>
          <t>None</t>
        </is>
      </c>
      <c r="Z241" s="17" t="n"/>
      <c r="AA241" s="16" t="n"/>
      <c r="AB241" s="20" t="n"/>
      <c r="AC241" s="20" t="inlineStr">
        <is>
          <t>None</t>
        </is>
      </c>
      <c r="AD241" s="17" t="n"/>
      <c r="AE241" s="16" t="n"/>
      <c r="AF241" s="20" t="inlineStr">
        <is>
          <t>IC Anionen</t>
        </is>
      </c>
      <c r="AG241" s="20" t="inlineStr">
        <is>
          <t>None</t>
        </is>
      </c>
      <c r="AH241" s="17" t="n"/>
      <c r="AI241" s="16" t="n"/>
      <c r="AJ241" s="20" t="n"/>
      <c r="AK241" s="20" t="inlineStr">
        <is>
          <t>None</t>
        </is>
      </c>
      <c r="AL241" s="17" t="n"/>
      <c r="AM241" s="16" t="n"/>
      <c r="AN241" s="20" t="inlineStr">
        <is>
          <t>IC Anionen</t>
        </is>
      </c>
      <c r="AO241" s="20" t="inlineStr">
        <is>
          <t>None</t>
        </is>
      </c>
      <c r="AP241" s="17" t="n"/>
      <c r="AQ241" s="16" t="n"/>
      <c r="AR241" s="20" t="n"/>
      <c r="AS241" s="20" t="inlineStr">
        <is>
          <t>None</t>
        </is>
      </c>
      <c r="AT241" s="17" t="n"/>
      <c r="AU241" s="16" t="n"/>
      <c r="AV241" s="20" t="inlineStr">
        <is>
          <t>IC Anionen</t>
        </is>
      </c>
      <c r="AW241" s="20" t="inlineStr">
        <is>
          <t>None</t>
        </is>
      </c>
      <c r="AX241" s="17" t="n"/>
      <c r="AY241" s="16" t="n"/>
      <c r="AZ241" s="20" t="inlineStr">
        <is>
          <t>IC Anionen</t>
        </is>
      </c>
      <c r="BA241" s="20" t="inlineStr">
        <is>
          <t>None</t>
        </is>
      </c>
      <c r="BB241" s="17" t="n"/>
      <c r="BC241" s="16" t="n"/>
      <c r="BD241" s="20" t="inlineStr">
        <is>
          <t>IC Kationen</t>
        </is>
      </c>
      <c r="BE241" s="20" t="inlineStr">
        <is>
          <t>None</t>
        </is>
      </c>
      <c r="BF241" s="17" t="n"/>
      <c r="BG241" s="16" t="n"/>
      <c r="BH241" s="20" t="inlineStr">
        <is>
          <t>IC Kationen</t>
        </is>
      </c>
      <c r="BI241" s="20" t="inlineStr">
        <is>
          <t>None</t>
        </is>
      </c>
      <c r="BJ241" s="17" t="n"/>
      <c r="BK241" s="16" t="n"/>
      <c r="BL241" s="20" t="inlineStr">
        <is>
          <t>IC Kationen</t>
        </is>
      </c>
      <c r="BM241" s="20" t="inlineStr">
        <is>
          <t>None</t>
        </is>
      </c>
      <c r="BN241" s="17" t="n"/>
      <c r="BO241" s="16" t="n"/>
      <c r="BP241" s="20" t="inlineStr">
        <is>
          <t>IC Kationen</t>
        </is>
      </c>
      <c r="BQ241" s="20" t="inlineStr">
        <is>
          <t>None</t>
        </is>
      </c>
      <c r="BR241" s="17" t="n"/>
      <c r="BS241" s="16" t="n"/>
      <c r="BT241" s="20" t="inlineStr">
        <is>
          <t>IC Kationen</t>
        </is>
      </c>
      <c r="BU241" s="20" t="inlineStr">
        <is>
          <t>None</t>
        </is>
      </c>
      <c r="BV241" s="17" t="n"/>
      <c r="BW241" s="16" t="n"/>
      <c r="BX241" s="20" t="n"/>
      <c r="BY241" s="20" t="inlineStr">
        <is>
          <t>None</t>
        </is>
      </c>
      <c r="BZ241" s="17" t="n"/>
      <c r="CA241" s="16" t="n"/>
      <c r="CB241" s="20" t="n"/>
      <c r="CC241" s="20" t="inlineStr">
        <is>
          <t>None</t>
        </is>
      </c>
      <c r="CD241" s="17" t="n"/>
      <c r="CE241" s="16" t="n"/>
      <c r="CF241" s="20" t="n"/>
      <c r="CG241" s="20" t="inlineStr">
        <is>
          <t>None</t>
        </is>
      </c>
      <c r="CH241" s="17" t="n"/>
      <c r="CI241" s="16" t="n"/>
      <c r="CJ241" s="20" t="n"/>
      <c r="CK241" s="20" t="inlineStr">
        <is>
          <t>None</t>
        </is>
      </c>
      <c r="CL241" s="17" t="n"/>
      <c r="CM241" s="16" t="n"/>
      <c r="CN241" s="20" t="inlineStr">
        <is>
          <t>SOP 45-34</t>
        </is>
      </c>
      <c r="CO241" s="20" t="inlineStr">
        <is>
          <t>None</t>
        </is>
      </c>
      <c r="CP241" s="17" t="n"/>
      <c r="CQ241" s="16" t="n"/>
      <c r="CR241" s="20" t="n"/>
      <c r="CS241" s="20" t="inlineStr">
        <is>
          <t>None</t>
        </is>
      </c>
      <c r="CT241" s="17" t="n"/>
      <c r="CU241" s="16" t="n"/>
      <c r="CV241" s="20" t="n"/>
      <c r="CW241" s="20" t="inlineStr">
        <is>
          <t>None</t>
        </is>
      </c>
      <c r="CX241" s="17" t="n"/>
      <c r="CY241" s="16" t="n"/>
      <c r="CZ241" s="20" t="inlineStr">
        <is>
          <t>WTW Multimeter 3430 with FDO 925</t>
        </is>
      </c>
      <c r="DA241" s="20" t="inlineStr">
        <is>
          <t>None</t>
        </is>
      </c>
      <c r="DB241" s="17" t="n"/>
      <c r="DC241" s="16" t="n"/>
      <c r="DD241" s="20" t="n"/>
      <c r="DE241" s="20" t="inlineStr">
        <is>
          <t>None</t>
        </is>
      </c>
      <c r="DF241" s="17" t="n"/>
      <c r="DG241" s="16" t="n"/>
      <c r="DH241" s="20" t="inlineStr">
        <is>
          <t>SOP 45-09</t>
        </is>
      </c>
      <c r="DI241" s="20" t="inlineStr">
        <is>
          <t>None</t>
        </is>
      </c>
      <c r="DJ241" s="17" t="n"/>
      <c r="DK241" s="16" t="n"/>
      <c r="DL241" s="20" t="inlineStr">
        <is>
          <t>SOP 45-09 (SOP muss noch angepasst werden für VSS)</t>
        </is>
      </c>
      <c r="DM241" s="20" t="inlineStr">
        <is>
          <t>None</t>
        </is>
      </c>
      <c r="DN241" s="17" t="n"/>
      <c r="DO241" s="16" t="n"/>
      <c r="DP241" s="20" t="inlineStr">
        <is>
          <t>IC Organic Acids</t>
        </is>
      </c>
      <c r="DQ241" s="20" t="inlineStr">
        <is>
          <t>None</t>
        </is>
      </c>
      <c r="DR241" s="17" t="n"/>
      <c r="DS241" s="16" t="n"/>
      <c r="DT241" s="20" t="inlineStr">
        <is>
          <t>IC Organic Acids</t>
        </is>
      </c>
      <c r="DU241" s="20" t="inlineStr">
        <is>
          <t>None</t>
        </is>
      </c>
      <c r="DV241" s="17" t="n"/>
      <c r="DW241" s="16" t="n"/>
      <c r="DX241" s="20" t="inlineStr">
        <is>
          <t>IC Organic Acids</t>
        </is>
      </c>
      <c r="DY241" s="20" t="inlineStr">
        <is>
          <t>None</t>
        </is>
      </c>
      <c r="DZ241" s="17" t="n"/>
      <c r="EA241" s="16" t="n"/>
      <c r="EB241" s="20" t="inlineStr">
        <is>
          <t>IC Organic Acids</t>
        </is>
      </c>
      <c r="EC241" s="20" t="inlineStr">
        <is>
          <t>None</t>
        </is>
      </c>
      <c r="ED241" s="17" t="n"/>
      <c r="EE241" s="16" t="n"/>
      <c r="EF241" s="20" t="inlineStr">
        <is>
          <t>IC Organic Acids</t>
        </is>
      </c>
      <c r="EG241" s="20" t="inlineStr">
        <is>
          <t>None</t>
        </is>
      </c>
      <c r="EH241" s="17" t="n"/>
      <c r="EI241" s="16" t="n"/>
      <c r="EJ241" s="20" t="inlineStr">
        <is>
          <t>IC Organic Acids</t>
        </is>
      </c>
      <c r="EK241" s="20" t="inlineStr">
        <is>
          <t>None</t>
        </is>
      </c>
      <c r="EL241" s="17" t="n"/>
      <c r="EM241" s="16" t="n"/>
      <c r="EN241" s="20" t="inlineStr">
        <is>
          <t>IC Organic Acids</t>
        </is>
      </c>
      <c r="EO241" s="20" t="inlineStr">
        <is>
          <t>None</t>
        </is>
      </c>
      <c r="EP241" s="17" t="n"/>
      <c r="EQ241" s="16" t="n"/>
      <c r="ER241" s="20" t="inlineStr">
        <is>
          <t>IC Organic Acids</t>
        </is>
      </c>
      <c r="ES241" s="20" t="inlineStr">
        <is>
          <t>None</t>
        </is>
      </c>
      <c r="ET241" s="17" t="n"/>
      <c r="EU241" s="16" t="n"/>
      <c r="EV241" s="20" t="inlineStr">
        <is>
          <t>LC-MS</t>
        </is>
      </c>
      <c r="EW241" s="20" t="inlineStr">
        <is>
          <t>None</t>
        </is>
      </c>
      <c r="EX241" s="17" t="n"/>
      <c r="EY241" s="21" t="n"/>
      <c r="EZ241">
        <f>CONCATENATE(A241,B241)</f>
        <v/>
      </c>
      <c r="FA241">
        <f>CONCATENATE(SamplesX!A241,SamplesX!B241)</f>
        <v/>
      </c>
      <c r="FC241">
        <f>MATCH(EZ241,FA1:FA1008,0)</f>
        <v/>
      </c>
    </row>
    <row r="242">
      <c r="A242" s="16" t="inlineStr">
        <is>
          <t>BP</t>
        </is>
      </c>
      <c r="B242" s="17" t="inlineStr">
        <is>
          <t>25234</t>
        </is>
      </c>
      <c r="C242" s="10">
        <f>IF(ISNUMBER(FC242),INDIRECT("SamplesX!C"&amp;FC242),IF(ISNUMBER(FD242),INDIRECT("SamplesY!C"&amp;FD242),""))</f>
        <v/>
      </c>
      <c r="D242" s="12">
        <f>IF(ISNUMBER(FC242),INDIRECT("SamplesX!D"&amp;FC242),IF(ISNUMBER(FD242),INDIRECT("SamplesY!D"&amp;FD242),""))</f>
        <v/>
      </c>
      <c r="E242" s="12">
        <f>IF(ISNUMBER(FC242),INDIRECT("SamplesX!E"&amp;FC242),IF(ISNUMBER(FD242),INDIRECT("SamplesY!E"&amp;FD242),""))</f>
        <v/>
      </c>
      <c r="F242" s="11">
        <f>IF(ISNUMBER(FC242),INDIRECT("SamplesX!F"&amp;FC242),IF(ISNUMBER(FD242),INDIRECT("SamplesY!F"&amp;FD242),""))</f>
        <v/>
      </c>
      <c r="G242" s="18">
        <f>IF(ISNUMBER(FC242),INDIRECT("SamplesX!G"&amp;FC242),IF(ISNUMBER(FD242),INDIRECT("SamplesY!G"&amp;FD242),""))</f>
        <v/>
      </c>
      <c r="H242" s="19">
        <f>IF(ISNUMBER(FC242),INDIRECT("SamplesX!H"&amp;FC242),IF(ISNUMBER(FD242),INDIRECT("SamplesY!H"&amp;FD242),""))</f>
        <v/>
      </c>
      <c r="I242" s="16" t="n"/>
      <c r="J242" s="16" t="n"/>
      <c r="K242" s="16" t="n"/>
      <c r="L242" s="20" t="n"/>
      <c r="M242" s="20" t="inlineStr">
        <is>
          <t>None</t>
        </is>
      </c>
      <c r="N242" s="17" t="n"/>
      <c r="O242" s="16" t="n"/>
      <c r="P242" s="20" t="inlineStr">
        <is>
          <t>Shimadzu TOC-L</t>
        </is>
      </c>
      <c r="Q242" s="20" t="inlineStr">
        <is>
          <t>None</t>
        </is>
      </c>
      <c r="R242" s="17" t="n"/>
      <c r="S242" s="16" t="n"/>
      <c r="T242" s="20" t="inlineStr">
        <is>
          <t>Shimadzu TOC-L</t>
        </is>
      </c>
      <c r="U242" s="20" t="inlineStr">
        <is>
          <t>None</t>
        </is>
      </c>
      <c r="V242" s="17" t="n"/>
      <c r="W242" s="16" t="n"/>
      <c r="X242" s="20" t="n"/>
      <c r="Y242" s="20" t="inlineStr">
        <is>
          <t>None</t>
        </is>
      </c>
      <c r="Z242" s="17" t="n"/>
      <c r="AA242" s="16" t="n"/>
      <c r="AB242" s="20" t="n"/>
      <c r="AC242" s="20" t="inlineStr">
        <is>
          <t>None</t>
        </is>
      </c>
      <c r="AD242" s="17" t="n"/>
      <c r="AE242" s="16" t="n"/>
      <c r="AF242" s="20" t="inlineStr">
        <is>
          <t>IC Anionen</t>
        </is>
      </c>
      <c r="AG242" s="20" t="inlineStr">
        <is>
          <t>None</t>
        </is>
      </c>
      <c r="AH242" s="17" t="n"/>
      <c r="AI242" s="16" t="n"/>
      <c r="AJ242" s="20" t="n"/>
      <c r="AK242" s="20" t="inlineStr">
        <is>
          <t>None</t>
        </is>
      </c>
      <c r="AL242" s="17" t="n"/>
      <c r="AM242" s="16" t="n"/>
      <c r="AN242" s="20" t="inlineStr">
        <is>
          <t>IC Anionen</t>
        </is>
      </c>
      <c r="AO242" s="20" t="inlineStr">
        <is>
          <t>None</t>
        </is>
      </c>
      <c r="AP242" s="17" t="n"/>
      <c r="AQ242" s="16" t="n"/>
      <c r="AR242" s="20" t="n"/>
      <c r="AS242" s="20" t="inlineStr">
        <is>
          <t>None</t>
        </is>
      </c>
      <c r="AT242" s="17" t="n"/>
      <c r="AU242" s="16" t="n"/>
      <c r="AV242" s="20" t="inlineStr">
        <is>
          <t>IC Anionen</t>
        </is>
      </c>
      <c r="AW242" s="20" t="inlineStr">
        <is>
          <t>None</t>
        </is>
      </c>
      <c r="AX242" s="17" t="n"/>
      <c r="AY242" s="16" t="n"/>
      <c r="AZ242" s="20" t="inlineStr">
        <is>
          <t>IC Anionen</t>
        </is>
      </c>
      <c r="BA242" s="20" t="inlineStr">
        <is>
          <t>None</t>
        </is>
      </c>
      <c r="BB242" s="17" t="n"/>
      <c r="BC242" s="16" t="n"/>
      <c r="BD242" s="20" t="inlineStr">
        <is>
          <t>IC Kationen</t>
        </is>
      </c>
      <c r="BE242" s="20" t="inlineStr">
        <is>
          <t>None</t>
        </is>
      </c>
      <c r="BF242" s="17" t="n"/>
      <c r="BG242" s="16" t="n"/>
      <c r="BH242" s="20" t="inlineStr">
        <is>
          <t>IC Kationen</t>
        </is>
      </c>
      <c r="BI242" s="20" t="inlineStr">
        <is>
          <t>None</t>
        </is>
      </c>
      <c r="BJ242" s="17" t="n"/>
      <c r="BK242" s="16" t="n"/>
      <c r="BL242" s="20" t="inlineStr">
        <is>
          <t>IC Kationen</t>
        </is>
      </c>
      <c r="BM242" s="20" t="inlineStr">
        <is>
          <t>None</t>
        </is>
      </c>
      <c r="BN242" s="17" t="n"/>
      <c r="BO242" s="16" t="n"/>
      <c r="BP242" s="20" t="inlineStr">
        <is>
          <t>IC Kationen</t>
        </is>
      </c>
      <c r="BQ242" s="20" t="inlineStr">
        <is>
          <t>None</t>
        </is>
      </c>
      <c r="BR242" s="17" t="n"/>
      <c r="BS242" s="16" t="n"/>
      <c r="BT242" s="20" t="inlineStr">
        <is>
          <t>IC Kationen</t>
        </is>
      </c>
      <c r="BU242" s="20" t="inlineStr">
        <is>
          <t>None</t>
        </is>
      </c>
      <c r="BV242" s="17" t="n"/>
      <c r="BW242" s="16" t="n"/>
      <c r="BX242" s="20" t="n"/>
      <c r="BY242" s="20" t="inlineStr">
        <is>
          <t>None</t>
        </is>
      </c>
      <c r="BZ242" s="17" t="n"/>
      <c r="CA242" s="16" t="n"/>
      <c r="CB242" s="20" t="n"/>
      <c r="CC242" s="20" t="inlineStr">
        <is>
          <t>None</t>
        </is>
      </c>
      <c r="CD242" s="17" t="n"/>
      <c r="CE242" s="16" t="n"/>
      <c r="CF242" s="20" t="n"/>
      <c r="CG242" s="20" t="inlineStr">
        <is>
          <t>None</t>
        </is>
      </c>
      <c r="CH242" s="17" t="n"/>
      <c r="CI242" s="16" t="n"/>
      <c r="CJ242" s="20" t="n"/>
      <c r="CK242" s="20" t="inlineStr">
        <is>
          <t>None</t>
        </is>
      </c>
      <c r="CL242" s="17" t="n"/>
      <c r="CM242" s="16" t="n"/>
      <c r="CN242" s="20" t="inlineStr">
        <is>
          <t>SOP 45-34</t>
        </is>
      </c>
      <c r="CO242" s="20" t="inlineStr">
        <is>
          <t>None</t>
        </is>
      </c>
      <c r="CP242" s="17" t="n"/>
      <c r="CQ242" s="16" t="n"/>
      <c r="CR242" s="20" t="n"/>
      <c r="CS242" s="20" t="inlineStr">
        <is>
          <t>None</t>
        </is>
      </c>
      <c r="CT242" s="17" t="n"/>
      <c r="CU242" s="16" t="n"/>
      <c r="CV242" s="20" t="n"/>
      <c r="CW242" s="20" t="inlineStr">
        <is>
          <t>None</t>
        </is>
      </c>
      <c r="CX242" s="17" t="n"/>
      <c r="CY242" s="16" t="n"/>
      <c r="CZ242" s="20" t="inlineStr">
        <is>
          <t>WTW Multimeter 3430 with FDO 925</t>
        </is>
      </c>
      <c r="DA242" s="20" t="inlineStr">
        <is>
          <t>None</t>
        </is>
      </c>
      <c r="DB242" s="17" t="n"/>
      <c r="DC242" s="16" t="n"/>
      <c r="DD242" s="20" t="n"/>
      <c r="DE242" s="20" t="inlineStr">
        <is>
          <t>None</t>
        </is>
      </c>
      <c r="DF242" s="17" t="n"/>
      <c r="DG242" s="16" t="n"/>
      <c r="DH242" s="20" t="inlineStr">
        <is>
          <t>SOP 45-09</t>
        </is>
      </c>
      <c r="DI242" s="20" t="inlineStr">
        <is>
          <t>None</t>
        </is>
      </c>
      <c r="DJ242" s="17" t="n"/>
      <c r="DK242" s="16" t="n"/>
      <c r="DL242" s="20" t="inlineStr">
        <is>
          <t>SOP 45-09 (SOP muss noch angepasst werden für VSS)</t>
        </is>
      </c>
      <c r="DM242" s="20" t="inlineStr">
        <is>
          <t>None</t>
        </is>
      </c>
      <c r="DN242" s="17" t="n"/>
      <c r="DO242" s="16" t="n"/>
      <c r="DP242" s="20" t="inlineStr">
        <is>
          <t>IC Organic Acids</t>
        </is>
      </c>
      <c r="DQ242" s="20" t="inlineStr">
        <is>
          <t>None</t>
        </is>
      </c>
      <c r="DR242" s="17" t="n"/>
      <c r="DS242" s="16" t="n"/>
      <c r="DT242" s="20" t="inlineStr">
        <is>
          <t>IC Organic Acids</t>
        </is>
      </c>
      <c r="DU242" s="20" t="inlineStr">
        <is>
          <t>None</t>
        </is>
      </c>
      <c r="DV242" s="17" t="n"/>
      <c r="DW242" s="16" t="n"/>
      <c r="DX242" s="20" t="inlineStr">
        <is>
          <t>IC Organic Acids</t>
        </is>
      </c>
      <c r="DY242" s="20" t="inlineStr">
        <is>
          <t>None</t>
        </is>
      </c>
      <c r="DZ242" s="17" t="n"/>
      <c r="EA242" s="16" t="n"/>
      <c r="EB242" s="20" t="inlineStr">
        <is>
          <t>IC Organic Acids</t>
        </is>
      </c>
      <c r="EC242" s="20" t="inlineStr">
        <is>
          <t>None</t>
        </is>
      </c>
      <c r="ED242" s="17" t="n"/>
      <c r="EE242" s="16" t="n"/>
      <c r="EF242" s="20" t="inlineStr">
        <is>
          <t>IC Organic Acids</t>
        </is>
      </c>
      <c r="EG242" s="20" t="inlineStr">
        <is>
          <t>None</t>
        </is>
      </c>
      <c r="EH242" s="17" t="n"/>
      <c r="EI242" s="16" t="n"/>
      <c r="EJ242" s="20" t="inlineStr">
        <is>
          <t>IC Organic Acids</t>
        </is>
      </c>
      <c r="EK242" s="20" t="inlineStr">
        <is>
          <t>None</t>
        </is>
      </c>
      <c r="EL242" s="17" t="n"/>
      <c r="EM242" s="16" t="n"/>
      <c r="EN242" s="20" t="inlineStr">
        <is>
          <t>IC Organic Acids</t>
        </is>
      </c>
      <c r="EO242" s="20" t="inlineStr">
        <is>
          <t>None</t>
        </is>
      </c>
      <c r="EP242" s="17" t="n"/>
      <c r="EQ242" s="16" t="n"/>
      <c r="ER242" s="20" t="inlineStr">
        <is>
          <t>IC Organic Acids</t>
        </is>
      </c>
      <c r="ES242" s="20" t="inlineStr">
        <is>
          <t>None</t>
        </is>
      </c>
      <c r="ET242" s="17" t="n"/>
      <c r="EU242" s="16" t="n"/>
      <c r="EV242" s="20" t="inlineStr">
        <is>
          <t>LC-MS</t>
        </is>
      </c>
      <c r="EW242" s="20" t="inlineStr">
        <is>
          <t>None</t>
        </is>
      </c>
      <c r="EX242" s="17" t="n"/>
      <c r="EY242" s="21" t="n"/>
      <c r="EZ242">
        <f>CONCATENATE(A242,B242)</f>
        <v/>
      </c>
      <c r="FA242">
        <f>CONCATENATE(SamplesX!A242,SamplesX!B242)</f>
        <v/>
      </c>
      <c r="FC242">
        <f>MATCH(EZ242,FA1:FA1008,0)</f>
        <v/>
      </c>
    </row>
    <row r="243">
      <c r="A243" s="16" t="inlineStr">
        <is>
          <t>BP</t>
        </is>
      </c>
      <c r="B243" s="17" t="inlineStr">
        <is>
          <t>25235</t>
        </is>
      </c>
      <c r="C243" s="10">
        <f>IF(ISNUMBER(FC243),INDIRECT("SamplesX!C"&amp;FC243),IF(ISNUMBER(FD243),INDIRECT("SamplesY!C"&amp;FD243),""))</f>
        <v/>
      </c>
      <c r="D243" s="12">
        <f>IF(ISNUMBER(FC243),INDIRECT("SamplesX!D"&amp;FC243),IF(ISNUMBER(FD243),INDIRECT("SamplesY!D"&amp;FD243),""))</f>
        <v/>
      </c>
      <c r="E243" s="12">
        <f>IF(ISNUMBER(FC243),INDIRECT("SamplesX!E"&amp;FC243),IF(ISNUMBER(FD243),INDIRECT("SamplesY!E"&amp;FD243),""))</f>
        <v/>
      </c>
      <c r="F243" s="11">
        <f>IF(ISNUMBER(FC243),INDIRECT("SamplesX!F"&amp;FC243),IF(ISNUMBER(FD243),INDIRECT("SamplesY!F"&amp;FD243),""))</f>
        <v/>
      </c>
      <c r="G243" s="18">
        <f>IF(ISNUMBER(FC243),INDIRECT("SamplesX!G"&amp;FC243),IF(ISNUMBER(FD243),INDIRECT("SamplesY!G"&amp;FD243),""))</f>
        <v/>
      </c>
      <c r="H243" s="19">
        <f>IF(ISNUMBER(FC243),INDIRECT("SamplesX!H"&amp;FC243),IF(ISNUMBER(FD243),INDIRECT("SamplesY!H"&amp;FD243),""))</f>
        <v/>
      </c>
      <c r="I243" s="16" t="n"/>
      <c r="J243" s="16" t="n"/>
      <c r="K243" s="16" t="n"/>
      <c r="L243" s="20" t="n"/>
      <c r="M243" s="20" t="inlineStr">
        <is>
          <t>None</t>
        </is>
      </c>
      <c r="N243" s="17" t="n"/>
      <c r="O243" s="16" t="n"/>
      <c r="P243" s="20" t="inlineStr">
        <is>
          <t>Shimadzu TOC-L</t>
        </is>
      </c>
      <c r="Q243" s="20" t="inlineStr">
        <is>
          <t>None</t>
        </is>
      </c>
      <c r="R243" s="17" t="n"/>
      <c r="S243" s="16" t="n"/>
      <c r="T243" s="20" t="inlineStr">
        <is>
          <t>Shimadzu TOC-L</t>
        </is>
      </c>
      <c r="U243" s="20" t="inlineStr">
        <is>
          <t>None</t>
        </is>
      </c>
      <c r="V243" s="17" t="n"/>
      <c r="W243" s="16" t="n"/>
      <c r="X243" s="20" t="n"/>
      <c r="Y243" s="20" t="inlineStr">
        <is>
          <t>None</t>
        </is>
      </c>
      <c r="Z243" s="17" t="n"/>
      <c r="AA243" s="16" t="n"/>
      <c r="AB243" s="20" t="n"/>
      <c r="AC243" s="20" t="inlineStr">
        <is>
          <t>None</t>
        </is>
      </c>
      <c r="AD243" s="17" t="n"/>
      <c r="AE243" s="16" t="n"/>
      <c r="AF243" s="20" t="inlineStr">
        <is>
          <t>IC Anionen</t>
        </is>
      </c>
      <c r="AG243" s="20" t="inlineStr">
        <is>
          <t>None</t>
        </is>
      </c>
      <c r="AH243" s="17" t="n"/>
      <c r="AI243" s="16" t="n"/>
      <c r="AJ243" s="20" t="n"/>
      <c r="AK243" s="20" t="inlineStr">
        <is>
          <t>None</t>
        </is>
      </c>
      <c r="AL243" s="17" t="n"/>
      <c r="AM243" s="16" t="n"/>
      <c r="AN243" s="20" t="inlineStr">
        <is>
          <t>IC Anionen</t>
        </is>
      </c>
      <c r="AO243" s="20" t="inlineStr">
        <is>
          <t>None</t>
        </is>
      </c>
      <c r="AP243" s="17" t="n"/>
      <c r="AQ243" s="16" t="n"/>
      <c r="AR243" s="20" t="n"/>
      <c r="AS243" s="20" t="inlineStr">
        <is>
          <t>None</t>
        </is>
      </c>
      <c r="AT243" s="17" t="n"/>
      <c r="AU243" s="16" t="n"/>
      <c r="AV243" s="20" t="inlineStr">
        <is>
          <t>IC Anionen</t>
        </is>
      </c>
      <c r="AW243" s="20" t="inlineStr">
        <is>
          <t>None</t>
        </is>
      </c>
      <c r="AX243" s="17" t="n"/>
      <c r="AY243" s="16" t="n"/>
      <c r="AZ243" s="20" t="inlineStr">
        <is>
          <t>IC Anionen</t>
        </is>
      </c>
      <c r="BA243" s="20" t="inlineStr">
        <is>
          <t>None</t>
        </is>
      </c>
      <c r="BB243" s="17" t="n"/>
      <c r="BC243" s="16" t="n"/>
      <c r="BD243" s="20" t="inlineStr">
        <is>
          <t>IC Kationen</t>
        </is>
      </c>
      <c r="BE243" s="20" t="inlineStr">
        <is>
          <t>None</t>
        </is>
      </c>
      <c r="BF243" s="17" t="n"/>
      <c r="BG243" s="16" t="n"/>
      <c r="BH243" s="20" t="inlineStr">
        <is>
          <t>IC Kationen</t>
        </is>
      </c>
      <c r="BI243" s="20" t="inlineStr">
        <is>
          <t>None</t>
        </is>
      </c>
      <c r="BJ243" s="17" t="n"/>
      <c r="BK243" s="16" t="n"/>
      <c r="BL243" s="20" t="inlineStr">
        <is>
          <t>IC Kationen</t>
        </is>
      </c>
      <c r="BM243" s="20" t="inlineStr">
        <is>
          <t>None</t>
        </is>
      </c>
      <c r="BN243" s="17" t="n"/>
      <c r="BO243" s="16" t="n"/>
      <c r="BP243" s="20" t="inlineStr">
        <is>
          <t>IC Kationen</t>
        </is>
      </c>
      <c r="BQ243" s="20" t="inlineStr">
        <is>
          <t>None</t>
        </is>
      </c>
      <c r="BR243" s="17" t="n"/>
      <c r="BS243" s="16" t="n"/>
      <c r="BT243" s="20" t="inlineStr">
        <is>
          <t>IC Kationen</t>
        </is>
      </c>
      <c r="BU243" s="20" t="inlineStr">
        <is>
          <t>None</t>
        </is>
      </c>
      <c r="BV243" s="17" t="n"/>
      <c r="BW243" s="16" t="n"/>
      <c r="BX243" s="20" t="n"/>
      <c r="BY243" s="20" t="inlineStr">
        <is>
          <t>None</t>
        </is>
      </c>
      <c r="BZ243" s="17" t="n"/>
      <c r="CA243" s="16" t="n"/>
      <c r="CB243" s="20" t="n"/>
      <c r="CC243" s="20" t="inlineStr">
        <is>
          <t>None</t>
        </is>
      </c>
      <c r="CD243" s="17" t="n"/>
      <c r="CE243" s="16" t="n"/>
      <c r="CF243" s="20" t="n"/>
      <c r="CG243" s="20" t="inlineStr">
        <is>
          <t>None</t>
        </is>
      </c>
      <c r="CH243" s="17" t="n"/>
      <c r="CI243" s="16" t="n"/>
      <c r="CJ243" s="20" t="n"/>
      <c r="CK243" s="20" t="inlineStr">
        <is>
          <t>None</t>
        </is>
      </c>
      <c r="CL243" s="17" t="n"/>
      <c r="CM243" s="16" t="n"/>
      <c r="CN243" s="20" t="inlineStr">
        <is>
          <t>SOP 45-34</t>
        </is>
      </c>
      <c r="CO243" s="20" t="inlineStr">
        <is>
          <t>None</t>
        </is>
      </c>
      <c r="CP243" s="17" t="n"/>
      <c r="CQ243" s="16" t="n"/>
      <c r="CR243" s="20" t="n"/>
      <c r="CS243" s="20" t="inlineStr">
        <is>
          <t>None</t>
        </is>
      </c>
      <c r="CT243" s="17" t="n"/>
      <c r="CU243" s="16" t="n"/>
      <c r="CV243" s="20" t="n"/>
      <c r="CW243" s="20" t="inlineStr">
        <is>
          <t>None</t>
        </is>
      </c>
      <c r="CX243" s="17" t="n"/>
      <c r="CY243" s="16" t="n"/>
      <c r="CZ243" s="20" t="inlineStr">
        <is>
          <t>WTW Multimeter 3430 with FDO 925</t>
        </is>
      </c>
      <c r="DA243" s="20" t="inlineStr">
        <is>
          <t>None</t>
        </is>
      </c>
      <c r="DB243" s="17" t="n"/>
      <c r="DC243" s="16" t="n"/>
      <c r="DD243" s="20" t="n"/>
      <c r="DE243" s="20" t="inlineStr">
        <is>
          <t>None</t>
        </is>
      </c>
      <c r="DF243" s="17" t="n"/>
      <c r="DG243" s="16" t="n"/>
      <c r="DH243" s="20" t="inlineStr">
        <is>
          <t>SOP 45-09</t>
        </is>
      </c>
      <c r="DI243" s="20" t="inlineStr">
        <is>
          <t>None</t>
        </is>
      </c>
      <c r="DJ243" s="17" t="n"/>
      <c r="DK243" s="16" t="n"/>
      <c r="DL243" s="20" t="inlineStr">
        <is>
          <t>SOP 45-09 (SOP muss noch angepasst werden für VSS)</t>
        </is>
      </c>
      <c r="DM243" s="20" t="inlineStr">
        <is>
          <t>None</t>
        </is>
      </c>
      <c r="DN243" s="17" t="n"/>
      <c r="DO243" s="16" t="n"/>
      <c r="DP243" s="20" t="inlineStr">
        <is>
          <t>IC Organic Acids</t>
        </is>
      </c>
      <c r="DQ243" s="20" t="inlineStr">
        <is>
          <t>None</t>
        </is>
      </c>
      <c r="DR243" s="17" t="n"/>
      <c r="DS243" s="16" t="n"/>
      <c r="DT243" s="20" t="inlineStr">
        <is>
          <t>IC Organic Acids</t>
        </is>
      </c>
      <c r="DU243" s="20" t="inlineStr">
        <is>
          <t>None</t>
        </is>
      </c>
      <c r="DV243" s="17" t="n"/>
      <c r="DW243" s="16" t="n"/>
      <c r="DX243" s="20" t="inlineStr">
        <is>
          <t>IC Organic Acids</t>
        </is>
      </c>
      <c r="DY243" s="20" t="inlineStr">
        <is>
          <t>None</t>
        </is>
      </c>
      <c r="DZ243" s="17" t="n"/>
      <c r="EA243" s="16" t="n"/>
      <c r="EB243" s="20" t="inlineStr">
        <is>
          <t>IC Organic Acids</t>
        </is>
      </c>
      <c r="EC243" s="20" t="inlineStr">
        <is>
          <t>None</t>
        </is>
      </c>
      <c r="ED243" s="17" t="n"/>
      <c r="EE243" s="16" t="n"/>
      <c r="EF243" s="20" t="inlineStr">
        <is>
          <t>IC Organic Acids</t>
        </is>
      </c>
      <c r="EG243" s="20" t="inlineStr">
        <is>
          <t>None</t>
        </is>
      </c>
      <c r="EH243" s="17" t="n"/>
      <c r="EI243" s="16" t="n"/>
      <c r="EJ243" s="20" t="inlineStr">
        <is>
          <t>IC Organic Acids</t>
        </is>
      </c>
      <c r="EK243" s="20" t="inlineStr">
        <is>
          <t>None</t>
        </is>
      </c>
      <c r="EL243" s="17" t="n"/>
      <c r="EM243" s="16" t="n"/>
      <c r="EN243" s="20" t="inlineStr">
        <is>
          <t>IC Organic Acids</t>
        </is>
      </c>
      <c r="EO243" s="20" t="inlineStr">
        <is>
          <t>None</t>
        </is>
      </c>
      <c r="EP243" s="17" t="n"/>
      <c r="EQ243" s="16" t="n"/>
      <c r="ER243" s="20" t="inlineStr">
        <is>
          <t>IC Organic Acids</t>
        </is>
      </c>
      <c r="ES243" s="20" t="inlineStr">
        <is>
          <t>None</t>
        </is>
      </c>
      <c r="ET243" s="17" t="n"/>
      <c r="EU243" s="16" t="n"/>
      <c r="EV243" s="20" t="inlineStr">
        <is>
          <t>LC-MS</t>
        </is>
      </c>
      <c r="EW243" s="20" t="inlineStr">
        <is>
          <t>None</t>
        </is>
      </c>
      <c r="EX243" s="17" t="n"/>
      <c r="EY243" s="21" t="n"/>
      <c r="EZ243">
        <f>CONCATENATE(A243,B243)</f>
        <v/>
      </c>
      <c r="FA243">
        <f>CONCATENATE(SamplesX!A243,SamplesX!B243)</f>
        <v/>
      </c>
      <c r="FC243">
        <f>MATCH(EZ243,FA1:FA1008,0)</f>
        <v/>
      </c>
    </row>
    <row r="244">
      <c r="A244" s="16" t="inlineStr">
        <is>
          <t>BP</t>
        </is>
      </c>
      <c r="B244" s="17" t="inlineStr">
        <is>
          <t>25236</t>
        </is>
      </c>
      <c r="C244" s="10">
        <f>IF(ISNUMBER(FC244),INDIRECT("SamplesX!C"&amp;FC244),IF(ISNUMBER(FD244),INDIRECT("SamplesY!C"&amp;FD244),""))</f>
        <v/>
      </c>
      <c r="D244" s="12">
        <f>IF(ISNUMBER(FC244),INDIRECT("SamplesX!D"&amp;FC244),IF(ISNUMBER(FD244),INDIRECT("SamplesY!D"&amp;FD244),""))</f>
        <v/>
      </c>
      <c r="E244" s="12">
        <f>IF(ISNUMBER(FC244),INDIRECT("SamplesX!E"&amp;FC244),IF(ISNUMBER(FD244),INDIRECT("SamplesY!E"&amp;FD244),""))</f>
        <v/>
      </c>
      <c r="F244" s="11">
        <f>IF(ISNUMBER(FC244),INDIRECT("SamplesX!F"&amp;FC244),IF(ISNUMBER(FD244),INDIRECT("SamplesY!F"&amp;FD244),""))</f>
        <v/>
      </c>
      <c r="G244" s="18">
        <f>IF(ISNUMBER(FC244),INDIRECT("SamplesX!G"&amp;FC244),IF(ISNUMBER(FD244),INDIRECT("SamplesY!G"&amp;FD244),""))</f>
        <v/>
      </c>
      <c r="H244" s="19">
        <f>IF(ISNUMBER(FC244),INDIRECT("SamplesX!H"&amp;FC244),IF(ISNUMBER(FD244),INDIRECT("SamplesY!H"&amp;FD244),""))</f>
        <v/>
      </c>
      <c r="I244" s="16" t="n"/>
      <c r="J244" s="16" t="n"/>
      <c r="K244" s="16" t="n"/>
      <c r="L244" s="20" t="n"/>
      <c r="M244" s="20" t="inlineStr">
        <is>
          <t>None</t>
        </is>
      </c>
      <c r="N244" s="17" t="n"/>
      <c r="O244" s="16" t="n"/>
      <c r="P244" s="20" t="inlineStr">
        <is>
          <t>Shimadzu TOC-L</t>
        </is>
      </c>
      <c r="Q244" s="20" t="inlineStr">
        <is>
          <t>None</t>
        </is>
      </c>
      <c r="R244" s="17" t="n"/>
      <c r="S244" s="16" t="n"/>
      <c r="T244" s="20" t="inlineStr">
        <is>
          <t>Shimadzu TOC-L</t>
        </is>
      </c>
      <c r="U244" s="20" t="inlineStr">
        <is>
          <t>None</t>
        </is>
      </c>
      <c r="V244" s="17" t="n"/>
      <c r="W244" s="16" t="n"/>
      <c r="X244" s="20" t="n"/>
      <c r="Y244" s="20" t="inlineStr">
        <is>
          <t>None</t>
        </is>
      </c>
      <c r="Z244" s="17" t="n"/>
      <c r="AA244" s="16" t="n"/>
      <c r="AB244" s="20" t="n"/>
      <c r="AC244" s="20" t="inlineStr">
        <is>
          <t>None</t>
        </is>
      </c>
      <c r="AD244" s="17" t="n"/>
      <c r="AE244" s="16" t="n"/>
      <c r="AF244" s="20" t="inlineStr">
        <is>
          <t>IC Anionen</t>
        </is>
      </c>
      <c r="AG244" s="20" t="inlineStr">
        <is>
          <t>None</t>
        </is>
      </c>
      <c r="AH244" s="17" t="n"/>
      <c r="AI244" s="16" t="n"/>
      <c r="AJ244" s="20" t="n"/>
      <c r="AK244" s="20" t="inlineStr">
        <is>
          <t>None</t>
        </is>
      </c>
      <c r="AL244" s="17" t="n"/>
      <c r="AM244" s="16" t="n"/>
      <c r="AN244" s="20" t="inlineStr">
        <is>
          <t>IC Anionen</t>
        </is>
      </c>
      <c r="AO244" s="20" t="inlineStr">
        <is>
          <t>None</t>
        </is>
      </c>
      <c r="AP244" s="17" t="n"/>
      <c r="AQ244" s="16" t="n"/>
      <c r="AR244" s="20" t="n"/>
      <c r="AS244" s="20" t="inlineStr">
        <is>
          <t>None</t>
        </is>
      </c>
      <c r="AT244" s="17" t="n"/>
      <c r="AU244" s="16" t="n"/>
      <c r="AV244" s="20" t="inlineStr">
        <is>
          <t>IC Anionen</t>
        </is>
      </c>
      <c r="AW244" s="20" t="inlineStr">
        <is>
          <t>None</t>
        </is>
      </c>
      <c r="AX244" s="17" t="n"/>
      <c r="AY244" s="16" t="n"/>
      <c r="AZ244" s="20" t="inlineStr">
        <is>
          <t>IC Anionen</t>
        </is>
      </c>
      <c r="BA244" s="20" t="inlineStr">
        <is>
          <t>None</t>
        </is>
      </c>
      <c r="BB244" s="17" t="n"/>
      <c r="BC244" s="16" t="n"/>
      <c r="BD244" s="20" t="inlineStr">
        <is>
          <t>IC Kationen</t>
        </is>
      </c>
      <c r="BE244" s="20" t="inlineStr">
        <is>
          <t>None</t>
        </is>
      </c>
      <c r="BF244" s="17" t="n"/>
      <c r="BG244" s="16" t="n"/>
      <c r="BH244" s="20" t="inlineStr">
        <is>
          <t>IC Kationen</t>
        </is>
      </c>
      <c r="BI244" s="20" t="inlineStr">
        <is>
          <t>None</t>
        </is>
      </c>
      <c r="BJ244" s="17" t="n"/>
      <c r="BK244" s="16" t="n"/>
      <c r="BL244" s="20" t="inlineStr">
        <is>
          <t>IC Kationen</t>
        </is>
      </c>
      <c r="BM244" s="20" t="inlineStr">
        <is>
          <t>None</t>
        </is>
      </c>
      <c r="BN244" s="17" t="n"/>
      <c r="BO244" s="16" t="n"/>
      <c r="BP244" s="20" t="inlineStr">
        <is>
          <t>IC Kationen</t>
        </is>
      </c>
      <c r="BQ244" s="20" t="inlineStr">
        <is>
          <t>None</t>
        </is>
      </c>
      <c r="BR244" s="17" t="n"/>
      <c r="BS244" s="16" t="n"/>
      <c r="BT244" s="20" t="inlineStr">
        <is>
          <t>IC Kationen</t>
        </is>
      </c>
      <c r="BU244" s="20" t="inlineStr">
        <is>
          <t>None</t>
        </is>
      </c>
      <c r="BV244" s="17" t="n"/>
      <c r="BW244" s="16" t="n"/>
      <c r="BX244" s="20" t="n"/>
      <c r="BY244" s="20" t="inlineStr">
        <is>
          <t>None</t>
        </is>
      </c>
      <c r="BZ244" s="17" t="n"/>
      <c r="CA244" s="16" t="n"/>
      <c r="CB244" s="20" t="n"/>
      <c r="CC244" s="20" t="inlineStr">
        <is>
          <t>None</t>
        </is>
      </c>
      <c r="CD244" s="17" t="n"/>
      <c r="CE244" s="16" t="n"/>
      <c r="CF244" s="20" t="n"/>
      <c r="CG244" s="20" t="inlineStr">
        <is>
          <t>None</t>
        </is>
      </c>
      <c r="CH244" s="17" t="n"/>
      <c r="CI244" s="16" t="n"/>
      <c r="CJ244" s="20" t="n"/>
      <c r="CK244" s="20" t="inlineStr">
        <is>
          <t>None</t>
        </is>
      </c>
      <c r="CL244" s="17" t="n"/>
      <c r="CM244" s="16" t="n"/>
      <c r="CN244" s="20" t="inlineStr">
        <is>
          <t>SOP 45-34</t>
        </is>
      </c>
      <c r="CO244" s="20" t="inlineStr">
        <is>
          <t>None</t>
        </is>
      </c>
      <c r="CP244" s="17" t="n"/>
      <c r="CQ244" s="16" t="n"/>
      <c r="CR244" s="20" t="n"/>
      <c r="CS244" s="20" t="inlineStr">
        <is>
          <t>None</t>
        </is>
      </c>
      <c r="CT244" s="17" t="n"/>
      <c r="CU244" s="16" t="n"/>
      <c r="CV244" s="20" t="n"/>
      <c r="CW244" s="20" t="inlineStr">
        <is>
          <t>None</t>
        </is>
      </c>
      <c r="CX244" s="17" t="n"/>
      <c r="CY244" s="16" t="n"/>
      <c r="CZ244" s="20" t="inlineStr">
        <is>
          <t>WTW Multimeter 3430 with FDO 925</t>
        </is>
      </c>
      <c r="DA244" s="20" t="inlineStr">
        <is>
          <t>None</t>
        </is>
      </c>
      <c r="DB244" s="17" t="n"/>
      <c r="DC244" s="16" t="n"/>
      <c r="DD244" s="20" t="n"/>
      <c r="DE244" s="20" t="inlineStr">
        <is>
          <t>None</t>
        </is>
      </c>
      <c r="DF244" s="17" t="n"/>
      <c r="DG244" s="16" t="n"/>
      <c r="DH244" s="20" t="inlineStr">
        <is>
          <t>SOP 45-09</t>
        </is>
      </c>
      <c r="DI244" s="20" t="inlineStr">
        <is>
          <t>None</t>
        </is>
      </c>
      <c r="DJ244" s="17" t="n"/>
      <c r="DK244" s="16" t="n"/>
      <c r="DL244" s="20" t="inlineStr">
        <is>
          <t>SOP 45-09 (SOP muss noch angepasst werden für VSS)</t>
        </is>
      </c>
      <c r="DM244" s="20" t="inlineStr">
        <is>
          <t>None</t>
        </is>
      </c>
      <c r="DN244" s="17" t="n"/>
      <c r="DO244" s="16" t="n"/>
      <c r="DP244" s="20" t="inlineStr">
        <is>
          <t>IC Organic Acids</t>
        </is>
      </c>
      <c r="DQ244" s="20" t="inlineStr">
        <is>
          <t>None</t>
        </is>
      </c>
      <c r="DR244" s="17" t="n"/>
      <c r="DS244" s="16" t="n"/>
      <c r="DT244" s="20" t="inlineStr">
        <is>
          <t>IC Organic Acids</t>
        </is>
      </c>
      <c r="DU244" s="20" t="inlineStr">
        <is>
          <t>None</t>
        </is>
      </c>
      <c r="DV244" s="17" t="n"/>
      <c r="DW244" s="16" t="n"/>
      <c r="DX244" s="20" t="inlineStr">
        <is>
          <t>IC Organic Acids</t>
        </is>
      </c>
      <c r="DY244" s="20" t="inlineStr">
        <is>
          <t>None</t>
        </is>
      </c>
      <c r="DZ244" s="17" t="n"/>
      <c r="EA244" s="16" t="n"/>
      <c r="EB244" s="20" t="inlineStr">
        <is>
          <t>IC Organic Acids</t>
        </is>
      </c>
      <c r="EC244" s="20" t="inlineStr">
        <is>
          <t>None</t>
        </is>
      </c>
      <c r="ED244" s="17" t="n"/>
      <c r="EE244" s="16" t="n"/>
      <c r="EF244" s="20" t="inlineStr">
        <is>
          <t>IC Organic Acids</t>
        </is>
      </c>
      <c r="EG244" s="20" t="inlineStr">
        <is>
          <t>None</t>
        </is>
      </c>
      <c r="EH244" s="17" t="n"/>
      <c r="EI244" s="16" t="n"/>
      <c r="EJ244" s="20" t="inlineStr">
        <is>
          <t>IC Organic Acids</t>
        </is>
      </c>
      <c r="EK244" s="20" t="inlineStr">
        <is>
          <t>None</t>
        </is>
      </c>
      <c r="EL244" s="17" t="n"/>
      <c r="EM244" s="16" t="n"/>
      <c r="EN244" s="20" t="inlineStr">
        <is>
          <t>IC Organic Acids</t>
        </is>
      </c>
      <c r="EO244" s="20" t="inlineStr">
        <is>
          <t>None</t>
        </is>
      </c>
      <c r="EP244" s="17" t="n"/>
      <c r="EQ244" s="16" t="n"/>
      <c r="ER244" s="20" t="inlineStr">
        <is>
          <t>IC Organic Acids</t>
        </is>
      </c>
      <c r="ES244" s="20" t="inlineStr">
        <is>
          <t>None</t>
        </is>
      </c>
      <c r="ET244" s="17" t="n"/>
      <c r="EU244" s="16" t="n"/>
      <c r="EV244" s="20" t="inlineStr">
        <is>
          <t>LC-MS</t>
        </is>
      </c>
      <c r="EW244" s="20" t="inlineStr">
        <is>
          <t>None</t>
        </is>
      </c>
      <c r="EX244" s="17" t="n"/>
      <c r="EY244" s="21" t="n"/>
      <c r="EZ244">
        <f>CONCATENATE(A244,B244)</f>
        <v/>
      </c>
      <c r="FA244">
        <f>CONCATENATE(SamplesX!A244,SamplesX!B244)</f>
        <v/>
      </c>
      <c r="FC244">
        <f>MATCH(EZ244,FA1:FA1008,0)</f>
        <v/>
      </c>
    </row>
    <row r="245">
      <c r="A245" s="16" t="inlineStr">
        <is>
          <t>BP</t>
        </is>
      </c>
      <c r="B245" s="17" t="inlineStr">
        <is>
          <t>25237</t>
        </is>
      </c>
      <c r="C245" s="10">
        <f>IF(ISNUMBER(FC245),INDIRECT("SamplesX!C"&amp;FC245),IF(ISNUMBER(FD245),INDIRECT("SamplesY!C"&amp;FD245),""))</f>
        <v/>
      </c>
      <c r="D245" s="12">
        <f>IF(ISNUMBER(FC245),INDIRECT("SamplesX!D"&amp;FC245),IF(ISNUMBER(FD245),INDIRECT("SamplesY!D"&amp;FD245),""))</f>
        <v/>
      </c>
      <c r="E245" s="12">
        <f>IF(ISNUMBER(FC245),INDIRECT("SamplesX!E"&amp;FC245),IF(ISNUMBER(FD245),INDIRECT("SamplesY!E"&amp;FD245),""))</f>
        <v/>
      </c>
      <c r="F245" s="11">
        <f>IF(ISNUMBER(FC245),INDIRECT("SamplesX!F"&amp;FC245),IF(ISNUMBER(FD245),INDIRECT("SamplesY!F"&amp;FD245),""))</f>
        <v/>
      </c>
      <c r="G245" s="18">
        <f>IF(ISNUMBER(FC245),INDIRECT("SamplesX!G"&amp;FC245),IF(ISNUMBER(FD245),INDIRECT("SamplesY!G"&amp;FD245),""))</f>
        <v/>
      </c>
      <c r="H245" s="19">
        <f>IF(ISNUMBER(FC245),INDIRECT("SamplesX!H"&amp;FC245),IF(ISNUMBER(FD245),INDIRECT("SamplesY!H"&amp;FD245),""))</f>
        <v/>
      </c>
      <c r="I245" s="16" t="n"/>
      <c r="J245" s="16" t="n"/>
      <c r="K245" s="16" t="n"/>
      <c r="L245" s="20" t="n"/>
      <c r="M245" s="20" t="inlineStr">
        <is>
          <t>None</t>
        </is>
      </c>
      <c r="N245" s="17" t="n"/>
      <c r="O245" s="16" t="n"/>
      <c r="P245" s="20" t="inlineStr">
        <is>
          <t>Shimadzu TOC-L</t>
        </is>
      </c>
      <c r="Q245" s="20" t="inlineStr">
        <is>
          <t>None</t>
        </is>
      </c>
      <c r="R245" s="17" t="n"/>
      <c r="S245" s="16" t="n"/>
      <c r="T245" s="20" t="inlineStr">
        <is>
          <t>Shimadzu TOC-L</t>
        </is>
      </c>
      <c r="U245" s="20" t="inlineStr">
        <is>
          <t>None</t>
        </is>
      </c>
      <c r="V245" s="17" t="n"/>
      <c r="W245" s="16" t="n"/>
      <c r="X245" s="20" t="n"/>
      <c r="Y245" s="20" t="inlineStr">
        <is>
          <t>None</t>
        </is>
      </c>
      <c r="Z245" s="17" t="n"/>
      <c r="AA245" s="16" t="n"/>
      <c r="AB245" s="20" t="n"/>
      <c r="AC245" s="20" t="inlineStr">
        <is>
          <t>None</t>
        </is>
      </c>
      <c r="AD245" s="17" t="n"/>
      <c r="AE245" s="16" t="n"/>
      <c r="AF245" s="20" t="inlineStr">
        <is>
          <t>IC Anionen</t>
        </is>
      </c>
      <c r="AG245" s="20" t="inlineStr">
        <is>
          <t>None</t>
        </is>
      </c>
      <c r="AH245" s="17" t="n"/>
      <c r="AI245" s="16" t="n"/>
      <c r="AJ245" s="20" t="n"/>
      <c r="AK245" s="20" t="inlineStr">
        <is>
          <t>None</t>
        </is>
      </c>
      <c r="AL245" s="17" t="n"/>
      <c r="AM245" s="16" t="n"/>
      <c r="AN245" s="20" t="inlineStr">
        <is>
          <t>IC Anionen</t>
        </is>
      </c>
      <c r="AO245" s="20" t="inlineStr">
        <is>
          <t>None</t>
        </is>
      </c>
      <c r="AP245" s="17" t="n"/>
      <c r="AQ245" s="16" t="n"/>
      <c r="AR245" s="20" t="n"/>
      <c r="AS245" s="20" t="inlineStr">
        <is>
          <t>None</t>
        </is>
      </c>
      <c r="AT245" s="17" t="n"/>
      <c r="AU245" s="16" t="n"/>
      <c r="AV245" s="20" t="inlineStr">
        <is>
          <t>IC Anionen</t>
        </is>
      </c>
      <c r="AW245" s="20" t="inlineStr">
        <is>
          <t>None</t>
        </is>
      </c>
      <c r="AX245" s="17" t="n"/>
      <c r="AY245" s="16" t="n"/>
      <c r="AZ245" s="20" t="inlineStr">
        <is>
          <t>IC Anionen</t>
        </is>
      </c>
      <c r="BA245" s="20" t="inlineStr">
        <is>
          <t>None</t>
        </is>
      </c>
      <c r="BB245" s="17" t="n"/>
      <c r="BC245" s="16" t="n"/>
      <c r="BD245" s="20" t="inlineStr">
        <is>
          <t>IC Kationen</t>
        </is>
      </c>
      <c r="BE245" s="20" t="inlineStr">
        <is>
          <t>None</t>
        </is>
      </c>
      <c r="BF245" s="17" t="n"/>
      <c r="BG245" s="16" t="n"/>
      <c r="BH245" s="20" t="inlineStr">
        <is>
          <t>IC Kationen</t>
        </is>
      </c>
      <c r="BI245" s="20" t="inlineStr">
        <is>
          <t>None</t>
        </is>
      </c>
      <c r="BJ245" s="17" t="n"/>
      <c r="BK245" s="16" t="n"/>
      <c r="BL245" s="20" t="inlineStr">
        <is>
          <t>IC Kationen</t>
        </is>
      </c>
      <c r="BM245" s="20" t="inlineStr">
        <is>
          <t>None</t>
        </is>
      </c>
      <c r="BN245" s="17" t="n"/>
      <c r="BO245" s="16" t="n"/>
      <c r="BP245" s="20" t="inlineStr">
        <is>
          <t>IC Kationen</t>
        </is>
      </c>
      <c r="BQ245" s="20" t="inlineStr">
        <is>
          <t>None</t>
        </is>
      </c>
      <c r="BR245" s="17" t="n"/>
      <c r="BS245" s="16" t="n"/>
      <c r="BT245" s="20" t="inlineStr">
        <is>
          <t>IC Kationen</t>
        </is>
      </c>
      <c r="BU245" s="20" t="inlineStr">
        <is>
          <t>None</t>
        </is>
      </c>
      <c r="BV245" s="17" t="n"/>
      <c r="BW245" s="16" t="n"/>
      <c r="BX245" s="20" t="n"/>
      <c r="BY245" s="20" t="inlineStr">
        <is>
          <t>None</t>
        </is>
      </c>
      <c r="BZ245" s="17" t="n"/>
      <c r="CA245" s="16" t="n"/>
      <c r="CB245" s="20" t="n"/>
      <c r="CC245" s="20" t="inlineStr">
        <is>
          <t>None</t>
        </is>
      </c>
      <c r="CD245" s="17" t="n"/>
      <c r="CE245" s="16" t="n"/>
      <c r="CF245" s="20" t="n"/>
      <c r="CG245" s="20" t="inlineStr">
        <is>
          <t>None</t>
        </is>
      </c>
      <c r="CH245" s="17" t="n"/>
      <c r="CI245" s="16" t="n"/>
      <c r="CJ245" s="20" t="n"/>
      <c r="CK245" s="20" t="inlineStr">
        <is>
          <t>None</t>
        </is>
      </c>
      <c r="CL245" s="17" t="n"/>
      <c r="CM245" s="16" t="n"/>
      <c r="CN245" s="20" t="inlineStr">
        <is>
          <t>SOP 45-34</t>
        </is>
      </c>
      <c r="CO245" s="20" t="inlineStr">
        <is>
          <t>None</t>
        </is>
      </c>
      <c r="CP245" s="17" t="n"/>
      <c r="CQ245" s="16" t="n"/>
      <c r="CR245" s="20" t="n"/>
      <c r="CS245" s="20" t="inlineStr">
        <is>
          <t>None</t>
        </is>
      </c>
      <c r="CT245" s="17" t="n"/>
      <c r="CU245" s="16" t="n"/>
      <c r="CV245" s="20" t="n"/>
      <c r="CW245" s="20" t="inlineStr">
        <is>
          <t>None</t>
        </is>
      </c>
      <c r="CX245" s="17" t="n"/>
      <c r="CY245" s="16" t="n"/>
      <c r="CZ245" s="20" t="inlineStr">
        <is>
          <t>WTW Multimeter 3430 with FDO 925</t>
        </is>
      </c>
      <c r="DA245" s="20" t="inlineStr">
        <is>
          <t>None</t>
        </is>
      </c>
      <c r="DB245" s="17" t="n"/>
      <c r="DC245" s="16" t="n"/>
      <c r="DD245" s="20" t="n"/>
      <c r="DE245" s="20" t="inlineStr">
        <is>
          <t>None</t>
        </is>
      </c>
      <c r="DF245" s="17" t="n"/>
      <c r="DG245" s="16" t="n"/>
      <c r="DH245" s="20" t="inlineStr">
        <is>
          <t>SOP 45-09</t>
        </is>
      </c>
      <c r="DI245" s="20" t="inlineStr">
        <is>
          <t>None</t>
        </is>
      </c>
      <c r="DJ245" s="17" t="n"/>
      <c r="DK245" s="16" t="n"/>
      <c r="DL245" s="20" t="inlineStr">
        <is>
          <t>SOP 45-09 (SOP muss noch angepasst werden für VSS)</t>
        </is>
      </c>
      <c r="DM245" s="20" t="inlineStr">
        <is>
          <t>None</t>
        </is>
      </c>
      <c r="DN245" s="17" t="n"/>
      <c r="DO245" s="16" t="n"/>
      <c r="DP245" s="20" t="inlineStr">
        <is>
          <t>IC Organic Acids</t>
        </is>
      </c>
      <c r="DQ245" s="20" t="inlineStr">
        <is>
          <t>None</t>
        </is>
      </c>
      <c r="DR245" s="17" t="n"/>
      <c r="DS245" s="16" t="n"/>
      <c r="DT245" s="20" t="inlineStr">
        <is>
          <t>IC Organic Acids</t>
        </is>
      </c>
      <c r="DU245" s="20" t="inlineStr">
        <is>
          <t>None</t>
        </is>
      </c>
      <c r="DV245" s="17" t="n"/>
      <c r="DW245" s="16" t="n"/>
      <c r="DX245" s="20" t="inlineStr">
        <is>
          <t>IC Organic Acids</t>
        </is>
      </c>
      <c r="DY245" s="20" t="inlineStr">
        <is>
          <t>None</t>
        </is>
      </c>
      <c r="DZ245" s="17" t="n"/>
      <c r="EA245" s="16" t="n"/>
      <c r="EB245" s="20" t="inlineStr">
        <is>
          <t>IC Organic Acids</t>
        </is>
      </c>
      <c r="EC245" s="20" t="inlineStr">
        <is>
          <t>None</t>
        </is>
      </c>
      <c r="ED245" s="17" t="n"/>
      <c r="EE245" s="16" t="n"/>
      <c r="EF245" s="20" t="inlineStr">
        <is>
          <t>IC Organic Acids</t>
        </is>
      </c>
      <c r="EG245" s="20" t="inlineStr">
        <is>
          <t>None</t>
        </is>
      </c>
      <c r="EH245" s="17" t="n"/>
      <c r="EI245" s="16" t="n"/>
      <c r="EJ245" s="20" t="inlineStr">
        <is>
          <t>IC Organic Acids</t>
        </is>
      </c>
      <c r="EK245" s="20" t="inlineStr">
        <is>
          <t>None</t>
        </is>
      </c>
      <c r="EL245" s="17" t="n"/>
      <c r="EM245" s="16" t="n"/>
      <c r="EN245" s="20" t="inlineStr">
        <is>
          <t>IC Organic Acids</t>
        </is>
      </c>
      <c r="EO245" s="20" t="inlineStr">
        <is>
          <t>None</t>
        </is>
      </c>
      <c r="EP245" s="17" t="n"/>
      <c r="EQ245" s="16" t="n"/>
      <c r="ER245" s="20" t="inlineStr">
        <is>
          <t>IC Organic Acids</t>
        </is>
      </c>
      <c r="ES245" s="20" t="inlineStr">
        <is>
          <t>None</t>
        </is>
      </c>
      <c r="ET245" s="17" t="n"/>
      <c r="EU245" s="16" t="n"/>
      <c r="EV245" s="20" t="inlineStr">
        <is>
          <t>LC-MS</t>
        </is>
      </c>
      <c r="EW245" s="20" t="inlineStr">
        <is>
          <t>None</t>
        </is>
      </c>
      <c r="EX245" s="17" t="n"/>
      <c r="EY245" s="21" t="n"/>
      <c r="EZ245">
        <f>CONCATENATE(A245,B245)</f>
        <v/>
      </c>
      <c r="FA245">
        <f>CONCATENATE(SamplesX!A245,SamplesX!B245)</f>
        <v/>
      </c>
      <c r="FC245">
        <f>MATCH(EZ245,FA1:FA1008,0)</f>
        <v/>
      </c>
    </row>
    <row r="246">
      <c r="A246" s="16" t="inlineStr">
        <is>
          <t>BP</t>
        </is>
      </c>
      <c r="B246" s="17" t="inlineStr">
        <is>
          <t>25238</t>
        </is>
      </c>
      <c r="C246" s="10">
        <f>IF(ISNUMBER(FC246),INDIRECT("SamplesX!C"&amp;FC246),IF(ISNUMBER(FD246),INDIRECT("SamplesY!C"&amp;FD246),""))</f>
        <v/>
      </c>
      <c r="D246" s="12">
        <f>IF(ISNUMBER(FC246),INDIRECT("SamplesX!D"&amp;FC246),IF(ISNUMBER(FD246),INDIRECT("SamplesY!D"&amp;FD246),""))</f>
        <v/>
      </c>
      <c r="E246" s="12">
        <f>IF(ISNUMBER(FC246),INDIRECT("SamplesX!E"&amp;FC246),IF(ISNUMBER(FD246),INDIRECT("SamplesY!E"&amp;FD246),""))</f>
        <v/>
      </c>
      <c r="F246" s="11">
        <f>IF(ISNUMBER(FC246),INDIRECT("SamplesX!F"&amp;FC246),IF(ISNUMBER(FD246),INDIRECT("SamplesY!F"&amp;FD246),""))</f>
        <v/>
      </c>
      <c r="G246" s="18">
        <f>IF(ISNUMBER(FC246),INDIRECT("SamplesX!G"&amp;FC246),IF(ISNUMBER(FD246),INDIRECT("SamplesY!G"&amp;FD246),""))</f>
        <v/>
      </c>
      <c r="H246" s="19">
        <f>IF(ISNUMBER(FC246),INDIRECT("SamplesX!H"&amp;FC246),IF(ISNUMBER(FD246),INDIRECT("SamplesY!H"&amp;FD246),""))</f>
        <v/>
      </c>
      <c r="I246" s="16" t="n"/>
      <c r="J246" s="16" t="n"/>
      <c r="K246" s="16" t="n"/>
      <c r="L246" s="20" t="n"/>
      <c r="M246" s="20" t="inlineStr">
        <is>
          <t>None</t>
        </is>
      </c>
      <c r="N246" s="17" t="n"/>
      <c r="O246" s="16" t="n"/>
      <c r="P246" s="20" t="inlineStr">
        <is>
          <t>Shimadzu TOC-L</t>
        </is>
      </c>
      <c r="Q246" s="20" t="inlineStr">
        <is>
          <t>None</t>
        </is>
      </c>
      <c r="R246" s="17" t="n"/>
      <c r="S246" s="16" t="n"/>
      <c r="T246" s="20" t="inlineStr">
        <is>
          <t>Shimadzu TOC-L</t>
        </is>
      </c>
      <c r="U246" s="20" t="inlineStr">
        <is>
          <t>None</t>
        </is>
      </c>
      <c r="V246" s="17" t="n"/>
      <c r="W246" s="16" t="n"/>
      <c r="X246" s="20" t="n"/>
      <c r="Y246" s="20" t="inlineStr">
        <is>
          <t>None</t>
        </is>
      </c>
      <c r="Z246" s="17" t="n"/>
      <c r="AA246" s="16" t="n"/>
      <c r="AB246" s="20" t="n"/>
      <c r="AC246" s="20" t="inlineStr">
        <is>
          <t>None</t>
        </is>
      </c>
      <c r="AD246" s="17" t="n"/>
      <c r="AE246" s="16" t="n"/>
      <c r="AF246" s="20" t="inlineStr">
        <is>
          <t>IC Anionen</t>
        </is>
      </c>
      <c r="AG246" s="20" t="inlineStr">
        <is>
          <t>None</t>
        </is>
      </c>
      <c r="AH246" s="17" t="n"/>
      <c r="AI246" s="16" t="n"/>
      <c r="AJ246" s="20" t="n"/>
      <c r="AK246" s="20" t="inlineStr">
        <is>
          <t>None</t>
        </is>
      </c>
      <c r="AL246" s="17" t="n"/>
      <c r="AM246" s="16" t="n"/>
      <c r="AN246" s="20" t="inlineStr">
        <is>
          <t>IC Anionen</t>
        </is>
      </c>
      <c r="AO246" s="20" t="inlineStr">
        <is>
          <t>None</t>
        </is>
      </c>
      <c r="AP246" s="17" t="n"/>
      <c r="AQ246" s="16" t="n"/>
      <c r="AR246" s="20" t="n"/>
      <c r="AS246" s="20" t="inlineStr">
        <is>
          <t>None</t>
        </is>
      </c>
      <c r="AT246" s="17" t="n"/>
      <c r="AU246" s="16" t="n"/>
      <c r="AV246" s="20" t="inlineStr">
        <is>
          <t>IC Anionen</t>
        </is>
      </c>
      <c r="AW246" s="20" t="inlineStr">
        <is>
          <t>None</t>
        </is>
      </c>
      <c r="AX246" s="17" t="n"/>
      <c r="AY246" s="16" t="n"/>
      <c r="AZ246" s="20" t="inlineStr">
        <is>
          <t>IC Anionen</t>
        </is>
      </c>
      <c r="BA246" s="20" t="inlineStr">
        <is>
          <t>None</t>
        </is>
      </c>
      <c r="BB246" s="17" t="n"/>
      <c r="BC246" s="16" t="n"/>
      <c r="BD246" s="20" t="inlineStr">
        <is>
          <t>IC Kationen</t>
        </is>
      </c>
      <c r="BE246" s="20" t="inlineStr">
        <is>
          <t>None</t>
        </is>
      </c>
      <c r="BF246" s="17" t="n"/>
      <c r="BG246" s="16" t="n"/>
      <c r="BH246" s="20" t="inlineStr">
        <is>
          <t>IC Kationen</t>
        </is>
      </c>
      <c r="BI246" s="20" t="inlineStr">
        <is>
          <t>None</t>
        </is>
      </c>
      <c r="BJ246" s="17" t="n"/>
      <c r="BK246" s="16" t="n"/>
      <c r="BL246" s="20" t="inlineStr">
        <is>
          <t>IC Kationen</t>
        </is>
      </c>
      <c r="BM246" s="20" t="inlineStr">
        <is>
          <t>None</t>
        </is>
      </c>
      <c r="BN246" s="17" t="n"/>
      <c r="BO246" s="16" t="n"/>
      <c r="BP246" s="20" t="inlineStr">
        <is>
          <t>IC Kationen</t>
        </is>
      </c>
      <c r="BQ246" s="20" t="inlineStr">
        <is>
          <t>None</t>
        </is>
      </c>
      <c r="BR246" s="17" t="n"/>
      <c r="BS246" s="16" t="n"/>
      <c r="BT246" s="20" t="inlineStr">
        <is>
          <t>IC Kationen</t>
        </is>
      </c>
      <c r="BU246" s="20" t="inlineStr">
        <is>
          <t>None</t>
        </is>
      </c>
      <c r="BV246" s="17" t="n"/>
      <c r="BW246" s="16" t="n"/>
      <c r="BX246" s="20" t="n"/>
      <c r="BY246" s="20" t="inlineStr">
        <is>
          <t>None</t>
        </is>
      </c>
      <c r="BZ246" s="17" t="n"/>
      <c r="CA246" s="16" t="n"/>
      <c r="CB246" s="20" t="n"/>
      <c r="CC246" s="20" t="inlineStr">
        <is>
          <t>None</t>
        </is>
      </c>
      <c r="CD246" s="17" t="n"/>
      <c r="CE246" s="16" t="n"/>
      <c r="CF246" s="20" t="n"/>
      <c r="CG246" s="20" t="inlineStr">
        <is>
          <t>None</t>
        </is>
      </c>
      <c r="CH246" s="17" t="n"/>
      <c r="CI246" s="16" t="n"/>
      <c r="CJ246" s="20" t="n"/>
      <c r="CK246" s="20" t="inlineStr">
        <is>
          <t>None</t>
        </is>
      </c>
      <c r="CL246" s="17" t="n"/>
      <c r="CM246" s="16" t="n"/>
      <c r="CN246" s="20" t="inlineStr">
        <is>
          <t>SOP 45-34</t>
        </is>
      </c>
      <c r="CO246" s="20" t="inlineStr">
        <is>
          <t>None</t>
        </is>
      </c>
      <c r="CP246" s="17" t="n"/>
      <c r="CQ246" s="16" t="n"/>
      <c r="CR246" s="20" t="n"/>
      <c r="CS246" s="20" t="inlineStr">
        <is>
          <t>None</t>
        </is>
      </c>
      <c r="CT246" s="17" t="n"/>
      <c r="CU246" s="16" t="n"/>
      <c r="CV246" s="20" t="n"/>
      <c r="CW246" s="20" t="inlineStr">
        <is>
          <t>None</t>
        </is>
      </c>
      <c r="CX246" s="17" t="n"/>
      <c r="CY246" s="16" t="n"/>
      <c r="CZ246" s="20" t="inlineStr">
        <is>
          <t>WTW Multimeter 3430 with FDO 925</t>
        </is>
      </c>
      <c r="DA246" s="20" t="inlineStr">
        <is>
          <t>None</t>
        </is>
      </c>
      <c r="DB246" s="17" t="n"/>
      <c r="DC246" s="16" t="n"/>
      <c r="DD246" s="20" t="n"/>
      <c r="DE246" s="20" t="inlineStr">
        <is>
          <t>None</t>
        </is>
      </c>
      <c r="DF246" s="17" t="n"/>
      <c r="DG246" s="16" t="n"/>
      <c r="DH246" s="20" t="inlineStr">
        <is>
          <t>SOP 45-09</t>
        </is>
      </c>
      <c r="DI246" s="20" t="inlineStr">
        <is>
          <t>None</t>
        </is>
      </c>
      <c r="DJ246" s="17" t="n"/>
      <c r="DK246" s="16" t="n"/>
      <c r="DL246" s="20" t="inlineStr">
        <is>
          <t>SOP 45-09 (SOP muss noch angepasst werden für VSS)</t>
        </is>
      </c>
      <c r="DM246" s="20" t="inlineStr">
        <is>
          <t>None</t>
        </is>
      </c>
      <c r="DN246" s="17" t="n"/>
      <c r="DO246" s="16" t="n"/>
      <c r="DP246" s="20" t="inlineStr">
        <is>
          <t>IC Organic Acids</t>
        </is>
      </c>
      <c r="DQ246" s="20" t="inlineStr">
        <is>
          <t>None</t>
        </is>
      </c>
      <c r="DR246" s="17" t="n"/>
      <c r="DS246" s="16" t="n"/>
      <c r="DT246" s="20" t="inlineStr">
        <is>
          <t>IC Organic Acids</t>
        </is>
      </c>
      <c r="DU246" s="20" t="inlineStr">
        <is>
          <t>None</t>
        </is>
      </c>
      <c r="DV246" s="17" t="n"/>
      <c r="DW246" s="16" t="n"/>
      <c r="DX246" s="20" t="inlineStr">
        <is>
          <t>IC Organic Acids</t>
        </is>
      </c>
      <c r="DY246" s="20" t="inlineStr">
        <is>
          <t>None</t>
        </is>
      </c>
      <c r="DZ246" s="17" t="n"/>
      <c r="EA246" s="16" t="n"/>
      <c r="EB246" s="20" t="inlineStr">
        <is>
          <t>IC Organic Acids</t>
        </is>
      </c>
      <c r="EC246" s="20" t="inlineStr">
        <is>
          <t>None</t>
        </is>
      </c>
      <c r="ED246" s="17" t="n"/>
      <c r="EE246" s="16" t="n"/>
      <c r="EF246" s="20" t="inlineStr">
        <is>
          <t>IC Organic Acids</t>
        </is>
      </c>
      <c r="EG246" s="20" t="inlineStr">
        <is>
          <t>None</t>
        </is>
      </c>
      <c r="EH246" s="17" t="n"/>
      <c r="EI246" s="16" t="n"/>
      <c r="EJ246" s="20" t="inlineStr">
        <is>
          <t>IC Organic Acids</t>
        </is>
      </c>
      <c r="EK246" s="20" t="inlineStr">
        <is>
          <t>None</t>
        </is>
      </c>
      <c r="EL246" s="17" t="n"/>
      <c r="EM246" s="16" t="n"/>
      <c r="EN246" s="20" t="inlineStr">
        <is>
          <t>IC Organic Acids</t>
        </is>
      </c>
      <c r="EO246" s="20" t="inlineStr">
        <is>
          <t>None</t>
        </is>
      </c>
      <c r="EP246" s="17" t="n"/>
      <c r="EQ246" s="16" t="n"/>
      <c r="ER246" s="20" t="inlineStr">
        <is>
          <t>IC Organic Acids</t>
        </is>
      </c>
      <c r="ES246" s="20" t="inlineStr">
        <is>
          <t>None</t>
        </is>
      </c>
      <c r="ET246" s="17" t="n"/>
      <c r="EU246" s="16" t="n"/>
      <c r="EV246" s="20" t="inlineStr">
        <is>
          <t>LC-MS</t>
        </is>
      </c>
      <c r="EW246" s="20" t="inlineStr">
        <is>
          <t>None</t>
        </is>
      </c>
      <c r="EX246" s="17" t="n"/>
      <c r="EY246" s="21" t="n"/>
      <c r="EZ246">
        <f>CONCATENATE(A246,B246)</f>
        <v/>
      </c>
      <c r="FA246">
        <f>CONCATENATE(SamplesX!A246,SamplesX!B246)</f>
        <v/>
      </c>
      <c r="FC246">
        <f>MATCH(EZ246,FA1:FA1008,0)</f>
        <v/>
      </c>
    </row>
    <row r="247">
      <c r="A247" s="16" t="inlineStr">
        <is>
          <t>BP</t>
        </is>
      </c>
      <c r="B247" s="17" t="inlineStr">
        <is>
          <t>25239</t>
        </is>
      </c>
      <c r="C247" s="10">
        <f>IF(ISNUMBER(FC247),INDIRECT("SamplesX!C"&amp;FC247),IF(ISNUMBER(FD247),INDIRECT("SamplesY!C"&amp;FD247),""))</f>
        <v/>
      </c>
      <c r="D247" s="12">
        <f>IF(ISNUMBER(FC247),INDIRECT("SamplesX!D"&amp;FC247),IF(ISNUMBER(FD247),INDIRECT("SamplesY!D"&amp;FD247),""))</f>
        <v/>
      </c>
      <c r="E247" s="12">
        <f>IF(ISNUMBER(FC247),INDIRECT("SamplesX!E"&amp;FC247),IF(ISNUMBER(FD247),INDIRECT("SamplesY!E"&amp;FD247),""))</f>
        <v/>
      </c>
      <c r="F247" s="11">
        <f>IF(ISNUMBER(FC247),INDIRECT("SamplesX!F"&amp;FC247),IF(ISNUMBER(FD247),INDIRECT("SamplesY!F"&amp;FD247),""))</f>
        <v/>
      </c>
      <c r="G247" s="18">
        <f>IF(ISNUMBER(FC247),INDIRECT("SamplesX!G"&amp;FC247),IF(ISNUMBER(FD247),INDIRECT("SamplesY!G"&amp;FD247),""))</f>
        <v/>
      </c>
      <c r="H247" s="19">
        <f>IF(ISNUMBER(FC247),INDIRECT("SamplesX!H"&amp;FC247),IF(ISNUMBER(FD247),INDIRECT("SamplesY!H"&amp;FD247),""))</f>
        <v/>
      </c>
      <c r="I247" s="16" t="n"/>
      <c r="J247" s="16" t="n"/>
      <c r="K247" s="16" t="n"/>
      <c r="L247" s="20" t="n"/>
      <c r="M247" s="20" t="inlineStr">
        <is>
          <t>None</t>
        </is>
      </c>
      <c r="N247" s="17" t="n"/>
      <c r="O247" s="16" t="n"/>
      <c r="P247" s="20" t="inlineStr">
        <is>
          <t>Shimadzu TOC-L</t>
        </is>
      </c>
      <c r="Q247" s="20" t="inlineStr">
        <is>
          <t>None</t>
        </is>
      </c>
      <c r="R247" s="17" t="n"/>
      <c r="S247" s="16" t="n"/>
      <c r="T247" s="20" t="inlineStr">
        <is>
          <t>Shimadzu TOC-L</t>
        </is>
      </c>
      <c r="U247" s="20" t="inlineStr">
        <is>
          <t>None</t>
        </is>
      </c>
      <c r="V247" s="17" t="n"/>
      <c r="W247" s="16" t="n"/>
      <c r="X247" s="20" t="n"/>
      <c r="Y247" s="20" t="inlineStr">
        <is>
          <t>None</t>
        </is>
      </c>
      <c r="Z247" s="17" t="n"/>
      <c r="AA247" s="16" t="n"/>
      <c r="AB247" s="20" t="n"/>
      <c r="AC247" s="20" t="inlineStr">
        <is>
          <t>None</t>
        </is>
      </c>
      <c r="AD247" s="17" t="n"/>
      <c r="AE247" s="16" t="n"/>
      <c r="AF247" s="20" t="inlineStr">
        <is>
          <t>IC Anionen</t>
        </is>
      </c>
      <c r="AG247" s="20" t="inlineStr">
        <is>
          <t>None</t>
        </is>
      </c>
      <c r="AH247" s="17" t="n"/>
      <c r="AI247" s="16" t="n"/>
      <c r="AJ247" s="20" t="n"/>
      <c r="AK247" s="20" t="inlineStr">
        <is>
          <t>None</t>
        </is>
      </c>
      <c r="AL247" s="17" t="n"/>
      <c r="AM247" s="16" t="n"/>
      <c r="AN247" s="20" t="inlineStr">
        <is>
          <t>IC Anionen</t>
        </is>
      </c>
      <c r="AO247" s="20" t="inlineStr">
        <is>
          <t>None</t>
        </is>
      </c>
      <c r="AP247" s="17" t="n"/>
      <c r="AQ247" s="16" t="n"/>
      <c r="AR247" s="20" t="n"/>
      <c r="AS247" s="20" t="inlineStr">
        <is>
          <t>None</t>
        </is>
      </c>
      <c r="AT247" s="17" t="n"/>
      <c r="AU247" s="16" t="n"/>
      <c r="AV247" s="20" t="inlineStr">
        <is>
          <t>IC Anionen</t>
        </is>
      </c>
      <c r="AW247" s="20" t="inlineStr">
        <is>
          <t>None</t>
        </is>
      </c>
      <c r="AX247" s="17" t="n"/>
      <c r="AY247" s="16" t="n"/>
      <c r="AZ247" s="20" t="inlineStr">
        <is>
          <t>IC Anionen</t>
        </is>
      </c>
      <c r="BA247" s="20" t="inlineStr">
        <is>
          <t>None</t>
        </is>
      </c>
      <c r="BB247" s="17" t="n"/>
      <c r="BC247" s="16" t="n"/>
      <c r="BD247" s="20" t="inlineStr">
        <is>
          <t>IC Kationen</t>
        </is>
      </c>
      <c r="BE247" s="20" t="inlineStr">
        <is>
          <t>None</t>
        </is>
      </c>
      <c r="BF247" s="17" t="n"/>
      <c r="BG247" s="16" t="n"/>
      <c r="BH247" s="20" t="inlineStr">
        <is>
          <t>IC Kationen</t>
        </is>
      </c>
      <c r="BI247" s="20" t="inlineStr">
        <is>
          <t>None</t>
        </is>
      </c>
      <c r="BJ247" s="17" t="n"/>
      <c r="BK247" s="16" t="n"/>
      <c r="BL247" s="20" t="inlineStr">
        <is>
          <t>IC Kationen</t>
        </is>
      </c>
      <c r="BM247" s="20" t="inlineStr">
        <is>
          <t>None</t>
        </is>
      </c>
      <c r="BN247" s="17" t="n"/>
      <c r="BO247" s="16" t="n"/>
      <c r="BP247" s="20" t="inlineStr">
        <is>
          <t>IC Kationen</t>
        </is>
      </c>
      <c r="BQ247" s="20" t="inlineStr">
        <is>
          <t>None</t>
        </is>
      </c>
      <c r="BR247" s="17" t="n"/>
      <c r="BS247" s="16" t="n"/>
      <c r="BT247" s="20" t="inlineStr">
        <is>
          <t>IC Kationen</t>
        </is>
      </c>
      <c r="BU247" s="20" t="inlineStr">
        <is>
          <t>None</t>
        </is>
      </c>
      <c r="BV247" s="17" t="n"/>
      <c r="BW247" s="16" t="n"/>
      <c r="BX247" s="20" t="n"/>
      <c r="BY247" s="20" t="inlineStr">
        <is>
          <t>None</t>
        </is>
      </c>
      <c r="BZ247" s="17" t="n"/>
      <c r="CA247" s="16" t="n"/>
      <c r="CB247" s="20" t="n"/>
      <c r="CC247" s="20" t="inlineStr">
        <is>
          <t>None</t>
        </is>
      </c>
      <c r="CD247" s="17" t="n"/>
      <c r="CE247" s="16" t="n"/>
      <c r="CF247" s="20" t="n"/>
      <c r="CG247" s="20" t="inlineStr">
        <is>
          <t>None</t>
        </is>
      </c>
      <c r="CH247" s="17" t="n"/>
      <c r="CI247" s="16" t="n"/>
      <c r="CJ247" s="20" t="n"/>
      <c r="CK247" s="20" t="inlineStr">
        <is>
          <t>None</t>
        </is>
      </c>
      <c r="CL247" s="17" t="n"/>
      <c r="CM247" s="16" t="n"/>
      <c r="CN247" s="20" t="inlineStr">
        <is>
          <t>SOP 45-34</t>
        </is>
      </c>
      <c r="CO247" s="20" t="inlineStr">
        <is>
          <t>None</t>
        </is>
      </c>
      <c r="CP247" s="17" t="n"/>
      <c r="CQ247" s="16" t="n"/>
      <c r="CR247" s="20" t="n"/>
      <c r="CS247" s="20" t="inlineStr">
        <is>
          <t>None</t>
        </is>
      </c>
      <c r="CT247" s="17" t="n"/>
      <c r="CU247" s="16" t="n"/>
      <c r="CV247" s="20" t="n"/>
      <c r="CW247" s="20" t="inlineStr">
        <is>
          <t>None</t>
        </is>
      </c>
      <c r="CX247" s="17" t="n"/>
      <c r="CY247" s="16" t="n"/>
      <c r="CZ247" s="20" t="inlineStr">
        <is>
          <t>WTW Multimeter 3430 with FDO 925</t>
        </is>
      </c>
      <c r="DA247" s="20" t="inlineStr">
        <is>
          <t>None</t>
        </is>
      </c>
      <c r="DB247" s="17" t="n"/>
      <c r="DC247" s="16" t="n"/>
      <c r="DD247" s="20" t="n"/>
      <c r="DE247" s="20" t="inlineStr">
        <is>
          <t>None</t>
        </is>
      </c>
      <c r="DF247" s="17" t="n"/>
      <c r="DG247" s="16" t="n"/>
      <c r="DH247" s="20" t="inlineStr">
        <is>
          <t>SOP 45-09</t>
        </is>
      </c>
      <c r="DI247" s="20" t="inlineStr">
        <is>
          <t>None</t>
        </is>
      </c>
      <c r="DJ247" s="17" t="n"/>
      <c r="DK247" s="16" t="n"/>
      <c r="DL247" s="20" t="inlineStr">
        <is>
          <t>SOP 45-09 (SOP muss noch angepasst werden für VSS)</t>
        </is>
      </c>
      <c r="DM247" s="20" t="inlineStr">
        <is>
          <t>None</t>
        </is>
      </c>
      <c r="DN247" s="17" t="n"/>
      <c r="DO247" s="16" t="n"/>
      <c r="DP247" s="20" t="inlineStr">
        <is>
          <t>IC Organic Acids</t>
        </is>
      </c>
      <c r="DQ247" s="20" t="inlineStr">
        <is>
          <t>None</t>
        </is>
      </c>
      <c r="DR247" s="17" t="n"/>
      <c r="DS247" s="16" t="n"/>
      <c r="DT247" s="20" t="inlineStr">
        <is>
          <t>IC Organic Acids</t>
        </is>
      </c>
      <c r="DU247" s="20" t="inlineStr">
        <is>
          <t>None</t>
        </is>
      </c>
      <c r="DV247" s="17" t="n"/>
      <c r="DW247" s="16" t="n"/>
      <c r="DX247" s="20" t="inlineStr">
        <is>
          <t>IC Organic Acids</t>
        </is>
      </c>
      <c r="DY247" s="20" t="inlineStr">
        <is>
          <t>None</t>
        </is>
      </c>
      <c r="DZ247" s="17" t="n"/>
      <c r="EA247" s="16" t="n"/>
      <c r="EB247" s="20" t="inlineStr">
        <is>
          <t>IC Organic Acids</t>
        </is>
      </c>
      <c r="EC247" s="20" t="inlineStr">
        <is>
          <t>None</t>
        </is>
      </c>
      <c r="ED247" s="17" t="n"/>
      <c r="EE247" s="16" t="n"/>
      <c r="EF247" s="20" t="inlineStr">
        <is>
          <t>IC Organic Acids</t>
        </is>
      </c>
      <c r="EG247" s="20" t="inlineStr">
        <is>
          <t>None</t>
        </is>
      </c>
      <c r="EH247" s="17" t="n"/>
      <c r="EI247" s="16" t="n"/>
      <c r="EJ247" s="20" t="inlineStr">
        <is>
          <t>IC Organic Acids</t>
        </is>
      </c>
      <c r="EK247" s="20" t="inlineStr">
        <is>
          <t>None</t>
        </is>
      </c>
      <c r="EL247" s="17" t="n"/>
      <c r="EM247" s="16" t="n"/>
      <c r="EN247" s="20" t="inlineStr">
        <is>
          <t>IC Organic Acids</t>
        </is>
      </c>
      <c r="EO247" s="20" t="inlineStr">
        <is>
          <t>None</t>
        </is>
      </c>
      <c r="EP247" s="17" t="n"/>
      <c r="EQ247" s="16" t="n"/>
      <c r="ER247" s="20" t="inlineStr">
        <is>
          <t>IC Organic Acids</t>
        </is>
      </c>
      <c r="ES247" s="20" t="inlineStr">
        <is>
          <t>None</t>
        </is>
      </c>
      <c r="ET247" s="17" t="n"/>
      <c r="EU247" s="16" t="n"/>
      <c r="EV247" s="20" t="inlineStr">
        <is>
          <t>LC-MS</t>
        </is>
      </c>
      <c r="EW247" s="20" t="inlineStr">
        <is>
          <t>None</t>
        </is>
      </c>
      <c r="EX247" s="17" t="n"/>
      <c r="EY247" s="21" t="n"/>
      <c r="EZ247">
        <f>CONCATENATE(A247,B247)</f>
        <v/>
      </c>
      <c r="FA247">
        <f>CONCATENATE(SamplesX!A247,SamplesX!B247)</f>
        <v/>
      </c>
      <c r="FC247">
        <f>MATCH(EZ247,FA1:FA1008,0)</f>
        <v/>
      </c>
    </row>
    <row r="248">
      <c r="A248" s="16" t="inlineStr">
        <is>
          <t>BP</t>
        </is>
      </c>
      <c r="B248" s="17" t="inlineStr">
        <is>
          <t>25240</t>
        </is>
      </c>
      <c r="C248" s="10">
        <f>IF(ISNUMBER(FC248),INDIRECT("SamplesX!C"&amp;FC248),IF(ISNUMBER(FD248),INDIRECT("SamplesY!C"&amp;FD248),""))</f>
        <v/>
      </c>
      <c r="D248" s="12">
        <f>IF(ISNUMBER(FC248),INDIRECT("SamplesX!D"&amp;FC248),IF(ISNUMBER(FD248),INDIRECT("SamplesY!D"&amp;FD248),""))</f>
        <v/>
      </c>
      <c r="E248" s="12">
        <f>IF(ISNUMBER(FC248),INDIRECT("SamplesX!E"&amp;FC248),IF(ISNUMBER(FD248),INDIRECT("SamplesY!E"&amp;FD248),""))</f>
        <v/>
      </c>
      <c r="F248" s="11">
        <f>IF(ISNUMBER(FC248),INDIRECT("SamplesX!F"&amp;FC248),IF(ISNUMBER(FD248),INDIRECT("SamplesY!F"&amp;FD248),""))</f>
        <v/>
      </c>
      <c r="G248" s="18">
        <f>IF(ISNUMBER(FC248),INDIRECT("SamplesX!G"&amp;FC248),IF(ISNUMBER(FD248),INDIRECT("SamplesY!G"&amp;FD248),""))</f>
        <v/>
      </c>
      <c r="H248" s="19">
        <f>IF(ISNUMBER(FC248),INDIRECT("SamplesX!H"&amp;FC248),IF(ISNUMBER(FD248),INDIRECT("SamplesY!H"&amp;FD248),""))</f>
        <v/>
      </c>
      <c r="I248" s="16" t="n"/>
      <c r="J248" s="16" t="n"/>
      <c r="K248" s="16" t="n"/>
      <c r="L248" s="20" t="n"/>
      <c r="M248" s="20" t="inlineStr">
        <is>
          <t>None</t>
        </is>
      </c>
      <c r="N248" s="17" t="n"/>
      <c r="O248" s="16" t="n"/>
      <c r="P248" s="20" t="inlineStr">
        <is>
          <t>Shimadzu TOC-L</t>
        </is>
      </c>
      <c r="Q248" s="20" t="inlineStr">
        <is>
          <t>None</t>
        </is>
      </c>
      <c r="R248" s="17" t="n"/>
      <c r="S248" s="16" t="n"/>
      <c r="T248" s="20" t="inlineStr">
        <is>
          <t>Shimadzu TOC-L</t>
        </is>
      </c>
      <c r="U248" s="20" t="inlineStr">
        <is>
          <t>None</t>
        </is>
      </c>
      <c r="V248" s="17" t="n"/>
      <c r="W248" s="16" t="n"/>
      <c r="X248" s="20" t="n"/>
      <c r="Y248" s="20" t="inlineStr">
        <is>
          <t>None</t>
        </is>
      </c>
      <c r="Z248" s="17" t="n"/>
      <c r="AA248" s="16" t="n"/>
      <c r="AB248" s="20" t="n"/>
      <c r="AC248" s="20" t="inlineStr">
        <is>
          <t>None</t>
        </is>
      </c>
      <c r="AD248" s="17" t="n"/>
      <c r="AE248" s="16" t="n"/>
      <c r="AF248" s="20" t="inlineStr">
        <is>
          <t>IC Anionen</t>
        </is>
      </c>
      <c r="AG248" s="20" t="inlineStr">
        <is>
          <t>None</t>
        </is>
      </c>
      <c r="AH248" s="17" t="n"/>
      <c r="AI248" s="16" t="n"/>
      <c r="AJ248" s="20" t="n"/>
      <c r="AK248" s="20" t="inlineStr">
        <is>
          <t>None</t>
        </is>
      </c>
      <c r="AL248" s="17" t="n"/>
      <c r="AM248" s="16" t="n"/>
      <c r="AN248" s="20" t="inlineStr">
        <is>
          <t>IC Anionen</t>
        </is>
      </c>
      <c r="AO248" s="20" t="inlineStr">
        <is>
          <t>None</t>
        </is>
      </c>
      <c r="AP248" s="17" t="n"/>
      <c r="AQ248" s="16" t="n"/>
      <c r="AR248" s="20" t="n"/>
      <c r="AS248" s="20" t="inlineStr">
        <is>
          <t>None</t>
        </is>
      </c>
      <c r="AT248" s="17" t="n"/>
      <c r="AU248" s="16" t="n"/>
      <c r="AV248" s="20" t="inlineStr">
        <is>
          <t>IC Anionen</t>
        </is>
      </c>
      <c r="AW248" s="20" t="inlineStr">
        <is>
          <t>None</t>
        </is>
      </c>
      <c r="AX248" s="17" t="n"/>
      <c r="AY248" s="16" t="n"/>
      <c r="AZ248" s="20" t="inlineStr">
        <is>
          <t>IC Anionen</t>
        </is>
      </c>
      <c r="BA248" s="20" t="inlineStr">
        <is>
          <t>None</t>
        </is>
      </c>
      <c r="BB248" s="17" t="n"/>
      <c r="BC248" s="16" t="n"/>
      <c r="BD248" s="20" t="inlineStr">
        <is>
          <t>IC Kationen</t>
        </is>
      </c>
      <c r="BE248" s="20" t="inlineStr">
        <is>
          <t>None</t>
        </is>
      </c>
      <c r="BF248" s="17" t="n"/>
      <c r="BG248" s="16" t="n"/>
      <c r="BH248" s="20" t="inlineStr">
        <is>
          <t>IC Kationen</t>
        </is>
      </c>
      <c r="BI248" s="20" t="inlineStr">
        <is>
          <t>None</t>
        </is>
      </c>
      <c r="BJ248" s="17" t="n"/>
      <c r="BK248" s="16" t="n"/>
      <c r="BL248" s="20" t="inlineStr">
        <is>
          <t>IC Kationen</t>
        </is>
      </c>
      <c r="BM248" s="20" t="inlineStr">
        <is>
          <t>None</t>
        </is>
      </c>
      <c r="BN248" s="17" t="n"/>
      <c r="BO248" s="16" t="n"/>
      <c r="BP248" s="20" t="inlineStr">
        <is>
          <t>IC Kationen</t>
        </is>
      </c>
      <c r="BQ248" s="20" t="inlineStr">
        <is>
          <t>None</t>
        </is>
      </c>
      <c r="BR248" s="17" t="n"/>
      <c r="BS248" s="16" t="n"/>
      <c r="BT248" s="20" t="inlineStr">
        <is>
          <t>IC Kationen</t>
        </is>
      </c>
      <c r="BU248" s="20" t="inlineStr">
        <is>
          <t>None</t>
        </is>
      </c>
      <c r="BV248" s="17" t="n"/>
      <c r="BW248" s="16" t="n"/>
      <c r="BX248" s="20" t="n"/>
      <c r="BY248" s="20" t="inlineStr">
        <is>
          <t>None</t>
        </is>
      </c>
      <c r="BZ248" s="17" t="n"/>
      <c r="CA248" s="16" t="n"/>
      <c r="CB248" s="20" t="n"/>
      <c r="CC248" s="20" t="inlineStr">
        <is>
          <t>None</t>
        </is>
      </c>
      <c r="CD248" s="17" t="n"/>
      <c r="CE248" s="16" t="n"/>
      <c r="CF248" s="20" t="n"/>
      <c r="CG248" s="20" t="inlineStr">
        <is>
          <t>None</t>
        </is>
      </c>
      <c r="CH248" s="17" t="n"/>
      <c r="CI248" s="16" t="n"/>
      <c r="CJ248" s="20" t="n"/>
      <c r="CK248" s="20" t="inlineStr">
        <is>
          <t>None</t>
        </is>
      </c>
      <c r="CL248" s="17" t="n"/>
      <c r="CM248" s="16" t="n"/>
      <c r="CN248" s="20" t="inlineStr">
        <is>
          <t>SOP 45-34</t>
        </is>
      </c>
      <c r="CO248" s="20" t="inlineStr">
        <is>
          <t>None</t>
        </is>
      </c>
      <c r="CP248" s="17" t="n"/>
      <c r="CQ248" s="16" t="n"/>
      <c r="CR248" s="20" t="n"/>
      <c r="CS248" s="20" t="inlineStr">
        <is>
          <t>None</t>
        </is>
      </c>
      <c r="CT248" s="17" t="n"/>
      <c r="CU248" s="16" t="n"/>
      <c r="CV248" s="20" t="n"/>
      <c r="CW248" s="20" t="inlineStr">
        <is>
          <t>None</t>
        </is>
      </c>
      <c r="CX248" s="17" t="n"/>
      <c r="CY248" s="16" t="n"/>
      <c r="CZ248" s="20" t="inlineStr">
        <is>
          <t>WTW Multimeter 3430 with FDO 925</t>
        </is>
      </c>
      <c r="DA248" s="20" t="inlineStr">
        <is>
          <t>None</t>
        </is>
      </c>
      <c r="DB248" s="17" t="n"/>
      <c r="DC248" s="16" t="n"/>
      <c r="DD248" s="20" t="n"/>
      <c r="DE248" s="20" t="inlineStr">
        <is>
          <t>None</t>
        </is>
      </c>
      <c r="DF248" s="17" t="n"/>
      <c r="DG248" s="16" t="n"/>
      <c r="DH248" s="20" t="inlineStr">
        <is>
          <t>SOP 45-09</t>
        </is>
      </c>
      <c r="DI248" s="20" t="inlineStr">
        <is>
          <t>None</t>
        </is>
      </c>
      <c r="DJ248" s="17" t="n"/>
      <c r="DK248" s="16" t="n"/>
      <c r="DL248" s="20" t="inlineStr">
        <is>
          <t>SOP 45-09 (SOP muss noch angepasst werden für VSS)</t>
        </is>
      </c>
      <c r="DM248" s="20" t="inlineStr">
        <is>
          <t>None</t>
        </is>
      </c>
      <c r="DN248" s="17" t="n"/>
      <c r="DO248" s="16" t="n"/>
      <c r="DP248" s="20" t="inlineStr">
        <is>
          <t>IC Organic Acids</t>
        </is>
      </c>
      <c r="DQ248" s="20" t="inlineStr">
        <is>
          <t>None</t>
        </is>
      </c>
      <c r="DR248" s="17" t="n"/>
      <c r="DS248" s="16" t="n"/>
      <c r="DT248" s="20" t="inlineStr">
        <is>
          <t>IC Organic Acids</t>
        </is>
      </c>
      <c r="DU248" s="20" t="inlineStr">
        <is>
          <t>None</t>
        </is>
      </c>
      <c r="DV248" s="17" t="n"/>
      <c r="DW248" s="16" t="n"/>
      <c r="DX248" s="20" t="inlineStr">
        <is>
          <t>IC Organic Acids</t>
        </is>
      </c>
      <c r="DY248" s="20" t="inlineStr">
        <is>
          <t>None</t>
        </is>
      </c>
      <c r="DZ248" s="17" t="n"/>
      <c r="EA248" s="16" t="n"/>
      <c r="EB248" s="20" t="inlineStr">
        <is>
          <t>IC Organic Acids</t>
        </is>
      </c>
      <c r="EC248" s="20" t="inlineStr">
        <is>
          <t>None</t>
        </is>
      </c>
      <c r="ED248" s="17" t="n"/>
      <c r="EE248" s="16" t="n"/>
      <c r="EF248" s="20" t="inlineStr">
        <is>
          <t>IC Organic Acids</t>
        </is>
      </c>
      <c r="EG248" s="20" t="inlineStr">
        <is>
          <t>None</t>
        </is>
      </c>
      <c r="EH248" s="17" t="n"/>
      <c r="EI248" s="16" t="n"/>
      <c r="EJ248" s="20" t="inlineStr">
        <is>
          <t>IC Organic Acids</t>
        </is>
      </c>
      <c r="EK248" s="20" t="inlineStr">
        <is>
          <t>None</t>
        </is>
      </c>
      <c r="EL248" s="17" t="n"/>
      <c r="EM248" s="16" t="n"/>
      <c r="EN248" s="20" t="inlineStr">
        <is>
          <t>IC Organic Acids</t>
        </is>
      </c>
      <c r="EO248" s="20" t="inlineStr">
        <is>
          <t>None</t>
        </is>
      </c>
      <c r="EP248" s="17" t="n"/>
      <c r="EQ248" s="16" t="n"/>
      <c r="ER248" s="20" t="inlineStr">
        <is>
          <t>IC Organic Acids</t>
        </is>
      </c>
      <c r="ES248" s="20" t="inlineStr">
        <is>
          <t>None</t>
        </is>
      </c>
      <c r="ET248" s="17" t="n"/>
      <c r="EU248" s="16" t="n"/>
      <c r="EV248" s="20" t="inlineStr">
        <is>
          <t>LC-MS</t>
        </is>
      </c>
      <c r="EW248" s="20" t="inlineStr">
        <is>
          <t>None</t>
        </is>
      </c>
      <c r="EX248" s="17" t="n"/>
      <c r="EY248" s="21" t="n"/>
      <c r="EZ248">
        <f>CONCATENATE(A248,B248)</f>
        <v/>
      </c>
      <c r="FA248">
        <f>CONCATENATE(SamplesX!A248,SamplesX!B248)</f>
        <v/>
      </c>
      <c r="FC248">
        <f>MATCH(EZ248,FA1:FA1008,0)</f>
        <v/>
      </c>
    </row>
    <row r="249">
      <c r="A249" s="16" t="inlineStr">
        <is>
          <t>BP</t>
        </is>
      </c>
      <c r="B249" s="17" t="inlineStr">
        <is>
          <t>25241</t>
        </is>
      </c>
      <c r="C249" s="10">
        <f>IF(ISNUMBER(FC249),INDIRECT("SamplesX!C"&amp;FC249),IF(ISNUMBER(FD249),INDIRECT("SamplesY!C"&amp;FD249),""))</f>
        <v/>
      </c>
      <c r="D249" s="12">
        <f>IF(ISNUMBER(FC249),INDIRECT("SamplesX!D"&amp;FC249),IF(ISNUMBER(FD249),INDIRECT("SamplesY!D"&amp;FD249),""))</f>
        <v/>
      </c>
      <c r="E249" s="12">
        <f>IF(ISNUMBER(FC249),INDIRECT("SamplesX!E"&amp;FC249),IF(ISNUMBER(FD249),INDIRECT("SamplesY!E"&amp;FD249),""))</f>
        <v/>
      </c>
      <c r="F249" s="11">
        <f>IF(ISNUMBER(FC249),INDIRECT("SamplesX!F"&amp;FC249),IF(ISNUMBER(FD249),INDIRECT("SamplesY!F"&amp;FD249),""))</f>
        <v/>
      </c>
      <c r="G249" s="18">
        <f>IF(ISNUMBER(FC249),INDIRECT("SamplesX!G"&amp;FC249),IF(ISNUMBER(FD249),INDIRECT("SamplesY!G"&amp;FD249),""))</f>
        <v/>
      </c>
      <c r="H249" s="19">
        <f>IF(ISNUMBER(FC249),INDIRECT("SamplesX!H"&amp;FC249),IF(ISNUMBER(FD249),INDIRECT("SamplesY!H"&amp;FD249),""))</f>
        <v/>
      </c>
      <c r="I249" s="16" t="n"/>
      <c r="J249" s="16" t="n"/>
      <c r="K249" s="16" t="n"/>
      <c r="L249" s="20" t="n"/>
      <c r="M249" s="20" t="inlineStr">
        <is>
          <t>None</t>
        </is>
      </c>
      <c r="N249" s="17" t="n"/>
      <c r="O249" s="16" t="n"/>
      <c r="P249" s="20" t="inlineStr">
        <is>
          <t>Shimadzu TOC-L</t>
        </is>
      </c>
      <c r="Q249" s="20" t="inlineStr">
        <is>
          <t>None</t>
        </is>
      </c>
      <c r="R249" s="17" t="n"/>
      <c r="S249" s="16" t="n"/>
      <c r="T249" s="20" t="inlineStr">
        <is>
          <t>Shimadzu TOC-L</t>
        </is>
      </c>
      <c r="U249" s="20" t="inlineStr">
        <is>
          <t>None</t>
        </is>
      </c>
      <c r="V249" s="17" t="n"/>
      <c r="W249" s="16" t="n"/>
      <c r="X249" s="20" t="n"/>
      <c r="Y249" s="20" t="inlineStr">
        <is>
          <t>None</t>
        </is>
      </c>
      <c r="Z249" s="17" t="n"/>
      <c r="AA249" s="16" t="n"/>
      <c r="AB249" s="20" t="n"/>
      <c r="AC249" s="20" t="inlineStr">
        <is>
          <t>None</t>
        </is>
      </c>
      <c r="AD249" s="17" t="n"/>
      <c r="AE249" s="16" t="n"/>
      <c r="AF249" s="20" t="inlineStr">
        <is>
          <t>IC Anionen</t>
        </is>
      </c>
      <c r="AG249" s="20" t="inlineStr">
        <is>
          <t>None</t>
        </is>
      </c>
      <c r="AH249" s="17" t="n"/>
      <c r="AI249" s="16" t="n"/>
      <c r="AJ249" s="20" t="n"/>
      <c r="AK249" s="20" t="inlineStr">
        <is>
          <t>None</t>
        </is>
      </c>
      <c r="AL249" s="17" t="n"/>
      <c r="AM249" s="16" t="n"/>
      <c r="AN249" s="20" t="inlineStr">
        <is>
          <t>IC Anionen</t>
        </is>
      </c>
      <c r="AO249" s="20" t="inlineStr">
        <is>
          <t>None</t>
        </is>
      </c>
      <c r="AP249" s="17" t="n"/>
      <c r="AQ249" s="16" t="n"/>
      <c r="AR249" s="20" t="n"/>
      <c r="AS249" s="20" t="inlineStr">
        <is>
          <t>None</t>
        </is>
      </c>
      <c r="AT249" s="17" t="n"/>
      <c r="AU249" s="16" t="n"/>
      <c r="AV249" s="20" t="inlineStr">
        <is>
          <t>IC Anionen</t>
        </is>
      </c>
      <c r="AW249" s="20" t="inlineStr">
        <is>
          <t>None</t>
        </is>
      </c>
      <c r="AX249" s="17" t="n"/>
      <c r="AY249" s="16" t="n"/>
      <c r="AZ249" s="20" t="inlineStr">
        <is>
          <t>IC Anionen</t>
        </is>
      </c>
      <c r="BA249" s="20" t="inlineStr">
        <is>
          <t>None</t>
        </is>
      </c>
      <c r="BB249" s="17" t="n"/>
      <c r="BC249" s="16" t="n"/>
      <c r="BD249" s="20" t="inlineStr">
        <is>
          <t>IC Kationen</t>
        </is>
      </c>
      <c r="BE249" s="20" t="inlineStr">
        <is>
          <t>None</t>
        </is>
      </c>
      <c r="BF249" s="17" t="n"/>
      <c r="BG249" s="16" t="n"/>
      <c r="BH249" s="20" t="inlineStr">
        <is>
          <t>IC Kationen</t>
        </is>
      </c>
      <c r="BI249" s="20" t="inlineStr">
        <is>
          <t>None</t>
        </is>
      </c>
      <c r="BJ249" s="17" t="n"/>
      <c r="BK249" s="16" t="n"/>
      <c r="BL249" s="20" t="inlineStr">
        <is>
          <t>IC Kationen</t>
        </is>
      </c>
      <c r="BM249" s="20" t="inlineStr">
        <is>
          <t>None</t>
        </is>
      </c>
      <c r="BN249" s="17" t="n"/>
      <c r="BO249" s="16" t="n"/>
      <c r="BP249" s="20" t="inlineStr">
        <is>
          <t>IC Kationen</t>
        </is>
      </c>
      <c r="BQ249" s="20" t="inlineStr">
        <is>
          <t>None</t>
        </is>
      </c>
      <c r="BR249" s="17" t="n"/>
      <c r="BS249" s="16" t="n"/>
      <c r="BT249" s="20" t="inlineStr">
        <is>
          <t>IC Kationen</t>
        </is>
      </c>
      <c r="BU249" s="20" t="inlineStr">
        <is>
          <t>None</t>
        </is>
      </c>
      <c r="BV249" s="17" t="n"/>
      <c r="BW249" s="16" t="n"/>
      <c r="BX249" s="20" t="n"/>
      <c r="BY249" s="20" t="inlineStr">
        <is>
          <t>None</t>
        </is>
      </c>
      <c r="BZ249" s="17" t="n"/>
      <c r="CA249" s="16" t="n"/>
      <c r="CB249" s="20" t="n"/>
      <c r="CC249" s="20" t="inlineStr">
        <is>
          <t>None</t>
        </is>
      </c>
      <c r="CD249" s="17" t="n"/>
      <c r="CE249" s="16" t="n"/>
      <c r="CF249" s="20" t="n"/>
      <c r="CG249" s="20" t="inlineStr">
        <is>
          <t>None</t>
        </is>
      </c>
      <c r="CH249" s="17" t="n"/>
      <c r="CI249" s="16" t="n"/>
      <c r="CJ249" s="20" t="n"/>
      <c r="CK249" s="20" t="inlineStr">
        <is>
          <t>None</t>
        </is>
      </c>
      <c r="CL249" s="17" t="n"/>
      <c r="CM249" s="16" t="n"/>
      <c r="CN249" s="20" t="inlineStr">
        <is>
          <t>SOP 45-34</t>
        </is>
      </c>
      <c r="CO249" s="20" t="inlineStr">
        <is>
          <t>None</t>
        </is>
      </c>
      <c r="CP249" s="17" t="n"/>
      <c r="CQ249" s="16" t="n"/>
      <c r="CR249" s="20" t="n"/>
      <c r="CS249" s="20" t="inlineStr">
        <is>
          <t>None</t>
        </is>
      </c>
      <c r="CT249" s="17" t="n"/>
      <c r="CU249" s="16" t="n"/>
      <c r="CV249" s="20" t="n"/>
      <c r="CW249" s="20" t="inlineStr">
        <is>
          <t>None</t>
        </is>
      </c>
      <c r="CX249" s="17" t="n"/>
      <c r="CY249" s="16" t="n"/>
      <c r="CZ249" s="20" t="inlineStr">
        <is>
          <t>WTW Multimeter 3430 with FDO 925</t>
        </is>
      </c>
      <c r="DA249" s="20" t="inlineStr">
        <is>
          <t>None</t>
        </is>
      </c>
      <c r="DB249" s="17" t="n"/>
      <c r="DC249" s="16" t="n"/>
      <c r="DD249" s="20" t="n"/>
      <c r="DE249" s="20" t="inlineStr">
        <is>
          <t>None</t>
        </is>
      </c>
      <c r="DF249" s="17" t="n"/>
      <c r="DG249" s="16" t="n"/>
      <c r="DH249" s="20" t="inlineStr">
        <is>
          <t>SOP 45-09</t>
        </is>
      </c>
      <c r="DI249" s="20" t="inlineStr">
        <is>
          <t>None</t>
        </is>
      </c>
      <c r="DJ249" s="17" t="n"/>
      <c r="DK249" s="16" t="n"/>
      <c r="DL249" s="20" t="inlineStr">
        <is>
          <t>SOP 45-09 (SOP muss noch angepasst werden für VSS)</t>
        </is>
      </c>
      <c r="DM249" s="20" t="inlineStr">
        <is>
          <t>None</t>
        </is>
      </c>
      <c r="DN249" s="17" t="n"/>
      <c r="DO249" s="16" t="n"/>
      <c r="DP249" s="20" t="inlineStr">
        <is>
          <t>IC Organic Acids</t>
        </is>
      </c>
      <c r="DQ249" s="20" t="inlineStr">
        <is>
          <t>None</t>
        </is>
      </c>
      <c r="DR249" s="17" t="n"/>
      <c r="DS249" s="16" t="n"/>
      <c r="DT249" s="20" t="inlineStr">
        <is>
          <t>IC Organic Acids</t>
        </is>
      </c>
      <c r="DU249" s="20" t="inlineStr">
        <is>
          <t>None</t>
        </is>
      </c>
      <c r="DV249" s="17" t="n"/>
      <c r="DW249" s="16" t="n"/>
      <c r="DX249" s="20" t="inlineStr">
        <is>
          <t>IC Organic Acids</t>
        </is>
      </c>
      <c r="DY249" s="20" t="inlineStr">
        <is>
          <t>None</t>
        </is>
      </c>
      <c r="DZ249" s="17" t="n"/>
      <c r="EA249" s="16" t="n"/>
      <c r="EB249" s="20" t="inlineStr">
        <is>
          <t>IC Organic Acids</t>
        </is>
      </c>
      <c r="EC249" s="20" t="inlineStr">
        <is>
          <t>None</t>
        </is>
      </c>
      <c r="ED249" s="17" t="n"/>
      <c r="EE249" s="16" t="n"/>
      <c r="EF249" s="20" t="inlineStr">
        <is>
          <t>IC Organic Acids</t>
        </is>
      </c>
      <c r="EG249" s="20" t="inlineStr">
        <is>
          <t>None</t>
        </is>
      </c>
      <c r="EH249" s="17" t="n"/>
      <c r="EI249" s="16" t="n"/>
      <c r="EJ249" s="20" t="inlineStr">
        <is>
          <t>IC Organic Acids</t>
        </is>
      </c>
      <c r="EK249" s="20" t="inlineStr">
        <is>
          <t>None</t>
        </is>
      </c>
      <c r="EL249" s="17" t="n"/>
      <c r="EM249" s="16" t="n"/>
      <c r="EN249" s="20" t="inlineStr">
        <is>
          <t>IC Organic Acids</t>
        </is>
      </c>
      <c r="EO249" s="20" t="inlineStr">
        <is>
          <t>None</t>
        </is>
      </c>
      <c r="EP249" s="17" t="n"/>
      <c r="EQ249" s="16" t="n"/>
      <c r="ER249" s="20" t="inlineStr">
        <is>
          <t>IC Organic Acids</t>
        </is>
      </c>
      <c r="ES249" s="20" t="inlineStr">
        <is>
          <t>None</t>
        </is>
      </c>
      <c r="ET249" s="17" t="n"/>
      <c r="EU249" s="16" t="n"/>
      <c r="EV249" s="20" t="inlineStr">
        <is>
          <t>LC-MS</t>
        </is>
      </c>
      <c r="EW249" s="20" t="inlineStr">
        <is>
          <t>None</t>
        </is>
      </c>
      <c r="EX249" s="17" t="n"/>
      <c r="EY249" s="21" t="n"/>
      <c r="EZ249">
        <f>CONCATENATE(A249,B249)</f>
        <v/>
      </c>
      <c r="FA249">
        <f>CONCATENATE(SamplesX!A249,SamplesX!B249)</f>
        <v/>
      </c>
      <c r="FC249">
        <f>MATCH(EZ249,FA1:FA1008,0)</f>
        <v/>
      </c>
    </row>
    <row r="250">
      <c r="A250" s="16" t="inlineStr">
        <is>
          <t>BP</t>
        </is>
      </c>
      <c r="B250" s="17" t="inlineStr">
        <is>
          <t>25242</t>
        </is>
      </c>
      <c r="C250" s="10">
        <f>IF(ISNUMBER(FC250),INDIRECT("SamplesX!C"&amp;FC250),IF(ISNUMBER(FD250),INDIRECT("SamplesY!C"&amp;FD250),""))</f>
        <v/>
      </c>
      <c r="D250" s="12">
        <f>IF(ISNUMBER(FC250),INDIRECT("SamplesX!D"&amp;FC250),IF(ISNUMBER(FD250),INDIRECT("SamplesY!D"&amp;FD250),""))</f>
        <v/>
      </c>
      <c r="E250" s="12">
        <f>IF(ISNUMBER(FC250),INDIRECT("SamplesX!E"&amp;FC250),IF(ISNUMBER(FD250),INDIRECT("SamplesY!E"&amp;FD250),""))</f>
        <v/>
      </c>
      <c r="F250" s="11">
        <f>IF(ISNUMBER(FC250),INDIRECT("SamplesX!F"&amp;FC250),IF(ISNUMBER(FD250),INDIRECT("SamplesY!F"&amp;FD250),""))</f>
        <v/>
      </c>
      <c r="G250" s="18">
        <f>IF(ISNUMBER(FC250),INDIRECT("SamplesX!G"&amp;FC250),IF(ISNUMBER(FD250),INDIRECT("SamplesY!G"&amp;FD250),""))</f>
        <v/>
      </c>
      <c r="H250" s="19">
        <f>IF(ISNUMBER(FC250),INDIRECT("SamplesX!H"&amp;FC250),IF(ISNUMBER(FD250),INDIRECT("SamplesY!H"&amp;FD250),""))</f>
        <v/>
      </c>
      <c r="I250" s="16" t="n"/>
      <c r="J250" s="16" t="n"/>
      <c r="K250" s="16" t="n"/>
      <c r="L250" s="20" t="n"/>
      <c r="M250" s="20" t="inlineStr">
        <is>
          <t>None</t>
        </is>
      </c>
      <c r="N250" s="17" t="n"/>
      <c r="O250" s="16" t="n"/>
      <c r="P250" s="20" t="inlineStr">
        <is>
          <t>Shimadzu TOC-L</t>
        </is>
      </c>
      <c r="Q250" s="20" t="inlineStr">
        <is>
          <t>None</t>
        </is>
      </c>
      <c r="R250" s="17" t="n"/>
      <c r="S250" s="16" t="n"/>
      <c r="T250" s="20" t="inlineStr">
        <is>
          <t>Shimadzu TOC-L</t>
        </is>
      </c>
      <c r="U250" s="20" t="inlineStr">
        <is>
          <t>None</t>
        </is>
      </c>
      <c r="V250" s="17" t="n"/>
      <c r="W250" s="16" t="n"/>
      <c r="X250" s="20" t="n"/>
      <c r="Y250" s="20" t="inlineStr">
        <is>
          <t>None</t>
        </is>
      </c>
      <c r="Z250" s="17" t="n"/>
      <c r="AA250" s="16" t="n"/>
      <c r="AB250" s="20" t="n"/>
      <c r="AC250" s="20" t="inlineStr">
        <is>
          <t>None</t>
        </is>
      </c>
      <c r="AD250" s="17" t="n"/>
      <c r="AE250" s="16" t="n"/>
      <c r="AF250" s="20" t="inlineStr">
        <is>
          <t>IC Anionen</t>
        </is>
      </c>
      <c r="AG250" s="20" t="inlineStr">
        <is>
          <t>None</t>
        </is>
      </c>
      <c r="AH250" s="17" t="n"/>
      <c r="AI250" s="16" t="n"/>
      <c r="AJ250" s="20" t="n"/>
      <c r="AK250" s="20" t="inlineStr">
        <is>
          <t>None</t>
        </is>
      </c>
      <c r="AL250" s="17" t="n"/>
      <c r="AM250" s="16" t="n"/>
      <c r="AN250" s="20" t="inlineStr">
        <is>
          <t>IC Anionen</t>
        </is>
      </c>
      <c r="AO250" s="20" t="inlineStr">
        <is>
          <t>None</t>
        </is>
      </c>
      <c r="AP250" s="17" t="n"/>
      <c r="AQ250" s="16" t="n"/>
      <c r="AR250" s="20" t="n"/>
      <c r="AS250" s="20" t="inlineStr">
        <is>
          <t>None</t>
        </is>
      </c>
      <c r="AT250" s="17" t="n"/>
      <c r="AU250" s="16" t="n"/>
      <c r="AV250" s="20" t="inlineStr">
        <is>
          <t>IC Anionen</t>
        </is>
      </c>
      <c r="AW250" s="20" t="inlineStr">
        <is>
          <t>None</t>
        </is>
      </c>
      <c r="AX250" s="17" t="n"/>
      <c r="AY250" s="16" t="n"/>
      <c r="AZ250" s="20" t="inlineStr">
        <is>
          <t>IC Anionen</t>
        </is>
      </c>
      <c r="BA250" s="20" t="inlineStr">
        <is>
          <t>None</t>
        </is>
      </c>
      <c r="BB250" s="17" t="n"/>
      <c r="BC250" s="16" t="n"/>
      <c r="BD250" s="20" t="inlineStr">
        <is>
          <t>IC Kationen</t>
        </is>
      </c>
      <c r="BE250" s="20" t="inlineStr">
        <is>
          <t>None</t>
        </is>
      </c>
      <c r="BF250" s="17" t="n"/>
      <c r="BG250" s="16" t="n"/>
      <c r="BH250" s="20" t="inlineStr">
        <is>
          <t>IC Kationen</t>
        </is>
      </c>
      <c r="BI250" s="20" t="inlineStr">
        <is>
          <t>None</t>
        </is>
      </c>
      <c r="BJ250" s="17" t="n"/>
      <c r="BK250" s="16" t="n"/>
      <c r="BL250" s="20" t="inlineStr">
        <is>
          <t>IC Kationen</t>
        </is>
      </c>
      <c r="BM250" s="20" t="inlineStr">
        <is>
          <t>None</t>
        </is>
      </c>
      <c r="BN250" s="17" t="n"/>
      <c r="BO250" s="16" t="n"/>
      <c r="BP250" s="20" t="inlineStr">
        <is>
          <t>IC Kationen</t>
        </is>
      </c>
      <c r="BQ250" s="20" t="inlineStr">
        <is>
          <t>None</t>
        </is>
      </c>
      <c r="BR250" s="17" t="n"/>
      <c r="BS250" s="16" t="n"/>
      <c r="BT250" s="20" t="inlineStr">
        <is>
          <t>IC Kationen</t>
        </is>
      </c>
      <c r="BU250" s="20" t="inlineStr">
        <is>
          <t>None</t>
        </is>
      </c>
      <c r="BV250" s="17" t="n"/>
      <c r="BW250" s="16" t="n"/>
      <c r="BX250" s="20" t="n"/>
      <c r="BY250" s="20" t="inlineStr">
        <is>
          <t>None</t>
        </is>
      </c>
      <c r="BZ250" s="17" t="n"/>
      <c r="CA250" s="16" t="n"/>
      <c r="CB250" s="20" t="n"/>
      <c r="CC250" s="20" t="inlineStr">
        <is>
          <t>None</t>
        </is>
      </c>
      <c r="CD250" s="17" t="n"/>
      <c r="CE250" s="16" t="n"/>
      <c r="CF250" s="20" t="n"/>
      <c r="CG250" s="20" t="inlineStr">
        <is>
          <t>None</t>
        </is>
      </c>
      <c r="CH250" s="17" t="n"/>
      <c r="CI250" s="16" t="n"/>
      <c r="CJ250" s="20" t="n"/>
      <c r="CK250" s="20" t="inlineStr">
        <is>
          <t>None</t>
        </is>
      </c>
      <c r="CL250" s="17" t="n"/>
      <c r="CM250" s="16" t="n"/>
      <c r="CN250" s="20" t="inlineStr">
        <is>
          <t>SOP 45-34</t>
        </is>
      </c>
      <c r="CO250" s="20" t="inlineStr">
        <is>
          <t>None</t>
        </is>
      </c>
      <c r="CP250" s="17" t="n"/>
      <c r="CQ250" s="16" t="n"/>
      <c r="CR250" s="20" t="n"/>
      <c r="CS250" s="20" t="inlineStr">
        <is>
          <t>None</t>
        </is>
      </c>
      <c r="CT250" s="17" t="n"/>
      <c r="CU250" s="16" t="n"/>
      <c r="CV250" s="20" t="n"/>
      <c r="CW250" s="20" t="inlineStr">
        <is>
          <t>None</t>
        </is>
      </c>
      <c r="CX250" s="17" t="n"/>
      <c r="CY250" s="16" t="n"/>
      <c r="CZ250" s="20" t="inlineStr">
        <is>
          <t>WTW Multimeter 3430 with FDO 925</t>
        </is>
      </c>
      <c r="DA250" s="20" t="inlineStr">
        <is>
          <t>None</t>
        </is>
      </c>
      <c r="DB250" s="17" t="n"/>
      <c r="DC250" s="16" t="n"/>
      <c r="DD250" s="20" t="n"/>
      <c r="DE250" s="20" t="inlineStr">
        <is>
          <t>None</t>
        </is>
      </c>
      <c r="DF250" s="17" t="n"/>
      <c r="DG250" s="16" t="n"/>
      <c r="DH250" s="20" t="inlineStr">
        <is>
          <t>SOP 45-09</t>
        </is>
      </c>
      <c r="DI250" s="20" t="inlineStr">
        <is>
          <t>None</t>
        </is>
      </c>
      <c r="DJ250" s="17" t="n"/>
      <c r="DK250" s="16" t="n"/>
      <c r="DL250" s="20" t="inlineStr">
        <is>
          <t>SOP 45-09 (SOP muss noch angepasst werden für VSS)</t>
        </is>
      </c>
      <c r="DM250" s="20" t="inlineStr">
        <is>
          <t>None</t>
        </is>
      </c>
      <c r="DN250" s="17" t="n"/>
      <c r="DO250" s="16" t="n"/>
      <c r="DP250" s="20" t="inlineStr">
        <is>
          <t>IC Organic Acids</t>
        </is>
      </c>
      <c r="DQ250" s="20" t="inlineStr">
        <is>
          <t>None</t>
        </is>
      </c>
      <c r="DR250" s="17" t="n"/>
      <c r="DS250" s="16" t="n"/>
      <c r="DT250" s="20" t="inlineStr">
        <is>
          <t>IC Organic Acids</t>
        </is>
      </c>
      <c r="DU250" s="20" t="inlineStr">
        <is>
          <t>None</t>
        </is>
      </c>
      <c r="DV250" s="17" t="n"/>
      <c r="DW250" s="16" t="n"/>
      <c r="DX250" s="20" t="inlineStr">
        <is>
          <t>IC Organic Acids</t>
        </is>
      </c>
      <c r="DY250" s="20" t="inlineStr">
        <is>
          <t>None</t>
        </is>
      </c>
      <c r="DZ250" s="17" t="n"/>
      <c r="EA250" s="16" t="n"/>
      <c r="EB250" s="20" t="inlineStr">
        <is>
          <t>IC Organic Acids</t>
        </is>
      </c>
      <c r="EC250" s="20" t="inlineStr">
        <is>
          <t>None</t>
        </is>
      </c>
      <c r="ED250" s="17" t="n"/>
      <c r="EE250" s="16" t="n"/>
      <c r="EF250" s="20" t="inlineStr">
        <is>
          <t>IC Organic Acids</t>
        </is>
      </c>
      <c r="EG250" s="20" t="inlineStr">
        <is>
          <t>None</t>
        </is>
      </c>
      <c r="EH250" s="17" t="n"/>
      <c r="EI250" s="16" t="n"/>
      <c r="EJ250" s="20" t="inlineStr">
        <is>
          <t>IC Organic Acids</t>
        </is>
      </c>
      <c r="EK250" s="20" t="inlineStr">
        <is>
          <t>None</t>
        </is>
      </c>
      <c r="EL250" s="17" t="n"/>
      <c r="EM250" s="16" t="n"/>
      <c r="EN250" s="20" t="inlineStr">
        <is>
          <t>IC Organic Acids</t>
        </is>
      </c>
      <c r="EO250" s="20" t="inlineStr">
        <is>
          <t>None</t>
        </is>
      </c>
      <c r="EP250" s="17" t="n"/>
      <c r="EQ250" s="16" t="n"/>
      <c r="ER250" s="20" t="inlineStr">
        <is>
          <t>IC Organic Acids</t>
        </is>
      </c>
      <c r="ES250" s="20" t="inlineStr">
        <is>
          <t>None</t>
        </is>
      </c>
      <c r="ET250" s="17" t="n"/>
      <c r="EU250" s="16" t="n"/>
      <c r="EV250" s="20" t="inlineStr">
        <is>
          <t>LC-MS</t>
        </is>
      </c>
      <c r="EW250" s="20" t="inlineStr">
        <is>
          <t>None</t>
        </is>
      </c>
      <c r="EX250" s="17" t="n"/>
      <c r="EY250" s="21" t="n"/>
      <c r="EZ250">
        <f>CONCATENATE(A250,B250)</f>
        <v/>
      </c>
      <c r="FA250">
        <f>CONCATENATE(SamplesX!A250,SamplesX!B250)</f>
        <v/>
      </c>
      <c r="FC250">
        <f>MATCH(EZ250,FA1:FA1008,0)</f>
        <v/>
      </c>
    </row>
    <row r="251">
      <c r="A251" s="16" t="inlineStr">
        <is>
          <t>BP</t>
        </is>
      </c>
      <c r="B251" s="17" t="inlineStr">
        <is>
          <t>25243</t>
        </is>
      </c>
      <c r="C251" s="10">
        <f>IF(ISNUMBER(FC251),INDIRECT("SamplesX!C"&amp;FC251),IF(ISNUMBER(FD251),INDIRECT("SamplesY!C"&amp;FD251),""))</f>
        <v/>
      </c>
      <c r="D251" s="12">
        <f>IF(ISNUMBER(FC251),INDIRECT("SamplesX!D"&amp;FC251),IF(ISNUMBER(FD251),INDIRECT("SamplesY!D"&amp;FD251),""))</f>
        <v/>
      </c>
      <c r="E251" s="12">
        <f>IF(ISNUMBER(FC251),INDIRECT("SamplesX!E"&amp;FC251),IF(ISNUMBER(FD251),INDIRECT("SamplesY!E"&amp;FD251),""))</f>
        <v/>
      </c>
      <c r="F251" s="11">
        <f>IF(ISNUMBER(FC251),INDIRECT("SamplesX!F"&amp;FC251),IF(ISNUMBER(FD251),INDIRECT("SamplesY!F"&amp;FD251),""))</f>
        <v/>
      </c>
      <c r="G251" s="18">
        <f>IF(ISNUMBER(FC251),INDIRECT("SamplesX!G"&amp;FC251),IF(ISNUMBER(FD251),INDIRECT("SamplesY!G"&amp;FD251),""))</f>
        <v/>
      </c>
      <c r="H251" s="19">
        <f>IF(ISNUMBER(FC251),INDIRECT("SamplesX!H"&amp;FC251),IF(ISNUMBER(FD251),INDIRECT("SamplesY!H"&amp;FD251),""))</f>
        <v/>
      </c>
      <c r="I251" s="16" t="n"/>
      <c r="J251" s="16" t="n"/>
      <c r="K251" s="16" t="n"/>
      <c r="L251" s="20" t="n"/>
      <c r="M251" s="20" t="inlineStr">
        <is>
          <t>None</t>
        </is>
      </c>
      <c r="N251" s="17" t="n"/>
      <c r="O251" s="16" t="n"/>
      <c r="P251" s="20" t="inlineStr">
        <is>
          <t>Shimadzu TOC-L</t>
        </is>
      </c>
      <c r="Q251" s="20" t="inlineStr">
        <is>
          <t>None</t>
        </is>
      </c>
      <c r="R251" s="17" t="n"/>
      <c r="S251" s="16" t="n"/>
      <c r="T251" s="20" t="inlineStr">
        <is>
          <t>Shimadzu TOC-L</t>
        </is>
      </c>
      <c r="U251" s="20" t="inlineStr">
        <is>
          <t>None</t>
        </is>
      </c>
      <c r="V251" s="17" t="n"/>
      <c r="W251" s="16" t="n"/>
      <c r="X251" s="20" t="n"/>
      <c r="Y251" s="20" t="inlineStr">
        <is>
          <t>None</t>
        </is>
      </c>
      <c r="Z251" s="17" t="n"/>
      <c r="AA251" s="16" t="n"/>
      <c r="AB251" s="20" t="n"/>
      <c r="AC251" s="20" t="inlineStr">
        <is>
          <t>None</t>
        </is>
      </c>
      <c r="AD251" s="17" t="n"/>
      <c r="AE251" s="16" t="n"/>
      <c r="AF251" s="20" t="inlineStr">
        <is>
          <t>IC Anionen</t>
        </is>
      </c>
      <c r="AG251" s="20" t="inlineStr">
        <is>
          <t>None</t>
        </is>
      </c>
      <c r="AH251" s="17" t="n"/>
      <c r="AI251" s="16" t="n"/>
      <c r="AJ251" s="20" t="n"/>
      <c r="AK251" s="20" t="inlineStr">
        <is>
          <t>None</t>
        </is>
      </c>
      <c r="AL251" s="17" t="n"/>
      <c r="AM251" s="16" t="n"/>
      <c r="AN251" s="20" t="inlineStr">
        <is>
          <t>IC Anionen</t>
        </is>
      </c>
      <c r="AO251" s="20" t="inlineStr">
        <is>
          <t>None</t>
        </is>
      </c>
      <c r="AP251" s="17" t="n"/>
      <c r="AQ251" s="16" t="n"/>
      <c r="AR251" s="20" t="n"/>
      <c r="AS251" s="20" t="inlineStr">
        <is>
          <t>None</t>
        </is>
      </c>
      <c r="AT251" s="17" t="n"/>
      <c r="AU251" s="16" t="n"/>
      <c r="AV251" s="20" t="inlineStr">
        <is>
          <t>IC Anionen</t>
        </is>
      </c>
      <c r="AW251" s="20" t="inlineStr">
        <is>
          <t>None</t>
        </is>
      </c>
      <c r="AX251" s="17" t="n"/>
      <c r="AY251" s="16" t="n"/>
      <c r="AZ251" s="20" t="inlineStr">
        <is>
          <t>IC Anionen</t>
        </is>
      </c>
      <c r="BA251" s="20" t="inlineStr">
        <is>
          <t>None</t>
        </is>
      </c>
      <c r="BB251" s="17" t="n"/>
      <c r="BC251" s="16" t="n"/>
      <c r="BD251" s="20" t="inlineStr">
        <is>
          <t>IC Kationen</t>
        </is>
      </c>
      <c r="BE251" s="20" t="inlineStr">
        <is>
          <t>None</t>
        </is>
      </c>
      <c r="BF251" s="17" t="n"/>
      <c r="BG251" s="16" t="n"/>
      <c r="BH251" s="20" t="inlineStr">
        <is>
          <t>IC Kationen</t>
        </is>
      </c>
      <c r="BI251" s="20" t="inlineStr">
        <is>
          <t>None</t>
        </is>
      </c>
      <c r="BJ251" s="17" t="n"/>
      <c r="BK251" s="16" t="n"/>
      <c r="BL251" s="20" t="inlineStr">
        <is>
          <t>IC Kationen</t>
        </is>
      </c>
      <c r="BM251" s="20" t="inlineStr">
        <is>
          <t>None</t>
        </is>
      </c>
      <c r="BN251" s="17" t="n"/>
      <c r="BO251" s="16" t="n"/>
      <c r="BP251" s="20" t="inlineStr">
        <is>
          <t>IC Kationen</t>
        </is>
      </c>
      <c r="BQ251" s="20" t="inlineStr">
        <is>
          <t>None</t>
        </is>
      </c>
      <c r="BR251" s="17" t="n"/>
      <c r="BS251" s="16" t="n"/>
      <c r="BT251" s="20" t="inlineStr">
        <is>
          <t>IC Kationen</t>
        </is>
      </c>
      <c r="BU251" s="20" t="inlineStr">
        <is>
          <t>None</t>
        </is>
      </c>
      <c r="BV251" s="17" t="n"/>
      <c r="BW251" s="16" t="n"/>
      <c r="BX251" s="20" t="n"/>
      <c r="BY251" s="20" t="inlineStr">
        <is>
          <t>None</t>
        </is>
      </c>
      <c r="BZ251" s="17" t="n"/>
      <c r="CA251" s="16" t="n"/>
      <c r="CB251" s="20" t="n"/>
      <c r="CC251" s="20" t="inlineStr">
        <is>
          <t>None</t>
        </is>
      </c>
      <c r="CD251" s="17" t="n"/>
      <c r="CE251" s="16" t="n"/>
      <c r="CF251" s="20" t="n"/>
      <c r="CG251" s="20" t="inlineStr">
        <is>
          <t>None</t>
        </is>
      </c>
      <c r="CH251" s="17" t="n"/>
      <c r="CI251" s="16" t="n"/>
      <c r="CJ251" s="20" t="n"/>
      <c r="CK251" s="20" t="inlineStr">
        <is>
          <t>None</t>
        </is>
      </c>
      <c r="CL251" s="17" t="n"/>
      <c r="CM251" s="16" t="n"/>
      <c r="CN251" s="20" t="inlineStr">
        <is>
          <t>SOP 45-34</t>
        </is>
      </c>
      <c r="CO251" s="20" t="inlineStr">
        <is>
          <t>None</t>
        </is>
      </c>
      <c r="CP251" s="17" t="n"/>
      <c r="CQ251" s="16" t="n"/>
      <c r="CR251" s="20" t="n"/>
      <c r="CS251" s="20" t="inlineStr">
        <is>
          <t>None</t>
        </is>
      </c>
      <c r="CT251" s="17" t="n"/>
      <c r="CU251" s="16" t="n"/>
      <c r="CV251" s="20" t="n"/>
      <c r="CW251" s="20" t="inlineStr">
        <is>
          <t>None</t>
        </is>
      </c>
      <c r="CX251" s="17" t="n"/>
      <c r="CY251" s="16" t="n"/>
      <c r="CZ251" s="20" t="inlineStr">
        <is>
          <t>WTW Multimeter 3430 with FDO 925</t>
        </is>
      </c>
      <c r="DA251" s="20" t="inlineStr">
        <is>
          <t>None</t>
        </is>
      </c>
      <c r="DB251" s="17" t="n"/>
      <c r="DC251" s="16" t="n"/>
      <c r="DD251" s="20" t="n"/>
      <c r="DE251" s="20" t="inlineStr">
        <is>
          <t>None</t>
        </is>
      </c>
      <c r="DF251" s="17" t="n"/>
      <c r="DG251" s="16" t="n"/>
      <c r="DH251" s="20" t="inlineStr">
        <is>
          <t>SOP 45-09</t>
        </is>
      </c>
      <c r="DI251" s="20" t="inlineStr">
        <is>
          <t>None</t>
        </is>
      </c>
      <c r="DJ251" s="17" t="n"/>
      <c r="DK251" s="16" t="n"/>
      <c r="DL251" s="20" t="inlineStr">
        <is>
          <t>SOP 45-09 (SOP muss noch angepasst werden für VSS)</t>
        </is>
      </c>
      <c r="DM251" s="20" t="inlineStr">
        <is>
          <t>None</t>
        </is>
      </c>
      <c r="DN251" s="17" t="n"/>
      <c r="DO251" s="16" t="n"/>
      <c r="DP251" s="20" t="inlineStr">
        <is>
          <t>IC Organic Acids</t>
        </is>
      </c>
      <c r="DQ251" s="20" t="inlineStr">
        <is>
          <t>None</t>
        </is>
      </c>
      <c r="DR251" s="17" t="n"/>
      <c r="DS251" s="16" t="n"/>
      <c r="DT251" s="20" t="inlineStr">
        <is>
          <t>IC Organic Acids</t>
        </is>
      </c>
      <c r="DU251" s="20" t="inlineStr">
        <is>
          <t>None</t>
        </is>
      </c>
      <c r="DV251" s="17" t="n"/>
      <c r="DW251" s="16" t="n"/>
      <c r="DX251" s="20" t="inlineStr">
        <is>
          <t>IC Organic Acids</t>
        </is>
      </c>
      <c r="DY251" s="20" t="inlineStr">
        <is>
          <t>None</t>
        </is>
      </c>
      <c r="DZ251" s="17" t="n"/>
      <c r="EA251" s="16" t="n"/>
      <c r="EB251" s="20" t="inlineStr">
        <is>
          <t>IC Organic Acids</t>
        </is>
      </c>
      <c r="EC251" s="20" t="inlineStr">
        <is>
          <t>None</t>
        </is>
      </c>
      <c r="ED251" s="17" t="n"/>
      <c r="EE251" s="16" t="n"/>
      <c r="EF251" s="20" t="inlineStr">
        <is>
          <t>IC Organic Acids</t>
        </is>
      </c>
      <c r="EG251" s="20" t="inlineStr">
        <is>
          <t>None</t>
        </is>
      </c>
      <c r="EH251" s="17" t="n"/>
      <c r="EI251" s="16" t="n"/>
      <c r="EJ251" s="20" t="inlineStr">
        <is>
          <t>IC Organic Acids</t>
        </is>
      </c>
      <c r="EK251" s="20" t="inlineStr">
        <is>
          <t>None</t>
        </is>
      </c>
      <c r="EL251" s="17" t="n"/>
      <c r="EM251" s="16" t="n"/>
      <c r="EN251" s="20" t="inlineStr">
        <is>
          <t>IC Organic Acids</t>
        </is>
      </c>
      <c r="EO251" s="20" t="inlineStr">
        <is>
          <t>None</t>
        </is>
      </c>
      <c r="EP251" s="17" t="n"/>
      <c r="EQ251" s="16" t="n"/>
      <c r="ER251" s="20" t="inlineStr">
        <is>
          <t>IC Organic Acids</t>
        </is>
      </c>
      <c r="ES251" s="20" t="inlineStr">
        <is>
          <t>None</t>
        </is>
      </c>
      <c r="ET251" s="17" t="n"/>
      <c r="EU251" s="16" t="n"/>
      <c r="EV251" s="20" t="inlineStr">
        <is>
          <t>LC-MS</t>
        </is>
      </c>
      <c r="EW251" s="20" t="inlineStr">
        <is>
          <t>None</t>
        </is>
      </c>
      <c r="EX251" s="17" t="n"/>
      <c r="EY251" s="21" t="n"/>
      <c r="EZ251">
        <f>CONCATENATE(A251,B251)</f>
        <v/>
      </c>
      <c r="FA251">
        <f>CONCATENATE(SamplesX!A251,SamplesX!B251)</f>
        <v/>
      </c>
      <c r="FC251">
        <f>MATCH(EZ251,FA1:FA1008,0)</f>
        <v/>
      </c>
    </row>
    <row r="252">
      <c r="A252" s="16" t="inlineStr">
        <is>
          <t>BP</t>
        </is>
      </c>
      <c r="B252" s="17" t="inlineStr">
        <is>
          <t>25244</t>
        </is>
      </c>
      <c r="C252" s="10">
        <f>IF(ISNUMBER(FC252),INDIRECT("SamplesX!C"&amp;FC252),IF(ISNUMBER(FD252),INDIRECT("SamplesY!C"&amp;FD252),""))</f>
        <v/>
      </c>
      <c r="D252" s="12">
        <f>IF(ISNUMBER(FC252),INDIRECT("SamplesX!D"&amp;FC252),IF(ISNUMBER(FD252),INDIRECT("SamplesY!D"&amp;FD252),""))</f>
        <v/>
      </c>
      <c r="E252" s="12">
        <f>IF(ISNUMBER(FC252),INDIRECT("SamplesX!E"&amp;FC252),IF(ISNUMBER(FD252),INDIRECT("SamplesY!E"&amp;FD252),""))</f>
        <v/>
      </c>
      <c r="F252" s="11">
        <f>IF(ISNUMBER(FC252),INDIRECT("SamplesX!F"&amp;FC252),IF(ISNUMBER(FD252),INDIRECT("SamplesY!F"&amp;FD252),""))</f>
        <v/>
      </c>
      <c r="G252" s="18">
        <f>IF(ISNUMBER(FC252),INDIRECT("SamplesX!G"&amp;FC252),IF(ISNUMBER(FD252),INDIRECT("SamplesY!G"&amp;FD252),""))</f>
        <v/>
      </c>
      <c r="H252" s="19">
        <f>IF(ISNUMBER(FC252),INDIRECT("SamplesX!H"&amp;FC252),IF(ISNUMBER(FD252),INDIRECT("SamplesY!H"&amp;FD252),""))</f>
        <v/>
      </c>
      <c r="I252" s="16" t="n"/>
      <c r="J252" s="16" t="n"/>
      <c r="K252" s="16" t="n"/>
      <c r="L252" s="20" t="n"/>
      <c r="M252" s="20" t="inlineStr">
        <is>
          <t>None</t>
        </is>
      </c>
      <c r="N252" s="17" t="n"/>
      <c r="O252" s="16" t="n"/>
      <c r="P252" s="20" t="inlineStr">
        <is>
          <t>Shimadzu TOC-L</t>
        </is>
      </c>
      <c r="Q252" s="20" t="inlineStr">
        <is>
          <t>None</t>
        </is>
      </c>
      <c r="R252" s="17" t="n"/>
      <c r="S252" s="16" t="n"/>
      <c r="T252" s="20" t="inlineStr">
        <is>
          <t>Shimadzu TOC-L</t>
        </is>
      </c>
      <c r="U252" s="20" t="inlineStr">
        <is>
          <t>None</t>
        </is>
      </c>
      <c r="V252" s="17" t="n"/>
      <c r="W252" s="16" t="n"/>
      <c r="X252" s="20" t="n"/>
      <c r="Y252" s="20" t="inlineStr">
        <is>
          <t>None</t>
        </is>
      </c>
      <c r="Z252" s="17" t="n"/>
      <c r="AA252" s="16" t="n"/>
      <c r="AB252" s="20" t="n"/>
      <c r="AC252" s="20" t="inlineStr">
        <is>
          <t>None</t>
        </is>
      </c>
      <c r="AD252" s="17" t="n"/>
      <c r="AE252" s="16" t="n"/>
      <c r="AF252" s="20" t="inlineStr">
        <is>
          <t>IC Anionen</t>
        </is>
      </c>
      <c r="AG252" s="20" t="inlineStr">
        <is>
          <t>None</t>
        </is>
      </c>
      <c r="AH252" s="17" t="n"/>
      <c r="AI252" s="16" t="n"/>
      <c r="AJ252" s="20" t="n"/>
      <c r="AK252" s="20" t="inlineStr">
        <is>
          <t>None</t>
        </is>
      </c>
      <c r="AL252" s="17" t="n"/>
      <c r="AM252" s="16" t="n"/>
      <c r="AN252" s="20" t="inlineStr">
        <is>
          <t>IC Anionen</t>
        </is>
      </c>
      <c r="AO252" s="20" t="inlineStr">
        <is>
          <t>None</t>
        </is>
      </c>
      <c r="AP252" s="17" t="n"/>
      <c r="AQ252" s="16" t="n"/>
      <c r="AR252" s="20" t="n"/>
      <c r="AS252" s="20" t="inlineStr">
        <is>
          <t>None</t>
        </is>
      </c>
      <c r="AT252" s="17" t="n"/>
      <c r="AU252" s="16" t="n"/>
      <c r="AV252" s="20" t="inlineStr">
        <is>
          <t>IC Anionen</t>
        </is>
      </c>
      <c r="AW252" s="20" t="inlineStr">
        <is>
          <t>None</t>
        </is>
      </c>
      <c r="AX252" s="17" t="n"/>
      <c r="AY252" s="16" t="n"/>
      <c r="AZ252" s="20" t="inlineStr">
        <is>
          <t>IC Anionen</t>
        </is>
      </c>
      <c r="BA252" s="20" t="inlineStr">
        <is>
          <t>None</t>
        </is>
      </c>
      <c r="BB252" s="17" t="n"/>
      <c r="BC252" s="16" t="n"/>
      <c r="BD252" s="20" t="inlineStr">
        <is>
          <t>IC Kationen</t>
        </is>
      </c>
      <c r="BE252" s="20" t="inlineStr">
        <is>
          <t>None</t>
        </is>
      </c>
      <c r="BF252" s="17" t="n"/>
      <c r="BG252" s="16" t="n"/>
      <c r="BH252" s="20" t="inlineStr">
        <is>
          <t>IC Kationen</t>
        </is>
      </c>
      <c r="BI252" s="20" t="inlineStr">
        <is>
          <t>None</t>
        </is>
      </c>
      <c r="BJ252" s="17" t="n"/>
      <c r="BK252" s="16" t="n"/>
      <c r="BL252" s="20" t="inlineStr">
        <is>
          <t>IC Kationen</t>
        </is>
      </c>
      <c r="BM252" s="20" t="inlineStr">
        <is>
          <t>None</t>
        </is>
      </c>
      <c r="BN252" s="17" t="n"/>
      <c r="BO252" s="16" t="n"/>
      <c r="BP252" s="20" t="inlineStr">
        <is>
          <t>IC Kationen</t>
        </is>
      </c>
      <c r="BQ252" s="20" t="inlineStr">
        <is>
          <t>None</t>
        </is>
      </c>
      <c r="BR252" s="17" t="n"/>
      <c r="BS252" s="16" t="n"/>
      <c r="BT252" s="20" t="inlineStr">
        <is>
          <t>IC Kationen</t>
        </is>
      </c>
      <c r="BU252" s="20" t="inlineStr">
        <is>
          <t>None</t>
        </is>
      </c>
      <c r="BV252" s="17" t="n"/>
      <c r="BW252" s="16" t="n"/>
      <c r="BX252" s="20" t="n"/>
      <c r="BY252" s="20" t="inlineStr">
        <is>
          <t>None</t>
        </is>
      </c>
      <c r="BZ252" s="17" t="n"/>
      <c r="CA252" s="16" t="n"/>
      <c r="CB252" s="20" t="n"/>
      <c r="CC252" s="20" t="inlineStr">
        <is>
          <t>None</t>
        </is>
      </c>
      <c r="CD252" s="17" t="n"/>
      <c r="CE252" s="16" t="n"/>
      <c r="CF252" s="20" t="n"/>
      <c r="CG252" s="20" t="inlineStr">
        <is>
          <t>None</t>
        </is>
      </c>
      <c r="CH252" s="17" t="n"/>
      <c r="CI252" s="16" t="n"/>
      <c r="CJ252" s="20" t="n"/>
      <c r="CK252" s="20" t="inlineStr">
        <is>
          <t>None</t>
        </is>
      </c>
      <c r="CL252" s="17" t="n"/>
      <c r="CM252" s="16" t="n"/>
      <c r="CN252" s="20" t="inlineStr">
        <is>
          <t>SOP 45-34</t>
        </is>
      </c>
      <c r="CO252" s="20" t="inlineStr">
        <is>
          <t>None</t>
        </is>
      </c>
      <c r="CP252" s="17" t="n"/>
      <c r="CQ252" s="16" t="n"/>
      <c r="CR252" s="20" t="n"/>
      <c r="CS252" s="20" t="inlineStr">
        <is>
          <t>None</t>
        </is>
      </c>
      <c r="CT252" s="17" t="n"/>
      <c r="CU252" s="16" t="n"/>
      <c r="CV252" s="20" t="n"/>
      <c r="CW252" s="20" t="inlineStr">
        <is>
          <t>None</t>
        </is>
      </c>
      <c r="CX252" s="17" t="n"/>
      <c r="CY252" s="16" t="n"/>
      <c r="CZ252" s="20" t="inlineStr">
        <is>
          <t>WTW Multimeter 3430 with FDO 925</t>
        </is>
      </c>
      <c r="DA252" s="20" t="inlineStr">
        <is>
          <t>None</t>
        </is>
      </c>
      <c r="DB252" s="17" t="n"/>
      <c r="DC252" s="16" t="n"/>
      <c r="DD252" s="20" t="n"/>
      <c r="DE252" s="20" t="inlineStr">
        <is>
          <t>None</t>
        </is>
      </c>
      <c r="DF252" s="17" t="n"/>
      <c r="DG252" s="16" t="n"/>
      <c r="DH252" s="20" t="inlineStr">
        <is>
          <t>SOP 45-09</t>
        </is>
      </c>
      <c r="DI252" s="20" t="inlineStr">
        <is>
          <t>None</t>
        </is>
      </c>
      <c r="DJ252" s="17" t="n"/>
      <c r="DK252" s="16" t="n"/>
      <c r="DL252" s="20" t="inlineStr">
        <is>
          <t>SOP 45-09 (SOP muss noch angepasst werden für VSS)</t>
        </is>
      </c>
      <c r="DM252" s="20" t="inlineStr">
        <is>
          <t>None</t>
        </is>
      </c>
      <c r="DN252" s="17" t="n"/>
      <c r="DO252" s="16" t="n"/>
      <c r="DP252" s="20" t="inlineStr">
        <is>
          <t>IC Organic Acids</t>
        </is>
      </c>
      <c r="DQ252" s="20" t="inlineStr">
        <is>
          <t>None</t>
        </is>
      </c>
      <c r="DR252" s="17" t="n"/>
      <c r="DS252" s="16" t="n"/>
      <c r="DT252" s="20" t="inlineStr">
        <is>
          <t>IC Organic Acids</t>
        </is>
      </c>
      <c r="DU252" s="20" t="inlineStr">
        <is>
          <t>None</t>
        </is>
      </c>
      <c r="DV252" s="17" t="n"/>
      <c r="DW252" s="16" t="n"/>
      <c r="DX252" s="20" t="inlineStr">
        <is>
          <t>IC Organic Acids</t>
        </is>
      </c>
      <c r="DY252" s="20" t="inlineStr">
        <is>
          <t>None</t>
        </is>
      </c>
      <c r="DZ252" s="17" t="n"/>
      <c r="EA252" s="16" t="n"/>
      <c r="EB252" s="20" t="inlineStr">
        <is>
          <t>IC Organic Acids</t>
        </is>
      </c>
      <c r="EC252" s="20" t="inlineStr">
        <is>
          <t>None</t>
        </is>
      </c>
      <c r="ED252" s="17" t="n"/>
      <c r="EE252" s="16" t="n"/>
      <c r="EF252" s="20" t="inlineStr">
        <is>
          <t>IC Organic Acids</t>
        </is>
      </c>
      <c r="EG252" s="20" t="inlineStr">
        <is>
          <t>None</t>
        </is>
      </c>
      <c r="EH252" s="17" t="n"/>
      <c r="EI252" s="16" t="n"/>
      <c r="EJ252" s="20" t="inlineStr">
        <is>
          <t>IC Organic Acids</t>
        </is>
      </c>
      <c r="EK252" s="20" t="inlineStr">
        <is>
          <t>None</t>
        </is>
      </c>
      <c r="EL252" s="17" t="n"/>
      <c r="EM252" s="16" t="n"/>
      <c r="EN252" s="20" t="inlineStr">
        <is>
          <t>IC Organic Acids</t>
        </is>
      </c>
      <c r="EO252" s="20" t="inlineStr">
        <is>
          <t>None</t>
        </is>
      </c>
      <c r="EP252" s="17" t="n"/>
      <c r="EQ252" s="16" t="n"/>
      <c r="ER252" s="20" t="inlineStr">
        <is>
          <t>IC Organic Acids</t>
        </is>
      </c>
      <c r="ES252" s="20" t="inlineStr">
        <is>
          <t>None</t>
        </is>
      </c>
      <c r="ET252" s="17" t="n"/>
      <c r="EU252" s="16" t="n"/>
      <c r="EV252" s="20" t="inlineStr">
        <is>
          <t>LC-MS</t>
        </is>
      </c>
      <c r="EW252" s="20" t="inlineStr">
        <is>
          <t>None</t>
        </is>
      </c>
      <c r="EX252" s="17" t="n"/>
      <c r="EY252" s="21" t="n"/>
      <c r="EZ252">
        <f>CONCATENATE(A252,B252)</f>
        <v/>
      </c>
      <c r="FA252">
        <f>CONCATENATE(SamplesX!A252,SamplesX!B252)</f>
        <v/>
      </c>
      <c r="FC252">
        <f>MATCH(EZ252,FA1:FA1008,0)</f>
        <v/>
      </c>
    </row>
    <row r="253">
      <c r="A253" s="16" t="inlineStr">
        <is>
          <t>BP</t>
        </is>
      </c>
      <c r="B253" s="17" t="inlineStr">
        <is>
          <t>25245</t>
        </is>
      </c>
      <c r="C253" s="10">
        <f>IF(ISNUMBER(FC253),INDIRECT("SamplesX!C"&amp;FC253),IF(ISNUMBER(FD253),INDIRECT("SamplesY!C"&amp;FD253),""))</f>
        <v/>
      </c>
      <c r="D253" s="12">
        <f>IF(ISNUMBER(FC253),INDIRECT("SamplesX!D"&amp;FC253),IF(ISNUMBER(FD253),INDIRECT("SamplesY!D"&amp;FD253),""))</f>
        <v/>
      </c>
      <c r="E253" s="12">
        <f>IF(ISNUMBER(FC253),INDIRECT("SamplesX!E"&amp;FC253),IF(ISNUMBER(FD253),INDIRECT("SamplesY!E"&amp;FD253),""))</f>
        <v/>
      </c>
      <c r="F253" s="11">
        <f>IF(ISNUMBER(FC253),INDIRECT("SamplesX!F"&amp;FC253),IF(ISNUMBER(FD253),INDIRECT("SamplesY!F"&amp;FD253),""))</f>
        <v/>
      </c>
      <c r="G253" s="18">
        <f>IF(ISNUMBER(FC253),INDIRECT("SamplesX!G"&amp;FC253),IF(ISNUMBER(FD253),INDIRECT("SamplesY!G"&amp;FD253),""))</f>
        <v/>
      </c>
      <c r="H253" s="19">
        <f>IF(ISNUMBER(FC253),INDIRECT("SamplesX!H"&amp;FC253),IF(ISNUMBER(FD253),INDIRECT("SamplesY!H"&amp;FD253),""))</f>
        <v/>
      </c>
      <c r="I253" s="16" t="n"/>
      <c r="J253" s="16" t="n"/>
      <c r="K253" s="16" t="n"/>
      <c r="L253" s="20" t="n"/>
      <c r="M253" s="20" t="inlineStr">
        <is>
          <t>None</t>
        </is>
      </c>
      <c r="N253" s="17" t="n"/>
      <c r="O253" s="16" t="n"/>
      <c r="P253" s="20" t="inlineStr">
        <is>
          <t>Shimadzu TOC-L</t>
        </is>
      </c>
      <c r="Q253" s="20" t="inlineStr">
        <is>
          <t>None</t>
        </is>
      </c>
      <c r="R253" s="17" t="n"/>
      <c r="S253" s="16" t="n"/>
      <c r="T253" s="20" t="inlineStr">
        <is>
          <t>Shimadzu TOC-L</t>
        </is>
      </c>
      <c r="U253" s="20" t="inlineStr">
        <is>
          <t>None</t>
        </is>
      </c>
      <c r="V253" s="17" t="n"/>
      <c r="W253" s="16" t="n"/>
      <c r="X253" s="20" t="n"/>
      <c r="Y253" s="20" t="inlineStr">
        <is>
          <t>None</t>
        </is>
      </c>
      <c r="Z253" s="17" t="n"/>
      <c r="AA253" s="16" t="n"/>
      <c r="AB253" s="20" t="n"/>
      <c r="AC253" s="20" t="inlineStr">
        <is>
          <t>None</t>
        </is>
      </c>
      <c r="AD253" s="17" t="n"/>
      <c r="AE253" s="16" t="n"/>
      <c r="AF253" s="20" t="inlineStr">
        <is>
          <t>IC Anionen</t>
        </is>
      </c>
      <c r="AG253" s="20" t="inlineStr">
        <is>
          <t>None</t>
        </is>
      </c>
      <c r="AH253" s="17" t="n"/>
      <c r="AI253" s="16" t="n"/>
      <c r="AJ253" s="20" t="n"/>
      <c r="AK253" s="20" t="inlineStr">
        <is>
          <t>None</t>
        </is>
      </c>
      <c r="AL253" s="17" t="n"/>
      <c r="AM253" s="16" t="n"/>
      <c r="AN253" s="20" t="inlineStr">
        <is>
          <t>IC Anionen</t>
        </is>
      </c>
      <c r="AO253" s="20" t="inlineStr">
        <is>
          <t>None</t>
        </is>
      </c>
      <c r="AP253" s="17" t="n"/>
      <c r="AQ253" s="16" t="n"/>
      <c r="AR253" s="20" t="n"/>
      <c r="AS253" s="20" t="inlineStr">
        <is>
          <t>None</t>
        </is>
      </c>
      <c r="AT253" s="17" t="n"/>
      <c r="AU253" s="16" t="n"/>
      <c r="AV253" s="20" t="inlineStr">
        <is>
          <t>IC Anionen</t>
        </is>
      </c>
      <c r="AW253" s="20" t="inlineStr">
        <is>
          <t>None</t>
        </is>
      </c>
      <c r="AX253" s="17" t="n"/>
      <c r="AY253" s="16" t="n"/>
      <c r="AZ253" s="20" t="inlineStr">
        <is>
          <t>IC Anionen</t>
        </is>
      </c>
      <c r="BA253" s="20" t="inlineStr">
        <is>
          <t>None</t>
        </is>
      </c>
      <c r="BB253" s="17" t="n"/>
      <c r="BC253" s="16" t="n"/>
      <c r="BD253" s="20" t="inlineStr">
        <is>
          <t>IC Kationen</t>
        </is>
      </c>
      <c r="BE253" s="20" t="inlineStr">
        <is>
          <t>None</t>
        </is>
      </c>
      <c r="BF253" s="17" t="n"/>
      <c r="BG253" s="16" t="n"/>
      <c r="BH253" s="20" t="inlineStr">
        <is>
          <t>IC Kationen</t>
        </is>
      </c>
      <c r="BI253" s="20" t="inlineStr">
        <is>
          <t>None</t>
        </is>
      </c>
      <c r="BJ253" s="17" t="n"/>
      <c r="BK253" s="16" t="n"/>
      <c r="BL253" s="20" t="inlineStr">
        <is>
          <t>IC Kationen</t>
        </is>
      </c>
      <c r="BM253" s="20" t="inlineStr">
        <is>
          <t>None</t>
        </is>
      </c>
      <c r="BN253" s="17" t="n"/>
      <c r="BO253" s="16" t="n"/>
      <c r="BP253" s="20" t="inlineStr">
        <is>
          <t>IC Kationen</t>
        </is>
      </c>
      <c r="BQ253" s="20" t="inlineStr">
        <is>
          <t>None</t>
        </is>
      </c>
      <c r="BR253" s="17" t="n"/>
      <c r="BS253" s="16" t="n"/>
      <c r="BT253" s="20" t="inlineStr">
        <is>
          <t>IC Kationen</t>
        </is>
      </c>
      <c r="BU253" s="20" t="inlineStr">
        <is>
          <t>None</t>
        </is>
      </c>
      <c r="BV253" s="17" t="n"/>
      <c r="BW253" s="16" t="n"/>
      <c r="BX253" s="20" t="n"/>
      <c r="BY253" s="20" t="inlineStr">
        <is>
          <t>None</t>
        </is>
      </c>
      <c r="BZ253" s="17" t="n"/>
      <c r="CA253" s="16" t="n"/>
      <c r="CB253" s="20" t="n"/>
      <c r="CC253" s="20" t="inlineStr">
        <is>
          <t>None</t>
        </is>
      </c>
      <c r="CD253" s="17" t="n"/>
      <c r="CE253" s="16" t="n"/>
      <c r="CF253" s="20" t="n"/>
      <c r="CG253" s="20" t="inlineStr">
        <is>
          <t>None</t>
        </is>
      </c>
      <c r="CH253" s="17" t="n"/>
      <c r="CI253" s="16" t="n"/>
      <c r="CJ253" s="20" t="n"/>
      <c r="CK253" s="20" t="inlineStr">
        <is>
          <t>None</t>
        </is>
      </c>
      <c r="CL253" s="17" t="n"/>
      <c r="CM253" s="16" t="n"/>
      <c r="CN253" s="20" t="inlineStr">
        <is>
          <t>SOP 45-34</t>
        </is>
      </c>
      <c r="CO253" s="20" t="inlineStr">
        <is>
          <t>None</t>
        </is>
      </c>
      <c r="CP253" s="17" t="n"/>
      <c r="CQ253" s="16" t="n"/>
      <c r="CR253" s="20" t="n"/>
      <c r="CS253" s="20" t="inlineStr">
        <is>
          <t>None</t>
        </is>
      </c>
      <c r="CT253" s="17" t="n"/>
      <c r="CU253" s="16" t="n"/>
      <c r="CV253" s="20" t="n"/>
      <c r="CW253" s="20" t="inlineStr">
        <is>
          <t>None</t>
        </is>
      </c>
      <c r="CX253" s="17" t="n"/>
      <c r="CY253" s="16" t="n"/>
      <c r="CZ253" s="20" t="inlineStr">
        <is>
          <t>WTW Multimeter 3430 with FDO 925</t>
        </is>
      </c>
      <c r="DA253" s="20" t="inlineStr">
        <is>
          <t>None</t>
        </is>
      </c>
      <c r="DB253" s="17" t="n"/>
      <c r="DC253" s="16" t="n"/>
      <c r="DD253" s="20" t="n"/>
      <c r="DE253" s="20" t="inlineStr">
        <is>
          <t>None</t>
        </is>
      </c>
      <c r="DF253" s="17" t="n"/>
      <c r="DG253" s="16" t="n"/>
      <c r="DH253" s="20" t="inlineStr">
        <is>
          <t>SOP 45-09</t>
        </is>
      </c>
      <c r="DI253" s="20" t="inlineStr">
        <is>
          <t>None</t>
        </is>
      </c>
      <c r="DJ253" s="17" t="n"/>
      <c r="DK253" s="16" t="n"/>
      <c r="DL253" s="20" t="inlineStr">
        <is>
          <t>SOP 45-09 (SOP muss noch angepasst werden für VSS)</t>
        </is>
      </c>
      <c r="DM253" s="20" t="inlineStr">
        <is>
          <t>None</t>
        </is>
      </c>
      <c r="DN253" s="17" t="n"/>
      <c r="DO253" s="16" t="n"/>
      <c r="DP253" s="20" t="inlineStr">
        <is>
          <t>IC Organic Acids</t>
        </is>
      </c>
      <c r="DQ253" s="20" t="inlineStr">
        <is>
          <t>None</t>
        </is>
      </c>
      <c r="DR253" s="17" t="n"/>
      <c r="DS253" s="16" t="n"/>
      <c r="DT253" s="20" t="inlineStr">
        <is>
          <t>IC Organic Acids</t>
        </is>
      </c>
      <c r="DU253" s="20" t="inlineStr">
        <is>
          <t>None</t>
        </is>
      </c>
      <c r="DV253" s="17" t="n"/>
      <c r="DW253" s="16" t="n"/>
      <c r="DX253" s="20" t="inlineStr">
        <is>
          <t>IC Organic Acids</t>
        </is>
      </c>
      <c r="DY253" s="20" t="inlineStr">
        <is>
          <t>None</t>
        </is>
      </c>
      <c r="DZ253" s="17" t="n"/>
      <c r="EA253" s="16" t="n"/>
      <c r="EB253" s="20" t="inlineStr">
        <is>
          <t>IC Organic Acids</t>
        </is>
      </c>
      <c r="EC253" s="20" t="inlineStr">
        <is>
          <t>None</t>
        </is>
      </c>
      <c r="ED253" s="17" t="n"/>
      <c r="EE253" s="16" t="n"/>
      <c r="EF253" s="20" t="inlineStr">
        <is>
          <t>IC Organic Acids</t>
        </is>
      </c>
      <c r="EG253" s="20" t="inlineStr">
        <is>
          <t>None</t>
        </is>
      </c>
      <c r="EH253" s="17" t="n"/>
      <c r="EI253" s="16" t="n"/>
      <c r="EJ253" s="20" t="inlineStr">
        <is>
          <t>IC Organic Acids</t>
        </is>
      </c>
      <c r="EK253" s="20" t="inlineStr">
        <is>
          <t>None</t>
        </is>
      </c>
      <c r="EL253" s="17" t="n"/>
      <c r="EM253" s="16" t="n"/>
      <c r="EN253" s="20" t="inlineStr">
        <is>
          <t>IC Organic Acids</t>
        </is>
      </c>
      <c r="EO253" s="20" t="inlineStr">
        <is>
          <t>None</t>
        </is>
      </c>
      <c r="EP253" s="17" t="n"/>
      <c r="EQ253" s="16" t="n"/>
      <c r="ER253" s="20" t="inlineStr">
        <is>
          <t>IC Organic Acids</t>
        </is>
      </c>
      <c r="ES253" s="20" t="inlineStr">
        <is>
          <t>None</t>
        </is>
      </c>
      <c r="ET253" s="17" t="n"/>
      <c r="EU253" s="16" t="n"/>
      <c r="EV253" s="20" t="inlineStr">
        <is>
          <t>LC-MS</t>
        </is>
      </c>
      <c r="EW253" s="20" t="inlineStr">
        <is>
          <t>None</t>
        </is>
      </c>
      <c r="EX253" s="17" t="n"/>
      <c r="EY253" s="21" t="n"/>
      <c r="EZ253">
        <f>CONCATENATE(A253,B253)</f>
        <v/>
      </c>
      <c r="FA253">
        <f>CONCATENATE(SamplesX!A253,SamplesX!B253)</f>
        <v/>
      </c>
      <c r="FC253">
        <f>MATCH(EZ253,FA1:FA1008,0)</f>
        <v/>
      </c>
    </row>
    <row r="254">
      <c r="A254" s="16" t="inlineStr">
        <is>
          <t>BP</t>
        </is>
      </c>
      <c r="B254" s="17" t="inlineStr">
        <is>
          <t>25246</t>
        </is>
      </c>
      <c r="C254" s="10">
        <f>IF(ISNUMBER(FC254),INDIRECT("SamplesX!C"&amp;FC254),IF(ISNUMBER(FD254),INDIRECT("SamplesY!C"&amp;FD254),""))</f>
        <v/>
      </c>
      <c r="D254" s="12">
        <f>IF(ISNUMBER(FC254),INDIRECT("SamplesX!D"&amp;FC254),IF(ISNUMBER(FD254),INDIRECT("SamplesY!D"&amp;FD254),""))</f>
        <v/>
      </c>
      <c r="E254" s="12">
        <f>IF(ISNUMBER(FC254),INDIRECT("SamplesX!E"&amp;FC254),IF(ISNUMBER(FD254),INDIRECT("SamplesY!E"&amp;FD254),""))</f>
        <v/>
      </c>
      <c r="F254" s="11">
        <f>IF(ISNUMBER(FC254),INDIRECT("SamplesX!F"&amp;FC254),IF(ISNUMBER(FD254),INDIRECT("SamplesY!F"&amp;FD254),""))</f>
        <v/>
      </c>
      <c r="G254" s="18">
        <f>IF(ISNUMBER(FC254),INDIRECT("SamplesX!G"&amp;FC254),IF(ISNUMBER(FD254),INDIRECT("SamplesY!G"&amp;FD254),""))</f>
        <v/>
      </c>
      <c r="H254" s="19">
        <f>IF(ISNUMBER(FC254),INDIRECT("SamplesX!H"&amp;FC254),IF(ISNUMBER(FD254),INDIRECT("SamplesY!H"&amp;FD254),""))</f>
        <v/>
      </c>
      <c r="I254" s="16" t="n"/>
      <c r="J254" s="16" t="n"/>
      <c r="K254" s="16" t="n"/>
      <c r="L254" s="20" t="n"/>
      <c r="M254" s="20" t="inlineStr">
        <is>
          <t>None</t>
        </is>
      </c>
      <c r="N254" s="17" t="n"/>
      <c r="O254" s="16" t="n"/>
      <c r="P254" s="20" t="inlineStr">
        <is>
          <t>Shimadzu TOC-L</t>
        </is>
      </c>
      <c r="Q254" s="20" t="inlineStr">
        <is>
          <t>None</t>
        </is>
      </c>
      <c r="R254" s="17" t="n"/>
      <c r="S254" s="16" t="n"/>
      <c r="T254" s="20" t="inlineStr">
        <is>
          <t>Shimadzu TOC-L</t>
        </is>
      </c>
      <c r="U254" s="20" t="inlineStr">
        <is>
          <t>None</t>
        </is>
      </c>
      <c r="V254" s="17" t="n"/>
      <c r="W254" s="16" t="n"/>
      <c r="X254" s="20" t="n"/>
      <c r="Y254" s="20" t="inlineStr">
        <is>
          <t>None</t>
        </is>
      </c>
      <c r="Z254" s="17" t="n"/>
      <c r="AA254" s="16" t="n"/>
      <c r="AB254" s="20" t="n"/>
      <c r="AC254" s="20" t="inlineStr">
        <is>
          <t>None</t>
        </is>
      </c>
      <c r="AD254" s="17" t="n"/>
      <c r="AE254" s="16" t="n"/>
      <c r="AF254" s="20" t="inlineStr">
        <is>
          <t>IC Anionen</t>
        </is>
      </c>
      <c r="AG254" s="20" t="inlineStr">
        <is>
          <t>None</t>
        </is>
      </c>
      <c r="AH254" s="17" t="n"/>
      <c r="AI254" s="16" t="n"/>
      <c r="AJ254" s="20" t="n"/>
      <c r="AK254" s="20" t="inlineStr">
        <is>
          <t>None</t>
        </is>
      </c>
      <c r="AL254" s="17" t="n"/>
      <c r="AM254" s="16" t="n"/>
      <c r="AN254" s="20" t="inlineStr">
        <is>
          <t>IC Anionen</t>
        </is>
      </c>
      <c r="AO254" s="20" t="inlineStr">
        <is>
          <t>None</t>
        </is>
      </c>
      <c r="AP254" s="17" t="n"/>
      <c r="AQ254" s="16" t="n"/>
      <c r="AR254" s="20" t="n"/>
      <c r="AS254" s="20" t="inlineStr">
        <is>
          <t>None</t>
        </is>
      </c>
      <c r="AT254" s="17" t="n"/>
      <c r="AU254" s="16" t="n"/>
      <c r="AV254" s="20" t="inlineStr">
        <is>
          <t>IC Anionen</t>
        </is>
      </c>
      <c r="AW254" s="20" t="inlineStr">
        <is>
          <t>None</t>
        </is>
      </c>
      <c r="AX254" s="17" t="n"/>
      <c r="AY254" s="16" t="n"/>
      <c r="AZ254" s="20" t="inlineStr">
        <is>
          <t>IC Anionen</t>
        </is>
      </c>
      <c r="BA254" s="20" t="inlineStr">
        <is>
          <t>None</t>
        </is>
      </c>
      <c r="BB254" s="17" t="n"/>
      <c r="BC254" s="16" t="n"/>
      <c r="BD254" s="20" t="inlineStr">
        <is>
          <t>IC Kationen</t>
        </is>
      </c>
      <c r="BE254" s="20" t="inlineStr">
        <is>
          <t>None</t>
        </is>
      </c>
      <c r="BF254" s="17" t="n"/>
      <c r="BG254" s="16" t="n"/>
      <c r="BH254" s="20" t="inlineStr">
        <is>
          <t>IC Kationen</t>
        </is>
      </c>
      <c r="BI254" s="20" t="inlineStr">
        <is>
          <t>None</t>
        </is>
      </c>
      <c r="BJ254" s="17" t="n"/>
      <c r="BK254" s="16" t="n"/>
      <c r="BL254" s="20" t="inlineStr">
        <is>
          <t>IC Kationen</t>
        </is>
      </c>
      <c r="BM254" s="20" t="inlineStr">
        <is>
          <t>None</t>
        </is>
      </c>
      <c r="BN254" s="17" t="n"/>
      <c r="BO254" s="16" t="n"/>
      <c r="BP254" s="20" t="inlineStr">
        <is>
          <t>IC Kationen</t>
        </is>
      </c>
      <c r="BQ254" s="20" t="inlineStr">
        <is>
          <t>None</t>
        </is>
      </c>
      <c r="BR254" s="17" t="n"/>
      <c r="BS254" s="16" t="n"/>
      <c r="BT254" s="20" t="inlineStr">
        <is>
          <t>IC Kationen</t>
        </is>
      </c>
      <c r="BU254" s="20" t="inlineStr">
        <is>
          <t>None</t>
        </is>
      </c>
      <c r="BV254" s="17" t="n"/>
      <c r="BW254" s="16" t="n"/>
      <c r="BX254" s="20" t="n"/>
      <c r="BY254" s="20" t="inlineStr">
        <is>
          <t>None</t>
        </is>
      </c>
      <c r="BZ254" s="17" t="n"/>
      <c r="CA254" s="16" t="n"/>
      <c r="CB254" s="20" t="n"/>
      <c r="CC254" s="20" t="inlineStr">
        <is>
          <t>None</t>
        </is>
      </c>
      <c r="CD254" s="17" t="n"/>
      <c r="CE254" s="16" t="n"/>
      <c r="CF254" s="20" t="n"/>
      <c r="CG254" s="20" t="inlineStr">
        <is>
          <t>None</t>
        </is>
      </c>
      <c r="CH254" s="17" t="n"/>
      <c r="CI254" s="16" t="n"/>
      <c r="CJ254" s="20" t="n"/>
      <c r="CK254" s="20" t="inlineStr">
        <is>
          <t>None</t>
        </is>
      </c>
      <c r="CL254" s="17" t="n"/>
      <c r="CM254" s="16" t="n"/>
      <c r="CN254" s="20" t="inlineStr">
        <is>
          <t>SOP 45-34</t>
        </is>
      </c>
      <c r="CO254" s="20" t="inlineStr">
        <is>
          <t>None</t>
        </is>
      </c>
      <c r="CP254" s="17" t="n"/>
      <c r="CQ254" s="16" t="n"/>
      <c r="CR254" s="20" t="n"/>
      <c r="CS254" s="20" t="inlineStr">
        <is>
          <t>None</t>
        </is>
      </c>
      <c r="CT254" s="17" t="n"/>
      <c r="CU254" s="16" t="n"/>
      <c r="CV254" s="20" t="n"/>
      <c r="CW254" s="20" t="inlineStr">
        <is>
          <t>None</t>
        </is>
      </c>
      <c r="CX254" s="17" t="n"/>
      <c r="CY254" s="16" t="n"/>
      <c r="CZ254" s="20" t="inlineStr">
        <is>
          <t>WTW Multimeter 3430 with FDO 925</t>
        </is>
      </c>
      <c r="DA254" s="20" t="inlineStr">
        <is>
          <t>None</t>
        </is>
      </c>
      <c r="DB254" s="17" t="n"/>
      <c r="DC254" s="16" t="n"/>
      <c r="DD254" s="20" t="n"/>
      <c r="DE254" s="20" t="inlineStr">
        <is>
          <t>None</t>
        </is>
      </c>
      <c r="DF254" s="17" t="n"/>
      <c r="DG254" s="16" t="n"/>
      <c r="DH254" s="20" t="inlineStr">
        <is>
          <t>SOP 45-09</t>
        </is>
      </c>
      <c r="DI254" s="20" t="inlineStr">
        <is>
          <t>None</t>
        </is>
      </c>
      <c r="DJ254" s="17" t="n"/>
      <c r="DK254" s="16" t="n"/>
      <c r="DL254" s="20" t="inlineStr">
        <is>
          <t>SOP 45-09 (SOP muss noch angepasst werden für VSS)</t>
        </is>
      </c>
      <c r="DM254" s="20" t="inlineStr">
        <is>
          <t>None</t>
        </is>
      </c>
      <c r="DN254" s="17" t="n"/>
      <c r="DO254" s="16" t="n"/>
      <c r="DP254" s="20" t="inlineStr">
        <is>
          <t>IC Organic Acids</t>
        </is>
      </c>
      <c r="DQ254" s="20" t="inlineStr">
        <is>
          <t>None</t>
        </is>
      </c>
      <c r="DR254" s="17" t="n"/>
      <c r="DS254" s="16" t="n"/>
      <c r="DT254" s="20" t="inlineStr">
        <is>
          <t>IC Organic Acids</t>
        </is>
      </c>
      <c r="DU254" s="20" t="inlineStr">
        <is>
          <t>None</t>
        </is>
      </c>
      <c r="DV254" s="17" t="n"/>
      <c r="DW254" s="16" t="n"/>
      <c r="DX254" s="20" t="inlineStr">
        <is>
          <t>IC Organic Acids</t>
        </is>
      </c>
      <c r="DY254" s="20" t="inlineStr">
        <is>
          <t>None</t>
        </is>
      </c>
      <c r="DZ254" s="17" t="n"/>
      <c r="EA254" s="16" t="n"/>
      <c r="EB254" s="20" t="inlineStr">
        <is>
          <t>IC Organic Acids</t>
        </is>
      </c>
      <c r="EC254" s="20" t="inlineStr">
        <is>
          <t>None</t>
        </is>
      </c>
      <c r="ED254" s="17" t="n"/>
      <c r="EE254" s="16" t="n"/>
      <c r="EF254" s="20" t="inlineStr">
        <is>
          <t>IC Organic Acids</t>
        </is>
      </c>
      <c r="EG254" s="20" t="inlineStr">
        <is>
          <t>None</t>
        </is>
      </c>
      <c r="EH254" s="17" t="n"/>
      <c r="EI254" s="16" t="n"/>
      <c r="EJ254" s="20" t="inlineStr">
        <is>
          <t>IC Organic Acids</t>
        </is>
      </c>
      <c r="EK254" s="20" t="inlineStr">
        <is>
          <t>None</t>
        </is>
      </c>
      <c r="EL254" s="17" t="n"/>
      <c r="EM254" s="16" t="n"/>
      <c r="EN254" s="20" t="inlineStr">
        <is>
          <t>IC Organic Acids</t>
        </is>
      </c>
      <c r="EO254" s="20" t="inlineStr">
        <is>
          <t>None</t>
        </is>
      </c>
      <c r="EP254" s="17" t="n"/>
      <c r="EQ254" s="16" t="n"/>
      <c r="ER254" s="20" t="inlineStr">
        <is>
          <t>IC Organic Acids</t>
        </is>
      </c>
      <c r="ES254" s="20" t="inlineStr">
        <is>
          <t>None</t>
        </is>
      </c>
      <c r="ET254" s="17" t="n"/>
      <c r="EU254" s="16" t="n"/>
      <c r="EV254" s="20" t="inlineStr">
        <is>
          <t>LC-MS</t>
        </is>
      </c>
      <c r="EW254" s="20" t="inlineStr">
        <is>
          <t>None</t>
        </is>
      </c>
      <c r="EX254" s="17" t="n"/>
      <c r="EY254" s="21" t="n"/>
      <c r="EZ254">
        <f>CONCATENATE(A254,B254)</f>
        <v/>
      </c>
      <c r="FA254">
        <f>CONCATENATE(SamplesX!A254,SamplesX!B254)</f>
        <v/>
      </c>
      <c r="FC254">
        <f>MATCH(EZ254,FA1:FA1008,0)</f>
        <v/>
      </c>
    </row>
    <row r="255">
      <c r="A255" s="16" t="inlineStr">
        <is>
          <t>BP</t>
        </is>
      </c>
      <c r="B255" s="17" t="inlineStr">
        <is>
          <t>25247</t>
        </is>
      </c>
      <c r="C255" s="10">
        <f>IF(ISNUMBER(FC255),INDIRECT("SamplesX!C"&amp;FC255),IF(ISNUMBER(FD255),INDIRECT("SamplesY!C"&amp;FD255),""))</f>
        <v/>
      </c>
      <c r="D255" s="12">
        <f>IF(ISNUMBER(FC255),INDIRECT("SamplesX!D"&amp;FC255),IF(ISNUMBER(FD255),INDIRECT("SamplesY!D"&amp;FD255),""))</f>
        <v/>
      </c>
      <c r="E255" s="12">
        <f>IF(ISNUMBER(FC255),INDIRECT("SamplesX!E"&amp;FC255),IF(ISNUMBER(FD255),INDIRECT("SamplesY!E"&amp;FD255),""))</f>
        <v/>
      </c>
      <c r="F255" s="11">
        <f>IF(ISNUMBER(FC255),INDIRECT("SamplesX!F"&amp;FC255),IF(ISNUMBER(FD255),INDIRECT("SamplesY!F"&amp;FD255),""))</f>
        <v/>
      </c>
      <c r="G255" s="18">
        <f>IF(ISNUMBER(FC255),INDIRECT("SamplesX!G"&amp;FC255),IF(ISNUMBER(FD255),INDIRECT("SamplesY!G"&amp;FD255),""))</f>
        <v/>
      </c>
      <c r="H255" s="19">
        <f>IF(ISNUMBER(FC255),INDIRECT("SamplesX!H"&amp;FC255),IF(ISNUMBER(FD255),INDIRECT("SamplesY!H"&amp;FD255),""))</f>
        <v/>
      </c>
      <c r="I255" s="16" t="n"/>
      <c r="J255" s="16" t="n"/>
      <c r="K255" s="16" t="n"/>
      <c r="L255" s="20" t="n"/>
      <c r="M255" s="20" t="inlineStr">
        <is>
          <t>None</t>
        </is>
      </c>
      <c r="N255" s="17" t="n"/>
      <c r="O255" s="16" t="n"/>
      <c r="P255" s="20" t="inlineStr">
        <is>
          <t>Shimadzu TOC-L</t>
        </is>
      </c>
      <c r="Q255" s="20" t="inlineStr">
        <is>
          <t>None</t>
        </is>
      </c>
      <c r="R255" s="17" t="n"/>
      <c r="S255" s="16" t="n"/>
      <c r="T255" s="20" t="inlineStr">
        <is>
          <t>Shimadzu TOC-L</t>
        </is>
      </c>
      <c r="U255" s="20" t="inlineStr">
        <is>
          <t>None</t>
        </is>
      </c>
      <c r="V255" s="17" t="n"/>
      <c r="W255" s="16" t="n"/>
      <c r="X255" s="20" t="n"/>
      <c r="Y255" s="20" t="inlineStr">
        <is>
          <t>None</t>
        </is>
      </c>
      <c r="Z255" s="17" t="n"/>
      <c r="AA255" s="16" t="n"/>
      <c r="AB255" s="20" t="n"/>
      <c r="AC255" s="20" t="inlineStr">
        <is>
          <t>None</t>
        </is>
      </c>
      <c r="AD255" s="17" t="n"/>
      <c r="AE255" s="16" t="n"/>
      <c r="AF255" s="20" t="inlineStr">
        <is>
          <t>IC Anionen</t>
        </is>
      </c>
      <c r="AG255" s="20" t="inlineStr">
        <is>
          <t>None</t>
        </is>
      </c>
      <c r="AH255" s="17" t="n"/>
      <c r="AI255" s="16" t="n"/>
      <c r="AJ255" s="20" t="n"/>
      <c r="AK255" s="20" t="inlineStr">
        <is>
          <t>None</t>
        </is>
      </c>
      <c r="AL255" s="17" t="n"/>
      <c r="AM255" s="16" t="n"/>
      <c r="AN255" s="20" t="inlineStr">
        <is>
          <t>IC Anionen</t>
        </is>
      </c>
      <c r="AO255" s="20" t="inlineStr">
        <is>
          <t>None</t>
        </is>
      </c>
      <c r="AP255" s="17" t="n"/>
      <c r="AQ255" s="16" t="n"/>
      <c r="AR255" s="20" t="n"/>
      <c r="AS255" s="20" t="inlineStr">
        <is>
          <t>None</t>
        </is>
      </c>
      <c r="AT255" s="17" t="n"/>
      <c r="AU255" s="16" t="n"/>
      <c r="AV255" s="20" t="inlineStr">
        <is>
          <t>IC Anionen</t>
        </is>
      </c>
      <c r="AW255" s="20" t="inlineStr">
        <is>
          <t>None</t>
        </is>
      </c>
      <c r="AX255" s="17" t="n"/>
      <c r="AY255" s="16" t="n"/>
      <c r="AZ255" s="20" t="inlineStr">
        <is>
          <t>IC Anionen</t>
        </is>
      </c>
      <c r="BA255" s="20" t="inlineStr">
        <is>
          <t>None</t>
        </is>
      </c>
      <c r="BB255" s="17" t="n"/>
      <c r="BC255" s="16" t="n"/>
      <c r="BD255" s="20" t="inlineStr">
        <is>
          <t>IC Kationen</t>
        </is>
      </c>
      <c r="BE255" s="20" t="inlineStr">
        <is>
          <t>None</t>
        </is>
      </c>
      <c r="BF255" s="17" t="n"/>
      <c r="BG255" s="16" t="n"/>
      <c r="BH255" s="20" t="inlineStr">
        <is>
          <t>IC Kationen</t>
        </is>
      </c>
      <c r="BI255" s="20" t="inlineStr">
        <is>
          <t>None</t>
        </is>
      </c>
      <c r="BJ255" s="17" t="n"/>
      <c r="BK255" s="16" t="n"/>
      <c r="BL255" s="20" t="inlineStr">
        <is>
          <t>IC Kationen</t>
        </is>
      </c>
      <c r="BM255" s="20" t="inlineStr">
        <is>
          <t>None</t>
        </is>
      </c>
      <c r="BN255" s="17" t="n"/>
      <c r="BO255" s="16" t="n"/>
      <c r="BP255" s="20" t="inlineStr">
        <is>
          <t>IC Kationen</t>
        </is>
      </c>
      <c r="BQ255" s="20" t="inlineStr">
        <is>
          <t>None</t>
        </is>
      </c>
      <c r="BR255" s="17" t="n"/>
      <c r="BS255" s="16" t="n"/>
      <c r="BT255" s="20" t="inlineStr">
        <is>
          <t>IC Kationen</t>
        </is>
      </c>
      <c r="BU255" s="20" t="inlineStr">
        <is>
          <t>None</t>
        </is>
      </c>
      <c r="BV255" s="17" t="n"/>
      <c r="BW255" s="16" t="n"/>
      <c r="BX255" s="20" t="n"/>
      <c r="BY255" s="20" t="inlineStr">
        <is>
          <t>None</t>
        </is>
      </c>
      <c r="BZ255" s="17" t="n"/>
      <c r="CA255" s="16" t="n"/>
      <c r="CB255" s="20" t="n"/>
      <c r="CC255" s="20" t="inlineStr">
        <is>
          <t>None</t>
        </is>
      </c>
      <c r="CD255" s="17" t="n"/>
      <c r="CE255" s="16" t="n"/>
      <c r="CF255" s="20" t="n"/>
      <c r="CG255" s="20" t="inlineStr">
        <is>
          <t>None</t>
        </is>
      </c>
      <c r="CH255" s="17" t="n"/>
      <c r="CI255" s="16" t="n"/>
      <c r="CJ255" s="20" t="n"/>
      <c r="CK255" s="20" t="inlineStr">
        <is>
          <t>None</t>
        </is>
      </c>
      <c r="CL255" s="17" t="n"/>
      <c r="CM255" s="16" t="n"/>
      <c r="CN255" s="20" t="inlineStr">
        <is>
          <t>SOP 45-34</t>
        </is>
      </c>
      <c r="CO255" s="20" t="inlineStr">
        <is>
          <t>None</t>
        </is>
      </c>
      <c r="CP255" s="17" t="n"/>
      <c r="CQ255" s="16" t="n"/>
      <c r="CR255" s="20" t="n"/>
      <c r="CS255" s="20" t="inlineStr">
        <is>
          <t>None</t>
        </is>
      </c>
      <c r="CT255" s="17" t="n"/>
      <c r="CU255" s="16" t="n"/>
      <c r="CV255" s="20" t="n"/>
      <c r="CW255" s="20" t="inlineStr">
        <is>
          <t>None</t>
        </is>
      </c>
      <c r="CX255" s="17" t="n"/>
      <c r="CY255" s="16" t="n"/>
      <c r="CZ255" s="20" t="inlineStr">
        <is>
          <t>WTW Multimeter 3430 with FDO 925</t>
        </is>
      </c>
      <c r="DA255" s="20" t="inlineStr">
        <is>
          <t>None</t>
        </is>
      </c>
      <c r="DB255" s="17" t="n"/>
      <c r="DC255" s="16" t="n"/>
      <c r="DD255" s="20" t="n"/>
      <c r="DE255" s="20" t="inlineStr">
        <is>
          <t>None</t>
        </is>
      </c>
      <c r="DF255" s="17" t="n"/>
      <c r="DG255" s="16" t="n"/>
      <c r="DH255" s="20" t="inlineStr">
        <is>
          <t>SOP 45-09</t>
        </is>
      </c>
      <c r="DI255" s="20" t="inlineStr">
        <is>
          <t>None</t>
        </is>
      </c>
      <c r="DJ255" s="17" t="n"/>
      <c r="DK255" s="16" t="n"/>
      <c r="DL255" s="20" t="inlineStr">
        <is>
          <t>SOP 45-09 (SOP muss noch angepasst werden für VSS)</t>
        </is>
      </c>
      <c r="DM255" s="20" t="inlineStr">
        <is>
          <t>None</t>
        </is>
      </c>
      <c r="DN255" s="17" t="n"/>
      <c r="DO255" s="16" t="n"/>
      <c r="DP255" s="20" t="inlineStr">
        <is>
          <t>IC Organic Acids</t>
        </is>
      </c>
      <c r="DQ255" s="20" t="inlineStr">
        <is>
          <t>None</t>
        </is>
      </c>
      <c r="DR255" s="17" t="n"/>
      <c r="DS255" s="16" t="n"/>
      <c r="DT255" s="20" t="inlineStr">
        <is>
          <t>IC Organic Acids</t>
        </is>
      </c>
      <c r="DU255" s="20" t="inlineStr">
        <is>
          <t>None</t>
        </is>
      </c>
      <c r="DV255" s="17" t="n"/>
      <c r="DW255" s="16" t="n"/>
      <c r="DX255" s="20" t="inlineStr">
        <is>
          <t>IC Organic Acids</t>
        </is>
      </c>
      <c r="DY255" s="20" t="inlineStr">
        <is>
          <t>None</t>
        </is>
      </c>
      <c r="DZ255" s="17" t="n"/>
      <c r="EA255" s="16" t="n"/>
      <c r="EB255" s="20" t="inlineStr">
        <is>
          <t>IC Organic Acids</t>
        </is>
      </c>
      <c r="EC255" s="20" t="inlineStr">
        <is>
          <t>None</t>
        </is>
      </c>
      <c r="ED255" s="17" t="n"/>
      <c r="EE255" s="16" t="n"/>
      <c r="EF255" s="20" t="inlineStr">
        <is>
          <t>IC Organic Acids</t>
        </is>
      </c>
      <c r="EG255" s="20" t="inlineStr">
        <is>
          <t>None</t>
        </is>
      </c>
      <c r="EH255" s="17" t="n"/>
      <c r="EI255" s="16" t="n"/>
      <c r="EJ255" s="20" t="inlineStr">
        <is>
          <t>IC Organic Acids</t>
        </is>
      </c>
      <c r="EK255" s="20" t="inlineStr">
        <is>
          <t>None</t>
        </is>
      </c>
      <c r="EL255" s="17" t="n"/>
      <c r="EM255" s="16" t="n"/>
      <c r="EN255" s="20" t="inlineStr">
        <is>
          <t>IC Organic Acids</t>
        </is>
      </c>
      <c r="EO255" s="20" t="inlineStr">
        <is>
          <t>None</t>
        </is>
      </c>
      <c r="EP255" s="17" t="n"/>
      <c r="EQ255" s="16" t="n"/>
      <c r="ER255" s="20" t="inlineStr">
        <is>
          <t>IC Organic Acids</t>
        </is>
      </c>
      <c r="ES255" s="20" t="inlineStr">
        <is>
          <t>None</t>
        </is>
      </c>
      <c r="ET255" s="17" t="n"/>
      <c r="EU255" s="16" t="n"/>
      <c r="EV255" s="20" t="inlineStr">
        <is>
          <t>LC-MS</t>
        </is>
      </c>
      <c r="EW255" s="20" t="inlineStr">
        <is>
          <t>None</t>
        </is>
      </c>
      <c r="EX255" s="17" t="n"/>
      <c r="EY255" s="21" t="n"/>
      <c r="EZ255">
        <f>CONCATENATE(A255,B255)</f>
        <v/>
      </c>
      <c r="FA255">
        <f>CONCATENATE(SamplesX!A255,SamplesX!B255)</f>
        <v/>
      </c>
      <c r="FC255">
        <f>MATCH(EZ255,FA1:FA1008,0)</f>
        <v/>
      </c>
    </row>
    <row r="256">
      <c r="A256" s="16" t="inlineStr">
        <is>
          <t>BP</t>
        </is>
      </c>
      <c r="B256" s="17" t="inlineStr">
        <is>
          <t>25248</t>
        </is>
      </c>
      <c r="C256" s="10">
        <f>IF(ISNUMBER(FC256),INDIRECT("SamplesX!C"&amp;FC256),IF(ISNUMBER(FD256),INDIRECT("SamplesY!C"&amp;FD256),""))</f>
        <v/>
      </c>
      <c r="D256" s="12">
        <f>IF(ISNUMBER(FC256),INDIRECT("SamplesX!D"&amp;FC256),IF(ISNUMBER(FD256),INDIRECT("SamplesY!D"&amp;FD256),""))</f>
        <v/>
      </c>
      <c r="E256" s="12">
        <f>IF(ISNUMBER(FC256),INDIRECT("SamplesX!E"&amp;FC256),IF(ISNUMBER(FD256),INDIRECT("SamplesY!E"&amp;FD256),""))</f>
        <v/>
      </c>
      <c r="F256" s="11">
        <f>IF(ISNUMBER(FC256),INDIRECT("SamplesX!F"&amp;FC256),IF(ISNUMBER(FD256),INDIRECT("SamplesY!F"&amp;FD256),""))</f>
        <v/>
      </c>
      <c r="G256" s="18">
        <f>IF(ISNUMBER(FC256),INDIRECT("SamplesX!G"&amp;FC256),IF(ISNUMBER(FD256),INDIRECT("SamplesY!G"&amp;FD256),""))</f>
        <v/>
      </c>
      <c r="H256" s="19">
        <f>IF(ISNUMBER(FC256),INDIRECT("SamplesX!H"&amp;FC256),IF(ISNUMBER(FD256),INDIRECT("SamplesY!H"&amp;FD256),""))</f>
        <v/>
      </c>
      <c r="I256" s="16" t="n"/>
      <c r="J256" s="16" t="n"/>
      <c r="K256" s="16" t="n"/>
      <c r="L256" s="20" t="n"/>
      <c r="M256" s="20" t="inlineStr">
        <is>
          <t>None</t>
        </is>
      </c>
      <c r="N256" s="17" t="n"/>
      <c r="O256" s="16" t="n"/>
      <c r="P256" s="20" t="inlineStr">
        <is>
          <t>Shimadzu TOC-L</t>
        </is>
      </c>
      <c r="Q256" s="20" t="inlineStr">
        <is>
          <t>None</t>
        </is>
      </c>
      <c r="R256" s="17" t="n"/>
      <c r="S256" s="16" t="n"/>
      <c r="T256" s="20" t="inlineStr">
        <is>
          <t>Shimadzu TOC-L</t>
        </is>
      </c>
      <c r="U256" s="20" t="inlineStr">
        <is>
          <t>None</t>
        </is>
      </c>
      <c r="V256" s="17" t="n"/>
      <c r="W256" s="16" t="n"/>
      <c r="X256" s="20" t="n"/>
      <c r="Y256" s="20" t="inlineStr">
        <is>
          <t>None</t>
        </is>
      </c>
      <c r="Z256" s="17" t="n"/>
      <c r="AA256" s="16" t="n"/>
      <c r="AB256" s="20" t="n"/>
      <c r="AC256" s="20" t="inlineStr">
        <is>
          <t>None</t>
        </is>
      </c>
      <c r="AD256" s="17" t="n"/>
      <c r="AE256" s="16" t="n"/>
      <c r="AF256" s="20" t="inlineStr">
        <is>
          <t>IC Anionen</t>
        </is>
      </c>
      <c r="AG256" s="20" t="inlineStr">
        <is>
          <t>None</t>
        </is>
      </c>
      <c r="AH256" s="17" t="n"/>
      <c r="AI256" s="16" t="n"/>
      <c r="AJ256" s="20" t="n"/>
      <c r="AK256" s="20" t="inlineStr">
        <is>
          <t>None</t>
        </is>
      </c>
      <c r="AL256" s="17" t="n"/>
      <c r="AM256" s="16" t="n"/>
      <c r="AN256" s="20" t="inlineStr">
        <is>
          <t>IC Anionen</t>
        </is>
      </c>
      <c r="AO256" s="20" t="inlineStr">
        <is>
          <t>None</t>
        </is>
      </c>
      <c r="AP256" s="17" t="n"/>
      <c r="AQ256" s="16" t="n"/>
      <c r="AR256" s="20" t="n"/>
      <c r="AS256" s="20" t="inlineStr">
        <is>
          <t>None</t>
        </is>
      </c>
      <c r="AT256" s="17" t="n"/>
      <c r="AU256" s="16" t="n"/>
      <c r="AV256" s="20" t="n"/>
      <c r="AW256" s="20" t="inlineStr">
        <is>
          <t>None</t>
        </is>
      </c>
      <c r="AX256" s="17" t="n"/>
      <c r="AY256" s="16" t="n"/>
      <c r="AZ256" s="20" t="inlineStr">
        <is>
          <t>IC Anionen</t>
        </is>
      </c>
      <c r="BA256" s="20" t="inlineStr">
        <is>
          <t>None</t>
        </is>
      </c>
      <c r="BB256" s="17" t="n"/>
      <c r="BC256" s="16" t="n"/>
      <c r="BD256" s="20" t="inlineStr">
        <is>
          <t>IC Kationen</t>
        </is>
      </c>
      <c r="BE256" s="20" t="inlineStr">
        <is>
          <t>None</t>
        </is>
      </c>
      <c r="BF256" s="17" t="n"/>
      <c r="BG256" s="16" t="n"/>
      <c r="BH256" s="20" t="inlineStr">
        <is>
          <t>IC Kationen</t>
        </is>
      </c>
      <c r="BI256" s="20" t="inlineStr">
        <is>
          <t>None</t>
        </is>
      </c>
      <c r="BJ256" s="17" t="n"/>
      <c r="BK256" s="16" t="n"/>
      <c r="BL256" s="20" t="inlineStr">
        <is>
          <t>IC Kationen</t>
        </is>
      </c>
      <c r="BM256" s="20" t="inlineStr">
        <is>
          <t>None</t>
        </is>
      </c>
      <c r="BN256" s="17" t="n"/>
      <c r="BO256" s="16" t="n"/>
      <c r="BP256" s="20" t="inlineStr">
        <is>
          <t>IC Kationen</t>
        </is>
      </c>
      <c r="BQ256" s="20" t="inlineStr">
        <is>
          <t>None</t>
        </is>
      </c>
      <c r="BR256" s="17" t="n"/>
      <c r="BS256" s="16" t="n"/>
      <c r="BT256" s="20" t="inlineStr">
        <is>
          <t>IC Kationen</t>
        </is>
      </c>
      <c r="BU256" s="20" t="inlineStr">
        <is>
          <t>None</t>
        </is>
      </c>
      <c r="BV256" s="17" t="n"/>
      <c r="BW256" s="16" t="n"/>
      <c r="BX256" s="20" t="n"/>
      <c r="BY256" s="20" t="inlineStr">
        <is>
          <t>None</t>
        </is>
      </c>
      <c r="BZ256" s="17" t="n"/>
      <c r="CA256" s="16" t="n"/>
      <c r="CB256" s="20" t="n"/>
      <c r="CC256" s="20" t="inlineStr">
        <is>
          <t>None</t>
        </is>
      </c>
      <c r="CD256" s="17" t="n"/>
      <c r="CE256" s="16" t="n"/>
      <c r="CF256" s="20" t="n"/>
      <c r="CG256" s="20" t="inlineStr">
        <is>
          <t>None</t>
        </is>
      </c>
      <c r="CH256" s="17" t="n"/>
      <c r="CI256" s="16" t="n"/>
      <c r="CJ256" s="20" t="n"/>
      <c r="CK256" s="20" t="inlineStr">
        <is>
          <t>None</t>
        </is>
      </c>
      <c r="CL256" s="17" t="n"/>
      <c r="CM256" s="16" t="n"/>
      <c r="CN256" s="20" t="inlineStr">
        <is>
          <t>SOP 45-34</t>
        </is>
      </c>
      <c r="CO256" s="20" t="inlineStr">
        <is>
          <t>None</t>
        </is>
      </c>
      <c r="CP256" s="17" t="n"/>
      <c r="CQ256" s="16" t="n"/>
      <c r="CR256" s="20" t="n"/>
      <c r="CS256" s="20" t="inlineStr">
        <is>
          <t>None</t>
        </is>
      </c>
      <c r="CT256" s="17" t="n"/>
      <c r="CU256" s="16" t="n"/>
      <c r="CV256" s="20" t="n"/>
      <c r="CW256" s="20" t="inlineStr">
        <is>
          <t>None</t>
        </is>
      </c>
      <c r="CX256" s="17" t="n"/>
      <c r="CY256" s="16" t="n"/>
      <c r="CZ256" s="20" t="inlineStr">
        <is>
          <t>WTW Multimeter 3430 with FDO 925</t>
        </is>
      </c>
      <c r="DA256" s="20" t="inlineStr">
        <is>
          <t>None</t>
        </is>
      </c>
      <c r="DB256" s="17" t="n"/>
      <c r="DC256" s="16" t="n"/>
      <c r="DD256" s="20" t="n"/>
      <c r="DE256" s="20" t="inlineStr">
        <is>
          <t>None</t>
        </is>
      </c>
      <c r="DF256" s="17" t="n"/>
      <c r="DG256" s="16" t="n"/>
      <c r="DH256" s="20" t="inlineStr">
        <is>
          <t>SOP 45-09</t>
        </is>
      </c>
      <c r="DI256" s="20" t="inlineStr">
        <is>
          <t>None</t>
        </is>
      </c>
      <c r="DJ256" s="17" t="n"/>
      <c r="DK256" s="16" t="n"/>
      <c r="DL256" s="20" t="inlineStr">
        <is>
          <t>SOP 45-09 (SOP muss noch angepasst werden für VSS)</t>
        </is>
      </c>
      <c r="DM256" s="20" t="inlineStr">
        <is>
          <t>None</t>
        </is>
      </c>
      <c r="DN256" s="17" t="n"/>
      <c r="DO256" s="16" t="n"/>
      <c r="DP256" s="20" t="inlineStr">
        <is>
          <t>IC Organic Acids</t>
        </is>
      </c>
      <c r="DQ256" s="20" t="inlineStr">
        <is>
          <t>None</t>
        </is>
      </c>
      <c r="DR256" s="17" t="n"/>
      <c r="DS256" s="16" t="n"/>
      <c r="DT256" s="20" t="inlineStr">
        <is>
          <t>IC Organic Acids</t>
        </is>
      </c>
      <c r="DU256" s="20" t="inlineStr">
        <is>
          <t>None</t>
        </is>
      </c>
      <c r="DV256" s="17" t="n"/>
      <c r="DW256" s="16" t="n"/>
      <c r="DX256" s="20" t="inlineStr">
        <is>
          <t>IC Organic Acids</t>
        </is>
      </c>
      <c r="DY256" s="20" t="inlineStr">
        <is>
          <t>None</t>
        </is>
      </c>
      <c r="DZ256" s="17" t="n"/>
      <c r="EA256" s="16" t="n"/>
      <c r="EB256" s="20" t="inlineStr">
        <is>
          <t>IC Organic Acids</t>
        </is>
      </c>
      <c r="EC256" s="20" t="inlineStr">
        <is>
          <t>None</t>
        </is>
      </c>
      <c r="ED256" s="17" t="n"/>
      <c r="EE256" s="16" t="n"/>
      <c r="EF256" s="20" t="inlineStr">
        <is>
          <t>IC Organic Acids</t>
        </is>
      </c>
      <c r="EG256" s="20" t="inlineStr">
        <is>
          <t>None</t>
        </is>
      </c>
      <c r="EH256" s="17" t="n"/>
      <c r="EI256" s="16" t="n"/>
      <c r="EJ256" s="20" t="inlineStr">
        <is>
          <t>IC Organic Acids</t>
        </is>
      </c>
      <c r="EK256" s="20" t="inlineStr">
        <is>
          <t>None</t>
        </is>
      </c>
      <c r="EL256" s="17" t="n"/>
      <c r="EM256" s="16" t="n"/>
      <c r="EN256" s="20" t="inlineStr">
        <is>
          <t>IC Organic Acids</t>
        </is>
      </c>
      <c r="EO256" s="20" t="inlineStr">
        <is>
          <t>None</t>
        </is>
      </c>
      <c r="EP256" s="17" t="n"/>
      <c r="EQ256" s="16" t="n"/>
      <c r="ER256" s="20" t="inlineStr">
        <is>
          <t>IC Organic Acids</t>
        </is>
      </c>
      <c r="ES256" s="20" t="inlineStr">
        <is>
          <t>None</t>
        </is>
      </c>
      <c r="ET256" s="17" t="n"/>
      <c r="EU256" s="16" t="n"/>
      <c r="EV256" s="20" t="inlineStr">
        <is>
          <t>LC-MS</t>
        </is>
      </c>
      <c r="EW256" s="20" t="inlineStr">
        <is>
          <t>None</t>
        </is>
      </c>
      <c r="EX256" s="17" t="n"/>
      <c r="EY256" s="21" t="n"/>
      <c r="EZ256">
        <f>CONCATENATE(A256,B256)</f>
        <v/>
      </c>
      <c r="FA256">
        <f>CONCATENATE(SamplesX!A256,SamplesX!B256)</f>
        <v/>
      </c>
      <c r="FC256">
        <f>MATCH(EZ256,FA1:FA1008,0)</f>
        <v/>
      </c>
    </row>
    <row r="257">
      <c r="A257" s="16" t="inlineStr">
        <is>
          <t>BP</t>
        </is>
      </c>
      <c r="B257" s="17" t="inlineStr">
        <is>
          <t>25249</t>
        </is>
      </c>
      <c r="C257" s="10">
        <f>IF(ISNUMBER(FC257),INDIRECT("SamplesX!C"&amp;FC257),IF(ISNUMBER(FD257),INDIRECT("SamplesY!C"&amp;FD257),""))</f>
        <v/>
      </c>
      <c r="D257" s="12">
        <f>IF(ISNUMBER(FC257),INDIRECT("SamplesX!D"&amp;FC257),IF(ISNUMBER(FD257),INDIRECT("SamplesY!D"&amp;FD257),""))</f>
        <v/>
      </c>
      <c r="E257" s="12">
        <f>IF(ISNUMBER(FC257),INDIRECT("SamplesX!E"&amp;FC257),IF(ISNUMBER(FD257),INDIRECT("SamplesY!E"&amp;FD257),""))</f>
        <v/>
      </c>
      <c r="F257" s="11">
        <f>IF(ISNUMBER(FC257),INDIRECT("SamplesX!F"&amp;FC257),IF(ISNUMBER(FD257),INDIRECT("SamplesY!F"&amp;FD257),""))</f>
        <v/>
      </c>
      <c r="G257" s="18">
        <f>IF(ISNUMBER(FC257),INDIRECT("SamplesX!G"&amp;FC257),IF(ISNUMBER(FD257),INDIRECT("SamplesY!G"&amp;FD257),""))</f>
        <v/>
      </c>
      <c r="H257" s="19">
        <f>IF(ISNUMBER(FC257),INDIRECT("SamplesX!H"&amp;FC257),IF(ISNUMBER(FD257),INDIRECT("SamplesY!H"&amp;FD257),""))</f>
        <v/>
      </c>
      <c r="I257" s="16" t="n"/>
      <c r="J257" s="16" t="n"/>
      <c r="K257" s="16" t="n"/>
      <c r="L257" s="20" t="n"/>
      <c r="M257" s="20" t="inlineStr">
        <is>
          <t>None</t>
        </is>
      </c>
      <c r="N257" s="17" t="n"/>
      <c r="O257" s="16" t="n"/>
      <c r="P257" s="20" t="inlineStr">
        <is>
          <t>Shimadzu TOC-L</t>
        </is>
      </c>
      <c r="Q257" s="20" t="inlineStr">
        <is>
          <t>None</t>
        </is>
      </c>
      <c r="R257" s="17" t="n"/>
      <c r="S257" s="16" t="n"/>
      <c r="T257" s="20" t="inlineStr">
        <is>
          <t>Shimadzu TOC-L</t>
        </is>
      </c>
      <c r="U257" s="20" t="inlineStr">
        <is>
          <t>None</t>
        </is>
      </c>
      <c r="V257" s="17" t="n"/>
      <c r="W257" s="16" t="n"/>
      <c r="X257" s="20" t="n"/>
      <c r="Y257" s="20" t="inlineStr">
        <is>
          <t>None</t>
        </is>
      </c>
      <c r="Z257" s="17" t="n"/>
      <c r="AA257" s="16" t="n"/>
      <c r="AB257" s="20" t="n"/>
      <c r="AC257" s="20" t="inlineStr">
        <is>
          <t>None</t>
        </is>
      </c>
      <c r="AD257" s="17" t="n"/>
      <c r="AE257" s="16" t="n"/>
      <c r="AF257" s="20" t="inlineStr">
        <is>
          <t>IC Anionen</t>
        </is>
      </c>
      <c r="AG257" s="20" t="inlineStr">
        <is>
          <t>None</t>
        </is>
      </c>
      <c r="AH257" s="17" t="n"/>
      <c r="AI257" s="16" t="n"/>
      <c r="AJ257" s="20" t="n"/>
      <c r="AK257" s="20" t="inlineStr">
        <is>
          <t>None</t>
        </is>
      </c>
      <c r="AL257" s="17" t="n"/>
      <c r="AM257" s="16" t="n"/>
      <c r="AN257" s="20" t="inlineStr">
        <is>
          <t>IC Anionen</t>
        </is>
      </c>
      <c r="AO257" s="20" t="inlineStr">
        <is>
          <t>None</t>
        </is>
      </c>
      <c r="AP257" s="17" t="n"/>
      <c r="AQ257" s="16" t="n"/>
      <c r="AR257" s="20" t="n"/>
      <c r="AS257" s="20" t="inlineStr">
        <is>
          <t>None</t>
        </is>
      </c>
      <c r="AT257" s="17" t="n"/>
      <c r="AU257" s="16" t="n"/>
      <c r="AV257" s="20" t="n"/>
      <c r="AW257" s="20" t="inlineStr">
        <is>
          <t>None</t>
        </is>
      </c>
      <c r="AX257" s="17" t="n"/>
      <c r="AY257" s="16" t="n"/>
      <c r="AZ257" s="20" t="inlineStr">
        <is>
          <t>IC Anionen</t>
        </is>
      </c>
      <c r="BA257" s="20" t="inlineStr">
        <is>
          <t>None</t>
        </is>
      </c>
      <c r="BB257" s="17" t="n"/>
      <c r="BC257" s="16" t="n"/>
      <c r="BD257" s="20" t="inlineStr">
        <is>
          <t>IC Kationen</t>
        </is>
      </c>
      <c r="BE257" s="20" t="inlineStr">
        <is>
          <t>None</t>
        </is>
      </c>
      <c r="BF257" s="17" t="n"/>
      <c r="BG257" s="16" t="n"/>
      <c r="BH257" s="20" t="inlineStr">
        <is>
          <t>IC Kationen</t>
        </is>
      </c>
      <c r="BI257" s="20" t="inlineStr">
        <is>
          <t>None</t>
        </is>
      </c>
      <c r="BJ257" s="17" t="n"/>
      <c r="BK257" s="16" t="n"/>
      <c r="BL257" s="20" t="inlineStr">
        <is>
          <t>IC Kationen</t>
        </is>
      </c>
      <c r="BM257" s="20" t="inlineStr">
        <is>
          <t>None</t>
        </is>
      </c>
      <c r="BN257" s="17" t="n"/>
      <c r="BO257" s="16" t="n"/>
      <c r="BP257" s="20" t="inlineStr">
        <is>
          <t>IC Kationen</t>
        </is>
      </c>
      <c r="BQ257" s="20" t="inlineStr">
        <is>
          <t>None</t>
        </is>
      </c>
      <c r="BR257" s="17" t="n"/>
      <c r="BS257" s="16" t="n"/>
      <c r="BT257" s="20" t="inlineStr">
        <is>
          <t>IC Kationen</t>
        </is>
      </c>
      <c r="BU257" s="20" t="inlineStr">
        <is>
          <t>None</t>
        </is>
      </c>
      <c r="BV257" s="17" t="n"/>
      <c r="BW257" s="16" t="n"/>
      <c r="BX257" s="20" t="n"/>
      <c r="BY257" s="20" t="inlineStr">
        <is>
          <t>None</t>
        </is>
      </c>
      <c r="BZ257" s="17" t="n"/>
      <c r="CA257" s="16" t="n"/>
      <c r="CB257" s="20" t="n"/>
      <c r="CC257" s="20" t="inlineStr">
        <is>
          <t>None</t>
        </is>
      </c>
      <c r="CD257" s="17" t="n"/>
      <c r="CE257" s="16" t="n"/>
      <c r="CF257" s="20" t="n"/>
      <c r="CG257" s="20" t="inlineStr">
        <is>
          <t>None</t>
        </is>
      </c>
      <c r="CH257" s="17" t="n"/>
      <c r="CI257" s="16" t="n"/>
      <c r="CJ257" s="20" t="n"/>
      <c r="CK257" s="20" t="inlineStr">
        <is>
          <t>None</t>
        </is>
      </c>
      <c r="CL257" s="17" t="n"/>
      <c r="CM257" s="16" t="n"/>
      <c r="CN257" s="20" t="inlineStr">
        <is>
          <t>SOP 45-34</t>
        </is>
      </c>
      <c r="CO257" s="20" t="inlineStr">
        <is>
          <t>None</t>
        </is>
      </c>
      <c r="CP257" s="17" t="n"/>
      <c r="CQ257" s="16" t="n"/>
      <c r="CR257" s="20" t="n"/>
      <c r="CS257" s="20" t="inlineStr">
        <is>
          <t>None</t>
        </is>
      </c>
      <c r="CT257" s="17" t="n"/>
      <c r="CU257" s="16" t="n"/>
      <c r="CV257" s="20" t="n"/>
      <c r="CW257" s="20" t="inlineStr">
        <is>
          <t>None</t>
        </is>
      </c>
      <c r="CX257" s="17" t="n"/>
      <c r="CY257" s="16" t="n"/>
      <c r="CZ257" s="20" t="inlineStr">
        <is>
          <t>WTW Multimeter 3430 with FDO 925</t>
        </is>
      </c>
      <c r="DA257" s="20" t="inlineStr">
        <is>
          <t>None</t>
        </is>
      </c>
      <c r="DB257" s="17" t="n"/>
      <c r="DC257" s="16" t="n"/>
      <c r="DD257" s="20" t="n"/>
      <c r="DE257" s="20" t="inlineStr">
        <is>
          <t>None</t>
        </is>
      </c>
      <c r="DF257" s="17" t="n"/>
      <c r="DG257" s="16" t="n"/>
      <c r="DH257" s="20" t="inlineStr">
        <is>
          <t>SOP 45-09</t>
        </is>
      </c>
      <c r="DI257" s="20" t="inlineStr">
        <is>
          <t>None</t>
        </is>
      </c>
      <c r="DJ257" s="17" t="n"/>
      <c r="DK257" s="16" t="n"/>
      <c r="DL257" s="20" t="inlineStr">
        <is>
          <t>SOP 45-09 (SOP muss noch angepasst werden für VSS)</t>
        </is>
      </c>
      <c r="DM257" s="20" t="inlineStr">
        <is>
          <t>None</t>
        </is>
      </c>
      <c r="DN257" s="17" t="n"/>
      <c r="DO257" s="16" t="n"/>
      <c r="DP257" s="20" t="inlineStr">
        <is>
          <t>IC Organic Acids</t>
        </is>
      </c>
      <c r="DQ257" s="20" t="inlineStr">
        <is>
          <t>None</t>
        </is>
      </c>
      <c r="DR257" s="17" t="n"/>
      <c r="DS257" s="16" t="n"/>
      <c r="DT257" s="20" t="inlineStr">
        <is>
          <t>IC Organic Acids</t>
        </is>
      </c>
      <c r="DU257" s="20" t="inlineStr">
        <is>
          <t>None</t>
        </is>
      </c>
      <c r="DV257" s="17" t="n"/>
      <c r="DW257" s="16" t="n"/>
      <c r="DX257" s="20" t="inlineStr">
        <is>
          <t>IC Organic Acids</t>
        </is>
      </c>
      <c r="DY257" s="20" t="inlineStr">
        <is>
          <t>None</t>
        </is>
      </c>
      <c r="DZ257" s="17" t="n"/>
      <c r="EA257" s="16" t="n"/>
      <c r="EB257" s="20" t="inlineStr">
        <is>
          <t>IC Organic Acids</t>
        </is>
      </c>
      <c r="EC257" s="20" t="inlineStr">
        <is>
          <t>None</t>
        </is>
      </c>
      <c r="ED257" s="17" t="n"/>
      <c r="EE257" s="16" t="n"/>
      <c r="EF257" s="20" t="inlineStr">
        <is>
          <t>IC Organic Acids</t>
        </is>
      </c>
      <c r="EG257" s="20" t="inlineStr">
        <is>
          <t>None</t>
        </is>
      </c>
      <c r="EH257" s="17" t="n"/>
      <c r="EI257" s="16" t="n"/>
      <c r="EJ257" s="20" t="inlineStr">
        <is>
          <t>IC Organic Acids</t>
        </is>
      </c>
      <c r="EK257" s="20" t="inlineStr">
        <is>
          <t>None</t>
        </is>
      </c>
      <c r="EL257" s="17" t="n"/>
      <c r="EM257" s="16" t="n"/>
      <c r="EN257" s="20" t="inlineStr">
        <is>
          <t>IC Organic Acids</t>
        </is>
      </c>
      <c r="EO257" s="20" t="inlineStr">
        <is>
          <t>None</t>
        </is>
      </c>
      <c r="EP257" s="17" t="n"/>
      <c r="EQ257" s="16" t="n"/>
      <c r="ER257" s="20" t="inlineStr">
        <is>
          <t>IC Organic Acids</t>
        </is>
      </c>
      <c r="ES257" s="20" t="inlineStr">
        <is>
          <t>None</t>
        </is>
      </c>
      <c r="ET257" s="17" t="n"/>
      <c r="EU257" s="16" t="n"/>
      <c r="EV257" s="20" t="inlineStr">
        <is>
          <t>LC-MS</t>
        </is>
      </c>
      <c r="EW257" s="20" t="inlineStr">
        <is>
          <t>None</t>
        </is>
      </c>
      <c r="EX257" s="17" t="n"/>
      <c r="EY257" s="21" t="n"/>
      <c r="EZ257">
        <f>CONCATENATE(A257,B257)</f>
        <v/>
      </c>
      <c r="FA257">
        <f>CONCATENATE(SamplesX!A257,SamplesX!B257)</f>
        <v/>
      </c>
      <c r="FC257">
        <f>MATCH(EZ257,FA1:FA1008,0)</f>
        <v/>
      </c>
    </row>
    <row r="258">
      <c r="A258" s="16" t="inlineStr">
        <is>
          <t>BP</t>
        </is>
      </c>
      <c r="B258" s="17" t="inlineStr">
        <is>
          <t>25250</t>
        </is>
      </c>
      <c r="C258" s="10">
        <f>IF(ISNUMBER(FC258),INDIRECT("SamplesX!C"&amp;FC258),IF(ISNUMBER(FD258),INDIRECT("SamplesY!C"&amp;FD258),""))</f>
        <v/>
      </c>
      <c r="D258" s="12">
        <f>IF(ISNUMBER(FC258),INDIRECT("SamplesX!D"&amp;FC258),IF(ISNUMBER(FD258),INDIRECT("SamplesY!D"&amp;FD258),""))</f>
        <v/>
      </c>
      <c r="E258" s="12">
        <f>IF(ISNUMBER(FC258),INDIRECT("SamplesX!E"&amp;FC258),IF(ISNUMBER(FD258),INDIRECT("SamplesY!E"&amp;FD258),""))</f>
        <v/>
      </c>
      <c r="F258" s="11">
        <f>IF(ISNUMBER(FC258),INDIRECT("SamplesX!F"&amp;FC258),IF(ISNUMBER(FD258),INDIRECT("SamplesY!F"&amp;FD258),""))</f>
        <v/>
      </c>
      <c r="G258" s="18">
        <f>IF(ISNUMBER(FC258),INDIRECT("SamplesX!G"&amp;FC258),IF(ISNUMBER(FD258),INDIRECT("SamplesY!G"&amp;FD258),""))</f>
        <v/>
      </c>
      <c r="H258" s="19">
        <f>IF(ISNUMBER(FC258),INDIRECT("SamplesX!H"&amp;FC258),IF(ISNUMBER(FD258),INDIRECT("SamplesY!H"&amp;FD258),""))</f>
        <v/>
      </c>
      <c r="I258" s="16" t="n"/>
      <c r="J258" s="16" t="n"/>
      <c r="K258" s="16" t="n"/>
      <c r="L258" s="20" t="n"/>
      <c r="M258" s="20" t="inlineStr">
        <is>
          <t>None</t>
        </is>
      </c>
      <c r="N258" s="17" t="n"/>
      <c r="O258" s="16" t="n"/>
      <c r="P258" s="20" t="inlineStr">
        <is>
          <t>Shimadzu TOC-L</t>
        </is>
      </c>
      <c r="Q258" s="20" t="inlineStr">
        <is>
          <t>None</t>
        </is>
      </c>
      <c r="R258" s="17" t="n"/>
      <c r="S258" s="16" t="n"/>
      <c r="T258" s="20" t="inlineStr">
        <is>
          <t>Shimadzu TOC-L</t>
        </is>
      </c>
      <c r="U258" s="20" t="inlineStr">
        <is>
          <t>None</t>
        </is>
      </c>
      <c r="V258" s="17" t="n"/>
      <c r="W258" s="16" t="n"/>
      <c r="X258" s="20" t="n"/>
      <c r="Y258" s="20" t="inlineStr">
        <is>
          <t>None</t>
        </is>
      </c>
      <c r="Z258" s="17" t="n"/>
      <c r="AA258" s="16" t="n"/>
      <c r="AB258" s="20" t="n"/>
      <c r="AC258" s="20" t="inlineStr">
        <is>
          <t>None</t>
        </is>
      </c>
      <c r="AD258" s="17" t="n"/>
      <c r="AE258" s="16" t="n"/>
      <c r="AF258" s="20" t="inlineStr">
        <is>
          <t>IC Anionen</t>
        </is>
      </c>
      <c r="AG258" s="20" t="inlineStr">
        <is>
          <t>None</t>
        </is>
      </c>
      <c r="AH258" s="17" t="n"/>
      <c r="AI258" s="16" t="n"/>
      <c r="AJ258" s="20" t="n"/>
      <c r="AK258" s="20" t="inlineStr">
        <is>
          <t>None</t>
        </is>
      </c>
      <c r="AL258" s="17" t="n"/>
      <c r="AM258" s="16" t="n"/>
      <c r="AN258" s="20" t="inlineStr">
        <is>
          <t>IC Anionen</t>
        </is>
      </c>
      <c r="AO258" s="20" t="inlineStr">
        <is>
          <t>None</t>
        </is>
      </c>
      <c r="AP258" s="17" t="n"/>
      <c r="AQ258" s="16" t="n"/>
      <c r="AR258" s="20" t="n"/>
      <c r="AS258" s="20" t="inlineStr">
        <is>
          <t>None</t>
        </is>
      </c>
      <c r="AT258" s="17" t="n"/>
      <c r="AU258" s="16" t="n"/>
      <c r="AV258" s="20" t="n"/>
      <c r="AW258" s="20" t="inlineStr">
        <is>
          <t>None</t>
        </is>
      </c>
      <c r="AX258" s="17" t="n"/>
      <c r="AY258" s="16" t="n"/>
      <c r="AZ258" s="20" t="inlineStr">
        <is>
          <t>IC Anionen</t>
        </is>
      </c>
      <c r="BA258" s="20" t="inlineStr">
        <is>
          <t>None</t>
        </is>
      </c>
      <c r="BB258" s="17" t="n"/>
      <c r="BC258" s="16" t="n"/>
      <c r="BD258" s="20" t="inlineStr">
        <is>
          <t>IC Kationen</t>
        </is>
      </c>
      <c r="BE258" s="20" t="inlineStr">
        <is>
          <t>None</t>
        </is>
      </c>
      <c r="BF258" s="17" t="n"/>
      <c r="BG258" s="16" t="n"/>
      <c r="BH258" s="20" t="inlineStr">
        <is>
          <t>IC Kationen</t>
        </is>
      </c>
      <c r="BI258" s="20" t="inlineStr">
        <is>
          <t>None</t>
        </is>
      </c>
      <c r="BJ258" s="17" t="n"/>
      <c r="BK258" s="16" t="n"/>
      <c r="BL258" s="20" t="inlineStr">
        <is>
          <t>IC Kationen</t>
        </is>
      </c>
      <c r="BM258" s="20" t="inlineStr">
        <is>
          <t>None</t>
        </is>
      </c>
      <c r="BN258" s="17" t="n"/>
      <c r="BO258" s="16" t="n"/>
      <c r="BP258" s="20" t="inlineStr">
        <is>
          <t>IC Kationen</t>
        </is>
      </c>
      <c r="BQ258" s="20" t="inlineStr">
        <is>
          <t>None</t>
        </is>
      </c>
      <c r="BR258" s="17" t="n"/>
      <c r="BS258" s="16" t="n"/>
      <c r="BT258" s="20" t="inlineStr">
        <is>
          <t>IC Kationen</t>
        </is>
      </c>
      <c r="BU258" s="20" t="inlineStr">
        <is>
          <t>None</t>
        </is>
      </c>
      <c r="BV258" s="17" t="n"/>
      <c r="BW258" s="16" t="n"/>
      <c r="BX258" s="20" t="n"/>
      <c r="BY258" s="20" t="inlineStr">
        <is>
          <t>None</t>
        </is>
      </c>
      <c r="BZ258" s="17" t="n"/>
      <c r="CA258" s="16" t="n"/>
      <c r="CB258" s="20" t="n"/>
      <c r="CC258" s="20" t="inlineStr">
        <is>
          <t>None</t>
        </is>
      </c>
      <c r="CD258" s="17" t="n"/>
      <c r="CE258" s="16" t="n"/>
      <c r="CF258" s="20" t="n"/>
      <c r="CG258" s="20" t="inlineStr">
        <is>
          <t>None</t>
        </is>
      </c>
      <c r="CH258" s="17" t="n"/>
      <c r="CI258" s="16" t="n"/>
      <c r="CJ258" s="20" t="n"/>
      <c r="CK258" s="20" t="inlineStr">
        <is>
          <t>None</t>
        </is>
      </c>
      <c r="CL258" s="17" t="n"/>
      <c r="CM258" s="16" t="n"/>
      <c r="CN258" s="20" t="inlineStr">
        <is>
          <t>SOP 45-34</t>
        </is>
      </c>
      <c r="CO258" s="20" t="inlineStr">
        <is>
          <t>None</t>
        </is>
      </c>
      <c r="CP258" s="17" t="n"/>
      <c r="CQ258" s="16" t="n"/>
      <c r="CR258" s="20" t="n"/>
      <c r="CS258" s="20" t="inlineStr">
        <is>
          <t>None</t>
        </is>
      </c>
      <c r="CT258" s="17" t="n"/>
      <c r="CU258" s="16" t="n"/>
      <c r="CV258" s="20" t="n"/>
      <c r="CW258" s="20" t="inlineStr">
        <is>
          <t>None</t>
        </is>
      </c>
      <c r="CX258" s="17" t="n"/>
      <c r="CY258" s="16" t="n"/>
      <c r="CZ258" s="20" t="inlineStr">
        <is>
          <t>WTW Multimeter 3430 with FDO 925</t>
        </is>
      </c>
      <c r="DA258" s="20" t="inlineStr">
        <is>
          <t>None</t>
        </is>
      </c>
      <c r="DB258" s="17" t="n"/>
      <c r="DC258" s="16" t="n"/>
      <c r="DD258" s="20" t="n"/>
      <c r="DE258" s="20" t="inlineStr">
        <is>
          <t>None</t>
        </is>
      </c>
      <c r="DF258" s="17" t="n"/>
      <c r="DG258" s="16" t="n"/>
      <c r="DH258" s="20" t="inlineStr">
        <is>
          <t>SOP 45-09</t>
        </is>
      </c>
      <c r="DI258" s="20" t="inlineStr">
        <is>
          <t>None</t>
        </is>
      </c>
      <c r="DJ258" s="17" t="n"/>
      <c r="DK258" s="16" t="n"/>
      <c r="DL258" s="20" t="inlineStr">
        <is>
          <t>SOP 45-09 (SOP muss noch angepasst werden für VSS)</t>
        </is>
      </c>
      <c r="DM258" s="20" t="inlineStr">
        <is>
          <t>None</t>
        </is>
      </c>
      <c r="DN258" s="17" t="n"/>
      <c r="DO258" s="16" t="n"/>
      <c r="DP258" s="20" t="inlineStr">
        <is>
          <t>IC Organic Acids</t>
        </is>
      </c>
      <c r="DQ258" s="20" t="inlineStr">
        <is>
          <t>None</t>
        </is>
      </c>
      <c r="DR258" s="17" t="n"/>
      <c r="DS258" s="16" t="n"/>
      <c r="DT258" s="20" t="inlineStr">
        <is>
          <t>IC Organic Acids</t>
        </is>
      </c>
      <c r="DU258" s="20" t="inlineStr">
        <is>
          <t>None</t>
        </is>
      </c>
      <c r="DV258" s="17" t="n"/>
      <c r="DW258" s="16" t="n"/>
      <c r="DX258" s="20" t="inlineStr">
        <is>
          <t>IC Organic Acids</t>
        </is>
      </c>
      <c r="DY258" s="20" t="inlineStr">
        <is>
          <t>None</t>
        </is>
      </c>
      <c r="DZ258" s="17" t="n"/>
      <c r="EA258" s="16" t="n"/>
      <c r="EB258" s="20" t="inlineStr">
        <is>
          <t>IC Organic Acids</t>
        </is>
      </c>
      <c r="EC258" s="20" t="inlineStr">
        <is>
          <t>None</t>
        </is>
      </c>
      <c r="ED258" s="17" t="n"/>
      <c r="EE258" s="16" t="n"/>
      <c r="EF258" s="20" t="inlineStr">
        <is>
          <t>IC Organic Acids</t>
        </is>
      </c>
      <c r="EG258" s="20" t="inlineStr">
        <is>
          <t>None</t>
        </is>
      </c>
      <c r="EH258" s="17" t="n"/>
      <c r="EI258" s="16" t="n"/>
      <c r="EJ258" s="20" t="inlineStr">
        <is>
          <t>IC Organic Acids</t>
        </is>
      </c>
      <c r="EK258" s="20" t="inlineStr">
        <is>
          <t>None</t>
        </is>
      </c>
      <c r="EL258" s="17" t="n"/>
      <c r="EM258" s="16" t="n"/>
      <c r="EN258" s="20" t="inlineStr">
        <is>
          <t>IC Organic Acids</t>
        </is>
      </c>
      <c r="EO258" s="20" t="inlineStr">
        <is>
          <t>None</t>
        </is>
      </c>
      <c r="EP258" s="17" t="n"/>
      <c r="EQ258" s="16" t="n"/>
      <c r="ER258" s="20" t="inlineStr">
        <is>
          <t>IC Organic Acids</t>
        </is>
      </c>
      <c r="ES258" s="20" t="inlineStr">
        <is>
          <t>None</t>
        </is>
      </c>
      <c r="ET258" s="17" t="n"/>
      <c r="EU258" s="16" t="n"/>
      <c r="EV258" s="20" t="inlineStr">
        <is>
          <t>LC-MS</t>
        </is>
      </c>
      <c r="EW258" s="20" t="inlineStr">
        <is>
          <t>None</t>
        </is>
      </c>
      <c r="EX258" s="17" t="n"/>
      <c r="EY258" s="21" t="n"/>
      <c r="EZ258">
        <f>CONCATENATE(A258,B258)</f>
        <v/>
      </c>
      <c r="FA258">
        <f>CONCATENATE(SamplesX!A258,SamplesX!B258)</f>
        <v/>
      </c>
      <c r="FC258">
        <f>MATCH(EZ258,FA1:FA1008,0)</f>
        <v/>
      </c>
    </row>
    <row r="259">
      <c r="A259" s="16" t="inlineStr">
        <is>
          <t>BP</t>
        </is>
      </c>
      <c r="B259" s="17" t="inlineStr">
        <is>
          <t>25251</t>
        </is>
      </c>
      <c r="C259" s="10">
        <f>IF(ISNUMBER(FC259),INDIRECT("SamplesX!C"&amp;FC259),IF(ISNUMBER(FD259),INDIRECT("SamplesY!C"&amp;FD259),""))</f>
        <v/>
      </c>
      <c r="D259" s="12">
        <f>IF(ISNUMBER(FC259),INDIRECT("SamplesX!D"&amp;FC259),IF(ISNUMBER(FD259),INDIRECT("SamplesY!D"&amp;FD259),""))</f>
        <v/>
      </c>
      <c r="E259" s="12">
        <f>IF(ISNUMBER(FC259),INDIRECT("SamplesX!E"&amp;FC259),IF(ISNUMBER(FD259),INDIRECT("SamplesY!E"&amp;FD259),""))</f>
        <v/>
      </c>
      <c r="F259" s="11">
        <f>IF(ISNUMBER(FC259),INDIRECT("SamplesX!F"&amp;FC259),IF(ISNUMBER(FD259),INDIRECT("SamplesY!F"&amp;FD259),""))</f>
        <v/>
      </c>
      <c r="G259" s="18">
        <f>IF(ISNUMBER(FC259),INDIRECT("SamplesX!G"&amp;FC259),IF(ISNUMBER(FD259),INDIRECT("SamplesY!G"&amp;FD259),""))</f>
        <v/>
      </c>
      <c r="H259" s="19">
        <f>IF(ISNUMBER(FC259),INDIRECT("SamplesX!H"&amp;FC259),IF(ISNUMBER(FD259),INDIRECT("SamplesY!H"&amp;FD259),""))</f>
        <v/>
      </c>
      <c r="I259" s="16" t="n"/>
      <c r="J259" s="16" t="n"/>
      <c r="K259" s="16" t="n"/>
      <c r="L259" s="20" t="n"/>
      <c r="M259" s="20" t="inlineStr">
        <is>
          <t>None</t>
        </is>
      </c>
      <c r="N259" s="17" t="n"/>
      <c r="O259" s="16" t="n"/>
      <c r="P259" s="20" t="inlineStr">
        <is>
          <t>Shimadzu TOC-L</t>
        </is>
      </c>
      <c r="Q259" s="20" t="inlineStr">
        <is>
          <t>None</t>
        </is>
      </c>
      <c r="R259" s="17" t="n"/>
      <c r="S259" s="16" t="n"/>
      <c r="T259" s="20" t="inlineStr">
        <is>
          <t>Shimadzu TOC-L</t>
        </is>
      </c>
      <c r="U259" s="20" t="inlineStr">
        <is>
          <t>None</t>
        </is>
      </c>
      <c r="V259" s="17" t="n"/>
      <c r="W259" s="16" t="n"/>
      <c r="X259" s="20" t="n"/>
      <c r="Y259" s="20" t="inlineStr">
        <is>
          <t>None</t>
        </is>
      </c>
      <c r="Z259" s="17" t="n"/>
      <c r="AA259" s="16" t="n"/>
      <c r="AB259" s="20" t="n"/>
      <c r="AC259" s="20" t="inlineStr">
        <is>
          <t>None</t>
        </is>
      </c>
      <c r="AD259" s="17" t="n"/>
      <c r="AE259" s="16" t="n"/>
      <c r="AF259" s="20" t="inlineStr">
        <is>
          <t>IC Anionen</t>
        </is>
      </c>
      <c r="AG259" s="20" t="inlineStr">
        <is>
          <t>None</t>
        </is>
      </c>
      <c r="AH259" s="17" t="n"/>
      <c r="AI259" s="16" t="n"/>
      <c r="AJ259" s="20" t="n"/>
      <c r="AK259" s="20" t="inlineStr">
        <is>
          <t>None</t>
        </is>
      </c>
      <c r="AL259" s="17" t="n"/>
      <c r="AM259" s="16" t="n"/>
      <c r="AN259" s="20" t="inlineStr">
        <is>
          <t>IC Anionen</t>
        </is>
      </c>
      <c r="AO259" s="20" t="inlineStr">
        <is>
          <t>None</t>
        </is>
      </c>
      <c r="AP259" s="17" t="n"/>
      <c r="AQ259" s="16" t="n"/>
      <c r="AR259" s="20" t="n"/>
      <c r="AS259" s="20" t="inlineStr">
        <is>
          <t>None</t>
        </is>
      </c>
      <c r="AT259" s="17" t="n"/>
      <c r="AU259" s="16" t="n"/>
      <c r="AV259" s="20" t="n"/>
      <c r="AW259" s="20" t="inlineStr">
        <is>
          <t>None</t>
        </is>
      </c>
      <c r="AX259" s="17" t="n"/>
      <c r="AY259" s="16" t="n"/>
      <c r="AZ259" s="20" t="inlineStr">
        <is>
          <t>IC Anionen</t>
        </is>
      </c>
      <c r="BA259" s="20" t="inlineStr">
        <is>
          <t>None</t>
        </is>
      </c>
      <c r="BB259" s="17" t="n"/>
      <c r="BC259" s="16" t="n"/>
      <c r="BD259" s="20" t="inlineStr">
        <is>
          <t>IC Kationen</t>
        </is>
      </c>
      <c r="BE259" s="20" t="inlineStr">
        <is>
          <t>None</t>
        </is>
      </c>
      <c r="BF259" s="17" t="n"/>
      <c r="BG259" s="16" t="n"/>
      <c r="BH259" s="20" t="inlineStr">
        <is>
          <t>IC Kationen</t>
        </is>
      </c>
      <c r="BI259" s="20" t="inlineStr">
        <is>
          <t>None</t>
        </is>
      </c>
      <c r="BJ259" s="17" t="n"/>
      <c r="BK259" s="16" t="n"/>
      <c r="BL259" s="20" t="inlineStr">
        <is>
          <t>IC Kationen</t>
        </is>
      </c>
      <c r="BM259" s="20" t="inlineStr">
        <is>
          <t>None</t>
        </is>
      </c>
      <c r="BN259" s="17" t="n"/>
      <c r="BO259" s="16" t="n"/>
      <c r="BP259" s="20" t="inlineStr">
        <is>
          <t>IC Kationen</t>
        </is>
      </c>
      <c r="BQ259" s="20" t="inlineStr">
        <is>
          <t>None</t>
        </is>
      </c>
      <c r="BR259" s="17" t="n"/>
      <c r="BS259" s="16" t="n"/>
      <c r="BT259" s="20" t="inlineStr">
        <is>
          <t>IC Kationen</t>
        </is>
      </c>
      <c r="BU259" s="20" t="inlineStr">
        <is>
          <t>None</t>
        </is>
      </c>
      <c r="BV259" s="17" t="n"/>
      <c r="BW259" s="16" t="n"/>
      <c r="BX259" s="20" t="n"/>
      <c r="BY259" s="20" t="inlineStr">
        <is>
          <t>None</t>
        </is>
      </c>
      <c r="BZ259" s="17" t="n"/>
      <c r="CA259" s="16" t="n"/>
      <c r="CB259" s="20" t="n"/>
      <c r="CC259" s="20" t="inlineStr">
        <is>
          <t>None</t>
        </is>
      </c>
      <c r="CD259" s="17" t="n"/>
      <c r="CE259" s="16" t="n"/>
      <c r="CF259" s="20" t="n"/>
      <c r="CG259" s="20" t="inlineStr">
        <is>
          <t>None</t>
        </is>
      </c>
      <c r="CH259" s="17" t="n"/>
      <c r="CI259" s="16" t="n"/>
      <c r="CJ259" s="20" t="n"/>
      <c r="CK259" s="20" t="inlineStr">
        <is>
          <t>None</t>
        </is>
      </c>
      <c r="CL259" s="17" t="n"/>
      <c r="CM259" s="16" t="n"/>
      <c r="CN259" s="20" t="inlineStr">
        <is>
          <t>SOP 45-34</t>
        </is>
      </c>
      <c r="CO259" s="20" t="inlineStr">
        <is>
          <t>None</t>
        </is>
      </c>
      <c r="CP259" s="17" t="n"/>
      <c r="CQ259" s="16" t="n"/>
      <c r="CR259" s="20" t="n"/>
      <c r="CS259" s="20" t="inlineStr">
        <is>
          <t>None</t>
        </is>
      </c>
      <c r="CT259" s="17" t="n"/>
      <c r="CU259" s="16" t="n"/>
      <c r="CV259" s="20" t="n"/>
      <c r="CW259" s="20" t="inlineStr">
        <is>
          <t>None</t>
        </is>
      </c>
      <c r="CX259" s="17" t="n"/>
      <c r="CY259" s="16" t="n"/>
      <c r="CZ259" s="20" t="inlineStr">
        <is>
          <t>WTW Multimeter 3430 with FDO 925</t>
        </is>
      </c>
      <c r="DA259" s="20" t="inlineStr">
        <is>
          <t>None</t>
        </is>
      </c>
      <c r="DB259" s="17" t="n"/>
      <c r="DC259" s="16" t="n"/>
      <c r="DD259" s="20" t="n"/>
      <c r="DE259" s="20" t="inlineStr">
        <is>
          <t>None</t>
        </is>
      </c>
      <c r="DF259" s="17" t="n"/>
      <c r="DG259" s="16" t="n"/>
      <c r="DH259" s="20" t="inlineStr">
        <is>
          <t>SOP 45-09</t>
        </is>
      </c>
      <c r="DI259" s="20" t="inlineStr">
        <is>
          <t>None</t>
        </is>
      </c>
      <c r="DJ259" s="17" t="n"/>
      <c r="DK259" s="16" t="n"/>
      <c r="DL259" s="20" t="inlineStr">
        <is>
          <t>SOP 45-09 (SOP muss noch angepasst werden für VSS)</t>
        </is>
      </c>
      <c r="DM259" s="20" t="inlineStr">
        <is>
          <t>None</t>
        </is>
      </c>
      <c r="DN259" s="17" t="n"/>
      <c r="DO259" s="16" t="n"/>
      <c r="DP259" s="20" t="inlineStr">
        <is>
          <t>IC Organic Acids</t>
        </is>
      </c>
      <c r="DQ259" s="20" t="inlineStr">
        <is>
          <t>None</t>
        </is>
      </c>
      <c r="DR259" s="17" t="n"/>
      <c r="DS259" s="16" t="n"/>
      <c r="DT259" s="20" t="inlineStr">
        <is>
          <t>IC Organic Acids</t>
        </is>
      </c>
      <c r="DU259" s="20" t="inlineStr">
        <is>
          <t>None</t>
        </is>
      </c>
      <c r="DV259" s="17" t="n"/>
      <c r="DW259" s="16" t="n"/>
      <c r="DX259" s="20" t="inlineStr">
        <is>
          <t>IC Organic Acids</t>
        </is>
      </c>
      <c r="DY259" s="20" t="inlineStr">
        <is>
          <t>None</t>
        </is>
      </c>
      <c r="DZ259" s="17" t="n"/>
      <c r="EA259" s="16" t="n"/>
      <c r="EB259" s="20" t="inlineStr">
        <is>
          <t>IC Organic Acids</t>
        </is>
      </c>
      <c r="EC259" s="20" t="inlineStr">
        <is>
          <t>None</t>
        </is>
      </c>
      <c r="ED259" s="17" t="n"/>
      <c r="EE259" s="16" t="n"/>
      <c r="EF259" s="20" t="inlineStr">
        <is>
          <t>IC Organic Acids</t>
        </is>
      </c>
      <c r="EG259" s="20" t="inlineStr">
        <is>
          <t>None</t>
        </is>
      </c>
      <c r="EH259" s="17" t="n"/>
      <c r="EI259" s="16" t="n"/>
      <c r="EJ259" s="20" t="inlineStr">
        <is>
          <t>IC Organic Acids</t>
        </is>
      </c>
      <c r="EK259" s="20" t="inlineStr">
        <is>
          <t>None</t>
        </is>
      </c>
      <c r="EL259" s="17" t="n"/>
      <c r="EM259" s="16" t="n"/>
      <c r="EN259" s="20" t="inlineStr">
        <is>
          <t>IC Organic Acids</t>
        </is>
      </c>
      <c r="EO259" s="20" t="inlineStr">
        <is>
          <t>None</t>
        </is>
      </c>
      <c r="EP259" s="17" t="n"/>
      <c r="EQ259" s="16" t="n"/>
      <c r="ER259" s="20" t="inlineStr">
        <is>
          <t>IC Organic Acids</t>
        </is>
      </c>
      <c r="ES259" s="20" t="inlineStr">
        <is>
          <t>None</t>
        </is>
      </c>
      <c r="ET259" s="17" t="n"/>
      <c r="EU259" s="16" t="n"/>
      <c r="EV259" s="20" t="inlineStr">
        <is>
          <t>LC-MS</t>
        </is>
      </c>
      <c r="EW259" s="20" t="inlineStr">
        <is>
          <t>None</t>
        </is>
      </c>
      <c r="EX259" s="17" t="n"/>
      <c r="EY259" s="21" t="n"/>
      <c r="EZ259">
        <f>CONCATENATE(A259,B259)</f>
        <v/>
      </c>
      <c r="FA259">
        <f>CONCATENATE(SamplesX!A259,SamplesX!B259)</f>
        <v/>
      </c>
      <c r="FC259">
        <f>MATCH(EZ259,FA1:FA1008,0)</f>
        <v/>
      </c>
    </row>
    <row r="260">
      <c r="A260" s="16" t="inlineStr">
        <is>
          <t>BP</t>
        </is>
      </c>
      <c r="B260" s="17" t="inlineStr">
        <is>
          <t>25252</t>
        </is>
      </c>
      <c r="C260" s="10">
        <f>IF(ISNUMBER(FC260),INDIRECT("SamplesX!C"&amp;FC260),IF(ISNUMBER(FD260),INDIRECT("SamplesY!C"&amp;FD260),""))</f>
        <v/>
      </c>
      <c r="D260" s="12">
        <f>IF(ISNUMBER(FC260),INDIRECT("SamplesX!D"&amp;FC260),IF(ISNUMBER(FD260),INDIRECT("SamplesY!D"&amp;FD260),""))</f>
        <v/>
      </c>
      <c r="E260" s="12">
        <f>IF(ISNUMBER(FC260),INDIRECT("SamplesX!E"&amp;FC260),IF(ISNUMBER(FD260),INDIRECT("SamplesY!E"&amp;FD260),""))</f>
        <v/>
      </c>
      <c r="F260" s="11">
        <f>IF(ISNUMBER(FC260),INDIRECT("SamplesX!F"&amp;FC260),IF(ISNUMBER(FD260),INDIRECT("SamplesY!F"&amp;FD260),""))</f>
        <v/>
      </c>
      <c r="G260" s="18">
        <f>IF(ISNUMBER(FC260),INDIRECT("SamplesX!G"&amp;FC260),IF(ISNUMBER(FD260),INDIRECT("SamplesY!G"&amp;FD260),""))</f>
        <v/>
      </c>
      <c r="H260" s="19">
        <f>IF(ISNUMBER(FC260),INDIRECT("SamplesX!H"&amp;FC260),IF(ISNUMBER(FD260),INDIRECT("SamplesY!H"&amp;FD260),""))</f>
        <v/>
      </c>
      <c r="I260" s="16" t="n"/>
      <c r="J260" s="16" t="n"/>
      <c r="K260" s="16" t="n"/>
      <c r="L260" s="20" t="n"/>
      <c r="M260" s="20" t="inlineStr">
        <is>
          <t>None</t>
        </is>
      </c>
      <c r="N260" s="17" t="n"/>
      <c r="O260" s="16" t="n"/>
      <c r="P260" s="20" t="inlineStr">
        <is>
          <t>Shimadzu TOC-L</t>
        </is>
      </c>
      <c r="Q260" s="20" t="inlineStr">
        <is>
          <t>None</t>
        </is>
      </c>
      <c r="R260" s="17" t="n"/>
      <c r="S260" s="16" t="n"/>
      <c r="T260" s="20" t="inlineStr">
        <is>
          <t>Shimadzu TOC-L</t>
        </is>
      </c>
      <c r="U260" s="20" t="inlineStr">
        <is>
          <t>None</t>
        </is>
      </c>
      <c r="V260" s="17" t="n"/>
      <c r="W260" s="16" t="n"/>
      <c r="X260" s="20" t="n"/>
      <c r="Y260" s="20" t="inlineStr">
        <is>
          <t>None</t>
        </is>
      </c>
      <c r="Z260" s="17" t="n"/>
      <c r="AA260" s="16" t="n"/>
      <c r="AB260" s="20" t="n"/>
      <c r="AC260" s="20" t="inlineStr">
        <is>
          <t>None</t>
        </is>
      </c>
      <c r="AD260" s="17" t="n"/>
      <c r="AE260" s="16" t="n"/>
      <c r="AF260" s="20" t="inlineStr">
        <is>
          <t>IC Anionen</t>
        </is>
      </c>
      <c r="AG260" s="20" t="inlineStr">
        <is>
          <t>None</t>
        </is>
      </c>
      <c r="AH260" s="17" t="n"/>
      <c r="AI260" s="16" t="n"/>
      <c r="AJ260" s="20" t="n"/>
      <c r="AK260" s="20" t="inlineStr">
        <is>
          <t>None</t>
        </is>
      </c>
      <c r="AL260" s="17" t="n"/>
      <c r="AM260" s="16" t="n"/>
      <c r="AN260" s="20" t="inlineStr">
        <is>
          <t>IC Anionen</t>
        </is>
      </c>
      <c r="AO260" s="20" t="inlineStr">
        <is>
          <t>None</t>
        </is>
      </c>
      <c r="AP260" s="17" t="n"/>
      <c r="AQ260" s="16" t="n"/>
      <c r="AR260" s="20" t="n"/>
      <c r="AS260" s="20" t="inlineStr">
        <is>
          <t>None</t>
        </is>
      </c>
      <c r="AT260" s="17" t="n"/>
      <c r="AU260" s="16" t="n"/>
      <c r="AV260" s="20" t="n"/>
      <c r="AW260" s="20" t="inlineStr">
        <is>
          <t>None</t>
        </is>
      </c>
      <c r="AX260" s="17" t="n"/>
      <c r="AY260" s="16" t="n"/>
      <c r="AZ260" s="20" t="inlineStr">
        <is>
          <t>IC Anionen</t>
        </is>
      </c>
      <c r="BA260" s="20" t="inlineStr">
        <is>
          <t>None</t>
        </is>
      </c>
      <c r="BB260" s="17" t="n"/>
      <c r="BC260" s="16" t="n"/>
      <c r="BD260" s="20" t="inlineStr">
        <is>
          <t>IC Kationen</t>
        </is>
      </c>
      <c r="BE260" s="20" t="inlineStr">
        <is>
          <t>None</t>
        </is>
      </c>
      <c r="BF260" s="17" t="n"/>
      <c r="BG260" s="16" t="n"/>
      <c r="BH260" s="20" t="inlineStr">
        <is>
          <t>IC Kationen</t>
        </is>
      </c>
      <c r="BI260" s="20" t="inlineStr">
        <is>
          <t>None</t>
        </is>
      </c>
      <c r="BJ260" s="17" t="n"/>
      <c r="BK260" s="16" t="n"/>
      <c r="BL260" s="20" t="inlineStr">
        <is>
          <t>IC Kationen</t>
        </is>
      </c>
      <c r="BM260" s="20" t="inlineStr">
        <is>
          <t>None</t>
        </is>
      </c>
      <c r="BN260" s="17" t="n"/>
      <c r="BO260" s="16" t="n"/>
      <c r="BP260" s="20" t="inlineStr">
        <is>
          <t>IC Kationen</t>
        </is>
      </c>
      <c r="BQ260" s="20" t="inlineStr">
        <is>
          <t>None</t>
        </is>
      </c>
      <c r="BR260" s="17" t="n"/>
      <c r="BS260" s="16" t="n"/>
      <c r="BT260" s="20" t="inlineStr">
        <is>
          <t>IC Kationen</t>
        </is>
      </c>
      <c r="BU260" s="20" t="inlineStr">
        <is>
          <t>None</t>
        </is>
      </c>
      <c r="BV260" s="17" t="n"/>
      <c r="BW260" s="16" t="n"/>
      <c r="BX260" s="20" t="n"/>
      <c r="BY260" s="20" t="inlineStr">
        <is>
          <t>None</t>
        </is>
      </c>
      <c r="BZ260" s="17" t="n"/>
      <c r="CA260" s="16" t="n"/>
      <c r="CB260" s="20" t="n"/>
      <c r="CC260" s="20" t="inlineStr">
        <is>
          <t>None</t>
        </is>
      </c>
      <c r="CD260" s="17" t="n"/>
      <c r="CE260" s="16" t="n"/>
      <c r="CF260" s="20" t="n"/>
      <c r="CG260" s="20" t="inlineStr">
        <is>
          <t>None</t>
        </is>
      </c>
      <c r="CH260" s="17" t="n"/>
      <c r="CI260" s="16" t="n"/>
      <c r="CJ260" s="20" t="n"/>
      <c r="CK260" s="20" t="inlineStr">
        <is>
          <t>None</t>
        </is>
      </c>
      <c r="CL260" s="17" t="n"/>
      <c r="CM260" s="16" t="n"/>
      <c r="CN260" s="20" t="inlineStr">
        <is>
          <t>SOP 45-34</t>
        </is>
      </c>
      <c r="CO260" s="20" t="inlineStr">
        <is>
          <t>None</t>
        </is>
      </c>
      <c r="CP260" s="17" t="n"/>
      <c r="CQ260" s="16" t="n"/>
      <c r="CR260" s="20" t="n"/>
      <c r="CS260" s="20" t="inlineStr">
        <is>
          <t>None</t>
        </is>
      </c>
      <c r="CT260" s="17" t="n"/>
      <c r="CU260" s="16" t="n"/>
      <c r="CV260" s="20" t="n"/>
      <c r="CW260" s="20" t="inlineStr">
        <is>
          <t>None</t>
        </is>
      </c>
      <c r="CX260" s="17" t="n"/>
      <c r="CY260" s="16" t="n"/>
      <c r="CZ260" s="20" t="inlineStr">
        <is>
          <t>WTW Multimeter 3430 with FDO 925</t>
        </is>
      </c>
      <c r="DA260" s="20" t="inlineStr">
        <is>
          <t>None</t>
        </is>
      </c>
      <c r="DB260" s="17" t="n"/>
      <c r="DC260" s="16" t="n"/>
      <c r="DD260" s="20" t="n"/>
      <c r="DE260" s="20" t="inlineStr">
        <is>
          <t>None</t>
        </is>
      </c>
      <c r="DF260" s="17" t="n"/>
      <c r="DG260" s="16" t="n"/>
      <c r="DH260" s="20" t="inlineStr">
        <is>
          <t>SOP 45-09</t>
        </is>
      </c>
      <c r="DI260" s="20" t="inlineStr">
        <is>
          <t>None</t>
        </is>
      </c>
      <c r="DJ260" s="17" t="n"/>
      <c r="DK260" s="16" t="n"/>
      <c r="DL260" s="20" t="inlineStr">
        <is>
          <t>SOP 45-09 (SOP muss noch angepasst werden für VSS)</t>
        </is>
      </c>
      <c r="DM260" s="20" t="inlineStr">
        <is>
          <t>None</t>
        </is>
      </c>
      <c r="DN260" s="17" t="n"/>
      <c r="DO260" s="16" t="n"/>
      <c r="DP260" s="20" t="inlineStr">
        <is>
          <t>IC Organic Acids</t>
        </is>
      </c>
      <c r="DQ260" s="20" t="inlineStr">
        <is>
          <t>None</t>
        </is>
      </c>
      <c r="DR260" s="17" t="n"/>
      <c r="DS260" s="16" t="n"/>
      <c r="DT260" s="20" t="inlineStr">
        <is>
          <t>IC Organic Acids</t>
        </is>
      </c>
      <c r="DU260" s="20" t="inlineStr">
        <is>
          <t>None</t>
        </is>
      </c>
      <c r="DV260" s="17" t="n"/>
      <c r="DW260" s="16" t="n"/>
      <c r="DX260" s="20" t="inlineStr">
        <is>
          <t>IC Organic Acids</t>
        </is>
      </c>
      <c r="DY260" s="20" t="inlineStr">
        <is>
          <t>None</t>
        </is>
      </c>
      <c r="DZ260" s="17" t="n"/>
      <c r="EA260" s="16" t="n"/>
      <c r="EB260" s="20" t="inlineStr">
        <is>
          <t>IC Organic Acids</t>
        </is>
      </c>
      <c r="EC260" s="20" t="inlineStr">
        <is>
          <t>None</t>
        </is>
      </c>
      <c r="ED260" s="17" t="n"/>
      <c r="EE260" s="16" t="n"/>
      <c r="EF260" s="20" t="inlineStr">
        <is>
          <t>IC Organic Acids</t>
        </is>
      </c>
      <c r="EG260" s="20" t="inlineStr">
        <is>
          <t>None</t>
        </is>
      </c>
      <c r="EH260" s="17" t="n"/>
      <c r="EI260" s="16" t="n"/>
      <c r="EJ260" s="20" t="inlineStr">
        <is>
          <t>IC Organic Acids</t>
        </is>
      </c>
      <c r="EK260" s="20" t="inlineStr">
        <is>
          <t>None</t>
        </is>
      </c>
      <c r="EL260" s="17" t="n"/>
      <c r="EM260" s="16" t="n"/>
      <c r="EN260" s="20" t="inlineStr">
        <is>
          <t>IC Organic Acids</t>
        </is>
      </c>
      <c r="EO260" s="20" t="inlineStr">
        <is>
          <t>None</t>
        </is>
      </c>
      <c r="EP260" s="17" t="n"/>
      <c r="EQ260" s="16" t="n"/>
      <c r="ER260" s="20" t="inlineStr">
        <is>
          <t>IC Organic Acids</t>
        </is>
      </c>
      <c r="ES260" s="20" t="inlineStr">
        <is>
          <t>None</t>
        </is>
      </c>
      <c r="ET260" s="17" t="n"/>
      <c r="EU260" s="16" t="n"/>
      <c r="EV260" s="20" t="inlineStr">
        <is>
          <t>LC-MS</t>
        </is>
      </c>
      <c r="EW260" s="20" t="inlineStr">
        <is>
          <t>None</t>
        </is>
      </c>
      <c r="EX260" s="17" t="n"/>
      <c r="EY260" s="21" t="n"/>
      <c r="EZ260">
        <f>CONCATENATE(A260,B260)</f>
        <v/>
      </c>
      <c r="FA260">
        <f>CONCATENATE(SamplesX!A260,SamplesX!B260)</f>
        <v/>
      </c>
      <c r="FC260">
        <f>MATCH(EZ260,FA1:FA1008,0)</f>
        <v/>
      </c>
    </row>
    <row r="261">
      <c r="A261" s="16" t="inlineStr">
        <is>
          <t>BP</t>
        </is>
      </c>
      <c r="B261" s="17" t="inlineStr">
        <is>
          <t>25253</t>
        </is>
      </c>
      <c r="C261" s="10">
        <f>IF(ISNUMBER(FC261),INDIRECT("SamplesX!C"&amp;FC261),IF(ISNUMBER(FD261),INDIRECT("SamplesY!C"&amp;FD261),""))</f>
        <v/>
      </c>
      <c r="D261" s="12">
        <f>IF(ISNUMBER(FC261),INDIRECT("SamplesX!D"&amp;FC261),IF(ISNUMBER(FD261),INDIRECT("SamplesY!D"&amp;FD261),""))</f>
        <v/>
      </c>
      <c r="E261" s="12">
        <f>IF(ISNUMBER(FC261),INDIRECT("SamplesX!E"&amp;FC261),IF(ISNUMBER(FD261),INDIRECT("SamplesY!E"&amp;FD261),""))</f>
        <v/>
      </c>
      <c r="F261" s="11">
        <f>IF(ISNUMBER(FC261),INDIRECT("SamplesX!F"&amp;FC261),IF(ISNUMBER(FD261),INDIRECT("SamplesY!F"&amp;FD261),""))</f>
        <v/>
      </c>
      <c r="G261" s="18">
        <f>IF(ISNUMBER(FC261),INDIRECT("SamplesX!G"&amp;FC261),IF(ISNUMBER(FD261),INDIRECT("SamplesY!G"&amp;FD261),""))</f>
        <v/>
      </c>
      <c r="H261" s="19">
        <f>IF(ISNUMBER(FC261),INDIRECT("SamplesX!H"&amp;FC261),IF(ISNUMBER(FD261),INDIRECT("SamplesY!H"&amp;FD261),""))</f>
        <v/>
      </c>
      <c r="I261" s="16" t="n"/>
      <c r="J261" s="16" t="n"/>
      <c r="K261" s="16" t="n"/>
      <c r="L261" s="20" t="n"/>
      <c r="M261" s="20" t="inlineStr">
        <is>
          <t>None</t>
        </is>
      </c>
      <c r="N261" s="17" t="n"/>
      <c r="O261" s="16" t="n"/>
      <c r="P261" s="20" t="inlineStr">
        <is>
          <t>Shimadzu TOC-L</t>
        </is>
      </c>
      <c r="Q261" s="20" t="inlineStr">
        <is>
          <t>None</t>
        </is>
      </c>
      <c r="R261" s="17" t="n"/>
      <c r="S261" s="16" t="n"/>
      <c r="T261" s="20" t="inlineStr">
        <is>
          <t>Shimadzu TOC-L</t>
        </is>
      </c>
      <c r="U261" s="20" t="inlineStr">
        <is>
          <t>None</t>
        </is>
      </c>
      <c r="V261" s="17" t="n"/>
      <c r="W261" s="16" t="n"/>
      <c r="X261" s="20" t="n"/>
      <c r="Y261" s="20" t="inlineStr">
        <is>
          <t>None</t>
        </is>
      </c>
      <c r="Z261" s="17" t="n"/>
      <c r="AA261" s="16" t="n"/>
      <c r="AB261" s="20" t="n"/>
      <c r="AC261" s="20" t="inlineStr">
        <is>
          <t>None</t>
        </is>
      </c>
      <c r="AD261" s="17" t="n"/>
      <c r="AE261" s="16" t="n"/>
      <c r="AF261" s="20" t="inlineStr">
        <is>
          <t>IC Anionen</t>
        </is>
      </c>
      <c r="AG261" s="20" t="inlineStr">
        <is>
          <t>None</t>
        </is>
      </c>
      <c r="AH261" s="17" t="n"/>
      <c r="AI261" s="16" t="n"/>
      <c r="AJ261" s="20" t="n"/>
      <c r="AK261" s="20" t="inlineStr">
        <is>
          <t>None</t>
        </is>
      </c>
      <c r="AL261" s="17" t="n"/>
      <c r="AM261" s="16" t="n"/>
      <c r="AN261" s="20" t="inlineStr">
        <is>
          <t>IC Anionen</t>
        </is>
      </c>
      <c r="AO261" s="20" t="inlineStr">
        <is>
          <t>None</t>
        </is>
      </c>
      <c r="AP261" s="17" t="n"/>
      <c r="AQ261" s="16" t="n"/>
      <c r="AR261" s="20" t="n"/>
      <c r="AS261" s="20" t="inlineStr">
        <is>
          <t>None</t>
        </is>
      </c>
      <c r="AT261" s="17" t="n"/>
      <c r="AU261" s="16" t="n"/>
      <c r="AV261" s="20" t="n"/>
      <c r="AW261" s="20" t="inlineStr">
        <is>
          <t>None</t>
        </is>
      </c>
      <c r="AX261" s="17" t="n"/>
      <c r="AY261" s="16" t="n"/>
      <c r="AZ261" s="20" t="inlineStr">
        <is>
          <t>IC Anionen</t>
        </is>
      </c>
      <c r="BA261" s="20" t="inlineStr">
        <is>
          <t>None</t>
        </is>
      </c>
      <c r="BB261" s="17" t="n"/>
      <c r="BC261" s="16" t="n"/>
      <c r="BD261" s="20" t="inlineStr">
        <is>
          <t>IC Kationen</t>
        </is>
      </c>
      <c r="BE261" s="20" t="inlineStr">
        <is>
          <t>None</t>
        </is>
      </c>
      <c r="BF261" s="17" t="n"/>
      <c r="BG261" s="16" t="n"/>
      <c r="BH261" s="20" t="inlineStr">
        <is>
          <t>IC Kationen</t>
        </is>
      </c>
      <c r="BI261" s="20" t="inlineStr">
        <is>
          <t>None</t>
        </is>
      </c>
      <c r="BJ261" s="17" t="n"/>
      <c r="BK261" s="16" t="n"/>
      <c r="BL261" s="20" t="inlineStr">
        <is>
          <t>IC Kationen</t>
        </is>
      </c>
      <c r="BM261" s="20" t="inlineStr">
        <is>
          <t>None</t>
        </is>
      </c>
      <c r="BN261" s="17" t="n"/>
      <c r="BO261" s="16" t="n"/>
      <c r="BP261" s="20" t="inlineStr">
        <is>
          <t>IC Kationen</t>
        </is>
      </c>
      <c r="BQ261" s="20" t="inlineStr">
        <is>
          <t>None</t>
        </is>
      </c>
      <c r="BR261" s="17" t="n"/>
      <c r="BS261" s="16" t="n"/>
      <c r="BT261" s="20" t="inlineStr">
        <is>
          <t>IC Kationen</t>
        </is>
      </c>
      <c r="BU261" s="20" t="inlineStr">
        <is>
          <t>None</t>
        </is>
      </c>
      <c r="BV261" s="17" t="n"/>
      <c r="BW261" s="16" t="n"/>
      <c r="BX261" s="20" t="n"/>
      <c r="BY261" s="20" t="inlineStr">
        <is>
          <t>None</t>
        </is>
      </c>
      <c r="BZ261" s="17" t="n"/>
      <c r="CA261" s="16" t="n"/>
      <c r="CB261" s="20" t="n"/>
      <c r="CC261" s="20" t="inlineStr">
        <is>
          <t>None</t>
        </is>
      </c>
      <c r="CD261" s="17" t="n"/>
      <c r="CE261" s="16" t="n"/>
      <c r="CF261" s="20" t="n"/>
      <c r="CG261" s="20" t="inlineStr">
        <is>
          <t>None</t>
        </is>
      </c>
      <c r="CH261" s="17" t="n"/>
      <c r="CI261" s="16" t="n"/>
      <c r="CJ261" s="20" t="n"/>
      <c r="CK261" s="20" t="inlineStr">
        <is>
          <t>None</t>
        </is>
      </c>
      <c r="CL261" s="17" t="n"/>
      <c r="CM261" s="16" t="n"/>
      <c r="CN261" s="20" t="inlineStr">
        <is>
          <t>SOP 45-34</t>
        </is>
      </c>
      <c r="CO261" s="20" t="inlineStr">
        <is>
          <t>None</t>
        </is>
      </c>
      <c r="CP261" s="17" t="n"/>
      <c r="CQ261" s="16" t="n"/>
      <c r="CR261" s="20" t="n"/>
      <c r="CS261" s="20" t="inlineStr">
        <is>
          <t>None</t>
        </is>
      </c>
      <c r="CT261" s="17" t="n"/>
      <c r="CU261" s="16" t="n"/>
      <c r="CV261" s="20" t="n"/>
      <c r="CW261" s="20" t="inlineStr">
        <is>
          <t>None</t>
        </is>
      </c>
      <c r="CX261" s="17" t="n"/>
      <c r="CY261" s="16" t="n"/>
      <c r="CZ261" s="20" t="inlineStr">
        <is>
          <t>WTW Multimeter 3430 with FDO 925</t>
        </is>
      </c>
      <c r="DA261" s="20" t="inlineStr">
        <is>
          <t>None</t>
        </is>
      </c>
      <c r="DB261" s="17" t="n"/>
      <c r="DC261" s="16" t="n"/>
      <c r="DD261" s="20" t="n"/>
      <c r="DE261" s="20" t="inlineStr">
        <is>
          <t>None</t>
        </is>
      </c>
      <c r="DF261" s="17" t="n"/>
      <c r="DG261" s="16" t="n"/>
      <c r="DH261" s="20" t="inlineStr">
        <is>
          <t>SOP 45-09</t>
        </is>
      </c>
      <c r="DI261" s="20" t="inlineStr">
        <is>
          <t>None</t>
        </is>
      </c>
      <c r="DJ261" s="17" t="n"/>
      <c r="DK261" s="16" t="n"/>
      <c r="DL261" s="20" t="inlineStr">
        <is>
          <t>SOP 45-09 (SOP muss noch angepasst werden für VSS)</t>
        </is>
      </c>
      <c r="DM261" s="20" t="inlineStr">
        <is>
          <t>None</t>
        </is>
      </c>
      <c r="DN261" s="17" t="n"/>
      <c r="DO261" s="16" t="n"/>
      <c r="DP261" s="20" t="inlineStr">
        <is>
          <t>IC Organic Acids</t>
        </is>
      </c>
      <c r="DQ261" s="20" t="inlineStr">
        <is>
          <t>None</t>
        </is>
      </c>
      <c r="DR261" s="17" t="n"/>
      <c r="DS261" s="16" t="n"/>
      <c r="DT261" s="20" t="inlineStr">
        <is>
          <t>IC Organic Acids</t>
        </is>
      </c>
      <c r="DU261" s="20" t="inlineStr">
        <is>
          <t>None</t>
        </is>
      </c>
      <c r="DV261" s="17" t="n"/>
      <c r="DW261" s="16" t="n"/>
      <c r="DX261" s="20" t="inlineStr">
        <is>
          <t>IC Organic Acids</t>
        </is>
      </c>
      <c r="DY261" s="20" t="inlineStr">
        <is>
          <t>None</t>
        </is>
      </c>
      <c r="DZ261" s="17" t="n"/>
      <c r="EA261" s="16" t="n"/>
      <c r="EB261" s="20" t="inlineStr">
        <is>
          <t>IC Organic Acids</t>
        </is>
      </c>
      <c r="EC261" s="20" t="inlineStr">
        <is>
          <t>None</t>
        </is>
      </c>
      <c r="ED261" s="17" t="n"/>
      <c r="EE261" s="16" t="n"/>
      <c r="EF261" s="20" t="inlineStr">
        <is>
          <t>IC Organic Acids</t>
        </is>
      </c>
      <c r="EG261" s="20" t="inlineStr">
        <is>
          <t>None</t>
        </is>
      </c>
      <c r="EH261" s="17" t="n"/>
      <c r="EI261" s="16" t="n"/>
      <c r="EJ261" s="20" t="inlineStr">
        <is>
          <t>IC Organic Acids</t>
        </is>
      </c>
      <c r="EK261" s="20" t="inlineStr">
        <is>
          <t>None</t>
        </is>
      </c>
      <c r="EL261" s="17" t="n"/>
      <c r="EM261" s="16" t="n"/>
      <c r="EN261" s="20" t="inlineStr">
        <is>
          <t>IC Organic Acids</t>
        </is>
      </c>
      <c r="EO261" s="20" t="inlineStr">
        <is>
          <t>None</t>
        </is>
      </c>
      <c r="EP261" s="17" t="n"/>
      <c r="EQ261" s="16" t="n"/>
      <c r="ER261" s="20" t="inlineStr">
        <is>
          <t>IC Organic Acids</t>
        </is>
      </c>
      <c r="ES261" s="20" t="inlineStr">
        <is>
          <t>None</t>
        </is>
      </c>
      <c r="ET261" s="17" t="n"/>
      <c r="EU261" s="16" t="n"/>
      <c r="EV261" s="20" t="inlineStr">
        <is>
          <t>LC-MS</t>
        </is>
      </c>
      <c r="EW261" s="20" t="inlineStr">
        <is>
          <t>None</t>
        </is>
      </c>
      <c r="EX261" s="17" t="n"/>
      <c r="EY261" s="21" t="n"/>
      <c r="EZ261">
        <f>CONCATENATE(A261,B261)</f>
        <v/>
      </c>
      <c r="FA261">
        <f>CONCATENATE(SamplesX!A261,SamplesX!B261)</f>
        <v/>
      </c>
      <c r="FC261">
        <f>MATCH(EZ261,FA1:FA1008,0)</f>
        <v/>
      </c>
    </row>
    <row r="262">
      <c r="A262" s="16" t="inlineStr">
        <is>
          <t>BP</t>
        </is>
      </c>
      <c r="B262" s="17" t="inlineStr">
        <is>
          <t>25254</t>
        </is>
      </c>
      <c r="C262" s="10">
        <f>IF(ISNUMBER(FC262),INDIRECT("SamplesX!C"&amp;FC262),IF(ISNUMBER(FD262),INDIRECT("SamplesY!C"&amp;FD262),""))</f>
        <v/>
      </c>
      <c r="D262" s="12">
        <f>IF(ISNUMBER(FC262),INDIRECT("SamplesX!D"&amp;FC262),IF(ISNUMBER(FD262),INDIRECT("SamplesY!D"&amp;FD262),""))</f>
        <v/>
      </c>
      <c r="E262" s="12">
        <f>IF(ISNUMBER(FC262),INDIRECT("SamplesX!E"&amp;FC262),IF(ISNUMBER(FD262),INDIRECT("SamplesY!E"&amp;FD262),""))</f>
        <v/>
      </c>
      <c r="F262" s="11">
        <f>IF(ISNUMBER(FC262),INDIRECT("SamplesX!F"&amp;FC262),IF(ISNUMBER(FD262),INDIRECT("SamplesY!F"&amp;FD262),""))</f>
        <v/>
      </c>
      <c r="G262" s="18">
        <f>IF(ISNUMBER(FC262),INDIRECT("SamplesX!G"&amp;FC262),IF(ISNUMBER(FD262),INDIRECT("SamplesY!G"&amp;FD262),""))</f>
        <v/>
      </c>
      <c r="H262" s="19">
        <f>IF(ISNUMBER(FC262),INDIRECT("SamplesX!H"&amp;FC262),IF(ISNUMBER(FD262),INDIRECT("SamplesY!H"&amp;FD262),""))</f>
        <v/>
      </c>
      <c r="I262" s="16" t="n"/>
      <c r="J262" s="16" t="n"/>
      <c r="K262" s="16" t="n"/>
      <c r="L262" s="20" t="n"/>
      <c r="M262" s="20" t="inlineStr">
        <is>
          <t>None</t>
        </is>
      </c>
      <c r="N262" s="17" t="n"/>
      <c r="O262" s="16" t="n"/>
      <c r="P262" s="20" t="inlineStr">
        <is>
          <t>Shimadzu TOC-L</t>
        </is>
      </c>
      <c r="Q262" s="20" t="inlineStr">
        <is>
          <t>None</t>
        </is>
      </c>
      <c r="R262" s="17" t="n"/>
      <c r="S262" s="16" t="n"/>
      <c r="T262" s="20" t="inlineStr">
        <is>
          <t>Shimadzu TOC-L</t>
        </is>
      </c>
      <c r="U262" s="20" t="inlineStr">
        <is>
          <t>None</t>
        </is>
      </c>
      <c r="V262" s="17" t="n"/>
      <c r="W262" s="16" t="n"/>
      <c r="X262" s="20" t="n"/>
      <c r="Y262" s="20" t="inlineStr">
        <is>
          <t>None</t>
        </is>
      </c>
      <c r="Z262" s="17" t="n"/>
      <c r="AA262" s="16" t="n"/>
      <c r="AB262" s="20" t="n"/>
      <c r="AC262" s="20" t="inlineStr">
        <is>
          <t>None</t>
        </is>
      </c>
      <c r="AD262" s="17" t="n"/>
      <c r="AE262" s="16" t="n"/>
      <c r="AF262" s="20" t="inlineStr">
        <is>
          <t>IC Anionen</t>
        </is>
      </c>
      <c r="AG262" s="20" t="inlineStr">
        <is>
          <t>None</t>
        </is>
      </c>
      <c r="AH262" s="17" t="n"/>
      <c r="AI262" s="16" t="n"/>
      <c r="AJ262" s="20" t="n"/>
      <c r="AK262" s="20" t="inlineStr">
        <is>
          <t>None</t>
        </is>
      </c>
      <c r="AL262" s="17" t="n"/>
      <c r="AM262" s="16" t="n"/>
      <c r="AN262" s="20" t="inlineStr">
        <is>
          <t>IC Anionen</t>
        </is>
      </c>
      <c r="AO262" s="20" t="inlineStr">
        <is>
          <t>None</t>
        </is>
      </c>
      <c r="AP262" s="17" t="n"/>
      <c r="AQ262" s="16" t="n"/>
      <c r="AR262" s="20" t="n"/>
      <c r="AS262" s="20" t="inlineStr">
        <is>
          <t>None</t>
        </is>
      </c>
      <c r="AT262" s="17" t="n"/>
      <c r="AU262" s="16" t="n"/>
      <c r="AV262" s="20" t="n"/>
      <c r="AW262" s="20" t="inlineStr">
        <is>
          <t>None</t>
        </is>
      </c>
      <c r="AX262" s="17" t="n"/>
      <c r="AY262" s="16" t="n"/>
      <c r="AZ262" s="20" t="inlineStr">
        <is>
          <t>IC Anionen</t>
        </is>
      </c>
      <c r="BA262" s="20" t="inlineStr">
        <is>
          <t>None</t>
        </is>
      </c>
      <c r="BB262" s="17" t="n"/>
      <c r="BC262" s="16" t="n"/>
      <c r="BD262" s="20" t="inlineStr">
        <is>
          <t>IC Kationen</t>
        </is>
      </c>
      <c r="BE262" s="20" t="inlineStr">
        <is>
          <t>None</t>
        </is>
      </c>
      <c r="BF262" s="17" t="n"/>
      <c r="BG262" s="16" t="n"/>
      <c r="BH262" s="20" t="inlineStr">
        <is>
          <t>IC Kationen</t>
        </is>
      </c>
      <c r="BI262" s="20" t="inlineStr">
        <is>
          <t>None</t>
        </is>
      </c>
      <c r="BJ262" s="17" t="n"/>
      <c r="BK262" s="16" t="n"/>
      <c r="BL262" s="20" t="inlineStr">
        <is>
          <t>IC Kationen</t>
        </is>
      </c>
      <c r="BM262" s="20" t="inlineStr">
        <is>
          <t>None</t>
        </is>
      </c>
      <c r="BN262" s="17" t="n"/>
      <c r="BO262" s="16" t="n"/>
      <c r="BP262" s="20" t="inlineStr">
        <is>
          <t>IC Kationen</t>
        </is>
      </c>
      <c r="BQ262" s="20" t="inlineStr">
        <is>
          <t>None</t>
        </is>
      </c>
      <c r="BR262" s="17" t="n"/>
      <c r="BS262" s="16" t="n"/>
      <c r="BT262" s="20" t="inlineStr">
        <is>
          <t>IC Kationen</t>
        </is>
      </c>
      <c r="BU262" s="20" t="inlineStr">
        <is>
          <t>None</t>
        </is>
      </c>
      <c r="BV262" s="17" t="n"/>
      <c r="BW262" s="16" t="n"/>
      <c r="BX262" s="20" t="n"/>
      <c r="BY262" s="20" t="inlineStr">
        <is>
          <t>None</t>
        </is>
      </c>
      <c r="BZ262" s="17" t="n"/>
      <c r="CA262" s="16" t="n"/>
      <c r="CB262" s="20" t="n"/>
      <c r="CC262" s="20" t="inlineStr">
        <is>
          <t>None</t>
        </is>
      </c>
      <c r="CD262" s="17" t="n"/>
      <c r="CE262" s="16" t="n"/>
      <c r="CF262" s="20" t="n"/>
      <c r="CG262" s="20" t="inlineStr">
        <is>
          <t>None</t>
        </is>
      </c>
      <c r="CH262" s="17" t="n"/>
      <c r="CI262" s="16" t="n"/>
      <c r="CJ262" s="20" t="n"/>
      <c r="CK262" s="20" t="inlineStr">
        <is>
          <t>None</t>
        </is>
      </c>
      <c r="CL262" s="17" t="n"/>
      <c r="CM262" s="16" t="n"/>
      <c r="CN262" s="20" t="inlineStr">
        <is>
          <t>SOP 45-34</t>
        </is>
      </c>
      <c r="CO262" s="20" t="inlineStr">
        <is>
          <t>None</t>
        </is>
      </c>
      <c r="CP262" s="17" t="n"/>
      <c r="CQ262" s="16" t="n"/>
      <c r="CR262" s="20" t="n"/>
      <c r="CS262" s="20" t="inlineStr">
        <is>
          <t>None</t>
        </is>
      </c>
      <c r="CT262" s="17" t="n"/>
      <c r="CU262" s="16" t="n"/>
      <c r="CV262" s="20" t="n"/>
      <c r="CW262" s="20" t="inlineStr">
        <is>
          <t>None</t>
        </is>
      </c>
      <c r="CX262" s="17" t="n"/>
      <c r="CY262" s="16" t="n"/>
      <c r="CZ262" s="20" t="inlineStr">
        <is>
          <t>WTW Multimeter 3430 with FDO 925</t>
        </is>
      </c>
      <c r="DA262" s="20" t="inlineStr">
        <is>
          <t>None</t>
        </is>
      </c>
      <c r="DB262" s="17" t="n"/>
      <c r="DC262" s="16" t="n"/>
      <c r="DD262" s="20" t="n"/>
      <c r="DE262" s="20" t="inlineStr">
        <is>
          <t>None</t>
        </is>
      </c>
      <c r="DF262" s="17" t="n"/>
      <c r="DG262" s="16" t="n"/>
      <c r="DH262" s="20" t="inlineStr">
        <is>
          <t>SOP 45-09</t>
        </is>
      </c>
      <c r="DI262" s="20" t="inlineStr">
        <is>
          <t>None</t>
        </is>
      </c>
      <c r="DJ262" s="17" t="n"/>
      <c r="DK262" s="16" t="n"/>
      <c r="DL262" s="20" t="inlineStr">
        <is>
          <t>SOP 45-09 (SOP muss noch angepasst werden für VSS)</t>
        </is>
      </c>
      <c r="DM262" s="20" t="inlineStr">
        <is>
          <t>None</t>
        </is>
      </c>
      <c r="DN262" s="17" t="n"/>
      <c r="DO262" s="16" t="n"/>
      <c r="DP262" s="20" t="inlineStr">
        <is>
          <t>IC Organic Acids</t>
        </is>
      </c>
      <c r="DQ262" s="20" t="inlineStr">
        <is>
          <t>None</t>
        </is>
      </c>
      <c r="DR262" s="17" t="n"/>
      <c r="DS262" s="16" t="n"/>
      <c r="DT262" s="20" t="inlineStr">
        <is>
          <t>IC Organic Acids</t>
        </is>
      </c>
      <c r="DU262" s="20" t="inlineStr">
        <is>
          <t>None</t>
        </is>
      </c>
      <c r="DV262" s="17" t="n"/>
      <c r="DW262" s="16" t="n"/>
      <c r="DX262" s="20" t="inlineStr">
        <is>
          <t>IC Organic Acids</t>
        </is>
      </c>
      <c r="DY262" s="20" t="inlineStr">
        <is>
          <t>None</t>
        </is>
      </c>
      <c r="DZ262" s="17" t="n"/>
      <c r="EA262" s="16" t="n"/>
      <c r="EB262" s="20" t="inlineStr">
        <is>
          <t>IC Organic Acids</t>
        </is>
      </c>
      <c r="EC262" s="20" t="inlineStr">
        <is>
          <t>None</t>
        </is>
      </c>
      <c r="ED262" s="17" t="n"/>
      <c r="EE262" s="16" t="n"/>
      <c r="EF262" s="20" t="inlineStr">
        <is>
          <t>IC Organic Acids</t>
        </is>
      </c>
      <c r="EG262" s="20" t="inlineStr">
        <is>
          <t>None</t>
        </is>
      </c>
      <c r="EH262" s="17" t="n"/>
      <c r="EI262" s="16" t="n"/>
      <c r="EJ262" s="20" t="inlineStr">
        <is>
          <t>IC Organic Acids</t>
        </is>
      </c>
      <c r="EK262" s="20" t="inlineStr">
        <is>
          <t>None</t>
        </is>
      </c>
      <c r="EL262" s="17" t="n"/>
      <c r="EM262" s="16" t="n"/>
      <c r="EN262" s="20" t="inlineStr">
        <is>
          <t>IC Organic Acids</t>
        </is>
      </c>
      <c r="EO262" s="20" t="inlineStr">
        <is>
          <t>None</t>
        </is>
      </c>
      <c r="EP262" s="17" t="n"/>
      <c r="EQ262" s="16" t="n"/>
      <c r="ER262" s="20" t="inlineStr">
        <is>
          <t>IC Organic Acids</t>
        </is>
      </c>
      <c r="ES262" s="20" t="inlineStr">
        <is>
          <t>None</t>
        </is>
      </c>
      <c r="ET262" s="17" t="n"/>
      <c r="EU262" s="16" t="n"/>
      <c r="EV262" s="20" t="inlineStr">
        <is>
          <t>LC-MS</t>
        </is>
      </c>
      <c r="EW262" s="20" t="inlineStr">
        <is>
          <t>None</t>
        </is>
      </c>
      <c r="EX262" s="17" t="n"/>
      <c r="EY262" s="21" t="n"/>
      <c r="EZ262">
        <f>CONCATENATE(A262,B262)</f>
        <v/>
      </c>
      <c r="FA262">
        <f>CONCATENATE(SamplesX!A262,SamplesX!B262)</f>
        <v/>
      </c>
      <c r="FC262">
        <f>MATCH(EZ262,FA1:FA1008,0)</f>
        <v/>
      </c>
    </row>
    <row r="263">
      <c r="A263" s="16" t="inlineStr">
        <is>
          <t>BP</t>
        </is>
      </c>
      <c r="B263" s="17" t="inlineStr">
        <is>
          <t>25255</t>
        </is>
      </c>
      <c r="C263" s="10">
        <f>IF(ISNUMBER(FC263),INDIRECT("SamplesX!C"&amp;FC263),IF(ISNUMBER(FD263),INDIRECT("SamplesY!C"&amp;FD263),""))</f>
        <v/>
      </c>
      <c r="D263" s="12">
        <f>IF(ISNUMBER(FC263),INDIRECT("SamplesX!D"&amp;FC263),IF(ISNUMBER(FD263),INDIRECT("SamplesY!D"&amp;FD263),""))</f>
        <v/>
      </c>
      <c r="E263" s="12">
        <f>IF(ISNUMBER(FC263),INDIRECT("SamplesX!E"&amp;FC263),IF(ISNUMBER(FD263),INDIRECT("SamplesY!E"&amp;FD263),""))</f>
        <v/>
      </c>
      <c r="F263" s="11">
        <f>IF(ISNUMBER(FC263),INDIRECT("SamplesX!F"&amp;FC263),IF(ISNUMBER(FD263),INDIRECT("SamplesY!F"&amp;FD263),""))</f>
        <v/>
      </c>
      <c r="G263" s="18">
        <f>IF(ISNUMBER(FC263),INDIRECT("SamplesX!G"&amp;FC263),IF(ISNUMBER(FD263),INDIRECT("SamplesY!G"&amp;FD263),""))</f>
        <v/>
      </c>
      <c r="H263" s="19">
        <f>IF(ISNUMBER(FC263),INDIRECT("SamplesX!H"&amp;FC263),IF(ISNUMBER(FD263),INDIRECT("SamplesY!H"&amp;FD263),""))</f>
        <v/>
      </c>
      <c r="I263" s="16" t="n"/>
      <c r="J263" s="16" t="n"/>
      <c r="K263" s="16" t="n"/>
      <c r="L263" s="20" t="n"/>
      <c r="M263" s="20" t="inlineStr">
        <is>
          <t>None</t>
        </is>
      </c>
      <c r="N263" s="17" t="n"/>
      <c r="O263" s="16" t="n"/>
      <c r="P263" s="20" t="inlineStr">
        <is>
          <t>Shimadzu TOC-L</t>
        </is>
      </c>
      <c r="Q263" s="20" t="inlineStr">
        <is>
          <t>None</t>
        </is>
      </c>
      <c r="R263" s="17" t="n"/>
      <c r="S263" s="16" t="n"/>
      <c r="T263" s="20" t="inlineStr">
        <is>
          <t>Shimadzu TOC-L</t>
        </is>
      </c>
      <c r="U263" s="20" t="inlineStr">
        <is>
          <t>None</t>
        </is>
      </c>
      <c r="V263" s="17" t="n"/>
      <c r="W263" s="16" t="n"/>
      <c r="X263" s="20" t="n"/>
      <c r="Y263" s="20" t="inlineStr">
        <is>
          <t>None</t>
        </is>
      </c>
      <c r="Z263" s="17" t="n"/>
      <c r="AA263" s="16" t="n"/>
      <c r="AB263" s="20" t="n"/>
      <c r="AC263" s="20" t="inlineStr">
        <is>
          <t>None</t>
        </is>
      </c>
      <c r="AD263" s="17" t="n"/>
      <c r="AE263" s="16" t="n"/>
      <c r="AF263" s="20" t="inlineStr">
        <is>
          <t>IC Anionen</t>
        </is>
      </c>
      <c r="AG263" s="20" t="inlineStr">
        <is>
          <t>None</t>
        </is>
      </c>
      <c r="AH263" s="17" t="n"/>
      <c r="AI263" s="16" t="n"/>
      <c r="AJ263" s="20" t="n"/>
      <c r="AK263" s="20" t="inlineStr">
        <is>
          <t>None</t>
        </is>
      </c>
      <c r="AL263" s="17" t="n"/>
      <c r="AM263" s="16" t="n"/>
      <c r="AN263" s="20" t="inlineStr">
        <is>
          <t>IC Anionen</t>
        </is>
      </c>
      <c r="AO263" s="20" t="inlineStr">
        <is>
          <t>None</t>
        </is>
      </c>
      <c r="AP263" s="17" t="n"/>
      <c r="AQ263" s="16" t="n"/>
      <c r="AR263" s="20" t="n"/>
      <c r="AS263" s="20" t="inlineStr">
        <is>
          <t>None</t>
        </is>
      </c>
      <c r="AT263" s="17" t="n"/>
      <c r="AU263" s="16" t="n"/>
      <c r="AV263" s="20" t="n"/>
      <c r="AW263" s="20" t="inlineStr">
        <is>
          <t>None</t>
        </is>
      </c>
      <c r="AX263" s="17" t="n"/>
      <c r="AY263" s="16" t="n"/>
      <c r="AZ263" s="20" t="inlineStr">
        <is>
          <t>IC Anionen</t>
        </is>
      </c>
      <c r="BA263" s="20" t="inlineStr">
        <is>
          <t>None</t>
        </is>
      </c>
      <c r="BB263" s="17" t="n"/>
      <c r="BC263" s="16" t="n"/>
      <c r="BD263" s="20" t="inlineStr">
        <is>
          <t>IC Kationen</t>
        </is>
      </c>
      <c r="BE263" s="20" t="inlineStr">
        <is>
          <t>None</t>
        </is>
      </c>
      <c r="BF263" s="17" t="n"/>
      <c r="BG263" s="16" t="n"/>
      <c r="BH263" s="20" t="inlineStr">
        <is>
          <t>IC Kationen</t>
        </is>
      </c>
      <c r="BI263" s="20" t="inlineStr">
        <is>
          <t>None</t>
        </is>
      </c>
      <c r="BJ263" s="17" t="n"/>
      <c r="BK263" s="16" t="n"/>
      <c r="BL263" s="20" t="inlineStr">
        <is>
          <t>IC Kationen</t>
        </is>
      </c>
      <c r="BM263" s="20" t="inlineStr">
        <is>
          <t>None</t>
        </is>
      </c>
      <c r="BN263" s="17" t="n"/>
      <c r="BO263" s="16" t="n"/>
      <c r="BP263" s="20" t="inlineStr">
        <is>
          <t>IC Kationen</t>
        </is>
      </c>
      <c r="BQ263" s="20" t="inlineStr">
        <is>
          <t>None</t>
        </is>
      </c>
      <c r="BR263" s="17" t="n"/>
      <c r="BS263" s="16" t="n"/>
      <c r="BT263" s="20" t="inlineStr">
        <is>
          <t>IC Kationen</t>
        </is>
      </c>
      <c r="BU263" s="20" t="inlineStr">
        <is>
          <t>None</t>
        </is>
      </c>
      <c r="BV263" s="17" t="n"/>
      <c r="BW263" s="16" t="n"/>
      <c r="BX263" s="20" t="n"/>
      <c r="BY263" s="20" t="inlineStr">
        <is>
          <t>None</t>
        </is>
      </c>
      <c r="BZ263" s="17" t="n"/>
      <c r="CA263" s="16" t="n"/>
      <c r="CB263" s="20" t="n"/>
      <c r="CC263" s="20" t="inlineStr">
        <is>
          <t>None</t>
        </is>
      </c>
      <c r="CD263" s="17" t="n"/>
      <c r="CE263" s="16" t="n"/>
      <c r="CF263" s="20" t="n"/>
      <c r="CG263" s="20" t="inlineStr">
        <is>
          <t>None</t>
        </is>
      </c>
      <c r="CH263" s="17" t="n"/>
      <c r="CI263" s="16" t="n"/>
      <c r="CJ263" s="20" t="n"/>
      <c r="CK263" s="20" t="inlineStr">
        <is>
          <t>None</t>
        </is>
      </c>
      <c r="CL263" s="17" t="n"/>
      <c r="CM263" s="16" t="n"/>
      <c r="CN263" s="20" t="inlineStr">
        <is>
          <t>SOP 45-34</t>
        </is>
      </c>
      <c r="CO263" s="20" t="inlineStr">
        <is>
          <t>None</t>
        </is>
      </c>
      <c r="CP263" s="17" t="n"/>
      <c r="CQ263" s="16" t="n"/>
      <c r="CR263" s="20" t="n"/>
      <c r="CS263" s="20" t="inlineStr">
        <is>
          <t>None</t>
        </is>
      </c>
      <c r="CT263" s="17" t="n"/>
      <c r="CU263" s="16" t="n"/>
      <c r="CV263" s="20" t="n"/>
      <c r="CW263" s="20" t="inlineStr">
        <is>
          <t>None</t>
        </is>
      </c>
      <c r="CX263" s="17" t="n"/>
      <c r="CY263" s="16" t="n"/>
      <c r="CZ263" s="20" t="inlineStr">
        <is>
          <t>WTW Multimeter 3430 with FDO 925</t>
        </is>
      </c>
      <c r="DA263" s="20" t="inlineStr">
        <is>
          <t>None</t>
        </is>
      </c>
      <c r="DB263" s="17" t="n"/>
      <c r="DC263" s="16" t="n"/>
      <c r="DD263" s="20" t="n"/>
      <c r="DE263" s="20" t="inlineStr">
        <is>
          <t>None</t>
        </is>
      </c>
      <c r="DF263" s="17" t="n"/>
      <c r="DG263" s="16" t="n"/>
      <c r="DH263" s="20" t="inlineStr">
        <is>
          <t>SOP 45-09</t>
        </is>
      </c>
      <c r="DI263" s="20" t="inlineStr">
        <is>
          <t>None</t>
        </is>
      </c>
      <c r="DJ263" s="17" t="n"/>
      <c r="DK263" s="16" t="n"/>
      <c r="DL263" s="20" t="inlineStr">
        <is>
          <t>SOP 45-09 (SOP muss noch angepasst werden für VSS)</t>
        </is>
      </c>
      <c r="DM263" s="20" t="inlineStr">
        <is>
          <t>None</t>
        </is>
      </c>
      <c r="DN263" s="17" t="n"/>
      <c r="DO263" s="16" t="n"/>
      <c r="DP263" s="20" t="inlineStr">
        <is>
          <t>IC Organic Acids</t>
        </is>
      </c>
      <c r="DQ263" s="20" t="inlineStr">
        <is>
          <t>None</t>
        </is>
      </c>
      <c r="DR263" s="17" t="n"/>
      <c r="DS263" s="16" t="n"/>
      <c r="DT263" s="20" t="inlineStr">
        <is>
          <t>IC Organic Acids</t>
        </is>
      </c>
      <c r="DU263" s="20" t="inlineStr">
        <is>
          <t>None</t>
        </is>
      </c>
      <c r="DV263" s="17" t="n"/>
      <c r="DW263" s="16" t="n"/>
      <c r="DX263" s="20" t="inlineStr">
        <is>
          <t>IC Organic Acids</t>
        </is>
      </c>
      <c r="DY263" s="20" t="inlineStr">
        <is>
          <t>None</t>
        </is>
      </c>
      <c r="DZ263" s="17" t="n"/>
      <c r="EA263" s="16" t="n"/>
      <c r="EB263" s="20" t="inlineStr">
        <is>
          <t>IC Organic Acids</t>
        </is>
      </c>
      <c r="EC263" s="20" t="inlineStr">
        <is>
          <t>None</t>
        </is>
      </c>
      <c r="ED263" s="17" t="n"/>
      <c r="EE263" s="16" t="n"/>
      <c r="EF263" s="20" t="inlineStr">
        <is>
          <t>IC Organic Acids</t>
        </is>
      </c>
      <c r="EG263" s="20" t="inlineStr">
        <is>
          <t>None</t>
        </is>
      </c>
      <c r="EH263" s="17" t="n"/>
      <c r="EI263" s="16" t="n"/>
      <c r="EJ263" s="20" t="inlineStr">
        <is>
          <t>IC Organic Acids</t>
        </is>
      </c>
      <c r="EK263" s="20" t="inlineStr">
        <is>
          <t>None</t>
        </is>
      </c>
      <c r="EL263" s="17" t="n"/>
      <c r="EM263" s="16" t="n"/>
      <c r="EN263" s="20" t="inlineStr">
        <is>
          <t>IC Organic Acids</t>
        </is>
      </c>
      <c r="EO263" s="20" t="inlineStr">
        <is>
          <t>None</t>
        </is>
      </c>
      <c r="EP263" s="17" t="n"/>
      <c r="EQ263" s="16" t="n"/>
      <c r="ER263" s="20" t="inlineStr">
        <is>
          <t>IC Organic Acids</t>
        </is>
      </c>
      <c r="ES263" s="20" t="inlineStr">
        <is>
          <t>None</t>
        </is>
      </c>
      <c r="ET263" s="17" t="n"/>
      <c r="EU263" s="16" t="n"/>
      <c r="EV263" s="20" t="inlineStr">
        <is>
          <t>LC-MS</t>
        </is>
      </c>
      <c r="EW263" s="20" t="inlineStr">
        <is>
          <t>None</t>
        </is>
      </c>
      <c r="EX263" s="17" t="n"/>
      <c r="EY263" s="21" t="n"/>
      <c r="EZ263">
        <f>CONCATENATE(A263,B263)</f>
        <v/>
      </c>
      <c r="FA263">
        <f>CONCATENATE(SamplesX!A263,SamplesX!B263)</f>
        <v/>
      </c>
      <c r="FC263">
        <f>MATCH(EZ263,FA1:FA1008,0)</f>
        <v/>
      </c>
    </row>
    <row r="264">
      <c r="A264" s="16" t="inlineStr">
        <is>
          <t>BP</t>
        </is>
      </c>
      <c r="B264" s="17" t="inlineStr">
        <is>
          <t>25256</t>
        </is>
      </c>
      <c r="C264" s="10">
        <f>IF(ISNUMBER(FC264),INDIRECT("SamplesX!C"&amp;FC264),IF(ISNUMBER(FD264),INDIRECT("SamplesY!C"&amp;FD264),""))</f>
        <v/>
      </c>
      <c r="D264" s="12">
        <f>IF(ISNUMBER(FC264),INDIRECT("SamplesX!D"&amp;FC264),IF(ISNUMBER(FD264),INDIRECT("SamplesY!D"&amp;FD264),""))</f>
        <v/>
      </c>
      <c r="E264" s="12">
        <f>IF(ISNUMBER(FC264),INDIRECT("SamplesX!E"&amp;FC264),IF(ISNUMBER(FD264),INDIRECT("SamplesY!E"&amp;FD264),""))</f>
        <v/>
      </c>
      <c r="F264" s="11">
        <f>IF(ISNUMBER(FC264),INDIRECT("SamplesX!F"&amp;FC264),IF(ISNUMBER(FD264),INDIRECT("SamplesY!F"&amp;FD264),""))</f>
        <v/>
      </c>
      <c r="G264" s="18">
        <f>IF(ISNUMBER(FC264),INDIRECT("SamplesX!G"&amp;FC264),IF(ISNUMBER(FD264),INDIRECT("SamplesY!G"&amp;FD264),""))</f>
        <v/>
      </c>
      <c r="H264" s="19">
        <f>IF(ISNUMBER(FC264),INDIRECT("SamplesX!H"&amp;FC264),IF(ISNUMBER(FD264),INDIRECT("SamplesY!H"&amp;FD264),""))</f>
        <v/>
      </c>
      <c r="I264" s="16" t="n"/>
      <c r="J264" s="16" t="n"/>
      <c r="K264" s="16" t="n"/>
      <c r="L264" s="20" t="n"/>
      <c r="M264" s="20" t="inlineStr">
        <is>
          <t>None</t>
        </is>
      </c>
      <c r="N264" s="17" t="n"/>
      <c r="O264" s="16" t="n"/>
      <c r="P264" s="20" t="inlineStr">
        <is>
          <t>Shimadzu TOC-L</t>
        </is>
      </c>
      <c r="Q264" s="20" t="inlineStr">
        <is>
          <t>None</t>
        </is>
      </c>
      <c r="R264" s="17" t="n"/>
      <c r="S264" s="16" t="n"/>
      <c r="T264" s="20" t="inlineStr">
        <is>
          <t>Shimadzu TOC-L</t>
        </is>
      </c>
      <c r="U264" s="20" t="inlineStr">
        <is>
          <t>None</t>
        </is>
      </c>
      <c r="V264" s="17" t="n"/>
      <c r="W264" s="16" t="n"/>
      <c r="X264" s="20" t="n"/>
      <c r="Y264" s="20" t="inlineStr">
        <is>
          <t>None</t>
        </is>
      </c>
      <c r="Z264" s="17" t="n"/>
      <c r="AA264" s="16" t="n"/>
      <c r="AB264" s="20" t="n"/>
      <c r="AC264" s="20" t="inlineStr">
        <is>
          <t>None</t>
        </is>
      </c>
      <c r="AD264" s="17" t="n"/>
      <c r="AE264" s="16" t="n"/>
      <c r="AF264" s="20" t="inlineStr">
        <is>
          <t>IC Anionen</t>
        </is>
      </c>
      <c r="AG264" s="20" t="inlineStr">
        <is>
          <t>None</t>
        </is>
      </c>
      <c r="AH264" s="17" t="n"/>
      <c r="AI264" s="16" t="n"/>
      <c r="AJ264" s="20" t="n"/>
      <c r="AK264" s="20" t="inlineStr">
        <is>
          <t>None</t>
        </is>
      </c>
      <c r="AL264" s="17" t="n"/>
      <c r="AM264" s="16" t="n"/>
      <c r="AN264" s="20" t="inlineStr">
        <is>
          <t>IC Anionen</t>
        </is>
      </c>
      <c r="AO264" s="20" t="inlineStr">
        <is>
          <t>None</t>
        </is>
      </c>
      <c r="AP264" s="17" t="n"/>
      <c r="AQ264" s="16" t="n"/>
      <c r="AR264" s="20" t="n"/>
      <c r="AS264" s="20" t="inlineStr">
        <is>
          <t>None</t>
        </is>
      </c>
      <c r="AT264" s="17" t="n"/>
      <c r="AU264" s="16" t="n"/>
      <c r="AV264" s="20" t="n"/>
      <c r="AW264" s="20" t="inlineStr">
        <is>
          <t>None</t>
        </is>
      </c>
      <c r="AX264" s="17" t="n"/>
      <c r="AY264" s="16" t="n"/>
      <c r="AZ264" s="20" t="inlineStr">
        <is>
          <t>IC Anionen</t>
        </is>
      </c>
      <c r="BA264" s="20" t="inlineStr">
        <is>
          <t>None</t>
        </is>
      </c>
      <c r="BB264" s="17" t="n"/>
      <c r="BC264" s="16" t="n"/>
      <c r="BD264" s="20" t="inlineStr">
        <is>
          <t>IC Kationen</t>
        </is>
      </c>
      <c r="BE264" s="20" t="inlineStr">
        <is>
          <t>None</t>
        </is>
      </c>
      <c r="BF264" s="17" t="n"/>
      <c r="BG264" s="16" t="n"/>
      <c r="BH264" s="20" t="inlineStr">
        <is>
          <t>IC Kationen</t>
        </is>
      </c>
      <c r="BI264" s="20" t="inlineStr">
        <is>
          <t>None</t>
        </is>
      </c>
      <c r="BJ264" s="17" t="n"/>
      <c r="BK264" s="16" t="n"/>
      <c r="BL264" s="20" t="inlineStr">
        <is>
          <t>IC Kationen</t>
        </is>
      </c>
      <c r="BM264" s="20" t="inlineStr">
        <is>
          <t>None</t>
        </is>
      </c>
      <c r="BN264" s="17" t="n"/>
      <c r="BO264" s="16" t="n"/>
      <c r="BP264" s="20" t="inlineStr">
        <is>
          <t>IC Kationen</t>
        </is>
      </c>
      <c r="BQ264" s="20" t="inlineStr">
        <is>
          <t>None</t>
        </is>
      </c>
      <c r="BR264" s="17" t="n"/>
      <c r="BS264" s="16" t="n"/>
      <c r="BT264" s="20" t="inlineStr">
        <is>
          <t>IC Kationen</t>
        </is>
      </c>
      <c r="BU264" s="20" t="inlineStr">
        <is>
          <t>None</t>
        </is>
      </c>
      <c r="BV264" s="17" t="n"/>
      <c r="BW264" s="16" t="n"/>
      <c r="BX264" s="20" t="n"/>
      <c r="BY264" s="20" t="inlineStr">
        <is>
          <t>None</t>
        </is>
      </c>
      <c r="BZ264" s="17" t="n"/>
      <c r="CA264" s="16" t="n"/>
      <c r="CB264" s="20" t="n"/>
      <c r="CC264" s="20" t="inlineStr">
        <is>
          <t>None</t>
        </is>
      </c>
      <c r="CD264" s="17" t="n"/>
      <c r="CE264" s="16" t="n"/>
      <c r="CF264" s="20" t="n"/>
      <c r="CG264" s="20" t="inlineStr">
        <is>
          <t>None</t>
        </is>
      </c>
      <c r="CH264" s="17" t="n"/>
      <c r="CI264" s="16" t="n"/>
      <c r="CJ264" s="20" t="n"/>
      <c r="CK264" s="20" t="inlineStr">
        <is>
          <t>None</t>
        </is>
      </c>
      <c r="CL264" s="17" t="n"/>
      <c r="CM264" s="16" t="n"/>
      <c r="CN264" s="20" t="inlineStr">
        <is>
          <t>SOP 45-34</t>
        </is>
      </c>
      <c r="CO264" s="20" t="inlineStr">
        <is>
          <t>None</t>
        </is>
      </c>
      <c r="CP264" s="17" t="n"/>
      <c r="CQ264" s="16" t="n"/>
      <c r="CR264" s="20" t="n"/>
      <c r="CS264" s="20" t="inlineStr">
        <is>
          <t>None</t>
        </is>
      </c>
      <c r="CT264" s="17" t="n"/>
      <c r="CU264" s="16" t="n"/>
      <c r="CV264" s="20" t="n"/>
      <c r="CW264" s="20" t="inlineStr">
        <is>
          <t>None</t>
        </is>
      </c>
      <c r="CX264" s="17" t="n"/>
      <c r="CY264" s="16" t="n"/>
      <c r="CZ264" s="20" t="inlineStr">
        <is>
          <t>WTW Multimeter 3430 with FDO 925</t>
        </is>
      </c>
      <c r="DA264" s="20" t="inlineStr">
        <is>
          <t>None</t>
        </is>
      </c>
      <c r="DB264" s="17" t="n"/>
      <c r="DC264" s="16" t="n"/>
      <c r="DD264" s="20" t="n"/>
      <c r="DE264" s="20" t="inlineStr">
        <is>
          <t>None</t>
        </is>
      </c>
      <c r="DF264" s="17" t="n"/>
      <c r="DG264" s="16" t="n"/>
      <c r="DH264" s="20" t="inlineStr">
        <is>
          <t>SOP 45-09</t>
        </is>
      </c>
      <c r="DI264" s="20" t="inlineStr">
        <is>
          <t>None</t>
        </is>
      </c>
      <c r="DJ264" s="17" t="n"/>
      <c r="DK264" s="16" t="n"/>
      <c r="DL264" s="20" t="inlineStr">
        <is>
          <t>SOP 45-09 (SOP muss noch angepasst werden für VSS)</t>
        </is>
      </c>
      <c r="DM264" s="20" t="inlineStr">
        <is>
          <t>None</t>
        </is>
      </c>
      <c r="DN264" s="17" t="n"/>
      <c r="DO264" s="16" t="n"/>
      <c r="DP264" s="20" t="inlineStr">
        <is>
          <t>IC Organic Acids</t>
        </is>
      </c>
      <c r="DQ264" s="20" t="inlineStr">
        <is>
          <t>None</t>
        </is>
      </c>
      <c r="DR264" s="17" t="n"/>
      <c r="DS264" s="16" t="n"/>
      <c r="DT264" s="20" t="inlineStr">
        <is>
          <t>IC Organic Acids</t>
        </is>
      </c>
      <c r="DU264" s="20" t="inlineStr">
        <is>
          <t>None</t>
        </is>
      </c>
      <c r="DV264" s="17" t="n"/>
      <c r="DW264" s="16" t="n"/>
      <c r="DX264" s="20" t="inlineStr">
        <is>
          <t>IC Organic Acids</t>
        </is>
      </c>
      <c r="DY264" s="20" t="inlineStr">
        <is>
          <t>None</t>
        </is>
      </c>
      <c r="DZ264" s="17" t="n"/>
      <c r="EA264" s="16" t="n"/>
      <c r="EB264" s="20" t="inlineStr">
        <is>
          <t>IC Organic Acids</t>
        </is>
      </c>
      <c r="EC264" s="20" t="inlineStr">
        <is>
          <t>None</t>
        </is>
      </c>
      <c r="ED264" s="17" t="n"/>
      <c r="EE264" s="16" t="n"/>
      <c r="EF264" s="20" t="inlineStr">
        <is>
          <t>IC Organic Acids</t>
        </is>
      </c>
      <c r="EG264" s="20" t="inlineStr">
        <is>
          <t>None</t>
        </is>
      </c>
      <c r="EH264" s="17" t="n"/>
      <c r="EI264" s="16" t="n"/>
      <c r="EJ264" s="20" t="inlineStr">
        <is>
          <t>IC Organic Acids</t>
        </is>
      </c>
      <c r="EK264" s="20" t="inlineStr">
        <is>
          <t>None</t>
        </is>
      </c>
      <c r="EL264" s="17" t="n"/>
      <c r="EM264" s="16" t="n"/>
      <c r="EN264" s="20" t="inlineStr">
        <is>
          <t>IC Organic Acids</t>
        </is>
      </c>
      <c r="EO264" s="20" t="inlineStr">
        <is>
          <t>None</t>
        </is>
      </c>
      <c r="EP264" s="17" t="n"/>
      <c r="EQ264" s="16" t="n"/>
      <c r="ER264" s="20" t="inlineStr">
        <is>
          <t>IC Organic Acids</t>
        </is>
      </c>
      <c r="ES264" s="20" t="inlineStr">
        <is>
          <t>None</t>
        </is>
      </c>
      <c r="ET264" s="17" t="n"/>
      <c r="EU264" s="16" t="n"/>
      <c r="EV264" s="20" t="inlineStr">
        <is>
          <t>LC-MS</t>
        </is>
      </c>
      <c r="EW264" s="20" t="inlineStr">
        <is>
          <t>None</t>
        </is>
      </c>
      <c r="EX264" s="17" t="n"/>
      <c r="EY264" s="21" t="n"/>
      <c r="EZ264">
        <f>CONCATENATE(A264,B264)</f>
        <v/>
      </c>
      <c r="FA264">
        <f>CONCATENATE(SamplesX!A264,SamplesX!B264)</f>
        <v/>
      </c>
      <c r="FC264">
        <f>MATCH(EZ264,FA1:FA1008,0)</f>
        <v/>
      </c>
    </row>
    <row r="265">
      <c r="A265" s="16" t="inlineStr">
        <is>
          <t>BP</t>
        </is>
      </c>
      <c r="B265" s="17" t="inlineStr">
        <is>
          <t>25257</t>
        </is>
      </c>
      <c r="C265" s="10">
        <f>IF(ISNUMBER(FC265),INDIRECT("SamplesX!C"&amp;FC265),IF(ISNUMBER(FD265),INDIRECT("SamplesY!C"&amp;FD265),""))</f>
        <v/>
      </c>
      <c r="D265" s="12">
        <f>IF(ISNUMBER(FC265),INDIRECT("SamplesX!D"&amp;FC265),IF(ISNUMBER(FD265),INDIRECT("SamplesY!D"&amp;FD265),""))</f>
        <v/>
      </c>
      <c r="E265" s="12">
        <f>IF(ISNUMBER(FC265),INDIRECT("SamplesX!E"&amp;FC265),IF(ISNUMBER(FD265),INDIRECT("SamplesY!E"&amp;FD265),""))</f>
        <v/>
      </c>
      <c r="F265" s="11">
        <f>IF(ISNUMBER(FC265),INDIRECT("SamplesX!F"&amp;FC265),IF(ISNUMBER(FD265),INDIRECT("SamplesY!F"&amp;FD265),""))</f>
        <v/>
      </c>
      <c r="G265" s="18">
        <f>IF(ISNUMBER(FC265),INDIRECT("SamplesX!G"&amp;FC265),IF(ISNUMBER(FD265),INDIRECT("SamplesY!G"&amp;FD265),""))</f>
        <v/>
      </c>
      <c r="H265" s="19">
        <f>IF(ISNUMBER(FC265),INDIRECT("SamplesX!H"&amp;FC265),IF(ISNUMBER(FD265),INDIRECT("SamplesY!H"&amp;FD265),""))</f>
        <v/>
      </c>
      <c r="I265" s="16" t="n"/>
      <c r="J265" s="16" t="n"/>
      <c r="K265" s="16" t="n"/>
      <c r="L265" s="20" t="n"/>
      <c r="M265" s="20" t="inlineStr">
        <is>
          <t>None</t>
        </is>
      </c>
      <c r="N265" s="17" t="n"/>
      <c r="O265" s="16" t="n"/>
      <c r="P265" s="20" t="inlineStr">
        <is>
          <t>Shimadzu TOC-L</t>
        </is>
      </c>
      <c r="Q265" s="20" t="inlineStr">
        <is>
          <t>None</t>
        </is>
      </c>
      <c r="R265" s="17" t="n"/>
      <c r="S265" s="16" t="n"/>
      <c r="T265" s="20" t="inlineStr">
        <is>
          <t>Shimadzu TOC-L</t>
        </is>
      </c>
      <c r="U265" s="20" t="inlineStr">
        <is>
          <t>None</t>
        </is>
      </c>
      <c r="V265" s="17" t="n"/>
      <c r="W265" s="16" t="n"/>
      <c r="X265" s="20" t="n"/>
      <c r="Y265" s="20" t="inlineStr">
        <is>
          <t>None</t>
        </is>
      </c>
      <c r="Z265" s="17" t="n"/>
      <c r="AA265" s="16" t="n"/>
      <c r="AB265" s="20" t="n"/>
      <c r="AC265" s="20" t="inlineStr">
        <is>
          <t>None</t>
        </is>
      </c>
      <c r="AD265" s="17" t="n"/>
      <c r="AE265" s="16" t="n"/>
      <c r="AF265" s="20" t="inlineStr">
        <is>
          <t>IC Anionen</t>
        </is>
      </c>
      <c r="AG265" s="20" t="inlineStr">
        <is>
          <t>None</t>
        </is>
      </c>
      <c r="AH265" s="17" t="n"/>
      <c r="AI265" s="16" t="n"/>
      <c r="AJ265" s="20" t="n"/>
      <c r="AK265" s="20" t="inlineStr">
        <is>
          <t>None</t>
        </is>
      </c>
      <c r="AL265" s="17" t="n"/>
      <c r="AM265" s="16" t="n"/>
      <c r="AN265" s="20" t="inlineStr">
        <is>
          <t>IC Anionen</t>
        </is>
      </c>
      <c r="AO265" s="20" t="inlineStr">
        <is>
          <t>None</t>
        </is>
      </c>
      <c r="AP265" s="17" t="n"/>
      <c r="AQ265" s="16" t="n"/>
      <c r="AR265" s="20" t="n"/>
      <c r="AS265" s="20" t="inlineStr">
        <is>
          <t>None</t>
        </is>
      </c>
      <c r="AT265" s="17" t="n"/>
      <c r="AU265" s="16" t="n"/>
      <c r="AV265" s="20" t="n"/>
      <c r="AW265" s="20" t="inlineStr">
        <is>
          <t>None</t>
        </is>
      </c>
      <c r="AX265" s="17" t="n"/>
      <c r="AY265" s="16" t="n"/>
      <c r="AZ265" s="20" t="inlineStr">
        <is>
          <t>IC Anionen</t>
        </is>
      </c>
      <c r="BA265" s="20" t="inlineStr">
        <is>
          <t>None</t>
        </is>
      </c>
      <c r="BB265" s="17" t="n"/>
      <c r="BC265" s="16" t="n"/>
      <c r="BD265" s="20" t="inlineStr">
        <is>
          <t>IC Kationen</t>
        </is>
      </c>
      <c r="BE265" s="20" t="inlineStr">
        <is>
          <t>None</t>
        </is>
      </c>
      <c r="BF265" s="17" t="n"/>
      <c r="BG265" s="16" t="n"/>
      <c r="BH265" s="20" t="inlineStr">
        <is>
          <t>IC Kationen</t>
        </is>
      </c>
      <c r="BI265" s="20" t="inlineStr">
        <is>
          <t>None</t>
        </is>
      </c>
      <c r="BJ265" s="17" t="n"/>
      <c r="BK265" s="16" t="n"/>
      <c r="BL265" s="20" t="inlineStr">
        <is>
          <t>IC Kationen</t>
        </is>
      </c>
      <c r="BM265" s="20" t="inlineStr">
        <is>
          <t>None</t>
        </is>
      </c>
      <c r="BN265" s="17" t="n"/>
      <c r="BO265" s="16" t="n"/>
      <c r="BP265" s="20" t="inlineStr">
        <is>
          <t>IC Kationen</t>
        </is>
      </c>
      <c r="BQ265" s="20" t="inlineStr">
        <is>
          <t>None</t>
        </is>
      </c>
      <c r="BR265" s="17" t="n"/>
      <c r="BS265" s="16" t="n"/>
      <c r="BT265" s="20" t="inlineStr">
        <is>
          <t>IC Kationen</t>
        </is>
      </c>
      <c r="BU265" s="20" t="inlineStr">
        <is>
          <t>None</t>
        </is>
      </c>
      <c r="BV265" s="17" t="n"/>
      <c r="BW265" s="16" t="n"/>
      <c r="BX265" s="20" t="n"/>
      <c r="BY265" s="20" t="inlineStr">
        <is>
          <t>None</t>
        </is>
      </c>
      <c r="BZ265" s="17" t="n"/>
      <c r="CA265" s="16" t="n"/>
      <c r="CB265" s="20" t="n"/>
      <c r="CC265" s="20" t="inlineStr">
        <is>
          <t>None</t>
        </is>
      </c>
      <c r="CD265" s="17" t="n"/>
      <c r="CE265" s="16" t="n"/>
      <c r="CF265" s="20" t="n"/>
      <c r="CG265" s="20" t="inlineStr">
        <is>
          <t>None</t>
        </is>
      </c>
      <c r="CH265" s="17" t="n"/>
      <c r="CI265" s="16" t="n"/>
      <c r="CJ265" s="20" t="n"/>
      <c r="CK265" s="20" t="inlineStr">
        <is>
          <t>None</t>
        </is>
      </c>
      <c r="CL265" s="17" t="n"/>
      <c r="CM265" s="16" t="n"/>
      <c r="CN265" s="20" t="inlineStr">
        <is>
          <t>SOP 45-34</t>
        </is>
      </c>
      <c r="CO265" s="20" t="inlineStr">
        <is>
          <t>None</t>
        </is>
      </c>
      <c r="CP265" s="17" t="n"/>
      <c r="CQ265" s="16" t="n"/>
      <c r="CR265" s="20" t="n"/>
      <c r="CS265" s="20" t="inlineStr">
        <is>
          <t>None</t>
        </is>
      </c>
      <c r="CT265" s="17" t="n"/>
      <c r="CU265" s="16" t="n"/>
      <c r="CV265" s="20" t="n"/>
      <c r="CW265" s="20" t="inlineStr">
        <is>
          <t>None</t>
        </is>
      </c>
      <c r="CX265" s="17" t="n"/>
      <c r="CY265" s="16" t="n"/>
      <c r="CZ265" s="20" t="inlineStr">
        <is>
          <t>WTW Multimeter 3430 with FDO 925</t>
        </is>
      </c>
      <c r="DA265" s="20" t="inlineStr">
        <is>
          <t>None</t>
        </is>
      </c>
      <c r="DB265" s="17" t="n"/>
      <c r="DC265" s="16" t="n"/>
      <c r="DD265" s="20" t="n"/>
      <c r="DE265" s="20" t="inlineStr">
        <is>
          <t>None</t>
        </is>
      </c>
      <c r="DF265" s="17" t="n"/>
      <c r="DG265" s="16" t="n"/>
      <c r="DH265" s="20" t="inlineStr">
        <is>
          <t>SOP 45-09</t>
        </is>
      </c>
      <c r="DI265" s="20" t="inlineStr">
        <is>
          <t>None</t>
        </is>
      </c>
      <c r="DJ265" s="17" t="n"/>
      <c r="DK265" s="16" t="n"/>
      <c r="DL265" s="20" t="inlineStr">
        <is>
          <t>SOP 45-09 (SOP muss noch angepasst werden für VSS)</t>
        </is>
      </c>
      <c r="DM265" s="20" t="inlineStr">
        <is>
          <t>None</t>
        </is>
      </c>
      <c r="DN265" s="17" t="n"/>
      <c r="DO265" s="16" t="n"/>
      <c r="DP265" s="20" t="inlineStr">
        <is>
          <t>IC Organic Acids</t>
        </is>
      </c>
      <c r="DQ265" s="20" t="inlineStr">
        <is>
          <t>None</t>
        </is>
      </c>
      <c r="DR265" s="17" t="n"/>
      <c r="DS265" s="16" t="n"/>
      <c r="DT265" s="20" t="inlineStr">
        <is>
          <t>IC Organic Acids</t>
        </is>
      </c>
      <c r="DU265" s="20" t="inlineStr">
        <is>
          <t>None</t>
        </is>
      </c>
      <c r="DV265" s="17" t="n"/>
      <c r="DW265" s="16" t="n"/>
      <c r="DX265" s="20" t="inlineStr">
        <is>
          <t>IC Organic Acids</t>
        </is>
      </c>
      <c r="DY265" s="20" t="inlineStr">
        <is>
          <t>None</t>
        </is>
      </c>
      <c r="DZ265" s="17" t="n"/>
      <c r="EA265" s="16" t="n"/>
      <c r="EB265" s="20" t="inlineStr">
        <is>
          <t>IC Organic Acids</t>
        </is>
      </c>
      <c r="EC265" s="20" t="inlineStr">
        <is>
          <t>None</t>
        </is>
      </c>
      <c r="ED265" s="17" t="n"/>
      <c r="EE265" s="16" t="n"/>
      <c r="EF265" s="20" t="inlineStr">
        <is>
          <t>IC Organic Acids</t>
        </is>
      </c>
      <c r="EG265" s="20" t="inlineStr">
        <is>
          <t>None</t>
        </is>
      </c>
      <c r="EH265" s="17" t="n"/>
      <c r="EI265" s="16" t="n"/>
      <c r="EJ265" s="20" t="inlineStr">
        <is>
          <t>IC Organic Acids</t>
        </is>
      </c>
      <c r="EK265" s="20" t="inlineStr">
        <is>
          <t>None</t>
        </is>
      </c>
      <c r="EL265" s="17" t="n"/>
      <c r="EM265" s="16" t="n"/>
      <c r="EN265" s="20" t="inlineStr">
        <is>
          <t>IC Organic Acids</t>
        </is>
      </c>
      <c r="EO265" s="20" t="inlineStr">
        <is>
          <t>None</t>
        </is>
      </c>
      <c r="EP265" s="17" t="n"/>
      <c r="EQ265" s="16" t="n"/>
      <c r="ER265" s="20" t="inlineStr">
        <is>
          <t>IC Organic Acids</t>
        </is>
      </c>
      <c r="ES265" s="20" t="inlineStr">
        <is>
          <t>None</t>
        </is>
      </c>
      <c r="ET265" s="17" t="n"/>
      <c r="EU265" s="16" t="n"/>
      <c r="EV265" s="20" t="inlineStr">
        <is>
          <t>LC-MS</t>
        </is>
      </c>
      <c r="EW265" s="20" t="inlineStr">
        <is>
          <t>None</t>
        </is>
      </c>
      <c r="EX265" s="17" t="n"/>
      <c r="EY265" s="21" t="n"/>
      <c r="EZ265">
        <f>CONCATENATE(A265,B265)</f>
        <v/>
      </c>
      <c r="FA265">
        <f>CONCATENATE(SamplesX!A265,SamplesX!B265)</f>
        <v/>
      </c>
      <c r="FC265">
        <f>MATCH(EZ265,FA1:FA1008,0)</f>
        <v/>
      </c>
    </row>
    <row r="266">
      <c r="A266" s="16" t="inlineStr">
        <is>
          <t>BP</t>
        </is>
      </c>
      <c r="B266" s="17" t="inlineStr">
        <is>
          <t>25258</t>
        </is>
      </c>
      <c r="C266" s="10">
        <f>IF(ISNUMBER(FC266),INDIRECT("SamplesX!C"&amp;FC266),IF(ISNUMBER(FD266),INDIRECT("SamplesY!C"&amp;FD266),""))</f>
        <v/>
      </c>
      <c r="D266" s="12">
        <f>IF(ISNUMBER(FC266),INDIRECT("SamplesX!D"&amp;FC266),IF(ISNUMBER(FD266),INDIRECT("SamplesY!D"&amp;FD266),""))</f>
        <v/>
      </c>
      <c r="E266" s="12">
        <f>IF(ISNUMBER(FC266),INDIRECT("SamplesX!E"&amp;FC266),IF(ISNUMBER(FD266),INDIRECT("SamplesY!E"&amp;FD266),""))</f>
        <v/>
      </c>
      <c r="F266" s="11">
        <f>IF(ISNUMBER(FC266),INDIRECT("SamplesX!F"&amp;FC266),IF(ISNUMBER(FD266),INDIRECT("SamplesY!F"&amp;FD266),""))</f>
        <v/>
      </c>
      <c r="G266" s="18">
        <f>IF(ISNUMBER(FC266),INDIRECT("SamplesX!G"&amp;FC266),IF(ISNUMBER(FD266),INDIRECT("SamplesY!G"&amp;FD266),""))</f>
        <v/>
      </c>
      <c r="H266" s="19">
        <f>IF(ISNUMBER(FC266),INDIRECT("SamplesX!H"&amp;FC266),IF(ISNUMBER(FD266),INDIRECT("SamplesY!H"&amp;FD266),""))</f>
        <v/>
      </c>
      <c r="I266" s="16" t="n"/>
      <c r="J266" s="16" t="n"/>
      <c r="K266" s="16" t="n"/>
      <c r="L266" s="20" t="n"/>
      <c r="M266" s="20" t="inlineStr">
        <is>
          <t>None</t>
        </is>
      </c>
      <c r="N266" s="17" t="n"/>
      <c r="O266" s="16" t="n"/>
      <c r="P266" s="20" t="inlineStr">
        <is>
          <t>Shimadzu TOC-L</t>
        </is>
      </c>
      <c r="Q266" s="20" t="inlineStr">
        <is>
          <t>None</t>
        </is>
      </c>
      <c r="R266" s="17" t="n"/>
      <c r="S266" s="16" t="n"/>
      <c r="T266" s="20" t="inlineStr">
        <is>
          <t>Shimadzu TOC-L</t>
        </is>
      </c>
      <c r="U266" s="20" t="inlineStr">
        <is>
          <t>None</t>
        </is>
      </c>
      <c r="V266" s="17" t="n"/>
      <c r="W266" s="16" t="n"/>
      <c r="X266" s="20" t="n"/>
      <c r="Y266" s="20" t="inlineStr">
        <is>
          <t>None</t>
        </is>
      </c>
      <c r="Z266" s="17" t="n"/>
      <c r="AA266" s="16" t="n"/>
      <c r="AB266" s="20" t="n"/>
      <c r="AC266" s="20" t="inlineStr">
        <is>
          <t>None</t>
        </is>
      </c>
      <c r="AD266" s="17" t="n"/>
      <c r="AE266" s="16" t="n"/>
      <c r="AF266" s="20" t="inlineStr">
        <is>
          <t>IC Anionen</t>
        </is>
      </c>
      <c r="AG266" s="20" t="inlineStr">
        <is>
          <t>None</t>
        </is>
      </c>
      <c r="AH266" s="17" t="n"/>
      <c r="AI266" s="16" t="n"/>
      <c r="AJ266" s="20" t="n"/>
      <c r="AK266" s="20" t="inlineStr">
        <is>
          <t>None</t>
        </is>
      </c>
      <c r="AL266" s="17" t="n"/>
      <c r="AM266" s="16" t="n"/>
      <c r="AN266" s="20" t="inlineStr">
        <is>
          <t>IC Anionen</t>
        </is>
      </c>
      <c r="AO266" s="20" t="inlineStr">
        <is>
          <t>None</t>
        </is>
      </c>
      <c r="AP266" s="17" t="n"/>
      <c r="AQ266" s="16" t="n"/>
      <c r="AR266" s="20" t="n"/>
      <c r="AS266" s="20" t="inlineStr">
        <is>
          <t>None</t>
        </is>
      </c>
      <c r="AT266" s="17" t="n"/>
      <c r="AU266" s="16" t="n"/>
      <c r="AV266" s="20" t="n"/>
      <c r="AW266" s="20" t="inlineStr">
        <is>
          <t>None</t>
        </is>
      </c>
      <c r="AX266" s="17" t="n"/>
      <c r="AY266" s="16" t="n"/>
      <c r="AZ266" s="20" t="inlineStr">
        <is>
          <t>IC Anionen</t>
        </is>
      </c>
      <c r="BA266" s="20" t="inlineStr">
        <is>
          <t>None</t>
        </is>
      </c>
      <c r="BB266" s="17" t="n"/>
      <c r="BC266" s="16" t="n"/>
      <c r="BD266" s="20" t="inlineStr">
        <is>
          <t>IC Kationen</t>
        </is>
      </c>
      <c r="BE266" s="20" t="inlineStr">
        <is>
          <t>None</t>
        </is>
      </c>
      <c r="BF266" s="17" t="n"/>
      <c r="BG266" s="16" t="n"/>
      <c r="BH266" s="20" t="inlineStr">
        <is>
          <t>IC Kationen</t>
        </is>
      </c>
      <c r="BI266" s="20" t="inlineStr">
        <is>
          <t>None</t>
        </is>
      </c>
      <c r="BJ266" s="17" t="n"/>
      <c r="BK266" s="16" t="n"/>
      <c r="BL266" s="20" t="inlineStr">
        <is>
          <t>IC Kationen</t>
        </is>
      </c>
      <c r="BM266" s="20" t="inlineStr">
        <is>
          <t>None</t>
        </is>
      </c>
      <c r="BN266" s="17" t="n"/>
      <c r="BO266" s="16" t="n"/>
      <c r="BP266" s="20" t="inlineStr">
        <is>
          <t>IC Kationen</t>
        </is>
      </c>
      <c r="BQ266" s="20" t="inlineStr">
        <is>
          <t>None</t>
        </is>
      </c>
      <c r="BR266" s="17" t="n"/>
      <c r="BS266" s="16" t="n"/>
      <c r="BT266" s="20" t="inlineStr">
        <is>
          <t>IC Kationen</t>
        </is>
      </c>
      <c r="BU266" s="20" t="inlineStr">
        <is>
          <t>None</t>
        </is>
      </c>
      <c r="BV266" s="17" t="n"/>
      <c r="BW266" s="16" t="n"/>
      <c r="BX266" s="20" t="n"/>
      <c r="BY266" s="20" t="inlineStr">
        <is>
          <t>None</t>
        </is>
      </c>
      <c r="BZ266" s="17" t="n"/>
      <c r="CA266" s="16" t="n"/>
      <c r="CB266" s="20" t="n"/>
      <c r="CC266" s="20" t="inlineStr">
        <is>
          <t>None</t>
        </is>
      </c>
      <c r="CD266" s="17" t="n"/>
      <c r="CE266" s="16" t="n"/>
      <c r="CF266" s="20" t="n"/>
      <c r="CG266" s="20" t="inlineStr">
        <is>
          <t>None</t>
        </is>
      </c>
      <c r="CH266" s="17" t="n"/>
      <c r="CI266" s="16" t="n"/>
      <c r="CJ266" s="20" t="n"/>
      <c r="CK266" s="20" t="inlineStr">
        <is>
          <t>None</t>
        </is>
      </c>
      <c r="CL266" s="17" t="n"/>
      <c r="CM266" s="16" t="n"/>
      <c r="CN266" s="20" t="inlineStr">
        <is>
          <t>SOP 45-34</t>
        </is>
      </c>
      <c r="CO266" s="20" t="inlineStr">
        <is>
          <t>None</t>
        </is>
      </c>
      <c r="CP266" s="17" t="n"/>
      <c r="CQ266" s="16" t="n"/>
      <c r="CR266" s="20" t="n"/>
      <c r="CS266" s="20" t="inlineStr">
        <is>
          <t>None</t>
        </is>
      </c>
      <c r="CT266" s="17" t="n"/>
      <c r="CU266" s="16" t="n"/>
      <c r="CV266" s="20" t="n"/>
      <c r="CW266" s="20" t="inlineStr">
        <is>
          <t>None</t>
        </is>
      </c>
      <c r="CX266" s="17" t="n"/>
      <c r="CY266" s="16" t="n"/>
      <c r="CZ266" s="20" t="inlineStr">
        <is>
          <t>WTW Multimeter 3430 with FDO 925</t>
        </is>
      </c>
      <c r="DA266" s="20" t="inlineStr">
        <is>
          <t>None</t>
        </is>
      </c>
      <c r="DB266" s="17" t="n"/>
      <c r="DC266" s="16" t="n"/>
      <c r="DD266" s="20" t="n"/>
      <c r="DE266" s="20" t="inlineStr">
        <is>
          <t>None</t>
        </is>
      </c>
      <c r="DF266" s="17" t="n"/>
      <c r="DG266" s="16" t="n"/>
      <c r="DH266" s="20" t="inlineStr">
        <is>
          <t>SOP 45-09</t>
        </is>
      </c>
      <c r="DI266" s="20" t="inlineStr">
        <is>
          <t>None</t>
        </is>
      </c>
      <c r="DJ266" s="17" t="n"/>
      <c r="DK266" s="16" t="n"/>
      <c r="DL266" s="20" t="inlineStr">
        <is>
          <t>SOP 45-09 (SOP muss noch angepasst werden für VSS)</t>
        </is>
      </c>
      <c r="DM266" s="20" t="inlineStr">
        <is>
          <t>None</t>
        </is>
      </c>
      <c r="DN266" s="17" t="n"/>
      <c r="DO266" s="16" t="n"/>
      <c r="DP266" s="20" t="inlineStr">
        <is>
          <t>IC Organic Acids</t>
        </is>
      </c>
      <c r="DQ266" s="20" t="inlineStr">
        <is>
          <t>None</t>
        </is>
      </c>
      <c r="DR266" s="17" t="n"/>
      <c r="DS266" s="16" t="n"/>
      <c r="DT266" s="20" t="inlineStr">
        <is>
          <t>IC Organic Acids</t>
        </is>
      </c>
      <c r="DU266" s="20" t="inlineStr">
        <is>
          <t>None</t>
        </is>
      </c>
      <c r="DV266" s="17" t="n"/>
      <c r="DW266" s="16" t="n"/>
      <c r="DX266" s="20" t="inlineStr">
        <is>
          <t>IC Organic Acids</t>
        </is>
      </c>
      <c r="DY266" s="20" t="inlineStr">
        <is>
          <t>None</t>
        </is>
      </c>
      <c r="DZ266" s="17" t="n"/>
      <c r="EA266" s="16" t="n"/>
      <c r="EB266" s="20" t="inlineStr">
        <is>
          <t>IC Organic Acids</t>
        </is>
      </c>
      <c r="EC266" s="20" t="inlineStr">
        <is>
          <t>None</t>
        </is>
      </c>
      <c r="ED266" s="17" t="n"/>
      <c r="EE266" s="16" t="n"/>
      <c r="EF266" s="20" t="inlineStr">
        <is>
          <t>IC Organic Acids</t>
        </is>
      </c>
      <c r="EG266" s="20" t="inlineStr">
        <is>
          <t>None</t>
        </is>
      </c>
      <c r="EH266" s="17" t="n"/>
      <c r="EI266" s="16" t="n"/>
      <c r="EJ266" s="20" t="inlineStr">
        <is>
          <t>IC Organic Acids</t>
        </is>
      </c>
      <c r="EK266" s="20" t="inlineStr">
        <is>
          <t>None</t>
        </is>
      </c>
      <c r="EL266" s="17" t="n"/>
      <c r="EM266" s="16" t="n"/>
      <c r="EN266" s="20" t="inlineStr">
        <is>
          <t>IC Organic Acids</t>
        </is>
      </c>
      <c r="EO266" s="20" t="inlineStr">
        <is>
          <t>None</t>
        </is>
      </c>
      <c r="EP266" s="17" t="n"/>
      <c r="EQ266" s="16" t="n"/>
      <c r="ER266" s="20" t="inlineStr">
        <is>
          <t>IC Organic Acids</t>
        </is>
      </c>
      <c r="ES266" s="20" t="inlineStr">
        <is>
          <t>None</t>
        </is>
      </c>
      <c r="ET266" s="17" t="n"/>
      <c r="EU266" s="16" t="n"/>
      <c r="EV266" s="20" t="inlineStr">
        <is>
          <t>LC-MS</t>
        </is>
      </c>
      <c r="EW266" s="20" t="inlineStr">
        <is>
          <t>None</t>
        </is>
      </c>
      <c r="EX266" s="17" t="n"/>
      <c r="EY266" s="21" t="n"/>
      <c r="EZ266">
        <f>CONCATENATE(A266,B266)</f>
        <v/>
      </c>
      <c r="FA266">
        <f>CONCATENATE(SamplesX!A266,SamplesX!B266)</f>
        <v/>
      </c>
      <c r="FC266">
        <f>MATCH(EZ266,FA1:FA1008,0)</f>
        <v/>
      </c>
    </row>
    <row r="267">
      <c r="A267" s="16" t="inlineStr">
        <is>
          <t>BP</t>
        </is>
      </c>
      <c r="B267" s="17" t="inlineStr">
        <is>
          <t>25259</t>
        </is>
      </c>
      <c r="C267" s="10">
        <f>IF(ISNUMBER(FC267),INDIRECT("SamplesX!C"&amp;FC267),IF(ISNUMBER(FD267),INDIRECT("SamplesY!C"&amp;FD267),""))</f>
        <v/>
      </c>
      <c r="D267" s="12">
        <f>IF(ISNUMBER(FC267),INDIRECT("SamplesX!D"&amp;FC267),IF(ISNUMBER(FD267),INDIRECT("SamplesY!D"&amp;FD267),""))</f>
        <v/>
      </c>
      <c r="E267" s="12">
        <f>IF(ISNUMBER(FC267),INDIRECT("SamplesX!E"&amp;FC267),IF(ISNUMBER(FD267),INDIRECT("SamplesY!E"&amp;FD267),""))</f>
        <v/>
      </c>
      <c r="F267" s="11">
        <f>IF(ISNUMBER(FC267),INDIRECT("SamplesX!F"&amp;FC267),IF(ISNUMBER(FD267),INDIRECT("SamplesY!F"&amp;FD267),""))</f>
        <v/>
      </c>
      <c r="G267" s="18">
        <f>IF(ISNUMBER(FC267),INDIRECT("SamplesX!G"&amp;FC267),IF(ISNUMBER(FD267),INDIRECT("SamplesY!G"&amp;FD267),""))</f>
        <v/>
      </c>
      <c r="H267" s="19">
        <f>IF(ISNUMBER(FC267),INDIRECT("SamplesX!H"&amp;FC267),IF(ISNUMBER(FD267),INDIRECT("SamplesY!H"&amp;FD267),""))</f>
        <v/>
      </c>
      <c r="I267" s="16" t="n"/>
      <c r="J267" s="16" t="n"/>
      <c r="K267" s="16" t="n"/>
      <c r="L267" s="20" t="n"/>
      <c r="M267" s="20" t="inlineStr">
        <is>
          <t>None</t>
        </is>
      </c>
      <c r="N267" s="17" t="n"/>
      <c r="O267" s="16" t="n"/>
      <c r="P267" s="20" t="inlineStr">
        <is>
          <t>Shimadzu TOC-L</t>
        </is>
      </c>
      <c r="Q267" s="20" t="inlineStr">
        <is>
          <t>None</t>
        </is>
      </c>
      <c r="R267" s="17" t="n"/>
      <c r="S267" s="16" t="n"/>
      <c r="T267" s="20" t="inlineStr">
        <is>
          <t>Shimadzu TOC-L</t>
        </is>
      </c>
      <c r="U267" s="20" t="inlineStr">
        <is>
          <t>None</t>
        </is>
      </c>
      <c r="V267" s="17" t="n"/>
      <c r="W267" s="16" t="n"/>
      <c r="X267" s="20" t="n"/>
      <c r="Y267" s="20" t="inlineStr">
        <is>
          <t>None</t>
        </is>
      </c>
      <c r="Z267" s="17" t="n"/>
      <c r="AA267" s="16" t="n"/>
      <c r="AB267" s="20" t="n"/>
      <c r="AC267" s="20" t="inlineStr">
        <is>
          <t>None</t>
        </is>
      </c>
      <c r="AD267" s="17" t="n"/>
      <c r="AE267" s="16" t="n"/>
      <c r="AF267" s="20" t="inlineStr">
        <is>
          <t>IC Anionen</t>
        </is>
      </c>
      <c r="AG267" s="20" t="inlineStr">
        <is>
          <t>None</t>
        </is>
      </c>
      <c r="AH267" s="17" t="n"/>
      <c r="AI267" s="16" t="n"/>
      <c r="AJ267" s="20" t="n"/>
      <c r="AK267" s="20" t="inlineStr">
        <is>
          <t>None</t>
        </is>
      </c>
      <c r="AL267" s="17" t="n"/>
      <c r="AM267" s="16" t="n"/>
      <c r="AN267" s="20" t="inlineStr">
        <is>
          <t>IC Anionen</t>
        </is>
      </c>
      <c r="AO267" s="20" t="inlineStr">
        <is>
          <t>None</t>
        </is>
      </c>
      <c r="AP267" s="17" t="n"/>
      <c r="AQ267" s="16" t="n"/>
      <c r="AR267" s="20" t="n"/>
      <c r="AS267" s="20" t="inlineStr">
        <is>
          <t>None</t>
        </is>
      </c>
      <c r="AT267" s="17" t="n"/>
      <c r="AU267" s="16" t="n"/>
      <c r="AV267" s="20" t="n"/>
      <c r="AW267" s="20" t="inlineStr">
        <is>
          <t>None</t>
        </is>
      </c>
      <c r="AX267" s="17" t="n"/>
      <c r="AY267" s="16" t="n"/>
      <c r="AZ267" s="20" t="inlineStr">
        <is>
          <t>IC Anionen</t>
        </is>
      </c>
      <c r="BA267" s="20" t="inlineStr">
        <is>
          <t>None</t>
        </is>
      </c>
      <c r="BB267" s="17" t="n"/>
      <c r="BC267" s="16" t="n"/>
      <c r="BD267" s="20" t="inlineStr">
        <is>
          <t>IC Kationen</t>
        </is>
      </c>
      <c r="BE267" s="20" t="inlineStr">
        <is>
          <t>None</t>
        </is>
      </c>
      <c r="BF267" s="17" t="n"/>
      <c r="BG267" s="16" t="n"/>
      <c r="BH267" s="20" t="inlineStr">
        <is>
          <t>IC Kationen</t>
        </is>
      </c>
      <c r="BI267" s="20" t="inlineStr">
        <is>
          <t>None</t>
        </is>
      </c>
      <c r="BJ267" s="17" t="n"/>
      <c r="BK267" s="16" t="n"/>
      <c r="BL267" s="20" t="inlineStr">
        <is>
          <t>IC Kationen</t>
        </is>
      </c>
      <c r="BM267" s="20" t="inlineStr">
        <is>
          <t>None</t>
        </is>
      </c>
      <c r="BN267" s="17" t="n"/>
      <c r="BO267" s="16" t="n"/>
      <c r="BP267" s="20" t="inlineStr">
        <is>
          <t>IC Kationen</t>
        </is>
      </c>
      <c r="BQ267" s="20" t="inlineStr">
        <is>
          <t>None</t>
        </is>
      </c>
      <c r="BR267" s="17" t="n"/>
      <c r="BS267" s="16" t="n"/>
      <c r="BT267" s="20" t="inlineStr">
        <is>
          <t>IC Kationen</t>
        </is>
      </c>
      <c r="BU267" s="20" t="inlineStr">
        <is>
          <t>None</t>
        </is>
      </c>
      <c r="BV267" s="17" t="n"/>
      <c r="BW267" s="16" t="n"/>
      <c r="BX267" s="20" t="n"/>
      <c r="BY267" s="20" t="inlineStr">
        <is>
          <t>None</t>
        </is>
      </c>
      <c r="BZ267" s="17" t="n"/>
      <c r="CA267" s="16" t="n"/>
      <c r="CB267" s="20" t="n"/>
      <c r="CC267" s="20" t="inlineStr">
        <is>
          <t>None</t>
        </is>
      </c>
      <c r="CD267" s="17" t="n"/>
      <c r="CE267" s="16" t="n"/>
      <c r="CF267" s="20" t="n"/>
      <c r="CG267" s="20" t="inlineStr">
        <is>
          <t>None</t>
        </is>
      </c>
      <c r="CH267" s="17" t="n"/>
      <c r="CI267" s="16" t="n"/>
      <c r="CJ267" s="20" t="n"/>
      <c r="CK267" s="20" t="inlineStr">
        <is>
          <t>None</t>
        </is>
      </c>
      <c r="CL267" s="17" t="n"/>
      <c r="CM267" s="16" t="n"/>
      <c r="CN267" s="20" t="inlineStr">
        <is>
          <t>SOP 45-34</t>
        </is>
      </c>
      <c r="CO267" s="20" t="inlineStr">
        <is>
          <t>None</t>
        </is>
      </c>
      <c r="CP267" s="17" t="n"/>
      <c r="CQ267" s="16" t="n"/>
      <c r="CR267" s="20" t="n"/>
      <c r="CS267" s="20" t="inlineStr">
        <is>
          <t>None</t>
        </is>
      </c>
      <c r="CT267" s="17" t="n"/>
      <c r="CU267" s="16" t="n"/>
      <c r="CV267" s="20" t="n"/>
      <c r="CW267" s="20" t="inlineStr">
        <is>
          <t>None</t>
        </is>
      </c>
      <c r="CX267" s="17" t="n"/>
      <c r="CY267" s="16" t="n"/>
      <c r="CZ267" s="20" t="inlineStr">
        <is>
          <t>WTW Multimeter 3430 with FDO 925</t>
        </is>
      </c>
      <c r="DA267" s="20" t="inlineStr">
        <is>
          <t>None</t>
        </is>
      </c>
      <c r="DB267" s="17" t="n"/>
      <c r="DC267" s="16" t="n"/>
      <c r="DD267" s="20" t="n"/>
      <c r="DE267" s="20" t="inlineStr">
        <is>
          <t>None</t>
        </is>
      </c>
      <c r="DF267" s="17" t="n"/>
      <c r="DG267" s="16" t="n"/>
      <c r="DH267" s="20" t="inlineStr">
        <is>
          <t>SOP 45-09</t>
        </is>
      </c>
      <c r="DI267" s="20" t="inlineStr">
        <is>
          <t>None</t>
        </is>
      </c>
      <c r="DJ267" s="17" t="n"/>
      <c r="DK267" s="16" t="n"/>
      <c r="DL267" s="20" t="inlineStr">
        <is>
          <t>SOP 45-09 (SOP muss noch angepasst werden für VSS)</t>
        </is>
      </c>
      <c r="DM267" s="20" t="inlineStr">
        <is>
          <t>None</t>
        </is>
      </c>
      <c r="DN267" s="17" t="n"/>
      <c r="DO267" s="16" t="n"/>
      <c r="DP267" s="20" t="inlineStr">
        <is>
          <t>IC Organic Acids</t>
        </is>
      </c>
      <c r="DQ267" s="20" t="inlineStr">
        <is>
          <t>None</t>
        </is>
      </c>
      <c r="DR267" s="17" t="n"/>
      <c r="DS267" s="16" t="n"/>
      <c r="DT267" s="20" t="inlineStr">
        <is>
          <t>IC Organic Acids</t>
        </is>
      </c>
      <c r="DU267" s="20" t="inlineStr">
        <is>
          <t>None</t>
        </is>
      </c>
      <c r="DV267" s="17" t="n"/>
      <c r="DW267" s="16" t="n"/>
      <c r="DX267" s="20" t="inlineStr">
        <is>
          <t>IC Organic Acids</t>
        </is>
      </c>
      <c r="DY267" s="20" t="inlineStr">
        <is>
          <t>None</t>
        </is>
      </c>
      <c r="DZ267" s="17" t="n"/>
      <c r="EA267" s="16" t="n"/>
      <c r="EB267" s="20" t="inlineStr">
        <is>
          <t>IC Organic Acids</t>
        </is>
      </c>
      <c r="EC267" s="20" t="inlineStr">
        <is>
          <t>None</t>
        </is>
      </c>
      <c r="ED267" s="17" t="n"/>
      <c r="EE267" s="16" t="n"/>
      <c r="EF267" s="20" t="inlineStr">
        <is>
          <t>IC Organic Acids</t>
        </is>
      </c>
      <c r="EG267" s="20" t="inlineStr">
        <is>
          <t>None</t>
        </is>
      </c>
      <c r="EH267" s="17" t="n"/>
      <c r="EI267" s="16" t="n"/>
      <c r="EJ267" s="20" t="inlineStr">
        <is>
          <t>IC Organic Acids</t>
        </is>
      </c>
      <c r="EK267" s="20" t="inlineStr">
        <is>
          <t>None</t>
        </is>
      </c>
      <c r="EL267" s="17" t="n"/>
      <c r="EM267" s="16" t="n"/>
      <c r="EN267" s="20" t="inlineStr">
        <is>
          <t>IC Organic Acids</t>
        </is>
      </c>
      <c r="EO267" s="20" t="inlineStr">
        <is>
          <t>None</t>
        </is>
      </c>
      <c r="EP267" s="17" t="n"/>
      <c r="EQ267" s="16" t="n"/>
      <c r="ER267" s="20" t="inlineStr">
        <is>
          <t>IC Organic Acids</t>
        </is>
      </c>
      <c r="ES267" s="20" t="inlineStr">
        <is>
          <t>None</t>
        </is>
      </c>
      <c r="ET267" s="17" t="n"/>
      <c r="EU267" s="16" t="n"/>
      <c r="EV267" s="20" t="inlineStr">
        <is>
          <t>LC-MS</t>
        </is>
      </c>
      <c r="EW267" s="20" t="inlineStr">
        <is>
          <t>None</t>
        </is>
      </c>
      <c r="EX267" s="17" t="n"/>
      <c r="EY267" s="21" t="n"/>
      <c r="EZ267">
        <f>CONCATENATE(A267,B267)</f>
        <v/>
      </c>
      <c r="FA267">
        <f>CONCATENATE(SamplesX!A267,SamplesX!B267)</f>
        <v/>
      </c>
      <c r="FC267">
        <f>MATCH(EZ267,FA1:FA1008,0)</f>
        <v/>
      </c>
    </row>
    <row r="268">
      <c r="A268" s="16" t="inlineStr">
        <is>
          <t>BP</t>
        </is>
      </c>
      <c r="B268" s="17" t="inlineStr">
        <is>
          <t>25260</t>
        </is>
      </c>
      <c r="C268" s="10">
        <f>IF(ISNUMBER(FC268),INDIRECT("SamplesX!C"&amp;FC268),IF(ISNUMBER(FD268),INDIRECT("SamplesY!C"&amp;FD268),""))</f>
        <v/>
      </c>
      <c r="D268" s="12">
        <f>IF(ISNUMBER(FC268),INDIRECT("SamplesX!D"&amp;FC268),IF(ISNUMBER(FD268),INDIRECT("SamplesY!D"&amp;FD268),""))</f>
        <v/>
      </c>
      <c r="E268" s="12">
        <f>IF(ISNUMBER(FC268),INDIRECT("SamplesX!E"&amp;FC268),IF(ISNUMBER(FD268),INDIRECT("SamplesY!E"&amp;FD268),""))</f>
        <v/>
      </c>
      <c r="F268" s="11">
        <f>IF(ISNUMBER(FC268),INDIRECT("SamplesX!F"&amp;FC268),IF(ISNUMBER(FD268),INDIRECT("SamplesY!F"&amp;FD268),""))</f>
        <v/>
      </c>
      <c r="G268" s="18">
        <f>IF(ISNUMBER(FC268),INDIRECT("SamplesX!G"&amp;FC268),IF(ISNUMBER(FD268),INDIRECT("SamplesY!G"&amp;FD268),""))</f>
        <v/>
      </c>
      <c r="H268" s="19">
        <f>IF(ISNUMBER(FC268),INDIRECT("SamplesX!H"&amp;FC268),IF(ISNUMBER(FD268),INDIRECT("SamplesY!H"&amp;FD268),""))</f>
        <v/>
      </c>
      <c r="I268" s="16" t="n"/>
      <c r="J268" s="16" t="n"/>
      <c r="K268" s="16" t="n"/>
      <c r="L268" s="20" t="n"/>
      <c r="M268" s="20" t="inlineStr">
        <is>
          <t>None</t>
        </is>
      </c>
      <c r="N268" s="17" t="n"/>
      <c r="O268" s="16" t="n"/>
      <c r="P268" s="20" t="inlineStr">
        <is>
          <t>Shimadzu TOC-L</t>
        </is>
      </c>
      <c r="Q268" s="20" t="inlineStr">
        <is>
          <t>None</t>
        </is>
      </c>
      <c r="R268" s="17" t="n"/>
      <c r="S268" s="16" t="n"/>
      <c r="T268" s="20" t="inlineStr">
        <is>
          <t>Shimadzu TOC-L</t>
        </is>
      </c>
      <c r="U268" s="20" t="inlineStr">
        <is>
          <t>None</t>
        </is>
      </c>
      <c r="V268" s="17" t="n"/>
      <c r="W268" s="16" t="n"/>
      <c r="X268" s="20" t="n"/>
      <c r="Y268" s="20" t="inlineStr">
        <is>
          <t>None</t>
        </is>
      </c>
      <c r="Z268" s="17" t="n"/>
      <c r="AA268" s="16" t="n"/>
      <c r="AB268" s="20" t="n"/>
      <c r="AC268" s="20" t="inlineStr">
        <is>
          <t>None</t>
        </is>
      </c>
      <c r="AD268" s="17" t="n"/>
      <c r="AE268" s="16" t="n"/>
      <c r="AF268" s="20" t="inlineStr">
        <is>
          <t>IC Anionen</t>
        </is>
      </c>
      <c r="AG268" s="20" t="inlineStr">
        <is>
          <t>None</t>
        </is>
      </c>
      <c r="AH268" s="17" t="n"/>
      <c r="AI268" s="16" t="n"/>
      <c r="AJ268" s="20" t="n"/>
      <c r="AK268" s="20" t="inlineStr">
        <is>
          <t>None</t>
        </is>
      </c>
      <c r="AL268" s="17" t="n"/>
      <c r="AM268" s="16" t="n"/>
      <c r="AN268" s="20" t="inlineStr">
        <is>
          <t>IC Anionen</t>
        </is>
      </c>
      <c r="AO268" s="20" t="inlineStr">
        <is>
          <t>None</t>
        </is>
      </c>
      <c r="AP268" s="17" t="n"/>
      <c r="AQ268" s="16" t="n"/>
      <c r="AR268" s="20" t="n"/>
      <c r="AS268" s="20" t="inlineStr">
        <is>
          <t>None</t>
        </is>
      </c>
      <c r="AT268" s="17" t="n"/>
      <c r="AU268" s="16" t="n"/>
      <c r="AV268" s="20" t="n"/>
      <c r="AW268" s="20" t="inlineStr">
        <is>
          <t>None</t>
        </is>
      </c>
      <c r="AX268" s="17" t="n"/>
      <c r="AY268" s="16" t="n"/>
      <c r="AZ268" s="20" t="inlineStr">
        <is>
          <t>IC Anionen</t>
        </is>
      </c>
      <c r="BA268" s="20" t="inlineStr">
        <is>
          <t>None</t>
        </is>
      </c>
      <c r="BB268" s="17" t="n"/>
      <c r="BC268" s="16" t="n"/>
      <c r="BD268" s="20" t="inlineStr">
        <is>
          <t>IC Kationen</t>
        </is>
      </c>
      <c r="BE268" s="20" t="inlineStr">
        <is>
          <t>None</t>
        </is>
      </c>
      <c r="BF268" s="17" t="n"/>
      <c r="BG268" s="16" t="n"/>
      <c r="BH268" s="20" t="inlineStr">
        <is>
          <t>IC Kationen</t>
        </is>
      </c>
      <c r="BI268" s="20" t="inlineStr">
        <is>
          <t>None</t>
        </is>
      </c>
      <c r="BJ268" s="17" t="n"/>
      <c r="BK268" s="16" t="n"/>
      <c r="BL268" s="20" t="inlineStr">
        <is>
          <t>IC Kationen</t>
        </is>
      </c>
      <c r="BM268" s="20" t="inlineStr">
        <is>
          <t>None</t>
        </is>
      </c>
      <c r="BN268" s="17" t="n"/>
      <c r="BO268" s="16" t="n"/>
      <c r="BP268" s="20" t="inlineStr">
        <is>
          <t>IC Kationen</t>
        </is>
      </c>
      <c r="BQ268" s="20" t="inlineStr">
        <is>
          <t>None</t>
        </is>
      </c>
      <c r="BR268" s="17" t="n"/>
      <c r="BS268" s="16" t="n"/>
      <c r="BT268" s="20" t="inlineStr">
        <is>
          <t>IC Kationen</t>
        </is>
      </c>
      <c r="BU268" s="20" t="inlineStr">
        <is>
          <t>None</t>
        </is>
      </c>
      <c r="BV268" s="17" t="n"/>
      <c r="BW268" s="16" t="n"/>
      <c r="BX268" s="20" t="n"/>
      <c r="BY268" s="20" t="inlineStr">
        <is>
          <t>None</t>
        </is>
      </c>
      <c r="BZ268" s="17" t="n"/>
      <c r="CA268" s="16" t="n"/>
      <c r="CB268" s="20" t="n"/>
      <c r="CC268" s="20" t="inlineStr">
        <is>
          <t>None</t>
        </is>
      </c>
      <c r="CD268" s="17" t="n"/>
      <c r="CE268" s="16" t="n"/>
      <c r="CF268" s="20" t="n"/>
      <c r="CG268" s="20" t="inlineStr">
        <is>
          <t>None</t>
        </is>
      </c>
      <c r="CH268" s="17" t="n"/>
      <c r="CI268" s="16" t="n"/>
      <c r="CJ268" s="20" t="n"/>
      <c r="CK268" s="20" t="inlineStr">
        <is>
          <t>None</t>
        </is>
      </c>
      <c r="CL268" s="17" t="n"/>
      <c r="CM268" s="16" t="n"/>
      <c r="CN268" s="20" t="inlineStr">
        <is>
          <t>SOP 45-34</t>
        </is>
      </c>
      <c r="CO268" s="20" t="inlineStr">
        <is>
          <t>None</t>
        </is>
      </c>
      <c r="CP268" s="17" t="n"/>
      <c r="CQ268" s="16" t="n"/>
      <c r="CR268" s="20" t="n"/>
      <c r="CS268" s="20" t="inlineStr">
        <is>
          <t>None</t>
        </is>
      </c>
      <c r="CT268" s="17" t="n"/>
      <c r="CU268" s="16" t="n"/>
      <c r="CV268" s="20" t="n"/>
      <c r="CW268" s="20" t="inlineStr">
        <is>
          <t>None</t>
        </is>
      </c>
      <c r="CX268" s="17" t="n"/>
      <c r="CY268" s="16" t="n"/>
      <c r="CZ268" s="20" t="inlineStr">
        <is>
          <t>WTW Multimeter 3430 with FDO 925</t>
        </is>
      </c>
      <c r="DA268" s="20" t="inlineStr">
        <is>
          <t>None</t>
        </is>
      </c>
      <c r="DB268" s="17" t="n"/>
      <c r="DC268" s="16" t="n"/>
      <c r="DD268" s="20" t="n"/>
      <c r="DE268" s="20" t="inlineStr">
        <is>
          <t>None</t>
        </is>
      </c>
      <c r="DF268" s="17" t="n"/>
      <c r="DG268" s="16" t="n"/>
      <c r="DH268" s="20" t="inlineStr">
        <is>
          <t>SOP 45-09</t>
        </is>
      </c>
      <c r="DI268" s="20" t="inlineStr">
        <is>
          <t>None</t>
        </is>
      </c>
      <c r="DJ268" s="17" t="n"/>
      <c r="DK268" s="16" t="n"/>
      <c r="DL268" s="20" t="inlineStr">
        <is>
          <t>SOP 45-09 (SOP muss noch angepasst werden für VSS)</t>
        </is>
      </c>
      <c r="DM268" s="20" t="inlineStr">
        <is>
          <t>None</t>
        </is>
      </c>
      <c r="DN268" s="17" t="n"/>
      <c r="DO268" s="16" t="n"/>
      <c r="DP268" s="20" t="inlineStr">
        <is>
          <t>IC Organic Acids</t>
        </is>
      </c>
      <c r="DQ268" s="20" t="inlineStr">
        <is>
          <t>None</t>
        </is>
      </c>
      <c r="DR268" s="17" t="n"/>
      <c r="DS268" s="16" t="n"/>
      <c r="DT268" s="20" t="inlineStr">
        <is>
          <t>IC Organic Acids</t>
        </is>
      </c>
      <c r="DU268" s="20" t="inlineStr">
        <is>
          <t>None</t>
        </is>
      </c>
      <c r="DV268" s="17" t="n"/>
      <c r="DW268" s="16" t="n"/>
      <c r="DX268" s="20" t="inlineStr">
        <is>
          <t>IC Organic Acids</t>
        </is>
      </c>
      <c r="DY268" s="20" t="inlineStr">
        <is>
          <t>None</t>
        </is>
      </c>
      <c r="DZ268" s="17" t="n"/>
      <c r="EA268" s="16" t="n"/>
      <c r="EB268" s="20" t="inlineStr">
        <is>
          <t>IC Organic Acids</t>
        </is>
      </c>
      <c r="EC268" s="20" t="inlineStr">
        <is>
          <t>None</t>
        </is>
      </c>
      <c r="ED268" s="17" t="n"/>
      <c r="EE268" s="16" t="n"/>
      <c r="EF268" s="20" t="inlineStr">
        <is>
          <t>IC Organic Acids</t>
        </is>
      </c>
      <c r="EG268" s="20" t="inlineStr">
        <is>
          <t>None</t>
        </is>
      </c>
      <c r="EH268" s="17" t="n"/>
      <c r="EI268" s="16" t="n"/>
      <c r="EJ268" s="20" t="inlineStr">
        <is>
          <t>IC Organic Acids</t>
        </is>
      </c>
      <c r="EK268" s="20" t="inlineStr">
        <is>
          <t>None</t>
        </is>
      </c>
      <c r="EL268" s="17" t="n"/>
      <c r="EM268" s="16" t="n"/>
      <c r="EN268" s="20" t="inlineStr">
        <is>
          <t>IC Organic Acids</t>
        </is>
      </c>
      <c r="EO268" s="20" t="inlineStr">
        <is>
          <t>None</t>
        </is>
      </c>
      <c r="EP268" s="17" t="n"/>
      <c r="EQ268" s="16" t="n"/>
      <c r="ER268" s="20" t="inlineStr">
        <is>
          <t>IC Organic Acids</t>
        </is>
      </c>
      <c r="ES268" s="20" t="inlineStr">
        <is>
          <t>None</t>
        </is>
      </c>
      <c r="ET268" s="17" t="n"/>
      <c r="EU268" s="16" t="n"/>
      <c r="EV268" s="20" t="inlineStr">
        <is>
          <t>LC-MS</t>
        </is>
      </c>
      <c r="EW268" s="20" t="inlineStr">
        <is>
          <t>None</t>
        </is>
      </c>
      <c r="EX268" s="17" t="n"/>
      <c r="EY268" s="21" t="n"/>
      <c r="EZ268">
        <f>CONCATENATE(A268,B268)</f>
        <v/>
      </c>
      <c r="FA268">
        <f>CONCATENATE(SamplesX!A268,SamplesX!B268)</f>
        <v/>
      </c>
      <c r="FC268">
        <f>MATCH(EZ268,FA1:FA1008,0)</f>
        <v/>
      </c>
    </row>
    <row r="269">
      <c r="A269" s="16" t="inlineStr">
        <is>
          <t>BP</t>
        </is>
      </c>
      <c r="B269" s="17" t="inlineStr">
        <is>
          <t>25261</t>
        </is>
      </c>
      <c r="C269" s="10">
        <f>IF(ISNUMBER(FC269),INDIRECT("SamplesX!C"&amp;FC269),IF(ISNUMBER(FD269),INDIRECT("SamplesY!C"&amp;FD269),""))</f>
        <v/>
      </c>
      <c r="D269" s="12">
        <f>IF(ISNUMBER(FC269),INDIRECT("SamplesX!D"&amp;FC269),IF(ISNUMBER(FD269),INDIRECT("SamplesY!D"&amp;FD269),""))</f>
        <v/>
      </c>
      <c r="E269" s="12">
        <f>IF(ISNUMBER(FC269),INDIRECT("SamplesX!E"&amp;FC269),IF(ISNUMBER(FD269),INDIRECT("SamplesY!E"&amp;FD269),""))</f>
        <v/>
      </c>
      <c r="F269" s="11">
        <f>IF(ISNUMBER(FC269),INDIRECT("SamplesX!F"&amp;FC269),IF(ISNUMBER(FD269),INDIRECT("SamplesY!F"&amp;FD269),""))</f>
        <v/>
      </c>
      <c r="G269" s="18">
        <f>IF(ISNUMBER(FC269),INDIRECT("SamplesX!G"&amp;FC269),IF(ISNUMBER(FD269),INDIRECT("SamplesY!G"&amp;FD269),""))</f>
        <v/>
      </c>
      <c r="H269" s="19">
        <f>IF(ISNUMBER(FC269),INDIRECT("SamplesX!H"&amp;FC269),IF(ISNUMBER(FD269),INDIRECT("SamplesY!H"&amp;FD269),""))</f>
        <v/>
      </c>
      <c r="I269" s="16" t="n"/>
      <c r="J269" s="16" t="n"/>
      <c r="K269" s="16" t="n"/>
      <c r="L269" s="20" t="n"/>
      <c r="M269" s="20" t="inlineStr">
        <is>
          <t>None</t>
        </is>
      </c>
      <c r="N269" s="17" t="n"/>
      <c r="O269" s="16" t="n"/>
      <c r="P269" s="20" t="inlineStr">
        <is>
          <t>Shimadzu TOC-L</t>
        </is>
      </c>
      <c r="Q269" s="20" t="inlineStr">
        <is>
          <t>None</t>
        </is>
      </c>
      <c r="R269" s="17" t="n"/>
      <c r="S269" s="16" t="n"/>
      <c r="T269" s="20" t="inlineStr">
        <is>
          <t>Shimadzu TOC-L</t>
        </is>
      </c>
      <c r="U269" s="20" t="inlineStr">
        <is>
          <t>None</t>
        </is>
      </c>
      <c r="V269" s="17" t="n"/>
      <c r="W269" s="16" t="n"/>
      <c r="X269" s="20" t="n"/>
      <c r="Y269" s="20" t="inlineStr">
        <is>
          <t>None</t>
        </is>
      </c>
      <c r="Z269" s="17" t="n"/>
      <c r="AA269" s="16" t="n"/>
      <c r="AB269" s="20" t="n"/>
      <c r="AC269" s="20" t="inlineStr">
        <is>
          <t>None</t>
        </is>
      </c>
      <c r="AD269" s="17" t="n"/>
      <c r="AE269" s="16" t="n"/>
      <c r="AF269" s="20" t="inlineStr">
        <is>
          <t>IC Anionen</t>
        </is>
      </c>
      <c r="AG269" s="20" t="inlineStr">
        <is>
          <t>None</t>
        </is>
      </c>
      <c r="AH269" s="17" t="n"/>
      <c r="AI269" s="16" t="n"/>
      <c r="AJ269" s="20" t="n"/>
      <c r="AK269" s="20" t="inlineStr">
        <is>
          <t>None</t>
        </is>
      </c>
      <c r="AL269" s="17" t="n"/>
      <c r="AM269" s="16" t="n"/>
      <c r="AN269" s="20" t="inlineStr">
        <is>
          <t>IC Anionen</t>
        </is>
      </c>
      <c r="AO269" s="20" t="inlineStr">
        <is>
          <t>None</t>
        </is>
      </c>
      <c r="AP269" s="17" t="n"/>
      <c r="AQ269" s="16" t="n"/>
      <c r="AR269" s="20" t="n"/>
      <c r="AS269" s="20" t="inlineStr">
        <is>
          <t>None</t>
        </is>
      </c>
      <c r="AT269" s="17" t="n"/>
      <c r="AU269" s="16" t="n"/>
      <c r="AV269" s="20" t="n"/>
      <c r="AW269" s="20" t="inlineStr">
        <is>
          <t>None</t>
        </is>
      </c>
      <c r="AX269" s="17" t="n"/>
      <c r="AY269" s="16" t="n"/>
      <c r="AZ269" s="20" t="inlineStr">
        <is>
          <t>IC Anionen</t>
        </is>
      </c>
      <c r="BA269" s="20" t="inlineStr">
        <is>
          <t>None</t>
        </is>
      </c>
      <c r="BB269" s="17" t="n"/>
      <c r="BC269" s="16" t="n"/>
      <c r="BD269" s="20" t="inlineStr">
        <is>
          <t>IC Kationen</t>
        </is>
      </c>
      <c r="BE269" s="20" t="inlineStr">
        <is>
          <t>None</t>
        </is>
      </c>
      <c r="BF269" s="17" t="n"/>
      <c r="BG269" s="16" t="n"/>
      <c r="BH269" s="20" t="inlineStr">
        <is>
          <t>IC Kationen</t>
        </is>
      </c>
      <c r="BI269" s="20" t="inlineStr">
        <is>
          <t>None</t>
        </is>
      </c>
      <c r="BJ269" s="17" t="n"/>
      <c r="BK269" s="16" t="n"/>
      <c r="BL269" s="20" t="inlineStr">
        <is>
          <t>IC Kationen</t>
        </is>
      </c>
      <c r="BM269" s="20" t="inlineStr">
        <is>
          <t>None</t>
        </is>
      </c>
      <c r="BN269" s="17" t="n"/>
      <c r="BO269" s="16" t="n"/>
      <c r="BP269" s="20" t="inlineStr">
        <is>
          <t>IC Kationen</t>
        </is>
      </c>
      <c r="BQ269" s="20" t="inlineStr">
        <is>
          <t>None</t>
        </is>
      </c>
      <c r="BR269" s="17" t="n"/>
      <c r="BS269" s="16" t="n"/>
      <c r="BT269" s="20" t="inlineStr">
        <is>
          <t>IC Kationen</t>
        </is>
      </c>
      <c r="BU269" s="20" t="inlineStr">
        <is>
          <t>None</t>
        </is>
      </c>
      <c r="BV269" s="17" t="n"/>
      <c r="BW269" s="16" t="n"/>
      <c r="BX269" s="20" t="n"/>
      <c r="BY269" s="20" t="inlineStr">
        <is>
          <t>None</t>
        </is>
      </c>
      <c r="BZ269" s="17" t="n"/>
      <c r="CA269" s="16" t="n"/>
      <c r="CB269" s="20" t="n"/>
      <c r="CC269" s="20" t="inlineStr">
        <is>
          <t>None</t>
        </is>
      </c>
      <c r="CD269" s="17" t="n"/>
      <c r="CE269" s="16" t="n"/>
      <c r="CF269" s="20" t="n"/>
      <c r="CG269" s="20" t="inlineStr">
        <is>
          <t>None</t>
        </is>
      </c>
      <c r="CH269" s="17" t="n"/>
      <c r="CI269" s="16" t="n"/>
      <c r="CJ269" s="20" t="n"/>
      <c r="CK269" s="20" t="inlineStr">
        <is>
          <t>None</t>
        </is>
      </c>
      <c r="CL269" s="17" t="n"/>
      <c r="CM269" s="16" t="n"/>
      <c r="CN269" s="20" t="inlineStr">
        <is>
          <t>SOP 45-34</t>
        </is>
      </c>
      <c r="CO269" s="20" t="inlineStr">
        <is>
          <t>None</t>
        </is>
      </c>
      <c r="CP269" s="17" t="n"/>
      <c r="CQ269" s="16" t="n"/>
      <c r="CR269" s="20" t="n"/>
      <c r="CS269" s="20" t="inlineStr">
        <is>
          <t>None</t>
        </is>
      </c>
      <c r="CT269" s="17" t="n"/>
      <c r="CU269" s="16" t="n"/>
      <c r="CV269" s="20" t="n"/>
      <c r="CW269" s="20" t="inlineStr">
        <is>
          <t>None</t>
        </is>
      </c>
      <c r="CX269" s="17" t="n"/>
      <c r="CY269" s="16" t="n"/>
      <c r="CZ269" s="20" t="inlineStr">
        <is>
          <t>WTW Multimeter 3430 with FDO 925</t>
        </is>
      </c>
      <c r="DA269" s="20" t="inlineStr">
        <is>
          <t>None</t>
        </is>
      </c>
      <c r="DB269" s="17" t="n"/>
      <c r="DC269" s="16" t="n"/>
      <c r="DD269" s="20" t="n"/>
      <c r="DE269" s="20" t="inlineStr">
        <is>
          <t>None</t>
        </is>
      </c>
      <c r="DF269" s="17" t="n"/>
      <c r="DG269" s="16" t="n"/>
      <c r="DH269" s="20" t="inlineStr">
        <is>
          <t>SOP 45-09</t>
        </is>
      </c>
      <c r="DI269" s="20" t="inlineStr">
        <is>
          <t>None</t>
        </is>
      </c>
      <c r="DJ269" s="17" t="n"/>
      <c r="DK269" s="16" t="n"/>
      <c r="DL269" s="20" t="inlineStr">
        <is>
          <t>SOP 45-09 (SOP muss noch angepasst werden für VSS)</t>
        </is>
      </c>
      <c r="DM269" s="20" t="inlineStr">
        <is>
          <t>None</t>
        </is>
      </c>
      <c r="DN269" s="17" t="n"/>
      <c r="DO269" s="16" t="n"/>
      <c r="DP269" s="20" t="inlineStr">
        <is>
          <t>IC Organic Acids</t>
        </is>
      </c>
      <c r="DQ269" s="20" t="inlineStr">
        <is>
          <t>None</t>
        </is>
      </c>
      <c r="DR269" s="17" t="n"/>
      <c r="DS269" s="16" t="n"/>
      <c r="DT269" s="20" t="inlineStr">
        <is>
          <t>IC Organic Acids</t>
        </is>
      </c>
      <c r="DU269" s="20" t="inlineStr">
        <is>
          <t>None</t>
        </is>
      </c>
      <c r="DV269" s="17" t="n"/>
      <c r="DW269" s="16" t="n"/>
      <c r="DX269" s="20" t="inlineStr">
        <is>
          <t>IC Organic Acids</t>
        </is>
      </c>
      <c r="DY269" s="20" t="inlineStr">
        <is>
          <t>None</t>
        </is>
      </c>
      <c r="DZ269" s="17" t="n"/>
      <c r="EA269" s="16" t="n"/>
      <c r="EB269" s="20" t="inlineStr">
        <is>
          <t>IC Organic Acids</t>
        </is>
      </c>
      <c r="EC269" s="20" t="inlineStr">
        <is>
          <t>None</t>
        </is>
      </c>
      <c r="ED269" s="17" t="n"/>
      <c r="EE269" s="16" t="n"/>
      <c r="EF269" s="20" t="inlineStr">
        <is>
          <t>IC Organic Acids</t>
        </is>
      </c>
      <c r="EG269" s="20" t="inlineStr">
        <is>
          <t>None</t>
        </is>
      </c>
      <c r="EH269" s="17" t="n"/>
      <c r="EI269" s="16" t="n"/>
      <c r="EJ269" s="20" t="inlineStr">
        <is>
          <t>IC Organic Acids</t>
        </is>
      </c>
      <c r="EK269" s="20" t="inlineStr">
        <is>
          <t>None</t>
        </is>
      </c>
      <c r="EL269" s="17" t="n"/>
      <c r="EM269" s="16" t="n"/>
      <c r="EN269" s="20" t="inlineStr">
        <is>
          <t>IC Organic Acids</t>
        </is>
      </c>
      <c r="EO269" s="20" t="inlineStr">
        <is>
          <t>None</t>
        </is>
      </c>
      <c r="EP269" s="17" t="n"/>
      <c r="EQ269" s="16" t="n"/>
      <c r="ER269" s="20" t="inlineStr">
        <is>
          <t>IC Organic Acids</t>
        </is>
      </c>
      <c r="ES269" s="20" t="inlineStr">
        <is>
          <t>None</t>
        </is>
      </c>
      <c r="ET269" s="17" t="n"/>
      <c r="EU269" s="16" t="n"/>
      <c r="EV269" s="20" t="inlineStr">
        <is>
          <t>LC-MS</t>
        </is>
      </c>
      <c r="EW269" s="20" t="inlineStr">
        <is>
          <t>None</t>
        </is>
      </c>
      <c r="EX269" s="17" t="n"/>
      <c r="EY269" s="21" t="n"/>
      <c r="EZ269">
        <f>CONCATENATE(A269,B269)</f>
        <v/>
      </c>
      <c r="FA269">
        <f>CONCATENATE(SamplesX!A269,SamplesX!B269)</f>
        <v/>
      </c>
      <c r="FC269">
        <f>MATCH(EZ269,FA1:FA1008,0)</f>
        <v/>
      </c>
    </row>
    <row r="270">
      <c r="A270" s="16" t="inlineStr">
        <is>
          <t>BP</t>
        </is>
      </c>
      <c r="B270" s="17" t="inlineStr">
        <is>
          <t>25262</t>
        </is>
      </c>
      <c r="C270" s="10">
        <f>IF(ISNUMBER(FC270),INDIRECT("SamplesX!C"&amp;FC270),IF(ISNUMBER(FD270),INDIRECT("SamplesY!C"&amp;FD270),""))</f>
        <v/>
      </c>
      <c r="D270" s="12">
        <f>IF(ISNUMBER(FC270),INDIRECT("SamplesX!D"&amp;FC270),IF(ISNUMBER(FD270),INDIRECT("SamplesY!D"&amp;FD270),""))</f>
        <v/>
      </c>
      <c r="E270" s="12">
        <f>IF(ISNUMBER(FC270),INDIRECT("SamplesX!E"&amp;FC270),IF(ISNUMBER(FD270),INDIRECT("SamplesY!E"&amp;FD270),""))</f>
        <v/>
      </c>
      <c r="F270" s="11">
        <f>IF(ISNUMBER(FC270),INDIRECT("SamplesX!F"&amp;FC270),IF(ISNUMBER(FD270),INDIRECT("SamplesY!F"&amp;FD270),""))</f>
        <v/>
      </c>
      <c r="G270" s="18">
        <f>IF(ISNUMBER(FC270),INDIRECT("SamplesX!G"&amp;FC270),IF(ISNUMBER(FD270),INDIRECT("SamplesY!G"&amp;FD270),""))</f>
        <v/>
      </c>
      <c r="H270" s="19">
        <f>IF(ISNUMBER(FC270),INDIRECT("SamplesX!H"&amp;FC270),IF(ISNUMBER(FD270),INDIRECT("SamplesY!H"&amp;FD270),""))</f>
        <v/>
      </c>
      <c r="I270" s="16" t="n"/>
      <c r="J270" s="16" t="n"/>
      <c r="K270" s="16" t="n"/>
      <c r="L270" s="20" t="n"/>
      <c r="M270" s="20" t="inlineStr">
        <is>
          <t>None</t>
        </is>
      </c>
      <c r="N270" s="17" t="n"/>
      <c r="O270" s="16" t="n"/>
      <c r="P270" s="20" t="inlineStr">
        <is>
          <t>Shimadzu TOC-L</t>
        </is>
      </c>
      <c r="Q270" s="20" t="inlineStr">
        <is>
          <t>None</t>
        </is>
      </c>
      <c r="R270" s="17" t="n"/>
      <c r="S270" s="16" t="n"/>
      <c r="T270" s="20" t="inlineStr">
        <is>
          <t>Shimadzu TOC-L</t>
        </is>
      </c>
      <c r="U270" s="20" t="inlineStr">
        <is>
          <t>None</t>
        </is>
      </c>
      <c r="V270" s="17" t="n"/>
      <c r="W270" s="16" t="n"/>
      <c r="X270" s="20" t="n"/>
      <c r="Y270" s="20" t="inlineStr">
        <is>
          <t>None</t>
        </is>
      </c>
      <c r="Z270" s="17" t="n"/>
      <c r="AA270" s="16" t="n"/>
      <c r="AB270" s="20" t="n"/>
      <c r="AC270" s="20" t="inlineStr">
        <is>
          <t>None</t>
        </is>
      </c>
      <c r="AD270" s="17" t="n"/>
      <c r="AE270" s="16" t="n"/>
      <c r="AF270" s="20" t="inlineStr">
        <is>
          <t>IC Anionen</t>
        </is>
      </c>
      <c r="AG270" s="20" t="inlineStr">
        <is>
          <t>None</t>
        </is>
      </c>
      <c r="AH270" s="17" t="n"/>
      <c r="AI270" s="16" t="n"/>
      <c r="AJ270" s="20" t="n"/>
      <c r="AK270" s="20" t="inlineStr">
        <is>
          <t>None</t>
        </is>
      </c>
      <c r="AL270" s="17" t="n"/>
      <c r="AM270" s="16" t="n"/>
      <c r="AN270" s="20" t="inlineStr">
        <is>
          <t>IC Anionen</t>
        </is>
      </c>
      <c r="AO270" s="20" t="inlineStr">
        <is>
          <t>None</t>
        </is>
      </c>
      <c r="AP270" s="17" t="n"/>
      <c r="AQ270" s="16" t="n"/>
      <c r="AR270" s="20" t="n"/>
      <c r="AS270" s="20" t="inlineStr">
        <is>
          <t>None</t>
        </is>
      </c>
      <c r="AT270" s="17" t="n"/>
      <c r="AU270" s="16" t="n"/>
      <c r="AV270" s="20" t="n"/>
      <c r="AW270" s="20" t="inlineStr">
        <is>
          <t>None</t>
        </is>
      </c>
      <c r="AX270" s="17" t="n"/>
      <c r="AY270" s="16" t="n"/>
      <c r="AZ270" s="20" t="inlineStr">
        <is>
          <t>IC Anionen</t>
        </is>
      </c>
      <c r="BA270" s="20" t="inlineStr">
        <is>
          <t>None</t>
        </is>
      </c>
      <c r="BB270" s="17" t="n"/>
      <c r="BC270" s="16" t="n"/>
      <c r="BD270" s="20" t="inlineStr">
        <is>
          <t>IC Kationen</t>
        </is>
      </c>
      <c r="BE270" s="20" t="inlineStr">
        <is>
          <t>None</t>
        </is>
      </c>
      <c r="BF270" s="17" t="n"/>
      <c r="BG270" s="16" t="n"/>
      <c r="BH270" s="20" t="inlineStr">
        <is>
          <t>IC Kationen</t>
        </is>
      </c>
      <c r="BI270" s="20" t="inlineStr">
        <is>
          <t>None</t>
        </is>
      </c>
      <c r="BJ270" s="17" t="n"/>
      <c r="BK270" s="16" t="n"/>
      <c r="BL270" s="20" t="inlineStr">
        <is>
          <t>IC Kationen</t>
        </is>
      </c>
      <c r="BM270" s="20" t="inlineStr">
        <is>
          <t>None</t>
        </is>
      </c>
      <c r="BN270" s="17" t="n"/>
      <c r="BO270" s="16" t="n"/>
      <c r="BP270" s="20" t="inlineStr">
        <is>
          <t>IC Kationen</t>
        </is>
      </c>
      <c r="BQ270" s="20" t="inlineStr">
        <is>
          <t>None</t>
        </is>
      </c>
      <c r="BR270" s="17" t="n"/>
      <c r="BS270" s="16" t="n"/>
      <c r="BT270" s="20" t="inlineStr">
        <is>
          <t>IC Kationen</t>
        </is>
      </c>
      <c r="BU270" s="20" t="inlineStr">
        <is>
          <t>None</t>
        </is>
      </c>
      <c r="BV270" s="17" t="n"/>
      <c r="BW270" s="16" t="n"/>
      <c r="BX270" s="20" t="n"/>
      <c r="BY270" s="20" t="inlineStr">
        <is>
          <t>None</t>
        </is>
      </c>
      <c r="BZ270" s="17" t="n"/>
      <c r="CA270" s="16" t="n"/>
      <c r="CB270" s="20" t="n"/>
      <c r="CC270" s="20" t="inlineStr">
        <is>
          <t>None</t>
        </is>
      </c>
      <c r="CD270" s="17" t="n"/>
      <c r="CE270" s="16" t="n"/>
      <c r="CF270" s="20" t="n"/>
      <c r="CG270" s="20" t="inlineStr">
        <is>
          <t>None</t>
        </is>
      </c>
      <c r="CH270" s="17" t="n"/>
      <c r="CI270" s="16" t="n"/>
      <c r="CJ270" s="20" t="n"/>
      <c r="CK270" s="20" t="inlineStr">
        <is>
          <t>None</t>
        </is>
      </c>
      <c r="CL270" s="17" t="n"/>
      <c r="CM270" s="16" t="n"/>
      <c r="CN270" s="20" t="inlineStr">
        <is>
          <t>SOP 45-34</t>
        </is>
      </c>
      <c r="CO270" s="20" t="inlineStr">
        <is>
          <t>None</t>
        </is>
      </c>
      <c r="CP270" s="17" t="n"/>
      <c r="CQ270" s="16" t="n"/>
      <c r="CR270" s="20" t="n"/>
      <c r="CS270" s="20" t="inlineStr">
        <is>
          <t>None</t>
        </is>
      </c>
      <c r="CT270" s="17" t="n"/>
      <c r="CU270" s="16" t="n"/>
      <c r="CV270" s="20" t="n"/>
      <c r="CW270" s="20" t="inlineStr">
        <is>
          <t>None</t>
        </is>
      </c>
      <c r="CX270" s="17" t="n"/>
      <c r="CY270" s="16" t="n"/>
      <c r="CZ270" s="20" t="inlineStr">
        <is>
          <t>WTW Multimeter 3430 with FDO 925</t>
        </is>
      </c>
      <c r="DA270" s="20" t="inlineStr">
        <is>
          <t>None</t>
        </is>
      </c>
      <c r="DB270" s="17" t="n"/>
      <c r="DC270" s="16" t="n"/>
      <c r="DD270" s="20" t="n"/>
      <c r="DE270" s="20" t="inlineStr">
        <is>
          <t>None</t>
        </is>
      </c>
      <c r="DF270" s="17" t="n"/>
      <c r="DG270" s="16" t="n"/>
      <c r="DH270" s="20" t="inlineStr">
        <is>
          <t>SOP 45-09</t>
        </is>
      </c>
      <c r="DI270" s="20" t="inlineStr">
        <is>
          <t>None</t>
        </is>
      </c>
      <c r="DJ270" s="17" t="n"/>
      <c r="DK270" s="16" t="n"/>
      <c r="DL270" s="20" t="inlineStr">
        <is>
          <t>SOP 45-09 (SOP muss noch angepasst werden für VSS)</t>
        </is>
      </c>
      <c r="DM270" s="20" t="inlineStr">
        <is>
          <t>None</t>
        </is>
      </c>
      <c r="DN270" s="17" t="n"/>
      <c r="DO270" s="16" t="n"/>
      <c r="DP270" s="20" t="inlineStr">
        <is>
          <t>IC Organic Acids</t>
        </is>
      </c>
      <c r="DQ270" s="20" t="inlineStr">
        <is>
          <t>None</t>
        </is>
      </c>
      <c r="DR270" s="17" t="n"/>
      <c r="DS270" s="16" t="n"/>
      <c r="DT270" s="20" t="inlineStr">
        <is>
          <t>IC Organic Acids</t>
        </is>
      </c>
      <c r="DU270" s="20" t="inlineStr">
        <is>
          <t>None</t>
        </is>
      </c>
      <c r="DV270" s="17" t="n"/>
      <c r="DW270" s="16" t="n"/>
      <c r="DX270" s="20" t="inlineStr">
        <is>
          <t>IC Organic Acids</t>
        </is>
      </c>
      <c r="DY270" s="20" t="inlineStr">
        <is>
          <t>None</t>
        </is>
      </c>
      <c r="DZ270" s="17" t="n"/>
      <c r="EA270" s="16" t="n"/>
      <c r="EB270" s="20" t="inlineStr">
        <is>
          <t>IC Organic Acids</t>
        </is>
      </c>
      <c r="EC270" s="20" t="inlineStr">
        <is>
          <t>None</t>
        </is>
      </c>
      <c r="ED270" s="17" t="n"/>
      <c r="EE270" s="16" t="n"/>
      <c r="EF270" s="20" t="inlineStr">
        <is>
          <t>IC Organic Acids</t>
        </is>
      </c>
      <c r="EG270" s="20" t="inlineStr">
        <is>
          <t>None</t>
        </is>
      </c>
      <c r="EH270" s="17" t="n"/>
      <c r="EI270" s="16" t="n"/>
      <c r="EJ270" s="20" t="inlineStr">
        <is>
          <t>IC Organic Acids</t>
        </is>
      </c>
      <c r="EK270" s="20" t="inlineStr">
        <is>
          <t>None</t>
        </is>
      </c>
      <c r="EL270" s="17" t="n"/>
      <c r="EM270" s="16" t="n"/>
      <c r="EN270" s="20" t="inlineStr">
        <is>
          <t>IC Organic Acids</t>
        </is>
      </c>
      <c r="EO270" s="20" t="inlineStr">
        <is>
          <t>None</t>
        </is>
      </c>
      <c r="EP270" s="17" t="n"/>
      <c r="EQ270" s="16" t="n"/>
      <c r="ER270" s="20" t="inlineStr">
        <is>
          <t>IC Organic Acids</t>
        </is>
      </c>
      <c r="ES270" s="20" t="inlineStr">
        <is>
          <t>None</t>
        </is>
      </c>
      <c r="ET270" s="17" t="n"/>
      <c r="EU270" s="16" t="n"/>
      <c r="EV270" s="20" t="inlineStr">
        <is>
          <t>LC-MS</t>
        </is>
      </c>
      <c r="EW270" s="20" t="inlineStr">
        <is>
          <t>None</t>
        </is>
      </c>
      <c r="EX270" s="17" t="n"/>
      <c r="EY270" s="21" t="n"/>
      <c r="EZ270">
        <f>CONCATENATE(A270,B270)</f>
        <v/>
      </c>
      <c r="FA270">
        <f>CONCATENATE(SamplesX!A270,SamplesX!B270)</f>
        <v/>
      </c>
      <c r="FC270">
        <f>MATCH(EZ270,FA1:FA1008,0)</f>
        <v/>
      </c>
    </row>
    <row r="271">
      <c r="A271" s="16" t="inlineStr">
        <is>
          <t>BP</t>
        </is>
      </c>
      <c r="B271" s="17" t="inlineStr">
        <is>
          <t>25263</t>
        </is>
      </c>
      <c r="C271" s="10">
        <f>IF(ISNUMBER(FC271),INDIRECT("SamplesX!C"&amp;FC271),IF(ISNUMBER(FD271),INDIRECT("SamplesY!C"&amp;FD271),""))</f>
        <v/>
      </c>
      <c r="D271" s="12">
        <f>IF(ISNUMBER(FC271),INDIRECT("SamplesX!D"&amp;FC271),IF(ISNUMBER(FD271),INDIRECT("SamplesY!D"&amp;FD271),""))</f>
        <v/>
      </c>
      <c r="E271" s="12">
        <f>IF(ISNUMBER(FC271),INDIRECT("SamplesX!E"&amp;FC271),IF(ISNUMBER(FD271),INDIRECT("SamplesY!E"&amp;FD271),""))</f>
        <v/>
      </c>
      <c r="F271" s="11">
        <f>IF(ISNUMBER(FC271),INDIRECT("SamplesX!F"&amp;FC271),IF(ISNUMBER(FD271),INDIRECT("SamplesY!F"&amp;FD271),""))</f>
        <v/>
      </c>
      <c r="G271" s="18">
        <f>IF(ISNUMBER(FC271),INDIRECT("SamplesX!G"&amp;FC271),IF(ISNUMBER(FD271),INDIRECT("SamplesY!G"&amp;FD271),""))</f>
        <v/>
      </c>
      <c r="H271" s="19">
        <f>IF(ISNUMBER(FC271),INDIRECT("SamplesX!H"&amp;FC271),IF(ISNUMBER(FD271),INDIRECT("SamplesY!H"&amp;FD271),""))</f>
        <v/>
      </c>
      <c r="I271" s="16" t="n"/>
      <c r="J271" s="16" t="n"/>
      <c r="K271" s="16" t="n"/>
      <c r="L271" s="20" t="n"/>
      <c r="M271" s="20" t="inlineStr">
        <is>
          <t>None</t>
        </is>
      </c>
      <c r="N271" s="17" t="n"/>
      <c r="O271" s="16" t="n"/>
      <c r="P271" s="20" t="inlineStr">
        <is>
          <t>Shimadzu TOC-L</t>
        </is>
      </c>
      <c r="Q271" s="20" t="inlineStr">
        <is>
          <t>None</t>
        </is>
      </c>
      <c r="R271" s="17" t="n"/>
      <c r="S271" s="16" t="n"/>
      <c r="T271" s="20" t="inlineStr">
        <is>
          <t>Shimadzu TOC-L</t>
        </is>
      </c>
      <c r="U271" s="20" t="inlineStr">
        <is>
          <t>None</t>
        </is>
      </c>
      <c r="V271" s="17" t="n"/>
      <c r="W271" s="16" t="n"/>
      <c r="X271" s="20" t="n"/>
      <c r="Y271" s="20" t="inlineStr">
        <is>
          <t>None</t>
        </is>
      </c>
      <c r="Z271" s="17" t="n"/>
      <c r="AA271" s="16" t="n"/>
      <c r="AB271" s="20" t="n"/>
      <c r="AC271" s="20" t="inlineStr">
        <is>
          <t>None</t>
        </is>
      </c>
      <c r="AD271" s="17" t="n"/>
      <c r="AE271" s="16" t="n"/>
      <c r="AF271" s="20" t="inlineStr">
        <is>
          <t>IC Anionen</t>
        </is>
      </c>
      <c r="AG271" s="20" t="inlineStr">
        <is>
          <t>None</t>
        </is>
      </c>
      <c r="AH271" s="17" t="n"/>
      <c r="AI271" s="16" t="n"/>
      <c r="AJ271" s="20" t="n"/>
      <c r="AK271" s="20" t="inlineStr">
        <is>
          <t>None</t>
        </is>
      </c>
      <c r="AL271" s="17" t="n"/>
      <c r="AM271" s="16" t="n"/>
      <c r="AN271" s="20" t="inlineStr">
        <is>
          <t>IC Anionen</t>
        </is>
      </c>
      <c r="AO271" s="20" t="inlineStr">
        <is>
          <t>None</t>
        </is>
      </c>
      <c r="AP271" s="17" t="n"/>
      <c r="AQ271" s="16" t="n"/>
      <c r="AR271" s="20" t="n"/>
      <c r="AS271" s="20" t="inlineStr">
        <is>
          <t>None</t>
        </is>
      </c>
      <c r="AT271" s="17" t="n"/>
      <c r="AU271" s="16" t="n"/>
      <c r="AV271" s="20" t="n"/>
      <c r="AW271" s="20" t="inlineStr">
        <is>
          <t>None</t>
        </is>
      </c>
      <c r="AX271" s="17" t="n"/>
      <c r="AY271" s="16" t="n"/>
      <c r="AZ271" s="20" t="inlineStr">
        <is>
          <t>IC Anionen</t>
        </is>
      </c>
      <c r="BA271" s="20" t="inlineStr">
        <is>
          <t>None</t>
        </is>
      </c>
      <c r="BB271" s="17" t="n"/>
      <c r="BC271" s="16" t="n"/>
      <c r="BD271" s="20" t="inlineStr">
        <is>
          <t>IC Kationen</t>
        </is>
      </c>
      <c r="BE271" s="20" t="inlineStr">
        <is>
          <t>None</t>
        </is>
      </c>
      <c r="BF271" s="17" t="n"/>
      <c r="BG271" s="16" t="n"/>
      <c r="BH271" s="20" t="inlineStr">
        <is>
          <t>IC Kationen</t>
        </is>
      </c>
      <c r="BI271" s="20" t="inlineStr">
        <is>
          <t>None</t>
        </is>
      </c>
      <c r="BJ271" s="17" t="n"/>
      <c r="BK271" s="16" t="n"/>
      <c r="BL271" s="20" t="inlineStr">
        <is>
          <t>IC Kationen</t>
        </is>
      </c>
      <c r="BM271" s="20" t="inlineStr">
        <is>
          <t>None</t>
        </is>
      </c>
      <c r="BN271" s="17" t="n"/>
      <c r="BO271" s="16" t="n"/>
      <c r="BP271" s="20" t="inlineStr">
        <is>
          <t>IC Kationen</t>
        </is>
      </c>
      <c r="BQ271" s="20" t="inlineStr">
        <is>
          <t>None</t>
        </is>
      </c>
      <c r="BR271" s="17" t="n"/>
      <c r="BS271" s="16" t="n"/>
      <c r="BT271" s="20" t="inlineStr">
        <is>
          <t>IC Kationen</t>
        </is>
      </c>
      <c r="BU271" s="20" t="inlineStr">
        <is>
          <t>None</t>
        </is>
      </c>
      <c r="BV271" s="17" t="n"/>
      <c r="BW271" s="16" t="n"/>
      <c r="BX271" s="20" t="n"/>
      <c r="BY271" s="20" t="inlineStr">
        <is>
          <t>None</t>
        </is>
      </c>
      <c r="BZ271" s="17" t="n"/>
      <c r="CA271" s="16" t="n"/>
      <c r="CB271" s="20" t="n"/>
      <c r="CC271" s="20" t="inlineStr">
        <is>
          <t>None</t>
        </is>
      </c>
      <c r="CD271" s="17" t="n"/>
      <c r="CE271" s="16" t="n"/>
      <c r="CF271" s="20" t="n"/>
      <c r="CG271" s="20" t="inlineStr">
        <is>
          <t>None</t>
        </is>
      </c>
      <c r="CH271" s="17" t="n"/>
      <c r="CI271" s="16" t="n"/>
      <c r="CJ271" s="20" t="n"/>
      <c r="CK271" s="20" t="inlineStr">
        <is>
          <t>None</t>
        </is>
      </c>
      <c r="CL271" s="17" t="n"/>
      <c r="CM271" s="16" t="n"/>
      <c r="CN271" s="20" t="inlineStr">
        <is>
          <t>SOP 45-34</t>
        </is>
      </c>
      <c r="CO271" s="20" t="inlineStr">
        <is>
          <t>None</t>
        </is>
      </c>
      <c r="CP271" s="17" t="n"/>
      <c r="CQ271" s="16" t="n"/>
      <c r="CR271" s="20" t="n"/>
      <c r="CS271" s="20" t="inlineStr">
        <is>
          <t>None</t>
        </is>
      </c>
      <c r="CT271" s="17" t="n"/>
      <c r="CU271" s="16" t="n"/>
      <c r="CV271" s="20" t="n"/>
      <c r="CW271" s="20" t="inlineStr">
        <is>
          <t>None</t>
        </is>
      </c>
      <c r="CX271" s="17" t="n"/>
      <c r="CY271" s="16" t="n"/>
      <c r="CZ271" s="20" t="inlineStr">
        <is>
          <t>WTW Multimeter 3430 with FDO 925</t>
        </is>
      </c>
      <c r="DA271" s="20" t="inlineStr">
        <is>
          <t>None</t>
        </is>
      </c>
      <c r="DB271" s="17" t="n"/>
      <c r="DC271" s="16" t="n"/>
      <c r="DD271" s="20" t="n"/>
      <c r="DE271" s="20" t="inlineStr">
        <is>
          <t>None</t>
        </is>
      </c>
      <c r="DF271" s="17" t="n"/>
      <c r="DG271" s="16" t="n"/>
      <c r="DH271" s="20" t="inlineStr">
        <is>
          <t>SOP 45-09</t>
        </is>
      </c>
      <c r="DI271" s="20" t="inlineStr">
        <is>
          <t>None</t>
        </is>
      </c>
      <c r="DJ271" s="17" t="n"/>
      <c r="DK271" s="16" t="n"/>
      <c r="DL271" s="20" t="inlineStr">
        <is>
          <t>SOP 45-09 (SOP muss noch angepasst werden für VSS)</t>
        </is>
      </c>
      <c r="DM271" s="20" t="inlineStr">
        <is>
          <t>None</t>
        </is>
      </c>
      <c r="DN271" s="17" t="n"/>
      <c r="DO271" s="16" t="n"/>
      <c r="DP271" s="20" t="inlineStr">
        <is>
          <t>IC Organic Acids</t>
        </is>
      </c>
      <c r="DQ271" s="20" t="inlineStr">
        <is>
          <t>None</t>
        </is>
      </c>
      <c r="DR271" s="17" t="n"/>
      <c r="DS271" s="16" t="n"/>
      <c r="DT271" s="20" t="inlineStr">
        <is>
          <t>IC Organic Acids</t>
        </is>
      </c>
      <c r="DU271" s="20" t="inlineStr">
        <is>
          <t>None</t>
        </is>
      </c>
      <c r="DV271" s="17" t="n"/>
      <c r="DW271" s="16" t="n"/>
      <c r="DX271" s="20" t="inlineStr">
        <is>
          <t>IC Organic Acids</t>
        </is>
      </c>
      <c r="DY271" s="20" t="inlineStr">
        <is>
          <t>None</t>
        </is>
      </c>
      <c r="DZ271" s="17" t="n"/>
      <c r="EA271" s="16" t="n"/>
      <c r="EB271" s="20" t="inlineStr">
        <is>
          <t>IC Organic Acids</t>
        </is>
      </c>
      <c r="EC271" s="20" t="inlineStr">
        <is>
          <t>None</t>
        </is>
      </c>
      <c r="ED271" s="17" t="n"/>
      <c r="EE271" s="16" t="n"/>
      <c r="EF271" s="20" t="inlineStr">
        <is>
          <t>IC Organic Acids</t>
        </is>
      </c>
      <c r="EG271" s="20" t="inlineStr">
        <is>
          <t>None</t>
        </is>
      </c>
      <c r="EH271" s="17" t="n"/>
      <c r="EI271" s="16" t="n"/>
      <c r="EJ271" s="20" t="inlineStr">
        <is>
          <t>IC Organic Acids</t>
        </is>
      </c>
      <c r="EK271" s="20" t="inlineStr">
        <is>
          <t>None</t>
        </is>
      </c>
      <c r="EL271" s="17" t="n"/>
      <c r="EM271" s="16" t="n"/>
      <c r="EN271" s="20" t="inlineStr">
        <is>
          <t>IC Organic Acids</t>
        </is>
      </c>
      <c r="EO271" s="20" t="inlineStr">
        <is>
          <t>None</t>
        </is>
      </c>
      <c r="EP271" s="17" t="n"/>
      <c r="EQ271" s="16" t="n"/>
      <c r="ER271" s="20" t="inlineStr">
        <is>
          <t>IC Organic Acids</t>
        </is>
      </c>
      <c r="ES271" s="20" t="inlineStr">
        <is>
          <t>None</t>
        </is>
      </c>
      <c r="ET271" s="17" t="n"/>
      <c r="EU271" s="16" t="n"/>
      <c r="EV271" s="20" t="inlineStr">
        <is>
          <t>LC-MS</t>
        </is>
      </c>
      <c r="EW271" s="20" t="inlineStr">
        <is>
          <t>None</t>
        </is>
      </c>
      <c r="EX271" s="17" t="n"/>
      <c r="EY271" s="21" t="n"/>
      <c r="EZ271">
        <f>CONCATENATE(A271,B271)</f>
        <v/>
      </c>
      <c r="FA271">
        <f>CONCATENATE(SamplesX!A271,SamplesX!B271)</f>
        <v/>
      </c>
      <c r="FC271">
        <f>MATCH(EZ271,FA1:FA1008,0)</f>
        <v/>
      </c>
    </row>
    <row r="272">
      <c r="A272" s="16" t="inlineStr">
        <is>
          <t>BP</t>
        </is>
      </c>
      <c r="B272" s="17" t="inlineStr">
        <is>
          <t>25264</t>
        </is>
      </c>
      <c r="C272" s="10">
        <f>IF(ISNUMBER(FC272),INDIRECT("SamplesX!C"&amp;FC272),IF(ISNUMBER(FD272),INDIRECT("SamplesY!C"&amp;FD272),""))</f>
        <v/>
      </c>
      <c r="D272" s="12">
        <f>IF(ISNUMBER(FC272),INDIRECT("SamplesX!D"&amp;FC272),IF(ISNUMBER(FD272),INDIRECT("SamplesY!D"&amp;FD272),""))</f>
        <v/>
      </c>
      <c r="E272" s="12">
        <f>IF(ISNUMBER(FC272),INDIRECT("SamplesX!E"&amp;FC272),IF(ISNUMBER(FD272),INDIRECT("SamplesY!E"&amp;FD272),""))</f>
        <v/>
      </c>
      <c r="F272" s="11">
        <f>IF(ISNUMBER(FC272),INDIRECT("SamplesX!F"&amp;FC272),IF(ISNUMBER(FD272),INDIRECT("SamplesY!F"&amp;FD272),""))</f>
        <v/>
      </c>
      <c r="G272" s="18">
        <f>IF(ISNUMBER(FC272),INDIRECT("SamplesX!G"&amp;FC272),IF(ISNUMBER(FD272),INDIRECT("SamplesY!G"&amp;FD272),""))</f>
        <v/>
      </c>
      <c r="H272" s="19">
        <f>IF(ISNUMBER(FC272),INDIRECT("SamplesX!H"&amp;FC272),IF(ISNUMBER(FD272),INDIRECT("SamplesY!H"&amp;FD272),""))</f>
        <v/>
      </c>
      <c r="I272" s="16" t="n"/>
      <c r="J272" s="16" t="n"/>
      <c r="K272" s="16" t="n"/>
      <c r="L272" s="20" t="n"/>
      <c r="M272" s="20" t="inlineStr">
        <is>
          <t>None</t>
        </is>
      </c>
      <c r="N272" s="17" t="n"/>
      <c r="O272" s="16" t="n"/>
      <c r="P272" s="20" t="inlineStr">
        <is>
          <t>Shimadzu TOC-L</t>
        </is>
      </c>
      <c r="Q272" s="20" t="inlineStr">
        <is>
          <t>None</t>
        </is>
      </c>
      <c r="R272" s="17" t="n"/>
      <c r="S272" s="16" t="n"/>
      <c r="T272" s="20" t="inlineStr">
        <is>
          <t>Shimadzu TOC-L</t>
        </is>
      </c>
      <c r="U272" s="20" t="inlineStr">
        <is>
          <t>None</t>
        </is>
      </c>
      <c r="V272" s="17" t="n"/>
      <c r="W272" s="16" t="n"/>
      <c r="X272" s="20" t="n"/>
      <c r="Y272" s="20" t="inlineStr">
        <is>
          <t>None</t>
        </is>
      </c>
      <c r="Z272" s="17" t="n"/>
      <c r="AA272" s="16" t="n"/>
      <c r="AB272" s="20" t="n"/>
      <c r="AC272" s="20" t="inlineStr">
        <is>
          <t>None</t>
        </is>
      </c>
      <c r="AD272" s="17" t="n"/>
      <c r="AE272" s="16" t="n"/>
      <c r="AF272" s="20" t="inlineStr">
        <is>
          <t>IC Anionen</t>
        </is>
      </c>
      <c r="AG272" s="20" t="inlineStr">
        <is>
          <t>None</t>
        </is>
      </c>
      <c r="AH272" s="17" t="n"/>
      <c r="AI272" s="16" t="n"/>
      <c r="AJ272" s="20" t="n"/>
      <c r="AK272" s="20" t="inlineStr">
        <is>
          <t>None</t>
        </is>
      </c>
      <c r="AL272" s="17" t="n"/>
      <c r="AM272" s="16" t="n"/>
      <c r="AN272" s="20" t="inlineStr">
        <is>
          <t>IC Anionen</t>
        </is>
      </c>
      <c r="AO272" s="20" t="inlineStr">
        <is>
          <t>None</t>
        </is>
      </c>
      <c r="AP272" s="17" t="n"/>
      <c r="AQ272" s="16" t="n"/>
      <c r="AR272" s="20" t="n"/>
      <c r="AS272" s="20" t="inlineStr">
        <is>
          <t>None</t>
        </is>
      </c>
      <c r="AT272" s="17" t="n"/>
      <c r="AU272" s="16" t="n"/>
      <c r="AV272" s="20" t="n"/>
      <c r="AW272" s="20" t="inlineStr">
        <is>
          <t>None</t>
        </is>
      </c>
      <c r="AX272" s="17" t="n"/>
      <c r="AY272" s="16" t="n"/>
      <c r="AZ272" s="20" t="inlineStr">
        <is>
          <t>IC Anionen</t>
        </is>
      </c>
      <c r="BA272" s="20" t="inlineStr">
        <is>
          <t>None</t>
        </is>
      </c>
      <c r="BB272" s="17" t="n"/>
      <c r="BC272" s="16" t="n"/>
      <c r="BD272" s="20" t="inlineStr">
        <is>
          <t>IC Kationen</t>
        </is>
      </c>
      <c r="BE272" s="20" t="inlineStr">
        <is>
          <t>None</t>
        </is>
      </c>
      <c r="BF272" s="17" t="n"/>
      <c r="BG272" s="16" t="n"/>
      <c r="BH272" s="20" t="inlineStr">
        <is>
          <t>IC Kationen</t>
        </is>
      </c>
      <c r="BI272" s="20" t="inlineStr">
        <is>
          <t>None</t>
        </is>
      </c>
      <c r="BJ272" s="17" t="n"/>
      <c r="BK272" s="16" t="n"/>
      <c r="BL272" s="20" t="inlineStr">
        <is>
          <t>IC Kationen</t>
        </is>
      </c>
      <c r="BM272" s="20" t="inlineStr">
        <is>
          <t>None</t>
        </is>
      </c>
      <c r="BN272" s="17" t="n"/>
      <c r="BO272" s="16" t="n"/>
      <c r="BP272" s="20" t="inlineStr">
        <is>
          <t>IC Kationen</t>
        </is>
      </c>
      <c r="BQ272" s="20" t="inlineStr">
        <is>
          <t>None</t>
        </is>
      </c>
      <c r="BR272" s="17" t="n"/>
      <c r="BS272" s="16" t="n"/>
      <c r="BT272" s="20" t="inlineStr">
        <is>
          <t>IC Kationen</t>
        </is>
      </c>
      <c r="BU272" s="20" t="inlineStr">
        <is>
          <t>None</t>
        </is>
      </c>
      <c r="BV272" s="17" t="n"/>
      <c r="BW272" s="16" t="n"/>
      <c r="BX272" s="20" t="n"/>
      <c r="BY272" s="20" t="inlineStr">
        <is>
          <t>None</t>
        </is>
      </c>
      <c r="BZ272" s="17" t="n"/>
      <c r="CA272" s="16" t="n"/>
      <c r="CB272" s="20" t="n"/>
      <c r="CC272" s="20" t="inlineStr">
        <is>
          <t>None</t>
        </is>
      </c>
      <c r="CD272" s="17" t="n"/>
      <c r="CE272" s="16" t="n"/>
      <c r="CF272" s="20" t="n"/>
      <c r="CG272" s="20" t="inlineStr">
        <is>
          <t>None</t>
        </is>
      </c>
      <c r="CH272" s="17" t="n"/>
      <c r="CI272" s="16" t="n"/>
      <c r="CJ272" s="20" t="n"/>
      <c r="CK272" s="20" t="inlineStr">
        <is>
          <t>None</t>
        </is>
      </c>
      <c r="CL272" s="17" t="n"/>
      <c r="CM272" s="16" t="n"/>
      <c r="CN272" s="20" t="inlineStr">
        <is>
          <t>SOP 45-34</t>
        </is>
      </c>
      <c r="CO272" s="20" t="inlineStr">
        <is>
          <t>None</t>
        </is>
      </c>
      <c r="CP272" s="17" t="n"/>
      <c r="CQ272" s="16" t="n"/>
      <c r="CR272" s="20" t="n"/>
      <c r="CS272" s="20" t="inlineStr">
        <is>
          <t>None</t>
        </is>
      </c>
      <c r="CT272" s="17" t="n"/>
      <c r="CU272" s="16" t="n"/>
      <c r="CV272" s="20" t="n"/>
      <c r="CW272" s="20" t="inlineStr">
        <is>
          <t>None</t>
        </is>
      </c>
      <c r="CX272" s="17" t="n"/>
      <c r="CY272" s="16" t="n"/>
      <c r="CZ272" s="20" t="inlineStr">
        <is>
          <t>WTW Multimeter 3430 with FDO 925</t>
        </is>
      </c>
      <c r="DA272" s="20" t="inlineStr">
        <is>
          <t>None</t>
        </is>
      </c>
      <c r="DB272" s="17" t="n"/>
      <c r="DC272" s="16" t="n"/>
      <c r="DD272" s="20" t="n"/>
      <c r="DE272" s="20" t="inlineStr">
        <is>
          <t>None</t>
        </is>
      </c>
      <c r="DF272" s="17" t="n"/>
      <c r="DG272" s="16" t="n"/>
      <c r="DH272" s="20" t="inlineStr">
        <is>
          <t>SOP 45-09</t>
        </is>
      </c>
      <c r="DI272" s="20" t="inlineStr">
        <is>
          <t>None</t>
        </is>
      </c>
      <c r="DJ272" s="17" t="n"/>
      <c r="DK272" s="16" t="n"/>
      <c r="DL272" s="20" t="inlineStr">
        <is>
          <t>SOP 45-09 (SOP muss noch angepasst werden für VSS)</t>
        </is>
      </c>
      <c r="DM272" s="20" t="inlineStr">
        <is>
          <t>None</t>
        </is>
      </c>
      <c r="DN272" s="17" t="n"/>
      <c r="DO272" s="16" t="n"/>
      <c r="DP272" s="20" t="inlineStr">
        <is>
          <t>IC Organic Acids</t>
        </is>
      </c>
      <c r="DQ272" s="20" t="inlineStr">
        <is>
          <t>None</t>
        </is>
      </c>
      <c r="DR272" s="17" t="n"/>
      <c r="DS272" s="16" t="n"/>
      <c r="DT272" s="20" t="inlineStr">
        <is>
          <t>IC Organic Acids</t>
        </is>
      </c>
      <c r="DU272" s="20" t="inlineStr">
        <is>
          <t>None</t>
        </is>
      </c>
      <c r="DV272" s="17" t="n"/>
      <c r="DW272" s="16" t="n"/>
      <c r="DX272" s="20" t="inlineStr">
        <is>
          <t>IC Organic Acids</t>
        </is>
      </c>
      <c r="DY272" s="20" t="inlineStr">
        <is>
          <t>None</t>
        </is>
      </c>
      <c r="DZ272" s="17" t="n"/>
      <c r="EA272" s="16" t="n"/>
      <c r="EB272" s="20" t="inlineStr">
        <is>
          <t>IC Organic Acids</t>
        </is>
      </c>
      <c r="EC272" s="20" t="inlineStr">
        <is>
          <t>None</t>
        </is>
      </c>
      <c r="ED272" s="17" t="n"/>
      <c r="EE272" s="16" t="n"/>
      <c r="EF272" s="20" t="inlineStr">
        <is>
          <t>IC Organic Acids</t>
        </is>
      </c>
      <c r="EG272" s="20" t="inlineStr">
        <is>
          <t>None</t>
        </is>
      </c>
      <c r="EH272" s="17" t="n"/>
      <c r="EI272" s="16" t="n"/>
      <c r="EJ272" s="20" t="inlineStr">
        <is>
          <t>IC Organic Acids</t>
        </is>
      </c>
      <c r="EK272" s="20" t="inlineStr">
        <is>
          <t>None</t>
        </is>
      </c>
      <c r="EL272" s="17" t="n"/>
      <c r="EM272" s="16" t="n"/>
      <c r="EN272" s="20" t="inlineStr">
        <is>
          <t>IC Organic Acids</t>
        </is>
      </c>
      <c r="EO272" s="20" t="inlineStr">
        <is>
          <t>None</t>
        </is>
      </c>
      <c r="EP272" s="17" t="n"/>
      <c r="EQ272" s="16" t="n"/>
      <c r="ER272" s="20" t="inlineStr">
        <is>
          <t>IC Organic Acids</t>
        </is>
      </c>
      <c r="ES272" s="20" t="inlineStr">
        <is>
          <t>None</t>
        </is>
      </c>
      <c r="ET272" s="17" t="n"/>
      <c r="EU272" s="16" t="n"/>
      <c r="EV272" s="20" t="inlineStr">
        <is>
          <t>LC-MS</t>
        </is>
      </c>
      <c r="EW272" s="20" t="inlineStr">
        <is>
          <t>None</t>
        </is>
      </c>
      <c r="EX272" s="17" t="n"/>
      <c r="EY272" s="21" t="n"/>
      <c r="EZ272">
        <f>CONCATENATE(A272,B272)</f>
        <v/>
      </c>
      <c r="FA272">
        <f>CONCATENATE(SamplesX!A272,SamplesX!B272)</f>
        <v/>
      </c>
      <c r="FC272">
        <f>MATCH(EZ272,FA1:FA1008,0)</f>
        <v/>
      </c>
    </row>
    <row r="273">
      <c r="A273" s="16" t="inlineStr">
        <is>
          <t>BP</t>
        </is>
      </c>
      <c r="B273" s="17" t="inlineStr">
        <is>
          <t>25265</t>
        </is>
      </c>
      <c r="C273" s="10">
        <f>IF(ISNUMBER(FC273),INDIRECT("SamplesX!C"&amp;FC273),IF(ISNUMBER(FD273),INDIRECT("SamplesY!C"&amp;FD273),""))</f>
        <v/>
      </c>
      <c r="D273" s="12">
        <f>IF(ISNUMBER(FC273),INDIRECT("SamplesX!D"&amp;FC273),IF(ISNUMBER(FD273),INDIRECT("SamplesY!D"&amp;FD273),""))</f>
        <v/>
      </c>
      <c r="E273" s="12">
        <f>IF(ISNUMBER(FC273),INDIRECT("SamplesX!E"&amp;FC273),IF(ISNUMBER(FD273),INDIRECT("SamplesY!E"&amp;FD273),""))</f>
        <v/>
      </c>
      <c r="F273" s="11">
        <f>IF(ISNUMBER(FC273),INDIRECT("SamplesX!F"&amp;FC273),IF(ISNUMBER(FD273),INDIRECT("SamplesY!F"&amp;FD273),""))</f>
        <v/>
      </c>
      <c r="G273" s="18">
        <f>IF(ISNUMBER(FC273),INDIRECT("SamplesX!G"&amp;FC273),IF(ISNUMBER(FD273),INDIRECT("SamplesY!G"&amp;FD273),""))</f>
        <v/>
      </c>
      <c r="H273" s="19">
        <f>IF(ISNUMBER(FC273),INDIRECT("SamplesX!H"&amp;FC273),IF(ISNUMBER(FD273),INDIRECT("SamplesY!H"&amp;FD273),""))</f>
        <v/>
      </c>
      <c r="I273" s="16" t="n"/>
      <c r="J273" s="16" t="n"/>
      <c r="K273" s="16" t="n"/>
      <c r="L273" s="20" t="n"/>
      <c r="M273" s="20" t="inlineStr">
        <is>
          <t>None</t>
        </is>
      </c>
      <c r="N273" s="17" t="n"/>
      <c r="O273" s="16" t="n"/>
      <c r="P273" s="20" t="inlineStr">
        <is>
          <t>Shimadzu TOC-L</t>
        </is>
      </c>
      <c r="Q273" s="20" t="inlineStr">
        <is>
          <t>None</t>
        </is>
      </c>
      <c r="R273" s="17" t="n"/>
      <c r="S273" s="16" t="n"/>
      <c r="T273" s="20" t="inlineStr">
        <is>
          <t>Shimadzu TOC-L</t>
        </is>
      </c>
      <c r="U273" s="20" t="inlineStr">
        <is>
          <t>None</t>
        </is>
      </c>
      <c r="V273" s="17" t="n"/>
      <c r="W273" s="16" t="n"/>
      <c r="X273" s="20" t="n"/>
      <c r="Y273" s="20" t="inlineStr">
        <is>
          <t>None</t>
        </is>
      </c>
      <c r="Z273" s="17" t="n"/>
      <c r="AA273" s="16" t="n"/>
      <c r="AB273" s="20" t="n"/>
      <c r="AC273" s="20" t="inlineStr">
        <is>
          <t>None</t>
        </is>
      </c>
      <c r="AD273" s="17" t="n"/>
      <c r="AE273" s="16" t="n"/>
      <c r="AF273" s="20" t="inlineStr">
        <is>
          <t>IC Anionen</t>
        </is>
      </c>
      <c r="AG273" s="20" t="inlineStr">
        <is>
          <t>None</t>
        </is>
      </c>
      <c r="AH273" s="17" t="n"/>
      <c r="AI273" s="16" t="n"/>
      <c r="AJ273" s="20" t="n"/>
      <c r="AK273" s="20" t="inlineStr">
        <is>
          <t>None</t>
        </is>
      </c>
      <c r="AL273" s="17" t="n"/>
      <c r="AM273" s="16" t="n"/>
      <c r="AN273" s="20" t="inlineStr">
        <is>
          <t>IC Anionen</t>
        </is>
      </c>
      <c r="AO273" s="20" t="inlineStr">
        <is>
          <t>None</t>
        </is>
      </c>
      <c r="AP273" s="17" t="n"/>
      <c r="AQ273" s="16" t="n"/>
      <c r="AR273" s="20" t="n"/>
      <c r="AS273" s="20" t="inlineStr">
        <is>
          <t>None</t>
        </is>
      </c>
      <c r="AT273" s="17" t="n"/>
      <c r="AU273" s="16" t="n"/>
      <c r="AV273" s="20" t="n"/>
      <c r="AW273" s="20" t="inlineStr">
        <is>
          <t>None</t>
        </is>
      </c>
      <c r="AX273" s="17" t="n"/>
      <c r="AY273" s="16" t="n"/>
      <c r="AZ273" s="20" t="inlineStr">
        <is>
          <t>IC Anionen</t>
        </is>
      </c>
      <c r="BA273" s="20" t="inlineStr">
        <is>
          <t>None</t>
        </is>
      </c>
      <c r="BB273" s="17" t="n"/>
      <c r="BC273" s="16" t="n"/>
      <c r="BD273" s="20" t="inlineStr">
        <is>
          <t>IC Kationen</t>
        </is>
      </c>
      <c r="BE273" s="20" t="inlineStr">
        <is>
          <t>None</t>
        </is>
      </c>
      <c r="BF273" s="17" t="n"/>
      <c r="BG273" s="16" t="n"/>
      <c r="BH273" s="20" t="inlineStr">
        <is>
          <t>IC Kationen</t>
        </is>
      </c>
      <c r="BI273" s="20" t="inlineStr">
        <is>
          <t>None</t>
        </is>
      </c>
      <c r="BJ273" s="17" t="n"/>
      <c r="BK273" s="16" t="n"/>
      <c r="BL273" s="20" t="inlineStr">
        <is>
          <t>IC Kationen</t>
        </is>
      </c>
      <c r="BM273" s="20" t="inlineStr">
        <is>
          <t>None</t>
        </is>
      </c>
      <c r="BN273" s="17" t="n"/>
      <c r="BO273" s="16" t="n"/>
      <c r="BP273" s="20" t="inlineStr">
        <is>
          <t>IC Kationen</t>
        </is>
      </c>
      <c r="BQ273" s="20" t="inlineStr">
        <is>
          <t>None</t>
        </is>
      </c>
      <c r="BR273" s="17" t="n"/>
      <c r="BS273" s="16" t="n"/>
      <c r="BT273" s="20" t="inlineStr">
        <is>
          <t>IC Kationen</t>
        </is>
      </c>
      <c r="BU273" s="20" t="inlineStr">
        <is>
          <t>None</t>
        </is>
      </c>
      <c r="BV273" s="17" t="n"/>
      <c r="BW273" s="16" t="n"/>
      <c r="BX273" s="20" t="n"/>
      <c r="BY273" s="20" t="inlineStr">
        <is>
          <t>None</t>
        </is>
      </c>
      <c r="BZ273" s="17" t="n"/>
      <c r="CA273" s="16" t="n"/>
      <c r="CB273" s="20" t="n"/>
      <c r="CC273" s="20" t="inlineStr">
        <is>
          <t>None</t>
        </is>
      </c>
      <c r="CD273" s="17" t="n"/>
      <c r="CE273" s="16" t="n"/>
      <c r="CF273" s="20" t="n"/>
      <c r="CG273" s="20" t="inlineStr">
        <is>
          <t>None</t>
        </is>
      </c>
      <c r="CH273" s="17" t="n"/>
      <c r="CI273" s="16" t="n"/>
      <c r="CJ273" s="20" t="n"/>
      <c r="CK273" s="20" t="inlineStr">
        <is>
          <t>None</t>
        </is>
      </c>
      <c r="CL273" s="17" t="n"/>
      <c r="CM273" s="16" t="n"/>
      <c r="CN273" s="20" t="inlineStr">
        <is>
          <t>SOP 45-34</t>
        </is>
      </c>
      <c r="CO273" s="20" t="inlineStr">
        <is>
          <t>None</t>
        </is>
      </c>
      <c r="CP273" s="17" t="n"/>
      <c r="CQ273" s="16" t="n"/>
      <c r="CR273" s="20" t="n"/>
      <c r="CS273" s="20" t="inlineStr">
        <is>
          <t>None</t>
        </is>
      </c>
      <c r="CT273" s="17" t="n"/>
      <c r="CU273" s="16" t="n"/>
      <c r="CV273" s="20" t="n"/>
      <c r="CW273" s="20" t="inlineStr">
        <is>
          <t>None</t>
        </is>
      </c>
      <c r="CX273" s="17" t="n"/>
      <c r="CY273" s="16" t="n"/>
      <c r="CZ273" s="20" t="inlineStr">
        <is>
          <t>WTW Multimeter 3430 with FDO 925</t>
        </is>
      </c>
      <c r="DA273" s="20" t="inlineStr">
        <is>
          <t>None</t>
        </is>
      </c>
      <c r="DB273" s="17" t="n"/>
      <c r="DC273" s="16" t="n"/>
      <c r="DD273" s="20" t="n"/>
      <c r="DE273" s="20" t="inlineStr">
        <is>
          <t>None</t>
        </is>
      </c>
      <c r="DF273" s="17" t="n"/>
      <c r="DG273" s="16" t="n"/>
      <c r="DH273" s="20" t="inlineStr">
        <is>
          <t>SOP 45-09</t>
        </is>
      </c>
      <c r="DI273" s="20" t="inlineStr">
        <is>
          <t>None</t>
        </is>
      </c>
      <c r="DJ273" s="17" t="n"/>
      <c r="DK273" s="16" t="n"/>
      <c r="DL273" s="20" t="inlineStr">
        <is>
          <t>SOP 45-09 (SOP muss noch angepasst werden für VSS)</t>
        </is>
      </c>
      <c r="DM273" s="20" t="inlineStr">
        <is>
          <t>None</t>
        </is>
      </c>
      <c r="DN273" s="17" t="n"/>
      <c r="DO273" s="16" t="n"/>
      <c r="DP273" s="20" t="inlineStr">
        <is>
          <t>IC Organic Acids</t>
        </is>
      </c>
      <c r="DQ273" s="20" t="inlineStr">
        <is>
          <t>None</t>
        </is>
      </c>
      <c r="DR273" s="17" t="n"/>
      <c r="DS273" s="16" t="n"/>
      <c r="DT273" s="20" t="inlineStr">
        <is>
          <t>IC Organic Acids</t>
        </is>
      </c>
      <c r="DU273" s="20" t="inlineStr">
        <is>
          <t>None</t>
        </is>
      </c>
      <c r="DV273" s="17" t="n"/>
      <c r="DW273" s="16" t="n"/>
      <c r="DX273" s="20" t="inlineStr">
        <is>
          <t>IC Organic Acids</t>
        </is>
      </c>
      <c r="DY273" s="20" t="inlineStr">
        <is>
          <t>None</t>
        </is>
      </c>
      <c r="DZ273" s="17" t="n"/>
      <c r="EA273" s="16" t="n"/>
      <c r="EB273" s="20" t="inlineStr">
        <is>
          <t>IC Organic Acids</t>
        </is>
      </c>
      <c r="EC273" s="20" t="inlineStr">
        <is>
          <t>None</t>
        </is>
      </c>
      <c r="ED273" s="17" t="n"/>
      <c r="EE273" s="16" t="n"/>
      <c r="EF273" s="20" t="inlineStr">
        <is>
          <t>IC Organic Acids</t>
        </is>
      </c>
      <c r="EG273" s="20" t="inlineStr">
        <is>
          <t>None</t>
        </is>
      </c>
      <c r="EH273" s="17" t="n"/>
      <c r="EI273" s="16" t="n"/>
      <c r="EJ273" s="20" t="inlineStr">
        <is>
          <t>IC Organic Acids</t>
        </is>
      </c>
      <c r="EK273" s="20" t="inlineStr">
        <is>
          <t>None</t>
        </is>
      </c>
      <c r="EL273" s="17" t="n"/>
      <c r="EM273" s="16" t="n"/>
      <c r="EN273" s="20" t="inlineStr">
        <is>
          <t>IC Organic Acids</t>
        </is>
      </c>
      <c r="EO273" s="20" t="inlineStr">
        <is>
          <t>None</t>
        </is>
      </c>
      <c r="EP273" s="17" t="n"/>
      <c r="EQ273" s="16" t="n"/>
      <c r="ER273" s="20" t="inlineStr">
        <is>
          <t>IC Organic Acids</t>
        </is>
      </c>
      <c r="ES273" s="20" t="inlineStr">
        <is>
          <t>None</t>
        </is>
      </c>
      <c r="ET273" s="17" t="n"/>
      <c r="EU273" s="16" t="n"/>
      <c r="EV273" s="20" t="inlineStr">
        <is>
          <t>LC-MS</t>
        </is>
      </c>
      <c r="EW273" s="20" t="inlineStr">
        <is>
          <t>None</t>
        </is>
      </c>
      <c r="EX273" s="17" t="n"/>
      <c r="EY273" s="21" t="n"/>
      <c r="EZ273">
        <f>CONCATENATE(A273,B273)</f>
        <v/>
      </c>
      <c r="FA273">
        <f>CONCATENATE(SamplesX!A273,SamplesX!B273)</f>
        <v/>
      </c>
      <c r="FC273">
        <f>MATCH(EZ273,FA1:FA1008,0)</f>
        <v/>
      </c>
    </row>
    <row r="274">
      <c r="A274" s="16" t="inlineStr">
        <is>
          <t>BP</t>
        </is>
      </c>
      <c r="B274" s="17" t="inlineStr">
        <is>
          <t>25266</t>
        </is>
      </c>
      <c r="C274" s="10">
        <f>IF(ISNUMBER(FC274),INDIRECT("SamplesX!C"&amp;FC274),IF(ISNUMBER(FD274),INDIRECT("SamplesY!C"&amp;FD274),""))</f>
        <v/>
      </c>
      <c r="D274" s="12">
        <f>IF(ISNUMBER(FC274),INDIRECT("SamplesX!D"&amp;FC274),IF(ISNUMBER(FD274),INDIRECT("SamplesY!D"&amp;FD274),""))</f>
        <v/>
      </c>
      <c r="E274" s="12">
        <f>IF(ISNUMBER(FC274),INDIRECT("SamplesX!E"&amp;FC274),IF(ISNUMBER(FD274),INDIRECT("SamplesY!E"&amp;FD274),""))</f>
        <v/>
      </c>
      <c r="F274" s="11">
        <f>IF(ISNUMBER(FC274),INDIRECT("SamplesX!F"&amp;FC274),IF(ISNUMBER(FD274),INDIRECT("SamplesY!F"&amp;FD274),""))</f>
        <v/>
      </c>
      <c r="G274" s="18">
        <f>IF(ISNUMBER(FC274),INDIRECT("SamplesX!G"&amp;FC274),IF(ISNUMBER(FD274),INDIRECT("SamplesY!G"&amp;FD274),""))</f>
        <v/>
      </c>
      <c r="H274" s="19">
        <f>IF(ISNUMBER(FC274),INDIRECT("SamplesX!H"&amp;FC274),IF(ISNUMBER(FD274),INDIRECT("SamplesY!H"&amp;FD274),""))</f>
        <v/>
      </c>
      <c r="I274" s="16" t="n"/>
      <c r="J274" s="16" t="n"/>
      <c r="K274" s="16" t="n"/>
      <c r="L274" s="20" t="n"/>
      <c r="M274" s="20" t="inlineStr">
        <is>
          <t>None</t>
        </is>
      </c>
      <c r="N274" s="17" t="n"/>
      <c r="O274" s="16" t="n"/>
      <c r="P274" s="20" t="inlineStr">
        <is>
          <t>Shimadzu TOC-L</t>
        </is>
      </c>
      <c r="Q274" s="20" t="inlineStr">
        <is>
          <t>None</t>
        </is>
      </c>
      <c r="R274" s="17" t="n"/>
      <c r="S274" s="16" t="n"/>
      <c r="T274" s="20" t="inlineStr">
        <is>
          <t>Shimadzu TOC-L</t>
        </is>
      </c>
      <c r="U274" s="20" t="inlineStr">
        <is>
          <t>None</t>
        </is>
      </c>
      <c r="V274" s="17" t="n"/>
      <c r="W274" s="16" t="n"/>
      <c r="X274" s="20" t="n"/>
      <c r="Y274" s="20" t="inlineStr">
        <is>
          <t>None</t>
        </is>
      </c>
      <c r="Z274" s="17" t="n"/>
      <c r="AA274" s="16" t="n"/>
      <c r="AB274" s="20" t="n"/>
      <c r="AC274" s="20" t="inlineStr">
        <is>
          <t>None</t>
        </is>
      </c>
      <c r="AD274" s="17" t="n"/>
      <c r="AE274" s="16" t="n"/>
      <c r="AF274" s="20" t="inlineStr">
        <is>
          <t>IC Anionen</t>
        </is>
      </c>
      <c r="AG274" s="20" t="inlineStr">
        <is>
          <t>None</t>
        </is>
      </c>
      <c r="AH274" s="17" t="n"/>
      <c r="AI274" s="16" t="n"/>
      <c r="AJ274" s="20" t="n"/>
      <c r="AK274" s="20" t="inlineStr">
        <is>
          <t>None</t>
        </is>
      </c>
      <c r="AL274" s="17" t="n"/>
      <c r="AM274" s="16" t="n"/>
      <c r="AN274" s="20" t="inlineStr">
        <is>
          <t>IC Anionen</t>
        </is>
      </c>
      <c r="AO274" s="20" t="inlineStr">
        <is>
          <t>None</t>
        </is>
      </c>
      <c r="AP274" s="17" t="n"/>
      <c r="AQ274" s="16" t="n"/>
      <c r="AR274" s="20" t="n"/>
      <c r="AS274" s="20" t="inlineStr">
        <is>
          <t>None</t>
        </is>
      </c>
      <c r="AT274" s="17" t="n"/>
      <c r="AU274" s="16" t="n"/>
      <c r="AV274" s="20" t="n"/>
      <c r="AW274" s="20" t="inlineStr">
        <is>
          <t>None</t>
        </is>
      </c>
      <c r="AX274" s="17" t="n"/>
      <c r="AY274" s="16" t="n"/>
      <c r="AZ274" s="20" t="inlineStr">
        <is>
          <t>IC Anionen</t>
        </is>
      </c>
      <c r="BA274" s="20" t="inlineStr">
        <is>
          <t>None</t>
        </is>
      </c>
      <c r="BB274" s="17" t="n"/>
      <c r="BC274" s="16" t="n"/>
      <c r="BD274" s="20" t="inlineStr">
        <is>
          <t>IC Kationen</t>
        </is>
      </c>
      <c r="BE274" s="20" t="inlineStr">
        <is>
          <t>None</t>
        </is>
      </c>
      <c r="BF274" s="17" t="n"/>
      <c r="BG274" s="16" t="n"/>
      <c r="BH274" s="20" t="inlineStr">
        <is>
          <t>IC Kationen</t>
        </is>
      </c>
      <c r="BI274" s="20" t="inlineStr">
        <is>
          <t>None</t>
        </is>
      </c>
      <c r="BJ274" s="17" t="n"/>
      <c r="BK274" s="16" t="n"/>
      <c r="BL274" s="20" t="inlineStr">
        <is>
          <t>IC Kationen</t>
        </is>
      </c>
      <c r="BM274" s="20" t="inlineStr">
        <is>
          <t>None</t>
        </is>
      </c>
      <c r="BN274" s="17" t="n"/>
      <c r="BO274" s="16" t="n"/>
      <c r="BP274" s="20" t="inlineStr">
        <is>
          <t>IC Kationen</t>
        </is>
      </c>
      <c r="BQ274" s="20" t="inlineStr">
        <is>
          <t>None</t>
        </is>
      </c>
      <c r="BR274" s="17" t="n"/>
      <c r="BS274" s="16" t="n"/>
      <c r="BT274" s="20" t="inlineStr">
        <is>
          <t>IC Kationen</t>
        </is>
      </c>
      <c r="BU274" s="20" t="inlineStr">
        <is>
          <t>None</t>
        </is>
      </c>
      <c r="BV274" s="17" t="n"/>
      <c r="BW274" s="16" t="n"/>
      <c r="BX274" s="20" t="n"/>
      <c r="BY274" s="20" t="inlineStr">
        <is>
          <t>None</t>
        </is>
      </c>
      <c r="BZ274" s="17" t="n"/>
      <c r="CA274" s="16" t="n"/>
      <c r="CB274" s="20" t="n"/>
      <c r="CC274" s="20" t="inlineStr">
        <is>
          <t>None</t>
        </is>
      </c>
      <c r="CD274" s="17" t="n"/>
      <c r="CE274" s="16" t="n"/>
      <c r="CF274" s="20" t="n"/>
      <c r="CG274" s="20" t="inlineStr">
        <is>
          <t>None</t>
        </is>
      </c>
      <c r="CH274" s="17" t="n"/>
      <c r="CI274" s="16" t="n"/>
      <c r="CJ274" s="20" t="n"/>
      <c r="CK274" s="20" t="inlineStr">
        <is>
          <t>None</t>
        </is>
      </c>
      <c r="CL274" s="17" t="n"/>
      <c r="CM274" s="16" t="n"/>
      <c r="CN274" s="20" t="inlineStr">
        <is>
          <t>SOP 45-34</t>
        </is>
      </c>
      <c r="CO274" s="20" t="inlineStr">
        <is>
          <t>None</t>
        </is>
      </c>
      <c r="CP274" s="17" t="n"/>
      <c r="CQ274" s="16" t="n"/>
      <c r="CR274" s="20" t="n"/>
      <c r="CS274" s="20" t="inlineStr">
        <is>
          <t>None</t>
        </is>
      </c>
      <c r="CT274" s="17" t="n"/>
      <c r="CU274" s="16" t="n"/>
      <c r="CV274" s="20" t="n"/>
      <c r="CW274" s="20" t="inlineStr">
        <is>
          <t>None</t>
        </is>
      </c>
      <c r="CX274" s="17" t="n"/>
      <c r="CY274" s="16" t="n"/>
      <c r="CZ274" s="20" t="inlineStr">
        <is>
          <t>WTW Multimeter 3430 with FDO 925</t>
        </is>
      </c>
      <c r="DA274" s="20" t="inlineStr">
        <is>
          <t>None</t>
        </is>
      </c>
      <c r="DB274" s="17" t="n"/>
      <c r="DC274" s="16" t="n"/>
      <c r="DD274" s="20" t="n"/>
      <c r="DE274" s="20" t="inlineStr">
        <is>
          <t>None</t>
        </is>
      </c>
      <c r="DF274" s="17" t="n"/>
      <c r="DG274" s="16" t="n"/>
      <c r="DH274" s="20" t="inlineStr">
        <is>
          <t>SOP 45-09</t>
        </is>
      </c>
      <c r="DI274" s="20" t="inlineStr">
        <is>
          <t>None</t>
        </is>
      </c>
      <c r="DJ274" s="17" t="n"/>
      <c r="DK274" s="16" t="n"/>
      <c r="DL274" s="20" t="inlineStr">
        <is>
          <t>SOP 45-09 (SOP muss noch angepasst werden für VSS)</t>
        </is>
      </c>
      <c r="DM274" s="20" t="inlineStr">
        <is>
          <t>None</t>
        </is>
      </c>
      <c r="DN274" s="17" t="n"/>
      <c r="DO274" s="16" t="n"/>
      <c r="DP274" s="20" t="inlineStr">
        <is>
          <t>IC Organic Acids</t>
        </is>
      </c>
      <c r="DQ274" s="20" t="inlineStr">
        <is>
          <t>None</t>
        </is>
      </c>
      <c r="DR274" s="17" t="n"/>
      <c r="DS274" s="16" t="n"/>
      <c r="DT274" s="20" t="inlineStr">
        <is>
          <t>IC Organic Acids</t>
        </is>
      </c>
      <c r="DU274" s="20" t="inlineStr">
        <is>
          <t>None</t>
        </is>
      </c>
      <c r="DV274" s="17" t="n"/>
      <c r="DW274" s="16" t="n"/>
      <c r="DX274" s="20" t="inlineStr">
        <is>
          <t>IC Organic Acids</t>
        </is>
      </c>
      <c r="DY274" s="20" t="inlineStr">
        <is>
          <t>None</t>
        </is>
      </c>
      <c r="DZ274" s="17" t="n"/>
      <c r="EA274" s="16" t="n"/>
      <c r="EB274" s="20" t="inlineStr">
        <is>
          <t>IC Organic Acids</t>
        </is>
      </c>
      <c r="EC274" s="20" t="inlineStr">
        <is>
          <t>None</t>
        </is>
      </c>
      <c r="ED274" s="17" t="n"/>
      <c r="EE274" s="16" t="n"/>
      <c r="EF274" s="20" t="inlineStr">
        <is>
          <t>IC Organic Acids</t>
        </is>
      </c>
      <c r="EG274" s="20" t="inlineStr">
        <is>
          <t>None</t>
        </is>
      </c>
      <c r="EH274" s="17" t="n"/>
      <c r="EI274" s="16" t="n"/>
      <c r="EJ274" s="20" t="inlineStr">
        <is>
          <t>IC Organic Acids</t>
        </is>
      </c>
      <c r="EK274" s="20" t="inlineStr">
        <is>
          <t>None</t>
        </is>
      </c>
      <c r="EL274" s="17" t="n"/>
      <c r="EM274" s="16" t="n"/>
      <c r="EN274" s="20" t="inlineStr">
        <is>
          <t>IC Organic Acids</t>
        </is>
      </c>
      <c r="EO274" s="20" t="inlineStr">
        <is>
          <t>None</t>
        </is>
      </c>
      <c r="EP274" s="17" t="n"/>
      <c r="EQ274" s="16" t="n"/>
      <c r="ER274" s="20" t="inlineStr">
        <is>
          <t>IC Organic Acids</t>
        </is>
      </c>
      <c r="ES274" s="20" t="inlineStr">
        <is>
          <t>None</t>
        </is>
      </c>
      <c r="ET274" s="17" t="n"/>
      <c r="EU274" s="16" t="n"/>
      <c r="EV274" s="20" t="inlineStr">
        <is>
          <t>LC-MS</t>
        </is>
      </c>
      <c r="EW274" s="20" t="inlineStr">
        <is>
          <t>None</t>
        </is>
      </c>
      <c r="EX274" s="17" t="n"/>
      <c r="EY274" s="21" t="n"/>
      <c r="EZ274">
        <f>CONCATENATE(A274,B274)</f>
        <v/>
      </c>
      <c r="FA274">
        <f>CONCATENATE(SamplesX!A274,SamplesX!B274)</f>
        <v/>
      </c>
      <c r="FC274">
        <f>MATCH(EZ274,FA1:FA1008,0)</f>
        <v/>
      </c>
    </row>
    <row r="275">
      <c r="A275" s="16" t="inlineStr">
        <is>
          <t>BP</t>
        </is>
      </c>
      <c r="B275" s="17" t="inlineStr">
        <is>
          <t>25267</t>
        </is>
      </c>
      <c r="C275" s="10">
        <f>IF(ISNUMBER(FC275),INDIRECT("SamplesX!C"&amp;FC275),IF(ISNUMBER(FD275),INDIRECT("SamplesY!C"&amp;FD275),""))</f>
        <v/>
      </c>
      <c r="D275" s="12">
        <f>IF(ISNUMBER(FC275),INDIRECT("SamplesX!D"&amp;FC275),IF(ISNUMBER(FD275),INDIRECT("SamplesY!D"&amp;FD275),""))</f>
        <v/>
      </c>
      <c r="E275" s="12">
        <f>IF(ISNUMBER(FC275),INDIRECT("SamplesX!E"&amp;FC275),IF(ISNUMBER(FD275),INDIRECT("SamplesY!E"&amp;FD275),""))</f>
        <v/>
      </c>
      <c r="F275" s="11">
        <f>IF(ISNUMBER(FC275),INDIRECT("SamplesX!F"&amp;FC275),IF(ISNUMBER(FD275),INDIRECT("SamplesY!F"&amp;FD275),""))</f>
        <v/>
      </c>
      <c r="G275" s="18">
        <f>IF(ISNUMBER(FC275),INDIRECT("SamplesX!G"&amp;FC275),IF(ISNUMBER(FD275),INDIRECT("SamplesY!G"&amp;FD275),""))</f>
        <v/>
      </c>
      <c r="H275" s="19">
        <f>IF(ISNUMBER(FC275),INDIRECT("SamplesX!H"&amp;FC275),IF(ISNUMBER(FD275),INDIRECT("SamplesY!H"&amp;FD275),""))</f>
        <v/>
      </c>
      <c r="I275" s="16" t="n"/>
      <c r="J275" s="16" t="n"/>
      <c r="K275" s="16" t="n"/>
      <c r="L275" s="20" t="n"/>
      <c r="M275" s="20" t="inlineStr">
        <is>
          <t>None</t>
        </is>
      </c>
      <c r="N275" s="17" t="n"/>
      <c r="O275" s="16" t="n"/>
      <c r="P275" s="20" t="inlineStr">
        <is>
          <t>Shimadzu TOC-L</t>
        </is>
      </c>
      <c r="Q275" s="20" t="inlineStr">
        <is>
          <t>None</t>
        </is>
      </c>
      <c r="R275" s="17" t="n"/>
      <c r="S275" s="16" t="n"/>
      <c r="T275" s="20" t="inlineStr">
        <is>
          <t>Shimadzu TOC-L</t>
        </is>
      </c>
      <c r="U275" s="20" t="inlineStr">
        <is>
          <t>None</t>
        </is>
      </c>
      <c r="V275" s="17" t="n"/>
      <c r="W275" s="16" t="n"/>
      <c r="X275" s="20" t="n"/>
      <c r="Y275" s="20" t="inlineStr">
        <is>
          <t>None</t>
        </is>
      </c>
      <c r="Z275" s="17" t="n"/>
      <c r="AA275" s="16" t="n"/>
      <c r="AB275" s="20" t="n"/>
      <c r="AC275" s="20" t="inlineStr">
        <is>
          <t>None</t>
        </is>
      </c>
      <c r="AD275" s="17" t="n"/>
      <c r="AE275" s="16" t="n"/>
      <c r="AF275" s="20" t="inlineStr">
        <is>
          <t>IC Anionen</t>
        </is>
      </c>
      <c r="AG275" s="20" t="inlineStr">
        <is>
          <t>None</t>
        </is>
      </c>
      <c r="AH275" s="17" t="n"/>
      <c r="AI275" s="16" t="n"/>
      <c r="AJ275" s="20" t="n"/>
      <c r="AK275" s="20" t="inlineStr">
        <is>
          <t>None</t>
        </is>
      </c>
      <c r="AL275" s="17" t="n"/>
      <c r="AM275" s="16" t="n"/>
      <c r="AN275" s="20" t="inlineStr">
        <is>
          <t>IC Anionen</t>
        </is>
      </c>
      <c r="AO275" s="20" t="inlineStr">
        <is>
          <t>None</t>
        </is>
      </c>
      <c r="AP275" s="17" t="n"/>
      <c r="AQ275" s="16" t="n"/>
      <c r="AR275" s="20" t="n"/>
      <c r="AS275" s="20" t="inlineStr">
        <is>
          <t>None</t>
        </is>
      </c>
      <c r="AT275" s="17" t="n"/>
      <c r="AU275" s="16" t="n"/>
      <c r="AV275" s="20" t="n"/>
      <c r="AW275" s="20" t="inlineStr">
        <is>
          <t>None</t>
        </is>
      </c>
      <c r="AX275" s="17" t="n"/>
      <c r="AY275" s="16" t="n"/>
      <c r="AZ275" s="20" t="inlineStr">
        <is>
          <t>IC Anionen</t>
        </is>
      </c>
      <c r="BA275" s="20" t="inlineStr">
        <is>
          <t>None</t>
        </is>
      </c>
      <c r="BB275" s="17" t="n"/>
      <c r="BC275" s="16" t="n"/>
      <c r="BD275" s="20" t="inlineStr">
        <is>
          <t>IC Kationen</t>
        </is>
      </c>
      <c r="BE275" s="20" t="inlineStr">
        <is>
          <t>None</t>
        </is>
      </c>
      <c r="BF275" s="17" t="n"/>
      <c r="BG275" s="16" t="n"/>
      <c r="BH275" s="20" t="inlineStr">
        <is>
          <t>IC Kationen</t>
        </is>
      </c>
      <c r="BI275" s="20" t="inlineStr">
        <is>
          <t>None</t>
        </is>
      </c>
      <c r="BJ275" s="17" t="n"/>
      <c r="BK275" s="16" t="n"/>
      <c r="BL275" s="20" t="inlineStr">
        <is>
          <t>IC Kationen</t>
        </is>
      </c>
      <c r="BM275" s="20" t="inlineStr">
        <is>
          <t>None</t>
        </is>
      </c>
      <c r="BN275" s="17" t="n"/>
      <c r="BO275" s="16" t="n"/>
      <c r="BP275" s="20" t="inlineStr">
        <is>
          <t>IC Kationen</t>
        </is>
      </c>
      <c r="BQ275" s="20" t="inlineStr">
        <is>
          <t>None</t>
        </is>
      </c>
      <c r="BR275" s="17" t="n"/>
      <c r="BS275" s="16" t="n"/>
      <c r="BT275" s="20" t="inlineStr">
        <is>
          <t>IC Kationen</t>
        </is>
      </c>
      <c r="BU275" s="20" t="inlineStr">
        <is>
          <t>None</t>
        </is>
      </c>
      <c r="BV275" s="17" t="n"/>
      <c r="BW275" s="16" t="n"/>
      <c r="BX275" s="20" t="n"/>
      <c r="BY275" s="20" t="inlineStr">
        <is>
          <t>None</t>
        </is>
      </c>
      <c r="BZ275" s="17" t="n"/>
      <c r="CA275" s="16" t="n"/>
      <c r="CB275" s="20" t="n"/>
      <c r="CC275" s="20" t="inlineStr">
        <is>
          <t>None</t>
        </is>
      </c>
      <c r="CD275" s="17" t="n"/>
      <c r="CE275" s="16" t="n"/>
      <c r="CF275" s="20" t="n"/>
      <c r="CG275" s="20" t="inlineStr">
        <is>
          <t>None</t>
        </is>
      </c>
      <c r="CH275" s="17" t="n"/>
      <c r="CI275" s="16" t="n"/>
      <c r="CJ275" s="20" t="n"/>
      <c r="CK275" s="20" t="inlineStr">
        <is>
          <t>None</t>
        </is>
      </c>
      <c r="CL275" s="17" t="n"/>
      <c r="CM275" s="16" t="n"/>
      <c r="CN275" s="20" t="inlineStr">
        <is>
          <t>SOP 45-34</t>
        </is>
      </c>
      <c r="CO275" s="20" t="inlineStr">
        <is>
          <t>None</t>
        </is>
      </c>
      <c r="CP275" s="17" t="n"/>
      <c r="CQ275" s="16" t="n"/>
      <c r="CR275" s="20" t="n"/>
      <c r="CS275" s="20" t="inlineStr">
        <is>
          <t>None</t>
        </is>
      </c>
      <c r="CT275" s="17" t="n"/>
      <c r="CU275" s="16" t="n"/>
      <c r="CV275" s="20" t="n"/>
      <c r="CW275" s="20" t="inlineStr">
        <is>
          <t>None</t>
        </is>
      </c>
      <c r="CX275" s="17" t="n"/>
      <c r="CY275" s="16" t="n"/>
      <c r="CZ275" s="20" t="inlineStr">
        <is>
          <t>WTW Multimeter 3430 with FDO 925</t>
        </is>
      </c>
      <c r="DA275" s="20" t="inlineStr">
        <is>
          <t>None</t>
        </is>
      </c>
      <c r="DB275" s="17" t="n"/>
      <c r="DC275" s="16" t="n"/>
      <c r="DD275" s="20" t="n"/>
      <c r="DE275" s="20" t="inlineStr">
        <is>
          <t>None</t>
        </is>
      </c>
      <c r="DF275" s="17" t="n"/>
      <c r="DG275" s="16" t="n"/>
      <c r="DH275" s="20" t="inlineStr">
        <is>
          <t>SOP 45-09</t>
        </is>
      </c>
      <c r="DI275" s="20" t="inlineStr">
        <is>
          <t>None</t>
        </is>
      </c>
      <c r="DJ275" s="17" t="n"/>
      <c r="DK275" s="16" t="n"/>
      <c r="DL275" s="20" t="inlineStr">
        <is>
          <t>SOP 45-09 (SOP muss noch angepasst werden für VSS)</t>
        </is>
      </c>
      <c r="DM275" s="20" t="inlineStr">
        <is>
          <t>None</t>
        </is>
      </c>
      <c r="DN275" s="17" t="n"/>
      <c r="DO275" s="16" t="n"/>
      <c r="DP275" s="20" t="inlineStr">
        <is>
          <t>IC Organic Acids</t>
        </is>
      </c>
      <c r="DQ275" s="20" t="inlineStr">
        <is>
          <t>None</t>
        </is>
      </c>
      <c r="DR275" s="17" t="n"/>
      <c r="DS275" s="16" t="n"/>
      <c r="DT275" s="20" t="inlineStr">
        <is>
          <t>IC Organic Acids</t>
        </is>
      </c>
      <c r="DU275" s="20" t="inlineStr">
        <is>
          <t>None</t>
        </is>
      </c>
      <c r="DV275" s="17" t="n"/>
      <c r="DW275" s="16" t="n"/>
      <c r="DX275" s="20" t="inlineStr">
        <is>
          <t>IC Organic Acids</t>
        </is>
      </c>
      <c r="DY275" s="20" t="inlineStr">
        <is>
          <t>None</t>
        </is>
      </c>
      <c r="DZ275" s="17" t="n"/>
      <c r="EA275" s="16" t="n"/>
      <c r="EB275" s="20" t="inlineStr">
        <is>
          <t>IC Organic Acids</t>
        </is>
      </c>
      <c r="EC275" s="20" t="inlineStr">
        <is>
          <t>None</t>
        </is>
      </c>
      <c r="ED275" s="17" t="n"/>
      <c r="EE275" s="16" t="n"/>
      <c r="EF275" s="20" t="inlineStr">
        <is>
          <t>IC Organic Acids</t>
        </is>
      </c>
      <c r="EG275" s="20" t="inlineStr">
        <is>
          <t>None</t>
        </is>
      </c>
      <c r="EH275" s="17" t="n"/>
      <c r="EI275" s="16" t="n"/>
      <c r="EJ275" s="20" t="inlineStr">
        <is>
          <t>IC Organic Acids</t>
        </is>
      </c>
      <c r="EK275" s="20" t="inlineStr">
        <is>
          <t>None</t>
        </is>
      </c>
      <c r="EL275" s="17" t="n"/>
      <c r="EM275" s="16" t="n"/>
      <c r="EN275" s="20" t="inlineStr">
        <is>
          <t>IC Organic Acids</t>
        </is>
      </c>
      <c r="EO275" s="20" t="inlineStr">
        <is>
          <t>None</t>
        </is>
      </c>
      <c r="EP275" s="17" t="n"/>
      <c r="EQ275" s="16" t="n"/>
      <c r="ER275" s="20" t="inlineStr">
        <is>
          <t>IC Organic Acids</t>
        </is>
      </c>
      <c r="ES275" s="20" t="inlineStr">
        <is>
          <t>None</t>
        </is>
      </c>
      <c r="ET275" s="17" t="n"/>
      <c r="EU275" s="16" t="n"/>
      <c r="EV275" s="20" t="inlineStr">
        <is>
          <t>LC-MS</t>
        </is>
      </c>
      <c r="EW275" s="20" t="inlineStr">
        <is>
          <t>None</t>
        </is>
      </c>
      <c r="EX275" s="17" t="n"/>
      <c r="EY275" s="21" t="n"/>
      <c r="EZ275">
        <f>CONCATENATE(A275,B275)</f>
        <v/>
      </c>
      <c r="FA275">
        <f>CONCATENATE(SamplesX!A275,SamplesX!B275)</f>
        <v/>
      </c>
      <c r="FC275">
        <f>MATCH(EZ275,FA1:FA1008,0)</f>
        <v/>
      </c>
    </row>
    <row r="276">
      <c r="A276" s="16" t="inlineStr">
        <is>
          <t>BP</t>
        </is>
      </c>
      <c r="B276" s="17" t="inlineStr">
        <is>
          <t>25268</t>
        </is>
      </c>
      <c r="C276" s="10">
        <f>IF(ISNUMBER(FC276),INDIRECT("SamplesX!C"&amp;FC276),IF(ISNUMBER(FD276),INDIRECT("SamplesY!C"&amp;FD276),""))</f>
        <v/>
      </c>
      <c r="D276" s="12">
        <f>IF(ISNUMBER(FC276),INDIRECT("SamplesX!D"&amp;FC276),IF(ISNUMBER(FD276),INDIRECT("SamplesY!D"&amp;FD276),""))</f>
        <v/>
      </c>
      <c r="E276" s="12">
        <f>IF(ISNUMBER(FC276),INDIRECT("SamplesX!E"&amp;FC276),IF(ISNUMBER(FD276),INDIRECT("SamplesY!E"&amp;FD276),""))</f>
        <v/>
      </c>
      <c r="F276" s="11">
        <f>IF(ISNUMBER(FC276),INDIRECT("SamplesX!F"&amp;FC276),IF(ISNUMBER(FD276),INDIRECT("SamplesY!F"&amp;FD276),""))</f>
        <v/>
      </c>
      <c r="G276" s="18">
        <f>IF(ISNUMBER(FC276),INDIRECT("SamplesX!G"&amp;FC276),IF(ISNUMBER(FD276),INDIRECT("SamplesY!G"&amp;FD276),""))</f>
        <v/>
      </c>
      <c r="H276" s="19">
        <f>IF(ISNUMBER(FC276),INDIRECT("SamplesX!H"&amp;FC276),IF(ISNUMBER(FD276),INDIRECT("SamplesY!H"&amp;FD276),""))</f>
        <v/>
      </c>
      <c r="I276" s="16" t="n"/>
      <c r="J276" s="16" t="n"/>
      <c r="K276" s="16" t="n"/>
      <c r="L276" s="20" t="n"/>
      <c r="M276" s="20" t="inlineStr">
        <is>
          <t>None</t>
        </is>
      </c>
      <c r="N276" s="17" t="n"/>
      <c r="O276" s="16" t="n"/>
      <c r="P276" s="20" t="inlineStr">
        <is>
          <t>Shimadzu TOC-L</t>
        </is>
      </c>
      <c r="Q276" s="20" t="inlineStr">
        <is>
          <t>None</t>
        </is>
      </c>
      <c r="R276" s="17" t="n"/>
      <c r="S276" s="16" t="n"/>
      <c r="T276" s="20" t="inlineStr">
        <is>
          <t>Shimadzu TOC-L</t>
        </is>
      </c>
      <c r="U276" s="20" t="inlineStr">
        <is>
          <t>None</t>
        </is>
      </c>
      <c r="V276" s="17" t="n"/>
      <c r="W276" s="16" t="n"/>
      <c r="X276" s="20" t="n"/>
      <c r="Y276" s="20" t="inlineStr">
        <is>
          <t>None</t>
        </is>
      </c>
      <c r="Z276" s="17" t="n"/>
      <c r="AA276" s="16" t="n"/>
      <c r="AB276" s="20" t="n"/>
      <c r="AC276" s="20" t="inlineStr">
        <is>
          <t>None</t>
        </is>
      </c>
      <c r="AD276" s="17" t="n"/>
      <c r="AE276" s="16" t="n"/>
      <c r="AF276" s="20" t="inlineStr">
        <is>
          <t>IC Anionen</t>
        </is>
      </c>
      <c r="AG276" s="20" t="inlineStr">
        <is>
          <t>None</t>
        </is>
      </c>
      <c r="AH276" s="17" t="n"/>
      <c r="AI276" s="16" t="n"/>
      <c r="AJ276" s="20" t="n"/>
      <c r="AK276" s="20" t="inlineStr">
        <is>
          <t>None</t>
        </is>
      </c>
      <c r="AL276" s="17" t="n"/>
      <c r="AM276" s="16" t="n"/>
      <c r="AN276" s="20" t="inlineStr">
        <is>
          <t>IC Anionen</t>
        </is>
      </c>
      <c r="AO276" s="20" t="inlineStr">
        <is>
          <t>None</t>
        </is>
      </c>
      <c r="AP276" s="17" t="n"/>
      <c r="AQ276" s="16" t="n"/>
      <c r="AR276" s="20" t="n"/>
      <c r="AS276" s="20" t="inlineStr">
        <is>
          <t>None</t>
        </is>
      </c>
      <c r="AT276" s="17" t="n"/>
      <c r="AU276" s="16" t="n"/>
      <c r="AV276" s="20" t="n"/>
      <c r="AW276" s="20" t="inlineStr">
        <is>
          <t>None</t>
        </is>
      </c>
      <c r="AX276" s="17" t="n"/>
      <c r="AY276" s="16" t="n"/>
      <c r="AZ276" s="20" t="inlineStr">
        <is>
          <t>IC Anionen</t>
        </is>
      </c>
      <c r="BA276" s="20" t="inlineStr">
        <is>
          <t>None</t>
        </is>
      </c>
      <c r="BB276" s="17" t="n"/>
      <c r="BC276" s="16" t="n"/>
      <c r="BD276" s="20" t="inlineStr">
        <is>
          <t>IC Kationen</t>
        </is>
      </c>
      <c r="BE276" s="20" t="inlineStr">
        <is>
          <t>None</t>
        </is>
      </c>
      <c r="BF276" s="17" t="n"/>
      <c r="BG276" s="16" t="n"/>
      <c r="BH276" s="20" t="inlineStr">
        <is>
          <t>IC Kationen</t>
        </is>
      </c>
      <c r="BI276" s="20" t="inlineStr">
        <is>
          <t>None</t>
        </is>
      </c>
      <c r="BJ276" s="17" t="n"/>
      <c r="BK276" s="16" t="n"/>
      <c r="BL276" s="20" t="inlineStr">
        <is>
          <t>IC Kationen</t>
        </is>
      </c>
      <c r="BM276" s="20" t="inlineStr">
        <is>
          <t>None</t>
        </is>
      </c>
      <c r="BN276" s="17" t="n"/>
      <c r="BO276" s="16" t="n"/>
      <c r="BP276" s="20" t="inlineStr">
        <is>
          <t>IC Kationen</t>
        </is>
      </c>
      <c r="BQ276" s="20" t="inlineStr">
        <is>
          <t>None</t>
        </is>
      </c>
      <c r="BR276" s="17" t="n"/>
      <c r="BS276" s="16" t="n"/>
      <c r="BT276" s="20" t="inlineStr">
        <is>
          <t>IC Kationen</t>
        </is>
      </c>
      <c r="BU276" s="20" t="inlineStr">
        <is>
          <t>None</t>
        </is>
      </c>
      <c r="BV276" s="17" t="n"/>
      <c r="BW276" s="16" t="n"/>
      <c r="BX276" s="20" t="n"/>
      <c r="BY276" s="20" t="inlineStr">
        <is>
          <t>None</t>
        </is>
      </c>
      <c r="BZ276" s="17" t="n"/>
      <c r="CA276" s="16" t="n"/>
      <c r="CB276" s="20" t="n"/>
      <c r="CC276" s="20" t="inlineStr">
        <is>
          <t>None</t>
        </is>
      </c>
      <c r="CD276" s="17" t="n"/>
      <c r="CE276" s="16" t="n"/>
      <c r="CF276" s="20" t="n"/>
      <c r="CG276" s="20" t="inlineStr">
        <is>
          <t>None</t>
        </is>
      </c>
      <c r="CH276" s="17" t="n"/>
      <c r="CI276" s="16" t="n"/>
      <c r="CJ276" s="20" t="n"/>
      <c r="CK276" s="20" t="inlineStr">
        <is>
          <t>None</t>
        </is>
      </c>
      <c r="CL276" s="17" t="n"/>
      <c r="CM276" s="16" t="n"/>
      <c r="CN276" s="20" t="inlineStr">
        <is>
          <t>SOP 45-34</t>
        </is>
      </c>
      <c r="CO276" s="20" t="inlineStr">
        <is>
          <t>None</t>
        </is>
      </c>
      <c r="CP276" s="17" t="n"/>
      <c r="CQ276" s="16" t="n"/>
      <c r="CR276" s="20" t="n"/>
      <c r="CS276" s="20" t="inlineStr">
        <is>
          <t>None</t>
        </is>
      </c>
      <c r="CT276" s="17" t="n"/>
      <c r="CU276" s="16" t="n"/>
      <c r="CV276" s="20" t="n"/>
      <c r="CW276" s="20" t="inlineStr">
        <is>
          <t>None</t>
        </is>
      </c>
      <c r="CX276" s="17" t="n"/>
      <c r="CY276" s="16" t="n"/>
      <c r="CZ276" s="20" t="inlineStr">
        <is>
          <t>WTW Multimeter 3430 with FDO 925</t>
        </is>
      </c>
      <c r="DA276" s="20" t="inlineStr">
        <is>
          <t>None</t>
        </is>
      </c>
      <c r="DB276" s="17" t="n"/>
      <c r="DC276" s="16" t="n"/>
      <c r="DD276" s="20" t="n"/>
      <c r="DE276" s="20" t="inlineStr">
        <is>
          <t>None</t>
        </is>
      </c>
      <c r="DF276" s="17" t="n"/>
      <c r="DG276" s="16" t="n"/>
      <c r="DH276" s="20" t="inlineStr">
        <is>
          <t>SOP 45-09</t>
        </is>
      </c>
      <c r="DI276" s="20" t="inlineStr">
        <is>
          <t>None</t>
        </is>
      </c>
      <c r="DJ276" s="17" t="n"/>
      <c r="DK276" s="16" t="n"/>
      <c r="DL276" s="20" t="inlineStr">
        <is>
          <t>SOP 45-09 (SOP muss noch angepasst werden für VSS)</t>
        </is>
      </c>
      <c r="DM276" s="20" t="inlineStr">
        <is>
          <t>None</t>
        </is>
      </c>
      <c r="DN276" s="17" t="n"/>
      <c r="DO276" s="16" t="n"/>
      <c r="DP276" s="20" t="inlineStr">
        <is>
          <t>IC Organic Acids</t>
        </is>
      </c>
      <c r="DQ276" s="20" t="inlineStr">
        <is>
          <t>None</t>
        </is>
      </c>
      <c r="DR276" s="17" t="n"/>
      <c r="DS276" s="16" t="n"/>
      <c r="DT276" s="20" t="inlineStr">
        <is>
          <t>IC Organic Acids</t>
        </is>
      </c>
      <c r="DU276" s="20" t="inlineStr">
        <is>
          <t>None</t>
        </is>
      </c>
      <c r="DV276" s="17" t="n"/>
      <c r="DW276" s="16" t="n"/>
      <c r="DX276" s="20" t="inlineStr">
        <is>
          <t>IC Organic Acids</t>
        </is>
      </c>
      <c r="DY276" s="20" t="inlineStr">
        <is>
          <t>None</t>
        </is>
      </c>
      <c r="DZ276" s="17" t="n"/>
      <c r="EA276" s="16" t="n"/>
      <c r="EB276" s="20" t="inlineStr">
        <is>
          <t>IC Organic Acids</t>
        </is>
      </c>
      <c r="EC276" s="20" t="inlineStr">
        <is>
          <t>None</t>
        </is>
      </c>
      <c r="ED276" s="17" t="n"/>
      <c r="EE276" s="16" t="n"/>
      <c r="EF276" s="20" t="inlineStr">
        <is>
          <t>IC Organic Acids</t>
        </is>
      </c>
      <c r="EG276" s="20" t="inlineStr">
        <is>
          <t>None</t>
        </is>
      </c>
      <c r="EH276" s="17" t="n"/>
      <c r="EI276" s="16" t="n"/>
      <c r="EJ276" s="20" t="inlineStr">
        <is>
          <t>IC Organic Acids</t>
        </is>
      </c>
      <c r="EK276" s="20" t="inlineStr">
        <is>
          <t>None</t>
        </is>
      </c>
      <c r="EL276" s="17" t="n"/>
      <c r="EM276" s="16" t="n"/>
      <c r="EN276" s="20" t="inlineStr">
        <is>
          <t>IC Organic Acids</t>
        </is>
      </c>
      <c r="EO276" s="20" t="inlineStr">
        <is>
          <t>None</t>
        </is>
      </c>
      <c r="EP276" s="17" t="n"/>
      <c r="EQ276" s="16" t="n"/>
      <c r="ER276" s="20" t="inlineStr">
        <is>
          <t>IC Organic Acids</t>
        </is>
      </c>
      <c r="ES276" s="20" t="inlineStr">
        <is>
          <t>None</t>
        </is>
      </c>
      <c r="ET276" s="17" t="n"/>
      <c r="EU276" s="16" t="n"/>
      <c r="EV276" s="20" t="inlineStr">
        <is>
          <t>LC-MS</t>
        </is>
      </c>
      <c r="EW276" s="20" t="inlineStr">
        <is>
          <t>None</t>
        </is>
      </c>
      <c r="EX276" s="17" t="n"/>
      <c r="EY276" s="21" t="n"/>
      <c r="EZ276">
        <f>CONCATENATE(A276,B276)</f>
        <v/>
      </c>
      <c r="FA276">
        <f>CONCATENATE(SamplesX!A276,SamplesX!B276)</f>
        <v/>
      </c>
      <c r="FC276">
        <f>MATCH(EZ276,FA1:FA1008,0)</f>
        <v/>
      </c>
    </row>
    <row r="277">
      <c r="A277" s="16" t="inlineStr">
        <is>
          <t>BP</t>
        </is>
      </c>
      <c r="B277" s="17" t="inlineStr">
        <is>
          <t>25269</t>
        </is>
      </c>
      <c r="C277" s="10">
        <f>IF(ISNUMBER(FC277),INDIRECT("SamplesX!C"&amp;FC277),IF(ISNUMBER(FD277),INDIRECT("SamplesY!C"&amp;FD277),""))</f>
        <v/>
      </c>
      <c r="D277" s="12">
        <f>IF(ISNUMBER(FC277),INDIRECT("SamplesX!D"&amp;FC277),IF(ISNUMBER(FD277),INDIRECT("SamplesY!D"&amp;FD277),""))</f>
        <v/>
      </c>
      <c r="E277" s="12">
        <f>IF(ISNUMBER(FC277),INDIRECT("SamplesX!E"&amp;FC277),IF(ISNUMBER(FD277),INDIRECT("SamplesY!E"&amp;FD277),""))</f>
        <v/>
      </c>
      <c r="F277" s="11">
        <f>IF(ISNUMBER(FC277),INDIRECT("SamplesX!F"&amp;FC277),IF(ISNUMBER(FD277),INDIRECT("SamplesY!F"&amp;FD277),""))</f>
        <v/>
      </c>
      <c r="G277" s="18">
        <f>IF(ISNUMBER(FC277),INDIRECT("SamplesX!G"&amp;FC277),IF(ISNUMBER(FD277),INDIRECT("SamplesY!G"&amp;FD277),""))</f>
        <v/>
      </c>
      <c r="H277" s="19">
        <f>IF(ISNUMBER(FC277),INDIRECT("SamplesX!H"&amp;FC277),IF(ISNUMBER(FD277),INDIRECT("SamplesY!H"&amp;FD277),""))</f>
        <v/>
      </c>
      <c r="I277" s="16" t="n"/>
      <c r="J277" s="16" t="n"/>
      <c r="K277" s="16" t="n"/>
      <c r="L277" s="20" t="n"/>
      <c r="M277" s="20" t="inlineStr">
        <is>
          <t>None</t>
        </is>
      </c>
      <c r="N277" s="17" t="n"/>
      <c r="O277" s="16" t="n"/>
      <c r="P277" s="20" t="inlineStr">
        <is>
          <t>Shimadzu TOC-L</t>
        </is>
      </c>
      <c r="Q277" s="20" t="inlineStr">
        <is>
          <t>None</t>
        </is>
      </c>
      <c r="R277" s="17" t="n"/>
      <c r="S277" s="16" t="n"/>
      <c r="T277" s="20" t="inlineStr">
        <is>
          <t>Shimadzu TOC-L</t>
        </is>
      </c>
      <c r="U277" s="20" t="inlineStr">
        <is>
          <t>None</t>
        </is>
      </c>
      <c r="V277" s="17" t="n"/>
      <c r="W277" s="16" t="n"/>
      <c r="X277" s="20" t="n"/>
      <c r="Y277" s="20" t="inlineStr">
        <is>
          <t>None</t>
        </is>
      </c>
      <c r="Z277" s="17" t="n"/>
      <c r="AA277" s="16" t="n"/>
      <c r="AB277" s="20" t="n"/>
      <c r="AC277" s="20" t="inlineStr">
        <is>
          <t>None</t>
        </is>
      </c>
      <c r="AD277" s="17" t="n"/>
      <c r="AE277" s="16" t="n"/>
      <c r="AF277" s="20" t="inlineStr">
        <is>
          <t>IC Anionen</t>
        </is>
      </c>
      <c r="AG277" s="20" t="inlineStr">
        <is>
          <t>None</t>
        </is>
      </c>
      <c r="AH277" s="17" t="n"/>
      <c r="AI277" s="16" t="n"/>
      <c r="AJ277" s="20" t="n"/>
      <c r="AK277" s="20" t="inlineStr">
        <is>
          <t>None</t>
        </is>
      </c>
      <c r="AL277" s="17" t="n"/>
      <c r="AM277" s="16" t="n"/>
      <c r="AN277" s="20" t="inlineStr">
        <is>
          <t>IC Anionen</t>
        </is>
      </c>
      <c r="AO277" s="20" t="inlineStr">
        <is>
          <t>None</t>
        </is>
      </c>
      <c r="AP277" s="17" t="n"/>
      <c r="AQ277" s="16" t="n"/>
      <c r="AR277" s="20" t="n"/>
      <c r="AS277" s="20" t="inlineStr">
        <is>
          <t>None</t>
        </is>
      </c>
      <c r="AT277" s="17" t="n"/>
      <c r="AU277" s="16" t="n"/>
      <c r="AV277" s="20" t="n"/>
      <c r="AW277" s="20" t="inlineStr">
        <is>
          <t>None</t>
        </is>
      </c>
      <c r="AX277" s="17" t="n"/>
      <c r="AY277" s="16" t="n"/>
      <c r="AZ277" s="20" t="inlineStr">
        <is>
          <t>IC Anionen</t>
        </is>
      </c>
      <c r="BA277" s="20" t="inlineStr">
        <is>
          <t>None</t>
        </is>
      </c>
      <c r="BB277" s="17" t="n"/>
      <c r="BC277" s="16" t="n"/>
      <c r="BD277" s="20" t="inlineStr">
        <is>
          <t>IC Kationen</t>
        </is>
      </c>
      <c r="BE277" s="20" t="inlineStr">
        <is>
          <t>None</t>
        </is>
      </c>
      <c r="BF277" s="17" t="n"/>
      <c r="BG277" s="16" t="n"/>
      <c r="BH277" s="20" t="inlineStr">
        <is>
          <t>IC Kationen</t>
        </is>
      </c>
      <c r="BI277" s="20" t="inlineStr">
        <is>
          <t>None</t>
        </is>
      </c>
      <c r="BJ277" s="17" t="n"/>
      <c r="BK277" s="16" t="n"/>
      <c r="BL277" s="20" t="inlineStr">
        <is>
          <t>IC Kationen</t>
        </is>
      </c>
      <c r="BM277" s="20" t="inlineStr">
        <is>
          <t>None</t>
        </is>
      </c>
      <c r="BN277" s="17" t="n"/>
      <c r="BO277" s="16" t="n"/>
      <c r="BP277" s="20" t="inlineStr">
        <is>
          <t>IC Kationen</t>
        </is>
      </c>
      <c r="BQ277" s="20" t="inlineStr">
        <is>
          <t>None</t>
        </is>
      </c>
      <c r="BR277" s="17" t="n"/>
      <c r="BS277" s="16" t="n"/>
      <c r="BT277" s="20" t="inlineStr">
        <is>
          <t>IC Kationen</t>
        </is>
      </c>
      <c r="BU277" s="20" t="inlineStr">
        <is>
          <t>None</t>
        </is>
      </c>
      <c r="BV277" s="17" t="n"/>
      <c r="BW277" s="16" t="n"/>
      <c r="BX277" s="20" t="n"/>
      <c r="BY277" s="20" t="inlineStr">
        <is>
          <t>None</t>
        </is>
      </c>
      <c r="BZ277" s="17" t="n"/>
      <c r="CA277" s="16" t="n"/>
      <c r="CB277" s="20" t="n"/>
      <c r="CC277" s="20" t="inlineStr">
        <is>
          <t>None</t>
        </is>
      </c>
      <c r="CD277" s="17" t="n"/>
      <c r="CE277" s="16" t="n"/>
      <c r="CF277" s="20" t="n"/>
      <c r="CG277" s="20" t="inlineStr">
        <is>
          <t>None</t>
        </is>
      </c>
      <c r="CH277" s="17" t="n"/>
      <c r="CI277" s="16" t="n"/>
      <c r="CJ277" s="20" t="n"/>
      <c r="CK277" s="20" t="inlineStr">
        <is>
          <t>None</t>
        </is>
      </c>
      <c r="CL277" s="17" t="n"/>
      <c r="CM277" s="16" t="n"/>
      <c r="CN277" s="20" t="inlineStr">
        <is>
          <t>SOP 45-34</t>
        </is>
      </c>
      <c r="CO277" s="20" t="inlineStr">
        <is>
          <t>None</t>
        </is>
      </c>
      <c r="CP277" s="17" t="n"/>
      <c r="CQ277" s="16" t="n"/>
      <c r="CR277" s="20" t="n"/>
      <c r="CS277" s="20" t="inlineStr">
        <is>
          <t>None</t>
        </is>
      </c>
      <c r="CT277" s="17" t="n"/>
      <c r="CU277" s="16" t="n"/>
      <c r="CV277" s="20" t="n"/>
      <c r="CW277" s="20" t="inlineStr">
        <is>
          <t>None</t>
        </is>
      </c>
      <c r="CX277" s="17" t="n"/>
      <c r="CY277" s="16" t="n"/>
      <c r="CZ277" s="20" t="inlineStr">
        <is>
          <t>WTW Multimeter 3430 with FDO 925</t>
        </is>
      </c>
      <c r="DA277" s="20" t="inlineStr">
        <is>
          <t>None</t>
        </is>
      </c>
      <c r="DB277" s="17" t="n"/>
      <c r="DC277" s="16" t="n"/>
      <c r="DD277" s="20" t="n"/>
      <c r="DE277" s="20" t="inlineStr">
        <is>
          <t>None</t>
        </is>
      </c>
      <c r="DF277" s="17" t="n"/>
      <c r="DG277" s="16" t="n"/>
      <c r="DH277" s="20" t="inlineStr">
        <is>
          <t>SOP 45-09</t>
        </is>
      </c>
      <c r="DI277" s="20" t="inlineStr">
        <is>
          <t>None</t>
        </is>
      </c>
      <c r="DJ277" s="17" t="n"/>
      <c r="DK277" s="16" t="n"/>
      <c r="DL277" s="20" t="inlineStr">
        <is>
          <t>SOP 45-09 (SOP muss noch angepasst werden für VSS)</t>
        </is>
      </c>
      <c r="DM277" s="20" t="inlineStr">
        <is>
          <t>None</t>
        </is>
      </c>
      <c r="DN277" s="17" t="n"/>
      <c r="DO277" s="16" t="n"/>
      <c r="DP277" s="20" t="inlineStr">
        <is>
          <t>IC Organic Acids</t>
        </is>
      </c>
      <c r="DQ277" s="20" t="inlineStr">
        <is>
          <t>None</t>
        </is>
      </c>
      <c r="DR277" s="17" t="n"/>
      <c r="DS277" s="16" t="n"/>
      <c r="DT277" s="20" t="inlineStr">
        <is>
          <t>IC Organic Acids</t>
        </is>
      </c>
      <c r="DU277" s="20" t="inlineStr">
        <is>
          <t>None</t>
        </is>
      </c>
      <c r="DV277" s="17" t="n"/>
      <c r="DW277" s="16" t="n"/>
      <c r="DX277" s="20" t="inlineStr">
        <is>
          <t>IC Organic Acids</t>
        </is>
      </c>
      <c r="DY277" s="20" t="inlineStr">
        <is>
          <t>None</t>
        </is>
      </c>
      <c r="DZ277" s="17" t="n"/>
      <c r="EA277" s="16" t="n"/>
      <c r="EB277" s="20" t="inlineStr">
        <is>
          <t>IC Organic Acids</t>
        </is>
      </c>
      <c r="EC277" s="20" t="inlineStr">
        <is>
          <t>None</t>
        </is>
      </c>
      <c r="ED277" s="17" t="n"/>
      <c r="EE277" s="16" t="n"/>
      <c r="EF277" s="20" t="inlineStr">
        <is>
          <t>IC Organic Acids</t>
        </is>
      </c>
      <c r="EG277" s="20" t="inlineStr">
        <is>
          <t>None</t>
        </is>
      </c>
      <c r="EH277" s="17" t="n"/>
      <c r="EI277" s="16" t="n"/>
      <c r="EJ277" s="20" t="inlineStr">
        <is>
          <t>IC Organic Acids</t>
        </is>
      </c>
      <c r="EK277" s="20" t="inlineStr">
        <is>
          <t>None</t>
        </is>
      </c>
      <c r="EL277" s="17" t="n"/>
      <c r="EM277" s="16" t="n"/>
      <c r="EN277" s="20" t="inlineStr">
        <is>
          <t>IC Organic Acids</t>
        </is>
      </c>
      <c r="EO277" s="20" t="inlineStr">
        <is>
          <t>None</t>
        </is>
      </c>
      <c r="EP277" s="17" t="n"/>
      <c r="EQ277" s="16" t="n"/>
      <c r="ER277" s="20" t="inlineStr">
        <is>
          <t>IC Organic Acids</t>
        </is>
      </c>
      <c r="ES277" s="20" t="inlineStr">
        <is>
          <t>None</t>
        </is>
      </c>
      <c r="ET277" s="17" t="n"/>
      <c r="EU277" s="16" t="n"/>
      <c r="EV277" s="20" t="inlineStr">
        <is>
          <t>LC-MS</t>
        </is>
      </c>
      <c r="EW277" s="20" t="inlineStr">
        <is>
          <t>None</t>
        </is>
      </c>
      <c r="EX277" s="17" t="n"/>
      <c r="EY277" s="21" t="n"/>
      <c r="EZ277">
        <f>CONCATENATE(A277,B277)</f>
        <v/>
      </c>
      <c r="FA277">
        <f>CONCATENATE(SamplesX!A277,SamplesX!B277)</f>
        <v/>
      </c>
      <c r="FC277">
        <f>MATCH(EZ277,FA1:FA1008,0)</f>
        <v/>
      </c>
    </row>
    <row r="278">
      <c r="A278" s="16" t="inlineStr">
        <is>
          <t>BP</t>
        </is>
      </c>
      <c r="B278" s="17" t="inlineStr">
        <is>
          <t>25270</t>
        </is>
      </c>
      <c r="C278" s="10">
        <f>IF(ISNUMBER(FC278),INDIRECT("SamplesX!C"&amp;FC278),IF(ISNUMBER(FD278),INDIRECT("SamplesY!C"&amp;FD278),""))</f>
        <v/>
      </c>
      <c r="D278" s="12">
        <f>IF(ISNUMBER(FC278),INDIRECT("SamplesX!D"&amp;FC278),IF(ISNUMBER(FD278),INDIRECT("SamplesY!D"&amp;FD278),""))</f>
        <v/>
      </c>
      <c r="E278" s="12">
        <f>IF(ISNUMBER(FC278),INDIRECT("SamplesX!E"&amp;FC278),IF(ISNUMBER(FD278),INDIRECT("SamplesY!E"&amp;FD278),""))</f>
        <v/>
      </c>
      <c r="F278" s="11">
        <f>IF(ISNUMBER(FC278),INDIRECT("SamplesX!F"&amp;FC278),IF(ISNUMBER(FD278),INDIRECT("SamplesY!F"&amp;FD278),""))</f>
        <v/>
      </c>
      <c r="G278" s="18">
        <f>IF(ISNUMBER(FC278),INDIRECT("SamplesX!G"&amp;FC278),IF(ISNUMBER(FD278),INDIRECT("SamplesY!G"&amp;FD278),""))</f>
        <v/>
      </c>
      <c r="H278" s="19">
        <f>IF(ISNUMBER(FC278),INDIRECT("SamplesX!H"&amp;FC278),IF(ISNUMBER(FD278),INDIRECT("SamplesY!H"&amp;FD278),""))</f>
        <v/>
      </c>
      <c r="I278" s="16" t="n"/>
      <c r="J278" s="16" t="n"/>
      <c r="K278" s="16" t="n"/>
      <c r="L278" s="20" t="n"/>
      <c r="M278" s="20" t="inlineStr">
        <is>
          <t>None</t>
        </is>
      </c>
      <c r="N278" s="17" t="n"/>
      <c r="O278" s="16" t="n"/>
      <c r="P278" s="20" t="inlineStr">
        <is>
          <t>Shimadzu TOC-L</t>
        </is>
      </c>
      <c r="Q278" s="20" t="inlineStr">
        <is>
          <t>None</t>
        </is>
      </c>
      <c r="R278" s="17" t="n"/>
      <c r="S278" s="16" t="n"/>
      <c r="T278" s="20" t="inlineStr">
        <is>
          <t>Shimadzu TOC-L</t>
        </is>
      </c>
      <c r="U278" s="20" t="inlineStr">
        <is>
          <t>None</t>
        </is>
      </c>
      <c r="V278" s="17" t="n"/>
      <c r="W278" s="16" t="n"/>
      <c r="X278" s="20" t="n"/>
      <c r="Y278" s="20" t="inlineStr">
        <is>
          <t>None</t>
        </is>
      </c>
      <c r="Z278" s="17" t="n"/>
      <c r="AA278" s="16" t="n"/>
      <c r="AB278" s="20" t="n"/>
      <c r="AC278" s="20" t="inlineStr">
        <is>
          <t>None</t>
        </is>
      </c>
      <c r="AD278" s="17" t="n"/>
      <c r="AE278" s="16" t="n"/>
      <c r="AF278" s="20" t="inlineStr">
        <is>
          <t>IC Anionen</t>
        </is>
      </c>
      <c r="AG278" s="20" t="inlineStr">
        <is>
          <t>None</t>
        </is>
      </c>
      <c r="AH278" s="17" t="n"/>
      <c r="AI278" s="16" t="n"/>
      <c r="AJ278" s="20" t="n"/>
      <c r="AK278" s="20" t="inlineStr">
        <is>
          <t>None</t>
        </is>
      </c>
      <c r="AL278" s="17" t="n"/>
      <c r="AM278" s="16" t="n"/>
      <c r="AN278" s="20" t="inlineStr">
        <is>
          <t>IC Anionen</t>
        </is>
      </c>
      <c r="AO278" s="20" t="inlineStr">
        <is>
          <t>None</t>
        </is>
      </c>
      <c r="AP278" s="17" t="n"/>
      <c r="AQ278" s="16" t="n"/>
      <c r="AR278" s="20" t="n"/>
      <c r="AS278" s="20" t="inlineStr">
        <is>
          <t>None</t>
        </is>
      </c>
      <c r="AT278" s="17" t="n"/>
      <c r="AU278" s="16" t="n"/>
      <c r="AV278" s="20" t="n"/>
      <c r="AW278" s="20" t="inlineStr">
        <is>
          <t>None</t>
        </is>
      </c>
      <c r="AX278" s="17" t="n"/>
      <c r="AY278" s="16" t="n"/>
      <c r="AZ278" s="20" t="inlineStr">
        <is>
          <t>IC Anionen</t>
        </is>
      </c>
      <c r="BA278" s="20" t="inlineStr">
        <is>
          <t>None</t>
        </is>
      </c>
      <c r="BB278" s="17" t="n"/>
      <c r="BC278" s="16" t="n"/>
      <c r="BD278" s="20" t="inlineStr">
        <is>
          <t>IC Kationen</t>
        </is>
      </c>
      <c r="BE278" s="20" t="inlineStr">
        <is>
          <t>None</t>
        </is>
      </c>
      <c r="BF278" s="17" t="n"/>
      <c r="BG278" s="16" t="n"/>
      <c r="BH278" s="20" t="inlineStr">
        <is>
          <t>IC Kationen</t>
        </is>
      </c>
      <c r="BI278" s="20" t="inlineStr">
        <is>
          <t>None</t>
        </is>
      </c>
      <c r="BJ278" s="17" t="n"/>
      <c r="BK278" s="16" t="n"/>
      <c r="BL278" s="20" t="inlineStr">
        <is>
          <t>IC Kationen</t>
        </is>
      </c>
      <c r="BM278" s="20" t="inlineStr">
        <is>
          <t>None</t>
        </is>
      </c>
      <c r="BN278" s="17" t="n"/>
      <c r="BO278" s="16" t="n"/>
      <c r="BP278" s="20" t="inlineStr">
        <is>
          <t>IC Kationen</t>
        </is>
      </c>
      <c r="BQ278" s="20" t="inlineStr">
        <is>
          <t>None</t>
        </is>
      </c>
      <c r="BR278" s="17" t="n"/>
      <c r="BS278" s="16" t="n"/>
      <c r="BT278" s="20" t="inlineStr">
        <is>
          <t>IC Kationen</t>
        </is>
      </c>
      <c r="BU278" s="20" t="inlineStr">
        <is>
          <t>None</t>
        </is>
      </c>
      <c r="BV278" s="17" t="n"/>
      <c r="BW278" s="16" t="n"/>
      <c r="BX278" s="20" t="n"/>
      <c r="BY278" s="20" t="inlineStr">
        <is>
          <t>None</t>
        </is>
      </c>
      <c r="BZ278" s="17" t="n"/>
      <c r="CA278" s="16" t="n"/>
      <c r="CB278" s="20" t="n"/>
      <c r="CC278" s="20" t="inlineStr">
        <is>
          <t>None</t>
        </is>
      </c>
      <c r="CD278" s="17" t="n"/>
      <c r="CE278" s="16" t="n"/>
      <c r="CF278" s="20" t="n"/>
      <c r="CG278" s="20" t="inlineStr">
        <is>
          <t>None</t>
        </is>
      </c>
      <c r="CH278" s="17" t="n"/>
      <c r="CI278" s="16" t="n"/>
      <c r="CJ278" s="20" t="n"/>
      <c r="CK278" s="20" t="inlineStr">
        <is>
          <t>None</t>
        </is>
      </c>
      <c r="CL278" s="17" t="n"/>
      <c r="CM278" s="16" t="n"/>
      <c r="CN278" s="20" t="inlineStr">
        <is>
          <t>SOP 45-34</t>
        </is>
      </c>
      <c r="CO278" s="20" t="inlineStr">
        <is>
          <t>None</t>
        </is>
      </c>
      <c r="CP278" s="17" t="n"/>
      <c r="CQ278" s="16" t="n"/>
      <c r="CR278" s="20" t="n"/>
      <c r="CS278" s="20" t="inlineStr">
        <is>
          <t>None</t>
        </is>
      </c>
      <c r="CT278" s="17" t="n"/>
      <c r="CU278" s="16" t="n"/>
      <c r="CV278" s="20" t="n"/>
      <c r="CW278" s="20" t="inlineStr">
        <is>
          <t>None</t>
        </is>
      </c>
      <c r="CX278" s="17" t="n"/>
      <c r="CY278" s="16" t="n"/>
      <c r="CZ278" s="20" t="inlineStr">
        <is>
          <t>WTW Multimeter 3430 with FDO 925</t>
        </is>
      </c>
      <c r="DA278" s="20" t="inlineStr">
        <is>
          <t>None</t>
        </is>
      </c>
      <c r="DB278" s="17" t="n"/>
      <c r="DC278" s="16" t="n"/>
      <c r="DD278" s="20" t="n"/>
      <c r="DE278" s="20" t="inlineStr">
        <is>
          <t>None</t>
        </is>
      </c>
      <c r="DF278" s="17" t="n"/>
      <c r="DG278" s="16" t="n"/>
      <c r="DH278" s="20" t="inlineStr">
        <is>
          <t>SOP 45-09</t>
        </is>
      </c>
      <c r="DI278" s="20" t="inlineStr">
        <is>
          <t>None</t>
        </is>
      </c>
      <c r="DJ278" s="17" t="n"/>
      <c r="DK278" s="16" t="n"/>
      <c r="DL278" s="20" t="inlineStr">
        <is>
          <t>SOP 45-09 (SOP muss noch angepasst werden für VSS)</t>
        </is>
      </c>
      <c r="DM278" s="20" t="inlineStr">
        <is>
          <t>None</t>
        </is>
      </c>
      <c r="DN278" s="17" t="n"/>
      <c r="DO278" s="16" t="n"/>
      <c r="DP278" s="20" t="inlineStr">
        <is>
          <t>IC Organic Acids</t>
        </is>
      </c>
      <c r="DQ278" s="20" t="inlineStr">
        <is>
          <t>None</t>
        </is>
      </c>
      <c r="DR278" s="17" t="n"/>
      <c r="DS278" s="16" t="n"/>
      <c r="DT278" s="20" t="inlineStr">
        <is>
          <t>IC Organic Acids</t>
        </is>
      </c>
      <c r="DU278" s="20" t="inlineStr">
        <is>
          <t>None</t>
        </is>
      </c>
      <c r="DV278" s="17" t="n"/>
      <c r="DW278" s="16" t="n"/>
      <c r="DX278" s="20" t="inlineStr">
        <is>
          <t>IC Organic Acids</t>
        </is>
      </c>
      <c r="DY278" s="20" t="inlineStr">
        <is>
          <t>None</t>
        </is>
      </c>
      <c r="DZ278" s="17" t="n"/>
      <c r="EA278" s="16" t="n"/>
      <c r="EB278" s="20" t="inlineStr">
        <is>
          <t>IC Organic Acids</t>
        </is>
      </c>
      <c r="EC278" s="20" t="inlineStr">
        <is>
          <t>None</t>
        </is>
      </c>
      <c r="ED278" s="17" t="n"/>
      <c r="EE278" s="16" t="n"/>
      <c r="EF278" s="20" t="inlineStr">
        <is>
          <t>IC Organic Acids</t>
        </is>
      </c>
      <c r="EG278" s="20" t="inlineStr">
        <is>
          <t>None</t>
        </is>
      </c>
      <c r="EH278" s="17" t="n"/>
      <c r="EI278" s="16" t="n"/>
      <c r="EJ278" s="20" t="inlineStr">
        <is>
          <t>IC Organic Acids</t>
        </is>
      </c>
      <c r="EK278" s="20" t="inlineStr">
        <is>
          <t>None</t>
        </is>
      </c>
      <c r="EL278" s="17" t="n"/>
      <c r="EM278" s="16" t="n"/>
      <c r="EN278" s="20" t="inlineStr">
        <is>
          <t>IC Organic Acids</t>
        </is>
      </c>
      <c r="EO278" s="20" t="inlineStr">
        <is>
          <t>None</t>
        </is>
      </c>
      <c r="EP278" s="17" t="n"/>
      <c r="EQ278" s="16" t="n"/>
      <c r="ER278" s="20" t="inlineStr">
        <is>
          <t>IC Organic Acids</t>
        </is>
      </c>
      <c r="ES278" s="20" t="inlineStr">
        <is>
          <t>None</t>
        </is>
      </c>
      <c r="ET278" s="17" t="n"/>
      <c r="EU278" s="16" t="n"/>
      <c r="EV278" s="20" t="inlineStr">
        <is>
          <t>LC-MS</t>
        </is>
      </c>
      <c r="EW278" s="20" t="inlineStr">
        <is>
          <t>None</t>
        </is>
      </c>
      <c r="EX278" s="17" t="n"/>
      <c r="EY278" s="21" t="n"/>
      <c r="EZ278">
        <f>CONCATENATE(A278,B278)</f>
        <v/>
      </c>
      <c r="FA278">
        <f>CONCATENATE(SamplesX!A278,SamplesX!B278)</f>
        <v/>
      </c>
      <c r="FC278">
        <f>MATCH(EZ278,FA1:FA1008,0)</f>
        <v/>
      </c>
    </row>
    <row r="279">
      <c r="A279" s="16" t="inlineStr">
        <is>
          <t>BP</t>
        </is>
      </c>
      <c r="B279" s="17" t="inlineStr">
        <is>
          <t>25271</t>
        </is>
      </c>
      <c r="C279" s="10">
        <f>IF(ISNUMBER(FC279),INDIRECT("SamplesX!C"&amp;FC279),IF(ISNUMBER(FD279),INDIRECT("SamplesY!C"&amp;FD279),""))</f>
        <v/>
      </c>
      <c r="D279" s="12">
        <f>IF(ISNUMBER(FC279),INDIRECT("SamplesX!D"&amp;FC279),IF(ISNUMBER(FD279),INDIRECT("SamplesY!D"&amp;FD279),""))</f>
        <v/>
      </c>
      <c r="E279" s="12">
        <f>IF(ISNUMBER(FC279),INDIRECT("SamplesX!E"&amp;FC279),IF(ISNUMBER(FD279),INDIRECT("SamplesY!E"&amp;FD279),""))</f>
        <v/>
      </c>
      <c r="F279" s="11">
        <f>IF(ISNUMBER(FC279),INDIRECT("SamplesX!F"&amp;FC279),IF(ISNUMBER(FD279),INDIRECT("SamplesY!F"&amp;FD279),""))</f>
        <v/>
      </c>
      <c r="G279" s="18">
        <f>IF(ISNUMBER(FC279),INDIRECT("SamplesX!G"&amp;FC279),IF(ISNUMBER(FD279),INDIRECT("SamplesY!G"&amp;FD279),""))</f>
        <v/>
      </c>
      <c r="H279" s="19">
        <f>IF(ISNUMBER(FC279),INDIRECT("SamplesX!H"&amp;FC279),IF(ISNUMBER(FD279),INDIRECT("SamplesY!H"&amp;FD279),""))</f>
        <v/>
      </c>
      <c r="I279" s="16" t="n"/>
      <c r="J279" s="16" t="n"/>
      <c r="K279" s="16" t="n"/>
      <c r="L279" s="20" t="n"/>
      <c r="M279" s="20" t="inlineStr">
        <is>
          <t>None</t>
        </is>
      </c>
      <c r="N279" s="17" t="n"/>
      <c r="O279" s="16" t="n"/>
      <c r="P279" s="20" t="inlineStr">
        <is>
          <t>Shimadzu TOC-L</t>
        </is>
      </c>
      <c r="Q279" s="20" t="inlineStr">
        <is>
          <t>None</t>
        </is>
      </c>
      <c r="R279" s="17" t="n"/>
      <c r="S279" s="16" t="n"/>
      <c r="T279" s="20" t="inlineStr">
        <is>
          <t>Shimadzu TOC-L</t>
        </is>
      </c>
      <c r="U279" s="20" t="inlineStr">
        <is>
          <t>None</t>
        </is>
      </c>
      <c r="V279" s="17" t="n"/>
      <c r="W279" s="16" t="n"/>
      <c r="X279" s="20" t="n"/>
      <c r="Y279" s="20" t="inlineStr">
        <is>
          <t>None</t>
        </is>
      </c>
      <c r="Z279" s="17" t="n"/>
      <c r="AA279" s="16" t="n"/>
      <c r="AB279" s="20" t="n"/>
      <c r="AC279" s="20" t="inlineStr">
        <is>
          <t>None</t>
        </is>
      </c>
      <c r="AD279" s="17" t="n"/>
      <c r="AE279" s="16" t="n"/>
      <c r="AF279" s="20" t="inlineStr">
        <is>
          <t>IC Anionen</t>
        </is>
      </c>
      <c r="AG279" s="20" t="inlineStr">
        <is>
          <t>None</t>
        </is>
      </c>
      <c r="AH279" s="17" t="n"/>
      <c r="AI279" s="16" t="n"/>
      <c r="AJ279" s="20" t="n"/>
      <c r="AK279" s="20" t="inlineStr">
        <is>
          <t>None</t>
        </is>
      </c>
      <c r="AL279" s="17" t="n"/>
      <c r="AM279" s="16" t="n"/>
      <c r="AN279" s="20" t="inlineStr">
        <is>
          <t>IC Anionen</t>
        </is>
      </c>
      <c r="AO279" s="20" t="inlineStr">
        <is>
          <t>None</t>
        </is>
      </c>
      <c r="AP279" s="17" t="n"/>
      <c r="AQ279" s="16" t="n"/>
      <c r="AR279" s="20" t="n"/>
      <c r="AS279" s="20" t="inlineStr">
        <is>
          <t>None</t>
        </is>
      </c>
      <c r="AT279" s="17" t="n"/>
      <c r="AU279" s="16" t="n"/>
      <c r="AV279" s="20" t="n"/>
      <c r="AW279" s="20" t="inlineStr">
        <is>
          <t>None</t>
        </is>
      </c>
      <c r="AX279" s="17" t="n"/>
      <c r="AY279" s="16" t="n"/>
      <c r="AZ279" s="20" t="inlineStr">
        <is>
          <t>IC Anionen</t>
        </is>
      </c>
      <c r="BA279" s="20" t="inlineStr">
        <is>
          <t>None</t>
        </is>
      </c>
      <c r="BB279" s="17" t="n"/>
      <c r="BC279" s="16" t="n"/>
      <c r="BD279" s="20" t="inlineStr">
        <is>
          <t>IC Kationen</t>
        </is>
      </c>
      <c r="BE279" s="20" t="inlineStr">
        <is>
          <t>None</t>
        </is>
      </c>
      <c r="BF279" s="17" t="n"/>
      <c r="BG279" s="16" t="n"/>
      <c r="BH279" s="20" t="inlineStr">
        <is>
          <t>IC Kationen</t>
        </is>
      </c>
      <c r="BI279" s="20" t="inlineStr">
        <is>
          <t>None</t>
        </is>
      </c>
      <c r="BJ279" s="17" t="n"/>
      <c r="BK279" s="16" t="n"/>
      <c r="BL279" s="20" t="inlineStr">
        <is>
          <t>IC Kationen</t>
        </is>
      </c>
      <c r="BM279" s="20" t="inlineStr">
        <is>
          <t>None</t>
        </is>
      </c>
      <c r="BN279" s="17" t="n"/>
      <c r="BO279" s="16" t="n"/>
      <c r="BP279" s="20" t="inlineStr">
        <is>
          <t>IC Kationen</t>
        </is>
      </c>
      <c r="BQ279" s="20" t="inlineStr">
        <is>
          <t>None</t>
        </is>
      </c>
      <c r="BR279" s="17" t="n"/>
      <c r="BS279" s="16" t="n"/>
      <c r="BT279" s="20" t="inlineStr">
        <is>
          <t>IC Kationen</t>
        </is>
      </c>
      <c r="BU279" s="20" t="inlineStr">
        <is>
          <t>None</t>
        </is>
      </c>
      <c r="BV279" s="17" t="n"/>
      <c r="BW279" s="16" t="n"/>
      <c r="BX279" s="20" t="n"/>
      <c r="BY279" s="20" t="inlineStr">
        <is>
          <t>None</t>
        </is>
      </c>
      <c r="BZ279" s="17" t="n"/>
      <c r="CA279" s="16" t="n"/>
      <c r="CB279" s="20" t="n"/>
      <c r="CC279" s="20" t="inlineStr">
        <is>
          <t>None</t>
        </is>
      </c>
      <c r="CD279" s="17" t="n"/>
      <c r="CE279" s="16" t="n"/>
      <c r="CF279" s="20" t="n"/>
      <c r="CG279" s="20" t="inlineStr">
        <is>
          <t>None</t>
        </is>
      </c>
      <c r="CH279" s="17" t="n"/>
      <c r="CI279" s="16" t="n"/>
      <c r="CJ279" s="20" t="n"/>
      <c r="CK279" s="20" t="inlineStr">
        <is>
          <t>None</t>
        </is>
      </c>
      <c r="CL279" s="17" t="n"/>
      <c r="CM279" s="16" t="n"/>
      <c r="CN279" s="20" t="inlineStr">
        <is>
          <t>SOP 45-34</t>
        </is>
      </c>
      <c r="CO279" s="20" t="inlineStr">
        <is>
          <t>None</t>
        </is>
      </c>
      <c r="CP279" s="17" t="n"/>
      <c r="CQ279" s="16" t="n"/>
      <c r="CR279" s="20" t="n"/>
      <c r="CS279" s="20" t="inlineStr">
        <is>
          <t>None</t>
        </is>
      </c>
      <c r="CT279" s="17" t="n"/>
      <c r="CU279" s="16" t="n"/>
      <c r="CV279" s="20" t="n"/>
      <c r="CW279" s="20" t="inlineStr">
        <is>
          <t>None</t>
        </is>
      </c>
      <c r="CX279" s="17" t="n"/>
      <c r="CY279" s="16" t="n"/>
      <c r="CZ279" s="20" t="inlineStr">
        <is>
          <t>WTW Multimeter 3430 with FDO 925</t>
        </is>
      </c>
      <c r="DA279" s="20" t="inlineStr">
        <is>
          <t>None</t>
        </is>
      </c>
      <c r="DB279" s="17" t="n"/>
      <c r="DC279" s="16" t="n"/>
      <c r="DD279" s="20" t="n"/>
      <c r="DE279" s="20" t="inlineStr">
        <is>
          <t>None</t>
        </is>
      </c>
      <c r="DF279" s="17" t="n"/>
      <c r="DG279" s="16" t="n"/>
      <c r="DH279" s="20" t="inlineStr">
        <is>
          <t>SOP 45-09</t>
        </is>
      </c>
      <c r="DI279" s="20" t="inlineStr">
        <is>
          <t>None</t>
        </is>
      </c>
      <c r="DJ279" s="17" t="n"/>
      <c r="DK279" s="16" t="n"/>
      <c r="DL279" s="20" t="inlineStr">
        <is>
          <t>SOP 45-09 (SOP muss noch angepasst werden für VSS)</t>
        </is>
      </c>
      <c r="DM279" s="20" t="inlineStr">
        <is>
          <t>None</t>
        </is>
      </c>
      <c r="DN279" s="17" t="n"/>
      <c r="DO279" s="16" t="n"/>
      <c r="DP279" s="20" t="inlineStr">
        <is>
          <t>IC Organic Acids</t>
        </is>
      </c>
      <c r="DQ279" s="20" t="inlineStr">
        <is>
          <t>None</t>
        </is>
      </c>
      <c r="DR279" s="17" t="n"/>
      <c r="DS279" s="16" t="n"/>
      <c r="DT279" s="20" t="inlineStr">
        <is>
          <t>IC Organic Acids</t>
        </is>
      </c>
      <c r="DU279" s="20" t="inlineStr">
        <is>
          <t>None</t>
        </is>
      </c>
      <c r="DV279" s="17" t="n"/>
      <c r="DW279" s="16" t="n"/>
      <c r="DX279" s="20" t="inlineStr">
        <is>
          <t>IC Organic Acids</t>
        </is>
      </c>
      <c r="DY279" s="20" t="inlineStr">
        <is>
          <t>None</t>
        </is>
      </c>
      <c r="DZ279" s="17" t="n"/>
      <c r="EA279" s="16" t="n"/>
      <c r="EB279" s="20" t="inlineStr">
        <is>
          <t>IC Organic Acids</t>
        </is>
      </c>
      <c r="EC279" s="20" t="inlineStr">
        <is>
          <t>None</t>
        </is>
      </c>
      <c r="ED279" s="17" t="n"/>
      <c r="EE279" s="16" t="n"/>
      <c r="EF279" s="20" t="inlineStr">
        <is>
          <t>IC Organic Acids</t>
        </is>
      </c>
      <c r="EG279" s="20" t="inlineStr">
        <is>
          <t>None</t>
        </is>
      </c>
      <c r="EH279" s="17" t="n"/>
      <c r="EI279" s="16" t="n"/>
      <c r="EJ279" s="20" t="inlineStr">
        <is>
          <t>IC Organic Acids</t>
        </is>
      </c>
      <c r="EK279" s="20" t="inlineStr">
        <is>
          <t>None</t>
        </is>
      </c>
      <c r="EL279" s="17" t="n"/>
      <c r="EM279" s="16" t="n"/>
      <c r="EN279" s="20" t="inlineStr">
        <is>
          <t>IC Organic Acids</t>
        </is>
      </c>
      <c r="EO279" s="20" t="inlineStr">
        <is>
          <t>None</t>
        </is>
      </c>
      <c r="EP279" s="17" t="n"/>
      <c r="EQ279" s="16" t="n"/>
      <c r="ER279" s="20" t="inlineStr">
        <is>
          <t>IC Organic Acids</t>
        </is>
      </c>
      <c r="ES279" s="20" t="inlineStr">
        <is>
          <t>None</t>
        </is>
      </c>
      <c r="ET279" s="17" t="n"/>
      <c r="EU279" s="16" t="n"/>
      <c r="EV279" s="20" t="inlineStr">
        <is>
          <t>LC-MS</t>
        </is>
      </c>
      <c r="EW279" s="20" t="inlineStr">
        <is>
          <t>None</t>
        </is>
      </c>
      <c r="EX279" s="17" t="n"/>
      <c r="EY279" s="21" t="n"/>
      <c r="EZ279">
        <f>CONCATENATE(A279,B279)</f>
        <v/>
      </c>
      <c r="FA279">
        <f>CONCATENATE(SamplesX!A279,SamplesX!B279)</f>
        <v/>
      </c>
      <c r="FC279">
        <f>MATCH(EZ279,FA1:FA1008,0)</f>
        <v/>
      </c>
    </row>
    <row r="280">
      <c r="A280" s="16" t="inlineStr">
        <is>
          <t>BP</t>
        </is>
      </c>
      <c r="B280" s="17" t="inlineStr">
        <is>
          <t>25272</t>
        </is>
      </c>
      <c r="C280" s="10">
        <f>IF(ISNUMBER(FC280),INDIRECT("SamplesX!C"&amp;FC280),IF(ISNUMBER(FD280),INDIRECT("SamplesY!C"&amp;FD280),""))</f>
        <v/>
      </c>
      <c r="D280" s="12">
        <f>IF(ISNUMBER(FC280),INDIRECT("SamplesX!D"&amp;FC280),IF(ISNUMBER(FD280),INDIRECT("SamplesY!D"&amp;FD280),""))</f>
        <v/>
      </c>
      <c r="E280" s="12">
        <f>IF(ISNUMBER(FC280),INDIRECT("SamplesX!E"&amp;FC280),IF(ISNUMBER(FD280),INDIRECT("SamplesY!E"&amp;FD280),""))</f>
        <v/>
      </c>
      <c r="F280" s="11">
        <f>IF(ISNUMBER(FC280),INDIRECT("SamplesX!F"&amp;FC280),IF(ISNUMBER(FD280),INDIRECT("SamplesY!F"&amp;FD280),""))</f>
        <v/>
      </c>
      <c r="G280" s="18">
        <f>IF(ISNUMBER(FC280),INDIRECT("SamplesX!G"&amp;FC280),IF(ISNUMBER(FD280),INDIRECT("SamplesY!G"&amp;FD280),""))</f>
        <v/>
      </c>
      <c r="H280" s="19">
        <f>IF(ISNUMBER(FC280),INDIRECT("SamplesX!H"&amp;FC280),IF(ISNUMBER(FD280),INDIRECT("SamplesY!H"&amp;FD280),""))</f>
        <v/>
      </c>
      <c r="I280" s="16" t="n"/>
      <c r="J280" s="16" t="n"/>
      <c r="K280" s="16" t="n"/>
      <c r="L280" s="20" t="n"/>
      <c r="M280" s="20" t="inlineStr">
        <is>
          <t>None</t>
        </is>
      </c>
      <c r="N280" s="17" t="n"/>
      <c r="O280" s="16" t="n"/>
      <c r="P280" s="20" t="inlineStr">
        <is>
          <t>Shimadzu TOC-L</t>
        </is>
      </c>
      <c r="Q280" s="20" t="inlineStr">
        <is>
          <t>None</t>
        </is>
      </c>
      <c r="R280" s="17" t="n"/>
      <c r="S280" s="16" t="n"/>
      <c r="T280" s="20" t="inlineStr">
        <is>
          <t>Shimadzu TOC-L</t>
        </is>
      </c>
      <c r="U280" s="20" t="inlineStr">
        <is>
          <t>None</t>
        </is>
      </c>
      <c r="V280" s="17" t="n"/>
      <c r="W280" s="16" t="n"/>
      <c r="X280" s="20" t="n"/>
      <c r="Y280" s="20" t="inlineStr">
        <is>
          <t>None</t>
        </is>
      </c>
      <c r="Z280" s="17" t="n"/>
      <c r="AA280" s="16" t="n"/>
      <c r="AB280" s="20" t="n"/>
      <c r="AC280" s="20" t="inlineStr">
        <is>
          <t>None</t>
        </is>
      </c>
      <c r="AD280" s="17" t="n"/>
      <c r="AE280" s="16" t="n"/>
      <c r="AF280" s="20" t="inlineStr">
        <is>
          <t>IC Anionen</t>
        </is>
      </c>
      <c r="AG280" s="20" t="inlineStr">
        <is>
          <t>None</t>
        </is>
      </c>
      <c r="AH280" s="17" t="n"/>
      <c r="AI280" s="16" t="n"/>
      <c r="AJ280" s="20" t="n"/>
      <c r="AK280" s="20" t="inlineStr">
        <is>
          <t>None</t>
        </is>
      </c>
      <c r="AL280" s="17" t="n"/>
      <c r="AM280" s="16" t="n"/>
      <c r="AN280" s="20" t="inlineStr">
        <is>
          <t>IC Anionen</t>
        </is>
      </c>
      <c r="AO280" s="20" t="inlineStr">
        <is>
          <t>None</t>
        </is>
      </c>
      <c r="AP280" s="17" t="n"/>
      <c r="AQ280" s="16" t="n"/>
      <c r="AR280" s="20" t="n"/>
      <c r="AS280" s="20" t="inlineStr">
        <is>
          <t>None</t>
        </is>
      </c>
      <c r="AT280" s="17" t="n"/>
      <c r="AU280" s="16" t="n"/>
      <c r="AV280" s="20" t="n"/>
      <c r="AW280" s="20" t="inlineStr">
        <is>
          <t>None</t>
        </is>
      </c>
      <c r="AX280" s="17" t="n"/>
      <c r="AY280" s="16" t="n"/>
      <c r="AZ280" s="20" t="inlineStr">
        <is>
          <t>IC Anionen</t>
        </is>
      </c>
      <c r="BA280" s="20" t="inlineStr">
        <is>
          <t>None</t>
        </is>
      </c>
      <c r="BB280" s="17" t="n"/>
      <c r="BC280" s="16" t="n"/>
      <c r="BD280" s="20" t="inlineStr">
        <is>
          <t>IC Kationen</t>
        </is>
      </c>
      <c r="BE280" s="20" t="inlineStr">
        <is>
          <t>None</t>
        </is>
      </c>
      <c r="BF280" s="17" t="n"/>
      <c r="BG280" s="16" t="n"/>
      <c r="BH280" s="20" t="inlineStr">
        <is>
          <t>IC Kationen</t>
        </is>
      </c>
      <c r="BI280" s="20" t="inlineStr">
        <is>
          <t>None</t>
        </is>
      </c>
      <c r="BJ280" s="17" t="n"/>
      <c r="BK280" s="16" t="n"/>
      <c r="BL280" s="20" t="inlineStr">
        <is>
          <t>IC Kationen</t>
        </is>
      </c>
      <c r="BM280" s="20" t="inlineStr">
        <is>
          <t>None</t>
        </is>
      </c>
      <c r="BN280" s="17" t="n"/>
      <c r="BO280" s="16" t="n"/>
      <c r="BP280" s="20" t="inlineStr">
        <is>
          <t>IC Kationen</t>
        </is>
      </c>
      <c r="BQ280" s="20" t="inlineStr">
        <is>
          <t>None</t>
        </is>
      </c>
      <c r="BR280" s="17" t="n"/>
      <c r="BS280" s="16" t="n"/>
      <c r="BT280" s="20" t="inlineStr">
        <is>
          <t>IC Kationen</t>
        </is>
      </c>
      <c r="BU280" s="20" t="inlineStr">
        <is>
          <t>None</t>
        </is>
      </c>
      <c r="BV280" s="17" t="n"/>
      <c r="BW280" s="16" t="n"/>
      <c r="BX280" s="20" t="n"/>
      <c r="BY280" s="20" t="inlineStr">
        <is>
          <t>None</t>
        </is>
      </c>
      <c r="BZ280" s="17" t="n"/>
      <c r="CA280" s="16" t="n"/>
      <c r="CB280" s="20" t="n"/>
      <c r="CC280" s="20" t="inlineStr">
        <is>
          <t>None</t>
        </is>
      </c>
      <c r="CD280" s="17" t="n"/>
      <c r="CE280" s="16" t="n"/>
      <c r="CF280" s="20" t="n"/>
      <c r="CG280" s="20" t="inlineStr">
        <is>
          <t>None</t>
        </is>
      </c>
      <c r="CH280" s="17" t="n"/>
      <c r="CI280" s="16" t="n"/>
      <c r="CJ280" s="20" t="n"/>
      <c r="CK280" s="20" t="inlineStr">
        <is>
          <t>None</t>
        </is>
      </c>
      <c r="CL280" s="17" t="n"/>
      <c r="CM280" s="16" t="n"/>
      <c r="CN280" s="20" t="inlineStr">
        <is>
          <t>SOP 45-34</t>
        </is>
      </c>
      <c r="CO280" s="20" t="inlineStr">
        <is>
          <t>None</t>
        </is>
      </c>
      <c r="CP280" s="17" t="n"/>
      <c r="CQ280" s="16" t="n"/>
      <c r="CR280" s="20" t="n"/>
      <c r="CS280" s="20" t="inlineStr">
        <is>
          <t>None</t>
        </is>
      </c>
      <c r="CT280" s="17" t="n"/>
      <c r="CU280" s="16" t="n"/>
      <c r="CV280" s="20" t="n"/>
      <c r="CW280" s="20" t="inlineStr">
        <is>
          <t>None</t>
        </is>
      </c>
      <c r="CX280" s="17" t="n"/>
      <c r="CY280" s="16" t="n"/>
      <c r="CZ280" s="20" t="inlineStr">
        <is>
          <t>WTW Multimeter 3430 with FDO 925</t>
        </is>
      </c>
      <c r="DA280" s="20" t="inlineStr">
        <is>
          <t>None</t>
        </is>
      </c>
      <c r="DB280" s="17" t="n"/>
      <c r="DC280" s="16" t="n"/>
      <c r="DD280" s="20" t="n"/>
      <c r="DE280" s="20" t="inlineStr">
        <is>
          <t>None</t>
        </is>
      </c>
      <c r="DF280" s="17" t="n"/>
      <c r="DG280" s="16" t="n"/>
      <c r="DH280" s="20" t="inlineStr">
        <is>
          <t>SOP 45-09</t>
        </is>
      </c>
      <c r="DI280" s="20" t="inlineStr">
        <is>
          <t>None</t>
        </is>
      </c>
      <c r="DJ280" s="17" t="n"/>
      <c r="DK280" s="16" t="n"/>
      <c r="DL280" s="20" t="inlineStr">
        <is>
          <t>SOP 45-09 (SOP muss noch angepasst werden für VSS)</t>
        </is>
      </c>
      <c r="DM280" s="20" t="inlineStr">
        <is>
          <t>None</t>
        </is>
      </c>
      <c r="DN280" s="17" t="n"/>
      <c r="DO280" s="16" t="n"/>
      <c r="DP280" s="20" t="inlineStr">
        <is>
          <t>IC Organic Acids</t>
        </is>
      </c>
      <c r="DQ280" s="20" t="inlineStr">
        <is>
          <t>None</t>
        </is>
      </c>
      <c r="DR280" s="17" t="n"/>
      <c r="DS280" s="16" t="n"/>
      <c r="DT280" s="20" t="inlineStr">
        <is>
          <t>IC Organic Acids</t>
        </is>
      </c>
      <c r="DU280" s="20" t="inlineStr">
        <is>
          <t>None</t>
        </is>
      </c>
      <c r="DV280" s="17" t="n"/>
      <c r="DW280" s="16" t="n"/>
      <c r="DX280" s="20" t="inlineStr">
        <is>
          <t>IC Organic Acids</t>
        </is>
      </c>
      <c r="DY280" s="20" t="inlineStr">
        <is>
          <t>None</t>
        </is>
      </c>
      <c r="DZ280" s="17" t="n"/>
      <c r="EA280" s="16" t="n"/>
      <c r="EB280" s="20" t="inlineStr">
        <is>
          <t>IC Organic Acids</t>
        </is>
      </c>
      <c r="EC280" s="20" t="inlineStr">
        <is>
          <t>None</t>
        </is>
      </c>
      <c r="ED280" s="17" t="n"/>
      <c r="EE280" s="16" t="n"/>
      <c r="EF280" s="20" t="inlineStr">
        <is>
          <t>IC Organic Acids</t>
        </is>
      </c>
      <c r="EG280" s="20" t="inlineStr">
        <is>
          <t>None</t>
        </is>
      </c>
      <c r="EH280" s="17" t="n"/>
      <c r="EI280" s="16" t="n"/>
      <c r="EJ280" s="20" t="inlineStr">
        <is>
          <t>IC Organic Acids</t>
        </is>
      </c>
      <c r="EK280" s="20" t="inlineStr">
        <is>
          <t>None</t>
        </is>
      </c>
      <c r="EL280" s="17" t="n"/>
      <c r="EM280" s="16" t="n"/>
      <c r="EN280" s="20" t="inlineStr">
        <is>
          <t>IC Organic Acids</t>
        </is>
      </c>
      <c r="EO280" s="20" t="inlineStr">
        <is>
          <t>None</t>
        </is>
      </c>
      <c r="EP280" s="17" t="n"/>
      <c r="EQ280" s="16" t="n"/>
      <c r="ER280" s="20" t="inlineStr">
        <is>
          <t>IC Organic Acids</t>
        </is>
      </c>
      <c r="ES280" s="20" t="inlineStr">
        <is>
          <t>None</t>
        </is>
      </c>
      <c r="ET280" s="17" t="n"/>
      <c r="EU280" s="16" t="n"/>
      <c r="EV280" s="20" t="inlineStr">
        <is>
          <t>LC-MS</t>
        </is>
      </c>
      <c r="EW280" s="20" t="inlineStr">
        <is>
          <t>None</t>
        </is>
      </c>
      <c r="EX280" s="17" t="n"/>
      <c r="EY280" s="21" t="n"/>
      <c r="EZ280">
        <f>CONCATENATE(A280,B280)</f>
        <v/>
      </c>
      <c r="FA280">
        <f>CONCATENATE(SamplesX!A280,SamplesX!B280)</f>
        <v/>
      </c>
      <c r="FC280">
        <f>MATCH(EZ280,FA1:FA1008,0)</f>
        <v/>
      </c>
    </row>
    <row r="281">
      <c r="A281" s="16" t="inlineStr">
        <is>
          <t>BP</t>
        </is>
      </c>
      <c r="B281" s="17" t="inlineStr">
        <is>
          <t>25273</t>
        </is>
      </c>
      <c r="C281" s="10">
        <f>IF(ISNUMBER(FC281),INDIRECT("SamplesX!C"&amp;FC281),IF(ISNUMBER(FD281),INDIRECT("SamplesY!C"&amp;FD281),""))</f>
        <v/>
      </c>
      <c r="D281" s="12">
        <f>IF(ISNUMBER(FC281),INDIRECT("SamplesX!D"&amp;FC281),IF(ISNUMBER(FD281),INDIRECT("SamplesY!D"&amp;FD281),""))</f>
        <v/>
      </c>
      <c r="E281" s="12">
        <f>IF(ISNUMBER(FC281),INDIRECT("SamplesX!E"&amp;FC281),IF(ISNUMBER(FD281),INDIRECT("SamplesY!E"&amp;FD281),""))</f>
        <v/>
      </c>
      <c r="F281" s="11">
        <f>IF(ISNUMBER(FC281),INDIRECT("SamplesX!F"&amp;FC281),IF(ISNUMBER(FD281),INDIRECT("SamplesY!F"&amp;FD281),""))</f>
        <v/>
      </c>
      <c r="G281" s="18">
        <f>IF(ISNUMBER(FC281),INDIRECT("SamplesX!G"&amp;FC281),IF(ISNUMBER(FD281),INDIRECT("SamplesY!G"&amp;FD281),""))</f>
        <v/>
      </c>
      <c r="H281" s="19">
        <f>IF(ISNUMBER(FC281),INDIRECT("SamplesX!H"&amp;FC281),IF(ISNUMBER(FD281),INDIRECT("SamplesY!H"&amp;FD281),""))</f>
        <v/>
      </c>
      <c r="I281" s="16" t="n"/>
      <c r="J281" s="16" t="n"/>
      <c r="K281" s="16" t="n"/>
      <c r="L281" s="20" t="n"/>
      <c r="M281" s="20" t="inlineStr">
        <is>
          <t>None</t>
        </is>
      </c>
      <c r="N281" s="17" t="n"/>
      <c r="O281" s="16" t="n"/>
      <c r="P281" s="20" t="inlineStr">
        <is>
          <t>Shimadzu TOC-L</t>
        </is>
      </c>
      <c r="Q281" s="20" t="inlineStr">
        <is>
          <t>None</t>
        </is>
      </c>
      <c r="R281" s="17" t="n"/>
      <c r="S281" s="16" t="n"/>
      <c r="T281" s="20" t="inlineStr">
        <is>
          <t>Shimadzu TOC-L</t>
        </is>
      </c>
      <c r="U281" s="20" t="inlineStr">
        <is>
          <t>None</t>
        </is>
      </c>
      <c r="V281" s="17" t="n"/>
      <c r="W281" s="16" t="n"/>
      <c r="X281" s="20" t="n"/>
      <c r="Y281" s="20" t="inlineStr">
        <is>
          <t>None</t>
        </is>
      </c>
      <c r="Z281" s="17" t="n"/>
      <c r="AA281" s="16" t="n"/>
      <c r="AB281" s="20" t="n"/>
      <c r="AC281" s="20" t="inlineStr">
        <is>
          <t>None</t>
        </is>
      </c>
      <c r="AD281" s="17" t="n"/>
      <c r="AE281" s="16" t="n"/>
      <c r="AF281" s="20" t="inlineStr">
        <is>
          <t>IC Anionen</t>
        </is>
      </c>
      <c r="AG281" s="20" t="inlineStr">
        <is>
          <t>None</t>
        </is>
      </c>
      <c r="AH281" s="17" t="n"/>
      <c r="AI281" s="16" t="n"/>
      <c r="AJ281" s="20" t="n"/>
      <c r="AK281" s="20" t="inlineStr">
        <is>
          <t>None</t>
        </is>
      </c>
      <c r="AL281" s="17" t="n"/>
      <c r="AM281" s="16" t="n"/>
      <c r="AN281" s="20" t="inlineStr">
        <is>
          <t>IC Anionen</t>
        </is>
      </c>
      <c r="AO281" s="20" t="inlineStr">
        <is>
          <t>None</t>
        </is>
      </c>
      <c r="AP281" s="17" t="n"/>
      <c r="AQ281" s="16" t="n"/>
      <c r="AR281" s="20" t="n"/>
      <c r="AS281" s="20" t="inlineStr">
        <is>
          <t>None</t>
        </is>
      </c>
      <c r="AT281" s="17" t="n"/>
      <c r="AU281" s="16" t="n"/>
      <c r="AV281" s="20" t="n"/>
      <c r="AW281" s="20" t="inlineStr">
        <is>
          <t>None</t>
        </is>
      </c>
      <c r="AX281" s="17" t="n"/>
      <c r="AY281" s="16" t="n"/>
      <c r="AZ281" s="20" t="inlineStr">
        <is>
          <t>IC Anionen</t>
        </is>
      </c>
      <c r="BA281" s="20" t="inlineStr">
        <is>
          <t>None</t>
        </is>
      </c>
      <c r="BB281" s="17" t="n"/>
      <c r="BC281" s="16" t="n"/>
      <c r="BD281" s="20" t="inlineStr">
        <is>
          <t>IC Kationen</t>
        </is>
      </c>
      <c r="BE281" s="20" t="inlineStr">
        <is>
          <t>None</t>
        </is>
      </c>
      <c r="BF281" s="17" t="n"/>
      <c r="BG281" s="16" t="n"/>
      <c r="BH281" s="20" t="inlineStr">
        <is>
          <t>IC Kationen</t>
        </is>
      </c>
      <c r="BI281" s="20" t="inlineStr">
        <is>
          <t>None</t>
        </is>
      </c>
      <c r="BJ281" s="17" t="n"/>
      <c r="BK281" s="16" t="n"/>
      <c r="BL281" s="20" t="inlineStr">
        <is>
          <t>IC Kationen</t>
        </is>
      </c>
      <c r="BM281" s="20" t="inlineStr">
        <is>
          <t>None</t>
        </is>
      </c>
      <c r="BN281" s="17" t="n"/>
      <c r="BO281" s="16" t="n"/>
      <c r="BP281" s="20" t="inlineStr">
        <is>
          <t>IC Kationen</t>
        </is>
      </c>
      <c r="BQ281" s="20" t="inlineStr">
        <is>
          <t>None</t>
        </is>
      </c>
      <c r="BR281" s="17" t="n"/>
      <c r="BS281" s="16" t="n"/>
      <c r="BT281" s="20" t="inlineStr">
        <is>
          <t>IC Kationen</t>
        </is>
      </c>
      <c r="BU281" s="20" t="inlineStr">
        <is>
          <t>None</t>
        </is>
      </c>
      <c r="BV281" s="17" t="n"/>
      <c r="BW281" s="16" t="n"/>
      <c r="BX281" s="20" t="n"/>
      <c r="BY281" s="20" t="inlineStr">
        <is>
          <t>None</t>
        </is>
      </c>
      <c r="BZ281" s="17" t="n"/>
      <c r="CA281" s="16" t="n"/>
      <c r="CB281" s="20" t="n"/>
      <c r="CC281" s="20" t="inlineStr">
        <is>
          <t>None</t>
        </is>
      </c>
      <c r="CD281" s="17" t="n"/>
      <c r="CE281" s="16" t="n"/>
      <c r="CF281" s="20" t="n"/>
      <c r="CG281" s="20" t="inlineStr">
        <is>
          <t>None</t>
        </is>
      </c>
      <c r="CH281" s="17" t="n"/>
      <c r="CI281" s="16" t="n"/>
      <c r="CJ281" s="20" t="n"/>
      <c r="CK281" s="20" t="inlineStr">
        <is>
          <t>None</t>
        </is>
      </c>
      <c r="CL281" s="17" t="n"/>
      <c r="CM281" s="16" t="n"/>
      <c r="CN281" s="20" t="inlineStr">
        <is>
          <t>SOP 45-34</t>
        </is>
      </c>
      <c r="CO281" s="20" t="inlineStr">
        <is>
          <t>None</t>
        </is>
      </c>
      <c r="CP281" s="17" t="n"/>
      <c r="CQ281" s="16" t="n"/>
      <c r="CR281" s="20" t="n"/>
      <c r="CS281" s="20" t="inlineStr">
        <is>
          <t>None</t>
        </is>
      </c>
      <c r="CT281" s="17" t="n"/>
      <c r="CU281" s="16" t="n"/>
      <c r="CV281" s="20" t="n"/>
      <c r="CW281" s="20" t="inlineStr">
        <is>
          <t>None</t>
        </is>
      </c>
      <c r="CX281" s="17" t="n"/>
      <c r="CY281" s="16" t="n"/>
      <c r="CZ281" s="20" t="inlineStr">
        <is>
          <t>WTW Multimeter 3430 with FDO 925</t>
        </is>
      </c>
      <c r="DA281" s="20" t="inlineStr">
        <is>
          <t>None</t>
        </is>
      </c>
      <c r="DB281" s="17" t="n"/>
      <c r="DC281" s="16" t="n"/>
      <c r="DD281" s="20" t="n"/>
      <c r="DE281" s="20" t="inlineStr">
        <is>
          <t>None</t>
        </is>
      </c>
      <c r="DF281" s="17" t="n"/>
      <c r="DG281" s="16" t="n"/>
      <c r="DH281" s="20" t="inlineStr">
        <is>
          <t>SOP 45-09</t>
        </is>
      </c>
      <c r="DI281" s="20" t="inlineStr">
        <is>
          <t>None</t>
        </is>
      </c>
      <c r="DJ281" s="17" t="n"/>
      <c r="DK281" s="16" t="n"/>
      <c r="DL281" s="20" t="inlineStr">
        <is>
          <t>SOP 45-09 (SOP muss noch angepasst werden für VSS)</t>
        </is>
      </c>
      <c r="DM281" s="20" t="inlineStr">
        <is>
          <t>None</t>
        </is>
      </c>
      <c r="DN281" s="17" t="n"/>
      <c r="DO281" s="16" t="n"/>
      <c r="DP281" s="20" t="inlineStr">
        <is>
          <t>IC Organic Acids</t>
        </is>
      </c>
      <c r="DQ281" s="20" t="inlineStr">
        <is>
          <t>None</t>
        </is>
      </c>
      <c r="DR281" s="17" t="n"/>
      <c r="DS281" s="16" t="n"/>
      <c r="DT281" s="20" t="inlineStr">
        <is>
          <t>IC Organic Acids</t>
        </is>
      </c>
      <c r="DU281" s="20" t="inlineStr">
        <is>
          <t>None</t>
        </is>
      </c>
      <c r="DV281" s="17" t="n"/>
      <c r="DW281" s="16" t="n"/>
      <c r="DX281" s="20" t="inlineStr">
        <is>
          <t>IC Organic Acids</t>
        </is>
      </c>
      <c r="DY281" s="20" t="inlineStr">
        <is>
          <t>None</t>
        </is>
      </c>
      <c r="DZ281" s="17" t="n"/>
      <c r="EA281" s="16" t="n"/>
      <c r="EB281" s="20" t="inlineStr">
        <is>
          <t>IC Organic Acids</t>
        </is>
      </c>
      <c r="EC281" s="20" t="inlineStr">
        <is>
          <t>None</t>
        </is>
      </c>
      <c r="ED281" s="17" t="n"/>
      <c r="EE281" s="16" t="n"/>
      <c r="EF281" s="20" t="inlineStr">
        <is>
          <t>IC Organic Acids</t>
        </is>
      </c>
      <c r="EG281" s="20" t="inlineStr">
        <is>
          <t>None</t>
        </is>
      </c>
      <c r="EH281" s="17" t="n"/>
      <c r="EI281" s="16" t="n"/>
      <c r="EJ281" s="20" t="inlineStr">
        <is>
          <t>IC Organic Acids</t>
        </is>
      </c>
      <c r="EK281" s="20" t="inlineStr">
        <is>
          <t>None</t>
        </is>
      </c>
      <c r="EL281" s="17" t="n"/>
      <c r="EM281" s="16" t="n"/>
      <c r="EN281" s="20" t="inlineStr">
        <is>
          <t>IC Organic Acids</t>
        </is>
      </c>
      <c r="EO281" s="20" t="inlineStr">
        <is>
          <t>None</t>
        </is>
      </c>
      <c r="EP281" s="17" t="n"/>
      <c r="EQ281" s="16" t="n"/>
      <c r="ER281" s="20" t="inlineStr">
        <is>
          <t>IC Organic Acids</t>
        </is>
      </c>
      <c r="ES281" s="20" t="inlineStr">
        <is>
          <t>None</t>
        </is>
      </c>
      <c r="ET281" s="17" t="n"/>
      <c r="EU281" s="16" t="n"/>
      <c r="EV281" s="20" t="inlineStr">
        <is>
          <t>LC-MS</t>
        </is>
      </c>
      <c r="EW281" s="20" t="inlineStr">
        <is>
          <t>None</t>
        </is>
      </c>
      <c r="EX281" s="17" t="n"/>
      <c r="EY281" s="21" t="n"/>
      <c r="EZ281">
        <f>CONCATENATE(A281,B281)</f>
        <v/>
      </c>
      <c r="FA281">
        <f>CONCATENATE(SamplesX!A281,SamplesX!B281)</f>
        <v/>
      </c>
      <c r="FC281">
        <f>MATCH(EZ281,FA1:FA1008,0)</f>
        <v/>
      </c>
    </row>
    <row r="282">
      <c r="A282" s="16" t="inlineStr">
        <is>
          <t>BP</t>
        </is>
      </c>
      <c r="B282" s="17" t="inlineStr">
        <is>
          <t>25274</t>
        </is>
      </c>
      <c r="C282" s="10">
        <f>IF(ISNUMBER(FC282),INDIRECT("SamplesX!C"&amp;FC282),IF(ISNUMBER(FD282),INDIRECT("SamplesY!C"&amp;FD282),""))</f>
        <v/>
      </c>
      <c r="D282" s="12">
        <f>IF(ISNUMBER(FC282),INDIRECT("SamplesX!D"&amp;FC282),IF(ISNUMBER(FD282),INDIRECT("SamplesY!D"&amp;FD282),""))</f>
        <v/>
      </c>
      <c r="E282" s="12">
        <f>IF(ISNUMBER(FC282),INDIRECT("SamplesX!E"&amp;FC282),IF(ISNUMBER(FD282),INDIRECT("SamplesY!E"&amp;FD282),""))</f>
        <v/>
      </c>
      <c r="F282" s="11">
        <f>IF(ISNUMBER(FC282),INDIRECT("SamplesX!F"&amp;FC282),IF(ISNUMBER(FD282),INDIRECT("SamplesY!F"&amp;FD282),""))</f>
        <v/>
      </c>
      <c r="G282" s="18">
        <f>IF(ISNUMBER(FC282),INDIRECT("SamplesX!G"&amp;FC282),IF(ISNUMBER(FD282),INDIRECT("SamplesY!G"&amp;FD282),""))</f>
        <v/>
      </c>
      <c r="H282" s="19">
        <f>IF(ISNUMBER(FC282),INDIRECT("SamplesX!H"&amp;FC282),IF(ISNUMBER(FD282),INDIRECT("SamplesY!H"&amp;FD282),""))</f>
        <v/>
      </c>
      <c r="I282" s="16" t="n"/>
      <c r="J282" s="16" t="n"/>
      <c r="K282" s="16" t="n"/>
      <c r="L282" s="20" t="n"/>
      <c r="M282" s="20" t="inlineStr">
        <is>
          <t>None</t>
        </is>
      </c>
      <c r="N282" s="17" t="n"/>
      <c r="O282" s="16" t="n"/>
      <c r="P282" s="20" t="inlineStr">
        <is>
          <t>Shimadzu TOC-L</t>
        </is>
      </c>
      <c r="Q282" s="20" t="inlineStr">
        <is>
          <t>None</t>
        </is>
      </c>
      <c r="R282" s="17" t="n"/>
      <c r="S282" s="16" t="n"/>
      <c r="T282" s="20" t="inlineStr">
        <is>
          <t>Shimadzu TOC-L</t>
        </is>
      </c>
      <c r="U282" s="20" t="inlineStr">
        <is>
          <t>None</t>
        </is>
      </c>
      <c r="V282" s="17" t="n"/>
      <c r="W282" s="16" t="n"/>
      <c r="X282" s="20" t="n"/>
      <c r="Y282" s="20" t="inlineStr">
        <is>
          <t>None</t>
        </is>
      </c>
      <c r="Z282" s="17" t="n"/>
      <c r="AA282" s="16" t="n"/>
      <c r="AB282" s="20" t="n"/>
      <c r="AC282" s="20" t="inlineStr">
        <is>
          <t>None</t>
        </is>
      </c>
      <c r="AD282" s="17" t="n"/>
      <c r="AE282" s="16" t="n"/>
      <c r="AF282" s="20" t="inlineStr">
        <is>
          <t>IC Anionen</t>
        </is>
      </c>
      <c r="AG282" s="20" t="inlineStr">
        <is>
          <t>None</t>
        </is>
      </c>
      <c r="AH282" s="17" t="n"/>
      <c r="AI282" s="16" t="n"/>
      <c r="AJ282" s="20" t="n"/>
      <c r="AK282" s="20" t="inlineStr">
        <is>
          <t>None</t>
        </is>
      </c>
      <c r="AL282" s="17" t="n"/>
      <c r="AM282" s="16" t="n"/>
      <c r="AN282" s="20" t="inlineStr">
        <is>
          <t>IC Anionen</t>
        </is>
      </c>
      <c r="AO282" s="20" t="inlineStr">
        <is>
          <t>None</t>
        </is>
      </c>
      <c r="AP282" s="17" t="n"/>
      <c r="AQ282" s="16" t="n"/>
      <c r="AR282" s="20" t="n"/>
      <c r="AS282" s="20" t="inlineStr">
        <is>
          <t>None</t>
        </is>
      </c>
      <c r="AT282" s="17" t="n"/>
      <c r="AU282" s="16" t="n"/>
      <c r="AV282" s="20" t="n"/>
      <c r="AW282" s="20" t="inlineStr">
        <is>
          <t>None</t>
        </is>
      </c>
      <c r="AX282" s="17" t="n"/>
      <c r="AY282" s="16" t="n"/>
      <c r="AZ282" s="20" t="inlineStr">
        <is>
          <t>IC Anionen</t>
        </is>
      </c>
      <c r="BA282" s="20" t="inlineStr">
        <is>
          <t>None</t>
        </is>
      </c>
      <c r="BB282" s="17" t="n"/>
      <c r="BC282" s="16" t="n"/>
      <c r="BD282" s="20" t="inlineStr">
        <is>
          <t>IC Kationen</t>
        </is>
      </c>
      <c r="BE282" s="20" t="inlineStr">
        <is>
          <t>None</t>
        </is>
      </c>
      <c r="BF282" s="17" t="n"/>
      <c r="BG282" s="16" t="n"/>
      <c r="BH282" s="20" t="inlineStr">
        <is>
          <t>IC Kationen</t>
        </is>
      </c>
      <c r="BI282" s="20" t="inlineStr">
        <is>
          <t>None</t>
        </is>
      </c>
      <c r="BJ282" s="17" t="n"/>
      <c r="BK282" s="16" t="n"/>
      <c r="BL282" s="20" t="inlineStr">
        <is>
          <t>IC Kationen</t>
        </is>
      </c>
      <c r="BM282" s="20" t="inlineStr">
        <is>
          <t>None</t>
        </is>
      </c>
      <c r="BN282" s="17" t="n"/>
      <c r="BO282" s="16" t="n"/>
      <c r="BP282" s="20" t="inlineStr">
        <is>
          <t>IC Kationen</t>
        </is>
      </c>
      <c r="BQ282" s="20" t="inlineStr">
        <is>
          <t>None</t>
        </is>
      </c>
      <c r="BR282" s="17" t="n"/>
      <c r="BS282" s="16" t="n"/>
      <c r="BT282" s="20" t="inlineStr">
        <is>
          <t>IC Kationen</t>
        </is>
      </c>
      <c r="BU282" s="20" t="inlineStr">
        <is>
          <t>None</t>
        </is>
      </c>
      <c r="BV282" s="17" t="n"/>
      <c r="BW282" s="16" t="n"/>
      <c r="BX282" s="20" t="n"/>
      <c r="BY282" s="20" t="inlineStr">
        <is>
          <t>None</t>
        </is>
      </c>
      <c r="BZ282" s="17" t="n"/>
      <c r="CA282" s="16" t="n"/>
      <c r="CB282" s="20" t="n"/>
      <c r="CC282" s="20" t="inlineStr">
        <is>
          <t>None</t>
        </is>
      </c>
      <c r="CD282" s="17" t="n"/>
      <c r="CE282" s="16" t="n"/>
      <c r="CF282" s="20" t="n"/>
      <c r="CG282" s="20" t="inlineStr">
        <is>
          <t>None</t>
        </is>
      </c>
      <c r="CH282" s="17" t="n"/>
      <c r="CI282" s="16" t="n"/>
      <c r="CJ282" s="20" t="n"/>
      <c r="CK282" s="20" t="inlineStr">
        <is>
          <t>None</t>
        </is>
      </c>
      <c r="CL282" s="17" t="n"/>
      <c r="CM282" s="16" t="n"/>
      <c r="CN282" s="20" t="inlineStr">
        <is>
          <t>SOP 45-34</t>
        </is>
      </c>
      <c r="CO282" s="20" t="inlineStr">
        <is>
          <t>None</t>
        </is>
      </c>
      <c r="CP282" s="17" t="n"/>
      <c r="CQ282" s="16" t="n"/>
      <c r="CR282" s="20" t="n"/>
      <c r="CS282" s="20" t="inlineStr">
        <is>
          <t>None</t>
        </is>
      </c>
      <c r="CT282" s="17" t="n"/>
      <c r="CU282" s="16" t="n"/>
      <c r="CV282" s="20" t="n"/>
      <c r="CW282" s="20" t="inlineStr">
        <is>
          <t>None</t>
        </is>
      </c>
      <c r="CX282" s="17" t="n"/>
      <c r="CY282" s="16" t="n"/>
      <c r="CZ282" s="20" t="inlineStr">
        <is>
          <t>WTW Multimeter 3430 with FDO 925</t>
        </is>
      </c>
      <c r="DA282" s="20" t="inlineStr">
        <is>
          <t>None</t>
        </is>
      </c>
      <c r="DB282" s="17" t="n"/>
      <c r="DC282" s="16" t="n"/>
      <c r="DD282" s="20" t="n"/>
      <c r="DE282" s="20" t="inlineStr">
        <is>
          <t>None</t>
        </is>
      </c>
      <c r="DF282" s="17" t="n"/>
      <c r="DG282" s="16" t="n"/>
      <c r="DH282" s="20" t="inlineStr">
        <is>
          <t>SOP 45-09</t>
        </is>
      </c>
      <c r="DI282" s="20" t="inlineStr">
        <is>
          <t>None</t>
        </is>
      </c>
      <c r="DJ282" s="17" t="n"/>
      <c r="DK282" s="16" t="n"/>
      <c r="DL282" s="20" t="inlineStr">
        <is>
          <t>SOP 45-09 (SOP muss noch angepasst werden für VSS)</t>
        </is>
      </c>
      <c r="DM282" s="20" t="inlineStr">
        <is>
          <t>None</t>
        </is>
      </c>
      <c r="DN282" s="17" t="n"/>
      <c r="DO282" s="16" t="n"/>
      <c r="DP282" s="20" t="inlineStr">
        <is>
          <t>IC Organic Acids</t>
        </is>
      </c>
      <c r="DQ282" s="20" t="inlineStr">
        <is>
          <t>None</t>
        </is>
      </c>
      <c r="DR282" s="17" t="n"/>
      <c r="DS282" s="16" t="n"/>
      <c r="DT282" s="20" t="inlineStr">
        <is>
          <t>IC Organic Acids</t>
        </is>
      </c>
      <c r="DU282" s="20" t="inlineStr">
        <is>
          <t>None</t>
        </is>
      </c>
      <c r="DV282" s="17" t="n"/>
      <c r="DW282" s="16" t="n"/>
      <c r="DX282" s="20" t="inlineStr">
        <is>
          <t>IC Organic Acids</t>
        </is>
      </c>
      <c r="DY282" s="20" t="inlineStr">
        <is>
          <t>None</t>
        </is>
      </c>
      <c r="DZ282" s="17" t="n"/>
      <c r="EA282" s="16" t="n"/>
      <c r="EB282" s="20" t="inlineStr">
        <is>
          <t>IC Organic Acids</t>
        </is>
      </c>
      <c r="EC282" s="20" t="inlineStr">
        <is>
          <t>None</t>
        </is>
      </c>
      <c r="ED282" s="17" t="n"/>
      <c r="EE282" s="16" t="n"/>
      <c r="EF282" s="20" t="inlineStr">
        <is>
          <t>IC Organic Acids</t>
        </is>
      </c>
      <c r="EG282" s="20" t="inlineStr">
        <is>
          <t>None</t>
        </is>
      </c>
      <c r="EH282" s="17" t="n"/>
      <c r="EI282" s="16" t="n"/>
      <c r="EJ282" s="20" t="inlineStr">
        <is>
          <t>IC Organic Acids</t>
        </is>
      </c>
      <c r="EK282" s="20" t="inlineStr">
        <is>
          <t>None</t>
        </is>
      </c>
      <c r="EL282" s="17" t="n"/>
      <c r="EM282" s="16" t="n"/>
      <c r="EN282" s="20" t="inlineStr">
        <is>
          <t>IC Organic Acids</t>
        </is>
      </c>
      <c r="EO282" s="20" t="inlineStr">
        <is>
          <t>None</t>
        </is>
      </c>
      <c r="EP282" s="17" t="n"/>
      <c r="EQ282" s="16" t="n"/>
      <c r="ER282" s="20" t="inlineStr">
        <is>
          <t>IC Organic Acids</t>
        </is>
      </c>
      <c r="ES282" s="20" t="inlineStr">
        <is>
          <t>None</t>
        </is>
      </c>
      <c r="ET282" s="17" t="n"/>
      <c r="EU282" s="16" t="n"/>
      <c r="EV282" s="20" t="inlineStr">
        <is>
          <t>LC-MS</t>
        </is>
      </c>
      <c r="EW282" s="20" t="inlineStr">
        <is>
          <t>None</t>
        </is>
      </c>
      <c r="EX282" s="17" t="n"/>
      <c r="EY282" s="21" t="n"/>
      <c r="EZ282">
        <f>CONCATENATE(A282,B282)</f>
        <v/>
      </c>
      <c r="FA282">
        <f>CONCATENATE(SamplesX!A282,SamplesX!B282)</f>
        <v/>
      </c>
      <c r="FC282">
        <f>MATCH(EZ282,FA1:FA1008,0)</f>
        <v/>
      </c>
    </row>
    <row r="283">
      <c r="A283" s="16" t="inlineStr">
        <is>
          <t>BP</t>
        </is>
      </c>
      <c r="B283" s="17" t="inlineStr">
        <is>
          <t>25275</t>
        </is>
      </c>
      <c r="C283" s="10">
        <f>IF(ISNUMBER(FC283),INDIRECT("SamplesX!C"&amp;FC283),IF(ISNUMBER(FD283),INDIRECT("SamplesY!C"&amp;FD283),""))</f>
        <v/>
      </c>
      <c r="D283" s="12">
        <f>IF(ISNUMBER(FC283),INDIRECT("SamplesX!D"&amp;FC283),IF(ISNUMBER(FD283),INDIRECT("SamplesY!D"&amp;FD283),""))</f>
        <v/>
      </c>
      <c r="E283" s="12">
        <f>IF(ISNUMBER(FC283),INDIRECT("SamplesX!E"&amp;FC283),IF(ISNUMBER(FD283),INDIRECT("SamplesY!E"&amp;FD283),""))</f>
        <v/>
      </c>
      <c r="F283" s="11">
        <f>IF(ISNUMBER(FC283),INDIRECT("SamplesX!F"&amp;FC283),IF(ISNUMBER(FD283),INDIRECT("SamplesY!F"&amp;FD283),""))</f>
        <v/>
      </c>
      <c r="G283" s="18">
        <f>IF(ISNUMBER(FC283),INDIRECT("SamplesX!G"&amp;FC283),IF(ISNUMBER(FD283),INDIRECT("SamplesY!G"&amp;FD283),""))</f>
        <v/>
      </c>
      <c r="H283" s="19">
        <f>IF(ISNUMBER(FC283),INDIRECT("SamplesX!H"&amp;FC283),IF(ISNUMBER(FD283),INDIRECT("SamplesY!H"&amp;FD283),""))</f>
        <v/>
      </c>
      <c r="I283" s="16" t="n"/>
      <c r="J283" s="16" t="n"/>
      <c r="K283" s="16" t="n"/>
      <c r="L283" s="20" t="n"/>
      <c r="M283" s="20" t="inlineStr">
        <is>
          <t>None</t>
        </is>
      </c>
      <c r="N283" s="17" t="n"/>
      <c r="O283" s="16" t="n"/>
      <c r="P283" s="20" t="inlineStr">
        <is>
          <t>Shimadzu TOC-L</t>
        </is>
      </c>
      <c r="Q283" s="20" t="inlineStr">
        <is>
          <t>None</t>
        </is>
      </c>
      <c r="R283" s="17" t="n"/>
      <c r="S283" s="16" t="n"/>
      <c r="T283" s="20" t="inlineStr">
        <is>
          <t>Shimadzu TOC-L</t>
        </is>
      </c>
      <c r="U283" s="20" t="inlineStr">
        <is>
          <t>None</t>
        </is>
      </c>
      <c r="V283" s="17" t="n"/>
      <c r="W283" s="16" t="n"/>
      <c r="X283" s="20" t="n"/>
      <c r="Y283" s="20" t="inlineStr">
        <is>
          <t>None</t>
        </is>
      </c>
      <c r="Z283" s="17" t="n"/>
      <c r="AA283" s="16" t="n"/>
      <c r="AB283" s="20" t="n"/>
      <c r="AC283" s="20" t="inlineStr">
        <is>
          <t>None</t>
        </is>
      </c>
      <c r="AD283" s="17" t="n"/>
      <c r="AE283" s="16" t="n"/>
      <c r="AF283" s="20" t="inlineStr">
        <is>
          <t>IC Anionen</t>
        </is>
      </c>
      <c r="AG283" s="20" t="inlineStr">
        <is>
          <t>None</t>
        </is>
      </c>
      <c r="AH283" s="17" t="n"/>
      <c r="AI283" s="16" t="n"/>
      <c r="AJ283" s="20" t="n"/>
      <c r="AK283" s="20" t="inlineStr">
        <is>
          <t>None</t>
        </is>
      </c>
      <c r="AL283" s="17" t="n"/>
      <c r="AM283" s="16" t="n"/>
      <c r="AN283" s="20" t="inlineStr">
        <is>
          <t>IC Anionen</t>
        </is>
      </c>
      <c r="AO283" s="20" t="inlineStr">
        <is>
          <t>None</t>
        </is>
      </c>
      <c r="AP283" s="17" t="n"/>
      <c r="AQ283" s="16" t="n"/>
      <c r="AR283" s="20" t="n"/>
      <c r="AS283" s="20" t="inlineStr">
        <is>
          <t>None</t>
        </is>
      </c>
      <c r="AT283" s="17" t="n"/>
      <c r="AU283" s="16" t="n"/>
      <c r="AV283" s="20" t="n"/>
      <c r="AW283" s="20" t="inlineStr">
        <is>
          <t>None</t>
        </is>
      </c>
      <c r="AX283" s="17" t="n"/>
      <c r="AY283" s="16" t="n"/>
      <c r="AZ283" s="20" t="inlineStr">
        <is>
          <t>IC Anionen</t>
        </is>
      </c>
      <c r="BA283" s="20" t="inlineStr">
        <is>
          <t>None</t>
        </is>
      </c>
      <c r="BB283" s="17" t="n"/>
      <c r="BC283" s="16" t="n"/>
      <c r="BD283" s="20" t="inlineStr">
        <is>
          <t>IC Kationen</t>
        </is>
      </c>
      <c r="BE283" s="20" t="inlineStr">
        <is>
          <t>None</t>
        </is>
      </c>
      <c r="BF283" s="17" t="n"/>
      <c r="BG283" s="16" t="n"/>
      <c r="BH283" s="20" t="inlineStr">
        <is>
          <t>IC Kationen</t>
        </is>
      </c>
      <c r="BI283" s="20" t="inlineStr">
        <is>
          <t>None</t>
        </is>
      </c>
      <c r="BJ283" s="17" t="n"/>
      <c r="BK283" s="16" t="n"/>
      <c r="BL283" s="20" t="inlineStr">
        <is>
          <t>IC Kationen</t>
        </is>
      </c>
      <c r="BM283" s="20" t="inlineStr">
        <is>
          <t>None</t>
        </is>
      </c>
      <c r="BN283" s="17" t="n"/>
      <c r="BO283" s="16" t="n"/>
      <c r="BP283" s="20" t="inlineStr">
        <is>
          <t>IC Kationen</t>
        </is>
      </c>
      <c r="BQ283" s="20" t="inlineStr">
        <is>
          <t>None</t>
        </is>
      </c>
      <c r="BR283" s="17" t="n"/>
      <c r="BS283" s="16" t="n"/>
      <c r="BT283" s="20" t="inlineStr">
        <is>
          <t>IC Kationen</t>
        </is>
      </c>
      <c r="BU283" s="20" t="inlineStr">
        <is>
          <t>None</t>
        </is>
      </c>
      <c r="BV283" s="17" t="n"/>
      <c r="BW283" s="16" t="n"/>
      <c r="BX283" s="20" t="n"/>
      <c r="BY283" s="20" t="inlineStr">
        <is>
          <t>None</t>
        </is>
      </c>
      <c r="BZ283" s="17" t="n"/>
      <c r="CA283" s="16" t="n"/>
      <c r="CB283" s="20" t="n"/>
      <c r="CC283" s="20" t="inlineStr">
        <is>
          <t>None</t>
        </is>
      </c>
      <c r="CD283" s="17" t="n"/>
      <c r="CE283" s="16" t="n"/>
      <c r="CF283" s="20" t="n"/>
      <c r="CG283" s="20" t="inlineStr">
        <is>
          <t>None</t>
        </is>
      </c>
      <c r="CH283" s="17" t="n"/>
      <c r="CI283" s="16" t="n"/>
      <c r="CJ283" s="20" t="n"/>
      <c r="CK283" s="20" t="inlineStr">
        <is>
          <t>None</t>
        </is>
      </c>
      <c r="CL283" s="17" t="n"/>
      <c r="CM283" s="16" t="n"/>
      <c r="CN283" s="20" t="inlineStr">
        <is>
          <t>SOP 45-34</t>
        </is>
      </c>
      <c r="CO283" s="20" t="inlineStr">
        <is>
          <t>None</t>
        </is>
      </c>
      <c r="CP283" s="17" t="n"/>
      <c r="CQ283" s="16" t="n"/>
      <c r="CR283" s="20" t="n"/>
      <c r="CS283" s="20" t="inlineStr">
        <is>
          <t>None</t>
        </is>
      </c>
      <c r="CT283" s="17" t="n"/>
      <c r="CU283" s="16" t="n"/>
      <c r="CV283" s="20" t="n"/>
      <c r="CW283" s="20" t="inlineStr">
        <is>
          <t>None</t>
        </is>
      </c>
      <c r="CX283" s="17" t="n"/>
      <c r="CY283" s="16" t="n"/>
      <c r="CZ283" s="20" t="inlineStr">
        <is>
          <t>WTW Multimeter 3430 with FDO 925</t>
        </is>
      </c>
      <c r="DA283" s="20" t="inlineStr">
        <is>
          <t>None</t>
        </is>
      </c>
      <c r="DB283" s="17" t="n"/>
      <c r="DC283" s="16" t="n"/>
      <c r="DD283" s="20" t="n"/>
      <c r="DE283" s="20" t="inlineStr">
        <is>
          <t>None</t>
        </is>
      </c>
      <c r="DF283" s="17" t="n"/>
      <c r="DG283" s="16" t="n"/>
      <c r="DH283" s="20" t="inlineStr">
        <is>
          <t>SOP 45-09</t>
        </is>
      </c>
      <c r="DI283" s="20" t="inlineStr">
        <is>
          <t>None</t>
        </is>
      </c>
      <c r="DJ283" s="17" t="n"/>
      <c r="DK283" s="16" t="n"/>
      <c r="DL283" s="20" t="inlineStr">
        <is>
          <t>SOP 45-09 (SOP muss noch angepasst werden für VSS)</t>
        </is>
      </c>
      <c r="DM283" s="20" t="inlineStr">
        <is>
          <t>None</t>
        </is>
      </c>
      <c r="DN283" s="17" t="n"/>
      <c r="DO283" s="16" t="n"/>
      <c r="DP283" s="20" t="inlineStr">
        <is>
          <t>IC Organic Acids</t>
        </is>
      </c>
      <c r="DQ283" s="20" t="inlineStr">
        <is>
          <t>None</t>
        </is>
      </c>
      <c r="DR283" s="17" t="n"/>
      <c r="DS283" s="16" t="n"/>
      <c r="DT283" s="20" t="inlineStr">
        <is>
          <t>IC Organic Acids</t>
        </is>
      </c>
      <c r="DU283" s="20" t="inlineStr">
        <is>
          <t>None</t>
        </is>
      </c>
      <c r="DV283" s="17" t="n"/>
      <c r="DW283" s="16" t="n"/>
      <c r="DX283" s="20" t="inlineStr">
        <is>
          <t>IC Organic Acids</t>
        </is>
      </c>
      <c r="DY283" s="20" t="inlineStr">
        <is>
          <t>None</t>
        </is>
      </c>
      <c r="DZ283" s="17" t="n"/>
      <c r="EA283" s="16" t="n"/>
      <c r="EB283" s="20" t="inlineStr">
        <is>
          <t>IC Organic Acids</t>
        </is>
      </c>
      <c r="EC283" s="20" t="inlineStr">
        <is>
          <t>None</t>
        </is>
      </c>
      <c r="ED283" s="17" t="n"/>
      <c r="EE283" s="16" t="n"/>
      <c r="EF283" s="20" t="inlineStr">
        <is>
          <t>IC Organic Acids</t>
        </is>
      </c>
      <c r="EG283" s="20" t="inlineStr">
        <is>
          <t>None</t>
        </is>
      </c>
      <c r="EH283" s="17" t="n"/>
      <c r="EI283" s="16" t="n"/>
      <c r="EJ283" s="20" t="inlineStr">
        <is>
          <t>IC Organic Acids</t>
        </is>
      </c>
      <c r="EK283" s="20" t="inlineStr">
        <is>
          <t>None</t>
        </is>
      </c>
      <c r="EL283" s="17" t="n"/>
      <c r="EM283" s="16" t="n"/>
      <c r="EN283" s="20" t="inlineStr">
        <is>
          <t>IC Organic Acids</t>
        </is>
      </c>
      <c r="EO283" s="20" t="inlineStr">
        <is>
          <t>None</t>
        </is>
      </c>
      <c r="EP283" s="17" t="n"/>
      <c r="EQ283" s="16" t="n"/>
      <c r="ER283" s="20" t="inlineStr">
        <is>
          <t>IC Organic Acids</t>
        </is>
      </c>
      <c r="ES283" s="20" t="inlineStr">
        <is>
          <t>None</t>
        </is>
      </c>
      <c r="ET283" s="17" t="n"/>
      <c r="EU283" s="16" t="n"/>
      <c r="EV283" s="20" t="inlineStr">
        <is>
          <t>LC-MS</t>
        </is>
      </c>
      <c r="EW283" s="20" t="inlineStr">
        <is>
          <t>None</t>
        </is>
      </c>
      <c r="EX283" s="17" t="n"/>
      <c r="EY283" s="21" t="n"/>
      <c r="EZ283">
        <f>CONCATENATE(A283,B283)</f>
        <v/>
      </c>
      <c r="FA283">
        <f>CONCATENATE(SamplesX!A283,SamplesX!B283)</f>
        <v/>
      </c>
      <c r="FC283">
        <f>MATCH(EZ283,FA1:FA1008,0)</f>
        <v/>
      </c>
    </row>
    <row r="284">
      <c r="A284" s="16" t="inlineStr">
        <is>
          <t>BP</t>
        </is>
      </c>
      <c r="B284" s="17" t="inlineStr">
        <is>
          <t>25276</t>
        </is>
      </c>
      <c r="C284" s="10">
        <f>IF(ISNUMBER(FC284),INDIRECT("SamplesX!C"&amp;FC284),IF(ISNUMBER(FD284),INDIRECT("SamplesY!C"&amp;FD284),""))</f>
        <v/>
      </c>
      <c r="D284" s="12">
        <f>IF(ISNUMBER(FC284),INDIRECT("SamplesX!D"&amp;FC284),IF(ISNUMBER(FD284),INDIRECT("SamplesY!D"&amp;FD284),""))</f>
        <v/>
      </c>
      <c r="E284" s="12">
        <f>IF(ISNUMBER(FC284),INDIRECT("SamplesX!E"&amp;FC284),IF(ISNUMBER(FD284),INDIRECT("SamplesY!E"&amp;FD284),""))</f>
        <v/>
      </c>
      <c r="F284" s="11">
        <f>IF(ISNUMBER(FC284),INDIRECT("SamplesX!F"&amp;FC284),IF(ISNUMBER(FD284),INDIRECT("SamplesY!F"&amp;FD284),""))</f>
        <v/>
      </c>
      <c r="G284" s="18">
        <f>IF(ISNUMBER(FC284),INDIRECT("SamplesX!G"&amp;FC284),IF(ISNUMBER(FD284),INDIRECT("SamplesY!G"&amp;FD284),""))</f>
        <v/>
      </c>
      <c r="H284" s="19">
        <f>IF(ISNUMBER(FC284),INDIRECT("SamplesX!H"&amp;FC284),IF(ISNUMBER(FD284),INDIRECT("SamplesY!H"&amp;FD284),""))</f>
        <v/>
      </c>
      <c r="I284" s="16" t="n"/>
      <c r="J284" s="16" t="n"/>
      <c r="K284" s="16" t="n"/>
      <c r="L284" s="20" t="n"/>
      <c r="M284" s="20" t="inlineStr">
        <is>
          <t>None</t>
        </is>
      </c>
      <c r="N284" s="17" t="n"/>
      <c r="O284" s="16" t="n"/>
      <c r="P284" s="20" t="inlineStr">
        <is>
          <t>Shimadzu TOC-L</t>
        </is>
      </c>
      <c r="Q284" s="20" t="inlineStr">
        <is>
          <t>None</t>
        </is>
      </c>
      <c r="R284" s="17" t="n"/>
      <c r="S284" s="16" t="n"/>
      <c r="T284" s="20" t="inlineStr">
        <is>
          <t>Shimadzu TOC-L</t>
        </is>
      </c>
      <c r="U284" s="20" t="inlineStr">
        <is>
          <t>None</t>
        </is>
      </c>
      <c r="V284" s="17" t="n"/>
      <c r="W284" s="16" t="n"/>
      <c r="X284" s="20" t="n"/>
      <c r="Y284" s="20" t="inlineStr">
        <is>
          <t>None</t>
        </is>
      </c>
      <c r="Z284" s="17" t="n"/>
      <c r="AA284" s="16" t="n"/>
      <c r="AB284" s="20" t="n"/>
      <c r="AC284" s="20" t="inlineStr">
        <is>
          <t>None</t>
        </is>
      </c>
      <c r="AD284" s="17" t="n"/>
      <c r="AE284" s="16" t="n"/>
      <c r="AF284" s="20" t="inlineStr">
        <is>
          <t>IC Anionen</t>
        </is>
      </c>
      <c r="AG284" s="20" t="inlineStr">
        <is>
          <t>None</t>
        </is>
      </c>
      <c r="AH284" s="17" t="n"/>
      <c r="AI284" s="16" t="n"/>
      <c r="AJ284" s="20" t="n"/>
      <c r="AK284" s="20" t="inlineStr">
        <is>
          <t>None</t>
        </is>
      </c>
      <c r="AL284" s="17" t="n"/>
      <c r="AM284" s="16" t="n"/>
      <c r="AN284" s="20" t="inlineStr">
        <is>
          <t>IC Anionen</t>
        </is>
      </c>
      <c r="AO284" s="20" t="inlineStr">
        <is>
          <t>None</t>
        </is>
      </c>
      <c r="AP284" s="17" t="n"/>
      <c r="AQ284" s="16" t="n"/>
      <c r="AR284" s="20" t="n"/>
      <c r="AS284" s="20" t="inlineStr">
        <is>
          <t>None</t>
        </is>
      </c>
      <c r="AT284" s="17" t="n"/>
      <c r="AU284" s="16" t="n"/>
      <c r="AV284" s="20" t="n"/>
      <c r="AW284" s="20" t="inlineStr">
        <is>
          <t>None</t>
        </is>
      </c>
      <c r="AX284" s="17" t="n"/>
      <c r="AY284" s="16" t="n"/>
      <c r="AZ284" s="20" t="inlineStr">
        <is>
          <t>IC Anionen</t>
        </is>
      </c>
      <c r="BA284" s="20" t="inlineStr">
        <is>
          <t>None</t>
        </is>
      </c>
      <c r="BB284" s="17" t="n"/>
      <c r="BC284" s="16" t="n"/>
      <c r="BD284" s="20" t="inlineStr">
        <is>
          <t>IC Kationen</t>
        </is>
      </c>
      <c r="BE284" s="20" t="inlineStr">
        <is>
          <t>None</t>
        </is>
      </c>
      <c r="BF284" s="17" t="n"/>
      <c r="BG284" s="16" t="n"/>
      <c r="BH284" s="20" t="inlineStr">
        <is>
          <t>IC Kationen</t>
        </is>
      </c>
      <c r="BI284" s="20" t="inlineStr">
        <is>
          <t>None</t>
        </is>
      </c>
      <c r="BJ284" s="17" t="n"/>
      <c r="BK284" s="16" t="n"/>
      <c r="BL284" s="20" t="inlineStr">
        <is>
          <t>IC Kationen</t>
        </is>
      </c>
      <c r="BM284" s="20" t="inlineStr">
        <is>
          <t>None</t>
        </is>
      </c>
      <c r="BN284" s="17" t="n"/>
      <c r="BO284" s="16" t="n"/>
      <c r="BP284" s="20" t="inlineStr">
        <is>
          <t>IC Kationen</t>
        </is>
      </c>
      <c r="BQ284" s="20" t="inlineStr">
        <is>
          <t>None</t>
        </is>
      </c>
      <c r="BR284" s="17" t="n"/>
      <c r="BS284" s="16" t="n"/>
      <c r="BT284" s="20" t="inlineStr">
        <is>
          <t>IC Kationen</t>
        </is>
      </c>
      <c r="BU284" s="20" t="inlineStr">
        <is>
          <t>None</t>
        </is>
      </c>
      <c r="BV284" s="17" t="n"/>
      <c r="BW284" s="16" t="n"/>
      <c r="BX284" s="20" t="n"/>
      <c r="BY284" s="20" t="inlineStr">
        <is>
          <t>None</t>
        </is>
      </c>
      <c r="BZ284" s="17" t="n"/>
      <c r="CA284" s="16" t="n"/>
      <c r="CB284" s="20" t="n"/>
      <c r="CC284" s="20" t="inlineStr">
        <is>
          <t>None</t>
        </is>
      </c>
      <c r="CD284" s="17" t="n"/>
      <c r="CE284" s="16" t="n"/>
      <c r="CF284" s="20" t="n"/>
      <c r="CG284" s="20" t="inlineStr">
        <is>
          <t>None</t>
        </is>
      </c>
      <c r="CH284" s="17" t="n"/>
      <c r="CI284" s="16" t="n"/>
      <c r="CJ284" s="20" t="n"/>
      <c r="CK284" s="20" t="inlineStr">
        <is>
          <t>None</t>
        </is>
      </c>
      <c r="CL284" s="17" t="n"/>
      <c r="CM284" s="16" t="n"/>
      <c r="CN284" s="20" t="inlineStr">
        <is>
          <t>SOP 45-34</t>
        </is>
      </c>
      <c r="CO284" s="20" t="inlineStr">
        <is>
          <t>None</t>
        </is>
      </c>
      <c r="CP284" s="17" t="n"/>
      <c r="CQ284" s="16" t="n"/>
      <c r="CR284" s="20" t="n"/>
      <c r="CS284" s="20" t="inlineStr">
        <is>
          <t>None</t>
        </is>
      </c>
      <c r="CT284" s="17" t="n"/>
      <c r="CU284" s="16" t="n"/>
      <c r="CV284" s="20" t="n"/>
      <c r="CW284" s="20" t="inlineStr">
        <is>
          <t>None</t>
        </is>
      </c>
      <c r="CX284" s="17" t="n"/>
      <c r="CY284" s="16" t="n"/>
      <c r="CZ284" s="20" t="inlineStr">
        <is>
          <t>WTW Multimeter 3430 with FDO 925</t>
        </is>
      </c>
      <c r="DA284" s="20" t="inlineStr">
        <is>
          <t>None</t>
        </is>
      </c>
      <c r="DB284" s="17" t="n"/>
      <c r="DC284" s="16" t="n"/>
      <c r="DD284" s="20" t="n"/>
      <c r="DE284" s="20" t="inlineStr">
        <is>
          <t>None</t>
        </is>
      </c>
      <c r="DF284" s="17" t="n"/>
      <c r="DG284" s="16" t="n"/>
      <c r="DH284" s="20" t="inlineStr">
        <is>
          <t>SOP 45-09</t>
        </is>
      </c>
      <c r="DI284" s="20" t="inlineStr">
        <is>
          <t>None</t>
        </is>
      </c>
      <c r="DJ284" s="17" t="n"/>
      <c r="DK284" s="16" t="n"/>
      <c r="DL284" s="20" t="inlineStr">
        <is>
          <t>SOP 45-09 (SOP muss noch angepasst werden für VSS)</t>
        </is>
      </c>
      <c r="DM284" s="20" t="inlineStr">
        <is>
          <t>None</t>
        </is>
      </c>
      <c r="DN284" s="17" t="n"/>
      <c r="DO284" s="16" t="n"/>
      <c r="DP284" s="20" t="inlineStr">
        <is>
          <t>IC Organic Acids</t>
        </is>
      </c>
      <c r="DQ284" s="20" t="inlineStr">
        <is>
          <t>None</t>
        </is>
      </c>
      <c r="DR284" s="17" t="n"/>
      <c r="DS284" s="16" t="n"/>
      <c r="DT284" s="20" t="inlineStr">
        <is>
          <t>IC Organic Acids</t>
        </is>
      </c>
      <c r="DU284" s="20" t="inlineStr">
        <is>
          <t>None</t>
        </is>
      </c>
      <c r="DV284" s="17" t="n"/>
      <c r="DW284" s="16" t="n"/>
      <c r="DX284" s="20" t="inlineStr">
        <is>
          <t>IC Organic Acids</t>
        </is>
      </c>
      <c r="DY284" s="20" t="inlineStr">
        <is>
          <t>None</t>
        </is>
      </c>
      <c r="DZ284" s="17" t="n"/>
      <c r="EA284" s="16" t="n"/>
      <c r="EB284" s="20" t="inlineStr">
        <is>
          <t>IC Organic Acids</t>
        </is>
      </c>
      <c r="EC284" s="20" t="inlineStr">
        <is>
          <t>None</t>
        </is>
      </c>
      <c r="ED284" s="17" t="n"/>
      <c r="EE284" s="16" t="n"/>
      <c r="EF284" s="20" t="inlineStr">
        <is>
          <t>IC Organic Acids</t>
        </is>
      </c>
      <c r="EG284" s="20" t="inlineStr">
        <is>
          <t>None</t>
        </is>
      </c>
      <c r="EH284" s="17" t="n"/>
      <c r="EI284" s="16" t="n"/>
      <c r="EJ284" s="20" t="inlineStr">
        <is>
          <t>IC Organic Acids</t>
        </is>
      </c>
      <c r="EK284" s="20" t="inlineStr">
        <is>
          <t>None</t>
        </is>
      </c>
      <c r="EL284" s="17" t="n"/>
      <c r="EM284" s="16" t="n"/>
      <c r="EN284" s="20" t="inlineStr">
        <is>
          <t>IC Organic Acids</t>
        </is>
      </c>
      <c r="EO284" s="20" t="inlineStr">
        <is>
          <t>None</t>
        </is>
      </c>
      <c r="EP284" s="17" t="n"/>
      <c r="EQ284" s="16" t="n"/>
      <c r="ER284" s="20" t="inlineStr">
        <is>
          <t>IC Organic Acids</t>
        </is>
      </c>
      <c r="ES284" s="20" t="inlineStr">
        <is>
          <t>None</t>
        </is>
      </c>
      <c r="ET284" s="17" t="n"/>
      <c r="EU284" s="16" t="n"/>
      <c r="EV284" s="20" t="inlineStr">
        <is>
          <t>LC-MS</t>
        </is>
      </c>
      <c r="EW284" s="20" t="inlineStr">
        <is>
          <t>None</t>
        </is>
      </c>
      <c r="EX284" s="17" t="n"/>
      <c r="EY284" s="21" t="n"/>
      <c r="EZ284">
        <f>CONCATENATE(A284,B284)</f>
        <v/>
      </c>
      <c r="FA284">
        <f>CONCATENATE(SamplesX!A284,SamplesX!B284)</f>
        <v/>
      </c>
      <c r="FC284">
        <f>MATCH(EZ284,FA1:FA1008,0)</f>
        <v/>
      </c>
    </row>
    <row r="285">
      <c r="A285" s="16" t="inlineStr">
        <is>
          <t>BP</t>
        </is>
      </c>
      <c r="B285" s="17" t="inlineStr">
        <is>
          <t>25277</t>
        </is>
      </c>
      <c r="C285" s="10">
        <f>IF(ISNUMBER(FC285),INDIRECT("SamplesX!C"&amp;FC285),IF(ISNUMBER(FD285),INDIRECT("SamplesY!C"&amp;FD285),""))</f>
        <v/>
      </c>
      <c r="D285" s="12">
        <f>IF(ISNUMBER(FC285),INDIRECT("SamplesX!D"&amp;FC285),IF(ISNUMBER(FD285),INDIRECT("SamplesY!D"&amp;FD285),""))</f>
        <v/>
      </c>
      <c r="E285" s="12">
        <f>IF(ISNUMBER(FC285),INDIRECT("SamplesX!E"&amp;FC285),IF(ISNUMBER(FD285),INDIRECT("SamplesY!E"&amp;FD285),""))</f>
        <v/>
      </c>
      <c r="F285" s="11">
        <f>IF(ISNUMBER(FC285),INDIRECT("SamplesX!F"&amp;FC285),IF(ISNUMBER(FD285),INDIRECT("SamplesY!F"&amp;FD285),""))</f>
        <v/>
      </c>
      <c r="G285" s="18">
        <f>IF(ISNUMBER(FC285),INDIRECT("SamplesX!G"&amp;FC285),IF(ISNUMBER(FD285),INDIRECT("SamplesY!G"&amp;FD285),""))</f>
        <v/>
      </c>
      <c r="H285" s="19">
        <f>IF(ISNUMBER(FC285),INDIRECT("SamplesX!H"&amp;FC285),IF(ISNUMBER(FD285),INDIRECT("SamplesY!H"&amp;FD285),""))</f>
        <v/>
      </c>
      <c r="I285" s="16" t="n"/>
      <c r="J285" s="16" t="n"/>
      <c r="K285" s="16" t="n"/>
      <c r="L285" s="20" t="n"/>
      <c r="M285" s="20" t="inlineStr">
        <is>
          <t>None</t>
        </is>
      </c>
      <c r="N285" s="17" t="n"/>
      <c r="O285" s="16" t="n"/>
      <c r="P285" s="20" t="inlineStr">
        <is>
          <t>Shimadzu TOC-L</t>
        </is>
      </c>
      <c r="Q285" s="20" t="inlineStr">
        <is>
          <t>None</t>
        </is>
      </c>
      <c r="R285" s="17" t="n"/>
      <c r="S285" s="16" t="n"/>
      <c r="T285" s="20" t="inlineStr">
        <is>
          <t>Shimadzu TOC-L</t>
        </is>
      </c>
      <c r="U285" s="20" t="inlineStr">
        <is>
          <t>None</t>
        </is>
      </c>
      <c r="V285" s="17" t="n"/>
      <c r="W285" s="16" t="n"/>
      <c r="X285" s="20" t="n"/>
      <c r="Y285" s="20" t="inlineStr">
        <is>
          <t>None</t>
        </is>
      </c>
      <c r="Z285" s="17" t="n"/>
      <c r="AA285" s="16" t="n"/>
      <c r="AB285" s="20" t="n"/>
      <c r="AC285" s="20" t="inlineStr">
        <is>
          <t>None</t>
        </is>
      </c>
      <c r="AD285" s="17" t="n"/>
      <c r="AE285" s="16" t="n"/>
      <c r="AF285" s="20" t="inlineStr">
        <is>
          <t>IC Anionen</t>
        </is>
      </c>
      <c r="AG285" s="20" t="inlineStr">
        <is>
          <t>None</t>
        </is>
      </c>
      <c r="AH285" s="17" t="n"/>
      <c r="AI285" s="16" t="n"/>
      <c r="AJ285" s="20" t="n"/>
      <c r="AK285" s="20" t="inlineStr">
        <is>
          <t>None</t>
        </is>
      </c>
      <c r="AL285" s="17" t="n"/>
      <c r="AM285" s="16" t="n"/>
      <c r="AN285" s="20" t="inlineStr">
        <is>
          <t>IC Anionen</t>
        </is>
      </c>
      <c r="AO285" s="20" t="inlineStr">
        <is>
          <t>None</t>
        </is>
      </c>
      <c r="AP285" s="17" t="n"/>
      <c r="AQ285" s="16" t="n"/>
      <c r="AR285" s="20" t="n"/>
      <c r="AS285" s="20" t="inlineStr">
        <is>
          <t>None</t>
        </is>
      </c>
      <c r="AT285" s="17" t="n"/>
      <c r="AU285" s="16" t="n"/>
      <c r="AV285" s="20" t="n"/>
      <c r="AW285" s="20" t="inlineStr">
        <is>
          <t>None</t>
        </is>
      </c>
      <c r="AX285" s="17" t="n"/>
      <c r="AY285" s="16" t="n"/>
      <c r="AZ285" s="20" t="inlineStr">
        <is>
          <t>IC Anionen</t>
        </is>
      </c>
      <c r="BA285" s="20" t="inlineStr">
        <is>
          <t>None</t>
        </is>
      </c>
      <c r="BB285" s="17" t="n"/>
      <c r="BC285" s="16" t="n"/>
      <c r="BD285" s="20" t="inlineStr">
        <is>
          <t>IC Kationen</t>
        </is>
      </c>
      <c r="BE285" s="20" t="inlineStr">
        <is>
          <t>None</t>
        </is>
      </c>
      <c r="BF285" s="17" t="n"/>
      <c r="BG285" s="16" t="n"/>
      <c r="BH285" s="20" t="inlineStr">
        <is>
          <t>IC Kationen</t>
        </is>
      </c>
      <c r="BI285" s="20" t="inlineStr">
        <is>
          <t>None</t>
        </is>
      </c>
      <c r="BJ285" s="17" t="n"/>
      <c r="BK285" s="16" t="n"/>
      <c r="BL285" s="20" t="inlineStr">
        <is>
          <t>IC Kationen</t>
        </is>
      </c>
      <c r="BM285" s="20" t="inlineStr">
        <is>
          <t>None</t>
        </is>
      </c>
      <c r="BN285" s="17" t="n"/>
      <c r="BO285" s="16" t="n"/>
      <c r="BP285" s="20" t="inlineStr">
        <is>
          <t>IC Kationen</t>
        </is>
      </c>
      <c r="BQ285" s="20" t="inlineStr">
        <is>
          <t>None</t>
        </is>
      </c>
      <c r="BR285" s="17" t="n"/>
      <c r="BS285" s="16" t="n"/>
      <c r="BT285" s="20" t="inlineStr">
        <is>
          <t>IC Kationen</t>
        </is>
      </c>
      <c r="BU285" s="20" t="inlineStr">
        <is>
          <t>None</t>
        </is>
      </c>
      <c r="BV285" s="17" t="n"/>
      <c r="BW285" s="16" t="n"/>
      <c r="BX285" s="20" t="n"/>
      <c r="BY285" s="20" t="inlineStr">
        <is>
          <t>None</t>
        </is>
      </c>
      <c r="BZ285" s="17" t="n"/>
      <c r="CA285" s="16" t="n"/>
      <c r="CB285" s="20" t="n"/>
      <c r="CC285" s="20" t="inlineStr">
        <is>
          <t>None</t>
        </is>
      </c>
      <c r="CD285" s="17" t="n"/>
      <c r="CE285" s="16" t="n"/>
      <c r="CF285" s="20" t="n"/>
      <c r="CG285" s="20" t="inlineStr">
        <is>
          <t>None</t>
        </is>
      </c>
      <c r="CH285" s="17" t="n"/>
      <c r="CI285" s="16" t="n"/>
      <c r="CJ285" s="20" t="n"/>
      <c r="CK285" s="20" t="inlineStr">
        <is>
          <t>None</t>
        </is>
      </c>
      <c r="CL285" s="17" t="n"/>
      <c r="CM285" s="16" t="n"/>
      <c r="CN285" s="20" t="inlineStr">
        <is>
          <t>SOP 45-34</t>
        </is>
      </c>
      <c r="CO285" s="20" t="inlineStr">
        <is>
          <t>None</t>
        </is>
      </c>
      <c r="CP285" s="17" t="n"/>
      <c r="CQ285" s="16" t="n"/>
      <c r="CR285" s="20" t="n"/>
      <c r="CS285" s="20" t="inlineStr">
        <is>
          <t>None</t>
        </is>
      </c>
      <c r="CT285" s="17" t="n"/>
      <c r="CU285" s="16" t="n"/>
      <c r="CV285" s="20" t="n"/>
      <c r="CW285" s="20" t="inlineStr">
        <is>
          <t>None</t>
        </is>
      </c>
      <c r="CX285" s="17" t="n"/>
      <c r="CY285" s="16" t="n"/>
      <c r="CZ285" s="20" t="inlineStr">
        <is>
          <t>WTW Multimeter 3430 with FDO 925</t>
        </is>
      </c>
      <c r="DA285" s="20" t="inlineStr">
        <is>
          <t>None</t>
        </is>
      </c>
      <c r="DB285" s="17" t="n"/>
      <c r="DC285" s="16" t="n"/>
      <c r="DD285" s="20" t="n"/>
      <c r="DE285" s="20" t="inlineStr">
        <is>
          <t>None</t>
        </is>
      </c>
      <c r="DF285" s="17" t="n"/>
      <c r="DG285" s="16" t="n"/>
      <c r="DH285" s="20" t="inlineStr">
        <is>
          <t>SOP 45-09</t>
        </is>
      </c>
      <c r="DI285" s="20" t="inlineStr">
        <is>
          <t>None</t>
        </is>
      </c>
      <c r="DJ285" s="17" t="n"/>
      <c r="DK285" s="16" t="n"/>
      <c r="DL285" s="20" t="inlineStr">
        <is>
          <t>SOP 45-09 (SOP muss noch angepasst werden für VSS)</t>
        </is>
      </c>
      <c r="DM285" s="20" t="inlineStr">
        <is>
          <t>None</t>
        </is>
      </c>
      <c r="DN285" s="17" t="n"/>
      <c r="DO285" s="16" t="n"/>
      <c r="DP285" s="20" t="inlineStr">
        <is>
          <t>IC Organic Acids</t>
        </is>
      </c>
      <c r="DQ285" s="20" t="inlineStr">
        <is>
          <t>None</t>
        </is>
      </c>
      <c r="DR285" s="17" t="n"/>
      <c r="DS285" s="16" t="n"/>
      <c r="DT285" s="20" t="inlineStr">
        <is>
          <t>IC Organic Acids</t>
        </is>
      </c>
      <c r="DU285" s="20" t="inlineStr">
        <is>
          <t>None</t>
        </is>
      </c>
      <c r="DV285" s="17" t="n"/>
      <c r="DW285" s="16" t="n"/>
      <c r="DX285" s="20" t="inlineStr">
        <is>
          <t>IC Organic Acids</t>
        </is>
      </c>
      <c r="DY285" s="20" t="inlineStr">
        <is>
          <t>None</t>
        </is>
      </c>
      <c r="DZ285" s="17" t="n"/>
      <c r="EA285" s="16" t="n"/>
      <c r="EB285" s="20" t="inlineStr">
        <is>
          <t>IC Organic Acids</t>
        </is>
      </c>
      <c r="EC285" s="20" t="inlineStr">
        <is>
          <t>None</t>
        </is>
      </c>
      <c r="ED285" s="17" t="n"/>
      <c r="EE285" s="16" t="n"/>
      <c r="EF285" s="20" t="inlineStr">
        <is>
          <t>IC Organic Acids</t>
        </is>
      </c>
      <c r="EG285" s="20" t="inlineStr">
        <is>
          <t>None</t>
        </is>
      </c>
      <c r="EH285" s="17" t="n"/>
      <c r="EI285" s="16" t="n"/>
      <c r="EJ285" s="20" t="inlineStr">
        <is>
          <t>IC Organic Acids</t>
        </is>
      </c>
      <c r="EK285" s="20" t="inlineStr">
        <is>
          <t>None</t>
        </is>
      </c>
      <c r="EL285" s="17" t="n"/>
      <c r="EM285" s="16" t="n"/>
      <c r="EN285" s="20" t="inlineStr">
        <is>
          <t>IC Organic Acids</t>
        </is>
      </c>
      <c r="EO285" s="20" t="inlineStr">
        <is>
          <t>None</t>
        </is>
      </c>
      <c r="EP285" s="17" t="n"/>
      <c r="EQ285" s="16" t="n"/>
      <c r="ER285" s="20" t="inlineStr">
        <is>
          <t>IC Organic Acids</t>
        </is>
      </c>
      <c r="ES285" s="20" t="inlineStr">
        <is>
          <t>None</t>
        </is>
      </c>
      <c r="ET285" s="17" t="n"/>
      <c r="EU285" s="16" t="n"/>
      <c r="EV285" s="20" t="inlineStr">
        <is>
          <t>LC-MS</t>
        </is>
      </c>
      <c r="EW285" s="20" t="inlineStr">
        <is>
          <t>None</t>
        </is>
      </c>
      <c r="EX285" s="17" t="n"/>
      <c r="EY285" s="21" t="n"/>
      <c r="EZ285">
        <f>CONCATENATE(A285,B285)</f>
        <v/>
      </c>
      <c r="FA285">
        <f>CONCATENATE(SamplesX!A285,SamplesX!B285)</f>
        <v/>
      </c>
      <c r="FC285">
        <f>MATCH(EZ285,FA1:FA1008,0)</f>
        <v/>
      </c>
    </row>
    <row r="286">
      <c r="A286" s="16" t="inlineStr">
        <is>
          <t>BP</t>
        </is>
      </c>
      <c r="B286" s="17" t="inlineStr">
        <is>
          <t>25278</t>
        </is>
      </c>
      <c r="C286" s="10">
        <f>IF(ISNUMBER(FC286),INDIRECT("SamplesX!C"&amp;FC286),IF(ISNUMBER(FD286),INDIRECT("SamplesY!C"&amp;FD286),""))</f>
        <v/>
      </c>
      <c r="D286" s="12">
        <f>IF(ISNUMBER(FC286),INDIRECT("SamplesX!D"&amp;FC286),IF(ISNUMBER(FD286),INDIRECT("SamplesY!D"&amp;FD286),""))</f>
        <v/>
      </c>
      <c r="E286" s="12">
        <f>IF(ISNUMBER(FC286),INDIRECT("SamplesX!E"&amp;FC286),IF(ISNUMBER(FD286),INDIRECT("SamplesY!E"&amp;FD286),""))</f>
        <v/>
      </c>
      <c r="F286" s="11">
        <f>IF(ISNUMBER(FC286),INDIRECT("SamplesX!F"&amp;FC286),IF(ISNUMBER(FD286),INDIRECT("SamplesY!F"&amp;FD286),""))</f>
        <v/>
      </c>
      <c r="G286" s="18">
        <f>IF(ISNUMBER(FC286),INDIRECT("SamplesX!G"&amp;FC286),IF(ISNUMBER(FD286),INDIRECT("SamplesY!G"&amp;FD286),""))</f>
        <v/>
      </c>
      <c r="H286" s="19">
        <f>IF(ISNUMBER(FC286),INDIRECT("SamplesX!H"&amp;FC286),IF(ISNUMBER(FD286),INDIRECT("SamplesY!H"&amp;FD286),""))</f>
        <v/>
      </c>
      <c r="I286" s="16" t="n"/>
      <c r="J286" s="16" t="n"/>
      <c r="K286" s="16" t="n"/>
      <c r="L286" s="20" t="n"/>
      <c r="M286" s="20" t="inlineStr">
        <is>
          <t>None</t>
        </is>
      </c>
      <c r="N286" s="17" t="n"/>
      <c r="O286" s="16" t="n"/>
      <c r="P286" s="20" t="inlineStr">
        <is>
          <t>Shimadzu TOC-L</t>
        </is>
      </c>
      <c r="Q286" s="20" t="inlineStr">
        <is>
          <t>None</t>
        </is>
      </c>
      <c r="R286" s="17" t="n"/>
      <c r="S286" s="16" t="n"/>
      <c r="T286" s="20" t="inlineStr">
        <is>
          <t>Shimadzu TOC-L</t>
        </is>
      </c>
      <c r="U286" s="20" t="inlineStr">
        <is>
          <t>None</t>
        </is>
      </c>
      <c r="V286" s="17" t="n"/>
      <c r="W286" s="16" t="n"/>
      <c r="X286" s="20" t="n"/>
      <c r="Y286" s="20" t="inlineStr">
        <is>
          <t>None</t>
        </is>
      </c>
      <c r="Z286" s="17" t="n"/>
      <c r="AA286" s="16" t="n"/>
      <c r="AB286" s="20" t="n"/>
      <c r="AC286" s="20" t="inlineStr">
        <is>
          <t>None</t>
        </is>
      </c>
      <c r="AD286" s="17" t="n"/>
      <c r="AE286" s="16" t="n"/>
      <c r="AF286" s="20" t="inlineStr">
        <is>
          <t>IC Anionen</t>
        </is>
      </c>
      <c r="AG286" s="20" t="inlineStr">
        <is>
          <t>None</t>
        </is>
      </c>
      <c r="AH286" s="17" t="n"/>
      <c r="AI286" s="16" t="n"/>
      <c r="AJ286" s="20" t="n"/>
      <c r="AK286" s="20" t="inlineStr">
        <is>
          <t>None</t>
        </is>
      </c>
      <c r="AL286" s="17" t="n"/>
      <c r="AM286" s="16" t="n"/>
      <c r="AN286" s="20" t="inlineStr">
        <is>
          <t>IC Anionen</t>
        </is>
      </c>
      <c r="AO286" s="20" t="inlineStr">
        <is>
          <t>None</t>
        </is>
      </c>
      <c r="AP286" s="17" t="n"/>
      <c r="AQ286" s="16" t="n"/>
      <c r="AR286" s="20" t="n"/>
      <c r="AS286" s="20" t="inlineStr">
        <is>
          <t>None</t>
        </is>
      </c>
      <c r="AT286" s="17" t="n"/>
      <c r="AU286" s="16" t="n"/>
      <c r="AV286" s="20" t="n"/>
      <c r="AW286" s="20" t="inlineStr">
        <is>
          <t>None</t>
        </is>
      </c>
      <c r="AX286" s="17" t="n"/>
      <c r="AY286" s="16" t="n"/>
      <c r="AZ286" s="20" t="inlineStr">
        <is>
          <t>IC Anionen</t>
        </is>
      </c>
      <c r="BA286" s="20" t="inlineStr">
        <is>
          <t>None</t>
        </is>
      </c>
      <c r="BB286" s="17" t="n"/>
      <c r="BC286" s="16" t="n"/>
      <c r="BD286" s="20" t="inlineStr">
        <is>
          <t>IC Kationen</t>
        </is>
      </c>
      <c r="BE286" s="20" t="inlineStr">
        <is>
          <t>None</t>
        </is>
      </c>
      <c r="BF286" s="17" t="n"/>
      <c r="BG286" s="16" t="n"/>
      <c r="BH286" s="20" t="inlineStr">
        <is>
          <t>IC Kationen</t>
        </is>
      </c>
      <c r="BI286" s="20" t="inlineStr">
        <is>
          <t>None</t>
        </is>
      </c>
      <c r="BJ286" s="17" t="n"/>
      <c r="BK286" s="16" t="n"/>
      <c r="BL286" s="20" t="inlineStr">
        <is>
          <t>IC Kationen</t>
        </is>
      </c>
      <c r="BM286" s="20" t="inlineStr">
        <is>
          <t>None</t>
        </is>
      </c>
      <c r="BN286" s="17" t="n"/>
      <c r="BO286" s="16" t="n"/>
      <c r="BP286" s="20" t="inlineStr">
        <is>
          <t>IC Kationen</t>
        </is>
      </c>
      <c r="BQ286" s="20" t="inlineStr">
        <is>
          <t>None</t>
        </is>
      </c>
      <c r="BR286" s="17" t="n"/>
      <c r="BS286" s="16" t="n"/>
      <c r="BT286" s="20" t="inlineStr">
        <is>
          <t>IC Kationen</t>
        </is>
      </c>
      <c r="BU286" s="20" t="inlineStr">
        <is>
          <t>None</t>
        </is>
      </c>
      <c r="BV286" s="17" t="n"/>
      <c r="BW286" s="16" t="n"/>
      <c r="BX286" s="20" t="n"/>
      <c r="BY286" s="20" t="inlineStr">
        <is>
          <t>None</t>
        </is>
      </c>
      <c r="BZ286" s="17" t="n"/>
      <c r="CA286" s="16" t="n"/>
      <c r="CB286" s="20" t="n"/>
      <c r="CC286" s="20" t="inlineStr">
        <is>
          <t>None</t>
        </is>
      </c>
      <c r="CD286" s="17" t="n"/>
      <c r="CE286" s="16" t="n"/>
      <c r="CF286" s="20" t="n"/>
      <c r="CG286" s="20" t="inlineStr">
        <is>
          <t>None</t>
        </is>
      </c>
      <c r="CH286" s="17" t="n"/>
      <c r="CI286" s="16" t="n"/>
      <c r="CJ286" s="20" t="n"/>
      <c r="CK286" s="20" t="inlineStr">
        <is>
          <t>None</t>
        </is>
      </c>
      <c r="CL286" s="17" t="n"/>
      <c r="CM286" s="16" t="n"/>
      <c r="CN286" s="20" t="inlineStr">
        <is>
          <t>SOP 45-34</t>
        </is>
      </c>
      <c r="CO286" s="20" t="inlineStr">
        <is>
          <t>None</t>
        </is>
      </c>
      <c r="CP286" s="17" t="n"/>
      <c r="CQ286" s="16" t="n"/>
      <c r="CR286" s="20" t="n"/>
      <c r="CS286" s="20" t="inlineStr">
        <is>
          <t>None</t>
        </is>
      </c>
      <c r="CT286" s="17" t="n"/>
      <c r="CU286" s="16" t="n"/>
      <c r="CV286" s="20" t="n"/>
      <c r="CW286" s="20" t="inlineStr">
        <is>
          <t>None</t>
        </is>
      </c>
      <c r="CX286" s="17" t="n"/>
      <c r="CY286" s="16" t="n"/>
      <c r="CZ286" s="20" t="inlineStr">
        <is>
          <t>WTW Multimeter 3430 with FDO 925</t>
        </is>
      </c>
      <c r="DA286" s="20" t="inlineStr">
        <is>
          <t>None</t>
        </is>
      </c>
      <c r="DB286" s="17" t="n"/>
      <c r="DC286" s="16" t="n"/>
      <c r="DD286" s="20" t="n"/>
      <c r="DE286" s="20" t="inlineStr">
        <is>
          <t>None</t>
        </is>
      </c>
      <c r="DF286" s="17" t="n"/>
      <c r="DG286" s="16" t="n"/>
      <c r="DH286" s="20" t="inlineStr">
        <is>
          <t>SOP 45-09</t>
        </is>
      </c>
      <c r="DI286" s="20" t="inlineStr">
        <is>
          <t>None</t>
        </is>
      </c>
      <c r="DJ286" s="17" t="n"/>
      <c r="DK286" s="16" t="n"/>
      <c r="DL286" s="20" t="inlineStr">
        <is>
          <t>SOP 45-09 (SOP muss noch angepasst werden für VSS)</t>
        </is>
      </c>
      <c r="DM286" s="20" t="inlineStr">
        <is>
          <t>None</t>
        </is>
      </c>
      <c r="DN286" s="17" t="n"/>
      <c r="DO286" s="16" t="n"/>
      <c r="DP286" s="20" t="inlineStr">
        <is>
          <t>IC Organic Acids</t>
        </is>
      </c>
      <c r="DQ286" s="20" t="inlineStr">
        <is>
          <t>None</t>
        </is>
      </c>
      <c r="DR286" s="17" t="n"/>
      <c r="DS286" s="16" t="n"/>
      <c r="DT286" s="20" t="inlineStr">
        <is>
          <t>IC Organic Acids</t>
        </is>
      </c>
      <c r="DU286" s="20" t="inlineStr">
        <is>
          <t>None</t>
        </is>
      </c>
      <c r="DV286" s="17" t="n"/>
      <c r="DW286" s="16" t="n"/>
      <c r="DX286" s="20" t="inlineStr">
        <is>
          <t>IC Organic Acids</t>
        </is>
      </c>
      <c r="DY286" s="20" t="inlineStr">
        <is>
          <t>None</t>
        </is>
      </c>
      <c r="DZ286" s="17" t="n"/>
      <c r="EA286" s="16" t="n"/>
      <c r="EB286" s="20" t="inlineStr">
        <is>
          <t>IC Organic Acids</t>
        </is>
      </c>
      <c r="EC286" s="20" t="inlineStr">
        <is>
          <t>None</t>
        </is>
      </c>
      <c r="ED286" s="17" t="n"/>
      <c r="EE286" s="16" t="n"/>
      <c r="EF286" s="20" t="inlineStr">
        <is>
          <t>IC Organic Acids</t>
        </is>
      </c>
      <c r="EG286" s="20" t="inlineStr">
        <is>
          <t>None</t>
        </is>
      </c>
      <c r="EH286" s="17" t="n"/>
      <c r="EI286" s="16" t="n"/>
      <c r="EJ286" s="20" t="inlineStr">
        <is>
          <t>IC Organic Acids</t>
        </is>
      </c>
      <c r="EK286" s="20" t="inlineStr">
        <is>
          <t>None</t>
        </is>
      </c>
      <c r="EL286" s="17" t="n"/>
      <c r="EM286" s="16" t="n"/>
      <c r="EN286" s="20" t="inlineStr">
        <is>
          <t>IC Organic Acids</t>
        </is>
      </c>
      <c r="EO286" s="20" t="inlineStr">
        <is>
          <t>None</t>
        </is>
      </c>
      <c r="EP286" s="17" t="n"/>
      <c r="EQ286" s="16" t="n"/>
      <c r="ER286" s="20" t="inlineStr">
        <is>
          <t>IC Organic Acids</t>
        </is>
      </c>
      <c r="ES286" s="20" t="inlineStr">
        <is>
          <t>None</t>
        </is>
      </c>
      <c r="ET286" s="17" t="n"/>
      <c r="EU286" s="16" t="n"/>
      <c r="EV286" s="20" t="inlineStr">
        <is>
          <t>LC-MS</t>
        </is>
      </c>
      <c r="EW286" s="20" t="inlineStr">
        <is>
          <t>None</t>
        </is>
      </c>
      <c r="EX286" s="17" t="n"/>
      <c r="EY286" s="21" t="n"/>
      <c r="EZ286">
        <f>CONCATENATE(A286,B286)</f>
        <v/>
      </c>
      <c r="FA286">
        <f>CONCATENATE(SamplesX!A286,SamplesX!B286)</f>
        <v/>
      </c>
      <c r="FC286">
        <f>MATCH(EZ286,FA1:FA1008,0)</f>
        <v/>
      </c>
    </row>
    <row r="287">
      <c r="A287" s="16" t="inlineStr">
        <is>
          <t>BP</t>
        </is>
      </c>
      <c r="B287" s="17" t="inlineStr">
        <is>
          <t>25279</t>
        </is>
      </c>
      <c r="C287" s="10">
        <f>IF(ISNUMBER(FC287),INDIRECT("SamplesX!C"&amp;FC287),IF(ISNUMBER(FD287),INDIRECT("SamplesY!C"&amp;FD287),""))</f>
        <v/>
      </c>
      <c r="D287" s="12">
        <f>IF(ISNUMBER(FC287),INDIRECT("SamplesX!D"&amp;FC287),IF(ISNUMBER(FD287),INDIRECT("SamplesY!D"&amp;FD287),""))</f>
        <v/>
      </c>
      <c r="E287" s="12">
        <f>IF(ISNUMBER(FC287),INDIRECT("SamplesX!E"&amp;FC287),IF(ISNUMBER(FD287),INDIRECT("SamplesY!E"&amp;FD287),""))</f>
        <v/>
      </c>
      <c r="F287" s="11">
        <f>IF(ISNUMBER(FC287),INDIRECT("SamplesX!F"&amp;FC287),IF(ISNUMBER(FD287),INDIRECT("SamplesY!F"&amp;FD287),""))</f>
        <v/>
      </c>
      <c r="G287" s="18">
        <f>IF(ISNUMBER(FC287),INDIRECT("SamplesX!G"&amp;FC287),IF(ISNUMBER(FD287),INDIRECT("SamplesY!G"&amp;FD287),""))</f>
        <v/>
      </c>
      <c r="H287" s="19">
        <f>IF(ISNUMBER(FC287),INDIRECT("SamplesX!H"&amp;FC287),IF(ISNUMBER(FD287),INDIRECT("SamplesY!H"&amp;FD287),""))</f>
        <v/>
      </c>
      <c r="I287" s="16" t="n"/>
      <c r="J287" s="16" t="n"/>
      <c r="K287" s="16" t="n"/>
      <c r="L287" s="20" t="n"/>
      <c r="M287" s="20" t="inlineStr">
        <is>
          <t>None</t>
        </is>
      </c>
      <c r="N287" s="17" t="n"/>
      <c r="O287" s="16" t="n"/>
      <c r="P287" s="20" t="inlineStr">
        <is>
          <t>Shimadzu TOC-L</t>
        </is>
      </c>
      <c r="Q287" s="20" t="inlineStr">
        <is>
          <t>None</t>
        </is>
      </c>
      <c r="R287" s="17" t="n"/>
      <c r="S287" s="16" t="n"/>
      <c r="T287" s="20" t="inlineStr">
        <is>
          <t>Shimadzu TOC-L</t>
        </is>
      </c>
      <c r="U287" s="20" t="inlineStr">
        <is>
          <t>None</t>
        </is>
      </c>
      <c r="V287" s="17" t="n"/>
      <c r="W287" s="16" t="n"/>
      <c r="X287" s="20" t="n"/>
      <c r="Y287" s="20" t="inlineStr">
        <is>
          <t>None</t>
        </is>
      </c>
      <c r="Z287" s="17" t="n"/>
      <c r="AA287" s="16" t="n"/>
      <c r="AB287" s="20" t="n"/>
      <c r="AC287" s="20" t="inlineStr">
        <is>
          <t>None</t>
        </is>
      </c>
      <c r="AD287" s="17" t="n"/>
      <c r="AE287" s="16" t="n"/>
      <c r="AF287" s="20" t="inlineStr">
        <is>
          <t>IC Anionen</t>
        </is>
      </c>
      <c r="AG287" s="20" t="inlineStr">
        <is>
          <t>None</t>
        </is>
      </c>
      <c r="AH287" s="17" t="n"/>
      <c r="AI287" s="16" t="n"/>
      <c r="AJ287" s="20" t="n"/>
      <c r="AK287" s="20" t="inlineStr">
        <is>
          <t>None</t>
        </is>
      </c>
      <c r="AL287" s="17" t="n"/>
      <c r="AM287" s="16" t="n"/>
      <c r="AN287" s="20" t="inlineStr">
        <is>
          <t>IC Anionen</t>
        </is>
      </c>
      <c r="AO287" s="20" t="inlineStr">
        <is>
          <t>None</t>
        </is>
      </c>
      <c r="AP287" s="17" t="n"/>
      <c r="AQ287" s="16" t="n"/>
      <c r="AR287" s="20" t="n"/>
      <c r="AS287" s="20" t="inlineStr">
        <is>
          <t>None</t>
        </is>
      </c>
      <c r="AT287" s="17" t="n"/>
      <c r="AU287" s="16" t="n"/>
      <c r="AV287" s="20" t="n"/>
      <c r="AW287" s="20" t="inlineStr">
        <is>
          <t>None</t>
        </is>
      </c>
      <c r="AX287" s="17" t="n"/>
      <c r="AY287" s="16" t="n"/>
      <c r="AZ287" s="20" t="inlineStr">
        <is>
          <t>IC Anionen</t>
        </is>
      </c>
      <c r="BA287" s="20" t="inlineStr">
        <is>
          <t>None</t>
        </is>
      </c>
      <c r="BB287" s="17" t="n"/>
      <c r="BC287" s="16" t="n"/>
      <c r="BD287" s="20" t="inlineStr">
        <is>
          <t>IC Kationen</t>
        </is>
      </c>
      <c r="BE287" s="20" t="inlineStr">
        <is>
          <t>None</t>
        </is>
      </c>
      <c r="BF287" s="17" t="n"/>
      <c r="BG287" s="16" t="n"/>
      <c r="BH287" s="20" t="inlineStr">
        <is>
          <t>IC Kationen</t>
        </is>
      </c>
      <c r="BI287" s="20" t="inlineStr">
        <is>
          <t>None</t>
        </is>
      </c>
      <c r="BJ287" s="17" t="n"/>
      <c r="BK287" s="16" t="n"/>
      <c r="BL287" s="20" t="inlineStr">
        <is>
          <t>IC Kationen</t>
        </is>
      </c>
      <c r="BM287" s="20" t="inlineStr">
        <is>
          <t>None</t>
        </is>
      </c>
      <c r="BN287" s="17" t="n"/>
      <c r="BO287" s="16" t="n"/>
      <c r="BP287" s="20" t="inlineStr">
        <is>
          <t>IC Kationen</t>
        </is>
      </c>
      <c r="BQ287" s="20" t="inlineStr">
        <is>
          <t>None</t>
        </is>
      </c>
      <c r="BR287" s="17" t="n"/>
      <c r="BS287" s="16" t="n"/>
      <c r="BT287" s="20" t="inlineStr">
        <is>
          <t>IC Kationen</t>
        </is>
      </c>
      <c r="BU287" s="20" t="inlineStr">
        <is>
          <t>None</t>
        </is>
      </c>
      <c r="BV287" s="17" t="n"/>
      <c r="BW287" s="16" t="n"/>
      <c r="BX287" s="20" t="n"/>
      <c r="BY287" s="20" t="inlineStr">
        <is>
          <t>None</t>
        </is>
      </c>
      <c r="BZ287" s="17" t="n"/>
      <c r="CA287" s="16" t="n"/>
      <c r="CB287" s="20" t="n"/>
      <c r="CC287" s="20" t="inlineStr">
        <is>
          <t>None</t>
        </is>
      </c>
      <c r="CD287" s="17" t="n"/>
      <c r="CE287" s="16" t="n"/>
      <c r="CF287" s="20" t="n"/>
      <c r="CG287" s="20" t="inlineStr">
        <is>
          <t>None</t>
        </is>
      </c>
      <c r="CH287" s="17" t="n"/>
      <c r="CI287" s="16" t="n"/>
      <c r="CJ287" s="20" t="n"/>
      <c r="CK287" s="20" t="inlineStr">
        <is>
          <t>None</t>
        </is>
      </c>
      <c r="CL287" s="17" t="n"/>
      <c r="CM287" s="16" t="n"/>
      <c r="CN287" s="20" t="inlineStr">
        <is>
          <t>SOP 45-34</t>
        </is>
      </c>
      <c r="CO287" s="20" t="inlineStr">
        <is>
          <t>None</t>
        </is>
      </c>
      <c r="CP287" s="17" t="n"/>
      <c r="CQ287" s="16" t="n"/>
      <c r="CR287" s="20" t="n"/>
      <c r="CS287" s="20" t="inlineStr">
        <is>
          <t>None</t>
        </is>
      </c>
      <c r="CT287" s="17" t="n"/>
      <c r="CU287" s="16" t="n"/>
      <c r="CV287" s="20" t="n"/>
      <c r="CW287" s="20" t="inlineStr">
        <is>
          <t>None</t>
        </is>
      </c>
      <c r="CX287" s="17" t="n"/>
      <c r="CY287" s="16" t="n"/>
      <c r="CZ287" s="20" t="inlineStr">
        <is>
          <t>WTW Multimeter 3430 with FDO 925</t>
        </is>
      </c>
      <c r="DA287" s="20" t="inlineStr">
        <is>
          <t>None</t>
        </is>
      </c>
      <c r="DB287" s="17" t="n"/>
      <c r="DC287" s="16" t="n"/>
      <c r="DD287" s="20" t="n"/>
      <c r="DE287" s="20" t="inlineStr">
        <is>
          <t>None</t>
        </is>
      </c>
      <c r="DF287" s="17" t="n"/>
      <c r="DG287" s="16" t="n"/>
      <c r="DH287" s="20" t="inlineStr">
        <is>
          <t>SOP 45-09</t>
        </is>
      </c>
      <c r="DI287" s="20" t="inlineStr">
        <is>
          <t>None</t>
        </is>
      </c>
      <c r="DJ287" s="17" t="n"/>
      <c r="DK287" s="16" t="n"/>
      <c r="DL287" s="20" t="inlineStr">
        <is>
          <t>SOP 45-09 (SOP muss noch angepasst werden für VSS)</t>
        </is>
      </c>
      <c r="DM287" s="20" t="inlineStr">
        <is>
          <t>None</t>
        </is>
      </c>
      <c r="DN287" s="17" t="n"/>
      <c r="DO287" s="16" t="n"/>
      <c r="DP287" s="20" t="inlineStr">
        <is>
          <t>IC Organic Acids</t>
        </is>
      </c>
      <c r="DQ287" s="20" t="inlineStr">
        <is>
          <t>None</t>
        </is>
      </c>
      <c r="DR287" s="17" t="n"/>
      <c r="DS287" s="16" t="n"/>
      <c r="DT287" s="20" t="inlineStr">
        <is>
          <t>IC Organic Acids</t>
        </is>
      </c>
      <c r="DU287" s="20" t="inlineStr">
        <is>
          <t>None</t>
        </is>
      </c>
      <c r="DV287" s="17" t="n"/>
      <c r="DW287" s="16" t="n"/>
      <c r="DX287" s="20" t="inlineStr">
        <is>
          <t>IC Organic Acids</t>
        </is>
      </c>
      <c r="DY287" s="20" t="inlineStr">
        <is>
          <t>None</t>
        </is>
      </c>
      <c r="DZ287" s="17" t="n"/>
      <c r="EA287" s="16" t="n"/>
      <c r="EB287" s="20" t="inlineStr">
        <is>
          <t>IC Organic Acids</t>
        </is>
      </c>
      <c r="EC287" s="20" t="inlineStr">
        <is>
          <t>None</t>
        </is>
      </c>
      <c r="ED287" s="17" t="n"/>
      <c r="EE287" s="16" t="n"/>
      <c r="EF287" s="20" t="inlineStr">
        <is>
          <t>IC Organic Acids</t>
        </is>
      </c>
      <c r="EG287" s="20" t="inlineStr">
        <is>
          <t>None</t>
        </is>
      </c>
      <c r="EH287" s="17" t="n"/>
      <c r="EI287" s="16" t="n"/>
      <c r="EJ287" s="20" t="inlineStr">
        <is>
          <t>IC Organic Acids</t>
        </is>
      </c>
      <c r="EK287" s="20" t="inlineStr">
        <is>
          <t>None</t>
        </is>
      </c>
      <c r="EL287" s="17" t="n"/>
      <c r="EM287" s="16" t="n"/>
      <c r="EN287" s="20" t="inlineStr">
        <is>
          <t>IC Organic Acids</t>
        </is>
      </c>
      <c r="EO287" s="20" t="inlineStr">
        <is>
          <t>None</t>
        </is>
      </c>
      <c r="EP287" s="17" t="n"/>
      <c r="EQ287" s="16" t="n"/>
      <c r="ER287" s="20" t="inlineStr">
        <is>
          <t>IC Organic Acids</t>
        </is>
      </c>
      <c r="ES287" s="20" t="inlineStr">
        <is>
          <t>None</t>
        </is>
      </c>
      <c r="ET287" s="17" t="n"/>
      <c r="EU287" s="16" t="n"/>
      <c r="EV287" s="20" t="inlineStr">
        <is>
          <t>LC-MS</t>
        </is>
      </c>
      <c r="EW287" s="20" t="inlineStr">
        <is>
          <t>None</t>
        </is>
      </c>
      <c r="EX287" s="17" t="n"/>
      <c r="EY287" s="21" t="n"/>
      <c r="EZ287">
        <f>CONCATENATE(A287,B287)</f>
        <v/>
      </c>
      <c r="FA287">
        <f>CONCATENATE(SamplesX!A287,SamplesX!B287)</f>
        <v/>
      </c>
      <c r="FC287">
        <f>MATCH(EZ287,FA1:FA1008,0)</f>
        <v/>
      </c>
    </row>
    <row r="288">
      <c r="A288" s="16" t="inlineStr">
        <is>
          <t>BP</t>
        </is>
      </c>
      <c r="B288" s="17" t="inlineStr">
        <is>
          <t>25280</t>
        </is>
      </c>
      <c r="C288" s="10">
        <f>IF(ISNUMBER(FC288),INDIRECT("SamplesX!C"&amp;FC288),IF(ISNUMBER(FD288),INDIRECT("SamplesY!C"&amp;FD288),""))</f>
        <v/>
      </c>
      <c r="D288" s="12">
        <f>IF(ISNUMBER(FC288),INDIRECT("SamplesX!D"&amp;FC288),IF(ISNUMBER(FD288),INDIRECT("SamplesY!D"&amp;FD288),""))</f>
        <v/>
      </c>
      <c r="E288" s="12">
        <f>IF(ISNUMBER(FC288),INDIRECT("SamplesX!E"&amp;FC288),IF(ISNUMBER(FD288),INDIRECT("SamplesY!E"&amp;FD288),""))</f>
        <v/>
      </c>
      <c r="F288" s="11">
        <f>IF(ISNUMBER(FC288),INDIRECT("SamplesX!F"&amp;FC288),IF(ISNUMBER(FD288),INDIRECT("SamplesY!F"&amp;FD288),""))</f>
        <v/>
      </c>
      <c r="G288" s="18">
        <f>IF(ISNUMBER(FC288),INDIRECT("SamplesX!G"&amp;FC288),IF(ISNUMBER(FD288),INDIRECT("SamplesY!G"&amp;FD288),""))</f>
        <v/>
      </c>
      <c r="H288" s="19">
        <f>IF(ISNUMBER(FC288),INDIRECT("SamplesX!H"&amp;FC288),IF(ISNUMBER(FD288),INDIRECT("SamplesY!H"&amp;FD288),""))</f>
        <v/>
      </c>
      <c r="I288" s="16" t="n"/>
      <c r="J288" s="16" t="n"/>
      <c r="K288" s="16" t="n"/>
      <c r="L288" s="20" t="n"/>
      <c r="M288" s="20" t="inlineStr">
        <is>
          <t>None</t>
        </is>
      </c>
      <c r="N288" s="17" t="n"/>
      <c r="O288" s="16" t="n"/>
      <c r="P288" s="20" t="inlineStr">
        <is>
          <t>Shimadzu TOC-L</t>
        </is>
      </c>
      <c r="Q288" s="20" t="inlineStr">
        <is>
          <t>None</t>
        </is>
      </c>
      <c r="R288" s="17" t="n"/>
      <c r="S288" s="16" t="n"/>
      <c r="T288" s="20" t="inlineStr">
        <is>
          <t>Shimadzu TOC-L</t>
        </is>
      </c>
      <c r="U288" s="20" t="inlineStr">
        <is>
          <t>None</t>
        </is>
      </c>
      <c r="V288" s="17" t="n"/>
      <c r="W288" s="16" t="n"/>
      <c r="X288" s="20" t="n"/>
      <c r="Y288" s="20" t="inlineStr">
        <is>
          <t>None</t>
        </is>
      </c>
      <c r="Z288" s="17" t="n"/>
      <c r="AA288" s="16" t="n"/>
      <c r="AB288" s="20" t="n"/>
      <c r="AC288" s="20" t="inlineStr">
        <is>
          <t>None</t>
        </is>
      </c>
      <c r="AD288" s="17" t="n"/>
      <c r="AE288" s="16" t="n"/>
      <c r="AF288" s="20" t="inlineStr">
        <is>
          <t>IC Anionen</t>
        </is>
      </c>
      <c r="AG288" s="20" t="inlineStr">
        <is>
          <t>None</t>
        </is>
      </c>
      <c r="AH288" s="17" t="n"/>
      <c r="AI288" s="16" t="n"/>
      <c r="AJ288" s="20" t="n"/>
      <c r="AK288" s="20" t="inlineStr">
        <is>
          <t>None</t>
        </is>
      </c>
      <c r="AL288" s="17" t="n"/>
      <c r="AM288" s="16" t="n"/>
      <c r="AN288" s="20" t="inlineStr">
        <is>
          <t>IC Anionen</t>
        </is>
      </c>
      <c r="AO288" s="20" t="inlineStr">
        <is>
          <t>None</t>
        </is>
      </c>
      <c r="AP288" s="17" t="n"/>
      <c r="AQ288" s="16" t="n"/>
      <c r="AR288" s="20" t="n"/>
      <c r="AS288" s="20" t="inlineStr">
        <is>
          <t>None</t>
        </is>
      </c>
      <c r="AT288" s="17" t="n"/>
      <c r="AU288" s="16" t="n"/>
      <c r="AV288" s="20" t="n"/>
      <c r="AW288" s="20" t="inlineStr">
        <is>
          <t>None</t>
        </is>
      </c>
      <c r="AX288" s="17" t="n"/>
      <c r="AY288" s="16" t="n"/>
      <c r="AZ288" s="20" t="inlineStr">
        <is>
          <t>IC Anionen</t>
        </is>
      </c>
      <c r="BA288" s="20" t="inlineStr">
        <is>
          <t>None</t>
        </is>
      </c>
      <c r="BB288" s="17" t="n"/>
      <c r="BC288" s="16" t="n"/>
      <c r="BD288" s="20" t="inlineStr">
        <is>
          <t>IC Kationen</t>
        </is>
      </c>
      <c r="BE288" s="20" t="inlineStr">
        <is>
          <t>None</t>
        </is>
      </c>
      <c r="BF288" s="17" t="n"/>
      <c r="BG288" s="16" t="n"/>
      <c r="BH288" s="20" t="inlineStr">
        <is>
          <t>IC Kationen</t>
        </is>
      </c>
      <c r="BI288" s="20" t="inlineStr">
        <is>
          <t>None</t>
        </is>
      </c>
      <c r="BJ288" s="17" t="n"/>
      <c r="BK288" s="16" t="n"/>
      <c r="BL288" s="20" t="inlineStr">
        <is>
          <t>IC Kationen</t>
        </is>
      </c>
      <c r="BM288" s="20" t="inlineStr">
        <is>
          <t>None</t>
        </is>
      </c>
      <c r="BN288" s="17" t="n"/>
      <c r="BO288" s="16" t="n"/>
      <c r="BP288" s="20" t="inlineStr">
        <is>
          <t>IC Kationen</t>
        </is>
      </c>
      <c r="BQ288" s="20" t="inlineStr">
        <is>
          <t>None</t>
        </is>
      </c>
      <c r="BR288" s="17" t="n"/>
      <c r="BS288" s="16" t="n"/>
      <c r="BT288" s="20" t="inlineStr">
        <is>
          <t>IC Kationen</t>
        </is>
      </c>
      <c r="BU288" s="20" t="inlineStr">
        <is>
          <t>None</t>
        </is>
      </c>
      <c r="BV288" s="17" t="n"/>
      <c r="BW288" s="16" t="n"/>
      <c r="BX288" s="20" t="n"/>
      <c r="BY288" s="20" t="inlineStr">
        <is>
          <t>None</t>
        </is>
      </c>
      <c r="BZ288" s="17" t="n"/>
      <c r="CA288" s="16" t="n"/>
      <c r="CB288" s="20" t="n"/>
      <c r="CC288" s="20" t="inlineStr">
        <is>
          <t>None</t>
        </is>
      </c>
      <c r="CD288" s="17" t="n"/>
      <c r="CE288" s="16" t="n"/>
      <c r="CF288" s="20" t="n"/>
      <c r="CG288" s="20" t="inlineStr">
        <is>
          <t>None</t>
        </is>
      </c>
      <c r="CH288" s="17" t="n"/>
      <c r="CI288" s="16" t="n"/>
      <c r="CJ288" s="20" t="n"/>
      <c r="CK288" s="20" t="inlineStr">
        <is>
          <t>None</t>
        </is>
      </c>
      <c r="CL288" s="17" t="n"/>
      <c r="CM288" s="16" t="n"/>
      <c r="CN288" s="20" t="inlineStr">
        <is>
          <t>SOP 45-34</t>
        </is>
      </c>
      <c r="CO288" s="20" t="inlineStr">
        <is>
          <t>None</t>
        </is>
      </c>
      <c r="CP288" s="17" t="n"/>
      <c r="CQ288" s="16" t="n"/>
      <c r="CR288" s="20" t="n"/>
      <c r="CS288" s="20" t="inlineStr">
        <is>
          <t>None</t>
        </is>
      </c>
      <c r="CT288" s="17" t="n"/>
      <c r="CU288" s="16" t="n"/>
      <c r="CV288" s="20" t="n"/>
      <c r="CW288" s="20" t="inlineStr">
        <is>
          <t>None</t>
        </is>
      </c>
      <c r="CX288" s="17" t="n"/>
      <c r="CY288" s="16" t="n"/>
      <c r="CZ288" s="20" t="inlineStr">
        <is>
          <t>WTW Multimeter 3430 with FDO 925</t>
        </is>
      </c>
      <c r="DA288" s="20" t="inlineStr">
        <is>
          <t>None</t>
        </is>
      </c>
      <c r="DB288" s="17" t="n"/>
      <c r="DC288" s="16" t="n"/>
      <c r="DD288" s="20" t="n"/>
      <c r="DE288" s="20" t="inlineStr">
        <is>
          <t>None</t>
        </is>
      </c>
      <c r="DF288" s="17" t="n"/>
      <c r="DG288" s="16" t="n"/>
      <c r="DH288" s="20" t="inlineStr">
        <is>
          <t>SOP 45-09</t>
        </is>
      </c>
      <c r="DI288" s="20" t="inlineStr">
        <is>
          <t>None</t>
        </is>
      </c>
      <c r="DJ288" s="17" t="n"/>
      <c r="DK288" s="16" t="n"/>
      <c r="DL288" s="20" t="inlineStr">
        <is>
          <t>SOP 45-09 (SOP muss noch angepasst werden für VSS)</t>
        </is>
      </c>
      <c r="DM288" s="20" t="inlineStr">
        <is>
          <t>None</t>
        </is>
      </c>
      <c r="DN288" s="17" t="n"/>
      <c r="DO288" s="16" t="n"/>
      <c r="DP288" s="20" t="inlineStr">
        <is>
          <t>IC Organic Acids</t>
        </is>
      </c>
      <c r="DQ288" s="20" t="inlineStr">
        <is>
          <t>None</t>
        </is>
      </c>
      <c r="DR288" s="17" t="n"/>
      <c r="DS288" s="16" t="n"/>
      <c r="DT288" s="20" t="inlineStr">
        <is>
          <t>IC Organic Acids</t>
        </is>
      </c>
      <c r="DU288" s="20" t="inlineStr">
        <is>
          <t>None</t>
        </is>
      </c>
      <c r="DV288" s="17" t="n"/>
      <c r="DW288" s="16" t="n"/>
      <c r="DX288" s="20" t="inlineStr">
        <is>
          <t>IC Organic Acids</t>
        </is>
      </c>
      <c r="DY288" s="20" t="inlineStr">
        <is>
          <t>None</t>
        </is>
      </c>
      <c r="DZ288" s="17" t="n"/>
      <c r="EA288" s="16" t="n"/>
      <c r="EB288" s="20" t="inlineStr">
        <is>
          <t>IC Organic Acids</t>
        </is>
      </c>
      <c r="EC288" s="20" t="inlineStr">
        <is>
          <t>None</t>
        </is>
      </c>
      <c r="ED288" s="17" t="n"/>
      <c r="EE288" s="16" t="n"/>
      <c r="EF288" s="20" t="inlineStr">
        <is>
          <t>IC Organic Acids</t>
        </is>
      </c>
      <c r="EG288" s="20" t="inlineStr">
        <is>
          <t>None</t>
        </is>
      </c>
      <c r="EH288" s="17" t="n"/>
      <c r="EI288" s="16" t="n"/>
      <c r="EJ288" s="20" t="inlineStr">
        <is>
          <t>IC Organic Acids</t>
        </is>
      </c>
      <c r="EK288" s="20" t="inlineStr">
        <is>
          <t>None</t>
        </is>
      </c>
      <c r="EL288" s="17" t="n"/>
      <c r="EM288" s="16" t="n"/>
      <c r="EN288" s="20" t="inlineStr">
        <is>
          <t>IC Organic Acids</t>
        </is>
      </c>
      <c r="EO288" s="20" t="inlineStr">
        <is>
          <t>None</t>
        </is>
      </c>
      <c r="EP288" s="17" t="n"/>
      <c r="EQ288" s="16" t="n"/>
      <c r="ER288" s="20" t="inlineStr">
        <is>
          <t>IC Organic Acids</t>
        </is>
      </c>
      <c r="ES288" s="20" t="inlineStr">
        <is>
          <t>None</t>
        </is>
      </c>
      <c r="ET288" s="17" t="n"/>
      <c r="EU288" s="16" t="n"/>
      <c r="EV288" s="20" t="inlineStr">
        <is>
          <t>LC-MS</t>
        </is>
      </c>
      <c r="EW288" s="20" t="inlineStr">
        <is>
          <t>None</t>
        </is>
      </c>
      <c r="EX288" s="17" t="n"/>
      <c r="EY288" s="21" t="n"/>
      <c r="EZ288">
        <f>CONCATENATE(A288,B288)</f>
        <v/>
      </c>
      <c r="FA288">
        <f>CONCATENATE(SamplesX!A288,SamplesX!B288)</f>
        <v/>
      </c>
      <c r="FC288">
        <f>MATCH(EZ288,FA1:FA1008,0)</f>
        <v/>
      </c>
    </row>
    <row r="289">
      <c r="A289" s="16" t="inlineStr">
        <is>
          <t>BP</t>
        </is>
      </c>
      <c r="B289" s="17" t="inlineStr">
        <is>
          <t>25281</t>
        </is>
      </c>
      <c r="C289" s="10">
        <f>IF(ISNUMBER(FC289),INDIRECT("SamplesX!C"&amp;FC289),IF(ISNUMBER(FD289),INDIRECT("SamplesY!C"&amp;FD289),""))</f>
        <v/>
      </c>
      <c r="D289" s="12">
        <f>IF(ISNUMBER(FC289),INDIRECT("SamplesX!D"&amp;FC289),IF(ISNUMBER(FD289),INDIRECT("SamplesY!D"&amp;FD289),""))</f>
        <v/>
      </c>
      <c r="E289" s="12">
        <f>IF(ISNUMBER(FC289),INDIRECT("SamplesX!E"&amp;FC289),IF(ISNUMBER(FD289),INDIRECT("SamplesY!E"&amp;FD289),""))</f>
        <v/>
      </c>
      <c r="F289" s="11">
        <f>IF(ISNUMBER(FC289),INDIRECT("SamplesX!F"&amp;FC289),IF(ISNUMBER(FD289),INDIRECT("SamplesY!F"&amp;FD289),""))</f>
        <v/>
      </c>
      <c r="G289" s="18">
        <f>IF(ISNUMBER(FC289),INDIRECT("SamplesX!G"&amp;FC289),IF(ISNUMBER(FD289),INDIRECT("SamplesY!G"&amp;FD289),""))</f>
        <v/>
      </c>
      <c r="H289" s="19">
        <f>IF(ISNUMBER(FC289),INDIRECT("SamplesX!H"&amp;FC289),IF(ISNUMBER(FD289),INDIRECT("SamplesY!H"&amp;FD289),""))</f>
        <v/>
      </c>
      <c r="I289" s="16" t="n"/>
      <c r="J289" s="16" t="n"/>
      <c r="K289" s="16" t="n"/>
      <c r="L289" s="20" t="n"/>
      <c r="M289" s="20" t="inlineStr">
        <is>
          <t>None</t>
        </is>
      </c>
      <c r="N289" s="17" t="n"/>
      <c r="O289" s="16" t="n"/>
      <c r="P289" s="20" t="inlineStr">
        <is>
          <t>Shimadzu TOC-L</t>
        </is>
      </c>
      <c r="Q289" s="20" t="inlineStr">
        <is>
          <t>None</t>
        </is>
      </c>
      <c r="R289" s="17" t="n"/>
      <c r="S289" s="16" t="n"/>
      <c r="T289" s="20" t="inlineStr">
        <is>
          <t>Shimadzu TOC-L</t>
        </is>
      </c>
      <c r="U289" s="20" t="inlineStr">
        <is>
          <t>None</t>
        </is>
      </c>
      <c r="V289" s="17" t="n"/>
      <c r="W289" s="16" t="n"/>
      <c r="X289" s="20" t="n"/>
      <c r="Y289" s="20" t="inlineStr">
        <is>
          <t>None</t>
        </is>
      </c>
      <c r="Z289" s="17" t="n"/>
      <c r="AA289" s="16" t="n"/>
      <c r="AB289" s="20" t="n"/>
      <c r="AC289" s="20" t="inlineStr">
        <is>
          <t>None</t>
        </is>
      </c>
      <c r="AD289" s="17" t="n"/>
      <c r="AE289" s="16" t="n"/>
      <c r="AF289" s="20" t="inlineStr">
        <is>
          <t>IC Anionen</t>
        </is>
      </c>
      <c r="AG289" s="20" t="inlineStr">
        <is>
          <t>None</t>
        </is>
      </c>
      <c r="AH289" s="17" t="n"/>
      <c r="AI289" s="16" t="n"/>
      <c r="AJ289" s="20" t="n"/>
      <c r="AK289" s="20" t="inlineStr">
        <is>
          <t>None</t>
        </is>
      </c>
      <c r="AL289" s="17" t="n"/>
      <c r="AM289" s="16" t="n"/>
      <c r="AN289" s="20" t="inlineStr">
        <is>
          <t>IC Anionen</t>
        </is>
      </c>
      <c r="AO289" s="20" t="inlineStr">
        <is>
          <t>None</t>
        </is>
      </c>
      <c r="AP289" s="17" t="n"/>
      <c r="AQ289" s="16" t="n"/>
      <c r="AR289" s="20" t="n"/>
      <c r="AS289" s="20" t="inlineStr">
        <is>
          <t>None</t>
        </is>
      </c>
      <c r="AT289" s="17" t="n"/>
      <c r="AU289" s="16" t="n"/>
      <c r="AV289" s="20" t="n"/>
      <c r="AW289" s="20" t="inlineStr">
        <is>
          <t>None</t>
        </is>
      </c>
      <c r="AX289" s="17" t="n"/>
      <c r="AY289" s="16" t="n"/>
      <c r="AZ289" s="20" t="inlineStr">
        <is>
          <t>IC Anionen</t>
        </is>
      </c>
      <c r="BA289" s="20" t="inlineStr">
        <is>
          <t>None</t>
        </is>
      </c>
      <c r="BB289" s="17" t="n"/>
      <c r="BC289" s="16" t="n"/>
      <c r="BD289" s="20" t="inlineStr">
        <is>
          <t>IC Kationen</t>
        </is>
      </c>
      <c r="BE289" s="20" t="inlineStr">
        <is>
          <t>None</t>
        </is>
      </c>
      <c r="BF289" s="17" t="n"/>
      <c r="BG289" s="16" t="n"/>
      <c r="BH289" s="20" t="inlineStr">
        <is>
          <t>IC Kationen</t>
        </is>
      </c>
      <c r="BI289" s="20" t="inlineStr">
        <is>
          <t>None</t>
        </is>
      </c>
      <c r="BJ289" s="17" t="n"/>
      <c r="BK289" s="16" t="n"/>
      <c r="BL289" s="20" t="inlineStr">
        <is>
          <t>IC Kationen</t>
        </is>
      </c>
      <c r="BM289" s="20" t="inlineStr">
        <is>
          <t>None</t>
        </is>
      </c>
      <c r="BN289" s="17" t="n"/>
      <c r="BO289" s="16" t="n"/>
      <c r="BP289" s="20" t="inlineStr">
        <is>
          <t>IC Kationen</t>
        </is>
      </c>
      <c r="BQ289" s="20" t="inlineStr">
        <is>
          <t>None</t>
        </is>
      </c>
      <c r="BR289" s="17" t="n"/>
      <c r="BS289" s="16" t="n"/>
      <c r="BT289" s="20" t="inlineStr">
        <is>
          <t>IC Kationen</t>
        </is>
      </c>
      <c r="BU289" s="20" t="inlineStr">
        <is>
          <t>None</t>
        </is>
      </c>
      <c r="BV289" s="17" t="n"/>
      <c r="BW289" s="16" t="n"/>
      <c r="BX289" s="20" t="n"/>
      <c r="BY289" s="20" t="inlineStr">
        <is>
          <t>None</t>
        </is>
      </c>
      <c r="BZ289" s="17" t="n"/>
      <c r="CA289" s="16" t="n"/>
      <c r="CB289" s="20" t="n"/>
      <c r="CC289" s="20" t="inlineStr">
        <is>
          <t>None</t>
        </is>
      </c>
      <c r="CD289" s="17" t="n"/>
      <c r="CE289" s="16" t="n"/>
      <c r="CF289" s="20" t="n"/>
      <c r="CG289" s="20" t="inlineStr">
        <is>
          <t>None</t>
        </is>
      </c>
      <c r="CH289" s="17" t="n"/>
      <c r="CI289" s="16" t="n"/>
      <c r="CJ289" s="20" t="n"/>
      <c r="CK289" s="20" t="inlineStr">
        <is>
          <t>None</t>
        </is>
      </c>
      <c r="CL289" s="17" t="n"/>
      <c r="CM289" s="16" t="n"/>
      <c r="CN289" s="20" t="inlineStr">
        <is>
          <t>SOP 45-34</t>
        </is>
      </c>
      <c r="CO289" s="20" t="inlineStr">
        <is>
          <t>None</t>
        </is>
      </c>
      <c r="CP289" s="17" t="n"/>
      <c r="CQ289" s="16" t="n"/>
      <c r="CR289" s="20" t="n"/>
      <c r="CS289" s="20" t="inlineStr">
        <is>
          <t>None</t>
        </is>
      </c>
      <c r="CT289" s="17" t="n"/>
      <c r="CU289" s="16" t="n"/>
      <c r="CV289" s="20" t="n"/>
      <c r="CW289" s="20" t="inlineStr">
        <is>
          <t>None</t>
        </is>
      </c>
      <c r="CX289" s="17" t="n"/>
      <c r="CY289" s="16" t="n"/>
      <c r="CZ289" s="20" t="inlineStr">
        <is>
          <t>WTW Multimeter 3430 with FDO 925</t>
        </is>
      </c>
      <c r="DA289" s="20" t="inlineStr">
        <is>
          <t>None</t>
        </is>
      </c>
      <c r="DB289" s="17" t="n"/>
      <c r="DC289" s="16" t="n"/>
      <c r="DD289" s="20" t="n"/>
      <c r="DE289" s="20" t="inlineStr">
        <is>
          <t>None</t>
        </is>
      </c>
      <c r="DF289" s="17" t="n"/>
      <c r="DG289" s="16" t="n"/>
      <c r="DH289" s="20" t="inlineStr">
        <is>
          <t>SOP 45-09</t>
        </is>
      </c>
      <c r="DI289" s="20" t="inlineStr">
        <is>
          <t>None</t>
        </is>
      </c>
      <c r="DJ289" s="17" t="n"/>
      <c r="DK289" s="16" t="n"/>
      <c r="DL289" s="20" t="inlineStr">
        <is>
          <t>SOP 45-09 (SOP muss noch angepasst werden für VSS)</t>
        </is>
      </c>
      <c r="DM289" s="20" t="inlineStr">
        <is>
          <t>None</t>
        </is>
      </c>
      <c r="DN289" s="17" t="n"/>
      <c r="DO289" s="16" t="n"/>
      <c r="DP289" s="20" t="inlineStr">
        <is>
          <t>IC Organic Acids</t>
        </is>
      </c>
      <c r="DQ289" s="20" t="inlineStr">
        <is>
          <t>None</t>
        </is>
      </c>
      <c r="DR289" s="17" t="n"/>
      <c r="DS289" s="16" t="n"/>
      <c r="DT289" s="20" t="inlineStr">
        <is>
          <t>IC Organic Acids</t>
        </is>
      </c>
      <c r="DU289" s="20" t="inlineStr">
        <is>
          <t>None</t>
        </is>
      </c>
      <c r="DV289" s="17" t="n"/>
      <c r="DW289" s="16" t="n"/>
      <c r="DX289" s="20" t="inlineStr">
        <is>
          <t>IC Organic Acids</t>
        </is>
      </c>
      <c r="DY289" s="20" t="inlineStr">
        <is>
          <t>None</t>
        </is>
      </c>
      <c r="DZ289" s="17" t="n"/>
      <c r="EA289" s="16" t="n"/>
      <c r="EB289" s="20" t="inlineStr">
        <is>
          <t>IC Organic Acids</t>
        </is>
      </c>
      <c r="EC289" s="20" t="inlineStr">
        <is>
          <t>None</t>
        </is>
      </c>
      <c r="ED289" s="17" t="n"/>
      <c r="EE289" s="16" t="n"/>
      <c r="EF289" s="20" t="inlineStr">
        <is>
          <t>IC Organic Acids</t>
        </is>
      </c>
      <c r="EG289" s="20" t="inlineStr">
        <is>
          <t>None</t>
        </is>
      </c>
      <c r="EH289" s="17" t="n"/>
      <c r="EI289" s="16" t="n"/>
      <c r="EJ289" s="20" t="inlineStr">
        <is>
          <t>IC Organic Acids</t>
        </is>
      </c>
      <c r="EK289" s="20" t="inlineStr">
        <is>
          <t>None</t>
        </is>
      </c>
      <c r="EL289" s="17" t="n"/>
      <c r="EM289" s="16" t="n"/>
      <c r="EN289" s="20" t="inlineStr">
        <is>
          <t>IC Organic Acids</t>
        </is>
      </c>
      <c r="EO289" s="20" t="inlineStr">
        <is>
          <t>None</t>
        </is>
      </c>
      <c r="EP289" s="17" t="n"/>
      <c r="EQ289" s="16" t="n"/>
      <c r="ER289" s="20" t="inlineStr">
        <is>
          <t>IC Organic Acids</t>
        </is>
      </c>
      <c r="ES289" s="20" t="inlineStr">
        <is>
          <t>None</t>
        </is>
      </c>
      <c r="ET289" s="17" t="n"/>
      <c r="EU289" s="16" t="n"/>
      <c r="EV289" s="20" t="inlineStr">
        <is>
          <t>LC-MS</t>
        </is>
      </c>
      <c r="EW289" s="20" t="inlineStr">
        <is>
          <t>None</t>
        </is>
      </c>
      <c r="EX289" s="17" t="n"/>
      <c r="EY289" s="21" t="n"/>
      <c r="EZ289">
        <f>CONCATENATE(A289,B289)</f>
        <v/>
      </c>
      <c r="FA289">
        <f>CONCATENATE(SamplesX!A289,SamplesX!B289)</f>
        <v/>
      </c>
      <c r="FC289">
        <f>MATCH(EZ289,FA1:FA1008,0)</f>
        <v/>
      </c>
    </row>
    <row r="290">
      <c r="A290" s="16" t="inlineStr">
        <is>
          <t>BP</t>
        </is>
      </c>
      <c r="B290" s="17" t="inlineStr">
        <is>
          <t>25282</t>
        </is>
      </c>
      <c r="C290" s="10">
        <f>IF(ISNUMBER(FC290),INDIRECT("SamplesX!C"&amp;FC290),IF(ISNUMBER(FD290),INDIRECT("SamplesY!C"&amp;FD290),""))</f>
        <v/>
      </c>
      <c r="D290" s="12">
        <f>IF(ISNUMBER(FC290),INDIRECT("SamplesX!D"&amp;FC290),IF(ISNUMBER(FD290),INDIRECT("SamplesY!D"&amp;FD290),""))</f>
        <v/>
      </c>
      <c r="E290" s="12">
        <f>IF(ISNUMBER(FC290),INDIRECT("SamplesX!E"&amp;FC290),IF(ISNUMBER(FD290),INDIRECT("SamplesY!E"&amp;FD290),""))</f>
        <v/>
      </c>
      <c r="F290" s="11">
        <f>IF(ISNUMBER(FC290),INDIRECT("SamplesX!F"&amp;FC290),IF(ISNUMBER(FD290),INDIRECT("SamplesY!F"&amp;FD290),""))</f>
        <v/>
      </c>
      <c r="G290" s="18">
        <f>IF(ISNUMBER(FC290),INDIRECT("SamplesX!G"&amp;FC290),IF(ISNUMBER(FD290),INDIRECT("SamplesY!G"&amp;FD290),""))</f>
        <v/>
      </c>
      <c r="H290" s="19">
        <f>IF(ISNUMBER(FC290),INDIRECT("SamplesX!H"&amp;FC290),IF(ISNUMBER(FD290),INDIRECT("SamplesY!H"&amp;FD290),""))</f>
        <v/>
      </c>
      <c r="I290" s="16" t="n"/>
      <c r="J290" s="16" t="n"/>
      <c r="K290" s="16" t="n"/>
      <c r="L290" s="20" t="n"/>
      <c r="M290" s="20" t="inlineStr">
        <is>
          <t>None</t>
        </is>
      </c>
      <c r="N290" s="17" t="n"/>
      <c r="O290" s="16" t="n"/>
      <c r="P290" s="20" t="inlineStr">
        <is>
          <t>Shimadzu TOC-L</t>
        </is>
      </c>
      <c r="Q290" s="20" t="inlineStr">
        <is>
          <t>None</t>
        </is>
      </c>
      <c r="R290" s="17" t="n"/>
      <c r="S290" s="16" t="n"/>
      <c r="T290" s="20" t="inlineStr">
        <is>
          <t>Shimadzu TOC-L</t>
        </is>
      </c>
      <c r="U290" s="20" t="inlineStr">
        <is>
          <t>None</t>
        </is>
      </c>
      <c r="V290" s="17" t="n"/>
      <c r="W290" s="16" t="n"/>
      <c r="X290" s="20" t="n"/>
      <c r="Y290" s="20" t="inlineStr">
        <is>
          <t>None</t>
        </is>
      </c>
      <c r="Z290" s="17" t="n"/>
      <c r="AA290" s="16" t="n"/>
      <c r="AB290" s="20" t="n"/>
      <c r="AC290" s="20" t="inlineStr">
        <is>
          <t>None</t>
        </is>
      </c>
      <c r="AD290" s="17" t="n"/>
      <c r="AE290" s="16" t="n"/>
      <c r="AF290" s="20" t="inlineStr">
        <is>
          <t>IC Anionen</t>
        </is>
      </c>
      <c r="AG290" s="20" t="inlineStr">
        <is>
          <t>None</t>
        </is>
      </c>
      <c r="AH290" s="17" t="n"/>
      <c r="AI290" s="16" t="n"/>
      <c r="AJ290" s="20" t="n"/>
      <c r="AK290" s="20" t="inlineStr">
        <is>
          <t>None</t>
        </is>
      </c>
      <c r="AL290" s="17" t="n"/>
      <c r="AM290" s="16" t="n"/>
      <c r="AN290" s="20" t="inlineStr">
        <is>
          <t>IC Anionen</t>
        </is>
      </c>
      <c r="AO290" s="20" t="inlineStr">
        <is>
          <t>None</t>
        </is>
      </c>
      <c r="AP290" s="17" t="n"/>
      <c r="AQ290" s="16" t="n"/>
      <c r="AR290" s="20" t="n"/>
      <c r="AS290" s="20" t="inlineStr">
        <is>
          <t>None</t>
        </is>
      </c>
      <c r="AT290" s="17" t="n"/>
      <c r="AU290" s="16" t="n"/>
      <c r="AV290" s="20" t="n"/>
      <c r="AW290" s="20" t="inlineStr">
        <is>
          <t>None</t>
        </is>
      </c>
      <c r="AX290" s="17" t="n"/>
      <c r="AY290" s="16" t="n"/>
      <c r="AZ290" s="20" t="inlineStr">
        <is>
          <t>IC Anionen</t>
        </is>
      </c>
      <c r="BA290" s="20" t="inlineStr">
        <is>
          <t>None</t>
        </is>
      </c>
      <c r="BB290" s="17" t="n"/>
      <c r="BC290" s="16" t="n"/>
      <c r="BD290" s="20" t="inlineStr">
        <is>
          <t>IC Kationen</t>
        </is>
      </c>
      <c r="BE290" s="20" t="inlineStr">
        <is>
          <t>None</t>
        </is>
      </c>
      <c r="BF290" s="17" t="n"/>
      <c r="BG290" s="16" t="n"/>
      <c r="BH290" s="20" t="inlineStr">
        <is>
          <t>IC Kationen</t>
        </is>
      </c>
      <c r="BI290" s="20" t="inlineStr">
        <is>
          <t>None</t>
        </is>
      </c>
      <c r="BJ290" s="17" t="n"/>
      <c r="BK290" s="16" t="n"/>
      <c r="BL290" s="20" t="inlineStr">
        <is>
          <t>IC Kationen</t>
        </is>
      </c>
      <c r="BM290" s="20" t="inlineStr">
        <is>
          <t>None</t>
        </is>
      </c>
      <c r="BN290" s="17" t="n"/>
      <c r="BO290" s="16" t="n"/>
      <c r="BP290" s="20" t="inlineStr">
        <is>
          <t>IC Kationen</t>
        </is>
      </c>
      <c r="BQ290" s="20" t="inlineStr">
        <is>
          <t>None</t>
        </is>
      </c>
      <c r="BR290" s="17" t="n"/>
      <c r="BS290" s="16" t="n"/>
      <c r="BT290" s="20" t="inlineStr">
        <is>
          <t>IC Kationen</t>
        </is>
      </c>
      <c r="BU290" s="20" t="inlineStr">
        <is>
          <t>None</t>
        </is>
      </c>
      <c r="BV290" s="17" t="n"/>
      <c r="BW290" s="16" t="n"/>
      <c r="BX290" s="20" t="n"/>
      <c r="BY290" s="20" t="inlineStr">
        <is>
          <t>None</t>
        </is>
      </c>
      <c r="BZ290" s="17" t="n"/>
      <c r="CA290" s="16" t="n"/>
      <c r="CB290" s="20" t="n"/>
      <c r="CC290" s="20" t="inlineStr">
        <is>
          <t>None</t>
        </is>
      </c>
      <c r="CD290" s="17" t="n"/>
      <c r="CE290" s="16" t="n"/>
      <c r="CF290" s="20" t="n"/>
      <c r="CG290" s="20" t="inlineStr">
        <is>
          <t>None</t>
        </is>
      </c>
      <c r="CH290" s="17" t="n"/>
      <c r="CI290" s="16" t="n"/>
      <c r="CJ290" s="20" t="n"/>
      <c r="CK290" s="20" t="inlineStr">
        <is>
          <t>None</t>
        </is>
      </c>
      <c r="CL290" s="17" t="n"/>
      <c r="CM290" s="16" t="n"/>
      <c r="CN290" s="20" t="inlineStr">
        <is>
          <t>SOP 45-34</t>
        </is>
      </c>
      <c r="CO290" s="20" t="inlineStr">
        <is>
          <t>None</t>
        </is>
      </c>
      <c r="CP290" s="17" t="n"/>
      <c r="CQ290" s="16" t="n"/>
      <c r="CR290" s="20" t="n"/>
      <c r="CS290" s="20" t="inlineStr">
        <is>
          <t>None</t>
        </is>
      </c>
      <c r="CT290" s="17" t="n"/>
      <c r="CU290" s="16" t="n"/>
      <c r="CV290" s="20" t="n"/>
      <c r="CW290" s="20" t="inlineStr">
        <is>
          <t>None</t>
        </is>
      </c>
      <c r="CX290" s="17" t="n"/>
      <c r="CY290" s="16" t="n"/>
      <c r="CZ290" s="20" t="inlineStr">
        <is>
          <t>WTW Multimeter 3430 with FDO 925</t>
        </is>
      </c>
      <c r="DA290" s="20" t="inlineStr">
        <is>
          <t>None</t>
        </is>
      </c>
      <c r="DB290" s="17" t="n"/>
      <c r="DC290" s="16" t="n"/>
      <c r="DD290" s="20" t="n"/>
      <c r="DE290" s="20" t="inlineStr">
        <is>
          <t>None</t>
        </is>
      </c>
      <c r="DF290" s="17" t="n"/>
      <c r="DG290" s="16" t="n"/>
      <c r="DH290" s="20" t="inlineStr">
        <is>
          <t>SOP 45-09</t>
        </is>
      </c>
      <c r="DI290" s="20" t="inlineStr">
        <is>
          <t>None</t>
        </is>
      </c>
      <c r="DJ290" s="17" t="n"/>
      <c r="DK290" s="16" t="n"/>
      <c r="DL290" s="20" t="inlineStr">
        <is>
          <t>SOP 45-09 (SOP muss noch angepasst werden für VSS)</t>
        </is>
      </c>
      <c r="DM290" s="20" t="inlineStr">
        <is>
          <t>None</t>
        </is>
      </c>
      <c r="DN290" s="17" t="n"/>
      <c r="DO290" s="16" t="n"/>
      <c r="DP290" s="20" t="inlineStr">
        <is>
          <t>IC Organic Acids</t>
        </is>
      </c>
      <c r="DQ290" s="20" t="inlineStr">
        <is>
          <t>None</t>
        </is>
      </c>
      <c r="DR290" s="17" t="n"/>
      <c r="DS290" s="16" t="n"/>
      <c r="DT290" s="20" t="inlineStr">
        <is>
          <t>IC Organic Acids</t>
        </is>
      </c>
      <c r="DU290" s="20" t="inlineStr">
        <is>
          <t>None</t>
        </is>
      </c>
      <c r="DV290" s="17" t="n"/>
      <c r="DW290" s="16" t="n"/>
      <c r="DX290" s="20" t="inlineStr">
        <is>
          <t>IC Organic Acids</t>
        </is>
      </c>
      <c r="DY290" s="20" t="inlineStr">
        <is>
          <t>None</t>
        </is>
      </c>
      <c r="DZ290" s="17" t="n"/>
      <c r="EA290" s="16" t="n"/>
      <c r="EB290" s="20" t="inlineStr">
        <is>
          <t>IC Organic Acids</t>
        </is>
      </c>
      <c r="EC290" s="20" t="inlineStr">
        <is>
          <t>None</t>
        </is>
      </c>
      <c r="ED290" s="17" t="n"/>
      <c r="EE290" s="16" t="n"/>
      <c r="EF290" s="20" t="inlineStr">
        <is>
          <t>IC Organic Acids</t>
        </is>
      </c>
      <c r="EG290" s="20" t="inlineStr">
        <is>
          <t>None</t>
        </is>
      </c>
      <c r="EH290" s="17" t="n"/>
      <c r="EI290" s="16" t="n"/>
      <c r="EJ290" s="20" t="inlineStr">
        <is>
          <t>IC Organic Acids</t>
        </is>
      </c>
      <c r="EK290" s="20" t="inlineStr">
        <is>
          <t>None</t>
        </is>
      </c>
      <c r="EL290" s="17" t="n"/>
      <c r="EM290" s="16" t="n"/>
      <c r="EN290" s="20" t="inlineStr">
        <is>
          <t>IC Organic Acids</t>
        </is>
      </c>
      <c r="EO290" s="20" t="inlineStr">
        <is>
          <t>None</t>
        </is>
      </c>
      <c r="EP290" s="17" t="n"/>
      <c r="EQ290" s="16" t="n"/>
      <c r="ER290" s="20" t="inlineStr">
        <is>
          <t>IC Organic Acids</t>
        </is>
      </c>
      <c r="ES290" s="20" t="inlineStr">
        <is>
          <t>None</t>
        </is>
      </c>
      <c r="ET290" s="17" t="n"/>
      <c r="EU290" s="16" t="n"/>
      <c r="EV290" s="20" t="inlineStr">
        <is>
          <t>LC-MS</t>
        </is>
      </c>
      <c r="EW290" s="20" t="inlineStr">
        <is>
          <t>None</t>
        </is>
      </c>
      <c r="EX290" s="17" t="n"/>
      <c r="EY290" s="21" t="n"/>
      <c r="EZ290">
        <f>CONCATENATE(A290,B290)</f>
        <v/>
      </c>
      <c r="FA290">
        <f>CONCATENATE(SamplesX!A290,SamplesX!B290)</f>
        <v/>
      </c>
      <c r="FC290">
        <f>MATCH(EZ290,FA1:FA1008,0)</f>
        <v/>
      </c>
    </row>
    <row r="291">
      <c r="A291" s="16" t="inlineStr">
        <is>
          <t>BP</t>
        </is>
      </c>
      <c r="B291" s="17" t="inlineStr">
        <is>
          <t>25283</t>
        </is>
      </c>
      <c r="C291" s="10">
        <f>IF(ISNUMBER(FC291),INDIRECT("SamplesX!C"&amp;FC291),IF(ISNUMBER(FD291),INDIRECT("SamplesY!C"&amp;FD291),""))</f>
        <v/>
      </c>
      <c r="D291" s="12">
        <f>IF(ISNUMBER(FC291),INDIRECT("SamplesX!D"&amp;FC291),IF(ISNUMBER(FD291),INDIRECT("SamplesY!D"&amp;FD291),""))</f>
        <v/>
      </c>
      <c r="E291" s="12">
        <f>IF(ISNUMBER(FC291),INDIRECT("SamplesX!E"&amp;FC291),IF(ISNUMBER(FD291),INDIRECT("SamplesY!E"&amp;FD291),""))</f>
        <v/>
      </c>
      <c r="F291" s="11">
        <f>IF(ISNUMBER(FC291),INDIRECT("SamplesX!F"&amp;FC291),IF(ISNUMBER(FD291),INDIRECT("SamplesY!F"&amp;FD291),""))</f>
        <v/>
      </c>
      <c r="G291" s="18">
        <f>IF(ISNUMBER(FC291),INDIRECT("SamplesX!G"&amp;FC291),IF(ISNUMBER(FD291),INDIRECT("SamplesY!G"&amp;FD291),""))</f>
        <v/>
      </c>
      <c r="H291" s="19">
        <f>IF(ISNUMBER(FC291),INDIRECT("SamplesX!H"&amp;FC291),IF(ISNUMBER(FD291),INDIRECT("SamplesY!H"&amp;FD291),""))</f>
        <v/>
      </c>
      <c r="I291" s="16" t="n"/>
      <c r="J291" s="16" t="n"/>
      <c r="K291" s="16" t="n"/>
      <c r="L291" s="20" t="n"/>
      <c r="M291" s="20" t="inlineStr">
        <is>
          <t>None</t>
        </is>
      </c>
      <c r="N291" s="17" t="n"/>
      <c r="O291" s="16" t="n"/>
      <c r="P291" s="20" t="inlineStr">
        <is>
          <t>Shimadzu TOC-L</t>
        </is>
      </c>
      <c r="Q291" s="20" t="inlineStr">
        <is>
          <t>None</t>
        </is>
      </c>
      <c r="R291" s="17" t="n"/>
      <c r="S291" s="16" t="n"/>
      <c r="T291" s="20" t="inlineStr">
        <is>
          <t>Shimadzu TOC-L</t>
        </is>
      </c>
      <c r="U291" s="20" t="inlineStr">
        <is>
          <t>None</t>
        </is>
      </c>
      <c r="V291" s="17" t="n"/>
      <c r="W291" s="16" t="n"/>
      <c r="X291" s="20" t="n"/>
      <c r="Y291" s="20" t="inlineStr">
        <is>
          <t>None</t>
        </is>
      </c>
      <c r="Z291" s="17" t="n"/>
      <c r="AA291" s="16" t="n"/>
      <c r="AB291" s="20" t="n"/>
      <c r="AC291" s="20" t="inlineStr">
        <is>
          <t>None</t>
        </is>
      </c>
      <c r="AD291" s="17" t="n"/>
      <c r="AE291" s="16" t="n"/>
      <c r="AF291" s="20" t="inlineStr">
        <is>
          <t>IC Anionen</t>
        </is>
      </c>
      <c r="AG291" s="20" t="inlineStr">
        <is>
          <t>None</t>
        </is>
      </c>
      <c r="AH291" s="17" t="n"/>
      <c r="AI291" s="16" t="n"/>
      <c r="AJ291" s="20" t="n"/>
      <c r="AK291" s="20" t="inlineStr">
        <is>
          <t>None</t>
        </is>
      </c>
      <c r="AL291" s="17" t="n"/>
      <c r="AM291" s="16" t="n"/>
      <c r="AN291" s="20" t="inlineStr">
        <is>
          <t>IC Anionen</t>
        </is>
      </c>
      <c r="AO291" s="20" t="inlineStr">
        <is>
          <t>None</t>
        </is>
      </c>
      <c r="AP291" s="17" t="n"/>
      <c r="AQ291" s="16" t="n"/>
      <c r="AR291" s="20" t="n"/>
      <c r="AS291" s="20" t="inlineStr">
        <is>
          <t>None</t>
        </is>
      </c>
      <c r="AT291" s="17" t="n"/>
      <c r="AU291" s="16" t="n"/>
      <c r="AV291" s="20" t="n"/>
      <c r="AW291" s="20" t="inlineStr">
        <is>
          <t>None</t>
        </is>
      </c>
      <c r="AX291" s="17" t="n"/>
      <c r="AY291" s="16" t="n"/>
      <c r="AZ291" s="20" t="inlineStr">
        <is>
          <t>IC Anionen</t>
        </is>
      </c>
      <c r="BA291" s="20" t="inlineStr">
        <is>
          <t>None</t>
        </is>
      </c>
      <c r="BB291" s="17" t="n"/>
      <c r="BC291" s="16" t="n"/>
      <c r="BD291" s="20" t="inlineStr">
        <is>
          <t>IC Kationen</t>
        </is>
      </c>
      <c r="BE291" s="20" t="inlineStr">
        <is>
          <t>None</t>
        </is>
      </c>
      <c r="BF291" s="17" t="n"/>
      <c r="BG291" s="16" t="n"/>
      <c r="BH291" s="20" t="inlineStr">
        <is>
          <t>IC Kationen</t>
        </is>
      </c>
      <c r="BI291" s="20" t="inlineStr">
        <is>
          <t>None</t>
        </is>
      </c>
      <c r="BJ291" s="17" t="n"/>
      <c r="BK291" s="16" t="n"/>
      <c r="BL291" s="20" t="inlineStr">
        <is>
          <t>IC Kationen</t>
        </is>
      </c>
      <c r="BM291" s="20" t="inlineStr">
        <is>
          <t>None</t>
        </is>
      </c>
      <c r="BN291" s="17" t="n"/>
      <c r="BO291" s="16" t="n"/>
      <c r="BP291" s="20" t="inlineStr">
        <is>
          <t>IC Kationen</t>
        </is>
      </c>
      <c r="BQ291" s="20" t="inlineStr">
        <is>
          <t>None</t>
        </is>
      </c>
      <c r="BR291" s="17" t="n"/>
      <c r="BS291" s="16" t="n"/>
      <c r="BT291" s="20" t="inlineStr">
        <is>
          <t>IC Kationen</t>
        </is>
      </c>
      <c r="BU291" s="20" t="inlineStr">
        <is>
          <t>None</t>
        </is>
      </c>
      <c r="BV291" s="17" t="n"/>
      <c r="BW291" s="16" t="n"/>
      <c r="BX291" s="20" t="n"/>
      <c r="BY291" s="20" t="inlineStr">
        <is>
          <t>None</t>
        </is>
      </c>
      <c r="BZ291" s="17" t="n"/>
      <c r="CA291" s="16" t="n"/>
      <c r="CB291" s="20" t="n"/>
      <c r="CC291" s="20" t="inlineStr">
        <is>
          <t>None</t>
        </is>
      </c>
      <c r="CD291" s="17" t="n"/>
      <c r="CE291" s="16" t="n"/>
      <c r="CF291" s="20" t="n"/>
      <c r="CG291" s="20" t="inlineStr">
        <is>
          <t>None</t>
        </is>
      </c>
      <c r="CH291" s="17" t="n"/>
      <c r="CI291" s="16" t="n"/>
      <c r="CJ291" s="20" t="n"/>
      <c r="CK291" s="20" t="inlineStr">
        <is>
          <t>None</t>
        </is>
      </c>
      <c r="CL291" s="17" t="n"/>
      <c r="CM291" s="16" t="n"/>
      <c r="CN291" s="20" t="inlineStr">
        <is>
          <t>SOP 45-34</t>
        </is>
      </c>
      <c r="CO291" s="20" t="inlineStr">
        <is>
          <t>None</t>
        </is>
      </c>
      <c r="CP291" s="17" t="n"/>
      <c r="CQ291" s="16" t="n"/>
      <c r="CR291" s="20" t="n"/>
      <c r="CS291" s="20" t="inlineStr">
        <is>
          <t>None</t>
        </is>
      </c>
      <c r="CT291" s="17" t="n"/>
      <c r="CU291" s="16" t="n"/>
      <c r="CV291" s="20" t="n"/>
      <c r="CW291" s="20" t="inlineStr">
        <is>
          <t>None</t>
        </is>
      </c>
      <c r="CX291" s="17" t="n"/>
      <c r="CY291" s="16" t="n"/>
      <c r="CZ291" s="20" t="inlineStr">
        <is>
          <t>WTW Multimeter 3430 with FDO 925</t>
        </is>
      </c>
      <c r="DA291" s="20" t="inlineStr">
        <is>
          <t>None</t>
        </is>
      </c>
      <c r="DB291" s="17" t="n"/>
      <c r="DC291" s="16" t="n"/>
      <c r="DD291" s="20" t="n"/>
      <c r="DE291" s="20" t="inlineStr">
        <is>
          <t>None</t>
        </is>
      </c>
      <c r="DF291" s="17" t="n"/>
      <c r="DG291" s="16" t="n"/>
      <c r="DH291" s="20" t="inlineStr">
        <is>
          <t>SOP 45-09</t>
        </is>
      </c>
      <c r="DI291" s="20" t="inlineStr">
        <is>
          <t>None</t>
        </is>
      </c>
      <c r="DJ291" s="17" t="n"/>
      <c r="DK291" s="16" t="n"/>
      <c r="DL291" s="20" t="inlineStr">
        <is>
          <t>SOP 45-09 (SOP muss noch angepasst werden für VSS)</t>
        </is>
      </c>
      <c r="DM291" s="20" t="inlineStr">
        <is>
          <t>None</t>
        </is>
      </c>
      <c r="DN291" s="17" t="n"/>
      <c r="DO291" s="16" t="n"/>
      <c r="DP291" s="20" t="inlineStr">
        <is>
          <t>IC Organic Acids</t>
        </is>
      </c>
      <c r="DQ291" s="20" t="inlineStr">
        <is>
          <t>None</t>
        </is>
      </c>
      <c r="DR291" s="17" t="n"/>
      <c r="DS291" s="16" t="n"/>
      <c r="DT291" s="20" t="inlineStr">
        <is>
          <t>IC Organic Acids</t>
        </is>
      </c>
      <c r="DU291" s="20" t="inlineStr">
        <is>
          <t>None</t>
        </is>
      </c>
      <c r="DV291" s="17" t="n"/>
      <c r="DW291" s="16" t="n"/>
      <c r="DX291" s="20" t="inlineStr">
        <is>
          <t>IC Organic Acids</t>
        </is>
      </c>
      <c r="DY291" s="20" t="inlineStr">
        <is>
          <t>None</t>
        </is>
      </c>
      <c r="DZ291" s="17" t="n"/>
      <c r="EA291" s="16" t="n"/>
      <c r="EB291" s="20" t="inlineStr">
        <is>
          <t>IC Organic Acids</t>
        </is>
      </c>
      <c r="EC291" s="20" t="inlineStr">
        <is>
          <t>None</t>
        </is>
      </c>
      <c r="ED291" s="17" t="n"/>
      <c r="EE291" s="16" t="n"/>
      <c r="EF291" s="20" t="inlineStr">
        <is>
          <t>IC Organic Acids</t>
        </is>
      </c>
      <c r="EG291" s="20" t="inlineStr">
        <is>
          <t>None</t>
        </is>
      </c>
      <c r="EH291" s="17" t="n"/>
      <c r="EI291" s="16" t="n"/>
      <c r="EJ291" s="20" t="inlineStr">
        <is>
          <t>IC Organic Acids</t>
        </is>
      </c>
      <c r="EK291" s="20" t="inlineStr">
        <is>
          <t>None</t>
        </is>
      </c>
      <c r="EL291" s="17" t="n"/>
      <c r="EM291" s="16" t="n"/>
      <c r="EN291" s="20" t="inlineStr">
        <is>
          <t>IC Organic Acids</t>
        </is>
      </c>
      <c r="EO291" s="20" t="inlineStr">
        <is>
          <t>None</t>
        </is>
      </c>
      <c r="EP291" s="17" t="n"/>
      <c r="EQ291" s="16" t="n"/>
      <c r="ER291" s="20" t="inlineStr">
        <is>
          <t>IC Organic Acids</t>
        </is>
      </c>
      <c r="ES291" s="20" t="inlineStr">
        <is>
          <t>None</t>
        </is>
      </c>
      <c r="ET291" s="17" t="n"/>
      <c r="EU291" s="16" t="n"/>
      <c r="EV291" s="20" t="inlineStr">
        <is>
          <t>LC-MS</t>
        </is>
      </c>
      <c r="EW291" s="20" t="inlineStr">
        <is>
          <t>None</t>
        </is>
      </c>
      <c r="EX291" s="17" t="n"/>
      <c r="EY291" s="21" t="n"/>
      <c r="EZ291">
        <f>CONCATENATE(A291,B291)</f>
        <v/>
      </c>
      <c r="FA291">
        <f>CONCATENATE(SamplesX!A291,SamplesX!B291)</f>
        <v/>
      </c>
      <c r="FC291">
        <f>MATCH(EZ291,FA1:FA1008,0)</f>
        <v/>
      </c>
    </row>
    <row r="292">
      <c r="A292" s="16" t="inlineStr">
        <is>
          <t>BP</t>
        </is>
      </c>
      <c r="B292" s="17" t="inlineStr">
        <is>
          <t>25284</t>
        </is>
      </c>
      <c r="C292" s="10">
        <f>IF(ISNUMBER(FC292),INDIRECT("SamplesX!C"&amp;FC292),IF(ISNUMBER(FD292),INDIRECT("SamplesY!C"&amp;FD292),""))</f>
        <v/>
      </c>
      <c r="D292" s="12">
        <f>IF(ISNUMBER(FC292),INDIRECT("SamplesX!D"&amp;FC292),IF(ISNUMBER(FD292),INDIRECT("SamplesY!D"&amp;FD292),""))</f>
        <v/>
      </c>
      <c r="E292" s="12">
        <f>IF(ISNUMBER(FC292),INDIRECT("SamplesX!E"&amp;FC292),IF(ISNUMBER(FD292),INDIRECT("SamplesY!E"&amp;FD292),""))</f>
        <v/>
      </c>
      <c r="F292" s="11">
        <f>IF(ISNUMBER(FC292),INDIRECT("SamplesX!F"&amp;FC292),IF(ISNUMBER(FD292),INDIRECT("SamplesY!F"&amp;FD292),""))</f>
        <v/>
      </c>
      <c r="G292" s="18">
        <f>IF(ISNUMBER(FC292),INDIRECT("SamplesX!G"&amp;FC292),IF(ISNUMBER(FD292),INDIRECT("SamplesY!G"&amp;FD292),""))</f>
        <v/>
      </c>
      <c r="H292" s="19">
        <f>IF(ISNUMBER(FC292),INDIRECT("SamplesX!H"&amp;FC292),IF(ISNUMBER(FD292),INDIRECT("SamplesY!H"&amp;FD292),""))</f>
        <v/>
      </c>
      <c r="I292" s="16" t="n"/>
      <c r="J292" s="16" t="n"/>
      <c r="K292" s="16" t="n"/>
      <c r="L292" s="20" t="n"/>
      <c r="M292" s="20" t="inlineStr">
        <is>
          <t>None</t>
        </is>
      </c>
      <c r="N292" s="17" t="n"/>
      <c r="O292" s="16" t="n"/>
      <c r="P292" s="20" t="inlineStr">
        <is>
          <t>Shimadzu TOC-L</t>
        </is>
      </c>
      <c r="Q292" s="20" t="inlineStr">
        <is>
          <t>None</t>
        </is>
      </c>
      <c r="R292" s="17" t="n"/>
      <c r="S292" s="16" t="n"/>
      <c r="T292" s="20" t="inlineStr">
        <is>
          <t>Shimadzu TOC-L</t>
        </is>
      </c>
      <c r="U292" s="20" t="inlineStr">
        <is>
          <t>None</t>
        </is>
      </c>
      <c r="V292" s="17" t="n"/>
      <c r="W292" s="16" t="n"/>
      <c r="X292" s="20" t="n"/>
      <c r="Y292" s="20" t="inlineStr">
        <is>
          <t>None</t>
        </is>
      </c>
      <c r="Z292" s="17" t="n"/>
      <c r="AA292" s="16" t="n"/>
      <c r="AB292" s="20" t="n"/>
      <c r="AC292" s="20" t="inlineStr">
        <is>
          <t>None</t>
        </is>
      </c>
      <c r="AD292" s="17" t="n"/>
      <c r="AE292" s="16" t="n"/>
      <c r="AF292" s="20" t="inlineStr">
        <is>
          <t>IC Anionen</t>
        </is>
      </c>
      <c r="AG292" s="20" t="inlineStr">
        <is>
          <t>None</t>
        </is>
      </c>
      <c r="AH292" s="17" t="n"/>
      <c r="AI292" s="16" t="n"/>
      <c r="AJ292" s="20" t="n"/>
      <c r="AK292" s="20" t="inlineStr">
        <is>
          <t>None</t>
        </is>
      </c>
      <c r="AL292" s="17" t="n"/>
      <c r="AM292" s="16" t="n"/>
      <c r="AN292" s="20" t="inlineStr">
        <is>
          <t>IC Anionen</t>
        </is>
      </c>
      <c r="AO292" s="20" t="inlineStr">
        <is>
          <t>None</t>
        </is>
      </c>
      <c r="AP292" s="17" t="n"/>
      <c r="AQ292" s="16" t="n"/>
      <c r="AR292" s="20" t="n"/>
      <c r="AS292" s="20" t="inlineStr">
        <is>
          <t>None</t>
        </is>
      </c>
      <c r="AT292" s="17" t="n"/>
      <c r="AU292" s="16" t="n"/>
      <c r="AV292" s="20" t="n"/>
      <c r="AW292" s="20" t="inlineStr">
        <is>
          <t>None</t>
        </is>
      </c>
      <c r="AX292" s="17" t="n"/>
      <c r="AY292" s="16" t="n"/>
      <c r="AZ292" s="20" t="inlineStr">
        <is>
          <t>IC Anionen</t>
        </is>
      </c>
      <c r="BA292" s="20" t="inlineStr">
        <is>
          <t>None</t>
        </is>
      </c>
      <c r="BB292" s="17" t="n"/>
      <c r="BC292" s="16" t="n"/>
      <c r="BD292" s="20" t="inlineStr">
        <is>
          <t>IC Kationen</t>
        </is>
      </c>
      <c r="BE292" s="20" t="inlineStr">
        <is>
          <t>None</t>
        </is>
      </c>
      <c r="BF292" s="17" t="n"/>
      <c r="BG292" s="16" t="n"/>
      <c r="BH292" s="20" t="inlineStr">
        <is>
          <t>IC Kationen</t>
        </is>
      </c>
      <c r="BI292" s="20" t="inlineStr">
        <is>
          <t>None</t>
        </is>
      </c>
      <c r="BJ292" s="17" t="n"/>
      <c r="BK292" s="16" t="n"/>
      <c r="BL292" s="20" t="inlineStr">
        <is>
          <t>IC Kationen</t>
        </is>
      </c>
      <c r="BM292" s="20" t="inlineStr">
        <is>
          <t>None</t>
        </is>
      </c>
      <c r="BN292" s="17" t="n"/>
      <c r="BO292" s="16" t="n"/>
      <c r="BP292" s="20" t="inlineStr">
        <is>
          <t>IC Kationen</t>
        </is>
      </c>
      <c r="BQ292" s="20" t="inlineStr">
        <is>
          <t>None</t>
        </is>
      </c>
      <c r="BR292" s="17" t="n"/>
      <c r="BS292" s="16" t="n"/>
      <c r="BT292" s="20" t="inlineStr">
        <is>
          <t>IC Kationen</t>
        </is>
      </c>
      <c r="BU292" s="20" t="inlineStr">
        <is>
          <t>None</t>
        </is>
      </c>
      <c r="BV292" s="17" t="n"/>
      <c r="BW292" s="16" t="n"/>
      <c r="BX292" s="20" t="n"/>
      <c r="BY292" s="20" t="inlineStr">
        <is>
          <t>None</t>
        </is>
      </c>
      <c r="BZ292" s="17" t="n"/>
      <c r="CA292" s="16" t="n"/>
      <c r="CB292" s="20" t="n"/>
      <c r="CC292" s="20" t="inlineStr">
        <is>
          <t>None</t>
        </is>
      </c>
      <c r="CD292" s="17" t="n"/>
      <c r="CE292" s="16" t="n"/>
      <c r="CF292" s="20" t="n"/>
      <c r="CG292" s="20" t="inlineStr">
        <is>
          <t>None</t>
        </is>
      </c>
      <c r="CH292" s="17" t="n"/>
      <c r="CI292" s="16" t="n"/>
      <c r="CJ292" s="20" t="n"/>
      <c r="CK292" s="20" t="inlineStr">
        <is>
          <t>None</t>
        </is>
      </c>
      <c r="CL292" s="17" t="n"/>
      <c r="CM292" s="16" t="n"/>
      <c r="CN292" s="20" t="inlineStr">
        <is>
          <t>SOP 45-34</t>
        </is>
      </c>
      <c r="CO292" s="20" t="inlineStr">
        <is>
          <t>None</t>
        </is>
      </c>
      <c r="CP292" s="17" t="n"/>
      <c r="CQ292" s="16" t="n"/>
      <c r="CR292" s="20" t="n"/>
      <c r="CS292" s="20" t="inlineStr">
        <is>
          <t>None</t>
        </is>
      </c>
      <c r="CT292" s="17" t="n"/>
      <c r="CU292" s="16" t="n"/>
      <c r="CV292" s="20" t="n"/>
      <c r="CW292" s="20" t="inlineStr">
        <is>
          <t>None</t>
        </is>
      </c>
      <c r="CX292" s="17" t="n"/>
      <c r="CY292" s="16" t="n"/>
      <c r="CZ292" s="20" t="inlineStr">
        <is>
          <t>WTW Multimeter 3430 with FDO 925</t>
        </is>
      </c>
      <c r="DA292" s="20" t="inlineStr">
        <is>
          <t>None</t>
        </is>
      </c>
      <c r="DB292" s="17" t="n"/>
      <c r="DC292" s="16" t="n"/>
      <c r="DD292" s="20" t="n"/>
      <c r="DE292" s="20" t="inlineStr">
        <is>
          <t>None</t>
        </is>
      </c>
      <c r="DF292" s="17" t="n"/>
      <c r="DG292" s="16" t="n"/>
      <c r="DH292" s="20" t="inlineStr">
        <is>
          <t>SOP 45-09</t>
        </is>
      </c>
      <c r="DI292" s="20" t="inlineStr">
        <is>
          <t>None</t>
        </is>
      </c>
      <c r="DJ292" s="17" t="n"/>
      <c r="DK292" s="16" t="n"/>
      <c r="DL292" s="20" t="inlineStr">
        <is>
          <t>SOP 45-09 (SOP muss noch angepasst werden für VSS)</t>
        </is>
      </c>
      <c r="DM292" s="20" t="inlineStr">
        <is>
          <t>None</t>
        </is>
      </c>
      <c r="DN292" s="17" t="n"/>
      <c r="DO292" s="16" t="n"/>
      <c r="DP292" s="20" t="inlineStr">
        <is>
          <t>IC Organic Acids</t>
        </is>
      </c>
      <c r="DQ292" s="20" t="inlineStr">
        <is>
          <t>None</t>
        </is>
      </c>
      <c r="DR292" s="17" t="n"/>
      <c r="DS292" s="16" t="n"/>
      <c r="DT292" s="20" t="inlineStr">
        <is>
          <t>IC Organic Acids</t>
        </is>
      </c>
      <c r="DU292" s="20" t="inlineStr">
        <is>
          <t>None</t>
        </is>
      </c>
      <c r="DV292" s="17" t="n"/>
      <c r="DW292" s="16" t="n"/>
      <c r="DX292" s="20" t="inlineStr">
        <is>
          <t>IC Organic Acids</t>
        </is>
      </c>
      <c r="DY292" s="20" t="inlineStr">
        <is>
          <t>None</t>
        </is>
      </c>
      <c r="DZ292" s="17" t="n"/>
      <c r="EA292" s="16" t="n"/>
      <c r="EB292" s="20" t="inlineStr">
        <is>
          <t>IC Organic Acids</t>
        </is>
      </c>
      <c r="EC292" s="20" t="inlineStr">
        <is>
          <t>None</t>
        </is>
      </c>
      <c r="ED292" s="17" t="n"/>
      <c r="EE292" s="16" t="n"/>
      <c r="EF292" s="20" t="inlineStr">
        <is>
          <t>IC Organic Acids</t>
        </is>
      </c>
      <c r="EG292" s="20" t="inlineStr">
        <is>
          <t>None</t>
        </is>
      </c>
      <c r="EH292" s="17" t="n"/>
      <c r="EI292" s="16" t="n"/>
      <c r="EJ292" s="20" t="inlineStr">
        <is>
          <t>IC Organic Acids</t>
        </is>
      </c>
      <c r="EK292" s="20" t="inlineStr">
        <is>
          <t>None</t>
        </is>
      </c>
      <c r="EL292" s="17" t="n"/>
      <c r="EM292" s="16" t="n"/>
      <c r="EN292" s="20" t="inlineStr">
        <is>
          <t>IC Organic Acids</t>
        </is>
      </c>
      <c r="EO292" s="20" t="inlineStr">
        <is>
          <t>None</t>
        </is>
      </c>
      <c r="EP292" s="17" t="n"/>
      <c r="EQ292" s="16" t="n"/>
      <c r="ER292" s="20" t="inlineStr">
        <is>
          <t>IC Organic Acids</t>
        </is>
      </c>
      <c r="ES292" s="20" t="inlineStr">
        <is>
          <t>None</t>
        </is>
      </c>
      <c r="ET292" s="17" t="n"/>
      <c r="EU292" s="16" t="n"/>
      <c r="EV292" s="20" t="inlineStr">
        <is>
          <t>LC-MS</t>
        </is>
      </c>
      <c r="EW292" s="20" t="inlineStr">
        <is>
          <t>None</t>
        </is>
      </c>
      <c r="EX292" s="17" t="n"/>
      <c r="EY292" s="21" t="n"/>
      <c r="EZ292">
        <f>CONCATENATE(A292,B292)</f>
        <v/>
      </c>
      <c r="FA292">
        <f>CONCATENATE(SamplesX!A292,SamplesX!B292)</f>
        <v/>
      </c>
      <c r="FC292">
        <f>MATCH(EZ292,FA1:FA1008,0)</f>
        <v/>
      </c>
    </row>
    <row r="293">
      <c r="A293" s="16" t="inlineStr">
        <is>
          <t>BP</t>
        </is>
      </c>
      <c r="B293" s="17" t="inlineStr">
        <is>
          <t>25285</t>
        </is>
      </c>
      <c r="C293" s="10">
        <f>IF(ISNUMBER(FC293),INDIRECT("SamplesX!C"&amp;FC293),IF(ISNUMBER(FD293),INDIRECT("SamplesY!C"&amp;FD293),""))</f>
        <v/>
      </c>
      <c r="D293" s="12">
        <f>IF(ISNUMBER(FC293),INDIRECT("SamplesX!D"&amp;FC293),IF(ISNUMBER(FD293),INDIRECT("SamplesY!D"&amp;FD293),""))</f>
        <v/>
      </c>
      <c r="E293" s="12">
        <f>IF(ISNUMBER(FC293),INDIRECT("SamplesX!E"&amp;FC293),IF(ISNUMBER(FD293),INDIRECT("SamplesY!E"&amp;FD293),""))</f>
        <v/>
      </c>
      <c r="F293" s="11">
        <f>IF(ISNUMBER(FC293),INDIRECT("SamplesX!F"&amp;FC293),IF(ISNUMBER(FD293),INDIRECT("SamplesY!F"&amp;FD293),""))</f>
        <v/>
      </c>
      <c r="G293" s="18">
        <f>IF(ISNUMBER(FC293),INDIRECT("SamplesX!G"&amp;FC293),IF(ISNUMBER(FD293),INDIRECT("SamplesY!G"&amp;FD293),""))</f>
        <v/>
      </c>
      <c r="H293" s="19">
        <f>IF(ISNUMBER(FC293),INDIRECT("SamplesX!H"&amp;FC293),IF(ISNUMBER(FD293),INDIRECT("SamplesY!H"&amp;FD293),""))</f>
        <v/>
      </c>
      <c r="I293" s="16" t="n"/>
      <c r="J293" s="16" t="n"/>
      <c r="K293" s="16" t="n"/>
      <c r="L293" s="20" t="n"/>
      <c r="M293" s="20" t="inlineStr">
        <is>
          <t>None</t>
        </is>
      </c>
      <c r="N293" s="17" t="n"/>
      <c r="O293" s="16" t="n"/>
      <c r="P293" s="20" t="inlineStr">
        <is>
          <t>Shimadzu TOC-L</t>
        </is>
      </c>
      <c r="Q293" s="20" t="inlineStr">
        <is>
          <t>None</t>
        </is>
      </c>
      <c r="R293" s="17" t="n"/>
      <c r="S293" s="16" t="n"/>
      <c r="T293" s="20" t="inlineStr">
        <is>
          <t>Shimadzu TOC-L</t>
        </is>
      </c>
      <c r="U293" s="20" t="inlineStr">
        <is>
          <t>None</t>
        </is>
      </c>
      <c r="V293" s="17" t="n"/>
      <c r="W293" s="16" t="n"/>
      <c r="X293" s="20" t="n"/>
      <c r="Y293" s="20" t="inlineStr">
        <is>
          <t>None</t>
        </is>
      </c>
      <c r="Z293" s="17" t="n"/>
      <c r="AA293" s="16" t="n"/>
      <c r="AB293" s="20" t="n"/>
      <c r="AC293" s="20" t="inlineStr">
        <is>
          <t>None</t>
        </is>
      </c>
      <c r="AD293" s="17" t="n"/>
      <c r="AE293" s="16" t="n"/>
      <c r="AF293" s="20" t="inlineStr">
        <is>
          <t>IC Anionen</t>
        </is>
      </c>
      <c r="AG293" s="20" t="inlineStr">
        <is>
          <t>None</t>
        </is>
      </c>
      <c r="AH293" s="17" t="n"/>
      <c r="AI293" s="16" t="n"/>
      <c r="AJ293" s="20" t="n"/>
      <c r="AK293" s="20" t="inlineStr">
        <is>
          <t>None</t>
        </is>
      </c>
      <c r="AL293" s="17" t="n"/>
      <c r="AM293" s="16" t="n"/>
      <c r="AN293" s="20" t="inlineStr">
        <is>
          <t>IC Anionen</t>
        </is>
      </c>
      <c r="AO293" s="20" t="inlineStr">
        <is>
          <t>None</t>
        </is>
      </c>
      <c r="AP293" s="17" t="n"/>
      <c r="AQ293" s="16" t="n"/>
      <c r="AR293" s="20" t="n"/>
      <c r="AS293" s="20" t="inlineStr">
        <is>
          <t>None</t>
        </is>
      </c>
      <c r="AT293" s="17" t="n"/>
      <c r="AU293" s="16" t="n"/>
      <c r="AV293" s="20" t="n"/>
      <c r="AW293" s="20" t="inlineStr">
        <is>
          <t>None</t>
        </is>
      </c>
      <c r="AX293" s="17" t="n"/>
      <c r="AY293" s="16" t="n"/>
      <c r="AZ293" s="20" t="inlineStr">
        <is>
          <t>IC Anionen</t>
        </is>
      </c>
      <c r="BA293" s="20" t="inlineStr">
        <is>
          <t>None</t>
        </is>
      </c>
      <c r="BB293" s="17" t="n"/>
      <c r="BC293" s="16" t="n"/>
      <c r="BD293" s="20" t="inlineStr">
        <is>
          <t>IC Kationen</t>
        </is>
      </c>
      <c r="BE293" s="20" t="inlineStr">
        <is>
          <t>None</t>
        </is>
      </c>
      <c r="BF293" s="17" t="n"/>
      <c r="BG293" s="16" t="n"/>
      <c r="BH293" s="20" t="inlineStr">
        <is>
          <t>IC Kationen</t>
        </is>
      </c>
      <c r="BI293" s="20" t="inlineStr">
        <is>
          <t>None</t>
        </is>
      </c>
      <c r="BJ293" s="17" t="n"/>
      <c r="BK293" s="16" t="n"/>
      <c r="BL293" s="20" t="inlineStr">
        <is>
          <t>IC Kationen</t>
        </is>
      </c>
      <c r="BM293" s="20" t="inlineStr">
        <is>
          <t>None</t>
        </is>
      </c>
      <c r="BN293" s="17" t="n"/>
      <c r="BO293" s="16" t="n"/>
      <c r="BP293" s="20" t="inlineStr">
        <is>
          <t>IC Kationen</t>
        </is>
      </c>
      <c r="BQ293" s="20" t="inlineStr">
        <is>
          <t>None</t>
        </is>
      </c>
      <c r="BR293" s="17" t="n"/>
      <c r="BS293" s="16" t="n"/>
      <c r="BT293" s="20" t="inlineStr">
        <is>
          <t>IC Kationen</t>
        </is>
      </c>
      <c r="BU293" s="20" t="inlineStr">
        <is>
          <t>None</t>
        </is>
      </c>
      <c r="BV293" s="17" t="n"/>
      <c r="BW293" s="16" t="n"/>
      <c r="BX293" s="20" t="n"/>
      <c r="BY293" s="20" t="inlineStr">
        <is>
          <t>None</t>
        </is>
      </c>
      <c r="BZ293" s="17" t="n"/>
      <c r="CA293" s="16" t="n"/>
      <c r="CB293" s="20" t="n"/>
      <c r="CC293" s="20" t="inlineStr">
        <is>
          <t>None</t>
        </is>
      </c>
      <c r="CD293" s="17" t="n"/>
      <c r="CE293" s="16" t="n"/>
      <c r="CF293" s="20" t="n"/>
      <c r="CG293" s="20" t="inlineStr">
        <is>
          <t>None</t>
        </is>
      </c>
      <c r="CH293" s="17" t="n"/>
      <c r="CI293" s="16" t="n"/>
      <c r="CJ293" s="20" t="n"/>
      <c r="CK293" s="20" t="inlineStr">
        <is>
          <t>None</t>
        </is>
      </c>
      <c r="CL293" s="17" t="n"/>
      <c r="CM293" s="16" t="n"/>
      <c r="CN293" s="20" t="inlineStr">
        <is>
          <t>SOP 45-34</t>
        </is>
      </c>
      <c r="CO293" s="20" t="inlineStr">
        <is>
          <t>None</t>
        </is>
      </c>
      <c r="CP293" s="17" t="n"/>
      <c r="CQ293" s="16" t="n"/>
      <c r="CR293" s="20" t="n"/>
      <c r="CS293" s="20" t="inlineStr">
        <is>
          <t>None</t>
        </is>
      </c>
      <c r="CT293" s="17" t="n"/>
      <c r="CU293" s="16" t="n"/>
      <c r="CV293" s="20" t="n"/>
      <c r="CW293" s="20" t="inlineStr">
        <is>
          <t>None</t>
        </is>
      </c>
      <c r="CX293" s="17" t="n"/>
      <c r="CY293" s="16" t="n"/>
      <c r="CZ293" s="20" t="inlineStr">
        <is>
          <t>WTW Multimeter 3430 with FDO 925</t>
        </is>
      </c>
      <c r="DA293" s="20" t="inlineStr">
        <is>
          <t>None</t>
        </is>
      </c>
      <c r="DB293" s="17" t="n"/>
      <c r="DC293" s="16" t="n"/>
      <c r="DD293" s="20" t="n"/>
      <c r="DE293" s="20" t="inlineStr">
        <is>
          <t>None</t>
        </is>
      </c>
      <c r="DF293" s="17" t="n"/>
      <c r="DG293" s="16" t="n"/>
      <c r="DH293" s="20" t="inlineStr">
        <is>
          <t>SOP 45-09</t>
        </is>
      </c>
      <c r="DI293" s="20" t="inlineStr">
        <is>
          <t>None</t>
        </is>
      </c>
      <c r="DJ293" s="17" t="n"/>
      <c r="DK293" s="16" t="n"/>
      <c r="DL293" s="20" t="inlineStr">
        <is>
          <t>SOP 45-09 (SOP muss noch angepasst werden für VSS)</t>
        </is>
      </c>
      <c r="DM293" s="20" t="inlineStr">
        <is>
          <t>None</t>
        </is>
      </c>
      <c r="DN293" s="17" t="n"/>
      <c r="DO293" s="16" t="n"/>
      <c r="DP293" s="20" t="inlineStr">
        <is>
          <t>IC Organic Acids</t>
        </is>
      </c>
      <c r="DQ293" s="20" t="inlineStr">
        <is>
          <t>None</t>
        </is>
      </c>
      <c r="DR293" s="17" t="n"/>
      <c r="DS293" s="16" t="n"/>
      <c r="DT293" s="20" t="inlineStr">
        <is>
          <t>IC Organic Acids</t>
        </is>
      </c>
      <c r="DU293" s="20" t="inlineStr">
        <is>
          <t>None</t>
        </is>
      </c>
      <c r="DV293" s="17" t="n"/>
      <c r="DW293" s="16" t="n"/>
      <c r="DX293" s="20" t="inlineStr">
        <is>
          <t>IC Organic Acids</t>
        </is>
      </c>
      <c r="DY293" s="20" t="inlineStr">
        <is>
          <t>None</t>
        </is>
      </c>
      <c r="DZ293" s="17" t="n"/>
      <c r="EA293" s="16" t="n"/>
      <c r="EB293" s="20" t="inlineStr">
        <is>
          <t>IC Organic Acids</t>
        </is>
      </c>
      <c r="EC293" s="20" t="inlineStr">
        <is>
          <t>None</t>
        </is>
      </c>
      <c r="ED293" s="17" t="n"/>
      <c r="EE293" s="16" t="n"/>
      <c r="EF293" s="20" t="inlineStr">
        <is>
          <t>IC Organic Acids</t>
        </is>
      </c>
      <c r="EG293" s="20" t="inlineStr">
        <is>
          <t>None</t>
        </is>
      </c>
      <c r="EH293" s="17" t="n"/>
      <c r="EI293" s="16" t="n"/>
      <c r="EJ293" s="20" t="inlineStr">
        <is>
          <t>IC Organic Acids</t>
        </is>
      </c>
      <c r="EK293" s="20" t="inlineStr">
        <is>
          <t>None</t>
        </is>
      </c>
      <c r="EL293" s="17" t="n"/>
      <c r="EM293" s="16" t="n"/>
      <c r="EN293" s="20" t="inlineStr">
        <is>
          <t>IC Organic Acids</t>
        </is>
      </c>
      <c r="EO293" s="20" t="inlineStr">
        <is>
          <t>None</t>
        </is>
      </c>
      <c r="EP293" s="17" t="n"/>
      <c r="EQ293" s="16" t="n"/>
      <c r="ER293" s="20" t="inlineStr">
        <is>
          <t>IC Organic Acids</t>
        </is>
      </c>
      <c r="ES293" s="20" t="inlineStr">
        <is>
          <t>None</t>
        </is>
      </c>
      <c r="ET293" s="17" t="n"/>
      <c r="EU293" s="16" t="n"/>
      <c r="EV293" s="20" t="inlineStr">
        <is>
          <t>LC-MS</t>
        </is>
      </c>
      <c r="EW293" s="20" t="inlineStr">
        <is>
          <t>None</t>
        </is>
      </c>
      <c r="EX293" s="17" t="n"/>
      <c r="EY293" s="21" t="n"/>
      <c r="EZ293">
        <f>CONCATENATE(A293,B293)</f>
        <v/>
      </c>
      <c r="FA293">
        <f>CONCATENATE(SamplesX!A293,SamplesX!B293)</f>
        <v/>
      </c>
      <c r="FC293">
        <f>MATCH(EZ293,FA1:FA1008,0)</f>
        <v/>
      </c>
    </row>
    <row r="294">
      <c r="A294" s="16" t="inlineStr">
        <is>
          <t>BP</t>
        </is>
      </c>
      <c r="B294" s="17" t="inlineStr">
        <is>
          <t>25286</t>
        </is>
      </c>
      <c r="C294" s="10">
        <f>IF(ISNUMBER(FC294),INDIRECT("SamplesX!C"&amp;FC294),IF(ISNUMBER(FD294),INDIRECT("SamplesY!C"&amp;FD294),""))</f>
        <v/>
      </c>
      <c r="D294" s="12">
        <f>IF(ISNUMBER(FC294),INDIRECT("SamplesX!D"&amp;FC294),IF(ISNUMBER(FD294),INDIRECT("SamplesY!D"&amp;FD294),""))</f>
        <v/>
      </c>
      <c r="E294" s="12">
        <f>IF(ISNUMBER(FC294),INDIRECT("SamplesX!E"&amp;FC294),IF(ISNUMBER(FD294),INDIRECT("SamplesY!E"&amp;FD294),""))</f>
        <v/>
      </c>
      <c r="F294" s="11">
        <f>IF(ISNUMBER(FC294),INDIRECT("SamplesX!F"&amp;FC294),IF(ISNUMBER(FD294),INDIRECT("SamplesY!F"&amp;FD294),""))</f>
        <v/>
      </c>
      <c r="G294" s="18">
        <f>IF(ISNUMBER(FC294),INDIRECT("SamplesX!G"&amp;FC294),IF(ISNUMBER(FD294),INDIRECT("SamplesY!G"&amp;FD294),""))</f>
        <v/>
      </c>
      <c r="H294" s="19">
        <f>IF(ISNUMBER(FC294),INDIRECT("SamplesX!H"&amp;FC294),IF(ISNUMBER(FD294),INDIRECT("SamplesY!H"&amp;FD294),""))</f>
        <v/>
      </c>
      <c r="I294" s="16" t="n"/>
      <c r="J294" s="16" t="n"/>
      <c r="K294" s="16" t="n"/>
      <c r="L294" s="20" t="n"/>
      <c r="M294" s="20" t="inlineStr">
        <is>
          <t>None</t>
        </is>
      </c>
      <c r="N294" s="17" t="n"/>
      <c r="O294" s="16" t="n"/>
      <c r="P294" s="20" t="inlineStr">
        <is>
          <t>Shimadzu TOC-L</t>
        </is>
      </c>
      <c r="Q294" s="20" t="inlineStr">
        <is>
          <t>None</t>
        </is>
      </c>
      <c r="R294" s="17" t="n"/>
      <c r="S294" s="16" t="n"/>
      <c r="T294" s="20" t="inlineStr">
        <is>
          <t>Shimadzu TOC-L</t>
        </is>
      </c>
      <c r="U294" s="20" t="inlineStr">
        <is>
          <t>None</t>
        </is>
      </c>
      <c r="V294" s="17" t="n"/>
      <c r="W294" s="16" t="n"/>
      <c r="X294" s="20" t="n"/>
      <c r="Y294" s="20" t="inlineStr">
        <is>
          <t>None</t>
        </is>
      </c>
      <c r="Z294" s="17" t="n"/>
      <c r="AA294" s="16" t="n"/>
      <c r="AB294" s="20" t="n"/>
      <c r="AC294" s="20" t="inlineStr">
        <is>
          <t>None</t>
        </is>
      </c>
      <c r="AD294" s="17" t="n"/>
      <c r="AE294" s="16" t="n"/>
      <c r="AF294" s="20" t="inlineStr">
        <is>
          <t>IC Anionen</t>
        </is>
      </c>
      <c r="AG294" s="20" t="inlineStr">
        <is>
          <t>None</t>
        </is>
      </c>
      <c r="AH294" s="17" t="n"/>
      <c r="AI294" s="16" t="n"/>
      <c r="AJ294" s="20" t="n"/>
      <c r="AK294" s="20" t="inlineStr">
        <is>
          <t>None</t>
        </is>
      </c>
      <c r="AL294" s="17" t="n"/>
      <c r="AM294" s="16" t="n"/>
      <c r="AN294" s="20" t="inlineStr">
        <is>
          <t>IC Anionen</t>
        </is>
      </c>
      <c r="AO294" s="20" t="inlineStr">
        <is>
          <t>None</t>
        </is>
      </c>
      <c r="AP294" s="17" t="n"/>
      <c r="AQ294" s="16" t="n"/>
      <c r="AR294" s="20" t="n"/>
      <c r="AS294" s="20" t="inlineStr">
        <is>
          <t>None</t>
        </is>
      </c>
      <c r="AT294" s="17" t="n"/>
      <c r="AU294" s="16" t="n"/>
      <c r="AV294" s="20" t="n"/>
      <c r="AW294" s="20" t="inlineStr">
        <is>
          <t>None</t>
        </is>
      </c>
      <c r="AX294" s="17" t="n"/>
      <c r="AY294" s="16" t="n"/>
      <c r="AZ294" s="20" t="inlineStr">
        <is>
          <t>IC Anionen</t>
        </is>
      </c>
      <c r="BA294" s="20" t="inlineStr">
        <is>
          <t>None</t>
        </is>
      </c>
      <c r="BB294" s="17" t="n"/>
      <c r="BC294" s="16" t="n"/>
      <c r="BD294" s="20" t="inlineStr">
        <is>
          <t>IC Kationen</t>
        </is>
      </c>
      <c r="BE294" s="20" t="inlineStr">
        <is>
          <t>None</t>
        </is>
      </c>
      <c r="BF294" s="17" t="n"/>
      <c r="BG294" s="16" t="n"/>
      <c r="BH294" s="20" t="inlineStr">
        <is>
          <t>IC Kationen</t>
        </is>
      </c>
      <c r="BI294" s="20" t="inlineStr">
        <is>
          <t>None</t>
        </is>
      </c>
      <c r="BJ294" s="17" t="n"/>
      <c r="BK294" s="16" t="n"/>
      <c r="BL294" s="20" t="inlineStr">
        <is>
          <t>IC Kationen</t>
        </is>
      </c>
      <c r="BM294" s="20" t="inlineStr">
        <is>
          <t>None</t>
        </is>
      </c>
      <c r="BN294" s="17" t="n"/>
      <c r="BO294" s="16" t="n"/>
      <c r="BP294" s="20" t="inlineStr">
        <is>
          <t>IC Kationen</t>
        </is>
      </c>
      <c r="BQ294" s="20" t="inlineStr">
        <is>
          <t>None</t>
        </is>
      </c>
      <c r="BR294" s="17" t="n"/>
      <c r="BS294" s="16" t="n"/>
      <c r="BT294" s="20" t="inlineStr">
        <is>
          <t>IC Kationen</t>
        </is>
      </c>
      <c r="BU294" s="20" t="inlineStr">
        <is>
          <t>None</t>
        </is>
      </c>
      <c r="BV294" s="17" t="n"/>
      <c r="BW294" s="16" t="n"/>
      <c r="BX294" s="20" t="n"/>
      <c r="BY294" s="20" t="inlineStr">
        <is>
          <t>None</t>
        </is>
      </c>
      <c r="BZ294" s="17" t="n"/>
      <c r="CA294" s="16" t="n"/>
      <c r="CB294" s="20" t="n"/>
      <c r="CC294" s="20" t="inlineStr">
        <is>
          <t>None</t>
        </is>
      </c>
      <c r="CD294" s="17" t="n"/>
      <c r="CE294" s="16" t="n"/>
      <c r="CF294" s="20" t="n"/>
      <c r="CG294" s="20" t="inlineStr">
        <is>
          <t>None</t>
        </is>
      </c>
      <c r="CH294" s="17" t="n"/>
      <c r="CI294" s="16" t="n"/>
      <c r="CJ294" s="20" t="n"/>
      <c r="CK294" s="20" t="inlineStr">
        <is>
          <t>None</t>
        </is>
      </c>
      <c r="CL294" s="17" t="n"/>
      <c r="CM294" s="16" t="n"/>
      <c r="CN294" s="20" t="inlineStr">
        <is>
          <t>SOP 45-34</t>
        </is>
      </c>
      <c r="CO294" s="20" t="inlineStr">
        <is>
          <t>None</t>
        </is>
      </c>
      <c r="CP294" s="17" t="n"/>
      <c r="CQ294" s="16" t="n"/>
      <c r="CR294" s="20" t="n"/>
      <c r="CS294" s="20" t="inlineStr">
        <is>
          <t>None</t>
        </is>
      </c>
      <c r="CT294" s="17" t="n"/>
      <c r="CU294" s="16" t="n"/>
      <c r="CV294" s="20" t="n"/>
      <c r="CW294" s="20" t="inlineStr">
        <is>
          <t>None</t>
        </is>
      </c>
      <c r="CX294" s="17" t="n"/>
      <c r="CY294" s="16" t="n"/>
      <c r="CZ294" s="20" t="inlineStr">
        <is>
          <t>WTW Multimeter 3430 with FDO 925</t>
        </is>
      </c>
      <c r="DA294" s="20" t="inlineStr">
        <is>
          <t>None</t>
        </is>
      </c>
      <c r="DB294" s="17" t="n"/>
      <c r="DC294" s="16" t="n"/>
      <c r="DD294" s="20" t="n"/>
      <c r="DE294" s="20" t="inlineStr">
        <is>
          <t>None</t>
        </is>
      </c>
      <c r="DF294" s="17" t="n"/>
      <c r="DG294" s="16" t="n"/>
      <c r="DH294" s="20" t="inlineStr">
        <is>
          <t>SOP 45-09</t>
        </is>
      </c>
      <c r="DI294" s="20" t="inlineStr">
        <is>
          <t>None</t>
        </is>
      </c>
      <c r="DJ294" s="17" t="n"/>
      <c r="DK294" s="16" t="n"/>
      <c r="DL294" s="20" t="inlineStr">
        <is>
          <t>SOP 45-09 (SOP muss noch angepasst werden für VSS)</t>
        </is>
      </c>
      <c r="DM294" s="20" t="inlineStr">
        <is>
          <t>None</t>
        </is>
      </c>
      <c r="DN294" s="17" t="n"/>
      <c r="DO294" s="16" t="n"/>
      <c r="DP294" s="20" t="inlineStr">
        <is>
          <t>IC Organic Acids</t>
        </is>
      </c>
      <c r="DQ294" s="20" t="inlineStr">
        <is>
          <t>None</t>
        </is>
      </c>
      <c r="DR294" s="17" t="n"/>
      <c r="DS294" s="16" t="n"/>
      <c r="DT294" s="20" t="inlineStr">
        <is>
          <t>IC Organic Acids</t>
        </is>
      </c>
      <c r="DU294" s="20" t="inlineStr">
        <is>
          <t>None</t>
        </is>
      </c>
      <c r="DV294" s="17" t="n"/>
      <c r="DW294" s="16" t="n"/>
      <c r="DX294" s="20" t="inlineStr">
        <is>
          <t>IC Organic Acids</t>
        </is>
      </c>
      <c r="DY294" s="20" t="inlineStr">
        <is>
          <t>None</t>
        </is>
      </c>
      <c r="DZ294" s="17" t="n"/>
      <c r="EA294" s="16" t="n"/>
      <c r="EB294" s="20" t="inlineStr">
        <is>
          <t>IC Organic Acids</t>
        </is>
      </c>
      <c r="EC294" s="20" t="inlineStr">
        <is>
          <t>None</t>
        </is>
      </c>
      <c r="ED294" s="17" t="n"/>
      <c r="EE294" s="16" t="n"/>
      <c r="EF294" s="20" t="inlineStr">
        <is>
          <t>IC Organic Acids</t>
        </is>
      </c>
      <c r="EG294" s="20" t="inlineStr">
        <is>
          <t>None</t>
        </is>
      </c>
      <c r="EH294" s="17" t="n"/>
      <c r="EI294" s="16" t="n"/>
      <c r="EJ294" s="20" t="inlineStr">
        <is>
          <t>IC Organic Acids</t>
        </is>
      </c>
      <c r="EK294" s="20" t="inlineStr">
        <is>
          <t>None</t>
        </is>
      </c>
      <c r="EL294" s="17" t="n"/>
      <c r="EM294" s="16" t="n"/>
      <c r="EN294" s="20" t="inlineStr">
        <is>
          <t>IC Organic Acids</t>
        </is>
      </c>
      <c r="EO294" s="20" t="inlineStr">
        <is>
          <t>None</t>
        </is>
      </c>
      <c r="EP294" s="17" t="n"/>
      <c r="EQ294" s="16" t="n"/>
      <c r="ER294" s="20" t="inlineStr">
        <is>
          <t>IC Organic Acids</t>
        </is>
      </c>
      <c r="ES294" s="20" t="inlineStr">
        <is>
          <t>None</t>
        </is>
      </c>
      <c r="ET294" s="17" t="n"/>
      <c r="EU294" s="16" t="n"/>
      <c r="EV294" s="20" t="inlineStr">
        <is>
          <t>LC-MS</t>
        </is>
      </c>
      <c r="EW294" s="20" t="inlineStr">
        <is>
          <t>None</t>
        </is>
      </c>
      <c r="EX294" s="17" t="n"/>
      <c r="EY294" s="21" t="n"/>
      <c r="EZ294">
        <f>CONCATENATE(A294,B294)</f>
        <v/>
      </c>
      <c r="FA294">
        <f>CONCATENATE(SamplesX!A294,SamplesX!B294)</f>
        <v/>
      </c>
      <c r="FC294">
        <f>MATCH(EZ294,FA1:FA1008,0)</f>
        <v/>
      </c>
    </row>
    <row r="295">
      <c r="A295" s="16" t="inlineStr">
        <is>
          <t>BP</t>
        </is>
      </c>
      <c r="B295" s="17" t="inlineStr">
        <is>
          <t>25287</t>
        </is>
      </c>
      <c r="C295" s="10">
        <f>IF(ISNUMBER(FC295),INDIRECT("SamplesX!C"&amp;FC295),IF(ISNUMBER(FD295),INDIRECT("SamplesY!C"&amp;FD295),""))</f>
        <v/>
      </c>
      <c r="D295" s="12">
        <f>IF(ISNUMBER(FC295),INDIRECT("SamplesX!D"&amp;FC295),IF(ISNUMBER(FD295),INDIRECT("SamplesY!D"&amp;FD295),""))</f>
        <v/>
      </c>
      <c r="E295" s="12">
        <f>IF(ISNUMBER(FC295),INDIRECT("SamplesX!E"&amp;FC295),IF(ISNUMBER(FD295),INDIRECT("SamplesY!E"&amp;FD295),""))</f>
        <v/>
      </c>
      <c r="F295" s="11">
        <f>IF(ISNUMBER(FC295),INDIRECT("SamplesX!F"&amp;FC295),IF(ISNUMBER(FD295),INDIRECT("SamplesY!F"&amp;FD295),""))</f>
        <v/>
      </c>
      <c r="G295" s="18">
        <f>IF(ISNUMBER(FC295),INDIRECT("SamplesX!G"&amp;FC295),IF(ISNUMBER(FD295),INDIRECT("SamplesY!G"&amp;FD295),""))</f>
        <v/>
      </c>
      <c r="H295" s="19">
        <f>IF(ISNUMBER(FC295),INDIRECT("SamplesX!H"&amp;FC295),IF(ISNUMBER(FD295),INDIRECT("SamplesY!H"&amp;FD295),""))</f>
        <v/>
      </c>
      <c r="I295" s="16" t="n"/>
      <c r="J295" s="16" t="n"/>
      <c r="K295" s="16" t="n"/>
      <c r="L295" s="20" t="n"/>
      <c r="M295" s="20" t="inlineStr">
        <is>
          <t>None</t>
        </is>
      </c>
      <c r="N295" s="17" t="n"/>
      <c r="O295" s="16" t="n"/>
      <c r="P295" s="20" t="inlineStr">
        <is>
          <t>Shimadzu TOC-L</t>
        </is>
      </c>
      <c r="Q295" s="20" t="inlineStr">
        <is>
          <t>None</t>
        </is>
      </c>
      <c r="R295" s="17" t="n"/>
      <c r="S295" s="16" t="n"/>
      <c r="T295" s="20" t="inlineStr">
        <is>
          <t>Shimadzu TOC-L</t>
        </is>
      </c>
      <c r="U295" s="20" t="inlineStr">
        <is>
          <t>None</t>
        </is>
      </c>
      <c r="V295" s="17" t="n"/>
      <c r="W295" s="16" t="n"/>
      <c r="X295" s="20" t="n"/>
      <c r="Y295" s="20" t="inlineStr">
        <is>
          <t>None</t>
        </is>
      </c>
      <c r="Z295" s="17" t="n"/>
      <c r="AA295" s="16" t="n"/>
      <c r="AB295" s="20" t="n"/>
      <c r="AC295" s="20" t="inlineStr">
        <is>
          <t>None</t>
        </is>
      </c>
      <c r="AD295" s="17" t="n"/>
      <c r="AE295" s="16" t="n"/>
      <c r="AF295" s="20" t="inlineStr">
        <is>
          <t>IC Anionen</t>
        </is>
      </c>
      <c r="AG295" s="20" t="inlineStr">
        <is>
          <t>None</t>
        </is>
      </c>
      <c r="AH295" s="17" t="n"/>
      <c r="AI295" s="16" t="n"/>
      <c r="AJ295" s="20" t="n"/>
      <c r="AK295" s="20" t="inlineStr">
        <is>
          <t>None</t>
        </is>
      </c>
      <c r="AL295" s="17" t="n"/>
      <c r="AM295" s="16" t="n"/>
      <c r="AN295" s="20" t="inlineStr">
        <is>
          <t>IC Anionen</t>
        </is>
      </c>
      <c r="AO295" s="20" t="inlineStr">
        <is>
          <t>None</t>
        </is>
      </c>
      <c r="AP295" s="17" t="n"/>
      <c r="AQ295" s="16" t="n"/>
      <c r="AR295" s="20" t="n"/>
      <c r="AS295" s="20" t="inlineStr">
        <is>
          <t>None</t>
        </is>
      </c>
      <c r="AT295" s="17" t="n"/>
      <c r="AU295" s="16" t="n"/>
      <c r="AV295" s="20" t="n"/>
      <c r="AW295" s="20" t="inlineStr">
        <is>
          <t>None</t>
        </is>
      </c>
      <c r="AX295" s="17" t="n"/>
      <c r="AY295" s="16" t="n"/>
      <c r="AZ295" s="20" t="inlineStr">
        <is>
          <t>IC Anionen</t>
        </is>
      </c>
      <c r="BA295" s="20" t="inlineStr">
        <is>
          <t>None</t>
        </is>
      </c>
      <c r="BB295" s="17" t="n"/>
      <c r="BC295" s="16" t="n"/>
      <c r="BD295" s="20" t="inlineStr">
        <is>
          <t>IC Kationen</t>
        </is>
      </c>
      <c r="BE295" s="20" t="inlineStr">
        <is>
          <t>None</t>
        </is>
      </c>
      <c r="BF295" s="17" t="n"/>
      <c r="BG295" s="16" t="n"/>
      <c r="BH295" s="20" t="inlineStr">
        <is>
          <t>IC Kationen</t>
        </is>
      </c>
      <c r="BI295" s="20" t="inlineStr">
        <is>
          <t>None</t>
        </is>
      </c>
      <c r="BJ295" s="17" t="n"/>
      <c r="BK295" s="16" t="n"/>
      <c r="BL295" s="20" t="inlineStr">
        <is>
          <t>IC Kationen</t>
        </is>
      </c>
      <c r="BM295" s="20" t="inlineStr">
        <is>
          <t>None</t>
        </is>
      </c>
      <c r="BN295" s="17" t="n"/>
      <c r="BO295" s="16" t="n"/>
      <c r="BP295" s="20" t="inlineStr">
        <is>
          <t>IC Kationen</t>
        </is>
      </c>
      <c r="BQ295" s="20" t="inlineStr">
        <is>
          <t>None</t>
        </is>
      </c>
      <c r="BR295" s="17" t="n"/>
      <c r="BS295" s="16" t="n"/>
      <c r="BT295" s="20" t="inlineStr">
        <is>
          <t>IC Kationen</t>
        </is>
      </c>
      <c r="BU295" s="20" t="inlineStr">
        <is>
          <t>None</t>
        </is>
      </c>
      <c r="BV295" s="17" t="n"/>
      <c r="BW295" s="16" t="n"/>
      <c r="BX295" s="20" t="n"/>
      <c r="BY295" s="20" t="inlineStr">
        <is>
          <t>None</t>
        </is>
      </c>
      <c r="BZ295" s="17" t="n"/>
      <c r="CA295" s="16" t="n"/>
      <c r="CB295" s="20" t="n"/>
      <c r="CC295" s="20" t="inlineStr">
        <is>
          <t>None</t>
        </is>
      </c>
      <c r="CD295" s="17" t="n"/>
      <c r="CE295" s="16" t="n"/>
      <c r="CF295" s="20" t="n"/>
      <c r="CG295" s="20" t="inlineStr">
        <is>
          <t>None</t>
        </is>
      </c>
      <c r="CH295" s="17" t="n"/>
      <c r="CI295" s="16" t="n"/>
      <c r="CJ295" s="20" t="n"/>
      <c r="CK295" s="20" t="inlineStr">
        <is>
          <t>None</t>
        </is>
      </c>
      <c r="CL295" s="17" t="n"/>
      <c r="CM295" s="16" t="n"/>
      <c r="CN295" s="20" t="inlineStr">
        <is>
          <t>SOP 45-34</t>
        </is>
      </c>
      <c r="CO295" s="20" t="inlineStr">
        <is>
          <t>None</t>
        </is>
      </c>
      <c r="CP295" s="17" t="n"/>
      <c r="CQ295" s="16" t="n"/>
      <c r="CR295" s="20" t="n"/>
      <c r="CS295" s="20" t="inlineStr">
        <is>
          <t>None</t>
        </is>
      </c>
      <c r="CT295" s="17" t="n"/>
      <c r="CU295" s="16" t="n"/>
      <c r="CV295" s="20" t="n"/>
      <c r="CW295" s="20" t="inlineStr">
        <is>
          <t>None</t>
        </is>
      </c>
      <c r="CX295" s="17" t="n"/>
      <c r="CY295" s="16" t="n"/>
      <c r="CZ295" s="20" t="inlineStr">
        <is>
          <t>WTW Multimeter 3430 with FDO 925</t>
        </is>
      </c>
      <c r="DA295" s="20" t="inlineStr">
        <is>
          <t>None</t>
        </is>
      </c>
      <c r="DB295" s="17" t="n"/>
      <c r="DC295" s="16" t="n"/>
      <c r="DD295" s="20" t="n"/>
      <c r="DE295" s="20" t="inlineStr">
        <is>
          <t>None</t>
        </is>
      </c>
      <c r="DF295" s="17" t="n"/>
      <c r="DG295" s="16" t="n"/>
      <c r="DH295" s="20" t="inlineStr">
        <is>
          <t>SOP 45-09</t>
        </is>
      </c>
      <c r="DI295" s="20" t="inlineStr">
        <is>
          <t>None</t>
        </is>
      </c>
      <c r="DJ295" s="17" t="n"/>
      <c r="DK295" s="16" t="n"/>
      <c r="DL295" s="20" t="inlineStr">
        <is>
          <t>SOP 45-09 (SOP muss noch angepasst werden für VSS)</t>
        </is>
      </c>
      <c r="DM295" s="20" t="inlineStr">
        <is>
          <t>None</t>
        </is>
      </c>
      <c r="DN295" s="17" t="n"/>
      <c r="DO295" s="16" t="n"/>
      <c r="DP295" s="20" t="inlineStr">
        <is>
          <t>IC Organic Acids</t>
        </is>
      </c>
      <c r="DQ295" s="20" t="inlineStr">
        <is>
          <t>None</t>
        </is>
      </c>
      <c r="DR295" s="17" t="n"/>
      <c r="DS295" s="16" t="n"/>
      <c r="DT295" s="20" t="inlineStr">
        <is>
          <t>IC Organic Acids</t>
        </is>
      </c>
      <c r="DU295" s="20" t="inlineStr">
        <is>
          <t>None</t>
        </is>
      </c>
      <c r="DV295" s="17" t="n"/>
      <c r="DW295" s="16" t="n"/>
      <c r="DX295" s="20" t="inlineStr">
        <is>
          <t>IC Organic Acids</t>
        </is>
      </c>
      <c r="DY295" s="20" t="inlineStr">
        <is>
          <t>None</t>
        </is>
      </c>
      <c r="DZ295" s="17" t="n"/>
      <c r="EA295" s="16" t="n"/>
      <c r="EB295" s="20" t="inlineStr">
        <is>
          <t>IC Organic Acids</t>
        </is>
      </c>
      <c r="EC295" s="20" t="inlineStr">
        <is>
          <t>None</t>
        </is>
      </c>
      <c r="ED295" s="17" t="n"/>
      <c r="EE295" s="16" t="n"/>
      <c r="EF295" s="20" t="inlineStr">
        <is>
          <t>IC Organic Acids</t>
        </is>
      </c>
      <c r="EG295" s="20" t="inlineStr">
        <is>
          <t>None</t>
        </is>
      </c>
      <c r="EH295" s="17" t="n"/>
      <c r="EI295" s="16" t="n"/>
      <c r="EJ295" s="20" t="inlineStr">
        <is>
          <t>IC Organic Acids</t>
        </is>
      </c>
      <c r="EK295" s="20" t="inlineStr">
        <is>
          <t>None</t>
        </is>
      </c>
      <c r="EL295" s="17" t="n"/>
      <c r="EM295" s="16" t="n"/>
      <c r="EN295" s="20" t="inlineStr">
        <is>
          <t>IC Organic Acids</t>
        </is>
      </c>
      <c r="EO295" s="20" t="inlineStr">
        <is>
          <t>None</t>
        </is>
      </c>
      <c r="EP295" s="17" t="n"/>
      <c r="EQ295" s="16" t="n"/>
      <c r="ER295" s="20" t="inlineStr">
        <is>
          <t>IC Organic Acids</t>
        </is>
      </c>
      <c r="ES295" s="20" t="inlineStr">
        <is>
          <t>None</t>
        </is>
      </c>
      <c r="ET295" s="17" t="n"/>
      <c r="EU295" s="16" t="n"/>
      <c r="EV295" s="20" t="inlineStr">
        <is>
          <t>LC-MS</t>
        </is>
      </c>
      <c r="EW295" s="20" t="inlineStr">
        <is>
          <t>None</t>
        </is>
      </c>
      <c r="EX295" s="17" t="n"/>
      <c r="EY295" s="21" t="n"/>
      <c r="EZ295">
        <f>CONCATENATE(A295,B295)</f>
        <v/>
      </c>
      <c r="FA295">
        <f>CONCATENATE(SamplesX!A295,SamplesX!B295)</f>
        <v/>
      </c>
      <c r="FC295">
        <f>MATCH(EZ295,FA1:FA1008,0)</f>
        <v/>
      </c>
    </row>
    <row r="296">
      <c r="A296" s="16" t="inlineStr">
        <is>
          <t>BP</t>
        </is>
      </c>
      <c r="B296" s="17" t="inlineStr">
        <is>
          <t>25288</t>
        </is>
      </c>
      <c r="C296" s="10">
        <f>IF(ISNUMBER(FC296),INDIRECT("SamplesX!C"&amp;FC296),IF(ISNUMBER(FD296),INDIRECT("SamplesY!C"&amp;FD296),""))</f>
        <v/>
      </c>
      <c r="D296" s="12">
        <f>IF(ISNUMBER(FC296),INDIRECT("SamplesX!D"&amp;FC296),IF(ISNUMBER(FD296),INDIRECT("SamplesY!D"&amp;FD296),""))</f>
        <v/>
      </c>
      <c r="E296" s="12">
        <f>IF(ISNUMBER(FC296),INDIRECT("SamplesX!E"&amp;FC296),IF(ISNUMBER(FD296),INDIRECT("SamplesY!E"&amp;FD296),""))</f>
        <v/>
      </c>
      <c r="F296" s="11">
        <f>IF(ISNUMBER(FC296),INDIRECT("SamplesX!F"&amp;FC296),IF(ISNUMBER(FD296),INDIRECT("SamplesY!F"&amp;FD296),""))</f>
        <v/>
      </c>
      <c r="G296" s="18">
        <f>IF(ISNUMBER(FC296),INDIRECT("SamplesX!G"&amp;FC296),IF(ISNUMBER(FD296),INDIRECT("SamplesY!G"&amp;FD296),""))</f>
        <v/>
      </c>
      <c r="H296" s="19">
        <f>IF(ISNUMBER(FC296),INDIRECT("SamplesX!H"&amp;FC296),IF(ISNUMBER(FD296),INDIRECT("SamplesY!H"&amp;FD296),""))</f>
        <v/>
      </c>
      <c r="I296" s="16" t="n"/>
      <c r="J296" s="16" t="n"/>
      <c r="K296" s="16" t="n"/>
      <c r="L296" s="20" t="n"/>
      <c r="M296" s="20" t="inlineStr">
        <is>
          <t>None</t>
        </is>
      </c>
      <c r="N296" s="17" t="n"/>
      <c r="O296" s="16" t="n"/>
      <c r="P296" s="20" t="inlineStr">
        <is>
          <t>Shimadzu TOC-L</t>
        </is>
      </c>
      <c r="Q296" s="20" t="inlineStr">
        <is>
          <t>None</t>
        </is>
      </c>
      <c r="R296" s="17" t="n"/>
      <c r="S296" s="16" t="n"/>
      <c r="T296" s="20" t="inlineStr">
        <is>
          <t>Shimadzu TOC-L</t>
        </is>
      </c>
      <c r="U296" s="20" t="inlineStr">
        <is>
          <t>None</t>
        </is>
      </c>
      <c r="V296" s="17" t="n"/>
      <c r="W296" s="16" t="n"/>
      <c r="X296" s="20" t="n"/>
      <c r="Y296" s="20" t="inlineStr">
        <is>
          <t>None</t>
        </is>
      </c>
      <c r="Z296" s="17" t="n"/>
      <c r="AA296" s="16" t="n"/>
      <c r="AB296" s="20" t="n"/>
      <c r="AC296" s="20" t="inlineStr">
        <is>
          <t>None</t>
        </is>
      </c>
      <c r="AD296" s="17" t="n"/>
      <c r="AE296" s="16" t="n"/>
      <c r="AF296" s="20" t="inlineStr">
        <is>
          <t>IC Anionen</t>
        </is>
      </c>
      <c r="AG296" s="20" t="inlineStr">
        <is>
          <t>None</t>
        </is>
      </c>
      <c r="AH296" s="17" t="n"/>
      <c r="AI296" s="16" t="n"/>
      <c r="AJ296" s="20" t="n"/>
      <c r="AK296" s="20" t="inlineStr">
        <is>
          <t>None</t>
        </is>
      </c>
      <c r="AL296" s="17" t="n"/>
      <c r="AM296" s="16" t="n"/>
      <c r="AN296" s="20" t="inlineStr">
        <is>
          <t>IC Anionen</t>
        </is>
      </c>
      <c r="AO296" s="20" t="inlineStr">
        <is>
          <t>None</t>
        </is>
      </c>
      <c r="AP296" s="17" t="n"/>
      <c r="AQ296" s="16" t="n"/>
      <c r="AR296" s="20" t="n"/>
      <c r="AS296" s="20" t="inlineStr">
        <is>
          <t>None</t>
        </is>
      </c>
      <c r="AT296" s="17" t="n"/>
      <c r="AU296" s="16" t="n"/>
      <c r="AV296" s="20" t="n"/>
      <c r="AW296" s="20" t="inlineStr">
        <is>
          <t>None</t>
        </is>
      </c>
      <c r="AX296" s="17" t="n"/>
      <c r="AY296" s="16" t="n"/>
      <c r="AZ296" s="20" t="inlineStr">
        <is>
          <t>IC Anionen</t>
        </is>
      </c>
      <c r="BA296" s="20" t="inlineStr">
        <is>
          <t>None</t>
        </is>
      </c>
      <c r="BB296" s="17" t="n"/>
      <c r="BC296" s="16" t="n"/>
      <c r="BD296" s="20" t="inlineStr">
        <is>
          <t>IC Kationen</t>
        </is>
      </c>
      <c r="BE296" s="20" t="inlineStr">
        <is>
          <t>None</t>
        </is>
      </c>
      <c r="BF296" s="17" t="n"/>
      <c r="BG296" s="16" t="n"/>
      <c r="BH296" s="20" t="inlineStr">
        <is>
          <t>IC Kationen</t>
        </is>
      </c>
      <c r="BI296" s="20" t="inlineStr">
        <is>
          <t>None</t>
        </is>
      </c>
      <c r="BJ296" s="17" t="n"/>
      <c r="BK296" s="16" t="n"/>
      <c r="BL296" s="20" t="inlineStr">
        <is>
          <t>IC Kationen</t>
        </is>
      </c>
      <c r="BM296" s="20" t="inlineStr">
        <is>
          <t>None</t>
        </is>
      </c>
      <c r="BN296" s="17" t="n"/>
      <c r="BO296" s="16" t="n"/>
      <c r="BP296" s="20" t="inlineStr">
        <is>
          <t>IC Kationen</t>
        </is>
      </c>
      <c r="BQ296" s="20" t="inlineStr">
        <is>
          <t>None</t>
        </is>
      </c>
      <c r="BR296" s="17" t="n"/>
      <c r="BS296" s="16" t="n"/>
      <c r="BT296" s="20" t="inlineStr">
        <is>
          <t>IC Kationen</t>
        </is>
      </c>
      <c r="BU296" s="20" t="inlineStr">
        <is>
          <t>None</t>
        </is>
      </c>
      <c r="BV296" s="17" t="n"/>
      <c r="BW296" s="16" t="n"/>
      <c r="BX296" s="20" t="n"/>
      <c r="BY296" s="20" t="inlineStr">
        <is>
          <t>None</t>
        </is>
      </c>
      <c r="BZ296" s="17" t="n"/>
      <c r="CA296" s="16" t="n"/>
      <c r="CB296" s="20" t="n"/>
      <c r="CC296" s="20" t="inlineStr">
        <is>
          <t>None</t>
        </is>
      </c>
      <c r="CD296" s="17" t="n"/>
      <c r="CE296" s="16" t="n"/>
      <c r="CF296" s="20" t="n"/>
      <c r="CG296" s="20" t="inlineStr">
        <is>
          <t>None</t>
        </is>
      </c>
      <c r="CH296" s="17" t="n"/>
      <c r="CI296" s="16" t="n"/>
      <c r="CJ296" s="20" t="n"/>
      <c r="CK296" s="20" t="inlineStr">
        <is>
          <t>None</t>
        </is>
      </c>
      <c r="CL296" s="17" t="n"/>
      <c r="CM296" s="16" t="n"/>
      <c r="CN296" s="20" t="inlineStr">
        <is>
          <t>SOP 45-34</t>
        </is>
      </c>
      <c r="CO296" s="20" t="inlineStr">
        <is>
          <t>None</t>
        </is>
      </c>
      <c r="CP296" s="17" t="n"/>
      <c r="CQ296" s="16" t="n"/>
      <c r="CR296" s="20" t="n"/>
      <c r="CS296" s="20" t="inlineStr">
        <is>
          <t>None</t>
        </is>
      </c>
      <c r="CT296" s="17" t="n"/>
      <c r="CU296" s="16" t="n"/>
      <c r="CV296" s="20" t="n"/>
      <c r="CW296" s="20" t="inlineStr">
        <is>
          <t>None</t>
        </is>
      </c>
      <c r="CX296" s="17" t="n"/>
      <c r="CY296" s="16" t="n"/>
      <c r="CZ296" s="20" t="inlineStr">
        <is>
          <t>WTW Multimeter 3430 with FDO 925</t>
        </is>
      </c>
      <c r="DA296" s="20" t="inlineStr">
        <is>
          <t>None</t>
        </is>
      </c>
      <c r="DB296" s="17" t="n"/>
      <c r="DC296" s="16" t="n"/>
      <c r="DD296" s="20" t="n"/>
      <c r="DE296" s="20" t="inlineStr">
        <is>
          <t>None</t>
        </is>
      </c>
      <c r="DF296" s="17" t="n"/>
      <c r="DG296" s="16" t="n"/>
      <c r="DH296" s="20" t="inlineStr">
        <is>
          <t>SOP 45-09</t>
        </is>
      </c>
      <c r="DI296" s="20" t="inlineStr">
        <is>
          <t>None</t>
        </is>
      </c>
      <c r="DJ296" s="17" t="n"/>
      <c r="DK296" s="16" t="n"/>
      <c r="DL296" s="20" t="inlineStr">
        <is>
          <t>SOP 45-09 (SOP muss noch angepasst werden für VSS)</t>
        </is>
      </c>
      <c r="DM296" s="20" t="inlineStr">
        <is>
          <t>None</t>
        </is>
      </c>
      <c r="DN296" s="17" t="n"/>
      <c r="DO296" s="16" t="n"/>
      <c r="DP296" s="20" t="inlineStr">
        <is>
          <t>IC Organic Acids</t>
        </is>
      </c>
      <c r="DQ296" s="20" t="inlineStr">
        <is>
          <t>None</t>
        </is>
      </c>
      <c r="DR296" s="17" t="n"/>
      <c r="DS296" s="16" t="n"/>
      <c r="DT296" s="20" t="inlineStr">
        <is>
          <t>IC Organic Acids</t>
        </is>
      </c>
      <c r="DU296" s="20" t="inlineStr">
        <is>
          <t>None</t>
        </is>
      </c>
      <c r="DV296" s="17" t="n"/>
      <c r="DW296" s="16" t="n"/>
      <c r="DX296" s="20" t="inlineStr">
        <is>
          <t>IC Organic Acids</t>
        </is>
      </c>
      <c r="DY296" s="20" t="inlineStr">
        <is>
          <t>None</t>
        </is>
      </c>
      <c r="DZ296" s="17" t="n"/>
      <c r="EA296" s="16" t="n"/>
      <c r="EB296" s="20" t="inlineStr">
        <is>
          <t>IC Organic Acids</t>
        </is>
      </c>
      <c r="EC296" s="20" t="inlineStr">
        <is>
          <t>None</t>
        </is>
      </c>
      <c r="ED296" s="17" t="n"/>
      <c r="EE296" s="16" t="n"/>
      <c r="EF296" s="20" t="inlineStr">
        <is>
          <t>IC Organic Acids</t>
        </is>
      </c>
      <c r="EG296" s="20" t="inlineStr">
        <is>
          <t>None</t>
        </is>
      </c>
      <c r="EH296" s="17" t="n"/>
      <c r="EI296" s="16" t="n"/>
      <c r="EJ296" s="20" t="inlineStr">
        <is>
          <t>IC Organic Acids</t>
        </is>
      </c>
      <c r="EK296" s="20" t="inlineStr">
        <is>
          <t>None</t>
        </is>
      </c>
      <c r="EL296" s="17" t="n"/>
      <c r="EM296" s="16" t="n"/>
      <c r="EN296" s="20" t="inlineStr">
        <is>
          <t>IC Organic Acids</t>
        </is>
      </c>
      <c r="EO296" s="20" t="inlineStr">
        <is>
          <t>None</t>
        </is>
      </c>
      <c r="EP296" s="17" t="n"/>
      <c r="EQ296" s="16" t="n"/>
      <c r="ER296" s="20" t="inlineStr">
        <is>
          <t>IC Organic Acids</t>
        </is>
      </c>
      <c r="ES296" s="20" t="inlineStr">
        <is>
          <t>None</t>
        </is>
      </c>
      <c r="ET296" s="17" t="n"/>
      <c r="EU296" s="16" t="n"/>
      <c r="EV296" s="20" t="inlineStr">
        <is>
          <t>LC-MS</t>
        </is>
      </c>
      <c r="EW296" s="20" t="inlineStr">
        <is>
          <t>None</t>
        </is>
      </c>
      <c r="EX296" s="17" t="n"/>
      <c r="EY296" s="21" t="n"/>
      <c r="EZ296">
        <f>CONCATENATE(A296,B296)</f>
        <v/>
      </c>
      <c r="FA296">
        <f>CONCATENATE(SamplesX!A296,SamplesX!B296)</f>
        <v/>
      </c>
      <c r="FC296">
        <f>MATCH(EZ296,FA1:FA1008,0)</f>
        <v/>
      </c>
    </row>
    <row r="297">
      <c r="A297" s="16" t="inlineStr">
        <is>
          <t>BP</t>
        </is>
      </c>
      <c r="B297" s="17" t="inlineStr">
        <is>
          <t>25289</t>
        </is>
      </c>
      <c r="C297" s="10">
        <f>IF(ISNUMBER(FC297),INDIRECT("SamplesX!C"&amp;FC297),IF(ISNUMBER(FD297),INDIRECT("SamplesY!C"&amp;FD297),""))</f>
        <v/>
      </c>
      <c r="D297" s="12">
        <f>IF(ISNUMBER(FC297),INDIRECT("SamplesX!D"&amp;FC297),IF(ISNUMBER(FD297),INDIRECT("SamplesY!D"&amp;FD297),""))</f>
        <v/>
      </c>
      <c r="E297" s="12">
        <f>IF(ISNUMBER(FC297),INDIRECT("SamplesX!E"&amp;FC297),IF(ISNUMBER(FD297),INDIRECT("SamplesY!E"&amp;FD297),""))</f>
        <v/>
      </c>
      <c r="F297" s="11">
        <f>IF(ISNUMBER(FC297),INDIRECT("SamplesX!F"&amp;FC297),IF(ISNUMBER(FD297),INDIRECT("SamplesY!F"&amp;FD297),""))</f>
        <v/>
      </c>
      <c r="G297" s="18">
        <f>IF(ISNUMBER(FC297),INDIRECT("SamplesX!G"&amp;FC297),IF(ISNUMBER(FD297),INDIRECT("SamplesY!G"&amp;FD297),""))</f>
        <v/>
      </c>
      <c r="H297" s="19">
        <f>IF(ISNUMBER(FC297),INDIRECT("SamplesX!H"&amp;FC297),IF(ISNUMBER(FD297),INDIRECT("SamplesY!H"&amp;FD297),""))</f>
        <v/>
      </c>
      <c r="I297" s="16" t="n"/>
      <c r="J297" s="16" t="n"/>
      <c r="K297" s="16" t="n"/>
      <c r="L297" s="20" t="n"/>
      <c r="M297" s="20" t="inlineStr">
        <is>
          <t>None</t>
        </is>
      </c>
      <c r="N297" s="17" t="n"/>
      <c r="O297" s="16" t="n"/>
      <c r="P297" s="20" t="inlineStr">
        <is>
          <t>Shimadzu TOC-L</t>
        </is>
      </c>
      <c r="Q297" s="20" t="inlineStr">
        <is>
          <t>None</t>
        </is>
      </c>
      <c r="R297" s="17" t="n"/>
      <c r="S297" s="16" t="n"/>
      <c r="T297" s="20" t="inlineStr">
        <is>
          <t>Shimadzu TOC-L</t>
        </is>
      </c>
      <c r="U297" s="20" t="inlineStr">
        <is>
          <t>None</t>
        </is>
      </c>
      <c r="V297" s="17" t="n"/>
      <c r="W297" s="16" t="n"/>
      <c r="X297" s="20" t="n"/>
      <c r="Y297" s="20" t="inlineStr">
        <is>
          <t>None</t>
        </is>
      </c>
      <c r="Z297" s="17" t="n"/>
      <c r="AA297" s="16" t="n"/>
      <c r="AB297" s="20" t="n"/>
      <c r="AC297" s="20" t="inlineStr">
        <is>
          <t>None</t>
        </is>
      </c>
      <c r="AD297" s="17" t="n"/>
      <c r="AE297" s="16" t="n"/>
      <c r="AF297" s="20" t="inlineStr">
        <is>
          <t>IC Anionen</t>
        </is>
      </c>
      <c r="AG297" s="20" t="inlineStr">
        <is>
          <t>None</t>
        </is>
      </c>
      <c r="AH297" s="17" t="n"/>
      <c r="AI297" s="16" t="n"/>
      <c r="AJ297" s="20" t="n"/>
      <c r="AK297" s="20" t="inlineStr">
        <is>
          <t>None</t>
        </is>
      </c>
      <c r="AL297" s="17" t="n"/>
      <c r="AM297" s="16" t="n"/>
      <c r="AN297" s="20" t="inlineStr">
        <is>
          <t>IC Anionen</t>
        </is>
      </c>
      <c r="AO297" s="20" t="inlineStr">
        <is>
          <t>None</t>
        </is>
      </c>
      <c r="AP297" s="17" t="n"/>
      <c r="AQ297" s="16" t="n"/>
      <c r="AR297" s="20" t="n"/>
      <c r="AS297" s="20" t="inlineStr">
        <is>
          <t>None</t>
        </is>
      </c>
      <c r="AT297" s="17" t="n"/>
      <c r="AU297" s="16" t="n"/>
      <c r="AV297" s="20" t="n"/>
      <c r="AW297" s="20" t="inlineStr">
        <is>
          <t>None</t>
        </is>
      </c>
      <c r="AX297" s="17" t="n"/>
      <c r="AY297" s="16" t="n"/>
      <c r="AZ297" s="20" t="inlineStr">
        <is>
          <t>IC Anionen</t>
        </is>
      </c>
      <c r="BA297" s="20" t="inlineStr">
        <is>
          <t>None</t>
        </is>
      </c>
      <c r="BB297" s="17" t="n"/>
      <c r="BC297" s="16" t="n"/>
      <c r="BD297" s="20" t="inlineStr">
        <is>
          <t>IC Kationen</t>
        </is>
      </c>
      <c r="BE297" s="20" t="inlineStr">
        <is>
          <t>None</t>
        </is>
      </c>
      <c r="BF297" s="17" t="n"/>
      <c r="BG297" s="16" t="n"/>
      <c r="BH297" s="20" t="inlineStr">
        <is>
          <t>IC Kationen</t>
        </is>
      </c>
      <c r="BI297" s="20" t="inlineStr">
        <is>
          <t>None</t>
        </is>
      </c>
      <c r="BJ297" s="17" t="n"/>
      <c r="BK297" s="16" t="n"/>
      <c r="BL297" s="20" t="inlineStr">
        <is>
          <t>IC Kationen</t>
        </is>
      </c>
      <c r="BM297" s="20" t="inlineStr">
        <is>
          <t>None</t>
        </is>
      </c>
      <c r="BN297" s="17" t="n"/>
      <c r="BO297" s="16" t="n"/>
      <c r="BP297" s="20" t="inlineStr">
        <is>
          <t>IC Kationen</t>
        </is>
      </c>
      <c r="BQ297" s="20" t="inlineStr">
        <is>
          <t>None</t>
        </is>
      </c>
      <c r="BR297" s="17" t="n"/>
      <c r="BS297" s="16" t="n"/>
      <c r="BT297" s="20" t="inlineStr">
        <is>
          <t>IC Kationen</t>
        </is>
      </c>
      <c r="BU297" s="20" t="inlineStr">
        <is>
          <t>None</t>
        </is>
      </c>
      <c r="BV297" s="17" t="n"/>
      <c r="BW297" s="16" t="n"/>
      <c r="BX297" s="20" t="n"/>
      <c r="BY297" s="20" t="inlineStr">
        <is>
          <t>None</t>
        </is>
      </c>
      <c r="BZ297" s="17" t="n"/>
      <c r="CA297" s="16" t="n"/>
      <c r="CB297" s="20" t="n"/>
      <c r="CC297" s="20" t="inlineStr">
        <is>
          <t>None</t>
        </is>
      </c>
      <c r="CD297" s="17" t="n"/>
      <c r="CE297" s="16" t="n"/>
      <c r="CF297" s="20" t="n"/>
      <c r="CG297" s="20" t="inlineStr">
        <is>
          <t>None</t>
        </is>
      </c>
      <c r="CH297" s="17" t="n"/>
      <c r="CI297" s="16" t="n"/>
      <c r="CJ297" s="20" t="n"/>
      <c r="CK297" s="20" t="inlineStr">
        <is>
          <t>None</t>
        </is>
      </c>
      <c r="CL297" s="17" t="n"/>
      <c r="CM297" s="16" t="n"/>
      <c r="CN297" s="20" t="inlineStr">
        <is>
          <t>SOP 45-34</t>
        </is>
      </c>
      <c r="CO297" s="20" t="inlineStr">
        <is>
          <t>None</t>
        </is>
      </c>
      <c r="CP297" s="17" t="n"/>
      <c r="CQ297" s="16" t="n"/>
      <c r="CR297" s="20" t="n"/>
      <c r="CS297" s="20" t="inlineStr">
        <is>
          <t>None</t>
        </is>
      </c>
      <c r="CT297" s="17" t="n"/>
      <c r="CU297" s="16" t="n"/>
      <c r="CV297" s="20" t="n"/>
      <c r="CW297" s="20" t="inlineStr">
        <is>
          <t>None</t>
        </is>
      </c>
      <c r="CX297" s="17" t="n"/>
      <c r="CY297" s="16" t="n"/>
      <c r="CZ297" s="20" t="inlineStr">
        <is>
          <t>WTW Multimeter 3430 with FDO 925</t>
        </is>
      </c>
      <c r="DA297" s="20" t="inlineStr">
        <is>
          <t>None</t>
        </is>
      </c>
      <c r="DB297" s="17" t="n"/>
      <c r="DC297" s="16" t="n"/>
      <c r="DD297" s="20" t="n"/>
      <c r="DE297" s="20" t="inlineStr">
        <is>
          <t>None</t>
        </is>
      </c>
      <c r="DF297" s="17" t="n"/>
      <c r="DG297" s="16" t="n"/>
      <c r="DH297" s="20" t="inlineStr">
        <is>
          <t>SOP 45-09</t>
        </is>
      </c>
      <c r="DI297" s="20" t="inlineStr">
        <is>
          <t>None</t>
        </is>
      </c>
      <c r="DJ297" s="17" t="n"/>
      <c r="DK297" s="16" t="n"/>
      <c r="DL297" s="20" t="inlineStr">
        <is>
          <t>SOP 45-09 (SOP muss noch angepasst werden für VSS)</t>
        </is>
      </c>
      <c r="DM297" s="20" t="inlineStr">
        <is>
          <t>None</t>
        </is>
      </c>
      <c r="DN297" s="17" t="n"/>
      <c r="DO297" s="16" t="n"/>
      <c r="DP297" s="20" t="inlineStr">
        <is>
          <t>IC Organic Acids</t>
        </is>
      </c>
      <c r="DQ297" s="20" t="inlineStr">
        <is>
          <t>None</t>
        </is>
      </c>
      <c r="DR297" s="17" t="n"/>
      <c r="DS297" s="16" t="n"/>
      <c r="DT297" s="20" t="inlineStr">
        <is>
          <t>IC Organic Acids</t>
        </is>
      </c>
      <c r="DU297" s="20" t="inlineStr">
        <is>
          <t>None</t>
        </is>
      </c>
      <c r="DV297" s="17" t="n"/>
      <c r="DW297" s="16" t="n"/>
      <c r="DX297" s="20" t="inlineStr">
        <is>
          <t>IC Organic Acids</t>
        </is>
      </c>
      <c r="DY297" s="20" t="inlineStr">
        <is>
          <t>None</t>
        </is>
      </c>
      <c r="DZ297" s="17" t="n"/>
      <c r="EA297" s="16" t="n"/>
      <c r="EB297" s="20" t="inlineStr">
        <is>
          <t>IC Organic Acids</t>
        </is>
      </c>
      <c r="EC297" s="20" t="inlineStr">
        <is>
          <t>None</t>
        </is>
      </c>
      <c r="ED297" s="17" t="n"/>
      <c r="EE297" s="16" t="n"/>
      <c r="EF297" s="20" t="inlineStr">
        <is>
          <t>IC Organic Acids</t>
        </is>
      </c>
      <c r="EG297" s="20" t="inlineStr">
        <is>
          <t>None</t>
        </is>
      </c>
      <c r="EH297" s="17" t="n"/>
      <c r="EI297" s="16" t="n"/>
      <c r="EJ297" s="20" t="inlineStr">
        <is>
          <t>IC Organic Acids</t>
        </is>
      </c>
      <c r="EK297" s="20" t="inlineStr">
        <is>
          <t>None</t>
        </is>
      </c>
      <c r="EL297" s="17" t="n"/>
      <c r="EM297" s="16" t="n"/>
      <c r="EN297" s="20" t="inlineStr">
        <is>
          <t>IC Organic Acids</t>
        </is>
      </c>
      <c r="EO297" s="20" t="inlineStr">
        <is>
          <t>None</t>
        </is>
      </c>
      <c r="EP297" s="17" t="n"/>
      <c r="EQ297" s="16" t="n"/>
      <c r="ER297" s="20" t="inlineStr">
        <is>
          <t>IC Organic Acids</t>
        </is>
      </c>
      <c r="ES297" s="20" t="inlineStr">
        <is>
          <t>None</t>
        </is>
      </c>
      <c r="ET297" s="17" t="n"/>
      <c r="EU297" s="16" t="n"/>
      <c r="EV297" s="20" t="inlineStr">
        <is>
          <t>LC-MS</t>
        </is>
      </c>
      <c r="EW297" s="20" t="inlineStr">
        <is>
          <t>None</t>
        </is>
      </c>
      <c r="EX297" s="17" t="n"/>
      <c r="EY297" s="21" t="n"/>
      <c r="EZ297">
        <f>CONCATENATE(A297,B297)</f>
        <v/>
      </c>
      <c r="FA297">
        <f>CONCATENATE(SamplesX!A297,SamplesX!B297)</f>
        <v/>
      </c>
      <c r="FC297">
        <f>MATCH(EZ297,FA1:FA1008,0)</f>
        <v/>
      </c>
    </row>
    <row r="298">
      <c r="A298" s="16" t="inlineStr">
        <is>
          <t>BP</t>
        </is>
      </c>
      <c r="B298" s="17" t="inlineStr">
        <is>
          <t>25290</t>
        </is>
      </c>
      <c r="C298" s="10">
        <f>IF(ISNUMBER(FC298),INDIRECT("SamplesX!C"&amp;FC298),IF(ISNUMBER(FD298),INDIRECT("SamplesY!C"&amp;FD298),""))</f>
        <v/>
      </c>
      <c r="D298" s="12">
        <f>IF(ISNUMBER(FC298),INDIRECT("SamplesX!D"&amp;FC298),IF(ISNUMBER(FD298),INDIRECT("SamplesY!D"&amp;FD298),""))</f>
        <v/>
      </c>
      <c r="E298" s="12">
        <f>IF(ISNUMBER(FC298),INDIRECT("SamplesX!E"&amp;FC298),IF(ISNUMBER(FD298),INDIRECT("SamplesY!E"&amp;FD298),""))</f>
        <v/>
      </c>
      <c r="F298" s="11">
        <f>IF(ISNUMBER(FC298),INDIRECT("SamplesX!F"&amp;FC298),IF(ISNUMBER(FD298),INDIRECT("SamplesY!F"&amp;FD298),""))</f>
        <v/>
      </c>
      <c r="G298" s="18">
        <f>IF(ISNUMBER(FC298),INDIRECT("SamplesX!G"&amp;FC298),IF(ISNUMBER(FD298),INDIRECT("SamplesY!G"&amp;FD298),""))</f>
        <v/>
      </c>
      <c r="H298" s="19">
        <f>IF(ISNUMBER(FC298),INDIRECT("SamplesX!H"&amp;FC298),IF(ISNUMBER(FD298),INDIRECT("SamplesY!H"&amp;FD298),""))</f>
        <v/>
      </c>
      <c r="I298" s="16" t="n"/>
      <c r="J298" s="16" t="n"/>
      <c r="K298" s="16" t="n"/>
      <c r="L298" s="20" t="n"/>
      <c r="M298" s="20" t="inlineStr">
        <is>
          <t>None</t>
        </is>
      </c>
      <c r="N298" s="17" t="n"/>
      <c r="O298" s="16" t="n"/>
      <c r="P298" s="20" t="inlineStr">
        <is>
          <t>Shimadzu TOC-L</t>
        </is>
      </c>
      <c r="Q298" s="20" t="inlineStr">
        <is>
          <t>None</t>
        </is>
      </c>
      <c r="R298" s="17" t="n"/>
      <c r="S298" s="16" t="n"/>
      <c r="T298" s="20" t="inlineStr">
        <is>
          <t>Shimadzu TOC-L</t>
        </is>
      </c>
      <c r="U298" s="20" t="inlineStr">
        <is>
          <t>None</t>
        </is>
      </c>
      <c r="V298" s="17" t="n"/>
      <c r="W298" s="16" t="n"/>
      <c r="X298" s="20" t="n"/>
      <c r="Y298" s="20" t="inlineStr">
        <is>
          <t>None</t>
        </is>
      </c>
      <c r="Z298" s="17" t="n"/>
      <c r="AA298" s="16" t="n"/>
      <c r="AB298" s="20" t="n"/>
      <c r="AC298" s="20" t="inlineStr">
        <is>
          <t>None</t>
        </is>
      </c>
      <c r="AD298" s="17" t="n"/>
      <c r="AE298" s="16" t="n"/>
      <c r="AF298" s="20" t="inlineStr">
        <is>
          <t>IC Anionen</t>
        </is>
      </c>
      <c r="AG298" s="20" t="inlineStr">
        <is>
          <t>None</t>
        </is>
      </c>
      <c r="AH298" s="17" t="n"/>
      <c r="AI298" s="16" t="n"/>
      <c r="AJ298" s="20" t="n"/>
      <c r="AK298" s="20" t="inlineStr">
        <is>
          <t>None</t>
        </is>
      </c>
      <c r="AL298" s="17" t="n"/>
      <c r="AM298" s="16" t="n"/>
      <c r="AN298" s="20" t="inlineStr">
        <is>
          <t>IC Anionen</t>
        </is>
      </c>
      <c r="AO298" s="20" t="inlineStr">
        <is>
          <t>None</t>
        </is>
      </c>
      <c r="AP298" s="17" t="n"/>
      <c r="AQ298" s="16" t="n"/>
      <c r="AR298" s="20" t="n"/>
      <c r="AS298" s="20" t="inlineStr">
        <is>
          <t>None</t>
        </is>
      </c>
      <c r="AT298" s="17" t="n"/>
      <c r="AU298" s="16" t="n"/>
      <c r="AV298" s="20" t="n"/>
      <c r="AW298" s="20" t="inlineStr">
        <is>
          <t>None</t>
        </is>
      </c>
      <c r="AX298" s="17" t="n"/>
      <c r="AY298" s="16" t="n"/>
      <c r="AZ298" s="20" t="inlineStr">
        <is>
          <t>IC Anionen</t>
        </is>
      </c>
      <c r="BA298" s="20" t="inlineStr">
        <is>
          <t>None</t>
        </is>
      </c>
      <c r="BB298" s="17" t="n"/>
      <c r="BC298" s="16" t="n"/>
      <c r="BD298" s="20" t="inlineStr">
        <is>
          <t>IC Kationen</t>
        </is>
      </c>
      <c r="BE298" s="20" t="inlineStr">
        <is>
          <t>None</t>
        </is>
      </c>
      <c r="BF298" s="17" t="n"/>
      <c r="BG298" s="16" t="n"/>
      <c r="BH298" s="20" t="inlineStr">
        <is>
          <t>IC Kationen</t>
        </is>
      </c>
      <c r="BI298" s="20" t="inlineStr">
        <is>
          <t>None</t>
        </is>
      </c>
      <c r="BJ298" s="17" t="n"/>
      <c r="BK298" s="16" t="n"/>
      <c r="BL298" s="20" t="inlineStr">
        <is>
          <t>IC Kationen</t>
        </is>
      </c>
      <c r="BM298" s="20" t="inlineStr">
        <is>
          <t>None</t>
        </is>
      </c>
      <c r="BN298" s="17" t="n"/>
      <c r="BO298" s="16" t="n"/>
      <c r="BP298" s="20" t="inlineStr">
        <is>
          <t>IC Kationen</t>
        </is>
      </c>
      <c r="BQ298" s="20" t="inlineStr">
        <is>
          <t>None</t>
        </is>
      </c>
      <c r="BR298" s="17" t="n"/>
      <c r="BS298" s="16" t="n"/>
      <c r="BT298" s="20" t="inlineStr">
        <is>
          <t>IC Kationen</t>
        </is>
      </c>
      <c r="BU298" s="20" t="inlineStr">
        <is>
          <t>None</t>
        </is>
      </c>
      <c r="BV298" s="17" t="n"/>
      <c r="BW298" s="16" t="n"/>
      <c r="BX298" s="20" t="n"/>
      <c r="BY298" s="20" t="inlineStr">
        <is>
          <t>None</t>
        </is>
      </c>
      <c r="BZ298" s="17" t="n"/>
      <c r="CA298" s="16" t="n"/>
      <c r="CB298" s="20" t="n"/>
      <c r="CC298" s="20" t="inlineStr">
        <is>
          <t>None</t>
        </is>
      </c>
      <c r="CD298" s="17" t="n"/>
      <c r="CE298" s="16" t="n"/>
      <c r="CF298" s="20" t="n"/>
      <c r="CG298" s="20" t="inlineStr">
        <is>
          <t>None</t>
        </is>
      </c>
      <c r="CH298" s="17" t="n"/>
      <c r="CI298" s="16" t="n"/>
      <c r="CJ298" s="20" t="n"/>
      <c r="CK298" s="20" t="inlineStr">
        <is>
          <t>None</t>
        </is>
      </c>
      <c r="CL298" s="17" t="n"/>
      <c r="CM298" s="16" t="n"/>
      <c r="CN298" s="20" t="inlineStr">
        <is>
          <t>SOP 45-34</t>
        </is>
      </c>
      <c r="CO298" s="20" t="inlineStr">
        <is>
          <t>None</t>
        </is>
      </c>
      <c r="CP298" s="17" t="n"/>
      <c r="CQ298" s="16" t="n"/>
      <c r="CR298" s="20" t="n"/>
      <c r="CS298" s="20" t="inlineStr">
        <is>
          <t>None</t>
        </is>
      </c>
      <c r="CT298" s="17" t="n"/>
      <c r="CU298" s="16" t="n"/>
      <c r="CV298" s="20" t="n"/>
      <c r="CW298" s="20" t="inlineStr">
        <is>
          <t>None</t>
        </is>
      </c>
      <c r="CX298" s="17" t="n"/>
      <c r="CY298" s="16" t="n"/>
      <c r="CZ298" s="20" t="inlineStr">
        <is>
          <t>WTW Multimeter 3430 with FDO 925</t>
        </is>
      </c>
      <c r="DA298" s="20" t="inlineStr">
        <is>
          <t>None</t>
        </is>
      </c>
      <c r="DB298" s="17" t="n"/>
      <c r="DC298" s="16" t="n"/>
      <c r="DD298" s="20" t="n"/>
      <c r="DE298" s="20" t="inlineStr">
        <is>
          <t>None</t>
        </is>
      </c>
      <c r="DF298" s="17" t="n"/>
      <c r="DG298" s="16" t="n"/>
      <c r="DH298" s="20" t="inlineStr">
        <is>
          <t>SOP 45-09</t>
        </is>
      </c>
      <c r="DI298" s="20" t="inlineStr">
        <is>
          <t>None</t>
        </is>
      </c>
      <c r="DJ298" s="17" t="n"/>
      <c r="DK298" s="16" t="n"/>
      <c r="DL298" s="20" t="inlineStr">
        <is>
          <t>SOP 45-09 (SOP muss noch angepasst werden für VSS)</t>
        </is>
      </c>
      <c r="DM298" s="20" t="inlineStr">
        <is>
          <t>None</t>
        </is>
      </c>
      <c r="DN298" s="17" t="n"/>
      <c r="DO298" s="16" t="n"/>
      <c r="DP298" s="20" t="inlineStr">
        <is>
          <t>IC Organic Acids</t>
        </is>
      </c>
      <c r="DQ298" s="20" t="inlineStr">
        <is>
          <t>None</t>
        </is>
      </c>
      <c r="DR298" s="17" t="n"/>
      <c r="DS298" s="16" t="n"/>
      <c r="DT298" s="20" t="inlineStr">
        <is>
          <t>IC Organic Acids</t>
        </is>
      </c>
      <c r="DU298" s="20" t="inlineStr">
        <is>
          <t>None</t>
        </is>
      </c>
      <c r="DV298" s="17" t="n"/>
      <c r="DW298" s="16" t="n"/>
      <c r="DX298" s="20" t="inlineStr">
        <is>
          <t>IC Organic Acids</t>
        </is>
      </c>
      <c r="DY298" s="20" t="inlineStr">
        <is>
          <t>None</t>
        </is>
      </c>
      <c r="DZ298" s="17" t="n"/>
      <c r="EA298" s="16" t="n"/>
      <c r="EB298" s="20" t="inlineStr">
        <is>
          <t>IC Organic Acids</t>
        </is>
      </c>
      <c r="EC298" s="20" t="inlineStr">
        <is>
          <t>None</t>
        </is>
      </c>
      <c r="ED298" s="17" t="n"/>
      <c r="EE298" s="16" t="n"/>
      <c r="EF298" s="20" t="inlineStr">
        <is>
          <t>IC Organic Acids</t>
        </is>
      </c>
      <c r="EG298" s="20" t="inlineStr">
        <is>
          <t>None</t>
        </is>
      </c>
      <c r="EH298" s="17" t="n"/>
      <c r="EI298" s="16" t="n"/>
      <c r="EJ298" s="20" t="inlineStr">
        <is>
          <t>IC Organic Acids</t>
        </is>
      </c>
      <c r="EK298" s="20" t="inlineStr">
        <is>
          <t>None</t>
        </is>
      </c>
      <c r="EL298" s="17" t="n"/>
      <c r="EM298" s="16" t="n"/>
      <c r="EN298" s="20" t="inlineStr">
        <is>
          <t>IC Organic Acids</t>
        </is>
      </c>
      <c r="EO298" s="20" t="inlineStr">
        <is>
          <t>None</t>
        </is>
      </c>
      <c r="EP298" s="17" t="n"/>
      <c r="EQ298" s="16" t="n"/>
      <c r="ER298" s="20" t="inlineStr">
        <is>
          <t>IC Organic Acids</t>
        </is>
      </c>
      <c r="ES298" s="20" t="inlineStr">
        <is>
          <t>None</t>
        </is>
      </c>
      <c r="ET298" s="17" t="n"/>
      <c r="EU298" s="16" t="n"/>
      <c r="EV298" s="20" t="inlineStr">
        <is>
          <t>LC-MS</t>
        </is>
      </c>
      <c r="EW298" s="20" t="inlineStr">
        <is>
          <t>None</t>
        </is>
      </c>
      <c r="EX298" s="17" t="n"/>
      <c r="EY298" s="21" t="n"/>
      <c r="EZ298">
        <f>CONCATENATE(A298,B298)</f>
        <v/>
      </c>
      <c r="FA298">
        <f>CONCATENATE(SamplesX!A298,SamplesX!B298)</f>
        <v/>
      </c>
      <c r="FC298">
        <f>MATCH(EZ298,FA1:FA1008,0)</f>
        <v/>
      </c>
    </row>
    <row r="299">
      <c r="A299" s="16" t="inlineStr">
        <is>
          <t>BP</t>
        </is>
      </c>
      <c r="B299" s="17" t="inlineStr">
        <is>
          <t>25291</t>
        </is>
      </c>
      <c r="C299" s="10">
        <f>IF(ISNUMBER(FC299),INDIRECT("SamplesX!C"&amp;FC299),IF(ISNUMBER(FD299),INDIRECT("SamplesY!C"&amp;FD299),""))</f>
        <v/>
      </c>
      <c r="D299" s="12">
        <f>IF(ISNUMBER(FC299),INDIRECT("SamplesX!D"&amp;FC299),IF(ISNUMBER(FD299),INDIRECT("SamplesY!D"&amp;FD299),""))</f>
        <v/>
      </c>
      <c r="E299" s="12">
        <f>IF(ISNUMBER(FC299),INDIRECT("SamplesX!E"&amp;FC299),IF(ISNUMBER(FD299),INDIRECT("SamplesY!E"&amp;FD299),""))</f>
        <v/>
      </c>
      <c r="F299" s="11">
        <f>IF(ISNUMBER(FC299),INDIRECT("SamplesX!F"&amp;FC299),IF(ISNUMBER(FD299),INDIRECT("SamplesY!F"&amp;FD299),""))</f>
        <v/>
      </c>
      <c r="G299" s="18">
        <f>IF(ISNUMBER(FC299),INDIRECT("SamplesX!G"&amp;FC299),IF(ISNUMBER(FD299),INDIRECT("SamplesY!G"&amp;FD299),""))</f>
        <v/>
      </c>
      <c r="H299" s="19">
        <f>IF(ISNUMBER(FC299),INDIRECT("SamplesX!H"&amp;FC299),IF(ISNUMBER(FD299),INDIRECT("SamplesY!H"&amp;FD299),""))</f>
        <v/>
      </c>
      <c r="I299" s="16" t="n"/>
      <c r="J299" s="16" t="n"/>
      <c r="K299" s="16" t="n"/>
      <c r="L299" s="20" t="n"/>
      <c r="M299" s="20" t="inlineStr">
        <is>
          <t>None</t>
        </is>
      </c>
      <c r="N299" s="17" t="n"/>
      <c r="O299" s="16" t="n"/>
      <c r="P299" s="20" t="inlineStr">
        <is>
          <t>Shimadzu TOC-L</t>
        </is>
      </c>
      <c r="Q299" s="20" t="inlineStr">
        <is>
          <t>None</t>
        </is>
      </c>
      <c r="R299" s="17" t="n"/>
      <c r="S299" s="16" t="n"/>
      <c r="T299" s="20" t="inlineStr">
        <is>
          <t>Shimadzu TOC-L</t>
        </is>
      </c>
      <c r="U299" s="20" t="inlineStr">
        <is>
          <t>None</t>
        </is>
      </c>
      <c r="V299" s="17" t="n"/>
      <c r="W299" s="16" t="n"/>
      <c r="X299" s="20" t="n"/>
      <c r="Y299" s="20" t="inlineStr">
        <is>
          <t>None</t>
        </is>
      </c>
      <c r="Z299" s="17" t="n"/>
      <c r="AA299" s="16" t="n"/>
      <c r="AB299" s="20" t="n"/>
      <c r="AC299" s="20" t="inlineStr">
        <is>
          <t>None</t>
        </is>
      </c>
      <c r="AD299" s="17" t="n"/>
      <c r="AE299" s="16" t="n"/>
      <c r="AF299" s="20" t="inlineStr">
        <is>
          <t>IC Anionen</t>
        </is>
      </c>
      <c r="AG299" s="20" t="inlineStr">
        <is>
          <t>None</t>
        </is>
      </c>
      <c r="AH299" s="17" t="n"/>
      <c r="AI299" s="16" t="n"/>
      <c r="AJ299" s="20" t="n"/>
      <c r="AK299" s="20" t="inlineStr">
        <is>
          <t>None</t>
        </is>
      </c>
      <c r="AL299" s="17" t="n"/>
      <c r="AM299" s="16" t="n"/>
      <c r="AN299" s="20" t="inlineStr">
        <is>
          <t>IC Anionen</t>
        </is>
      </c>
      <c r="AO299" s="20" t="inlineStr">
        <is>
          <t>None</t>
        </is>
      </c>
      <c r="AP299" s="17" t="n"/>
      <c r="AQ299" s="16" t="n"/>
      <c r="AR299" s="20" t="n"/>
      <c r="AS299" s="20" t="inlineStr">
        <is>
          <t>None</t>
        </is>
      </c>
      <c r="AT299" s="17" t="n"/>
      <c r="AU299" s="16" t="n"/>
      <c r="AV299" s="20" t="n"/>
      <c r="AW299" s="20" t="inlineStr">
        <is>
          <t>None</t>
        </is>
      </c>
      <c r="AX299" s="17" t="n"/>
      <c r="AY299" s="16" t="n"/>
      <c r="AZ299" s="20" t="inlineStr">
        <is>
          <t>IC Anionen</t>
        </is>
      </c>
      <c r="BA299" s="20" t="inlineStr">
        <is>
          <t>None</t>
        </is>
      </c>
      <c r="BB299" s="17" t="n"/>
      <c r="BC299" s="16" t="n"/>
      <c r="BD299" s="20" t="inlineStr">
        <is>
          <t>IC Kationen</t>
        </is>
      </c>
      <c r="BE299" s="20" t="inlineStr">
        <is>
          <t>None</t>
        </is>
      </c>
      <c r="BF299" s="17" t="n"/>
      <c r="BG299" s="16" t="n"/>
      <c r="BH299" s="20" t="inlineStr">
        <is>
          <t>IC Kationen</t>
        </is>
      </c>
      <c r="BI299" s="20" t="inlineStr">
        <is>
          <t>None</t>
        </is>
      </c>
      <c r="BJ299" s="17" t="n"/>
      <c r="BK299" s="16" t="n"/>
      <c r="BL299" s="20" t="inlineStr">
        <is>
          <t>IC Kationen</t>
        </is>
      </c>
      <c r="BM299" s="20" t="inlineStr">
        <is>
          <t>None</t>
        </is>
      </c>
      <c r="BN299" s="17" t="n"/>
      <c r="BO299" s="16" t="n"/>
      <c r="BP299" s="20" t="inlineStr">
        <is>
          <t>IC Kationen</t>
        </is>
      </c>
      <c r="BQ299" s="20" t="inlineStr">
        <is>
          <t>None</t>
        </is>
      </c>
      <c r="BR299" s="17" t="n"/>
      <c r="BS299" s="16" t="n"/>
      <c r="BT299" s="20" t="inlineStr">
        <is>
          <t>IC Kationen</t>
        </is>
      </c>
      <c r="BU299" s="20" t="inlineStr">
        <is>
          <t>None</t>
        </is>
      </c>
      <c r="BV299" s="17" t="n"/>
      <c r="BW299" s="16" t="n"/>
      <c r="BX299" s="20" t="n"/>
      <c r="BY299" s="20" t="inlineStr">
        <is>
          <t>None</t>
        </is>
      </c>
      <c r="BZ299" s="17" t="n"/>
      <c r="CA299" s="16" t="n"/>
      <c r="CB299" s="20" t="n"/>
      <c r="CC299" s="20" t="inlineStr">
        <is>
          <t>None</t>
        </is>
      </c>
      <c r="CD299" s="17" t="n"/>
      <c r="CE299" s="16" t="n"/>
      <c r="CF299" s="20" t="n"/>
      <c r="CG299" s="20" t="inlineStr">
        <is>
          <t>None</t>
        </is>
      </c>
      <c r="CH299" s="17" t="n"/>
      <c r="CI299" s="16" t="n"/>
      <c r="CJ299" s="20" t="n"/>
      <c r="CK299" s="20" t="inlineStr">
        <is>
          <t>None</t>
        </is>
      </c>
      <c r="CL299" s="17" t="n"/>
      <c r="CM299" s="16" t="n"/>
      <c r="CN299" s="20" t="inlineStr">
        <is>
          <t>SOP 45-34</t>
        </is>
      </c>
      <c r="CO299" s="20" t="inlineStr">
        <is>
          <t>None</t>
        </is>
      </c>
      <c r="CP299" s="17" t="n"/>
      <c r="CQ299" s="16" t="n"/>
      <c r="CR299" s="20" t="n"/>
      <c r="CS299" s="20" t="inlineStr">
        <is>
          <t>None</t>
        </is>
      </c>
      <c r="CT299" s="17" t="n"/>
      <c r="CU299" s="16" t="n"/>
      <c r="CV299" s="20" t="n"/>
      <c r="CW299" s="20" t="inlineStr">
        <is>
          <t>None</t>
        </is>
      </c>
      <c r="CX299" s="17" t="n"/>
      <c r="CY299" s="16" t="n"/>
      <c r="CZ299" s="20" t="inlineStr">
        <is>
          <t>WTW Multimeter 3430 with FDO 925</t>
        </is>
      </c>
      <c r="DA299" s="20" t="inlineStr">
        <is>
          <t>None</t>
        </is>
      </c>
      <c r="DB299" s="17" t="n"/>
      <c r="DC299" s="16" t="n"/>
      <c r="DD299" s="20" t="n"/>
      <c r="DE299" s="20" t="inlineStr">
        <is>
          <t>None</t>
        </is>
      </c>
      <c r="DF299" s="17" t="n"/>
      <c r="DG299" s="16" t="n"/>
      <c r="DH299" s="20" t="inlineStr">
        <is>
          <t>SOP 45-09</t>
        </is>
      </c>
      <c r="DI299" s="20" t="inlineStr">
        <is>
          <t>None</t>
        </is>
      </c>
      <c r="DJ299" s="17" t="n"/>
      <c r="DK299" s="16" t="n"/>
      <c r="DL299" s="20" t="inlineStr">
        <is>
          <t>SOP 45-09 (SOP muss noch angepasst werden für VSS)</t>
        </is>
      </c>
      <c r="DM299" s="20" t="inlineStr">
        <is>
          <t>None</t>
        </is>
      </c>
      <c r="DN299" s="17" t="n"/>
      <c r="DO299" s="16" t="n"/>
      <c r="DP299" s="20" t="inlineStr">
        <is>
          <t>IC Organic Acids</t>
        </is>
      </c>
      <c r="DQ299" s="20" t="inlineStr">
        <is>
          <t>None</t>
        </is>
      </c>
      <c r="DR299" s="17" t="n"/>
      <c r="DS299" s="16" t="n"/>
      <c r="DT299" s="20" t="inlineStr">
        <is>
          <t>IC Organic Acids</t>
        </is>
      </c>
      <c r="DU299" s="20" t="inlineStr">
        <is>
          <t>None</t>
        </is>
      </c>
      <c r="DV299" s="17" t="n"/>
      <c r="DW299" s="16" t="n"/>
      <c r="DX299" s="20" t="inlineStr">
        <is>
          <t>IC Organic Acids</t>
        </is>
      </c>
      <c r="DY299" s="20" t="inlineStr">
        <is>
          <t>None</t>
        </is>
      </c>
      <c r="DZ299" s="17" t="n"/>
      <c r="EA299" s="16" t="n"/>
      <c r="EB299" s="20" t="inlineStr">
        <is>
          <t>IC Organic Acids</t>
        </is>
      </c>
      <c r="EC299" s="20" t="inlineStr">
        <is>
          <t>None</t>
        </is>
      </c>
      <c r="ED299" s="17" t="n"/>
      <c r="EE299" s="16" t="n"/>
      <c r="EF299" s="20" t="inlineStr">
        <is>
          <t>IC Organic Acids</t>
        </is>
      </c>
      <c r="EG299" s="20" t="inlineStr">
        <is>
          <t>None</t>
        </is>
      </c>
      <c r="EH299" s="17" t="n"/>
      <c r="EI299" s="16" t="n"/>
      <c r="EJ299" s="20" t="inlineStr">
        <is>
          <t>IC Organic Acids</t>
        </is>
      </c>
      <c r="EK299" s="20" t="inlineStr">
        <is>
          <t>None</t>
        </is>
      </c>
      <c r="EL299" s="17" t="n"/>
      <c r="EM299" s="16" t="n"/>
      <c r="EN299" s="20" t="inlineStr">
        <is>
          <t>IC Organic Acids</t>
        </is>
      </c>
      <c r="EO299" s="20" t="inlineStr">
        <is>
          <t>None</t>
        </is>
      </c>
      <c r="EP299" s="17" t="n"/>
      <c r="EQ299" s="16" t="n"/>
      <c r="ER299" s="20" t="inlineStr">
        <is>
          <t>IC Organic Acids</t>
        </is>
      </c>
      <c r="ES299" s="20" t="inlineStr">
        <is>
          <t>None</t>
        </is>
      </c>
      <c r="ET299" s="17" t="n"/>
      <c r="EU299" s="16" t="n"/>
      <c r="EV299" s="20" t="inlineStr">
        <is>
          <t>LC-MS</t>
        </is>
      </c>
      <c r="EW299" s="20" t="inlineStr">
        <is>
          <t>None</t>
        </is>
      </c>
      <c r="EX299" s="17" t="n"/>
      <c r="EY299" s="21" t="n"/>
      <c r="EZ299">
        <f>CONCATENATE(A299,B299)</f>
        <v/>
      </c>
      <c r="FA299">
        <f>CONCATENATE(SamplesX!A299,SamplesX!B299)</f>
        <v/>
      </c>
      <c r="FC299">
        <f>MATCH(EZ299,FA1:FA1008,0)</f>
        <v/>
      </c>
    </row>
    <row r="300">
      <c r="A300" s="16" t="inlineStr">
        <is>
          <t>BP</t>
        </is>
      </c>
      <c r="B300" s="17" t="inlineStr">
        <is>
          <t>25292</t>
        </is>
      </c>
      <c r="C300" s="10">
        <f>IF(ISNUMBER(FC300),INDIRECT("SamplesX!C"&amp;FC300),IF(ISNUMBER(FD300),INDIRECT("SamplesY!C"&amp;FD300),""))</f>
        <v/>
      </c>
      <c r="D300" s="12">
        <f>IF(ISNUMBER(FC300),INDIRECT("SamplesX!D"&amp;FC300),IF(ISNUMBER(FD300),INDIRECT("SamplesY!D"&amp;FD300),""))</f>
        <v/>
      </c>
      <c r="E300" s="12">
        <f>IF(ISNUMBER(FC300),INDIRECT("SamplesX!E"&amp;FC300),IF(ISNUMBER(FD300),INDIRECT("SamplesY!E"&amp;FD300),""))</f>
        <v/>
      </c>
      <c r="F300" s="11">
        <f>IF(ISNUMBER(FC300),INDIRECT("SamplesX!F"&amp;FC300),IF(ISNUMBER(FD300),INDIRECT("SamplesY!F"&amp;FD300),""))</f>
        <v/>
      </c>
      <c r="G300" s="18">
        <f>IF(ISNUMBER(FC300),INDIRECT("SamplesX!G"&amp;FC300),IF(ISNUMBER(FD300),INDIRECT("SamplesY!G"&amp;FD300),""))</f>
        <v/>
      </c>
      <c r="H300" s="19">
        <f>IF(ISNUMBER(FC300),INDIRECT("SamplesX!H"&amp;FC300),IF(ISNUMBER(FD300),INDIRECT("SamplesY!H"&amp;FD300),""))</f>
        <v/>
      </c>
      <c r="I300" s="16" t="n"/>
      <c r="J300" s="16" t="n"/>
      <c r="K300" s="16" t="n"/>
      <c r="L300" s="20" t="n"/>
      <c r="M300" s="20" t="inlineStr">
        <is>
          <t>None</t>
        </is>
      </c>
      <c r="N300" s="17" t="n"/>
      <c r="O300" s="16" t="n"/>
      <c r="P300" s="20" t="inlineStr">
        <is>
          <t>Shimadzu TOC-L</t>
        </is>
      </c>
      <c r="Q300" s="20" t="inlineStr">
        <is>
          <t>None</t>
        </is>
      </c>
      <c r="R300" s="17" t="n"/>
      <c r="S300" s="16" t="n"/>
      <c r="T300" s="20" t="inlineStr">
        <is>
          <t>Shimadzu TOC-L</t>
        </is>
      </c>
      <c r="U300" s="20" t="inlineStr">
        <is>
          <t>None</t>
        </is>
      </c>
      <c r="V300" s="17" t="n"/>
      <c r="W300" s="16" t="n"/>
      <c r="X300" s="20" t="n"/>
      <c r="Y300" s="20" t="inlineStr">
        <is>
          <t>None</t>
        </is>
      </c>
      <c r="Z300" s="17" t="n"/>
      <c r="AA300" s="16" t="n"/>
      <c r="AB300" s="20" t="n"/>
      <c r="AC300" s="20" t="inlineStr">
        <is>
          <t>None</t>
        </is>
      </c>
      <c r="AD300" s="17" t="n"/>
      <c r="AE300" s="16" t="n"/>
      <c r="AF300" s="20" t="inlineStr">
        <is>
          <t>IC Anionen</t>
        </is>
      </c>
      <c r="AG300" s="20" t="inlineStr">
        <is>
          <t>None</t>
        </is>
      </c>
      <c r="AH300" s="17" t="n"/>
      <c r="AI300" s="16" t="n"/>
      <c r="AJ300" s="20" t="n"/>
      <c r="AK300" s="20" t="inlineStr">
        <is>
          <t>None</t>
        </is>
      </c>
      <c r="AL300" s="17" t="n"/>
      <c r="AM300" s="16" t="n"/>
      <c r="AN300" s="20" t="inlineStr">
        <is>
          <t>IC Anionen</t>
        </is>
      </c>
      <c r="AO300" s="20" t="inlineStr">
        <is>
          <t>None</t>
        </is>
      </c>
      <c r="AP300" s="17" t="n"/>
      <c r="AQ300" s="16" t="n"/>
      <c r="AR300" s="20" t="n"/>
      <c r="AS300" s="20" t="inlineStr">
        <is>
          <t>None</t>
        </is>
      </c>
      <c r="AT300" s="17" t="n"/>
      <c r="AU300" s="16" t="n"/>
      <c r="AV300" s="20" t="n"/>
      <c r="AW300" s="20" t="inlineStr">
        <is>
          <t>None</t>
        </is>
      </c>
      <c r="AX300" s="17" t="n"/>
      <c r="AY300" s="16" t="n"/>
      <c r="AZ300" s="20" t="inlineStr">
        <is>
          <t>IC Anionen</t>
        </is>
      </c>
      <c r="BA300" s="20" t="inlineStr">
        <is>
          <t>None</t>
        </is>
      </c>
      <c r="BB300" s="17" t="n"/>
      <c r="BC300" s="16" t="n"/>
      <c r="BD300" s="20" t="inlineStr">
        <is>
          <t>IC Kationen</t>
        </is>
      </c>
      <c r="BE300" s="20" t="inlineStr">
        <is>
          <t>None</t>
        </is>
      </c>
      <c r="BF300" s="17" t="n"/>
      <c r="BG300" s="16" t="n"/>
      <c r="BH300" s="20" t="inlineStr">
        <is>
          <t>IC Kationen</t>
        </is>
      </c>
      <c r="BI300" s="20" t="inlineStr">
        <is>
          <t>None</t>
        </is>
      </c>
      <c r="BJ300" s="17" t="n"/>
      <c r="BK300" s="16" t="n"/>
      <c r="BL300" s="20" t="inlineStr">
        <is>
          <t>IC Kationen</t>
        </is>
      </c>
      <c r="BM300" s="20" t="inlineStr">
        <is>
          <t>None</t>
        </is>
      </c>
      <c r="BN300" s="17" t="n"/>
      <c r="BO300" s="16" t="n"/>
      <c r="BP300" s="20" t="inlineStr">
        <is>
          <t>IC Kationen</t>
        </is>
      </c>
      <c r="BQ300" s="20" t="inlineStr">
        <is>
          <t>None</t>
        </is>
      </c>
      <c r="BR300" s="17" t="n"/>
      <c r="BS300" s="16" t="n"/>
      <c r="BT300" s="20" t="inlineStr">
        <is>
          <t>IC Kationen</t>
        </is>
      </c>
      <c r="BU300" s="20" t="inlineStr">
        <is>
          <t>None</t>
        </is>
      </c>
      <c r="BV300" s="17" t="n"/>
      <c r="BW300" s="16" t="n"/>
      <c r="BX300" s="20" t="n"/>
      <c r="BY300" s="20" t="inlineStr">
        <is>
          <t>None</t>
        </is>
      </c>
      <c r="BZ300" s="17" t="n"/>
      <c r="CA300" s="16" t="n"/>
      <c r="CB300" s="20" t="n"/>
      <c r="CC300" s="20" t="inlineStr">
        <is>
          <t>None</t>
        </is>
      </c>
      <c r="CD300" s="17" t="n"/>
      <c r="CE300" s="16" t="n"/>
      <c r="CF300" s="20" t="n"/>
      <c r="CG300" s="20" t="inlineStr">
        <is>
          <t>None</t>
        </is>
      </c>
      <c r="CH300" s="17" t="n"/>
      <c r="CI300" s="16" t="n"/>
      <c r="CJ300" s="20" t="n"/>
      <c r="CK300" s="20" t="inlineStr">
        <is>
          <t>None</t>
        </is>
      </c>
      <c r="CL300" s="17" t="n"/>
      <c r="CM300" s="16" t="n"/>
      <c r="CN300" s="20" t="inlineStr">
        <is>
          <t>SOP 45-34</t>
        </is>
      </c>
      <c r="CO300" s="20" t="inlineStr">
        <is>
          <t>None</t>
        </is>
      </c>
      <c r="CP300" s="17" t="n"/>
      <c r="CQ300" s="16" t="n"/>
      <c r="CR300" s="20" t="n"/>
      <c r="CS300" s="20" t="inlineStr">
        <is>
          <t>None</t>
        </is>
      </c>
      <c r="CT300" s="17" t="n"/>
      <c r="CU300" s="16" t="n"/>
      <c r="CV300" s="20" t="n"/>
      <c r="CW300" s="20" t="inlineStr">
        <is>
          <t>None</t>
        </is>
      </c>
      <c r="CX300" s="17" t="n"/>
      <c r="CY300" s="16" t="n"/>
      <c r="CZ300" s="20" t="inlineStr">
        <is>
          <t>WTW Multimeter 3430 with FDO 925</t>
        </is>
      </c>
      <c r="DA300" s="20" t="inlineStr">
        <is>
          <t>None</t>
        </is>
      </c>
      <c r="DB300" s="17" t="n"/>
      <c r="DC300" s="16" t="n"/>
      <c r="DD300" s="20" t="n"/>
      <c r="DE300" s="20" t="inlineStr">
        <is>
          <t>None</t>
        </is>
      </c>
      <c r="DF300" s="17" t="n"/>
      <c r="DG300" s="16" t="n"/>
      <c r="DH300" s="20" t="inlineStr">
        <is>
          <t>SOP 45-09</t>
        </is>
      </c>
      <c r="DI300" s="20" t="inlineStr">
        <is>
          <t>None</t>
        </is>
      </c>
      <c r="DJ300" s="17" t="n"/>
      <c r="DK300" s="16" t="n"/>
      <c r="DL300" s="20" t="inlineStr">
        <is>
          <t>SOP 45-09 (SOP muss noch angepasst werden für VSS)</t>
        </is>
      </c>
      <c r="DM300" s="20" t="inlineStr">
        <is>
          <t>None</t>
        </is>
      </c>
      <c r="DN300" s="17" t="n"/>
      <c r="DO300" s="16" t="n"/>
      <c r="DP300" s="20" t="inlineStr">
        <is>
          <t>IC Organic Acids</t>
        </is>
      </c>
      <c r="DQ300" s="20" t="inlineStr">
        <is>
          <t>None</t>
        </is>
      </c>
      <c r="DR300" s="17" t="n"/>
      <c r="DS300" s="16" t="n"/>
      <c r="DT300" s="20" t="inlineStr">
        <is>
          <t>IC Organic Acids</t>
        </is>
      </c>
      <c r="DU300" s="20" t="inlineStr">
        <is>
          <t>None</t>
        </is>
      </c>
      <c r="DV300" s="17" t="n"/>
      <c r="DW300" s="16" t="n"/>
      <c r="DX300" s="20" t="inlineStr">
        <is>
          <t>IC Organic Acids</t>
        </is>
      </c>
      <c r="DY300" s="20" t="inlineStr">
        <is>
          <t>None</t>
        </is>
      </c>
      <c r="DZ300" s="17" t="n"/>
      <c r="EA300" s="16" t="n"/>
      <c r="EB300" s="20" t="inlineStr">
        <is>
          <t>IC Organic Acids</t>
        </is>
      </c>
      <c r="EC300" s="20" t="inlineStr">
        <is>
          <t>None</t>
        </is>
      </c>
      <c r="ED300" s="17" t="n"/>
      <c r="EE300" s="16" t="n"/>
      <c r="EF300" s="20" t="inlineStr">
        <is>
          <t>IC Organic Acids</t>
        </is>
      </c>
      <c r="EG300" s="20" t="inlineStr">
        <is>
          <t>None</t>
        </is>
      </c>
      <c r="EH300" s="17" t="n"/>
      <c r="EI300" s="16" t="n"/>
      <c r="EJ300" s="20" t="inlineStr">
        <is>
          <t>IC Organic Acids</t>
        </is>
      </c>
      <c r="EK300" s="20" t="inlineStr">
        <is>
          <t>None</t>
        </is>
      </c>
      <c r="EL300" s="17" t="n"/>
      <c r="EM300" s="16" t="n"/>
      <c r="EN300" s="20" t="inlineStr">
        <is>
          <t>IC Organic Acids</t>
        </is>
      </c>
      <c r="EO300" s="20" t="inlineStr">
        <is>
          <t>None</t>
        </is>
      </c>
      <c r="EP300" s="17" t="n"/>
      <c r="EQ300" s="16" t="n"/>
      <c r="ER300" s="20" t="inlineStr">
        <is>
          <t>IC Organic Acids</t>
        </is>
      </c>
      <c r="ES300" s="20" t="inlineStr">
        <is>
          <t>None</t>
        </is>
      </c>
      <c r="ET300" s="17" t="n"/>
      <c r="EU300" s="16" t="n"/>
      <c r="EV300" s="20" t="inlineStr">
        <is>
          <t>LC-MS</t>
        </is>
      </c>
      <c r="EW300" s="20" t="inlineStr">
        <is>
          <t>None</t>
        </is>
      </c>
      <c r="EX300" s="17" t="n"/>
      <c r="EY300" s="21" t="n"/>
      <c r="EZ300">
        <f>CONCATENATE(A300,B300)</f>
        <v/>
      </c>
      <c r="FA300">
        <f>CONCATENATE(SamplesX!A300,SamplesX!B300)</f>
        <v/>
      </c>
      <c r="FC300">
        <f>MATCH(EZ300,FA1:FA1008,0)</f>
        <v/>
      </c>
    </row>
    <row r="301">
      <c r="A301" s="16" t="inlineStr">
        <is>
          <t>BP</t>
        </is>
      </c>
      <c r="B301" s="17" t="inlineStr">
        <is>
          <t>25293</t>
        </is>
      </c>
      <c r="C301" s="10">
        <f>IF(ISNUMBER(FC301),INDIRECT("SamplesX!C"&amp;FC301),IF(ISNUMBER(FD301),INDIRECT("SamplesY!C"&amp;FD301),""))</f>
        <v/>
      </c>
      <c r="D301" s="12">
        <f>IF(ISNUMBER(FC301),INDIRECT("SamplesX!D"&amp;FC301),IF(ISNUMBER(FD301),INDIRECT("SamplesY!D"&amp;FD301),""))</f>
        <v/>
      </c>
      <c r="E301" s="12">
        <f>IF(ISNUMBER(FC301),INDIRECT("SamplesX!E"&amp;FC301),IF(ISNUMBER(FD301),INDIRECT("SamplesY!E"&amp;FD301),""))</f>
        <v/>
      </c>
      <c r="F301" s="11">
        <f>IF(ISNUMBER(FC301),INDIRECT("SamplesX!F"&amp;FC301),IF(ISNUMBER(FD301),INDIRECT("SamplesY!F"&amp;FD301),""))</f>
        <v/>
      </c>
      <c r="G301" s="18">
        <f>IF(ISNUMBER(FC301),INDIRECT("SamplesX!G"&amp;FC301),IF(ISNUMBER(FD301),INDIRECT("SamplesY!G"&amp;FD301),""))</f>
        <v/>
      </c>
      <c r="H301" s="19">
        <f>IF(ISNUMBER(FC301),INDIRECT("SamplesX!H"&amp;FC301),IF(ISNUMBER(FD301),INDIRECT("SamplesY!H"&amp;FD301),""))</f>
        <v/>
      </c>
      <c r="I301" s="16" t="n"/>
      <c r="J301" s="16" t="n"/>
      <c r="K301" s="16" t="n"/>
      <c r="L301" s="20" t="n"/>
      <c r="M301" s="20" t="inlineStr">
        <is>
          <t>None</t>
        </is>
      </c>
      <c r="N301" s="17" t="n"/>
      <c r="O301" s="16" t="n"/>
      <c r="P301" s="20" t="inlineStr">
        <is>
          <t>Shimadzu TOC-L</t>
        </is>
      </c>
      <c r="Q301" s="20" t="inlineStr">
        <is>
          <t>None</t>
        </is>
      </c>
      <c r="R301" s="17" t="n"/>
      <c r="S301" s="16" t="n"/>
      <c r="T301" s="20" t="inlineStr">
        <is>
          <t>Shimadzu TOC-L</t>
        </is>
      </c>
      <c r="U301" s="20" t="inlineStr">
        <is>
          <t>None</t>
        </is>
      </c>
      <c r="V301" s="17" t="n"/>
      <c r="W301" s="16" t="n"/>
      <c r="X301" s="20" t="n"/>
      <c r="Y301" s="20" t="inlineStr">
        <is>
          <t>None</t>
        </is>
      </c>
      <c r="Z301" s="17" t="n"/>
      <c r="AA301" s="16" t="n"/>
      <c r="AB301" s="20" t="n"/>
      <c r="AC301" s="20" t="inlineStr">
        <is>
          <t>None</t>
        </is>
      </c>
      <c r="AD301" s="17" t="n"/>
      <c r="AE301" s="16" t="n"/>
      <c r="AF301" s="20" t="inlineStr">
        <is>
          <t>IC Anionen</t>
        </is>
      </c>
      <c r="AG301" s="20" t="inlineStr">
        <is>
          <t>None</t>
        </is>
      </c>
      <c r="AH301" s="17" t="n"/>
      <c r="AI301" s="16" t="n"/>
      <c r="AJ301" s="20" t="n"/>
      <c r="AK301" s="20" t="inlineStr">
        <is>
          <t>None</t>
        </is>
      </c>
      <c r="AL301" s="17" t="n"/>
      <c r="AM301" s="16" t="n"/>
      <c r="AN301" s="20" t="inlineStr">
        <is>
          <t>IC Anionen</t>
        </is>
      </c>
      <c r="AO301" s="20" t="inlineStr">
        <is>
          <t>None</t>
        </is>
      </c>
      <c r="AP301" s="17" t="n"/>
      <c r="AQ301" s="16" t="n"/>
      <c r="AR301" s="20" t="n"/>
      <c r="AS301" s="20" t="inlineStr">
        <is>
          <t>None</t>
        </is>
      </c>
      <c r="AT301" s="17" t="n"/>
      <c r="AU301" s="16" t="n"/>
      <c r="AV301" s="20" t="n"/>
      <c r="AW301" s="20" t="inlineStr">
        <is>
          <t>None</t>
        </is>
      </c>
      <c r="AX301" s="17" t="n"/>
      <c r="AY301" s="16" t="n"/>
      <c r="AZ301" s="20" t="inlineStr">
        <is>
          <t>IC Anionen</t>
        </is>
      </c>
      <c r="BA301" s="20" t="inlineStr">
        <is>
          <t>None</t>
        </is>
      </c>
      <c r="BB301" s="17" t="n"/>
      <c r="BC301" s="16" t="n"/>
      <c r="BD301" s="20" t="inlineStr">
        <is>
          <t>IC Kationen</t>
        </is>
      </c>
      <c r="BE301" s="20" t="inlineStr">
        <is>
          <t>None</t>
        </is>
      </c>
      <c r="BF301" s="17" t="n"/>
      <c r="BG301" s="16" t="n"/>
      <c r="BH301" s="20" t="inlineStr">
        <is>
          <t>IC Kationen</t>
        </is>
      </c>
      <c r="BI301" s="20" t="inlineStr">
        <is>
          <t>None</t>
        </is>
      </c>
      <c r="BJ301" s="17" t="n"/>
      <c r="BK301" s="16" t="n"/>
      <c r="BL301" s="20" t="inlineStr">
        <is>
          <t>IC Kationen</t>
        </is>
      </c>
      <c r="BM301" s="20" t="inlineStr">
        <is>
          <t>None</t>
        </is>
      </c>
      <c r="BN301" s="17" t="n"/>
      <c r="BO301" s="16" t="n"/>
      <c r="BP301" s="20" t="inlineStr">
        <is>
          <t>IC Kationen</t>
        </is>
      </c>
      <c r="BQ301" s="20" t="inlineStr">
        <is>
          <t>None</t>
        </is>
      </c>
      <c r="BR301" s="17" t="n"/>
      <c r="BS301" s="16" t="n"/>
      <c r="BT301" s="20" t="inlineStr">
        <is>
          <t>IC Kationen</t>
        </is>
      </c>
      <c r="BU301" s="20" t="inlineStr">
        <is>
          <t>None</t>
        </is>
      </c>
      <c r="BV301" s="17" t="n"/>
      <c r="BW301" s="16" t="n"/>
      <c r="BX301" s="20" t="n"/>
      <c r="BY301" s="20" t="inlineStr">
        <is>
          <t>None</t>
        </is>
      </c>
      <c r="BZ301" s="17" t="n"/>
      <c r="CA301" s="16" t="n"/>
      <c r="CB301" s="20" t="n"/>
      <c r="CC301" s="20" t="inlineStr">
        <is>
          <t>None</t>
        </is>
      </c>
      <c r="CD301" s="17" t="n"/>
      <c r="CE301" s="16" t="n"/>
      <c r="CF301" s="20" t="n"/>
      <c r="CG301" s="20" t="inlineStr">
        <is>
          <t>None</t>
        </is>
      </c>
      <c r="CH301" s="17" t="n"/>
      <c r="CI301" s="16" t="n"/>
      <c r="CJ301" s="20" t="n"/>
      <c r="CK301" s="20" t="inlineStr">
        <is>
          <t>None</t>
        </is>
      </c>
      <c r="CL301" s="17" t="n"/>
      <c r="CM301" s="16" t="n"/>
      <c r="CN301" s="20" t="inlineStr">
        <is>
          <t>SOP 45-34</t>
        </is>
      </c>
      <c r="CO301" s="20" t="inlineStr">
        <is>
          <t>None</t>
        </is>
      </c>
      <c r="CP301" s="17" t="n"/>
      <c r="CQ301" s="16" t="n"/>
      <c r="CR301" s="20" t="n"/>
      <c r="CS301" s="20" t="inlineStr">
        <is>
          <t>None</t>
        </is>
      </c>
      <c r="CT301" s="17" t="n"/>
      <c r="CU301" s="16" t="n"/>
      <c r="CV301" s="20" t="n"/>
      <c r="CW301" s="20" t="inlineStr">
        <is>
          <t>None</t>
        </is>
      </c>
      <c r="CX301" s="17" t="n"/>
      <c r="CY301" s="16" t="n"/>
      <c r="CZ301" s="20" t="inlineStr">
        <is>
          <t>WTW Multimeter 3430 with FDO 925</t>
        </is>
      </c>
      <c r="DA301" s="20" t="inlineStr">
        <is>
          <t>None</t>
        </is>
      </c>
      <c r="DB301" s="17" t="n"/>
      <c r="DC301" s="16" t="n"/>
      <c r="DD301" s="20" t="n"/>
      <c r="DE301" s="20" t="inlineStr">
        <is>
          <t>None</t>
        </is>
      </c>
      <c r="DF301" s="17" t="n"/>
      <c r="DG301" s="16" t="n"/>
      <c r="DH301" s="20" t="inlineStr">
        <is>
          <t>SOP 45-09</t>
        </is>
      </c>
      <c r="DI301" s="20" t="inlineStr">
        <is>
          <t>None</t>
        </is>
      </c>
      <c r="DJ301" s="17" t="n"/>
      <c r="DK301" s="16" t="n"/>
      <c r="DL301" s="20" t="inlineStr">
        <is>
          <t>SOP 45-09 (SOP muss noch angepasst werden für VSS)</t>
        </is>
      </c>
      <c r="DM301" s="20" t="inlineStr">
        <is>
          <t>None</t>
        </is>
      </c>
      <c r="DN301" s="17" t="n"/>
      <c r="DO301" s="16" t="n"/>
      <c r="DP301" s="20" t="inlineStr">
        <is>
          <t>IC Organic Acids</t>
        </is>
      </c>
      <c r="DQ301" s="20" t="inlineStr">
        <is>
          <t>None</t>
        </is>
      </c>
      <c r="DR301" s="17" t="n"/>
      <c r="DS301" s="16" t="n"/>
      <c r="DT301" s="20" t="inlineStr">
        <is>
          <t>IC Organic Acids</t>
        </is>
      </c>
      <c r="DU301" s="20" t="inlineStr">
        <is>
          <t>None</t>
        </is>
      </c>
      <c r="DV301" s="17" t="n"/>
      <c r="DW301" s="16" t="n"/>
      <c r="DX301" s="20" t="inlineStr">
        <is>
          <t>IC Organic Acids</t>
        </is>
      </c>
      <c r="DY301" s="20" t="inlineStr">
        <is>
          <t>None</t>
        </is>
      </c>
      <c r="DZ301" s="17" t="n"/>
      <c r="EA301" s="16" t="n"/>
      <c r="EB301" s="20" t="inlineStr">
        <is>
          <t>IC Organic Acids</t>
        </is>
      </c>
      <c r="EC301" s="20" t="inlineStr">
        <is>
          <t>None</t>
        </is>
      </c>
      <c r="ED301" s="17" t="n"/>
      <c r="EE301" s="16" t="n"/>
      <c r="EF301" s="20" t="inlineStr">
        <is>
          <t>IC Organic Acids</t>
        </is>
      </c>
      <c r="EG301" s="20" t="inlineStr">
        <is>
          <t>None</t>
        </is>
      </c>
      <c r="EH301" s="17" t="n"/>
      <c r="EI301" s="16" t="n"/>
      <c r="EJ301" s="20" t="inlineStr">
        <is>
          <t>IC Organic Acids</t>
        </is>
      </c>
      <c r="EK301" s="20" t="inlineStr">
        <is>
          <t>None</t>
        </is>
      </c>
      <c r="EL301" s="17" t="n"/>
      <c r="EM301" s="16" t="n"/>
      <c r="EN301" s="20" t="inlineStr">
        <is>
          <t>IC Organic Acids</t>
        </is>
      </c>
      <c r="EO301" s="20" t="inlineStr">
        <is>
          <t>None</t>
        </is>
      </c>
      <c r="EP301" s="17" t="n"/>
      <c r="EQ301" s="16" t="n"/>
      <c r="ER301" s="20" t="inlineStr">
        <is>
          <t>IC Organic Acids</t>
        </is>
      </c>
      <c r="ES301" s="20" t="inlineStr">
        <is>
          <t>None</t>
        </is>
      </c>
      <c r="ET301" s="17" t="n"/>
      <c r="EU301" s="16" t="n"/>
      <c r="EV301" s="20" t="inlineStr">
        <is>
          <t>LC-MS</t>
        </is>
      </c>
      <c r="EW301" s="20" t="inlineStr">
        <is>
          <t>None</t>
        </is>
      </c>
      <c r="EX301" s="17" t="n"/>
      <c r="EY301" s="21" t="n"/>
      <c r="EZ301">
        <f>CONCATENATE(A301,B301)</f>
        <v/>
      </c>
      <c r="FA301">
        <f>CONCATENATE(SamplesX!A301,SamplesX!B301)</f>
        <v/>
      </c>
      <c r="FC301">
        <f>MATCH(EZ301,FA1:FA1008,0)</f>
        <v/>
      </c>
    </row>
    <row r="302">
      <c r="A302" s="16" t="inlineStr">
        <is>
          <t>BP</t>
        </is>
      </c>
      <c r="B302" s="17" t="inlineStr">
        <is>
          <t>25294</t>
        </is>
      </c>
      <c r="C302" s="10">
        <f>IF(ISNUMBER(FC302),INDIRECT("SamplesX!C"&amp;FC302),IF(ISNUMBER(FD302),INDIRECT("SamplesY!C"&amp;FD302),""))</f>
        <v/>
      </c>
      <c r="D302" s="12">
        <f>IF(ISNUMBER(FC302),INDIRECT("SamplesX!D"&amp;FC302),IF(ISNUMBER(FD302),INDIRECT("SamplesY!D"&amp;FD302),""))</f>
        <v/>
      </c>
      <c r="E302" s="12">
        <f>IF(ISNUMBER(FC302),INDIRECT("SamplesX!E"&amp;FC302),IF(ISNUMBER(FD302),INDIRECT("SamplesY!E"&amp;FD302),""))</f>
        <v/>
      </c>
      <c r="F302" s="11">
        <f>IF(ISNUMBER(FC302),INDIRECT("SamplesX!F"&amp;FC302),IF(ISNUMBER(FD302),INDIRECT("SamplesY!F"&amp;FD302),""))</f>
        <v/>
      </c>
      <c r="G302" s="18">
        <f>IF(ISNUMBER(FC302),INDIRECT("SamplesX!G"&amp;FC302),IF(ISNUMBER(FD302),INDIRECT("SamplesY!G"&amp;FD302),""))</f>
        <v/>
      </c>
      <c r="H302" s="19">
        <f>IF(ISNUMBER(FC302),INDIRECT("SamplesX!H"&amp;FC302),IF(ISNUMBER(FD302),INDIRECT("SamplesY!H"&amp;FD302),""))</f>
        <v/>
      </c>
      <c r="I302" s="16" t="n"/>
      <c r="J302" s="16" t="n"/>
      <c r="K302" s="16" t="n"/>
      <c r="L302" s="20" t="n"/>
      <c r="M302" s="20" t="inlineStr">
        <is>
          <t>None</t>
        </is>
      </c>
      <c r="N302" s="17" t="n"/>
      <c r="O302" s="16" t="n"/>
      <c r="P302" s="20" t="inlineStr">
        <is>
          <t>Shimadzu TOC-L</t>
        </is>
      </c>
      <c r="Q302" s="20" t="inlineStr">
        <is>
          <t>None</t>
        </is>
      </c>
      <c r="R302" s="17" t="n"/>
      <c r="S302" s="16" t="n"/>
      <c r="T302" s="20" t="inlineStr">
        <is>
          <t>Shimadzu TOC-L</t>
        </is>
      </c>
      <c r="U302" s="20" t="inlineStr">
        <is>
          <t>None</t>
        </is>
      </c>
      <c r="V302" s="17" t="n"/>
      <c r="W302" s="16" t="n"/>
      <c r="X302" s="20" t="n"/>
      <c r="Y302" s="20" t="inlineStr">
        <is>
          <t>None</t>
        </is>
      </c>
      <c r="Z302" s="17" t="n"/>
      <c r="AA302" s="16" t="n"/>
      <c r="AB302" s="20" t="n"/>
      <c r="AC302" s="20" t="inlineStr">
        <is>
          <t>None</t>
        </is>
      </c>
      <c r="AD302" s="17" t="n"/>
      <c r="AE302" s="16" t="n"/>
      <c r="AF302" s="20" t="inlineStr">
        <is>
          <t>IC Anionen</t>
        </is>
      </c>
      <c r="AG302" s="20" t="inlineStr">
        <is>
          <t>None</t>
        </is>
      </c>
      <c r="AH302" s="17" t="n"/>
      <c r="AI302" s="16" t="n"/>
      <c r="AJ302" s="20" t="n"/>
      <c r="AK302" s="20" t="inlineStr">
        <is>
          <t>None</t>
        </is>
      </c>
      <c r="AL302" s="17" t="n"/>
      <c r="AM302" s="16" t="n"/>
      <c r="AN302" s="20" t="inlineStr">
        <is>
          <t>IC Anionen</t>
        </is>
      </c>
      <c r="AO302" s="20" t="inlineStr">
        <is>
          <t>None</t>
        </is>
      </c>
      <c r="AP302" s="17" t="n"/>
      <c r="AQ302" s="16" t="n"/>
      <c r="AR302" s="20" t="n"/>
      <c r="AS302" s="20" t="inlineStr">
        <is>
          <t>None</t>
        </is>
      </c>
      <c r="AT302" s="17" t="n"/>
      <c r="AU302" s="16" t="n"/>
      <c r="AV302" s="20" t="n"/>
      <c r="AW302" s="20" t="inlineStr">
        <is>
          <t>None</t>
        </is>
      </c>
      <c r="AX302" s="17" t="n"/>
      <c r="AY302" s="16" t="n"/>
      <c r="AZ302" s="20" t="inlineStr">
        <is>
          <t>IC Anionen</t>
        </is>
      </c>
      <c r="BA302" s="20" t="inlineStr">
        <is>
          <t>None</t>
        </is>
      </c>
      <c r="BB302" s="17" t="n"/>
      <c r="BC302" s="16" t="n"/>
      <c r="BD302" s="20" t="inlineStr">
        <is>
          <t>IC Kationen</t>
        </is>
      </c>
      <c r="BE302" s="20" t="inlineStr">
        <is>
          <t>None</t>
        </is>
      </c>
      <c r="BF302" s="17" t="n"/>
      <c r="BG302" s="16" t="n"/>
      <c r="BH302" s="20" t="inlineStr">
        <is>
          <t>IC Kationen</t>
        </is>
      </c>
      <c r="BI302" s="20" t="inlineStr">
        <is>
          <t>None</t>
        </is>
      </c>
      <c r="BJ302" s="17" t="n"/>
      <c r="BK302" s="16" t="n"/>
      <c r="BL302" s="20" t="inlineStr">
        <is>
          <t>IC Kationen</t>
        </is>
      </c>
      <c r="BM302" s="20" t="inlineStr">
        <is>
          <t>None</t>
        </is>
      </c>
      <c r="BN302" s="17" t="n"/>
      <c r="BO302" s="16" t="n"/>
      <c r="BP302" s="20" t="inlineStr">
        <is>
          <t>IC Kationen</t>
        </is>
      </c>
      <c r="BQ302" s="20" t="inlineStr">
        <is>
          <t>None</t>
        </is>
      </c>
      <c r="BR302" s="17" t="n"/>
      <c r="BS302" s="16" t="n"/>
      <c r="BT302" s="20" t="inlineStr">
        <is>
          <t>IC Kationen</t>
        </is>
      </c>
      <c r="BU302" s="20" t="inlineStr">
        <is>
          <t>None</t>
        </is>
      </c>
      <c r="BV302" s="17" t="n"/>
      <c r="BW302" s="16" t="n"/>
      <c r="BX302" s="20" t="n"/>
      <c r="BY302" s="20" t="inlineStr">
        <is>
          <t>None</t>
        </is>
      </c>
      <c r="BZ302" s="17" t="n"/>
      <c r="CA302" s="16" t="n"/>
      <c r="CB302" s="20" t="n"/>
      <c r="CC302" s="20" t="inlineStr">
        <is>
          <t>None</t>
        </is>
      </c>
      <c r="CD302" s="17" t="n"/>
      <c r="CE302" s="16" t="n"/>
      <c r="CF302" s="20" t="n"/>
      <c r="CG302" s="20" t="inlineStr">
        <is>
          <t>None</t>
        </is>
      </c>
      <c r="CH302" s="17" t="n"/>
      <c r="CI302" s="16" t="n"/>
      <c r="CJ302" s="20" t="n"/>
      <c r="CK302" s="20" t="inlineStr">
        <is>
          <t>None</t>
        </is>
      </c>
      <c r="CL302" s="17" t="n"/>
      <c r="CM302" s="16" t="n"/>
      <c r="CN302" s="20" t="inlineStr">
        <is>
          <t>SOP 45-34</t>
        </is>
      </c>
      <c r="CO302" s="20" t="inlineStr">
        <is>
          <t>None</t>
        </is>
      </c>
      <c r="CP302" s="17" t="n"/>
      <c r="CQ302" s="16" t="n"/>
      <c r="CR302" s="20" t="n"/>
      <c r="CS302" s="20" t="inlineStr">
        <is>
          <t>None</t>
        </is>
      </c>
      <c r="CT302" s="17" t="n"/>
      <c r="CU302" s="16" t="n"/>
      <c r="CV302" s="20" t="n"/>
      <c r="CW302" s="20" t="inlineStr">
        <is>
          <t>None</t>
        </is>
      </c>
      <c r="CX302" s="17" t="n"/>
      <c r="CY302" s="16" t="n"/>
      <c r="CZ302" s="20" t="inlineStr">
        <is>
          <t>WTW Multimeter 3430 with FDO 925</t>
        </is>
      </c>
      <c r="DA302" s="20" t="inlineStr">
        <is>
          <t>None</t>
        </is>
      </c>
      <c r="DB302" s="17" t="n"/>
      <c r="DC302" s="16" t="n"/>
      <c r="DD302" s="20" t="n"/>
      <c r="DE302" s="20" t="inlineStr">
        <is>
          <t>None</t>
        </is>
      </c>
      <c r="DF302" s="17" t="n"/>
      <c r="DG302" s="16" t="n"/>
      <c r="DH302" s="20" t="inlineStr">
        <is>
          <t>SOP 45-09</t>
        </is>
      </c>
      <c r="DI302" s="20" t="inlineStr">
        <is>
          <t>None</t>
        </is>
      </c>
      <c r="DJ302" s="17" t="n"/>
      <c r="DK302" s="16" t="n"/>
      <c r="DL302" s="20" t="inlineStr">
        <is>
          <t>SOP 45-09 (SOP muss noch angepasst werden für VSS)</t>
        </is>
      </c>
      <c r="DM302" s="20" t="inlineStr">
        <is>
          <t>None</t>
        </is>
      </c>
      <c r="DN302" s="17" t="n"/>
      <c r="DO302" s="16" t="n"/>
      <c r="DP302" s="20" t="inlineStr">
        <is>
          <t>IC Organic Acids</t>
        </is>
      </c>
      <c r="DQ302" s="20" t="inlineStr">
        <is>
          <t>None</t>
        </is>
      </c>
      <c r="DR302" s="17" t="n"/>
      <c r="DS302" s="16" t="n"/>
      <c r="DT302" s="20" t="inlineStr">
        <is>
          <t>IC Organic Acids</t>
        </is>
      </c>
      <c r="DU302" s="20" t="inlineStr">
        <is>
          <t>None</t>
        </is>
      </c>
      <c r="DV302" s="17" t="n"/>
      <c r="DW302" s="16" t="n"/>
      <c r="DX302" s="20" t="inlineStr">
        <is>
          <t>IC Organic Acids</t>
        </is>
      </c>
      <c r="DY302" s="20" t="inlineStr">
        <is>
          <t>None</t>
        </is>
      </c>
      <c r="DZ302" s="17" t="n"/>
      <c r="EA302" s="16" t="n"/>
      <c r="EB302" s="20" t="inlineStr">
        <is>
          <t>IC Organic Acids</t>
        </is>
      </c>
      <c r="EC302" s="20" t="inlineStr">
        <is>
          <t>None</t>
        </is>
      </c>
      <c r="ED302" s="17" t="n"/>
      <c r="EE302" s="16" t="n"/>
      <c r="EF302" s="20" t="inlineStr">
        <is>
          <t>IC Organic Acids</t>
        </is>
      </c>
      <c r="EG302" s="20" t="inlineStr">
        <is>
          <t>None</t>
        </is>
      </c>
      <c r="EH302" s="17" t="n"/>
      <c r="EI302" s="16" t="n"/>
      <c r="EJ302" s="20" t="inlineStr">
        <is>
          <t>IC Organic Acids</t>
        </is>
      </c>
      <c r="EK302" s="20" t="inlineStr">
        <is>
          <t>None</t>
        </is>
      </c>
      <c r="EL302" s="17" t="n"/>
      <c r="EM302" s="16" t="n"/>
      <c r="EN302" s="20" t="inlineStr">
        <is>
          <t>IC Organic Acids</t>
        </is>
      </c>
      <c r="EO302" s="20" t="inlineStr">
        <is>
          <t>None</t>
        </is>
      </c>
      <c r="EP302" s="17" t="n"/>
      <c r="EQ302" s="16" t="n"/>
      <c r="ER302" s="20" t="inlineStr">
        <is>
          <t>IC Organic Acids</t>
        </is>
      </c>
      <c r="ES302" s="20" t="inlineStr">
        <is>
          <t>None</t>
        </is>
      </c>
      <c r="ET302" s="17" t="n"/>
      <c r="EU302" s="16" t="n"/>
      <c r="EV302" s="20" t="inlineStr">
        <is>
          <t>LC-MS</t>
        </is>
      </c>
      <c r="EW302" s="20" t="inlineStr">
        <is>
          <t>None</t>
        </is>
      </c>
      <c r="EX302" s="17" t="n"/>
      <c r="EY302" s="21" t="n"/>
      <c r="EZ302">
        <f>CONCATENATE(A302,B302)</f>
        <v/>
      </c>
      <c r="FA302">
        <f>CONCATENATE(SamplesX!A302,SamplesX!B302)</f>
        <v/>
      </c>
      <c r="FC302">
        <f>MATCH(EZ302,FA1:FA1008,0)</f>
        <v/>
      </c>
    </row>
    <row r="303">
      <c r="A303" s="16" t="inlineStr">
        <is>
          <t>BP</t>
        </is>
      </c>
      <c r="B303" s="17" t="inlineStr">
        <is>
          <t>25295</t>
        </is>
      </c>
      <c r="C303" s="10">
        <f>IF(ISNUMBER(FC303),INDIRECT("SamplesX!C"&amp;FC303),IF(ISNUMBER(FD303),INDIRECT("SamplesY!C"&amp;FD303),""))</f>
        <v/>
      </c>
      <c r="D303" s="12">
        <f>IF(ISNUMBER(FC303),INDIRECT("SamplesX!D"&amp;FC303),IF(ISNUMBER(FD303),INDIRECT("SamplesY!D"&amp;FD303),""))</f>
        <v/>
      </c>
      <c r="E303" s="12">
        <f>IF(ISNUMBER(FC303),INDIRECT("SamplesX!E"&amp;FC303),IF(ISNUMBER(FD303),INDIRECT("SamplesY!E"&amp;FD303),""))</f>
        <v/>
      </c>
      <c r="F303" s="11">
        <f>IF(ISNUMBER(FC303),INDIRECT("SamplesX!F"&amp;FC303),IF(ISNUMBER(FD303),INDIRECT("SamplesY!F"&amp;FD303),""))</f>
        <v/>
      </c>
      <c r="G303" s="18">
        <f>IF(ISNUMBER(FC303),INDIRECT("SamplesX!G"&amp;FC303),IF(ISNUMBER(FD303),INDIRECT("SamplesY!G"&amp;FD303),""))</f>
        <v/>
      </c>
      <c r="H303" s="19">
        <f>IF(ISNUMBER(FC303),INDIRECT("SamplesX!H"&amp;FC303),IF(ISNUMBER(FD303),INDIRECT("SamplesY!H"&amp;FD303),""))</f>
        <v/>
      </c>
      <c r="I303" s="16" t="n"/>
      <c r="J303" s="16" t="n"/>
      <c r="K303" s="16" t="n"/>
      <c r="L303" s="20" t="n"/>
      <c r="M303" s="20" t="inlineStr">
        <is>
          <t>None</t>
        </is>
      </c>
      <c r="N303" s="17" t="n"/>
      <c r="O303" s="16" t="n"/>
      <c r="P303" s="20" t="inlineStr">
        <is>
          <t>Shimadzu TOC-L</t>
        </is>
      </c>
      <c r="Q303" s="20" t="inlineStr">
        <is>
          <t>None</t>
        </is>
      </c>
      <c r="R303" s="17" t="n"/>
      <c r="S303" s="16" t="n"/>
      <c r="T303" s="20" t="inlineStr">
        <is>
          <t>Shimadzu TOC-L</t>
        </is>
      </c>
      <c r="U303" s="20" t="inlineStr">
        <is>
          <t>None</t>
        </is>
      </c>
      <c r="V303" s="17" t="n"/>
      <c r="W303" s="16" t="n"/>
      <c r="X303" s="20" t="n"/>
      <c r="Y303" s="20" t="inlineStr">
        <is>
          <t>None</t>
        </is>
      </c>
      <c r="Z303" s="17" t="n"/>
      <c r="AA303" s="16" t="n"/>
      <c r="AB303" s="20" t="n"/>
      <c r="AC303" s="20" t="inlineStr">
        <is>
          <t>None</t>
        </is>
      </c>
      <c r="AD303" s="17" t="n"/>
      <c r="AE303" s="16" t="n"/>
      <c r="AF303" s="20" t="inlineStr">
        <is>
          <t>IC Anionen</t>
        </is>
      </c>
      <c r="AG303" s="20" t="inlineStr">
        <is>
          <t>None</t>
        </is>
      </c>
      <c r="AH303" s="17" t="n"/>
      <c r="AI303" s="16" t="n"/>
      <c r="AJ303" s="20" t="n"/>
      <c r="AK303" s="20" t="inlineStr">
        <is>
          <t>None</t>
        </is>
      </c>
      <c r="AL303" s="17" t="n"/>
      <c r="AM303" s="16" t="n"/>
      <c r="AN303" s="20" t="inlineStr">
        <is>
          <t>IC Anionen</t>
        </is>
      </c>
      <c r="AO303" s="20" t="inlineStr">
        <is>
          <t>None</t>
        </is>
      </c>
      <c r="AP303" s="17" t="n"/>
      <c r="AQ303" s="16" t="n"/>
      <c r="AR303" s="20" t="n"/>
      <c r="AS303" s="20" t="inlineStr">
        <is>
          <t>None</t>
        </is>
      </c>
      <c r="AT303" s="17" t="n"/>
      <c r="AU303" s="16" t="n"/>
      <c r="AV303" s="20" t="n"/>
      <c r="AW303" s="20" t="inlineStr">
        <is>
          <t>None</t>
        </is>
      </c>
      <c r="AX303" s="17" t="n"/>
      <c r="AY303" s="16" t="n"/>
      <c r="AZ303" s="20" t="inlineStr">
        <is>
          <t>IC Anionen</t>
        </is>
      </c>
      <c r="BA303" s="20" t="inlineStr">
        <is>
          <t>None</t>
        </is>
      </c>
      <c r="BB303" s="17" t="n"/>
      <c r="BC303" s="16" t="n"/>
      <c r="BD303" s="20" t="inlineStr">
        <is>
          <t>IC Kationen</t>
        </is>
      </c>
      <c r="BE303" s="20" t="inlineStr">
        <is>
          <t>None</t>
        </is>
      </c>
      <c r="BF303" s="17" t="n"/>
      <c r="BG303" s="16" t="n"/>
      <c r="BH303" s="20" t="inlineStr">
        <is>
          <t>IC Kationen</t>
        </is>
      </c>
      <c r="BI303" s="20" t="inlineStr">
        <is>
          <t>None</t>
        </is>
      </c>
      <c r="BJ303" s="17" t="n"/>
      <c r="BK303" s="16" t="n"/>
      <c r="BL303" s="20" t="inlineStr">
        <is>
          <t>IC Kationen</t>
        </is>
      </c>
      <c r="BM303" s="20" t="inlineStr">
        <is>
          <t>None</t>
        </is>
      </c>
      <c r="BN303" s="17" t="n"/>
      <c r="BO303" s="16" t="n"/>
      <c r="BP303" s="20" t="inlineStr">
        <is>
          <t>IC Kationen</t>
        </is>
      </c>
      <c r="BQ303" s="20" t="inlineStr">
        <is>
          <t>None</t>
        </is>
      </c>
      <c r="BR303" s="17" t="n"/>
      <c r="BS303" s="16" t="n"/>
      <c r="BT303" s="20" t="inlineStr">
        <is>
          <t>IC Kationen</t>
        </is>
      </c>
      <c r="BU303" s="20" t="inlineStr">
        <is>
          <t>None</t>
        </is>
      </c>
      <c r="BV303" s="17" t="n"/>
      <c r="BW303" s="16" t="n"/>
      <c r="BX303" s="20" t="n"/>
      <c r="BY303" s="20" t="inlineStr">
        <is>
          <t>None</t>
        </is>
      </c>
      <c r="BZ303" s="17" t="n"/>
      <c r="CA303" s="16" t="n"/>
      <c r="CB303" s="20" t="n"/>
      <c r="CC303" s="20" t="inlineStr">
        <is>
          <t>None</t>
        </is>
      </c>
      <c r="CD303" s="17" t="n"/>
      <c r="CE303" s="16" t="n"/>
      <c r="CF303" s="20" t="n"/>
      <c r="CG303" s="20" t="inlineStr">
        <is>
          <t>None</t>
        </is>
      </c>
      <c r="CH303" s="17" t="n"/>
      <c r="CI303" s="16" t="n"/>
      <c r="CJ303" s="20" t="n"/>
      <c r="CK303" s="20" t="inlineStr">
        <is>
          <t>None</t>
        </is>
      </c>
      <c r="CL303" s="17" t="n"/>
      <c r="CM303" s="16" t="n"/>
      <c r="CN303" s="20" t="inlineStr">
        <is>
          <t>SOP 45-34</t>
        </is>
      </c>
      <c r="CO303" s="20" t="inlineStr">
        <is>
          <t>None</t>
        </is>
      </c>
      <c r="CP303" s="17" t="n"/>
      <c r="CQ303" s="16" t="n"/>
      <c r="CR303" s="20" t="n"/>
      <c r="CS303" s="20" t="inlineStr">
        <is>
          <t>None</t>
        </is>
      </c>
      <c r="CT303" s="17" t="n"/>
      <c r="CU303" s="16" t="n"/>
      <c r="CV303" s="20" t="n"/>
      <c r="CW303" s="20" t="inlineStr">
        <is>
          <t>None</t>
        </is>
      </c>
      <c r="CX303" s="17" t="n"/>
      <c r="CY303" s="16" t="n"/>
      <c r="CZ303" s="20" t="inlineStr">
        <is>
          <t>WTW Multimeter 3430 with FDO 925</t>
        </is>
      </c>
      <c r="DA303" s="20" t="inlineStr">
        <is>
          <t>None</t>
        </is>
      </c>
      <c r="DB303" s="17" t="n"/>
      <c r="DC303" s="16" t="n"/>
      <c r="DD303" s="20" t="n"/>
      <c r="DE303" s="20" t="inlineStr">
        <is>
          <t>None</t>
        </is>
      </c>
      <c r="DF303" s="17" t="n"/>
      <c r="DG303" s="16" t="n"/>
      <c r="DH303" s="20" t="inlineStr">
        <is>
          <t>SOP 45-09</t>
        </is>
      </c>
      <c r="DI303" s="20" t="inlineStr">
        <is>
          <t>None</t>
        </is>
      </c>
      <c r="DJ303" s="17" t="n"/>
      <c r="DK303" s="16" t="n"/>
      <c r="DL303" s="20" t="inlineStr">
        <is>
          <t>SOP 45-09 (SOP muss noch angepasst werden für VSS)</t>
        </is>
      </c>
      <c r="DM303" s="20" t="inlineStr">
        <is>
          <t>None</t>
        </is>
      </c>
      <c r="DN303" s="17" t="n"/>
      <c r="DO303" s="16" t="n"/>
      <c r="DP303" s="20" t="inlineStr">
        <is>
          <t>IC Organic Acids</t>
        </is>
      </c>
      <c r="DQ303" s="20" t="inlineStr">
        <is>
          <t>None</t>
        </is>
      </c>
      <c r="DR303" s="17" t="n"/>
      <c r="DS303" s="16" t="n"/>
      <c r="DT303" s="20" t="inlineStr">
        <is>
          <t>IC Organic Acids</t>
        </is>
      </c>
      <c r="DU303" s="20" t="inlineStr">
        <is>
          <t>None</t>
        </is>
      </c>
      <c r="DV303" s="17" t="n"/>
      <c r="DW303" s="16" t="n"/>
      <c r="DX303" s="20" t="inlineStr">
        <is>
          <t>IC Organic Acids</t>
        </is>
      </c>
      <c r="DY303" s="20" t="inlineStr">
        <is>
          <t>None</t>
        </is>
      </c>
      <c r="DZ303" s="17" t="n"/>
      <c r="EA303" s="16" t="n"/>
      <c r="EB303" s="20" t="inlineStr">
        <is>
          <t>IC Organic Acids</t>
        </is>
      </c>
      <c r="EC303" s="20" t="inlineStr">
        <is>
          <t>None</t>
        </is>
      </c>
      <c r="ED303" s="17" t="n"/>
      <c r="EE303" s="16" t="n"/>
      <c r="EF303" s="20" t="inlineStr">
        <is>
          <t>IC Organic Acids</t>
        </is>
      </c>
      <c r="EG303" s="20" t="inlineStr">
        <is>
          <t>None</t>
        </is>
      </c>
      <c r="EH303" s="17" t="n"/>
      <c r="EI303" s="16" t="n"/>
      <c r="EJ303" s="20" t="inlineStr">
        <is>
          <t>IC Organic Acids</t>
        </is>
      </c>
      <c r="EK303" s="20" t="inlineStr">
        <is>
          <t>None</t>
        </is>
      </c>
      <c r="EL303" s="17" t="n"/>
      <c r="EM303" s="16" t="n"/>
      <c r="EN303" s="20" t="inlineStr">
        <is>
          <t>IC Organic Acids</t>
        </is>
      </c>
      <c r="EO303" s="20" t="inlineStr">
        <is>
          <t>None</t>
        </is>
      </c>
      <c r="EP303" s="17" t="n"/>
      <c r="EQ303" s="16" t="n"/>
      <c r="ER303" s="20" t="inlineStr">
        <is>
          <t>IC Organic Acids</t>
        </is>
      </c>
      <c r="ES303" s="20" t="inlineStr">
        <is>
          <t>None</t>
        </is>
      </c>
      <c r="ET303" s="17" t="n"/>
      <c r="EU303" s="16" t="n"/>
      <c r="EV303" s="20" t="inlineStr">
        <is>
          <t>LC-MS</t>
        </is>
      </c>
      <c r="EW303" s="20" t="inlineStr">
        <is>
          <t>None</t>
        </is>
      </c>
      <c r="EX303" s="17" t="n"/>
      <c r="EY303" s="21" t="n"/>
      <c r="EZ303">
        <f>CONCATENATE(A303,B303)</f>
        <v/>
      </c>
      <c r="FA303">
        <f>CONCATENATE(SamplesX!A303,SamplesX!B303)</f>
        <v/>
      </c>
      <c r="FC303">
        <f>MATCH(EZ303,FA1:FA1008,0)</f>
        <v/>
      </c>
    </row>
    <row r="304">
      <c r="A304" s="16" t="inlineStr">
        <is>
          <t>BP</t>
        </is>
      </c>
      <c r="B304" s="17" t="inlineStr">
        <is>
          <t>25296</t>
        </is>
      </c>
      <c r="C304" s="10">
        <f>IF(ISNUMBER(FC304),INDIRECT("SamplesX!C"&amp;FC304),IF(ISNUMBER(FD304),INDIRECT("SamplesY!C"&amp;FD304),""))</f>
        <v/>
      </c>
      <c r="D304" s="12">
        <f>IF(ISNUMBER(FC304),INDIRECT("SamplesX!D"&amp;FC304),IF(ISNUMBER(FD304),INDIRECT("SamplesY!D"&amp;FD304),""))</f>
        <v/>
      </c>
      <c r="E304" s="12">
        <f>IF(ISNUMBER(FC304),INDIRECT("SamplesX!E"&amp;FC304),IF(ISNUMBER(FD304),INDIRECT("SamplesY!E"&amp;FD304),""))</f>
        <v/>
      </c>
      <c r="F304" s="11">
        <f>IF(ISNUMBER(FC304),INDIRECT("SamplesX!F"&amp;FC304),IF(ISNUMBER(FD304),INDIRECT("SamplesY!F"&amp;FD304),""))</f>
        <v/>
      </c>
      <c r="G304" s="18">
        <f>IF(ISNUMBER(FC304),INDIRECT("SamplesX!G"&amp;FC304),IF(ISNUMBER(FD304),INDIRECT("SamplesY!G"&amp;FD304),""))</f>
        <v/>
      </c>
      <c r="H304" s="19">
        <f>IF(ISNUMBER(FC304),INDIRECT("SamplesX!H"&amp;FC304),IF(ISNUMBER(FD304),INDIRECT("SamplesY!H"&amp;FD304),""))</f>
        <v/>
      </c>
      <c r="I304" s="16" t="n"/>
      <c r="J304" s="16" t="n"/>
      <c r="K304" s="16" t="n"/>
      <c r="L304" s="20" t="n"/>
      <c r="M304" s="20" t="inlineStr">
        <is>
          <t>None</t>
        </is>
      </c>
      <c r="N304" s="17" t="n"/>
      <c r="O304" s="16" t="n"/>
      <c r="P304" s="20" t="inlineStr">
        <is>
          <t>Shimadzu TOC-L</t>
        </is>
      </c>
      <c r="Q304" s="20" t="inlineStr">
        <is>
          <t>None</t>
        </is>
      </c>
      <c r="R304" s="17" t="n"/>
      <c r="S304" s="16" t="n"/>
      <c r="T304" s="20" t="inlineStr">
        <is>
          <t>Shimadzu TOC-L</t>
        </is>
      </c>
      <c r="U304" s="20" t="inlineStr">
        <is>
          <t>None</t>
        </is>
      </c>
      <c r="V304" s="17" t="n"/>
      <c r="W304" s="16" t="n"/>
      <c r="X304" s="20" t="n"/>
      <c r="Y304" s="20" t="inlineStr">
        <is>
          <t>None</t>
        </is>
      </c>
      <c r="Z304" s="17" t="n"/>
      <c r="AA304" s="16" t="n"/>
      <c r="AB304" s="20" t="n"/>
      <c r="AC304" s="20" t="inlineStr">
        <is>
          <t>None</t>
        </is>
      </c>
      <c r="AD304" s="17" t="n"/>
      <c r="AE304" s="16" t="n"/>
      <c r="AF304" s="20" t="inlineStr">
        <is>
          <t>IC Anionen</t>
        </is>
      </c>
      <c r="AG304" s="20" t="inlineStr">
        <is>
          <t>None</t>
        </is>
      </c>
      <c r="AH304" s="17" t="n"/>
      <c r="AI304" s="16" t="n"/>
      <c r="AJ304" s="20" t="n"/>
      <c r="AK304" s="20" t="inlineStr">
        <is>
          <t>None</t>
        </is>
      </c>
      <c r="AL304" s="17" t="n"/>
      <c r="AM304" s="16" t="n"/>
      <c r="AN304" s="20" t="inlineStr">
        <is>
          <t>IC Anionen</t>
        </is>
      </c>
      <c r="AO304" s="20" t="inlineStr">
        <is>
          <t>None</t>
        </is>
      </c>
      <c r="AP304" s="17" t="n"/>
      <c r="AQ304" s="16" t="n"/>
      <c r="AR304" s="20" t="n"/>
      <c r="AS304" s="20" t="inlineStr">
        <is>
          <t>None</t>
        </is>
      </c>
      <c r="AT304" s="17" t="n"/>
      <c r="AU304" s="16" t="n"/>
      <c r="AV304" s="20" t="n"/>
      <c r="AW304" s="20" t="inlineStr">
        <is>
          <t>None</t>
        </is>
      </c>
      <c r="AX304" s="17" t="n"/>
      <c r="AY304" s="16" t="n"/>
      <c r="AZ304" s="20" t="inlineStr">
        <is>
          <t>IC Anionen</t>
        </is>
      </c>
      <c r="BA304" s="20" t="inlineStr">
        <is>
          <t>None</t>
        </is>
      </c>
      <c r="BB304" s="17" t="n"/>
      <c r="BC304" s="16" t="n"/>
      <c r="BD304" s="20" t="inlineStr">
        <is>
          <t>IC Kationen</t>
        </is>
      </c>
      <c r="BE304" s="20" t="inlineStr">
        <is>
          <t>None</t>
        </is>
      </c>
      <c r="BF304" s="17" t="n"/>
      <c r="BG304" s="16" t="n"/>
      <c r="BH304" s="20" t="inlineStr">
        <is>
          <t>IC Kationen</t>
        </is>
      </c>
      <c r="BI304" s="20" t="inlineStr">
        <is>
          <t>None</t>
        </is>
      </c>
      <c r="BJ304" s="17" t="n"/>
      <c r="BK304" s="16" t="n"/>
      <c r="BL304" s="20" t="inlineStr">
        <is>
          <t>IC Kationen</t>
        </is>
      </c>
      <c r="BM304" s="20" t="inlineStr">
        <is>
          <t>None</t>
        </is>
      </c>
      <c r="BN304" s="17" t="n"/>
      <c r="BO304" s="16" t="n"/>
      <c r="BP304" s="20" t="inlineStr">
        <is>
          <t>IC Kationen</t>
        </is>
      </c>
      <c r="BQ304" s="20" t="inlineStr">
        <is>
          <t>None</t>
        </is>
      </c>
      <c r="BR304" s="17" t="n"/>
      <c r="BS304" s="16" t="n"/>
      <c r="BT304" s="20" t="inlineStr">
        <is>
          <t>IC Kationen</t>
        </is>
      </c>
      <c r="BU304" s="20" t="inlineStr">
        <is>
          <t>None</t>
        </is>
      </c>
      <c r="BV304" s="17" t="n"/>
      <c r="BW304" s="16" t="n"/>
      <c r="BX304" s="20" t="n"/>
      <c r="BY304" s="20" t="inlineStr">
        <is>
          <t>None</t>
        </is>
      </c>
      <c r="BZ304" s="17" t="n"/>
      <c r="CA304" s="16" t="n"/>
      <c r="CB304" s="20" t="n"/>
      <c r="CC304" s="20" t="inlineStr">
        <is>
          <t>None</t>
        </is>
      </c>
      <c r="CD304" s="17" t="n"/>
      <c r="CE304" s="16" t="n"/>
      <c r="CF304" s="20" t="n"/>
      <c r="CG304" s="20" t="inlineStr">
        <is>
          <t>None</t>
        </is>
      </c>
      <c r="CH304" s="17" t="n"/>
      <c r="CI304" s="16" t="n"/>
      <c r="CJ304" s="20" t="n"/>
      <c r="CK304" s="20" t="inlineStr">
        <is>
          <t>None</t>
        </is>
      </c>
      <c r="CL304" s="17" t="n"/>
      <c r="CM304" s="16" t="n"/>
      <c r="CN304" s="20" t="inlineStr">
        <is>
          <t>SOP 45-34</t>
        </is>
      </c>
      <c r="CO304" s="20" t="inlineStr">
        <is>
          <t>None</t>
        </is>
      </c>
      <c r="CP304" s="17" t="n"/>
      <c r="CQ304" s="16" t="n"/>
      <c r="CR304" s="20" t="n"/>
      <c r="CS304" s="20" t="inlineStr">
        <is>
          <t>None</t>
        </is>
      </c>
      <c r="CT304" s="17" t="n"/>
      <c r="CU304" s="16" t="n"/>
      <c r="CV304" s="20" t="n"/>
      <c r="CW304" s="20" t="inlineStr">
        <is>
          <t>None</t>
        </is>
      </c>
      <c r="CX304" s="17" t="n"/>
      <c r="CY304" s="16" t="n"/>
      <c r="CZ304" s="20" t="inlineStr">
        <is>
          <t>WTW Multimeter 3430 with FDO 925</t>
        </is>
      </c>
      <c r="DA304" s="20" t="inlineStr">
        <is>
          <t>None</t>
        </is>
      </c>
      <c r="DB304" s="17" t="n"/>
      <c r="DC304" s="16" t="n"/>
      <c r="DD304" s="20" t="n"/>
      <c r="DE304" s="20" t="inlineStr">
        <is>
          <t>None</t>
        </is>
      </c>
      <c r="DF304" s="17" t="n"/>
      <c r="DG304" s="16" t="n"/>
      <c r="DH304" s="20" t="inlineStr">
        <is>
          <t>SOP 45-09</t>
        </is>
      </c>
      <c r="DI304" s="20" t="inlineStr">
        <is>
          <t>None</t>
        </is>
      </c>
      <c r="DJ304" s="17" t="n"/>
      <c r="DK304" s="16" t="n"/>
      <c r="DL304" s="20" t="inlineStr">
        <is>
          <t>SOP 45-09 (SOP muss noch angepasst werden für VSS)</t>
        </is>
      </c>
      <c r="DM304" s="20" t="inlineStr">
        <is>
          <t>None</t>
        </is>
      </c>
      <c r="DN304" s="17" t="n"/>
      <c r="DO304" s="16" t="n"/>
      <c r="DP304" s="20" t="inlineStr">
        <is>
          <t>IC Organic Acids</t>
        </is>
      </c>
      <c r="DQ304" s="20" t="inlineStr">
        <is>
          <t>None</t>
        </is>
      </c>
      <c r="DR304" s="17" t="n"/>
      <c r="DS304" s="16" t="n"/>
      <c r="DT304" s="20" t="inlineStr">
        <is>
          <t>IC Organic Acids</t>
        </is>
      </c>
      <c r="DU304" s="20" t="inlineStr">
        <is>
          <t>None</t>
        </is>
      </c>
      <c r="DV304" s="17" t="n"/>
      <c r="DW304" s="16" t="n"/>
      <c r="DX304" s="20" t="inlineStr">
        <is>
          <t>IC Organic Acids</t>
        </is>
      </c>
      <c r="DY304" s="20" t="inlineStr">
        <is>
          <t>None</t>
        </is>
      </c>
      <c r="DZ304" s="17" t="n"/>
      <c r="EA304" s="16" t="n"/>
      <c r="EB304" s="20" t="inlineStr">
        <is>
          <t>IC Organic Acids</t>
        </is>
      </c>
      <c r="EC304" s="20" t="inlineStr">
        <is>
          <t>None</t>
        </is>
      </c>
      <c r="ED304" s="17" t="n"/>
      <c r="EE304" s="16" t="n"/>
      <c r="EF304" s="20" t="inlineStr">
        <is>
          <t>IC Organic Acids</t>
        </is>
      </c>
      <c r="EG304" s="20" t="inlineStr">
        <is>
          <t>None</t>
        </is>
      </c>
      <c r="EH304" s="17" t="n"/>
      <c r="EI304" s="16" t="n"/>
      <c r="EJ304" s="20" t="inlineStr">
        <is>
          <t>IC Organic Acids</t>
        </is>
      </c>
      <c r="EK304" s="20" t="inlineStr">
        <is>
          <t>None</t>
        </is>
      </c>
      <c r="EL304" s="17" t="n"/>
      <c r="EM304" s="16" t="n"/>
      <c r="EN304" s="20" t="inlineStr">
        <is>
          <t>IC Organic Acids</t>
        </is>
      </c>
      <c r="EO304" s="20" t="inlineStr">
        <is>
          <t>None</t>
        </is>
      </c>
      <c r="EP304" s="17" t="n"/>
      <c r="EQ304" s="16" t="n"/>
      <c r="ER304" s="20" t="inlineStr">
        <is>
          <t>IC Organic Acids</t>
        </is>
      </c>
      <c r="ES304" s="20" t="inlineStr">
        <is>
          <t>None</t>
        </is>
      </c>
      <c r="ET304" s="17" t="n"/>
      <c r="EU304" s="16" t="n"/>
      <c r="EV304" s="20" t="inlineStr">
        <is>
          <t>LC-MS</t>
        </is>
      </c>
      <c r="EW304" s="20" t="inlineStr">
        <is>
          <t>None</t>
        </is>
      </c>
      <c r="EX304" s="17" t="n"/>
      <c r="EY304" s="21" t="n"/>
      <c r="EZ304">
        <f>CONCATENATE(A304,B304)</f>
        <v/>
      </c>
      <c r="FA304">
        <f>CONCATENATE(SamplesX!A304,SamplesX!B304)</f>
        <v/>
      </c>
      <c r="FC304">
        <f>MATCH(EZ304,FA1:FA1008,0)</f>
        <v/>
      </c>
    </row>
    <row r="305">
      <c r="A305" s="16" t="inlineStr">
        <is>
          <t>BP</t>
        </is>
      </c>
      <c r="B305" s="17" t="inlineStr">
        <is>
          <t>25297</t>
        </is>
      </c>
      <c r="C305" s="10">
        <f>IF(ISNUMBER(FC305),INDIRECT("SamplesX!C"&amp;FC305),IF(ISNUMBER(FD305),INDIRECT("SamplesY!C"&amp;FD305),""))</f>
        <v/>
      </c>
      <c r="D305" s="12">
        <f>IF(ISNUMBER(FC305),INDIRECT("SamplesX!D"&amp;FC305),IF(ISNUMBER(FD305),INDIRECT("SamplesY!D"&amp;FD305),""))</f>
        <v/>
      </c>
      <c r="E305" s="12">
        <f>IF(ISNUMBER(FC305),INDIRECT("SamplesX!E"&amp;FC305),IF(ISNUMBER(FD305),INDIRECT("SamplesY!E"&amp;FD305),""))</f>
        <v/>
      </c>
      <c r="F305" s="11">
        <f>IF(ISNUMBER(FC305),INDIRECT("SamplesX!F"&amp;FC305),IF(ISNUMBER(FD305),INDIRECT("SamplesY!F"&amp;FD305),""))</f>
        <v/>
      </c>
      <c r="G305" s="18">
        <f>IF(ISNUMBER(FC305),INDIRECT("SamplesX!G"&amp;FC305),IF(ISNUMBER(FD305),INDIRECT("SamplesY!G"&amp;FD305),""))</f>
        <v/>
      </c>
      <c r="H305" s="19">
        <f>IF(ISNUMBER(FC305),INDIRECT("SamplesX!H"&amp;FC305),IF(ISNUMBER(FD305),INDIRECT("SamplesY!H"&amp;FD305),""))</f>
        <v/>
      </c>
      <c r="I305" s="16" t="n"/>
      <c r="J305" s="16" t="n"/>
      <c r="K305" s="16" t="n"/>
      <c r="L305" s="20" t="n"/>
      <c r="M305" s="20" t="inlineStr">
        <is>
          <t>None</t>
        </is>
      </c>
      <c r="N305" s="17" t="n"/>
      <c r="O305" s="16" t="n"/>
      <c r="P305" s="20" t="inlineStr">
        <is>
          <t>Shimadzu TOC-L</t>
        </is>
      </c>
      <c r="Q305" s="20" t="inlineStr">
        <is>
          <t>None</t>
        </is>
      </c>
      <c r="R305" s="17" t="n"/>
      <c r="S305" s="16" t="n"/>
      <c r="T305" s="20" t="inlineStr">
        <is>
          <t>Shimadzu TOC-L</t>
        </is>
      </c>
      <c r="U305" s="20" t="inlineStr">
        <is>
          <t>None</t>
        </is>
      </c>
      <c r="V305" s="17" t="n"/>
      <c r="W305" s="16" t="n"/>
      <c r="X305" s="20" t="n"/>
      <c r="Y305" s="20" t="inlineStr">
        <is>
          <t>None</t>
        </is>
      </c>
      <c r="Z305" s="17" t="n"/>
      <c r="AA305" s="16" t="n"/>
      <c r="AB305" s="20" t="n"/>
      <c r="AC305" s="20" t="inlineStr">
        <is>
          <t>None</t>
        </is>
      </c>
      <c r="AD305" s="17" t="n"/>
      <c r="AE305" s="16" t="n"/>
      <c r="AF305" s="20" t="inlineStr">
        <is>
          <t>IC Anionen</t>
        </is>
      </c>
      <c r="AG305" s="20" t="inlineStr">
        <is>
          <t>None</t>
        </is>
      </c>
      <c r="AH305" s="17" t="n"/>
      <c r="AI305" s="16" t="n"/>
      <c r="AJ305" s="20" t="n"/>
      <c r="AK305" s="20" t="inlineStr">
        <is>
          <t>None</t>
        </is>
      </c>
      <c r="AL305" s="17" t="n"/>
      <c r="AM305" s="16" t="n"/>
      <c r="AN305" s="20" t="inlineStr">
        <is>
          <t>IC Anionen</t>
        </is>
      </c>
      <c r="AO305" s="20" t="inlineStr">
        <is>
          <t>None</t>
        </is>
      </c>
      <c r="AP305" s="17" t="n"/>
      <c r="AQ305" s="16" t="n"/>
      <c r="AR305" s="20" t="n"/>
      <c r="AS305" s="20" t="inlineStr">
        <is>
          <t>None</t>
        </is>
      </c>
      <c r="AT305" s="17" t="n"/>
      <c r="AU305" s="16" t="n"/>
      <c r="AV305" s="20" t="n"/>
      <c r="AW305" s="20" t="inlineStr">
        <is>
          <t>None</t>
        </is>
      </c>
      <c r="AX305" s="17" t="n"/>
      <c r="AY305" s="16" t="n"/>
      <c r="AZ305" s="20" t="inlineStr">
        <is>
          <t>IC Anionen</t>
        </is>
      </c>
      <c r="BA305" s="20" t="inlineStr">
        <is>
          <t>None</t>
        </is>
      </c>
      <c r="BB305" s="17" t="n"/>
      <c r="BC305" s="16" t="n"/>
      <c r="BD305" s="20" t="inlineStr">
        <is>
          <t>IC Kationen</t>
        </is>
      </c>
      <c r="BE305" s="20" t="inlineStr">
        <is>
          <t>None</t>
        </is>
      </c>
      <c r="BF305" s="17" t="n"/>
      <c r="BG305" s="16" t="n"/>
      <c r="BH305" s="20" t="inlineStr">
        <is>
          <t>IC Kationen</t>
        </is>
      </c>
      <c r="BI305" s="20" t="inlineStr">
        <is>
          <t>None</t>
        </is>
      </c>
      <c r="BJ305" s="17" t="n"/>
      <c r="BK305" s="16" t="n"/>
      <c r="BL305" s="20" t="inlineStr">
        <is>
          <t>IC Kationen</t>
        </is>
      </c>
      <c r="BM305" s="20" t="inlineStr">
        <is>
          <t>None</t>
        </is>
      </c>
      <c r="BN305" s="17" t="n"/>
      <c r="BO305" s="16" t="n"/>
      <c r="BP305" s="20" t="inlineStr">
        <is>
          <t>IC Kationen</t>
        </is>
      </c>
      <c r="BQ305" s="20" t="inlineStr">
        <is>
          <t>None</t>
        </is>
      </c>
      <c r="BR305" s="17" t="n"/>
      <c r="BS305" s="16" t="n"/>
      <c r="BT305" s="20" t="inlineStr">
        <is>
          <t>IC Kationen</t>
        </is>
      </c>
      <c r="BU305" s="20" t="inlineStr">
        <is>
          <t>None</t>
        </is>
      </c>
      <c r="BV305" s="17" t="n"/>
      <c r="BW305" s="16" t="n"/>
      <c r="BX305" s="20" t="n"/>
      <c r="BY305" s="20" t="inlineStr">
        <is>
          <t>None</t>
        </is>
      </c>
      <c r="BZ305" s="17" t="n"/>
      <c r="CA305" s="16" t="n"/>
      <c r="CB305" s="20" t="n"/>
      <c r="CC305" s="20" t="inlineStr">
        <is>
          <t>None</t>
        </is>
      </c>
      <c r="CD305" s="17" t="n"/>
      <c r="CE305" s="16" t="n"/>
      <c r="CF305" s="20" t="n"/>
      <c r="CG305" s="20" t="inlineStr">
        <is>
          <t>None</t>
        </is>
      </c>
      <c r="CH305" s="17" t="n"/>
      <c r="CI305" s="16" t="n"/>
      <c r="CJ305" s="20" t="n"/>
      <c r="CK305" s="20" t="inlineStr">
        <is>
          <t>None</t>
        </is>
      </c>
      <c r="CL305" s="17" t="n"/>
      <c r="CM305" s="16" t="n"/>
      <c r="CN305" s="20" t="inlineStr">
        <is>
          <t>SOP 45-34</t>
        </is>
      </c>
      <c r="CO305" s="20" t="inlineStr">
        <is>
          <t>None</t>
        </is>
      </c>
      <c r="CP305" s="17" t="n"/>
      <c r="CQ305" s="16" t="n"/>
      <c r="CR305" s="20" t="n"/>
      <c r="CS305" s="20" t="inlineStr">
        <is>
          <t>None</t>
        </is>
      </c>
      <c r="CT305" s="17" t="n"/>
      <c r="CU305" s="16" t="n"/>
      <c r="CV305" s="20" t="n"/>
      <c r="CW305" s="20" t="inlineStr">
        <is>
          <t>None</t>
        </is>
      </c>
      <c r="CX305" s="17" t="n"/>
      <c r="CY305" s="16" t="n"/>
      <c r="CZ305" s="20" t="inlineStr">
        <is>
          <t>WTW Multimeter 3430 with FDO 925</t>
        </is>
      </c>
      <c r="DA305" s="20" t="inlineStr">
        <is>
          <t>None</t>
        </is>
      </c>
      <c r="DB305" s="17" t="n"/>
      <c r="DC305" s="16" t="n"/>
      <c r="DD305" s="20" t="n"/>
      <c r="DE305" s="20" t="inlineStr">
        <is>
          <t>None</t>
        </is>
      </c>
      <c r="DF305" s="17" t="n"/>
      <c r="DG305" s="16" t="n"/>
      <c r="DH305" s="20" t="inlineStr">
        <is>
          <t>SOP 45-09</t>
        </is>
      </c>
      <c r="DI305" s="20" t="inlineStr">
        <is>
          <t>None</t>
        </is>
      </c>
      <c r="DJ305" s="17" t="n"/>
      <c r="DK305" s="16" t="n"/>
      <c r="DL305" s="20" t="inlineStr">
        <is>
          <t>SOP 45-09 (SOP muss noch angepasst werden für VSS)</t>
        </is>
      </c>
      <c r="DM305" s="20" t="inlineStr">
        <is>
          <t>None</t>
        </is>
      </c>
      <c r="DN305" s="17" t="n"/>
      <c r="DO305" s="16" t="n"/>
      <c r="DP305" s="20" t="inlineStr">
        <is>
          <t>IC Organic Acids</t>
        </is>
      </c>
      <c r="DQ305" s="20" t="inlineStr">
        <is>
          <t>None</t>
        </is>
      </c>
      <c r="DR305" s="17" t="n"/>
      <c r="DS305" s="16" t="n"/>
      <c r="DT305" s="20" t="inlineStr">
        <is>
          <t>IC Organic Acids</t>
        </is>
      </c>
      <c r="DU305" s="20" t="inlineStr">
        <is>
          <t>None</t>
        </is>
      </c>
      <c r="DV305" s="17" t="n"/>
      <c r="DW305" s="16" t="n"/>
      <c r="DX305" s="20" t="inlineStr">
        <is>
          <t>IC Organic Acids</t>
        </is>
      </c>
      <c r="DY305" s="20" t="inlineStr">
        <is>
          <t>None</t>
        </is>
      </c>
      <c r="DZ305" s="17" t="n"/>
      <c r="EA305" s="16" t="n"/>
      <c r="EB305" s="20" t="inlineStr">
        <is>
          <t>IC Organic Acids</t>
        </is>
      </c>
      <c r="EC305" s="20" t="inlineStr">
        <is>
          <t>None</t>
        </is>
      </c>
      <c r="ED305" s="17" t="n"/>
      <c r="EE305" s="16" t="n"/>
      <c r="EF305" s="20" t="inlineStr">
        <is>
          <t>IC Organic Acids</t>
        </is>
      </c>
      <c r="EG305" s="20" t="inlineStr">
        <is>
          <t>None</t>
        </is>
      </c>
      <c r="EH305" s="17" t="n"/>
      <c r="EI305" s="16" t="n"/>
      <c r="EJ305" s="20" t="inlineStr">
        <is>
          <t>IC Organic Acids</t>
        </is>
      </c>
      <c r="EK305" s="20" t="inlineStr">
        <is>
          <t>None</t>
        </is>
      </c>
      <c r="EL305" s="17" t="n"/>
      <c r="EM305" s="16" t="n"/>
      <c r="EN305" s="20" t="inlineStr">
        <is>
          <t>IC Organic Acids</t>
        </is>
      </c>
      <c r="EO305" s="20" t="inlineStr">
        <is>
          <t>None</t>
        </is>
      </c>
      <c r="EP305" s="17" t="n"/>
      <c r="EQ305" s="16" t="n"/>
      <c r="ER305" s="20" t="inlineStr">
        <is>
          <t>IC Organic Acids</t>
        </is>
      </c>
      <c r="ES305" s="20" t="inlineStr">
        <is>
          <t>None</t>
        </is>
      </c>
      <c r="ET305" s="17" t="n"/>
      <c r="EU305" s="16" t="n"/>
      <c r="EV305" s="20" t="inlineStr">
        <is>
          <t>LC-MS</t>
        </is>
      </c>
      <c r="EW305" s="20" t="inlineStr">
        <is>
          <t>None</t>
        </is>
      </c>
      <c r="EX305" s="17" t="n"/>
      <c r="EY305" s="21" t="n"/>
      <c r="EZ305">
        <f>CONCATENATE(A305,B305)</f>
        <v/>
      </c>
      <c r="FA305">
        <f>CONCATENATE(SamplesX!A305,SamplesX!B305)</f>
        <v/>
      </c>
      <c r="FC305">
        <f>MATCH(EZ305,FA1:FA1008,0)</f>
        <v/>
      </c>
    </row>
    <row r="306">
      <c r="A306" s="16" t="inlineStr">
        <is>
          <t>BP</t>
        </is>
      </c>
      <c r="B306" s="17" t="inlineStr">
        <is>
          <t>25298</t>
        </is>
      </c>
      <c r="C306" s="10">
        <f>IF(ISNUMBER(FC306),INDIRECT("SamplesX!C"&amp;FC306),IF(ISNUMBER(FD306),INDIRECT("SamplesY!C"&amp;FD306),""))</f>
        <v/>
      </c>
      <c r="D306" s="12">
        <f>IF(ISNUMBER(FC306),INDIRECT("SamplesX!D"&amp;FC306),IF(ISNUMBER(FD306),INDIRECT("SamplesY!D"&amp;FD306),""))</f>
        <v/>
      </c>
      <c r="E306" s="12">
        <f>IF(ISNUMBER(FC306),INDIRECT("SamplesX!E"&amp;FC306),IF(ISNUMBER(FD306),INDIRECT("SamplesY!E"&amp;FD306),""))</f>
        <v/>
      </c>
      <c r="F306" s="11">
        <f>IF(ISNUMBER(FC306),INDIRECT("SamplesX!F"&amp;FC306),IF(ISNUMBER(FD306),INDIRECT("SamplesY!F"&amp;FD306),""))</f>
        <v/>
      </c>
      <c r="G306" s="18">
        <f>IF(ISNUMBER(FC306),INDIRECT("SamplesX!G"&amp;FC306),IF(ISNUMBER(FD306),INDIRECT("SamplesY!G"&amp;FD306),""))</f>
        <v/>
      </c>
      <c r="H306" s="19">
        <f>IF(ISNUMBER(FC306),INDIRECT("SamplesX!H"&amp;FC306),IF(ISNUMBER(FD306),INDIRECT("SamplesY!H"&amp;FD306),""))</f>
        <v/>
      </c>
      <c r="I306" s="16" t="n"/>
      <c r="J306" s="16" t="n"/>
      <c r="K306" s="16" t="n"/>
      <c r="L306" s="20" t="n"/>
      <c r="M306" s="20" t="inlineStr">
        <is>
          <t>None</t>
        </is>
      </c>
      <c r="N306" s="17" t="n"/>
      <c r="O306" s="16" t="n"/>
      <c r="P306" s="20" t="inlineStr">
        <is>
          <t>Shimadzu TOC-L</t>
        </is>
      </c>
      <c r="Q306" s="20" t="inlineStr">
        <is>
          <t>None</t>
        </is>
      </c>
      <c r="R306" s="17" t="n"/>
      <c r="S306" s="16" t="n"/>
      <c r="T306" s="20" t="inlineStr">
        <is>
          <t>Shimadzu TOC-L</t>
        </is>
      </c>
      <c r="U306" s="20" t="inlineStr">
        <is>
          <t>None</t>
        </is>
      </c>
      <c r="V306" s="17" t="n"/>
      <c r="W306" s="16" t="n"/>
      <c r="X306" s="20" t="n"/>
      <c r="Y306" s="20" t="inlineStr">
        <is>
          <t>None</t>
        </is>
      </c>
      <c r="Z306" s="17" t="n"/>
      <c r="AA306" s="16" t="n"/>
      <c r="AB306" s="20" t="n"/>
      <c r="AC306" s="20" t="inlineStr">
        <is>
          <t>None</t>
        </is>
      </c>
      <c r="AD306" s="17" t="n"/>
      <c r="AE306" s="16" t="n"/>
      <c r="AF306" s="20" t="inlineStr">
        <is>
          <t>IC Anionen</t>
        </is>
      </c>
      <c r="AG306" s="20" t="inlineStr">
        <is>
          <t>None</t>
        </is>
      </c>
      <c r="AH306" s="17" t="n"/>
      <c r="AI306" s="16" t="n"/>
      <c r="AJ306" s="20" t="n"/>
      <c r="AK306" s="20" t="inlineStr">
        <is>
          <t>None</t>
        </is>
      </c>
      <c r="AL306" s="17" t="n"/>
      <c r="AM306" s="16" t="n"/>
      <c r="AN306" s="20" t="inlineStr">
        <is>
          <t>IC Anionen</t>
        </is>
      </c>
      <c r="AO306" s="20" t="inlineStr">
        <is>
          <t>None</t>
        </is>
      </c>
      <c r="AP306" s="17" t="n"/>
      <c r="AQ306" s="16" t="n"/>
      <c r="AR306" s="20" t="n"/>
      <c r="AS306" s="20" t="inlineStr">
        <is>
          <t>None</t>
        </is>
      </c>
      <c r="AT306" s="17" t="n"/>
      <c r="AU306" s="16" t="n"/>
      <c r="AV306" s="20" t="n"/>
      <c r="AW306" s="20" t="inlineStr">
        <is>
          <t>None</t>
        </is>
      </c>
      <c r="AX306" s="17" t="n"/>
      <c r="AY306" s="16" t="n"/>
      <c r="AZ306" s="20" t="inlineStr">
        <is>
          <t>IC Anionen</t>
        </is>
      </c>
      <c r="BA306" s="20" t="inlineStr">
        <is>
          <t>None</t>
        </is>
      </c>
      <c r="BB306" s="17" t="n"/>
      <c r="BC306" s="16" t="n"/>
      <c r="BD306" s="20" t="inlineStr">
        <is>
          <t>IC Kationen</t>
        </is>
      </c>
      <c r="BE306" s="20" t="inlineStr">
        <is>
          <t>None</t>
        </is>
      </c>
      <c r="BF306" s="17" t="n"/>
      <c r="BG306" s="16" t="n"/>
      <c r="BH306" s="20" t="inlineStr">
        <is>
          <t>IC Kationen</t>
        </is>
      </c>
      <c r="BI306" s="20" t="inlineStr">
        <is>
          <t>None</t>
        </is>
      </c>
      <c r="BJ306" s="17" t="n"/>
      <c r="BK306" s="16" t="n"/>
      <c r="BL306" s="20" t="inlineStr">
        <is>
          <t>IC Kationen</t>
        </is>
      </c>
      <c r="BM306" s="20" t="inlineStr">
        <is>
          <t>None</t>
        </is>
      </c>
      <c r="BN306" s="17" t="n"/>
      <c r="BO306" s="16" t="n"/>
      <c r="BP306" s="20" t="inlineStr">
        <is>
          <t>IC Kationen</t>
        </is>
      </c>
      <c r="BQ306" s="20" t="inlineStr">
        <is>
          <t>None</t>
        </is>
      </c>
      <c r="BR306" s="17" t="n"/>
      <c r="BS306" s="16" t="n"/>
      <c r="BT306" s="20" t="inlineStr">
        <is>
          <t>IC Kationen</t>
        </is>
      </c>
      <c r="BU306" s="20" t="inlineStr">
        <is>
          <t>None</t>
        </is>
      </c>
      <c r="BV306" s="17" t="n"/>
      <c r="BW306" s="16" t="n"/>
      <c r="BX306" s="20" t="n"/>
      <c r="BY306" s="20" t="inlineStr">
        <is>
          <t>None</t>
        </is>
      </c>
      <c r="BZ306" s="17" t="n"/>
      <c r="CA306" s="16" t="n"/>
      <c r="CB306" s="20" t="n"/>
      <c r="CC306" s="20" t="inlineStr">
        <is>
          <t>None</t>
        </is>
      </c>
      <c r="CD306" s="17" t="n"/>
      <c r="CE306" s="16" t="n"/>
      <c r="CF306" s="20" t="n"/>
      <c r="CG306" s="20" t="inlineStr">
        <is>
          <t>None</t>
        </is>
      </c>
      <c r="CH306" s="17" t="n"/>
      <c r="CI306" s="16" t="n"/>
      <c r="CJ306" s="20" t="n"/>
      <c r="CK306" s="20" t="inlineStr">
        <is>
          <t>None</t>
        </is>
      </c>
      <c r="CL306" s="17" t="n"/>
      <c r="CM306" s="16" t="n"/>
      <c r="CN306" s="20" t="inlineStr">
        <is>
          <t>SOP 45-34</t>
        </is>
      </c>
      <c r="CO306" s="20" t="inlineStr">
        <is>
          <t>None</t>
        </is>
      </c>
      <c r="CP306" s="17" t="n"/>
      <c r="CQ306" s="16" t="n"/>
      <c r="CR306" s="20" t="n"/>
      <c r="CS306" s="20" t="inlineStr">
        <is>
          <t>None</t>
        </is>
      </c>
      <c r="CT306" s="17" t="n"/>
      <c r="CU306" s="16" t="n"/>
      <c r="CV306" s="20" t="n"/>
      <c r="CW306" s="20" t="inlineStr">
        <is>
          <t>None</t>
        </is>
      </c>
      <c r="CX306" s="17" t="n"/>
      <c r="CY306" s="16" t="n"/>
      <c r="CZ306" s="20" t="inlineStr">
        <is>
          <t>WTW Multimeter 3430 with FDO 925</t>
        </is>
      </c>
      <c r="DA306" s="20" t="inlineStr">
        <is>
          <t>None</t>
        </is>
      </c>
      <c r="DB306" s="17" t="n"/>
      <c r="DC306" s="16" t="n"/>
      <c r="DD306" s="20" t="n"/>
      <c r="DE306" s="20" t="inlineStr">
        <is>
          <t>None</t>
        </is>
      </c>
      <c r="DF306" s="17" t="n"/>
      <c r="DG306" s="16" t="n"/>
      <c r="DH306" s="20" t="inlineStr">
        <is>
          <t>SOP 45-09</t>
        </is>
      </c>
      <c r="DI306" s="20" t="inlineStr">
        <is>
          <t>None</t>
        </is>
      </c>
      <c r="DJ306" s="17" t="n"/>
      <c r="DK306" s="16" t="n"/>
      <c r="DL306" s="20" t="inlineStr">
        <is>
          <t>SOP 45-09 (SOP muss noch angepasst werden für VSS)</t>
        </is>
      </c>
      <c r="DM306" s="20" t="inlineStr">
        <is>
          <t>None</t>
        </is>
      </c>
      <c r="DN306" s="17" t="n"/>
      <c r="DO306" s="16" t="n"/>
      <c r="DP306" s="20" t="inlineStr">
        <is>
          <t>IC Organic Acids</t>
        </is>
      </c>
      <c r="DQ306" s="20" t="inlineStr">
        <is>
          <t>None</t>
        </is>
      </c>
      <c r="DR306" s="17" t="n"/>
      <c r="DS306" s="16" t="n"/>
      <c r="DT306" s="20" t="inlineStr">
        <is>
          <t>IC Organic Acids</t>
        </is>
      </c>
      <c r="DU306" s="20" t="inlineStr">
        <is>
          <t>None</t>
        </is>
      </c>
      <c r="DV306" s="17" t="n"/>
      <c r="DW306" s="16" t="n"/>
      <c r="DX306" s="20" t="inlineStr">
        <is>
          <t>IC Organic Acids</t>
        </is>
      </c>
      <c r="DY306" s="20" t="inlineStr">
        <is>
          <t>None</t>
        </is>
      </c>
      <c r="DZ306" s="17" t="n"/>
      <c r="EA306" s="16" t="n"/>
      <c r="EB306" s="20" t="inlineStr">
        <is>
          <t>IC Organic Acids</t>
        </is>
      </c>
      <c r="EC306" s="20" t="inlineStr">
        <is>
          <t>None</t>
        </is>
      </c>
      <c r="ED306" s="17" t="n"/>
      <c r="EE306" s="16" t="n"/>
      <c r="EF306" s="20" t="inlineStr">
        <is>
          <t>IC Organic Acids</t>
        </is>
      </c>
      <c r="EG306" s="20" t="inlineStr">
        <is>
          <t>None</t>
        </is>
      </c>
      <c r="EH306" s="17" t="n"/>
      <c r="EI306" s="16" t="n"/>
      <c r="EJ306" s="20" t="inlineStr">
        <is>
          <t>IC Organic Acids</t>
        </is>
      </c>
      <c r="EK306" s="20" t="inlineStr">
        <is>
          <t>None</t>
        </is>
      </c>
      <c r="EL306" s="17" t="n"/>
      <c r="EM306" s="16" t="n"/>
      <c r="EN306" s="20" t="inlineStr">
        <is>
          <t>IC Organic Acids</t>
        </is>
      </c>
      <c r="EO306" s="20" t="inlineStr">
        <is>
          <t>None</t>
        </is>
      </c>
      <c r="EP306" s="17" t="n"/>
      <c r="EQ306" s="16" t="n"/>
      <c r="ER306" s="20" t="inlineStr">
        <is>
          <t>IC Organic Acids</t>
        </is>
      </c>
      <c r="ES306" s="20" t="inlineStr">
        <is>
          <t>None</t>
        </is>
      </c>
      <c r="ET306" s="17" t="n"/>
      <c r="EU306" s="16" t="n"/>
      <c r="EV306" s="20" t="inlineStr">
        <is>
          <t>LC-MS</t>
        </is>
      </c>
      <c r="EW306" s="20" t="inlineStr">
        <is>
          <t>None</t>
        </is>
      </c>
      <c r="EX306" s="17" t="n"/>
      <c r="EY306" s="21" t="n"/>
      <c r="EZ306">
        <f>CONCATENATE(A306,B306)</f>
        <v/>
      </c>
      <c r="FA306">
        <f>CONCATENATE(SamplesX!A306,SamplesX!B306)</f>
        <v/>
      </c>
      <c r="FC306">
        <f>MATCH(EZ306,FA1:FA1008,0)</f>
        <v/>
      </c>
    </row>
    <row r="307">
      <c r="A307" s="16" t="inlineStr">
        <is>
          <t>BP</t>
        </is>
      </c>
      <c r="B307" s="17" t="inlineStr">
        <is>
          <t>25299</t>
        </is>
      </c>
      <c r="C307" s="10">
        <f>IF(ISNUMBER(FC307),INDIRECT("SamplesX!C"&amp;FC307),IF(ISNUMBER(FD307),INDIRECT("SamplesY!C"&amp;FD307),""))</f>
        <v/>
      </c>
      <c r="D307" s="12">
        <f>IF(ISNUMBER(FC307),INDIRECT("SamplesX!D"&amp;FC307),IF(ISNUMBER(FD307),INDIRECT("SamplesY!D"&amp;FD307),""))</f>
        <v/>
      </c>
      <c r="E307" s="12">
        <f>IF(ISNUMBER(FC307),INDIRECT("SamplesX!E"&amp;FC307),IF(ISNUMBER(FD307),INDIRECT("SamplesY!E"&amp;FD307),""))</f>
        <v/>
      </c>
      <c r="F307" s="11">
        <f>IF(ISNUMBER(FC307),INDIRECT("SamplesX!F"&amp;FC307),IF(ISNUMBER(FD307),INDIRECT("SamplesY!F"&amp;FD307),""))</f>
        <v/>
      </c>
      <c r="G307" s="18">
        <f>IF(ISNUMBER(FC307),INDIRECT("SamplesX!G"&amp;FC307),IF(ISNUMBER(FD307),INDIRECT("SamplesY!G"&amp;FD307),""))</f>
        <v/>
      </c>
      <c r="H307" s="19">
        <f>IF(ISNUMBER(FC307),INDIRECT("SamplesX!H"&amp;FC307),IF(ISNUMBER(FD307),INDIRECT("SamplesY!H"&amp;FD307),""))</f>
        <v/>
      </c>
      <c r="I307" s="16" t="n"/>
      <c r="J307" s="16" t="n"/>
      <c r="K307" s="16" t="n"/>
      <c r="L307" s="20" t="n"/>
      <c r="M307" s="20" t="inlineStr">
        <is>
          <t>None</t>
        </is>
      </c>
      <c r="N307" s="17" t="n"/>
      <c r="O307" s="16" t="n"/>
      <c r="P307" s="20" t="inlineStr">
        <is>
          <t>Shimadzu TOC-L</t>
        </is>
      </c>
      <c r="Q307" s="20" t="inlineStr">
        <is>
          <t>None</t>
        </is>
      </c>
      <c r="R307" s="17" t="n"/>
      <c r="S307" s="16" t="n"/>
      <c r="T307" s="20" t="inlineStr">
        <is>
          <t>Shimadzu TOC-L</t>
        </is>
      </c>
      <c r="U307" s="20" t="inlineStr">
        <is>
          <t>None</t>
        </is>
      </c>
      <c r="V307" s="17" t="n"/>
      <c r="W307" s="16" t="n"/>
      <c r="X307" s="20" t="n"/>
      <c r="Y307" s="20" t="inlineStr">
        <is>
          <t>None</t>
        </is>
      </c>
      <c r="Z307" s="17" t="n"/>
      <c r="AA307" s="16" t="n"/>
      <c r="AB307" s="20" t="n"/>
      <c r="AC307" s="20" t="inlineStr">
        <is>
          <t>None</t>
        </is>
      </c>
      <c r="AD307" s="17" t="n"/>
      <c r="AE307" s="16" t="n"/>
      <c r="AF307" s="20" t="inlineStr">
        <is>
          <t>IC Anionen</t>
        </is>
      </c>
      <c r="AG307" s="20" t="inlineStr">
        <is>
          <t>None</t>
        </is>
      </c>
      <c r="AH307" s="17" t="n"/>
      <c r="AI307" s="16" t="n"/>
      <c r="AJ307" s="20" t="n"/>
      <c r="AK307" s="20" t="inlineStr">
        <is>
          <t>None</t>
        </is>
      </c>
      <c r="AL307" s="17" t="n"/>
      <c r="AM307" s="16" t="n"/>
      <c r="AN307" s="20" t="inlineStr">
        <is>
          <t>IC Anionen</t>
        </is>
      </c>
      <c r="AO307" s="20" t="inlineStr">
        <is>
          <t>None</t>
        </is>
      </c>
      <c r="AP307" s="17" t="n"/>
      <c r="AQ307" s="16" t="n"/>
      <c r="AR307" s="20" t="n"/>
      <c r="AS307" s="20" t="inlineStr">
        <is>
          <t>None</t>
        </is>
      </c>
      <c r="AT307" s="17" t="n"/>
      <c r="AU307" s="16" t="n"/>
      <c r="AV307" s="20" t="n"/>
      <c r="AW307" s="20" t="inlineStr">
        <is>
          <t>None</t>
        </is>
      </c>
      <c r="AX307" s="17" t="n"/>
      <c r="AY307" s="16" t="n"/>
      <c r="AZ307" s="20" t="inlineStr">
        <is>
          <t>IC Anionen</t>
        </is>
      </c>
      <c r="BA307" s="20" t="inlineStr">
        <is>
          <t>None</t>
        </is>
      </c>
      <c r="BB307" s="17" t="n"/>
      <c r="BC307" s="16" t="n"/>
      <c r="BD307" s="20" t="inlineStr">
        <is>
          <t>IC Kationen</t>
        </is>
      </c>
      <c r="BE307" s="20" t="inlineStr">
        <is>
          <t>None</t>
        </is>
      </c>
      <c r="BF307" s="17" t="n"/>
      <c r="BG307" s="16" t="n"/>
      <c r="BH307" s="20" t="inlineStr">
        <is>
          <t>IC Kationen</t>
        </is>
      </c>
      <c r="BI307" s="20" t="inlineStr">
        <is>
          <t>None</t>
        </is>
      </c>
      <c r="BJ307" s="17" t="n"/>
      <c r="BK307" s="16" t="n"/>
      <c r="BL307" s="20" t="inlineStr">
        <is>
          <t>IC Kationen</t>
        </is>
      </c>
      <c r="BM307" s="20" t="inlineStr">
        <is>
          <t>None</t>
        </is>
      </c>
      <c r="BN307" s="17" t="n"/>
      <c r="BO307" s="16" t="n"/>
      <c r="BP307" s="20" t="inlineStr">
        <is>
          <t>IC Kationen</t>
        </is>
      </c>
      <c r="BQ307" s="20" t="inlineStr">
        <is>
          <t>None</t>
        </is>
      </c>
      <c r="BR307" s="17" t="n"/>
      <c r="BS307" s="16" t="n"/>
      <c r="BT307" s="20" t="inlineStr">
        <is>
          <t>IC Kationen</t>
        </is>
      </c>
      <c r="BU307" s="20" t="inlineStr">
        <is>
          <t>None</t>
        </is>
      </c>
      <c r="BV307" s="17" t="n"/>
      <c r="BW307" s="16" t="n"/>
      <c r="BX307" s="20" t="n"/>
      <c r="BY307" s="20" t="inlineStr">
        <is>
          <t>None</t>
        </is>
      </c>
      <c r="BZ307" s="17" t="n"/>
      <c r="CA307" s="16" t="n"/>
      <c r="CB307" s="20" t="n"/>
      <c r="CC307" s="20" t="inlineStr">
        <is>
          <t>None</t>
        </is>
      </c>
      <c r="CD307" s="17" t="n"/>
      <c r="CE307" s="16" t="n"/>
      <c r="CF307" s="20" t="n"/>
      <c r="CG307" s="20" t="inlineStr">
        <is>
          <t>None</t>
        </is>
      </c>
      <c r="CH307" s="17" t="n"/>
      <c r="CI307" s="16" t="n"/>
      <c r="CJ307" s="20" t="n"/>
      <c r="CK307" s="20" t="inlineStr">
        <is>
          <t>None</t>
        </is>
      </c>
      <c r="CL307" s="17" t="n"/>
      <c r="CM307" s="16" t="n"/>
      <c r="CN307" s="20" t="inlineStr">
        <is>
          <t>SOP 45-34</t>
        </is>
      </c>
      <c r="CO307" s="20" t="inlineStr">
        <is>
          <t>None</t>
        </is>
      </c>
      <c r="CP307" s="17" t="n"/>
      <c r="CQ307" s="16" t="n"/>
      <c r="CR307" s="20" t="n"/>
      <c r="CS307" s="20" t="inlineStr">
        <is>
          <t>None</t>
        </is>
      </c>
      <c r="CT307" s="17" t="n"/>
      <c r="CU307" s="16" t="n"/>
      <c r="CV307" s="20" t="n"/>
      <c r="CW307" s="20" t="inlineStr">
        <is>
          <t>None</t>
        </is>
      </c>
      <c r="CX307" s="17" t="n"/>
      <c r="CY307" s="16" t="n"/>
      <c r="CZ307" s="20" t="inlineStr">
        <is>
          <t>WTW Multimeter 3430 with FDO 925</t>
        </is>
      </c>
      <c r="DA307" s="20" t="inlineStr">
        <is>
          <t>None</t>
        </is>
      </c>
      <c r="DB307" s="17" t="n"/>
      <c r="DC307" s="16" t="n"/>
      <c r="DD307" s="20" t="n"/>
      <c r="DE307" s="20" t="inlineStr">
        <is>
          <t>None</t>
        </is>
      </c>
      <c r="DF307" s="17" t="n"/>
      <c r="DG307" s="16" t="n"/>
      <c r="DH307" s="20" t="inlineStr">
        <is>
          <t>SOP 45-09</t>
        </is>
      </c>
      <c r="DI307" s="20" t="inlineStr">
        <is>
          <t>None</t>
        </is>
      </c>
      <c r="DJ307" s="17" t="n"/>
      <c r="DK307" s="16" t="n"/>
      <c r="DL307" s="20" t="inlineStr">
        <is>
          <t>SOP 45-09 (SOP muss noch angepasst werden für VSS)</t>
        </is>
      </c>
      <c r="DM307" s="20" t="inlineStr">
        <is>
          <t>None</t>
        </is>
      </c>
      <c r="DN307" s="17" t="n"/>
      <c r="DO307" s="16" t="n"/>
      <c r="DP307" s="20" t="inlineStr">
        <is>
          <t>IC Organic Acids</t>
        </is>
      </c>
      <c r="DQ307" s="20" t="inlineStr">
        <is>
          <t>None</t>
        </is>
      </c>
      <c r="DR307" s="17" t="n"/>
      <c r="DS307" s="16" t="n"/>
      <c r="DT307" s="20" t="inlineStr">
        <is>
          <t>IC Organic Acids</t>
        </is>
      </c>
      <c r="DU307" s="20" t="inlineStr">
        <is>
          <t>None</t>
        </is>
      </c>
      <c r="DV307" s="17" t="n"/>
      <c r="DW307" s="16" t="n"/>
      <c r="DX307" s="20" t="inlineStr">
        <is>
          <t>IC Organic Acids</t>
        </is>
      </c>
      <c r="DY307" s="20" t="inlineStr">
        <is>
          <t>None</t>
        </is>
      </c>
      <c r="DZ307" s="17" t="n"/>
      <c r="EA307" s="16" t="n"/>
      <c r="EB307" s="20" t="inlineStr">
        <is>
          <t>IC Organic Acids</t>
        </is>
      </c>
      <c r="EC307" s="20" t="inlineStr">
        <is>
          <t>None</t>
        </is>
      </c>
      <c r="ED307" s="17" t="n"/>
      <c r="EE307" s="16" t="n"/>
      <c r="EF307" s="20" t="inlineStr">
        <is>
          <t>IC Organic Acids</t>
        </is>
      </c>
      <c r="EG307" s="20" t="inlineStr">
        <is>
          <t>None</t>
        </is>
      </c>
      <c r="EH307" s="17" t="n"/>
      <c r="EI307" s="16" t="n"/>
      <c r="EJ307" s="20" t="inlineStr">
        <is>
          <t>IC Organic Acids</t>
        </is>
      </c>
      <c r="EK307" s="20" t="inlineStr">
        <is>
          <t>None</t>
        </is>
      </c>
      <c r="EL307" s="17" t="n"/>
      <c r="EM307" s="16" t="n"/>
      <c r="EN307" s="20" t="inlineStr">
        <is>
          <t>IC Organic Acids</t>
        </is>
      </c>
      <c r="EO307" s="20" t="inlineStr">
        <is>
          <t>None</t>
        </is>
      </c>
      <c r="EP307" s="17" t="n"/>
      <c r="EQ307" s="16" t="n"/>
      <c r="ER307" s="20" t="inlineStr">
        <is>
          <t>IC Organic Acids</t>
        </is>
      </c>
      <c r="ES307" s="20" t="inlineStr">
        <is>
          <t>None</t>
        </is>
      </c>
      <c r="ET307" s="17" t="n"/>
      <c r="EU307" s="16" t="n"/>
      <c r="EV307" s="20" t="inlineStr">
        <is>
          <t>LC-MS</t>
        </is>
      </c>
      <c r="EW307" s="20" t="inlineStr">
        <is>
          <t>None</t>
        </is>
      </c>
      <c r="EX307" s="17" t="n"/>
      <c r="EY307" s="21" t="n"/>
      <c r="EZ307">
        <f>CONCATENATE(A307,B307)</f>
        <v/>
      </c>
      <c r="FA307">
        <f>CONCATENATE(SamplesX!A307,SamplesX!B307)</f>
        <v/>
      </c>
      <c r="FC307">
        <f>MATCH(EZ307,FA1:FA1008,0)</f>
        <v/>
      </c>
    </row>
    <row r="308">
      <c r="A308" s="16" t="inlineStr">
        <is>
          <t>BP</t>
        </is>
      </c>
      <c r="B308" s="17" t="inlineStr">
        <is>
          <t>25300</t>
        </is>
      </c>
      <c r="C308" s="10">
        <f>IF(ISNUMBER(FC308),INDIRECT("SamplesX!C"&amp;FC308),IF(ISNUMBER(FD308),INDIRECT("SamplesY!C"&amp;FD308),""))</f>
        <v/>
      </c>
      <c r="D308" s="12">
        <f>IF(ISNUMBER(FC308),INDIRECT("SamplesX!D"&amp;FC308),IF(ISNUMBER(FD308),INDIRECT("SamplesY!D"&amp;FD308),""))</f>
        <v/>
      </c>
      <c r="E308" s="12">
        <f>IF(ISNUMBER(FC308),INDIRECT("SamplesX!E"&amp;FC308),IF(ISNUMBER(FD308),INDIRECT("SamplesY!E"&amp;FD308),""))</f>
        <v/>
      </c>
      <c r="F308" s="11">
        <f>IF(ISNUMBER(FC308),INDIRECT("SamplesX!F"&amp;FC308),IF(ISNUMBER(FD308),INDIRECT("SamplesY!F"&amp;FD308),""))</f>
        <v/>
      </c>
      <c r="G308" s="18">
        <f>IF(ISNUMBER(FC308),INDIRECT("SamplesX!G"&amp;FC308),IF(ISNUMBER(FD308),INDIRECT("SamplesY!G"&amp;FD308),""))</f>
        <v/>
      </c>
      <c r="H308" s="19">
        <f>IF(ISNUMBER(FC308),INDIRECT("SamplesX!H"&amp;FC308),IF(ISNUMBER(FD308),INDIRECT("SamplesY!H"&amp;FD308),""))</f>
        <v/>
      </c>
      <c r="I308" s="16" t="n"/>
      <c r="J308" s="16" t="n"/>
      <c r="K308" s="16" t="n"/>
      <c r="L308" s="20" t="n"/>
      <c r="M308" s="20" t="inlineStr">
        <is>
          <t>None</t>
        </is>
      </c>
      <c r="N308" s="17" t="n"/>
      <c r="O308" s="16" t="n"/>
      <c r="P308" s="20" t="inlineStr">
        <is>
          <t>Shimadzu TOC-L</t>
        </is>
      </c>
      <c r="Q308" s="20" t="inlineStr">
        <is>
          <t>None</t>
        </is>
      </c>
      <c r="R308" s="17" t="n"/>
      <c r="S308" s="16" t="n"/>
      <c r="T308" s="20" t="inlineStr">
        <is>
          <t>Shimadzu TOC-L</t>
        </is>
      </c>
      <c r="U308" s="20" t="inlineStr">
        <is>
          <t>None</t>
        </is>
      </c>
      <c r="V308" s="17" t="n"/>
      <c r="W308" s="16" t="n"/>
      <c r="X308" s="20" t="n"/>
      <c r="Y308" s="20" t="inlineStr">
        <is>
          <t>None</t>
        </is>
      </c>
      <c r="Z308" s="17" t="n"/>
      <c r="AA308" s="16" t="n"/>
      <c r="AB308" s="20" t="n"/>
      <c r="AC308" s="20" t="inlineStr">
        <is>
          <t>None</t>
        </is>
      </c>
      <c r="AD308" s="17" t="n"/>
      <c r="AE308" s="16" t="n"/>
      <c r="AF308" s="20" t="inlineStr">
        <is>
          <t>IC Anionen</t>
        </is>
      </c>
      <c r="AG308" s="20" t="inlineStr">
        <is>
          <t>None</t>
        </is>
      </c>
      <c r="AH308" s="17" t="n"/>
      <c r="AI308" s="16" t="n"/>
      <c r="AJ308" s="20" t="n"/>
      <c r="AK308" s="20" t="inlineStr">
        <is>
          <t>None</t>
        </is>
      </c>
      <c r="AL308" s="17" t="n"/>
      <c r="AM308" s="16" t="n"/>
      <c r="AN308" s="20" t="inlineStr">
        <is>
          <t>IC Anionen</t>
        </is>
      </c>
      <c r="AO308" s="20" t="inlineStr">
        <is>
          <t>None</t>
        </is>
      </c>
      <c r="AP308" s="17" t="n"/>
      <c r="AQ308" s="16" t="n"/>
      <c r="AR308" s="20" t="n"/>
      <c r="AS308" s="20" t="inlineStr">
        <is>
          <t>None</t>
        </is>
      </c>
      <c r="AT308" s="17" t="n"/>
      <c r="AU308" s="16" t="n"/>
      <c r="AV308" s="20" t="n"/>
      <c r="AW308" s="20" t="inlineStr">
        <is>
          <t>None</t>
        </is>
      </c>
      <c r="AX308" s="17" t="n"/>
      <c r="AY308" s="16" t="n"/>
      <c r="AZ308" s="20" t="inlineStr">
        <is>
          <t>IC Anionen</t>
        </is>
      </c>
      <c r="BA308" s="20" t="inlineStr">
        <is>
          <t>None</t>
        </is>
      </c>
      <c r="BB308" s="17" t="n"/>
      <c r="BC308" s="16" t="n"/>
      <c r="BD308" s="20" t="inlineStr">
        <is>
          <t>IC Kationen</t>
        </is>
      </c>
      <c r="BE308" s="20" t="inlineStr">
        <is>
          <t>None</t>
        </is>
      </c>
      <c r="BF308" s="17" t="n"/>
      <c r="BG308" s="16" t="n"/>
      <c r="BH308" s="20" t="inlineStr">
        <is>
          <t>IC Kationen</t>
        </is>
      </c>
      <c r="BI308" s="20" t="inlineStr">
        <is>
          <t>None</t>
        </is>
      </c>
      <c r="BJ308" s="17" t="n"/>
      <c r="BK308" s="16" t="n"/>
      <c r="BL308" s="20" t="inlineStr">
        <is>
          <t>IC Kationen</t>
        </is>
      </c>
      <c r="BM308" s="20" t="inlineStr">
        <is>
          <t>None</t>
        </is>
      </c>
      <c r="BN308" s="17" t="n"/>
      <c r="BO308" s="16" t="n"/>
      <c r="BP308" s="20" t="inlineStr">
        <is>
          <t>IC Kationen</t>
        </is>
      </c>
      <c r="BQ308" s="20" t="inlineStr">
        <is>
          <t>None</t>
        </is>
      </c>
      <c r="BR308" s="17" t="n"/>
      <c r="BS308" s="16" t="n"/>
      <c r="BT308" s="20" t="inlineStr">
        <is>
          <t>IC Kationen</t>
        </is>
      </c>
      <c r="BU308" s="20" t="inlineStr">
        <is>
          <t>None</t>
        </is>
      </c>
      <c r="BV308" s="17" t="n"/>
      <c r="BW308" s="16" t="n"/>
      <c r="BX308" s="20" t="n"/>
      <c r="BY308" s="20" t="inlineStr">
        <is>
          <t>None</t>
        </is>
      </c>
      <c r="BZ308" s="17" t="n"/>
      <c r="CA308" s="16" t="n"/>
      <c r="CB308" s="20" t="n"/>
      <c r="CC308" s="20" t="inlineStr">
        <is>
          <t>None</t>
        </is>
      </c>
      <c r="CD308" s="17" t="n"/>
      <c r="CE308" s="16" t="n"/>
      <c r="CF308" s="20" t="n"/>
      <c r="CG308" s="20" t="inlineStr">
        <is>
          <t>None</t>
        </is>
      </c>
      <c r="CH308" s="17" t="n"/>
      <c r="CI308" s="16" t="n"/>
      <c r="CJ308" s="20" t="n"/>
      <c r="CK308" s="20" t="inlineStr">
        <is>
          <t>None</t>
        </is>
      </c>
      <c r="CL308" s="17" t="n"/>
      <c r="CM308" s="16" t="n"/>
      <c r="CN308" s="20" t="inlineStr">
        <is>
          <t>SOP 45-34</t>
        </is>
      </c>
      <c r="CO308" s="20" t="inlineStr">
        <is>
          <t>None</t>
        </is>
      </c>
      <c r="CP308" s="17" t="n"/>
      <c r="CQ308" s="16" t="n"/>
      <c r="CR308" s="20" t="n"/>
      <c r="CS308" s="20" t="inlineStr">
        <is>
          <t>None</t>
        </is>
      </c>
      <c r="CT308" s="17" t="n"/>
      <c r="CU308" s="16" t="n"/>
      <c r="CV308" s="20" t="n"/>
      <c r="CW308" s="20" t="inlineStr">
        <is>
          <t>None</t>
        </is>
      </c>
      <c r="CX308" s="17" t="n"/>
      <c r="CY308" s="16" t="n"/>
      <c r="CZ308" s="20" t="inlineStr">
        <is>
          <t>WTW Multimeter 3430 with FDO 925</t>
        </is>
      </c>
      <c r="DA308" s="20" t="inlineStr">
        <is>
          <t>None</t>
        </is>
      </c>
      <c r="DB308" s="17" t="n"/>
      <c r="DC308" s="16" t="n"/>
      <c r="DD308" s="20" t="n"/>
      <c r="DE308" s="20" t="inlineStr">
        <is>
          <t>None</t>
        </is>
      </c>
      <c r="DF308" s="17" t="n"/>
      <c r="DG308" s="16" t="n"/>
      <c r="DH308" s="20" t="inlineStr">
        <is>
          <t>SOP 45-09</t>
        </is>
      </c>
      <c r="DI308" s="20" t="inlineStr">
        <is>
          <t>None</t>
        </is>
      </c>
      <c r="DJ308" s="17" t="n"/>
      <c r="DK308" s="16" t="n"/>
      <c r="DL308" s="20" t="inlineStr">
        <is>
          <t>SOP 45-09 (SOP muss noch angepasst werden für VSS)</t>
        </is>
      </c>
      <c r="DM308" s="20" t="inlineStr">
        <is>
          <t>None</t>
        </is>
      </c>
      <c r="DN308" s="17" t="n"/>
      <c r="DO308" s="16" t="n"/>
      <c r="DP308" s="20" t="inlineStr">
        <is>
          <t>IC Organic Acids</t>
        </is>
      </c>
      <c r="DQ308" s="20" t="inlineStr">
        <is>
          <t>None</t>
        </is>
      </c>
      <c r="DR308" s="17" t="n"/>
      <c r="DS308" s="16" t="n"/>
      <c r="DT308" s="20" t="inlineStr">
        <is>
          <t>IC Organic Acids</t>
        </is>
      </c>
      <c r="DU308" s="20" t="inlineStr">
        <is>
          <t>None</t>
        </is>
      </c>
      <c r="DV308" s="17" t="n"/>
      <c r="DW308" s="16" t="n"/>
      <c r="DX308" s="20" t="inlineStr">
        <is>
          <t>IC Organic Acids</t>
        </is>
      </c>
      <c r="DY308" s="20" t="inlineStr">
        <is>
          <t>None</t>
        </is>
      </c>
      <c r="DZ308" s="17" t="n"/>
      <c r="EA308" s="16" t="n"/>
      <c r="EB308" s="20" t="inlineStr">
        <is>
          <t>IC Organic Acids</t>
        </is>
      </c>
      <c r="EC308" s="20" t="inlineStr">
        <is>
          <t>None</t>
        </is>
      </c>
      <c r="ED308" s="17" t="n"/>
      <c r="EE308" s="16" t="n"/>
      <c r="EF308" s="20" t="inlineStr">
        <is>
          <t>IC Organic Acids</t>
        </is>
      </c>
      <c r="EG308" s="20" t="inlineStr">
        <is>
          <t>None</t>
        </is>
      </c>
      <c r="EH308" s="17" t="n"/>
      <c r="EI308" s="16" t="n"/>
      <c r="EJ308" s="20" t="inlineStr">
        <is>
          <t>IC Organic Acids</t>
        </is>
      </c>
      <c r="EK308" s="20" t="inlineStr">
        <is>
          <t>None</t>
        </is>
      </c>
      <c r="EL308" s="17" t="n"/>
      <c r="EM308" s="16" t="n"/>
      <c r="EN308" s="20" t="inlineStr">
        <is>
          <t>IC Organic Acids</t>
        </is>
      </c>
      <c r="EO308" s="20" t="inlineStr">
        <is>
          <t>None</t>
        </is>
      </c>
      <c r="EP308" s="17" t="n"/>
      <c r="EQ308" s="16" t="n"/>
      <c r="ER308" s="20" t="inlineStr">
        <is>
          <t>IC Organic Acids</t>
        </is>
      </c>
      <c r="ES308" s="20" t="inlineStr">
        <is>
          <t>None</t>
        </is>
      </c>
      <c r="ET308" s="17" t="n"/>
      <c r="EU308" s="16" t="n"/>
      <c r="EV308" s="20" t="inlineStr">
        <is>
          <t>LC-MS</t>
        </is>
      </c>
      <c r="EW308" s="20" t="inlineStr">
        <is>
          <t>None</t>
        </is>
      </c>
      <c r="EX308" s="17" t="n"/>
      <c r="EY308" s="21" t="n"/>
      <c r="EZ308">
        <f>CONCATENATE(A308,B308)</f>
        <v/>
      </c>
      <c r="FA308">
        <f>CONCATENATE(SamplesX!A308,SamplesX!B308)</f>
        <v/>
      </c>
      <c r="FC308">
        <f>MATCH(EZ308,FA1:FA1008,0)</f>
        <v/>
      </c>
    </row>
    <row r="309">
      <c r="A309" s="16" t="inlineStr">
        <is>
          <t>BP</t>
        </is>
      </c>
      <c r="B309" s="17" t="inlineStr">
        <is>
          <t>25301</t>
        </is>
      </c>
      <c r="C309" s="10">
        <f>IF(ISNUMBER(FC309),INDIRECT("SamplesX!C"&amp;FC309),IF(ISNUMBER(FD309),INDIRECT("SamplesY!C"&amp;FD309),""))</f>
        <v/>
      </c>
      <c r="D309" s="12">
        <f>IF(ISNUMBER(FC309),INDIRECT("SamplesX!D"&amp;FC309),IF(ISNUMBER(FD309),INDIRECT("SamplesY!D"&amp;FD309),""))</f>
        <v/>
      </c>
      <c r="E309" s="12">
        <f>IF(ISNUMBER(FC309),INDIRECT("SamplesX!E"&amp;FC309),IF(ISNUMBER(FD309),INDIRECT("SamplesY!E"&amp;FD309),""))</f>
        <v/>
      </c>
      <c r="F309" s="11">
        <f>IF(ISNUMBER(FC309),INDIRECT("SamplesX!F"&amp;FC309),IF(ISNUMBER(FD309),INDIRECT("SamplesY!F"&amp;FD309),""))</f>
        <v/>
      </c>
      <c r="G309" s="18">
        <f>IF(ISNUMBER(FC309),INDIRECT("SamplesX!G"&amp;FC309),IF(ISNUMBER(FD309),INDIRECT("SamplesY!G"&amp;FD309),""))</f>
        <v/>
      </c>
      <c r="H309" s="19">
        <f>IF(ISNUMBER(FC309),INDIRECT("SamplesX!H"&amp;FC309),IF(ISNUMBER(FD309),INDIRECT("SamplesY!H"&amp;FD309),""))</f>
        <v/>
      </c>
      <c r="I309" s="16" t="n"/>
      <c r="J309" s="16" t="n"/>
      <c r="K309" s="16" t="n"/>
      <c r="L309" s="20" t="n"/>
      <c r="M309" s="20" t="inlineStr">
        <is>
          <t>None</t>
        </is>
      </c>
      <c r="N309" s="17" t="n"/>
      <c r="O309" s="16" t="n"/>
      <c r="P309" s="20" t="inlineStr">
        <is>
          <t>Shimadzu TOC-L</t>
        </is>
      </c>
      <c r="Q309" s="20" t="inlineStr">
        <is>
          <t>None</t>
        </is>
      </c>
      <c r="R309" s="17" t="n"/>
      <c r="S309" s="16" t="n"/>
      <c r="T309" s="20" t="inlineStr">
        <is>
          <t>Shimadzu TOC-L</t>
        </is>
      </c>
      <c r="U309" s="20" t="inlineStr">
        <is>
          <t>None</t>
        </is>
      </c>
      <c r="V309" s="17" t="n"/>
      <c r="W309" s="16" t="n"/>
      <c r="X309" s="20" t="n"/>
      <c r="Y309" s="20" t="inlineStr">
        <is>
          <t>None</t>
        </is>
      </c>
      <c r="Z309" s="17" t="n"/>
      <c r="AA309" s="16" t="n"/>
      <c r="AB309" s="20" t="n"/>
      <c r="AC309" s="20" t="inlineStr">
        <is>
          <t>None</t>
        </is>
      </c>
      <c r="AD309" s="17" t="n"/>
      <c r="AE309" s="16" t="n"/>
      <c r="AF309" s="20" t="inlineStr">
        <is>
          <t>IC Anionen</t>
        </is>
      </c>
      <c r="AG309" s="20" t="inlineStr">
        <is>
          <t>None</t>
        </is>
      </c>
      <c r="AH309" s="17" t="n"/>
      <c r="AI309" s="16" t="n"/>
      <c r="AJ309" s="20" t="n"/>
      <c r="AK309" s="20" t="inlineStr">
        <is>
          <t>None</t>
        </is>
      </c>
      <c r="AL309" s="17" t="n"/>
      <c r="AM309" s="16" t="n"/>
      <c r="AN309" s="20" t="inlineStr">
        <is>
          <t>IC Anionen</t>
        </is>
      </c>
      <c r="AO309" s="20" t="inlineStr">
        <is>
          <t>None</t>
        </is>
      </c>
      <c r="AP309" s="17" t="n"/>
      <c r="AQ309" s="16" t="n"/>
      <c r="AR309" s="20" t="n"/>
      <c r="AS309" s="20" t="inlineStr">
        <is>
          <t>None</t>
        </is>
      </c>
      <c r="AT309" s="17" t="n"/>
      <c r="AU309" s="16" t="n"/>
      <c r="AV309" s="20" t="n"/>
      <c r="AW309" s="20" t="inlineStr">
        <is>
          <t>None</t>
        </is>
      </c>
      <c r="AX309" s="17" t="n"/>
      <c r="AY309" s="16" t="n"/>
      <c r="AZ309" s="20" t="inlineStr">
        <is>
          <t>IC Anionen</t>
        </is>
      </c>
      <c r="BA309" s="20" t="inlineStr">
        <is>
          <t>None</t>
        </is>
      </c>
      <c r="BB309" s="17" t="n"/>
      <c r="BC309" s="16" t="n"/>
      <c r="BD309" s="20" t="inlineStr">
        <is>
          <t>IC Kationen</t>
        </is>
      </c>
      <c r="BE309" s="20" t="inlineStr">
        <is>
          <t>None</t>
        </is>
      </c>
      <c r="BF309" s="17" t="n"/>
      <c r="BG309" s="16" t="n"/>
      <c r="BH309" s="20" t="inlineStr">
        <is>
          <t>IC Kationen</t>
        </is>
      </c>
      <c r="BI309" s="20" t="inlineStr">
        <is>
          <t>None</t>
        </is>
      </c>
      <c r="BJ309" s="17" t="n"/>
      <c r="BK309" s="16" t="n"/>
      <c r="BL309" s="20" t="inlineStr">
        <is>
          <t>IC Kationen</t>
        </is>
      </c>
      <c r="BM309" s="20" t="inlineStr">
        <is>
          <t>None</t>
        </is>
      </c>
      <c r="BN309" s="17" t="n"/>
      <c r="BO309" s="16" t="n"/>
      <c r="BP309" s="20" t="inlineStr">
        <is>
          <t>IC Kationen</t>
        </is>
      </c>
      <c r="BQ309" s="20" t="inlineStr">
        <is>
          <t>None</t>
        </is>
      </c>
      <c r="BR309" s="17" t="n"/>
      <c r="BS309" s="16" t="n"/>
      <c r="BT309" s="20" t="inlineStr">
        <is>
          <t>IC Kationen</t>
        </is>
      </c>
      <c r="BU309" s="20" t="inlineStr">
        <is>
          <t>None</t>
        </is>
      </c>
      <c r="BV309" s="17" t="n"/>
      <c r="BW309" s="16" t="n"/>
      <c r="BX309" s="20" t="n"/>
      <c r="BY309" s="20" t="inlineStr">
        <is>
          <t>None</t>
        </is>
      </c>
      <c r="BZ309" s="17" t="n"/>
      <c r="CA309" s="16" t="n"/>
      <c r="CB309" s="20" t="n"/>
      <c r="CC309" s="20" t="inlineStr">
        <is>
          <t>None</t>
        </is>
      </c>
      <c r="CD309" s="17" t="n"/>
      <c r="CE309" s="16" t="n"/>
      <c r="CF309" s="20" t="n"/>
      <c r="CG309" s="20" t="inlineStr">
        <is>
          <t>None</t>
        </is>
      </c>
      <c r="CH309" s="17" t="n"/>
      <c r="CI309" s="16" t="n"/>
      <c r="CJ309" s="20" t="n"/>
      <c r="CK309" s="20" t="inlineStr">
        <is>
          <t>None</t>
        </is>
      </c>
      <c r="CL309" s="17" t="n"/>
      <c r="CM309" s="16" t="n"/>
      <c r="CN309" s="20" t="inlineStr">
        <is>
          <t>SOP 45-34</t>
        </is>
      </c>
      <c r="CO309" s="20" t="inlineStr">
        <is>
          <t>None</t>
        </is>
      </c>
      <c r="CP309" s="17" t="n"/>
      <c r="CQ309" s="16" t="n"/>
      <c r="CR309" s="20" t="n"/>
      <c r="CS309" s="20" t="inlineStr">
        <is>
          <t>None</t>
        </is>
      </c>
      <c r="CT309" s="17" t="n"/>
      <c r="CU309" s="16" t="n"/>
      <c r="CV309" s="20" t="n"/>
      <c r="CW309" s="20" t="inlineStr">
        <is>
          <t>None</t>
        </is>
      </c>
      <c r="CX309" s="17" t="n"/>
      <c r="CY309" s="16" t="n"/>
      <c r="CZ309" s="20" t="inlineStr">
        <is>
          <t>WTW Multimeter 3430 with FDO 925</t>
        </is>
      </c>
      <c r="DA309" s="20" t="inlineStr">
        <is>
          <t>None</t>
        </is>
      </c>
      <c r="DB309" s="17" t="n"/>
      <c r="DC309" s="16" t="n"/>
      <c r="DD309" s="20" t="n"/>
      <c r="DE309" s="20" t="inlineStr">
        <is>
          <t>None</t>
        </is>
      </c>
      <c r="DF309" s="17" t="n"/>
      <c r="DG309" s="16" t="n"/>
      <c r="DH309" s="20" t="inlineStr">
        <is>
          <t>SOP 45-09</t>
        </is>
      </c>
      <c r="DI309" s="20" t="inlineStr">
        <is>
          <t>None</t>
        </is>
      </c>
      <c r="DJ309" s="17" t="n"/>
      <c r="DK309" s="16" t="n"/>
      <c r="DL309" s="20" t="inlineStr">
        <is>
          <t>SOP 45-09 (SOP muss noch angepasst werden für VSS)</t>
        </is>
      </c>
      <c r="DM309" s="20" t="inlineStr">
        <is>
          <t>None</t>
        </is>
      </c>
      <c r="DN309" s="17" t="n"/>
      <c r="DO309" s="16" t="n"/>
      <c r="DP309" s="20" t="inlineStr">
        <is>
          <t>IC Organic Acids</t>
        </is>
      </c>
      <c r="DQ309" s="20" t="inlineStr">
        <is>
          <t>None</t>
        </is>
      </c>
      <c r="DR309" s="17" t="n"/>
      <c r="DS309" s="16" t="n"/>
      <c r="DT309" s="20" t="inlineStr">
        <is>
          <t>IC Organic Acids</t>
        </is>
      </c>
      <c r="DU309" s="20" t="inlineStr">
        <is>
          <t>None</t>
        </is>
      </c>
      <c r="DV309" s="17" t="n"/>
      <c r="DW309" s="16" t="n"/>
      <c r="DX309" s="20" t="inlineStr">
        <is>
          <t>IC Organic Acids</t>
        </is>
      </c>
      <c r="DY309" s="20" t="inlineStr">
        <is>
          <t>None</t>
        </is>
      </c>
      <c r="DZ309" s="17" t="n"/>
      <c r="EA309" s="16" t="n"/>
      <c r="EB309" s="20" t="inlineStr">
        <is>
          <t>IC Organic Acids</t>
        </is>
      </c>
      <c r="EC309" s="20" t="inlineStr">
        <is>
          <t>None</t>
        </is>
      </c>
      <c r="ED309" s="17" t="n"/>
      <c r="EE309" s="16" t="n"/>
      <c r="EF309" s="20" t="inlineStr">
        <is>
          <t>IC Organic Acids</t>
        </is>
      </c>
      <c r="EG309" s="20" t="inlineStr">
        <is>
          <t>None</t>
        </is>
      </c>
      <c r="EH309" s="17" t="n"/>
      <c r="EI309" s="16" t="n"/>
      <c r="EJ309" s="20" t="inlineStr">
        <is>
          <t>IC Organic Acids</t>
        </is>
      </c>
      <c r="EK309" s="20" t="inlineStr">
        <is>
          <t>None</t>
        </is>
      </c>
      <c r="EL309" s="17" t="n"/>
      <c r="EM309" s="16" t="n"/>
      <c r="EN309" s="20" t="inlineStr">
        <is>
          <t>IC Organic Acids</t>
        </is>
      </c>
      <c r="EO309" s="20" t="inlineStr">
        <is>
          <t>None</t>
        </is>
      </c>
      <c r="EP309" s="17" t="n"/>
      <c r="EQ309" s="16" t="n"/>
      <c r="ER309" s="20" t="inlineStr">
        <is>
          <t>IC Organic Acids</t>
        </is>
      </c>
      <c r="ES309" s="20" t="inlineStr">
        <is>
          <t>None</t>
        </is>
      </c>
      <c r="ET309" s="17" t="n"/>
      <c r="EU309" s="16" t="n"/>
      <c r="EV309" s="20" t="inlineStr">
        <is>
          <t>LC-MS</t>
        </is>
      </c>
      <c r="EW309" s="20" t="inlineStr">
        <is>
          <t>None</t>
        </is>
      </c>
      <c r="EX309" s="17" t="n"/>
      <c r="EY309" s="21" t="n"/>
      <c r="EZ309">
        <f>CONCATENATE(A309,B309)</f>
        <v/>
      </c>
      <c r="FA309">
        <f>CONCATENATE(SamplesX!A309,SamplesX!B309)</f>
        <v/>
      </c>
      <c r="FC309">
        <f>MATCH(EZ309,FA1:FA1008,0)</f>
        <v/>
      </c>
    </row>
    <row r="310">
      <c r="A310" s="16" t="inlineStr">
        <is>
          <t>BP</t>
        </is>
      </c>
      <c r="B310" s="17" t="inlineStr">
        <is>
          <t>25302</t>
        </is>
      </c>
      <c r="C310" s="10">
        <f>IF(ISNUMBER(FC310),INDIRECT("SamplesX!C"&amp;FC310),IF(ISNUMBER(FD310),INDIRECT("SamplesY!C"&amp;FD310),""))</f>
        <v/>
      </c>
      <c r="D310" s="12">
        <f>IF(ISNUMBER(FC310),INDIRECT("SamplesX!D"&amp;FC310),IF(ISNUMBER(FD310),INDIRECT("SamplesY!D"&amp;FD310),""))</f>
        <v/>
      </c>
      <c r="E310" s="12">
        <f>IF(ISNUMBER(FC310),INDIRECT("SamplesX!E"&amp;FC310),IF(ISNUMBER(FD310),INDIRECT("SamplesY!E"&amp;FD310),""))</f>
        <v/>
      </c>
      <c r="F310" s="11">
        <f>IF(ISNUMBER(FC310),INDIRECT("SamplesX!F"&amp;FC310),IF(ISNUMBER(FD310),INDIRECT("SamplesY!F"&amp;FD310),""))</f>
        <v/>
      </c>
      <c r="G310" s="18">
        <f>IF(ISNUMBER(FC310),INDIRECT("SamplesX!G"&amp;FC310),IF(ISNUMBER(FD310),INDIRECT("SamplesY!G"&amp;FD310),""))</f>
        <v/>
      </c>
      <c r="H310" s="19">
        <f>IF(ISNUMBER(FC310),INDIRECT("SamplesX!H"&amp;FC310),IF(ISNUMBER(FD310),INDIRECT("SamplesY!H"&amp;FD310),""))</f>
        <v/>
      </c>
      <c r="I310" s="16" t="n"/>
      <c r="J310" s="16" t="n"/>
      <c r="K310" s="16" t="n"/>
      <c r="L310" s="20" t="n"/>
      <c r="M310" s="20" t="inlineStr">
        <is>
          <t>None</t>
        </is>
      </c>
      <c r="N310" s="17" t="n"/>
      <c r="O310" s="16" t="n"/>
      <c r="P310" s="20" t="inlineStr">
        <is>
          <t>Shimadzu TOC-L</t>
        </is>
      </c>
      <c r="Q310" s="20" t="inlineStr">
        <is>
          <t>None</t>
        </is>
      </c>
      <c r="R310" s="17" t="n"/>
      <c r="S310" s="16" t="n"/>
      <c r="T310" s="20" t="inlineStr">
        <is>
          <t>Shimadzu TOC-L</t>
        </is>
      </c>
      <c r="U310" s="20" t="inlineStr">
        <is>
          <t>None</t>
        </is>
      </c>
      <c r="V310" s="17" t="n"/>
      <c r="W310" s="16" t="n"/>
      <c r="X310" s="20" t="n"/>
      <c r="Y310" s="20" t="inlineStr">
        <is>
          <t>None</t>
        </is>
      </c>
      <c r="Z310" s="17" t="n"/>
      <c r="AA310" s="16" t="n"/>
      <c r="AB310" s="20" t="n"/>
      <c r="AC310" s="20" t="inlineStr">
        <is>
          <t>None</t>
        </is>
      </c>
      <c r="AD310" s="17" t="n"/>
      <c r="AE310" s="16" t="n"/>
      <c r="AF310" s="20" t="inlineStr">
        <is>
          <t>IC Anionen</t>
        </is>
      </c>
      <c r="AG310" s="20" t="inlineStr">
        <is>
          <t>None</t>
        </is>
      </c>
      <c r="AH310" s="17" t="n"/>
      <c r="AI310" s="16" t="n"/>
      <c r="AJ310" s="20" t="n"/>
      <c r="AK310" s="20" t="inlineStr">
        <is>
          <t>None</t>
        </is>
      </c>
      <c r="AL310" s="17" t="n"/>
      <c r="AM310" s="16" t="n"/>
      <c r="AN310" s="20" t="inlineStr">
        <is>
          <t>IC Anionen</t>
        </is>
      </c>
      <c r="AO310" s="20" t="inlineStr">
        <is>
          <t>None</t>
        </is>
      </c>
      <c r="AP310" s="17" t="n"/>
      <c r="AQ310" s="16" t="n"/>
      <c r="AR310" s="20" t="n"/>
      <c r="AS310" s="20" t="inlineStr">
        <is>
          <t>None</t>
        </is>
      </c>
      <c r="AT310" s="17" t="n"/>
      <c r="AU310" s="16" t="n"/>
      <c r="AV310" s="20" t="n"/>
      <c r="AW310" s="20" t="inlineStr">
        <is>
          <t>None</t>
        </is>
      </c>
      <c r="AX310" s="17" t="n"/>
      <c r="AY310" s="16" t="n"/>
      <c r="AZ310" s="20" t="inlineStr">
        <is>
          <t>IC Anionen</t>
        </is>
      </c>
      <c r="BA310" s="20" t="inlineStr">
        <is>
          <t>None</t>
        </is>
      </c>
      <c r="BB310" s="17" t="n"/>
      <c r="BC310" s="16" t="n"/>
      <c r="BD310" s="20" t="inlineStr">
        <is>
          <t>IC Kationen</t>
        </is>
      </c>
      <c r="BE310" s="20" t="inlineStr">
        <is>
          <t>None</t>
        </is>
      </c>
      <c r="BF310" s="17" t="n"/>
      <c r="BG310" s="16" t="n"/>
      <c r="BH310" s="20" t="inlineStr">
        <is>
          <t>IC Kationen</t>
        </is>
      </c>
      <c r="BI310" s="20" t="inlineStr">
        <is>
          <t>None</t>
        </is>
      </c>
      <c r="BJ310" s="17" t="n"/>
      <c r="BK310" s="16" t="n"/>
      <c r="BL310" s="20" t="inlineStr">
        <is>
          <t>IC Kationen</t>
        </is>
      </c>
      <c r="BM310" s="20" t="inlineStr">
        <is>
          <t>None</t>
        </is>
      </c>
      <c r="BN310" s="17" t="n"/>
      <c r="BO310" s="16" t="n"/>
      <c r="BP310" s="20" t="inlineStr">
        <is>
          <t>IC Kationen</t>
        </is>
      </c>
      <c r="BQ310" s="20" t="inlineStr">
        <is>
          <t>None</t>
        </is>
      </c>
      <c r="BR310" s="17" t="n"/>
      <c r="BS310" s="16" t="n"/>
      <c r="BT310" s="20" t="inlineStr">
        <is>
          <t>IC Kationen</t>
        </is>
      </c>
      <c r="BU310" s="20" t="inlineStr">
        <is>
          <t>None</t>
        </is>
      </c>
      <c r="BV310" s="17" t="n"/>
      <c r="BW310" s="16" t="n"/>
      <c r="BX310" s="20" t="n"/>
      <c r="BY310" s="20" t="inlineStr">
        <is>
          <t>None</t>
        </is>
      </c>
      <c r="BZ310" s="17" t="n"/>
      <c r="CA310" s="16" t="n"/>
      <c r="CB310" s="20" t="n"/>
      <c r="CC310" s="20" t="inlineStr">
        <is>
          <t>None</t>
        </is>
      </c>
      <c r="CD310" s="17" t="n"/>
      <c r="CE310" s="16" t="n"/>
      <c r="CF310" s="20" t="n"/>
      <c r="CG310" s="20" t="inlineStr">
        <is>
          <t>None</t>
        </is>
      </c>
      <c r="CH310" s="17" t="n"/>
      <c r="CI310" s="16" t="n"/>
      <c r="CJ310" s="20" t="n"/>
      <c r="CK310" s="20" t="inlineStr">
        <is>
          <t>None</t>
        </is>
      </c>
      <c r="CL310" s="17" t="n"/>
      <c r="CM310" s="16" t="n"/>
      <c r="CN310" s="20" t="inlineStr">
        <is>
          <t>SOP 45-34</t>
        </is>
      </c>
      <c r="CO310" s="20" t="inlineStr">
        <is>
          <t>None</t>
        </is>
      </c>
      <c r="CP310" s="17" t="n"/>
      <c r="CQ310" s="16" t="n"/>
      <c r="CR310" s="20" t="n"/>
      <c r="CS310" s="20" t="inlineStr">
        <is>
          <t>None</t>
        </is>
      </c>
      <c r="CT310" s="17" t="n"/>
      <c r="CU310" s="16" t="n"/>
      <c r="CV310" s="20" t="n"/>
      <c r="CW310" s="20" t="inlineStr">
        <is>
          <t>None</t>
        </is>
      </c>
      <c r="CX310" s="17" t="n"/>
      <c r="CY310" s="16" t="n"/>
      <c r="CZ310" s="20" t="inlineStr">
        <is>
          <t>WTW Multimeter 3430 with FDO 925</t>
        </is>
      </c>
      <c r="DA310" s="20" t="inlineStr">
        <is>
          <t>None</t>
        </is>
      </c>
      <c r="DB310" s="17" t="n"/>
      <c r="DC310" s="16" t="n"/>
      <c r="DD310" s="20" t="n"/>
      <c r="DE310" s="20" t="inlineStr">
        <is>
          <t>None</t>
        </is>
      </c>
      <c r="DF310" s="17" t="n"/>
      <c r="DG310" s="16" t="n"/>
      <c r="DH310" s="20" t="inlineStr">
        <is>
          <t>SOP 45-09</t>
        </is>
      </c>
      <c r="DI310" s="20" t="inlineStr">
        <is>
          <t>None</t>
        </is>
      </c>
      <c r="DJ310" s="17" t="n"/>
      <c r="DK310" s="16" t="n"/>
      <c r="DL310" s="20" t="inlineStr">
        <is>
          <t>SOP 45-09 (SOP muss noch angepasst werden für VSS)</t>
        </is>
      </c>
      <c r="DM310" s="20" t="inlineStr">
        <is>
          <t>None</t>
        </is>
      </c>
      <c r="DN310" s="17" t="n"/>
      <c r="DO310" s="16" t="n"/>
      <c r="DP310" s="20" t="inlineStr">
        <is>
          <t>IC Organic Acids</t>
        </is>
      </c>
      <c r="DQ310" s="20" t="inlineStr">
        <is>
          <t>None</t>
        </is>
      </c>
      <c r="DR310" s="17" t="n"/>
      <c r="DS310" s="16" t="n"/>
      <c r="DT310" s="20" t="inlineStr">
        <is>
          <t>IC Organic Acids</t>
        </is>
      </c>
      <c r="DU310" s="20" t="inlineStr">
        <is>
          <t>None</t>
        </is>
      </c>
      <c r="DV310" s="17" t="n"/>
      <c r="DW310" s="16" t="n"/>
      <c r="DX310" s="20" t="inlineStr">
        <is>
          <t>IC Organic Acids</t>
        </is>
      </c>
      <c r="DY310" s="20" t="inlineStr">
        <is>
          <t>None</t>
        </is>
      </c>
      <c r="DZ310" s="17" t="n"/>
      <c r="EA310" s="16" t="n"/>
      <c r="EB310" s="20" t="inlineStr">
        <is>
          <t>IC Organic Acids</t>
        </is>
      </c>
      <c r="EC310" s="20" t="inlineStr">
        <is>
          <t>None</t>
        </is>
      </c>
      <c r="ED310" s="17" t="n"/>
      <c r="EE310" s="16" t="n"/>
      <c r="EF310" s="20" t="inlineStr">
        <is>
          <t>IC Organic Acids</t>
        </is>
      </c>
      <c r="EG310" s="20" t="inlineStr">
        <is>
          <t>None</t>
        </is>
      </c>
      <c r="EH310" s="17" t="n"/>
      <c r="EI310" s="16" t="n"/>
      <c r="EJ310" s="20" t="inlineStr">
        <is>
          <t>IC Organic Acids</t>
        </is>
      </c>
      <c r="EK310" s="20" t="inlineStr">
        <is>
          <t>None</t>
        </is>
      </c>
      <c r="EL310" s="17" t="n"/>
      <c r="EM310" s="16" t="n"/>
      <c r="EN310" s="20" t="inlineStr">
        <is>
          <t>IC Organic Acids</t>
        </is>
      </c>
      <c r="EO310" s="20" t="inlineStr">
        <is>
          <t>None</t>
        </is>
      </c>
      <c r="EP310" s="17" t="n"/>
      <c r="EQ310" s="16" t="n"/>
      <c r="ER310" s="20" t="inlineStr">
        <is>
          <t>IC Organic Acids</t>
        </is>
      </c>
      <c r="ES310" s="20" t="inlineStr">
        <is>
          <t>None</t>
        </is>
      </c>
      <c r="ET310" s="17" t="n"/>
      <c r="EU310" s="16" t="n"/>
      <c r="EV310" s="20" t="inlineStr">
        <is>
          <t>LC-MS</t>
        </is>
      </c>
      <c r="EW310" s="20" t="inlineStr">
        <is>
          <t>None</t>
        </is>
      </c>
      <c r="EX310" s="17" t="n"/>
      <c r="EY310" s="21" t="n"/>
      <c r="EZ310">
        <f>CONCATENATE(A310,B310)</f>
        <v/>
      </c>
      <c r="FA310">
        <f>CONCATENATE(SamplesX!A310,SamplesX!B310)</f>
        <v/>
      </c>
      <c r="FC310">
        <f>MATCH(EZ310,FA1:FA1008,0)</f>
        <v/>
      </c>
    </row>
    <row r="311">
      <c r="A311" s="16" t="inlineStr">
        <is>
          <t>BP</t>
        </is>
      </c>
      <c r="B311" s="17" t="inlineStr">
        <is>
          <t>25303</t>
        </is>
      </c>
      <c r="C311" s="10">
        <f>IF(ISNUMBER(FC311),INDIRECT("SamplesX!C"&amp;FC311),IF(ISNUMBER(FD311),INDIRECT("SamplesY!C"&amp;FD311),""))</f>
        <v/>
      </c>
      <c r="D311" s="12">
        <f>IF(ISNUMBER(FC311),INDIRECT("SamplesX!D"&amp;FC311),IF(ISNUMBER(FD311),INDIRECT("SamplesY!D"&amp;FD311),""))</f>
        <v/>
      </c>
      <c r="E311" s="12">
        <f>IF(ISNUMBER(FC311),INDIRECT("SamplesX!E"&amp;FC311),IF(ISNUMBER(FD311),INDIRECT("SamplesY!E"&amp;FD311),""))</f>
        <v/>
      </c>
      <c r="F311" s="11">
        <f>IF(ISNUMBER(FC311),INDIRECT("SamplesX!F"&amp;FC311),IF(ISNUMBER(FD311),INDIRECT("SamplesY!F"&amp;FD311),""))</f>
        <v/>
      </c>
      <c r="G311" s="18">
        <f>IF(ISNUMBER(FC311),INDIRECT("SamplesX!G"&amp;FC311),IF(ISNUMBER(FD311),INDIRECT("SamplesY!G"&amp;FD311),""))</f>
        <v/>
      </c>
      <c r="H311" s="19">
        <f>IF(ISNUMBER(FC311),INDIRECT("SamplesX!H"&amp;FC311),IF(ISNUMBER(FD311),INDIRECT("SamplesY!H"&amp;FD311),""))</f>
        <v/>
      </c>
      <c r="I311" s="16" t="n"/>
      <c r="J311" s="16" t="n"/>
      <c r="K311" s="16" t="n"/>
      <c r="L311" s="20" t="n"/>
      <c r="M311" s="20" t="inlineStr">
        <is>
          <t>None</t>
        </is>
      </c>
      <c r="N311" s="17" t="n"/>
      <c r="O311" s="16" t="n"/>
      <c r="P311" s="20" t="inlineStr">
        <is>
          <t>Shimadzu TOC-L</t>
        </is>
      </c>
      <c r="Q311" s="20" t="inlineStr">
        <is>
          <t>None</t>
        </is>
      </c>
      <c r="R311" s="17" t="n"/>
      <c r="S311" s="16" t="n"/>
      <c r="T311" s="20" t="inlineStr">
        <is>
          <t>Shimadzu TOC-L</t>
        </is>
      </c>
      <c r="U311" s="20" t="inlineStr">
        <is>
          <t>None</t>
        </is>
      </c>
      <c r="V311" s="17" t="n"/>
      <c r="W311" s="16" t="n"/>
      <c r="X311" s="20" t="n"/>
      <c r="Y311" s="20" t="inlineStr">
        <is>
          <t>None</t>
        </is>
      </c>
      <c r="Z311" s="17" t="n"/>
      <c r="AA311" s="16" t="n"/>
      <c r="AB311" s="20" t="n"/>
      <c r="AC311" s="20" t="inlineStr">
        <is>
          <t>None</t>
        </is>
      </c>
      <c r="AD311" s="17" t="n"/>
      <c r="AE311" s="16" t="n"/>
      <c r="AF311" s="20" t="inlineStr">
        <is>
          <t>IC Anionen</t>
        </is>
      </c>
      <c r="AG311" s="20" t="inlineStr">
        <is>
          <t>None</t>
        </is>
      </c>
      <c r="AH311" s="17" t="n"/>
      <c r="AI311" s="16" t="n"/>
      <c r="AJ311" s="20" t="n"/>
      <c r="AK311" s="20" t="inlineStr">
        <is>
          <t>None</t>
        </is>
      </c>
      <c r="AL311" s="17" t="n"/>
      <c r="AM311" s="16" t="n"/>
      <c r="AN311" s="20" t="inlineStr">
        <is>
          <t>IC Anionen</t>
        </is>
      </c>
      <c r="AO311" s="20" t="inlineStr">
        <is>
          <t>None</t>
        </is>
      </c>
      <c r="AP311" s="17" t="n"/>
      <c r="AQ311" s="16" t="n"/>
      <c r="AR311" s="20" t="n"/>
      <c r="AS311" s="20" t="inlineStr">
        <is>
          <t>None</t>
        </is>
      </c>
      <c r="AT311" s="17" t="n"/>
      <c r="AU311" s="16" t="n"/>
      <c r="AV311" s="20" t="n"/>
      <c r="AW311" s="20" t="inlineStr">
        <is>
          <t>None</t>
        </is>
      </c>
      <c r="AX311" s="17" t="n"/>
      <c r="AY311" s="16" t="n"/>
      <c r="AZ311" s="20" t="inlineStr">
        <is>
          <t>IC Anionen</t>
        </is>
      </c>
      <c r="BA311" s="20" t="inlineStr">
        <is>
          <t>None</t>
        </is>
      </c>
      <c r="BB311" s="17" t="n"/>
      <c r="BC311" s="16" t="n"/>
      <c r="BD311" s="20" t="inlineStr">
        <is>
          <t>IC Kationen</t>
        </is>
      </c>
      <c r="BE311" s="20" t="inlineStr">
        <is>
          <t>None</t>
        </is>
      </c>
      <c r="BF311" s="17" t="n"/>
      <c r="BG311" s="16" t="n"/>
      <c r="BH311" s="20" t="inlineStr">
        <is>
          <t>IC Kationen</t>
        </is>
      </c>
      <c r="BI311" s="20" t="inlineStr">
        <is>
          <t>None</t>
        </is>
      </c>
      <c r="BJ311" s="17" t="n"/>
      <c r="BK311" s="16" t="n"/>
      <c r="BL311" s="20" t="inlineStr">
        <is>
          <t>IC Kationen</t>
        </is>
      </c>
      <c r="BM311" s="20" t="inlineStr">
        <is>
          <t>None</t>
        </is>
      </c>
      <c r="BN311" s="17" t="n"/>
      <c r="BO311" s="16" t="n"/>
      <c r="BP311" s="20" t="inlineStr">
        <is>
          <t>IC Kationen</t>
        </is>
      </c>
      <c r="BQ311" s="20" t="inlineStr">
        <is>
          <t>None</t>
        </is>
      </c>
      <c r="BR311" s="17" t="n"/>
      <c r="BS311" s="16" t="n"/>
      <c r="BT311" s="20" t="inlineStr">
        <is>
          <t>IC Kationen</t>
        </is>
      </c>
      <c r="BU311" s="20" t="inlineStr">
        <is>
          <t>None</t>
        </is>
      </c>
      <c r="BV311" s="17" t="n"/>
      <c r="BW311" s="16" t="n"/>
      <c r="BX311" s="20" t="n"/>
      <c r="BY311" s="20" t="inlineStr">
        <is>
          <t>None</t>
        </is>
      </c>
      <c r="BZ311" s="17" t="n"/>
      <c r="CA311" s="16" t="n"/>
      <c r="CB311" s="20" t="n"/>
      <c r="CC311" s="20" t="inlineStr">
        <is>
          <t>None</t>
        </is>
      </c>
      <c r="CD311" s="17" t="n"/>
      <c r="CE311" s="16" t="n"/>
      <c r="CF311" s="20" t="n"/>
      <c r="CG311" s="20" t="inlineStr">
        <is>
          <t>None</t>
        </is>
      </c>
      <c r="CH311" s="17" t="n"/>
      <c r="CI311" s="16" t="n"/>
      <c r="CJ311" s="20" t="n"/>
      <c r="CK311" s="20" t="inlineStr">
        <is>
          <t>None</t>
        </is>
      </c>
      <c r="CL311" s="17" t="n"/>
      <c r="CM311" s="16" t="n"/>
      <c r="CN311" s="20" t="inlineStr">
        <is>
          <t>SOP 45-34</t>
        </is>
      </c>
      <c r="CO311" s="20" t="inlineStr">
        <is>
          <t>None</t>
        </is>
      </c>
      <c r="CP311" s="17" t="n"/>
      <c r="CQ311" s="16" t="n"/>
      <c r="CR311" s="20" t="n"/>
      <c r="CS311" s="20" t="inlineStr">
        <is>
          <t>None</t>
        </is>
      </c>
      <c r="CT311" s="17" t="n"/>
      <c r="CU311" s="16" t="n"/>
      <c r="CV311" s="20" t="n"/>
      <c r="CW311" s="20" t="inlineStr">
        <is>
          <t>None</t>
        </is>
      </c>
      <c r="CX311" s="17" t="n"/>
      <c r="CY311" s="16" t="n"/>
      <c r="CZ311" s="20" t="inlineStr">
        <is>
          <t>WTW Multimeter 3430 with FDO 925</t>
        </is>
      </c>
      <c r="DA311" s="20" t="inlineStr">
        <is>
          <t>None</t>
        </is>
      </c>
      <c r="DB311" s="17" t="n"/>
      <c r="DC311" s="16" t="n"/>
      <c r="DD311" s="20" t="n"/>
      <c r="DE311" s="20" t="inlineStr">
        <is>
          <t>None</t>
        </is>
      </c>
      <c r="DF311" s="17" t="n"/>
      <c r="DG311" s="16" t="n"/>
      <c r="DH311" s="20" t="inlineStr">
        <is>
          <t>SOP 45-09</t>
        </is>
      </c>
      <c r="DI311" s="20" t="inlineStr">
        <is>
          <t>None</t>
        </is>
      </c>
      <c r="DJ311" s="17" t="n"/>
      <c r="DK311" s="16" t="n"/>
      <c r="DL311" s="20" t="inlineStr">
        <is>
          <t>SOP 45-09 (SOP muss noch angepasst werden für VSS)</t>
        </is>
      </c>
      <c r="DM311" s="20" t="inlineStr">
        <is>
          <t>None</t>
        </is>
      </c>
      <c r="DN311" s="17" t="n"/>
      <c r="DO311" s="16" t="n"/>
      <c r="DP311" s="20" t="inlineStr">
        <is>
          <t>IC Organic Acids</t>
        </is>
      </c>
      <c r="DQ311" s="20" t="inlineStr">
        <is>
          <t>None</t>
        </is>
      </c>
      <c r="DR311" s="17" t="n"/>
      <c r="DS311" s="16" t="n"/>
      <c r="DT311" s="20" t="inlineStr">
        <is>
          <t>IC Organic Acids</t>
        </is>
      </c>
      <c r="DU311" s="20" t="inlineStr">
        <is>
          <t>None</t>
        </is>
      </c>
      <c r="DV311" s="17" t="n"/>
      <c r="DW311" s="16" t="n"/>
      <c r="DX311" s="20" t="inlineStr">
        <is>
          <t>IC Organic Acids</t>
        </is>
      </c>
      <c r="DY311" s="20" t="inlineStr">
        <is>
          <t>None</t>
        </is>
      </c>
      <c r="DZ311" s="17" t="n"/>
      <c r="EA311" s="16" t="n"/>
      <c r="EB311" s="20" t="inlineStr">
        <is>
          <t>IC Organic Acids</t>
        </is>
      </c>
      <c r="EC311" s="20" t="inlineStr">
        <is>
          <t>None</t>
        </is>
      </c>
      <c r="ED311" s="17" t="n"/>
      <c r="EE311" s="16" t="n"/>
      <c r="EF311" s="20" t="inlineStr">
        <is>
          <t>IC Organic Acids</t>
        </is>
      </c>
      <c r="EG311" s="20" t="inlineStr">
        <is>
          <t>None</t>
        </is>
      </c>
      <c r="EH311" s="17" t="n"/>
      <c r="EI311" s="16" t="n"/>
      <c r="EJ311" s="20" t="inlineStr">
        <is>
          <t>IC Organic Acids</t>
        </is>
      </c>
      <c r="EK311" s="20" t="inlineStr">
        <is>
          <t>None</t>
        </is>
      </c>
      <c r="EL311" s="17" t="n"/>
      <c r="EM311" s="16" t="n"/>
      <c r="EN311" s="20" t="inlineStr">
        <is>
          <t>IC Organic Acids</t>
        </is>
      </c>
      <c r="EO311" s="20" t="inlineStr">
        <is>
          <t>None</t>
        </is>
      </c>
      <c r="EP311" s="17" t="n"/>
      <c r="EQ311" s="16" t="n"/>
      <c r="ER311" s="20" t="inlineStr">
        <is>
          <t>IC Organic Acids</t>
        </is>
      </c>
      <c r="ES311" s="20" t="inlineStr">
        <is>
          <t>None</t>
        </is>
      </c>
      <c r="ET311" s="17" t="n"/>
      <c r="EU311" s="16" t="n"/>
      <c r="EV311" s="20" t="inlineStr">
        <is>
          <t>LC-MS</t>
        </is>
      </c>
      <c r="EW311" s="20" t="inlineStr">
        <is>
          <t>None</t>
        </is>
      </c>
      <c r="EX311" s="17" t="n"/>
      <c r="EY311" s="21" t="n"/>
      <c r="EZ311">
        <f>CONCATENATE(A311,B311)</f>
        <v/>
      </c>
      <c r="FA311">
        <f>CONCATENATE(SamplesX!A311,SamplesX!B311)</f>
        <v/>
      </c>
      <c r="FC311">
        <f>MATCH(EZ311,FA1:FA1008,0)</f>
        <v/>
      </c>
    </row>
    <row r="312">
      <c r="A312" s="16" t="inlineStr">
        <is>
          <t>BP</t>
        </is>
      </c>
      <c r="B312" s="17" t="inlineStr">
        <is>
          <t>25304</t>
        </is>
      </c>
      <c r="C312" s="10">
        <f>IF(ISNUMBER(FC312),INDIRECT("SamplesX!C"&amp;FC312),IF(ISNUMBER(FD312),INDIRECT("SamplesY!C"&amp;FD312),""))</f>
        <v/>
      </c>
      <c r="D312" s="12">
        <f>IF(ISNUMBER(FC312),INDIRECT("SamplesX!D"&amp;FC312),IF(ISNUMBER(FD312),INDIRECT("SamplesY!D"&amp;FD312),""))</f>
        <v/>
      </c>
      <c r="E312" s="12">
        <f>IF(ISNUMBER(FC312),INDIRECT("SamplesX!E"&amp;FC312),IF(ISNUMBER(FD312),INDIRECT("SamplesY!E"&amp;FD312),""))</f>
        <v/>
      </c>
      <c r="F312" s="11">
        <f>IF(ISNUMBER(FC312),INDIRECT("SamplesX!F"&amp;FC312),IF(ISNUMBER(FD312),INDIRECT("SamplesY!F"&amp;FD312),""))</f>
        <v/>
      </c>
      <c r="G312" s="18">
        <f>IF(ISNUMBER(FC312),INDIRECT("SamplesX!G"&amp;FC312),IF(ISNUMBER(FD312),INDIRECT("SamplesY!G"&amp;FD312),""))</f>
        <v/>
      </c>
      <c r="H312" s="19">
        <f>IF(ISNUMBER(FC312),INDIRECT("SamplesX!H"&amp;FC312),IF(ISNUMBER(FD312),INDIRECT("SamplesY!H"&amp;FD312),""))</f>
        <v/>
      </c>
      <c r="I312" s="16" t="n"/>
      <c r="J312" s="16" t="n"/>
      <c r="K312" s="16" t="n"/>
      <c r="L312" s="20" t="n"/>
      <c r="M312" s="20" t="inlineStr">
        <is>
          <t>None</t>
        </is>
      </c>
      <c r="N312" s="17" t="n"/>
      <c r="O312" s="16" t="n"/>
      <c r="P312" s="20" t="inlineStr">
        <is>
          <t>Shimadzu TOC-L</t>
        </is>
      </c>
      <c r="Q312" s="20" t="inlineStr">
        <is>
          <t>None</t>
        </is>
      </c>
      <c r="R312" s="17" t="n"/>
      <c r="S312" s="16" t="n"/>
      <c r="T312" s="20" t="inlineStr">
        <is>
          <t>Shimadzu TOC-L</t>
        </is>
      </c>
      <c r="U312" s="20" t="inlineStr">
        <is>
          <t>None</t>
        </is>
      </c>
      <c r="V312" s="17" t="n"/>
      <c r="W312" s="16" t="n"/>
      <c r="X312" s="20" t="n"/>
      <c r="Y312" s="20" t="inlineStr">
        <is>
          <t>None</t>
        </is>
      </c>
      <c r="Z312" s="17" t="n"/>
      <c r="AA312" s="16" t="n"/>
      <c r="AB312" s="20" t="n"/>
      <c r="AC312" s="20" t="inlineStr">
        <is>
          <t>None</t>
        </is>
      </c>
      <c r="AD312" s="17" t="n"/>
      <c r="AE312" s="16" t="n"/>
      <c r="AF312" s="20" t="inlineStr">
        <is>
          <t>IC Anionen</t>
        </is>
      </c>
      <c r="AG312" s="20" t="inlineStr">
        <is>
          <t>None</t>
        </is>
      </c>
      <c r="AH312" s="17" t="n"/>
      <c r="AI312" s="16" t="n"/>
      <c r="AJ312" s="20" t="n"/>
      <c r="AK312" s="20" t="inlineStr">
        <is>
          <t>None</t>
        </is>
      </c>
      <c r="AL312" s="17" t="n"/>
      <c r="AM312" s="16" t="n"/>
      <c r="AN312" s="20" t="inlineStr">
        <is>
          <t>IC Anionen</t>
        </is>
      </c>
      <c r="AO312" s="20" t="inlineStr">
        <is>
          <t>None</t>
        </is>
      </c>
      <c r="AP312" s="17" t="n"/>
      <c r="AQ312" s="16" t="n"/>
      <c r="AR312" s="20" t="n"/>
      <c r="AS312" s="20" t="inlineStr">
        <is>
          <t>None</t>
        </is>
      </c>
      <c r="AT312" s="17" t="n"/>
      <c r="AU312" s="16" t="n"/>
      <c r="AV312" s="20" t="n"/>
      <c r="AW312" s="20" t="inlineStr">
        <is>
          <t>None</t>
        </is>
      </c>
      <c r="AX312" s="17" t="n"/>
      <c r="AY312" s="16" t="n"/>
      <c r="AZ312" s="20" t="inlineStr">
        <is>
          <t>IC Anionen</t>
        </is>
      </c>
      <c r="BA312" s="20" t="inlineStr">
        <is>
          <t>None</t>
        </is>
      </c>
      <c r="BB312" s="17" t="n"/>
      <c r="BC312" s="16" t="n"/>
      <c r="BD312" s="20" t="inlineStr">
        <is>
          <t>IC Kationen</t>
        </is>
      </c>
      <c r="BE312" s="20" t="inlineStr">
        <is>
          <t>None</t>
        </is>
      </c>
      <c r="BF312" s="17" t="n"/>
      <c r="BG312" s="16" t="n"/>
      <c r="BH312" s="20" t="inlineStr">
        <is>
          <t>IC Kationen</t>
        </is>
      </c>
      <c r="BI312" s="20" t="inlineStr">
        <is>
          <t>None</t>
        </is>
      </c>
      <c r="BJ312" s="17" t="n"/>
      <c r="BK312" s="16" t="n"/>
      <c r="BL312" s="20" t="inlineStr">
        <is>
          <t>IC Kationen</t>
        </is>
      </c>
      <c r="BM312" s="20" t="inlineStr">
        <is>
          <t>None</t>
        </is>
      </c>
      <c r="BN312" s="17" t="n"/>
      <c r="BO312" s="16" t="n"/>
      <c r="BP312" s="20" t="inlineStr">
        <is>
          <t>IC Kationen</t>
        </is>
      </c>
      <c r="BQ312" s="20" t="inlineStr">
        <is>
          <t>None</t>
        </is>
      </c>
      <c r="BR312" s="17" t="n"/>
      <c r="BS312" s="16" t="n"/>
      <c r="BT312" s="20" t="inlineStr">
        <is>
          <t>IC Kationen</t>
        </is>
      </c>
      <c r="BU312" s="20" t="inlineStr">
        <is>
          <t>None</t>
        </is>
      </c>
      <c r="BV312" s="17" t="n"/>
      <c r="BW312" s="16" t="n"/>
      <c r="BX312" s="20" t="n"/>
      <c r="BY312" s="20" t="inlineStr">
        <is>
          <t>None</t>
        </is>
      </c>
      <c r="BZ312" s="17" t="n"/>
      <c r="CA312" s="16" t="n"/>
      <c r="CB312" s="20" t="n"/>
      <c r="CC312" s="20" t="inlineStr">
        <is>
          <t>None</t>
        </is>
      </c>
      <c r="CD312" s="17" t="n"/>
      <c r="CE312" s="16" t="n"/>
      <c r="CF312" s="20" t="n"/>
      <c r="CG312" s="20" t="inlineStr">
        <is>
          <t>None</t>
        </is>
      </c>
      <c r="CH312" s="17" t="n"/>
      <c r="CI312" s="16" t="n"/>
      <c r="CJ312" s="20" t="n"/>
      <c r="CK312" s="20" t="inlineStr">
        <is>
          <t>None</t>
        </is>
      </c>
      <c r="CL312" s="17" t="n"/>
      <c r="CM312" s="16" t="n"/>
      <c r="CN312" s="20" t="inlineStr">
        <is>
          <t>SOP 45-34</t>
        </is>
      </c>
      <c r="CO312" s="20" t="inlineStr">
        <is>
          <t>None</t>
        </is>
      </c>
      <c r="CP312" s="17" t="n"/>
      <c r="CQ312" s="16" t="n"/>
      <c r="CR312" s="20" t="n"/>
      <c r="CS312" s="20" t="inlineStr">
        <is>
          <t>None</t>
        </is>
      </c>
      <c r="CT312" s="17" t="n"/>
      <c r="CU312" s="16" t="n"/>
      <c r="CV312" s="20" t="n"/>
      <c r="CW312" s="20" t="inlineStr">
        <is>
          <t>None</t>
        </is>
      </c>
      <c r="CX312" s="17" t="n"/>
      <c r="CY312" s="16" t="n"/>
      <c r="CZ312" s="20" t="inlineStr">
        <is>
          <t>WTW Multimeter 3430 with FDO 925</t>
        </is>
      </c>
      <c r="DA312" s="20" t="inlineStr">
        <is>
          <t>None</t>
        </is>
      </c>
      <c r="DB312" s="17" t="n"/>
      <c r="DC312" s="16" t="n"/>
      <c r="DD312" s="20" t="n"/>
      <c r="DE312" s="20" t="inlineStr">
        <is>
          <t>None</t>
        </is>
      </c>
      <c r="DF312" s="17" t="n"/>
      <c r="DG312" s="16" t="n"/>
      <c r="DH312" s="20" t="inlineStr">
        <is>
          <t>SOP 45-09</t>
        </is>
      </c>
      <c r="DI312" s="20" t="inlineStr">
        <is>
          <t>None</t>
        </is>
      </c>
      <c r="DJ312" s="17" t="n"/>
      <c r="DK312" s="16" t="n"/>
      <c r="DL312" s="20" t="inlineStr">
        <is>
          <t>SOP 45-09 (SOP muss noch angepasst werden für VSS)</t>
        </is>
      </c>
      <c r="DM312" s="20" t="inlineStr">
        <is>
          <t>None</t>
        </is>
      </c>
      <c r="DN312" s="17" t="n"/>
      <c r="DO312" s="16" t="n"/>
      <c r="DP312" s="20" t="inlineStr">
        <is>
          <t>IC Organic Acids</t>
        </is>
      </c>
      <c r="DQ312" s="20" t="inlineStr">
        <is>
          <t>None</t>
        </is>
      </c>
      <c r="DR312" s="17" t="n"/>
      <c r="DS312" s="16" t="n"/>
      <c r="DT312" s="20" t="inlineStr">
        <is>
          <t>IC Organic Acids</t>
        </is>
      </c>
      <c r="DU312" s="20" t="inlineStr">
        <is>
          <t>None</t>
        </is>
      </c>
      <c r="DV312" s="17" t="n"/>
      <c r="DW312" s="16" t="n"/>
      <c r="DX312" s="20" t="inlineStr">
        <is>
          <t>IC Organic Acids</t>
        </is>
      </c>
      <c r="DY312" s="20" t="inlineStr">
        <is>
          <t>None</t>
        </is>
      </c>
      <c r="DZ312" s="17" t="n"/>
      <c r="EA312" s="16" t="n"/>
      <c r="EB312" s="20" t="inlineStr">
        <is>
          <t>IC Organic Acids</t>
        </is>
      </c>
      <c r="EC312" s="20" t="inlineStr">
        <is>
          <t>None</t>
        </is>
      </c>
      <c r="ED312" s="17" t="n"/>
      <c r="EE312" s="16" t="n"/>
      <c r="EF312" s="20" t="inlineStr">
        <is>
          <t>IC Organic Acids</t>
        </is>
      </c>
      <c r="EG312" s="20" t="inlineStr">
        <is>
          <t>None</t>
        </is>
      </c>
      <c r="EH312" s="17" t="n"/>
      <c r="EI312" s="16" t="n"/>
      <c r="EJ312" s="20" t="inlineStr">
        <is>
          <t>IC Organic Acids</t>
        </is>
      </c>
      <c r="EK312" s="20" t="inlineStr">
        <is>
          <t>None</t>
        </is>
      </c>
      <c r="EL312" s="17" t="n"/>
      <c r="EM312" s="16" t="n"/>
      <c r="EN312" s="20" t="inlineStr">
        <is>
          <t>IC Organic Acids</t>
        </is>
      </c>
      <c r="EO312" s="20" t="inlineStr">
        <is>
          <t>None</t>
        </is>
      </c>
      <c r="EP312" s="17" t="n"/>
      <c r="EQ312" s="16" t="n"/>
      <c r="ER312" s="20" t="inlineStr">
        <is>
          <t>IC Organic Acids</t>
        </is>
      </c>
      <c r="ES312" s="20" t="inlineStr">
        <is>
          <t>None</t>
        </is>
      </c>
      <c r="ET312" s="17" t="n"/>
      <c r="EU312" s="16" t="n"/>
      <c r="EV312" s="20" t="inlineStr">
        <is>
          <t>LC-MS</t>
        </is>
      </c>
      <c r="EW312" s="20" t="inlineStr">
        <is>
          <t>None</t>
        </is>
      </c>
      <c r="EX312" s="17" t="n"/>
      <c r="EY312" s="21" t="n"/>
      <c r="EZ312">
        <f>CONCATENATE(A312,B312)</f>
        <v/>
      </c>
      <c r="FA312">
        <f>CONCATENATE(SamplesX!A312,SamplesX!B312)</f>
        <v/>
      </c>
      <c r="FC312">
        <f>MATCH(EZ312,FA1:FA1008,0)</f>
        <v/>
      </c>
    </row>
    <row r="313">
      <c r="A313" s="16" t="inlineStr">
        <is>
          <t>BP</t>
        </is>
      </c>
      <c r="B313" s="17" t="inlineStr">
        <is>
          <t>25305</t>
        </is>
      </c>
      <c r="C313" s="10">
        <f>IF(ISNUMBER(FC313),INDIRECT("SamplesX!C"&amp;FC313),IF(ISNUMBER(FD313),INDIRECT("SamplesY!C"&amp;FD313),""))</f>
        <v/>
      </c>
      <c r="D313" s="12">
        <f>IF(ISNUMBER(FC313),INDIRECT("SamplesX!D"&amp;FC313),IF(ISNUMBER(FD313),INDIRECT("SamplesY!D"&amp;FD313),""))</f>
        <v/>
      </c>
      <c r="E313" s="12">
        <f>IF(ISNUMBER(FC313),INDIRECT("SamplesX!E"&amp;FC313),IF(ISNUMBER(FD313),INDIRECT("SamplesY!E"&amp;FD313),""))</f>
        <v/>
      </c>
      <c r="F313" s="11">
        <f>IF(ISNUMBER(FC313),INDIRECT("SamplesX!F"&amp;FC313),IF(ISNUMBER(FD313),INDIRECT("SamplesY!F"&amp;FD313),""))</f>
        <v/>
      </c>
      <c r="G313" s="18">
        <f>IF(ISNUMBER(FC313),INDIRECT("SamplesX!G"&amp;FC313),IF(ISNUMBER(FD313),INDIRECT("SamplesY!G"&amp;FD313),""))</f>
        <v/>
      </c>
      <c r="H313" s="19">
        <f>IF(ISNUMBER(FC313),INDIRECT("SamplesX!H"&amp;FC313),IF(ISNUMBER(FD313),INDIRECT("SamplesY!H"&amp;FD313),""))</f>
        <v/>
      </c>
      <c r="I313" s="16" t="n"/>
      <c r="J313" s="16" t="n"/>
      <c r="K313" s="16" t="n"/>
      <c r="L313" s="20" t="n"/>
      <c r="M313" s="20" t="inlineStr">
        <is>
          <t>None</t>
        </is>
      </c>
      <c r="N313" s="17" t="n"/>
      <c r="O313" s="16" t="n"/>
      <c r="P313" s="20" t="inlineStr">
        <is>
          <t>Shimadzu TOC-L</t>
        </is>
      </c>
      <c r="Q313" s="20" t="inlineStr">
        <is>
          <t>None</t>
        </is>
      </c>
      <c r="R313" s="17" t="n"/>
      <c r="S313" s="16" t="n"/>
      <c r="T313" s="20" t="inlineStr">
        <is>
          <t>Shimadzu TOC-L</t>
        </is>
      </c>
      <c r="U313" s="20" t="inlineStr">
        <is>
          <t>None</t>
        </is>
      </c>
      <c r="V313" s="17" t="n"/>
      <c r="W313" s="16" t="n"/>
      <c r="X313" s="20" t="n"/>
      <c r="Y313" s="20" t="inlineStr">
        <is>
          <t>None</t>
        </is>
      </c>
      <c r="Z313" s="17" t="n"/>
      <c r="AA313" s="16" t="n"/>
      <c r="AB313" s="20" t="n"/>
      <c r="AC313" s="20" t="inlineStr">
        <is>
          <t>None</t>
        </is>
      </c>
      <c r="AD313" s="17" t="n"/>
      <c r="AE313" s="16" t="n"/>
      <c r="AF313" s="20" t="inlineStr">
        <is>
          <t>IC Anionen</t>
        </is>
      </c>
      <c r="AG313" s="20" t="inlineStr">
        <is>
          <t>None</t>
        </is>
      </c>
      <c r="AH313" s="17" t="n"/>
      <c r="AI313" s="16" t="n"/>
      <c r="AJ313" s="20" t="n"/>
      <c r="AK313" s="20" t="inlineStr">
        <is>
          <t>None</t>
        </is>
      </c>
      <c r="AL313" s="17" t="n"/>
      <c r="AM313" s="16" t="n"/>
      <c r="AN313" s="20" t="inlineStr">
        <is>
          <t>IC Anionen</t>
        </is>
      </c>
      <c r="AO313" s="20" t="inlineStr">
        <is>
          <t>None</t>
        </is>
      </c>
      <c r="AP313" s="17" t="n"/>
      <c r="AQ313" s="16" t="n"/>
      <c r="AR313" s="20" t="n"/>
      <c r="AS313" s="20" t="inlineStr">
        <is>
          <t>None</t>
        </is>
      </c>
      <c r="AT313" s="17" t="n"/>
      <c r="AU313" s="16" t="n"/>
      <c r="AV313" s="20" t="n"/>
      <c r="AW313" s="20" t="inlineStr">
        <is>
          <t>None</t>
        </is>
      </c>
      <c r="AX313" s="17" t="n"/>
      <c r="AY313" s="16" t="n"/>
      <c r="AZ313" s="20" t="inlineStr">
        <is>
          <t>IC Anionen</t>
        </is>
      </c>
      <c r="BA313" s="20" t="inlineStr">
        <is>
          <t>None</t>
        </is>
      </c>
      <c r="BB313" s="17" t="n"/>
      <c r="BC313" s="16" t="n"/>
      <c r="BD313" s="20" t="inlineStr">
        <is>
          <t>IC Kationen</t>
        </is>
      </c>
      <c r="BE313" s="20" t="inlineStr">
        <is>
          <t>None</t>
        </is>
      </c>
      <c r="BF313" s="17" t="n"/>
      <c r="BG313" s="16" t="n"/>
      <c r="BH313" s="20" t="inlineStr">
        <is>
          <t>IC Kationen</t>
        </is>
      </c>
      <c r="BI313" s="20" t="inlineStr">
        <is>
          <t>None</t>
        </is>
      </c>
      <c r="BJ313" s="17" t="n"/>
      <c r="BK313" s="16" t="n"/>
      <c r="BL313" s="20" t="inlineStr">
        <is>
          <t>IC Kationen</t>
        </is>
      </c>
      <c r="BM313" s="20" t="inlineStr">
        <is>
          <t>None</t>
        </is>
      </c>
      <c r="BN313" s="17" t="n"/>
      <c r="BO313" s="16" t="n"/>
      <c r="BP313" s="20" t="inlineStr">
        <is>
          <t>IC Kationen</t>
        </is>
      </c>
      <c r="BQ313" s="20" t="inlineStr">
        <is>
          <t>None</t>
        </is>
      </c>
      <c r="BR313" s="17" t="n"/>
      <c r="BS313" s="16" t="n"/>
      <c r="BT313" s="20" t="inlineStr">
        <is>
          <t>IC Kationen</t>
        </is>
      </c>
      <c r="BU313" s="20" t="inlineStr">
        <is>
          <t>None</t>
        </is>
      </c>
      <c r="BV313" s="17" t="n"/>
      <c r="BW313" s="16" t="n"/>
      <c r="BX313" s="20" t="n"/>
      <c r="BY313" s="20" t="inlineStr">
        <is>
          <t>None</t>
        </is>
      </c>
      <c r="BZ313" s="17" t="n"/>
      <c r="CA313" s="16" t="n"/>
      <c r="CB313" s="20" t="n"/>
      <c r="CC313" s="20" t="inlineStr">
        <is>
          <t>None</t>
        </is>
      </c>
      <c r="CD313" s="17" t="n"/>
      <c r="CE313" s="16" t="n"/>
      <c r="CF313" s="20" t="n"/>
      <c r="CG313" s="20" t="inlineStr">
        <is>
          <t>None</t>
        </is>
      </c>
      <c r="CH313" s="17" t="n"/>
      <c r="CI313" s="16" t="n"/>
      <c r="CJ313" s="20" t="n"/>
      <c r="CK313" s="20" t="inlineStr">
        <is>
          <t>None</t>
        </is>
      </c>
      <c r="CL313" s="17" t="n"/>
      <c r="CM313" s="16" t="n"/>
      <c r="CN313" s="20" t="inlineStr">
        <is>
          <t>SOP 45-34</t>
        </is>
      </c>
      <c r="CO313" s="20" t="inlineStr">
        <is>
          <t>None</t>
        </is>
      </c>
      <c r="CP313" s="17" t="n"/>
      <c r="CQ313" s="16" t="n"/>
      <c r="CR313" s="20" t="n"/>
      <c r="CS313" s="20" t="inlineStr">
        <is>
          <t>None</t>
        </is>
      </c>
      <c r="CT313" s="17" t="n"/>
      <c r="CU313" s="16" t="n"/>
      <c r="CV313" s="20" t="n"/>
      <c r="CW313" s="20" t="inlineStr">
        <is>
          <t>None</t>
        </is>
      </c>
      <c r="CX313" s="17" t="n"/>
      <c r="CY313" s="16" t="n"/>
      <c r="CZ313" s="20" t="inlineStr">
        <is>
          <t>WTW Multimeter 3430 with FDO 925</t>
        </is>
      </c>
      <c r="DA313" s="20" t="inlineStr">
        <is>
          <t>None</t>
        </is>
      </c>
      <c r="DB313" s="17" t="n"/>
      <c r="DC313" s="16" t="n"/>
      <c r="DD313" s="20" t="n"/>
      <c r="DE313" s="20" t="inlineStr">
        <is>
          <t>None</t>
        </is>
      </c>
      <c r="DF313" s="17" t="n"/>
      <c r="DG313" s="16" t="n"/>
      <c r="DH313" s="20" t="inlineStr">
        <is>
          <t>SOP 45-09</t>
        </is>
      </c>
      <c r="DI313" s="20" t="inlineStr">
        <is>
          <t>None</t>
        </is>
      </c>
      <c r="DJ313" s="17" t="n"/>
      <c r="DK313" s="16" t="n"/>
      <c r="DL313" s="20" t="inlineStr">
        <is>
          <t>SOP 45-09 (SOP muss noch angepasst werden für VSS)</t>
        </is>
      </c>
      <c r="DM313" s="20" t="inlineStr">
        <is>
          <t>None</t>
        </is>
      </c>
      <c r="DN313" s="17" t="n"/>
      <c r="DO313" s="16" t="n"/>
      <c r="DP313" s="20" t="inlineStr">
        <is>
          <t>IC Organic Acids</t>
        </is>
      </c>
      <c r="DQ313" s="20" t="inlineStr">
        <is>
          <t>None</t>
        </is>
      </c>
      <c r="DR313" s="17" t="n"/>
      <c r="DS313" s="16" t="n"/>
      <c r="DT313" s="20" t="inlineStr">
        <is>
          <t>IC Organic Acids</t>
        </is>
      </c>
      <c r="DU313" s="20" t="inlineStr">
        <is>
          <t>None</t>
        </is>
      </c>
      <c r="DV313" s="17" t="n"/>
      <c r="DW313" s="16" t="n"/>
      <c r="DX313" s="20" t="inlineStr">
        <is>
          <t>IC Organic Acids</t>
        </is>
      </c>
      <c r="DY313" s="20" t="inlineStr">
        <is>
          <t>None</t>
        </is>
      </c>
      <c r="DZ313" s="17" t="n"/>
      <c r="EA313" s="16" t="n"/>
      <c r="EB313" s="20" t="inlineStr">
        <is>
          <t>IC Organic Acids</t>
        </is>
      </c>
      <c r="EC313" s="20" t="inlineStr">
        <is>
          <t>None</t>
        </is>
      </c>
      <c r="ED313" s="17" t="n"/>
      <c r="EE313" s="16" t="n"/>
      <c r="EF313" s="20" t="inlineStr">
        <is>
          <t>IC Organic Acids</t>
        </is>
      </c>
      <c r="EG313" s="20" t="inlineStr">
        <is>
          <t>None</t>
        </is>
      </c>
      <c r="EH313" s="17" t="n"/>
      <c r="EI313" s="16" t="n"/>
      <c r="EJ313" s="20" t="inlineStr">
        <is>
          <t>IC Organic Acids</t>
        </is>
      </c>
      <c r="EK313" s="20" t="inlineStr">
        <is>
          <t>None</t>
        </is>
      </c>
      <c r="EL313" s="17" t="n"/>
      <c r="EM313" s="16" t="n"/>
      <c r="EN313" s="20" t="inlineStr">
        <is>
          <t>IC Organic Acids</t>
        </is>
      </c>
      <c r="EO313" s="20" t="inlineStr">
        <is>
          <t>None</t>
        </is>
      </c>
      <c r="EP313" s="17" t="n"/>
      <c r="EQ313" s="16" t="n"/>
      <c r="ER313" s="20" t="inlineStr">
        <is>
          <t>IC Organic Acids</t>
        </is>
      </c>
      <c r="ES313" s="20" t="inlineStr">
        <is>
          <t>None</t>
        </is>
      </c>
      <c r="ET313" s="17" t="n"/>
      <c r="EU313" s="16" t="n"/>
      <c r="EV313" s="20" t="inlineStr">
        <is>
          <t>LC-MS</t>
        </is>
      </c>
      <c r="EW313" s="20" t="inlineStr">
        <is>
          <t>None</t>
        </is>
      </c>
      <c r="EX313" s="17" t="n"/>
      <c r="EY313" s="21" t="n"/>
      <c r="EZ313">
        <f>CONCATENATE(A313,B313)</f>
        <v/>
      </c>
      <c r="FA313">
        <f>CONCATENATE(SamplesX!A313,SamplesX!B313)</f>
        <v/>
      </c>
      <c r="FC313">
        <f>MATCH(EZ313,FA1:FA1008,0)</f>
        <v/>
      </c>
    </row>
    <row r="314">
      <c r="A314" s="16" t="inlineStr">
        <is>
          <t>BP</t>
        </is>
      </c>
      <c r="B314" s="17" t="inlineStr">
        <is>
          <t>25306</t>
        </is>
      </c>
      <c r="C314" s="10">
        <f>IF(ISNUMBER(FC314),INDIRECT("SamplesX!C"&amp;FC314),IF(ISNUMBER(FD314),INDIRECT("SamplesY!C"&amp;FD314),""))</f>
        <v/>
      </c>
      <c r="D314" s="12">
        <f>IF(ISNUMBER(FC314),INDIRECT("SamplesX!D"&amp;FC314),IF(ISNUMBER(FD314),INDIRECT("SamplesY!D"&amp;FD314),""))</f>
        <v/>
      </c>
      <c r="E314" s="12">
        <f>IF(ISNUMBER(FC314),INDIRECT("SamplesX!E"&amp;FC314),IF(ISNUMBER(FD314),INDIRECT("SamplesY!E"&amp;FD314),""))</f>
        <v/>
      </c>
      <c r="F314" s="11">
        <f>IF(ISNUMBER(FC314),INDIRECT("SamplesX!F"&amp;FC314),IF(ISNUMBER(FD314),INDIRECT("SamplesY!F"&amp;FD314),""))</f>
        <v/>
      </c>
      <c r="G314" s="18">
        <f>IF(ISNUMBER(FC314),INDIRECT("SamplesX!G"&amp;FC314),IF(ISNUMBER(FD314),INDIRECT("SamplesY!G"&amp;FD314),""))</f>
        <v/>
      </c>
      <c r="H314" s="19">
        <f>IF(ISNUMBER(FC314),INDIRECT("SamplesX!H"&amp;FC314),IF(ISNUMBER(FD314),INDIRECT("SamplesY!H"&amp;FD314),""))</f>
        <v/>
      </c>
      <c r="I314" s="16" t="n"/>
      <c r="J314" s="16" t="n"/>
      <c r="K314" s="16" t="n"/>
      <c r="L314" s="20" t="n"/>
      <c r="M314" s="20" t="inlineStr">
        <is>
          <t>None</t>
        </is>
      </c>
      <c r="N314" s="17" t="n"/>
      <c r="O314" s="16" t="n"/>
      <c r="P314" s="20" t="inlineStr">
        <is>
          <t>Shimadzu TOC-L</t>
        </is>
      </c>
      <c r="Q314" s="20" t="inlineStr">
        <is>
          <t>None</t>
        </is>
      </c>
      <c r="R314" s="17" t="n"/>
      <c r="S314" s="16" t="n"/>
      <c r="T314" s="20" t="inlineStr">
        <is>
          <t>Shimadzu TOC-L</t>
        </is>
      </c>
      <c r="U314" s="20" t="inlineStr">
        <is>
          <t>None</t>
        </is>
      </c>
      <c r="V314" s="17" t="n"/>
      <c r="W314" s="16" t="n"/>
      <c r="X314" s="20" t="n"/>
      <c r="Y314" s="20" t="inlineStr">
        <is>
          <t>None</t>
        </is>
      </c>
      <c r="Z314" s="17" t="n"/>
      <c r="AA314" s="16" t="n"/>
      <c r="AB314" s="20" t="n"/>
      <c r="AC314" s="20" t="inlineStr">
        <is>
          <t>None</t>
        </is>
      </c>
      <c r="AD314" s="17" t="n"/>
      <c r="AE314" s="16" t="n"/>
      <c r="AF314" s="20" t="inlineStr">
        <is>
          <t>IC Anionen</t>
        </is>
      </c>
      <c r="AG314" s="20" t="inlineStr">
        <is>
          <t>None</t>
        </is>
      </c>
      <c r="AH314" s="17" t="n"/>
      <c r="AI314" s="16" t="n"/>
      <c r="AJ314" s="20" t="n"/>
      <c r="AK314" s="20" t="inlineStr">
        <is>
          <t>None</t>
        </is>
      </c>
      <c r="AL314" s="17" t="n"/>
      <c r="AM314" s="16" t="n"/>
      <c r="AN314" s="20" t="inlineStr">
        <is>
          <t>IC Anionen</t>
        </is>
      </c>
      <c r="AO314" s="20" t="inlineStr">
        <is>
          <t>None</t>
        </is>
      </c>
      <c r="AP314" s="17" t="n"/>
      <c r="AQ314" s="16" t="n"/>
      <c r="AR314" s="20" t="n"/>
      <c r="AS314" s="20" t="inlineStr">
        <is>
          <t>None</t>
        </is>
      </c>
      <c r="AT314" s="17" t="n"/>
      <c r="AU314" s="16" t="n"/>
      <c r="AV314" s="20" t="n"/>
      <c r="AW314" s="20" t="inlineStr">
        <is>
          <t>None</t>
        </is>
      </c>
      <c r="AX314" s="17" t="n"/>
      <c r="AY314" s="16" t="n"/>
      <c r="AZ314" s="20" t="inlineStr">
        <is>
          <t>IC Anionen</t>
        </is>
      </c>
      <c r="BA314" s="20" t="inlineStr">
        <is>
          <t>None</t>
        </is>
      </c>
      <c r="BB314" s="17" t="n"/>
      <c r="BC314" s="16" t="n"/>
      <c r="BD314" s="20" t="inlineStr">
        <is>
          <t>IC Kationen</t>
        </is>
      </c>
      <c r="BE314" s="20" t="inlineStr">
        <is>
          <t>None</t>
        </is>
      </c>
      <c r="BF314" s="17" t="n"/>
      <c r="BG314" s="16" t="n"/>
      <c r="BH314" s="20" t="inlineStr">
        <is>
          <t>IC Kationen</t>
        </is>
      </c>
      <c r="BI314" s="20" t="inlineStr">
        <is>
          <t>None</t>
        </is>
      </c>
      <c r="BJ314" s="17" t="n"/>
      <c r="BK314" s="16" t="n"/>
      <c r="BL314" s="20" t="inlineStr">
        <is>
          <t>IC Kationen</t>
        </is>
      </c>
      <c r="BM314" s="20" t="inlineStr">
        <is>
          <t>None</t>
        </is>
      </c>
      <c r="BN314" s="17" t="n"/>
      <c r="BO314" s="16" t="n"/>
      <c r="BP314" s="20" t="inlineStr">
        <is>
          <t>IC Kationen</t>
        </is>
      </c>
      <c r="BQ314" s="20" t="inlineStr">
        <is>
          <t>None</t>
        </is>
      </c>
      <c r="BR314" s="17" t="n"/>
      <c r="BS314" s="16" t="n"/>
      <c r="BT314" s="20" t="inlineStr">
        <is>
          <t>IC Kationen</t>
        </is>
      </c>
      <c r="BU314" s="20" t="inlineStr">
        <is>
          <t>None</t>
        </is>
      </c>
      <c r="BV314" s="17" t="n"/>
      <c r="BW314" s="16" t="n"/>
      <c r="BX314" s="20" t="n"/>
      <c r="BY314" s="20" t="inlineStr">
        <is>
          <t>None</t>
        </is>
      </c>
      <c r="BZ314" s="17" t="n"/>
      <c r="CA314" s="16" t="n"/>
      <c r="CB314" s="20" t="n"/>
      <c r="CC314" s="20" t="inlineStr">
        <is>
          <t>None</t>
        </is>
      </c>
      <c r="CD314" s="17" t="n"/>
      <c r="CE314" s="16" t="n"/>
      <c r="CF314" s="20" t="n"/>
      <c r="CG314" s="20" t="inlineStr">
        <is>
          <t>None</t>
        </is>
      </c>
      <c r="CH314" s="17" t="n"/>
      <c r="CI314" s="16" t="n"/>
      <c r="CJ314" s="20" t="n"/>
      <c r="CK314" s="20" t="inlineStr">
        <is>
          <t>None</t>
        </is>
      </c>
      <c r="CL314" s="17" t="n"/>
      <c r="CM314" s="16" t="n"/>
      <c r="CN314" s="20" t="inlineStr">
        <is>
          <t>SOP 45-34</t>
        </is>
      </c>
      <c r="CO314" s="20" t="inlineStr">
        <is>
          <t>None</t>
        </is>
      </c>
      <c r="CP314" s="17" t="n"/>
      <c r="CQ314" s="16" t="n"/>
      <c r="CR314" s="20" t="n"/>
      <c r="CS314" s="20" t="inlineStr">
        <is>
          <t>None</t>
        </is>
      </c>
      <c r="CT314" s="17" t="n"/>
      <c r="CU314" s="16" t="n"/>
      <c r="CV314" s="20" t="n"/>
      <c r="CW314" s="20" t="inlineStr">
        <is>
          <t>None</t>
        </is>
      </c>
      <c r="CX314" s="17" t="n"/>
      <c r="CY314" s="16" t="n"/>
      <c r="CZ314" s="20" t="inlineStr">
        <is>
          <t>WTW Multimeter 3430 with FDO 925</t>
        </is>
      </c>
      <c r="DA314" s="20" t="inlineStr">
        <is>
          <t>None</t>
        </is>
      </c>
      <c r="DB314" s="17" t="n"/>
      <c r="DC314" s="16" t="n"/>
      <c r="DD314" s="20" t="n"/>
      <c r="DE314" s="20" t="inlineStr">
        <is>
          <t>None</t>
        </is>
      </c>
      <c r="DF314" s="17" t="n"/>
      <c r="DG314" s="16" t="n"/>
      <c r="DH314" s="20" t="inlineStr">
        <is>
          <t>SOP 45-09</t>
        </is>
      </c>
      <c r="DI314" s="20" t="inlineStr">
        <is>
          <t>None</t>
        </is>
      </c>
      <c r="DJ314" s="17" t="n"/>
      <c r="DK314" s="16" t="n"/>
      <c r="DL314" s="20" t="inlineStr">
        <is>
          <t>SOP 45-09 (SOP muss noch angepasst werden für VSS)</t>
        </is>
      </c>
      <c r="DM314" s="20" t="inlineStr">
        <is>
          <t>None</t>
        </is>
      </c>
      <c r="DN314" s="17" t="n"/>
      <c r="DO314" s="16" t="n"/>
      <c r="DP314" s="20" t="inlineStr">
        <is>
          <t>IC Organic Acids</t>
        </is>
      </c>
      <c r="DQ314" s="20" t="inlineStr">
        <is>
          <t>None</t>
        </is>
      </c>
      <c r="DR314" s="17" t="n"/>
      <c r="DS314" s="16" t="n"/>
      <c r="DT314" s="20" t="inlineStr">
        <is>
          <t>IC Organic Acids</t>
        </is>
      </c>
      <c r="DU314" s="20" t="inlineStr">
        <is>
          <t>None</t>
        </is>
      </c>
      <c r="DV314" s="17" t="n"/>
      <c r="DW314" s="16" t="n"/>
      <c r="DX314" s="20" t="inlineStr">
        <is>
          <t>IC Organic Acids</t>
        </is>
      </c>
      <c r="DY314" s="20" t="inlineStr">
        <is>
          <t>None</t>
        </is>
      </c>
      <c r="DZ314" s="17" t="n"/>
      <c r="EA314" s="16" t="n"/>
      <c r="EB314" s="20" t="inlineStr">
        <is>
          <t>IC Organic Acids</t>
        </is>
      </c>
      <c r="EC314" s="20" t="inlineStr">
        <is>
          <t>None</t>
        </is>
      </c>
      <c r="ED314" s="17" t="n"/>
      <c r="EE314" s="16" t="n"/>
      <c r="EF314" s="20" t="inlineStr">
        <is>
          <t>IC Organic Acids</t>
        </is>
      </c>
      <c r="EG314" s="20" t="inlineStr">
        <is>
          <t>None</t>
        </is>
      </c>
      <c r="EH314" s="17" t="n"/>
      <c r="EI314" s="16" t="n"/>
      <c r="EJ314" s="20" t="inlineStr">
        <is>
          <t>IC Organic Acids</t>
        </is>
      </c>
      <c r="EK314" s="20" t="inlineStr">
        <is>
          <t>None</t>
        </is>
      </c>
      <c r="EL314" s="17" t="n"/>
      <c r="EM314" s="16" t="n"/>
      <c r="EN314" s="20" t="inlineStr">
        <is>
          <t>IC Organic Acids</t>
        </is>
      </c>
      <c r="EO314" s="20" t="inlineStr">
        <is>
          <t>None</t>
        </is>
      </c>
      <c r="EP314" s="17" t="n"/>
      <c r="EQ314" s="16" t="n"/>
      <c r="ER314" s="20" t="inlineStr">
        <is>
          <t>IC Organic Acids</t>
        </is>
      </c>
      <c r="ES314" s="20" t="inlineStr">
        <is>
          <t>None</t>
        </is>
      </c>
      <c r="ET314" s="17" t="n"/>
      <c r="EU314" s="16" t="n"/>
      <c r="EV314" s="20" t="inlineStr">
        <is>
          <t>LC-MS</t>
        </is>
      </c>
      <c r="EW314" s="20" t="inlineStr">
        <is>
          <t>None</t>
        </is>
      </c>
      <c r="EX314" s="17" t="n"/>
      <c r="EY314" s="21" t="n"/>
      <c r="EZ314">
        <f>CONCATENATE(A314,B314)</f>
        <v/>
      </c>
      <c r="FA314">
        <f>CONCATENATE(SamplesX!A314,SamplesX!B314)</f>
        <v/>
      </c>
      <c r="FC314">
        <f>MATCH(EZ314,FA1:FA1008,0)</f>
        <v/>
      </c>
    </row>
    <row r="315">
      <c r="A315" s="16" t="inlineStr">
        <is>
          <t>BP</t>
        </is>
      </c>
      <c r="B315" s="17" t="inlineStr">
        <is>
          <t>25307</t>
        </is>
      </c>
      <c r="C315" s="10">
        <f>IF(ISNUMBER(FC315),INDIRECT("SamplesX!C"&amp;FC315),IF(ISNUMBER(FD315),INDIRECT("SamplesY!C"&amp;FD315),""))</f>
        <v/>
      </c>
      <c r="D315" s="12">
        <f>IF(ISNUMBER(FC315),INDIRECT("SamplesX!D"&amp;FC315),IF(ISNUMBER(FD315),INDIRECT("SamplesY!D"&amp;FD315),""))</f>
        <v/>
      </c>
      <c r="E315" s="12">
        <f>IF(ISNUMBER(FC315),INDIRECT("SamplesX!E"&amp;FC315),IF(ISNUMBER(FD315),INDIRECT("SamplesY!E"&amp;FD315),""))</f>
        <v/>
      </c>
      <c r="F315" s="11">
        <f>IF(ISNUMBER(FC315),INDIRECT("SamplesX!F"&amp;FC315),IF(ISNUMBER(FD315),INDIRECT("SamplesY!F"&amp;FD315),""))</f>
        <v/>
      </c>
      <c r="G315" s="18">
        <f>IF(ISNUMBER(FC315),INDIRECT("SamplesX!G"&amp;FC315),IF(ISNUMBER(FD315),INDIRECT("SamplesY!G"&amp;FD315),""))</f>
        <v/>
      </c>
      <c r="H315" s="19">
        <f>IF(ISNUMBER(FC315),INDIRECT("SamplesX!H"&amp;FC315),IF(ISNUMBER(FD315),INDIRECT("SamplesY!H"&amp;FD315),""))</f>
        <v/>
      </c>
      <c r="I315" s="16" t="n"/>
      <c r="J315" s="16" t="n"/>
      <c r="K315" s="16" t="n"/>
      <c r="L315" s="20" t="n"/>
      <c r="M315" s="20" t="inlineStr">
        <is>
          <t>None</t>
        </is>
      </c>
      <c r="N315" s="17" t="n"/>
      <c r="O315" s="16" t="n"/>
      <c r="P315" s="20" t="inlineStr">
        <is>
          <t>Shimadzu TOC-L</t>
        </is>
      </c>
      <c r="Q315" s="20" t="inlineStr">
        <is>
          <t>None</t>
        </is>
      </c>
      <c r="R315" s="17" t="n"/>
      <c r="S315" s="16" t="n"/>
      <c r="T315" s="20" t="inlineStr">
        <is>
          <t>Shimadzu TOC-L</t>
        </is>
      </c>
      <c r="U315" s="20" t="inlineStr">
        <is>
          <t>None</t>
        </is>
      </c>
      <c r="V315" s="17" t="n"/>
      <c r="W315" s="16" t="n"/>
      <c r="X315" s="20" t="n"/>
      <c r="Y315" s="20" t="inlineStr">
        <is>
          <t>None</t>
        </is>
      </c>
      <c r="Z315" s="17" t="n"/>
      <c r="AA315" s="16" t="n"/>
      <c r="AB315" s="20" t="n"/>
      <c r="AC315" s="20" t="inlineStr">
        <is>
          <t>None</t>
        </is>
      </c>
      <c r="AD315" s="17" t="n"/>
      <c r="AE315" s="16" t="n"/>
      <c r="AF315" s="20" t="inlineStr">
        <is>
          <t>IC Anionen</t>
        </is>
      </c>
      <c r="AG315" s="20" t="inlineStr">
        <is>
          <t>None</t>
        </is>
      </c>
      <c r="AH315" s="17" t="n"/>
      <c r="AI315" s="16" t="n"/>
      <c r="AJ315" s="20" t="n"/>
      <c r="AK315" s="20" t="inlineStr">
        <is>
          <t>None</t>
        </is>
      </c>
      <c r="AL315" s="17" t="n"/>
      <c r="AM315" s="16" t="n"/>
      <c r="AN315" s="20" t="inlineStr">
        <is>
          <t>IC Anionen</t>
        </is>
      </c>
      <c r="AO315" s="20" t="inlineStr">
        <is>
          <t>None</t>
        </is>
      </c>
      <c r="AP315" s="17" t="n"/>
      <c r="AQ315" s="16" t="n"/>
      <c r="AR315" s="20" t="n"/>
      <c r="AS315" s="20" t="inlineStr">
        <is>
          <t>None</t>
        </is>
      </c>
      <c r="AT315" s="17" t="n"/>
      <c r="AU315" s="16" t="n"/>
      <c r="AV315" s="20" t="n"/>
      <c r="AW315" s="20" t="inlineStr">
        <is>
          <t>None</t>
        </is>
      </c>
      <c r="AX315" s="17" t="n"/>
      <c r="AY315" s="16" t="n"/>
      <c r="AZ315" s="20" t="inlineStr">
        <is>
          <t>IC Anionen</t>
        </is>
      </c>
      <c r="BA315" s="20" t="inlineStr">
        <is>
          <t>None</t>
        </is>
      </c>
      <c r="BB315" s="17" t="n"/>
      <c r="BC315" s="16" t="n"/>
      <c r="BD315" s="20" t="inlineStr">
        <is>
          <t>IC Kationen</t>
        </is>
      </c>
      <c r="BE315" s="20" t="inlineStr">
        <is>
          <t>None</t>
        </is>
      </c>
      <c r="BF315" s="17" t="n"/>
      <c r="BG315" s="16" t="n"/>
      <c r="BH315" s="20" t="inlineStr">
        <is>
          <t>IC Kationen</t>
        </is>
      </c>
      <c r="BI315" s="20" t="inlineStr">
        <is>
          <t>None</t>
        </is>
      </c>
      <c r="BJ315" s="17" t="n"/>
      <c r="BK315" s="16" t="n"/>
      <c r="BL315" s="20" t="inlineStr">
        <is>
          <t>IC Kationen</t>
        </is>
      </c>
      <c r="BM315" s="20" t="inlineStr">
        <is>
          <t>None</t>
        </is>
      </c>
      <c r="BN315" s="17" t="n"/>
      <c r="BO315" s="16" t="n"/>
      <c r="BP315" s="20" t="inlineStr">
        <is>
          <t>IC Kationen</t>
        </is>
      </c>
      <c r="BQ315" s="20" t="inlineStr">
        <is>
          <t>None</t>
        </is>
      </c>
      <c r="BR315" s="17" t="n"/>
      <c r="BS315" s="16" t="n"/>
      <c r="BT315" s="20" t="inlineStr">
        <is>
          <t>IC Kationen</t>
        </is>
      </c>
      <c r="BU315" s="20" t="inlineStr">
        <is>
          <t>None</t>
        </is>
      </c>
      <c r="BV315" s="17" t="n"/>
      <c r="BW315" s="16" t="n"/>
      <c r="BX315" s="20" t="n"/>
      <c r="BY315" s="20" t="inlineStr">
        <is>
          <t>None</t>
        </is>
      </c>
      <c r="BZ315" s="17" t="n"/>
      <c r="CA315" s="16" t="n"/>
      <c r="CB315" s="20" t="n"/>
      <c r="CC315" s="20" t="inlineStr">
        <is>
          <t>None</t>
        </is>
      </c>
      <c r="CD315" s="17" t="n"/>
      <c r="CE315" s="16" t="n"/>
      <c r="CF315" s="20" t="n"/>
      <c r="CG315" s="20" t="inlineStr">
        <is>
          <t>None</t>
        </is>
      </c>
      <c r="CH315" s="17" t="n"/>
      <c r="CI315" s="16" t="n"/>
      <c r="CJ315" s="20" t="n"/>
      <c r="CK315" s="20" t="inlineStr">
        <is>
          <t>None</t>
        </is>
      </c>
      <c r="CL315" s="17" t="n"/>
      <c r="CM315" s="16" t="n"/>
      <c r="CN315" s="20" t="inlineStr">
        <is>
          <t>SOP 45-34</t>
        </is>
      </c>
      <c r="CO315" s="20" t="inlineStr">
        <is>
          <t>None</t>
        </is>
      </c>
      <c r="CP315" s="17" t="n"/>
      <c r="CQ315" s="16" t="n"/>
      <c r="CR315" s="20" t="n"/>
      <c r="CS315" s="20" t="inlineStr">
        <is>
          <t>None</t>
        </is>
      </c>
      <c r="CT315" s="17" t="n"/>
      <c r="CU315" s="16" t="n"/>
      <c r="CV315" s="20" t="n"/>
      <c r="CW315" s="20" t="inlineStr">
        <is>
          <t>None</t>
        </is>
      </c>
      <c r="CX315" s="17" t="n"/>
      <c r="CY315" s="16" t="n"/>
      <c r="CZ315" s="20" t="inlineStr">
        <is>
          <t>WTW Multimeter 3430 with FDO 925</t>
        </is>
      </c>
      <c r="DA315" s="20" t="inlineStr">
        <is>
          <t>None</t>
        </is>
      </c>
      <c r="DB315" s="17" t="n"/>
      <c r="DC315" s="16" t="n"/>
      <c r="DD315" s="20" t="n"/>
      <c r="DE315" s="20" t="inlineStr">
        <is>
          <t>None</t>
        </is>
      </c>
      <c r="DF315" s="17" t="n"/>
      <c r="DG315" s="16" t="n"/>
      <c r="DH315" s="20" t="inlineStr">
        <is>
          <t>SOP 45-09</t>
        </is>
      </c>
      <c r="DI315" s="20" t="inlineStr">
        <is>
          <t>None</t>
        </is>
      </c>
      <c r="DJ315" s="17" t="n"/>
      <c r="DK315" s="16" t="n"/>
      <c r="DL315" s="20" t="inlineStr">
        <is>
          <t>SOP 45-09 (SOP muss noch angepasst werden für VSS)</t>
        </is>
      </c>
      <c r="DM315" s="20" t="inlineStr">
        <is>
          <t>None</t>
        </is>
      </c>
      <c r="DN315" s="17" t="n"/>
      <c r="DO315" s="16" t="n"/>
      <c r="DP315" s="20" t="inlineStr">
        <is>
          <t>IC Organic Acids</t>
        </is>
      </c>
      <c r="DQ315" s="20" t="inlineStr">
        <is>
          <t>None</t>
        </is>
      </c>
      <c r="DR315" s="17" t="n"/>
      <c r="DS315" s="16" t="n"/>
      <c r="DT315" s="20" t="inlineStr">
        <is>
          <t>IC Organic Acids</t>
        </is>
      </c>
      <c r="DU315" s="20" t="inlineStr">
        <is>
          <t>None</t>
        </is>
      </c>
      <c r="DV315" s="17" t="n"/>
      <c r="DW315" s="16" t="n"/>
      <c r="DX315" s="20" t="inlineStr">
        <is>
          <t>IC Organic Acids</t>
        </is>
      </c>
      <c r="DY315" s="20" t="inlineStr">
        <is>
          <t>None</t>
        </is>
      </c>
      <c r="DZ315" s="17" t="n"/>
      <c r="EA315" s="16" t="n"/>
      <c r="EB315" s="20" t="inlineStr">
        <is>
          <t>IC Organic Acids</t>
        </is>
      </c>
      <c r="EC315" s="20" t="inlineStr">
        <is>
          <t>None</t>
        </is>
      </c>
      <c r="ED315" s="17" t="n"/>
      <c r="EE315" s="16" t="n"/>
      <c r="EF315" s="20" t="inlineStr">
        <is>
          <t>IC Organic Acids</t>
        </is>
      </c>
      <c r="EG315" s="20" t="inlineStr">
        <is>
          <t>None</t>
        </is>
      </c>
      <c r="EH315" s="17" t="n"/>
      <c r="EI315" s="16" t="n"/>
      <c r="EJ315" s="20" t="inlineStr">
        <is>
          <t>IC Organic Acids</t>
        </is>
      </c>
      <c r="EK315" s="20" t="inlineStr">
        <is>
          <t>None</t>
        </is>
      </c>
      <c r="EL315" s="17" t="n"/>
      <c r="EM315" s="16" t="n"/>
      <c r="EN315" s="20" t="inlineStr">
        <is>
          <t>IC Organic Acids</t>
        </is>
      </c>
      <c r="EO315" s="20" t="inlineStr">
        <is>
          <t>None</t>
        </is>
      </c>
      <c r="EP315" s="17" t="n"/>
      <c r="EQ315" s="16" t="n"/>
      <c r="ER315" s="20" t="inlineStr">
        <is>
          <t>IC Organic Acids</t>
        </is>
      </c>
      <c r="ES315" s="20" t="inlineStr">
        <is>
          <t>None</t>
        </is>
      </c>
      <c r="ET315" s="17" t="n"/>
      <c r="EU315" s="16" t="n"/>
      <c r="EV315" s="20" t="inlineStr">
        <is>
          <t>LC-MS</t>
        </is>
      </c>
      <c r="EW315" s="20" t="inlineStr">
        <is>
          <t>None</t>
        </is>
      </c>
      <c r="EX315" s="17" t="n"/>
      <c r="EY315" s="21" t="n"/>
      <c r="EZ315">
        <f>CONCATENATE(A315,B315)</f>
        <v/>
      </c>
      <c r="FA315">
        <f>CONCATENATE(SamplesX!A315,SamplesX!B315)</f>
        <v/>
      </c>
      <c r="FC315">
        <f>MATCH(EZ315,FA1:FA1008,0)</f>
        <v/>
      </c>
    </row>
    <row r="316">
      <c r="A316" s="16" t="inlineStr">
        <is>
          <t>BP</t>
        </is>
      </c>
      <c r="B316" s="17" t="inlineStr">
        <is>
          <t>25308</t>
        </is>
      </c>
      <c r="C316" s="10">
        <f>IF(ISNUMBER(FC316),INDIRECT("SamplesX!C"&amp;FC316),IF(ISNUMBER(FD316),INDIRECT("SamplesY!C"&amp;FD316),""))</f>
        <v/>
      </c>
      <c r="D316" s="12">
        <f>IF(ISNUMBER(FC316),INDIRECT("SamplesX!D"&amp;FC316),IF(ISNUMBER(FD316),INDIRECT("SamplesY!D"&amp;FD316),""))</f>
        <v/>
      </c>
      <c r="E316" s="12">
        <f>IF(ISNUMBER(FC316),INDIRECT("SamplesX!E"&amp;FC316),IF(ISNUMBER(FD316),INDIRECT("SamplesY!E"&amp;FD316),""))</f>
        <v/>
      </c>
      <c r="F316" s="11">
        <f>IF(ISNUMBER(FC316),INDIRECT("SamplesX!F"&amp;FC316),IF(ISNUMBER(FD316),INDIRECT("SamplesY!F"&amp;FD316),""))</f>
        <v/>
      </c>
      <c r="G316" s="18">
        <f>IF(ISNUMBER(FC316),INDIRECT("SamplesX!G"&amp;FC316),IF(ISNUMBER(FD316),INDIRECT("SamplesY!G"&amp;FD316),""))</f>
        <v/>
      </c>
      <c r="H316" s="19">
        <f>IF(ISNUMBER(FC316),INDIRECT("SamplesX!H"&amp;FC316),IF(ISNUMBER(FD316),INDIRECT("SamplesY!H"&amp;FD316),""))</f>
        <v/>
      </c>
      <c r="I316" s="16" t="n"/>
      <c r="J316" s="16" t="n"/>
      <c r="K316" s="16" t="n"/>
      <c r="L316" s="20" t="n"/>
      <c r="M316" s="20" t="inlineStr">
        <is>
          <t>None</t>
        </is>
      </c>
      <c r="N316" s="17" t="n"/>
      <c r="O316" s="16" t="n"/>
      <c r="P316" s="20" t="inlineStr">
        <is>
          <t>Shimadzu TOC-L</t>
        </is>
      </c>
      <c r="Q316" s="20" t="inlineStr">
        <is>
          <t>None</t>
        </is>
      </c>
      <c r="R316" s="17" t="n"/>
      <c r="S316" s="16" t="n"/>
      <c r="T316" s="20" t="inlineStr">
        <is>
          <t>Shimadzu TOC-L</t>
        </is>
      </c>
      <c r="U316" s="20" t="inlineStr">
        <is>
          <t>None</t>
        </is>
      </c>
      <c r="V316" s="17" t="n"/>
      <c r="W316" s="16" t="n"/>
      <c r="X316" s="20" t="n"/>
      <c r="Y316" s="20" t="inlineStr">
        <is>
          <t>None</t>
        </is>
      </c>
      <c r="Z316" s="17" t="n"/>
      <c r="AA316" s="16" t="n"/>
      <c r="AB316" s="20" t="n"/>
      <c r="AC316" s="20" t="inlineStr">
        <is>
          <t>None</t>
        </is>
      </c>
      <c r="AD316" s="17" t="n"/>
      <c r="AE316" s="16" t="n"/>
      <c r="AF316" s="20" t="inlineStr">
        <is>
          <t>IC Anionen</t>
        </is>
      </c>
      <c r="AG316" s="20" t="inlineStr">
        <is>
          <t>None</t>
        </is>
      </c>
      <c r="AH316" s="17" t="n"/>
      <c r="AI316" s="16" t="n"/>
      <c r="AJ316" s="20" t="n"/>
      <c r="AK316" s="20" t="inlineStr">
        <is>
          <t>None</t>
        </is>
      </c>
      <c r="AL316" s="17" t="n"/>
      <c r="AM316" s="16" t="n"/>
      <c r="AN316" s="20" t="inlineStr">
        <is>
          <t>IC Anionen</t>
        </is>
      </c>
      <c r="AO316" s="20" t="inlineStr">
        <is>
          <t>None</t>
        </is>
      </c>
      <c r="AP316" s="17" t="n"/>
      <c r="AQ316" s="16" t="n"/>
      <c r="AR316" s="20" t="n"/>
      <c r="AS316" s="20" t="inlineStr">
        <is>
          <t>None</t>
        </is>
      </c>
      <c r="AT316" s="17" t="n"/>
      <c r="AU316" s="16" t="n"/>
      <c r="AV316" s="20" t="n"/>
      <c r="AW316" s="20" t="inlineStr">
        <is>
          <t>None</t>
        </is>
      </c>
      <c r="AX316" s="17" t="n"/>
      <c r="AY316" s="16" t="n"/>
      <c r="AZ316" s="20" t="inlineStr">
        <is>
          <t>IC Anionen</t>
        </is>
      </c>
      <c r="BA316" s="20" t="inlineStr">
        <is>
          <t>None</t>
        </is>
      </c>
      <c r="BB316" s="17" t="n"/>
      <c r="BC316" s="16" t="n"/>
      <c r="BD316" s="20" t="inlineStr">
        <is>
          <t>IC Kationen</t>
        </is>
      </c>
      <c r="BE316" s="20" t="inlineStr">
        <is>
          <t>None</t>
        </is>
      </c>
      <c r="BF316" s="17" t="n"/>
      <c r="BG316" s="16" t="n"/>
      <c r="BH316" s="20" t="inlineStr">
        <is>
          <t>IC Kationen</t>
        </is>
      </c>
      <c r="BI316" s="20" t="inlineStr">
        <is>
          <t>None</t>
        </is>
      </c>
      <c r="BJ316" s="17" t="n"/>
      <c r="BK316" s="16" t="n"/>
      <c r="BL316" s="20" t="inlineStr">
        <is>
          <t>IC Kationen</t>
        </is>
      </c>
      <c r="BM316" s="20" t="inlineStr">
        <is>
          <t>None</t>
        </is>
      </c>
      <c r="BN316" s="17" t="n"/>
      <c r="BO316" s="16" t="n"/>
      <c r="BP316" s="20" t="inlineStr">
        <is>
          <t>IC Kationen</t>
        </is>
      </c>
      <c r="BQ316" s="20" t="inlineStr">
        <is>
          <t>None</t>
        </is>
      </c>
      <c r="BR316" s="17" t="n"/>
      <c r="BS316" s="16" t="n"/>
      <c r="BT316" s="20" t="inlineStr">
        <is>
          <t>IC Kationen</t>
        </is>
      </c>
      <c r="BU316" s="20" t="inlineStr">
        <is>
          <t>None</t>
        </is>
      </c>
      <c r="BV316" s="17" t="n"/>
      <c r="BW316" s="16" t="n"/>
      <c r="BX316" s="20" t="n"/>
      <c r="BY316" s="20" t="inlineStr">
        <is>
          <t>None</t>
        </is>
      </c>
      <c r="BZ316" s="17" t="n"/>
      <c r="CA316" s="16" t="n"/>
      <c r="CB316" s="20" t="n"/>
      <c r="CC316" s="20" t="inlineStr">
        <is>
          <t>None</t>
        </is>
      </c>
      <c r="CD316" s="17" t="n"/>
      <c r="CE316" s="16" t="n"/>
      <c r="CF316" s="20" t="n"/>
      <c r="CG316" s="20" t="inlineStr">
        <is>
          <t>None</t>
        </is>
      </c>
      <c r="CH316" s="17" t="n"/>
      <c r="CI316" s="16" t="n"/>
      <c r="CJ316" s="20" t="n"/>
      <c r="CK316" s="20" t="inlineStr">
        <is>
          <t>None</t>
        </is>
      </c>
      <c r="CL316" s="17" t="n"/>
      <c r="CM316" s="16" t="n"/>
      <c r="CN316" s="20" t="inlineStr">
        <is>
          <t>SOP 45-34</t>
        </is>
      </c>
      <c r="CO316" s="20" t="inlineStr">
        <is>
          <t>None</t>
        </is>
      </c>
      <c r="CP316" s="17" t="n"/>
      <c r="CQ316" s="16" t="n"/>
      <c r="CR316" s="20" t="n"/>
      <c r="CS316" s="20" t="inlineStr">
        <is>
          <t>None</t>
        </is>
      </c>
      <c r="CT316" s="17" t="n"/>
      <c r="CU316" s="16" t="n"/>
      <c r="CV316" s="20" t="n"/>
      <c r="CW316" s="20" t="inlineStr">
        <is>
          <t>None</t>
        </is>
      </c>
      <c r="CX316" s="17" t="n"/>
      <c r="CY316" s="16" t="n"/>
      <c r="CZ316" s="20" t="inlineStr">
        <is>
          <t>WTW Multimeter 3430 with FDO 925</t>
        </is>
      </c>
      <c r="DA316" s="20" t="inlineStr">
        <is>
          <t>None</t>
        </is>
      </c>
      <c r="DB316" s="17" t="n"/>
      <c r="DC316" s="16" t="n"/>
      <c r="DD316" s="20" t="n"/>
      <c r="DE316" s="20" t="inlineStr">
        <is>
          <t>None</t>
        </is>
      </c>
      <c r="DF316" s="17" t="n"/>
      <c r="DG316" s="16" t="n"/>
      <c r="DH316" s="20" t="inlineStr">
        <is>
          <t>SOP 45-09</t>
        </is>
      </c>
      <c r="DI316" s="20" t="inlineStr">
        <is>
          <t>None</t>
        </is>
      </c>
      <c r="DJ316" s="17" t="n"/>
      <c r="DK316" s="16" t="n"/>
      <c r="DL316" s="20" t="inlineStr">
        <is>
          <t>SOP 45-09 (SOP muss noch angepasst werden für VSS)</t>
        </is>
      </c>
      <c r="DM316" s="20" t="inlineStr">
        <is>
          <t>None</t>
        </is>
      </c>
      <c r="DN316" s="17" t="n"/>
      <c r="DO316" s="16" t="n"/>
      <c r="DP316" s="20" t="inlineStr">
        <is>
          <t>IC Organic Acids</t>
        </is>
      </c>
      <c r="DQ316" s="20" t="inlineStr">
        <is>
          <t>None</t>
        </is>
      </c>
      <c r="DR316" s="17" t="n"/>
      <c r="DS316" s="16" t="n"/>
      <c r="DT316" s="20" t="inlineStr">
        <is>
          <t>IC Organic Acids</t>
        </is>
      </c>
      <c r="DU316" s="20" t="inlineStr">
        <is>
          <t>None</t>
        </is>
      </c>
      <c r="DV316" s="17" t="n"/>
      <c r="DW316" s="16" t="n"/>
      <c r="DX316" s="20" t="inlineStr">
        <is>
          <t>IC Organic Acids</t>
        </is>
      </c>
      <c r="DY316" s="20" t="inlineStr">
        <is>
          <t>None</t>
        </is>
      </c>
      <c r="DZ316" s="17" t="n"/>
      <c r="EA316" s="16" t="n"/>
      <c r="EB316" s="20" t="inlineStr">
        <is>
          <t>IC Organic Acids</t>
        </is>
      </c>
      <c r="EC316" s="20" t="inlineStr">
        <is>
          <t>None</t>
        </is>
      </c>
      <c r="ED316" s="17" t="n"/>
      <c r="EE316" s="16" t="n"/>
      <c r="EF316" s="20" t="inlineStr">
        <is>
          <t>IC Organic Acids</t>
        </is>
      </c>
      <c r="EG316" s="20" t="inlineStr">
        <is>
          <t>None</t>
        </is>
      </c>
      <c r="EH316" s="17" t="n"/>
      <c r="EI316" s="16" t="n"/>
      <c r="EJ316" s="20" t="inlineStr">
        <is>
          <t>IC Organic Acids</t>
        </is>
      </c>
      <c r="EK316" s="20" t="inlineStr">
        <is>
          <t>None</t>
        </is>
      </c>
      <c r="EL316" s="17" t="n"/>
      <c r="EM316" s="16" t="n"/>
      <c r="EN316" s="20" t="inlineStr">
        <is>
          <t>IC Organic Acids</t>
        </is>
      </c>
      <c r="EO316" s="20" t="inlineStr">
        <is>
          <t>None</t>
        </is>
      </c>
      <c r="EP316" s="17" t="n"/>
      <c r="EQ316" s="16" t="n"/>
      <c r="ER316" s="20" t="inlineStr">
        <is>
          <t>IC Organic Acids</t>
        </is>
      </c>
      <c r="ES316" s="20" t="inlineStr">
        <is>
          <t>None</t>
        </is>
      </c>
      <c r="ET316" s="17" t="n"/>
      <c r="EU316" s="16" t="n"/>
      <c r="EV316" s="20" t="inlineStr">
        <is>
          <t>LC-MS</t>
        </is>
      </c>
      <c r="EW316" s="20" t="inlineStr">
        <is>
          <t>None</t>
        </is>
      </c>
      <c r="EX316" s="17" t="n"/>
      <c r="EY316" s="21" t="n"/>
      <c r="EZ316">
        <f>CONCATENATE(A316,B316)</f>
        <v/>
      </c>
      <c r="FA316">
        <f>CONCATENATE(SamplesX!A316,SamplesX!B316)</f>
        <v/>
      </c>
      <c r="FC316">
        <f>MATCH(EZ316,FA1:FA1008,0)</f>
        <v/>
      </c>
    </row>
    <row r="317">
      <c r="A317" s="16" t="inlineStr">
        <is>
          <t>BP</t>
        </is>
      </c>
      <c r="B317" s="17" t="inlineStr">
        <is>
          <t>25309</t>
        </is>
      </c>
      <c r="C317" s="10">
        <f>IF(ISNUMBER(FC317),INDIRECT("SamplesX!C"&amp;FC317),IF(ISNUMBER(FD317),INDIRECT("SamplesY!C"&amp;FD317),""))</f>
        <v/>
      </c>
      <c r="D317" s="12">
        <f>IF(ISNUMBER(FC317),INDIRECT("SamplesX!D"&amp;FC317),IF(ISNUMBER(FD317),INDIRECT("SamplesY!D"&amp;FD317),""))</f>
        <v/>
      </c>
      <c r="E317" s="12">
        <f>IF(ISNUMBER(FC317),INDIRECT("SamplesX!E"&amp;FC317),IF(ISNUMBER(FD317),INDIRECT("SamplesY!E"&amp;FD317),""))</f>
        <v/>
      </c>
      <c r="F317" s="11">
        <f>IF(ISNUMBER(FC317),INDIRECT("SamplesX!F"&amp;FC317),IF(ISNUMBER(FD317),INDIRECT("SamplesY!F"&amp;FD317),""))</f>
        <v/>
      </c>
      <c r="G317" s="18">
        <f>IF(ISNUMBER(FC317),INDIRECT("SamplesX!G"&amp;FC317),IF(ISNUMBER(FD317),INDIRECT("SamplesY!G"&amp;FD317),""))</f>
        <v/>
      </c>
      <c r="H317" s="19">
        <f>IF(ISNUMBER(FC317),INDIRECT("SamplesX!H"&amp;FC317),IF(ISNUMBER(FD317),INDIRECT("SamplesY!H"&amp;FD317),""))</f>
        <v/>
      </c>
      <c r="I317" s="16" t="n"/>
      <c r="J317" s="16" t="n"/>
      <c r="K317" s="16" t="n"/>
      <c r="L317" s="20" t="n"/>
      <c r="M317" s="20" t="inlineStr">
        <is>
          <t>None</t>
        </is>
      </c>
      <c r="N317" s="17" t="n"/>
      <c r="O317" s="16" t="n"/>
      <c r="P317" s="20" t="inlineStr">
        <is>
          <t>Shimadzu TOC-L</t>
        </is>
      </c>
      <c r="Q317" s="20" t="inlineStr">
        <is>
          <t>None</t>
        </is>
      </c>
      <c r="R317" s="17" t="n"/>
      <c r="S317" s="16" t="n"/>
      <c r="T317" s="20" t="inlineStr">
        <is>
          <t>Shimadzu TOC-L</t>
        </is>
      </c>
      <c r="U317" s="20" t="inlineStr">
        <is>
          <t>None</t>
        </is>
      </c>
      <c r="V317" s="17" t="n"/>
      <c r="W317" s="16" t="n"/>
      <c r="X317" s="20" t="n"/>
      <c r="Y317" s="20" t="inlineStr">
        <is>
          <t>None</t>
        </is>
      </c>
      <c r="Z317" s="17" t="n"/>
      <c r="AA317" s="16" t="n"/>
      <c r="AB317" s="20" t="n"/>
      <c r="AC317" s="20" t="inlineStr">
        <is>
          <t>None</t>
        </is>
      </c>
      <c r="AD317" s="17" t="n"/>
      <c r="AE317" s="16" t="n"/>
      <c r="AF317" s="20" t="inlineStr">
        <is>
          <t>IC Anionen</t>
        </is>
      </c>
      <c r="AG317" s="20" t="inlineStr">
        <is>
          <t>None</t>
        </is>
      </c>
      <c r="AH317" s="17" t="n"/>
      <c r="AI317" s="16" t="n"/>
      <c r="AJ317" s="20" t="n"/>
      <c r="AK317" s="20" t="inlineStr">
        <is>
          <t>None</t>
        </is>
      </c>
      <c r="AL317" s="17" t="n"/>
      <c r="AM317" s="16" t="n"/>
      <c r="AN317" s="20" t="inlineStr">
        <is>
          <t>IC Anionen</t>
        </is>
      </c>
      <c r="AO317" s="20" t="inlineStr">
        <is>
          <t>None</t>
        </is>
      </c>
      <c r="AP317" s="17" t="n"/>
      <c r="AQ317" s="16" t="n"/>
      <c r="AR317" s="20" t="n"/>
      <c r="AS317" s="20" t="inlineStr">
        <is>
          <t>None</t>
        </is>
      </c>
      <c r="AT317" s="17" t="n"/>
      <c r="AU317" s="16" t="n"/>
      <c r="AV317" s="20" t="n"/>
      <c r="AW317" s="20" t="inlineStr">
        <is>
          <t>None</t>
        </is>
      </c>
      <c r="AX317" s="17" t="n"/>
      <c r="AY317" s="16" t="n"/>
      <c r="AZ317" s="20" t="inlineStr">
        <is>
          <t>IC Anionen</t>
        </is>
      </c>
      <c r="BA317" s="20" t="inlineStr">
        <is>
          <t>None</t>
        </is>
      </c>
      <c r="BB317" s="17" t="n"/>
      <c r="BC317" s="16" t="n"/>
      <c r="BD317" s="20" t="inlineStr">
        <is>
          <t>IC Kationen</t>
        </is>
      </c>
      <c r="BE317" s="20" t="inlineStr">
        <is>
          <t>None</t>
        </is>
      </c>
      <c r="BF317" s="17" t="n"/>
      <c r="BG317" s="16" t="n"/>
      <c r="BH317" s="20" t="inlineStr">
        <is>
          <t>IC Kationen</t>
        </is>
      </c>
      <c r="BI317" s="20" t="inlineStr">
        <is>
          <t>None</t>
        </is>
      </c>
      <c r="BJ317" s="17" t="n"/>
      <c r="BK317" s="16" t="n"/>
      <c r="BL317" s="20" t="inlineStr">
        <is>
          <t>IC Kationen</t>
        </is>
      </c>
      <c r="BM317" s="20" t="inlineStr">
        <is>
          <t>None</t>
        </is>
      </c>
      <c r="BN317" s="17" t="n"/>
      <c r="BO317" s="16" t="n"/>
      <c r="BP317" s="20" t="inlineStr">
        <is>
          <t>IC Kationen</t>
        </is>
      </c>
      <c r="BQ317" s="20" t="inlineStr">
        <is>
          <t>None</t>
        </is>
      </c>
      <c r="BR317" s="17" t="n"/>
      <c r="BS317" s="16" t="n"/>
      <c r="BT317" s="20" t="inlineStr">
        <is>
          <t>IC Kationen</t>
        </is>
      </c>
      <c r="BU317" s="20" t="inlineStr">
        <is>
          <t>None</t>
        </is>
      </c>
      <c r="BV317" s="17" t="n"/>
      <c r="BW317" s="16" t="n"/>
      <c r="BX317" s="20" t="n"/>
      <c r="BY317" s="20" t="inlineStr">
        <is>
          <t>None</t>
        </is>
      </c>
      <c r="BZ317" s="17" t="n"/>
      <c r="CA317" s="16" t="n"/>
      <c r="CB317" s="20" t="n"/>
      <c r="CC317" s="20" t="inlineStr">
        <is>
          <t>None</t>
        </is>
      </c>
      <c r="CD317" s="17" t="n"/>
      <c r="CE317" s="16" t="n"/>
      <c r="CF317" s="20" t="n"/>
      <c r="CG317" s="20" t="inlineStr">
        <is>
          <t>None</t>
        </is>
      </c>
      <c r="CH317" s="17" t="n"/>
      <c r="CI317" s="16" t="n"/>
      <c r="CJ317" s="20" t="n"/>
      <c r="CK317" s="20" t="inlineStr">
        <is>
          <t>None</t>
        </is>
      </c>
      <c r="CL317" s="17" t="n"/>
      <c r="CM317" s="16" t="n"/>
      <c r="CN317" s="20" t="inlineStr">
        <is>
          <t>SOP 45-34</t>
        </is>
      </c>
      <c r="CO317" s="20" t="inlineStr">
        <is>
          <t>None</t>
        </is>
      </c>
      <c r="CP317" s="17" t="n"/>
      <c r="CQ317" s="16" t="n"/>
      <c r="CR317" s="20" t="n"/>
      <c r="CS317" s="20" t="inlineStr">
        <is>
          <t>None</t>
        </is>
      </c>
      <c r="CT317" s="17" t="n"/>
      <c r="CU317" s="16" t="n"/>
      <c r="CV317" s="20" t="n"/>
      <c r="CW317" s="20" t="inlineStr">
        <is>
          <t>None</t>
        </is>
      </c>
      <c r="CX317" s="17" t="n"/>
      <c r="CY317" s="16" t="n"/>
      <c r="CZ317" s="20" t="inlineStr">
        <is>
          <t>WTW Multimeter 3430 with FDO 925</t>
        </is>
      </c>
      <c r="DA317" s="20" t="inlineStr">
        <is>
          <t>None</t>
        </is>
      </c>
      <c r="DB317" s="17" t="n"/>
      <c r="DC317" s="16" t="n"/>
      <c r="DD317" s="20" t="n"/>
      <c r="DE317" s="20" t="inlineStr">
        <is>
          <t>None</t>
        </is>
      </c>
      <c r="DF317" s="17" t="n"/>
      <c r="DG317" s="16" t="n"/>
      <c r="DH317" s="20" t="inlineStr">
        <is>
          <t>SOP 45-09</t>
        </is>
      </c>
      <c r="DI317" s="20" t="inlineStr">
        <is>
          <t>None</t>
        </is>
      </c>
      <c r="DJ317" s="17" t="n"/>
      <c r="DK317" s="16" t="n"/>
      <c r="DL317" s="20" t="inlineStr">
        <is>
          <t>SOP 45-09 (SOP muss noch angepasst werden für VSS)</t>
        </is>
      </c>
      <c r="DM317" s="20" t="inlineStr">
        <is>
          <t>None</t>
        </is>
      </c>
      <c r="DN317" s="17" t="n"/>
      <c r="DO317" s="16" t="n"/>
      <c r="DP317" s="20" t="inlineStr">
        <is>
          <t>IC Organic Acids</t>
        </is>
      </c>
      <c r="DQ317" s="20" t="inlineStr">
        <is>
          <t>None</t>
        </is>
      </c>
      <c r="DR317" s="17" t="n"/>
      <c r="DS317" s="16" t="n"/>
      <c r="DT317" s="20" t="inlineStr">
        <is>
          <t>IC Organic Acids</t>
        </is>
      </c>
      <c r="DU317" s="20" t="inlineStr">
        <is>
          <t>None</t>
        </is>
      </c>
      <c r="DV317" s="17" t="n"/>
      <c r="DW317" s="16" t="n"/>
      <c r="DX317" s="20" t="inlineStr">
        <is>
          <t>IC Organic Acids</t>
        </is>
      </c>
      <c r="DY317" s="20" t="inlineStr">
        <is>
          <t>None</t>
        </is>
      </c>
      <c r="DZ317" s="17" t="n"/>
      <c r="EA317" s="16" t="n"/>
      <c r="EB317" s="20" t="inlineStr">
        <is>
          <t>IC Organic Acids</t>
        </is>
      </c>
      <c r="EC317" s="20" t="inlineStr">
        <is>
          <t>None</t>
        </is>
      </c>
      <c r="ED317" s="17" t="n"/>
      <c r="EE317" s="16" t="n"/>
      <c r="EF317" s="20" t="inlineStr">
        <is>
          <t>IC Organic Acids</t>
        </is>
      </c>
      <c r="EG317" s="20" t="inlineStr">
        <is>
          <t>None</t>
        </is>
      </c>
      <c r="EH317" s="17" t="n"/>
      <c r="EI317" s="16" t="n"/>
      <c r="EJ317" s="20" t="inlineStr">
        <is>
          <t>IC Organic Acids</t>
        </is>
      </c>
      <c r="EK317" s="20" t="inlineStr">
        <is>
          <t>None</t>
        </is>
      </c>
      <c r="EL317" s="17" t="n"/>
      <c r="EM317" s="16" t="n"/>
      <c r="EN317" s="20" t="inlineStr">
        <is>
          <t>IC Organic Acids</t>
        </is>
      </c>
      <c r="EO317" s="20" t="inlineStr">
        <is>
          <t>None</t>
        </is>
      </c>
      <c r="EP317" s="17" t="n"/>
      <c r="EQ317" s="16" t="n"/>
      <c r="ER317" s="20" t="inlineStr">
        <is>
          <t>IC Organic Acids</t>
        </is>
      </c>
      <c r="ES317" s="20" t="inlineStr">
        <is>
          <t>None</t>
        </is>
      </c>
      <c r="ET317" s="17" t="n"/>
      <c r="EU317" s="16" t="n"/>
      <c r="EV317" s="20" t="inlineStr">
        <is>
          <t>LC-MS</t>
        </is>
      </c>
      <c r="EW317" s="20" t="inlineStr">
        <is>
          <t>None</t>
        </is>
      </c>
      <c r="EX317" s="17" t="n"/>
      <c r="EY317" s="21" t="n"/>
      <c r="EZ317">
        <f>CONCATENATE(A317,B317)</f>
        <v/>
      </c>
      <c r="FA317">
        <f>CONCATENATE(SamplesX!A317,SamplesX!B317)</f>
        <v/>
      </c>
      <c r="FC317">
        <f>MATCH(EZ317,FA1:FA1008,0)</f>
        <v/>
      </c>
    </row>
    <row r="318">
      <c r="A318" s="16" t="inlineStr">
        <is>
          <t>BP</t>
        </is>
      </c>
      <c r="B318" s="17" t="inlineStr">
        <is>
          <t>25310</t>
        </is>
      </c>
      <c r="C318" s="10">
        <f>IF(ISNUMBER(FC318),INDIRECT("SamplesX!C"&amp;FC318),IF(ISNUMBER(FD318),INDIRECT("SamplesY!C"&amp;FD318),""))</f>
        <v/>
      </c>
      <c r="D318" s="12">
        <f>IF(ISNUMBER(FC318),INDIRECT("SamplesX!D"&amp;FC318),IF(ISNUMBER(FD318),INDIRECT("SamplesY!D"&amp;FD318),""))</f>
        <v/>
      </c>
      <c r="E318" s="12">
        <f>IF(ISNUMBER(FC318),INDIRECT("SamplesX!E"&amp;FC318),IF(ISNUMBER(FD318),INDIRECT("SamplesY!E"&amp;FD318),""))</f>
        <v/>
      </c>
      <c r="F318" s="11">
        <f>IF(ISNUMBER(FC318),INDIRECT("SamplesX!F"&amp;FC318),IF(ISNUMBER(FD318),INDIRECT("SamplesY!F"&amp;FD318),""))</f>
        <v/>
      </c>
      <c r="G318" s="18">
        <f>IF(ISNUMBER(FC318),INDIRECT("SamplesX!G"&amp;FC318),IF(ISNUMBER(FD318),INDIRECT("SamplesY!G"&amp;FD318),""))</f>
        <v/>
      </c>
      <c r="H318" s="19">
        <f>IF(ISNUMBER(FC318),INDIRECT("SamplesX!H"&amp;FC318),IF(ISNUMBER(FD318),INDIRECT("SamplesY!H"&amp;FD318),""))</f>
        <v/>
      </c>
      <c r="I318" s="16" t="n"/>
      <c r="J318" s="16" t="n"/>
      <c r="K318" s="16" t="n"/>
      <c r="L318" s="20" t="n"/>
      <c r="M318" s="20" t="inlineStr">
        <is>
          <t>None</t>
        </is>
      </c>
      <c r="N318" s="17" t="n"/>
      <c r="O318" s="16" t="n"/>
      <c r="P318" s="20" t="inlineStr">
        <is>
          <t>Shimadzu TOC-L</t>
        </is>
      </c>
      <c r="Q318" s="20" t="inlineStr">
        <is>
          <t>None</t>
        </is>
      </c>
      <c r="R318" s="17" t="n"/>
      <c r="S318" s="16" t="n"/>
      <c r="T318" s="20" t="inlineStr">
        <is>
          <t>Shimadzu TOC-L</t>
        </is>
      </c>
      <c r="U318" s="20" t="inlineStr">
        <is>
          <t>None</t>
        </is>
      </c>
      <c r="V318" s="17" t="n"/>
      <c r="W318" s="16" t="n"/>
      <c r="X318" s="20" t="n"/>
      <c r="Y318" s="20" t="inlineStr">
        <is>
          <t>None</t>
        </is>
      </c>
      <c r="Z318" s="17" t="n"/>
      <c r="AA318" s="16" t="n"/>
      <c r="AB318" s="20" t="n"/>
      <c r="AC318" s="20" t="inlineStr">
        <is>
          <t>None</t>
        </is>
      </c>
      <c r="AD318" s="17" t="n"/>
      <c r="AE318" s="16" t="n"/>
      <c r="AF318" s="20" t="inlineStr">
        <is>
          <t>IC Anionen</t>
        </is>
      </c>
      <c r="AG318" s="20" t="inlineStr">
        <is>
          <t>None</t>
        </is>
      </c>
      <c r="AH318" s="17" t="n"/>
      <c r="AI318" s="16" t="n"/>
      <c r="AJ318" s="20" t="n"/>
      <c r="AK318" s="20" t="inlineStr">
        <is>
          <t>None</t>
        </is>
      </c>
      <c r="AL318" s="17" t="n"/>
      <c r="AM318" s="16" t="n"/>
      <c r="AN318" s="20" t="inlineStr">
        <is>
          <t>IC Anionen</t>
        </is>
      </c>
      <c r="AO318" s="20" t="inlineStr">
        <is>
          <t>None</t>
        </is>
      </c>
      <c r="AP318" s="17" t="n"/>
      <c r="AQ318" s="16" t="n"/>
      <c r="AR318" s="20" t="n"/>
      <c r="AS318" s="20" t="inlineStr">
        <is>
          <t>None</t>
        </is>
      </c>
      <c r="AT318" s="17" t="n"/>
      <c r="AU318" s="16" t="n"/>
      <c r="AV318" s="20" t="n"/>
      <c r="AW318" s="20" t="inlineStr">
        <is>
          <t>None</t>
        </is>
      </c>
      <c r="AX318" s="17" t="n"/>
      <c r="AY318" s="16" t="n"/>
      <c r="AZ318" s="20" t="inlineStr">
        <is>
          <t>IC Anionen</t>
        </is>
      </c>
      <c r="BA318" s="20" t="inlineStr">
        <is>
          <t>None</t>
        </is>
      </c>
      <c r="BB318" s="17" t="n"/>
      <c r="BC318" s="16" t="n"/>
      <c r="BD318" s="20" t="inlineStr">
        <is>
          <t>IC Kationen</t>
        </is>
      </c>
      <c r="BE318" s="20" t="inlineStr">
        <is>
          <t>None</t>
        </is>
      </c>
      <c r="BF318" s="17" t="n"/>
      <c r="BG318" s="16" t="n"/>
      <c r="BH318" s="20" t="inlineStr">
        <is>
          <t>IC Kationen</t>
        </is>
      </c>
      <c r="BI318" s="20" t="inlineStr">
        <is>
          <t>None</t>
        </is>
      </c>
      <c r="BJ318" s="17" t="n"/>
      <c r="BK318" s="16" t="n"/>
      <c r="BL318" s="20" t="inlineStr">
        <is>
          <t>IC Kationen</t>
        </is>
      </c>
      <c r="BM318" s="20" t="inlineStr">
        <is>
          <t>None</t>
        </is>
      </c>
      <c r="BN318" s="17" t="n"/>
      <c r="BO318" s="16" t="n"/>
      <c r="BP318" s="20" t="inlineStr">
        <is>
          <t>IC Kationen</t>
        </is>
      </c>
      <c r="BQ318" s="20" t="inlineStr">
        <is>
          <t>None</t>
        </is>
      </c>
      <c r="BR318" s="17" t="n"/>
      <c r="BS318" s="16" t="n"/>
      <c r="BT318" s="20" t="inlineStr">
        <is>
          <t>IC Kationen</t>
        </is>
      </c>
      <c r="BU318" s="20" t="inlineStr">
        <is>
          <t>None</t>
        </is>
      </c>
      <c r="BV318" s="17" t="n"/>
      <c r="BW318" s="16" t="n"/>
      <c r="BX318" s="20" t="n"/>
      <c r="BY318" s="20" t="inlineStr">
        <is>
          <t>None</t>
        </is>
      </c>
      <c r="BZ318" s="17" t="n"/>
      <c r="CA318" s="16" t="n"/>
      <c r="CB318" s="20" t="n"/>
      <c r="CC318" s="20" t="inlineStr">
        <is>
          <t>None</t>
        </is>
      </c>
      <c r="CD318" s="17" t="n"/>
      <c r="CE318" s="16" t="n"/>
      <c r="CF318" s="20" t="n"/>
      <c r="CG318" s="20" t="inlineStr">
        <is>
          <t>None</t>
        </is>
      </c>
      <c r="CH318" s="17" t="n"/>
      <c r="CI318" s="16" t="n"/>
      <c r="CJ318" s="20" t="n"/>
      <c r="CK318" s="20" t="inlineStr">
        <is>
          <t>None</t>
        </is>
      </c>
      <c r="CL318" s="17" t="n"/>
      <c r="CM318" s="16" t="n"/>
      <c r="CN318" s="20" t="inlineStr">
        <is>
          <t>SOP 45-34</t>
        </is>
      </c>
      <c r="CO318" s="20" t="inlineStr">
        <is>
          <t>None</t>
        </is>
      </c>
      <c r="CP318" s="17" t="n"/>
      <c r="CQ318" s="16" t="n"/>
      <c r="CR318" s="20" t="n"/>
      <c r="CS318" s="20" t="inlineStr">
        <is>
          <t>None</t>
        </is>
      </c>
      <c r="CT318" s="17" t="n"/>
      <c r="CU318" s="16" t="n"/>
      <c r="CV318" s="20" t="n"/>
      <c r="CW318" s="20" t="inlineStr">
        <is>
          <t>None</t>
        </is>
      </c>
      <c r="CX318" s="17" t="n"/>
      <c r="CY318" s="16" t="n"/>
      <c r="CZ318" s="20" t="inlineStr">
        <is>
          <t>WTW Multimeter 3430 with FDO 925</t>
        </is>
      </c>
      <c r="DA318" s="20" t="inlineStr">
        <is>
          <t>None</t>
        </is>
      </c>
      <c r="DB318" s="17" t="n"/>
      <c r="DC318" s="16" t="n"/>
      <c r="DD318" s="20" t="n"/>
      <c r="DE318" s="20" t="inlineStr">
        <is>
          <t>None</t>
        </is>
      </c>
      <c r="DF318" s="17" t="n"/>
      <c r="DG318" s="16" t="n"/>
      <c r="DH318" s="20" t="inlineStr">
        <is>
          <t>SOP 45-09</t>
        </is>
      </c>
      <c r="DI318" s="20" t="inlineStr">
        <is>
          <t>None</t>
        </is>
      </c>
      <c r="DJ318" s="17" t="n"/>
      <c r="DK318" s="16" t="n"/>
      <c r="DL318" s="20" t="inlineStr">
        <is>
          <t>SOP 45-09 (SOP muss noch angepasst werden für VSS)</t>
        </is>
      </c>
      <c r="DM318" s="20" t="inlineStr">
        <is>
          <t>None</t>
        </is>
      </c>
      <c r="DN318" s="17" t="n"/>
      <c r="DO318" s="16" t="n"/>
      <c r="DP318" s="20" t="inlineStr">
        <is>
          <t>IC Organic Acids</t>
        </is>
      </c>
      <c r="DQ318" s="20" t="inlineStr">
        <is>
          <t>None</t>
        </is>
      </c>
      <c r="DR318" s="17" t="n"/>
      <c r="DS318" s="16" t="n"/>
      <c r="DT318" s="20" t="inlineStr">
        <is>
          <t>IC Organic Acids</t>
        </is>
      </c>
      <c r="DU318" s="20" t="inlineStr">
        <is>
          <t>None</t>
        </is>
      </c>
      <c r="DV318" s="17" t="n"/>
      <c r="DW318" s="16" t="n"/>
      <c r="DX318" s="20" t="inlineStr">
        <is>
          <t>IC Organic Acids</t>
        </is>
      </c>
      <c r="DY318" s="20" t="inlineStr">
        <is>
          <t>None</t>
        </is>
      </c>
      <c r="DZ318" s="17" t="n"/>
      <c r="EA318" s="16" t="n"/>
      <c r="EB318" s="20" t="inlineStr">
        <is>
          <t>IC Organic Acids</t>
        </is>
      </c>
      <c r="EC318" s="20" t="inlineStr">
        <is>
          <t>None</t>
        </is>
      </c>
      <c r="ED318" s="17" t="n"/>
      <c r="EE318" s="16" t="n"/>
      <c r="EF318" s="20" t="inlineStr">
        <is>
          <t>IC Organic Acids</t>
        </is>
      </c>
      <c r="EG318" s="20" t="inlineStr">
        <is>
          <t>None</t>
        </is>
      </c>
      <c r="EH318" s="17" t="n"/>
      <c r="EI318" s="16" t="n"/>
      <c r="EJ318" s="20" t="inlineStr">
        <is>
          <t>IC Organic Acids</t>
        </is>
      </c>
      <c r="EK318" s="20" t="inlineStr">
        <is>
          <t>None</t>
        </is>
      </c>
      <c r="EL318" s="17" t="n"/>
      <c r="EM318" s="16" t="n"/>
      <c r="EN318" s="20" t="inlineStr">
        <is>
          <t>IC Organic Acids</t>
        </is>
      </c>
      <c r="EO318" s="20" t="inlineStr">
        <is>
          <t>None</t>
        </is>
      </c>
      <c r="EP318" s="17" t="n"/>
      <c r="EQ318" s="16" t="n"/>
      <c r="ER318" s="20" t="inlineStr">
        <is>
          <t>IC Organic Acids</t>
        </is>
      </c>
      <c r="ES318" s="20" t="inlineStr">
        <is>
          <t>None</t>
        </is>
      </c>
      <c r="ET318" s="17" t="n"/>
      <c r="EU318" s="16" t="n"/>
      <c r="EV318" s="20" t="inlineStr">
        <is>
          <t>LC-MS</t>
        </is>
      </c>
      <c r="EW318" s="20" t="inlineStr">
        <is>
          <t>None</t>
        </is>
      </c>
      <c r="EX318" s="17" t="n"/>
      <c r="EY318" s="21" t="n"/>
      <c r="EZ318">
        <f>CONCATENATE(A318,B318)</f>
        <v/>
      </c>
      <c r="FA318">
        <f>CONCATENATE(SamplesX!A318,SamplesX!B318)</f>
        <v/>
      </c>
      <c r="FC318">
        <f>MATCH(EZ318,FA1:FA1008,0)</f>
        <v/>
      </c>
    </row>
    <row r="319">
      <c r="A319" s="16" t="inlineStr">
        <is>
          <t>BP</t>
        </is>
      </c>
      <c r="B319" s="17" t="inlineStr">
        <is>
          <t>25311</t>
        </is>
      </c>
      <c r="C319" s="10">
        <f>IF(ISNUMBER(FC319),INDIRECT("SamplesX!C"&amp;FC319),IF(ISNUMBER(FD319),INDIRECT("SamplesY!C"&amp;FD319),""))</f>
        <v/>
      </c>
      <c r="D319" s="12">
        <f>IF(ISNUMBER(FC319),INDIRECT("SamplesX!D"&amp;FC319),IF(ISNUMBER(FD319),INDIRECT("SamplesY!D"&amp;FD319),""))</f>
        <v/>
      </c>
      <c r="E319" s="12">
        <f>IF(ISNUMBER(FC319),INDIRECT("SamplesX!E"&amp;FC319),IF(ISNUMBER(FD319),INDIRECT("SamplesY!E"&amp;FD319),""))</f>
        <v/>
      </c>
      <c r="F319" s="11">
        <f>IF(ISNUMBER(FC319),INDIRECT("SamplesX!F"&amp;FC319),IF(ISNUMBER(FD319),INDIRECT("SamplesY!F"&amp;FD319),""))</f>
        <v/>
      </c>
      <c r="G319" s="18">
        <f>IF(ISNUMBER(FC319),INDIRECT("SamplesX!G"&amp;FC319),IF(ISNUMBER(FD319),INDIRECT("SamplesY!G"&amp;FD319),""))</f>
        <v/>
      </c>
      <c r="H319" s="19">
        <f>IF(ISNUMBER(FC319),INDIRECT("SamplesX!H"&amp;FC319),IF(ISNUMBER(FD319),INDIRECT("SamplesY!H"&amp;FD319),""))</f>
        <v/>
      </c>
      <c r="I319" s="16" t="n"/>
      <c r="J319" s="16" t="n"/>
      <c r="K319" s="16" t="n"/>
      <c r="L319" s="20" t="n"/>
      <c r="M319" s="20" t="inlineStr">
        <is>
          <t>None</t>
        </is>
      </c>
      <c r="N319" s="17" t="n"/>
      <c r="O319" s="16" t="n"/>
      <c r="P319" s="20" t="inlineStr">
        <is>
          <t>Shimadzu TOC-L</t>
        </is>
      </c>
      <c r="Q319" s="20" t="inlineStr">
        <is>
          <t>None</t>
        </is>
      </c>
      <c r="R319" s="17" t="n"/>
      <c r="S319" s="16" t="n"/>
      <c r="T319" s="20" t="inlineStr">
        <is>
          <t>Shimadzu TOC-L</t>
        </is>
      </c>
      <c r="U319" s="20" t="inlineStr">
        <is>
          <t>None</t>
        </is>
      </c>
      <c r="V319" s="17" t="n"/>
      <c r="W319" s="16" t="n"/>
      <c r="X319" s="20" t="n"/>
      <c r="Y319" s="20" t="inlineStr">
        <is>
          <t>None</t>
        </is>
      </c>
      <c r="Z319" s="17" t="n"/>
      <c r="AA319" s="16" t="n"/>
      <c r="AB319" s="20" t="n"/>
      <c r="AC319" s="20" t="inlineStr">
        <is>
          <t>None</t>
        </is>
      </c>
      <c r="AD319" s="17" t="n"/>
      <c r="AE319" s="16" t="n"/>
      <c r="AF319" s="20" t="inlineStr">
        <is>
          <t>IC Anionen</t>
        </is>
      </c>
      <c r="AG319" s="20" t="inlineStr">
        <is>
          <t>None</t>
        </is>
      </c>
      <c r="AH319" s="17" t="n"/>
      <c r="AI319" s="16" t="n"/>
      <c r="AJ319" s="20" t="n"/>
      <c r="AK319" s="20" t="inlineStr">
        <is>
          <t>None</t>
        </is>
      </c>
      <c r="AL319" s="17" t="n"/>
      <c r="AM319" s="16" t="n"/>
      <c r="AN319" s="20" t="inlineStr">
        <is>
          <t>IC Anionen</t>
        </is>
      </c>
      <c r="AO319" s="20" t="inlineStr">
        <is>
          <t>None</t>
        </is>
      </c>
      <c r="AP319" s="17" t="n"/>
      <c r="AQ319" s="16" t="n"/>
      <c r="AR319" s="20" t="n"/>
      <c r="AS319" s="20" t="inlineStr">
        <is>
          <t>None</t>
        </is>
      </c>
      <c r="AT319" s="17" t="n"/>
      <c r="AU319" s="16" t="n"/>
      <c r="AV319" s="20" t="n"/>
      <c r="AW319" s="20" t="inlineStr">
        <is>
          <t>None</t>
        </is>
      </c>
      <c r="AX319" s="17" t="n"/>
      <c r="AY319" s="16" t="n"/>
      <c r="AZ319" s="20" t="inlineStr">
        <is>
          <t>IC Anionen</t>
        </is>
      </c>
      <c r="BA319" s="20" t="inlineStr">
        <is>
          <t>None</t>
        </is>
      </c>
      <c r="BB319" s="17" t="n"/>
      <c r="BC319" s="16" t="n"/>
      <c r="BD319" s="20" t="inlineStr">
        <is>
          <t>IC Kationen</t>
        </is>
      </c>
      <c r="BE319" s="20" t="inlineStr">
        <is>
          <t>None</t>
        </is>
      </c>
      <c r="BF319" s="17" t="n"/>
      <c r="BG319" s="16" t="n"/>
      <c r="BH319" s="20" t="inlineStr">
        <is>
          <t>IC Kationen</t>
        </is>
      </c>
      <c r="BI319" s="20" t="inlineStr">
        <is>
          <t>None</t>
        </is>
      </c>
      <c r="BJ319" s="17" t="n"/>
      <c r="BK319" s="16" t="n"/>
      <c r="BL319" s="20" t="inlineStr">
        <is>
          <t>IC Kationen</t>
        </is>
      </c>
      <c r="BM319" s="20" t="inlineStr">
        <is>
          <t>None</t>
        </is>
      </c>
      <c r="BN319" s="17" t="n"/>
      <c r="BO319" s="16" t="n"/>
      <c r="BP319" s="20" t="inlineStr">
        <is>
          <t>IC Kationen</t>
        </is>
      </c>
      <c r="BQ319" s="20" t="inlineStr">
        <is>
          <t>None</t>
        </is>
      </c>
      <c r="BR319" s="17" t="n"/>
      <c r="BS319" s="16" t="n"/>
      <c r="BT319" s="20" t="inlineStr">
        <is>
          <t>IC Kationen</t>
        </is>
      </c>
      <c r="BU319" s="20" t="inlineStr">
        <is>
          <t>None</t>
        </is>
      </c>
      <c r="BV319" s="17" t="n"/>
      <c r="BW319" s="16" t="n"/>
      <c r="BX319" s="20" t="n"/>
      <c r="BY319" s="20" t="inlineStr">
        <is>
          <t>None</t>
        </is>
      </c>
      <c r="BZ319" s="17" t="n"/>
      <c r="CA319" s="16" t="n"/>
      <c r="CB319" s="20" t="n"/>
      <c r="CC319" s="20" t="inlineStr">
        <is>
          <t>None</t>
        </is>
      </c>
      <c r="CD319" s="17" t="n"/>
      <c r="CE319" s="16" t="n"/>
      <c r="CF319" s="20" t="n"/>
      <c r="CG319" s="20" t="inlineStr">
        <is>
          <t>None</t>
        </is>
      </c>
      <c r="CH319" s="17" t="n"/>
      <c r="CI319" s="16" t="n"/>
      <c r="CJ319" s="20" t="n"/>
      <c r="CK319" s="20" t="inlineStr">
        <is>
          <t>None</t>
        </is>
      </c>
      <c r="CL319" s="17" t="n"/>
      <c r="CM319" s="16" t="n"/>
      <c r="CN319" s="20" t="inlineStr">
        <is>
          <t>SOP 45-34</t>
        </is>
      </c>
      <c r="CO319" s="20" t="inlineStr">
        <is>
          <t>None</t>
        </is>
      </c>
      <c r="CP319" s="17" t="n"/>
      <c r="CQ319" s="16" t="n"/>
      <c r="CR319" s="20" t="n"/>
      <c r="CS319" s="20" t="inlineStr">
        <is>
          <t>None</t>
        </is>
      </c>
      <c r="CT319" s="17" t="n"/>
      <c r="CU319" s="16" t="n"/>
      <c r="CV319" s="20" t="n"/>
      <c r="CW319" s="20" t="inlineStr">
        <is>
          <t>None</t>
        </is>
      </c>
      <c r="CX319" s="17" t="n"/>
      <c r="CY319" s="16" t="n"/>
      <c r="CZ319" s="20" t="inlineStr">
        <is>
          <t>WTW Multimeter 3430 with FDO 925</t>
        </is>
      </c>
      <c r="DA319" s="20" t="inlineStr">
        <is>
          <t>None</t>
        </is>
      </c>
      <c r="DB319" s="17" t="n"/>
      <c r="DC319" s="16" t="n"/>
      <c r="DD319" s="20" t="n"/>
      <c r="DE319" s="20" t="inlineStr">
        <is>
          <t>None</t>
        </is>
      </c>
      <c r="DF319" s="17" t="n"/>
      <c r="DG319" s="16" t="n"/>
      <c r="DH319" s="20" t="inlineStr">
        <is>
          <t>SOP 45-09</t>
        </is>
      </c>
      <c r="DI319" s="20" t="inlineStr">
        <is>
          <t>None</t>
        </is>
      </c>
      <c r="DJ319" s="17" t="n"/>
      <c r="DK319" s="16" t="n"/>
      <c r="DL319" s="20" t="inlineStr">
        <is>
          <t>SOP 45-09 (SOP muss noch angepasst werden für VSS)</t>
        </is>
      </c>
      <c r="DM319" s="20" t="inlineStr">
        <is>
          <t>None</t>
        </is>
      </c>
      <c r="DN319" s="17" t="n"/>
      <c r="DO319" s="16" t="n"/>
      <c r="DP319" s="20" t="inlineStr">
        <is>
          <t>IC Organic Acids</t>
        </is>
      </c>
      <c r="DQ319" s="20" t="inlineStr">
        <is>
          <t>None</t>
        </is>
      </c>
      <c r="DR319" s="17" t="n"/>
      <c r="DS319" s="16" t="n"/>
      <c r="DT319" s="20" t="inlineStr">
        <is>
          <t>IC Organic Acids</t>
        </is>
      </c>
      <c r="DU319" s="20" t="inlineStr">
        <is>
          <t>None</t>
        </is>
      </c>
      <c r="DV319" s="17" t="n"/>
      <c r="DW319" s="16" t="n"/>
      <c r="DX319" s="20" t="inlineStr">
        <is>
          <t>IC Organic Acids</t>
        </is>
      </c>
      <c r="DY319" s="20" t="inlineStr">
        <is>
          <t>None</t>
        </is>
      </c>
      <c r="DZ319" s="17" t="n"/>
      <c r="EA319" s="16" t="n"/>
      <c r="EB319" s="20" t="inlineStr">
        <is>
          <t>IC Organic Acids</t>
        </is>
      </c>
      <c r="EC319" s="20" t="inlineStr">
        <is>
          <t>None</t>
        </is>
      </c>
      <c r="ED319" s="17" t="n"/>
      <c r="EE319" s="16" t="n"/>
      <c r="EF319" s="20" t="inlineStr">
        <is>
          <t>IC Organic Acids</t>
        </is>
      </c>
      <c r="EG319" s="20" t="inlineStr">
        <is>
          <t>None</t>
        </is>
      </c>
      <c r="EH319" s="17" t="n"/>
      <c r="EI319" s="16" t="n"/>
      <c r="EJ319" s="20" t="inlineStr">
        <is>
          <t>IC Organic Acids</t>
        </is>
      </c>
      <c r="EK319" s="20" t="inlineStr">
        <is>
          <t>None</t>
        </is>
      </c>
      <c r="EL319" s="17" t="n"/>
      <c r="EM319" s="16" t="n"/>
      <c r="EN319" s="20" t="inlineStr">
        <is>
          <t>IC Organic Acids</t>
        </is>
      </c>
      <c r="EO319" s="20" t="inlineStr">
        <is>
          <t>None</t>
        </is>
      </c>
      <c r="EP319" s="17" t="n"/>
      <c r="EQ319" s="16" t="n"/>
      <c r="ER319" s="20" t="inlineStr">
        <is>
          <t>IC Organic Acids</t>
        </is>
      </c>
      <c r="ES319" s="20" t="inlineStr">
        <is>
          <t>None</t>
        </is>
      </c>
      <c r="ET319" s="17" t="n"/>
      <c r="EU319" s="16" t="n"/>
      <c r="EV319" s="20" t="inlineStr">
        <is>
          <t>LC-MS</t>
        </is>
      </c>
      <c r="EW319" s="20" t="inlineStr">
        <is>
          <t>None</t>
        </is>
      </c>
      <c r="EX319" s="17" t="n"/>
      <c r="EY319" s="21" t="n"/>
      <c r="EZ319">
        <f>CONCATENATE(A319,B319)</f>
        <v/>
      </c>
      <c r="FA319">
        <f>CONCATENATE(SamplesX!A319,SamplesX!B319)</f>
        <v/>
      </c>
      <c r="FC319">
        <f>MATCH(EZ319,FA1:FA1008,0)</f>
        <v/>
      </c>
    </row>
    <row r="320">
      <c r="A320" s="16" t="inlineStr">
        <is>
          <t>BP</t>
        </is>
      </c>
      <c r="B320" s="17" t="inlineStr">
        <is>
          <t>25312</t>
        </is>
      </c>
      <c r="C320" s="10">
        <f>IF(ISNUMBER(FC320),INDIRECT("SamplesX!C"&amp;FC320),IF(ISNUMBER(FD320),INDIRECT("SamplesY!C"&amp;FD320),""))</f>
        <v/>
      </c>
      <c r="D320" s="12">
        <f>IF(ISNUMBER(FC320),INDIRECT("SamplesX!D"&amp;FC320),IF(ISNUMBER(FD320),INDIRECT("SamplesY!D"&amp;FD320),""))</f>
        <v/>
      </c>
      <c r="E320" s="12">
        <f>IF(ISNUMBER(FC320),INDIRECT("SamplesX!E"&amp;FC320),IF(ISNUMBER(FD320),INDIRECT("SamplesY!E"&amp;FD320),""))</f>
        <v/>
      </c>
      <c r="F320" s="11">
        <f>IF(ISNUMBER(FC320),INDIRECT("SamplesX!F"&amp;FC320),IF(ISNUMBER(FD320),INDIRECT("SamplesY!F"&amp;FD320),""))</f>
        <v/>
      </c>
      <c r="G320" s="18">
        <f>IF(ISNUMBER(FC320),INDIRECT("SamplesX!G"&amp;FC320),IF(ISNUMBER(FD320),INDIRECT("SamplesY!G"&amp;FD320),""))</f>
        <v/>
      </c>
      <c r="H320" s="19">
        <f>IF(ISNUMBER(FC320),INDIRECT("SamplesX!H"&amp;FC320),IF(ISNUMBER(FD320),INDIRECT("SamplesY!H"&amp;FD320),""))</f>
        <v/>
      </c>
      <c r="I320" s="16" t="n"/>
      <c r="J320" s="16" t="n"/>
      <c r="K320" s="16" t="n"/>
      <c r="L320" s="20" t="n"/>
      <c r="M320" s="20" t="inlineStr">
        <is>
          <t>None</t>
        </is>
      </c>
      <c r="N320" s="17" t="n"/>
      <c r="O320" s="16" t="n"/>
      <c r="P320" s="20" t="inlineStr">
        <is>
          <t>Shimadzu TOC-L</t>
        </is>
      </c>
      <c r="Q320" s="20" t="inlineStr">
        <is>
          <t>None</t>
        </is>
      </c>
      <c r="R320" s="17" t="n"/>
      <c r="S320" s="16" t="n"/>
      <c r="T320" s="20" t="inlineStr">
        <is>
          <t>Shimadzu TOC-L</t>
        </is>
      </c>
      <c r="U320" s="20" t="inlineStr">
        <is>
          <t>None</t>
        </is>
      </c>
      <c r="V320" s="17" t="n"/>
      <c r="W320" s="16" t="n"/>
      <c r="X320" s="20" t="n"/>
      <c r="Y320" s="20" t="inlineStr">
        <is>
          <t>None</t>
        </is>
      </c>
      <c r="Z320" s="17" t="n"/>
      <c r="AA320" s="16" t="n"/>
      <c r="AB320" s="20" t="n"/>
      <c r="AC320" s="20" t="inlineStr">
        <is>
          <t>None</t>
        </is>
      </c>
      <c r="AD320" s="17" t="n"/>
      <c r="AE320" s="16" t="n"/>
      <c r="AF320" s="20" t="inlineStr">
        <is>
          <t>IC Anionen</t>
        </is>
      </c>
      <c r="AG320" s="20" t="inlineStr">
        <is>
          <t>None</t>
        </is>
      </c>
      <c r="AH320" s="17" t="n"/>
      <c r="AI320" s="16" t="n"/>
      <c r="AJ320" s="20" t="n"/>
      <c r="AK320" s="20" t="inlineStr">
        <is>
          <t>None</t>
        </is>
      </c>
      <c r="AL320" s="17" t="n"/>
      <c r="AM320" s="16" t="n"/>
      <c r="AN320" s="20" t="inlineStr">
        <is>
          <t>IC Anionen</t>
        </is>
      </c>
      <c r="AO320" s="20" t="inlineStr">
        <is>
          <t>None</t>
        </is>
      </c>
      <c r="AP320" s="17" t="n"/>
      <c r="AQ320" s="16" t="n"/>
      <c r="AR320" s="20" t="n"/>
      <c r="AS320" s="20" t="inlineStr">
        <is>
          <t>None</t>
        </is>
      </c>
      <c r="AT320" s="17" t="n"/>
      <c r="AU320" s="16" t="n"/>
      <c r="AV320" s="20" t="n"/>
      <c r="AW320" s="20" t="inlineStr">
        <is>
          <t>None</t>
        </is>
      </c>
      <c r="AX320" s="17" t="n"/>
      <c r="AY320" s="16" t="n"/>
      <c r="AZ320" s="20" t="inlineStr">
        <is>
          <t>IC Anionen</t>
        </is>
      </c>
      <c r="BA320" s="20" t="inlineStr">
        <is>
          <t>None</t>
        </is>
      </c>
      <c r="BB320" s="17" t="n"/>
      <c r="BC320" s="16" t="n"/>
      <c r="BD320" s="20" t="inlineStr">
        <is>
          <t>IC Kationen</t>
        </is>
      </c>
      <c r="BE320" s="20" t="inlineStr">
        <is>
          <t>None</t>
        </is>
      </c>
      <c r="BF320" s="17" t="n"/>
      <c r="BG320" s="16" t="n"/>
      <c r="BH320" s="20" t="inlineStr">
        <is>
          <t>IC Kationen</t>
        </is>
      </c>
      <c r="BI320" s="20" t="inlineStr">
        <is>
          <t>None</t>
        </is>
      </c>
      <c r="BJ320" s="17" t="n"/>
      <c r="BK320" s="16" t="n"/>
      <c r="BL320" s="20" t="inlineStr">
        <is>
          <t>IC Kationen</t>
        </is>
      </c>
      <c r="BM320" s="20" t="inlineStr">
        <is>
          <t>None</t>
        </is>
      </c>
      <c r="BN320" s="17" t="n"/>
      <c r="BO320" s="16" t="n"/>
      <c r="BP320" s="20" t="inlineStr">
        <is>
          <t>IC Kationen</t>
        </is>
      </c>
      <c r="BQ320" s="20" t="inlineStr">
        <is>
          <t>None</t>
        </is>
      </c>
      <c r="BR320" s="17" t="n"/>
      <c r="BS320" s="16" t="n"/>
      <c r="BT320" s="20" t="inlineStr">
        <is>
          <t>IC Kationen</t>
        </is>
      </c>
      <c r="BU320" s="20" t="inlineStr">
        <is>
          <t>None</t>
        </is>
      </c>
      <c r="BV320" s="17" t="n"/>
      <c r="BW320" s="16" t="n"/>
      <c r="BX320" s="20" t="n"/>
      <c r="BY320" s="20" t="inlineStr">
        <is>
          <t>None</t>
        </is>
      </c>
      <c r="BZ320" s="17" t="n"/>
      <c r="CA320" s="16" t="n"/>
      <c r="CB320" s="20" t="n"/>
      <c r="CC320" s="20" t="inlineStr">
        <is>
          <t>None</t>
        </is>
      </c>
      <c r="CD320" s="17" t="n"/>
      <c r="CE320" s="16" t="n"/>
      <c r="CF320" s="20" t="n"/>
      <c r="CG320" s="20" t="inlineStr">
        <is>
          <t>None</t>
        </is>
      </c>
      <c r="CH320" s="17" t="n"/>
      <c r="CI320" s="16" t="n"/>
      <c r="CJ320" s="20" t="n"/>
      <c r="CK320" s="20" t="inlineStr">
        <is>
          <t>None</t>
        </is>
      </c>
      <c r="CL320" s="17" t="n"/>
      <c r="CM320" s="16" t="n"/>
      <c r="CN320" s="20" t="inlineStr">
        <is>
          <t>SOP 45-34</t>
        </is>
      </c>
      <c r="CO320" s="20" t="inlineStr">
        <is>
          <t>None</t>
        </is>
      </c>
      <c r="CP320" s="17" t="n"/>
      <c r="CQ320" s="16" t="n"/>
      <c r="CR320" s="20" t="n"/>
      <c r="CS320" s="20" t="inlineStr">
        <is>
          <t>None</t>
        </is>
      </c>
      <c r="CT320" s="17" t="n"/>
      <c r="CU320" s="16" t="n"/>
      <c r="CV320" s="20" t="n"/>
      <c r="CW320" s="20" t="inlineStr">
        <is>
          <t>None</t>
        </is>
      </c>
      <c r="CX320" s="17" t="n"/>
      <c r="CY320" s="16" t="n"/>
      <c r="CZ320" s="20" t="inlineStr">
        <is>
          <t>WTW Multimeter 3430 with FDO 925</t>
        </is>
      </c>
      <c r="DA320" s="20" t="inlineStr">
        <is>
          <t>None</t>
        </is>
      </c>
      <c r="DB320" s="17" t="n"/>
      <c r="DC320" s="16" t="n"/>
      <c r="DD320" s="20" t="n"/>
      <c r="DE320" s="20" t="inlineStr">
        <is>
          <t>None</t>
        </is>
      </c>
      <c r="DF320" s="17" t="n"/>
      <c r="DG320" s="16" t="n"/>
      <c r="DH320" s="20" t="inlineStr">
        <is>
          <t>SOP 45-09</t>
        </is>
      </c>
      <c r="DI320" s="20" t="inlineStr">
        <is>
          <t>None</t>
        </is>
      </c>
      <c r="DJ320" s="17" t="n"/>
      <c r="DK320" s="16" t="n"/>
      <c r="DL320" s="20" t="inlineStr">
        <is>
          <t>SOP 45-09 (SOP muss noch angepasst werden für VSS)</t>
        </is>
      </c>
      <c r="DM320" s="20" t="inlineStr">
        <is>
          <t>None</t>
        </is>
      </c>
      <c r="DN320" s="17" t="n"/>
      <c r="DO320" s="16" t="n"/>
      <c r="DP320" s="20" t="inlineStr">
        <is>
          <t>IC Organic Acids</t>
        </is>
      </c>
      <c r="DQ320" s="20" t="inlineStr">
        <is>
          <t>None</t>
        </is>
      </c>
      <c r="DR320" s="17" t="n"/>
      <c r="DS320" s="16" t="n"/>
      <c r="DT320" s="20" t="inlineStr">
        <is>
          <t>IC Organic Acids</t>
        </is>
      </c>
      <c r="DU320" s="20" t="inlineStr">
        <is>
          <t>None</t>
        </is>
      </c>
      <c r="DV320" s="17" t="n"/>
      <c r="DW320" s="16" t="n"/>
      <c r="DX320" s="20" t="inlineStr">
        <is>
          <t>IC Organic Acids</t>
        </is>
      </c>
      <c r="DY320" s="20" t="inlineStr">
        <is>
          <t>None</t>
        </is>
      </c>
      <c r="DZ320" s="17" t="n"/>
      <c r="EA320" s="16" t="n"/>
      <c r="EB320" s="20" t="inlineStr">
        <is>
          <t>IC Organic Acids</t>
        </is>
      </c>
      <c r="EC320" s="20" t="inlineStr">
        <is>
          <t>None</t>
        </is>
      </c>
      <c r="ED320" s="17" t="n"/>
      <c r="EE320" s="16" t="n"/>
      <c r="EF320" s="20" t="inlineStr">
        <is>
          <t>IC Organic Acids</t>
        </is>
      </c>
      <c r="EG320" s="20" t="inlineStr">
        <is>
          <t>None</t>
        </is>
      </c>
      <c r="EH320" s="17" t="n"/>
      <c r="EI320" s="16" t="n"/>
      <c r="EJ320" s="20" t="inlineStr">
        <is>
          <t>IC Organic Acids</t>
        </is>
      </c>
      <c r="EK320" s="20" t="inlineStr">
        <is>
          <t>None</t>
        </is>
      </c>
      <c r="EL320" s="17" t="n"/>
      <c r="EM320" s="16" t="n"/>
      <c r="EN320" s="20" t="inlineStr">
        <is>
          <t>IC Organic Acids</t>
        </is>
      </c>
      <c r="EO320" s="20" t="inlineStr">
        <is>
          <t>None</t>
        </is>
      </c>
      <c r="EP320" s="17" t="n"/>
      <c r="EQ320" s="16" t="n"/>
      <c r="ER320" s="20" t="inlineStr">
        <is>
          <t>IC Organic Acids</t>
        </is>
      </c>
      <c r="ES320" s="20" t="inlineStr">
        <is>
          <t>None</t>
        </is>
      </c>
      <c r="ET320" s="17" t="n"/>
      <c r="EU320" s="16" t="n"/>
      <c r="EV320" s="20" t="inlineStr">
        <is>
          <t>LC-MS</t>
        </is>
      </c>
      <c r="EW320" s="20" t="inlineStr">
        <is>
          <t>None</t>
        </is>
      </c>
      <c r="EX320" s="17" t="n"/>
      <c r="EY320" s="21" t="n"/>
      <c r="EZ320">
        <f>CONCATENATE(A320,B320)</f>
        <v/>
      </c>
      <c r="FA320">
        <f>CONCATENATE(SamplesX!A320,SamplesX!B320)</f>
        <v/>
      </c>
      <c r="FC320">
        <f>MATCH(EZ320,FA1:FA1008,0)</f>
        <v/>
      </c>
    </row>
    <row r="321">
      <c r="A321" s="16" t="inlineStr">
        <is>
          <t>BP</t>
        </is>
      </c>
      <c r="B321" s="17" t="inlineStr">
        <is>
          <t>25313</t>
        </is>
      </c>
      <c r="C321" s="10">
        <f>IF(ISNUMBER(FC321),INDIRECT("SamplesX!C"&amp;FC321),IF(ISNUMBER(FD321),INDIRECT("SamplesY!C"&amp;FD321),""))</f>
        <v/>
      </c>
      <c r="D321" s="12">
        <f>IF(ISNUMBER(FC321),INDIRECT("SamplesX!D"&amp;FC321),IF(ISNUMBER(FD321),INDIRECT("SamplesY!D"&amp;FD321),""))</f>
        <v/>
      </c>
      <c r="E321" s="12">
        <f>IF(ISNUMBER(FC321),INDIRECT("SamplesX!E"&amp;FC321),IF(ISNUMBER(FD321),INDIRECT("SamplesY!E"&amp;FD321),""))</f>
        <v/>
      </c>
      <c r="F321" s="11">
        <f>IF(ISNUMBER(FC321),INDIRECT("SamplesX!F"&amp;FC321),IF(ISNUMBER(FD321),INDIRECT("SamplesY!F"&amp;FD321),""))</f>
        <v/>
      </c>
      <c r="G321" s="18">
        <f>IF(ISNUMBER(FC321),INDIRECT("SamplesX!G"&amp;FC321),IF(ISNUMBER(FD321),INDIRECT("SamplesY!G"&amp;FD321),""))</f>
        <v/>
      </c>
      <c r="H321" s="19">
        <f>IF(ISNUMBER(FC321),INDIRECT("SamplesX!H"&amp;FC321),IF(ISNUMBER(FD321),INDIRECT("SamplesY!H"&amp;FD321),""))</f>
        <v/>
      </c>
      <c r="I321" s="16" t="n"/>
      <c r="J321" s="16" t="n"/>
      <c r="K321" s="16" t="n"/>
      <c r="L321" s="20" t="n"/>
      <c r="M321" s="20" t="inlineStr">
        <is>
          <t>None</t>
        </is>
      </c>
      <c r="N321" s="17" t="n"/>
      <c r="O321" s="16" t="n"/>
      <c r="P321" s="20" t="inlineStr">
        <is>
          <t>Shimadzu TOC-L</t>
        </is>
      </c>
      <c r="Q321" s="20" t="inlineStr">
        <is>
          <t>None</t>
        </is>
      </c>
      <c r="R321" s="17" t="n"/>
      <c r="S321" s="16" t="n"/>
      <c r="T321" s="20" t="inlineStr">
        <is>
          <t>Shimadzu TOC-L</t>
        </is>
      </c>
      <c r="U321" s="20" t="inlineStr">
        <is>
          <t>None</t>
        </is>
      </c>
      <c r="V321" s="17" t="n"/>
      <c r="W321" s="16" t="n"/>
      <c r="X321" s="20" t="n"/>
      <c r="Y321" s="20" t="inlineStr">
        <is>
          <t>None</t>
        </is>
      </c>
      <c r="Z321" s="17" t="n"/>
      <c r="AA321" s="16" t="n"/>
      <c r="AB321" s="20" t="n"/>
      <c r="AC321" s="20" t="inlineStr">
        <is>
          <t>None</t>
        </is>
      </c>
      <c r="AD321" s="17" t="n"/>
      <c r="AE321" s="16" t="n"/>
      <c r="AF321" s="20" t="inlineStr">
        <is>
          <t>IC Anionen</t>
        </is>
      </c>
      <c r="AG321" s="20" t="inlineStr">
        <is>
          <t>None</t>
        </is>
      </c>
      <c r="AH321" s="17" t="n"/>
      <c r="AI321" s="16" t="n"/>
      <c r="AJ321" s="20" t="n"/>
      <c r="AK321" s="20" t="inlineStr">
        <is>
          <t>None</t>
        </is>
      </c>
      <c r="AL321" s="17" t="n"/>
      <c r="AM321" s="16" t="n"/>
      <c r="AN321" s="20" t="inlineStr">
        <is>
          <t>IC Anionen</t>
        </is>
      </c>
      <c r="AO321" s="20" t="inlineStr">
        <is>
          <t>None</t>
        </is>
      </c>
      <c r="AP321" s="17" t="n"/>
      <c r="AQ321" s="16" t="n"/>
      <c r="AR321" s="20" t="n"/>
      <c r="AS321" s="20" t="inlineStr">
        <is>
          <t>None</t>
        </is>
      </c>
      <c r="AT321" s="17" t="n"/>
      <c r="AU321" s="16" t="n"/>
      <c r="AV321" s="20" t="n"/>
      <c r="AW321" s="20" t="inlineStr">
        <is>
          <t>None</t>
        </is>
      </c>
      <c r="AX321" s="17" t="n"/>
      <c r="AY321" s="16" t="n"/>
      <c r="AZ321" s="20" t="inlineStr">
        <is>
          <t>IC Anionen</t>
        </is>
      </c>
      <c r="BA321" s="20" t="inlineStr">
        <is>
          <t>None</t>
        </is>
      </c>
      <c r="BB321" s="17" t="n"/>
      <c r="BC321" s="16" t="n"/>
      <c r="BD321" s="20" t="inlineStr">
        <is>
          <t>IC Kationen</t>
        </is>
      </c>
      <c r="BE321" s="20" t="inlineStr">
        <is>
          <t>None</t>
        </is>
      </c>
      <c r="BF321" s="17" t="n"/>
      <c r="BG321" s="16" t="n"/>
      <c r="BH321" s="20" t="inlineStr">
        <is>
          <t>IC Kationen</t>
        </is>
      </c>
      <c r="BI321" s="20" t="inlineStr">
        <is>
          <t>None</t>
        </is>
      </c>
      <c r="BJ321" s="17" t="n"/>
      <c r="BK321" s="16" t="n"/>
      <c r="BL321" s="20" t="inlineStr">
        <is>
          <t>IC Kationen</t>
        </is>
      </c>
      <c r="BM321" s="20" t="inlineStr">
        <is>
          <t>None</t>
        </is>
      </c>
      <c r="BN321" s="17" t="n"/>
      <c r="BO321" s="16" t="n"/>
      <c r="BP321" s="20" t="inlineStr">
        <is>
          <t>IC Kationen</t>
        </is>
      </c>
      <c r="BQ321" s="20" t="inlineStr">
        <is>
          <t>None</t>
        </is>
      </c>
      <c r="BR321" s="17" t="n"/>
      <c r="BS321" s="16" t="n"/>
      <c r="BT321" s="20" t="inlineStr">
        <is>
          <t>IC Kationen</t>
        </is>
      </c>
      <c r="BU321" s="20" t="inlineStr">
        <is>
          <t>None</t>
        </is>
      </c>
      <c r="BV321" s="17" t="n"/>
      <c r="BW321" s="16" t="n"/>
      <c r="BX321" s="20" t="n"/>
      <c r="BY321" s="20" t="inlineStr">
        <is>
          <t>None</t>
        </is>
      </c>
      <c r="BZ321" s="17" t="n"/>
      <c r="CA321" s="16" t="n"/>
      <c r="CB321" s="20" t="n"/>
      <c r="CC321" s="20" t="inlineStr">
        <is>
          <t>None</t>
        </is>
      </c>
      <c r="CD321" s="17" t="n"/>
      <c r="CE321" s="16" t="n"/>
      <c r="CF321" s="20" t="n"/>
      <c r="CG321" s="20" t="inlineStr">
        <is>
          <t>None</t>
        </is>
      </c>
      <c r="CH321" s="17" t="n"/>
      <c r="CI321" s="16" t="n"/>
      <c r="CJ321" s="20" t="n"/>
      <c r="CK321" s="20" t="inlineStr">
        <is>
          <t>None</t>
        </is>
      </c>
      <c r="CL321" s="17" t="n"/>
      <c r="CM321" s="16" t="n"/>
      <c r="CN321" s="20" t="inlineStr">
        <is>
          <t>SOP 45-34</t>
        </is>
      </c>
      <c r="CO321" s="20" t="inlineStr">
        <is>
          <t>None</t>
        </is>
      </c>
      <c r="CP321" s="17" t="n"/>
      <c r="CQ321" s="16" t="n"/>
      <c r="CR321" s="20" t="n"/>
      <c r="CS321" s="20" t="inlineStr">
        <is>
          <t>None</t>
        </is>
      </c>
      <c r="CT321" s="17" t="n"/>
      <c r="CU321" s="16" t="n"/>
      <c r="CV321" s="20" t="n"/>
      <c r="CW321" s="20" t="inlineStr">
        <is>
          <t>None</t>
        </is>
      </c>
      <c r="CX321" s="17" t="n"/>
      <c r="CY321" s="16" t="n"/>
      <c r="CZ321" s="20" t="inlineStr">
        <is>
          <t>WTW Multimeter 3430 with FDO 925</t>
        </is>
      </c>
      <c r="DA321" s="20" t="inlineStr">
        <is>
          <t>None</t>
        </is>
      </c>
      <c r="DB321" s="17" t="n"/>
      <c r="DC321" s="16" t="n"/>
      <c r="DD321" s="20" t="n"/>
      <c r="DE321" s="20" t="inlineStr">
        <is>
          <t>None</t>
        </is>
      </c>
      <c r="DF321" s="17" t="n"/>
      <c r="DG321" s="16" t="n"/>
      <c r="DH321" s="20" t="inlineStr">
        <is>
          <t>SOP 45-09</t>
        </is>
      </c>
      <c r="DI321" s="20" t="inlineStr">
        <is>
          <t>None</t>
        </is>
      </c>
      <c r="DJ321" s="17" t="n"/>
      <c r="DK321" s="16" t="n"/>
      <c r="DL321" s="20" t="inlineStr">
        <is>
          <t>SOP 45-09 (SOP muss noch angepasst werden für VSS)</t>
        </is>
      </c>
      <c r="DM321" s="20" t="inlineStr">
        <is>
          <t>None</t>
        </is>
      </c>
      <c r="DN321" s="17" t="n"/>
      <c r="DO321" s="16" t="n"/>
      <c r="DP321" s="20" t="inlineStr">
        <is>
          <t>IC Organic Acids</t>
        </is>
      </c>
      <c r="DQ321" s="20" t="inlineStr">
        <is>
          <t>None</t>
        </is>
      </c>
      <c r="DR321" s="17" t="n"/>
      <c r="DS321" s="16" t="n"/>
      <c r="DT321" s="20" t="inlineStr">
        <is>
          <t>IC Organic Acids</t>
        </is>
      </c>
      <c r="DU321" s="20" t="inlineStr">
        <is>
          <t>None</t>
        </is>
      </c>
      <c r="DV321" s="17" t="n"/>
      <c r="DW321" s="16" t="n"/>
      <c r="DX321" s="20" t="inlineStr">
        <is>
          <t>IC Organic Acids</t>
        </is>
      </c>
      <c r="DY321" s="20" t="inlineStr">
        <is>
          <t>None</t>
        </is>
      </c>
      <c r="DZ321" s="17" t="n"/>
      <c r="EA321" s="16" t="n"/>
      <c r="EB321" s="20" t="inlineStr">
        <is>
          <t>IC Organic Acids</t>
        </is>
      </c>
      <c r="EC321" s="20" t="inlineStr">
        <is>
          <t>None</t>
        </is>
      </c>
      <c r="ED321" s="17" t="n"/>
      <c r="EE321" s="16" t="n"/>
      <c r="EF321" s="20" t="inlineStr">
        <is>
          <t>IC Organic Acids</t>
        </is>
      </c>
      <c r="EG321" s="20" t="inlineStr">
        <is>
          <t>None</t>
        </is>
      </c>
      <c r="EH321" s="17" t="n"/>
      <c r="EI321" s="16" t="n"/>
      <c r="EJ321" s="20" t="inlineStr">
        <is>
          <t>IC Organic Acids</t>
        </is>
      </c>
      <c r="EK321" s="20" t="inlineStr">
        <is>
          <t>None</t>
        </is>
      </c>
      <c r="EL321" s="17" t="n"/>
      <c r="EM321" s="16" t="n"/>
      <c r="EN321" s="20" t="inlineStr">
        <is>
          <t>IC Organic Acids</t>
        </is>
      </c>
      <c r="EO321" s="20" t="inlineStr">
        <is>
          <t>None</t>
        </is>
      </c>
      <c r="EP321" s="17" t="n"/>
      <c r="EQ321" s="16" t="n"/>
      <c r="ER321" s="20" t="inlineStr">
        <is>
          <t>IC Organic Acids</t>
        </is>
      </c>
      <c r="ES321" s="20" t="inlineStr">
        <is>
          <t>None</t>
        </is>
      </c>
      <c r="ET321" s="17" t="n"/>
      <c r="EU321" s="16" t="n"/>
      <c r="EV321" s="20" t="inlineStr">
        <is>
          <t>LC-MS</t>
        </is>
      </c>
      <c r="EW321" s="20" t="inlineStr">
        <is>
          <t>None</t>
        </is>
      </c>
      <c r="EX321" s="17" t="n"/>
      <c r="EY321" s="21" t="n"/>
      <c r="EZ321">
        <f>CONCATENATE(A321,B321)</f>
        <v/>
      </c>
      <c r="FA321">
        <f>CONCATENATE(SamplesX!A321,SamplesX!B321)</f>
        <v/>
      </c>
      <c r="FC321">
        <f>MATCH(EZ321,FA1:FA1008,0)</f>
        <v/>
      </c>
    </row>
    <row r="322">
      <c r="A322" s="16" t="inlineStr">
        <is>
          <t>BP</t>
        </is>
      </c>
      <c r="B322" s="17" t="inlineStr">
        <is>
          <t>25314</t>
        </is>
      </c>
      <c r="C322" s="10">
        <f>IF(ISNUMBER(FC322),INDIRECT("SamplesX!C"&amp;FC322),IF(ISNUMBER(FD322),INDIRECT("SamplesY!C"&amp;FD322),""))</f>
        <v/>
      </c>
      <c r="D322" s="12">
        <f>IF(ISNUMBER(FC322),INDIRECT("SamplesX!D"&amp;FC322),IF(ISNUMBER(FD322),INDIRECT("SamplesY!D"&amp;FD322),""))</f>
        <v/>
      </c>
      <c r="E322" s="12">
        <f>IF(ISNUMBER(FC322),INDIRECT("SamplesX!E"&amp;FC322),IF(ISNUMBER(FD322),INDIRECT("SamplesY!E"&amp;FD322),""))</f>
        <v/>
      </c>
      <c r="F322" s="11">
        <f>IF(ISNUMBER(FC322),INDIRECT("SamplesX!F"&amp;FC322),IF(ISNUMBER(FD322),INDIRECT("SamplesY!F"&amp;FD322),""))</f>
        <v/>
      </c>
      <c r="G322" s="18">
        <f>IF(ISNUMBER(FC322),INDIRECT("SamplesX!G"&amp;FC322),IF(ISNUMBER(FD322),INDIRECT("SamplesY!G"&amp;FD322),""))</f>
        <v/>
      </c>
      <c r="H322" s="19">
        <f>IF(ISNUMBER(FC322),INDIRECT("SamplesX!H"&amp;FC322),IF(ISNUMBER(FD322),INDIRECT("SamplesY!H"&amp;FD322),""))</f>
        <v/>
      </c>
      <c r="I322" s="16" t="n"/>
      <c r="J322" s="16" t="n"/>
      <c r="K322" s="16" t="n"/>
      <c r="L322" s="20" t="n"/>
      <c r="M322" s="20" t="inlineStr">
        <is>
          <t>None</t>
        </is>
      </c>
      <c r="N322" s="17" t="n"/>
      <c r="O322" s="16" t="n"/>
      <c r="P322" s="20" t="inlineStr">
        <is>
          <t>Shimadzu TOC-L</t>
        </is>
      </c>
      <c r="Q322" s="20" t="inlineStr">
        <is>
          <t>None</t>
        </is>
      </c>
      <c r="R322" s="17" t="n"/>
      <c r="S322" s="16" t="n"/>
      <c r="T322" s="20" t="inlineStr">
        <is>
          <t>Shimadzu TOC-L</t>
        </is>
      </c>
      <c r="U322" s="20" t="inlineStr">
        <is>
          <t>None</t>
        </is>
      </c>
      <c r="V322" s="17" t="n"/>
      <c r="W322" s="16" t="n"/>
      <c r="X322" s="20" t="n"/>
      <c r="Y322" s="20" t="inlineStr">
        <is>
          <t>None</t>
        </is>
      </c>
      <c r="Z322" s="17" t="n"/>
      <c r="AA322" s="16" t="n"/>
      <c r="AB322" s="20" t="n"/>
      <c r="AC322" s="20" t="inlineStr">
        <is>
          <t>None</t>
        </is>
      </c>
      <c r="AD322" s="17" t="n"/>
      <c r="AE322" s="16" t="n"/>
      <c r="AF322" s="20" t="inlineStr">
        <is>
          <t>IC Anionen</t>
        </is>
      </c>
      <c r="AG322" s="20" t="inlineStr">
        <is>
          <t>None</t>
        </is>
      </c>
      <c r="AH322" s="17" t="n"/>
      <c r="AI322" s="16" t="n"/>
      <c r="AJ322" s="20" t="n"/>
      <c r="AK322" s="20" t="inlineStr">
        <is>
          <t>None</t>
        </is>
      </c>
      <c r="AL322" s="17" t="n"/>
      <c r="AM322" s="16" t="n"/>
      <c r="AN322" s="20" t="inlineStr">
        <is>
          <t>IC Anionen</t>
        </is>
      </c>
      <c r="AO322" s="20" t="inlineStr">
        <is>
          <t>None</t>
        </is>
      </c>
      <c r="AP322" s="17" t="n"/>
      <c r="AQ322" s="16" t="n"/>
      <c r="AR322" s="20" t="n"/>
      <c r="AS322" s="20" t="inlineStr">
        <is>
          <t>None</t>
        </is>
      </c>
      <c r="AT322" s="17" t="n"/>
      <c r="AU322" s="16" t="n"/>
      <c r="AV322" s="20" t="n"/>
      <c r="AW322" s="20" t="inlineStr">
        <is>
          <t>None</t>
        </is>
      </c>
      <c r="AX322" s="17" t="n"/>
      <c r="AY322" s="16" t="n"/>
      <c r="AZ322" s="20" t="inlineStr">
        <is>
          <t>IC Anionen</t>
        </is>
      </c>
      <c r="BA322" s="20" t="inlineStr">
        <is>
          <t>None</t>
        </is>
      </c>
      <c r="BB322" s="17" t="n"/>
      <c r="BC322" s="16" t="n"/>
      <c r="BD322" s="20" t="inlineStr">
        <is>
          <t>IC Kationen</t>
        </is>
      </c>
      <c r="BE322" s="20" t="inlineStr">
        <is>
          <t>None</t>
        </is>
      </c>
      <c r="BF322" s="17" t="n"/>
      <c r="BG322" s="16" t="n"/>
      <c r="BH322" s="20" t="inlineStr">
        <is>
          <t>IC Kationen</t>
        </is>
      </c>
      <c r="BI322" s="20" t="inlineStr">
        <is>
          <t>None</t>
        </is>
      </c>
      <c r="BJ322" s="17" t="n"/>
      <c r="BK322" s="16" t="n"/>
      <c r="BL322" s="20" t="inlineStr">
        <is>
          <t>IC Kationen</t>
        </is>
      </c>
      <c r="BM322" s="20" t="inlineStr">
        <is>
          <t>None</t>
        </is>
      </c>
      <c r="BN322" s="17" t="n"/>
      <c r="BO322" s="16" t="n"/>
      <c r="BP322" s="20" t="inlineStr">
        <is>
          <t>IC Kationen</t>
        </is>
      </c>
      <c r="BQ322" s="20" t="inlineStr">
        <is>
          <t>None</t>
        </is>
      </c>
      <c r="BR322" s="17" t="n"/>
      <c r="BS322" s="16" t="n"/>
      <c r="BT322" s="20" t="inlineStr">
        <is>
          <t>IC Kationen</t>
        </is>
      </c>
      <c r="BU322" s="20" t="inlineStr">
        <is>
          <t>None</t>
        </is>
      </c>
      <c r="BV322" s="17" t="n"/>
      <c r="BW322" s="16" t="n"/>
      <c r="BX322" s="20" t="n"/>
      <c r="BY322" s="20" t="inlineStr">
        <is>
          <t>None</t>
        </is>
      </c>
      <c r="BZ322" s="17" t="n"/>
      <c r="CA322" s="16" t="n"/>
      <c r="CB322" s="20" t="n"/>
      <c r="CC322" s="20" t="inlineStr">
        <is>
          <t>None</t>
        </is>
      </c>
      <c r="CD322" s="17" t="n"/>
      <c r="CE322" s="16" t="n"/>
      <c r="CF322" s="20" t="n"/>
      <c r="CG322" s="20" t="inlineStr">
        <is>
          <t>None</t>
        </is>
      </c>
      <c r="CH322" s="17" t="n"/>
      <c r="CI322" s="16" t="n"/>
      <c r="CJ322" s="20" t="n"/>
      <c r="CK322" s="20" t="inlineStr">
        <is>
          <t>None</t>
        </is>
      </c>
      <c r="CL322" s="17" t="n"/>
      <c r="CM322" s="16" t="n"/>
      <c r="CN322" s="20" t="inlineStr">
        <is>
          <t>SOP 45-34</t>
        </is>
      </c>
      <c r="CO322" s="20" t="inlineStr">
        <is>
          <t>None</t>
        </is>
      </c>
      <c r="CP322" s="17" t="n"/>
      <c r="CQ322" s="16" t="n"/>
      <c r="CR322" s="20" t="n"/>
      <c r="CS322" s="20" t="inlineStr">
        <is>
          <t>None</t>
        </is>
      </c>
      <c r="CT322" s="17" t="n"/>
      <c r="CU322" s="16" t="n"/>
      <c r="CV322" s="20" t="n"/>
      <c r="CW322" s="20" t="inlineStr">
        <is>
          <t>None</t>
        </is>
      </c>
      <c r="CX322" s="17" t="n"/>
      <c r="CY322" s="16" t="n"/>
      <c r="CZ322" s="20" t="inlineStr">
        <is>
          <t>WTW Multimeter 3430 with FDO 925</t>
        </is>
      </c>
      <c r="DA322" s="20" t="inlineStr">
        <is>
          <t>None</t>
        </is>
      </c>
      <c r="DB322" s="17" t="n"/>
      <c r="DC322" s="16" t="n"/>
      <c r="DD322" s="20" t="n"/>
      <c r="DE322" s="20" t="inlineStr">
        <is>
          <t>None</t>
        </is>
      </c>
      <c r="DF322" s="17" t="n"/>
      <c r="DG322" s="16" t="n"/>
      <c r="DH322" s="20" t="inlineStr">
        <is>
          <t>SOP 45-09</t>
        </is>
      </c>
      <c r="DI322" s="20" t="inlineStr">
        <is>
          <t>None</t>
        </is>
      </c>
      <c r="DJ322" s="17" t="n"/>
      <c r="DK322" s="16" t="n"/>
      <c r="DL322" s="20" t="inlineStr">
        <is>
          <t>SOP 45-09 (SOP muss noch angepasst werden für VSS)</t>
        </is>
      </c>
      <c r="DM322" s="20" t="inlineStr">
        <is>
          <t>None</t>
        </is>
      </c>
      <c r="DN322" s="17" t="n"/>
      <c r="DO322" s="16" t="n"/>
      <c r="DP322" s="20" t="inlineStr">
        <is>
          <t>IC Organic Acids</t>
        </is>
      </c>
      <c r="DQ322" s="20" t="inlineStr">
        <is>
          <t>None</t>
        </is>
      </c>
      <c r="DR322" s="17" t="n"/>
      <c r="DS322" s="16" t="n"/>
      <c r="DT322" s="20" t="inlineStr">
        <is>
          <t>IC Organic Acids</t>
        </is>
      </c>
      <c r="DU322" s="20" t="inlineStr">
        <is>
          <t>None</t>
        </is>
      </c>
      <c r="DV322" s="17" t="n"/>
      <c r="DW322" s="16" t="n"/>
      <c r="DX322" s="20" t="inlineStr">
        <is>
          <t>IC Organic Acids</t>
        </is>
      </c>
      <c r="DY322" s="20" t="inlineStr">
        <is>
          <t>None</t>
        </is>
      </c>
      <c r="DZ322" s="17" t="n"/>
      <c r="EA322" s="16" t="n"/>
      <c r="EB322" s="20" t="inlineStr">
        <is>
          <t>IC Organic Acids</t>
        </is>
      </c>
      <c r="EC322" s="20" t="inlineStr">
        <is>
          <t>None</t>
        </is>
      </c>
      <c r="ED322" s="17" t="n"/>
      <c r="EE322" s="16" t="n"/>
      <c r="EF322" s="20" t="inlineStr">
        <is>
          <t>IC Organic Acids</t>
        </is>
      </c>
      <c r="EG322" s="20" t="inlineStr">
        <is>
          <t>None</t>
        </is>
      </c>
      <c r="EH322" s="17" t="n"/>
      <c r="EI322" s="16" t="n"/>
      <c r="EJ322" s="20" t="inlineStr">
        <is>
          <t>IC Organic Acids</t>
        </is>
      </c>
      <c r="EK322" s="20" t="inlineStr">
        <is>
          <t>None</t>
        </is>
      </c>
      <c r="EL322" s="17" t="n"/>
      <c r="EM322" s="16" t="n"/>
      <c r="EN322" s="20" t="inlineStr">
        <is>
          <t>IC Organic Acids</t>
        </is>
      </c>
      <c r="EO322" s="20" t="inlineStr">
        <is>
          <t>None</t>
        </is>
      </c>
      <c r="EP322" s="17" t="n"/>
      <c r="EQ322" s="16" t="n"/>
      <c r="ER322" s="20" t="inlineStr">
        <is>
          <t>IC Organic Acids</t>
        </is>
      </c>
      <c r="ES322" s="20" t="inlineStr">
        <is>
          <t>None</t>
        </is>
      </c>
      <c r="ET322" s="17" t="n"/>
      <c r="EU322" s="16" t="n"/>
      <c r="EV322" s="20" t="inlineStr">
        <is>
          <t>LC-MS</t>
        </is>
      </c>
      <c r="EW322" s="20" t="inlineStr">
        <is>
          <t>None</t>
        </is>
      </c>
      <c r="EX322" s="17" t="n"/>
      <c r="EY322" s="21" t="n"/>
      <c r="EZ322">
        <f>CONCATENATE(A322,B322)</f>
        <v/>
      </c>
      <c r="FA322">
        <f>CONCATENATE(SamplesX!A322,SamplesX!B322)</f>
        <v/>
      </c>
      <c r="FC322">
        <f>MATCH(EZ322,FA1:FA1008,0)</f>
        <v/>
      </c>
    </row>
    <row r="323">
      <c r="A323" s="16" t="inlineStr">
        <is>
          <t>BP</t>
        </is>
      </c>
      <c r="B323" s="17" t="inlineStr">
        <is>
          <t>25315</t>
        </is>
      </c>
      <c r="C323" s="10">
        <f>IF(ISNUMBER(FC323),INDIRECT("SamplesX!C"&amp;FC323),IF(ISNUMBER(FD323),INDIRECT("SamplesY!C"&amp;FD323),""))</f>
        <v/>
      </c>
      <c r="D323" s="12">
        <f>IF(ISNUMBER(FC323),INDIRECT("SamplesX!D"&amp;FC323),IF(ISNUMBER(FD323),INDIRECT("SamplesY!D"&amp;FD323),""))</f>
        <v/>
      </c>
      <c r="E323" s="12">
        <f>IF(ISNUMBER(FC323),INDIRECT("SamplesX!E"&amp;FC323),IF(ISNUMBER(FD323),INDIRECT("SamplesY!E"&amp;FD323),""))</f>
        <v/>
      </c>
      <c r="F323" s="11">
        <f>IF(ISNUMBER(FC323),INDIRECT("SamplesX!F"&amp;FC323),IF(ISNUMBER(FD323),INDIRECT("SamplesY!F"&amp;FD323),""))</f>
        <v/>
      </c>
      <c r="G323" s="18">
        <f>IF(ISNUMBER(FC323),INDIRECT("SamplesX!G"&amp;FC323),IF(ISNUMBER(FD323),INDIRECT("SamplesY!G"&amp;FD323),""))</f>
        <v/>
      </c>
      <c r="H323" s="19">
        <f>IF(ISNUMBER(FC323),INDIRECT("SamplesX!H"&amp;FC323),IF(ISNUMBER(FD323),INDIRECT("SamplesY!H"&amp;FD323),""))</f>
        <v/>
      </c>
      <c r="I323" s="16" t="n"/>
      <c r="J323" s="16" t="n"/>
      <c r="K323" s="16" t="n"/>
      <c r="L323" s="20" t="n"/>
      <c r="M323" s="20" t="inlineStr">
        <is>
          <t>None</t>
        </is>
      </c>
      <c r="N323" s="17" t="n"/>
      <c r="O323" s="16" t="n"/>
      <c r="P323" s="20" t="inlineStr">
        <is>
          <t>Shimadzu TOC-L</t>
        </is>
      </c>
      <c r="Q323" s="20" t="inlineStr">
        <is>
          <t>None</t>
        </is>
      </c>
      <c r="R323" s="17" t="n"/>
      <c r="S323" s="16" t="n"/>
      <c r="T323" s="20" t="inlineStr">
        <is>
          <t>Shimadzu TOC-L</t>
        </is>
      </c>
      <c r="U323" s="20" t="inlineStr">
        <is>
          <t>None</t>
        </is>
      </c>
      <c r="V323" s="17" t="n"/>
      <c r="W323" s="16" t="n"/>
      <c r="X323" s="20" t="n"/>
      <c r="Y323" s="20" t="inlineStr">
        <is>
          <t>None</t>
        </is>
      </c>
      <c r="Z323" s="17" t="n"/>
      <c r="AA323" s="16" t="n"/>
      <c r="AB323" s="20" t="n"/>
      <c r="AC323" s="20" t="inlineStr">
        <is>
          <t>None</t>
        </is>
      </c>
      <c r="AD323" s="17" t="n"/>
      <c r="AE323" s="16" t="n"/>
      <c r="AF323" s="20" t="inlineStr">
        <is>
          <t>IC Anionen</t>
        </is>
      </c>
      <c r="AG323" s="20" t="inlineStr">
        <is>
          <t>None</t>
        </is>
      </c>
      <c r="AH323" s="17" t="n"/>
      <c r="AI323" s="16" t="n"/>
      <c r="AJ323" s="20" t="n"/>
      <c r="AK323" s="20" t="inlineStr">
        <is>
          <t>None</t>
        </is>
      </c>
      <c r="AL323" s="17" t="n"/>
      <c r="AM323" s="16" t="n"/>
      <c r="AN323" s="20" t="inlineStr">
        <is>
          <t>IC Anionen</t>
        </is>
      </c>
      <c r="AO323" s="20" t="inlineStr">
        <is>
          <t>None</t>
        </is>
      </c>
      <c r="AP323" s="17" t="n"/>
      <c r="AQ323" s="16" t="n"/>
      <c r="AR323" s="20" t="n"/>
      <c r="AS323" s="20" t="inlineStr">
        <is>
          <t>None</t>
        </is>
      </c>
      <c r="AT323" s="17" t="n"/>
      <c r="AU323" s="16" t="n"/>
      <c r="AV323" s="20" t="n"/>
      <c r="AW323" s="20" t="inlineStr">
        <is>
          <t>None</t>
        </is>
      </c>
      <c r="AX323" s="17" t="n"/>
      <c r="AY323" s="16" t="n"/>
      <c r="AZ323" s="20" t="inlineStr">
        <is>
          <t>IC Anionen</t>
        </is>
      </c>
      <c r="BA323" s="20" t="inlineStr">
        <is>
          <t>None</t>
        </is>
      </c>
      <c r="BB323" s="17" t="n"/>
      <c r="BC323" s="16" t="n"/>
      <c r="BD323" s="20" t="inlineStr">
        <is>
          <t>IC Kationen</t>
        </is>
      </c>
      <c r="BE323" s="20" t="inlineStr">
        <is>
          <t>None</t>
        </is>
      </c>
      <c r="BF323" s="17" t="n"/>
      <c r="BG323" s="16" t="n"/>
      <c r="BH323" s="20" t="inlineStr">
        <is>
          <t>IC Kationen</t>
        </is>
      </c>
      <c r="BI323" s="20" t="inlineStr">
        <is>
          <t>None</t>
        </is>
      </c>
      <c r="BJ323" s="17" t="n"/>
      <c r="BK323" s="16" t="n"/>
      <c r="BL323" s="20" t="inlineStr">
        <is>
          <t>IC Kationen</t>
        </is>
      </c>
      <c r="BM323" s="20" t="inlineStr">
        <is>
          <t>None</t>
        </is>
      </c>
      <c r="BN323" s="17" t="n"/>
      <c r="BO323" s="16" t="n"/>
      <c r="BP323" s="20" t="inlineStr">
        <is>
          <t>IC Kationen</t>
        </is>
      </c>
      <c r="BQ323" s="20" t="inlineStr">
        <is>
          <t>None</t>
        </is>
      </c>
      <c r="BR323" s="17" t="n"/>
      <c r="BS323" s="16" t="n"/>
      <c r="BT323" s="20" t="inlineStr">
        <is>
          <t>IC Kationen</t>
        </is>
      </c>
      <c r="BU323" s="20" t="inlineStr">
        <is>
          <t>None</t>
        </is>
      </c>
      <c r="BV323" s="17" t="n"/>
      <c r="BW323" s="16" t="n"/>
      <c r="BX323" s="20" t="n"/>
      <c r="BY323" s="20" t="inlineStr">
        <is>
          <t>None</t>
        </is>
      </c>
      <c r="BZ323" s="17" t="n"/>
      <c r="CA323" s="16" t="n"/>
      <c r="CB323" s="20" t="n"/>
      <c r="CC323" s="20" t="inlineStr">
        <is>
          <t>None</t>
        </is>
      </c>
      <c r="CD323" s="17" t="n"/>
      <c r="CE323" s="16" t="n"/>
      <c r="CF323" s="20" t="n"/>
      <c r="CG323" s="20" t="inlineStr">
        <is>
          <t>None</t>
        </is>
      </c>
      <c r="CH323" s="17" t="n"/>
      <c r="CI323" s="16" t="n"/>
      <c r="CJ323" s="20" t="n"/>
      <c r="CK323" s="20" t="inlineStr">
        <is>
          <t>None</t>
        </is>
      </c>
      <c r="CL323" s="17" t="n"/>
      <c r="CM323" s="16" t="n"/>
      <c r="CN323" s="20" t="inlineStr">
        <is>
          <t>SOP 45-34</t>
        </is>
      </c>
      <c r="CO323" s="20" t="inlineStr">
        <is>
          <t>None</t>
        </is>
      </c>
      <c r="CP323" s="17" t="n"/>
      <c r="CQ323" s="16" t="n"/>
      <c r="CR323" s="20" t="n"/>
      <c r="CS323" s="20" t="inlineStr">
        <is>
          <t>None</t>
        </is>
      </c>
      <c r="CT323" s="17" t="n"/>
      <c r="CU323" s="16" t="n"/>
      <c r="CV323" s="20" t="n"/>
      <c r="CW323" s="20" t="inlineStr">
        <is>
          <t>None</t>
        </is>
      </c>
      <c r="CX323" s="17" t="n"/>
      <c r="CY323" s="16" t="n"/>
      <c r="CZ323" s="20" t="inlineStr">
        <is>
          <t>WTW Multimeter 3430 with FDO 925</t>
        </is>
      </c>
      <c r="DA323" s="20" t="inlineStr">
        <is>
          <t>None</t>
        </is>
      </c>
      <c r="DB323" s="17" t="n"/>
      <c r="DC323" s="16" t="n"/>
      <c r="DD323" s="20" t="n"/>
      <c r="DE323" s="20" t="inlineStr">
        <is>
          <t>None</t>
        </is>
      </c>
      <c r="DF323" s="17" t="n"/>
      <c r="DG323" s="16" t="n"/>
      <c r="DH323" s="20" t="inlineStr">
        <is>
          <t>SOP 45-09</t>
        </is>
      </c>
      <c r="DI323" s="20" t="inlineStr">
        <is>
          <t>None</t>
        </is>
      </c>
      <c r="DJ323" s="17" t="n"/>
      <c r="DK323" s="16" t="n"/>
      <c r="DL323" s="20" t="inlineStr">
        <is>
          <t>SOP 45-09 (SOP muss noch angepasst werden für VSS)</t>
        </is>
      </c>
      <c r="DM323" s="20" t="inlineStr">
        <is>
          <t>None</t>
        </is>
      </c>
      <c r="DN323" s="17" t="n"/>
      <c r="DO323" s="16" t="n"/>
      <c r="DP323" s="20" t="inlineStr">
        <is>
          <t>IC Organic Acids</t>
        </is>
      </c>
      <c r="DQ323" s="20" t="inlineStr">
        <is>
          <t>None</t>
        </is>
      </c>
      <c r="DR323" s="17" t="n"/>
      <c r="DS323" s="16" t="n"/>
      <c r="DT323" s="20" t="inlineStr">
        <is>
          <t>IC Organic Acids</t>
        </is>
      </c>
      <c r="DU323" s="20" t="inlineStr">
        <is>
          <t>None</t>
        </is>
      </c>
      <c r="DV323" s="17" t="n"/>
      <c r="DW323" s="16" t="n"/>
      <c r="DX323" s="20" t="inlineStr">
        <is>
          <t>IC Organic Acids</t>
        </is>
      </c>
      <c r="DY323" s="20" t="inlineStr">
        <is>
          <t>None</t>
        </is>
      </c>
      <c r="DZ323" s="17" t="n"/>
      <c r="EA323" s="16" t="n"/>
      <c r="EB323" s="20" t="inlineStr">
        <is>
          <t>IC Organic Acids</t>
        </is>
      </c>
      <c r="EC323" s="20" t="inlineStr">
        <is>
          <t>None</t>
        </is>
      </c>
      <c r="ED323" s="17" t="n"/>
      <c r="EE323" s="16" t="n"/>
      <c r="EF323" s="20" t="inlineStr">
        <is>
          <t>IC Organic Acids</t>
        </is>
      </c>
      <c r="EG323" s="20" t="inlineStr">
        <is>
          <t>None</t>
        </is>
      </c>
      <c r="EH323" s="17" t="n"/>
      <c r="EI323" s="16" t="n"/>
      <c r="EJ323" s="20" t="inlineStr">
        <is>
          <t>IC Organic Acids</t>
        </is>
      </c>
      <c r="EK323" s="20" t="inlineStr">
        <is>
          <t>None</t>
        </is>
      </c>
      <c r="EL323" s="17" t="n"/>
      <c r="EM323" s="16" t="n"/>
      <c r="EN323" s="20" t="inlineStr">
        <is>
          <t>IC Organic Acids</t>
        </is>
      </c>
      <c r="EO323" s="20" t="inlineStr">
        <is>
          <t>None</t>
        </is>
      </c>
      <c r="EP323" s="17" t="n"/>
      <c r="EQ323" s="16" t="n"/>
      <c r="ER323" s="20" t="inlineStr">
        <is>
          <t>IC Organic Acids</t>
        </is>
      </c>
      <c r="ES323" s="20" t="inlineStr">
        <is>
          <t>None</t>
        </is>
      </c>
      <c r="ET323" s="17" t="n"/>
      <c r="EU323" s="16" t="n"/>
      <c r="EV323" s="20" t="inlineStr">
        <is>
          <t>LC-MS</t>
        </is>
      </c>
      <c r="EW323" s="20" t="inlineStr">
        <is>
          <t>None</t>
        </is>
      </c>
      <c r="EX323" s="17" t="n"/>
      <c r="EY323" s="21" t="n"/>
      <c r="EZ323">
        <f>CONCATENATE(A323,B323)</f>
        <v/>
      </c>
      <c r="FA323">
        <f>CONCATENATE(SamplesX!A323,SamplesX!B323)</f>
        <v/>
      </c>
      <c r="FC323">
        <f>MATCH(EZ323,FA1:FA1008,0)</f>
        <v/>
      </c>
    </row>
    <row r="324">
      <c r="A324" s="16" t="inlineStr">
        <is>
          <t>BP</t>
        </is>
      </c>
      <c r="B324" s="17" t="inlineStr">
        <is>
          <t>25316</t>
        </is>
      </c>
      <c r="C324" s="10">
        <f>IF(ISNUMBER(FC324),INDIRECT("SamplesX!C"&amp;FC324),IF(ISNUMBER(FD324),INDIRECT("SamplesY!C"&amp;FD324),""))</f>
        <v/>
      </c>
      <c r="D324" s="12">
        <f>IF(ISNUMBER(FC324),INDIRECT("SamplesX!D"&amp;FC324),IF(ISNUMBER(FD324),INDIRECT("SamplesY!D"&amp;FD324),""))</f>
        <v/>
      </c>
      <c r="E324" s="12">
        <f>IF(ISNUMBER(FC324),INDIRECT("SamplesX!E"&amp;FC324),IF(ISNUMBER(FD324),INDIRECT("SamplesY!E"&amp;FD324),""))</f>
        <v/>
      </c>
      <c r="F324" s="11">
        <f>IF(ISNUMBER(FC324),INDIRECT("SamplesX!F"&amp;FC324),IF(ISNUMBER(FD324),INDIRECT("SamplesY!F"&amp;FD324),""))</f>
        <v/>
      </c>
      <c r="G324" s="18">
        <f>IF(ISNUMBER(FC324),INDIRECT("SamplesX!G"&amp;FC324),IF(ISNUMBER(FD324),INDIRECT("SamplesY!G"&amp;FD324),""))</f>
        <v/>
      </c>
      <c r="H324" s="19">
        <f>IF(ISNUMBER(FC324),INDIRECT("SamplesX!H"&amp;FC324),IF(ISNUMBER(FD324),INDIRECT("SamplesY!H"&amp;FD324),""))</f>
        <v/>
      </c>
      <c r="I324" s="16" t="n"/>
      <c r="J324" s="16" t="n"/>
      <c r="K324" s="16" t="n"/>
      <c r="L324" s="20" t="n"/>
      <c r="M324" s="20" t="inlineStr">
        <is>
          <t>None</t>
        </is>
      </c>
      <c r="N324" s="17" t="n"/>
      <c r="O324" s="16" t="n"/>
      <c r="P324" s="20" t="inlineStr">
        <is>
          <t>Shimadzu TOC-L</t>
        </is>
      </c>
      <c r="Q324" s="20" t="inlineStr">
        <is>
          <t>None</t>
        </is>
      </c>
      <c r="R324" s="17" t="n"/>
      <c r="S324" s="16" t="n"/>
      <c r="T324" s="20" t="inlineStr">
        <is>
          <t>Shimadzu TOC-L</t>
        </is>
      </c>
      <c r="U324" s="20" t="inlineStr">
        <is>
          <t>None</t>
        </is>
      </c>
      <c r="V324" s="17" t="n"/>
      <c r="W324" s="16" t="n"/>
      <c r="X324" s="20" t="n"/>
      <c r="Y324" s="20" t="inlineStr">
        <is>
          <t>None</t>
        </is>
      </c>
      <c r="Z324" s="17" t="n"/>
      <c r="AA324" s="16" t="n"/>
      <c r="AB324" s="20" t="n"/>
      <c r="AC324" s="20" t="inlineStr">
        <is>
          <t>None</t>
        </is>
      </c>
      <c r="AD324" s="17" t="n"/>
      <c r="AE324" s="16" t="n"/>
      <c r="AF324" s="20" t="inlineStr">
        <is>
          <t>IC Anionen</t>
        </is>
      </c>
      <c r="AG324" s="20" t="inlineStr">
        <is>
          <t>None</t>
        </is>
      </c>
      <c r="AH324" s="17" t="n"/>
      <c r="AI324" s="16" t="n"/>
      <c r="AJ324" s="20" t="n"/>
      <c r="AK324" s="20" t="inlineStr">
        <is>
          <t>None</t>
        </is>
      </c>
      <c r="AL324" s="17" t="n"/>
      <c r="AM324" s="16" t="n"/>
      <c r="AN324" s="20" t="inlineStr">
        <is>
          <t>IC Anionen</t>
        </is>
      </c>
      <c r="AO324" s="20" t="inlineStr">
        <is>
          <t>None</t>
        </is>
      </c>
      <c r="AP324" s="17" t="n"/>
      <c r="AQ324" s="16" t="n"/>
      <c r="AR324" s="20" t="n"/>
      <c r="AS324" s="20" t="inlineStr">
        <is>
          <t>None</t>
        </is>
      </c>
      <c r="AT324" s="17" t="n"/>
      <c r="AU324" s="16" t="n"/>
      <c r="AV324" s="20" t="n"/>
      <c r="AW324" s="20" t="inlineStr">
        <is>
          <t>None</t>
        </is>
      </c>
      <c r="AX324" s="17" t="n"/>
      <c r="AY324" s="16" t="n"/>
      <c r="AZ324" s="20" t="inlineStr">
        <is>
          <t>IC Anionen</t>
        </is>
      </c>
      <c r="BA324" s="20" t="inlineStr">
        <is>
          <t>None</t>
        </is>
      </c>
      <c r="BB324" s="17" t="n"/>
      <c r="BC324" s="16" t="n"/>
      <c r="BD324" s="20" t="inlineStr">
        <is>
          <t>IC Kationen</t>
        </is>
      </c>
      <c r="BE324" s="20" t="inlineStr">
        <is>
          <t>None</t>
        </is>
      </c>
      <c r="BF324" s="17" t="n"/>
      <c r="BG324" s="16" t="n"/>
      <c r="BH324" s="20" t="inlineStr">
        <is>
          <t>IC Kationen</t>
        </is>
      </c>
      <c r="BI324" s="20" t="inlineStr">
        <is>
          <t>None</t>
        </is>
      </c>
      <c r="BJ324" s="17" t="n"/>
      <c r="BK324" s="16" t="n"/>
      <c r="BL324" s="20" t="inlineStr">
        <is>
          <t>IC Kationen</t>
        </is>
      </c>
      <c r="BM324" s="20" t="inlineStr">
        <is>
          <t>None</t>
        </is>
      </c>
      <c r="BN324" s="17" t="n"/>
      <c r="BO324" s="16" t="n"/>
      <c r="BP324" s="20" t="inlineStr">
        <is>
          <t>IC Kationen</t>
        </is>
      </c>
      <c r="BQ324" s="20" t="inlineStr">
        <is>
          <t>None</t>
        </is>
      </c>
      <c r="BR324" s="17" t="n"/>
      <c r="BS324" s="16" t="n"/>
      <c r="BT324" s="20" t="inlineStr">
        <is>
          <t>IC Kationen</t>
        </is>
      </c>
      <c r="BU324" s="20" t="inlineStr">
        <is>
          <t>None</t>
        </is>
      </c>
      <c r="BV324" s="17" t="n"/>
      <c r="BW324" s="16" t="n"/>
      <c r="BX324" s="20" t="n"/>
      <c r="BY324" s="20" t="inlineStr">
        <is>
          <t>None</t>
        </is>
      </c>
      <c r="BZ324" s="17" t="n"/>
      <c r="CA324" s="16" t="n"/>
      <c r="CB324" s="20" t="n"/>
      <c r="CC324" s="20" t="inlineStr">
        <is>
          <t>None</t>
        </is>
      </c>
      <c r="CD324" s="17" t="n"/>
      <c r="CE324" s="16" t="n"/>
      <c r="CF324" s="20" t="n"/>
      <c r="CG324" s="20" t="inlineStr">
        <is>
          <t>None</t>
        </is>
      </c>
      <c r="CH324" s="17" t="n"/>
      <c r="CI324" s="16" t="n"/>
      <c r="CJ324" s="20" t="n"/>
      <c r="CK324" s="20" t="inlineStr">
        <is>
          <t>None</t>
        </is>
      </c>
      <c r="CL324" s="17" t="n"/>
      <c r="CM324" s="16" t="n"/>
      <c r="CN324" s="20" t="inlineStr">
        <is>
          <t>SOP 45-34</t>
        </is>
      </c>
      <c r="CO324" s="20" t="inlineStr">
        <is>
          <t>None</t>
        </is>
      </c>
      <c r="CP324" s="17" t="n"/>
      <c r="CQ324" s="16" t="n"/>
      <c r="CR324" s="20" t="n"/>
      <c r="CS324" s="20" t="inlineStr">
        <is>
          <t>None</t>
        </is>
      </c>
      <c r="CT324" s="17" t="n"/>
      <c r="CU324" s="16" t="n"/>
      <c r="CV324" s="20" t="n"/>
      <c r="CW324" s="20" t="inlineStr">
        <is>
          <t>None</t>
        </is>
      </c>
      <c r="CX324" s="17" t="n"/>
      <c r="CY324" s="16" t="n"/>
      <c r="CZ324" s="20" t="inlineStr">
        <is>
          <t>WTW Multimeter 3430 with FDO 925</t>
        </is>
      </c>
      <c r="DA324" s="20" t="inlineStr">
        <is>
          <t>None</t>
        </is>
      </c>
      <c r="DB324" s="17" t="n"/>
      <c r="DC324" s="16" t="n"/>
      <c r="DD324" s="20" t="n"/>
      <c r="DE324" s="20" t="inlineStr">
        <is>
          <t>None</t>
        </is>
      </c>
      <c r="DF324" s="17" t="n"/>
      <c r="DG324" s="16" t="n"/>
      <c r="DH324" s="20" t="inlineStr">
        <is>
          <t>SOP 45-09</t>
        </is>
      </c>
      <c r="DI324" s="20" t="inlineStr">
        <is>
          <t>None</t>
        </is>
      </c>
      <c r="DJ324" s="17" t="n"/>
      <c r="DK324" s="16" t="n"/>
      <c r="DL324" s="20" t="inlineStr">
        <is>
          <t>SOP 45-09 (SOP muss noch angepasst werden für VSS)</t>
        </is>
      </c>
      <c r="DM324" s="20" t="inlineStr">
        <is>
          <t>None</t>
        </is>
      </c>
      <c r="DN324" s="17" t="n"/>
      <c r="DO324" s="16" t="n"/>
      <c r="DP324" s="20" t="inlineStr">
        <is>
          <t>IC Organic Acids</t>
        </is>
      </c>
      <c r="DQ324" s="20" t="inlineStr">
        <is>
          <t>None</t>
        </is>
      </c>
      <c r="DR324" s="17" t="n"/>
      <c r="DS324" s="16" t="n"/>
      <c r="DT324" s="20" t="inlineStr">
        <is>
          <t>IC Organic Acids</t>
        </is>
      </c>
      <c r="DU324" s="20" t="inlineStr">
        <is>
          <t>None</t>
        </is>
      </c>
      <c r="DV324" s="17" t="n"/>
      <c r="DW324" s="16" t="n"/>
      <c r="DX324" s="20" t="inlineStr">
        <is>
          <t>IC Organic Acids</t>
        </is>
      </c>
      <c r="DY324" s="20" t="inlineStr">
        <is>
          <t>None</t>
        </is>
      </c>
      <c r="DZ324" s="17" t="n"/>
      <c r="EA324" s="16" t="n"/>
      <c r="EB324" s="20" t="inlineStr">
        <is>
          <t>IC Organic Acids</t>
        </is>
      </c>
      <c r="EC324" s="20" t="inlineStr">
        <is>
          <t>None</t>
        </is>
      </c>
      <c r="ED324" s="17" t="n"/>
      <c r="EE324" s="16" t="n"/>
      <c r="EF324" s="20" t="inlineStr">
        <is>
          <t>IC Organic Acids</t>
        </is>
      </c>
      <c r="EG324" s="20" t="inlineStr">
        <is>
          <t>None</t>
        </is>
      </c>
      <c r="EH324" s="17" t="n"/>
      <c r="EI324" s="16" t="n"/>
      <c r="EJ324" s="20" t="inlineStr">
        <is>
          <t>IC Organic Acids</t>
        </is>
      </c>
      <c r="EK324" s="20" t="inlineStr">
        <is>
          <t>None</t>
        </is>
      </c>
      <c r="EL324" s="17" t="n"/>
      <c r="EM324" s="16" t="n"/>
      <c r="EN324" s="20" t="inlineStr">
        <is>
          <t>IC Organic Acids</t>
        </is>
      </c>
      <c r="EO324" s="20" t="inlineStr">
        <is>
          <t>None</t>
        </is>
      </c>
      <c r="EP324" s="17" t="n"/>
      <c r="EQ324" s="16" t="n"/>
      <c r="ER324" s="20" t="inlineStr">
        <is>
          <t>IC Organic Acids</t>
        </is>
      </c>
      <c r="ES324" s="20" t="inlineStr">
        <is>
          <t>None</t>
        </is>
      </c>
      <c r="ET324" s="17" t="n"/>
      <c r="EU324" s="16" t="n"/>
      <c r="EV324" s="20" t="inlineStr">
        <is>
          <t>LC-MS</t>
        </is>
      </c>
      <c r="EW324" s="20" t="inlineStr">
        <is>
          <t>None</t>
        </is>
      </c>
      <c r="EX324" s="17" t="n"/>
      <c r="EY324" s="21" t="n"/>
      <c r="EZ324">
        <f>CONCATENATE(A324,B324)</f>
        <v/>
      </c>
      <c r="FA324">
        <f>CONCATENATE(SamplesX!A324,SamplesX!B324)</f>
        <v/>
      </c>
      <c r="FC324">
        <f>MATCH(EZ324,FA1:FA1008,0)</f>
        <v/>
      </c>
    </row>
    <row r="325">
      <c r="A325" s="16" t="inlineStr">
        <is>
          <t>BP</t>
        </is>
      </c>
      <c r="B325" s="17" t="inlineStr">
        <is>
          <t>25317</t>
        </is>
      </c>
      <c r="C325" s="10">
        <f>IF(ISNUMBER(FC325),INDIRECT("SamplesX!C"&amp;FC325),IF(ISNUMBER(FD325),INDIRECT("SamplesY!C"&amp;FD325),""))</f>
        <v/>
      </c>
      <c r="D325" s="12">
        <f>IF(ISNUMBER(FC325),INDIRECT("SamplesX!D"&amp;FC325),IF(ISNUMBER(FD325),INDIRECT("SamplesY!D"&amp;FD325),""))</f>
        <v/>
      </c>
      <c r="E325" s="12">
        <f>IF(ISNUMBER(FC325),INDIRECT("SamplesX!E"&amp;FC325),IF(ISNUMBER(FD325),INDIRECT("SamplesY!E"&amp;FD325),""))</f>
        <v/>
      </c>
      <c r="F325" s="11">
        <f>IF(ISNUMBER(FC325),INDIRECT("SamplesX!F"&amp;FC325),IF(ISNUMBER(FD325),INDIRECT("SamplesY!F"&amp;FD325),""))</f>
        <v/>
      </c>
      <c r="G325" s="18">
        <f>IF(ISNUMBER(FC325),INDIRECT("SamplesX!G"&amp;FC325),IF(ISNUMBER(FD325),INDIRECT("SamplesY!G"&amp;FD325),""))</f>
        <v/>
      </c>
      <c r="H325" s="19">
        <f>IF(ISNUMBER(FC325),INDIRECT("SamplesX!H"&amp;FC325),IF(ISNUMBER(FD325),INDIRECT("SamplesY!H"&amp;FD325),""))</f>
        <v/>
      </c>
      <c r="I325" s="16" t="n"/>
      <c r="J325" s="16" t="n"/>
      <c r="K325" s="16" t="n"/>
      <c r="L325" s="20" t="n"/>
      <c r="M325" s="20" t="inlineStr">
        <is>
          <t>None</t>
        </is>
      </c>
      <c r="N325" s="17" t="n"/>
      <c r="O325" s="16" t="n"/>
      <c r="P325" s="20" t="inlineStr">
        <is>
          <t>Shimadzu TOC-L</t>
        </is>
      </c>
      <c r="Q325" s="20" t="inlineStr">
        <is>
          <t>None</t>
        </is>
      </c>
      <c r="R325" s="17" t="n"/>
      <c r="S325" s="16" t="n"/>
      <c r="T325" s="20" t="inlineStr">
        <is>
          <t>Shimadzu TOC-L</t>
        </is>
      </c>
      <c r="U325" s="20" t="inlineStr">
        <is>
          <t>None</t>
        </is>
      </c>
      <c r="V325" s="17" t="n"/>
      <c r="W325" s="16" t="n"/>
      <c r="X325" s="20" t="n"/>
      <c r="Y325" s="20" t="inlineStr">
        <is>
          <t>None</t>
        </is>
      </c>
      <c r="Z325" s="17" t="n"/>
      <c r="AA325" s="16" t="n"/>
      <c r="AB325" s="20" t="n"/>
      <c r="AC325" s="20" t="inlineStr">
        <is>
          <t>None</t>
        </is>
      </c>
      <c r="AD325" s="17" t="n"/>
      <c r="AE325" s="16" t="n"/>
      <c r="AF325" s="20" t="inlineStr">
        <is>
          <t>IC Anionen</t>
        </is>
      </c>
      <c r="AG325" s="20" t="inlineStr">
        <is>
          <t>None</t>
        </is>
      </c>
      <c r="AH325" s="17" t="n"/>
      <c r="AI325" s="16" t="n"/>
      <c r="AJ325" s="20" t="n"/>
      <c r="AK325" s="20" t="inlineStr">
        <is>
          <t>None</t>
        </is>
      </c>
      <c r="AL325" s="17" t="n"/>
      <c r="AM325" s="16" t="n"/>
      <c r="AN325" s="20" t="inlineStr">
        <is>
          <t>IC Anionen</t>
        </is>
      </c>
      <c r="AO325" s="20" t="inlineStr">
        <is>
          <t>None</t>
        </is>
      </c>
      <c r="AP325" s="17" t="n"/>
      <c r="AQ325" s="16" t="n"/>
      <c r="AR325" s="20" t="n"/>
      <c r="AS325" s="20" t="inlineStr">
        <is>
          <t>None</t>
        </is>
      </c>
      <c r="AT325" s="17" t="n"/>
      <c r="AU325" s="16" t="n"/>
      <c r="AV325" s="20" t="n"/>
      <c r="AW325" s="20" t="inlineStr">
        <is>
          <t>None</t>
        </is>
      </c>
      <c r="AX325" s="17" t="n"/>
      <c r="AY325" s="16" t="n"/>
      <c r="AZ325" s="20" t="inlineStr">
        <is>
          <t>IC Anionen</t>
        </is>
      </c>
      <c r="BA325" s="20" t="inlineStr">
        <is>
          <t>None</t>
        </is>
      </c>
      <c r="BB325" s="17" t="n"/>
      <c r="BC325" s="16" t="n"/>
      <c r="BD325" s="20" t="inlineStr">
        <is>
          <t>IC Kationen</t>
        </is>
      </c>
      <c r="BE325" s="20" t="inlineStr">
        <is>
          <t>None</t>
        </is>
      </c>
      <c r="BF325" s="17" t="n"/>
      <c r="BG325" s="16" t="n"/>
      <c r="BH325" s="20" t="inlineStr">
        <is>
          <t>IC Kationen</t>
        </is>
      </c>
      <c r="BI325" s="20" t="inlineStr">
        <is>
          <t>None</t>
        </is>
      </c>
      <c r="BJ325" s="17" t="n"/>
      <c r="BK325" s="16" t="n"/>
      <c r="BL325" s="20" t="inlineStr">
        <is>
          <t>IC Kationen</t>
        </is>
      </c>
      <c r="BM325" s="20" t="inlineStr">
        <is>
          <t>None</t>
        </is>
      </c>
      <c r="BN325" s="17" t="n"/>
      <c r="BO325" s="16" t="n"/>
      <c r="BP325" s="20" t="inlineStr">
        <is>
          <t>IC Kationen</t>
        </is>
      </c>
      <c r="BQ325" s="20" t="inlineStr">
        <is>
          <t>None</t>
        </is>
      </c>
      <c r="BR325" s="17" t="n"/>
      <c r="BS325" s="16" t="n"/>
      <c r="BT325" s="20" t="inlineStr">
        <is>
          <t>IC Kationen</t>
        </is>
      </c>
      <c r="BU325" s="20" t="inlineStr">
        <is>
          <t>None</t>
        </is>
      </c>
      <c r="BV325" s="17" t="n"/>
      <c r="BW325" s="16" t="n"/>
      <c r="BX325" s="20" t="n"/>
      <c r="BY325" s="20" t="inlineStr">
        <is>
          <t>None</t>
        </is>
      </c>
      <c r="BZ325" s="17" t="n"/>
      <c r="CA325" s="16" t="n"/>
      <c r="CB325" s="20" t="n"/>
      <c r="CC325" s="20" t="inlineStr">
        <is>
          <t>None</t>
        </is>
      </c>
      <c r="CD325" s="17" t="n"/>
      <c r="CE325" s="16" t="n"/>
      <c r="CF325" s="20" t="n"/>
      <c r="CG325" s="20" t="inlineStr">
        <is>
          <t>None</t>
        </is>
      </c>
      <c r="CH325" s="17" t="n"/>
      <c r="CI325" s="16" t="n"/>
      <c r="CJ325" s="20" t="n"/>
      <c r="CK325" s="20" t="inlineStr">
        <is>
          <t>None</t>
        </is>
      </c>
      <c r="CL325" s="17" t="n"/>
      <c r="CM325" s="16" t="n"/>
      <c r="CN325" s="20" t="inlineStr">
        <is>
          <t>SOP 45-34</t>
        </is>
      </c>
      <c r="CO325" s="20" t="inlineStr">
        <is>
          <t>None</t>
        </is>
      </c>
      <c r="CP325" s="17" t="n"/>
      <c r="CQ325" s="16" t="n"/>
      <c r="CR325" s="20" t="n"/>
      <c r="CS325" s="20" t="inlineStr">
        <is>
          <t>None</t>
        </is>
      </c>
      <c r="CT325" s="17" t="n"/>
      <c r="CU325" s="16" t="n"/>
      <c r="CV325" s="20" t="n"/>
      <c r="CW325" s="20" t="inlineStr">
        <is>
          <t>None</t>
        </is>
      </c>
      <c r="CX325" s="17" t="n"/>
      <c r="CY325" s="16" t="n"/>
      <c r="CZ325" s="20" t="inlineStr">
        <is>
          <t>WTW Multimeter 3430 with FDO 925</t>
        </is>
      </c>
      <c r="DA325" s="20" t="inlineStr">
        <is>
          <t>None</t>
        </is>
      </c>
      <c r="DB325" s="17" t="n"/>
      <c r="DC325" s="16" t="n"/>
      <c r="DD325" s="20" t="n"/>
      <c r="DE325" s="20" t="inlineStr">
        <is>
          <t>None</t>
        </is>
      </c>
      <c r="DF325" s="17" t="n"/>
      <c r="DG325" s="16" t="n"/>
      <c r="DH325" s="20" t="inlineStr">
        <is>
          <t>SOP 45-09</t>
        </is>
      </c>
      <c r="DI325" s="20" t="inlineStr">
        <is>
          <t>None</t>
        </is>
      </c>
      <c r="DJ325" s="17" t="n"/>
      <c r="DK325" s="16" t="n"/>
      <c r="DL325" s="20" t="inlineStr">
        <is>
          <t>SOP 45-09 (SOP muss noch angepasst werden für VSS)</t>
        </is>
      </c>
      <c r="DM325" s="20" t="inlineStr">
        <is>
          <t>None</t>
        </is>
      </c>
      <c r="DN325" s="17" t="n"/>
      <c r="DO325" s="16" t="n"/>
      <c r="DP325" s="20" t="inlineStr">
        <is>
          <t>IC Organic Acids</t>
        </is>
      </c>
      <c r="DQ325" s="20" t="inlineStr">
        <is>
          <t>None</t>
        </is>
      </c>
      <c r="DR325" s="17" t="n"/>
      <c r="DS325" s="16" t="n"/>
      <c r="DT325" s="20" t="inlineStr">
        <is>
          <t>IC Organic Acids</t>
        </is>
      </c>
      <c r="DU325" s="20" t="inlineStr">
        <is>
          <t>None</t>
        </is>
      </c>
      <c r="DV325" s="17" t="n"/>
      <c r="DW325" s="16" t="n"/>
      <c r="DX325" s="20" t="inlineStr">
        <is>
          <t>IC Organic Acids</t>
        </is>
      </c>
      <c r="DY325" s="20" t="inlineStr">
        <is>
          <t>None</t>
        </is>
      </c>
      <c r="DZ325" s="17" t="n"/>
      <c r="EA325" s="16" t="n"/>
      <c r="EB325" s="20" t="inlineStr">
        <is>
          <t>IC Organic Acids</t>
        </is>
      </c>
      <c r="EC325" s="20" t="inlineStr">
        <is>
          <t>None</t>
        </is>
      </c>
      <c r="ED325" s="17" t="n"/>
      <c r="EE325" s="16" t="n"/>
      <c r="EF325" s="20" t="inlineStr">
        <is>
          <t>IC Organic Acids</t>
        </is>
      </c>
      <c r="EG325" s="20" t="inlineStr">
        <is>
          <t>None</t>
        </is>
      </c>
      <c r="EH325" s="17" t="n"/>
      <c r="EI325" s="16" t="n"/>
      <c r="EJ325" s="20" t="inlineStr">
        <is>
          <t>IC Organic Acids</t>
        </is>
      </c>
      <c r="EK325" s="20" t="inlineStr">
        <is>
          <t>None</t>
        </is>
      </c>
      <c r="EL325" s="17" t="n"/>
      <c r="EM325" s="16" t="n"/>
      <c r="EN325" s="20" t="inlineStr">
        <is>
          <t>IC Organic Acids</t>
        </is>
      </c>
      <c r="EO325" s="20" t="inlineStr">
        <is>
          <t>None</t>
        </is>
      </c>
      <c r="EP325" s="17" t="n"/>
      <c r="EQ325" s="16" t="n"/>
      <c r="ER325" s="20" t="inlineStr">
        <is>
          <t>IC Organic Acids</t>
        </is>
      </c>
      <c r="ES325" s="20" t="inlineStr">
        <is>
          <t>None</t>
        </is>
      </c>
      <c r="ET325" s="17" t="n"/>
      <c r="EU325" s="16" t="n"/>
      <c r="EV325" s="20" t="inlineStr">
        <is>
          <t>LC-MS</t>
        </is>
      </c>
      <c r="EW325" s="20" t="inlineStr">
        <is>
          <t>None</t>
        </is>
      </c>
      <c r="EX325" s="17" t="n"/>
      <c r="EY325" s="21" t="n"/>
      <c r="EZ325">
        <f>CONCATENATE(A325,B325)</f>
        <v/>
      </c>
      <c r="FA325">
        <f>CONCATENATE(SamplesX!A325,SamplesX!B325)</f>
        <v/>
      </c>
      <c r="FC325">
        <f>MATCH(EZ325,FA1:FA1008,0)</f>
        <v/>
      </c>
    </row>
    <row r="326">
      <c r="A326" s="16" t="inlineStr">
        <is>
          <t>BP</t>
        </is>
      </c>
      <c r="B326" s="17" t="inlineStr">
        <is>
          <t>25318</t>
        </is>
      </c>
      <c r="C326" s="10">
        <f>IF(ISNUMBER(FC326),INDIRECT("SamplesX!C"&amp;FC326),IF(ISNUMBER(FD326),INDIRECT("SamplesY!C"&amp;FD326),""))</f>
        <v/>
      </c>
      <c r="D326" s="12">
        <f>IF(ISNUMBER(FC326),INDIRECT("SamplesX!D"&amp;FC326),IF(ISNUMBER(FD326),INDIRECT("SamplesY!D"&amp;FD326),""))</f>
        <v/>
      </c>
      <c r="E326" s="12">
        <f>IF(ISNUMBER(FC326),INDIRECT("SamplesX!E"&amp;FC326),IF(ISNUMBER(FD326),INDIRECT("SamplesY!E"&amp;FD326),""))</f>
        <v/>
      </c>
      <c r="F326" s="11">
        <f>IF(ISNUMBER(FC326),INDIRECT("SamplesX!F"&amp;FC326),IF(ISNUMBER(FD326),INDIRECT("SamplesY!F"&amp;FD326),""))</f>
        <v/>
      </c>
      <c r="G326" s="18">
        <f>IF(ISNUMBER(FC326),INDIRECT("SamplesX!G"&amp;FC326),IF(ISNUMBER(FD326),INDIRECT("SamplesY!G"&amp;FD326),""))</f>
        <v/>
      </c>
      <c r="H326" s="19">
        <f>IF(ISNUMBER(FC326),INDIRECT("SamplesX!H"&amp;FC326),IF(ISNUMBER(FD326),INDIRECT("SamplesY!H"&amp;FD326),""))</f>
        <v/>
      </c>
      <c r="I326" s="16" t="n"/>
      <c r="J326" s="16" t="n"/>
      <c r="K326" s="16" t="n"/>
      <c r="L326" s="20" t="n"/>
      <c r="M326" s="20" t="inlineStr">
        <is>
          <t>None</t>
        </is>
      </c>
      <c r="N326" s="17" t="n"/>
      <c r="O326" s="16" t="n"/>
      <c r="P326" s="20" t="inlineStr">
        <is>
          <t>Shimadzu TOC-L</t>
        </is>
      </c>
      <c r="Q326" s="20" t="inlineStr">
        <is>
          <t>None</t>
        </is>
      </c>
      <c r="R326" s="17" t="n"/>
      <c r="S326" s="16" t="n"/>
      <c r="T326" s="20" t="inlineStr">
        <is>
          <t>Shimadzu TOC-L</t>
        </is>
      </c>
      <c r="U326" s="20" t="inlineStr">
        <is>
          <t>None</t>
        </is>
      </c>
      <c r="V326" s="17" t="n"/>
      <c r="W326" s="16" t="n"/>
      <c r="X326" s="20" t="n"/>
      <c r="Y326" s="20" t="inlineStr">
        <is>
          <t>None</t>
        </is>
      </c>
      <c r="Z326" s="17" t="n"/>
      <c r="AA326" s="16" t="n"/>
      <c r="AB326" s="20" t="n"/>
      <c r="AC326" s="20" t="inlineStr">
        <is>
          <t>None</t>
        </is>
      </c>
      <c r="AD326" s="17" t="n"/>
      <c r="AE326" s="16" t="n"/>
      <c r="AF326" s="20" t="inlineStr">
        <is>
          <t>IC Anionen</t>
        </is>
      </c>
      <c r="AG326" s="20" t="inlineStr">
        <is>
          <t>None</t>
        </is>
      </c>
      <c r="AH326" s="17" t="n"/>
      <c r="AI326" s="16" t="n"/>
      <c r="AJ326" s="20" t="n"/>
      <c r="AK326" s="20" t="inlineStr">
        <is>
          <t>None</t>
        </is>
      </c>
      <c r="AL326" s="17" t="n"/>
      <c r="AM326" s="16" t="n"/>
      <c r="AN326" s="20" t="inlineStr">
        <is>
          <t>IC Anionen</t>
        </is>
      </c>
      <c r="AO326" s="20" t="inlineStr">
        <is>
          <t>None</t>
        </is>
      </c>
      <c r="AP326" s="17" t="n"/>
      <c r="AQ326" s="16" t="n"/>
      <c r="AR326" s="20" t="n"/>
      <c r="AS326" s="20" t="inlineStr">
        <is>
          <t>None</t>
        </is>
      </c>
      <c r="AT326" s="17" t="n"/>
      <c r="AU326" s="16" t="n"/>
      <c r="AV326" s="20" t="n"/>
      <c r="AW326" s="20" t="inlineStr">
        <is>
          <t>None</t>
        </is>
      </c>
      <c r="AX326" s="17" t="n"/>
      <c r="AY326" s="16" t="n"/>
      <c r="AZ326" s="20" t="inlineStr">
        <is>
          <t>IC Anionen</t>
        </is>
      </c>
      <c r="BA326" s="20" t="inlineStr">
        <is>
          <t>None</t>
        </is>
      </c>
      <c r="BB326" s="17" t="n"/>
      <c r="BC326" s="16" t="n"/>
      <c r="BD326" s="20" t="inlineStr">
        <is>
          <t>IC Kationen</t>
        </is>
      </c>
      <c r="BE326" s="20" t="inlineStr">
        <is>
          <t>None</t>
        </is>
      </c>
      <c r="BF326" s="17" t="n"/>
      <c r="BG326" s="16" t="n"/>
      <c r="BH326" s="20" t="inlineStr">
        <is>
          <t>IC Kationen</t>
        </is>
      </c>
      <c r="BI326" s="20" t="inlineStr">
        <is>
          <t>None</t>
        </is>
      </c>
      <c r="BJ326" s="17" t="n"/>
      <c r="BK326" s="16" t="n"/>
      <c r="BL326" s="20" t="inlineStr">
        <is>
          <t>IC Kationen</t>
        </is>
      </c>
      <c r="BM326" s="20" t="inlineStr">
        <is>
          <t>None</t>
        </is>
      </c>
      <c r="BN326" s="17" t="n"/>
      <c r="BO326" s="16" t="n"/>
      <c r="BP326" s="20" t="inlineStr">
        <is>
          <t>IC Kationen</t>
        </is>
      </c>
      <c r="BQ326" s="20" t="inlineStr">
        <is>
          <t>None</t>
        </is>
      </c>
      <c r="BR326" s="17" t="n"/>
      <c r="BS326" s="16" t="n"/>
      <c r="BT326" s="20" t="inlineStr">
        <is>
          <t>IC Kationen</t>
        </is>
      </c>
      <c r="BU326" s="20" t="inlineStr">
        <is>
          <t>None</t>
        </is>
      </c>
      <c r="BV326" s="17" t="n"/>
      <c r="BW326" s="16" t="n"/>
      <c r="BX326" s="20" t="n"/>
      <c r="BY326" s="20" t="inlineStr">
        <is>
          <t>None</t>
        </is>
      </c>
      <c r="BZ326" s="17" t="n"/>
      <c r="CA326" s="16" t="n"/>
      <c r="CB326" s="20" t="n"/>
      <c r="CC326" s="20" t="inlineStr">
        <is>
          <t>None</t>
        </is>
      </c>
      <c r="CD326" s="17" t="n"/>
      <c r="CE326" s="16" t="n"/>
      <c r="CF326" s="20" t="n"/>
      <c r="CG326" s="20" t="inlineStr">
        <is>
          <t>None</t>
        </is>
      </c>
      <c r="CH326" s="17" t="n"/>
      <c r="CI326" s="16" t="n"/>
      <c r="CJ326" s="20" t="n"/>
      <c r="CK326" s="20" t="inlineStr">
        <is>
          <t>None</t>
        </is>
      </c>
      <c r="CL326" s="17" t="n"/>
      <c r="CM326" s="16" t="n"/>
      <c r="CN326" s="20" t="inlineStr">
        <is>
          <t>SOP 45-34</t>
        </is>
      </c>
      <c r="CO326" s="20" t="inlineStr">
        <is>
          <t>None</t>
        </is>
      </c>
      <c r="CP326" s="17" t="n"/>
      <c r="CQ326" s="16" t="n"/>
      <c r="CR326" s="20" t="n"/>
      <c r="CS326" s="20" t="inlineStr">
        <is>
          <t>None</t>
        </is>
      </c>
      <c r="CT326" s="17" t="n"/>
      <c r="CU326" s="16" t="n"/>
      <c r="CV326" s="20" t="n"/>
      <c r="CW326" s="20" t="inlineStr">
        <is>
          <t>None</t>
        </is>
      </c>
      <c r="CX326" s="17" t="n"/>
      <c r="CY326" s="16" t="n"/>
      <c r="CZ326" s="20" t="inlineStr">
        <is>
          <t>WTW Multimeter 3430 with FDO 925</t>
        </is>
      </c>
      <c r="DA326" s="20" t="inlineStr">
        <is>
          <t>None</t>
        </is>
      </c>
      <c r="DB326" s="17" t="n"/>
      <c r="DC326" s="16" t="n"/>
      <c r="DD326" s="20" t="n"/>
      <c r="DE326" s="20" t="inlineStr">
        <is>
          <t>None</t>
        </is>
      </c>
      <c r="DF326" s="17" t="n"/>
      <c r="DG326" s="16" t="n"/>
      <c r="DH326" s="20" t="inlineStr">
        <is>
          <t>SOP 45-09</t>
        </is>
      </c>
      <c r="DI326" s="20" t="inlineStr">
        <is>
          <t>None</t>
        </is>
      </c>
      <c r="DJ326" s="17" t="n"/>
      <c r="DK326" s="16" t="n"/>
      <c r="DL326" s="20" t="inlineStr">
        <is>
          <t>SOP 45-09 (SOP muss noch angepasst werden für VSS)</t>
        </is>
      </c>
      <c r="DM326" s="20" t="inlineStr">
        <is>
          <t>None</t>
        </is>
      </c>
      <c r="DN326" s="17" t="n"/>
      <c r="DO326" s="16" t="n"/>
      <c r="DP326" s="20" t="inlineStr">
        <is>
          <t>IC Organic Acids</t>
        </is>
      </c>
      <c r="DQ326" s="20" t="inlineStr">
        <is>
          <t>None</t>
        </is>
      </c>
      <c r="DR326" s="17" t="n"/>
      <c r="DS326" s="16" t="n"/>
      <c r="DT326" s="20" t="inlineStr">
        <is>
          <t>IC Organic Acids</t>
        </is>
      </c>
      <c r="DU326" s="20" t="inlineStr">
        <is>
          <t>None</t>
        </is>
      </c>
      <c r="DV326" s="17" t="n"/>
      <c r="DW326" s="16" t="n"/>
      <c r="DX326" s="20" t="inlineStr">
        <is>
          <t>IC Organic Acids</t>
        </is>
      </c>
      <c r="DY326" s="20" t="inlineStr">
        <is>
          <t>None</t>
        </is>
      </c>
      <c r="DZ326" s="17" t="n"/>
      <c r="EA326" s="16" t="n"/>
      <c r="EB326" s="20" t="inlineStr">
        <is>
          <t>IC Organic Acids</t>
        </is>
      </c>
      <c r="EC326" s="20" t="inlineStr">
        <is>
          <t>None</t>
        </is>
      </c>
      <c r="ED326" s="17" t="n"/>
      <c r="EE326" s="16" t="n"/>
      <c r="EF326" s="20" t="inlineStr">
        <is>
          <t>IC Organic Acids</t>
        </is>
      </c>
      <c r="EG326" s="20" t="inlineStr">
        <is>
          <t>None</t>
        </is>
      </c>
      <c r="EH326" s="17" t="n"/>
      <c r="EI326" s="16" t="n"/>
      <c r="EJ326" s="20" t="inlineStr">
        <is>
          <t>IC Organic Acids</t>
        </is>
      </c>
      <c r="EK326" s="20" t="inlineStr">
        <is>
          <t>None</t>
        </is>
      </c>
      <c r="EL326" s="17" t="n"/>
      <c r="EM326" s="16" t="n"/>
      <c r="EN326" s="20" t="inlineStr">
        <is>
          <t>IC Organic Acids</t>
        </is>
      </c>
      <c r="EO326" s="20" t="inlineStr">
        <is>
          <t>None</t>
        </is>
      </c>
      <c r="EP326" s="17" t="n"/>
      <c r="EQ326" s="16" t="n"/>
      <c r="ER326" s="20" t="inlineStr">
        <is>
          <t>IC Organic Acids</t>
        </is>
      </c>
      <c r="ES326" s="20" t="inlineStr">
        <is>
          <t>None</t>
        </is>
      </c>
      <c r="ET326" s="17" t="n"/>
      <c r="EU326" s="16" t="n"/>
      <c r="EV326" s="20" t="inlineStr">
        <is>
          <t>LC-MS</t>
        </is>
      </c>
      <c r="EW326" s="20" t="inlineStr">
        <is>
          <t>None</t>
        </is>
      </c>
      <c r="EX326" s="17" t="n"/>
      <c r="EY326" s="21" t="n"/>
      <c r="EZ326">
        <f>CONCATENATE(A326,B326)</f>
        <v/>
      </c>
      <c r="FA326">
        <f>CONCATENATE(SamplesX!A326,SamplesX!B326)</f>
        <v/>
      </c>
      <c r="FC326">
        <f>MATCH(EZ326,FA1:FA1008,0)</f>
        <v/>
      </c>
    </row>
    <row r="327">
      <c r="A327" s="16" t="inlineStr">
        <is>
          <t>BP</t>
        </is>
      </c>
      <c r="B327" s="17" t="inlineStr">
        <is>
          <t>25319</t>
        </is>
      </c>
      <c r="C327" s="10">
        <f>IF(ISNUMBER(FC327),INDIRECT("SamplesX!C"&amp;FC327),IF(ISNUMBER(FD327),INDIRECT("SamplesY!C"&amp;FD327),""))</f>
        <v/>
      </c>
      <c r="D327" s="12">
        <f>IF(ISNUMBER(FC327),INDIRECT("SamplesX!D"&amp;FC327),IF(ISNUMBER(FD327),INDIRECT("SamplesY!D"&amp;FD327),""))</f>
        <v/>
      </c>
      <c r="E327" s="12">
        <f>IF(ISNUMBER(FC327),INDIRECT("SamplesX!E"&amp;FC327),IF(ISNUMBER(FD327),INDIRECT("SamplesY!E"&amp;FD327),""))</f>
        <v/>
      </c>
      <c r="F327" s="11">
        <f>IF(ISNUMBER(FC327),INDIRECT("SamplesX!F"&amp;FC327),IF(ISNUMBER(FD327),INDIRECT("SamplesY!F"&amp;FD327),""))</f>
        <v/>
      </c>
      <c r="G327" s="18">
        <f>IF(ISNUMBER(FC327),INDIRECT("SamplesX!G"&amp;FC327),IF(ISNUMBER(FD327),INDIRECT("SamplesY!G"&amp;FD327),""))</f>
        <v/>
      </c>
      <c r="H327" s="19">
        <f>IF(ISNUMBER(FC327),INDIRECT("SamplesX!H"&amp;FC327),IF(ISNUMBER(FD327),INDIRECT("SamplesY!H"&amp;FD327),""))</f>
        <v/>
      </c>
      <c r="I327" s="16" t="n"/>
      <c r="J327" s="16" t="n"/>
      <c r="K327" s="16" t="n"/>
      <c r="L327" s="20" t="n"/>
      <c r="M327" s="20" t="inlineStr">
        <is>
          <t>None</t>
        </is>
      </c>
      <c r="N327" s="17" t="n"/>
      <c r="O327" s="16" t="n"/>
      <c r="P327" s="20" t="inlineStr">
        <is>
          <t>Shimadzu TOC-L</t>
        </is>
      </c>
      <c r="Q327" s="20" t="inlineStr">
        <is>
          <t>None</t>
        </is>
      </c>
      <c r="R327" s="17" t="n"/>
      <c r="S327" s="16" t="n"/>
      <c r="T327" s="20" t="inlineStr">
        <is>
          <t>Shimadzu TOC-L</t>
        </is>
      </c>
      <c r="U327" s="20" t="inlineStr">
        <is>
          <t>None</t>
        </is>
      </c>
      <c r="V327" s="17" t="n"/>
      <c r="W327" s="16" t="n"/>
      <c r="X327" s="20" t="n"/>
      <c r="Y327" s="20" t="inlineStr">
        <is>
          <t>None</t>
        </is>
      </c>
      <c r="Z327" s="17" t="n"/>
      <c r="AA327" s="16" t="n"/>
      <c r="AB327" s="20" t="n"/>
      <c r="AC327" s="20" t="inlineStr">
        <is>
          <t>None</t>
        </is>
      </c>
      <c r="AD327" s="17" t="n"/>
      <c r="AE327" s="16" t="n"/>
      <c r="AF327" s="20" t="inlineStr">
        <is>
          <t>IC Anionen</t>
        </is>
      </c>
      <c r="AG327" s="20" t="inlineStr">
        <is>
          <t>None</t>
        </is>
      </c>
      <c r="AH327" s="17" t="n"/>
      <c r="AI327" s="16" t="n"/>
      <c r="AJ327" s="20" t="n"/>
      <c r="AK327" s="20" t="inlineStr">
        <is>
          <t>None</t>
        </is>
      </c>
      <c r="AL327" s="17" t="n"/>
      <c r="AM327" s="16" t="n"/>
      <c r="AN327" s="20" t="inlineStr">
        <is>
          <t>IC Anionen</t>
        </is>
      </c>
      <c r="AO327" s="20" t="inlineStr">
        <is>
          <t>None</t>
        </is>
      </c>
      <c r="AP327" s="17" t="n"/>
      <c r="AQ327" s="16" t="n"/>
      <c r="AR327" s="20" t="n"/>
      <c r="AS327" s="20" t="inlineStr">
        <is>
          <t>None</t>
        </is>
      </c>
      <c r="AT327" s="17" t="n"/>
      <c r="AU327" s="16" t="n"/>
      <c r="AV327" s="20" t="n"/>
      <c r="AW327" s="20" t="inlineStr">
        <is>
          <t>None</t>
        </is>
      </c>
      <c r="AX327" s="17" t="n"/>
      <c r="AY327" s="16" t="n"/>
      <c r="AZ327" s="20" t="inlineStr">
        <is>
          <t>IC Anionen</t>
        </is>
      </c>
      <c r="BA327" s="20" t="inlineStr">
        <is>
          <t>None</t>
        </is>
      </c>
      <c r="BB327" s="17" t="n"/>
      <c r="BC327" s="16" t="n"/>
      <c r="BD327" s="20" t="inlineStr">
        <is>
          <t>IC Kationen</t>
        </is>
      </c>
      <c r="BE327" s="20" t="inlineStr">
        <is>
          <t>None</t>
        </is>
      </c>
      <c r="BF327" s="17" t="n"/>
      <c r="BG327" s="16" t="n"/>
      <c r="BH327" s="20" t="inlineStr">
        <is>
          <t>IC Kationen</t>
        </is>
      </c>
      <c r="BI327" s="20" t="inlineStr">
        <is>
          <t>None</t>
        </is>
      </c>
      <c r="BJ327" s="17" t="n"/>
      <c r="BK327" s="16" t="n"/>
      <c r="BL327" s="20" t="inlineStr">
        <is>
          <t>IC Kationen</t>
        </is>
      </c>
      <c r="BM327" s="20" t="inlineStr">
        <is>
          <t>None</t>
        </is>
      </c>
      <c r="BN327" s="17" t="n"/>
      <c r="BO327" s="16" t="n"/>
      <c r="BP327" s="20" t="inlineStr">
        <is>
          <t>IC Kationen</t>
        </is>
      </c>
      <c r="BQ327" s="20" t="inlineStr">
        <is>
          <t>None</t>
        </is>
      </c>
      <c r="BR327" s="17" t="n"/>
      <c r="BS327" s="16" t="n"/>
      <c r="BT327" s="20" t="inlineStr">
        <is>
          <t>IC Kationen</t>
        </is>
      </c>
      <c r="BU327" s="20" t="inlineStr">
        <is>
          <t>None</t>
        </is>
      </c>
      <c r="BV327" s="17" t="n"/>
      <c r="BW327" s="16" t="n"/>
      <c r="BX327" s="20" t="n"/>
      <c r="BY327" s="20" t="inlineStr">
        <is>
          <t>None</t>
        </is>
      </c>
      <c r="BZ327" s="17" t="n"/>
      <c r="CA327" s="16" t="n"/>
      <c r="CB327" s="20" t="n"/>
      <c r="CC327" s="20" t="inlineStr">
        <is>
          <t>None</t>
        </is>
      </c>
      <c r="CD327" s="17" t="n"/>
      <c r="CE327" s="16" t="n"/>
      <c r="CF327" s="20" t="n"/>
      <c r="CG327" s="20" t="inlineStr">
        <is>
          <t>None</t>
        </is>
      </c>
      <c r="CH327" s="17" t="n"/>
      <c r="CI327" s="16" t="n"/>
      <c r="CJ327" s="20" t="n"/>
      <c r="CK327" s="20" t="inlineStr">
        <is>
          <t>None</t>
        </is>
      </c>
      <c r="CL327" s="17" t="n"/>
      <c r="CM327" s="16" t="n"/>
      <c r="CN327" s="20" t="inlineStr">
        <is>
          <t>SOP 45-34</t>
        </is>
      </c>
      <c r="CO327" s="20" t="inlineStr">
        <is>
          <t>None</t>
        </is>
      </c>
      <c r="CP327" s="17" t="n"/>
      <c r="CQ327" s="16" t="n"/>
      <c r="CR327" s="20" t="n"/>
      <c r="CS327" s="20" t="inlineStr">
        <is>
          <t>None</t>
        </is>
      </c>
      <c r="CT327" s="17" t="n"/>
      <c r="CU327" s="16" t="n"/>
      <c r="CV327" s="20" t="n"/>
      <c r="CW327" s="20" t="inlineStr">
        <is>
          <t>None</t>
        </is>
      </c>
      <c r="CX327" s="17" t="n"/>
      <c r="CY327" s="16" t="n"/>
      <c r="CZ327" s="20" t="inlineStr">
        <is>
          <t>WTW Multimeter 3430 with FDO 925</t>
        </is>
      </c>
      <c r="DA327" s="20" t="inlineStr">
        <is>
          <t>None</t>
        </is>
      </c>
      <c r="DB327" s="17" t="n"/>
      <c r="DC327" s="16" t="n"/>
      <c r="DD327" s="20" t="n"/>
      <c r="DE327" s="20" t="inlineStr">
        <is>
          <t>None</t>
        </is>
      </c>
      <c r="DF327" s="17" t="n"/>
      <c r="DG327" s="16" t="n"/>
      <c r="DH327" s="20" t="inlineStr">
        <is>
          <t>SOP 45-09</t>
        </is>
      </c>
      <c r="DI327" s="20" t="inlineStr">
        <is>
          <t>None</t>
        </is>
      </c>
      <c r="DJ327" s="17" t="n"/>
      <c r="DK327" s="16" t="n"/>
      <c r="DL327" s="20" t="inlineStr">
        <is>
          <t>SOP 45-09 (SOP muss noch angepasst werden für VSS)</t>
        </is>
      </c>
      <c r="DM327" s="20" t="inlineStr">
        <is>
          <t>None</t>
        </is>
      </c>
      <c r="DN327" s="17" t="n"/>
      <c r="DO327" s="16" t="n"/>
      <c r="DP327" s="20" t="inlineStr">
        <is>
          <t>IC Organic Acids</t>
        </is>
      </c>
      <c r="DQ327" s="20" t="inlineStr">
        <is>
          <t>None</t>
        </is>
      </c>
      <c r="DR327" s="17" t="n"/>
      <c r="DS327" s="16" t="n"/>
      <c r="DT327" s="20" t="inlineStr">
        <is>
          <t>IC Organic Acids</t>
        </is>
      </c>
      <c r="DU327" s="20" t="inlineStr">
        <is>
          <t>None</t>
        </is>
      </c>
      <c r="DV327" s="17" t="n"/>
      <c r="DW327" s="16" t="n"/>
      <c r="DX327" s="20" t="inlineStr">
        <is>
          <t>IC Organic Acids</t>
        </is>
      </c>
      <c r="DY327" s="20" t="inlineStr">
        <is>
          <t>None</t>
        </is>
      </c>
      <c r="DZ327" s="17" t="n"/>
      <c r="EA327" s="16" t="n"/>
      <c r="EB327" s="20" t="inlineStr">
        <is>
          <t>IC Organic Acids</t>
        </is>
      </c>
      <c r="EC327" s="20" t="inlineStr">
        <is>
          <t>None</t>
        </is>
      </c>
      <c r="ED327" s="17" t="n"/>
      <c r="EE327" s="16" t="n"/>
      <c r="EF327" s="20" t="inlineStr">
        <is>
          <t>IC Organic Acids</t>
        </is>
      </c>
      <c r="EG327" s="20" t="inlineStr">
        <is>
          <t>None</t>
        </is>
      </c>
      <c r="EH327" s="17" t="n"/>
      <c r="EI327" s="16" t="n"/>
      <c r="EJ327" s="20" t="inlineStr">
        <is>
          <t>IC Organic Acids</t>
        </is>
      </c>
      <c r="EK327" s="20" t="inlineStr">
        <is>
          <t>None</t>
        </is>
      </c>
      <c r="EL327" s="17" t="n"/>
      <c r="EM327" s="16" t="n"/>
      <c r="EN327" s="20" t="inlineStr">
        <is>
          <t>IC Organic Acids</t>
        </is>
      </c>
      <c r="EO327" s="20" t="inlineStr">
        <is>
          <t>None</t>
        </is>
      </c>
      <c r="EP327" s="17" t="n"/>
      <c r="EQ327" s="16" t="n"/>
      <c r="ER327" s="20" t="inlineStr">
        <is>
          <t>IC Organic Acids</t>
        </is>
      </c>
      <c r="ES327" s="20" t="inlineStr">
        <is>
          <t>None</t>
        </is>
      </c>
      <c r="ET327" s="17" t="n"/>
      <c r="EU327" s="16" t="n"/>
      <c r="EV327" s="20" t="inlineStr">
        <is>
          <t>LC-MS</t>
        </is>
      </c>
      <c r="EW327" s="20" t="inlineStr">
        <is>
          <t>None</t>
        </is>
      </c>
      <c r="EX327" s="17" t="n"/>
      <c r="EY327" s="21" t="n"/>
      <c r="EZ327">
        <f>CONCATENATE(A327,B327)</f>
        <v/>
      </c>
      <c r="FA327">
        <f>CONCATENATE(SamplesX!A327,SamplesX!B327)</f>
        <v/>
      </c>
      <c r="FC327">
        <f>MATCH(EZ327,FA1:FA1008,0)</f>
        <v/>
      </c>
    </row>
    <row r="328">
      <c r="A328" s="16" t="inlineStr">
        <is>
          <t>BP</t>
        </is>
      </c>
      <c r="B328" s="17" t="inlineStr">
        <is>
          <t>25320</t>
        </is>
      </c>
      <c r="C328" s="10">
        <f>IF(ISNUMBER(FC328),INDIRECT("SamplesX!C"&amp;FC328),IF(ISNUMBER(FD328),INDIRECT("SamplesY!C"&amp;FD328),""))</f>
        <v/>
      </c>
      <c r="D328" s="12">
        <f>IF(ISNUMBER(FC328),INDIRECT("SamplesX!D"&amp;FC328),IF(ISNUMBER(FD328),INDIRECT("SamplesY!D"&amp;FD328),""))</f>
        <v/>
      </c>
      <c r="E328" s="12">
        <f>IF(ISNUMBER(FC328),INDIRECT("SamplesX!E"&amp;FC328),IF(ISNUMBER(FD328),INDIRECT("SamplesY!E"&amp;FD328),""))</f>
        <v/>
      </c>
      <c r="F328" s="11">
        <f>IF(ISNUMBER(FC328),INDIRECT("SamplesX!F"&amp;FC328),IF(ISNUMBER(FD328),INDIRECT("SamplesY!F"&amp;FD328),""))</f>
        <v/>
      </c>
      <c r="G328" s="18">
        <f>IF(ISNUMBER(FC328),INDIRECT("SamplesX!G"&amp;FC328),IF(ISNUMBER(FD328),INDIRECT("SamplesY!G"&amp;FD328),""))</f>
        <v/>
      </c>
      <c r="H328" s="19">
        <f>IF(ISNUMBER(FC328),INDIRECT("SamplesX!H"&amp;FC328),IF(ISNUMBER(FD328),INDIRECT("SamplesY!H"&amp;FD328),""))</f>
        <v/>
      </c>
      <c r="I328" s="16" t="n"/>
      <c r="J328" s="16" t="n"/>
      <c r="K328" s="16" t="n"/>
      <c r="L328" s="20" t="n"/>
      <c r="M328" s="20" t="inlineStr">
        <is>
          <t>None</t>
        </is>
      </c>
      <c r="N328" s="17" t="n"/>
      <c r="O328" s="16" t="n"/>
      <c r="P328" s="20" t="inlineStr">
        <is>
          <t>Shimadzu TOC-L</t>
        </is>
      </c>
      <c r="Q328" s="20" t="inlineStr">
        <is>
          <t>None</t>
        </is>
      </c>
      <c r="R328" s="17" t="n"/>
      <c r="S328" s="16" t="n"/>
      <c r="T328" s="20" t="inlineStr">
        <is>
          <t>Shimadzu TOC-L</t>
        </is>
      </c>
      <c r="U328" s="20" t="inlineStr">
        <is>
          <t>None</t>
        </is>
      </c>
      <c r="V328" s="17" t="n"/>
      <c r="W328" s="16" t="n"/>
      <c r="X328" s="20" t="n"/>
      <c r="Y328" s="20" t="inlineStr">
        <is>
          <t>None</t>
        </is>
      </c>
      <c r="Z328" s="17" t="n"/>
      <c r="AA328" s="16" t="n"/>
      <c r="AB328" s="20" t="n"/>
      <c r="AC328" s="20" t="inlineStr">
        <is>
          <t>None</t>
        </is>
      </c>
      <c r="AD328" s="17" t="n"/>
      <c r="AE328" s="16" t="n"/>
      <c r="AF328" s="20" t="inlineStr">
        <is>
          <t>IC Anionen</t>
        </is>
      </c>
      <c r="AG328" s="20" t="inlineStr">
        <is>
          <t>None</t>
        </is>
      </c>
      <c r="AH328" s="17" t="n"/>
      <c r="AI328" s="16" t="n"/>
      <c r="AJ328" s="20" t="n"/>
      <c r="AK328" s="20" t="inlineStr">
        <is>
          <t>None</t>
        </is>
      </c>
      <c r="AL328" s="17" t="n"/>
      <c r="AM328" s="16" t="n"/>
      <c r="AN328" s="20" t="inlineStr">
        <is>
          <t>IC Anionen</t>
        </is>
      </c>
      <c r="AO328" s="20" t="inlineStr">
        <is>
          <t>None</t>
        </is>
      </c>
      <c r="AP328" s="17" t="n"/>
      <c r="AQ328" s="16" t="n"/>
      <c r="AR328" s="20" t="n"/>
      <c r="AS328" s="20" t="inlineStr">
        <is>
          <t>None</t>
        </is>
      </c>
      <c r="AT328" s="17" t="n"/>
      <c r="AU328" s="16" t="n"/>
      <c r="AV328" s="20" t="n"/>
      <c r="AW328" s="20" t="inlineStr">
        <is>
          <t>None</t>
        </is>
      </c>
      <c r="AX328" s="17" t="n"/>
      <c r="AY328" s="16" t="n"/>
      <c r="AZ328" s="20" t="inlineStr">
        <is>
          <t>IC Anionen</t>
        </is>
      </c>
      <c r="BA328" s="20" t="inlineStr">
        <is>
          <t>None</t>
        </is>
      </c>
      <c r="BB328" s="17" t="n"/>
      <c r="BC328" s="16" t="n"/>
      <c r="BD328" s="20" t="inlineStr">
        <is>
          <t>IC Kationen</t>
        </is>
      </c>
      <c r="BE328" s="20" t="inlineStr">
        <is>
          <t>None</t>
        </is>
      </c>
      <c r="BF328" s="17" t="n"/>
      <c r="BG328" s="16" t="n"/>
      <c r="BH328" s="20" t="inlineStr">
        <is>
          <t>IC Kationen</t>
        </is>
      </c>
      <c r="BI328" s="20" t="inlineStr">
        <is>
          <t>None</t>
        </is>
      </c>
      <c r="BJ328" s="17" t="n"/>
      <c r="BK328" s="16" t="n"/>
      <c r="BL328" s="20" t="inlineStr">
        <is>
          <t>IC Kationen</t>
        </is>
      </c>
      <c r="BM328" s="20" t="inlineStr">
        <is>
          <t>None</t>
        </is>
      </c>
      <c r="BN328" s="17" t="n"/>
      <c r="BO328" s="16" t="n"/>
      <c r="BP328" s="20" t="inlineStr">
        <is>
          <t>IC Kationen</t>
        </is>
      </c>
      <c r="BQ328" s="20" t="inlineStr">
        <is>
          <t>None</t>
        </is>
      </c>
      <c r="BR328" s="17" t="n"/>
      <c r="BS328" s="16" t="n"/>
      <c r="BT328" s="20" t="inlineStr">
        <is>
          <t>IC Kationen</t>
        </is>
      </c>
      <c r="BU328" s="20" t="inlineStr">
        <is>
          <t>None</t>
        </is>
      </c>
      <c r="BV328" s="17" t="n"/>
      <c r="BW328" s="16" t="n"/>
      <c r="BX328" s="20" t="n"/>
      <c r="BY328" s="20" t="inlineStr">
        <is>
          <t>None</t>
        </is>
      </c>
      <c r="BZ328" s="17" t="n"/>
      <c r="CA328" s="16" t="n"/>
      <c r="CB328" s="20" t="n"/>
      <c r="CC328" s="20" t="inlineStr">
        <is>
          <t>None</t>
        </is>
      </c>
      <c r="CD328" s="17" t="n"/>
      <c r="CE328" s="16" t="n"/>
      <c r="CF328" s="20" t="n"/>
      <c r="CG328" s="20" t="inlineStr">
        <is>
          <t>None</t>
        </is>
      </c>
      <c r="CH328" s="17" t="n"/>
      <c r="CI328" s="16" t="n"/>
      <c r="CJ328" s="20" t="n"/>
      <c r="CK328" s="20" t="inlineStr">
        <is>
          <t>None</t>
        </is>
      </c>
      <c r="CL328" s="17" t="n"/>
      <c r="CM328" s="16" t="n"/>
      <c r="CN328" s="20" t="inlineStr">
        <is>
          <t>SOP 45-34</t>
        </is>
      </c>
      <c r="CO328" s="20" t="inlineStr">
        <is>
          <t>None</t>
        </is>
      </c>
      <c r="CP328" s="17" t="n"/>
      <c r="CQ328" s="16" t="n"/>
      <c r="CR328" s="20" t="n"/>
      <c r="CS328" s="20" t="inlineStr">
        <is>
          <t>None</t>
        </is>
      </c>
      <c r="CT328" s="17" t="n"/>
      <c r="CU328" s="16" t="n"/>
      <c r="CV328" s="20" t="n"/>
      <c r="CW328" s="20" t="inlineStr">
        <is>
          <t>None</t>
        </is>
      </c>
      <c r="CX328" s="17" t="n"/>
      <c r="CY328" s="16" t="n"/>
      <c r="CZ328" s="20" t="inlineStr">
        <is>
          <t>WTW Multimeter 3430 with FDO 925</t>
        </is>
      </c>
      <c r="DA328" s="20" t="inlineStr">
        <is>
          <t>None</t>
        </is>
      </c>
      <c r="DB328" s="17" t="n"/>
      <c r="DC328" s="16" t="n"/>
      <c r="DD328" s="20" t="n"/>
      <c r="DE328" s="20" t="inlineStr">
        <is>
          <t>None</t>
        </is>
      </c>
      <c r="DF328" s="17" t="n"/>
      <c r="DG328" s="16" t="n"/>
      <c r="DH328" s="20" t="inlineStr">
        <is>
          <t>SOP 45-09</t>
        </is>
      </c>
      <c r="DI328" s="20" t="inlineStr">
        <is>
          <t>None</t>
        </is>
      </c>
      <c r="DJ328" s="17" t="n"/>
      <c r="DK328" s="16" t="n"/>
      <c r="DL328" s="20" t="inlineStr">
        <is>
          <t>SOP 45-09 (SOP muss noch angepasst werden für VSS)</t>
        </is>
      </c>
      <c r="DM328" s="20" t="inlineStr">
        <is>
          <t>None</t>
        </is>
      </c>
      <c r="DN328" s="17" t="n"/>
      <c r="DO328" s="16" t="n"/>
      <c r="DP328" s="20" t="inlineStr">
        <is>
          <t>IC Organic Acids</t>
        </is>
      </c>
      <c r="DQ328" s="20" t="inlineStr">
        <is>
          <t>None</t>
        </is>
      </c>
      <c r="DR328" s="17" t="n"/>
      <c r="DS328" s="16" t="n"/>
      <c r="DT328" s="20" t="inlineStr">
        <is>
          <t>IC Organic Acids</t>
        </is>
      </c>
      <c r="DU328" s="20" t="inlineStr">
        <is>
          <t>None</t>
        </is>
      </c>
      <c r="DV328" s="17" t="n"/>
      <c r="DW328" s="16" t="n"/>
      <c r="DX328" s="20" t="inlineStr">
        <is>
          <t>IC Organic Acids</t>
        </is>
      </c>
      <c r="DY328" s="20" t="inlineStr">
        <is>
          <t>None</t>
        </is>
      </c>
      <c r="DZ328" s="17" t="n"/>
      <c r="EA328" s="16" t="n"/>
      <c r="EB328" s="20" t="inlineStr">
        <is>
          <t>IC Organic Acids</t>
        </is>
      </c>
      <c r="EC328" s="20" t="inlineStr">
        <is>
          <t>None</t>
        </is>
      </c>
      <c r="ED328" s="17" t="n"/>
      <c r="EE328" s="16" t="n"/>
      <c r="EF328" s="20" t="inlineStr">
        <is>
          <t>IC Organic Acids</t>
        </is>
      </c>
      <c r="EG328" s="20" t="inlineStr">
        <is>
          <t>None</t>
        </is>
      </c>
      <c r="EH328" s="17" t="n"/>
      <c r="EI328" s="16" t="n"/>
      <c r="EJ328" s="20" t="inlineStr">
        <is>
          <t>IC Organic Acids</t>
        </is>
      </c>
      <c r="EK328" s="20" t="inlineStr">
        <is>
          <t>None</t>
        </is>
      </c>
      <c r="EL328" s="17" t="n"/>
      <c r="EM328" s="16" t="n"/>
      <c r="EN328" s="20" t="inlineStr">
        <is>
          <t>IC Organic Acids</t>
        </is>
      </c>
      <c r="EO328" s="20" t="inlineStr">
        <is>
          <t>None</t>
        </is>
      </c>
      <c r="EP328" s="17" t="n"/>
      <c r="EQ328" s="16" t="n"/>
      <c r="ER328" s="20" t="inlineStr">
        <is>
          <t>IC Organic Acids</t>
        </is>
      </c>
      <c r="ES328" s="20" t="inlineStr">
        <is>
          <t>None</t>
        </is>
      </c>
      <c r="ET328" s="17" t="n"/>
      <c r="EU328" s="16" t="n"/>
      <c r="EV328" s="20" t="inlineStr">
        <is>
          <t>LC-MS</t>
        </is>
      </c>
      <c r="EW328" s="20" t="inlineStr">
        <is>
          <t>None</t>
        </is>
      </c>
      <c r="EX328" s="17" t="n"/>
      <c r="EY328" s="21" t="n"/>
      <c r="EZ328">
        <f>CONCATENATE(A328,B328)</f>
        <v/>
      </c>
      <c r="FA328">
        <f>CONCATENATE(SamplesX!A328,SamplesX!B328)</f>
        <v/>
      </c>
      <c r="FC328">
        <f>MATCH(EZ328,FA1:FA1008,0)</f>
        <v/>
      </c>
    </row>
    <row r="329">
      <c r="A329" s="16" t="inlineStr">
        <is>
          <t>BP</t>
        </is>
      </c>
      <c r="B329" s="17" t="inlineStr">
        <is>
          <t>25321</t>
        </is>
      </c>
      <c r="C329" s="10">
        <f>IF(ISNUMBER(FC329),INDIRECT("SamplesX!C"&amp;FC329),IF(ISNUMBER(FD329),INDIRECT("SamplesY!C"&amp;FD329),""))</f>
        <v/>
      </c>
      <c r="D329" s="12">
        <f>IF(ISNUMBER(FC329),INDIRECT("SamplesX!D"&amp;FC329),IF(ISNUMBER(FD329),INDIRECT("SamplesY!D"&amp;FD329),""))</f>
        <v/>
      </c>
      <c r="E329" s="12">
        <f>IF(ISNUMBER(FC329),INDIRECT("SamplesX!E"&amp;FC329),IF(ISNUMBER(FD329),INDIRECT("SamplesY!E"&amp;FD329),""))</f>
        <v/>
      </c>
      <c r="F329" s="11">
        <f>IF(ISNUMBER(FC329),INDIRECT("SamplesX!F"&amp;FC329),IF(ISNUMBER(FD329),INDIRECT("SamplesY!F"&amp;FD329),""))</f>
        <v/>
      </c>
      <c r="G329" s="18">
        <f>IF(ISNUMBER(FC329),INDIRECT("SamplesX!G"&amp;FC329),IF(ISNUMBER(FD329),INDIRECT("SamplesY!G"&amp;FD329),""))</f>
        <v/>
      </c>
      <c r="H329" s="19">
        <f>IF(ISNUMBER(FC329),INDIRECT("SamplesX!H"&amp;FC329),IF(ISNUMBER(FD329),INDIRECT("SamplesY!H"&amp;FD329),""))</f>
        <v/>
      </c>
      <c r="I329" s="16" t="n"/>
      <c r="J329" s="16" t="n"/>
      <c r="K329" s="16" t="n"/>
      <c r="L329" s="20" t="n"/>
      <c r="M329" s="20" t="inlineStr">
        <is>
          <t>None</t>
        </is>
      </c>
      <c r="N329" s="17" t="n"/>
      <c r="O329" s="16" t="n"/>
      <c r="P329" s="20" t="inlineStr">
        <is>
          <t>Shimadzu TOC-L</t>
        </is>
      </c>
      <c r="Q329" s="20" t="inlineStr">
        <is>
          <t>None</t>
        </is>
      </c>
      <c r="R329" s="17" t="n"/>
      <c r="S329" s="16" t="n"/>
      <c r="T329" s="20" t="inlineStr">
        <is>
          <t>Shimadzu TOC-L</t>
        </is>
      </c>
      <c r="U329" s="20" t="inlineStr">
        <is>
          <t>None</t>
        </is>
      </c>
      <c r="V329" s="17" t="n"/>
      <c r="W329" s="16" t="n"/>
      <c r="X329" s="20" t="n"/>
      <c r="Y329" s="20" t="inlineStr">
        <is>
          <t>None</t>
        </is>
      </c>
      <c r="Z329" s="17" t="n"/>
      <c r="AA329" s="16" t="n"/>
      <c r="AB329" s="20" t="n"/>
      <c r="AC329" s="20" t="inlineStr">
        <is>
          <t>None</t>
        </is>
      </c>
      <c r="AD329" s="17" t="n"/>
      <c r="AE329" s="16" t="n"/>
      <c r="AF329" s="20" t="inlineStr">
        <is>
          <t>IC Anionen</t>
        </is>
      </c>
      <c r="AG329" s="20" t="inlineStr">
        <is>
          <t>None</t>
        </is>
      </c>
      <c r="AH329" s="17" t="n"/>
      <c r="AI329" s="16" t="n"/>
      <c r="AJ329" s="20" t="n"/>
      <c r="AK329" s="20" t="inlineStr">
        <is>
          <t>None</t>
        </is>
      </c>
      <c r="AL329" s="17" t="n"/>
      <c r="AM329" s="16" t="n"/>
      <c r="AN329" s="20" t="inlineStr">
        <is>
          <t>IC Anionen</t>
        </is>
      </c>
      <c r="AO329" s="20" t="inlineStr">
        <is>
          <t>None</t>
        </is>
      </c>
      <c r="AP329" s="17" t="n"/>
      <c r="AQ329" s="16" t="n"/>
      <c r="AR329" s="20" t="n"/>
      <c r="AS329" s="20" t="inlineStr">
        <is>
          <t>None</t>
        </is>
      </c>
      <c r="AT329" s="17" t="n"/>
      <c r="AU329" s="16" t="n"/>
      <c r="AV329" s="20" t="n"/>
      <c r="AW329" s="20" t="inlineStr">
        <is>
          <t>None</t>
        </is>
      </c>
      <c r="AX329" s="17" t="n"/>
      <c r="AY329" s="16" t="n"/>
      <c r="AZ329" s="20" t="inlineStr">
        <is>
          <t>IC Anionen</t>
        </is>
      </c>
      <c r="BA329" s="20" t="inlineStr">
        <is>
          <t>None</t>
        </is>
      </c>
      <c r="BB329" s="17" t="n"/>
      <c r="BC329" s="16" t="n"/>
      <c r="BD329" s="20" t="inlineStr">
        <is>
          <t>IC Kationen</t>
        </is>
      </c>
      <c r="BE329" s="20" t="inlineStr">
        <is>
          <t>None</t>
        </is>
      </c>
      <c r="BF329" s="17" t="n"/>
      <c r="BG329" s="16" t="n"/>
      <c r="BH329" s="20" t="inlineStr">
        <is>
          <t>IC Kationen</t>
        </is>
      </c>
      <c r="BI329" s="20" t="inlineStr">
        <is>
          <t>None</t>
        </is>
      </c>
      <c r="BJ329" s="17" t="n"/>
      <c r="BK329" s="16" t="n"/>
      <c r="BL329" s="20" t="inlineStr">
        <is>
          <t>IC Kationen</t>
        </is>
      </c>
      <c r="BM329" s="20" t="inlineStr">
        <is>
          <t>None</t>
        </is>
      </c>
      <c r="BN329" s="17" t="n"/>
      <c r="BO329" s="16" t="n"/>
      <c r="BP329" s="20" t="inlineStr">
        <is>
          <t>IC Kationen</t>
        </is>
      </c>
      <c r="BQ329" s="20" t="inlineStr">
        <is>
          <t>None</t>
        </is>
      </c>
      <c r="BR329" s="17" t="n"/>
      <c r="BS329" s="16" t="n"/>
      <c r="BT329" s="20" t="inlineStr">
        <is>
          <t>IC Kationen</t>
        </is>
      </c>
      <c r="BU329" s="20" t="inlineStr">
        <is>
          <t>None</t>
        </is>
      </c>
      <c r="BV329" s="17" t="n"/>
      <c r="BW329" s="16" t="n"/>
      <c r="BX329" s="20" t="n"/>
      <c r="BY329" s="20" t="inlineStr">
        <is>
          <t>None</t>
        </is>
      </c>
      <c r="BZ329" s="17" t="n"/>
      <c r="CA329" s="16" t="n"/>
      <c r="CB329" s="20" t="n"/>
      <c r="CC329" s="20" t="inlineStr">
        <is>
          <t>None</t>
        </is>
      </c>
      <c r="CD329" s="17" t="n"/>
      <c r="CE329" s="16" t="n"/>
      <c r="CF329" s="20" t="n"/>
      <c r="CG329" s="20" t="inlineStr">
        <is>
          <t>None</t>
        </is>
      </c>
      <c r="CH329" s="17" t="n"/>
      <c r="CI329" s="16" t="n"/>
      <c r="CJ329" s="20" t="n"/>
      <c r="CK329" s="20" t="inlineStr">
        <is>
          <t>None</t>
        </is>
      </c>
      <c r="CL329" s="17" t="n"/>
      <c r="CM329" s="16" t="n"/>
      <c r="CN329" s="20" t="inlineStr">
        <is>
          <t>SOP 45-34</t>
        </is>
      </c>
      <c r="CO329" s="20" t="inlineStr">
        <is>
          <t>None</t>
        </is>
      </c>
      <c r="CP329" s="17" t="n"/>
      <c r="CQ329" s="16" t="n"/>
      <c r="CR329" s="20" t="n"/>
      <c r="CS329" s="20" t="inlineStr">
        <is>
          <t>None</t>
        </is>
      </c>
      <c r="CT329" s="17" t="n"/>
      <c r="CU329" s="16" t="n"/>
      <c r="CV329" s="20" t="n"/>
      <c r="CW329" s="20" t="inlineStr">
        <is>
          <t>None</t>
        </is>
      </c>
      <c r="CX329" s="17" t="n"/>
      <c r="CY329" s="16" t="n"/>
      <c r="CZ329" s="20" t="inlineStr">
        <is>
          <t>WTW Multimeter 3430 with FDO 925</t>
        </is>
      </c>
      <c r="DA329" s="20" t="inlineStr">
        <is>
          <t>None</t>
        </is>
      </c>
      <c r="DB329" s="17" t="n"/>
      <c r="DC329" s="16" t="n"/>
      <c r="DD329" s="20" t="n"/>
      <c r="DE329" s="20" t="inlineStr">
        <is>
          <t>None</t>
        </is>
      </c>
      <c r="DF329" s="17" t="n"/>
      <c r="DG329" s="16" t="n"/>
      <c r="DH329" s="20" t="inlineStr">
        <is>
          <t>SOP 45-09</t>
        </is>
      </c>
      <c r="DI329" s="20" t="inlineStr">
        <is>
          <t>None</t>
        </is>
      </c>
      <c r="DJ329" s="17" t="n"/>
      <c r="DK329" s="16" t="n"/>
      <c r="DL329" s="20" t="inlineStr">
        <is>
          <t>SOP 45-09 (SOP muss noch angepasst werden für VSS)</t>
        </is>
      </c>
      <c r="DM329" s="20" t="inlineStr">
        <is>
          <t>None</t>
        </is>
      </c>
      <c r="DN329" s="17" t="n"/>
      <c r="DO329" s="16" t="n"/>
      <c r="DP329" s="20" t="inlineStr">
        <is>
          <t>IC Organic Acids</t>
        </is>
      </c>
      <c r="DQ329" s="20" t="inlineStr">
        <is>
          <t>None</t>
        </is>
      </c>
      <c r="DR329" s="17" t="n"/>
      <c r="DS329" s="16" t="n"/>
      <c r="DT329" s="20" t="inlineStr">
        <is>
          <t>IC Organic Acids</t>
        </is>
      </c>
      <c r="DU329" s="20" t="inlineStr">
        <is>
          <t>None</t>
        </is>
      </c>
      <c r="DV329" s="17" t="n"/>
      <c r="DW329" s="16" t="n"/>
      <c r="DX329" s="20" t="inlineStr">
        <is>
          <t>IC Organic Acids</t>
        </is>
      </c>
      <c r="DY329" s="20" t="inlineStr">
        <is>
          <t>None</t>
        </is>
      </c>
      <c r="DZ329" s="17" t="n"/>
      <c r="EA329" s="16" t="n"/>
      <c r="EB329" s="20" t="inlineStr">
        <is>
          <t>IC Organic Acids</t>
        </is>
      </c>
      <c r="EC329" s="20" t="inlineStr">
        <is>
          <t>None</t>
        </is>
      </c>
      <c r="ED329" s="17" t="n"/>
      <c r="EE329" s="16" t="n"/>
      <c r="EF329" s="20" t="inlineStr">
        <is>
          <t>IC Organic Acids</t>
        </is>
      </c>
      <c r="EG329" s="20" t="inlineStr">
        <is>
          <t>None</t>
        </is>
      </c>
      <c r="EH329" s="17" t="n"/>
      <c r="EI329" s="16" t="n"/>
      <c r="EJ329" s="20" t="inlineStr">
        <is>
          <t>IC Organic Acids</t>
        </is>
      </c>
      <c r="EK329" s="20" t="inlineStr">
        <is>
          <t>None</t>
        </is>
      </c>
      <c r="EL329" s="17" t="n"/>
      <c r="EM329" s="16" t="n"/>
      <c r="EN329" s="20" t="inlineStr">
        <is>
          <t>IC Organic Acids</t>
        </is>
      </c>
      <c r="EO329" s="20" t="inlineStr">
        <is>
          <t>None</t>
        </is>
      </c>
      <c r="EP329" s="17" t="n"/>
      <c r="EQ329" s="16" t="n"/>
      <c r="ER329" s="20" t="inlineStr">
        <is>
          <t>IC Organic Acids</t>
        </is>
      </c>
      <c r="ES329" s="20" t="inlineStr">
        <is>
          <t>None</t>
        </is>
      </c>
      <c r="ET329" s="17" t="n"/>
      <c r="EU329" s="16" t="n"/>
      <c r="EV329" s="20" t="inlineStr">
        <is>
          <t>LC-MS</t>
        </is>
      </c>
      <c r="EW329" s="20" t="inlineStr">
        <is>
          <t>None</t>
        </is>
      </c>
      <c r="EX329" s="17" t="n"/>
      <c r="EY329" s="21" t="n"/>
      <c r="EZ329">
        <f>CONCATENATE(A329,B329)</f>
        <v/>
      </c>
      <c r="FA329">
        <f>CONCATENATE(SamplesX!A329,SamplesX!B329)</f>
        <v/>
      </c>
      <c r="FC329">
        <f>MATCH(EZ329,FA1:FA1008,0)</f>
        <v/>
      </c>
    </row>
    <row r="330">
      <c r="A330" s="16" t="inlineStr">
        <is>
          <t>BP</t>
        </is>
      </c>
      <c r="B330" s="17" t="inlineStr">
        <is>
          <t>25322</t>
        </is>
      </c>
      <c r="C330" s="10">
        <f>IF(ISNUMBER(FC330),INDIRECT("SamplesX!C"&amp;FC330),IF(ISNUMBER(FD330),INDIRECT("SamplesY!C"&amp;FD330),""))</f>
        <v/>
      </c>
      <c r="D330" s="12">
        <f>IF(ISNUMBER(FC330),INDIRECT("SamplesX!D"&amp;FC330),IF(ISNUMBER(FD330),INDIRECT("SamplesY!D"&amp;FD330),""))</f>
        <v/>
      </c>
      <c r="E330" s="12">
        <f>IF(ISNUMBER(FC330),INDIRECT("SamplesX!E"&amp;FC330),IF(ISNUMBER(FD330),INDIRECT("SamplesY!E"&amp;FD330),""))</f>
        <v/>
      </c>
      <c r="F330" s="11">
        <f>IF(ISNUMBER(FC330),INDIRECT("SamplesX!F"&amp;FC330),IF(ISNUMBER(FD330),INDIRECT("SamplesY!F"&amp;FD330),""))</f>
        <v/>
      </c>
      <c r="G330" s="18">
        <f>IF(ISNUMBER(FC330),INDIRECT("SamplesX!G"&amp;FC330),IF(ISNUMBER(FD330),INDIRECT("SamplesY!G"&amp;FD330),""))</f>
        <v/>
      </c>
      <c r="H330" s="19">
        <f>IF(ISNUMBER(FC330),INDIRECT("SamplesX!H"&amp;FC330),IF(ISNUMBER(FD330),INDIRECT("SamplesY!H"&amp;FD330),""))</f>
        <v/>
      </c>
      <c r="I330" s="16" t="n"/>
      <c r="J330" s="16" t="n"/>
      <c r="K330" s="16" t="n"/>
      <c r="L330" s="20" t="n"/>
      <c r="M330" s="20" t="inlineStr">
        <is>
          <t>None</t>
        </is>
      </c>
      <c r="N330" s="17" t="n"/>
      <c r="O330" s="16" t="n"/>
      <c r="P330" s="20" t="inlineStr">
        <is>
          <t>Shimadzu TOC-L</t>
        </is>
      </c>
      <c r="Q330" s="20" t="inlineStr">
        <is>
          <t>None</t>
        </is>
      </c>
      <c r="R330" s="17" t="n"/>
      <c r="S330" s="16" t="n"/>
      <c r="T330" s="20" t="inlineStr">
        <is>
          <t>Shimadzu TOC-L</t>
        </is>
      </c>
      <c r="U330" s="20" t="inlineStr">
        <is>
          <t>None</t>
        </is>
      </c>
      <c r="V330" s="17" t="n"/>
      <c r="W330" s="16" t="n"/>
      <c r="X330" s="20" t="n"/>
      <c r="Y330" s="20" t="inlineStr">
        <is>
          <t>None</t>
        </is>
      </c>
      <c r="Z330" s="17" t="n"/>
      <c r="AA330" s="16" t="n"/>
      <c r="AB330" s="20" t="n"/>
      <c r="AC330" s="20" t="inlineStr">
        <is>
          <t>None</t>
        </is>
      </c>
      <c r="AD330" s="17" t="n"/>
      <c r="AE330" s="16" t="n"/>
      <c r="AF330" s="20" t="inlineStr">
        <is>
          <t>IC Anionen</t>
        </is>
      </c>
      <c r="AG330" s="20" t="inlineStr">
        <is>
          <t>None</t>
        </is>
      </c>
      <c r="AH330" s="17" t="n"/>
      <c r="AI330" s="16" t="n"/>
      <c r="AJ330" s="20" t="n"/>
      <c r="AK330" s="20" t="inlineStr">
        <is>
          <t>None</t>
        </is>
      </c>
      <c r="AL330" s="17" t="n"/>
      <c r="AM330" s="16" t="n"/>
      <c r="AN330" s="20" t="inlineStr">
        <is>
          <t>IC Anionen</t>
        </is>
      </c>
      <c r="AO330" s="20" t="inlineStr">
        <is>
          <t>None</t>
        </is>
      </c>
      <c r="AP330" s="17" t="n"/>
      <c r="AQ330" s="16" t="n"/>
      <c r="AR330" s="20" t="n"/>
      <c r="AS330" s="20" t="inlineStr">
        <is>
          <t>None</t>
        </is>
      </c>
      <c r="AT330" s="17" t="n"/>
      <c r="AU330" s="16" t="n"/>
      <c r="AV330" s="20" t="n"/>
      <c r="AW330" s="20" t="inlineStr">
        <is>
          <t>None</t>
        </is>
      </c>
      <c r="AX330" s="17" t="n"/>
      <c r="AY330" s="16" t="n"/>
      <c r="AZ330" s="20" t="inlineStr">
        <is>
          <t>IC Anionen</t>
        </is>
      </c>
      <c r="BA330" s="20" t="inlineStr">
        <is>
          <t>None</t>
        </is>
      </c>
      <c r="BB330" s="17" t="n"/>
      <c r="BC330" s="16" t="n"/>
      <c r="BD330" s="20" t="inlineStr">
        <is>
          <t>IC Kationen</t>
        </is>
      </c>
      <c r="BE330" s="20" t="inlineStr">
        <is>
          <t>None</t>
        </is>
      </c>
      <c r="BF330" s="17" t="n"/>
      <c r="BG330" s="16" t="n"/>
      <c r="BH330" s="20" t="inlineStr">
        <is>
          <t>IC Kationen</t>
        </is>
      </c>
      <c r="BI330" s="20" t="inlineStr">
        <is>
          <t>None</t>
        </is>
      </c>
      <c r="BJ330" s="17" t="n"/>
      <c r="BK330" s="16" t="n"/>
      <c r="BL330" s="20" t="inlineStr">
        <is>
          <t>IC Kationen</t>
        </is>
      </c>
      <c r="BM330" s="20" t="inlineStr">
        <is>
          <t>None</t>
        </is>
      </c>
      <c r="BN330" s="17" t="n"/>
      <c r="BO330" s="16" t="n"/>
      <c r="BP330" s="20" t="inlineStr">
        <is>
          <t>IC Kationen</t>
        </is>
      </c>
      <c r="BQ330" s="20" t="inlineStr">
        <is>
          <t>None</t>
        </is>
      </c>
      <c r="BR330" s="17" t="n"/>
      <c r="BS330" s="16" t="n"/>
      <c r="BT330" s="20" t="inlineStr">
        <is>
          <t>IC Kationen</t>
        </is>
      </c>
      <c r="BU330" s="20" t="inlineStr">
        <is>
          <t>None</t>
        </is>
      </c>
      <c r="BV330" s="17" t="n"/>
      <c r="BW330" s="16" t="n"/>
      <c r="BX330" s="20" t="n"/>
      <c r="BY330" s="20" t="inlineStr">
        <is>
          <t>None</t>
        </is>
      </c>
      <c r="BZ330" s="17" t="n"/>
      <c r="CA330" s="16" t="n"/>
      <c r="CB330" s="20" t="n"/>
      <c r="CC330" s="20" t="inlineStr">
        <is>
          <t>None</t>
        </is>
      </c>
      <c r="CD330" s="17" t="n"/>
      <c r="CE330" s="16" t="n"/>
      <c r="CF330" s="20" t="n"/>
      <c r="CG330" s="20" t="inlineStr">
        <is>
          <t>None</t>
        </is>
      </c>
      <c r="CH330" s="17" t="n"/>
      <c r="CI330" s="16" t="n"/>
      <c r="CJ330" s="20" t="n"/>
      <c r="CK330" s="20" t="inlineStr">
        <is>
          <t>None</t>
        </is>
      </c>
      <c r="CL330" s="17" t="n"/>
      <c r="CM330" s="16" t="n"/>
      <c r="CN330" s="20" t="inlineStr">
        <is>
          <t>SOP 45-34</t>
        </is>
      </c>
      <c r="CO330" s="20" t="inlineStr">
        <is>
          <t>None</t>
        </is>
      </c>
      <c r="CP330" s="17" t="n"/>
      <c r="CQ330" s="16" t="n"/>
      <c r="CR330" s="20" t="n"/>
      <c r="CS330" s="20" t="inlineStr">
        <is>
          <t>None</t>
        </is>
      </c>
      <c r="CT330" s="17" t="n"/>
      <c r="CU330" s="16" t="n"/>
      <c r="CV330" s="20" t="n"/>
      <c r="CW330" s="20" t="inlineStr">
        <is>
          <t>None</t>
        </is>
      </c>
      <c r="CX330" s="17" t="n"/>
      <c r="CY330" s="16" t="n"/>
      <c r="CZ330" s="20" t="inlineStr">
        <is>
          <t>WTW Multimeter 3430 with FDO 925</t>
        </is>
      </c>
      <c r="DA330" s="20" t="inlineStr">
        <is>
          <t>None</t>
        </is>
      </c>
      <c r="DB330" s="17" t="n"/>
      <c r="DC330" s="16" t="n"/>
      <c r="DD330" s="20" t="n"/>
      <c r="DE330" s="20" t="inlineStr">
        <is>
          <t>None</t>
        </is>
      </c>
      <c r="DF330" s="17" t="n"/>
      <c r="DG330" s="16" t="n"/>
      <c r="DH330" s="20" t="inlineStr">
        <is>
          <t>SOP 45-09</t>
        </is>
      </c>
      <c r="DI330" s="20" t="inlineStr">
        <is>
          <t>None</t>
        </is>
      </c>
      <c r="DJ330" s="17" t="n"/>
      <c r="DK330" s="16" t="n"/>
      <c r="DL330" s="20" t="inlineStr">
        <is>
          <t>SOP 45-09 (SOP muss noch angepasst werden für VSS)</t>
        </is>
      </c>
      <c r="DM330" s="20" t="inlineStr">
        <is>
          <t>None</t>
        </is>
      </c>
      <c r="DN330" s="17" t="n"/>
      <c r="DO330" s="16" t="n"/>
      <c r="DP330" s="20" t="inlineStr">
        <is>
          <t>IC Organic Acids</t>
        </is>
      </c>
      <c r="DQ330" s="20" t="inlineStr">
        <is>
          <t>None</t>
        </is>
      </c>
      <c r="DR330" s="17" t="n"/>
      <c r="DS330" s="16" t="n"/>
      <c r="DT330" s="20" t="inlineStr">
        <is>
          <t>IC Organic Acids</t>
        </is>
      </c>
      <c r="DU330" s="20" t="inlineStr">
        <is>
          <t>None</t>
        </is>
      </c>
      <c r="DV330" s="17" t="n"/>
      <c r="DW330" s="16" t="n"/>
      <c r="DX330" s="20" t="inlineStr">
        <is>
          <t>IC Organic Acids</t>
        </is>
      </c>
      <c r="DY330" s="20" t="inlineStr">
        <is>
          <t>None</t>
        </is>
      </c>
      <c r="DZ330" s="17" t="n"/>
      <c r="EA330" s="16" t="n"/>
      <c r="EB330" s="20" t="inlineStr">
        <is>
          <t>IC Organic Acids</t>
        </is>
      </c>
      <c r="EC330" s="20" t="inlineStr">
        <is>
          <t>None</t>
        </is>
      </c>
      <c r="ED330" s="17" t="n"/>
      <c r="EE330" s="16" t="n"/>
      <c r="EF330" s="20" t="inlineStr">
        <is>
          <t>IC Organic Acids</t>
        </is>
      </c>
      <c r="EG330" s="20" t="inlineStr">
        <is>
          <t>None</t>
        </is>
      </c>
      <c r="EH330" s="17" t="n"/>
      <c r="EI330" s="16" t="n"/>
      <c r="EJ330" s="20" t="inlineStr">
        <is>
          <t>IC Organic Acids</t>
        </is>
      </c>
      <c r="EK330" s="20" t="inlineStr">
        <is>
          <t>None</t>
        </is>
      </c>
      <c r="EL330" s="17" t="n"/>
      <c r="EM330" s="16" t="n"/>
      <c r="EN330" s="20" t="inlineStr">
        <is>
          <t>IC Organic Acids</t>
        </is>
      </c>
      <c r="EO330" s="20" t="inlineStr">
        <is>
          <t>None</t>
        </is>
      </c>
      <c r="EP330" s="17" t="n"/>
      <c r="EQ330" s="16" t="n"/>
      <c r="ER330" s="20" t="inlineStr">
        <is>
          <t>IC Organic Acids</t>
        </is>
      </c>
      <c r="ES330" s="20" t="inlineStr">
        <is>
          <t>None</t>
        </is>
      </c>
      <c r="ET330" s="17" t="n"/>
      <c r="EU330" s="16" t="n"/>
      <c r="EV330" s="20" t="inlineStr">
        <is>
          <t>LC-MS</t>
        </is>
      </c>
      <c r="EW330" s="20" t="inlineStr">
        <is>
          <t>None</t>
        </is>
      </c>
      <c r="EX330" s="17" t="n"/>
      <c r="EY330" s="21" t="n"/>
      <c r="EZ330">
        <f>CONCATENATE(A330,B330)</f>
        <v/>
      </c>
      <c r="FA330">
        <f>CONCATENATE(SamplesX!A330,SamplesX!B330)</f>
        <v/>
      </c>
      <c r="FC330">
        <f>MATCH(EZ330,FA1:FA1008,0)</f>
        <v/>
      </c>
    </row>
    <row r="331">
      <c r="A331" s="16" t="inlineStr">
        <is>
          <t>BP</t>
        </is>
      </c>
      <c r="B331" s="17" t="inlineStr">
        <is>
          <t>25323</t>
        </is>
      </c>
      <c r="C331" s="10">
        <f>IF(ISNUMBER(FC331),INDIRECT("SamplesX!C"&amp;FC331),IF(ISNUMBER(FD331),INDIRECT("SamplesY!C"&amp;FD331),""))</f>
        <v/>
      </c>
      <c r="D331" s="12">
        <f>IF(ISNUMBER(FC331),INDIRECT("SamplesX!D"&amp;FC331),IF(ISNUMBER(FD331),INDIRECT("SamplesY!D"&amp;FD331),""))</f>
        <v/>
      </c>
      <c r="E331" s="12">
        <f>IF(ISNUMBER(FC331),INDIRECT("SamplesX!E"&amp;FC331),IF(ISNUMBER(FD331),INDIRECT("SamplesY!E"&amp;FD331),""))</f>
        <v/>
      </c>
      <c r="F331" s="11">
        <f>IF(ISNUMBER(FC331),INDIRECT("SamplesX!F"&amp;FC331),IF(ISNUMBER(FD331),INDIRECT("SamplesY!F"&amp;FD331),""))</f>
        <v/>
      </c>
      <c r="G331" s="18">
        <f>IF(ISNUMBER(FC331),INDIRECT("SamplesX!G"&amp;FC331),IF(ISNUMBER(FD331),INDIRECT("SamplesY!G"&amp;FD331),""))</f>
        <v/>
      </c>
      <c r="H331" s="19">
        <f>IF(ISNUMBER(FC331),INDIRECT("SamplesX!H"&amp;FC331),IF(ISNUMBER(FD331),INDIRECT("SamplesY!H"&amp;FD331),""))</f>
        <v/>
      </c>
      <c r="I331" s="16" t="n"/>
      <c r="J331" s="16" t="n"/>
      <c r="K331" s="16" t="n"/>
      <c r="L331" s="20" t="n"/>
      <c r="M331" s="20" t="inlineStr">
        <is>
          <t>None</t>
        </is>
      </c>
      <c r="N331" s="17" t="n"/>
      <c r="O331" s="16" t="n"/>
      <c r="P331" s="20" t="inlineStr">
        <is>
          <t>Shimadzu TOC-L</t>
        </is>
      </c>
      <c r="Q331" s="20" t="inlineStr">
        <is>
          <t>None</t>
        </is>
      </c>
      <c r="R331" s="17" t="n"/>
      <c r="S331" s="16" t="n"/>
      <c r="T331" s="20" t="inlineStr">
        <is>
          <t>Shimadzu TOC-L</t>
        </is>
      </c>
      <c r="U331" s="20" t="inlineStr">
        <is>
          <t>None</t>
        </is>
      </c>
      <c r="V331" s="17" t="n"/>
      <c r="W331" s="16" t="n"/>
      <c r="X331" s="20" t="n"/>
      <c r="Y331" s="20" t="inlineStr">
        <is>
          <t>None</t>
        </is>
      </c>
      <c r="Z331" s="17" t="n"/>
      <c r="AA331" s="16" t="n"/>
      <c r="AB331" s="20" t="n"/>
      <c r="AC331" s="20" t="inlineStr">
        <is>
          <t>None</t>
        </is>
      </c>
      <c r="AD331" s="17" t="n"/>
      <c r="AE331" s="16" t="n"/>
      <c r="AF331" s="20" t="inlineStr">
        <is>
          <t>IC Anionen</t>
        </is>
      </c>
      <c r="AG331" s="20" t="inlineStr">
        <is>
          <t>None</t>
        </is>
      </c>
      <c r="AH331" s="17" t="n"/>
      <c r="AI331" s="16" t="n"/>
      <c r="AJ331" s="20" t="n"/>
      <c r="AK331" s="20" t="inlineStr">
        <is>
          <t>None</t>
        </is>
      </c>
      <c r="AL331" s="17" t="n"/>
      <c r="AM331" s="16" t="n"/>
      <c r="AN331" s="20" t="inlineStr">
        <is>
          <t>IC Anionen</t>
        </is>
      </c>
      <c r="AO331" s="20" t="inlineStr">
        <is>
          <t>None</t>
        </is>
      </c>
      <c r="AP331" s="17" t="n"/>
      <c r="AQ331" s="16" t="n"/>
      <c r="AR331" s="20" t="n"/>
      <c r="AS331" s="20" t="inlineStr">
        <is>
          <t>None</t>
        </is>
      </c>
      <c r="AT331" s="17" t="n"/>
      <c r="AU331" s="16" t="n"/>
      <c r="AV331" s="20" t="n"/>
      <c r="AW331" s="20" t="inlineStr">
        <is>
          <t>None</t>
        </is>
      </c>
      <c r="AX331" s="17" t="n"/>
      <c r="AY331" s="16" t="n"/>
      <c r="AZ331" s="20" t="inlineStr">
        <is>
          <t>IC Anionen</t>
        </is>
      </c>
      <c r="BA331" s="20" t="inlineStr">
        <is>
          <t>None</t>
        </is>
      </c>
      <c r="BB331" s="17" t="n"/>
      <c r="BC331" s="16" t="n"/>
      <c r="BD331" s="20" t="inlineStr">
        <is>
          <t>IC Kationen</t>
        </is>
      </c>
      <c r="BE331" s="20" t="inlineStr">
        <is>
          <t>None</t>
        </is>
      </c>
      <c r="BF331" s="17" t="n"/>
      <c r="BG331" s="16" t="n"/>
      <c r="BH331" s="20" t="inlineStr">
        <is>
          <t>IC Kationen</t>
        </is>
      </c>
      <c r="BI331" s="20" t="inlineStr">
        <is>
          <t>None</t>
        </is>
      </c>
      <c r="BJ331" s="17" t="n"/>
      <c r="BK331" s="16" t="n"/>
      <c r="BL331" s="20" t="inlineStr">
        <is>
          <t>IC Kationen</t>
        </is>
      </c>
      <c r="BM331" s="20" t="inlineStr">
        <is>
          <t>None</t>
        </is>
      </c>
      <c r="BN331" s="17" t="n"/>
      <c r="BO331" s="16" t="n"/>
      <c r="BP331" s="20" t="inlineStr">
        <is>
          <t>IC Kationen</t>
        </is>
      </c>
      <c r="BQ331" s="20" t="inlineStr">
        <is>
          <t>None</t>
        </is>
      </c>
      <c r="BR331" s="17" t="n"/>
      <c r="BS331" s="16" t="n"/>
      <c r="BT331" s="20" t="inlineStr">
        <is>
          <t>IC Kationen</t>
        </is>
      </c>
      <c r="BU331" s="20" t="inlineStr">
        <is>
          <t>None</t>
        </is>
      </c>
      <c r="BV331" s="17" t="n"/>
      <c r="BW331" s="16" t="n"/>
      <c r="BX331" s="20" t="n"/>
      <c r="BY331" s="20" t="inlineStr">
        <is>
          <t>None</t>
        </is>
      </c>
      <c r="BZ331" s="17" t="n"/>
      <c r="CA331" s="16" t="n"/>
      <c r="CB331" s="20" t="n"/>
      <c r="CC331" s="20" t="inlineStr">
        <is>
          <t>None</t>
        </is>
      </c>
      <c r="CD331" s="17" t="n"/>
      <c r="CE331" s="16" t="n"/>
      <c r="CF331" s="20" t="n"/>
      <c r="CG331" s="20" t="inlineStr">
        <is>
          <t>None</t>
        </is>
      </c>
      <c r="CH331" s="17" t="n"/>
      <c r="CI331" s="16" t="n"/>
      <c r="CJ331" s="20" t="n"/>
      <c r="CK331" s="20" t="inlineStr">
        <is>
          <t>None</t>
        </is>
      </c>
      <c r="CL331" s="17" t="n"/>
      <c r="CM331" s="16" t="n"/>
      <c r="CN331" s="20" t="inlineStr">
        <is>
          <t>SOP 45-34</t>
        </is>
      </c>
      <c r="CO331" s="20" t="inlineStr">
        <is>
          <t>None</t>
        </is>
      </c>
      <c r="CP331" s="17" t="n"/>
      <c r="CQ331" s="16" t="n"/>
      <c r="CR331" s="20" t="n"/>
      <c r="CS331" s="20" t="inlineStr">
        <is>
          <t>None</t>
        </is>
      </c>
      <c r="CT331" s="17" t="n"/>
      <c r="CU331" s="16" t="n"/>
      <c r="CV331" s="20" t="n"/>
      <c r="CW331" s="20" t="inlineStr">
        <is>
          <t>None</t>
        </is>
      </c>
      <c r="CX331" s="17" t="n"/>
      <c r="CY331" s="16" t="n"/>
      <c r="CZ331" s="20" t="inlineStr">
        <is>
          <t>WTW Multimeter 3430 with FDO 925</t>
        </is>
      </c>
      <c r="DA331" s="20" t="inlineStr">
        <is>
          <t>None</t>
        </is>
      </c>
      <c r="DB331" s="17" t="n"/>
      <c r="DC331" s="16" t="n"/>
      <c r="DD331" s="20" t="n"/>
      <c r="DE331" s="20" t="inlineStr">
        <is>
          <t>None</t>
        </is>
      </c>
      <c r="DF331" s="17" t="n"/>
      <c r="DG331" s="16" t="n"/>
      <c r="DH331" s="20" t="inlineStr">
        <is>
          <t>SOP 45-09</t>
        </is>
      </c>
      <c r="DI331" s="20" t="inlineStr">
        <is>
          <t>None</t>
        </is>
      </c>
      <c r="DJ331" s="17" t="n"/>
      <c r="DK331" s="16" t="n"/>
      <c r="DL331" s="20" t="inlineStr">
        <is>
          <t>SOP 45-09 (SOP muss noch angepasst werden für VSS)</t>
        </is>
      </c>
      <c r="DM331" s="20" t="inlineStr">
        <is>
          <t>None</t>
        </is>
      </c>
      <c r="DN331" s="17" t="n"/>
      <c r="DO331" s="16" t="n"/>
      <c r="DP331" s="20" t="inlineStr">
        <is>
          <t>IC Organic Acids</t>
        </is>
      </c>
      <c r="DQ331" s="20" t="inlineStr">
        <is>
          <t>None</t>
        </is>
      </c>
      <c r="DR331" s="17" t="n"/>
      <c r="DS331" s="16" t="n"/>
      <c r="DT331" s="20" t="inlineStr">
        <is>
          <t>IC Organic Acids</t>
        </is>
      </c>
      <c r="DU331" s="20" t="inlineStr">
        <is>
          <t>None</t>
        </is>
      </c>
      <c r="DV331" s="17" t="n"/>
      <c r="DW331" s="16" t="n"/>
      <c r="DX331" s="20" t="inlineStr">
        <is>
          <t>IC Organic Acids</t>
        </is>
      </c>
      <c r="DY331" s="20" t="inlineStr">
        <is>
          <t>None</t>
        </is>
      </c>
      <c r="DZ331" s="17" t="n"/>
      <c r="EA331" s="16" t="n"/>
      <c r="EB331" s="20" t="inlineStr">
        <is>
          <t>IC Organic Acids</t>
        </is>
      </c>
      <c r="EC331" s="20" t="inlineStr">
        <is>
          <t>None</t>
        </is>
      </c>
      <c r="ED331" s="17" t="n"/>
      <c r="EE331" s="16" t="n"/>
      <c r="EF331" s="20" t="inlineStr">
        <is>
          <t>IC Organic Acids</t>
        </is>
      </c>
      <c r="EG331" s="20" t="inlineStr">
        <is>
          <t>None</t>
        </is>
      </c>
      <c r="EH331" s="17" t="n"/>
      <c r="EI331" s="16" t="n"/>
      <c r="EJ331" s="20" t="inlineStr">
        <is>
          <t>IC Organic Acids</t>
        </is>
      </c>
      <c r="EK331" s="20" t="inlineStr">
        <is>
          <t>None</t>
        </is>
      </c>
      <c r="EL331" s="17" t="n"/>
      <c r="EM331" s="16" t="n"/>
      <c r="EN331" s="20" t="inlineStr">
        <is>
          <t>IC Organic Acids</t>
        </is>
      </c>
      <c r="EO331" s="20" t="inlineStr">
        <is>
          <t>None</t>
        </is>
      </c>
      <c r="EP331" s="17" t="n"/>
      <c r="EQ331" s="16" t="n"/>
      <c r="ER331" s="20" t="inlineStr">
        <is>
          <t>IC Organic Acids</t>
        </is>
      </c>
      <c r="ES331" s="20" t="inlineStr">
        <is>
          <t>None</t>
        </is>
      </c>
      <c r="ET331" s="17" t="n"/>
      <c r="EU331" s="16" t="n"/>
      <c r="EV331" s="20" t="inlineStr">
        <is>
          <t>LC-MS</t>
        </is>
      </c>
      <c r="EW331" s="20" t="inlineStr">
        <is>
          <t>None</t>
        </is>
      </c>
      <c r="EX331" s="17" t="n"/>
      <c r="EY331" s="21" t="n"/>
      <c r="EZ331">
        <f>CONCATENATE(A331,B331)</f>
        <v/>
      </c>
      <c r="FA331">
        <f>CONCATENATE(SamplesX!A331,SamplesX!B331)</f>
        <v/>
      </c>
      <c r="FC331">
        <f>MATCH(EZ331,FA1:FA1008,0)</f>
        <v/>
      </c>
    </row>
    <row r="332">
      <c r="A332" s="16" t="inlineStr">
        <is>
          <t>BP</t>
        </is>
      </c>
      <c r="B332" s="17" t="inlineStr">
        <is>
          <t>25324</t>
        </is>
      </c>
      <c r="C332" s="10">
        <f>IF(ISNUMBER(FC332),INDIRECT("SamplesX!C"&amp;FC332),IF(ISNUMBER(FD332),INDIRECT("SamplesY!C"&amp;FD332),""))</f>
        <v/>
      </c>
      <c r="D332" s="12">
        <f>IF(ISNUMBER(FC332),INDIRECT("SamplesX!D"&amp;FC332),IF(ISNUMBER(FD332),INDIRECT("SamplesY!D"&amp;FD332),""))</f>
        <v/>
      </c>
      <c r="E332" s="12">
        <f>IF(ISNUMBER(FC332),INDIRECT("SamplesX!E"&amp;FC332),IF(ISNUMBER(FD332),INDIRECT("SamplesY!E"&amp;FD332),""))</f>
        <v/>
      </c>
      <c r="F332" s="11">
        <f>IF(ISNUMBER(FC332),INDIRECT("SamplesX!F"&amp;FC332),IF(ISNUMBER(FD332),INDIRECT("SamplesY!F"&amp;FD332),""))</f>
        <v/>
      </c>
      <c r="G332" s="18">
        <f>IF(ISNUMBER(FC332),INDIRECT("SamplesX!G"&amp;FC332),IF(ISNUMBER(FD332),INDIRECT("SamplesY!G"&amp;FD332),""))</f>
        <v/>
      </c>
      <c r="H332" s="19">
        <f>IF(ISNUMBER(FC332),INDIRECT("SamplesX!H"&amp;FC332),IF(ISNUMBER(FD332),INDIRECT("SamplesY!H"&amp;FD332),""))</f>
        <v/>
      </c>
      <c r="I332" s="16" t="n"/>
      <c r="J332" s="16" t="n"/>
      <c r="K332" s="16" t="n"/>
      <c r="L332" s="20" t="n"/>
      <c r="M332" s="20" t="inlineStr">
        <is>
          <t>None</t>
        </is>
      </c>
      <c r="N332" s="17" t="n"/>
      <c r="O332" s="16" t="n"/>
      <c r="P332" s="20" t="inlineStr">
        <is>
          <t>Shimadzu TOC-L</t>
        </is>
      </c>
      <c r="Q332" s="20" t="inlineStr">
        <is>
          <t>None</t>
        </is>
      </c>
      <c r="R332" s="17" t="n"/>
      <c r="S332" s="16" t="n"/>
      <c r="T332" s="20" t="inlineStr">
        <is>
          <t>Shimadzu TOC-L</t>
        </is>
      </c>
      <c r="U332" s="20" t="inlineStr">
        <is>
          <t>None</t>
        </is>
      </c>
      <c r="V332" s="17" t="n"/>
      <c r="W332" s="16" t="n"/>
      <c r="X332" s="20" t="n"/>
      <c r="Y332" s="20" t="inlineStr">
        <is>
          <t>None</t>
        </is>
      </c>
      <c r="Z332" s="17" t="n"/>
      <c r="AA332" s="16" t="n"/>
      <c r="AB332" s="20" t="n"/>
      <c r="AC332" s="20" t="inlineStr">
        <is>
          <t>None</t>
        </is>
      </c>
      <c r="AD332" s="17" t="n"/>
      <c r="AE332" s="16" t="n"/>
      <c r="AF332" s="20" t="inlineStr">
        <is>
          <t>IC Anionen</t>
        </is>
      </c>
      <c r="AG332" s="20" t="inlineStr">
        <is>
          <t>None</t>
        </is>
      </c>
      <c r="AH332" s="17" t="n"/>
      <c r="AI332" s="16" t="n"/>
      <c r="AJ332" s="20" t="n"/>
      <c r="AK332" s="20" t="inlineStr">
        <is>
          <t>None</t>
        </is>
      </c>
      <c r="AL332" s="17" t="n"/>
      <c r="AM332" s="16" t="n"/>
      <c r="AN332" s="20" t="inlineStr">
        <is>
          <t>IC Anionen</t>
        </is>
      </c>
      <c r="AO332" s="20" t="inlineStr">
        <is>
          <t>None</t>
        </is>
      </c>
      <c r="AP332" s="17" t="n"/>
      <c r="AQ332" s="16" t="n"/>
      <c r="AR332" s="20" t="n"/>
      <c r="AS332" s="20" t="inlineStr">
        <is>
          <t>None</t>
        </is>
      </c>
      <c r="AT332" s="17" t="n"/>
      <c r="AU332" s="16" t="n"/>
      <c r="AV332" s="20" t="n"/>
      <c r="AW332" s="20" t="inlineStr">
        <is>
          <t>None</t>
        </is>
      </c>
      <c r="AX332" s="17" t="n"/>
      <c r="AY332" s="16" t="n"/>
      <c r="AZ332" s="20" t="inlineStr">
        <is>
          <t>IC Anionen</t>
        </is>
      </c>
      <c r="BA332" s="20" t="inlineStr">
        <is>
          <t>None</t>
        </is>
      </c>
      <c r="BB332" s="17" t="n"/>
      <c r="BC332" s="16" t="n"/>
      <c r="BD332" s="20" t="inlineStr">
        <is>
          <t>IC Kationen</t>
        </is>
      </c>
      <c r="BE332" s="20" t="inlineStr">
        <is>
          <t>None</t>
        </is>
      </c>
      <c r="BF332" s="17" t="n"/>
      <c r="BG332" s="16" t="n"/>
      <c r="BH332" s="20" t="inlineStr">
        <is>
          <t>IC Kationen</t>
        </is>
      </c>
      <c r="BI332" s="20" t="inlineStr">
        <is>
          <t>None</t>
        </is>
      </c>
      <c r="BJ332" s="17" t="n"/>
      <c r="BK332" s="16" t="n"/>
      <c r="BL332" s="20" t="inlineStr">
        <is>
          <t>IC Kationen</t>
        </is>
      </c>
      <c r="BM332" s="20" t="inlineStr">
        <is>
          <t>None</t>
        </is>
      </c>
      <c r="BN332" s="17" t="n"/>
      <c r="BO332" s="16" t="n"/>
      <c r="BP332" s="20" t="inlineStr">
        <is>
          <t>IC Kationen</t>
        </is>
      </c>
      <c r="BQ332" s="20" t="inlineStr">
        <is>
          <t>None</t>
        </is>
      </c>
      <c r="BR332" s="17" t="n"/>
      <c r="BS332" s="16" t="n"/>
      <c r="BT332" s="20" t="inlineStr">
        <is>
          <t>IC Kationen</t>
        </is>
      </c>
      <c r="BU332" s="20" t="inlineStr">
        <is>
          <t>None</t>
        </is>
      </c>
      <c r="BV332" s="17" t="n"/>
      <c r="BW332" s="16" t="n"/>
      <c r="BX332" s="20" t="n"/>
      <c r="BY332" s="20" t="inlineStr">
        <is>
          <t>None</t>
        </is>
      </c>
      <c r="BZ332" s="17" t="n"/>
      <c r="CA332" s="16" t="n"/>
      <c r="CB332" s="20" t="n"/>
      <c r="CC332" s="20" t="inlineStr">
        <is>
          <t>None</t>
        </is>
      </c>
      <c r="CD332" s="17" t="n"/>
      <c r="CE332" s="16" t="n"/>
      <c r="CF332" s="20" t="n"/>
      <c r="CG332" s="20" t="inlineStr">
        <is>
          <t>None</t>
        </is>
      </c>
      <c r="CH332" s="17" t="n"/>
      <c r="CI332" s="16" t="n"/>
      <c r="CJ332" s="20" t="n"/>
      <c r="CK332" s="20" t="inlineStr">
        <is>
          <t>None</t>
        </is>
      </c>
      <c r="CL332" s="17" t="n"/>
      <c r="CM332" s="16" t="n"/>
      <c r="CN332" s="20" t="inlineStr">
        <is>
          <t>SOP 45-34</t>
        </is>
      </c>
      <c r="CO332" s="20" t="inlineStr">
        <is>
          <t>None</t>
        </is>
      </c>
      <c r="CP332" s="17" t="n"/>
      <c r="CQ332" s="16" t="n"/>
      <c r="CR332" s="20" t="n"/>
      <c r="CS332" s="20" t="inlineStr">
        <is>
          <t>None</t>
        </is>
      </c>
      <c r="CT332" s="17" t="n"/>
      <c r="CU332" s="16" t="n"/>
      <c r="CV332" s="20" t="n"/>
      <c r="CW332" s="20" t="inlineStr">
        <is>
          <t>None</t>
        </is>
      </c>
      <c r="CX332" s="17" t="n"/>
      <c r="CY332" s="16" t="n"/>
      <c r="CZ332" s="20" t="inlineStr">
        <is>
          <t>WTW Multimeter 3430 with FDO 925</t>
        </is>
      </c>
      <c r="DA332" s="20" t="inlineStr">
        <is>
          <t>None</t>
        </is>
      </c>
      <c r="DB332" s="17" t="n"/>
      <c r="DC332" s="16" t="n"/>
      <c r="DD332" s="20" t="n"/>
      <c r="DE332" s="20" t="inlineStr">
        <is>
          <t>None</t>
        </is>
      </c>
      <c r="DF332" s="17" t="n"/>
      <c r="DG332" s="16" t="n"/>
      <c r="DH332" s="20" t="inlineStr">
        <is>
          <t>SOP 45-09</t>
        </is>
      </c>
      <c r="DI332" s="20" t="inlineStr">
        <is>
          <t>None</t>
        </is>
      </c>
      <c r="DJ332" s="17" t="n"/>
      <c r="DK332" s="16" t="n"/>
      <c r="DL332" s="20" t="inlineStr">
        <is>
          <t>SOP 45-09 (SOP muss noch angepasst werden für VSS)</t>
        </is>
      </c>
      <c r="DM332" s="20" t="inlineStr">
        <is>
          <t>None</t>
        </is>
      </c>
      <c r="DN332" s="17" t="n"/>
      <c r="DO332" s="16" t="n"/>
      <c r="DP332" s="20" t="inlineStr">
        <is>
          <t>IC Organic Acids</t>
        </is>
      </c>
      <c r="DQ332" s="20" t="inlineStr">
        <is>
          <t>None</t>
        </is>
      </c>
      <c r="DR332" s="17" t="n"/>
      <c r="DS332" s="16" t="n"/>
      <c r="DT332" s="20" t="inlineStr">
        <is>
          <t>IC Organic Acids</t>
        </is>
      </c>
      <c r="DU332" s="20" t="inlineStr">
        <is>
          <t>None</t>
        </is>
      </c>
      <c r="DV332" s="17" t="n"/>
      <c r="DW332" s="16" t="n"/>
      <c r="DX332" s="20" t="inlineStr">
        <is>
          <t>IC Organic Acids</t>
        </is>
      </c>
      <c r="DY332" s="20" t="inlineStr">
        <is>
          <t>None</t>
        </is>
      </c>
      <c r="DZ332" s="17" t="n"/>
      <c r="EA332" s="16" t="n"/>
      <c r="EB332" s="20" t="inlineStr">
        <is>
          <t>IC Organic Acids</t>
        </is>
      </c>
      <c r="EC332" s="20" t="inlineStr">
        <is>
          <t>None</t>
        </is>
      </c>
      <c r="ED332" s="17" t="n"/>
      <c r="EE332" s="16" t="n"/>
      <c r="EF332" s="20" t="inlineStr">
        <is>
          <t>IC Organic Acids</t>
        </is>
      </c>
      <c r="EG332" s="20" t="inlineStr">
        <is>
          <t>None</t>
        </is>
      </c>
      <c r="EH332" s="17" t="n"/>
      <c r="EI332" s="16" t="n"/>
      <c r="EJ332" s="20" t="inlineStr">
        <is>
          <t>IC Organic Acids</t>
        </is>
      </c>
      <c r="EK332" s="20" t="inlineStr">
        <is>
          <t>None</t>
        </is>
      </c>
      <c r="EL332" s="17" t="n"/>
      <c r="EM332" s="16" t="n"/>
      <c r="EN332" s="20" t="inlineStr">
        <is>
          <t>IC Organic Acids</t>
        </is>
      </c>
      <c r="EO332" s="20" t="inlineStr">
        <is>
          <t>None</t>
        </is>
      </c>
      <c r="EP332" s="17" t="n"/>
      <c r="EQ332" s="16" t="n"/>
      <c r="ER332" s="20" t="inlineStr">
        <is>
          <t>IC Organic Acids</t>
        </is>
      </c>
      <c r="ES332" s="20" t="inlineStr">
        <is>
          <t>None</t>
        </is>
      </c>
      <c r="ET332" s="17" t="n"/>
      <c r="EU332" s="16" t="n"/>
      <c r="EV332" s="20" t="inlineStr">
        <is>
          <t>LC-MS</t>
        </is>
      </c>
      <c r="EW332" s="20" t="inlineStr">
        <is>
          <t>None</t>
        </is>
      </c>
      <c r="EX332" s="17" t="n"/>
      <c r="EY332" s="21" t="n"/>
      <c r="EZ332">
        <f>CONCATENATE(A332,B332)</f>
        <v/>
      </c>
      <c r="FA332">
        <f>CONCATENATE(SamplesX!A332,SamplesX!B332)</f>
        <v/>
      </c>
      <c r="FC332">
        <f>MATCH(EZ332,FA1:FA1008,0)</f>
        <v/>
      </c>
    </row>
    <row r="333">
      <c r="A333" s="16" t="inlineStr">
        <is>
          <t>BP</t>
        </is>
      </c>
      <c r="B333" s="17" t="inlineStr">
        <is>
          <t>25325</t>
        </is>
      </c>
      <c r="C333" s="10">
        <f>IF(ISNUMBER(FC333),INDIRECT("SamplesX!C"&amp;FC333),IF(ISNUMBER(FD333),INDIRECT("SamplesY!C"&amp;FD333),""))</f>
        <v/>
      </c>
      <c r="D333" s="12">
        <f>IF(ISNUMBER(FC333),INDIRECT("SamplesX!D"&amp;FC333),IF(ISNUMBER(FD333),INDIRECT("SamplesY!D"&amp;FD333),""))</f>
        <v/>
      </c>
      <c r="E333" s="12">
        <f>IF(ISNUMBER(FC333),INDIRECT("SamplesX!E"&amp;FC333),IF(ISNUMBER(FD333),INDIRECT("SamplesY!E"&amp;FD333),""))</f>
        <v/>
      </c>
      <c r="F333" s="11">
        <f>IF(ISNUMBER(FC333),INDIRECT("SamplesX!F"&amp;FC333),IF(ISNUMBER(FD333),INDIRECT("SamplesY!F"&amp;FD333),""))</f>
        <v/>
      </c>
      <c r="G333" s="18">
        <f>IF(ISNUMBER(FC333),INDIRECT("SamplesX!G"&amp;FC333),IF(ISNUMBER(FD333),INDIRECT("SamplesY!G"&amp;FD333),""))</f>
        <v/>
      </c>
      <c r="H333" s="19">
        <f>IF(ISNUMBER(FC333),INDIRECT("SamplesX!H"&amp;FC333),IF(ISNUMBER(FD333),INDIRECT("SamplesY!H"&amp;FD333),""))</f>
        <v/>
      </c>
      <c r="I333" s="16" t="n"/>
      <c r="J333" s="16" t="n"/>
      <c r="K333" s="16" t="n"/>
      <c r="L333" s="20" t="n"/>
      <c r="M333" s="20" t="inlineStr">
        <is>
          <t>None</t>
        </is>
      </c>
      <c r="N333" s="17" t="n"/>
      <c r="O333" s="16" t="n"/>
      <c r="P333" s="20" t="inlineStr">
        <is>
          <t>Shimadzu TOC-L</t>
        </is>
      </c>
      <c r="Q333" s="20" t="inlineStr">
        <is>
          <t>None</t>
        </is>
      </c>
      <c r="R333" s="17" t="n"/>
      <c r="S333" s="16" t="n"/>
      <c r="T333" s="20" t="inlineStr">
        <is>
          <t>Shimadzu TOC-L</t>
        </is>
      </c>
      <c r="U333" s="20" t="inlineStr">
        <is>
          <t>None</t>
        </is>
      </c>
      <c r="V333" s="17" t="n"/>
      <c r="W333" s="16" t="n"/>
      <c r="X333" s="20" t="n"/>
      <c r="Y333" s="20" t="inlineStr">
        <is>
          <t>None</t>
        </is>
      </c>
      <c r="Z333" s="17" t="n"/>
      <c r="AA333" s="16" t="n"/>
      <c r="AB333" s="20" t="n"/>
      <c r="AC333" s="20" t="inlineStr">
        <is>
          <t>None</t>
        </is>
      </c>
      <c r="AD333" s="17" t="n"/>
      <c r="AE333" s="16" t="n"/>
      <c r="AF333" s="20" t="inlineStr">
        <is>
          <t>IC Anionen</t>
        </is>
      </c>
      <c r="AG333" s="20" t="inlineStr">
        <is>
          <t>None</t>
        </is>
      </c>
      <c r="AH333" s="17" t="n"/>
      <c r="AI333" s="16" t="n"/>
      <c r="AJ333" s="20" t="n"/>
      <c r="AK333" s="20" t="inlineStr">
        <is>
          <t>None</t>
        </is>
      </c>
      <c r="AL333" s="17" t="n"/>
      <c r="AM333" s="16" t="n"/>
      <c r="AN333" s="20" t="inlineStr">
        <is>
          <t>IC Anionen</t>
        </is>
      </c>
      <c r="AO333" s="20" t="inlineStr">
        <is>
          <t>None</t>
        </is>
      </c>
      <c r="AP333" s="17" t="n"/>
      <c r="AQ333" s="16" t="n"/>
      <c r="AR333" s="20" t="n"/>
      <c r="AS333" s="20" t="inlineStr">
        <is>
          <t>None</t>
        </is>
      </c>
      <c r="AT333" s="17" t="n"/>
      <c r="AU333" s="16" t="n"/>
      <c r="AV333" s="20" t="n"/>
      <c r="AW333" s="20" t="inlineStr">
        <is>
          <t>None</t>
        </is>
      </c>
      <c r="AX333" s="17" t="n"/>
      <c r="AY333" s="16" t="n"/>
      <c r="AZ333" s="20" t="inlineStr">
        <is>
          <t>IC Anionen</t>
        </is>
      </c>
      <c r="BA333" s="20" t="inlineStr">
        <is>
          <t>None</t>
        </is>
      </c>
      <c r="BB333" s="17" t="n"/>
      <c r="BC333" s="16" t="n"/>
      <c r="BD333" s="20" t="inlineStr">
        <is>
          <t>IC Kationen</t>
        </is>
      </c>
      <c r="BE333" s="20" t="inlineStr">
        <is>
          <t>None</t>
        </is>
      </c>
      <c r="BF333" s="17" t="n"/>
      <c r="BG333" s="16" t="n"/>
      <c r="BH333" s="20" t="inlineStr">
        <is>
          <t>IC Kationen</t>
        </is>
      </c>
      <c r="BI333" s="20" t="inlineStr">
        <is>
          <t>None</t>
        </is>
      </c>
      <c r="BJ333" s="17" t="n"/>
      <c r="BK333" s="16" t="n"/>
      <c r="BL333" s="20" t="inlineStr">
        <is>
          <t>IC Kationen</t>
        </is>
      </c>
      <c r="BM333" s="20" t="inlineStr">
        <is>
          <t>None</t>
        </is>
      </c>
      <c r="BN333" s="17" t="n"/>
      <c r="BO333" s="16" t="n"/>
      <c r="BP333" s="20" t="inlineStr">
        <is>
          <t>IC Kationen</t>
        </is>
      </c>
      <c r="BQ333" s="20" t="inlineStr">
        <is>
          <t>None</t>
        </is>
      </c>
      <c r="BR333" s="17" t="n"/>
      <c r="BS333" s="16" t="n"/>
      <c r="BT333" s="20" t="inlineStr">
        <is>
          <t>IC Kationen</t>
        </is>
      </c>
      <c r="BU333" s="20" t="inlineStr">
        <is>
          <t>None</t>
        </is>
      </c>
      <c r="BV333" s="17" t="n"/>
      <c r="BW333" s="16" t="n"/>
      <c r="BX333" s="20" t="n"/>
      <c r="BY333" s="20" t="inlineStr">
        <is>
          <t>None</t>
        </is>
      </c>
      <c r="BZ333" s="17" t="n"/>
      <c r="CA333" s="16" t="n"/>
      <c r="CB333" s="20" t="n"/>
      <c r="CC333" s="20" t="inlineStr">
        <is>
          <t>None</t>
        </is>
      </c>
      <c r="CD333" s="17" t="n"/>
      <c r="CE333" s="16" t="n"/>
      <c r="CF333" s="20" t="n"/>
      <c r="CG333" s="20" t="inlineStr">
        <is>
          <t>None</t>
        </is>
      </c>
      <c r="CH333" s="17" t="n"/>
      <c r="CI333" s="16" t="n"/>
      <c r="CJ333" s="20" t="n"/>
      <c r="CK333" s="20" t="inlineStr">
        <is>
          <t>None</t>
        </is>
      </c>
      <c r="CL333" s="17" t="n"/>
      <c r="CM333" s="16" t="n"/>
      <c r="CN333" s="20" t="inlineStr">
        <is>
          <t>SOP 45-34</t>
        </is>
      </c>
      <c r="CO333" s="20" t="inlineStr">
        <is>
          <t>None</t>
        </is>
      </c>
      <c r="CP333" s="17" t="n"/>
      <c r="CQ333" s="16" t="n"/>
      <c r="CR333" s="20" t="n"/>
      <c r="CS333" s="20" t="inlineStr">
        <is>
          <t>None</t>
        </is>
      </c>
      <c r="CT333" s="17" t="n"/>
      <c r="CU333" s="16" t="n"/>
      <c r="CV333" s="20" t="n"/>
      <c r="CW333" s="20" t="inlineStr">
        <is>
          <t>None</t>
        </is>
      </c>
      <c r="CX333" s="17" t="n"/>
      <c r="CY333" s="16" t="n"/>
      <c r="CZ333" s="20" t="inlineStr">
        <is>
          <t>WTW Multimeter 3430 with FDO 925</t>
        </is>
      </c>
      <c r="DA333" s="20" t="inlineStr">
        <is>
          <t>None</t>
        </is>
      </c>
      <c r="DB333" s="17" t="n"/>
      <c r="DC333" s="16" t="n"/>
      <c r="DD333" s="20" t="n"/>
      <c r="DE333" s="20" t="inlineStr">
        <is>
          <t>None</t>
        </is>
      </c>
      <c r="DF333" s="17" t="n"/>
      <c r="DG333" s="16" t="n"/>
      <c r="DH333" s="20" t="inlineStr">
        <is>
          <t>SOP 45-09</t>
        </is>
      </c>
      <c r="DI333" s="20" t="inlineStr">
        <is>
          <t>None</t>
        </is>
      </c>
      <c r="DJ333" s="17" t="n"/>
      <c r="DK333" s="16" t="n"/>
      <c r="DL333" s="20" t="inlineStr">
        <is>
          <t>SOP 45-09 (SOP muss noch angepasst werden für VSS)</t>
        </is>
      </c>
      <c r="DM333" s="20" t="inlineStr">
        <is>
          <t>None</t>
        </is>
      </c>
      <c r="DN333" s="17" t="n"/>
      <c r="DO333" s="16" t="n"/>
      <c r="DP333" s="20" t="inlineStr">
        <is>
          <t>IC Organic Acids</t>
        </is>
      </c>
      <c r="DQ333" s="20" t="inlineStr">
        <is>
          <t>None</t>
        </is>
      </c>
      <c r="DR333" s="17" t="n"/>
      <c r="DS333" s="16" t="n"/>
      <c r="DT333" s="20" t="inlineStr">
        <is>
          <t>IC Organic Acids</t>
        </is>
      </c>
      <c r="DU333" s="20" t="inlineStr">
        <is>
          <t>None</t>
        </is>
      </c>
      <c r="DV333" s="17" t="n"/>
      <c r="DW333" s="16" t="n"/>
      <c r="DX333" s="20" t="inlineStr">
        <is>
          <t>IC Organic Acids</t>
        </is>
      </c>
      <c r="DY333" s="20" t="inlineStr">
        <is>
          <t>None</t>
        </is>
      </c>
      <c r="DZ333" s="17" t="n"/>
      <c r="EA333" s="16" t="n"/>
      <c r="EB333" s="20" t="inlineStr">
        <is>
          <t>IC Organic Acids</t>
        </is>
      </c>
      <c r="EC333" s="20" t="inlineStr">
        <is>
          <t>None</t>
        </is>
      </c>
      <c r="ED333" s="17" t="n"/>
      <c r="EE333" s="16" t="n"/>
      <c r="EF333" s="20" t="inlineStr">
        <is>
          <t>IC Organic Acids</t>
        </is>
      </c>
      <c r="EG333" s="20" t="inlineStr">
        <is>
          <t>None</t>
        </is>
      </c>
      <c r="EH333" s="17" t="n"/>
      <c r="EI333" s="16" t="n"/>
      <c r="EJ333" s="20" t="inlineStr">
        <is>
          <t>IC Organic Acids</t>
        </is>
      </c>
      <c r="EK333" s="20" t="inlineStr">
        <is>
          <t>None</t>
        </is>
      </c>
      <c r="EL333" s="17" t="n"/>
      <c r="EM333" s="16" t="n"/>
      <c r="EN333" s="20" t="inlineStr">
        <is>
          <t>IC Organic Acids</t>
        </is>
      </c>
      <c r="EO333" s="20" t="inlineStr">
        <is>
          <t>None</t>
        </is>
      </c>
      <c r="EP333" s="17" t="n"/>
      <c r="EQ333" s="16" t="n"/>
      <c r="ER333" s="20" t="inlineStr">
        <is>
          <t>IC Organic Acids</t>
        </is>
      </c>
      <c r="ES333" s="20" t="inlineStr">
        <is>
          <t>None</t>
        </is>
      </c>
      <c r="ET333" s="17" t="n"/>
      <c r="EU333" s="16" t="n"/>
      <c r="EV333" s="20" t="inlineStr">
        <is>
          <t>LC-MS</t>
        </is>
      </c>
      <c r="EW333" s="20" t="inlineStr">
        <is>
          <t>None</t>
        </is>
      </c>
      <c r="EX333" s="17" t="n"/>
      <c r="EY333" s="21" t="n"/>
      <c r="EZ333">
        <f>CONCATENATE(A333,B333)</f>
        <v/>
      </c>
      <c r="FA333">
        <f>CONCATENATE(SamplesX!A333,SamplesX!B333)</f>
        <v/>
      </c>
      <c r="FC333">
        <f>MATCH(EZ333,FA1:FA1008,0)</f>
        <v/>
      </c>
    </row>
    <row r="334">
      <c r="A334" s="16" t="inlineStr">
        <is>
          <t>BP</t>
        </is>
      </c>
      <c r="B334" s="17" t="inlineStr">
        <is>
          <t>25326</t>
        </is>
      </c>
      <c r="C334" s="10">
        <f>IF(ISNUMBER(FC334),INDIRECT("SamplesX!C"&amp;FC334),IF(ISNUMBER(FD334),INDIRECT("SamplesY!C"&amp;FD334),""))</f>
        <v/>
      </c>
      <c r="D334" s="12">
        <f>IF(ISNUMBER(FC334),INDIRECT("SamplesX!D"&amp;FC334),IF(ISNUMBER(FD334),INDIRECT("SamplesY!D"&amp;FD334),""))</f>
        <v/>
      </c>
      <c r="E334" s="12">
        <f>IF(ISNUMBER(FC334),INDIRECT("SamplesX!E"&amp;FC334),IF(ISNUMBER(FD334),INDIRECT("SamplesY!E"&amp;FD334),""))</f>
        <v/>
      </c>
      <c r="F334" s="11">
        <f>IF(ISNUMBER(FC334),INDIRECT("SamplesX!F"&amp;FC334),IF(ISNUMBER(FD334),INDIRECT("SamplesY!F"&amp;FD334),""))</f>
        <v/>
      </c>
      <c r="G334" s="18">
        <f>IF(ISNUMBER(FC334),INDIRECT("SamplesX!G"&amp;FC334),IF(ISNUMBER(FD334),INDIRECT("SamplesY!G"&amp;FD334),""))</f>
        <v/>
      </c>
      <c r="H334" s="19">
        <f>IF(ISNUMBER(FC334),INDIRECT("SamplesX!H"&amp;FC334),IF(ISNUMBER(FD334),INDIRECT("SamplesY!H"&amp;FD334),""))</f>
        <v/>
      </c>
      <c r="I334" s="16" t="n"/>
      <c r="J334" s="16" t="n"/>
      <c r="K334" s="16" t="n"/>
      <c r="L334" s="20" t="n"/>
      <c r="M334" s="20" t="inlineStr">
        <is>
          <t>None</t>
        </is>
      </c>
      <c r="N334" s="17" t="n"/>
      <c r="O334" s="16" t="n"/>
      <c r="P334" s="20" t="inlineStr">
        <is>
          <t>Shimadzu TOC-L</t>
        </is>
      </c>
      <c r="Q334" s="20" t="inlineStr">
        <is>
          <t>None</t>
        </is>
      </c>
      <c r="R334" s="17" t="n"/>
      <c r="S334" s="16" t="n"/>
      <c r="T334" s="20" t="inlineStr">
        <is>
          <t>Shimadzu TOC-L</t>
        </is>
      </c>
      <c r="U334" s="20" t="inlineStr">
        <is>
          <t>None</t>
        </is>
      </c>
      <c r="V334" s="17" t="n"/>
      <c r="W334" s="16" t="n"/>
      <c r="X334" s="20" t="n"/>
      <c r="Y334" s="20" t="inlineStr">
        <is>
          <t>None</t>
        </is>
      </c>
      <c r="Z334" s="17" t="n"/>
      <c r="AA334" s="16" t="n"/>
      <c r="AB334" s="20" t="n"/>
      <c r="AC334" s="20" t="inlineStr">
        <is>
          <t>None</t>
        </is>
      </c>
      <c r="AD334" s="17" t="n"/>
      <c r="AE334" s="16" t="n"/>
      <c r="AF334" s="20" t="inlineStr">
        <is>
          <t>IC Anionen</t>
        </is>
      </c>
      <c r="AG334" s="20" t="inlineStr">
        <is>
          <t>None</t>
        </is>
      </c>
      <c r="AH334" s="17" t="n"/>
      <c r="AI334" s="16" t="n"/>
      <c r="AJ334" s="20" t="n"/>
      <c r="AK334" s="20" t="inlineStr">
        <is>
          <t>None</t>
        </is>
      </c>
      <c r="AL334" s="17" t="n"/>
      <c r="AM334" s="16" t="n"/>
      <c r="AN334" s="20" t="inlineStr">
        <is>
          <t>IC Anionen</t>
        </is>
      </c>
      <c r="AO334" s="20" t="inlineStr">
        <is>
          <t>None</t>
        </is>
      </c>
      <c r="AP334" s="17" t="n"/>
      <c r="AQ334" s="16" t="n"/>
      <c r="AR334" s="20" t="n"/>
      <c r="AS334" s="20" t="inlineStr">
        <is>
          <t>None</t>
        </is>
      </c>
      <c r="AT334" s="17" t="n"/>
      <c r="AU334" s="16" t="n"/>
      <c r="AV334" s="20" t="n"/>
      <c r="AW334" s="20" t="inlineStr">
        <is>
          <t>None</t>
        </is>
      </c>
      <c r="AX334" s="17" t="n"/>
      <c r="AY334" s="16" t="n"/>
      <c r="AZ334" s="20" t="inlineStr">
        <is>
          <t>IC Anionen</t>
        </is>
      </c>
      <c r="BA334" s="20" t="inlineStr">
        <is>
          <t>None</t>
        </is>
      </c>
      <c r="BB334" s="17" t="n"/>
      <c r="BC334" s="16" t="n"/>
      <c r="BD334" s="20" t="inlineStr">
        <is>
          <t>IC Kationen</t>
        </is>
      </c>
      <c r="BE334" s="20" t="inlineStr">
        <is>
          <t>None</t>
        </is>
      </c>
      <c r="BF334" s="17" t="n"/>
      <c r="BG334" s="16" t="n"/>
      <c r="BH334" s="20" t="inlineStr">
        <is>
          <t>IC Kationen</t>
        </is>
      </c>
      <c r="BI334" s="20" t="inlineStr">
        <is>
          <t>None</t>
        </is>
      </c>
      <c r="BJ334" s="17" t="n"/>
      <c r="BK334" s="16" t="n"/>
      <c r="BL334" s="20" t="inlineStr">
        <is>
          <t>IC Kationen</t>
        </is>
      </c>
      <c r="BM334" s="20" t="inlineStr">
        <is>
          <t>None</t>
        </is>
      </c>
      <c r="BN334" s="17" t="n"/>
      <c r="BO334" s="16" t="n"/>
      <c r="BP334" s="20" t="inlineStr">
        <is>
          <t>IC Kationen</t>
        </is>
      </c>
      <c r="BQ334" s="20" t="inlineStr">
        <is>
          <t>None</t>
        </is>
      </c>
      <c r="BR334" s="17" t="n"/>
      <c r="BS334" s="16" t="n"/>
      <c r="BT334" s="20" t="inlineStr">
        <is>
          <t>IC Kationen</t>
        </is>
      </c>
      <c r="BU334" s="20" t="inlineStr">
        <is>
          <t>None</t>
        </is>
      </c>
      <c r="BV334" s="17" t="n"/>
      <c r="BW334" s="16" t="n"/>
      <c r="BX334" s="20" t="n"/>
      <c r="BY334" s="20" t="inlineStr">
        <is>
          <t>None</t>
        </is>
      </c>
      <c r="BZ334" s="17" t="n"/>
      <c r="CA334" s="16" t="n"/>
      <c r="CB334" s="20" t="n"/>
      <c r="CC334" s="20" t="inlineStr">
        <is>
          <t>None</t>
        </is>
      </c>
      <c r="CD334" s="17" t="n"/>
      <c r="CE334" s="16" t="n"/>
      <c r="CF334" s="20" t="n"/>
      <c r="CG334" s="20" t="inlineStr">
        <is>
          <t>None</t>
        </is>
      </c>
      <c r="CH334" s="17" t="n"/>
      <c r="CI334" s="16" t="n"/>
      <c r="CJ334" s="20" t="n"/>
      <c r="CK334" s="20" t="inlineStr">
        <is>
          <t>None</t>
        </is>
      </c>
      <c r="CL334" s="17" t="n"/>
      <c r="CM334" s="16" t="n"/>
      <c r="CN334" s="20" t="inlineStr">
        <is>
          <t>SOP 45-34</t>
        </is>
      </c>
      <c r="CO334" s="20" t="inlineStr">
        <is>
          <t>None</t>
        </is>
      </c>
      <c r="CP334" s="17" t="n"/>
      <c r="CQ334" s="16" t="n"/>
      <c r="CR334" s="20" t="n"/>
      <c r="CS334" s="20" t="inlineStr">
        <is>
          <t>None</t>
        </is>
      </c>
      <c r="CT334" s="17" t="n"/>
      <c r="CU334" s="16" t="n"/>
      <c r="CV334" s="20" t="n"/>
      <c r="CW334" s="20" t="inlineStr">
        <is>
          <t>None</t>
        </is>
      </c>
      <c r="CX334" s="17" t="n"/>
      <c r="CY334" s="16" t="n"/>
      <c r="CZ334" s="20" t="inlineStr">
        <is>
          <t>WTW Multimeter 3430 with FDO 925</t>
        </is>
      </c>
      <c r="DA334" s="20" t="inlineStr">
        <is>
          <t>None</t>
        </is>
      </c>
      <c r="DB334" s="17" t="n"/>
      <c r="DC334" s="16" t="n"/>
      <c r="DD334" s="20" t="n"/>
      <c r="DE334" s="20" t="inlineStr">
        <is>
          <t>None</t>
        </is>
      </c>
      <c r="DF334" s="17" t="n"/>
      <c r="DG334" s="16" t="n"/>
      <c r="DH334" s="20" t="inlineStr">
        <is>
          <t>SOP 45-09</t>
        </is>
      </c>
      <c r="DI334" s="20" t="inlineStr">
        <is>
          <t>None</t>
        </is>
      </c>
      <c r="DJ334" s="17" t="n"/>
      <c r="DK334" s="16" t="n"/>
      <c r="DL334" s="20" t="inlineStr">
        <is>
          <t>SOP 45-09 (SOP muss noch angepasst werden für VSS)</t>
        </is>
      </c>
      <c r="DM334" s="20" t="inlineStr">
        <is>
          <t>None</t>
        </is>
      </c>
      <c r="DN334" s="17" t="n"/>
      <c r="DO334" s="16" t="n"/>
      <c r="DP334" s="20" t="inlineStr">
        <is>
          <t>IC Organic Acids</t>
        </is>
      </c>
      <c r="DQ334" s="20" t="inlineStr">
        <is>
          <t>None</t>
        </is>
      </c>
      <c r="DR334" s="17" t="n"/>
      <c r="DS334" s="16" t="n"/>
      <c r="DT334" s="20" t="inlineStr">
        <is>
          <t>IC Organic Acids</t>
        </is>
      </c>
      <c r="DU334" s="20" t="inlineStr">
        <is>
          <t>None</t>
        </is>
      </c>
      <c r="DV334" s="17" t="n"/>
      <c r="DW334" s="16" t="n"/>
      <c r="DX334" s="20" t="inlineStr">
        <is>
          <t>IC Organic Acids</t>
        </is>
      </c>
      <c r="DY334" s="20" t="inlineStr">
        <is>
          <t>None</t>
        </is>
      </c>
      <c r="DZ334" s="17" t="n"/>
      <c r="EA334" s="16" t="n"/>
      <c r="EB334" s="20" t="inlineStr">
        <is>
          <t>IC Organic Acids</t>
        </is>
      </c>
      <c r="EC334" s="20" t="inlineStr">
        <is>
          <t>None</t>
        </is>
      </c>
      <c r="ED334" s="17" t="n"/>
      <c r="EE334" s="16" t="n"/>
      <c r="EF334" s="20" t="inlineStr">
        <is>
          <t>IC Organic Acids</t>
        </is>
      </c>
      <c r="EG334" s="20" t="inlineStr">
        <is>
          <t>None</t>
        </is>
      </c>
      <c r="EH334" s="17" t="n"/>
      <c r="EI334" s="16" t="n"/>
      <c r="EJ334" s="20" t="inlineStr">
        <is>
          <t>IC Organic Acids</t>
        </is>
      </c>
      <c r="EK334" s="20" t="inlineStr">
        <is>
          <t>None</t>
        </is>
      </c>
      <c r="EL334" s="17" t="n"/>
      <c r="EM334" s="16" t="n"/>
      <c r="EN334" s="20" t="inlineStr">
        <is>
          <t>IC Organic Acids</t>
        </is>
      </c>
      <c r="EO334" s="20" t="inlineStr">
        <is>
          <t>None</t>
        </is>
      </c>
      <c r="EP334" s="17" t="n"/>
      <c r="EQ334" s="16" t="n"/>
      <c r="ER334" s="20" t="inlineStr">
        <is>
          <t>IC Organic Acids</t>
        </is>
      </c>
      <c r="ES334" s="20" t="inlineStr">
        <is>
          <t>None</t>
        </is>
      </c>
      <c r="ET334" s="17" t="n"/>
      <c r="EU334" s="16" t="n"/>
      <c r="EV334" s="20" t="inlineStr">
        <is>
          <t>LC-MS</t>
        </is>
      </c>
      <c r="EW334" s="20" t="inlineStr">
        <is>
          <t>None</t>
        </is>
      </c>
      <c r="EX334" s="17" t="n"/>
      <c r="EY334" s="21" t="n"/>
      <c r="EZ334">
        <f>CONCATENATE(A334,B334)</f>
        <v/>
      </c>
      <c r="FA334">
        <f>CONCATENATE(SamplesX!A334,SamplesX!B334)</f>
        <v/>
      </c>
      <c r="FC334">
        <f>MATCH(EZ334,FA1:FA1008,0)</f>
        <v/>
      </c>
    </row>
    <row r="335">
      <c r="A335" s="16" t="inlineStr">
        <is>
          <t>BP</t>
        </is>
      </c>
      <c r="B335" s="17" t="inlineStr">
        <is>
          <t>25327</t>
        </is>
      </c>
      <c r="C335" s="10">
        <f>IF(ISNUMBER(FC335),INDIRECT("SamplesX!C"&amp;FC335),IF(ISNUMBER(FD335),INDIRECT("SamplesY!C"&amp;FD335),""))</f>
        <v/>
      </c>
      <c r="D335" s="12">
        <f>IF(ISNUMBER(FC335),INDIRECT("SamplesX!D"&amp;FC335),IF(ISNUMBER(FD335),INDIRECT("SamplesY!D"&amp;FD335),""))</f>
        <v/>
      </c>
      <c r="E335" s="12">
        <f>IF(ISNUMBER(FC335),INDIRECT("SamplesX!E"&amp;FC335),IF(ISNUMBER(FD335),INDIRECT("SamplesY!E"&amp;FD335),""))</f>
        <v/>
      </c>
      <c r="F335" s="11">
        <f>IF(ISNUMBER(FC335),INDIRECT("SamplesX!F"&amp;FC335),IF(ISNUMBER(FD335),INDIRECT("SamplesY!F"&amp;FD335),""))</f>
        <v/>
      </c>
      <c r="G335" s="18">
        <f>IF(ISNUMBER(FC335),INDIRECT("SamplesX!G"&amp;FC335),IF(ISNUMBER(FD335),INDIRECT("SamplesY!G"&amp;FD335),""))</f>
        <v/>
      </c>
      <c r="H335" s="19">
        <f>IF(ISNUMBER(FC335),INDIRECT("SamplesX!H"&amp;FC335),IF(ISNUMBER(FD335),INDIRECT("SamplesY!H"&amp;FD335),""))</f>
        <v/>
      </c>
      <c r="I335" s="16" t="n"/>
      <c r="J335" s="16" t="n"/>
      <c r="K335" s="16" t="n"/>
      <c r="L335" s="20" t="n"/>
      <c r="M335" s="20" t="inlineStr">
        <is>
          <t>None</t>
        </is>
      </c>
      <c r="N335" s="17" t="n"/>
      <c r="O335" s="16" t="n"/>
      <c r="P335" s="20" t="inlineStr">
        <is>
          <t>Shimadzu TOC-L</t>
        </is>
      </c>
      <c r="Q335" s="20" t="inlineStr">
        <is>
          <t>None</t>
        </is>
      </c>
      <c r="R335" s="17" t="n"/>
      <c r="S335" s="16" t="n"/>
      <c r="T335" s="20" t="inlineStr">
        <is>
          <t>Shimadzu TOC-L</t>
        </is>
      </c>
      <c r="U335" s="20" t="inlineStr">
        <is>
          <t>None</t>
        </is>
      </c>
      <c r="V335" s="17" t="n"/>
      <c r="W335" s="16" t="n"/>
      <c r="X335" s="20" t="n"/>
      <c r="Y335" s="20" t="inlineStr">
        <is>
          <t>None</t>
        </is>
      </c>
      <c r="Z335" s="17" t="n"/>
      <c r="AA335" s="16" t="n"/>
      <c r="AB335" s="20" t="n"/>
      <c r="AC335" s="20" t="inlineStr">
        <is>
          <t>None</t>
        </is>
      </c>
      <c r="AD335" s="17" t="n"/>
      <c r="AE335" s="16" t="n"/>
      <c r="AF335" s="20" t="inlineStr">
        <is>
          <t>IC Anionen</t>
        </is>
      </c>
      <c r="AG335" s="20" t="inlineStr">
        <is>
          <t>None</t>
        </is>
      </c>
      <c r="AH335" s="17" t="n"/>
      <c r="AI335" s="16" t="n"/>
      <c r="AJ335" s="20" t="n"/>
      <c r="AK335" s="20" t="inlineStr">
        <is>
          <t>None</t>
        </is>
      </c>
      <c r="AL335" s="17" t="n"/>
      <c r="AM335" s="16" t="n"/>
      <c r="AN335" s="20" t="inlineStr">
        <is>
          <t>IC Anionen</t>
        </is>
      </c>
      <c r="AO335" s="20" t="inlineStr">
        <is>
          <t>None</t>
        </is>
      </c>
      <c r="AP335" s="17" t="n"/>
      <c r="AQ335" s="16" t="n"/>
      <c r="AR335" s="20" t="n"/>
      <c r="AS335" s="20" t="inlineStr">
        <is>
          <t>None</t>
        </is>
      </c>
      <c r="AT335" s="17" t="n"/>
      <c r="AU335" s="16" t="n"/>
      <c r="AV335" s="20" t="n"/>
      <c r="AW335" s="20" t="inlineStr">
        <is>
          <t>None</t>
        </is>
      </c>
      <c r="AX335" s="17" t="n"/>
      <c r="AY335" s="16" t="n"/>
      <c r="AZ335" s="20" t="inlineStr">
        <is>
          <t>IC Anionen</t>
        </is>
      </c>
      <c r="BA335" s="20" t="inlineStr">
        <is>
          <t>None</t>
        </is>
      </c>
      <c r="BB335" s="17" t="n"/>
      <c r="BC335" s="16" t="n"/>
      <c r="BD335" s="20" t="inlineStr">
        <is>
          <t>IC Kationen</t>
        </is>
      </c>
      <c r="BE335" s="20" t="inlineStr">
        <is>
          <t>None</t>
        </is>
      </c>
      <c r="BF335" s="17" t="n"/>
      <c r="BG335" s="16" t="n"/>
      <c r="BH335" s="20" t="inlineStr">
        <is>
          <t>IC Kationen</t>
        </is>
      </c>
      <c r="BI335" s="20" t="inlineStr">
        <is>
          <t>None</t>
        </is>
      </c>
      <c r="BJ335" s="17" t="n"/>
      <c r="BK335" s="16" t="n"/>
      <c r="BL335" s="20" t="inlineStr">
        <is>
          <t>IC Kationen</t>
        </is>
      </c>
      <c r="BM335" s="20" t="inlineStr">
        <is>
          <t>None</t>
        </is>
      </c>
      <c r="BN335" s="17" t="n"/>
      <c r="BO335" s="16" t="n"/>
      <c r="BP335" s="20" t="inlineStr">
        <is>
          <t>IC Kationen</t>
        </is>
      </c>
      <c r="BQ335" s="20" t="inlineStr">
        <is>
          <t>None</t>
        </is>
      </c>
      <c r="BR335" s="17" t="n"/>
      <c r="BS335" s="16" t="n"/>
      <c r="BT335" s="20" t="inlineStr">
        <is>
          <t>IC Kationen</t>
        </is>
      </c>
      <c r="BU335" s="20" t="inlineStr">
        <is>
          <t>None</t>
        </is>
      </c>
      <c r="BV335" s="17" t="n"/>
      <c r="BW335" s="16" t="n"/>
      <c r="BX335" s="20" t="n"/>
      <c r="BY335" s="20" t="inlineStr">
        <is>
          <t>None</t>
        </is>
      </c>
      <c r="BZ335" s="17" t="n"/>
      <c r="CA335" s="16" t="n"/>
      <c r="CB335" s="20" t="n"/>
      <c r="CC335" s="20" t="inlineStr">
        <is>
          <t>None</t>
        </is>
      </c>
      <c r="CD335" s="17" t="n"/>
      <c r="CE335" s="16" t="n"/>
      <c r="CF335" s="20" t="n"/>
      <c r="CG335" s="20" t="inlineStr">
        <is>
          <t>None</t>
        </is>
      </c>
      <c r="CH335" s="17" t="n"/>
      <c r="CI335" s="16" t="n"/>
      <c r="CJ335" s="20" t="n"/>
      <c r="CK335" s="20" t="inlineStr">
        <is>
          <t>None</t>
        </is>
      </c>
      <c r="CL335" s="17" t="n"/>
      <c r="CM335" s="16" t="n"/>
      <c r="CN335" s="20" t="inlineStr">
        <is>
          <t>SOP 45-34</t>
        </is>
      </c>
      <c r="CO335" s="20" t="inlineStr">
        <is>
          <t>None</t>
        </is>
      </c>
      <c r="CP335" s="17" t="n"/>
      <c r="CQ335" s="16" t="n"/>
      <c r="CR335" s="20" t="n"/>
      <c r="CS335" s="20" t="inlineStr">
        <is>
          <t>None</t>
        </is>
      </c>
      <c r="CT335" s="17" t="n"/>
      <c r="CU335" s="16" t="n"/>
      <c r="CV335" s="20" t="n"/>
      <c r="CW335" s="20" t="inlineStr">
        <is>
          <t>None</t>
        </is>
      </c>
      <c r="CX335" s="17" t="n"/>
      <c r="CY335" s="16" t="n"/>
      <c r="CZ335" s="20" t="inlineStr">
        <is>
          <t>WTW Multimeter 3430 with FDO 925</t>
        </is>
      </c>
      <c r="DA335" s="20" t="inlineStr">
        <is>
          <t>None</t>
        </is>
      </c>
      <c r="DB335" s="17" t="n"/>
      <c r="DC335" s="16" t="n"/>
      <c r="DD335" s="20" t="n"/>
      <c r="DE335" s="20" t="inlineStr">
        <is>
          <t>None</t>
        </is>
      </c>
      <c r="DF335" s="17" t="n"/>
      <c r="DG335" s="16" t="n"/>
      <c r="DH335" s="20" t="inlineStr">
        <is>
          <t>SOP 45-09</t>
        </is>
      </c>
      <c r="DI335" s="20" t="inlineStr">
        <is>
          <t>None</t>
        </is>
      </c>
      <c r="DJ335" s="17" t="n"/>
      <c r="DK335" s="16" t="n"/>
      <c r="DL335" s="20" t="inlineStr">
        <is>
          <t>SOP 45-09 (SOP muss noch angepasst werden für VSS)</t>
        </is>
      </c>
      <c r="DM335" s="20" t="inlineStr">
        <is>
          <t>None</t>
        </is>
      </c>
      <c r="DN335" s="17" t="n"/>
      <c r="DO335" s="16" t="n"/>
      <c r="DP335" s="20" t="inlineStr">
        <is>
          <t>IC Organic Acids</t>
        </is>
      </c>
      <c r="DQ335" s="20" t="inlineStr">
        <is>
          <t>None</t>
        </is>
      </c>
      <c r="DR335" s="17" t="n"/>
      <c r="DS335" s="16" t="n"/>
      <c r="DT335" s="20" t="inlineStr">
        <is>
          <t>IC Organic Acids</t>
        </is>
      </c>
      <c r="DU335" s="20" t="inlineStr">
        <is>
          <t>None</t>
        </is>
      </c>
      <c r="DV335" s="17" t="n"/>
      <c r="DW335" s="16" t="n"/>
      <c r="DX335" s="20" t="inlineStr">
        <is>
          <t>IC Organic Acids</t>
        </is>
      </c>
      <c r="DY335" s="20" t="inlineStr">
        <is>
          <t>None</t>
        </is>
      </c>
      <c r="DZ335" s="17" t="n"/>
      <c r="EA335" s="16" t="n"/>
      <c r="EB335" s="20" t="inlineStr">
        <is>
          <t>IC Organic Acids</t>
        </is>
      </c>
      <c r="EC335" s="20" t="inlineStr">
        <is>
          <t>None</t>
        </is>
      </c>
      <c r="ED335" s="17" t="n"/>
      <c r="EE335" s="16" t="n"/>
      <c r="EF335" s="20" t="inlineStr">
        <is>
          <t>IC Organic Acids</t>
        </is>
      </c>
      <c r="EG335" s="20" t="inlineStr">
        <is>
          <t>None</t>
        </is>
      </c>
      <c r="EH335" s="17" t="n"/>
      <c r="EI335" s="16" t="n"/>
      <c r="EJ335" s="20" t="inlineStr">
        <is>
          <t>IC Organic Acids</t>
        </is>
      </c>
      <c r="EK335" s="20" t="inlineStr">
        <is>
          <t>None</t>
        </is>
      </c>
      <c r="EL335" s="17" t="n"/>
      <c r="EM335" s="16" t="n"/>
      <c r="EN335" s="20" t="inlineStr">
        <is>
          <t>IC Organic Acids</t>
        </is>
      </c>
      <c r="EO335" s="20" t="inlineStr">
        <is>
          <t>None</t>
        </is>
      </c>
      <c r="EP335" s="17" t="n"/>
      <c r="EQ335" s="16" t="n"/>
      <c r="ER335" s="20" t="inlineStr">
        <is>
          <t>IC Organic Acids</t>
        </is>
      </c>
      <c r="ES335" s="20" t="inlineStr">
        <is>
          <t>None</t>
        </is>
      </c>
      <c r="ET335" s="17" t="n"/>
      <c r="EU335" s="16" t="n"/>
      <c r="EV335" s="20" t="inlineStr">
        <is>
          <t>LC-MS</t>
        </is>
      </c>
      <c r="EW335" s="20" t="inlineStr">
        <is>
          <t>None</t>
        </is>
      </c>
      <c r="EX335" s="17" t="n"/>
      <c r="EY335" s="21" t="n"/>
      <c r="EZ335">
        <f>CONCATENATE(A335,B335)</f>
        <v/>
      </c>
      <c r="FA335">
        <f>CONCATENATE(SamplesX!A335,SamplesX!B335)</f>
        <v/>
      </c>
      <c r="FC335">
        <f>MATCH(EZ335,FA1:FA1008,0)</f>
        <v/>
      </c>
    </row>
    <row r="336">
      <c r="A336" s="16" t="inlineStr">
        <is>
          <t>BP</t>
        </is>
      </c>
      <c r="B336" s="17" t="inlineStr">
        <is>
          <t>25328</t>
        </is>
      </c>
      <c r="C336" s="10">
        <f>IF(ISNUMBER(FC336),INDIRECT("SamplesX!C"&amp;FC336),IF(ISNUMBER(FD336),INDIRECT("SamplesY!C"&amp;FD336),""))</f>
        <v/>
      </c>
      <c r="D336" s="12">
        <f>IF(ISNUMBER(FC336),INDIRECT("SamplesX!D"&amp;FC336),IF(ISNUMBER(FD336),INDIRECT("SamplesY!D"&amp;FD336),""))</f>
        <v/>
      </c>
      <c r="E336" s="12">
        <f>IF(ISNUMBER(FC336),INDIRECT("SamplesX!E"&amp;FC336),IF(ISNUMBER(FD336),INDIRECT("SamplesY!E"&amp;FD336),""))</f>
        <v/>
      </c>
      <c r="F336" s="11">
        <f>IF(ISNUMBER(FC336),INDIRECT("SamplesX!F"&amp;FC336),IF(ISNUMBER(FD336),INDIRECT("SamplesY!F"&amp;FD336),""))</f>
        <v/>
      </c>
      <c r="G336" s="18">
        <f>IF(ISNUMBER(FC336),INDIRECT("SamplesX!G"&amp;FC336),IF(ISNUMBER(FD336),INDIRECT("SamplesY!G"&amp;FD336),""))</f>
        <v/>
      </c>
      <c r="H336" s="19">
        <f>IF(ISNUMBER(FC336),INDIRECT("SamplesX!H"&amp;FC336),IF(ISNUMBER(FD336),INDIRECT("SamplesY!H"&amp;FD336),""))</f>
        <v/>
      </c>
      <c r="I336" s="16" t="n"/>
      <c r="J336" s="16" t="n"/>
      <c r="K336" s="16" t="n"/>
      <c r="L336" s="20" t="n"/>
      <c r="M336" s="20" t="inlineStr">
        <is>
          <t>None</t>
        </is>
      </c>
      <c r="N336" s="17" t="n"/>
      <c r="O336" s="16" t="n"/>
      <c r="P336" s="20" t="inlineStr">
        <is>
          <t>Shimadzu TOC-L</t>
        </is>
      </c>
      <c r="Q336" s="20" t="inlineStr">
        <is>
          <t>None</t>
        </is>
      </c>
      <c r="R336" s="17" t="n"/>
      <c r="S336" s="16" t="n"/>
      <c r="T336" s="20" t="inlineStr">
        <is>
          <t>Shimadzu TOC-L</t>
        </is>
      </c>
      <c r="U336" s="20" t="inlineStr">
        <is>
          <t>None</t>
        </is>
      </c>
      <c r="V336" s="17" t="n"/>
      <c r="W336" s="16" t="n"/>
      <c r="X336" s="20" t="n"/>
      <c r="Y336" s="20" t="inlineStr">
        <is>
          <t>None</t>
        </is>
      </c>
      <c r="Z336" s="17" t="n"/>
      <c r="AA336" s="16" t="n"/>
      <c r="AB336" s="20" t="n"/>
      <c r="AC336" s="20" t="inlineStr">
        <is>
          <t>None</t>
        </is>
      </c>
      <c r="AD336" s="17" t="n"/>
      <c r="AE336" s="16" t="n"/>
      <c r="AF336" s="20" t="inlineStr">
        <is>
          <t>IC Anionen</t>
        </is>
      </c>
      <c r="AG336" s="20" t="inlineStr">
        <is>
          <t>None</t>
        </is>
      </c>
      <c r="AH336" s="17" t="n"/>
      <c r="AI336" s="16" t="n"/>
      <c r="AJ336" s="20" t="n"/>
      <c r="AK336" s="20" t="inlineStr">
        <is>
          <t>None</t>
        </is>
      </c>
      <c r="AL336" s="17" t="n"/>
      <c r="AM336" s="16" t="n"/>
      <c r="AN336" s="20" t="inlineStr">
        <is>
          <t>IC Anionen</t>
        </is>
      </c>
      <c r="AO336" s="20" t="inlineStr">
        <is>
          <t>None</t>
        </is>
      </c>
      <c r="AP336" s="17" t="n"/>
      <c r="AQ336" s="16" t="n"/>
      <c r="AR336" s="20" t="n"/>
      <c r="AS336" s="20" t="inlineStr">
        <is>
          <t>None</t>
        </is>
      </c>
      <c r="AT336" s="17" t="n"/>
      <c r="AU336" s="16" t="n"/>
      <c r="AV336" s="20" t="n"/>
      <c r="AW336" s="20" t="inlineStr">
        <is>
          <t>None</t>
        </is>
      </c>
      <c r="AX336" s="17" t="n"/>
      <c r="AY336" s="16" t="n"/>
      <c r="AZ336" s="20" t="inlineStr">
        <is>
          <t>IC Anionen</t>
        </is>
      </c>
      <c r="BA336" s="20" t="inlineStr">
        <is>
          <t>None</t>
        </is>
      </c>
      <c r="BB336" s="17" t="n"/>
      <c r="BC336" s="16" t="n"/>
      <c r="BD336" s="20" t="inlineStr">
        <is>
          <t>IC Kationen</t>
        </is>
      </c>
      <c r="BE336" s="20" t="inlineStr">
        <is>
          <t>None</t>
        </is>
      </c>
      <c r="BF336" s="17" t="n"/>
      <c r="BG336" s="16" t="n"/>
      <c r="BH336" s="20" t="inlineStr">
        <is>
          <t>IC Kationen</t>
        </is>
      </c>
      <c r="BI336" s="20" t="inlineStr">
        <is>
          <t>None</t>
        </is>
      </c>
      <c r="BJ336" s="17" t="n"/>
      <c r="BK336" s="16" t="n"/>
      <c r="BL336" s="20" t="inlineStr">
        <is>
          <t>IC Kationen</t>
        </is>
      </c>
      <c r="BM336" s="20" t="inlineStr">
        <is>
          <t>None</t>
        </is>
      </c>
      <c r="BN336" s="17" t="n"/>
      <c r="BO336" s="16" t="n"/>
      <c r="BP336" s="20" t="inlineStr">
        <is>
          <t>IC Kationen</t>
        </is>
      </c>
      <c r="BQ336" s="20" t="inlineStr">
        <is>
          <t>None</t>
        </is>
      </c>
      <c r="BR336" s="17" t="n"/>
      <c r="BS336" s="16" t="n"/>
      <c r="BT336" s="20" t="inlineStr">
        <is>
          <t>IC Kationen</t>
        </is>
      </c>
      <c r="BU336" s="20" t="inlineStr">
        <is>
          <t>None</t>
        </is>
      </c>
      <c r="BV336" s="17" t="n"/>
      <c r="BW336" s="16" t="n"/>
      <c r="BX336" s="20" t="n"/>
      <c r="BY336" s="20" t="inlineStr">
        <is>
          <t>None</t>
        </is>
      </c>
      <c r="BZ336" s="17" t="n"/>
      <c r="CA336" s="16" t="n"/>
      <c r="CB336" s="20" t="n"/>
      <c r="CC336" s="20" t="inlineStr">
        <is>
          <t>None</t>
        </is>
      </c>
      <c r="CD336" s="17" t="n"/>
      <c r="CE336" s="16" t="n"/>
      <c r="CF336" s="20" t="n"/>
      <c r="CG336" s="20" t="inlineStr">
        <is>
          <t>None</t>
        </is>
      </c>
      <c r="CH336" s="17" t="n"/>
      <c r="CI336" s="16" t="n"/>
      <c r="CJ336" s="20" t="n"/>
      <c r="CK336" s="20" t="inlineStr">
        <is>
          <t>None</t>
        </is>
      </c>
      <c r="CL336" s="17" t="n"/>
      <c r="CM336" s="16" t="n"/>
      <c r="CN336" s="20" t="inlineStr">
        <is>
          <t>SOP 45-34</t>
        </is>
      </c>
      <c r="CO336" s="20" t="inlineStr">
        <is>
          <t>None</t>
        </is>
      </c>
      <c r="CP336" s="17" t="n"/>
      <c r="CQ336" s="16" t="n"/>
      <c r="CR336" s="20" t="n"/>
      <c r="CS336" s="20" t="inlineStr">
        <is>
          <t>None</t>
        </is>
      </c>
      <c r="CT336" s="17" t="n"/>
      <c r="CU336" s="16" t="n"/>
      <c r="CV336" s="20" t="n"/>
      <c r="CW336" s="20" t="inlineStr">
        <is>
          <t>None</t>
        </is>
      </c>
      <c r="CX336" s="17" t="n"/>
      <c r="CY336" s="16" t="n"/>
      <c r="CZ336" s="20" t="inlineStr">
        <is>
          <t>WTW Multimeter 3430 with FDO 925</t>
        </is>
      </c>
      <c r="DA336" s="20" t="inlineStr">
        <is>
          <t>None</t>
        </is>
      </c>
      <c r="DB336" s="17" t="n"/>
      <c r="DC336" s="16" t="n"/>
      <c r="DD336" s="20" t="n"/>
      <c r="DE336" s="20" t="inlineStr">
        <is>
          <t>None</t>
        </is>
      </c>
      <c r="DF336" s="17" t="n"/>
      <c r="DG336" s="16" t="n"/>
      <c r="DH336" s="20" t="inlineStr">
        <is>
          <t>SOP 45-09</t>
        </is>
      </c>
      <c r="DI336" s="20" t="inlineStr">
        <is>
          <t>None</t>
        </is>
      </c>
      <c r="DJ336" s="17" t="n"/>
      <c r="DK336" s="16" t="n"/>
      <c r="DL336" s="20" t="inlineStr">
        <is>
          <t>SOP 45-09 (SOP muss noch angepasst werden für VSS)</t>
        </is>
      </c>
      <c r="DM336" s="20" t="inlineStr">
        <is>
          <t>None</t>
        </is>
      </c>
      <c r="DN336" s="17" t="n"/>
      <c r="DO336" s="16" t="n"/>
      <c r="DP336" s="20" t="inlineStr">
        <is>
          <t>IC Organic Acids</t>
        </is>
      </c>
      <c r="DQ336" s="20" t="inlineStr">
        <is>
          <t>None</t>
        </is>
      </c>
      <c r="DR336" s="17" t="n"/>
      <c r="DS336" s="16" t="n"/>
      <c r="DT336" s="20" t="inlineStr">
        <is>
          <t>IC Organic Acids</t>
        </is>
      </c>
      <c r="DU336" s="20" t="inlineStr">
        <is>
          <t>None</t>
        </is>
      </c>
      <c r="DV336" s="17" t="n"/>
      <c r="DW336" s="16" t="n"/>
      <c r="DX336" s="20" t="inlineStr">
        <is>
          <t>IC Organic Acids</t>
        </is>
      </c>
      <c r="DY336" s="20" t="inlineStr">
        <is>
          <t>None</t>
        </is>
      </c>
      <c r="DZ336" s="17" t="n"/>
      <c r="EA336" s="16" t="n"/>
      <c r="EB336" s="20" t="inlineStr">
        <is>
          <t>IC Organic Acids</t>
        </is>
      </c>
      <c r="EC336" s="20" t="inlineStr">
        <is>
          <t>None</t>
        </is>
      </c>
      <c r="ED336" s="17" t="n"/>
      <c r="EE336" s="16" t="n"/>
      <c r="EF336" s="20" t="inlineStr">
        <is>
          <t>IC Organic Acids</t>
        </is>
      </c>
      <c r="EG336" s="20" t="inlineStr">
        <is>
          <t>None</t>
        </is>
      </c>
      <c r="EH336" s="17" t="n"/>
      <c r="EI336" s="16" t="n"/>
      <c r="EJ336" s="20" t="inlineStr">
        <is>
          <t>IC Organic Acids</t>
        </is>
      </c>
      <c r="EK336" s="20" t="inlineStr">
        <is>
          <t>None</t>
        </is>
      </c>
      <c r="EL336" s="17" t="n"/>
      <c r="EM336" s="16" t="n"/>
      <c r="EN336" s="20" t="inlineStr">
        <is>
          <t>IC Organic Acids</t>
        </is>
      </c>
      <c r="EO336" s="20" t="inlineStr">
        <is>
          <t>None</t>
        </is>
      </c>
      <c r="EP336" s="17" t="n"/>
      <c r="EQ336" s="16" t="n"/>
      <c r="ER336" s="20" t="inlineStr">
        <is>
          <t>IC Organic Acids</t>
        </is>
      </c>
      <c r="ES336" s="20" t="inlineStr">
        <is>
          <t>None</t>
        </is>
      </c>
      <c r="ET336" s="17" t="n"/>
      <c r="EU336" s="16" t="n"/>
      <c r="EV336" s="20" t="inlineStr">
        <is>
          <t>LC-MS</t>
        </is>
      </c>
      <c r="EW336" s="20" t="inlineStr">
        <is>
          <t>None</t>
        </is>
      </c>
      <c r="EX336" s="17" t="n"/>
      <c r="EY336" s="21" t="n"/>
      <c r="EZ336">
        <f>CONCATENATE(A336,B336)</f>
        <v/>
      </c>
      <c r="FA336">
        <f>CONCATENATE(SamplesX!A336,SamplesX!B336)</f>
        <v/>
      </c>
      <c r="FC336">
        <f>MATCH(EZ336,FA1:FA1008,0)</f>
        <v/>
      </c>
    </row>
    <row r="337">
      <c r="A337" s="16" t="inlineStr">
        <is>
          <t>BP</t>
        </is>
      </c>
      <c r="B337" s="17" t="inlineStr">
        <is>
          <t>25329</t>
        </is>
      </c>
      <c r="C337" s="10">
        <f>IF(ISNUMBER(FC337),INDIRECT("SamplesX!C"&amp;FC337),IF(ISNUMBER(FD337),INDIRECT("SamplesY!C"&amp;FD337),""))</f>
        <v/>
      </c>
      <c r="D337" s="12">
        <f>IF(ISNUMBER(FC337),INDIRECT("SamplesX!D"&amp;FC337),IF(ISNUMBER(FD337),INDIRECT("SamplesY!D"&amp;FD337),""))</f>
        <v/>
      </c>
      <c r="E337" s="12">
        <f>IF(ISNUMBER(FC337),INDIRECT("SamplesX!E"&amp;FC337),IF(ISNUMBER(FD337),INDIRECT("SamplesY!E"&amp;FD337),""))</f>
        <v/>
      </c>
      <c r="F337" s="11">
        <f>IF(ISNUMBER(FC337),INDIRECT("SamplesX!F"&amp;FC337),IF(ISNUMBER(FD337),INDIRECT("SamplesY!F"&amp;FD337),""))</f>
        <v/>
      </c>
      <c r="G337" s="18">
        <f>IF(ISNUMBER(FC337),INDIRECT("SamplesX!G"&amp;FC337),IF(ISNUMBER(FD337),INDIRECT("SamplesY!G"&amp;FD337),""))</f>
        <v/>
      </c>
      <c r="H337" s="19">
        <f>IF(ISNUMBER(FC337),INDIRECT("SamplesX!H"&amp;FC337),IF(ISNUMBER(FD337),INDIRECT("SamplesY!H"&amp;FD337),""))</f>
        <v/>
      </c>
      <c r="I337" s="16" t="n"/>
      <c r="J337" s="16" t="n"/>
      <c r="K337" s="16" t="n"/>
      <c r="L337" s="20" t="n"/>
      <c r="M337" s="20" t="inlineStr">
        <is>
          <t>None</t>
        </is>
      </c>
      <c r="N337" s="17" t="n"/>
      <c r="O337" s="16" t="n"/>
      <c r="P337" s="20" t="inlineStr">
        <is>
          <t>Shimadzu TOC-L</t>
        </is>
      </c>
      <c r="Q337" s="20" t="inlineStr">
        <is>
          <t>None</t>
        </is>
      </c>
      <c r="R337" s="17" t="n"/>
      <c r="S337" s="16" t="n"/>
      <c r="T337" s="20" t="inlineStr">
        <is>
          <t>Shimadzu TOC-L</t>
        </is>
      </c>
      <c r="U337" s="20" t="inlineStr">
        <is>
          <t>None</t>
        </is>
      </c>
      <c r="V337" s="17" t="n"/>
      <c r="W337" s="16" t="n"/>
      <c r="X337" s="20" t="n"/>
      <c r="Y337" s="20" t="inlineStr">
        <is>
          <t>None</t>
        </is>
      </c>
      <c r="Z337" s="17" t="n"/>
      <c r="AA337" s="16" t="n"/>
      <c r="AB337" s="20" t="n"/>
      <c r="AC337" s="20" t="inlineStr">
        <is>
          <t>None</t>
        </is>
      </c>
      <c r="AD337" s="17" t="n"/>
      <c r="AE337" s="16" t="n"/>
      <c r="AF337" s="20" t="inlineStr">
        <is>
          <t>IC Anionen</t>
        </is>
      </c>
      <c r="AG337" s="20" t="inlineStr">
        <is>
          <t>None</t>
        </is>
      </c>
      <c r="AH337" s="17" t="n"/>
      <c r="AI337" s="16" t="n"/>
      <c r="AJ337" s="20" t="n"/>
      <c r="AK337" s="20" t="inlineStr">
        <is>
          <t>None</t>
        </is>
      </c>
      <c r="AL337" s="17" t="n"/>
      <c r="AM337" s="16" t="n"/>
      <c r="AN337" s="20" t="inlineStr">
        <is>
          <t>IC Anionen</t>
        </is>
      </c>
      <c r="AO337" s="20" t="inlineStr">
        <is>
          <t>None</t>
        </is>
      </c>
      <c r="AP337" s="17" t="n"/>
      <c r="AQ337" s="16" t="n"/>
      <c r="AR337" s="20" t="n"/>
      <c r="AS337" s="20" t="inlineStr">
        <is>
          <t>None</t>
        </is>
      </c>
      <c r="AT337" s="17" t="n"/>
      <c r="AU337" s="16" t="n"/>
      <c r="AV337" s="20" t="n"/>
      <c r="AW337" s="20" t="inlineStr">
        <is>
          <t>None</t>
        </is>
      </c>
      <c r="AX337" s="17" t="n"/>
      <c r="AY337" s="16" t="n"/>
      <c r="AZ337" s="20" t="inlineStr">
        <is>
          <t>IC Anionen</t>
        </is>
      </c>
      <c r="BA337" s="20" t="inlineStr">
        <is>
          <t>None</t>
        </is>
      </c>
      <c r="BB337" s="17" t="n"/>
      <c r="BC337" s="16" t="n"/>
      <c r="BD337" s="20" t="inlineStr">
        <is>
          <t>IC Kationen</t>
        </is>
      </c>
      <c r="BE337" s="20" t="inlineStr">
        <is>
          <t>None</t>
        </is>
      </c>
      <c r="BF337" s="17" t="n"/>
      <c r="BG337" s="16" t="n"/>
      <c r="BH337" s="20" t="inlineStr">
        <is>
          <t>IC Kationen</t>
        </is>
      </c>
      <c r="BI337" s="20" t="inlineStr">
        <is>
          <t>None</t>
        </is>
      </c>
      <c r="BJ337" s="17" t="n"/>
      <c r="BK337" s="16" t="n"/>
      <c r="BL337" s="20" t="inlineStr">
        <is>
          <t>IC Kationen</t>
        </is>
      </c>
      <c r="BM337" s="20" t="inlineStr">
        <is>
          <t>None</t>
        </is>
      </c>
      <c r="BN337" s="17" t="n"/>
      <c r="BO337" s="16" t="n"/>
      <c r="BP337" s="20" t="inlineStr">
        <is>
          <t>IC Kationen</t>
        </is>
      </c>
      <c r="BQ337" s="20" t="inlineStr">
        <is>
          <t>None</t>
        </is>
      </c>
      <c r="BR337" s="17" t="n"/>
      <c r="BS337" s="16" t="n"/>
      <c r="BT337" s="20" t="inlineStr">
        <is>
          <t>IC Kationen</t>
        </is>
      </c>
      <c r="BU337" s="20" t="inlineStr">
        <is>
          <t>None</t>
        </is>
      </c>
      <c r="BV337" s="17" t="n"/>
      <c r="BW337" s="16" t="n"/>
      <c r="BX337" s="20" t="n"/>
      <c r="BY337" s="20" t="inlineStr">
        <is>
          <t>None</t>
        </is>
      </c>
      <c r="BZ337" s="17" t="n"/>
      <c r="CA337" s="16" t="n"/>
      <c r="CB337" s="20" t="n"/>
      <c r="CC337" s="20" t="inlineStr">
        <is>
          <t>None</t>
        </is>
      </c>
      <c r="CD337" s="17" t="n"/>
      <c r="CE337" s="16" t="n"/>
      <c r="CF337" s="20" t="n"/>
      <c r="CG337" s="20" t="inlineStr">
        <is>
          <t>None</t>
        </is>
      </c>
      <c r="CH337" s="17" t="n"/>
      <c r="CI337" s="16" t="n"/>
      <c r="CJ337" s="20" t="n"/>
      <c r="CK337" s="20" t="inlineStr">
        <is>
          <t>None</t>
        </is>
      </c>
      <c r="CL337" s="17" t="n"/>
      <c r="CM337" s="16" t="n"/>
      <c r="CN337" s="20" t="inlineStr">
        <is>
          <t>SOP 45-34</t>
        </is>
      </c>
      <c r="CO337" s="20" t="inlineStr">
        <is>
          <t>None</t>
        </is>
      </c>
      <c r="CP337" s="17" t="n"/>
      <c r="CQ337" s="16" t="n"/>
      <c r="CR337" s="20" t="n"/>
      <c r="CS337" s="20" t="inlineStr">
        <is>
          <t>None</t>
        </is>
      </c>
      <c r="CT337" s="17" t="n"/>
      <c r="CU337" s="16" t="n"/>
      <c r="CV337" s="20" t="n"/>
      <c r="CW337" s="20" t="inlineStr">
        <is>
          <t>None</t>
        </is>
      </c>
      <c r="CX337" s="17" t="n"/>
      <c r="CY337" s="16" t="n"/>
      <c r="CZ337" s="20" t="inlineStr">
        <is>
          <t>WTW Multimeter 3430 with FDO 925</t>
        </is>
      </c>
      <c r="DA337" s="20" t="inlineStr">
        <is>
          <t>None</t>
        </is>
      </c>
      <c r="DB337" s="17" t="n"/>
      <c r="DC337" s="16" t="n"/>
      <c r="DD337" s="20" t="n"/>
      <c r="DE337" s="20" t="inlineStr">
        <is>
          <t>None</t>
        </is>
      </c>
      <c r="DF337" s="17" t="n"/>
      <c r="DG337" s="16" t="n"/>
      <c r="DH337" s="20" t="inlineStr">
        <is>
          <t>SOP 45-09</t>
        </is>
      </c>
      <c r="DI337" s="20" t="inlineStr">
        <is>
          <t>None</t>
        </is>
      </c>
      <c r="DJ337" s="17" t="n"/>
      <c r="DK337" s="16" t="n"/>
      <c r="DL337" s="20" t="inlineStr">
        <is>
          <t>SOP 45-09 (SOP muss noch angepasst werden für VSS)</t>
        </is>
      </c>
      <c r="DM337" s="20" t="inlineStr">
        <is>
          <t>None</t>
        </is>
      </c>
      <c r="DN337" s="17" t="n"/>
      <c r="DO337" s="16" t="n"/>
      <c r="DP337" s="20" t="inlineStr">
        <is>
          <t>IC Organic Acids</t>
        </is>
      </c>
      <c r="DQ337" s="20" t="inlineStr">
        <is>
          <t>None</t>
        </is>
      </c>
      <c r="DR337" s="17" t="n"/>
      <c r="DS337" s="16" t="n"/>
      <c r="DT337" s="20" t="inlineStr">
        <is>
          <t>IC Organic Acids</t>
        </is>
      </c>
      <c r="DU337" s="20" t="inlineStr">
        <is>
          <t>None</t>
        </is>
      </c>
      <c r="DV337" s="17" t="n"/>
      <c r="DW337" s="16" t="n"/>
      <c r="DX337" s="20" t="inlineStr">
        <is>
          <t>IC Organic Acids</t>
        </is>
      </c>
      <c r="DY337" s="20" t="inlineStr">
        <is>
          <t>None</t>
        </is>
      </c>
      <c r="DZ337" s="17" t="n"/>
      <c r="EA337" s="16" t="n"/>
      <c r="EB337" s="20" t="inlineStr">
        <is>
          <t>IC Organic Acids</t>
        </is>
      </c>
      <c r="EC337" s="20" t="inlineStr">
        <is>
          <t>None</t>
        </is>
      </c>
      <c r="ED337" s="17" t="n"/>
      <c r="EE337" s="16" t="n"/>
      <c r="EF337" s="20" t="inlineStr">
        <is>
          <t>IC Organic Acids</t>
        </is>
      </c>
      <c r="EG337" s="20" t="inlineStr">
        <is>
          <t>None</t>
        </is>
      </c>
      <c r="EH337" s="17" t="n"/>
      <c r="EI337" s="16" t="n"/>
      <c r="EJ337" s="20" t="inlineStr">
        <is>
          <t>IC Organic Acids</t>
        </is>
      </c>
      <c r="EK337" s="20" t="inlineStr">
        <is>
          <t>None</t>
        </is>
      </c>
      <c r="EL337" s="17" t="n"/>
      <c r="EM337" s="16" t="n"/>
      <c r="EN337" s="20" t="inlineStr">
        <is>
          <t>IC Organic Acids</t>
        </is>
      </c>
      <c r="EO337" s="20" t="inlineStr">
        <is>
          <t>None</t>
        </is>
      </c>
      <c r="EP337" s="17" t="n"/>
      <c r="EQ337" s="16" t="n"/>
      <c r="ER337" s="20" t="inlineStr">
        <is>
          <t>IC Organic Acids</t>
        </is>
      </c>
      <c r="ES337" s="20" t="inlineStr">
        <is>
          <t>None</t>
        </is>
      </c>
      <c r="ET337" s="17" t="n"/>
      <c r="EU337" s="16" t="n"/>
      <c r="EV337" s="20" t="inlineStr">
        <is>
          <t>LC-MS</t>
        </is>
      </c>
      <c r="EW337" s="20" t="inlineStr">
        <is>
          <t>None</t>
        </is>
      </c>
      <c r="EX337" s="17" t="n"/>
      <c r="EY337" s="21" t="n"/>
      <c r="EZ337">
        <f>CONCATENATE(A337,B337)</f>
        <v/>
      </c>
      <c r="FA337">
        <f>CONCATENATE(SamplesX!A337,SamplesX!B337)</f>
        <v/>
      </c>
      <c r="FC337">
        <f>MATCH(EZ337,FA1:FA1008,0)</f>
        <v/>
      </c>
    </row>
    <row r="338">
      <c r="A338" s="16" t="inlineStr">
        <is>
          <t>BP</t>
        </is>
      </c>
      <c r="B338" s="17" t="inlineStr">
        <is>
          <t>25330</t>
        </is>
      </c>
      <c r="C338" s="10">
        <f>IF(ISNUMBER(FC338),INDIRECT("SamplesX!C"&amp;FC338),IF(ISNUMBER(FD338),INDIRECT("SamplesY!C"&amp;FD338),""))</f>
        <v/>
      </c>
      <c r="D338" s="12">
        <f>IF(ISNUMBER(FC338),INDIRECT("SamplesX!D"&amp;FC338),IF(ISNUMBER(FD338),INDIRECT("SamplesY!D"&amp;FD338),""))</f>
        <v/>
      </c>
      <c r="E338" s="12">
        <f>IF(ISNUMBER(FC338),INDIRECT("SamplesX!E"&amp;FC338),IF(ISNUMBER(FD338),INDIRECT("SamplesY!E"&amp;FD338),""))</f>
        <v/>
      </c>
      <c r="F338" s="11">
        <f>IF(ISNUMBER(FC338),INDIRECT("SamplesX!F"&amp;FC338),IF(ISNUMBER(FD338),INDIRECT("SamplesY!F"&amp;FD338),""))</f>
        <v/>
      </c>
      <c r="G338" s="18">
        <f>IF(ISNUMBER(FC338),INDIRECT("SamplesX!G"&amp;FC338),IF(ISNUMBER(FD338),INDIRECT("SamplesY!G"&amp;FD338),""))</f>
        <v/>
      </c>
      <c r="H338" s="19">
        <f>IF(ISNUMBER(FC338),INDIRECT("SamplesX!H"&amp;FC338),IF(ISNUMBER(FD338),INDIRECT("SamplesY!H"&amp;FD338),""))</f>
        <v/>
      </c>
      <c r="I338" s="16" t="n"/>
      <c r="J338" s="16" t="n"/>
      <c r="K338" s="16" t="n"/>
      <c r="L338" s="20" t="n"/>
      <c r="M338" s="20" t="inlineStr">
        <is>
          <t>None</t>
        </is>
      </c>
      <c r="N338" s="17" t="n"/>
      <c r="O338" s="16" t="n"/>
      <c r="P338" s="20" t="inlineStr">
        <is>
          <t>Shimadzu TOC-L</t>
        </is>
      </c>
      <c r="Q338" s="20" t="inlineStr">
        <is>
          <t>None</t>
        </is>
      </c>
      <c r="R338" s="17" t="n"/>
      <c r="S338" s="16" t="n"/>
      <c r="T338" s="20" t="inlineStr">
        <is>
          <t>Shimadzu TOC-L</t>
        </is>
      </c>
      <c r="U338" s="20" t="inlineStr">
        <is>
          <t>None</t>
        </is>
      </c>
      <c r="V338" s="17" t="n"/>
      <c r="W338" s="16" t="n"/>
      <c r="X338" s="20" t="n"/>
      <c r="Y338" s="20" t="inlineStr">
        <is>
          <t>None</t>
        </is>
      </c>
      <c r="Z338" s="17" t="n"/>
      <c r="AA338" s="16" t="n"/>
      <c r="AB338" s="20" t="n"/>
      <c r="AC338" s="20" t="inlineStr">
        <is>
          <t>None</t>
        </is>
      </c>
      <c r="AD338" s="17" t="n"/>
      <c r="AE338" s="16" t="n"/>
      <c r="AF338" s="20" t="inlineStr">
        <is>
          <t>IC Anionen</t>
        </is>
      </c>
      <c r="AG338" s="20" t="inlineStr">
        <is>
          <t>None</t>
        </is>
      </c>
      <c r="AH338" s="17" t="n"/>
      <c r="AI338" s="16" t="n"/>
      <c r="AJ338" s="20" t="n"/>
      <c r="AK338" s="20" t="inlineStr">
        <is>
          <t>None</t>
        </is>
      </c>
      <c r="AL338" s="17" t="n"/>
      <c r="AM338" s="16" t="n"/>
      <c r="AN338" s="20" t="inlineStr">
        <is>
          <t>IC Anionen</t>
        </is>
      </c>
      <c r="AO338" s="20" t="inlineStr">
        <is>
          <t>None</t>
        </is>
      </c>
      <c r="AP338" s="17" t="n"/>
      <c r="AQ338" s="16" t="n"/>
      <c r="AR338" s="20" t="n"/>
      <c r="AS338" s="20" t="inlineStr">
        <is>
          <t>None</t>
        </is>
      </c>
      <c r="AT338" s="17" t="n"/>
      <c r="AU338" s="16" t="n"/>
      <c r="AV338" s="20" t="n"/>
      <c r="AW338" s="20" t="inlineStr">
        <is>
          <t>None</t>
        </is>
      </c>
      <c r="AX338" s="17" t="n"/>
      <c r="AY338" s="16" t="n"/>
      <c r="AZ338" s="20" t="inlineStr">
        <is>
          <t>IC Anionen</t>
        </is>
      </c>
      <c r="BA338" s="20" t="inlineStr">
        <is>
          <t>None</t>
        </is>
      </c>
      <c r="BB338" s="17" t="n"/>
      <c r="BC338" s="16" t="n"/>
      <c r="BD338" s="20" t="inlineStr">
        <is>
          <t>IC Kationen</t>
        </is>
      </c>
      <c r="BE338" s="20" t="inlineStr">
        <is>
          <t>None</t>
        </is>
      </c>
      <c r="BF338" s="17" t="n"/>
      <c r="BG338" s="16" t="n"/>
      <c r="BH338" s="20" t="inlineStr">
        <is>
          <t>IC Kationen</t>
        </is>
      </c>
      <c r="BI338" s="20" t="inlineStr">
        <is>
          <t>None</t>
        </is>
      </c>
      <c r="BJ338" s="17" t="n"/>
      <c r="BK338" s="16" t="n"/>
      <c r="BL338" s="20" t="inlineStr">
        <is>
          <t>IC Kationen</t>
        </is>
      </c>
      <c r="BM338" s="20" t="inlineStr">
        <is>
          <t>None</t>
        </is>
      </c>
      <c r="BN338" s="17" t="n"/>
      <c r="BO338" s="16" t="n"/>
      <c r="BP338" s="20" t="inlineStr">
        <is>
          <t>IC Kationen</t>
        </is>
      </c>
      <c r="BQ338" s="20" t="inlineStr">
        <is>
          <t>None</t>
        </is>
      </c>
      <c r="BR338" s="17" t="n"/>
      <c r="BS338" s="16" t="n"/>
      <c r="BT338" s="20" t="inlineStr">
        <is>
          <t>IC Kationen</t>
        </is>
      </c>
      <c r="BU338" s="20" t="inlineStr">
        <is>
          <t>None</t>
        </is>
      </c>
      <c r="BV338" s="17" t="n"/>
      <c r="BW338" s="16" t="n"/>
      <c r="BX338" s="20" t="n"/>
      <c r="BY338" s="20" t="inlineStr">
        <is>
          <t>None</t>
        </is>
      </c>
      <c r="BZ338" s="17" t="n"/>
      <c r="CA338" s="16" t="n"/>
      <c r="CB338" s="20" t="n"/>
      <c r="CC338" s="20" t="inlineStr">
        <is>
          <t>None</t>
        </is>
      </c>
      <c r="CD338" s="17" t="n"/>
      <c r="CE338" s="16" t="n"/>
      <c r="CF338" s="20" t="n"/>
      <c r="CG338" s="20" t="inlineStr">
        <is>
          <t>None</t>
        </is>
      </c>
      <c r="CH338" s="17" t="n"/>
      <c r="CI338" s="16" t="n"/>
      <c r="CJ338" s="20" t="n"/>
      <c r="CK338" s="20" t="inlineStr">
        <is>
          <t>None</t>
        </is>
      </c>
      <c r="CL338" s="17" t="n"/>
      <c r="CM338" s="16" t="n"/>
      <c r="CN338" s="20" t="inlineStr">
        <is>
          <t>SOP 45-34</t>
        </is>
      </c>
      <c r="CO338" s="20" t="inlineStr">
        <is>
          <t>None</t>
        </is>
      </c>
      <c r="CP338" s="17" t="n"/>
      <c r="CQ338" s="16" t="n"/>
      <c r="CR338" s="20" t="n"/>
      <c r="CS338" s="20" t="inlineStr">
        <is>
          <t>None</t>
        </is>
      </c>
      <c r="CT338" s="17" t="n"/>
      <c r="CU338" s="16" t="n"/>
      <c r="CV338" s="20" t="n"/>
      <c r="CW338" s="20" t="inlineStr">
        <is>
          <t>None</t>
        </is>
      </c>
      <c r="CX338" s="17" t="n"/>
      <c r="CY338" s="16" t="n"/>
      <c r="CZ338" s="20" t="inlineStr">
        <is>
          <t>WTW Multimeter 3430 with FDO 925</t>
        </is>
      </c>
      <c r="DA338" s="20" t="inlineStr">
        <is>
          <t>None</t>
        </is>
      </c>
      <c r="DB338" s="17" t="n"/>
      <c r="DC338" s="16" t="n"/>
      <c r="DD338" s="20" t="n"/>
      <c r="DE338" s="20" t="inlineStr">
        <is>
          <t>None</t>
        </is>
      </c>
      <c r="DF338" s="17" t="n"/>
      <c r="DG338" s="16" t="n"/>
      <c r="DH338" s="20" t="inlineStr">
        <is>
          <t>SOP 45-09</t>
        </is>
      </c>
      <c r="DI338" s="20" t="inlineStr">
        <is>
          <t>None</t>
        </is>
      </c>
      <c r="DJ338" s="17" t="n"/>
      <c r="DK338" s="16" t="n"/>
      <c r="DL338" s="20" t="inlineStr">
        <is>
          <t>SOP 45-09 (SOP muss noch angepasst werden für VSS)</t>
        </is>
      </c>
      <c r="DM338" s="20" t="inlineStr">
        <is>
          <t>None</t>
        </is>
      </c>
      <c r="DN338" s="17" t="n"/>
      <c r="DO338" s="16" t="n"/>
      <c r="DP338" s="20" t="inlineStr">
        <is>
          <t>IC Organic Acids</t>
        </is>
      </c>
      <c r="DQ338" s="20" t="inlineStr">
        <is>
          <t>None</t>
        </is>
      </c>
      <c r="DR338" s="17" t="n"/>
      <c r="DS338" s="16" t="n"/>
      <c r="DT338" s="20" t="inlineStr">
        <is>
          <t>IC Organic Acids</t>
        </is>
      </c>
      <c r="DU338" s="20" t="inlineStr">
        <is>
          <t>None</t>
        </is>
      </c>
      <c r="DV338" s="17" t="n"/>
      <c r="DW338" s="16" t="n"/>
      <c r="DX338" s="20" t="inlineStr">
        <is>
          <t>IC Organic Acids</t>
        </is>
      </c>
      <c r="DY338" s="20" t="inlineStr">
        <is>
          <t>None</t>
        </is>
      </c>
      <c r="DZ338" s="17" t="n"/>
      <c r="EA338" s="16" t="n"/>
      <c r="EB338" s="20" t="inlineStr">
        <is>
          <t>IC Organic Acids</t>
        </is>
      </c>
      <c r="EC338" s="20" t="inlineStr">
        <is>
          <t>None</t>
        </is>
      </c>
      <c r="ED338" s="17" t="n"/>
      <c r="EE338" s="16" t="n"/>
      <c r="EF338" s="20" t="inlineStr">
        <is>
          <t>IC Organic Acids</t>
        </is>
      </c>
      <c r="EG338" s="20" t="inlineStr">
        <is>
          <t>None</t>
        </is>
      </c>
      <c r="EH338" s="17" t="n"/>
      <c r="EI338" s="16" t="n"/>
      <c r="EJ338" s="20" t="inlineStr">
        <is>
          <t>IC Organic Acids</t>
        </is>
      </c>
      <c r="EK338" s="20" t="inlineStr">
        <is>
          <t>None</t>
        </is>
      </c>
      <c r="EL338" s="17" t="n"/>
      <c r="EM338" s="16" t="n"/>
      <c r="EN338" s="20" t="inlineStr">
        <is>
          <t>IC Organic Acids</t>
        </is>
      </c>
      <c r="EO338" s="20" t="inlineStr">
        <is>
          <t>None</t>
        </is>
      </c>
      <c r="EP338" s="17" t="n"/>
      <c r="EQ338" s="16" t="n"/>
      <c r="ER338" s="20" t="inlineStr">
        <is>
          <t>IC Organic Acids</t>
        </is>
      </c>
      <c r="ES338" s="20" t="inlineStr">
        <is>
          <t>None</t>
        </is>
      </c>
      <c r="ET338" s="17" t="n"/>
      <c r="EU338" s="16" t="n"/>
      <c r="EV338" s="20" t="inlineStr">
        <is>
          <t>LC-MS</t>
        </is>
      </c>
      <c r="EW338" s="20" t="inlineStr">
        <is>
          <t>None</t>
        </is>
      </c>
      <c r="EX338" s="17" t="n"/>
      <c r="EY338" s="21" t="n"/>
      <c r="EZ338">
        <f>CONCATENATE(A338,B338)</f>
        <v/>
      </c>
      <c r="FA338">
        <f>CONCATENATE(SamplesX!A338,SamplesX!B338)</f>
        <v/>
      </c>
      <c r="FC338">
        <f>MATCH(EZ338,FA1:FA1008,0)</f>
        <v/>
      </c>
    </row>
    <row r="339">
      <c r="A339" s="16" t="inlineStr">
        <is>
          <t>BP</t>
        </is>
      </c>
      <c r="B339" s="17" t="inlineStr">
        <is>
          <t>25331</t>
        </is>
      </c>
      <c r="C339" s="10">
        <f>IF(ISNUMBER(FC339),INDIRECT("SamplesX!C"&amp;FC339),IF(ISNUMBER(FD339),INDIRECT("SamplesY!C"&amp;FD339),""))</f>
        <v/>
      </c>
      <c r="D339" s="12">
        <f>IF(ISNUMBER(FC339),INDIRECT("SamplesX!D"&amp;FC339),IF(ISNUMBER(FD339),INDIRECT("SamplesY!D"&amp;FD339),""))</f>
        <v/>
      </c>
      <c r="E339" s="12">
        <f>IF(ISNUMBER(FC339),INDIRECT("SamplesX!E"&amp;FC339),IF(ISNUMBER(FD339),INDIRECT("SamplesY!E"&amp;FD339),""))</f>
        <v/>
      </c>
      <c r="F339" s="11">
        <f>IF(ISNUMBER(FC339),INDIRECT("SamplesX!F"&amp;FC339),IF(ISNUMBER(FD339),INDIRECT("SamplesY!F"&amp;FD339),""))</f>
        <v/>
      </c>
      <c r="G339" s="18">
        <f>IF(ISNUMBER(FC339),INDIRECT("SamplesX!G"&amp;FC339),IF(ISNUMBER(FD339),INDIRECT("SamplesY!G"&amp;FD339),""))</f>
        <v/>
      </c>
      <c r="H339" s="19">
        <f>IF(ISNUMBER(FC339),INDIRECT("SamplesX!H"&amp;FC339),IF(ISNUMBER(FD339),INDIRECT("SamplesY!H"&amp;FD339),""))</f>
        <v/>
      </c>
      <c r="I339" s="16" t="n"/>
      <c r="J339" s="16" t="n"/>
      <c r="K339" s="16" t="n"/>
      <c r="L339" s="20" t="n"/>
      <c r="M339" s="20" t="inlineStr">
        <is>
          <t>None</t>
        </is>
      </c>
      <c r="N339" s="17" t="n"/>
      <c r="O339" s="16" t="n"/>
      <c r="P339" s="20" t="inlineStr">
        <is>
          <t>Shimadzu TOC-L</t>
        </is>
      </c>
      <c r="Q339" s="20" t="inlineStr">
        <is>
          <t>None</t>
        </is>
      </c>
      <c r="R339" s="17" t="n"/>
      <c r="S339" s="16" t="n"/>
      <c r="T339" s="20" t="inlineStr">
        <is>
          <t>Shimadzu TOC-L</t>
        </is>
      </c>
      <c r="U339" s="20" t="inlineStr">
        <is>
          <t>None</t>
        </is>
      </c>
      <c r="V339" s="17" t="n"/>
      <c r="W339" s="16" t="n"/>
      <c r="X339" s="20" t="n"/>
      <c r="Y339" s="20" t="inlineStr">
        <is>
          <t>None</t>
        </is>
      </c>
      <c r="Z339" s="17" t="n"/>
      <c r="AA339" s="16" t="n"/>
      <c r="AB339" s="20" t="n"/>
      <c r="AC339" s="20" t="inlineStr">
        <is>
          <t>None</t>
        </is>
      </c>
      <c r="AD339" s="17" t="n"/>
      <c r="AE339" s="16" t="n"/>
      <c r="AF339" s="20" t="inlineStr">
        <is>
          <t>IC Anionen</t>
        </is>
      </c>
      <c r="AG339" s="20" t="inlineStr">
        <is>
          <t>None</t>
        </is>
      </c>
      <c r="AH339" s="17" t="n"/>
      <c r="AI339" s="16" t="n"/>
      <c r="AJ339" s="20" t="n"/>
      <c r="AK339" s="20" t="inlineStr">
        <is>
          <t>None</t>
        </is>
      </c>
      <c r="AL339" s="17" t="n"/>
      <c r="AM339" s="16" t="n"/>
      <c r="AN339" s="20" t="inlineStr">
        <is>
          <t>IC Anionen</t>
        </is>
      </c>
      <c r="AO339" s="20" t="inlineStr">
        <is>
          <t>None</t>
        </is>
      </c>
      <c r="AP339" s="17" t="n"/>
      <c r="AQ339" s="16" t="n"/>
      <c r="AR339" s="20" t="n"/>
      <c r="AS339" s="20" t="inlineStr">
        <is>
          <t>None</t>
        </is>
      </c>
      <c r="AT339" s="17" t="n"/>
      <c r="AU339" s="16" t="n"/>
      <c r="AV339" s="20" t="n"/>
      <c r="AW339" s="20" t="inlineStr">
        <is>
          <t>None</t>
        </is>
      </c>
      <c r="AX339" s="17" t="n"/>
      <c r="AY339" s="16" t="n"/>
      <c r="AZ339" s="20" t="inlineStr">
        <is>
          <t>IC Anionen</t>
        </is>
      </c>
      <c r="BA339" s="20" t="inlineStr">
        <is>
          <t>None</t>
        </is>
      </c>
      <c r="BB339" s="17" t="n"/>
      <c r="BC339" s="16" t="n"/>
      <c r="BD339" s="20" t="inlineStr">
        <is>
          <t>IC Kationen</t>
        </is>
      </c>
      <c r="BE339" s="20" t="inlineStr">
        <is>
          <t>None</t>
        </is>
      </c>
      <c r="BF339" s="17" t="n"/>
      <c r="BG339" s="16" t="n"/>
      <c r="BH339" s="20" t="inlineStr">
        <is>
          <t>IC Kationen</t>
        </is>
      </c>
      <c r="BI339" s="20" t="inlineStr">
        <is>
          <t>None</t>
        </is>
      </c>
      <c r="BJ339" s="17" t="n"/>
      <c r="BK339" s="16" t="n"/>
      <c r="BL339" s="20" t="inlineStr">
        <is>
          <t>IC Kationen</t>
        </is>
      </c>
      <c r="BM339" s="20" t="inlineStr">
        <is>
          <t>None</t>
        </is>
      </c>
      <c r="BN339" s="17" t="n"/>
      <c r="BO339" s="16" t="n"/>
      <c r="BP339" s="20" t="inlineStr">
        <is>
          <t>IC Kationen</t>
        </is>
      </c>
      <c r="BQ339" s="20" t="inlineStr">
        <is>
          <t>None</t>
        </is>
      </c>
      <c r="BR339" s="17" t="n"/>
      <c r="BS339" s="16" t="n"/>
      <c r="BT339" s="20" t="inlineStr">
        <is>
          <t>IC Kationen</t>
        </is>
      </c>
      <c r="BU339" s="20" t="inlineStr">
        <is>
          <t>None</t>
        </is>
      </c>
      <c r="BV339" s="17" t="n"/>
      <c r="BW339" s="16" t="n"/>
      <c r="BX339" s="20" t="n"/>
      <c r="BY339" s="20" t="inlineStr">
        <is>
          <t>None</t>
        </is>
      </c>
      <c r="BZ339" s="17" t="n"/>
      <c r="CA339" s="16" t="n"/>
      <c r="CB339" s="20" t="n"/>
      <c r="CC339" s="20" t="inlineStr">
        <is>
          <t>None</t>
        </is>
      </c>
      <c r="CD339" s="17" t="n"/>
      <c r="CE339" s="16" t="n"/>
      <c r="CF339" s="20" t="n"/>
      <c r="CG339" s="20" t="inlineStr">
        <is>
          <t>None</t>
        </is>
      </c>
      <c r="CH339" s="17" t="n"/>
      <c r="CI339" s="16" t="n"/>
      <c r="CJ339" s="20" t="n"/>
      <c r="CK339" s="20" t="inlineStr">
        <is>
          <t>None</t>
        </is>
      </c>
      <c r="CL339" s="17" t="n"/>
      <c r="CM339" s="16" t="n"/>
      <c r="CN339" s="20" t="inlineStr">
        <is>
          <t>SOP 45-34</t>
        </is>
      </c>
      <c r="CO339" s="20" t="inlineStr">
        <is>
          <t>None</t>
        </is>
      </c>
      <c r="CP339" s="17" t="n"/>
      <c r="CQ339" s="16" t="n"/>
      <c r="CR339" s="20" t="n"/>
      <c r="CS339" s="20" t="inlineStr">
        <is>
          <t>None</t>
        </is>
      </c>
      <c r="CT339" s="17" t="n"/>
      <c r="CU339" s="16" t="n"/>
      <c r="CV339" s="20" t="n"/>
      <c r="CW339" s="20" t="inlineStr">
        <is>
          <t>None</t>
        </is>
      </c>
      <c r="CX339" s="17" t="n"/>
      <c r="CY339" s="16" t="n"/>
      <c r="CZ339" s="20" t="inlineStr">
        <is>
          <t>WTW Multimeter 3430 with FDO 925</t>
        </is>
      </c>
      <c r="DA339" s="20" t="inlineStr">
        <is>
          <t>None</t>
        </is>
      </c>
      <c r="DB339" s="17" t="n"/>
      <c r="DC339" s="16" t="n"/>
      <c r="DD339" s="20" t="n"/>
      <c r="DE339" s="20" t="inlineStr">
        <is>
          <t>None</t>
        </is>
      </c>
      <c r="DF339" s="17" t="n"/>
      <c r="DG339" s="16" t="n"/>
      <c r="DH339" s="20" t="inlineStr">
        <is>
          <t>SOP 45-09</t>
        </is>
      </c>
      <c r="DI339" s="20" t="inlineStr">
        <is>
          <t>None</t>
        </is>
      </c>
      <c r="DJ339" s="17" t="n"/>
      <c r="DK339" s="16" t="n"/>
      <c r="DL339" s="20" t="inlineStr">
        <is>
          <t>SOP 45-09 (SOP muss noch angepasst werden für VSS)</t>
        </is>
      </c>
      <c r="DM339" s="20" t="inlineStr">
        <is>
          <t>None</t>
        </is>
      </c>
      <c r="DN339" s="17" t="n"/>
      <c r="DO339" s="16" t="n"/>
      <c r="DP339" s="20" t="inlineStr">
        <is>
          <t>IC Organic Acids</t>
        </is>
      </c>
      <c r="DQ339" s="20" t="inlineStr">
        <is>
          <t>None</t>
        </is>
      </c>
      <c r="DR339" s="17" t="n"/>
      <c r="DS339" s="16" t="n"/>
      <c r="DT339" s="20" t="inlineStr">
        <is>
          <t>IC Organic Acids</t>
        </is>
      </c>
      <c r="DU339" s="20" t="inlineStr">
        <is>
          <t>None</t>
        </is>
      </c>
      <c r="DV339" s="17" t="n"/>
      <c r="DW339" s="16" t="n"/>
      <c r="DX339" s="20" t="inlineStr">
        <is>
          <t>IC Organic Acids</t>
        </is>
      </c>
      <c r="DY339" s="20" t="inlineStr">
        <is>
          <t>None</t>
        </is>
      </c>
      <c r="DZ339" s="17" t="n"/>
      <c r="EA339" s="16" t="n"/>
      <c r="EB339" s="20" t="inlineStr">
        <is>
          <t>IC Organic Acids</t>
        </is>
      </c>
      <c r="EC339" s="20" t="inlineStr">
        <is>
          <t>None</t>
        </is>
      </c>
      <c r="ED339" s="17" t="n"/>
      <c r="EE339" s="16" t="n"/>
      <c r="EF339" s="20" t="inlineStr">
        <is>
          <t>IC Organic Acids</t>
        </is>
      </c>
      <c r="EG339" s="20" t="inlineStr">
        <is>
          <t>None</t>
        </is>
      </c>
      <c r="EH339" s="17" t="n"/>
      <c r="EI339" s="16" t="n"/>
      <c r="EJ339" s="20" t="inlineStr">
        <is>
          <t>IC Organic Acids</t>
        </is>
      </c>
      <c r="EK339" s="20" t="inlineStr">
        <is>
          <t>None</t>
        </is>
      </c>
      <c r="EL339" s="17" t="n"/>
      <c r="EM339" s="16" t="n"/>
      <c r="EN339" s="20" t="inlineStr">
        <is>
          <t>IC Organic Acids</t>
        </is>
      </c>
      <c r="EO339" s="20" t="inlineStr">
        <is>
          <t>None</t>
        </is>
      </c>
      <c r="EP339" s="17" t="n"/>
      <c r="EQ339" s="16" t="n"/>
      <c r="ER339" s="20" t="inlineStr">
        <is>
          <t>IC Organic Acids</t>
        </is>
      </c>
      <c r="ES339" s="20" t="inlineStr">
        <is>
          <t>None</t>
        </is>
      </c>
      <c r="ET339" s="17" t="n"/>
      <c r="EU339" s="16" t="n"/>
      <c r="EV339" s="20" t="inlineStr">
        <is>
          <t>LC-MS</t>
        </is>
      </c>
      <c r="EW339" s="20" t="inlineStr">
        <is>
          <t>None</t>
        </is>
      </c>
      <c r="EX339" s="17" t="n"/>
      <c r="EY339" s="21" t="n"/>
      <c r="EZ339">
        <f>CONCATENATE(A339,B339)</f>
        <v/>
      </c>
      <c r="FA339">
        <f>CONCATENATE(SamplesX!A339,SamplesX!B339)</f>
        <v/>
      </c>
      <c r="FC339">
        <f>MATCH(EZ339,FA1:FA1008,0)</f>
        <v/>
      </c>
    </row>
    <row r="340">
      <c r="A340" s="16" t="inlineStr">
        <is>
          <t>BP</t>
        </is>
      </c>
      <c r="B340" s="17" t="inlineStr">
        <is>
          <t>25332</t>
        </is>
      </c>
      <c r="C340" s="10">
        <f>IF(ISNUMBER(FC340),INDIRECT("SamplesX!C"&amp;FC340),IF(ISNUMBER(FD340),INDIRECT("SamplesY!C"&amp;FD340),""))</f>
        <v/>
      </c>
      <c r="D340" s="12">
        <f>IF(ISNUMBER(FC340),INDIRECT("SamplesX!D"&amp;FC340),IF(ISNUMBER(FD340),INDIRECT("SamplesY!D"&amp;FD340),""))</f>
        <v/>
      </c>
      <c r="E340" s="12">
        <f>IF(ISNUMBER(FC340),INDIRECT("SamplesX!E"&amp;FC340),IF(ISNUMBER(FD340),INDIRECT("SamplesY!E"&amp;FD340),""))</f>
        <v/>
      </c>
      <c r="F340" s="11">
        <f>IF(ISNUMBER(FC340),INDIRECT("SamplesX!F"&amp;FC340),IF(ISNUMBER(FD340),INDIRECT("SamplesY!F"&amp;FD340),""))</f>
        <v/>
      </c>
      <c r="G340" s="18">
        <f>IF(ISNUMBER(FC340),INDIRECT("SamplesX!G"&amp;FC340),IF(ISNUMBER(FD340),INDIRECT("SamplesY!G"&amp;FD340),""))</f>
        <v/>
      </c>
      <c r="H340" s="19">
        <f>IF(ISNUMBER(FC340),INDIRECT("SamplesX!H"&amp;FC340),IF(ISNUMBER(FD340),INDIRECT("SamplesY!H"&amp;FD340),""))</f>
        <v/>
      </c>
      <c r="I340" s="16" t="n"/>
      <c r="J340" s="16" t="n"/>
      <c r="K340" s="16" t="n"/>
      <c r="L340" s="20" t="n"/>
      <c r="M340" s="20" t="inlineStr">
        <is>
          <t>None</t>
        </is>
      </c>
      <c r="N340" s="17" t="n"/>
      <c r="O340" s="16" t="n"/>
      <c r="P340" s="20" t="inlineStr">
        <is>
          <t>Shimadzu TOC-L</t>
        </is>
      </c>
      <c r="Q340" s="20" t="inlineStr">
        <is>
          <t>None</t>
        </is>
      </c>
      <c r="R340" s="17" t="n"/>
      <c r="S340" s="16" t="n"/>
      <c r="T340" s="20" t="inlineStr">
        <is>
          <t>Shimadzu TOC-L</t>
        </is>
      </c>
      <c r="U340" s="20" t="inlineStr">
        <is>
          <t>None</t>
        </is>
      </c>
      <c r="V340" s="17" t="n"/>
      <c r="W340" s="16" t="n"/>
      <c r="X340" s="20" t="n"/>
      <c r="Y340" s="20" t="inlineStr">
        <is>
          <t>None</t>
        </is>
      </c>
      <c r="Z340" s="17" t="n"/>
      <c r="AA340" s="16" t="n"/>
      <c r="AB340" s="20" t="n"/>
      <c r="AC340" s="20" t="inlineStr">
        <is>
          <t>None</t>
        </is>
      </c>
      <c r="AD340" s="17" t="n"/>
      <c r="AE340" s="16" t="n"/>
      <c r="AF340" s="20" t="inlineStr">
        <is>
          <t>IC Anionen</t>
        </is>
      </c>
      <c r="AG340" s="20" t="inlineStr">
        <is>
          <t>None</t>
        </is>
      </c>
      <c r="AH340" s="17" t="n"/>
      <c r="AI340" s="16" t="n"/>
      <c r="AJ340" s="20" t="n"/>
      <c r="AK340" s="20" t="inlineStr">
        <is>
          <t>None</t>
        </is>
      </c>
      <c r="AL340" s="17" t="n"/>
      <c r="AM340" s="16" t="n"/>
      <c r="AN340" s="20" t="inlineStr">
        <is>
          <t>IC Anionen</t>
        </is>
      </c>
      <c r="AO340" s="20" t="inlineStr">
        <is>
          <t>None</t>
        </is>
      </c>
      <c r="AP340" s="17" t="n"/>
      <c r="AQ340" s="16" t="n"/>
      <c r="AR340" s="20" t="n"/>
      <c r="AS340" s="20" t="inlineStr">
        <is>
          <t>None</t>
        </is>
      </c>
      <c r="AT340" s="17" t="n"/>
      <c r="AU340" s="16" t="n"/>
      <c r="AV340" s="20" t="n"/>
      <c r="AW340" s="20" t="inlineStr">
        <is>
          <t>None</t>
        </is>
      </c>
      <c r="AX340" s="17" t="n"/>
      <c r="AY340" s="16" t="n"/>
      <c r="AZ340" s="20" t="inlineStr">
        <is>
          <t>IC Anionen</t>
        </is>
      </c>
      <c r="BA340" s="20" t="inlineStr">
        <is>
          <t>None</t>
        </is>
      </c>
      <c r="BB340" s="17" t="n"/>
      <c r="BC340" s="16" t="n"/>
      <c r="BD340" s="20" t="inlineStr">
        <is>
          <t>IC Kationen</t>
        </is>
      </c>
      <c r="BE340" s="20" t="inlineStr">
        <is>
          <t>None</t>
        </is>
      </c>
      <c r="BF340" s="17" t="n"/>
      <c r="BG340" s="16" t="n"/>
      <c r="BH340" s="20" t="inlineStr">
        <is>
          <t>IC Kationen</t>
        </is>
      </c>
      <c r="BI340" s="20" t="inlineStr">
        <is>
          <t>None</t>
        </is>
      </c>
      <c r="BJ340" s="17" t="n"/>
      <c r="BK340" s="16" t="n"/>
      <c r="BL340" s="20" t="inlineStr">
        <is>
          <t>IC Kationen</t>
        </is>
      </c>
      <c r="BM340" s="20" t="inlineStr">
        <is>
          <t>None</t>
        </is>
      </c>
      <c r="BN340" s="17" t="n"/>
      <c r="BO340" s="16" t="n"/>
      <c r="BP340" s="20" t="inlineStr">
        <is>
          <t>IC Kationen</t>
        </is>
      </c>
      <c r="BQ340" s="20" t="inlineStr">
        <is>
          <t>None</t>
        </is>
      </c>
      <c r="BR340" s="17" t="n"/>
      <c r="BS340" s="16" t="n"/>
      <c r="BT340" s="20" t="inlineStr">
        <is>
          <t>IC Kationen</t>
        </is>
      </c>
      <c r="BU340" s="20" t="inlineStr">
        <is>
          <t>None</t>
        </is>
      </c>
      <c r="BV340" s="17" t="n"/>
      <c r="BW340" s="16" t="n"/>
      <c r="BX340" s="20" t="n"/>
      <c r="BY340" s="20" t="inlineStr">
        <is>
          <t>None</t>
        </is>
      </c>
      <c r="BZ340" s="17" t="n"/>
      <c r="CA340" s="16" t="n"/>
      <c r="CB340" s="20" t="n"/>
      <c r="CC340" s="20" t="inlineStr">
        <is>
          <t>None</t>
        </is>
      </c>
      <c r="CD340" s="17" t="n"/>
      <c r="CE340" s="16" t="n"/>
      <c r="CF340" s="20" t="n"/>
      <c r="CG340" s="20" t="inlineStr">
        <is>
          <t>None</t>
        </is>
      </c>
      <c r="CH340" s="17" t="n"/>
      <c r="CI340" s="16" t="n"/>
      <c r="CJ340" s="20" t="n"/>
      <c r="CK340" s="20" t="inlineStr">
        <is>
          <t>None</t>
        </is>
      </c>
      <c r="CL340" s="17" t="n"/>
      <c r="CM340" s="16" t="n"/>
      <c r="CN340" s="20" t="inlineStr">
        <is>
          <t>SOP 45-34</t>
        </is>
      </c>
      <c r="CO340" s="20" t="inlineStr">
        <is>
          <t>None</t>
        </is>
      </c>
      <c r="CP340" s="17" t="n"/>
      <c r="CQ340" s="16" t="n"/>
      <c r="CR340" s="20" t="n"/>
      <c r="CS340" s="20" t="inlineStr">
        <is>
          <t>None</t>
        </is>
      </c>
      <c r="CT340" s="17" t="n"/>
      <c r="CU340" s="16" t="n"/>
      <c r="CV340" s="20" t="n"/>
      <c r="CW340" s="20" t="inlineStr">
        <is>
          <t>None</t>
        </is>
      </c>
      <c r="CX340" s="17" t="n"/>
      <c r="CY340" s="16" t="n"/>
      <c r="CZ340" s="20" t="inlineStr">
        <is>
          <t>WTW Multimeter 3430 with FDO 925</t>
        </is>
      </c>
      <c r="DA340" s="20" t="inlineStr">
        <is>
          <t>None</t>
        </is>
      </c>
      <c r="DB340" s="17" t="n"/>
      <c r="DC340" s="16" t="n"/>
      <c r="DD340" s="20" t="n"/>
      <c r="DE340" s="20" t="inlineStr">
        <is>
          <t>None</t>
        </is>
      </c>
      <c r="DF340" s="17" t="n"/>
      <c r="DG340" s="16" t="n"/>
      <c r="DH340" s="20" t="inlineStr">
        <is>
          <t>SOP 45-09</t>
        </is>
      </c>
      <c r="DI340" s="20" t="inlineStr">
        <is>
          <t>None</t>
        </is>
      </c>
      <c r="DJ340" s="17" t="n"/>
      <c r="DK340" s="16" t="n"/>
      <c r="DL340" s="20" t="inlineStr">
        <is>
          <t>SOP 45-09 (SOP muss noch angepasst werden für VSS)</t>
        </is>
      </c>
      <c r="DM340" s="20" t="inlineStr">
        <is>
          <t>None</t>
        </is>
      </c>
      <c r="DN340" s="17" t="n"/>
      <c r="DO340" s="16" t="n"/>
      <c r="DP340" s="20" t="inlineStr">
        <is>
          <t>IC Organic Acids</t>
        </is>
      </c>
      <c r="DQ340" s="20" t="inlineStr">
        <is>
          <t>None</t>
        </is>
      </c>
      <c r="DR340" s="17" t="n"/>
      <c r="DS340" s="16" t="n"/>
      <c r="DT340" s="20" t="inlineStr">
        <is>
          <t>IC Organic Acids</t>
        </is>
      </c>
      <c r="DU340" s="20" t="inlineStr">
        <is>
          <t>None</t>
        </is>
      </c>
      <c r="DV340" s="17" t="n"/>
      <c r="DW340" s="16" t="n"/>
      <c r="DX340" s="20" t="inlineStr">
        <is>
          <t>IC Organic Acids</t>
        </is>
      </c>
      <c r="DY340" s="20" t="inlineStr">
        <is>
          <t>None</t>
        </is>
      </c>
      <c r="DZ340" s="17" t="n"/>
      <c r="EA340" s="16" t="n"/>
      <c r="EB340" s="20" t="inlineStr">
        <is>
          <t>IC Organic Acids</t>
        </is>
      </c>
      <c r="EC340" s="20" t="inlineStr">
        <is>
          <t>None</t>
        </is>
      </c>
      <c r="ED340" s="17" t="n"/>
      <c r="EE340" s="16" t="n"/>
      <c r="EF340" s="20" t="inlineStr">
        <is>
          <t>IC Organic Acids</t>
        </is>
      </c>
      <c r="EG340" s="20" t="inlineStr">
        <is>
          <t>None</t>
        </is>
      </c>
      <c r="EH340" s="17" t="n"/>
      <c r="EI340" s="16" t="n"/>
      <c r="EJ340" s="20" t="inlineStr">
        <is>
          <t>IC Organic Acids</t>
        </is>
      </c>
      <c r="EK340" s="20" t="inlineStr">
        <is>
          <t>None</t>
        </is>
      </c>
      <c r="EL340" s="17" t="n"/>
      <c r="EM340" s="16" t="n"/>
      <c r="EN340" s="20" t="inlineStr">
        <is>
          <t>IC Organic Acids</t>
        </is>
      </c>
      <c r="EO340" s="20" t="inlineStr">
        <is>
          <t>None</t>
        </is>
      </c>
      <c r="EP340" s="17" t="n"/>
      <c r="EQ340" s="16" t="n"/>
      <c r="ER340" s="20" t="inlineStr">
        <is>
          <t>IC Organic Acids</t>
        </is>
      </c>
      <c r="ES340" s="20" t="inlineStr">
        <is>
          <t>None</t>
        </is>
      </c>
      <c r="ET340" s="17" t="n"/>
      <c r="EU340" s="16" t="n"/>
      <c r="EV340" s="20" t="inlineStr">
        <is>
          <t>LC-MS</t>
        </is>
      </c>
      <c r="EW340" s="20" t="inlineStr">
        <is>
          <t>None</t>
        </is>
      </c>
      <c r="EX340" s="17" t="n"/>
      <c r="EY340" s="21" t="n"/>
      <c r="EZ340">
        <f>CONCATENATE(A340,B340)</f>
        <v/>
      </c>
      <c r="FA340">
        <f>CONCATENATE(SamplesX!A340,SamplesX!B340)</f>
        <v/>
      </c>
      <c r="FC340">
        <f>MATCH(EZ340,FA1:FA1008,0)</f>
        <v/>
      </c>
    </row>
    <row r="341">
      <c r="A341" s="16" t="inlineStr">
        <is>
          <t>BP</t>
        </is>
      </c>
      <c r="B341" s="17" t="inlineStr">
        <is>
          <t>25333</t>
        </is>
      </c>
      <c r="C341" s="10">
        <f>IF(ISNUMBER(FC341),INDIRECT("SamplesX!C"&amp;FC341),IF(ISNUMBER(FD341),INDIRECT("SamplesY!C"&amp;FD341),""))</f>
        <v/>
      </c>
      <c r="D341" s="12">
        <f>IF(ISNUMBER(FC341),INDIRECT("SamplesX!D"&amp;FC341),IF(ISNUMBER(FD341),INDIRECT("SamplesY!D"&amp;FD341),""))</f>
        <v/>
      </c>
      <c r="E341" s="12">
        <f>IF(ISNUMBER(FC341),INDIRECT("SamplesX!E"&amp;FC341),IF(ISNUMBER(FD341),INDIRECT("SamplesY!E"&amp;FD341),""))</f>
        <v/>
      </c>
      <c r="F341" s="11">
        <f>IF(ISNUMBER(FC341),INDIRECT("SamplesX!F"&amp;FC341),IF(ISNUMBER(FD341),INDIRECT("SamplesY!F"&amp;FD341),""))</f>
        <v/>
      </c>
      <c r="G341" s="18">
        <f>IF(ISNUMBER(FC341),INDIRECT("SamplesX!G"&amp;FC341),IF(ISNUMBER(FD341),INDIRECT("SamplesY!G"&amp;FD341),""))</f>
        <v/>
      </c>
      <c r="H341" s="19">
        <f>IF(ISNUMBER(FC341),INDIRECT("SamplesX!H"&amp;FC341),IF(ISNUMBER(FD341),INDIRECT("SamplesY!H"&amp;FD341),""))</f>
        <v/>
      </c>
      <c r="I341" s="16" t="n"/>
      <c r="J341" s="16" t="n"/>
      <c r="K341" s="16" t="n"/>
      <c r="L341" s="20" t="n"/>
      <c r="M341" s="20" t="inlineStr">
        <is>
          <t>None</t>
        </is>
      </c>
      <c r="N341" s="17" t="n"/>
      <c r="O341" s="16" t="n"/>
      <c r="P341" s="20" t="inlineStr">
        <is>
          <t>Shimadzu TOC-L</t>
        </is>
      </c>
      <c r="Q341" s="20" t="inlineStr">
        <is>
          <t>None</t>
        </is>
      </c>
      <c r="R341" s="17" t="n"/>
      <c r="S341" s="16" t="n"/>
      <c r="T341" s="20" t="inlineStr">
        <is>
          <t>Shimadzu TOC-L</t>
        </is>
      </c>
      <c r="U341" s="20" t="inlineStr">
        <is>
          <t>None</t>
        </is>
      </c>
      <c r="V341" s="17" t="n"/>
      <c r="W341" s="16" t="n"/>
      <c r="X341" s="20" t="n"/>
      <c r="Y341" s="20" t="inlineStr">
        <is>
          <t>None</t>
        </is>
      </c>
      <c r="Z341" s="17" t="n"/>
      <c r="AA341" s="16" t="n"/>
      <c r="AB341" s="20" t="n"/>
      <c r="AC341" s="20" t="inlineStr">
        <is>
          <t>None</t>
        </is>
      </c>
      <c r="AD341" s="17" t="n"/>
      <c r="AE341" s="16" t="n"/>
      <c r="AF341" s="20" t="inlineStr">
        <is>
          <t>IC Anionen</t>
        </is>
      </c>
      <c r="AG341" s="20" t="inlineStr">
        <is>
          <t>None</t>
        </is>
      </c>
      <c r="AH341" s="17" t="n"/>
      <c r="AI341" s="16" t="n"/>
      <c r="AJ341" s="20" t="n"/>
      <c r="AK341" s="20" t="inlineStr">
        <is>
          <t>None</t>
        </is>
      </c>
      <c r="AL341" s="17" t="n"/>
      <c r="AM341" s="16" t="n"/>
      <c r="AN341" s="20" t="inlineStr">
        <is>
          <t>IC Anionen</t>
        </is>
      </c>
      <c r="AO341" s="20" t="inlineStr">
        <is>
          <t>None</t>
        </is>
      </c>
      <c r="AP341" s="17" t="n"/>
      <c r="AQ341" s="16" t="n"/>
      <c r="AR341" s="20" t="n"/>
      <c r="AS341" s="20" t="inlineStr">
        <is>
          <t>None</t>
        </is>
      </c>
      <c r="AT341" s="17" t="n"/>
      <c r="AU341" s="16" t="n"/>
      <c r="AV341" s="20" t="n"/>
      <c r="AW341" s="20" t="inlineStr">
        <is>
          <t>None</t>
        </is>
      </c>
      <c r="AX341" s="17" t="n"/>
      <c r="AY341" s="16" t="n"/>
      <c r="AZ341" s="20" t="inlineStr">
        <is>
          <t>IC Anionen</t>
        </is>
      </c>
      <c r="BA341" s="20" t="inlineStr">
        <is>
          <t>None</t>
        </is>
      </c>
      <c r="BB341" s="17" t="n"/>
      <c r="BC341" s="16" t="n"/>
      <c r="BD341" s="20" t="inlineStr">
        <is>
          <t>IC Kationen</t>
        </is>
      </c>
      <c r="BE341" s="20" t="inlineStr">
        <is>
          <t>None</t>
        </is>
      </c>
      <c r="BF341" s="17" t="n"/>
      <c r="BG341" s="16" t="n"/>
      <c r="BH341" s="20" t="inlineStr">
        <is>
          <t>IC Kationen</t>
        </is>
      </c>
      <c r="BI341" s="20" t="inlineStr">
        <is>
          <t>None</t>
        </is>
      </c>
      <c r="BJ341" s="17" t="n"/>
      <c r="BK341" s="16" t="n"/>
      <c r="BL341" s="20" t="inlineStr">
        <is>
          <t>IC Kationen</t>
        </is>
      </c>
      <c r="BM341" s="20" t="inlineStr">
        <is>
          <t>None</t>
        </is>
      </c>
      <c r="BN341" s="17" t="n"/>
      <c r="BO341" s="16" t="n"/>
      <c r="BP341" s="20" t="inlineStr">
        <is>
          <t>IC Kationen</t>
        </is>
      </c>
      <c r="BQ341" s="20" t="inlineStr">
        <is>
          <t>None</t>
        </is>
      </c>
      <c r="BR341" s="17" t="n"/>
      <c r="BS341" s="16" t="n"/>
      <c r="BT341" s="20" t="inlineStr">
        <is>
          <t>IC Kationen</t>
        </is>
      </c>
      <c r="BU341" s="20" t="inlineStr">
        <is>
          <t>None</t>
        </is>
      </c>
      <c r="BV341" s="17" t="n"/>
      <c r="BW341" s="16" t="n"/>
      <c r="BX341" s="20" t="n"/>
      <c r="BY341" s="20" t="inlineStr">
        <is>
          <t>None</t>
        </is>
      </c>
      <c r="BZ341" s="17" t="n"/>
      <c r="CA341" s="16" t="n"/>
      <c r="CB341" s="20" t="n"/>
      <c r="CC341" s="20" t="inlineStr">
        <is>
          <t>None</t>
        </is>
      </c>
      <c r="CD341" s="17" t="n"/>
      <c r="CE341" s="16" t="n"/>
      <c r="CF341" s="20" t="n"/>
      <c r="CG341" s="20" t="inlineStr">
        <is>
          <t>None</t>
        </is>
      </c>
      <c r="CH341" s="17" t="n"/>
      <c r="CI341" s="16" t="n"/>
      <c r="CJ341" s="20" t="n"/>
      <c r="CK341" s="20" t="inlineStr">
        <is>
          <t>None</t>
        </is>
      </c>
      <c r="CL341" s="17" t="n"/>
      <c r="CM341" s="16" t="n"/>
      <c r="CN341" s="20" t="inlineStr">
        <is>
          <t>SOP 45-34</t>
        </is>
      </c>
      <c r="CO341" s="20" t="inlineStr">
        <is>
          <t>None</t>
        </is>
      </c>
      <c r="CP341" s="17" t="n"/>
      <c r="CQ341" s="16" t="n"/>
      <c r="CR341" s="20" t="n"/>
      <c r="CS341" s="20" t="inlineStr">
        <is>
          <t>None</t>
        </is>
      </c>
      <c r="CT341" s="17" t="n"/>
      <c r="CU341" s="16" t="n"/>
      <c r="CV341" s="20" t="n"/>
      <c r="CW341" s="20" t="inlineStr">
        <is>
          <t>None</t>
        </is>
      </c>
      <c r="CX341" s="17" t="n"/>
      <c r="CY341" s="16" t="n"/>
      <c r="CZ341" s="20" t="inlineStr">
        <is>
          <t>WTW Multimeter 3430 with FDO 925</t>
        </is>
      </c>
      <c r="DA341" s="20" t="inlineStr">
        <is>
          <t>None</t>
        </is>
      </c>
      <c r="DB341" s="17" t="n"/>
      <c r="DC341" s="16" t="n"/>
      <c r="DD341" s="20" t="n"/>
      <c r="DE341" s="20" t="inlineStr">
        <is>
          <t>None</t>
        </is>
      </c>
      <c r="DF341" s="17" t="n"/>
      <c r="DG341" s="16" t="n"/>
      <c r="DH341" s="20" t="inlineStr">
        <is>
          <t>SOP 45-09</t>
        </is>
      </c>
      <c r="DI341" s="20" t="inlineStr">
        <is>
          <t>None</t>
        </is>
      </c>
      <c r="DJ341" s="17" t="n"/>
      <c r="DK341" s="16" t="n"/>
      <c r="DL341" s="20" t="inlineStr">
        <is>
          <t>SOP 45-09 (SOP muss noch angepasst werden für VSS)</t>
        </is>
      </c>
      <c r="DM341" s="20" t="inlineStr">
        <is>
          <t>None</t>
        </is>
      </c>
      <c r="DN341" s="17" t="n"/>
      <c r="DO341" s="16" t="n"/>
      <c r="DP341" s="20" t="inlineStr">
        <is>
          <t>IC Organic Acids</t>
        </is>
      </c>
      <c r="DQ341" s="20" t="inlineStr">
        <is>
          <t>None</t>
        </is>
      </c>
      <c r="DR341" s="17" t="n"/>
      <c r="DS341" s="16" t="n"/>
      <c r="DT341" s="20" t="inlineStr">
        <is>
          <t>IC Organic Acids</t>
        </is>
      </c>
      <c r="DU341" s="20" t="inlineStr">
        <is>
          <t>None</t>
        </is>
      </c>
      <c r="DV341" s="17" t="n"/>
      <c r="DW341" s="16" t="n"/>
      <c r="DX341" s="20" t="inlineStr">
        <is>
          <t>IC Organic Acids</t>
        </is>
      </c>
      <c r="DY341" s="20" t="inlineStr">
        <is>
          <t>None</t>
        </is>
      </c>
      <c r="DZ341" s="17" t="n"/>
      <c r="EA341" s="16" t="n"/>
      <c r="EB341" s="20" t="inlineStr">
        <is>
          <t>IC Organic Acids</t>
        </is>
      </c>
      <c r="EC341" s="20" t="inlineStr">
        <is>
          <t>None</t>
        </is>
      </c>
      <c r="ED341" s="17" t="n"/>
      <c r="EE341" s="16" t="n"/>
      <c r="EF341" s="20" t="inlineStr">
        <is>
          <t>IC Organic Acids</t>
        </is>
      </c>
      <c r="EG341" s="20" t="inlineStr">
        <is>
          <t>None</t>
        </is>
      </c>
      <c r="EH341" s="17" t="n"/>
      <c r="EI341" s="16" t="n"/>
      <c r="EJ341" s="20" t="inlineStr">
        <is>
          <t>IC Organic Acids</t>
        </is>
      </c>
      <c r="EK341" s="20" t="inlineStr">
        <is>
          <t>None</t>
        </is>
      </c>
      <c r="EL341" s="17" t="n"/>
      <c r="EM341" s="16" t="n"/>
      <c r="EN341" s="20" t="inlineStr">
        <is>
          <t>IC Organic Acids</t>
        </is>
      </c>
      <c r="EO341" s="20" t="inlineStr">
        <is>
          <t>None</t>
        </is>
      </c>
      <c r="EP341" s="17" t="n"/>
      <c r="EQ341" s="16" t="n"/>
      <c r="ER341" s="20" t="inlineStr">
        <is>
          <t>IC Organic Acids</t>
        </is>
      </c>
      <c r="ES341" s="20" t="inlineStr">
        <is>
          <t>None</t>
        </is>
      </c>
      <c r="ET341" s="17" t="n"/>
      <c r="EU341" s="16" t="n"/>
      <c r="EV341" s="20" t="inlineStr">
        <is>
          <t>LC-MS</t>
        </is>
      </c>
      <c r="EW341" s="20" t="inlineStr">
        <is>
          <t>None</t>
        </is>
      </c>
      <c r="EX341" s="17" t="n"/>
      <c r="EY341" s="21" t="n"/>
      <c r="EZ341">
        <f>CONCATENATE(A341,B341)</f>
        <v/>
      </c>
      <c r="FA341">
        <f>CONCATENATE(SamplesX!A341,SamplesX!B341)</f>
        <v/>
      </c>
      <c r="FC341">
        <f>MATCH(EZ341,FA1:FA1008,0)</f>
        <v/>
      </c>
    </row>
    <row r="342">
      <c r="A342" s="16" t="inlineStr">
        <is>
          <t>BP</t>
        </is>
      </c>
      <c r="B342" s="17" t="inlineStr">
        <is>
          <t>25334</t>
        </is>
      </c>
      <c r="C342" s="10">
        <f>IF(ISNUMBER(FC342),INDIRECT("SamplesX!C"&amp;FC342),IF(ISNUMBER(FD342),INDIRECT("SamplesY!C"&amp;FD342),""))</f>
        <v/>
      </c>
      <c r="D342" s="12">
        <f>IF(ISNUMBER(FC342),INDIRECT("SamplesX!D"&amp;FC342),IF(ISNUMBER(FD342),INDIRECT("SamplesY!D"&amp;FD342),""))</f>
        <v/>
      </c>
      <c r="E342" s="12">
        <f>IF(ISNUMBER(FC342),INDIRECT("SamplesX!E"&amp;FC342),IF(ISNUMBER(FD342),INDIRECT("SamplesY!E"&amp;FD342),""))</f>
        <v/>
      </c>
      <c r="F342" s="11">
        <f>IF(ISNUMBER(FC342),INDIRECT("SamplesX!F"&amp;FC342),IF(ISNUMBER(FD342),INDIRECT("SamplesY!F"&amp;FD342),""))</f>
        <v/>
      </c>
      <c r="G342" s="18">
        <f>IF(ISNUMBER(FC342),INDIRECT("SamplesX!G"&amp;FC342),IF(ISNUMBER(FD342),INDIRECT("SamplesY!G"&amp;FD342),""))</f>
        <v/>
      </c>
      <c r="H342" s="19">
        <f>IF(ISNUMBER(FC342),INDIRECT("SamplesX!H"&amp;FC342),IF(ISNUMBER(FD342),INDIRECT("SamplesY!H"&amp;FD342),""))</f>
        <v/>
      </c>
      <c r="I342" s="16" t="n"/>
      <c r="J342" s="16" t="n"/>
      <c r="K342" s="16" t="n"/>
      <c r="L342" s="20" t="n"/>
      <c r="M342" s="20" t="inlineStr">
        <is>
          <t>None</t>
        </is>
      </c>
      <c r="N342" s="17" t="n"/>
      <c r="O342" s="16" t="n"/>
      <c r="P342" s="20" t="inlineStr">
        <is>
          <t>Shimadzu TOC-L</t>
        </is>
      </c>
      <c r="Q342" s="20" t="inlineStr">
        <is>
          <t>None</t>
        </is>
      </c>
      <c r="R342" s="17" t="n"/>
      <c r="S342" s="16" t="n"/>
      <c r="T342" s="20" t="inlineStr">
        <is>
          <t>Shimadzu TOC-L</t>
        </is>
      </c>
      <c r="U342" s="20" t="inlineStr">
        <is>
          <t>None</t>
        </is>
      </c>
      <c r="V342" s="17" t="n"/>
      <c r="W342" s="16" t="n"/>
      <c r="X342" s="20" t="n"/>
      <c r="Y342" s="20" t="inlineStr">
        <is>
          <t>None</t>
        </is>
      </c>
      <c r="Z342" s="17" t="n"/>
      <c r="AA342" s="16" t="n"/>
      <c r="AB342" s="20" t="n"/>
      <c r="AC342" s="20" t="inlineStr">
        <is>
          <t>None</t>
        </is>
      </c>
      <c r="AD342" s="17" t="n"/>
      <c r="AE342" s="16" t="n"/>
      <c r="AF342" s="20" t="inlineStr">
        <is>
          <t>IC Anionen</t>
        </is>
      </c>
      <c r="AG342" s="20" t="inlineStr">
        <is>
          <t>None</t>
        </is>
      </c>
      <c r="AH342" s="17" t="n"/>
      <c r="AI342" s="16" t="n"/>
      <c r="AJ342" s="20" t="n"/>
      <c r="AK342" s="20" t="inlineStr">
        <is>
          <t>None</t>
        </is>
      </c>
      <c r="AL342" s="17" t="n"/>
      <c r="AM342" s="16" t="n"/>
      <c r="AN342" s="20" t="inlineStr">
        <is>
          <t>IC Anionen</t>
        </is>
      </c>
      <c r="AO342" s="20" t="inlineStr">
        <is>
          <t>None</t>
        </is>
      </c>
      <c r="AP342" s="17" t="n"/>
      <c r="AQ342" s="16" t="n"/>
      <c r="AR342" s="20" t="n"/>
      <c r="AS342" s="20" t="inlineStr">
        <is>
          <t>None</t>
        </is>
      </c>
      <c r="AT342" s="17" t="n"/>
      <c r="AU342" s="16" t="n"/>
      <c r="AV342" s="20" t="n"/>
      <c r="AW342" s="20" t="inlineStr">
        <is>
          <t>None</t>
        </is>
      </c>
      <c r="AX342" s="17" t="n"/>
      <c r="AY342" s="16" t="n"/>
      <c r="AZ342" s="20" t="inlineStr">
        <is>
          <t>IC Anionen</t>
        </is>
      </c>
      <c r="BA342" s="20" t="inlineStr">
        <is>
          <t>None</t>
        </is>
      </c>
      <c r="BB342" s="17" t="n"/>
      <c r="BC342" s="16" t="n"/>
      <c r="BD342" s="20" t="inlineStr">
        <is>
          <t>IC Kationen</t>
        </is>
      </c>
      <c r="BE342" s="20" t="inlineStr">
        <is>
          <t>None</t>
        </is>
      </c>
      <c r="BF342" s="17" t="n"/>
      <c r="BG342" s="16" t="n"/>
      <c r="BH342" s="20" t="inlineStr">
        <is>
          <t>IC Kationen</t>
        </is>
      </c>
      <c r="BI342" s="20" t="inlineStr">
        <is>
          <t>None</t>
        </is>
      </c>
      <c r="BJ342" s="17" t="n"/>
      <c r="BK342" s="16" t="n"/>
      <c r="BL342" s="20" t="inlineStr">
        <is>
          <t>IC Kationen</t>
        </is>
      </c>
      <c r="BM342" s="20" t="inlineStr">
        <is>
          <t>None</t>
        </is>
      </c>
      <c r="BN342" s="17" t="n"/>
      <c r="BO342" s="16" t="n"/>
      <c r="BP342" s="20" t="inlineStr">
        <is>
          <t>IC Kationen</t>
        </is>
      </c>
      <c r="BQ342" s="20" t="inlineStr">
        <is>
          <t>None</t>
        </is>
      </c>
      <c r="BR342" s="17" t="n"/>
      <c r="BS342" s="16" t="n"/>
      <c r="BT342" s="20" t="inlineStr">
        <is>
          <t>IC Kationen</t>
        </is>
      </c>
      <c r="BU342" s="20" t="inlineStr">
        <is>
          <t>None</t>
        </is>
      </c>
      <c r="BV342" s="17" t="n"/>
      <c r="BW342" s="16" t="n"/>
      <c r="BX342" s="20" t="n"/>
      <c r="BY342" s="20" t="inlineStr">
        <is>
          <t>None</t>
        </is>
      </c>
      <c r="BZ342" s="17" t="n"/>
      <c r="CA342" s="16" t="n"/>
      <c r="CB342" s="20" t="n"/>
      <c r="CC342" s="20" t="inlineStr">
        <is>
          <t>None</t>
        </is>
      </c>
      <c r="CD342" s="17" t="n"/>
      <c r="CE342" s="16" t="n"/>
      <c r="CF342" s="20" t="n"/>
      <c r="CG342" s="20" t="inlineStr">
        <is>
          <t>None</t>
        </is>
      </c>
      <c r="CH342" s="17" t="n"/>
      <c r="CI342" s="16" t="n"/>
      <c r="CJ342" s="20" t="n"/>
      <c r="CK342" s="20" t="inlineStr">
        <is>
          <t>None</t>
        </is>
      </c>
      <c r="CL342" s="17" t="n"/>
      <c r="CM342" s="16" t="n"/>
      <c r="CN342" s="20" t="inlineStr">
        <is>
          <t>SOP 45-34</t>
        </is>
      </c>
      <c r="CO342" s="20" t="inlineStr">
        <is>
          <t>None</t>
        </is>
      </c>
      <c r="CP342" s="17" t="n"/>
      <c r="CQ342" s="16" t="n"/>
      <c r="CR342" s="20" t="n"/>
      <c r="CS342" s="20" t="inlineStr">
        <is>
          <t>None</t>
        </is>
      </c>
      <c r="CT342" s="17" t="n"/>
      <c r="CU342" s="16" t="n"/>
      <c r="CV342" s="20" t="n"/>
      <c r="CW342" s="20" t="inlineStr">
        <is>
          <t>None</t>
        </is>
      </c>
      <c r="CX342" s="17" t="n"/>
      <c r="CY342" s="16" t="n"/>
      <c r="CZ342" s="20" t="inlineStr">
        <is>
          <t>WTW Multimeter 3430 with FDO 925</t>
        </is>
      </c>
      <c r="DA342" s="20" t="inlineStr">
        <is>
          <t>None</t>
        </is>
      </c>
      <c r="DB342" s="17" t="n"/>
      <c r="DC342" s="16" t="n"/>
      <c r="DD342" s="20" t="n"/>
      <c r="DE342" s="20" t="inlineStr">
        <is>
          <t>None</t>
        </is>
      </c>
      <c r="DF342" s="17" t="n"/>
      <c r="DG342" s="16" t="n"/>
      <c r="DH342" s="20" t="inlineStr">
        <is>
          <t>SOP 45-09</t>
        </is>
      </c>
      <c r="DI342" s="20" t="inlineStr">
        <is>
          <t>None</t>
        </is>
      </c>
      <c r="DJ342" s="17" t="n"/>
      <c r="DK342" s="16" t="n"/>
      <c r="DL342" s="20" t="inlineStr">
        <is>
          <t>SOP 45-09 (SOP muss noch angepasst werden für VSS)</t>
        </is>
      </c>
      <c r="DM342" s="20" t="inlineStr">
        <is>
          <t>None</t>
        </is>
      </c>
      <c r="DN342" s="17" t="n"/>
      <c r="DO342" s="16" t="n"/>
      <c r="DP342" s="20" t="inlineStr">
        <is>
          <t>IC Organic Acids</t>
        </is>
      </c>
      <c r="DQ342" s="20" t="inlineStr">
        <is>
          <t>None</t>
        </is>
      </c>
      <c r="DR342" s="17" t="n"/>
      <c r="DS342" s="16" t="n"/>
      <c r="DT342" s="20" t="inlineStr">
        <is>
          <t>IC Organic Acids</t>
        </is>
      </c>
      <c r="DU342" s="20" t="inlineStr">
        <is>
          <t>None</t>
        </is>
      </c>
      <c r="DV342" s="17" t="n"/>
      <c r="DW342" s="16" t="n"/>
      <c r="DX342" s="20" t="inlineStr">
        <is>
          <t>IC Organic Acids</t>
        </is>
      </c>
      <c r="DY342" s="20" t="inlineStr">
        <is>
          <t>None</t>
        </is>
      </c>
      <c r="DZ342" s="17" t="n"/>
      <c r="EA342" s="16" t="n"/>
      <c r="EB342" s="20" t="inlineStr">
        <is>
          <t>IC Organic Acids</t>
        </is>
      </c>
      <c r="EC342" s="20" t="inlineStr">
        <is>
          <t>None</t>
        </is>
      </c>
      <c r="ED342" s="17" t="n"/>
      <c r="EE342" s="16" t="n"/>
      <c r="EF342" s="20" t="inlineStr">
        <is>
          <t>IC Organic Acids</t>
        </is>
      </c>
      <c r="EG342" s="20" t="inlineStr">
        <is>
          <t>None</t>
        </is>
      </c>
      <c r="EH342" s="17" t="n"/>
      <c r="EI342" s="16" t="n"/>
      <c r="EJ342" s="20" t="inlineStr">
        <is>
          <t>IC Organic Acids</t>
        </is>
      </c>
      <c r="EK342" s="20" t="inlineStr">
        <is>
          <t>None</t>
        </is>
      </c>
      <c r="EL342" s="17" t="n"/>
      <c r="EM342" s="16" t="n"/>
      <c r="EN342" s="20" t="inlineStr">
        <is>
          <t>IC Organic Acids</t>
        </is>
      </c>
      <c r="EO342" s="20" t="inlineStr">
        <is>
          <t>None</t>
        </is>
      </c>
      <c r="EP342" s="17" t="n"/>
      <c r="EQ342" s="16" t="n"/>
      <c r="ER342" s="20" t="inlineStr">
        <is>
          <t>IC Organic Acids</t>
        </is>
      </c>
      <c r="ES342" s="20" t="inlineStr">
        <is>
          <t>None</t>
        </is>
      </c>
      <c r="ET342" s="17" t="n"/>
      <c r="EU342" s="16" t="n"/>
      <c r="EV342" s="20" t="inlineStr">
        <is>
          <t>LC-MS</t>
        </is>
      </c>
      <c r="EW342" s="20" t="inlineStr">
        <is>
          <t>None</t>
        </is>
      </c>
      <c r="EX342" s="17" t="n"/>
      <c r="EY342" s="21" t="n"/>
      <c r="EZ342">
        <f>CONCATENATE(A342,B342)</f>
        <v/>
      </c>
      <c r="FA342">
        <f>CONCATENATE(SamplesX!A342,SamplesX!B342)</f>
        <v/>
      </c>
      <c r="FC342">
        <f>MATCH(EZ342,FA1:FA1008,0)</f>
        <v/>
      </c>
    </row>
    <row r="343">
      <c r="A343" s="16" t="inlineStr">
        <is>
          <t>BP</t>
        </is>
      </c>
      <c r="B343" s="17" t="inlineStr">
        <is>
          <t>25335</t>
        </is>
      </c>
      <c r="C343" s="10">
        <f>IF(ISNUMBER(FC343),INDIRECT("SamplesX!C"&amp;FC343),IF(ISNUMBER(FD343),INDIRECT("SamplesY!C"&amp;FD343),""))</f>
        <v/>
      </c>
      <c r="D343" s="12">
        <f>IF(ISNUMBER(FC343),INDIRECT("SamplesX!D"&amp;FC343),IF(ISNUMBER(FD343),INDIRECT("SamplesY!D"&amp;FD343),""))</f>
        <v/>
      </c>
      <c r="E343" s="12">
        <f>IF(ISNUMBER(FC343),INDIRECT("SamplesX!E"&amp;FC343),IF(ISNUMBER(FD343),INDIRECT("SamplesY!E"&amp;FD343),""))</f>
        <v/>
      </c>
      <c r="F343" s="11">
        <f>IF(ISNUMBER(FC343),INDIRECT("SamplesX!F"&amp;FC343),IF(ISNUMBER(FD343),INDIRECT("SamplesY!F"&amp;FD343),""))</f>
        <v/>
      </c>
      <c r="G343" s="18">
        <f>IF(ISNUMBER(FC343),INDIRECT("SamplesX!G"&amp;FC343),IF(ISNUMBER(FD343),INDIRECT("SamplesY!G"&amp;FD343),""))</f>
        <v/>
      </c>
      <c r="H343" s="19">
        <f>IF(ISNUMBER(FC343),INDIRECT("SamplesX!H"&amp;FC343),IF(ISNUMBER(FD343),INDIRECT("SamplesY!H"&amp;FD343),""))</f>
        <v/>
      </c>
      <c r="I343" s="16" t="n"/>
      <c r="J343" s="16" t="n"/>
      <c r="K343" s="16" t="n"/>
      <c r="L343" s="20" t="n"/>
      <c r="M343" s="20" t="inlineStr">
        <is>
          <t>None</t>
        </is>
      </c>
      <c r="N343" s="17" t="n"/>
      <c r="O343" s="16" t="n"/>
      <c r="P343" s="20" t="inlineStr">
        <is>
          <t>Shimadzu TOC-L</t>
        </is>
      </c>
      <c r="Q343" s="20" t="inlineStr">
        <is>
          <t>None</t>
        </is>
      </c>
      <c r="R343" s="17" t="n"/>
      <c r="S343" s="16" t="n"/>
      <c r="T343" s="20" t="inlineStr">
        <is>
          <t>Shimadzu TOC-L</t>
        </is>
      </c>
      <c r="U343" s="20" t="inlineStr">
        <is>
          <t>None</t>
        </is>
      </c>
      <c r="V343" s="17" t="n"/>
      <c r="W343" s="16" t="n"/>
      <c r="X343" s="20" t="n"/>
      <c r="Y343" s="20" t="inlineStr">
        <is>
          <t>None</t>
        </is>
      </c>
      <c r="Z343" s="17" t="n"/>
      <c r="AA343" s="16" t="n"/>
      <c r="AB343" s="20" t="n"/>
      <c r="AC343" s="20" t="inlineStr">
        <is>
          <t>None</t>
        </is>
      </c>
      <c r="AD343" s="17" t="n"/>
      <c r="AE343" s="16" t="n"/>
      <c r="AF343" s="20" t="inlineStr">
        <is>
          <t>IC Anionen</t>
        </is>
      </c>
      <c r="AG343" s="20" t="inlineStr">
        <is>
          <t>None</t>
        </is>
      </c>
      <c r="AH343" s="17" t="n"/>
      <c r="AI343" s="16" t="n"/>
      <c r="AJ343" s="20" t="n"/>
      <c r="AK343" s="20" t="inlineStr">
        <is>
          <t>None</t>
        </is>
      </c>
      <c r="AL343" s="17" t="n"/>
      <c r="AM343" s="16" t="n"/>
      <c r="AN343" s="20" t="inlineStr">
        <is>
          <t>IC Anionen</t>
        </is>
      </c>
      <c r="AO343" s="20" t="inlineStr">
        <is>
          <t>None</t>
        </is>
      </c>
      <c r="AP343" s="17" t="n"/>
      <c r="AQ343" s="16" t="n"/>
      <c r="AR343" s="20" t="n"/>
      <c r="AS343" s="20" t="inlineStr">
        <is>
          <t>None</t>
        </is>
      </c>
      <c r="AT343" s="17" t="n"/>
      <c r="AU343" s="16" t="n"/>
      <c r="AV343" s="20" t="n"/>
      <c r="AW343" s="20" t="inlineStr">
        <is>
          <t>None</t>
        </is>
      </c>
      <c r="AX343" s="17" t="n"/>
      <c r="AY343" s="16" t="n"/>
      <c r="AZ343" s="20" t="inlineStr">
        <is>
          <t>IC Anionen</t>
        </is>
      </c>
      <c r="BA343" s="20" t="inlineStr">
        <is>
          <t>None</t>
        </is>
      </c>
      <c r="BB343" s="17" t="n"/>
      <c r="BC343" s="16" t="n"/>
      <c r="BD343" s="20" t="inlineStr">
        <is>
          <t>IC Kationen</t>
        </is>
      </c>
      <c r="BE343" s="20" t="inlineStr">
        <is>
          <t>None</t>
        </is>
      </c>
      <c r="BF343" s="17" t="n"/>
      <c r="BG343" s="16" t="n"/>
      <c r="BH343" s="20" t="inlineStr">
        <is>
          <t>IC Kationen</t>
        </is>
      </c>
      <c r="BI343" s="20" t="inlineStr">
        <is>
          <t>None</t>
        </is>
      </c>
      <c r="BJ343" s="17" t="n"/>
      <c r="BK343" s="16" t="n"/>
      <c r="BL343" s="20" t="inlineStr">
        <is>
          <t>IC Kationen</t>
        </is>
      </c>
      <c r="BM343" s="20" t="inlineStr">
        <is>
          <t>None</t>
        </is>
      </c>
      <c r="BN343" s="17" t="n"/>
      <c r="BO343" s="16" t="n"/>
      <c r="BP343" s="20" t="inlineStr">
        <is>
          <t>IC Kationen</t>
        </is>
      </c>
      <c r="BQ343" s="20" t="inlineStr">
        <is>
          <t>None</t>
        </is>
      </c>
      <c r="BR343" s="17" t="n"/>
      <c r="BS343" s="16" t="n"/>
      <c r="BT343" s="20" t="inlineStr">
        <is>
          <t>IC Kationen</t>
        </is>
      </c>
      <c r="BU343" s="20" t="inlineStr">
        <is>
          <t>None</t>
        </is>
      </c>
      <c r="BV343" s="17" t="n"/>
      <c r="BW343" s="16" t="n"/>
      <c r="BX343" s="20" t="n"/>
      <c r="BY343" s="20" t="inlineStr">
        <is>
          <t>None</t>
        </is>
      </c>
      <c r="BZ343" s="17" t="n"/>
      <c r="CA343" s="16" t="n"/>
      <c r="CB343" s="20" t="n"/>
      <c r="CC343" s="20" t="inlineStr">
        <is>
          <t>None</t>
        </is>
      </c>
      <c r="CD343" s="17" t="n"/>
      <c r="CE343" s="16" t="n"/>
      <c r="CF343" s="20" t="n"/>
      <c r="CG343" s="20" t="inlineStr">
        <is>
          <t>None</t>
        </is>
      </c>
      <c r="CH343" s="17" t="n"/>
      <c r="CI343" s="16" t="n"/>
      <c r="CJ343" s="20" t="n"/>
      <c r="CK343" s="20" t="inlineStr">
        <is>
          <t>None</t>
        </is>
      </c>
      <c r="CL343" s="17" t="n"/>
      <c r="CM343" s="16" t="n"/>
      <c r="CN343" s="20" t="inlineStr">
        <is>
          <t>SOP 45-34</t>
        </is>
      </c>
      <c r="CO343" s="20" t="inlineStr">
        <is>
          <t>None</t>
        </is>
      </c>
      <c r="CP343" s="17" t="n"/>
      <c r="CQ343" s="16" t="n"/>
      <c r="CR343" s="20" t="n"/>
      <c r="CS343" s="20" t="inlineStr">
        <is>
          <t>None</t>
        </is>
      </c>
      <c r="CT343" s="17" t="n"/>
      <c r="CU343" s="16" t="n"/>
      <c r="CV343" s="20" t="n"/>
      <c r="CW343" s="20" t="inlineStr">
        <is>
          <t>None</t>
        </is>
      </c>
      <c r="CX343" s="17" t="n"/>
      <c r="CY343" s="16" t="n"/>
      <c r="CZ343" s="20" t="inlineStr">
        <is>
          <t>WTW Multimeter 3430 with FDO 925</t>
        </is>
      </c>
      <c r="DA343" s="20" t="inlineStr">
        <is>
          <t>None</t>
        </is>
      </c>
      <c r="DB343" s="17" t="n"/>
      <c r="DC343" s="16" t="n"/>
      <c r="DD343" s="20" t="n"/>
      <c r="DE343" s="20" t="inlineStr">
        <is>
          <t>None</t>
        </is>
      </c>
      <c r="DF343" s="17" t="n"/>
      <c r="DG343" s="16" t="n"/>
      <c r="DH343" s="20" t="inlineStr">
        <is>
          <t>SOP 45-09</t>
        </is>
      </c>
      <c r="DI343" s="20" t="inlineStr">
        <is>
          <t>None</t>
        </is>
      </c>
      <c r="DJ343" s="17" t="n"/>
      <c r="DK343" s="16" t="n"/>
      <c r="DL343" s="20" t="inlineStr">
        <is>
          <t>SOP 45-09 (SOP muss noch angepasst werden für VSS)</t>
        </is>
      </c>
      <c r="DM343" s="20" t="inlineStr">
        <is>
          <t>None</t>
        </is>
      </c>
      <c r="DN343" s="17" t="n"/>
      <c r="DO343" s="16" t="n"/>
      <c r="DP343" s="20" t="inlineStr">
        <is>
          <t>IC Organic Acids</t>
        </is>
      </c>
      <c r="DQ343" s="20" t="inlineStr">
        <is>
          <t>None</t>
        </is>
      </c>
      <c r="DR343" s="17" t="n"/>
      <c r="DS343" s="16" t="n"/>
      <c r="DT343" s="20" t="inlineStr">
        <is>
          <t>IC Organic Acids</t>
        </is>
      </c>
      <c r="DU343" s="20" t="inlineStr">
        <is>
          <t>None</t>
        </is>
      </c>
      <c r="DV343" s="17" t="n"/>
      <c r="DW343" s="16" t="n"/>
      <c r="DX343" s="20" t="inlineStr">
        <is>
          <t>IC Organic Acids</t>
        </is>
      </c>
      <c r="DY343" s="20" t="inlineStr">
        <is>
          <t>None</t>
        </is>
      </c>
      <c r="DZ343" s="17" t="n"/>
      <c r="EA343" s="16" t="n"/>
      <c r="EB343" s="20" t="inlineStr">
        <is>
          <t>IC Organic Acids</t>
        </is>
      </c>
      <c r="EC343" s="20" t="inlineStr">
        <is>
          <t>None</t>
        </is>
      </c>
      <c r="ED343" s="17" t="n"/>
      <c r="EE343" s="16" t="n"/>
      <c r="EF343" s="20" t="inlineStr">
        <is>
          <t>IC Organic Acids</t>
        </is>
      </c>
      <c r="EG343" s="20" t="inlineStr">
        <is>
          <t>None</t>
        </is>
      </c>
      <c r="EH343" s="17" t="n"/>
      <c r="EI343" s="16" t="n"/>
      <c r="EJ343" s="20" t="inlineStr">
        <is>
          <t>IC Organic Acids</t>
        </is>
      </c>
      <c r="EK343" s="20" t="inlineStr">
        <is>
          <t>None</t>
        </is>
      </c>
      <c r="EL343" s="17" t="n"/>
      <c r="EM343" s="16" t="n"/>
      <c r="EN343" s="20" t="inlineStr">
        <is>
          <t>IC Organic Acids</t>
        </is>
      </c>
      <c r="EO343" s="20" t="inlineStr">
        <is>
          <t>None</t>
        </is>
      </c>
      <c r="EP343" s="17" t="n"/>
      <c r="EQ343" s="16" t="n"/>
      <c r="ER343" s="20" t="inlineStr">
        <is>
          <t>IC Organic Acids</t>
        </is>
      </c>
      <c r="ES343" s="20" t="inlineStr">
        <is>
          <t>None</t>
        </is>
      </c>
      <c r="ET343" s="17" t="n"/>
      <c r="EU343" s="16" t="n"/>
      <c r="EV343" s="20" t="inlineStr">
        <is>
          <t>LC-MS</t>
        </is>
      </c>
      <c r="EW343" s="20" t="inlineStr">
        <is>
          <t>None</t>
        </is>
      </c>
      <c r="EX343" s="17" t="n"/>
      <c r="EY343" s="21" t="n"/>
      <c r="EZ343">
        <f>CONCATENATE(A343,B343)</f>
        <v/>
      </c>
      <c r="FA343">
        <f>CONCATENATE(SamplesX!A343,SamplesX!B343)</f>
        <v/>
      </c>
      <c r="FC343">
        <f>MATCH(EZ343,FA1:FA1008,0)</f>
        <v/>
      </c>
    </row>
    <row r="344">
      <c r="A344" s="16" t="inlineStr">
        <is>
          <t>BP</t>
        </is>
      </c>
      <c r="B344" s="17" t="inlineStr">
        <is>
          <t>25336</t>
        </is>
      </c>
      <c r="C344" s="10">
        <f>IF(ISNUMBER(FC344),INDIRECT("SamplesX!C"&amp;FC344),IF(ISNUMBER(FD344),INDIRECT("SamplesY!C"&amp;FD344),""))</f>
        <v/>
      </c>
      <c r="D344" s="12">
        <f>IF(ISNUMBER(FC344),INDIRECT("SamplesX!D"&amp;FC344),IF(ISNUMBER(FD344),INDIRECT("SamplesY!D"&amp;FD344),""))</f>
        <v/>
      </c>
      <c r="E344" s="12">
        <f>IF(ISNUMBER(FC344),INDIRECT("SamplesX!E"&amp;FC344),IF(ISNUMBER(FD344),INDIRECT("SamplesY!E"&amp;FD344),""))</f>
        <v/>
      </c>
      <c r="F344" s="11">
        <f>IF(ISNUMBER(FC344),INDIRECT("SamplesX!F"&amp;FC344),IF(ISNUMBER(FD344),INDIRECT("SamplesY!F"&amp;FD344),""))</f>
        <v/>
      </c>
      <c r="G344" s="18">
        <f>IF(ISNUMBER(FC344),INDIRECT("SamplesX!G"&amp;FC344),IF(ISNUMBER(FD344),INDIRECT("SamplesY!G"&amp;FD344),""))</f>
        <v/>
      </c>
      <c r="H344" s="19">
        <f>IF(ISNUMBER(FC344),INDIRECT("SamplesX!H"&amp;FC344),IF(ISNUMBER(FD344),INDIRECT("SamplesY!H"&amp;FD344),""))</f>
        <v/>
      </c>
      <c r="I344" s="16" t="n"/>
      <c r="J344" s="16" t="n"/>
      <c r="K344" s="16" t="n"/>
      <c r="L344" s="20" t="n"/>
      <c r="M344" s="20" t="inlineStr">
        <is>
          <t>None</t>
        </is>
      </c>
      <c r="N344" s="17" t="n"/>
      <c r="O344" s="16" t="n"/>
      <c r="P344" s="20" t="inlineStr">
        <is>
          <t>Shimadzu TOC-L</t>
        </is>
      </c>
      <c r="Q344" s="20" t="inlineStr">
        <is>
          <t>None</t>
        </is>
      </c>
      <c r="R344" s="17" t="n"/>
      <c r="S344" s="16" t="n"/>
      <c r="T344" s="20" t="inlineStr">
        <is>
          <t>Shimadzu TOC-L</t>
        </is>
      </c>
      <c r="U344" s="20" t="inlineStr">
        <is>
          <t>None</t>
        </is>
      </c>
      <c r="V344" s="17" t="n"/>
      <c r="W344" s="16" t="n"/>
      <c r="X344" s="20" t="n"/>
      <c r="Y344" s="20" t="inlineStr">
        <is>
          <t>None</t>
        </is>
      </c>
      <c r="Z344" s="17" t="n"/>
      <c r="AA344" s="16" t="n"/>
      <c r="AB344" s="20" t="n"/>
      <c r="AC344" s="20" t="inlineStr">
        <is>
          <t>None</t>
        </is>
      </c>
      <c r="AD344" s="17" t="n"/>
      <c r="AE344" s="16" t="n"/>
      <c r="AF344" s="20" t="inlineStr">
        <is>
          <t>IC Anionen</t>
        </is>
      </c>
      <c r="AG344" s="20" t="inlineStr">
        <is>
          <t>None</t>
        </is>
      </c>
      <c r="AH344" s="17" t="n"/>
      <c r="AI344" s="16" t="n"/>
      <c r="AJ344" s="20" t="n"/>
      <c r="AK344" s="20" t="inlineStr">
        <is>
          <t>None</t>
        </is>
      </c>
      <c r="AL344" s="17" t="n"/>
      <c r="AM344" s="16" t="n"/>
      <c r="AN344" s="20" t="inlineStr">
        <is>
          <t>IC Anionen</t>
        </is>
      </c>
      <c r="AO344" s="20" t="inlineStr">
        <is>
          <t>None</t>
        </is>
      </c>
      <c r="AP344" s="17" t="n"/>
      <c r="AQ344" s="16" t="n"/>
      <c r="AR344" s="20" t="n"/>
      <c r="AS344" s="20" t="inlineStr">
        <is>
          <t>None</t>
        </is>
      </c>
      <c r="AT344" s="17" t="n"/>
      <c r="AU344" s="16" t="n"/>
      <c r="AV344" s="20" t="n"/>
      <c r="AW344" s="20" t="inlineStr">
        <is>
          <t>None</t>
        </is>
      </c>
      <c r="AX344" s="17" t="n"/>
      <c r="AY344" s="16" t="n"/>
      <c r="AZ344" s="20" t="inlineStr">
        <is>
          <t>IC Anionen</t>
        </is>
      </c>
      <c r="BA344" s="20" t="inlineStr">
        <is>
          <t>None</t>
        </is>
      </c>
      <c r="BB344" s="17" t="n"/>
      <c r="BC344" s="16" t="n"/>
      <c r="BD344" s="20" t="inlineStr">
        <is>
          <t>IC Kationen</t>
        </is>
      </c>
      <c r="BE344" s="20" t="inlineStr">
        <is>
          <t>None</t>
        </is>
      </c>
      <c r="BF344" s="17" t="n"/>
      <c r="BG344" s="16" t="n"/>
      <c r="BH344" s="20" t="inlineStr">
        <is>
          <t>IC Kationen</t>
        </is>
      </c>
      <c r="BI344" s="20" t="inlineStr">
        <is>
          <t>None</t>
        </is>
      </c>
      <c r="BJ344" s="17" t="n"/>
      <c r="BK344" s="16" t="n"/>
      <c r="BL344" s="20" t="inlineStr">
        <is>
          <t>IC Kationen</t>
        </is>
      </c>
      <c r="BM344" s="20" t="inlineStr">
        <is>
          <t>None</t>
        </is>
      </c>
      <c r="BN344" s="17" t="n"/>
      <c r="BO344" s="16" t="n"/>
      <c r="BP344" s="20" t="inlineStr">
        <is>
          <t>IC Kationen</t>
        </is>
      </c>
      <c r="BQ344" s="20" t="inlineStr">
        <is>
          <t>None</t>
        </is>
      </c>
      <c r="BR344" s="17" t="n"/>
      <c r="BS344" s="16" t="n"/>
      <c r="BT344" s="20" t="inlineStr">
        <is>
          <t>IC Kationen</t>
        </is>
      </c>
      <c r="BU344" s="20" t="inlineStr">
        <is>
          <t>None</t>
        </is>
      </c>
      <c r="BV344" s="17" t="n"/>
      <c r="BW344" s="16" t="n"/>
      <c r="BX344" s="20" t="n"/>
      <c r="BY344" s="20" t="inlineStr">
        <is>
          <t>None</t>
        </is>
      </c>
      <c r="BZ344" s="17" t="n"/>
      <c r="CA344" s="16" t="n"/>
      <c r="CB344" s="20" t="n"/>
      <c r="CC344" s="20" t="inlineStr">
        <is>
          <t>None</t>
        </is>
      </c>
      <c r="CD344" s="17" t="n"/>
      <c r="CE344" s="16" t="n"/>
      <c r="CF344" s="20" t="n"/>
      <c r="CG344" s="20" t="inlineStr">
        <is>
          <t>None</t>
        </is>
      </c>
      <c r="CH344" s="17" t="n"/>
      <c r="CI344" s="16" t="n"/>
      <c r="CJ344" s="20" t="n"/>
      <c r="CK344" s="20" t="inlineStr">
        <is>
          <t>None</t>
        </is>
      </c>
      <c r="CL344" s="17" t="n"/>
      <c r="CM344" s="16" t="n"/>
      <c r="CN344" s="20" t="inlineStr">
        <is>
          <t>SOP 45-34</t>
        </is>
      </c>
      <c r="CO344" s="20" t="inlineStr">
        <is>
          <t>None</t>
        </is>
      </c>
      <c r="CP344" s="17" t="n"/>
      <c r="CQ344" s="16" t="n"/>
      <c r="CR344" s="20" t="n"/>
      <c r="CS344" s="20" t="inlineStr">
        <is>
          <t>None</t>
        </is>
      </c>
      <c r="CT344" s="17" t="n"/>
      <c r="CU344" s="16" t="n"/>
      <c r="CV344" s="20" t="n"/>
      <c r="CW344" s="20" t="inlineStr">
        <is>
          <t>None</t>
        </is>
      </c>
      <c r="CX344" s="17" t="n"/>
      <c r="CY344" s="16" t="n"/>
      <c r="CZ344" s="20" t="inlineStr">
        <is>
          <t>WTW Multimeter 3430 with FDO 925</t>
        </is>
      </c>
      <c r="DA344" s="20" t="inlineStr">
        <is>
          <t>None</t>
        </is>
      </c>
      <c r="DB344" s="17" t="n"/>
      <c r="DC344" s="16" t="n"/>
      <c r="DD344" s="20" t="n"/>
      <c r="DE344" s="20" t="inlineStr">
        <is>
          <t>None</t>
        </is>
      </c>
      <c r="DF344" s="17" t="n"/>
      <c r="DG344" s="16" t="n"/>
      <c r="DH344" s="20" t="inlineStr">
        <is>
          <t>SOP 45-09</t>
        </is>
      </c>
      <c r="DI344" s="20" t="inlineStr">
        <is>
          <t>None</t>
        </is>
      </c>
      <c r="DJ344" s="17" t="n"/>
      <c r="DK344" s="16" t="n"/>
      <c r="DL344" s="20" t="inlineStr">
        <is>
          <t>SOP 45-09 (SOP muss noch angepasst werden für VSS)</t>
        </is>
      </c>
      <c r="DM344" s="20" t="inlineStr">
        <is>
          <t>None</t>
        </is>
      </c>
      <c r="DN344" s="17" t="n"/>
      <c r="DO344" s="16" t="n"/>
      <c r="DP344" s="20" t="inlineStr">
        <is>
          <t>IC Organic Acids</t>
        </is>
      </c>
      <c r="DQ344" s="20" t="inlineStr">
        <is>
          <t>None</t>
        </is>
      </c>
      <c r="DR344" s="17" t="n"/>
      <c r="DS344" s="16" t="n"/>
      <c r="DT344" s="20" t="inlineStr">
        <is>
          <t>IC Organic Acids</t>
        </is>
      </c>
      <c r="DU344" s="20" t="inlineStr">
        <is>
          <t>None</t>
        </is>
      </c>
      <c r="DV344" s="17" t="n"/>
      <c r="DW344" s="16" t="n"/>
      <c r="DX344" s="20" t="inlineStr">
        <is>
          <t>IC Organic Acids</t>
        </is>
      </c>
      <c r="DY344" s="20" t="inlineStr">
        <is>
          <t>None</t>
        </is>
      </c>
      <c r="DZ344" s="17" t="n"/>
      <c r="EA344" s="16" t="n"/>
      <c r="EB344" s="20" t="inlineStr">
        <is>
          <t>IC Organic Acids</t>
        </is>
      </c>
      <c r="EC344" s="20" t="inlineStr">
        <is>
          <t>None</t>
        </is>
      </c>
      <c r="ED344" s="17" t="n"/>
      <c r="EE344" s="16" t="n"/>
      <c r="EF344" s="20" t="inlineStr">
        <is>
          <t>IC Organic Acids</t>
        </is>
      </c>
      <c r="EG344" s="20" t="inlineStr">
        <is>
          <t>None</t>
        </is>
      </c>
      <c r="EH344" s="17" t="n"/>
      <c r="EI344" s="16" t="n"/>
      <c r="EJ344" s="20" t="inlineStr">
        <is>
          <t>IC Organic Acids</t>
        </is>
      </c>
      <c r="EK344" s="20" t="inlineStr">
        <is>
          <t>None</t>
        </is>
      </c>
      <c r="EL344" s="17" t="n"/>
      <c r="EM344" s="16" t="n"/>
      <c r="EN344" s="20" t="inlineStr">
        <is>
          <t>IC Organic Acids</t>
        </is>
      </c>
      <c r="EO344" s="20" t="inlineStr">
        <is>
          <t>None</t>
        </is>
      </c>
      <c r="EP344" s="17" t="n"/>
      <c r="EQ344" s="16" t="n"/>
      <c r="ER344" s="20" t="inlineStr">
        <is>
          <t>IC Organic Acids</t>
        </is>
      </c>
      <c r="ES344" s="20" t="inlineStr">
        <is>
          <t>None</t>
        </is>
      </c>
      <c r="ET344" s="17" t="n"/>
      <c r="EU344" s="16" t="n"/>
      <c r="EV344" s="20" t="inlineStr">
        <is>
          <t>LC-MS</t>
        </is>
      </c>
      <c r="EW344" s="20" t="inlineStr">
        <is>
          <t>None</t>
        </is>
      </c>
      <c r="EX344" s="17" t="n"/>
      <c r="EY344" s="21" t="n"/>
      <c r="EZ344">
        <f>CONCATENATE(A344,B344)</f>
        <v/>
      </c>
      <c r="FA344">
        <f>CONCATENATE(SamplesX!A344,SamplesX!B344)</f>
        <v/>
      </c>
      <c r="FC344">
        <f>MATCH(EZ344,FA1:FA1008,0)</f>
        <v/>
      </c>
    </row>
    <row r="345">
      <c r="A345" s="16" t="inlineStr">
        <is>
          <t>BP</t>
        </is>
      </c>
      <c r="B345" s="17" t="inlineStr">
        <is>
          <t>25337</t>
        </is>
      </c>
      <c r="C345" s="10">
        <f>IF(ISNUMBER(FC345),INDIRECT("SamplesX!C"&amp;FC345),IF(ISNUMBER(FD345),INDIRECT("SamplesY!C"&amp;FD345),""))</f>
        <v/>
      </c>
      <c r="D345" s="12">
        <f>IF(ISNUMBER(FC345),INDIRECT("SamplesX!D"&amp;FC345),IF(ISNUMBER(FD345),INDIRECT("SamplesY!D"&amp;FD345),""))</f>
        <v/>
      </c>
      <c r="E345" s="12">
        <f>IF(ISNUMBER(FC345),INDIRECT("SamplesX!E"&amp;FC345),IF(ISNUMBER(FD345),INDIRECT("SamplesY!E"&amp;FD345),""))</f>
        <v/>
      </c>
      <c r="F345" s="11">
        <f>IF(ISNUMBER(FC345),INDIRECT("SamplesX!F"&amp;FC345),IF(ISNUMBER(FD345),INDIRECT("SamplesY!F"&amp;FD345),""))</f>
        <v/>
      </c>
      <c r="G345" s="18">
        <f>IF(ISNUMBER(FC345),INDIRECT("SamplesX!G"&amp;FC345),IF(ISNUMBER(FD345),INDIRECT("SamplesY!G"&amp;FD345),""))</f>
        <v/>
      </c>
      <c r="H345" s="19">
        <f>IF(ISNUMBER(FC345),INDIRECT("SamplesX!H"&amp;FC345),IF(ISNUMBER(FD345),INDIRECT("SamplesY!H"&amp;FD345),""))</f>
        <v/>
      </c>
      <c r="I345" s="16" t="n"/>
      <c r="J345" s="16" t="n"/>
      <c r="K345" s="16" t="n"/>
      <c r="L345" s="20" t="n"/>
      <c r="M345" s="20" t="inlineStr">
        <is>
          <t>None</t>
        </is>
      </c>
      <c r="N345" s="17" t="n"/>
      <c r="O345" s="16" t="n"/>
      <c r="P345" s="20" t="inlineStr">
        <is>
          <t>Shimadzu TOC-L</t>
        </is>
      </c>
      <c r="Q345" s="20" t="inlineStr">
        <is>
          <t>None</t>
        </is>
      </c>
      <c r="R345" s="17" t="n"/>
      <c r="S345" s="16" t="n"/>
      <c r="T345" s="20" t="inlineStr">
        <is>
          <t>Shimadzu TOC-L</t>
        </is>
      </c>
      <c r="U345" s="20" t="inlineStr">
        <is>
          <t>None</t>
        </is>
      </c>
      <c r="V345" s="17" t="n"/>
      <c r="W345" s="16" t="n"/>
      <c r="X345" s="20" t="n"/>
      <c r="Y345" s="20" t="inlineStr">
        <is>
          <t>None</t>
        </is>
      </c>
      <c r="Z345" s="17" t="n"/>
      <c r="AA345" s="16" t="n"/>
      <c r="AB345" s="20" t="n"/>
      <c r="AC345" s="20" t="inlineStr">
        <is>
          <t>None</t>
        </is>
      </c>
      <c r="AD345" s="17" t="n"/>
      <c r="AE345" s="16" t="n"/>
      <c r="AF345" s="20" t="inlineStr">
        <is>
          <t>IC Anionen</t>
        </is>
      </c>
      <c r="AG345" s="20" t="inlineStr">
        <is>
          <t>None</t>
        </is>
      </c>
      <c r="AH345" s="17" t="n"/>
      <c r="AI345" s="16" t="n"/>
      <c r="AJ345" s="20" t="n"/>
      <c r="AK345" s="20" t="inlineStr">
        <is>
          <t>None</t>
        </is>
      </c>
      <c r="AL345" s="17" t="n"/>
      <c r="AM345" s="16" t="n"/>
      <c r="AN345" s="20" t="inlineStr">
        <is>
          <t>IC Anionen</t>
        </is>
      </c>
      <c r="AO345" s="20" t="inlineStr">
        <is>
          <t>None</t>
        </is>
      </c>
      <c r="AP345" s="17" t="n"/>
      <c r="AQ345" s="16" t="n"/>
      <c r="AR345" s="20" t="n"/>
      <c r="AS345" s="20" t="inlineStr">
        <is>
          <t>None</t>
        </is>
      </c>
      <c r="AT345" s="17" t="n"/>
      <c r="AU345" s="16" t="n"/>
      <c r="AV345" s="20" t="n"/>
      <c r="AW345" s="20" t="inlineStr">
        <is>
          <t>None</t>
        </is>
      </c>
      <c r="AX345" s="17" t="n"/>
      <c r="AY345" s="16" t="n"/>
      <c r="AZ345" s="20" t="inlineStr">
        <is>
          <t>IC Anionen</t>
        </is>
      </c>
      <c r="BA345" s="20" t="inlineStr">
        <is>
          <t>None</t>
        </is>
      </c>
      <c r="BB345" s="17" t="n"/>
      <c r="BC345" s="16" t="n"/>
      <c r="BD345" s="20" t="inlineStr">
        <is>
          <t>IC Kationen</t>
        </is>
      </c>
      <c r="BE345" s="20" t="inlineStr">
        <is>
          <t>None</t>
        </is>
      </c>
      <c r="BF345" s="17" t="n"/>
      <c r="BG345" s="16" t="n"/>
      <c r="BH345" s="20" t="inlineStr">
        <is>
          <t>IC Kationen</t>
        </is>
      </c>
      <c r="BI345" s="20" t="inlineStr">
        <is>
          <t>None</t>
        </is>
      </c>
      <c r="BJ345" s="17" t="n"/>
      <c r="BK345" s="16" t="n"/>
      <c r="BL345" s="20" t="inlineStr">
        <is>
          <t>IC Kationen</t>
        </is>
      </c>
      <c r="BM345" s="20" t="inlineStr">
        <is>
          <t>None</t>
        </is>
      </c>
      <c r="BN345" s="17" t="n"/>
      <c r="BO345" s="16" t="n"/>
      <c r="BP345" s="20" t="inlineStr">
        <is>
          <t>IC Kationen</t>
        </is>
      </c>
      <c r="BQ345" s="20" t="inlineStr">
        <is>
          <t>None</t>
        </is>
      </c>
      <c r="BR345" s="17" t="n"/>
      <c r="BS345" s="16" t="n"/>
      <c r="BT345" s="20" t="inlineStr">
        <is>
          <t>IC Kationen</t>
        </is>
      </c>
      <c r="BU345" s="20" t="inlineStr">
        <is>
          <t>None</t>
        </is>
      </c>
      <c r="BV345" s="17" t="n"/>
      <c r="BW345" s="16" t="n"/>
      <c r="BX345" s="20" t="n"/>
      <c r="BY345" s="20" t="inlineStr">
        <is>
          <t>None</t>
        </is>
      </c>
      <c r="BZ345" s="17" t="n"/>
      <c r="CA345" s="16" t="n"/>
      <c r="CB345" s="20" t="n"/>
      <c r="CC345" s="20" t="inlineStr">
        <is>
          <t>None</t>
        </is>
      </c>
      <c r="CD345" s="17" t="n"/>
      <c r="CE345" s="16" t="n"/>
      <c r="CF345" s="20" t="n"/>
      <c r="CG345" s="20" t="inlineStr">
        <is>
          <t>None</t>
        </is>
      </c>
      <c r="CH345" s="17" t="n"/>
      <c r="CI345" s="16" t="n"/>
      <c r="CJ345" s="20" t="n"/>
      <c r="CK345" s="20" t="inlineStr">
        <is>
          <t>None</t>
        </is>
      </c>
      <c r="CL345" s="17" t="n"/>
      <c r="CM345" s="16" t="n"/>
      <c r="CN345" s="20" t="inlineStr">
        <is>
          <t>SOP 45-34</t>
        </is>
      </c>
      <c r="CO345" s="20" t="inlineStr">
        <is>
          <t>None</t>
        </is>
      </c>
      <c r="CP345" s="17" t="n"/>
      <c r="CQ345" s="16" t="n"/>
      <c r="CR345" s="20" t="n"/>
      <c r="CS345" s="20" t="inlineStr">
        <is>
          <t>None</t>
        </is>
      </c>
      <c r="CT345" s="17" t="n"/>
      <c r="CU345" s="16" t="n"/>
      <c r="CV345" s="20" t="n"/>
      <c r="CW345" s="20" t="inlineStr">
        <is>
          <t>None</t>
        </is>
      </c>
      <c r="CX345" s="17" t="n"/>
      <c r="CY345" s="16" t="n"/>
      <c r="CZ345" s="20" t="inlineStr">
        <is>
          <t>WTW Multimeter 3430 with FDO 925</t>
        </is>
      </c>
      <c r="DA345" s="20" t="inlineStr">
        <is>
          <t>None</t>
        </is>
      </c>
      <c r="DB345" s="17" t="n"/>
      <c r="DC345" s="16" t="n"/>
      <c r="DD345" s="20" t="n"/>
      <c r="DE345" s="20" t="inlineStr">
        <is>
          <t>None</t>
        </is>
      </c>
      <c r="DF345" s="17" t="n"/>
      <c r="DG345" s="16" t="n"/>
      <c r="DH345" s="20" t="inlineStr">
        <is>
          <t>SOP 45-09</t>
        </is>
      </c>
      <c r="DI345" s="20" t="inlineStr">
        <is>
          <t>None</t>
        </is>
      </c>
      <c r="DJ345" s="17" t="n"/>
      <c r="DK345" s="16" t="n"/>
      <c r="DL345" s="20" t="inlineStr">
        <is>
          <t>SOP 45-09 (SOP muss noch angepasst werden für VSS)</t>
        </is>
      </c>
      <c r="DM345" s="20" t="inlineStr">
        <is>
          <t>None</t>
        </is>
      </c>
      <c r="DN345" s="17" t="n"/>
      <c r="DO345" s="16" t="n"/>
      <c r="DP345" s="20" t="inlineStr">
        <is>
          <t>IC Organic Acids</t>
        </is>
      </c>
      <c r="DQ345" s="20" t="inlineStr">
        <is>
          <t>None</t>
        </is>
      </c>
      <c r="DR345" s="17" t="n"/>
      <c r="DS345" s="16" t="n"/>
      <c r="DT345" s="20" t="inlineStr">
        <is>
          <t>IC Organic Acids</t>
        </is>
      </c>
      <c r="DU345" s="20" t="inlineStr">
        <is>
          <t>None</t>
        </is>
      </c>
      <c r="DV345" s="17" t="n"/>
      <c r="DW345" s="16" t="n"/>
      <c r="DX345" s="20" t="inlineStr">
        <is>
          <t>IC Organic Acids</t>
        </is>
      </c>
      <c r="DY345" s="20" t="inlineStr">
        <is>
          <t>None</t>
        </is>
      </c>
      <c r="DZ345" s="17" t="n"/>
      <c r="EA345" s="16" t="n"/>
      <c r="EB345" s="20" t="inlineStr">
        <is>
          <t>IC Organic Acids</t>
        </is>
      </c>
      <c r="EC345" s="20" t="inlineStr">
        <is>
          <t>None</t>
        </is>
      </c>
      <c r="ED345" s="17" t="n"/>
      <c r="EE345" s="16" t="n"/>
      <c r="EF345" s="20" t="inlineStr">
        <is>
          <t>IC Organic Acids</t>
        </is>
      </c>
      <c r="EG345" s="20" t="inlineStr">
        <is>
          <t>None</t>
        </is>
      </c>
      <c r="EH345" s="17" t="n"/>
      <c r="EI345" s="16" t="n"/>
      <c r="EJ345" s="20" t="inlineStr">
        <is>
          <t>IC Organic Acids</t>
        </is>
      </c>
      <c r="EK345" s="20" t="inlineStr">
        <is>
          <t>None</t>
        </is>
      </c>
      <c r="EL345" s="17" t="n"/>
      <c r="EM345" s="16" t="n"/>
      <c r="EN345" s="20" t="inlineStr">
        <is>
          <t>IC Organic Acids</t>
        </is>
      </c>
      <c r="EO345" s="20" t="inlineStr">
        <is>
          <t>None</t>
        </is>
      </c>
      <c r="EP345" s="17" t="n"/>
      <c r="EQ345" s="16" t="n"/>
      <c r="ER345" s="20" t="inlineStr">
        <is>
          <t>IC Organic Acids</t>
        </is>
      </c>
      <c r="ES345" s="20" t="inlineStr">
        <is>
          <t>None</t>
        </is>
      </c>
      <c r="ET345" s="17" t="n"/>
      <c r="EU345" s="16" t="n"/>
      <c r="EV345" s="20" t="inlineStr">
        <is>
          <t>LC-MS</t>
        </is>
      </c>
      <c r="EW345" s="20" t="inlineStr">
        <is>
          <t>None</t>
        </is>
      </c>
      <c r="EX345" s="17" t="n"/>
      <c r="EY345" s="21" t="n"/>
      <c r="EZ345">
        <f>CONCATENATE(A345,B345)</f>
        <v/>
      </c>
      <c r="FA345">
        <f>CONCATENATE(SamplesX!A345,SamplesX!B345)</f>
        <v/>
      </c>
      <c r="FC345">
        <f>MATCH(EZ345,FA1:FA1008,0)</f>
        <v/>
      </c>
    </row>
    <row r="346">
      <c r="A346" s="16" t="inlineStr">
        <is>
          <t>BP</t>
        </is>
      </c>
      <c r="B346" s="17" t="inlineStr">
        <is>
          <t>25338</t>
        </is>
      </c>
      <c r="C346" s="10">
        <f>IF(ISNUMBER(FC346),INDIRECT("SamplesX!C"&amp;FC346),IF(ISNUMBER(FD346),INDIRECT("SamplesY!C"&amp;FD346),""))</f>
        <v/>
      </c>
      <c r="D346" s="12">
        <f>IF(ISNUMBER(FC346),INDIRECT("SamplesX!D"&amp;FC346),IF(ISNUMBER(FD346),INDIRECT("SamplesY!D"&amp;FD346),""))</f>
        <v/>
      </c>
      <c r="E346" s="12">
        <f>IF(ISNUMBER(FC346),INDIRECT("SamplesX!E"&amp;FC346),IF(ISNUMBER(FD346),INDIRECT("SamplesY!E"&amp;FD346),""))</f>
        <v/>
      </c>
      <c r="F346" s="11">
        <f>IF(ISNUMBER(FC346),INDIRECT("SamplesX!F"&amp;FC346),IF(ISNUMBER(FD346),INDIRECT("SamplesY!F"&amp;FD346),""))</f>
        <v/>
      </c>
      <c r="G346" s="18">
        <f>IF(ISNUMBER(FC346),INDIRECT("SamplesX!G"&amp;FC346),IF(ISNUMBER(FD346),INDIRECT("SamplesY!G"&amp;FD346),""))</f>
        <v/>
      </c>
      <c r="H346" s="19">
        <f>IF(ISNUMBER(FC346),INDIRECT("SamplesX!H"&amp;FC346),IF(ISNUMBER(FD346),INDIRECT("SamplesY!H"&amp;FD346),""))</f>
        <v/>
      </c>
      <c r="I346" s="16" t="n"/>
      <c r="J346" s="16" t="n"/>
      <c r="K346" s="16" t="n"/>
      <c r="L346" s="20" t="n"/>
      <c r="M346" s="20" t="inlineStr">
        <is>
          <t>None</t>
        </is>
      </c>
      <c r="N346" s="17" t="n"/>
      <c r="O346" s="16" t="n"/>
      <c r="P346" s="20" t="inlineStr">
        <is>
          <t>Shimadzu TOC-L</t>
        </is>
      </c>
      <c r="Q346" s="20" t="inlineStr">
        <is>
          <t>None</t>
        </is>
      </c>
      <c r="R346" s="17" t="n"/>
      <c r="S346" s="16" t="n"/>
      <c r="T346" s="20" t="inlineStr">
        <is>
          <t>Shimadzu TOC-L</t>
        </is>
      </c>
      <c r="U346" s="20" t="inlineStr">
        <is>
          <t>None</t>
        </is>
      </c>
      <c r="V346" s="17" t="n"/>
      <c r="W346" s="16" t="n"/>
      <c r="X346" s="20" t="n"/>
      <c r="Y346" s="20" t="inlineStr">
        <is>
          <t>None</t>
        </is>
      </c>
      <c r="Z346" s="17" t="n"/>
      <c r="AA346" s="16" t="n"/>
      <c r="AB346" s="20" t="n"/>
      <c r="AC346" s="20" t="inlineStr">
        <is>
          <t>None</t>
        </is>
      </c>
      <c r="AD346" s="17" t="n"/>
      <c r="AE346" s="16" t="n"/>
      <c r="AF346" s="20" t="inlineStr">
        <is>
          <t>IC Anionen</t>
        </is>
      </c>
      <c r="AG346" s="20" t="inlineStr">
        <is>
          <t>None</t>
        </is>
      </c>
      <c r="AH346" s="17" t="n"/>
      <c r="AI346" s="16" t="n"/>
      <c r="AJ346" s="20" t="n"/>
      <c r="AK346" s="20" t="inlineStr">
        <is>
          <t>None</t>
        </is>
      </c>
      <c r="AL346" s="17" t="n"/>
      <c r="AM346" s="16" t="n"/>
      <c r="AN346" s="20" t="inlineStr">
        <is>
          <t>IC Anionen</t>
        </is>
      </c>
      <c r="AO346" s="20" t="inlineStr">
        <is>
          <t>None</t>
        </is>
      </c>
      <c r="AP346" s="17" t="n"/>
      <c r="AQ346" s="16" t="n"/>
      <c r="AR346" s="20" t="n"/>
      <c r="AS346" s="20" t="inlineStr">
        <is>
          <t>None</t>
        </is>
      </c>
      <c r="AT346" s="17" t="n"/>
      <c r="AU346" s="16" t="n"/>
      <c r="AV346" s="20" t="n"/>
      <c r="AW346" s="20" t="inlineStr">
        <is>
          <t>None</t>
        </is>
      </c>
      <c r="AX346" s="17" t="n"/>
      <c r="AY346" s="16" t="n"/>
      <c r="AZ346" s="20" t="inlineStr">
        <is>
          <t>IC Anionen</t>
        </is>
      </c>
      <c r="BA346" s="20" t="inlineStr">
        <is>
          <t>None</t>
        </is>
      </c>
      <c r="BB346" s="17" t="n"/>
      <c r="BC346" s="16" t="n"/>
      <c r="BD346" s="20" t="inlineStr">
        <is>
          <t>IC Kationen</t>
        </is>
      </c>
      <c r="BE346" s="20" t="inlineStr">
        <is>
          <t>None</t>
        </is>
      </c>
      <c r="BF346" s="17" t="n"/>
      <c r="BG346" s="16" t="n"/>
      <c r="BH346" s="20" t="inlineStr">
        <is>
          <t>IC Kationen</t>
        </is>
      </c>
      <c r="BI346" s="20" t="inlineStr">
        <is>
          <t>None</t>
        </is>
      </c>
      <c r="BJ346" s="17" t="n"/>
      <c r="BK346" s="16" t="n"/>
      <c r="BL346" s="20" t="inlineStr">
        <is>
          <t>IC Kationen</t>
        </is>
      </c>
      <c r="BM346" s="20" t="inlineStr">
        <is>
          <t>None</t>
        </is>
      </c>
      <c r="BN346" s="17" t="n"/>
      <c r="BO346" s="16" t="n"/>
      <c r="BP346" s="20" t="inlineStr">
        <is>
          <t>IC Kationen</t>
        </is>
      </c>
      <c r="BQ346" s="20" t="inlineStr">
        <is>
          <t>None</t>
        </is>
      </c>
      <c r="BR346" s="17" t="n"/>
      <c r="BS346" s="16" t="n"/>
      <c r="BT346" s="20" t="inlineStr">
        <is>
          <t>IC Kationen</t>
        </is>
      </c>
      <c r="BU346" s="20" t="inlineStr">
        <is>
          <t>None</t>
        </is>
      </c>
      <c r="BV346" s="17" t="n"/>
      <c r="BW346" s="16" t="n"/>
      <c r="BX346" s="20" t="n"/>
      <c r="BY346" s="20" t="inlineStr">
        <is>
          <t>None</t>
        </is>
      </c>
      <c r="BZ346" s="17" t="n"/>
      <c r="CA346" s="16" t="n"/>
      <c r="CB346" s="20" t="n"/>
      <c r="CC346" s="20" t="inlineStr">
        <is>
          <t>None</t>
        </is>
      </c>
      <c r="CD346" s="17" t="n"/>
      <c r="CE346" s="16" t="n"/>
      <c r="CF346" s="20" t="n"/>
      <c r="CG346" s="20" t="inlineStr">
        <is>
          <t>None</t>
        </is>
      </c>
      <c r="CH346" s="17" t="n"/>
      <c r="CI346" s="16" t="n"/>
      <c r="CJ346" s="20" t="n"/>
      <c r="CK346" s="20" t="inlineStr">
        <is>
          <t>None</t>
        </is>
      </c>
      <c r="CL346" s="17" t="n"/>
      <c r="CM346" s="16" t="n"/>
      <c r="CN346" s="20" t="inlineStr">
        <is>
          <t>SOP 45-34</t>
        </is>
      </c>
      <c r="CO346" s="20" t="inlineStr">
        <is>
          <t>None</t>
        </is>
      </c>
      <c r="CP346" s="17" t="n"/>
      <c r="CQ346" s="16" t="n"/>
      <c r="CR346" s="20" t="n"/>
      <c r="CS346" s="20" t="inlineStr">
        <is>
          <t>None</t>
        </is>
      </c>
      <c r="CT346" s="17" t="n"/>
      <c r="CU346" s="16" t="n"/>
      <c r="CV346" s="20" t="n"/>
      <c r="CW346" s="20" t="inlineStr">
        <is>
          <t>None</t>
        </is>
      </c>
      <c r="CX346" s="17" t="n"/>
      <c r="CY346" s="16" t="n"/>
      <c r="CZ346" s="20" t="inlineStr">
        <is>
          <t>WTW Multimeter 3430 with FDO 925</t>
        </is>
      </c>
      <c r="DA346" s="20" t="inlineStr">
        <is>
          <t>None</t>
        </is>
      </c>
      <c r="DB346" s="17" t="n"/>
      <c r="DC346" s="16" t="n"/>
      <c r="DD346" s="20" t="n"/>
      <c r="DE346" s="20" t="inlineStr">
        <is>
          <t>None</t>
        </is>
      </c>
      <c r="DF346" s="17" t="n"/>
      <c r="DG346" s="16" t="n"/>
      <c r="DH346" s="20" t="inlineStr">
        <is>
          <t>SOP 45-09</t>
        </is>
      </c>
      <c r="DI346" s="20" t="inlineStr">
        <is>
          <t>None</t>
        </is>
      </c>
      <c r="DJ346" s="17" t="n"/>
      <c r="DK346" s="16" t="n"/>
      <c r="DL346" s="20" t="inlineStr">
        <is>
          <t>SOP 45-09 (SOP muss noch angepasst werden für VSS)</t>
        </is>
      </c>
      <c r="DM346" s="20" t="inlineStr">
        <is>
          <t>None</t>
        </is>
      </c>
      <c r="DN346" s="17" t="n"/>
      <c r="DO346" s="16" t="n"/>
      <c r="DP346" s="20" t="inlineStr">
        <is>
          <t>IC Organic Acids</t>
        </is>
      </c>
      <c r="DQ346" s="20" t="inlineStr">
        <is>
          <t>None</t>
        </is>
      </c>
      <c r="DR346" s="17" t="n"/>
      <c r="DS346" s="16" t="n"/>
      <c r="DT346" s="20" t="inlineStr">
        <is>
          <t>IC Organic Acids</t>
        </is>
      </c>
      <c r="DU346" s="20" t="inlineStr">
        <is>
          <t>None</t>
        </is>
      </c>
      <c r="DV346" s="17" t="n"/>
      <c r="DW346" s="16" t="n"/>
      <c r="DX346" s="20" t="inlineStr">
        <is>
          <t>IC Organic Acids</t>
        </is>
      </c>
      <c r="DY346" s="20" t="inlineStr">
        <is>
          <t>None</t>
        </is>
      </c>
      <c r="DZ346" s="17" t="n"/>
      <c r="EA346" s="16" t="n"/>
      <c r="EB346" s="20" t="inlineStr">
        <is>
          <t>IC Organic Acids</t>
        </is>
      </c>
      <c r="EC346" s="20" t="inlineStr">
        <is>
          <t>None</t>
        </is>
      </c>
      <c r="ED346" s="17" t="n"/>
      <c r="EE346" s="16" t="n"/>
      <c r="EF346" s="20" t="inlineStr">
        <is>
          <t>IC Organic Acids</t>
        </is>
      </c>
      <c r="EG346" s="20" t="inlineStr">
        <is>
          <t>None</t>
        </is>
      </c>
      <c r="EH346" s="17" t="n"/>
      <c r="EI346" s="16" t="n"/>
      <c r="EJ346" s="20" t="inlineStr">
        <is>
          <t>IC Organic Acids</t>
        </is>
      </c>
      <c r="EK346" s="20" t="inlineStr">
        <is>
          <t>None</t>
        </is>
      </c>
      <c r="EL346" s="17" t="n"/>
      <c r="EM346" s="16" t="n"/>
      <c r="EN346" s="20" t="inlineStr">
        <is>
          <t>IC Organic Acids</t>
        </is>
      </c>
      <c r="EO346" s="20" t="inlineStr">
        <is>
          <t>None</t>
        </is>
      </c>
      <c r="EP346" s="17" t="n"/>
      <c r="EQ346" s="16" t="n"/>
      <c r="ER346" s="20" t="inlineStr">
        <is>
          <t>IC Organic Acids</t>
        </is>
      </c>
      <c r="ES346" s="20" t="inlineStr">
        <is>
          <t>None</t>
        </is>
      </c>
      <c r="ET346" s="17" t="n"/>
      <c r="EU346" s="16" t="n"/>
      <c r="EV346" s="20" t="inlineStr">
        <is>
          <t>LC-MS</t>
        </is>
      </c>
      <c r="EW346" s="20" t="inlineStr">
        <is>
          <t>None</t>
        </is>
      </c>
      <c r="EX346" s="17" t="n"/>
      <c r="EY346" s="21" t="n"/>
      <c r="EZ346">
        <f>CONCATENATE(A346,B346)</f>
        <v/>
      </c>
      <c r="FA346">
        <f>CONCATENATE(SamplesX!A346,SamplesX!B346)</f>
        <v/>
      </c>
      <c r="FC346">
        <f>MATCH(EZ346,FA1:FA1008,0)</f>
        <v/>
      </c>
    </row>
    <row r="347">
      <c r="A347" s="16" t="inlineStr">
        <is>
          <t>BP</t>
        </is>
      </c>
      <c r="B347" s="17" t="inlineStr">
        <is>
          <t>25339</t>
        </is>
      </c>
      <c r="C347" s="10">
        <f>IF(ISNUMBER(FC347),INDIRECT("SamplesX!C"&amp;FC347),IF(ISNUMBER(FD347),INDIRECT("SamplesY!C"&amp;FD347),""))</f>
        <v/>
      </c>
      <c r="D347" s="12">
        <f>IF(ISNUMBER(FC347),INDIRECT("SamplesX!D"&amp;FC347),IF(ISNUMBER(FD347),INDIRECT("SamplesY!D"&amp;FD347),""))</f>
        <v/>
      </c>
      <c r="E347" s="12">
        <f>IF(ISNUMBER(FC347),INDIRECT("SamplesX!E"&amp;FC347),IF(ISNUMBER(FD347),INDIRECT("SamplesY!E"&amp;FD347),""))</f>
        <v/>
      </c>
      <c r="F347" s="11">
        <f>IF(ISNUMBER(FC347),INDIRECT("SamplesX!F"&amp;FC347),IF(ISNUMBER(FD347),INDIRECT("SamplesY!F"&amp;FD347),""))</f>
        <v/>
      </c>
      <c r="G347" s="18">
        <f>IF(ISNUMBER(FC347),INDIRECT("SamplesX!G"&amp;FC347),IF(ISNUMBER(FD347),INDIRECT("SamplesY!G"&amp;FD347),""))</f>
        <v/>
      </c>
      <c r="H347" s="19">
        <f>IF(ISNUMBER(FC347),INDIRECT("SamplesX!H"&amp;FC347),IF(ISNUMBER(FD347),INDIRECT("SamplesY!H"&amp;FD347),""))</f>
        <v/>
      </c>
      <c r="I347" s="16" t="n"/>
      <c r="J347" s="16" t="n"/>
      <c r="K347" s="16" t="n"/>
      <c r="L347" s="20" t="n"/>
      <c r="M347" s="20" t="inlineStr">
        <is>
          <t>None</t>
        </is>
      </c>
      <c r="N347" s="17" t="n"/>
      <c r="O347" s="16" t="n"/>
      <c r="P347" s="20" t="inlineStr">
        <is>
          <t>Shimadzu TOC-L</t>
        </is>
      </c>
      <c r="Q347" s="20" t="inlineStr">
        <is>
          <t>None</t>
        </is>
      </c>
      <c r="R347" s="17" t="n"/>
      <c r="S347" s="16" t="n"/>
      <c r="T347" s="20" t="inlineStr">
        <is>
          <t>Shimadzu TOC-L</t>
        </is>
      </c>
      <c r="U347" s="20" t="inlineStr">
        <is>
          <t>None</t>
        </is>
      </c>
      <c r="V347" s="17" t="n"/>
      <c r="W347" s="16" t="n"/>
      <c r="X347" s="20" t="n"/>
      <c r="Y347" s="20" t="inlineStr">
        <is>
          <t>None</t>
        </is>
      </c>
      <c r="Z347" s="17" t="n"/>
      <c r="AA347" s="16" t="n"/>
      <c r="AB347" s="20" t="n"/>
      <c r="AC347" s="20" t="inlineStr">
        <is>
          <t>None</t>
        </is>
      </c>
      <c r="AD347" s="17" t="n"/>
      <c r="AE347" s="16" t="n"/>
      <c r="AF347" s="20" t="inlineStr">
        <is>
          <t>IC Anionen</t>
        </is>
      </c>
      <c r="AG347" s="20" t="inlineStr">
        <is>
          <t>None</t>
        </is>
      </c>
      <c r="AH347" s="17" t="n"/>
      <c r="AI347" s="16" t="n"/>
      <c r="AJ347" s="20" t="n"/>
      <c r="AK347" s="20" t="inlineStr">
        <is>
          <t>None</t>
        </is>
      </c>
      <c r="AL347" s="17" t="n"/>
      <c r="AM347" s="16" t="n"/>
      <c r="AN347" s="20" t="inlineStr">
        <is>
          <t>IC Anionen</t>
        </is>
      </c>
      <c r="AO347" s="20" t="inlineStr">
        <is>
          <t>None</t>
        </is>
      </c>
      <c r="AP347" s="17" t="n"/>
      <c r="AQ347" s="16" t="n"/>
      <c r="AR347" s="20" t="n"/>
      <c r="AS347" s="20" t="inlineStr">
        <is>
          <t>None</t>
        </is>
      </c>
      <c r="AT347" s="17" t="n"/>
      <c r="AU347" s="16" t="n"/>
      <c r="AV347" s="20" t="n"/>
      <c r="AW347" s="20" t="inlineStr">
        <is>
          <t>None</t>
        </is>
      </c>
      <c r="AX347" s="17" t="n"/>
      <c r="AY347" s="16" t="n"/>
      <c r="AZ347" s="20" t="inlineStr">
        <is>
          <t>IC Anionen</t>
        </is>
      </c>
      <c r="BA347" s="20" t="inlineStr">
        <is>
          <t>None</t>
        </is>
      </c>
      <c r="BB347" s="17" t="n"/>
      <c r="BC347" s="16" t="n"/>
      <c r="BD347" s="20" t="inlineStr">
        <is>
          <t>IC Kationen</t>
        </is>
      </c>
      <c r="BE347" s="20" t="inlineStr">
        <is>
          <t>None</t>
        </is>
      </c>
      <c r="BF347" s="17" t="n"/>
      <c r="BG347" s="16" t="n"/>
      <c r="BH347" s="20" t="inlineStr">
        <is>
          <t>IC Kationen</t>
        </is>
      </c>
      <c r="BI347" s="20" t="inlineStr">
        <is>
          <t>None</t>
        </is>
      </c>
      <c r="BJ347" s="17" t="n"/>
      <c r="BK347" s="16" t="n"/>
      <c r="BL347" s="20" t="inlineStr">
        <is>
          <t>IC Kationen</t>
        </is>
      </c>
      <c r="BM347" s="20" t="inlineStr">
        <is>
          <t>None</t>
        </is>
      </c>
      <c r="BN347" s="17" t="n"/>
      <c r="BO347" s="16" t="n"/>
      <c r="BP347" s="20" t="inlineStr">
        <is>
          <t>IC Kationen</t>
        </is>
      </c>
      <c r="BQ347" s="20" t="inlineStr">
        <is>
          <t>None</t>
        </is>
      </c>
      <c r="BR347" s="17" t="n"/>
      <c r="BS347" s="16" t="n"/>
      <c r="BT347" s="20" t="inlineStr">
        <is>
          <t>IC Kationen</t>
        </is>
      </c>
      <c r="BU347" s="20" t="inlineStr">
        <is>
          <t>None</t>
        </is>
      </c>
      <c r="BV347" s="17" t="n"/>
      <c r="BW347" s="16" t="n"/>
      <c r="BX347" s="20" t="n"/>
      <c r="BY347" s="20" t="inlineStr">
        <is>
          <t>None</t>
        </is>
      </c>
      <c r="BZ347" s="17" t="n"/>
      <c r="CA347" s="16" t="n"/>
      <c r="CB347" s="20" t="n"/>
      <c r="CC347" s="20" t="inlineStr">
        <is>
          <t>None</t>
        </is>
      </c>
      <c r="CD347" s="17" t="n"/>
      <c r="CE347" s="16" t="n"/>
      <c r="CF347" s="20" t="n"/>
      <c r="CG347" s="20" t="inlineStr">
        <is>
          <t>None</t>
        </is>
      </c>
      <c r="CH347" s="17" t="n"/>
      <c r="CI347" s="16" t="n"/>
      <c r="CJ347" s="20" t="n"/>
      <c r="CK347" s="20" t="inlineStr">
        <is>
          <t>None</t>
        </is>
      </c>
      <c r="CL347" s="17" t="n"/>
      <c r="CM347" s="16" t="n"/>
      <c r="CN347" s="20" t="inlineStr">
        <is>
          <t>SOP 45-34</t>
        </is>
      </c>
      <c r="CO347" s="20" t="inlineStr">
        <is>
          <t>None</t>
        </is>
      </c>
      <c r="CP347" s="17" t="n"/>
      <c r="CQ347" s="16" t="n"/>
      <c r="CR347" s="20" t="n"/>
      <c r="CS347" s="20" t="inlineStr">
        <is>
          <t>None</t>
        </is>
      </c>
      <c r="CT347" s="17" t="n"/>
      <c r="CU347" s="16" t="n"/>
      <c r="CV347" s="20" t="n"/>
      <c r="CW347" s="20" t="inlineStr">
        <is>
          <t>None</t>
        </is>
      </c>
      <c r="CX347" s="17" t="n"/>
      <c r="CY347" s="16" t="n"/>
      <c r="CZ347" s="20" t="inlineStr">
        <is>
          <t>WTW Multimeter 3430 with FDO 925</t>
        </is>
      </c>
      <c r="DA347" s="20" t="inlineStr">
        <is>
          <t>None</t>
        </is>
      </c>
      <c r="DB347" s="17" t="n"/>
      <c r="DC347" s="16" t="n"/>
      <c r="DD347" s="20" t="n"/>
      <c r="DE347" s="20" t="inlineStr">
        <is>
          <t>None</t>
        </is>
      </c>
      <c r="DF347" s="17" t="n"/>
      <c r="DG347" s="16" t="n"/>
      <c r="DH347" s="20" t="inlineStr">
        <is>
          <t>SOP 45-09</t>
        </is>
      </c>
      <c r="DI347" s="20" t="inlineStr">
        <is>
          <t>None</t>
        </is>
      </c>
      <c r="DJ347" s="17" t="n"/>
      <c r="DK347" s="16" t="n"/>
      <c r="DL347" s="20" t="inlineStr">
        <is>
          <t>SOP 45-09 (SOP muss noch angepasst werden für VSS)</t>
        </is>
      </c>
      <c r="DM347" s="20" t="inlineStr">
        <is>
          <t>None</t>
        </is>
      </c>
      <c r="DN347" s="17" t="n"/>
      <c r="DO347" s="16" t="n"/>
      <c r="DP347" s="20" t="inlineStr">
        <is>
          <t>IC Organic Acids</t>
        </is>
      </c>
      <c r="DQ347" s="20" t="inlineStr">
        <is>
          <t>None</t>
        </is>
      </c>
      <c r="DR347" s="17" t="n"/>
      <c r="DS347" s="16" t="n"/>
      <c r="DT347" s="20" t="inlineStr">
        <is>
          <t>IC Organic Acids</t>
        </is>
      </c>
      <c r="DU347" s="20" t="inlineStr">
        <is>
          <t>None</t>
        </is>
      </c>
      <c r="DV347" s="17" t="n"/>
      <c r="DW347" s="16" t="n"/>
      <c r="DX347" s="20" t="inlineStr">
        <is>
          <t>IC Organic Acids</t>
        </is>
      </c>
      <c r="DY347" s="20" t="inlineStr">
        <is>
          <t>None</t>
        </is>
      </c>
      <c r="DZ347" s="17" t="n"/>
      <c r="EA347" s="16" t="n"/>
      <c r="EB347" s="20" t="inlineStr">
        <is>
          <t>IC Organic Acids</t>
        </is>
      </c>
      <c r="EC347" s="20" t="inlineStr">
        <is>
          <t>None</t>
        </is>
      </c>
      <c r="ED347" s="17" t="n"/>
      <c r="EE347" s="16" t="n"/>
      <c r="EF347" s="20" t="inlineStr">
        <is>
          <t>IC Organic Acids</t>
        </is>
      </c>
      <c r="EG347" s="20" t="inlineStr">
        <is>
          <t>None</t>
        </is>
      </c>
      <c r="EH347" s="17" t="n"/>
      <c r="EI347" s="16" t="n"/>
      <c r="EJ347" s="20" t="inlineStr">
        <is>
          <t>IC Organic Acids</t>
        </is>
      </c>
      <c r="EK347" s="20" t="inlineStr">
        <is>
          <t>None</t>
        </is>
      </c>
      <c r="EL347" s="17" t="n"/>
      <c r="EM347" s="16" t="n"/>
      <c r="EN347" s="20" t="inlineStr">
        <is>
          <t>IC Organic Acids</t>
        </is>
      </c>
      <c r="EO347" s="20" t="inlineStr">
        <is>
          <t>None</t>
        </is>
      </c>
      <c r="EP347" s="17" t="n"/>
      <c r="EQ347" s="16" t="n"/>
      <c r="ER347" s="20" t="inlineStr">
        <is>
          <t>IC Organic Acids</t>
        </is>
      </c>
      <c r="ES347" s="20" t="inlineStr">
        <is>
          <t>None</t>
        </is>
      </c>
      <c r="ET347" s="17" t="n"/>
      <c r="EU347" s="16" t="n"/>
      <c r="EV347" s="20" t="inlineStr">
        <is>
          <t>LC-MS</t>
        </is>
      </c>
      <c r="EW347" s="20" t="inlineStr">
        <is>
          <t>None</t>
        </is>
      </c>
      <c r="EX347" s="17" t="n"/>
      <c r="EY347" s="21" t="n"/>
      <c r="EZ347">
        <f>CONCATENATE(A347,B347)</f>
        <v/>
      </c>
      <c r="FA347">
        <f>CONCATENATE(SamplesX!A347,SamplesX!B347)</f>
        <v/>
      </c>
      <c r="FC347">
        <f>MATCH(EZ347,FA1:FA1008,0)</f>
        <v/>
      </c>
    </row>
    <row r="348">
      <c r="A348" s="16" t="inlineStr">
        <is>
          <t>BP</t>
        </is>
      </c>
      <c r="B348" s="17" t="inlineStr">
        <is>
          <t>25340</t>
        </is>
      </c>
      <c r="C348" s="10">
        <f>IF(ISNUMBER(FC348),INDIRECT("SamplesX!C"&amp;FC348),IF(ISNUMBER(FD348),INDIRECT("SamplesY!C"&amp;FD348),""))</f>
        <v/>
      </c>
      <c r="D348" s="12">
        <f>IF(ISNUMBER(FC348),INDIRECT("SamplesX!D"&amp;FC348),IF(ISNUMBER(FD348),INDIRECT("SamplesY!D"&amp;FD348),""))</f>
        <v/>
      </c>
      <c r="E348" s="12">
        <f>IF(ISNUMBER(FC348),INDIRECT("SamplesX!E"&amp;FC348),IF(ISNUMBER(FD348),INDIRECT("SamplesY!E"&amp;FD348),""))</f>
        <v/>
      </c>
      <c r="F348" s="11">
        <f>IF(ISNUMBER(FC348),INDIRECT("SamplesX!F"&amp;FC348),IF(ISNUMBER(FD348),INDIRECT("SamplesY!F"&amp;FD348),""))</f>
        <v/>
      </c>
      <c r="G348" s="18">
        <f>IF(ISNUMBER(FC348),INDIRECT("SamplesX!G"&amp;FC348),IF(ISNUMBER(FD348),INDIRECT("SamplesY!G"&amp;FD348),""))</f>
        <v/>
      </c>
      <c r="H348" s="19">
        <f>IF(ISNUMBER(FC348),INDIRECT("SamplesX!H"&amp;FC348),IF(ISNUMBER(FD348),INDIRECT("SamplesY!H"&amp;FD348),""))</f>
        <v/>
      </c>
      <c r="I348" s="16" t="n"/>
      <c r="J348" s="16" t="n"/>
      <c r="K348" s="16" t="n"/>
      <c r="L348" s="20" t="n"/>
      <c r="M348" s="20" t="inlineStr">
        <is>
          <t>None</t>
        </is>
      </c>
      <c r="N348" s="17" t="n"/>
      <c r="O348" s="16" t="n"/>
      <c r="P348" s="20" t="inlineStr">
        <is>
          <t>Shimadzu TOC-L</t>
        </is>
      </c>
      <c r="Q348" s="20" t="inlineStr">
        <is>
          <t>None</t>
        </is>
      </c>
      <c r="R348" s="17" t="n"/>
      <c r="S348" s="16" t="n"/>
      <c r="T348" s="20" t="inlineStr">
        <is>
          <t>Shimadzu TOC-L</t>
        </is>
      </c>
      <c r="U348" s="20" t="inlineStr">
        <is>
          <t>None</t>
        </is>
      </c>
      <c r="V348" s="17" t="n"/>
      <c r="W348" s="16" t="n"/>
      <c r="X348" s="20" t="n"/>
      <c r="Y348" s="20" t="inlineStr">
        <is>
          <t>None</t>
        </is>
      </c>
      <c r="Z348" s="17" t="n"/>
      <c r="AA348" s="16" t="n"/>
      <c r="AB348" s="20" t="n"/>
      <c r="AC348" s="20" t="inlineStr">
        <is>
          <t>None</t>
        </is>
      </c>
      <c r="AD348" s="17" t="n"/>
      <c r="AE348" s="16" t="n"/>
      <c r="AF348" s="20" t="inlineStr">
        <is>
          <t>IC Anionen</t>
        </is>
      </c>
      <c r="AG348" s="20" t="inlineStr">
        <is>
          <t>None</t>
        </is>
      </c>
      <c r="AH348" s="17" t="n"/>
      <c r="AI348" s="16" t="n"/>
      <c r="AJ348" s="20" t="n"/>
      <c r="AK348" s="20" t="inlineStr">
        <is>
          <t>None</t>
        </is>
      </c>
      <c r="AL348" s="17" t="n"/>
      <c r="AM348" s="16" t="n"/>
      <c r="AN348" s="20" t="inlineStr">
        <is>
          <t>IC Anionen</t>
        </is>
      </c>
      <c r="AO348" s="20" t="inlineStr">
        <is>
          <t>None</t>
        </is>
      </c>
      <c r="AP348" s="17" t="n"/>
      <c r="AQ348" s="16" t="n"/>
      <c r="AR348" s="20" t="n"/>
      <c r="AS348" s="20" t="inlineStr">
        <is>
          <t>None</t>
        </is>
      </c>
      <c r="AT348" s="17" t="n"/>
      <c r="AU348" s="16" t="n"/>
      <c r="AV348" s="20" t="n"/>
      <c r="AW348" s="20" t="inlineStr">
        <is>
          <t>None</t>
        </is>
      </c>
      <c r="AX348" s="17" t="n"/>
      <c r="AY348" s="16" t="n"/>
      <c r="AZ348" s="20" t="inlineStr">
        <is>
          <t>IC Anionen</t>
        </is>
      </c>
      <c r="BA348" s="20" t="inlineStr">
        <is>
          <t>None</t>
        </is>
      </c>
      <c r="BB348" s="17" t="n"/>
      <c r="BC348" s="16" t="n"/>
      <c r="BD348" s="20" t="inlineStr">
        <is>
          <t>IC Kationen</t>
        </is>
      </c>
      <c r="BE348" s="20" t="inlineStr">
        <is>
          <t>None</t>
        </is>
      </c>
      <c r="BF348" s="17" t="n"/>
      <c r="BG348" s="16" t="n"/>
      <c r="BH348" s="20" t="inlineStr">
        <is>
          <t>IC Kationen</t>
        </is>
      </c>
      <c r="BI348" s="20" t="inlineStr">
        <is>
          <t>None</t>
        </is>
      </c>
      <c r="BJ348" s="17" t="n"/>
      <c r="BK348" s="16" t="n"/>
      <c r="BL348" s="20" t="inlineStr">
        <is>
          <t>IC Kationen</t>
        </is>
      </c>
      <c r="BM348" s="20" t="inlineStr">
        <is>
          <t>None</t>
        </is>
      </c>
      <c r="BN348" s="17" t="n"/>
      <c r="BO348" s="16" t="n"/>
      <c r="BP348" s="20" t="inlineStr">
        <is>
          <t>IC Kationen</t>
        </is>
      </c>
      <c r="BQ348" s="20" t="inlineStr">
        <is>
          <t>None</t>
        </is>
      </c>
      <c r="BR348" s="17" t="n"/>
      <c r="BS348" s="16" t="n"/>
      <c r="BT348" s="20" t="inlineStr">
        <is>
          <t>IC Kationen</t>
        </is>
      </c>
      <c r="BU348" s="20" t="inlineStr">
        <is>
          <t>None</t>
        </is>
      </c>
      <c r="BV348" s="17" t="n"/>
      <c r="BW348" s="16" t="n"/>
      <c r="BX348" s="20" t="n"/>
      <c r="BY348" s="20" t="inlineStr">
        <is>
          <t>None</t>
        </is>
      </c>
      <c r="BZ348" s="17" t="n"/>
      <c r="CA348" s="16" t="n"/>
      <c r="CB348" s="20" t="n"/>
      <c r="CC348" s="20" t="inlineStr">
        <is>
          <t>None</t>
        </is>
      </c>
      <c r="CD348" s="17" t="n"/>
      <c r="CE348" s="16" t="n"/>
      <c r="CF348" s="20" t="n"/>
      <c r="CG348" s="20" t="inlineStr">
        <is>
          <t>None</t>
        </is>
      </c>
      <c r="CH348" s="17" t="n"/>
      <c r="CI348" s="16" t="n"/>
      <c r="CJ348" s="20" t="n"/>
      <c r="CK348" s="20" t="inlineStr">
        <is>
          <t>None</t>
        </is>
      </c>
      <c r="CL348" s="17" t="n"/>
      <c r="CM348" s="16" t="n"/>
      <c r="CN348" s="20" t="inlineStr">
        <is>
          <t>SOP 45-34</t>
        </is>
      </c>
      <c r="CO348" s="20" t="inlineStr">
        <is>
          <t>None</t>
        </is>
      </c>
      <c r="CP348" s="17" t="n"/>
      <c r="CQ348" s="16" t="n"/>
      <c r="CR348" s="20" t="n"/>
      <c r="CS348" s="20" t="inlineStr">
        <is>
          <t>None</t>
        </is>
      </c>
      <c r="CT348" s="17" t="n"/>
      <c r="CU348" s="16" t="n"/>
      <c r="CV348" s="20" t="n"/>
      <c r="CW348" s="20" t="inlineStr">
        <is>
          <t>None</t>
        </is>
      </c>
      <c r="CX348" s="17" t="n"/>
      <c r="CY348" s="16" t="n"/>
      <c r="CZ348" s="20" t="inlineStr">
        <is>
          <t>WTW Multimeter 3430 with FDO 925</t>
        </is>
      </c>
      <c r="DA348" s="20" t="inlineStr">
        <is>
          <t>None</t>
        </is>
      </c>
      <c r="DB348" s="17" t="n"/>
      <c r="DC348" s="16" t="n"/>
      <c r="DD348" s="20" t="n"/>
      <c r="DE348" s="20" t="inlineStr">
        <is>
          <t>None</t>
        </is>
      </c>
      <c r="DF348" s="17" t="n"/>
      <c r="DG348" s="16" t="n"/>
      <c r="DH348" s="20" t="inlineStr">
        <is>
          <t>SOP 45-09</t>
        </is>
      </c>
      <c r="DI348" s="20" t="inlineStr">
        <is>
          <t>None</t>
        </is>
      </c>
      <c r="DJ348" s="17" t="n"/>
      <c r="DK348" s="16" t="n"/>
      <c r="DL348" s="20" t="inlineStr">
        <is>
          <t>SOP 45-09 (SOP muss noch angepasst werden für VSS)</t>
        </is>
      </c>
      <c r="DM348" s="20" t="inlineStr">
        <is>
          <t>None</t>
        </is>
      </c>
      <c r="DN348" s="17" t="n"/>
      <c r="DO348" s="16" t="n"/>
      <c r="DP348" s="20" t="inlineStr">
        <is>
          <t>IC Organic Acids</t>
        </is>
      </c>
      <c r="DQ348" s="20" t="inlineStr">
        <is>
          <t>None</t>
        </is>
      </c>
      <c r="DR348" s="17" t="n"/>
      <c r="DS348" s="16" t="n"/>
      <c r="DT348" s="20" t="inlineStr">
        <is>
          <t>IC Organic Acids</t>
        </is>
      </c>
      <c r="DU348" s="20" t="inlineStr">
        <is>
          <t>None</t>
        </is>
      </c>
      <c r="DV348" s="17" t="n"/>
      <c r="DW348" s="16" t="n"/>
      <c r="DX348" s="20" t="inlineStr">
        <is>
          <t>IC Organic Acids</t>
        </is>
      </c>
      <c r="DY348" s="20" t="inlineStr">
        <is>
          <t>None</t>
        </is>
      </c>
      <c r="DZ348" s="17" t="n"/>
      <c r="EA348" s="16" t="n"/>
      <c r="EB348" s="20" t="inlineStr">
        <is>
          <t>IC Organic Acids</t>
        </is>
      </c>
      <c r="EC348" s="20" t="inlineStr">
        <is>
          <t>None</t>
        </is>
      </c>
      <c r="ED348" s="17" t="n"/>
      <c r="EE348" s="16" t="n"/>
      <c r="EF348" s="20" t="inlineStr">
        <is>
          <t>IC Organic Acids</t>
        </is>
      </c>
      <c r="EG348" s="20" t="inlineStr">
        <is>
          <t>None</t>
        </is>
      </c>
      <c r="EH348" s="17" t="n"/>
      <c r="EI348" s="16" t="n"/>
      <c r="EJ348" s="20" t="inlineStr">
        <is>
          <t>IC Organic Acids</t>
        </is>
      </c>
      <c r="EK348" s="20" t="inlineStr">
        <is>
          <t>None</t>
        </is>
      </c>
      <c r="EL348" s="17" t="n"/>
      <c r="EM348" s="16" t="n"/>
      <c r="EN348" s="20" t="inlineStr">
        <is>
          <t>IC Organic Acids</t>
        </is>
      </c>
      <c r="EO348" s="20" t="inlineStr">
        <is>
          <t>None</t>
        </is>
      </c>
      <c r="EP348" s="17" t="n"/>
      <c r="EQ348" s="16" t="n"/>
      <c r="ER348" s="20" t="inlineStr">
        <is>
          <t>IC Organic Acids</t>
        </is>
      </c>
      <c r="ES348" s="20" t="inlineStr">
        <is>
          <t>None</t>
        </is>
      </c>
      <c r="ET348" s="17" t="n"/>
      <c r="EU348" s="16" t="n"/>
      <c r="EV348" s="20" t="inlineStr">
        <is>
          <t>LC-MS</t>
        </is>
      </c>
      <c r="EW348" s="20" t="inlineStr">
        <is>
          <t>None</t>
        </is>
      </c>
      <c r="EX348" s="17" t="n"/>
      <c r="EY348" s="21" t="n"/>
      <c r="EZ348">
        <f>CONCATENATE(A348,B348)</f>
        <v/>
      </c>
      <c r="FA348">
        <f>CONCATENATE(SamplesX!A348,SamplesX!B348)</f>
        <v/>
      </c>
      <c r="FC348">
        <f>MATCH(EZ348,FA1:FA1008,0)</f>
        <v/>
      </c>
    </row>
    <row r="349">
      <c r="A349" s="16" t="inlineStr">
        <is>
          <t>BP</t>
        </is>
      </c>
      <c r="B349" s="17" t="inlineStr">
        <is>
          <t>25341</t>
        </is>
      </c>
      <c r="C349" s="10">
        <f>IF(ISNUMBER(FC349),INDIRECT("SamplesX!C"&amp;FC349),IF(ISNUMBER(FD349),INDIRECT("SamplesY!C"&amp;FD349),""))</f>
        <v/>
      </c>
      <c r="D349" s="12">
        <f>IF(ISNUMBER(FC349),INDIRECT("SamplesX!D"&amp;FC349),IF(ISNUMBER(FD349),INDIRECT("SamplesY!D"&amp;FD349),""))</f>
        <v/>
      </c>
      <c r="E349" s="12">
        <f>IF(ISNUMBER(FC349),INDIRECT("SamplesX!E"&amp;FC349),IF(ISNUMBER(FD349),INDIRECT("SamplesY!E"&amp;FD349),""))</f>
        <v/>
      </c>
      <c r="F349" s="11">
        <f>IF(ISNUMBER(FC349),INDIRECT("SamplesX!F"&amp;FC349),IF(ISNUMBER(FD349),INDIRECT("SamplesY!F"&amp;FD349),""))</f>
        <v/>
      </c>
      <c r="G349" s="18">
        <f>IF(ISNUMBER(FC349),INDIRECT("SamplesX!G"&amp;FC349),IF(ISNUMBER(FD349),INDIRECT("SamplesY!G"&amp;FD349),""))</f>
        <v/>
      </c>
      <c r="H349" s="19">
        <f>IF(ISNUMBER(FC349),INDIRECT("SamplesX!H"&amp;FC349),IF(ISNUMBER(FD349),INDIRECT("SamplesY!H"&amp;FD349),""))</f>
        <v/>
      </c>
      <c r="I349" s="16" t="n"/>
      <c r="J349" s="16" t="n"/>
      <c r="K349" s="16" t="n"/>
      <c r="L349" s="20" t="n"/>
      <c r="M349" s="20" t="inlineStr">
        <is>
          <t>None</t>
        </is>
      </c>
      <c r="N349" s="17" t="n"/>
      <c r="O349" s="16" t="n"/>
      <c r="P349" s="20" t="inlineStr">
        <is>
          <t>Shimadzu TOC-L</t>
        </is>
      </c>
      <c r="Q349" s="20" t="inlineStr">
        <is>
          <t>None</t>
        </is>
      </c>
      <c r="R349" s="17" t="n"/>
      <c r="S349" s="16" t="n"/>
      <c r="T349" s="20" t="inlineStr">
        <is>
          <t>Shimadzu TOC-L</t>
        </is>
      </c>
      <c r="U349" s="20" t="inlineStr">
        <is>
          <t>None</t>
        </is>
      </c>
      <c r="V349" s="17" t="n"/>
      <c r="W349" s="16" t="n"/>
      <c r="X349" s="20" t="n"/>
      <c r="Y349" s="20" t="inlineStr">
        <is>
          <t>None</t>
        </is>
      </c>
      <c r="Z349" s="17" t="n"/>
      <c r="AA349" s="16" t="n"/>
      <c r="AB349" s="20" t="n"/>
      <c r="AC349" s="20" t="inlineStr">
        <is>
          <t>None</t>
        </is>
      </c>
      <c r="AD349" s="17" t="n"/>
      <c r="AE349" s="16" t="n"/>
      <c r="AF349" s="20" t="inlineStr">
        <is>
          <t>IC Anionen</t>
        </is>
      </c>
      <c r="AG349" s="20" t="inlineStr">
        <is>
          <t>None</t>
        </is>
      </c>
      <c r="AH349" s="17" t="n"/>
      <c r="AI349" s="16" t="n"/>
      <c r="AJ349" s="20" t="n"/>
      <c r="AK349" s="20" t="inlineStr">
        <is>
          <t>None</t>
        </is>
      </c>
      <c r="AL349" s="17" t="n"/>
      <c r="AM349" s="16" t="n"/>
      <c r="AN349" s="20" t="inlineStr">
        <is>
          <t>IC Anionen</t>
        </is>
      </c>
      <c r="AO349" s="20" t="inlineStr">
        <is>
          <t>None</t>
        </is>
      </c>
      <c r="AP349" s="17" t="n"/>
      <c r="AQ349" s="16" t="n"/>
      <c r="AR349" s="20" t="n"/>
      <c r="AS349" s="20" t="inlineStr">
        <is>
          <t>None</t>
        </is>
      </c>
      <c r="AT349" s="17" t="n"/>
      <c r="AU349" s="16" t="n"/>
      <c r="AV349" s="20" t="n"/>
      <c r="AW349" s="20" t="inlineStr">
        <is>
          <t>None</t>
        </is>
      </c>
      <c r="AX349" s="17" t="n"/>
      <c r="AY349" s="16" t="n"/>
      <c r="AZ349" s="20" t="inlineStr">
        <is>
          <t>IC Anionen</t>
        </is>
      </c>
      <c r="BA349" s="20" t="inlineStr">
        <is>
          <t>None</t>
        </is>
      </c>
      <c r="BB349" s="17" t="n"/>
      <c r="BC349" s="16" t="n"/>
      <c r="BD349" s="20" t="inlineStr">
        <is>
          <t>IC Kationen</t>
        </is>
      </c>
      <c r="BE349" s="20" t="inlineStr">
        <is>
          <t>None</t>
        </is>
      </c>
      <c r="BF349" s="17" t="n"/>
      <c r="BG349" s="16" t="n"/>
      <c r="BH349" s="20" t="inlineStr">
        <is>
          <t>IC Kationen</t>
        </is>
      </c>
      <c r="BI349" s="20" t="inlineStr">
        <is>
          <t>None</t>
        </is>
      </c>
      <c r="BJ349" s="17" t="n"/>
      <c r="BK349" s="16" t="n"/>
      <c r="BL349" s="20" t="inlineStr">
        <is>
          <t>IC Kationen</t>
        </is>
      </c>
      <c r="BM349" s="20" t="inlineStr">
        <is>
          <t>None</t>
        </is>
      </c>
      <c r="BN349" s="17" t="n"/>
      <c r="BO349" s="16" t="n"/>
      <c r="BP349" s="20" t="inlineStr">
        <is>
          <t>IC Kationen</t>
        </is>
      </c>
      <c r="BQ349" s="20" t="inlineStr">
        <is>
          <t>None</t>
        </is>
      </c>
      <c r="BR349" s="17" t="n"/>
      <c r="BS349" s="16" t="n"/>
      <c r="BT349" s="20" t="inlineStr">
        <is>
          <t>IC Kationen</t>
        </is>
      </c>
      <c r="BU349" s="20" t="inlineStr">
        <is>
          <t>None</t>
        </is>
      </c>
      <c r="BV349" s="17" t="n"/>
      <c r="BW349" s="16" t="n"/>
      <c r="BX349" s="20" t="n"/>
      <c r="BY349" s="20" t="inlineStr">
        <is>
          <t>None</t>
        </is>
      </c>
      <c r="BZ349" s="17" t="n"/>
      <c r="CA349" s="16" t="n"/>
      <c r="CB349" s="20" t="n"/>
      <c r="CC349" s="20" t="inlineStr">
        <is>
          <t>None</t>
        </is>
      </c>
      <c r="CD349" s="17" t="n"/>
      <c r="CE349" s="16" t="n"/>
      <c r="CF349" s="20" t="n"/>
      <c r="CG349" s="20" t="inlineStr">
        <is>
          <t>None</t>
        </is>
      </c>
      <c r="CH349" s="17" t="n"/>
      <c r="CI349" s="16" t="n"/>
      <c r="CJ349" s="20" t="n"/>
      <c r="CK349" s="20" t="inlineStr">
        <is>
          <t>None</t>
        </is>
      </c>
      <c r="CL349" s="17" t="n"/>
      <c r="CM349" s="16" t="n"/>
      <c r="CN349" s="20" t="inlineStr">
        <is>
          <t>SOP 45-34</t>
        </is>
      </c>
      <c r="CO349" s="20" t="inlineStr">
        <is>
          <t>None</t>
        </is>
      </c>
      <c r="CP349" s="17" t="n"/>
      <c r="CQ349" s="16" t="n"/>
      <c r="CR349" s="20" t="n"/>
      <c r="CS349" s="20" t="inlineStr">
        <is>
          <t>None</t>
        </is>
      </c>
      <c r="CT349" s="17" t="n"/>
      <c r="CU349" s="16" t="n"/>
      <c r="CV349" s="20" t="n"/>
      <c r="CW349" s="20" t="inlineStr">
        <is>
          <t>None</t>
        </is>
      </c>
      <c r="CX349" s="17" t="n"/>
      <c r="CY349" s="16" t="n"/>
      <c r="CZ349" s="20" t="inlineStr">
        <is>
          <t>WTW Multimeter 3430 with FDO 925</t>
        </is>
      </c>
      <c r="DA349" s="20" t="inlineStr">
        <is>
          <t>None</t>
        </is>
      </c>
      <c r="DB349" s="17" t="n"/>
      <c r="DC349" s="16" t="n"/>
      <c r="DD349" s="20" t="n"/>
      <c r="DE349" s="20" t="inlineStr">
        <is>
          <t>None</t>
        </is>
      </c>
      <c r="DF349" s="17" t="n"/>
      <c r="DG349" s="16" t="n"/>
      <c r="DH349" s="20" t="inlineStr">
        <is>
          <t>SOP 45-09</t>
        </is>
      </c>
      <c r="DI349" s="20" t="inlineStr">
        <is>
          <t>None</t>
        </is>
      </c>
      <c r="DJ349" s="17" t="n"/>
      <c r="DK349" s="16" t="n"/>
      <c r="DL349" s="20" t="inlineStr">
        <is>
          <t>SOP 45-09 (SOP muss noch angepasst werden für VSS)</t>
        </is>
      </c>
      <c r="DM349" s="20" t="inlineStr">
        <is>
          <t>None</t>
        </is>
      </c>
      <c r="DN349" s="17" t="n"/>
      <c r="DO349" s="16" t="n"/>
      <c r="DP349" s="20" t="inlineStr">
        <is>
          <t>IC Organic Acids</t>
        </is>
      </c>
      <c r="DQ349" s="20" t="inlineStr">
        <is>
          <t>None</t>
        </is>
      </c>
      <c r="DR349" s="17" t="n"/>
      <c r="DS349" s="16" t="n"/>
      <c r="DT349" s="20" t="inlineStr">
        <is>
          <t>IC Organic Acids</t>
        </is>
      </c>
      <c r="DU349" s="20" t="inlineStr">
        <is>
          <t>None</t>
        </is>
      </c>
      <c r="DV349" s="17" t="n"/>
      <c r="DW349" s="16" t="n"/>
      <c r="DX349" s="20" t="inlineStr">
        <is>
          <t>IC Organic Acids</t>
        </is>
      </c>
      <c r="DY349" s="20" t="inlineStr">
        <is>
          <t>None</t>
        </is>
      </c>
      <c r="DZ349" s="17" t="n"/>
      <c r="EA349" s="16" t="n"/>
      <c r="EB349" s="20" t="inlineStr">
        <is>
          <t>IC Organic Acids</t>
        </is>
      </c>
      <c r="EC349" s="20" t="inlineStr">
        <is>
          <t>None</t>
        </is>
      </c>
      <c r="ED349" s="17" t="n"/>
      <c r="EE349" s="16" t="n"/>
      <c r="EF349" s="20" t="inlineStr">
        <is>
          <t>IC Organic Acids</t>
        </is>
      </c>
      <c r="EG349" s="20" t="inlineStr">
        <is>
          <t>None</t>
        </is>
      </c>
      <c r="EH349" s="17" t="n"/>
      <c r="EI349" s="16" t="n"/>
      <c r="EJ349" s="20" t="inlineStr">
        <is>
          <t>IC Organic Acids</t>
        </is>
      </c>
      <c r="EK349" s="20" t="inlineStr">
        <is>
          <t>None</t>
        </is>
      </c>
      <c r="EL349" s="17" t="n"/>
      <c r="EM349" s="16" t="n"/>
      <c r="EN349" s="20" t="inlineStr">
        <is>
          <t>IC Organic Acids</t>
        </is>
      </c>
      <c r="EO349" s="20" t="inlineStr">
        <is>
          <t>None</t>
        </is>
      </c>
      <c r="EP349" s="17" t="n"/>
      <c r="EQ349" s="16" t="n"/>
      <c r="ER349" s="20" t="inlineStr">
        <is>
          <t>IC Organic Acids</t>
        </is>
      </c>
      <c r="ES349" s="20" t="inlineStr">
        <is>
          <t>None</t>
        </is>
      </c>
      <c r="ET349" s="17" t="n"/>
      <c r="EU349" s="16" t="n"/>
      <c r="EV349" s="20" t="inlineStr">
        <is>
          <t>LC-MS</t>
        </is>
      </c>
      <c r="EW349" s="20" t="inlineStr">
        <is>
          <t>None</t>
        </is>
      </c>
      <c r="EX349" s="17" t="n"/>
      <c r="EY349" s="21" t="n"/>
      <c r="EZ349">
        <f>CONCATENATE(A349,B349)</f>
        <v/>
      </c>
      <c r="FA349">
        <f>CONCATENATE(SamplesX!A349,SamplesX!B349)</f>
        <v/>
      </c>
      <c r="FC349">
        <f>MATCH(EZ349,FA1:FA1008,0)</f>
        <v/>
      </c>
    </row>
    <row r="350">
      <c r="A350" s="16" t="inlineStr">
        <is>
          <t>BP</t>
        </is>
      </c>
      <c r="B350" s="17" t="inlineStr">
        <is>
          <t>25342</t>
        </is>
      </c>
      <c r="C350" s="10">
        <f>IF(ISNUMBER(FC350),INDIRECT("SamplesX!C"&amp;FC350),IF(ISNUMBER(FD350),INDIRECT("SamplesY!C"&amp;FD350),""))</f>
        <v/>
      </c>
      <c r="D350" s="12">
        <f>IF(ISNUMBER(FC350),INDIRECT("SamplesX!D"&amp;FC350),IF(ISNUMBER(FD350),INDIRECT("SamplesY!D"&amp;FD350),""))</f>
        <v/>
      </c>
      <c r="E350" s="12">
        <f>IF(ISNUMBER(FC350),INDIRECT("SamplesX!E"&amp;FC350),IF(ISNUMBER(FD350),INDIRECT("SamplesY!E"&amp;FD350),""))</f>
        <v/>
      </c>
      <c r="F350" s="11">
        <f>IF(ISNUMBER(FC350),INDIRECT("SamplesX!F"&amp;FC350),IF(ISNUMBER(FD350),INDIRECT("SamplesY!F"&amp;FD350),""))</f>
        <v/>
      </c>
      <c r="G350" s="18">
        <f>IF(ISNUMBER(FC350),INDIRECT("SamplesX!G"&amp;FC350),IF(ISNUMBER(FD350),INDIRECT("SamplesY!G"&amp;FD350),""))</f>
        <v/>
      </c>
      <c r="H350" s="19">
        <f>IF(ISNUMBER(FC350),INDIRECT("SamplesX!H"&amp;FC350),IF(ISNUMBER(FD350),INDIRECT("SamplesY!H"&amp;FD350),""))</f>
        <v/>
      </c>
      <c r="I350" s="16" t="n"/>
      <c r="J350" s="16" t="n"/>
      <c r="K350" s="16" t="n"/>
      <c r="L350" s="20" t="n"/>
      <c r="M350" s="20" t="inlineStr">
        <is>
          <t>None</t>
        </is>
      </c>
      <c r="N350" s="17" t="n"/>
      <c r="O350" s="16" t="n"/>
      <c r="P350" s="20" t="inlineStr">
        <is>
          <t>Shimadzu TOC-L</t>
        </is>
      </c>
      <c r="Q350" s="20" t="inlineStr">
        <is>
          <t>None</t>
        </is>
      </c>
      <c r="R350" s="17" t="n"/>
      <c r="S350" s="16" t="n"/>
      <c r="T350" s="20" t="inlineStr">
        <is>
          <t>Shimadzu TOC-L</t>
        </is>
      </c>
      <c r="U350" s="20" t="inlineStr">
        <is>
          <t>None</t>
        </is>
      </c>
      <c r="V350" s="17" t="n"/>
      <c r="W350" s="16" t="n"/>
      <c r="X350" s="20" t="n"/>
      <c r="Y350" s="20" t="inlineStr">
        <is>
          <t>None</t>
        </is>
      </c>
      <c r="Z350" s="17" t="n"/>
      <c r="AA350" s="16" t="n"/>
      <c r="AB350" s="20" t="n"/>
      <c r="AC350" s="20" t="inlineStr">
        <is>
          <t>None</t>
        </is>
      </c>
      <c r="AD350" s="17" t="n"/>
      <c r="AE350" s="16" t="n"/>
      <c r="AF350" s="20" t="inlineStr">
        <is>
          <t>IC Anionen</t>
        </is>
      </c>
      <c r="AG350" s="20" t="inlineStr">
        <is>
          <t>None</t>
        </is>
      </c>
      <c r="AH350" s="17" t="n"/>
      <c r="AI350" s="16" t="n"/>
      <c r="AJ350" s="20" t="n"/>
      <c r="AK350" s="20" t="inlineStr">
        <is>
          <t>None</t>
        </is>
      </c>
      <c r="AL350" s="17" t="n"/>
      <c r="AM350" s="16" t="n"/>
      <c r="AN350" s="20" t="inlineStr">
        <is>
          <t>IC Anionen</t>
        </is>
      </c>
      <c r="AO350" s="20" t="inlineStr">
        <is>
          <t>None</t>
        </is>
      </c>
      <c r="AP350" s="17" t="n"/>
      <c r="AQ350" s="16" t="n"/>
      <c r="AR350" s="20" t="n"/>
      <c r="AS350" s="20" t="inlineStr">
        <is>
          <t>None</t>
        </is>
      </c>
      <c r="AT350" s="17" t="n"/>
      <c r="AU350" s="16" t="n"/>
      <c r="AV350" s="20" t="n"/>
      <c r="AW350" s="20" t="inlineStr">
        <is>
          <t>None</t>
        </is>
      </c>
      <c r="AX350" s="17" t="n"/>
      <c r="AY350" s="16" t="n"/>
      <c r="AZ350" s="20" t="inlineStr">
        <is>
          <t>IC Anionen</t>
        </is>
      </c>
      <c r="BA350" s="20" t="inlineStr">
        <is>
          <t>None</t>
        </is>
      </c>
      <c r="BB350" s="17" t="n"/>
      <c r="BC350" s="16" t="n"/>
      <c r="BD350" s="20" t="inlineStr">
        <is>
          <t>IC Kationen</t>
        </is>
      </c>
      <c r="BE350" s="20" t="inlineStr">
        <is>
          <t>None</t>
        </is>
      </c>
      <c r="BF350" s="17" t="n"/>
      <c r="BG350" s="16" t="n"/>
      <c r="BH350" s="20" t="inlineStr">
        <is>
          <t>IC Kationen</t>
        </is>
      </c>
      <c r="BI350" s="20" t="inlineStr">
        <is>
          <t>None</t>
        </is>
      </c>
      <c r="BJ350" s="17" t="n"/>
      <c r="BK350" s="16" t="n"/>
      <c r="BL350" s="20" t="inlineStr">
        <is>
          <t>IC Kationen</t>
        </is>
      </c>
      <c r="BM350" s="20" t="inlineStr">
        <is>
          <t>None</t>
        </is>
      </c>
      <c r="BN350" s="17" t="n"/>
      <c r="BO350" s="16" t="n"/>
      <c r="BP350" s="20" t="inlineStr">
        <is>
          <t>IC Kationen</t>
        </is>
      </c>
      <c r="BQ350" s="20" t="inlineStr">
        <is>
          <t>None</t>
        </is>
      </c>
      <c r="BR350" s="17" t="n"/>
      <c r="BS350" s="16" t="n"/>
      <c r="BT350" s="20" t="inlineStr">
        <is>
          <t>IC Kationen</t>
        </is>
      </c>
      <c r="BU350" s="20" t="inlineStr">
        <is>
          <t>None</t>
        </is>
      </c>
      <c r="BV350" s="17" t="n"/>
      <c r="BW350" s="16" t="n"/>
      <c r="BX350" s="20" t="n"/>
      <c r="BY350" s="20" t="inlineStr">
        <is>
          <t>None</t>
        </is>
      </c>
      <c r="BZ350" s="17" t="n"/>
      <c r="CA350" s="16" t="n"/>
      <c r="CB350" s="20" t="n"/>
      <c r="CC350" s="20" t="inlineStr">
        <is>
          <t>None</t>
        </is>
      </c>
      <c r="CD350" s="17" t="n"/>
      <c r="CE350" s="16" t="n"/>
      <c r="CF350" s="20" t="n"/>
      <c r="CG350" s="20" t="inlineStr">
        <is>
          <t>None</t>
        </is>
      </c>
      <c r="CH350" s="17" t="n"/>
      <c r="CI350" s="16" t="n"/>
      <c r="CJ350" s="20" t="n"/>
      <c r="CK350" s="20" t="inlineStr">
        <is>
          <t>None</t>
        </is>
      </c>
      <c r="CL350" s="17" t="n"/>
      <c r="CM350" s="16" t="n"/>
      <c r="CN350" s="20" t="inlineStr">
        <is>
          <t>SOP 45-34</t>
        </is>
      </c>
      <c r="CO350" s="20" t="inlineStr">
        <is>
          <t>None</t>
        </is>
      </c>
      <c r="CP350" s="17" t="n"/>
      <c r="CQ350" s="16" t="n"/>
      <c r="CR350" s="20" t="n"/>
      <c r="CS350" s="20" t="inlineStr">
        <is>
          <t>None</t>
        </is>
      </c>
      <c r="CT350" s="17" t="n"/>
      <c r="CU350" s="16" t="n"/>
      <c r="CV350" s="20" t="n"/>
      <c r="CW350" s="20" t="inlineStr">
        <is>
          <t>None</t>
        </is>
      </c>
      <c r="CX350" s="17" t="n"/>
      <c r="CY350" s="16" t="n"/>
      <c r="CZ350" s="20" t="inlineStr">
        <is>
          <t>WTW Multimeter 3430 with FDO 925</t>
        </is>
      </c>
      <c r="DA350" s="20" t="inlineStr">
        <is>
          <t>None</t>
        </is>
      </c>
      <c r="DB350" s="17" t="n"/>
      <c r="DC350" s="16" t="n"/>
      <c r="DD350" s="20" t="n"/>
      <c r="DE350" s="20" t="inlineStr">
        <is>
          <t>None</t>
        </is>
      </c>
      <c r="DF350" s="17" t="n"/>
      <c r="DG350" s="16" t="n"/>
      <c r="DH350" s="20" t="inlineStr">
        <is>
          <t>SOP 45-09</t>
        </is>
      </c>
      <c r="DI350" s="20" t="inlineStr">
        <is>
          <t>None</t>
        </is>
      </c>
      <c r="DJ350" s="17" t="n"/>
      <c r="DK350" s="16" t="n"/>
      <c r="DL350" s="20" t="inlineStr">
        <is>
          <t>SOP 45-09 (SOP muss noch angepasst werden für VSS)</t>
        </is>
      </c>
      <c r="DM350" s="20" t="inlineStr">
        <is>
          <t>None</t>
        </is>
      </c>
      <c r="DN350" s="17" t="n"/>
      <c r="DO350" s="16" t="n"/>
      <c r="DP350" s="20" t="inlineStr">
        <is>
          <t>IC Organic Acids</t>
        </is>
      </c>
      <c r="DQ350" s="20" t="inlineStr">
        <is>
          <t>None</t>
        </is>
      </c>
      <c r="DR350" s="17" t="n"/>
      <c r="DS350" s="16" t="n"/>
      <c r="DT350" s="20" t="inlineStr">
        <is>
          <t>IC Organic Acids</t>
        </is>
      </c>
      <c r="DU350" s="20" t="inlineStr">
        <is>
          <t>None</t>
        </is>
      </c>
      <c r="DV350" s="17" t="n"/>
      <c r="DW350" s="16" t="n"/>
      <c r="DX350" s="20" t="inlineStr">
        <is>
          <t>IC Organic Acids</t>
        </is>
      </c>
      <c r="DY350" s="20" t="inlineStr">
        <is>
          <t>None</t>
        </is>
      </c>
      <c r="DZ350" s="17" t="n"/>
      <c r="EA350" s="16" t="n"/>
      <c r="EB350" s="20" t="inlineStr">
        <is>
          <t>IC Organic Acids</t>
        </is>
      </c>
      <c r="EC350" s="20" t="inlineStr">
        <is>
          <t>None</t>
        </is>
      </c>
      <c r="ED350" s="17" t="n"/>
      <c r="EE350" s="16" t="n"/>
      <c r="EF350" s="20" t="inlineStr">
        <is>
          <t>IC Organic Acids</t>
        </is>
      </c>
      <c r="EG350" s="20" t="inlineStr">
        <is>
          <t>None</t>
        </is>
      </c>
      <c r="EH350" s="17" t="n"/>
      <c r="EI350" s="16" t="n"/>
      <c r="EJ350" s="20" t="inlineStr">
        <is>
          <t>IC Organic Acids</t>
        </is>
      </c>
      <c r="EK350" s="20" t="inlineStr">
        <is>
          <t>None</t>
        </is>
      </c>
      <c r="EL350" s="17" t="n"/>
      <c r="EM350" s="16" t="n"/>
      <c r="EN350" s="20" t="inlineStr">
        <is>
          <t>IC Organic Acids</t>
        </is>
      </c>
      <c r="EO350" s="20" t="inlineStr">
        <is>
          <t>None</t>
        </is>
      </c>
      <c r="EP350" s="17" t="n"/>
      <c r="EQ350" s="16" t="n"/>
      <c r="ER350" s="20" t="inlineStr">
        <is>
          <t>IC Organic Acids</t>
        </is>
      </c>
      <c r="ES350" s="20" t="inlineStr">
        <is>
          <t>None</t>
        </is>
      </c>
      <c r="ET350" s="17" t="n"/>
      <c r="EU350" s="16" t="n"/>
      <c r="EV350" s="20" t="inlineStr">
        <is>
          <t>LC-MS</t>
        </is>
      </c>
      <c r="EW350" s="20" t="inlineStr">
        <is>
          <t>None</t>
        </is>
      </c>
      <c r="EX350" s="17" t="n"/>
      <c r="EY350" s="21" t="n"/>
      <c r="EZ350">
        <f>CONCATENATE(A350,B350)</f>
        <v/>
      </c>
      <c r="FA350">
        <f>CONCATENATE(SamplesX!A350,SamplesX!B350)</f>
        <v/>
      </c>
      <c r="FC350">
        <f>MATCH(EZ350,FA1:FA1008,0)</f>
        <v/>
      </c>
    </row>
    <row r="351">
      <c r="A351" s="16" t="inlineStr">
        <is>
          <t>BP</t>
        </is>
      </c>
      <c r="B351" s="17" t="inlineStr">
        <is>
          <t>25343</t>
        </is>
      </c>
      <c r="C351" s="10">
        <f>IF(ISNUMBER(FC351),INDIRECT("SamplesX!C"&amp;FC351),IF(ISNUMBER(FD351),INDIRECT("SamplesY!C"&amp;FD351),""))</f>
        <v/>
      </c>
      <c r="D351" s="12">
        <f>IF(ISNUMBER(FC351),INDIRECT("SamplesX!D"&amp;FC351),IF(ISNUMBER(FD351),INDIRECT("SamplesY!D"&amp;FD351),""))</f>
        <v/>
      </c>
      <c r="E351" s="12">
        <f>IF(ISNUMBER(FC351),INDIRECT("SamplesX!E"&amp;FC351),IF(ISNUMBER(FD351),INDIRECT("SamplesY!E"&amp;FD351),""))</f>
        <v/>
      </c>
      <c r="F351" s="11">
        <f>IF(ISNUMBER(FC351),INDIRECT("SamplesX!F"&amp;FC351),IF(ISNUMBER(FD351),INDIRECT("SamplesY!F"&amp;FD351),""))</f>
        <v/>
      </c>
      <c r="G351" s="18">
        <f>IF(ISNUMBER(FC351),INDIRECT("SamplesX!G"&amp;FC351),IF(ISNUMBER(FD351),INDIRECT("SamplesY!G"&amp;FD351),""))</f>
        <v/>
      </c>
      <c r="H351" s="19">
        <f>IF(ISNUMBER(FC351),INDIRECT("SamplesX!H"&amp;FC351),IF(ISNUMBER(FD351),INDIRECT("SamplesY!H"&amp;FD351),""))</f>
        <v/>
      </c>
      <c r="I351" s="16" t="n"/>
      <c r="J351" s="16" t="n"/>
      <c r="K351" s="16" t="n"/>
      <c r="L351" s="20" t="n"/>
      <c r="M351" s="20" t="inlineStr">
        <is>
          <t>None</t>
        </is>
      </c>
      <c r="N351" s="17" t="n"/>
      <c r="O351" s="16" t="n"/>
      <c r="P351" s="20" t="inlineStr">
        <is>
          <t>Shimadzu TOC-L</t>
        </is>
      </c>
      <c r="Q351" s="20" t="inlineStr">
        <is>
          <t>None</t>
        </is>
      </c>
      <c r="R351" s="17" t="n"/>
      <c r="S351" s="16" t="n"/>
      <c r="T351" s="20" t="inlineStr">
        <is>
          <t>Shimadzu TOC-L</t>
        </is>
      </c>
      <c r="U351" s="20" t="inlineStr">
        <is>
          <t>None</t>
        </is>
      </c>
      <c r="V351" s="17" t="n"/>
      <c r="W351" s="16" t="n"/>
      <c r="X351" s="20" t="n"/>
      <c r="Y351" s="20" t="inlineStr">
        <is>
          <t>None</t>
        </is>
      </c>
      <c r="Z351" s="17" t="n"/>
      <c r="AA351" s="16" t="n"/>
      <c r="AB351" s="20" t="n"/>
      <c r="AC351" s="20" t="inlineStr">
        <is>
          <t>None</t>
        </is>
      </c>
      <c r="AD351" s="17" t="n"/>
      <c r="AE351" s="16" t="n"/>
      <c r="AF351" s="20" t="inlineStr">
        <is>
          <t>IC Anionen</t>
        </is>
      </c>
      <c r="AG351" s="20" t="inlineStr">
        <is>
          <t>None</t>
        </is>
      </c>
      <c r="AH351" s="17" t="n"/>
      <c r="AI351" s="16" t="n"/>
      <c r="AJ351" s="20" t="n"/>
      <c r="AK351" s="20" t="inlineStr">
        <is>
          <t>None</t>
        </is>
      </c>
      <c r="AL351" s="17" t="n"/>
      <c r="AM351" s="16" t="n"/>
      <c r="AN351" s="20" t="inlineStr">
        <is>
          <t>IC Anionen</t>
        </is>
      </c>
      <c r="AO351" s="20" t="inlineStr">
        <is>
          <t>None</t>
        </is>
      </c>
      <c r="AP351" s="17" t="n"/>
      <c r="AQ351" s="16" t="n"/>
      <c r="AR351" s="20" t="n"/>
      <c r="AS351" s="20" t="inlineStr">
        <is>
          <t>None</t>
        </is>
      </c>
      <c r="AT351" s="17" t="n"/>
      <c r="AU351" s="16" t="n"/>
      <c r="AV351" s="20" t="n"/>
      <c r="AW351" s="20" t="inlineStr">
        <is>
          <t>None</t>
        </is>
      </c>
      <c r="AX351" s="17" t="n"/>
      <c r="AY351" s="16" t="n"/>
      <c r="AZ351" s="20" t="inlineStr">
        <is>
          <t>IC Anionen</t>
        </is>
      </c>
      <c r="BA351" s="20" t="inlineStr">
        <is>
          <t>None</t>
        </is>
      </c>
      <c r="BB351" s="17" t="n"/>
      <c r="BC351" s="16" t="n"/>
      <c r="BD351" s="20" t="inlineStr">
        <is>
          <t>IC Kationen</t>
        </is>
      </c>
      <c r="BE351" s="20" t="inlineStr">
        <is>
          <t>None</t>
        </is>
      </c>
      <c r="BF351" s="17" t="n"/>
      <c r="BG351" s="16" t="n"/>
      <c r="BH351" s="20" t="inlineStr">
        <is>
          <t>IC Kationen</t>
        </is>
      </c>
      <c r="BI351" s="20" t="inlineStr">
        <is>
          <t>None</t>
        </is>
      </c>
      <c r="BJ351" s="17" t="n"/>
      <c r="BK351" s="16" t="n"/>
      <c r="BL351" s="20" t="inlineStr">
        <is>
          <t>IC Kationen</t>
        </is>
      </c>
      <c r="BM351" s="20" t="inlineStr">
        <is>
          <t>None</t>
        </is>
      </c>
      <c r="BN351" s="17" t="n"/>
      <c r="BO351" s="16" t="n"/>
      <c r="BP351" s="20" t="inlineStr">
        <is>
          <t>IC Kationen</t>
        </is>
      </c>
      <c r="BQ351" s="20" t="inlineStr">
        <is>
          <t>None</t>
        </is>
      </c>
      <c r="BR351" s="17" t="n"/>
      <c r="BS351" s="16" t="n"/>
      <c r="BT351" s="20" t="inlineStr">
        <is>
          <t>IC Kationen</t>
        </is>
      </c>
      <c r="BU351" s="20" t="inlineStr">
        <is>
          <t>None</t>
        </is>
      </c>
      <c r="BV351" s="17" t="n"/>
      <c r="BW351" s="16" t="n"/>
      <c r="BX351" s="20" t="n"/>
      <c r="BY351" s="20" t="inlineStr">
        <is>
          <t>None</t>
        </is>
      </c>
      <c r="BZ351" s="17" t="n"/>
      <c r="CA351" s="16" t="n"/>
      <c r="CB351" s="20" t="n"/>
      <c r="CC351" s="20" t="inlineStr">
        <is>
          <t>None</t>
        </is>
      </c>
      <c r="CD351" s="17" t="n"/>
      <c r="CE351" s="16" t="n"/>
      <c r="CF351" s="20" t="n"/>
      <c r="CG351" s="20" t="inlineStr">
        <is>
          <t>None</t>
        </is>
      </c>
      <c r="CH351" s="17" t="n"/>
      <c r="CI351" s="16" t="n"/>
      <c r="CJ351" s="20" t="n"/>
      <c r="CK351" s="20" t="inlineStr">
        <is>
          <t>None</t>
        </is>
      </c>
      <c r="CL351" s="17" t="n"/>
      <c r="CM351" s="16" t="n"/>
      <c r="CN351" s="20" t="inlineStr">
        <is>
          <t>SOP 45-34</t>
        </is>
      </c>
      <c r="CO351" s="20" t="inlineStr">
        <is>
          <t>None</t>
        </is>
      </c>
      <c r="CP351" s="17" t="n"/>
      <c r="CQ351" s="16" t="n"/>
      <c r="CR351" s="20" t="n"/>
      <c r="CS351" s="20" t="inlineStr">
        <is>
          <t>None</t>
        </is>
      </c>
      <c r="CT351" s="17" t="n"/>
      <c r="CU351" s="16" t="n"/>
      <c r="CV351" s="20" t="n"/>
      <c r="CW351" s="20" t="inlineStr">
        <is>
          <t>None</t>
        </is>
      </c>
      <c r="CX351" s="17" t="n"/>
      <c r="CY351" s="16" t="n"/>
      <c r="CZ351" s="20" t="inlineStr">
        <is>
          <t>WTW Multimeter 3430 with FDO 925</t>
        </is>
      </c>
      <c r="DA351" s="20" t="inlineStr">
        <is>
          <t>None</t>
        </is>
      </c>
      <c r="DB351" s="17" t="n"/>
      <c r="DC351" s="16" t="n"/>
      <c r="DD351" s="20" t="n"/>
      <c r="DE351" s="20" t="inlineStr">
        <is>
          <t>None</t>
        </is>
      </c>
      <c r="DF351" s="17" t="n"/>
      <c r="DG351" s="16" t="n"/>
      <c r="DH351" s="20" t="inlineStr">
        <is>
          <t>SOP 45-09</t>
        </is>
      </c>
      <c r="DI351" s="20" t="inlineStr">
        <is>
          <t>None</t>
        </is>
      </c>
      <c r="DJ351" s="17" t="n"/>
      <c r="DK351" s="16" t="n"/>
      <c r="DL351" s="20" t="inlineStr">
        <is>
          <t>SOP 45-09 (SOP muss noch angepasst werden für VSS)</t>
        </is>
      </c>
      <c r="DM351" s="20" t="inlineStr">
        <is>
          <t>None</t>
        </is>
      </c>
      <c r="DN351" s="17" t="n"/>
      <c r="DO351" s="16" t="n"/>
      <c r="DP351" s="20" t="inlineStr">
        <is>
          <t>IC Organic Acids</t>
        </is>
      </c>
      <c r="DQ351" s="20" t="inlineStr">
        <is>
          <t>None</t>
        </is>
      </c>
      <c r="DR351" s="17" t="n"/>
      <c r="DS351" s="16" t="n"/>
      <c r="DT351" s="20" t="inlineStr">
        <is>
          <t>IC Organic Acids</t>
        </is>
      </c>
      <c r="DU351" s="20" t="inlineStr">
        <is>
          <t>None</t>
        </is>
      </c>
      <c r="DV351" s="17" t="n"/>
      <c r="DW351" s="16" t="n"/>
      <c r="DX351" s="20" t="inlineStr">
        <is>
          <t>IC Organic Acids</t>
        </is>
      </c>
      <c r="DY351" s="20" t="inlineStr">
        <is>
          <t>None</t>
        </is>
      </c>
      <c r="DZ351" s="17" t="n"/>
      <c r="EA351" s="16" t="n"/>
      <c r="EB351" s="20" t="inlineStr">
        <is>
          <t>IC Organic Acids</t>
        </is>
      </c>
      <c r="EC351" s="20" t="inlineStr">
        <is>
          <t>None</t>
        </is>
      </c>
      <c r="ED351" s="17" t="n"/>
      <c r="EE351" s="16" t="n"/>
      <c r="EF351" s="20" t="inlineStr">
        <is>
          <t>IC Organic Acids</t>
        </is>
      </c>
      <c r="EG351" s="20" t="inlineStr">
        <is>
          <t>None</t>
        </is>
      </c>
      <c r="EH351" s="17" t="n"/>
      <c r="EI351" s="16" t="n"/>
      <c r="EJ351" s="20" t="inlineStr">
        <is>
          <t>IC Organic Acids</t>
        </is>
      </c>
      <c r="EK351" s="20" t="inlineStr">
        <is>
          <t>None</t>
        </is>
      </c>
      <c r="EL351" s="17" t="n"/>
      <c r="EM351" s="16" t="n"/>
      <c r="EN351" s="20" t="inlineStr">
        <is>
          <t>IC Organic Acids</t>
        </is>
      </c>
      <c r="EO351" s="20" t="inlineStr">
        <is>
          <t>None</t>
        </is>
      </c>
      <c r="EP351" s="17" t="n"/>
      <c r="EQ351" s="16" t="n"/>
      <c r="ER351" s="20" t="inlineStr">
        <is>
          <t>IC Organic Acids</t>
        </is>
      </c>
      <c r="ES351" s="20" t="inlineStr">
        <is>
          <t>None</t>
        </is>
      </c>
      <c r="ET351" s="17" t="n"/>
      <c r="EU351" s="16" t="n"/>
      <c r="EV351" s="20" t="inlineStr">
        <is>
          <t>LC-MS</t>
        </is>
      </c>
      <c r="EW351" s="20" t="inlineStr">
        <is>
          <t>None</t>
        </is>
      </c>
      <c r="EX351" s="17" t="n"/>
      <c r="EY351" s="21" t="n"/>
      <c r="EZ351">
        <f>CONCATENATE(A351,B351)</f>
        <v/>
      </c>
      <c r="FA351">
        <f>CONCATENATE(SamplesX!A351,SamplesX!B351)</f>
        <v/>
      </c>
      <c r="FC351">
        <f>MATCH(EZ351,FA1:FA1008,0)</f>
        <v/>
      </c>
    </row>
    <row r="352">
      <c r="A352" s="16" t="inlineStr">
        <is>
          <t>BP</t>
        </is>
      </c>
      <c r="B352" s="17" t="inlineStr">
        <is>
          <t>25344</t>
        </is>
      </c>
      <c r="C352" s="10">
        <f>IF(ISNUMBER(FC352),INDIRECT("SamplesX!C"&amp;FC352),IF(ISNUMBER(FD352),INDIRECT("SamplesY!C"&amp;FD352),""))</f>
        <v/>
      </c>
      <c r="D352" s="12">
        <f>IF(ISNUMBER(FC352),INDIRECT("SamplesX!D"&amp;FC352),IF(ISNUMBER(FD352),INDIRECT("SamplesY!D"&amp;FD352),""))</f>
        <v/>
      </c>
      <c r="E352" s="12">
        <f>IF(ISNUMBER(FC352),INDIRECT("SamplesX!E"&amp;FC352),IF(ISNUMBER(FD352),INDIRECT("SamplesY!E"&amp;FD352),""))</f>
        <v/>
      </c>
      <c r="F352" s="11">
        <f>IF(ISNUMBER(FC352),INDIRECT("SamplesX!F"&amp;FC352),IF(ISNUMBER(FD352),INDIRECT("SamplesY!F"&amp;FD352),""))</f>
        <v/>
      </c>
      <c r="G352" s="18">
        <f>IF(ISNUMBER(FC352),INDIRECT("SamplesX!G"&amp;FC352),IF(ISNUMBER(FD352),INDIRECT("SamplesY!G"&amp;FD352),""))</f>
        <v/>
      </c>
      <c r="H352" s="19">
        <f>IF(ISNUMBER(FC352),INDIRECT("SamplesX!H"&amp;FC352),IF(ISNUMBER(FD352),INDIRECT("SamplesY!H"&amp;FD352),""))</f>
        <v/>
      </c>
      <c r="I352" s="16" t="n"/>
      <c r="J352" s="16" t="n"/>
      <c r="K352" s="16" t="n"/>
      <c r="L352" s="20" t="n"/>
      <c r="M352" s="20" t="inlineStr">
        <is>
          <t>None</t>
        </is>
      </c>
      <c r="N352" s="17" t="n"/>
      <c r="O352" s="16" t="n"/>
      <c r="P352" s="20" t="inlineStr">
        <is>
          <t>Shimadzu TOC-L</t>
        </is>
      </c>
      <c r="Q352" s="20" t="inlineStr">
        <is>
          <t>None</t>
        </is>
      </c>
      <c r="R352" s="17" t="n"/>
      <c r="S352" s="16" t="n"/>
      <c r="T352" s="20" t="inlineStr">
        <is>
          <t>Shimadzu TOC-L</t>
        </is>
      </c>
      <c r="U352" s="20" t="inlineStr">
        <is>
          <t>None</t>
        </is>
      </c>
      <c r="V352" s="17" t="n"/>
      <c r="W352" s="16" t="n"/>
      <c r="X352" s="20" t="n"/>
      <c r="Y352" s="20" t="inlineStr">
        <is>
          <t>None</t>
        </is>
      </c>
      <c r="Z352" s="17" t="n"/>
      <c r="AA352" s="16" t="n"/>
      <c r="AB352" s="20" t="n"/>
      <c r="AC352" s="20" t="inlineStr">
        <is>
          <t>None</t>
        </is>
      </c>
      <c r="AD352" s="17" t="n"/>
      <c r="AE352" s="16" t="n"/>
      <c r="AF352" s="20" t="inlineStr">
        <is>
          <t>IC Anionen</t>
        </is>
      </c>
      <c r="AG352" s="20" t="inlineStr">
        <is>
          <t>None</t>
        </is>
      </c>
      <c r="AH352" s="17" t="n"/>
      <c r="AI352" s="16" t="n"/>
      <c r="AJ352" s="20" t="n"/>
      <c r="AK352" s="20" t="inlineStr">
        <is>
          <t>None</t>
        </is>
      </c>
      <c r="AL352" s="17" t="n"/>
      <c r="AM352" s="16" t="n"/>
      <c r="AN352" s="20" t="inlineStr">
        <is>
          <t>IC Anionen</t>
        </is>
      </c>
      <c r="AO352" s="20" t="inlineStr">
        <is>
          <t>None</t>
        </is>
      </c>
      <c r="AP352" s="17" t="n"/>
      <c r="AQ352" s="16" t="n"/>
      <c r="AR352" s="20" t="n"/>
      <c r="AS352" s="20" t="inlineStr">
        <is>
          <t>None</t>
        </is>
      </c>
      <c r="AT352" s="17" t="n"/>
      <c r="AU352" s="16" t="n"/>
      <c r="AV352" s="20" t="n"/>
      <c r="AW352" s="20" t="inlineStr">
        <is>
          <t>None</t>
        </is>
      </c>
      <c r="AX352" s="17" t="n"/>
      <c r="AY352" s="16" t="n"/>
      <c r="AZ352" s="20" t="inlineStr">
        <is>
          <t>IC Anionen</t>
        </is>
      </c>
      <c r="BA352" s="20" t="inlineStr">
        <is>
          <t>None</t>
        </is>
      </c>
      <c r="BB352" s="17" t="n"/>
      <c r="BC352" s="16" t="n"/>
      <c r="BD352" s="20" t="inlineStr">
        <is>
          <t>IC Kationen</t>
        </is>
      </c>
      <c r="BE352" s="20" t="inlineStr">
        <is>
          <t>None</t>
        </is>
      </c>
      <c r="BF352" s="17" t="n"/>
      <c r="BG352" s="16" t="n"/>
      <c r="BH352" s="20" t="inlineStr">
        <is>
          <t>IC Kationen</t>
        </is>
      </c>
      <c r="BI352" s="20" t="inlineStr">
        <is>
          <t>None</t>
        </is>
      </c>
      <c r="BJ352" s="17" t="n"/>
      <c r="BK352" s="16" t="n"/>
      <c r="BL352" s="20" t="inlineStr">
        <is>
          <t>IC Kationen</t>
        </is>
      </c>
      <c r="BM352" s="20" t="inlineStr">
        <is>
          <t>None</t>
        </is>
      </c>
      <c r="BN352" s="17" t="n"/>
      <c r="BO352" s="16" t="n"/>
      <c r="BP352" s="20" t="inlineStr">
        <is>
          <t>IC Kationen</t>
        </is>
      </c>
      <c r="BQ352" s="20" t="inlineStr">
        <is>
          <t>None</t>
        </is>
      </c>
      <c r="BR352" s="17" t="n"/>
      <c r="BS352" s="16" t="n"/>
      <c r="BT352" s="20" t="inlineStr">
        <is>
          <t>IC Kationen</t>
        </is>
      </c>
      <c r="BU352" s="20" t="inlineStr">
        <is>
          <t>None</t>
        </is>
      </c>
      <c r="BV352" s="17" t="n"/>
      <c r="BW352" s="16" t="n"/>
      <c r="BX352" s="20" t="n"/>
      <c r="BY352" s="20" t="inlineStr">
        <is>
          <t>None</t>
        </is>
      </c>
      <c r="BZ352" s="17" t="n"/>
      <c r="CA352" s="16" t="n"/>
      <c r="CB352" s="20" t="n"/>
      <c r="CC352" s="20" t="inlineStr">
        <is>
          <t>None</t>
        </is>
      </c>
      <c r="CD352" s="17" t="n"/>
      <c r="CE352" s="16" t="n"/>
      <c r="CF352" s="20" t="n"/>
      <c r="CG352" s="20" t="inlineStr">
        <is>
          <t>None</t>
        </is>
      </c>
      <c r="CH352" s="17" t="n"/>
      <c r="CI352" s="16" t="n"/>
      <c r="CJ352" s="20" t="n"/>
      <c r="CK352" s="20" t="inlineStr">
        <is>
          <t>None</t>
        </is>
      </c>
      <c r="CL352" s="17" t="n"/>
      <c r="CM352" s="16" t="n"/>
      <c r="CN352" s="20" t="inlineStr">
        <is>
          <t>SOP 45-34</t>
        </is>
      </c>
      <c r="CO352" s="20" t="inlineStr">
        <is>
          <t>None</t>
        </is>
      </c>
      <c r="CP352" s="17" t="n"/>
      <c r="CQ352" s="16" t="n"/>
      <c r="CR352" s="20" t="n"/>
      <c r="CS352" s="20" t="inlineStr">
        <is>
          <t>None</t>
        </is>
      </c>
      <c r="CT352" s="17" t="n"/>
      <c r="CU352" s="16" t="n"/>
      <c r="CV352" s="20" t="n"/>
      <c r="CW352" s="20" t="inlineStr">
        <is>
          <t>None</t>
        </is>
      </c>
      <c r="CX352" s="17" t="n"/>
      <c r="CY352" s="16" t="n"/>
      <c r="CZ352" s="20" t="inlineStr">
        <is>
          <t>WTW Multimeter 3430 with FDO 925</t>
        </is>
      </c>
      <c r="DA352" s="20" t="inlineStr">
        <is>
          <t>None</t>
        </is>
      </c>
      <c r="DB352" s="17" t="n"/>
      <c r="DC352" s="16" t="n"/>
      <c r="DD352" s="20" t="n"/>
      <c r="DE352" s="20" t="inlineStr">
        <is>
          <t>None</t>
        </is>
      </c>
      <c r="DF352" s="17" t="n"/>
      <c r="DG352" s="16" t="n"/>
      <c r="DH352" s="20" t="inlineStr">
        <is>
          <t>SOP 45-09</t>
        </is>
      </c>
      <c r="DI352" s="20" t="inlineStr">
        <is>
          <t>None</t>
        </is>
      </c>
      <c r="DJ352" s="17" t="n"/>
      <c r="DK352" s="16" t="n"/>
      <c r="DL352" s="20" t="inlineStr">
        <is>
          <t>SOP 45-09 (SOP muss noch angepasst werden für VSS)</t>
        </is>
      </c>
      <c r="DM352" s="20" t="inlineStr">
        <is>
          <t>None</t>
        </is>
      </c>
      <c r="DN352" s="17" t="n"/>
      <c r="DO352" s="16" t="n"/>
      <c r="DP352" s="20" t="inlineStr">
        <is>
          <t>IC Organic Acids</t>
        </is>
      </c>
      <c r="DQ352" s="20" t="inlineStr">
        <is>
          <t>None</t>
        </is>
      </c>
      <c r="DR352" s="17" t="n"/>
      <c r="DS352" s="16" t="n"/>
      <c r="DT352" s="20" t="inlineStr">
        <is>
          <t>IC Organic Acids</t>
        </is>
      </c>
      <c r="DU352" s="20" t="inlineStr">
        <is>
          <t>None</t>
        </is>
      </c>
      <c r="DV352" s="17" t="n"/>
      <c r="DW352" s="16" t="n"/>
      <c r="DX352" s="20" t="inlineStr">
        <is>
          <t>IC Organic Acids</t>
        </is>
      </c>
      <c r="DY352" s="20" t="inlineStr">
        <is>
          <t>None</t>
        </is>
      </c>
      <c r="DZ352" s="17" t="n"/>
      <c r="EA352" s="16" t="n"/>
      <c r="EB352" s="20" t="inlineStr">
        <is>
          <t>IC Organic Acids</t>
        </is>
      </c>
      <c r="EC352" s="20" t="inlineStr">
        <is>
          <t>None</t>
        </is>
      </c>
      <c r="ED352" s="17" t="n"/>
      <c r="EE352" s="16" t="n"/>
      <c r="EF352" s="20" t="inlineStr">
        <is>
          <t>IC Organic Acids</t>
        </is>
      </c>
      <c r="EG352" s="20" t="inlineStr">
        <is>
          <t>None</t>
        </is>
      </c>
      <c r="EH352" s="17" t="n"/>
      <c r="EI352" s="16" t="n"/>
      <c r="EJ352" s="20" t="inlineStr">
        <is>
          <t>IC Organic Acids</t>
        </is>
      </c>
      <c r="EK352" s="20" t="inlineStr">
        <is>
          <t>None</t>
        </is>
      </c>
      <c r="EL352" s="17" t="n"/>
      <c r="EM352" s="16" t="n"/>
      <c r="EN352" s="20" t="inlineStr">
        <is>
          <t>IC Organic Acids</t>
        </is>
      </c>
      <c r="EO352" s="20" t="inlineStr">
        <is>
          <t>None</t>
        </is>
      </c>
      <c r="EP352" s="17" t="n"/>
      <c r="EQ352" s="16" t="n"/>
      <c r="ER352" s="20" t="inlineStr">
        <is>
          <t>IC Organic Acids</t>
        </is>
      </c>
      <c r="ES352" s="20" t="inlineStr">
        <is>
          <t>None</t>
        </is>
      </c>
      <c r="ET352" s="17" t="n"/>
      <c r="EU352" s="16" t="n"/>
      <c r="EV352" s="20" t="inlineStr">
        <is>
          <t>LC-MS</t>
        </is>
      </c>
      <c r="EW352" s="20" t="inlineStr">
        <is>
          <t>None</t>
        </is>
      </c>
      <c r="EX352" s="17" t="n"/>
      <c r="EY352" s="21" t="n"/>
      <c r="EZ352">
        <f>CONCATENATE(A352,B352)</f>
        <v/>
      </c>
      <c r="FA352">
        <f>CONCATENATE(SamplesX!A352,SamplesX!B352)</f>
        <v/>
      </c>
      <c r="FC352">
        <f>MATCH(EZ352,FA1:FA1008,0)</f>
        <v/>
      </c>
    </row>
    <row r="353">
      <c r="A353" s="16" t="inlineStr">
        <is>
          <t>BP</t>
        </is>
      </c>
      <c r="B353" s="17" t="inlineStr">
        <is>
          <t>25345</t>
        </is>
      </c>
      <c r="C353" s="10">
        <f>IF(ISNUMBER(FC353),INDIRECT("SamplesX!C"&amp;FC353),IF(ISNUMBER(FD353),INDIRECT("SamplesY!C"&amp;FD353),""))</f>
        <v/>
      </c>
      <c r="D353" s="12">
        <f>IF(ISNUMBER(FC353),INDIRECT("SamplesX!D"&amp;FC353),IF(ISNUMBER(FD353),INDIRECT("SamplesY!D"&amp;FD353),""))</f>
        <v/>
      </c>
      <c r="E353" s="12">
        <f>IF(ISNUMBER(FC353),INDIRECT("SamplesX!E"&amp;FC353),IF(ISNUMBER(FD353),INDIRECT("SamplesY!E"&amp;FD353),""))</f>
        <v/>
      </c>
      <c r="F353" s="11">
        <f>IF(ISNUMBER(FC353),INDIRECT("SamplesX!F"&amp;FC353),IF(ISNUMBER(FD353),INDIRECT("SamplesY!F"&amp;FD353),""))</f>
        <v/>
      </c>
      <c r="G353" s="18">
        <f>IF(ISNUMBER(FC353),INDIRECT("SamplesX!G"&amp;FC353),IF(ISNUMBER(FD353),INDIRECT("SamplesY!G"&amp;FD353),""))</f>
        <v/>
      </c>
      <c r="H353" s="19">
        <f>IF(ISNUMBER(FC353),INDIRECT("SamplesX!H"&amp;FC353),IF(ISNUMBER(FD353),INDIRECT("SamplesY!H"&amp;FD353),""))</f>
        <v/>
      </c>
      <c r="I353" s="16" t="n"/>
      <c r="J353" s="16" t="n"/>
      <c r="K353" s="16" t="n"/>
      <c r="L353" s="20" t="n"/>
      <c r="M353" s="20" t="inlineStr">
        <is>
          <t>None</t>
        </is>
      </c>
      <c r="N353" s="17" t="n"/>
      <c r="O353" s="16" t="n"/>
      <c r="P353" s="20" t="inlineStr">
        <is>
          <t>Shimadzu TOC-L</t>
        </is>
      </c>
      <c r="Q353" s="20" t="inlineStr">
        <is>
          <t>None</t>
        </is>
      </c>
      <c r="R353" s="17" t="n"/>
      <c r="S353" s="16" t="n"/>
      <c r="T353" s="20" t="inlineStr">
        <is>
          <t>Shimadzu TOC-L</t>
        </is>
      </c>
      <c r="U353" s="20" t="inlineStr">
        <is>
          <t>None</t>
        </is>
      </c>
      <c r="V353" s="17" t="n"/>
      <c r="W353" s="16" t="n"/>
      <c r="X353" s="20" t="n"/>
      <c r="Y353" s="20" t="inlineStr">
        <is>
          <t>None</t>
        </is>
      </c>
      <c r="Z353" s="17" t="n"/>
      <c r="AA353" s="16" t="n"/>
      <c r="AB353" s="20" t="n"/>
      <c r="AC353" s="20" t="inlineStr">
        <is>
          <t>None</t>
        </is>
      </c>
      <c r="AD353" s="17" t="n"/>
      <c r="AE353" s="16" t="n"/>
      <c r="AF353" s="20" t="inlineStr">
        <is>
          <t>IC Anionen</t>
        </is>
      </c>
      <c r="AG353" s="20" t="inlineStr">
        <is>
          <t>None</t>
        </is>
      </c>
      <c r="AH353" s="17" t="n"/>
      <c r="AI353" s="16" t="n"/>
      <c r="AJ353" s="20" t="n"/>
      <c r="AK353" s="20" t="inlineStr">
        <is>
          <t>None</t>
        </is>
      </c>
      <c r="AL353" s="17" t="n"/>
      <c r="AM353" s="16" t="n"/>
      <c r="AN353" s="20" t="inlineStr">
        <is>
          <t>IC Anionen</t>
        </is>
      </c>
      <c r="AO353" s="20" t="inlineStr">
        <is>
          <t>None</t>
        </is>
      </c>
      <c r="AP353" s="17" t="n"/>
      <c r="AQ353" s="16" t="n"/>
      <c r="AR353" s="20" t="n"/>
      <c r="AS353" s="20" t="inlineStr">
        <is>
          <t>None</t>
        </is>
      </c>
      <c r="AT353" s="17" t="n"/>
      <c r="AU353" s="16" t="n"/>
      <c r="AV353" s="20" t="n"/>
      <c r="AW353" s="20" t="inlineStr">
        <is>
          <t>None</t>
        </is>
      </c>
      <c r="AX353" s="17" t="n"/>
      <c r="AY353" s="16" t="n"/>
      <c r="AZ353" s="20" t="inlineStr">
        <is>
          <t>IC Anionen</t>
        </is>
      </c>
      <c r="BA353" s="20" t="inlineStr">
        <is>
          <t>None</t>
        </is>
      </c>
      <c r="BB353" s="17" t="n"/>
      <c r="BC353" s="16" t="n"/>
      <c r="BD353" s="20" t="inlineStr">
        <is>
          <t>IC Kationen</t>
        </is>
      </c>
      <c r="BE353" s="20" t="inlineStr">
        <is>
          <t>None</t>
        </is>
      </c>
      <c r="BF353" s="17" t="n"/>
      <c r="BG353" s="16" t="n"/>
      <c r="BH353" s="20" t="inlineStr">
        <is>
          <t>IC Kationen</t>
        </is>
      </c>
      <c r="BI353" s="20" t="inlineStr">
        <is>
          <t>None</t>
        </is>
      </c>
      <c r="BJ353" s="17" t="n"/>
      <c r="BK353" s="16" t="n"/>
      <c r="BL353" s="20" t="inlineStr">
        <is>
          <t>IC Kationen</t>
        </is>
      </c>
      <c r="BM353" s="20" t="inlineStr">
        <is>
          <t>None</t>
        </is>
      </c>
      <c r="BN353" s="17" t="n"/>
      <c r="BO353" s="16" t="n"/>
      <c r="BP353" s="20" t="inlineStr">
        <is>
          <t>IC Kationen</t>
        </is>
      </c>
      <c r="BQ353" s="20" t="inlineStr">
        <is>
          <t>None</t>
        </is>
      </c>
      <c r="BR353" s="17" t="n"/>
      <c r="BS353" s="16" t="n"/>
      <c r="BT353" s="20" t="inlineStr">
        <is>
          <t>IC Kationen</t>
        </is>
      </c>
      <c r="BU353" s="20" t="inlineStr">
        <is>
          <t>None</t>
        </is>
      </c>
      <c r="BV353" s="17" t="n"/>
      <c r="BW353" s="16" t="n"/>
      <c r="BX353" s="20" t="n"/>
      <c r="BY353" s="20" t="inlineStr">
        <is>
          <t>None</t>
        </is>
      </c>
      <c r="BZ353" s="17" t="n"/>
      <c r="CA353" s="16" t="n"/>
      <c r="CB353" s="20" t="n"/>
      <c r="CC353" s="20" t="inlineStr">
        <is>
          <t>None</t>
        </is>
      </c>
      <c r="CD353" s="17" t="n"/>
      <c r="CE353" s="16" t="n"/>
      <c r="CF353" s="20" t="n"/>
      <c r="CG353" s="20" t="inlineStr">
        <is>
          <t>None</t>
        </is>
      </c>
      <c r="CH353" s="17" t="n"/>
      <c r="CI353" s="16" t="n"/>
      <c r="CJ353" s="20" t="n"/>
      <c r="CK353" s="20" t="inlineStr">
        <is>
          <t>None</t>
        </is>
      </c>
      <c r="CL353" s="17" t="n"/>
      <c r="CM353" s="16" t="n"/>
      <c r="CN353" s="20" t="inlineStr">
        <is>
          <t>SOP 45-34</t>
        </is>
      </c>
      <c r="CO353" s="20" t="inlineStr">
        <is>
          <t>None</t>
        </is>
      </c>
      <c r="CP353" s="17" t="n"/>
      <c r="CQ353" s="16" t="n"/>
      <c r="CR353" s="20" t="n"/>
      <c r="CS353" s="20" t="inlineStr">
        <is>
          <t>None</t>
        </is>
      </c>
      <c r="CT353" s="17" t="n"/>
      <c r="CU353" s="16" t="n"/>
      <c r="CV353" s="20" t="n"/>
      <c r="CW353" s="20" t="inlineStr">
        <is>
          <t>None</t>
        </is>
      </c>
      <c r="CX353" s="17" t="n"/>
      <c r="CY353" s="16" t="n"/>
      <c r="CZ353" s="20" t="inlineStr">
        <is>
          <t>WTW Multimeter 3430 with FDO 925</t>
        </is>
      </c>
      <c r="DA353" s="20" t="inlineStr">
        <is>
          <t>None</t>
        </is>
      </c>
      <c r="DB353" s="17" t="n"/>
      <c r="DC353" s="16" t="n"/>
      <c r="DD353" s="20" t="n"/>
      <c r="DE353" s="20" t="inlineStr">
        <is>
          <t>None</t>
        </is>
      </c>
      <c r="DF353" s="17" t="n"/>
      <c r="DG353" s="16" t="n"/>
      <c r="DH353" s="20" t="inlineStr">
        <is>
          <t>SOP 45-09</t>
        </is>
      </c>
      <c r="DI353" s="20" t="inlineStr">
        <is>
          <t>None</t>
        </is>
      </c>
      <c r="DJ353" s="17" t="n"/>
      <c r="DK353" s="16" t="n"/>
      <c r="DL353" s="20" t="inlineStr">
        <is>
          <t>SOP 45-09 (SOP muss noch angepasst werden für VSS)</t>
        </is>
      </c>
      <c r="DM353" s="20" t="inlineStr">
        <is>
          <t>None</t>
        </is>
      </c>
      <c r="DN353" s="17" t="n"/>
      <c r="DO353" s="16" t="n"/>
      <c r="DP353" s="20" t="inlineStr">
        <is>
          <t>IC Organic Acids</t>
        </is>
      </c>
      <c r="DQ353" s="20" t="inlineStr">
        <is>
          <t>None</t>
        </is>
      </c>
      <c r="DR353" s="17" t="n"/>
      <c r="DS353" s="16" t="n"/>
      <c r="DT353" s="20" t="inlineStr">
        <is>
          <t>IC Organic Acids</t>
        </is>
      </c>
      <c r="DU353" s="20" t="inlineStr">
        <is>
          <t>None</t>
        </is>
      </c>
      <c r="DV353" s="17" t="n"/>
      <c r="DW353" s="16" t="n"/>
      <c r="DX353" s="20" t="inlineStr">
        <is>
          <t>IC Organic Acids</t>
        </is>
      </c>
      <c r="DY353" s="20" t="inlineStr">
        <is>
          <t>None</t>
        </is>
      </c>
      <c r="DZ353" s="17" t="n"/>
      <c r="EA353" s="16" t="n"/>
      <c r="EB353" s="20" t="inlineStr">
        <is>
          <t>IC Organic Acids</t>
        </is>
      </c>
      <c r="EC353" s="20" t="inlineStr">
        <is>
          <t>None</t>
        </is>
      </c>
      <c r="ED353" s="17" t="n"/>
      <c r="EE353" s="16" t="n"/>
      <c r="EF353" s="20" t="inlineStr">
        <is>
          <t>IC Organic Acids</t>
        </is>
      </c>
      <c r="EG353" s="20" t="inlineStr">
        <is>
          <t>None</t>
        </is>
      </c>
      <c r="EH353" s="17" t="n"/>
      <c r="EI353" s="16" t="n"/>
      <c r="EJ353" s="20" t="inlineStr">
        <is>
          <t>IC Organic Acids</t>
        </is>
      </c>
      <c r="EK353" s="20" t="inlineStr">
        <is>
          <t>None</t>
        </is>
      </c>
      <c r="EL353" s="17" t="n"/>
      <c r="EM353" s="16" t="n"/>
      <c r="EN353" s="20" t="inlineStr">
        <is>
          <t>IC Organic Acids</t>
        </is>
      </c>
      <c r="EO353" s="20" t="inlineStr">
        <is>
          <t>None</t>
        </is>
      </c>
      <c r="EP353" s="17" t="n"/>
      <c r="EQ353" s="16" t="n"/>
      <c r="ER353" s="20" t="inlineStr">
        <is>
          <t>IC Organic Acids</t>
        </is>
      </c>
      <c r="ES353" s="20" t="inlineStr">
        <is>
          <t>None</t>
        </is>
      </c>
      <c r="ET353" s="17" t="n"/>
      <c r="EU353" s="16" t="n"/>
      <c r="EV353" s="20" t="inlineStr">
        <is>
          <t>LC-MS</t>
        </is>
      </c>
      <c r="EW353" s="20" t="inlineStr">
        <is>
          <t>None</t>
        </is>
      </c>
      <c r="EX353" s="17" t="n"/>
      <c r="EY353" s="21" t="n"/>
      <c r="EZ353">
        <f>CONCATENATE(A353,B353)</f>
        <v/>
      </c>
      <c r="FA353">
        <f>CONCATENATE(SamplesX!A353,SamplesX!B353)</f>
        <v/>
      </c>
      <c r="FC353">
        <f>MATCH(EZ353,FA1:FA1008,0)</f>
        <v/>
      </c>
    </row>
    <row r="354">
      <c r="A354" s="16" t="inlineStr">
        <is>
          <t>BP</t>
        </is>
      </c>
      <c r="B354" s="17" t="inlineStr">
        <is>
          <t>25346</t>
        </is>
      </c>
      <c r="C354" s="10">
        <f>IF(ISNUMBER(FC354),INDIRECT("SamplesX!C"&amp;FC354),IF(ISNUMBER(FD354),INDIRECT("SamplesY!C"&amp;FD354),""))</f>
        <v/>
      </c>
      <c r="D354" s="12">
        <f>IF(ISNUMBER(FC354),INDIRECT("SamplesX!D"&amp;FC354),IF(ISNUMBER(FD354),INDIRECT("SamplesY!D"&amp;FD354),""))</f>
        <v/>
      </c>
      <c r="E354" s="12">
        <f>IF(ISNUMBER(FC354),INDIRECT("SamplesX!E"&amp;FC354),IF(ISNUMBER(FD354),INDIRECT("SamplesY!E"&amp;FD354),""))</f>
        <v/>
      </c>
      <c r="F354" s="11">
        <f>IF(ISNUMBER(FC354),INDIRECT("SamplesX!F"&amp;FC354),IF(ISNUMBER(FD354),INDIRECT("SamplesY!F"&amp;FD354),""))</f>
        <v/>
      </c>
      <c r="G354" s="18">
        <f>IF(ISNUMBER(FC354),INDIRECT("SamplesX!G"&amp;FC354),IF(ISNUMBER(FD354),INDIRECT("SamplesY!G"&amp;FD354),""))</f>
        <v/>
      </c>
      <c r="H354" s="19">
        <f>IF(ISNUMBER(FC354),INDIRECT("SamplesX!H"&amp;FC354),IF(ISNUMBER(FD354),INDIRECT("SamplesY!H"&amp;FD354),""))</f>
        <v/>
      </c>
      <c r="I354" s="16" t="n"/>
      <c r="J354" s="16" t="n"/>
      <c r="K354" s="16" t="n"/>
      <c r="L354" s="20" t="n"/>
      <c r="M354" s="20" t="inlineStr">
        <is>
          <t>None</t>
        </is>
      </c>
      <c r="N354" s="17" t="n"/>
      <c r="O354" s="16" t="n"/>
      <c r="P354" s="20" t="inlineStr">
        <is>
          <t>Shimadzu TOC-L</t>
        </is>
      </c>
      <c r="Q354" s="20" t="inlineStr">
        <is>
          <t>None</t>
        </is>
      </c>
      <c r="R354" s="17" t="n"/>
      <c r="S354" s="16" t="n"/>
      <c r="T354" s="20" t="inlineStr">
        <is>
          <t>Shimadzu TOC-L</t>
        </is>
      </c>
      <c r="U354" s="20" t="inlineStr">
        <is>
          <t>None</t>
        </is>
      </c>
      <c r="V354" s="17" t="n"/>
      <c r="W354" s="16" t="n"/>
      <c r="X354" s="20" t="n"/>
      <c r="Y354" s="20" t="inlineStr">
        <is>
          <t>None</t>
        </is>
      </c>
      <c r="Z354" s="17" t="n"/>
      <c r="AA354" s="16" t="n"/>
      <c r="AB354" s="20" t="n"/>
      <c r="AC354" s="20" t="inlineStr">
        <is>
          <t>None</t>
        </is>
      </c>
      <c r="AD354" s="17" t="n"/>
      <c r="AE354" s="16" t="n"/>
      <c r="AF354" s="20" t="inlineStr">
        <is>
          <t>IC Anionen</t>
        </is>
      </c>
      <c r="AG354" s="20" t="inlineStr">
        <is>
          <t>None</t>
        </is>
      </c>
      <c r="AH354" s="17" t="n"/>
      <c r="AI354" s="16" t="n"/>
      <c r="AJ354" s="20" t="n"/>
      <c r="AK354" s="20" t="inlineStr">
        <is>
          <t>None</t>
        </is>
      </c>
      <c r="AL354" s="17" t="n"/>
      <c r="AM354" s="16" t="n"/>
      <c r="AN354" s="20" t="inlineStr">
        <is>
          <t>IC Anionen</t>
        </is>
      </c>
      <c r="AO354" s="20" t="inlineStr">
        <is>
          <t>None</t>
        </is>
      </c>
      <c r="AP354" s="17" t="n"/>
      <c r="AQ354" s="16" t="n"/>
      <c r="AR354" s="20" t="n"/>
      <c r="AS354" s="20" t="inlineStr">
        <is>
          <t>None</t>
        </is>
      </c>
      <c r="AT354" s="17" t="n"/>
      <c r="AU354" s="16" t="n"/>
      <c r="AV354" s="20" t="n"/>
      <c r="AW354" s="20" t="inlineStr">
        <is>
          <t>None</t>
        </is>
      </c>
      <c r="AX354" s="17" t="n"/>
      <c r="AY354" s="16" t="n"/>
      <c r="AZ354" s="20" t="inlineStr">
        <is>
          <t>IC Anionen</t>
        </is>
      </c>
      <c r="BA354" s="20" t="inlineStr">
        <is>
          <t>None</t>
        </is>
      </c>
      <c r="BB354" s="17" t="n"/>
      <c r="BC354" s="16" t="n"/>
      <c r="BD354" s="20" t="inlineStr">
        <is>
          <t>IC Kationen</t>
        </is>
      </c>
      <c r="BE354" s="20" t="inlineStr">
        <is>
          <t>None</t>
        </is>
      </c>
      <c r="BF354" s="17" t="n"/>
      <c r="BG354" s="16" t="n"/>
      <c r="BH354" s="20" t="inlineStr">
        <is>
          <t>IC Kationen</t>
        </is>
      </c>
      <c r="BI354" s="20" t="inlineStr">
        <is>
          <t>None</t>
        </is>
      </c>
      <c r="BJ354" s="17" t="n"/>
      <c r="BK354" s="16" t="n"/>
      <c r="BL354" s="20" t="inlineStr">
        <is>
          <t>IC Kationen</t>
        </is>
      </c>
      <c r="BM354" s="20" t="inlineStr">
        <is>
          <t>None</t>
        </is>
      </c>
      <c r="BN354" s="17" t="n"/>
      <c r="BO354" s="16" t="n"/>
      <c r="BP354" s="20" t="inlineStr">
        <is>
          <t>IC Kationen</t>
        </is>
      </c>
      <c r="BQ354" s="20" t="inlineStr">
        <is>
          <t>None</t>
        </is>
      </c>
      <c r="BR354" s="17" t="n"/>
      <c r="BS354" s="16" t="n"/>
      <c r="BT354" s="20" t="inlineStr">
        <is>
          <t>IC Kationen</t>
        </is>
      </c>
      <c r="BU354" s="20" t="inlineStr">
        <is>
          <t>None</t>
        </is>
      </c>
      <c r="BV354" s="17" t="n"/>
      <c r="BW354" s="16" t="n"/>
      <c r="BX354" s="20" t="n"/>
      <c r="BY354" s="20" t="inlineStr">
        <is>
          <t>None</t>
        </is>
      </c>
      <c r="BZ354" s="17" t="n"/>
      <c r="CA354" s="16" t="n"/>
      <c r="CB354" s="20" t="n"/>
      <c r="CC354" s="20" t="inlineStr">
        <is>
          <t>None</t>
        </is>
      </c>
      <c r="CD354" s="17" t="n"/>
      <c r="CE354" s="16" t="n"/>
      <c r="CF354" s="20" t="n"/>
      <c r="CG354" s="20" t="inlineStr">
        <is>
          <t>None</t>
        </is>
      </c>
      <c r="CH354" s="17" t="n"/>
      <c r="CI354" s="16" t="n"/>
      <c r="CJ354" s="20" t="n"/>
      <c r="CK354" s="20" t="inlineStr">
        <is>
          <t>None</t>
        </is>
      </c>
      <c r="CL354" s="17" t="n"/>
      <c r="CM354" s="16" t="n"/>
      <c r="CN354" s="20" t="inlineStr">
        <is>
          <t>SOP 45-34</t>
        </is>
      </c>
      <c r="CO354" s="20" t="inlineStr">
        <is>
          <t>None</t>
        </is>
      </c>
      <c r="CP354" s="17" t="n"/>
      <c r="CQ354" s="16" t="n"/>
      <c r="CR354" s="20" t="n"/>
      <c r="CS354" s="20" t="inlineStr">
        <is>
          <t>None</t>
        </is>
      </c>
      <c r="CT354" s="17" t="n"/>
      <c r="CU354" s="16" t="n"/>
      <c r="CV354" s="20" t="n"/>
      <c r="CW354" s="20" t="inlineStr">
        <is>
          <t>None</t>
        </is>
      </c>
      <c r="CX354" s="17" t="n"/>
      <c r="CY354" s="16" t="n"/>
      <c r="CZ354" s="20" t="inlineStr">
        <is>
          <t>WTW Multimeter 3430 with FDO 925</t>
        </is>
      </c>
      <c r="DA354" s="20" t="inlineStr">
        <is>
          <t>None</t>
        </is>
      </c>
      <c r="DB354" s="17" t="n"/>
      <c r="DC354" s="16" t="n"/>
      <c r="DD354" s="20" t="n"/>
      <c r="DE354" s="20" t="inlineStr">
        <is>
          <t>None</t>
        </is>
      </c>
      <c r="DF354" s="17" t="n"/>
      <c r="DG354" s="16" t="n"/>
      <c r="DH354" s="20" t="inlineStr">
        <is>
          <t>SOP 45-09</t>
        </is>
      </c>
      <c r="DI354" s="20" t="inlineStr">
        <is>
          <t>None</t>
        </is>
      </c>
      <c r="DJ354" s="17" t="n"/>
      <c r="DK354" s="16" t="n"/>
      <c r="DL354" s="20" t="inlineStr">
        <is>
          <t>SOP 45-09 (SOP muss noch angepasst werden für VSS)</t>
        </is>
      </c>
      <c r="DM354" s="20" t="inlineStr">
        <is>
          <t>None</t>
        </is>
      </c>
      <c r="DN354" s="17" t="n"/>
      <c r="DO354" s="16" t="n"/>
      <c r="DP354" s="20" t="inlineStr">
        <is>
          <t>IC Organic Acids</t>
        </is>
      </c>
      <c r="DQ354" s="20" t="inlineStr">
        <is>
          <t>None</t>
        </is>
      </c>
      <c r="DR354" s="17" t="n"/>
      <c r="DS354" s="16" t="n"/>
      <c r="DT354" s="20" t="inlineStr">
        <is>
          <t>IC Organic Acids</t>
        </is>
      </c>
      <c r="DU354" s="20" t="inlineStr">
        <is>
          <t>None</t>
        </is>
      </c>
      <c r="DV354" s="17" t="n"/>
      <c r="DW354" s="16" t="n"/>
      <c r="DX354" s="20" t="inlineStr">
        <is>
          <t>IC Organic Acids</t>
        </is>
      </c>
      <c r="DY354" s="20" t="inlineStr">
        <is>
          <t>None</t>
        </is>
      </c>
      <c r="DZ354" s="17" t="n"/>
      <c r="EA354" s="16" t="n"/>
      <c r="EB354" s="20" t="inlineStr">
        <is>
          <t>IC Organic Acids</t>
        </is>
      </c>
      <c r="EC354" s="20" t="inlineStr">
        <is>
          <t>None</t>
        </is>
      </c>
      <c r="ED354" s="17" t="n"/>
      <c r="EE354" s="16" t="n"/>
      <c r="EF354" s="20" t="inlineStr">
        <is>
          <t>IC Organic Acids</t>
        </is>
      </c>
      <c r="EG354" s="20" t="inlineStr">
        <is>
          <t>None</t>
        </is>
      </c>
      <c r="EH354" s="17" t="n"/>
      <c r="EI354" s="16" t="n"/>
      <c r="EJ354" s="20" t="inlineStr">
        <is>
          <t>IC Organic Acids</t>
        </is>
      </c>
      <c r="EK354" s="20" t="inlineStr">
        <is>
          <t>None</t>
        </is>
      </c>
      <c r="EL354" s="17" t="n"/>
      <c r="EM354" s="16" t="n"/>
      <c r="EN354" s="20" t="inlineStr">
        <is>
          <t>IC Organic Acids</t>
        </is>
      </c>
      <c r="EO354" s="20" t="inlineStr">
        <is>
          <t>None</t>
        </is>
      </c>
      <c r="EP354" s="17" t="n"/>
      <c r="EQ354" s="16" t="n"/>
      <c r="ER354" s="20" t="inlineStr">
        <is>
          <t>IC Organic Acids</t>
        </is>
      </c>
      <c r="ES354" s="20" t="inlineStr">
        <is>
          <t>None</t>
        </is>
      </c>
      <c r="ET354" s="17" t="n"/>
      <c r="EU354" s="16" t="n"/>
      <c r="EV354" s="20" t="inlineStr">
        <is>
          <t>LC-MS</t>
        </is>
      </c>
      <c r="EW354" s="20" t="inlineStr">
        <is>
          <t>None</t>
        </is>
      </c>
      <c r="EX354" s="17" t="n"/>
      <c r="EY354" s="21" t="n"/>
      <c r="EZ354">
        <f>CONCATENATE(A354,B354)</f>
        <v/>
      </c>
      <c r="FA354">
        <f>CONCATENATE(SamplesX!A354,SamplesX!B354)</f>
        <v/>
      </c>
      <c r="FC354">
        <f>MATCH(EZ354,FA1:FA1008,0)</f>
        <v/>
      </c>
    </row>
    <row r="355">
      <c r="A355" s="16" t="inlineStr">
        <is>
          <t>BP</t>
        </is>
      </c>
      <c r="B355" s="17" t="inlineStr">
        <is>
          <t>25347</t>
        </is>
      </c>
      <c r="C355" s="10">
        <f>IF(ISNUMBER(FC355),INDIRECT("SamplesX!C"&amp;FC355),IF(ISNUMBER(FD355),INDIRECT("SamplesY!C"&amp;FD355),""))</f>
        <v/>
      </c>
      <c r="D355" s="12">
        <f>IF(ISNUMBER(FC355),INDIRECT("SamplesX!D"&amp;FC355),IF(ISNUMBER(FD355),INDIRECT("SamplesY!D"&amp;FD355),""))</f>
        <v/>
      </c>
      <c r="E355" s="12">
        <f>IF(ISNUMBER(FC355),INDIRECT("SamplesX!E"&amp;FC355),IF(ISNUMBER(FD355),INDIRECT("SamplesY!E"&amp;FD355),""))</f>
        <v/>
      </c>
      <c r="F355" s="11">
        <f>IF(ISNUMBER(FC355),INDIRECT("SamplesX!F"&amp;FC355),IF(ISNUMBER(FD355),INDIRECT("SamplesY!F"&amp;FD355),""))</f>
        <v/>
      </c>
      <c r="G355" s="18">
        <f>IF(ISNUMBER(FC355),INDIRECT("SamplesX!G"&amp;FC355),IF(ISNUMBER(FD355),INDIRECT("SamplesY!G"&amp;FD355),""))</f>
        <v/>
      </c>
      <c r="H355" s="19">
        <f>IF(ISNUMBER(FC355),INDIRECT("SamplesX!H"&amp;FC355),IF(ISNUMBER(FD355),INDIRECT("SamplesY!H"&amp;FD355),""))</f>
        <v/>
      </c>
      <c r="I355" s="16" t="n"/>
      <c r="J355" s="16" t="n"/>
      <c r="K355" s="16" t="n"/>
      <c r="L355" s="20" t="n"/>
      <c r="M355" s="20" t="inlineStr">
        <is>
          <t>None</t>
        </is>
      </c>
      <c r="N355" s="17" t="n"/>
      <c r="O355" s="16" t="n"/>
      <c r="P355" s="20" t="inlineStr">
        <is>
          <t>Shimadzu TOC-L</t>
        </is>
      </c>
      <c r="Q355" s="20" t="inlineStr">
        <is>
          <t>None</t>
        </is>
      </c>
      <c r="R355" s="17" t="n"/>
      <c r="S355" s="16" t="n"/>
      <c r="T355" s="20" t="inlineStr">
        <is>
          <t>Shimadzu TOC-L</t>
        </is>
      </c>
      <c r="U355" s="20" t="inlineStr">
        <is>
          <t>None</t>
        </is>
      </c>
      <c r="V355" s="17" t="n"/>
      <c r="W355" s="16" t="n"/>
      <c r="X355" s="20" t="n"/>
      <c r="Y355" s="20" t="inlineStr">
        <is>
          <t>None</t>
        </is>
      </c>
      <c r="Z355" s="17" t="n"/>
      <c r="AA355" s="16" t="n"/>
      <c r="AB355" s="20" t="n"/>
      <c r="AC355" s="20" t="inlineStr">
        <is>
          <t>None</t>
        </is>
      </c>
      <c r="AD355" s="17" t="n"/>
      <c r="AE355" s="16" t="n"/>
      <c r="AF355" s="20" t="inlineStr">
        <is>
          <t>IC Anionen</t>
        </is>
      </c>
      <c r="AG355" s="20" t="inlineStr">
        <is>
          <t>None</t>
        </is>
      </c>
      <c r="AH355" s="17" t="n"/>
      <c r="AI355" s="16" t="n"/>
      <c r="AJ355" s="20" t="n"/>
      <c r="AK355" s="20" t="inlineStr">
        <is>
          <t>None</t>
        </is>
      </c>
      <c r="AL355" s="17" t="n"/>
      <c r="AM355" s="16" t="n"/>
      <c r="AN355" s="20" t="inlineStr">
        <is>
          <t>IC Anionen</t>
        </is>
      </c>
      <c r="AO355" s="20" t="inlineStr">
        <is>
          <t>None</t>
        </is>
      </c>
      <c r="AP355" s="17" t="n"/>
      <c r="AQ355" s="16" t="n"/>
      <c r="AR355" s="20" t="n"/>
      <c r="AS355" s="20" t="inlineStr">
        <is>
          <t>None</t>
        </is>
      </c>
      <c r="AT355" s="17" t="n"/>
      <c r="AU355" s="16" t="n"/>
      <c r="AV355" s="20" t="n"/>
      <c r="AW355" s="20" t="inlineStr">
        <is>
          <t>None</t>
        </is>
      </c>
      <c r="AX355" s="17" t="n"/>
      <c r="AY355" s="16" t="n"/>
      <c r="AZ355" s="20" t="inlineStr">
        <is>
          <t>IC Anionen</t>
        </is>
      </c>
      <c r="BA355" s="20" t="inlineStr">
        <is>
          <t>None</t>
        </is>
      </c>
      <c r="BB355" s="17" t="n"/>
      <c r="BC355" s="16" t="n"/>
      <c r="BD355" s="20" t="inlineStr">
        <is>
          <t>IC Kationen</t>
        </is>
      </c>
      <c r="BE355" s="20" t="inlineStr">
        <is>
          <t>None</t>
        </is>
      </c>
      <c r="BF355" s="17" t="n"/>
      <c r="BG355" s="16" t="n"/>
      <c r="BH355" s="20" t="inlineStr">
        <is>
          <t>IC Kationen</t>
        </is>
      </c>
      <c r="BI355" s="20" t="inlineStr">
        <is>
          <t>None</t>
        </is>
      </c>
      <c r="BJ355" s="17" t="n"/>
      <c r="BK355" s="16" t="n"/>
      <c r="BL355" s="20" t="inlineStr">
        <is>
          <t>IC Kationen</t>
        </is>
      </c>
      <c r="BM355" s="20" t="inlineStr">
        <is>
          <t>None</t>
        </is>
      </c>
      <c r="BN355" s="17" t="n"/>
      <c r="BO355" s="16" t="n"/>
      <c r="BP355" s="20" t="inlineStr">
        <is>
          <t>IC Kationen</t>
        </is>
      </c>
      <c r="BQ355" s="20" t="inlineStr">
        <is>
          <t>None</t>
        </is>
      </c>
      <c r="BR355" s="17" t="n"/>
      <c r="BS355" s="16" t="n"/>
      <c r="BT355" s="20" t="inlineStr">
        <is>
          <t>IC Kationen</t>
        </is>
      </c>
      <c r="BU355" s="20" t="inlineStr">
        <is>
          <t>None</t>
        </is>
      </c>
      <c r="BV355" s="17" t="n"/>
      <c r="BW355" s="16" t="n"/>
      <c r="BX355" s="20" t="n"/>
      <c r="BY355" s="20" t="inlineStr">
        <is>
          <t>None</t>
        </is>
      </c>
      <c r="BZ355" s="17" t="n"/>
      <c r="CA355" s="16" t="n"/>
      <c r="CB355" s="20" t="n"/>
      <c r="CC355" s="20" t="inlineStr">
        <is>
          <t>None</t>
        </is>
      </c>
      <c r="CD355" s="17" t="n"/>
      <c r="CE355" s="16" t="n"/>
      <c r="CF355" s="20" t="n"/>
      <c r="CG355" s="20" t="inlineStr">
        <is>
          <t>None</t>
        </is>
      </c>
      <c r="CH355" s="17" t="n"/>
      <c r="CI355" s="16" t="n"/>
      <c r="CJ355" s="20" t="n"/>
      <c r="CK355" s="20" t="inlineStr">
        <is>
          <t>None</t>
        </is>
      </c>
      <c r="CL355" s="17" t="n"/>
      <c r="CM355" s="16" t="n"/>
      <c r="CN355" s="20" t="inlineStr">
        <is>
          <t>SOP 45-34</t>
        </is>
      </c>
      <c r="CO355" s="20" t="inlineStr">
        <is>
          <t>None</t>
        </is>
      </c>
      <c r="CP355" s="17" t="n"/>
      <c r="CQ355" s="16" t="n"/>
      <c r="CR355" s="20" t="n"/>
      <c r="CS355" s="20" t="inlineStr">
        <is>
          <t>None</t>
        </is>
      </c>
      <c r="CT355" s="17" t="n"/>
      <c r="CU355" s="16" t="n"/>
      <c r="CV355" s="20" t="n"/>
      <c r="CW355" s="20" t="inlineStr">
        <is>
          <t>None</t>
        </is>
      </c>
      <c r="CX355" s="17" t="n"/>
      <c r="CY355" s="16" t="n"/>
      <c r="CZ355" s="20" t="inlineStr">
        <is>
          <t>WTW Multimeter 3430 with FDO 925</t>
        </is>
      </c>
      <c r="DA355" s="20" t="inlineStr">
        <is>
          <t>None</t>
        </is>
      </c>
      <c r="DB355" s="17" t="n"/>
      <c r="DC355" s="16" t="n"/>
      <c r="DD355" s="20" t="n"/>
      <c r="DE355" s="20" t="inlineStr">
        <is>
          <t>None</t>
        </is>
      </c>
      <c r="DF355" s="17" t="n"/>
      <c r="DG355" s="16" t="n"/>
      <c r="DH355" s="20" t="inlineStr">
        <is>
          <t>SOP 45-09</t>
        </is>
      </c>
      <c r="DI355" s="20" t="inlineStr">
        <is>
          <t>None</t>
        </is>
      </c>
      <c r="DJ355" s="17" t="n"/>
      <c r="DK355" s="16" t="n"/>
      <c r="DL355" s="20" t="inlineStr">
        <is>
          <t>SOP 45-09 (SOP muss noch angepasst werden für VSS)</t>
        </is>
      </c>
      <c r="DM355" s="20" t="inlineStr">
        <is>
          <t>None</t>
        </is>
      </c>
      <c r="DN355" s="17" t="n"/>
      <c r="DO355" s="16" t="n"/>
      <c r="DP355" s="20" t="inlineStr">
        <is>
          <t>IC Organic Acids</t>
        </is>
      </c>
      <c r="DQ355" s="20" t="inlineStr">
        <is>
          <t>None</t>
        </is>
      </c>
      <c r="DR355" s="17" t="n"/>
      <c r="DS355" s="16" t="n"/>
      <c r="DT355" s="20" t="inlineStr">
        <is>
          <t>IC Organic Acids</t>
        </is>
      </c>
      <c r="DU355" s="20" t="inlineStr">
        <is>
          <t>None</t>
        </is>
      </c>
      <c r="DV355" s="17" t="n"/>
      <c r="DW355" s="16" t="n"/>
      <c r="DX355" s="20" t="inlineStr">
        <is>
          <t>IC Organic Acids</t>
        </is>
      </c>
      <c r="DY355" s="20" t="inlineStr">
        <is>
          <t>None</t>
        </is>
      </c>
      <c r="DZ355" s="17" t="n"/>
      <c r="EA355" s="16" t="n"/>
      <c r="EB355" s="20" t="inlineStr">
        <is>
          <t>IC Organic Acids</t>
        </is>
      </c>
      <c r="EC355" s="20" t="inlineStr">
        <is>
          <t>None</t>
        </is>
      </c>
      <c r="ED355" s="17" t="n"/>
      <c r="EE355" s="16" t="n"/>
      <c r="EF355" s="20" t="inlineStr">
        <is>
          <t>IC Organic Acids</t>
        </is>
      </c>
      <c r="EG355" s="20" t="inlineStr">
        <is>
          <t>None</t>
        </is>
      </c>
      <c r="EH355" s="17" t="n"/>
      <c r="EI355" s="16" t="n"/>
      <c r="EJ355" s="20" t="inlineStr">
        <is>
          <t>IC Organic Acids</t>
        </is>
      </c>
      <c r="EK355" s="20" t="inlineStr">
        <is>
          <t>None</t>
        </is>
      </c>
      <c r="EL355" s="17" t="n"/>
      <c r="EM355" s="16" t="n"/>
      <c r="EN355" s="20" t="inlineStr">
        <is>
          <t>IC Organic Acids</t>
        </is>
      </c>
      <c r="EO355" s="20" t="inlineStr">
        <is>
          <t>None</t>
        </is>
      </c>
      <c r="EP355" s="17" t="n"/>
      <c r="EQ355" s="16" t="n"/>
      <c r="ER355" s="20" t="inlineStr">
        <is>
          <t>IC Organic Acids</t>
        </is>
      </c>
      <c r="ES355" s="20" t="inlineStr">
        <is>
          <t>None</t>
        </is>
      </c>
      <c r="ET355" s="17" t="n"/>
      <c r="EU355" s="16" t="n"/>
      <c r="EV355" s="20" t="inlineStr">
        <is>
          <t>LC-MS</t>
        </is>
      </c>
      <c r="EW355" s="20" t="inlineStr">
        <is>
          <t>None</t>
        </is>
      </c>
      <c r="EX355" s="17" t="n"/>
      <c r="EY355" s="21" t="n"/>
      <c r="EZ355">
        <f>CONCATENATE(A355,B355)</f>
        <v/>
      </c>
      <c r="FA355">
        <f>CONCATENATE(SamplesX!A355,SamplesX!B355)</f>
        <v/>
      </c>
      <c r="FC355">
        <f>MATCH(EZ355,FA1:FA1008,0)</f>
        <v/>
      </c>
    </row>
    <row r="356">
      <c r="A356" s="16" t="inlineStr">
        <is>
          <t>BP</t>
        </is>
      </c>
      <c r="B356" s="17" t="inlineStr">
        <is>
          <t>25348</t>
        </is>
      </c>
      <c r="C356" s="10">
        <f>IF(ISNUMBER(FC356),INDIRECT("SamplesX!C"&amp;FC356),IF(ISNUMBER(FD356),INDIRECT("SamplesY!C"&amp;FD356),""))</f>
        <v/>
      </c>
      <c r="D356" s="12">
        <f>IF(ISNUMBER(FC356),INDIRECT("SamplesX!D"&amp;FC356),IF(ISNUMBER(FD356),INDIRECT("SamplesY!D"&amp;FD356),""))</f>
        <v/>
      </c>
      <c r="E356" s="12">
        <f>IF(ISNUMBER(FC356),INDIRECT("SamplesX!E"&amp;FC356),IF(ISNUMBER(FD356),INDIRECT("SamplesY!E"&amp;FD356),""))</f>
        <v/>
      </c>
      <c r="F356" s="11">
        <f>IF(ISNUMBER(FC356),INDIRECT("SamplesX!F"&amp;FC356),IF(ISNUMBER(FD356),INDIRECT("SamplesY!F"&amp;FD356),""))</f>
        <v/>
      </c>
      <c r="G356" s="18">
        <f>IF(ISNUMBER(FC356),INDIRECT("SamplesX!G"&amp;FC356),IF(ISNUMBER(FD356),INDIRECT("SamplesY!G"&amp;FD356),""))</f>
        <v/>
      </c>
      <c r="H356" s="19">
        <f>IF(ISNUMBER(FC356),INDIRECT("SamplesX!H"&amp;FC356),IF(ISNUMBER(FD356),INDIRECT("SamplesY!H"&amp;FD356),""))</f>
        <v/>
      </c>
      <c r="I356" s="16" t="n"/>
      <c r="J356" s="16" t="n"/>
      <c r="K356" s="16" t="n"/>
      <c r="L356" s="20" t="n"/>
      <c r="M356" s="20" t="inlineStr">
        <is>
          <t>None</t>
        </is>
      </c>
      <c r="N356" s="17" t="n"/>
      <c r="O356" s="16" t="n"/>
      <c r="P356" s="20" t="inlineStr">
        <is>
          <t>Shimadzu TOC-L</t>
        </is>
      </c>
      <c r="Q356" s="20" t="inlineStr">
        <is>
          <t>None</t>
        </is>
      </c>
      <c r="R356" s="17" t="n"/>
      <c r="S356" s="16" t="n"/>
      <c r="T356" s="20" t="inlineStr">
        <is>
          <t>Shimadzu TOC-L</t>
        </is>
      </c>
      <c r="U356" s="20" t="inlineStr">
        <is>
          <t>None</t>
        </is>
      </c>
      <c r="V356" s="17" t="n"/>
      <c r="W356" s="16" t="n"/>
      <c r="X356" s="20" t="n"/>
      <c r="Y356" s="20" t="inlineStr">
        <is>
          <t>None</t>
        </is>
      </c>
      <c r="Z356" s="17" t="n"/>
      <c r="AA356" s="16" t="n"/>
      <c r="AB356" s="20" t="n"/>
      <c r="AC356" s="20" t="inlineStr">
        <is>
          <t>None</t>
        </is>
      </c>
      <c r="AD356" s="17" t="n"/>
      <c r="AE356" s="16" t="n"/>
      <c r="AF356" s="20" t="inlineStr">
        <is>
          <t>IC Anionen</t>
        </is>
      </c>
      <c r="AG356" s="20" t="inlineStr">
        <is>
          <t>None</t>
        </is>
      </c>
      <c r="AH356" s="17" t="n"/>
      <c r="AI356" s="16" t="n"/>
      <c r="AJ356" s="20" t="n"/>
      <c r="AK356" s="20" t="inlineStr">
        <is>
          <t>None</t>
        </is>
      </c>
      <c r="AL356" s="17" t="n"/>
      <c r="AM356" s="16" t="n"/>
      <c r="AN356" s="20" t="inlineStr">
        <is>
          <t>IC Anionen</t>
        </is>
      </c>
      <c r="AO356" s="20" t="inlineStr">
        <is>
          <t>None</t>
        </is>
      </c>
      <c r="AP356" s="17" t="n"/>
      <c r="AQ356" s="16" t="n"/>
      <c r="AR356" s="20" t="n"/>
      <c r="AS356" s="20" t="inlineStr">
        <is>
          <t>None</t>
        </is>
      </c>
      <c r="AT356" s="17" t="n"/>
      <c r="AU356" s="16" t="n"/>
      <c r="AV356" s="20" t="n"/>
      <c r="AW356" s="20" t="inlineStr">
        <is>
          <t>None</t>
        </is>
      </c>
      <c r="AX356" s="17" t="n"/>
      <c r="AY356" s="16" t="n"/>
      <c r="AZ356" s="20" t="inlineStr">
        <is>
          <t>IC Anionen</t>
        </is>
      </c>
      <c r="BA356" s="20" t="inlineStr">
        <is>
          <t>None</t>
        </is>
      </c>
      <c r="BB356" s="17" t="n"/>
      <c r="BC356" s="16" t="n"/>
      <c r="BD356" s="20" t="inlineStr">
        <is>
          <t>IC Kationen</t>
        </is>
      </c>
      <c r="BE356" s="20" t="inlineStr">
        <is>
          <t>None</t>
        </is>
      </c>
      <c r="BF356" s="17" t="n"/>
      <c r="BG356" s="16" t="n"/>
      <c r="BH356" s="20" t="inlineStr">
        <is>
          <t>IC Kationen</t>
        </is>
      </c>
      <c r="BI356" s="20" t="inlineStr">
        <is>
          <t>None</t>
        </is>
      </c>
      <c r="BJ356" s="17" t="n"/>
      <c r="BK356" s="16" t="n"/>
      <c r="BL356" s="20" t="inlineStr">
        <is>
          <t>IC Kationen</t>
        </is>
      </c>
      <c r="BM356" s="20" t="inlineStr">
        <is>
          <t>None</t>
        </is>
      </c>
      <c r="BN356" s="17" t="n"/>
      <c r="BO356" s="16" t="n"/>
      <c r="BP356" s="20" t="inlineStr">
        <is>
          <t>IC Kationen</t>
        </is>
      </c>
      <c r="BQ356" s="20" t="inlineStr">
        <is>
          <t>None</t>
        </is>
      </c>
      <c r="BR356" s="17" t="n"/>
      <c r="BS356" s="16" t="n"/>
      <c r="BT356" s="20" t="inlineStr">
        <is>
          <t>IC Kationen</t>
        </is>
      </c>
      <c r="BU356" s="20" t="inlineStr">
        <is>
          <t>None</t>
        </is>
      </c>
      <c r="BV356" s="17" t="n"/>
      <c r="BW356" s="16" t="n"/>
      <c r="BX356" s="20" t="n"/>
      <c r="BY356" s="20" t="inlineStr">
        <is>
          <t>None</t>
        </is>
      </c>
      <c r="BZ356" s="17" t="n"/>
      <c r="CA356" s="16" t="n"/>
      <c r="CB356" s="20" t="n"/>
      <c r="CC356" s="20" t="inlineStr">
        <is>
          <t>None</t>
        </is>
      </c>
      <c r="CD356" s="17" t="n"/>
      <c r="CE356" s="16" t="n"/>
      <c r="CF356" s="20" t="n"/>
      <c r="CG356" s="20" t="inlineStr">
        <is>
          <t>None</t>
        </is>
      </c>
      <c r="CH356" s="17" t="n"/>
      <c r="CI356" s="16" t="n"/>
      <c r="CJ356" s="20" t="n"/>
      <c r="CK356" s="20" t="inlineStr">
        <is>
          <t>None</t>
        </is>
      </c>
      <c r="CL356" s="17" t="n"/>
      <c r="CM356" s="16" t="n"/>
      <c r="CN356" s="20" t="inlineStr">
        <is>
          <t>SOP 45-34</t>
        </is>
      </c>
      <c r="CO356" s="20" t="inlineStr">
        <is>
          <t>None</t>
        </is>
      </c>
      <c r="CP356" s="17" t="n"/>
      <c r="CQ356" s="16" t="n"/>
      <c r="CR356" s="20" t="n"/>
      <c r="CS356" s="20" t="inlineStr">
        <is>
          <t>None</t>
        </is>
      </c>
      <c r="CT356" s="17" t="n"/>
      <c r="CU356" s="16" t="n"/>
      <c r="CV356" s="20" t="n"/>
      <c r="CW356" s="20" t="inlineStr">
        <is>
          <t>None</t>
        </is>
      </c>
      <c r="CX356" s="17" t="n"/>
      <c r="CY356" s="16" t="n"/>
      <c r="CZ356" s="20" t="inlineStr">
        <is>
          <t>WTW Multimeter 3430 with FDO 925</t>
        </is>
      </c>
      <c r="DA356" s="20" t="inlineStr">
        <is>
          <t>None</t>
        </is>
      </c>
      <c r="DB356" s="17" t="n"/>
      <c r="DC356" s="16" t="n"/>
      <c r="DD356" s="20" t="n"/>
      <c r="DE356" s="20" t="inlineStr">
        <is>
          <t>None</t>
        </is>
      </c>
      <c r="DF356" s="17" t="n"/>
      <c r="DG356" s="16" t="n"/>
      <c r="DH356" s="20" t="inlineStr">
        <is>
          <t>SOP 45-09</t>
        </is>
      </c>
      <c r="DI356" s="20" t="inlineStr">
        <is>
          <t>None</t>
        </is>
      </c>
      <c r="DJ356" s="17" t="n"/>
      <c r="DK356" s="16" t="n"/>
      <c r="DL356" s="20" t="inlineStr">
        <is>
          <t>SOP 45-09 (SOP muss noch angepasst werden für VSS)</t>
        </is>
      </c>
      <c r="DM356" s="20" t="inlineStr">
        <is>
          <t>None</t>
        </is>
      </c>
      <c r="DN356" s="17" t="n"/>
      <c r="DO356" s="16" t="n"/>
      <c r="DP356" s="20" t="inlineStr">
        <is>
          <t>IC Organic Acids</t>
        </is>
      </c>
      <c r="DQ356" s="20" t="inlineStr">
        <is>
          <t>None</t>
        </is>
      </c>
      <c r="DR356" s="17" t="n"/>
      <c r="DS356" s="16" t="n"/>
      <c r="DT356" s="20" t="inlineStr">
        <is>
          <t>IC Organic Acids</t>
        </is>
      </c>
      <c r="DU356" s="20" t="inlineStr">
        <is>
          <t>None</t>
        </is>
      </c>
      <c r="DV356" s="17" t="n"/>
      <c r="DW356" s="16" t="n"/>
      <c r="DX356" s="20" t="inlineStr">
        <is>
          <t>IC Organic Acids</t>
        </is>
      </c>
      <c r="DY356" s="20" t="inlineStr">
        <is>
          <t>None</t>
        </is>
      </c>
      <c r="DZ356" s="17" t="n"/>
      <c r="EA356" s="16" t="n"/>
      <c r="EB356" s="20" t="inlineStr">
        <is>
          <t>IC Organic Acids</t>
        </is>
      </c>
      <c r="EC356" s="20" t="inlineStr">
        <is>
          <t>None</t>
        </is>
      </c>
      <c r="ED356" s="17" t="n"/>
      <c r="EE356" s="16" t="n"/>
      <c r="EF356" s="20" t="inlineStr">
        <is>
          <t>IC Organic Acids</t>
        </is>
      </c>
      <c r="EG356" s="20" t="inlineStr">
        <is>
          <t>None</t>
        </is>
      </c>
      <c r="EH356" s="17" t="n"/>
      <c r="EI356" s="16" t="n"/>
      <c r="EJ356" s="20" t="inlineStr">
        <is>
          <t>IC Organic Acids</t>
        </is>
      </c>
      <c r="EK356" s="20" t="inlineStr">
        <is>
          <t>None</t>
        </is>
      </c>
      <c r="EL356" s="17" t="n"/>
      <c r="EM356" s="16" t="n"/>
      <c r="EN356" s="20" t="inlineStr">
        <is>
          <t>IC Organic Acids</t>
        </is>
      </c>
      <c r="EO356" s="20" t="inlineStr">
        <is>
          <t>None</t>
        </is>
      </c>
      <c r="EP356" s="17" t="n"/>
      <c r="EQ356" s="16" t="n"/>
      <c r="ER356" s="20" t="inlineStr">
        <is>
          <t>IC Organic Acids</t>
        </is>
      </c>
      <c r="ES356" s="20" t="inlineStr">
        <is>
          <t>None</t>
        </is>
      </c>
      <c r="ET356" s="17" t="n"/>
      <c r="EU356" s="16" t="n"/>
      <c r="EV356" s="20" t="inlineStr">
        <is>
          <t>LC-MS</t>
        </is>
      </c>
      <c r="EW356" s="20" t="inlineStr">
        <is>
          <t>None</t>
        </is>
      </c>
      <c r="EX356" s="17" t="n"/>
      <c r="EY356" s="21" t="n"/>
      <c r="EZ356">
        <f>CONCATENATE(A356,B356)</f>
        <v/>
      </c>
      <c r="FA356">
        <f>CONCATENATE(SamplesX!A356,SamplesX!B356)</f>
        <v/>
      </c>
      <c r="FC356">
        <f>MATCH(EZ356,FA1:FA1008,0)</f>
        <v/>
      </c>
    </row>
    <row r="357">
      <c r="A357" s="16" t="inlineStr">
        <is>
          <t>BP</t>
        </is>
      </c>
      <c r="B357" s="17" t="inlineStr">
        <is>
          <t>25349</t>
        </is>
      </c>
      <c r="C357" s="10">
        <f>IF(ISNUMBER(FC357),INDIRECT("SamplesX!C"&amp;FC357),IF(ISNUMBER(FD357),INDIRECT("SamplesY!C"&amp;FD357),""))</f>
        <v/>
      </c>
      <c r="D357" s="12">
        <f>IF(ISNUMBER(FC357),INDIRECT("SamplesX!D"&amp;FC357),IF(ISNUMBER(FD357),INDIRECT("SamplesY!D"&amp;FD357),""))</f>
        <v/>
      </c>
      <c r="E357" s="12">
        <f>IF(ISNUMBER(FC357),INDIRECT("SamplesX!E"&amp;FC357),IF(ISNUMBER(FD357),INDIRECT("SamplesY!E"&amp;FD357),""))</f>
        <v/>
      </c>
      <c r="F357" s="11">
        <f>IF(ISNUMBER(FC357),INDIRECT("SamplesX!F"&amp;FC357),IF(ISNUMBER(FD357),INDIRECT("SamplesY!F"&amp;FD357),""))</f>
        <v/>
      </c>
      <c r="G357" s="18">
        <f>IF(ISNUMBER(FC357),INDIRECT("SamplesX!G"&amp;FC357),IF(ISNUMBER(FD357),INDIRECT("SamplesY!G"&amp;FD357),""))</f>
        <v/>
      </c>
      <c r="H357" s="19">
        <f>IF(ISNUMBER(FC357),INDIRECT("SamplesX!H"&amp;FC357),IF(ISNUMBER(FD357),INDIRECT("SamplesY!H"&amp;FD357),""))</f>
        <v/>
      </c>
      <c r="I357" s="16" t="n"/>
      <c r="J357" s="16" t="n"/>
      <c r="K357" s="16" t="n"/>
      <c r="L357" s="20" t="n"/>
      <c r="M357" s="20" t="inlineStr">
        <is>
          <t>None</t>
        </is>
      </c>
      <c r="N357" s="17" t="n"/>
      <c r="O357" s="16" t="n"/>
      <c r="P357" s="20" t="inlineStr">
        <is>
          <t>Shimadzu TOC-L</t>
        </is>
      </c>
      <c r="Q357" s="20" t="inlineStr">
        <is>
          <t>None</t>
        </is>
      </c>
      <c r="R357" s="17" t="n"/>
      <c r="S357" s="16" t="n"/>
      <c r="T357" s="20" t="inlineStr">
        <is>
          <t>Shimadzu TOC-L</t>
        </is>
      </c>
      <c r="U357" s="20" t="inlineStr">
        <is>
          <t>None</t>
        </is>
      </c>
      <c r="V357" s="17" t="n"/>
      <c r="W357" s="16" t="n"/>
      <c r="X357" s="20" t="n"/>
      <c r="Y357" s="20" t="inlineStr">
        <is>
          <t>None</t>
        </is>
      </c>
      <c r="Z357" s="17" t="n"/>
      <c r="AA357" s="16" t="n"/>
      <c r="AB357" s="20" t="n"/>
      <c r="AC357" s="20" t="inlineStr">
        <is>
          <t>None</t>
        </is>
      </c>
      <c r="AD357" s="17" t="n"/>
      <c r="AE357" s="16" t="n"/>
      <c r="AF357" s="20" t="inlineStr">
        <is>
          <t>IC Anionen</t>
        </is>
      </c>
      <c r="AG357" s="20" t="inlineStr">
        <is>
          <t>None</t>
        </is>
      </c>
      <c r="AH357" s="17" t="n"/>
      <c r="AI357" s="16" t="n"/>
      <c r="AJ357" s="20" t="n"/>
      <c r="AK357" s="20" t="inlineStr">
        <is>
          <t>None</t>
        </is>
      </c>
      <c r="AL357" s="17" t="n"/>
      <c r="AM357" s="16" t="n"/>
      <c r="AN357" s="20" t="inlineStr">
        <is>
          <t>IC Anionen</t>
        </is>
      </c>
      <c r="AO357" s="20" t="inlineStr">
        <is>
          <t>None</t>
        </is>
      </c>
      <c r="AP357" s="17" t="n"/>
      <c r="AQ357" s="16" t="n"/>
      <c r="AR357" s="20" t="n"/>
      <c r="AS357" s="20" t="inlineStr">
        <is>
          <t>None</t>
        </is>
      </c>
      <c r="AT357" s="17" t="n"/>
      <c r="AU357" s="16" t="n"/>
      <c r="AV357" s="20" t="n"/>
      <c r="AW357" s="20" t="inlineStr">
        <is>
          <t>None</t>
        </is>
      </c>
      <c r="AX357" s="17" t="n"/>
      <c r="AY357" s="16" t="n"/>
      <c r="AZ357" s="20" t="inlineStr">
        <is>
          <t>IC Anionen</t>
        </is>
      </c>
      <c r="BA357" s="20" t="inlineStr">
        <is>
          <t>None</t>
        </is>
      </c>
      <c r="BB357" s="17" t="n"/>
      <c r="BC357" s="16" t="n"/>
      <c r="BD357" s="20" t="inlineStr">
        <is>
          <t>IC Kationen</t>
        </is>
      </c>
      <c r="BE357" s="20" t="inlineStr">
        <is>
          <t>None</t>
        </is>
      </c>
      <c r="BF357" s="17" t="n"/>
      <c r="BG357" s="16" t="n"/>
      <c r="BH357" s="20" t="inlineStr">
        <is>
          <t>IC Kationen</t>
        </is>
      </c>
      <c r="BI357" s="20" t="inlineStr">
        <is>
          <t>None</t>
        </is>
      </c>
      <c r="BJ357" s="17" t="n"/>
      <c r="BK357" s="16" t="n"/>
      <c r="BL357" s="20" t="inlineStr">
        <is>
          <t>IC Kationen</t>
        </is>
      </c>
      <c r="BM357" s="20" t="inlineStr">
        <is>
          <t>None</t>
        </is>
      </c>
      <c r="BN357" s="17" t="n"/>
      <c r="BO357" s="16" t="n"/>
      <c r="BP357" s="20" t="inlineStr">
        <is>
          <t>IC Kationen</t>
        </is>
      </c>
      <c r="BQ357" s="20" t="inlineStr">
        <is>
          <t>None</t>
        </is>
      </c>
      <c r="BR357" s="17" t="n"/>
      <c r="BS357" s="16" t="n"/>
      <c r="BT357" s="20" t="inlineStr">
        <is>
          <t>IC Kationen</t>
        </is>
      </c>
      <c r="BU357" s="20" t="inlineStr">
        <is>
          <t>None</t>
        </is>
      </c>
      <c r="BV357" s="17" t="n"/>
      <c r="BW357" s="16" t="n"/>
      <c r="BX357" s="20" t="n"/>
      <c r="BY357" s="20" t="inlineStr">
        <is>
          <t>None</t>
        </is>
      </c>
      <c r="BZ357" s="17" t="n"/>
      <c r="CA357" s="16" t="n"/>
      <c r="CB357" s="20" t="n"/>
      <c r="CC357" s="20" t="inlineStr">
        <is>
          <t>None</t>
        </is>
      </c>
      <c r="CD357" s="17" t="n"/>
      <c r="CE357" s="16" t="n"/>
      <c r="CF357" s="20" t="n"/>
      <c r="CG357" s="20" t="inlineStr">
        <is>
          <t>None</t>
        </is>
      </c>
      <c r="CH357" s="17" t="n"/>
      <c r="CI357" s="16" t="n"/>
      <c r="CJ357" s="20" t="n"/>
      <c r="CK357" s="20" t="inlineStr">
        <is>
          <t>None</t>
        </is>
      </c>
      <c r="CL357" s="17" t="n"/>
      <c r="CM357" s="16" t="n"/>
      <c r="CN357" s="20" t="inlineStr">
        <is>
          <t>SOP 45-34</t>
        </is>
      </c>
      <c r="CO357" s="20" t="inlineStr">
        <is>
          <t>None</t>
        </is>
      </c>
      <c r="CP357" s="17" t="n"/>
      <c r="CQ357" s="16" t="n"/>
      <c r="CR357" s="20" t="n"/>
      <c r="CS357" s="20" t="inlineStr">
        <is>
          <t>None</t>
        </is>
      </c>
      <c r="CT357" s="17" t="n"/>
      <c r="CU357" s="16" t="n"/>
      <c r="CV357" s="20" t="n"/>
      <c r="CW357" s="20" t="inlineStr">
        <is>
          <t>None</t>
        </is>
      </c>
      <c r="CX357" s="17" t="n"/>
      <c r="CY357" s="16" t="n"/>
      <c r="CZ357" s="20" t="inlineStr">
        <is>
          <t>WTW Multimeter 3430 with FDO 925</t>
        </is>
      </c>
      <c r="DA357" s="20" t="inlineStr">
        <is>
          <t>None</t>
        </is>
      </c>
      <c r="DB357" s="17" t="n"/>
      <c r="DC357" s="16" t="n"/>
      <c r="DD357" s="20" t="n"/>
      <c r="DE357" s="20" t="inlineStr">
        <is>
          <t>None</t>
        </is>
      </c>
      <c r="DF357" s="17" t="n"/>
      <c r="DG357" s="16" t="n"/>
      <c r="DH357" s="20" t="inlineStr">
        <is>
          <t>SOP 45-09</t>
        </is>
      </c>
      <c r="DI357" s="20" t="inlineStr">
        <is>
          <t>None</t>
        </is>
      </c>
      <c r="DJ357" s="17" t="n"/>
      <c r="DK357" s="16" t="n"/>
      <c r="DL357" s="20" t="inlineStr">
        <is>
          <t>SOP 45-09 (SOP muss noch angepasst werden für VSS)</t>
        </is>
      </c>
      <c r="DM357" s="20" t="inlineStr">
        <is>
          <t>None</t>
        </is>
      </c>
      <c r="DN357" s="17" t="n"/>
      <c r="DO357" s="16" t="n"/>
      <c r="DP357" s="20" t="inlineStr">
        <is>
          <t>IC Organic Acids</t>
        </is>
      </c>
      <c r="DQ357" s="20" t="inlineStr">
        <is>
          <t>None</t>
        </is>
      </c>
      <c r="DR357" s="17" t="n"/>
      <c r="DS357" s="16" t="n"/>
      <c r="DT357" s="20" t="inlineStr">
        <is>
          <t>IC Organic Acids</t>
        </is>
      </c>
      <c r="DU357" s="20" t="inlineStr">
        <is>
          <t>None</t>
        </is>
      </c>
      <c r="DV357" s="17" t="n"/>
      <c r="DW357" s="16" t="n"/>
      <c r="DX357" s="20" t="inlineStr">
        <is>
          <t>IC Organic Acids</t>
        </is>
      </c>
      <c r="DY357" s="20" t="inlineStr">
        <is>
          <t>None</t>
        </is>
      </c>
      <c r="DZ357" s="17" t="n"/>
      <c r="EA357" s="16" t="n"/>
      <c r="EB357" s="20" t="inlineStr">
        <is>
          <t>IC Organic Acids</t>
        </is>
      </c>
      <c r="EC357" s="20" t="inlineStr">
        <is>
          <t>None</t>
        </is>
      </c>
      <c r="ED357" s="17" t="n"/>
      <c r="EE357" s="16" t="n"/>
      <c r="EF357" s="20" t="inlineStr">
        <is>
          <t>IC Organic Acids</t>
        </is>
      </c>
      <c r="EG357" s="20" t="inlineStr">
        <is>
          <t>None</t>
        </is>
      </c>
      <c r="EH357" s="17" t="n"/>
      <c r="EI357" s="16" t="n"/>
      <c r="EJ357" s="20" t="inlineStr">
        <is>
          <t>IC Organic Acids</t>
        </is>
      </c>
      <c r="EK357" s="20" t="inlineStr">
        <is>
          <t>None</t>
        </is>
      </c>
      <c r="EL357" s="17" t="n"/>
      <c r="EM357" s="16" t="n"/>
      <c r="EN357" s="20" t="inlineStr">
        <is>
          <t>IC Organic Acids</t>
        </is>
      </c>
      <c r="EO357" s="20" t="inlineStr">
        <is>
          <t>None</t>
        </is>
      </c>
      <c r="EP357" s="17" t="n"/>
      <c r="EQ357" s="16" t="n"/>
      <c r="ER357" s="20" t="inlineStr">
        <is>
          <t>IC Organic Acids</t>
        </is>
      </c>
      <c r="ES357" s="20" t="inlineStr">
        <is>
          <t>None</t>
        </is>
      </c>
      <c r="ET357" s="17" t="n"/>
      <c r="EU357" s="16" t="n"/>
      <c r="EV357" s="20" t="inlineStr">
        <is>
          <t>LC-MS</t>
        </is>
      </c>
      <c r="EW357" s="20" t="inlineStr">
        <is>
          <t>None</t>
        </is>
      </c>
      <c r="EX357" s="17" t="n"/>
      <c r="EY357" s="21" t="n"/>
      <c r="EZ357">
        <f>CONCATENATE(A357,B357)</f>
        <v/>
      </c>
      <c r="FA357">
        <f>CONCATENATE(SamplesX!A357,SamplesX!B357)</f>
        <v/>
      </c>
      <c r="FC357">
        <f>MATCH(EZ357,FA1:FA1008,0)</f>
        <v/>
      </c>
    </row>
    <row r="358">
      <c r="A358" s="16" t="inlineStr">
        <is>
          <t>BP</t>
        </is>
      </c>
      <c r="B358" s="17" t="inlineStr">
        <is>
          <t>25350</t>
        </is>
      </c>
      <c r="C358" s="10">
        <f>IF(ISNUMBER(FC358),INDIRECT("SamplesX!C"&amp;FC358),IF(ISNUMBER(FD358),INDIRECT("SamplesY!C"&amp;FD358),""))</f>
        <v/>
      </c>
      <c r="D358" s="12">
        <f>IF(ISNUMBER(FC358),INDIRECT("SamplesX!D"&amp;FC358),IF(ISNUMBER(FD358),INDIRECT("SamplesY!D"&amp;FD358),""))</f>
        <v/>
      </c>
      <c r="E358" s="12">
        <f>IF(ISNUMBER(FC358),INDIRECT("SamplesX!E"&amp;FC358),IF(ISNUMBER(FD358),INDIRECT("SamplesY!E"&amp;FD358),""))</f>
        <v/>
      </c>
      <c r="F358" s="11">
        <f>IF(ISNUMBER(FC358),INDIRECT("SamplesX!F"&amp;FC358),IF(ISNUMBER(FD358),INDIRECT("SamplesY!F"&amp;FD358),""))</f>
        <v/>
      </c>
      <c r="G358" s="18">
        <f>IF(ISNUMBER(FC358),INDIRECT("SamplesX!G"&amp;FC358),IF(ISNUMBER(FD358),INDIRECT("SamplesY!G"&amp;FD358),""))</f>
        <v/>
      </c>
      <c r="H358" s="19">
        <f>IF(ISNUMBER(FC358),INDIRECT("SamplesX!H"&amp;FC358),IF(ISNUMBER(FD358),INDIRECT("SamplesY!H"&amp;FD358),""))</f>
        <v/>
      </c>
      <c r="I358" s="16" t="n"/>
      <c r="J358" s="16" t="n"/>
      <c r="K358" s="16" t="n"/>
      <c r="L358" s="20" t="n"/>
      <c r="M358" s="20" t="inlineStr">
        <is>
          <t>None</t>
        </is>
      </c>
      <c r="N358" s="17" t="n"/>
      <c r="O358" s="16" t="n"/>
      <c r="P358" s="20" t="inlineStr">
        <is>
          <t>Shimadzu TOC-L</t>
        </is>
      </c>
      <c r="Q358" s="20" t="inlineStr">
        <is>
          <t>None</t>
        </is>
      </c>
      <c r="R358" s="17" t="n"/>
      <c r="S358" s="16" t="n"/>
      <c r="T358" s="20" t="inlineStr">
        <is>
          <t>Shimadzu TOC-L</t>
        </is>
      </c>
      <c r="U358" s="20" t="inlineStr">
        <is>
          <t>None</t>
        </is>
      </c>
      <c r="V358" s="17" t="n"/>
      <c r="W358" s="16" t="n"/>
      <c r="X358" s="20" t="n"/>
      <c r="Y358" s="20" t="inlineStr">
        <is>
          <t>None</t>
        </is>
      </c>
      <c r="Z358" s="17" t="n"/>
      <c r="AA358" s="16" t="n"/>
      <c r="AB358" s="20" t="n"/>
      <c r="AC358" s="20" t="inlineStr">
        <is>
          <t>None</t>
        </is>
      </c>
      <c r="AD358" s="17" t="n"/>
      <c r="AE358" s="16" t="n"/>
      <c r="AF358" s="20" t="inlineStr">
        <is>
          <t>IC Anionen</t>
        </is>
      </c>
      <c r="AG358" s="20" t="inlineStr">
        <is>
          <t>None</t>
        </is>
      </c>
      <c r="AH358" s="17" t="n"/>
      <c r="AI358" s="16" t="n"/>
      <c r="AJ358" s="20" t="n"/>
      <c r="AK358" s="20" t="inlineStr">
        <is>
          <t>None</t>
        </is>
      </c>
      <c r="AL358" s="17" t="n"/>
      <c r="AM358" s="16" t="n"/>
      <c r="AN358" s="20" t="inlineStr">
        <is>
          <t>IC Anionen</t>
        </is>
      </c>
      <c r="AO358" s="20" t="inlineStr">
        <is>
          <t>None</t>
        </is>
      </c>
      <c r="AP358" s="17" t="n"/>
      <c r="AQ358" s="16" t="n"/>
      <c r="AR358" s="20" t="n"/>
      <c r="AS358" s="20" t="inlineStr">
        <is>
          <t>None</t>
        </is>
      </c>
      <c r="AT358" s="17" t="n"/>
      <c r="AU358" s="16" t="n"/>
      <c r="AV358" s="20" t="n"/>
      <c r="AW358" s="20" t="inlineStr">
        <is>
          <t>None</t>
        </is>
      </c>
      <c r="AX358" s="17" t="n"/>
      <c r="AY358" s="16" t="n"/>
      <c r="AZ358" s="20" t="inlineStr">
        <is>
          <t>IC Anionen</t>
        </is>
      </c>
      <c r="BA358" s="20" t="inlineStr">
        <is>
          <t>None</t>
        </is>
      </c>
      <c r="BB358" s="17" t="n"/>
      <c r="BC358" s="16" t="n"/>
      <c r="BD358" s="20" t="inlineStr">
        <is>
          <t>IC Kationen</t>
        </is>
      </c>
      <c r="BE358" s="20" t="inlineStr">
        <is>
          <t>None</t>
        </is>
      </c>
      <c r="BF358" s="17" t="n"/>
      <c r="BG358" s="16" t="n"/>
      <c r="BH358" s="20" t="inlineStr">
        <is>
          <t>IC Kationen</t>
        </is>
      </c>
      <c r="BI358" s="20" t="inlineStr">
        <is>
          <t>None</t>
        </is>
      </c>
      <c r="BJ358" s="17" t="n"/>
      <c r="BK358" s="16" t="n"/>
      <c r="BL358" s="20" t="inlineStr">
        <is>
          <t>IC Kationen</t>
        </is>
      </c>
      <c r="BM358" s="20" t="inlineStr">
        <is>
          <t>None</t>
        </is>
      </c>
      <c r="BN358" s="17" t="n"/>
      <c r="BO358" s="16" t="n"/>
      <c r="BP358" s="20" t="inlineStr">
        <is>
          <t>IC Kationen</t>
        </is>
      </c>
      <c r="BQ358" s="20" t="inlineStr">
        <is>
          <t>None</t>
        </is>
      </c>
      <c r="BR358" s="17" t="n"/>
      <c r="BS358" s="16" t="n"/>
      <c r="BT358" s="20" t="inlineStr">
        <is>
          <t>IC Kationen</t>
        </is>
      </c>
      <c r="BU358" s="20" t="inlineStr">
        <is>
          <t>None</t>
        </is>
      </c>
      <c r="BV358" s="17" t="n"/>
      <c r="BW358" s="16" t="n"/>
      <c r="BX358" s="20" t="n"/>
      <c r="BY358" s="20" t="inlineStr">
        <is>
          <t>None</t>
        </is>
      </c>
      <c r="BZ358" s="17" t="n"/>
      <c r="CA358" s="16" t="n"/>
      <c r="CB358" s="20" t="n"/>
      <c r="CC358" s="20" t="inlineStr">
        <is>
          <t>None</t>
        </is>
      </c>
      <c r="CD358" s="17" t="n"/>
      <c r="CE358" s="16" t="n"/>
      <c r="CF358" s="20" t="n"/>
      <c r="CG358" s="20" t="inlineStr">
        <is>
          <t>None</t>
        </is>
      </c>
      <c r="CH358" s="17" t="n"/>
      <c r="CI358" s="16" t="n"/>
      <c r="CJ358" s="20" t="n"/>
      <c r="CK358" s="20" t="inlineStr">
        <is>
          <t>None</t>
        </is>
      </c>
      <c r="CL358" s="17" t="n"/>
      <c r="CM358" s="16" t="n"/>
      <c r="CN358" s="20" t="inlineStr">
        <is>
          <t>SOP 45-34</t>
        </is>
      </c>
      <c r="CO358" s="20" t="inlineStr">
        <is>
          <t>None</t>
        </is>
      </c>
      <c r="CP358" s="17" t="n"/>
      <c r="CQ358" s="16" t="n"/>
      <c r="CR358" s="20" t="n"/>
      <c r="CS358" s="20" t="inlineStr">
        <is>
          <t>None</t>
        </is>
      </c>
      <c r="CT358" s="17" t="n"/>
      <c r="CU358" s="16" t="n"/>
      <c r="CV358" s="20" t="n"/>
      <c r="CW358" s="20" t="inlineStr">
        <is>
          <t>None</t>
        </is>
      </c>
      <c r="CX358" s="17" t="n"/>
      <c r="CY358" s="16" t="n"/>
      <c r="CZ358" s="20" t="inlineStr">
        <is>
          <t>WTW Multimeter 3430 with FDO 925</t>
        </is>
      </c>
      <c r="DA358" s="20" t="inlineStr">
        <is>
          <t>None</t>
        </is>
      </c>
      <c r="DB358" s="17" t="n"/>
      <c r="DC358" s="16" t="n"/>
      <c r="DD358" s="20" t="n"/>
      <c r="DE358" s="20" t="inlineStr">
        <is>
          <t>None</t>
        </is>
      </c>
      <c r="DF358" s="17" t="n"/>
      <c r="DG358" s="16" t="n"/>
      <c r="DH358" s="20" t="inlineStr">
        <is>
          <t>SOP 45-09</t>
        </is>
      </c>
      <c r="DI358" s="20" t="inlineStr">
        <is>
          <t>None</t>
        </is>
      </c>
      <c r="DJ358" s="17" t="n"/>
      <c r="DK358" s="16" t="n"/>
      <c r="DL358" s="20" t="inlineStr">
        <is>
          <t>SOP 45-09 (SOP muss noch angepasst werden für VSS)</t>
        </is>
      </c>
      <c r="DM358" s="20" t="inlineStr">
        <is>
          <t>None</t>
        </is>
      </c>
      <c r="DN358" s="17" t="n"/>
      <c r="DO358" s="16" t="n"/>
      <c r="DP358" s="20" t="inlineStr">
        <is>
          <t>IC Organic Acids</t>
        </is>
      </c>
      <c r="DQ358" s="20" t="inlineStr">
        <is>
          <t>None</t>
        </is>
      </c>
      <c r="DR358" s="17" t="n"/>
      <c r="DS358" s="16" t="n"/>
      <c r="DT358" s="20" t="inlineStr">
        <is>
          <t>IC Organic Acids</t>
        </is>
      </c>
      <c r="DU358" s="20" t="inlineStr">
        <is>
          <t>None</t>
        </is>
      </c>
      <c r="DV358" s="17" t="n"/>
      <c r="DW358" s="16" t="n"/>
      <c r="DX358" s="20" t="inlineStr">
        <is>
          <t>IC Organic Acids</t>
        </is>
      </c>
      <c r="DY358" s="20" t="inlineStr">
        <is>
          <t>None</t>
        </is>
      </c>
      <c r="DZ358" s="17" t="n"/>
      <c r="EA358" s="16" t="n"/>
      <c r="EB358" s="20" t="inlineStr">
        <is>
          <t>IC Organic Acids</t>
        </is>
      </c>
      <c r="EC358" s="20" t="inlineStr">
        <is>
          <t>None</t>
        </is>
      </c>
      <c r="ED358" s="17" t="n"/>
      <c r="EE358" s="16" t="n"/>
      <c r="EF358" s="20" t="inlineStr">
        <is>
          <t>IC Organic Acids</t>
        </is>
      </c>
      <c r="EG358" s="20" t="inlineStr">
        <is>
          <t>None</t>
        </is>
      </c>
      <c r="EH358" s="17" t="n"/>
      <c r="EI358" s="16" t="n"/>
      <c r="EJ358" s="20" t="inlineStr">
        <is>
          <t>IC Organic Acids</t>
        </is>
      </c>
      <c r="EK358" s="20" t="inlineStr">
        <is>
          <t>None</t>
        </is>
      </c>
      <c r="EL358" s="17" t="n"/>
      <c r="EM358" s="16" t="n"/>
      <c r="EN358" s="20" t="inlineStr">
        <is>
          <t>IC Organic Acids</t>
        </is>
      </c>
      <c r="EO358" s="20" t="inlineStr">
        <is>
          <t>None</t>
        </is>
      </c>
      <c r="EP358" s="17" t="n"/>
      <c r="EQ358" s="16" t="n"/>
      <c r="ER358" s="20" t="inlineStr">
        <is>
          <t>IC Organic Acids</t>
        </is>
      </c>
      <c r="ES358" s="20" t="inlineStr">
        <is>
          <t>None</t>
        </is>
      </c>
      <c r="ET358" s="17" t="n"/>
      <c r="EU358" s="16" t="n"/>
      <c r="EV358" s="20" t="inlineStr">
        <is>
          <t>LC-MS</t>
        </is>
      </c>
      <c r="EW358" s="20" t="inlineStr">
        <is>
          <t>None</t>
        </is>
      </c>
      <c r="EX358" s="17" t="n"/>
      <c r="EY358" s="21" t="n"/>
      <c r="EZ358">
        <f>CONCATENATE(A358,B358)</f>
        <v/>
      </c>
      <c r="FA358">
        <f>CONCATENATE(SamplesX!A358,SamplesX!B358)</f>
        <v/>
      </c>
      <c r="FC358">
        <f>MATCH(EZ358,FA1:FA1008,0)</f>
        <v/>
      </c>
    </row>
    <row r="359">
      <c r="A359" s="16" t="inlineStr">
        <is>
          <t>BP</t>
        </is>
      </c>
      <c r="B359" s="17" t="inlineStr">
        <is>
          <t>25351</t>
        </is>
      </c>
      <c r="C359" s="10">
        <f>IF(ISNUMBER(FC359),INDIRECT("SamplesX!C"&amp;FC359),IF(ISNUMBER(FD359),INDIRECT("SamplesY!C"&amp;FD359),""))</f>
        <v/>
      </c>
      <c r="D359" s="12">
        <f>IF(ISNUMBER(FC359),INDIRECT("SamplesX!D"&amp;FC359),IF(ISNUMBER(FD359),INDIRECT("SamplesY!D"&amp;FD359),""))</f>
        <v/>
      </c>
      <c r="E359" s="12">
        <f>IF(ISNUMBER(FC359),INDIRECT("SamplesX!E"&amp;FC359),IF(ISNUMBER(FD359),INDIRECT("SamplesY!E"&amp;FD359),""))</f>
        <v/>
      </c>
      <c r="F359" s="11">
        <f>IF(ISNUMBER(FC359),INDIRECT("SamplesX!F"&amp;FC359),IF(ISNUMBER(FD359),INDIRECT("SamplesY!F"&amp;FD359),""))</f>
        <v/>
      </c>
      <c r="G359" s="18">
        <f>IF(ISNUMBER(FC359),INDIRECT("SamplesX!G"&amp;FC359),IF(ISNUMBER(FD359),INDIRECT("SamplesY!G"&amp;FD359),""))</f>
        <v/>
      </c>
      <c r="H359" s="19">
        <f>IF(ISNUMBER(FC359),INDIRECT("SamplesX!H"&amp;FC359),IF(ISNUMBER(FD359),INDIRECT("SamplesY!H"&amp;FD359),""))</f>
        <v/>
      </c>
      <c r="I359" s="16" t="n"/>
      <c r="J359" s="16" t="n"/>
      <c r="K359" s="16" t="n"/>
      <c r="L359" s="20" t="n"/>
      <c r="M359" s="20" t="inlineStr">
        <is>
          <t>None</t>
        </is>
      </c>
      <c r="N359" s="17" t="n"/>
      <c r="O359" s="16" t="n"/>
      <c r="P359" s="20" t="inlineStr">
        <is>
          <t>Shimadzu TOC-L</t>
        </is>
      </c>
      <c r="Q359" s="20" t="inlineStr">
        <is>
          <t>None</t>
        </is>
      </c>
      <c r="R359" s="17" t="n"/>
      <c r="S359" s="16" t="n"/>
      <c r="T359" s="20" t="inlineStr">
        <is>
          <t>Shimadzu TOC-L</t>
        </is>
      </c>
      <c r="U359" s="20" t="inlineStr">
        <is>
          <t>None</t>
        </is>
      </c>
      <c r="V359" s="17" t="n"/>
      <c r="W359" s="16" t="n"/>
      <c r="X359" s="20" t="n"/>
      <c r="Y359" s="20" t="inlineStr">
        <is>
          <t>None</t>
        </is>
      </c>
      <c r="Z359" s="17" t="n"/>
      <c r="AA359" s="16" t="n"/>
      <c r="AB359" s="20" t="n"/>
      <c r="AC359" s="20" t="inlineStr">
        <is>
          <t>None</t>
        </is>
      </c>
      <c r="AD359" s="17" t="n"/>
      <c r="AE359" s="16" t="n"/>
      <c r="AF359" s="20" t="inlineStr">
        <is>
          <t>IC Anionen</t>
        </is>
      </c>
      <c r="AG359" s="20" t="inlineStr">
        <is>
          <t>None</t>
        </is>
      </c>
      <c r="AH359" s="17" t="n"/>
      <c r="AI359" s="16" t="n"/>
      <c r="AJ359" s="20" t="n"/>
      <c r="AK359" s="20" t="inlineStr">
        <is>
          <t>None</t>
        </is>
      </c>
      <c r="AL359" s="17" t="n"/>
      <c r="AM359" s="16" t="n"/>
      <c r="AN359" s="20" t="inlineStr">
        <is>
          <t>IC Anionen</t>
        </is>
      </c>
      <c r="AO359" s="20" t="inlineStr">
        <is>
          <t>None</t>
        </is>
      </c>
      <c r="AP359" s="17" t="n"/>
      <c r="AQ359" s="16" t="n"/>
      <c r="AR359" s="20" t="n"/>
      <c r="AS359" s="20" t="inlineStr">
        <is>
          <t>None</t>
        </is>
      </c>
      <c r="AT359" s="17" t="n"/>
      <c r="AU359" s="16" t="n"/>
      <c r="AV359" s="20" t="n"/>
      <c r="AW359" s="20" t="inlineStr">
        <is>
          <t>None</t>
        </is>
      </c>
      <c r="AX359" s="17" t="n"/>
      <c r="AY359" s="16" t="n"/>
      <c r="AZ359" s="20" t="inlineStr">
        <is>
          <t>IC Anionen</t>
        </is>
      </c>
      <c r="BA359" s="20" t="inlineStr">
        <is>
          <t>None</t>
        </is>
      </c>
      <c r="BB359" s="17" t="n"/>
      <c r="BC359" s="16" t="n"/>
      <c r="BD359" s="20" t="inlineStr">
        <is>
          <t>IC Kationen</t>
        </is>
      </c>
      <c r="BE359" s="20" t="inlineStr">
        <is>
          <t>None</t>
        </is>
      </c>
      <c r="BF359" s="17" t="n"/>
      <c r="BG359" s="16" t="n"/>
      <c r="BH359" s="20" t="inlineStr">
        <is>
          <t>IC Kationen</t>
        </is>
      </c>
      <c r="BI359" s="20" t="inlineStr">
        <is>
          <t>None</t>
        </is>
      </c>
      <c r="BJ359" s="17" t="n"/>
      <c r="BK359" s="16" t="n"/>
      <c r="BL359" s="20" t="inlineStr">
        <is>
          <t>IC Kationen</t>
        </is>
      </c>
      <c r="BM359" s="20" t="inlineStr">
        <is>
          <t>None</t>
        </is>
      </c>
      <c r="BN359" s="17" t="n"/>
      <c r="BO359" s="16" t="n"/>
      <c r="BP359" s="20" t="inlineStr">
        <is>
          <t>IC Kationen</t>
        </is>
      </c>
      <c r="BQ359" s="20" t="inlineStr">
        <is>
          <t>None</t>
        </is>
      </c>
      <c r="BR359" s="17" t="n"/>
      <c r="BS359" s="16" t="n"/>
      <c r="BT359" s="20" t="inlineStr">
        <is>
          <t>IC Kationen</t>
        </is>
      </c>
      <c r="BU359" s="20" t="inlineStr">
        <is>
          <t>None</t>
        </is>
      </c>
      <c r="BV359" s="17" t="n"/>
      <c r="BW359" s="16" t="n"/>
      <c r="BX359" s="20" t="n"/>
      <c r="BY359" s="20" t="inlineStr">
        <is>
          <t>None</t>
        </is>
      </c>
      <c r="BZ359" s="17" t="n"/>
      <c r="CA359" s="16" t="n"/>
      <c r="CB359" s="20" t="n"/>
      <c r="CC359" s="20" t="inlineStr">
        <is>
          <t>None</t>
        </is>
      </c>
      <c r="CD359" s="17" t="n"/>
      <c r="CE359" s="16" t="n"/>
      <c r="CF359" s="20" t="n"/>
      <c r="CG359" s="20" t="inlineStr">
        <is>
          <t>None</t>
        </is>
      </c>
      <c r="CH359" s="17" t="n"/>
      <c r="CI359" s="16" t="n"/>
      <c r="CJ359" s="20" t="n"/>
      <c r="CK359" s="20" t="inlineStr">
        <is>
          <t>None</t>
        </is>
      </c>
      <c r="CL359" s="17" t="n"/>
      <c r="CM359" s="16" t="n"/>
      <c r="CN359" s="20" t="inlineStr">
        <is>
          <t>SOP 45-34</t>
        </is>
      </c>
      <c r="CO359" s="20" t="inlineStr">
        <is>
          <t>None</t>
        </is>
      </c>
      <c r="CP359" s="17" t="n"/>
      <c r="CQ359" s="16" t="n"/>
      <c r="CR359" s="20" t="n"/>
      <c r="CS359" s="20" t="inlineStr">
        <is>
          <t>None</t>
        </is>
      </c>
      <c r="CT359" s="17" t="n"/>
      <c r="CU359" s="16" t="n"/>
      <c r="CV359" s="20" t="n"/>
      <c r="CW359" s="20" t="inlineStr">
        <is>
          <t>None</t>
        </is>
      </c>
      <c r="CX359" s="17" t="n"/>
      <c r="CY359" s="16" t="n"/>
      <c r="CZ359" s="20" t="inlineStr">
        <is>
          <t>WTW Multimeter 3430 with FDO 925</t>
        </is>
      </c>
      <c r="DA359" s="20" t="inlineStr">
        <is>
          <t>None</t>
        </is>
      </c>
      <c r="DB359" s="17" t="n"/>
      <c r="DC359" s="16" t="n"/>
      <c r="DD359" s="20" t="n"/>
      <c r="DE359" s="20" t="inlineStr">
        <is>
          <t>None</t>
        </is>
      </c>
      <c r="DF359" s="17" t="n"/>
      <c r="DG359" s="16" t="n"/>
      <c r="DH359" s="20" t="inlineStr">
        <is>
          <t>SOP 45-09</t>
        </is>
      </c>
      <c r="DI359" s="20" t="inlineStr">
        <is>
          <t>None</t>
        </is>
      </c>
      <c r="DJ359" s="17" t="n"/>
      <c r="DK359" s="16" t="n"/>
      <c r="DL359" s="20" t="inlineStr">
        <is>
          <t>SOP 45-09 (SOP muss noch angepasst werden für VSS)</t>
        </is>
      </c>
      <c r="DM359" s="20" t="inlineStr">
        <is>
          <t>None</t>
        </is>
      </c>
      <c r="DN359" s="17" t="n"/>
      <c r="DO359" s="16" t="n"/>
      <c r="DP359" s="20" t="inlineStr">
        <is>
          <t>IC Organic Acids</t>
        </is>
      </c>
      <c r="DQ359" s="20" t="inlineStr">
        <is>
          <t>None</t>
        </is>
      </c>
      <c r="DR359" s="17" t="n"/>
      <c r="DS359" s="16" t="n"/>
      <c r="DT359" s="20" t="inlineStr">
        <is>
          <t>IC Organic Acids</t>
        </is>
      </c>
      <c r="DU359" s="20" t="inlineStr">
        <is>
          <t>None</t>
        </is>
      </c>
      <c r="DV359" s="17" t="n"/>
      <c r="DW359" s="16" t="n"/>
      <c r="DX359" s="20" t="inlineStr">
        <is>
          <t>IC Organic Acids</t>
        </is>
      </c>
      <c r="DY359" s="20" t="inlineStr">
        <is>
          <t>None</t>
        </is>
      </c>
      <c r="DZ359" s="17" t="n"/>
      <c r="EA359" s="16" t="n"/>
      <c r="EB359" s="20" t="inlineStr">
        <is>
          <t>IC Organic Acids</t>
        </is>
      </c>
      <c r="EC359" s="20" t="inlineStr">
        <is>
          <t>None</t>
        </is>
      </c>
      <c r="ED359" s="17" t="n"/>
      <c r="EE359" s="16" t="n"/>
      <c r="EF359" s="20" t="inlineStr">
        <is>
          <t>IC Organic Acids</t>
        </is>
      </c>
      <c r="EG359" s="20" t="inlineStr">
        <is>
          <t>None</t>
        </is>
      </c>
      <c r="EH359" s="17" t="n"/>
      <c r="EI359" s="16" t="n"/>
      <c r="EJ359" s="20" t="inlineStr">
        <is>
          <t>IC Organic Acids</t>
        </is>
      </c>
      <c r="EK359" s="20" t="inlineStr">
        <is>
          <t>None</t>
        </is>
      </c>
      <c r="EL359" s="17" t="n"/>
      <c r="EM359" s="16" t="n"/>
      <c r="EN359" s="20" t="inlineStr">
        <is>
          <t>IC Organic Acids</t>
        </is>
      </c>
      <c r="EO359" s="20" t="inlineStr">
        <is>
          <t>None</t>
        </is>
      </c>
      <c r="EP359" s="17" t="n"/>
      <c r="EQ359" s="16" t="n"/>
      <c r="ER359" s="20" t="inlineStr">
        <is>
          <t>IC Organic Acids</t>
        </is>
      </c>
      <c r="ES359" s="20" t="inlineStr">
        <is>
          <t>None</t>
        </is>
      </c>
      <c r="ET359" s="17" t="n"/>
      <c r="EU359" s="16" t="n"/>
      <c r="EV359" s="20" t="inlineStr">
        <is>
          <t>LC-MS</t>
        </is>
      </c>
      <c r="EW359" s="20" t="inlineStr">
        <is>
          <t>None</t>
        </is>
      </c>
      <c r="EX359" s="17" t="n"/>
      <c r="EY359" s="21" t="n"/>
      <c r="EZ359">
        <f>CONCATENATE(A359,B359)</f>
        <v/>
      </c>
      <c r="FA359">
        <f>CONCATENATE(SamplesX!A359,SamplesX!B359)</f>
        <v/>
      </c>
      <c r="FC359">
        <f>MATCH(EZ359,FA1:FA1008,0)</f>
        <v/>
      </c>
    </row>
    <row r="360">
      <c r="A360" s="16" t="inlineStr">
        <is>
          <t>BP</t>
        </is>
      </c>
      <c r="B360" s="17" t="inlineStr">
        <is>
          <t>25352</t>
        </is>
      </c>
      <c r="C360" s="10">
        <f>IF(ISNUMBER(FC360),INDIRECT("SamplesX!C"&amp;FC360),IF(ISNUMBER(FD360),INDIRECT("SamplesY!C"&amp;FD360),""))</f>
        <v/>
      </c>
      <c r="D360" s="12">
        <f>IF(ISNUMBER(FC360),INDIRECT("SamplesX!D"&amp;FC360),IF(ISNUMBER(FD360),INDIRECT("SamplesY!D"&amp;FD360),""))</f>
        <v/>
      </c>
      <c r="E360" s="12">
        <f>IF(ISNUMBER(FC360),INDIRECT("SamplesX!E"&amp;FC360),IF(ISNUMBER(FD360),INDIRECT("SamplesY!E"&amp;FD360),""))</f>
        <v/>
      </c>
      <c r="F360" s="11">
        <f>IF(ISNUMBER(FC360),INDIRECT("SamplesX!F"&amp;FC360),IF(ISNUMBER(FD360),INDIRECT("SamplesY!F"&amp;FD360),""))</f>
        <v/>
      </c>
      <c r="G360" s="18">
        <f>IF(ISNUMBER(FC360),INDIRECT("SamplesX!G"&amp;FC360),IF(ISNUMBER(FD360),INDIRECT("SamplesY!G"&amp;FD360),""))</f>
        <v/>
      </c>
      <c r="H360" s="19">
        <f>IF(ISNUMBER(FC360),INDIRECT("SamplesX!H"&amp;FC360),IF(ISNUMBER(FD360),INDIRECT("SamplesY!H"&amp;FD360),""))</f>
        <v/>
      </c>
      <c r="I360" s="16" t="n"/>
      <c r="J360" s="16" t="n"/>
      <c r="K360" s="16" t="n"/>
      <c r="L360" s="20" t="n"/>
      <c r="M360" s="20" t="inlineStr">
        <is>
          <t>None</t>
        </is>
      </c>
      <c r="N360" s="17" t="n"/>
      <c r="O360" s="16" t="n"/>
      <c r="P360" s="20" t="inlineStr">
        <is>
          <t>Shimadzu TOC-L</t>
        </is>
      </c>
      <c r="Q360" s="20" t="inlineStr">
        <is>
          <t>None</t>
        </is>
      </c>
      <c r="R360" s="17" t="n"/>
      <c r="S360" s="16" t="n"/>
      <c r="T360" s="20" t="inlineStr">
        <is>
          <t>Shimadzu TOC-L</t>
        </is>
      </c>
      <c r="U360" s="20" t="inlineStr">
        <is>
          <t>None</t>
        </is>
      </c>
      <c r="V360" s="17" t="n"/>
      <c r="W360" s="16" t="n"/>
      <c r="X360" s="20" t="n"/>
      <c r="Y360" s="20" t="inlineStr">
        <is>
          <t>None</t>
        </is>
      </c>
      <c r="Z360" s="17" t="n"/>
      <c r="AA360" s="16" t="n"/>
      <c r="AB360" s="20" t="n"/>
      <c r="AC360" s="20" t="inlineStr">
        <is>
          <t>None</t>
        </is>
      </c>
      <c r="AD360" s="17" t="n"/>
      <c r="AE360" s="16" t="n"/>
      <c r="AF360" s="20" t="inlineStr">
        <is>
          <t>IC Anionen</t>
        </is>
      </c>
      <c r="AG360" s="20" t="inlineStr">
        <is>
          <t>None</t>
        </is>
      </c>
      <c r="AH360" s="17" t="n"/>
      <c r="AI360" s="16" t="n"/>
      <c r="AJ360" s="20" t="n"/>
      <c r="AK360" s="20" t="inlineStr">
        <is>
          <t>None</t>
        </is>
      </c>
      <c r="AL360" s="17" t="n"/>
      <c r="AM360" s="16" t="n"/>
      <c r="AN360" s="20" t="inlineStr">
        <is>
          <t>IC Anionen</t>
        </is>
      </c>
      <c r="AO360" s="20" t="inlineStr">
        <is>
          <t>None</t>
        </is>
      </c>
      <c r="AP360" s="17" t="n"/>
      <c r="AQ360" s="16" t="n"/>
      <c r="AR360" s="20" t="n"/>
      <c r="AS360" s="20" t="inlineStr">
        <is>
          <t>None</t>
        </is>
      </c>
      <c r="AT360" s="17" t="n"/>
      <c r="AU360" s="16" t="n"/>
      <c r="AV360" s="20" t="n"/>
      <c r="AW360" s="20" t="inlineStr">
        <is>
          <t>None</t>
        </is>
      </c>
      <c r="AX360" s="17" t="n"/>
      <c r="AY360" s="16" t="n"/>
      <c r="AZ360" s="20" t="inlineStr">
        <is>
          <t>IC Anionen</t>
        </is>
      </c>
      <c r="BA360" s="20" t="inlineStr">
        <is>
          <t>None</t>
        </is>
      </c>
      <c r="BB360" s="17" t="n"/>
      <c r="BC360" s="16" t="n"/>
      <c r="BD360" s="20" t="inlineStr">
        <is>
          <t>IC Kationen</t>
        </is>
      </c>
      <c r="BE360" s="20" t="inlineStr">
        <is>
          <t>None</t>
        </is>
      </c>
      <c r="BF360" s="17" t="n"/>
      <c r="BG360" s="16" t="n"/>
      <c r="BH360" s="20" t="inlineStr">
        <is>
          <t>IC Kationen</t>
        </is>
      </c>
      <c r="BI360" s="20" t="inlineStr">
        <is>
          <t>None</t>
        </is>
      </c>
      <c r="BJ360" s="17" t="n"/>
      <c r="BK360" s="16" t="n"/>
      <c r="BL360" s="20" t="inlineStr">
        <is>
          <t>IC Kationen</t>
        </is>
      </c>
      <c r="BM360" s="20" t="inlineStr">
        <is>
          <t>None</t>
        </is>
      </c>
      <c r="BN360" s="17" t="n"/>
      <c r="BO360" s="16" t="n"/>
      <c r="BP360" s="20" t="inlineStr">
        <is>
          <t>IC Kationen</t>
        </is>
      </c>
      <c r="BQ360" s="20" t="inlineStr">
        <is>
          <t>None</t>
        </is>
      </c>
      <c r="BR360" s="17" t="n"/>
      <c r="BS360" s="16" t="n"/>
      <c r="BT360" s="20" t="inlineStr">
        <is>
          <t>IC Kationen</t>
        </is>
      </c>
      <c r="BU360" s="20" t="inlineStr">
        <is>
          <t>None</t>
        </is>
      </c>
      <c r="BV360" s="17" t="n"/>
      <c r="BW360" s="16" t="n"/>
      <c r="BX360" s="20" t="n"/>
      <c r="BY360" s="20" t="inlineStr">
        <is>
          <t>None</t>
        </is>
      </c>
      <c r="BZ360" s="17" t="n"/>
      <c r="CA360" s="16" t="n"/>
      <c r="CB360" s="20" t="n"/>
      <c r="CC360" s="20" t="inlineStr">
        <is>
          <t>None</t>
        </is>
      </c>
      <c r="CD360" s="17" t="n"/>
      <c r="CE360" s="16" t="n"/>
      <c r="CF360" s="20" t="n"/>
      <c r="CG360" s="20" t="inlineStr">
        <is>
          <t>None</t>
        </is>
      </c>
      <c r="CH360" s="17" t="n"/>
      <c r="CI360" s="16" t="n"/>
      <c r="CJ360" s="20" t="n"/>
      <c r="CK360" s="20" t="inlineStr">
        <is>
          <t>None</t>
        </is>
      </c>
      <c r="CL360" s="17" t="n"/>
      <c r="CM360" s="16" t="n"/>
      <c r="CN360" s="20" t="inlineStr">
        <is>
          <t>SOP 45-34</t>
        </is>
      </c>
      <c r="CO360" s="20" t="inlineStr">
        <is>
          <t>None</t>
        </is>
      </c>
      <c r="CP360" s="17" t="n"/>
      <c r="CQ360" s="16" t="n"/>
      <c r="CR360" s="20" t="n"/>
      <c r="CS360" s="20" t="inlineStr">
        <is>
          <t>None</t>
        </is>
      </c>
      <c r="CT360" s="17" t="n"/>
      <c r="CU360" s="16" t="n"/>
      <c r="CV360" s="20" t="n"/>
      <c r="CW360" s="20" t="inlineStr">
        <is>
          <t>None</t>
        </is>
      </c>
      <c r="CX360" s="17" t="n"/>
      <c r="CY360" s="16" t="n"/>
      <c r="CZ360" s="20" t="inlineStr">
        <is>
          <t>WTW Multimeter 3430 with FDO 925</t>
        </is>
      </c>
      <c r="DA360" s="20" t="inlineStr">
        <is>
          <t>None</t>
        </is>
      </c>
      <c r="DB360" s="17" t="n"/>
      <c r="DC360" s="16" t="n"/>
      <c r="DD360" s="20" t="n"/>
      <c r="DE360" s="20" t="inlineStr">
        <is>
          <t>None</t>
        </is>
      </c>
      <c r="DF360" s="17" t="n"/>
      <c r="DG360" s="16" t="n"/>
      <c r="DH360" s="20" t="inlineStr">
        <is>
          <t>SOP 45-09</t>
        </is>
      </c>
      <c r="DI360" s="20" t="inlineStr">
        <is>
          <t>None</t>
        </is>
      </c>
      <c r="DJ360" s="17" t="n"/>
      <c r="DK360" s="16" t="n"/>
      <c r="DL360" s="20" t="inlineStr">
        <is>
          <t>SOP 45-09 (SOP muss noch angepasst werden für VSS)</t>
        </is>
      </c>
      <c r="DM360" s="20" t="inlineStr">
        <is>
          <t>None</t>
        </is>
      </c>
      <c r="DN360" s="17" t="n"/>
      <c r="DO360" s="16" t="n"/>
      <c r="DP360" s="20" t="inlineStr">
        <is>
          <t>IC Organic Acids</t>
        </is>
      </c>
      <c r="DQ360" s="20" t="inlineStr">
        <is>
          <t>None</t>
        </is>
      </c>
      <c r="DR360" s="17" t="n"/>
      <c r="DS360" s="16" t="n"/>
      <c r="DT360" s="20" t="inlineStr">
        <is>
          <t>IC Organic Acids</t>
        </is>
      </c>
      <c r="DU360" s="20" t="inlineStr">
        <is>
          <t>None</t>
        </is>
      </c>
      <c r="DV360" s="17" t="n"/>
      <c r="DW360" s="16" t="n"/>
      <c r="DX360" s="20" t="inlineStr">
        <is>
          <t>IC Organic Acids</t>
        </is>
      </c>
      <c r="DY360" s="20" t="inlineStr">
        <is>
          <t>None</t>
        </is>
      </c>
      <c r="DZ360" s="17" t="n"/>
      <c r="EA360" s="16" t="n"/>
      <c r="EB360" s="20" t="inlineStr">
        <is>
          <t>IC Organic Acids</t>
        </is>
      </c>
      <c r="EC360" s="20" t="inlineStr">
        <is>
          <t>None</t>
        </is>
      </c>
      <c r="ED360" s="17" t="n"/>
      <c r="EE360" s="16" t="n"/>
      <c r="EF360" s="20" t="inlineStr">
        <is>
          <t>IC Organic Acids</t>
        </is>
      </c>
      <c r="EG360" s="20" t="inlineStr">
        <is>
          <t>None</t>
        </is>
      </c>
      <c r="EH360" s="17" t="n"/>
      <c r="EI360" s="16" t="n"/>
      <c r="EJ360" s="20" t="inlineStr">
        <is>
          <t>IC Organic Acids</t>
        </is>
      </c>
      <c r="EK360" s="20" t="inlineStr">
        <is>
          <t>None</t>
        </is>
      </c>
      <c r="EL360" s="17" t="n"/>
      <c r="EM360" s="16" t="n"/>
      <c r="EN360" s="20" t="inlineStr">
        <is>
          <t>IC Organic Acids</t>
        </is>
      </c>
      <c r="EO360" s="20" t="inlineStr">
        <is>
          <t>None</t>
        </is>
      </c>
      <c r="EP360" s="17" t="n"/>
      <c r="EQ360" s="16" t="n"/>
      <c r="ER360" s="20" t="inlineStr">
        <is>
          <t>IC Organic Acids</t>
        </is>
      </c>
      <c r="ES360" s="20" t="inlineStr">
        <is>
          <t>None</t>
        </is>
      </c>
      <c r="ET360" s="17" t="n"/>
      <c r="EU360" s="16" t="n"/>
      <c r="EV360" s="20" t="inlineStr">
        <is>
          <t>LC-MS</t>
        </is>
      </c>
      <c r="EW360" s="20" t="inlineStr">
        <is>
          <t>None</t>
        </is>
      </c>
      <c r="EX360" s="17" t="n"/>
      <c r="EY360" s="21" t="n"/>
      <c r="EZ360">
        <f>CONCATENATE(A360,B360)</f>
        <v/>
      </c>
      <c r="FA360">
        <f>CONCATENATE(SamplesX!A360,SamplesX!B360)</f>
        <v/>
      </c>
      <c r="FC360">
        <f>MATCH(EZ360,FA1:FA1008,0)</f>
        <v/>
      </c>
    </row>
    <row r="361">
      <c r="A361" s="16" t="inlineStr">
        <is>
          <t>BP</t>
        </is>
      </c>
      <c r="B361" s="17" t="inlineStr">
        <is>
          <t>25353</t>
        </is>
      </c>
      <c r="C361" s="10">
        <f>IF(ISNUMBER(FC361),INDIRECT("SamplesX!C"&amp;FC361),IF(ISNUMBER(FD361),INDIRECT("SamplesY!C"&amp;FD361),""))</f>
        <v/>
      </c>
      <c r="D361" s="12">
        <f>IF(ISNUMBER(FC361),INDIRECT("SamplesX!D"&amp;FC361),IF(ISNUMBER(FD361),INDIRECT("SamplesY!D"&amp;FD361),""))</f>
        <v/>
      </c>
      <c r="E361" s="12">
        <f>IF(ISNUMBER(FC361),INDIRECT("SamplesX!E"&amp;FC361),IF(ISNUMBER(FD361),INDIRECT("SamplesY!E"&amp;FD361),""))</f>
        <v/>
      </c>
      <c r="F361" s="11">
        <f>IF(ISNUMBER(FC361),INDIRECT("SamplesX!F"&amp;FC361),IF(ISNUMBER(FD361),INDIRECT("SamplesY!F"&amp;FD361),""))</f>
        <v/>
      </c>
      <c r="G361" s="18">
        <f>IF(ISNUMBER(FC361),INDIRECT("SamplesX!G"&amp;FC361),IF(ISNUMBER(FD361),INDIRECT("SamplesY!G"&amp;FD361),""))</f>
        <v/>
      </c>
      <c r="H361" s="19">
        <f>IF(ISNUMBER(FC361),INDIRECT("SamplesX!H"&amp;FC361),IF(ISNUMBER(FD361),INDIRECT("SamplesY!H"&amp;FD361),""))</f>
        <v/>
      </c>
      <c r="I361" s="16" t="n"/>
      <c r="J361" s="16" t="n"/>
      <c r="K361" s="16" t="n"/>
      <c r="L361" s="20" t="n"/>
      <c r="M361" s="20" t="inlineStr">
        <is>
          <t>None</t>
        </is>
      </c>
      <c r="N361" s="17" t="n"/>
      <c r="O361" s="16" t="n"/>
      <c r="P361" s="20" t="inlineStr">
        <is>
          <t>Shimadzu TOC-L</t>
        </is>
      </c>
      <c r="Q361" s="20" t="inlineStr">
        <is>
          <t>None</t>
        </is>
      </c>
      <c r="R361" s="17" t="n"/>
      <c r="S361" s="16" t="n"/>
      <c r="T361" s="20" t="inlineStr">
        <is>
          <t>Shimadzu TOC-L</t>
        </is>
      </c>
      <c r="U361" s="20" t="inlineStr">
        <is>
          <t>None</t>
        </is>
      </c>
      <c r="V361" s="17" t="n"/>
      <c r="W361" s="16" t="n"/>
      <c r="X361" s="20" t="n"/>
      <c r="Y361" s="20" t="inlineStr">
        <is>
          <t>None</t>
        </is>
      </c>
      <c r="Z361" s="17" t="n"/>
      <c r="AA361" s="16" t="n"/>
      <c r="AB361" s="20" t="n"/>
      <c r="AC361" s="20" t="inlineStr">
        <is>
          <t>None</t>
        </is>
      </c>
      <c r="AD361" s="17" t="n"/>
      <c r="AE361" s="16" t="n"/>
      <c r="AF361" s="20" t="inlineStr">
        <is>
          <t>IC Anionen</t>
        </is>
      </c>
      <c r="AG361" s="20" t="inlineStr">
        <is>
          <t>None</t>
        </is>
      </c>
      <c r="AH361" s="17" t="n"/>
      <c r="AI361" s="16" t="n"/>
      <c r="AJ361" s="20" t="n"/>
      <c r="AK361" s="20" t="inlineStr">
        <is>
          <t>None</t>
        </is>
      </c>
      <c r="AL361" s="17" t="n"/>
      <c r="AM361" s="16" t="n"/>
      <c r="AN361" s="20" t="inlineStr">
        <is>
          <t>IC Anionen</t>
        </is>
      </c>
      <c r="AO361" s="20" t="inlineStr">
        <is>
          <t>None</t>
        </is>
      </c>
      <c r="AP361" s="17" t="n"/>
      <c r="AQ361" s="16" t="n"/>
      <c r="AR361" s="20" t="n"/>
      <c r="AS361" s="20" t="inlineStr">
        <is>
          <t>None</t>
        </is>
      </c>
      <c r="AT361" s="17" t="n"/>
      <c r="AU361" s="16" t="n"/>
      <c r="AV361" s="20" t="n"/>
      <c r="AW361" s="20" t="inlineStr">
        <is>
          <t>None</t>
        </is>
      </c>
      <c r="AX361" s="17" t="n"/>
      <c r="AY361" s="16" t="n"/>
      <c r="AZ361" s="20" t="inlineStr">
        <is>
          <t>IC Anionen</t>
        </is>
      </c>
      <c r="BA361" s="20" t="inlineStr">
        <is>
          <t>None</t>
        </is>
      </c>
      <c r="BB361" s="17" t="n"/>
      <c r="BC361" s="16" t="n"/>
      <c r="BD361" s="20" t="inlineStr">
        <is>
          <t>IC Kationen</t>
        </is>
      </c>
      <c r="BE361" s="20" t="inlineStr">
        <is>
          <t>None</t>
        </is>
      </c>
      <c r="BF361" s="17" t="n"/>
      <c r="BG361" s="16" t="n"/>
      <c r="BH361" s="20" t="inlineStr">
        <is>
          <t>IC Kationen</t>
        </is>
      </c>
      <c r="BI361" s="20" t="inlineStr">
        <is>
          <t>None</t>
        </is>
      </c>
      <c r="BJ361" s="17" t="n"/>
      <c r="BK361" s="16" t="n"/>
      <c r="BL361" s="20" t="inlineStr">
        <is>
          <t>IC Kationen</t>
        </is>
      </c>
      <c r="BM361" s="20" t="inlineStr">
        <is>
          <t>None</t>
        </is>
      </c>
      <c r="BN361" s="17" t="n"/>
      <c r="BO361" s="16" t="n"/>
      <c r="BP361" s="20" t="inlineStr">
        <is>
          <t>IC Kationen</t>
        </is>
      </c>
      <c r="BQ361" s="20" t="inlineStr">
        <is>
          <t>None</t>
        </is>
      </c>
      <c r="BR361" s="17" t="n"/>
      <c r="BS361" s="16" t="n"/>
      <c r="BT361" s="20" t="inlineStr">
        <is>
          <t>IC Kationen</t>
        </is>
      </c>
      <c r="BU361" s="20" t="inlineStr">
        <is>
          <t>None</t>
        </is>
      </c>
      <c r="BV361" s="17" t="n"/>
      <c r="BW361" s="16" t="n"/>
      <c r="BX361" s="20" t="n"/>
      <c r="BY361" s="20" t="inlineStr">
        <is>
          <t>None</t>
        </is>
      </c>
      <c r="BZ361" s="17" t="n"/>
      <c r="CA361" s="16" t="n"/>
      <c r="CB361" s="20" t="n"/>
      <c r="CC361" s="20" t="inlineStr">
        <is>
          <t>None</t>
        </is>
      </c>
      <c r="CD361" s="17" t="n"/>
      <c r="CE361" s="16" t="n"/>
      <c r="CF361" s="20" t="n"/>
      <c r="CG361" s="20" t="inlineStr">
        <is>
          <t>None</t>
        </is>
      </c>
      <c r="CH361" s="17" t="n"/>
      <c r="CI361" s="16" t="n"/>
      <c r="CJ361" s="20" t="n"/>
      <c r="CK361" s="20" t="inlineStr">
        <is>
          <t>None</t>
        </is>
      </c>
      <c r="CL361" s="17" t="n"/>
      <c r="CM361" s="16" t="n"/>
      <c r="CN361" s="20" t="inlineStr">
        <is>
          <t>SOP 45-34</t>
        </is>
      </c>
      <c r="CO361" s="20" t="inlineStr">
        <is>
          <t>None</t>
        </is>
      </c>
      <c r="CP361" s="17" t="n"/>
      <c r="CQ361" s="16" t="n"/>
      <c r="CR361" s="20" t="n"/>
      <c r="CS361" s="20" t="inlineStr">
        <is>
          <t>None</t>
        </is>
      </c>
      <c r="CT361" s="17" t="n"/>
      <c r="CU361" s="16" t="n"/>
      <c r="CV361" s="20" t="n"/>
      <c r="CW361" s="20" t="inlineStr">
        <is>
          <t>None</t>
        </is>
      </c>
      <c r="CX361" s="17" t="n"/>
      <c r="CY361" s="16" t="n"/>
      <c r="CZ361" s="20" t="inlineStr">
        <is>
          <t>WTW Multimeter 3430 with FDO 925</t>
        </is>
      </c>
      <c r="DA361" s="20" t="inlineStr">
        <is>
          <t>None</t>
        </is>
      </c>
      <c r="DB361" s="17" t="n"/>
      <c r="DC361" s="16" t="n"/>
      <c r="DD361" s="20" t="n"/>
      <c r="DE361" s="20" t="inlineStr">
        <is>
          <t>None</t>
        </is>
      </c>
      <c r="DF361" s="17" t="n"/>
      <c r="DG361" s="16" t="n"/>
      <c r="DH361" s="20" t="inlineStr">
        <is>
          <t>SOP 45-09</t>
        </is>
      </c>
      <c r="DI361" s="20" t="inlineStr">
        <is>
          <t>None</t>
        </is>
      </c>
      <c r="DJ361" s="17" t="n"/>
      <c r="DK361" s="16" t="n"/>
      <c r="DL361" s="20" t="inlineStr">
        <is>
          <t>SOP 45-09 (SOP muss noch angepasst werden für VSS)</t>
        </is>
      </c>
      <c r="DM361" s="20" t="inlineStr">
        <is>
          <t>None</t>
        </is>
      </c>
      <c r="DN361" s="17" t="n"/>
      <c r="DO361" s="16" t="n"/>
      <c r="DP361" s="20" t="inlineStr">
        <is>
          <t>IC Organic Acids</t>
        </is>
      </c>
      <c r="DQ361" s="20" t="inlineStr">
        <is>
          <t>None</t>
        </is>
      </c>
      <c r="DR361" s="17" t="n"/>
      <c r="DS361" s="16" t="n"/>
      <c r="DT361" s="20" t="inlineStr">
        <is>
          <t>IC Organic Acids</t>
        </is>
      </c>
      <c r="DU361" s="20" t="inlineStr">
        <is>
          <t>None</t>
        </is>
      </c>
      <c r="DV361" s="17" t="n"/>
      <c r="DW361" s="16" t="n"/>
      <c r="DX361" s="20" t="inlineStr">
        <is>
          <t>IC Organic Acids</t>
        </is>
      </c>
      <c r="DY361" s="20" t="inlineStr">
        <is>
          <t>None</t>
        </is>
      </c>
      <c r="DZ361" s="17" t="n"/>
      <c r="EA361" s="16" t="n"/>
      <c r="EB361" s="20" t="inlineStr">
        <is>
          <t>IC Organic Acids</t>
        </is>
      </c>
      <c r="EC361" s="20" t="inlineStr">
        <is>
          <t>None</t>
        </is>
      </c>
      <c r="ED361" s="17" t="n"/>
      <c r="EE361" s="16" t="n"/>
      <c r="EF361" s="20" t="inlineStr">
        <is>
          <t>IC Organic Acids</t>
        </is>
      </c>
      <c r="EG361" s="20" t="inlineStr">
        <is>
          <t>None</t>
        </is>
      </c>
      <c r="EH361" s="17" t="n"/>
      <c r="EI361" s="16" t="n"/>
      <c r="EJ361" s="20" t="inlineStr">
        <is>
          <t>IC Organic Acids</t>
        </is>
      </c>
      <c r="EK361" s="20" t="inlineStr">
        <is>
          <t>None</t>
        </is>
      </c>
      <c r="EL361" s="17" t="n"/>
      <c r="EM361" s="16" t="n"/>
      <c r="EN361" s="20" t="inlineStr">
        <is>
          <t>IC Organic Acids</t>
        </is>
      </c>
      <c r="EO361" s="20" t="inlineStr">
        <is>
          <t>None</t>
        </is>
      </c>
      <c r="EP361" s="17" t="n"/>
      <c r="EQ361" s="16" t="n"/>
      <c r="ER361" s="20" t="inlineStr">
        <is>
          <t>IC Organic Acids</t>
        </is>
      </c>
      <c r="ES361" s="20" t="inlineStr">
        <is>
          <t>None</t>
        </is>
      </c>
      <c r="ET361" s="17" t="n"/>
      <c r="EU361" s="16" t="n"/>
      <c r="EV361" s="20" t="inlineStr">
        <is>
          <t>LC-MS</t>
        </is>
      </c>
      <c r="EW361" s="20" t="inlineStr">
        <is>
          <t>None</t>
        </is>
      </c>
      <c r="EX361" s="17" t="n"/>
      <c r="EY361" s="21" t="n"/>
      <c r="EZ361">
        <f>CONCATENATE(A361,B361)</f>
        <v/>
      </c>
      <c r="FA361">
        <f>CONCATENATE(SamplesX!A361,SamplesX!B361)</f>
        <v/>
      </c>
      <c r="FC361">
        <f>MATCH(EZ361,FA1:FA1008,0)</f>
        <v/>
      </c>
    </row>
    <row r="362">
      <c r="A362" s="16" t="inlineStr">
        <is>
          <t>BP</t>
        </is>
      </c>
      <c r="B362" s="17" t="inlineStr">
        <is>
          <t>25354</t>
        </is>
      </c>
      <c r="C362" s="10">
        <f>IF(ISNUMBER(FC362),INDIRECT("SamplesX!C"&amp;FC362),IF(ISNUMBER(FD362),INDIRECT("SamplesY!C"&amp;FD362),""))</f>
        <v/>
      </c>
      <c r="D362" s="12">
        <f>IF(ISNUMBER(FC362),INDIRECT("SamplesX!D"&amp;FC362),IF(ISNUMBER(FD362),INDIRECT("SamplesY!D"&amp;FD362),""))</f>
        <v/>
      </c>
      <c r="E362" s="12">
        <f>IF(ISNUMBER(FC362),INDIRECT("SamplesX!E"&amp;FC362),IF(ISNUMBER(FD362),INDIRECT("SamplesY!E"&amp;FD362),""))</f>
        <v/>
      </c>
      <c r="F362" s="11">
        <f>IF(ISNUMBER(FC362),INDIRECT("SamplesX!F"&amp;FC362),IF(ISNUMBER(FD362),INDIRECT("SamplesY!F"&amp;FD362),""))</f>
        <v/>
      </c>
      <c r="G362" s="18">
        <f>IF(ISNUMBER(FC362),INDIRECT("SamplesX!G"&amp;FC362),IF(ISNUMBER(FD362),INDIRECT("SamplesY!G"&amp;FD362),""))</f>
        <v/>
      </c>
      <c r="H362" s="19">
        <f>IF(ISNUMBER(FC362),INDIRECT("SamplesX!H"&amp;FC362),IF(ISNUMBER(FD362),INDIRECT("SamplesY!H"&amp;FD362),""))</f>
        <v/>
      </c>
      <c r="I362" s="16" t="n"/>
      <c r="J362" s="16" t="n"/>
      <c r="K362" s="16" t="n"/>
      <c r="L362" s="20" t="n"/>
      <c r="M362" s="20" t="inlineStr">
        <is>
          <t>None</t>
        </is>
      </c>
      <c r="N362" s="17" t="n"/>
      <c r="O362" s="16" t="n"/>
      <c r="P362" s="20" t="inlineStr">
        <is>
          <t>Shimadzu TOC-L</t>
        </is>
      </c>
      <c r="Q362" s="20" t="inlineStr">
        <is>
          <t>None</t>
        </is>
      </c>
      <c r="R362" s="17" t="n"/>
      <c r="S362" s="16" t="n"/>
      <c r="T362" s="20" t="inlineStr">
        <is>
          <t>Shimadzu TOC-L</t>
        </is>
      </c>
      <c r="U362" s="20" t="inlineStr">
        <is>
          <t>None</t>
        </is>
      </c>
      <c r="V362" s="17" t="n"/>
      <c r="W362" s="16" t="n"/>
      <c r="X362" s="20" t="n"/>
      <c r="Y362" s="20" t="inlineStr">
        <is>
          <t>None</t>
        </is>
      </c>
      <c r="Z362" s="17" t="n"/>
      <c r="AA362" s="16" t="n"/>
      <c r="AB362" s="20" t="n"/>
      <c r="AC362" s="20" t="inlineStr">
        <is>
          <t>None</t>
        </is>
      </c>
      <c r="AD362" s="17" t="n"/>
      <c r="AE362" s="16" t="n"/>
      <c r="AF362" s="20" t="inlineStr">
        <is>
          <t>IC Anionen</t>
        </is>
      </c>
      <c r="AG362" s="20" t="inlineStr">
        <is>
          <t>None</t>
        </is>
      </c>
      <c r="AH362" s="17" t="n"/>
      <c r="AI362" s="16" t="n"/>
      <c r="AJ362" s="20" t="n"/>
      <c r="AK362" s="20" t="inlineStr">
        <is>
          <t>None</t>
        </is>
      </c>
      <c r="AL362" s="17" t="n"/>
      <c r="AM362" s="16" t="n"/>
      <c r="AN362" s="20" t="inlineStr">
        <is>
          <t>IC Anionen</t>
        </is>
      </c>
      <c r="AO362" s="20" t="inlineStr">
        <is>
          <t>None</t>
        </is>
      </c>
      <c r="AP362" s="17" t="n"/>
      <c r="AQ362" s="16" t="n"/>
      <c r="AR362" s="20" t="n"/>
      <c r="AS362" s="20" t="inlineStr">
        <is>
          <t>None</t>
        </is>
      </c>
      <c r="AT362" s="17" t="n"/>
      <c r="AU362" s="16" t="n"/>
      <c r="AV362" s="20" t="n"/>
      <c r="AW362" s="20" t="inlineStr">
        <is>
          <t>None</t>
        </is>
      </c>
      <c r="AX362" s="17" t="n"/>
      <c r="AY362" s="16" t="n"/>
      <c r="AZ362" s="20" t="inlineStr">
        <is>
          <t>IC Anionen</t>
        </is>
      </c>
      <c r="BA362" s="20" t="inlineStr">
        <is>
          <t>None</t>
        </is>
      </c>
      <c r="BB362" s="17" t="n"/>
      <c r="BC362" s="16" t="n"/>
      <c r="BD362" s="20" t="inlineStr">
        <is>
          <t>IC Kationen</t>
        </is>
      </c>
      <c r="BE362" s="20" t="inlineStr">
        <is>
          <t>None</t>
        </is>
      </c>
      <c r="BF362" s="17" t="n"/>
      <c r="BG362" s="16" t="n"/>
      <c r="BH362" s="20" t="inlineStr">
        <is>
          <t>IC Kationen</t>
        </is>
      </c>
      <c r="BI362" s="20" t="inlineStr">
        <is>
          <t>None</t>
        </is>
      </c>
      <c r="BJ362" s="17" t="n"/>
      <c r="BK362" s="16" t="n"/>
      <c r="BL362" s="20" t="inlineStr">
        <is>
          <t>IC Kationen</t>
        </is>
      </c>
      <c r="BM362" s="20" t="inlineStr">
        <is>
          <t>None</t>
        </is>
      </c>
      <c r="BN362" s="17" t="n"/>
      <c r="BO362" s="16" t="n"/>
      <c r="BP362" s="20" t="inlineStr">
        <is>
          <t>IC Kationen</t>
        </is>
      </c>
      <c r="BQ362" s="20" t="inlineStr">
        <is>
          <t>None</t>
        </is>
      </c>
      <c r="BR362" s="17" t="n"/>
      <c r="BS362" s="16" t="n"/>
      <c r="BT362" s="20" t="inlineStr">
        <is>
          <t>IC Kationen</t>
        </is>
      </c>
      <c r="BU362" s="20" t="inlineStr">
        <is>
          <t>None</t>
        </is>
      </c>
      <c r="BV362" s="17" t="n"/>
      <c r="BW362" s="16" t="n"/>
      <c r="BX362" s="20" t="n"/>
      <c r="BY362" s="20" t="inlineStr">
        <is>
          <t>None</t>
        </is>
      </c>
      <c r="BZ362" s="17" t="n"/>
      <c r="CA362" s="16" t="n"/>
      <c r="CB362" s="20" t="n"/>
      <c r="CC362" s="20" t="inlineStr">
        <is>
          <t>None</t>
        </is>
      </c>
      <c r="CD362" s="17" t="n"/>
      <c r="CE362" s="16" t="n"/>
      <c r="CF362" s="20" t="n"/>
      <c r="CG362" s="20" t="inlineStr">
        <is>
          <t>None</t>
        </is>
      </c>
      <c r="CH362" s="17" t="n"/>
      <c r="CI362" s="16" t="n"/>
      <c r="CJ362" s="20" t="n"/>
      <c r="CK362" s="20" t="inlineStr">
        <is>
          <t>None</t>
        </is>
      </c>
      <c r="CL362" s="17" t="n"/>
      <c r="CM362" s="16" t="n"/>
      <c r="CN362" s="20" t="inlineStr">
        <is>
          <t>SOP 45-34</t>
        </is>
      </c>
      <c r="CO362" s="20" t="inlineStr">
        <is>
          <t>None</t>
        </is>
      </c>
      <c r="CP362" s="17" t="n"/>
      <c r="CQ362" s="16" t="n"/>
      <c r="CR362" s="20" t="n"/>
      <c r="CS362" s="20" t="inlineStr">
        <is>
          <t>None</t>
        </is>
      </c>
      <c r="CT362" s="17" t="n"/>
      <c r="CU362" s="16" t="n"/>
      <c r="CV362" s="20" t="n"/>
      <c r="CW362" s="20" t="inlineStr">
        <is>
          <t>None</t>
        </is>
      </c>
      <c r="CX362" s="17" t="n"/>
      <c r="CY362" s="16" t="n"/>
      <c r="CZ362" s="20" t="inlineStr">
        <is>
          <t>WTW Multimeter 3430 with FDO 925</t>
        </is>
      </c>
      <c r="DA362" s="20" t="inlineStr">
        <is>
          <t>None</t>
        </is>
      </c>
      <c r="DB362" s="17" t="n"/>
      <c r="DC362" s="16" t="n"/>
      <c r="DD362" s="20" t="n"/>
      <c r="DE362" s="20" t="inlineStr">
        <is>
          <t>None</t>
        </is>
      </c>
      <c r="DF362" s="17" t="n"/>
      <c r="DG362" s="16" t="n"/>
      <c r="DH362" s="20" t="inlineStr">
        <is>
          <t>SOP 45-09</t>
        </is>
      </c>
      <c r="DI362" s="20" t="inlineStr">
        <is>
          <t>None</t>
        </is>
      </c>
      <c r="DJ362" s="17" t="n"/>
      <c r="DK362" s="16" t="n"/>
      <c r="DL362" s="20" t="inlineStr">
        <is>
          <t>SOP 45-09 (SOP muss noch angepasst werden für VSS)</t>
        </is>
      </c>
      <c r="DM362" s="20" t="inlineStr">
        <is>
          <t>None</t>
        </is>
      </c>
      <c r="DN362" s="17" t="n"/>
      <c r="DO362" s="16" t="n"/>
      <c r="DP362" s="20" t="inlineStr">
        <is>
          <t>IC Organic Acids</t>
        </is>
      </c>
      <c r="DQ362" s="20" t="inlineStr">
        <is>
          <t>None</t>
        </is>
      </c>
      <c r="DR362" s="17" t="n"/>
      <c r="DS362" s="16" t="n"/>
      <c r="DT362" s="20" t="inlineStr">
        <is>
          <t>IC Organic Acids</t>
        </is>
      </c>
      <c r="DU362" s="20" t="inlineStr">
        <is>
          <t>None</t>
        </is>
      </c>
      <c r="DV362" s="17" t="n"/>
      <c r="DW362" s="16" t="n"/>
      <c r="DX362" s="20" t="inlineStr">
        <is>
          <t>IC Organic Acids</t>
        </is>
      </c>
      <c r="DY362" s="20" t="inlineStr">
        <is>
          <t>None</t>
        </is>
      </c>
      <c r="DZ362" s="17" t="n"/>
      <c r="EA362" s="16" t="n"/>
      <c r="EB362" s="20" t="inlineStr">
        <is>
          <t>IC Organic Acids</t>
        </is>
      </c>
      <c r="EC362" s="20" t="inlineStr">
        <is>
          <t>None</t>
        </is>
      </c>
      <c r="ED362" s="17" t="n"/>
      <c r="EE362" s="16" t="n"/>
      <c r="EF362" s="20" t="inlineStr">
        <is>
          <t>IC Organic Acids</t>
        </is>
      </c>
      <c r="EG362" s="20" t="inlineStr">
        <is>
          <t>None</t>
        </is>
      </c>
      <c r="EH362" s="17" t="n"/>
      <c r="EI362" s="16" t="n"/>
      <c r="EJ362" s="20" t="inlineStr">
        <is>
          <t>IC Organic Acids</t>
        </is>
      </c>
      <c r="EK362" s="20" t="inlineStr">
        <is>
          <t>None</t>
        </is>
      </c>
      <c r="EL362" s="17" t="n"/>
      <c r="EM362" s="16" t="n"/>
      <c r="EN362" s="20" t="inlineStr">
        <is>
          <t>IC Organic Acids</t>
        </is>
      </c>
      <c r="EO362" s="20" t="inlineStr">
        <is>
          <t>None</t>
        </is>
      </c>
      <c r="EP362" s="17" t="n"/>
      <c r="EQ362" s="16" t="n"/>
      <c r="ER362" s="20" t="inlineStr">
        <is>
          <t>IC Organic Acids</t>
        </is>
      </c>
      <c r="ES362" s="20" t="inlineStr">
        <is>
          <t>None</t>
        </is>
      </c>
      <c r="ET362" s="17" t="n"/>
      <c r="EU362" s="16" t="n"/>
      <c r="EV362" s="20" t="inlineStr">
        <is>
          <t>LC-MS</t>
        </is>
      </c>
      <c r="EW362" s="20" t="inlineStr">
        <is>
          <t>None</t>
        </is>
      </c>
      <c r="EX362" s="17" t="n"/>
      <c r="EY362" s="21" t="n"/>
      <c r="EZ362">
        <f>CONCATENATE(A362,B362)</f>
        <v/>
      </c>
      <c r="FA362">
        <f>CONCATENATE(SamplesX!A362,SamplesX!B362)</f>
        <v/>
      </c>
      <c r="FC362">
        <f>MATCH(EZ362,FA1:FA1008,0)</f>
        <v/>
      </c>
    </row>
    <row r="363">
      <c r="A363" s="16" t="inlineStr">
        <is>
          <t>BP</t>
        </is>
      </c>
      <c r="B363" s="17" t="inlineStr">
        <is>
          <t>25355</t>
        </is>
      </c>
      <c r="C363" s="10">
        <f>IF(ISNUMBER(FC363),INDIRECT("SamplesX!C"&amp;FC363),IF(ISNUMBER(FD363),INDIRECT("SamplesY!C"&amp;FD363),""))</f>
        <v/>
      </c>
      <c r="D363" s="12">
        <f>IF(ISNUMBER(FC363),INDIRECT("SamplesX!D"&amp;FC363),IF(ISNUMBER(FD363),INDIRECT("SamplesY!D"&amp;FD363),""))</f>
        <v/>
      </c>
      <c r="E363" s="12">
        <f>IF(ISNUMBER(FC363),INDIRECT("SamplesX!E"&amp;FC363),IF(ISNUMBER(FD363),INDIRECT("SamplesY!E"&amp;FD363),""))</f>
        <v/>
      </c>
      <c r="F363" s="11">
        <f>IF(ISNUMBER(FC363),INDIRECT("SamplesX!F"&amp;FC363),IF(ISNUMBER(FD363),INDIRECT("SamplesY!F"&amp;FD363),""))</f>
        <v/>
      </c>
      <c r="G363" s="18">
        <f>IF(ISNUMBER(FC363),INDIRECT("SamplesX!G"&amp;FC363),IF(ISNUMBER(FD363),INDIRECT("SamplesY!G"&amp;FD363),""))</f>
        <v/>
      </c>
      <c r="H363" s="19">
        <f>IF(ISNUMBER(FC363),INDIRECT("SamplesX!H"&amp;FC363),IF(ISNUMBER(FD363),INDIRECT("SamplesY!H"&amp;FD363),""))</f>
        <v/>
      </c>
      <c r="I363" s="16" t="n"/>
      <c r="J363" s="16" t="n"/>
      <c r="K363" s="16" t="n"/>
      <c r="L363" s="20" t="n"/>
      <c r="M363" s="20" t="inlineStr">
        <is>
          <t>None</t>
        </is>
      </c>
      <c r="N363" s="17" t="n"/>
      <c r="O363" s="16" t="n"/>
      <c r="P363" s="20" t="inlineStr">
        <is>
          <t>Shimadzu TOC-L</t>
        </is>
      </c>
      <c r="Q363" s="20" t="inlineStr">
        <is>
          <t>None</t>
        </is>
      </c>
      <c r="R363" s="17" t="n"/>
      <c r="S363" s="16" t="n"/>
      <c r="T363" s="20" t="inlineStr">
        <is>
          <t>Shimadzu TOC-L</t>
        </is>
      </c>
      <c r="U363" s="20" t="inlineStr">
        <is>
          <t>None</t>
        </is>
      </c>
      <c r="V363" s="17" t="n"/>
      <c r="W363" s="16" t="n"/>
      <c r="X363" s="20" t="n"/>
      <c r="Y363" s="20" t="inlineStr">
        <is>
          <t>None</t>
        </is>
      </c>
      <c r="Z363" s="17" t="n"/>
      <c r="AA363" s="16" t="n"/>
      <c r="AB363" s="20" t="n"/>
      <c r="AC363" s="20" t="inlineStr">
        <is>
          <t>None</t>
        </is>
      </c>
      <c r="AD363" s="17" t="n"/>
      <c r="AE363" s="16" t="n"/>
      <c r="AF363" s="20" t="inlineStr">
        <is>
          <t>IC Anionen</t>
        </is>
      </c>
      <c r="AG363" s="20" t="inlineStr">
        <is>
          <t>None</t>
        </is>
      </c>
      <c r="AH363" s="17" t="n"/>
      <c r="AI363" s="16" t="n"/>
      <c r="AJ363" s="20" t="n"/>
      <c r="AK363" s="20" t="inlineStr">
        <is>
          <t>None</t>
        </is>
      </c>
      <c r="AL363" s="17" t="n"/>
      <c r="AM363" s="16" t="n"/>
      <c r="AN363" s="20" t="inlineStr">
        <is>
          <t>IC Anionen</t>
        </is>
      </c>
      <c r="AO363" s="20" t="inlineStr">
        <is>
          <t>None</t>
        </is>
      </c>
      <c r="AP363" s="17" t="n"/>
      <c r="AQ363" s="16" t="n"/>
      <c r="AR363" s="20" t="n"/>
      <c r="AS363" s="20" t="inlineStr">
        <is>
          <t>None</t>
        </is>
      </c>
      <c r="AT363" s="17" t="n"/>
      <c r="AU363" s="16" t="n"/>
      <c r="AV363" s="20" t="n"/>
      <c r="AW363" s="20" t="inlineStr">
        <is>
          <t>None</t>
        </is>
      </c>
      <c r="AX363" s="17" t="n"/>
      <c r="AY363" s="16" t="n"/>
      <c r="AZ363" s="20" t="inlineStr">
        <is>
          <t>IC Anionen</t>
        </is>
      </c>
      <c r="BA363" s="20" t="inlineStr">
        <is>
          <t>None</t>
        </is>
      </c>
      <c r="BB363" s="17" t="n"/>
      <c r="BC363" s="16" t="n"/>
      <c r="BD363" s="20" t="inlineStr">
        <is>
          <t>IC Kationen</t>
        </is>
      </c>
      <c r="BE363" s="20" t="inlineStr">
        <is>
          <t>None</t>
        </is>
      </c>
      <c r="BF363" s="17" t="n"/>
      <c r="BG363" s="16" t="n"/>
      <c r="BH363" s="20" t="inlineStr">
        <is>
          <t>IC Kationen</t>
        </is>
      </c>
      <c r="BI363" s="20" t="inlineStr">
        <is>
          <t>None</t>
        </is>
      </c>
      <c r="BJ363" s="17" t="n"/>
      <c r="BK363" s="16" t="n"/>
      <c r="BL363" s="20" t="inlineStr">
        <is>
          <t>IC Kationen</t>
        </is>
      </c>
      <c r="BM363" s="20" t="inlineStr">
        <is>
          <t>None</t>
        </is>
      </c>
      <c r="BN363" s="17" t="n"/>
      <c r="BO363" s="16" t="n"/>
      <c r="BP363" s="20" t="inlineStr">
        <is>
          <t>IC Kationen</t>
        </is>
      </c>
      <c r="BQ363" s="20" t="inlineStr">
        <is>
          <t>None</t>
        </is>
      </c>
      <c r="BR363" s="17" t="n"/>
      <c r="BS363" s="16" t="n"/>
      <c r="BT363" s="20" t="inlineStr">
        <is>
          <t>IC Kationen</t>
        </is>
      </c>
      <c r="BU363" s="20" t="inlineStr">
        <is>
          <t>None</t>
        </is>
      </c>
      <c r="BV363" s="17" t="n"/>
      <c r="BW363" s="16" t="n"/>
      <c r="BX363" s="20" t="n"/>
      <c r="BY363" s="20" t="inlineStr">
        <is>
          <t>None</t>
        </is>
      </c>
      <c r="BZ363" s="17" t="n"/>
      <c r="CA363" s="16" t="n"/>
      <c r="CB363" s="20" t="n"/>
      <c r="CC363" s="20" t="inlineStr">
        <is>
          <t>None</t>
        </is>
      </c>
      <c r="CD363" s="17" t="n"/>
      <c r="CE363" s="16" t="n"/>
      <c r="CF363" s="20" t="n"/>
      <c r="CG363" s="20" t="inlineStr">
        <is>
          <t>None</t>
        </is>
      </c>
      <c r="CH363" s="17" t="n"/>
      <c r="CI363" s="16" t="n"/>
      <c r="CJ363" s="20" t="n"/>
      <c r="CK363" s="20" t="inlineStr">
        <is>
          <t>None</t>
        </is>
      </c>
      <c r="CL363" s="17" t="n"/>
      <c r="CM363" s="16" t="n"/>
      <c r="CN363" s="20" t="inlineStr">
        <is>
          <t>SOP 45-34</t>
        </is>
      </c>
      <c r="CO363" s="20" t="inlineStr">
        <is>
          <t>None</t>
        </is>
      </c>
      <c r="CP363" s="17" t="n"/>
      <c r="CQ363" s="16" t="n"/>
      <c r="CR363" s="20" t="n"/>
      <c r="CS363" s="20" t="inlineStr">
        <is>
          <t>None</t>
        </is>
      </c>
      <c r="CT363" s="17" t="n"/>
      <c r="CU363" s="16" t="n"/>
      <c r="CV363" s="20" t="n"/>
      <c r="CW363" s="20" t="inlineStr">
        <is>
          <t>None</t>
        </is>
      </c>
      <c r="CX363" s="17" t="n"/>
      <c r="CY363" s="16" t="n"/>
      <c r="CZ363" s="20" t="inlineStr">
        <is>
          <t>WTW Multimeter 3430 with FDO 925</t>
        </is>
      </c>
      <c r="DA363" s="20" t="inlineStr">
        <is>
          <t>None</t>
        </is>
      </c>
      <c r="DB363" s="17" t="n"/>
      <c r="DC363" s="16" t="n"/>
      <c r="DD363" s="20" t="n"/>
      <c r="DE363" s="20" t="inlineStr">
        <is>
          <t>None</t>
        </is>
      </c>
      <c r="DF363" s="17" t="n"/>
      <c r="DG363" s="16" t="n"/>
      <c r="DH363" s="20" t="inlineStr">
        <is>
          <t>SOP 45-09</t>
        </is>
      </c>
      <c r="DI363" s="20" t="inlineStr">
        <is>
          <t>None</t>
        </is>
      </c>
      <c r="DJ363" s="17" t="n"/>
      <c r="DK363" s="16" t="n"/>
      <c r="DL363" s="20" t="inlineStr">
        <is>
          <t>SOP 45-09 (SOP muss noch angepasst werden für VSS)</t>
        </is>
      </c>
      <c r="DM363" s="20" t="inlineStr">
        <is>
          <t>None</t>
        </is>
      </c>
      <c r="DN363" s="17" t="n"/>
      <c r="DO363" s="16" t="n"/>
      <c r="DP363" s="20" t="inlineStr">
        <is>
          <t>IC Organic Acids</t>
        </is>
      </c>
      <c r="DQ363" s="20" t="inlineStr">
        <is>
          <t>None</t>
        </is>
      </c>
      <c r="DR363" s="17" t="n"/>
      <c r="DS363" s="16" t="n"/>
      <c r="DT363" s="20" t="inlineStr">
        <is>
          <t>IC Organic Acids</t>
        </is>
      </c>
      <c r="DU363" s="20" t="inlineStr">
        <is>
          <t>None</t>
        </is>
      </c>
      <c r="DV363" s="17" t="n"/>
      <c r="DW363" s="16" t="n"/>
      <c r="DX363" s="20" t="inlineStr">
        <is>
          <t>IC Organic Acids</t>
        </is>
      </c>
      <c r="DY363" s="20" t="inlineStr">
        <is>
          <t>None</t>
        </is>
      </c>
      <c r="DZ363" s="17" t="n"/>
      <c r="EA363" s="16" t="n"/>
      <c r="EB363" s="20" t="inlineStr">
        <is>
          <t>IC Organic Acids</t>
        </is>
      </c>
      <c r="EC363" s="20" t="inlineStr">
        <is>
          <t>None</t>
        </is>
      </c>
      <c r="ED363" s="17" t="n"/>
      <c r="EE363" s="16" t="n"/>
      <c r="EF363" s="20" t="inlineStr">
        <is>
          <t>IC Organic Acids</t>
        </is>
      </c>
      <c r="EG363" s="20" t="inlineStr">
        <is>
          <t>None</t>
        </is>
      </c>
      <c r="EH363" s="17" t="n"/>
      <c r="EI363" s="16" t="n"/>
      <c r="EJ363" s="20" t="inlineStr">
        <is>
          <t>IC Organic Acids</t>
        </is>
      </c>
      <c r="EK363" s="20" t="inlineStr">
        <is>
          <t>None</t>
        </is>
      </c>
      <c r="EL363" s="17" t="n"/>
      <c r="EM363" s="16" t="n"/>
      <c r="EN363" s="20" t="inlineStr">
        <is>
          <t>IC Organic Acids</t>
        </is>
      </c>
      <c r="EO363" s="20" t="inlineStr">
        <is>
          <t>None</t>
        </is>
      </c>
      <c r="EP363" s="17" t="n"/>
      <c r="EQ363" s="16" t="n"/>
      <c r="ER363" s="20" t="inlineStr">
        <is>
          <t>IC Organic Acids</t>
        </is>
      </c>
      <c r="ES363" s="20" t="inlineStr">
        <is>
          <t>None</t>
        </is>
      </c>
      <c r="ET363" s="17" t="n"/>
      <c r="EU363" s="16" t="n"/>
      <c r="EV363" s="20" t="inlineStr">
        <is>
          <t>LC-MS</t>
        </is>
      </c>
      <c r="EW363" s="20" t="inlineStr">
        <is>
          <t>None</t>
        </is>
      </c>
      <c r="EX363" s="17" t="n"/>
      <c r="EY363" s="21" t="n"/>
      <c r="EZ363">
        <f>CONCATENATE(A363,B363)</f>
        <v/>
      </c>
      <c r="FA363">
        <f>CONCATENATE(SamplesX!A363,SamplesX!B363)</f>
        <v/>
      </c>
      <c r="FC363">
        <f>MATCH(EZ363,FA1:FA1008,0)</f>
        <v/>
      </c>
    </row>
    <row r="364">
      <c r="A364" s="16" t="inlineStr">
        <is>
          <t>BP</t>
        </is>
      </c>
      <c r="B364" s="17" t="inlineStr">
        <is>
          <t>25356</t>
        </is>
      </c>
      <c r="C364" s="10">
        <f>IF(ISNUMBER(FC364),INDIRECT("SamplesX!C"&amp;FC364),IF(ISNUMBER(FD364),INDIRECT("SamplesY!C"&amp;FD364),""))</f>
        <v/>
      </c>
      <c r="D364" s="12">
        <f>IF(ISNUMBER(FC364),INDIRECT("SamplesX!D"&amp;FC364),IF(ISNUMBER(FD364),INDIRECT("SamplesY!D"&amp;FD364),""))</f>
        <v/>
      </c>
      <c r="E364" s="12">
        <f>IF(ISNUMBER(FC364),INDIRECT("SamplesX!E"&amp;FC364),IF(ISNUMBER(FD364),INDIRECT("SamplesY!E"&amp;FD364),""))</f>
        <v/>
      </c>
      <c r="F364" s="11">
        <f>IF(ISNUMBER(FC364),INDIRECT("SamplesX!F"&amp;FC364),IF(ISNUMBER(FD364),INDIRECT("SamplesY!F"&amp;FD364),""))</f>
        <v/>
      </c>
      <c r="G364" s="18">
        <f>IF(ISNUMBER(FC364),INDIRECT("SamplesX!G"&amp;FC364),IF(ISNUMBER(FD364),INDIRECT("SamplesY!G"&amp;FD364),""))</f>
        <v/>
      </c>
      <c r="H364" s="19">
        <f>IF(ISNUMBER(FC364),INDIRECT("SamplesX!H"&amp;FC364),IF(ISNUMBER(FD364),INDIRECT("SamplesY!H"&amp;FD364),""))</f>
        <v/>
      </c>
      <c r="I364" s="16" t="n"/>
      <c r="J364" s="16" t="n"/>
      <c r="K364" s="16" t="n"/>
      <c r="L364" s="20" t="n"/>
      <c r="M364" s="20" t="inlineStr">
        <is>
          <t>None</t>
        </is>
      </c>
      <c r="N364" s="17" t="n"/>
      <c r="O364" s="16" t="n"/>
      <c r="P364" s="20" t="inlineStr">
        <is>
          <t>Shimadzu TOC-L</t>
        </is>
      </c>
      <c r="Q364" s="20" t="inlineStr">
        <is>
          <t>None</t>
        </is>
      </c>
      <c r="R364" s="17" t="n"/>
      <c r="S364" s="16" t="n"/>
      <c r="T364" s="20" t="inlineStr">
        <is>
          <t>Shimadzu TOC-L</t>
        </is>
      </c>
      <c r="U364" s="20" t="inlineStr">
        <is>
          <t>None</t>
        </is>
      </c>
      <c r="V364" s="17" t="n"/>
      <c r="W364" s="16" t="n"/>
      <c r="X364" s="20" t="n"/>
      <c r="Y364" s="20" t="inlineStr">
        <is>
          <t>None</t>
        </is>
      </c>
      <c r="Z364" s="17" t="n"/>
      <c r="AA364" s="16" t="n"/>
      <c r="AB364" s="20" t="n"/>
      <c r="AC364" s="20" t="inlineStr">
        <is>
          <t>None</t>
        </is>
      </c>
      <c r="AD364" s="17" t="n"/>
      <c r="AE364" s="16" t="n"/>
      <c r="AF364" s="20" t="inlineStr">
        <is>
          <t>IC Anionen</t>
        </is>
      </c>
      <c r="AG364" s="20" t="inlineStr">
        <is>
          <t>None</t>
        </is>
      </c>
      <c r="AH364" s="17" t="n"/>
      <c r="AI364" s="16" t="n"/>
      <c r="AJ364" s="20" t="n"/>
      <c r="AK364" s="20" t="inlineStr">
        <is>
          <t>None</t>
        </is>
      </c>
      <c r="AL364" s="17" t="n"/>
      <c r="AM364" s="16" t="n"/>
      <c r="AN364" s="20" t="inlineStr">
        <is>
          <t>IC Anionen</t>
        </is>
      </c>
      <c r="AO364" s="20" t="inlineStr">
        <is>
          <t>None</t>
        </is>
      </c>
      <c r="AP364" s="17" t="n"/>
      <c r="AQ364" s="16" t="n"/>
      <c r="AR364" s="20" t="n"/>
      <c r="AS364" s="20" t="inlineStr">
        <is>
          <t>None</t>
        </is>
      </c>
      <c r="AT364" s="17" t="n"/>
      <c r="AU364" s="16" t="n"/>
      <c r="AV364" s="20" t="n"/>
      <c r="AW364" s="20" t="inlineStr">
        <is>
          <t>None</t>
        </is>
      </c>
      <c r="AX364" s="17" t="n"/>
      <c r="AY364" s="16" t="n"/>
      <c r="AZ364" s="20" t="inlineStr">
        <is>
          <t>IC Anionen</t>
        </is>
      </c>
      <c r="BA364" s="20" t="inlineStr">
        <is>
          <t>None</t>
        </is>
      </c>
      <c r="BB364" s="17" t="n"/>
      <c r="BC364" s="16" t="n"/>
      <c r="BD364" s="20" t="inlineStr">
        <is>
          <t>IC Kationen</t>
        </is>
      </c>
      <c r="BE364" s="20" t="inlineStr">
        <is>
          <t>None</t>
        </is>
      </c>
      <c r="BF364" s="17" t="n"/>
      <c r="BG364" s="16" t="n"/>
      <c r="BH364" s="20" t="inlineStr">
        <is>
          <t>IC Kationen</t>
        </is>
      </c>
      <c r="BI364" s="20" t="inlineStr">
        <is>
          <t>None</t>
        </is>
      </c>
      <c r="BJ364" s="17" t="n"/>
      <c r="BK364" s="16" t="n"/>
      <c r="BL364" s="20" t="inlineStr">
        <is>
          <t>IC Kationen</t>
        </is>
      </c>
      <c r="BM364" s="20" t="inlineStr">
        <is>
          <t>None</t>
        </is>
      </c>
      <c r="BN364" s="17" t="n"/>
      <c r="BO364" s="16" t="n"/>
      <c r="BP364" s="20" t="inlineStr">
        <is>
          <t>IC Kationen</t>
        </is>
      </c>
      <c r="BQ364" s="20" t="inlineStr">
        <is>
          <t>None</t>
        </is>
      </c>
      <c r="BR364" s="17" t="n"/>
      <c r="BS364" s="16" t="n"/>
      <c r="BT364" s="20" t="inlineStr">
        <is>
          <t>IC Kationen</t>
        </is>
      </c>
      <c r="BU364" s="20" t="inlineStr">
        <is>
          <t>None</t>
        </is>
      </c>
      <c r="BV364" s="17" t="n"/>
      <c r="BW364" s="16" t="n"/>
      <c r="BX364" s="20" t="n"/>
      <c r="BY364" s="20" t="inlineStr">
        <is>
          <t>None</t>
        </is>
      </c>
      <c r="BZ364" s="17" t="n"/>
      <c r="CA364" s="16" t="n"/>
      <c r="CB364" s="20" t="n"/>
      <c r="CC364" s="20" t="inlineStr">
        <is>
          <t>None</t>
        </is>
      </c>
      <c r="CD364" s="17" t="n"/>
      <c r="CE364" s="16" t="n"/>
      <c r="CF364" s="20" t="n"/>
      <c r="CG364" s="20" t="inlineStr">
        <is>
          <t>None</t>
        </is>
      </c>
      <c r="CH364" s="17" t="n"/>
      <c r="CI364" s="16" t="n"/>
      <c r="CJ364" s="20" t="n"/>
      <c r="CK364" s="20" t="inlineStr">
        <is>
          <t>None</t>
        </is>
      </c>
      <c r="CL364" s="17" t="n"/>
      <c r="CM364" s="16" t="n"/>
      <c r="CN364" s="20" t="inlineStr">
        <is>
          <t>SOP 45-34</t>
        </is>
      </c>
      <c r="CO364" s="20" t="inlineStr">
        <is>
          <t>None</t>
        </is>
      </c>
      <c r="CP364" s="17" t="n"/>
      <c r="CQ364" s="16" t="n"/>
      <c r="CR364" s="20" t="n"/>
      <c r="CS364" s="20" t="inlineStr">
        <is>
          <t>None</t>
        </is>
      </c>
      <c r="CT364" s="17" t="n"/>
      <c r="CU364" s="16" t="n"/>
      <c r="CV364" s="20" t="n"/>
      <c r="CW364" s="20" t="inlineStr">
        <is>
          <t>None</t>
        </is>
      </c>
      <c r="CX364" s="17" t="n"/>
      <c r="CY364" s="16" t="n"/>
      <c r="CZ364" s="20" t="inlineStr">
        <is>
          <t>WTW Multimeter 3430 with FDO 925</t>
        </is>
      </c>
      <c r="DA364" s="20" t="inlineStr">
        <is>
          <t>None</t>
        </is>
      </c>
      <c r="DB364" s="17" t="n"/>
      <c r="DC364" s="16" t="n"/>
      <c r="DD364" s="20" t="n"/>
      <c r="DE364" s="20" t="inlineStr">
        <is>
          <t>None</t>
        </is>
      </c>
      <c r="DF364" s="17" t="n"/>
      <c r="DG364" s="16" t="n"/>
      <c r="DH364" s="20" t="inlineStr">
        <is>
          <t>SOP 45-09</t>
        </is>
      </c>
      <c r="DI364" s="20" t="inlineStr">
        <is>
          <t>None</t>
        </is>
      </c>
      <c r="DJ364" s="17" t="n"/>
      <c r="DK364" s="16" t="n"/>
      <c r="DL364" s="20" t="inlineStr">
        <is>
          <t>SOP 45-09 (SOP muss noch angepasst werden für VSS)</t>
        </is>
      </c>
      <c r="DM364" s="20" t="inlineStr">
        <is>
          <t>None</t>
        </is>
      </c>
      <c r="DN364" s="17" t="n"/>
      <c r="DO364" s="16" t="n"/>
      <c r="DP364" s="20" t="inlineStr">
        <is>
          <t>IC Organic Acids</t>
        </is>
      </c>
      <c r="DQ364" s="20" t="inlineStr">
        <is>
          <t>None</t>
        </is>
      </c>
      <c r="DR364" s="17" t="n"/>
      <c r="DS364" s="16" t="n"/>
      <c r="DT364" s="20" t="inlineStr">
        <is>
          <t>IC Organic Acids</t>
        </is>
      </c>
      <c r="DU364" s="20" t="inlineStr">
        <is>
          <t>None</t>
        </is>
      </c>
      <c r="DV364" s="17" t="n"/>
      <c r="DW364" s="16" t="n"/>
      <c r="DX364" s="20" t="inlineStr">
        <is>
          <t>IC Organic Acids</t>
        </is>
      </c>
      <c r="DY364" s="20" t="inlineStr">
        <is>
          <t>None</t>
        </is>
      </c>
      <c r="DZ364" s="17" t="n"/>
      <c r="EA364" s="16" t="n"/>
      <c r="EB364" s="20" t="inlineStr">
        <is>
          <t>IC Organic Acids</t>
        </is>
      </c>
      <c r="EC364" s="20" t="inlineStr">
        <is>
          <t>None</t>
        </is>
      </c>
      <c r="ED364" s="17" t="n"/>
      <c r="EE364" s="16" t="n"/>
      <c r="EF364" s="20" t="inlineStr">
        <is>
          <t>IC Organic Acids</t>
        </is>
      </c>
      <c r="EG364" s="20" t="inlineStr">
        <is>
          <t>None</t>
        </is>
      </c>
      <c r="EH364" s="17" t="n"/>
      <c r="EI364" s="16" t="n"/>
      <c r="EJ364" s="20" t="inlineStr">
        <is>
          <t>IC Organic Acids</t>
        </is>
      </c>
      <c r="EK364" s="20" t="inlineStr">
        <is>
          <t>None</t>
        </is>
      </c>
      <c r="EL364" s="17" t="n"/>
      <c r="EM364" s="16" t="n"/>
      <c r="EN364" s="20" t="inlineStr">
        <is>
          <t>IC Organic Acids</t>
        </is>
      </c>
      <c r="EO364" s="20" t="inlineStr">
        <is>
          <t>None</t>
        </is>
      </c>
      <c r="EP364" s="17" t="n"/>
      <c r="EQ364" s="16" t="n"/>
      <c r="ER364" s="20" t="inlineStr">
        <is>
          <t>IC Organic Acids</t>
        </is>
      </c>
      <c r="ES364" s="20" t="inlineStr">
        <is>
          <t>None</t>
        </is>
      </c>
      <c r="ET364" s="17" t="n"/>
      <c r="EU364" s="16" t="n"/>
      <c r="EV364" s="20" t="inlineStr">
        <is>
          <t>LC-MS</t>
        </is>
      </c>
      <c r="EW364" s="20" t="inlineStr">
        <is>
          <t>None</t>
        </is>
      </c>
      <c r="EX364" s="17" t="n"/>
      <c r="EY364" s="21" t="n"/>
      <c r="EZ364">
        <f>CONCATENATE(A364,B364)</f>
        <v/>
      </c>
      <c r="FA364">
        <f>CONCATENATE(SamplesX!A364,SamplesX!B364)</f>
        <v/>
      </c>
      <c r="FC364">
        <f>MATCH(EZ364,FA1:FA1008,0)</f>
        <v/>
      </c>
    </row>
    <row r="365">
      <c r="A365" s="16" t="inlineStr">
        <is>
          <t>BP</t>
        </is>
      </c>
      <c r="B365" s="17" t="inlineStr">
        <is>
          <t>25357</t>
        </is>
      </c>
      <c r="C365" s="10">
        <f>IF(ISNUMBER(FC365),INDIRECT("SamplesX!C"&amp;FC365),IF(ISNUMBER(FD365),INDIRECT("SamplesY!C"&amp;FD365),""))</f>
        <v/>
      </c>
      <c r="D365" s="12">
        <f>IF(ISNUMBER(FC365),INDIRECT("SamplesX!D"&amp;FC365),IF(ISNUMBER(FD365),INDIRECT("SamplesY!D"&amp;FD365),""))</f>
        <v/>
      </c>
      <c r="E365" s="12">
        <f>IF(ISNUMBER(FC365),INDIRECT("SamplesX!E"&amp;FC365),IF(ISNUMBER(FD365),INDIRECT("SamplesY!E"&amp;FD365),""))</f>
        <v/>
      </c>
      <c r="F365" s="11">
        <f>IF(ISNUMBER(FC365),INDIRECT("SamplesX!F"&amp;FC365),IF(ISNUMBER(FD365),INDIRECT("SamplesY!F"&amp;FD365),""))</f>
        <v/>
      </c>
      <c r="G365" s="18">
        <f>IF(ISNUMBER(FC365),INDIRECT("SamplesX!G"&amp;FC365),IF(ISNUMBER(FD365),INDIRECT("SamplesY!G"&amp;FD365),""))</f>
        <v/>
      </c>
      <c r="H365" s="19">
        <f>IF(ISNUMBER(FC365),INDIRECT("SamplesX!H"&amp;FC365),IF(ISNUMBER(FD365),INDIRECT("SamplesY!H"&amp;FD365),""))</f>
        <v/>
      </c>
      <c r="I365" s="16" t="n"/>
      <c r="J365" s="16" t="n"/>
      <c r="K365" s="16" t="n"/>
      <c r="L365" s="20" t="n"/>
      <c r="M365" s="20" t="inlineStr">
        <is>
          <t>None</t>
        </is>
      </c>
      <c r="N365" s="17" t="n"/>
      <c r="O365" s="16" t="n"/>
      <c r="P365" s="20" t="inlineStr">
        <is>
          <t>Shimadzu TOC-L</t>
        </is>
      </c>
      <c r="Q365" s="20" t="inlineStr">
        <is>
          <t>None</t>
        </is>
      </c>
      <c r="R365" s="17" t="n"/>
      <c r="S365" s="16" t="n"/>
      <c r="T365" s="20" t="inlineStr">
        <is>
          <t>Shimadzu TOC-L</t>
        </is>
      </c>
      <c r="U365" s="20" t="inlineStr">
        <is>
          <t>None</t>
        </is>
      </c>
      <c r="V365" s="17" t="n"/>
      <c r="W365" s="16" t="n"/>
      <c r="X365" s="20" t="n"/>
      <c r="Y365" s="20" t="inlineStr">
        <is>
          <t>None</t>
        </is>
      </c>
      <c r="Z365" s="17" t="n"/>
      <c r="AA365" s="16" t="n"/>
      <c r="AB365" s="20" t="n"/>
      <c r="AC365" s="20" t="inlineStr">
        <is>
          <t>None</t>
        </is>
      </c>
      <c r="AD365" s="17" t="n"/>
      <c r="AE365" s="16" t="n"/>
      <c r="AF365" s="20" t="inlineStr">
        <is>
          <t>IC Anionen</t>
        </is>
      </c>
      <c r="AG365" s="20" t="inlineStr">
        <is>
          <t>None</t>
        </is>
      </c>
      <c r="AH365" s="17" t="n"/>
      <c r="AI365" s="16" t="n"/>
      <c r="AJ365" s="20" t="n"/>
      <c r="AK365" s="20" t="inlineStr">
        <is>
          <t>None</t>
        </is>
      </c>
      <c r="AL365" s="17" t="n"/>
      <c r="AM365" s="16" t="n"/>
      <c r="AN365" s="20" t="inlineStr">
        <is>
          <t>IC Anionen</t>
        </is>
      </c>
      <c r="AO365" s="20" t="inlineStr">
        <is>
          <t>None</t>
        </is>
      </c>
      <c r="AP365" s="17" t="n"/>
      <c r="AQ365" s="16" t="n"/>
      <c r="AR365" s="20" t="n"/>
      <c r="AS365" s="20" t="inlineStr">
        <is>
          <t>None</t>
        </is>
      </c>
      <c r="AT365" s="17" t="n"/>
      <c r="AU365" s="16" t="n"/>
      <c r="AV365" s="20" t="n"/>
      <c r="AW365" s="20" t="inlineStr">
        <is>
          <t>None</t>
        </is>
      </c>
      <c r="AX365" s="17" t="n"/>
      <c r="AY365" s="16" t="n"/>
      <c r="AZ365" s="20" t="inlineStr">
        <is>
          <t>IC Anionen</t>
        </is>
      </c>
      <c r="BA365" s="20" t="inlineStr">
        <is>
          <t>None</t>
        </is>
      </c>
      <c r="BB365" s="17" t="n"/>
      <c r="BC365" s="16" t="n"/>
      <c r="BD365" s="20" t="inlineStr">
        <is>
          <t>IC Kationen</t>
        </is>
      </c>
      <c r="BE365" s="20" t="inlineStr">
        <is>
          <t>None</t>
        </is>
      </c>
      <c r="BF365" s="17" t="n"/>
      <c r="BG365" s="16" t="n"/>
      <c r="BH365" s="20" t="inlineStr">
        <is>
          <t>IC Kationen</t>
        </is>
      </c>
      <c r="BI365" s="20" t="inlineStr">
        <is>
          <t>None</t>
        </is>
      </c>
      <c r="BJ365" s="17" t="n"/>
      <c r="BK365" s="16" t="n"/>
      <c r="BL365" s="20" t="inlineStr">
        <is>
          <t>IC Kationen</t>
        </is>
      </c>
      <c r="BM365" s="20" t="inlineStr">
        <is>
          <t>None</t>
        </is>
      </c>
      <c r="BN365" s="17" t="n"/>
      <c r="BO365" s="16" t="n"/>
      <c r="BP365" s="20" t="inlineStr">
        <is>
          <t>IC Kationen</t>
        </is>
      </c>
      <c r="BQ365" s="20" t="inlineStr">
        <is>
          <t>None</t>
        </is>
      </c>
      <c r="BR365" s="17" t="n"/>
      <c r="BS365" s="16" t="n"/>
      <c r="BT365" s="20" t="inlineStr">
        <is>
          <t>IC Kationen</t>
        </is>
      </c>
      <c r="BU365" s="20" t="inlineStr">
        <is>
          <t>None</t>
        </is>
      </c>
      <c r="BV365" s="17" t="n"/>
      <c r="BW365" s="16" t="n"/>
      <c r="BX365" s="20" t="n"/>
      <c r="BY365" s="20" t="inlineStr">
        <is>
          <t>None</t>
        </is>
      </c>
      <c r="BZ365" s="17" t="n"/>
      <c r="CA365" s="16" t="n"/>
      <c r="CB365" s="20" t="n"/>
      <c r="CC365" s="20" t="inlineStr">
        <is>
          <t>None</t>
        </is>
      </c>
      <c r="CD365" s="17" t="n"/>
      <c r="CE365" s="16" t="n"/>
      <c r="CF365" s="20" t="n"/>
      <c r="CG365" s="20" t="inlineStr">
        <is>
          <t>None</t>
        </is>
      </c>
      <c r="CH365" s="17" t="n"/>
      <c r="CI365" s="16" t="n"/>
      <c r="CJ365" s="20" t="n"/>
      <c r="CK365" s="20" t="inlineStr">
        <is>
          <t>None</t>
        </is>
      </c>
      <c r="CL365" s="17" t="n"/>
      <c r="CM365" s="16" t="n"/>
      <c r="CN365" s="20" t="inlineStr">
        <is>
          <t>SOP 45-34</t>
        </is>
      </c>
      <c r="CO365" s="20" t="inlineStr">
        <is>
          <t>None</t>
        </is>
      </c>
      <c r="CP365" s="17" t="n"/>
      <c r="CQ365" s="16" t="n"/>
      <c r="CR365" s="20" t="n"/>
      <c r="CS365" s="20" t="inlineStr">
        <is>
          <t>None</t>
        </is>
      </c>
      <c r="CT365" s="17" t="n"/>
      <c r="CU365" s="16" t="n"/>
      <c r="CV365" s="20" t="n"/>
      <c r="CW365" s="20" t="inlineStr">
        <is>
          <t>None</t>
        </is>
      </c>
      <c r="CX365" s="17" t="n"/>
      <c r="CY365" s="16" t="n"/>
      <c r="CZ365" s="20" t="inlineStr">
        <is>
          <t>WTW Multimeter 3430 with FDO 925</t>
        </is>
      </c>
      <c r="DA365" s="20" t="inlineStr">
        <is>
          <t>None</t>
        </is>
      </c>
      <c r="DB365" s="17" t="n"/>
      <c r="DC365" s="16" t="n"/>
      <c r="DD365" s="20" t="n"/>
      <c r="DE365" s="20" t="inlineStr">
        <is>
          <t>None</t>
        </is>
      </c>
      <c r="DF365" s="17" t="n"/>
      <c r="DG365" s="16" t="n"/>
      <c r="DH365" s="20" t="inlineStr">
        <is>
          <t>SOP 45-09</t>
        </is>
      </c>
      <c r="DI365" s="20" t="inlineStr">
        <is>
          <t>None</t>
        </is>
      </c>
      <c r="DJ365" s="17" t="n"/>
      <c r="DK365" s="16" t="n"/>
      <c r="DL365" s="20" t="inlineStr">
        <is>
          <t>SOP 45-09 (SOP muss noch angepasst werden für VSS)</t>
        </is>
      </c>
      <c r="DM365" s="20" t="inlineStr">
        <is>
          <t>None</t>
        </is>
      </c>
      <c r="DN365" s="17" t="n"/>
      <c r="DO365" s="16" t="n"/>
      <c r="DP365" s="20" t="inlineStr">
        <is>
          <t>IC Organic Acids</t>
        </is>
      </c>
      <c r="DQ365" s="20" t="inlineStr">
        <is>
          <t>None</t>
        </is>
      </c>
      <c r="DR365" s="17" t="n"/>
      <c r="DS365" s="16" t="n"/>
      <c r="DT365" s="20" t="inlineStr">
        <is>
          <t>IC Organic Acids</t>
        </is>
      </c>
      <c r="DU365" s="20" t="inlineStr">
        <is>
          <t>None</t>
        </is>
      </c>
      <c r="DV365" s="17" t="n"/>
      <c r="DW365" s="16" t="n"/>
      <c r="DX365" s="20" t="inlineStr">
        <is>
          <t>IC Organic Acids</t>
        </is>
      </c>
      <c r="DY365" s="20" t="inlineStr">
        <is>
          <t>None</t>
        </is>
      </c>
      <c r="DZ365" s="17" t="n"/>
      <c r="EA365" s="16" t="n"/>
      <c r="EB365" s="20" t="inlineStr">
        <is>
          <t>IC Organic Acids</t>
        </is>
      </c>
      <c r="EC365" s="20" t="inlineStr">
        <is>
          <t>None</t>
        </is>
      </c>
      <c r="ED365" s="17" t="n"/>
      <c r="EE365" s="16" t="n"/>
      <c r="EF365" s="20" t="inlineStr">
        <is>
          <t>IC Organic Acids</t>
        </is>
      </c>
      <c r="EG365" s="20" t="inlineStr">
        <is>
          <t>None</t>
        </is>
      </c>
      <c r="EH365" s="17" t="n"/>
      <c r="EI365" s="16" t="n"/>
      <c r="EJ365" s="20" t="inlineStr">
        <is>
          <t>IC Organic Acids</t>
        </is>
      </c>
      <c r="EK365" s="20" t="inlineStr">
        <is>
          <t>None</t>
        </is>
      </c>
      <c r="EL365" s="17" t="n"/>
      <c r="EM365" s="16" t="n"/>
      <c r="EN365" s="20" t="inlineStr">
        <is>
          <t>IC Organic Acids</t>
        </is>
      </c>
      <c r="EO365" s="20" t="inlineStr">
        <is>
          <t>None</t>
        </is>
      </c>
      <c r="EP365" s="17" t="n"/>
      <c r="EQ365" s="16" t="n"/>
      <c r="ER365" s="20" t="inlineStr">
        <is>
          <t>IC Organic Acids</t>
        </is>
      </c>
      <c r="ES365" s="20" t="inlineStr">
        <is>
          <t>None</t>
        </is>
      </c>
      <c r="ET365" s="17" t="n"/>
      <c r="EU365" s="16" t="n"/>
      <c r="EV365" s="20" t="inlineStr">
        <is>
          <t>LC-MS</t>
        </is>
      </c>
      <c r="EW365" s="20" t="inlineStr">
        <is>
          <t>None</t>
        </is>
      </c>
      <c r="EX365" s="17" t="n"/>
      <c r="EY365" s="21" t="n"/>
      <c r="EZ365">
        <f>CONCATENATE(A365,B365)</f>
        <v/>
      </c>
      <c r="FA365">
        <f>CONCATENATE(SamplesX!A365,SamplesX!B365)</f>
        <v/>
      </c>
      <c r="FC365">
        <f>MATCH(EZ365,FA1:FA1008,0)</f>
        <v/>
      </c>
    </row>
    <row r="366">
      <c r="A366" s="16" t="inlineStr">
        <is>
          <t>BP</t>
        </is>
      </c>
      <c r="B366" s="17" t="inlineStr">
        <is>
          <t>25358</t>
        </is>
      </c>
      <c r="C366" s="10">
        <f>IF(ISNUMBER(FC366),INDIRECT("SamplesX!C"&amp;FC366),IF(ISNUMBER(FD366),INDIRECT("SamplesY!C"&amp;FD366),""))</f>
        <v/>
      </c>
      <c r="D366" s="12">
        <f>IF(ISNUMBER(FC366),INDIRECT("SamplesX!D"&amp;FC366),IF(ISNUMBER(FD366),INDIRECT("SamplesY!D"&amp;FD366),""))</f>
        <v/>
      </c>
      <c r="E366" s="12">
        <f>IF(ISNUMBER(FC366),INDIRECT("SamplesX!E"&amp;FC366),IF(ISNUMBER(FD366),INDIRECT("SamplesY!E"&amp;FD366),""))</f>
        <v/>
      </c>
      <c r="F366" s="11">
        <f>IF(ISNUMBER(FC366),INDIRECT("SamplesX!F"&amp;FC366),IF(ISNUMBER(FD366),INDIRECT("SamplesY!F"&amp;FD366),""))</f>
        <v/>
      </c>
      <c r="G366" s="18">
        <f>IF(ISNUMBER(FC366),INDIRECT("SamplesX!G"&amp;FC366),IF(ISNUMBER(FD366),INDIRECT("SamplesY!G"&amp;FD366),""))</f>
        <v/>
      </c>
      <c r="H366" s="19">
        <f>IF(ISNUMBER(FC366),INDIRECT("SamplesX!H"&amp;FC366),IF(ISNUMBER(FD366),INDIRECT("SamplesY!H"&amp;FD366),""))</f>
        <v/>
      </c>
      <c r="I366" s="16" t="n"/>
      <c r="J366" s="16" t="n"/>
      <c r="K366" s="16" t="n"/>
      <c r="L366" s="20" t="n"/>
      <c r="M366" s="20" t="inlineStr">
        <is>
          <t>None</t>
        </is>
      </c>
      <c r="N366" s="17" t="n"/>
      <c r="O366" s="16" t="n"/>
      <c r="P366" s="20" t="inlineStr">
        <is>
          <t>Shimadzu TOC-L</t>
        </is>
      </c>
      <c r="Q366" s="20" t="inlineStr">
        <is>
          <t>None</t>
        </is>
      </c>
      <c r="R366" s="17" t="n"/>
      <c r="S366" s="16" t="n"/>
      <c r="T366" s="20" t="inlineStr">
        <is>
          <t>Shimadzu TOC-L</t>
        </is>
      </c>
      <c r="U366" s="20" t="inlineStr">
        <is>
          <t>None</t>
        </is>
      </c>
      <c r="V366" s="17" t="n"/>
      <c r="W366" s="16" t="n"/>
      <c r="X366" s="20" t="n"/>
      <c r="Y366" s="20" t="inlineStr">
        <is>
          <t>None</t>
        </is>
      </c>
      <c r="Z366" s="17" t="n"/>
      <c r="AA366" s="16" t="n"/>
      <c r="AB366" s="20" t="n"/>
      <c r="AC366" s="20" t="inlineStr">
        <is>
          <t>None</t>
        </is>
      </c>
      <c r="AD366" s="17" t="n"/>
      <c r="AE366" s="16" t="n"/>
      <c r="AF366" s="20" t="inlineStr">
        <is>
          <t>IC Anionen</t>
        </is>
      </c>
      <c r="AG366" s="20" t="inlineStr">
        <is>
          <t>None</t>
        </is>
      </c>
      <c r="AH366" s="17" t="n"/>
      <c r="AI366" s="16" t="n"/>
      <c r="AJ366" s="20" t="n"/>
      <c r="AK366" s="20" t="inlineStr">
        <is>
          <t>None</t>
        </is>
      </c>
      <c r="AL366" s="17" t="n"/>
      <c r="AM366" s="16" t="n"/>
      <c r="AN366" s="20" t="inlineStr">
        <is>
          <t>IC Anionen</t>
        </is>
      </c>
      <c r="AO366" s="20" t="inlineStr">
        <is>
          <t>None</t>
        </is>
      </c>
      <c r="AP366" s="17" t="n"/>
      <c r="AQ366" s="16" t="n"/>
      <c r="AR366" s="20" t="n"/>
      <c r="AS366" s="20" t="inlineStr">
        <is>
          <t>None</t>
        </is>
      </c>
      <c r="AT366" s="17" t="n"/>
      <c r="AU366" s="16" t="n"/>
      <c r="AV366" s="20" t="n"/>
      <c r="AW366" s="20" t="inlineStr">
        <is>
          <t>None</t>
        </is>
      </c>
      <c r="AX366" s="17" t="n"/>
      <c r="AY366" s="16" t="n"/>
      <c r="AZ366" s="20" t="inlineStr">
        <is>
          <t>IC Anionen</t>
        </is>
      </c>
      <c r="BA366" s="20" t="inlineStr">
        <is>
          <t>None</t>
        </is>
      </c>
      <c r="BB366" s="17" t="n"/>
      <c r="BC366" s="16" t="n"/>
      <c r="BD366" s="20" t="inlineStr">
        <is>
          <t>IC Kationen</t>
        </is>
      </c>
      <c r="BE366" s="20" t="inlineStr">
        <is>
          <t>None</t>
        </is>
      </c>
      <c r="BF366" s="17" t="n"/>
      <c r="BG366" s="16" t="n"/>
      <c r="BH366" s="20" t="inlineStr">
        <is>
          <t>IC Kationen</t>
        </is>
      </c>
      <c r="BI366" s="20" t="inlineStr">
        <is>
          <t>None</t>
        </is>
      </c>
      <c r="BJ366" s="17" t="n"/>
      <c r="BK366" s="16" t="n"/>
      <c r="BL366" s="20" t="inlineStr">
        <is>
          <t>IC Kationen</t>
        </is>
      </c>
      <c r="BM366" s="20" t="inlineStr">
        <is>
          <t>None</t>
        </is>
      </c>
      <c r="BN366" s="17" t="n"/>
      <c r="BO366" s="16" t="n"/>
      <c r="BP366" s="20" t="inlineStr">
        <is>
          <t>IC Kationen</t>
        </is>
      </c>
      <c r="BQ366" s="20" t="inlineStr">
        <is>
          <t>None</t>
        </is>
      </c>
      <c r="BR366" s="17" t="n"/>
      <c r="BS366" s="16" t="n"/>
      <c r="BT366" s="20" t="inlineStr">
        <is>
          <t>IC Kationen</t>
        </is>
      </c>
      <c r="BU366" s="20" t="inlineStr">
        <is>
          <t>None</t>
        </is>
      </c>
      <c r="BV366" s="17" t="n"/>
      <c r="BW366" s="16" t="n"/>
      <c r="BX366" s="20" t="n"/>
      <c r="BY366" s="20" t="inlineStr">
        <is>
          <t>None</t>
        </is>
      </c>
      <c r="BZ366" s="17" t="n"/>
      <c r="CA366" s="16" t="n"/>
      <c r="CB366" s="20" t="n"/>
      <c r="CC366" s="20" t="inlineStr">
        <is>
          <t>None</t>
        </is>
      </c>
      <c r="CD366" s="17" t="n"/>
      <c r="CE366" s="16" t="n"/>
      <c r="CF366" s="20" t="n"/>
      <c r="CG366" s="20" t="inlineStr">
        <is>
          <t>None</t>
        </is>
      </c>
      <c r="CH366" s="17" t="n"/>
      <c r="CI366" s="16" t="n"/>
      <c r="CJ366" s="20" t="n"/>
      <c r="CK366" s="20" t="inlineStr">
        <is>
          <t>None</t>
        </is>
      </c>
      <c r="CL366" s="17" t="n"/>
      <c r="CM366" s="16" t="n"/>
      <c r="CN366" s="20" t="inlineStr">
        <is>
          <t>SOP 45-34</t>
        </is>
      </c>
      <c r="CO366" s="20" t="inlineStr">
        <is>
          <t>None</t>
        </is>
      </c>
      <c r="CP366" s="17" t="n"/>
      <c r="CQ366" s="16" t="n"/>
      <c r="CR366" s="20" t="n"/>
      <c r="CS366" s="20" t="inlineStr">
        <is>
          <t>None</t>
        </is>
      </c>
      <c r="CT366" s="17" t="n"/>
      <c r="CU366" s="16" t="n"/>
      <c r="CV366" s="20" t="n"/>
      <c r="CW366" s="20" t="inlineStr">
        <is>
          <t>None</t>
        </is>
      </c>
      <c r="CX366" s="17" t="n"/>
      <c r="CY366" s="16" t="n"/>
      <c r="CZ366" s="20" t="inlineStr">
        <is>
          <t>WTW Multimeter 3430 with FDO 925</t>
        </is>
      </c>
      <c r="DA366" s="20" t="inlineStr">
        <is>
          <t>None</t>
        </is>
      </c>
      <c r="DB366" s="17" t="n"/>
      <c r="DC366" s="16" t="n"/>
      <c r="DD366" s="20" t="n"/>
      <c r="DE366" s="20" t="inlineStr">
        <is>
          <t>None</t>
        </is>
      </c>
      <c r="DF366" s="17" t="n"/>
      <c r="DG366" s="16" t="n"/>
      <c r="DH366" s="20" t="inlineStr">
        <is>
          <t>SOP 45-09</t>
        </is>
      </c>
      <c r="DI366" s="20" t="inlineStr">
        <is>
          <t>None</t>
        </is>
      </c>
      <c r="DJ366" s="17" t="n"/>
      <c r="DK366" s="16" t="n"/>
      <c r="DL366" s="20" t="inlineStr">
        <is>
          <t>SOP 45-09 (SOP muss noch angepasst werden für VSS)</t>
        </is>
      </c>
      <c r="DM366" s="20" t="inlineStr">
        <is>
          <t>None</t>
        </is>
      </c>
      <c r="DN366" s="17" t="n"/>
      <c r="DO366" s="16" t="n"/>
      <c r="DP366" s="20" t="inlineStr">
        <is>
          <t>IC Organic Acids</t>
        </is>
      </c>
      <c r="DQ366" s="20" t="inlineStr">
        <is>
          <t>None</t>
        </is>
      </c>
      <c r="DR366" s="17" t="n"/>
      <c r="DS366" s="16" t="n"/>
      <c r="DT366" s="20" t="inlineStr">
        <is>
          <t>IC Organic Acids</t>
        </is>
      </c>
      <c r="DU366" s="20" t="inlineStr">
        <is>
          <t>None</t>
        </is>
      </c>
      <c r="DV366" s="17" t="n"/>
      <c r="DW366" s="16" t="n"/>
      <c r="DX366" s="20" t="inlineStr">
        <is>
          <t>IC Organic Acids</t>
        </is>
      </c>
      <c r="DY366" s="20" t="inlineStr">
        <is>
          <t>None</t>
        </is>
      </c>
      <c r="DZ366" s="17" t="n"/>
      <c r="EA366" s="16" t="n"/>
      <c r="EB366" s="20" t="inlineStr">
        <is>
          <t>IC Organic Acids</t>
        </is>
      </c>
      <c r="EC366" s="20" t="inlineStr">
        <is>
          <t>None</t>
        </is>
      </c>
      <c r="ED366" s="17" t="n"/>
      <c r="EE366" s="16" t="n"/>
      <c r="EF366" s="20" t="inlineStr">
        <is>
          <t>IC Organic Acids</t>
        </is>
      </c>
      <c r="EG366" s="20" t="inlineStr">
        <is>
          <t>None</t>
        </is>
      </c>
      <c r="EH366" s="17" t="n"/>
      <c r="EI366" s="16" t="n"/>
      <c r="EJ366" s="20" t="inlineStr">
        <is>
          <t>IC Organic Acids</t>
        </is>
      </c>
      <c r="EK366" s="20" t="inlineStr">
        <is>
          <t>None</t>
        </is>
      </c>
      <c r="EL366" s="17" t="n"/>
      <c r="EM366" s="16" t="n"/>
      <c r="EN366" s="20" t="inlineStr">
        <is>
          <t>IC Organic Acids</t>
        </is>
      </c>
      <c r="EO366" s="20" t="inlineStr">
        <is>
          <t>None</t>
        </is>
      </c>
      <c r="EP366" s="17" t="n"/>
      <c r="EQ366" s="16" t="n"/>
      <c r="ER366" s="20" t="inlineStr">
        <is>
          <t>IC Organic Acids</t>
        </is>
      </c>
      <c r="ES366" s="20" t="inlineStr">
        <is>
          <t>None</t>
        </is>
      </c>
      <c r="ET366" s="17" t="n"/>
      <c r="EU366" s="16" t="n"/>
      <c r="EV366" s="20" t="inlineStr">
        <is>
          <t>LC-MS</t>
        </is>
      </c>
      <c r="EW366" s="20" t="inlineStr">
        <is>
          <t>None</t>
        </is>
      </c>
      <c r="EX366" s="17" t="n"/>
      <c r="EY366" s="21" t="n"/>
      <c r="EZ366">
        <f>CONCATENATE(A366,B366)</f>
        <v/>
      </c>
      <c r="FA366">
        <f>CONCATENATE(SamplesX!A366,SamplesX!B366)</f>
        <v/>
      </c>
      <c r="FC366">
        <f>MATCH(EZ366,FA1:FA1008,0)</f>
        <v/>
      </c>
    </row>
    <row r="367">
      <c r="A367" s="16" t="inlineStr">
        <is>
          <t>BP</t>
        </is>
      </c>
      <c r="B367" s="17" t="inlineStr">
        <is>
          <t>25359</t>
        </is>
      </c>
      <c r="C367" s="10">
        <f>IF(ISNUMBER(FC367),INDIRECT("SamplesX!C"&amp;FC367),IF(ISNUMBER(FD367),INDIRECT("SamplesY!C"&amp;FD367),""))</f>
        <v/>
      </c>
      <c r="D367" s="12">
        <f>IF(ISNUMBER(FC367),INDIRECT("SamplesX!D"&amp;FC367),IF(ISNUMBER(FD367),INDIRECT("SamplesY!D"&amp;FD367),""))</f>
        <v/>
      </c>
      <c r="E367" s="12">
        <f>IF(ISNUMBER(FC367),INDIRECT("SamplesX!E"&amp;FC367),IF(ISNUMBER(FD367),INDIRECT("SamplesY!E"&amp;FD367),""))</f>
        <v/>
      </c>
      <c r="F367" s="11">
        <f>IF(ISNUMBER(FC367),INDIRECT("SamplesX!F"&amp;FC367),IF(ISNUMBER(FD367),INDIRECT("SamplesY!F"&amp;FD367),""))</f>
        <v/>
      </c>
      <c r="G367" s="18">
        <f>IF(ISNUMBER(FC367),INDIRECT("SamplesX!G"&amp;FC367),IF(ISNUMBER(FD367),INDIRECT("SamplesY!G"&amp;FD367),""))</f>
        <v/>
      </c>
      <c r="H367" s="19">
        <f>IF(ISNUMBER(FC367),INDIRECT("SamplesX!H"&amp;FC367),IF(ISNUMBER(FD367),INDIRECT("SamplesY!H"&amp;FD367),""))</f>
        <v/>
      </c>
      <c r="I367" s="16" t="n"/>
      <c r="J367" s="16" t="n"/>
      <c r="K367" s="16" t="n"/>
      <c r="L367" s="20" t="n"/>
      <c r="M367" s="20" t="inlineStr">
        <is>
          <t>None</t>
        </is>
      </c>
      <c r="N367" s="17" t="n"/>
      <c r="O367" s="16" t="n"/>
      <c r="P367" s="20" t="inlineStr">
        <is>
          <t>Shimadzu TOC-L</t>
        </is>
      </c>
      <c r="Q367" s="20" t="inlineStr">
        <is>
          <t>None</t>
        </is>
      </c>
      <c r="R367" s="17" t="n"/>
      <c r="S367" s="16" t="n"/>
      <c r="T367" s="20" t="inlineStr">
        <is>
          <t>Shimadzu TOC-L</t>
        </is>
      </c>
      <c r="U367" s="20" t="inlineStr">
        <is>
          <t>None</t>
        </is>
      </c>
      <c r="V367" s="17" t="n"/>
      <c r="W367" s="16" t="n"/>
      <c r="X367" s="20" t="n"/>
      <c r="Y367" s="20" t="inlineStr">
        <is>
          <t>None</t>
        </is>
      </c>
      <c r="Z367" s="17" t="n"/>
      <c r="AA367" s="16" t="n"/>
      <c r="AB367" s="20" t="n"/>
      <c r="AC367" s="20" t="inlineStr">
        <is>
          <t>None</t>
        </is>
      </c>
      <c r="AD367" s="17" t="n"/>
      <c r="AE367" s="16" t="n"/>
      <c r="AF367" s="20" t="inlineStr">
        <is>
          <t>IC Anionen</t>
        </is>
      </c>
      <c r="AG367" s="20" t="inlineStr">
        <is>
          <t>None</t>
        </is>
      </c>
      <c r="AH367" s="17" t="n"/>
      <c r="AI367" s="16" t="n"/>
      <c r="AJ367" s="20" t="n"/>
      <c r="AK367" s="20" t="inlineStr">
        <is>
          <t>None</t>
        </is>
      </c>
      <c r="AL367" s="17" t="n"/>
      <c r="AM367" s="16" t="n"/>
      <c r="AN367" s="20" t="inlineStr">
        <is>
          <t>IC Anionen</t>
        </is>
      </c>
      <c r="AO367" s="20" t="inlineStr">
        <is>
          <t>None</t>
        </is>
      </c>
      <c r="AP367" s="17" t="n"/>
      <c r="AQ367" s="16" t="n"/>
      <c r="AR367" s="20" t="n"/>
      <c r="AS367" s="20" t="inlineStr">
        <is>
          <t>None</t>
        </is>
      </c>
      <c r="AT367" s="17" t="n"/>
      <c r="AU367" s="16" t="n"/>
      <c r="AV367" s="20" t="n"/>
      <c r="AW367" s="20" t="inlineStr">
        <is>
          <t>None</t>
        </is>
      </c>
      <c r="AX367" s="17" t="n"/>
      <c r="AY367" s="16" t="n"/>
      <c r="AZ367" s="20" t="inlineStr">
        <is>
          <t>IC Anionen</t>
        </is>
      </c>
      <c r="BA367" s="20" t="inlineStr">
        <is>
          <t>None</t>
        </is>
      </c>
      <c r="BB367" s="17" t="n"/>
      <c r="BC367" s="16" t="n"/>
      <c r="BD367" s="20" t="inlineStr">
        <is>
          <t>IC Kationen</t>
        </is>
      </c>
      <c r="BE367" s="20" t="inlineStr">
        <is>
          <t>None</t>
        </is>
      </c>
      <c r="BF367" s="17" t="n"/>
      <c r="BG367" s="16" t="n"/>
      <c r="BH367" s="20" t="inlineStr">
        <is>
          <t>IC Kationen</t>
        </is>
      </c>
      <c r="BI367" s="20" t="inlineStr">
        <is>
          <t>None</t>
        </is>
      </c>
      <c r="BJ367" s="17" t="n"/>
      <c r="BK367" s="16" t="n"/>
      <c r="BL367" s="20" t="inlineStr">
        <is>
          <t>IC Kationen</t>
        </is>
      </c>
      <c r="BM367" s="20" t="inlineStr">
        <is>
          <t>None</t>
        </is>
      </c>
      <c r="BN367" s="17" t="n"/>
      <c r="BO367" s="16" t="n"/>
      <c r="BP367" s="20" t="inlineStr">
        <is>
          <t>IC Kationen</t>
        </is>
      </c>
      <c r="BQ367" s="20" t="inlineStr">
        <is>
          <t>None</t>
        </is>
      </c>
      <c r="BR367" s="17" t="n"/>
      <c r="BS367" s="16" t="n"/>
      <c r="BT367" s="20" t="inlineStr">
        <is>
          <t>IC Kationen</t>
        </is>
      </c>
      <c r="BU367" s="20" t="inlineStr">
        <is>
          <t>None</t>
        </is>
      </c>
      <c r="BV367" s="17" t="n"/>
      <c r="BW367" s="16" t="n"/>
      <c r="BX367" s="20" t="n"/>
      <c r="BY367" s="20" t="inlineStr">
        <is>
          <t>None</t>
        </is>
      </c>
      <c r="BZ367" s="17" t="n"/>
      <c r="CA367" s="16" t="n"/>
      <c r="CB367" s="20" t="n"/>
      <c r="CC367" s="20" t="inlineStr">
        <is>
          <t>None</t>
        </is>
      </c>
      <c r="CD367" s="17" t="n"/>
      <c r="CE367" s="16" t="n"/>
      <c r="CF367" s="20" t="n"/>
      <c r="CG367" s="20" t="inlineStr">
        <is>
          <t>None</t>
        </is>
      </c>
      <c r="CH367" s="17" t="n"/>
      <c r="CI367" s="16" t="n"/>
      <c r="CJ367" s="20" t="n"/>
      <c r="CK367" s="20" t="inlineStr">
        <is>
          <t>None</t>
        </is>
      </c>
      <c r="CL367" s="17" t="n"/>
      <c r="CM367" s="16" t="n"/>
      <c r="CN367" s="20" t="inlineStr">
        <is>
          <t>SOP 45-34</t>
        </is>
      </c>
      <c r="CO367" s="20" t="inlineStr">
        <is>
          <t>None</t>
        </is>
      </c>
      <c r="CP367" s="17" t="n"/>
      <c r="CQ367" s="16" t="n"/>
      <c r="CR367" s="20" t="n"/>
      <c r="CS367" s="20" t="inlineStr">
        <is>
          <t>None</t>
        </is>
      </c>
      <c r="CT367" s="17" t="n"/>
      <c r="CU367" s="16" t="n"/>
      <c r="CV367" s="20" t="n"/>
      <c r="CW367" s="20" t="inlineStr">
        <is>
          <t>None</t>
        </is>
      </c>
      <c r="CX367" s="17" t="n"/>
      <c r="CY367" s="16" t="n"/>
      <c r="CZ367" s="20" t="inlineStr">
        <is>
          <t>WTW Multimeter 3430 with FDO 925</t>
        </is>
      </c>
      <c r="DA367" s="20" t="inlineStr">
        <is>
          <t>None</t>
        </is>
      </c>
      <c r="DB367" s="17" t="n"/>
      <c r="DC367" s="16" t="n"/>
      <c r="DD367" s="20" t="n"/>
      <c r="DE367" s="20" t="inlineStr">
        <is>
          <t>None</t>
        </is>
      </c>
      <c r="DF367" s="17" t="n"/>
      <c r="DG367" s="16" t="n"/>
      <c r="DH367" s="20" t="inlineStr">
        <is>
          <t>SOP 45-09</t>
        </is>
      </c>
      <c r="DI367" s="20" t="inlineStr">
        <is>
          <t>None</t>
        </is>
      </c>
      <c r="DJ367" s="17" t="n"/>
      <c r="DK367" s="16" t="n"/>
      <c r="DL367" s="20" t="inlineStr">
        <is>
          <t>SOP 45-09 (SOP muss noch angepasst werden für VSS)</t>
        </is>
      </c>
      <c r="DM367" s="20" t="inlineStr">
        <is>
          <t>None</t>
        </is>
      </c>
      <c r="DN367" s="17" t="n"/>
      <c r="DO367" s="16" t="n"/>
      <c r="DP367" s="20" t="inlineStr">
        <is>
          <t>IC Organic Acids</t>
        </is>
      </c>
      <c r="DQ367" s="20" t="inlineStr">
        <is>
          <t>None</t>
        </is>
      </c>
      <c r="DR367" s="17" t="n"/>
      <c r="DS367" s="16" t="n"/>
      <c r="DT367" s="20" t="inlineStr">
        <is>
          <t>IC Organic Acids</t>
        </is>
      </c>
      <c r="DU367" s="20" t="inlineStr">
        <is>
          <t>None</t>
        </is>
      </c>
      <c r="DV367" s="17" t="n"/>
      <c r="DW367" s="16" t="n"/>
      <c r="DX367" s="20" t="inlineStr">
        <is>
          <t>IC Organic Acids</t>
        </is>
      </c>
      <c r="DY367" s="20" t="inlineStr">
        <is>
          <t>None</t>
        </is>
      </c>
      <c r="DZ367" s="17" t="n"/>
      <c r="EA367" s="16" t="n"/>
      <c r="EB367" s="20" t="inlineStr">
        <is>
          <t>IC Organic Acids</t>
        </is>
      </c>
      <c r="EC367" s="20" t="inlineStr">
        <is>
          <t>None</t>
        </is>
      </c>
      <c r="ED367" s="17" t="n"/>
      <c r="EE367" s="16" t="n"/>
      <c r="EF367" s="20" t="inlineStr">
        <is>
          <t>IC Organic Acids</t>
        </is>
      </c>
      <c r="EG367" s="20" t="inlineStr">
        <is>
          <t>None</t>
        </is>
      </c>
      <c r="EH367" s="17" t="n"/>
      <c r="EI367" s="16" t="n"/>
      <c r="EJ367" s="20" t="inlineStr">
        <is>
          <t>IC Organic Acids</t>
        </is>
      </c>
      <c r="EK367" s="20" t="inlineStr">
        <is>
          <t>None</t>
        </is>
      </c>
      <c r="EL367" s="17" t="n"/>
      <c r="EM367" s="16" t="n"/>
      <c r="EN367" s="20" t="inlineStr">
        <is>
          <t>IC Organic Acids</t>
        </is>
      </c>
      <c r="EO367" s="20" t="inlineStr">
        <is>
          <t>None</t>
        </is>
      </c>
      <c r="EP367" s="17" t="n"/>
      <c r="EQ367" s="16" t="n"/>
      <c r="ER367" s="20" t="inlineStr">
        <is>
          <t>IC Organic Acids</t>
        </is>
      </c>
      <c r="ES367" s="20" t="inlineStr">
        <is>
          <t>None</t>
        </is>
      </c>
      <c r="ET367" s="17" t="n"/>
      <c r="EU367" s="16" t="n"/>
      <c r="EV367" s="20" t="inlineStr">
        <is>
          <t>LC-MS</t>
        </is>
      </c>
      <c r="EW367" s="20" t="inlineStr">
        <is>
          <t>None</t>
        </is>
      </c>
      <c r="EX367" s="17" t="n"/>
      <c r="EY367" s="21" t="n"/>
      <c r="EZ367">
        <f>CONCATENATE(A367,B367)</f>
        <v/>
      </c>
      <c r="FA367">
        <f>CONCATENATE(SamplesX!A367,SamplesX!B367)</f>
        <v/>
      </c>
      <c r="FC367">
        <f>MATCH(EZ367,FA1:FA1008,0)</f>
        <v/>
      </c>
    </row>
    <row r="368">
      <c r="A368" s="16" t="inlineStr">
        <is>
          <t>BP</t>
        </is>
      </c>
      <c r="B368" s="17" t="inlineStr">
        <is>
          <t>25360</t>
        </is>
      </c>
      <c r="C368" s="10">
        <f>IF(ISNUMBER(FC368),INDIRECT("SamplesX!C"&amp;FC368),IF(ISNUMBER(FD368),INDIRECT("SamplesY!C"&amp;FD368),""))</f>
        <v/>
      </c>
      <c r="D368" s="12">
        <f>IF(ISNUMBER(FC368),INDIRECT("SamplesX!D"&amp;FC368),IF(ISNUMBER(FD368),INDIRECT("SamplesY!D"&amp;FD368),""))</f>
        <v/>
      </c>
      <c r="E368" s="12">
        <f>IF(ISNUMBER(FC368),INDIRECT("SamplesX!E"&amp;FC368),IF(ISNUMBER(FD368),INDIRECT("SamplesY!E"&amp;FD368),""))</f>
        <v/>
      </c>
      <c r="F368" s="11">
        <f>IF(ISNUMBER(FC368),INDIRECT("SamplesX!F"&amp;FC368),IF(ISNUMBER(FD368),INDIRECT("SamplesY!F"&amp;FD368),""))</f>
        <v/>
      </c>
      <c r="G368" s="18">
        <f>IF(ISNUMBER(FC368),INDIRECT("SamplesX!G"&amp;FC368),IF(ISNUMBER(FD368),INDIRECT("SamplesY!G"&amp;FD368),""))</f>
        <v/>
      </c>
      <c r="H368" s="19">
        <f>IF(ISNUMBER(FC368),INDIRECT("SamplesX!H"&amp;FC368),IF(ISNUMBER(FD368),INDIRECT("SamplesY!H"&amp;FD368),""))</f>
        <v/>
      </c>
      <c r="I368" s="16" t="n"/>
      <c r="J368" s="16" t="n"/>
      <c r="K368" s="16" t="n"/>
      <c r="L368" s="20" t="n"/>
      <c r="M368" s="20" t="inlineStr">
        <is>
          <t>None</t>
        </is>
      </c>
      <c r="N368" s="17" t="n"/>
      <c r="O368" s="16" t="n"/>
      <c r="P368" s="20" t="inlineStr">
        <is>
          <t>Shimadzu TOC-L</t>
        </is>
      </c>
      <c r="Q368" s="20" t="inlineStr">
        <is>
          <t>None</t>
        </is>
      </c>
      <c r="R368" s="17" t="n"/>
      <c r="S368" s="16" t="n"/>
      <c r="T368" s="20" t="inlineStr">
        <is>
          <t>Shimadzu TOC-L</t>
        </is>
      </c>
      <c r="U368" s="20" t="inlineStr">
        <is>
          <t>None</t>
        </is>
      </c>
      <c r="V368" s="17" t="n"/>
      <c r="W368" s="16" t="n"/>
      <c r="X368" s="20" t="n"/>
      <c r="Y368" s="20" t="inlineStr">
        <is>
          <t>None</t>
        </is>
      </c>
      <c r="Z368" s="17" t="n"/>
      <c r="AA368" s="16" t="n"/>
      <c r="AB368" s="20" t="n"/>
      <c r="AC368" s="20" t="inlineStr">
        <is>
          <t>None</t>
        </is>
      </c>
      <c r="AD368" s="17" t="n"/>
      <c r="AE368" s="16" t="n"/>
      <c r="AF368" s="20" t="inlineStr">
        <is>
          <t>IC Anionen</t>
        </is>
      </c>
      <c r="AG368" s="20" t="inlineStr">
        <is>
          <t>None</t>
        </is>
      </c>
      <c r="AH368" s="17" t="n"/>
      <c r="AI368" s="16" t="n"/>
      <c r="AJ368" s="20" t="n"/>
      <c r="AK368" s="20" t="inlineStr">
        <is>
          <t>None</t>
        </is>
      </c>
      <c r="AL368" s="17" t="n"/>
      <c r="AM368" s="16" t="n"/>
      <c r="AN368" s="20" t="inlineStr">
        <is>
          <t>IC Anionen</t>
        </is>
      </c>
      <c r="AO368" s="20" t="inlineStr">
        <is>
          <t>None</t>
        </is>
      </c>
      <c r="AP368" s="17" t="n"/>
      <c r="AQ368" s="16" t="n"/>
      <c r="AR368" s="20" t="n"/>
      <c r="AS368" s="20" t="inlineStr">
        <is>
          <t>None</t>
        </is>
      </c>
      <c r="AT368" s="17" t="n"/>
      <c r="AU368" s="16" t="n"/>
      <c r="AV368" s="20" t="n"/>
      <c r="AW368" s="20" t="inlineStr">
        <is>
          <t>None</t>
        </is>
      </c>
      <c r="AX368" s="17" t="n"/>
      <c r="AY368" s="16" t="n"/>
      <c r="AZ368" s="20" t="inlineStr">
        <is>
          <t>IC Anionen</t>
        </is>
      </c>
      <c r="BA368" s="20" t="inlineStr">
        <is>
          <t>None</t>
        </is>
      </c>
      <c r="BB368" s="17" t="n"/>
      <c r="BC368" s="16" t="n"/>
      <c r="BD368" s="20" t="inlineStr">
        <is>
          <t>IC Kationen</t>
        </is>
      </c>
      <c r="BE368" s="20" t="inlineStr">
        <is>
          <t>None</t>
        </is>
      </c>
      <c r="BF368" s="17" t="n"/>
      <c r="BG368" s="16" t="n"/>
      <c r="BH368" s="20" t="inlineStr">
        <is>
          <t>IC Kationen</t>
        </is>
      </c>
      <c r="BI368" s="20" t="inlineStr">
        <is>
          <t>None</t>
        </is>
      </c>
      <c r="BJ368" s="17" t="n"/>
      <c r="BK368" s="16" t="n"/>
      <c r="BL368" s="20" t="inlineStr">
        <is>
          <t>IC Kationen</t>
        </is>
      </c>
      <c r="BM368" s="20" t="inlineStr">
        <is>
          <t>None</t>
        </is>
      </c>
      <c r="BN368" s="17" t="n"/>
      <c r="BO368" s="16" t="n"/>
      <c r="BP368" s="20" t="inlineStr">
        <is>
          <t>IC Kationen</t>
        </is>
      </c>
      <c r="BQ368" s="20" t="inlineStr">
        <is>
          <t>None</t>
        </is>
      </c>
      <c r="BR368" s="17" t="n"/>
      <c r="BS368" s="16" t="n"/>
      <c r="BT368" s="20" t="inlineStr">
        <is>
          <t>IC Kationen</t>
        </is>
      </c>
      <c r="BU368" s="20" t="inlineStr">
        <is>
          <t>None</t>
        </is>
      </c>
      <c r="BV368" s="17" t="n"/>
      <c r="BW368" s="16" t="n"/>
      <c r="BX368" s="20" t="n"/>
      <c r="BY368" s="20" t="inlineStr">
        <is>
          <t>None</t>
        </is>
      </c>
      <c r="BZ368" s="17" t="n"/>
      <c r="CA368" s="16" t="n"/>
      <c r="CB368" s="20" t="n"/>
      <c r="CC368" s="20" t="inlineStr">
        <is>
          <t>None</t>
        </is>
      </c>
      <c r="CD368" s="17" t="n"/>
      <c r="CE368" s="16" t="n"/>
      <c r="CF368" s="20" t="n"/>
      <c r="CG368" s="20" t="inlineStr">
        <is>
          <t>None</t>
        </is>
      </c>
      <c r="CH368" s="17" t="n"/>
      <c r="CI368" s="16" t="n"/>
      <c r="CJ368" s="20" t="n"/>
      <c r="CK368" s="20" t="inlineStr">
        <is>
          <t>None</t>
        </is>
      </c>
      <c r="CL368" s="17" t="n"/>
      <c r="CM368" s="16" t="n"/>
      <c r="CN368" s="20" t="inlineStr">
        <is>
          <t>SOP 45-34</t>
        </is>
      </c>
      <c r="CO368" s="20" t="inlineStr">
        <is>
          <t>None</t>
        </is>
      </c>
      <c r="CP368" s="17" t="n"/>
      <c r="CQ368" s="16" t="n"/>
      <c r="CR368" s="20" t="n"/>
      <c r="CS368" s="20" t="inlineStr">
        <is>
          <t>None</t>
        </is>
      </c>
      <c r="CT368" s="17" t="n"/>
      <c r="CU368" s="16" t="n"/>
      <c r="CV368" s="20" t="n"/>
      <c r="CW368" s="20" t="inlineStr">
        <is>
          <t>None</t>
        </is>
      </c>
      <c r="CX368" s="17" t="n"/>
      <c r="CY368" s="16" t="n"/>
      <c r="CZ368" s="20" t="inlineStr">
        <is>
          <t>WTW Multimeter 3430 with FDO 925</t>
        </is>
      </c>
      <c r="DA368" s="20" t="inlineStr">
        <is>
          <t>None</t>
        </is>
      </c>
      <c r="DB368" s="17" t="n"/>
      <c r="DC368" s="16" t="n"/>
      <c r="DD368" s="20" t="n"/>
      <c r="DE368" s="20" t="inlineStr">
        <is>
          <t>None</t>
        </is>
      </c>
      <c r="DF368" s="17" t="n"/>
      <c r="DG368" s="16" t="n"/>
      <c r="DH368" s="20" t="inlineStr">
        <is>
          <t>SOP 45-09</t>
        </is>
      </c>
      <c r="DI368" s="20" t="inlineStr">
        <is>
          <t>None</t>
        </is>
      </c>
      <c r="DJ368" s="17" t="n"/>
      <c r="DK368" s="16" t="n"/>
      <c r="DL368" s="20" t="inlineStr">
        <is>
          <t>SOP 45-09 (SOP muss noch angepasst werden für VSS)</t>
        </is>
      </c>
      <c r="DM368" s="20" t="inlineStr">
        <is>
          <t>None</t>
        </is>
      </c>
      <c r="DN368" s="17" t="n"/>
      <c r="DO368" s="16" t="n"/>
      <c r="DP368" s="20" t="inlineStr">
        <is>
          <t>IC Organic Acids</t>
        </is>
      </c>
      <c r="DQ368" s="20" t="inlineStr">
        <is>
          <t>None</t>
        </is>
      </c>
      <c r="DR368" s="17" t="n"/>
      <c r="DS368" s="16" t="n"/>
      <c r="DT368" s="20" t="inlineStr">
        <is>
          <t>IC Organic Acids</t>
        </is>
      </c>
      <c r="DU368" s="20" t="inlineStr">
        <is>
          <t>None</t>
        </is>
      </c>
      <c r="DV368" s="17" t="n"/>
      <c r="DW368" s="16" t="n"/>
      <c r="DX368" s="20" t="inlineStr">
        <is>
          <t>IC Organic Acids</t>
        </is>
      </c>
      <c r="DY368" s="20" t="inlineStr">
        <is>
          <t>None</t>
        </is>
      </c>
      <c r="DZ368" s="17" t="n"/>
      <c r="EA368" s="16" t="n"/>
      <c r="EB368" s="20" t="inlineStr">
        <is>
          <t>IC Organic Acids</t>
        </is>
      </c>
      <c r="EC368" s="20" t="inlineStr">
        <is>
          <t>None</t>
        </is>
      </c>
      <c r="ED368" s="17" t="n"/>
      <c r="EE368" s="16" t="n"/>
      <c r="EF368" s="20" t="inlineStr">
        <is>
          <t>IC Organic Acids</t>
        </is>
      </c>
      <c r="EG368" s="20" t="inlineStr">
        <is>
          <t>None</t>
        </is>
      </c>
      <c r="EH368" s="17" t="n"/>
      <c r="EI368" s="16" t="n"/>
      <c r="EJ368" s="20" t="inlineStr">
        <is>
          <t>IC Organic Acids</t>
        </is>
      </c>
      <c r="EK368" s="20" t="inlineStr">
        <is>
          <t>None</t>
        </is>
      </c>
      <c r="EL368" s="17" t="n"/>
      <c r="EM368" s="16" t="n"/>
      <c r="EN368" s="20" t="inlineStr">
        <is>
          <t>IC Organic Acids</t>
        </is>
      </c>
      <c r="EO368" s="20" t="inlineStr">
        <is>
          <t>None</t>
        </is>
      </c>
      <c r="EP368" s="17" t="n"/>
      <c r="EQ368" s="16" t="n"/>
      <c r="ER368" s="20" t="inlineStr">
        <is>
          <t>IC Organic Acids</t>
        </is>
      </c>
      <c r="ES368" s="20" t="inlineStr">
        <is>
          <t>None</t>
        </is>
      </c>
      <c r="ET368" s="17" t="n"/>
      <c r="EU368" s="16" t="n"/>
      <c r="EV368" s="20" t="inlineStr">
        <is>
          <t>LC-MS</t>
        </is>
      </c>
      <c r="EW368" s="20" t="inlineStr">
        <is>
          <t>None</t>
        </is>
      </c>
      <c r="EX368" s="17" t="n"/>
      <c r="EY368" s="21" t="n"/>
      <c r="EZ368">
        <f>CONCATENATE(A368,B368)</f>
        <v/>
      </c>
      <c r="FA368">
        <f>CONCATENATE(SamplesX!A368,SamplesX!B368)</f>
        <v/>
      </c>
      <c r="FC368">
        <f>MATCH(EZ368,FA1:FA1008,0)</f>
        <v/>
      </c>
    </row>
    <row r="369">
      <c r="A369" s="16" t="inlineStr">
        <is>
          <t>BP</t>
        </is>
      </c>
      <c r="B369" s="17" t="inlineStr">
        <is>
          <t>25361</t>
        </is>
      </c>
      <c r="C369" s="10">
        <f>IF(ISNUMBER(FC369),INDIRECT("SamplesX!C"&amp;FC369),IF(ISNUMBER(FD369),INDIRECT("SamplesY!C"&amp;FD369),""))</f>
        <v/>
      </c>
      <c r="D369" s="12">
        <f>IF(ISNUMBER(FC369),INDIRECT("SamplesX!D"&amp;FC369),IF(ISNUMBER(FD369),INDIRECT("SamplesY!D"&amp;FD369),""))</f>
        <v/>
      </c>
      <c r="E369" s="12">
        <f>IF(ISNUMBER(FC369),INDIRECT("SamplesX!E"&amp;FC369),IF(ISNUMBER(FD369),INDIRECT("SamplesY!E"&amp;FD369),""))</f>
        <v/>
      </c>
      <c r="F369" s="11">
        <f>IF(ISNUMBER(FC369),INDIRECT("SamplesX!F"&amp;FC369),IF(ISNUMBER(FD369),INDIRECT("SamplesY!F"&amp;FD369),""))</f>
        <v/>
      </c>
      <c r="G369" s="18">
        <f>IF(ISNUMBER(FC369),INDIRECT("SamplesX!G"&amp;FC369),IF(ISNUMBER(FD369),INDIRECT("SamplesY!G"&amp;FD369),""))</f>
        <v/>
      </c>
      <c r="H369" s="19">
        <f>IF(ISNUMBER(FC369),INDIRECT("SamplesX!H"&amp;FC369),IF(ISNUMBER(FD369),INDIRECT("SamplesY!H"&amp;FD369),""))</f>
        <v/>
      </c>
      <c r="I369" s="16" t="n"/>
      <c r="J369" s="16" t="n"/>
      <c r="K369" s="16" t="n"/>
      <c r="L369" s="20" t="n"/>
      <c r="M369" s="20" t="inlineStr">
        <is>
          <t>None</t>
        </is>
      </c>
      <c r="N369" s="17" t="n"/>
      <c r="O369" s="16" t="n"/>
      <c r="P369" s="20" t="inlineStr">
        <is>
          <t>Shimadzu TOC-L</t>
        </is>
      </c>
      <c r="Q369" s="20" t="inlineStr">
        <is>
          <t>None</t>
        </is>
      </c>
      <c r="R369" s="17" t="n"/>
      <c r="S369" s="16" t="n"/>
      <c r="T369" s="20" t="inlineStr">
        <is>
          <t>Shimadzu TOC-L</t>
        </is>
      </c>
      <c r="U369" s="20" t="inlineStr">
        <is>
          <t>None</t>
        </is>
      </c>
      <c r="V369" s="17" t="n"/>
      <c r="W369" s="16" t="n"/>
      <c r="X369" s="20" t="n"/>
      <c r="Y369" s="20" t="inlineStr">
        <is>
          <t>None</t>
        </is>
      </c>
      <c r="Z369" s="17" t="n"/>
      <c r="AA369" s="16" t="n"/>
      <c r="AB369" s="20" t="n"/>
      <c r="AC369" s="20" t="inlineStr">
        <is>
          <t>None</t>
        </is>
      </c>
      <c r="AD369" s="17" t="n"/>
      <c r="AE369" s="16" t="n"/>
      <c r="AF369" s="20" t="inlineStr">
        <is>
          <t>IC Anionen</t>
        </is>
      </c>
      <c r="AG369" s="20" t="inlineStr">
        <is>
          <t>None</t>
        </is>
      </c>
      <c r="AH369" s="17" t="n"/>
      <c r="AI369" s="16" t="n"/>
      <c r="AJ369" s="20" t="n"/>
      <c r="AK369" s="20" t="inlineStr">
        <is>
          <t>None</t>
        </is>
      </c>
      <c r="AL369" s="17" t="n"/>
      <c r="AM369" s="16" t="n"/>
      <c r="AN369" s="20" t="inlineStr">
        <is>
          <t>IC Anionen</t>
        </is>
      </c>
      <c r="AO369" s="20" t="inlineStr">
        <is>
          <t>None</t>
        </is>
      </c>
      <c r="AP369" s="17" t="n"/>
      <c r="AQ369" s="16" t="n"/>
      <c r="AR369" s="20" t="n"/>
      <c r="AS369" s="20" t="inlineStr">
        <is>
          <t>None</t>
        </is>
      </c>
      <c r="AT369" s="17" t="n"/>
      <c r="AU369" s="16" t="n"/>
      <c r="AV369" s="20" t="n"/>
      <c r="AW369" s="20" t="inlineStr">
        <is>
          <t>None</t>
        </is>
      </c>
      <c r="AX369" s="17" t="n"/>
      <c r="AY369" s="16" t="n"/>
      <c r="AZ369" s="20" t="inlineStr">
        <is>
          <t>IC Anionen</t>
        </is>
      </c>
      <c r="BA369" s="20" t="inlineStr">
        <is>
          <t>None</t>
        </is>
      </c>
      <c r="BB369" s="17" t="n"/>
      <c r="BC369" s="16" t="n"/>
      <c r="BD369" s="20" t="inlineStr">
        <is>
          <t>IC Kationen</t>
        </is>
      </c>
      <c r="BE369" s="20" t="inlineStr">
        <is>
          <t>None</t>
        </is>
      </c>
      <c r="BF369" s="17" t="n"/>
      <c r="BG369" s="16" t="n"/>
      <c r="BH369" s="20" t="inlineStr">
        <is>
          <t>IC Kationen</t>
        </is>
      </c>
      <c r="BI369" s="20" t="inlineStr">
        <is>
          <t>None</t>
        </is>
      </c>
      <c r="BJ369" s="17" t="n"/>
      <c r="BK369" s="16" t="n"/>
      <c r="BL369" s="20" t="inlineStr">
        <is>
          <t>IC Kationen</t>
        </is>
      </c>
      <c r="BM369" s="20" t="inlineStr">
        <is>
          <t>None</t>
        </is>
      </c>
      <c r="BN369" s="17" t="n"/>
      <c r="BO369" s="16" t="n"/>
      <c r="BP369" s="20" t="inlineStr">
        <is>
          <t>IC Kationen</t>
        </is>
      </c>
      <c r="BQ369" s="20" t="inlineStr">
        <is>
          <t>None</t>
        </is>
      </c>
      <c r="BR369" s="17" t="n"/>
      <c r="BS369" s="16" t="n"/>
      <c r="BT369" s="20" t="inlineStr">
        <is>
          <t>IC Kationen</t>
        </is>
      </c>
      <c r="BU369" s="20" t="inlineStr">
        <is>
          <t>None</t>
        </is>
      </c>
      <c r="BV369" s="17" t="n"/>
      <c r="BW369" s="16" t="n"/>
      <c r="BX369" s="20" t="n"/>
      <c r="BY369" s="20" t="inlineStr">
        <is>
          <t>None</t>
        </is>
      </c>
      <c r="BZ369" s="17" t="n"/>
      <c r="CA369" s="16" t="n"/>
      <c r="CB369" s="20" t="n"/>
      <c r="CC369" s="20" t="inlineStr">
        <is>
          <t>None</t>
        </is>
      </c>
      <c r="CD369" s="17" t="n"/>
      <c r="CE369" s="16" t="n"/>
      <c r="CF369" s="20" t="n"/>
      <c r="CG369" s="20" t="inlineStr">
        <is>
          <t>None</t>
        </is>
      </c>
      <c r="CH369" s="17" t="n"/>
      <c r="CI369" s="16" t="n"/>
      <c r="CJ369" s="20" t="n"/>
      <c r="CK369" s="20" t="inlineStr">
        <is>
          <t>None</t>
        </is>
      </c>
      <c r="CL369" s="17" t="n"/>
      <c r="CM369" s="16" t="n"/>
      <c r="CN369" s="20" t="inlineStr">
        <is>
          <t>SOP 45-34</t>
        </is>
      </c>
      <c r="CO369" s="20" t="inlineStr">
        <is>
          <t>None</t>
        </is>
      </c>
      <c r="CP369" s="17" t="n"/>
      <c r="CQ369" s="16" t="n"/>
      <c r="CR369" s="20" t="n"/>
      <c r="CS369" s="20" t="inlineStr">
        <is>
          <t>None</t>
        </is>
      </c>
      <c r="CT369" s="17" t="n"/>
      <c r="CU369" s="16" t="n"/>
      <c r="CV369" s="20" t="n"/>
      <c r="CW369" s="20" t="inlineStr">
        <is>
          <t>None</t>
        </is>
      </c>
      <c r="CX369" s="17" t="n"/>
      <c r="CY369" s="16" t="n"/>
      <c r="CZ369" s="20" t="inlineStr">
        <is>
          <t>WTW Multimeter 3430 with FDO 925</t>
        </is>
      </c>
      <c r="DA369" s="20" t="inlineStr">
        <is>
          <t>None</t>
        </is>
      </c>
      <c r="DB369" s="17" t="n"/>
      <c r="DC369" s="16" t="n"/>
      <c r="DD369" s="20" t="n"/>
      <c r="DE369" s="20" t="inlineStr">
        <is>
          <t>None</t>
        </is>
      </c>
      <c r="DF369" s="17" t="n"/>
      <c r="DG369" s="16" t="n"/>
      <c r="DH369" s="20" t="inlineStr">
        <is>
          <t>SOP 45-09</t>
        </is>
      </c>
      <c r="DI369" s="20" t="inlineStr">
        <is>
          <t>None</t>
        </is>
      </c>
      <c r="DJ369" s="17" t="n"/>
      <c r="DK369" s="16" t="n"/>
      <c r="DL369" s="20" t="inlineStr">
        <is>
          <t>SOP 45-09 (SOP muss noch angepasst werden für VSS)</t>
        </is>
      </c>
      <c r="DM369" s="20" t="inlineStr">
        <is>
          <t>None</t>
        </is>
      </c>
      <c r="DN369" s="17" t="n"/>
      <c r="DO369" s="16" t="n"/>
      <c r="DP369" s="20" t="inlineStr">
        <is>
          <t>IC Organic Acids</t>
        </is>
      </c>
      <c r="DQ369" s="20" t="inlineStr">
        <is>
          <t>None</t>
        </is>
      </c>
      <c r="DR369" s="17" t="n"/>
      <c r="DS369" s="16" t="n"/>
      <c r="DT369" s="20" t="inlineStr">
        <is>
          <t>IC Organic Acids</t>
        </is>
      </c>
      <c r="DU369" s="20" t="inlineStr">
        <is>
          <t>None</t>
        </is>
      </c>
      <c r="DV369" s="17" t="n"/>
      <c r="DW369" s="16" t="n"/>
      <c r="DX369" s="20" t="inlineStr">
        <is>
          <t>IC Organic Acids</t>
        </is>
      </c>
      <c r="DY369" s="20" t="inlineStr">
        <is>
          <t>None</t>
        </is>
      </c>
      <c r="DZ369" s="17" t="n"/>
      <c r="EA369" s="16" t="n"/>
      <c r="EB369" s="20" t="inlineStr">
        <is>
          <t>IC Organic Acids</t>
        </is>
      </c>
      <c r="EC369" s="20" t="inlineStr">
        <is>
          <t>None</t>
        </is>
      </c>
      <c r="ED369" s="17" t="n"/>
      <c r="EE369" s="16" t="n"/>
      <c r="EF369" s="20" t="inlineStr">
        <is>
          <t>IC Organic Acids</t>
        </is>
      </c>
      <c r="EG369" s="20" t="inlineStr">
        <is>
          <t>None</t>
        </is>
      </c>
      <c r="EH369" s="17" t="n"/>
      <c r="EI369" s="16" t="n"/>
      <c r="EJ369" s="20" t="inlineStr">
        <is>
          <t>IC Organic Acids</t>
        </is>
      </c>
      <c r="EK369" s="20" t="inlineStr">
        <is>
          <t>None</t>
        </is>
      </c>
      <c r="EL369" s="17" t="n"/>
      <c r="EM369" s="16" t="n"/>
      <c r="EN369" s="20" t="inlineStr">
        <is>
          <t>IC Organic Acids</t>
        </is>
      </c>
      <c r="EO369" s="20" t="inlineStr">
        <is>
          <t>None</t>
        </is>
      </c>
      <c r="EP369" s="17" t="n"/>
      <c r="EQ369" s="16" t="n"/>
      <c r="ER369" s="20" t="inlineStr">
        <is>
          <t>IC Organic Acids</t>
        </is>
      </c>
      <c r="ES369" s="20" t="inlineStr">
        <is>
          <t>None</t>
        </is>
      </c>
      <c r="ET369" s="17" t="n"/>
      <c r="EU369" s="16" t="n"/>
      <c r="EV369" s="20" t="inlineStr">
        <is>
          <t>LC-MS</t>
        </is>
      </c>
      <c r="EW369" s="20" t="inlineStr">
        <is>
          <t>None</t>
        </is>
      </c>
      <c r="EX369" s="17" t="n"/>
      <c r="EY369" s="21" t="n"/>
      <c r="EZ369">
        <f>CONCATENATE(A369,B369)</f>
        <v/>
      </c>
      <c r="FA369">
        <f>CONCATENATE(SamplesX!A369,SamplesX!B369)</f>
        <v/>
      </c>
      <c r="FC369">
        <f>MATCH(EZ369,FA1:FA1008,0)</f>
        <v/>
      </c>
    </row>
    <row r="370">
      <c r="A370" s="16" t="inlineStr">
        <is>
          <t>BP</t>
        </is>
      </c>
      <c r="B370" s="17" t="inlineStr">
        <is>
          <t>25362</t>
        </is>
      </c>
      <c r="C370" s="10">
        <f>IF(ISNUMBER(FC370),INDIRECT("SamplesX!C"&amp;FC370),IF(ISNUMBER(FD370),INDIRECT("SamplesY!C"&amp;FD370),""))</f>
        <v/>
      </c>
      <c r="D370" s="12">
        <f>IF(ISNUMBER(FC370),INDIRECT("SamplesX!D"&amp;FC370),IF(ISNUMBER(FD370),INDIRECT("SamplesY!D"&amp;FD370),""))</f>
        <v/>
      </c>
      <c r="E370" s="12">
        <f>IF(ISNUMBER(FC370),INDIRECT("SamplesX!E"&amp;FC370),IF(ISNUMBER(FD370),INDIRECT("SamplesY!E"&amp;FD370),""))</f>
        <v/>
      </c>
      <c r="F370" s="11">
        <f>IF(ISNUMBER(FC370),INDIRECT("SamplesX!F"&amp;FC370),IF(ISNUMBER(FD370),INDIRECT("SamplesY!F"&amp;FD370),""))</f>
        <v/>
      </c>
      <c r="G370" s="18">
        <f>IF(ISNUMBER(FC370),INDIRECT("SamplesX!G"&amp;FC370),IF(ISNUMBER(FD370),INDIRECT("SamplesY!G"&amp;FD370),""))</f>
        <v/>
      </c>
      <c r="H370" s="19">
        <f>IF(ISNUMBER(FC370),INDIRECT("SamplesX!H"&amp;FC370),IF(ISNUMBER(FD370),INDIRECT("SamplesY!H"&amp;FD370),""))</f>
        <v/>
      </c>
      <c r="I370" s="16" t="n"/>
      <c r="J370" s="16" t="n"/>
      <c r="K370" s="16" t="n"/>
      <c r="L370" s="20" t="n"/>
      <c r="M370" s="20" t="inlineStr">
        <is>
          <t>None</t>
        </is>
      </c>
      <c r="N370" s="17" t="n"/>
      <c r="O370" s="16" t="n"/>
      <c r="P370" s="20" t="inlineStr">
        <is>
          <t>Shimadzu TOC-L</t>
        </is>
      </c>
      <c r="Q370" s="20" t="inlineStr">
        <is>
          <t>None</t>
        </is>
      </c>
      <c r="R370" s="17" t="n"/>
      <c r="S370" s="16" t="n"/>
      <c r="T370" s="20" t="inlineStr">
        <is>
          <t>Shimadzu TOC-L</t>
        </is>
      </c>
      <c r="U370" s="20" t="inlineStr">
        <is>
          <t>None</t>
        </is>
      </c>
      <c r="V370" s="17" t="n"/>
      <c r="W370" s="16" t="n"/>
      <c r="X370" s="20" t="n"/>
      <c r="Y370" s="20" t="inlineStr">
        <is>
          <t>None</t>
        </is>
      </c>
      <c r="Z370" s="17" t="n"/>
      <c r="AA370" s="16" t="n"/>
      <c r="AB370" s="20" t="n"/>
      <c r="AC370" s="20" t="inlineStr">
        <is>
          <t>None</t>
        </is>
      </c>
      <c r="AD370" s="17" t="n"/>
      <c r="AE370" s="16" t="n"/>
      <c r="AF370" s="20" t="inlineStr">
        <is>
          <t>IC Anionen</t>
        </is>
      </c>
      <c r="AG370" s="20" t="inlineStr">
        <is>
          <t>None</t>
        </is>
      </c>
      <c r="AH370" s="17" t="n"/>
      <c r="AI370" s="16" t="n"/>
      <c r="AJ370" s="20" t="n"/>
      <c r="AK370" s="20" t="inlineStr">
        <is>
          <t>None</t>
        </is>
      </c>
      <c r="AL370" s="17" t="n"/>
      <c r="AM370" s="16" t="n"/>
      <c r="AN370" s="20" t="inlineStr">
        <is>
          <t>IC Anionen</t>
        </is>
      </c>
      <c r="AO370" s="20" t="inlineStr">
        <is>
          <t>None</t>
        </is>
      </c>
      <c r="AP370" s="17" t="n"/>
      <c r="AQ370" s="16" t="n"/>
      <c r="AR370" s="20" t="n"/>
      <c r="AS370" s="20" t="inlineStr">
        <is>
          <t>None</t>
        </is>
      </c>
      <c r="AT370" s="17" t="n"/>
      <c r="AU370" s="16" t="n"/>
      <c r="AV370" s="20" t="n"/>
      <c r="AW370" s="20" t="inlineStr">
        <is>
          <t>None</t>
        </is>
      </c>
      <c r="AX370" s="17" t="n"/>
      <c r="AY370" s="16" t="n"/>
      <c r="AZ370" s="20" t="inlineStr">
        <is>
          <t>IC Anionen</t>
        </is>
      </c>
      <c r="BA370" s="20" t="inlineStr">
        <is>
          <t>None</t>
        </is>
      </c>
      <c r="BB370" s="17" t="n"/>
      <c r="BC370" s="16" t="n"/>
      <c r="BD370" s="20" t="inlineStr">
        <is>
          <t>IC Kationen</t>
        </is>
      </c>
      <c r="BE370" s="20" t="inlineStr">
        <is>
          <t>None</t>
        </is>
      </c>
      <c r="BF370" s="17" t="n"/>
      <c r="BG370" s="16" t="n"/>
      <c r="BH370" s="20" t="inlineStr">
        <is>
          <t>IC Kationen</t>
        </is>
      </c>
      <c r="BI370" s="20" t="inlineStr">
        <is>
          <t>None</t>
        </is>
      </c>
      <c r="BJ370" s="17" t="n"/>
      <c r="BK370" s="16" t="n"/>
      <c r="BL370" s="20" t="inlineStr">
        <is>
          <t>IC Kationen</t>
        </is>
      </c>
      <c r="BM370" s="20" t="inlineStr">
        <is>
          <t>None</t>
        </is>
      </c>
      <c r="BN370" s="17" t="n"/>
      <c r="BO370" s="16" t="n"/>
      <c r="BP370" s="20" t="inlineStr">
        <is>
          <t>IC Kationen</t>
        </is>
      </c>
      <c r="BQ370" s="20" t="inlineStr">
        <is>
          <t>None</t>
        </is>
      </c>
      <c r="BR370" s="17" t="n"/>
      <c r="BS370" s="16" t="n"/>
      <c r="BT370" s="20" t="inlineStr">
        <is>
          <t>IC Kationen</t>
        </is>
      </c>
      <c r="BU370" s="20" t="inlineStr">
        <is>
          <t>None</t>
        </is>
      </c>
      <c r="BV370" s="17" t="n"/>
      <c r="BW370" s="16" t="n"/>
      <c r="BX370" s="20" t="n"/>
      <c r="BY370" s="20" t="inlineStr">
        <is>
          <t>None</t>
        </is>
      </c>
      <c r="BZ370" s="17" t="n"/>
      <c r="CA370" s="16" t="n"/>
      <c r="CB370" s="20" t="n"/>
      <c r="CC370" s="20" t="inlineStr">
        <is>
          <t>None</t>
        </is>
      </c>
      <c r="CD370" s="17" t="n"/>
      <c r="CE370" s="16" t="n"/>
      <c r="CF370" s="20" t="n"/>
      <c r="CG370" s="20" t="inlineStr">
        <is>
          <t>None</t>
        </is>
      </c>
      <c r="CH370" s="17" t="n"/>
      <c r="CI370" s="16" t="n"/>
      <c r="CJ370" s="20" t="n"/>
      <c r="CK370" s="20" t="inlineStr">
        <is>
          <t>None</t>
        </is>
      </c>
      <c r="CL370" s="17" t="n"/>
      <c r="CM370" s="16" t="n"/>
      <c r="CN370" s="20" t="inlineStr">
        <is>
          <t>SOP 45-34</t>
        </is>
      </c>
      <c r="CO370" s="20" t="inlineStr">
        <is>
          <t>None</t>
        </is>
      </c>
      <c r="CP370" s="17" t="n"/>
      <c r="CQ370" s="16" t="n"/>
      <c r="CR370" s="20" t="n"/>
      <c r="CS370" s="20" t="inlineStr">
        <is>
          <t>None</t>
        </is>
      </c>
      <c r="CT370" s="17" t="n"/>
      <c r="CU370" s="16" t="n"/>
      <c r="CV370" s="20" t="n"/>
      <c r="CW370" s="20" t="inlineStr">
        <is>
          <t>None</t>
        </is>
      </c>
      <c r="CX370" s="17" t="n"/>
      <c r="CY370" s="16" t="n"/>
      <c r="CZ370" s="20" t="inlineStr">
        <is>
          <t>WTW Multimeter 3430 with FDO 925</t>
        </is>
      </c>
      <c r="DA370" s="20" t="inlineStr">
        <is>
          <t>None</t>
        </is>
      </c>
      <c r="DB370" s="17" t="n"/>
      <c r="DC370" s="16" t="n"/>
      <c r="DD370" s="20" t="n"/>
      <c r="DE370" s="20" t="inlineStr">
        <is>
          <t>None</t>
        </is>
      </c>
      <c r="DF370" s="17" t="n"/>
      <c r="DG370" s="16" t="n"/>
      <c r="DH370" s="20" t="inlineStr">
        <is>
          <t>SOP 45-09</t>
        </is>
      </c>
      <c r="DI370" s="20" t="inlineStr">
        <is>
          <t>None</t>
        </is>
      </c>
      <c r="DJ370" s="17" t="n"/>
      <c r="DK370" s="16" t="n"/>
      <c r="DL370" s="20" t="inlineStr">
        <is>
          <t>SOP 45-09 (SOP muss noch angepasst werden für VSS)</t>
        </is>
      </c>
      <c r="DM370" s="20" t="inlineStr">
        <is>
          <t>None</t>
        </is>
      </c>
      <c r="DN370" s="17" t="n"/>
      <c r="DO370" s="16" t="n"/>
      <c r="DP370" s="20" t="inlineStr">
        <is>
          <t>IC Organic Acids</t>
        </is>
      </c>
      <c r="DQ370" s="20" t="inlineStr">
        <is>
          <t>None</t>
        </is>
      </c>
      <c r="DR370" s="17" t="n"/>
      <c r="DS370" s="16" t="n"/>
      <c r="DT370" s="20" t="inlineStr">
        <is>
          <t>IC Organic Acids</t>
        </is>
      </c>
      <c r="DU370" s="20" t="inlineStr">
        <is>
          <t>None</t>
        </is>
      </c>
      <c r="DV370" s="17" t="n"/>
      <c r="DW370" s="16" t="n"/>
      <c r="DX370" s="20" t="inlineStr">
        <is>
          <t>IC Organic Acids</t>
        </is>
      </c>
      <c r="DY370" s="20" t="inlineStr">
        <is>
          <t>None</t>
        </is>
      </c>
      <c r="DZ370" s="17" t="n"/>
      <c r="EA370" s="16" t="n"/>
      <c r="EB370" s="20" t="inlineStr">
        <is>
          <t>IC Organic Acids</t>
        </is>
      </c>
      <c r="EC370" s="20" t="inlineStr">
        <is>
          <t>None</t>
        </is>
      </c>
      <c r="ED370" s="17" t="n"/>
      <c r="EE370" s="16" t="n"/>
      <c r="EF370" s="20" t="inlineStr">
        <is>
          <t>IC Organic Acids</t>
        </is>
      </c>
      <c r="EG370" s="20" t="inlineStr">
        <is>
          <t>None</t>
        </is>
      </c>
      <c r="EH370" s="17" t="n"/>
      <c r="EI370" s="16" t="n"/>
      <c r="EJ370" s="20" t="inlineStr">
        <is>
          <t>IC Organic Acids</t>
        </is>
      </c>
      <c r="EK370" s="20" t="inlineStr">
        <is>
          <t>None</t>
        </is>
      </c>
      <c r="EL370" s="17" t="n"/>
      <c r="EM370" s="16" t="n"/>
      <c r="EN370" s="20" t="inlineStr">
        <is>
          <t>IC Organic Acids</t>
        </is>
      </c>
      <c r="EO370" s="20" t="inlineStr">
        <is>
          <t>None</t>
        </is>
      </c>
      <c r="EP370" s="17" t="n"/>
      <c r="EQ370" s="16" t="n"/>
      <c r="ER370" s="20" t="inlineStr">
        <is>
          <t>IC Organic Acids</t>
        </is>
      </c>
      <c r="ES370" s="20" t="inlineStr">
        <is>
          <t>None</t>
        </is>
      </c>
      <c r="ET370" s="17" t="n"/>
      <c r="EU370" s="16" t="n"/>
      <c r="EV370" s="20" t="inlineStr">
        <is>
          <t>LC-MS</t>
        </is>
      </c>
      <c r="EW370" s="20" t="inlineStr">
        <is>
          <t>None</t>
        </is>
      </c>
      <c r="EX370" s="17" t="n"/>
      <c r="EY370" s="21" t="n"/>
      <c r="EZ370">
        <f>CONCATENATE(A370,B370)</f>
        <v/>
      </c>
      <c r="FA370">
        <f>CONCATENATE(SamplesX!A370,SamplesX!B370)</f>
        <v/>
      </c>
      <c r="FC370">
        <f>MATCH(EZ370,FA1:FA1008,0)</f>
        <v/>
      </c>
    </row>
    <row r="371">
      <c r="A371" s="16" t="inlineStr">
        <is>
          <t>BP</t>
        </is>
      </c>
      <c r="B371" s="17" t="inlineStr">
        <is>
          <t>25363</t>
        </is>
      </c>
      <c r="C371" s="10">
        <f>IF(ISNUMBER(FC371),INDIRECT("SamplesX!C"&amp;FC371),IF(ISNUMBER(FD371),INDIRECT("SamplesY!C"&amp;FD371),""))</f>
        <v/>
      </c>
      <c r="D371" s="12">
        <f>IF(ISNUMBER(FC371),INDIRECT("SamplesX!D"&amp;FC371),IF(ISNUMBER(FD371),INDIRECT("SamplesY!D"&amp;FD371),""))</f>
        <v/>
      </c>
      <c r="E371" s="12">
        <f>IF(ISNUMBER(FC371),INDIRECT("SamplesX!E"&amp;FC371),IF(ISNUMBER(FD371),INDIRECT("SamplesY!E"&amp;FD371),""))</f>
        <v/>
      </c>
      <c r="F371" s="11">
        <f>IF(ISNUMBER(FC371),INDIRECT("SamplesX!F"&amp;FC371),IF(ISNUMBER(FD371),INDIRECT("SamplesY!F"&amp;FD371),""))</f>
        <v/>
      </c>
      <c r="G371" s="18">
        <f>IF(ISNUMBER(FC371),INDIRECT("SamplesX!G"&amp;FC371),IF(ISNUMBER(FD371),INDIRECT("SamplesY!G"&amp;FD371),""))</f>
        <v/>
      </c>
      <c r="H371" s="19">
        <f>IF(ISNUMBER(FC371),INDIRECT("SamplesX!H"&amp;FC371),IF(ISNUMBER(FD371),INDIRECT("SamplesY!H"&amp;FD371),""))</f>
        <v/>
      </c>
      <c r="I371" s="16" t="n"/>
      <c r="J371" s="16" t="n"/>
      <c r="K371" s="16" t="n"/>
      <c r="L371" s="20" t="n"/>
      <c r="M371" s="20" t="inlineStr">
        <is>
          <t>None</t>
        </is>
      </c>
      <c r="N371" s="17" t="n"/>
      <c r="O371" s="16" t="n"/>
      <c r="P371" s="20" t="inlineStr">
        <is>
          <t>Shimadzu TOC-L</t>
        </is>
      </c>
      <c r="Q371" s="20" t="inlineStr">
        <is>
          <t>None</t>
        </is>
      </c>
      <c r="R371" s="17" t="n"/>
      <c r="S371" s="16" t="n"/>
      <c r="T371" s="20" t="inlineStr">
        <is>
          <t>Shimadzu TOC-L</t>
        </is>
      </c>
      <c r="U371" s="20" t="inlineStr">
        <is>
          <t>None</t>
        </is>
      </c>
      <c r="V371" s="17" t="n"/>
      <c r="W371" s="16" t="n"/>
      <c r="X371" s="20" t="n"/>
      <c r="Y371" s="20" t="inlineStr">
        <is>
          <t>None</t>
        </is>
      </c>
      <c r="Z371" s="17" t="n"/>
      <c r="AA371" s="16" t="n"/>
      <c r="AB371" s="20" t="n"/>
      <c r="AC371" s="20" t="inlineStr">
        <is>
          <t>None</t>
        </is>
      </c>
      <c r="AD371" s="17" t="n"/>
      <c r="AE371" s="16" t="n"/>
      <c r="AF371" s="20" t="inlineStr">
        <is>
          <t>IC Anionen</t>
        </is>
      </c>
      <c r="AG371" s="20" t="inlineStr">
        <is>
          <t>None</t>
        </is>
      </c>
      <c r="AH371" s="17" t="n"/>
      <c r="AI371" s="16" t="n"/>
      <c r="AJ371" s="20" t="n"/>
      <c r="AK371" s="20" t="inlineStr">
        <is>
          <t>None</t>
        </is>
      </c>
      <c r="AL371" s="17" t="n"/>
      <c r="AM371" s="16" t="n"/>
      <c r="AN371" s="20" t="inlineStr">
        <is>
          <t>IC Anionen</t>
        </is>
      </c>
      <c r="AO371" s="20" t="inlineStr">
        <is>
          <t>None</t>
        </is>
      </c>
      <c r="AP371" s="17" t="n"/>
      <c r="AQ371" s="16" t="n"/>
      <c r="AR371" s="20" t="n"/>
      <c r="AS371" s="20" t="inlineStr">
        <is>
          <t>None</t>
        </is>
      </c>
      <c r="AT371" s="17" t="n"/>
      <c r="AU371" s="16" t="n"/>
      <c r="AV371" s="20" t="n"/>
      <c r="AW371" s="20" t="inlineStr">
        <is>
          <t>None</t>
        </is>
      </c>
      <c r="AX371" s="17" t="n"/>
      <c r="AY371" s="16" t="n"/>
      <c r="AZ371" s="20" t="inlineStr">
        <is>
          <t>IC Anionen</t>
        </is>
      </c>
      <c r="BA371" s="20" t="inlineStr">
        <is>
          <t>None</t>
        </is>
      </c>
      <c r="BB371" s="17" t="n"/>
      <c r="BC371" s="16" t="n"/>
      <c r="BD371" s="20" t="inlineStr">
        <is>
          <t>IC Kationen</t>
        </is>
      </c>
      <c r="BE371" s="20" t="inlineStr">
        <is>
          <t>None</t>
        </is>
      </c>
      <c r="BF371" s="17" t="n"/>
      <c r="BG371" s="16" t="n"/>
      <c r="BH371" s="20" t="inlineStr">
        <is>
          <t>IC Kationen</t>
        </is>
      </c>
      <c r="BI371" s="20" t="inlineStr">
        <is>
          <t>None</t>
        </is>
      </c>
      <c r="BJ371" s="17" t="n"/>
      <c r="BK371" s="16" t="n"/>
      <c r="BL371" s="20" t="inlineStr">
        <is>
          <t>IC Kationen</t>
        </is>
      </c>
      <c r="BM371" s="20" t="inlineStr">
        <is>
          <t>None</t>
        </is>
      </c>
      <c r="BN371" s="17" t="n"/>
      <c r="BO371" s="16" t="n"/>
      <c r="BP371" s="20" t="inlineStr">
        <is>
          <t>IC Kationen</t>
        </is>
      </c>
      <c r="BQ371" s="20" t="inlineStr">
        <is>
          <t>None</t>
        </is>
      </c>
      <c r="BR371" s="17" t="n"/>
      <c r="BS371" s="16" t="n"/>
      <c r="BT371" s="20" t="inlineStr">
        <is>
          <t>IC Kationen</t>
        </is>
      </c>
      <c r="BU371" s="20" t="inlineStr">
        <is>
          <t>None</t>
        </is>
      </c>
      <c r="BV371" s="17" t="n"/>
      <c r="BW371" s="16" t="n"/>
      <c r="BX371" s="20" t="n"/>
      <c r="BY371" s="20" t="inlineStr">
        <is>
          <t>None</t>
        </is>
      </c>
      <c r="BZ371" s="17" t="n"/>
      <c r="CA371" s="16" t="n"/>
      <c r="CB371" s="20" t="n"/>
      <c r="CC371" s="20" t="inlineStr">
        <is>
          <t>None</t>
        </is>
      </c>
      <c r="CD371" s="17" t="n"/>
      <c r="CE371" s="16" t="n"/>
      <c r="CF371" s="20" t="n"/>
      <c r="CG371" s="20" t="inlineStr">
        <is>
          <t>None</t>
        </is>
      </c>
      <c r="CH371" s="17" t="n"/>
      <c r="CI371" s="16" t="n"/>
      <c r="CJ371" s="20" t="n"/>
      <c r="CK371" s="20" t="inlineStr">
        <is>
          <t>None</t>
        </is>
      </c>
      <c r="CL371" s="17" t="n"/>
      <c r="CM371" s="16" t="n"/>
      <c r="CN371" s="20" t="inlineStr">
        <is>
          <t>SOP 45-34</t>
        </is>
      </c>
      <c r="CO371" s="20" t="inlineStr">
        <is>
          <t>None</t>
        </is>
      </c>
      <c r="CP371" s="17" t="n"/>
      <c r="CQ371" s="16" t="n"/>
      <c r="CR371" s="20" t="n"/>
      <c r="CS371" s="20" t="inlineStr">
        <is>
          <t>None</t>
        </is>
      </c>
      <c r="CT371" s="17" t="n"/>
      <c r="CU371" s="16" t="n"/>
      <c r="CV371" s="20" t="n"/>
      <c r="CW371" s="20" t="inlineStr">
        <is>
          <t>None</t>
        </is>
      </c>
      <c r="CX371" s="17" t="n"/>
      <c r="CY371" s="16" t="n"/>
      <c r="CZ371" s="20" t="inlineStr">
        <is>
          <t>WTW Multimeter 3430 with FDO 925</t>
        </is>
      </c>
      <c r="DA371" s="20" t="inlineStr">
        <is>
          <t>None</t>
        </is>
      </c>
      <c r="DB371" s="17" t="n"/>
      <c r="DC371" s="16" t="n"/>
      <c r="DD371" s="20" t="n"/>
      <c r="DE371" s="20" t="inlineStr">
        <is>
          <t>None</t>
        </is>
      </c>
      <c r="DF371" s="17" t="n"/>
      <c r="DG371" s="16" t="n"/>
      <c r="DH371" s="20" t="inlineStr">
        <is>
          <t>SOP 45-09</t>
        </is>
      </c>
      <c r="DI371" s="20" t="inlineStr">
        <is>
          <t>None</t>
        </is>
      </c>
      <c r="DJ371" s="17" t="n"/>
      <c r="DK371" s="16" t="n"/>
      <c r="DL371" s="20" t="inlineStr">
        <is>
          <t>SOP 45-09 (SOP muss noch angepasst werden für VSS)</t>
        </is>
      </c>
      <c r="DM371" s="20" t="inlineStr">
        <is>
          <t>None</t>
        </is>
      </c>
      <c r="DN371" s="17" t="n"/>
      <c r="DO371" s="16" t="n"/>
      <c r="DP371" s="20" t="inlineStr">
        <is>
          <t>IC Organic Acids</t>
        </is>
      </c>
      <c r="DQ371" s="20" t="inlineStr">
        <is>
          <t>None</t>
        </is>
      </c>
      <c r="DR371" s="17" t="n"/>
      <c r="DS371" s="16" t="n"/>
      <c r="DT371" s="20" t="inlineStr">
        <is>
          <t>IC Organic Acids</t>
        </is>
      </c>
      <c r="DU371" s="20" t="inlineStr">
        <is>
          <t>None</t>
        </is>
      </c>
      <c r="DV371" s="17" t="n"/>
      <c r="DW371" s="16" t="n"/>
      <c r="DX371" s="20" t="inlineStr">
        <is>
          <t>IC Organic Acids</t>
        </is>
      </c>
      <c r="DY371" s="20" t="inlineStr">
        <is>
          <t>None</t>
        </is>
      </c>
      <c r="DZ371" s="17" t="n"/>
      <c r="EA371" s="16" t="n"/>
      <c r="EB371" s="20" t="inlineStr">
        <is>
          <t>IC Organic Acids</t>
        </is>
      </c>
      <c r="EC371" s="20" t="inlineStr">
        <is>
          <t>None</t>
        </is>
      </c>
      <c r="ED371" s="17" t="n"/>
      <c r="EE371" s="16" t="n"/>
      <c r="EF371" s="20" t="inlineStr">
        <is>
          <t>IC Organic Acids</t>
        </is>
      </c>
      <c r="EG371" s="20" t="inlineStr">
        <is>
          <t>None</t>
        </is>
      </c>
      <c r="EH371" s="17" t="n"/>
      <c r="EI371" s="16" t="n"/>
      <c r="EJ371" s="20" t="inlineStr">
        <is>
          <t>IC Organic Acids</t>
        </is>
      </c>
      <c r="EK371" s="20" t="inlineStr">
        <is>
          <t>None</t>
        </is>
      </c>
      <c r="EL371" s="17" t="n"/>
      <c r="EM371" s="16" t="n"/>
      <c r="EN371" s="20" t="inlineStr">
        <is>
          <t>IC Organic Acids</t>
        </is>
      </c>
      <c r="EO371" s="20" t="inlineStr">
        <is>
          <t>None</t>
        </is>
      </c>
      <c r="EP371" s="17" t="n"/>
      <c r="EQ371" s="16" t="n"/>
      <c r="ER371" s="20" t="inlineStr">
        <is>
          <t>IC Organic Acids</t>
        </is>
      </c>
      <c r="ES371" s="20" t="inlineStr">
        <is>
          <t>None</t>
        </is>
      </c>
      <c r="ET371" s="17" t="n"/>
      <c r="EU371" s="16" t="n"/>
      <c r="EV371" s="20" t="inlineStr">
        <is>
          <t>LC-MS</t>
        </is>
      </c>
      <c r="EW371" s="20" t="inlineStr">
        <is>
          <t>None</t>
        </is>
      </c>
      <c r="EX371" s="17" t="n"/>
      <c r="EY371" s="21" t="n"/>
      <c r="EZ371">
        <f>CONCATENATE(A371,B371)</f>
        <v/>
      </c>
      <c r="FA371">
        <f>CONCATENATE(SamplesX!A371,SamplesX!B371)</f>
        <v/>
      </c>
      <c r="FC371">
        <f>MATCH(EZ371,FA1:FA1008,0)</f>
        <v/>
      </c>
    </row>
    <row r="372">
      <c r="A372" s="16" t="inlineStr">
        <is>
          <t>BP</t>
        </is>
      </c>
      <c r="B372" s="17" t="inlineStr">
        <is>
          <t>25364</t>
        </is>
      </c>
      <c r="C372" s="10">
        <f>IF(ISNUMBER(FC372),INDIRECT("SamplesX!C"&amp;FC372),IF(ISNUMBER(FD372),INDIRECT("SamplesY!C"&amp;FD372),""))</f>
        <v/>
      </c>
      <c r="D372" s="12">
        <f>IF(ISNUMBER(FC372),INDIRECT("SamplesX!D"&amp;FC372),IF(ISNUMBER(FD372),INDIRECT("SamplesY!D"&amp;FD372),""))</f>
        <v/>
      </c>
      <c r="E372" s="12">
        <f>IF(ISNUMBER(FC372),INDIRECT("SamplesX!E"&amp;FC372),IF(ISNUMBER(FD372),INDIRECT("SamplesY!E"&amp;FD372),""))</f>
        <v/>
      </c>
      <c r="F372" s="11">
        <f>IF(ISNUMBER(FC372),INDIRECT("SamplesX!F"&amp;FC372),IF(ISNUMBER(FD372),INDIRECT("SamplesY!F"&amp;FD372),""))</f>
        <v/>
      </c>
      <c r="G372" s="18">
        <f>IF(ISNUMBER(FC372),INDIRECT("SamplesX!G"&amp;FC372),IF(ISNUMBER(FD372),INDIRECT("SamplesY!G"&amp;FD372),""))</f>
        <v/>
      </c>
      <c r="H372" s="19">
        <f>IF(ISNUMBER(FC372),INDIRECT("SamplesX!H"&amp;FC372),IF(ISNUMBER(FD372),INDIRECT("SamplesY!H"&amp;FD372),""))</f>
        <v/>
      </c>
      <c r="I372" s="16" t="n"/>
      <c r="J372" s="16" t="n"/>
      <c r="K372" s="16" t="n"/>
      <c r="L372" s="20" t="n"/>
      <c r="M372" s="20" t="inlineStr">
        <is>
          <t>None</t>
        </is>
      </c>
      <c r="N372" s="17" t="n"/>
      <c r="O372" s="16" t="n"/>
      <c r="P372" s="20" t="inlineStr">
        <is>
          <t>Shimadzu TOC-L</t>
        </is>
      </c>
      <c r="Q372" s="20" t="inlineStr">
        <is>
          <t>None</t>
        </is>
      </c>
      <c r="R372" s="17" t="n"/>
      <c r="S372" s="16" t="n"/>
      <c r="T372" s="20" t="inlineStr">
        <is>
          <t>Shimadzu TOC-L</t>
        </is>
      </c>
      <c r="U372" s="20" t="inlineStr">
        <is>
          <t>None</t>
        </is>
      </c>
      <c r="V372" s="17" t="n"/>
      <c r="W372" s="16" t="n"/>
      <c r="X372" s="20" t="n"/>
      <c r="Y372" s="20" t="inlineStr">
        <is>
          <t>None</t>
        </is>
      </c>
      <c r="Z372" s="17" t="n"/>
      <c r="AA372" s="16" t="n"/>
      <c r="AB372" s="20" t="n"/>
      <c r="AC372" s="20" t="inlineStr">
        <is>
          <t>None</t>
        </is>
      </c>
      <c r="AD372" s="17" t="n"/>
      <c r="AE372" s="16" t="n"/>
      <c r="AF372" s="20" t="inlineStr">
        <is>
          <t>IC Anionen</t>
        </is>
      </c>
      <c r="AG372" s="20" t="inlineStr">
        <is>
          <t>None</t>
        </is>
      </c>
      <c r="AH372" s="17" t="n"/>
      <c r="AI372" s="16" t="n"/>
      <c r="AJ372" s="20" t="n"/>
      <c r="AK372" s="20" t="inlineStr">
        <is>
          <t>None</t>
        </is>
      </c>
      <c r="AL372" s="17" t="n"/>
      <c r="AM372" s="16" t="n"/>
      <c r="AN372" s="20" t="inlineStr">
        <is>
          <t>IC Anionen</t>
        </is>
      </c>
      <c r="AO372" s="20" t="inlineStr">
        <is>
          <t>None</t>
        </is>
      </c>
      <c r="AP372" s="17" t="n"/>
      <c r="AQ372" s="16" t="n"/>
      <c r="AR372" s="20" t="n"/>
      <c r="AS372" s="20" t="inlineStr">
        <is>
          <t>None</t>
        </is>
      </c>
      <c r="AT372" s="17" t="n"/>
      <c r="AU372" s="16" t="n"/>
      <c r="AV372" s="20" t="n"/>
      <c r="AW372" s="20" t="inlineStr">
        <is>
          <t>None</t>
        </is>
      </c>
      <c r="AX372" s="17" t="n"/>
      <c r="AY372" s="16" t="n"/>
      <c r="AZ372" s="20" t="inlineStr">
        <is>
          <t>IC Anionen</t>
        </is>
      </c>
      <c r="BA372" s="20" t="inlineStr">
        <is>
          <t>None</t>
        </is>
      </c>
      <c r="BB372" s="17" t="n"/>
      <c r="BC372" s="16" t="n"/>
      <c r="BD372" s="20" t="inlineStr">
        <is>
          <t>IC Kationen</t>
        </is>
      </c>
      <c r="BE372" s="20" t="inlineStr">
        <is>
          <t>None</t>
        </is>
      </c>
      <c r="BF372" s="17" t="n"/>
      <c r="BG372" s="16" t="n"/>
      <c r="BH372" s="20" t="inlineStr">
        <is>
          <t>IC Kationen</t>
        </is>
      </c>
      <c r="BI372" s="20" t="inlineStr">
        <is>
          <t>None</t>
        </is>
      </c>
      <c r="BJ372" s="17" t="n"/>
      <c r="BK372" s="16" t="n"/>
      <c r="BL372" s="20" t="inlineStr">
        <is>
          <t>IC Kationen</t>
        </is>
      </c>
      <c r="BM372" s="20" t="inlineStr">
        <is>
          <t>None</t>
        </is>
      </c>
      <c r="BN372" s="17" t="n"/>
      <c r="BO372" s="16" t="n"/>
      <c r="BP372" s="20" t="inlineStr">
        <is>
          <t>IC Kationen</t>
        </is>
      </c>
      <c r="BQ372" s="20" t="inlineStr">
        <is>
          <t>None</t>
        </is>
      </c>
      <c r="BR372" s="17" t="n"/>
      <c r="BS372" s="16" t="n"/>
      <c r="BT372" s="20" t="inlineStr">
        <is>
          <t>IC Kationen</t>
        </is>
      </c>
      <c r="BU372" s="20" t="inlineStr">
        <is>
          <t>None</t>
        </is>
      </c>
      <c r="BV372" s="17" t="n"/>
      <c r="BW372" s="16" t="n"/>
      <c r="BX372" s="20" t="n"/>
      <c r="BY372" s="20" t="inlineStr">
        <is>
          <t>None</t>
        </is>
      </c>
      <c r="BZ372" s="17" t="n"/>
      <c r="CA372" s="16" t="n"/>
      <c r="CB372" s="20" t="n"/>
      <c r="CC372" s="20" t="inlineStr">
        <is>
          <t>None</t>
        </is>
      </c>
      <c r="CD372" s="17" t="n"/>
      <c r="CE372" s="16" t="n"/>
      <c r="CF372" s="20" t="n"/>
      <c r="CG372" s="20" t="inlineStr">
        <is>
          <t>None</t>
        </is>
      </c>
      <c r="CH372" s="17" t="n"/>
      <c r="CI372" s="16" t="n"/>
      <c r="CJ372" s="20" t="n"/>
      <c r="CK372" s="20" t="inlineStr">
        <is>
          <t>None</t>
        </is>
      </c>
      <c r="CL372" s="17" t="n"/>
      <c r="CM372" s="16" t="n"/>
      <c r="CN372" s="20" t="inlineStr">
        <is>
          <t>SOP 45-34</t>
        </is>
      </c>
      <c r="CO372" s="20" t="inlineStr">
        <is>
          <t>None</t>
        </is>
      </c>
      <c r="CP372" s="17" t="n"/>
      <c r="CQ372" s="16" t="n"/>
      <c r="CR372" s="20" t="n"/>
      <c r="CS372" s="20" t="inlineStr">
        <is>
          <t>None</t>
        </is>
      </c>
      <c r="CT372" s="17" t="n"/>
      <c r="CU372" s="16" t="n"/>
      <c r="CV372" s="20" t="n"/>
      <c r="CW372" s="20" t="inlineStr">
        <is>
          <t>None</t>
        </is>
      </c>
      <c r="CX372" s="17" t="n"/>
      <c r="CY372" s="16" t="n"/>
      <c r="CZ372" s="20" t="inlineStr">
        <is>
          <t>WTW Multimeter 3430 with FDO 925</t>
        </is>
      </c>
      <c r="DA372" s="20" t="inlineStr">
        <is>
          <t>None</t>
        </is>
      </c>
      <c r="DB372" s="17" t="n"/>
      <c r="DC372" s="16" t="n"/>
      <c r="DD372" s="20" t="n"/>
      <c r="DE372" s="20" t="inlineStr">
        <is>
          <t>None</t>
        </is>
      </c>
      <c r="DF372" s="17" t="n"/>
      <c r="DG372" s="16" t="n"/>
      <c r="DH372" s="20" t="inlineStr">
        <is>
          <t>SOP 45-09</t>
        </is>
      </c>
      <c r="DI372" s="20" t="inlineStr">
        <is>
          <t>None</t>
        </is>
      </c>
      <c r="DJ372" s="17" t="n"/>
      <c r="DK372" s="16" t="n"/>
      <c r="DL372" s="20" t="inlineStr">
        <is>
          <t>SOP 45-09 (SOP muss noch angepasst werden für VSS)</t>
        </is>
      </c>
      <c r="DM372" s="20" t="inlineStr">
        <is>
          <t>None</t>
        </is>
      </c>
      <c r="DN372" s="17" t="n"/>
      <c r="DO372" s="16" t="n"/>
      <c r="DP372" s="20" t="inlineStr">
        <is>
          <t>IC Organic Acids</t>
        </is>
      </c>
      <c r="DQ372" s="20" t="inlineStr">
        <is>
          <t>None</t>
        </is>
      </c>
      <c r="DR372" s="17" t="n"/>
      <c r="DS372" s="16" t="n"/>
      <c r="DT372" s="20" t="inlineStr">
        <is>
          <t>IC Organic Acids</t>
        </is>
      </c>
      <c r="DU372" s="20" t="inlineStr">
        <is>
          <t>None</t>
        </is>
      </c>
      <c r="DV372" s="17" t="n"/>
      <c r="DW372" s="16" t="n"/>
      <c r="DX372" s="20" t="inlineStr">
        <is>
          <t>IC Organic Acids</t>
        </is>
      </c>
      <c r="DY372" s="20" t="inlineStr">
        <is>
          <t>None</t>
        </is>
      </c>
      <c r="DZ372" s="17" t="n"/>
      <c r="EA372" s="16" t="n"/>
      <c r="EB372" s="20" t="inlineStr">
        <is>
          <t>IC Organic Acids</t>
        </is>
      </c>
      <c r="EC372" s="20" t="inlineStr">
        <is>
          <t>None</t>
        </is>
      </c>
      <c r="ED372" s="17" t="n"/>
      <c r="EE372" s="16" t="n"/>
      <c r="EF372" s="20" t="inlineStr">
        <is>
          <t>IC Organic Acids</t>
        </is>
      </c>
      <c r="EG372" s="20" t="inlineStr">
        <is>
          <t>None</t>
        </is>
      </c>
      <c r="EH372" s="17" t="n"/>
      <c r="EI372" s="16" t="n"/>
      <c r="EJ372" s="20" t="inlineStr">
        <is>
          <t>IC Organic Acids</t>
        </is>
      </c>
      <c r="EK372" s="20" t="inlineStr">
        <is>
          <t>None</t>
        </is>
      </c>
      <c r="EL372" s="17" t="n"/>
      <c r="EM372" s="16" t="n"/>
      <c r="EN372" s="20" t="inlineStr">
        <is>
          <t>IC Organic Acids</t>
        </is>
      </c>
      <c r="EO372" s="20" t="inlineStr">
        <is>
          <t>None</t>
        </is>
      </c>
      <c r="EP372" s="17" t="n"/>
      <c r="EQ372" s="16" t="n"/>
      <c r="ER372" s="20" t="inlineStr">
        <is>
          <t>IC Organic Acids</t>
        </is>
      </c>
      <c r="ES372" s="20" t="inlineStr">
        <is>
          <t>None</t>
        </is>
      </c>
      <c r="ET372" s="17" t="n"/>
      <c r="EU372" s="16" t="n"/>
      <c r="EV372" s="20" t="inlineStr">
        <is>
          <t>LC-MS</t>
        </is>
      </c>
      <c r="EW372" s="20" t="inlineStr">
        <is>
          <t>None</t>
        </is>
      </c>
      <c r="EX372" s="17" t="n"/>
      <c r="EY372" s="21" t="n"/>
      <c r="EZ372">
        <f>CONCATENATE(A372,B372)</f>
        <v/>
      </c>
      <c r="FA372">
        <f>CONCATENATE(SamplesX!A372,SamplesX!B372)</f>
        <v/>
      </c>
      <c r="FC372">
        <f>MATCH(EZ372,FA1:FA1008,0)</f>
        <v/>
      </c>
    </row>
    <row r="373">
      <c r="A373" s="16" t="inlineStr">
        <is>
          <t>BP</t>
        </is>
      </c>
      <c r="B373" s="17" t="inlineStr">
        <is>
          <t>25365</t>
        </is>
      </c>
      <c r="C373" s="10">
        <f>IF(ISNUMBER(FC373),INDIRECT("SamplesX!C"&amp;FC373),IF(ISNUMBER(FD373),INDIRECT("SamplesY!C"&amp;FD373),""))</f>
        <v/>
      </c>
      <c r="D373" s="12">
        <f>IF(ISNUMBER(FC373),INDIRECT("SamplesX!D"&amp;FC373),IF(ISNUMBER(FD373),INDIRECT("SamplesY!D"&amp;FD373),""))</f>
        <v/>
      </c>
      <c r="E373" s="12">
        <f>IF(ISNUMBER(FC373),INDIRECT("SamplesX!E"&amp;FC373),IF(ISNUMBER(FD373),INDIRECT("SamplesY!E"&amp;FD373),""))</f>
        <v/>
      </c>
      <c r="F373" s="11">
        <f>IF(ISNUMBER(FC373),INDIRECT("SamplesX!F"&amp;FC373),IF(ISNUMBER(FD373),INDIRECT("SamplesY!F"&amp;FD373),""))</f>
        <v/>
      </c>
      <c r="G373" s="18">
        <f>IF(ISNUMBER(FC373),INDIRECT("SamplesX!G"&amp;FC373),IF(ISNUMBER(FD373),INDIRECT("SamplesY!G"&amp;FD373),""))</f>
        <v/>
      </c>
      <c r="H373" s="19">
        <f>IF(ISNUMBER(FC373),INDIRECT("SamplesX!H"&amp;FC373),IF(ISNUMBER(FD373),INDIRECT("SamplesY!H"&amp;FD373),""))</f>
        <v/>
      </c>
      <c r="I373" s="16" t="n"/>
      <c r="J373" s="16" t="n"/>
      <c r="K373" s="16" t="n"/>
      <c r="L373" s="20" t="n"/>
      <c r="M373" s="20" t="inlineStr">
        <is>
          <t>None</t>
        </is>
      </c>
      <c r="N373" s="17" t="n"/>
      <c r="O373" s="16" t="n"/>
      <c r="P373" s="20" t="inlineStr">
        <is>
          <t>Shimadzu TOC-L</t>
        </is>
      </c>
      <c r="Q373" s="20" t="inlineStr">
        <is>
          <t>None</t>
        </is>
      </c>
      <c r="R373" s="17" t="n"/>
      <c r="S373" s="16" t="n"/>
      <c r="T373" s="20" t="inlineStr">
        <is>
          <t>Shimadzu TOC-L</t>
        </is>
      </c>
      <c r="U373" s="20" t="inlineStr">
        <is>
          <t>None</t>
        </is>
      </c>
      <c r="V373" s="17" t="n"/>
      <c r="W373" s="16" t="n"/>
      <c r="X373" s="20" t="n"/>
      <c r="Y373" s="20" t="inlineStr">
        <is>
          <t>None</t>
        </is>
      </c>
      <c r="Z373" s="17" t="n"/>
      <c r="AA373" s="16" t="n"/>
      <c r="AB373" s="20" t="n"/>
      <c r="AC373" s="20" t="inlineStr">
        <is>
          <t>None</t>
        </is>
      </c>
      <c r="AD373" s="17" t="n"/>
      <c r="AE373" s="16" t="n"/>
      <c r="AF373" s="20" t="inlineStr">
        <is>
          <t>IC Anionen</t>
        </is>
      </c>
      <c r="AG373" s="20" t="inlineStr">
        <is>
          <t>None</t>
        </is>
      </c>
      <c r="AH373" s="17" t="n"/>
      <c r="AI373" s="16" t="n"/>
      <c r="AJ373" s="20" t="n"/>
      <c r="AK373" s="20" t="inlineStr">
        <is>
          <t>None</t>
        </is>
      </c>
      <c r="AL373" s="17" t="n"/>
      <c r="AM373" s="16" t="n"/>
      <c r="AN373" s="20" t="inlineStr">
        <is>
          <t>IC Anionen</t>
        </is>
      </c>
      <c r="AO373" s="20" t="inlineStr">
        <is>
          <t>None</t>
        </is>
      </c>
      <c r="AP373" s="17" t="n"/>
      <c r="AQ373" s="16" t="n"/>
      <c r="AR373" s="20" t="n"/>
      <c r="AS373" s="20" t="inlineStr">
        <is>
          <t>None</t>
        </is>
      </c>
      <c r="AT373" s="17" t="n"/>
      <c r="AU373" s="16" t="n"/>
      <c r="AV373" s="20" t="n"/>
      <c r="AW373" s="20" t="inlineStr">
        <is>
          <t>None</t>
        </is>
      </c>
      <c r="AX373" s="17" t="n"/>
      <c r="AY373" s="16" t="n"/>
      <c r="AZ373" s="20" t="inlineStr">
        <is>
          <t>IC Anionen</t>
        </is>
      </c>
      <c r="BA373" s="20" t="inlineStr">
        <is>
          <t>None</t>
        </is>
      </c>
      <c r="BB373" s="17" t="n"/>
      <c r="BC373" s="16" t="n"/>
      <c r="BD373" s="20" t="inlineStr">
        <is>
          <t>IC Kationen</t>
        </is>
      </c>
      <c r="BE373" s="20" t="inlineStr">
        <is>
          <t>None</t>
        </is>
      </c>
      <c r="BF373" s="17" t="n"/>
      <c r="BG373" s="16" t="n"/>
      <c r="BH373" s="20" t="inlineStr">
        <is>
          <t>IC Kationen</t>
        </is>
      </c>
      <c r="BI373" s="20" t="inlineStr">
        <is>
          <t>None</t>
        </is>
      </c>
      <c r="BJ373" s="17" t="n"/>
      <c r="BK373" s="16" t="n"/>
      <c r="BL373" s="20" t="inlineStr">
        <is>
          <t>IC Kationen</t>
        </is>
      </c>
      <c r="BM373" s="20" t="inlineStr">
        <is>
          <t>None</t>
        </is>
      </c>
      <c r="BN373" s="17" t="n"/>
      <c r="BO373" s="16" t="n"/>
      <c r="BP373" s="20" t="inlineStr">
        <is>
          <t>IC Kationen</t>
        </is>
      </c>
      <c r="BQ373" s="20" t="inlineStr">
        <is>
          <t>None</t>
        </is>
      </c>
      <c r="BR373" s="17" t="n"/>
      <c r="BS373" s="16" t="n"/>
      <c r="BT373" s="20" t="inlineStr">
        <is>
          <t>IC Kationen</t>
        </is>
      </c>
      <c r="BU373" s="20" t="inlineStr">
        <is>
          <t>None</t>
        </is>
      </c>
      <c r="BV373" s="17" t="n"/>
      <c r="BW373" s="16" t="n"/>
      <c r="BX373" s="20" t="n"/>
      <c r="BY373" s="20" t="inlineStr">
        <is>
          <t>None</t>
        </is>
      </c>
      <c r="BZ373" s="17" t="n"/>
      <c r="CA373" s="16" t="n"/>
      <c r="CB373" s="20" t="n"/>
      <c r="CC373" s="20" t="inlineStr">
        <is>
          <t>None</t>
        </is>
      </c>
      <c r="CD373" s="17" t="n"/>
      <c r="CE373" s="16" t="n"/>
      <c r="CF373" s="20" t="n"/>
      <c r="CG373" s="20" t="inlineStr">
        <is>
          <t>None</t>
        </is>
      </c>
      <c r="CH373" s="17" t="n"/>
      <c r="CI373" s="16" t="n"/>
      <c r="CJ373" s="20" t="n"/>
      <c r="CK373" s="20" t="inlineStr">
        <is>
          <t>None</t>
        </is>
      </c>
      <c r="CL373" s="17" t="n"/>
      <c r="CM373" s="16" t="n"/>
      <c r="CN373" s="20" t="inlineStr">
        <is>
          <t>SOP 45-34</t>
        </is>
      </c>
      <c r="CO373" s="20" t="inlineStr">
        <is>
          <t>None</t>
        </is>
      </c>
      <c r="CP373" s="17" t="n"/>
      <c r="CQ373" s="16" t="n"/>
      <c r="CR373" s="20" t="n"/>
      <c r="CS373" s="20" t="inlineStr">
        <is>
          <t>None</t>
        </is>
      </c>
      <c r="CT373" s="17" t="n"/>
      <c r="CU373" s="16" t="n"/>
      <c r="CV373" s="20" t="n"/>
      <c r="CW373" s="20" t="inlineStr">
        <is>
          <t>None</t>
        </is>
      </c>
      <c r="CX373" s="17" t="n"/>
      <c r="CY373" s="16" t="n"/>
      <c r="CZ373" s="20" t="inlineStr">
        <is>
          <t>WTW Multimeter 3430 with FDO 925</t>
        </is>
      </c>
      <c r="DA373" s="20" t="inlineStr">
        <is>
          <t>None</t>
        </is>
      </c>
      <c r="DB373" s="17" t="n"/>
      <c r="DC373" s="16" t="n"/>
      <c r="DD373" s="20" t="n"/>
      <c r="DE373" s="20" t="inlineStr">
        <is>
          <t>None</t>
        </is>
      </c>
      <c r="DF373" s="17" t="n"/>
      <c r="DG373" s="16" t="n"/>
      <c r="DH373" s="20" t="inlineStr">
        <is>
          <t>SOP 45-09</t>
        </is>
      </c>
      <c r="DI373" s="20" t="inlineStr">
        <is>
          <t>None</t>
        </is>
      </c>
      <c r="DJ373" s="17" t="n"/>
      <c r="DK373" s="16" t="n"/>
      <c r="DL373" s="20" t="inlineStr">
        <is>
          <t>SOP 45-09 (SOP muss noch angepasst werden für VSS)</t>
        </is>
      </c>
      <c r="DM373" s="20" t="inlineStr">
        <is>
          <t>None</t>
        </is>
      </c>
      <c r="DN373" s="17" t="n"/>
      <c r="DO373" s="16" t="n"/>
      <c r="DP373" s="20" t="inlineStr">
        <is>
          <t>IC Organic Acids</t>
        </is>
      </c>
      <c r="DQ373" s="20" t="inlineStr">
        <is>
          <t>None</t>
        </is>
      </c>
      <c r="DR373" s="17" t="n"/>
      <c r="DS373" s="16" t="n"/>
      <c r="DT373" s="20" t="inlineStr">
        <is>
          <t>IC Organic Acids</t>
        </is>
      </c>
      <c r="DU373" s="20" t="inlineStr">
        <is>
          <t>None</t>
        </is>
      </c>
      <c r="DV373" s="17" t="n"/>
      <c r="DW373" s="16" t="n"/>
      <c r="DX373" s="20" t="inlineStr">
        <is>
          <t>IC Organic Acids</t>
        </is>
      </c>
      <c r="DY373" s="20" t="inlineStr">
        <is>
          <t>None</t>
        </is>
      </c>
      <c r="DZ373" s="17" t="n"/>
      <c r="EA373" s="16" t="n"/>
      <c r="EB373" s="20" t="inlineStr">
        <is>
          <t>IC Organic Acids</t>
        </is>
      </c>
      <c r="EC373" s="20" t="inlineStr">
        <is>
          <t>None</t>
        </is>
      </c>
      <c r="ED373" s="17" t="n"/>
      <c r="EE373" s="16" t="n"/>
      <c r="EF373" s="20" t="inlineStr">
        <is>
          <t>IC Organic Acids</t>
        </is>
      </c>
      <c r="EG373" s="20" t="inlineStr">
        <is>
          <t>None</t>
        </is>
      </c>
      <c r="EH373" s="17" t="n"/>
      <c r="EI373" s="16" t="n"/>
      <c r="EJ373" s="20" t="inlineStr">
        <is>
          <t>IC Organic Acids</t>
        </is>
      </c>
      <c r="EK373" s="20" t="inlineStr">
        <is>
          <t>None</t>
        </is>
      </c>
      <c r="EL373" s="17" t="n"/>
      <c r="EM373" s="16" t="n"/>
      <c r="EN373" s="20" t="inlineStr">
        <is>
          <t>IC Organic Acids</t>
        </is>
      </c>
      <c r="EO373" s="20" t="inlineStr">
        <is>
          <t>None</t>
        </is>
      </c>
      <c r="EP373" s="17" t="n"/>
      <c r="EQ373" s="16" t="n"/>
      <c r="ER373" s="20" t="inlineStr">
        <is>
          <t>IC Organic Acids</t>
        </is>
      </c>
      <c r="ES373" s="20" t="inlineStr">
        <is>
          <t>None</t>
        </is>
      </c>
      <c r="ET373" s="17" t="n"/>
      <c r="EU373" s="16" t="n"/>
      <c r="EV373" s="20" t="inlineStr">
        <is>
          <t>LC-MS</t>
        </is>
      </c>
      <c r="EW373" s="20" t="inlineStr">
        <is>
          <t>None</t>
        </is>
      </c>
      <c r="EX373" s="17" t="n"/>
      <c r="EY373" s="21" t="n"/>
      <c r="EZ373">
        <f>CONCATENATE(A373,B373)</f>
        <v/>
      </c>
      <c r="FA373">
        <f>CONCATENATE(SamplesX!A373,SamplesX!B373)</f>
        <v/>
      </c>
      <c r="FC373">
        <f>MATCH(EZ373,FA1:FA1008,0)</f>
        <v/>
      </c>
    </row>
    <row r="374">
      <c r="A374" s="16" t="inlineStr">
        <is>
          <t>BP</t>
        </is>
      </c>
      <c r="B374" s="17" t="inlineStr">
        <is>
          <t>25366</t>
        </is>
      </c>
      <c r="C374" s="10">
        <f>IF(ISNUMBER(FC374),INDIRECT("SamplesX!C"&amp;FC374),IF(ISNUMBER(FD374),INDIRECT("SamplesY!C"&amp;FD374),""))</f>
        <v/>
      </c>
      <c r="D374" s="12">
        <f>IF(ISNUMBER(FC374),INDIRECT("SamplesX!D"&amp;FC374),IF(ISNUMBER(FD374),INDIRECT("SamplesY!D"&amp;FD374),""))</f>
        <v/>
      </c>
      <c r="E374" s="12">
        <f>IF(ISNUMBER(FC374),INDIRECT("SamplesX!E"&amp;FC374),IF(ISNUMBER(FD374),INDIRECT("SamplesY!E"&amp;FD374),""))</f>
        <v/>
      </c>
      <c r="F374" s="11">
        <f>IF(ISNUMBER(FC374),INDIRECT("SamplesX!F"&amp;FC374),IF(ISNUMBER(FD374),INDIRECT("SamplesY!F"&amp;FD374),""))</f>
        <v/>
      </c>
      <c r="G374" s="18">
        <f>IF(ISNUMBER(FC374),INDIRECT("SamplesX!G"&amp;FC374),IF(ISNUMBER(FD374),INDIRECT("SamplesY!G"&amp;FD374),""))</f>
        <v/>
      </c>
      <c r="H374" s="19">
        <f>IF(ISNUMBER(FC374),INDIRECT("SamplesX!H"&amp;FC374),IF(ISNUMBER(FD374),INDIRECT("SamplesY!H"&amp;FD374),""))</f>
        <v/>
      </c>
      <c r="I374" s="16" t="n"/>
      <c r="J374" s="16" t="n"/>
      <c r="K374" s="16" t="n"/>
      <c r="L374" s="20" t="n"/>
      <c r="M374" s="20" t="inlineStr">
        <is>
          <t>None</t>
        </is>
      </c>
      <c r="N374" s="17" t="n"/>
      <c r="O374" s="16" t="n"/>
      <c r="P374" s="20" t="inlineStr">
        <is>
          <t>Shimadzu TOC-L</t>
        </is>
      </c>
      <c r="Q374" s="20" t="inlineStr">
        <is>
          <t>None</t>
        </is>
      </c>
      <c r="R374" s="17" t="n"/>
      <c r="S374" s="16" t="n"/>
      <c r="T374" s="20" t="inlineStr">
        <is>
          <t>Shimadzu TOC-L</t>
        </is>
      </c>
      <c r="U374" s="20" t="inlineStr">
        <is>
          <t>None</t>
        </is>
      </c>
      <c r="V374" s="17" t="n"/>
      <c r="W374" s="16" t="n"/>
      <c r="X374" s="20" t="n"/>
      <c r="Y374" s="20" t="inlineStr">
        <is>
          <t>None</t>
        </is>
      </c>
      <c r="Z374" s="17" t="n"/>
      <c r="AA374" s="16" t="n"/>
      <c r="AB374" s="20" t="n"/>
      <c r="AC374" s="20" t="inlineStr">
        <is>
          <t>None</t>
        </is>
      </c>
      <c r="AD374" s="17" t="n"/>
      <c r="AE374" s="16" t="n"/>
      <c r="AF374" s="20" t="inlineStr">
        <is>
          <t>IC Anionen</t>
        </is>
      </c>
      <c r="AG374" s="20" t="inlineStr">
        <is>
          <t>None</t>
        </is>
      </c>
      <c r="AH374" s="17" t="n"/>
      <c r="AI374" s="16" t="n"/>
      <c r="AJ374" s="20" t="n"/>
      <c r="AK374" s="20" t="inlineStr">
        <is>
          <t>None</t>
        </is>
      </c>
      <c r="AL374" s="17" t="n"/>
      <c r="AM374" s="16" t="n"/>
      <c r="AN374" s="20" t="inlineStr">
        <is>
          <t>IC Anionen</t>
        </is>
      </c>
      <c r="AO374" s="20" t="inlineStr">
        <is>
          <t>None</t>
        </is>
      </c>
      <c r="AP374" s="17" t="n"/>
      <c r="AQ374" s="16" t="n"/>
      <c r="AR374" s="20" t="n"/>
      <c r="AS374" s="20" t="inlineStr">
        <is>
          <t>None</t>
        </is>
      </c>
      <c r="AT374" s="17" t="n"/>
      <c r="AU374" s="16" t="n"/>
      <c r="AV374" s="20" t="n"/>
      <c r="AW374" s="20" t="inlineStr">
        <is>
          <t>None</t>
        </is>
      </c>
      <c r="AX374" s="17" t="n"/>
      <c r="AY374" s="16" t="n"/>
      <c r="AZ374" s="20" t="inlineStr">
        <is>
          <t>IC Anionen</t>
        </is>
      </c>
      <c r="BA374" s="20" t="inlineStr">
        <is>
          <t>None</t>
        </is>
      </c>
      <c r="BB374" s="17" t="n"/>
      <c r="BC374" s="16" t="n"/>
      <c r="BD374" s="20" t="inlineStr">
        <is>
          <t>IC Kationen</t>
        </is>
      </c>
      <c r="BE374" s="20" t="inlineStr">
        <is>
          <t>None</t>
        </is>
      </c>
      <c r="BF374" s="17" t="n"/>
      <c r="BG374" s="16" t="n"/>
      <c r="BH374" s="20" t="inlineStr">
        <is>
          <t>IC Kationen</t>
        </is>
      </c>
      <c r="BI374" s="20" t="inlineStr">
        <is>
          <t>None</t>
        </is>
      </c>
      <c r="BJ374" s="17" t="n"/>
      <c r="BK374" s="16" t="n"/>
      <c r="BL374" s="20" t="inlineStr">
        <is>
          <t>IC Kationen</t>
        </is>
      </c>
      <c r="BM374" s="20" t="inlineStr">
        <is>
          <t>None</t>
        </is>
      </c>
      <c r="BN374" s="17" t="n"/>
      <c r="BO374" s="16" t="n"/>
      <c r="BP374" s="20" t="inlineStr">
        <is>
          <t>IC Kationen</t>
        </is>
      </c>
      <c r="BQ374" s="20" t="inlineStr">
        <is>
          <t>None</t>
        </is>
      </c>
      <c r="BR374" s="17" t="n"/>
      <c r="BS374" s="16" t="n"/>
      <c r="BT374" s="20" t="inlineStr">
        <is>
          <t>IC Kationen</t>
        </is>
      </c>
      <c r="BU374" s="20" t="inlineStr">
        <is>
          <t>None</t>
        </is>
      </c>
      <c r="BV374" s="17" t="n"/>
      <c r="BW374" s="16" t="n"/>
      <c r="BX374" s="20" t="n"/>
      <c r="BY374" s="20" t="inlineStr">
        <is>
          <t>None</t>
        </is>
      </c>
      <c r="BZ374" s="17" t="n"/>
      <c r="CA374" s="16" t="n"/>
      <c r="CB374" s="20" t="n"/>
      <c r="CC374" s="20" t="inlineStr">
        <is>
          <t>None</t>
        </is>
      </c>
      <c r="CD374" s="17" t="n"/>
      <c r="CE374" s="16" t="n"/>
      <c r="CF374" s="20" t="n"/>
      <c r="CG374" s="20" t="inlineStr">
        <is>
          <t>None</t>
        </is>
      </c>
      <c r="CH374" s="17" t="n"/>
      <c r="CI374" s="16" t="n"/>
      <c r="CJ374" s="20" t="n"/>
      <c r="CK374" s="20" t="inlineStr">
        <is>
          <t>None</t>
        </is>
      </c>
      <c r="CL374" s="17" t="n"/>
      <c r="CM374" s="16" t="n"/>
      <c r="CN374" s="20" t="inlineStr">
        <is>
          <t>SOP 45-34</t>
        </is>
      </c>
      <c r="CO374" s="20" t="inlineStr">
        <is>
          <t>None</t>
        </is>
      </c>
      <c r="CP374" s="17" t="n"/>
      <c r="CQ374" s="16" t="n"/>
      <c r="CR374" s="20" t="n"/>
      <c r="CS374" s="20" t="inlineStr">
        <is>
          <t>None</t>
        </is>
      </c>
      <c r="CT374" s="17" t="n"/>
      <c r="CU374" s="16" t="n"/>
      <c r="CV374" s="20" t="n"/>
      <c r="CW374" s="20" t="inlineStr">
        <is>
          <t>None</t>
        </is>
      </c>
      <c r="CX374" s="17" t="n"/>
      <c r="CY374" s="16" t="n"/>
      <c r="CZ374" s="20" t="inlineStr">
        <is>
          <t>WTW Multimeter 3430 with FDO 925</t>
        </is>
      </c>
      <c r="DA374" s="20" t="inlineStr">
        <is>
          <t>None</t>
        </is>
      </c>
      <c r="DB374" s="17" t="n"/>
      <c r="DC374" s="16" t="n"/>
      <c r="DD374" s="20" t="n"/>
      <c r="DE374" s="20" t="inlineStr">
        <is>
          <t>None</t>
        </is>
      </c>
      <c r="DF374" s="17" t="n"/>
      <c r="DG374" s="16" t="n"/>
      <c r="DH374" s="20" t="inlineStr">
        <is>
          <t>SOP 45-09</t>
        </is>
      </c>
      <c r="DI374" s="20" t="inlineStr">
        <is>
          <t>None</t>
        </is>
      </c>
      <c r="DJ374" s="17" t="n"/>
      <c r="DK374" s="16" t="n"/>
      <c r="DL374" s="20" t="inlineStr">
        <is>
          <t>SOP 45-09 (SOP muss noch angepasst werden für VSS)</t>
        </is>
      </c>
      <c r="DM374" s="20" t="inlineStr">
        <is>
          <t>None</t>
        </is>
      </c>
      <c r="DN374" s="17" t="n"/>
      <c r="DO374" s="16" t="n"/>
      <c r="DP374" s="20" t="inlineStr">
        <is>
          <t>IC Organic Acids</t>
        </is>
      </c>
      <c r="DQ374" s="20" t="inlineStr">
        <is>
          <t>None</t>
        </is>
      </c>
      <c r="DR374" s="17" t="n"/>
      <c r="DS374" s="16" t="n"/>
      <c r="DT374" s="20" t="inlineStr">
        <is>
          <t>IC Organic Acids</t>
        </is>
      </c>
      <c r="DU374" s="20" t="inlineStr">
        <is>
          <t>None</t>
        </is>
      </c>
      <c r="DV374" s="17" t="n"/>
      <c r="DW374" s="16" t="n"/>
      <c r="DX374" s="20" t="inlineStr">
        <is>
          <t>IC Organic Acids</t>
        </is>
      </c>
      <c r="DY374" s="20" t="inlineStr">
        <is>
          <t>None</t>
        </is>
      </c>
      <c r="DZ374" s="17" t="n"/>
      <c r="EA374" s="16" t="n"/>
      <c r="EB374" s="20" t="inlineStr">
        <is>
          <t>IC Organic Acids</t>
        </is>
      </c>
      <c r="EC374" s="20" t="inlineStr">
        <is>
          <t>None</t>
        </is>
      </c>
      <c r="ED374" s="17" t="n"/>
      <c r="EE374" s="16" t="n"/>
      <c r="EF374" s="20" t="inlineStr">
        <is>
          <t>IC Organic Acids</t>
        </is>
      </c>
      <c r="EG374" s="20" t="inlineStr">
        <is>
          <t>None</t>
        </is>
      </c>
      <c r="EH374" s="17" t="n"/>
      <c r="EI374" s="16" t="n"/>
      <c r="EJ374" s="20" t="inlineStr">
        <is>
          <t>IC Organic Acids</t>
        </is>
      </c>
      <c r="EK374" s="20" t="inlineStr">
        <is>
          <t>None</t>
        </is>
      </c>
      <c r="EL374" s="17" t="n"/>
      <c r="EM374" s="16" t="n"/>
      <c r="EN374" s="20" t="inlineStr">
        <is>
          <t>IC Organic Acids</t>
        </is>
      </c>
      <c r="EO374" s="20" t="inlineStr">
        <is>
          <t>None</t>
        </is>
      </c>
      <c r="EP374" s="17" t="n"/>
      <c r="EQ374" s="16" t="n"/>
      <c r="ER374" s="20" t="inlineStr">
        <is>
          <t>IC Organic Acids</t>
        </is>
      </c>
      <c r="ES374" s="20" t="inlineStr">
        <is>
          <t>None</t>
        </is>
      </c>
      <c r="ET374" s="17" t="n"/>
      <c r="EU374" s="16" t="n"/>
      <c r="EV374" s="20" t="inlineStr">
        <is>
          <t>LC-MS</t>
        </is>
      </c>
      <c r="EW374" s="20" t="inlineStr">
        <is>
          <t>None</t>
        </is>
      </c>
      <c r="EX374" s="17" t="n"/>
      <c r="EY374" s="21" t="n"/>
      <c r="EZ374">
        <f>CONCATENATE(A374,B374)</f>
        <v/>
      </c>
      <c r="FA374">
        <f>CONCATENATE(SamplesX!A374,SamplesX!B374)</f>
        <v/>
      </c>
      <c r="FC374">
        <f>MATCH(EZ374,FA1:FA1008,0)</f>
        <v/>
      </c>
    </row>
    <row r="375">
      <c r="A375" s="16" t="inlineStr">
        <is>
          <t>BP</t>
        </is>
      </c>
      <c r="B375" s="17" t="inlineStr">
        <is>
          <t>25367</t>
        </is>
      </c>
      <c r="C375" s="10">
        <f>IF(ISNUMBER(FC375),INDIRECT("SamplesX!C"&amp;FC375),IF(ISNUMBER(FD375),INDIRECT("SamplesY!C"&amp;FD375),""))</f>
        <v/>
      </c>
      <c r="D375" s="12">
        <f>IF(ISNUMBER(FC375),INDIRECT("SamplesX!D"&amp;FC375),IF(ISNUMBER(FD375),INDIRECT("SamplesY!D"&amp;FD375),""))</f>
        <v/>
      </c>
      <c r="E375" s="12">
        <f>IF(ISNUMBER(FC375),INDIRECT("SamplesX!E"&amp;FC375),IF(ISNUMBER(FD375),INDIRECT("SamplesY!E"&amp;FD375),""))</f>
        <v/>
      </c>
      <c r="F375" s="11">
        <f>IF(ISNUMBER(FC375),INDIRECT("SamplesX!F"&amp;FC375),IF(ISNUMBER(FD375),INDIRECT("SamplesY!F"&amp;FD375),""))</f>
        <v/>
      </c>
      <c r="G375" s="18">
        <f>IF(ISNUMBER(FC375),INDIRECT("SamplesX!G"&amp;FC375),IF(ISNUMBER(FD375),INDIRECT("SamplesY!G"&amp;FD375),""))</f>
        <v/>
      </c>
      <c r="H375" s="19">
        <f>IF(ISNUMBER(FC375),INDIRECT("SamplesX!H"&amp;FC375),IF(ISNUMBER(FD375),INDIRECT("SamplesY!H"&amp;FD375),""))</f>
        <v/>
      </c>
      <c r="I375" s="16" t="n"/>
      <c r="J375" s="16" t="n"/>
      <c r="K375" s="16" t="n"/>
      <c r="L375" s="20" t="n"/>
      <c r="M375" s="20" t="inlineStr">
        <is>
          <t>None</t>
        </is>
      </c>
      <c r="N375" s="17" t="n"/>
      <c r="O375" s="16" t="n"/>
      <c r="P375" s="20" t="inlineStr">
        <is>
          <t>Shimadzu TOC-L</t>
        </is>
      </c>
      <c r="Q375" s="20" t="inlineStr">
        <is>
          <t>None</t>
        </is>
      </c>
      <c r="R375" s="17" t="n"/>
      <c r="S375" s="16" t="n"/>
      <c r="T375" s="20" t="inlineStr">
        <is>
          <t>Shimadzu TOC-L</t>
        </is>
      </c>
      <c r="U375" s="20" t="inlineStr">
        <is>
          <t>None</t>
        </is>
      </c>
      <c r="V375" s="17" t="n"/>
      <c r="W375" s="16" t="n"/>
      <c r="X375" s="20" t="n"/>
      <c r="Y375" s="20" t="inlineStr">
        <is>
          <t>None</t>
        </is>
      </c>
      <c r="Z375" s="17" t="n"/>
      <c r="AA375" s="16" t="n"/>
      <c r="AB375" s="20" t="n"/>
      <c r="AC375" s="20" t="inlineStr">
        <is>
          <t>None</t>
        </is>
      </c>
      <c r="AD375" s="17" t="n"/>
      <c r="AE375" s="16" t="n"/>
      <c r="AF375" s="20" t="inlineStr">
        <is>
          <t>IC Anionen</t>
        </is>
      </c>
      <c r="AG375" s="20" t="inlineStr">
        <is>
          <t>None</t>
        </is>
      </c>
      <c r="AH375" s="17" t="n"/>
      <c r="AI375" s="16" t="n"/>
      <c r="AJ375" s="20" t="n"/>
      <c r="AK375" s="20" t="inlineStr">
        <is>
          <t>None</t>
        </is>
      </c>
      <c r="AL375" s="17" t="n"/>
      <c r="AM375" s="16" t="n"/>
      <c r="AN375" s="20" t="inlineStr">
        <is>
          <t>IC Anionen</t>
        </is>
      </c>
      <c r="AO375" s="20" t="inlineStr">
        <is>
          <t>None</t>
        </is>
      </c>
      <c r="AP375" s="17" t="n"/>
      <c r="AQ375" s="16" t="n"/>
      <c r="AR375" s="20" t="n"/>
      <c r="AS375" s="20" t="inlineStr">
        <is>
          <t>None</t>
        </is>
      </c>
      <c r="AT375" s="17" t="n"/>
      <c r="AU375" s="16" t="n"/>
      <c r="AV375" s="20" t="n"/>
      <c r="AW375" s="20" t="inlineStr">
        <is>
          <t>None</t>
        </is>
      </c>
      <c r="AX375" s="17" t="n"/>
      <c r="AY375" s="16" t="n"/>
      <c r="AZ375" s="20" t="inlineStr">
        <is>
          <t>IC Anionen</t>
        </is>
      </c>
      <c r="BA375" s="20" t="inlineStr">
        <is>
          <t>None</t>
        </is>
      </c>
      <c r="BB375" s="17" t="n"/>
      <c r="BC375" s="16" t="n"/>
      <c r="BD375" s="20" t="inlineStr">
        <is>
          <t>IC Kationen</t>
        </is>
      </c>
      <c r="BE375" s="20" t="inlineStr">
        <is>
          <t>None</t>
        </is>
      </c>
      <c r="BF375" s="17" t="n"/>
      <c r="BG375" s="16" t="n"/>
      <c r="BH375" s="20" t="inlineStr">
        <is>
          <t>IC Kationen</t>
        </is>
      </c>
      <c r="BI375" s="20" t="inlineStr">
        <is>
          <t>None</t>
        </is>
      </c>
      <c r="BJ375" s="17" t="n"/>
      <c r="BK375" s="16" t="n"/>
      <c r="BL375" s="20" t="inlineStr">
        <is>
          <t>IC Kationen</t>
        </is>
      </c>
      <c r="BM375" s="20" t="inlineStr">
        <is>
          <t>None</t>
        </is>
      </c>
      <c r="BN375" s="17" t="n"/>
      <c r="BO375" s="16" t="n"/>
      <c r="BP375" s="20" t="inlineStr">
        <is>
          <t>IC Kationen</t>
        </is>
      </c>
      <c r="BQ375" s="20" t="inlineStr">
        <is>
          <t>None</t>
        </is>
      </c>
      <c r="BR375" s="17" t="n"/>
      <c r="BS375" s="16" t="n"/>
      <c r="BT375" s="20" t="inlineStr">
        <is>
          <t>IC Kationen</t>
        </is>
      </c>
      <c r="BU375" s="20" t="inlineStr">
        <is>
          <t>None</t>
        </is>
      </c>
      <c r="BV375" s="17" t="n"/>
      <c r="BW375" s="16" t="n"/>
      <c r="BX375" s="20" t="n"/>
      <c r="BY375" s="20" t="inlineStr">
        <is>
          <t>None</t>
        </is>
      </c>
      <c r="BZ375" s="17" t="n"/>
      <c r="CA375" s="16" t="n"/>
      <c r="CB375" s="20" t="n"/>
      <c r="CC375" s="20" t="inlineStr">
        <is>
          <t>None</t>
        </is>
      </c>
      <c r="CD375" s="17" t="n"/>
      <c r="CE375" s="16" t="n"/>
      <c r="CF375" s="20" t="n"/>
      <c r="CG375" s="20" t="inlineStr">
        <is>
          <t>None</t>
        </is>
      </c>
      <c r="CH375" s="17" t="n"/>
      <c r="CI375" s="16" t="n"/>
      <c r="CJ375" s="20" t="n"/>
      <c r="CK375" s="20" t="inlineStr">
        <is>
          <t>None</t>
        </is>
      </c>
      <c r="CL375" s="17" t="n"/>
      <c r="CM375" s="16" t="n"/>
      <c r="CN375" s="20" t="inlineStr">
        <is>
          <t>SOP 45-34</t>
        </is>
      </c>
      <c r="CO375" s="20" t="inlineStr">
        <is>
          <t>None</t>
        </is>
      </c>
      <c r="CP375" s="17" t="n"/>
      <c r="CQ375" s="16" t="n"/>
      <c r="CR375" s="20" t="n"/>
      <c r="CS375" s="20" t="inlineStr">
        <is>
          <t>None</t>
        </is>
      </c>
      <c r="CT375" s="17" t="n"/>
      <c r="CU375" s="16" t="n"/>
      <c r="CV375" s="20" t="n"/>
      <c r="CW375" s="20" t="inlineStr">
        <is>
          <t>None</t>
        </is>
      </c>
      <c r="CX375" s="17" t="n"/>
      <c r="CY375" s="16" t="n"/>
      <c r="CZ375" s="20" t="inlineStr">
        <is>
          <t>WTW Multimeter 3430 with FDO 925</t>
        </is>
      </c>
      <c r="DA375" s="20" t="inlineStr">
        <is>
          <t>None</t>
        </is>
      </c>
      <c r="DB375" s="17" t="n"/>
      <c r="DC375" s="16" t="n"/>
      <c r="DD375" s="20" t="n"/>
      <c r="DE375" s="20" t="inlineStr">
        <is>
          <t>None</t>
        </is>
      </c>
      <c r="DF375" s="17" t="n"/>
      <c r="DG375" s="16" t="n"/>
      <c r="DH375" s="20" t="inlineStr">
        <is>
          <t>SOP 45-09</t>
        </is>
      </c>
      <c r="DI375" s="20" t="inlineStr">
        <is>
          <t>None</t>
        </is>
      </c>
      <c r="DJ375" s="17" t="n"/>
      <c r="DK375" s="16" t="n"/>
      <c r="DL375" s="20" t="inlineStr">
        <is>
          <t>SOP 45-09 (SOP muss noch angepasst werden für VSS)</t>
        </is>
      </c>
      <c r="DM375" s="20" t="inlineStr">
        <is>
          <t>None</t>
        </is>
      </c>
      <c r="DN375" s="17" t="n"/>
      <c r="DO375" s="16" t="n"/>
      <c r="DP375" s="20" t="inlineStr">
        <is>
          <t>IC Organic Acids</t>
        </is>
      </c>
      <c r="DQ375" s="20" t="inlineStr">
        <is>
          <t>None</t>
        </is>
      </c>
      <c r="DR375" s="17" t="n"/>
      <c r="DS375" s="16" t="n"/>
      <c r="DT375" s="20" t="inlineStr">
        <is>
          <t>IC Organic Acids</t>
        </is>
      </c>
      <c r="DU375" s="20" t="inlineStr">
        <is>
          <t>None</t>
        </is>
      </c>
      <c r="DV375" s="17" t="n"/>
      <c r="DW375" s="16" t="n"/>
      <c r="DX375" s="20" t="inlineStr">
        <is>
          <t>IC Organic Acids</t>
        </is>
      </c>
      <c r="DY375" s="20" t="inlineStr">
        <is>
          <t>None</t>
        </is>
      </c>
      <c r="DZ375" s="17" t="n"/>
      <c r="EA375" s="16" t="n"/>
      <c r="EB375" s="20" t="inlineStr">
        <is>
          <t>IC Organic Acids</t>
        </is>
      </c>
      <c r="EC375" s="20" t="inlineStr">
        <is>
          <t>None</t>
        </is>
      </c>
      <c r="ED375" s="17" t="n"/>
      <c r="EE375" s="16" t="n"/>
      <c r="EF375" s="20" t="inlineStr">
        <is>
          <t>IC Organic Acids</t>
        </is>
      </c>
      <c r="EG375" s="20" t="inlineStr">
        <is>
          <t>None</t>
        </is>
      </c>
      <c r="EH375" s="17" t="n"/>
      <c r="EI375" s="16" t="n"/>
      <c r="EJ375" s="20" t="inlineStr">
        <is>
          <t>IC Organic Acids</t>
        </is>
      </c>
      <c r="EK375" s="20" t="inlineStr">
        <is>
          <t>None</t>
        </is>
      </c>
      <c r="EL375" s="17" t="n"/>
      <c r="EM375" s="16" t="n"/>
      <c r="EN375" s="20" t="inlineStr">
        <is>
          <t>IC Organic Acids</t>
        </is>
      </c>
      <c r="EO375" s="20" t="inlineStr">
        <is>
          <t>None</t>
        </is>
      </c>
      <c r="EP375" s="17" t="n"/>
      <c r="EQ375" s="16" t="n"/>
      <c r="ER375" s="20" t="inlineStr">
        <is>
          <t>IC Organic Acids</t>
        </is>
      </c>
      <c r="ES375" s="20" t="inlineStr">
        <is>
          <t>None</t>
        </is>
      </c>
      <c r="ET375" s="17" t="n"/>
      <c r="EU375" s="16" t="n"/>
      <c r="EV375" s="20" t="inlineStr">
        <is>
          <t>LC-MS</t>
        </is>
      </c>
      <c r="EW375" s="20" t="inlineStr">
        <is>
          <t>None</t>
        </is>
      </c>
      <c r="EX375" s="17" t="n"/>
      <c r="EY375" s="21" t="n"/>
      <c r="EZ375">
        <f>CONCATENATE(A375,B375)</f>
        <v/>
      </c>
      <c r="FA375">
        <f>CONCATENATE(SamplesX!A375,SamplesX!B375)</f>
        <v/>
      </c>
      <c r="FC375">
        <f>MATCH(EZ375,FA1:FA1008,0)</f>
        <v/>
      </c>
    </row>
    <row r="376">
      <c r="A376" s="16" t="inlineStr">
        <is>
          <t>BP</t>
        </is>
      </c>
      <c r="B376" s="17" t="inlineStr">
        <is>
          <t>25368</t>
        </is>
      </c>
      <c r="C376" s="10">
        <f>IF(ISNUMBER(FC376),INDIRECT("SamplesX!C"&amp;FC376),IF(ISNUMBER(FD376),INDIRECT("SamplesY!C"&amp;FD376),""))</f>
        <v/>
      </c>
      <c r="D376" s="12">
        <f>IF(ISNUMBER(FC376),INDIRECT("SamplesX!D"&amp;FC376),IF(ISNUMBER(FD376),INDIRECT("SamplesY!D"&amp;FD376),""))</f>
        <v/>
      </c>
      <c r="E376" s="12">
        <f>IF(ISNUMBER(FC376),INDIRECT("SamplesX!E"&amp;FC376),IF(ISNUMBER(FD376),INDIRECT("SamplesY!E"&amp;FD376),""))</f>
        <v/>
      </c>
      <c r="F376" s="11">
        <f>IF(ISNUMBER(FC376),INDIRECT("SamplesX!F"&amp;FC376),IF(ISNUMBER(FD376),INDIRECT("SamplesY!F"&amp;FD376),""))</f>
        <v/>
      </c>
      <c r="G376" s="18">
        <f>IF(ISNUMBER(FC376),INDIRECT("SamplesX!G"&amp;FC376),IF(ISNUMBER(FD376),INDIRECT("SamplesY!G"&amp;FD376),""))</f>
        <v/>
      </c>
      <c r="H376" s="19">
        <f>IF(ISNUMBER(FC376),INDIRECT("SamplesX!H"&amp;FC376),IF(ISNUMBER(FD376),INDIRECT("SamplesY!H"&amp;FD376),""))</f>
        <v/>
      </c>
      <c r="I376" s="16" t="n"/>
      <c r="J376" s="16" t="n"/>
      <c r="K376" s="16" t="n"/>
      <c r="L376" s="20" t="n"/>
      <c r="M376" s="20" t="inlineStr">
        <is>
          <t>None</t>
        </is>
      </c>
      <c r="N376" s="17" t="n"/>
      <c r="O376" s="16" t="n"/>
      <c r="P376" s="20" t="inlineStr">
        <is>
          <t>Shimadzu TOC-L</t>
        </is>
      </c>
      <c r="Q376" s="20" t="inlineStr">
        <is>
          <t>None</t>
        </is>
      </c>
      <c r="R376" s="17" t="n"/>
      <c r="S376" s="16" t="n"/>
      <c r="T376" s="20" t="inlineStr">
        <is>
          <t>Shimadzu TOC-L</t>
        </is>
      </c>
      <c r="U376" s="20" t="inlineStr">
        <is>
          <t>None</t>
        </is>
      </c>
      <c r="V376" s="17" t="n"/>
      <c r="W376" s="16" t="n"/>
      <c r="X376" s="20" t="n"/>
      <c r="Y376" s="20" t="inlineStr">
        <is>
          <t>None</t>
        </is>
      </c>
      <c r="Z376" s="17" t="n"/>
      <c r="AA376" s="16" t="n"/>
      <c r="AB376" s="20" t="n"/>
      <c r="AC376" s="20" t="inlineStr">
        <is>
          <t>None</t>
        </is>
      </c>
      <c r="AD376" s="17" t="n"/>
      <c r="AE376" s="16" t="n"/>
      <c r="AF376" s="20" t="inlineStr">
        <is>
          <t>IC Anionen</t>
        </is>
      </c>
      <c r="AG376" s="20" t="inlineStr">
        <is>
          <t>None</t>
        </is>
      </c>
      <c r="AH376" s="17" t="n"/>
      <c r="AI376" s="16" t="n"/>
      <c r="AJ376" s="20" t="n"/>
      <c r="AK376" s="20" t="inlineStr">
        <is>
          <t>None</t>
        </is>
      </c>
      <c r="AL376" s="17" t="n"/>
      <c r="AM376" s="16" t="n"/>
      <c r="AN376" s="20" t="inlineStr">
        <is>
          <t>IC Anionen</t>
        </is>
      </c>
      <c r="AO376" s="20" t="inlineStr">
        <is>
          <t>None</t>
        </is>
      </c>
      <c r="AP376" s="17" t="n"/>
      <c r="AQ376" s="16" t="n"/>
      <c r="AR376" s="20" t="n"/>
      <c r="AS376" s="20" t="inlineStr">
        <is>
          <t>None</t>
        </is>
      </c>
      <c r="AT376" s="17" t="n"/>
      <c r="AU376" s="16" t="n"/>
      <c r="AV376" s="20" t="n"/>
      <c r="AW376" s="20" t="inlineStr">
        <is>
          <t>None</t>
        </is>
      </c>
      <c r="AX376" s="17" t="n"/>
      <c r="AY376" s="16" t="n"/>
      <c r="AZ376" s="20" t="inlineStr">
        <is>
          <t>IC Anionen</t>
        </is>
      </c>
      <c r="BA376" s="20" t="inlineStr">
        <is>
          <t>None</t>
        </is>
      </c>
      <c r="BB376" s="17" t="n"/>
      <c r="BC376" s="16" t="n"/>
      <c r="BD376" s="20" t="inlineStr">
        <is>
          <t>IC Kationen</t>
        </is>
      </c>
      <c r="BE376" s="20" t="inlineStr">
        <is>
          <t>None</t>
        </is>
      </c>
      <c r="BF376" s="17" t="n"/>
      <c r="BG376" s="16" t="n"/>
      <c r="BH376" s="20" t="inlineStr">
        <is>
          <t>IC Kationen</t>
        </is>
      </c>
      <c r="BI376" s="20" t="inlineStr">
        <is>
          <t>None</t>
        </is>
      </c>
      <c r="BJ376" s="17" t="n"/>
      <c r="BK376" s="16" t="n"/>
      <c r="BL376" s="20" t="inlineStr">
        <is>
          <t>IC Kationen</t>
        </is>
      </c>
      <c r="BM376" s="20" t="inlineStr">
        <is>
          <t>None</t>
        </is>
      </c>
      <c r="BN376" s="17" t="n"/>
      <c r="BO376" s="16" t="n"/>
      <c r="BP376" s="20" t="inlineStr">
        <is>
          <t>IC Kationen</t>
        </is>
      </c>
      <c r="BQ376" s="20" t="inlineStr">
        <is>
          <t>None</t>
        </is>
      </c>
      <c r="BR376" s="17" t="n"/>
      <c r="BS376" s="16" t="n"/>
      <c r="BT376" s="20" t="inlineStr">
        <is>
          <t>IC Kationen</t>
        </is>
      </c>
      <c r="BU376" s="20" t="inlineStr">
        <is>
          <t>None</t>
        </is>
      </c>
      <c r="BV376" s="17" t="n"/>
      <c r="BW376" s="16" t="n"/>
      <c r="BX376" s="20" t="n"/>
      <c r="BY376" s="20" t="inlineStr">
        <is>
          <t>None</t>
        </is>
      </c>
      <c r="BZ376" s="17" t="n"/>
      <c r="CA376" s="16" t="n"/>
      <c r="CB376" s="20" t="n"/>
      <c r="CC376" s="20" t="inlineStr">
        <is>
          <t>None</t>
        </is>
      </c>
      <c r="CD376" s="17" t="n"/>
      <c r="CE376" s="16" t="n"/>
      <c r="CF376" s="20" t="n"/>
      <c r="CG376" s="20" t="inlineStr">
        <is>
          <t>None</t>
        </is>
      </c>
      <c r="CH376" s="17" t="n"/>
      <c r="CI376" s="16" t="n"/>
      <c r="CJ376" s="20" t="n"/>
      <c r="CK376" s="20" t="inlineStr">
        <is>
          <t>None</t>
        </is>
      </c>
      <c r="CL376" s="17" t="n"/>
      <c r="CM376" s="16" t="n"/>
      <c r="CN376" s="20" t="inlineStr">
        <is>
          <t>SOP 45-34</t>
        </is>
      </c>
      <c r="CO376" s="20" t="inlineStr">
        <is>
          <t>None</t>
        </is>
      </c>
      <c r="CP376" s="17" t="n"/>
      <c r="CQ376" s="16" t="n"/>
      <c r="CR376" s="20" t="n"/>
      <c r="CS376" s="20" t="inlineStr">
        <is>
          <t>None</t>
        </is>
      </c>
      <c r="CT376" s="17" t="n"/>
      <c r="CU376" s="16" t="n"/>
      <c r="CV376" s="20" t="n"/>
      <c r="CW376" s="20" t="inlineStr">
        <is>
          <t>None</t>
        </is>
      </c>
      <c r="CX376" s="17" t="n"/>
      <c r="CY376" s="16" t="n"/>
      <c r="CZ376" s="20" t="inlineStr">
        <is>
          <t>WTW Multimeter 3430 with FDO 925</t>
        </is>
      </c>
      <c r="DA376" s="20" t="inlineStr">
        <is>
          <t>None</t>
        </is>
      </c>
      <c r="DB376" s="17" t="n"/>
      <c r="DC376" s="16" t="n"/>
      <c r="DD376" s="20" t="n"/>
      <c r="DE376" s="20" t="inlineStr">
        <is>
          <t>None</t>
        </is>
      </c>
      <c r="DF376" s="17" t="n"/>
      <c r="DG376" s="16" t="n"/>
      <c r="DH376" s="20" t="inlineStr">
        <is>
          <t>SOP 45-09</t>
        </is>
      </c>
      <c r="DI376" s="20" t="inlineStr">
        <is>
          <t>None</t>
        </is>
      </c>
      <c r="DJ376" s="17" t="n"/>
      <c r="DK376" s="16" t="n"/>
      <c r="DL376" s="20" t="inlineStr">
        <is>
          <t>SOP 45-09 (SOP muss noch angepasst werden für VSS)</t>
        </is>
      </c>
      <c r="DM376" s="20" t="inlineStr">
        <is>
          <t>None</t>
        </is>
      </c>
      <c r="DN376" s="17" t="n"/>
      <c r="DO376" s="16" t="n"/>
      <c r="DP376" s="20" t="inlineStr">
        <is>
          <t>IC Organic Acids</t>
        </is>
      </c>
      <c r="DQ376" s="20" t="inlineStr">
        <is>
          <t>None</t>
        </is>
      </c>
      <c r="DR376" s="17" t="n"/>
      <c r="DS376" s="16" t="n"/>
      <c r="DT376" s="20" t="inlineStr">
        <is>
          <t>IC Organic Acids</t>
        </is>
      </c>
      <c r="DU376" s="20" t="inlineStr">
        <is>
          <t>None</t>
        </is>
      </c>
      <c r="DV376" s="17" t="n"/>
      <c r="DW376" s="16" t="n"/>
      <c r="DX376" s="20" t="inlineStr">
        <is>
          <t>IC Organic Acids</t>
        </is>
      </c>
      <c r="DY376" s="20" t="inlineStr">
        <is>
          <t>None</t>
        </is>
      </c>
      <c r="DZ376" s="17" t="n"/>
      <c r="EA376" s="16" t="n"/>
      <c r="EB376" s="20" t="inlineStr">
        <is>
          <t>IC Organic Acids</t>
        </is>
      </c>
      <c r="EC376" s="20" t="inlineStr">
        <is>
          <t>None</t>
        </is>
      </c>
      <c r="ED376" s="17" t="n"/>
      <c r="EE376" s="16" t="n"/>
      <c r="EF376" s="20" t="inlineStr">
        <is>
          <t>IC Organic Acids</t>
        </is>
      </c>
      <c r="EG376" s="20" t="inlineStr">
        <is>
          <t>None</t>
        </is>
      </c>
      <c r="EH376" s="17" t="n"/>
      <c r="EI376" s="16" t="n"/>
      <c r="EJ376" s="20" t="inlineStr">
        <is>
          <t>IC Organic Acids</t>
        </is>
      </c>
      <c r="EK376" s="20" t="inlineStr">
        <is>
          <t>None</t>
        </is>
      </c>
      <c r="EL376" s="17" t="n"/>
      <c r="EM376" s="16" t="n"/>
      <c r="EN376" s="20" t="inlineStr">
        <is>
          <t>IC Organic Acids</t>
        </is>
      </c>
      <c r="EO376" s="20" t="inlineStr">
        <is>
          <t>None</t>
        </is>
      </c>
      <c r="EP376" s="17" t="n"/>
      <c r="EQ376" s="16" t="n"/>
      <c r="ER376" s="20" t="inlineStr">
        <is>
          <t>IC Organic Acids</t>
        </is>
      </c>
      <c r="ES376" s="20" t="inlineStr">
        <is>
          <t>None</t>
        </is>
      </c>
      <c r="ET376" s="17" t="n"/>
      <c r="EU376" s="16" t="n"/>
      <c r="EV376" s="20" t="inlineStr">
        <is>
          <t>LC-MS</t>
        </is>
      </c>
      <c r="EW376" s="20" t="inlineStr">
        <is>
          <t>None</t>
        </is>
      </c>
      <c r="EX376" s="17" t="n"/>
      <c r="EY376" s="21" t="n"/>
      <c r="EZ376">
        <f>CONCATENATE(A376,B376)</f>
        <v/>
      </c>
      <c r="FA376">
        <f>CONCATENATE(SamplesX!A376,SamplesX!B376)</f>
        <v/>
      </c>
      <c r="FC376">
        <f>MATCH(EZ376,FA1:FA1008,0)</f>
        <v/>
      </c>
    </row>
    <row r="377">
      <c r="A377" s="16" t="inlineStr">
        <is>
          <t>BP</t>
        </is>
      </c>
      <c r="B377" s="17" t="inlineStr">
        <is>
          <t>25369</t>
        </is>
      </c>
      <c r="C377" s="10">
        <f>IF(ISNUMBER(FC377),INDIRECT("SamplesX!C"&amp;FC377),IF(ISNUMBER(FD377),INDIRECT("SamplesY!C"&amp;FD377),""))</f>
        <v/>
      </c>
      <c r="D377" s="12">
        <f>IF(ISNUMBER(FC377),INDIRECT("SamplesX!D"&amp;FC377),IF(ISNUMBER(FD377),INDIRECT("SamplesY!D"&amp;FD377),""))</f>
        <v/>
      </c>
      <c r="E377" s="12">
        <f>IF(ISNUMBER(FC377),INDIRECT("SamplesX!E"&amp;FC377),IF(ISNUMBER(FD377),INDIRECT("SamplesY!E"&amp;FD377),""))</f>
        <v/>
      </c>
      <c r="F377" s="11">
        <f>IF(ISNUMBER(FC377),INDIRECT("SamplesX!F"&amp;FC377),IF(ISNUMBER(FD377),INDIRECT("SamplesY!F"&amp;FD377),""))</f>
        <v/>
      </c>
      <c r="G377" s="18">
        <f>IF(ISNUMBER(FC377),INDIRECT("SamplesX!G"&amp;FC377),IF(ISNUMBER(FD377),INDIRECT("SamplesY!G"&amp;FD377),""))</f>
        <v/>
      </c>
      <c r="H377" s="19">
        <f>IF(ISNUMBER(FC377),INDIRECT("SamplesX!H"&amp;FC377),IF(ISNUMBER(FD377),INDIRECT("SamplesY!H"&amp;FD377),""))</f>
        <v/>
      </c>
      <c r="I377" s="16" t="n"/>
      <c r="J377" s="16" t="n"/>
      <c r="K377" s="16" t="n"/>
      <c r="L377" s="20" t="n"/>
      <c r="M377" s="20" t="inlineStr">
        <is>
          <t>None</t>
        </is>
      </c>
      <c r="N377" s="17" t="n"/>
      <c r="O377" s="16" t="n"/>
      <c r="P377" s="20" t="inlineStr">
        <is>
          <t>Shimadzu TOC-L</t>
        </is>
      </c>
      <c r="Q377" s="20" t="inlineStr">
        <is>
          <t>None</t>
        </is>
      </c>
      <c r="R377" s="17" t="n"/>
      <c r="S377" s="16" t="n"/>
      <c r="T377" s="20" t="inlineStr">
        <is>
          <t>Shimadzu TOC-L</t>
        </is>
      </c>
      <c r="U377" s="20" t="inlineStr">
        <is>
          <t>None</t>
        </is>
      </c>
      <c r="V377" s="17" t="n"/>
      <c r="W377" s="16" t="n"/>
      <c r="X377" s="20" t="n"/>
      <c r="Y377" s="20" t="inlineStr">
        <is>
          <t>None</t>
        </is>
      </c>
      <c r="Z377" s="17" t="n"/>
      <c r="AA377" s="16" t="n"/>
      <c r="AB377" s="20" t="n"/>
      <c r="AC377" s="20" t="inlineStr">
        <is>
          <t>None</t>
        </is>
      </c>
      <c r="AD377" s="17" t="n"/>
      <c r="AE377" s="16" t="n"/>
      <c r="AF377" s="20" t="inlineStr">
        <is>
          <t>IC Anionen</t>
        </is>
      </c>
      <c r="AG377" s="20" t="inlineStr">
        <is>
          <t>None</t>
        </is>
      </c>
      <c r="AH377" s="17" t="n"/>
      <c r="AI377" s="16" t="n"/>
      <c r="AJ377" s="20" t="n"/>
      <c r="AK377" s="20" t="inlineStr">
        <is>
          <t>None</t>
        </is>
      </c>
      <c r="AL377" s="17" t="n"/>
      <c r="AM377" s="16" t="n"/>
      <c r="AN377" s="20" t="inlineStr">
        <is>
          <t>IC Anionen</t>
        </is>
      </c>
      <c r="AO377" s="20" t="inlineStr">
        <is>
          <t>None</t>
        </is>
      </c>
      <c r="AP377" s="17" t="n"/>
      <c r="AQ377" s="16" t="n"/>
      <c r="AR377" s="20" t="n"/>
      <c r="AS377" s="20" t="inlineStr">
        <is>
          <t>None</t>
        </is>
      </c>
      <c r="AT377" s="17" t="n"/>
      <c r="AU377" s="16" t="n"/>
      <c r="AV377" s="20" t="n"/>
      <c r="AW377" s="20" t="inlineStr">
        <is>
          <t>None</t>
        </is>
      </c>
      <c r="AX377" s="17" t="n"/>
      <c r="AY377" s="16" t="n"/>
      <c r="AZ377" s="20" t="inlineStr">
        <is>
          <t>IC Anionen</t>
        </is>
      </c>
      <c r="BA377" s="20" t="inlineStr">
        <is>
          <t>None</t>
        </is>
      </c>
      <c r="BB377" s="17" t="n"/>
      <c r="BC377" s="16" t="n"/>
      <c r="BD377" s="20" t="inlineStr">
        <is>
          <t>IC Kationen</t>
        </is>
      </c>
      <c r="BE377" s="20" t="inlineStr">
        <is>
          <t>None</t>
        </is>
      </c>
      <c r="BF377" s="17" t="n"/>
      <c r="BG377" s="16" t="n"/>
      <c r="BH377" s="20" t="inlineStr">
        <is>
          <t>IC Kationen</t>
        </is>
      </c>
      <c r="BI377" s="20" t="inlineStr">
        <is>
          <t>None</t>
        </is>
      </c>
      <c r="BJ377" s="17" t="n"/>
      <c r="BK377" s="16" t="n"/>
      <c r="BL377" s="20" t="inlineStr">
        <is>
          <t>IC Kationen</t>
        </is>
      </c>
      <c r="BM377" s="20" t="inlineStr">
        <is>
          <t>None</t>
        </is>
      </c>
      <c r="BN377" s="17" t="n"/>
      <c r="BO377" s="16" t="n"/>
      <c r="BP377" s="20" t="inlineStr">
        <is>
          <t>IC Kationen</t>
        </is>
      </c>
      <c r="BQ377" s="20" t="inlineStr">
        <is>
          <t>None</t>
        </is>
      </c>
      <c r="BR377" s="17" t="n"/>
      <c r="BS377" s="16" t="n"/>
      <c r="BT377" s="20" t="inlineStr">
        <is>
          <t>IC Kationen</t>
        </is>
      </c>
      <c r="BU377" s="20" t="inlineStr">
        <is>
          <t>None</t>
        </is>
      </c>
      <c r="BV377" s="17" t="n"/>
      <c r="BW377" s="16" t="n"/>
      <c r="BX377" s="20" t="n"/>
      <c r="BY377" s="20" t="inlineStr">
        <is>
          <t>None</t>
        </is>
      </c>
      <c r="BZ377" s="17" t="n"/>
      <c r="CA377" s="16" t="n"/>
      <c r="CB377" s="20" t="n"/>
      <c r="CC377" s="20" t="inlineStr">
        <is>
          <t>None</t>
        </is>
      </c>
      <c r="CD377" s="17" t="n"/>
      <c r="CE377" s="16" t="n"/>
      <c r="CF377" s="20" t="n"/>
      <c r="CG377" s="20" t="inlineStr">
        <is>
          <t>None</t>
        </is>
      </c>
      <c r="CH377" s="17" t="n"/>
      <c r="CI377" s="16" t="n"/>
      <c r="CJ377" s="20" t="n"/>
      <c r="CK377" s="20" t="inlineStr">
        <is>
          <t>None</t>
        </is>
      </c>
      <c r="CL377" s="17" t="n"/>
      <c r="CM377" s="16" t="n"/>
      <c r="CN377" s="20" t="inlineStr">
        <is>
          <t>SOP 45-34</t>
        </is>
      </c>
      <c r="CO377" s="20" t="inlineStr">
        <is>
          <t>None</t>
        </is>
      </c>
      <c r="CP377" s="17" t="n"/>
      <c r="CQ377" s="16" t="n"/>
      <c r="CR377" s="20" t="n"/>
      <c r="CS377" s="20" t="inlineStr">
        <is>
          <t>None</t>
        </is>
      </c>
      <c r="CT377" s="17" t="n"/>
      <c r="CU377" s="16" t="n"/>
      <c r="CV377" s="20" t="n"/>
      <c r="CW377" s="20" t="inlineStr">
        <is>
          <t>None</t>
        </is>
      </c>
      <c r="CX377" s="17" t="n"/>
      <c r="CY377" s="16" t="n"/>
      <c r="CZ377" s="20" t="inlineStr">
        <is>
          <t>WTW Multimeter 3430 with FDO 925</t>
        </is>
      </c>
      <c r="DA377" s="20" t="inlineStr">
        <is>
          <t>None</t>
        </is>
      </c>
      <c r="DB377" s="17" t="n"/>
      <c r="DC377" s="16" t="n"/>
      <c r="DD377" s="20" t="n"/>
      <c r="DE377" s="20" t="inlineStr">
        <is>
          <t>None</t>
        </is>
      </c>
      <c r="DF377" s="17" t="n"/>
      <c r="DG377" s="16" t="n"/>
      <c r="DH377" s="20" t="inlineStr">
        <is>
          <t>SOP 45-09</t>
        </is>
      </c>
      <c r="DI377" s="20" t="inlineStr">
        <is>
          <t>None</t>
        </is>
      </c>
      <c r="DJ377" s="17" t="n"/>
      <c r="DK377" s="16" t="n"/>
      <c r="DL377" s="20" t="inlineStr">
        <is>
          <t>SOP 45-09 (SOP muss noch angepasst werden für VSS)</t>
        </is>
      </c>
      <c r="DM377" s="20" t="inlineStr">
        <is>
          <t>None</t>
        </is>
      </c>
      <c r="DN377" s="17" t="n"/>
      <c r="DO377" s="16" t="n"/>
      <c r="DP377" s="20" t="inlineStr">
        <is>
          <t>IC Organic Acids</t>
        </is>
      </c>
      <c r="DQ377" s="20" t="inlineStr">
        <is>
          <t>None</t>
        </is>
      </c>
      <c r="DR377" s="17" t="n"/>
      <c r="DS377" s="16" t="n"/>
      <c r="DT377" s="20" t="inlineStr">
        <is>
          <t>IC Organic Acids</t>
        </is>
      </c>
      <c r="DU377" s="20" t="inlineStr">
        <is>
          <t>None</t>
        </is>
      </c>
      <c r="DV377" s="17" t="n"/>
      <c r="DW377" s="16" t="n"/>
      <c r="DX377" s="20" t="inlineStr">
        <is>
          <t>IC Organic Acids</t>
        </is>
      </c>
      <c r="DY377" s="20" t="inlineStr">
        <is>
          <t>None</t>
        </is>
      </c>
      <c r="DZ377" s="17" t="n"/>
      <c r="EA377" s="16" t="n"/>
      <c r="EB377" s="20" t="inlineStr">
        <is>
          <t>IC Organic Acids</t>
        </is>
      </c>
      <c r="EC377" s="20" t="inlineStr">
        <is>
          <t>None</t>
        </is>
      </c>
      <c r="ED377" s="17" t="n"/>
      <c r="EE377" s="16" t="n"/>
      <c r="EF377" s="20" t="inlineStr">
        <is>
          <t>IC Organic Acids</t>
        </is>
      </c>
      <c r="EG377" s="20" t="inlineStr">
        <is>
          <t>None</t>
        </is>
      </c>
      <c r="EH377" s="17" t="n"/>
      <c r="EI377" s="16" t="n"/>
      <c r="EJ377" s="20" t="inlineStr">
        <is>
          <t>IC Organic Acids</t>
        </is>
      </c>
      <c r="EK377" s="20" t="inlineStr">
        <is>
          <t>None</t>
        </is>
      </c>
      <c r="EL377" s="17" t="n"/>
      <c r="EM377" s="16" t="n"/>
      <c r="EN377" s="20" t="inlineStr">
        <is>
          <t>IC Organic Acids</t>
        </is>
      </c>
      <c r="EO377" s="20" t="inlineStr">
        <is>
          <t>None</t>
        </is>
      </c>
      <c r="EP377" s="17" t="n"/>
      <c r="EQ377" s="16" t="n"/>
      <c r="ER377" s="20" t="inlineStr">
        <is>
          <t>IC Organic Acids</t>
        </is>
      </c>
      <c r="ES377" s="20" t="inlineStr">
        <is>
          <t>None</t>
        </is>
      </c>
      <c r="ET377" s="17" t="n"/>
      <c r="EU377" s="16" t="n"/>
      <c r="EV377" s="20" t="inlineStr">
        <is>
          <t>LC-MS</t>
        </is>
      </c>
      <c r="EW377" s="20" t="inlineStr">
        <is>
          <t>None</t>
        </is>
      </c>
      <c r="EX377" s="17" t="n"/>
      <c r="EY377" s="21" t="n"/>
      <c r="EZ377">
        <f>CONCATENATE(A377,B377)</f>
        <v/>
      </c>
      <c r="FA377">
        <f>CONCATENATE(SamplesX!A377,SamplesX!B377)</f>
        <v/>
      </c>
      <c r="FC377">
        <f>MATCH(EZ377,FA1:FA1008,0)</f>
        <v/>
      </c>
    </row>
    <row r="378">
      <c r="A378" s="16" t="inlineStr">
        <is>
          <t>BP</t>
        </is>
      </c>
      <c r="B378" s="17" t="inlineStr">
        <is>
          <t>25370</t>
        </is>
      </c>
      <c r="C378" s="10">
        <f>IF(ISNUMBER(FC378),INDIRECT("SamplesX!C"&amp;FC378),IF(ISNUMBER(FD378),INDIRECT("SamplesY!C"&amp;FD378),""))</f>
        <v/>
      </c>
      <c r="D378" s="12">
        <f>IF(ISNUMBER(FC378),INDIRECT("SamplesX!D"&amp;FC378),IF(ISNUMBER(FD378),INDIRECT("SamplesY!D"&amp;FD378),""))</f>
        <v/>
      </c>
      <c r="E378" s="12">
        <f>IF(ISNUMBER(FC378),INDIRECT("SamplesX!E"&amp;FC378),IF(ISNUMBER(FD378),INDIRECT("SamplesY!E"&amp;FD378),""))</f>
        <v/>
      </c>
      <c r="F378" s="11">
        <f>IF(ISNUMBER(FC378),INDIRECT("SamplesX!F"&amp;FC378),IF(ISNUMBER(FD378),INDIRECT("SamplesY!F"&amp;FD378),""))</f>
        <v/>
      </c>
      <c r="G378" s="18">
        <f>IF(ISNUMBER(FC378),INDIRECT("SamplesX!G"&amp;FC378),IF(ISNUMBER(FD378),INDIRECT("SamplesY!G"&amp;FD378),""))</f>
        <v/>
      </c>
      <c r="H378" s="19">
        <f>IF(ISNUMBER(FC378),INDIRECT("SamplesX!H"&amp;FC378),IF(ISNUMBER(FD378),INDIRECT("SamplesY!H"&amp;FD378),""))</f>
        <v/>
      </c>
      <c r="I378" s="16" t="n"/>
      <c r="J378" s="16" t="n"/>
      <c r="K378" s="16" t="n"/>
      <c r="L378" s="20" t="n"/>
      <c r="M378" s="20" t="inlineStr">
        <is>
          <t>None</t>
        </is>
      </c>
      <c r="N378" s="17" t="n"/>
      <c r="O378" s="16" t="n"/>
      <c r="P378" s="20" t="inlineStr">
        <is>
          <t>Shimadzu TOC-L</t>
        </is>
      </c>
      <c r="Q378" s="20" t="inlineStr">
        <is>
          <t>None</t>
        </is>
      </c>
      <c r="R378" s="17" t="n"/>
      <c r="S378" s="16" t="n"/>
      <c r="T378" s="20" t="inlineStr">
        <is>
          <t>Shimadzu TOC-L</t>
        </is>
      </c>
      <c r="U378" s="20" t="inlineStr">
        <is>
          <t>None</t>
        </is>
      </c>
      <c r="V378" s="17" t="n"/>
      <c r="W378" s="16" t="n"/>
      <c r="X378" s="20" t="n"/>
      <c r="Y378" s="20" t="inlineStr">
        <is>
          <t>None</t>
        </is>
      </c>
      <c r="Z378" s="17" t="n"/>
      <c r="AA378" s="16" t="n"/>
      <c r="AB378" s="20" t="n"/>
      <c r="AC378" s="20" t="inlineStr">
        <is>
          <t>None</t>
        </is>
      </c>
      <c r="AD378" s="17" t="n"/>
      <c r="AE378" s="16" t="n"/>
      <c r="AF378" s="20" t="inlineStr">
        <is>
          <t>IC Anionen</t>
        </is>
      </c>
      <c r="AG378" s="20" t="inlineStr">
        <is>
          <t>None</t>
        </is>
      </c>
      <c r="AH378" s="17" t="n"/>
      <c r="AI378" s="16" t="n"/>
      <c r="AJ378" s="20" t="n"/>
      <c r="AK378" s="20" t="inlineStr">
        <is>
          <t>None</t>
        </is>
      </c>
      <c r="AL378" s="17" t="n"/>
      <c r="AM378" s="16" t="n"/>
      <c r="AN378" s="20" t="inlineStr">
        <is>
          <t>IC Anionen</t>
        </is>
      </c>
      <c r="AO378" s="20" t="inlineStr">
        <is>
          <t>None</t>
        </is>
      </c>
      <c r="AP378" s="17" t="n"/>
      <c r="AQ378" s="16" t="n"/>
      <c r="AR378" s="20" t="n"/>
      <c r="AS378" s="20" t="inlineStr">
        <is>
          <t>None</t>
        </is>
      </c>
      <c r="AT378" s="17" t="n"/>
      <c r="AU378" s="16" t="n"/>
      <c r="AV378" s="20" t="n"/>
      <c r="AW378" s="20" t="inlineStr">
        <is>
          <t>None</t>
        </is>
      </c>
      <c r="AX378" s="17" t="n"/>
      <c r="AY378" s="16" t="n"/>
      <c r="AZ378" s="20" t="inlineStr">
        <is>
          <t>IC Anionen</t>
        </is>
      </c>
      <c r="BA378" s="20" t="inlineStr">
        <is>
          <t>None</t>
        </is>
      </c>
      <c r="BB378" s="17" t="n"/>
      <c r="BC378" s="16" t="n"/>
      <c r="BD378" s="20" t="inlineStr">
        <is>
          <t>IC Kationen</t>
        </is>
      </c>
      <c r="BE378" s="20" t="inlineStr">
        <is>
          <t>None</t>
        </is>
      </c>
      <c r="BF378" s="17" t="n"/>
      <c r="BG378" s="16" t="n"/>
      <c r="BH378" s="20" t="inlineStr">
        <is>
          <t>IC Kationen</t>
        </is>
      </c>
      <c r="BI378" s="20" t="inlineStr">
        <is>
          <t>None</t>
        </is>
      </c>
      <c r="BJ378" s="17" t="n"/>
      <c r="BK378" s="16" t="n"/>
      <c r="BL378" s="20" t="inlineStr">
        <is>
          <t>IC Kationen</t>
        </is>
      </c>
      <c r="BM378" s="20" t="inlineStr">
        <is>
          <t>None</t>
        </is>
      </c>
      <c r="BN378" s="17" t="n"/>
      <c r="BO378" s="16" t="n"/>
      <c r="BP378" s="20" t="inlineStr">
        <is>
          <t>IC Kationen</t>
        </is>
      </c>
      <c r="BQ378" s="20" t="inlineStr">
        <is>
          <t>None</t>
        </is>
      </c>
      <c r="BR378" s="17" t="n"/>
      <c r="BS378" s="16" t="n"/>
      <c r="BT378" s="20" t="inlineStr">
        <is>
          <t>IC Kationen</t>
        </is>
      </c>
      <c r="BU378" s="20" t="inlineStr">
        <is>
          <t>None</t>
        </is>
      </c>
      <c r="BV378" s="17" t="n"/>
      <c r="BW378" s="16" t="n"/>
      <c r="BX378" s="20" t="n"/>
      <c r="BY378" s="20" t="inlineStr">
        <is>
          <t>None</t>
        </is>
      </c>
      <c r="BZ378" s="17" t="n"/>
      <c r="CA378" s="16" t="n"/>
      <c r="CB378" s="20" t="n"/>
      <c r="CC378" s="20" t="inlineStr">
        <is>
          <t>None</t>
        </is>
      </c>
      <c r="CD378" s="17" t="n"/>
      <c r="CE378" s="16" t="n"/>
      <c r="CF378" s="20" t="n"/>
      <c r="CG378" s="20" t="inlineStr">
        <is>
          <t>None</t>
        </is>
      </c>
      <c r="CH378" s="17" t="n"/>
      <c r="CI378" s="16" t="n"/>
      <c r="CJ378" s="20" t="n"/>
      <c r="CK378" s="20" t="inlineStr">
        <is>
          <t>None</t>
        </is>
      </c>
      <c r="CL378" s="17" t="n"/>
      <c r="CM378" s="16" t="n"/>
      <c r="CN378" s="20" t="inlineStr">
        <is>
          <t>SOP 45-34</t>
        </is>
      </c>
      <c r="CO378" s="20" t="inlineStr">
        <is>
          <t>None</t>
        </is>
      </c>
      <c r="CP378" s="17" t="n"/>
      <c r="CQ378" s="16" t="n"/>
      <c r="CR378" s="20" t="n"/>
      <c r="CS378" s="20" t="inlineStr">
        <is>
          <t>None</t>
        </is>
      </c>
      <c r="CT378" s="17" t="n"/>
      <c r="CU378" s="16" t="n"/>
      <c r="CV378" s="20" t="n"/>
      <c r="CW378" s="20" t="inlineStr">
        <is>
          <t>None</t>
        </is>
      </c>
      <c r="CX378" s="17" t="n"/>
      <c r="CY378" s="16" t="n"/>
      <c r="CZ378" s="20" t="inlineStr">
        <is>
          <t>WTW Multimeter 3430 with FDO 925</t>
        </is>
      </c>
      <c r="DA378" s="20" t="inlineStr">
        <is>
          <t>None</t>
        </is>
      </c>
      <c r="DB378" s="17" t="n"/>
      <c r="DC378" s="16" t="n"/>
      <c r="DD378" s="20" t="n"/>
      <c r="DE378" s="20" t="inlineStr">
        <is>
          <t>None</t>
        </is>
      </c>
      <c r="DF378" s="17" t="n"/>
      <c r="DG378" s="16" t="n"/>
      <c r="DH378" s="20" t="inlineStr">
        <is>
          <t>SOP 45-09</t>
        </is>
      </c>
      <c r="DI378" s="20" t="inlineStr">
        <is>
          <t>None</t>
        </is>
      </c>
      <c r="DJ378" s="17" t="n"/>
      <c r="DK378" s="16" t="n"/>
      <c r="DL378" s="20" t="inlineStr">
        <is>
          <t>SOP 45-09 (SOP muss noch angepasst werden für VSS)</t>
        </is>
      </c>
      <c r="DM378" s="20" t="inlineStr">
        <is>
          <t>None</t>
        </is>
      </c>
      <c r="DN378" s="17" t="n"/>
      <c r="DO378" s="16" t="n"/>
      <c r="DP378" s="20" t="inlineStr">
        <is>
          <t>IC Organic Acids</t>
        </is>
      </c>
      <c r="DQ378" s="20" t="inlineStr">
        <is>
          <t>None</t>
        </is>
      </c>
      <c r="DR378" s="17" t="n"/>
      <c r="DS378" s="16" t="n"/>
      <c r="DT378" s="20" t="inlineStr">
        <is>
          <t>IC Organic Acids</t>
        </is>
      </c>
      <c r="DU378" s="20" t="inlineStr">
        <is>
          <t>None</t>
        </is>
      </c>
      <c r="DV378" s="17" t="n"/>
      <c r="DW378" s="16" t="n"/>
      <c r="DX378" s="20" t="inlineStr">
        <is>
          <t>IC Organic Acids</t>
        </is>
      </c>
      <c r="DY378" s="20" t="inlineStr">
        <is>
          <t>None</t>
        </is>
      </c>
      <c r="DZ378" s="17" t="n"/>
      <c r="EA378" s="16" t="n"/>
      <c r="EB378" s="20" t="inlineStr">
        <is>
          <t>IC Organic Acids</t>
        </is>
      </c>
      <c r="EC378" s="20" t="inlineStr">
        <is>
          <t>None</t>
        </is>
      </c>
      <c r="ED378" s="17" t="n"/>
      <c r="EE378" s="16" t="n"/>
      <c r="EF378" s="20" t="inlineStr">
        <is>
          <t>IC Organic Acids</t>
        </is>
      </c>
      <c r="EG378" s="20" t="inlineStr">
        <is>
          <t>None</t>
        </is>
      </c>
      <c r="EH378" s="17" t="n"/>
      <c r="EI378" s="16" t="n"/>
      <c r="EJ378" s="20" t="inlineStr">
        <is>
          <t>IC Organic Acids</t>
        </is>
      </c>
      <c r="EK378" s="20" t="inlineStr">
        <is>
          <t>None</t>
        </is>
      </c>
      <c r="EL378" s="17" t="n"/>
      <c r="EM378" s="16" t="n"/>
      <c r="EN378" s="20" t="inlineStr">
        <is>
          <t>IC Organic Acids</t>
        </is>
      </c>
      <c r="EO378" s="20" t="inlineStr">
        <is>
          <t>None</t>
        </is>
      </c>
      <c r="EP378" s="17" t="n"/>
      <c r="EQ378" s="16" t="n"/>
      <c r="ER378" s="20" t="inlineStr">
        <is>
          <t>IC Organic Acids</t>
        </is>
      </c>
      <c r="ES378" s="20" t="inlineStr">
        <is>
          <t>None</t>
        </is>
      </c>
      <c r="ET378" s="17" t="n"/>
      <c r="EU378" s="16" t="n"/>
      <c r="EV378" s="20" t="inlineStr">
        <is>
          <t>LC-MS</t>
        </is>
      </c>
      <c r="EW378" s="20" t="inlineStr">
        <is>
          <t>None</t>
        </is>
      </c>
      <c r="EX378" s="17" t="n"/>
      <c r="EY378" s="21" t="n"/>
      <c r="EZ378">
        <f>CONCATENATE(A378,B378)</f>
        <v/>
      </c>
      <c r="FA378">
        <f>CONCATENATE(SamplesX!A378,SamplesX!B378)</f>
        <v/>
      </c>
      <c r="FC378">
        <f>MATCH(EZ378,FA1:FA1008,0)</f>
        <v/>
      </c>
    </row>
    <row r="379">
      <c r="A379" s="16" t="inlineStr">
        <is>
          <t>BP</t>
        </is>
      </c>
      <c r="B379" s="17" t="inlineStr">
        <is>
          <t>25371</t>
        </is>
      </c>
      <c r="C379" s="10">
        <f>IF(ISNUMBER(FC379),INDIRECT("SamplesX!C"&amp;FC379),IF(ISNUMBER(FD379),INDIRECT("SamplesY!C"&amp;FD379),""))</f>
        <v/>
      </c>
      <c r="D379" s="12">
        <f>IF(ISNUMBER(FC379),INDIRECT("SamplesX!D"&amp;FC379),IF(ISNUMBER(FD379),INDIRECT("SamplesY!D"&amp;FD379),""))</f>
        <v/>
      </c>
      <c r="E379" s="12">
        <f>IF(ISNUMBER(FC379),INDIRECT("SamplesX!E"&amp;FC379),IF(ISNUMBER(FD379),INDIRECT("SamplesY!E"&amp;FD379),""))</f>
        <v/>
      </c>
      <c r="F379" s="11">
        <f>IF(ISNUMBER(FC379),INDIRECT("SamplesX!F"&amp;FC379),IF(ISNUMBER(FD379),INDIRECT("SamplesY!F"&amp;FD379),""))</f>
        <v/>
      </c>
      <c r="G379" s="18">
        <f>IF(ISNUMBER(FC379),INDIRECT("SamplesX!G"&amp;FC379),IF(ISNUMBER(FD379),INDIRECT("SamplesY!G"&amp;FD379),""))</f>
        <v/>
      </c>
      <c r="H379" s="19">
        <f>IF(ISNUMBER(FC379),INDIRECT("SamplesX!H"&amp;FC379),IF(ISNUMBER(FD379),INDIRECT("SamplesY!H"&amp;FD379),""))</f>
        <v/>
      </c>
      <c r="I379" s="16" t="n"/>
      <c r="J379" s="16" t="n"/>
      <c r="K379" s="16" t="n"/>
      <c r="L379" s="20" t="n"/>
      <c r="M379" s="20" t="inlineStr">
        <is>
          <t>None</t>
        </is>
      </c>
      <c r="N379" s="17" t="n"/>
      <c r="O379" s="16" t="n"/>
      <c r="P379" s="20" t="inlineStr">
        <is>
          <t>Shimadzu TOC-L</t>
        </is>
      </c>
      <c r="Q379" s="20" t="inlineStr">
        <is>
          <t>None</t>
        </is>
      </c>
      <c r="R379" s="17" t="n"/>
      <c r="S379" s="16" t="n"/>
      <c r="T379" s="20" t="inlineStr">
        <is>
          <t>Shimadzu TOC-L</t>
        </is>
      </c>
      <c r="U379" s="20" t="inlineStr">
        <is>
          <t>None</t>
        </is>
      </c>
      <c r="V379" s="17" t="n"/>
      <c r="W379" s="16" t="n"/>
      <c r="X379" s="20" t="n"/>
      <c r="Y379" s="20" t="inlineStr">
        <is>
          <t>None</t>
        </is>
      </c>
      <c r="Z379" s="17" t="n"/>
      <c r="AA379" s="16" t="n"/>
      <c r="AB379" s="20" t="n"/>
      <c r="AC379" s="20" t="inlineStr">
        <is>
          <t>None</t>
        </is>
      </c>
      <c r="AD379" s="17" t="n"/>
      <c r="AE379" s="16" t="n"/>
      <c r="AF379" s="20" t="inlineStr">
        <is>
          <t>IC Anionen</t>
        </is>
      </c>
      <c r="AG379" s="20" t="inlineStr">
        <is>
          <t>None</t>
        </is>
      </c>
      <c r="AH379" s="17" t="n"/>
      <c r="AI379" s="16" t="n"/>
      <c r="AJ379" s="20" t="n"/>
      <c r="AK379" s="20" t="inlineStr">
        <is>
          <t>None</t>
        </is>
      </c>
      <c r="AL379" s="17" t="n"/>
      <c r="AM379" s="16" t="n"/>
      <c r="AN379" s="20" t="inlineStr">
        <is>
          <t>IC Anionen</t>
        </is>
      </c>
      <c r="AO379" s="20" t="inlineStr">
        <is>
          <t>None</t>
        </is>
      </c>
      <c r="AP379" s="17" t="n"/>
      <c r="AQ379" s="16" t="n"/>
      <c r="AR379" s="20" t="n"/>
      <c r="AS379" s="20" t="inlineStr">
        <is>
          <t>None</t>
        </is>
      </c>
      <c r="AT379" s="17" t="n"/>
      <c r="AU379" s="16" t="n"/>
      <c r="AV379" s="20" t="n"/>
      <c r="AW379" s="20" t="inlineStr">
        <is>
          <t>None</t>
        </is>
      </c>
      <c r="AX379" s="17" t="n"/>
      <c r="AY379" s="16" t="n"/>
      <c r="AZ379" s="20" t="inlineStr">
        <is>
          <t>IC Anionen</t>
        </is>
      </c>
      <c r="BA379" s="20" t="inlineStr">
        <is>
          <t>None</t>
        </is>
      </c>
      <c r="BB379" s="17" t="n"/>
      <c r="BC379" s="16" t="n"/>
      <c r="BD379" s="20" t="inlineStr">
        <is>
          <t>IC Kationen</t>
        </is>
      </c>
      <c r="BE379" s="20" t="inlineStr">
        <is>
          <t>None</t>
        </is>
      </c>
      <c r="BF379" s="17" t="n"/>
      <c r="BG379" s="16" t="n"/>
      <c r="BH379" s="20" t="inlineStr">
        <is>
          <t>IC Kationen</t>
        </is>
      </c>
      <c r="BI379" s="20" t="inlineStr">
        <is>
          <t>None</t>
        </is>
      </c>
      <c r="BJ379" s="17" t="n"/>
      <c r="BK379" s="16" t="n"/>
      <c r="BL379" s="20" t="inlineStr">
        <is>
          <t>IC Kationen</t>
        </is>
      </c>
      <c r="BM379" s="20" t="inlineStr">
        <is>
          <t>None</t>
        </is>
      </c>
      <c r="BN379" s="17" t="n"/>
      <c r="BO379" s="16" t="n"/>
      <c r="BP379" s="20" t="inlineStr">
        <is>
          <t>IC Kationen</t>
        </is>
      </c>
      <c r="BQ379" s="20" t="inlineStr">
        <is>
          <t>None</t>
        </is>
      </c>
      <c r="BR379" s="17" t="n"/>
      <c r="BS379" s="16" t="n"/>
      <c r="BT379" s="20" t="inlineStr">
        <is>
          <t>IC Kationen</t>
        </is>
      </c>
      <c r="BU379" s="20" t="inlineStr">
        <is>
          <t>None</t>
        </is>
      </c>
      <c r="BV379" s="17" t="n"/>
      <c r="BW379" s="16" t="n"/>
      <c r="BX379" s="20" t="n"/>
      <c r="BY379" s="20" t="inlineStr">
        <is>
          <t>None</t>
        </is>
      </c>
      <c r="BZ379" s="17" t="n"/>
      <c r="CA379" s="16" t="n"/>
      <c r="CB379" s="20" t="n"/>
      <c r="CC379" s="20" t="inlineStr">
        <is>
          <t>None</t>
        </is>
      </c>
      <c r="CD379" s="17" t="n"/>
      <c r="CE379" s="16" t="n"/>
      <c r="CF379" s="20" t="n"/>
      <c r="CG379" s="20" t="inlineStr">
        <is>
          <t>None</t>
        </is>
      </c>
      <c r="CH379" s="17" t="n"/>
      <c r="CI379" s="16" t="n"/>
      <c r="CJ379" s="20" t="n"/>
      <c r="CK379" s="20" t="inlineStr">
        <is>
          <t>None</t>
        </is>
      </c>
      <c r="CL379" s="17" t="n"/>
      <c r="CM379" s="16" t="n"/>
      <c r="CN379" s="20" t="inlineStr">
        <is>
          <t>SOP 45-34</t>
        </is>
      </c>
      <c r="CO379" s="20" t="inlineStr">
        <is>
          <t>None</t>
        </is>
      </c>
      <c r="CP379" s="17" t="n"/>
      <c r="CQ379" s="16" t="n"/>
      <c r="CR379" s="20" t="n"/>
      <c r="CS379" s="20" t="inlineStr">
        <is>
          <t>None</t>
        </is>
      </c>
      <c r="CT379" s="17" t="n"/>
      <c r="CU379" s="16" t="n"/>
      <c r="CV379" s="20" t="n"/>
      <c r="CW379" s="20" t="inlineStr">
        <is>
          <t>None</t>
        </is>
      </c>
      <c r="CX379" s="17" t="n"/>
      <c r="CY379" s="16" t="n"/>
      <c r="CZ379" s="20" t="inlineStr">
        <is>
          <t>WTW Multimeter 3430 with FDO 925</t>
        </is>
      </c>
      <c r="DA379" s="20" t="inlineStr">
        <is>
          <t>None</t>
        </is>
      </c>
      <c r="DB379" s="17" t="n"/>
      <c r="DC379" s="16" t="n"/>
      <c r="DD379" s="20" t="n"/>
      <c r="DE379" s="20" t="inlineStr">
        <is>
          <t>None</t>
        </is>
      </c>
      <c r="DF379" s="17" t="n"/>
      <c r="DG379" s="16" t="n"/>
      <c r="DH379" s="20" t="inlineStr">
        <is>
          <t>SOP 45-09</t>
        </is>
      </c>
      <c r="DI379" s="20" t="inlineStr">
        <is>
          <t>None</t>
        </is>
      </c>
      <c r="DJ379" s="17" t="n"/>
      <c r="DK379" s="16" t="n"/>
      <c r="DL379" s="20" t="inlineStr">
        <is>
          <t>SOP 45-09 (SOP muss noch angepasst werden für VSS)</t>
        </is>
      </c>
      <c r="DM379" s="20" t="inlineStr">
        <is>
          <t>None</t>
        </is>
      </c>
      <c r="DN379" s="17" t="n"/>
      <c r="DO379" s="16" t="n"/>
      <c r="DP379" s="20" t="inlineStr">
        <is>
          <t>IC Organic Acids</t>
        </is>
      </c>
      <c r="DQ379" s="20" t="inlineStr">
        <is>
          <t>None</t>
        </is>
      </c>
      <c r="DR379" s="17" t="n"/>
      <c r="DS379" s="16" t="n"/>
      <c r="DT379" s="20" t="inlineStr">
        <is>
          <t>IC Organic Acids</t>
        </is>
      </c>
      <c r="DU379" s="20" t="inlineStr">
        <is>
          <t>None</t>
        </is>
      </c>
      <c r="DV379" s="17" t="n"/>
      <c r="DW379" s="16" t="n"/>
      <c r="DX379" s="20" t="inlineStr">
        <is>
          <t>IC Organic Acids</t>
        </is>
      </c>
      <c r="DY379" s="20" t="inlineStr">
        <is>
          <t>None</t>
        </is>
      </c>
      <c r="DZ379" s="17" t="n"/>
      <c r="EA379" s="16" t="n"/>
      <c r="EB379" s="20" t="inlineStr">
        <is>
          <t>IC Organic Acids</t>
        </is>
      </c>
      <c r="EC379" s="20" t="inlineStr">
        <is>
          <t>None</t>
        </is>
      </c>
      <c r="ED379" s="17" t="n"/>
      <c r="EE379" s="16" t="n"/>
      <c r="EF379" s="20" t="inlineStr">
        <is>
          <t>IC Organic Acids</t>
        </is>
      </c>
      <c r="EG379" s="20" t="inlineStr">
        <is>
          <t>None</t>
        </is>
      </c>
      <c r="EH379" s="17" t="n"/>
      <c r="EI379" s="16" t="n"/>
      <c r="EJ379" s="20" t="inlineStr">
        <is>
          <t>IC Organic Acids</t>
        </is>
      </c>
      <c r="EK379" s="20" t="inlineStr">
        <is>
          <t>None</t>
        </is>
      </c>
      <c r="EL379" s="17" t="n"/>
      <c r="EM379" s="16" t="n"/>
      <c r="EN379" s="20" t="inlineStr">
        <is>
          <t>IC Organic Acids</t>
        </is>
      </c>
      <c r="EO379" s="20" t="inlineStr">
        <is>
          <t>None</t>
        </is>
      </c>
      <c r="EP379" s="17" t="n"/>
      <c r="EQ379" s="16" t="n"/>
      <c r="ER379" s="20" t="inlineStr">
        <is>
          <t>IC Organic Acids</t>
        </is>
      </c>
      <c r="ES379" s="20" t="inlineStr">
        <is>
          <t>None</t>
        </is>
      </c>
      <c r="ET379" s="17" t="n"/>
      <c r="EU379" s="16" t="n"/>
      <c r="EV379" s="20" t="inlineStr">
        <is>
          <t>LC-MS</t>
        </is>
      </c>
      <c r="EW379" s="20" t="inlineStr">
        <is>
          <t>None</t>
        </is>
      </c>
      <c r="EX379" s="17" t="n"/>
      <c r="EY379" s="21" t="n"/>
      <c r="EZ379">
        <f>CONCATENATE(A379,B379)</f>
        <v/>
      </c>
      <c r="FA379">
        <f>CONCATENATE(SamplesX!A379,SamplesX!B379)</f>
        <v/>
      </c>
      <c r="FC379">
        <f>MATCH(EZ379,FA1:FA1008,0)</f>
        <v/>
      </c>
    </row>
    <row r="380">
      <c r="A380" s="16" t="inlineStr">
        <is>
          <t>BP</t>
        </is>
      </c>
      <c r="B380" s="17" t="inlineStr">
        <is>
          <t>25372</t>
        </is>
      </c>
      <c r="C380" s="10">
        <f>IF(ISNUMBER(FC380),INDIRECT("SamplesX!C"&amp;FC380),IF(ISNUMBER(FD380),INDIRECT("SamplesY!C"&amp;FD380),""))</f>
        <v/>
      </c>
      <c r="D380" s="12">
        <f>IF(ISNUMBER(FC380),INDIRECT("SamplesX!D"&amp;FC380),IF(ISNUMBER(FD380),INDIRECT("SamplesY!D"&amp;FD380),""))</f>
        <v/>
      </c>
      <c r="E380" s="12">
        <f>IF(ISNUMBER(FC380),INDIRECT("SamplesX!E"&amp;FC380),IF(ISNUMBER(FD380),INDIRECT("SamplesY!E"&amp;FD380),""))</f>
        <v/>
      </c>
      <c r="F380" s="11">
        <f>IF(ISNUMBER(FC380),INDIRECT("SamplesX!F"&amp;FC380),IF(ISNUMBER(FD380),INDIRECT("SamplesY!F"&amp;FD380),""))</f>
        <v/>
      </c>
      <c r="G380" s="18">
        <f>IF(ISNUMBER(FC380),INDIRECT("SamplesX!G"&amp;FC380),IF(ISNUMBER(FD380),INDIRECT("SamplesY!G"&amp;FD380),""))</f>
        <v/>
      </c>
      <c r="H380" s="19">
        <f>IF(ISNUMBER(FC380),INDIRECT("SamplesX!H"&amp;FC380),IF(ISNUMBER(FD380),INDIRECT("SamplesY!H"&amp;FD380),""))</f>
        <v/>
      </c>
      <c r="I380" s="16" t="n"/>
      <c r="J380" s="16" t="n"/>
      <c r="K380" s="16" t="n"/>
      <c r="L380" s="20" t="n"/>
      <c r="M380" s="20" t="inlineStr">
        <is>
          <t>None</t>
        </is>
      </c>
      <c r="N380" s="17" t="n"/>
      <c r="O380" s="16" t="n"/>
      <c r="P380" s="20" t="inlineStr">
        <is>
          <t>Shimadzu TOC-L</t>
        </is>
      </c>
      <c r="Q380" s="20" t="inlineStr">
        <is>
          <t>None</t>
        </is>
      </c>
      <c r="R380" s="17" t="n"/>
      <c r="S380" s="16" t="n"/>
      <c r="T380" s="20" t="inlineStr">
        <is>
          <t>Shimadzu TOC-L</t>
        </is>
      </c>
      <c r="U380" s="20" t="inlineStr">
        <is>
          <t>None</t>
        </is>
      </c>
      <c r="V380" s="17" t="n"/>
      <c r="W380" s="16" t="n"/>
      <c r="X380" s="20" t="n"/>
      <c r="Y380" s="20" t="inlineStr">
        <is>
          <t>None</t>
        </is>
      </c>
      <c r="Z380" s="17" t="n"/>
      <c r="AA380" s="16" t="n"/>
      <c r="AB380" s="20" t="n"/>
      <c r="AC380" s="20" t="inlineStr">
        <is>
          <t>None</t>
        </is>
      </c>
      <c r="AD380" s="17" t="n"/>
      <c r="AE380" s="16" t="n"/>
      <c r="AF380" s="20" t="inlineStr">
        <is>
          <t>IC Anionen</t>
        </is>
      </c>
      <c r="AG380" s="20" t="inlineStr">
        <is>
          <t>None</t>
        </is>
      </c>
      <c r="AH380" s="17" t="n"/>
      <c r="AI380" s="16" t="n"/>
      <c r="AJ380" s="20" t="n"/>
      <c r="AK380" s="20" t="inlineStr">
        <is>
          <t>None</t>
        </is>
      </c>
      <c r="AL380" s="17" t="n"/>
      <c r="AM380" s="16" t="n"/>
      <c r="AN380" s="20" t="inlineStr">
        <is>
          <t>IC Anionen</t>
        </is>
      </c>
      <c r="AO380" s="20" t="inlineStr">
        <is>
          <t>None</t>
        </is>
      </c>
      <c r="AP380" s="17" t="n"/>
      <c r="AQ380" s="16" t="n"/>
      <c r="AR380" s="20" t="n"/>
      <c r="AS380" s="20" t="inlineStr">
        <is>
          <t>None</t>
        </is>
      </c>
      <c r="AT380" s="17" t="n"/>
      <c r="AU380" s="16" t="n"/>
      <c r="AV380" s="20" t="n"/>
      <c r="AW380" s="20" t="inlineStr">
        <is>
          <t>None</t>
        </is>
      </c>
      <c r="AX380" s="17" t="n"/>
      <c r="AY380" s="16" t="n"/>
      <c r="AZ380" s="20" t="inlineStr">
        <is>
          <t>IC Anionen</t>
        </is>
      </c>
      <c r="BA380" s="20" t="inlineStr">
        <is>
          <t>None</t>
        </is>
      </c>
      <c r="BB380" s="17" t="n"/>
      <c r="BC380" s="16" t="n"/>
      <c r="BD380" s="20" t="inlineStr">
        <is>
          <t>IC Kationen</t>
        </is>
      </c>
      <c r="BE380" s="20" t="inlineStr">
        <is>
          <t>None</t>
        </is>
      </c>
      <c r="BF380" s="17" t="n"/>
      <c r="BG380" s="16" t="n"/>
      <c r="BH380" s="20" t="inlineStr">
        <is>
          <t>IC Kationen</t>
        </is>
      </c>
      <c r="BI380" s="20" t="inlineStr">
        <is>
          <t>None</t>
        </is>
      </c>
      <c r="BJ380" s="17" t="n"/>
      <c r="BK380" s="16" t="n"/>
      <c r="BL380" s="20" t="inlineStr">
        <is>
          <t>IC Kationen</t>
        </is>
      </c>
      <c r="BM380" s="20" t="inlineStr">
        <is>
          <t>None</t>
        </is>
      </c>
      <c r="BN380" s="17" t="n"/>
      <c r="BO380" s="16" t="n"/>
      <c r="BP380" s="20" t="inlineStr">
        <is>
          <t>IC Kationen</t>
        </is>
      </c>
      <c r="BQ380" s="20" t="inlineStr">
        <is>
          <t>None</t>
        </is>
      </c>
      <c r="BR380" s="17" t="n"/>
      <c r="BS380" s="16" t="n"/>
      <c r="BT380" s="20" t="inlineStr">
        <is>
          <t>IC Kationen</t>
        </is>
      </c>
      <c r="BU380" s="20" t="inlineStr">
        <is>
          <t>None</t>
        </is>
      </c>
      <c r="BV380" s="17" t="n"/>
      <c r="BW380" s="16" t="n"/>
      <c r="BX380" s="20" t="n"/>
      <c r="BY380" s="20" t="inlineStr">
        <is>
          <t>None</t>
        </is>
      </c>
      <c r="BZ380" s="17" t="n"/>
      <c r="CA380" s="16" t="n"/>
      <c r="CB380" s="20" t="n"/>
      <c r="CC380" s="20" t="inlineStr">
        <is>
          <t>None</t>
        </is>
      </c>
      <c r="CD380" s="17" t="n"/>
      <c r="CE380" s="16" t="n"/>
      <c r="CF380" s="20" t="n"/>
      <c r="CG380" s="20" t="inlineStr">
        <is>
          <t>None</t>
        </is>
      </c>
      <c r="CH380" s="17" t="n"/>
      <c r="CI380" s="16" t="n"/>
      <c r="CJ380" s="20" t="n"/>
      <c r="CK380" s="20" t="inlineStr">
        <is>
          <t>None</t>
        </is>
      </c>
      <c r="CL380" s="17" t="n"/>
      <c r="CM380" s="16" t="n"/>
      <c r="CN380" s="20" t="inlineStr">
        <is>
          <t>SOP 45-34</t>
        </is>
      </c>
      <c r="CO380" s="20" t="inlineStr">
        <is>
          <t>None</t>
        </is>
      </c>
      <c r="CP380" s="17" t="n"/>
      <c r="CQ380" s="16" t="n"/>
      <c r="CR380" s="20" t="n"/>
      <c r="CS380" s="20" t="inlineStr">
        <is>
          <t>None</t>
        </is>
      </c>
      <c r="CT380" s="17" t="n"/>
      <c r="CU380" s="16" t="n"/>
      <c r="CV380" s="20" t="n"/>
      <c r="CW380" s="20" t="inlineStr">
        <is>
          <t>None</t>
        </is>
      </c>
      <c r="CX380" s="17" t="n"/>
      <c r="CY380" s="16" t="n"/>
      <c r="CZ380" s="20" t="inlineStr">
        <is>
          <t>WTW Multimeter 3430 with FDO 925</t>
        </is>
      </c>
      <c r="DA380" s="20" t="inlineStr">
        <is>
          <t>None</t>
        </is>
      </c>
      <c r="DB380" s="17" t="n"/>
      <c r="DC380" s="16" t="n"/>
      <c r="DD380" s="20" t="n"/>
      <c r="DE380" s="20" t="inlineStr">
        <is>
          <t>None</t>
        </is>
      </c>
      <c r="DF380" s="17" t="n"/>
      <c r="DG380" s="16" t="n"/>
      <c r="DH380" s="20" t="inlineStr">
        <is>
          <t>SOP 45-09</t>
        </is>
      </c>
      <c r="DI380" s="20" t="inlineStr">
        <is>
          <t>None</t>
        </is>
      </c>
      <c r="DJ380" s="17" t="n"/>
      <c r="DK380" s="16" t="n"/>
      <c r="DL380" s="20" t="inlineStr">
        <is>
          <t>SOP 45-09 (SOP muss noch angepasst werden für VSS)</t>
        </is>
      </c>
      <c r="DM380" s="20" t="inlineStr">
        <is>
          <t>None</t>
        </is>
      </c>
      <c r="DN380" s="17" t="n"/>
      <c r="DO380" s="16" t="n"/>
      <c r="DP380" s="20" t="inlineStr">
        <is>
          <t>IC Organic Acids</t>
        </is>
      </c>
      <c r="DQ380" s="20" t="inlineStr">
        <is>
          <t>None</t>
        </is>
      </c>
      <c r="DR380" s="17" t="n"/>
      <c r="DS380" s="16" t="n"/>
      <c r="DT380" s="20" t="inlineStr">
        <is>
          <t>IC Organic Acids</t>
        </is>
      </c>
      <c r="DU380" s="20" t="inlineStr">
        <is>
          <t>None</t>
        </is>
      </c>
      <c r="DV380" s="17" t="n"/>
      <c r="DW380" s="16" t="n"/>
      <c r="DX380" s="20" t="inlineStr">
        <is>
          <t>IC Organic Acids</t>
        </is>
      </c>
      <c r="DY380" s="20" t="inlineStr">
        <is>
          <t>None</t>
        </is>
      </c>
      <c r="DZ380" s="17" t="n"/>
      <c r="EA380" s="16" t="n"/>
      <c r="EB380" s="20" t="inlineStr">
        <is>
          <t>IC Organic Acids</t>
        </is>
      </c>
      <c r="EC380" s="20" t="inlineStr">
        <is>
          <t>None</t>
        </is>
      </c>
      <c r="ED380" s="17" t="n"/>
      <c r="EE380" s="16" t="n"/>
      <c r="EF380" s="20" t="inlineStr">
        <is>
          <t>IC Organic Acids</t>
        </is>
      </c>
      <c r="EG380" s="20" t="inlineStr">
        <is>
          <t>None</t>
        </is>
      </c>
      <c r="EH380" s="17" t="n"/>
      <c r="EI380" s="16" t="n"/>
      <c r="EJ380" s="20" t="inlineStr">
        <is>
          <t>IC Organic Acids</t>
        </is>
      </c>
      <c r="EK380" s="20" t="inlineStr">
        <is>
          <t>None</t>
        </is>
      </c>
      <c r="EL380" s="17" t="n"/>
      <c r="EM380" s="16" t="n"/>
      <c r="EN380" s="20" t="inlineStr">
        <is>
          <t>IC Organic Acids</t>
        </is>
      </c>
      <c r="EO380" s="20" t="inlineStr">
        <is>
          <t>None</t>
        </is>
      </c>
      <c r="EP380" s="17" t="n"/>
      <c r="EQ380" s="16" t="n"/>
      <c r="ER380" s="20" t="inlineStr">
        <is>
          <t>IC Organic Acids</t>
        </is>
      </c>
      <c r="ES380" s="20" t="inlineStr">
        <is>
          <t>None</t>
        </is>
      </c>
      <c r="ET380" s="17" t="n"/>
      <c r="EU380" s="16" t="n"/>
      <c r="EV380" s="20" t="inlineStr">
        <is>
          <t>LC-MS</t>
        </is>
      </c>
      <c r="EW380" s="20" t="inlineStr">
        <is>
          <t>None</t>
        </is>
      </c>
      <c r="EX380" s="17" t="n"/>
      <c r="EY380" s="21" t="n"/>
      <c r="EZ380">
        <f>CONCATENATE(A380,B380)</f>
        <v/>
      </c>
      <c r="FA380">
        <f>CONCATENATE(SamplesX!A380,SamplesX!B380)</f>
        <v/>
      </c>
      <c r="FC380">
        <f>MATCH(EZ380,FA1:FA1008,0)</f>
        <v/>
      </c>
    </row>
    <row r="381">
      <c r="A381" s="16" t="inlineStr">
        <is>
          <t>BP</t>
        </is>
      </c>
      <c r="B381" s="17" t="inlineStr">
        <is>
          <t>25373</t>
        </is>
      </c>
      <c r="C381" s="10">
        <f>IF(ISNUMBER(FC381),INDIRECT("SamplesX!C"&amp;FC381),IF(ISNUMBER(FD381),INDIRECT("SamplesY!C"&amp;FD381),""))</f>
        <v/>
      </c>
      <c r="D381" s="12">
        <f>IF(ISNUMBER(FC381),INDIRECT("SamplesX!D"&amp;FC381),IF(ISNUMBER(FD381),INDIRECT("SamplesY!D"&amp;FD381),""))</f>
        <v/>
      </c>
      <c r="E381" s="12">
        <f>IF(ISNUMBER(FC381),INDIRECT("SamplesX!E"&amp;FC381),IF(ISNUMBER(FD381),INDIRECT("SamplesY!E"&amp;FD381),""))</f>
        <v/>
      </c>
      <c r="F381" s="11">
        <f>IF(ISNUMBER(FC381),INDIRECT("SamplesX!F"&amp;FC381),IF(ISNUMBER(FD381),INDIRECT("SamplesY!F"&amp;FD381),""))</f>
        <v/>
      </c>
      <c r="G381" s="18">
        <f>IF(ISNUMBER(FC381),INDIRECT("SamplesX!G"&amp;FC381),IF(ISNUMBER(FD381),INDIRECT("SamplesY!G"&amp;FD381),""))</f>
        <v/>
      </c>
      <c r="H381" s="19">
        <f>IF(ISNUMBER(FC381),INDIRECT("SamplesX!H"&amp;FC381),IF(ISNUMBER(FD381),INDIRECT("SamplesY!H"&amp;FD381),""))</f>
        <v/>
      </c>
      <c r="I381" s="16" t="n"/>
      <c r="J381" s="16" t="n"/>
      <c r="K381" s="16" t="n"/>
      <c r="L381" s="20" t="n"/>
      <c r="M381" s="20" t="inlineStr">
        <is>
          <t>None</t>
        </is>
      </c>
      <c r="N381" s="17" t="n"/>
      <c r="O381" s="16" t="n"/>
      <c r="P381" s="20" t="inlineStr">
        <is>
          <t>Shimadzu TOC-L</t>
        </is>
      </c>
      <c r="Q381" s="20" t="inlineStr">
        <is>
          <t>None</t>
        </is>
      </c>
      <c r="R381" s="17" t="n"/>
      <c r="S381" s="16" t="n"/>
      <c r="T381" s="20" t="inlineStr">
        <is>
          <t>Shimadzu TOC-L</t>
        </is>
      </c>
      <c r="U381" s="20" t="inlineStr">
        <is>
          <t>None</t>
        </is>
      </c>
      <c r="V381" s="17" t="n"/>
      <c r="W381" s="16" t="n"/>
      <c r="X381" s="20" t="n"/>
      <c r="Y381" s="20" t="inlineStr">
        <is>
          <t>None</t>
        </is>
      </c>
      <c r="Z381" s="17" t="n"/>
      <c r="AA381" s="16" t="n"/>
      <c r="AB381" s="20" t="n"/>
      <c r="AC381" s="20" t="inlineStr">
        <is>
          <t>None</t>
        </is>
      </c>
      <c r="AD381" s="17" t="n"/>
      <c r="AE381" s="16" t="n"/>
      <c r="AF381" s="20" t="inlineStr">
        <is>
          <t>IC Anionen</t>
        </is>
      </c>
      <c r="AG381" s="20" t="inlineStr">
        <is>
          <t>None</t>
        </is>
      </c>
      <c r="AH381" s="17" t="n"/>
      <c r="AI381" s="16" t="n"/>
      <c r="AJ381" s="20" t="n"/>
      <c r="AK381" s="20" t="inlineStr">
        <is>
          <t>None</t>
        </is>
      </c>
      <c r="AL381" s="17" t="n"/>
      <c r="AM381" s="16" t="n"/>
      <c r="AN381" s="20" t="inlineStr">
        <is>
          <t>IC Anionen</t>
        </is>
      </c>
      <c r="AO381" s="20" t="inlineStr">
        <is>
          <t>None</t>
        </is>
      </c>
      <c r="AP381" s="17" t="n"/>
      <c r="AQ381" s="16" t="n"/>
      <c r="AR381" s="20" t="n"/>
      <c r="AS381" s="20" t="inlineStr">
        <is>
          <t>None</t>
        </is>
      </c>
      <c r="AT381" s="17" t="n"/>
      <c r="AU381" s="16" t="n"/>
      <c r="AV381" s="20" t="n"/>
      <c r="AW381" s="20" t="inlineStr">
        <is>
          <t>None</t>
        </is>
      </c>
      <c r="AX381" s="17" t="n"/>
      <c r="AY381" s="16" t="n"/>
      <c r="AZ381" s="20" t="inlineStr">
        <is>
          <t>IC Anionen</t>
        </is>
      </c>
      <c r="BA381" s="20" t="inlineStr">
        <is>
          <t>None</t>
        </is>
      </c>
      <c r="BB381" s="17" t="n"/>
      <c r="BC381" s="16" t="n"/>
      <c r="BD381" s="20" t="inlineStr">
        <is>
          <t>IC Kationen</t>
        </is>
      </c>
      <c r="BE381" s="20" t="inlineStr">
        <is>
          <t>None</t>
        </is>
      </c>
      <c r="BF381" s="17" t="n"/>
      <c r="BG381" s="16" t="n"/>
      <c r="BH381" s="20" t="inlineStr">
        <is>
          <t>IC Kationen</t>
        </is>
      </c>
      <c r="BI381" s="20" t="inlineStr">
        <is>
          <t>None</t>
        </is>
      </c>
      <c r="BJ381" s="17" t="n"/>
      <c r="BK381" s="16" t="n"/>
      <c r="BL381" s="20" t="inlineStr">
        <is>
          <t>IC Kationen</t>
        </is>
      </c>
      <c r="BM381" s="20" t="inlineStr">
        <is>
          <t>None</t>
        </is>
      </c>
      <c r="BN381" s="17" t="n"/>
      <c r="BO381" s="16" t="n"/>
      <c r="BP381" s="20" t="inlineStr">
        <is>
          <t>IC Kationen</t>
        </is>
      </c>
      <c r="BQ381" s="20" t="inlineStr">
        <is>
          <t>None</t>
        </is>
      </c>
      <c r="BR381" s="17" t="n"/>
      <c r="BS381" s="16" t="n"/>
      <c r="BT381" s="20" t="inlineStr">
        <is>
          <t>IC Kationen</t>
        </is>
      </c>
      <c r="BU381" s="20" t="inlineStr">
        <is>
          <t>None</t>
        </is>
      </c>
      <c r="BV381" s="17" t="n"/>
      <c r="BW381" s="16" t="n"/>
      <c r="BX381" s="20" t="n"/>
      <c r="BY381" s="20" t="inlineStr">
        <is>
          <t>None</t>
        </is>
      </c>
      <c r="BZ381" s="17" t="n"/>
      <c r="CA381" s="16" t="n"/>
      <c r="CB381" s="20" t="n"/>
      <c r="CC381" s="20" t="inlineStr">
        <is>
          <t>None</t>
        </is>
      </c>
      <c r="CD381" s="17" t="n"/>
      <c r="CE381" s="16" t="n"/>
      <c r="CF381" s="20" t="n"/>
      <c r="CG381" s="20" t="inlineStr">
        <is>
          <t>None</t>
        </is>
      </c>
      <c r="CH381" s="17" t="n"/>
      <c r="CI381" s="16" t="n"/>
      <c r="CJ381" s="20" t="n"/>
      <c r="CK381" s="20" t="inlineStr">
        <is>
          <t>None</t>
        </is>
      </c>
      <c r="CL381" s="17" t="n"/>
      <c r="CM381" s="16" t="n"/>
      <c r="CN381" s="20" t="inlineStr">
        <is>
          <t>SOP 45-34</t>
        </is>
      </c>
      <c r="CO381" s="20" t="inlineStr">
        <is>
          <t>None</t>
        </is>
      </c>
      <c r="CP381" s="17" t="n"/>
      <c r="CQ381" s="16" t="n"/>
      <c r="CR381" s="20" t="n"/>
      <c r="CS381" s="20" t="inlineStr">
        <is>
          <t>None</t>
        </is>
      </c>
      <c r="CT381" s="17" t="n"/>
      <c r="CU381" s="16" t="n"/>
      <c r="CV381" s="20" t="n"/>
      <c r="CW381" s="20" t="inlineStr">
        <is>
          <t>None</t>
        </is>
      </c>
      <c r="CX381" s="17" t="n"/>
      <c r="CY381" s="16" t="n"/>
      <c r="CZ381" s="20" t="inlineStr">
        <is>
          <t>WTW Multimeter 3430 with FDO 925</t>
        </is>
      </c>
      <c r="DA381" s="20" t="inlineStr">
        <is>
          <t>None</t>
        </is>
      </c>
      <c r="DB381" s="17" t="n"/>
      <c r="DC381" s="16" t="n"/>
      <c r="DD381" s="20" t="n"/>
      <c r="DE381" s="20" t="inlineStr">
        <is>
          <t>None</t>
        </is>
      </c>
      <c r="DF381" s="17" t="n"/>
      <c r="DG381" s="16" t="n"/>
      <c r="DH381" s="20" t="inlineStr">
        <is>
          <t>SOP 45-09</t>
        </is>
      </c>
      <c r="DI381" s="20" t="inlineStr">
        <is>
          <t>None</t>
        </is>
      </c>
      <c r="DJ381" s="17" t="n"/>
      <c r="DK381" s="16" t="n"/>
      <c r="DL381" s="20" t="inlineStr">
        <is>
          <t>SOP 45-09 (SOP muss noch angepasst werden für VSS)</t>
        </is>
      </c>
      <c r="DM381" s="20" t="inlineStr">
        <is>
          <t>None</t>
        </is>
      </c>
      <c r="DN381" s="17" t="n"/>
      <c r="DO381" s="16" t="n"/>
      <c r="DP381" s="20" t="inlineStr">
        <is>
          <t>IC Organic Acids</t>
        </is>
      </c>
      <c r="DQ381" s="20" t="inlineStr">
        <is>
          <t>None</t>
        </is>
      </c>
      <c r="DR381" s="17" t="n"/>
      <c r="DS381" s="16" t="n"/>
      <c r="DT381" s="20" t="inlineStr">
        <is>
          <t>IC Organic Acids</t>
        </is>
      </c>
      <c r="DU381" s="20" t="inlineStr">
        <is>
          <t>None</t>
        </is>
      </c>
      <c r="DV381" s="17" t="n"/>
      <c r="DW381" s="16" t="n"/>
      <c r="DX381" s="20" t="inlineStr">
        <is>
          <t>IC Organic Acids</t>
        </is>
      </c>
      <c r="DY381" s="20" t="inlineStr">
        <is>
          <t>None</t>
        </is>
      </c>
      <c r="DZ381" s="17" t="n"/>
      <c r="EA381" s="16" t="n"/>
      <c r="EB381" s="20" t="inlineStr">
        <is>
          <t>IC Organic Acids</t>
        </is>
      </c>
      <c r="EC381" s="20" t="inlineStr">
        <is>
          <t>None</t>
        </is>
      </c>
      <c r="ED381" s="17" t="n"/>
      <c r="EE381" s="16" t="n"/>
      <c r="EF381" s="20" t="inlineStr">
        <is>
          <t>IC Organic Acids</t>
        </is>
      </c>
      <c r="EG381" s="20" t="inlineStr">
        <is>
          <t>None</t>
        </is>
      </c>
      <c r="EH381" s="17" t="n"/>
      <c r="EI381" s="16" t="n"/>
      <c r="EJ381" s="20" t="inlineStr">
        <is>
          <t>IC Organic Acids</t>
        </is>
      </c>
      <c r="EK381" s="20" t="inlineStr">
        <is>
          <t>None</t>
        </is>
      </c>
      <c r="EL381" s="17" t="n"/>
      <c r="EM381" s="16" t="n"/>
      <c r="EN381" s="20" t="inlineStr">
        <is>
          <t>IC Organic Acids</t>
        </is>
      </c>
      <c r="EO381" s="20" t="inlineStr">
        <is>
          <t>None</t>
        </is>
      </c>
      <c r="EP381" s="17" t="n"/>
      <c r="EQ381" s="16" t="n"/>
      <c r="ER381" s="20" t="inlineStr">
        <is>
          <t>IC Organic Acids</t>
        </is>
      </c>
      <c r="ES381" s="20" t="inlineStr">
        <is>
          <t>None</t>
        </is>
      </c>
      <c r="ET381" s="17" t="n"/>
      <c r="EU381" s="16" t="n"/>
      <c r="EV381" s="20" t="inlineStr">
        <is>
          <t>LC-MS</t>
        </is>
      </c>
      <c r="EW381" s="20" t="inlineStr">
        <is>
          <t>None</t>
        </is>
      </c>
      <c r="EX381" s="17" t="n"/>
      <c r="EY381" s="21" t="n"/>
      <c r="EZ381">
        <f>CONCATENATE(A381,B381)</f>
        <v/>
      </c>
      <c r="FA381">
        <f>CONCATENATE(SamplesX!A381,SamplesX!B381)</f>
        <v/>
      </c>
      <c r="FC381">
        <f>MATCH(EZ381,FA1:FA1008,0)</f>
        <v/>
      </c>
    </row>
    <row r="382">
      <c r="A382" s="16" t="inlineStr">
        <is>
          <t>BP</t>
        </is>
      </c>
      <c r="B382" s="17" t="inlineStr">
        <is>
          <t>25374</t>
        </is>
      </c>
      <c r="C382" s="10">
        <f>IF(ISNUMBER(FC382),INDIRECT("SamplesX!C"&amp;FC382),IF(ISNUMBER(FD382),INDIRECT("SamplesY!C"&amp;FD382),""))</f>
        <v/>
      </c>
      <c r="D382" s="12">
        <f>IF(ISNUMBER(FC382),INDIRECT("SamplesX!D"&amp;FC382),IF(ISNUMBER(FD382),INDIRECT("SamplesY!D"&amp;FD382),""))</f>
        <v/>
      </c>
      <c r="E382" s="12">
        <f>IF(ISNUMBER(FC382),INDIRECT("SamplesX!E"&amp;FC382),IF(ISNUMBER(FD382),INDIRECT("SamplesY!E"&amp;FD382),""))</f>
        <v/>
      </c>
      <c r="F382" s="11">
        <f>IF(ISNUMBER(FC382),INDIRECT("SamplesX!F"&amp;FC382),IF(ISNUMBER(FD382),INDIRECT("SamplesY!F"&amp;FD382),""))</f>
        <v/>
      </c>
      <c r="G382" s="18">
        <f>IF(ISNUMBER(FC382),INDIRECT("SamplesX!G"&amp;FC382),IF(ISNUMBER(FD382),INDIRECT("SamplesY!G"&amp;FD382),""))</f>
        <v/>
      </c>
      <c r="H382" s="19">
        <f>IF(ISNUMBER(FC382),INDIRECT("SamplesX!H"&amp;FC382),IF(ISNUMBER(FD382),INDIRECT("SamplesY!H"&amp;FD382),""))</f>
        <v/>
      </c>
      <c r="I382" s="16" t="n"/>
      <c r="J382" s="16" t="n"/>
      <c r="K382" s="16" t="n"/>
      <c r="L382" s="20" t="n"/>
      <c r="M382" s="20" t="inlineStr">
        <is>
          <t>None</t>
        </is>
      </c>
      <c r="N382" s="17" t="n"/>
      <c r="O382" s="16" t="n"/>
      <c r="P382" s="20" t="inlineStr">
        <is>
          <t>Shimadzu TOC-L</t>
        </is>
      </c>
      <c r="Q382" s="20" t="inlineStr">
        <is>
          <t>None</t>
        </is>
      </c>
      <c r="R382" s="17" t="n"/>
      <c r="S382" s="16" t="n"/>
      <c r="T382" s="20" t="inlineStr">
        <is>
          <t>Shimadzu TOC-L</t>
        </is>
      </c>
      <c r="U382" s="20" t="inlineStr">
        <is>
          <t>None</t>
        </is>
      </c>
      <c r="V382" s="17" t="n"/>
      <c r="W382" s="16" t="n"/>
      <c r="X382" s="20" t="n"/>
      <c r="Y382" s="20" t="inlineStr">
        <is>
          <t>None</t>
        </is>
      </c>
      <c r="Z382" s="17" t="n"/>
      <c r="AA382" s="16" t="n"/>
      <c r="AB382" s="20" t="n"/>
      <c r="AC382" s="20" t="inlineStr">
        <is>
          <t>None</t>
        </is>
      </c>
      <c r="AD382" s="17" t="n"/>
      <c r="AE382" s="16" t="n"/>
      <c r="AF382" s="20" t="inlineStr">
        <is>
          <t>IC Anionen</t>
        </is>
      </c>
      <c r="AG382" s="20" t="inlineStr">
        <is>
          <t>None</t>
        </is>
      </c>
      <c r="AH382" s="17" t="n"/>
      <c r="AI382" s="16" t="n"/>
      <c r="AJ382" s="20" t="n"/>
      <c r="AK382" s="20" t="inlineStr">
        <is>
          <t>None</t>
        </is>
      </c>
      <c r="AL382" s="17" t="n"/>
      <c r="AM382" s="16" t="n"/>
      <c r="AN382" s="20" t="inlineStr">
        <is>
          <t>IC Anionen</t>
        </is>
      </c>
      <c r="AO382" s="20" t="inlineStr">
        <is>
          <t>None</t>
        </is>
      </c>
      <c r="AP382" s="17" t="n"/>
      <c r="AQ382" s="16" t="n"/>
      <c r="AR382" s="20" t="n"/>
      <c r="AS382" s="20" t="inlineStr">
        <is>
          <t>None</t>
        </is>
      </c>
      <c r="AT382" s="17" t="n"/>
      <c r="AU382" s="16" t="n"/>
      <c r="AV382" s="20" t="n"/>
      <c r="AW382" s="20" t="inlineStr">
        <is>
          <t>None</t>
        </is>
      </c>
      <c r="AX382" s="17" t="n"/>
      <c r="AY382" s="16" t="n"/>
      <c r="AZ382" s="20" t="inlineStr">
        <is>
          <t>IC Anionen</t>
        </is>
      </c>
      <c r="BA382" s="20" t="inlineStr">
        <is>
          <t>None</t>
        </is>
      </c>
      <c r="BB382" s="17" t="n"/>
      <c r="BC382" s="16" t="n"/>
      <c r="BD382" s="20" t="inlineStr">
        <is>
          <t>IC Kationen</t>
        </is>
      </c>
      <c r="BE382" s="20" t="inlineStr">
        <is>
          <t>None</t>
        </is>
      </c>
      <c r="BF382" s="17" t="n"/>
      <c r="BG382" s="16" t="n"/>
      <c r="BH382" s="20" t="inlineStr">
        <is>
          <t>IC Kationen</t>
        </is>
      </c>
      <c r="BI382" s="20" t="inlineStr">
        <is>
          <t>None</t>
        </is>
      </c>
      <c r="BJ382" s="17" t="n"/>
      <c r="BK382" s="16" t="n"/>
      <c r="BL382" s="20" t="inlineStr">
        <is>
          <t>IC Kationen</t>
        </is>
      </c>
      <c r="BM382" s="20" t="inlineStr">
        <is>
          <t>None</t>
        </is>
      </c>
      <c r="BN382" s="17" t="n"/>
      <c r="BO382" s="16" t="n"/>
      <c r="BP382" s="20" t="inlineStr">
        <is>
          <t>IC Kationen</t>
        </is>
      </c>
      <c r="BQ382" s="20" t="inlineStr">
        <is>
          <t>None</t>
        </is>
      </c>
      <c r="BR382" s="17" t="n"/>
      <c r="BS382" s="16" t="n"/>
      <c r="BT382" s="20" t="inlineStr">
        <is>
          <t>IC Kationen</t>
        </is>
      </c>
      <c r="BU382" s="20" t="inlineStr">
        <is>
          <t>None</t>
        </is>
      </c>
      <c r="BV382" s="17" t="n"/>
      <c r="BW382" s="16" t="n"/>
      <c r="BX382" s="20" t="n"/>
      <c r="BY382" s="20" t="inlineStr">
        <is>
          <t>None</t>
        </is>
      </c>
      <c r="BZ382" s="17" t="n"/>
      <c r="CA382" s="16" t="n"/>
      <c r="CB382" s="20" t="n"/>
      <c r="CC382" s="20" t="inlineStr">
        <is>
          <t>None</t>
        </is>
      </c>
      <c r="CD382" s="17" t="n"/>
      <c r="CE382" s="16" t="n"/>
      <c r="CF382" s="20" t="n"/>
      <c r="CG382" s="20" t="inlineStr">
        <is>
          <t>None</t>
        </is>
      </c>
      <c r="CH382" s="17" t="n"/>
      <c r="CI382" s="16" t="n"/>
      <c r="CJ382" s="20" t="n"/>
      <c r="CK382" s="20" t="inlineStr">
        <is>
          <t>None</t>
        </is>
      </c>
      <c r="CL382" s="17" t="n"/>
      <c r="CM382" s="16" t="n"/>
      <c r="CN382" s="20" t="inlineStr">
        <is>
          <t>SOP 45-34</t>
        </is>
      </c>
      <c r="CO382" s="20" t="inlineStr">
        <is>
          <t>None</t>
        </is>
      </c>
      <c r="CP382" s="17" t="n"/>
      <c r="CQ382" s="16" t="n"/>
      <c r="CR382" s="20" t="n"/>
      <c r="CS382" s="20" t="inlineStr">
        <is>
          <t>None</t>
        </is>
      </c>
      <c r="CT382" s="17" t="n"/>
      <c r="CU382" s="16" t="n"/>
      <c r="CV382" s="20" t="n"/>
      <c r="CW382" s="20" t="inlineStr">
        <is>
          <t>None</t>
        </is>
      </c>
      <c r="CX382" s="17" t="n"/>
      <c r="CY382" s="16" t="n"/>
      <c r="CZ382" s="20" t="inlineStr">
        <is>
          <t>WTW Multimeter 3430 with FDO 925</t>
        </is>
      </c>
      <c r="DA382" s="20" t="inlineStr">
        <is>
          <t>None</t>
        </is>
      </c>
      <c r="DB382" s="17" t="n"/>
      <c r="DC382" s="16" t="n"/>
      <c r="DD382" s="20" t="n"/>
      <c r="DE382" s="20" t="inlineStr">
        <is>
          <t>None</t>
        </is>
      </c>
      <c r="DF382" s="17" t="n"/>
      <c r="DG382" s="16" t="n"/>
      <c r="DH382" s="20" t="inlineStr">
        <is>
          <t>SOP 45-09</t>
        </is>
      </c>
      <c r="DI382" s="20" t="inlineStr">
        <is>
          <t>None</t>
        </is>
      </c>
      <c r="DJ382" s="17" t="n"/>
      <c r="DK382" s="16" t="n"/>
      <c r="DL382" s="20" t="inlineStr">
        <is>
          <t>SOP 45-09 (SOP muss noch angepasst werden für VSS)</t>
        </is>
      </c>
      <c r="DM382" s="20" t="inlineStr">
        <is>
          <t>None</t>
        </is>
      </c>
      <c r="DN382" s="17" t="n"/>
      <c r="DO382" s="16" t="n"/>
      <c r="DP382" s="20" t="inlineStr">
        <is>
          <t>IC Organic Acids</t>
        </is>
      </c>
      <c r="DQ382" s="20" t="inlineStr">
        <is>
          <t>None</t>
        </is>
      </c>
      <c r="DR382" s="17" t="n"/>
      <c r="DS382" s="16" t="n"/>
      <c r="DT382" s="20" t="inlineStr">
        <is>
          <t>IC Organic Acids</t>
        </is>
      </c>
      <c r="DU382" s="20" t="inlineStr">
        <is>
          <t>None</t>
        </is>
      </c>
      <c r="DV382" s="17" t="n"/>
      <c r="DW382" s="16" t="n"/>
      <c r="DX382" s="20" t="inlineStr">
        <is>
          <t>IC Organic Acids</t>
        </is>
      </c>
      <c r="DY382" s="20" t="inlineStr">
        <is>
          <t>None</t>
        </is>
      </c>
      <c r="DZ382" s="17" t="n"/>
      <c r="EA382" s="16" t="n"/>
      <c r="EB382" s="20" t="inlineStr">
        <is>
          <t>IC Organic Acids</t>
        </is>
      </c>
      <c r="EC382" s="20" t="inlineStr">
        <is>
          <t>None</t>
        </is>
      </c>
      <c r="ED382" s="17" t="n"/>
      <c r="EE382" s="16" t="n"/>
      <c r="EF382" s="20" t="inlineStr">
        <is>
          <t>IC Organic Acids</t>
        </is>
      </c>
      <c r="EG382" s="20" t="inlineStr">
        <is>
          <t>None</t>
        </is>
      </c>
      <c r="EH382" s="17" t="n"/>
      <c r="EI382" s="16" t="n"/>
      <c r="EJ382" s="20" t="inlineStr">
        <is>
          <t>IC Organic Acids</t>
        </is>
      </c>
      <c r="EK382" s="20" t="inlineStr">
        <is>
          <t>None</t>
        </is>
      </c>
      <c r="EL382" s="17" t="n"/>
      <c r="EM382" s="16" t="n"/>
      <c r="EN382" s="20" t="inlineStr">
        <is>
          <t>IC Organic Acids</t>
        </is>
      </c>
      <c r="EO382" s="20" t="inlineStr">
        <is>
          <t>None</t>
        </is>
      </c>
      <c r="EP382" s="17" t="n"/>
      <c r="EQ382" s="16" t="n"/>
      <c r="ER382" s="20" t="inlineStr">
        <is>
          <t>IC Organic Acids</t>
        </is>
      </c>
      <c r="ES382" s="20" t="inlineStr">
        <is>
          <t>None</t>
        </is>
      </c>
      <c r="ET382" s="17" t="n"/>
      <c r="EU382" s="16" t="n"/>
      <c r="EV382" s="20" t="inlineStr">
        <is>
          <t>LC-MS</t>
        </is>
      </c>
      <c r="EW382" s="20" t="inlineStr">
        <is>
          <t>None</t>
        </is>
      </c>
      <c r="EX382" s="17" t="n"/>
      <c r="EY382" s="21" t="n"/>
      <c r="EZ382">
        <f>CONCATENATE(A382,B382)</f>
        <v/>
      </c>
      <c r="FA382">
        <f>CONCATENATE(SamplesX!A382,SamplesX!B382)</f>
        <v/>
      </c>
      <c r="FC382">
        <f>MATCH(EZ382,FA1:FA1008,0)</f>
        <v/>
      </c>
    </row>
    <row r="383">
      <c r="A383" s="16" t="inlineStr">
        <is>
          <t>BP</t>
        </is>
      </c>
      <c r="B383" s="17" t="inlineStr">
        <is>
          <t>25375</t>
        </is>
      </c>
      <c r="C383" s="10">
        <f>IF(ISNUMBER(FC383),INDIRECT("SamplesX!C"&amp;FC383),IF(ISNUMBER(FD383),INDIRECT("SamplesY!C"&amp;FD383),""))</f>
        <v/>
      </c>
      <c r="D383" s="12">
        <f>IF(ISNUMBER(FC383),INDIRECT("SamplesX!D"&amp;FC383),IF(ISNUMBER(FD383),INDIRECT("SamplesY!D"&amp;FD383),""))</f>
        <v/>
      </c>
      <c r="E383" s="12">
        <f>IF(ISNUMBER(FC383),INDIRECT("SamplesX!E"&amp;FC383),IF(ISNUMBER(FD383),INDIRECT("SamplesY!E"&amp;FD383),""))</f>
        <v/>
      </c>
      <c r="F383" s="11">
        <f>IF(ISNUMBER(FC383),INDIRECT("SamplesX!F"&amp;FC383),IF(ISNUMBER(FD383),INDIRECT("SamplesY!F"&amp;FD383),""))</f>
        <v/>
      </c>
      <c r="G383" s="18">
        <f>IF(ISNUMBER(FC383),INDIRECT("SamplesX!G"&amp;FC383),IF(ISNUMBER(FD383),INDIRECT("SamplesY!G"&amp;FD383),""))</f>
        <v/>
      </c>
      <c r="H383" s="19">
        <f>IF(ISNUMBER(FC383),INDIRECT("SamplesX!H"&amp;FC383),IF(ISNUMBER(FD383),INDIRECT("SamplesY!H"&amp;FD383),""))</f>
        <v/>
      </c>
      <c r="I383" s="16" t="n"/>
      <c r="J383" s="16" t="n"/>
      <c r="K383" s="16" t="n"/>
      <c r="L383" s="20" t="n"/>
      <c r="M383" s="20" t="inlineStr">
        <is>
          <t>None</t>
        </is>
      </c>
      <c r="N383" s="17" t="n"/>
      <c r="O383" s="16" t="n"/>
      <c r="P383" s="20" t="inlineStr">
        <is>
          <t>Shimadzu TOC-L</t>
        </is>
      </c>
      <c r="Q383" s="20" t="inlineStr">
        <is>
          <t>None</t>
        </is>
      </c>
      <c r="R383" s="17" t="n"/>
      <c r="S383" s="16" t="n"/>
      <c r="T383" s="20" t="inlineStr">
        <is>
          <t>Shimadzu TOC-L</t>
        </is>
      </c>
      <c r="U383" s="20" t="inlineStr">
        <is>
          <t>None</t>
        </is>
      </c>
      <c r="V383" s="17" t="n"/>
      <c r="W383" s="16" t="n"/>
      <c r="X383" s="20" t="n"/>
      <c r="Y383" s="20" t="inlineStr">
        <is>
          <t>None</t>
        </is>
      </c>
      <c r="Z383" s="17" t="n"/>
      <c r="AA383" s="16" t="n"/>
      <c r="AB383" s="20" t="n"/>
      <c r="AC383" s="20" t="inlineStr">
        <is>
          <t>None</t>
        </is>
      </c>
      <c r="AD383" s="17" t="n"/>
      <c r="AE383" s="16" t="n"/>
      <c r="AF383" s="20" t="inlineStr">
        <is>
          <t>IC Anionen</t>
        </is>
      </c>
      <c r="AG383" s="20" t="inlineStr">
        <is>
          <t>None</t>
        </is>
      </c>
      <c r="AH383" s="17" t="n"/>
      <c r="AI383" s="16" t="n"/>
      <c r="AJ383" s="20" t="n"/>
      <c r="AK383" s="20" t="inlineStr">
        <is>
          <t>None</t>
        </is>
      </c>
      <c r="AL383" s="17" t="n"/>
      <c r="AM383" s="16" t="n"/>
      <c r="AN383" s="20" t="inlineStr">
        <is>
          <t>IC Anionen</t>
        </is>
      </c>
      <c r="AO383" s="20" t="inlineStr">
        <is>
          <t>None</t>
        </is>
      </c>
      <c r="AP383" s="17" t="n"/>
      <c r="AQ383" s="16" t="n"/>
      <c r="AR383" s="20" t="n"/>
      <c r="AS383" s="20" t="inlineStr">
        <is>
          <t>None</t>
        </is>
      </c>
      <c r="AT383" s="17" t="n"/>
      <c r="AU383" s="16" t="n"/>
      <c r="AV383" s="20" t="n"/>
      <c r="AW383" s="20" t="inlineStr">
        <is>
          <t>None</t>
        </is>
      </c>
      <c r="AX383" s="17" t="n"/>
      <c r="AY383" s="16" t="n"/>
      <c r="AZ383" s="20" t="inlineStr">
        <is>
          <t>IC Anionen</t>
        </is>
      </c>
      <c r="BA383" s="20" t="inlineStr">
        <is>
          <t>None</t>
        </is>
      </c>
      <c r="BB383" s="17" t="n"/>
      <c r="BC383" s="16" t="n"/>
      <c r="BD383" s="20" t="inlineStr">
        <is>
          <t>IC Kationen</t>
        </is>
      </c>
      <c r="BE383" s="20" t="inlineStr">
        <is>
          <t>None</t>
        </is>
      </c>
      <c r="BF383" s="17" t="n"/>
      <c r="BG383" s="16" t="n"/>
      <c r="BH383" s="20" t="inlineStr">
        <is>
          <t>IC Kationen</t>
        </is>
      </c>
      <c r="BI383" s="20" t="inlineStr">
        <is>
          <t>None</t>
        </is>
      </c>
      <c r="BJ383" s="17" t="n"/>
      <c r="BK383" s="16" t="n"/>
      <c r="BL383" s="20" t="inlineStr">
        <is>
          <t>IC Kationen</t>
        </is>
      </c>
      <c r="BM383" s="20" t="inlineStr">
        <is>
          <t>None</t>
        </is>
      </c>
      <c r="BN383" s="17" t="n"/>
      <c r="BO383" s="16" t="n"/>
      <c r="BP383" s="20" t="inlineStr">
        <is>
          <t>IC Kationen</t>
        </is>
      </c>
      <c r="BQ383" s="20" t="inlineStr">
        <is>
          <t>None</t>
        </is>
      </c>
      <c r="BR383" s="17" t="n"/>
      <c r="BS383" s="16" t="n"/>
      <c r="BT383" s="20" t="inlineStr">
        <is>
          <t>IC Kationen</t>
        </is>
      </c>
      <c r="BU383" s="20" t="inlineStr">
        <is>
          <t>None</t>
        </is>
      </c>
      <c r="BV383" s="17" t="n"/>
      <c r="BW383" s="16" t="n"/>
      <c r="BX383" s="20" t="n"/>
      <c r="BY383" s="20" t="inlineStr">
        <is>
          <t>None</t>
        </is>
      </c>
      <c r="BZ383" s="17" t="n"/>
      <c r="CA383" s="16" t="n"/>
      <c r="CB383" s="20" t="n"/>
      <c r="CC383" s="20" t="inlineStr">
        <is>
          <t>None</t>
        </is>
      </c>
      <c r="CD383" s="17" t="n"/>
      <c r="CE383" s="16" t="n"/>
      <c r="CF383" s="20" t="n"/>
      <c r="CG383" s="20" t="inlineStr">
        <is>
          <t>None</t>
        </is>
      </c>
      <c r="CH383" s="17" t="n"/>
      <c r="CI383" s="16" t="n"/>
      <c r="CJ383" s="20" t="n"/>
      <c r="CK383" s="20" t="inlineStr">
        <is>
          <t>None</t>
        </is>
      </c>
      <c r="CL383" s="17" t="n"/>
      <c r="CM383" s="16" t="n"/>
      <c r="CN383" s="20" t="inlineStr">
        <is>
          <t>SOP 45-34</t>
        </is>
      </c>
      <c r="CO383" s="20" t="inlineStr">
        <is>
          <t>None</t>
        </is>
      </c>
      <c r="CP383" s="17" t="n"/>
      <c r="CQ383" s="16" t="n"/>
      <c r="CR383" s="20" t="n"/>
      <c r="CS383" s="20" t="inlineStr">
        <is>
          <t>None</t>
        </is>
      </c>
      <c r="CT383" s="17" t="n"/>
      <c r="CU383" s="16" t="n"/>
      <c r="CV383" s="20" t="n"/>
      <c r="CW383" s="20" t="inlineStr">
        <is>
          <t>None</t>
        </is>
      </c>
      <c r="CX383" s="17" t="n"/>
      <c r="CY383" s="16" t="n"/>
      <c r="CZ383" s="20" t="inlineStr">
        <is>
          <t>WTW Multimeter 3430 with FDO 925</t>
        </is>
      </c>
      <c r="DA383" s="20" t="inlineStr">
        <is>
          <t>None</t>
        </is>
      </c>
      <c r="DB383" s="17" t="n"/>
      <c r="DC383" s="16" t="n"/>
      <c r="DD383" s="20" t="n"/>
      <c r="DE383" s="20" t="inlineStr">
        <is>
          <t>None</t>
        </is>
      </c>
      <c r="DF383" s="17" t="n"/>
      <c r="DG383" s="16" t="n"/>
      <c r="DH383" s="20" t="inlineStr">
        <is>
          <t>SOP 45-09</t>
        </is>
      </c>
      <c r="DI383" s="20" t="inlineStr">
        <is>
          <t>None</t>
        </is>
      </c>
      <c r="DJ383" s="17" t="n"/>
      <c r="DK383" s="16" t="n"/>
      <c r="DL383" s="20" t="inlineStr">
        <is>
          <t>SOP 45-09 (SOP muss noch angepasst werden für VSS)</t>
        </is>
      </c>
      <c r="DM383" s="20" t="inlineStr">
        <is>
          <t>None</t>
        </is>
      </c>
      <c r="DN383" s="17" t="n"/>
      <c r="DO383" s="16" t="n"/>
      <c r="DP383" s="20" t="inlineStr">
        <is>
          <t>IC Organic Acids</t>
        </is>
      </c>
      <c r="DQ383" s="20" t="inlineStr">
        <is>
          <t>None</t>
        </is>
      </c>
      <c r="DR383" s="17" t="n"/>
      <c r="DS383" s="16" t="n"/>
      <c r="DT383" s="20" t="inlineStr">
        <is>
          <t>IC Organic Acids</t>
        </is>
      </c>
      <c r="DU383" s="20" t="inlineStr">
        <is>
          <t>None</t>
        </is>
      </c>
      <c r="DV383" s="17" t="n"/>
      <c r="DW383" s="16" t="n"/>
      <c r="DX383" s="20" t="inlineStr">
        <is>
          <t>IC Organic Acids</t>
        </is>
      </c>
      <c r="DY383" s="20" t="inlineStr">
        <is>
          <t>None</t>
        </is>
      </c>
      <c r="DZ383" s="17" t="n"/>
      <c r="EA383" s="16" t="n"/>
      <c r="EB383" s="20" t="inlineStr">
        <is>
          <t>IC Organic Acids</t>
        </is>
      </c>
      <c r="EC383" s="20" t="inlineStr">
        <is>
          <t>None</t>
        </is>
      </c>
      <c r="ED383" s="17" t="n"/>
      <c r="EE383" s="16" t="n"/>
      <c r="EF383" s="20" t="inlineStr">
        <is>
          <t>IC Organic Acids</t>
        </is>
      </c>
      <c r="EG383" s="20" t="inlineStr">
        <is>
          <t>None</t>
        </is>
      </c>
      <c r="EH383" s="17" t="n"/>
      <c r="EI383" s="16" t="n"/>
      <c r="EJ383" s="20" t="inlineStr">
        <is>
          <t>IC Organic Acids</t>
        </is>
      </c>
      <c r="EK383" s="20" t="inlineStr">
        <is>
          <t>None</t>
        </is>
      </c>
      <c r="EL383" s="17" t="n"/>
      <c r="EM383" s="16" t="n"/>
      <c r="EN383" s="20" t="inlineStr">
        <is>
          <t>IC Organic Acids</t>
        </is>
      </c>
      <c r="EO383" s="20" t="inlineStr">
        <is>
          <t>None</t>
        </is>
      </c>
      <c r="EP383" s="17" t="n"/>
      <c r="EQ383" s="16" t="n"/>
      <c r="ER383" s="20" t="inlineStr">
        <is>
          <t>IC Organic Acids</t>
        </is>
      </c>
      <c r="ES383" s="20" t="inlineStr">
        <is>
          <t>None</t>
        </is>
      </c>
      <c r="ET383" s="17" t="n"/>
      <c r="EU383" s="16" t="n"/>
      <c r="EV383" s="20" t="inlineStr">
        <is>
          <t>LC-MS</t>
        </is>
      </c>
      <c r="EW383" s="20" t="inlineStr">
        <is>
          <t>None</t>
        </is>
      </c>
      <c r="EX383" s="17" t="n"/>
      <c r="EY383" s="21" t="n"/>
      <c r="EZ383">
        <f>CONCATENATE(A383,B383)</f>
        <v/>
      </c>
      <c r="FA383">
        <f>CONCATENATE(SamplesX!A383,SamplesX!B383)</f>
        <v/>
      </c>
      <c r="FC383">
        <f>MATCH(EZ383,FA1:FA1008,0)</f>
        <v/>
      </c>
    </row>
    <row r="384">
      <c r="A384" s="16" t="inlineStr">
        <is>
          <t>BP</t>
        </is>
      </c>
      <c r="B384" s="17" t="inlineStr">
        <is>
          <t>25376</t>
        </is>
      </c>
      <c r="C384" s="10">
        <f>IF(ISNUMBER(FC384),INDIRECT("SamplesX!C"&amp;FC384),IF(ISNUMBER(FD384),INDIRECT("SamplesY!C"&amp;FD384),""))</f>
        <v/>
      </c>
      <c r="D384" s="12">
        <f>IF(ISNUMBER(FC384),INDIRECT("SamplesX!D"&amp;FC384),IF(ISNUMBER(FD384),INDIRECT("SamplesY!D"&amp;FD384),""))</f>
        <v/>
      </c>
      <c r="E384" s="12">
        <f>IF(ISNUMBER(FC384),INDIRECT("SamplesX!E"&amp;FC384),IF(ISNUMBER(FD384),INDIRECT("SamplesY!E"&amp;FD384),""))</f>
        <v/>
      </c>
      <c r="F384" s="11">
        <f>IF(ISNUMBER(FC384),INDIRECT("SamplesX!F"&amp;FC384),IF(ISNUMBER(FD384),INDIRECT("SamplesY!F"&amp;FD384),""))</f>
        <v/>
      </c>
      <c r="G384" s="18">
        <f>IF(ISNUMBER(FC384),INDIRECT("SamplesX!G"&amp;FC384),IF(ISNUMBER(FD384),INDIRECT("SamplesY!G"&amp;FD384),""))</f>
        <v/>
      </c>
      <c r="H384" s="19">
        <f>IF(ISNUMBER(FC384),INDIRECT("SamplesX!H"&amp;FC384),IF(ISNUMBER(FD384),INDIRECT("SamplesY!H"&amp;FD384),""))</f>
        <v/>
      </c>
      <c r="I384" s="16" t="n"/>
      <c r="J384" s="16" t="n"/>
      <c r="K384" s="16" t="n"/>
      <c r="L384" s="20" t="n"/>
      <c r="M384" s="20" t="inlineStr">
        <is>
          <t>None</t>
        </is>
      </c>
      <c r="N384" s="17" t="n"/>
      <c r="O384" s="16" t="n"/>
      <c r="P384" s="20" t="inlineStr">
        <is>
          <t>Shimadzu TOC-L</t>
        </is>
      </c>
      <c r="Q384" s="20" t="inlineStr">
        <is>
          <t>None</t>
        </is>
      </c>
      <c r="R384" s="17" t="n"/>
      <c r="S384" s="16" t="n"/>
      <c r="T384" s="20" t="inlineStr">
        <is>
          <t>Shimadzu TOC-L</t>
        </is>
      </c>
      <c r="U384" s="20" t="inlineStr">
        <is>
          <t>None</t>
        </is>
      </c>
      <c r="V384" s="17" t="n"/>
      <c r="W384" s="16" t="n"/>
      <c r="X384" s="20" t="n"/>
      <c r="Y384" s="20" t="inlineStr">
        <is>
          <t>None</t>
        </is>
      </c>
      <c r="Z384" s="17" t="n"/>
      <c r="AA384" s="16" t="n"/>
      <c r="AB384" s="20" t="n"/>
      <c r="AC384" s="20" t="inlineStr">
        <is>
          <t>None</t>
        </is>
      </c>
      <c r="AD384" s="17" t="n"/>
      <c r="AE384" s="16" t="n"/>
      <c r="AF384" s="20" t="inlineStr">
        <is>
          <t>IC Anionen</t>
        </is>
      </c>
      <c r="AG384" s="20" t="inlineStr">
        <is>
          <t>None</t>
        </is>
      </c>
      <c r="AH384" s="17" t="n"/>
      <c r="AI384" s="16" t="n"/>
      <c r="AJ384" s="20" t="n"/>
      <c r="AK384" s="20" t="inlineStr">
        <is>
          <t>None</t>
        </is>
      </c>
      <c r="AL384" s="17" t="n"/>
      <c r="AM384" s="16" t="n"/>
      <c r="AN384" s="20" t="inlineStr">
        <is>
          <t>IC Anionen</t>
        </is>
      </c>
      <c r="AO384" s="20" t="inlineStr">
        <is>
          <t>None</t>
        </is>
      </c>
      <c r="AP384" s="17" t="n"/>
      <c r="AQ384" s="16" t="n"/>
      <c r="AR384" s="20" t="n"/>
      <c r="AS384" s="20" t="inlineStr">
        <is>
          <t>None</t>
        </is>
      </c>
      <c r="AT384" s="17" t="n"/>
      <c r="AU384" s="16" t="n"/>
      <c r="AV384" s="20" t="n"/>
      <c r="AW384" s="20" t="inlineStr">
        <is>
          <t>None</t>
        </is>
      </c>
      <c r="AX384" s="17" t="n"/>
      <c r="AY384" s="16" t="n"/>
      <c r="AZ384" s="20" t="inlineStr">
        <is>
          <t>IC Anionen</t>
        </is>
      </c>
      <c r="BA384" s="20" t="inlineStr">
        <is>
          <t>None</t>
        </is>
      </c>
      <c r="BB384" s="17" t="n"/>
      <c r="BC384" s="16" t="n"/>
      <c r="BD384" s="20" t="inlineStr">
        <is>
          <t>IC Kationen</t>
        </is>
      </c>
      <c r="BE384" s="20" t="inlineStr">
        <is>
          <t>None</t>
        </is>
      </c>
      <c r="BF384" s="17" t="n"/>
      <c r="BG384" s="16" t="n"/>
      <c r="BH384" s="20" t="inlineStr">
        <is>
          <t>IC Kationen</t>
        </is>
      </c>
      <c r="BI384" s="20" t="inlineStr">
        <is>
          <t>None</t>
        </is>
      </c>
      <c r="BJ384" s="17" t="n"/>
      <c r="BK384" s="16" t="n"/>
      <c r="BL384" s="20" t="inlineStr">
        <is>
          <t>IC Kationen</t>
        </is>
      </c>
      <c r="BM384" s="20" t="inlineStr">
        <is>
          <t>None</t>
        </is>
      </c>
      <c r="BN384" s="17" t="n"/>
      <c r="BO384" s="16" t="n"/>
      <c r="BP384" s="20" t="inlineStr">
        <is>
          <t>IC Kationen</t>
        </is>
      </c>
      <c r="BQ384" s="20" t="inlineStr">
        <is>
          <t>None</t>
        </is>
      </c>
      <c r="BR384" s="17" t="n"/>
      <c r="BS384" s="16" t="n"/>
      <c r="BT384" s="20" t="inlineStr">
        <is>
          <t>IC Kationen</t>
        </is>
      </c>
      <c r="BU384" s="20" t="inlineStr">
        <is>
          <t>None</t>
        </is>
      </c>
      <c r="BV384" s="17" t="n"/>
      <c r="BW384" s="16" t="n"/>
      <c r="BX384" s="20" t="n"/>
      <c r="BY384" s="20" t="inlineStr">
        <is>
          <t>None</t>
        </is>
      </c>
      <c r="BZ384" s="17" t="n"/>
      <c r="CA384" s="16" t="n"/>
      <c r="CB384" s="20" t="n"/>
      <c r="CC384" s="20" t="inlineStr">
        <is>
          <t>None</t>
        </is>
      </c>
      <c r="CD384" s="17" t="n"/>
      <c r="CE384" s="16" t="n"/>
      <c r="CF384" s="20" t="n"/>
      <c r="CG384" s="20" t="inlineStr">
        <is>
          <t>None</t>
        </is>
      </c>
      <c r="CH384" s="17" t="n"/>
      <c r="CI384" s="16" t="n"/>
      <c r="CJ384" s="20" t="n"/>
      <c r="CK384" s="20" t="inlineStr">
        <is>
          <t>None</t>
        </is>
      </c>
      <c r="CL384" s="17" t="n"/>
      <c r="CM384" s="16" t="n"/>
      <c r="CN384" s="20" t="inlineStr">
        <is>
          <t>SOP 45-34</t>
        </is>
      </c>
      <c r="CO384" s="20" t="inlineStr">
        <is>
          <t>None</t>
        </is>
      </c>
      <c r="CP384" s="17" t="n"/>
      <c r="CQ384" s="16" t="n"/>
      <c r="CR384" s="20" t="n"/>
      <c r="CS384" s="20" t="inlineStr">
        <is>
          <t>None</t>
        </is>
      </c>
      <c r="CT384" s="17" t="n"/>
      <c r="CU384" s="16" t="n"/>
      <c r="CV384" s="20" t="n"/>
      <c r="CW384" s="20" t="inlineStr">
        <is>
          <t>None</t>
        </is>
      </c>
      <c r="CX384" s="17" t="n"/>
      <c r="CY384" s="16" t="n"/>
      <c r="CZ384" s="20" t="inlineStr">
        <is>
          <t>WTW Multimeter 3430 with FDO 925</t>
        </is>
      </c>
      <c r="DA384" s="20" t="inlineStr">
        <is>
          <t>None</t>
        </is>
      </c>
      <c r="DB384" s="17" t="n"/>
      <c r="DC384" s="16" t="n"/>
      <c r="DD384" s="20" t="n"/>
      <c r="DE384" s="20" t="inlineStr">
        <is>
          <t>None</t>
        </is>
      </c>
      <c r="DF384" s="17" t="n"/>
      <c r="DG384" s="16" t="n"/>
      <c r="DH384" s="20" t="inlineStr">
        <is>
          <t>SOP 45-09</t>
        </is>
      </c>
      <c r="DI384" s="20" t="inlineStr">
        <is>
          <t>None</t>
        </is>
      </c>
      <c r="DJ384" s="17" t="n"/>
      <c r="DK384" s="16" t="n"/>
      <c r="DL384" s="20" t="inlineStr">
        <is>
          <t>SOP 45-09 (SOP muss noch angepasst werden für VSS)</t>
        </is>
      </c>
      <c r="DM384" s="20" t="inlineStr">
        <is>
          <t>None</t>
        </is>
      </c>
      <c r="DN384" s="17" t="n"/>
      <c r="DO384" s="16" t="n"/>
      <c r="DP384" s="20" t="inlineStr">
        <is>
          <t>IC Organic Acids</t>
        </is>
      </c>
      <c r="DQ384" s="20" t="inlineStr">
        <is>
          <t>None</t>
        </is>
      </c>
      <c r="DR384" s="17" t="n"/>
      <c r="DS384" s="16" t="n"/>
      <c r="DT384" s="20" t="inlineStr">
        <is>
          <t>IC Organic Acids</t>
        </is>
      </c>
      <c r="DU384" s="20" t="inlineStr">
        <is>
          <t>None</t>
        </is>
      </c>
      <c r="DV384" s="17" t="n"/>
      <c r="DW384" s="16" t="n"/>
      <c r="DX384" s="20" t="inlineStr">
        <is>
          <t>IC Organic Acids</t>
        </is>
      </c>
      <c r="DY384" s="20" t="inlineStr">
        <is>
          <t>None</t>
        </is>
      </c>
      <c r="DZ384" s="17" t="n"/>
      <c r="EA384" s="16" t="n"/>
      <c r="EB384" s="20" t="inlineStr">
        <is>
          <t>IC Organic Acids</t>
        </is>
      </c>
      <c r="EC384" s="20" t="inlineStr">
        <is>
          <t>None</t>
        </is>
      </c>
      <c r="ED384" s="17" t="n"/>
      <c r="EE384" s="16" t="n"/>
      <c r="EF384" s="20" t="inlineStr">
        <is>
          <t>IC Organic Acids</t>
        </is>
      </c>
      <c r="EG384" s="20" t="inlineStr">
        <is>
          <t>None</t>
        </is>
      </c>
      <c r="EH384" s="17" t="n"/>
      <c r="EI384" s="16" t="n"/>
      <c r="EJ384" s="20" t="inlineStr">
        <is>
          <t>IC Organic Acids</t>
        </is>
      </c>
      <c r="EK384" s="20" t="inlineStr">
        <is>
          <t>None</t>
        </is>
      </c>
      <c r="EL384" s="17" t="n"/>
      <c r="EM384" s="16" t="n"/>
      <c r="EN384" s="20" t="inlineStr">
        <is>
          <t>IC Organic Acids</t>
        </is>
      </c>
      <c r="EO384" s="20" t="inlineStr">
        <is>
          <t>None</t>
        </is>
      </c>
      <c r="EP384" s="17" t="n"/>
      <c r="EQ384" s="16" t="n"/>
      <c r="ER384" s="20" t="inlineStr">
        <is>
          <t>IC Organic Acids</t>
        </is>
      </c>
      <c r="ES384" s="20" t="inlineStr">
        <is>
          <t>None</t>
        </is>
      </c>
      <c r="ET384" s="17" t="n"/>
      <c r="EU384" s="16" t="n"/>
      <c r="EV384" s="20" t="inlineStr">
        <is>
          <t>LC-MS</t>
        </is>
      </c>
      <c r="EW384" s="20" t="inlineStr">
        <is>
          <t>None</t>
        </is>
      </c>
      <c r="EX384" s="17" t="n"/>
      <c r="EY384" s="21" t="n"/>
      <c r="EZ384">
        <f>CONCATENATE(A384,B384)</f>
        <v/>
      </c>
      <c r="FA384">
        <f>CONCATENATE(SamplesX!A384,SamplesX!B384)</f>
        <v/>
      </c>
      <c r="FC384">
        <f>MATCH(EZ384,FA1:FA1008,0)</f>
        <v/>
      </c>
    </row>
    <row r="385">
      <c r="A385" s="16" t="inlineStr">
        <is>
          <t>BP</t>
        </is>
      </c>
      <c r="B385" s="17" t="inlineStr">
        <is>
          <t>25377</t>
        </is>
      </c>
      <c r="C385" s="10">
        <f>IF(ISNUMBER(FC385),INDIRECT("SamplesX!C"&amp;FC385),IF(ISNUMBER(FD385),INDIRECT("SamplesY!C"&amp;FD385),""))</f>
        <v/>
      </c>
      <c r="D385" s="12">
        <f>IF(ISNUMBER(FC385),INDIRECT("SamplesX!D"&amp;FC385),IF(ISNUMBER(FD385),INDIRECT("SamplesY!D"&amp;FD385),""))</f>
        <v/>
      </c>
      <c r="E385" s="12">
        <f>IF(ISNUMBER(FC385),INDIRECT("SamplesX!E"&amp;FC385),IF(ISNUMBER(FD385),INDIRECT("SamplesY!E"&amp;FD385),""))</f>
        <v/>
      </c>
      <c r="F385" s="11">
        <f>IF(ISNUMBER(FC385),INDIRECT("SamplesX!F"&amp;FC385),IF(ISNUMBER(FD385),INDIRECT("SamplesY!F"&amp;FD385),""))</f>
        <v/>
      </c>
      <c r="G385" s="18">
        <f>IF(ISNUMBER(FC385),INDIRECT("SamplesX!G"&amp;FC385),IF(ISNUMBER(FD385),INDIRECT("SamplesY!G"&amp;FD385),""))</f>
        <v/>
      </c>
      <c r="H385" s="19">
        <f>IF(ISNUMBER(FC385),INDIRECT("SamplesX!H"&amp;FC385),IF(ISNUMBER(FD385),INDIRECT("SamplesY!H"&amp;FD385),""))</f>
        <v/>
      </c>
      <c r="I385" s="16" t="n"/>
      <c r="J385" s="16" t="n"/>
      <c r="K385" s="16" t="n"/>
      <c r="L385" s="20" t="n"/>
      <c r="M385" s="20" t="inlineStr">
        <is>
          <t>None</t>
        </is>
      </c>
      <c r="N385" s="17" t="n"/>
      <c r="O385" s="16" t="n"/>
      <c r="P385" s="20" t="inlineStr">
        <is>
          <t>Shimadzu TOC-L</t>
        </is>
      </c>
      <c r="Q385" s="20" t="inlineStr">
        <is>
          <t>None</t>
        </is>
      </c>
      <c r="R385" s="17" t="n"/>
      <c r="S385" s="16" t="n"/>
      <c r="T385" s="20" t="inlineStr">
        <is>
          <t>Shimadzu TOC-L</t>
        </is>
      </c>
      <c r="U385" s="20" t="inlineStr">
        <is>
          <t>None</t>
        </is>
      </c>
      <c r="V385" s="17" t="n"/>
      <c r="W385" s="16" t="n"/>
      <c r="X385" s="20" t="n"/>
      <c r="Y385" s="20" t="inlineStr">
        <is>
          <t>None</t>
        </is>
      </c>
      <c r="Z385" s="17" t="n"/>
      <c r="AA385" s="16" t="n"/>
      <c r="AB385" s="20" t="n"/>
      <c r="AC385" s="20" t="inlineStr">
        <is>
          <t>None</t>
        </is>
      </c>
      <c r="AD385" s="17" t="n"/>
      <c r="AE385" s="16" t="n"/>
      <c r="AF385" s="20" t="inlineStr">
        <is>
          <t>IC Anionen</t>
        </is>
      </c>
      <c r="AG385" s="20" t="inlineStr">
        <is>
          <t>None</t>
        </is>
      </c>
      <c r="AH385" s="17" t="n"/>
      <c r="AI385" s="16" t="n"/>
      <c r="AJ385" s="20" t="n"/>
      <c r="AK385" s="20" t="inlineStr">
        <is>
          <t>None</t>
        </is>
      </c>
      <c r="AL385" s="17" t="n"/>
      <c r="AM385" s="16" t="n"/>
      <c r="AN385" s="20" t="inlineStr">
        <is>
          <t>IC Anionen</t>
        </is>
      </c>
      <c r="AO385" s="20" t="inlineStr">
        <is>
          <t>None</t>
        </is>
      </c>
      <c r="AP385" s="17" t="n"/>
      <c r="AQ385" s="16" t="n"/>
      <c r="AR385" s="20" t="n"/>
      <c r="AS385" s="20" t="inlineStr">
        <is>
          <t>None</t>
        </is>
      </c>
      <c r="AT385" s="17" t="n"/>
      <c r="AU385" s="16" t="n"/>
      <c r="AV385" s="20" t="n"/>
      <c r="AW385" s="20" t="inlineStr">
        <is>
          <t>None</t>
        </is>
      </c>
      <c r="AX385" s="17" t="n"/>
      <c r="AY385" s="16" t="n"/>
      <c r="AZ385" s="20" t="inlineStr">
        <is>
          <t>IC Anionen</t>
        </is>
      </c>
      <c r="BA385" s="20" t="inlineStr">
        <is>
          <t>None</t>
        </is>
      </c>
      <c r="BB385" s="17" t="n"/>
      <c r="BC385" s="16" t="n"/>
      <c r="BD385" s="20" t="inlineStr">
        <is>
          <t>IC Kationen</t>
        </is>
      </c>
      <c r="BE385" s="20" t="inlineStr">
        <is>
          <t>None</t>
        </is>
      </c>
      <c r="BF385" s="17" t="n"/>
      <c r="BG385" s="16" t="n"/>
      <c r="BH385" s="20" t="inlineStr">
        <is>
          <t>IC Kationen</t>
        </is>
      </c>
      <c r="BI385" s="20" t="inlineStr">
        <is>
          <t>None</t>
        </is>
      </c>
      <c r="BJ385" s="17" t="n"/>
      <c r="BK385" s="16" t="n"/>
      <c r="BL385" s="20" t="inlineStr">
        <is>
          <t>IC Kationen</t>
        </is>
      </c>
      <c r="BM385" s="20" t="inlineStr">
        <is>
          <t>None</t>
        </is>
      </c>
      <c r="BN385" s="17" t="n"/>
      <c r="BO385" s="16" t="n"/>
      <c r="BP385" s="20" t="inlineStr">
        <is>
          <t>IC Kationen</t>
        </is>
      </c>
      <c r="BQ385" s="20" t="inlineStr">
        <is>
          <t>None</t>
        </is>
      </c>
      <c r="BR385" s="17" t="n"/>
      <c r="BS385" s="16" t="n"/>
      <c r="BT385" s="20" t="inlineStr">
        <is>
          <t>IC Kationen</t>
        </is>
      </c>
      <c r="BU385" s="20" t="inlineStr">
        <is>
          <t>None</t>
        </is>
      </c>
      <c r="BV385" s="17" t="n"/>
      <c r="BW385" s="16" t="n"/>
      <c r="BX385" s="20" t="n"/>
      <c r="BY385" s="20" t="inlineStr">
        <is>
          <t>None</t>
        </is>
      </c>
      <c r="BZ385" s="17" t="n"/>
      <c r="CA385" s="16" t="n"/>
      <c r="CB385" s="20" t="n"/>
      <c r="CC385" s="20" t="inlineStr">
        <is>
          <t>None</t>
        </is>
      </c>
      <c r="CD385" s="17" t="n"/>
      <c r="CE385" s="16" t="n"/>
      <c r="CF385" s="20" t="n"/>
      <c r="CG385" s="20" t="inlineStr">
        <is>
          <t>None</t>
        </is>
      </c>
      <c r="CH385" s="17" t="n"/>
      <c r="CI385" s="16" t="n"/>
      <c r="CJ385" s="20" t="n"/>
      <c r="CK385" s="20" t="inlineStr">
        <is>
          <t>None</t>
        </is>
      </c>
      <c r="CL385" s="17" t="n"/>
      <c r="CM385" s="16" t="n"/>
      <c r="CN385" s="20" t="inlineStr">
        <is>
          <t>SOP 45-34</t>
        </is>
      </c>
      <c r="CO385" s="20" t="inlineStr">
        <is>
          <t>None</t>
        </is>
      </c>
      <c r="CP385" s="17" t="n"/>
      <c r="CQ385" s="16" t="n"/>
      <c r="CR385" s="20" t="n"/>
      <c r="CS385" s="20" t="inlineStr">
        <is>
          <t>None</t>
        </is>
      </c>
      <c r="CT385" s="17" t="n"/>
      <c r="CU385" s="16" t="n"/>
      <c r="CV385" s="20" t="n"/>
      <c r="CW385" s="20" t="inlineStr">
        <is>
          <t>None</t>
        </is>
      </c>
      <c r="CX385" s="17" t="n"/>
      <c r="CY385" s="16" t="n"/>
      <c r="CZ385" s="20" t="inlineStr">
        <is>
          <t>WTW Multimeter 3430 with FDO 925</t>
        </is>
      </c>
      <c r="DA385" s="20" t="inlineStr">
        <is>
          <t>None</t>
        </is>
      </c>
      <c r="DB385" s="17" t="n"/>
      <c r="DC385" s="16" t="n"/>
      <c r="DD385" s="20" t="n"/>
      <c r="DE385" s="20" t="inlineStr">
        <is>
          <t>None</t>
        </is>
      </c>
      <c r="DF385" s="17" t="n"/>
      <c r="DG385" s="16" t="n"/>
      <c r="DH385" s="20" t="inlineStr">
        <is>
          <t>SOP 45-09</t>
        </is>
      </c>
      <c r="DI385" s="20" t="inlineStr">
        <is>
          <t>None</t>
        </is>
      </c>
      <c r="DJ385" s="17" t="n"/>
      <c r="DK385" s="16" t="n"/>
      <c r="DL385" s="20" t="inlineStr">
        <is>
          <t>SOP 45-09 (SOP muss noch angepasst werden für VSS)</t>
        </is>
      </c>
      <c r="DM385" s="20" t="inlineStr">
        <is>
          <t>None</t>
        </is>
      </c>
      <c r="DN385" s="17" t="n"/>
      <c r="DO385" s="16" t="n"/>
      <c r="DP385" s="20" t="inlineStr">
        <is>
          <t>IC Organic Acids</t>
        </is>
      </c>
      <c r="DQ385" s="20" t="inlineStr">
        <is>
          <t>None</t>
        </is>
      </c>
      <c r="DR385" s="17" t="n"/>
      <c r="DS385" s="16" t="n"/>
      <c r="DT385" s="20" t="inlineStr">
        <is>
          <t>IC Organic Acids</t>
        </is>
      </c>
      <c r="DU385" s="20" t="inlineStr">
        <is>
          <t>None</t>
        </is>
      </c>
      <c r="DV385" s="17" t="n"/>
      <c r="DW385" s="16" t="n"/>
      <c r="DX385" s="20" t="inlineStr">
        <is>
          <t>IC Organic Acids</t>
        </is>
      </c>
      <c r="DY385" s="20" t="inlineStr">
        <is>
          <t>None</t>
        </is>
      </c>
      <c r="DZ385" s="17" t="n"/>
      <c r="EA385" s="16" t="n"/>
      <c r="EB385" s="20" t="inlineStr">
        <is>
          <t>IC Organic Acids</t>
        </is>
      </c>
      <c r="EC385" s="20" t="inlineStr">
        <is>
          <t>None</t>
        </is>
      </c>
      <c r="ED385" s="17" t="n"/>
      <c r="EE385" s="16" t="n"/>
      <c r="EF385" s="20" t="inlineStr">
        <is>
          <t>IC Organic Acids</t>
        </is>
      </c>
      <c r="EG385" s="20" t="inlineStr">
        <is>
          <t>None</t>
        </is>
      </c>
      <c r="EH385" s="17" t="n"/>
      <c r="EI385" s="16" t="n"/>
      <c r="EJ385" s="20" t="inlineStr">
        <is>
          <t>IC Organic Acids</t>
        </is>
      </c>
      <c r="EK385" s="20" t="inlineStr">
        <is>
          <t>None</t>
        </is>
      </c>
      <c r="EL385" s="17" t="n"/>
      <c r="EM385" s="16" t="n"/>
      <c r="EN385" s="20" t="inlineStr">
        <is>
          <t>IC Organic Acids</t>
        </is>
      </c>
      <c r="EO385" s="20" t="inlineStr">
        <is>
          <t>None</t>
        </is>
      </c>
      <c r="EP385" s="17" t="n"/>
      <c r="EQ385" s="16" t="n"/>
      <c r="ER385" s="20" t="inlineStr">
        <is>
          <t>IC Organic Acids</t>
        </is>
      </c>
      <c r="ES385" s="20" t="inlineStr">
        <is>
          <t>None</t>
        </is>
      </c>
      <c r="ET385" s="17" t="n"/>
      <c r="EU385" s="16" t="n"/>
      <c r="EV385" s="20" t="inlineStr">
        <is>
          <t>LC-MS</t>
        </is>
      </c>
      <c r="EW385" s="20" t="inlineStr">
        <is>
          <t>None</t>
        </is>
      </c>
      <c r="EX385" s="17" t="n"/>
      <c r="EY385" s="21" t="n"/>
      <c r="EZ385">
        <f>CONCATENATE(A385,B385)</f>
        <v/>
      </c>
      <c r="FA385">
        <f>CONCATENATE(SamplesX!A385,SamplesX!B385)</f>
        <v/>
      </c>
      <c r="FC385">
        <f>MATCH(EZ385,FA1:FA1008,0)</f>
        <v/>
      </c>
    </row>
    <row r="386">
      <c r="A386" s="16" t="inlineStr">
        <is>
          <t>BP</t>
        </is>
      </c>
      <c r="B386" s="17" t="inlineStr">
        <is>
          <t>25378</t>
        </is>
      </c>
      <c r="C386" s="10">
        <f>IF(ISNUMBER(FC386),INDIRECT("SamplesX!C"&amp;FC386),IF(ISNUMBER(FD386),INDIRECT("SamplesY!C"&amp;FD386),""))</f>
        <v/>
      </c>
      <c r="D386" s="12">
        <f>IF(ISNUMBER(FC386),INDIRECT("SamplesX!D"&amp;FC386),IF(ISNUMBER(FD386),INDIRECT("SamplesY!D"&amp;FD386),""))</f>
        <v/>
      </c>
      <c r="E386" s="12">
        <f>IF(ISNUMBER(FC386),INDIRECT("SamplesX!E"&amp;FC386),IF(ISNUMBER(FD386),INDIRECT("SamplesY!E"&amp;FD386),""))</f>
        <v/>
      </c>
      <c r="F386" s="11">
        <f>IF(ISNUMBER(FC386),INDIRECT("SamplesX!F"&amp;FC386),IF(ISNUMBER(FD386),INDIRECT("SamplesY!F"&amp;FD386),""))</f>
        <v/>
      </c>
      <c r="G386" s="18">
        <f>IF(ISNUMBER(FC386),INDIRECT("SamplesX!G"&amp;FC386),IF(ISNUMBER(FD386),INDIRECT("SamplesY!G"&amp;FD386),""))</f>
        <v/>
      </c>
      <c r="H386" s="19">
        <f>IF(ISNUMBER(FC386),INDIRECT("SamplesX!H"&amp;FC386),IF(ISNUMBER(FD386),INDIRECT("SamplesY!H"&amp;FD386),""))</f>
        <v/>
      </c>
      <c r="I386" s="16" t="n"/>
      <c r="J386" s="16" t="n"/>
      <c r="K386" s="16" t="n"/>
      <c r="L386" s="20" t="n"/>
      <c r="M386" s="20" t="inlineStr">
        <is>
          <t>None</t>
        </is>
      </c>
      <c r="N386" s="17" t="n"/>
      <c r="O386" s="16" t="n"/>
      <c r="P386" s="20" t="inlineStr">
        <is>
          <t>Shimadzu TOC-L</t>
        </is>
      </c>
      <c r="Q386" s="20" t="inlineStr">
        <is>
          <t>None</t>
        </is>
      </c>
      <c r="R386" s="17" t="n"/>
      <c r="S386" s="16" t="n"/>
      <c r="T386" s="20" t="inlineStr">
        <is>
          <t>Shimadzu TOC-L</t>
        </is>
      </c>
      <c r="U386" s="20" t="inlineStr">
        <is>
          <t>None</t>
        </is>
      </c>
      <c r="V386" s="17" t="n"/>
      <c r="W386" s="16" t="n"/>
      <c r="X386" s="20" t="n"/>
      <c r="Y386" s="20" t="inlineStr">
        <is>
          <t>None</t>
        </is>
      </c>
      <c r="Z386" s="17" t="n"/>
      <c r="AA386" s="16" t="n"/>
      <c r="AB386" s="20" t="n"/>
      <c r="AC386" s="20" t="inlineStr">
        <is>
          <t>None</t>
        </is>
      </c>
      <c r="AD386" s="17" t="n"/>
      <c r="AE386" s="16" t="n"/>
      <c r="AF386" s="20" t="inlineStr">
        <is>
          <t>IC Anionen</t>
        </is>
      </c>
      <c r="AG386" s="20" t="inlineStr">
        <is>
          <t>None</t>
        </is>
      </c>
      <c r="AH386" s="17" t="n"/>
      <c r="AI386" s="16" t="n"/>
      <c r="AJ386" s="20" t="n"/>
      <c r="AK386" s="20" t="inlineStr">
        <is>
          <t>None</t>
        </is>
      </c>
      <c r="AL386" s="17" t="n"/>
      <c r="AM386" s="16" t="n"/>
      <c r="AN386" s="20" t="inlineStr">
        <is>
          <t>IC Anionen</t>
        </is>
      </c>
      <c r="AO386" s="20" t="inlineStr">
        <is>
          <t>None</t>
        </is>
      </c>
      <c r="AP386" s="17" t="n"/>
      <c r="AQ386" s="16" t="n"/>
      <c r="AR386" s="20" t="n"/>
      <c r="AS386" s="20" t="inlineStr">
        <is>
          <t>None</t>
        </is>
      </c>
      <c r="AT386" s="17" t="n"/>
      <c r="AU386" s="16" t="n"/>
      <c r="AV386" s="20" t="n"/>
      <c r="AW386" s="20" t="inlineStr">
        <is>
          <t>None</t>
        </is>
      </c>
      <c r="AX386" s="17" t="n"/>
      <c r="AY386" s="16" t="n"/>
      <c r="AZ386" s="20" t="inlineStr">
        <is>
          <t>IC Anionen</t>
        </is>
      </c>
      <c r="BA386" s="20" t="inlineStr">
        <is>
          <t>None</t>
        </is>
      </c>
      <c r="BB386" s="17" t="n"/>
      <c r="BC386" s="16" t="n"/>
      <c r="BD386" s="20" t="inlineStr">
        <is>
          <t>IC Kationen</t>
        </is>
      </c>
      <c r="BE386" s="20" t="inlineStr">
        <is>
          <t>None</t>
        </is>
      </c>
      <c r="BF386" s="17" t="n"/>
      <c r="BG386" s="16" t="n"/>
      <c r="BH386" s="20" t="inlineStr">
        <is>
          <t>IC Kationen</t>
        </is>
      </c>
      <c r="BI386" s="20" t="inlineStr">
        <is>
          <t>None</t>
        </is>
      </c>
      <c r="BJ386" s="17" t="n"/>
      <c r="BK386" s="16" t="n"/>
      <c r="BL386" s="20" t="inlineStr">
        <is>
          <t>IC Kationen</t>
        </is>
      </c>
      <c r="BM386" s="20" t="inlineStr">
        <is>
          <t>None</t>
        </is>
      </c>
      <c r="BN386" s="17" t="n"/>
      <c r="BO386" s="16" t="n"/>
      <c r="BP386" s="20" t="inlineStr">
        <is>
          <t>IC Kationen</t>
        </is>
      </c>
      <c r="BQ386" s="20" t="inlineStr">
        <is>
          <t>None</t>
        </is>
      </c>
      <c r="BR386" s="17" t="n"/>
      <c r="BS386" s="16" t="n"/>
      <c r="BT386" s="20" t="inlineStr">
        <is>
          <t>IC Kationen</t>
        </is>
      </c>
      <c r="BU386" s="20" t="inlineStr">
        <is>
          <t>None</t>
        </is>
      </c>
      <c r="BV386" s="17" t="n"/>
      <c r="BW386" s="16" t="n"/>
      <c r="BX386" s="20" t="n"/>
      <c r="BY386" s="20" t="inlineStr">
        <is>
          <t>None</t>
        </is>
      </c>
      <c r="BZ386" s="17" t="n"/>
      <c r="CA386" s="16" t="n"/>
      <c r="CB386" s="20" t="n"/>
      <c r="CC386" s="20" t="inlineStr">
        <is>
          <t>None</t>
        </is>
      </c>
      <c r="CD386" s="17" t="n"/>
      <c r="CE386" s="16" t="n"/>
      <c r="CF386" s="20" t="n"/>
      <c r="CG386" s="20" t="inlineStr">
        <is>
          <t>None</t>
        </is>
      </c>
      <c r="CH386" s="17" t="n"/>
      <c r="CI386" s="16" t="n"/>
      <c r="CJ386" s="20" t="n"/>
      <c r="CK386" s="20" t="inlineStr">
        <is>
          <t>None</t>
        </is>
      </c>
      <c r="CL386" s="17" t="n"/>
      <c r="CM386" s="16" t="n"/>
      <c r="CN386" s="20" t="inlineStr">
        <is>
          <t>SOP 45-34</t>
        </is>
      </c>
      <c r="CO386" s="20" t="inlineStr">
        <is>
          <t>None</t>
        </is>
      </c>
      <c r="CP386" s="17" t="n"/>
      <c r="CQ386" s="16" t="n"/>
      <c r="CR386" s="20" t="n"/>
      <c r="CS386" s="20" t="inlineStr">
        <is>
          <t>None</t>
        </is>
      </c>
      <c r="CT386" s="17" t="n"/>
      <c r="CU386" s="16" t="n"/>
      <c r="CV386" s="20" t="n"/>
      <c r="CW386" s="20" t="inlineStr">
        <is>
          <t>None</t>
        </is>
      </c>
      <c r="CX386" s="17" t="n"/>
      <c r="CY386" s="16" t="n"/>
      <c r="CZ386" s="20" t="inlineStr">
        <is>
          <t>WTW Multimeter 3430 with FDO 925</t>
        </is>
      </c>
      <c r="DA386" s="20" t="inlineStr">
        <is>
          <t>None</t>
        </is>
      </c>
      <c r="DB386" s="17" t="n"/>
      <c r="DC386" s="16" t="n"/>
      <c r="DD386" s="20" t="n"/>
      <c r="DE386" s="20" t="inlineStr">
        <is>
          <t>None</t>
        </is>
      </c>
      <c r="DF386" s="17" t="n"/>
      <c r="DG386" s="16" t="n"/>
      <c r="DH386" s="20" t="inlineStr">
        <is>
          <t>SOP 45-09</t>
        </is>
      </c>
      <c r="DI386" s="20" t="inlineStr">
        <is>
          <t>None</t>
        </is>
      </c>
      <c r="DJ386" s="17" t="n"/>
      <c r="DK386" s="16" t="n"/>
      <c r="DL386" s="20" t="inlineStr">
        <is>
          <t>SOP 45-09 (SOP muss noch angepasst werden für VSS)</t>
        </is>
      </c>
      <c r="DM386" s="20" t="inlineStr">
        <is>
          <t>None</t>
        </is>
      </c>
      <c r="DN386" s="17" t="n"/>
      <c r="DO386" s="16" t="n"/>
      <c r="DP386" s="20" t="inlineStr">
        <is>
          <t>IC Organic Acids</t>
        </is>
      </c>
      <c r="DQ386" s="20" t="inlineStr">
        <is>
          <t>None</t>
        </is>
      </c>
      <c r="DR386" s="17" t="n"/>
      <c r="DS386" s="16" t="n"/>
      <c r="DT386" s="20" t="inlineStr">
        <is>
          <t>IC Organic Acids</t>
        </is>
      </c>
      <c r="DU386" s="20" t="inlineStr">
        <is>
          <t>None</t>
        </is>
      </c>
      <c r="DV386" s="17" t="n"/>
      <c r="DW386" s="16" t="n"/>
      <c r="DX386" s="20" t="inlineStr">
        <is>
          <t>IC Organic Acids</t>
        </is>
      </c>
      <c r="DY386" s="20" t="inlineStr">
        <is>
          <t>None</t>
        </is>
      </c>
      <c r="DZ386" s="17" t="n"/>
      <c r="EA386" s="16" t="n"/>
      <c r="EB386" s="20" t="inlineStr">
        <is>
          <t>IC Organic Acids</t>
        </is>
      </c>
      <c r="EC386" s="20" t="inlineStr">
        <is>
          <t>None</t>
        </is>
      </c>
      <c r="ED386" s="17" t="n"/>
      <c r="EE386" s="16" t="n"/>
      <c r="EF386" s="20" t="inlineStr">
        <is>
          <t>IC Organic Acids</t>
        </is>
      </c>
      <c r="EG386" s="20" t="inlineStr">
        <is>
          <t>None</t>
        </is>
      </c>
      <c r="EH386" s="17" t="n"/>
      <c r="EI386" s="16" t="n"/>
      <c r="EJ386" s="20" t="inlineStr">
        <is>
          <t>IC Organic Acids</t>
        </is>
      </c>
      <c r="EK386" s="20" t="inlineStr">
        <is>
          <t>None</t>
        </is>
      </c>
      <c r="EL386" s="17" t="n"/>
      <c r="EM386" s="16" t="n"/>
      <c r="EN386" s="20" t="inlineStr">
        <is>
          <t>IC Organic Acids</t>
        </is>
      </c>
      <c r="EO386" s="20" t="inlineStr">
        <is>
          <t>None</t>
        </is>
      </c>
      <c r="EP386" s="17" t="n"/>
      <c r="EQ386" s="16" t="n"/>
      <c r="ER386" s="20" t="inlineStr">
        <is>
          <t>IC Organic Acids</t>
        </is>
      </c>
      <c r="ES386" s="20" t="inlineStr">
        <is>
          <t>None</t>
        </is>
      </c>
      <c r="ET386" s="17" t="n"/>
      <c r="EU386" s="16" t="n"/>
      <c r="EV386" s="20" t="inlineStr">
        <is>
          <t>LC-MS</t>
        </is>
      </c>
      <c r="EW386" s="20" t="inlineStr">
        <is>
          <t>None</t>
        </is>
      </c>
      <c r="EX386" s="17" t="n"/>
      <c r="EY386" s="21" t="n"/>
      <c r="EZ386">
        <f>CONCATENATE(A386,B386)</f>
        <v/>
      </c>
      <c r="FA386">
        <f>CONCATENATE(SamplesX!A386,SamplesX!B386)</f>
        <v/>
      </c>
      <c r="FC386">
        <f>MATCH(EZ386,FA1:FA1008,0)</f>
        <v/>
      </c>
    </row>
    <row r="387">
      <c r="A387" s="16" t="inlineStr">
        <is>
          <t>BP</t>
        </is>
      </c>
      <c r="B387" s="17" t="inlineStr">
        <is>
          <t>25379</t>
        </is>
      </c>
      <c r="C387" s="10">
        <f>IF(ISNUMBER(FC387),INDIRECT("SamplesX!C"&amp;FC387),IF(ISNUMBER(FD387),INDIRECT("SamplesY!C"&amp;FD387),""))</f>
        <v/>
      </c>
      <c r="D387" s="12">
        <f>IF(ISNUMBER(FC387),INDIRECT("SamplesX!D"&amp;FC387),IF(ISNUMBER(FD387),INDIRECT("SamplesY!D"&amp;FD387),""))</f>
        <v/>
      </c>
      <c r="E387" s="12">
        <f>IF(ISNUMBER(FC387),INDIRECT("SamplesX!E"&amp;FC387),IF(ISNUMBER(FD387),INDIRECT("SamplesY!E"&amp;FD387),""))</f>
        <v/>
      </c>
      <c r="F387" s="11">
        <f>IF(ISNUMBER(FC387),INDIRECT("SamplesX!F"&amp;FC387),IF(ISNUMBER(FD387),INDIRECT("SamplesY!F"&amp;FD387),""))</f>
        <v/>
      </c>
      <c r="G387" s="18">
        <f>IF(ISNUMBER(FC387),INDIRECT("SamplesX!G"&amp;FC387),IF(ISNUMBER(FD387),INDIRECT("SamplesY!G"&amp;FD387),""))</f>
        <v/>
      </c>
      <c r="H387" s="19">
        <f>IF(ISNUMBER(FC387),INDIRECT("SamplesX!H"&amp;FC387),IF(ISNUMBER(FD387),INDIRECT("SamplesY!H"&amp;FD387),""))</f>
        <v/>
      </c>
      <c r="I387" s="16" t="n"/>
      <c r="J387" s="16" t="n"/>
      <c r="K387" s="16" t="n"/>
      <c r="L387" s="20" t="n"/>
      <c r="M387" s="20" t="inlineStr">
        <is>
          <t>None</t>
        </is>
      </c>
      <c r="N387" s="17" t="n"/>
      <c r="O387" s="16" t="n"/>
      <c r="P387" s="20" t="inlineStr">
        <is>
          <t>Shimadzu TOC-L</t>
        </is>
      </c>
      <c r="Q387" s="20" t="inlineStr">
        <is>
          <t>None</t>
        </is>
      </c>
      <c r="R387" s="17" t="n"/>
      <c r="S387" s="16" t="n"/>
      <c r="T387" s="20" t="inlineStr">
        <is>
          <t>Shimadzu TOC-L</t>
        </is>
      </c>
      <c r="U387" s="20" t="inlineStr">
        <is>
          <t>None</t>
        </is>
      </c>
      <c r="V387" s="17" t="n"/>
      <c r="W387" s="16" t="n"/>
      <c r="X387" s="20" t="n"/>
      <c r="Y387" s="20" t="inlineStr">
        <is>
          <t>None</t>
        </is>
      </c>
      <c r="Z387" s="17" t="n"/>
      <c r="AA387" s="16" t="n"/>
      <c r="AB387" s="20" t="n"/>
      <c r="AC387" s="20" t="inlineStr">
        <is>
          <t>None</t>
        </is>
      </c>
      <c r="AD387" s="17" t="n"/>
      <c r="AE387" s="16" t="n"/>
      <c r="AF387" s="20" t="inlineStr">
        <is>
          <t>IC Anionen</t>
        </is>
      </c>
      <c r="AG387" s="20" t="inlineStr">
        <is>
          <t>None</t>
        </is>
      </c>
      <c r="AH387" s="17" t="n"/>
      <c r="AI387" s="16" t="n"/>
      <c r="AJ387" s="20" t="n"/>
      <c r="AK387" s="20" t="inlineStr">
        <is>
          <t>None</t>
        </is>
      </c>
      <c r="AL387" s="17" t="n"/>
      <c r="AM387" s="16" t="n"/>
      <c r="AN387" s="20" t="inlineStr">
        <is>
          <t>IC Anionen</t>
        </is>
      </c>
      <c r="AO387" s="20" t="inlineStr">
        <is>
          <t>None</t>
        </is>
      </c>
      <c r="AP387" s="17" t="n"/>
      <c r="AQ387" s="16" t="n"/>
      <c r="AR387" s="20" t="n"/>
      <c r="AS387" s="20" t="inlineStr">
        <is>
          <t>None</t>
        </is>
      </c>
      <c r="AT387" s="17" t="n"/>
      <c r="AU387" s="16" t="n"/>
      <c r="AV387" s="20" t="n"/>
      <c r="AW387" s="20" t="inlineStr">
        <is>
          <t>None</t>
        </is>
      </c>
      <c r="AX387" s="17" t="n"/>
      <c r="AY387" s="16" t="n"/>
      <c r="AZ387" s="20" t="inlineStr">
        <is>
          <t>IC Anionen</t>
        </is>
      </c>
      <c r="BA387" s="20" t="inlineStr">
        <is>
          <t>None</t>
        </is>
      </c>
      <c r="BB387" s="17" t="n"/>
      <c r="BC387" s="16" t="n"/>
      <c r="BD387" s="20" t="inlineStr">
        <is>
          <t>IC Kationen</t>
        </is>
      </c>
      <c r="BE387" s="20" t="inlineStr">
        <is>
          <t>None</t>
        </is>
      </c>
      <c r="BF387" s="17" t="n"/>
      <c r="BG387" s="16" t="n"/>
      <c r="BH387" s="20" t="inlineStr">
        <is>
          <t>IC Kationen</t>
        </is>
      </c>
      <c r="BI387" s="20" t="inlineStr">
        <is>
          <t>None</t>
        </is>
      </c>
      <c r="BJ387" s="17" t="n"/>
      <c r="BK387" s="16" t="n"/>
      <c r="BL387" s="20" t="inlineStr">
        <is>
          <t>IC Kationen</t>
        </is>
      </c>
      <c r="BM387" s="20" t="inlineStr">
        <is>
          <t>None</t>
        </is>
      </c>
      <c r="BN387" s="17" t="n"/>
      <c r="BO387" s="16" t="n"/>
      <c r="BP387" s="20" t="inlineStr">
        <is>
          <t>IC Kationen</t>
        </is>
      </c>
      <c r="BQ387" s="20" t="inlineStr">
        <is>
          <t>None</t>
        </is>
      </c>
      <c r="BR387" s="17" t="n"/>
      <c r="BS387" s="16" t="n"/>
      <c r="BT387" s="20" t="inlineStr">
        <is>
          <t>IC Kationen</t>
        </is>
      </c>
      <c r="BU387" s="20" t="inlineStr">
        <is>
          <t>None</t>
        </is>
      </c>
      <c r="BV387" s="17" t="n"/>
      <c r="BW387" s="16" t="n"/>
      <c r="BX387" s="20" t="n"/>
      <c r="BY387" s="20" t="inlineStr">
        <is>
          <t>None</t>
        </is>
      </c>
      <c r="BZ387" s="17" t="n"/>
      <c r="CA387" s="16" t="n"/>
      <c r="CB387" s="20" t="n"/>
      <c r="CC387" s="20" t="inlineStr">
        <is>
          <t>None</t>
        </is>
      </c>
      <c r="CD387" s="17" t="n"/>
      <c r="CE387" s="16" t="n"/>
      <c r="CF387" s="20" t="n"/>
      <c r="CG387" s="20" t="inlineStr">
        <is>
          <t>None</t>
        </is>
      </c>
      <c r="CH387" s="17" t="n"/>
      <c r="CI387" s="16" t="n"/>
      <c r="CJ387" s="20" t="n"/>
      <c r="CK387" s="20" t="inlineStr">
        <is>
          <t>None</t>
        </is>
      </c>
      <c r="CL387" s="17" t="n"/>
      <c r="CM387" s="16" t="n"/>
      <c r="CN387" s="20" t="inlineStr">
        <is>
          <t>SOP 45-34</t>
        </is>
      </c>
      <c r="CO387" s="20" t="inlineStr">
        <is>
          <t>None</t>
        </is>
      </c>
      <c r="CP387" s="17" t="n"/>
      <c r="CQ387" s="16" t="n"/>
      <c r="CR387" s="20" t="n"/>
      <c r="CS387" s="20" t="inlineStr">
        <is>
          <t>None</t>
        </is>
      </c>
      <c r="CT387" s="17" t="n"/>
      <c r="CU387" s="16" t="n"/>
      <c r="CV387" s="20" t="n"/>
      <c r="CW387" s="20" t="inlineStr">
        <is>
          <t>None</t>
        </is>
      </c>
      <c r="CX387" s="17" t="n"/>
      <c r="CY387" s="16" t="n"/>
      <c r="CZ387" s="20" t="inlineStr">
        <is>
          <t>WTW Multimeter 3430 with FDO 925</t>
        </is>
      </c>
      <c r="DA387" s="20" t="inlineStr">
        <is>
          <t>None</t>
        </is>
      </c>
      <c r="DB387" s="17" t="n"/>
      <c r="DC387" s="16" t="n"/>
      <c r="DD387" s="20" t="n"/>
      <c r="DE387" s="20" t="inlineStr">
        <is>
          <t>None</t>
        </is>
      </c>
      <c r="DF387" s="17" t="n"/>
      <c r="DG387" s="16" t="n"/>
      <c r="DH387" s="20" t="inlineStr">
        <is>
          <t>SOP 45-09</t>
        </is>
      </c>
      <c r="DI387" s="20" t="inlineStr">
        <is>
          <t>None</t>
        </is>
      </c>
      <c r="DJ387" s="17" t="n"/>
      <c r="DK387" s="16" t="n"/>
      <c r="DL387" s="20" t="inlineStr">
        <is>
          <t>SOP 45-09 (SOP muss noch angepasst werden für VSS)</t>
        </is>
      </c>
      <c r="DM387" s="20" t="inlineStr">
        <is>
          <t>None</t>
        </is>
      </c>
      <c r="DN387" s="17" t="n"/>
      <c r="DO387" s="16" t="n"/>
      <c r="DP387" s="20" t="inlineStr">
        <is>
          <t>IC Organic Acids</t>
        </is>
      </c>
      <c r="DQ387" s="20" t="inlineStr">
        <is>
          <t>None</t>
        </is>
      </c>
      <c r="DR387" s="17" t="n"/>
      <c r="DS387" s="16" t="n"/>
      <c r="DT387" s="20" t="inlineStr">
        <is>
          <t>IC Organic Acids</t>
        </is>
      </c>
      <c r="DU387" s="20" t="inlineStr">
        <is>
          <t>None</t>
        </is>
      </c>
      <c r="DV387" s="17" t="n"/>
      <c r="DW387" s="16" t="n"/>
      <c r="DX387" s="20" t="inlineStr">
        <is>
          <t>IC Organic Acids</t>
        </is>
      </c>
      <c r="DY387" s="20" t="inlineStr">
        <is>
          <t>None</t>
        </is>
      </c>
      <c r="DZ387" s="17" t="n"/>
      <c r="EA387" s="16" t="n"/>
      <c r="EB387" s="20" t="inlineStr">
        <is>
          <t>IC Organic Acids</t>
        </is>
      </c>
      <c r="EC387" s="20" t="inlineStr">
        <is>
          <t>None</t>
        </is>
      </c>
      <c r="ED387" s="17" t="n"/>
      <c r="EE387" s="16" t="n"/>
      <c r="EF387" s="20" t="inlineStr">
        <is>
          <t>IC Organic Acids</t>
        </is>
      </c>
      <c r="EG387" s="20" t="inlineStr">
        <is>
          <t>None</t>
        </is>
      </c>
      <c r="EH387" s="17" t="n"/>
      <c r="EI387" s="16" t="n"/>
      <c r="EJ387" s="20" t="inlineStr">
        <is>
          <t>IC Organic Acids</t>
        </is>
      </c>
      <c r="EK387" s="20" t="inlineStr">
        <is>
          <t>None</t>
        </is>
      </c>
      <c r="EL387" s="17" t="n"/>
      <c r="EM387" s="16" t="n"/>
      <c r="EN387" s="20" t="inlineStr">
        <is>
          <t>IC Organic Acids</t>
        </is>
      </c>
      <c r="EO387" s="20" t="inlineStr">
        <is>
          <t>None</t>
        </is>
      </c>
      <c r="EP387" s="17" t="n"/>
      <c r="EQ387" s="16" t="n"/>
      <c r="ER387" s="20" t="inlineStr">
        <is>
          <t>IC Organic Acids</t>
        </is>
      </c>
      <c r="ES387" s="20" t="inlineStr">
        <is>
          <t>None</t>
        </is>
      </c>
      <c r="ET387" s="17" t="n"/>
      <c r="EU387" s="16" t="n"/>
      <c r="EV387" s="20" t="inlineStr">
        <is>
          <t>LC-MS</t>
        </is>
      </c>
      <c r="EW387" s="20" t="inlineStr">
        <is>
          <t>None</t>
        </is>
      </c>
      <c r="EX387" s="17" t="n"/>
      <c r="EY387" s="21" t="n"/>
      <c r="EZ387">
        <f>CONCATENATE(A387,B387)</f>
        <v/>
      </c>
      <c r="FA387">
        <f>CONCATENATE(SamplesX!A387,SamplesX!B387)</f>
        <v/>
      </c>
      <c r="FC387">
        <f>MATCH(EZ387,FA1:FA1008,0)</f>
        <v/>
      </c>
    </row>
    <row r="388">
      <c r="A388" s="16" t="inlineStr">
        <is>
          <t>BP</t>
        </is>
      </c>
      <c r="B388" s="17" t="inlineStr">
        <is>
          <t>25380</t>
        </is>
      </c>
      <c r="C388" s="10">
        <f>IF(ISNUMBER(FC388),INDIRECT("SamplesX!C"&amp;FC388),IF(ISNUMBER(FD388),INDIRECT("SamplesY!C"&amp;FD388),""))</f>
        <v/>
      </c>
      <c r="D388" s="12">
        <f>IF(ISNUMBER(FC388),INDIRECT("SamplesX!D"&amp;FC388),IF(ISNUMBER(FD388),INDIRECT("SamplesY!D"&amp;FD388),""))</f>
        <v/>
      </c>
      <c r="E388" s="12">
        <f>IF(ISNUMBER(FC388),INDIRECT("SamplesX!E"&amp;FC388),IF(ISNUMBER(FD388),INDIRECT("SamplesY!E"&amp;FD388),""))</f>
        <v/>
      </c>
      <c r="F388" s="11">
        <f>IF(ISNUMBER(FC388),INDIRECT("SamplesX!F"&amp;FC388),IF(ISNUMBER(FD388),INDIRECT("SamplesY!F"&amp;FD388),""))</f>
        <v/>
      </c>
      <c r="G388" s="18">
        <f>IF(ISNUMBER(FC388),INDIRECT("SamplesX!G"&amp;FC388),IF(ISNUMBER(FD388),INDIRECT("SamplesY!G"&amp;FD388),""))</f>
        <v/>
      </c>
      <c r="H388" s="19">
        <f>IF(ISNUMBER(FC388),INDIRECT("SamplesX!H"&amp;FC388),IF(ISNUMBER(FD388),INDIRECT("SamplesY!H"&amp;FD388),""))</f>
        <v/>
      </c>
      <c r="I388" s="16" t="n"/>
      <c r="J388" s="16" t="n"/>
      <c r="K388" s="16" t="n"/>
      <c r="L388" s="20" t="n"/>
      <c r="M388" s="20" t="inlineStr">
        <is>
          <t>None</t>
        </is>
      </c>
      <c r="N388" s="17" t="n"/>
      <c r="O388" s="16" t="n"/>
      <c r="P388" s="20" t="inlineStr">
        <is>
          <t>Shimadzu TOC-L</t>
        </is>
      </c>
      <c r="Q388" s="20" t="inlineStr">
        <is>
          <t>None</t>
        </is>
      </c>
      <c r="R388" s="17" t="n"/>
      <c r="S388" s="16" t="n"/>
      <c r="T388" s="20" t="inlineStr">
        <is>
          <t>Shimadzu TOC-L</t>
        </is>
      </c>
      <c r="U388" s="20" t="inlineStr">
        <is>
          <t>None</t>
        </is>
      </c>
      <c r="V388" s="17" t="n"/>
      <c r="W388" s="16" t="n"/>
      <c r="X388" s="20" t="n"/>
      <c r="Y388" s="20" t="inlineStr">
        <is>
          <t>None</t>
        </is>
      </c>
      <c r="Z388" s="17" t="n"/>
      <c r="AA388" s="16" t="n"/>
      <c r="AB388" s="20" t="n"/>
      <c r="AC388" s="20" t="inlineStr">
        <is>
          <t>None</t>
        </is>
      </c>
      <c r="AD388" s="17" t="n"/>
      <c r="AE388" s="16" t="n"/>
      <c r="AF388" s="20" t="inlineStr">
        <is>
          <t>IC Anionen</t>
        </is>
      </c>
      <c r="AG388" s="20" t="inlineStr">
        <is>
          <t>None</t>
        </is>
      </c>
      <c r="AH388" s="17" t="n"/>
      <c r="AI388" s="16" t="n"/>
      <c r="AJ388" s="20" t="n"/>
      <c r="AK388" s="20" t="inlineStr">
        <is>
          <t>None</t>
        </is>
      </c>
      <c r="AL388" s="17" t="n"/>
      <c r="AM388" s="16" t="n"/>
      <c r="AN388" s="20" t="inlineStr">
        <is>
          <t>IC Anionen</t>
        </is>
      </c>
      <c r="AO388" s="20" t="inlineStr">
        <is>
          <t>None</t>
        </is>
      </c>
      <c r="AP388" s="17" t="n"/>
      <c r="AQ388" s="16" t="n"/>
      <c r="AR388" s="20" t="n"/>
      <c r="AS388" s="20" t="inlineStr">
        <is>
          <t>None</t>
        </is>
      </c>
      <c r="AT388" s="17" t="n"/>
      <c r="AU388" s="16" t="n"/>
      <c r="AV388" s="20" t="n"/>
      <c r="AW388" s="20" t="inlineStr">
        <is>
          <t>None</t>
        </is>
      </c>
      <c r="AX388" s="17" t="n"/>
      <c r="AY388" s="16" t="n"/>
      <c r="AZ388" s="20" t="inlineStr">
        <is>
          <t>IC Anionen</t>
        </is>
      </c>
      <c r="BA388" s="20" t="inlineStr">
        <is>
          <t>None</t>
        </is>
      </c>
      <c r="BB388" s="17" t="n"/>
      <c r="BC388" s="16" t="n"/>
      <c r="BD388" s="20" t="inlineStr">
        <is>
          <t>IC Kationen</t>
        </is>
      </c>
      <c r="BE388" s="20" t="inlineStr">
        <is>
          <t>None</t>
        </is>
      </c>
      <c r="BF388" s="17" t="n"/>
      <c r="BG388" s="16" t="n"/>
      <c r="BH388" s="20" t="inlineStr">
        <is>
          <t>IC Kationen</t>
        </is>
      </c>
      <c r="BI388" s="20" t="inlineStr">
        <is>
          <t>None</t>
        </is>
      </c>
      <c r="BJ388" s="17" t="n"/>
      <c r="BK388" s="16" t="n"/>
      <c r="BL388" s="20" t="inlineStr">
        <is>
          <t>IC Kationen</t>
        </is>
      </c>
      <c r="BM388" s="20" t="inlineStr">
        <is>
          <t>None</t>
        </is>
      </c>
      <c r="BN388" s="17" t="n"/>
      <c r="BO388" s="16" t="n"/>
      <c r="BP388" s="20" t="inlineStr">
        <is>
          <t>IC Kationen</t>
        </is>
      </c>
      <c r="BQ388" s="20" t="inlineStr">
        <is>
          <t>None</t>
        </is>
      </c>
      <c r="BR388" s="17" t="n"/>
      <c r="BS388" s="16" t="n"/>
      <c r="BT388" s="20" t="inlineStr">
        <is>
          <t>IC Kationen</t>
        </is>
      </c>
      <c r="BU388" s="20" t="inlineStr">
        <is>
          <t>None</t>
        </is>
      </c>
      <c r="BV388" s="17" t="n"/>
      <c r="BW388" s="16" t="n"/>
      <c r="BX388" s="20" t="n"/>
      <c r="BY388" s="20" t="inlineStr">
        <is>
          <t>None</t>
        </is>
      </c>
      <c r="BZ388" s="17" t="n"/>
      <c r="CA388" s="16" t="n"/>
      <c r="CB388" s="20" t="n"/>
      <c r="CC388" s="20" t="inlineStr">
        <is>
          <t>None</t>
        </is>
      </c>
      <c r="CD388" s="17" t="n"/>
      <c r="CE388" s="16" t="n"/>
      <c r="CF388" s="20" t="n"/>
      <c r="CG388" s="20" t="inlineStr">
        <is>
          <t>None</t>
        </is>
      </c>
      <c r="CH388" s="17" t="n"/>
      <c r="CI388" s="16" t="n"/>
      <c r="CJ388" s="20" t="n"/>
      <c r="CK388" s="20" t="inlineStr">
        <is>
          <t>None</t>
        </is>
      </c>
      <c r="CL388" s="17" t="n"/>
      <c r="CM388" s="16" t="n"/>
      <c r="CN388" s="20" t="inlineStr">
        <is>
          <t>SOP 45-34</t>
        </is>
      </c>
      <c r="CO388" s="20" t="inlineStr">
        <is>
          <t>None</t>
        </is>
      </c>
      <c r="CP388" s="17" t="n"/>
      <c r="CQ388" s="16" t="n"/>
      <c r="CR388" s="20" t="n"/>
      <c r="CS388" s="20" t="inlineStr">
        <is>
          <t>None</t>
        </is>
      </c>
      <c r="CT388" s="17" t="n"/>
      <c r="CU388" s="16" t="n"/>
      <c r="CV388" s="20" t="n"/>
      <c r="CW388" s="20" t="inlineStr">
        <is>
          <t>None</t>
        </is>
      </c>
      <c r="CX388" s="17" t="n"/>
      <c r="CY388" s="16" t="n"/>
      <c r="CZ388" s="20" t="inlineStr">
        <is>
          <t>WTW Multimeter 3430 with FDO 925</t>
        </is>
      </c>
      <c r="DA388" s="20" t="inlineStr">
        <is>
          <t>None</t>
        </is>
      </c>
      <c r="DB388" s="17" t="n"/>
      <c r="DC388" s="16" t="n"/>
      <c r="DD388" s="20" t="n"/>
      <c r="DE388" s="20" t="inlineStr">
        <is>
          <t>None</t>
        </is>
      </c>
      <c r="DF388" s="17" t="n"/>
      <c r="DG388" s="16" t="n"/>
      <c r="DH388" s="20" t="inlineStr">
        <is>
          <t>SOP 45-09</t>
        </is>
      </c>
      <c r="DI388" s="20" t="inlineStr">
        <is>
          <t>None</t>
        </is>
      </c>
      <c r="DJ388" s="17" t="n"/>
      <c r="DK388" s="16" t="n"/>
      <c r="DL388" s="20" t="inlineStr">
        <is>
          <t>SOP 45-09 (SOP muss noch angepasst werden für VSS)</t>
        </is>
      </c>
      <c r="DM388" s="20" t="inlineStr">
        <is>
          <t>None</t>
        </is>
      </c>
      <c r="DN388" s="17" t="n"/>
      <c r="DO388" s="16" t="n"/>
      <c r="DP388" s="20" t="inlineStr">
        <is>
          <t>IC Organic Acids</t>
        </is>
      </c>
      <c r="DQ388" s="20" t="inlineStr">
        <is>
          <t>None</t>
        </is>
      </c>
      <c r="DR388" s="17" t="n"/>
      <c r="DS388" s="16" t="n"/>
      <c r="DT388" s="20" t="inlineStr">
        <is>
          <t>IC Organic Acids</t>
        </is>
      </c>
      <c r="DU388" s="20" t="inlineStr">
        <is>
          <t>None</t>
        </is>
      </c>
      <c r="DV388" s="17" t="n"/>
      <c r="DW388" s="16" t="n"/>
      <c r="DX388" s="20" t="inlineStr">
        <is>
          <t>IC Organic Acids</t>
        </is>
      </c>
      <c r="DY388" s="20" t="inlineStr">
        <is>
          <t>None</t>
        </is>
      </c>
      <c r="DZ388" s="17" t="n"/>
      <c r="EA388" s="16" t="n"/>
      <c r="EB388" s="20" t="inlineStr">
        <is>
          <t>IC Organic Acids</t>
        </is>
      </c>
      <c r="EC388" s="20" t="inlineStr">
        <is>
          <t>None</t>
        </is>
      </c>
      <c r="ED388" s="17" t="n"/>
      <c r="EE388" s="16" t="n"/>
      <c r="EF388" s="20" t="inlineStr">
        <is>
          <t>IC Organic Acids</t>
        </is>
      </c>
      <c r="EG388" s="20" t="inlineStr">
        <is>
          <t>None</t>
        </is>
      </c>
      <c r="EH388" s="17" t="n"/>
      <c r="EI388" s="16" t="n"/>
      <c r="EJ388" s="20" t="inlineStr">
        <is>
          <t>IC Organic Acids</t>
        </is>
      </c>
      <c r="EK388" s="20" t="inlineStr">
        <is>
          <t>None</t>
        </is>
      </c>
      <c r="EL388" s="17" t="n"/>
      <c r="EM388" s="16" t="n"/>
      <c r="EN388" s="20" t="inlineStr">
        <is>
          <t>IC Organic Acids</t>
        </is>
      </c>
      <c r="EO388" s="20" t="inlineStr">
        <is>
          <t>None</t>
        </is>
      </c>
      <c r="EP388" s="17" t="n"/>
      <c r="EQ388" s="16" t="n"/>
      <c r="ER388" s="20" t="inlineStr">
        <is>
          <t>IC Organic Acids</t>
        </is>
      </c>
      <c r="ES388" s="20" t="inlineStr">
        <is>
          <t>None</t>
        </is>
      </c>
      <c r="ET388" s="17" t="n"/>
      <c r="EU388" s="16" t="n"/>
      <c r="EV388" s="20" t="inlineStr">
        <is>
          <t>LC-MS</t>
        </is>
      </c>
      <c r="EW388" s="20" t="inlineStr">
        <is>
          <t>None</t>
        </is>
      </c>
      <c r="EX388" s="17" t="n"/>
      <c r="EY388" s="21" t="n"/>
      <c r="EZ388">
        <f>CONCATENATE(A388,B388)</f>
        <v/>
      </c>
      <c r="FA388">
        <f>CONCATENATE(SamplesX!A388,SamplesX!B388)</f>
        <v/>
      </c>
      <c r="FC388">
        <f>MATCH(EZ388,FA1:FA1008,0)</f>
        <v/>
      </c>
    </row>
    <row r="389">
      <c r="A389" s="16" t="inlineStr">
        <is>
          <t>BP</t>
        </is>
      </c>
      <c r="B389" s="17" t="inlineStr">
        <is>
          <t>25381</t>
        </is>
      </c>
      <c r="C389" s="10">
        <f>IF(ISNUMBER(FC389),INDIRECT("SamplesX!C"&amp;FC389),IF(ISNUMBER(FD389),INDIRECT("SamplesY!C"&amp;FD389),""))</f>
        <v/>
      </c>
      <c r="D389" s="12">
        <f>IF(ISNUMBER(FC389),INDIRECT("SamplesX!D"&amp;FC389),IF(ISNUMBER(FD389),INDIRECT("SamplesY!D"&amp;FD389),""))</f>
        <v/>
      </c>
      <c r="E389" s="12">
        <f>IF(ISNUMBER(FC389),INDIRECT("SamplesX!E"&amp;FC389),IF(ISNUMBER(FD389),INDIRECT("SamplesY!E"&amp;FD389),""))</f>
        <v/>
      </c>
      <c r="F389" s="11">
        <f>IF(ISNUMBER(FC389),INDIRECT("SamplesX!F"&amp;FC389),IF(ISNUMBER(FD389),INDIRECT("SamplesY!F"&amp;FD389),""))</f>
        <v/>
      </c>
      <c r="G389" s="18">
        <f>IF(ISNUMBER(FC389),INDIRECT("SamplesX!G"&amp;FC389),IF(ISNUMBER(FD389),INDIRECT("SamplesY!G"&amp;FD389),""))</f>
        <v/>
      </c>
      <c r="H389" s="19">
        <f>IF(ISNUMBER(FC389),INDIRECT("SamplesX!H"&amp;FC389),IF(ISNUMBER(FD389),INDIRECT("SamplesY!H"&amp;FD389),""))</f>
        <v/>
      </c>
      <c r="I389" s="16" t="n"/>
      <c r="J389" s="16" t="n"/>
      <c r="K389" s="16" t="n"/>
      <c r="L389" s="20" t="n"/>
      <c r="M389" s="20" t="inlineStr">
        <is>
          <t>None</t>
        </is>
      </c>
      <c r="N389" s="17" t="n"/>
      <c r="O389" s="16" t="n"/>
      <c r="P389" s="20" t="inlineStr">
        <is>
          <t>Shimadzu TOC-L</t>
        </is>
      </c>
      <c r="Q389" s="20" t="inlineStr">
        <is>
          <t>None</t>
        </is>
      </c>
      <c r="R389" s="17" t="n"/>
      <c r="S389" s="16" t="n"/>
      <c r="T389" s="20" t="inlineStr">
        <is>
          <t>Shimadzu TOC-L</t>
        </is>
      </c>
      <c r="U389" s="20" t="inlineStr">
        <is>
          <t>None</t>
        </is>
      </c>
      <c r="V389" s="17" t="n"/>
      <c r="W389" s="16" t="n"/>
      <c r="X389" s="20" t="n"/>
      <c r="Y389" s="20" t="inlineStr">
        <is>
          <t>None</t>
        </is>
      </c>
      <c r="Z389" s="17" t="n"/>
      <c r="AA389" s="16" t="n"/>
      <c r="AB389" s="20" t="n"/>
      <c r="AC389" s="20" t="inlineStr">
        <is>
          <t>None</t>
        </is>
      </c>
      <c r="AD389" s="17" t="n"/>
      <c r="AE389" s="16" t="n"/>
      <c r="AF389" s="20" t="inlineStr">
        <is>
          <t>IC Anionen</t>
        </is>
      </c>
      <c r="AG389" s="20" t="inlineStr">
        <is>
          <t>None</t>
        </is>
      </c>
      <c r="AH389" s="17" t="n"/>
      <c r="AI389" s="16" t="n"/>
      <c r="AJ389" s="20" t="n"/>
      <c r="AK389" s="20" t="inlineStr">
        <is>
          <t>None</t>
        </is>
      </c>
      <c r="AL389" s="17" t="n"/>
      <c r="AM389" s="16" t="n"/>
      <c r="AN389" s="20" t="inlineStr">
        <is>
          <t>IC Anionen</t>
        </is>
      </c>
      <c r="AO389" s="20" t="inlineStr">
        <is>
          <t>None</t>
        </is>
      </c>
      <c r="AP389" s="17" t="n"/>
      <c r="AQ389" s="16" t="n"/>
      <c r="AR389" s="20" t="n"/>
      <c r="AS389" s="20" t="inlineStr">
        <is>
          <t>None</t>
        </is>
      </c>
      <c r="AT389" s="17" t="n"/>
      <c r="AU389" s="16" t="n"/>
      <c r="AV389" s="20" t="n"/>
      <c r="AW389" s="20" t="inlineStr">
        <is>
          <t>None</t>
        </is>
      </c>
      <c r="AX389" s="17" t="n"/>
      <c r="AY389" s="16" t="n"/>
      <c r="AZ389" s="20" t="inlineStr">
        <is>
          <t>IC Anionen</t>
        </is>
      </c>
      <c r="BA389" s="20" t="inlineStr">
        <is>
          <t>None</t>
        </is>
      </c>
      <c r="BB389" s="17" t="n"/>
      <c r="BC389" s="16" t="n"/>
      <c r="BD389" s="20" t="inlineStr">
        <is>
          <t>IC Kationen</t>
        </is>
      </c>
      <c r="BE389" s="20" t="inlineStr">
        <is>
          <t>None</t>
        </is>
      </c>
      <c r="BF389" s="17" t="n"/>
      <c r="BG389" s="16" t="n"/>
      <c r="BH389" s="20" t="inlineStr">
        <is>
          <t>IC Kationen</t>
        </is>
      </c>
      <c r="BI389" s="20" t="inlineStr">
        <is>
          <t>None</t>
        </is>
      </c>
      <c r="BJ389" s="17" t="n"/>
      <c r="BK389" s="16" t="n"/>
      <c r="BL389" s="20" t="inlineStr">
        <is>
          <t>IC Kationen</t>
        </is>
      </c>
      <c r="BM389" s="20" t="inlineStr">
        <is>
          <t>None</t>
        </is>
      </c>
      <c r="BN389" s="17" t="n"/>
      <c r="BO389" s="16" t="n"/>
      <c r="BP389" s="20" t="inlineStr">
        <is>
          <t>IC Kationen</t>
        </is>
      </c>
      <c r="BQ389" s="20" t="inlineStr">
        <is>
          <t>None</t>
        </is>
      </c>
      <c r="BR389" s="17" t="n"/>
      <c r="BS389" s="16" t="n"/>
      <c r="BT389" s="20" t="inlineStr">
        <is>
          <t>IC Kationen</t>
        </is>
      </c>
      <c r="BU389" s="20" t="inlineStr">
        <is>
          <t>None</t>
        </is>
      </c>
      <c r="BV389" s="17" t="n"/>
      <c r="BW389" s="16" t="n"/>
      <c r="BX389" s="20" t="n"/>
      <c r="BY389" s="20" t="inlineStr">
        <is>
          <t>None</t>
        </is>
      </c>
      <c r="BZ389" s="17" t="n"/>
      <c r="CA389" s="16" t="n"/>
      <c r="CB389" s="20" t="n"/>
      <c r="CC389" s="20" t="inlineStr">
        <is>
          <t>None</t>
        </is>
      </c>
      <c r="CD389" s="17" t="n"/>
      <c r="CE389" s="16" t="n"/>
      <c r="CF389" s="20" t="n"/>
      <c r="CG389" s="20" t="inlineStr">
        <is>
          <t>None</t>
        </is>
      </c>
      <c r="CH389" s="17" t="n"/>
      <c r="CI389" s="16" t="n"/>
      <c r="CJ389" s="20" t="n"/>
      <c r="CK389" s="20" t="inlineStr">
        <is>
          <t>None</t>
        </is>
      </c>
      <c r="CL389" s="17" t="n"/>
      <c r="CM389" s="16" t="n"/>
      <c r="CN389" s="20" t="inlineStr">
        <is>
          <t>SOP 45-34</t>
        </is>
      </c>
      <c r="CO389" s="20" t="inlineStr">
        <is>
          <t>None</t>
        </is>
      </c>
      <c r="CP389" s="17" t="n"/>
      <c r="CQ389" s="16" t="n"/>
      <c r="CR389" s="20" t="n"/>
      <c r="CS389" s="20" t="inlineStr">
        <is>
          <t>None</t>
        </is>
      </c>
      <c r="CT389" s="17" t="n"/>
      <c r="CU389" s="16" t="n"/>
      <c r="CV389" s="20" t="n"/>
      <c r="CW389" s="20" t="inlineStr">
        <is>
          <t>None</t>
        </is>
      </c>
      <c r="CX389" s="17" t="n"/>
      <c r="CY389" s="16" t="n"/>
      <c r="CZ389" s="20" t="inlineStr">
        <is>
          <t>WTW Multimeter 3430 with FDO 925</t>
        </is>
      </c>
      <c r="DA389" s="20" t="inlineStr">
        <is>
          <t>None</t>
        </is>
      </c>
      <c r="DB389" s="17" t="n"/>
      <c r="DC389" s="16" t="n"/>
      <c r="DD389" s="20" t="n"/>
      <c r="DE389" s="20" t="inlineStr">
        <is>
          <t>None</t>
        </is>
      </c>
      <c r="DF389" s="17" t="n"/>
      <c r="DG389" s="16" t="n"/>
      <c r="DH389" s="20" t="inlineStr">
        <is>
          <t>SOP 45-09</t>
        </is>
      </c>
      <c r="DI389" s="20" t="inlineStr">
        <is>
          <t>None</t>
        </is>
      </c>
      <c r="DJ389" s="17" t="n"/>
      <c r="DK389" s="16" t="n"/>
      <c r="DL389" s="20" t="inlineStr">
        <is>
          <t>SOP 45-09 (SOP muss noch angepasst werden für VSS)</t>
        </is>
      </c>
      <c r="DM389" s="20" t="inlineStr">
        <is>
          <t>None</t>
        </is>
      </c>
      <c r="DN389" s="17" t="n"/>
      <c r="DO389" s="16" t="n"/>
      <c r="DP389" s="20" t="inlineStr">
        <is>
          <t>IC Organic Acids</t>
        </is>
      </c>
      <c r="DQ389" s="20" t="inlineStr">
        <is>
          <t>None</t>
        </is>
      </c>
      <c r="DR389" s="17" t="n"/>
      <c r="DS389" s="16" t="n"/>
      <c r="DT389" s="20" t="inlineStr">
        <is>
          <t>IC Organic Acids</t>
        </is>
      </c>
      <c r="DU389" s="20" t="inlineStr">
        <is>
          <t>None</t>
        </is>
      </c>
      <c r="DV389" s="17" t="n"/>
      <c r="DW389" s="16" t="n"/>
      <c r="DX389" s="20" t="inlineStr">
        <is>
          <t>IC Organic Acids</t>
        </is>
      </c>
      <c r="DY389" s="20" t="inlineStr">
        <is>
          <t>None</t>
        </is>
      </c>
      <c r="DZ389" s="17" t="n"/>
      <c r="EA389" s="16" t="n"/>
      <c r="EB389" s="20" t="inlineStr">
        <is>
          <t>IC Organic Acids</t>
        </is>
      </c>
      <c r="EC389" s="20" t="inlineStr">
        <is>
          <t>None</t>
        </is>
      </c>
      <c r="ED389" s="17" t="n"/>
      <c r="EE389" s="16" t="n"/>
      <c r="EF389" s="20" t="inlineStr">
        <is>
          <t>IC Organic Acids</t>
        </is>
      </c>
      <c r="EG389" s="20" t="inlineStr">
        <is>
          <t>None</t>
        </is>
      </c>
      <c r="EH389" s="17" t="n"/>
      <c r="EI389" s="16" t="n"/>
      <c r="EJ389" s="20" t="inlineStr">
        <is>
          <t>IC Organic Acids</t>
        </is>
      </c>
      <c r="EK389" s="20" t="inlineStr">
        <is>
          <t>None</t>
        </is>
      </c>
      <c r="EL389" s="17" t="n"/>
      <c r="EM389" s="16" t="n"/>
      <c r="EN389" s="20" t="inlineStr">
        <is>
          <t>IC Organic Acids</t>
        </is>
      </c>
      <c r="EO389" s="20" t="inlineStr">
        <is>
          <t>None</t>
        </is>
      </c>
      <c r="EP389" s="17" t="n"/>
      <c r="EQ389" s="16" t="n"/>
      <c r="ER389" s="20" t="inlineStr">
        <is>
          <t>IC Organic Acids</t>
        </is>
      </c>
      <c r="ES389" s="20" t="inlineStr">
        <is>
          <t>None</t>
        </is>
      </c>
      <c r="ET389" s="17" t="n"/>
      <c r="EU389" s="16" t="n"/>
      <c r="EV389" s="20" t="inlineStr">
        <is>
          <t>LC-MS</t>
        </is>
      </c>
      <c r="EW389" s="20" t="inlineStr">
        <is>
          <t>None</t>
        </is>
      </c>
      <c r="EX389" s="17" t="n"/>
      <c r="EY389" s="21" t="n"/>
      <c r="EZ389">
        <f>CONCATENATE(A389,B389)</f>
        <v/>
      </c>
      <c r="FA389">
        <f>CONCATENATE(SamplesX!A389,SamplesX!B389)</f>
        <v/>
      </c>
      <c r="FC389">
        <f>MATCH(EZ389,FA1:FA1008,0)</f>
        <v/>
      </c>
    </row>
    <row r="390">
      <c r="A390" s="16" t="inlineStr">
        <is>
          <t>BP</t>
        </is>
      </c>
      <c r="B390" s="17" t="inlineStr">
        <is>
          <t>25382</t>
        </is>
      </c>
      <c r="C390" s="10">
        <f>IF(ISNUMBER(FC390),INDIRECT("SamplesX!C"&amp;FC390),IF(ISNUMBER(FD390),INDIRECT("SamplesY!C"&amp;FD390),""))</f>
        <v/>
      </c>
      <c r="D390" s="12">
        <f>IF(ISNUMBER(FC390),INDIRECT("SamplesX!D"&amp;FC390),IF(ISNUMBER(FD390),INDIRECT("SamplesY!D"&amp;FD390),""))</f>
        <v/>
      </c>
      <c r="E390" s="12">
        <f>IF(ISNUMBER(FC390),INDIRECT("SamplesX!E"&amp;FC390),IF(ISNUMBER(FD390),INDIRECT("SamplesY!E"&amp;FD390),""))</f>
        <v/>
      </c>
      <c r="F390" s="11">
        <f>IF(ISNUMBER(FC390),INDIRECT("SamplesX!F"&amp;FC390),IF(ISNUMBER(FD390),INDIRECT("SamplesY!F"&amp;FD390),""))</f>
        <v/>
      </c>
      <c r="G390" s="18">
        <f>IF(ISNUMBER(FC390),INDIRECT("SamplesX!G"&amp;FC390),IF(ISNUMBER(FD390),INDIRECT("SamplesY!G"&amp;FD390),""))</f>
        <v/>
      </c>
      <c r="H390" s="19">
        <f>IF(ISNUMBER(FC390),INDIRECT("SamplesX!H"&amp;FC390),IF(ISNUMBER(FD390),INDIRECT("SamplesY!H"&amp;FD390),""))</f>
        <v/>
      </c>
      <c r="I390" s="16" t="n"/>
      <c r="J390" s="16" t="n"/>
      <c r="K390" s="16" t="n"/>
      <c r="L390" s="20" t="n"/>
      <c r="M390" s="20" t="inlineStr">
        <is>
          <t>None</t>
        </is>
      </c>
      <c r="N390" s="17" t="n"/>
      <c r="O390" s="16" t="n"/>
      <c r="P390" s="20" t="inlineStr">
        <is>
          <t>Shimadzu TOC-L</t>
        </is>
      </c>
      <c r="Q390" s="20" t="inlineStr">
        <is>
          <t>None</t>
        </is>
      </c>
      <c r="R390" s="17" t="n"/>
      <c r="S390" s="16" t="n"/>
      <c r="T390" s="20" t="inlineStr">
        <is>
          <t>Shimadzu TOC-L</t>
        </is>
      </c>
      <c r="U390" s="20" t="inlineStr">
        <is>
          <t>None</t>
        </is>
      </c>
      <c r="V390" s="17" t="n"/>
      <c r="W390" s="16" t="n"/>
      <c r="X390" s="20" t="n"/>
      <c r="Y390" s="20" t="inlineStr">
        <is>
          <t>None</t>
        </is>
      </c>
      <c r="Z390" s="17" t="n"/>
      <c r="AA390" s="16" t="n"/>
      <c r="AB390" s="20" t="n"/>
      <c r="AC390" s="20" t="inlineStr">
        <is>
          <t>None</t>
        </is>
      </c>
      <c r="AD390" s="17" t="n"/>
      <c r="AE390" s="16" t="n"/>
      <c r="AF390" s="20" t="inlineStr">
        <is>
          <t>IC Anionen</t>
        </is>
      </c>
      <c r="AG390" s="20" t="inlineStr">
        <is>
          <t>None</t>
        </is>
      </c>
      <c r="AH390" s="17" t="n"/>
      <c r="AI390" s="16" t="n"/>
      <c r="AJ390" s="20" t="n"/>
      <c r="AK390" s="20" t="inlineStr">
        <is>
          <t>None</t>
        </is>
      </c>
      <c r="AL390" s="17" t="n"/>
      <c r="AM390" s="16" t="n"/>
      <c r="AN390" s="20" t="inlineStr">
        <is>
          <t>IC Anionen</t>
        </is>
      </c>
      <c r="AO390" s="20" t="inlineStr">
        <is>
          <t>None</t>
        </is>
      </c>
      <c r="AP390" s="17" t="n"/>
      <c r="AQ390" s="16" t="n"/>
      <c r="AR390" s="20" t="n"/>
      <c r="AS390" s="20" t="inlineStr">
        <is>
          <t>None</t>
        </is>
      </c>
      <c r="AT390" s="17" t="n"/>
      <c r="AU390" s="16" t="n"/>
      <c r="AV390" s="20" t="n"/>
      <c r="AW390" s="20" t="inlineStr">
        <is>
          <t>None</t>
        </is>
      </c>
      <c r="AX390" s="17" t="n"/>
      <c r="AY390" s="16" t="n"/>
      <c r="AZ390" s="20" t="inlineStr">
        <is>
          <t>IC Anionen</t>
        </is>
      </c>
      <c r="BA390" s="20" t="inlineStr">
        <is>
          <t>None</t>
        </is>
      </c>
      <c r="BB390" s="17" t="n"/>
      <c r="BC390" s="16" t="n"/>
      <c r="BD390" s="20" t="inlineStr">
        <is>
          <t>IC Kationen</t>
        </is>
      </c>
      <c r="BE390" s="20" t="inlineStr">
        <is>
          <t>None</t>
        </is>
      </c>
      <c r="BF390" s="17" t="n"/>
      <c r="BG390" s="16" t="n"/>
      <c r="BH390" s="20" t="inlineStr">
        <is>
          <t>IC Kationen</t>
        </is>
      </c>
      <c r="BI390" s="20" t="inlineStr">
        <is>
          <t>None</t>
        </is>
      </c>
      <c r="BJ390" s="17" t="n"/>
      <c r="BK390" s="16" t="n"/>
      <c r="BL390" s="20" t="inlineStr">
        <is>
          <t>IC Kationen</t>
        </is>
      </c>
      <c r="BM390" s="20" t="inlineStr">
        <is>
          <t>None</t>
        </is>
      </c>
      <c r="BN390" s="17" t="n"/>
      <c r="BO390" s="16" t="n"/>
      <c r="BP390" s="20" t="inlineStr">
        <is>
          <t>IC Kationen</t>
        </is>
      </c>
      <c r="BQ390" s="20" t="inlineStr">
        <is>
          <t>None</t>
        </is>
      </c>
      <c r="BR390" s="17" t="n"/>
      <c r="BS390" s="16" t="n"/>
      <c r="BT390" s="20" t="inlineStr">
        <is>
          <t>IC Kationen</t>
        </is>
      </c>
      <c r="BU390" s="20" t="inlineStr">
        <is>
          <t>None</t>
        </is>
      </c>
      <c r="BV390" s="17" t="n"/>
      <c r="BW390" s="16" t="n"/>
      <c r="BX390" s="20" t="n"/>
      <c r="BY390" s="20" t="inlineStr">
        <is>
          <t>None</t>
        </is>
      </c>
      <c r="BZ390" s="17" t="n"/>
      <c r="CA390" s="16" t="n"/>
      <c r="CB390" s="20" t="n"/>
      <c r="CC390" s="20" t="inlineStr">
        <is>
          <t>None</t>
        </is>
      </c>
      <c r="CD390" s="17" t="n"/>
      <c r="CE390" s="16" t="n"/>
      <c r="CF390" s="20" t="n"/>
      <c r="CG390" s="20" t="inlineStr">
        <is>
          <t>None</t>
        </is>
      </c>
      <c r="CH390" s="17" t="n"/>
      <c r="CI390" s="16" t="n"/>
      <c r="CJ390" s="20" t="n"/>
      <c r="CK390" s="20" t="inlineStr">
        <is>
          <t>None</t>
        </is>
      </c>
      <c r="CL390" s="17" t="n"/>
      <c r="CM390" s="16" t="n"/>
      <c r="CN390" s="20" t="inlineStr">
        <is>
          <t>SOP 45-34</t>
        </is>
      </c>
      <c r="CO390" s="20" t="inlineStr">
        <is>
          <t>None</t>
        </is>
      </c>
      <c r="CP390" s="17" t="n"/>
      <c r="CQ390" s="16" t="n"/>
      <c r="CR390" s="20" t="n"/>
      <c r="CS390" s="20" t="inlineStr">
        <is>
          <t>None</t>
        </is>
      </c>
      <c r="CT390" s="17" t="n"/>
      <c r="CU390" s="16" t="n"/>
      <c r="CV390" s="20" t="n"/>
      <c r="CW390" s="20" t="inlineStr">
        <is>
          <t>None</t>
        </is>
      </c>
      <c r="CX390" s="17" t="n"/>
      <c r="CY390" s="16" t="n"/>
      <c r="CZ390" s="20" t="inlineStr">
        <is>
          <t>WTW Multimeter 3430 with FDO 925</t>
        </is>
      </c>
      <c r="DA390" s="20" t="inlineStr">
        <is>
          <t>None</t>
        </is>
      </c>
      <c r="DB390" s="17" t="n"/>
      <c r="DC390" s="16" t="n"/>
      <c r="DD390" s="20" t="n"/>
      <c r="DE390" s="20" t="inlineStr">
        <is>
          <t>None</t>
        </is>
      </c>
      <c r="DF390" s="17" t="n"/>
      <c r="DG390" s="16" t="n"/>
      <c r="DH390" s="20" t="inlineStr">
        <is>
          <t>SOP 45-09</t>
        </is>
      </c>
      <c r="DI390" s="20" t="inlineStr">
        <is>
          <t>None</t>
        </is>
      </c>
      <c r="DJ390" s="17" t="n"/>
      <c r="DK390" s="16" t="n"/>
      <c r="DL390" s="20" t="inlineStr">
        <is>
          <t>SOP 45-09 (SOP muss noch angepasst werden für VSS)</t>
        </is>
      </c>
      <c r="DM390" s="20" t="inlineStr">
        <is>
          <t>None</t>
        </is>
      </c>
      <c r="DN390" s="17" t="n"/>
      <c r="DO390" s="16" t="n"/>
      <c r="DP390" s="20" t="inlineStr">
        <is>
          <t>IC Organic Acids</t>
        </is>
      </c>
      <c r="DQ390" s="20" t="inlineStr">
        <is>
          <t>None</t>
        </is>
      </c>
      <c r="DR390" s="17" t="n"/>
      <c r="DS390" s="16" t="n"/>
      <c r="DT390" s="20" t="inlineStr">
        <is>
          <t>IC Organic Acids</t>
        </is>
      </c>
      <c r="DU390" s="20" t="inlineStr">
        <is>
          <t>None</t>
        </is>
      </c>
      <c r="DV390" s="17" t="n"/>
      <c r="DW390" s="16" t="n"/>
      <c r="DX390" s="20" t="inlineStr">
        <is>
          <t>IC Organic Acids</t>
        </is>
      </c>
      <c r="DY390" s="20" t="inlineStr">
        <is>
          <t>None</t>
        </is>
      </c>
      <c r="DZ390" s="17" t="n"/>
      <c r="EA390" s="16" t="n"/>
      <c r="EB390" s="20" t="inlineStr">
        <is>
          <t>IC Organic Acids</t>
        </is>
      </c>
      <c r="EC390" s="20" t="inlineStr">
        <is>
          <t>None</t>
        </is>
      </c>
      <c r="ED390" s="17" t="n"/>
      <c r="EE390" s="16" t="n"/>
      <c r="EF390" s="20" t="inlineStr">
        <is>
          <t>IC Organic Acids</t>
        </is>
      </c>
      <c r="EG390" s="20" t="inlineStr">
        <is>
          <t>None</t>
        </is>
      </c>
      <c r="EH390" s="17" t="n"/>
      <c r="EI390" s="16" t="n"/>
      <c r="EJ390" s="20" t="inlineStr">
        <is>
          <t>IC Organic Acids</t>
        </is>
      </c>
      <c r="EK390" s="20" t="inlineStr">
        <is>
          <t>None</t>
        </is>
      </c>
      <c r="EL390" s="17" t="n"/>
      <c r="EM390" s="16" t="n"/>
      <c r="EN390" s="20" t="inlineStr">
        <is>
          <t>IC Organic Acids</t>
        </is>
      </c>
      <c r="EO390" s="20" t="inlineStr">
        <is>
          <t>None</t>
        </is>
      </c>
      <c r="EP390" s="17" t="n"/>
      <c r="EQ390" s="16" t="n"/>
      <c r="ER390" s="20" t="inlineStr">
        <is>
          <t>IC Organic Acids</t>
        </is>
      </c>
      <c r="ES390" s="20" t="inlineStr">
        <is>
          <t>None</t>
        </is>
      </c>
      <c r="ET390" s="17" t="n"/>
      <c r="EU390" s="16" t="n"/>
      <c r="EV390" s="20" t="inlineStr">
        <is>
          <t>LC-MS</t>
        </is>
      </c>
      <c r="EW390" s="20" t="inlineStr">
        <is>
          <t>None</t>
        </is>
      </c>
      <c r="EX390" s="17" t="n"/>
      <c r="EY390" s="21" t="n"/>
      <c r="EZ390">
        <f>CONCATENATE(A390,B390)</f>
        <v/>
      </c>
      <c r="FA390">
        <f>CONCATENATE(SamplesX!A390,SamplesX!B390)</f>
        <v/>
      </c>
      <c r="FC390">
        <f>MATCH(EZ390,FA1:FA1008,0)</f>
        <v/>
      </c>
    </row>
    <row r="391">
      <c r="A391" s="16" t="inlineStr">
        <is>
          <t>BP</t>
        </is>
      </c>
      <c r="B391" s="17" t="inlineStr">
        <is>
          <t>25383</t>
        </is>
      </c>
      <c r="C391" s="10">
        <f>IF(ISNUMBER(FC391),INDIRECT("SamplesX!C"&amp;FC391),IF(ISNUMBER(FD391),INDIRECT("SamplesY!C"&amp;FD391),""))</f>
        <v/>
      </c>
      <c r="D391" s="12">
        <f>IF(ISNUMBER(FC391),INDIRECT("SamplesX!D"&amp;FC391),IF(ISNUMBER(FD391),INDIRECT("SamplesY!D"&amp;FD391),""))</f>
        <v/>
      </c>
      <c r="E391" s="12">
        <f>IF(ISNUMBER(FC391),INDIRECT("SamplesX!E"&amp;FC391),IF(ISNUMBER(FD391),INDIRECT("SamplesY!E"&amp;FD391),""))</f>
        <v/>
      </c>
      <c r="F391" s="11">
        <f>IF(ISNUMBER(FC391),INDIRECT("SamplesX!F"&amp;FC391),IF(ISNUMBER(FD391),INDIRECT("SamplesY!F"&amp;FD391),""))</f>
        <v/>
      </c>
      <c r="G391" s="18">
        <f>IF(ISNUMBER(FC391),INDIRECT("SamplesX!G"&amp;FC391),IF(ISNUMBER(FD391),INDIRECT("SamplesY!G"&amp;FD391),""))</f>
        <v/>
      </c>
      <c r="H391" s="19">
        <f>IF(ISNUMBER(FC391),INDIRECT("SamplesX!H"&amp;FC391),IF(ISNUMBER(FD391),INDIRECT("SamplesY!H"&amp;FD391),""))</f>
        <v/>
      </c>
      <c r="I391" s="16" t="n"/>
      <c r="J391" s="16" t="n"/>
      <c r="K391" s="16" t="n"/>
      <c r="L391" s="20" t="n"/>
      <c r="M391" s="20" t="inlineStr">
        <is>
          <t>None</t>
        </is>
      </c>
      <c r="N391" s="17" t="n"/>
      <c r="O391" s="16" t="n"/>
      <c r="P391" s="20" t="inlineStr">
        <is>
          <t>Shimadzu TOC-L</t>
        </is>
      </c>
      <c r="Q391" s="20" t="inlineStr">
        <is>
          <t>None</t>
        </is>
      </c>
      <c r="R391" s="17" t="n"/>
      <c r="S391" s="16" t="n"/>
      <c r="T391" s="20" t="inlineStr">
        <is>
          <t>Shimadzu TOC-L</t>
        </is>
      </c>
      <c r="U391" s="20" t="inlineStr">
        <is>
          <t>None</t>
        </is>
      </c>
      <c r="V391" s="17" t="n"/>
      <c r="W391" s="16" t="n"/>
      <c r="X391" s="20" t="n"/>
      <c r="Y391" s="20" t="inlineStr">
        <is>
          <t>None</t>
        </is>
      </c>
      <c r="Z391" s="17" t="n"/>
      <c r="AA391" s="16" t="n"/>
      <c r="AB391" s="20" t="n"/>
      <c r="AC391" s="20" t="inlineStr">
        <is>
          <t>None</t>
        </is>
      </c>
      <c r="AD391" s="17" t="n"/>
      <c r="AE391" s="16" t="n"/>
      <c r="AF391" s="20" t="inlineStr">
        <is>
          <t>IC Anionen</t>
        </is>
      </c>
      <c r="AG391" s="20" t="inlineStr">
        <is>
          <t>None</t>
        </is>
      </c>
      <c r="AH391" s="17" t="n"/>
      <c r="AI391" s="16" t="n"/>
      <c r="AJ391" s="20" t="n"/>
      <c r="AK391" s="20" t="inlineStr">
        <is>
          <t>None</t>
        </is>
      </c>
      <c r="AL391" s="17" t="n"/>
      <c r="AM391" s="16" t="n"/>
      <c r="AN391" s="20" t="inlineStr">
        <is>
          <t>IC Anionen</t>
        </is>
      </c>
      <c r="AO391" s="20" t="inlineStr">
        <is>
          <t>None</t>
        </is>
      </c>
      <c r="AP391" s="17" t="n"/>
      <c r="AQ391" s="16" t="n"/>
      <c r="AR391" s="20" t="n"/>
      <c r="AS391" s="20" t="inlineStr">
        <is>
          <t>None</t>
        </is>
      </c>
      <c r="AT391" s="17" t="n"/>
      <c r="AU391" s="16" t="n"/>
      <c r="AV391" s="20" t="n"/>
      <c r="AW391" s="20" t="inlineStr">
        <is>
          <t>None</t>
        </is>
      </c>
      <c r="AX391" s="17" t="n"/>
      <c r="AY391" s="16" t="n"/>
      <c r="AZ391" s="20" t="inlineStr">
        <is>
          <t>IC Anionen</t>
        </is>
      </c>
      <c r="BA391" s="20" t="inlineStr">
        <is>
          <t>None</t>
        </is>
      </c>
      <c r="BB391" s="17" t="n"/>
      <c r="BC391" s="16" t="n"/>
      <c r="BD391" s="20" t="inlineStr">
        <is>
          <t>IC Kationen</t>
        </is>
      </c>
      <c r="BE391" s="20" t="inlineStr">
        <is>
          <t>None</t>
        </is>
      </c>
      <c r="BF391" s="17" t="n"/>
      <c r="BG391" s="16" t="n"/>
      <c r="BH391" s="20" t="inlineStr">
        <is>
          <t>IC Kationen</t>
        </is>
      </c>
      <c r="BI391" s="20" t="inlineStr">
        <is>
          <t>None</t>
        </is>
      </c>
      <c r="BJ391" s="17" t="n"/>
      <c r="BK391" s="16" t="n"/>
      <c r="BL391" s="20" t="inlineStr">
        <is>
          <t>IC Kationen</t>
        </is>
      </c>
      <c r="BM391" s="20" t="inlineStr">
        <is>
          <t>None</t>
        </is>
      </c>
      <c r="BN391" s="17" t="n"/>
      <c r="BO391" s="16" t="n"/>
      <c r="BP391" s="20" t="inlineStr">
        <is>
          <t>IC Kationen</t>
        </is>
      </c>
      <c r="BQ391" s="20" t="inlineStr">
        <is>
          <t>None</t>
        </is>
      </c>
      <c r="BR391" s="17" t="n"/>
      <c r="BS391" s="16" t="n"/>
      <c r="BT391" s="20" t="inlineStr">
        <is>
          <t>IC Kationen</t>
        </is>
      </c>
      <c r="BU391" s="20" t="inlineStr">
        <is>
          <t>None</t>
        </is>
      </c>
      <c r="BV391" s="17" t="n"/>
      <c r="BW391" s="16" t="n"/>
      <c r="BX391" s="20" t="n"/>
      <c r="BY391" s="20" t="inlineStr">
        <is>
          <t>None</t>
        </is>
      </c>
      <c r="BZ391" s="17" t="n"/>
      <c r="CA391" s="16" t="n"/>
      <c r="CB391" s="20" t="n"/>
      <c r="CC391" s="20" t="inlineStr">
        <is>
          <t>None</t>
        </is>
      </c>
      <c r="CD391" s="17" t="n"/>
      <c r="CE391" s="16" t="n"/>
      <c r="CF391" s="20" t="n"/>
      <c r="CG391" s="20" t="inlineStr">
        <is>
          <t>None</t>
        </is>
      </c>
      <c r="CH391" s="17" t="n"/>
      <c r="CI391" s="16" t="n"/>
      <c r="CJ391" s="20" t="n"/>
      <c r="CK391" s="20" t="inlineStr">
        <is>
          <t>None</t>
        </is>
      </c>
      <c r="CL391" s="17" t="n"/>
      <c r="CM391" s="16" t="n"/>
      <c r="CN391" s="20" t="inlineStr">
        <is>
          <t>SOP 45-34</t>
        </is>
      </c>
      <c r="CO391" s="20" t="inlineStr">
        <is>
          <t>None</t>
        </is>
      </c>
      <c r="CP391" s="17" t="n"/>
      <c r="CQ391" s="16" t="n"/>
      <c r="CR391" s="20" t="n"/>
      <c r="CS391" s="20" t="inlineStr">
        <is>
          <t>None</t>
        </is>
      </c>
      <c r="CT391" s="17" t="n"/>
      <c r="CU391" s="16" t="n"/>
      <c r="CV391" s="20" t="n"/>
      <c r="CW391" s="20" t="inlineStr">
        <is>
          <t>None</t>
        </is>
      </c>
      <c r="CX391" s="17" t="n"/>
      <c r="CY391" s="16" t="n"/>
      <c r="CZ391" s="20" t="inlineStr">
        <is>
          <t>WTW Multimeter 3430 with FDO 925</t>
        </is>
      </c>
      <c r="DA391" s="20" t="inlineStr">
        <is>
          <t>None</t>
        </is>
      </c>
      <c r="DB391" s="17" t="n"/>
      <c r="DC391" s="16" t="n"/>
      <c r="DD391" s="20" t="n"/>
      <c r="DE391" s="20" t="inlineStr">
        <is>
          <t>None</t>
        </is>
      </c>
      <c r="DF391" s="17" t="n"/>
      <c r="DG391" s="16" t="n"/>
      <c r="DH391" s="20" t="inlineStr">
        <is>
          <t>SOP 45-09</t>
        </is>
      </c>
      <c r="DI391" s="20" t="inlineStr">
        <is>
          <t>None</t>
        </is>
      </c>
      <c r="DJ391" s="17" t="n"/>
      <c r="DK391" s="16" t="n"/>
      <c r="DL391" s="20" t="inlineStr">
        <is>
          <t>SOP 45-09 (SOP muss noch angepasst werden für VSS)</t>
        </is>
      </c>
      <c r="DM391" s="20" t="inlineStr">
        <is>
          <t>None</t>
        </is>
      </c>
      <c r="DN391" s="17" t="n"/>
      <c r="DO391" s="16" t="n"/>
      <c r="DP391" s="20" t="inlineStr">
        <is>
          <t>IC Organic Acids</t>
        </is>
      </c>
      <c r="DQ391" s="20" t="inlineStr">
        <is>
          <t>None</t>
        </is>
      </c>
      <c r="DR391" s="17" t="n"/>
      <c r="DS391" s="16" t="n"/>
      <c r="DT391" s="20" t="inlineStr">
        <is>
          <t>IC Organic Acids</t>
        </is>
      </c>
      <c r="DU391" s="20" t="inlineStr">
        <is>
          <t>None</t>
        </is>
      </c>
      <c r="DV391" s="17" t="n"/>
      <c r="DW391" s="16" t="n"/>
      <c r="DX391" s="20" t="inlineStr">
        <is>
          <t>IC Organic Acids</t>
        </is>
      </c>
      <c r="DY391" s="20" t="inlineStr">
        <is>
          <t>None</t>
        </is>
      </c>
      <c r="DZ391" s="17" t="n"/>
      <c r="EA391" s="16" t="n"/>
      <c r="EB391" s="20" t="inlineStr">
        <is>
          <t>IC Organic Acids</t>
        </is>
      </c>
      <c r="EC391" s="20" t="inlineStr">
        <is>
          <t>None</t>
        </is>
      </c>
      <c r="ED391" s="17" t="n"/>
      <c r="EE391" s="16" t="n"/>
      <c r="EF391" s="20" t="inlineStr">
        <is>
          <t>IC Organic Acids</t>
        </is>
      </c>
      <c r="EG391" s="20" t="inlineStr">
        <is>
          <t>None</t>
        </is>
      </c>
      <c r="EH391" s="17" t="n"/>
      <c r="EI391" s="16" t="n"/>
      <c r="EJ391" s="20" t="inlineStr">
        <is>
          <t>IC Organic Acids</t>
        </is>
      </c>
      <c r="EK391" s="20" t="inlineStr">
        <is>
          <t>None</t>
        </is>
      </c>
      <c r="EL391" s="17" t="n"/>
      <c r="EM391" s="16" t="n"/>
      <c r="EN391" s="20" t="inlineStr">
        <is>
          <t>IC Organic Acids</t>
        </is>
      </c>
      <c r="EO391" s="20" t="inlineStr">
        <is>
          <t>None</t>
        </is>
      </c>
      <c r="EP391" s="17" t="n"/>
      <c r="EQ391" s="16" t="n"/>
      <c r="ER391" s="20" t="inlineStr">
        <is>
          <t>IC Organic Acids</t>
        </is>
      </c>
      <c r="ES391" s="20" t="inlineStr">
        <is>
          <t>None</t>
        </is>
      </c>
      <c r="ET391" s="17" t="n"/>
      <c r="EU391" s="16" t="n"/>
      <c r="EV391" s="20" t="inlineStr">
        <is>
          <t>LC-MS</t>
        </is>
      </c>
      <c r="EW391" s="20" t="inlineStr">
        <is>
          <t>None</t>
        </is>
      </c>
      <c r="EX391" s="17" t="n"/>
      <c r="EY391" s="21" t="n"/>
      <c r="EZ391">
        <f>CONCATENATE(A391,B391)</f>
        <v/>
      </c>
      <c r="FA391">
        <f>CONCATENATE(SamplesX!A391,SamplesX!B391)</f>
        <v/>
      </c>
      <c r="FC391">
        <f>MATCH(EZ391,FA1:FA1008,0)</f>
        <v/>
      </c>
    </row>
    <row r="392">
      <c r="A392" s="16" t="inlineStr">
        <is>
          <t>BP</t>
        </is>
      </c>
      <c r="B392" s="17" t="inlineStr">
        <is>
          <t>25384</t>
        </is>
      </c>
      <c r="C392" s="10">
        <f>IF(ISNUMBER(FC392),INDIRECT("SamplesX!C"&amp;FC392),IF(ISNUMBER(FD392),INDIRECT("SamplesY!C"&amp;FD392),""))</f>
        <v/>
      </c>
      <c r="D392" s="12">
        <f>IF(ISNUMBER(FC392),INDIRECT("SamplesX!D"&amp;FC392),IF(ISNUMBER(FD392),INDIRECT("SamplesY!D"&amp;FD392),""))</f>
        <v/>
      </c>
      <c r="E392" s="12">
        <f>IF(ISNUMBER(FC392),INDIRECT("SamplesX!E"&amp;FC392),IF(ISNUMBER(FD392),INDIRECT("SamplesY!E"&amp;FD392),""))</f>
        <v/>
      </c>
      <c r="F392" s="11">
        <f>IF(ISNUMBER(FC392),INDIRECT("SamplesX!F"&amp;FC392),IF(ISNUMBER(FD392),INDIRECT("SamplesY!F"&amp;FD392),""))</f>
        <v/>
      </c>
      <c r="G392" s="18">
        <f>IF(ISNUMBER(FC392),INDIRECT("SamplesX!G"&amp;FC392),IF(ISNUMBER(FD392),INDIRECT("SamplesY!G"&amp;FD392),""))</f>
        <v/>
      </c>
      <c r="H392" s="19">
        <f>IF(ISNUMBER(FC392),INDIRECT("SamplesX!H"&amp;FC392),IF(ISNUMBER(FD392),INDIRECT("SamplesY!H"&amp;FD392),""))</f>
        <v/>
      </c>
      <c r="I392" s="16" t="n"/>
      <c r="J392" s="16" t="n"/>
      <c r="K392" s="16" t="n"/>
      <c r="L392" s="20" t="n"/>
      <c r="M392" s="20" t="inlineStr">
        <is>
          <t>None</t>
        </is>
      </c>
      <c r="N392" s="17" t="n"/>
      <c r="O392" s="16" t="n"/>
      <c r="P392" s="20" t="inlineStr">
        <is>
          <t>Shimadzu TOC-L</t>
        </is>
      </c>
      <c r="Q392" s="20" t="inlineStr">
        <is>
          <t>None</t>
        </is>
      </c>
      <c r="R392" s="17" t="n"/>
      <c r="S392" s="16" t="n"/>
      <c r="T392" s="20" t="inlineStr">
        <is>
          <t>Shimadzu TOC-L</t>
        </is>
      </c>
      <c r="U392" s="20" t="inlineStr">
        <is>
          <t>None</t>
        </is>
      </c>
      <c r="V392" s="17" t="n"/>
      <c r="W392" s="16" t="n"/>
      <c r="X392" s="20" t="n"/>
      <c r="Y392" s="20" t="inlineStr">
        <is>
          <t>None</t>
        </is>
      </c>
      <c r="Z392" s="17" t="n"/>
      <c r="AA392" s="16" t="n"/>
      <c r="AB392" s="20" t="n"/>
      <c r="AC392" s="20" t="inlineStr">
        <is>
          <t>None</t>
        </is>
      </c>
      <c r="AD392" s="17" t="n"/>
      <c r="AE392" s="16" t="n"/>
      <c r="AF392" s="20" t="inlineStr">
        <is>
          <t>IC Anionen</t>
        </is>
      </c>
      <c r="AG392" s="20" t="inlineStr">
        <is>
          <t>None</t>
        </is>
      </c>
      <c r="AH392" s="17" t="n"/>
      <c r="AI392" s="16" t="n"/>
      <c r="AJ392" s="20" t="n"/>
      <c r="AK392" s="20" t="inlineStr">
        <is>
          <t>None</t>
        </is>
      </c>
      <c r="AL392" s="17" t="n"/>
      <c r="AM392" s="16" t="n"/>
      <c r="AN392" s="20" t="inlineStr">
        <is>
          <t>IC Anionen</t>
        </is>
      </c>
      <c r="AO392" s="20" t="inlineStr">
        <is>
          <t>None</t>
        </is>
      </c>
      <c r="AP392" s="17" t="n"/>
      <c r="AQ392" s="16" t="n"/>
      <c r="AR392" s="20" t="n"/>
      <c r="AS392" s="20" t="inlineStr">
        <is>
          <t>None</t>
        </is>
      </c>
      <c r="AT392" s="17" t="n"/>
      <c r="AU392" s="16" t="n"/>
      <c r="AV392" s="20" t="n"/>
      <c r="AW392" s="20" t="inlineStr">
        <is>
          <t>None</t>
        </is>
      </c>
      <c r="AX392" s="17" t="n"/>
      <c r="AY392" s="16" t="n"/>
      <c r="AZ392" s="20" t="inlineStr">
        <is>
          <t>IC Anionen</t>
        </is>
      </c>
      <c r="BA392" s="20" t="inlineStr">
        <is>
          <t>None</t>
        </is>
      </c>
      <c r="BB392" s="17" t="n"/>
      <c r="BC392" s="16" t="n"/>
      <c r="BD392" s="20" t="inlineStr">
        <is>
          <t>IC Kationen</t>
        </is>
      </c>
      <c r="BE392" s="20" t="inlineStr">
        <is>
          <t>None</t>
        </is>
      </c>
      <c r="BF392" s="17" t="n"/>
      <c r="BG392" s="16" t="n"/>
      <c r="BH392" s="20" t="inlineStr">
        <is>
          <t>IC Kationen</t>
        </is>
      </c>
      <c r="BI392" s="20" t="inlineStr">
        <is>
          <t>None</t>
        </is>
      </c>
      <c r="BJ392" s="17" t="n"/>
      <c r="BK392" s="16" t="n"/>
      <c r="BL392" s="20" t="inlineStr">
        <is>
          <t>IC Kationen</t>
        </is>
      </c>
      <c r="BM392" s="20" t="inlineStr">
        <is>
          <t>None</t>
        </is>
      </c>
      <c r="BN392" s="17" t="n"/>
      <c r="BO392" s="16" t="n"/>
      <c r="BP392" s="20" t="inlineStr">
        <is>
          <t>IC Kationen</t>
        </is>
      </c>
      <c r="BQ392" s="20" t="inlineStr">
        <is>
          <t>None</t>
        </is>
      </c>
      <c r="BR392" s="17" t="n"/>
      <c r="BS392" s="16" t="n"/>
      <c r="BT392" s="20" t="inlineStr">
        <is>
          <t>IC Kationen</t>
        </is>
      </c>
      <c r="BU392" s="20" t="inlineStr">
        <is>
          <t>None</t>
        </is>
      </c>
      <c r="BV392" s="17" t="n"/>
      <c r="BW392" s="16" t="n"/>
      <c r="BX392" s="20" t="n"/>
      <c r="BY392" s="20" t="inlineStr">
        <is>
          <t>None</t>
        </is>
      </c>
      <c r="BZ392" s="17" t="n"/>
      <c r="CA392" s="16" t="n"/>
      <c r="CB392" s="20" t="n"/>
      <c r="CC392" s="20" t="inlineStr">
        <is>
          <t>None</t>
        </is>
      </c>
      <c r="CD392" s="17" t="n"/>
      <c r="CE392" s="16" t="n"/>
      <c r="CF392" s="20" t="n"/>
      <c r="CG392" s="20" t="inlineStr">
        <is>
          <t>None</t>
        </is>
      </c>
      <c r="CH392" s="17" t="n"/>
      <c r="CI392" s="16" t="n"/>
      <c r="CJ392" s="20" t="n"/>
      <c r="CK392" s="20" t="inlineStr">
        <is>
          <t>None</t>
        </is>
      </c>
      <c r="CL392" s="17" t="n"/>
      <c r="CM392" s="16" t="n"/>
      <c r="CN392" s="20" t="inlineStr">
        <is>
          <t>SOP 45-34</t>
        </is>
      </c>
      <c r="CO392" s="20" t="inlineStr">
        <is>
          <t>None</t>
        </is>
      </c>
      <c r="CP392" s="17" t="n"/>
      <c r="CQ392" s="16" t="n"/>
      <c r="CR392" s="20" t="n"/>
      <c r="CS392" s="20" t="inlineStr">
        <is>
          <t>None</t>
        </is>
      </c>
      <c r="CT392" s="17" t="n"/>
      <c r="CU392" s="16" t="n"/>
      <c r="CV392" s="20" t="n"/>
      <c r="CW392" s="20" t="inlineStr">
        <is>
          <t>None</t>
        </is>
      </c>
      <c r="CX392" s="17" t="n"/>
      <c r="CY392" s="16" t="n"/>
      <c r="CZ392" s="20" t="inlineStr">
        <is>
          <t>WTW Multimeter 3430 with FDO 925</t>
        </is>
      </c>
      <c r="DA392" s="20" t="inlineStr">
        <is>
          <t>None</t>
        </is>
      </c>
      <c r="DB392" s="17" t="n"/>
      <c r="DC392" s="16" t="n"/>
      <c r="DD392" s="20" t="n"/>
      <c r="DE392" s="20" t="inlineStr">
        <is>
          <t>None</t>
        </is>
      </c>
      <c r="DF392" s="17" t="n"/>
      <c r="DG392" s="16" t="n"/>
      <c r="DH392" s="20" t="inlineStr">
        <is>
          <t>SOP 45-09</t>
        </is>
      </c>
      <c r="DI392" s="20" t="inlineStr">
        <is>
          <t>None</t>
        </is>
      </c>
      <c r="DJ392" s="17" t="n"/>
      <c r="DK392" s="16" t="n"/>
      <c r="DL392" s="20" t="inlineStr">
        <is>
          <t>SOP 45-09 (SOP muss noch angepasst werden für VSS)</t>
        </is>
      </c>
      <c r="DM392" s="20" t="inlineStr">
        <is>
          <t>None</t>
        </is>
      </c>
      <c r="DN392" s="17" t="n"/>
      <c r="DO392" s="16" t="n"/>
      <c r="DP392" s="20" t="inlineStr">
        <is>
          <t>IC Organic Acids</t>
        </is>
      </c>
      <c r="DQ392" s="20" t="inlineStr">
        <is>
          <t>None</t>
        </is>
      </c>
      <c r="DR392" s="17" t="n"/>
      <c r="DS392" s="16" t="n"/>
      <c r="DT392" s="20" t="inlineStr">
        <is>
          <t>IC Organic Acids</t>
        </is>
      </c>
      <c r="DU392" s="20" t="inlineStr">
        <is>
          <t>None</t>
        </is>
      </c>
      <c r="DV392" s="17" t="n"/>
      <c r="DW392" s="16" t="n"/>
      <c r="DX392" s="20" t="inlineStr">
        <is>
          <t>IC Organic Acids</t>
        </is>
      </c>
      <c r="DY392" s="20" t="inlineStr">
        <is>
          <t>None</t>
        </is>
      </c>
      <c r="DZ392" s="17" t="n"/>
      <c r="EA392" s="16" t="n"/>
      <c r="EB392" s="20" t="inlineStr">
        <is>
          <t>IC Organic Acids</t>
        </is>
      </c>
      <c r="EC392" s="20" t="inlineStr">
        <is>
          <t>None</t>
        </is>
      </c>
      <c r="ED392" s="17" t="n"/>
      <c r="EE392" s="16" t="n"/>
      <c r="EF392" s="20" t="inlineStr">
        <is>
          <t>IC Organic Acids</t>
        </is>
      </c>
      <c r="EG392" s="20" t="inlineStr">
        <is>
          <t>None</t>
        </is>
      </c>
      <c r="EH392" s="17" t="n"/>
      <c r="EI392" s="16" t="n"/>
      <c r="EJ392" s="20" t="inlineStr">
        <is>
          <t>IC Organic Acids</t>
        </is>
      </c>
      <c r="EK392" s="20" t="inlineStr">
        <is>
          <t>None</t>
        </is>
      </c>
      <c r="EL392" s="17" t="n"/>
      <c r="EM392" s="16" t="n"/>
      <c r="EN392" s="20" t="inlineStr">
        <is>
          <t>IC Organic Acids</t>
        </is>
      </c>
      <c r="EO392" s="20" t="inlineStr">
        <is>
          <t>None</t>
        </is>
      </c>
      <c r="EP392" s="17" t="n"/>
      <c r="EQ392" s="16" t="n"/>
      <c r="ER392" s="20" t="inlineStr">
        <is>
          <t>IC Organic Acids</t>
        </is>
      </c>
      <c r="ES392" s="20" t="inlineStr">
        <is>
          <t>None</t>
        </is>
      </c>
      <c r="ET392" s="17" t="n"/>
      <c r="EU392" s="16" t="n"/>
      <c r="EV392" s="20" t="inlineStr">
        <is>
          <t>LC-MS</t>
        </is>
      </c>
      <c r="EW392" s="20" t="inlineStr">
        <is>
          <t>None</t>
        </is>
      </c>
      <c r="EX392" s="17" t="n"/>
      <c r="EY392" s="21" t="n"/>
      <c r="EZ392">
        <f>CONCATENATE(A392,B392)</f>
        <v/>
      </c>
      <c r="FA392">
        <f>CONCATENATE(SamplesX!A392,SamplesX!B392)</f>
        <v/>
      </c>
      <c r="FC392">
        <f>MATCH(EZ392,FA1:FA1008,0)</f>
        <v/>
      </c>
    </row>
    <row r="393">
      <c r="A393" s="16" t="inlineStr">
        <is>
          <t>BP</t>
        </is>
      </c>
      <c r="B393" s="17" t="inlineStr">
        <is>
          <t>25385</t>
        </is>
      </c>
      <c r="C393" s="10">
        <f>IF(ISNUMBER(FC393),INDIRECT("SamplesX!C"&amp;FC393),IF(ISNUMBER(FD393),INDIRECT("SamplesY!C"&amp;FD393),""))</f>
        <v/>
      </c>
      <c r="D393" s="12">
        <f>IF(ISNUMBER(FC393),INDIRECT("SamplesX!D"&amp;FC393),IF(ISNUMBER(FD393),INDIRECT("SamplesY!D"&amp;FD393),""))</f>
        <v/>
      </c>
      <c r="E393" s="12">
        <f>IF(ISNUMBER(FC393),INDIRECT("SamplesX!E"&amp;FC393),IF(ISNUMBER(FD393),INDIRECT("SamplesY!E"&amp;FD393),""))</f>
        <v/>
      </c>
      <c r="F393" s="11">
        <f>IF(ISNUMBER(FC393),INDIRECT("SamplesX!F"&amp;FC393),IF(ISNUMBER(FD393),INDIRECT("SamplesY!F"&amp;FD393),""))</f>
        <v/>
      </c>
      <c r="G393" s="18">
        <f>IF(ISNUMBER(FC393),INDIRECT("SamplesX!G"&amp;FC393),IF(ISNUMBER(FD393),INDIRECT("SamplesY!G"&amp;FD393),""))</f>
        <v/>
      </c>
      <c r="H393" s="19">
        <f>IF(ISNUMBER(FC393),INDIRECT("SamplesX!H"&amp;FC393),IF(ISNUMBER(FD393),INDIRECT("SamplesY!H"&amp;FD393),""))</f>
        <v/>
      </c>
      <c r="I393" s="16" t="n"/>
      <c r="J393" s="16" t="n"/>
      <c r="K393" s="16" t="n"/>
      <c r="L393" s="20" t="n"/>
      <c r="M393" s="20" t="inlineStr">
        <is>
          <t>None</t>
        </is>
      </c>
      <c r="N393" s="17" t="n"/>
      <c r="O393" s="16" t="n"/>
      <c r="P393" s="20" t="inlineStr">
        <is>
          <t>Shimadzu TOC-L</t>
        </is>
      </c>
      <c r="Q393" s="20" t="inlineStr">
        <is>
          <t>None</t>
        </is>
      </c>
      <c r="R393" s="17" t="n"/>
      <c r="S393" s="16" t="n"/>
      <c r="T393" s="20" t="inlineStr">
        <is>
          <t>Shimadzu TOC-L</t>
        </is>
      </c>
      <c r="U393" s="20" t="inlineStr">
        <is>
          <t>None</t>
        </is>
      </c>
      <c r="V393" s="17" t="n"/>
      <c r="W393" s="16" t="n"/>
      <c r="X393" s="20" t="n"/>
      <c r="Y393" s="20" t="inlineStr">
        <is>
          <t>None</t>
        </is>
      </c>
      <c r="Z393" s="17" t="n"/>
      <c r="AA393" s="16" t="n"/>
      <c r="AB393" s="20" t="n"/>
      <c r="AC393" s="20" t="inlineStr">
        <is>
          <t>None</t>
        </is>
      </c>
      <c r="AD393" s="17" t="n"/>
      <c r="AE393" s="16" t="n"/>
      <c r="AF393" s="20" t="inlineStr">
        <is>
          <t>IC Anionen</t>
        </is>
      </c>
      <c r="AG393" s="20" t="inlineStr">
        <is>
          <t>None</t>
        </is>
      </c>
      <c r="AH393" s="17" t="n"/>
      <c r="AI393" s="16" t="n"/>
      <c r="AJ393" s="20" t="n"/>
      <c r="AK393" s="20" t="inlineStr">
        <is>
          <t>None</t>
        </is>
      </c>
      <c r="AL393" s="17" t="n"/>
      <c r="AM393" s="16" t="n"/>
      <c r="AN393" s="20" t="inlineStr">
        <is>
          <t>IC Anionen</t>
        </is>
      </c>
      <c r="AO393" s="20" t="inlineStr">
        <is>
          <t>None</t>
        </is>
      </c>
      <c r="AP393" s="17" t="n"/>
      <c r="AQ393" s="16" t="n"/>
      <c r="AR393" s="20" t="n"/>
      <c r="AS393" s="20" t="inlineStr">
        <is>
          <t>None</t>
        </is>
      </c>
      <c r="AT393" s="17" t="n"/>
      <c r="AU393" s="16" t="n"/>
      <c r="AV393" s="20" t="n"/>
      <c r="AW393" s="20" t="inlineStr">
        <is>
          <t>None</t>
        </is>
      </c>
      <c r="AX393" s="17" t="n"/>
      <c r="AY393" s="16" t="n"/>
      <c r="AZ393" s="20" t="inlineStr">
        <is>
          <t>IC Anionen</t>
        </is>
      </c>
      <c r="BA393" s="20" t="inlineStr">
        <is>
          <t>None</t>
        </is>
      </c>
      <c r="BB393" s="17" t="n"/>
      <c r="BC393" s="16" t="n"/>
      <c r="BD393" s="20" t="inlineStr">
        <is>
          <t>IC Kationen</t>
        </is>
      </c>
      <c r="BE393" s="20" t="inlineStr">
        <is>
          <t>None</t>
        </is>
      </c>
      <c r="BF393" s="17" t="n"/>
      <c r="BG393" s="16" t="n"/>
      <c r="BH393" s="20" t="inlineStr">
        <is>
          <t>IC Kationen</t>
        </is>
      </c>
      <c r="BI393" s="20" t="inlineStr">
        <is>
          <t>None</t>
        </is>
      </c>
      <c r="BJ393" s="17" t="n"/>
      <c r="BK393" s="16" t="n"/>
      <c r="BL393" s="20" t="inlineStr">
        <is>
          <t>IC Kationen</t>
        </is>
      </c>
      <c r="BM393" s="20" t="inlineStr">
        <is>
          <t>None</t>
        </is>
      </c>
      <c r="BN393" s="17" t="n"/>
      <c r="BO393" s="16" t="n"/>
      <c r="BP393" s="20" t="inlineStr">
        <is>
          <t>IC Kationen</t>
        </is>
      </c>
      <c r="BQ393" s="20" t="inlineStr">
        <is>
          <t>None</t>
        </is>
      </c>
      <c r="BR393" s="17" t="n"/>
      <c r="BS393" s="16" t="n"/>
      <c r="BT393" s="20" t="inlineStr">
        <is>
          <t>IC Kationen</t>
        </is>
      </c>
      <c r="BU393" s="20" t="inlineStr">
        <is>
          <t>None</t>
        </is>
      </c>
      <c r="BV393" s="17" t="n"/>
      <c r="BW393" s="16" t="n"/>
      <c r="BX393" s="20" t="n"/>
      <c r="BY393" s="20" t="inlineStr">
        <is>
          <t>None</t>
        </is>
      </c>
      <c r="BZ393" s="17" t="n"/>
      <c r="CA393" s="16" t="n"/>
      <c r="CB393" s="20" t="n"/>
      <c r="CC393" s="20" t="inlineStr">
        <is>
          <t>None</t>
        </is>
      </c>
      <c r="CD393" s="17" t="n"/>
      <c r="CE393" s="16" t="n"/>
      <c r="CF393" s="20" t="n"/>
      <c r="CG393" s="20" t="inlineStr">
        <is>
          <t>None</t>
        </is>
      </c>
      <c r="CH393" s="17" t="n"/>
      <c r="CI393" s="16" t="n"/>
      <c r="CJ393" s="20" t="n"/>
      <c r="CK393" s="20" t="inlineStr">
        <is>
          <t>None</t>
        </is>
      </c>
      <c r="CL393" s="17" t="n"/>
      <c r="CM393" s="16" t="n"/>
      <c r="CN393" s="20" t="inlineStr">
        <is>
          <t>SOP 45-34</t>
        </is>
      </c>
      <c r="CO393" s="20" t="inlineStr">
        <is>
          <t>None</t>
        </is>
      </c>
      <c r="CP393" s="17" t="n"/>
      <c r="CQ393" s="16" t="n"/>
      <c r="CR393" s="20" t="n"/>
      <c r="CS393" s="20" t="inlineStr">
        <is>
          <t>None</t>
        </is>
      </c>
      <c r="CT393" s="17" t="n"/>
      <c r="CU393" s="16" t="n"/>
      <c r="CV393" s="20" t="n"/>
      <c r="CW393" s="20" t="inlineStr">
        <is>
          <t>None</t>
        </is>
      </c>
      <c r="CX393" s="17" t="n"/>
      <c r="CY393" s="16" t="n"/>
      <c r="CZ393" s="20" t="inlineStr">
        <is>
          <t>WTW Multimeter 3430 with FDO 925</t>
        </is>
      </c>
      <c r="DA393" s="20" t="inlineStr">
        <is>
          <t>None</t>
        </is>
      </c>
      <c r="DB393" s="17" t="n"/>
      <c r="DC393" s="16" t="n"/>
      <c r="DD393" s="20" t="n"/>
      <c r="DE393" s="20" t="inlineStr">
        <is>
          <t>None</t>
        </is>
      </c>
      <c r="DF393" s="17" t="n"/>
      <c r="DG393" s="16" t="n"/>
      <c r="DH393" s="20" t="inlineStr">
        <is>
          <t>SOP 45-09</t>
        </is>
      </c>
      <c r="DI393" s="20" t="inlineStr">
        <is>
          <t>None</t>
        </is>
      </c>
      <c r="DJ393" s="17" t="n"/>
      <c r="DK393" s="16" t="n"/>
      <c r="DL393" s="20" t="inlineStr">
        <is>
          <t>SOP 45-09 (SOP muss noch angepasst werden für VSS)</t>
        </is>
      </c>
      <c r="DM393" s="20" t="inlineStr">
        <is>
          <t>None</t>
        </is>
      </c>
      <c r="DN393" s="17" t="n"/>
      <c r="DO393" s="16" t="n"/>
      <c r="DP393" s="20" t="inlineStr">
        <is>
          <t>IC Organic Acids</t>
        </is>
      </c>
      <c r="DQ393" s="20" t="inlineStr">
        <is>
          <t>None</t>
        </is>
      </c>
      <c r="DR393" s="17" t="n"/>
      <c r="DS393" s="16" t="n"/>
      <c r="DT393" s="20" t="inlineStr">
        <is>
          <t>IC Organic Acids</t>
        </is>
      </c>
      <c r="DU393" s="20" t="inlineStr">
        <is>
          <t>None</t>
        </is>
      </c>
      <c r="DV393" s="17" t="n"/>
      <c r="DW393" s="16" t="n"/>
      <c r="DX393" s="20" t="inlineStr">
        <is>
          <t>IC Organic Acids</t>
        </is>
      </c>
      <c r="DY393" s="20" t="inlineStr">
        <is>
          <t>None</t>
        </is>
      </c>
      <c r="DZ393" s="17" t="n"/>
      <c r="EA393" s="16" t="n"/>
      <c r="EB393" s="20" t="inlineStr">
        <is>
          <t>IC Organic Acids</t>
        </is>
      </c>
      <c r="EC393" s="20" t="inlineStr">
        <is>
          <t>None</t>
        </is>
      </c>
      <c r="ED393" s="17" t="n"/>
      <c r="EE393" s="16" t="n"/>
      <c r="EF393" s="20" t="inlineStr">
        <is>
          <t>IC Organic Acids</t>
        </is>
      </c>
      <c r="EG393" s="20" t="inlineStr">
        <is>
          <t>None</t>
        </is>
      </c>
      <c r="EH393" s="17" t="n"/>
      <c r="EI393" s="16" t="n"/>
      <c r="EJ393" s="20" t="inlineStr">
        <is>
          <t>IC Organic Acids</t>
        </is>
      </c>
      <c r="EK393" s="20" t="inlineStr">
        <is>
          <t>None</t>
        </is>
      </c>
      <c r="EL393" s="17" t="n"/>
      <c r="EM393" s="16" t="n"/>
      <c r="EN393" s="20" t="inlineStr">
        <is>
          <t>IC Organic Acids</t>
        </is>
      </c>
      <c r="EO393" s="20" t="inlineStr">
        <is>
          <t>None</t>
        </is>
      </c>
      <c r="EP393" s="17" t="n"/>
      <c r="EQ393" s="16" t="n"/>
      <c r="ER393" s="20" t="inlineStr">
        <is>
          <t>IC Organic Acids</t>
        </is>
      </c>
      <c r="ES393" s="20" t="inlineStr">
        <is>
          <t>None</t>
        </is>
      </c>
      <c r="ET393" s="17" t="n"/>
      <c r="EU393" s="16" t="n"/>
      <c r="EV393" s="20" t="inlineStr">
        <is>
          <t>LC-MS</t>
        </is>
      </c>
      <c r="EW393" s="20" t="inlineStr">
        <is>
          <t>None</t>
        </is>
      </c>
      <c r="EX393" s="17" t="n"/>
      <c r="EY393" s="21" t="n"/>
      <c r="EZ393">
        <f>CONCATENATE(A393,B393)</f>
        <v/>
      </c>
      <c r="FA393">
        <f>CONCATENATE(SamplesX!A393,SamplesX!B393)</f>
        <v/>
      </c>
      <c r="FC393">
        <f>MATCH(EZ393,FA1:FA1008,0)</f>
        <v/>
      </c>
    </row>
    <row r="394">
      <c r="A394" s="16" t="inlineStr">
        <is>
          <t>BP</t>
        </is>
      </c>
      <c r="B394" s="17" t="inlineStr">
        <is>
          <t>25386</t>
        </is>
      </c>
      <c r="C394" s="10">
        <f>IF(ISNUMBER(FC394),INDIRECT("SamplesX!C"&amp;FC394),IF(ISNUMBER(FD394),INDIRECT("SamplesY!C"&amp;FD394),""))</f>
        <v/>
      </c>
      <c r="D394" s="12">
        <f>IF(ISNUMBER(FC394),INDIRECT("SamplesX!D"&amp;FC394),IF(ISNUMBER(FD394),INDIRECT("SamplesY!D"&amp;FD394),""))</f>
        <v/>
      </c>
      <c r="E394" s="12">
        <f>IF(ISNUMBER(FC394),INDIRECT("SamplesX!E"&amp;FC394),IF(ISNUMBER(FD394),INDIRECT("SamplesY!E"&amp;FD394),""))</f>
        <v/>
      </c>
      <c r="F394" s="11">
        <f>IF(ISNUMBER(FC394),INDIRECT("SamplesX!F"&amp;FC394),IF(ISNUMBER(FD394),INDIRECT("SamplesY!F"&amp;FD394),""))</f>
        <v/>
      </c>
      <c r="G394" s="18">
        <f>IF(ISNUMBER(FC394),INDIRECT("SamplesX!G"&amp;FC394),IF(ISNUMBER(FD394),INDIRECT("SamplesY!G"&amp;FD394),""))</f>
        <v/>
      </c>
      <c r="H394" s="19">
        <f>IF(ISNUMBER(FC394),INDIRECT("SamplesX!H"&amp;FC394),IF(ISNUMBER(FD394),INDIRECT("SamplesY!H"&amp;FD394),""))</f>
        <v/>
      </c>
      <c r="I394" s="16" t="n"/>
      <c r="J394" s="16" t="n"/>
      <c r="K394" s="16" t="n"/>
      <c r="L394" s="20" t="n"/>
      <c r="M394" s="20" t="inlineStr">
        <is>
          <t>None</t>
        </is>
      </c>
      <c r="N394" s="17" t="n"/>
      <c r="O394" s="16" t="n"/>
      <c r="P394" s="20" t="inlineStr">
        <is>
          <t>Shimadzu TOC-L</t>
        </is>
      </c>
      <c r="Q394" s="20" t="inlineStr">
        <is>
          <t>None</t>
        </is>
      </c>
      <c r="R394" s="17" t="n"/>
      <c r="S394" s="16" t="n"/>
      <c r="T394" s="20" t="inlineStr">
        <is>
          <t>Shimadzu TOC-L</t>
        </is>
      </c>
      <c r="U394" s="20" t="inlineStr">
        <is>
          <t>None</t>
        </is>
      </c>
      <c r="V394" s="17" t="n"/>
      <c r="W394" s="16" t="n"/>
      <c r="X394" s="20" t="n"/>
      <c r="Y394" s="20" t="inlineStr">
        <is>
          <t>None</t>
        </is>
      </c>
      <c r="Z394" s="17" t="n"/>
      <c r="AA394" s="16" t="n"/>
      <c r="AB394" s="20" t="n"/>
      <c r="AC394" s="20" t="inlineStr">
        <is>
          <t>None</t>
        </is>
      </c>
      <c r="AD394" s="17" t="n"/>
      <c r="AE394" s="16" t="n"/>
      <c r="AF394" s="20" t="inlineStr">
        <is>
          <t>IC Anionen</t>
        </is>
      </c>
      <c r="AG394" s="20" t="inlineStr">
        <is>
          <t>None</t>
        </is>
      </c>
      <c r="AH394" s="17" t="n"/>
      <c r="AI394" s="16" t="n"/>
      <c r="AJ394" s="20" t="n"/>
      <c r="AK394" s="20" t="inlineStr">
        <is>
          <t>None</t>
        </is>
      </c>
      <c r="AL394" s="17" t="n"/>
      <c r="AM394" s="16" t="n"/>
      <c r="AN394" s="20" t="inlineStr">
        <is>
          <t>IC Anionen</t>
        </is>
      </c>
      <c r="AO394" s="20" t="inlineStr">
        <is>
          <t>None</t>
        </is>
      </c>
      <c r="AP394" s="17" t="n"/>
      <c r="AQ394" s="16" t="n"/>
      <c r="AR394" s="20" t="n"/>
      <c r="AS394" s="20" t="inlineStr">
        <is>
          <t>None</t>
        </is>
      </c>
      <c r="AT394" s="17" t="n"/>
      <c r="AU394" s="16" t="n"/>
      <c r="AV394" s="20" t="n"/>
      <c r="AW394" s="20" t="inlineStr">
        <is>
          <t>None</t>
        </is>
      </c>
      <c r="AX394" s="17" t="n"/>
      <c r="AY394" s="16" t="n"/>
      <c r="AZ394" s="20" t="inlineStr">
        <is>
          <t>IC Anionen</t>
        </is>
      </c>
      <c r="BA394" s="20" t="inlineStr">
        <is>
          <t>None</t>
        </is>
      </c>
      <c r="BB394" s="17" t="n"/>
      <c r="BC394" s="16" t="n"/>
      <c r="BD394" s="20" t="inlineStr">
        <is>
          <t>IC Kationen</t>
        </is>
      </c>
      <c r="BE394" s="20" t="inlineStr">
        <is>
          <t>None</t>
        </is>
      </c>
      <c r="BF394" s="17" t="n"/>
      <c r="BG394" s="16" t="n"/>
      <c r="BH394" s="20" t="inlineStr">
        <is>
          <t>IC Kationen</t>
        </is>
      </c>
      <c r="BI394" s="20" t="inlineStr">
        <is>
          <t>None</t>
        </is>
      </c>
      <c r="BJ394" s="17" t="n"/>
      <c r="BK394" s="16" t="n"/>
      <c r="BL394" s="20" t="inlineStr">
        <is>
          <t>IC Kationen</t>
        </is>
      </c>
      <c r="BM394" s="20" t="inlineStr">
        <is>
          <t>None</t>
        </is>
      </c>
      <c r="BN394" s="17" t="n"/>
      <c r="BO394" s="16" t="n"/>
      <c r="BP394" s="20" t="inlineStr">
        <is>
          <t>IC Kationen</t>
        </is>
      </c>
      <c r="BQ394" s="20" t="inlineStr">
        <is>
          <t>None</t>
        </is>
      </c>
      <c r="BR394" s="17" t="n"/>
      <c r="BS394" s="16" t="n"/>
      <c r="BT394" s="20" t="inlineStr">
        <is>
          <t>IC Kationen</t>
        </is>
      </c>
      <c r="BU394" s="20" t="inlineStr">
        <is>
          <t>None</t>
        </is>
      </c>
      <c r="BV394" s="17" t="n"/>
      <c r="BW394" s="16" t="n"/>
      <c r="BX394" s="20" t="n"/>
      <c r="BY394" s="20" t="inlineStr">
        <is>
          <t>None</t>
        </is>
      </c>
      <c r="BZ394" s="17" t="n"/>
      <c r="CA394" s="16" t="n"/>
      <c r="CB394" s="20" t="n"/>
      <c r="CC394" s="20" t="inlineStr">
        <is>
          <t>None</t>
        </is>
      </c>
      <c r="CD394" s="17" t="n"/>
      <c r="CE394" s="16" t="n"/>
      <c r="CF394" s="20" t="n"/>
      <c r="CG394" s="20" t="inlineStr">
        <is>
          <t>None</t>
        </is>
      </c>
      <c r="CH394" s="17" t="n"/>
      <c r="CI394" s="16" t="n"/>
      <c r="CJ394" s="20" t="n"/>
      <c r="CK394" s="20" t="inlineStr">
        <is>
          <t>None</t>
        </is>
      </c>
      <c r="CL394" s="17" t="n"/>
      <c r="CM394" s="16" t="n"/>
      <c r="CN394" s="20" t="inlineStr">
        <is>
          <t>SOP 45-34</t>
        </is>
      </c>
      <c r="CO394" s="20" t="inlineStr">
        <is>
          <t>None</t>
        </is>
      </c>
      <c r="CP394" s="17" t="n"/>
      <c r="CQ394" s="16" t="n"/>
      <c r="CR394" s="20" t="n"/>
      <c r="CS394" s="20" t="inlineStr">
        <is>
          <t>None</t>
        </is>
      </c>
      <c r="CT394" s="17" t="n"/>
      <c r="CU394" s="16" t="n"/>
      <c r="CV394" s="20" t="n"/>
      <c r="CW394" s="20" t="inlineStr">
        <is>
          <t>None</t>
        </is>
      </c>
      <c r="CX394" s="17" t="n"/>
      <c r="CY394" s="16" t="n"/>
      <c r="CZ394" s="20" t="inlineStr">
        <is>
          <t>WTW Multimeter 3430 with FDO 925</t>
        </is>
      </c>
      <c r="DA394" s="20" t="inlineStr">
        <is>
          <t>None</t>
        </is>
      </c>
      <c r="DB394" s="17" t="n"/>
      <c r="DC394" s="16" t="n"/>
      <c r="DD394" s="20" t="n"/>
      <c r="DE394" s="20" t="inlineStr">
        <is>
          <t>None</t>
        </is>
      </c>
      <c r="DF394" s="17" t="n"/>
      <c r="DG394" s="16" t="n"/>
      <c r="DH394" s="20" t="inlineStr">
        <is>
          <t>SOP 45-09</t>
        </is>
      </c>
      <c r="DI394" s="20" t="inlineStr">
        <is>
          <t>None</t>
        </is>
      </c>
      <c r="DJ394" s="17" t="n"/>
      <c r="DK394" s="16" t="n"/>
      <c r="DL394" s="20" t="inlineStr">
        <is>
          <t>SOP 45-09 (SOP muss noch angepasst werden für VSS)</t>
        </is>
      </c>
      <c r="DM394" s="20" t="inlineStr">
        <is>
          <t>None</t>
        </is>
      </c>
      <c r="DN394" s="17" t="n"/>
      <c r="DO394" s="16" t="n"/>
      <c r="DP394" s="20" t="inlineStr">
        <is>
          <t>IC Organic Acids</t>
        </is>
      </c>
      <c r="DQ394" s="20" t="inlineStr">
        <is>
          <t>None</t>
        </is>
      </c>
      <c r="DR394" s="17" t="n"/>
      <c r="DS394" s="16" t="n"/>
      <c r="DT394" s="20" t="inlineStr">
        <is>
          <t>IC Organic Acids</t>
        </is>
      </c>
      <c r="DU394" s="20" t="inlineStr">
        <is>
          <t>None</t>
        </is>
      </c>
      <c r="DV394" s="17" t="n"/>
      <c r="DW394" s="16" t="n"/>
      <c r="DX394" s="20" t="inlineStr">
        <is>
          <t>IC Organic Acids</t>
        </is>
      </c>
      <c r="DY394" s="20" t="inlineStr">
        <is>
          <t>None</t>
        </is>
      </c>
      <c r="DZ394" s="17" t="n"/>
      <c r="EA394" s="16" t="n"/>
      <c r="EB394" s="20" t="inlineStr">
        <is>
          <t>IC Organic Acids</t>
        </is>
      </c>
      <c r="EC394" s="20" t="inlineStr">
        <is>
          <t>None</t>
        </is>
      </c>
      <c r="ED394" s="17" t="n"/>
      <c r="EE394" s="16" t="n"/>
      <c r="EF394" s="20" t="inlineStr">
        <is>
          <t>IC Organic Acids</t>
        </is>
      </c>
      <c r="EG394" s="20" t="inlineStr">
        <is>
          <t>None</t>
        </is>
      </c>
      <c r="EH394" s="17" t="n"/>
      <c r="EI394" s="16" t="n"/>
      <c r="EJ394" s="20" t="inlineStr">
        <is>
          <t>IC Organic Acids</t>
        </is>
      </c>
      <c r="EK394" s="20" t="inlineStr">
        <is>
          <t>None</t>
        </is>
      </c>
      <c r="EL394" s="17" t="n"/>
      <c r="EM394" s="16" t="n"/>
      <c r="EN394" s="20" t="inlineStr">
        <is>
          <t>IC Organic Acids</t>
        </is>
      </c>
      <c r="EO394" s="20" t="inlineStr">
        <is>
          <t>None</t>
        </is>
      </c>
      <c r="EP394" s="17" t="n"/>
      <c r="EQ394" s="16" t="n"/>
      <c r="ER394" s="20" t="inlineStr">
        <is>
          <t>IC Organic Acids</t>
        </is>
      </c>
      <c r="ES394" s="20" t="inlineStr">
        <is>
          <t>None</t>
        </is>
      </c>
      <c r="ET394" s="17" t="n"/>
      <c r="EU394" s="16" t="n"/>
      <c r="EV394" s="20" t="inlineStr">
        <is>
          <t>LC-MS</t>
        </is>
      </c>
      <c r="EW394" s="20" t="inlineStr">
        <is>
          <t>None</t>
        </is>
      </c>
      <c r="EX394" s="17" t="n"/>
      <c r="EY394" s="21" t="n"/>
      <c r="EZ394">
        <f>CONCATENATE(A394,B394)</f>
        <v/>
      </c>
      <c r="FA394">
        <f>CONCATENATE(SamplesX!A394,SamplesX!B394)</f>
        <v/>
      </c>
      <c r="FC394">
        <f>MATCH(EZ394,FA1:FA1008,0)</f>
        <v/>
      </c>
    </row>
    <row r="395">
      <c r="A395" s="16" t="inlineStr">
        <is>
          <t>BP</t>
        </is>
      </c>
      <c r="B395" s="17" t="inlineStr">
        <is>
          <t>25387</t>
        </is>
      </c>
      <c r="C395" s="10">
        <f>IF(ISNUMBER(FC395),INDIRECT("SamplesX!C"&amp;FC395),IF(ISNUMBER(FD395),INDIRECT("SamplesY!C"&amp;FD395),""))</f>
        <v/>
      </c>
      <c r="D395" s="12">
        <f>IF(ISNUMBER(FC395),INDIRECT("SamplesX!D"&amp;FC395),IF(ISNUMBER(FD395),INDIRECT("SamplesY!D"&amp;FD395),""))</f>
        <v/>
      </c>
      <c r="E395" s="12">
        <f>IF(ISNUMBER(FC395),INDIRECT("SamplesX!E"&amp;FC395),IF(ISNUMBER(FD395),INDIRECT("SamplesY!E"&amp;FD395),""))</f>
        <v/>
      </c>
      <c r="F395" s="11">
        <f>IF(ISNUMBER(FC395),INDIRECT("SamplesX!F"&amp;FC395),IF(ISNUMBER(FD395),INDIRECT("SamplesY!F"&amp;FD395),""))</f>
        <v/>
      </c>
      <c r="G395" s="18">
        <f>IF(ISNUMBER(FC395),INDIRECT("SamplesX!G"&amp;FC395),IF(ISNUMBER(FD395),INDIRECT("SamplesY!G"&amp;FD395),""))</f>
        <v/>
      </c>
      <c r="H395" s="19">
        <f>IF(ISNUMBER(FC395),INDIRECT("SamplesX!H"&amp;FC395),IF(ISNUMBER(FD395),INDIRECT("SamplesY!H"&amp;FD395),""))</f>
        <v/>
      </c>
      <c r="I395" s="16" t="n"/>
      <c r="J395" s="16" t="n"/>
      <c r="K395" s="16" t="n"/>
      <c r="L395" s="20" t="n"/>
      <c r="M395" s="20" t="inlineStr">
        <is>
          <t>None</t>
        </is>
      </c>
      <c r="N395" s="17" t="n"/>
      <c r="O395" s="16" t="n"/>
      <c r="P395" s="20" t="inlineStr">
        <is>
          <t>Shimadzu TOC-L</t>
        </is>
      </c>
      <c r="Q395" s="20" t="inlineStr">
        <is>
          <t>None</t>
        </is>
      </c>
      <c r="R395" s="17" t="n"/>
      <c r="S395" s="16" t="n"/>
      <c r="T395" s="20" t="inlineStr">
        <is>
          <t>Shimadzu TOC-L</t>
        </is>
      </c>
      <c r="U395" s="20" t="inlineStr">
        <is>
          <t>None</t>
        </is>
      </c>
      <c r="V395" s="17" t="n"/>
      <c r="W395" s="16" t="n"/>
      <c r="X395" s="20" t="n"/>
      <c r="Y395" s="20" t="inlineStr">
        <is>
          <t>None</t>
        </is>
      </c>
      <c r="Z395" s="17" t="n"/>
      <c r="AA395" s="16" t="n"/>
      <c r="AB395" s="20" t="n"/>
      <c r="AC395" s="20" t="inlineStr">
        <is>
          <t>None</t>
        </is>
      </c>
      <c r="AD395" s="17" t="n"/>
      <c r="AE395" s="16" t="n"/>
      <c r="AF395" s="20" t="inlineStr">
        <is>
          <t>IC Anionen</t>
        </is>
      </c>
      <c r="AG395" s="20" t="inlineStr">
        <is>
          <t>None</t>
        </is>
      </c>
      <c r="AH395" s="17" t="n"/>
      <c r="AI395" s="16" t="n"/>
      <c r="AJ395" s="20" t="n"/>
      <c r="AK395" s="20" t="inlineStr">
        <is>
          <t>None</t>
        </is>
      </c>
      <c r="AL395" s="17" t="n"/>
      <c r="AM395" s="16" t="n"/>
      <c r="AN395" s="20" t="inlineStr">
        <is>
          <t>IC Anionen</t>
        </is>
      </c>
      <c r="AO395" s="20" t="inlineStr">
        <is>
          <t>None</t>
        </is>
      </c>
      <c r="AP395" s="17" t="n"/>
      <c r="AQ395" s="16" t="n"/>
      <c r="AR395" s="20" t="n"/>
      <c r="AS395" s="20" t="inlineStr">
        <is>
          <t>None</t>
        </is>
      </c>
      <c r="AT395" s="17" t="n"/>
      <c r="AU395" s="16" t="n"/>
      <c r="AV395" s="20" t="n"/>
      <c r="AW395" s="20" t="inlineStr">
        <is>
          <t>None</t>
        </is>
      </c>
      <c r="AX395" s="17" t="n"/>
      <c r="AY395" s="16" t="n"/>
      <c r="AZ395" s="20" t="inlineStr">
        <is>
          <t>IC Anionen</t>
        </is>
      </c>
      <c r="BA395" s="20" t="inlineStr">
        <is>
          <t>None</t>
        </is>
      </c>
      <c r="BB395" s="17" t="n"/>
      <c r="BC395" s="16" t="n"/>
      <c r="BD395" s="20" t="inlineStr">
        <is>
          <t>IC Kationen</t>
        </is>
      </c>
      <c r="BE395" s="20" t="inlineStr">
        <is>
          <t>None</t>
        </is>
      </c>
      <c r="BF395" s="17" t="n"/>
      <c r="BG395" s="16" t="n"/>
      <c r="BH395" s="20" t="inlineStr">
        <is>
          <t>IC Kationen</t>
        </is>
      </c>
      <c r="BI395" s="20" t="inlineStr">
        <is>
          <t>None</t>
        </is>
      </c>
      <c r="BJ395" s="17" t="n"/>
      <c r="BK395" s="16" t="n"/>
      <c r="BL395" s="20" t="inlineStr">
        <is>
          <t>IC Kationen</t>
        </is>
      </c>
      <c r="BM395" s="20" t="inlineStr">
        <is>
          <t>None</t>
        </is>
      </c>
      <c r="BN395" s="17" t="n"/>
      <c r="BO395" s="16" t="n"/>
      <c r="BP395" s="20" t="inlineStr">
        <is>
          <t>IC Kationen</t>
        </is>
      </c>
      <c r="BQ395" s="20" t="inlineStr">
        <is>
          <t>None</t>
        </is>
      </c>
      <c r="BR395" s="17" t="n"/>
      <c r="BS395" s="16" t="n"/>
      <c r="BT395" s="20" t="inlineStr">
        <is>
          <t>IC Kationen</t>
        </is>
      </c>
      <c r="BU395" s="20" t="inlineStr">
        <is>
          <t>None</t>
        </is>
      </c>
      <c r="BV395" s="17" t="n"/>
      <c r="BW395" s="16" t="n"/>
      <c r="BX395" s="20" t="n"/>
      <c r="BY395" s="20" t="inlineStr">
        <is>
          <t>None</t>
        </is>
      </c>
      <c r="BZ395" s="17" t="n"/>
      <c r="CA395" s="16" t="n"/>
      <c r="CB395" s="20" t="n"/>
      <c r="CC395" s="20" t="inlineStr">
        <is>
          <t>None</t>
        </is>
      </c>
      <c r="CD395" s="17" t="n"/>
      <c r="CE395" s="16" t="n"/>
      <c r="CF395" s="20" t="n"/>
      <c r="CG395" s="20" t="inlineStr">
        <is>
          <t>None</t>
        </is>
      </c>
      <c r="CH395" s="17" t="n"/>
      <c r="CI395" s="16" t="n"/>
      <c r="CJ395" s="20" t="n"/>
      <c r="CK395" s="20" t="inlineStr">
        <is>
          <t>None</t>
        </is>
      </c>
      <c r="CL395" s="17" t="n"/>
      <c r="CM395" s="16" t="n"/>
      <c r="CN395" s="20" t="inlineStr">
        <is>
          <t>SOP 45-34</t>
        </is>
      </c>
      <c r="CO395" s="20" t="inlineStr">
        <is>
          <t>None</t>
        </is>
      </c>
      <c r="CP395" s="17" t="n"/>
      <c r="CQ395" s="16" t="n"/>
      <c r="CR395" s="20" t="n"/>
      <c r="CS395" s="20" t="inlineStr">
        <is>
          <t>None</t>
        </is>
      </c>
      <c r="CT395" s="17" t="n"/>
      <c r="CU395" s="16" t="n"/>
      <c r="CV395" s="20" t="n"/>
      <c r="CW395" s="20" t="inlineStr">
        <is>
          <t>None</t>
        </is>
      </c>
      <c r="CX395" s="17" t="n"/>
      <c r="CY395" s="16" t="n"/>
      <c r="CZ395" s="20" t="inlineStr">
        <is>
          <t>WTW Multimeter 3430 with FDO 925</t>
        </is>
      </c>
      <c r="DA395" s="20" t="inlineStr">
        <is>
          <t>None</t>
        </is>
      </c>
      <c r="DB395" s="17" t="n"/>
      <c r="DC395" s="16" t="n"/>
      <c r="DD395" s="20" t="n"/>
      <c r="DE395" s="20" t="inlineStr">
        <is>
          <t>None</t>
        </is>
      </c>
      <c r="DF395" s="17" t="n"/>
      <c r="DG395" s="16" t="n"/>
      <c r="DH395" s="20" t="inlineStr">
        <is>
          <t>SOP 45-09</t>
        </is>
      </c>
      <c r="DI395" s="20" t="inlineStr">
        <is>
          <t>None</t>
        </is>
      </c>
      <c r="DJ395" s="17" t="n"/>
      <c r="DK395" s="16" t="n"/>
      <c r="DL395" s="20" t="inlineStr">
        <is>
          <t>SOP 45-09 (SOP muss noch angepasst werden für VSS)</t>
        </is>
      </c>
      <c r="DM395" s="20" t="inlineStr">
        <is>
          <t>None</t>
        </is>
      </c>
      <c r="DN395" s="17" t="n"/>
      <c r="DO395" s="16" t="n"/>
      <c r="DP395" s="20" t="inlineStr">
        <is>
          <t>IC Organic Acids</t>
        </is>
      </c>
      <c r="DQ395" s="20" t="inlineStr">
        <is>
          <t>None</t>
        </is>
      </c>
      <c r="DR395" s="17" t="n"/>
      <c r="DS395" s="16" t="n"/>
      <c r="DT395" s="20" t="inlineStr">
        <is>
          <t>IC Organic Acids</t>
        </is>
      </c>
      <c r="DU395" s="20" t="inlineStr">
        <is>
          <t>None</t>
        </is>
      </c>
      <c r="DV395" s="17" t="n"/>
      <c r="DW395" s="16" t="n"/>
      <c r="DX395" s="20" t="inlineStr">
        <is>
          <t>IC Organic Acids</t>
        </is>
      </c>
      <c r="DY395" s="20" t="inlineStr">
        <is>
          <t>None</t>
        </is>
      </c>
      <c r="DZ395" s="17" t="n"/>
      <c r="EA395" s="16" t="n"/>
      <c r="EB395" s="20" t="inlineStr">
        <is>
          <t>IC Organic Acids</t>
        </is>
      </c>
      <c r="EC395" s="20" t="inlineStr">
        <is>
          <t>None</t>
        </is>
      </c>
      <c r="ED395" s="17" t="n"/>
      <c r="EE395" s="16" t="n"/>
      <c r="EF395" s="20" t="inlineStr">
        <is>
          <t>IC Organic Acids</t>
        </is>
      </c>
      <c r="EG395" s="20" t="inlineStr">
        <is>
          <t>None</t>
        </is>
      </c>
      <c r="EH395" s="17" t="n"/>
      <c r="EI395" s="16" t="n"/>
      <c r="EJ395" s="20" t="inlineStr">
        <is>
          <t>IC Organic Acids</t>
        </is>
      </c>
      <c r="EK395" s="20" t="inlineStr">
        <is>
          <t>None</t>
        </is>
      </c>
      <c r="EL395" s="17" t="n"/>
      <c r="EM395" s="16" t="n"/>
      <c r="EN395" s="20" t="inlineStr">
        <is>
          <t>IC Organic Acids</t>
        </is>
      </c>
      <c r="EO395" s="20" t="inlineStr">
        <is>
          <t>None</t>
        </is>
      </c>
      <c r="EP395" s="17" t="n"/>
      <c r="EQ395" s="16" t="n"/>
      <c r="ER395" s="20" t="inlineStr">
        <is>
          <t>IC Organic Acids</t>
        </is>
      </c>
      <c r="ES395" s="20" t="inlineStr">
        <is>
          <t>None</t>
        </is>
      </c>
      <c r="ET395" s="17" t="n"/>
      <c r="EU395" s="16" t="n"/>
      <c r="EV395" s="20" t="inlineStr">
        <is>
          <t>LC-MS</t>
        </is>
      </c>
      <c r="EW395" s="20" t="inlineStr">
        <is>
          <t>None</t>
        </is>
      </c>
      <c r="EX395" s="17" t="n"/>
      <c r="EY395" s="21" t="n"/>
      <c r="EZ395">
        <f>CONCATENATE(A395,B395)</f>
        <v/>
      </c>
      <c r="FA395">
        <f>CONCATENATE(SamplesX!A395,SamplesX!B395)</f>
        <v/>
      </c>
      <c r="FC395">
        <f>MATCH(EZ395,FA1:FA1008,0)</f>
        <v/>
      </c>
    </row>
    <row r="396">
      <c r="A396" s="16" t="inlineStr">
        <is>
          <t>BP</t>
        </is>
      </c>
      <c r="B396" s="17" t="inlineStr">
        <is>
          <t>25388</t>
        </is>
      </c>
      <c r="C396" s="10">
        <f>IF(ISNUMBER(FC396),INDIRECT("SamplesX!C"&amp;FC396),IF(ISNUMBER(FD396),INDIRECT("SamplesY!C"&amp;FD396),""))</f>
        <v/>
      </c>
      <c r="D396" s="12">
        <f>IF(ISNUMBER(FC396),INDIRECT("SamplesX!D"&amp;FC396),IF(ISNUMBER(FD396),INDIRECT("SamplesY!D"&amp;FD396),""))</f>
        <v/>
      </c>
      <c r="E396" s="12">
        <f>IF(ISNUMBER(FC396),INDIRECT("SamplesX!E"&amp;FC396),IF(ISNUMBER(FD396),INDIRECT("SamplesY!E"&amp;FD396),""))</f>
        <v/>
      </c>
      <c r="F396" s="11">
        <f>IF(ISNUMBER(FC396),INDIRECT("SamplesX!F"&amp;FC396),IF(ISNUMBER(FD396),INDIRECT("SamplesY!F"&amp;FD396),""))</f>
        <v/>
      </c>
      <c r="G396" s="18">
        <f>IF(ISNUMBER(FC396),INDIRECT("SamplesX!G"&amp;FC396),IF(ISNUMBER(FD396),INDIRECT("SamplesY!G"&amp;FD396),""))</f>
        <v/>
      </c>
      <c r="H396" s="19">
        <f>IF(ISNUMBER(FC396),INDIRECT("SamplesX!H"&amp;FC396),IF(ISNUMBER(FD396),INDIRECT("SamplesY!H"&amp;FD396),""))</f>
        <v/>
      </c>
      <c r="I396" s="16" t="n"/>
      <c r="J396" s="16" t="n"/>
      <c r="K396" s="16" t="n"/>
      <c r="L396" s="20" t="n"/>
      <c r="M396" s="20" t="inlineStr">
        <is>
          <t>None</t>
        </is>
      </c>
      <c r="N396" s="17" t="n"/>
      <c r="O396" s="16" t="n"/>
      <c r="P396" s="20" t="inlineStr">
        <is>
          <t>Shimadzu TOC-L</t>
        </is>
      </c>
      <c r="Q396" s="20" t="inlineStr">
        <is>
          <t>None</t>
        </is>
      </c>
      <c r="R396" s="17" t="n"/>
      <c r="S396" s="16" t="n"/>
      <c r="T396" s="20" t="inlineStr">
        <is>
          <t>Shimadzu TOC-L</t>
        </is>
      </c>
      <c r="U396" s="20" t="inlineStr">
        <is>
          <t>None</t>
        </is>
      </c>
      <c r="V396" s="17" t="n"/>
      <c r="W396" s="16" t="n"/>
      <c r="X396" s="20" t="n"/>
      <c r="Y396" s="20" t="inlineStr">
        <is>
          <t>None</t>
        </is>
      </c>
      <c r="Z396" s="17" t="n"/>
      <c r="AA396" s="16" t="n"/>
      <c r="AB396" s="20" t="n"/>
      <c r="AC396" s="20" t="inlineStr">
        <is>
          <t>None</t>
        </is>
      </c>
      <c r="AD396" s="17" t="n"/>
      <c r="AE396" s="16" t="n"/>
      <c r="AF396" s="20" t="inlineStr">
        <is>
          <t>IC Anionen</t>
        </is>
      </c>
      <c r="AG396" s="20" t="inlineStr">
        <is>
          <t>None</t>
        </is>
      </c>
      <c r="AH396" s="17" t="n"/>
      <c r="AI396" s="16" t="n"/>
      <c r="AJ396" s="20" t="n"/>
      <c r="AK396" s="20" t="inlineStr">
        <is>
          <t>None</t>
        </is>
      </c>
      <c r="AL396" s="17" t="n"/>
      <c r="AM396" s="16" t="n"/>
      <c r="AN396" s="20" t="inlineStr">
        <is>
          <t>IC Anionen</t>
        </is>
      </c>
      <c r="AO396" s="20" t="inlineStr">
        <is>
          <t>None</t>
        </is>
      </c>
      <c r="AP396" s="17" t="n"/>
      <c r="AQ396" s="16" t="n"/>
      <c r="AR396" s="20" t="n"/>
      <c r="AS396" s="20" t="inlineStr">
        <is>
          <t>None</t>
        </is>
      </c>
      <c r="AT396" s="17" t="n"/>
      <c r="AU396" s="16" t="n"/>
      <c r="AV396" s="20" t="n"/>
      <c r="AW396" s="20" t="inlineStr">
        <is>
          <t>None</t>
        </is>
      </c>
      <c r="AX396" s="17" t="n"/>
      <c r="AY396" s="16" t="n"/>
      <c r="AZ396" s="20" t="inlineStr">
        <is>
          <t>IC Anionen</t>
        </is>
      </c>
      <c r="BA396" s="20" t="inlineStr">
        <is>
          <t>None</t>
        </is>
      </c>
      <c r="BB396" s="17" t="n"/>
      <c r="BC396" s="16" t="n"/>
      <c r="BD396" s="20" t="inlineStr">
        <is>
          <t>IC Kationen</t>
        </is>
      </c>
      <c r="BE396" s="20" t="inlineStr">
        <is>
          <t>None</t>
        </is>
      </c>
      <c r="BF396" s="17" t="n"/>
      <c r="BG396" s="16" t="n"/>
      <c r="BH396" s="20" t="inlineStr">
        <is>
          <t>IC Kationen</t>
        </is>
      </c>
      <c r="BI396" s="20" t="inlineStr">
        <is>
          <t>None</t>
        </is>
      </c>
      <c r="BJ396" s="17" t="n"/>
      <c r="BK396" s="16" t="n"/>
      <c r="BL396" s="20" t="inlineStr">
        <is>
          <t>IC Kationen</t>
        </is>
      </c>
      <c r="BM396" s="20" t="inlineStr">
        <is>
          <t>None</t>
        </is>
      </c>
      <c r="BN396" s="17" t="n"/>
      <c r="BO396" s="16" t="n"/>
      <c r="BP396" s="20" t="inlineStr">
        <is>
          <t>IC Kationen</t>
        </is>
      </c>
      <c r="BQ396" s="20" t="inlineStr">
        <is>
          <t>None</t>
        </is>
      </c>
      <c r="BR396" s="17" t="n"/>
      <c r="BS396" s="16" t="n"/>
      <c r="BT396" s="20" t="inlineStr">
        <is>
          <t>IC Kationen</t>
        </is>
      </c>
      <c r="BU396" s="20" t="inlineStr">
        <is>
          <t>None</t>
        </is>
      </c>
      <c r="BV396" s="17" t="n"/>
      <c r="BW396" s="16" t="n"/>
      <c r="BX396" s="20" t="n"/>
      <c r="BY396" s="20" t="inlineStr">
        <is>
          <t>None</t>
        </is>
      </c>
      <c r="BZ396" s="17" t="n"/>
      <c r="CA396" s="16" t="n"/>
      <c r="CB396" s="20" t="n"/>
      <c r="CC396" s="20" t="inlineStr">
        <is>
          <t>None</t>
        </is>
      </c>
      <c r="CD396" s="17" t="n"/>
      <c r="CE396" s="16" t="n"/>
      <c r="CF396" s="20" t="n"/>
      <c r="CG396" s="20" t="inlineStr">
        <is>
          <t>None</t>
        </is>
      </c>
      <c r="CH396" s="17" t="n"/>
      <c r="CI396" s="16" t="n"/>
      <c r="CJ396" s="20" t="n"/>
      <c r="CK396" s="20" t="inlineStr">
        <is>
          <t>None</t>
        </is>
      </c>
      <c r="CL396" s="17" t="n"/>
      <c r="CM396" s="16" t="n"/>
      <c r="CN396" s="20" t="inlineStr">
        <is>
          <t>SOP 45-34</t>
        </is>
      </c>
      <c r="CO396" s="20" t="inlineStr">
        <is>
          <t>None</t>
        </is>
      </c>
      <c r="CP396" s="17" t="n"/>
      <c r="CQ396" s="16" t="n"/>
      <c r="CR396" s="20" t="n"/>
      <c r="CS396" s="20" t="inlineStr">
        <is>
          <t>None</t>
        </is>
      </c>
      <c r="CT396" s="17" t="n"/>
      <c r="CU396" s="16" t="n"/>
      <c r="CV396" s="20" t="n"/>
      <c r="CW396" s="20" t="inlineStr">
        <is>
          <t>None</t>
        </is>
      </c>
      <c r="CX396" s="17" t="n"/>
      <c r="CY396" s="16" t="n"/>
      <c r="CZ396" s="20" t="inlineStr">
        <is>
          <t>WTW Multimeter 3430 with FDO 925</t>
        </is>
      </c>
      <c r="DA396" s="20" t="inlineStr">
        <is>
          <t>None</t>
        </is>
      </c>
      <c r="DB396" s="17" t="n"/>
      <c r="DC396" s="16" t="n"/>
      <c r="DD396" s="20" t="n"/>
      <c r="DE396" s="20" t="inlineStr">
        <is>
          <t>None</t>
        </is>
      </c>
      <c r="DF396" s="17" t="n"/>
      <c r="DG396" s="16" t="n"/>
      <c r="DH396" s="20" t="inlineStr">
        <is>
          <t>SOP 45-09</t>
        </is>
      </c>
      <c r="DI396" s="20" t="inlineStr">
        <is>
          <t>None</t>
        </is>
      </c>
      <c r="DJ396" s="17" t="n"/>
      <c r="DK396" s="16" t="n"/>
      <c r="DL396" s="20" t="inlineStr">
        <is>
          <t>SOP 45-09 (SOP muss noch angepasst werden für VSS)</t>
        </is>
      </c>
      <c r="DM396" s="20" t="inlineStr">
        <is>
          <t>None</t>
        </is>
      </c>
      <c r="DN396" s="17" t="n"/>
      <c r="DO396" s="16" t="n"/>
      <c r="DP396" s="20" t="inlineStr">
        <is>
          <t>IC Organic Acids</t>
        </is>
      </c>
      <c r="DQ396" s="20" t="inlineStr">
        <is>
          <t>None</t>
        </is>
      </c>
      <c r="DR396" s="17" t="n"/>
      <c r="DS396" s="16" t="n"/>
      <c r="DT396" s="20" t="inlineStr">
        <is>
          <t>IC Organic Acids</t>
        </is>
      </c>
      <c r="DU396" s="20" t="inlineStr">
        <is>
          <t>None</t>
        </is>
      </c>
      <c r="DV396" s="17" t="n"/>
      <c r="DW396" s="16" t="n"/>
      <c r="DX396" s="20" t="inlineStr">
        <is>
          <t>IC Organic Acids</t>
        </is>
      </c>
      <c r="DY396" s="20" t="inlineStr">
        <is>
          <t>None</t>
        </is>
      </c>
      <c r="DZ396" s="17" t="n"/>
      <c r="EA396" s="16" t="n"/>
      <c r="EB396" s="20" t="inlineStr">
        <is>
          <t>IC Organic Acids</t>
        </is>
      </c>
      <c r="EC396" s="20" t="inlineStr">
        <is>
          <t>None</t>
        </is>
      </c>
      <c r="ED396" s="17" t="n"/>
      <c r="EE396" s="16" t="n"/>
      <c r="EF396" s="20" t="inlineStr">
        <is>
          <t>IC Organic Acids</t>
        </is>
      </c>
      <c r="EG396" s="20" t="inlineStr">
        <is>
          <t>None</t>
        </is>
      </c>
      <c r="EH396" s="17" t="n"/>
      <c r="EI396" s="16" t="n"/>
      <c r="EJ396" s="20" t="inlineStr">
        <is>
          <t>IC Organic Acids</t>
        </is>
      </c>
      <c r="EK396" s="20" t="inlineStr">
        <is>
          <t>None</t>
        </is>
      </c>
      <c r="EL396" s="17" t="n"/>
      <c r="EM396" s="16" t="n"/>
      <c r="EN396" s="20" t="inlineStr">
        <is>
          <t>IC Organic Acids</t>
        </is>
      </c>
      <c r="EO396" s="20" t="inlineStr">
        <is>
          <t>None</t>
        </is>
      </c>
      <c r="EP396" s="17" t="n"/>
      <c r="EQ396" s="16" t="n"/>
      <c r="ER396" s="20" t="inlineStr">
        <is>
          <t>IC Organic Acids</t>
        </is>
      </c>
      <c r="ES396" s="20" t="inlineStr">
        <is>
          <t>None</t>
        </is>
      </c>
      <c r="ET396" s="17" t="n"/>
      <c r="EU396" s="16" t="n"/>
      <c r="EV396" s="20" t="inlineStr">
        <is>
          <t>LC-MS</t>
        </is>
      </c>
      <c r="EW396" s="20" t="inlineStr">
        <is>
          <t>None</t>
        </is>
      </c>
      <c r="EX396" s="17" t="n"/>
      <c r="EY396" s="21" t="n"/>
      <c r="EZ396">
        <f>CONCATENATE(A396,B396)</f>
        <v/>
      </c>
      <c r="FA396">
        <f>CONCATENATE(SamplesX!A396,SamplesX!B396)</f>
        <v/>
      </c>
      <c r="FC396">
        <f>MATCH(EZ396,FA1:FA1008,0)</f>
        <v/>
      </c>
    </row>
    <row r="397">
      <c r="A397" s="16" t="inlineStr">
        <is>
          <t>BP</t>
        </is>
      </c>
      <c r="B397" s="17" t="inlineStr">
        <is>
          <t>25389</t>
        </is>
      </c>
      <c r="C397" s="10">
        <f>IF(ISNUMBER(FC397),INDIRECT("SamplesX!C"&amp;FC397),IF(ISNUMBER(FD397),INDIRECT("SamplesY!C"&amp;FD397),""))</f>
        <v/>
      </c>
      <c r="D397" s="12">
        <f>IF(ISNUMBER(FC397),INDIRECT("SamplesX!D"&amp;FC397),IF(ISNUMBER(FD397),INDIRECT("SamplesY!D"&amp;FD397),""))</f>
        <v/>
      </c>
      <c r="E397" s="12">
        <f>IF(ISNUMBER(FC397),INDIRECT("SamplesX!E"&amp;FC397),IF(ISNUMBER(FD397),INDIRECT("SamplesY!E"&amp;FD397),""))</f>
        <v/>
      </c>
      <c r="F397" s="11">
        <f>IF(ISNUMBER(FC397),INDIRECT("SamplesX!F"&amp;FC397),IF(ISNUMBER(FD397),INDIRECT("SamplesY!F"&amp;FD397),""))</f>
        <v/>
      </c>
      <c r="G397" s="18">
        <f>IF(ISNUMBER(FC397),INDIRECT("SamplesX!G"&amp;FC397),IF(ISNUMBER(FD397),INDIRECT("SamplesY!G"&amp;FD397),""))</f>
        <v/>
      </c>
      <c r="H397" s="19">
        <f>IF(ISNUMBER(FC397),INDIRECT("SamplesX!H"&amp;FC397),IF(ISNUMBER(FD397),INDIRECT("SamplesY!H"&amp;FD397),""))</f>
        <v/>
      </c>
      <c r="I397" s="16" t="n"/>
      <c r="J397" s="16" t="n"/>
      <c r="K397" s="16" t="n"/>
      <c r="L397" s="20" t="n"/>
      <c r="M397" s="20" t="inlineStr">
        <is>
          <t>None</t>
        </is>
      </c>
      <c r="N397" s="17" t="n"/>
      <c r="O397" s="16" t="n"/>
      <c r="P397" s="20" t="inlineStr">
        <is>
          <t>Shimadzu TOC-L</t>
        </is>
      </c>
      <c r="Q397" s="20" t="inlineStr">
        <is>
          <t>None</t>
        </is>
      </c>
      <c r="R397" s="17" t="n"/>
      <c r="S397" s="16" t="n"/>
      <c r="T397" s="20" t="inlineStr">
        <is>
          <t>Shimadzu TOC-L</t>
        </is>
      </c>
      <c r="U397" s="20" t="inlineStr">
        <is>
          <t>None</t>
        </is>
      </c>
      <c r="V397" s="17" t="n"/>
      <c r="W397" s="16" t="n"/>
      <c r="X397" s="20" t="n"/>
      <c r="Y397" s="20" t="inlineStr">
        <is>
          <t>None</t>
        </is>
      </c>
      <c r="Z397" s="17" t="n"/>
      <c r="AA397" s="16" t="n"/>
      <c r="AB397" s="20" t="n"/>
      <c r="AC397" s="20" t="inlineStr">
        <is>
          <t>None</t>
        </is>
      </c>
      <c r="AD397" s="17" t="n"/>
      <c r="AE397" s="16" t="n"/>
      <c r="AF397" s="20" t="inlineStr">
        <is>
          <t>IC Anionen</t>
        </is>
      </c>
      <c r="AG397" s="20" t="inlineStr">
        <is>
          <t>None</t>
        </is>
      </c>
      <c r="AH397" s="17" t="n"/>
      <c r="AI397" s="16" t="n"/>
      <c r="AJ397" s="20" t="n"/>
      <c r="AK397" s="20" t="inlineStr">
        <is>
          <t>None</t>
        </is>
      </c>
      <c r="AL397" s="17" t="n"/>
      <c r="AM397" s="16" t="n"/>
      <c r="AN397" s="20" t="inlineStr">
        <is>
          <t>IC Anionen</t>
        </is>
      </c>
      <c r="AO397" s="20" t="inlineStr">
        <is>
          <t>None</t>
        </is>
      </c>
      <c r="AP397" s="17" t="n"/>
      <c r="AQ397" s="16" t="n"/>
      <c r="AR397" s="20" t="n"/>
      <c r="AS397" s="20" t="inlineStr">
        <is>
          <t>None</t>
        </is>
      </c>
      <c r="AT397" s="17" t="n"/>
      <c r="AU397" s="16" t="n"/>
      <c r="AV397" s="20" t="n"/>
      <c r="AW397" s="20" t="inlineStr">
        <is>
          <t>None</t>
        </is>
      </c>
      <c r="AX397" s="17" t="n"/>
      <c r="AY397" s="16" t="n"/>
      <c r="AZ397" s="20" t="inlineStr">
        <is>
          <t>IC Anionen</t>
        </is>
      </c>
      <c r="BA397" s="20" t="inlineStr">
        <is>
          <t>None</t>
        </is>
      </c>
      <c r="BB397" s="17" t="n"/>
      <c r="BC397" s="16" t="n"/>
      <c r="BD397" s="20" t="inlineStr">
        <is>
          <t>IC Kationen</t>
        </is>
      </c>
      <c r="BE397" s="20" t="inlineStr">
        <is>
          <t>None</t>
        </is>
      </c>
      <c r="BF397" s="17" t="n"/>
      <c r="BG397" s="16" t="n"/>
      <c r="BH397" s="20" t="inlineStr">
        <is>
          <t>IC Kationen</t>
        </is>
      </c>
      <c r="BI397" s="20" t="inlineStr">
        <is>
          <t>None</t>
        </is>
      </c>
      <c r="BJ397" s="17" t="n"/>
      <c r="BK397" s="16" t="n"/>
      <c r="BL397" s="20" t="inlineStr">
        <is>
          <t>IC Kationen</t>
        </is>
      </c>
      <c r="BM397" s="20" t="inlineStr">
        <is>
          <t>None</t>
        </is>
      </c>
      <c r="BN397" s="17" t="n"/>
      <c r="BO397" s="16" t="n"/>
      <c r="BP397" s="20" t="inlineStr">
        <is>
          <t>IC Kationen</t>
        </is>
      </c>
      <c r="BQ397" s="20" t="inlineStr">
        <is>
          <t>None</t>
        </is>
      </c>
      <c r="BR397" s="17" t="n"/>
      <c r="BS397" s="16" t="n"/>
      <c r="BT397" s="20" t="inlineStr">
        <is>
          <t>IC Kationen</t>
        </is>
      </c>
      <c r="BU397" s="20" t="inlineStr">
        <is>
          <t>None</t>
        </is>
      </c>
      <c r="BV397" s="17" t="n"/>
      <c r="BW397" s="16" t="n"/>
      <c r="BX397" s="20" t="n"/>
      <c r="BY397" s="20" t="inlineStr">
        <is>
          <t>None</t>
        </is>
      </c>
      <c r="BZ397" s="17" t="n"/>
      <c r="CA397" s="16" t="n"/>
      <c r="CB397" s="20" t="n"/>
      <c r="CC397" s="20" t="inlineStr">
        <is>
          <t>None</t>
        </is>
      </c>
      <c r="CD397" s="17" t="n"/>
      <c r="CE397" s="16" t="n"/>
      <c r="CF397" s="20" t="n"/>
      <c r="CG397" s="20" t="inlineStr">
        <is>
          <t>None</t>
        </is>
      </c>
      <c r="CH397" s="17" t="n"/>
      <c r="CI397" s="16" t="n"/>
      <c r="CJ397" s="20" t="n"/>
      <c r="CK397" s="20" t="inlineStr">
        <is>
          <t>None</t>
        </is>
      </c>
      <c r="CL397" s="17" t="n"/>
      <c r="CM397" s="16" t="n"/>
      <c r="CN397" s="20" t="inlineStr">
        <is>
          <t>SOP 45-34</t>
        </is>
      </c>
      <c r="CO397" s="20" t="inlineStr">
        <is>
          <t>None</t>
        </is>
      </c>
      <c r="CP397" s="17" t="n"/>
      <c r="CQ397" s="16" t="n"/>
      <c r="CR397" s="20" t="n"/>
      <c r="CS397" s="20" t="inlineStr">
        <is>
          <t>None</t>
        </is>
      </c>
      <c r="CT397" s="17" t="n"/>
      <c r="CU397" s="16" t="n"/>
      <c r="CV397" s="20" t="n"/>
      <c r="CW397" s="20" t="inlineStr">
        <is>
          <t>None</t>
        </is>
      </c>
      <c r="CX397" s="17" t="n"/>
      <c r="CY397" s="16" t="n"/>
      <c r="CZ397" s="20" t="inlineStr">
        <is>
          <t>WTW Multimeter 3430 with FDO 925</t>
        </is>
      </c>
      <c r="DA397" s="20" t="inlineStr">
        <is>
          <t>None</t>
        </is>
      </c>
      <c r="DB397" s="17" t="n"/>
      <c r="DC397" s="16" t="n"/>
      <c r="DD397" s="20" t="n"/>
      <c r="DE397" s="20" t="inlineStr">
        <is>
          <t>None</t>
        </is>
      </c>
      <c r="DF397" s="17" t="n"/>
      <c r="DG397" s="16" t="n"/>
      <c r="DH397" s="20" t="inlineStr">
        <is>
          <t>SOP 45-09</t>
        </is>
      </c>
      <c r="DI397" s="20" t="inlineStr">
        <is>
          <t>None</t>
        </is>
      </c>
      <c r="DJ397" s="17" t="n"/>
      <c r="DK397" s="16" t="n"/>
      <c r="DL397" s="20" t="inlineStr">
        <is>
          <t>SOP 45-09 (SOP muss noch angepasst werden für VSS)</t>
        </is>
      </c>
      <c r="DM397" s="20" t="inlineStr">
        <is>
          <t>None</t>
        </is>
      </c>
      <c r="DN397" s="17" t="n"/>
      <c r="DO397" s="16" t="n"/>
      <c r="DP397" s="20" t="inlineStr">
        <is>
          <t>IC Organic Acids</t>
        </is>
      </c>
      <c r="DQ397" s="20" t="inlineStr">
        <is>
          <t>None</t>
        </is>
      </c>
      <c r="DR397" s="17" t="n"/>
      <c r="DS397" s="16" t="n"/>
      <c r="DT397" s="20" t="inlineStr">
        <is>
          <t>IC Organic Acids</t>
        </is>
      </c>
      <c r="DU397" s="20" t="inlineStr">
        <is>
          <t>None</t>
        </is>
      </c>
      <c r="DV397" s="17" t="n"/>
      <c r="DW397" s="16" t="n"/>
      <c r="DX397" s="20" t="inlineStr">
        <is>
          <t>IC Organic Acids</t>
        </is>
      </c>
      <c r="DY397" s="20" t="inlineStr">
        <is>
          <t>None</t>
        </is>
      </c>
      <c r="DZ397" s="17" t="n"/>
      <c r="EA397" s="16" t="n"/>
      <c r="EB397" s="20" t="inlineStr">
        <is>
          <t>IC Organic Acids</t>
        </is>
      </c>
      <c r="EC397" s="20" t="inlineStr">
        <is>
          <t>None</t>
        </is>
      </c>
      <c r="ED397" s="17" t="n"/>
      <c r="EE397" s="16" t="n"/>
      <c r="EF397" s="20" t="inlineStr">
        <is>
          <t>IC Organic Acids</t>
        </is>
      </c>
      <c r="EG397" s="20" t="inlineStr">
        <is>
          <t>None</t>
        </is>
      </c>
      <c r="EH397" s="17" t="n"/>
      <c r="EI397" s="16" t="n"/>
      <c r="EJ397" s="20" t="inlineStr">
        <is>
          <t>IC Organic Acids</t>
        </is>
      </c>
      <c r="EK397" s="20" t="inlineStr">
        <is>
          <t>None</t>
        </is>
      </c>
      <c r="EL397" s="17" t="n"/>
      <c r="EM397" s="16" t="n"/>
      <c r="EN397" s="20" t="inlineStr">
        <is>
          <t>IC Organic Acids</t>
        </is>
      </c>
      <c r="EO397" s="20" t="inlineStr">
        <is>
          <t>None</t>
        </is>
      </c>
      <c r="EP397" s="17" t="n"/>
      <c r="EQ397" s="16" t="n"/>
      <c r="ER397" s="20" t="inlineStr">
        <is>
          <t>IC Organic Acids</t>
        </is>
      </c>
      <c r="ES397" s="20" t="inlineStr">
        <is>
          <t>None</t>
        </is>
      </c>
      <c r="ET397" s="17" t="n"/>
      <c r="EU397" s="16" t="n"/>
      <c r="EV397" s="20" t="inlineStr">
        <is>
          <t>LC-MS</t>
        </is>
      </c>
      <c r="EW397" s="20" t="inlineStr">
        <is>
          <t>None</t>
        </is>
      </c>
      <c r="EX397" s="17" t="n"/>
      <c r="EY397" s="21" t="n"/>
      <c r="EZ397">
        <f>CONCATENATE(A397,B397)</f>
        <v/>
      </c>
      <c r="FA397">
        <f>CONCATENATE(SamplesX!A397,SamplesX!B397)</f>
        <v/>
      </c>
      <c r="FC397">
        <f>MATCH(EZ397,FA1:FA1008,0)</f>
        <v/>
      </c>
    </row>
    <row r="398">
      <c r="A398" s="16" t="inlineStr">
        <is>
          <t>BP</t>
        </is>
      </c>
      <c r="B398" s="17" t="inlineStr">
        <is>
          <t>25390</t>
        </is>
      </c>
      <c r="C398" s="10">
        <f>IF(ISNUMBER(FC398),INDIRECT("SamplesX!C"&amp;FC398),IF(ISNUMBER(FD398),INDIRECT("SamplesY!C"&amp;FD398),""))</f>
        <v/>
      </c>
      <c r="D398" s="12">
        <f>IF(ISNUMBER(FC398),INDIRECT("SamplesX!D"&amp;FC398),IF(ISNUMBER(FD398),INDIRECT("SamplesY!D"&amp;FD398),""))</f>
        <v/>
      </c>
      <c r="E398" s="12">
        <f>IF(ISNUMBER(FC398),INDIRECT("SamplesX!E"&amp;FC398),IF(ISNUMBER(FD398),INDIRECT("SamplesY!E"&amp;FD398),""))</f>
        <v/>
      </c>
      <c r="F398" s="11">
        <f>IF(ISNUMBER(FC398),INDIRECT("SamplesX!F"&amp;FC398),IF(ISNUMBER(FD398),INDIRECT("SamplesY!F"&amp;FD398),""))</f>
        <v/>
      </c>
      <c r="G398" s="18">
        <f>IF(ISNUMBER(FC398),INDIRECT("SamplesX!G"&amp;FC398),IF(ISNUMBER(FD398),INDIRECT("SamplesY!G"&amp;FD398),""))</f>
        <v/>
      </c>
      <c r="H398" s="19">
        <f>IF(ISNUMBER(FC398),INDIRECT("SamplesX!H"&amp;FC398),IF(ISNUMBER(FD398),INDIRECT("SamplesY!H"&amp;FD398),""))</f>
        <v/>
      </c>
      <c r="I398" s="16" t="n"/>
      <c r="J398" s="16" t="n"/>
      <c r="K398" s="16" t="n"/>
      <c r="L398" s="20" t="n"/>
      <c r="M398" s="20" t="inlineStr">
        <is>
          <t>None</t>
        </is>
      </c>
      <c r="N398" s="17" t="n"/>
      <c r="O398" s="16" t="n"/>
      <c r="P398" s="20" t="inlineStr">
        <is>
          <t>Shimadzu TOC-L</t>
        </is>
      </c>
      <c r="Q398" s="20" t="inlineStr">
        <is>
          <t>None</t>
        </is>
      </c>
      <c r="R398" s="17" t="n"/>
      <c r="S398" s="16" t="n"/>
      <c r="T398" s="20" t="inlineStr">
        <is>
          <t>Shimadzu TOC-L</t>
        </is>
      </c>
      <c r="U398" s="20" t="inlineStr">
        <is>
          <t>None</t>
        </is>
      </c>
      <c r="V398" s="17" t="n"/>
      <c r="W398" s="16" t="n"/>
      <c r="X398" s="20" t="n"/>
      <c r="Y398" s="20" t="inlineStr">
        <is>
          <t>None</t>
        </is>
      </c>
      <c r="Z398" s="17" t="n"/>
      <c r="AA398" s="16" t="n"/>
      <c r="AB398" s="20" t="n"/>
      <c r="AC398" s="20" t="inlineStr">
        <is>
          <t>None</t>
        </is>
      </c>
      <c r="AD398" s="17" t="n"/>
      <c r="AE398" s="16" t="n"/>
      <c r="AF398" s="20" t="inlineStr">
        <is>
          <t>IC Anionen</t>
        </is>
      </c>
      <c r="AG398" s="20" t="inlineStr">
        <is>
          <t>None</t>
        </is>
      </c>
      <c r="AH398" s="17" t="n"/>
      <c r="AI398" s="16" t="n"/>
      <c r="AJ398" s="20" t="n"/>
      <c r="AK398" s="20" t="inlineStr">
        <is>
          <t>None</t>
        </is>
      </c>
      <c r="AL398" s="17" t="n"/>
      <c r="AM398" s="16" t="n"/>
      <c r="AN398" s="20" t="inlineStr">
        <is>
          <t>IC Anionen</t>
        </is>
      </c>
      <c r="AO398" s="20" t="inlineStr">
        <is>
          <t>None</t>
        </is>
      </c>
      <c r="AP398" s="17" t="n"/>
      <c r="AQ398" s="16" t="n"/>
      <c r="AR398" s="20" t="n"/>
      <c r="AS398" s="20" t="inlineStr">
        <is>
          <t>None</t>
        </is>
      </c>
      <c r="AT398" s="17" t="n"/>
      <c r="AU398" s="16" t="n"/>
      <c r="AV398" s="20" t="n"/>
      <c r="AW398" s="20" t="inlineStr">
        <is>
          <t>None</t>
        </is>
      </c>
      <c r="AX398" s="17" t="n"/>
      <c r="AY398" s="16" t="n"/>
      <c r="AZ398" s="20" t="inlineStr">
        <is>
          <t>IC Anionen</t>
        </is>
      </c>
      <c r="BA398" s="20" t="inlineStr">
        <is>
          <t>None</t>
        </is>
      </c>
      <c r="BB398" s="17" t="n"/>
      <c r="BC398" s="16" t="n"/>
      <c r="BD398" s="20" t="inlineStr">
        <is>
          <t>IC Kationen</t>
        </is>
      </c>
      <c r="BE398" s="20" t="inlineStr">
        <is>
          <t>None</t>
        </is>
      </c>
      <c r="BF398" s="17" t="n"/>
      <c r="BG398" s="16" t="n"/>
      <c r="BH398" s="20" t="inlineStr">
        <is>
          <t>IC Kationen</t>
        </is>
      </c>
      <c r="BI398" s="20" t="inlineStr">
        <is>
          <t>None</t>
        </is>
      </c>
      <c r="BJ398" s="17" t="n"/>
      <c r="BK398" s="16" t="n"/>
      <c r="BL398" s="20" t="inlineStr">
        <is>
          <t>IC Kationen</t>
        </is>
      </c>
      <c r="BM398" s="20" t="inlineStr">
        <is>
          <t>None</t>
        </is>
      </c>
      <c r="BN398" s="17" t="n"/>
      <c r="BO398" s="16" t="n"/>
      <c r="BP398" s="20" t="inlineStr">
        <is>
          <t>IC Kationen</t>
        </is>
      </c>
      <c r="BQ398" s="20" t="inlineStr">
        <is>
          <t>None</t>
        </is>
      </c>
      <c r="BR398" s="17" t="n"/>
      <c r="BS398" s="16" t="n"/>
      <c r="BT398" s="20" t="inlineStr">
        <is>
          <t>IC Kationen</t>
        </is>
      </c>
      <c r="BU398" s="20" t="inlineStr">
        <is>
          <t>None</t>
        </is>
      </c>
      <c r="BV398" s="17" t="n"/>
      <c r="BW398" s="16" t="n"/>
      <c r="BX398" s="20" t="n"/>
      <c r="BY398" s="20" t="inlineStr">
        <is>
          <t>None</t>
        </is>
      </c>
      <c r="BZ398" s="17" t="n"/>
      <c r="CA398" s="16" t="n"/>
      <c r="CB398" s="20" t="n"/>
      <c r="CC398" s="20" t="inlineStr">
        <is>
          <t>None</t>
        </is>
      </c>
      <c r="CD398" s="17" t="n"/>
      <c r="CE398" s="16" t="n"/>
      <c r="CF398" s="20" t="n"/>
      <c r="CG398" s="20" t="inlineStr">
        <is>
          <t>None</t>
        </is>
      </c>
      <c r="CH398" s="17" t="n"/>
      <c r="CI398" s="16" t="n"/>
      <c r="CJ398" s="20" t="n"/>
      <c r="CK398" s="20" t="inlineStr">
        <is>
          <t>None</t>
        </is>
      </c>
      <c r="CL398" s="17" t="n"/>
      <c r="CM398" s="16" t="n"/>
      <c r="CN398" s="20" t="inlineStr">
        <is>
          <t>SOP 45-34</t>
        </is>
      </c>
      <c r="CO398" s="20" t="inlineStr">
        <is>
          <t>None</t>
        </is>
      </c>
      <c r="CP398" s="17" t="n"/>
      <c r="CQ398" s="16" t="n"/>
      <c r="CR398" s="20" t="n"/>
      <c r="CS398" s="20" t="inlineStr">
        <is>
          <t>None</t>
        </is>
      </c>
      <c r="CT398" s="17" t="n"/>
      <c r="CU398" s="16" t="n"/>
      <c r="CV398" s="20" t="n"/>
      <c r="CW398" s="20" t="inlineStr">
        <is>
          <t>None</t>
        </is>
      </c>
      <c r="CX398" s="17" t="n"/>
      <c r="CY398" s="16" t="n"/>
      <c r="CZ398" s="20" t="inlineStr">
        <is>
          <t>WTW Multimeter 3430 with FDO 925</t>
        </is>
      </c>
      <c r="DA398" s="20" t="inlineStr">
        <is>
          <t>None</t>
        </is>
      </c>
      <c r="DB398" s="17" t="n"/>
      <c r="DC398" s="16" t="n"/>
      <c r="DD398" s="20" t="n"/>
      <c r="DE398" s="20" t="inlineStr">
        <is>
          <t>None</t>
        </is>
      </c>
      <c r="DF398" s="17" t="n"/>
      <c r="DG398" s="16" t="n"/>
      <c r="DH398" s="20" t="inlineStr">
        <is>
          <t>SOP 45-09</t>
        </is>
      </c>
      <c r="DI398" s="20" t="inlineStr">
        <is>
          <t>None</t>
        </is>
      </c>
      <c r="DJ398" s="17" t="n"/>
      <c r="DK398" s="16" t="n"/>
      <c r="DL398" s="20" t="inlineStr">
        <is>
          <t>SOP 45-09 (SOP muss noch angepasst werden für VSS)</t>
        </is>
      </c>
      <c r="DM398" s="20" t="inlineStr">
        <is>
          <t>None</t>
        </is>
      </c>
      <c r="DN398" s="17" t="n"/>
      <c r="DO398" s="16" t="n"/>
      <c r="DP398" s="20" t="inlineStr">
        <is>
          <t>IC Organic Acids</t>
        </is>
      </c>
      <c r="DQ398" s="20" t="inlineStr">
        <is>
          <t>None</t>
        </is>
      </c>
      <c r="DR398" s="17" t="n"/>
      <c r="DS398" s="16" t="n"/>
      <c r="DT398" s="20" t="inlineStr">
        <is>
          <t>IC Organic Acids</t>
        </is>
      </c>
      <c r="DU398" s="20" t="inlineStr">
        <is>
          <t>None</t>
        </is>
      </c>
      <c r="DV398" s="17" t="n"/>
      <c r="DW398" s="16" t="n"/>
      <c r="DX398" s="20" t="inlineStr">
        <is>
          <t>IC Organic Acids</t>
        </is>
      </c>
      <c r="DY398" s="20" t="inlineStr">
        <is>
          <t>None</t>
        </is>
      </c>
      <c r="DZ398" s="17" t="n"/>
      <c r="EA398" s="16" t="n"/>
      <c r="EB398" s="20" t="inlineStr">
        <is>
          <t>IC Organic Acids</t>
        </is>
      </c>
      <c r="EC398" s="20" t="inlineStr">
        <is>
          <t>None</t>
        </is>
      </c>
      <c r="ED398" s="17" t="n"/>
      <c r="EE398" s="16" t="n"/>
      <c r="EF398" s="20" t="inlineStr">
        <is>
          <t>IC Organic Acids</t>
        </is>
      </c>
      <c r="EG398" s="20" t="inlineStr">
        <is>
          <t>None</t>
        </is>
      </c>
      <c r="EH398" s="17" t="n"/>
      <c r="EI398" s="16" t="n"/>
      <c r="EJ398" s="20" t="inlineStr">
        <is>
          <t>IC Organic Acids</t>
        </is>
      </c>
      <c r="EK398" s="20" t="inlineStr">
        <is>
          <t>None</t>
        </is>
      </c>
      <c r="EL398" s="17" t="n"/>
      <c r="EM398" s="16" t="n"/>
      <c r="EN398" s="20" t="inlineStr">
        <is>
          <t>IC Organic Acids</t>
        </is>
      </c>
      <c r="EO398" s="20" t="inlineStr">
        <is>
          <t>None</t>
        </is>
      </c>
      <c r="EP398" s="17" t="n"/>
      <c r="EQ398" s="16" t="n"/>
      <c r="ER398" s="20" t="inlineStr">
        <is>
          <t>IC Organic Acids</t>
        </is>
      </c>
      <c r="ES398" s="20" t="inlineStr">
        <is>
          <t>None</t>
        </is>
      </c>
      <c r="ET398" s="17" t="n"/>
      <c r="EU398" s="16" t="n"/>
      <c r="EV398" s="20" t="inlineStr">
        <is>
          <t>LC-MS</t>
        </is>
      </c>
      <c r="EW398" s="20" t="inlineStr">
        <is>
          <t>None</t>
        </is>
      </c>
      <c r="EX398" s="17" t="n"/>
      <c r="EY398" s="21" t="n"/>
      <c r="EZ398">
        <f>CONCATENATE(A398,B398)</f>
        <v/>
      </c>
      <c r="FA398">
        <f>CONCATENATE(SamplesX!A398,SamplesX!B398)</f>
        <v/>
      </c>
      <c r="FC398">
        <f>MATCH(EZ398,FA1:FA1008,0)</f>
        <v/>
      </c>
    </row>
    <row r="399">
      <c r="A399" s="16" t="inlineStr">
        <is>
          <t>BP</t>
        </is>
      </c>
      <c r="B399" s="17" t="inlineStr">
        <is>
          <t>25391</t>
        </is>
      </c>
      <c r="C399" s="10">
        <f>IF(ISNUMBER(FC399),INDIRECT("SamplesX!C"&amp;FC399),IF(ISNUMBER(FD399),INDIRECT("SamplesY!C"&amp;FD399),""))</f>
        <v/>
      </c>
      <c r="D399" s="12">
        <f>IF(ISNUMBER(FC399),INDIRECT("SamplesX!D"&amp;FC399),IF(ISNUMBER(FD399),INDIRECT("SamplesY!D"&amp;FD399),""))</f>
        <v/>
      </c>
      <c r="E399" s="12">
        <f>IF(ISNUMBER(FC399),INDIRECT("SamplesX!E"&amp;FC399),IF(ISNUMBER(FD399),INDIRECT("SamplesY!E"&amp;FD399),""))</f>
        <v/>
      </c>
      <c r="F399" s="11">
        <f>IF(ISNUMBER(FC399),INDIRECT("SamplesX!F"&amp;FC399),IF(ISNUMBER(FD399),INDIRECT("SamplesY!F"&amp;FD399),""))</f>
        <v/>
      </c>
      <c r="G399" s="18">
        <f>IF(ISNUMBER(FC399),INDIRECT("SamplesX!G"&amp;FC399),IF(ISNUMBER(FD399),INDIRECT("SamplesY!G"&amp;FD399),""))</f>
        <v/>
      </c>
      <c r="H399" s="19">
        <f>IF(ISNUMBER(FC399),INDIRECT("SamplesX!H"&amp;FC399),IF(ISNUMBER(FD399),INDIRECT("SamplesY!H"&amp;FD399),""))</f>
        <v/>
      </c>
      <c r="I399" s="16" t="n"/>
      <c r="J399" s="16" t="n"/>
      <c r="K399" s="16" t="n"/>
      <c r="L399" s="20" t="n"/>
      <c r="M399" s="20" t="inlineStr">
        <is>
          <t>None</t>
        </is>
      </c>
      <c r="N399" s="17" t="n"/>
      <c r="O399" s="16" t="n"/>
      <c r="P399" s="20" t="inlineStr">
        <is>
          <t>Shimadzu TOC-L</t>
        </is>
      </c>
      <c r="Q399" s="20" t="inlineStr">
        <is>
          <t>None</t>
        </is>
      </c>
      <c r="R399" s="17" t="n"/>
      <c r="S399" s="16" t="n"/>
      <c r="T399" s="20" t="inlineStr">
        <is>
          <t>Shimadzu TOC-L</t>
        </is>
      </c>
      <c r="U399" s="20" t="inlineStr">
        <is>
          <t>None</t>
        </is>
      </c>
      <c r="V399" s="17" t="n"/>
      <c r="W399" s="16" t="n"/>
      <c r="X399" s="20" t="n"/>
      <c r="Y399" s="20" t="inlineStr">
        <is>
          <t>None</t>
        </is>
      </c>
      <c r="Z399" s="17" t="n"/>
      <c r="AA399" s="16" t="n"/>
      <c r="AB399" s="20" t="n"/>
      <c r="AC399" s="20" t="inlineStr">
        <is>
          <t>None</t>
        </is>
      </c>
      <c r="AD399" s="17" t="n"/>
      <c r="AE399" s="16" t="n"/>
      <c r="AF399" s="20" t="inlineStr">
        <is>
          <t>IC Anionen</t>
        </is>
      </c>
      <c r="AG399" s="20" t="inlineStr">
        <is>
          <t>None</t>
        </is>
      </c>
      <c r="AH399" s="17" t="n"/>
      <c r="AI399" s="16" t="n"/>
      <c r="AJ399" s="20" t="n"/>
      <c r="AK399" s="20" t="inlineStr">
        <is>
          <t>None</t>
        </is>
      </c>
      <c r="AL399" s="17" t="n"/>
      <c r="AM399" s="16" t="n"/>
      <c r="AN399" s="20" t="inlineStr">
        <is>
          <t>IC Anionen</t>
        </is>
      </c>
      <c r="AO399" s="20" t="inlineStr">
        <is>
          <t>None</t>
        </is>
      </c>
      <c r="AP399" s="17" t="n"/>
      <c r="AQ399" s="16" t="n"/>
      <c r="AR399" s="20" t="n"/>
      <c r="AS399" s="20" t="inlineStr">
        <is>
          <t>None</t>
        </is>
      </c>
      <c r="AT399" s="17" t="n"/>
      <c r="AU399" s="16" t="n"/>
      <c r="AV399" s="20" t="n"/>
      <c r="AW399" s="20" t="inlineStr">
        <is>
          <t>None</t>
        </is>
      </c>
      <c r="AX399" s="17" t="n"/>
      <c r="AY399" s="16" t="n"/>
      <c r="AZ399" s="20" t="inlineStr">
        <is>
          <t>IC Anionen</t>
        </is>
      </c>
      <c r="BA399" s="20" t="inlineStr">
        <is>
          <t>None</t>
        </is>
      </c>
      <c r="BB399" s="17" t="n"/>
      <c r="BC399" s="16" t="n"/>
      <c r="BD399" s="20" t="inlineStr">
        <is>
          <t>IC Kationen</t>
        </is>
      </c>
      <c r="BE399" s="20" t="inlineStr">
        <is>
          <t>None</t>
        </is>
      </c>
      <c r="BF399" s="17" t="n"/>
      <c r="BG399" s="16" t="n"/>
      <c r="BH399" s="20" t="inlineStr">
        <is>
          <t>IC Kationen</t>
        </is>
      </c>
      <c r="BI399" s="20" t="inlineStr">
        <is>
          <t>None</t>
        </is>
      </c>
      <c r="BJ399" s="17" t="n"/>
      <c r="BK399" s="16" t="n"/>
      <c r="BL399" s="20" t="inlineStr">
        <is>
          <t>IC Kationen</t>
        </is>
      </c>
      <c r="BM399" s="20" t="inlineStr">
        <is>
          <t>None</t>
        </is>
      </c>
      <c r="BN399" s="17" t="n"/>
      <c r="BO399" s="16" t="n"/>
      <c r="BP399" s="20" t="inlineStr">
        <is>
          <t>IC Kationen</t>
        </is>
      </c>
      <c r="BQ399" s="20" t="inlineStr">
        <is>
          <t>None</t>
        </is>
      </c>
      <c r="BR399" s="17" t="n"/>
      <c r="BS399" s="16" t="n"/>
      <c r="BT399" s="20" t="inlineStr">
        <is>
          <t>IC Kationen</t>
        </is>
      </c>
      <c r="BU399" s="20" t="inlineStr">
        <is>
          <t>None</t>
        </is>
      </c>
      <c r="BV399" s="17" t="n"/>
      <c r="BW399" s="16" t="n"/>
      <c r="BX399" s="20" t="n"/>
      <c r="BY399" s="20" t="inlineStr">
        <is>
          <t>None</t>
        </is>
      </c>
      <c r="BZ399" s="17" t="n"/>
      <c r="CA399" s="16" t="n"/>
      <c r="CB399" s="20" t="n"/>
      <c r="CC399" s="20" t="inlineStr">
        <is>
          <t>None</t>
        </is>
      </c>
      <c r="CD399" s="17" t="n"/>
      <c r="CE399" s="16" t="n"/>
      <c r="CF399" s="20" t="n"/>
      <c r="CG399" s="20" t="inlineStr">
        <is>
          <t>None</t>
        </is>
      </c>
      <c r="CH399" s="17" t="n"/>
      <c r="CI399" s="16" t="n"/>
      <c r="CJ399" s="20" t="n"/>
      <c r="CK399" s="20" t="inlineStr">
        <is>
          <t>None</t>
        </is>
      </c>
      <c r="CL399" s="17" t="n"/>
      <c r="CM399" s="16" t="n"/>
      <c r="CN399" s="20" t="inlineStr">
        <is>
          <t>SOP 45-34</t>
        </is>
      </c>
      <c r="CO399" s="20" t="inlineStr">
        <is>
          <t>None</t>
        </is>
      </c>
      <c r="CP399" s="17" t="n"/>
      <c r="CQ399" s="16" t="n"/>
      <c r="CR399" s="20" t="n"/>
      <c r="CS399" s="20" t="inlineStr">
        <is>
          <t>None</t>
        </is>
      </c>
      <c r="CT399" s="17" t="n"/>
      <c r="CU399" s="16" t="n"/>
      <c r="CV399" s="20" t="n"/>
      <c r="CW399" s="20" t="inlineStr">
        <is>
          <t>None</t>
        </is>
      </c>
      <c r="CX399" s="17" t="n"/>
      <c r="CY399" s="16" t="n"/>
      <c r="CZ399" s="20" t="inlineStr">
        <is>
          <t>WTW Multimeter 3430 with FDO 925</t>
        </is>
      </c>
      <c r="DA399" s="20" t="inlineStr">
        <is>
          <t>None</t>
        </is>
      </c>
      <c r="DB399" s="17" t="n"/>
      <c r="DC399" s="16" t="n"/>
      <c r="DD399" s="20" t="n"/>
      <c r="DE399" s="20" t="inlineStr">
        <is>
          <t>None</t>
        </is>
      </c>
      <c r="DF399" s="17" t="n"/>
      <c r="DG399" s="16" t="n"/>
      <c r="DH399" s="20" t="inlineStr">
        <is>
          <t>SOP 45-09</t>
        </is>
      </c>
      <c r="DI399" s="20" t="inlineStr">
        <is>
          <t>None</t>
        </is>
      </c>
      <c r="DJ399" s="17" t="n"/>
      <c r="DK399" s="16" t="n"/>
      <c r="DL399" s="20" t="inlineStr">
        <is>
          <t>SOP 45-09 (SOP muss noch angepasst werden für VSS)</t>
        </is>
      </c>
      <c r="DM399" s="20" t="inlineStr">
        <is>
          <t>None</t>
        </is>
      </c>
      <c r="DN399" s="17" t="n"/>
      <c r="DO399" s="16" t="n"/>
      <c r="DP399" s="20" t="inlineStr">
        <is>
          <t>IC Organic Acids</t>
        </is>
      </c>
      <c r="DQ399" s="20" t="inlineStr">
        <is>
          <t>None</t>
        </is>
      </c>
      <c r="DR399" s="17" t="n"/>
      <c r="DS399" s="16" t="n"/>
      <c r="DT399" s="20" t="inlineStr">
        <is>
          <t>IC Organic Acids</t>
        </is>
      </c>
      <c r="DU399" s="20" t="inlineStr">
        <is>
          <t>None</t>
        </is>
      </c>
      <c r="DV399" s="17" t="n"/>
      <c r="DW399" s="16" t="n"/>
      <c r="DX399" s="20" t="inlineStr">
        <is>
          <t>IC Organic Acids</t>
        </is>
      </c>
      <c r="DY399" s="20" t="inlineStr">
        <is>
          <t>None</t>
        </is>
      </c>
      <c r="DZ399" s="17" t="n"/>
      <c r="EA399" s="16" t="n"/>
      <c r="EB399" s="20" t="inlineStr">
        <is>
          <t>IC Organic Acids</t>
        </is>
      </c>
      <c r="EC399" s="20" t="inlineStr">
        <is>
          <t>None</t>
        </is>
      </c>
      <c r="ED399" s="17" t="n"/>
      <c r="EE399" s="16" t="n"/>
      <c r="EF399" s="20" t="inlineStr">
        <is>
          <t>IC Organic Acids</t>
        </is>
      </c>
      <c r="EG399" s="20" t="inlineStr">
        <is>
          <t>None</t>
        </is>
      </c>
      <c r="EH399" s="17" t="n"/>
      <c r="EI399" s="16" t="n"/>
      <c r="EJ399" s="20" t="inlineStr">
        <is>
          <t>IC Organic Acids</t>
        </is>
      </c>
      <c r="EK399" s="20" t="inlineStr">
        <is>
          <t>None</t>
        </is>
      </c>
      <c r="EL399" s="17" t="n"/>
      <c r="EM399" s="16" t="n"/>
      <c r="EN399" s="20" t="inlineStr">
        <is>
          <t>IC Organic Acids</t>
        </is>
      </c>
      <c r="EO399" s="20" t="inlineStr">
        <is>
          <t>None</t>
        </is>
      </c>
      <c r="EP399" s="17" t="n"/>
      <c r="EQ399" s="16" t="n"/>
      <c r="ER399" s="20" t="inlineStr">
        <is>
          <t>IC Organic Acids</t>
        </is>
      </c>
      <c r="ES399" s="20" t="inlineStr">
        <is>
          <t>None</t>
        </is>
      </c>
      <c r="ET399" s="17" t="n"/>
      <c r="EU399" s="16" t="n"/>
      <c r="EV399" s="20" t="inlineStr">
        <is>
          <t>LC-MS</t>
        </is>
      </c>
      <c r="EW399" s="20" t="inlineStr">
        <is>
          <t>None</t>
        </is>
      </c>
      <c r="EX399" s="17" t="n"/>
      <c r="EY399" s="21" t="n"/>
      <c r="EZ399">
        <f>CONCATENATE(A399,B399)</f>
        <v/>
      </c>
      <c r="FA399">
        <f>CONCATENATE(SamplesX!A399,SamplesX!B399)</f>
        <v/>
      </c>
      <c r="FC399">
        <f>MATCH(EZ399,FA1:FA1008,0)</f>
        <v/>
      </c>
    </row>
    <row r="400">
      <c r="A400" s="16" t="inlineStr">
        <is>
          <t>BP</t>
        </is>
      </c>
      <c r="B400" s="17" t="inlineStr">
        <is>
          <t>25392</t>
        </is>
      </c>
      <c r="C400" s="10">
        <f>IF(ISNUMBER(FC400),INDIRECT("SamplesX!C"&amp;FC400),IF(ISNUMBER(FD400),INDIRECT("SamplesY!C"&amp;FD400),""))</f>
        <v/>
      </c>
      <c r="D400" s="12">
        <f>IF(ISNUMBER(FC400),INDIRECT("SamplesX!D"&amp;FC400),IF(ISNUMBER(FD400),INDIRECT("SamplesY!D"&amp;FD400),""))</f>
        <v/>
      </c>
      <c r="E400" s="12">
        <f>IF(ISNUMBER(FC400),INDIRECT("SamplesX!E"&amp;FC400),IF(ISNUMBER(FD400),INDIRECT("SamplesY!E"&amp;FD400),""))</f>
        <v/>
      </c>
      <c r="F400" s="11">
        <f>IF(ISNUMBER(FC400),INDIRECT("SamplesX!F"&amp;FC400),IF(ISNUMBER(FD400),INDIRECT("SamplesY!F"&amp;FD400),""))</f>
        <v/>
      </c>
      <c r="G400" s="18">
        <f>IF(ISNUMBER(FC400),INDIRECT("SamplesX!G"&amp;FC400),IF(ISNUMBER(FD400),INDIRECT("SamplesY!G"&amp;FD400),""))</f>
        <v/>
      </c>
      <c r="H400" s="19">
        <f>IF(ISNUMBER(FC400),INDIRECT("SamplesX!H"&amp;FC400),IF(ISNUMBER(FD400),INDIRECT("SamplesY!H"&amp;FD400),""))</f>
        <v/>
      </c>
      <c r="I400" s="16" t="n"/>
      <c r="J400" s="16" t="n"/>
      <c r="K400" s="16" t="n"/>
      <c r="L400" s="20" t="n"/>
      <c r="M400" s="20" t="inlineStr">
        <is>
          <t>None</t>
        </is>
      </c>
      <c r="N400" s="17" t="n"/>
      <c r="O400" s="16" t="n"/>
      <c r="P400" s="20" t="inlineStr">
        <is>
          <t>Shimadzu TOC-L</t>
        </is>
      </c>
      <c r="Q400" s="20" t="inlineStr">
        <is>
          <t>None</t>
        </is>
      </c>
      <c r="R400" s="17" t="n"/>
      <c r="S400" s="16" t="n"/>
      <c r="T400" s="20" t="inlineStr">
        <is>
          <t>Shimadzu TOC-L</t>
        </is>
      </c>
      <c r="U400" s="20" t="inlineStr">
        <is>
          <t>None</t>
        </is>
      </c>
      <c r="V400" s="17" t="n"/>
      <c r="W400" s="16" t="n"/>
      <c r="X400" s="20" t="n"/>
      <c r="Y400" s="20" t="inlineStr">
        <is>
          <t>None</t>
        </is>
      </c>
      <c r="Z400" s="17" t="n"/>
      <c r="AA400" s="16" t="n"/>
      <c r="AB400" s="20" t="n"/>
      <c r="AC400" s="20" t="inlineStr">
        <is>
          <t>None</t>
        </is>
      </c>
      <c r="AD400" s="17" t="n"/>
      <c r="AE400" s="16" t="n"/>
      <c r="AF400" s="20" t="inlineStr">
        <is>
          <t>IC Anionen</t>
        </is>
      </c>
      <c r="AG400" s="20" t="inlineStr">
        <is>
          <t>None</t>
        </is>
      </c>
      <c r="AH400" s="17" t="n"/>
      <c r="AI400" s="16" t="n"/>
      <c r="AJ400" s="20" t="n"/>
      <c r="AK400" s="20" t="inlineStr">
        <is>
          <t>None</t>
        </is>
      </c>
      <c r="AL400" s="17" t="n"/>
      <c r="AM400" s="16" t="n"/>
      <c r="AN400" s="20" t="inlineStr">
        <is>
          <t>IC Anionen</t>
        </is>
      </c>
      <c r="AO400" s="20" t="inlineStr">
        <is>
          <t>None</t>
        </is>
      </c>
      <c r="AP400" s="17" t="n"/>
      <c r="AQ400" s="16" t="n"/>
      <c r="AR400" s="20" t="n"/>
      <c r="AS400" s="20" t="inlineStr">
        <is>
          <t>None</t>
        </is>
      </c>
      <c r="AT400" s="17" t="n"/>
      <c r="AU400" s="16" t="n"/>
      <c r="AV400" s="20" t="n"/>
      <c r="AW400" s="20" t="inlineStr">
        <is>
          <t>None</t>
        </is>
      </c>
      <c r="AX400" s="17" t="n"/>
      <c r="AY400" s="16" t="n"/>
      <c r="AZ400" s="20" t="inlineStr">
        <is>
          <t>IC Anionen</t>
        </is>
      </c>
      <c r="BA400" s="20" t="inlineStr">
        <is>
          <t>None</t>
        </is>
      </c>
      <c r="BB400" s="17" t="n"/>
      <c r="BC400" s="16" t="n"/>
      <c r="BD400" s="20" t="inlineStr">
        <is>
          <t>IC Kationen</t>
        </is>
      </c>
      <c r="BE400" s="20" t="inlineStr">
        <is>
          <t>None</t>
        </is>
      </c>
      <c r="BF400" s="17" t="n"/>
      <c r="BG400" s="16" t="n"/>
      <c r="BH400" s="20" t="inlineStr">
        <is>
          <t>IC Kationen</t>
        </is>
      </c>
      <c r="BI400" s="20" t="inlineStr">
        <is>
          <t>None</t>
        </is>
      </c>
      <c r="BJ400" s="17" t="n"/>
      <c r="BK400" s="16" t="n"/>
      <c r="BL400" s="20" t="inlineStr">
        <is>
          <t>IC Kationen</t>
        </is>
      </c>
      <c r="BM400" s="20" t="inlineStr">
        <is>
          <t>None</t>
        </is>
      </c>
      <c r="BN400" s="17" t="n"/>
      <c r="BO400" s="16" t="n"/>
      <c r="BP400" s="20" t="inlineStr">
        <is>
          <t>IC Kationen</t>
        </is>
      </c>
      <c r="BQ400" s="20" t="inlineStr">
        <is>
          <t>None</t>
        </is>
      </c>
      <c r="BR400" s="17" t="n"/>
      <c r="BS400" s="16" t="n"/>
      <c r="BT400" s="20" t="inlineStr">
        <is>
          <t>IC Kationen</t>
        </is>
      </c>
      <c r="BU400" s="20" t="inlineStr">
        <is>
          <t>None</t>
        </is>
      </c>
      <c r="BV400" s="17" t="n"/>
      <c r="BW400" s="16" t="n"/>
      <c r="BX400" s="20" t="n"/>
      <c r="BY400" s="20" t="inlineStr">
        <is>
          <t>None</t>
        </is>
      </c>
      <c r="BZ400" s="17" t="n"/>
      <c r="CA400" s="16" t="n"/>
      <c r="CB400" s="20" t="n"/>
      <c r="CC400" s="20" t="inlineStr">
        <is>
          <t>None</t>
        </is>
      </c>
      <c r="CD400" s="17" t="n"/>
      <c r="CE400" s="16" t="n"/>
      <c r="CF400" s="20" t="n"/>
      <c r="CG400" s="20" t="inlineStr">
        <is>
          <t>None</t>
        </is>
      </c>
      <c r="CH400" s="17" t="n"/>
      <c r="CI400" s="16" t="n"/>
      <c r="CJ400" s="20" t="n"/>
      <c r="CK400" s="20" t="inlineStr">
        <is>
          <t>None</t>
        </is>
      </c>
      <c r="CL400" s="17" t="n"/>
      <c r="CM400" s="16" t="n"/>
      <c r="CN400" s="20" t="inlineStr">
        <is>
          <t>SOP 45-34</t>
        </is>
      </c>
      <c r="CO400" s="20" t="inlineStr">
        <is>
          <t>None</t>
        </is>
      </c>
      <c r="CP400" s="17" t="n"/>
      <c r="CQ400" s="16" t="n"/>
      <c r="CR400" s="20" t="n"/>
      <c r="CS400" s="20" t="inlineStr">
        <is>
          <t>None</t>
        </is>
      </c>
      <c r="CT400" s="17" t="n"/>
      <c r="CU400" s="16" t="n"/>
      <c r="CV400" s="20" t="n"/>
      <c r="CW400" s="20" t="inlineStr">
        <is>
          <t>None</t>
        </is>
      </c>
      <c r="CX400" s="17" t="n"/>
      <c r="CY400" s="16" t="n"/>
      <c r="CZ400" s="20" t="inlineStr">
        <is>
          <t>WTW Multimeter 3430 with FDO 925</t>
        </is>
      </c>
      <c r="DA400" s="20" t="inlineStr">
        <is>
          <t>None</t>
        </is>
      </c>
      <c r="DB400" s="17" t="n"/>
      <c r="DC400" s="16" t="n"/>
      <c r="DD400" s="20" t="n"/>
      <c r="DE400" s="20" t="inlineStr">
        <is>
          <t>None</t>
        </is>
      </c>
      <c r="DF400" s="17" t="n"/>
      <c r="DG400" s="16" t="n"/>
      <c r="DH400" s="20" t="inlineStr">
        <is>
          <t>SOP 45-09</t>
        </is>
      </c>
      <c r="DI400" s="20" t="inlineStr">
        <is>
          <t>None</t>
        </is>
      </c>
      <c r="DJ400" s="17" t="n"/>
      <c r="DK400" s="16" t="n"/>
      <c r="DL400" s="20" t="inlineStr">
        <is>
          <t>SOP 45-09 (SOP muss noch angepasst werden für VSS)</t>
        </is>
      </c>
      <c r="DM400" s="20" t="inlineStr">
        <is>
          <t>None</t>
        </is>
      </c>
      <c r="DN400" s="17" t="n"/>
      <c r="DO400" s="16" t="n"/>
      <c r="DP400" s="20" t="inlineStr">
        <is>
          <t>IC Organic Acids</t>
        </is>
      </c>
      <c r="DQ400" s="20" t="inlineStr">
        <is>
          <t>None</t>
        </is>
      </c>
      <c r="DR400" s="17" t="n"/>
      <c r="DS400" s="16" t="n"/>
      <c r="DT400" s="20" t="inlineStr">
        <is>
          <t>IC Organic Acids</t>
        </is>
      </c>
      <c r="DU400" s="20" t="inlineStr">
        <is>
          <t>None</t>
        </is>
      </c>
      <c r="DV400" s="17" t="n"/>
      <c r="DW400" s="16" t="n"/>
      <c r="DX400" s="20" t="inlineStr">
        <is>
          <t>IC Organic Acids</t>
        </is>
      </c>
      <c r="DY400" s="20" t="inlineStr">
        <is>
          <t>None</t>
        </is>
      </c>
      <c r="DZ400" s="17" t="n"/>
      <c r="EA400" s="16" t="n"/>
      <c r="EB400" s="20" t="inlineStr">
        <is>
          <t>IC Organic Acids</t>
        </is>
      </c>
      <c r="EC400" s="20" t="inlineStr">
        <is>
          <t>None</t>
        </is>
      </c>
      <c r="ED400" s="17" t="n"/>
      <c r="EE400" s="16" t="n"/>
      <c r="EF400" s="20" t="inlineStr">
        <is>
          <t>IC Organic Acids</t>
        </is>
      </c>
      <c r="EG400" s="20" t="inlineStr">
        <is>
          <t>None</t>
        </is>
      </c>
      <c r="EH400" s="17" t="n"/>
      <c r="EI400" s="16" t="n"/>
      <c r="EJ400" s="20" t="inlineStr">
        <is>
          <t>IC Organic Acids</t>
        </is>
      </c>
      <c r="EK400" s="20" t="inlineStr">
        <is>
          <t>None</t>
        </is>
      </c>
      <c r="EL400" s="17" t="n"/>
      <c r="EM400" s="16" t="n"/>
      <c r="EN400" s="20" t="inlineStr">
        <is>
          <t>IC Organic Acids</t>
        </is>
      </c>
      <c r="EO400" s="20" t="inlineStr">
        <is>
          <t>None</t>
        </is>
      </c>
      <c r="EP400" s="17" t="n"/>
      <c r="EQ400" s="16" t="n"/>
      <c r="ER400" s="20" t="inlineStr">
        <is>
          <t>IC Organic Acids</t>
        </is>
      </c>
      <c r="ES400" s="20" t="inlineStr">
        <is>
          <t>None</t>
        </is>
      </c>
      <c r="ET400" s="17" t="n"/>
      <c r="EU400" s="16" t="n"/>
      <c r="EV400" s="20" t="inlineStr">
        <is>
          <t>LC-MS</t>
        </is>
      </c>
      <c r="EW400" s="20" t="inlineStr">
        <is>
          <t>None</t>
        </is>
      </c>
      <c r="EX400" s="17" t="n"/>
      <c r="EY400" s="21" t="n"/>
      <c r="EZ400">
        <f>CONCATENATE(A400,B400)</f>
        <v/>
      </c>
      <c r="FA400">
        <f>CONCATENATE(SamplesX!A400,SamplesX!B400)</f>
        <v/>
      </c>
      <c r="FC400">
        <f>MATCH(EZ400,FA1:FA1008,0)</f>
        <v/>
      </c>
    </row>
    <row r="401">
      <c r="A401" s="16" t="inlineStr">
        <is>
          <t>BP</t>
        </is>
      </c>
      <c r="B401" s="17" t="inlineStr">
        <is>
          <t>25393</t>
        </is>
      </c>
      <c r="C401" s="10">
        <f>IF(ISNUMBER(FC401),INDIRECT("SamplesX!C"&amp;FC401),IF(ISNUMBER(FD401),INDIRECT("SamplesY!C"&amp;FD401),""))</f>
        <v/>
      </c>
      <c r="D401" s="12">
        <f>IF(ISNUMBER(FC401),INDIRECT("SamplesX!D"&amp;FC401),IF(ISNUMBER(FD401),INDIRECT("SamplesY!D"&amp;FD401),""))</f>
        <v/>
      </c>
      <c r="E401" s="12">
        <f>IF(ISNUMBER(FC401),INDIRECT("SamplesX!E"&amp;FC401),IF(ISNUMBER(FD401),INDIRECT("SamplesY!E"&amp;FD401),""))</f>
        <v/>
      </c>
      <c r="F401" s="11">
        <f>IF(ISNUMBER(FC401),INDIRECT("SamplesX!F"&amp;FC401),IF(ISNUMBER(FD401),INDIRECT("SamplesY!F"&amp;FD401),""))</f>
        <v/>
      </c>
      <c r="G401" s="18">
        <f>IF(ISNUMBER(FC401),INDIRECT("SamplesX!G"&amp;FC401),IF(ISNUMBER(FD401),INDIRECT("SamplesY!G"&amp;FD401),""))</f>
        <v/>
      </c>
      <c r="H401" s="19">
        <f>IF(ISNUMBER(FC401),INDIRECT("SamplesX!H"&amp;FC401),IF(ISNUMBER(FD401),INDIRECT("SamplesY!H"&amp;FD401),""))</f>
        <v/>
      </c>
      <c r="I401" s="16" t="n"/>
      <c r="J401" s="16" t="n"/>
      <c r="K401" s="16" t="n"/>
      <c r="L401" s="20" t="n"/>
      <c r="M401" s="20" t="inlineStr">
        <is>
          <t>None</t>
        </is>
      </c>
      <c r="N401" s="17" t="n"/>
      <c r="O401" s="16" t="n"/>
      <c r="P401" s="20" t="inlineStr">
        <is>
          <t>Shimadzu TOC-L</t>
        </is>
      </c>
      <c r="Q401" s="20" t="inlineStr">
        <is>
          <t>None</t>
        </is>
      </c>
      <c r="R401" s="17" t="n"/>
      <c r="S401" s="16" t="n"/>
      <c r="T401" s="20" t="inlineStr">
        <is>
          <t>Shimadzu TOC-L</t>
        </is>
      </c>
      <c r="U401" s="20" t="inlineStr">
        <is>
          <t>None</t>
        </is>
      </c>
      <c r="V401" s="17" t="n"/>
      <c r="W401" s="16" t="n"/>
      <c r="X401" s="20" t="n"/>
      <c r="Y401" s="20" t="inlineStr">
        <is>
          <t>None</t>
        </is>
      </c>
      <c r="Z401" s="17" t="n"/>
      <c r="AA401" s="16" t="n"/>
      <c r="AB401" s="20" t="n"/>
      <c r="AC401" s="20" t="inlineStr">
        <is>
          <t>None</t>
        </is>
      </c>
      <c r="AD401" s="17" t="n"/>
      <c r="AE401" s="16" t="n"/>
      <c r="AF401" s="20" t="inlineStr">
        <is>
          <t>IC Anionen</t>
        </is>
      </c>
      <c r="AG401" s="20" t="inlineStr">
        <is>
          <t>None</t>
        </is>
      </c>
      <c r="AH401" s="17" t="n"/>
      <c r="AI401" s="16" t="n"/>
      <c r="AJ401" s="20" t="n"/>
      <c r="AK401" s="20" t="inlineStr">
        <is>
          <t>None</t>
        </is>
      </c>
      <c r="AL401" s="17" t="n"/>
      <c r="AM401" s="16" t="n"/>
      <c r="AN401" s="20" t="inlineStr">
        <is>
          <t>IC Anionen</t>
        </is>
      </c>
      <c r="AO401" s="20" t="inlineStr">
        <is>
          <t>None</t>
        </is>
      </c>
      <c r="AP401" s="17" t="n"/>
      <c r="AQ401" s="16" t="n"/>
      <c r="AR401" s="20" t="n"/>
      <c r="AS401" s="20" t="inlineStr">
        <is>
          <t>None</t>
        </is>
      </c>
      <c r="AT401" s="17" t="n"/>
      <c r="AU401" s="16" t="n"/>
      <c r="AV401" s="20" t="n"/>
      <c r="AW401" s="20" t="inlineStr">
        <is>
          <t>None</t>
        </is>
      </c>
      <c r="AX401" s="17" t="n"/>
      <c r="AY401" s="16" t="n"/>
      <c r="AZ401" s="20" t="inlineStr">
        <is>
          <t>IC Anionen</t>
        </is>
      </c>
      <c r="BA401" s="20" t="inlineStr">
        <is>
          <t>None</t>
        </is>
      </c>
      <c r="BB401" s="17" t="n"/>
      <c r="BC401" s="16" t="n"/>
      <c r="BD401" s="20" t="inlineStr">
        <is>
          <t>IC Kationen</t>
        </is>
      </c>
      <c r="BE401" s="20" t="inlineStr">
        <is>
          <t>None</t>
        </is>
      </c>
      <c r="BF401" s="17" t="n"/>
      <c r="BG401" s="16" t="n"/>
      <c r="BH401" s="20" t="inlineStr">
        <is>
          <t>IC Kationen</t>
        </is>
      </c>
      <c r="BI401" s="20" t="inlineStr">
        <is>
          <t>None</t>
        </is>
      </c>
      <c r="BJ401" s="17" t="n"/>
      <c r="BK401" s="16" t="n"/>
      <c r="BL401" s="20" t="inlineStr">
        <is>
          <t>IC Kationen</t>
        </is>
      </c>
      <c r="BM401" s="20" t="inlineStr">
        <is>
          <t>None</t>
        </is>
      </c>
      <c r="BN401" s="17" t="n"/>
      <c r="BO401" s="16" t="n"/>
      <c r="BP401" s="20" t="inlineStr">
        <is>
          <t>IC Kationen</t>
        </is>
      </c>
      <c r="BQ401" s="20" t="inlineStr">
        <is>
          <t>None</t>
        </is>
      </c>
      <c r="BR401" s="17" t="n"/>
      <c r="BS401" s="16" t="n"/>
      <c r="BT401" s="20" t="inlineStr">
        <is>
          <t>IC Kationen</t>
        </is>
      </c>
      <c r="BU401" s="20" t="inlineStr">
        <is>
          <t>None</t>
        </is>
      </c>
      <c r="BV401" s="17" t="n"/>
      <c r="BW401" s="16" t="n"/>
      <c r="BX401" s="20" t="n"/>
      <c r="BY401" s="20" t="inlineStr">
        <is>
          <t>None</t>
        </is>
      </c>
      <c r="BZ401" s="17" t="n"/>
      <c r="CA401" s="16" t="n"/>
      <c r="CB401" s="20" t="n"/>
      <c r="CC401" s="20" t="inlineStr">
        <is>
          <t>None</t>
        </is>
      </c>
      <c r="CD401" s="17" t="n"/>
      <c r="CE401" s="16" t="n"/>
      <c r="CF401" s="20" t="n"/>
      <c r="CG401" s="20" t="inlineStr">
        <is>
          <t>None</t>
        </is>
      </c>
      <c r="CH401" s="17" t="n"/>
      <c r="CI401" s="16" t="n"/>
      <c r="CJ401" s="20" t="n"/>
      <c r="CK401" s="20" t="inlineStr">
        <is>
          <t>None</t>
        </is>
      </c>
      <c r="CL401" s="17" t="n"/>
      <c r="CM401" s="16" t="n"/>
      <c r="CN401" s="20" t="inlineStr">
        <is>
          <t>SOP 45-34</t>
        </is>
      </c>
      <c r="CO401" s="20" t="inlineStr">
        <is>
          <t>None</t>
        </is>
      </c>
      <c r="CP401" s="17" t="n"/>
      <c r="CQ401" s="16" t="n"/>
      <c r="CR401" s="20" t="n"/>
      <c r="CS401" s="20" t="inlineStr">
        <is>
          <t>None</t>
        </is>
      </c>
      <c r="CT401" s="17" t="n"/>
      <c r="CU401" s="16" t="n"/>
      <c r="CV401" s="20" t="n"/>
      <c r="CW401" s="20" t="inlineStr">
        <is>
          <t>None</t>
        </is>
      </c>
      <c r="CX401" s="17" t="n"/>
      <c r="CY401" s="16" t="n"/>
      <c r="CZ401" s="20" t="inlineStr">
        <is>
          <t>WTW Multimeter 3430 with FDO 925</t>
        </is>
      </c>
      <c r="DA401" s="20" t="inlineStr">
        <is>
          <t>None</t>
        </is>
      </c>
      <c r="DB401" s="17" t="n"/>
      <c r="DC401" s="16" t="n"/>
      <c r="DD401" s="20" t="n"/>
      <c r="DE401" s="20" t="inlineStr">
        <is>
          <t>None</t>
        </is>
      </c>
      <c r="DF401" s="17" t="n"/>
      <c r="DG401" s="16" t="n"/>
      <c r="DH401" s="20" t="inlineStr">
        <is>
          <t>SOP 45-09</t>
        </is>
      </c>
      <c r="DI401" s="20" t="inlineStr">
        <is>
          <t>None</t>
        </is>
      </c>
      <c r="DJ401" s="17" t="n"/>
      <c r="DK401" s="16" t="n"/>
      <c r="DL401" s="20" t="inlineStr">
        <is>
          <t>SOP 45-09 (SOP muss noch angepasst werden für VSS)</t>
        </is>
      </c>
      <c r="DM401" s="20" t="inlineStr">
        <is>
          <t>None</t>
        </is>
      </c>
      <c r="DN401" s="17" t="n"/>
      <c r="DO401" s="16" t="n"/>
      <c r="DP401" s="20" t="inlineStr">
        <is>
          <t>IC Organic Acids</t>
        </is>
      </c>
      <c r="DQ401" s="20" t="inlineStr">
        <is>
          <t>None</t>
        </is>
      </c>
      <c r="DR401" s="17" t="n"/>
      <c r="DS401" s="16" t="n"/>
      <c r="DT401" s="20" t="inlineStr">
        <is>
          <t>IC Organic Acids</t>
        </is>
      </c>
      <c r="DU401" s="20" t="inlineStr">
        <is>
          <t>None</t>
        </is>
      </c>
      <c r="DV401" s="17" t="n"/>
      <c r="DW401" s="16" t="n"/>
      <c r="DX401" s="20" t="inlineStr">
        <is>
          <t>IC Organic Acids</t>
        </is>
      </c>
      <c r="DY401" s="20" t="inlineStr">
        <is>
          <t>None</t>
        </is>
      </c>
      <c r="DZ401" s="17" t="n"/>
      <c r="EA401" s="16" t="n"/>
      <c r="EB401" s="20" t="inlineStr">
        <is>
          <t>IC Organic Acids</t>
        </is>
      </c>
      <c r="EC401" s="20" t="inlineStr">
        <is>
          <t>None</t>
        </is>
      </c>
      <c r="ED401" s="17" t="n"/>
      <c r="EE401" s="16" t="n"/>
      <c r="EF401" s="20" t="inlineStr">
        <is>
          <t>IC Organic Acids</t>
        </is>
      </c>
      <c r="EG401" s="20" t="inlineStr">
        <is>
          <t>None</t>
        </is>
      </c>
      <c r="EH401" s="17" t="n"/>
      <c r="EI401" s="16" t="n"/>
      <c r="EJ401" s="20" t="inlineStr">
        <is>
          <t>IC Organic Acids</t>
        </is>
      </c>
      <c r="EK401" s="20" t="inlineStr">
        <is>
          <t>None</t>
        </is>
      </c>
      <c r="EL401" s="17" t="n"/>
      <c r="EM401" s="16" t="n"/>
      <c r="EN401" s="20" t="inlineStr">
        <is>
          <t>IC Organic Acids</t>
        </is>
      </c>
      <c r="EO401" s="20" t="inlineStr">
        <is>
          <t>None</t>
        </is>
      </c>
      <c r="EP401" s="17" t="n"/>
      <c r="EQ401" s="16" t="n"/>
      <c r="ER401" s="20" t="inlineStr">
        <is>
          <t>IC Organic Acids</t>
        </is>
      </c>
      <c r="ES401" s="20" t="inlineStr">
        <is>
          <t>None</t>
        </is>
      </c>
      <c r="ET401" s="17" t="n"/>
      <c r="EU401" s="16" t="n"/>
      <c r="EV401" s="20" t="inlineStr">
        <is>
          <t>LC-MS</t>
        </is>
      </c>
      <c r="EW401" s="20" t="inlineStr">
        <is>
          <t>None</t>
        </is>
      </c>
      <c r="EX401" s="17" t="n"/>
      <c r="EY401" s="21" t="n"/>
      <c r="EZ401">
        <f>CONCATENATE(A401,B401)</f>
        <v/>
      </c>
      <c r="FA401">
        <f>CONCATENATE(SamplesX!A401,SamplesX!B401)</f>
        <v/>
      </c>
      <c r="FC401">
        <f>MATCH(EZ401,FA1:FA1008,0)</f>
        <v/>
      </c>
    </row>
    <row r="402">
      <c r="A402" s="16" t="inlineStr">
        <is>
          <t>BP</t>
        </is>
      </c>
      <c r="B402" s="17" t="inlineStr">
        <is>
          <t>25394</t>
        </is>
      </c>
      <c r="C402" s="10">
        <f>IF(ISNUMBER(FC402),INDIRECT("SamplesX!C"&amp;FC402),IF(ISNUMBER(FD402),INDIRECT("SamplesY!C"&amp;FD402),""))</f>
        <v/>
      </c>
      <c r="D402" s="12">
        <f>IF(ISNUMBER(FC402),INDIRECT("SamplesX!D"&amp;FC402),IF(ISNUMBER(FD402),INDIRECT("SamplesY!D"&amp;FD402),""))</f>
        <v/>
      </c>
      <c r="E402" s="12">
        <f>IF(ISNUMBER(FC402),INDIRECT("SamplesX!E"&amp;FC402),IF(ISNUMBER(FD402),INDIRECT("SamplesY!E"&amp;FD402),""))</f>
        <v/>
      </c>
      <c r="F402" s="11">
        <f>IF(ISNUMBER(FC402),INDIRECT("SamplesX!F"&amp;FC402),IF(ISNUMBER(FD402),INDIRECT("SamplesY!F"&amp;FD402),""))</f>
        <v/>
      </c>
      <c r="G402" s="18">
        <f>IF(ISNUMBER(FC402),INDIRECT("SamplesX!G"&amp;FC402),IF(ISNUMBER(FD402),INDIRECT("SamplesY!G"&amp;FD402),""))</f>
        <v/>
      </c>
      <c r="H402" s="19">
        <f>IF(ISNUMBER(FC402),INDIRECT("SamplesX!H"&amp;FC402),IF(ISNUMBER(FD402),INDIRECT("SamplesY!H"&amp;FD402),""))</f>
        <v/>
      </c>
      <c r="I402" s="16" t="n"/>
      <c r="J402" s="16" t="n"/>
      <c r="K402" s="16" t="n"/>
      <c r="L402" s="20" t="n"/>
      <c r="M402" s="20" t="inlineStr">
        <is>
          <t>None</t>
        </is>
      </c>
      <c r="N402" s="17" t="n"/>
      <c r="O402" s="16" t="n"/>
      <c r="P402" s="20" t="inlineStr">
        <is>
          <t>Shimadzu TOC-L</t>
        </is>
      </c>
      <c r="Q402" s="20" t="inlineStr">
        <is>
          <t>None</t>
        </is>
      </c>
      <c r="R402" s="17" t="n"/>
      <c r="S402" s="16" t="n"/>
      <c r="T402" s="20" t="inlineStr">
        <is>
          <t>Shimadzu TOC-L</t>
        </is>
      </c>
      <c r="U402" s="20" t="inlineStr">
        <is>
          <t>None</t>
        </is>
      </c>
      <c r="V402" s="17" t="n"/>
      <c r="W402" s="16" t="n"/>
      <c r="X402" s="20" t="n"/>
      <c r="Y402" s="20" t="inlineStr">
        <is>
          <t>None</t>
        </is>
      </c>
      <c r="Z402" s="17" t="n"/>
      <c r="AA402" s="16" t="n"/>
      <c r="AB402" s="20" t="n"/>
      <c r="AC402" s="20" t="inlineStr">
        <is>
          <t>None</t>
        </is>
      </c>
      <c r="AD402" s="17" t="n"/>
      <c r="AE402" s="16" t="n"/>
      <c r="AF402" s="20" t="inlineStr">
        <is>
          <t>IC Anionen</t>
        </is>
      </c>
      <c r="AG402" s="20" t="inlineStr">
        <is>
          <t>None</t>
        </is>
      </c>
      <c r="AH402" s="17" t="n"/>
      <c r="AI402" s="16" t="n"/>
      <c r="AJ402" s="20" t="n"/>
      <c r="AK402" s="20" t="inlineStr">
        <is>
          <t>None</t>
        </is>
      </c>
      <c r="AL402" s="17" t="n"/>
      <c r="AM402" s="16" t="n"/>
      <c r="AN402" s="20" t="inlineStr">
        <is>
          <t>IC Anionen</t>
        </is>
      </c>
      <c r="AO402" s="20" t="inlineStr">
        <is>
          <t>None</t>
        </is>
      </c>
      <c r="AP402" s="17" t="n"/>
      <c r="AQ402" s="16" t="n"/>
      <c r="AR402" s="20" t="n"/>
      <c r="AS402" s="20" t="inlineStr">
        <is>
          <t>None</t>
        </is>
      </c>
      <c r="AT402" s="17" t="n"/>
      <c r="AU402" s="16" t="n"/>
      <c r="AV402" s="20" t="n"/>
      <c r="AW402" s="20" t="inlineStr">
        <is>
          <t>None</t>
        </is>
      </c>
      <c r="AX402" s="17" t="n"/>
      <c r="AY402" s="16" t="n"/>
      <c r="AZ402" s="20" t="inlineStr">
        <is>
          <t>IC Anionen</t>
        </is>
      </c>
      <c r="BA402" s="20" t="inlineStr">
        <is>
          <t>None</t>
        </is>
      </c>
      <c r="BB402" s="17" t="n"/>
      <c r="BC402" s="16" t="n"/>
      <c r="BD402" s="20" t="inlineStr">
        <is>
          <t>IC Kationen</t>
        </is>
      </c>
      <c r="BE402" s="20" t="inlineStr">
        <is>
          <t>None</t>
        </is>
      </c>
      <c r="BF402" s="17" t="n"/>
      <c r="BG402" s="16" t="n"/>
      <c r="BH402" s="20" t="inlineStr">
        <is>
          <t>IC Kationen</t>
        </is>
      </c>
      <c r="BI402" s="20" t="inlineStr">
        <is>
          <t>None</t>
        </is>
      </c>
      <c r="BJ402" s="17" t="n"/>
      <c r="BK402" s="16" t="n"/>
      <c r="BL402" s="20" t="inlineStr">
        <is>
          <t>IC Kationen</t>
        </is>
      </c>
      <c r="BM402" s="20" t="inlineStr">
        <is>
          <t>None</t>
        </is>
      </c>
      <c r="BN402" s="17" t="n"/>
      <c r="BO402" s="16" t="n"/>
      <c r="BP402" s="20" t="inlineStr">
        <is>
          <t>IC Kationen</t>
        </is>
      </c>
      <c r="BQ402" s="20" t="inlineStr">
        <is>
          <t>None</t>
        </is>
      </c>
      <c r="BR402" s="17" t="n"/>
      <c r="BS402" s="16" t="n"/>
      <c r="BT402" s="20" t="inlineStr">
        <is>
          <t>IC Kationen</t>
        </is>
      </c>
      <c r="BU402" s="20" t="inlineStr">
        <is>
          <t>None</t>
        </is>
      </c>
      <c r="BV402" s="17" t="n"/>
      <c r="BW402" s="16" t="n"/>
      <c r="BX402" s="20" t="n"/>
      <c r="BY402" s="20" t="inlineStr">
        <is>
          <t>None</t>
        </is>
      </c>
      <c r="BZ402" s="17" t="n"/>
      <c r="CA402" s="16" t="n"/>
      <c r="CB402" s="20" t="n"/>
      <c r="CC402" s="20" t="inlineStr">
        <is>
          <t>None</t>
        </is>
      </c>
      <c r="CD402" s="17" t="n"/>
      <c r="CE402" s="16" t="n"/>
      <c r="CF402" s="20" t="n"/>
      <c r="CG402" s="20" t="inlineStr">
        <is>
          <t>None</t>
        </is>
      </c>
      <c r="CH402" s="17" t="n"/>
      <c r="CI402" s="16" t="n"/>
      <c r="CJ402" s="20" t="n"/>
      <c r="CK402" s="20" t="inlineStr">
        <is>
          <t>None</t>
        </is>
      </c>
      <c r="CL402" s="17" t="n"/>
      <c r="CM402" s="16" t="n"/>
      <c r="CN402" s="20" t="inlineStr">
        <is>
          <t>SOP 45-34</t>
        </is>
      </c>
      <c r="CO402" s="20" t="inlineStr">
        <is>
          <t>None</t>
        </is>
      </c>
      <c r="CP402" s="17" t="n"/>
      <c r="CQ402" s="16" t="n"/>
      <c r="CR402" s="20" t="n"/>
      <c r="CS402" s="20" t="inlineStr">
        <is>
          <t>None</t>
        </is>
      </c>
      <c r="CT402" s="17" t="n"/>
      <c r="CU402" s="16" t="n"/>
      <c r="CV402" s="20" t="n"/>
      <c r="CW402" s="20" t="inlineStr">
        <is>
          <t>None</t>
        </is>
      </c>
      <c r="CX402" s="17" t="n"/>
      <c r="CY402" s="16" t="n"/>
      <c r="CZ402" s="20" t="inlineStr">
        <is>
          <t>WTW Multimeter 3430 with FDO 925</t>
        </is>
      </c>
      <c r="DA402" s="20" t="inlineStr">
        <is>
          <t>None</t>
        </is>
      </c>
      <c r="DB402" s="17" t="n"/>
      <c r="DC402" s="16" t="n"/>
      <c r="DD402" s="20" t="n"/>
      <c r="DE402" s="20" t="inlineStr">
        <is>
          <t>None</t>
        </is>
      </c>
      <c r="DF402" s="17" t="n"/>
      <c r="DG402" s="16" t="n"/>
      <c r="DH402" s="20" t="inlineStr">
        <is>
          <t>SOP 45-09</t>
        </is>
      </c>
      <c r="DI402" s="20" t="inlineStr">
        <is>
          <t>None</t>
        </is>
      </c>
      <c r="DJ402" s="17" t="n"/>
      <c r="DK402" s="16" t="n"/>
      <c r="DL402" s="20" t="inlineStr">
        <is>
          <t>SOP 45-09 (SOP muss noch angepasst werden für VSS)</t>
        </is>
      </c>
      <c r="DM402" s="20" t="inlineStr">
        <is>
          <t>None</t>
        </is>
      </c>
      <c r="DN402" s="17" t="n"/>
      <c r="DO402" s="16" t="n"/>
      <c r="DP402" s="20" t="inlineStr">
        <is>
          <t>IC Organic Acids</t>
        </is>
      </c>
      <c r="DQ402" s="20" t="inlineStr">
        <is>
          <t>None</t>
        </is>
      </c>
      <c r="DR402" s="17" t="n"/>
      <c r="DS402" s="16" t="n"/>
      <c r="DT402" s="20" t="inlineStr">
        <is>
          <t>IC Organic Acids</t>
        </is>
      </c>
      <c r="DU402" s="20" t="inlineStr">
        <is>
          <t>None</t>
        </is>
      </c>
      <c r="DV402" s="17" t="n"/>
      <c r="DW402" s="16" t="n"/>
      <c r="DX402" s="20" t="inlineStr">
        <is>
          <t>IC Organic Acids</t>
        </is>
      </c>
      <c r="DY402" s="20" t="inlineStr">
        <is>
          <t>None</t>
        </is>
      </c>
      <c r="DZ402" s="17" t="n"/>
      <c r="EA402" s="16" t="n"/>
      <c r="EB402" s="20" t="inlineStr">
        <is>
          <t>IC Organic Acids</t>
        </is>
      </c>
      <c r="EC402" s="20" t="inlineStr">
        <is>
          <t>None</t>
        </is>
      </c>
      <c r="ED402" s="17" t="n"/>
      <c r="EE402" s="16" t="n"/>
      <c r="EF402" s="20" t="inlineStr">
        <is>
          <t>IC Organic Acids</t>
        </is>
      </c>
      <c r="EG402" s="20" t="inlineStr">
        <is>
          <t>None</t>
        </is>
      </c>
      <c r="EH402" s="17" t="n"/>
      <c r="EI402" s="16" t="n"/>
      <c r="EJ402" s="20" t="inlineStr">
        <is>
          <t>IC Organic Acids</t>
        </is>
      </c>
      <c r="EK402" s="20" t="inlineStr">
        <is>
          <t>None</t>
        </is>
      </c>
      <c r="EL402" s="17" t="n"/>
      <c r="EM402" s="16" t="n"/>
      <c r="EN402" s="20" t="inlineStr">
        <is>
          <t>IC Organic Acids</t>
        </is>
      </c>
      <c r="EO402" s="20" t="inlineStr">
        <is>
          <t>None</t>
        </is>
      </c>
      <c r="EP402" s="17" t="n"/>
      <c r="EQ402" s="16" t="n"/>
      <c r="ER402" s="20" t="inlineStr">
        <is>
          <t>IC Organic Acids</t>
        </is>
      </c>
      <c r="ES402" s="20" t="inlineStr">
        <is>
          <t>None</t>
        </is>
      </c>
      <c r="ET402" s="17" t="n"/>
      <c r="EU402" s="16" t="n"/>
      <c r="EV402" s="20" t="inlineStr">
        <is>
          <t>LC-MS</t>
        </is>
      </c>
      <c r="EW402" s="20" t="inlineStr">
        <is>
          <t>None</t>
        </is>
      </c>
      <c r="EX402" s="17" t="n"/>
      <c r="EY402" s="21" t="n"/>
      <c r="EZ402">
        <f>CONCATENATE(A402,B402)</f>
        <v/>
      </c>
      <c r="FA402">
        <f>CONCATENATE(SamplesX!A402,SamplesX!B402)</f>
        <v/>
      </c>
      <c r="FC402">
        <f>MATCH(EZ402,FA1:FA1008,0)</f>
        <v/>
      </c>
    </row>
    <row r="403">
      <c r="A403" s="16" t="inlineStr">
        <is>
          <t>BP</t>
        </is>
      </c>
      <c r="B403" s="17" t="inlineStr">
        <is>
          <t>25395</t>
        </is>
      </c>
      <c r="C403" s="10">
        <f>IF(ISNUMBER(FC403),INDIRECT("SamplesX!C"&amp;FC403),IF(ISNUMBER(FD403),INDIRECT("SamplesY!C"&amp;FD403),""))</f>
        <v/>
      </c>
      <c r="D403" s="12">
        <f>IF(ISNUMBER(FC403),INDIRECT("SamplesX!D"&amp;FC403),IF(ISNUMBER(FD403),INDIRECT("SamplesY!D"&amp;FD403),""))</f>
        <v/>
      </c>
      <c r="E403" s="12">
        <f>IF(ISNUMBER(FC403),INDIRECT("SamplesX!E"&amp;FC403),IF(ISNUMBER(FD403),INDIRECT("SamplesY!E"&amp;FD403),""))</f>
        <v/>
      </c>
      <c r="F403" s="11">
        <f>IF(ISNUMBER(FC403),INDIRECT("SamplesX!F"&amp;FC403),IF(ISNUMBER(FD403),INDIRECT("SamplesY!F"&amp;FD403),""))</f>
        <v/>
      </c>
      <c r="G403" s="18">
        <f>IF(ISNUMBER(FC403),INDIRECT("SamplesX!G"&amp;FC403),IF(ISNUMBER(FD403),INDIRECT("SamplesY!G"&amp;FD403),""))</f>
        <v/>
      </c>
      <c r="H403" s="19">
        <f>IF(ISNUMBER(FC403),INDIRECT("SamplesX!H"&amp;FC403),IF(ISNUMBER(FD403),INDIRECT("SamplesY!H"&amp;FD403),""))</f>
        <v/>
      </c>
      <c r="I403" s="16" t="n"/>
      <c r="J403" s="16" t="n"/>
      <c r="K403" s="16" t="n"/>
      <c r="L403" s="20" t="n"/>
      <c r="M403" s="20" t="inlineStr">
        <is>
          <t>None</t>
        </is>
      </c>
      <c r="N403" s="17" t="n"/>
      <c r="O403" s="16" t="n"/>
      <c r="P403" s="20" t="inlineStr">
        <is>
          <t>Shimadzu TOC-L</t>
        </is>
      </c>
      <c r="Q403" s="20" t="inlineStr">
        <is>
          <t>None</t>
        </is>
      </c>
      <c r="R403" s="17" t="n"/>
      <c r="S403" s="16" t="n"/>
      <c r="T403" s="20" t="inlineStr">
        <is>
          <t>Shimadzu TOC-L</t>
        </is>
      </c>
      <c r="U403" s="20" t="inlineStr">
        <is>
          <t>None</t>
        </is>
      </c>
      <c r="V403" s="17" t="n"/>
      <c r="W403" s="16" t="n"/>
      <c r="X403" s="20" t="n"/>
      <c r="Y403" s="20" t="inlineStr">
        <is>
          <t>None</t>
        </is>
      </c>
      <c r="Z403" s="17" t="n"/>
      <c r="AA403" s="16" t="n"/>
      <c r="AB403" s="20" t="n"/>
      <c r="AC403" s="20" t="inlineStr">
        <is>
          <t>None</t>
        </is>
      </c>
      <c r="AD403" s="17" t="n"/>
      <c r="AE403" s="16" t="n"/>
      <c r="AF403" s="20" t="inlineStr">
        <is>
          <t>IC Anionen</t>
        </is>
      </c>
      <c r="AG403" s="20" t="inlineStr">
        <is>
          <t>None</t>
        </is>
      </c>
      <c r="AH403" s="17" t="n"/>
      <c r="AI403" s="16" t="n"/>
      <c r="AJ403" s="20" t="n"/>
      <c r="AK403" s="20" t="inlineStr">
        <is>
          <t>None</t>
        </is>
      </c>
      <c r="AL403" s="17" t="n"/>
      <c r="AM403" s="16" t="n"/>
      <c r="AN403" s="20" t="inlineStr">
        <is>
          <t>IC Anionen</t>
        </is>
      </c>
      <c r="AO403" s="20" t="inlineStr">
        <is>
          <t>None</t>
        </is>
      </c>
      <c r="AP403" s="17" t="n"/>
      <c r="AQ403" s="16" t="n"/>
      <c r="AR403" s="20" t="n"/>
      <c r="AS403" s="20" t="inlineStr">
        <is>
          <t>None</t>
        </is>
      </c>
      <c r="AT403" s="17" t="n"/>
      <c r="AU403" s="16" t="n"/>
      <c r="AV403" s="20" t="n"/>
      <c r="AW403" s="20" t="inlineStr">
        <is>
          <t>None</t>
        </is>
      </c>
      <c r="AX403" s="17" t="n"/>
      <c r="AY403" s="16" t="n"/>
      <c r="AZ403" s="20" t="inlineStr">
        <is>
          <t>IC Anionen</t>
        </is>
      </c>
      <c r="BA403" s="20" t="inlineStr">
        <is>
          <t>None</t>
        </is>
      </c>
      <c r="BB403" s="17" t="n"/>
      <c r="BC403" s="16" t="n"/>
      <c r="BD403" s="20" t="inlineStr">
        <is>
          <t>IC Kationen</t>
        </is>
      </c>
      <c r="BE403" s="20" t="inlineStr">
        <is>
          <t>None</t>
        </is>
      </c>
      <c r="BF403" s="17" t="n"/>
      <c r="BG403" s="16" t="n"/>
      <c r="BH403" s="20" t="inlineStr">
        <is>
          <t>IC Kationen</t>
        </is>
      </c>
      <c r="BI403" s="20" t="inlineStr">
        <is>
          <t>None</t>
        </is>
      </c>
      <c r="BJ403" s="17" t="n"/>
      <c r="BK403" s="16" t="n"/>
      <c r="BL403" s="20" t="inlineStr">
        <is>
          <t>IC Kationen</t>
        </is>
      </c>
      <c r="BM403" s="20" t="inlineStr">
        <is>
          <t>None</t>
        </is>
      </c>
      <c r="BN403" s="17" t="n"/>
      <c r="BO403" s="16" t="n"/>
      <c r="BP403" s="20" t="inlineStr">
        <is>
          <t>IC Kationen</t>
        </is>
      </c>
      <c r="BQ403" s="20" t="inlineStr">
        <is>
          <t>None</t>
        </is>
      </c>
      <c r="BR403" s="17" t="n"/>
      <c r="BS403" s="16" t="n"/>
      <c r="BT403" s="20" t="inlineStr">
        <is>
          <t>IC Kationen</t>
        </is>
      </c>
      <c r="BU403" s="20" t="inlineStr">
        <is>
          <t>None</t>
        </is>
      </c>
      <c r="BV403" s="17" t="n"/>
      <c r="BW403" s="16" t="n"/>
      <c r="BX403" s="20" t="n"/>
      <c r="BY403" s="20" t="inlineStr">
        <is>
          <t>None</t>
        </is>
      </c>
      <c r="BZ403" s="17" t="n"/>
      <c r="CA403" s="16" t="n"/>
      <c r="CB403" s="20" t="n"/>
      <c r="CC403" s="20" t="inlineStr">
        <is>
          <t>None</t>
        </is>
      </c>
      <c r="CD403" s="17" t="n"/>
      <c r="CE403" s="16" t="n"/>
      <c r="CF403" s="20" t="n"/>
      <c r="CG403" s="20" t="inlineStr">
        <is>
          <t>None</t>
        </is>
      </c>
      <c r="CH403" s="17" t="n"/>
      <c r="CI403" s="16" t="n"/>
      <c r="CJ403" s="20" t="n"/>
      <c r="CK403" s="20" t="inlineStr">
        <is>
          <t>None</t>
        </is>
      </c>
      <c r="CL403" s="17" t="n"/>
      <c r="CM403" s="16" t="n"/>
      <c r="CN403" s="20" t="inlineStr">
        <is>
          <t>SOP 45-34</t>
        </is>
      </c>
      <c r="CO403" s="20" t="inlineStr">
        <is>
          <t>None</t>
        </is>
      </c>
      <c r="CP403" s="17" t="n"/>
      <c r="CQ403" s="16" t="n"/>
      <c r="CR403" s="20" t="n"/>
      <c r="CS403" s="20" t="inlineStr">
        <is>
          <t>None</t>
        </is>
      </c>
      <c r="CT403" s="17" t="n"/>
      <c r="CU403" s="16" t="n"/>
      <c r="CV403" s="20" t="n"/>
      <c r="CW403" s="20" t="inlineStr">
        <is>
          <t>None</t>
        </is>
      </c>
      <c r="CX403" s="17" t="n"/>
      <c r="CY403" s="16" t="n"/>
      <c r="CZ403" s="20" t="inlineStr">
        <is>
          <t>WTW Multimeter 3430 with FDO 925</t>
        </is>
      </c>
      <c r="DA403" s="20" t="inlineStr">
        <is>
          <t>None</t>
        </is>
      </c>
      <c r="DB403" s="17" t="n"/>
      <c r="DC403" s="16" t="n"/>
      <c r="DD403" s="20" t="n"/>
      <c r="DE403" s="20" t="inlineStr">
        <is>
          <t>None</t>
        </is>
      </c>
      <c r="DF403" s="17" t="n"/>
      <c r="DG403" s="16" t="n"/>
      <c r="DH403" s="20" t="inlineStr">
        <is>
          <t>SOP 45-09</t>
        </is>
      </c>
      <c r="DI403" s="20" t="inlineStr">
        <is>
          <t>None</t>
        </is>
      </c>
      <c r="DJ403" s="17" t="n"/>
      <c r="DK403" s="16" t="n"/>
      <c r="DL403" s="20" t="inlineStr">
        <is>
          <t>SOP 45-09 (SOP muss noch angepasst werden für VSS)</t>
        </is>
      </c>
      <c r="DM403" s="20" t="inlineStr">
        <is>
          <t>None</t>
        </is>
      </c>
      <c r="DN403" s="17" t="n"/>
      <c r="DO403" s="16" t="n"/>
      <c r="DP403" s="20" t="inlineStr">
        <is>
          <t>IC Organic Acids</t>
        </is>
      </c>
      <c r="DQ403" s="20" t="inlineStr">
        <is>
          <t>None</t>
        </is>
      </c>
      <c r="DR403" s="17" t="n"/>
      <c r="DS403" s="16" t="n"/>
      <c r="DT403" s="20" t="inlineStr">
        <is>
          <t>IC Organic Acids</t>
        </is>
      </c>
      <c r="DU403" s="20" t="inlineStr">
        <is>
          <t>None</t>
        </is>
      </c>
      <c r="DV403" s="17" t="n"/>
      <c r="DW403" s="16" t="n"/>
      <c r="DX403" s="20" t="inlineStr">
        <is>
          <t>IC Organic Acids</t>
        </is>
      </c>
      <c r="DY403" s="20" t="inlineStr">
        <is>
          <t>None</t>
        </is>
      </c>
      <c r="DZ403" s="17" t="n"/>
      <c r="EA403" s="16" t="n"/>
      <c r="EB403" s="20" t="inlineStr">
        <is>
          <t>IC Organic Acids</t>
        </is>
      </c>
      <c r="EC403" s="20" t="inlineStr">
        <is>
          <t>None</t>
        </is>
      </c>
      <c r="ED403" s="17" t="n"/>
      <c r="EE403" s="16" t="n"/>
      <c r="EF403" s="20" t="inlineStr">
        <is>
          <t>IC Organic Acids</t>
        </is>
      </c>
      <c r="EG403" s="20" t="inlineStr">
        <is>
          <t>None</t>
        </is>
      </c>
      <c r="EH403" s="17" t="n"/>
      <c r="EI403" s="16" t="n"/>
      <c r="EJ403" s="20" t="inlineStr">
        <is>
          <t>IC Organic Acids</t>
        </is>
      </c>
      <c r="EK403" s="20" t="inlineStr">
        <is>
          <t>None</t>
        </is>
      </c>
      <c r="EL403" s="17" t="n"/>
      <c r="EM403" s="16" t="n"/>
      <c r="EN403" s="20" t="inlineStr">
        <is>
          <t>IC Organic Acids</t>
        </is>
      </c>
      <c r="EO403" s="20" t="inlineStr">
        <is>
          <t>None</t>
        </is>
      </c>
      <c r="EP403" s="17" t="n"/>
      <c r="EQ403" s="16" t="n"/>
      <c r="ER403" s="20" t="inlineStr">
        <is>
          <t>IC Organic Acids</t>
        </is>
      </c>
      <c r="ES403" s="20" t="inlineStr">
        <is>
          <t>None</t>
        </is>
      </c>
      <c r="ET403" s="17" t="n"/>
      <c r="EU403" s="16" t="n"/>
      <c r="EV403" s="20" t="inlineStr">
        <is>
          <t>LC-MS</t>
        </is>
      </c>
      <c r="EW403" s="20" t="inlineStr">
        <is>
          <t>None</t>
        </is>
      </c>
      <c r="EX403" s="17" t="n"/>
      <c r="EY403" s="21" t="n"/>
      <c r="EZ403">
        <f>CONCATENATE(A403,B403)</f>
        <v/>
      </c>
      <c r="FA403">
        <f>CONCATENATE(SamplesX!A403,SamplesX!B403)</f>
        <v/>
      </c>
      <c r="FC403">
        <f>MATCH(EZ403,FA1:FA1008,0)</f>
        <v/>
      </c>
    </row>
    <row r="404">
      <c r="A404" s="16" t="inlineStr">
        <is>
          <t>BP</t>
        </is>
      </c>
      <c r="B404" s="17" t="inlineStr">
        <is>
          <t>25396</t>
        </is>
      </c>
      <c r="C404" s="10">
        <f>IF(ISNUMBER(FC404),INDIRECT("SamplesX!C"&amp;FC404),IF(ISNUMBER(FD404),INDIRECT("SamplesY!C"&amp;FD404),""))</f>
        <v/>
      </c>
      <c r="D404" s="12">
        <f>IF(ISNUMBER(FC404),INDIRECT("SamplesX!D"&amp;FC404),IF(ISNUMBER(FD404),INDIRECT("SamplesY!D"&amp;FD404),""))</f>
        <v/>
      </c>
      <c r="E404" s="12">
        <f>IF(ISNUMBER(FC404),INDIRECT("SamplesX!E"&amp;FC404),IF(ISNUMBER(FD404),INDIRECT("SamplesY!E"&amp;FD404),""))</f>
        <v/>
      </c>
      <c r="F404" s="11">
        <f>IF(ISNUMBER(FC404),INDIRECT("SamplesX!F"&amp;FC404),IF(ISNUMBER(FD404),INDIRECT("SamplesY!F"&amp;FD404),""))</f>
        <v/>
      </c>
      <c r="G404" s="18">
        <f>IF(ISNUMBER(FC404),INDIRECT("SamplesX!G"&amp;FC404),IF(ISNUMBER(FD404),INDIRECT("SamplesY!G"&amp;FD404),""))</f>
        <v/>
      </c>
      <c r="H404" s="19">
        <f>IF(ISNUMBER(FC404),INDIRECT("SamplesX!H"&amp;FC404),IF(ISNUMBER(FD404),INDIRECT("SamplesY!H"&amp;FD404),""))</f>
        <v/>
      </c>
      <c r="I404" s="16" t="n"/>
      <c r="J404" s="16" t="n"/>
      <c r="K404" s="16" t="n"/>
      <c r="L404" s="20" t="n"/>
      <c r="M404" s="20" t="inlineStr">
        <is>
          <t>None</t>
        </is>
      </c>
      <c r="N404" s="17" t="n"/>
      <c r="O404" s="16" t="n"/>
      <c r="P404" s="20" t="inlineStr">
        <is>
          <t>Shimadzu TOC-L</t>
        </is>
      </c>
      <c r="Q404" s="20" t="inlineStr">
        <is>
          <t>None</t>
        </is>
      </c>
      <c r="R404" s="17" t="n"/>
      <c r="S404" s="16" t="n"/>
      <c r="T404" s="20" t="inlineStr">
        <is>
          <t>Shimadzu TOC-L</t>
        </is>
      </c>
      <c r="U404" s="20" t="inlineStr">
        <is>
          <t>None</t>
        </is>
      </c>
      <c r="V404" s="17" t="n"/>
      <c r="W404" s="16" t="n"/>
      <c r="X404" s="20" t="n"/>
      <c r="Y404" s="20" t="inlineStr">
        <is>
          <t>None</t>
        </is>
      </c>
      <c r="Z404" s="17" t="n"/>
      <c r="AA404" s="16" t="n"/>
      <c r="AB404" s="20" t="n"/>
      <c r="AC404" s="20" t="inlineStr">
        <is>
          <t>None</t>
        </is>
      </c>
      <c r="AD404" s="17" t="n"/>
      <c r="AE404" s="16" t="n"/>
      <c r="AF404" s="20" t="inlineStr">
        <is>
          <t>IC Anionen</t>
        </is>
      </c>
      <c r="AG404" s="20" t="inlineStr">
        <is>
          <t>None</t>
        </is>
      </c>
      <c r="AH404" s="17" t="n"/>
      <c r="AI404" s="16" t="n"/>
      <c r="AJ404" s="20" t="n"/>
      <c r="AK404" s="20" t="inlineStr">
        <is>
          <t>None</t>
        </is>
      </c>
      <c r="AL404" s="17" t="n"/>
      <c r="AM404" s="16" t="n"/>
      <c r="AN404" s="20" t="inlineStr">
        <is>
          <t>IC Anionen</t>
        </is>
      </c>
      <c r="AO404" s="20" t="inlineStr">
        <is>
          <t>None</t>
        </is>
      </c>
      <c r="AP404" s="17" t="n"/>
      <c r="AQ404" s="16" t="n"/>
      <c r="AR404" s="20" t="n"/>
      <c r="AS404" s="20" t="inlineStr">
        <is>
          <t>None</t>
        </is>
      </c>
      <c r="AT404" s="17" t="n"/>
      <c r="AU404" s="16" t="n"/>
      <c r="AV404" s="20" t="n"/>
      <c r="AW404" s="20" t="inlineStr">
        <is>
          <t>None</t>
        </is>
      </c>
      <c r="AX404" s="17" t="n"/>
      <c r="AY404" s="16" t="n"/>
      <c r="AZ404" s="20" t="inlineStr">
        <is>
          <t>IC Anionen</t>
        </is>
      </c>
      <c r="BA404" s="20" t="inlineStr">
        <is>
          <t>None</t>
        </is>
      </c>
      <c r="BB404" s="17" t="n"/>
      <c r="BC404" s="16" t="n"/>
      <c r="BD404" s="20" t="inlineStr">
        <is>
          <t>IC Kationen</t>
        </is>
      </c>
      <c r="BE404" s="20" t="inlineStr">
        <is>
          <t>None</t>
        </is>
      </c>
      <c r="BF404" s="17" t="n"/>
      <c r="BG404" s="16" t="n"/>
      <c r="BH404" s="20" t="inlineStr">
        <is>
          <t>IC Kationen</t>
        </is>
      </c>
      <c r="BI404" s="20" t="inlineStr">
        <is>
          <t>None</t>
        </is>
      </c>
      <c r="BJ404" s="17" t="n"/>
      <c r="BK404" s="16" t="n"/>
      <c r="BL404" s="20" t="inlineStr">
        <is>
          <t>IC Kationen</t>
        </is>
      </c>
      <c r="BM404" s="20" t="inlineStr">
        <is>
          <t>None</t>
        </is>
      </c>
      <c r="BN404" s="17" t="n"/>
      <c r="BO404" s="16" t="n"/>
      <c r="BP404" s="20" t="inlineStr">
        <is>
          <t>IC Kationen</t>
        </is>
      </c>
      <c r="BQ404" s="20" t="inlineStr">
        <is>
          <t>None</t>
        </is>
      </c>
      <c r="BR404" s="17" t="n"/>
      <c r="BS404" s="16" t="n"/>
      <c r="BT404" s="20" t="inlineStr">
        <is>
          <t>IC Kationen</t>
        </is>
      </c>
      <c r="BU404" s="20" t="inlineStr">
        <is>
          <t>None</t>
        </is>
      </c>
      <c r="BV404" s="17" t="n"/>
      <c r="BW404" s="16" t="n"/>
      <c r="BX404" s="20" t="n"/>
      <c r="BY404" s="20" t="inlineStr">
        <is>
          <t>None</t>
        </is>
      </c>
      <c r="BZ404" s="17" t="n"/>
      <c r="CA404" s="16" t="n"/>
      <c r="CB404" s="20" t="n"/>
      <c r="CC404" s="20" t="inlineStr">
        <is>
          <t>None</t>
        </is>
      </c>
      <c r="CD404" s="17" t="n"/>
      <c r="CE404" s="16" t="n"/>
      <c r="CF404" s="20" t="n"/>
      <c r="CG404" s="20" t="inlineStr">
        <is>
          <t>None</t>
        </is>
      </c>
      <c r="CH404" s="17" t="n"/>
      <c r="CI404" s="16" t="n"/>
      <c r="CJ404" s="20" t="n"/>
      <c r="CK404" s="20" t="inlineStr">
        <is>
          <t>None</t>
        </is>
      </c>
      <c r="CL404" s="17" t="n"/>
      <c r="CM404" s="16" t="n"/>
      <c r="CN404" s="20" t="inlineStr">
        <is>
          <t>SOP 45-34</t>
        </is>
      </c>
      <c r="CO404" s="20" t="inlineStr">
        <is>
          <t>None</t>
        </is>
      </c>
      <c r="CP404" s="17" t="n"/>
      <c r="CQ404" s="16" t="n"/>
      <c r="CR404" s="20" t="n"/>
      <c r="CS404" s="20" t="inlineStr">
        <is>
          <t>None</t>
        </is>
      </c>
      <c r="CT404" s="17" t="n"/>
      <c r="CU404" s="16" t="n"/>
      <c r="CV404" s="20" t="n"/>
      <c r="CW404" s="20" t="inlineStr">
        <is>
          <t>None</t>
        </is>
      </c>
      <c r="CX404" s="17" t="n"/>
      <c r="CY404" s="16" t="n"/>
      <c r="CZ404" s="20" t="inlineStr">
        <is>
          <t>WTW Multimeter 3430 with FDO 925</t>
        </is>
      </c>
      <c r="DA404" s="20" t="inlineStr">
        <is>
          <t>None</t>
        </is>
      </c>
      <c r="DB404" s="17" t="n"/>
      <c r="DC404" s="16" t="n"/>
      <c r="DD404" s="20" t="n"/>
      <c r="DE404" s="20" t="inlineStr">
        <is>
          <t>None</t>
        </is>
      </c>
      <c r="DF404" s="17" t="n"/>
      <c r="DG404" s="16" t="n"/>
      <c r="DH404" s="20" t="inlineStr">
        <is>
          <t>SOP 45-09</t>
        </is>
      </c>
      <c r="DI404" s="20" t="inlineStr">
        <is>
          <t>None</t>
        </is>
      </c>
      <c r="DJ404" s="17" t="n"/>
      <c r="DK404" s="16" t="n"/>
      <c r="DL404" s="20" t="inlineStr">
        <is>
          <t>SOP 45-09 (SOP muss noch angepasst werden für VSS)</t>
        </is>
      </c>
      <c r="DM404" s="20" t="inlineStr">
        <is>
          <t>None</t>
        </is>
      </c>
      <c r="DN404" s="17" t="n"/>
      <c r="DO404" s="16" t="n"/>
      <c r="DP404" s="20" t="inlineStr">
        <is>
          <t>IC Organic Acids</t>
        </is>
      </c>
      <c r="DQ404" s="20" t="inlineStr">
        <is>
          <t>None</t>
        </is>
      </c>
      <c r="DR404" s="17" t="n"/>
      <c r="DS404" s="16" t="n"/>
      <c r="DT404" s="20" t="inlineStr">
        <is>
          <t>IC Organic Acids</t>
        </is>
      </c>
      <c r="DU404" s="20" t="inlineStr">
        <is>
          <t>None</t>
        </is>
      </c>
      <c r="DV404" s="17" t="n"/>
      <c r="DW404" s="16" t="n"/>
      <c r="DX404" s="20" t="inlineStr">
        <is>
          <t>IC Organic Acids</t>
        </is>
      </c>
      <c r="DY404" s="20" t="inlineStr">
        <is>
          <t>None</t>
        </is>
      </c>
      <c r="DZ404" s="17" t="n"/>
      <c r="EA404" s="16" t="n"/>
      <c r="EB404" s="20" t="inlineStr">
        <is>
          <t>IC Organic Acids</t>
        </is>
      </c>
      <c r="EC404" s="20" t="inlineStr">
        <is>
          <t>None</t>
        </is>
      </c>
      <c r="ED404" s="17" t="n"/>
      <c r="EE404" s="16" t="n"/>
      <c r="EF404" s="20" t="inlineStr">
        <is>
          <t>IC Organic Acids</t>
        </is>
      </c>
      <c r="EG404" s="20" t="inlineStr">
        <is>
          <t>None</t>
        </is>
      </c>
      <c r="EH404" s="17" t="n"/>
      <c r="EI404" s="16" t="n"/>
      <c r="EJ404" s="20" t="inlineStr">
        <is>
          <t>IC Organic Acids</t>
        </is>
      </c>
      <c r="EK404" s="20" t="inlineStr">
        <is>
          <t>None</t>
        </is>
      </c>
      <c r="EL404" s="17" t="n"/>
      <c r="EM404" s="16" t="n"/>
      <c r="EN404" s="20" t="inlineStr">
        <is>
          <t>IC Organic Acids</t>
        </is>
      </c>
      <c r="EO404" s="20" t="inlineStr">
        <is>
          <t>None</t>
        </is>
      </c>
      <c r="EP404" s="17" t="n"/>
      <c r="EQ404" s="16" t="n"/>
      <c r="ER404" s="20" t="inlineStr">
        <is>
          <t>IC Organic Acids</t>
        </is>
      </c>
      <c r="ES404" s="20" t="inlineStr">
        <is>
          <t>None</t>
        </is>
      </c>
      <c r="ET404" s="17" t="n"/>
      <c r="EU404" s="16" t="n"/>
      <c r="EV404" s="20" t="inlineStr">
        <is>
          <t>LC-MS</t>
        </is>
      </c>
      <c r="EW404" s="20" t="inlineStr">
        <is>
          <t>None</t>
        </is>
      </c>
      <c r="EX404" s="17" t="n"/>
      <c r="EY404" s="21" t="n"/>
      <c r="EZ404">
        <f>CONCATENATE(A404,B404)</f>
        <v/>
      </c>
      <c r="FA404">
        <f>CONCATENATE(SamplesX!A404,SamplesX!B404)</f>
        <v/>
      </c>
      <c r="FC404">
        <f>MATCH(EZ404,FA1:FA1008,0)</f>
        <v/>
      </c>
    </row>
    <row r="405">
      <c r="A405" s="16" t="inlineStr">
        <is>
          <t>BP</t>
        </is>
      </c>
      <c r="B405" s="17" t="inlineStr">
        <is>
          <t>25397</t>
        </is>
      </c>
      <c r="C405" s="10">
        <f>IF(ISNUMBER(FC405),INDIRECT("SamplesX!C"&amp;FC405),IF(ISNUMBER(FD405),INDIRECT("SamplesY!C"&amp;FD405),""))</f>
        <v/>
      </c>
      <c r="D405" s="12">
        <f>IF(ISNUMBER(FC405),INDIRECT("SamplesX!D"&amp;FC405),IF(ISNUMBER(FD405),INDIRECT("SamplesY!D"&amp;FD405),""))</f>
        <v/>
      </c>
      <c r="E405" s="12">
        <f>IF(ISNUMBER(FC405),INDIRECT("SamplesX!E"&amp;FC405),IF(ISNUMBER(FD405),INDIRECT("SamplesY!E"&amp;FD405),""))</f>
        <v/>
      </c>
      <c r="F405" s="11">
        <f>IF(ISNUMBER(FC405),INDIRECT("SamplesX!F"&amp;FC405),IF(ISNUMBER(FD405),INDIRECT("SamplesY!F"&amp;FD405),""))</f>
        <v/>
      </c>
      <c r="G405" s="18">
        <f>IF(ISNUMBER(FC405),INDIRECT("SamplesX!G"&amp;FC405),IF(ISNUMBER(FD405),INDIRECT("SamplesY!G"&amp;FD405),""))</f>
        <v/>
      </c>
      <c r="H405" s="19">
        <f>IF(ISNUMBER(FC405),INDIRECT("SamplesX!H"&amp;FC405),IF(ISNUMBER(FD405),INDIRECT("SamplesY!H"&amp;FD405),""))</f>
        <v/>
      </c>
      <c r="I405" s="16" t="n"/>
      <c r="J405" s="16" t="n"/>
      <c r="K405" s="16" t="n"/>
      <c r="L405" s="20" t="n"/>
      <c r="M405" s="20" t="inlineStr">
        <is>
          <t>None</t>
        </is>
      </c>
      <c r="N405" s="17" t="n"/>
      <c r="O405" s="16" t="n"/>
      <c r="P405" s="20" t="inlineStr">
        <is>
          <t>Shimadzu TOC-L</t>
        </is>
      </c>
      <c r="Q405" s="20" t="inlineStr">
        <is>
          <t>None</t>
        </is>
      </c>
      <c r="R405" s="17" t="n"/>
      <c r="S405" s="16" t="n"/>
      <c r="T405" s="20" t="inlineStr">
        <is>
          <t>Shimadzu TOC-L</t>
        </is>
      </c>
      <c r="U405" s="20" t="inlineStr">
        <is>
          <t>None</t>
        </is>
      </c>
      <c r="V405" s="17" t="n"/>
      <c r="W405" s="16" t="n"/>
      <c r="X405" s="20" t="n"/>
      <c r="Y405" s="20" t="inlineStr">
        <is>
          <t>None</t>
        </is>
      </c>
      <c r="Z405" s="17" t="n"/>
      <c r="AA405" s="16" t="n"/>
      <c r="AB405" s="20" t="n"/>
      <c r="AC405" s="20" t="inlineStr">
        <is>
          <t>None</t>
        </is>
      </c>
      <c r="AD405" s="17" t="n"/>
      <c r="AE405" s="16" t="n"/>
      <c r="AF405" s="20" t="inlineStr">
        <is>
          <t>IC Anionen</t>
        </is>
      </c>
      <c r="AG405" s="20" t="inlineStr">
        <is>
          <t>None</t>
        </is>
      </c>
      <c r="AH405" s="17" t="n"/>
      <c r="AI405" s="16" t="n"/>
      <c r="AJ405" s="20" t="n"/>
      <c r="AK405" s="20" t="inlineStr">
        <is>
          <t>None</t>
        </is>
      </c>
      <c r="AL405" s="17" t="n"/>
      <c r="AM405" s="16" t="n"/>
      <c r="AN405" s="20" t="inlineStr">
        <is>
          <t>IC Anionen</t>
        </is>
      </c>
      <c r="AO405" s="20" t="inlineStr">
        <is>
          <t>None</t>
        </is>
      </c>
      <c r="AP405" s="17" t="n"/>
      <c r="AQ405" s="16" t="n"/>
      <c r="AR405" s="20" t="n"/>
      <c r="AS405" s="20" t="inlineStr">
        <is>
          <t>None</t>
        </is>
      </c>
      <c r="AT405" s="17" t="n"/>
      <c r="AU405" s="16" t="n"/>
      <c r="AV405" s="20" t="n"/>
      <c r="AW405" s="20" t="inlineStr">
        <is>
          <t>None</t>
        </is>
      </c>
      <c r="AX405" s="17" t="n"/>
      <c r="AY405" s="16" t="n"/>
      <c r="AZ405" s="20" t="inlineStr">
        <is>
          <t>IC Anionen</t>
        </is>
      </c>
      <c r="BA405" s="20" t="inlineStr">
        <is>
          <t>None</t>
        </is>
      </c>
      <c r="BB405" s="17" t="n"/>
      <c r="BC405" s="16" t="n"/>
      <c r="BD405" s="20" t="inlineStr">
        <is>
          <t>IC Kationen</t>
        </is>
      </c>
      <c r="BE405" s="20" t="inlineStr">
        <is>
          <t>None</t>
        </is>
      </c>
      <c r="BF405" s="17" t="n"/>
      <c r="BG405" s="16" t="n"/>
      <c r="BH405" s="20" t="inlineStr">
        <is>
          <t>IC Kationen</t>
        </is>
      </c>
      <c r="BI405" s="20" t="inlineStr">
        <is>
          <t>None</t>
        </is>
      </c>
      <c r="BJ405" s="17" t="n"/>
      <c r="BK405" s="16" t="n"/>
      <c r="BL405" s="20" t="inlineStr">
        <is>
          <t>IC Kationen</t>
        </is>
      </c>
      <c r="BM405" s="20" t="inlineStr">
        <is>
          <t>None</t>
        </is>
      </c>
      <c r="BN405" s="17" t="n"/>
      <c r="BO405" s="16" t="n"/>
      <c r="BP405" s="20" t="inlineStr">
        <is>
          <t>IC Kationen</t>
        </is>
      </c>
      <c r="BQ405" s="20" t="inlineStr">
        <is>
          <t>None</t>
        </is>
      </c>
      <c r="BR405" s="17" t="n"/>
      <c r="BS405" s="16" t="n"/>
      <c r="BT405" s="20" t="inlineStr">
        <is>
          <t>IC Kationen</t>
        </is>
      </c>
      <c r="BU405" s="20" t="inlineStr">
        <is>
          <t>None</t>
        </is>
      </c>
      <c r="BV405" s="17" t="n"/>
      <c r="BW405" s="16" t="n"/>
      <c r="BX405" s="20" t="n"/>
      <c r="BY405" s="20" t="inlineStr">
        <is>
          <t>None</t>
        </is>
      </c>
      <c r="BZ405" s="17" t="n"/>
      <c r="CA405" s="16" t="n"/>
      <c r="CB405" s="20" t="n"/>
      <c r="CC405" s="20" t="inlineStr">
        <is>
          <t>None</t>
        </is>
      </c>
      <c r="CD405" s="17" t="n"/>
      <c r="CE405" s="16" t="n"/>
      <c r="CF405" s="20" t="n"/>
      <c r="CG405" s="20" t="inlineStr">
        <is>
          <t>None</t>
        </is>
      </c>
      <c r="CH405" s="17" t="n"/>
      <c r="CI405" s="16" t="n"/>
      <c r="CJ405" s="20" t="n"/>
      <c r="CK405" s="20" t="inlineStr">
        <is>
          <t>None</t>
        </is>
      </c>
      <c r="CL405" s="17" t="n"/>
      <c r="CM405" s="16" t="n"/>
      <c r="CN405" s="20" t="inlineStr">
        <is>
          <t>SOP 45-34</t>
        </is>
      </c>
      <c r="CO405" s="20" t="inlineStr">
        <is>
          <t>None</t>
        </is>
      </c>
      <c r="CP405" s="17" t="n"/>
      <c r="CQ405" s="16" t="n"/>
      <c r="CR405" s="20" t="n"/>
      <c r="CS405" s="20" t="inlineStr">
        <is>
          <t>None</t>
        </is>
      </c>
      <c r="CT405" s="17" t="n"/>
      <c r="CU405" s="16" t="n"/>
      <c r="CV405" s="20" t="n"/>
      <c r="CW405" s="20" t="inlineStr">
        <is>
          <t>None</t>
        </is>
      </c>
      <c r="CX405" s="17" t="n"/>
      <c r="CY405" s="16" t="n"/>
      <c r="CZ405" s="20" t="inlineStr">
        <is>
          <t>WTW Multimeter 3430 with FDO 925</t>
        </is>
      </c>
      <c r="DA405" s="20" t="inlineStr">
        <is>
          <t>None</t>
        </is>
      </c>
      <c r="DB405" s="17" t="n"/>
      <c r="DC405" s="16" t="n"/>
      <c r="DD405" s="20" t="n"/>
      <c r="DE405" s="20" t="inlineStr">
        <is>
          <t>None</t>
        </is>
      </c>
      <c r="DF405" s="17" t="n"/>
      <c r="DG405" s="16" t="n"/>
      <c r="DH405" s="20" t="inlineStr">
        <is>
          <t>SOP 45-09</t>
        </is>
      </c>
      <c r="DI405" s="20" t="inlineStr">
        <is>
          <t>None</t>
        </is>
      </c>
      <c r="DJ405" s="17" t="n"/>
      <c r="DK405" s="16" t="n"/>
      <c r="DL405" s="20" t="inlineStr">
        <is>
          <t>SOP 45-09 (SOP muss noch angepasst werden für VSS)</t>
        </is>
      </c>
      <c r="DM405" s="20" t="inlineStr">
        <is>
          <t>None</t>
        </is>
      </c>
      <c r="DN405" s="17" t="n"/>
      <c r="DO405" s="16" t="n"/>
      <c r="DP405" s="20" t="inlineStr">
        <is>
          <t>IC Organic Acids</t>
        </is>
      </c>
      <c r="DQ405" s="20" t="inlineStr">
        <is>
          <t>None</t>
        </is>
      </c>
      <c r="DR405" s="17" t="n"/>
      <c r="DS405" s="16" t="n"/>
      <c r="DT405" s="20" t="inlineStr">
        <is>
          <t>IC Organic Acids</t>
        </is>
      </c>
      <c r="DU405" s="20" t="inlineStr">
        <is>
          <t>None</t>
        </is>
      </c>
      <c r="DV405" s="17" t="n"/>
      <c r="DW405" s="16" t="n"/>
      <c r="DX405" s="20" t="inlineStr">
        <is>
          <t>IC Organic Acids</t>
        </is>
      </c>
      <c r="DY405" s="20" t="inlineStr">
        <is>
          <t>None</t>
        </is>
      </c>
      <c r="DZ405" s="17" t="n"/>
      <c r="EA405" s="16" t="n"/>
      <c r="EB405" s="20" t="inlineStr">
        <is>
          <t>IC Organic Acids</t>
        </is>
      </c>
      <c r="EC405" s="20" t="inlineStr">
        <is>
          <t>None</t>
        </is>
      </c>
      <c r="ED405" s="17" t="n"/>
      <c r="EE405" s="16" t="n"/>
      <c r="EF405" s="20" t="inlineStr">
        <is>
          <t>IC Organic Acids</t>
        </is>
      </c>
      <c r="EG405" s="20" t="inlineStr">
        <is>
          <t>None</t>
        </is>
      </c>
      <c r="EH405" s="17" t="n"/>
      <c r="EI405" s="16" t="n"/>
      <c r="EJ405" s="20" t="inlineStr">
        <is>
          <t>IC Organic Acids</t>
        </is>
      </c>
      <c r="EK405" s="20" t="inlineStr">
        <is>
          <t>None</t>
        </is>
      </c>
      <c r="EL405" s="17" t="n"/>
      <c r="EM405" s="16" t="n"/>
      <c r="EN405" s="20" t="inlineStr">
        <is>
          <t>IC Organic Acids</t>
        </is>
      </c>
      <c r="EO405" s="20" t="inlineStr">
        <is>
          <t>None</t>
        </is>
      </c>
      <c r="EP405" s="17" t="n"/>
      <c r="EQ405" s="16" t="n"/>
      <c r="ER405" s="20" t="inlineStr">
        <is>
          <t>IC Organic Acids</t>
        </is>
      </c>
      <c r="ES405" s="20" t="inlineStr">
        <is>
          <t>None</t>
        </is>
      </c>
      <c r="ET405" s="17" t="n"/>
      <c r="EU405" s="16" t="n"/>
      <c r="EV405" s="20" t="inlineStr">
        <is>
          <t>LC-MS</t>
        </is>
      </c>
      <c r="EW405" s="20" t="inlineStr">
        <is>
          <t>None</t>
        </is>
      </c>
      <c r="EX405" s="17" t="n"/>
      <c r="EY405" s="21" t="n"/>
      <c r="EZ405">
        <f>CONCATENATE(A405,B405)</f>
        <v/>
      </c>
      <c r="FA405">
        <f>CONCATENATE(SamplesX!A405,SamplesX!B405)</f>
        <v/>
      </c>
      <c r="FC405">
        <f>MATCH(EZ405,FA1:FA1008,0)</f>
        <v/>
      </c>
    </row>
    <row r="406">
      <c r="A406" s="16" t="inlineStr">
        <is>
          <t>BP</t>
        </is>
      </c>
      <c r="B406" s="17" t="inlineStr">
        <is>
          <t>25398</t>
        </is>
      </c>
      <c r="C406" s="10">
        <f>IF(ISNUMBER(FC406),INDIRECT("SamplesX!C"&amp;FC406),IF(ISNUMBER(FD406),INDIRECT("SamplesY!C"&amp;FD406),""))</f>
        <v/>
      </c>
      <c r="D406" s="12">
        <f>IF(ISNUMBER(FC406),INDIRECT("SamplesX!D"&amp;FC406),IF(ISNUMBER(FD406),INDIRECT("SamplesY!D"&amp;FD406),""))</f>
        <v/>
      </c>
      <c r="E406" s="12">
        <f>IF(ISNUMBER(FC406),INDIRECT("SamplesX!E"&amp;FC406),IF(ISNUMBER(FD406),INDIRECT("SamplesY!E"&amp;FD406),""))</f>
        <v/>
      </c>
      <c r="F406" s="11">
        <f>IF(ISNUMBER(FC406),INDIRECT("SamplesX!F"&amp;FC406),IF(ISNUMBER(FD406),INDIRECT("SamplesY!F"&amp;FD406),""))</f>
        <v/>
      </c>
      <c r="G406" s="18">
        <f>IF(ISNUMBER(FC406),INDIRECT("SamplesX!G"&amp;FC406),IF(ISNUMBER(FD406),INDIRECT("SamplesY!G"&amp;FD406),""))</f>
        <v/>
      </c>
      <c r="H406" s="19">
        <f>IF(ISNUMBER(FC406),INDIRECT("SamplesX!H"&amp;FC406),IF(ISNUMBER(FD406),INDIRECT("SamplesY!H"&amp;FD406),""))</f>
        <v/>
      </c>
      <c r="I406" s="16" t="n"/>
      <c r="J406" s="16" t="n"/>
      <c r="K406" s="16" t="n"/>
      <c r="L406" s="20" t="n"/>
      <c r="M406" s="20" t="inlineStr">
        <is>
          <t>None</t>
        </is>
      </c>
      <c r="N406" s="17" t="n"/>
      <c r="O406" s="16" t="n"/>
      <c r="P406" s="20" t="inlineStr">
        <is>
          <t>Shimadzu TOC-L</t>
        </is>
      </c>
      <c r="Q406" s="20" t="inlineStr">
        <is>
          <t>None</t>
        </is>
      </c>
      <c r="R406" s="17" t="n"/>
      <c r="S406" s="16" t="n"/>
      <c r="T406" s="20" t="inlineStr">
        <is>
          <t>Shimadzu TOC-L</t>
        </is>
      </c>
      <c r="U406" s="20" t="inlineStr">
        <is>
          <t>None</t>
        </is>
      </c>
      <c r="V406" s="17" t="n"/>
      <c r="W406" s="16" t="n"/>
      <c r="X406" s="20" t="n"/>
      <c r="Y406" s="20" t="inlineStr">
        <is>
          <t>None</t>
        </is>
      </c>
      <c r="Z406" s="17" t="n"/>
      <c r="AA406" s="16" t="n"/>
      <c r="AB406" s="20" t="n"/>
      <c r="AC406" s="20" t="inlineStr">
        <is>
          <t>None</t>
        </is>
      </c>
      <c r="AD406" s="17" t="n"/>
      <c r="AE406" s="16" t="n"/>
      <c r="AF406" s="20" t="inlineStr">
        <is>
          <t>IC Anionen</t>
        </is>
      </c>
      <c r="AG406" s="20" t="inlineStr">
        <is>
          <t>None</t>
        </is>
      </c>
      <c r="AH406" s="17" t="n"/>
      <c r="AI406" s="16" t="n"/>
      <c r="AJ406" s="20" t="n"/>
      <c r="AK406" s="20" t="inlineStr">
        <is>
          <t>None</t>
        </is>
      </c>
      <c r="AL406" s="17" t="n"/>
      <c r="AM406" s="16" t="n"/>
      <c r="AN406" s="20" t="inlineStr">
        <is>
          <t>IC Anionen</t>
        </is>
      </c>
      <c r="AO406" s="20" t="inlineStr">
        <is>
          <t>None</t>
        </is>
      </c>
      <c r="AP406" s="17" t="n"/>
      <c r="AQ406" s="16" t="n"/>
      <c r="AR406" s="20" t="n"/>
      <c r="AS406" s="20" t="inlineStr">
        <is>
          <t>None</t>
        </is>
      </c>
      <c r="AT406" s="17" t="n"/>
      <c r="AU406" s="16" t="n"/>
      <c r="AV406" s="20" t="n"/>
      <c r="AW406" s="20" t="inlineStr">
        <is>
          <t>None</t>
        </is>
      </c>
      <c r="AX406" s="17" t="n"/>
      <c r="AY406" s="16" t="n"/>
      <c r="AZ406" s="20" t="inlineStr">
        <is>
          <t>IC Anionen</t>
        </is>
      </c>
      <c r="BA406" s="20" t="inlineStr">
        <is>
          <t>None</t>
        </is>
      </c>
      <c r="BB406" s="17" t="n"/>
      <c r="BC406" s="16" t="n"/>
      <c r="BD406" s="20" t="inlineStr">
        <is>
          <t>IC Kationen</t>
        </is>
      </c>
      <c r="BE406" s="20" t="inlineStr">
        <is>
          <t>None</t>
        </is>
      </c>
      <c r="BF406" s="17" t="n"/>
      <c r="BG406" s="16" t="n"/>
      <c r="BH406" s="20" t="inlineStr">
        <is>
          <t>IC Kationen</t>
        </is>
      </c>
      <c r="BI406" s="20" t="inlineStr">
        <is>
          <t>None</t>
        </is>
      </c>
      <c r="BJ406" s="17" t="n"/>
      <c r="BK406" s="16" t="n"/>
      <c r="BL406" s="20" t="inlineStr">
        <is>
          <t>IC Kationen</t>
        </is>
      </c>
      <c r="BM406" s="20" t="inlineStr">
        <is>
          <t>None</t>
        </is>
      </c>
      <c r="BN406" s="17" t="n"/>
      <c r="BO406" s="16" t="n"/>
      <c r="BP406" s="20" t="inlineStr">
        <is>
          <t>IC Kationen</t>
        </is>
      </c>
      <c r="BQ406" s="20" t="inlineStr">
        <is>
          <t>None</t>
        </is>
      </c>
      <c r="BR406" s="17" t="n"/>
      <c r="BS406" s="16" t="n"/>
      <c r="BT406" s="20" t="inlineStr">
        <is>
          <t>IC Kationen</t>
        </is>
      </c>
      <c r="BU406" s="20" t="inlineStr">
        <is>
          <t>None</t>
        </is>
      </c>
      <c r="BV406" s="17" t="n"/>
      <c r="BW406" s="16" t="n"/>
      <c r="BX406" s="20" t="n"/>
      <c r="BY406" s="20" t="inlineStr">
        <is>
          <t>None</t>
        </is>
      </c>
      <c r="BZ406" s="17" t="n"/>
      <c r="CA406" s="16" t="n"/>
      <c r="CB406" s="20" t="n"/>
      <c r="CC406" s="20" t="inlineStr">
        <is>
          <t>None</t>
        </is>
      </c>
      <c r="CD406" s="17" t="n"/>
      <c r="CE406" s="16" t="n"/>
      <c r="CF406" s="20" t="n"/>
      <c r="CG406" s="20" t="inlineStr">
        <is>
          <t>None</t>
        </is>
      </c>
      <c r="CH406" s="17" t="n"/>
      <c r="CI406" s="16" t="n"/>
      <c r="CJ406" s="20" t="n"/>
      <c r="CK406" s="20" t="inlineStr">
        <is>
          <t>None</t>
        </is>
      </c>
      <c r="CL406" s="17" t="n"/>
      <c r="CM406" s="16" t="n"/>
      <c r="CN406" s="20" t="inlineStr">
        <is>
          <t>SOP 45-34</t>
        </is>
      </c>
      <c r="CO406" s="20" t="inlineStr">
        <is>
          <t>None</t>
        </is>
      </c>
      <c r="CP406" s="17" t="n"/>
      <c r="CQ406" s="16" t="n"/>
      <c r="CR406" s="20" t="n"/>
      <c r="CS406" s="20" t="inlineStr">
        <is>
          <t>None</t>
        </is>
      </c>
      <c r="CT406" s="17" t="n"/>
      <c r="CU406" s="16" t="n"/>
      <c r="CV406" s="20" t="n"/>
      <c r="CW406" s="20" t="inlineStr">
        <is>
          <t>None</t>
        </is>
      </c>
      <c r="CX406" s="17" t="n"/>
      <c r="CY406" s="16" t="n"/>
      <c r="CZ406" s="20" t="inlineStr">
        <is>
          <t>WTW Multimeter 3430 with FDO 925</t>
        </is>
      </c>
      <c r="DA406" s="20" t="inlineStr">
        <is>
          <t>None</t>
        </is>
      </c>
      <c r="DB406" s="17" t="n"/>
      <c r="DC406" s="16" t="n"/>
      <c r="DD406" s="20" t="n"/>
      <c r="DE406" s="20" t="inlineStr">
        <is>
          <t>None</t>
        </is>
      </c>
      <c r="DF406" s="17" t="n"/>
      <c r="DG406" s="16" t="n"/>
      <c r="DH406" s="20" t="inlineStr">
        <is>
          <t>SOP 45-09</t>
        </is>
      </c>
      <c r="DI406" s="20" t="inlineStr">
        <is>
          <t>None</t>
        </is>
      </c>
      <c r="DJ406" s="17" t="n"/>
      <c r="DK406" s="16" t="n"/>
      <c r="DL406" s="20" t="inlineStr">
        <is>
          <t>SOP 45-09 (SOP muss noch angepasst werden für VSS)</t>
        </is>
      </c>
      <c r="DM406" s="20" t="inlineStr">
        <is>
          <t>None</t>
        </is>
      </c>
      <c r="DN406" s="17" t="n"/>
      <c r="DO406" s="16" t="n"/>
      <c r="DP406" s="20" t="inlineStr">
        <is>
          <t>IC Organic Acids</t>
        </is>
      </c>
      <c r="DQ406" s="20" t="inlineStr">
        <is>
          <t>None</t>
        </is>
      </c>
      <c r="DR406" s="17" t="n"/>
      <c r="DS406" s="16" t="n"/>
      <c r="DT406" s="20" t="inlineStr">
        <is>
          <t>IC Organic Acids</t>
        </is>
      </c>
      <c r="DU406" s="20" t="inlineStr">
        <is>
          <t>None</t>
        </is>
      </c>
      <c r="DV406" s="17" t="n"/>
      <c r="DW406" s="16" t="n"/>
      <c r="DX406" s="20" t="inlineStr">
        <is>
          <t>IC Organic Acids</t>
        </is>
      </c>
      <c r="DY406" s="20" t="inlineStr">
        <is>
          <t>None</t>
        </is>
      </c>
      <c r="DZ406" s="17" t="n"/>
      <c r="EA406" s="16" t="n"/>
      <c r="EB406" s="20" t="inlineStr">
        <is>
          <t>IC Organic Acids</t>
        </is>
      </c>
      <c r="EC406" s="20" t="inlineStr">
        <is>
          <t>None</t>
        </is>
      </c>
      <c r="ED406" s="17" t="n"/>
      <c r="EE406" s="16" t="n"/>
      <c r="EF406" s="20" t="inlineStr">
        <is>
          <t>IC Organic Acids</t>
        </is>
      </c>
      <c r="EG406" s="20" t="inlineStr">
        <is>
          <t>None</t>
        </is>
      </c>
      <c r="EH406" s="17" t="n"/>
      <c r="EI406" s="16" t="n"/>
      <c r="EJ406" s="20" t="inlineStr">
        <is>
          <t>IC Organic Acids</t>
        </is>
      </c>
      <c r="EK406" s="20" t="inlineStr">
        <is>
          <t>None</t>
        </is>
      </c>
      <c r="EL406" s="17" t="n"/>
      <c r="EM406" s="16" t="n"/>
      <c r="EN406" s="20" t="inlineStr">
        <is>
          <t>IC Organic Acids</t>
        </is>
      </c>
      <c r="EO406" s="20" t="inlineStr">
        <is>
          <t>None</t>
        </is>
      </c>
      <c r="EP406" s="17" t="n"/>
      <c r="EQ406" s="16" t="n"/>
      <c r="ER406" s="20" t="inlineStr">
        <is>
          <t>IC Organic Acids</t>
        </is>
      </c>
      <c r="ES406" s="20" t="inlineStr">
        <is>
          <t>None</t>
        </is>
      </c>
      <c r="ET406" s="17" t="n"/>
      <c r="EU406" s="16" t="n"/>
      <c r="EV406" s="20" t="inlineStr">
        <is>
          <t>LC-MS</t>
        </is>
      </c>
      <c r="EW406" s="20" t="inlineStr">
        <is>
          <t>None</t>
        </is>
      </c>
      <c r="EX406" s="17" t="n"/>
      <c r="EY406" s="21" t="n"/>
      <c r="EZ406">
        <f>CONCATENATE(A406,B406)</f>
        <v/>
      </c>
      <c r="FA406">
        <f>CONCATENATE(SamplesX!A406,SamplesX!B406)</f>
        <v/>
      </c>
      <c r="FC406">
        <f>MATCH(EZ406,FA1:FA1008,0)</f>
        <v/>
      </c>
    </row>
    <row r="407">
      <c r="A407" s="16" t="inlineStr">
        <is>
          <t>BP</t>
        </is>
      </c>
      <c r="B407" s="17" t="inlineStr">
        <is>
          <t>25399</t>
        </is>
      </c>
      <c r="C407" s="10">
        <f>IF(ISNUMBER(FC407),INDIRECT("SamplesX!C"&amp;FC407),IF(ISNUMBER(FD407),INDIRECT("SamplesY!C"&amp;FD407),""))</f>
        <v/>
      </c>
      <c r="D407" s="12">
        <f>IF(ISNUMBER(FC407),INDIRECT("SamplesX!D"&amp;FC407),IF(ISNUMBER(FD407),INDIRECT("SamplesY!D"&amp;FD407),""))</f>
        <v/>
      </c>
      <c r="E407" s="12">
        <f>IF(ISNUMBER(FC407),INDIRECT("SamplesX!E"&amp;FC407),IF(ISNUMBER(FD407),INDIRECT("SamplesY!E"&amp;FD407),""))</f>
        <v/>
      </c>
      <c r="F407" s="11">
        <f>IF(ISNUMBER(FC407),INDIRECT("SamplesX!F"&amp;FC407),IF(ISNUMBER(FD407),INDIRECT("SamplesY!F"&amp;FD407),""))</f>
        <v/>
      </c>
      <c r="G407" s="18">
        <f>IF(ISNUMBER(FC407),INDIRECT("SamplesX!G"&amp;FC407),IF(ISNUMBER(FD407),INDIRECT("SamplesY!G"&amp;FD407),""))</f>
        <v/>
      </c>
      <c r="H407" s="19">
        <f>IF(ISNUMBER(FC407),INDIRECT("SamplesX!H"&amp;FC407),IF(ISNUMBER(FD407),INDIRECT("SamplesY!H"&amp;FD407),""))</f>
        <v/>
      </c>
      <c r="I407" s="16" t="n"/>
      <c r="J407" s="16" t="n"/>
      <c r="K407" s="16" t="n"/>
      <c r="L407" s="20" t="n"/>
      <c r="M407" s="20" t="inlineStr">
        <is>
          <t>None</t>
        </is>
      </c>
      <c r="N407" s="17" t="n"/>
      <c r="O407" s="16" t="n"/>
      <c r="P407" s="20" t="inlineStr">
        <is>
          <t>Shimadzu TOC-L</t>
        </is>
      </c>
      <c r="Q407" s="20" t="inlineStr">
        <is>
          <t>None</t>
        </is>
      </c>
      <c r="R407" s="17" t="n"/>
      <c r="S407" s="16" t="n"/>
      <c r="T407" s="20" t="inlineStr">
        <is>
          <t>Shimadzu TOC-L</t>
        </is>
      </c>
      <c r="U407" s="20" t="inlineStr">
        <is>
          <t>None</t>
        </is>
      </c>
      <c r="V407" s="17" t="n"/>
      <c r="W407" s="16" t="n"/>
      <c r="X407" s="20" t="n"/>
      <c r="Y407" s="20" t="inlineStr">
        <is>
          <t>None</t>
        </is>
      </c>
      <c r="Z407" s="17" t="n"/>
      <c r="AA407" s="16" t="n"/>
      <c r="AB407" s="20" t="n"/>
      <c r="AC407" s="20" t="inlineStr">
        <is>
          <t>None</t>
        </is>
      </c>
      <c r="AD407" s="17" t="n"/>
      <c r="AE407" s="16" t="n"/>
      <c r="AF407" s="20" t="inlineStr">
        <is>
          <t>IC Anionen</t>
        </is>
      </c>
      <c r="AG407" s="20" t="inlineStr">
        <is>
          <t>None</t>
        </is>
      </c>
      <c r="AH407" s="17" t="n"/>
      <c r="AI407" s="16" t="n"/>
      <c r="AJ407" s="20" t="n"/>
      <c r="AK407" s="20" t="inlineStr">
        <is>
          <t>None</t>
        </is>
      </c>
      <c r="AL407" s="17" t="n"/>
      <c r="AM407" s="16" t="n"/>
      <c r="AN407" s="20" t="inlineStr">
        <is>
          <t>IC Anionen</t>
        </is>
      </c>
      <c r="AO407" s="20" t="inlineStr">
        <is>
          <t>None</t>
        </is>
      </c>
      <c r="AP407" s="17" t="n"/>
      <c r="AQ407" s="16" t="n"/>
      <c r="AR407" s="20" t="n"/>
      <c r="AS407" s="20" t="inlineStr">
        <is>
          <t>None</t>
        </is>
      </c>
      <c r="AT407" s="17" t="n"/>
      <c r="AU407" s="16" t="n"/>
      <c r="AV407" s="20" t="n"/>
      <c r="AW407" s="20" t="inlineStr">
        <is>
          <t>None</t>
        </is>
      </c>
      <c r="AX407" s="17" t="n"/>
      <c r="AY407" s="16" t="n"/>
      <c r="AZ407" s="20" t="inlineStr">
        <is>
          <t>IC Anionen</t>
        </is>
      </c>
      <c r="BA407" s="20" t="inlineStr">
        <is>
          <t>None</t>
        </is>
      </c>
      <c r="BB407" s="17" t="n"/>
      <c r="BC407" s="16" t="n"/>
      <c r="BD407" s="20" t="inlineStr">
        <is>
          <t>IC Kationen</t>
        </is>
      </c>
      <c r="BE407" s="20" t="inlineStr">
        <is>
          <t>None</t>
        </is>
      </c>
      <c r="BF407" s="17" t="n"/>
      <c r="BG407" s="16" t="n"/>
      <c r="BH407" s="20" t="inlineStr">
        <is>
          <t>IC Kationen</t>
        </is>
      </c>
      <c r="BI407" s="20" t="inlineStr">
        <is>
          <t>None</t>
        </is>
      </c>
      <c r="BJ407" s="17" t="n"/>
      <c r="BK407" s="16" t="n"/>
      <c r="BL407" s="20" t="inlineStr">
        <is>
          <t>IC Kationen</t>
        </is>
      </c>
      <c r="BM407" s="20" t="inlineStr">
        <is>
          <t>None</t>
        </is>
      </c>
      <c r="BN407" s="17" t="n"/>
      <c r="BO407" s="16" t="n"/>
      <c r="BP407" s="20" t="inlineStr">
        <is>
          <t>IC Kationen</t>
        </is>
      </c>
      <c r="BQ407" s="20" t="inlineStr">
        <is>
          <t>None</t>
        </is>
      </c>
      <c r="BR407" s="17" t="n"/>
      <c r="BS407" s="16" t="n"/>
      <c r="BT407" s="20" t="inlineStr">
        <is>
          <t>IC Kationen</t>
        </is>
      </c>
      <c r="BU407" s="20" t="inlineStr">
        <is>
          <t>None</t>
        </is>
      </c>
      <c r="BV407" s="17" t="n"/>
      <c r="BW407" s="16" t="n"/>
      <c r="BX407" s="20" t="n"/>
      <c r="BY407" s="20" t="inlineStr">
        <is>
          <t>None</t>
        </is>
      </c>
      <c r="BZ407" s="17" t="n"/>
      <c r="CA407" s="16" t="n"/>
      <c r="CB407" s="20" t="n"/>
      <c r="CC407" s="20" t="inlineStr">
        <is>
          <t>None</t>
        </is>
      </c>
      <c r="CD407" s="17" t="n"/>
      <c r="CE407" s="16" t="n"/>
      <c r="CF407" s="20" t="n"/>
      <c r="CG407" s="20" t="inlineStr">
        <is>
          <t>None</t>
        </is>
      </c>
      <c r="CH407" s="17" t="n"/>
      <c r="CI407" s="16" t="n"/>
      <c r="CJ407" s="20" t="n"/>
      <c r="CK407" s="20" t="inlineStr">
        <is>
          <t>None</t>
        </is>
      </c>
      <c r="CL407" s="17" t="n"/>
      <c r="CM407" s="16" t="n"/>
      <c r="CN407" s="20" t="inlineStr">
        <is>
          <t>SOP 45-34</t>
        </is>
      </c>
      <c r="CO407" s="20" t="inlineStr">
        <is>
          <t>None</t>
        </is>
      </c>
      <c r="CP407" s="17" t="n"/>
      <c r="CQ407" s="16" t="n"/>
      <c r="CR407" s="20" t="n"/>
      <c r="CS407" s="20" t="inlineStr">
        <is>
          <t>None</t>
        </is>
      </c>
      <c r="CT407" s="17" t="n"/>
      <c r="CU407" s="16" t="n"/>
      <c r="CV407" s="20" t="n"/>
      <c r="CW407" s="20" t="inlineStr">
        <is>
          <t>None</t>
        </is>
      </c>
      <c r="CX407" s="17" t="n"/>
      <c r="CY407" s="16" t="n"/>
      <c r="CZ407" s="20" t="inlineStr">
        <is>
          <t>WTW Multimeter 3430 with FDO 925</t>
        </is>
      </c>
      <c r="DA407" s="20" t="inlineStr">
        <is>
          <t>None</t>
        </is>
      </c>
      <c r="DB407" s="17" t="n"/>
      <c r="DC407" s="16" t="n"/>
      <c r="DD407" s="20" t="n"/>
      <c r="DE407" s="20" t="inlineStr">
        <is>
          <t>None</t>
        </is>
      </c>
      <c r="DF407" s="17" t="n"/>
      <c r="DG407" s="16" t="n"/>
      <c r="DH407" s="20" t="inlineStr">
        <is>
          <t>SOP 45-09</t>
        </is>
      </c>
      <c r="DI407" s="20" t="inlineStr">
        <is>
          <t>None</t>
        </is>
      </c>
      <c r="DJ407" s="17" t="n"/>
      <c r="DK407" s="16" t="n"/>
      <c r="DL407" s="20" t="inlineStr">
        <is>
          <t>SOP 45-09 (SOP muss noch angepasst werden für VSS)</t>
        </is>
      </c>
      <c r="DM407" s="20" t="inlineStr">
        <is>
          <t>None</t>
        </is>
      </c>
      <c r="DN407" s="17" t="n"/>
      <c r="DO407" s="16" t="n"/>
      <c r="DP407" s="20" t="inlineStr">
        <is>
          <t>IC Organic Acids</t>
        </is>
      </c>
      <c r="DQ407" s="20" t="inlineStr">
        <is>
          <t>None</t>
        </is>
      </c>
      <c r="DR407" s="17" t="n"/>
      <c r="DS407" s="16" t="n"/>
      <c r="DT407" s="20" t="inlineStr">
        <is>
          <t>IC Organic Acids</t>
        </is>
      </c>
      <c r="DU407" s="20" t="inlineStr">
        <is>
          <t>None</t>
        </is>
      </c>
      <c r="DV407" s="17" t="n"/>
      <c r="DW407" s="16" t="n"/>
      <c r="DX407" s="20" t="inlineStr">
        <is>
          <t>IC Organic Acids</t>
        </is>
      </c>
      <c r="DY407" s="20" t="inlineStr">
        <is>
          <t>None</t>
        </is>
      </c>
      <c r="DZ407" s="17" t="n"/>
      <c r="EA407" s="16" t="n"/>
      <c r="EB407" s="20" t="inlineStr">
        <is>
          <t>IC Organic Acids</t>
        </is>
      </c>
      <c r="EC407" s="20" t="inlineStr">
        <is>
          <t>None</t>
        </is>
      </c>
      <c r="ED407" s="17" t="n"/>
      <c r="EE407" s="16" t="n"/>
      <c r="EF407" s="20" t="inlineStr">
        <is>
          <t>IC Organic Acids</t>
        </is>
      </c>
      <c r="EG407" s="20" t="inlineStr">
        <is>
          <t>None</t>
        </is>
      </c>
      <c r="EH407" s="17" t="n"/>
      <c r="EI407" s="16" t="n"/>
      <c r="EJ407" s="20" t="inlineStr">
        <is>
          <t>IC Organic Acids</t>
        </is>
      </c>
      <c r="EK407" s="20" t="inlineStr">
        <is>
          <t>None</t>
        </is>
      </c>
      <c r="EL407" s="17" t="n"/>
      <c r="EM407" s="16" t="n"/>
      <c r="EN407" s="20" t="inlineStr">
        <is>
          <t>IC Organic Acids</t>
        </is>
      </c>
      <c r="EO407" s="20" t="inlineStr">
        <is>
          <t>None</t>
        </is>
      </c>
      <c r="EP407" s="17" t="n"/>
      <c r="EQ407" s="16" t="n"/>
      <c r="ER407" s="20" t="inlineStr">
        <is>
          <t>IC Organic Acids</t>
        </is>
      </c>
      <c r="ES407" s="20" t="inlineStr">
        <is>
          <t>None</t>
        </is>
      </c>
      <c r="ET407" s="17" t="n"/>
      <c r="EU407" s="16" t="n"/>
      <c r="EV407" s="20" t="inlineStr">
        <is>
          <t>LC-MS</t>
        </is>
      </c>
      <c r="EW407" s="20" t="inlineStr">
        <is>
          <t>None</t>
        </is>
      </c>
      <c r="EX407" s="17" t="n"/>
      <c r="EY407" s="21" t="n"/>
      <c r="EZ407">
        <f>CONCATENATE(A407,B407)</f>
        <v/>
      </c>
      <c r="FA407">
        <f>CONCATENATE(SamplesX!A407,SamplesX!B407)</f>
        <v/>
      </c>
      <c r="FC407">
        <f>MATCH(EZ407,FA1:FA1008,0)</f>
        <v/>
      </c>
    </row>
    <row r="408">
      <c r="A408" s="16" t="inlineStr">
        <is>
          <t>BP</t>
        </is>
      </c>
      <c r="B408" s="17" t="inlineStr">
        <is>
          <t>25400</t>
        </is>
      </c>
      <c r="C408" s="10">
        <f>IF(ISNUMBER(FC408),INDIRECT("SamplesX!C"&amp;FC408),IF(ISNUMBER(FD408),INDIRECT("SamplesY!C"&amp;FD408),""))</f>
        <v/>
      </c>
      <c r="D408" s="12">
        <f>IF(ISNUMBER(FC408),INDIRECT("SamplesX!D"&amp;FC408),IF(ISNUMBER(FD408),INDIRECT("SamplesY!D"&amp;FD408),""))</f>
        <v/>
      </c>
      <c r="E408" s="12">
        <f>IF(ISNUMBER(FC408),INDIRECT("SamplesX!E"&amp;FC408),IF(ISNUMBER(FD408),INDIRECT("SamplesY!E"&amp;FD408),""))</f>
        <v/>
      </c>
      <c r="F408" s="11">
        <f>IF(ISNUMBER(FC408),INDIRECT("SamplesX!F"&amp;FC408),IF(ISNUMBER(FD408),INDIRECT("SamplesY!F"&amp;FD408),""))</f>
        <v/>
      </c>
      <c r="G408" s="18">
        <f>IF(ISNUMBER(FC408),INDIRECT("SamplesX!G"&amp;FC408),IF(ISNUMBER(FD408),INDIRECT("SamplesY!G"&amp;FD408),""))</f>
        <v/>
      </c>
      <c r="H408" s="19">
        <f>IF(ISNUMBER(FC408),INDIRECT("SamplesX!H"&amp;FC408),IF(ISNUMBER(FD408),INDIRECT("SamplesY!H"&amp;FD408),""))</f>
        <v/>
      </c>
      <c r="I408" s="16" t="n"/>
      <c r="J408" s="16" t="n"/>
      <c r="K408" s="16" t="n"/>
      <c r="L408" s="20" t="n"/>
      <c r="M408" s="20" t="inlineStr">
        <is>
          <t>None</t>
        </is>
      </c>
      <c r="N408" s="17" t="n"/>
      <c r="O408" s="16" t="n"/>
      <c r="P408" s="20" t="inlineStr">
        <is>
          <t>Shimadzu TOC-L</t>
        </is>
      </c>
      <c r="Q408" s="20" t="inlineStr">
        <is>
          <t>None</t>
        </is>
      </c>
      <c r="R408" s="17" t="n"/>
      <c r="S408" s="16" t="n"/>
      <c r="T408" s="20" t="inlineStr">
        <is>
          <t>Shimadzu TOC-L</t>
        </is>
      </c>
      <c r="U408" s="20" t="inlineStr">
        <is>
          <t>None</t>
        </is>
      </c>
      <c r="V408" s="17" t="n"/>
      <c r="W408" s="16" t="n"/>
      <c r="X408" s="20" t="n"/>
      <c r="Y408" s="20" t="inlineStr">
        <is>
          <t>None</t>
        </is>
      </c>
      <c r="Z408" s="17" t="n"/>
      <c r="AA408" s="16" t="n"/>
      <c r="AB408" s="20" t="n"/>
      <c r="AC408" s="20" t="inlineStr">
        <is>
          <t>None</t>
        </is>
      </c>
      <c r="AD408" s="17" t="n"/>
      <c r="AE408" s="16" t="n"/>
      <c r="AF408" s="20" t="inlineStr">
        <is>
          <t>IC Anionen</t>
        </is>
      </c>
      <c r="AG408" s="20" t="inlineStr">
        <is>
          <t>None</t>
        </is>
      </c>
      <c r="AH408" s="17" t="n"/>
      <c r="AI408" s="16" t="n"/>
      <c r="AJ408" s="20" t="n"/>
      <c r="AK408" s="20" t="inlineStr">
        <is>
          <t>None</t>
        </is>
      </c>
      <c r="AL408" s="17" t="n"/>
      <c r="AM408" s="16" t="n"/>
      <c r="AN408" s="20" t="inlineStr">
        <is>
          <t>IC Anionen</t>
        </is>
      </c>
      <c r="AO408" s="20" t="inlineStr">
        <is>
          <t>None</t>
        </is>
      </c>
      <c r="AP408" s="17" t="n"/>
      <c r="AQ408" s="16" t="n"/>
      <c r="AR408" s="20" t="n"/>
      <c r="AS408" s="20" t="inlineStr">
        <is>
          <t>None</t>
        </is>
      </c>
      <c r="AT408" s="17" t="n"/>
      <c r="AU408" s="16" t="n"/>
      <c r="AV408" s="20" t="n"/>
      <c r="AW408" s="20" t="inlineStr">
        <is>
          <t>None</t>
        </is>
      </c>
      <c r="AX408" s="17" t="n"/>
      <c r="AY408" s="16" t="n"/>
      <c r="AZ408" s="20" t="inlineStr">
        <is>
          <t>IC Anionen</t>
        </is>
      </c>
      <c r="BA408" s="20" t="inlineStr">
        <is>
          <t>None</t>
        </is>
      </c>
      <c r="BB408" s="17" t="n"/>
      <c r="BC408" s="16" t="n"/>
      <c r="BD408" s="20" t="inlineStr">
        <is>
          <t>IC Kationen</t>
        </is>
      </c>
      <c r="BE408" s="20" t="inlineStr">
        <is>
          <t>None</t>
        </is>
      </c>
      <c r="BF408" s="17" t="n"/>
      <c r="BG408" s="16" t="n"/>
      <c r="BH408" s="20" t="inlineStr">
        <is>
          <t>IC Kationen</t>
        </is>
      </c>
      <c r="BI408" s="20" t="inlineStr">
        <is>
          <t>None</t>
        </is>
      </c>
      <c r="BJ408" s="17" t="n"/>
      <c r="BK408" s="16" t="n"/>
      <c r="BL408" s="20" t="inlineStr">
        <is>
          <t>IC Kationen</t>
        </is>
      </c>
      <c r="BM408" s="20" t="inlineStr">
        <is>
          <t>None</t>
        </is>
      </c>
      <c r="BN408" s="17" t="n"/>
      <c r="BO408" s="16" t="n"/>
      <c r="BP408" s="20" t="inlineStr">
        <is>
          <t>IC Kationen</t>
        </is>
      </c>
      <c r="BQ408" s="20" t="inlineStr">
        <is>
          <t>None</t>
        </is>
      </c>
      <c r="BR408" s="17" t="n"/>
      <c r="BS408" s="16" t="n"/>
      <c r="BT408" s="20" t="inlineStr">
        <is>
          <t>IC Kationen</t>
        </is>
      </c>
      <c r="BU408" s="20" t="inlineStr">
        <is>
          <t>None</t>
        </is>
      </c>
      <c r="BV408" s="17" t="n"/>
      <c r="BW408" s="16" t="n"/>
      <c r="BX408" s="20" t="n"/>
      <c r="BY408" s="20" t="inlineStr">
        <is>
          <t>None</t>
        </is>
      </c>
      <c r="BZ408" s="17" t="n"/>
      <c r="CA408" s="16" t="n"/>
      <c r="CB408" s="20" t="n"/>
      <c r="CC408" s="20" t="inlineStr">
        <is>
          <t>None</t>
        </is>
      </c>
      <c r="CD408" s="17" t="n"/>
      <c r="CE408" s="16" t="n"/>
      <c r="CF408" s="20" t="n"/>
      <c r="CG408" s="20" t="inlineStr">
        <is>
          <t>None</t>
        </is>
      </c>
      <c r="CH408" s="17" t="n"/>
      <c r="CI408" s="16" t="n"/>
      <c r="CJ408" s="20" t="n"/>
      <c r="CK408" s="20" t="inlineStr">
        <is>
          <t>None</t>
        </is>
      </c>
      <c r="CL408" s="17" t="n"/>
      <c r="CM408" s="16" t="n"/>
      <c r="CN408" s="20" t="inlineStr">
        <is>
          <t>SOP 45-34</t>
        </is>
      </c>
      <c r="CO408" s="20" t="inlineStr">
        <is>
          <t>None</t>
        </is>
      </c>
      <c r="CP408" s="17" t="n"/>
      <c r="CQ408" s="16" t="n"/>
      <c r="CR408" s="20" t="n"/>
      <c r="CS408" s="20" t="inlineStr">
        <is>
          <t>None</t>
        </is>
      </c>
      <c r="CT408" s="17" t="n"/>
      <c r="CU408" s="16" t="n"/>
      <c r="CV408" s="20" t="n"/>
      <c r="CW408" s="20" t="inlineStr">
        <is>
          <t>None</t>
        </is>
      </c>
      <c r="CX408" s="17" t="n"/>
      <c r="CY408" s="16" t="n"/>
      <c r="CZ408" s="20" t="inlineStr">
        <is>
          <t>WTW Multimeter 3430 with FDO 925</t>
        </is>
      </c>
      <c r="DA408" s="20" t="inlineStr">
        <is>
          <t>None</t>
        </is>
      </c>
      <c r="DB408" s="17" t="n"/>
      <c r="DC408" s="16" t="n"/>
      <c r="DD408" s="20" t="n"/>
      <c r="DE408" s="20" t="inlineStr">
        <is>
          <t>None</t>
        </is>
      </c>
      <c r="DF408" s="17" t="n"/>
      <c r="DG408" s="16" t="n"/>
      <c r="DH408" s="20" t="inlineStr">
        <is>
          <t>SOP 45-09</t>
        </is>
      </c>
      <c r="DI408" s="20" t="inlineStr">
        <is>
          <t>None</t>
        </is>
      </c>
      <c r="DJ408" s="17" t="n"/>
      <c r="DK408" s="16" t="n"/>
      <c r="DL408" s="20" t="inlineStr">
        <is>
          <t>SOP 45-09 (SOP muss noch angepasst werden für VSS)</t>
        </is>
      </c>
      <c r="DM408" s="20" t="inlineStr">
        <is>
          <t>None</t>
        </is>
      </c>
      <c r="DN408" s="17" t="n"/>
      <c r="DO408" s="16" t="n"/>
      <c r="DP408" s="20" t="inlineStr">
        <is>
          <t>IC Organic Acids</t>
        </is>
      </c>
      <c r="DQ408" s="20" t="inlineStr">
        <is>
          <t>None</t>
        </is>
      </c>
      <c r="DR408" s="17" t="n"/>
      <c r="DS408" s="16" t="n"/>
      <c r="DT408" s="20" t="inlineStr">
        <is>
          <t>IC Organic Acids</t>
        </is>
      </c>
      <c r="DU408" s="20" t="inlineStr">
        <is>
          <t>None</t>
        </is>
      </c>
      <c r="DV408" s="17" t="n"/>
      <c r="DW408" s="16" t="n"/>
      <c r="DX408" s="20" t="inlineStr">
        <is>
          <t>IC Organic Acids</t>
        </is>
      </c>
      <c r="DY408" s="20" t="inlineStr">
        <is>
          <t>None</t>
        </is>
      </c>
      <c r="DZ408" s="17" t="n"/>
      <c r="EA408" s="16" t="n"/>
      <c r="EB408" s="20" t="inlineStr">
        <is>
          <t>IC Organic Acids</t>
        </is>
      </c>
      <c r="EC408" s="20" t="inlineStr">
        <is>
          <t>None</t>
        </is>
      </c>
      <c r="ED408" s="17" t="n"/>
      <c r="EE408" s="16" t="n"/>
      <c r="EF408" s="20" t="inlineStr">
        <is>
          <t>IC Organic Acids</t>
        </is>
      </c>
      <c r="EG408" s="20" t="inlineStr">
        <is>
          <t>None</t>
        </is>
      </c>
      <c r="EH408" s="17" t="n"/>
      <c r="EI408" s="16" t="n"/>
      <c r="EJ408" s="20" t="inlineStr">
        <is>
          <t>IC Organic Acids</t>
        </is>
      </c>
      <c r="EK408" s="20" t="inlineStr">
        <is>
          <t>None</t>
        </is>
      </c>
      <c r="EL408" s="17" t="n"/>
      <c r="EM408" s="16" t="n"/>
      <c r="EN408" s="20" t="inlineStr">
        <is>
          <t>IC Organic Acids</t>
        </is>
      </c>
      <c r="EO408" s="20" t="inlineStr">
        <is>
          <t>None</t>
        </is>
      </c>
      <c r="EP408" s="17" t="n"/>
      <c r="EQ408" s="16" t="n"/>
      <c r="ER408" s="20" t="inlineStr">
        <is>
          <t>IC Organic Acids</t>
        </is>
      </c>
      <c r="ES408" s="20" t="inlineStr">
        <is>
          <t>None</t>
        </is>
      </c>
      <c r="ET408" s="17" t="n"/>
      <c r="EU408" s="16" t="n"/>
      <c r="EV408" s="20" t="inlineStr">
        <is>
          <t>LC-MS</t>
        </is>
      </c>
      <c r="EW408" s="20" t="inlineStr">
        <is>
          <t>None</t>
        </is>
      </c>
      <c r="EX408" s="17" t="n"/>
      <c r="EY408" s="21" t="n"/>
      <c r="EZ408">
        <f>CONCATENATE(A408,B408)</f>
        <v/>
      </c>
      <c r="FA408">
        <f>CONCATENATE(SamplesX!A408,SamplesX!B408)</f>
        <v/>
      </c>
      <c r="FC408">
        <f>MATCH(EZ408,FA1:FA1008,0)</f>
        <v/>
      </c>
    </row>
    <row r="409">
      <c r="A409" s="16" t="inlineStr">
        <is>
          <t>BP</t>
        </is>
      </c>
      <c r="B409" s="17" t="inlineStr">
        <is>
          <t>25401</t>
        </is>
      </c>
      <c r="C409" s="10">
        <f>IF(ISNUMBER(FC409),INDIRECT("SamplesX!C"&amp;FC409),IF(ISNUMBER(FD409),INDIRECT("SamplesY!C"&amp;FD409),""))</f>
        <v/>
      </c>
      <c r="D409" s="12">
        <f>IF(ISNUMBER(FC409),INDIRECT("SamplesX!D"&amp;FC409),IF(ISNUMBER(FD409),INDIRECT("SamplesY!D"&amp;FD409),""))</f>
        <v/>
      </c>
      <c r="E409" s="12">
        <f>IF(ISNUMBER(FC409),INDIRECT("SamplesX!E"&amp;FC409),IF(ISNUMBER(FD409),INDIRECT("SamplesY!E"&amp;FD409),""))</f>
        <v/>
      </c>
      <c r="F409" s="11">
        <f>IF(ISNUMBER(FC409),INDIRECT("SamplesX!F"&amp;FC409),IF(ISNUMBER(FD409),INDIRECT("SamplesY!F"&amp;FD409),""))</f>
        <v/>
      </c>
      <c r="G409" s="18">
        <f>IF(ISNUMBER(FC409),INDIRECT("SamplesX!G"&amp;FC409),IF(ISNUMBER(FD409),INDIRECT("SamplesY!G"&amp;FD409),""))</f>
        <v/>
      </c>
      <c r="H409" s="19">
        <f>IF(ISNUMBER(FC409),INDIRECT("SamplesX!H"&amp;FC409),IF(ISNUMBER(FD409),INDIRECT("SamplesY!H"&amp;FD409),""))</f>
        <v/>
      </c>
      <c r="I409" s="16" t="n"/>
      <c r="J409" s="16" t="n"/>
      <c r="K409" s="16" t="n"/>
      <c r="L409" s="20" t="n"/>
      <c r="M409" s="20" t="inlineStr">
        <is>
          <t>None</t>
        </is>
      </c>
      <c r="N409" s="17" t="n"/>
      <c r="O409" s="16" t="n"/>
      <c r="P409" s="20" t="inlineStr">
        <is>
          <t>Shimadzu TOC-L</t>
        </is>
      </c>
      <c r="Q409" s="20" t="inlineStr">
        <is>
          <t>None</t>
        </is>
      </c>
      <c r="R409" s="17" t="n"/>
      <c r="S409" s="16" t="n"/>
      <c r="T409" s="20" t="inlineStr">
        <is>
          <t>Shimadzu TOC-L</t>
        </is>
      </c>
      <c r="U409" s="20" t="inlineStr">
        <is>
          <t>None</t>
        </is>
      </c>
      <c r="V409" s="17" t="n"/>
      <c r="W409" s="16" t="n"/>
      <c r="X409" s="20" t="n"/>
      <c r="Y409" s="20" t="inlineStr">
        <is>
          <t>None</t>
        </is>
      </c>
      <c r="Z409" s="17" t="n"/>
      <c r="AA409" s="16" t="n"/>
      <c r="AB409" s="20" t="n"/>
      <c r="AC409" s="20" t="inlineStr">
        <is>
          <t>None</t>
        </is>
      </c>
      <c r="AD409" s="17" t="n"/>
      <c r="AE409" s="16" t="n"/>
      <c r="AF409" s="20" t="inlineStr">
        <is>
          <t>IC Anionen</t>
        </is>
      </c>
      <c r="AG409" s="20" t="inlineStr">
        <is>
          <t>None</t>
        </is>
      </c>
      <c r="AH409" s="17" t="n"/>
      <c r="AI409" s="16" t="n"/>
      <c r="AJ409" s="20" t="n"/>
      <c r="AK409" s="20" t="inlineStr">
        <is>
          <t>None</t>
        </is>
      </c>
      <c r="AL409" s="17" t="n"/>
      <c r="AM409" s="16" t="n"/>
      <c r="AN409" s="20" t="inlineStr">
        <is>
          <t>IC Anionen</t>
        </is>
      </c>
      <c r="AO409" s="20" t="inlineStr">
        <is>
          <t>None</t>
        </is>
      </c>
      <c r="AP409" s="17" t="n"/>
      <c r="AQ409" s="16" t="n"/>
      <c r="AR409" s="20" t="n"/>
      <c r="AS409" s="20" t="inlineStr">
        <is>
          <t>None</t>
        </is>
      </c>
      <c r="AT409" s="17" t="n"/>
      <c r="AU409" s="16" t="n"/>
      <c r="AV409" s="20" t="n"/>
      <c r="AW409" s="20" t="inlineStr">
        <is>
          <t>None</t>
        </is>
      </c>
      <c r="AX409" s="17" t="n"/>
      <c r="AY409" s="16" t="n"/>
      <c r="AZ409" s="20" t="inlineStr">
        <is>
          <t>IC Anionen</t>
        </is>
      </c>
      <c r="BA409" s="20" t="inlineStr">
        <is>
          <t>None</t>
        </is>
      </c>
      <c r="BB409" s="17" t="n"/>
      <c r="BC409" s="16" t="n"/>
      <c r="BD409" s="20" t="inlineStr">
        <is>
          <t>IC Kationen</t>
        </is>
      </c>
      <c r="BE409" s="20" t="inlineStr">
        <is>
          <t>None</t>
        </is>
      </c>
      <c r="BF409" s="17" t="n"/>
      <c r="BG409" s="16" t="n"/>
      <c r="BH409" s="20" t="inlineStr">
        <is>
          <t>IC Kationen</t>
        </is>
      </c>
      <c r="BI409" s="20" t="inlineStr">
        <is>
          <t>None</t>
        </is>
      </c>
      <c r="BJ409" s="17" t="n"/>
      <c r="BK409" s="16" t="n"/>
      <c r="BL409" s="20" t="inlineStr">
        <is>
          <t>IC Kationen</t>
        </is>
      </c>
      <c r="BM409" s="20" t="inlineStr">
        <is>
          <t>None</t>
        </is>
      </c>
      <c r="BN409" s="17" t="n"/>
      <c r="BO409" s="16" t="n"/>
      <c r="BP409" s="20" t="inlineStr">
        <is>
          <t>IC Kationen</t>
        </is>
      </c>
      <c r="BQ409" s="20" t="inlineStr">
        <is>
          <t>None</t>
        </is>
      </c>
      <c r="BR409" s="17" t="n"/>
      <c r="BS409" s="16" t="n"/>
      <c r="BT409" s="20" t="inlineStr">
        <is>
          <t>IC Kationen</t>
        </is>
      </c>
      <c r="BU409" s="20" t="inlineStr">
        <is>
          <t>None</t>
        </is>
      </c>
      <c r="BV409" s="17" t="n"/>
      <c r="BW409" s="16" t="n"/>
      <c r="BX409" s="20" t="n"/>
      <c r="BY409" s="20" t="inlineStr">
        <is>
          <t>None</t>
        </is>
      </c>
      <c r="BZ409" s="17" t="n"/>
      <c r="CA409" s="16" t="n"/>
      <c r="CB409" s="20" t="n"/>
      <c r="CC409" s="20" t="inlineStr">
        <is>
          <t>None</t>
        </is>
      </c>
      <c r="CD409" s="17" t="n"/>
      <c r="CE409" s="16" t="n"/>
      <c r="CF409" s="20" t="n"/>
      <c r="CG409" s="20" t="inlineStr">
        <is>
          <t>None</t>
        </is>
      </c>
      <c r="CH409" s="17" t="n"/>
      <c r="CI409" s="16" t="n"/>
      <c r="CJ409" s="20" t="n"/>
      <c r="CK409" s="20" t="inlineStr">
        <is>
          <t>None</t>
        </is>
      </c>
      <c r="CL409" s="17" t="n"/>
      <c r="CM409" s="16" t="n"/>
      <c r="CN409" s="20" t="inlineStr">
        <is>
          <t>SOP 45-34</t>
        </is>
      </c>
      <c r="CO409" s="20" t="inlineStr">
        <is>
          <t>None</t>
        </is>
      </c>
      <c r="CP409" s="17" t="n"/>
      <c r="CQ409" s="16" t="n"/>
      <c r="CR409" s="20" t="n"/>
      <c r="CS409" s="20" t="inlineStr">
        <is>
          <t>None</t>
        </is>
      </c>
      <c r="CT409" s="17" t="n"/>
      <c r="CU409" s="16" t="n"/>
      <c r="CV409" s="20" t="n"/>
      <c r="CW409" s="20" t="inlineStr">
        <is>
          <t>None</t>
        </is>
      </c>
      <c r="CX409" s="17" t="n"/>
      <c r="CY409" s="16" t="n"/>
      <c r="CZ409" s="20" t="inlineStr">
        <is>
          <t>WTW Multimeter 3430 with FDO 925</t>
        </is>
      </c>
      <c r="DA409" s="20" t="inlineStr">
        <is>
          <t>None</t>
        </is>
      </c>
      <c r="DB409" s="17" t="n"/>
      <c r="DC409" s="16" t="n"/>
      <c r="DD409" s="20" t="n"/>
      <c r="DE409" s="20" t="inlineStr">
        <is>
          <t>None</t>
        </is>
      </c>
      <c r="DF409" s="17" t="n"/>
      <c r="DG409" s="16" t="n"/>
      <c r="DH409" s="20" t="inlineStr">
        <is>
          <t>SOP 45-09</t>
        </is>
      </c>
      <c r="DI409" s="20" t="inlineStr">
        <is>
          <t>None</t>
        </is>
      </c>
      <c r="DJ409" s="17" t="n"/>
      <c r="DK409" s="16" t="n"/>
      <c r="DL409" s="20" t="inlineStr">
        <is>
          <t>SOP 45-09 (SOP muss noch angepasst werden für VSS)</t>
        </is>
      </c>
      <c r="DM409" s="20" t="inlineStr">
        <is>
          <t>None</t>
        </is>
      </c>
      <c r="DN409" s="17" t="n"/>
      <c r="DO409" s="16" t="n"/>
      <c r="DP409" s="20" t="inlineStr">
        <is>
          <t>IC Organic Acids</t>
        </is>
      </c>
      <c r="DQ409" s="20" t="inlineStr">
        <is>
          <t>None</t>
        </is>
      </c>
      <c r="DR409" s="17" t="n"/>
      <c r="DS409" s="16" t="n"/>
      <c r="DT409" s="20" t="inlineStr">
        <is>
          <t>IC Organic Acids</t>
        </is>
      </c>
      <c r="DU409" s="20" t="inlineStr">
        <is>
          <t>None</t>
        </is>
      </c>
      <c r="DV409" s="17" t="n"/>
      <c r="DW409" s="16" t="n"/>
      <c r="DX409" s="20" t="inlineStr">
        <is>
          <t>IC Organic Acids</t>
        </is>
      </c>
      <c r="DY409" s="20" t="inlineStr">
        <is>
          <t>None</t>
        </is>
      </c>
      <c r="DZ409" s="17" t="n"/>
      <c r="EA409" s="16" t="n"/>
      <c r="EB409" s="20" t="inlineStr">
        <is>
          <t>IC Organic Acids</t>
        </is>
      </c>
      <c r="EC409" s="20" t="inlineStr">
        <is>
          <t>None</t>
        </is>
      </c>
      <c r="ED409" s="17" t="n"/>
      <c r="EE409" s="16" t="n"/>
      <c r="EF409" s="20" t="inlineStr">
        <is>
          <t>IC Organic Acids</t>
        </is>
      </c>
      <c r="EG409" s="20" t="inlineStr">
        <is>
          <t>None</t>
        </is>
      </c>
      <c r="EH409" s="17" t="n"/>
      <c r="EI409" s="16" t="n"/>
      <c r="EJ409" s="20" t="inlineStr">
        <is>
          <t>IC Organic Acids</t>
        </is>
      </c>
      <c r="EK409" s="20" t="inlineStr">
        <is>
          <t>None</t>
        </is>
      </c>
      <c r="EL409" s="17" t="n"/>
      <c r="EM409" s="16" t="n"/>
      <c r="EN409" s="20" t="inlineStr">
        <is>
          <t>IC Organic Acids</t>
        </is>
      </c>
      <c r="EO409" s="20" t="inlineStr">
        <is>
          <t>None</t>
        </is>
      </c>
      <c r="EP409" s="17" t="n"/>
      <c r="EQ409" s="16" t="n"/>
      <c r="ER409" s="20" t="inlineStr">
        <is>
          <t>IC Organic Acids</t>
        </is>
      </c>
      <c r="ES409" s="20" t="inlineStr">
        <is>
          <t>None</t>
        </is>
      </c>
      <c r="ET409" s="17" t="n"/>
      <c r="EU409" s="16" t="n"/>
      <c r="EV409" s="20" t="inlineStr">
        <is>
          <t>LC-MS</t>
        </is>
      </c>
      <c r="EW409" s="20" t="inlineStr">
        <is>
          <t>None</t>
        </is>
      </c>
      <c r="EX409" s="17" t="n"/>
      <c r="EY409" s="21" t="n"/>
      <c r="EZ409">
        <f>CONCATENATE(A409,B409)</f>
        <v/>
      </c>
      <c r="FA409">
        <f>CONCATENATE(SamplesX!A409,SamplesX!B409)</f>
        <v/>
      </c>
      <c r="FC409">
        <f>MATCH(EZ409,FA1:FA1008,0)</f>
        <v/>
      </c>
    </row>
    <row r="410">
      <c r="A410" s="16" t="inlineStr">
        <is>
          <t>BP</t>
        </is>
      </c>
      <c r="B410" s="17" t="inlineStr">
        <is>
          <t>25402</t>
        </is>
      </c>
      <c r="C410" s="10">
        <f>IF(ISNUMBER(FC410),INDIRECT("SamplesX!C"&amp;FC410),IF(ISNUMBER(FD410),INDIRECT("SamplesY!C"&amp;FD410),""))</f>
        <v/>
      </c>
      <c r="D410" s="12">
        <f>IF(ISNUMBER(FC410),INDIRECT("SamplesX!D"&amp;FC410),IF(ISNUMBER(FD410),INDIRECT("SamplesY!D"&amp;FD410),""))</f>
        <v/>
      </c>
      <c r="E410" s="12">
        <f>IF(ISNUMBER(FC410),INDIRECT("SamplesX!E"&amp;FC410),IF(ISNUMBER(FD410),INDIRECT("SamplesY!E"&amp;FD410),""))</f>
        <v/>
      </c>
      <c r="F410" s="11">
        <f>IF(ISNUMBER(FC410),INDIRECT("SamplesX!F"&amp;FC410),IF(ISNUMBER(FD410),INDIRECT("SamplesY!F"&amp;FD410),""))</f>
        <v/>
      </c>
      <c r="G410" s="18">
        <f>IF(ISNUMBER(FC410),INDIRECT("SamplesX!G"&amp;FC410),IF(ISNUMBER(FD410),INDIRECT("SamplesY!G"&amp;FD410),""))</f>
        <v/>
      </c>
      <c r="H410" s="19">
        <f>IF(ISNUMBER(FC410),INDIRECT("SamplesX!H"&amp;FC410),IF(ISNUMBER(FD410),INDIRECT("SamplesY!H"&amp;FD410),""))</f>
        <v/>
      </c>
      <c r="I410" s="16" t="n"/>
      <c r="J410" s="16" t="n"/>
      <c r="K410" s="16" t="n"/>
      <c r="L410" s="20" t="n"/>
      <c r="M410" s="20" t="inlineStr">
        <is>
          <t>None</t>
        </is>
      </c>
      <c r="N410" s="17" t="n"/>
      <c r="O410" s="16" t="n"/>
      <c r="P410" s="20" t="inlineStr">
        <is>
          <t>Shimadzu TOC-L</t>
        </is>
      </c>
      <c r="Q410" s="20" t="inlineStr">
        <is>
          <t>None</t>
        </is>
      </c>
      <c r="R410" s="17" t="n"/>
      <c r="S410" s="16" t="n"/>
      <c r="T410" s="20" t="inlineStr">
        <is>
          <t>Shimadzu TOC-L</t>
        </is>
      </c>
      <c r="U410" s="20" t="inlineStr">
        <is>
          <t>None</t>
        </is>
      </c>
      <c r="V410" s="17" t="n"/>
      <c r="W410" s="16" t="n"/>
      <c r="X410" s="20" t="n"/>
      <c r="Y410" s="20" t="inlineStr">
        <is>
          <t>None</t>
        </is>
      </c>
      <c r="Z410" s="17" t="n"/>
      <c r="AA410" s="16" t="n"/>
      <c r="AB410" s="20" t="n"/>
      <c r="AC410" s="20" t="inlineStr">
        <is>
          <t>None</t>
        </is>
      </c>
      <c r="AD410" s="17" t="n"/>
      <c r="AE410" s="16" t="n"/>
      <c r="AF410" s="20" t="inlineStr">
        <is>
          <t>IC Anionen</t>
        </is>
      </c>
      <c r="AG410" s="20" t="inlineStr">
        <is>
          <t>None</t>
        </is>
      </c>
      <c r="AH410" s="17" t="n"/>
      <c r="AI410" s="16" t="n"/>
      <c r="AJ410" s="20" t="n"/>
      <c r="AK410" s="20" t="inlineStr">
        <is>
          <t>None</t>
        </is>
      </c>
      <c r="AL410" s="17" t="n"/>
      <c r="AM410" s="16" t="n"/>
      <c r="AN410" s="20" t="inlineStr">
        <is>
          <t>IC Anionen</t>
        </is>
      </c>
      <c r="AO410" s="20" t="inlineStr">
        <is>
          <t>None</t>
        </is>
      </c>
      <c r="AP410" s="17" t="n"/>
      <c r="AQ410" s="16" t="n"/>
      <c r="AR410" s="20" t="n"/>
      <c r="AS410" s="20" t="inlineStr">
        <is>
          <t>None</t>
        </is>
      </c>
      <c r="AT410" s="17" t="n"/>
      <c r="AU410" s="16" t="n"/>
      <c r="AV410" s="20" t="n"/>
      <c r="AW410" s="20" t="inlineStr">
        <is>
          <t>None</t>
        </is>
      </c>
      <c r="AX410" s="17" t="n"/>
      <c r="AY410" s="16" t="n"/>
      <c r="AZ410" s="20" t="inlineStr">
        <is>
          <t>IC Anionen</t>
        </is>
      </c>
      <c r="BA410" s="20" t="inlineStr">
        <is>
          <t>None</t>
        </is>
      </c>
      <c r="BB410" s="17" t="n"/>
      <c r="BC410" s="16" t="n"/>
      <c r="BD410" s="20" t="inlineStr">
        <is>
          <t>IC Kationen</t>
        </is>
      </c>
      <c r="BE410" s="20" t="inlineStr">
        <is>
          <t>None</t>
        </is>
      </c>
      <c r="BF410" s="17" t="n"/>
      <c r="BG410" s="16" t="n"/>
      <c r="BH410" s="20" t="inlineStr">
        <is>
          <t>IC Kationen</t>
        </is>
      </c>
      <c r="BI410" s="20" t="inlineStr">
        <is>
          <t>None</t>
        </is>
      </c>
      <c r="BJ410" s="17" t="n"/>
      <c r="BK410" s="16" t="n"/>
      <c r="BL410" s="20" t="inlineStr">
        <is>
          <t>IC Kationen</t>
        </is>
      </c>
      <c r="BM410" s="20" t="inlineStr">
        <is>
          <t>None</t>
        </is>
      </c>
      <c r="BN410" s="17" t="n"/>
      <c r="BO410" s="16" t="n"/>
      <c r="BP410" s="20" t="inlineStr">
        <is>
          <t>IC Kationen</t>
        </is>
      </c>
      <c r="BQ410" s="20" t="inlineStr">
        <is>
          <t>None</t>
        </is>
      </c>
      <c r="BR410" s="17" t="n"/>
      <c r="BS410" s="16" t="n"/>
      <c r="BT410" s="20" t="inlineStr">
        <is>
          <t>IC Kationen</t>
        </is>
      </c>
      <c r="BU410" s="20" t="inlineStr">
        <is>
          <t>None</t>
        </is>
      </c>
      <c r="BV410" s="17" t="n"/>
      <c r="BW410" s="16" t="n"/>
      <c r="BX410" s="20" t="n"/>
      <c r="BY410" s="20" t="inlineStr">
        <is>
          <t>None</t>
        </is>
      </c>
      <c r="BZ410" s="17" t="n"/>
      <c r="CA410" s="16" t="n"/>
      <c r="CB410" s="20" t="n"/>
      <c r="CC410" s="20" t="inlineStr">
        <is>
          <t>None</t>
        </is>
      </c>
      <c r="CD410" s="17" t="n"/>
      <c r="CE410" s="16" t="n"/>
      <c r="CF410" s="20" t="n"/>
      <c r="CG410" s="20" t="inlineStr">
        <is>
          <t>None</t>
        </is>
      </c>
      <c r="CH410" s="17" t="n"/>
      <c r="CI410" s="16" t="n"/>
      <c r="CJ410" s="20" t="n"/>
      <c r="CK410" s="20" t="inlineStr">
        <is>
          <t>None</t>
        </is>
      </c>
      <c r="CL410" s="17" t="n"/>
      <c r="CM410" s="16" t="n"/>
      <c r="CN410" s="20" t="inlineStr">
        <is>
          <t>SOP 45-34</t>
        </is>
      </c>
      <c r="CO410" s="20" t="inlineStr">
        <is>
          <t>None</t>
        </is>
      </c>
      <c r="CP410" s="17" t="n"/>
      <c r="CQ410" s="16" t="n"/>
      <c r="CR410" s="20" t="n"/>
      <c r="CS410" s="20" t="inlineStr">
        <is>
          <t>None</t>
        </is>
      </c>
      <c r="CT410" s="17" t="n"/>
      <c r="CU410" s="16" t="n"/>
      <c r="CV410" s="20" t="n"/>
      <c r="CW410" s="20" t="inlineStr">
        <is>
          <t>None</t>
        </is>
      </c>
      <c r="CX410" s="17" t="n"/>
      <c r="CY410" s="16" t="n"/>
      <c r="CZ410" s="20" t="inlineStr">
        <is>
          <t>WTW Multimeter 3430 with FDO 925</t>
        </is>
      </c>
      <c r="DA410" s="20" t="inlineStr">
        <is>
          <t>None</t>
        </is>
      </c>
      <c r="DB410" s="17" t="n"/>
      <c r="DC410" s="16" t="n"/>
      <c r="DD410" s="20" t="n"/>
      <c r="DE410" s="20" t="inlineStr">
        <is>
          <t>None</t>
        </is>
      </c>
      <c r="DF410" s="17" t="n"/>
      <c r="DG410" s="16" t="n"/>
      <c r="DH410" s="20" t="inlineStr">
        <is>
          <t>SOP 45-09</t>
        </is>
      </c>
      <c r="DI410" s="20" t="inlineStr">
        <is>
          <t>None</t>
        </is>
      </c>
      <c r="DJ410" s="17" t="n"/>
      <c r="DK410" s="16" t="n"/>
      <c r="DL410" s="20" t="inlineStr">
        <is>
          <t>SOP 45-09 (SOP muss noch angepasst werden für VSS)</t>
        </is>
      </c>
      <c r="DM410" s="20" t="inlineStr">
        <is>
          <t>None</t>
        </is>
      </c>
      <c r="DN410" s="17" t="n"/>
      <c r="DO410" s="16" t="n"/>
      <c r="DP410" s="20" t="inlineStr">
        <is>
          <t>IC Organic Acids</t>
        </is>
      </c>
      <c r="DQ410" s="20" t="inlineStr">
        <is>
          <t>None</t>
        </is>
      </c>
      <c r="DR410" s="17" t="n"/>
      <c r="DS410" s="16" t="n"/>
      <c r="DT410" s="20" t="inlineStr">
        <is>
          <t>IC Organic Acids</t>
        </is>
      </c>
      <c r="DU410" s="20" t="inlineStr">
        <is>
          <t>None</t>
        </is>
      </c>
      <c r="DV410" s="17" t="n"/>
      <c r="DW410" s="16" t="n"/>
      <c r="DX410" s="20" t="inlineStr">
        <is>
          <t>IC Organic Acids</t>
        </is>
      </c>
      <c r="DY410" s="20" t="inlineStr">
        <is>
          <t>None</t>
        </is>
      </c>
      <c r="DZ410" s="17" t="n"/>
      <c r="EA410" s="16" t="n"/>
      <c r="EB410" s="20" t="inlineStr">
        <is>
          <t>IC Organic Acids</t>
        </is>
      </c>
      <c r="EC410" s="20" t="inlineStr">
        <is>
          <t>None</t>
        </is>
      </c>
      <c r="ED410" s="17" t="n"/>
      <c r="EE410" s="16" t="n"/>
      <c r="EF410" s="20" t="inlineStr">
        <is>
          <t>IC Organic Acids</t>
        </is>
      </c>
      <c r="EG410" s="20" t="inlineStr">
        <is>
          <t>None</t>
        </is>
      </c>
      <c r="EH410" s="17" t="n"/>
      <c r="EI410" s="16" t="n"/>
      <c r="EJ410" s="20" t="inlineStr">
        <is>
          <t>IC Organic Acids</t>
        </is>
      </c>
      <c r="EK410" s="20" t="inlineStr">
        <is>
          <t>None</t>
        </is>
      </c>
      <c r="EL410" s="17" t="n"/>
      <c r="EM410" s="16" t="n"/>
      <c r="EN410" s="20" t="inlineStr">
        <is>
          <t>IC Organic Acids</t>
        </is>
      </c>
      <c r="EO410" s="20" t="inlineStr">
        <is>
          <t>None</t>
        </is>
      </c>
      <c r="EP410" s="17" t="n"/>
      <c r="EQ410" s="16" t="n"/>
      <c r="ER410" s="20" t="inlineStr">
        <is>
          <t>IC Organic Acids</t>
        </is>
      </c>
      <c r="ES410" s="20" t="inlineStr">
        <is>
          <t>None</t>
        </is>
      </c>
      <c r="ET410" s="17" t="n"/>
      <c r="EU410" s="16" t="n"/>
      <c r="EV410" s="20" t="inlineStr">
        <is>
          <t>LC-MS</t>
        </is>
      </c>
      <c r="EW410" s="20" t="inlineStr">
        <is>
          <t>None</t>
        </is>
      </c>
      <c r="EX410" s="17" t="n"/>
      <c r="EY410" s="21" t="n"/>
      <c r="EZ410">
        <f>CONCATENATE(A410,B410)</f>
        <v/>
      </c>
      <c r="FA410">
        <f>CONCATENATE(SamplesX!A410,SamplesX!B410)</f>
        <v/>
      </c>
      <c r="FC410">
        <f>MATCH(EZ410,FA1:FA1008,0)</f>
        <v/>
      </c>
    </row>
    <row r="411">
      <c r="A411" s="16" t="inlineStr">
        <is>
          <t>BP</t>
        </is>
      </c>
      <c r="B411" s="17" t="inlineStr">
        <is>
          <t>25403</t>
        </is>
      </c>
      <c r="C411" s="10">
        <f>IF(ISNUMBER(FC411),INDIRECT("SamplesX!C"&amp;FC411),IF(ISNUMBER(FD411),INDIRECT("SamplesY!C"&amp;FD411),""))</f>
        <v/>
      </c>
      <c r="D411" s="12">
        <f>IF(ISNUMBER(FC411),INDIRECT("SamplesX!D"&amp;FC411),IF(ISNUMBER(FD411),INDIRECT("SamplesY!D"&amp;FD411),""))</f>
        <v/>
      </c>
      <c r="E411" s="12">
        <f>IF(ISNUMBER(FC411),INDIRECT("SamplesX!E"&amp;FC411),IF(ISNUMBER(FD411),INDIRECT("SamplesY!E"&amp;FD411),""))</f>
        <v/>
      </c>
      <c r="F411" s="11">
        <f>IF(ISNUMBER(FC411),INDIRECT("SamplesX!F"&amp;FC411),IF(ISNUMBER(FD411),INDIRECT("SamplesY!F"&amp;FD411),""))</f>
        <v/>
      </c>
      <c r="G411" s="18">
        <f>IF(ISNUMBER(FC411),INDIRECT("SamplesX!G"&amp;FC411),IF(ISNUMBER(FD411),INDIRECT("SamplesY!G"&amp;FD411),""))</f>
        <v/>
      </c>
      <c r="H411" s="19">
        <f>IF(ISNUMBER(FC411),INDIRECT("SamplesX!H"&amp;FC411),IF(ISNUMBER(FD411),INDIRECT("SamplesY!H"&amp;FD411),""))</f>
        <v/>
      </c>
      <c r="I411" s="16" t="n"/>
      <c r="J411" s="16" t="n"/>
      <c r="K411" s="16" t="n"/>
      <c r="L411" s="20" t="n"/>
      <c r="M411" s="20" t="inlineStr">
        <is>
          <t>None</t>
        </is>
      </c>
      <c r="N411" s="17" t="n"/>
      <c r="O411" s="16" t="n"/>
      <c r="P411" s="20" t="inlineStr">
        <is>
          <t>Shimadzu TOC-L</t>
        </is>
      </c>
      <c r="Q411" s="20" t="inlineStr">
        <is>
          <t>None</t>
        </is>
      </c>
      <c r="R411" s="17" t="n"/>
      <c r="S411" s="16" t="n"/>
      <c r="T411" s="20" t="inlineStr">
        <is>
          <t>Shimadzu TOC-L</t>
        </is>
      </c>
      <c r="U411" s="20" t="inlineStr">
        <is>
          <t>None</t>
        </is>
      </c>
      <c r="V411" s="17" t="n"/>
      <c r="W411" s="16" t="n"/>
      <c r="X411" s="20" t="n"/>
      <c r="Y411" s="20" t="inlineStr">
        <is>
          <t>None</t>
        </is>
      </c>
      <c r="Z411" s="17" t="n"/>
      <c r="AA411" s="16" t="n"/>
      <c r="AB411" s="20" t="n"/>
      <c r="AC411" s="20" t="inlineStr">
        <is>
          <t>None</t>
        </is>
      </c>
      <c r="AD411" s="17" t="n"/>
      <c r="AE411" s="16" t="n"/>
      <c r="AF411" s="20" t="inlineStr">
        <is>
          <t>IC Anionen</t>
        </is>
      </c>
      <c r="AG411" s="20" t="inlineStr">
        <is>
          <t>None</t>
        </is>
      </c>
      <c r="AH411" s="17" t="n"/>
      <c r="AI411" s="16" t="n"/>
      <c r="AJ411" s="20" t="n"/>
      <c r="AK411" s="20" t="inlineStr">
        <is>
          <t>None</t>
        </is>
      </c>
      <c r="AL411" s="17" t="n"/>
      <c r="AM411" s="16" t="n"/>
      <c r="AN411" s="20" t="inlineStr">
        <is>
          <t>IC Anionen</t>
        </is>
      </c>
      <c r="AO411" s="20" t="inlineStr">
        <is>
          <t>None</t>
        </is>
      </c>
      <c r="AP411" s="17" t="n"/>
      <c r="AQ411" s="16" t="n"/>
      <c r="AR411" s="20" t="n"/>
      <c r="AS411" s="20" t="inlineStr">
        <is>
          <t>None</t>
        </is>
      </c>
      <c r="AT411" s="17" t="n"/>
      <c r="AU411" s="16" t="n"/>
      <c r="AV411" s="20" t="n"/>
      <c r="AW411" s="20" t="inlineStr">
        <is>
          <t>None</t>
        </is>
      </c>
      <c r="AX411" s="17" t="n"/>
      <c r="AY411" s="16" t="n"/>
      <c r="AZ411" s="20" t="inlineStr">
        <is>
          <t>IC Anionen</t>
        </is>
      </c>
      <c r="BA411" s="20" t="inlineStr">
        <is>
          <t>None</t>
        </is>
      </c>
      <c r="BB411" s="17" t="n"/>
      <c r="BC411" s="16" t="n"/>
      <c r="BD411" s="20" t="inlineStr">
        <is>
          <t>IC Kationen</t>
        </is>
      </c>
      <c r="BE411" s="20" t="inlineStr">
        <is>
          <t>None</t>
        </is>
      </c>
      <c r="BF411" s="17" t="n"/>
      <c r="BG411" s="16" t="n"/>
      <c r="BH411" s="20" t="inlineStr">
        <is>
          <t>IC Kationen</t>
        </is>
      </c>
      <c r="BI411" s="20" t="inlineStr">
        <is>
          <t>None</t>
        </is>
      </c>
      <c r="BJ411" s="17" t="n"/>
      <c r="BK411" s="16" t="n"/>
      <c r="BL411" s="20" t="inlineStr">
        <is>
          <t>IC Kationen</t>
        </is>
      </c>
      <c r="BM411" s="20" t="inlineStr">
        <is>
          <t>None</t>
        </is>
      </c>
      <c r="BN411" s="17" t="n"/>
      <c r="BO411" s="16" t="n"/>
      <c r="BP411" s="20" t="inlineStr">
        <is>
          <t>IC Kationen</t>
        </is>
      </c>
      <c r="BQ411" s="20" t="inlineStr">
        <is>
          <t>None</t>
        </is>
      </c>
      <c r="BR411" s="17" t="n"/>
      <c r="BS411" s="16" t="n"/>
      <c r="BT411" s="20" t="inlineStr">
        <is>
          <t>IC Kationen</t>
        </is>
      </c>
      <c r="BU411" s="20" t="inlineStr">
        <is>
          <t>None</t>
        </is>
      </c>
      <c r="BV411" s="17" t="n"/>
      <c r="BW411" s="16" t="n"/>
      <c r="BX411" s="20" t="n"/>
      <c r="BY411" s="20" t="inlineStr">
        <is>
          <t>None</t>
        </is>
      </c>
      <c r="BZ411" s="17" t="n"/>
      <c r="CA411" s="16" t="n"/>
      <c r="CB411" s="20" t="n"/>
      <c r="CC411" s="20" t="inlineStr">
        <is>
          <t>None</t>
        </is>
      </c>
      <c r="CD411" s="17" t="n"/>
      <c r="CE411" s="16" t="n"/>
      <c r="CF411" s="20" t="n"/>
      <c r="CG411" s="20" t="inlineStr">
        <is>
          <t>None</t>
        </is>
      </c>
      <c r="CH411" s="17" t="n"/>
      <c r="CI411" s="16" t="n"/>
      <c r="CJ411" s="20" t="n"/>
      <c r="CK411" s="20" t="inlineStr">
        <is>
          <t>None</t>
        </is>
      </c>
      <c r="CL411" s="17" t="n"/>
      <c r="CM411" s="16" t="n"/>
      <c r="CN411" s="20" t="inlineStr">
        <is>
          <t>SOP 45-34</t>
        </is>
      </c>
      <c r="CO411" s="20" t="inlineStr">
        <is>
          <t>None</t>
        </is>
      </c>
      <c r="CP411" s="17" t="n"/>
      <c r="CQ411" s="16" t="n"/>
      <c r="CR411" s="20" t="n"/>
      <c r="CS411" s="20" t="inlineStr">
        <is>
          <t>None</t>
        </is>
      </c>
      <c r="CT411" s="17" t="n"/>
      <c r="CU411" s="16" t="n"/>
      <c r="CV411" s="20" t="n"/>
      <c r="CW411" s="20" t="inlineStr">
        <is>
          <t>None</t>
        </is>
      </c>
      <c r="CX411" s="17" t="n"/>
      <c r="CY411" s="16" t="n"/>
      <c r="CZ411" s="20" t="inlineStr">
        <is>
          <t>WTW Multimeter 3430 with FDO 925</t>
        </is>
      </c>
      <c r="DA411" s="20" t="inlineStr">
        <is>
          <t>None</t>
        </is>
      </c>
      <c r="DB411" s="17" t="n"/>
      <c r="DC411" s="16" t="n"/>
      <c r="DD411" s="20" t="n"/>
      <c r="DE411" s="20" t="inlineStr">
        <is>
          <t>None</t>
        </is>
      </c>
      <c r="DF411" s="17" t="n"/>
      <c r="DG411" s="16" t="n"/>
      <c r="DH411" s="20" t="inlineStr">
        <is>
          <t>SOP 45-09</t>
        </is>
      </c>
      <c r="DI411" s="20" t="inlineStr">
        <is>
          <t>None</t>
        </is>
      </c>
      <c r="DJ411" s="17" t="n"/>
      <c r="DK411" s="16" t="n"/>
      <c r="DL411" s="20" t="inlineStr">
        <is>
          <t>SOP 45-09 (SOP muss noch angepasst werden für VSS)</t>
        </is>
      </c>
      <c r="DM411" s="20" t="inlineStr">
        <is>
          <t>None</t>
        </is>
      </c>
      <c r="DN411" s="17" t="n"/>
      <c r="DO411" s="16" t="n"/>
      <c r="DP411" s="20" t="inlineStr">
        <is>
          <t>IC Organic Acids</t>
        </is>
      </c>
      <c r="DQ411" s="20" t="inlineStr">
        <is>
          <t>None</t>
        </is>
      </c>
      <c r="DR411" s="17" t="n"/>
      <c r="DS411" s="16" t="n"/>
      <c r="DT411" s="20" t="inlineStr">
        <is>
          <t>IC Organic Acids</t>
        </is>
      </c>
      <c r="DU411" s="20" t="inlineStr">
        <is>
          <t>None</t>
        </is>
      </c>
      <c r="DV411" s="17" t="n"/>
      <c r="DW411" s="16" t="n"/>
      <c r="DX411" s="20" t="inlineStr">
        <is>
          <t>IC Organic Acids</t>
        </is>
      </c>
      <c r="DY411" s="20" t="inlineStr">
        <is>
          <t>None</t>
        </is>
      </c>
      <c r="DZ411" s="17" t="n"/>
      <c r="EA411" s="16" t="n"/>
      <c r="EB411" s="20" t="inlineStr">
        <is>
          <t>IC Organic Acids</t>
        </is>
      </c>
      <c r="EC411" s="20" t="inlineStr">
        <is>
          <t>None</t>
        </is>
      </c>
      <c r="ED411" s="17" t="n"/>
      <c r="EE411" s="16" t="n"/>
      <c r="EF411" s="20" t="inlineStr">
        <is>
          <t>IC Organic Acids</t>
        </is>
      </c>
      <c r="EG411" s="20" t="inlineStr">
        <is>
          <t>None</t>
        </is>
      </c>
      <c r="EH411" s="17" t="n"/>
      <c r="EI411" s="16" t="n"/>
      <c r="EJ411" s="20" t="inlineStr">
        <is>
          <t>IC Organic Acids</t>
        </is>
      </c>
      <c r="EK411" s="20" t="inlineStr">
        <is>
          <t>None</t>
        </is>
      </c>
      <c r="EL411" s="17" t="n"/>
      <c r="EM411" s="16" t="n"/>
      <c r="EN411" s="20" t="inlineStr">
        <is>
          <t>IC Organic Acids</t>
        </is>
      </c>
      <c r="EO411" s="20" t="inlineStr">
        <is>
          <t>None</t>
        </is>
      </c>
      <c r="EP411" s="17" t="n"/>
      <c r="EQ411" s="16" t="n"/>
      <c r="ER411" s="20" t="inlineStr">
        <is>
          <t>IC Organic Acids</t>
        </is>
      </c>
      <c r="ES411" s="20" t="inlineStr">
        <is>
          <t>None</t>
        </is>
      </c>
      <c r="ET411" s="17" t="n"/>
      <c r="EU411" s="16" t="n"/>
      <c r="EV411" s="20" t="inlineStr">
        <is>
          <t>LC-MS</t>
        </is>
      </c>
      <c r="EW411" s="20" t="inlineStr">
        <is>
          <t>None</t>
        </is>
      </c>
      <c r="EX411" s="17" t="n"/>
      <c r="EY411" s="21" t="n"/>
      <c r="EZ411">
        <f>CONCATENATE(A411,B411)</f>
        <v/>
      </c>
      <c r="FA411">
        <f>CONCATENATE(SamplesX!A411,SamplesX!B411)</f>
        <v/>
      </c>
      <c r="FC411">
        <f>MATCH(EZ411,FA1:FA1008,0)</f>
        <v/>
      </c>
    </row>
    <row r="412">
      <c r="A412" s="16" t="inlineStr">
        <is>
          <t>BP</t>
        </is>
      </c>
      <c r="B412" s="17" t="inlineStr">
        <is>
          <t>25404</t>
        </is>
      </c>
      <c r="C412" s="10">
        <f>IF(ISNUMBER(FC412),INDIRECT("SamplesX!C"&amp;FC412),IF(ISNUMBER(FD412),INDIRECT("SamplesY!C"&amp;FD412),""))</f>
        <v/>
      </c>
      <c r="D412" s="12">
        <f>IF(ISNUMBER(FC412),INDIRECT("SamplesX!D"&amp;FC412),IF(ISNUMBER(FD412),INDIRECT("SamplesY!D"&amp;FD412),""))</f>
        <v/>
      </c>
      <c r="E412" s="12">
        <f>IF(ISNUMBER(FC412),INDIRECT("SamplesX!E"&amp;FC412),IF(ISNUMBER(FD412),INDIRECT("SamplesY!E"&amp;FD412),""))</f>
        <v/>
      </c>
      <c r="F412" s="11">
        <f>IF(ISNUMBER(FC412),INDIRECT("SamplesX!F"&amp;FC412),IF(ISNUMBER(FD412),INDIRECT("SamplesY!F"&amp;FD412),""))</f>
        <v/>
      </c>
      <c r="G412" s="18">
        <f>IF(ISNUMBER(FC412),INDIRECT("SamplesX!G"&amp;FC412),IF(ISNUMBER(FD412),INDIRECT("SamplesY!G"&amp;FD412),""))</f>
        <v/>
      </c>
      <c r="H412" s="19">
        <f>IF(ISNUMBER(FC412),INDIRECT("SamplesX!H"&amp;FC412),IF(ISNUMBER(FD412),INDIRECT("SamplesY!H"&amp;FD412),""))</f>
        <v/>
      </c>
      <c r="I412" s="16" t="n"/>
      <c r="J412" s="16" t="n"/>
      <c r="K412" s="16" t="n"/>
      <c r="L412" s="20" t="n"/>
      <c r="M412" s="20" t="inlineStr">
        <is>
          <t>None</t>
        </is>
      </c>
      <c r="N412" s="17" t="n"/>
      <c r="O412" s="16" t="n"/>
      <c r="P412" s="20" t="inlineStr">
        <is>
          <t>Shimadzu TOC-L</t>
        </is>
      </c>
      <c r="Q412" s="20" t="inlineStr">
        <is>
          <t>None</t>
        </is>
      </c>
      <c r="R412" s="17" t="n"/>
      <c r="S412" s="16" t="n"/>
      <c r="T412" s="20" t="inlineStr">
        <is>
          <t>Shimadzu TOC-L</t>
        </is>
      </c>
      <c r="U412" s="20" t="inlineStr">
        <is>
          <t>None</t>
        </is>
      </c>
      <c r="V412" s="17" t="n"/>
      <c r="W412" s="16" t="n"/>
      <c r="X412" s="20" t="n"/>
      <c r="Y412" s="20" t="inlineStr">
        <is>
          <t>None</t>
        </is>
      </c>
      <c r="Z412" s="17" t="n"/>
      <c r="AA412" s="16" t="n"/>
      <c r="AB412" s="20" t="n"/>
      <c r="AC412" s="20" t="inlineStr">
        <is>
          <t>None</t>
        </is>
      </c>
      <c r="AD412" s="17" t="n"/>
      <c r="AE412" s="16" t="n"/>
      <c r="AF412" s="20" t="inlineStr">
        <is>
          <t>IC Anionen</t>
        </is>
      </c>
      <c r="AG412" s="20" t="inlineStr">
        <is>
          <t>None</t>
        </is>
      </c>
      <c r="AH412" s="17" t="n"/>
      <c r="AI412" s="16" t="n"/>
      <c r="AJ412" s="20" t="n"/>
      <c r="AK412" s="20" t="inlineStr">
        <is>
          <t>None</t>
        </is>
      </c>
      <c r="AL412" s="17" t="n"/>
      <c r="AM412" s="16" t="n"/>
      <c r="AN412" s="20" t="inlineStr">
        <is>
          <t>IC Anionen</t>
        </is>
      </c>
      <c r="AO412" s="20" t="inlineStr">
        <is>
          <t>None</t>
        </is>
      </c>
      <c r="AP412" s="17" t="n"/>
      <c r="AQ412" s="16" t="n"/>
      <c r="AR412" s="20" t="n"/>
      <c r="AS412" s="20" t="inlineStr">
        <is>
          <t>None</t>
        </is>
      </c>
      <c r="AT412" s="17" t="n"/>
      <c r="AU412" s="16" t="n"/>
      <c r="AV412" s="20" t="n"/>
      <c r="AW412" s="20" t="inlineStr">
        <is>
          <t>None</t>
        </is>
      </c>
      <c r="AX412" s="17" t="n"/>
      <c r="AY412" s="16" t="n"/>
      <c r="AZ412" s="20" t="inlineStr">
        <is>
          <t>IC Anionen</t>
        </is>
      </c>
      <c r="BA412" s="20" t="inlineStr">
        <is>
          <t>None</t>
        </is>
      </c>
      <c r="BB412" s="17" t="n"/>
      <c r="BC412" s="16" t="n"/>
      <c r="BD412" s="20" t="inlineStr">
        <is>
          <t>IC Kationen</t>
        </is>
      </c>
      <c r="BE412" s="20" t="inlineStr">
        <is>
          <t>None</t>
        </is>
      </c>
      <c r="BF412" s="17" t="n"/>
      <c r="BG412" s="16" t="n"/>
      <c r="BH412" s="20" t="inlineStr">
        <is>
          <t>IC Kationen</t>
        </is>
      </c>
      <c r="BI412" s="20" t="inlineStr">
        <is>
          <t>None</t>
        </is>
      </c>
      <c r="BJ412" s="17" t="n"/>
      <c r="BK412" s="16" t="n"/>
      <c r="BL412" s="20" t="inlineStr">
        <is>
          <t>IC Kationen</t>
        </is>
      </c>
      <c r="BM412" s="20" t="inlineStr">
        <is>
          <t>None</t>
        </is>
      </c>
      <c r="BN412" s="17" t="n"/>
      <c r="BO412" s="16" t="n"/>
      <c r="BP412" s="20" t="inlineStr">
        <is>
          <t>IC Kationen</t>
        </is>
      </c>
      <c r="BQ412" s="20" t="inlineStr">
        <is>
          <t>None</t>
        </is>
      </c>
      <c r="BR412" s="17" t="n"/>
      <c r="BS412" s="16" t="n"/>
      <c r="BT412" s="20" t="inlineStr">
        <is>
          <t>IC Kationen</t>
        </is>
      </c>
      <c r="BU412" s="20" t="inlineStr">
        <is>
          <t>None</t>
        </is>
      </c>
      <c r="BV412" s="17" t="n"/>
      <c r="BW412" s="16" t="n"/>
      <c r="BX412" s="20" t="n"/>
      <c r="BY412" s="20" t="inlineStr">
        <is>
          <t>None</t>
        </is>
      </c>
      <c r="BZ412" s="17" t="n"/>
      <c r="CA412" s="16" t="n"/>
      <c r="CB412" s="20" t="n"/>
      <c r="CC412" s="20" t="inlineStr">
        <is>
          <t>None</t>
        </is>
      </c>
      <c r="CD412" s="17" t="n"/>
      <c r="CE412" s="16" t="n"/>
      <c r="CF412" s="20" t="n"/>
      <c r="CG412" s="20" t="inlineStr">
        <is>
          <t>None</t>
        </is>
      </c>
      <c r="CH412" s="17" t="n"/>
      <c r="CI412" s="16" t="n"/>
      <c r="CJ412" s="20" t="n"/>
      <c r="CK412" s="20" t="inlineStr">
        <is>
          <t>None</t>
        </is>
      </c>
      <c r="CL412" s="17" t="n"/>
      <c r="CM412" s="16" t="n"/>
      <c r="CN412" s="20" t="inlineStr">
        <is>
          <t>SOP 45-34</t>
        </is>
      </c>
      <c r="CO412" s="20" t="inlineStr">
        <is>
          <t>None</t>
        </is>
      </c>
      <c r="CP412" s="17" t="n"/>
      <c r="CQ412" s="16" t="n"/>
      <c r="CR412" s="20" t="n"/>
      <c r="CS412" s="20" t="inlineStr">
        <is>
          <t>None</t>
        </is>
      </c>
      <c r="CT412" s="17" t="n"/>
      <c r="CU412" s="16" t="n"/>
      <c r="CV412" s="20" t="n"/>
      <c r="CW412" s="20" t="inlineStr">
        <is>
          <t>None</t>
        </is>
      </c>
      <c r="CX412" s="17" t="n"/>
      <c r="CY412" s="16" t="n"/>
      <c r="CZ412" s="20" t="inlineStr">
        <is>
          <t>WTW Multimeter 3430 with FDO 925</t>
        </is>
      </c>
      <c r="DA412" s="20" t="inlineStr">
        <is>
          <t>None</t>
        </is>
      </c>
      <c r="DB412" s="17" t="n"/>
      <c r="DC412" s="16" t="n"/>
      <c r="DD412" s="20" t="n"/>
      <c r="DE412" s="20" t="inlineStr">
        <is>
          <t>None</t>
        </is>
      </c>
      <c r="DF412" s="17" t="n"/>
      <c r="DG412" s="16" t="n"/>
      <c r="DH412" s="20" t="inlineStr">
        <is>
          <t>SOP 45-09</t>
        </is>
      </c>
      <c r="DI412" s="20" t="inlineStr">
        <is>
          <t>None</t>
        </is>
      </c>
      <c r="DJ412" s="17" t="n"/>
      <c r="DK412" s="16" t="n"/>
      <c r="DL412" s="20" t="inlineStr">
        <is>
          <t>SOP 45-09 (SOP muss noch angepasst werden für VSS)</t>
        </is>
      </c>
      <c r="DM412" s="20" t="inlineStr">
        <is>
          <t>None</t>
        </is>
      </c>
      <c r="DN412" s="17" t="n"/>
      <c r="DO412" s="16" t="n"/>
      <c r="DP412" s="20" t="inlineStr">
        <is>
          <t>IC Organic Acids</t>
        </is>
      </c>
      <c r="DQ412" s="20" t="inlineStr">
        <is>
          <t>None</t>
        </is>
      </c>
      <c r="DR412" s="17" t="n"/>
      <c r="DS412" s="16" t="n"/>
      <c r="DT412" s="20" t="inlineStr">
        <is>
          <t>IC Organic Acids</t>
        </is>
      </c>
      <c r="DU412" s="20" t="inlineStr">
        <is>
          <t>None</t>
        </is>
      </c>
      <c r="DV412" s="17" t="n"/>
      <c r="DW412" s="16" t="n"/>
      <c r="DX412" s="20" t="inlineStr">
        <is>
          <t>IC Organic Acids</t>
        </is>
      </c>
      <c r="DY412" s="20" t="inlineStr">
        <is>
          <t>None</t>
        </is>
      </c>
      <c r="DZ412" s="17" t="n"/>
      <c r="EA412" s="16" t="n"/>
      <c r="EB412" s="20" t="inlineStr">
        <is>
          <t>IC Organic Acids</t>
        </is>
      </c>
      <c r="EC412" s="20" t="inlineStr">
        <is>
          <t>None</t>
        </is>
      </c>
      <c r="ED412" s="17" t="n"/>
      <c r="EE412" s="16" t="n"/>
      <c r="EF412" s="20" t="inlineStr">
        <is>
          <t>IC Organic Acids</t>
        </is>
      </c>
      <c r="EG412" s="20" t="inlineStr">
        <is>
          <t>None</t>
        </is>
      </c>
      <c r="EH412" s="17" t="n"/>
      <c r="EI412" s="16" t="n"/>
      <c r="EJ412" s="20" t="inlineStr">
        <is>
          <t>IC Organic Acids</t>
        </is>
      </c>
      <c r="EK412" s="20" t="inlineStr">
        <is>
          <t>None</t>
        </is>
      </c>
      <c r="EL412" s="17" t="n"/>
      <c r="EM412" s="16" t="n"/>
      <c r="EN412" s="20" t="inlineStr">
        <is>
          <t>IC Organic Acids</t>
        </is>
      </c>
      <c r="EO412" s="20" t="inlineStr">
        <is>
          <t>None</t>
        </is>
      </c>
      <c r="EP412" s="17" t="n"/>
      <c r="EQ412" s="16" t="n"/>
      <c r="ER412" s="20" t="inlineStr">
        <is>
          <t>IC Organic Acids</t>
        </is>
      </c>
      <c r="ES412" s="20" t="inlineStr">
        <is>
          <t>None</t>
        </is>
      </c>
      <c r="ET412" s="17" t="n"/>
      <c r="EU412" s="16" t="n"/>
      <c r="EV412" s="20" t="inlineStr">
        <is>
          <t>LC-MS</t>
        </is>
      </c>
      <c r="EW412" s="20" t="inlineStr">
        <is>
          <t>None</t>
        </is>
      </c>
      <c r="EX412" s="17" t="n"/>
      <c r="EY412" s="21" t="n"/>
      <c r="EZ412">
        <f>CONCATENATE(A412,B412)</f>
        <v/>
      </c>
      <c r="FA412">
        <f>CONCATENATE(SamplesX!A412,SamplesX!B412)</f>
        <v/>
      </c>
      <c r="FC412">
        <f>MATCH(EZ412,FA1:FA1008,0)</f>
        <v/>
      </c>
    </row>
    <row r="413">
      <c r="A413" s="16" t="inlineStr">
        <is>
          <t>BP</t>
        </is>
      </c>
      <c r="B413" s="17" t="inlineStr">
        <is>
          <t>25405</t>
        </is>
      </c>
      <c r="C413" s="10">
        <f>IF(ISNUMBER(FC413),INDIRECT("SamplesX!C"&amp;FC413),IF(ISNUMBER(FD413),INDIRECT("SamplesY!C"&amp;FD413),""))</f>
        <v/>
      </c>
      <c r="D413" s="12">
        <f>IF(ISNUMBER(FC413),INDIRECT("SamplesX!D"&amp;FC413),IF(ISNUMBER(FD413),INDIRECT("SamplesY!D"&amp;FD413),""))</f>
        <v/>
      </c>
      <c r="E413" s="12">
        <f>IF(ISNUMBER(FC413),INDIRECT("SamplesX!E"&amp;FC413),IF(ISNUMBER(FD413),INDIRECT("SamplesY!E"&amp;FD413),""))</f>
        <v/>
      </c>
      <c r="F413" s="11">
        <f>IF(ISNUMBER(FC413),INDIRECT("SamplesX!F"&amp;FC413),IF(ISNUMBER(FD413),INDIRECT("SamplesY!F"&amp;FD413),""))</f>
        <v/>
      </c>
      <c r="G413" s="18">
        <f>IF(ISNUMBER(FC413),INDIRECT("SamplesX!G"&amp;FC413),IF(ISNUMBER(FD413),INDIRECT("SamplesY!G"&amp;FD413),""))</f>
        <v/>
      </c>
      <c r="H413" s="19">
        <f>IF(ISNUMBER(FC413),INDIRECT("SamplesX!H"&amp;FC413),IF(ISNUMBER(FD413),INDIRECT("SamplesY!H"&amp;FD413),""))</f>
        <v/>
      </c>
      <c r="I413" s="16" t="n"/>
      <c r="J413" s="16" t="n"/>
      <c r="K413" s="16" t="n"/>
      <c r="L413" s="20" t="n"/>
      <c r="M413" s="20" t="inlineStr">
        <is>
          <t>None</t>
        </is>
      </c>
      <c r="N413" s="17" t="n"/>
      <c r="O413" s="16" t="n"/>
      <c r="P413" s="20" t="inlineStr">
        <is>
          <t>Shimadzu TOC-L</t>
        </is>
      </c>
      <c r="Q413" s="20" t="inlineStr">
        <is>
          <t>None</t>
        </is>
      </c>
      <c r="R413" s="17" t="n"/>
      <c r="S413" s="16" t="n"/>
      <c r="T413" s="20" t="inlineStr">
        <is>
          <t>Shimadzu TOC-L</t>
        </is>
      </c>
      <c r="U413" s="20" t="inlineStr">
        <is>
          <t>None</t>
        </is>
      </c>
      <c r="V413" s="17" t="n"/>
      <c r="W413" s="16" t="n"/>
      <c r="X413" s="20" t="n"/>
      <c r="Y413" s="20" t="inlineStr">
        <is>
          <t>None</t>
        </is>
      </c>
      <c r="Z413" s="17" t="n"/>
      <c r="AA413" s="16" t="n"/>
      <c r="AB413" s="20" t="n"/>
      <c r="AC413" s="20" t="inlineStr">
        <is>
          <t>None</t>
        </is>
      </c>
      <c r="AD413" s="17" t="n"/>
      <c r="AE413" s="16" t="n"/>
      <c r="AF413" s="20" t="inlineStr">
        <is>
          <t>IC Anionen</t>
        </is>
      </c>
      <c r="AG413" s="20" t="inlineStr">
        <is>
          <t>None</t>
        </is>
      </c>
      <c r="AH413" s="17" t="n"/>
      <c r="AI413" s="16" t="n"/>
      <c r="AJ413" s="20" t="n"/>
      <c r="AK413" s="20" t="inlineStr">
        <is>
          <t>None</t>
        </is>
      </c>
      <c r="AL413" s="17" t="n"/>
      <c r="AM413" s="16" t="n"/>
      <c r="AN413" s="20" t="inlineStr">
        <is>
          <t>IC Anionen</t>
        </is>
      </c>
      <c r="AO413" s="20" t="inlineStr">
        <is>
          <t>None</t>
        </is>
      </c>
      <c r="AP413" s="17" t="n"/>
      <c r="AQ413" s="16" t="n"/>
      <c r="AR413" s="20" t="n"/>
      <c r="AS413" s="20" t="inlineStr">
        <is>
          <t>None</t>
        </is>
      </c>
      <c r="AT413" s="17" t="n"/>
      <c r="AU413" s="16" t="n"/>
      <c r="AV413" s="20" t="n"/>
      <c r="AW413" s="20" t="inlineStr">
        <is>
          <t>None</t>
        </is>
      </c>
      <c r="AX413" s="17" t="n"/>
      <c r="AY413" s="16" t="n"/>
      <c r="AZ413" s="20" t="inlineStr">
        <is>
          <t>IC Anionen</t>
        </is>
      </c>
      <c r="BA413" s="20" t="inlineStr">
        <is>
          <t>None</t>
        </is>
      </c>
      <c r="BB413" s="17" t="n"/>
      <c r="BC413" s="16" t="n"/>
      <c r="BD413" s="20" t="inlineStr">
        <is>
          <t>IC Kationen</t>
        </is>
      </c>
      <c r="BE413" s="20" t="inlineStr">
        <is>
          <t>None</t>
        </is>
      </c>
      <c r="BF413" s="17" t="n"/>
      <c r="BG413" s="16" t="n"/>
      <c r="BH413" s="20" t="inlineStr">
        <is>
          <t>IC Kationen</t>
        </is>
      </c>
      <c r="BI413" s="20" t="inlineStr">
        <is>
          <t>None</t>
        </is>
      </c>
      <c r="BJ413" s="17" t="n"/>
      <c r="BK413" s="16" t="n"/>
      <c r="BL413" s="20" t="inlineStr">
        <is>
          <t>IC Kationen</t>
        </is>
      </c>
      <c r="BM413" s="20" t="inlineStr">
        <is>
          <t>None</t>
        </is>
      </c>
      <c r="BN413" s="17" t="n"/>
      <c r="BO413" s="16" t="n"/>
      <c r="BP413" s="20" t="inlineStr">
        <is>
          <t>IC Kationen</t>
        </is>
      </c>
      <c r="BQ413" s="20" t="inlineStr">
        <is>
          <t>None</t>
        </is>
      </c>
      <c r="BR413" s="17" t="n"/>
      <c r="BS413" s="16" t="n"/>
      <c r="BT413" s="20" t="inlineStr">
        <is>
          <t>IC Kationen</t>
        </is>
      </c>
      <c r="BU413" s="20" t="inlineStr">
        <is>
          <t>None</t>
        </is>
      </c>
      <c r="BV413" s="17" t="n"/>
      <c r="BW413" s="16" t="n"/>
      <c r="BX413" s="20" t="n"/>
      <c r="BY413" s="20" t="inlineStr">
        <is>
          <t>None</t>
        </is>
      </c>
      <c r="BZ413" s="17" t="n"/>
      <c r="CA413" s="16" t="n"/>
      <c r="CB413" s="20" t="n"/>
      <c r="CC413" s="20" t="inlineStr">
        <is>
          <t>None</t>
        </is>
      </c>
      <c r="CD413" s="17" t="n"/>
      <c r="CE413" s="16" t="n"/>
      <c r="CF413" s="20" t="n"/>
      <c r="CG413" s="20" t="inlineStr">
        <is>
          <t>None</t>
        </is>
      </c>
      <c r="CH413" s="17" t="n"/>
      <c r="CI413" s="16" t="n"/>
      <c r="CJ413" s="20" t="n"/>
      <c r="CK413" s="20" t="inlineStr">
        <is>
          <t>None</t>
        </is>
      </c>
      <c r="CL413" s="17" t="n"/>
      <c r="CM413" s="16" t="n"/>
      <c r="CN413" s="20" t="inlineStr">
        <is>
          <t>SOP 45-34</t>
        </is>
      </c>
      <c r="CO413" s="20" t="inlineStr">
        <is>
          <t>None</t>
        </is>
      </c>
      <c r="CP413" s="17" t="n"/>
      <c r="CQ413" s="16" t="n"/>
      <c r="CR413" s="20" t="n"/>
      <c r="CS413" s="20" t="inlineStr">
        <is>
          <t>None</t>
        </is>
      </c>
      <c r="CT413" s="17" t="n"/>
      <c r="CU413" s="16" t="n"/>
      <c r="CV413" s="20" t="n"/>
      <c r="CW413" s="20" t="inlineStr">
        <is>
          <t>None</t>
        </is>
      </c>
      <c r="CX413" s="17" t="n"/>
      <c r="CY413" s="16" t="n"/>
      <c r="CZ413" s="20" t="inlineStr">
        <is>
          <t>WTW Multimeter 3430 with FDO 925</t>
        </is>
      </c>
      <c r="DA413" s="20" t="inlineStr">
        <is>
          <t>None</t>
        </is>
      </c>
      <c r="DB413" s="17" t="n"/>
      <c r="DC413" s="16" t="n"/>
      <c r="DD413" s="20" t="n"/>
      <c r="DE413" s="20" t="inlineStr">
        <is>
          <t>None</t>
        </is>
      </c>
      <c r="DF413" s="17" t="n"/>
      <c r="DG413" s="16" t="n"/>
      <c r="DH413" s="20" t="inlineStr">
        <is>
          <t>SOP 45-09</t>
        </is>
      </c>
      <c r="DI413" s="20" t="inlineStr">
        <is>
          <t>None</t>
        </is>
      </c>
      <c r="DJ413" s="17" t="n"/>
      <c r="DK413" s="16" t="n"/>
      <c r="DL413" s="20" t="inlineStr">
        <is>
          <t>SOP 45-09 (SOP muss noch angepasst werden für VSS)</t>
        </is>
      </c>
      <c r="DM413" s="20" t="inlineStr">
        <is>
          <t>None</t>
        </is>
      </c>
      <c r="DN413" s="17" t="n"/>
      <c r="DO413" s="16" t="n"/>
      <c r="DP413" s="20" t="inlineStr">
        <is>
          <t>IC Organic Acids</t>
        </is>
      </c>
      <c r="DQ413" s="20" t="inlineStr">
        <is>
          <t>None</t>
        </is>
      </c>
      <c r="DR413" s="17" t="n"/>
      <c r="DS413" s="16" t="n"/>
      <c r="DT413" s="20" t="inlineStr">
        <is>
          <t>IC Organic Acids</t>
        </is>
      </c>
      <c r="DU413" s="20" t="inlineStr">
        <is>
          <t>None</t>
        </is>
      </c>
      <c r="DV413" s="17" t="n"/>
      <c r="DW413" s="16" t="n"/>
      <c r="DX413" s="20" t="inlineStr">
        <is>
          <t>IC Organic Acids</t>
        </is>
      </c>
      <c r="DY413" s="20" t="inlineStr">
        <is>
          <t>None</t>
        </is>
      </c>
      <c r="DZ413" s="17" t="n"/>
      <c r="EA413" s="16" t="n"/>
      <c r="EB413" s="20" t="inlineStr">
        <is>
          <t>IC Organic Acids</t>
        </is>
      </c>
      <c r="EC413" s="20" t="inlineStr">
        <is>
          <t>None</t>
        </is>
      </c>
      <c r="ED413" s="17" t="n"/>
      <c r="EE413" s="16" t="n"/>
      <c r="EF413" s="20" t="inlineStr">
        <is>
          <t>IC Organic Acids</t>
        </is>
      </c>
      <c r="EG413" s="20" t="inlineStr">
        <is>
          <t>None</t>
        </is>
      </c>
      <c r="EH413" s="17" t="n"/>
      <c r="EI413" s="16" t="n"/>
      <c r="EJ413" s="20" t="inlineStr">
        <is>
          <t>IC Organic Acids</t>
        </is>
      </c>
      <c r="EK413" s="20" t="inlineStr">
        <is>
          <t>None</t>
        </is>
      </c>
      <c r="EL413" s="17" t="n"/>
      <c r="EM413" s="16" t="n"/>
      <c r="EN413" s="20" t="inlineStr">
        <is>
          <t>IC Organic Acids</t>
        </is>
      </c>
      <c r="EO413" s="20" t="inlineStr">
        <is>
          <t>None</t>
        </is>
      </c>
      <c r="EP413" s="17" t="n"/>
      <c r="EQ413" s="16" t="n"/>
      <c r="ER413" s="20" t="inlineStr">
        <is>
          <t>IC Organic Acids</t>
        </is>
      </c>
      <c r="ES413" s="20" t="inlineStr">
        <is>
          <t>None</t>
        </is>
      </c>
      <c r="ET413" s="17" t="n"/>
      <c r="EU413" s="16" t="n"/>
      <c r="EV413" s="20" t="inlineStr">
        <is>
          <t>LC-MS</t>
        </is>
      </c>
      <c r="EW413" s="20" t="inlineStr">
        <is>
          <t>None</t>
        </is>
      </c>
      <c r="EX413" s="17" t="n"/>
      <c r="EY413" s="21" t="n"/>
      <c r="EZ413">
        <f>CONCATENATE(A413,B413)</f>
        <v/>
      </c>
      <c r="FA413">
        <f>CONCATENATE(SamplesX!A413,SamplesX!B413)</f>
        <v/>
      </c>
      <c r="FC413">
        <f>MATCH(EZ413,FA1:FA1008,0)</f>
        <v/>
      </c>
    </row>
    <row r="414">
      <c r="A414" s="16" t="inlineStr">
        <is>
          <t>BP</t>
        </is>
      </c>
      <c r="B414" s="17" t="inlineStr">
        <is>
          <t>25406</t>
        </is>
      </c>
      <c r="C414" s="10">
        <f>IF(ISNUMBER(FC414),INDIRECT("SamplesX!C"&amp;FC414),IF(ISNUMBER(FD414),INDIRECT("SamplesY!C"&amp;FD414),""))</f>
        <v/>
      </c>
      <c r="D414" s="12">
        <f>IF(ISNUMBER(FC414),INDIRECT("SamplesX!D"&amp;FC414),IF(ISNUMBER(FD414),INDIRECT("SamplesY!D"&amp;FD414),""))</f>
        <v/>
      </c>
      <c r="E414" s="12">
        <f>IF(ISNUMBER(FC414),INDIRECT("SamplesX!E"&amp;FC414),IF(ISNUMBER(FD414),INDIRECT("SamplesY!E"&amp;FD414),""))</f>
        <v/>
      </c>
      <c r="F414" s="11">
        <f>IF(ISNUMBER(FC414),INDIRECT("SamplesX!F"&amp;FC414),IF(ISNUMBER(FD414),INDIRECT("SamplesY!F"&amp;FD414),""))</f>
        <v/>
      </c>
      <c r="G414" s="18">
        <f>IF(ISNUMBER(FC414),INDIRECT("SamplesX!G"&amp;FC414),IF(ISNUMBER(FD414),INDIRECT("SamplesY!G"&amp;FD414),""))</f>
        <v/>
      </c>
      <c r="H414" s="19">
        <f>IF(ISNUMBER(FC414),INDIRECT("SamplesX!H"&amp;FC414),IF(ISNUMBER(FD414),INDIRECT("SamplesY!H"&amp;FD414),""))</f>
        <v/>
      </c>
      <c r="I414" s="16" t="n"/>
      <c r="J414" s="16" t="n"/>
      <c r="K414" s="16" t="n"/>
      <c r="L414" s="20" t="n"/>
      <c r="M414" s="20" t="inlineStr">
        <is>
          <t>None</t>
        </is>
      </c>
      <c r="N414" s="17" t="n"/>
      <c r="O414" s="16" t="n"/>
      <c r="P414" s="20" t="inlineStr">
        <is>
          <t>Shimadzu TOC-L</t>
        </is>
      </c>
      <c r="Q414" s="20" t="inlineStr">
        <is>
          <t>None</t>
        </is>
      </c>
      <c r="R414" s="17" t="n"/>
      <c r="S414" s="16" t="n"/>
      <c r="T414" s="20" t="inlineStr">
        <is>
          <t>Shimadzu TOC-L</t>
        </is>
      </c>
      <c r="U414" s="20" t="inlineStr">
        <is>
          <t>None</t>
        </is>
      </c>
      <c r="V414" s="17" t="n"/>
      <c r="W414" s="16" t="n"/>
      <c r="X414" s="20" t="n"/>
      <c r="Y414" s="20" t="inlineStr">
        <is>
          <t>None</t>
        </is>
      </c>
      <c r="Z414" s="17" t="n"/>
      <c r="AA414" s="16" t="n"/>
      <c r="AB414" s="20" t="n"/>
      <c r="AC414" s="20" t="inlineStr">
        <is>
          <t>None</t>
        </is>
      </c>
      <c r="AD414" s="17" t="n"/>
      <c r="AE414" s="16" t="n"/>
      <c r="AF414" s="20" t="inlineStr">
        <is>
          <t>IC Anionen</t>
        </is>
      </c>
      <c r="AG414" s="20" t="inlineStr">
        <is>
          <t>None</t>
        </is>
      </c>
      <c r="AH414" s="17" t="n"/>
      <c r="AI414" s="16" t="n"/>
      <c r="AJ414" s="20" t="n"/>
      <c r="AK414" s="20" t="inlineStr">
        <is>
          <t>None</t>
        </is>
      </c>
      <c r="AL414" s="17" t="n"/>
      <c r="AM414" s="16" t="n"/>
      <c r="AN414" s="20" t="inlineStr">
        <is>
          <t>IC Anionen</t>
        </is>
      </c>
      <c r="AO414" s="20" t="inlineStr">
        <is>
          <t>None</t>
        </is>
      </c>
      <c r="AP414" s="17" t="n"/>
      <c r="AQ414" s="16" t="n"/>
      <c r="AR414" s="20" t="n"/>
      <c r="AS414" s="20" t="inlineStr">
        <is>
          <t>None</t>
        </is>
      </c>
      <c r="AT414" s="17" t="n"/>
      <c r="AU414" s="16" t="n"/>
      <c r="AV414" s="20" t="n"/>
      <c r="AW414" s="20" t="inlineStr">
        <is>
          <t>None</t>
        </is>
      </c>
      <c r="AX414" s="17" t="n"/>
      <c r="AY414" s="16" t="n"/>
      <c r="AZ414" s="20" t="inlineStr">
        <is>
          <t>IC Anionen</t>
        </is>
      </c>
      <c r="BA414" s="20" t="inlineStr">
        <is>
          <t>None</t>
        </is>
      </c>
      <c r="BB414" s="17" t="n"/>
      <c r="BC414" s="16" t="n"/>
      <c r="BD414" s="20" t="inlineStr">
        <is>
          <t>IC Kationen</t>
        </is>
      </c>
      <c r="BE414" s="20" t="inlineStr">
        <is>
          <t>None</t>
        </is>
      </c>
      <c r="BF414" s="17" t="n"/>
      <c r="BG414" s="16" t="n"/>
      <c r="BH414" s="20" t="inlineStr">
        <is>
          <t>IC Kationen</t>
        </is>
      </c>
      <c r="BI414" s="20" t="inlineStr">
        <is>
          <t>None</t>
        </is>
      </c>
      <c r="BJ414" s="17" t="n"/>
      <c r="BK414" s="16" t="n"/>
      <c r="BL414" s="20" t="inlineStr">
        <is>
          <t>IC Kationen</t>
        </is>
      </c>
      <c r="BM414" s="20" t="inlineStr">
        <is>
          <t>None</t>
        </is>
      </c>
      <c r="BN414" s="17" t="n"/>
      <c r="BO414" s="16" t="n"/>
      <c r="BP414" s="20" t="inlineStr">
        <is>
          <t>IC Kationen</t>
        </is>
      </c>
      <c r="BQ414" s="20" t="inlineStr">
        <is>
          <t>None</t>
        </is>
      </c>
      <c r="BR414" s="17" t="n"/>
      <c r="BS414" s="16" t="n"/>
      <c r="BT414" s="20" t="inlineStr">
        <is>
          <t>IC Kationen</t>
        </is>
      </c>
      <c r="BU414" s="20" t="inlineStr">
        <is>
          <t>None</t>
        </is>
      </c>
      <c r="BV414" s="17" t="n"/>
      <c r="BW414" s="16" t="n"/>
      <c r="BX414" s="20" t="n"/>
      <c r="BY414" s="20" t="inlineStr">
        <is>
          <t>None</t>
        </is>
      </c>
      <c r="BZ414" s="17" t="n"/>
      <c r="CA414" s="16" t="n"/>
      <c r="CB414" s="20" t="n"/>
      <c r="CC414" s="20" t="inlineStr">
        <is>
          <t>None</t>
        </is>
      </c>
      <c r="CD414" s="17" t="n"/>
      <c r="CE414" s="16" t="n"/>
      <c r="CF414" s="20" t="n"/>
      <c r="CG414" s="20" t="inlineStr">
        <is>
          <t>None</t>
        </is>
      </c>
      <c r="CH414" s="17" t="n"/>
      <c r="CI414" s="16" t="n"/>
      <c r="CJ414" s="20" t="n"/>
      <c r="CK414" s="20" t="inlineStr">
        <is>
          <t>None</t>
        </is>
      </c>
      <c r="CL414" s="17" t="n"/>
      <c r="CM414" s="16" t="n"/>
      <c r="CN414" s="20" t="inlineStr">
        <is>
          <t>SOP 45-34</t>
        </is>
      </c>
      <c r="CO414" s="20" t="inlineStr">
        <is>
          <t>None</t>
        </is>
      </c>
      <c r="CP414" s="17" t="n"/>
      <c r="CQ414" s="16" t="n"/>
      <c r="CR414" s="20" t="n"/>
      <c r="CS414" s="20" t="inlineStr">
        <is>
          <t>None</t>
        </is>
      </c>
      <c r="CT414" s="17" t="n"/>
      <c r="CU414" s="16" t="n"/>
      <c r="CV414" s="20" t="n"/>
      <c r="CW414" s="20" t="inlineStr">
        <is>
          <t>None</t>
        </is>
      </c>
      <c r="CX414" s="17" t="n"/>
      <c r="CY414" s="16" t="n"/>
      <c r="CZ414" s="20" t="inlineStr">
        <is>
          <t>WTW Multimeter 3430 with FDO 925</t>
        </is>
      </c>
      <c r="DA414" s="20" t="inlineStr">
        <is>
          <t>None</t>
        </is>
      </c>
      <c r="DB414" s="17" t="n"/>
      <c r="DC414" s="16" t="n"/>
      <c r="DD414" s="20" t="n"/>
      <c r="DE414" s="20" t="inlineStr">
        <is>
          <t>None</t>
        </is>
      </c>
      <c r="DF414" s="17" t="n"/>
      <c r="DG414" s="16" t="n"/>
      <c r="DH414" s="20" t="inlineStr">
        <is>
          <t>SOP 45-09</t>
        </is>
      </c>
      <c r="DI414" s="20" t="inlineStr">
        <is>
          <t>None</t>
        </is>
      </c>
      <c r="DJ414" s="17" t="n"/>
      <c r="DK414" s="16" t="n"/>
      <c r="DL414" s="20" t="inlineStr">
        <is>
          <t>SOP 45-09 (SOP muss noch angepasst werden für VSS)</t>
        </is>
      </c>
      <c r="DM414" s="20" t="inlineStr">
        <is>
          <t>None</t>
        </is>
      </c>
      <c r="DN414" s="17" t="n"/>
      <c r="DO414" s="16" t="n"/>
      <c r="DP414" s="20" t="inlineStr">
        <is>
          <t>IC Organic Acids</t>
        </is>
      </c>
      <c r="DQ414" s="20" t="inlineStr">
        <is>
          <t>None</t>
        </is>
      </c>
      <c r="DR414" s="17" t="n"/>
      <c r="DS414" s="16" t="n"/>
      <c r="DT414" s="20" t="inlineStr">
        <is>
          <t>IC Organic Acids</t>
        </is>
      </c>
      <c r="DU414" s="20" t="inlineStr">
        <is>
          <t>None</t>
        </is>
      </c>
      <c r="DV414" s="17" t="n"/>
      <c r="DW414" s="16" t="n"/>
      <c r="DX414" s="20" t="inlineStr">
        <is>
          <t>IC Organic Acids</t>
        </is>
      </c>
      <c r="DY414" s="20" t="inlineStr">
        <is>
          <t>None</t>
        </is>
      </c>
      <c r="DZ414" s="17" t="n"/>
      <c r="EA414" s="16" t="n"/>
      <c r="EB414" s="20" t="inlineStr">
        <is>
          <t>IC Organic Acids</t>
        </is>
      </c>
      <c r="EC414" s="20" t="inlineStr">
        <is>
          <t>None</t>
        </is>
      </c>
      <c r="ED414" s="17" t="n"/>
      <c r="EE414" s="16" t="n"/>
      <c r="EF414" s="20" t="inlineStr">
        <is>
          <t>IC Organic Acids</t>
        </is>
      </c>
      <c r="EG414" s="20" t="inlineStr">
        <is>
          <t>None</t>
        </is>
      </c>
      <c r="EH414" s="17" t="n"/>
      <c r="EI414" s="16" t="n"/>
      <c r="EJ414" s="20" t="inlineStr">
        <is>
          <t>IC Organic Acids</t>
        </is>
      </c>
      <c r="EK414" s="20" t="inlineStr">
        <is>
          <t>None</t>
        </is>
      </c>
      <c r="EL414" s="17" t="n"/>
      <c r="EM414" s="16" t="n"/>
      <c r="EN414" s="20" t="inlineStr">
        <is>
          <t>IC Organic Acids</t>
        </is>
      </c>
      <c r="EO414" s="20" t="inlineStr">
        <is>
          <t>None</t>
        </is>
      </c>
      <c r="EP414" s="17" t="n"/>
      <c r="EQ414" s="16" t="n"/>
      <c r="ER414" s="20" t="inlineStr">
        <is>
          <t>IC Organic Acids</t>
        </is>
      </c>
      <c r="ES414" s="20" t="inlineStr">
        <is>
          <t>None</t>
        </is>
      </c>
      <c r="ET414" s="17" t="n"/>
      <c r="EU414" s="16" t="n"/>
      <c r="EV414" s="20" t="inlineStr">
        <is>
          <t>LC-MS</t>
        </is>
      </c>
      <c r="EW414" s="20" t="inlineStr">
        <is>
          <t>None</t>
        </is>
      </c>
      <c r="EX414" s="17" t="n"/>
      <c r="EY414" s="21" t="n"/>
      <c r="EZ414">
        <f>CONCATENATE(A414,B414)</f>
        <v/>
      </c>
      <c r="FA414">
        <f>CONCATENATE(SamplesX!A414,SamplesX!B414)</f>
        <v/>
      </c>
      <c r="FC414">
        <f>MATCH(EZ414,FA1:FA1008,0)</f>
        <v/>
      </c>
    </row>
    <row r="415">
      <c r="A415" s="16" t="inlineStr">
        <is>
          <t>BP</t>
        </is>
      </c>
      <c r="B415" s="17" t="inlineStr">
        <is>
          <t>25407</t>
        </is>
      </c>
      <c r="C415" s="10">
        <f>IF(ISNUMBER(FC415),INDIRECT("SamplesX!C"&amp;FC415),IF(ISNUMBER(FD415),INDIRECT("SamplesY!C"&amp;FD415),""))</f>
        <v/>
      </c>
      <c r="D415" s="12">
        <f>IF(ISNUMBER(FC415),INDIRECT("SamplesX!D"&amp;FC415),IF(ISNUMBER(FD415),INDIRECT("SamplesY!D"&amp;FD415),""))</f>
        <v/>
      </c>
      <c r="E415" s="12">
        <f>IF(ISNUMBER(FC415),INDIRECT("SamplesX!E"&amp;FC415),IF(ISNUMBER(FD415),INDIRECT("SamplesY!E"&amp;FD415),""))</f>
        <v/>
      </c>
      <c r="F415" s="11">
        <f>IF(ISNUMBER(FC415),INDIRECT("SamplesX!F"&amp;FC415),IF(ISNUMBER(FD415),INDIRECT("SamplesY!F"&amp;FD415),""))</f>
        <v/>
      </c>
      <c r="G415" s="18">
        <f>IF(ISNUMBER(FC415),INDIRECT("SamplesX!G"&amp;FC415),IF(ISNUMBER(FD415),INDIRECT("SamplesY!G"&amp;FD415),""))</f>
        <v/>
      </c>
      <c r="H415" s="19">
        <f>IF(ISNUMBER(FC415),INDIRECT("SamplesX!H"&amp;FC415),IF(ISNUMBER(FD415),INDIRECT("SamplesY!H"&amp;FD415),""))</f>
        <v/>
      </c>
      <c r="I415" s="16" t="n"/>
      <c r="J415" s="16" t="n"/>
      <c r="K415" s="16" t="n"/>
      <c r="L415" s="20" t="n"/>
      <c r="M415" s="20" t="inlineStr">
        <is>
          <t>None</t>
        </is>
      </c>
      <c r="N415" s="17" t="n"/>
      <c r="O415" s="16" t="n"/>
      <c r="P415" s="20" t="inlineStr">
        <is>
          <t>Shimadzu TOC-L</t>
        </is>
      </c>
      <c r="Q415" s="20" t="inlineStr">
        <is>
          <t>None</t>
        </is>
      </c>
      <c r="R415" s="17" t="n"/>
      <c r="S415" s="16" t="n"/>
      <c r="T415" s="20" t="inlineStr">
        <is>
          <t>Shimadzu TOC-L</t>
        </is>
      </c>
      <c r="U415" s="20" t="inlineStr">
        <is>
          <t>None</t>
        </is>
      </c>
      <c r="V415" s="17" t="n"/>
      <c r="W415" s="16" t="n"/>
      <c r="X415" s="20" t="n"/>
      <c r="Y415" s="20" t="inlineStr">
        <is>
          <t>None</t>
        </is>
      </c>
      <c r="Z415" s="17" t="n"/>
      <c r="AA415" s="16" t="n"/>
      <c r="AB415" s="20" t="n"/>
      <c r="AC415" s="20" t="inlineStr">
        <is>
          <t>None</t>
        </is>
      </c>
      <c r="AD415" s="17" t="n"/>
      <c r="AE415" s="16" t="n"/>
      <c r="AF415" s="20" t="inlineStr">
        <is>
          <t>IC Anionen</t>
        </is>
      </c>
      <c r="AG415" s="20" t="inlineStr">
        <is>
          <t>None</t>
        </is>
      </c>
      <c r="AH415" s="17" t="n"/>
      <c r="AI415" s="16" t="n"/>
      <c r="AJ415" s="20" t="n"/>
      <c r="AK415" s="20" t="inlineStr">
        <is>
          <t>None</t>
        </is>
      </c>
      <c r="AL415" s="17" t="n"/>
      <c r="AM415" s="16" t="n"/>
      <c r="AN415" s="20" t="inlineStr">
        <is>
          <t>IC Anionen</t>
        </is>
      </c>
      <c r="AO415" s="20" t="inlineStr">
        <is>
          <t>None</t>
        </is>
      </c>
      <c r="AP415" s="17" t="n"/>
      <c r="AQ415" s="16" t="n"/>
      <c r="AR415" s="20" t="n"/>
      <c r="AS415" s="20" t="inlineStr">
        <is>
          <t>None</t>
        </is>
      </c>
      <c r="AT415" s="17" t="n"/>
      <c r="AU415" s="16" t="n"/>
      <c r="AV415" s="20" t="n"/>
      <c r="AW415" s="20" t="inlineStr">
        <is>
          <t>None</t>
        </is>
      </c>
      <c r="AX415" s="17" t="n"/>
      <c r="AY415" s="16" t="n"/>
      <c r="AZ415" s="20" t="inlineStr">
        <is>
          <t>IC Anionen</t>
        </is>
      </c>
      <c r="BA415" s="20" t="inlineStr">
        <is>
          <t>None</t>
        </is>
      </c>
      <c r="BB415" s="17" t="n"/>
      <c r="BC415" s="16" t="n"/>
      <c r="BD415" s="20" t="inlineStr">
        <is>
          <t>IC Kationen</t>
        </is>
      </c>
      <c r="BE415" s="20" t="inlineStr">
        <is>
          <t>None</t>
        </is>
      </c>
      <c r="BF415" s="17" t="n"/>
      <c r="BG415" s="16" t="n"/>
      <c r="BH415" s="20" t="inlineStr">
        <is>
          <t>IC Kationen</t>
        </is>
      </c>
      <c r="BI415" s="20" t="inlineStr">
        <is>
          <t>None</t>
        </is>
      </c>
      <c r="BJ415" s="17" t="n"/>
      <c r="BK415" s="16" t="n"/>
      <c r="BL415" s="20" t="inlineStr">
        <is>
          <t>IC Kationen</t>
        </is>
      </c>
      <c r="BM415" s="20" t="inlineStr">
        <is>
          <t>None</t>
        </is>
      </c>
      <c r="BN415" s="17" t="n"/>
      <c r="BO415" s="16" t="n"/>
      <c r="BP415" s="20" t="inlineStr">
        <is>
          <t>IC Kationen</t>
        </is>
      </c>
      <c r="BQ415" s="20" t="inlineStr">
        <is>
          <t>None</t>
        </is>
      </c>
      <c r="BR415" s="17" t="n"/>
      <c r="BS415" s="16" t="n"/>
      <c r="BT415" s="20" t="inlineStr">
        <is>
          <t>IC Kationen</t>
        </is>
      </c>
      <c r="BU415" s="20" t="inlineStr">
        <is>
          <t>None</t>
        </is>
      </c>
      <c r="BV415" s="17" t="n"/>
      <c r="BW415" s="16" t="n"/>
      <c r="BX415" s="20" t="n"/>
      <c r="BY415" s="20" t="inlineStr">
        <is>
          <t>None</t>
        </is>
      </c>
      <c r="BZ415" s="17" t="n"/>
      <c r="CA415" s="16" t="n"/>
      <c r="CB415" s="20" t="n"/>
      <c r="CC415" s="20" t="inlineStr">
        <is>
          <t>None</t>
        </is>
      </c>
      <c r="CD415" s="17" t="n"/>
      <c r="CE415" s="16" t="n"/>
      <c r="CF415" s="20" t="n"/>
      <c r="CG415" s="20" t="inlineStr">
        <is>
          <t>None</t>
        </is>
      </c>
      <c r="CH415" s="17" t="n"/>
      <c r="CI415" s="16" t="n"/>
      <c r="CJ415" s="20" t="n"/>
      <c r="CK415" s="20" t="inlineStr">
        <is>
          <t>None</t>
        </is>
      </c>
      <c r="CL415" s="17" t="n"/>
      <c r="CM415" s="16" t="n"/>
      <c r="CN415" s="20" t="inlineStr">
        <is>
          <t>SOP 45-34</t>
        </is>
      </c>
      <c r="CO415" s="20" t="inlineStr">
        <is>
          <t>None</t>
        </is>
      </c>
      <c r="CP415" s="17" t="n"/>
      <c r="CQ415" s="16" t="n"/>
      <c r="CR415" s="20" t="n"/>
      <c r="CS415" s="20" t="inlineStr">
        <is>
          <t>None</t>
        </is>
      </c>
      <c r="CT415" s="17" t="n"/>
      <c r="CU415" s="16" t="n"/>
      <c r="CV415" s="20" t="n"/>
      <c r="CW415" s="20" t="inlineStr">
        <is>
          <t>None</t>
        </is>
      </c>
      <c r="CX415" s="17" t="n"/>
      <c r="CY415" s="16" t="n"/>
      <c r="CZ415" s="20" t="inlineStr">
        <is>
          <t>WTW Multimeter 3430 with FDO 925</t>
        </is>
      </c>
      <c r="DA415" s="20" t="inlineStr">
        <is>
          <t>None</t>
        </is>
      </c>
      <c r="DB415" s="17" t="n"/>
      <c r="DC415" s="16" t="n"/>
      <c r="DD415" s="20" t="n"/>
      <c r="DE415" s="20" t="inlineStr">
        <is>
          <t>None</t>
        </is>
      </c>
      <c r="DF415" s="17" t="n"/>
      <c r="DG415" s="16" t="n"/>
      <c r="DH415" s="20" t="inlineStr">
        <is>
          <t>SOP 45-09</t>
        </is>
      </c>
      <c r="DI415" s="20" t="inlineStr">
        <is>
          <t>None</t>
        </is>
      </c>
      <c r="DJ415" s="17" t="n"/>
      <c r="DK415" s="16" t="n"/>
      <c r="DL415" s="20" t="inlineStr">
        <is>
          <t>SOP 45-09 (SOP muss noch angepasst werden für VSS)</t>
        </is>
      </c>
      <c r="DM415" s="20" t="inlineStr">
        <is>
          <t>None</t>
        </is>
      </c>
      <c r="DN415" s="17" t="n"/>
      <c r="DO415" s="16" t="n"/>
      <c r="DP415" s="20" t="inlineStr">
        <is>
          <t>IC Organic Acids</t>
        </is>
      </c>
      <c r="DQ415" s="20" t="inlineStr">
        <is>
          <t>None</t>
        </is>
      </c>
      <c r="DR415" s="17" t="n"/>
      <c r="DS415" s="16" t="n"/>
      <c r="DT415" s="20" t="inlineStr">
        <is>
          <t>IC Organic Acids</t>
        </is>
      </c>
      <c r="DU415" s="20" t="inlineStr">
        <is>
          <t>None</t>
        </is>
      </c>
      <c r="DV415" s="17" t="n"/>
      <c r="DW415" s="16" t="n"/>
      <c r="DX415" s="20" t="inlineStr">
        <is>
          <t>IC Organic Acids</t>
        </is>
      </c>
      <c r="DY415" s="20" t="inlineStr">
        <is>
          <t>None</t>
        </is>
      </c>
      <c r="DZ415" s="17" t="n"/>
      <c r="EA415" s="16" t="n"/>
      <c r="EB415" s="20" t="inlineStr">
        <is>
          <t>IC Organic Acids</t>
        </is>
      </c>
      <c r="EC415" s="20" t="inlineStr">
        <is>
          <t>None</t>
        </is>
      </c>
      <c r="ED415" s="17" t="n"/>
      <c r="EE415" s="16" t="n"/>
      <c r="EF415" s="20" t="inlineStr">
        <is>
          <t>IC Organic Acids</t>
        </is>
      </c>
      <c r="EG415" s="20" t="inlineStr">
        <is>
          <t>None</t>
        </is>
      </c>
      <c r="EH415" s="17" t="n"/>
      <c r="EI415" s="16" t="n"/>
      <c r="EJ415" s="20" t="inlineStr">
        <is>
          <t>IC Organic Acids</t>
        </is>
      </c>
      <c r="EK415" s="20" t="inlineStr">
        <is>
          <t>None</t>
        </is>
      </c>
      <c r="EL415" s="17" t="n"/>
      <c r="EM415" s="16" t="n"/>
      <c r="EN415" s="20" t="inlineStr">
        <is>
          <t>IC Organic Acids</t>
        </is>
      </c>
      <c r="EO415" s="20" t="inlineStr">
        <is>
          <t>None</t>
        </is>
      </c>
      <c r="EP415" s="17" t="n"/>
      <c r="EQ415" s="16" t="n"/>
      <c r="ER415" s="20" t="inlineStr">
        <is>
          <t>IC Organic Acids</t>
        </is>
      </c>
      <c r="ES415" s="20" t="inlineStr">
        <is>
          <t>None</t>
        </is>
      </c>
      <c r="ET415" s="17" t="n"/>
      <c r="EU415" s="16" t="n"/>
      <c r="EV415" s="20" t="inlineStr">
        <is>
          <t>LC-MS</t>
        </is>
      </c>
      <c r="EW415" s="20" t="inlineStr">
        <is>
          <t>None</t>
        </is>
      </c>
      <c r="EX415" s="17" t="n"/>
      <c r="EY415" s="21" t="n"/>
      <c r="EZ415">
        <f>CONCATENATE(A415,B415)</f>
        <v/>
      </c>
      <c r="FA415">
        <f>CONCATENATE(SamplesX!A415,SamplesX!B415)</f>
        <v/>
      </c>
      <c r="FC415">
        <f>MATCH(EZ415,FA1:FA1008,0)</f>
        <v/>
      </c>
    </row>
    <row r="416">
      <c r="A416" s="16" t="inlineStr">
        <is>
          <t>BP</t>
        </is>
      </c>
      <c r="B416" s="17" t="inlineStr">
        <is>
          <t>25408</t>
        </is>
      </c>
      <c r="C416" s="10">
        <f>IF(ISNUMBER(FC416),INDIRECT("SamplesX!C"&amp;FC416),IF(ISNUMBER(FD416),INDIRECT("SamplesY!C"&amp;FD416),""))</f>
        <v/>
      </c>
      <c r="D416" s="12">
        <f>IF(ISNUMBER(FC416),INDIRECT("SamplesX!D"&amp;FC416),IF(ISNUMBER(FD416),INDIRECT("SamplesY!D"&amp;FD416),""))</f>
        <v/>
      </c>
      <c r="E416" s="12">
        <f>IF(ISNUMBER(FC416),INDIRECT("SamplesX!E"&amp;FC416),IF(ISNUMBER(FD416),INDIRECT("SamplesY!E"&amp;FD416),""))</f>
        <v/>
      </c>
      <c r="F416" s="11">
        <f>IF(ISNUMBER(FC416),INDIRECT("SamplesX!F"&amp;FC416),IF(ISNUMBER(FD416),INDIRECT("SamplesY!F"&amp;FD416),""))</f>
        <v/>
      </c>
      <c r="G416" s="18">
        <f>IF(ISNUMBER(FC416),INDIRECT("SamplesX!G"&amp;FC416),IF(ISNUMBER(FD416),INDIRECT("SamplesY!G"&amp;FD416),""))</f>
        <v/>
      </c>
      <c r="H416" s="19">
        <f>IF(ISNUMBER(FC416),INDIRECT("SamplesX!H"&amp;FC416),IF(ISNUMBER(FD416),INDIRECT("SamplesY!H"&amp;FD416),""))</f>
        <v/>
      </c>
      <c r="I416" s="16" t="n"/>
      <c r="J416" s="16" t="n"/>
      <c r="K416" s="16" t="n"/>
      <c r="L416" s="20" t="n"/>
      <c r="M416" s="20" t="inlineStr">
        <is>
          <t>None</t>
        </is>
      </c>
      <c r="N416" s="17" t="n"/>
      <c r="O416" s="16" t="n"/>
      <c r="P416" s="20" t="inlineStr">
        <is>
          <t>Shimadzu TOC-L</t>
        </is>
      </c>
      <c r="Q416" s="20" t="inlineStr">
        <is>
          <t>None</t>
        </is>
      </c>
      <c r="R416" s="17" t="n"/>
      <c r="S416" s="16" t="n"/>
      <c r="T416" s="20" t="inlineStr">
        <is>
          <t>Shimadzu TOC-L</t>
        </is>
      </c>
      <c r="U416" s="20" t="inlineStr">
        <is>
          <t>None</t>
        </is>
      </c>
      <c r="V416" s="17" t="n"/>
      <c r="W416" s="16" t="n"/>
      <c r="X416" s="20" t="n"/>
      <c r="Y416" s="20" t="inlineStr">
        <is>
          <t>None</t>
        </is>
      </c>
      <c r="Z416" s="17" t="n"/>
      <c r="AA416" s="16" t="n"/>
      <c r="AB416" s="20" t="n"/>
      <c r="AC416" s="20" t="inlineStr">
        <is>
          <t>None</t>
        </is>
      </c>
      <c r="AD416" s="17" t="n"/>
      <c r="AE416" s="16" t="n"/>
      <c r="AF416" s="20" t="inlineStr">
        <is>
          <t>IC Anionen</t>
        </is>
      </c>
      <c r="AG416" s="20" t="inlineStr">
        <is>
          <t>None</t>
        </is>
      </c>
      <c r="AH416" s="17" t="n"/>
      <c r="AI416" s="16" t="n"/>
      <c r="AJ416" s="20" t="n"/>
      <c r="AK416" s="20" t="inlineStr">
        <is>
          <t>None</t>
        </is>
      </c>
      <c r="AL416" s="17" t="n"/>
      <c r="AM416" s="16" t="n"/>
      <c r="AN416" s="20" t="inlineStr">
        <is>
          <t>IC Anionen</t>
        </is>
      </c>
      <c r="AO416" s="20" t="inlineStr">
        <is>
          <t>None</t>
        </is>
      </c>
      <c r="AP416" s="17" t="n"/>
      <c r="AQ416" s="16" t="n"/>
      <c r="AR416" s="20" t="n"/>
      <c r="AS416" s="20" t="inlineStr">
        <is>
          <t>None</t>
        </is>
      </c>
      <c r="AT416" s="17" t="n"/>
      <c r="AU416" s="16" t="n"/>
      <c r="AV416" s="20" t="n"/>
      <c r="AW416" s="20" t="inlineStr">
        <is>
          <t>None</t>
        </is>
      </c>
      <c r="AX416" s="17" t="n"/>
      <c r="AY416" s="16" t="n"/>
      <c r="AZ416" s="20" t="inlineStr">
        <is>
          <t>IC Anionen</t>
        </is>
      </c>
      <c r="BA416" s="20" t="inlineStr">
        <is>
          <t>None</t>
        </is>
      </c>
      <c r="BB416" s="17" t="n"/>
      <c r="BC416" s="16" t="n"/>
      <c r="BD416" s="20" t="inlineStr">
        <is>
          <t>IC Kationen</t>
        </is>
      </c>
      <c r="BE416" s="20" t="inlineStr">
        <is>
          <t>None</t>
        </is>
      </c>
      <c r="BF416" s="17" t="n"/>
      <c r="BG416" s="16" t="n"/>
      <c r="BH416" s="20" t="inlineStr">
        <is>
          <t>IC Kationen</t>
        </is>
      </c>
      <c r="BI416" s="20" t="inlineStr">
        <is>
          <t>None</t>
        </is>
      </c>
      <c r="BJ416" s="17" t="n"/>
      <c r="BK416" s="16" t="n"/>
      <c r="BL416" s="20" t="inlineStr">
        <is>
          <t>IC Kationen</t>
        </is>
      </c>
      <c r="BM416" s="20" t="inlineStr">
        <is>
          <t>None</t>
        </is>
      </c>
      <c r="BN416" s="17" t="n"/>
      <c r="BO416" s="16" t="n"/>
      <c r="BP416" s="20" t="inlineStr">
        <is>
          <t>IC Kationen</t>
        </is>
      </c>
      <c r="BQ416" s="20" t="inlineStr">
        <is>
          <t>None</t>
        </is>
      </c>
      <c r="BR416" s="17" t="n"/>
      <c r="BS416" s="16" t="n"/>
      <c r="BT416" s="20" t="inlineStr">
        <is>
          <t>IC Kationen</t>
        </is>
      </c>
      <c r="BU416" s="20" t="inlineStr">
        <is>
          <t>None</t>
        </is>
      </c>
      <c r="BV416" s="17" t="n"/>
      <c r="BW416" s="16" t="n"/>
      <c r="BX416" s="20" t="n"/>
      <c r="BY416" s="20" t="inlineStr">
        <is>
          <t>None</t>
        </is>
      </c>
      <c r="BZ416" s="17" t="n"/>
      <c r="CA416" s="16" t="n"/>
      <c r="CB416" s="20" t="n"/>
      <c r="CC416" s="20" t="inlineStr">
        <is>
          <t>None</t>
        </is>
      </c>
      <c r="CD416" s="17" t="n"/>
      <c r="CE416" s="16" t="n"/>
      <c r="CF416" s="20" t="n"/>
      <c r="CG416" s="20" t="inlineStr">
        <is>
          <t>None</t>
        </is>
      </c>
      <c r="CH416" s="17" t="n"/>
      <c r="CI416" s="16" t="n"/>
      <c r="CJ416" s="20" t="n"/>
      <c r="CK416" s="20" t="inlineStr">
        <is>
          <t>None</t>
        </is>
      </c>
      <c r="CL416" s="17" t="n"/>
      <c r="CM416" s="16" t="n"/>
      <c r="CN416" s="20" t="inlineStr">
        <is>
          <t>SOP 45-34</t>
        </is>
      </c>
      <c r="CO416" s="20" t="inlineStr">
        <is>
          <t>None</t>
        </is>
      </c>
      <c r="CP416" s="17" t="n"/>
      <c r="CQ416" s="16" t="n"/>
      <c r="CR416" s="20" t="n"/>
      <c r="CS416" s="20" t="inlineStr">
        <is>
          <t>None</t>
        </is>
      </c>
      <c r="CT416" s="17" t="n"/>
      <c r="CU416" s="16" t="n"/>
      <c r="CV416" s="20" t="n"/>
      <c r="CW416" s="20" t="inlineStr">
        <is>
          <t>None</t>
        </is>
      </c>
      <c r="CX416" s="17" t="n"/>
      <c r="CY416" s="16" t="n"/>
      <c r="CZ416" s="20" t="inlineStr">
        <is>
          <t>WTW Multimeter 3430 with FDO 925</t>
        </is>
      </c>
      <c r="DA416" s="20" t="inlineStr">
        <is>
          <t>None</t>
        </is>
      </c>
      <c r="DB416" s="17" t="n"/>
      <c r="DC416" s="16" t="n"/>
      <c r="DD416" s="20" t="n"/>
      <c r="DE416" s="20" t="inlineStr">
        <is>
          <t>None</t>
        </is>
      </c>
      <c r="DF416" s="17" t="n"/>
      <c r="DG416" s="16" t="n"/>
      <c r="DH416" s="20" t="inlineStr">
        <is>
          <t>SOP 45-09</t>
        </is>
      </c>
      <c r="DI416" s="20" t="inlineStr">
        <is>
          <t>None</t>
        </is>
      </c>
      <c r="DJ416" s="17" t="n"/>
      <c r="DK416" s="16" t="n"/>
      <c r="DL416" s="20" t="inlineStr">
        <is>
          <t>SOP 45-09 (SOP muss noch angepasst werden für VSS)</t>
        </is>
      </c>
      <c r="DM416" s="20" t="inlineStr">
        <is>
          <t>None</t>
        </is>
      </c>
      <c r="DN416" s="17" t="n"/>
      <c r="DO416" s="16" t="n"/>
      <c r="DP416" s="20" t="inlineStr">
        <is>
          <t>IC Organic Acids</t>
        </is>
      </c>
      <c r="DQ416" s="20" t="inlineStr">
        <is>
          <t>None</t>
        </is>
      </c>
      <c r="DR416" s="17" t="n"/>
      <c r="DS416" s="16" t="n"/>
      <c r="DT416" s="20" t="inlineStr">
        <is>
          <t>IC Organic Acids</t>
        </is>
      </c>
      <c r="DU416" s="20" t="inlineStr">
        <is>
          <t>None</t>
        </is>
      </c>
      <c r="DV416" s="17" t="n"/>
      <c r="DW416" s="16" t="n"/>
      <c r="DX416" s="20" t="inlineStr">
        <is>
          <t>IC Organic Acids</t>
        </is>
      </c>
      <c r="DY416" s="20" t="inlineStr">
        <is>
          <t>None</t>
        </is>
      </c>
      <c r="DZ416" s="17" t="n"/>
      <c r="EA416" s="16" t="n"/>
      <c r="EB416" s="20" t="inlineStr">
        <is>
          <t>IC Organic Acids</t>
        </is>
      </c>
      <c r="EC416" s="20" t="inlineStr">
        <is>
          <t>None</t>
        </is>
      </c>
      <c r="ED416" s="17" t="n"/>
      <c r="EE416" s="16" t="n"/>
      <c r="EF416" s="20" t="inlineStr">
        <is>
          <t>IC Organic Acids</t>
        </is>
      </c>
      <c r="EG416" s="20" t="inlineStr">
        <is>
          <t>None</t>
        </is>
      </c>
      <c r="EH416" s="17" t="n"/>
      <c r="EI416" s="16" t="n"/>
      <c r="EJ416" s="20" t="inlineStr">
        <is>
          <t>IC Organic Acids</t>
        </is>
      </c>
      <c r="EK416" s="20" t="inlineStr">
        <is>
          <t>None</t>
        </is>
      </c>
      <c r="EL416" s="17" t="n"/>
      <c r="EM416" s="16" t="n"/>
      <c r="EN416" s="20" t="inlineStr">
        <is>
          <t>IC Organic Acids</t>
        </is>
      </c>
      <c r="EO416" s="20" t="inlineStr">
        <is>
          <t>None</t>
        </is>
      </c>
      <c r="EP416" s="17" t="n"/>
      <c r="EQ416" s="16" t="n"/>
      <c r="ER416" s="20" t="inlineStr">
        <is>
          <t>IC Organic Acids</t>
        </is>
      </c>
      <c r="ES416" s="20" t="inlineStr">
        <is>
          <t>None</t>
        </is>
      </c>
      <c r="ET416" s="17" t="n"/>
      <c r="EU416" s="16" t="n"/>
      <c r="EV416" s="20" t="inlineStr">
        <is>
          <t>LC-MS</t>
        </is>
      </c>
      <c r="EW416" s="20" t="inlineStr">
        <is>
          <t>None</t>
        </is>
      </c>
      <c r="EX416" s="17" t="n"/>
      <c r="EY416" s="21" t="n"/>
      <c r="EZ416">
        <f>CONCATENATE(A416,B416)</f>
        <v/>
      </c>
      <c r="FA416">
        <f>CONCATENATE(SamplesX!A416,SamplesX!B416)</f>
        <v/>
      </c>
      <c r="FC416">
        <f>MATCH(EZ416,FA1:FA1008,0)</f>
        <v/>
      </c>
    </row>
    <row r="417">
      <c r="A417" s="16" t="inlineStr">
        <is>
          <t>BP</t>
        </is>
      </c>
      <c r="B417" s="17" t="inlineStr">
        <is>
          <t>25409</t>
        </is>
      </c>
      <c r="C417" s="10">
        <f>IF(ISNUMBER(FC417),INDIRECT("SamplesX!C"&amp;FC417),IF(ISNUMBER(FD417),INDIRECT("SamplesY!C"&amp;FD417),""))</f>
        <v/>
      </c>
      <c r="D417" s="12">
        <f>IF(ISNUMBER(FC417),INDIRECT("SamplesX!D"&amp;FC417),IF(ISNUMBER(FD417),INDIRECT("SamplesY!D"&amp;FD417),""))</f>
        <v/>
      </c>
      <c r="E417" s="12">
        <f>IF(ISNUMBER(FC417),INDIRECT("SamplesX!E"&amp;FC417),IF(ISNUMBER(FD417),INDIRECT("SamplesY!E"&amp;FD417),""))</f>
        <v/>
      </c>
      <c r="F417" s="11">
        <f>IF(ISNUMBER(FC417),INDIRECT("SamplesX!F"&amp;FC417),IF(ISNUMBER(FD417),INDIRECT("SamplesY!F"&amp;FD417),""))</f>
        <v/>
      </c>
      <c r="G417" s="18">
        <f>IF(ISNUMBER(FC417),INDIRECT("SamplesX!G"&amp;FC417),IF(ISNUMBER(FD417),INDIRECT("SamplesY!G"&amp;FD417),""))</f>
        <v/>
      </c>
      <c r="H417" s="19">
        <f>IF(ISNUMBER(FC417),INDIRECT("SamplesX!H"&amp;FC417),IF(ISNUMBER(FD417),INDIRECT("SamplesY!H"&amp;FD417),""))</f>
        <v/>
      </c>
      <c r="I417" s="16" t="n"/>
      <c r="J417" s="16" t="n"/>
      <c r="K417" s="16" t="n"/>
      <c r="L417" s="20" t="n"/>
      <c r="M417" s="20" t="inlineStr">
        <is>
          <t>None</t>
        </is>
      </c>
      <c r="N417" s="17" t="n"/>
      <c r="O417" s="16" t="n"/>
      <c r="P417" s="20" t="inlineStr">
        <is>
          <t>Shimadzu TOC-L</t>
        </is>
      </c>
      <c r="Q417" s="20" t="inlineStr">
        <is>
          <t>None</t>
        </is>
      </c>
      <c r="R417" s="17" t="n"/>
      <c r="S417" s="16" t="n"/>
      <c r="T417" s="20" t="inlineStr">
        <is>
          <t>Shimadzu TOC-L</t>
        </is>
      </c>
      <c r="U417" s="20" t="inlineStr">
        <is>
          <t>None</t>
        </is>
      </c>
      <c r="V417" s="17" t="n"/>
      <c r="W417" s="16" t="n"/>
      <c r="X417" s="20" t="n"/>
      <c r="Y417" s="20" t="inlineStr">
        <is>
          <t>None</t>
        </is>
      </c>
      <c r="Z417" s="17" t="n"/>
      <c r="AA417" s="16" t="n"/>
      <c r="AB417" s="20" t="n"/>
      <c r="AC417" s="20" t="inlineStr">
        <is>
          <t>None</t>
        </is>
      </c>
      <c r="AD417" s="17" t="n"/>
      <c r="AE417" s="16" t="n"/>
      <c r="AF417" s="20" t="inlineStr">
        <is>
          <t>IC Anionen</t>
        </is>
      </c>
      <c r="AG417" s="20" t="inlineStr">
        <is>
          <t>None</t>
        </is>
      </c>
      <c r="AH417" s="17" t="n"/>
      <c r="AI417" s="16" t="n"/>
      <c r="AJ417" s="20" t="n"/>
      <c r="AK417" s="20" t="inlineStr">
        <is>
          <t>None</t>
        </is>
      </c>
      <c r="AL417" s="17" t="n"/>
      <c r="AM417" s="16" t="n"/>
      <c r="AN417" s="20" t="inlineStr">
        <is>
          <t>IC Anionen</t>
        </is>
      </c>
      <c r="AO417" s="20" t="inlineStr">
        <is>
          <t>None</t>
        </is>
      </c>
      <c r="AP417" s="17" t="n"/>
      <c r="AQ417" s="16" t="n"/>
      <c r="AR417" s="20" t="n"/>
      <c r="AS417" s="20" t="inlineStr">
        <is>
          <t>None</t>
        </is>
      </c>
      <c r="AT417" s="17" t="n"/>
      <c r="AU417" s="16" t="n"/>
      <c r="AV417" s="20" t="n"/>
      <c r="AW417" s="20" t="inlineStr">
        <is>
          <t>None</t>
        </is>
      </c>
      <c r="AX417" s="17" t="n"/>
      <c r="AY417" s="16" t="n"/>
      <c r="AZ417" s="20" t="inlineStr">
        <is>
          <t>IC Anionen</t>
        </is>
      </c>
      <c r="BA417" s="20" t="inlineStr">
        <is>
          <t>None</t>
        </is>
      </c>
      <c r="BB417" s="17" t="n"/>
      <c r="BC417" s="16" t="n"/>
      <c r="BD417" s="20" t="inlineStr">
        <is>
          <t>IC Kationen</t>
        </is>
      </c>
      <c r="BE417" s="20" t="inlineStr">
        <is>
          <t>None</t>
        </is>
      </c>
      <c r="BF417" s="17" t="n"/>
      <c r="BG417" s="16" t="n"/>
      <c r="BH417" s="20" t="inlineStr">
        <is>
          <t>IC Kationen</t>
        </is>
      </c>
      <c r="BI417" s="20" t="inlineStr">
        <is>
          <t>None</t>
        </is>
      </c>
      <c r="BJ417" s="17" t="n"/>
      <c r="BK417" s="16" t="n"/>
      <c r="BL417" s="20" t="inlineStr">
        <is>
          <t>IC Kationen</t>
        </is>
      </c>
      <c r="BM417" s="20" t="inlineStr">
        <is>
          <t>None</t>
        </is>
      </c>
      <c r="BN417" s="17" t="n"/>
      <c r="BO417" s="16" t="n"/>
      <c r="BP417" s="20" t="inlineStr">
        <is>
          <t>IC Kationen</t>
        </is>
      </c>
      <c r="BQ417" s="20" t="inlineStr">
        <is>
          <t>None</t>
        </is>
      </c>
      <c r="BR417" s="17" t="n"/>
      <c r="BS417" s="16" t="n"/>
      <c r="BT417" s="20" t="inlineStr">
        <is>
          <t>IC Kationen</t>
        </is>
      </c>
      <c r="BU417" s="20" t="inlineStr">
        <is>
          <t>None</t>
        </is>
      </c>
      <c r="BV417" s="17" t="n"/>
      <c r="BW417" s="16" t="n"/>
      <c r="BX417" s="20" t="n"/>
      <c r="BY417" s="20" t="inlineStr">
        <is>
          <t>None</t>
        </is>
      </c>
      <c r="BZ417" s="17" t="n"/>
      <c r="CA417" s="16" t="n"/>
      <c r="CB417" s="20" t="n"/>
      <c r="CC417" s="20" t="inlineStr">
        <is>
          <t>None</t>
        </is>
      </c>
      <c r="CD417" s="17" t="n"/>
      <c r="CE417" s="16" t="n"/>
      <c r="CF417" s="20" t="n"/>
      <c r="CG417" s="20" t="inlineStr">
        <is>
          <t>None</t>
        </is>
      </c>
      <c r="CH417" s="17" t="n"/>
      <c r="CI417" s="16" t="n"/>
      <c r="CJ417" s="20" t="n"/>
      <c r="CK417" s="20" t="inlineStr">
        <is>
          <t>None</t>
        </is>
      </c>
      <c r="CL417" s="17" t="n"/>
      <c r="CM417" s="16" t="n"/>
      <c r="CN417" s="20" t="inlineStr">
        <is>
          <t>SOP 45-34</t>
        </is>
      </c>
      <c r="CO417" s="20" t="inlineStr">
        <is>
          <t>None</t>
        </is>
      </c>
      <c r="CP417" s="17" t="n"/>
      <c r="CQ417" s="16" t="n"/>
      <c r="CR417" s="20" t="n"/>
      <c r="CS417" s="20" t="inlineStr">
        <is>
          <t>None</t>
        </is>
      </c>
      <c r="CT417" s="17" t="n"/>
      <c r="CU417" s="16" t="n"/>
      <c r="CV417" s="20" t="n"/>
      <c r="CW417" s="20" t="inlineStr">
        <is>
          <t>None</t>
        </is>
      </c>
      <c r="CX417" s="17" t="n"/>
      <c r="CY417" s="16" t="n"/>
      <c r="CZ417" s="20" t="inlineStr">
        <is>
          <t>WTW Multimeter 3430 with FDO 925</t>
        </is>
      </c>
      <c r="DA417" s="20" t="inlineStr">
        <is>
          <t>None</t>
        </is>
      </c>
      <c r="DB417" s="17" t="n"/>
      <c r="DC417" s="16" t="n"/>
      <c r="DD417" s="20" t="n"/>
      <c r="DE417" s="20" t="inlineStr">
        <is>
          <t>None</t>
        </is>
      </c>
      <c r="DF417" s="17" t="n"/>
      <c r="DG417" s="16" t="n"/>
      <c r="DH417" s="20" t="inlineStr">
        <is>
          <t>SOP 45-09</t>
        </is>
      </c>
      <c r="DI417" s="20" t="inlineStr">
        <is>
          <t>None</t>
        </is>
      </c>
      <c r="DJ417" s="17" t="n"/>
      <c r="DK417" s="16" t="n"/>
      <c r="DL417" s="20" t="inlineStr">
        <is>
          <t>SOP 45-09 (SOP muss noch angepasst werden für VSS)</t>
        </is>
      </c>
      <c r="DM417" s="20" t="inlineStr">
        <is>
          <t>None</t>
        </is>
      </c>
      <c r="DN417" s="17" t="n"/>
      <c r="DO417" s="16" t="n"/>
      <c r="DP417" s="20" t="inlineStr">
        <is>
          <t>IC Organic Acids</t>
        </is>
      </c>
      <c r="DQ417" s="20" t="inlineStr">
        <is>
          <t>None</t>
        </is>
      </c>
      <c r="DR417" s="17" t="n"/>
      <c r="DS417" s="16" t="n"/>
      <c r="DT417" s="20" t="inlineStr">
        <is>
          <t>IC Organic Acids</t>
        </is>
      </c>
      <c r="DU417" s="20" t="inlineStr">
        <is>
          <t>None</t>
        </is>
      </c>
      <c r="DV417" s="17" t="n"/>
      <c r="DW417" s="16" t="n"/>
      <c r="DX417" s="20" t="inlineStr">
        <is>
          <t>IC Organic Acids</t>
        </is>
      </c>
      <c r="DY417" s="20" t="inlineStr">
        <is>
          <t>None</t>
        </is>
      </c>
      <c r="DZ417" s="17" t="n"/>
      <c r="EA417" s="16" t="n"/>
      <c r="EB417" s="20" t="inlineStr">
        <is>
          <t>IC Organic Acids</t>
        </is>
      </c>
      <c r="EC417" s="20" t="inlineStr">
        <is>
          <t>None</t>
        </is>
      </c>
      <c r="ED417" s="17" t="n"/>
      <c r="EE417" s="16" t="n"/>
      <c r="EF417" s="20" t="inlineStr">
        <is>
          <t>IC Organic Acids</t>
        </is>
      </c>
      <c r="EG417" s="20" t="inlineStr">
        <is>
          <t>None</t>
        </is>
      </c>
      <c r="EH417" s="17" t="n"/>
      <c r="EI417" s="16" t="n"/>
      <c r="EJ417" s="20" t="inlineStr">
        <is>
          <t>IC Organic Acids</t>
        </is>
      </c>
      <c r="EK417" s="20" t="inlineStr">
        <is>
          <t>None</t>
        </is>
      </c>
      <c r="EL417" s="17" t="n"/>
      <c r="EM417" s="16" t="n"/>
      <c r="EN417" s="20" t="inlineStr">
        <is>
          <t>IC Organic Acids</t>
        </is>
      </c>
      <c r="EO417" s="20" t="inlineStr">
        <is>
          <t>None</t>
        </is>
      </c>
      <c r="EP417" s="17" t="n"/>
      <c r="EQ417" s="16" t="n"/>
      <c r="ER417" s="20" t="inlineStr">
        <is>
          <t>IC Organic Acids</t>
        </is>
      </c>
      <c r="ES417" s="20" t="inlineStr">
        <is>
          <t>None</t>
        </is>
      </c>
      <c r="ET417" s="17" t="n"/>
      <c r="EU417" s="16" t="n"/>
      <c r="EV417" s="20" t="inlineStr">
        <is>
          <t>LC-MS</t>
        </is>
      </c>
      <c r="EW417" s="20" t="inlineStr">
        <is>
          <t>None</t>
        </is>
      </c>
      <c r="EX417" s="17" t="n"/>
      <c r="EY417" s="21" t="n"/>
      <c r="EZ417">
        <f>CONCATENATE(A417,B417)</f>
        <v/>
      </c>
      <c r="FA417">
        <f>CONCATENATE(SamplesX!A417,SamplesX!B417)</f>
        <v/>
      </c>
      <c r="FC417">
        <f>MATCH(EZ417,FA1:FA1008,0)</f>
        <v/>
      </c>
    </row>
    <row r="418">
      <c r="A418" s="16" t="inlineStr">
        <is>
          <t>BP</t>
        </is>
      </c>
      <c r="B418" s="17" t="inlineStr">
        <is>
          <t>25410</t>
        </is>
      </c>
      <c r="C418" s="10">
        <f>IF(ISNUMBER(FC418),INDIRECT("SamplesX!C"&amp;FC418),IF(ISNUMBER(FD418),INDIRECT("SamplesY!C"&amp;FD418),""))</f>
        <v/>
      </c>
      <c r="D418" s="12">
        <f>IF(ISNUMBER(FC418),INDIRECT("SamplesX!D"&amp;FC418),IF(ISNUMBER(FD418),INDIRECT("SamplesY!D"&amp;FD418),""))</f>
        <v/>
      </c>
      <c r="E418" s="12">
        <f>IF(ISNUMBER(FC418),INDIRECT("SamplesX!E"&amp;FC418),IF(ISNUMBER(FD418),INDIRECT("SamplesY!E"&amp;FD418),""))</f>
        <v/>
      </c>
      <c r="F418" s="11">
        <f>IF(ISNUMBER(FC418),INDIRECT("SamplesX!F"&amp;FC418),IF(ISNUMBER(FD418),INDIRECT("SamplesY!F"&amp;FD418),""))</f>
        <v/>
      </c>
      <c r="G418" s="18">
        <f>IF(ISNUMBER(FC418),INDIRECT("SamplesX!G"&amp;FC418),IF(ISNUMBER(FD418),INDIRECT("SamplesY!G"&amp;FD418),""))</f>
        <v/>
      </c>
      <c r="H418" s="19">
        <f>IF(ISNUMBER(FC418),INDIRECT("SamplesX!H"&amp;FC418),IF(ISNUMBER(FD418),INDIRECT("SamplesY!H"&amp;FD418),""))</f>
        <v/>
      </c>
      <c r="I418" s="16" t="n"/>
      <c r="J418" s="16" t="n"/>
      <c r="K418" s="16" t="n"/>
      <c r="L418" s="20" t="n"/>
      <c r="M418" s="20" t="inlineStr">
        <is>
          <t>None</t>
        </is>
      </c>
      <c r="N418" s="17" t="n"/>
      <c r="O418" s="16" t="n"/>
      <c r="P418" s="20" t="inlineStr">
        <is>
          <t>Shimadzu TOC-L</t>
        </is>
      </c>
      <c r="Q418" s="20" t="inlineStr">
        <is>
          <t>None</t>
        </is>
      </c>
      <c r="R418" s="17" t="n"/>
      <c r="S418" s="16" t="n"/>
      <c r="T418" s="20" t="inlineStr">
        <is>
          <t>Shimadzu TOC-L</t>
        </is>
      </c>
      <c r="U418" s="20" t="inlineStr">
        <is>
          <t>None</t>
        </is>
      </c>
      <c r="V418" s="17" t="n"/>
      <c r="W418" s="16" t="n"/>
      <c r="X418" s="20" t="n"/>
      <c r="Y418" s="20" t="inlineStr">
        <is>
          <t>None</t>
        </is>
      </c>
      <c r="Z418" s="17" t="n"/>
      <c r="AA418" s="16" t="n"/>
      <c r="AB418" s="20" t="n"/>
      <c r="AC418" s="20" t="inlineStr">
        <is>
          <t>None</t>
        </is>
      </c>
      <c r="AD418" s="17" t="n"/>
      <c r="AE418" s="16" t="n"/>
      <c r="AF418" s="20" t="inlineStr">
        <is>
          <t>IC Anionen</t>
        </is>
      </c>
      <c r="AG418" s="20" t="inlineStr">
        <is>
          <t>None</t>
        </is>
      </c>
      <c r="AH418" s="17" t="n"/>
      <c r="AI418" s="16" t="n"/>
      <c r="AJ418" s="20" t="n"/>
      <c r="AK418" s="20" t="inlineStr">
        <is>
          <t>None</t>
        </is>
      </c>
      <c r="AL418" s="17" t="n"/>
      <c r="AM418" s="16" t="n"/>
      <c r="AN418" s="20" t="inlineStr">
        <is>
          <t>IC Anionen</t>
        </is>
      </c>
      <c r="AO418" s="20" t="inlineStr">
        <is>
          <t>None</t>
        </is>
      </c>
      <c r="AP418" s="17" t="n"/>
      <c r="AQ418" s="16" t="n"/>
      <c r="AR418" s="20" t="n"/>
      <c r="AS418" s="20" t="inlineStr">
        <is>
          <t>None</t>
        </is>
      </c>
      <c r="AT418" s="17" t="n"/>
      <c r="AU418" s="16" t="n"/>
      <c r="AV418" s="20" t="n"/>
      <c r="AW418" s="20" t="inlineStr">
        <is>
          <t>None</t>
        </is>
      </c>
      <c r="AX418" s="17" t="n"/>
      <c r="AY418" s="16" t="n"/>
      <c r="AZ418" s="20" t="inlineStr">
        <is>
          <t>IC Anionen</t>
        </is>
      </c>
      <c r="BA418" s="20" t="inlineStr">
        <is>
          <t>None</t>
        </is>
      </c>
      <c r="BB418" s="17" t="n"/>
      <c r="BC418" s="16" t="n"/>
      <c r="BD418" s="20" t="inlineStr">
        <is>
          <t>IC Kationen</t>
        </is>
      </c>
      <c r="BE418" s="20" t="inlineStr">
        <is>
          <t>None</t>
        </is>
      </c>
      <c r="BF418" s="17" t="n"/>
      <c r="BG418" s="16" t="n"/>
      <c r="BH418" s="20" t="inlineStr">
        <is>
          <t>IC Kationen</t>
        </is>
      </c>
      <c r="BI418" s="20" t="inlineStr">
        <is>
          <t>None</t>
        </is>
      </c>
      <c r="BJ418" s="17" t="n"/>
      <c r="BK418" s="16" t="n"/>
      <c r="BL418" s="20" t="inlineStr">
        <is>
          <t>IC Kationen</t>
        </is>
      </c>
      <c r="BM418" s="20" t="inlineStr">
        <is>
          <t>None</t>
        </is>
      </c>
      <c r="BN418" s="17" t="n"/>
      <c r="BO418" s="16" t="n"/>
      <c r="BP418" s="20" t="inlineStr">
        <is>
          <t>IC Kationen</t>
        </is>
      </c>
      <c r="BQ418" s="20" t="inlineStr">
        <is>
          <t>None</t>
        </is>
      </c>
      <c r="BR418" s="17" t="n"/>
      <c r="BS418" s="16" t="n"/>
      <c r="BT418" s="20" t="inlineStr">
        <is>
          <t>IC Kationen</t>
        </is>
      </c>
      <c r="BU418" s="20" t="inlineStr">
        <is>
          <t>None</t>
        </is>
      </c>
      <c r="BV418" s="17" t="n"/>
      <c r="BW418" s="16" t="n"/>
      <c r="BX418" s="20" t="n"/>
      <c r="BY418" s="20" t="inlineStr">
        <is>
          <t>None</t>
        </is>
      </c>
      <c r="BZ418" s="17" t="n"/>
      <c r="CA418" s="16" t="n"/>
      <c r="CB418" s="20" t="n"/>
      <c r="CC418" s="20" t="inlineStr">
        <is>
          <t>None</t>
        </is>
      </c>
      <c r="CD418" s="17" t="n"/>
      <c r="CE418" s="16" t="n"/>
      <c r="CF418" s="20" t="n"/>
      <c r="CG418" s="20" t="inlineStr">
        <is>
          <t>None</t>
        </is>
      </c>
      <c r="CH418" s="17" t="n"/>
      <c r="CI418" s="16" t="n"/>
      <c r="CJ418" s="20" t="n"/>
      <c r="CK418" s="20" t="inlineStr">
        <is>
          <t>None</t>
        </is>
      </c>
      <c r="CL418" s="17" t="n"/>
      <c r="CM418" s="16" t="n"/>
      <c r="CN418" s="20" t="inlineStr">
        <is>
          <t>SOP 45-34</t>
        </is>
      </c>
      <c r="CO418" s="20" t="inlineStr">
        <is>
          <t>None</t>
        </is>
      </c>
      <c r="CP418" s="17" t="n"/>
      <c r="CQ418" s="16" t="n"/>
      <c r="CR418" s="20" t="n"/>
      <c r="CS418" s="20" t="inlineStr">
        <is>
          <t>None</t>
        </is>
      </c>
      <c r="CT418" s="17" t="n"/>
      <c r="CU418" s="16" t="n"/>
      <c r="CV418" s="20" t="n"/>
      <c r="CW418" s="20" t="inlineStr">
        <is>
          <t>None</t>
        </is>
      </c>
      <c r="CX418" s="17" t="n"/>
      <c r="CY418" s="16" t="n"/>
      <c r="CZ418" s="20" t="inlineStr">
        <is>
          <t>WTW Multimeter 3430 with FDO 925</t>
        </is>
      </c>
      <c r="DA418" s="20" t="inlineStr">
        <is>
          <t>None</t>
        </is>
      </c>
      <c r="DB418" s="17" t="n"/>
      <c r="DC418" s="16" t="n"/>
      <c r="DD418" s="20" t="n"/>
      <c r="DE418" s="20" t="inlineStr">
        <is>
          <t>None</t>
        </is>
      </c>
      <c r="DF418" s="17" t="n"/>
      <c r="DG418" s="16" t="n"/>
      <c r="DH418" s="20" t="inlineStr">
        <is>
          <t>SOP 45-09</t>
        </is>
      </c>
      <c r="DI418" s="20" t="inlineStr">
        <is>
          <t>None</t>
        </is>
      </c>
      <c r="DJ418" s="17" t="n"/>
      <c r="DK418" s="16" t="n"/>
      <c r="DL418" s="20" t="inlineStr">
        <is>
          <t>SOP 45-09 (SOP muss noch angepasst werden für VSS)</t>
        </is>
      </c>
      <c r="DM418" s="20" t="inlineStr">
        <is>
          <t>None</t>
        </is>
      </c>
      <c r="DN418" s="17" t="n"/>
      <c r="DO418" s="16" t="n"/>
      <c r="DP418" s="20" t="inlineStr">
        <is>
          <t>IC Organic Acids</t>
        </is>
      </c>
      <c r="DQ418" s="20" t="inlineStr">
        <is>
          <t>None</t>
        </is>
      </c>
      <c r="DR418" s="17" t="n"/>
      <c r="DS418" s="16" t="n"/>
      <c r="DT418" s="20" t="inlineStr">
        <is>
          <t>IC Organic Acids</t>
        </is>
      </c>
      <c r="DU418" s="20" t="inlineStr">
        <is>
          <t>None</t>
        </is>
      </c>
      <c r="DV418" s="17" t="n"/>
      <c r="DW418" s="16" t="n"/>
      <c r="DX418" s="20" t="inlineStr">
        <is>
          <t>IC Organic Acids</t>
        </is>
      </c>
      <c r="DY418" s="20" t="inlineStr">
        <is>
          <t>None</t>
        </is>
      </c>
      <c r="DZ418" s="17" t="n"/>
      <c r="EA418" s="16" t="n"/>
      <c r="EB418" s="20" t="inlineStr">
        <is>
          <t>IC Organic Acids</t>
        </is>
      </c>
      <c r="EC418" s="20" t="inlineStr">
        <is>
          <t>None</t>
        </is>
      </c>
      <c r="ED418" s="17" t="n"/>
      <c r="EE418" s="16" t="n"/>
      <c r="EF418" s="20" t="inlineStr">
        <is>
          <t>IC Organic Acids</t>
        </is>
      </c>
      <c r="EG418" s="20" t="inlineStr">
        <is>
          <t>None</t>
        </is>
      </c>
      <c r="EH418" s="17" t="n"/>
      <c r="EI418" s="16" t="n"/>
      <c r="EJ418" s="20" t="inlineStr">
        <is>
          <t>IC Organic Acids</t>
        </is>
      </c>
      <c r="EK418" s="20" t="inlineStr">
        <is>
          <t>None</t>
        </is>
      </c>
      <c r="EL418" s="17" t="n"/>
      <c r="EM418" s="16" t="n"/>
      <c r="EN418" s="20" t="inlineStr">
        <is>
          <t>IC Organic Acids</t>
        </is>
      </c>
      <c r="EO418" s="20" t="inlineStr">
        <is>
          <t>None</t>
        </is>
      </c>
      <c r="EP418" s="17" t="n"/>
      <c r="EQ418" s="16" t="n"/>
      <c r="ER418" s="20" t="inlineStr">
        <is>
          <t>IC Organic Acids</t>
        </is>
      </c>
      <c r="ES418" s="20" t="inlineStr">
        <is>
          <t>None</t>
        </is>
      </c>
      <c r="ET418" s="17" t="n"/>
      <c r="EU418" s="16" t="n"/>
      <c r="EV418" s="20" t="inlineStr">
        <is>
          <t>LC-MS</t>
        </is>
      </c>
      <c r="EW418" s="20" t="inlineStr">
        <is>
          <t>None</t>
        </is>
      </c>
      <c r="EX418" s="17" t="n"/>
      <c r="EY418" s="21" t="n"/>
      <c r="EZ418">
        <f>CONCATENATE(A418,B418)</f>
        <v/>
      </c>
      <c r="FA418">
        <f>CONCATENATE(SamplesX!A418,SamplesX!B418)</f>
        <v/>
      </c>
      <c r="FC418">
        <f>MATCH(EZ418,FA1:FA1008,0)</f>
        <v/>
      </c>
    </row>
    <row r="419">
      <c r="A419" s="16" t="inlineStr">
        <is>
          <t>BP</t>
        </is>
      </c>
      <c r="B419" s="17" t="inlineStr">
        <is>
          <t>25411</t>
        </is>
      </c>
      <c r="C419" s="10">
        <f>IF(ISNUMBER(FC419),INDIRECT("SamplesX!C"&amp;FC419),IF(ISNUMBER(FD419),INDIRECT("SamplesY!C"&amp;FD419),""))</f>
        <v/>
      </c>
      <c r="D419" s="12">
        <f>IF(ISNUMBER(FC419),INDIRECT("SamplesX!D"&amp;FC419),IF(ISNUMBER(FD419),INDIRECT("SamplesY!D"&amp;FD419),""))</f>
        <v/>
      </c>
      <c r="E419" s="12">
        <f>IF(ISNUMBER(FC419),INDIRECT("SamplesX!E"&amp;FC419),IF(ISNUMBER(FD419),INDIRECT("SamplesY!E"&amp;FD419),""))</f>
        <v/>
      </c>
      <c r="F419" s="11">
        <f>IF(ISNUMBER(FC419),INDIRECT("SamplesX!F"&amp;FC419),IF(ISNUMBER(FD419),INDIRECT("SamplesY!F"&amp;FD419),""))</f>
        <v/>
      </c>
      <c r="G419" s="18">
        <f>IF(ISNUMBER(FC419),INDIRECT("SamplesX!G"&amp;FC419),IF(ISNUMBER(FD419),INDIRECT("SamplesY!G"&amp;FD419),""))</f>
        <v/>
      </c>
      <c r="H419" s="19">
        <f>IF(ISNUMBER(FC419),INDIRECT("SamplesX!H"&amp;FC419),IF(ISNUMBER(FD419),INDIRECT("SamplesY!H"&amp;FD419),""))</f>
        <v/>
      </c>
      <c r="I419" s="16" t="n"/>
      <c r="J419" s="16" t="n"/>
      <c r="K419" s="16" t="n"/>
      <c r="L419" s="20" t="n"/>
      <c r="M419" s="20" t="inlineStr">
        <is>
          <t>None</t>
        </is>
      </c>
      <c r="N419" s="17" t="n"/>
      <c r="O419" s="16" t="n"/>
      <c r="P419" s="20" t="inlineStr">
        <is>
          <t>Shimadzu TOC-L</t>
        </is>
      </c>
      <c r="Q419" s="20" t="inlineStr">
        <is>
          <t>None</t>
        </is>
      </c>
      <c r="R419" s="17" t="n"/>
      <c r="S419" s="16" t="n"/>
      <c r="T419" s="20" t="inlineStr">
        <is>
          <t>Shimadzu TOC-L</t>
        </is>
      </c>
      <c r="U419" s="20" t="inlineStr">
        <is>
          <t>None</t>
        </is>
      </c>
      <c r="V419" s="17" t="n"/>
      <c r="W419" s="16" t="n"/>
      <c r="X419" s="20" t="n"/>
      <c r="Y419" s="20" t="inlineStr">
        <is>
          <t>None</t>
        </is>
      </c>
      <c r="Z419" s="17" t="n"/>
      <c r="AA419" s="16" t="n"/>
      <c r="AB419" s="20" t="n"/>
      <c r="AC419" s="20" t="inlineStr">
        <is>
          <t>None</t>
        </is>
      </c>
      <c r="AD419" s="17" t="n"/>
      <c r="AE419" s="16" t="n"/>
      <c r="AF419" s="20" t="inlineStr">
        <is>
          <t>IC Anionen</t>
        </is>
      </c>
      <c r="AG419" s="20" t="inlineStr">
        <is>
          <t>None</t>
        </is>
      </c>
      <c r="AH419" s="17" t="n"/>
      <c r="AI419" s="16" t="n"/>
      <c r="AJ419" s="20" t="n"/>
      <c r="AK419" s="20" t="inlineStr">
        <is>
          <t>None</t>
        </is>
      </c>
      <c r="AL419" s="17" t="n"/>
      <c r="AM419" s="16" t="n"/>
      <c r="AN419" s="20" t="inlineStr">
        <is>
          <t>IC Anionen</t>
        </is>
      </c>
      <c r="AO419" s="20" t="inlineStr">
        <is>
          <t>None</t>
        </is>
      </c>
      <c r="AP419" s="17" t="n"/>
      <c r="AQ419" s="16" t="n"/>
      <c r="AR419" s="20" t="n"/>
      <c r="AS419" s="20" t="inlineStr">
        <is>
          <t>None</t>
        </is>
      </c>
      <c r="AT419" s="17" t="n"/>
      <c r="AU419" s="16" t="n"/>
      <c r="AV419" s="20" t="n"/>
      <c r="AW419" s="20" t="inlineStr">
        <is>
          <t>None</t>
        </is>
      </c>
      <c r="AX419" s="17" t="n"/>
      <c r="AY419" s="16" t="n"/>
      <c r="AZ419" s="20" t="inlineStr">
        <is>
          <t>IC Anionen</t>
        </is>
      </c>
      <c r="BA419" s="20" t="inlineStr">
        <is>
          <t>None</t>
        </is>
      </c>
      <c r="BB419" s="17" t="n"/>
      <c r="BC419" s="16" t="n"/>
      <c r="BD419" s="20" t="inlineStr">
        <is>
          <t>IC Kationen</t>
        </is>
      </c>
      <c r="BE419" s="20" t="inlineStr">
        <is>
          <t>None</t>
        </is>
      </c>
      <c r="BF419" s="17" t="n"/>
      <c r="BG419" s="16" t="n"/>
      <c r="BH419" s="20" t="inlineStr">
        <is>
          <t>IC Kationen</t>
        </is>
      </c>
      <c r="BI419" s="20" t="inlineStr">
        <is>
          <t>None</t>
        </is>
      </c>
      <c r="BJ419" s="17" t="n"/>
      <c r="BK419" s="16" t="n"/>
      <c r="BL419" s="20" t="inlineStr">
        <is>
          <t>IC Kationen</t>
        </is>
      </c>
      <c r="BM419" s="20" t="inlineStr">
        <is>
          <t>None</t>
        </is>
      </c>
      <c r="BN419" s="17" t="n"/>
      <c r="BO419" s="16" t="n"/>
      <c r="BP419" s="20" t="inlineStr">
        <is>
          <t>IC Kationen</t>
        </is>
      </c>
      <c r="BQ419" s="20" t="inlineStr">
        <is>
          <t>None</t>
        </is>
      </c>
      <c r="BR419" s="17" t="n"/>
      <c r="BS419" s="16" t="n"/>
      <c r="BT419" s="20" t="inlineStr">
        <is>
          <t>IC Kationen</t>
        </is>
      </c>
      <c r="BU419" s="20" t="inlineStr">
        <is>
          <t>None</t>
        </is>
      </c>
      <c r="BV419" s="17" t="n"/>
      <c r="BW419" s="16" t="n"/>
      <c r="BX419" s="20" t="n"/>
      <c r="BY419" s="20" t="inlineStr">
        <is>
          <t>None</t>
        </is>
      </c>
      <c r="BZ419" s="17" t="n"/>
      <c r="CA419" s="16" t="n"/>
      <c r="CB419" s="20" t="n"/>
      <c r="CC419" s="20" t="inlineStr">
        <is>
          <t>None</t>
        </is>
      </c>
      <c r="CD419" s="17" t="n"/>
      <c r="CE419" s="16" t="n"/>
      <c r="CF419" s="20" t="n"/>
      <c r="CG419" s="20" t="inlineStr">
        <is>
          <t>None</t>
        </is>
      </c>
      <c r="CH419" s="17" t="n"/>
      <c r="CI419" s="16" t="n"/>
      <c r="CJ419" s="20" t="n"/>
      <c r="CK419" s="20" t="inlineStr">
        <is>
          <t>None</t>
        </is>
      </c>
      <c r="CL419" s="17" t="n"/>
      <c r="CM419" s="16" t="n"/>
      <c r="CN419" s="20" t="inlineStr">
        <is>
          <t>SOP 45-34</t>
        </is>
      </c>
      <c r="CO419" s="20" t="inlineStr">
        <is>
          <t>None</t>
        </is>
      </c>
      <c r="CP419" s="17" t="n"/>
      <c r="CQ419" s="16" t="n"/>
      <c r="CR419" s="20" t="n"/>
      <c r="CS419" s="20" t="inlineStr">
        <is>
          <t>None</t>
        </is>
      </c>
      <c r="CT419" s="17" t="n"/>
      <c r="CU419" s="16" t="n"/>
      <c r="CV419" s="20" t="n"/>
      <c r="CW419" s="20" t="inlineStr">
        <is>
          <t>None</t>
        </is>
      </c>
      <c r="CX419" s="17" t="n"/>
      <c r="CY419" s="16" t="n"/>
      <c r="CZ419" s="20" t="inlineStr">
        <is>
          <t>WTW Multimeter 3430 with FDO 925</t>
        </is>
      </c>
      <c r="DA419" s="20" t="inlineStr">
        <is>
          <t>None</t>
        </is>
      </c>
      <c r="DB419" s="17" t="n"/>
      <c r="DC419" s="16" t="n"/>
      <c r="DD419" s="20" t="n"/>
      <c r="DE419" s="20" t="inlineStr">
        <is>
          <t>None</t>
        </is>
      </c>
      <c r="DF419" s="17" t="n"/>
      <c r="DG419" s="16" t="n"/>
      <c r="DH419" s="20" t="inlineStr">
        <is>
          <t>SOP 45-09</t>
        </is>
      </c>
      <c r="DI419" s="20" t="inlineStr">
        <is>
          <t>None</t>
        </is>
      </c>
      <c r="DJ419" s="17" t="n"/>
      <c r="DK419" s="16" t="n"/>
      <c r="DL419" s="20" t="inlineStr">
        <is>
          <t>SOP 45-09 (SOP muss noch angepasst werden für VSS)</t>
        </is>
      </c>
      <c r="DM419" s="20" t="inlineStr">
        <is>
          <t>None</t>
        </is>
      </c>
      <c r="DN419" s="17" t="n"/>
      <c r="DO419" s="16" t="n"/>
      <c r="DP419" s="20" t="inlineStr">
        <is>
          <t>IC Organic Acids</t>
        </is>
      </c>
      <c r="DQ419" s="20" t="inlineStr">
        <is>
          <t>None</t>
        </is>
      </c>
      <c r="DR419" s="17" t="n"/>
      <c r="DS419" s="16" t="n"/>
      <c r="DT419" s="20" t="inlineStr">
        <is>
          <t>IC Organic Acids</t>
        </is>
      </c>
      <c r="DU419" s="20" t="inlineStr">
        <is>
          <t>None</t>
        </is>
      </c>
      <c r="DV419" s="17" t="n"/>
      <c r="DW419" s="16" t="n"/>
      <c r="DX419" s="20" t="inlineStr">
        <is>
          <t>IC Organic Acids</t>
        </is>
      </c>
      <c r="DY419" s="20" t="inlineStr">
        <is>
          <t>None</t>
        </is>
      </c>
      <c r="DZ419" s="17" t="n"/>
      <c r="EA419" s="16" t="n"/>
      <c r="EB419" s="20" t="inlineStr">
        <is>
          <t>IC Organic Acids</t>
        </is>
      </c>
      <c r="EC419" s="20" t="inlineStr">
        <is>
          <t>None</t>
        </is>
      </c>
      <c r="ED419" s="17" t="n"/>
      <c r="EE419" s="16" t="n"/>
      <c r="EF419" s="20" t="inlineStr">
        <is>
          <t>IC Organic Acids</t>
        </is>
      </c>
      <c r="EG419" s="20" t="inlineStr">
        <is>
          <t>None</t>
        </is>
      </c>
      <c r="EH419" s="17" t="n"/>
      <c r="EI419" s="16" t="n"/>
      <c r="EJ419" s="20" t="inlineStr">
        <is>
          <t>IC Organic Acids</t>
        </is>
      </c>
      <c r="EK419" s="20" t="inlineStr">
        <is>
          <t>None</t>
        </is>
      </c>
      <c r="EL419" s="17" t="n"/>
      <c r="EM419" s="16" t="n"/>
      <c r="EN419" s="20" t="inlineStr">
        <is>
          <t>IC Organic Acids</t>
        </is>
      </c>
      <c r="EO419" s="20" t="inlineStr">
        <is>
          <t>None</t>
        </is>
      </c>
      <c r="EP419" s="17" t="n"/>
      <c r="EQ419" s="16" t="n"/>
      <c r="ER419" s="20" t="inlineStr">
        <is>
          <t>IC Organic Acids</t>
        </is>
      </c>
      <c r="ES419" s="20" t="inlineStr">
        <is>
          <t>None</t>
        </is>
      </c>
      <c r="ET419" s="17" t="n"/>
      <c r="EU419" s="16" t="n"/>
      <c r="EV419" s="20" t="inlineStr">
        <is>
          <t>LC-MS</t>
        </is>
      </c>
      <c r="EW419" s="20" t="inlineStr">
        <is>
          <t>None</t>
        </is>
      </c>
      <c r="EX419" s="17" t="n"/>
      <c r="EY419" s="21" t="n"/>
      <c r="EZ419">
        <f>CONCATENATE(A419,B419)</f>
        <v/>
      </c>
      <c r="FA419">
        <f>CONCATENATE(SamplesX!A419,SamplesX!B419)</f>
        <v/>
      </c>
      <c r="FC419">
        <f>MATCH(EZ419,FA1:FA1008,0)</f>
        <v/>
      </c>
    </row>
    <row r="420">
      <c r="A420" s="16" t="inlineStr">
        <is>
          <t>BP</t>
        </is>
      </c>
      <c r="B420" s="17" t="inlineStr">
        <is>
          <t>25412</t>
        </is>
      </c>
      <c r="C420" s="10">
        <f>IF(ISNUMBER(FC420),INDIRECT("SamplesX!C"&amp;FC420),IF(ISNUMBER(FD420),INDIRECT("SamplesY!C"&amp;FD420),""))</f>
        <v/>
      </c>
      <c r="D420" s="12">
        <f>IF(ISNUMBER(FC420),INDIRECT("SamplesX!D"&amp;FC420),IF(ISNUMBER(FD420),INDIRECT("SamplesY!D"&amp;FD420),""))</f>
        <v/>
      </c>
      <c r="E420" s="12">
        <f>IF(ISNUMBER(FC420),INDIRECT("SamplesX!E"&amp;FC420),IF(ISNUMBER(FD420),INDIRECT("SamplesY!E"&amp;FD420),""))</f>
        <v/>
      </c>
      <c r="F420" s="11">
        <f>IF(ISNUMBER(FC420),INDIRECT("SamplesX!F"&amp;FC420),IF(ISNUMBER(FD420),INDIRECT("SamplesY!F"&amp;FD420),""))</f>
        <v/>
      </c>
      <c r="G420" s="18">
        <f>IF(ISNUMBER(FC420),INDIRECT("SamplesX!G"&amp;FC420),IF(ISNUMBER(FD420),INDIRECT("SamplesY!G"&amp;FD420),""))</f>
        <v/>
      </c>
      <c r="H420" s="19">
        <f>IF(ISNUMBER(FC420),INDIRECT("SamplesX!H"&amp;FC420),IF(ISNUMBER(FD420),INDIRECT("SamplesY!H"&amp;FD420),""))</f>
        <v/>
      </c>
      <c r="I420" s="16" t="n"/>
      <c r="J420" s="16" t="n"/>
      <c r="K420" s="16" t="n"/>
      <c r="L420" s="20" t="n"/>
      <c r="M420" s="20" t="inlineStr">
        <is>
          <t>None</t>
        </is>
      </c>
      <c r="N420" s="17" t="n"/>
      <c r="O420" s="16" t="n"/>
      <c r="P420" s="20" t="inlineStr">
        <is>
          <t>Shimadzu TOC-L</t>
        </is>
      </c>
      <c r="Q420" s="20" t="inlineStr">
        <is>
          <t>None</t>
        </is>
      </c>
      <c r="R420" s="17" t="n"/>
      <c r="S420" s="16" t="n"/>
      <c r="T420" s="20" t="inlineStr">
        <is>
          <t>Shimadzu TOC-L</t>
        </is>
      </c>
      <c r="U420" s="20" t="inlineStr">
        <is>
          <t>None</t>
        </is>
      </c>
      <c r="V420" s="17" t="n"/>
      <c r="W420" s="16" t="n"/>
      <c r="X420" s="20" t="n"/>
      <c r="Y420" s="20" t="inlineStr">
        <is>
          <t>None</t>
        </is>
      </c>
      <c r="Z420" s="17" t="n"/>
      <c r="AA420" s="16" t="n"/>
      <c r="AB420" s="20" t="n"/>
      <c r="AC420" s="20" t="inlineStr">
        <is>
          <t>None</t>
        </is>
      </c>
      <c r="AD420" s="17" t="n"/>
      <c r="AE420" s="16" t="n"/>
      <c r="AF420" s="20" t="inlineStr">
        <is>
          <t>IC Anionen</t>
        </is>
      </c>
      <c r="AG420" s="20" t="inlineStr">
        <is>
          <t>None</t>
        </is>
      </c>
      <c r="AH420" s="17" t="n"/>
      <c r="AI420" s="16" t="n"/>
      <c r="AJ420" s="20" t="n"/>
      <c r="AK420" s="20" t="inlineStr">
        <is>
          <t>None</t>
        </is>
      </c>
      <c r="AL420" s="17" t="n"/>
      <c r="AM420" s="16" t="n"/>
      <c r="AN420" s="20" t="inlineStr">
        <is>
          <t>IC Anionen</t>
        </is>
      </c>
      <c r="AO420" s="20" t="inlineStr">
        <is>
          <t>None</t>
        </is>
      </c>
      <c r="AP420" s="17" t="n"/>
      <c r="AQ420" s="16" t="n"/>
      <c r="AR420" s="20" t="n"/>
      <c r="AS420" s="20" t="inlineStr">
        <is>
          <t>None</t>
        </is>
      </c>
      <c r="AT420" s="17" t="n"/>
      <c r="AU420" s="16" t="n"/>
      <c r="AV420" s="20" t="n"/>
      <c r="AW420" s="20" t="inlineStr">
        <is>
          <t>None</t>
        </is>
      </c>
      <c r="AX420" s="17" t="n"/>
      <c r="AY420" s="16" t="n"/>
      <c r="AZ420" s="20" t="inlineStr">
        <is>
          <t>IC Anionen</t>
        </is>
      </c>
      <c r="BA420" s="20" t="inlineStr">
        <is>
          <t>None</t>
        </is>
      </c>
      <c r="BB420" s="17" t="n"/>
      <c r="BC420" s="16" t="n"/>
      <c r="BD420" s="20" t="inlineStr">
        <is>
          <t>IC Kationen</t>
        </is>
      </c>
      <c r="BE420" s="20" t="inlineStr">
        <is>
          <t>None</t>
        </is>
      </c>
      <c r="BF420" s="17" t="n"/>
      <c r="BG420" s="16" t="n"/>
      <c r="BH420" s="20" t="inlineStr">
        <is>
          <t>IC Kationen</t>
        </is>
      </c>
      <c r="BI420" s="20" t="inlineStr">
        <is>
          <t>None</t>
        </is>
      </c>
      <c r="BJ420" s="17" t="n"/>
      <c r="BK420" s="16" t="n"/>
      <c r="BL420" s="20" t="inlineStr">
        <is>
          <t>IC Kationen</t>
        </is>
      </c>
      <c r="BM420" s="20" t="inlineStr">
        <is>
          <t>None</t>
        </is>
      </c>
      <c r="BN420" s="17" t="n"/>
      <c r="BO420" s="16" t="n"/>
      <c r="BP420" s="20" t="inlineStr">
        <is>
          <t>IC Kationen</t>
        </is>
      </c>
      <c r="BQ420" s="20" t="inlineStr">
        <is>
          <t>None</t>
        </is>
      </c>
      <c r="BR420" s="17" t="n"/>
      <c r="BS420" s="16" t="n"/>
      <c r="BT420" s="20" t="inlineStr">
        <is>
          <t>IC Kationen</t>
        </is>
      </c>
      <c r="BU420" s="20" t="inlineStr">
        <is>
          <t>None</t>
        </is>
      </c>
      <c r="BV420" s="17" t="n"/>
      <c r="BW420" s="16" t="n"/>
      <c r="BX420" s="20" t="n"/>
      <c r="BY420" s="20" t="inlineStr">
        <is>
          <t>None</t>
        </is>
      </c>
      <c r="BZ420" s="17" t="n"/>
      <c r="CA420" s="16" t="n"/>
      <c r="CB420" s="20" t="n"/>
      <c r="CC420" s="20" t="inlineStr">
        <is>
          <t>None</t>
        </is>
      </c>
      <c r="CD420" s="17" t="n"/>
      <c r="CE420" s="16" t="n"/>
      <c r="CF420" s="20" t="n"/>
      <c r="CG420" s="20" t="inlineStr">
        <is>
          <t>None</t>
        </is>
      </c>
      <c r="CH420" s="17" t="n"/>
      <c r="CI420" s="16" t="n"/>
      <c r="CJ420" s="20" t="n"/>
      <c r="CK420" s="20" t="inlineStr">
        <is>
          <t>None</t>
        </is>
      </c>
      <c r="CL420" s="17" t="n"/>
      <c r="CM420" s="16" t="n"/>
      <c r="CN420" s="20" t="inlineStr">
        <is>
          <t>SOP 45-34</t>
        </is>
      </c>
      <c r="CO420" s="20" t="inlineStr">
        <is>
          <t>None</t>
        </is>
      </c>
      <c r="CP420" s="17" t="n"/>
      <c r="CQ420" s="16" t="n"/>
      <c r="CR420" s="20" t="n"/>
      <c r="CS420" s="20" t="inlineStr">
        <is>
          <t>None</t>
        </is>
      </c>
      <c r="CT420" s="17" t="n"/>
      <c r="CU420" s="16" t="n"/>
      <c r="CV420" s="20" t="n"/>
      <c r="CW420" s="20" t="inlineStr">
        <is>
          <t>None</t>
        </is>
      </c>
      <c r="CX420" s="17" t="n"/>
      <c r="CY420" s="16" t="n"/>
      <c r="CZ420" s="20" t="inlineStr">
        <is>
          <t>WTW Multimeter 3430 with FDO 925</t>
        </is>
      </c>
      <c r="DA420" s="20" t="inlineStr">
        <is>
          <t>None</t>
        </is>
      </c>
      <c r="DB420" s="17" t="n"/>
      <c r="DC420" s="16" t="n"/>
      <c r="DD420" s="20" t="n"/>
      <c r="DE420" s="20" t="inlineStr">
        <is>
          <t>None</t>
        </is>
      </c>
      <c r="DF420" s="17" t="n"/>
      <c r="DG420" s="16" t="n"/>
      <c r="DH420" s="20" t="inlineStr">
        <is>
          <t>SOP 45-09</t>
        </is>
      </c>
      <c r="DI420" s="20" t="inlineStr">
        <is>
          <t>None</t>
        </is>
      </c>
      <c r="DJ420" s="17" t="n"/>
      <c r="DK420" s="16" t="n"/>
      <c r="DL420" s="20" t="inlineStr">
        <is>
          <t>SOP 45-09 (SOP muss noch angepasst werden für VSS)</t>
        </is>
      </c>
      <c r="DM420" s="20" t="inlineStr">
        <is>
          <t>None</t>
        </is>
      </c>
      <c r="DN420" s="17" t="n"/>
      <c r="DO420" s="16" t="n"/>
      <c r="DP420" s="20" t="inlineStr">
        <is>
          <t>IC Organic Acids</t>
        </is>
      </c>
      <c r="DQ420" s="20" t="inlineStr">
        <is>
          <t>None</t>
        </is>
      </c>
      <c r="DR420" s="17" t="n"/>
      <c r="DS420" s="16" t="n"/>
      <c r="DT420" s="20" t="inlineStr">
        <is>
          <t>IC Organic Acids</t>
        </is>
      </c>
      <c r="DU420" s="20" t="inlineStr">
        <is>
          <t>None</t>
        </is>
      </c>
      <c r="DV420" s="17" t="n"/>
      <c r="DW420" s="16" t="n"/>
      <c r="DX420" s="20" t="inlineStr">
        <is>
          <t>IC Organic Acids</t>
        </is>
      </c>
      <c r="DY420" s="20" t="inlineStr">
        <is>
          <t>None</t>
        </is>
      </c>
      <c r="DZ420" s="17" t="n"/>
      <c r="EA420" s="16" t="n"/>
      <c r="EB420" s="20" t="inlineStr">
        <is>
          <t>IC Organic Acids</t>
        </is>
      </c>
      <c r="EC420" s="20" t="inlineStr">
        <is>
          <t>None</t>
        </is>
      </c>
      <c r="ED420" s="17" t="n"/>
      <c r="EE420" s="16" t="n"/>
      <c r="EF420" s="20" t="inlineStr">
        <is>
          <t>IC Organic Acids</t>
        </is>
      </c>
      <c r="EG420" s="20" t="inlineStr">
        <is>
          <t>None</t>
        </is>
      </c>
      <c r="EH420" s="17" t="n"/>
      <c r="EI420" s="16" t="n"/>
      <c r="EJ420" s="20" t="inlineStr">
        <is>
          <t>IC Organic Acids</t>
        </is>
      </c>
      <c r="EK420" s="20" t="inlineStr">
        <is>
          <t>None</t>
        </is>
      </c>
      <c r="EL420" s="17" t="n"/>
      <c r="EM420" s="16" t="n"/>
      <c r="EN420" s="20" t="inlineStr">
        <is>
          <t>IC Organic Acids</t>
        </is>
      </c>
      <c r="EO420" s="20" t="inlineStr">
        <is>
          <t>None</t>
        </is>
      </c>
      <c r="EP420" s="17" t="n"/>
      <c r="EQ420" s="16" t="n"/>
      <c r="ER420" s="20" t="inlineStr">
        <is>
          <t>IC Organic Acids</t>
        </is>
      </c>
      <c r="ES420" s="20" t="inlineStr">
        <is>
          <t>None</t>
        </is>
      </c>
      <c r="ET420" s="17" t="n"/>
      <c r="EU420" s="16" t="n"/>
      <c r="EV420" s="20" t="inlineStr">
        <is>
          <t>LC-MS</t>
        </is>
      </c>
      <c r="EW420" s="20" t="inlineStr">
        <is>
          <t>None</t>
        </is>
      </c>
      <c r="EX420" s="17" t="n"/>
      <c r="EY420" s="21" t="n"/>
      <c r="EZ420">
        <f>CONCATENATE(A420,B420)</f>
        <v/>
      </c>
      <c r="FA420">
        <f>CONCATENATE(SamplesX!A420,SamplesX!B420)</f>
        <v/>
      </c>
      <c r="FC420">
        <f>MATCH(EZ420,FA1:FA1008,0)</f>
        <v/>
      </c>
    </row>
    <row r="421">
      <c r="A421" s="16" t="inlineStr">
        <is>
          <t>BP</t>
        </is>
      </c>
      <c r="B421" s="17" t="inlineStr">
        <is>
          <t>25413</t>
        </is>
      </c>
      <c r="C421" s="10">
        <f>IF(ISNUMBER(FC421),INDIRECT("SamplesX!C"&amp;FC421),IF(ISNUMBER(FD421),INDIRECT("SamplesY!C"&amp;FD421),""))</f>
        <v/>
      </c>
      <c r="D421" s="12">
        <f>IF(ISNUMBER(FC421),INDIRECT("SamplesX!D"&amp;FC421),IF(ISNUMBER(FD421),INDIRECT("SamplesY!D"&amp;FD421),""))</f>
        <v/>
      </c>
      <c r="E421" s="12">
        <f>IF(ISNUMBER(FC421),INDIRECT("SamplesX!E"&amp;FC421),IF(ISNUMBER(FD421),INDIRECT("SamplesY!E"&amp;FD421),""))</f>
        <v/>
      </c>
      <c r="F421" s="11">
        <f>IF(ISNUMBER(FC421),INDIRECT("SamplesX!F"&amp;FC421),IF(ISNUMBER(FD421),INDIRECT("SamplesY!F"&amp;FD421),""))</f>
        <v/>
      </c>
      <c r="G421" s="18">
        <f>IF(ISNUMBER(FC421),INDIRECT("SamplesX!G"&amp;FC421),IF(ISNUMBER(FD421),INDIRECT("SamplesY!G"&amp;FD421),""))</f>
        <v/>
      </c>
      <c r="H421" s="19">
        <f>IF(ISNUMBER(FC421),INDIRECT("SamplesX!H"&amp;FC421),IF(ISNUMBER(FD421),INDIRECT("SamplesY!H"&amp;FD421),""))</f>
        <v/>
      </c>
      <c r="I421" s="16" t="n"/>
      <c r="J421" s="16" t="n"/>
      <c r="K421" s="16" t="n"/>
      <c r="L421" s="20" t="n"/>
      <c r="M421" s="20" t="inlineStr">
        <is>
          <t>None</t>
        </is>
      </c>
      <c r="N421" s="17" t="n"/>
      <c r="O421" s="16" t="n"/>
      <c r="P421" s="20" t="inlineStr">
        <is>
          <t>Shimadzu TOC-L</t>
        </is>
      </c>
      <c r="Q421" s="20" t="inlineStr">
        <is>
          <t>None</t>
        </is>
      </c>
      <c r="R421" s="17" t="n"/>
      <c r="S421" s="16" t="n"/>
      <c r="T421" s="20" t="inlineStr">
        <is>
          <t>Shimadzu TOC-L</t>
        </is>
      </c>
      <c r="U421" s="20" t="inlineStr">
        <is>
          <t>None</t>
        </is>
      </c>
      <c r="V421" s="17" t="n"/>
      <c r="W421" s="16" t="n"/>
      <c r="X421" s="20" t="n"/>
      <c r="Y421" s="20" t="inlineStr">
        <is>
          <t>None</t>
        </is>
      </c>
      <c r="Z421" s="17" t="n"/>
      <c r="AA421" s="16" t="n"/>
      <c r="AB421" s="20" t="n"/>
      <c r="AC421" s="20" t="inlineStr">
        <is>
          <t>None</t>
        </is>
      </c>
      <c r="AD421" s="17" t="n"/>
      <c r="AE421" s="16" t="n"/>
      <c r="AF421" s="20" t="inlineStr">
        <is>
          <t>IC Anionen</t>
        </is>
      </c>
      <c r="AG421" s="20" t="inlineStr">
        <is>
          <t>None</t>
        </is>
      </c>
      <c r="AH421" s="17" t="n"/>
      <c r="AI421" s="16" t="n"/>
      <c r="AJ421" s="20" t="n"/>
      <c r="AK421" s="20" t="inlineStr">
        <is>
          <t>None</t>
        </is>
      </c>
      <c r="AL421" s="17" t="n"/>
      <c r="AM421" s="16" t="n"/>
      <c r="AN421" s="20" t="inlineStr">
        <is>
          <t>IC Anionen</t>
        </is>
      </c>
      <c r="AO421" s="20" t="inlineStr">
        <is>
          <t>None</t>
        </is>
      </c>
      <c r="AP421" s="17" t="n"/>
      <c r="AQ421" s="16" t="n"/>
      <c r="AR421" s="20" t="n"/>
      <c r="AS421" s="20" t="inlineStr">
        <is>
          <t>None</t>
        </is>
      </c>
      <c r="AT421" s="17" t="n"/>
      <c r="AU421" s="16" t="n"/>
      <c r="AV421" s="20" t="n"/>
      <c r="AW421" s="20" t="inlineStr">
        <is>
          <t>None</t>
        </is>
      </c>
      <c r="AX421" s="17" t="n"/>
      <c r="AY421" s="16" t="n"/>
      <c r="AZ421" s="20" t="inlineStr">
        <is>
          <t>IC Anionen</t>
        </is>
      </c>
      <c r="BA421" s="20" t="inlineStr">
        <is>
          <t>None</t>
        </is>
      </c>
      <c r="BB421" s="17" t="n"/>
      <c r="BC421" s="16" t="n"/>
      <c r="BD421" s="20" t="inlineStr">
        <is>
          <t>IC Kationen</t>
        </is>
      </c>
      <c r="BE421" s="20" t="inlineStr">
        <is>
          <t>None</t>
        </is>
      </c>
      <c r="BF421" s="17" t="n"/>
      <c r="BG421" s="16" t="n"/>
      <c r="BH421" s="20" t="inlineStr">
        <is>
          <t>IC Kationen</t>
        </is>
      </c>
      <c r="BI421" s="20" t="inlineStr">
        <is>
          <t>None</t>
        </is>
      </c>
      <c r="BJ421" s="17" t="n"/>
      <c r="BK421" s="16" t="n"/>
      <c r="BL421" s="20" t="inlineStr">
        <is>
          <t>IC Kationen</t>
        </is>
      </c>
      <c r="BM421" s="20" t="inlineStr">
        <is>
          <t>None</t>
        </is>
      </c>
      <c r="BN421" s="17" t="n"/>
      <c r="BO421" s="16" t="n"/>
      <c r="BP421" s="20" t="inlineStr">
        <is>
          <t>IC Kationen</t>
        </is>
      </c>
      <c r="BQ421" s="20" t="inlineStr">
        <is>
          <t>None</t>
        </is>
      </c>
      <c r="BR421" s="17" t="n"/>
      <c r="BS421" s="16" t="n"/>
      <c r="BT421" s="20" t="inlineStr">
        <is>
          <t>IC Kationen</t>
        </is>
      </c>
      <c r="BU421" s="20" t="inlineStr">
        <is>
          <t>None</t>
        </is>
      </c>
      <c r="BV421" s="17" t="n"/>
      <c r="BW421" s="16" t="n"/>
      <c r="BX421" s="20" t="n"/>
      <c r="BY421" s="20" t="inlineStr">
        <is>
          <t>None</t>
        </is>
      </c>
      <c r="BZ421" s="17" t="n"/>
      <c r="CA421" s="16" t="n"/>
      <c r="CB421" s="20" t="n"/>
      <c r="CC421" s="20" t="inlineStr">
        <is>
          <t>None</t>
        </is>
      </c>
      <c r="CD421" s="17" t="n"/>
      <c r="CE421" s="16" t="n"/>
      <c r="CF421" s="20" t="n"/>
      <c r="CG421" s="20" t="inlineStr">
        <is>
          <t>None</t>
        </is>
      </c>
      <c r="CH421" s="17" t="n"/>
      <c r="CI421" s="16" t="n"/>
      <c r="CJ421" s="20" t="n"/>
      <c r="CK421" s="20" t="inlineStr">
        <is>
          <t>None</t>
        </is>
      </c>
      <c r="CL421" s="17" t="n"/>
      <c r="CM421" s="16" t="n"/>
      <c r="CN421" s="20" t="inlineStr">
        <is>
          <t>SOP 45-34</t>
        </is>
      </c>
      <c r="CO421" s="20" t="inlineStr">
        <is>
          <t>None</t>
        </is>
      </c>
      <c r="CP421" s="17" t="n"/>
      <c r="CQ421" s="16" t="n"/>
      <c r="CR421" s="20" t="n"/>
      <c r="CS421" s="20" t="inlineStr">
        <is>
          <t>None</t>
        </is>
      </c>
      <c r="CT421" s="17" t="n"/>
      <c r="CU421" s="16" t="n"/>
      <c r="CV421" s="20" t="n"/>
      <c r="CW421" s="20" t="inlineStr">
        <is>
          <t>None</t>
        </is>
      </c>
      <c r="CX421" s="17" t="n"/>
      <c r="CY421" s="16" t="n"/>
      <c r="CZ421" s="20" t="inlineStr">
        <is>
          <t>WTW Multimeter 3430 with FDO 925</t>
        </is>
      </c>
      <c r="DA421" s="20" t="inlineStr">
        <is>
          <t>None</t>
        </is>
      </c>
      <c r="DB421" s="17" t="n"/>
      <c r="DC421" s="16" t="n"/>
      <c r="DD421" s="20" t="n"/>
      <c r="DE421" s="20" t="inlineStr">
        <is>
          <t>None</t>
        </is>
      </c>
      <c r="DF421" s="17" t="n"/>
      <c r="DG421" s="16" t="n"/>
      <c r="DH421" s="20" t="inlineStr">
        <is>
          <t>SOP 45-09</t>
        </is>
      </c>
      <c r="DI421" s="20" t="inlineStr">
        <is>
          <t>None</t>
        </is>
      </c>
      <c r="DJ421" s="17" t="n"/>
      <c r="DK421" s="16" t="n"/>
      <c r="DL421" s="20" t="inlineStr">
        <is>
          <t>SOP 45-09 (SOP muss noch angepasst werden für VSS)</t>
        </is>
      </c>
      <c r="DM421" s="20" t="inlineStr">
        <is>
          <t>None</t>
        </is>
      </c>
      <c r="DN421" s="17" t="n"/>
      <c r="DO421" s="16" t="n"/>
      <c r="DP421" s="20" t="inlineStr">
        <is>
          <t>IC Organic Acids</t>
        </is>
      </c>
      <c r="DQ421" s="20" t="inlineStr">
        <is>
          <t>None</t>
        </is>
      </c>
      <c r="DR421" s="17" t="n"/>
      <c r="DS421" s="16" t="n"/>
      <c r="DT421" s="20" t="inlineStr">
        <is>
          <t>IC Organic Acids</t>
        </is>
      </c>
      <c r="DU421" s="20" t="inlineStr">
        <is>
          <t>None</t>
        </is>
      </c>
      <c r="DV421" s="17" t="n"/>
      <c r="DW421" s="16" t="n"/>
      <c r="DX421" s="20" t="inlineStr">
        <is>
          <t>IC Organic Acids</t>
        </is>
      </c>
      <c r="DY421" s="20" t="inlineStr">
        <is>
          <t>None</t>
        </is>
      </c>
      <c r="DZ421" s="17" t="n"/>
      <c r="EA421" s="16" t="n"/>
      <c r="EB421" s="20" t="inlineStr">
        <is>
          <t>IC Organic Acids</t>
        </is>
      </c>
      <c r="EC421" s="20" t="inlineStr">
        <is>
          <t>None</t>
        </is>
      </c>
      <c r="ED421" s="17" t="n"/>
      <c r="EE421" s="16" t="n"/>
      <c r="EF421" s="20" t="inlineStr">
        <is>
          <t>IC Organic Acids</t>
        </is>
      </c>
      <c r="EG421" s="20" t="inlineStr">
        <is>
          <t>None</t>
        </is>
      </c>
      <c r="EH421" s="17" t="n"/>
      <c r="EI421" s="16" t="n"/>
      <c r="EJ421" s="20" t="inlineStr">
        <is>
          <t>IC Organic Acids</t>
        </is>
      </c>
      <c r="EK421" s="20" t="inlineStr">
        <is>
          <t>None</t>
        </is>
      </c>
      <c r="EL421" s="17" t="n"/>
      <c r="EM421" s="16" t="n"/>
      <c r="EN421" s="20" t="inlineStr">
        <is>
          <t>IC Organic Acids</t>
        </is>
      </c>
      <c r="EO421" s="20" t="inlineStr">
        <is>
          <t>None</t>
        </is>
      </c>
      <c r="EP421" s="17" t="n"/>
      <c r="EQ421" s="16" t="n"/>
      <c r="ER421" s="20" t="inlineStr">
        <is>
          <t>IC Organic Acids</t>
        </is>
      </c>
      <c r="ES421" s="20" t="inlineStr">
        <is>
          <t>None</t>
        </is>
      </c>
      <c r="ET421" s="17" t="n"/>
      <c r="EU421" s="16" t="n"/>
      <c r="EV421" s="20" t="inlineStr">
        <is>
          <t>LC-MS</t>
        </is>
      </c>
      <c r="EW421" s="20" t="inlineStr">
        <is>
          <t>None</t>
        </is>
      </c>
      <c r="EX421" s="17" t="n"/>
      <c r="EY421" s="21" t="n"/>
      <c r="EZ421">
        <f>CONCATENATE(A421,B421)</f>
        <v/>
      </c>
      <c r="FA421">
        <f>CONCATENATE(SamplesX!A421,SamplesX!B421)</f>
        <v/>
      </c>
      <c r="FC421">
        <f>MATCH(EZ421,FA1:FA1008,0)</f>
        <v/>
      </c>
    </row>
    <row r="422">
      <c r="A422" s="16" t="inlineStr">
        <is>
          <t>BP</t>
        </is>
      </c>
      <c r="B422" s="17" t="inlineStr">
        <is>
          <t>25414</t>
        </is>
      </c>
      <c r="C422" s="10">
        <f>IF(ISNUMBER(FC422),INDIRECT("SamplesX!C"&amp;FC422),IF(ISNUMBER(FD422),INDIRECT("SamplesY!C"&amp;FD422),""))</f>
        <v/>
      </c>
      <c r="D422" s="12">
        <f>IF(ISNUMBER(FC422),INDIRECT("SamplesX!D"&amp;FC422),IF(ISNUMBER(FD422),INDIRECT("SamplesY!D"&amp;FD422),""))</f>
        <v/>
      </c>
      <c r="E422" s="12">
        <f>IF(ISNUMBER(FC422),INDIRECT("SamplesX!E"&amp;FC422),IF(ISNUMBER(FD422),INDIRECT("SamplesY!E"&amp;FD422),""))</f>
        <v/>
      </c>
      <c r="F422" s="11">
        <f>IF(ISNUMBER(FC422),INDIRECT("SamplesX!F"&amp;FC422),IF(ISNUMBER(FD422),INDIRECT("SamplesY!F"&amp;FD422),""))</f>
        <v/>
      </c>
      <c r="G422" s="18">
        <f>IF(ISNUMBER(FC422),INDIRECT("SamplesX!G"&amp;FC422),IF(ISNUMBER(FD422),INDIRECT("SamplesY!G"&amp;FD422),""))</f>
        <v/>
      </c>
      <c r="H422" s="19">
        <f>IF(ISNUMBER(FC422),INDIRECT("SamplesX!H"&amp;FC422),IF(ISNUMBER(FD422),INDIRECT("SamplesY!H"&amp;FD422),""))</f>
        <v/>
      </c>
      <c r="I422" s="16" t="n"/>
      <c r="J422" s="16" t="n"/>
      <c r="K422" s="16" t="n"/>
      <c r="L422" s="20" t="n"/>
      <c r="M422" s="20" t="inlineStr">
        <is>
          <t>None</t>
        </is>
      </c>
      <c r="N422" s="17" t="n"/>
      <c r="O422" s="16" t="n"/>
      <c r="P422" s="20" t="inlineStr">
        <is>
          <t>Shimadzu TOC-L</t>
        </is>
      </c>
      <c r="Q422" s="20" t="inlineStr">
        <is>
          <t>None</t>
        </is>
      </c>
      <c r="R422" s="17" t="n"/>
      <c r="S422" s="16" t="n"/>
      <c r="T422" s="20" t="inlineStr">
        <is>
          <t>Shimadzu TOC-L</t>
        </is>
      </c>
      <c r="U422" s="20" t="inlineStr">
        <is>
          <t>None</t>
        </is>
      </c>
      <c r="V422" s="17" t="n"/>
      <c r="W422" s="16" t="n"/>
      <c r="X422" s="20" t="n"/>
      <c r="Y422" s="20" t="inlineStr">
        <is>
          <t>None</t>
        </is>
      </c>
      <c r="Z422" s="17" t="n"/>
      <c r="AA422" s="16" t="n"/>
      <c r="AB422" s="20" t="n"/>
      <c r="AC422" s="20" t="inlineStr">
        <is>
          <t>None</t>
        </is>
      </c>
      <c r="AD422" s="17" t="n"/>
      <c r="AE422" s="16" t="n"/>
      <c r="AF422" s="20" t="inlineStr">
        <is>
          <t>IC Anionen</t>
        </is>
      </c>
      <c r="AG422" s="20" t="inlineStr">
        <is>
          <t>None</t>
        </is>
      </c>
      <c r="AH422" s="17" t="n"/>
      <c r="AI422" s="16" t="n"/>
      <c r="AJ422" s="20" t="n"/>
      <c r="AK422" s="20" t="inlineStr">
        <is>
          <t>None</t>
        </is>
      </c>
      <c r="AL422" s="17" t="n"/>
      <c r="AM422" s="16" t="n"/>
      <c r="AN422" s="20" t="inlineStr">
        <is>
          <t>IC Anionen</t>
        </is>
      </c>
      <c r="AO422" s="20" t="inlineStr">
        <is>
          <t>None</t>
        </is>
      </c>
      <c r="AP422" s="17" t="n"/>
      <c r="AQ422" s="16" t="n"/>
      <c r="AR422" s="20" t="n"/>
      <c r="AS422" s="20" t="inlineStr">
        <is>
          <t>None</t>
        </is>
      </c>
      <c r="AT422" s="17" t="n"/>
      <c r="AU422" s="16" t="n"/>
      <c r="AV422" s="20" t="n"/>
      <c r="AW422" s="20" t="inlineStr">
        <is>
          <t>None</t>
        </is>
      </c>
      <c r="AX422" s="17" t="n"/>
      <c r="AY422" s="16" t="n"/>
      <c r="AZ422" s="20" t="inlineStr">
        <is>
          <t>IC Anionen</t>
        </is>
      </c>
      <c r="BA422" s="20" t="inlineStr">
        <is>
          <t>None</t>
        </is>
      </c>
      <c r="BB422" s="17" t="n"/>
      <c r="BC422" s="16" t="n"/>
      <c r="BD422" s="20" t="inlineStr">
        <is>
          <t>IC Kationen</t>
        </is>
      </c>
      <c r="BE422" s="20" t="inlineStr">
        <is>
          <t>None</t>
        </is>
      </c>
      <c r="BF422" s="17" t="n"/>
      <c r="BG422" s="16" t="n"/>
      <c r="BH422" s="20" t="inlineStr">
        <is>
          <t>IC Kationen</t>
        </is>
      </c>
      <c r="BI422" s="20" t="inlineStr">
        <is>
          <t>None</t>
        </is>
      </c>
      <c r="BJ422" s="17" t="n"/>
      <c r="BK422" s="16" t="n"/>
      <c r="BL422" s="20" t="inlineStr">
        <is>
          <t>IC Kationen</t>
        </is>
      </c>
      <c r="BM422" s="20" t="inlineStr">
        <is>
          <t>None</t>
        </is>
      </c>
      <c r="BN422" s="17" t="n"/>
      <c r="BO422" s="16" t="n"/>
      <c r="BP422" s="20" t="inlineStr">
        <is>
          <t>IC Kationen</t>
        </is>
      </c>
      <c r="BQ422" s="20" t="inlineStr">
        <is>
          <t>None</t>
        </is>
      </c>
      <c r="BR422" s="17" t="n"/>
      <c r="BS422" s="16" t="n"/>
      <c r="BT422" s="20" t="inlineStr">
        <is>
          <t>IC Kationen</t>
        </is>
      </c>
      <c r="BU422" s="20" t="inlineStr">
        <is>
          <t>None</t>
        </is>
      </c>
      <c r="BV422" s="17" t="n"/>
      <c r="BW422" s="16" t="n"/>
      <c r="BX422" s="20" t="n"/>
      <c r="BY422" s="20" t="inlineStr">
        <is>
          <t>None</t>
        </is>
      </c>
      <c r="BZ422" s="17" t="n"/>
      <c r="CA422" s="16" t="n"/>
      <c r="CB422" s="20" t="n"/>
      <c r="CC422" s="20" t="inlineStr">
        <is>
          <t>None</t>
        </is>
      </c>
      <c r="CD422" s="17" t="n"/>
      <c r="CE422" s="16" t="n"/>
      <c r="CF422" s="20" t="n"/>
      <c r="CG422" s="20" t="inlineStr">
        <is>
          <t>None</t>
        </is>
      </c>
      <c r="CH422" s="17" t="n"/>
      <c r="CI422" s="16" t="n"/>
      <c r="CJ422" s="20" t="n"/>
      <c r="CK422" s="20" t="inlineStr">
        <is>
          <t>None</t>
        </is>
      </c>
      <c r="CL422" s="17" t="n"/>
      <c r="CM422" s="16" t="n"/>
      <c r="CN422" s="20" t="inlineStr">
        <is>
          <t>SOP 45-34</t>
        </is>
      </c>
      <c r="CO422" s="20" t="inlineStr">
        <is>
          <t>None</t>
        </is>
      </c>
      <c r="CP422" s="17" t="n"/>
      <c r="CQ422" s="16" t="n"/>
      <c r="CR422" s="20" t="n"/>
      <c r="CS422" s="20" t="inlineStr">
        <is>
          <t>None</t>
        </is>
      </c>
      <c r="CT422" s="17" t="n"/>
      <c r="CU422" s="16" t="n"/>
      <c r="CV422" s="20" t="n"/>
      <c r="CW422" s="20" t="inlineStr">
        <is>
          <t>None</t>
        </is>
      </c>
      <c r="CX422" s="17" t="n"/>
      <c r="CY422" s="16" t="n"/>
      <c r="CZ422" s="20" t="inlineStr">
        <is>
          <t>WTW Multimeter 3430 with FDO 925</t>
        </is>
      </c>
      <c r="DA422" s="20" t="inlineStr">
        <is>
          <t>None</t>
        </is>
      </c>
      <c r="DB422" s="17" t="n"/>
      <c r="DC422" s="16" t="n"/>
      <c r="DD422" s="20" t="n"/>
      <c r="DE422" s="20" t="inlineStr">
        <is>
          <t>None</t>
        </is>
      </c>
      <c r="DF422" s="17" t="n"/>
      <c r="DG422" s="16" t="n"/>
      <c r="DH422" s="20" t="inlineStr">
        <is>
          <t>SOP 45-09</t>
        </is>
      </c>
      <c r="DI422" s="20" t="inlineStr">
        <is>
          <t>None</t>
        </is>
      </c>
      <c r="DJ422" s="17" t="n"/>
      <c r="DK422" s="16" t="n"/>
      <c r="DL422" s="20" t="inlineStr">
        <is>
          <t>SOP 45-09 (SOP muss noch angepasst werden für VSS)</t>
        </is>
      </c>
      <c r="DM422" s="20" t="inlineStr">
        <is>
          <t>None</t>
        </is>
      </c>
      <c r="DN422" s="17" t="n"/>
      <c r="DO422" s="16" t="n"/>
      <c r="DP422" s="20" t="inlineStr">
        <is>
          <t>IC Organic Acids</t>
        </is>
      </c>
      <c r="DQ422" s="20" t="inlineStr">
        <is>
          <t>None</t>
        </is>
      </c>
      <c r="DR422" s="17" t="n"/>
      <c r="DS422" s="16" t="n"/>
      <c r="DT422" s="20" t="inlineStr">
        <is>
          <t>IC Organic Acids</t>
        </is>
      </c>
      <c r="DU422" s="20" t="inlineStr">
        <is>
          <t>None</t>
        </is>
      </c>
      <c r="DV422" s="17" t="n"/>
      <c r="DW422" s="16" t="n"/>
      <c r="DX422" s="20" t="inlineStr">
        <is>
          <t>IC Organic Acids</t>
        </is>
      </c>
      <c r="DY422" s="20" t="inlineStr">
        <is>
          <t>None</t>
        </is>
      </c>
      <c r="DZ422" s="17" t="n"/>
      <c r="EA422" s="16" t="n"/>
      <c r="EB422" s="20" t="inlineStr">
        <is>
          <t>IC Organic Acids</t>
        </is>
      </c>
      <c r="EC422" s="20" t="inlineStr">
        <is>
          <t>None</t>
        </is>
      </c>
      <c r="ED422" s="17" t="n"/>
      <c r="EE422" s="16" t="n"/>
      <c r="EF422" s="20" t="inlineStr">
        <is>
          <t>IC Organic Acids</t>
        </is>
      </c>
      <c r="EG422" s="20" t="inlineStr">
        <is>
          <t>None</t>
        </is>
      </c>
      <c r="EH422" s="17" t="n"/>
      <c r="EI422" s="16" t="n"/>
      <c r="EJ422" s="20" t="inlineStr">
        <is>
          <t>IC Organic Acids</t>
        </is>
      </c>
      <c r="EK422" s="20" t="inlineStr">
        <is>
          <t>None</t>
        </is>
      </c>
      <c r="EL422" s="17" t="n"/>
      <c r="EM422" s="16" t="n"/>
      <c r="EN422" s="20" t="inlineStr">
        <is>
          <t>IC Organic Acids</t>
        </is>
      </c>
      <c r="EO422" s="20" t="inlineStr">
        <is>
          <t>None</t>
        </is>
      </c>
      <c r="EP422" s="17" t="n"/>
      <c r="EQ422" s="16" t="n"/>
      <c r="ER422" s="20" t="inlineStr">
        <is>
          <t>IC Organic Acids</t>
        </is>
      </c>
      <c r="ES422" s="20" t="inlineStr">
        <is>
          <t>None</t>
        </is>
      </c>
      <c r="ET422" s="17" t="n"/>
      <c r="EU422" s="16" t="n"/>
      <c r="EV422" s="20" t="inlineStr">
        <is>
          <t>LC-MS</t>
        </is>
      </c>
      <c r="EW422" s="20" t="inlineStr">
        <is>
          <t>None</t>
        </is>
      </c>
      <c r="EX422" s="17" t="n"/>
      <c r="EY422" s="21" t="n"/>
      <c r="EZ422">
        <f>CONCATENATE(A422,B422)</f>
        <v/>
      </c>
      <c r="FA422">
        <f>CONCATENATE(SamplesX!A422,SamplesX!B422)</f>
        <v/>
      </c>
      <c r="FC422">
        <f>MATCH(EZ422,FA1:FA1008,0)</f>
        <v/>
      </c>
    </row>
    <row r="423">
      <c r="A423" s="16" t="inlineStr">
        <is>
          <t>BP</t>
        </is>
      </c>
      <c r="B423" s="17" t="inlineStr">
        <is>
          <t>25415</t>
        </is>
      </c>
      <c r="C423" s="10">
        <f>IF(ISNUMBER(FC423),INDIRECT("SamplesX!C"&amp;FC423),IF(ISNUMBER(FD423),INDIRECT("SamplesY!C"&amp;FD423),""))</f>
        <v/>
      </c>
      <c r="D423" s="12">
        <f>IF(ISNUMBER(FC423),INDIRECT("SamplesX!D"&amp;FC423),IF(ISNUMBER(FD423),INDIRECT("SamplesY!D"&amp;FD423),""))</f>
        <v/>
      </c>
      <c r="E423" s="12">
        <f>IF(ISNUMBER(FC423),INDIRECT("SamplesX!E"&amp;FC423),IF(ISNUMBER(FD423),INDIRECT("SamplesY!E"&amp;FD423),""))</f>
        <v/>
      </c>
      <c r="F423" s="11">
        <f>IF(ISNUMBER(FC423),INDIRECT("SamplesX!F"&amp;FC423),IF(ISNUMBER(FD423),INDIRECT("SamplesY!F"&amp;FD423),""))</f>
        <v/>
      </c>
      <c r="G423" s="18">
        <f>IF(ISNUMBER(FC423),INDIRECT("SamplesX!G"&amp;FC423),IF(ISNUMBER(FD423),INDIRECT("SamplesY!G"&amp;FD423),""))</f>
        <v/>
      </c>
      <c r="H423" s="19">
        <f>IF(ISNUMBER(FC423),INDIRECT("SamplesX!H"&amp;FC423),IF(ISNUMBER(FD423),INDIRECT("SamplesY!H"&amp;FD423),""))</f>
        <v/>
      </c>
      <c r="I423" s="16" t="n"/>
      <c r="J423" s="16" t="n"/>
      <c r="K423" s="16" t="n"/>
      <c r="L423" s="20" t="n"/>
      <c r="M423" s="20" t="inlineStr">
        <is>
          <t>None</t>
        </is>
      </c>
      <c r="N423" s="17" t="n"/>
      <c r="O423" s="16" t="n"/>
      <c r="P423" s="20" t="inlineStr">
        <is>
          <t>Shimadzu TOC-L</t>
        </is>
      </c>
      <c r="Q423" s="20" t="inlineStr">
        <is>
          <t>None</t>
        </is>
      </c>
      <c r="R423" s="17" t="n"/>
      <c r="S423" s="16" t="n"/>
      <c r="T423" s="20" t="inlineStr">
        <is>
          <t>Shimadzu TOC-L</t>
        </is>
      </c>
      <c r="U423" s="20" t="inlineStr">
        <is>
          <t>None</t>
        </is>
      </c>
      <c r="V423" s="17" t="n"/>
      <c r="W423" s="16" t="n"/>
      <c r="X423" s="20" t="n"/>
      <c r="Y423" s="20" t="inlineStr">
        <is>
          <t>None</t>
        </is>
      </c>
      <c r="Z423" s="17" t="n"/>
      <c r="AA423" s="16" t="n"/>
      <c r="AB423" s="20" t="n"/>
      <c r="AC423" s="20" t="inlineStr">
        <is>
          <t>None</t>
        </is>
      </c>
      <c r="AD423" s="17" t="n"/>
      <c r="AE423" s="16" t="n"/>
      <c r="AF423" s="20" t="inlineStr">
        <is>
          <t>IC Anionen</t>
        </is>
      </c>
      <c r="AG423" s="20" t="inlineStr">
        <is>
          <t>None</t>
        </is>
      </c>
      <c r="AH423" s="17" t="n"/>
      <c r="AI423" s="16" t="n"/>
      <c r="AJ423" s="20" t="n"/>
      <c r="AK423" s="20" t="inlineStr">
        <is>
          <t>None</t>
        </is>
      </c>
      <c r="AL423" s="17" t="n"/>
      <c r="AM423" s="16" t="n"/>
      <c r="AN423" s="20" t="inlineStr">
        <is>
          <t>IC Anionen</t>
        </is>
      </c>
      <c r="AO423" s="20" t="inlineStr">
        <is>
          <t>None</t>
        </is>
      </c>
      <c r="AP423" s="17" t="n"/>
      <c r="AQ423" s="16" t="n"/>
      <c r="AR423" s="20" t="n"/>
      <c r="AS423" s="20" t="inlineStr">
        <is>
          <t>None</t>
        </is>
      </c>
      <c r="AT423" s="17" t="n"/>
      <c r="AU423" s="16" t="n"/>
      <c r="AV423" s="20" t="n"/>
      <c r="AW423" s="20" t="inlineStr">
        <is>
          <t>None</t>
        </is>
      </c>
      <c r="AX423" s="17" t="n"/>
      <c r="AY423" s="16" t="n"/>
      <c r="AZ423" s="20" t="inlineStr">
        <is>
          <t>IC Anionen</t>
        </is>
      </c>
      <c r="BA423" s="20" t="inlineStr">
        <is>
          <t>None</t>
        </is>
      </c>
      <c r="BB423" s="17" t="n"/>
      <c r="BC423" s="16" t="n"/>
      <c r="BD423" s="20" t="inlineStr">
        <is>
          <t>IC Kationen</t>
        </is>
      </c>
      <c r="BE423" s="20" t="inlineStr">
        <is>
          <t>None</t>
        </is>
      </c>
      <c r="BF423" s="17" t="n"/>
      <c r="BG423" s="16" t="n"/>
      <c r="BH423" s="20" t="inlineStr">
        <is>
          <t>IC Kationen</t>
        </is>
      </c>
      <c r="BI423" s="20" t="inlineStr">
        <is>
          <t>None</t>
        </is>
      </c>
      <c r="BJ423" s="17" t="n"/>
      <c r="BK423" s="16" t="n"/>
      <c r="BL423" s="20" t="inlineStr">
        <is>
          <t>IC Kationen</t>
        </is>
      </c>
      <c r="BM423" s="20" t="inlineStr">
        <is>
          <t>None</t>
        </is>
      </c>
      <c r="BN423" s="17" t="n"/>
      <c r="BO423" s="16" t="n"/>
      <c r="BP423" s="20" t="inlineStr">
        <is>
          <t>IC Kationen</t>
        </is>
      </c>
      <c r="BQ423" s="20" t="inlineStr">
        <is>
          <t>None</t>
        </is>
      </c>
      <c r="BR423" s="17" t="n"/>
      <c r="BS423" s="16" t="n"/>
      <c r="BT423" s="20" t="inlineStr">
        <is>
          <t>IC Kationen</t>
        </is>
      </c>
      <c r="BU423" s="20" t="inlineStr">
        <is>
          <t>None</t>
        </is>
      </c>
      <c r="BV423" s="17" t="n"/>
      <c r="BW423" s="16" t="n"/>
      <c r="BX423" s="20" t="n"/>
      <c r="BY423" s="20" t="inlineStr">
        <is>
          <t>None</t>
        </is>
      </c>
      <c r="BZ423" s="17" t="n"/>
      <c r="CA423" s="16" t="n"/>
      <c r="CB423" s="20" t="n"/>
      <c r="CC423" s="20" t="inlineStr">
        <is>
          <t>None</t>
        </is>
      </c>
      <c r="CD423" s="17" t="n"/>
      <c r="CE423" s="16" t="n"/>
      <c r="CF423" s="20" t="n"/>
      <c r="CG423" s="20" t="inlineStr">
        <is>
          <t>None</t>
        </is>
      </c>
      <c r="CH423" s="17" t="n"/>
      <c r="CI423" s="16" t="n"/>
      <c r="CJ423" s="20" t="n"/>
      <c r="CK423" s="20" t="inlineStr">
        <is>
          <t>None</t>
        </is>
      </c>
      <c r="CL423" s="17" t="n"/>
      <c r="CM423" s="16" t="n"/>
      <c r="CN423" s="20" t="inlineStr">
        <is>
          <t>SOP 45-34</t>
        </is>
      </c>
      <c r="CO423" s="20" t="inlineStr">
        <is>
          <t>None</t>
        </is>
      </c>
      <c r="CP423" s="17" t="n"/>
      <c r="CQ423" s="16" t="n"/>
      <c r="CR423" s="20" t="n"/>
      <c r="CS423" s="20" t="inlineStr">
        <is>
          <t>None</t>
        </is>
      </c>
      <c r="CT423" s="17" t="n"/>
      <c r="CU423" s="16" t="n"/>
      <c r="CV423" s="20" t="n"/>
      <c r="CW423" s="20" t="inlineStr">
        <is>
          <t>None</t>
        </is>
      </c>
      <c r="CX423" s="17" t="n"/>
      <c r="CY423" s="16" t="n"/>
      <c r="CZ423" s="20" t="inlineStr">
        <is>
          <t>WTW Multimeter 3430 with FDO 925</t>
        </is>
      </c>
      <c r="DA423" s="20" t="inlineStr">
        <is>
          <t>None</t>
        </is>
      </c>
      <c r="DB423" s="17" t="n"/>
      <c r="DC423" s="16" t="n"/>
      <c r="DD423" s="20" t="n"/>
      <c r="DE423" s="20" t="inlineStr">
        <is>
          <t>None</t>
        </is>
      </c>
      <c r="DF423" s="17" t="n"/>
      <c r="DG423" s="16" t="n"/>
      <c r="DH423" s="20" t="inlineStr">
        <is>
          <t>SOP 45-09</t>
        </is>
      </c>
      <c r="DI423" s="20" t="inlineStr">
        <is>
          <t>None</t>
        </is>
      </c>
      <c r="DJ423" s="17" t="n"/>
      <c r="DK423" s="16" t="n"/>
      <c r="DL423" s="20" t="inlineStr">
        <is>
          <t>SOP 45-09 (SOP muss noch angepasst werden für VSS)</t>
        </is>
      </c>
      <c r="DM423" s="20" t="inlineStr">
        <is>
          <t>None</t>
        </is>
      </c>
      <c r="DN423" s="17" t="n"/>
      <c r="DO423" s="16" t="n"/>
      <c r="DP423" s="20" t="inlineStr">
        <is>
          <t>IC Organic Acids</t>
        </is>
      </c>
      <c r="DQ423" s="20" t="inlineStr">
        <is>
          <t>None</t>
        </is>
      </c>
      <c r="DR423" s="17" t="n"/>
      <c r="DS423" s="16" t="n"/>
      <c r="DT423" s="20" t="inlineStr">
        <is>
          <t>IC Organic Acids</t>
        </is>
      </c>
      <c r="DU423" s="20" t="inlineStr">
        <is>
          <t>None</t>
        </is>
      </c>
      <c r="DV423" s="17" t="n"/>
      <c r="DW423" s="16" t="n"/>
      <c r="DX423" s="20" t="inlineStr">
        <is>
          <t>IC Organic Acids</t>
        </is>
      </c>
      <c r="DY423" s="20" t="inlineStr">
        <is>
          <t>None</t>
        </is>
      </c>
      <c r="DZ423" s="17" t="n"/>
      <c r="EA423" s="16" t="n"/>
      <c r="EB423" s="20" t="inlineStr">
        <is>
          <t>IC Organic Acids</t>
        </is>
      </c>
      <c r="EC423" s="20" t="inlineStr">
        <is>
          <t>None</t>
        </is>
      </c>
      <c r="ED423" s="17" t="n"/>
      <c r="EE423" s="16" t="n"/>
      <c r="EF423" s="20" t="inlineStr">
        <is>
          <t>IC Organic Acids</t>
        </is>
      </c>
      <c r="EG423" s="20" t="inlineStr">
        <is>
          <t>None</t>
        </is>
      </c>
      <c r="EH423" s="17" t="n"/>
      <c r="EI423" s="16" t="n"/>
      <c r="EJ423" s="20" t="inlineStr">
        <is>
          <t>IC Organic Acids</t>
        </is>
      </c>
      <c r="EK423" s="20" t="inlineStr">
        <is>
          <t>None</t>
        </is>
      </c>
      <c r="EL423" s="17" t="n"/>
      <c r="EM423" s="16" t="n"/>
      <c r="EN423" s="20" t="inlineStr">
        <is>
          <t>IC Organic Acids</t>
        </is>
      </c>
      <c r="EO423" s="20" t="inlineStr">
        <is>
          <t>None</t>
        </is>
      </c>
      <c r="EP423" s="17" t="n"/>
      <c r="EQ423" s="16" t="n"/>
      <c r="ER423" s="20" t="inlineStr">
        <is>
          <t>IC Organic Acids</t>
        </is>
      </c>
      <c r="ES423" s="20" t="inlineStr">
        <is>
          <t>None</t>
        </is>
      </c>
      <c r="ET423" s="17" t="n"/>
      <c r="EU423" s="16" t="n"/>
      <c r="EV423" s="20" t="inlineStr">
        <is>
          <t>LC-MS</t>
        </is>
      </c>
      <c r="EW423" s="20" t="inlineStr">
        <is>
          <t>None</t>
        </is>
      </c>
      <c r="EX423" s="17" t="n"/>
      <c r="EY423" s="21" t="n"/>
      <c r="EZ423">
        <f>CONCATENATE(A423,B423)</f>
        <v/>
      </c>
      <c r="FA423">
        <f>CONCATENATE(SamplesX!A423,SamplesX!B423)</f>
        <v/>
      </c>
      <c r="FC423">
        <f>MATCH(EZ423,FA1:FA1008,0)</f>
        <v/>
      </c>
    </row>
    <row r="424">
      <c r="A424" s="16" t="inlineStr">
        <is>
          <t>BP</t>
        </is>
      </c>
      <c r="B424" s="17" t="inlineStr">
        <is>
          <t>25416</t>
        </is>
      </c>
      <c r="C424" s="10">
        <f>IF(ISNUMBER(FC424),INDIRECT("SamplesX!C"&amp;FC424),IF(ISNUMBER(FD424),INDIRECT("SamplesY!C"&amp;FD424),""))</f>
        <v/>
      </c>
      <c r="D424" s="12">
        <f>IF(ISNUMBER(FC424),INDIRECT("SamplesX!D"&amp;FC424),IF(ISNUMBER(FD424),INDIRECT("SamplesY!D"&amp;FD424),""))</f>
        <v/>
      </c>
      <c r="E424" s="12">
        <f>IF(ISNUMBER(FC424),INDIRECT("SamplesX!E"&amp;FC424),IF(ISNUMBER(FD424),INDIRECT("SamplesY!E"&amp;FD424),""))</f>
        <v/>
      </c>
      <c r="F424" s="11">
        <f>IF(ISNUMBER(FC424),INDIRECT("SamplesX!F"&amp;FC424),IF(ISNUMBER(FD424),INDIRECT("SamplesY!F"&amp;FD424),""))</f>
        <v/>
      </c>
      <c r="G424" s="18">
        <f>IF(ISNUMBER(FC424),INDIRECT("SamplesX!G"&amp;FC424),IF(ISNUMBER(FD424),INDIRECT("SamplesY!G"&amp;FD424),""))</f>
        <v/>
      </c>
      <c r="H424" s="19">
        <f>IF(ISNUMBER(FC424),INDIRECT("SamplesX!H"&amp;FC424),IF(ISNUMBER(FD424),INDIRECT("SamplesY!H"&amp;FD424),""))</f>
        <v/>
      </c>
      <c r="I424" s="16" t="n"/>
      <c r="J424" s="16" t="n"/>
      <c r="K424" s="16" t="n"/>
      <c r="L424" s="20" t="n"/>
      <c r="M424" s="20" t="inlineStr">
        <is>
          <t>None</t>
        </is>
      </c>
      <c r="N424" s="17" t="n"/>
      <c r="O424" s="16" t="n"/>
      <c r="P424" s="20" t="inlineStr">
        <is>
          <t>Shimadzu TOC-L</t>
        </is>
      </c>
      <c r="Q424" s="20" t="inlineStr">
        <is>
          <t>None</t>
        </is>
      </c>
      <c r="R424" s="17" t="n"/>
      <c r="S424" s="16" t="n"/>
      <c r="T424" s="20" t="inlineStr">
        <is>
          <t>Shimadzu TOC-L</t>
        </is>
      </c>
      <c r="U424" s="20" t="inlineStr">
        <is>
          <t>None</t>
        </is>
      </c>
      <c r="V424" s="17" t="n"/>
      <c r="W424" s="16" t="n"/>
      <c r="X424" s="20" t="n"/>
      <c r="Y424" s="20" t="inlineStr">
        <is>
          <t>None</t>
        </is>
      </c>
      <c r="Z424" s="17" t="n"/>
      <c r="AA424" s="16" t="n"/>
      <c r="AB424" s="20" t="n"/>
      <c r="AC424" s="20" t="inlineStr">
        <is>
          <t>None</t>
        </is>
      </c>
      <c r="AD424" s="17" t="n"/>
      <c r="AE424" s="16" t="n"/>
      <c r="AF424" s="20" t="inlineStr">
        <is>
          <t>IC Anionen</t>
        </is>
      </c>
      <c r="AG424" s="20" t="inlineStr">
        <is>
          <t>None</t>
        </is>
      </c>
      <c r="AH424" s="17" t="n"/>
      <c r="AI424" s="16" t="n"/>
      <c r="AJ424" s="20" t="n"/>
      <c r="AK424" s="20" t="inlineStr">
        <is>
          <t>None</t>
        </is>
      </c>
      <c r="AL424" s="17" t="n"/>
      <c r="AM424" s="16" t="n"/>
      <c r="AN424" s="20" t="inlineStr">
        <is>
          <t>IC Anionen</t>
        </is>
      </c>
      <c r="AO424" s="20" t="inlineStr">
        <is>
          <t>None</t>
        </is>
      </c>
      <c r="AP424" s="17" t="n"/>
      <c r="AQ424" s="16" t="n"/>
      <c r="AR424" s="20" t="n"/>
      <c r="AS424" s="20" t="inlineStr">
        <is>
          <t>None</t>
        </is>
      </c>
      <c r="AT424" s="17" t="n"/>
      <c r="AU424" s="16" t="n"/>
      <c r="AV424" s="20" t="n"/>
      <c r="AW424" s="20" t="inlineStr">
        <is>
          <t>None</t>
        </is>
      </c>
      <c r="AX424" s="17" t="n"/>
      <c r="AY424" s="16" t="n"/>
      <c r="AZ424" s="20" t="inlineStr">
        <is>
          <t>IC Anionen</t>
        </is>
      </c>
      <c r="BA424" s="20" t="inlineStr">
        <is>
          <t>None</t>
        </is>
      </c>
      <c r="BB424" s="17" t="n"/>
      <c r="BC424" s="16" t="n"/>
      <c r="BD424" s="20" t="inlineStr">
        <is>
          <t>IC Kationen</t>
        </is>
      </c>
      <c r="BE424" s="20" t="inlineStr">
        <is>
          <t>None</t>
        </is>
      </c>
      <c r="BF424" s="17" t="n"/>
      <c r="BG424" s="16" t="n"/>
      <c r="BH424" s="20" t="inlineStr">
        <is>
          <t>IC Kationen</t>
        </is>
      </c>
      <c r="BI424" s="20" t="inlineStr">
        <is>
          <t>None</t>
        </is>
      </c>
      <c r="BJ424" s="17" t="n"/>
      <c r="BK424" s="16" t="n"/>
      <c r="BL424" s="20" t="inlineStr">
        <is>
          <t>IC Kationen</t>
        </is>
      </c>
      <c r="BM424" s="20" t="inlineStr">
        <is>
          <t>None</t>
        </is>
      </c>
      <c r="BN424" s="17" t="n"/>
      <c r="BO424" s="16" t="n"/>
      <c r="BP424" s="20" t="inlineStr">
        <is>
          <t>IC Kationen</t>
        </is>
      </c>
      <c r="BQ424" s="20" t="inlineStr">
        <is>
          <t>None</t>
        </is>
      </c>
      <c r="BR424" s="17" t="n"/>
      <c r="BS424" s="16" t="n"/>
      <c r="BT424" s="20" t="inlineStr">
        <is>
          <t>IC Kationen</t>
        </is>
      </c>
      <c r="BU424" s="20" t="inlineStr">
        <is>
          <t>None</t>
        </is>
      </c>
      <c r="BV424" s="17" t="n"/>
      <c r="BW424" s="16" t="n"/>
      <c r="BX424" s="20" t="n"/>
      <c r="BY424" s="20" t="inlineStr">
        <is>
          <t>None</t>
        </is>
      </c>
      <c r="BZ424" s="17" t="n"/>
      <c r="CA424" s="16" t="n"/>
      <c r="CB424" s="20" t="n"/>
      <c r="CC424" s="20" t="inlineStr">
        <is>
          <t>None</t>
        </is>
      </c>
      <c r="CD424" s="17" t="n"/>
      <c r="CE424" s="16" t="n"/>
      <c r="CF424" s="20" t="n"/>
      <c r="CG424" s="20" t="inlineStr">
        <is>
          <t>None</t>
        </is>
      </c>
      <c r="CH424" s="17" t="n"/>
      <c r="CI424" s="16" t="n"/>
      <c r="CJ424" s="20" t="n"/>
      <c r="CK424" s="20" t="inlineStr">
        <is>
          <t>None</t>
        </is>
      </c>
      <c r="CL424" s="17" t="n"/>
      <c r="CM424" s="16" t="n"/>
      <c r="CN424" s="20" t="inlineStr">
        <is>
          <t>SOP 45-34</t>
        </is>
      </c>
      <c r="CO424" s="20" t="inlineStr">
        <is>
          <t>None</t>
        </is>
      </c>
      <c r="CP424" s="17" t="n"/>
      <c r="CQ424" s="16" t="n"/>
      <c r="CR424" s="20" t="n"/>
      <c r="CS424" s="20" t="inlineStr">
        <is>
          <t>None</t>
        </is>
      </c>
      <c r="CT424" s="17" t="n"/>
      <c r="CU424" s="16" t="n"/>
      <c r="CV424" s="20" t="n"/>
      <c r="CW424" s="20" t="inlineStr">
        <is>
          <t>None</t>
        </is>
      </c>
      <c r="CX424" s="17" t="n"/>
      <c r="CY424" s="16" t="n"/>
      <c r="CZ424" s="20" t="inlineStr">
        <is>
          <t>WTW Multimeter 3430 with FDO 925</t>
        </is>
      </c>
      <c r="DA424" s="20" t="inlineStr">
        <is>
          <t>None</t>
        </is>
      </c>
      <c r="DB424" s="17" t="n"/>
      <c r="DC424" s="16" t="n"/>
      <c r="DD424" s="20" t="n"/>
      <c r="DE424" s="20" t="inlineStr">
        <is>
          <t>None</t>
        </is>
      </c>
      <c r="DF424" s="17" t="n"/>
      <c r="DG424" s="16" t="n"/>
      <c r="DH424" s="20" t="inlineStr">
        <is>
          <t>SOP 45-09</t>
        </is>
      </c>
      <c r="DI424" s="20" t="inlineStr">
        <is>
          <t>None</t>
        </is>
      </c>
      <c r="DJ424" s="17" t="n"/>
      <c r="DK424" s="16" t="n"/>
      <c r="DL424" s="20" t="inlineStr">
        <is>
          <t>SOP 45-09 (SOP muss noch angepasst werden für VSS)</t>
        </is>
      </c>
      <c r="DM424" s="20" t="inlineStr">
        <is>
          <t>None</t>
        </is>
      </c>
      <c r="DN424" s="17" t="n"/>
      <c r="DO424" s="16" t="n"/>
      <c r="DP424" s="20" t="inlineStr">
        <is>
          <t>IC Organic Acids</t>
        </is>
      </c>
      <c r="DQ424" s="20" t="inlineStr">
        <is>
          <t>None</t>
        </is>
      </c>
      <c r="DR424" s="17" t="n"/>
      <c r="DS424" s="16" t="n"/>
      <c r="DT424" s="20" t="inlineStr">
        <is>
          <t>IC Organic Acids</t>
        </is>
      </c>
      <c r="DU424" s="20" t="inlineStr">
        <is>
          <t>None</t>
        </is>
      </c>
      <c r="DV424" s="17" t="n"/>
      <c r="DW424" s="16" t="n"/>
      <c r="DX424" s="20" t="inlineStr">
        <is>
          <t>IC Organic Acids</t>
        </is>
      </c>
      <c r="DY424" s="20" t="inlineStr">
        <is>
          <t>None</t>
        </is>
      </c>
      <c r="DZ424" s="17" t="n"/>
      <c r="EA424" s="16" t="n"/>
      <c r="EB424" s="20" t="inlineStr">
        <is>
          <t>IC Organic Acids</t>
        </is>
      </c>
      <c r="EC424" s="20" t="inlineStr">
        <is>
          <t>None</t>
        </is>
      </c>
      <c r="ED424" s="17" t="n"/>
      <c r="EE424" s="16" t="n"/>
      <c r="EF424" s="20" t="inlineStr">
        <is>
          <t>IC Organic Acids</t>
        </is>
      </c>
      <c r="EG424" s="20" t="inlineStr">
        <is>
          <t>None</t>
        </is>
      </c>
      <c r="EH424" s="17" t="n"/>
      <c r="EI424" s="16" t="n"/>
      <c r="EJ424" s="20" t="inlineStr">
        <is>
          <t>IC Organic Acids</t>
        </is>
      </c>
      <c r="EK424" s="20" t="inlineStr">
        <is>
          <t>None</t>
        </is>
      </c>
      <c r="EL424" s="17" t="n"/>
      <c r="EM424" s="16" t="n"/>
      <c r="EN424" s="20" t="inlineStr">
        <is>
          <t>IC Organic Acids</t>
        </is>
      </c>
      <c r="EO424" s="20" t="inlineStr">
        <is>
          <t>None</t>
        </is>
      </c>
      <c r="EP424" s="17" t="n"/>
      <c r="EQ424" s="16" t="n"/>
      <c r="ER424" s="20" t="inlineStr">
        <is>
          <t>IC Organic Acids</t>
        </is>
      </c>
      <c r="ES424" s="20" t="inlineStr">
        <is>
          <t>None</t>
        </is>
      </c>
      <c r="ET424" s="17" t="n"/>
      <c r="EU424" s="16" t="n"/>
      <c r="EV424" s="20" t="inlineStr">
        <is>
          <t>LC-MS</t>
        </is>
      </c>
      <c r="EW424" s="20" t="inlineStr">
        <is>
          <t>None</t>
        </is>
      </c>
      <c r="EX424" s="17" t="n"/>
      <c r="EY424" s="21" t="n"/>
      <c r="EZ424">
        <f>CONCATENATE(A424,B424)</f>
        <v/>
      </c>
      <c r="FA424">
        <f>CONCATENATE(SamplesX!A424,SamplesX!B424)</f>
        <v/>
      </c>
      <c r="FC424">
        <f>MATCH(EZ424,FA1:FA1008,0)</f>
        <v/>
      </c>
    </row>
    <row r="425">
      <c r="A425" s="16" t="inlineStr">
        <is>
          <t>BP</t>
        </is>
      </c>
      <c r="B425" s="17" t="inlineStr">
        <is>
          <t>25417</t>
        </is>
      </c>
      <c r="C425" s="10">
        <f>IF(ISNUMBER(FC425),INDIRECT("SamplesX!C"&amp;FC425),IF(ISNUMBER(FD425),INDIRECT("SamplesY!C"&amp;FD425),""))</f>
        <v/>
      </c>
      <c r="D425" s="12">
        <f>IF(ISNUMBER(FC425),INDIRECT("SamplesX!D"&amp;FC425),IF(ISNUMBER(FD425),INDIRECT("SamplesY!D"&amp;FD425),""))</f>
        <v/>
      </c>
      <c r="E425" s="12">
        <f>IF(ISNUMBER(FC425),INDIRECT("SamplesX!E"&amp;FC425),IF(ISNUMBER(FD425),INDIRECT("SamplesY!E"&amp;FD425),""))</f>
        <v/>
      </c>
      <c r="F425" s="11">
        <f>IF(ISNUMBER(FC425),INDIRECT("SamplesX!F"&amp;FC425),IF(ISNUMBER(FD425),INDIRECT("SamplesY!F"&amp;FD425),""))</f>
        <v/>
      </c>
      <c r="G425" s="18">
        <f>IF(ISNUMBER(FC425),INDIRECT("SamplesX!G"&amp;FC425),IF(ISNUMBER(FD425),INDIRECT("SamplesY!G"&amp;FD425),""))</f>
        <v/>
      </c>
      <c r="H425" s="19">
        <f>IF(ISNUMBER(FC425),INDIRECT("SamplesX!H"&amp;FC425),IF(ISNUMBER(FD425),INDIRECT("SamplesY!H"&amp;FD425),""))</f>
        <v/>
      </c>
      <c r="I425" s="16" t="n"/>
      <c r="J425" s="16" t="n"/>
      <c r="K425" s="16" t="n"/>
      <c r="L425" s="20" t="n"/>
      <c r="M425" s="20" t="inlineStr">
        <is>
          <t>None</t>
        </is>
      </c>
      <c r="N425" s="17" t="n"/>
      <c r="O425" s="16" t="n"/>
      <c r="P425" s="20" t="inlineStr">
        <is>
          <t>Shimadzu TOC-L</t>
        </is>
      </c>
      <c r="Q425" s="20" t="inlineStr">
        <is>
          <t>None</t>
        </is>
      </c>
      <c r="R425" s="17" t="n"/>
      <c r="S425" s="16" t="n"/>
      <c r="T425" s="20" t="inlineStr">
        <is>
          <t>Shimadzu TOC-L</t>
        </is>
      </c>
      <c r="U425" s="20" t="inlineStr">
        <is>
          <t>None</t>
        </is>
      </c>
      <c r="V425" s="17" t="n"/>
      <c r="W425" s="16" t="n"/>
      <c r="X425" s="20" t="n"/>
      <c r="Y425" s="20" t="inlineStr">
        <is>
          <t>None</t>
        </is>
      </c>
      <c r="Z425" s="17" t="n"/>
      <c r="AA425" s="16" t="n"/>
      <c r="AB425" s="20" t="n"/>
      <c r="AC425" s="20" t="inlineStr">
        <is>
          <t>None</t>
        </is>
      </c>
      <c r="AD425" s="17" t="n"/>
      <c r="AE425" s="16" t="n"/>
      <c r="AF425" s="20" t="inlineStr">
        <is>
          <t>IC Anionen</t>
        </is>
      </c>
      <c r="AG425" s="20" t="inlineStr">
        <is>
          <t>None</t>
        </is>
      </c>
      <c r="AH425" s="17" t="n"/>
      <c r="AI425" s="16" t="n"/>
      <c r="AJ425" s="20" t="n"/>
      <c r="AK425" s="20" t="inlineStr">
        <is>
          <t>None</t>
        </is>
      </c>
      <c r="AL425" s="17" t="n"/>
      <c r="AM425" s="16" t="n"/>
      <c r="AN425" s="20" t="inlineStr">
        <is>
          <t>IC Anionen</t>
        </is>
      </c>
      <c r="AO425" s="20" t="inlineStr">
        <is>
          <t>None</t>
        </is>
      </c>
      <c r="AP425" s="17" t="n"/>
      <c r="AQ425" s="16" t="n"/>
      <c r="AR425" s="20" t="n"/>
      <c r="AS425" s="20" t="inlineStr">
        <is>
          <t>None</t>
        </is>
      </c>
      <c r="AT425" s="17" t="n"/>
      <c r="AU425" s="16" t="n"/>
      <c r="AV425" s="20" t="n"/>
      <c r="AW425" s="20" t="inlineStr">
        <is>
          <t>None</t>
        </is>
      </c>
      <c r="AX425" s="17" t="n"/>
      <c r="AY425" s="16" t="n"/>
      <c r="AZ425" s="20" t="inlineStr">
        <is>
          <t>IC Anionen</t>
        </is>
      </c>
      <c r="BA425" s="20" t="inlineStr">
        <is>
          <t>None</t>
        </is>
      </c>
      <c r="BB425" s="17" t="n"/>
      <c r="BC425" s="16" t="n"/>
      <c r="BD425" s="20" t="inlineStr">
        <is>
          <t>IC Kationen</t>
        </is>
      </c>
      <c r="BE425" s="20" t="inlineStr">
        <is>
          <t>None</t>
        </is>
      </c>
      <c r="BF425" s="17" t="n"/>
      <c r="BG425" s="16" t="n"/>
      <c r="BH425" s="20" t="inlineStr">
        <is>
          <t>IC Kationen</t>
        </is>
      </c>
      <c r="BI425" s="20" t="inlineStr">
        <is>
          <t>None</t>
        </is>
      </c>
      <c r="BJ425" s="17" t="n"/>
      <c r="BK425" s="16" t="n"/>
      <c r="BL425" s="20" t="inlineStr">
        <is>
          <t>IC Kationen</t>
        </is>
      </c>
      <c r="BM425" s="20" t="inlineStr">
        <is>
          <t>None</t>
        </is>
      </c>
      <c r="BN425" s="17" t="n"/>
      <c r="BO425" s="16" t="n"/>
      <c r="BP425" s="20" t="inlineStr">
        <is>
          <t>IC Kationen</t>
        </is>
      </c>
      <c r="BQ425" s="20" t="inlineStr">
        <is>
          <t>None</t>
        </is>
      </c>
      <c r="BR425" s="17" t="n"/>
      <c r="BS425" s="16" t="n"/>
      <c r="BT425" s="20" t="inlineStr">
        <is>
          <t>IC Kationen</t>
        </is>
      </c>
      <c r="BU425" s="20" t="inlineStr">
        <is>
          <t>None</t>
        </is>
      </c>
      <c r="BV425" s="17" t="n"/>
      <c r="BW425" s="16" t="n"/>
      <c r="BX425" s="20" t="n"/>
      <c r="BY425" s="20" t="inlineStr">
        <is>
          <t>None</t>
        </is>
      </c>
      <c r="BZ425" s="17" t="n"/>
      <c r="CA425" s="16" t="n"/>
      <c r="CB425" s="20" t="n"/>
      <c r="CC425" s="20" t="inlineStr">
        <is>
          <t>None</t>
        </is>
      </c>
      <c r="CD425" s="17" t="n"/>
      <c r="CE425" s="16" t="n"/>
      <c r="CF425" s="20" t="n"/>
      <c r="CG425" s="20" t="inlineStr">
        <is>
          <t>None</t>
        </is>
      </c>
      <c r="CH425" s="17" t="n"/>
      <c r="CI425" s="16" t="n"/>
      <c r="CJ425" s="20" t="n"/>
      <c r="CK425" s="20" t="inlineStr">
        <is>
          <t>None</t>
        </is>
      </c>
      <c r="CL425" s="17" t="n"/>
      <c r="CM425" s="16" t="n"/>
      <c r="CN425" s="20" t="inlineStr">
        <is>
          <t>SOP 45-34</t>
        </is>
      </c>
      <c r="CO425" s="20" t="inlineStr">
        <is>
          <t>None</t>
        </is>
      </c>
      <c r="CP425" s="17" t="n"/>
      <c r="CQ425" s="16" t="n"/>
      <c r="CR425" s="20" t="n"/>
      <c r="CS425" s="20" t="inlineStr">
        <is>
          <t>None</t>
        </is>
      </c>
      <c r="CT425" s="17" t="n"/>
      <c r="CU425" s="16" t="n"/>
      <c r="CV425" s="20" t="n"/>
      <c r="CW425" s="20" t="inlineStr">
        <is>
          <t>None</t>
        </is>
      </c>
      <c r="CX425" s="17" t="n"/>
      <c r="CY425" s="16" t="n"/>
      <c r="CZ425" s="20" t="inlineStr">
        <is>
          <t>WTW Multimeter 3430 with FDO 925</t>
        </is>
      </c>
      <c r="DA425" s="20" t="inlineStr">
        <is>
          <t>None</t>
        </is>
      </c>
      <c r="DB425" s="17" t="n"/>
      <c r="DC425" s="16" t="n"/>
      <c r="DD425" s="20" t="n"/>
      <c r="DE425" s="20" t="inlineStr">
        <is>
          <t>None</t>
        </is>
      </c>
      <c r="DF425" s="17" t="n"/>
      <c r="DG425" s="16" t="n"/>
      <c r="DH425" s="20" t="inlineStr">
        <is>
          <t>SOP 45-09</t>
        </is>
      </c>
      <c r="DI425" s="20" t="inlineStr">
        <is>
          <t>None</t>
        </is>
      </c>
      <c r="DJ425" s="17" t="n"/>
      <c r="DK425" s="16" t="n"/>
      <c r="DL425" s="20" t="inlineStr">
        <is>
          <t>SOP 45-09 (SOP muss noch angepasst werden für VSS)</t>
        </is>
      </c>
      <c r="DM425" s="20" t="inlineStr">
        <is>
          <t>None</t>
        </is>
      </c>
      <c r="DN425" s="17" t="n"/>
      <c r="DO425" s="16" t="n"/>
      <c r="DP425" s="20" t="inlineStr">
        <is>
          <t>IC Organic Acids</t>
        </is>
      </c>
      <c r="DQ425" s="20" t="inlineStr">
        <is>
          <t>None</t>
        </is>
      </c>
      <c r="DR425" s="17" t="n"/>
      <c r="DS425" s="16" t="n"/>
      <c r="DT425" s="20" t="inlineStr">
        <is>
          <t>IC Organic Acids</t>
        </is>
      </c>
      <c r="DU425" s="20" t="inlineStr">
        <is>
          <t>None</t>
        </is>
      </c>
      <c r="DV425" s="17" t="n"/>
      <c r="DW425" s="16" t="n"/>
      <c r="DX425" s="20" t="inlineStr">
        <is>
          <t>IC Organic Acids</t>
        </is>
      </c>
      <c r="DY425" s="20" t="inlineStr">
        <is>
          <t>None</t>
        </is>
      </c>
      <c r="DZ425" s="17" t="n"/>
      <c r="EA425" s="16" t="n"/>
      <c r="EB425" s="20" t="inlineStr">
        <is>
          <t>IC Organic Acids</t>
        </is>
      </c>
      <c r="EC425" s="20" t="inlineStr">
        <is>
          <t>None</t>
        </is>
      </c>
      <c r="ED425" s="17" t="n"/>
      <c r="EE425" s="16" t="n"/>
      <c r="EF425" s="20" t="inlineStr">
        <is>
          <t>IC Organic Acids</t>
        </is>
      </c>
      <c r="EG425" s="20" t="inlineStr">
        <is>
          <t>None</t>
        </is>
      </c>
      <c r="EH425" s="17" t="n"/>
      <c r="EI425" s="16" t="n"/>
      <c r="EJ425" s="20" t="inlineStr">
        <is>
          <t>IC Organic Acids</t>
        </is>
      </c>
      <c r="EK425" s="20" t="inlineStr">
        <is>
          <t>None</t>
        </is>
      </c>
      <c r="EL425" s="17" t="n"/>
      <c r="EM425" s="16" t="n"/>
      <c r="EN425" s="20" t="inlineStr">
        <is>
          <t>IC Organic Acids</t>
        </is>
      </c>
      <c r="EO425" s="20" t="inlineStr">
        <is>
          <t>None</t>
        </is>
      </c>
      <c r="EP425" s="17" t="n"/>
      <c r="EQ425" s="16" t="n"/>
      <c r="ER425" s="20" t="inlineStr">
        <is>
          <t>IC Organic Acids</t>
        </is>
      </c>
      <c r="ES425" s="20" t="inlineStr">
        <is>
          <t>None</t>
        </is>
      </c>
      <c r="ET425" s="17" t="n"/>
      <c r="EU425" s="16" t="n"/>
      <c r="EV425" s="20" t="inlineStr">
        <is>
          <t>LC-MS</t>
        </is>
      </c>
      <c r="EW425" s="20" t="inlineStr">
        <is>
          <t>None</t>
        </is>
      </c>
      <c r="EX425" s="17" t="n"/>
      <c r="EY425" s="21" t="n"/>
      <c r="EZ425">
        <f>CONCATENATE(A425,B425)</f>
        <v/>
      </c>
      <c r="FA425">
        <f>CONCATENATE(SamplesX!A425,SamplesX!B425)</f>
        <v/>
      </c>
      <c r="FC425">
        <f>MATCH(EZ425,FA1:FA1008,0)</f>
        <v/>
      </c>
    </row>
    <row r="426">
      <c r="A426" s="16" t="inlineStr">
        <is>
          <t>BP</t>
        </is>
      </c>
      <c r="B426" s="17" t="inlineStr">
        <is>
          <t>25418</t>
        </is>
      </c>
      <c r="C426" s="10">
        <f>IF(ISNUMBER(FC426),INDIRECT("SamplesX!C"&amp;FC426),IF(ISNUMBER(FD426),INDIRECT("SamplesY!C"&amp;FD426),""))</f>
        <v/>
      </c>
      <c r="D426" s="12">
        <f>IF(ISNUMBER(FC426),INDIRECT("SamplesX!D"&amp;FC426),IF(ISNUMBER(FD426),INDIRECT("SamplesY!D"&amp;FD426),""))</f>
        <v/>
      </c>
      <c r="E426" s="12">
        <f>IF(ISNUMBER(FC426),INDIRECT("SamplesX!E"&amp;FC426),IF(ISNUMBER(FD426),INDIRECT("SamplesY!E"&amp;FD426),""))</f>
        <v/>
      </c>
      <c r="F426" s="11">
        <f>IF(ISNUMBER(FC426),INDIRECT("SamplesX!F"&amp;FC426),IF(ISNUMBER(FD426),INDIRECT("SamplesY!F"&amp;FD426),""))</f>
        <v/>
      </c>
      <c r="G426" s="18">
        <f>IF(ISNUMBER(FC426),INDIRECT("SamplesX!G"&amp;FC426),IF(ISNUMBER(FD426),INDIRECT("SamplesY!G"&amp;FD426),""))</f>
        <v/>
      </c>
      <c r="H426" s="19">
        <f>IF(ISNUMBER(FC426),INDIRECT("SamplesX!H"&amp;FC426),IF(ISNUMBER(FD426),INDIRECT("SamplesY!H"&amp;FD426),""))</f>
        <v/>
      </c>
      <c r="I426" s="16" t="n"/>
      <c r="J426" s="16" t="n"/>
      <c r="K426" s="16" t="n"/>
      <c r="L426" s="20" t="n"/>
      <c r="M426" s="20" t="inlineStr">
        <is>
          <t>None</t>
        </is>
      </c>
      <c r="N426" s="17" t="n"/>
      <c r="O426" s="16" t="n"/>
      <c r="P426" s="20" t="inlineStr">
        <is>
          <t>Shimadzu TOC-L</t>
        </is>
      </c>
      <c r="Q426" s="20" t="inlineStr">
        <is>
          <t>None</t>
        </is>
      </c>
      <c r="R426" s="17" t="n"/>
      <c r="S426" s="16" t="n"/>
      <c r="T426" s="20" t="inlineStr">
        <is>
          <t>Shimadzu TOC-L</t>
        </is>
      </c>
      <c r="U426" s="20" t="inlineStr">
        <is>
          <t>None</t>
        </is>
      </c>
      <c r="V426" s="17" t="n"/>
      <c r="W426" s="16" t="n"/>
      <c r="X426" s="20" t="n"/>
      <c r="Y426" s="20" t="inlineStr">
        <is>
          <t>None</t>
        </is>
      </c>
      <c r="Z426" s="17" t="n"/>
      <c r="AA426" s="16" t="n"/>
      <c r="AB426" s="20" t="n"/>
      <c r="AC426" s="20" t="inlineStr">
        <is>
          <t>None</t>
        </is>
      </c>
      <c r="AD426" s="17" t="n"/>
      <c r="AE426" s="16" t="n"/>
      <c r="AF426" s="20" t="inlineStr">
        <is>
          <t>IC Anionen</t>
        </is>
      </c>
      <c r="AG426" s="20" t="inlineStr">
        <is>
          <t>None</t>
        </is>
      </c>
      <c r="AH426" s="17" t="n"/>
      <c r="AI426" s="16" t="n"/>
      <c r="AJ426" s="20" t="n"/>
      <c r="AK426" s="20" t="inlineStr">
        <is>
          <t>None</t>
        </is>
      </c>
      <c r="AL426" s="17" t="n"/>
      <c r="AM426" s="16" t="n"/>
      <c r="AN426" s="20" t="inlineStr">
        <is>
          <t>IC Anionen</t>
        </is>
      </c>
      <c r="AO426" s="20" t="inlineStr">
        <is>
          <t>None</t>
        </is>
      </c>
      <c r="AP426" s="17" t="n"/>
      <c r="AQ426" s="16" t="n"/>
      <c r="AR426" s="20" t="n"/>
      <c r="AS426" s="20" t="inlineStr">
        <is>
          <t>None</t>
        </is>
      </c>
      <c r="AT426" s="17" t="n"/>
      <c r="AU426" s="16" t="n"/>
      <c r="AV426" s="20" t="n"/>
      <c r="AW426" s="20" t="inlineStr">
        <is>
          <t>None</t>
        </is>
      </c>
      <c r="AX426" s="17" t="n"/>
      <c r="AY426" s="16" t="n"/>
      <c r="AZ426" s="20" t="inlineStr">
        <is>
          <t>IC Anionen</t>
        </is>
      </c>
      <c r="BA426" s="20" t="inlineStr">
        <is>
          <t>None</t>
        </is>
      </c>
      <c r="BB426" s="17" t="n"/>
      <c r="BC426" s="16" t="n"/>
      <c r="BD426" s="20" t="inlineStr">
        <is>
          <t>IC Kationen</t>
        </is>
      </c>
      <c r="BE426" s="20" t="inlineStr">
        <is>
          <t>None</t>
        </is>
      </c>
      <c r="BF426" s="17" t="n"/>
      <c r="BG426" s="16" t="n"/>
      <c r="BH426" s="20" t="inlineStr">
        <is>
          <t>IC Kationen</t>
        </is>
      </c>
      <c r="BI426" s="20" t="inlineStr">
        <is>
          <t>None</t>
        </is>
      </c>
      <c r="BJ426" s="17" t="n"/>
      <c r="BK426" s="16" t="n"/>
      <c r="BL426" s="20" t="inlineStr">
        <is>
          <t>IC Kationen</t>
        </is>
      </c>
      <c r="BM426" s="20" t="inlineStr">
        <is>
          <t>None</t>
        </is>
      </c>
      <c r="BN426" s="17" t="n"/>
      <c r="BO426" s="16" t="n"/>
      <c r="BP426" s="20" t="inlineStr">
        <is>
          <t>IC Kationen</t>
        </is>
      </c>
      <c r="BQ426" s="20" t="inlineStr">
        <is>
          <t>None</t>
        </is>
      </c>
      <c r="BR426" s="17" t="n"/>
      <c r="BS426" s="16" t="n"/>
      <c r="BT426" s="20" t="inlineStr">
        <is>
          <t>IC Kationen</t>
        </is>
      </c>
      <c r="BU426" s="20" t="inlineStr">
        <is>
          <t>None</t>
        </is>
      </c>
      <c r="BV426" s="17" t="n"/>
      <c r="BW426" s="16" t="n"/>
      <c r="BX426" s="20" t="n"/>
      <c r="BY426" s="20" t="inlineStr">
        <is>
          <t>None</t>
        </is>
      </c>
      <c r="BZ426" s="17" t="n"/>
      <c r="CA426" s="16" t="n"/>
      <c r="CB426" s="20" t="n"/>
      <c r="CC426" s="20" t="inlineStr">
        <is>
          <t>None</t>
        </is>
      </c>
      <c r="CD426" s="17" t="n"/>
      <c r="CE426" s="16" t="n"/>
      <c r="CF426" s="20" t="n"/>
      <c r="CG426" s="20" t="inlineStr">
        <is>
          <t>None</t>
        </is>
      </c>
      <c r="CH426" s="17" t="n"/>
      <c r="CI426" s="16" t="n"/>
      <c r="CJ426" s="20" t="n"/>
      <c r="CK426" s="20" t="inlineStr">
        <is>
          <t>None</t>
        </is>
      </c>
      <c r="CL426" s="17" t="n"/>
      <c r="CM426" s="16" t="n"/>
      <c r="CN426" s="20" t="inlineStr">
        <is>
          <t>SOP 45-34</t>
        </is>
      </c>
      <c r="CO426" s="20" t="inlineStr">
        <is>
          <t>None</t>
        </is>
      </c>
      <c r="CP426" s="17" t="n"/>
      <c r="CQ426" s="16" t="n"/>
      <c r="CR426" s="20" t="n"/>
      <c r="CS426" s="20" t="inlineStr">
        <is>
          <t>None</t>
        </is>
      </c>
      <c r="CT426" s="17" t="n"/>
      <c r="CU426" s="16" t="n"/>
      <c r="CV426" s="20" t="n"/>
      <c r="CW426" s="20" t="inlineStr">
        <is>
          <t>None</t>
        </is>
      </c>
      <c r="CX426" s="17" t="n"/>
      <c r="CY426" s="16" t="n"/>
      <c r="CZ426" s="20" t="inlineStr">
        <is>
          <t>WTW Multimeter 3430 with FDO 925</t>
        </is>
      </c>
      <c r="DA426" s="20" t="inlineStr">
        <is>
          <t>None</t>
        </is>
      </c>
      <c r="DB426" s="17" t="n"/>
      <c r="DC426" s="16" t="n"/>
      <c r="DD426" s="20" t="n"/>
      <c r="DE426" s="20" t="inlineStr">
        <is>
          <t>None</t>
        </is>
      </c>
      <c r="DF426" s="17" t="n"/>
      <c r="DG426" s="16" t="n"/>
      <c r="DH426" s="20" t="inlineStr">
        <is>
          <t>SOP 45-09</t>
        </is>
      </c>
      <c r="DI426" s="20" t="inlineStr">
        <is>
          <t>None</t>
        </is>
      </c>
      <c r="DJ426" s="17" t="n"/>
      <c r="DK426" s="16" t="n"/>
      <c r="DL426" s="20" t="inlineStr">
        <is>
          <t>SOP 45-09 (SOP muss noch angepasst werden für VSS)</t>
        </is>
      </c>
      <c r="DM426" s="20" t="inlineStr">
        <is>
          <t>None</t>
        </is>
      </c>
      <c r="DN426" s="17" t="n"/>
      <c r="DO426" s="16" t="n"/>
      <c r="DP426" s="20" t="inlineStr">
        <is>
          <t>IC Organic Acids</t>
        </is>
      </c>
      <c r="DQ426" s="20" t="inlineStr">
        <is>
          <t>None</t>
        </is>
      </c>
      <c r="DR426" s="17" t="n"/>
      <c r="DS426" s="16" t="n"/>
      <c r="DT426" s="20" t="inlineStr">
        <is>
          <t>IC Organic Acids</t>
        </is>
      </c>
      <c r="DU426" s="20" t="inlineStr">
        <is>
          <t>None</t>
        </is>
      </c>
      <c r="DV426" s="17" t="n"/>
      <c r="DW426" s="16" t="n"/>
      <c r="DX426" s="20" t="inlineStr">
        <is>
          <t>IC Organic Acids</t>
        </is>
      </c>
      <c r="DY426" s="20" t="inlineStr">
        <is>
          <t>None</t>
        </is>
      </c>
      <c r="DZ426" s="17" t="n"/>
      <c r="EA426" s="16" t="n"/>
      <c r="EB426" s="20" t="inlineStr">
        <is>
          <t>IC Organic Acids</t>
        </is>
      </c>
      <c r="EC426" s="20" t="inlineStr">
        <is>
          <t>None</t>
        </is>
      </c>
      <c r="ED426" s="17" t="n"/>
      <c r="EE426" s="16" t="n"/>
      <c r="EF426" s="20" t="inlineStr">
        <is>
          <t>IC Organic Acids</t>
        </is>
      </c>
      <c r="EG426" s="20" t="inlineStr">
        <is>
          <t>None</t>
        </is>
      </c>
      <c r="EH426" s="17" t="n"/>
      <c r="EI426" s="16" t="n"/>
      <c r="EJ426" s="20" t="inlineStr">
        <is>
          <t>IC Organic Acids</t>
        </is>
      </c>
      <c r="EK426" s="20" t="inlineStr">
        <is>
          <t>None</t>
        </is>
      </c>
      <c r="EL426" s="17" t="n"/>
      <c r="EM426" s="16" t="n"/>
      <c r="EN426" s="20" t="inlineStr">
        <is>
          <t>IC Organic Acids</t>
        </is>
      </c>
      <c r="EO426" s="20" t="inlineStr">
        <is>
          <t>None</t>
        </is>
      </c>
      <c r="EP426" s="17" t="n"/>
      <c r="EQ426" s="16" t="n"/>
      <c r="ER426" s="20" t="inlineStr">
        <is>
          <t>IC Organic Acids</t>
        </is>
      </c>
      <c r="ES426" s="20" t="inlineStr">
        <is>
          <t>None</t>
        </is>
      </c>
      <c r="ET426" s="17" t="n"/>
      <c r="EU426" s="16" t="n"/>
      <c r="EV426" s="20" t="inlineStr">
        <is>
          <t>LC-MS</t>
        </is>
      </c>
      <c r="EW426" s="20" t="inlineStr">
        <is>
          <t>None</t>
        </is>
      </c>
      <c r="EX426" s="17" t="n"/>
      <c r="EY426" s="21" t="n"/>
      <c r="EZ426">
        <f>CONCATENATE(A426,B426)</f>
        <v/>
      </c>
      <c r="FA426">
        <f>CONCATENATE(SamplesX!A426,SamplesX!B426)</f>
        <v/>
      </c>
      <c r="FC426">
        <f>MATCH(EZ426,FA1:FA1008,0)</f>
        <v/>
      </c>
    </row>
    <row r="427">
      <c r="A427" s="16" t="inlineStr">
        <is>
          <t>BP</t>
        </is>
      </c>
      <c r="B427" s="17" t="inlineStr">
        <is>
          <t>25419</t>
        </is>
      </c>
      <c r="C427" s="10">
        <f>IF(ISNUMBER(FC427),INDIRECT("SamplesX!C"&amp;FC427),IF(ISNUMBER(FD427),INDIRECT("SamplesY!C"&amp;FD427),""))</f>
        <v/>
      </c>
      <c r="D427" s="12">
        <f>IF(ISNUMBER(FC427),INDIRECT("SamplesX!D"&amp;FC427),IF(ISNUMBER(FD427),INDIRECT("SamplesY!D"&amp;FD427),""))</f>
        <v/>
      </c>
      <c r="E427" s="12">
        <f>IF(ISNUMBER(FC427),INDIRECT("SamplesX!E"&amp;FC427),IF(ISNUMBER(FD427),INDIRECT("SamplesY!E"&amp;FD427),""))</f>
        <v/>
      </c>
      <c r="F427" s="11">
        <f>IF(ISNUMBER(FC427),INDIRECT("SamplesX!F"&amp;FC427),IF(ISNUMBER(FD427),INDIRECT("SamplesY!F"&amp;FD427),""))</f>
        <v/>
      </c>
      <c r="G427" s="18">
        <f>IF(ISNUMBER(FC427),INDIRECT("SamplesX!G"&amp;FC427),IF(ISNUMBER(FD427),INDIRECT("SamplesY!G"&amp;FD427),""))</f>
        <v/>
      </c>
      <c r="H427" s="19">
        <f>IF(ISNUMBER(FC427),INDIRECT("SamplesX!H"&amp;FC427),IF(ISNUMBER(FD427),INDIRECT("SamplesY!H"&amp;FD427),""))</f>
        <v/>
      </c>
      <c r="I427" s="16" t="n"/>
      <c r="J427" s="16" t="n"/>
      <c r="K427" s="16" t="n"/>
      <c r="L427" s="20" t="n"/>
      <c r="M427" s="20" t="inlineStr">
        <is>
          <t>None</t>
        </is>
      </c>
      <c r="N427" s="17" t="n"/>
      <c r="O427" s="16" t="n"/>
      <c r="P427" s="20" t="inlineStr">
        <is>
          <t>Shimadzu TOC-L</t>
        </is>
      </c>
      <c r="Q427" s="20" t="inlineStr">
        <is>
          <t>None</t>
        </is>
      </c>
      <c r="R427" s="17" t="n"/>
      <c r="S427" s="16" t="n"/>
      <c r="T427" s="20" t="inlineStr">
        <is>
          <t>Shimadzu TOC-L</t>
        </is>
      </c>
      <c r="U427" s="20" t="inlineStr">
        <is>
          <t>None</t>
        </is>
      </c>
      <c r="V427" s="17" t="n"/>
      <c r="W427" s="16" t="n"/>
      <c r="X427" s="20" t="n"/>
      <c r="Y427" s="20" t="inlineStr">
        <is>
          <t>None</t>
        </is>
      </c>
      <c r="Z427" s="17" t="n"/>
      <c r="AA427" s="16" t="n"/>
      <c r="AB427" s="20" t="n"/>
      <c r="AC427" s="20" t="inlineStr">
        <is>
          <t>None</t>
        </is>
      </c>
      <c r="AD427" s="17" t="n"/>
      <c r="AE427" s="16" t="n"/>
      <c r="AF427" s="20" t="inlineStr">
        <is>
          <t>IC Anionen</t>
        </is>
      </c>
      <c r="AG427" s="20" t="inlineStr">
        <is>
          <t>None</t>
        </is>
      </c>
      <c r="AH427" s="17" t="n"/>
      <c r="AI427" s="16" t="n"/>
      <c r="AJ427" s="20" t="n"/>
      <c r="AK427" s="20" t="inlineStr">
        <is>
          <t>None</t>
        </is>
      </c>
      <c r="AL427" s="17" t="n"/>
      <c r="AM427" s="16" t="n"/>
      <c r="AN427" s="20" t="inlineStr">
        <is>
          <t>IC Anionen</t>
        </is>
      </c>
      <c r="AO427" s="20" t="inlineStr">
        <is>
          <t>None</t>
        </is>
      </c>
      <c r="AP427" s="17" t="n"/>
      <c r="AQ427" s="16" t="n"/>
      <c r="AR427" s="20" t="n"/>
      <c r="AS427" s="20" t="inlineStr">
        <is>
          <t>None</t>
        </is>
      </c>
      <c r="AT427" s="17" t="n"/>
      <c r="AU427" s="16" t="n"/>
      <c r="AV427" s="20" t="n"/>
      <c r="AW427" s="20" t="inlineStr">
        <is>
          <t>None</t>
        </is>
      </c>
      <c r="AX427" s="17" t="n"/>
      <c r="AY427" s="16" t="n"/>
      <c r="AZ427" s="20" t="inlineStr">
        <is>
          <t>IC Anionen</t>
        </is>
      </c>
      <c r="BA427" s="20" t="inlineStr">
        <is>
          <t>None</t>
        </is>
      </c>
      <c r="BB427" s="17" t="n"/>
      <c r="BC427" s="16" t="n"/>
      <c r="BD427" s="20" t="inlineStr">
        <is>
          <t>IC Kationen</t>
        </is>
      </c>
      <c r="BE427" s="20" t="inlineStr">
        <is>
          <t>None</t>
        </is>
      </c>
      <c r="BF427" s="17" t="n"/>
      <c r="BG427" s="16" t="n"/>
      <c r="BH427" s="20" t="inlineStr">
        <is>
          <t>IC Kationen</t>
        </is>
      </c>
      <c r="BI427" s="20" t="inlineStr">
        <is>
          <t>None</t>
        </is>
      </c>
      <c r="BJ427" s="17" t="n"/>
      <c r="BK427" s="16" t="n"/>
      <c r="BL427" s="20" t="inlineStr">
        <is>
          <t>IC Kationen</t>
        </is>
      </c>
      <c r="BM427" s="20" t="inlineStr">
        <is>
          <t>None</t>
        </is>
      </c>
      <c r="BN427" s="17" t="n"/>
      <c r="BO427" s="16" t="n"/>
      <c r="BP427" s="20" t="inlineStr">
        <is>
          <t>IC Kationen</t>
        </is>
      </c>
      <c r="BQ427" s="20" t="inlineStr">
        <is>
          <t>None</t>
        </is>
      </c>
      <c r="BR427" s="17" t="n"/>
      <c r="BS427" s="16" t="n"/>
      <c r="BT427" s="20" t="inlineStr">
        <is>
          <t>IC Kationen</t>
        </is>
      </c>
      <c r="BU427" s="20" t="inlineStr">
        <is>
          <t>None</t>
        </is>
      </c>
      <c r="BV427" s="17" t="n"/>
      <c r="BW427" s="16" t="n"/>
      <c r="BX427" s="20" t="n"/>
      <c r="BY427" s="20" t="inlineStr">
        <is>
          <t>None</t>
        </is>
      </c>
      <c r="BZ427" s="17" t="n"/>
      <c r="CA427" s="16" t="n"/>
      <c r="CB427" s="20" t="n"/>
      <c r="CC427" s="20" t="inlineStr">
        <is>
          <t>None</t>
        </is>
      </c>
      <c r="CD427" s="17" t="n"/>
      <c r="CE427" s="16" t="n"/>
      <c r="CF427" s="20" t="n"/>
      <c r="CG427" s="20" t="inlineStr">
        <is>
          <t>None</t>
        </is>
      </c>
      <c r="CH427" s="17" t="n"/>
      <c r="CI427" s="16" t="n"/>
      <c r="CJ427" s="20" t="n"/>
      <c r="CK427" s="20" t="inlineStr">
        <is>
          <t>None</t>
        </is>
      </c>
      <c r="CL427" s="17" t="n"/>
      <c r="CM427" s="16" t="n"/>
      <c r="CN427" s="20" t="inlineStr">
        <is>
          <t>SOP 45-34</t>
        </is>
      </c>
      <c r="CO427" s="20" t="inlineStr">
        <is>
          <t>None</t>
        </is>
      </c>
      <c r="CP427" s="17" t="n"/>
      <c r="CQ427" s="16" t="n"/>
      <c r="CR427" s="20" t="n"/>
      <c r="CS427" s="20" t="inlineStr">
        <is>
          <t>None</t>
        </is>
      </c>
      <c r="CT427" s="17" t="n"/>
      <c r="CU427" s="16" t="n"/>
      <c r="CV427" s="20" t="n"/>
      <c r="CW427" s="20" t="inlineStr">
        <is>
          <t>None</t>
        </is>
      </c>
      <c r="CX427" s="17" t="n"/>
      <c r="CY427" s="16" t="n"/>
      <c r="CZ427" s="20" t="inlineStr">
        <is>
          <t>WTW Multimeter 3430 with FDO 925</t>
        </is>
      </c>
      <c r="DA427" s="20" t="inlineStr">
        <is>
          <t>None</t>
        </is>
      </c>
      <c r="DB427" s="17" t="n"/>
      <c r="DC427" s="16" t="n"/>
      <c r="DD427" s="20" t="n"/>
      <c r="DE427" s="20" t="inlineStr">
        <is>
          <t>None</t>
        </is>
      </c>
      <c r="DF427" s="17" t="n"/>
      <c r="DG427" s="16" t="n"/>
      <c r="DH427" s="20" t="inlineStr">
        <is>
          <t>SOP 45-09</t>
        </is>
      </c>
      <c r="DI427" s="20" t="inlineStr">
        <is>
          <t>None</t>
        </is>
      </c>
      <c r="DJ427" s="17" t="n"/>
      <c r="DK427" s="16" t="n"/>
      <c r="DL427" s="20" t="inlineStr">
        <is>
          <t>SOP 45-09 (SOP muss noch angepasst werden für VSS)</t>
        </is>
      </c>
      <c r="DM427" s="20" t="inlineStr">
        <is>
          <t>None</t>
        </is>
      </c>
      <c r="DN427" s="17" t="n"/>
      <c r="DO427" s="16" t="n"/>
      <c r="DP427" s="20" t="inlineStr">
        <is>
          <t>IC Organic Acids</t>
        </is>
      </c>
      <c r="DQ427" s="20" t="inlineStr">
        <is>
          <t>None</t>
        </is>
      </c>
      <c r="DR427" s="17" t="n"/>
      <c r="DS427" s="16" t="n"/>
      <c r="DT427" s="20" t="inlineStr">
        <is>
          <t>IC Organic Acids</t>
        </is>
      </c>
      <c r="DU427" s="20" t="inlineStr">
        <is>
          <t>None</t>
        </is>
      </c>
      <c r="DV427" s="17" t="n"/>
      <c r="DW427" s="16" t="n"/>
      <c r="DX427" s="20" t="inlineStr">
        <is>
          <t>IC Organic Acids</t>
        </is>
      </c>
      <c r="DY427" s="20" t="inlineStr">
        <is>
          <t>None</t>
        </is>
      </c>
      <c r="DZ427" s="17" t="n"/>
      <c r="EA427" s="16" t="n"/>
      <c r="EB427" s="20" t="inlineStr">
        <is>
          <t>IC Organic Acids</t>
        </is>
      </c>
      <c r="EC427" s="20" t="inlineStr">
        <is>
          <t>None</t>
        </is>
      </c>
      <c r="ED427" s="17" t="n"/>
      <c r="EE427" s="16" t="n"/>
      <c r="EF427" s="20" t="inlineStr">
        <is>
          <t>IC Organic Acids</t>
        </is>
      </c>
      <c r="EG427" s="20" t="inlineStr">
        <is>
          <t>None</t>
        </is>
      </c>
      <c r="EH427" s="17" t="n"/>
      <c r="EI427" s="16" t="n"/>
      <c r="EJ427" s="20" t="inlineStr">
        <is>
          <t>IC Organic Acids</t>
        </is>
      </c>
      <c r="EK427" s="20" t="inlineStr">
        <is>
          <t>None</t>
        </is>
      </c>
      <c r="EL427" s="17" t="n"/>
      <c r="EM427" s="16" t="n"/>
      <c r="EN427" s="20" t="inlineStr">
        <is>
          <t>IC Organic Acids</t>
        </is>
      </c>
      <c r="EO427" s="20" t="inlineStr">
        <is>
          <t>None</t>
        </is>
      </c>
      <c r="EP427" s="17" t="n"/>
      <c r="EQ427" s="16" t="n"/>
      <c r="ER427" s="20" t="inlineStr">
        <is>
          <t>IC Organic Acids</t>
        </is>
      </c>
      <c r="ES427" s="20" t="inlineStr">
        <is>
          <t>None</t>
        </is>
      </c>
      <c r="ET427" s="17" t="n"/>
      <c r="EU427" s="16" t="n"/>
      <c r="EV427" s="20" t="inlineStr">
        <is>
          <t>LC-MS</t>
        </is>
      </c>
      <c r="EW427" s="20" t="inlineStr">
        <is>
          <t>None</t>
        </is>
      </c>
      <c r="EX427" s="17" t="n"/>
      <c r="EY427" s="21" t="n"/>
      <c r="EZ427">
        <f>CONCATENATE(A427,B427)</f>
        <v/>
      </c>
      <c r="FA427">
        <f>CONCATENATE(SamplesX!A427,SamplesX!B427)</f>
        <v/>
      </c>
      <c r="FC427">
        <f>MATCH(EZ427,FA1:FA1008,0)</f>
        <v/>
      </c>
    </row>
    <row r="428">
      <c r="A428" s="16" t="inlineStr">
        <is>
          <t>BP</t>
        </is>
      </c>
      <c r="B428" s="17" t="inlineStr">
        <is>
          <t>25420</t>
        </is>
      </c>
      <c r="C428" s="10">
        <f>IF(ISNUMBER(FC428),INDIRECT("SamplesX!C"&amp;FC428),IF(ISNUMBER(FD428),INDIRECT("SamplesY!C"&amp;FD428),""))</f>
        <v/>
      </c>
      <c r="D428" s="12">
        <f>IF(ISNUMBER(FC428),INDIRECT("SamplesX!D"&amp;FC428),IF(ISNUMBER(FD428),INDIRECT("SamplesY!D"&amp;FD428),""))</f>
        <v/>
      </c>
      <c r="E428" s="12">
        <f>IF(ISNUMBER(FC428),INDIRECT("SamplesX!E"&amp;FC428),IF(ISNUMBER(FD428),INDIRECT("SamplesY!E"&amp;FD428),""))</f>
        <v/>
      </c>
      <c r="F428" s="11">
        <f>IF(ISNUMBER(FC428),INDIRECT("SamplesX!F"&amp;FC428),IF(ISNUMBER(FD428),INDIRECT("SamplesY!F"&amp;FD428),""))</f>
        <v/>
      </c>
      <c r="G428" s="18">
        <f>IF(ISNUMBER(FC428),INDIRECT("SamplesX!G"&amp;FC428),IF(ISNUMBER(FD428),INDIRECT("SamplesY!G"&amp;FD428),""))</f>
        <v/>
      </c>
      <c r="H428" s="19">
        <f>IF(ISNUMBER(FC428),INDIRECT("SamplesX!H"&amp;FC428),IF(ISNUMBER(FD428),INDIRECT("SamplesY!H"&amp;FD428),""))</f>
        <v/>
      </c>
      <c r="I428" s="16" t="n"/>
      <c r="J428" s="16" t="n"/>
      <c r="K428" s="16" t="n"/>
      <c r="L428" s="20" t="n"/>
      <c r="M428" s="20" t="inlineStr">
        <is>
          <t>None</t>
        </is>
      </c>
      <c r="N428" s="17" t="n"/>
      <c r="O428" s="16" t="n"/>
      <c r="P428" s="20" t="inlineStr">
        <is>
          <t>Shimadzu TOC-L</t>
        </is>
      </c>
      <c r="Q428" s="20" t="inlineStr">
        <is>
          <t>None</t>
        </is>
      </c>
      <c r="R428" s="17" t="n"/>
      <c r="S428" s="16" t="n"/>
      <c r="T428" s="20" t="inlineStr">
        <is>
          <t>Shimadzu TOC-L</t>
        </is>
      </c>
      <c r="U428" s="20" t="inlineStr">
        <is>
          <t>None</t>
        </is>
      </c>
      <c r="V428" s="17" t="n"/>
      <c r="W428" s="16" t="n"/>
      <c r="X428" s="20" t="n"/>
      <c r="Y428" s="20" t="inlineStr">
        <is>
          <t>None</t>
        </is>
      </c>
      <c r="Z428" s="17" t="n"/>
      <c r="AA428" s="16" t="n"/>
      <c r="AB428" s="20" t="n"/>
      <c r="AC428" s="20" t="inlineStr">
        <is>
          <t>None</t>
        </is>
      </c>
      <c r="AD428" s="17" t="n"/>
      <c r="AE428" s="16" t="n"/>
      <c r="AF428" s="20" t="inlineStr">
        <is>
          <t>IC Anionen</t>
        </is>
      </c>
      <c r="AG428" s="20" t="inlineStr">
        <is>
          <t>None</t>
        </is>
      </c>
      <c r="AH428" s="17" t="n"/>
      <c r="AI428" s="16" t="n"/>
      <c r="AJ428" s="20" t="n"/>
      <c r="AK428" s="20" t="inlineStr">
        <is>
          <t>None</t>
        </is>
      </c>
      <c r="AL428" s="17" t="n"/>
      <c r="AM428" s="16" t="n"/>
      <c r="AN428" s="20" t="inlineStr">
        <is>
          <t>IC Anionen</t>
        </is>
      </c>
      <c r="AO428" s="20" t="inlineStr">
        <is>
          <t>None</t>
        </is>
      </c>
      <c r="AP428" s="17" t="n"/>
      <c r="AQ428" s="16" t="n"/>
      <c r="AR428" s="20" t="n"/>
      <c r="AS428" s="20" t="inlineStr">
        <is>
          <t>None</t>
        </is>
      </c>
      <c r="AT428" s="17" t="n"/>
      <c r="AU428" s="16" t="n"/>
      <c r="AV428" s="20" t="n"/>
      <c r="AW428" s="20" t="inlineStr">
        <is>
          <t>None</t>
        </is>
      </c>
      <c r="AX428" s="17" t="n"/>
      <c r="AY428" s="16" t="n"/>
      <c r="AZ428" s="20" t="inlineStr">
        <is>
          <t>IC Anionen</t>
        </is>
      </c>
      <c r="BA428" s="20" t="inlineStr">
        <is>
          <t>None</t>
        </is>
      </c>
      <c r="BB428" s="17" t="n"/>
      <c r="BC428" s="16" t="n"/>
      <c r="BD428" s="20" t="inlineStr">
        <is>
          <t>IC Kationen</t>
        </is>
      </c>
      <c r="BE428" s="20" t="inlineStr">
        <is>
          <t>None</t>
        </is>
      </c>
      <c r="BF428" s="17" t="n"/>
      <c r="BG428" s="16" t="n"/>
      <c r="BH428" s="20" t="inlineStr">
        <is>
          <t>IC Kationen</t>
        </is>
      </c>
      <c r="BI428" s="20" t="inlineStr">
        <is>
          <t>None</t>
        </is>
      </c>
      <c r="BJ428" s="17" t="n"/>
      <c r="BK428" s="16" t="n"/>
      <c r="BL428" s="20" t="inlineStr">
        <is>
          <t>IC Kationen</t>
        </is>
      </c>
      <c r="BM428" s="20" t="inlineStr">
        <is>
          <t>None</t>
        </is>
      </c>
      <c r="BN428" s="17" t="n"/>
      <c r="BO428" s="16" t="n"/>
      <c r="BP428" s="20" t="inlineStr">
        <is>
          <t>IC Kationen</t>
        </is>
      </c>
      <c r="BQ428" s="20" t="inlineStr">
        <is>
          <t>None</t>
        </is>
      </c>
      <c r="BR428" s="17" t="n"/>
      <c r="BS428" s="16" t="n"/>
      <c r="BT428" s="20" t="inlineStr">
        <is>
          <t>IC Kationen</t>
        </is>
      </c>
      <c r="BU428" s="20" t="inlineStr">
        <is>
          <t>None</t>
        </is>
      </c>
      <c r="BV428" s="17" t="n"/>
      <c r="BW428" s="16" t="n"/>
      <c r="BX428" s="20" t="n"/>
      <c r="BY428" s="20" t="inlineStr">
        <is>
          <t>None</t>
        </is>
      </c>
      <c r="BZ428" s="17" t="n"/>
      <c r="CA428" s="16" t="n"/>
      <c r="CB428" s="20" t="n"/>
      <c r="CC428" s="20" t="inlineStr">
        <is>
          <t>None</t>
        </is>
      </c>
      <c r="CD428" s="17" t="n"/>
      <c r="CE428" s="16" t="n"/>
      <c r="CF428" s="20" t="n"/>
      <c r="CG428" s="20" t="inlineStr">
        <is>
          <t>None</t>
        </is>
      </c>
      <c r="CH428" s="17" t="n"/>
      <c r="CI428" s="16" t="n"/>
      <c r="CJ428" s="20" t="n"/>
      <c r="CK428" s="20" t="inlineStr">
        <is>
          <t>None</t>
        </is>
      </c>
      <c r="CL428" s="17" t="n"/>
      <c r="CM428" s="16" t="n"/>
      <c r="CN428" s="20" t="inlineStr">
        <is>
          <t>SOP 45-34</t>
        </is>
      </c>
      <c r="CO428" s="20" t="inlineStr">
        <is>
          <t>None</t>
        </is>
      </c>
      <c r="CP428" s="17" t="n"/>
      <c r="CQ428" s="16" t="n"/>
      <c r="CR428" s="20" t="n"/>
      <c r="CS428" s="20" t="inlineStr">
        <is>
          <t>None</t>
        </is>
      </c>
      <c r="CT428" s="17" t="n"/>
      <c r="CU428" s="16" t="n"/>
      <c r="CV428" s="20" t="n"/>
      <c r="CW428" s="20" t="inlineStr">
        <is>
          <t>None</t>
        </is>
      </c>
      <c r="CX428" s="17" t="n"/>
      <c r="CY428" s="16" t="n"/>
      <c r="CZ428" s="20" t="inlineStr">
        <is>
          <t>WTW Multimeter 3430 with FDO 925</t>
        </is>
      </c>
      <c r="DA428" s="20" t="inlineStr">
        <is>
          <t>None</t>
        </is>
      </c>
      <c r="DB428" s="17" t="n"/>
      <c r="DC428" s="16" t="n"/>
      <c r="DD428" s="20" t="n"/>
      <c r="DE428" s="20" t="inlineStr">
        <is>
          <t>None</t>
        </is>
      </c>
      <c r="DF428" s="17" t="n"/>
      <c r="DG428" s="16" t="n"/>
      <c r="DH428" s="20" t="inlineStr">
        <is>
          <t>SOP 45-09</t>
        </is>
      </c>
      <c r="DI428" s="20" t="inlineStr">
        <is>
          <t>None</t>
        </is>
      </c>
      <c r="DJ428" s="17" t="n"/>
      <c r="DK428" s="16" t="n"/>
      <c r="DL428" s="20" t="inlineStr">
        <is>
          <t>SOP 45-09 (SOP muss noch angepasst werden für VSS)</t>
        </is>
      </c>
      <c r="DM428" s="20" t="inlineStr">
        <is>
          <t>None</t>
        </is>
      </c>
      <c r="DN428" s="17" t="n"/>
      <c r="DO428" s="16" t="n"/>
      <c r="DP428" s="20" t="inlineStr">
        <is>
          <t>IC Organic Acids</t>
        </is>
      </c>
      <c r="DQ428" s="20" t="inlineStr">
        <is>
          <t>None</t>
        </is>
      </c>
      <c r="DR428" s="17" t="n"/>
      <c r="DS428" s="16" t="n"/>
      <c r="DT428" s="20" t="inlineStr">
        <is>
          <t>IC Organic Acids</t>
        </is>
      </c>
      <c r="DU428" s="20" t="inlineStr">
        <is>
          <t>None</t>
        </is>
      </c>
      <c r="DV428" s="17" t="n"/>
      <c r="DW428" s="16" t="n"/>
      <c r="DX428" s="20" t="inlineStr">
        <is>
          <t>IC Organic Acids</t>
        </is>
      </c>
      <c r="DY428" s="20" t="inlineStr">
        <is>
          <t>None</t>
        </is>
      </c>
      <c r="DZ428" s="17" t="n"/>
      <c r="EA428" s="16" t="n"/>
      <c r="EB428" s="20" t="inlineStr">
        <is>
          <t>IC Organic Acids</t>
        </is>
      </c>
      <c r="EC428" s="20" t="inlineStr">
        <is>
          <t>None</t>
        </is>
      </c>
      <c r="ED428" s="17" t="n"/>
      <c r="EE428" s="16" t="n"/>
      <c r="EF428" s="20" t="inlineStr">
        <is>
          <t>IC Organic Acids</t>
        </is>
      </c>
      <c r="EG428" s="20" t="inlineStr">
        <is>
          <t>None</t>
        </is>
      </c>
      <c r="EH428" s="17" t="n"/>
      <c r="EI428" s="16" t="n"/>
      <c r="EJ428" s="20" t="inlineStr">
        <is>
          <t>IC Organic Acids</t>
        </is>
      </c>
      <c r="EK428" s="20" t="inlineStr">
        <is>
          <t>None</t>
        </is>
      </c>
      <c r="EL428" s="17" t="n"/>
      <c r="EM428" s="16" t="n"/>
      <c r="EN428" s="20" t="inlineStr">
        <is>
          <t>IC Organic Acids</t>
        </is>
      </c>
      <c r="EO428" s="20" t="inlineStr">
        <is>
          <t>None</t>
        </is>
      </c>
      <c r="EP428" s="17" t="n"/>
      <c r="EQ428" s="16" t="n"/>
      <c r="ER428" s="20" t="inlineStr">
        <is>
          <t>IC Organic Acids</t>
        </is>
      </c>
      <c r="ES428" s="20" t="inlineStr">
        <is>
          <t>None</t>
        </is>
      </c>
      <c r="ET428" s="17" t="n"/>
      <c r="EU428" s="16" t="n"/>
      <c r="EV428" s="20" t="inlineStr">
        <is>
          <t>LC-MS</t>
        </is>
      </c>
      <c r="EW428" s="20" t="inlineStr">
        <is>
          <t>None</t>
        </is>
      </c>
      <c r="EX428" s="17" t="n"/>
      <c r="EY428" s="21" t="n"/>
      <c r="EZ428">
        <f>CONCATENATE(A428,B428)</f>
        <v/>
      </c>
      <c r="FA428">
        <f>CONCATENATE(SamplesX!A428,SamplesX!B428)</f>
        <v/>
      </c>
      <c r="FC428">
        <f>MATCH(EZ428,FA1:FA1008,0)</f>
        <v/>
      </c>
    </row>
    <row r="429">
      <c r="A429" s="16" t="inlineStr">
        <is>
          <t>BP</t>
        </is>
      </c>
      <c r="B429" s="17" t="inlineStr">
        <is>
          <t>25421</t>
        </is>
      </c>
      <c r="C429" s="10">
        <f>IF(ISNUMBER(FC429),INDIRECT("SamplesX!C"&amp;FC429),IF(ISNUMBER(FD429),INDIRECT("SamplesY!C"&amp;FD429),""))</f>
        <v/>
      </c>
      <c r="D429" s="12">
        <f>IF(ISNUMBER(FC429),INDIRECT("SamplesX!D"&amp;FC429),IF(ISNUMBER(FD429),INDIRECT("SamplesY!D"&amp;FD429),""))</f>
        <v/>
      </c>
      <c r="E429" s="12">
        <f>IF(ISNUMBER(FC429),INDIRECT("SamplesX!E"&amp;FC429),IF(ISNUMBER(FD429),INDIRECT("SamplesY!E"&amp;FD429),""))</f>
        <v/>
      </c>
      <c r="F429" s="11">
        <f>IF(ISNUMBER(FC429),INDIRECT("SamplesX!F"&amp;FC429),IF(ISNUMBER(FD429),INDIRECT("SamplesY!F"&amp;FD429),""))</f>
        <v/>
      </c>
      <c r="G429" s="18">
        <f>IF(ISNUMBER(FC429),INDIRECT("SamplesX!G"&amp;FC429),IF(ISNUMBER(FD429),INDIRECT("SamplesY!G"&amp;FD429),""))</f>
        <v/>
      </c>
      <c r="H429" s="19">
        <f>IF(ISNUMBER(FC429),INDIRECT("SamplesX!H"&amp;FC429),IF(ISNUMBER(FD429),INDIRECT("SamplesY!H"&amp;FD429),""))</f>
        <v/>
      </c>
      <c r="I429" s="16" t="n"/>
      <c r="J429" s="16" t="n"/>
      <c r="K429" s="16" t="n"/>
      <c r="L429" s="20" t="n"/>
      <c r="M429" s="20" t="inlineStr">
        <is>
          <t>None</t>
        </is>
      </c>
      <c r="N429" s="17" t="n"/>
      <c r="O429" s="16" t="n"/>
      <c r="P429" s="20" t="inlineStr">
        <is>
          <t>Shimadzu TOC-L</t>
        </is>
      </c>
      <c r="Q429" s="20" t="inlineStr">
        <is>
          <t>None</t>
        </is>
      </c>
      <c r="R429" s="17" t="n"/>
      <c r="S429" s="16" t="n"/>
      <c r="T429" s="20" t="inlineStr">
        <is>
          <t>Shimadzu TOC-L</t>
        </is>
      </c>
      <c r="U429" s="20" t="inlineStr">
        <is>
          <t>None</t>
        </is>
      </c>
      <c r="V429" s="17" t="n"/>
      <c r="W429" s="16" t="n"/>
      <c r="X429" s="20" t="n"/>
      <c r="Y429" s="20" t="inlineStr">
        <is>
          <t>None</t>
        </is>
      </c>
      <c r="Z429" s="17" t="n"/>
      <c r="AA429" s="16" t="n"/>
      <c r="AB429" s="20" t="n"/>
      <c r="AC429" s="20" t="inlineStr">
        <is>
          <t>None</t>
        </is>
      </c>
      <c r="AD429" s="17" t="n"/>
      <c r="AE429" s="16" t="n"/>
      <c r="AF429" s="20" t="inlineStr">
        <is>
          <t>IC Anionen</t>
        </is>
      </c>
      <c r="AG429" s="20" t="inlineStr">
        <is>
          <t>None</t>
        </is>
      </c>
      <c r="AH429" s="17" t="n"/>
      <c r="AI429" s="16" t="n"/>
      <c r="AJ429" s="20" t="n"/>
      <c r="AK429" s="20" t="inlineStr">
        <is>
          <t>None</t>
        </is>
      </c>
      <c r="AL429" s="17" t="n"/>
      <c r="AM429" s="16" t="n"/>
      <c r="AN429" s="20" t="inlineStr">
        <is>
          <t>IC Anionen</t>
        </is>
      </c>
      <c r="AO429" s="20" t="inlineStr">
        <is>
          <t>None</t>
        </is>
      </c>
      <c r="AP429" s="17" t="n"/>
      <c r="AQ429" s="16" t="n"/>
      <c r="AR429" s="20" t="n"/>
      <c r="AS429" s="20" t="inlineStr">
        <is>
          <t>None</t>
        </is>
      </c>
      <c r="AT429" s="17" t="n"/>
      <c r="AU429" s="16" t="n"/>
      <c r="AV429" s="20" t="n"/>
      <c r="AW429" s="20" t="inlineStr">
        <is>
          <t>None</t>
        </is>
      </c>
      <c r="AX429" s="17" t="n"/>
      <c r="AY429" s="16" t="n"/>
      <c r="AZ429" s="20" t="inlineStr">
        <is>
          <t>IC Anionen</t>
        </is>
      </c>
      <c r="BA429" s="20" t="inlineStr">
        <is>
          <t>None</t>
        </is>
      </c>
      <c r="BB429" s="17" t="n"/>
      <c r="BC429" s="16" t="n"/>
      <c r="BD429" s="20" t="inlineStr">
        <is>
          <t>IC Kationen</t>
        </is>
      </c>
      <c r="BE429" s="20" t="inlineStr">
        <is>
          <t>None</t>
        </is>
      </c>
      <c r="BF429" s="17" t="n"/>
      <c r="BG429" s="16" t="n"/>
      <c r="BH429" s="20" t="inlineStr">
        <is>
          <t>IC Kationen</t>
        </is>
      </c>
      <c r="BI429" s="20" t="inlineStr">
        <is>
          <t>None</t>
        </is>
      </c>
      <c r="BJ429" s="17" t="n"/>
      <c r="BK429" s="16" t="n"/>
      <c r="BL429" s="20" t="inlineStr">
        <is>
          <t>IC Kationen</t>
        </is>
      </c>
      <c r="BM429" s="20" t="inlineStr">
        <is>
          <t>None</t>
        </is>
      </c>
      <c r="BN429" s="17" t="n"/>
      <c r="BO429" s="16" t="n"/>
      <c r="BP429" s="20" t="inlineStr">
        <is>
          <t>IC Kationen</t>
        </is>
      </c>
      <c r="BQ429" s="20" t="inlineStr">
        <is>
          <t>None</t>
        </is>
      </c>
      <c r="BR429" s="17" t="n"/>
      <c r="BS429" s="16" t="n"/>
      <c r="BT429" s="20" t="inlineStr">
        <is>
          <t>IC Kationen</t>
        </is>
      </c>
      <c r="BU429" s="20" t="inlineStr">
        <is>
          <t>None</t>
        </is>
      </c>
      <c r="BV429" s="17" t="n"/>
      <c r="BW429" s="16" t="n"/>
      <c r="BX429" s="20" t="n"/>
      <c r="BY429" s="20" t="inlineStr">
        <is>
          <t>None</t>
        </is>
      </c>
      <c r="BZ429" s="17" t="n"/>
      <c r="CA429" s="16" t="n"/>
      <c r="CB429" s="20" t="n"/>
      <c r="CC429" s="20" t="inlineStr">
        <is>
          <t>None</t>
        </is>
      </c>
      <c r="CD429" s="17" t="n"/>
      <c r="CE429" s="16" t="n"/>
      <c r="CF429" s="20" t="n"/>
      <c r="CG429" s="20" t="inlineStr">
        <is>
          <t>None</t>
        </is>
      </c>
      <c r="CH429" s="17" t="n"/>
      <c r="CI429" s="16" t="n"/>
      <c r="CJ429" s="20" t="n"/>
      <c r="CK429" s="20" t="inlineStr">
        <is>
          <t>None</t>
        </is>
      </c>
      <c r="CL429" s="17" t="n"/>
      <c r="CM429" s="16" t="n"/>
      <c r="CN429" s="20" t="inlineStr">
        <is>
          <t>SOP 45-34</t>
        </is>
      </c>
      <c r="CO429" s="20" t="inlineStr">
        <is>
          <t>None</t>
        </is>
      </c>
      <c r="CP429" s="17" t="n"/>
      <c r="CQ429" s="16" t="n"/>
      <c r="CR429" s="20" t="n"/>
      <c r="CS429" s="20" t="inlineStr">
        <is>
          <t>None</t>
        </is>
      </c>
      <c r="CT429" s="17" t="n"/>
      <c r="CU429" s="16" t="n"/>
      <c r="CV429" s="20" t="n"/>
      <c r="CW429" s="20" t="inlineStr">
        <is>
          <t>None</t>
        </is>
      </c>
      <c r="CX429" s="17" t="n"/>
      <c r="CY429" s="16" t="n"/>
      <c r="CZ429" s="20" t="inlineStr">
        <is>
          <t>WTW Multimeter 3430 with FDO 925</t>
        </is>
      </c>
      <c r="DA429" s="20" t="inlineStr">
        <is>
          <t>None</t>
        </is>
      </c>
      <c r="DB429" s="17" t="n"/>
      <c r="DC429" s="16" t="n"/>
      <c r="DD429" s="20" t="n"/>
      <c r="DE429" s="20" t="inlineStr">
        <is>
          <t>None</t>
        </is>
      </c>
      <c r="DF429" s="17" t="n"/>
      <c r="DG429" s="16" t="n"/>
      <c r="DH429" s="20" t="inlineStr">
        <is>
          <t>SOP 45-09</t>
        </is>
      </c>
      <c r="DI429" s="20" t="inlineStr">
        <is>
          <t>None</t>
        </is>
      </c>
      <c r="DJ429" s="17" t="n"/>
      <c r="DK429" s="16" t="n"/>
      <c r="DL429" s="20" t="inlineStr">
        <is>
          <t>SOP 45-09 (SOP muss noch angepasst werden für VSS)</t>
        </is>
      </c>
      <c r="DM429" s="20" t="inlineStr">
        <is>
          <t>None</t>
        </is>
      </c>
      <c r="DN429" s="17" t="n"/>
      <c r="DO429" s="16" t="n"/>
      <c r="DP429" s="20" t="inlineStr">
        <is>
          <t>IC Organic Acids</t>
        </is>
      </c>
      <c r="DQ429" s="20" t="inlineStr">
        <is>
          <t>None</t>
        </is>
      </c>
      <c r="DR429" s="17" t="n"/>
      <c r="DS429" s="16" t="n"/>
      <c r="DT429" s="20" t="inlineStr">
        <is>
          <t>IC Organic Acids</t>
        </is>
      </c>
      <c r="DU429" s="20" t="inlineStr">
        <is>
          <t>None</t>
        </is>
      </c>
      <c r="DV429" s="17" t="n"/>
      <c r="DW429" s="16" t="n"/>
      <c r="DX429" s="20" t="inlineStr">
        <is>
          <t>IC Organic Acids</t>
        </is>
      </c>
      <c r="DY429" s="20" t="inlineStr">
        <is>
          <t>None</t>
        </is>
      </c>
      <c r="DZ429" s="17" t="n"/>
      <c r="EA429" s="16" t="n"/>
      <c r="EB429" s="20" t="inlineStr">
        <is>
          <t>IC Organic Acids</t>
        </is>
      </c>
      <c r="EC429" s="20" t="inlineStr">
        <is>
          <t>None</t>
        </is>
      </c>
      <c r="ED429" s="17" t="n"/>
      <c r="EE429" s="16" t="n"/>
      <c r="EF429" s="20" t="inlineStr">
        <is>
          <t>IC Organic Acids</t>
        </is>
      </c>
      <c r="EG429" s="20" t="inlineStr">
        <is>
          <t>None</t>
        </is>
      </c>
      <c r="EH429" s="17" t="n"/>
      <c r="EI429" s="16" t="n"/>
      <c r="EJ429" s="20" t="inlineStr">
        <is>
          <t>IC Organic Acids</t>
        </is>
      </c>
      <c r="EK429" s="20" t="inlineStr">
        <is>
          <t>None</t>
        </is>
      </c>
      <c r="EL429" s="17" t="n"/>
      <c r="EM429" s="16" t="n"/>
      <c r="EN429" s="20" t="inlineStr">
        <is>
          <t>IC Organic Acids</t>
        </is>
      </c>
      <c r="EO429" s="20" t="inlineStr">
        <is>
          <t>None</t>
        </is>
      </c>
      <c r="EP429" s="17" t="n"/>
      <c r="EQ429" s="16" t="n"/>
      <c r="ER429" s="20" t="inlineStr">
        <is>
          <t>IC Organic Acids</t>
        </is>
      </c>
      <c r="ES429" s="20" t="inlineStr">
        <is>
          <t>None</t>
        </is>
      </c>
      <c r="ET429" s="17" t="n"/>
      <c r="EU429" s="16" t="n"/>
      <c r="EV429" s="20" t="inlineStr">
        <is>
          <t>LC-MS</t>
        </is>
      </c>
      <c r="EW429" s="20" t="inlineStr">
        <is>
          <t>None</t>
        </is>
      </c>
      <c r="EX429" s="17" t="n"/>
      <c r="EY429" s="21" t="n"/>
      <c r="EZ429">
        <f>CONCATENATE(A429,B429)</f>
        <v/>
      </c>
      <c r="FA429">
        <f>CONCATENATE(SamplesX!A429,SamplesX!B429)</f>
        <v/>
      </c>
      <c r="FC429">
        <f>MATCH(EZ429,FA1:FA1008,0)</f>
        <v/>
      </c>
    </row>
    <row r="430">
      <c r="A430" s="16" t="inlineStr">
        <is>
          <t>BP</t>
        </is>
      </c>
      <c r="B430" s="17" t="inlineStr">
        <is>
          <t>25422</t>
        </is>
      </c>
      <c r="C430" s="10">
        <f>IF(ISNUMBER(FC430),INDIRECT("SamplesX!C"&amp;FC430),IF(ISNUMBER(FD430),INDIRECT("SamplesY!C"&amp;FD430),""))</f>
        <v/>
      </c>
      <c r="D430" s="12">
        <f>IF(ISNUMBER(FC430),INDIRECT("SamplesX!D"&amp;FC430),IF(ISNUMBER(FD430),INDIRECT("SamplesY!D"&amp;FD430),""))</f>
        <v/>
      </c>
      <c r="E430" s="12">
        <f>IF(ISNUMBER(FC430),INDIRECT("SamplesX!E"&amp;FC430),IF(ISNUMBER(FD430),INDIRECT("SamplesY!E"&amp;FD430),""))</f>
        <v/>
      </c>
      <c r="F430" s="11">
        <f>IF(ISNUMBER(FC430),INDIRECT("SamplesX!F"&amp;FC430),IF(ISNUMBER(FD430),INDIRECT("SamplesY!F"&amp;FD430),""))</f>
        <v/>
      </c>
      <c r="G430" s="18">
        <f>IF(ISNUMBER(FC430),INDIRECT("SamplesX!G"&amp;FC430),IF(ISNUMBER(FD430),INDIRECT("SamplesY!G"&amp;FD430),""))</f>
        <v/>
      </c>
      <c r="H430" s="19">
        <f>IF(ISNUMBER(FC430),INDIRECT("SamplesX!H"&amp;FC430),IF(ISNUMBER(FD430),INDIRECT("SamplesY!H"&amp;FD430),""))</f>
        <v/>
      </c>
      <c r="I430" s="16" t="n"/>
      <c r="J430" s="16" t="n"/>
      <c r="K430" s="16" t="n"/>
      <c r="L430" s="20" t="n"/>
      <c r="M430" s="20" t="inlineStr">
        <is>
          <t>None</t>
        </is>
      </c>
      <c r="N430" s="17" t="n"/>
      <c r="O430" s="16" t="n"/>
      <c r="P430" s="20" t="inlineStr">
        <is>
          <t>Shimadzu TOC-L</t>
        </is>
      </c>
      <c r="Q430" s="20" t="inlineStr">
        <is>
          <t>None</t>
        </is>
      </c>
      <c r="R430" s="17" t="n"/>
      <c r="S430" s="16" t="n"/>
      <c r="T430" s="20" t="inlineStr">
        <is>
          <t>Shimadzu TOC-L</t>
        </is>
      </c>
      <c r="U430" s="20" t="inlineStr">
        <is>
          <t>None</t>
        </is>
      </c>
      <c r="V430" s="17" t="n"/>
      <c r="W430" s="16" t="n"/>
      <c r="X430" s="20" t="n"/>
      <c r="Y430" s="20" t="inlineStr">
        <is>
          <t>None</t>
        </is>
      </c>
      <c r="Z430" s="17" t="n"/>
      <c r="AA430" s="16" t="n"/>
      <c r="AB430" s="20" t="n"/>
      <c r="AC430" s="20" t="inlineStr">
        <is>
          <t>None</t>
        </is>
      </c>
      <c r="AD430" s="17" t="n"/>
      <c r="AE430" s="16" t="n"/>
      <c r="AF430" s="20" t="inlineStr">
        <is>
          <t>IC Anionen</t>
        </is>
      </c>
      <c r="AG430" s="20" t="inlineStr">
        <is>
          <t>None</t>
        </is>
      </c>
      <c r="AH430" s="17" t="n"/>
      <c r="AI430" s="16" t="n"/>
      <c r="AJ430" s="20" t="n"/>
      <c r="AK430" s="20" t="inlineStr">
        <is>
          <t>None</t>
        </is>
      </c>
      <c r="AL430" s="17" t="n"/>
      <c r="AM430" s="16" t="n"/>
      <c r="AN430" s="20" t="inlineStr">
        <is>
          <t>IC Anionen</t>
        </is>
      </c>
      <c r="AO430" s="20" t="inlineStr">
        <is>
          <t>None</t>
        </is>
      </c>
      <c r="AP430" s="17" t="n"/>
      <c r="AQ430" s="16" t="n"/>
      <c r="AR430" s="20" t="n"/>
      <c r="AS430" s="20" t="inlineStr">
        <is>
          <t>None</t>
        </is>
      </c>
      <c r="AT430" s="17" t="n"/>
      <c r="AU430" s="16" t="n"/>
      <c r="AV430" s="20" t="n"/>
      <c r="AW430" s="20" t="inlineStr">
        <is>
          <t>None</t>
        </is>
      </c>
      <c r="AX430" s="17" t="n"/>
      <c r="AY430" s="16" t="n"/>
      <c r="AZ430" s="20" t="inlineStr">
        <is>
          <t>IC Anionen</t>
        </is>
      </c>
      <c r="BA430" s="20" t="inlineStr">
        <is>
          <t>None</t>
        </is>
      </c>
      <c r="BB430" s="17" t="n"/>
      <c r="BC430" s="16" t="n"/>
      <c r="BD430" s="20" t="inlineStr">
        <is>
          <t>IC Kationen</t>
        </is>
      </c>
      <c r="BE430" s="20" t="inlineStr">
        <is>
          <t>None</t>
        </is>
      </c>
      <c r="BF430" s="17" t="n"/>
      <c r="BG430" s="16" t="n"/>
      <c r="BH430" s="20" t="inlineStr">
        <is>
          <t>IC Kationen</t>
        </is>
      </c>
      <c r="BI430" s="20" t="inlineStr">
        <is>
          <t>None</t>
        </is>
      </c>
      <c r="BJ430" s="17" t="n"/>
      <c r="BK430" s="16" t="n"/>
      <c r="BL430" s="20" t="inlineStr">
        <is>
          <t>IC Kationen</t>
        </is>
      </c>
      <c r="BM430" s="20" t="inlineStr">
        <is>
          <t>None</t>
        </is>
      </c>
      <c r="BN430" s="17" t="n"/>
      <c r="BO430" s="16" t="n"/>
      <c r="BP430" s="20" t="inlineStr">
        <is>
          <t>IC Kationen</t>
        </is>
      </c>
      <c r="BQ430" s="20" t="inlineStr">
        <is>
          <t>None</t>
        </is>
      </c>
      <c r="BR430" s="17" t="n"/>
      <c r="BS430" s="16" t="n"/>
      <c r="BT430" s="20" t="inlineStr">
        <is>
          <t>IC Kationen</t>
        </is>
      </c>
      <c r="BU430" s="20" t="inlineStr">
        <is>
          <t>None</t>
        </is>
      </c>
      <c r="BV430" s="17" t="n"/>
      <c r="BW430" s="16" t="n"/>
      <c r="BX430" s="20" t="n"/>
      <c r="BY430" s="20" t="inlineStr">
        <is>
          <t>None</t>
        </is>
      </c>
      <c r="BZ430" s="17" t="n"/>
      <c r="CA430" s="16" t="n"/>
      <c r="CB430" s="20" t="n"/>
      <c r="CC430" s="20" t="inlineStr">
        <is>
          <t>None</t>
        </is>
      </c>
      <c r="CD430" s="17" t="n"/>
      <c r="CE430" s="16" t="n"/>
      <c r="CF430" s="20" t="n"/>
      <c r="CG430" s="20" t="inlineStr">
        <is>
          <t>None</t>
        </is>
      </c>
      <c r="CH430" s="17" t="n"/>
      <c r="CI430" s="16" t="n"/>
      <c r="CJ430" s="20" t="n"/>
      <c r="CK430" s="20" t="inlineStr">
        <is>
          <t>None</t>
        </is>
      </c>
      <c r="CL430" s="17" t="n"/>
      <c r="CM430" s="16" t="n"/>
      <c r="CN430" s="20" t="inlineStr">
        <is>
          <t>SOP 45-34</t>
        </is>
      </c>
      <c r="CO430" s="20" t="inlineStr">
        <is>
          <t>None</t>
        </is>
      </c>
      <c r="CP430" s="17" t="n"/>
      <c r="CQ430" s="16" t="n"/>
      <c r="CR430" s="20" t="n"/>
      <c r="CS430" s="20" t="inlineStr">
        <is>
          <t>None</t>
        </is>
      </c>
      <c r="CT430" s="17" t="n"/>
      <c r="CU430" s="16" t="n"/>
      <c r="CV430" s="20" t="n"/>
      <c r="CW430" s="20" t="inlineStr">
        <is>
          <t>None</t>
        </is>
      </c>
      <c r="CX430" s="17" t="n"/>
      <c r="CY430" s="16" t="n"/>
      <c r="CZ430" s="20" t="inlineStr">
        <is>
          <t>WTW Multimeter 3430 with FDO 925</t>
        </is>
      </c>
      <c r="DA430" s="20" t="inlineStr">
        <is>
          <t>None</t>
        </is>
      </c>
      <c r="DB430" s="17" t="n"/>
      <c r="DC430" s="16" t="n"/>
      <c r="DD430" s="20" t="n"/>
      <c r="DE430" s="20" t="inlineStr">
        <is>
          <t>None</t>
        </is>
      </c>
      <c r="DF430" s="17" t="n"/>
      <c r="DG430" s="16" t="n"/>
      <c r="DH430" s="20" t="inlineStr">
        <is>
          <t>SOP 45-09</t>
        </is>
      </c>
      <c r="DI430" s="20" t="inlineStr">
        <is>
          <t>None</t>
        </is>
      </c>
      <c r="DJ430" s="17" t="n"/>
      <c r="DK430" s="16" t="n"/>
      <c r="DL430" s="20" t="inlineStr">
        <is>
          <t>SOP 45-09 (SOP muss noch angepasst werden für VSS)</t>
        </is>
      </c>
      <c r="DM430" s="20" t="inlineStr">
        <is>
          <t>None</t>
        </is>
      </c>
      <c r="DN430" s="17" t="n"/>
      <c r="DO430" s="16" t="n"/>
      <c r="DP430" s="20" t="inlineStr">
        <is>
          <t>IC Organic Acids</t>
        </is>
      </c>
      <c r="DQ430" s="20" t="inlineStr">
        <is>
          <t>None</t>
        </is>
      </c>
      <c r="DR430" s="17" t="n"/>
      <c r="DS430" s="16" t="n"/>
      <c r="DT430" s="20" t="inlineStr">
        <is>
          <t>IC Organic Acids</t>
        </is>
      </c>
      <c r="DU430" s="20" t="inlineStr">
        <is>
          <t>None</t>
        </is>
      </c>
      <c r="DV430" s="17" t="n"/>
      <c r="DW430" s="16" t="n"/>
      <c r="DX430" s="20" t="inlineStr">
        <is>
          <t>IC Organic Acids</t>
        </is>
      </c>
      <c r="DY430" s="20" t="inlineStr">
        <is>
          <t>None</t>
        </is>
      </c>
      <c r="DZ430" s="17" t="n"/>
      <c r="EA430" s="16" t="n"/>
      <c r="EB430" s="20" t="inlineStr">
        <is>
          <t>IC Organic Acids</t>
        </is>
      </c>
      <c r="EC430" s="20" t="inlineStr">
        <is>
          <t>None</t>
        </is>
      </c>
      <c r="ED430" s="17" t="n"/>
      <c r="EE430" s="16" t="n"/>
      <c r="EF430" s="20" t="inlineStr">
        <is>
          <t>IC Organic Acids</t>
        </is>
      </c>
      <c r="EG430" s="20" t="inlineStr">
        <is>
          <t>None</t>
        </is>
      </c>
      <c r="EH430" s="17" t="n"/>
      <c r="EI430" s="16" t="n"/>
      <c r="EJ430" s="20" t="inlineStr">
        <is>
          <t>IC Organic Acids</t>
        </is>
      </c>
      <c r="EK430" s="20" t="inlineStr">
        <is>
          <t>None</t>
        </is>
      </c>
      <c r="EL430" s="17" t="n"/>
      <c r="EM430" s="16" t="n"/>
      <c r="EN430" s="20" t="inlineStr">
        <is>
          <t>IC Organic Acids</t>
        </is>
      </c>
      <c r="EO430" s="20" t="inlineStr">
        <is>
          <t>None</t>
        </is>
      </c>
      <c r="EP430" s="17" t="n"/>
      <c r="EQ430" s="16" t="n"/>
      <c r="ER430" s="20" t="inlineStr">
        <is>
          <t>IC Organic Acids</t>
        </is>
      </c>
      <c r="ES430" s="20" t="inlineStr">
        <is>
          <t>None</t>
        </is>
      </c>
      <c r="ET430" s="17" t="n"/>
      <c r="EU430" s="16" t="n"/>
      <c r="EV430" s="20" t="inlineStr">
        <is>
          <t>LC-MS</t>
        </is>
      </c>
      <c r="EW430" s="20" t="inlineStr">
        <is>
          <t>None</t>
        </is>
      </c>
      <c r="EX430" s="17" t="n"/>
      <c r="EY430" s="21" t="n"/>
      <c r="EZ430">
        <f>CONCATENATE(A430,B430)</f>
        <v/>
      </c>
      <c r="FA430">
        <f>CONCATENATE(SamplesX!A430,SamplesX!B430)</f>
        <v/>
      </c>
      <c r="FC430">
        <f>MATCH(EZ430,FA1:FA1008,0)</f>
        <v/>
      </c>
    </row>
    <row r="431">
      <c r="A431" s="16" t="inlineStr">
        <is>
          <t>BP</t>
        </is>
      </c>
      <c r="B431" s="17" t="inlineStr">
        <is>
          <t>25423</t>
        </is>
      </c>
      <c r="C431" s="10">
        <f>IF(ISNUMBER(FC431),INDIRECT("SamplesX!C"&amp;FC431),IF(ISNUMBER(FD431),INDIRECT("SamplesY!C"&amp;FD431),""))</f>
        <v/>
      </c>
      <c r="D431" s="12">
        <f>IF(ISNUMBER(FC431),INDIRECT("SamplesX!D"&amp;FC431),IF(ISNUMBER(FD431),INDIRECT("SamplesY!D"&amp;FD431),""))</f>
        <v/>
      </c>
      <c r="E431" s="12">
        <f>IF(ISNUMBER(FC431),INDIRECT("SamplesX!E"&amp;FC431),IF(ISNUMBER(FD431),INDIRECT("SamplesY!E"&amp;FD431),""))</f>
        <v/>
      </c>
      <c r="F431" s="11">
        <f>IF(ISNUMBER(FC431),INDIRECT("SamplesX!F"&amp;FC431),IF(ISNUMBER(FD431),INDIRECT("SamplesY!F"&amp;FD431),""))</f>
        <v/>
      </c>
      <c r="G431" s="18">
        <f>IF(ISNUMBER(FC431),INDIRECT("SamplesX!G"&amp;FC431),IF(ISNUMBER(FD431),INDIRECT("SamplesY!G"&amp;FD431),""))</f>
        <v/>
      </c>
      <c r="H431" s="19">
        <f>IF(ISNUMBER(FC431),INDIRECT("SamplesX!H"&amp;FC431),IF(ISNUMBER(FD431),INDIRECT("SamplesY!H"&amp;FD431),""))</f>
        <v/>
      </c>
      <c r="I431" s="16" t="n"/>
      <c r="J431" s="16" t="n"/>
      <c r="K431" s="16" t="n"/>
      <c r="L431" s="20" t="n"/>
      <c r="M431" s="20" t="inlineStr">
        <is>
          <t>None</t>
        </is>
      </c>
      <c r="N431" s="17" t="n"/>
      <c r="O431" s="16" t="n"/>
      <c r="P431" s="20" t="inlineStr">
        <is>
          <t>Shimadzu TOC-L</t>
        </is>
      </c>
      <c r="Q431" s="20" t="inlineStr">
        <is>
          <t>None</t>
        </is>
      </c>
      <c r="R431" s="17" t="n"/>
      <c r="S431" s="16" t="n"/>
      <c r="T431" s="20" t="inlineStr">
        <is>
          <t>Shimadzu TOC-L</t>
        </is>
      </c>
      <c r="U431" s="20" t="inlineStr">
        <is>
          <t>None</t>
        </is>
      </c>
      <c r="V431" s="17" t="n"/>
      <c r="W431" s="16" t="n"/>
      <c r="X431" s="20" t="n"/>
      <c r="Y431" s="20" t="inlineStr">
        <is>
          <t>None</t>
        </is>
      </c>
      <c r="Z431" s="17" t="n"/>
      <c r="AA431" s="16" t="n"/>
      <c r="AB431" s="20" t="n"/>
      <c r="AC431" s="20" t="inlineStr">
        <is>
          <t>None</t>
        </is>
      </c>
      <c r="AD431" s="17" t="n"/>
      <c r="AE431" s="16" t="n"/>
      <c r="AF431" s="20" t="inlineStr">
        <is>
          <t>IC Anionen</t>
        </is>
      </c>
      <c r="AG431" s="20" t="inlineStr">
        <is>
          <t>None</t>
        </is>
      </c>
      <c r="AH431" s="17" t="n"/>
      <c r="AI431" s="16" t="n"/>
      <c r="AJ431" s="20" t="n"/>
      <c r="AK431" s="20" t="inlineStr">
        <is>
          <t>None</t>
        </is>
      </c>
      <c r="AL431" s="17" t="n"/>
      <c r="AM431" s="16" t="n"/>
      <c r="AN431" s="20" t="inlineStr">
        <is>
          <t>IC Anionen</t>
        </is>
      </c>
      <c r="AO431" s="20" t="inlineStr">
        <is>
          <t>None</t>
        </is>
      </c>
      <c r="AP431" s="17" t="n"/>
      <c r="AQ431" s="16" t="n"/>
      <c r="AR431" s="20" t="n"/>
      <c r="AS431" s="20" t="inlineStr">
        <is>
          <t>None</t>
        </is>
      </c>
      <c r="AT431" s="17" t="n"/>
      <c r="AU431" s="16" t="n"/>
      <c r="AV431" s="20" t="n"/>
      <c r="AW431" s="20" t="inlineStr">
        <is>
          <t>None</t>
        </is>
      </c>
      <c r="AX431" s="17" t="n"/>
      <c r="AY431" s="16" t="n"/>
      <c r="AZ431" s="20" t="inlineStr">
        <is>
          <t>IC Anionen</t>
        </is>
      </c>
      <c r="BA431" s="20" t="inlineStr">
        <is>
          <t>None</t>
        </is>
      </c>
      <c r="BB431" s="17" t="n"/>
      <c r="BC431" s="16" t="n"/>
      <c r="BD431" s="20" t="inlineStr">
        <is>
          <t>IC Kationen</t>
        </is>
      </c>
      <c r="BE431" s="20" t="inlineStr">
        <is>
          <t>None</t>
        </is>
      </c>
      <c r="BF431" s="17" t="n"/>
      <c r="BG431" s="16" t="n"/>
      <c r="BH431" s="20" t="inlineStr">
        <is>
          <t>IC Kationen</t>
        </is>
      </c>
      <c r="BI431" s="20" t="inlineStr">
        <is>
          <t>None</t>
        </is>
      </c>
      <c r="BJ431" s="17" t="n"/>
      <c r="BK431" s="16" t="n"/>
      <c r="BL431" s="20" t="inlineStr">
        <is>
          <t>IC Kationen</t>
        </is>
      </c>
      <c r="BM431" s="20" t="inlineStr">
        <is>
          <t>None</t>
        </is>
      </c>
      <c r="BN431" s="17" t="n"/>
      <c r="BO431" s="16" t="n"/>
      <c r="BP431" s="20" t="inlineStr">
        <is>
          <t>IC Kationen</t>
        </is>
      </c>
      <c r="BQ431" s="20" t="inlineStr">
        <is>
          <t>None</t>
        </is>
      </c>
      <c r="BR431" s="17" t="n"/>
      <c r="BS431" s="16" t="n"/>
      <c r="BT431" s="20" t="inlineStr">
        <is>
          <t>IC Kationen</t>
        </is>
      </c>
      <c r="BU431" s="20" t="inlineStr">
        <is>
          <t>None</t>
        </is>
      </c>
      <c r="BV431" s="17" t="n"/>
      <c r="BW431" s="16" t="n"/>
      <c r="BX431" s="20" t="n"/>
      <c r="BY431" s="20" t="inlineStr">
        <is>
          <t>None</t>
        </is>
      </c>
      <c r="BZ431" s="17" t="n"/>
      <c r="CA431" s="16" t="n"/>
      <c r="CB431" s="20" t="n"/>
      <c r="CC431" s="20" t="inlineStr">
        <is>
          <t>None</t>
        </is>
      </c>
      <c r="CD431" s="17" t="n"/>
      <c r="CE431" s="16" t="n"/>
      <c r="CF431" s="20" t="n"/>
      <c r="CG431" s="20" t="inlineStr">
        <is>
          <t>None</t>
        </is>
      </c>
      <c r="CH431" s="17" t="n"/>
      <c r="CI431" s="16" t="n"/>
      <c r="CJ431" s="20" t="n"/>
      <c r="CK431" s="20" t="inlineStr">
        <is>
          <t>None</t>
        </is>
      </c>
      <c r="CL431" s="17" t="n"/>
      <c r="CM431" s="16" t="n"/>
      <c r="CN431" s="20" t="inlineStr">
        <is>
          <t>SOP 45-34</t>
        </is>
      </c>
      <c r="CO431" s="20" t="inlineStr">
        <is>
          <t>None</t>
        </is>
      </c>
      <c r="CP431" s="17" t="n"/>
      <c r="CQ431" s="16" t="n"/>
      <c r="CR431" s="20" t="n"/>
      <c r="CS431" s="20" t="inlineStr">
        <is>
          <t>None</t>
        </is>
      </c>
      <c r="CT431" s="17" t="n"/>
      <c r="CU431" s="16" t="n"/>
      <c r="CV431" s="20" t="n"/>
      <c r="CW431" s="20" t="inlineStr">
        <is>
          <t>None</t>
        </is>
      </c>
      <c r="CX431" s="17" t="n"/>
      <c r="CY431" s="16" t="n"/>
      <c r="CZ431" s="20" t="inlineStr">
        <is>
          <t>WTW Multimeter 3430 with FDO 925</t>
        </is>
      </c>
      <c r="DA431" s="20" t="inlineStr">
        <is>
          <t>None</t>
        </is>
      </c>
      <c r="DB431" s="17" t="n"/>
      <c r="DC431" s="16" t="n"/>
      <c r="DD431" s="20" t="n"/>
      <c r="DE431" s="20" t="inlineStr">
        <is>
          <t>None</t>
        </is>
      </c>
      <c r="DF431" s="17" t="n"/>
      <c r="DG431" s="16" t="n"/>
      <c r="DH431" s="20" t="inlineStr">
        <is>
          <t>SOP 45-09</t>
        </is>
      </c>
      <c r="DI431" s="20" t="inlineStr">
        <is>
          <t>None</t>
        </is>
      </c>
      <c r="DJ431" s="17" t="n"/>
      <c r="DK431" s="16" t="n"/>
      <c r="DL431" s="20" t="inlineStr">
        <is>
          <t>SOP 45-09 (SOP muss noch angepasst werden für VSS)</t>
        </is>
      </c>
      <c r="DM431" s="20" t="inlineStr">
        <is>
          <t>None</t>
        </is>
      </c>
      <c r="DN431" s="17" t="n"/>
      <c r="DO431" s="16" t="n"/>
      <c r="DP431" s="20" t="inlineStr">
        <is>
          <t>IC Organic Acids</t>
        </is>
      </c>
      <c r="DQ431" s="20" t="inlineStr">
        <is>
          <t>None</t>
        </is>
      </c>
      <c r="DR431" s="17" t="n"/>
      <c r="DS431" s="16" t="n"/>
      <c r="DT431" s="20" t="inlineStr">
        <is>
          <t>IC Organic Acids</t>
        </is>
      </c>
      <c r="DU431" s="20" t="inlineStr">
        <is>
          <t>None</t>
        </is>
      </c>
      <c r="DV431" s="17" t="n"/>
      <c r="DW431" s="16" t="n"/>
      <c r="DX431" s="20" t="inlineStr">
        <is>
          <t>IC Organic Acids</t>
        </is>
      </c>
      <c r="DY431" s="20" t="inlineStr">
        <is>
          <t>None</t>
        </is>
      </c>
      <c r="DZ431" s="17" t="n"/>
      <c r="EA431" s="16" t="n"/>
      <c r="EB431" s="20" t="inlineStr">
        <is>
          <t>IC Organic Acids</t>
        </is>
      </c>
      <c r="EC431" s="20" t="inlineStr">
        <is>
          <t>None</t>
        </is>
      </c>
      <c r="ED431" s="17" t="n"/>
      <c r="EE431" s="16" t="n"/>
      <c r="EF431" s="20" t="inlineStr">
        <is>
          <t>IC Organic Acids</t>
        </is>
      </c>
      <c r="EG431" s="20" t="inlineStr">
        <is>
          <t>None</t>
        </is>
      </c>
      <c r="EH431" s="17" t="n"/>
      <c r="EI431" s="16" t="n"/>
      <c r="EJ431" s="20" t="inlineStr">
        <is>
          <t>IC Organic Acids</t>
        </is>
      </c>
      <c r="EK431" s="20" t="inlineStr">
        <is>
          <t>None</t>
        </is>
      </c>
      <c r="EL431" s="17" t="n"/>
      <c r="EM431" s="16" t="n"/>
      <c r="EN431" s="20" t="inlineStr">
        <is>
          <t>IC Organic Acids</t>
        </is>
      </c>
      <c r="EO431" s="20" t="inlineStr">
        <is>
          <t>None</t>
        </is>
      </c>
      <c r="EP431" s="17" t="n"/>
      <c r="EQ431" s="16" t="n"/>
      <c r="ER431" s="20" t="inlineStr">
        <is>
          <t>IC Organic Acids</t>
        </is>
      </c>
      <c r="ES431" s="20" t="inlineStr">
        <is>
          <t>None</t>
        </is>
      </c>
      <c r="ET431" s="17" t="n"/>
      <c r="EU431" s="16" t="n"/>
      <c r="EV431" s="20" t="inlineStr">
        <is>
          <t>LC-MS</t>
        </is>
      </c>
      <c r="EW431" s="20" t="inlineStr">
        <is>
          <t>None</t>
        </is>
      </c>
      <c r="EX431" s="17" t="n"/>
      <c r="EY431" s="21" t="n"/>
      <c r="EZ431">
        <f>CONCATENATE(A431,B431)</f>
        <v/>
      </c>
      <c r="FA431">
        <f>CONCATENATE(SamplesX!A431,SamplesX!B431)</f>
        <v/>
      </c>
      <c r="FC431">
        <f>MATCH(EZ431,FA1:FA1008,0)</f>
        <v/>
      </c>
    </row>
    <row r="432">
      <c r="A432" s="16" t="inlineStr">
        <is>
          <t>BP</t>
        </is>
      </c>
      <c r="B432" s="17" t="inlineStr">
        <is>
          <t>25424</t>
        </is>
      </c>
      <c r="C432" s="10">
        <f>IF(ISNUMBER(FC432),INDIRECT("SamplesX!C"&amp;FC432),IF(ISNUMBER(FD432),INDIRECT("SamplesY!C"&amp;FD432),""))</f>
        <v/>
      </c>
      <c r="D432" s="12">
        <f>IF(ISNUMBER(FC432),INDIRECT("SamplesX!D"&amp;FC432),IF(ISNUMBER(FD432),INDIRECT("SamplesY!D"&amp;FD432),""))</f>
        <v/>
      </c>
      <c r="E432" s="12">
        <f>IF(ISNUMBER(FC432),INDIRECT("SamplesX!E"&amp;FC432),IF(ISNUMBER(FD432),INDIRECT("SamplesY!E"&amp;FD432),""))</f>
        <v/>
      </c>
      <c r="F432" s="11">
        <f>IF(ISNUMBER(FC432),INDIRECT("SamplesX!F"&amp;FC432),IF(ISNUMBER(FD432),INDIRECT("SamplesY!F"&amp;FD432),""))</f>
        <v/>
      </c>
      <c r="G432" s="18">
        <f>IF(ISNUMBER(FC432),INDIRECT("SamplesX!G"&amp;FC432),IF(ISNUMBER(FD432),INDIRECT("SamplesY!G"&amp;FD432),""))</f>
        <v/>
      </c>
      <c r="H432" s="19">
        <f>IF(ISNUMBER(FC432),INDIRECT("SamplesX!H"&amp;FC432),IF(ISNUMBER(FD432),INDIRECT("SamplesY!H"&amp;FD432),""))</f>
        <v/>
      </c>
      <c r="I432" s="16" t="n"/>
      <c r="J432" s="16" t="n"/>
      <c r="K432" s="16" t="n"/>
      <c r="L432" s="20" t="n"/>
      <c r="M432" s="20" t="inlineStr">
        <is>
          <t>None</t>
        </is>
      </c>
      <c r="N432" s="17" t="n"/>
      <c r="O432" s="16" t="n"/>
      <c r="P432" s="20" t="inlineStr">
        <is>
          <t>Shimadzu TOC-L</t>
        </is>
      </c>
      <c r="Q432" s="20" t="inlineStr">
        <is>
          <t>None</t>
        </is>
      </c>
      <c r="R432" s="17" t="n"/>
      <c r="S432" s="16" t="n"/>
      <c r="T432" s="20" t="inlineStr">
        <is>
          <t>Shimadzu TOC-L</t>
        </is>
      </c>
      <c r="U432" s="20" t="inlineStr">
        <is>
          <t>None</t>
        </is>
      </c>
      <c r="V432" s="17" t="n"/>
      <c r="W432" s="16" t="n"/>
      <c r="X432" s="20" t="n"/>
      <c r="Y432" s="20" t="inlineStr">
        <is>
          <t>None</t>
        </is>
      </c>
      <c r="Z432" s="17" t="n"/>
      <c r="AA432" s="16" t="n"/>
      <c r="AB432" s="20" t="n"/>
      <c r="AC432" s="20" t="inlineStr">
        <is>
          <t>None</t>
        </is>
      </c>
      <c r="AD432" s="17" t="n"/>
      <c r="AE432" s="16" t="n"/>
      <c r="AF432" s="20" t="inlineStr">
        <is>
          <t>IC Anionen</t>
        </is>
      </c>
      <c r="AG432" s="20" t="inlineStr">
        <is>
          <t>None</t>
        </is>
      </c>
      <c r="AH432" s="17" t="n"/>
      <c r="AI432" s="16" t="n"/>
      <c r="AJ432" s="20" t="n"/>
      <c r="AK432" s="20" t="inlineStr">
        <is>
          <t>None</t>
        </is>
      </c>
      <c r="AL432" s="17" t="n"/>
      <c r="AM432" s="16" t="n"/>
      <c r="AN432" s="20" t="inlineStr">
        <is>
          <t>IC Anionen</t>
        </is>
      </c>
      <c r="AO432" s="20" t="inlineStr">
        <is>
          <t>None</t>
        </is>
      </c>
      <c r="AP432" s="17" t="n"/>
      <c r="AQ432" s="16" t="n"/>
      <c r="AR432" s="20" t="n"/>
      <c r="AS432" s="20" t="inlineStr">
        <is>
          <t>None</t>
        </is>
      </c>
      <c r="AT432" s="17" t="n"/>
      <c r="AU432" s="16" t="n"/>
      <c r="AV432" s="20" t="n"/>
      <c r="AW432" s="20" t="inlineStr">
        <is>
          <t>None</t>
        </is>
      </c>
      <c r="AX432" s="17" t="n"/>
      <c r="AY432" s="16" t="n"/>
      <c r="AZ432" s="20" t="inlineStr">
        <is>
          <t>IC Anionen</t>
        </is>
      </c>
      <c r="BA432" s="20" t="inlineStr">
        <is>
          <t>None</t>
        </is>
      </c>
      <c r="BB432" s="17" t="n"/>
      <c r="BC432" s="16" t="n"/>
      <c r="BD432" s="20" t="inlineStr">
        <is>
          <t>IC Kationen</t>
        </is>
      </c>
      <c r="BE432" s="20" t="inlineStr">
        <is>
          <t>None</t>
        </is>
      </c>
      <c r="BF432" s="17" t="n"/>
      <c r="BG432" s="16" t="n"/>
      <c r="BH432" s="20" t="inlineStr">
        <is>
          <t>IC Kationen</t>
        </is>
      </c>
      <c r="BI432" s="20" t="inlineStr">
        <is>
          <t>None</t>
        </is>
      </c>
      <c r="BJ432" s="17" t="n"/>
      <c r="BK432" s="16" t="n"/>
      <c r="BL432" s="20" t="inlineStr">
        <is>
          <t>IC Kationen</t>
        </is>
      </c>
      <c r="BM432" s="20" t="inlineStr">
        <is>
          <t>None</t>
        </is>
      </c>
      <c r="BN432" s="17" t="n"/>
      <c r="BO432" s="16" t="n"/>
      <c r="BP432" s="20" t="inlineStr">
        <is>
          <t>IC Kationen</t>
        </is>
      </c>
      <c r="BQ432" s="20" t="inlineStr">
        <is>
          <t>None</t>
        </is>
      </c>
      <c r="BR432" s="17" t="n"/>
      <c r="BS432" s="16" t="n"/>
      <c r="BT432" s="20" t="inlineStr">
        <is>
          <t>IC Kationen</t>
        </is>
      </c>
      <c r="BU432" s="20" t="inlineStr">
        <is>
          <t>None</t>
        </is>
      </c>
      <c r="BV432" s="17" t="n"/>
      <c r="BW432" s="16" t="n"/>
      <c r="BX432" s="20" t="n"/>
      <c r="BY432" s="20" t="inlineStr">
        <is>
          <t>None</t>
        </is>
      </c>
      <c r="BZ432" s="17" t="n"/>
      <c r="CA432" s="16" t="n"/>
      <c r="CB432" s="20" t="n"/>
      <c r="CC432" s="20" t="inlineStr">
        <is>
          <t>None</t>
        </is>
      </c>
      <c r="CD432" s="17" t="n"/>
      <c r="CE432" s="16" t="n"/>
      <c r="CF432" s="20" t="n"/>
      <c r="CG432" s="20" t="inlineStr">
        <is>
          <t>None</t>
        </is>
      </c>
      <c r="CH432" s="17" t="n"/>
      <c r="CI432" s="16" t="n"/>
      <c r="CJ432" s="20" t="n"/>
      <c r="CK432" s="20" t="inlineStr">
        <is>
          <t>None</t>
        </is>
      </c>
      <c r="CL432" s="17" t="n"/>
      <c r="CM432" s="16" t="n"/>
      <c r="CN432" s="20" t="inlineStr">
        <is>
          <t>SOP 45-34</t>
        </is>
      </c>
      <c r="CO432" s="20" t="inlineStr">
        <is>
          <t>None</t>
        </is>
      </c>
      <c r="CP432" s="17" t="n"/>
      <c r="CQ432" s="16" t="n"/>
      <c r="CR432" s="20" t="n"/>
      <c r="CS432" s="20" t="inlineStr">
        <is>
          <t>None</t>
        </is>
      </c>
      <c r="CT432" s="17" t="n"/>
      <c r="CU432" s="16" t="n"/>
      <c r="CV432" s="20" t="n"/>
      <c r="CW432" s="20" t="inlineStr">
        <is>
          <t>None</t>
        </is>
      </c>
      <c r="CX432" s="17" t="n"/>
      <c r="CY432" s="16" t="n"/>
      <c r="CZ432" s="20" t="inlineStr">
        <is>
          <t>WTW Multimeter 3430 with FDO 925</t>
        </is>
      </c>
      <c r="DA432" s="20" t="inlineStr">
        <is>
          <t>None</t>
        </is>
      </c>
      <c r="DB432" s="17" t="n"/>
      <c r="DC432" s="16" t="n"/>
      <c r="DD432" s="20" t="n"/>
      <c r="DE432" s="20" t="inlineStr">
        <is>
          <t>None</t>
        </is>
      </c>
      <c r="DF432" s="17" t="n"/>
      <c r="DG432" s="16" t="n"/>
      <c r="DH432" s="20" t="inlineStr">
        <is>
          <t>SOP 45-09</t>
        </is>
      </c>
      <c r="DI432" s="20" t="inlineStr">
        <is>
          <t>None</t>
        </is>
      </c>
      <c r="DJ432" s="17" t="n"/>
      <c r="DK432" s="16" t="n"/>
      <c r="DL432" s="20" t="inlineStr">
        <is>
          <t>SOP 45-09 (SOP muss noch angepasst werden für VSS)</t>
        </is>
      </c>
      <c r="DM432" s="20" t="inlineStr">
        <is>
          <t>None</t>
        </is>
      </c>
      <c r="DN432" s="17" t="n"/>
      <c r="DO432" s="16" t="n"/>
      <c r="DP432" s="20" t="inlineStr">
        <is>
          <t>IC Organic Acids</t>
        </is>
      </c>
      <c r="DQ432" s="20" t="inlineStr">
        <is>
          <t>None</t>
        </is>
      </c>
      <c r="DR432" s="17" t="n"/>
      <c r="DS432" s="16" t="n"/>
      <c r="DT432" s="20" t="inlineStr">
        <is>
          <t>IC Organic Acids</t>
        </is>
      </c>
      <c r="DU432" s="20" t="inlineStr">
        <is>
          <t>None</t>
        </is>
      </c>
      <c r="DV432" s="17" t="n"/>
      <c r="DW432" s="16" t="n"/>
      <c r="DX432" s="20" t="inlineStr">
        <is>
          <t>IC Organic Acids</t>
        </is>
      </c>
      <c r="DY432" s="20" t="inlineStr">
        <is>
          <t>None</t>
        </is>
      </c>
      <c r="DZ432" s="17" t="n"/>
      <c r="EA432" s="16" t="n"/>
      <c r="EB432" s="20" t="inlineStr">
        <is>
          <t>IC Organic Acids</t>
        </is>
      </c>
      <c r="EC432" s="20" t="inlineStr">
        <is>
          <t>None</t>
        </is>
      </c>
      <c r="ED432" s="17" t="n"/>
      <c r="EE432" s="16" t="n"/>
      <c r="EF432" s="20" t="inlineStr">
        <is>
          <t>IC Organic Acids</t>
        </is>
      </c>
      <c r="EG432" s="20" t="inlineStr">
        <is>
          <t>None</t>
        </is>
      </c>
      <c r="EH432" s="17" t="n"/>
      <c r="EI432" s="16" t="n"/>
      <c r="EJ432" s="20" t="inlineStr">
        <is>
          <t>IC Organic Acids</t>
        </is>
      </c>
      <c r="EK432" s="20" t="inlineStr">
        <is>
          <t>None</t>
        </is>
      </c>
      <c r="EL432" s="17" t="n"/>
      <c r="EM432" s="16" t="n"/>
      <c r="EN432" s="20" t="inlineStr">
        <is>
          <t>IC Organic Acids</t>
        </is>
      </c>
      <c r="EO432" s="20" t="inlineStr">
        <is>
          <t>None</t>
        </is>
      </c>
      <c r="EP432" s="17" t="n"/>
      <c r="EQ432" s="16" t="n"/>
      <c r="ER432" s="20" t="inlineStr">
        <is>
          <t>IC Organic Acids</t>
        </is>
      </c>
      <c r="ES432" s="20" t="inlineStr">
        <is>
          <t>None</t>
        </is>
      </c>
      <c r="ET432" s="17" t="n"/>
      <c r="EU432" s="16" t="n"/>
      <c r="EV432" s="20" t="inlineStr">
        <is>
          <t>LC-MS</t>
        </is>
      </c>
      <c r="EW432" s="20" t="inlineStr">
        <is>
          <t>None</t>
        </is>
      </c>
      <c r="EX432" s="17" t="n"/>
      <c r="EY432" s="21" t="n"/>
      <c r="EZ432">
        <f>CONCATENATE(A432,B432)</f>
        <v/>
      </c>
      <c r="FA432">
        <f>CONCATENATE(SamplesX!A432,SamplesX!B432)</f>
        <v/>
      </c>
      <c r="FC432">
        <f>MATCH(EZ432,FA1:FA1008,0)</f>
        <v/>
      </c>
    </row>
    <row r="433">
      <c r="A433" s="16" t="inlineStr">
        <is>
          <t>BP</t>
        </is>
      </c>
      <c r="B433" s="17" t="inlineStr">
        <is>
          <t>25425</t>
        </is>
      </c>
      <c r="C433" s="10">
        <f>IF(ISNUMBER(FC433),INDIRECT("SamplesX!C"&amp;FC433),IF(ISNUMBER(FD433),INDIRECT("SamplesY!C"&amp;FD433),""))</f>
        <v/>
      </c>
      <c r="D433" s="12">
        <f>IF(ISNUMBER(FC433),INDIRECT("SamplesX!D"&amp;FC433),IF(ISNUMBER(FD433),INDIRECT("SamplesY!D"&amp;FD433),""))</f>
        <v/>
      </c>
      <c r="E433" s="12">
        <f>IF(ISNUMBER(FC433),INDIRECT("SamplesX!E"&amp;FC433),IF(ISNUMBER(FD433),INDIRECT("SamplesY!E"&amp;FD433),""))</f>
        <v/>
      </c>
      <c r="F433" s="11">
        <f>IF(ISNUMBER(FC433),INDIRECT("SamplesX!F"&amp;FC433),IF(ISNUMBER(FD433),INDIRECT("SamplesY!F"&amp;FD433),""))</f>
        <v/>
      </c>
      <c r="G433" s="18">
        <f>IF(ISNUMBER(FC433),INDIRECT("SamplesX!G"&amp;FC433),IF(ISNUMBER(FD433),INDIRECT("SamplesY!G"&amp;FD433),""))</f>
        <v/>
      </c>
      <c r="H433" s="19">
        <f>IF(ISNUMBER(FC433),INDIRECT("SamplesX!H"&amp;FC433),IF(ISNUMBER(FD433),INDIRECT("SamplesY!H"&amp;FD433),""))</f>
        <v/>
      </c>
      <c r="I433" s="16" t="n"/>
      <c r="J433" s="16" t="n"/>
      <c r="K433" s="16" t="n"/>
      <c r="L433" s="20" t="n"/>
      <c r="M433" s="20" t="inlineStr">
        <is>
          <t>None</t>
        </is>
      </c>
      <c r="N433" s="17" t="n"/>
      <c r="O433" s="16" t="n"/>
      <c r="P433" s="20" t="inlineStr">
        <is>
          <t>Shimadzu TOC-L</t>
        </is>
      </c>
      <c r="Q433" s="20" t="inlineStr">
        <is>
          <t>None</t>
        </is>
      </c>
      <c r="R433" s="17" t="n"/>
      <c r="S433" s="16" t="n"/>
      <c r="T433" s="20" t="inlineStr">
        <is>
          <t>Shimadzu TOC-L</t>
        </is>
      </c>
      <c r="U433" s="20" t="inlineStr">
        <is>
          <t>None</t>
        </is>
      </c>
      <c r="V433" s="17" t="n"/>
      <c r="W433" s="16" t="n"/>
      <c r="X433" s="20" t="n"/>
      <c r="Y433" s="20" t="inlineStr">
        <is>
          <t>None</t>
        </is>
      </c>
      <c r="Z433" s="17" t="n"/>
      <c r="AA433" s="16" t="n"/>
      <c r="AB433" s="20" t="n"/>
      <c r="AC433" s="20" t="inlineStr">
        <is>
          <t>None</t>
        </is>
      </c>
      <c r="AD433" s="17" t="n"/>
      <c r="AE433" s="16" t="n"/>
      <c r="AF433" s="20" t="inlineStr">
        <is>
          <t>IC Anionen</t>
        </is>
      </c>
      <c r="AG433" s="20" t="inlineStr">
        <is>
          <t>None</t>
        </is>
      </c>
      <c r="AH433" s="17" t="n"/>
      <c r="AI433" s="16" t="n"/>
      <c r="AJ433" s="20" t="n"/>
      <c r="AK433" s="20" t="inlineStr">
        <is>
          <t>None</t>
        </is>
      </c>
      <c r="AL433" s="17" t="n"/>
      <c r="AM433" s="16" t="n"/>
      <c r="AN433" s="20" t="inlineStr">
        <is>
          <t>IC Anionen</t>
        </is>
      </c>
      <c r="AO433" s="20" t="inlineStr">
        <is>
          <t>None</t>
        </is>
      </c>
      <c r="AP433" s="17" t="n"/>
      <c r="AQ433" s="16" t="n"/>
      <c r="AR433" s="20" t="n"/>
      <c r="AS433" s="20" t="inlineStr">
        <is>
          <t>None</t>
        </is>
      </c>
      <c r="AT433" s="17" t="n"/>
      <c r="AU433" s="16" t="n"/>
      <c r="AV433" s="20" t="n"/>
      <c r="AW433" s="20" t="inlineStr">
        <is>
          <t>None</t>
        </is>
      </c>
      <c r="AX433" s="17" t="n"/>
      <c r="AY433" s="16" t="n"/>
      <c r="AZ433" s="20" t="inlineStr">
        <is>
          <t>IC Anionen</t>
        </is>
      </c>
      <c r="BA433" s="20" t="inlineStr">
        <is>
          <t>None</t>
        </is>
      </c>
      <c r="BB433" s="17" t="n"/>
      <c r="BC433" s="16" t="n"/>
      <c r="BD433" s="20" t="inlineStr">
        <is>
          <t>IC Kationen</t>
        </is>
      </c>
      <c r="BE433" s="20" t="inlineStr">
        <is>
          <t>None</t>
        </is>
      </c>
      <c r="BF433" s="17" t="n"/>
      <c r="BG433" s="16" t="n"/>
      <c r="BH433" s="20" t="inlineStr">
        <is>
          <t>IC Kationen</t>
        </is>
      </c>
      <c r="BI433" s="20" t="inlineStr">
        <is>
          <t>None</t>
        </is>
      </c>
      <c r="BJ433" s="17" t="n"/>
      <c r="BK433" s="16" t="n"/>
      <c r="BL433" s="20" t="inlineStr">
        <is>
          <t>IC Kationen</t>
        </is>
      </c>
      <c r="BM433" s="20" t="inlineStr">
        <is>
          <t>None</t>
        </is>
      </c>
      <c r="BN433" s="17" t="n"/>
      <c r="BO433" s="16" t="n"/>
      <c r="BP433" s="20" t="inlineStr">
        <is>
          <t>IC Kationen</t>
        </is>
      </c>
      <c r="BQ433" s="20" t="inlineStr">
        <is>
          <t>None</t>
        </is>
      </c>
      <c r="BR433" s="17" t="n"/>
      <c r="BS433" s="16" t="n"/>
      <c r="BT433" s="20" t="inlineStr">
        <is>
          <t>IC Kationen</t>
        </is>
      </c>
      <c r="BU433" s="20" t="inlineStr">
        <is>
          <t>None</t>
        </is>
      </c>
      <c r="BV433" s="17" t="n"/>
      <c r="BW433" s="16" t="n"/>
      <c r="BX433" s="20" t="n"/>
      <c r="BY433" s="20" t="inlineStr">
        <is>
          <t>None</t>
        </is>
      </c>
      <c r="BZ433" s="17" t="n"/>
      <c r="CA433" s="16" t="n"/>
      <c r="CB433" s="20" t="n"/>
      <c r="CC433" s="20" t="inlineStr">
        <is>
          <t>None</t>
        </is>
      </c>
      <c r="CD433" s="17" t="n"/>
      <c r="CE433" s="16" t="n"/>
      <c r="CF433" s="20" t="n"/>
      <c r="CG433" s="20" t="inlineStr">
        <is>
          <t>None</t>
        </is>
      </c>
      <c r="CH433" s="17" t="n"/>
      <c r="CI433" s="16" t="n"/>
      <c r="CJ433" s="20" t="n"/>
      <c r="CK433" s="20" t="inlineStr">
        <is>
          <t>None</t>
        </is>
      </c>
      <c r="CL433" s="17" t="n"/>
      <c r="CM433" s="16" t="n"/>
      <c r="CN433" s="20" t="inlineStr">
        <is>
          <t>SOP 45-34</t>
        </is>
      </c>
      <c r="CO433" s="20" t="inlineStr">
        <is>
          <t>None</t>
        </is>
      </c>
      <c r="CP433" s="17" t="n"/>
      <c r="CQ433" s="16" t="n"/>
      <c r="CR433" s="20" t="n"/>
      <c r="CS433" s="20" t="inlineStr">
        <is>
          <t>None</t>
        </is>
      </c>
      <c r="CT433" s="17" t="n"/>
      <c r="CU433" s="16" t="n"/>
      <c r="CV433" s="20" t="n"/>
      <c r="CW433" s="20" t="inlineStr">
        <is>
          <t>None</t>
        </is>
      </c>
      <c r="CX433" s="17" t="n"/>
      <c r="CY433" s="16" t="n"/>
      <c r="CZ433" s="20" t="inlineStr">
        <is>
          <t>WTW Multimeter 3430 with FDO 925</t>
        </is>
      </c>
      <c r="DA433" s="20" t="inlineStr">
        <is>
          <t>None</t>
        </is>
      </c>
      <c r="DB433" s="17" t="n"/>
      <c r="DC433" s="16" t="n"/>
      <c r="DD433" s="20" t="n"/>
      <c r="DE433" s="20" t="inlineStr">
        <is>
          <t>None</t>
        </is>
      </c>
      <c r="DF433" s="17" t="n"/>
      <c r="DG433" s="16" t="n"/>
      <c r="DH433" s="20" t="inlineStr">
        <is>
          <t>SOP 45-09</t>
        </is>
      </c>
      <c r="DI433" s="20" t="inlineStr">
        <is>
          <t>None</t>
        </is>
      </c>
      <c r="DJ433" s="17" t="n"/>
      <c r="DK433" s="16" t="n"/>
      <c r="DL433" s="20" t="inlineStr">
        <is>
          <t>SOP 45-09 (SOP muss noch angepasst werden für VSS)</t>
        </is>
      </c>
      <c r="DM433" s="20" t="inlineStr">
        <is>
          <t>None</t>
        </is>
      </c>
      <c r="DN433" s="17" t="n"/>
      <c r="DO433" s="16" t="n"/>
      <c r="DP433" s="20" t="inlineStr">
        <is>
          <t>IC Organic Acids</t>
        </is>
      </c>
      <c r="DQ433" s="20" t="inlineStr">
        <is>
          <t>None</t>
        </is>
      </c>
      <c r="DR433" s="17" t="n"/>
      <c r="DS433" s="16" t="n"/>
      <c r="DT433" s="20" t="inlineStr">
        <is>
          <t>IC Organic Acids</t>
        </is>
      </c>
      <c r="DU433" s="20" t="inlineStr">
        <is>
          <t>None</t>
        </is>
      </c>
      <c r="DV433" s="17" t="n"/>
      <c r="DW433" s="16" t="n"/>
      <c r="DX433" s="20" t="inlineStr">
        <is>
          <t>IC Organic Acids</t>
        </is>
      </c>
      <c r="DY433" s="20" t="inlineStr">
        <is>
          <t>None</t>
        </is>
      </c>
      <c r="DZ433" s="17" t="n"/>
      <c r="EA433" s="16" t="n"/>
      <c r="EB433" s="20" t="inlineStr">
        <is>
          <t>IC Organic Acids</t>
        </is>
      </c>
      <c r="EC433" s="20" t="inlineStr">
        <is>
          <t>None</t>
        </is>
      </c>
      <c r="ED433" s="17" t="n"/>
      <c r="EE433" s="16" t="n"/>
      <c r="EF433" s="20" t="inlineStr">
        <is>
          <t>IC Organic Acids</t>
        </is>
      </c>
      <c r="EG433" s="20" t="inlineStr">
        <is>
          <t>None</t>
        </is>
      </c>
      <c r="EH433" s="17" t="n"/>
      <c r="EI433" s="16" t="n"/>
      <c r="EJ433" s="20" t="inlineStr">
        <is>
          <t>IC Organic Acids</t>
        </is>
      </c>
      <c r="EK433" s="20" t="inlineStr">
        <is>
          <t>None</t>
        </is>
      </c>
      <c r="EL433" s="17" t="n"/>
      <c r="EM433" s="16" t="n"/>
      <c r="EN433" s="20" t="inlineStr">
        <is>
          <t>IC Organic Acids</t>
        </is>
      </c>
      <c r="EO433" s="20" t="inlineStr">
        <is>
          <t>None</t>
        </is>
      </c>
      <c r="EP433" s="17" t="n"/>
      <c r="EQ433" s="16" t="n"/>
      <c r="ER433" s="20" t="inlineStr">
        <is>
          <t>IC Organic Acids</t>
        </is>
      </c>
      <c r="ES433" s="20" t="inlineStr">
        <is>
          <t>None</t>
        </is>
      </c>
      <c r="ET433" s="17" t="n"/>
      <c r="EU433" s="16" t="n"/>
      <c r="EV433" s="20" t="inlineStr">
        <is>
          <t>LC-MS</t>
        </is>
      </c>
      <c r="EW433" s="20" t="inlineStr">
        <is>
          <t>None</t>
        </is>
      </c>
      <c r="EX433" s="17" t="n"/>
      <c r="EY433" s="21" t="n"/>
      <c r="EZ433">
        <f>CONCATENATE(A433,B433)</f>
        <v/>
      </c>
      <c r="FA433">
        <f>CONCATENATE(SamplesX!A433,SamplesX!B433)</f>
        <v/>
      </c>
      <c r="FC433">
        <f>MATCH(EZ433,FA1:FA1008,0)</f>
        <v/>
      </c>
    </row>
    <row r="434">
      <c r="A434" s="16" t="inlineStr">
        <is>
          <t>BP</t>
        </is>
      </c>
      <c r="B434" s="17" t="inlineStr">
        <is>
          <t>25426</t>
        </is>
      </c>
      <c r="C434" s="10">
        <f>IF(ISNUMBER(FC434),INDIRECT("SamplesX!C"&amp;FC434),IF(ISNUMBER(FD434),INDIRECT("SamplesY!C"&amp;FD434),""))</f>
        <v/>
      </c>
      <c r="D434" s="12">
        <f>IF(ISNUMBER(FC434),INDIRECT("SamplesX!D"&amp;FC434),IF(ISNUMBER(FD434),INDIRECT("SamplesY!D"&amp;FD434),""))</f>
        <v/>
      </c>
      <c r="E434" s="12">
        <f>IF(ISNUMBER(FC434),INDIRECT("SamplesX!E"&amp;FC434),IF(ISNUMBER(FD434),INDIRECT("SamplesY!E"&amp;FD434),""))</f>
        <v/>
      </c>
      <c r="F434" s="11">
        <f>IF(ISNUMBER(FC434),INDIRECT("SamplesX!F"&amp;FC434),IF(ISNUMBER(FD434),INDIRECT("SamplesY!F"&amp;FD434),""))</f>
        <v/>
      </c>
      <c r="G434" s="18">
        <f>IF(ISNUMBER(FC434),INDIRECT("SamplesX!G"&amp;FC434),IF(ISNUMBER(FD434),INDIRECT("SamplesY!G"&amp;FD434),""))</f>
        <v/>
      </c>
      <c r="H434" s="19">
        <f>IF(ISNUMBER(FC434),INDIRECT("SamplesX!H"&amp;FC434),IF(ISNUMBER(FD434),INDIRECT("SamplesY!H"&amp;FD434),""))</f>
        <v/>
      </c>
      <c r="I434" s="16" t="n"/>
      <c r="J434" s="16" t="n"/>
      <c r="K434" s="16" t="n"/>
      <c r="L434" s="20" t="n"/>
      <c r="M434" s="20" t="inlineStr">
        <is>
          <t>None</t>
        </is>
      </c>
      <c r="N434" s="17" t="n"/>
      <c r="O434" s="16" t="n"/>
      <c r="P434" s="20" t="inlineStr">
        <is>
          <t>Shimadzu TOC-L</t>
        </is>
      </c>
      <c r="Q434" s="20" t="inlineStr">
        <is>
          <t>None</t>
        </is>
      </c>
      <c r="R434" s="17" t="n"/>
      <c r="S434" s="16" t="n"/>
      <c r="T434" s="20" t="inlineStr">
        <is>
          <t>Shimadzu TOC-L</t>
        </is>
      </c>
      <c r="U434" s="20" t="inlineStr">
        <is>
          <t>None</t>
        </is>
      </c>
      <c r="V434" s="17" t="n"/>
      <c r="W434" s="16" t="n"/>
      <c r="X434" s="20" t="n"/>
      <c r="Y434" s="20" t="inlineStr">
        <is>
          <t>None</t>
        </is>
      </c>
      <c r="Z434" s="17" t="n"/>
      <c r="AA434" s="16" t="n"/>
      <c r="AB434" s="20" t="n"/>
      <c r="AC434" s="20" t="inlineStr">
        <is>
          <t>None</t>
        </is>
      </c>
      <c r="AD434" s="17" t="n"/>
      <c r="AE434" s="16" t="n"/>
      <c r="AF434" s="20" t="inlineStr">
        <is>
          <t>IC Anionen</t>
        </is>
      </c>
      <c r="AG434" s="20" t="inlineStr">
        <is>
          <t>None</t>
        </is>
      </c>
      <c r="AH434" s="17" t="n"/>
      <c r="AI434" s="16" t="n"/>
      <c r="AJ434" s="20" t="n"/>
      <c r="AK434" s="20" t="inlineStr">
        <is>
          <t>None</t>
        </is>
      </c>
      <c r="AL434" s="17" t="n"/>
      <c r="AM434" s="16" t="n"/>
      <c r="AN434" s="20" t="inlineStr">
        <is>
          <t>IC Anionen</t>
        </is>
      </c>
      <c r="AO434" s="20" t="inlineStr">
        <is>
          <t>None</t>
        </is>
      </c>
      <c r="AP434" s="17" t="n"/>
      <c r="AQ434" s="16" t="n"/>
      <c r="AR434" s="20" t="n"/>
      <c r="AS434" s="20" t="inlineStr">
        <is>
          <t>None</t>
        </is>
      </c>
      <c r="AT434" s="17" t="n"/>
      <c r="AU434" s="16" t="n"/>
      <c r="AV434" s="20" t="n"/>
      <c r="AW434" s="20" t="inlineStr">
        <is>
          <t>None</t>
        </is>
      </c>
      <c r="AX434" s="17" t="n"/>
      <c r="AY434" s="16" t="n"/>
      <c r="AZ434" s="20" t="inlineStr">
        <is>
          <t>IC Anionen</t>
        </is>
      </c>
      <c r="BA434" s="20" t="inlineStr">
        <is>
          <t>None</t>
        </is>
      </c>
      <c r="BB434" s="17" t="n"/>
      <c r="BC434" s="16" t="n"/>
      <c r="BD434" s="20" t="inlineStr">
        <is>
          <t>IC Kationen</t>
        </is>
      </c>
      <c r="BE434" s="20" t="inlineStr">
        <is>
          <t>None</t>
        </is>
      </c>
      <c r="BF434" s="17" t="n"/>
      <c r="BG434" s="16" t="n"/>
      <c r="BH434" s="20" t="inlineStr">
        <is>
          <t>IC Kationen</t>
        </is>
      </c>
      <c r="BI434" s="20" t="inlineStr">
        <is>
          <t>None</t>
        </is>
      </c>
      <c r="BJ434" s="17" t="n"/>
      <c r="BK434" s="16" t="n"/>
      <c r="BL434" s="20" t="inlineStr">
        <is>
          <t>IC Kationen</t>
        </is>
      </c>
      <c r="BM434" s="20" t="inlineStr">
        <is>
          <t>None</t>
        </is>
      </c>
      <c r="BN434" s="17" t="n"/>
      <c r="BO434" s="16" t="n"/>
      <c r="BP434" s="20" t="inlineStr">
        <is>
          <t>IC Kationen</t>
        </is>
      </c>
      <c r="BQ434" s="20" t="inlineStr">
        <is>
          <t>None</t>
        </is>
      </c>
      <c r="BR434" s="17" t="n"/>
      <c r="BS434" s="16" t="n"/>
      <c r="BT434" s="20" t="inlineStr">
        <is>
          <t>IC Kationen</t>
        </is>
      </c>
      <c r="BU434" s="20" t="inlineStr">
        <is>
          <t>None</t>
        </is>
      </c>
      <c r="BV434" s="17" t="n"/>
      <c r="BW434" s="16" t="n"/>
      <c r="BX434" s="20" t="n"/>
      <c r="BY434" s="20" t="inlineStr">
        <is>
          <t>None</t>
        </is>
      </c>
      <c r="BZ434" s="17" t="n"/>
      <c r="CA434" s="16" t="n"/>
      <c r="CB434" s="20" t="n"/>
      <c r="CC434" s="20" t="inlineStr">
        <is>
          <t>None</t>
        </is>
      </c>
      <c r="CD434" s="17" t="n"/>
      <c r="CE434" s="16" t="n"/>
      <c r="CF434" s="20" t="n"/>
      <c r="CG434" s="20" t="inlineStr">
        <is>
          <t>None</t>
        </is>
      </c>
      <c r="CH434" s="17" t="n"/>
      <c r="CI434" s="16" t="n"/>
      <c r="CJ434" s="20" t="n"/>
      <c r="CK434" s="20" t="inlineStr">
        <is>
          <t>None</t>
        </is>
      </c>
      <c r="CL434" s="17" t="n"/>
      <c r="CM434" s="16" t="n"/>
      <c r="CN434" s="20" t="inlineStr">
        <is>
          <t>SOP 45-34</t>
        </is>
      </c>
      <c r="CO434" s="20" t="inlineStr">
        <is>
          <t>None</t>
        </is>
      </c>
      <c r="CP434" s="17" t="n"/>
      <c r="CQ434" s="16" t="n"/>
      <c r="CR434" s="20" t="n"/>
      <c r="CS434" s="20" t="inlineStr">
        <is>
          <t>None</t>
        </is>
      </c>
      <c r="CT434" s="17" t="n"/>
      <c r="CU434" s="16" t="n"/>
      <c r="CV434" s="20" t="n"/>
      <c r="CW434" s="20" t="inlineStr">
        <is>
          <t>None</t>
        </is>
      </c>
      <c r="CX434" s="17" t="n"/>
      <c r="CY434" s="16" t="n"/>
      <c r="CZ434" s="20" t="inlineStr">
        <is>
          <t>WTW Multimeter 3430 with FDO 925</t>
        </is>
      </c>
      <c r="DA434" s="20" t="inlineStr">
        <is>
          <t>None</t>
        </is>
      </c>
      <c r="DB434" s="17" t="n"/>
      <c r="DC434" s="16" t="n"/>
      <c r="DD434" s="20" t="n"/>
      <c r="DE434" s="20" t="inlineStr">
        <is>
          <t>None</t>
        </is>
      </c>
      <c r="DF434" s="17" t="n"/>
      <c r="DG434" s="16" t="n"/>
      <c r="DH434" s="20" t="inlineStr">
        <is>
          <t>SOP 45-09</t>
        </is>
      </c>
      <c r="DI434" s="20" t="inlineStr">
        <is>
          <t>None</t>
        </is>
      </c>
      <c r="DJ434" s="17" t="n"/>
      <c r="DK434" s="16" t="n"/>
      <c r="DL434" s="20" t="inlineStr">
        <is>
          <t>SOP 45-09 (SOP muss noch angepasst werden für VSS)</t>
        </is>
      </c>
      <c r="DM434" s="20" t="inlineStr">
        <is>
          <t>None</t>
        </is>
      </c>
      <c r="DN434" s="17" t="n"/>
      <c r="DO434" s="16" t="n"/>
      <c r="DP434" s="20" t="inlineStr">
        <is>
          <t>IC Organic Acids</t>
        </is>
      </c>
      <c r="DQ434" s="20" t="inlineStr">
        <is>
          <t>None</t>
        </is>
      </c>
      <c r="DR434" s="17" t="n"/>
      <c r="DS434" s="16" t="n"/>
      <c r="DT434" s="20" t="inlineStr">
        <is>
          <t>IC Organic Acids</t>
        </is>
      </c>
      <c r="DU434" s="20" t="inlineStr">
        <is>
          <t>None</t>
        </is>
      </c>
      <c r="DV434" s="17" t="n"/>
      <c r="DW434" s="16" t="n"/>
      <c r="DX434" s="20" t="inlineStr">
        <is>
          <t>IC Organic Acids</t>
        </is>
      </c>
      <c r="DY434" s="20" t="inlineStr">
        <is>
          <t>None</t>
        </is>
      </c>
      <c r="DZ434" s="17" t="n"/>
      <c r="EA434" s="16" t="n"/>
      <c r="EB434" s="20" t="inlineStr">
        <is>
          <t>IC Organic Acids</t>
        </is>
      </c>
      <c r="EC434" s="20" t="inlineStr">
        <is>
          <t>None</t>
        </is>
      </c>
      <c r="ED434" s="17" t="n"/>
      <c r="EE434" s="16" t="n"/>
      <c r="EF434" s="20" t="inlineStr">
        <is>
          <t>IC Organic Acids</t>
        </is>
      </c>
      <c r="EG434" s="20" t="inlineStr">
        <is>
          <t>None</t>
        </is>
      </c>
      <c r="EH434" s="17" t="n"/>
      <c r="EI434" s="16" t="n"/>
      <c r="EJ434" s="20" t="inlineStr">
        <is>
          <t>IC Organic Acids</t>
        </is>
      </c>
      <c r="EK434" s="20" t="inlineStr">
        <is>
          <t>None</t>
        </is>
      </c>
      <c r="EL434" s="17" t="n"/>
      <c r="EM434" s="16" t="n"/>
      <c r="EN434" s="20" t="inlineStr">
        <is>
          <t>IC Organic Acids</t>
        </is>
      </c>
      <c r="EO434" s="20" t="inlineStr">
        <is>
          <t>None</t>
        </is>
      </c>
      <c r="EP434" s="17" t="n"/>
      <c r="EQ434" s="16" t="n"/>
      <c r="ER434" s="20" t="inlineStr">
        <is>
          <t>IC Organic Acids</t>
        </is>
      </c>
      <c r="ES434" s="20" t="inlineStr">
        <is>
          <t>None</t>
        </is>
      </c>
      <c r="ET434" s="17" t="n"/>
      <c r="EU434" s="16" t="n"/>
      <c r="EV434" s="20" t="inlineStr">
        <is>
          <t>LC-MS</t>
        </is>
      </c>
      <c r="EW434" s="20" t="inlineStr">
        <is>
          <t>None</t>
        </is>
      </c>
      <c r="EX434" s="17" t="n"/>
      <c r="EY434" s="21" t="n"/>
      <c r="EZ434">
        <f>CONCATENATE(A434,B434)</f>
        <v/>
      </c>
      <c r="FA434">
        <f>CONCATENATE(SamplesX!A434,SamplesX!B434)</f>
        <v/>
      </c>
      <c r="FC434">
        <f>MATCH(EZ434,FA1:FA1008,0)</f>
        <v/>
      </c>
    </row>
    <row r="435">
      <c r="A435" s="16" t="inlineStr">
        <is>
          <t>BP</t>
        </is>
      </c>
      <c r="B435" s="17" t="inlineStr">
        <is>
          <t>25427</t>
        </is>
      </c>
      <c r="C435" s="10">
        <f>IF(ISNUMBER(FC435),INDIRECT("SamplesX!C"&amp;FC435),IF(ISNUMBER(FD435),INDIRECT("SamplesY!C"&amp;FD435),""))</f>
        <v/>
      </c>
      <c r="D435" s="12">
        <f>IF(ISNUMBER(FC435),INDIRECT("SamplesX!D"&amp;FC435),IF(ISNUMBER(FD435),INDIRECT("SamplesY!D"&amp;FD435),""))</f>
        <v/>
      </c>
      <c r="E435" s="12">
        <f>IF(ISNUMBER(FC435),INDIRECT("SamplesX!E"&amp;FC435),IF(ISNUMBER(FD435),INDIRECT("SamplesY!E"&amp;FD435),""))</f>
        <v/>
      </c>
      <c r="F435" s="11">
        <f>IF(ISNUMBER(FC435),INDIRECT("SamplesX!F"&amp;FC435),IF(ISNUMBER(FD435),INDIRECT("SamplesY!F"&amp;FD435),""))</f>
        <v/>
      </c>
      <c r="G435" s="18">
        <f>IF(ISNUMBER(FC435),INDIRECT("SamplesX!G"&amp;FC435),IF(ISNUMBER(FD435),INDIRECT("SamplesY!G"&amp;FD435),""))</f>
        <v/>
      </c>
      <c r="H435" s="19">
        <f>IF(ISNUMBER(FC435),INDIRECT("SamplesX!H"&amp;FC435),IF(ISNUMBER(FD435),INDIRECT("SamplesY!H"&amp;FD435),""))</f>
        <v/>
      </c>
      <c r="I435" s="16" t="n"/>
      <c r="J435" s="16" t="n"/>
      <c r="K435" s="16" t="n"/>
      <c r="L435" s="20" t="n"/>
      <c r="M435" s="20" t="inlineStr">
        <is>
          <t>None</t>
        </is>
      </c>
      <c r="N435" s="17" t="n"/>
      <c r="O435" s="16" t="n"/>
      <c r="P435" s="20" t="inlineStr">
        <is>
          <t>Shimadzu TOC-L</t>
        </is>
      </c>
      <c r="Q435" s="20" t="inlineStr">
        <is>
          <t>None</t>
        </is>
      </c>
      <c r="R435" s="17" t="n"/>
      <c r="S435" s="16" t="n"/>
      <c r="T435" s="20" t="inlineStr">
        <is>
          <t>Shimadzu TOC-L</t>
        </is>
      </c>
      <c r="U435" s="20" t="inlineStr">
        <is>
          <t>None</t>
        </is>
      </c>
      <c r="V435" s="17" t="n"/>
      <c r="W435" s="16" t="n"/>
      <c r="X435" s="20" t="n"/>
      <c r="Y435" s="20" t="inlineStr">
        <is>
          <t>None</t>
        </is>
      </c>
      <c r="Z435" s="17" t="n"/>
      <c r="AA435" s="16" t="n"/>
      <c r="AB435" s="20" t="n"/>
      <c r="AC435" s="20" t="inlineStr">
        <is>
          <t>None</t>
        </is>
      </c>
      <c r="AD435" s="17" t="n"/>
      <c r="AE435" s="16" t="n"/>
      <c r="AF435" s="20" t="inlineStr">
        <is>
          <t>IC Anionen</t>
        </is>
      </c>
      <c r="AG435" s="20" t="inlineStr">
        <is>
          <t>None</t>
        </is>
      </c>
      <c r="AH435" s="17" t="n"/>
      <c r="AI435" s="16" t="n"/>
      <c r="AJ435" s="20" t="n"/>
      <c r="AK435" s="20" t="inlineStr">
        <is>
          <t>None</t>
        </is>
      </c>
      <c r="AL435" s="17" t="n"/>
      <c r="AM435" s="16" t="n"/>
      <c r="AN435" s="20" t="inlineStr">
        <is>
          <t>IC Anionen</t>
        </is>
      </c>
      <c r="AO435" s="20" t="inlineStr">
        <is>
          <t>None</t>
        </is>
      </c>
      <c r="AP435" s="17" t="n"/>
      <c r="AQ435" s="16" t="n"/>
      <c r="AR435" s="20" t="n"/>
      <c r="AS435" s="20" t="inlineStr">
        <is>
          <t>None</t>
        </is>
      </c>
      <c r="AT435" s="17" t="n"/>
      <c r="AU435" s="16" t="n"/>
      <c r="AV435" s="20" t="n"/>
      <c r="AW435" s="20" t="inlineStr">
        <is>
          <t>None</t>
        </is>
      </c>
      <c r="AX435" s="17" t="n"/>
      <c r="AY435" s="16" t="n"/>
      <c r="AZ435" s="20" t="inlineStr">
        <is>
          <t>IC Anionen</t>
        </is>
      </c>
      <c r="BA435" s="20" t="inlineStr">
        <is>
          <t>None</t>
        </is>
      </c>
      <c r="BB435" s="17" t="n"/>
      <c r="BC435" s="16" t="n"/>
      <c r="BD435" s="20" t="inlineStr">
        <is>
          <t>IC Kationen</t>
        </is>
      </c>
      <c r="BE435" s="20" t="inlineStr">
        <is>
          <t>None</t>
        </is>
      </c>
      <c r="BF435" s="17" t="n"/>
      <c r="BG435" s="16" t="n"/>
      <c r="BH435" s="20" t="inlineStr">
        <is>
          <t>IC Kationen</t>
        </is>
      </c>
      <c r="BI435" s="20" t="inlineStr">
        <is>
          <t>None</t>
        </is>
      </c>
      <c r="BJ435" s="17" t="n"/>
      <c r="BK435" s="16" t="n"/>
      <c r="BL435" s="20" t="inlineStr">
        <is>
          <t>IC Kationen</t>
        </is>
      </c>
      <c r="BM435" s="20" t="inlineStr">
        <is>
          <t>None</t>
        </is>
      </c>
      <c r="BN435" s="17" t="n"/>
      <c r="BO435" s="16" t="n"/>
      <c r="BP435" s="20" t="inlineStr">
        <is>
          <t>IC Kationen</t>
        </is>
      </c>
      <c r="BQ435" s="20" t="inlineStr">
        <is>
          <t>None</t>
        </is>
      </c>
      <c r="BR435" s="17" t="n"/>
      <c r="BS435" s="16" t="n"/>
      <c r="BT435" s="20" t="inlineStr">
        <is>
          <t>IC Kationen</t>
        </is>
      </c>
      <c r="BU435" s="20" t="inlineStr">
        <is>
          <t>None</t>
        </is>
      </c>
      <c r="BV435" s="17" t="n"/>
      <c r="BW435" s="16" t="n"/>
      <c r="BX435" s="20" t="n"/>
      <c r="BY435" s="20" t="inlineStr">
        <is>
          <t>None</t>
        </is>
      </c>
      <c r="BZ435" s="17" t="n"/>
      <c r="CA435" s="16" t="n"/>
      <c r="CB435" s="20" t="n"/>
      <c r="CC435" s="20" t="inlineStr">
        <is>
          <t>None</t>
        </is>
      </c>
      <c r="CD435" s="17" t="n"/>
      <c r="CE435" s="16" t="n"/>
      <c r="CF435" s="20" t="n"/>
      <c r="CG435" s="20" t="inlineStr">
        <is>
          <t>None</t>
        </is>
      </c>
      <c r="CH435" s="17" t="n"/>
      <c r="CI435" s="16" t="n"/>
      <c r="CJ435" s="20" t="n"/>
      <c r="CK435" s="20" t="inlineStr">
        <is>
          <t>None</t>
        </is>
      </c>
      <c r="CL435" s="17" t="n"/>
      <c r="CM435" s="16" t="n"/>
      <c r="CN435" s="20" t="inlineStr">
        <is>
          <t>SOP 45-34</t>
        </is>
      </c>
      <c r="CO435" s="20" t="inlineStr">
        <is>
          <t>None</t>
        </is>
      </c>
      <c r="CP435" s="17" t="n"/>
      <c r="CQ435" s="16" t="n"/>
      <c r="CR435" s="20" t="n"/>
      <c r="CS435" s="20" t="inlineStr">
        <is>
          <t>None</t>
        </is>
      </c>
      <c r="CT435" s="17" t="n"/>
      <c r="CU435" s="16" t="n"/>
      <c r="CV435" s="20" t="n"/>
      <c r="CW435" s="20" t="inlineStr">
        <is>
          <t>None</t>
        </is>
      </c>
      <c r="CX435" s="17" t="n"/>
      <c r="CY435" s="16" t="n"/>
      <c r="CZ435" s="20" t="inlineStr">
        <is>
          <t>WTW Multimeter 3430 with FDO 925</t>
        </is>
      </c>
      <c r="DA435" s="20" t="inlineStr">
        <is>
          <t>None</t>
        </is>
      </c>
      <c r="DB435" s="17" t="n"/>
      <c r="DC435" s="16" t="n"/>
      <c r="DD435" s="20" t="n"/>
      <c r="DE435" s="20" t="inlineStr">
        <is>
          <t>None</t>
        </is>
      </c>
      <c r="DF435" s="17" t="n"/>
      <c r="DG435" s="16" t="n"/>
      <c r="DH435" s="20" t="inlineStr">
        <is>
          <t>SOP 45-09</t>
        </is>
      </c>
      <c r="DI435" s="20" t="inlineStr">
        <is>
          <t>None</t>
        </is>
      </c>
      <c r="DJ435" s="17" t="n"/>
      <c r="DK435" s="16" t="n"/>
      <c r="DL435" s="20" t="inlineStr">
        <is>
          <t>SOP 45-09 (SOP muss noch angepasst werden für VSS)</t>
        </is>
      </c>
      <c r="DM435" s="20" t="inlineStr">
        <is>
          <t>None</t>
        </is>
      </c>
      <c r="DN435" s="17" t="n"/>
      <c r="DO435" s="16" t="n"/>
      <c r="DP435" s="20" t="inlineStr">
        <is>
          <t>IC Organic Acids</t>
        </is>
      </c>
      <c r="DQ435" s="20" t="inlineStr">
        <is>
          <t>None</t>
        </is>
      </c>
      <c r="DR435" s="17" t="n"/>
      <c r="DS435" s="16" t="n"/>
      <c r="DT435" s="20" t="inlineStr">
        <is>
          <t>IC Organic Acids</t>
        </is>
      </c>
      <c r="DU435" s="20" t="inlineStr">
        <is>
          <t>None</t>
        </is>
      </c>
      <c r="DV435" s="17" t="n"/>
      <c r="DW435" s="16" t="n"/>
      <c r="DX435" s="20" t="inlineStr">
        <is>
          <t>IC Organic Acids</t>
        </is>
      </c>
      <c r="DY435" s="20" t="inlineStr">
        <is>
          <t>None</t>
        </is>
      </c>
      <c r="DZ435" s="17" t="n"/>
      <c r="EA435" s="16" t="n"/>
      <c r="EB435" s="20" t="inlineStr">
        <is>
          <t>IC Organic Acids</t>
        </is>
      </c>
      <c r="EC435" s="20" t="inlineStr">
        <is>
          <t>None</t>
        </is>
      </c>
      <c r="ED435" s="17" t="n"/>
      <c r="EE435" s="16" t="n"/>
      <c r="EF435" s="20" t="inlineStr">
        <is>
          <t>IC Organic Acids</t>
        </is>
      </c>
      <c r="EG435" s="20" t="inlineStr">
        <is>
          <t>None</t>
        </is>
      </c>
      <c r="EH435" s="17" t="n"/>
      <c r="EI435" s="16" t="n"/>
      <c r="EJ435" s="20" t="inlineStr">
        <is>
          <t>IC Organic Acids</t>
        </is>
      </c>
      <c r="EK435" s="20" t="inlineStr">
        <is>
          <t>None</t>
        </is>
      </c>
      <c r="EL435" s="17" t="n"/>
      <c r="EM435" s="16" t="n"/>
      <c r="EN435" s="20" t="inlineStr">
        <is>
          <t>IC Organic Acids</t>
        </is>
      </c>
      <c r="EO435" s="20" t="inlineStr">
        <is>
          <t>None</t>
        </is>
      </c>
      <c r="EP435" s="17" t="n"/>
      <c r="EQ435" s="16" t="n"/>
      <c r="ER435" s="20" t="inlineStr">
        <is>
          <t>IC Organic Acids</t>
        </is>
      </c>
      <c r="ES435" s="20" t="inlineStr">
        <is>
          <t>None</t>
        </is>
      </c>
      <c r="ET435" s="17" t="n"/>
      <c r="EU435" s="16" t="n"/>
      <c r="EV435" s="20" t="inlineStr">
        <is>
          <t>LC-MS</t>
        </is>
      </c>
      <c r="EW435" s="20" t="inlineStr">
        <is>
          <t>None</t>
        </is>
      </c>
      <c r="EX435" s="17" t="n"/>
      <c r="EY435" s="21" t="n"/>
      <c r="EZ435">
        <f>CONCATENATE(A435,B435)</f>
        <v/>
      </c>
      <c r="FA435">
        <f>CONCATENATE(SamplesX!A435,SamplesX!B435)</f>
        <v/>
      </c>
      <c r="FC435">
        <f>MATCH(EZ435,FA1:FA1008,0)</f>
        <v/>
      </c>
    </row>
    <row r="436">
      <c r="A436" s="16" t="inlineStr">
        <is>
          <t>BP</t>
        </is>
      </c>
      <c r="B436" s="17" t="inlineStr">
        <is>
          <t>25428</t>
        </is>
      </c>
      <c r="C436" s="10">
        <f>IF(ISNUMBER(FC436),INDIRECT("SamplesX!C"&amp;FC436),IF(ISNUMBER(FD436),INDIRECT("SamplesY!C"&amp;FD436),""))</f>
        <v/>
      </c>
      <c r="D436" s="12">
        <f>IF(ISNUMBER(FC436),INDIRECT("SamplesX!D"&amp;FC436),IF(ISNUMBER(FD436),INDIRECT("SamplesY!D"&amp;FD436),""))</f>
        <v/>
      </c>
      <c r="E436" s="12">
        <f>IF(ISNUMBER(FC436),INDIRECT("SamplesX!E"&amp;FC436),IF(ISNUMBER(FD436),INDIRECT("SamplesY!E"&amp;FD436),""))</f>
        <v/>
      </c>
      <c r="F436" s="11">
        <f>IF(ISNUMBER(FC436),INDIRECT("SamplesX!F"&amp;FC436),IF(ISNUMBER(FD436),INDIRECT("SamplesY!F"&amp;FD436),""))</f>
        <v/>
      </c>
      <c r="G436" s="18">
        <f>IF(ISNUMBER(FC436),INDIRECT("SamplesX!G"&amp;FC436),IF(ISNUMBER(FD436),INDIRECT("SamplesY!G"&amp;FD436),""))</f>
        <v/>
      </c>
      <c r="H436" s="19">
        <f>IF(ISNUMBER(FC436),INDIRECT("SamplesX!H"&amp;FC436),IF(ISNUMBER(FD436),INDIRECT("SamplesY!H"&amp;FD436),""))</f>
        <v/>
      </c>
      <c r="I436" s="16" t="n"/>
      <c r="J436" s="16" t="n"/>
      <c r="K436" s="16" t="n"/>
      <c r="L436" s="20" t="n"/>
      <c r="M436" s="20" t="inlineStr">
        <is>
          <t>None</t>
        </is>
      </c>
      <c r="N436" s="17" t="n"/>
      <c r="O436" s="16" t="n"/>
      <c r="P436" s="20" t="inlineStr">
        <is>
          <t>Shimadzu TOC-L</t>
        </is>
      </c>
      <c r="Q436" s="20" t="inlineStr">
        <is>
          <t>None</t>
        </is>
      </c>
      <c r="R436" s="17" t="n"/>
      <c r="S436" s="16" t="n"/>
      <c r="T436" s="20" t="inlineStr">
        <is>
          <t>Shimadzu TOC-L</t>
        </is>
      </c>
      <c r="U436" s="20" t="inlineStr">
        <is>
          <t>None</t>
        </is>
      </c>
      <c r="V436" s="17" t="n"/>
      <c r="W436" s="16" t="n"/>
      <c r="X436" s="20" t="n"/>
      <c r="Y436" s="20" t="inlineStr">
        <is>
          <t>None</t>
        </is>
      </c>
      <c r="Z436" s="17" t="n"/>
      <c r="AA436" s="16" t="n"/>
      <c r="AB436" s="20" t="n"/>
      <c r="AC436" s="20" t="inlineStr">
        <is>
          <t>None</t>
        </is>
      </c>
      <c r="AD436" s="17" t="n"/>
      <c r="AE436" s="16" t="n"/>
      <c r="AF436" s="20" t="inlineStr">
        <is>
          <t>IC Anionen</t>
        </is>
      </c>
      <c r="AG436" s="20" t="inlineStr">
        <is>
          <t>None</t>
        </is>
      </c>
      <c r="AH436" s="17" t="n"/>
      <c r="AI436" s="16" t="n"/>
      <c r="AJ436" s="20" t="n"/>
      <c r="AK436" s="20" t="inlineStr">
        <is>
          <t>None</t>
        </is>
      </c>
      <c r="AL436" s="17" t="n"/>
      <c r="AM436" s="16" t="n"/>
      <c r="AN436" s="20" t="inlineStr">
        <is>
          <t>IC Anionen</t>
        </is>
      </c>
      <c r="AO436" s="20" t="inlineStr">
        <is>
          <t>None</t>
        </is>
      </c>
      <c r="AP436" s="17" t="n"/>
      <c r="AQ436" s="16" t="n"/>
      <c r="AR436" s="20" t="n"/>
      <c r="AS436" s="20" t="inlineStr">
        <is>
          <t>None</t>
        </is>
      </c>
      <c r="AT436" s="17" t="n"/>
      <c r="AU436" s="16" t="n"/>
      <c r="AV436" s="20" t="n"/>
      <c r="AW436" s="20" t="inlineStr">
        <is>
          <t>None</t>
        </is>
      </c>
      <c r="AX436" s="17" t="n"/>
      <c r="AY436" s="16" t="n"/>
      <c r="AZ436" s="20" t="inlineStr">
        <is>
          <t>IC Anionen</t>
        </is>
      </c>
      <c r="BA436" s="20" t="inlineStr">
        <is>
          <t>None</t>
        </is>
      </c>
      <c r="BB436" s="17" t="n"/>
      <c r="BC436" s="16" t="n"/>
      <c r="BD436" s="20" t="inlineStr">
        <is>
          <t>IC Kationen</t>
        </is>
      </c>
      <c r="BE436" s="20" t="inlineStr">
        <is>
          <t>None</t>
        </is>
      </c>
      <c r="BF436" s="17" t="n"/>
      <c r="BG436" s="16" t="n"/>
      <c r="BH436" s="20" t="inlineStr">
        <is>
          <t>IC Kationen</t>
        </is>
      </c>
      <c r="BI436" s="20" t="inlineStr">
        <is>
          <t>None</t>
        </is>
      </c>
      <c r="BJ436" s="17" t="n"/>
      <c r="BK436" s="16" t="n"/>
      <c r="BL436" s="20" t="inlineStr">
        <is>
          <t>IC Kationen</t>
        </is>
      </c>
      <c r="BM436" s="20" t="inlineStr">
        <is>
          <t>None</t>
        </is>
      </c>
      <c r="BN436" s="17" t="n"/>
      <c r="BO436" s="16" t="n"/>
      <c r="BP436" s="20" t="inlineStr">
        <is>
          <t>IC Kationen</t>
        </is>
      </c>
      <c r="BQ436" s="20" t="inlineStr">
        <is>
          <t>None</t>
        </is>
      </c>
      <c r="BR436" s="17" t="n"/>
      <c r="BS436" s="16" t="n"/>
      <c r="BT436" s="20" t="inlineStr">
        <is>
          <t>IC Kationen</t>
        </is>
      </c>
      <c r="BU436" s="20" t="inlineStr">
        <is>
          <t>None</t>
        </is>
      </c>
      <c r="BV436" s="17" t="n"/>
      <c r="BW436" s="16" t="n"/>
      <c r="BX436" s="20" t="n"/>
      <c r="BY436" s="20" t="inlineStr">
        <is>
          <t>None</t>
        </is>
      </c>
      <c r="BZ436" s="17" t="n"/>
      <c r="CA436" s="16" t="n"/>
      <c r="CB436" s="20" t="n"/>
      <c r="CC436" s="20" t="inlineStr">
        <is>
          <t>None</t>
        </is>
      </c>
      <c r="CD436" s="17" t="n"/>
      <c r="CE436" s="16" t="n"/>
      <c r="CF436" s="20" t="n"/>
      <c r="CG436" s="20" t="inlineStr">
        <is>
          <t>None</t>
        </is>
      </c>
      <c r="CH436" s="17" t="n"/>
      <c r="CI436" s="16" t="n"/>
      <c r="CJ436" s="20" t="n"/>
      <c r="CK436" s="20" t="inlineStr">
        <is>
          <t>None</t>
        </is>
      </c>
      <c r="CL436" s="17" t="n"/>
      <c r="CM436" s="16" t="n"/>
      <c r="CN436" s="20" t="inlineStr">
        <is>
          <t>SOP 45-34</t>
        </is>
      </c>
      <c r="CO436" s="20" t="inlineStr">
        <is>
          <t>None</t>
        </is>
      </c>
      <c r="CP436" s="17" t="n"/>
      <c r="CQ436" s="16" t="n"/>
      <c r="CR436" s="20" t="n"/>
      <c r="CS436" s="20" t="inlineStr">
        <is>
          <t>None</t>
        </is>
      </c>
      <c r="CT436" s="17" t="n"/>
      <c r="CU436" s="16" t="n"/>
      <c r="CV436" s="20" t="n"/>
      <c r="CW436" s="20" t="inlineStr">
        <is>
          <t>None</t>
        </is>
      </c>
      <c r="CX436" s="17" t="n"/>
      <c r="CY436" s="16" t="n"/>
      <c r="CZ436" s="20" t="inlineStr">
        <is>
          <t>WTW Multimeter 3430 with FDO 925</t>
        </is>
      </c>
      <c r="DA436" s="20" t="inlineStr">
        <is>
          <t>None</t>
        </is>
      </c>
      <c r="DB436" s="17" t="n"/>
      <c r="DC436" s="16" t="n"/>
      <c r="DD436" s="20" t="n"/>
      <c r="DE436" s="20" t="inlineStr">
        <is>
          <t>None</t>
        </is>
      </c>
      <c r="DF436" s="17" t="n"/>
      <c r="DG436" s="16" t="n"/>
      <c r="DH436" s="20" t="inlineStr">
        <is>
          <t>SOP 45-09</t>
        </is>
      </c>
      <c r="DI436" s="20" t="inlineStr">
        <is>
          <t>None</t>
        </is>
      </c>
      <c r="DJ436" s="17" t="n"/>
      <c r="DK436" s="16" t="n"/>
      <c r="DL436" s="20" t="inlineStr">
        <is>
          <t>SOP 45-09 (SOP muss noch angepasst werden für VSS)</t>
        </is>
      </c>
      <c r="DM436" s="20" t="inlineStr">
        <is>
          <t>None</t>
        </is>
      </c>
      <c r="DN436" s="17" t="n"/>
      <c r="DO436" s="16" t="n"/>
      <c r="DP436" s="20" t="inlineStr">
        <is>
          <t>IC Organic Acids</t>
        </is>
      </c>
      <c r="DQ436" s="20" t="inlineStr">
        <is>
          <t>None</t>
        </is>
      </c>
      <c r="DR436" s="17" t="n"/>
      <c r="DS436" s="16" t="n"/>
      <c r="DT436" s="20" t="inlineStr">
        <is>
          <t>IC Organic Acids</t>
        </is>
      </c>
      <c r="DU436" s="20" t="inlineStr">
        <is>
          <t>None</t>
        </is>
      </c>
      <c r="DV436" s="17" t="n"/>
      <c r="DW436" s="16" t="n"/>
      <c r="DX436" s="20" t="inlineStr">
        <is>
          <t>IC Organic Acids</t>
        </is>
      </c>
      <c r="DY436" s="20" t="inlineStr">
        <is>
          <t>None</t>
        </is>
      </c>
      <c r="DZ436" s="17" t="n"/>
      <c r="EA436" s="16" t="n"/>
      <c r="EB436" s="20" t="inlineStr">
        <is>
          <t>IC Organic Acids</t>
        </is>
      </c>
      <c r="EC436" s="20" t="inlineStr">
        <is>
          <t>None</t>
        </is>
      </c>
      <c r="ED436" s="17" t="n"/>
      <c r="EE436" s="16" t="n"/>
      <c r="EF436" s="20" t="inlineStr">
        <is>
          <t>IC Organic Acids</t>
        </is>
      </c>
      <c r="EG436" s="20" t="inlineStr">
        <is>
          <t>None</t>
        </is>
      </c>
      <c r="EH436" s="17" t="n"/>
      <c r="EI436" s="16" t="n"/>
      <c r="EJ436" s="20" t="inlineStr">
        <is>
          <t>IC Organic Acids</t>
        </is>
      </c>
      <c r="EK436" s="20" t="inlineStr">
        <is>
          <t>None</t>
        </is>
      </c>
      <c r="EL436" s="17" t="n"/>
      <c r="EM436" s="16" t="n"/>
      <c r="EN436" s="20" t="inlineStr">
        <is>
          <t>IC Organic Acids</t>
        </is>
      </c>
      <c r="EO436" s="20" t="inlineStr">
        <is>
          <t>None</t>
        </is>
      </c>
      <c r="EP436" s="17" t="n"/>
      <c r="EQ436" s="16" t="n"/>
      <c r="ER436" s="20" t="inlineStr">
        <is>
          <t>IC Organic Acids</t>
        </is>
      </c>
      <c r="ES436" s="20" t="inlineStr">
        <is>
          <t>None</t>
        </is>
      </c>
      <c r="ET436" s="17" t="n"/>
      <c r="EU436" s="16" t="n"/>
      <c r="EV436" s="20" t="inlineStr">
        <is>
          <t>LC-MS</t>
        </is>
      </c>
      <c r="EW436" s="20" t="inlineStr">
        <is>
          <t>None</t>
        </is>
      </c>
      <c r="EX436" s="17" t="n"/>
      <c r="EY436" s="21" t="n"/>
      <c r="EZ436">
        <f>CONCATENATE(A436,B436)</f>
        <v/>
      </c>
      <c r="FA436">
        <f>CONCATENATE(SamplesX!A436,SamplesX!B436)</f>
        <v/>
      </c>
      <c r="FC436">
        <f>MATCH(EZ436,FA1:FA1008,0)</f>
        <v/>
      </c>
    </row>
    <row r="437">
      <c r="A437" s="16" t="inlineStr">
        <is>
          <t>BP</t>
        </is>
      </c>
      <c r="B437" s="17" t="inlineStr">
        <is>
          <t>25429</t>
        </is>
      </c>
      <c r="C437" s="10">
        <f>IF(ISNUMBER(FC437),INDIRECT("SamplesX!C"&amp;FC437),IF(ISNUMBER(FD437),INDIRECT("SamplesY!C"&amp;FD437),""))</f>
        <v/>
      </c>
      <c r="D437" s="12">
        <f>IF(ISNUMBER(FC437),INDIRECT("SamplesX!D"&amp;FC437),IF(ISNUMBER(FD437),INDIRECT("SamplesY!D"&amp;FD437),""))</f>
        <v/>
      </c>
      <c r="E437" s="12">
        <f>IF(ISNUMBER(FC437),INDIRECT("SamplesX!E"&amp;FC437),IF(ISNUMBER(FD437),INDIRECT("SamplesY!E"&amp;FD437),""))</f>
        <v/>
      </c>
      <c r="F437" s="11">
        <f>IF(ISNUMBER(FC437),INDIRECT("SamplesX!F"&amp;FC437),IF(ISNUMBER(FD437),INDIRECT("SamplesY!F"&amp;FD437),""))</f>
        <v/>
      </c>
      <c r="G437" s="18">
        <f>IF(ISNUMBER(FC437),INDIRECT("SamplesX!G"&amp;FC437),IF(ISNUMBER(FD437),INDIRECT("SamplesY!G"&amp;FD437),""))</f>
        <v/>
      </c>
      <c r="H437" s="19">
        <f>IF(ISNUMBER(FC437),INDIRECT("SamplesX!H"&amp;FC437),IF(ISNUMBER(FD437),INDIRECT("SamplesY!H"&amp;FD437),""))</f>
        <v/>
      </c>
      <c r="I437" s="16" t="n"/>
      <c r="J437" s="16" t="n"/>
      <c r="K437" s="16" t="n"/>
      <c r="L437" s="20" t="n"/>
      <c r="M437" s="20" t="inlineStr">
        <is>
          <t>None</t>
        </is>
      </c>
      <c r="N437" s="17" t="n"/>
      <c r="O437" s="16" t="n"/>
      <c r="P437" s="20" t="inlineStr">
        <is>
          <t>Shimadzu TOC-L</t>
        </is>
      </c>
      <c r="Q437" s="20" t="inlineStr">
        <is>
          <t>None</t>
        </is>
      </c>
      <c r="R437" s="17" t="n"/>
      <c r="S437" s="16" t="n"/>
      <c r="T437" s="20" t="inlineStr">
        <is>
          <t>Shimadzu TOC-L</t>
        </is>
      </c>
      <c r="U437" s="20" t="inlineStr">
        <is>
          <t>None</t>
        </is>
      </c>
      <c r="V437" s="17" t="n"/>
      <c r="W437" s="16" t="n"/>
      <c r="X437" s="20" t="n"/>
      <c r="Y437" s="20" t="inlineStr">
        <is>
          <t>None</t>
        </is>
      </c>
      <c r="Z437" s="17" t="n"/>
      <c r="AA437" s="16" t="n"/>
      <c r="AB437" s="20" t="n"/>
      <c r="AC437" s="20" t="inlineStr">
        <is>
          <t>None</t>
        </is>
      </c>
      <c r="AD437" s="17" t="n"/>
      <c r="AE437" s="16" t="n"/>
      <c r="AF437" s="20" t="inlineStr">
        <is>
          <t>IC Anionen</t>
        </is>
      </c>
      <c r="AG437" s="20" t="inlineStr">
        <is>
          <t>None</t>
        </is>
      </c>
      <c r="AH437" s="17" t="n"/>
      <c r="AI437" s="16" t="n"/>
      <c r="AJ437" s="20" t="n"/>
      <c r="AK437" s="20" t="inlineStr">
        <is>
          <t>None</t>
        </is>
      </c>
      <c r="AL437" s="17" t="n"/>
      <c r="AM437" s="16" t="n"/>
      <c r="AN437" s="20" t="inlineStr">
        <is>
          <t>IC Anionen</t>
        </is>
      </c>
      <c r="AO437" s="20" t="inlineStr">
        <is>
          <t>None</t>
        </is>
      </c>
      <c r="AP437" s="17" t="n"/>
      <c r="AQ437" s="16" t="n"/>
      <c r="AR437" s="20" t="n"/>
      <c r="AS437" s="20" t="inlineStr">
        <is>
          <t>None</t>
        </is>
      </c>
      <c r="AT437" s="17" t="n"/>
      <c r="AU437" s="16" t="n"/>
      <c r="AV437" s="20" t="n"/>
      <c r="AW437" s="20" t="inlineStr">
        <is>
          <t>None</t>
        </is>
      </c>
      <c r="AX437" s="17" t="n"/>
      <c r="AY437" s="16" t="n"/>
      <c r="AZ437" s="20" t="inlineStr">
        <is>
          <t>IC Anionen</t>
        </is>
      </c>
      <c r="BA437" s="20" t="inlineStr">
        <is>
          <t>None</t>
        </is>
      </c>
      <c r="BB437" s="17" t="n"/>
      <c r="BC437" s="16" t="n"/>
      <c r="BD437" s="20" t="inlineStr">
        <is>
          <t>IC Kationen</t>
        </is>
      </c>
      <c r="BE437" s="20" t="inlineStr">
        <is>
          <t>None</t>
        </is>
      </c>
      <c r="BF437" s="17" t="n"/>
      <c r="BG437" s="16" t="n"/>
      <c r="BH437" s="20" t="inlineStr">
        <is>
          <t>IC Kationen</t>
        </is>
      </c>
      <c r="BI437" s="20" t="inlineStr">
        <is>
          <t>None</t>
        </is>
      </c>
      <c r="BJ437" s="17" t="n"/>
      <c r="BK437" s="16" t="n"/>
      <c r="BL437" s="20" t="inlineStr">
        <is>
          <t>IC Kationen</t>
        </is>
      </c>
      <c r="BM437" s="20" t="inlineStr">
        <is>
          <t>None</t>
        </is>
      </c>
      <c r="BN437" s="17" t="n"/>
      <c r="BO437" s="16" t="n"/>
      <c r="BP437" s="20" t="inlineStr">
        <is>
          <t>IC Kationen</t>
        </is>
      </c>
      <c r="BQ437" s="20" t="inlineStr">
        <is>
          <t>None</t>
        </is>
      </c>
      <c r="BR437" s="17" t="n"/>
      <c r="BS437" s="16" t="n"/>
      <c r="BT437" s="20" t="inlineStr">
        <is>
          <t>IC Kationen</t>
        </is>
      </c>
      <c r="BU437" s="20" t="inlineStr">
        <is>
          <t>None</t>
        </is>
      </c>
      <c r="BV437" s="17" t="n"/>
      <c r="BW437" s="16" t="n"/>
      <c r="BX437" s="20" t="n"/>
      <c r="BY437" s="20" t="inlineStr">
        <is>
          <t>None</t>
        </is>
      </c>
      <c r="BZ437" s="17" t="n"/>
      <c r="CA437" s="16" t="n"/>
      <c r="CB437" s="20" t="n"/>
      <c r="CC437" s="20" t="inlineStr">
        <is>
          <t>None</t>
        </is>
      </c>
      <c r="CD437" s="17" t="n"/>
      <c r="CE437" s="16" t="n"/>
      <c r="CF437" s="20" t="n"/>
      <c r="CG437" s="20" t="inlineStr">
        <is>
          <t>None</t>
        </is>
      </c>
      <c r="CH437" s="17" t="n"/>
      <c r="CI437" s="16" t="n"/>
      <c r="CJ437" s="20" t="n"/>
      <c r="CK437" s="20" t="inlineStr">
        <is>
          <t>None</t>
        </is>
      </c>
      <c r="CL437" s="17" t="n"/>
      <c r="CM437" s="16" t="n"/>
      <c r="CN437" s="20" t="inlineStr">
        <is>
          <t>SOP 45-34</t>
        </is>
      </c>
      <c r="CO437" s="20" t="inlineStr">
        <is>
          <t>None</t>
        </is>
      </c>
      <c r="CP437" s="17" t="n"/>
      <c r="CQ437" s="16" t="n"/>
      <c r="CR437" s="20" t="n"/>
      <c r="CS437" s="20" t="inlineStr">
        <is>
          <t>None</t>
        </is>
      </c>
      <c r="CT437" s="17" t="n"/>
      <c r="CU437" s="16" t="n"/>
      <c r="CV437" s="20" t="n"/>
      <c r="CW437" s="20" t="inlineStr">
        <is>
          <t>None</t>
        </is>
      </c>
      <c r="CX437" s="17" t="n"/>
      <c r="CY437" s="16" t="n"/>
      <c r="CZ437" s="20" t="inlineStr">
        <is>
          <t>WTW Multimeter 3430 with FDO 925</t>
        </is>
      </c>
      <c r="DA437" s="20" t="inlineStr">
        <is>
          <t>None</t>
        </is>
      </c>
      <c r="DB437" s="17" t="n"/>
      <c r="DC437" s="16" t="n"/>
      <c r="DD437" s="20" t="n"/>
      <c r="DE437" s="20" t="inlineStr">
        <is>
          <t>None</t>
        </is>
      </c>
      <c r="DF437" s="17" t="n"/>
      <c r="DG437" s="16" t="n"/>
      <c r="DH437" s="20" t="inlineStr">
        <is>
          <t>SOP 45-09</t>
        </is>
      </c>
      <c r="DI437" s="20" t="inlineStr">
        <is>
          <t>None</t>
        </is>
      </c>
      <c r="DJ437" s="17" t="n"/>
      <c r="DK437" s="16" t="n"/>
      <c r="DL437" s="20" t="inlineStr">
        <is>
          <t>SOP 45-09 (SOP muss noch angepasst werden für VSS)</t>
        </is>
      </c>
      <c r="DM437" s="20" t="inlineStr">
        <is>
          <t>None</t>
        </is>
      </c>
      <c r="DN437" s="17" t="n"/>
      <c r="DO437" s="16" t="n"/>
      <c r="DP437" s="20" t="inlineStr">
        <is>
          <t>IC Organic Acids</t>
        </is>
      </c>
      <c r="DQ437" s="20" t="inlineStr">
        <is>
          <t>None</t>
        </is>
      </c>
      <c r="DR437" s="17" t="n"/>
      <c r="DS437" s="16" t="n"/>
      <c r="DT437" s="20" t="inlineStr">
        <is>
          <t>IC Organic Acids</t>
        </is>
      </c>
      <c r="DU437" s="20" t="inlineStr">
        <is>
          <t>None</t>
        </is>
      </c>
      <c r="DV437" s="17" t="n"/>
      <c r="DW437" s="16" t="n"/>
      <c r="DX437" s="20" t="inlineStr">
        <is>
          <t>IC Organic Acids</t>
        </is>
      </c>
      <c r="DY437" s="20" t="inlineStr">
        <is>
          <t>None</t>
        </is>
      </c>
      <c r="DZ437" s="17" t="n"/>
      <c r="EA437" s="16" t="n"/>
      <c r="EB437" s="20" t="inlineStr">
        <is>
          <t>IC Organic Acids</t>
        </is>
      </c>
      <c r="EC437" s="20" t="inlineStr">
        <is>
          <t>None</t>
        </is>
      </c>
      <c r="ED437" s="17" t="n"/>
      <c r="EE437" s="16" t="n"/>
      <c r="EF437" s="20" t="inlineStr">
        <is>
          <t>IC Organic Acids</t>
        </is>
      </c>
      <c r="EG437" s="20" t="inlineStr">
        <is>
          <t>None</t>
        </is>
      </c>
      <c r="EH437" s="17" t="n"/>
      <c r="EI437" s="16" t="n"/>
      <c r="EJ437" s="20" t="inlineStr">
        <is>
          <t>IC Organic Acids</t>
        </is>
      </c>
      <c r="EK437" s="20" t="inlineStr">
        <is>
          <t>None</t>
        </is>
      </c>
      <c r="EL437" s="17" t="n"/>
      <c r="EM437" s="16" t="n"/>
      <c r="EN437" s="20" t="inlineStr">
        <is>
          <t>IC Organic Acids</t>
        </is>
      </c>
      <c r="EO437" s="20" t="inlineStr">
        <is>
          <t>None</t>
        </is>
      </c>
      <c r="EP437" s="17" t="n"/>
      <c r="EQ437" s="16" t="n"/>
      <c r="ER437" s="20" t="inlineStr">
        <is>
          <t>IC Organic Acids</t>
        </is>
      </c>
      <c r="ES437" s="20" t="inlineStr">
        <is>
          <t>None</t>
        </is>
      </c>
      <c r="ET437" s="17" t="n"/>
      <c r="EU437" s="16" t="n"/>
      <c r="EV437" s="20" t="inlineStr">
        <is>
          <t>LC-MS</t>
        </is>
      </c>
      <c r="EW437" s="20" t="inlineStr">
        <is>
          <t>None</t>
        </is>
      </c>
      <c r="EX437" s="17" t="n"/>
      <c r="EY437" s="21" t="n"/>
      <c r="EZ437">
        <f>CONCATENATE(A437,B437)</f>
        <v/>
      </c>
      <c r="FA437">
        <f>CONCATENATE(SamplesX!A437,SamplesX!B437)</f>
        <v/>
      </c>
      <c r="FC437">
        <f>MATCH(EZ437,FA1:FA1008,0)</f>
        <v/>
      </c>
    </row>
    <row r="438">
      <c r="A438" s="16" t="inlineStr">
        <is>
          <t>BP</t>
        </is>
      </c>
      <c r="B438" s="17" t="inlineStr">
        <is>
          <t>25430</t>
        </is>
      </c>
      <c r="C438" s="10">
        <f>IF(ISNUMBER(FC438),INDIRECT("SamplesX!C"&amp;FC438),IF(ISNUMBER(FD438),INDIRECT("SamplesY!C"&amp;FD438),""))</f>
        <v/>
      </c>
      <c r="D438" s="12">
        <f>IF(ISNUMBER(FC438),INDIRECT("SamplesX!D"&amp;FC438),IF(ISNUMBER(FD438),INDIRECT("SamplesY!D"&amp;FD438),""))</f>
        <v/>
      </c>
      <c r="E438" s="12">
        <f>IF(ISNUMBER(FC438),INDIRECT("SamplesX!E"&amp;FC438),IF(ISNUMBER(FD438),INDIRECT("SamplesY!E"&amp;FD438),""))</f>
        <v/>
      </c>
      <c r="F438" s="11">
        <f>IF(ISNUMBER(FC438),INDIRECT("SamplesX!F"&amp;FC438),IF(ISNUMBER(FD438),INDIRECT("SamplesY!F"&amp;FD438),""))</f>
        <v/>
      </c>
      <c r="G438" s="18">
        <f>IF(ISNUMBER(FC438),INDIRECT("SamplesX!G"&amp;FC438),IF(ISNUMBER(FD438),INDIRECT("SamplesY!G"&amp;FD438),""))</f>
        <v/>
      </c>
      <c r="H438" s="19">
        <f>IF(ISNUMBER(FC438),INDIRECT("SamplesX!H"&amp;FC438),IF(ISNUMBER(FD438),INDIRECT("SamplesY!H"&amp;FD438),""))</f>
        <v/>
      </c>
      <c r="I438" s="16" t="n"/>
      <c r="J438" s="16" t="n"/>
      <c r="K438" s="16" t="n"/>
      <c r="L438" s="20" t="n"/>
      <c r="M438" s="20" t="inlineStr">
        <is>
          <t>None</t>
        </is>
      </c>
      <c r="N438" s="17" t="n"/>
      <c r="O438" s="16" t="n"/>
      <c r="P438" s="20" t="inlineStr">
        <is>
          <t>Shimadzu TOC-L</t>
        </is>
      </c>
      <c r="Q438" s="20" t="inlineStr">
        <is>
          <t>None</t>
        </is>
      </c>
      <c r="R438" s="17" t="n"/>
      <c r="S438" s="16" t="n"/>
      <c r="T438" s="20" t="inlineStr">
        <is>
          <t>Shimadzu TOC-L</t>
        </is>
      </c>
      <c r="U438" s="20" t="inlineStr">
        <is>
          <t>None</t>
        </is>
      </c>
      <c r="V438" s="17" t="n"/>
      <c r="W438" s="16" t="n"/>
      <c r="X438" s="20" t="n"/>
      <c r="Y438" s="20" t="inlineStr">
        <is>
          <t>None</t>
        </is>
      </c>
      <c r="Z438" s="17" t="n"/>
      <c r="AA438" s="16" t="n"/>
      <c r="AB438" s="20" t="n"/>
      <c r="AC438" s="20" t="inlineStr">
        <is>
          <t>None</t>
        </is>
      </c>
      <c r="AD438" s="17" t="n"/>
      <c r="AE438" s="16" t="n"/>
      <c r="AF438" s="20" t="inlineStr">
        <is>
          <t>IC Anionen</t>
        </is>
      </c>
      <c r="AG438" s="20" t="inlineStr">
        <is>
          <t>None</t>
        </is>
      </c>
      <c r="AH438" s="17" t="n"/>
      <c r="AI438" s="16" t="n"/>
      <c r="AJ438" s="20" t="n"/>
      <c r="AK438" s="20" t="inlineStr">
        <is>
          <t>None</t>
        </is>
      </c>
      <c r="AL438" s="17" t="n"/>
      <c r="AM438" s="16" t="n"/>
      <c r="AN438" s="20" t="inlineStr">
        <is>
          <t>IC Anionen</t>
        </is>
      </c>
      <c r="AO438" s="20" t="inlineStr">
        <is>
          <t>None</t>
        </is>
      </c>
      <c r="AP438" s="17" t="n"/>
      <c r="AQ438" s="16" t="n"/>
      <c r="AR438" s="20" t="n"/>
      <c r="AS438" s="20" t="inlineStr">
        <is>
          <t>None</t>
        </is>
      </c>
      <c r="AT438" s="17" t="n"/>
      <c r="AU438" s="16" t="n"/>
      <c r="AV438" s="20" t="n"/>
      <c r="AW438" s="20" t="inlineStr">
        <is>
          <t>None</t>
        </is>
      </c>
      <c r="AX438" s="17" t="n"/>
      <c r="AY438" s="16" t="n"/>
      <c r="AZ438" s="20" t="inlineStr">
        <is>
          <t>IC Anionen</t>
        </is>
      </c>
      <c r="BA438" s="20" t="inlineStr">
        <is>
          <t>None</t>
        </is>
      </c>
      <c r="BB438" s="17" t="n"/>
      <c r="BC438" s="16" t="n"/>
      <c r="BD438" s="20" t="inlineStr">
        <is>
          <t>IC Kationen</t>
        </is>
      </c>
      <c r="BE438" s="20" t="inlineStr">
        <is>
          <t>None</t>
        </is>
      </c>
      <c r="BF438" s="17" t="n"/>
      <c r="BG438" s="16" t="n"/>
      <c r="BH438" s="20" t="inlineStr">
        <is>
          <t>IC Kationen</t>
        </is>
      </c>
      <c r="BI438" s="20" t="inlineStr">
        <is>
          <t>None</t>
        </is>
      </c>
      <c r="BJ438" s="17" t="n"/>
      <c r="BK438" s="16" t="n"/>
      <c r="BL438" s="20" t="inlineStr">
        <is>
          <t>IC Kationen</t>
        </is>
      </c>
      <c r="BM438" s="20" t="inlineStr">
        <is>
          <t>None</t>
        </is>
      </c>
      <c r="BN438" s="17" t="n"/>
      <c r="BO438" s="16" t="n"/>
      <c r="BP438" s="20" t="inlineStr">
        <is>
          <t>IC Kationen</t>
        </is>
      </c>
      <c r="BQ438" s="20" t="inlineStr">
        <is>
          <t>None</t>
        </is>
      </c>
      <c r="BR438" s="17" t="n"/>
      <c r="BS438" s="16" t="n"/>
      <c r="BT438" s="20" t="inlineStr">
        <is>
          <t>IC Kationen</t>
        </is>
      </c>
      <c r="BU438" s="20" t="inlineStr">
        <is>
          <t>None</t>
        </is>
      </c>
      <c r="BV438" s="17" t="n"/>
      <c r="BW438" s="16" t="n"/>
      <c r="BX438" s="20" t="n"/>
      <c r="BY438" s="20" t="inlineStr">
        <is>
          <t>None</t>
        </is>
      </c>
      <c r="BZ438" s="17" t="n"/>
      <c r="CA438" s="16" t="n"/>
      <c r="CB438" s="20" t="n"/>
      <c r="CC438" s="20" t="inlineStr">
        <is>
          <t>None</t>
        </is>
      </c>
      <c r="CD438" s="17" t="n"/>
      <c r="CE438" s="16" t="n"/>
      <c r="CF438" s="20" t="n"/>
      <c r="CG438" s="20" t="inlineStr">
        <is>
          <t>None</t>
        </is>
      </c>
      <c r="CH438" s="17" t="n"/>
      <c r="CI438" s="16" t="n"/>
      <c r="CJ438" s="20" t="n"/>
      <c r="CK438" s="20" t="inlineStr">
        <is>
          <t>None</t>
        </is>
      </c>
      <c r="CL438" s="17" t="n"/>
      <c r="CM438" s="16" t="n"/>
      <c r="CN438" s="20" t="inlineStr">
        <is>
          <t>SOP 45-34</t>
        </is>
      </c>
      <c r="CO438" s="20" t="inlineStr">
        <is>
          <t>None</t>
        </is>
      </c>
      <c r="CP438" s="17" t="n"/>
      <c r="CQ438" s="16" t="n"/>
      <c r="CR438" s="20" t="n"/>
      <c r="CS438" s="20" t="inlineStr">
        <is>
          <t>None</t>
        </is>
      </c>
      <c r="CT438" s="17" t="n"/>
      <c r="CU438" s="16" t="n"/>
      <c r="CV438" s="20" t="n"/>
      <c r="CW438" s="20" t="inlineStr">
        <is>
          <t>None</t>
        </is>
      </c>
      <c r="CX438" s="17" t="n"/>
      <c r="CY438" s="16" t="n"/>
      <c r="CZ438" s="20" t="inlineStr">
        <is>
          <t>WTW Multimeter 3430 with FDO 925</t>
        </is>
      </c>
      <c r="DA438" s="20" t="inlineStr">
        <is>
          <t>None</t>
        </is>
      </c>
      <c r="DB438" s="17" t="n"/>
      <c r="DC438" s="16" t="n"/>
      <c r="DD438" s="20" t="n"/>
      <c r="DE438" s="20" t="inlineStr">
        <is>
          <t>None</t>
        </is>
      </c>
      <c r="DF438" s="17" t="n"/>
      <c r="DG438" s="16" t="n"/>
      <c r="DH438" s="20" t="inlineStr">
        <is>
          <t>SOP 45-09</t>
        </is>
      </c>
      <c r="DI438" s="20" t="inlineStr">
        <is>
          <t>None</t>
        </is>
      </c>
      <c r="DJ438" s="17" t="n"/>
      <c r="DK438" s="16" t="n"/>
      <c r="DL438" s="20" t="inlineStr">
        <is>
          <t>SOP 45-09 (SOP muss noch angepasst werden für VSS)</t>
        </is>
      </c>
      <c r="DM438" s="20" t="inlineStr">
        <is>
          <t>None</t>
        </is>
      </c>
      <c r="DN438" s="17" t="n"/>
      <c r="DO438" s="16" t="n"/>
      <c r="DP438" s="20" t="inlineStr">
        <is>
          <t>IC Organic Acids</t>
        </is>
      </c>
      <c r="DQ438" s="20" t="inlineStr">
        <is>
          <t>None</t>
        </is>
      </c>
      <c r="DR438" s="17" t="n"/>
      <c r="DS438" s="16" t="n"/>
      <c r="DT438" s="20" t="inlineStr">
        <is>
          <t>IC Organic Acids</t>
        </is>
      </c>
      <c r="DU438" s="20" t="inlineStr">
        <is>
          <t>None</t>
        </is>
      </c>
      <c r="DV438" s="17" t="n"/>
      <c r="DW438" s="16" t="n"/>
      <c r="DX438" s="20" t="inlineStr">
        <is>
          <t>IC Organic Acids</t>
        </is>
      </c>
      <c r="DY438" s="20" t="inlineStr">
        <is>
          <t>None</t>
        </is>
      </c>
      <c r="DZ438" s="17" t="n"/>
      <c r="EA438" s="16" t="n"/>
      <c r="EB438" s="20" t="inlineStr">
        <is>
          <t>IC Organic Acids</t>
        </is>
      </c>
      <c r="EC438" s="20" t="inlineStr">
        <is>
          <t>None</t>
        </is>
      </c>
      <c r="ED438" s="17" t="n"/>
      <c r="EE438" s="16" t="n"/>
      <c r="EF438" s="20" t="inlineStr">
        <is>
          <t>IC Organic Acids</t>
        </is>
      </c>
      <c r="EG438" s="20" t="inlineStr">
        <is>
          <t>None</t>
        </is>
      </c>
      <c r="EH438" s="17" t="n"/>
      <c r="EI438" s="16" t="n"/>
      <c r="EJ438" s="20" t="inlineStr">
        <is>
          <t>IC Organic Acids</t>
        </is>
      </c>
      <c r="EK438" s="20" t="inlineStr">
        <is>
          <t>None</t>
        </is>
      </c>
      <c r="EL438" s="17" t="n"/>
      <c r="EM438" s="16" t="n"/>
      <c r="EN438" s="20" t="inlineStr">
        <is>
          <t>IC Organic Acids</t>
        </is>
      </c>
      <c r="EO438" s="20" t="inlineStr">
        <is>
          <t>None</t>
        </is>
      </c>
      <c r="EP438" s="17" t="n"/>
      <c r="EQ438" s="16" t="n"/>
      <c r="ER438" s="20" t="inlineStr">
        <is>
          <t>IC Organic Acids</t>
        </is>
      </c>
      <c r="ES438" s="20" t="inlineStr">
        <is>
          <t>None</t>
        </is>
      </c>
      <c r="ET438" s="17" t="n"/>
      <c r="EU438" s="16" t="n"/>
      <c r="EV438" s="20" t="inlineStr">
        <is>
          <t>LC-MS</t>
        </is>
      </c>
      <c r="EW438" s="20" t="inlineStr">
        <is>
          <t>None</t>
        </is>
      </c>
      <c r="EX438" s="17" t="n"/>
      <c r="EY438" s="21" t="n"/>
      <c r="EZ438">
        <f>CONCATENATE(A438,B438)</f>
        <v/>
      </c>
      <c r="FA438">
        <f>CONCATENATE(SamplesX!A438,SamplesX!B438)</f>
        <v/>
      </c>
      <c r="FC438">
        <f>MATCH(EZ438,FA1:FA1008,0)</f>
        <v/>
      </c>
    </row>
    <row r="439">
      <c r="A439" s="16" t="inlineStr">
        <is>
          <t>BP</t>
        </is>
      </c>
      <c r="B439" s="17" t="inlineStr">
        <is>
          <t>25431</t>
        </is>
      </c>
      <c r="C439" s="10">
        <f>IF(ISNUMBER(FC439),INDIRECT("SamplesX!C"&amp;FC439),IF(ISNUMBER(FD439),INDIRECT("SamplesY!C"&amp;FD439),""))</f>
        <v/>
      </c>
      <c r="D439" s="12">
        <f>IF(ISNUMBER(FC439),INDIRECT("SamplesX!D"&amp;FC439),IF(ISNUMBER(FD439),INDIRECT("SamplesY!D"&amp;FD439),""))</f>
        <v/>
      </c>
      <c r="E439" s="12">
        <f>IF(ISNUMBER(FC439),INDIRECT("SamplesX!E"&amp;FC439),IF(ISNUMBER(FD439),INDIRECT("SamplesY!E"&amp;FD439),""))</f>
        <v/>
      </c>
      <c r="F439" s="11">
        <f>IF(ISNUMBER(FC439),INDIRECT("SamplesX!F"&amp;FC439),IF(ISNUMBER(FD439),INDIRECT("SamplesY!F"&amp;FD439),""))</f>
        <v/>
      </c>
      <c r="G439" s="18">
        <f>IF(ISNUMBER(FC439),INDIRECT("SamplesX!G"&amp;FC439),IF(ISNUMBER(FD439),INDIRECT("SamplesY!G"&amp;FD439),""))</f>
        <v/>
      </c>
      <c r="H439" s="19">
        <f>IF(ISNUMBER(FC439),INDIRECT("SamplesX!H"&amp;FC439),IF(ISNUMBER(FD439),INDIRECT("SamplesY!H"&amp;FD439),""))</f>
        <v/>
      </c>
      <c r="I439" s="16" t="n"/>
      <c r="J439" s="16" t="n"/>
      <c r="K439" s="16" t="n"/>
      <c r="L439" s="20" t="n"/>
      <c r="M439" s="20" t="inlineStr">
        <is>
          <t>None</t>
        </is>
      </c>
      <c r="N439" s="17" t="n"/>
      <c r="O439" s="16" t="n"/>
      <c r="P439" s="20" t="inlineStr">
        <is>
          <t>Shimadzu TOC-L</t>
        </is>
      </c>
      <c r="Q439" s="20" t="inlineStr">
        <is>
          <t>None</t>
        </is>
      </c>
      <c r="R439" s="17" t="n"/>
      <c r="S439" s="16" t="n"/>
      <c r="T439" s="20" t="inlineStr">
        <is>
          <t>Shimadzu TOC-L</t>
        </is>
      </c>
      <c r="U439" s="20" t="inlineStr">
        <is>
          <t>None</t>
        </is>
      </c>
      <c r="V439" s="17" t="n"/>
      <c r="W439" s="16" t="n"/>
      <c r="X439" s="20" t="n"/>
      <c r="Y439" s="20" t="inlineStr">
        <is>
          <t>None</t>
        </is>
      </c>
      <c r="Z439" s="17" t="n"/>
      <c r="AA439" s="16" t="n"/>
      <c r="AB439" s="20" t="n"/>
      <c r="AC439" s="20" t="inlineStr">
        <is>
          <t>None</t>
        </is>
      </c>
      <c r="AD439" s="17" t="n"/>
      <c r="AE439" s="16" t="n"/>
      <c r="AF439" s="20" t="inlineStr">
        <is>
          <t>IC Anionen</t>
        </is>
      </c>
      <c r="AG439" s="20" t="inlineStr">
        <is>
          <t>None</t>
        </is>
      </c>
      <c r="AH439" s="17" t="n"/>
      <c r="AI439" s="16" t="n"/>
      <c r="AJ439" s="20" t="n"/>
      <c r="AK439" s="20" t="inlineStr">
        <is>
          <t>None</t>
        </is>
      </c>
      <c r="AL439" s="17" t="n"/>
      <c r="AM439" s="16" t="n"/>
      <c r="AN439" s="20" t="inlineStr">
        <is>
          <t>IC Anionen</t>
        </is>
      </c>
      <c r="AO439" s="20" t="inlineStr">
        <is>
          <t>None</t>
        </is>
      </c>
      <c r="AP439" s="17" t="n"/>
      <c r="AQ439" s="16" t="n"/>
      <c r="AR439" s="20" t="n"/>
      <c r="AS439" s="20" t="inlineStr">
        <is>
          <t>None</t>
        </is>
      </c>
      <c r="AT439" s="17" t="n"/>
      <c r="AU439" s="16" t="n"/>
      <c r="AV439" s="20" t="n"/>
      <c r="AW439" s="20" t="inlineStr">
        <is>
          <t>None</t>
        </is>
      </c>
      <c r="AX439" s="17" t="n"/>
      <c r="AY439" s="16" t="n"/>
      <c r="AZ439" s="20" t="inlineStr">
        <is>
          <t>IC Anionen</t>
        </is>
      </c>
      <c r="BA439" s="20" t="inlineStr">
        <is>
          <t>None</t>
        </is>
      </c>
      <c r="BB439" s="17" t="n"/>
      <c r="BC439" s="16" t="n"/>
      <c r="BD439" s="20" t="inlineStr">
        <is>
          <t>IC Kationen</t>
        </is>
      </c>
      <c r="BE439" s="20" t="inlineStr">
        <is>
          <t>None</t>
        </is>
      </c>
      <c r="BF439" s="17" t="n"/>
      <c r="BG439" s="16" t="n"/>
      <c r="BH439" s="20" t="inlineStr">
        <is>
          <t>IC Kationen</t>
        </is>
      </c>
      <c r="BI439" s="20" t="inlineStr">
        <is>
          <t>None</t>
        </is>
      </c>
      <c r="BJ439" s="17" t="n"/>
      <c r="BK439" s="16" t="n"/>
      <c r="BL439" s="20" t="inlineStr">
        <is>
          <t>IC Kationen</t>
        </is>
      </c>
      <c r="BM439" s="20" t="inlineStr">
        <is>
          <t>None</t>
        </is>
      </c>
      <c r="BN439" s="17" t="n"/>
      <c r="BO439" s="16" t="n"/>
      <c r="BP439" s="20" t="inlineStr">
        <is>
          <t>IC Kationen</t>
        </is>
      </c>
      <c r="BQ439" s="20" t="inlineStr">
        <is>
          <t>None</t>
        </is>
      </c>
      <c r="BR439" s="17" t="n"/>
      <c r="BS439" s="16" t="n"/>
      <c r="BT439" s="20" t="inlineStr">
        <is>
          <t>IC Kationen</t>
        </is>
      </c>
      <c r="BU439" s="20" t="inlineStr">
        <is>
          <t>None</t>
        </is>
      </c>
      <c r="BV439" s="17" t="n"/>
      <c r="BW439" s="16" t="n"/>
      <c r="BX439" s="20" t="n"/>
      <c r="BY439" s="20" t="inlineStr">
        <is>
          <t>None</t>
        </is>
      </c>
      <c r="BZ439" s="17" t="n"/>
      <c r="CA439" s="16" t="n"/>
      <c r="CB439" s="20" t="n"/>
      <c r="CC439" s="20" t="inlineStr">
        <is>
          <t>None</t>
        </is>
      </c>
      <c r="CD439" s="17" t="n"/>
      <c r="CE439" s="16" t="n"/>
      <c r="CF439" s="20" t="n"/>
      <c r="CG439" s="20" t="inlineStr">
        <is>
          <t>None</t>
        </is>
      </c>
      <c r="CH439" s="17" t="n"/>
      <c r="CI439" s="16" t="n"/>
      <c r="CJ439" s="20" t="n"/>
      <c r="CK439" s="20" t="inlineStr">
        <is>
          <t>None</t>
        </is>
      </c>
      <c r="CL439" s="17" t="n"/>
      <c r="CM439" s="16" t="n"/>
      <c r="CN439" s="20" t="inlineStr">
        <is>
          <t>SOP 45-34</t>
        </is>
      </c>
      <c r="CO439" s="20" t="inlineStr">
        <is>
          <t>None</t>
        </is>
      </c>
      <c r="CP439" s="17" t="n"/>
      <c r="CQ439" s="16" t="n"/>
      <c r="CR439" s="20" t="n"/>
      <c r="CS439" s="20" t="inlineStr">
        <is>
          <t>None</t>
        </is>
      </c>
      <c r="CT439" s="17" t="n"/>
      <c r="CU439" s="16" t="n"/>
      <c r="CV439" s="20" t="n"/>
      <c r="CW439" s="20" t="inlineStr">
        <is>
          <t>None</t>
        </is>
      </c>
      <c r="CX439" s="17" t="n"/>
      <c r="CY439" s="16" t="n"/>
      <c r="CZ439" s="20" t="inlineStr">
        <is>
          <t>WTW Multimeter 3430 with FDO 925</t>
        </is>
      </c>
      <c r="DA439" s="20" t="inlineStr">
        <is>
          <t>None</t>
        </is>
      </c>
      <c r="DB439" s="17" t="n"/>
      <c r="DC439" s="16" t="n"/>
      <c r="DD439" s="20" t="n"/>
      <c r="DE439" s="20" t="inlineStr">
        <is>
          <t>None</t>
        </is>
      </c>
      <c r="DF439" s="17" t="n"/>
      <c r="DG439" s="16" t="n"/>
      <c r="DH439" s="20" t="inlineStr">
        <is>
          <t>SOP 45-09</t>
        </is>
      </c>
      <c r="DI439" s="20" t="inlineStr">
        <is>
          <t>None</t>
        </is>
      </c>
      <c r="DJ439" s="17" t="n"/>
      <c r="DK439" s="16" t="n"/>
      <c r="DL439" s="20" t="inlineStr">
        <is>
          <t>SOP 45-09 (SOP muss noch angepasst werden für VSS)</t>
        </is>
      </c>
      <c r="DM439" s="20" t="inlineStr">
        <is>
          <t>None</t>
        </is>
      </c>
      <c r="DN439" s="17" t="n"/>
      <c r="DO439" s="16" t="n"/>
      <c r="DP439" s="20" t="inlineStr">
        <is>
          <t>IC Organic Acids</t>
        </is>
      </c>
      <c r="DQ439" s="20" t="inlineStr">
        <is>
          <t>None</t>
        </is>
      </c>
      <c r="DR439" s="17" t="n"/>
      <c r="DS439" s="16" t="n"/>
      <c r="DT439" s="20" t="inlineStr">
        <is>
          <t>IC Organic Acids</t>
        </is>
      </c>
      <c r="DU439" s="20" t="inlineStr">
        <is>
          <t>None</t>
        </is>
      </c>
      <c r="DV439" s="17" t="n"/>
      <c r="DW439" s="16" t="n"/>
      <c r="DX439" s="20" t="inlineStr">
        <is>
          <t>IC Organic Acids</t>
        </is>
      </c>
      <c r="DY439" s="20" t="inlineStr">
        <is>
          <t>None</t>
        </is>
      </c>
      <c r="DZ439" s="17" t="n"/>
      <c r="EA439" s="16" t="n"/>
      <c r="EB439" s="20" t="inlineStr">
        <is>
          <t>IC Organic Acids</t>
        </is>
      </c>
      <c r="EC439" s="20" t="inlineStr">
        <is>
          <t>None</t>
        </is>
      </c>
      <c r="ED439" s="17" t="n"/>
      <c r="EE439" s="16" t="n"/>
      <c r="EF439" s="20" t="inlineStr">
        <is>
          <t>IC Organic Acids</t>
        </is>
      </c>
      <c r="EG439" s="20" t="inlineStr">
        <is>
          <t>None</t>
        </is>
      </c>
      <c r="EH439" s="17" t="n"/>
      <c r="EI439" s="16" t="n"/>
      <c r="EJ439" s="20" t="inlineStr">
        <is>
          <t>IC Organic Acids</t>
        </is>
      </c>
      <c r="EK439" s="20" t="inlineStr">
        <is>
          <t>None</t>
        </is>
      </c>
      <c r="EL439" s="17" t="n"/>
      <c r="EM439" s="16" t="n"/>
      <c r="EN439" s="20" t="inlineStr">
        <is>
          <t>IC Organic Acids</t>
        </is>
      </c>
      <c r="EO439" s="20" t="inlineStr">
        <is>
          <t>None</t>
        </is>
      </c>
      <c r="EP439" s="17" t="n"/>
      <c r="EQ439" s="16" t="n"/>
      <c r="ER439" s="20" t="inlineStr">
        <is>
          <t>IC Organic Acids</t>
        </is>
      </c>
      <c r="ES439" s="20" t="inlineStr">
        <is>
          <t>None</t>
        </is>
      </c>
      <c r="ET439" s="17" t="n"/>
      <c r="EU439" s="16" t="n"/>
      <c r="EV439" s="20" t="inlineStr">
        <is>
          <t>LC-MS</t>
        </is>
      </c>
      <c r="EW439" s="20" t="inlineStr">
        <is>
          <t>None</t>
        </is>
      </c>
      <c r="EX439" s="17" t="n"/>
      <c r="EY439" s="21" t="n"/>
      <c r="EZ439">
        <f>CONCATENATE(A439,B439)</f>
        <v/>
      </c>
      <c r="FA439">
        <f>CONCATENATE(SamplesX!A439,SamplesX!B439)</f>
        <v/>
      </c>
      <c r="FC439">
        <f>MATCH(EZ439,FA1:FA1008,0)</f>
        <v/>
      </c>
    </row>
    <row r="440">
      <c r="A440" s="16" t="inlineStr">
        <is>
          <t>BP</t>
        </is>
      </c>
      <c r="B440" s="17" t="inlineStr">
        <is>
          <t>25432</t>
        </is>
      </c>
      <c r="C440" s="10">
        <f>IF(ISNUMBER(FC440),INDIRECT("SamplesX!C"&amp;FC440),IF(ISNUMBER(FD440),INDIRECT("SamplesY!C"&amp;FD440),""))</f>
        <v/>
      </c>
      <c r="D440" s="12">
        <f>IF(ISNUMBER(FC440),INDIRECT("SamplesX!D"&amp;FC440),IF(ISNUMBER(FD440),INDIRECT("SamplesY!D"&amp;FD440),""))</f>
        <v/>
      </c>
      <c r="E440" s="12">
        <f>IF(ISNUMBER(FC440),INDIRECT("SamplesX!E"&amp;FC440),IF(ISNUMBER(FD440),INDIRECT("SamplesY!E"&amp;FD440),""))</f>
        <v/>
      </c>
      <c r="F440" s="11">
        <f>IF(ISNUMBER(FC440),INDIRECT("SamplesX!F"&amp;FC440),IF(ISNUMBER(FD440),INDIRECT("SamplesY!F"&amp;FD440),""))</f>
        <v/>
      </c>
      <c r="G440" s="18">
        <f>IF(ISNUMBER(FC440),INDIRECT("SamplesX!G"&amp;FC440),IF(ISNUMBER(FD440),INDIRECT("SamplesY!G"&amp;FD440),""))</f>
        <v/>
      </c>
      <c r="H440" s="19">
        <f>IF(ISNUMBER(FC440),INDIRECT("SamplesX!H"&amp;FC440),IF(ISNUMBER(FD440),INDIRECT("SamplesY!H"&amp;FD440),""))</f>
        <v/>
      </c>
      <c r="I440" s="16" t="n"/>
      <c r="J440" s="16" t="n"/>
      <c r="K440" s="16" t="n"/>
      <c r="L440" s="20" t="n"/>
      <c r="M440" s="20" t="inlineStr">
        <is>
          <t>None</t>
        </is>
      </c>
      <c r="N440" s="17" t="n"/>
      <c r="O440" s="16" t="n"/>
      <c r="P440" s="20" t="inlineStr">
        <is>
          <t>Shimadzu TOC-L</t>
        </is>
      </c>
      <c r="Q440" s="20" t="inlineStr">
        <is>
          <t>None</t>
        </is>
      </c>
      <c r="R440" s="17" t="n"/>
      <c r="S440" s="16" t="n"/>
      <c r="T440" s="20" t="inlineStr">
        <is>
          <t>Shimadzu TOC-L</t>
        </is>
      </c>
      <c r="U440" s="20" t="inlineStr">
        <is>
          <t>None</t>
        </is>
      </c>
      <c r="V440" s="17" t="n"/>
      <c r="W440" s="16" t="n"/>
      <c r="X440" s="20" t="n"/>
      <c r="Y440" s="20" t="inlineStr">
        <is>
          <t>None</t>
        </is>
      </c>
      <c r="Z440" s="17" t="n"/>
      <c r="AA440" s="16" t="n"/>
      <c r="AB440" s="20" t="n"/>
      <c r="AC440" s="20" t="inlineStr">
        <is>
          <t>None</t>
        </is>
      </c>
      <c r="AD440" s="17" t="n"/>
      <c r="AE440" s="16" t="n"/>
      <c r="AF440" s="20" t="inlineStr">
        <is>
          <t>IC Anionen</t>
        </is>
      </c>
      <c r="AG440" s="20" t="inlineStr">
        <is>
          <t>None</t>
        </is>
      </c>
      <c r="AH440" s="17" t="n"/>
      <c r="AI440" s="16" t="n"/>
      <c r="AJ440" s="20" t="n"/>
      <c r="AK440" s="20" t="inlineStr">
        <is>
          <t>None</t>
        </is>
      </c>
      <c r="AL440" s="17" t="n"/>
      <c r="AM440" s="16" t="n"/>
      <c r="AN440" s="20" t="inlineStr">
        <is>
          <t>IC Anionen</t>
        </is>
      </c>
      <c r="AO440" s="20" t="inlineStr">
        <is>
          <t>None</t>
        </is>
      </c>
      <c r="AP440" s="17" t="n"/>
      <c r="AQ440" s="16" t="n"/>
      <c r="AR440" s="20" t="n"/>
      <c r="AS440" s="20" t="inlineStr">
        <is>
          <t>None</t>
        </is>
      </c>
      <c r="AT440" s="17" t="n"/>
      <c r="AU440" s="16" t="n"/>
      <c r="AV440" s="20" t="n"/>
      <c r="AW440" s="20" t="inlineStr">
        <is>
          <t>None</t>
        </is>
      </c>
      <c r="AX440" s="17" t="n"/>
      <c r="AY440" s="16" t="n"/>
      <c r="AZ440" s="20" t="inlineStr">
        <is>
          <t>IC Anionen</t>
        </is>
      </c>
      <c r="BA440" s="20" t="inlineStr">
        <is>
          <t>None</t>
        </is>
      </c>
      <c r="BB440" s="17" t="n"/>
      <c r="BC440" s="16" t="n"/>
      <c r="BD440" s="20" t="inlineStr">
        <is>
          <t>IC Kationen</t>
        </is>
      </c>
      <c r="BE440" s="20" t="inlineStr">
        <is>
          <t>None</t>
        </is>
      </c>
      <c r="BF440" s="17" t="n"/>
      <c r="BG440" s="16" t="n"/>
      <c r="BH440" s="20" t="inlineStr">
        <is>
          <t>IC Kationen</t>
        </is>
      </c>
      <c r="BI440" s="20" t="inlineStr">
        <is>
          <t>None</t>
        </is>
      </c>
      <c r="BJ440" s="17" t="n"/>
      <c r="BK440" s="16" t="n"/>
      <c r="BL440" s="20" t="inlineStr">
        <is>
          <t>IC Kationen</t>
        </is>
      </c>
      <c r="BM440" s="20" t="inlineStr">
        <is>
          <t>None</t>
        </is>
      </c>
      <c r="BN440" s="17" t="n"/>
      <c r="BO440" s="16" t="n"/>
      <c r="BP440" s="20" t="inlineStr">
        <is>
          <t>IC Kationen</t>
        </is>
      </c>
      <c r="BQ440" s="20" t="inlineStr">
        <is>
          <t>None</t>
        </is>
      </c>
      <c r="BR440" s="17" t="n"/>
      <c r="BS440" s="16" t="n"/>
      <c r="BT440" s="20" t="inlineStr">
        <is>
          <t>IC Kationen</t>
        </is>
      </c>
      <c r="BU440" s="20" t="inlineStr">
        <is>
          <t>None</t>
        </is>
      </c>
      <c r="BV440" s="17" t="n"/>
      <c r="BW440" s="16" t="n"/>
      <c r="BX440" s="20" t="n"/>
      <c r="BY440" s="20" t="inlineStr">
        <is>
          <t>None</t>
        </is>
      </c>
      <c r="BZ440" s="17" t="n"/>
      <c r="CA440" s="16" t="n"/>
      <c r="CB440" s="20" t="n"/>
      <c r="CC440" s="20" t="inlineStr">
        <is>
          <t>None</t>
        </is>
      </c>
      <c r="CD440" s="17" t="n"/>
      <c r="CE440" s="16" t="n"/>
      <c r="CF440" s="20" t="n"/>
      <c r="CG440" s="20" t="inlineStr">
        <is>
          <t>None</t>
        </is>
      </c>
      <c r="CH440" s="17" t="n"/>
      <c r="CI440" s="16" t="n"/>
      <c r="CJ440" s="20" t="n"/>
      <c r="CK440" s="20" t="inlineStr">
        <is>
          <t>None</t>
        </is>
      </c>
      <c r="CL440" s="17" t="n"/>
      <c r="CM440" s="16" t="n"/>
      <c r="CN440" s="20" t="inlineStr">
        <is>
          <t>SOP 45-34</t>
        </is>
      </c>
      <c r="CO440" s="20" t="inlineStr">
        <is>
          <t>None</t>
        </is>
      </c>
      <c r="CP440" s="17" t="n"/>
      <c r="CQ440" s="16" t="n"/>
      <c r="CR440" s="20" t="n"/>
      <c r="CS440" s="20" t="inlineStr">
        <is>
          <t>None</t>
        </is>
      </c>
      <c r="CT440" s="17" t="n"/>
      <c r="CU440" s="16" t="n"/>
      <c r="CV440" s="20" t="n"/>
      <c r="CW440" s="20" t="inlineStr">
        <is>
          <t>None</t>
        </is>
      </c>
      <c r="CX440" s="17" t="n"/>
      <c r="CY440" s="16" t="n"/>
      <c r="CZ440" s="20" t="inlineStr">
        <is>
          <t>WTW Multimeter 3430 with FDO 925</t>
        </is>
      </c>
      <c r="DA440" s="20" t="inlineStr">
        <is>
          <t>None</t>
        </is>
      </c>
      <c r="DB440" s="17" t="n"/>
      <c r="DC440" s="16" t="n"/>
      <c r="DD440" s="20" t="n"/>
      <c r="DE440" s="20" t="inlineStr">
        <is>
          <t>None</t>
        </is>
      </c>
      <c r="DF440" s="17" t="n"/>
      <c r="DG440" s="16" t="n"/>
      <c r="DH440" s="20" t="inlineStr">
        <is>
          <t>SOP 45-09</t>
        </is>
      </c>
      <c r="DI440" s="20" t="inlineStr">
        <is>
          <t>None</t>
        </is>
      </c>
      <c r="DJ440" s="17" t="n"/>
      <c r="DK440" s="16" t="n"/>
      <c r="DL440" s="20" t="inlineStr">
        <is>
          <t>SOP 45-09 (SOP muss noch angepasst werden für VSS)</t>
        </is>
      </c>
      <c r="DM440" s="20" t="inlineStr">
        <is>
          <t>None</t>
        </is>
      </c>
      <c r="DN440" s="17" t="n"/>
      <c r="DO440" s="16" t="n"/>
      <c r="DP440" s="20" t="inlineStr">
        <is>
          <t>IC Organic Acids</t>
        </is>
      </c>
      <c r="DQ440" s="20" t="inlineStr">
        <is>
          <t>None</t>
        </is>
      </c>
      <c r="DR440" s="17" t="n"/>
      <c r="DS440" s="16" t="n"/>
      <c r="DT440" s="20" t="inlineStr">
        <is>
          <t>IC Organic Acids</t>
        </is>
      </c>
      <c r="DU440" s="20" t="inlineStr">
        <is>
          <t>None</t>
        </is>
      </c>
      <c r="DV440" s="17" t="n"/>
      <c r="DW440" s="16" t="n"/>
      <c r="DX440" s="20" t="inlineStr">
        <is>
          <t>IC Organic Acids</t>
        </is>
      </c>
      <c r="DY440" s="20" t="inlineStr">
        <is>
          <t>None</t>
        </is>
      </c>
      <c r="DZ440" s="17" t="n"/>
      <c r="EA440" s="16" t="n"/>
      <c r="EB440" s="20" t="inlineStr">
        <is>
          <t>IC Organic Acids</t>
        </is>
      </c>
      <c r="EC440" s="20" t="inlineStr">
        <is>
          <t>None</t>
        </is>
      </c>
      <c r="ED440" s="17" t="n"/>
      <c r="EE440" s="16" t="n"/>
      <c r="EF440" s="20" t="inlineStr">
        <is>
          <t>IC Organic Acids</t>
        </is>
      </c>
      <c r="EG440" s="20" t="inlineStr">
        <is>
          <t>None</t>
        </is>
      </c>
      <c r="EH440" s="17" t="n"/>
      <c r="EI440" s="16" t="n"/>
      <c r="EJ440" s="20" t="inlineStr">
        <is>
          <t>IC Organic Acids</t>
        </is>
      </c>
      <c r="EK440" s="20" t="inlineStr">
        <is>
          <t>None</t>
        </is>
      </c>
      <c r="EL440" s="17" t="n"/>
      <c r="EM440" s="16" t="n"/>
      <c r="EN440" s="20" t="inlineStr">
        <is>
          <t>IC Organic Acids</t>
        </is>
      </c>
      <c r="EO440" s="20" t="inlineStr">
        <is>
          <t>None</t>
        </is>
      </c>
      <c r="EP440" s="17" t="n"/>
      <c r="EQ440" s="16" t="n"/>
      <c r="ER440" s="20" t="inlineStr">
        <is>
          <t>IC Organic Acids</t>
        </is>
      </c>
      <c r="ES440" s="20" t="inlineStr">
        <is>
          <t>None</t>
        </is>
      </c>
      <c r="ET440" s="17" t="n"/>
      <c r="EU440" s="16" t="n"/>
      <c r="EV440" s="20" t="inlineStr">
        <is>
          <t>LC-MS</t>
        </is>
      </c>
      <c r="EW440" s="20" t="inlineStr">
        <is>
          <t>None</t>
        </is>
      </c>
      <c r="EX440" s="17" t="n"/>
      <c r="EY440" s="21" t="n"/>
      <c r="EZ440">
        <f>CONCATENATE(A440,B440)</f>
        <v/>
      </c>
      <c r="FA440">
        <f>CONCATENATE(SamplesX!A440,SamplesX!B440)</f>
        <v/>
      </c>
      <c r="FC440">
        <f>MATCH(EZ440,FA1:FA1008,0)</f>
        <v/>
      </c>
    </row>
    <row r="441">
      <c r="A441" s="16" t="inlineStr">
        <is>
          <t>BP</t>
        </is>
      </c>
      <c r="B441" s="17" t="inlineStr">
        <is>
          <t>25433</t>
        </is>
      </c>
      <c r="C441" s="10">
        <f>IF(ISNUMBER(FC441),INDIRECT("SamplesX!C"&amp;FC441),IF(ISNUMBER(FD441),INDIRECT("SamplesY!C"&amp;FD441),""))</f>
        <v/>
      </c>
      <c r="D441" s="12">
        <f>IF(ISNUMBER(FC441),INDIRECT("SamplesX!D"&amp;FC441),IF(ISNUMBER(FD441),INDIRECT("SamplesY!D"&amp;FD441),""))</f>
        <v/>
      </c>
      <c r="E441" s="12">
        <f>IF(ISNUMBER(FC441),INDIRECT("SamplesX!E"&amp;FC441),IF(ISNUMBER(FD441),INDIRECT("SamplesY!E"&amp;FD441),""))</f>
        <v/>
      </c>
      <c r="F441" s="11">
        <f>IF(ISNUMBER(FC441),INDIRECT("SamplesX!F"&amp;FC441),IF(ISNUMBER(FD441),INDIRECT("SamplesY!F"&amp;FD441),""))</f>
        <v/>
      </c>
      <c r="G441" s="18">
        <f>IF(ISNUMBER(FC441),INDIRECT("SamplesX!G"&amp;FC441),IF(ISNUMBER(FD441),INDIRECT("SamplesY!G"&amp;FD441),""))</f>
        <v/>
      </c>
      <c r="H441" s="19">
        <f>IF(ISNUMBER(FC441),INDIRECT("SamplesX!H"&amp;FC441),IF(ISNUMBER(FD441),INDIRECT("SamplesY!H"&amp;FD441),""))</f>
        <v/>
      </c>
      <c r="I441" s="16" t="n"/>
      <c r="J441" s="16" t="n"/>
      <c r="K441" s="16" t="n"/>
      <c r="L441" s="20" t="n"/>
      <c r="M441" s="20" t="inlineStr">
        <is>
          <t>None</t>
        </is>
      </c>
      <c r="N441" s="17" t="n"/>
      <c r="O441" s="16" t="n"/>
      <c r="P441" s="20" t="inlineStr">
        <is>
          <t>Shimadzu TOC-L</t>
        </is>
      </c>
      <c r="Q441" s="20" t="inlineStr">
        <is>
          <t>None</t>
        </is>
      </c>
      <c r="R441" s="17" t="n"/>
      <c r="S441" s="16" t="n"/>
      <c r="T441" s="20" t="inlineStr">
        <is>
          <t>Shimadzu TOC-L</t>
        </is>
      </c>
      <c r="U441" s="20" t="inlineStr">
        <is>
          <t>None</t>
        </is>
      </c>
      <c r="V441" s="17" t="n"/>
      <c r="W441" s="16" t="n"/>
      <c r="X441" s="20" t="n"/>
      <c r="Y441" s="20" t="inlineStr">
        <is>
          <t>None</t>
        </is>
      </c>
      <c r="Z441" s="17" t="n"/>
      <c r="AA441" s="16" t="n"/>
      <c r="AB441" s="20" t="n"/>
      <c r="AC441" s="20" t="inlineStr">
        <is>
          <t>None</t>
        </is>
      </c>
      <c r="AD441" s="17" t="n"/>
      <c r="AE441" s="16" t="n"/>
      <c r="AF441" s="20" t="inlineStr">
        <is>
          <t>IC Anionen</t>
        </is>
      </c>
      <c r="AG441" s="20" t="inlineStr">
        <is>
          <t>None</t>
        </is>
      </c>
      <c r="AH441" s="17" t="n"/>
      <c r="AI441" s="16" t="n"/>
      <c r="AJ441" s="20" t="n"/>
      <c r="AK441" s="20" t="inlineStr">
        <is>
          <t>None</t>
        </is>
      </c>
      <c r="AL441" s="17" t="n"/>
      <c r="AM441" s="16" t="n"/>
      <c r="AN441" s="20" t="inlineStr">
        <is>
          <t>IC Anionen</t>
        </is>
      </c>
      <c r="AO441" s="20" t="inlineStr">
        <is>
          <t>None</t>
        </is>
      </c>
      <c r="AP441" s="17" t="n"/>
      <c r="AQ441" s="16" t="n"/>
      <c r="AR441" s="20" t="n"/>
      <c r="AS441" s="20" t="inlineStr">
        <is>
          <t>None</t>
        </is>
      </c>
      <c r="AT441" s="17" t="n"/>
      <c r="AU441" s="16" t="n"/>
      <c r="AV441" s="20" t="n"/>
      <c r="AW441" s="20" t="inlineStr">
        <is>
          <t>None</t>
        </is>
      </c>
      <c r="AX441" s="17" t="n"/>
      <c r="AY441" s="16" t="n"/>
      <c r="AZ441" s="20" t="inlineStr">
        <is>
          <t>IC Anionen</t>
        </is>
      </c>
      <c r="BA441" s="20" t="inlineStr">
        <is>
          <t>None</t>
        </is>
      </c>
      <c r="BB441" s="17" t="n"/>
      <c r="BC441" s="16" t="n"/>
      <c r="BD441" s="20" t="inlineStr">
        <is>
          <t>IC Kationen</t>
        </is>
      </c>
      <c r="BE441" s="20" t="inlineStr">
        <is>
          <t>None</t>
        </is>
      </c>
      <c r="BF441" s="17" t="n"/>
      <c r="BG441" s="16" t="n"/>
      <c r="BH441" s="20" t="inlineStr">
        <is>
          <t>IC Kationen</t>
        </is>
      </c>
      <c r="BI441" s="20" t="inlineStr">
        <is>
          <t>None</t>
        </is>
      </c>
      <c r="BJ441" s="17" t="n"/>
      <c r="BK441" s="16" t="n"/>
      <c r="BL441" s="20" t="inlineStr">
        <is>
          <t>IC Kationen</t>
        </is>
      </c>
      <c r="BM441" s="20" t="inlineStr">
        <is>
          <t>None</t>
        </is>
      </c>
      <c r="BN441" s="17" t="n"/>
      <c r="BO441" s="16" t="n"/>
      <c r="BP441" s="20" t="inlineStr">
        <is>
          <t>IC Kationen</t>
        </is>
      </c>
      <c r="BQ441" s="20" t="inlineStr">
        <is>
          <t>None</t>
        </is>
      </c>
      <c r="BR441" s="17" t="n"/>
      <c r="BS441" s="16" t="n"/>
      <c r="BT441" s="20" t="inlineStr">
        <is>
          <t>IC Kationen</t>
        </is>
      </c>
      <c r="BU441" s="20" t="inlineStr">
        <is>
          <t>None</t>
        </is>
      </c>
      <c r="BV441" s="17" t="n"/>
      <c r="BW441" s="16" t="n"/>
      <c r="BX441" s="20" t="n"/>
      <c r="BY441" s="20" t="inlineStr">
        <is>
          <t>None</t>
        </is>
      </c>
      <c r="BZ441" s="17" t="n"/>
      <c r="CA441" s="16" t="n"/>
      <c r="CB441" s="20" t="n"/>
      <c r="CC441" s="20" t="inlineStr">
        <is>
          <t>None</t>
        </is>
      </c>
      <c r="CD441" s="17" t="n"/>
      <c r="CE441" s="16" t="n"/>
      <c r="CF441" s="20" t="n"/>
      <c r="CG441" s="20" t="inlineStr">
        <is>
          <t>None</t>
        </is>
      </c>
      <c r="CH441" s="17" t="n"/>
      <c r="CI441" s="16" t="n"/>
      <c r="CJ441" s="20" t="n"/>
      <c r="CK441" s="20" t="inlineStr">
        <is>
          <t>None</t>
        </is>
      </c>
      <c r="CL441" s="17" t="n"/>
      <c r="CM441" s="16" t="n"/>
      <c r="CN441" s="20" t="inlineStr">
        <is>
          <t>SOP 45-34</t>
        </is>
      </c>
      <c r="CO441" s="20" t="inlineStr">
        <is>
          <t>None</t>
        </is>
      </c>
      <c r="CP441" s="17" t="n"/>
      <c r="CQ441" s="16" t="n"/>
      <c r="CR441" s="20" t="n"/>
      <c r="CS441" s="20" t="inlineStr">
        <is>
          <t>None</t>
        </is>
      </c>
      <c r="CT441" s="17" t="n"/>
      <c r="CU441" s="16" t="n"/>
      <c r="CV441" s="20" t="n"/>
      <c r="CW441" s="20" t="inlineStr">
        <is>
          <t>None</t>
        </is>
      </c>
      <c r="CX441" s="17" t="n"/>
      <c r="CY441" s="16" t="n"/>
      <c r="CZ441" s="20" t="inlineStr">
        <is>
          <t>WTW Multimeter 3430 with FDO 925</t>
        </is>
      </c>
      <c r="DA441" s="20" t="inlineStr">
        <is>
          <t>None</t>
        </is>
      </c>
      <c r="DB441" s="17" t="n"/>
      <c r="DC441" s="16" t="n"/>
      <c r="DD441" s="20" t="n"/>
      <c r="DE441" s="20" t="inlineStr">
        <is>
          <t>None</t>
        </is>
      </c>
      <c r="DF441" s="17" t="n"/>
      <c r="DG441" s="16" t="n"/>
      <c r="DH441" s="20" t="inlineStr">
        <is>
          <t>SOP 45-09</t>
        </is>
      </c>
      <c r="DI441" s="20" t="inlineStr">
        <is>
          <t>None</t>
        </is>
      </c>
      <c r="DJ441" s="17" t="n"/>
      <c r="DK441" s="16" t="n"/>
      <c r="DL441" s="20" t="inlineStr">
        <is>
          <t>SOP 45-09 (SOP muss noch angepasst werden für VSS)</t>
        </is>
      </c>
      <c r="DM441" s="20" t="inlineStr">
        <is>
          <t>None</t>
        </is>
      </c>
      <c r="DN441" s="17" t="n"/>
      <c r="DO441" s="16" t="n"/>
      <c r="DP441" s="20" t="inlineStr">
        <is>
          <t>IC Organic Acids</t>
        </is>
      </c>
      <c r="DQ441" s="20" t="inlineStr">
        <is>
          <t>None</t>
        </is>
      </c>
      <c r="DR441" s="17" t="n"/>
      <c r="DS441" s="16" t="n"/>
      <c r="DT441" s="20" t="inlineStr">
        <is>
          <t>IC Organic Acids</t>
        </is>
      </c>
      <c r="DU441" s="20" t="inlineStr">
        <is>
          <t>None</t>
        </is>
      </c>
      <c r="DV441" s="17" t="n"/>
      <c r="DW441" s="16" t="n"/>
      <c r="DX441" s="20" t="inlineStr">
        <is>
          <t>IC Organic Acids</t>
        </is>
      </c>
      <c r="DY441" s="20" t="inlineStr">
        <is>
          <t>None</t>
        </is>
      </c>
      <c r="DZ441" s="17" t="n"/>
      <c r="EA441" s="16" t="n"/>
      <c r="EB441" s="20" t="inlineStr">
        <is>
          <t>IC Organic Acids</t>
        </is>
      </c>
      <c r="EC441" s="20" t="inlineStr">
        <is>
          <t>None</t>
        </is>
      </c>
      <c r="ED441" s="17" t="n"/>
      <c r="EE441" s="16" t="n"/>
      <c r="EF441" s="20" t="inlineStr">
        <is>
          <t>IC Organic Acids</t>
        </is>
      </c>
      <c r="EG441" s="20" t="inlineStr">
        <is>
          <t>None</t>
        </is>
      </c>
      <c r="EH441" s="17" t="n"/>
      <c r="EI441" s="16" t="n"/>
      <c r="EJ441" s="20" t="inlineStr">
        <is>
          <t>IC Organic Acids</t>
        </is>
      </c>
      <c r="EK441" s="20" t="inlineStr">
        <is>
          <t>None</t>
        </is>
      </c>
      <c r="EL441" s="17" t="n"/>
      <c r="EM441" s="16" t="n"/>
      <c r="EN441" s="20" t="inlineStr">
        <is>
          <t>IC Organic Acids</t>
        </is>
      </c>
      <c r="EO441" s="20" t="inlineStr">
        <is>
          <t>None</t>
        </is>
      </c>
      <c r="EP441" s="17" t="n"/>
      <c r="EQ441" s="16" t="n"/>
      <c r="ER441" s="20" t="inlineStr">
        <is>
          <t>IC Organic Acids</t>
        </is>
      </c>
      <c r="ES441" s="20" t="inlineStr">
        <is>
          <t>None</t>
        </is>
      </c>
      <c r="ET441" s="17" t="n"/>
      <c r="EU441" s="16" t="n"/>
      <c r="EV441" s="20" t="inlineStr">
        <is>
          <t>LC-MS</t>
        </is>
      </c>
      <c r="EW441" s="20" t="inlineStr">
        <is>
          <t>None</t>
        </is>
      </c>
      <c r="EX441" s="17" t="n"/>
      <c r="EY441" s="21" t="n"/>
      <c r="EZ441">
        <f>CONCATENATE(A441,B441)</f>
        <v/>
      </c>
      <c r="FA441">
        <f>CONCATENATE(SamplesX!A441,SamplesX!B441)</f>
        <v/>
      </c>
      <c r="FC441">
        <f>MATCH(EZ441,FA1:FA1008,0)</f>
        <v/>
      </c>
    </row>
    <row r="442">
      <c r="A442" s="16" t="inlineStr">
        <is>
          <t>BP</t>
        </is>
      </c>
      <c r="B442" s="17" t="inlineStr">
        <is>
          <t>25434</t>
        </is>
      </c>
      <c r="C442" s="10">
        <f>IF(ISNUMBER(FC442),INDIRECT("SamplesX!C"&amp;FC442),IF(ISNUMBER(FD442),INDIRECT("SamplesY!C"&amp;FD442),""))</f>
        <v/>
      </c>
      <c r="D442" s="12">
        <f>IF(ISNUMBER(FC442),INDIRECT("SamplesX!D"&amp;FC442),IF(ISNUMBER(FD442),INDIRECT("SamplesY!D"&amp;FD442),""))</f>
        <v/>
      </c>
      <c r="E442" s="12">
        <f>IF(ISNUMBER(FC442),INDIRECT("SamplesX!E"&amp;FC442),IF(ISNUMBER(FD442),INDIRECT("SamplesY!E"&amp;FD442),""))</f>
        <v/>
      </c>
      <c r="F442" s="11">
        <f>IF(ISNUMBER(FC442),INDIRECT("SamplesX!F"&amp;FC442),IF(ISNUMBER(FD442),INDIRECT("SamplesY!F"&amp;FD442),""))</f>
        <v/>
      </c>
      <c r="G442" s="18">
        <f>IF(ISNUMBER(FC442),INDIRECT("SamplesX!G"&amp;FC442),IF(ISNUMBER(FD442),INDIRECT("SamplesY!G"&amp;FD442),""))</f>
        <v/>
      </c>
      <c r="H442" s="19">
        <f>IF(ISNUMBER(FC442),INDIRECT("SamplesX!H"&amp;FC442),IF(ISNUMBER(FD442),INDIRECT("SamplesY!H"&amp;FD442),""))</f>
        <v/>
      </c>
      <c r="I442" s="16" t="n"/>
      <c r="J442" s="16" t="n"/>
      <c r="K442" s="16" t="n"/>
      <c r="L442" s="20" t="n"/>
      <c r="M442" s="20" t="inlineStr">
        <is>
          <t>None</t>
        </is>
      </c>
      <c r="N442" s="17" t="n"/>
      <c r="O442" s="16" t="n"/>
      <c r="P442" s="20" t="inlineStr">
        <is>
          <t>Shimadzu TOC-L</t>
        </is>
      </c>
      <c r="Q442" s="20" t="inlineStr">
        <is>
          <t>None</t>
        </is>
      </c>
      <c r="R442" s="17" t="n"/>
      <c r="S442" s="16" t="n"/>
      <c r="T442" s="20" t="inlineStr">
        <is>
          <t>Shimadzu TOC-L</t>
        </is>
      </c>
      <c r="U442" s="20" t="inlineStr">
        <is>
          <t>None</t>
        </is>
      </c>
      <c r="V442" s="17" t="n"/>
      <c r="W442" s="16" t="n"/>
      <c r="X442" s="20" t="n"/>
      <c r="Y442" s="20" t="inlineStr">
        <is>
          <t>None</t>
        </is>
      </c>
      <c r="Z442" s="17" t="n"/>
      <c r="AA442" s="16" t="n"/>
      <c r="AB442" s="20" t="n"/>
      <c r="AC442" s="20" t="inlineStr">
        <is>
          <t>None</t>
        </is>
      </c>
      <c r="AD442" s="17" t="n"/>
      <c r="AE442" s="16" t="n"/>
      <c r="AF442" s="20" t="inlineStr">
        <is>
          <t>IC Anionen</t>
        </is>
      </c>
      <c r="AG442" s="20" t="inlineStr">
        <is>
          <t>None</t>
        </is>
      </c>
      <c r="AH442" s="17" t="n"/>
      <c r="AI442" s="16" t="n"/>
      <c r="AJ442" s="20" t="n"/>
      <c r="AK442" s="20" t="inlineStr">
        <is>
          <t>None</t>
        </is>
      </c>
      <c r="AL442" s="17" t="n"/>
      <c r="AM442" s="16" t="n"/>
      <c r="AN442" s="20" t="inlineStr">
        <is>
          <t>IC Anionen</t>
        </is>
      </c>
      <c r="AO442" s="20" t="inlineStr">
        <is>
          <t>None</t>
        </is>
      </c>
      <c r="AP442" s="17" t="n"/>
      <c r="AQ442" s="16" t="n"/>
      <c r="AR442" s="20" t="n"/>
      <c r="AS442" s="20" t="inlineStr">
        <is>
          <t>None</t>
        </is>
      </c>
      <c r="AT442" s="17" t="n"/>
      <c r="AU442" s="16" t="n"/>
      <c r="AV442" s="20" t="n"/>
      <c r="AW442" s="20" t="inlineStr">
        <is>
          <t>None</t>
        </is>
      </c>
      <c r="AX442" s="17" t="n"/>
      <c r="AY442" s="16" t="n"/>
      <c r="AZ442" s="20" t="inlineStr">
        <is>
          <t>IC Anionen</t>
        </is>
      </c>
      <c r="BA442" s="20" t="inlineStr">
        <is>
          <t>None</t>
        </is>
      </c>
      <c r="BB442" s="17" t="n"/>
      <c r="BC442" s="16" t="n"/>
      <c r="BD442" s="20" t="inlineStr">
        <is>
          <t>IC Kationen</t>
        </is>
      </c>
      <c r="BE442" s="20" t="inlineStr">
        <is>
          <t>None</t>
        </is>
      </c>
      <c r="BF442" s="17" t="n"/>
      <c r="BG442" s="16" t="n"/>
      <c r="BH442" s="20" t="inlineStr">
        <is>
          <t>IC Kationen</t>
        </is>
      </c>
      <c r="BI442" s="20" t="inlineStr">
        <is>
          <t>None</t>
        </is>
      </c>
      <c r="BJ442" s="17" t="n"/>
      <c r="BK442" s="16" t="n"/>
      <c r="BL442" s="20" t="inlineStr">
        <is>
          <t>IC Kationen</t>
        </is>
      </c>
      <c r="BM442" s="20" t="inlineStr">
        <is>
          <t>None</t>
        </is>
      </c>
      <c r="BN442" s="17" t="n"/>
      <c r="BO442" s="16" t="n"/>
      <c r="BP442" s="20" t="inlineStr">
        <is>
          <t>IC Kationen</t>
        </is>
      </c>
      <c r="BQ442" s="20" t="inlineStr">
        <is>
          <t>None</t>
        </is>
      </c>
      <c r="BR442" s="17" t="n"/>
      <c r="BS442" s="16" t="n"/>
      <c r="BT442" s="20" t="inlineStr">
        <is>
          <t>IC Kationen</t>
        </is>
      </c>
      <c r="BU442" s="20" t="inlineStr">
        <is>
          <t>None</t>
        </is>
      </c>
      <c r="BV442" s="17" t="n"/>
      <c r="BW442" s="16" t="n"/>
      <c r="BX442" s="20" t="n"/>
      <c r="BY442" s="20" t="inlineStr">
        <is>
          <t>None</t>
        </is>
      </c>
      <c r="BZ442" s="17" t="n"/>
      <c r="CA442" s="16" t="n"/>
      <c r="CB442" s="20" t="n"/>
      <c r="CC442" s="20" t="inlineStr">
        <is>
          <t>None</t>
        </is>
      </c>
      <c r="CD442" s="17" t="n"/>
      <c r="CE442" s="16" t="n"/>
      <c r="CF442" s="20" t="n"/>
      <c r="CG442" s="20" t="inlineStr">
        <is>
          <t>None</t>
        </is>
      </c>
      <c r="CH442" s="17" t="n"/>
      <c r="CI442" s="16" t="n"/>
      <c r="CJ442" s="20" t="n"/>
      <c r="CK442" s="20" t="inlineStr">
        <is>
          <t>None</t>
        </is>
      </c>
      <c r="CL442" s="17" t="n"/>
      <c r="CM442" s="16" t="n"/>
      <c r="CN442" s="20" t="inlineStr">
        <is>
          <t>SOP 45-34</t>
        </is>
      </c>
      <c r="CO442" s="20" t="inlineStr">
        <is>
          <t>None</t>
        </is>
      </c>
      <c r="CP442" s="17" t="n"/>
      <c r="CQ442" s="16" t="n"/>
      <c r="CR442" s="20" t="n"/>
      <c r="CS442" s="20" t="inlineStr">
        <is>
          <t>None</t>
        </is>
      </c>
      <c r="CT442" s="17" t="n"/>
      <c r="CU442" s="16" t="n"/>
      <c r="CV442" s="20" t="n"/>
      <c r="CW442" s="20" t="inlineStr">
        <is>
          <t>None</t>
        </is>
      </c>
      <c r="CX442" s="17" t="n"/>
      <c r="CY442" s="16" t="n"/>
      <c r="CZ442" s="20" t="inlineStr">
        <is>
          <t>WTW Multimeter 3430 with FDO 925</t>
        </is>
      </c>
      <c r="DA442" s="20" t="inlineStr">
        <is>
          <t>None</t>
        </is>
      </c>
      <c r="DB442" s="17" t="n"/>
      <c r="DC442" s="16" t="n"/>
      <c r="DD442" s="20" t="n"/>
      <c r="DE442" s="20" t="inlineStr">
        <is>
          <t>None</t>
        </is>
      </c>
      <c r="DF442" s="17" t="n"/>
      <c r="DG442" s="16" t="n"/>
      <c r="DH442" s="20" t="inlineStr">
        <is>
          <t>SOP 45-09</t>
        </is>
      </c>
      <c r="DI442" s="20" t="inlineStr">
        <is>
          <t>None</t>
        </is>
      </c>
      <c r="DJ442" s="17" t="n"/>
      <c r="DK442" s="16" t="n"/>
      <c r="DL442" s="20" t="inlineStr">
        <is>
          <t>SOP 45-09 (SOP muss noch angepasst werden für VSS)</t>
        </is>
      </c>
      <c r="DM442" s="20" t="inlineStr">
        <is>
          <t>None</t>
        </is>
      </c>
      <c r="DN442" s="17" t="n"/>
      <c r="DO442" s="16" t="n"/>
      <c r="DP442" s="20" t="inlineStr">
        <is>
          <t>IC Organic Acids</t>
        </is>
      </c>
      <c r="DQ442" s="20" t="inlineStr">
        <is>
          <t>None</t>
        </is>
      </c>
      <c r="DR442" s="17" t="n"/>
      <c r="DS442" s="16" t="n"/>
      <c r="DT442" s="20" t="inlineStr">
        <is>
          <t>IC Organic Acids</t>
        </is>
      </c>
      <c r="DU442" s="20" t="inlineStr">
        <is>
          <t>None</t>
        </is>
      </c>
      <c r="DV442" s="17" t="n"/>
      <c r="DW442" s="16" t="n"/>
      <c r="DX442" s="20" t="inlineStr">
        <is>
          <t>IC Organic Acids</t>
        </is>
      </c>
      <c r="DY442" s="20" t="inlineStr">
        <is>
          <t>None</t>
        </is>
      </c>
      <c r="DZ442" s="17" t="n"/>
      <c r="EA442" s="16" t="n"/>
      <c r="EB442" s="20" t="inlineStr">
        <is>
          <t>IC Organic Acids</t>
        </is>
      </c>
      <c r="EC442" s="20" t="inlineStr">
        <is>
          <t>None</t>
        </is>
      </c>
      <c r="ED442" s="17" t="n"/>
      <c r="EE442" s="16" t="n"/>
      <c r="EF442" s="20" t="inlineStr">
        <is>
          <t>IC Organic Acids</t>
        </is>
      </c>
      <c r="EG442" s="20" t="inlineStr">
        <is>
          <t>None</t>
        </is>
      </c>
      <c r="EH442" s="17" t="n"/>
      <c r="EI442" s="16" t="n"/>
      <c r="EJ442" s="20" t="inlineStr">
        <is>
          <t>IC Organic Acids</t>
        </is>
      </c>
      <c r="EK442" s="20" t="inlineStr">
        <is>
          <t>None</t>
        </is>
      </c>
      <c r="EL442" s="17" t="n"/>
      <c r="EM442" s="16" t="n"/>
      <c r="EN442" s="20" t="inlineStr">
        <is>
          <t>IC Organic Acids</t>
        </is>
      </c>
      <c r="EO442" s="20" t="inlineStr">
        <is>
          <t>None</t>
        </is>
      </c>
      <c r="EP442" s="17" t="n"/>
      <c r="EQ442" s="16" t="n"/>
      <c r="ER442" s="20" t="inlineStr">
        <is>
          <t>IC Organic Acids</t>
        </is>
      </c>
      <c r="ES442" s="20" t="inlineStr">
        <is>
          <t>None</t>
        </is>
      </c>
      <c r="ET442" s="17" t="n"/>
      <c r="EU442" s="16" t="n"/>
      <c r="EV442" s="20" t="inlineStr">
        <is>
          <t>LC-MS</t>
        </is>
      </c>
      <c r="EW442" s="20" t="inlineStr">
        <is>
          <t>None</t>
        </is>
      </c>
      <c r="EX442" s="17" t="n"/>
      <c r="EY442" s="21" t="n"/>
      <c r="EZ442">
        <f>CONCATENATE(A442,B442)</f>
        <v/>
      </c>
      <c r="FA442">
        <f>CONCATENATE(SamplesX!A442,SamplesX!B442)</f>
        <v/>
      </c>
      <c r="FC442">
        <f>MATCH(EZ442,FA1:FA1008,0)</f>
        <v/>
      </c>
    </row>
    <row r="443">
      <c r="A443" s="16" t="inlineStr">
        <is>
          <t>BP</t>
        </is>
      </c>
      <c r="B443" s="17" t="inlineStr">
        <is>
          <t>25435</t>
        </is>
      </c>
      <c r="C443" s="10">
        <f>IF(ISNUMBER(FC443),INDIRECT("SamplesX!C"&amp;FC443),IF(ISNUMBER(FD443),INDIRECT("SamplesY!C"&amp;FD443),""))</f>
        <v/>
      </c>
      <c r="D443" s="12">
        <f>IF(ISNUMBER(FC443),INDIRECT("SamplesX!D"&amp;FC443),IF(ISNUMBER(FD443),INDIRECT("SamplesY!D"&amp;FD443),""))</f>
        <v/>
      </c>
      <c r="E443" s="12">
        <f>IF(ISNUMBER(FC443),INDIRECT("SamplesX!E"&amp;FC443),IF(ISNUMBER(FD443),INDIRECT("SamplesY!E"&amp;FD443),""))</f>
        <v/>
      </c>
      <c r="F443" s="11">
        <f>IF(ISNUMBER(FC443),INDIRECT("SamplesX!F"&amp;FC443),IF(ISNUMBER(FD443),INDIRECT("SamplesY!F"&amp;FD443),""))</f>
        <v/>
      </c>
      <c r="G443" s="18">
        <f>IF(ISNUMBER(FC443),INDIRECT("SamplesX!G"&amp;FC443),IF(ISNUMBER(FD443),INDIRECT("SamplesY!G"&amp;FD443),""))</f>
        <v/>
      </c>
      <c r="H443" s="19">
        <f>IF(ISNUMBER(FC443),INDIRECT("SamplesX!H"&amp;FC443),IF(ISNUMBER(FD443),INDIRECT("SamplesY!H"&amp;FD443),""))</f>
        <v/>
      </c>
      <c r="I443" s="16" t="n"/>
      <c r="J443" s="16" t="n"/>
      <c r="K443" s="16" t="n"/>
      <c r="L443" s="20" t="n"/>
      <c r="M443" s="20" t="inlineStr">
        <is>
          <t>None</t>
        </is>
      </c>
      <c r="N443" s="17" t="n"/>
      <c r="O443" s="16" t="n"/>
      <c r="P443" s="20" t="inlineStr">
        <is>
          <t>Shimadzu TOC-L</t>
        </is>
      </c>
      <c r="Q443" s="20" t="inlineStr">
        <is>
          <t>None</t>
        </is>
      </c>
      <c r="R443" s="17" t="n"/>
      <c r="S443" s="16" t="n"/>
      <c r="T443" s="20" t="inlineStr">
        <is>
          <t>Shimadzu TOC-L</t>
        </is>
      </c>
      <c r="U443" s="20" t="inlineStr">
        <is>
          <t>None</t>
        </is>
      </c>
      <c r="V443" s="17" t="n"/>
      <c r="W443" s="16" t="n"/>
      <c r="X443" s="20" t="n"/>
      <c r="Y443" s="20" t="inlineStr">
        <is>
          <t>None</t>
        </is>
      </c>
      <c r="Z443" s="17" t="n"/>
      <c r="AA443" s="16" t="n"/>
      <c r="AB443" s="20" t="n"/>
      <c r="AC443" s="20" t="inlineStr">
        <is>
          <t>None</t>
        </is>
      </c>
      <c r="AD443" s="17" t="n"/>
      <c r="AE443" s="16" t="n"/>
      <c r="AF443" s="20" t="inlineStr">
        <is>
          <t>IC Anionen</t>
        </is>
      </c>
      <c r="AG443" s="20" t="inlineStr">
        <is>
          <t>None</t>
        </is>
      </c>
      <c r="AH443" s="17" t="n"/>
      <c r="AI443" s="16" t="n"/>
      <c r="AJ443" s="20" t="n"/>
      <c r="AK443" s="20" t="inlineStr">
        <is>
          <t>None</t>
        </is>
      </c>
      <c r="AL443" s="17" t="n"/>
      <c r="AM443" s="16" t="n"/>
      <c r="AN443" s="20" t="inlineStr">
        <is>
          <t>IC Anionen</t>
        </is>
      </c>
      <c r="AO443" s="20" t="inlineStr">
        <is>
          <t>None</t>
        </is>
      </c>
      <c r="AP443" s="17" t="n"/>
      <c r="AQ443" s="16" t="n"/>
      <c r="AR443" s="20" t="n"/>
      <c r="AS443" s="20" t="inlineStr">
        <is>
          <t>None</t>
        </is>
      </c>
      <c r="AT443" s="17" t="n"/>
      <c r="AU443" s="16" t="n"/>
      <c r="AV443" s="20" t="n"/>
      <c r="AW443" s="20" t="inlineStr">
        <is>
          <t>None</t>
        </is>
      </c>
      <c r="AX443" s="17" t="n"/>
      <c r="AY443" s="16" t="n"/>
      <c r="AZ443" s="20" t="inlineStr">
        <is>
          <t>IC Anionen</t>
        </is>
      </c>
      <c r="BA443" s="20" t="inlineStr">
        <is>
          <t>None</t>
        </is>
      </c>
      <c r="BB443" s="17" t="n"/>
      <c r="BC443" s="16" t="n"/>
      <c r="BD443" s="20" t="inlineStr">
        <is>
          <t>IC Kationen</t>
        </is>
      </c>
      <c r="BE443" s="20" t="inlineStr">
        <is>
          <t>None</t>
        </is>
      </c>
      <c r="BF443" s="17" t="n"/>
      <c r="BG443" s="16" t="n"/>
      <c r="BH443" s="20" t="inlineStr">
        <is>
          <t>IC Kationen</t>
        </is>
      </c>
      <c r="BI443" s="20" t="inlineStr">
        <is>
          <t>None</t>
        </is>
      </c>
      <c r="BJ443" s="17" t="n"/>
      <c r="BK443" s="16" t="n"/>
      <c r="BL443" s="20" t="inlineStr">
        <is>
          <t>IC Kationen</t>
        </is>
      </c>
      <c r="BM443" s="20" t="inlineStr">
        <is>
          <t>None</t>
        </is>
      </c>
      <c r="BN443" s="17" t="n"/>
      <c r="BO443" s="16" t="n"/>
      <c r="BP443" s="20" t="inlineStr">
        <is>
          <t>IC Kationen</t>
        </is>
      </c>
      <c r="BQ443" s="20" t="inlineStr">
        <is>
          <t>None</t>
        </is>
      </c>
      <c r="BR443" s="17" t="n"/>
      <c r="BS443" s="16" t="n"/>
      <c r="BT443" s="20" t="inlineStr">
        <is>
          <t>IC Kationen</t>
        </is>
      </c>
      <c r="BU443" s="20" t="inlineStr">
        <is>
          <t>None</t>
        </is>
      </c>
      <c r="BV443" s="17" t="n"/>
      <c r="BW443" s="16" t="n"/>
      <c r="BX443" s="20" t="n"/>
      <c r="BY443" s="20" t="inlineStr">
        <is>
          <t>None</t>
        </is>
      </c>
      <c r="BZ443" s="17" t="n"/>
      <c r="CA443" s="16" t="n"/>
      <c r="CB443" s="20" t="n"/>
      <c r="CC443" s="20" t="inlineStr">
        <is>
          <t>None</t>
        </is>
      </c>
      <c r="CD443" s="17" t="n"/>
      <c r="CE443" s="16" t="n"/>
      <c r="CF443" s="20" t="n"/>
      <c r="CG443" s="20" t="inlineStr">
        <is>
          <t>None</t>
        </is>
      </c>
      <c r="CH443" s="17" t="n"/>
      <c r="CI443" s="16" t="n"/>
      <c r="CJ443" s="20" t="n"/>
      <c r="CK443" s="20" t="inlineStr">
        <is>
          <t>None</t>
        </is>
      </c>
      <c r="CL443" s="17" t="n"/>
      <c r="CM443" s="16" t="n"/>
      <c r="CN443" s="20" t="inlineStr">
        <is>
          <t>SOP 45-34</t>
        </is>
      </c>
      <c r="CO443" s="20" t="inlineStr">
        <is>
          <t>None</t>
        </is>
      </c>
      <c r="CP443" s="17" t="n"/>
      <c r="CQ443" s="16" t="n"/>
      <c r="CR443" s="20" t="n"/>
      <c r="CS443" s="20" t="inlineStr">
        <is>
          <t>None</t>
        </is>
      </c>
      <c r="CT443" s="17" t="n"/>
      <c r="CU443" s="16" t="n"/>
      <c r="CV443" s="20" t="n"/>
      <c r="CW443" s="20" t="inlineStr">
        <is>
          <t>None</t>
        </is>
      </c>
      <c r="CX443" s="17" t="n"/>
      <c r="CY443" s="16" t="n"/>
      <c r="CZ443" s="20" t="inlineStr">
        <is>
          <t>WTW Multimeter 3430 with FDO 925</t>
        </is>
      </c>
      <c r="DA443" s="20" t="inlineStr">
        <is>
          <t>None</t>
        </is>
      </c>
      <c r="DB443" s="17" t="n"/>
      <c r="DC443" s="16" t="n"/>
      <c r="DD443" s="20" t="n"/>
      <c r="DE443" s="20" t="inlineStr">
        <is>
          <t>None</t>
        </is>
      </c>
      <c r="DF443" s="17" t="n"/>
      <c r="DG443" s="16" t="n"/>
      <c r="DH443" s="20" t="inlineStr">
        <is>
          <t>SOP 45-09</t>
        </is>
      </c>
      <c r="DI443" s="20" t="inlineStr">
        <is>
          <t>None</t>
        </is>
      </c>
      <c r="DJ443" s="17" t="n"/>
      <c r="DK443" s="16" t="n"/>
      <c r="DL443" s="20" t="inlineStr">
        <is>
          <t>SOP 45-09 (SOP muss noch angepasst werden für VSS)</t>
        </is>
      </c>
      <c r="DM443" s="20" t="inlineStr">
        <is>
          <t>None</t>
        </is>
      </c>
      <c r="DN443" s="17" t="n"/>
      <c r="DO443" s="16" t="n"/>
      <c r="DP443" s="20" t="inlineStr">
        <is>
          <t>IC Organic Acids</t>
        </is>
      </c>
      <c r="DQ443" s="20" t="inlineStr">
        <is>
          <t>None</t>
        </is>
      </c>
      <c r="DR443" s="17" t="n"/>
      <c r="DS443" s="16" t="n"/>
      <c r="DT443" s="20" t="inlineStr">
        <is>
          <t>IC Organic Acids</t>
        </is>
      </c>
      <c r="DU443" s="20" t="inlineStr">
        <is>
          <t>None</t>
        </is>
      </c>
      <c r="DV443" s="17" t="n"/>
      <c r="DW443" s="16" t="n"/>
      <c r="DX443" s="20" t="inlineStr">
        <is>
          <t>IC Organic Acids</t>
        </is>
      </c>
      <c r="DY443" s="20" t="inlineStr">
        <is>
          <t>None</t>
        </is>
      </c>
      <c r="DZ443" s="17" t="n"/>
      <c r="EA443" s="16" t="n"/>
      <c r="EB443" s="20" t="inlineStr">
        <is>
          <t>IC Organic Acids</t>
        </is>
      </c>
      <c r="EC443" s="20" t="inlineStr">
        <is>
          <t>None</t>
        </is>
      </c>
      <c r="ED443" s="17" t="n"/>
      <c r="EE443" s="16" t="n"/>
      <c r="EF443" s="20" t="inlineStr">
        <is>
          <t>IC Organic Acids</t>
        </is>
      </c>
      <c r="EG443" s="20" t="inlineStr">
        <is>
          <t>None</t>
        </is>
      </c>
      <c r="EH443" s="17" t="n"/>
      <c r="EI443" s="16" t="n"/>
      <c r="EJ443" s="20" t="inlineStr">
        <is>
          <t>IC Organic Acids</t>
        </is>
      </c>
      <c r="EK443" s="20" t="inlineStr">
        <is>
          <t>None</t>
        </is>
      </c>
      <c r="EL443" s="17" t="n"/>
      <c r="EM443" s="16" t="n"/>
      <c r="EN443" s="20" t="inlineStr">
        <is>
          <t>IC Organic Acids</t>
        </is>
      </c>
      <c r="EO443" s="20" t="inlineStr">
        <is>
          <t>None</t>
        </is>
      </c>
      <c r="EP443" s="17" t="n"/>
      <c r="EQ443" s="16" t="n"/>
      <c r="ER443" s="20" t="inlineStr">
        <is>
          <t>IC Organic Acids</t>
        </is>
      </c>
      <c r="ES443" s="20" t="inlineStr">
        <is>
          <t>None</t>
        </is>
      </c>
      <c r="ET443" s="17" t="n"/>
      <c r="EU443" s="16" t="n"/>
      <c r="EV443" s="20" t="inlineStr">
        <is>
          <t>LC-MS</t>
        </is>
      </c>
      <c r="EW443" s="20" t="inlineStr">
        <is>
          <t>None</t>
        </is>
      </c>
      <c r="EX443" s="17" t="n"/>
      <c r="EY443" s="21" t="n"/>
      <c r="EZ443">
        <f>CONCATENATE(A443,B443)</f>
        <v/>
      </c>
      <c r="FA443">
        <f>CONCATENATE(SamplesX!A443,SamplesX!B443)</f>
        <v/>
      </c>
      <c r="FC443">
        <f>MATCH(EZ443,FA1:FA1008,0)</f>
        <v/>
      </c>
    </row>
    <row r="444">
      <c r="A444" s="16" t="inlineStr">
        <is>
          <t>BP</t>
        </is>
      </c>
      <c r="B444" s="17" t="inlineStr">
        <is>
          <t>25436</t>
        </is>
      </c>
      <c r="C444" s="10">
        <f>IF(ISNUMBER(FC444),INDIRECT("SamplesX!C"&amp;FC444),IF(ISNUMBER(FD444),INDIRECT("SamplesY!C"&amp;FD444),""))</f>
        <v/>
      </c>
      <c r="D444" s="12">
        <f>IF(ISNUMBER(FC444),INDIRECT("SamplesX!D"&amp;FC444),IF(ISNUMBER(FD444),INDIRECT("SamplesY!D"&amp;FD444),""))</f>
        <v/>
      </c>
      <c r="E444" s="12">
        <f>IF(ISNUMBER(FC444),INDIRECT("SamplesX!E"&amp;FC444),IF(ISNUMBER(FD444),INDIRECT("SamplesY!E"&amp;FD444),""))</f>
        <v/>
      </c>
      <c r="F444" s="11">
        <f>IF(ISNUMBER(FC444),INDIRECT("SamplesX!F"&amp;FC444),IF(ISNUMBER(FD444),INDIRECT("SamplesY!F"&amp;FD444),""))</f>
        <v/>
      </c>
      <c r="G444" s="18">
        <f>IF(ISNUMBER(FC444),INDIRECT("SamplesX!G"&amp;FC444),IF(ISNUMBER(FD444),INDIRECT("SamplesY!G"&amp;FD444),""))</f>
        <v/>
      </c>
      <c r="H444" s="19">
        <f>IF(ISNUMBER(FC444),INDIRECT("SamplesX!H"&amp;FC444),IF(ISNUMBER(FD444),INDIRECT("SamplesY!H"&amp;FD444),""))</f>
        <v/>
      </c>
      <c r="I444" s="16" t="n"/>
      <c r="J444" s="16" t="n"/>
      <c r="K444" s="16" t="n"/>
      <c r="L444" s="20" t="n"/>
      <c r="M444" s="20" t="inlineStr">
        <is>
          <t>None</t>
        </is>
      </c>
      <c r="N444" s="17" t="n"/>
      <c r="O444" s="16" t="n"/>
      <c r="P444" s="20" t="inlineStr">
        <is>
          <t>Shimadzu TOC-L</t>
        </is>
      </c>
      <c r="Q444" s="20" t="inlineStr">
        <is>
          <t>None</t>
        </is>
      </c>
      <c r="R444" s="17" t="n"/>
      <c r="S444" s="16" t="n"/>
      <c r="T444" s="20" t="inlineStr">
        <is>
          <t>Shimadzu TOC-L</t>
        </is>
      </c>
      <c r="U444" s="20" t="inlineStr">
        <is>
          <t>None</t>
        </is>
      </c>
      <c r="V444" s="17" t="n"/>
      <c r="W444" s="16" t="n"/>
      <c r="X444" s="20" t="n"/>
      <c r="Y444" s="20" t="inlineStr">
        <is>
          <t>None</t>
        </is>
      </c>
      <c r="Z444" s="17" t="n"/>
      <c r="AA444" s="16" t="n"/>
      <c r="AB444" s="20" t="n"/>
      <c r="AC444" s="20" t="inlineStr">
        <is>
          <t>None</t>
        </is>
      </c>
      <c r="AD444" s="17" t="n"/>
      <c r="AE444" s="16" t="n"/>
      <c r="AF444" s="20" t="inlineStr">
        <is>
          <t>IC Anionen</t>
        </is>
      </c>
      <c r="AG444" s="20" t="inlineStr">
        <is>
          <t>None</t>
        </is>
      </c>
      <c r="AH444" s="17" t="n"/>
      <c r="AI444" s="16" t="n"/>
      <c r="AJ444" s="20" t="n"/>
      <c r="AK444" s="20" t="inlineStr">
        <is>
          <t>None</t>
        </is>
      </c>
      <c r="AL444" s="17" t="n"/>
      <c r="AM444" s="16" t="n"/>
      <c r="AN444" s="20" t="inlineStr">
        <is>
          <t>IC Anionen</t>
        </is>
      </c>
      <c r="AO444" s="20" t="inlineStr">
        <is>
          <t>None</t>
        </is>
      </c>
      <c r="AP444" s="17" t="n"/>
      <c r="AQ444" s="16" t="n"/>
      <c r="AR444" s="20" t="n"/>
      <c r="AS444" s="20" t="inlineStr">
        <is>
          <t>None</t>
        </is>
      </c>
      <c r="AT444" s="17" t="n"/>
      <c r="AU444" s="16" t="n"/>
      <c r="AV444" s="20" t="n"/>
      <c r="AW444" s="20" t="inlineStr">
        <is>
          <t>None</t>
        </is>
      </c>
      <c r="AX444" s="17" t="n"/>
      <c r="AY444" s="16" t="n"/>
      <c r="AZ444" s="20" t="inlineStr">
        <is>
          <t>IC Anionen</t>
        </is>
      </c>
      <c r="BA444" s="20" t="inlineStr">
        <is>
          <t>None</t>
        </is>
      </c>
      <c r="BB444" s="17" t="n"/>
      <c r="BC444" s="16" t="n"/>
      <c r="BD444" s="20" t="inlineStr">
        <is>
          <t>IC Kationen</t>
        </is>
      </c>
      <c r="BE444" s="20" t="inlineStr">
        <is>
          <t>None</t>
        </is>
      </c>
      <c r="BF444" s="17" t="n"/>
      <c r="BG444" s="16" t="n"/>
      <c r="BH444" s="20" t="inlineStr">
        <is>
          <t>IC Kationen</t>
        </is>
      </c>
      <c r="BI444" s="20" t="inlineStr">
        <is>
          <t>None</t>
        </is>
      </c>
      <c r="BJ444" s="17" t="n"/>
      <c r="BK444" s="16" t="n"/>
      <c r="BL444" s="20" t="inlineStr">
        <is>
          <t>IC Kationen</t>
        </is>
      </c>
      <c r="BM444" s="20" t="inlineStr">
        <is>
          <t>None</t>
        </is>
      </c>
      <c r="BN444" s="17" t="n"/>
      <c r="BO444" s="16" t="n"/>
      <c r="BP444" s="20" t="inlineStr">
        <is>
          <t>IC Kationen</t>
        </is>
      </c>
      <c r="BQ444" s="20" t="inlineStr">
        <is>
          <t>None</t>
        </is>
      </c>
      <c r="BR444" s="17" t="n"/>
      <c r="BS444" s="16" t="n"/>
      <c r="BT444" s="20" t="inlineStr">
        <is>
          <t>IC Kationen</t>
        </is>
      </c>
      <c r="BU444" s="20" t="inlineStr">
        <is>
          <t>None</t>
        </is>
      </c>
      <c r="BV444" s="17" t="n"/>
      <c r="BW444" s="16" t="n"/>
      <c r="BX444" s="20" t="n"/>
      <c r="BY444" s="20" t="inlineStr">
        <is>
          <t>None</t>
        </is>
      </c>
      <c r="BZ444" s="17" t="n"/>
      <c r="CA444" s="16" t="n"/>
      <c r="CB444" s="20" t="n"/>
      <c r="CC444" s="20" t="inlineStr">
        <is>
          <t>None</t>
        </is>
      </c>
      <c r="CD444" s="17" t="n"/>
      <c r="CE444" s="16" t="n"/>
      <c r="CF444" s="20" t="n"/>
      <c r="CG444" s="20" t="inlineStr">
        <is>
          <t>None</t>
        </is>
      </c>
      <c r="CH444" s="17" t="n"/>
      <c r="CI444" s="16" t="n"/>
      <c r="CJ444" s="20" t="n"/>
      <c r="CK444" s="20" t="inlineStr">
        <is>
          <t>None</t>
        </is>
      </c>
      <c r="CL444" s="17" t="n"/>
      <c r="CM444" s="16" t="n"/>
      <c r="CN444" s="20" t="inlineStr">
        <is>
          <t>SOP 45-34</t>
        </is>
      </c>
      <c r="CO444" s="20" t="inlineStr">
        <is>
          <t>None</t>
        </is>
      </c>
      <c r="CP444" s="17" t="n"/>
      <c r="CQ444" s="16" t="n"/>
      <c r="CR444" s="20" t="n"/>
      <c r="CS444" s="20" t="inlineStr">
        <is>
          <t>None</t>
        </is>
      </c>
      <c r="CT444" s="17" t="n"/>
      <c r="CU444" s="16" t="n"/>
      <c r="CV444" s="20" t="n"/>
      <c r="CW444" s="20" t="inlineStr">
        <is>
          <t>None</t>
        </is>
      </c>
      <c r="CX444" s="17" t="n"/>
      <c r="CY444" s="16" t="n"/>
      <c r="CZ444" s="20" t="inlineStr">
        <is>
          <t>WTW Multimeter 3430 with FDO 925</t>
        </is>
      </c>
      <c r="DA444" s="20" t="inlineStr">
        <is>
          <t>None</t>
        </is>
      </c>
      <c r="DB444" s="17" t="n"/>
      <c r="DC444" s="16" t="n"/>
      <c r="DD444" s="20" t="n"/>
      <c r="DE444" s="20" t="inlineStr">
        <is>
          <t>None</t>
        </is>
      </c>
      <c r="DF444" s="17" t="n"/>
      <c r="DG444" s="16" t="n"/>
      <c r="DH444" s="20" t="inlineStr">
        <is>
          <t>SOP 45-09</t>
        </is>
      </c>
      <c r="DI444" s="20" t="inlineStr">
        <is>
          <t>None</t>
        </is>
      </c>
      <c r="DJ444" s="17" t="n"/>
      <c r="DK444" s="16" t="n"/>
      <c r="DL444" s="20" t="inlineStr">
        <is>
          <t>SOP 45-09 (SOP muss noch angepasst werden für VSS)</t>
        </is>
      </c>
      <c r="DM444" s="20" t="inlineStr">
        <is>
          <t>None</t>
        </is>
      </c>
      <c r="DN444" s="17" t="n"/>
      <c r="DO444" s="16" t="n"/>
      <c r="DP444" s="20" t="inlineStr">
        <is>
          <t>IC Organic Acids</t>
        </is>
      </c>
      <c r="DQ444" s="20" t="inlineStr">
        <is>
          <t>None</t>
        </is>
      </c>
      <c r="DR444" s="17" t="n"/>
      <c r="DS444" s="16" t="n"/>
      <c r="DT444" s="20" t="inlineStr">
        <is>
          <t>IC Organic Acids</t>
        </is>
      </c>
      <c r="DU444" s="20" t="inlineStr">
        <is>
          <t>None</t>
        </is>
      </c>
      <c r="DV444" s="17" t="n"/>
      <c r="DW444" s="16" t="n"/>
      <c r="DX444" s="20" t="inlineStr">
        <is>
          <t>IC Organic Acids</t>
        </is>
      </c>
      <c r="DY444" s="20" t="inlineStr">
        <is>
          <t>None</t>
        </is>
      </c>
      <c r="DZ444" s="17" t="n"/>
      <c r="EA444" s="16" t="n"/>
      <c r="EB444" s="20" t="inlineStr">
        <is>
          <t>IC Organic Acids</t>
        </is>
      </c>
      <c r="EC444" s="20" t="inlineStr">
        <is>
          <t>None</t>
        </is>
      </c>
      <c r="ED444" s="17" t="n"/>
      <c r="EE444" s="16" t="n"/>
      <c r="EF444" s="20" t="inlineStr">
        <is>
          <t>IC Organic Acids</t>
        </is>
      </c>
      <c r="EG444" s="20" t="inlineStr">
        <is>
          <t>None</t>
        </is>
      </c>
      <c r="EH444" s="17" t="n"/>
      <c r="EI444" s="16" t="n"/>
      <c r="EJ444" s="20" t="inlineStr">
        <is>
          <t>IC Organic Acids</t>
        </is>
      </c>
      <c r="EK444" s="20" t="inlineStr">
        <is>
          <t>None</t>
        </is>
      </c>
      <c r="EL444" s="17" t="n"/>
      <c r="EM444" s="16" t="n"/>
      <c r="EN444" s="20" t="inlineStr">
        <is>
          <t>IC Organic Acids</t>
        </is>
      </c>
      <c r="EO444" s="20" t="inlineStr">
        <is>
          <t>None</t>
        </is>
      </c>
      <c r="EP444" s="17" t="n"/>
      <c r="EQ444" s="16" t="n"/>
      <c r="ER444" s="20" t="inlineStr">
        <is>
          <t>IC Organic Acids</t>
        </is>
      </c>
      <c r="ES444" s="20" t="inlineStr">
        <is>
          <t>None</t>
        </is>
      </c>
      <c r="ET444" s="17" t="n"/>
      <c r="EU444" s="16" t="n"/>
      <c r="EV444" s="20" t="inlineStr">
        <is>
          <t>LC-MS</t>
        </is>
      </c>
      <c r="EW444" s="20" t="inlineStr">
        <is>
          <t>None</t>
        </is>
      </c>
      <c r="EX444" s="17" t="n"/>
      <c r="EY444" s="21" t="n"/>
      <c r="EZ444">
        <f>CONCATENATE(A444,B444)</f>
        <v/>
      </c>
      <c r="FA444">
        <f>CONCATENATE(SamplesX!A444,SamplesX!B444)</f>
        <v/>
      </c>
      <c r="FC444">
        <f>MATCH(EZ444,FA1:FA1008,0)</f>
        <v/>
      </c>
    </row>
    <row r="445">
      <c r="A445" s="16" t="inlineStr">
        <is>
          <t>BP</t>
        </is>
      </c>
      <c r="B445" s="17" t="inlineStr">
        <is>
          <t>25437</t>
        </is>
      </c>
      <c r="C445" s="10">
        <f>IF(ISNUMBER(FC445),INDIRECT("SamplesX!C"&amp;FC445),IF(ISNUMBER(FD445),INDIRECT("SamplesY!C"&amp;FD445),""))</f>
        <v/>
      </c>
      <c r="D445" s="12">
        <f>IF(ISNUMBER(FC445),INDIRECT("SamplesX!D"&amp;FC445),IF(ISNUMBER(FD445),INDIRECT("SamplesY!D"&amp;FD445),""))</f>
        <v/>
      </c>
      <c r="E445" s="12">
        <f>IF(ISNUMBER(FC445),INDIRECT("SamplesX!E"&amp;FC445),IF(ISNUMBER(FD445),INDIRECT("SamplesY!E"&amp;FD445),""))</f>
        <v/>
      </c>
      <c r="F445" s="11">
        <f>IF(ISNUMBER(FC445),INDIRECT("SamplesX!F"&amp;FC445),IF(ISNUMBER(FD445),INDIRECT("SamplesY!F"&amp;FD445),""))</f>
        <v/>
      </c>
      <c r="G445" s="18">
        <f>IF(ISNUMBER(FC445),INDIRECT("SamplesX!G"&amp;FC445),IF(ISNUMBER(FD445),INDIRECT("SamplesY!G"&amp;FD445),""))</f>
        <v/>
      </c>
      <c r="H445" s="19">
        <f>IF(ISNUMBER(FC445),INDIRECT("SamplesX!H"&amp;FC445),IF(ISNUMBER(FD445),INDIRECT("SamplesY!H"&amp;FD445),""))</f>
        <v/>
      </c>
      <c r="I445" s="16" t="n"/>
      <c r="J445" s="16" t="n"/>
      <c r="K445" s="16" t="n"/>
      <c r="L445" s="20" t="n"/>
      <c r="M445" s="20" t="inlineStr">
        <is>
          <t>None</t>
        </is>
      </c>
      <c r="N445" s="17" t="n"/>
      <c r="O445" s="16" t="n"/>
      <c r="P445" s="20" t="inlineStr">
        <is>
          <t>Shimadzu TOC-L</t>
        </is>
      </c>
      <c r="Q445" s="20" t="inlineStr">
        <is>
          <t>None</t>
        </is>
      </c>
      <c r="R445" s="17" t="n"/>
      <c r="S445" s="16" t="n"/>
      <c r="T445" s="20" t="inlineStr">
        <is>
          <t>Shimadzu TOC-L</t>
        </is>
      </c>
      <c r="U445" s="20" t="inlineStr">
        <is>
          <t>None</t>
        </is>
      </c>
      <c r="V445" s="17" t="n"/>
      <c r="W445" s="16" t="n"/>
      <c r="X445" s="20" t="n"/>
      <c r="Y445" s="20" t="inlineStr">
        <is>
          <t>None</t>
        </is>
      </c>
      <c r="Z445" s="17" t="n"/>
      <c r="AA445" s="16" t="n"/>
      <c r="AB445" s="20" t="n"/>
      <c r="AC445" s="20" t="inlineStr">
        <is>
          <t>None</t>
        </is>
      </c>
      <c r="AD445" s="17" t="n"/>
      <c r="AE445" s="16" t="n"/>
      <c r="AF445" s="20" t="inlineStr">
        <is>
          <t>IC Anionen</t>
        </is>
      </c>
      <c r="AG445" s="20" t="inlineStr">
        <is>
          <t>None</t>
        </is>
      </c>
      <c r="AH445" s="17" t="n"/>
      <c r="AI445" s="16" t="n"/>
      <c r="AJ445" s="20" t="n"/>
      <c r="AK445" s="20" t="inlineStr">
        <is>
          <t>None</t>
        </is>
      </c>
      <c r="AL445" s="17" t="n"/>
      <c r="AM445" s="16" t="n"/>
      <c r="AN445" s="20" t="inlineStr">
        <is>
          <t>IC Anionen</t>
        </is>
      </c>
      <c r="AO445" s="20" t="inlineStr">
        <is>
          <t>None</t>
        </is>
      </c>
      <c r="AP445" s="17" t="n"/>
      <c r="AQ445" s="16" t="n"/>
      <c r="AR445" s="20" t="n"/>
      <c r="AS445" s="20" t="inlineStr">
        <is>
          <t>None</t>
        </is>
      </c>
      <c r="AT445" s="17" t="n"/>
      <c r="AU445" s="16" t="n"/>
      <c r="AV445" s="20" t="n"/>
      <c r="AW445" s="20" t="inlineStr">
        <is>
          <t>None</t>
        </is>
      </c>
      <c r="AX445" s="17" t="n"/>
      <c r="AY445" s="16" t="n"/>
      <c r="AZ445" s="20" t="inlineStr">
        <is>
          <t>IC Anionen</t>
        </is>
      </c>
      <c r="BA445" s="20" t="inlineStr">
        <is>
          <t>None</t>
        </is>
      </c>
      <c r="BB445" s="17" t="n"/>
      <c r="BC445" s="16" t="n"/>
      <c r="BD445" s="20" t="inlineStr">
        <is>
          <t>IC Kationen</t>
        </is>
      </c>
      <c r="BE445" s="20" t="inlineStr">
        <is>
          <t>None</t>
        </is>
      </c>
      <c r="BF445" s="17" t="n"/>
      <c r="BG445" s="16" t="n"/>
      <c r="BH445" s="20" t="inlineStr">
        <is>
          <t>IC Kationen</t>
        </is>
      </c>
      <c r="BI445" s="20" t="inlineStr">
        <is>
          <t>None</t>
        </is>
      </c>
      <c r="BJ445" s="17" t="n"/>
      <c r="BK445" s="16" t="n"/>
      <c r="BL445" s="20" t="inlineStr">
        <is>
          <t>IC Kationen</t>
        </is>
      </c>
      <c r="BM445" s="20" t="inlineStr">
        <is>
          <t>None</t>
        </is>
      </c>
      <c r="BN445" s="17" t="n"/>
      <c r="BO445" s="16" t="n"/>
      <c r="BP445" s="20" t="inlineStr">
        <is>
          <t>IC Kationen</t>
        </is>
      </c>
      <c r="BQ445" s="20" t="inlineStr">
        <is>
          <t>None</t>
        </is>
      </c>
      <c r="BR445" s="17" t="n"/>
      <c r="BS445" s="16" t="n"/>
      <c r="BT445" s="20" t="inlineStr">
        <is>
          <t>IC Kationen</t>
        </is>
      </c>
      <c r="BU445" s="20" t="inlineStr">
        <is>
          <t>None</t>
        </is>
      </c>
      <c r="BV445" s="17" t="n"/>
      <c r="BW445" s="16" t="n"/>
      <c r="BX445" s="20" t="n"/>
      <c r="BY445" s="20" t="inlineStr">
        <is>
          <t>None</t>
        </is>
      </c>
      <c r="BZ445" s="17" t="n"/>
      <c r="CA445" s="16" t="n"/>
      <c r="CB445" s="20" t="n"/>
      <c r="CC445" s="20" t="inlineStr">
        <is>
          <t>None</t>
        </is>
      </c>
      <c r="CD445" s="17" t="n"/>
      <c r="CE445" s="16" t="n"/>
      <c r="CF445" s="20" t="n"/>
      <c r="CG445" s="20" t="inlineStr">
        <is>
          <t>None</t>
        </is>
      </c>
      <c r="CH445" s="17" t="n"/>
      <c r="CI445" s="16" t="n"/>
      <c r="CJ445" s="20" t="n"/>
      <c r="CK445" s="20" t="inlineStr">
        <is>
          <t>None</t>
        </is>
      </c>
      <c r="CL445" s="17" t="n"/>
      <c r="CM445" s="16" t="n"/>
      <c r="CN445" s="20" t="inlineStr">
        <is>
          <t>SOP 45-34</t>
        </is>
      </c>
      <c r="CO445" s="20" t="inlineStr">
        <is>
          <t>None</t>
        </is>
      </c>
      <c r="CP445" s="17" t="n"/>
      <c r="CQ445" s="16" t="n"/>
      <c r="CR445" s="20" t="n"/>
      <c r="CS445" s="20" t="inlineStr">
        <is>
          <t>None</t>
        </is>
      </c>
      <c r="CT445" s="17" t="n"/>
      <c r="CU445" s="16" t="n"/>
      <c r="CV445" s="20" t="n"/>
      <c r="CW445" s="20" t="inlineStr">
        <is>
          <t>None</t>
        </is>
      </c>
      <c r="CX445" s="17" t="n"/>
      <c r="CY445" s="16" t="n"/>
      <c r="CZ445" s="20" t="inlineStr">
        <is>
          <t>WTW Multimeter 3430 with FDO 925</t>
        </is>
      </c>
      <c r="DA445" s="20" t="inlineStr">
        <is>
          <t>None</t>
        </is>
      </c>
      <c r="DB445" s="17" t="n"/>
      <c r="DC445" s="16" t="n"/>
      <c r="DD445" s="20" t="n"/>
      <c r="DE445" s="20" t="inlineStr">
        <is>
          <t>None</t>
        </is>
      </c>
      <c r="DF445" s="17" t="n"/>
      <c r="DG445" s="16" t="n"/>
      <c r="DH445" s="20" t="inlineStr">
        <is>
          <t>SOP 45-09</t>
        </is>
      </c>
      <c r="DI445" s="20" t="inlineStr">
        <is>
          <t>None</t>
        </is>
      </c>
      <c r="DJ445" s="17" t="n"/>
      <c r="DK445" s="16" t="n"/>
      <c r="DL445" s="20" t="inlineStr">
        <is>
          <t>SOP 45-09 (SOP muss noch angepasst werden für VSS)</t>
        </is>
      </c>
      <c r="DM445" s="20" t="inlineStr">
        <is>
          <t>None</t>
        </is>
      </c>
      <c r="DN445" s="17" t="n"/>
      <c r="DO445" s="16" t="n"/>
      <c r="DP445" s="20" t="inlineStr">
        <is>
          <t>IC Organic Acids</t>
        </is>
      </c>
      <c r="DQ445" s="20" t="inlineStr">
        <is>
          <t>None</t>
        </is>
      </c>
      <c r="DR445" s="17" t="n"/>
      <c r="DS445" s="16" t="n"/>
      <c r="DT445" s="20" t="inlineStr">
        <is>
          <t>IC Organic Acids</t>
        </is>
      </c>
      <c r="DU445" s="20" t="inlineStr">
        <is>
          <t>None</t>
        </is>
      </c>
      <c r="DV445" s="17" t="n"/>
      <c r="DW445" s="16" t="n"/>
      <c r="DX445" s="20" t="inlineStr">
        <is>
          <t>IC Organic Acids</t>
        </is>
      </c>
      <c r="DY445" s="20" t="inlineStr">
        <is>
          <t>None</t>
        </is>
      </c>
      <c r="DZ445" s="17" t="n"/>
      <c r="EA445" s="16" t="n"/>
      <c r="EB445" s="20" t="inlineStr">
        <is>
          <t>IC Organic Acids</t>
        </is>
      </c>
      <c r="EC445" s="20" t="inlineStr">
        <is>
          <t>None</t>
        </is>
      </c>
      <c r="ED445" s="17" t="n"/>
      <c r="EE445" s="16" t="n"/>
      <c r="EF445" s="20" t="inlineStr">
        <is>
          <t>IC Organic Acids</t>
        </is>
      </c>
      <c r="EG445" s="20" t="inlineStr">
        <is>
          <t>None</t>
        </is>
      </c>
      <c r="EH445" s="17" t="n"/>
      <c r="EI445" s="16" t="n"/>
      <c r="EJ445" s="20" t="inlineStr">
        <is>
          <t>IC Organic Acids</t>
        </is>
      </c>
      <c r="EK445" s="20" t="inlineStr">
        <is>
          <t>None</t>
        </is>
      </c>
      <c r="EL445" s="17" t="n"/>
      <c r="EM445" s="16" t="n"/>
      <c r="EN445" s="20" t="inlineStr">
        <is>
          <t>IC Organic Acids</t>
        </is>
      </c>
      <c r="EO445" s="20" t="inlineStr">
        <is>
          <t>None</t>
        </is>
      </c>
      <c r="EP445" s="17" t="n"/>
      <c r="EQ445" s="16" t="n"/>
      <c r="ER445" s="20" t="inlineStr">
        <is>
          <t>IC Organic Acids</t>
        </is>
      </c>
      <c r="ES445" s="20" t="inlineStr">
        <is>
          <t>None</t>
        </is>
      </c>
      <c r="ET445" s="17" t="n"/>
      <c r="EU445" s="16" t="n"/>
      <c r="EV445" s="20" t="inlineStr">
        <is>
          <t>LC-MS</t>
        </is>
      </c>
      <c r="EW445" s="20" t="inlineStr">
        <is>
          <t>None</t>
        </is>
      </c>
      <c r="EX445" s="17" t="n"/>
      <c r="EY445" s="21" t="n"/>
      <c r="EZ445">
        <f>CONCATENATE(A445,B445)</f>
        <v/>
      </c>
      <c r="FA445">
        <f>CONCATENATE(SamplesX!A445,SamplesX!B445)</f>
        <v/>
      </c>
      <c r="FC445">
        <f>MATCH(EZ445,FA1:FA1008,0)</f>
        <v/>
      </c>
    </row>
    <row r="446">
      <c r="A446" s="16" t="inlineStr">
        <is>
          <t>BP</t>
        </is>
      </c>
      <c r="B446" s="17" t="inlineStr">
        <is>
          <t>25438</t>
        </is>
      </c>
      <c r="C446" s="10">
        <f>IF(ISNUMBER(FC446),INDIRECT("SamplesX!C"&amp;FC446),IF(ISNUMBER(FD446),INDIRECT("SamplesY!C"&amp;FD446),""))</f>
        <v/>
      </c>
      <c r="D446" s="12">
        <f>IF(ISNUMBER(FC446),INDIRECT("SamplesX!D"&amp;FC446),IF(ISNUMBER(FD446),INDIRECT("SamplesY!D"&amp;FD446),""))</f>
        <v/>
      </c>
      <c r="E446" s="12">
        <f>IF(ISNUMBER(FC446),INDIRECT("SamplesX!E"&amp;FC446),IF(ISNUMBER(FD446),INDIRECT("SamplesY!E"&amp;FD446),""))</f>
        <v/>
      </c>
      <c r="F446" s="11">
        <f>IF(ISNUMBER(FC446),INDIRECT("SamplesX!F"&amp;FC446),IF(ISNUMBER(FD446),INDIRECT("SamplesY!F"&amp;FD446),""))</f>
        <v/>
      </c>
      <c r="G446" s="18">
        <f>IF(ISNUMBER(FC446),INDIRECT("SamplesX!G"&amp;FC446),IF(ISNUMBER(FD446),INDIRECT("SamplesY!G"&amp;FD446),""))</f>
        <v/>
      </c>
      <c r="H446" s="19">
        <f>IF(ISNUMBER(FC446),INDIRECT("SamplesX!H"&amp;FC446),IF(ISNUMBER(FD446),INDIRECT("SamplesY!H"&amp;FD446),""))</f>
        <v/>
      </c>
      <c r="I446" s="16" t="n"/>
      <c r="J446" s="16" t="n"/>
      <c r="K446" s="16" t="n"/>
      <c r="L446" s="20" t="n"/>
      <c r="M446" s="20" t="inlineStr">
        <is>
          <t>None</t>
        </is>
      </c>
      <c r="N446" s="17" t="n"/>
      <c r="O446" s="16" t="n"/>
      <c r="P446" s="20" t="inlineStr">
        <is>
          <t>Shimadzu TOC-L</t>
        </is>
      </c>
      <c r="Q446" s="20" t="inlineStr">
        <is>
          <t>None</t>
        </is>
      </c>
      <c r="R446" s="17" t="n"/>
      <c r="S446" s="16" t="n"/>
      <c r="T446" s="20" t="inlineStr">
        <is>
          <t>Shimadzu TOC-L</t>
        </is>
      </c>
      <c r="U446" s="20" t="inlineStr">
        <is>
          <t>None</t>
        </is>
      </c>
      <c r="V446" s="17" t="n"/>
      <c r="W446" s="16" t="n"/>
      <c r="X446" s="20" t="n"/>
      <c r="Y446" s="20" t="inlineStr">
        <is>
          <t>None</t>
        </is>
      </c>
      <c r="Z446" s="17" t="n"/>
      <c r="AA446" s="16" t="n"/>
      <c r="AB446" s="20" t="n"/>
      <c r="AC446" s="20" t="inlineStr">
        <is>
          <t>None</t>
        </is>
      </c>
      <c r="AD446" s="17" t="n"/>
      <c r="AE446" s="16" t="n"/>
      <c r="AF446" s="20" t="inlineStr">
        <is>
          <t>IC Anionen</t>
        </is>
      </c>
      <c r="AG446" s="20" t="inlineStr">
        <is>
          <t>None</t>
        </is>
      </c>
      <c r="AH446" s="17" t="n"/>
      <c r="AI446" s="16" t="n"/>
      <c r="AJ446" s="20" t="n"/>
      <c r="AK446" s="20" t="inlineStr">
        <is>
          <t>None</t>
        </is>
      </c>
      <c r="AL446" s="17" t="n"/>
      <c r="AM446" s="16" t="n"/>
      <c r="AN446" s="20" t="inlineStr">
        <is>
          <t>IC Anionen</t>
        </is>
      </c>
      <c r="AO446" s="20" t="inlineStr">
        <is>
          <t>None</t>
        </is>
      </c>
      <c r="AP446" s="17" t="n"/>
      <c r="AQ446" s="16" t="n"/>
      <c r="AR446" s="20" t="n"/>
      <c r="AS446" s="20" t="inlineStr">
        <is>
          <t>None</t>
        </is>
      </c>
      <c r="AT446" s="17" t="n"/>
      <c r="AU446" s="16" t="n"/>
      <c r="AV446" s="20" t="n"/>
      <c r="AW446" s="20" t="inlineStr">
        <is>
          <t>None</t>
        </is>
      </c>
      <c r="AX446" s="17" t="n"/>
      <c r="AY446" s="16" t="n"/>
      <c r="AZ446" s="20" t="inlineStr">
        <is>
          <t>IC Anionen</t>
        </is>
      </c>
      <c r="BA446" s="20" t="inlineStr">
        <is>
          <t>None</t>
        </is>
      </c>
      <c r="BB446" s="17" t="n"/>
      <c r="BC446" s="16" t="n"/>
      <c r="BD446" s="20" t="inlineStr">
        <is>
          <t>IC Kationen</t>
        </is>
      </c>
      <c r="BE446" s="20" t="inlineStr">
        <is>
          <t>None</t>
        </is>
      </c>
      <c r="BF446" s="17" t="n"/>
      <c r="BG446" s="16" t="n"/>
      <c r="BH446" s="20" t="inlineStr">
        <is>
          <t>IC Kationen</t>
        </is>
      </c>
      <c r="BI446" s="20" t="inlineStr">
        <is>
          <t>None</t>
        </is>
      </c>
      <c r="BJ446" s="17" t="n"/>
      <c r="BK446" s="16" t="n"/>
      <c r="BL446" s="20" t="inlineStr">
        <is>
          <t>IC Kationen</t>
        </is>
      </c>
      <c r="BM446" s="20" t="inlineStr">
        <is>
          <t>None</t>
        </is>
      </c>
      <c r="BN446" s="17" t="n"/>
      <c r="BO446" s="16" t="n"/>
      <c r="BP446" s="20" t="inlineStr">
        <is>
          <t>IC Kationen</t>
        </is>
      </c>
      <c r="BQ446" s="20" t="inlineStr">
        <is>
          <t>None</t>
        </is>
      </c>
      <c r="BR446" s="17" t="n"/>
      <c r="BS446" s="16" t="n"/>
      <c r="BT446" s="20" t="inlineStr">
        <is>
          <t>IC Kationen</t>
        </is>
      </c>
      <c r="BU446" s="20" t="inlineStr">
        <is>
          <t>None</t>
        </is>
      </c>
      <c r="BV446" s="17" t="n"/>
      <c r="BW446" s="16" t="n"/>
      <c r="BX446" s="20" t="n"/>
      <c r="BY446" s="20" t="inlineStr">
        <is>
          <t>None</t>
        </is>
      </c>
      <c r="BZ446" s="17" t="n"/>
      <c r="CA446" s="16" t="n"/>
      <c r="CB446" s="20" t="n"/>
      <c r="CC446" s="20" t="inlineStr">
        <is>
          <t>None</t>
        </is>
      </c>
      <c r="CD446" s="17" t="n"/>
      <c r="CE446" s="16" t="n"/>
      <c r="CF446" s="20" t="n"/>
      <c r="CG446" s="20" t="inlineStr">
        <is>
          <t>None</t>
        </is>
      </c>
      <c r="CH446" s="17" t="n"/>
      <c r="CI446" s="16" t="n"/>
      <c r="CJ446" s="20" t="n"/>
      <c r="CK446" s="20" t="inlineStr">
        <is>
          <t>None</t>
        </is>
      </c>
      <c r="CL446" s="17" t="n"/>
      <c r="CM446" s="16" t="n"/>
      <c r="CN446" s="20" t="inlineStr">
        <is>
          <t>SOP 45-34</t>
        </is>
      </c>
      <c r="CO446" s="20" t="inlineStr">
        <is>
          <t>None</t>
        </is>
      </c>
      <c r="CP446" s="17" t="n"/>
      <c r="CQ446" s="16" t="n"/>
      <c r="CR446" s="20" t="n"/>
      <c r="CS446" s="20" t="inlineStr">
        <is>
          <t>None</t>
        </is>
      </c>
      <c r="CT446" s="17" t="n"/>
      <c r="CU446" s="16" t="n"/>
      <c r="CV446" s="20" t="n"/>
      <c r="CW446" s="20" t="inlineStr">
        <is>
          <t>None</t>
        </is>
      </c>
      <c r="CX446" s="17" t="n"/>
      <c r="CY446" s="16" t="n"/>
      <c r="CZ446" s="20" t="inlineStr">
        <is>
          <t>WTW Multimeter 3430 with FDO 925</t>
        </is>
      </c>
      <c r="DA446" s="20" t="inlineStr">
        <is>
          <t>None</t>
        </is>
      </c>
      <c r="DB446" s="17" t="n"/>
      <c r="DC446" s="16" t="n"/>
      <c r="DD446" s="20" t="n"/>
      <c r="DE446" s="20" t="inlineStr">
        <is>
          <t>None</t>
        </is>
      </c>
      <c r="DF446" s="17" t="n"/>
      <c r="DG446" s="16" t="n"/>
      <c r="DH446" s="20" t="inlineStr">
        <is>
          <t>SOP 45-09</t>
        </is>
      </c>
      <c r="DI446" s="20" t="inlineStr">
        <is>
          <t>None</t>
        </is>
      </c>
      <c r="DJ446" s="17" t="n"/>
      <c r="DK446" s="16" t="n"/>
      <c r="DL446" s="20" t="inlineStr">
        <is>
          <t>SOP 45-09 (SOP muss noch angepasst werden für VSS)</t>
        </is>
      </c>
      <c r="DM446" s="20" t="inlineStr">
        <is>
          <t>None</t>
        </is>
      </c>
      <c r="DN446" s="17" t="n"/>
      <c r="DO446" s="16" t="n"/>
      <c r="DP446" s="20" t="inlineStr">
        <is>
          <t>IC Organic Acids</t>
        </is>
      </c>
      <c r="DQ446" s="20" t="inlineStr">
        <is>
          <t>None</t>
        </is>
      </c>
      <c r="DR446" s="17" t="n"/>
      <c r="DS446" s="16" t="n"/>
      <c r="DT446" s="20" t="inlineStr">
        <is>
          <t>IC Organic Acids</t>
        </is>
      </c>
      <c r="DU446" s="20" t="inlineStr">
        <is>
          <t>None</t>
        </is>
      </c>
      <c r="DV446" s="17" t="n"/>
      <c r="DW446" s="16" t="n"/>
      <c r="DX446" s="20" t="inlineStr">
        <is>
          <t>IC Organic Acids</t>
        </is>
      </c>
      <c r="DY446" s="20" t="inlineStr">
        <is>
          <t>None</t>
        </is>
      </c>
      <c r="DZ446" s="17" t="n"/>
      <c r="EA446" s="16" t="n"/>
      <c r="EB446" s="20" t="inlineStr">
        <is>
          <t>IC Organic Acids</t>
        </is>
      </c>
      <c r="EC446" s="20" t="inlineStr">
        <is>
          <t>None</t>
        </is>
      </c>
      <c r="ED446" s="17" t="n"/>
      <c r="EE446" s="16" t="n"/>
      <c r="EF446" s="20" t="inlineStr">
        <is>
          <t>IC Organic Acids</t>
        </is>
      </c>
      <c r="EG446" s="20" t="inlineStr">
        <is>
          <t>None</t>
        </is>
      </c>
      <c r="EH446" s="17" t="n"/>
      <c r="EI446" s="16" t="n"/>
      <c r="EJ446" s="20" t="inlineStr">
        <is>
          <t>IC Organic Acids</t>
        </is>
      </c>
      <c r="EK446" s="20" t="inlineStr">
        <is>
          <t>None</t>
        </is>
      </c>
      <c r="EL446" s="17" t="n"/>
      <c r="EM446" s="16" t="n"/>
      <c r="EN446" s="20" t="inlineStr">
        <is>
          <t>IC Organic Acids</t>
        </is>
      </c>
      <c r="EO446" s="20" t="inlineStr">
        <is>
          <t>None</t>
        </is>
      </c>
      <c r="EP446" s="17" t="n"/>
      <c r="EQ446" s="16" t="n"/>
      <c r="ER446" s="20" t="inlineStr">
        <is>
          <t>IC Organic Acids</t>
        </is>
      </c>
      <c r="ES446" s="20" t="inlineStr">
        <is>
          <t>None</t>
        </is>
      </c>
      <c r="ET446" s="17" t="n"/>
      <c r="EU446" s="16" t="n"/>
      <c r="EV446" s="20" t="inlineStr">
        <is>
          <t>LC-MS</t>
        </is>
      </c>
      <c r="EW446" s="20" t="inlineStr">
        <is>
          <t>None</t>
        </is>
      </c>
      <c r="EX446" s="17" t="n"/>
      <c r="EY446" s="21" t="n"/>
      <c r="EZ446">
        <f>CONCATENATE(A446,B446)</f>
        <v/>
      </c>
      <c r="FA446">
        <f>CONCATENATE(SamplesX!A446,SamplesX!B446)</f>
        <v/>
      </c>
      <c r="FC446">
        <f>MATCH(EZ446,FA1:FA1008,0)</f>
        <v/>
      </c>
    </row>
    <row r="447">
      <c r="A447" s="16" t="inlineStr">
        <is>
          <t>BP</t>
        </is>
      </c>
      <c r="B447" s="17" t="inlineStr">
        <is>
          <t>25439</t>
        </is>
      </c>
      <c r="C447" s="10">
        <f>IF(ISNUMBER(FC447),INDIRECT("SamplesX!C"&amp;FC447),IF(ISNUMBER(FD447),INDIRECT("SamplesY!C"&amp;FD447),""))</f>
        <v/>
      </c>
      <c r="D447" s="12">
        <f>IF(ISNUMBER(FC447),INDIRECT("SamplesX!D"&amp;FC447),IF(ISNUMBER(FD447),INDIRECT("SamplesY!D"&amp;FD447),""))</f>
        <v/>
      </c>
      <c r="E447" s="12">
        <f>IF(ISNUMBER(FC447),INDIRECT("SamplesX!E"&amp;FC447),IF(ISNUMBER(FD447),INDIRECT("SamplesY!E"&amp;FD447),""))</f>
        <v/>
      </c>
      <c r="F447" s="11">
        <f>IF(ISNUMBER(FC447),INDIRECT("SamplesX!F"&amp;FC447),IF(ISNUMBER(FD447),INDIRECT("SamplesY!F"&amp;FD447),""))</f>
        <v/>
      </c>
      <c r="G447" s="18">
        <f>IF(ISNUMBER(FC447),INDIRECT("SamplesX!G"&amp;FC447),IF(ISNUMBER(FD447),INDIRECT("SamplesY!G"&amp;FD447),""))</f>
        <v/>
      </c>
      <c r="H447" s="19">
        <f>IF(ISNUMBER(FC447),INDIRECT("SamplesX!H"&amp;FC447),IF(ISNUMBER(FD447),INDIRECT("SamplesY!H"&amp;FD447),""))</f>
        <v/>
      </c>
      <c r="I447" s="16" t="n"/>
      <c r="J447" s="16" t="n"/>
      <c r="K447" s="16" t="n"/>
      <c r="L447" s="20" t="n"/>
      <c r="M447" s="20" t="inlineStr">
        <is>
          <t>None</t>
        </is>
      </c>
      <c r="N447" s="17" t="n"/>
      <c r="O447" s="16" t="n"/>
      <c r="P447" s="20" t="inlineStr">
        <is>
          <t>Shimadzu TOC-L</t>
        </is>
      </c>
      <c r="Q447" s="20" t="inlineStr">
        <is>
          <t>None</t>
        </is>
      </c>
      <c r="R447" s="17" t="n"/>
      <c r="S447" s="16" t="n"/>
      <c r="T447" s="20" t="inlineStr">
        <is>
          <t>Shimadzu TOC-L</t>
        </is>
      </c>
      <c r="U447" s="20" t="inlineStr">
        <is>
          <t>None</t>
        </is>
      </c>
      <c r="V447" s="17" t="n"/>
      <c r="W447" s="16" t="n"/>
      <c r="X447" s="20" t="n"/>
      <c r="Y447" s="20" t="inlineStr">
        <is>
          <t>None</t>
        </is>
      </c>
      <c r="Z447" s="17" t="n"/>
      <c r="AA447" s="16" t="n"/>
      <c r="AB447" s="20" t="n"/>
      <c r="AC447" s="20" t="inlineStr">
        <is>
          <t>None</t>
        </is>
      </c>
      <c r="AD447" s="17" t="n"/>
      <c r="AE447" s="16" t="n"/>
      <c r="AF447" s="20" t="inlineStr">
        <is>
          <t>IC Anionen</t>
        </is>
      </c>
      <c r="AG447" s="20" t="inlineStr">
        <is>
          <t>None</t>
        </is>
      </c>
      <c r="AH447" s="17" t="n"/>
      <c r="AI447" s="16" t="n"/>
      <c r="AJ447" s="20" t="n"/>
      <c r="AK447" s="20" t="inlineStr">
        <is>
          <t>None</t>
        </is>
      </c>
      <c r="AL447" s="17" t="n"/>
      <c r="AM447" s="16" t="n"/>
      <c r="AN447" s="20" t="inlineStr">
        <is>
          <t>IC Anionen</t>
        </is>
      </c>
      <c r="AO447" s="20" t="inlineStr">
        <is>
          <t>None</t>
        </is>
      </c>
      <c r="AP447" s="17" t="n"/>
      <c r="AQ447" s="16" t="n"/>
      <c r="AR447" s="20" t="n"/>
      <c r="AS447" s="20" t="inlineStr">
        <is>
          <t>None</t>
        </is>
      </c>
      <c r="AT447" s="17" t="n"/>
      <c r="AU447" s="16" t="n"/>
      <c r="AV447" s="20" t="n"/>
      <c r="AW447" s="20" t="inlineStr">
        <is>
          <t>None</t>
        </is>
      </c>
      <c r="AX447" s="17" t="n"/>
      <c r="AY447" s="16" t="n"/>
      <c r="AZ447" s="20" t="inlineStr">
        <is>
          <t>IC Anionen</t>
        </is>
      </c>
      <c r="BA447" s="20" t="inlineStr">
        <is>
          <t>None</t>
        </is>
      </c>
      <c r="BB447" s="17" t="n"/>
      <c r="BC447" s="16" t="n"/>
      <c r="BD447" s="20" t="inlineStr">
        <is>
          <t>IC Kationen</t>
        </is>
      </c>
      <c r="BE447" s="20" t="inlineStr">
        <is>
          <t>None</t>
        </is>
      </c>
      <c r="BF447" s="17" t="n"/>
      <c r="BG447" s="16" t="n"/>
      <c r="BH447" s="20" t="inlineStr">
        <is>
          <t>IC Kationen</t>
        </is>
      </c>
      <c r="BI447" s="20" t="inlineStr">
        <is>
          <t>None</t>
        </is>
      </c>
      <c r="BJ447" s="17" t="n"/>
      <c r="BK447" s="16" t="n"/>
      <c r="BL447" s="20" t="inlineStr">
        <is>
          <t>IC Kationen</t>
        </is>
      </c>
      <c r="BM447" s="20" t="inlineStr">
        <is>
          <t>None</t>
        </is>
      </c>
      <c r="BN447" s="17" t="n"/>
      <c r="BO447" s="16" t="n"/>
      <c r="BP447" s="20" t="inlineStr">
        <is>
          <t>IC Kationen</t>
        </is>
      </c>
      <c r="BQ447" s="20" t="inlineStr">
        <is>
          <t>None</t>
        </is>
      </c>
      <c r="BR447" s="17" t="n"/>
      <c r="BS447" s="16" t="n"/>
      <c r="BT447" s="20" t="inlineStr">
        <is>
          <t>IC Kationen</t>
        </is>
      </c>
      <c r="BU447" s="20" t="inlineStr">
        <is>
          <t>None</t>
        </is>
      </c>
      <c r="BV447" s="17" t="n"/>
      <c r="BW447" s="16" t="n"/>
      <c r="BX447" s="20" t="n"/>
      <c r="BY447" s="20" t="inlineStr">
        <is>
          <t>None</t>
        </is>
      </c>
      <c r="BZ447" s="17" t="n"/>
      <c r="CA447" s="16" t="n"/>
      <c r="CB447" s="20" t="n"/>
      <c r="CC447" s="20" t="inlineStr">
        <is>
          <t>None</t>
        </is>
      </c>
      <c r="CD447" s="17" t="n"/>
      <c r="CE447" s="16" t="n"/>
      <c r="CF447" s="20" t="n"/>
      <c r="CG447" s="20" t="inlineStr">
        <is>
          <t>None</t>
        </is>
      </c>
      <c r="CH447" s="17" t="n"/>
      <c r="CI447" s="16" t="n"/>
      <c r="CJ447" s="20" t="n"/>
      <c r="CK447" s="20" t="inlineStr">
        <is>
          <t>None</t>
        </is>
      </c>
      <c r="CL447" s="17" t="n"/>
      <c r="CM447" s="16" t="n"/>
      <c r="CN447" s="20" t="inlineStr">
        <is>
          <t>SOP 45-34</t>
        </is>
      </c>
      <c r="CO447" s="20" t="inlineStr">
        <is>
          <t>None</t>
        </is>
      </c>
      <c r="CP447" s="17" t="n"/>
      <c r="CQ447" s="16" t="n"/>
      <c r="CR447" s="20" t="n"/>
      <c r="CS447" s="20" t="inlineStr">
        <is>
          <t>None</t>
        </is>
      </c>
      <c r="CT447" s="17" t="n"/>
      <c r="CU447" s="16" t="n"/>
      <c r="CV447" s="20" t="n"/>
      <c r="CW447" s="20" t="inlineStr">
        <is>
          <t>None</t>
        </is>
      </c>
      <c r="CX447" s="17" t="n"/>
      <c r="CY447" s="16" t="n"/>
      <c r="CZ447" s="20" t="inlineStr">
        <is>
          <t>WTW Multimeter 3430 with FDO 925</t>
        </is>
      </c>
      <c r="DA447" s="20" t="inlineStr">
        <is>
          <t>None</t>
        </is>
      </c>
      <c r="DB447" s="17" t="n"/>
      <c r="DC447" s="16" t="n"/>
      <c r="DD447" s="20" t="n"/>
      <c r="DE447" s="20" t="inlineStr">
        <is>
          <t>None</t>
        </is>
      </c>
      <c r="DF447" s="17" t="n"/>
      <c r="DG447" s="16" t="n"/>
      <c r="DH447" s="20" t="inlineStr">
        <is>
          <t>SOP 45-09</t>
        </is>
      </c>
      <c r="DI447" s="20" t="inlineStr">
        <is>
          <t>None</t>
        </is>
      </c>
      <c r="DJ447" s="17" t="n"/>
      <c r="DK447" s="16" t="n"/>
      <c r="DL447" s="20" t="inlineStr">
        <is>
          <t>SOP 45-09 (SOP muss noch angepasst werden für VSS)</t>
        </is>
      </c>
      <c r="DM447" s="20" t="inlineStr">
        <is>
          <t>None</t>
        </is>
      </c>
      <c r="DN447" s="17" t="n"/>
      <c r="DO447" s="16" t="n"/>
      <c r="DP447" s="20" t="inlineStr">
        <is>
          <t>IC Organic Acids</t>
        </is>
      </c>
      <c r="DQ447" s="20" t="inlineStr">
        <is>
          <t>None</t>
        </is>
      </c>
      <c r="DR447" s="17" t="n"/>
      <c r="DS447" s="16" t="n"/>
      <c r="DT447" s="20" t="inlineStr">
        <is>
          <t>IC Organic Acids</t>
        </is>
      </c>
      <c r="DU447" s="20" t="inlineStr">
        <is>
          <t>None</t>
        </is>
      </c>
      <c r="DV447" s="17" t="n"/>
      <c r="DW447" s="16" t="n"/>
      <c r="DX447" s="20" t="inlineStr">
        <is>
          <t>IC Organic Acids</t>
        </is>
      </c>
      <c r="DY447" s="20" t="inlineStr">
        <is>
          <t>None</t>
        </is>
      </c>
      <c r="DZ447" s="17" t="n"/>
      <c r="EA447" s="16" t="n"/>
      <c r="EB447" s="20" t="inlineStr">
        <is>
          <t>IC Organic Acids</t>
        </is>
      </c>
      <c r="EC447" s="20" t="inlineStr">
        <is>
          <t>None</t>
        </is>
      </c>
      <c r="ED447" s="17" t="n"/>
      <c r="EE447" s="16" t="n"/>
      <c r="EF447" s="20" t="inlineStr">
        <is>
          <t>IC Organic Acids</t>
        </is>
      </c>
      <c r="EG447" s="20" t="inlineStr">
        <is>
          <t>None</t>
        </is>
      </c>
      <c r="EH447" s="17" t="n"/>
      <c r="EI447" s="16" t="n"/>
      <c r="EJ447" s="20" t="inlineStr">
        <is>
          <t>IC Organic Acids</t>
        </is>
      </c>
      <c r="EK447" s="20" t="inlineStr">
        <is>
          <t>None</t>
        </is>
      </c>
      <c r="EL447" s="17" t="n"/>
      <c r="EM447" s="16" t="n"/>
      <c r="EN447" s="20" t="inlineStr">
        <is>
          <t>IC Organic Acids</t>
        </is>
      </c>
      <c r="EO447" s="20" t="inlineStr">
        <is>
          <t>None</t>
        </is>
      </c>
      <c r="EP447" s="17" t="n"/>
      <c r="EQ447" s="16" t="n"/>
      <c r="ER447" s="20" t="inlineStr">
        <is>
          <t>IC Organic Acids</t>
        </is>
      </c>
      <c r="ES447" s="20" t="inlineStr">
        <is>
          <t>None</t>
        </is>
      </c>
      <c r="ET447" s="17" t="n"/>
      <c r="EU447" s="16" t="n"/>
      <c r="EV447" s="20" t="inlineStr">
        <is>
          <t>LC-MS</t>
        </is>
      </c>
      <c r="EW447" s="20" t="inlineStr">
        <is>
          <t>None</t>
        </is>
      </c>
      <c r="EX447" s="17" t="n"/>
      <c r="EY447" s="21" t="n"/>
      <c r="EZ447">
        <f>CONCATENATE(A447,B447)</f>
        <v/>
      </c>
      <c r="FA447">
        <f>CONCATENATE(SamplesX!A447,SamplesX!B447)</f>
        <v/>
      </c>
      <c r="FC447">
        <f>MATCH(EZ447,FA1:FA1008,0)</f>
        <v/>
      </c>
    </row>
    <row r="448">
      <c r="A448" s="16" t="inlineStr">
        <is>
          <t>BP</t>
        </is>
      </c>
      <c r="B448" s="17" t="inlineStr">
        <is>
          <t>25440</t>
        </is>
      </c>
      <c r="C448" s="10">
        <f>IF(ISNUMBER(FC448),INDIRECT("SamplesX!C"&amp;FC448),IF(ISNUMBER(FD448),INDIRECT("SamplesY!C"&amp;FD448),""))</f>
        <v/>
      </c>
      <c r="D448" s="12">
        <f>IF(ISNUMBER(FC448),INDIRECT("SamplesX!D"&amp;FC448),IF(ISNUMBER(FD448),INDIRECT("SamplesY!D"&amp;FD448),""))</f>
        <v/>
      </c>
      <c r="E448" s="12">
        <f>IF(ISNUMBER(FC448),INDIRECT("SamplesX!E"&amp;FC448),IF(ISNUMBER(FD448),INDIRECT("SamplesY!E"&amp;FD448),""))</f>
        <v/>
      </c>
      <c r="F448" s="11">
        <f>IF(ISNUMBER(FC448),INDIRECT("SamplesX!F"&amp;FC448),IF(ISNUMBER(FD448),INDIRECT("SamplesY!F"&amp;FD448),""))</f>
        <v/>
      </c>
      <c r="G448" s="18">
        <f>IF(ISNUMBER(FC448),INDIRECT("SamplesX!G"&amp;FC448),IF(ISNUMBER(FD448),INDIRECT("SamplesY!G"&amp;FD448),""))</f>
        <v/>
      </c>
      <c r="H448" s="19">
        <f>IF(ISNUMBER(FC448),INDIRECT("SamplesX!H"&amp;FC448),IF(ISNUMBER(FD448),INDIRECT("SamplesY!H"&amp;FD448),""))</f>
        <v/>
      </c>
      <c r="I448" s="16" t="n"/>
      <c r="J448" s="16" t="n"/>
      <c r="K448" s="16" t="n"/>
      <c r="L448" s="20" t="n"/>
      <c r="M448" s="20" t="inlineStr">
        <is>
          <t>None</t>
        </is>
      </c>
      <c r="N448" s="17" t="n"/>
      <c r="O448" s="16" t="n"/>
      <c r="P448" s="20" t="inlineStr">
        <is>
          <t>Shimadzu TOC-L</t>
        </is>
      </c>
      <c r="Q448" s="20" t="inlineStr">
        <is>
          <t>None</t>
        </is>
      </c>
      <c r="R448" s="17" t="n"/>
      <c r="S448" s="16" t="n"/>
      <c r="T448" s="20" t="inlineStr">
        <is>
          <t>Shimadzu TOC-L</t>
        </is>
      </c>
      <c r="U448" s="20" t="inlineStr">
        <is>
          <t>None</t>
        </is>
      </c>
      <c r="V448" s="17" t="n"/>
      <c r="W448" s="16" t="n"/>
      <c r="X448" s="20" t="n"/>
      <c r="Y448" s="20" t="inlineStr">
        <is>
          <t>None</t>
        </is>
      </c>
      <c r="Z448" s="17" t="n"/>
      <c r="AA448" s="16" t="n"/>
      <c r="AB448" s="20" t="n"/>
      <c r="AC448" s="20" t="inlineStr">
        <is>
          <t>None</t>
        </is>
      </c>
      <c r="AD448" s="17" t="n"/>
      <c r="AE448" s="16" t="n"/>
      <c r="AF448" s="20" t="inlineStr">
        <is>
          <t>IC Anionen</t>
        </is>
      </c>
      <c r="AG448" s="20" t="inlineStr">
        <is>
          <t>None</t>
        </is>
      </c>
      <c r="AH448" s="17" t="n"/>
      <c r="AI448" s="16" t="n"/>
      <c r="AJ448" s="20" t="n"/>
      <c r="AK448" s="20" t="inlineStr">
        <is>
          <t>None</t>
        </is>
      </c>
      <c r="AL448" s="17" t="n"/>
      <c r="AM448" s="16" t="n"/>
      <c r="AN448" s="20" t="inlineStr">
        <is>
          <t>IC Anionen</t>
        </is>
      </c>
      <c r="AO448" s="20" t="inlineStr">
        <is>
          <t>None</t>
        </is>
      </c>
      <c r="AP448" s="17" t="n"/>
      <c r="AQ448" s="16" t="n"/>
      <c r="AR448" s="20" t="n"/>
      <c r="AS448" s="20" t="inlineStr">
        <is>
          <t>None</t>
        </is>
      </c>
      <c r="AT448" s="17" t="n"/>
      <c r="AU448" s="16" t="n"/>
      <c r="AV448" s="20" t="n"/>
      <c r="AW448" s="20" t="inlineStr">
        <is>
          <t>None</t>
        </is>
      </c>
      <c r="AX448" s="17" t="n"/>
      <c r="AY448" s="16" t="n"/>
      <c r="AZ448" s="20" t="inlineStr">
        <is>
          <t>IC Anionen</t>
        </is>
      </c>
      <c r="BA448" s="20" t="inlineStr">
        <is>
          <t>None</t>
        </is>
      </c>
      <c r="BB448" s="17" t="n"/>
      <c r="BC448" s="16" t="n"/>
      <c r="BD448" s="20" t="inlineStr">
        <is>
          <t>IC Kationen</t>
        </is>
      </c>
      <c r="BE448" s="20" t="inlineStr">
        <is>
          <t>None</t>
        </is>
      </c>
      <c r="BF448" s="17" t="n"/>
      <c r="BG448" s="16" t="n"/>
      <c r="BH448" s="20" t="inlineStr">
        <is>
          <t>IC Kationen</t>
        </is>
      </c>
      <c r="BI448" s="20" t="inlineStr">
        <is>
          <t>None</t>
        </is>
      </c>
      <c r="BJ448" s="17" t="n"/>
      <c r="BK448" s="16" t="n"/>
      <c r="BL448" s="20" t="inlineStr">
        <is>
          <t>IC Kationen</t>
        </is>
      </c>
      <c r="BM448" s="20" t="inlineStr">
        <is>
          <t>None</t>
        </is>
      </c>
      <c r="BN448" s="17" t="n"/>
      <c r="BO448" s="16" t="n"/>
      <c r="BP448" s="20" t="inlineStr">
        <is>
          <t>IC Kationen</t>
        </is>
      </c>
      <c r="BQ448" s="20" t="inlineStr">
        <is>
          <t>None</t>
        </is>
      </c>
      <c r="BR448" s="17" t="n"/>
      <c r="BS448" s="16" t="n"/>
      <c r="BT448" s="20" t="inlineStr">
        <is>
          <t>IC Kationen</t>
        </is>
      </c>
      <c r="BU448" s="20" t="inlineStr">
        <is>
          <t>None</t>
        </is>
      </c>
      <c r="BV448" s="17" t="n"/>
      <c r="BW448" s="16" t="n"/>
      <c r="BX448" s="20" t="n"/>
      <c r="BY448" s="20" t="inlineStr">
        <is>
          <t>None</t>
        </is>
      </c>
      <c r="BZ448" s="17" t="n"/>
      <c r="CA448" s="16" t="n"/>
      <c r="CB448" s="20" t="n"/>
      <c r="CC448" s="20" t="inlineStr">
        <is>
          <t>None</t>
        </is>
      </c>
      <c r="CD448" s="17" t="n"/>
      <c r="CE448" s="16" t="n"/>
      <c r="CF448" s="20" t="n"/>
      <c r="CG448" s="20" t="inlineStr">
        <is>
          <t>None</t>
        </is>
      </c>
      <c r="CH448" s="17" t="n"/>
      <c r="CI448" s="16" t="n"/>
      <c r="CJ448" s="20" t="n"/>
      <c r="CK448" s="20" t="inlineStr">
        <is>
          <t>None</t>
        </is>
      </c>
      <c r="CL448" s="17" t="n"/>
      <c r="CM448" s="16" t="n"/>
      <c r="CN448" s="20" t="inlineStr">
        <is>
          <t>SOP 45-34</t>
        </is>
      </c>
      <c r="CO448" s="20" t="inlineStr">
        <is>
          <t>None</t>
        </is>
      </c>
      <c r="CP448" s="17" t="n"/>
      <c r="CQ448" s="16" t="n"/>
      <c r="CR448" s="20" t="n"/>
      <c r="CS448" s="20" t="inlineStr">
        <is>
          <t>None</t>
        </is>
      </c>
      <c r="CT448" s="17" t="n"/>
      <c r="CU448" s="16" t="n"/>
      <c r="CV448" s="20" t="n"/>
      <c r="CW448" s="20" t="inlineStr">
        <is>
          <t>None</t>
        </is>
      </c>
      <c r="CX448" s="17" t="n"/>
      <c r="CY448" s="16" t="n"/>
      <c r="CZ448" s="20" t="inlineStr">
        <is>
          <t>WTW Multimeter 3430 with FDO 925</t>
        </is>
      </c>
      <c r="DA448" s="20" t="inlineStr">
        <is>
          <t>None</t>
        </is>
      </c>
      <c r="DB448" s="17" t="n"/>
      <c r="DC448" s="16" t="n"/>
      <c r="DD448" s="20" t="n"/>
      <c r="DE448" s="20" t="inlineStr">
        <is>
          <t>None</t>
        </is>
      </c>
      <c r="DF448" s="17" t="n"/>
      <c r="DG448" s="16" t="n"/>
      <c r="DH448" s="20" t="inlineStr">
        <is>
          <t>SOP 45-09</t>
        </is>
      </c>
      <c r="DI448" s="20" t="inlineStr">
        <is>
          <t>None</t>
        </is>
      </c>
      <c r="DJ448" s="17" t="n"/>
      <c r="DK448" s="16" t="n"/>
      <c r="DL448" s="20" t="inlineStr">
        <is>
          <t>SOP 45-09 (SOP muss noch angepasst werden für VSS)</t>
        </is>
      </c>
      <c r="DM448" s="20" t="inlineStr">
        <is>
          <t>None</t>
        </is>
      </c>
      <c r="DN448" s="17" t="n"/>
      <c r="DO448" s="16" t="n"/>
      <c r="DP448" s="20" t="inlineStr">
        <is>
          <t>IC Organic Acids</t>
        </is>
      </c>
      <c r="DQ448" s="20" t="inlineStr">
        <is>
          <t>None</t>
        </is>
      </c>
      <c r="DR448" s="17" t="n"/>
      <c r="DS448" s="16" t="n"/>
      <c r="DT448" s="20" t="inlineStr">
        <is>
          <t>IC Organic Acids</t>
        </is>
      </c>
      <c r="DU448" s="20" t="inlineStr">
        <is>
          <t>None</t>
        </is>
      </c>
      <c r="DV448" s="17" t="n"/>
      <c r="DW448" s="16" t="n"/>
      <c r="DX448" s="20" t="inlineStr">
        <is>
          <t>IC Organic Acids</t>
        </is>
      </c>
      <c r="DY448" s="20" t="inlineStr">
        <is>
          <t>None</t>
        </is>
      </c>
      <c r="DZ448" s="17" t="n"/>
      <c r="EA448" s="16" t="n"/>
      <c r="EB448" s="20" t="inlineStr">
        <is>
          <t>IC Organic Acids</t>
        </is>
      </c>
      <c r="EC448" s="20" t="inlineStr">
        <is>
          <t>None</t>
        </is>
      </c>
      <c r="ED448" s="17" t="n"/>
      <c r="EE448" s="16" t="n"/>
      <c r="EF448" s="20" t="inlineStr">
        <is>
          <t>IC Organic Acids</t>
        </is>
      </c>
      <c r="EG448" s="20" t="inlineStr">
        <is>
          <t>None</t>
        </is>
      </c>
      <c r="EH448" s="17" t="n"/>
      <c r="EI448" s="16" t="n"/>
      <c r="EJ448" s="20" t="inlineStr">
        <is>
          <t>IC Organic Acids</t>
        </is>
      </c>
      <c r="EK448" s="20" t="inlineStr">
        <is>
          <t>None</t>
        </is>
      </c>
      <c r="EL448" s="17" t="n"/>
      <c r="EM448" s="16" t="n"/>
      <c r="EN448" s="20" t="inlineStr">
        <is>
          <t>IC Organic Acids</t>
        </is>
      </c>
      <c r="EO448" s="20" t="inlineStr">
        <is>
          <t>None</t>
        </is>
      </c>
      <c r="EP448" s="17" t="n"/>
      <c r="EQ448" s="16" t="n"/>
      <c r="ER448" s="20" t="inlineStr">
        <is>
          <t>IC Organic Acids</t>
        </is>
      </c>
      <c r="ES448" s="20" t="inlineStr">
        <is>
          <t>None</t>
        </is>
      </c>
      <c r="ET448" s="17" t="n"/>
      <c r="EU448" s="16" t="n"/>
      <c r="EV448" s="20" t="inlineStr">
        <is>
          <t>LC-MS</t>
        </is>
      </c>
      <c r="EW448" s="20" t="inlineStr">
        <is>
          <t>None</t>
        </is>
      </c>
      <c r="EX448" s="17" t="n"/>
      <c r="EY448" s="21" t="n"/>
      <c r="EZ448">
        <f>CONCATENATE(A448,B448)</f>
        <v/>
      </c>
      <c r="FA448">
        <f>CONCATENATE(SamplesX!A448,SamplesX!B448)</f>
        <v/>
      </c>
      <c r="FC448">
        <f>MATCH(EZ448,FA1:FA1008,0)</f>
        <v/>
      </c>
    </row>
    <row r="449">
      <c r="A449" s="16" t="inlineStr">
        <is>
          <t>BP</t>
        </is>
      </c>
      <c r="B449" s="17" t="inlineStr">
        <is>
          <t>25441</t>
        </is>
      </c>
      <c r="C449" s="10">
        <f>IF(ISNUMBER(FC449),INDIRECT("SamplesX!C"&amp;FC449),IF(ISNUMBER(FD449),INDIRECT("SamplesY!C"&amp;FD449),""))</f>
        <v/>
      </c>
      <c r="D449" s="12">
        <f>IF(ISNUMBER(FC449),INDIRECT("SamplesX!D"&amp;FC449),IF(ISNUMBER(FD449),INDIRECT("SamplesY!D"&amp;FD449),""))</f>
        <v/>
      </c>
      <c r="E449" s="12">
        <f>IF(ISNUMBER(FC449),INDIRECT("SamplesX!E"&amp;FC449),IF(ISNUMBER(FD449),INDIRECT("SamplesY!E"&amp;FD449),""))</f>
        <v/>
      </c>
      <c r="F449" s="11">
        <f>IF(ISNUMBER(FC449),INDIRECT("SamplesX!F"&amp;FC449),IF(ISNUMBER(FD449),INDIRECT("SamplesY!F"&amp;FD449),""))</f>
        <v/>
      </c>
      <c r="G449" s="18">
        <f>IF(ISNUMBER(FC449),INDIRECT("SamplesX!G"&amp;FC449),IF(ISNUMBER(FD449),INDIRECT("SamplesY!G"&amp;FD449),""))</f>
        <v/>
      </c>
      <c r="H449" s="19">
        <f>IF(ISNUMBER(FC449),INDIRECT("SamplesX!H"&amp;FC449),IF(ISNUMBER(FD449),INDIRECT("SamplesY!H"&amp;FD449),""))</f>
        <v/>
      </c>
      <c r="I449" s="16" t="n"/>
      <c r="J449" s="16" t="n"/>
      <c r="K449" s="16" t="n"/>
      <c r="L449" s="20" t="n"/>
      <c r="M449" s="20" t="inlineStr">
        <is>
          <t>None</t>
        </is>
      </c>
      <c r="N449" s="17" t="n"/>
      <c r="O449" s="16" t="n"/>
      <c r="P449" s="20" t="inlineStr">
        <is>
          <t>Shimadzu TOC-L</t>
        </is>
      </c>
      <c r="Q449" s="20" t="inlineStr">
        <is>
          <t>None</t>
        </is>
      </c>
      <c r="R449" s="17" t="n"/>
      <c r="S449" s="16" t="n"/>
      <c r="T449" s="20" t="inlineStr">
        <is>
          <t>Shimadzu TOC-L</t>
        </is>
      </c>
      <c r="U449" s="20" t="inlineStr">
        <is>
          <t>None</t>
        </is>
      </c>
      <c r="V449" s="17" t="n"/>
      <c r="W449" s="16" t="n"/>
      <c r="X449" s="20" t="n"/>
      <c r="Y449" s="20" t="inlineStr">
        <is>
          <t>None</t>
        </is>
      </c>
      <c r="Z449" s="17" t="n"/>
      <c r="AA449" s="16" t="n"/>
      <c r="AB449" s="20" t="n"/>
      <c r="AC449" s="20" t="inlineStr">
        <is>
          <t>None</t>
        </is>
      </c>
      <c r="AD449" s="17" t="n"/>
      <c r="AE449" s="16" t="n"/>
      <c r="AF449" s="20" t="inlineStr">
        <is>
          <t>IC Anionen</t>
        </is>
      </c>
      <c r="AG449" s="20" t="inlineStr">
        <is>
          <t>None</t>
        </is>
      </c>
      <c r="AH449" s="17" t="n"/>
      <c r="AI449" s="16" t="n"/>
      <c r="AJ449" s="20" t="n"/>
      <c r="AK449" s="20" t="inlineStr">
        <is>
          <t>None</t>
        </is>
      </c>
      <c r="AL449" s="17" t="n"/>
      <c r="AM449" s="16" t="n"/>
      <c r="AN449" s="20" t="inlineStr">
        <is>
          <t>IC Anionen</t>
        </is>
      </c>
      <c r="AO449" s="20" t="inlineStr">
        <is>
          <t>None</t>
        </is>
      </c>
      <c r="AP449" s="17" t="n"/>
      <c r="AQ449" s="16" t="n"/>
      <c r="AR449" s="20" t="n"/>
      <c r="AS449" s="20" t="inlineStr">
        <is>
          <t>None</t>
        </is>
      </c>
      <c r="AT449" s="17" t="n"/>
      <c r="AU449" s="16" t="n"/>
      <c r="AV449" s="20" t="n"/>
      <c r="AW449" s="20" t="inlineStr">
        <is>
          <t>None</t>
        </is>
      </c>
      <c r="AX449" s="17" t="n"/>
      <c r="AY449" s="16" t="n"/>
      <c r="AZ449" s="20" t="inlineStr">
        <is>
          <t>IC Anionen</t>
        </is>
      </c>
      <c r="BA449" s="20" t="inlineStr">
        <is>
          <t>None</t>
        </is>
      </c>
      <c r="BB449" s="17" t="n"/>
      <c r="BC449" s="16" t="n"/>
      <c r="BD449" s="20" t="inlineStr">
        <is>
          <t>IC Kationen</t>
        </is>
      </c>
      <c r="BE449" s="20" t="inlineStr">
        <is>
          <t>None</t>
        </is>
      </c>
      <c r="BF449" s="17" t="n"/>
      <c r="BG449" s="16" t="n"/>
      <c r="BH449" s="20" t="inlineStr">
        <is>
          <t>IC Kationen</t>
        </is>
      </c>
      <c r="BI449" s="20" t="inlineStr">
        <is>
          <t>None</t>
        </is>
      </c>
      <c r="BJ449" s="17" t="n"/>
      <c r="BK449" s="16" t="n"/>
      <c r="BL449" s="20" t="inlineStr">
        <is>
          <t>IC Kationen</t>
        </is>
      </c>
      <c r="BM449" s="20" t="inlineStr">
        <is>
          <t>None</t>
        </is>
      </c>
      <c r="BN449" s="17" t="n"/>
      <c r="BO449" s="16" t="n"/>
      <c r="BP449" s="20" t="inlineStr">
        <is>
          <t>IC Kationen</t>
        </is>
      </c>
      <c r="BQ449" s="20" t="inlineStr">
        <is>
          <t>None</t>
        </is>
      </c>
      <c r="BR449" s="17" t="n"/>
      <c r="BS449" s="16" t="n"/>
      <c r="BT449" s="20" t="inlineStr">
        <is>
          <t>IC Kationen</t>
        </is>
      </c>
      <c r="BU449" s="20" t="inlineStr">
        <is>
          <t>None</t>
        </is>
      </c>
      <c r="BV449" s="17" t="n"/>
      <c r="BW449" s="16" t="n"/>
      <c r="BX449" s="20" t="n"/>
      <c r="BY449" s="20" t="inlineStr">
        <is>
          <t>None</t>
        </is>
      </c>
      <c r="BZ449" s="17" t="n"/>
      <c r="CA449" s="16" t="n"/>
      <c r="CB449" s="20" t="n"/>
      <c r="CC449" s="20" t="inlineStr">
        <is>
          <t>None</t>
        </is>
      </c>
      <c r="CD449" s="17" t="n"/>
      <c r="CE449" s="16" t="n"/>
      <c r="CF449" s="20" t="n"/>
      <c r="CG449" s="20" t="inlineStr">
        <is>
          <t>None</t>
        </is>
      </c>
      <c r="CH449" s="17" t="n"/>
      <c r="CI449" s="16" t="n"/>
      <c r="CJ449" s="20" t="n"/>
      <c r="CK449" s="20" t="inlineStr">
        <is>
          <t>None</t>
        </is>
      </c>
      <c r="CL449" s="17" t="n"/>
      <c r="CM449" s="16" t="n"/>
      <c r="CN449" s="20" t="inlineStr">
        <is>
          <t>SOP 45-34</t>
        </is>
      </c>
      <c r="CO449" s="20" t="inlineStr">
        <is>
          <t>None</t>
        </is>
      </c>
      <c r="CP449" s="17" t="n"/>
      <c r="CQ449" s="16" t="n"/>
      <c r="CR449" s="20" t="n"/>
      <c r="CS449" s="20" t="inlineStr">
        <is>
          <t>None</t>
        </is>
      </c>
      <c r="CT449" s="17" t="n"/>
      <c r="CU449" s="16" t="n"/>
      <c r="CV449" s="20" t="n"/>
      <c r="CW449" s="20" t="inlineStr">
        <is>
          <t>None</t>
        </is>
      </c>
      <c r="CX449" s="17" t="n"/>
      <c r="CY449" s="16" t="n"/>
      <c r="CZ449" s="20" t="inlineStr">
        <is>
          <t>WTW Multimeter 3430 with FDO 925</t>
        </is>
      </c>
      <c r="DA449" s="20" t="inlineStr">
        <is>
          <t>None</t>
        </is>
      </c>
      <c r="DB449" s="17" t="n"/>
      <c r="DC449" s="16" t="n"/>
      <c r="DD449" s="20" t="n"/>
      <c r="DE449" s="20" t="inlineStr">
        <is>
          <t>None</t>
        </is>
      </c>
      <c r="DF449" s="17" t="n"/>
      <c r="DG449" s="16" t="n"/>
      <c r="DH449" s="20" t="inlineStr">
        <is>
          <t>SOP 45-09</t>
        </is>
      </c>
      <c r="DI449" s="20" t="inlineStr">
        <is>
          <t>None</t>
        </is>
      </c>
      <c r="DJ449" s="17" t="n"/>
      <c r="DK449" s="16" t="n"/>
      <c r="DL449" s="20" t="inlineStr">
        <is>
          <t>SOP 45-09 (SOP muss noch angepasst werden für VSS)</t>
        </is>
      </c>
      <c r="DM449" s="20" t="inlineStr">
        <is>
          <t>None</t>
        </is>
      </c>
      <c r="DN449" s="17" t="n"/>
      <c r="DO449" s="16" t="n"/>
      <c r="DP449" s="20" t="inlineStr">
        <is>
          <t>IC Organic Acids</t>
        </is>
      </c>
      <c r="DQ449" s="20" t="inlineStr">
        <is>
          <t>None</t>
        </is>
      </c>
      <c r="DR449" s="17" t="n"/>
      <c r="DS449" s="16" t="n"/>
      <c r="DT449" s="20" t="inlineStr">
        <is>
          <t>IC Organic Acids</t>
        </is>
      </c>
      <c r="DU449" s="20" t="inlineStr">
        <is>
          <t>None</t>
        </is>
      </c>
      <c r="DV449" s="17" t="n"/>
      <c r="DW449" s="16" t="n"/>
      <c r="DX449" s="20" t="inlineStr">
        <is>
          <t>IC Organic Acids</t>
        </is>
      </c>
      <c r="DY449" s="20" t="inlineStr">
        <is>
          <t>None</t>
        </is>
      </c>
      <c r="DZ449" s="17" t="n"/>
      <c r="EA449" s="16" t="n"/>
      <c r="EB449" s="20" t="inlineStr">
        <is>
          <t>IC Organic Acids</t>
        </is>
      </c>
      <c r="EC449" s="20" t="inlineStr">
        <is>
          <t>None</t>
        </is>
      </c>
      <c r="ED449" s="17" t="n"/>
      <c r="EE449" s="16" t="n"/>
      <c r="EF449" s="20" t="inlineStr">
        <is>
          <t>IC Organic Acids</t>
        </is>
      </c>
      <c r="EG449" s="20" t="inlineStr">
        <is>
          <t>None</t>
        </is>
      </c>
      <c r="EH449" s="17" t="n"/>
      <c r="EI449" s="16" t="n"/>
      <c r="EJ449" s="20" t="inlineStr">
        <is>
          <t>IC Organic Acids</t>
        </is>
      </c>
      <c r="EK449" s="20" t="inlineStr">
        <is>
          <t>None</t>
        </is>
      </c>
      <c r="EL449" s="17" t="n"/>
      <c r="EM449" s="16" t="n"/>
      <c r="EN449" s="20" t="inlineStr">
        <is>
          <t>IC Organic Acids</t>
        </is>
      </c>
      <c r="EO449" s="20" t="inlineStr">
        <is>
          <t>None</t>
        </is>
      </c>
      <c r="EP449" s="17" t="n"/>
      <c r="EQ449" s="16" t="n"/>
      <c r="ER449" s="20" t="inlineStr">
        <is>
          <t>IC Organic Acids</t>
        </is>
      </c>
      <c r="ES449" s="20" t="inlineStr">
        <is>
          <t>None</t>
        </is>
      </c>
      <c r="ET449" s="17" t="n"/>
      <c r="EU449" s="16" t="n"/>
      <c r="EV449" s="20" t="inlineStr">
        <is>
          <t>LC-MS</t>
        </is>
      </c>
      <c r="EW449" s="20" t="inlineStr">
        <is>
          <t>None</t>
        </is>
      </c>
      <c r="EX449" s="17" t="n"/>
      <c r="EY449" s="21" t="n"/>
      <c r="EZ449">
        <f>CONCATENATE(A449,B449)</f>
        <v/>
      </c>
      <c r="FA449">
        <f>CONCATENATE(SamplesX!A449,SamplesX!B449)</f>
        <v/>
      </c>
      <c r="FC449">
        <f>MATCH(EZ449,FA1:FA1008,0)</f>
        <v/>
      </c>
    </row>
    <row r="450">
      <c r="A450" s="16" t="inlineStr">
        <is>
          <t>BP</t>
        </is>
      </c>
      <c r="B450" s="17" t="inlineStr">
        <is>
          <t>25442</t>
        </is>
      </c>
      <c r="C450" s="10">
        <f>IF(ISNUMBER(FC450),INDIRECT("SamplesX!C"&amp;FC450),IF(ISNUMBER(FD450),INDIRECT("SamplesY!C"&amp;FD450),""))</f>
        <v/>
      </c>
      <c r="D450" s="12">
        <f>IF(ISNUMBER(FC450),INDIRECT("SamplesX!D"&amp;FC450),IF(ISNUMBER(FD450),INDIRECT("SamplesY!D"&amp;FD450),""))</f>
        <v/>
      </c>
      <c r="E450" s="12">
        <f>IF(ISNUMBER(FC450),INDIRECT("SamplesX!E"&amp;FC450),IF(ISNUMBER(FD450),INDIRECT("SamplesY!E"&amp;FD450),""))</f>
        <v/>
      </c>
      <c r="F450" s="11">
        <f>IF(ISNUMBER(FC450),INDIRECT("SamplesX!F"&amp;FC450),IF(ISNUMBER(FD450),INDIRECT("SamplesY!F"&amp;FD450),""))</f>
        <v/>
      </c>
      <c r="G450" s="18">
        <f>IF(ISNUMBER(FC450),INDIRECT("SamplesX!G"&amp;FC450),IF(ISNUMBER(FD450),INDIRECT("SamplesY!G"&amp;FD450),""))</f>
        <v/>
      </c>
      <c r="H450" s="19">
        <f>IF(ISNUMBER(FC450),INDIRECT("SamplesX!H"&amp;FC450),IF(ISNUMBER(FD450),INDIRECT("SamplesY!H"&amp;FD450),""))</f>
        <v/>
      </c>
      <c r="I450" s="16" t="n"/>
      <c r="J450" s="16" t="n"/>
      <c r="K450" s="16" t="n"/>
      <c r="L450" s="20" t="n"/>
      <c r="M450" s="20" t="inlineStr">
        <is>
          <t>None</t>
        </is>
      </c>
      <c r="N450" s="17" t="n"/>
      <c r="O450" s="16" t="n"/>
      <c r="P450" s="20" t="inlineStr">
        <is>
          <t>Shimadzu TOC-L</t>
        </is>
      </c>
      <c r="Q450" s="20" t="inlineStr">
        <is>
          <t>None</t>
        </is>
      </c>
      <c r="R450" s="17" t="n"/>
      <c r="S450" s="16" t="n"/>
      <c r="T450" s="20" t="inlineStr">
        <is>
          <t>Shimadzu TOC-L</t>
        </is>
      </c>
      <c r="U450" s="20" t="inlineStr">
        <is>
          <t>None</t>
        </is>
      </c>
      <c r="V450" s="17" t="n"/>
      <c r="W450" s="16" t="n"/>
      <c r="X450" s="20" t="n"/>
      <c r="Y450" s="20" t="inlineStr">
        <is>
          <t>None</t>
        </is>
      </c>
      <c r="Z450" s="17" t="n"/>
      <c r="AA450" s="16" t="n"/>
      <c r="AB450" s="20" t="n"/>
      <c r="AC450" s="20" t="inlineStr">
        <is>
          <t>None</t>
        </is>
      </c>
      <c r="AD450" s="17" t="n"/>
      <c r="AE450" s="16" t="n"/>
      <c r="AF450" s="20" t="inlineStr">
        <is>
          <t>IC Anionen</t>
        </is>
      </c>
      <c r="AG450" s="20" t="inlineStr">
        <is>
          <t>None</t>
        </is>
      </c>
      <c r="AH450" s="17" t="n"/>
      <c r="AI450" s="16" t="n"/>
      <c r="AJ450" s="20" t="n"/>
      <c r="AK450" s="20" t="inlineStr">
        <is>
          <t>None</t>
        </is>
      </c>
      <c r="AL450" s="17" t="n"/>
      <c r="AM450" s="16" t="n"/>
      <c r="AN450" s="20" t="inlineStr">
        <is>
          <t>IC Anionen</t>
        </is>
      </c>
      <c r="AO450" s="20" t="inlineStr">
        <is>
          <t>None</t>
        </is>
      </c>
      <c r="AP450" s="17" t="n"/>
      <c r="AQ450" s="16" t="n"/>
      <c r="AR450" s="20" t="n"/>
      <c r="AS450" s="20" t="inlineStr">
        <is>
          <t>None</t>
        </is>
      </c>
      <c r="AT450" s="17" t="n"/>
      <c r="AU450" s="16" t="n"/>
      <c r="AV450" s="20" t="n"/>
      <c r="AW450" s="20" t="inlineStr">
        <is>
          <t>None</t>
        </is>
      </c>
      <c r="AX450" s="17" t="n"/>
      <c r="AY450" s="16" t="n"/>
      <c r="AZ450" s="20" t="inlineStr">
        <is>
          <t>IC Anionen</t>
        </is>
      </c>
      <c r="BA450" s="20" t="inlineStr">
        <is>
          <t>None</t>
        </is>
      </c>
      <c r="BB450" s="17" t="n"/>
      <c r="BC450" s="16" t="n"/>
      <c r="BD450" s="20" t="inlineStr">
        <is>
          <t>IC Kationen</t>
        </is>
      </c>
      <c r="BE450" s="20" t="inlineStr">
        <is>
          <t>None</t>
        </is>
      </c>
      <c r="BF450" s="17" t="n"/>
      <c r="BG450" s="16" t="n"/>
      <c r="BH450" s="20" t="inlineStr">
        <is>
          <t>IC Kationen</t>
        </is>
      </c>
      <c r="BI450" s="20" t="inlineStr">
        <is>
          <t>None</t>
        </is>
      </c>
      <c r="BJ450" s="17" t="n"/>
      <c r="BK450" s="16" t="n"/>
      <c r="BL450" s="20" t="inlineStr">
        <is>
          <t>IC Kationen</t>
        </is>
      </c>
      <c r="BM450" s="20" t="inlineStr">
        <is>
          <t>None</t>
        </is>
      </c>
      <c r="BN450" s="17" t="n"/>
      <c r="BO450" s="16" t="n"/>
      <c r="BP450" s="20" t="inlineStr">
        <is>
          <t>IC Kationen</t>
        </is>
      </c>
      <c r="BQ450" s="20" t="inlineStr">
        <is>
          <t>None</t>
        </is>
      </c>
      <c r="BR450" s="17" t="n"/>
      <c r="BS450" s="16" t="n"/>
      <c r="BT450" s="20" t="inlineStr">
        <is>
          <t>IC Kationen</t>
        </is>
      </c>
      <c r="BU450" s="20" t="inlineStr">
        <is>
          <t>None</t>
        </is>
      </c>
      <c r="BV450" s="17" t="n"/>
      <c r="BW450" s="16" t="n"/>
      <c r="BX450" s="20" t="n"/>
      <c r="BY450" s="20" t="inlineStr">
        <is>
          <t>None</t>
        </is>
      </c>
      <c r="BZ450" s="17" t="n"/>
      <c r="CA450" s="16" t="n"/>
      <c r="CB450" s="20" t="n"/>
      <c r="CC450" s="20" t="inlineStr">
        <is>
          <t>None</t>
        </is>
      </c>
      <c r="CD450" s="17" t="n"/>
      <c r="CE450" s="16" t="n"/>
      <c r="CF450" s="20" t="n"/>
      <c r="CG450" s="20" t="inlineStr">
        <is>
          <t>None</t>
        </is>
      </c>
      <c r="CH450" s="17" t="n"/>
      <c r="CI450" s="16" t="n"/>
      <c r="CJ450" s="20" t="n"/>
      <c r="CK450" s="20" t="inlineStr">
        <is>
          <t>None</t>
        </is>
      </c>
      <c r="CL450" s="17" t="n"/>
      <c r="CM450" s="16" t="n"/>
      <c r="CN450" s="20" t="inlineStr">
        <is>
          <t>SOP 45-34</t>
        </is>
      </c>
      <c r="CO450" s="20" t="inlineStr">
        <is>
          <t>None</t>
        </is>
      </c>
      <c r="CP450" s="17" t="n"/>
      <c r="CQ450" s="16" t="n"/>
      <c r="CR450" s="20" t="n"/>
      <c r="CS450" s="20" t="inlineStr">
        <is>
          <t>None</t>
        </is>
      </c>
      <c r="CT450" s="17" t="n"/>
      <c r="CU450" s="16" t="n"/>
      <c r="CV450" s="20" t="n"/>
      <c r="CW450" s="20" t="inlineStr">
        <is>
          <t>None</t>
        </is>
      </c>
      <c r="CX450" s="17" t="n"/>
      <c r="CY450" s="16" t="n"/>
      <c r="CZ450" s="20" t="inlineStr">
        <is>
          <t>WTW Multimeter 3430 with FDO 925</t>
        </is>
      </c>
      <c r="DA450" s="20" t="inlineStr">
        <is>
          <t>None</t>
        </is>
      </c>
      <c r="DB450" s="17" t="n"/>
      <c r="DC450" s="16" t="n"/>
      <c r="DD450" s="20" t="n"/>
      <c r="DE450" s="20" t="inlineStr">
        <is>
          <t>None</t>
        </is>
      </c>
      <c r="DF450" s="17" t="n"/>
      <c r="DG450" s="16" t="n"/>
      <c r="DH450" s="20" t="inlineStr">
        <is>
          <t>SOP 45-09</t>
        </is>
      </c>
      <c r="DI450" s="20" t="inlineStr">
        <is>
          <t>None</t>
        </is>
      </c>
      <c r="DJ450" s="17" t="n"/>
      <c r="DK450" s="16" t="n"/>
      <c r="DL450" s="20" t="inlineStr">
        <is>
          <t>SOP 45-09 (SOP muss noch angepasst werden für VSS)</t>
        </is>
      </c>
      <c r="DM450" s="20" t="inlineStr">
        <is>
          <t>None</t>
        </is>
      </c>
      <c r="DN450" s="17" t="n"/>
      <c r="DO450" s="16" t="n"/>
      <c r="DP450" s="20" t="inlineStr">
        <is>
          <t>IC Organic Acids</t>
        </is>
      </c>
      <c r="DQ450" s="20" t="inlineStr">
        <is>
          <t>None</t>
        </is>
      </c>
      <c r="DR450" s="17" t="n"/>
      <c r="DS450" s="16" t="n"/>
      <c r="DT450" s="20" t="inlineStr">
        <is>
          <t>IC Organic Acids</t>
        </is>
      </c>
      <c r="DU450" s="20" t="inlineStr">
        <is>
          <t>None</t>
        </is>
      </c>
      <c r="DV450" s="17" t="n"/>
      <c r="DW450" s="16" t="n"/>
      <c r="DX450" s="20" t="inlineStr">
        <is>
          <t>IC Organic Acids</t>
        </is>
      </c>
      <c r="DY450" s="20" t="inlineStr">
        <is>
          <t>None</t>
        </is>
      </c>
      <c r="DZ450" s="17" t="n"/>
      <c r="EA450" s="16" t="n"/>
      <c r="EB450" s="20" t="inlineStr">
        <is>
          <t>IC Organic Acids</t>
        </is>
      </c>
      <c r="EC450" s="20" t="inlineStr">
        <is>
          <t>None</t>
        </is>
      </c>
      <c r="ED450" s="17" t="n"/>
      <c r="EE450" s="16" t="n"/>
      <c r="EF450" s="20" t="inlineStr">
        <is>
          <t>IC Organic Acids</t>
        </is>
      </c>
      <c r="EG450" s="20" t="inlineStr">
        <is>
          <t>None</t>
        </is>
      </c>
      <c r="EH450" s="17" t="n"/>
      <c r="EI450" s="16" t="n"/>
      <c r="EJ450" s="20" t="inlineStr">
        <is>
          <t>IC Organic Acids</t>
        </is>
      </c>
      <c r="EK450" s="20" t="inlineStr">
        <is>
          <t>None</t>
        </is>
      </c>
      <c r="EL450" s="17" t="n"/>
      <c r="EM450" s="16" t="n"/>
      <c r="EN450" s="20" t="inlineStr">
        <is>
          <t>IC Organic Acids</t>
        </is>
      </c>
      <c r="EO450" s="20" t="inlineStr">
        <is>
          <t>None</t>
        </is>
      </c>
      <c r="EP450" s="17" t="n"/>
      <c r="EQ450" s="16" t="n"/>
      <c r="ER450" s="20" t="inlineStr">
        <is>
          <t>IC Organic Acids</t>
        </is>
      </c>
      <c r="ES450" s="20" t="inlineStr">
        <is>
          <t>None</t>
        </is>
      </c>
      <c r="ET450" s="17" t="n"/>
      <c r="EU450" s="16" t="n"/>
      <c r="EV450" s="20" t="inlineStr">
        <is>
          <t>LC-MS</t>
        </is>
      </c>
      <c r="EW450" s="20" t="inlineStr">
        <is>
          <t>None</t>
        </is>
      </c>
      <c r="EX450" s="17" t="n"/>
      <c r="EY450" s="21" t="n"/>
      <c r="EZ450">
        <f>CONCATENATE(A450,B450)</f>
        <v/>
      </c>
      <c r="FA450">
        <f>CONCATENATE(SamplesX!A450,SamplesX!B450)</f>
        <v/>
      </c>
      <c r="FC450">
        <f>MATCH(EZ450,FA1:FA1008,0)</f>
        <v/>
      </c>
    </row>
    <row r="451">
      <c r="A451" s="16" t="n"/>
      <c r="B451" s="17" t="n"/>
      <c r="C451" s="10">
        <f>IF(ISNUMBER(FC451),INDIRECT("SamplesX!C"&amp;FC451),IF(ISNUMBER(FD451),INDIRECT("SamplesY!C"&amp;FD451),""))</f>
        <v/>
      </c>
      <c r="D451" s="12">
        <f>IF(ISNUMBER(FC451),INDIRECT("SamplesX!D"&amp;FC451),IF(ISNUMBER(FD451),INDIRECT("SamplesY!D"&amp;FD451),""))</f>
        <v/>
      </c>
      <c r="E451" s="12">
        <f>IF(ISNUMBER(FC451),INDIRECT("SamplesX!E"&amp;FC451),IF(ISNUMBER(FD451),INDIRECT("SamplesY!E"&amp;FD451),""))</f>
        <v/>
      </c>
      <c r="F451" s="11">
        <f>IF(ISNUMBER(FC451),INDIRECT("SamplesX!F"&amp;FC451),IF(ISNUMBER(FD451),INDIRECT("SamplesY!F"&amp;FD451),""))</f>
        <v/>
      </c>
      <c r="G451" s="18">
        <f>IF(ISNUMBER(FC451),INDIRECT("SamplesX!G"&amp;FC451),IF(ISNUMBER(FD451),INDIRECT("SamplesY!G"&amp;FD451),""))</f>
        <v/>
      </c>
      <c r="H451" s="19">
        <f>IF(ISNUMBER(FC451),INDIRECT("SamplesX!H"&amp;FC451),IF(ISNUMBER(FD451),INDIRECT("SamplesY!H"&amp;FD451),""))</f>
        <v/>
      </c>
      <c r="I451" s="16" t="n"/>
      <c r="J451" s="16" t="n"/>
      <c r="K451" s="16" t="n"/>
      <c r="L451" s="20" t="n"/>
      <c r="M451" s="20" t="inlineStr">
        <is>
          <t>None</t>
        </is>
      </c>
      <c r="N451" s="17" t="n"/>
      <c r="O451" s="16" t="n"/>
      <c r="P451" s="20" t="inlineStr">
        <is>
          <t>Shimadzu TOC-L</t>
        </is>
      </c>
      <c r="Q451" s="20" t="inlineStr">
        <is>
          <t>None</t>
        </is>
      </c>
      <c r="R451" s="17" t="n"/>
      <c r="S451" s="16" t="n"/>
      <c r="T451" s="20" t="inlineStr">
        <is>
          <t>Shimadzu TOC-L</t>
        </is>
      </c>
      <c r="U451" s="20" t="inlineStr">
        <is>
          <t>None</t>
        </is>
      </c>
      <c r="V451" s="17" t="n"/>
      <c r="W451" s="16" t="n"/>
      <c r="X451" s="20" t="n"/>
      <c r="Y451" s="20" t="inlineStr">
        <is>
          <t>None</t>
        </is>
      </c>
      <c r="Z451" s="17" t="n"/>
      <c r="AA451" s="16" t="n"/>
      <c r="AB451" s="20" t="n"/>
      <c r="AC451" s="20" t="inlineStr">
        <is>
          <t>None</t>
        </is>
      </c>
      <c r="AD451" s="17" t="n"/>
      <c r="AE451" s="16" t="n"/>
      <c r="AF451" s="20" t="inlineStr">
        <is>
          <t>IC Anionen</t>
        </is>
      </c>
      <c r="AG451" s="20" t="inlineStr">
        <is>
          <t>None</t>
        </is>
      </c>
      <c r="AH451" s="17" t="n"/>
      <c r="AI451" s="16" t="n"/>
      <c r="AJ451" s="20" t="n"/>
      <c r="AK451" s="20" t="inlineStr">
        <is>
          <t>None</t>
        </is>
      </c>
      <c r="AL451" s="17" t="n"/>
      <c r="AM451" s="16" t="n"/>
      <c r="AN451" s="20" t="inlineStr">
        <is>
          <t>IC Anionen</t>
        </is>
      </c>
      <c r="AO451" s="20" t="inlineStr">
        <is>
          <t>None</t>
        </is>
      </c>
      <c r="AP451" s="17" t="n"/>
      <c r="AQ451" s="16" t="n"/>
      <c r="AR451" s="20" t="n"/>
      <c r="AS451" s="20" t="inlineStr">
        <is>
          <t>None</t>
        </is>
      </c>
      <c r="AT451" s="17" t="n"/>
      <c r="AU451" s="16" t="n"/>
      <c r="AV451" s="20" t="n"/>
      <c r="AW451" s="20" t="inlineStr">
        <is>
          <t>None</t>
        </is>
      </c>
      <c r="AX451" s="17" t="n"/>
      <c r="AY451" s="16" t="n"/>
      <c r="AZ451" s="20" t="inlineStr">
        <is>
          <t>IC Anionen</t>
        </is>
      </c>
      <c r="BA451" s="20" t="inlineStr">
        <is>
          <t>None</t>
        </is>
      </c>
      <c r="BB451" s="17" t="n"/>
      <c r="BC451" s="16" t="n"/>
      <c r="BD451" s="20" t="inlineStr">
        <is>
          <t>IC Kationen</t>
        </is>
      </c>
      <c r="BE451" s="20" t="inlineStr">
        <is>
          <t>None</t>
        </is>
      </c>
      <c r="BF451" s="17" t="n"/>
      <c r="BG451" s="16" t="n"/>
      <c r="BH451" s="20" t="inlineStr">
        <is>
          <t>IC Kationen</t>
        </is>
      </c>
      <c r="BI451" s="20" t="inlineStr">
        <is>
          <t>None</t>
        </is>
      </c>
      <c r="BJ451" s="17" t="n"/>
      <c r="BK451" s="16" t="n"/>
      <c r="BL451" s="20" t="inlineStr">
        <is>
          <t>IC Kationen</t>
        </is>
      </c>
      <c r="BM451" s="20" t="inlineStr">
        <is>
          <t>None</t>
        </is>
      </c>
      <c r="BN451" s="17" t="n"/>
      <c r="BO451" s="16" t="n"/>
      <c r="BP451" s="20" t="inlineStr">
        <is>
          <t>IC Kationen</t>
        </is>
      </c>
      <c r="BQ451" s="20" t="inlineStr">
        <is>
          <t>None</t>
        </is>
      </c>
      <c r="BR451" s="17" t="n"/>
      <c r="BS451" s="16" t="n"/>
      <c r="BT451" s="20" t="inlineStr">
        <is>
          <t>IC Kationen</t>
        </is>
      </c>
      <c r="BU451" s="20" t="inlineStr">
        <is>
          <t>None</t>
        </is>
      </c>
      <c r="BV451" s="17" t="n"/>
      <c r="BW451" s="16" t="n"/>
      <c r="BX451" s="20" t="n"/>
      <c r="BY451" s="20" t="inlineStr">
        <is>
          <t>None</t>
        </is>
      </c>
      <c r="BZ451" s="17" t="n"/>
      <c r="CA451" s="16" t="n"/>
      <c r="CB451" s="20" t="n"/>
      <c r="CC451" s="20" t="inlineStr">
        <is>
          <t>None</t>
        </is>
      </c>
      <c r="CD451" s="17" t="n"/>
      <c r="CE451" s="16" t="n"/>
      <c r="CF451" s="20" t="n"/>
      <c r="CG451" s="20" t="inlineStr">
        <is>
          <t>None</t>
        </is>
      </c>
      <c r="CH451" s="17" t="n"/>
      <c r="CI451" s="16" t="n"/>
      <c r="CJ451" s="20" t="n"/>
      <c r="CK451" s="20" t="inlineStr">
        <is>
          <t>None</t>
        </is>
      </c>
      <c r="CL451" s="17" t="n"/>
      <c r="CM451" s="16" t="n"/>
      <c r="CN451" s="20" t="inlineStr">
        <is>
          <t>SOP 45-34</t>
        </is>
      </c>
      <c r="CO451" s="20" t="inlineStr">
        <is>
          <t>None</t>
        </is>
      </c>
      <c r="CP451" s="17" t="n"/>
      <c r="CQ451" s="16" t="n"/>
      <c r="CR451" s="20" t="n"/>
      <c r="CS451" s="20" t="inlineStr">
        <is>
          <t>None</t>
        </is>
      </c>
      <c r="CT451" s="17" t="n"/>
      <c r="CU451" s="16" t="n"/>
      <c r="CV451" s="20" t="n"/>
      <c r="CW451" s="20" t="inlineStr">
        <is>
          <t>None</t>
        </is>
      </c>
      <c r="CX451" s="17" t="n"/>
      <c r="CY451" s="16" t="n"/>
      <c r="CZ451" s="20" t="inlineStr">
        <is>
          <t>WTW Multimeter 3430 with FDO 925</t>
        </is>
      </c>
      <c r="DA451" s="20" t="inlineStr">
        <is>
          <t>None</t>
        </is>
      </c>
      <c r="DB451" s="17" t="n"/>
      <c r="DC451" s="16" t="n"/>
      <c r="DD451" s="20" t="n"/>
      <c r="DE451" s="20" t="inlineStr">
        <is>
          <t>None</t>
        </is>
      </c>
      <c r="DF451" s="17" t="n"/>
      <c r="DG451" s="16" t="n"/>
      <c r="DH451" s="20" t="inlineStr">
        <is>
          <t>SOP 45-09</t>
        </is>
      </c>
      <c r="DI451" s="20" t="inlineStr">
        <is>
          <t>None</t>
        </is>
      </c>
      <c r="DJ451" s="17" t="n"/>
      <c r="DK451" s="16" t="n"/>
      <c r="DL451" s="20" t="inlineStr">
        <is>
          <t>SOP 45-09 (SOP muss noch angepasst werden für VSS)</t>
        </is>
      </c>
      <c r="DM451" s="20" t="inlineStr">
        <is>
          <t>None</t>
        </is>
      </c>
      <c r="DN451" s="17" t="n"/>
      <c r="DO451" s="16" t="n"/>
      <c r="DP451" s="20" t="inlineStr">
        <is>
          <t>IC Organic Acids</t>
        </is>
      </c>
      <c r="DQ451" s="20" t="inlineStr">
        <is>
          <t>None</t>
        </is>
      </c>
      <c r="DR451" s="17" t="n"/>
      <c r="DS451" s="16" t="n"/>
      <c r="DT451" s="20" t="inlineStr">
        <is>
          <t>IC Organic Acids</t>
        </is>
      </c>
      <c r="DU451" s="20" t="inlineStr">
        <is>
          <t>None</t>
        </is>
      </c>
      <c r="DV451" s="17" t="n"/>
      <c r="DW451" s="16" t="n"/>
      <c r="DX451" s="20" t="inlineStr">
        <is>
          <t>IC Organic Acids</t>
        </is>
      </c>
      <c r="DY451" s="20" t="inlineStr">
        <is>
          <t>None</t>
        </is>
      </c>
      <c r="DZ451" s="17" t="n"/>
      <c r="EA451" s="16" t="n"/>
      <c r="EB451" s="20" t="inlineStr">
        <is>
          <t>IC Organic Acids</t>
        </is>
      </c>
      <c r="EC451" s="20" t="inlineStr">
        <is>
          <t>None</t>
        </is>
      </c>
      <c r="ED451" s="17" t="n"/>
      <c r="EE451" s="16" t="n"/>
      <c r="EF451" s="20" t="inlineStr">
        <is>
          <t>IC Organic Acids</t>
        </is>
      </c>
      <c r="EG451" s="20" t="inlineStr">
        <is>
          <t>None</t>
        </is>
      </c>
      <c r="EH451" s="17" t="n"/>
      <c r="EI451" s="16" t="n"/>
      <c r="EJ451" s="20" t="inlineStr">
        <is>
          <t>IC Organic Acids</t>
        </is>
      </c>
      <c r="EK451" s="20" t="inlineStr">
        <is>
          <t>None</t>
        </is>
      </c>
      <c r="EL451" s="17" t="n"/>
      <c r="EM451" s="16" t="n"/>
      <c r="EN451" s="20" t="inlineStr">
        <is>
          <t>IC Organic Acids</t>
        </is>
      </c>
      <c r="EO451" s="20" t="inlineStr">
        <is>
          <t>None</t>
        </is>
      </c>
      <c r="EP451" s="17" t="n"/>
      <c r="EQ451" s="16" t="n"/>
      <c r="ER451" s="20" t="inlineStr">
        <is>
          <t>IC Organic Acids</t>
        </is>
      </c>
      <c r="ES451" s="20" t="inlineStr">
        <is>
          <t>None</t>
        </is>
      </c>
      <c r="ET451" s="17" t="n"/>
      <c r="EU451" s="16" t="n"/>
      <c r="EV451" s="20" t="inlineStr">
        <is>
          <t>LC-MS</t>
        </is>
      </c>
      <c r="EW451" s="20" t="inlineStr">
        <is>
          <t>None</t>
        </is>
      </c>
      <c r="EX451" s="17" t="n"/>
      <c r="EY451" s="21" t="n"/>
      <c r="EZ451">
        <f>CONCATENATE(A451,B451)</f>
        <v/>
      </c>
      <c r="FA451">
        <f>CONCATENATE(SamplesX!A451,SamplesX!B451)</f>
        <v/>
      </c>
      <c r="FC451">
        <f>MATCH(EZ451,FA1:FA1008,0)</f>
        <v/>
      </c>
    </row>
    <row r="452">
      <c r="A452" s="16" t="n"/>
      <c r="B452" s="17" t="n"/>
      <c r="C452" s="10">
        <f>IF(ISNUMBER(FC452),INDIRECT("SamplesX!C"&amp;FC452),IF(ISNUMBER(FD452),INDIRECT("SamplesY!C"&amp;FD452),""))</f>
        <v/>
      </c>
      <c r="D452" s="12">
        <f>IF(ISNUMBER(FC452),INDIRECT("SamplesX!D"&amp;FC452),IF(ISNUMBER(FD452),INDIRECT("SamplesY!D"&amp;FD452),""))</f>
        <v/>
      </c>
      <c r="E452" s="12">
        <f>IF(ISNUMBER(FC452),INDIRECT("SamplesX!E"&amp;FC452),IF(ISNUMBER(FD452),INDIRECT("SamplesY!E"&amp;FD452),""))</f>
        <v/>
      </c>
      <c r="F452" s="11">
        <f>IF(ISNUMBER(FC452),INDIRECT("SamplesX!F"&amp;FC452),IF(ISNUMBER(FD452),INDIRECT("SamplesY!F"&amp;FD452),""))</f>
        <v/>
      </c>
      <c r="G452" s="18">
        <f>IF(ISNUMBER(FC452),INDIRECT("SamplesX!G"&amp;FC452),IF(ISNUMBER(FD452),INDIRECT("SamplesY!G"&amp;FD452),""))</f>
        <v/>
      </c>
      <c r="H452" s="19">
        <f>IF(ISNUMBER(FC452),INDIRECT("SamplesX!H"&amp;FC452),IF(ISNUMBER(FD452),INDIRECT("SamplesY!H"&amp;FD452),""))</f>
        <v/>
      </c>
      <c r="I452" s="16" t="n"/>
      <c r="J452" s="16" t="n"/>
      <c r="K452" s="16" t="n"/>
      <c r="L452" s="20" t="n"/>
      <c r="M452" s="20" t="inlineStr">
        <is>
          <t>None</t>
        </is>
      </c>
      <c r="N452" s="17" t="n"/>
      <c r="O452" s="16" t="n"/>
      <c r="P452" s="20" t="inlineStr">
        <is>
          <t>Shimadzu TOC-L</t>
        </is>
      </c>
      <c r="Q452" s="20" t="inlineStr">
        <is>
          <t>None</t>
        </is>
      </c>
      <c r="R452" s="17" t="n"/>
      <c r="S452" s="16" t="n"/>
      <c r="T452" s="20" t="inlineStr">
        <is>
          <t>Shimadzu TOC-L</t>
        </is>
      </c>
      <c r="U452" s="20" t="inlineStr">
        <is>
          <t>None</t>
        </is>
      </c>
      <c r="V452" s="17" t="n"/>
      <c r="W452" s="16" t="n"/>
      <c r="X452" s="20" t="n"/>
      <c r="Y452" s="20" t="inlineStr">
        <is>
          <t>None</t>
        </is>
      </c>
      <c r="Z452" s="17" t="n"/>
      <c r="AA452" s="16" t="n"/>
      <c r="AB452" s="20" t="n"/>
      <c r="AC452" s="20" t="inlineStr">
        <is>
          <t>None</t>
        </is>
      </c>
      <c r="AD452" s="17" t="n"/>
      <c r="AE452" s="16" t="n"/>
      <c r="AF452" s="20" t="inlineStr">
        <is>
          <t>IC Anionen</t>
        </is>
      </c>
      <c r="AG452" s="20" t="inlineStr">
        <is>
          <t>None</t>
        </is>
      </c>
      <c r="AH452" s="17" t="n"/>
      <c r="AI452" s="16" t="n"/>
      <c r="AJ452" s="20" t="n"/>
      <c r="AK452" s="20" t="inlineStr">
        <is>
          <t>None</t>
        </is>
      </c>
      <c r="AL452" s="17" t="n"/>
      <c r="AM452" s="16" t="n"/>
      <c r="AN452" s="20" t="inlineStr">
        <is>
          <t>IC Anionen</t>
        </is>
      </c>
      <c r="AO452" s="20" t="inlineStr">
        <is>
          <t>None</t>
        </is>
      </c>
      <c r="AP452" s="17" t="n"/>
      <c r="AQ452" s="16" t="n"/>
      <c r="AR452" s="20" t="n"/>
      <c r="AS452" s="20" t="inlineStr">
        <is>
          <t>None</t>
        </is>
      </c>
      <c r="AT452" s="17" t="n"/>
      <c r="AU452" s="16" t="n"/>
      <c r="AV452" s="20" t="n"/>
      <c r="AW452" s="20" t="inlineStr">
        <is>
          <t>None</t>
        </is>
      </c>
      <c r="AX452" s="17" t="n"/>
      <c r="AY452" s="16" t="n"/>
      <c r="AZ452" s="20" t="inlineStr">
        <is>
          <t>IC Anionen</t>
        </is>
      </c>
      <c r="BA452" s="20" t="inlineStr">
        <is>
          <t>None</t>
        </is>
      </c>
      <c r="BB452" s="17" t="n"/>
      <c r="BC452" s="16" t="n"/>
      <c r="BD452" s="20" t="inlineStr">
        <is>
          <t>IC Kationen</t>
        </is>
      </c>
      <c r="BE452" s="20" t="inlineStr">
        <is>
          <t>None</t>
        </is>
      </c>
      <c r="BF452" s="17" t="n"/>
      <c r="BG452" s="16" t="n"/>
      <c r="BH452" s="20" t="inlineStr">
        <is>
          <t>IC Kationen</t>
        </is>
      </c>
      <c r="BI452" s="20" t="inlineStr">
        <is>
          <t>None</t>
        </is>
      </c>
      <c r="BJ452" s="17" t="n"/>
      <c r="BK452" s="16" t="n"/>
      <c r="BL452" s="20" t="inlineStr">
        <is>
          <t>IC Kationen</t>
        </is>
      </c>
      <c r="BM452" s="20" t="inlineStr">
        <is>
          <t>None</t>
        </is>
      </c>
      <c r="BN452" s="17" t="n"/>
      <c r="BO452" s="16" t="n"/>
      <c r="BP452" s="20" t="inlineStr">
        <is>
          <t>IC Kationen</t>
        </is>
      </c>
      <c r="BQ452" s="20" t="inlineStr">
        <is>
          <t>None</t>
        </is>
      </c>
      <c r="BR452" s="17" t="n"/>
      <c r="BS452" s="16" t="n"/>
      <c r="BT452" s="20" t="inlineStr">
        <is>
          <t>IC Kationen</t>
        </is>
      </c>
      <c r="BU452" s="20" t="inlineStr">
        <is>
          <t>None</t>
        </is>
      </c>
      <c r="BV452" s="17" t="n"/>
      <c r="BW452" s="16" t="n"/>
      <c r="BX452" s="20" t="n"/>
      <c r="BY452" s="20" t="inlineStr">
        <is>
          <t>None</t>
        </is>
      </c>
      <c r="BZ452" s="17" t="n"/>
      <c r="CA452" s="16" t="n"/>
      <c r="CB452" s="20" t="n"/>
      <c r="CC452" s="20" t="inlineStr">
        <is>
          <t>None</t>
        </is>
      </c>
      <c r="CD452" s="17" t="n"/>
      <c r="CE452" s="16" t="n"/>
      <c r="CF452" s="20" t="n"/>
      <c r="CG452" s="20" t="inlineStr">
        <is>
          <t>None</t>
        </is>
      </c>
      <c r="CH452" s="17" t="n"/>
      <c r="CI452" s="16" t="n"/>
      <c r="CJ452" s="20" t="n"/>
      <c r="CK452" s="20" t="inlineStr">
        <is>
          <t>None</t>
        </is>
      </c>
      <c r="CL452" s="17" t="n"/>
      <c r="CM452" s="16" t="n"/>
      <c r="CN452" s="20" t="inlineStr">
        <is>
          <t>SOP 45-34</t>
        </is>
      </c>
      <c r="CO452" s="20" t="inlineStr">
        <is>
          <t>None</t>
        </is>
      </c>
      <c r="CP452" s="17" t="n"/>
      <c r="CQ452" s="16" t="n"/>
      <c r="CR452" s="20" t="n"/>
      <c r="CS452" s="20" t="inlineStr">
        <is>
          <t>None</t>
        </is>
      </c>
      <c r="CT452" s="17" t="n"/>
      <c r="CU452" s="16" t="n"/>
      <c r="CV452" s="20" t="n"/>
      <c r="CW452" s="20" t="inlineStr">
        <is>
          <t>None</t>
        </is>
      </c>
      <c r="CX452" s="17" t="n"/>
      <c r="CY452" s="16" t="n"/>
      <c r="CZ452" s="20" t="inlineStr">
        <is>
          <t>WTW Multimeter 3430 with FDO 925</t>
        </is>
      </c>
      <c r="DA452" s="20" t="inlineStr">
        <is>
          <t>None</t>
        </is>
      </c>
      <c r="DB452" s="17" t="n"/>
      <c r="DC452" s="16" t="n"/>
      <c r="DD452" s="20" t="n"/>
      <c r="DE452" s="20" t="inlineStr">
        <is>
          <t>None</t>
        </is>
      </c>
      <c r="DF452" s="17" t="n"/>
      <c r="DG452" s="16" t="n"/>
      <c r="DH452" s="20" t="inlineStr">
        <is>
          <t>SOP 45-09</t>
        </is>
      </c>
      <c r="DI452" s="20" t="inlineStr">
        <is>
          <t>None</t>
        </is>
      </c>
      <c r="DJ452" s="17" t="n"/>
      <c r="DK452" s="16" t="n"/>
      <c r="DL452" s="20" t="inlineStr">
        <is>
          <t>SOP 45-09 (SOP muss noch angepasst werden für VSS)</t>
        </is>
      </c>
      <c r="DM452" s="20" t="inlineStr">
        <is>
          <t>None</t>
        </is>
      </c>
      <c r="DN452" s="17" t="n"/>
      <c r="DO452" s="16" t="n"/>
      <c r="DP452" s="20" t="inlineStr">
        <is>
          <t>IC Organic Acids</t>
        </is>
      </c>
      <c r="DQ452" s="20" t="inlineStr">
        <is>
          <t>None</t>
        </is>
      </c>
      <c r="DR452" s="17" t="n"/>
      <c r="DS452" s="16" t="n"/>
      <c r="DT452" s="20" t="inlineStr">
        <is>
          <t>IC Organic Acids</t>
        </is>
      </c>
      <c r="DU452" s="20" t="inlineStr">
        <is>
          <t>None</t>
        </is>
      </c>
      <c r="DV452" s="17" t="n"/>
      <c r="DW452" s="16" t="n"/>
      <c r="DX452" s="20" t="inlineStr">
        <is>
          <t>IC Organic Acids</t>
        </is>
      </c>
      <c r="DY452" s="20" t="inlineStr">
        <is>
          <t>None</t>
        </is>
      </c>
      <c r="DZ452" s="17" t="n"/>
      <c r="EA452" s="16" t="n"/>
      <c r="EB452" s="20" t="inlineStr">
        <is>
          <t>IC Organic Acids</t>
        </is>
      </c>
      <c r="EC452" s="20" t="inlineStr">
        <is>
          <t>None</t>
        </is>
      </c>
      <c r="ED452" s="17" t="n"/>
      <c r="EE452" s="16" t="n"/>
      <c r="EF452" s="20" t="inlineStr">
        <is>
          <t>IC Organic Acids</t>
        </is>
      </c>
      <c r="EG452" s="20" t="inlineStr">
        <is>
          <t>None</t>
        </is>
      </c>
      <c r="EH452" s="17" t="n"/>
      <c r="EI452" s="16" t="n"/>
      <c r="EJ452" s="20" t="inlineStr">
        <is>
          <t>IC Organic Acids</t>
        </is>
      </c>
      <c r="EK452" s="20" t="inlineStr">
        <is>
          <t>None</t>
        </is>
      </c>
      <c r="EL452" s="17" t="n"/>
      <c r="EM452" s="16" t="n"/>
      <c r="EN452" s="20" t="inlineStr">
        <is>
          <t>IC Organic Acids</t>
        </is>
      </c>
      <c r="EO452" s="20" t="inlineStr">
        <is>
          <t>None</t>
        </is>
      </c>
      <c r="EP452" s="17" t="n"/>
      <c r="EQ452" s="16" t="n"/>
      <c r="ER452" s="20" t="inlineStr">
        <is>
          <t>IC Organic Acids</t>
        </is>
      </c>
      <c r="ES452" s="20" t="inlineStr">
        <is>
          <t>None</t>
        </is>
      </c>
      <c r="ET452" s="17" t="n"/>
      <c r="EU452" s="16" t="n"/>
      <c r="EV452" s="20" t="inlineStr">
        <is>
          <t>LC-MS</t>
        </is>
      </c>
      <c r="EW452" s="20" t="inlineStr">
        <is>
          <t>None</t>
        </is>
      </c>
      <c r="EX452" s="17" t="n"/>
      <c r="EY452" s="21" t="n"/>
      <c r="EZ452">
        <f>CONCATENATE(A452,B452)</f>
        <v/>
      </c>
      <c r="FA452">
        <f>CONCATENATE(SamplesX!A452,SamplesX!B452)</f>
        <v/>
      </c>
      <c r="FC452">
        <f>MATCH(EZ452,FA1:FA1008,0)</f>
        <v/>
      </c>
    </row>
    <row r="453">
      <c r="A453" s="16" t="n"/>
      <c r="B453" s="17" t="n"/>
      <c r="C453" s="10">
        <f>IF(ISNUMBER(FC453),INDIRECT("SamplesX!C"&amp;FC453),IF(ISNUMBER(FD453),INDIRECT("SamplesY!C"&amp;FD453),""))</f>
        <v/>
      </c>
      <c r="D453" s="12">
        <f>IF(ISNUMBER(FC453),INDIRECT("SamplesX!D"&amp;FC453),IF(ISNUMBER(FD453),INDIRECT("SamplesY!D"&amp;FD453),""))</f>
        <v/>
      </c>
      <c r="E453" s="12">
        <f>IF(ISNUMBER(FC453),INDIRECT("SamplesX!E"&amp;FC453),IF(ISNUMBER(FD453),INDIRECT("SamplesY!E"&amp;FD453),""))</f>
        <v/>
      </c>
      <c r="F453" s="11">
        <f>IF(ISNUMBER(FC453),INDIRECT("SamplesX!F"&amp;FC453),IF(ISNUMBER(FD453),INDIRECT("SamplesY!F"&amp;FD453),""))</f>
        <v/>
      </c>
      <c r="G453" s="18">
        <f>IF(ISNUMBER(FC453),INDIRECT("SamplesX!G"&amp;FC453),IF(ISNUMBER(FD453),INDIRECT("SamplesY!G"&amp;FD453),""))</f>
        <v/>
      </c>
      <c r="H453" s="19">
        <f>IF(ISNUMBER(FC453),INDIRECT("SamplesX!H"&amp;FC453),IF(ISNUMBER(FD453),INDIRECT("SamplesY!H"&amp;FD453),""))</f>
        <v/>
      </c>
      <c r="I453" s="16" t="n"/>
      <c r="J453" s="16" t="n"/>
      <c r="K453" s="16" t="n"/>
      <c r="L453" s="20" t="n"/>
      <c r="M453" s="20" t="inlineStr">
        <is>
          <t>None</t>
        </is>
      </c>
      <c r="N453" s="17" t="n"/>
      <c r="O453" s="16" t="n"/>
      <c r="P453" s="20" t="inlineStr">
        <is>
          <t>Shimadzu TOC-L</t>
        </is>
      </c>
      <c r="Q453" s="20" t="inlineStr">
        <is>
          <t>None</t>
        </is>
      </c>
      <c r="R453" s="17" t="n"/>
      <c r="S453" s="16" t="n"/>
      <c r="T453" s="20" t="inlineStr">
        <is>
          <t>Shimadzu TOC-L</t>
        </is>
      </c>
      <c r="U453" s="20" t="inlineStr">
        <is>
          <t>None</t>
        </is>
      </c>
      <c r="V453" s="17" t="n"/>
      <c r="W453" s="16" t="n"/>
      <c r="X453" s="20" t="n"/>
      <c r="Y453" s="20" t="inlineStr">
        <is>
          <t>None</t>
        </is>
      </c>
      <c r="Z453" s="17" t="n"/>
      <c r="AA453" s="16" t="n"/>
      <c r="AB453" s="20" t="n"/>
      <c r="AC453" s="20" t="inlineStr">
        <is>
          <t>None</t>
        </is>
      </c>
      <c r="AD453" s="17" t="n"/>
      <c r="AE453" s="16" t="n"/>
      <c r="AF453" s="20" t="inlineStr">
        <is>
          <t>IC Anionen</t>
        </is>
      </c>
      <c r="AG453" s="20" t="inlineStr">
        <is>
          <t>None</t>
        </is>
      </c>
      <c r="AH453" s="17" t="n"/>
      <c r="AI453" s="16" t="n"/>
      <c r="AJ453" s="20" t="n"/>
      <c r="AK453" s="20" t="inlineStr">
        <is>
          <t>None</t>
        </is>
      </c>
      <c r="AL453" s="17" t="n"/>
      <c r="AM453" s="16" t="n"/>
      <c r="AN453" s="20" t="inlineStr">
        <is>
          <t>IC Anionen</t>
        </is>
      </c>
      <c r="AO453" s="20" t="inlineStr">
        <is>
          <t>None</t>
        </is>
      </c>
      <c r="AP453" s="17" t="n"/>
      <c r="AQ453" s="16" t="n"/>
      <c r="AR453" s="20" t="n"/>
      <c r="AS453" s="20" t="inlineStr">
        <is>
          <t>None</t>
        </is>
      </c>
      <c r="AT453" s="17" t="n"/>
      <c r="AU453" s="16" t="n"/>
      <c r="AV453" s="20" t="n"/>
      <c r="AW453" s="20" t="inlineStr">
        <is>
          <t>None</t>
        </is>
      </c>
      <c r="AX453" s="17" t="n"/>
      <c r="AY453" s="16" t="n"/>
      <c r="AZ453" s="20" t="inlineStr">
        <is>
          <t>IC Anionen</t>
        </is>
      </c>
      <c r="BA453" s="20" t="inlineStr">
        <is>
          <t>None</t>
        </is>
      </c>
      <c r="BB453" s="17" t="n"/>
      <c r="BC453" s="16" t="n"/>
      <c r="BD453" s="20" t="inlineStr">
        <is>
          <t>IC Kationen</t>
        </is>
      </c>
      <c r="BE453" s="20" t="inlineStr">
        <is>
          <t>None</t>
        </is>
      </c>
      <c r="BF453" s="17" t="n"/>
      <c r="BG453" s="16" t="n"/>
      <c r="BH453" s="20" t="inlineStr">
        <is>
          <t>IC Kationen</t>
        </is>
      </c>
      <c r="BI453" s="20" t="inlineStr">
        <is>
          <t>None</t>
        </is>
      </c>
      <c r="BJ453" s="17" t="n"/>
      <c r="BK453" s="16" t="n"/>
      <c r="BL453" s="20" t="inlineStr">
        <is>
          <t>IC Kationen</t>
        </is>
      </c>
      <c r="BM453" s="20" t="inlineStr">
        <is>
          <t>None</t>
        </is>
      </c>
      <c r="BN453" s="17" t="n"/>
      <c r="BO453" s="16" t="n"/>
      <c r="BP453" s="20" t="inlineStr">
        <is>
          <t>IC Kationen</t>
        </is>
      </c>
      <c r="BQ453" s="20" t="inlineStr">
        <is>
          <t>None</t>
        </is>
      </c>
      <c r="BR453" s="17" t="n"/>
      <c r="BS453" s="16" t="n"/>
      <c r="BT453" s="20" t="inlineStr">
        <is>
          <t>IC Kationen</t>
        </is>
      </c>
      <c r="BU453" s="20" t="inlineStr">
        <is>
          <t>None</t>
        </is>
      </c>
      <c r="BV453" s="17" t="n"/>
      <c r="BW453" s="16" t="n"/>
      <c r="BX453" s="20" t="n"/>
      <c r="BY453" s="20" t="inlineStr">
        <is>
          <t>None</t>
        </is>
      </c>
      <c r="BZ453" s="17" t="n"/>
      <c r="CA453" s="16" t="n"/>
      <c r="CB453" s="20" t="n"/>
      <c r="CC453" s="20" t="inlineStr">
        <is>
          <t>None</t>
        </is>
      </c>
      <c r="CD453" s="17" t="n"/>
      <c r="CE453" s="16" t="n"/>
      <c r="CF453" s="20" t="n"/>
      <c r="CG453" s="20" t="inlineStr">
        <is>
          <t>None</t>
        </is>
      </c>
      <c r="CH453" s="17" t="n"/>
      <c r="CI453" s="16" t="n"/>
      <c r="CJ453" s="20" t="n"/>
      <c r="CK453" s="20" t="inlineStr">
        <is>
          <t>None</t>
        </is>
      </c>
      <c r="CL453" s="17" t="n"/>
      <c r="CM453" s="16" t="n"/>
      <c r="CN453" s="20" t="inlineStr">
        <is>
          <t>SOP 45-34</t>
        </is>
      </c>
      <c r="CO453" s="20" t="inlineStr">
        <is>
          <t>None</t>
        </is>
      </c>
      <c r="CP453" s="17" t="n"/>
      <c r="CQ453" s="16" t="n"/>
      <c r="CR453" s="20" t="n"/>
      <c r="CS453" s="20" t="inlineStr">
        <is>
          <t>None</t>
        </is>
      </c>
      <c r="CT453" s="17" t="n"/>
      <c r="CU453" s="16" t="n"/>
      <c r="CV453" s="20" t="n"/>
      <c r="CW453" s="20" t="inlineStr">
        <is>
          <t>None</t>
        </is>
      </c>
      <c r="CX453" s="17" t="n"/>
      <c r="CY453" s="16" t="n"/>
      <c r="CZ453" s="20" t="inlineStr">
        <is>
          <t>WTW Multimeter 3430 with FDO 925</t>
        </is>
      </c>
      <c r="DA453" s="20" t="inlineStr">
        <is>
          <t>None</t>
        </is>
      </c>
      <c r="DB453" s="17" t="n"/>
      <c r="DC453" s="16" t="n"/>
      <c r="DD453" s="20" t="n"/>
      <c r="DE453" s="20" t="inlineStr">
        <is>
          <t>None</t>
        </is>
      </c>
      <c r="DF453" s="17" t="n"/>
      <c r="DG453" s="16" t="n"/>
      <c r="DH453" s="20" t="inlineStr">
        <is>
          <t>SOP 45-09</t>
        </is>
      </c>
      <c r="DI453" s="20" t="inlineStr">
        <is>
          <t>None</t>
        </is>
      </c>
      <c r="DJ453" s="17" t="n"/>
      <c r="DK453" s="16" t="n"/>
      <c r="DL453" s="20" t="inlineStr">
        <is>
          <t>SOP 45-09 (SOP muss noch angepasst werden für VSS)</t>
        </is>
      </c>
      <c r="DM453" s="20" t="inlineStr">
        <is>
          <t>None</t>
        </is>
      </c>
      <c r="DN453" s="17" t="n"/>
      <c r="DO453" s="16" t="n"/>
      <c r="DP453" s="20" t="inlineStr">
        <is>
          <t>IC Organic Acids</t>
        </is>
      </c>
      <c r="DQ453" s="20" t="inlineStr">
        <is>
          <t>None</t>
        </is>
      </c>
      <c r="DR453" s="17" t="n"/>
      <c r="DS453" s="16" t="n"/>
      <c r="DT453" s="20" t="inlineStr">
        <is>
          <t>IC Organic Acids</t>
        </is>
      </c>
      <c r="DU453" s="20" t="inlineStr">
        <is>
          <t>None</t>
        </is>
      </c>
      <c r="DV453" s="17" t="n"/>
      <c r="DW453" s="16" t="n"/>
      <c r="DX453" s="20" t="inlineStr">
        <is>
          <t>IC Organic Acids</t>
        </is>
      </c>
      <c r="DY453" s="20" t="inlineStr">
        <is>
          <t>None</t>
        </is>
      </c>
      <c r="DZ453" s="17" t="n"/>
      <c r="EA453" s="16" t="n"/>
      <c r="EB453" s="20" t="inlineStr">
        <is>
          <t>IC Organic Acids</t>
        </is>
      </c>
      <c r="EC453" s="20" t="inlineStr">
        <is>
          <t>None</t>
        </is>
      </c>
      <c r="ED453" s="17" t="n"/>
      <c r="EE453" s="16" t="n"/>
      <c r="EF453" s="20" t="inlineStr">
        <is>
          <t>IC Organic Acids</t>
        </is>
      </c>
      <c r="EG453" s="20" t="inlineStr">
        <is>
          <t>None</t>
        </is>
      </c>
      <c r="EH453" s="17" t="n"/>
      <c r="EI453" s="16" t="n"/>
      <c r="EJ453" s="20" t="inlineStr">
        <is>
          <t>IC Organic Acids</t>
        </is>
      </c>
      <c r="EK453" s="20" t="inlineStr">
        <is>
          <t>None</t>
        </is>
      </c>
      <c r="EL453" s="17" t="n"/>
      <c r="EM453" s="16" t="n"/>
      <c r="EN453" s="20" t="inlineStr">
        <is>
          <t>IC Organic Acids</t>
        </is>
      </c>
      <c r="EO453" s="20" t="inlineStr">
        <is>
          <t>None</t>
        </is>
      </c>
      <c r="EP453" s="17" t="n"/>
      <c r="EQ453" s="16" t="n"/>
      <c r="ER453" s="20" t="inlineStr">
        <is>
          <t>IC Organic Acids</t>
        </is>
      </c>
      <c r="ES453" s="20" t="inlineStr">
        <is>
          <t>None</t>
        </is>
      </c>
      <c r="ET453" s="17" t="n"/>
      <c r="EU453" s="16" t="n"/>
      <c r="EV453" s="20" t="inlineStr">
        <is>
          <t>LC-MS</t>
        </is>
      </c>
      <c r="EW453" s="20" t="inlineStr">
        <is>
          <t>None</t>
        </is>
      </c>
      <c r="EX453" s="17" t="n"/>
      <c r="EY453" s="21" t="n"/>
      <c r="EZ453">
        <f>CONCATENATE(A453,B453)</f>
        <v/>
      </c>
      <c r="FA453">
        <f>CONCATENATE(SamplesX!A453,SamplesX!B453)</f>
        <v/>
      </c>
      <c r="FC453">
        <f>MATCH(EZ453,FA1:FA1008,0)</f>
        <v/>
      </c>
    </row>
    <row r="454">
      <c r="A454" s="16" t="n"/>
      <c r="B454" s="17" t="n"/>
      <c r="C454" s="10">
        <f>IF(ISNUMBER(FC454),INDIRECT("SamplesX!C"&amp;FC454),IF(ISNUMBER(FD454),INDIRECT("SamplesY!C"&amp;FD454),""))</f>
        <v/>
      </c>
      <c r="D454" s="12">
        <f>IF(ISNUMBER(FC454),INDIRECT("SamplesX!D"&amp;FC454),IF(ISNUMBER(FD454),INDIRECT("SamplesY!D"&amp;FD454),""))</f>
        <v/>
      </c>
      <c r="E454" s="12">
        <f>IF(ISNUMBER(FC454),INDIRECT("SamplesX!E"&amp;FC454),IF(ISNUMBER(FD454),INDIRECT("SamplesY!E"&amp;FD454),""))</f>
        <v/>
      </c>
      <c r="F454" s="11">
        <f>IF(ISNUMBER(FC454),INDIRECT("SamplesX!F"&amp;FC454),IF(ISNUMBER(FD454),INDIRECT("SamplesY!F"&amp;FD454),""))</f>
        <v/>
      </c>
      <c r="G454" s="18">
        <f>IF(ISNUMBER(FC454),INDIRECT("SamplesX!G"&amp;FC454),IF(ISNUMBER(FD454),INDIRECT("SamplesY!G"&amp;FD454),""))</f>
        <v/>
      </c>
      <c r="H454" s="19">
        <f>IF(ISNUMBER(FC454),INDIRECT("SamplesX!H"&amp;FC454),IF(ISNUMBER(FD454),INDIRECT("SamplesY!H"&amp;FD454),""))</f>
        <v/>
      </c>
      <c r="I454" s="16" t="n"/>
      <c r="J454" s="16" t="n"/>
      <c r="K454" s="16" t="n"/>
      <c r="L454" s="20" t="n"/>
      <c r="M454" s="20" t="inlineStr">
        <is>
          <t>None</t>
        </is>
      </c>
      <c r="N454" s="17" t="n"/>
      <c r="O454" s="16" t="n"/>
      <c r="P454" s="20" t="inlineStr">
        <is>
          <t>Shimadzu TOC-L</t>
        </is>
      </c>
      <c r="Q454" s="20" t="inlineStr">
        <is>
          <t>None</t>
        </is>
      </c>
      <c r="R454" s="17" t="n"/>
      <c r="S454" s="16" t="n"/>
      <c r="T454" s="20" t="inlineStr">
        <is>
          <t>Shimadzu TOC-L</t>
        </is>
      </c>
      <c r="U454" s="20" t="inlineStr">
        <is>
          <t>None</t>
        </is>
      </c>
      <c r="V454" s="17" t="n"/>
      <c r="W454" s="16" t="n"/>
      <c r="X454" s="20" t="n"/>
      <c r="Y454" s="20" t="inlineStr">
        <is>
          <t>None</t>
        </is>
      </c>
      <c r="Z454" s="17" t="n"/>
      <c r="AA454" s="16" t="n"/>
      <c r="AB454" s="20" t="n"/>
      <c r="AC454" s="20" t="inlineStr">
        <is>
          <t>None</t>
        </is>
      </c>
      <c r="AD454" s="17" t="n"/>
      <c r="AE454" s="16" t="n"/>
      <c r="AF454" s="20" t="inlineStr">
        <is>
          <t>IC Anionen</t>
        </is>
      </c>
      <c r="AG454" s="20" t="inlineStr">
        <is>
          <t>None</t>
        </is>
      </c>
      <c r="AH454" s="17" t="n"/>
      <c r="AI454" s="16" t="n"/>
      <c r="AJ454" s="20" t="n"/>
      <c r="AK454" s="20" t="inlineStr">
        <is>
          <t>None</t>
        </is>
      </c>
      <c r="AL454" s="17" t="n"/>
      <c r="AM454" s="16" t="n"/>
      <c r="AN454" s="20" t="inlineStr">
        <is>
          <t>IC Anionen</t>
        </is>
      </c>
      <c r="AO454" s="20" t="inlineStr">
        <is>
          <t>None</t>
        </is>
      </c>
      <c r="AP454" s="17" t="n"/>
      <c r="AQ454" s="16" t="n"/>
      <c r="AR454" s="20" t="n"/>
      <c r="AS454" s="20" t="inlineStr">
        <is>
          <t>None</t>
        </is>
      </c>
      <c r="AT454" s="17" t="n"/>
      <c r="AU454" s="16" t="n"/>
      <c r="AV454" s="20" t="n"/>
      <c r="AW454" s="20" t="inlineStr">
        <is>
          <t>None</t>
        </is>
      </c>
      <c r="AX454" s="17" t="n"/>
      <c r="AY454" s="16" t="n"/>
      <c r="AZ454" s="20" t="inlineStr">
        <is>
          <t>IC Anionen</t>
        </is>
      </c>
      <c r="BA454" s="20" t="inlineStr">
        <is>
          <t>None</t>
        </is>
      </c>
      <c r="BB454" s="17" t="n"/>
      <c r="BC454" s="16" t="n"/>
      <c r="BD454" s="20" t="inlineStr">
        <is>
          <t>IC Kationen</t>
        </is>
      </c>
      <c r="BE454" s="20" t="inlineStr">
        <is>
          <t>None</t>
        </is>
      </c>
      <c r="BF454" s="17" t="n"/>
      <c r="BG454" s="16" t="n"/>
      <c r="BH454" s="20" t="inlineStr">
        <is>
          <t>IC Kationen</t>
        </is>
      </c>
      <c r="BI454" s="20" t="inlineStr">
        <is>
          <t>None</t>
        </is>
      </c>
      <c r="BJ454" s="17" t="n"/>
      <c r="BK454" s="16" t="n"/>
      <c r="BL454" s="20" t="inlineStr">
        <is>
          <t>IC Kationen</t>
        </is>
      </c>
      <c r="BM454" s="20" t="inlineStr">
        <is>
          <t>None</t>
        </is>
      </c>
      <c r="BN454" s="17" t="n"/>
      <c r="BO454" s="16" t="n"/>
      <c r="BP454" s="20" t="inlineStr">
        <is>
          <t>IC Kationen</t>
        </is>
      </c>
      <c r="BQ454" s="20" t="inlineStr">
        <is>
          <t>None</t>
        </is>
      </c>
      <c r="BR454" s="17" t="n"/>
      <c r="BS454" s="16" t="n"/>
      <c r="BT454" s="20" t="inlineStr">
        <is>
          <t>IC Kationen</t>
        </is>
      </c>
      <c r="BU454" s="20" t="inlineStr">
        <is>
          <t>None</t>
        </is>
      </c>
      <c r="BV454" s="17" t="n"/>
      <c r="BW454" s="16" t="n"/>
      <c r="BX454" s="20" t="n"/>
      <c r="BY454" s="20" t="inlineStr">
        <is>
          <t>None</t>
        </is>
      </c>
      <c r="BZ454" s="17" t="n"/>
      <c r="CA454" s="16" t="n"/>
      <c r="CB454" s="20" t="n"/>
      <c r="CC454" s="20" t="inlineStr">
        <is>
          <t>None</t>
        </is>
      </c>
      <c r="CD454" s="17" t="n"/>
      <c r="CE454" s="16" t="n"/>
      <c r="CF454" s="20" t="n"/>
      <c r="CG454" s="20" t="inlineStr">
        <is>
          <t>None</t>
        </is>
      </c>
      <c r="CH454" s="17" t="n"/>
      <c r="CI454" s="16" t="n"/>
      <c r="CJ454" s="20" t="n"/>
      <c r="CK454" s="20" t="inlineStr">
        <is>
          <t>None</t>
        </is>
      </c>
      <c r="CL454" s="17" t="n"/>
      <c r="CM454" s="16" t="n"/>
      <c r="CN454" s="20" t="inlineStr">
        <is>
          <t>SOP 45-34</t>
        </is>
      </c>
      <c r="CO454" s="20" t="inlineStr">
        <is>
          <t>None</t>
        </is>
      </c>
      <c r="CP454" s="17" t="n"/>
      <c r="CQ454" s="16" t="n"/>
      <c r="CR454" s="20" t="n"/>
      <c r="CS454" s="20" t="inlineStr">
        <is>
          <t>None</t>
        </is>
      </c>
      <c r="CT454" s="17" t="n"/>
      <c r="CU454" s="16" t="n"/>
      <c r="CV454" s="20" t="n"/>
      <c r="CW454" s="20" t="inlineStr">
        <is>
          <t>None</t>
        </is>
      </c>
      <c r="CX454" s="17" t="n"/>
      <c r="CY454" s="16" t="n"/>
      <c r="CZ454" s="20" t="inlineStr">
        <is>
          <t>WTW Multimeter 3430 with FDO 925</t>
        </is>
      </c>
      <c r="DA454" s="20" t="inlineStr">
        <is>
          <t>None</t>
        </is>
      </c>
      <c r="DB454" s="17" t="n"/>
      <c r="DC454" s="16" t="n"/>
      <c r="DD454" s="20" t="n"/>
      <c r="DE454" s="20" t="inlineStr">
        <is>
          <t>None</t>
        </is>
      </c>
      <c r="DF454" s="17" t="n"/>
      <c r="DG454" s="16" t="n"/>
      <c r="DH454" s="20" t="inlineStr">
        <is>
          <t>SOP 45-09</t>
        </is>
      </c>
      <c r="DI454" s="20" t="inlineStr">
        <is>
          <t>None</t>
        </is>
      </c>
      <c r="DJ454" s="17" t="n"/>
      <c r="DK454" s="16" t="n"/>
      <c r="DL454" s="20" t="inlineStr">
        <is>
          <t>SOP 45-09 (SOP muss noch angepasst werden für VSS)</t>
        </is>
      </c>
      <c r="DM454" s="20" t="inlineStr">
        <is>
          <t>None</t>
        </is>
      </c>
      <c r="DN454" s="17" t="n"/>
      <c r="DO454" s="16" t="n"/>
      <c r="DP454" s="20" t="inlineStr">
        <is>
          <t>IC Organic Acids</t>
        </is>
      </c>
      <c r="DQ454" s="20" t="inlineStr">
        <is>
          <t>None</t>
        </is>
      </c>
      <c r="DR454" s="17" t="n"/>
      <c r="DS454" s="16" t="n"/>
      <c r="DT454" s="20" t="inlineStr">
        <is>
          <t>IC Organic Acids</t>
        </is>
      </c>
      <c r="DU454" s="20" t="inlineStr">
        <is>
          <t>None</t>
        </is>
      </c>
      <c r="DV454" s="17" t="n"/>
      <c r="DW454" s="16" t="n"/>
      <c r="DX454" s="20" t="inlineStr">
        <is>
          <t>IC Organic Acids</t>
        </is>
      </c>
      <c r="DY454" s="20" t="inlineStr">
        <is>
          <t>None</t>
        </is>
      </c>
      <c r="DZ454" s="17" t="n"/>
      <c r="EA454" s="16" t="n"/>
      <c r="EB454" s="20" t="inlineStr">
        <is>
          <t>IC Organic Acids</t>
        </is>
      </c>
      <c r="EC454" s="20" t="inlineStr">
        <is>
          <t>None</t>
        </is>
      </c>
      <c r="ED454" s="17" t="n"/>
      <c r="EE454" s="16" t="n"/>
      <c r="EF454" s="20" t="inlineStr">
        <is>
          <t>IC Organic Acids</t>
        </is>
      </c>
      <c r="EG454" s="20" t="inlineStr">
        <is>
          <t>None</t>
        </is>
      </c>
      <c r="EH454" s="17" t="n"/>
      <c r="EI454" s="16" t="n"/>
      <c r="EJ454" s="20" t="inlineStr">
        <is>
          <t>IC Organic Acids</t>
        </is>
      </c>
      <c r="EK454" s="20" t="inlineStr">
        <is>
          <t>None</t>
        </is>
      </c>
      <c r="EL454" s="17" t="n"/>
      <c r="EM454" s="16" t="n"/>
      <c r="EN454" s="20" t="inlineStr">
        <is>
          <t>IC Organic Acids</t>
        </is>
      </c>
      <c r="EO454" s="20" t="inlineStr">
        <is>
          <t>None</t>
        </is>
      </c>
      <c r="EP454" s="17" t="n"/>
      <c r="EQ454" s="16" t="n"/>
      <c r="ER454" s="20" t="inlineStr">
        <is>
          <t>IC Organic Acids</t>
        </is>
      </c>
      <c r="ES454" s="20" t="inlineStr">
        <is>
          <t>None</t>
        </is>
      </c>
      <c r="ET454" s="17" t="n"/>
      <c r="EU454" s="16" t="n"/>
      <c r="EV454" s="20" t="inlineStr">
        <is>
          <t>LC-MS</t>
        </is>
      </c>
      <c r="EW454" s="20" t="inlineStr">
        <is>
          <t>None</t>
        </is>
      </c>
      <c r="EX454" s="17" t="n"/>
      <c r="EY454" s="21" t="n"/>
      <c r="EZ454">
        <f>CONCATENATE(A454,B454)</f>
        <v/>
      </c>
      <c r="FA454">
        <f>CONCATENATE(SamplesX!A454,SamplesX!B454)</f>
        <v/>
      </c>
      <c r="FC454">
        <f>MATCH(EZ454,FA1:FA1008,0)</f>
        <v/>
      </c>
    </row>
    <row r="455">
      <c r="A455" s="16" t="n"/>
      <c r="B455" s="17" t="n"/>
      <c r="C455" s="10">
        <f>IF(ISNUMBER(FC455),INDIRECT("SamplesX!C"&amp;FC455),IF(ISNUMBER(FD455),INDIRECT("SamplesY!C"&amp;FD455),""))</f>
        <v/>
      </c>
      <c r="D455" s="12">
        <f>IF(ISNUMBER(FC455),INDIRECT("SamplesX!D"&amp;FC455),IF(ISNUMBER(FD455),INDIRECT("SamplesY!D"&amp;FD455),""))</f>
        <v/>
      </c>
      <c r="E455" s="12">
        <f>IF(ISNUMBER(FC455),INDIRECT("SamplesX!E"&amp;FC455),IF(ISNUMBER(FD455),INDIRECT("SamplesY!E"&amp;FD455),""))</f>
        <v/>
      </c>
      <c r="F455" s="11">
        <f>IF(ISNUMBER(FC455),INDIRECT("SamplesX!F"&amp;FC455),IF(ISNUMBER(FD455),INDIRECT("SamplesY!F"&amp;FD455),""))</f>
        <v/>
      </c>
      <c r="G455" s="18">
        <f>IF(ISNUMBER(FC455),INDIRECT("SamplesX!G"&amp;FC455),IF(ISNUMBER(FD455),INDIRECT("SamplesY!G"&amp;FD455),""))</f>
        <v/>
      </c>
      <c r="H455" s="19">
        <f>IF(ISNUMBER(FC455),INDIRECT("SamplesX!H"&amp;FC455),IF(ISNUMBER(FD455),INDIRECT("SamplesY!H"&amp;FD455),""))</f>
        <v/>
      </c>
      <c r="I455" s="16" t="n"/>
      <c r="J455" s="16" t="n"/>
      <c r="K455" s="16" t="n"/>
      <c r="L455" s="20" t="n"/>
      <c r="M455" s="20" t="inlineStr">
        <is>
          <t>None</t>
        </is>
      </c>
      <c r="N455" s="17" t="n"/>
      <c r="O455" s="16" t="n"/>
      <c r="P455" s="20" t="inlineStr">
        <is>
          <t>Shimadzu TOC-L</t>
        </is>
      </c>
      <c r="Q455" s="20" t="inlineStr">
        <is>
          <t>None</t>
        </is>
      </c>
      <c r="R455" s="17" t="n"/>
      <c r="S455" s="16" t="n"/>
      <c r="T455" s="20" t="inlineStr">
        <is>
          <t>Shimadzu TOC-L</t>
        </is>
      </c>
      <c r="U455" s="20" t="inlineStr">
        <is>
          <t>None</t>
        </is>
      </c>
      <c r="V455" s="17" t="n"/>
      <c r="W455" s="16" t="n"/>
      <c r="X455" s="20" t="n"/>
      <c r="Y455" s="20" t="inlineStr">
        <is>
          <t>None</t>
        </is>
      </c>
      <c r="Z455" s="17" t="n"/>
      <c r="AA455" s="16" t="n"/>
      <c r="AB455" s="20" t="n"/>
      <c r="AC455" s="20" t="inlineStr">
        <is>
          <t>None</t>
        </is>
      </c>
      <c r="AD455" s="17" t="n"/>
      <c r="AE455" s="16" t="n"/>
      <c r="AF455" s="20" t="inlineStr">
        <is>
          <t>IC Anionen</t>
        </is>
      </c>
      <c r="AG455" s="20" t="inlineStr">
        <is>
          <t>None</t>
        </is>
      </c>
      <c r="AH455" s="17" t="n"/>
      <c r="AI455" s="16" t="n"/>
      <c r="AJ455" s="20" t="n"/>
      <c r="AK455" s="20" t="inlineStr">
        <is>
          <t>None</t>
        </is>
      </c>
      <c r="AL455" s="17" t="n"/>
      <c r="AM455" s="16" t="n"/>
      <c r="AN455" s="20" t="inlineStr">
        <is>
          <t>IC Anionen</t>
        </is>
      </c>
      <c r="AO455" s="20" t="inlineStr">
        <is>
          <t>None</t>
        </is>
      </c>
      <c r="AP455" s="17" t="n"/>
      <c r="AQ455" s="16" t="n"/>
      <c r="AR455" s="20" t="n"/>
      <c r="AS455" s="20" t="inlineStr">
        <is>
          <t>None</t>
        </is>
      </c>
      <c r="AT455" s="17" t="n"/>
      <c r="AU455" s="16" t="n"/>
      <c r="AV455" s="20" t="n"/>
      <c r="AW455" s="20" t="inlineStr">
        <is>
          <t>None</t>
        </is>
      </c>
      <c r="AX455" s="17" t="n"/>
      <c r="AY455" s="16" t="n"/>
      <c r="AZ455" s="20" t="inlineStr">
        <is>
          <t>IC Anionen</t>
        </is>
      </c>
      <c r="BA455" s="20" t="inlineStr">
        <is>
          <t>None</t>
        </is>
      </c>
      <c r="BB455" s="17" t="n"/>
      <c r="BC455" s="16" t="n"/>
      <c r="BD455" s="20" t="inlineStr">
        <is>
          <t>IC Kationen</t>
        </is>
      </c>
      <c r="BE455" s="20" t="inlineStr">
        <is>
          <t>None</t>
        </is>
      </c>
      <c r="BF455" s="17" t="n"/>
      <c r="BG455" s="16" t="n"/>
      <c r="BH455" s="20" t="inlineStr">
        <is>
          <t>IC Kationen</t>
        </is>
      </c>
      <c r="BI455" s="20" t="inlineStr">
        <is>
          <t>None</t>
        </is>
      </c>
      <c r="BJ455" s="17" t="n"/>
      <c r="BK455" s="16" t="n"/>
      <c r="BL455" s="20" t="inlineStr">
        <is>
          <t>IC Kationen</t>
        </is>
      </c>
      <c r="BM455" s="20" t="inlineStr">
        <is>
          <t>None</t>
        </is>
      </c>
      <c r="BN455" s="17" t="n"/>
      <c r="BO455" s="16" t="n"/>
      <c r="BP455" s="20" t="inlineStr">
        <is>
          <t>IC Kationen</t>
        </is>
      </c>
      <c r="BQ455" s="20" t="inlineStr">
        <is>
          <t>None</t>
        </is>
      </c>
      <c r="BR455" s="17" t="n"/>
      <c r="BS455" s="16" t="n"/>
      <c r="BT455" s="20" t="inlineStr">
        <is>
          <t>IC Kationen</t>
        </is>
      </c>
      <c r="BU455" s="20" t="inlineStr">
        <is>
          <t>None</t>
        </is>
      </c>
      <c r="BV455" s="17" t="n"/>
      <c r="BW455" s="16" t="n"/>
      <c r="BX455" s="20" t="n"/>
      <c r="BY455" s="20" t="inlineStr">
        <is>
          <t>None</t>
        </is>
      </c>
      <c r="BZ455" s="17" t="n"/>
      <c r="CA455" s="16" t="n"/>
      <c r="CB455" s="20" t="n"/>
      <c r="CC455" s="20" t="inlineStr">
        <is>
          <t>None</t>
        </is>
      </c>
      <c r="CD455" s="17" t="n"/>
      <c r="CE455" s="16" t="n"/>
      <c r="CF455" s="20" t="n"/>
      <c r="CG455" s="20" t="inlineStr">
        <is>
          <t>None</t>
        </is>
      </c>
      <c r="CH455" s="17" t="n"/>
      <c r="CI455" s="16" t="n"/>
      <c r="CJ455" s="20" t="n"/>
      <c r="CK455" s="20" t="inlineStr">
        <is>
          <t>None</t>
        </is>
      </c>
      <c r="CL455" s="17" t="n"/>
      <c r="CM455" s="16" t="n"/>
      <c r="CN455" s="20" t="inlineStr">
        <is>
          <t>SOP 45-34</t>
        </is>
      </c>
      <c r="CO455" s="20" t="inlineStr">
        <is>
          <t>None</t>
        </is>
      </c>
      <c r="CP455" s="17" t="n"/>
      <c r="CQ455" s="16" t="n"/>
      <c r="CR455" s="20" t="n"/>
      <c r="CS455" s="20" t="inlineStr">
        <is>
          <t>None</t>
        </is>
      </c>
      <c r="CT455" s="17" t="n"/>
      <c r="CU455" s="16" t="n"/>
      <c r="CV455" s="20" t="n"/>
      <c r="CW455" s="20" t="inlineStr">
        <is>
          <t>None</t>
        </is>
      </c>
      <c r="CX455" s="17" t="n"/>
      <c r="CY455" s="16" t="n"/>
      <c r="CZ455" s="20" t="inlineStr">
        <is>
          <t>WTW Multimeter 3430 with FDO 925</t>
        </is>
      </c>
      <c r="DA455" s="20" t="inlineStr">
        <is>
          <t>None</t>
        </is>
      </c>
      <c r="DB455" s="17" t="n"/>
      <c r="DC455" s="16" t="n"/>
      <c r="DD455" s="20" t="n"/>
      <c r="DE455" s="20" t="inlineStr">
        <is>
          <t>None</t>
        </is>
      </c>
      <c r="DF455" s="17" t="n"/>
      <c r="DG455" s="16" t="n"/>
      <c r="DH455" s="20" t="inlineStr">
        <is>
          <t>SOP 45-09</t>
        </is>
      </c>
      <c r="DI455" s="20" t="inlineStr">
        <is>
          <t>None</t>
        </is>
      </c>
      <c r="DJ455" s="17" t="n"/>
      <c r="DK455" s="16" t="n"/>
      <c r="DL455" s="20" t="inlineStr">
        <is>
          <t>SOP 45-09 (SOP muss noch angepasst werden für VSS)</t>
        </is>
      </c>
      <c r="DM455" s="20" t="inlineStr">
        <is>
          <t>None</t>
        </is>
      </c>
      <c r="DN455" s="17" t="n"/>
      <c r="DO455" s="16" t="n"/>
      <c r="DP455" s="20" t="inlineStr">
        <is>
          <t>IC Organic Acids</t>
        </is>
      </c>
      <c r="DQ455" s="20" t="inlineStr">
        <is>
          <t>None</t>
        </is>
      </c>
      <c r="DR455" s="17" t="n"/>
      <c r="DS455" s="16" t="n"/>
      <c r="DT455" s="20" t="inlineStr">
        <is>
          <t>IC Organic Acids</t>
        </is>
      </c>
      <c r="DU455" s="20" t="inlineStr">
        <is>
          <t>None</t>
        </is>
      </c>
      <c r="DV455" s="17" t="n"/>
      <c r="DW455" s="16" t="n"/>
      <c r="DX455" s="20" t="inlineStr">
        <is>
          <t>IC Organic Acids</t>
        </is>
      </c>
      <c r="DY455" s="20" t="inlineStr">
        <is>
          <t>None</t>
        </is>
      </c>
      <c r="DZ455" s="17" t="n"/>
      <c r="EA455" s="16" t="n"/>
      <c r="EB455" s="20" t="inlineStr">
        <is>
          <t>IC Organic Acids</t>
        </is>
      </c>
      <c r="EC455" s="20" t="inlineStr">
        <is>
          <t>None</t>
        </is>
      </c>
      <c r="ED455" s="17" t="n"/>
      <c r="EE455" s="16" t="n"/>
      <c r="EF455" s="20" t="inlineStr">
        <is>
          <t>IC Organic Acids</t>
        </is>
      </c>
      <c r="EG455" s="20" t="inlineStr">
        <is>
          <t>None</t>
        </is>
      </c>
      <c r="EH455" s="17" t="n"/>
      <c r="EI455" s="16" t="n"/>
      <c r="EJ455" s="20" t="inlineStr">
        <is>
          <t>IC Organic Acids</t>
        </is>
      </c>
      <c r="EK455" s="20" t="inlineStr">
        <is>
          <t>None</t>
        </is>
      </c>
      <c r="EL455" s="17" t="n"/>
      <c r="EM455" s="16" t="n"/>
      <c r="EN455" s="20" t="inlineStr">
        <is>
          <t>IC Organic Acids</t>
        </is>
      </c>
      <c r="EO455" s="20" t="inlineStr">
        <is>
          <t>None</t>
        </is>
      </c>
      <c r="EP455" s="17" t="n"/>
      <c r="EQ455" s="16" t="n"/>
      <c r="ER455" s="20" t="inlineStr">
        <is>
          <t>IC Organic Acids</t>
        </is>
      </c>
      <c r="ES455" s="20" t="inlineStr">
        <is>
          <t>None</t>
        </is>
      </c>
      <c r="ET455" s="17" t="n"/>
      <c r="EU455" s="16" t="n"/>
      <c r="EV455" s="20" t="inlineStr">
        <is>
          <t>LC-MS</t>
        </is>
      </c>
      <c r="EW455" s="20" t="inlineStr">
        <is>
          <t>None</t>
        </is>
      </c>
      <c r="EX455" s="17" t="n"/>
      <c r="EY455" s="21" t="n"/>
      <c r="EZ455">
        <f>CONCATENATE(A455,B455)</f>
        <v/>
      </c>
      <c r="FA455">
        <f>CONCATENATE(SamplesX!A455,SamplesX!B455)</f>
        <v/>
      </c>
      <c r="FC455">
        <f>MATCH(EZ455,FA1:FA1008,0)</f>
        <v/>
      </c>
    </row>
    <row r="456">
      <c r="A456" s="16" t="n"/>
      <c r="B456" s="17" t="n"/>
      <c r="C456" s="10">
        <f>IF(ISNUMBER(FC456),INDIRECT("SamplesX!C"&amp;FC456),IF(ISNUMBER(FD456),INDIRECT("SamplesY!C"&amp;FD456),""))</f>
        <v/>
      </c>
      <c r="D456" s="12">
        <f>IF(ISNUMBER(FC456),INDIRECT("SamplesX!D"&amp;FC456),IF(ISNUMBER(FD456),INDIRECT("SamplesY!D"&amp;FD456),""))</f>
        <v/>
      </c>
      <c r="E456" s="12">
        <f>IF(ISNUMBER(FC456),INDIRECT("SamplesX!E"&amp;FC456),IF(ISNUMBER(FD456),INDIRECT("SamplesY!E"&amp;FD456),""))</f>
        <v/>
      </c>
      <c r="F456" s="11">
        <f>IF(ISNUMBER(FC456),INDIRECT("SamplesX!F"&amp;FC456),IF(ISNUMBER(FD456),INDIRECT("SamplesY!F"&amp;FD456),""))</f>
        <v/>
      </c>
      <c r="G456" s="18">
        <f>IF(ISNUMBER(FC456),INDIRECT("SamplesX!G"&amp;FC456),IF(ISNUMBER(FD456),INDIRECT("SamplesY!G"&amp;FD456),""))</f>
        <v/>
      </c>
      <c r="H456" s="19">
        <f>IF(ISNUMBER(FC456),INDIRECT("SamplesX!H"&amp;FC456),IF(ISNUMBER(FD456),INDIRECT("SamplesY!H"&amp;FD456),""))</f>
        <v/>
      </c>
      <c r="I456" s="16" t="n"/>
      <c r="J456" s="16" t="n"/>
      <c r="K456" s="16" t="n"/>
      <c r="L456" s="20" t="n"/>
      <c r="M456" s="20" t="inlineStr">
        <is>
          <t>None</t>
        </is>
      </c>
      <c r="N456" s="17" t="n"/>
      <c r="O456" s="16" t="n"/>
      <c r="P456" s="20" t="inlineStr">
        <is>
          <t>Shimadzu TOC-L</t>
        </is>
      </c>
      <c r="Q456" s="20" t="inlineStr">
        <is>
          <t>None</t>
        </is>
      </c>
      <c r="R456" s="17" t="n"/>
      <c r="S456" s="16" t="n"/>
      <c r="T456" s="20" t="inlineStr">
        <is>
          <t>Shimadzu TOC-L</t>
        </is>
      </c>
      <c r="U456" s="20" t="inlineStr">
        <is>
          <t>None</t>
        </is>
      </c>
      <c r="V456" s="17" t="n"/>
      <c r="W456" s="16" t="n"/>
      <c r="X456" s="20" t="n"/>
      <c r="Y456" s="20" t="inlineStr">
        <is>
          <t>None</t>
        </is>
      </c>
      <c r="Z456" s="17" t="n"/>
      <c r="AA456" s="16" t="n"/>
      <c r="AB456" s="20" t="n"/>
      <c r="AC456" s="20" t="inlineStr">
        <is>
          <t>None</t>
        </is>
      </c>
      <c r="AD456" s="17" t="n"/>
      <c r="AE456" s="16" t="n"/>
      <c r="AF456" s="20" t="inlineStr">
        <is>
          <t>IC Anionen</t>
        </is>
      </c>
      <c r="AG456" s="20" t="inlineStr">
        <is>
          <t>None</t>
        </is>
      </c>
      <c r="AH456" s="17" t="n"/>
      <c r="AI456" s="16" t="n"/>
      <c r="AJ456" s="20" t="n"/>
      <c r="AK456" s="20" t="inlineStr">
        <is>
          <t>None</t>
        </is>
      </c>
      <c r="AL456" s="17" t="n"/>
      <c r="AM456" s="16" t="n"/>
      <c r="AN456" s="20" t="inlineStr">
        <is>
          <t>IC Anionen</t>
        </is>
      </c>
      <c r="AO456" s="20" t="inlineStr">
        <is>
          <t>None</t>
        </is>
      </c>
      <c r="AP456" s="17" t="n"/>
      <c r="AQ456" s="16" t="n"/>
      <c r="AR456" s="20" t="n"/>
      <c r="AS456" s="20" t="inlineStr">
        <is>
          <t>None</t>
        </is>
      </c>
      <c r="AT456" s="17" t="n"/>
      <c r="AU456" s="16" t="n"/>
      <c r="AV456" s="20" t="n"/>
      <c r="AW456" s="20" t="inlineStr">
        <is>
          <t>None</t>
        </is>
      </c>
      <c r="AX456" s="17" t="n"/>
      <c r="AY456" s="16" t="n"/>
      <c r="AZ456" s="20" t="inlineStr">
        <is>
          <t>IC Anionen</t>
        </is>
      </c>
      <c r="BA456" s="20" t="inlineStr">
        <is>
          <t>None</t>
        </is>
      </c>
      <c r="BB456" s="17" t="n"/>
      <c r="BC456" s="16" t="n"/>
      <c r="BD456" s="20" t="inlineStr">
        <is>
          <t>IC Kationen</t>
        </is>
      </c>
      <c r="BE456" s="20" t="inlineStr">
        <is>
          <t>None</t>
        </is>
      </c>
      <c r="BF456" s="17" t="n"/>
      <c r="BG456" s="16" t="n"/>
      <c r="BH456" s="20" t="inlineStr">
        <is>
          <t>IC Kationen</t>
        </is>
      </c>
      <c r="BI456" s="20" t="inlineStr">
        <is>
          <t>None</t>
        </is>
      </c>
      <c r="BJ456" s="17" t="n"/>
      <c r="BK456" s="16" t="n"/>
      <c r="BL456" s="20" t="inlineStr">
        <is>
          <t>IC Kationen</t>
        </is>
      </c>
      <c r="BM456" s="20" t="inlineStr">
        <is>
          <t>None</t>
        </is>
      </c>
      <c r="BN456" s="17" t="n"/>
      <c r="BO456" s="16" t="n"/>
      <c r="BP456" s="20" t="inlineStr">
        <is>
          <t>IC Kationen</t>
        </is>
      </c>
      <c r="BQ456" s="20" t="inlineStr">
        <is>
          <t>None</t>
        </is>
      </c>
      <c r="BR456" s="17" t="n"/>
      <c r="BS456" s="16" t="n"/>
      <c r="BT456" s="20" t="inlineStr">
        <is>
          <t>IC Kationen</t>
        </is>
      </c>
      <c r="BU456" s="20" t="inlineStr">
        <is>
          <t>None</t>
        </is>
      </c>
      <c r="BV456" s="17" t="n"/>
      <c r="BW456" s="16" t="n"/>
      <c r="BX456" s="20" t="n"/>
      <c r="BY456" s="20" t="inlineStr">
        <is>
          <t>None</t>
        </is>
      </c>
      <c r="BZ456" s="17" t="n"/>
      <c r="CA456" s="16" t="n"/>
      <c r="CB456" s="20" t="n"/>
      <c r="CC456" s="20" t="inlineStr">
        <is>
          <t>None</t>
        </is>
      </c>
      <c r="CD456" s="17" t="n"/>
      <c r="CE456" s="16" t="n"/>
      <c r="CF456" s="20" t="n"/>
      <c r="CG456" s="20" t="inlineStr">
        <is>
          <t>None</t>
        </is>
      </c>
      <c r="CH456" s="17" t="n"/>
      <c r="CI456" s="16" t="n"/>
      <c r="CJ456" s="20" t="n"/>
      <c r="CK456" s="20" t="inlineStr">
        <is>
          <t>None</t>
        </is>
      </c>
      <c r="CL456" s="17" t="n"/>
      <c r="CM456" s="16" t="n"/>
      <c r="CN456" s="20" t="inlineStr">
        <is>
          <t>SOP 45-34</t>
        </is>
      </c>
      <c r="CO456" s="20" t="inlineStr">
        <is>
          <t>None</t>
        </is>
      </c>
      <c r="CP456" s="17" t="n"/>
      <c r="CQ456" s="16" t="n"/>
      <c r="CR456" s="20" t="n"/>
      <c r="CS456" s="20" t="inlineStr">
        <is>
          <t>None</t>
        </is>
      </c>
      <c r="CT456" s="17" t="n"/>
      <c r="CU456" s="16" t="n"/>
      <c r="CV456" s="20" t="n"/>
      <c r="CW456" s="20" t="inlineStr">
        <is>
          <t>None</t>
        </is>
      </c>
      <c r="CX456" s="17" t="n"/>
      <c r="CY456" s="16" t="n"/>
      <c r="CZ456" s="20" t="inlineStr">
        <is>
          <t>WTW Multimeter 3430 with FDO 925</t>
        </is>
      </c>
      <c r="DA456" s="20" t="inlineStr">
        <is>
          <t>None</t>
        </is>
      </c>
      <c r="DB456" s="17" t="n"/>
      <c r="DC456" s="16" t="n"/>
      <c r="DD456" s="20" t="n"/>
      <c r="DE456" s="20" t="inlineStr">
        <is>
          <t>None</t>
        </is>
      </c>
      <c r="DF456" s="17" t="n"/>
      <c r="DG456" s="16" t="n"/>
      <c r="DH456" s="20" t="inlineStr">
        <is>
          <t>SOP 45-09</t>
        </is>
      </c>
      <c r="DI456" s="20" t="inlineStr">
        <is>
          <t>None</t>
        </is>
      </c>
      <c r="DJ456" s="17" t="n"/>
      <c r="DK456" s="16" t="n"/>
      <c r="DL456" s="20" t="inlineStr">
        <is>
          <t>SOP 45-09 (SOP muss noch angepasst werden für VSS)</t>
        </is>
      </c>
      <c r="DM456" s="20" t="inlineStr">
        <is>
          <t>None</t>
        </is>
      </c>
      <c r="DN456" s="17" t="n"/>
      <c r="DO456" s="16" t="n"/>
      <c r="DP456" s="20" t="inlineStr">
        <is>
          <t>IC Organic Acids</t>
        </is>
      </c>
      <c r="DQ456" s="20" t="inlineStr">
        <is>
          <t>None</t>
        </is>
      </c>
      <c r="DR456" s="17" t="n"/>
      <c r="DS456" s="16" t="n"/>
      <c r="DT456" s="20" t="inlineStr">
        <is>
          <t>IC Organic Acids</t>
        </is>
      </c>
      <c r="DU456" s="20" t="inlineStr">
        <is>
          <t>None</t>
        </is>
      </c>
      <c r="DV456" s="17" t="n"/>
      <c r="DW456" s="16" t="n"/>
      <c r="DX456" s="20" t="inlineStr">
        <is>
          <t>IC Organic Acids</t>
        </is>
      </c>
      <c r="DY456" s="20" t="inlineStr">
        <is>
          <t>None</t>
        </is>
      </c>
      <c r="DZ456" s="17" t="n"/>
      <c r="EA456" s="16" t="n"/>
      <c r="EB456" s="20" t="inlineStr">
        <is>
          <t>IC Organic Acids</t>
        </is>
      </c>
      <c r="EC456" s="20" t="inlineStr">
        <is>
          <t>None</t>
        </is>
      </c>
      <c r="ED456" s="17" t="n"/>
      <c r="EE456" s="16" t="n"/>
      <c r="EF456" s="20" t="inlineStr">
        <is>
          <t>IC Organic Acids</t>
        </is>
      </c>
      <c r="EG456" s="20" t="inlineStr">
        <is>
          <t>None</t>
        </is>
      </c>
      <c r="EH456" s="17" t="n"/>
      <c r="EI456" s="16" t="n"/>
      <c r="EJ456" s="20" t="inlineStr">
        <is>
          <t>IC Organic Acids</t>
        </is>
      </c>
      <c r="EK456" s="20" t="inlineStr">
        <is>
          <t>None</t>
        </is>
      </c>
      <c r="EL456" s="17" t="n"/>
      <c r="EM456" s="16" t="n"/>
      <c r="EN456" s="20" t="inlineStr">
        <is>
          <t>IC Organic Acids</t>
        </is>
      </c>
      <c r="EO456" s="20" t="inlineStr">
        <is>
          <t>None</t>
        </is>
      </c>
      <c r="EP456" s="17" t="n"/>
      <c r="EQ456" s="16" t="n"/>
      <c r="ER456" s="20" t="inlineStr">
        <is>
          <t>IC Organic Acids</t>
        </is>
      </c>
      <c r="ES456" s="20" t="inlineStr">
        <is>
          <t>None</t>
        </is>
      </c>
      <c r="ET456" s="17" t="n"/>
      <c r="EU456" s="16" t="n"/>
      <c r="EV456" s="20" t="inlineStr">
        <is>
          <t>LC-MS</t>
        </is>
      </c>
      <c r="EW456" s="20" t="inlineStr">
        <is>
          <t>None</t>
        </is>
      </c>
      <c r="EX456" s="17" t="n"/>
      <c r="EY456" s="21" t="n"/>
      <c r="EZ456">
        <f>CONCATENATE(A456,B456)</f>
        <v/>
      </c>
      <c r="FA456">
        <f>CONCATENATE(SamplesX!A456,SamplesX!B456)</f>
        <v/>
      </c>
      <c r="FC456">
        <f>MATCH(EZ456,FA1:FA1008,0)</f>
        <v/>
      </c>
    </row>
    <row r="457">
      <c r="A457" s="16" t="n"/>
      <c r="B457" s="17" t="n"/>
      <c r="C457" s="10">
        <f>IF(ISNUMBER(FC457),INDIRECT("SamplesX!C"&amp;FC457),IF(ISNUMBER(FD457),INDIRECT("SamplesY!C"&amp;FD457),""))</f>
        <v/>
      </c>
      <c r="D457" s="12">
        <f>IF(ISNUMBER(FC457),INDIRECT("SamplesX!D"&amp;FC457),IF(ISNUMBER(FD457),INDIRECT("SamplesY!D"&amp;FD457),""))</f>
        <v/>
      </c>
      <c r="E457" s="12">
        <f>IF(ISNUMBER(FC457),INDIRECT("SamplesX!E"&amp;FC457),IF(ISNUMBER(FD457),INDIRECT("SamplesY!E"&amp;FD457),""))</f>
        <v/>
      </c>
      <c r="F457" s="11">
        <f>IF(ISNUMBER(FC457),INDIRECT("SamplesX!F"&amp;FC457),IF(ISNUMBER(FD457),INDIRECT("SamplesY!F"&amp;FD457),""))</f>
        <v/>
      </c>
      <c r="G457" s="18">
        <f>IF(ISNUMBER(FC457),INDIRECT("SamplesX!G"&amp;FC457),IF(ISNUMBER(FD457),INDIRECT("SamplesY!G"&amp;FD457),""))</f>
        <v/>
      </c>
      <c r="H457" s="19">
        <f>IF(ISNUMBER(FC457),INDIRECT("SamplesX!H"&amp;FC457),IF(ISNUMBER(FD457),INDIRECT("SamplesY!H"&amp;FD457),""))</f>
        <v/>
      </c>
      <c r="I457" s="16" t="n"/>
      <c r="J457" s="16" t="n"/>
      <c r="K457" s="16" t="n"/>
      <c r="L457" s="20" t="n"/>
      <c r="M457" s="20" t="inlineStr">
        <is>
          <t>None</t>
        </is>
      </c>
      <c r="N457" s="17" t="n"/>
      <c r="O457" s="16" t="n"/>
      <c r="P457" s="20" t="inlineStr">
        <is>
          <t>Shimadzu TOC-L</t>
        </is>
      </c>
      <c r="Q457" s="20" t="inlineStr">
        <is>
          <t>None</t>
        </is>
      </c>
      <c r="R457" s="17" t="n"/>
      <c r="S457" s="16" t="n"/>
      <c r="T457" s="20" t="inlineStr">
        <is>
          <t>Shimadzu TOC-L</t>
        </is>
      </c>
      <c r="U457" s="20" t="inlineStr">
        <is>
          <t>None</t>
        </is>
      </c>
      <c r="V457" s="17" t="n"/>
      <c r="W457" s="16" t="n"/>
      <c r="X457" s="20" t="n"/>
      <c r="Y457" s="20" t="inlineStr">
        <is>
          <t>None</t>
        </is>
      </c>
      <c r="Z457" s="17" t="n"/>
      <c r="AA457" s="16" t="n"/>
      <c r="AB457" s="20" t="n"/>
      <c r="AC457" s="20" t="inlineStr">
        <is>
          <t>None</t>
        </is>
      </c>
      <c r="AD457" s="17" t="n"/>
      <c r="AE457" s="16" t="n"/>
      <c r="AF457" s="20" t="inlineStr">
        <is>
          <t>IC Anionen</t>
        </is>
      </c>
      <c r="AG457" s="20" t="inlineStr">
        <is>
          <t>None</t>
        </is>
      </c>
      <c r="AH457" s="17" t="n"/>
      <c r="AI457" s="16" t="n"/>
      <c r="AJ457" s="20" t="n"/>
      <c r="AK457" s="20" t="inlineStr">
        <is>
          <t>None</t>
        </is>
      </c>
      <c r="AL457" s="17" t="n"/>
      <c r="AM457" s="16" t="n"/>
      <c r="AN457" s="20" t="inlineStr">
        <is>
          <t>IC Anionen</t>
        </is>
      </c>
      <c r="AO457" s="20" t="inlineStr">
        <is>
          <t>None</t>
        </is>
      </c>
      <c r="AP457" s="17" t="n"/>
      <c r="AQ457" s="16" t="n"/>
      <c r="AR457" s="20" t="n"/>
      <c r="AS457" s="20" t="inlineStr">
        <is>
          <t>None</t>
        </is>
      </c>
      <c r="AT457" s="17" t="n"/>
      <c r="AU457" s="16" t="n"/>
      <c r="AV457" s="20" t="n"/>
      <c r="AW457" s="20" t="inlineStr">
        <is>
          <t>None</t>
        </is>
      </c>
      <c r="AX457" s="17" t="n"/>
      <c r="AY457" s="16" t="n"/>
      <c r="AZ457" s="20" t="inlineStr">
        <is>
          <t>IC Anionen</t>
        </is>
      </c>
      <c r="BA457" s="20" t="inlineStr">
        <is>
          <t>None</t>
        </is>
      </c>
      <c r="BB457" s="17" t="n"/>
      <c r="BC457" s="16" t="n"/>
      <c r="BD457" s="20" t="inlineStr">
        <is>
          <t>IC Kationen</t>
        </is>
      </c>
      <c r="BE457" s="20" t="inlineStr">
        <is>
          <t>None</t>
        </is>
      </c>
      <c r="BF457" s="17" t="n"/>
      <c r="BG457" s="16" t="n"/>
      <c r="BH457" s="20" t="inlineStr">
        <is>
          <t>IC Kationen</t>
        </is>
      </c>
      <c r="BI457" s="20" t="inlineStr">
        <is>
          <t>None</t>
        </is>
      </c>
      <c r="BJ457" s="17" t="n"/>
      <c r="BK457" s="16" t="n"/>
      <c r="BL457" s="20" t="inlineStr">
        <is>
          <t>IC Kationen</t>
        </is>
      </c>
      <c r="BM457" s="20" t="inlineStr">
        <is>
          <t>None</t>
        </is>
      </c>
      <c r="BN457" s="17" t="n"/>
      <c r="BO457" s="16" t="n"/>
      <c r="BP457" s="20" t="inlineStr">
        <is>
          <t>IC Kationen</t>
        </is>
      </c>
      <c r="BQ457" s="20" t="inlineStr">
        <is>
          <t>None</t>
        </is>
      </c>
      <c r="BR457" s="17" t="n"/>
      <c r="BS457" s="16" t="n"/>
      <c r="BT457" s="20" t="inlineStr">
        <is>
          <t>IC Kationen</t>
        </is>
      </c>
      <c r="BU457" s="20" t="inlineStr">
        <is>
          <t>None</t>
        </is>
      </c>
      <c r="BV457" s="17" t="n"/>
      <c r="BW457" s="16" t="n"/>
      <c r="BX457" s="20" t="n"/>
      <c r="BY457" s="20" t="inlineStr">
        <is>
          <t>None</t>
        </is>
      </c>
      <c r="BZ457" s="17" t="n"/>
      <c r="CA457" s="16" t="n"/>
      <c r="CB457" s="20" t="n"/>
      <c r="CC457" s="20" t="inlineStr">
        <is>
          <t>None</t>
        </is>
      </c>
      <c r="CD457" s="17" t="n"/>
      <c r="CE457" s="16" t="n"/>
      <c r="CF457" s="20" t="n"/>
      <c r="CG457" s="20" t="inlineStr">
        <is>
          <t>None</t>
        </is>
      </c>
      <c r="CH457" s="17" t="n"/>
      <c r="CI457" s="16" t="n"/>
      <c r="CJ457" s="20" t="n"/>
      <c r="CK457" s="20" t="inlineStr">
        <is>
          <t>None</t>
        </is>
      </c>
      <c r="CL457" s="17" t="n"/>
      <c r="CM457" s="16" t="n"/>
      <c r="CN457" s="20" t="inlineStr">
        <is>
          <t>SOP 45-34</t>
        </is>
      </c>
      <c r="CO457" s="20" t="inlineStr">
        <is>
          <t>None</t>
        </is>
      </c>
      <c r="CP457" s="17" t="n"/>
      <c r="CQ457" s="16" t="n"/>
      <c r="CR457" s="20" t="n"/>
      <c r="CS457" s="20" t="inlineStr">
        <is>
          <t>None</t>
        </is>
      </c>
      <c r="CT457" s="17" t="n"/>
      <c r="CU457" s="16" t="n"/>
      <c r="CV457" s="20" t="n"/>
      <c r="CW457" s="20" t="inlineStr">
        <is>
          <t>None</t>
        </is>
      </c>
      <c r="CX457" s="17" t="n"/>
      <c r="CY457" s="16" t="n"/>
      <c r="CZ457" s="20" t="inlineStr">
        <is>
          <t>WTW Multimeter 3430 with FDO 925</t>
        </is>
      </c>
      <c r="DA457" s="20" t="inlineStr">
        <is>
          <t>None</t>
        </is>
      </c>
      <c r="DB457" s="17" t="n"/>
      <c r="DC457" s="16" t="n"/>
      <c r="DD457" s="20" t="n"/>
      <c r="DE457" s="20" t="inlineStr">
        <is>
          <t>None</t>
        </is>
      </c>
      <c r="DF457" s="17" t="n"/>
      <c r="DG457" s="16" t="n"/>
      <c r="DH457" s="20" t="inlineStr">
        <is>
          <t>SOP 45-09</t>
        </is>
      </c>
      <c r="DI457" s="20" t="inlineStr">
        <is>
          <t>None</t>
        </is>
      </c>
      <c r="DJ457" s="17" t="n"/>
      <c r="DK457" s="16" t="n"/>
      <c r="DL457" s="20" t="inlineStr">
        <is>
          <t>SOP 45-09 (SOP muss noch angepasst werden für VSS)</t>
        </is>
      </c>
      <c r="DM457" s="20" t="inlineStr">
        <is>
          <t>None</t>
        </is>
      </c>
      <c r="DN457" s="17" t="n"/>
      <c r="DO457" s="16" t="n"/>
      <c r="DP457" s="20" t="inlineStr">
        <is>
          <t>IC Organic Acids</t>
        </is>
      </c>
      <c r="DQ457" s="20" t="inlineStr">
        <is>
          <t>None</t>
        </is>
      </c>
      <c r="DR457" s="17" t="n"/>
      <c r="DS457" s="16" t="n"/>
      <c r="DT457" s="20" t="inlineStr">
        <is>
          <t>IC Organic Acids</t>
        </is>
      </c>
      <c r="DU457" s="20" t="inlineStr">
        <is>
          <t>None</t>
        </is>
      </c>
      <c r="DV457" s="17" t="n"/>
      <c r="DW457" s="16" t="n"/>
      <c r="DX457" s="20" t="inlineStr">
        <is>
          <t>IC Organic Acids</t>
        </is>
      </c>
      <c r="DY457" s="20" t="inlineStr">
        <is>
          <t>None</t>
        </is>
      </c>
      <c r="DZ457" s="17" t="n"/>
      <c r="EA457" s="16" t="n"/>
      <c r="EB457" s="20" t="inlineStr">
        <is>
          <t>IC Organic Acids</t>
        </is>
      </c>
      <c r="EC457" s="20" t="inlineStr">
        <is>
          <t>None</t>
        </is>
      </c>
      <c r="ED457" s="17" t="n"/>
      <c r="EE457" s="16" t="n"/>
      <c r="EF457" s="20" t="inlineStr">
        <is>
          <t>IC Organic Acids</t>
        </is>
      </c>
      <c r="EG457" s="20" t="inlineStr">
        <is>
          <t>None</t>
        </is>
      </c>
      <c r="EH457" s="17" t="n"/>
      <c r="EI457" s="16" t="n"/>
      <c r="EJ457" s="20" t="inlineStr">
        <is>
          <t>IC Organic Acids</t>
        </is>
      </c>
      <c r="EK457" s="20" t="inlineStr">
        <is>
          <t>None</t>
        </is>
      </c>
      <c r="EL457" s="17" t="n"/>
      <c r="EM457" s="16" t="n"/>
      <c r="EN457" s="20" t="inlineStr">
        <is>
          <t>IC Organic Acids</t>
        </is>
      </c>
      <c r="EO457" s="20" t="inlineStr">
        <is>
          <t>None</t>
        </is>
      </c>
      <c r="EP457" s="17" t="n"/>
      <c r="EQ457" s="16" t="n"/>
      <c r="ER457" s="20" t="inlineStr">
        <is>
          <t>IC Organic Acids</t>
        </is>
      </c>
      <c r="ES457" s="20" t="inlineStr">
        <is>
          <t>None</t>
        </is>
      </c>
      <c r="ET457" s="17" t="n"/>
      <c r="EU457" s="16" t="n"/>
      <c r="EV457" s="20" t="inlineStr">
        <is>
          <t>LC-MS</t>
        </is>
      </c>
      <c r="EW457" s="20" t="inlineStr">
        <is>
          <t>None</t>
        </is>
      </c>
      <c r="EX457" s="17" t="n"/>
      <c r="EY457" s="21" t="n"/>
      <c r="EZ457">
        <f>CONCATENATE(A457,B457)</f>
        <v/>
      </c>
      <c r="FA457">
        <f>CONCATENATE(SamplesX!A457,SamplesX!B457)</f>
        <v/>
      </c>
      <c r="FC457">
        <f>MATCH(EZ457,FA1:FA1008,0)</f>
        <v/>
      </c>
    </row>
    <row r="458">
      <c r="A458" s="16" t="n"/>
      <c r="B458" s="17" t="n"/>
      <c r="C458" s="10">
        <f>IF(ISNUMBER(FC458),INDIRECT("SamplesX!C"&amp;FC458),IF(ISNUMBER(FD458),INDIRECT("SamplesY!C"&amp;FD458),""))</f>
        <v/>
      </c>
      <c r="D458" s="12">
        <f>IF(ISNUMBER(FC458),INDIRECT("SamplesX!D"&amp;FC458),IF(ISNUMBER(FD458),INDIRECT("SamplesY!D"&amp;FD458),""))</f>
        <v/>
      </c>
      <c r="E458" s="12">
        <f>IF(ISNUMBER(FC458),INDIRECT("SamplesX!E"&amp;FC458),IF(ISNUMBER(FD458),INDIRECT("SamplesY!E"&amp;FD458),""))</f>
        <v/>
      </c>
      <c r="F458" s="11">
        <f>IF(ISNUMBER(FC458),INDIRECT("SamplesX!F"&amp;FC458),IF(ISNUMBER(FD458),INDIRECT("SamplesY!F"&amp;FD458),""))</f>
        <v/>
      </c>
      <c r="G458" s="18">
        <f>IF(ISNUMBER(FC458),INDIRECT("SamplesX!G"&amp;FC458),IF(ISNUMBER(FD458),INDIRECT("SamplesY!G"&amp;FD458),""))</f>
        <v/>
      </c>
      <c r="H458" s="19">
        <f>IF(ISNUMBER(FC458),INDIRECT("SamplesX!H"&amp;FC458),IF(ISNUMBER(FD458),INDIRECT("SamplesY!H"&amp;FD458),""))</f>
        <v/>
      </c>
      <c r="I458" s="16" t="n"/>
      <c r="J458" s="16" t="n"/>
      <c r="K458" s="16" t="n"/>
      <c r="L458" s="20" t="n"/>
      <c r="M458" s="20" t="inlineStr">
        <is>
          <t>None</t>
        </is>
      </c>
      <c r="N458" s="17" t="n"/>
      <c r="O458" s="16" t="n"/>
      <c r="P458" s="20" t="inlineStr">
        <is>
          <t>Shimadzu TOC-L</t>
        </is>
      </c>
      <c r="Q458" s="20" t="inlineStr">
        <is>
          <t>None</t>
        </is>
      </c>
      <c r="R458" s="17" t="n"/>
      <c r="S458" s="16" t="n"/>
      <c r="T458" s="20" t="inlineStr">
        <is>
          <t>Shimadzu TOC-L</t>
        </is>
      </c>
      <c r="U458" s="20" t="inlineStr">
        <is>
          <t>None</t>
        </is>
      </c>
      <c r="V458" s="17" t="n"/>
      <c r="W458" s="16" t="n"/>
      <c r="X458" s="20" t="n"/>
      <c r="Y458" s="20" t="inlineStr">
        <is>
          <t>None</t>
        </is>
      </c>
      <c r="Z458" s="17" t="n"/>
      <c r="AA458" s="16" t="n"/>
      <c r="AB458" s="20" t="n"/>
      <c r="AC458" s="20" t="inlineStr">
        <is>
          <t>None</t>
        </is>
      </c>
      <c r="AD458" s="17" t="n"/>
      <c r="AE458" s="16" t="n"/>
      <c r="AF458" s="20" t="inlineStr">
        <is>
          <t>IC Anionen</t>
        </is>
      </c>
      <c r="AG458" s="20" t="inlineStr">
        <is>
          <t>None</t>
        </is>
      </c>
      <c r="AH458" s="17" t="n"/>
      <c r="AI458" s="16" t="n"/>
      <c r="AJ458" s="20" t="n"/>
      <c r="AK458" s="20" t="inlineStr">
        <is>
          <t>None</t>
        </is>
      </c>
      <c r="AL458" s="17" t="n"/>
      <c r="AM458" s="16" t="n"/>
      <c r="AN458" s="20" t="inlineStr">
        <is>
          <t>IC Anionen</t>
        </is>
      </c>
      <c r="AO458" s="20" t="inlineStr">
        <is>
          <t>None</t>
        </is>
      </c>
      <c r="AP458" s="17" t="n"/>
      <c r="AQ458" s="16" t="n"/>
      <c r="AR458" s="20" t="n"/>
      <c r="AS458" s="20" t="inlineStr">
        <is>
          <t>None</t>
        </is>
      </c>
      <c r="AT458" s="17" t="n"/>
      <c r="AU458" s="16" t="n"/>
      <c r="AV458" s="20" t="n"/>
      <c r="AW458" s="20" t="inlineStr">
        <is>
          <t>None</t>
        </is>
      </c>
      <c r="AX458" s="17" t="n"/>
      <c r="AY458" s="16" t="n"/>
      <c r="AZ458" s="20" t="inlineStr">
        <is>
          <t>IC Anionen</t>
        </is>
      </c>
      <c r="BA458" s="20" t="inlineStr">
        <is>
          <t>None</t>
        </is>
      </c>
      <c r="BB458" s="17" t="n"/>
      <c r="BC458" s="16" t="n"/>
      <c r="BD458" s="20" t="inlineStr">
        <is>
          <t>IC Kationen</t>
        </is>
      </c>
      <c r="BE458" s="20" t="inlineStr">
        <is>
          <t>None</t>
        </is>
      </c>
      <c r="BF458" s="17" t="n"/>
      <c r="BG458" s="16" t="n"/>
      <c r="BH458" s="20" t="inlineStr">
        <is>
          <t>IC Kationen</t>
        </is>
      </c>
      <c r="BI458" s="20" t="inlineStr">
        <is>
          <t>None</t>
        </is>
      </c>
      <c r="BJ458" s="17" t="n"/>
      <c r="BK458" s="16" t="n"/>
      <c r="BL458" s="20" t="inlineStr">
        <is>
          <t>IC Kationen</t>
        </is>
      </c>
      <c r="BM458" s="20" t="inlineStr">
        <is>
          <t>None</t>
        </is>
      </c>
      <c r="BN458" s="17" t="n"/>
      <c r="BO458" s="16" t="n"/>
      <c r="BP458" s="20" t="inlineStr">
        <is>
          <t>IC Kationen</t>
        </is>
      </c>
      <c r="BQ458" s="20" t="inlineStr">
        <is>
          <t>None</t>
        </is>
      </c>
      <c r="BR458" s="17" t="n"/>
      <c r="BS458" s="16" t="n"/>
      <c r="BT458" s="20" t="inlineStr">
        <is>
          <t>IC Kationen</t>
        </is>
      </c>
      <c r="BU458" s="20" t="inlineStr">
        <is>
          <t>None</t>
        </is>
      </c>
      <c r="BV458" s="17" t="n"/>
      <c r="BW458" s="16" t="n"/>
      <c r="BX458" s="20" t="n"/>
      <c r="BY458" s="20" t="inlineStr">
        <is>
          <t>None</t>
        </is>
      </c>
      <c r="BZ458" s="17" t="n"/>
      <c r="CA458" s="16" t="n"/>
      <c r="CB458" s="20" t="n"/>
      <c r="CC458" s="20" t="inlineStr">
        <is>
          <t>None</t>
        </is>
      </c>
      <c r="CD458" s="17" t="n"/>
      <c r="CE458" s="16" t="n"/>
      <c r="CF458" s="20" t="n"/>
      <c r="CG458" s="20" t="inlineStr">
        <is>
          <t>None</t>
        </is>
      </c>
      <c r="CH458" s="17" t="n"/>
      <c r="CI458" s="16" t="n"/>
      <c r="CJ458" s="20" t="n"/>
      <c r="CK458" s="20" t="inlineStr">
        <is>
          <t>None</t>
        </is>
      </c>
      <c r="CL458" s="17" t="n"/>
      <c r="CM458" s="16" t="n"/>
      <c r="CN458" s="20" t="inlineStr">
        <is>
          <t>SOP 45-34</t>
        </is>
      </c>
      <c r="CO458" s="20" t="inlineStr">
        <is>
          <t>None</t>
        </is>
      </c>
      <c r="CP458" s="17" t="n"/>
      <c r="CQ458" s="16" t="n"/>
      <c r="CR458" s="20" t="n"/>
      <c r="CS458" s="20" t="inlineStr">
        <is>
          <t>None</t>
        </is>
      </c>
      <c r="CT458" s="17" t="n"/>
      <c r="CU458" s="16" t="n"/>
      <c r="CV458" s="20" t="n"/>
      <c r="CW458" s="20" t="inlineStr">
        <is>
          <t>None</t>
        </is>
      </c>
      <c r="CX458" s="17" t="n"/>
      <c r="CY458" s="16" t="n"/>
      <c r="CZ458" s="20" t="inlineStr">
        <is>
          <t>WTW Multimeter 3430 with FDO 925</t>
        </is>
      </c>
      <c r="DA458" s="20" t="inlineStr">
        <is>
          <t>None</t>
        </is>
      </c>
      <c r="DB458" s="17" t="n"/>
      <c r="DC458" s="16" t="n"/>
      <c r="DD458" s="20" t="n"/>
      <c r="DE458" s="20" t="inlineStr">
        <is>
          <t>None</t>
        </is>
      </c>
      <c r="DF458" s="17" t="n"/>
      <c r="DG458" s="16" t="n"/>
      <c r="DH458" s="20" t="inlineStr">
        <is>
          <t>SOP 45-09</t>
        </is>
      </c>
      <c r="DI458" s="20" t="inlineStr">
        <is>
          <t>None</t>
        </is>
      </c>
      <c r="DJ458" s="17" t="n"/>
      <c r="DK458" s="16" t="n"/>
      <c r="DL458" s="20" t="inlineStr">
        <is>
          <t>SOP 45-09 (SOP muss noch angepasst werden für VSS)</t>
        </is>
      </c>
      <c r="DM458" s="20" t="inlineStr">
        <is>
          <t>None</t>
        </is>
      </c>
      <c r="DN458" s="17" t="n"/>
      <c r="DO458" s="16" t="n"/>
      <c r="DP458" s="20" t="inlineStr">
        <is>
          <t>IC Organic Acids</t>
        </is>
      </c>
      <c r="DQ458" s="20" t="inlineStr">
        <is>
          <t>None</t>
        </is>
      </c>
      <c r="DR458" s="17" t="n"/>
      <c r="DS458" s="16" t="n"/>
      <c r="DT458" s="20" t="inlineStr">
        <is>
          <t>IC Organic Acids</t>
        </is>
      </c>
      <c r="DU458" s="20" t="inlineStr">
        <is>
          <t>None</t>
        </is>
      </c>
      <c r="DV458" s="17" t="n"/>
      <c r="DW458" s="16" t="n"/>
      <c r="DX458" s="20" t="inlineStr">
        <is>
          <t>IC Organic Acids</t>
        </is>
      </c>
      <c r="DY458" s="20" t="inlineStr">
        <is>
          <t>None</t>
        </is>
      </c>
      <c r="DZ458" s="17" t="n"/>
      <c r="EA458" s="16" t="n"/>
      <c r="EB458" s="20" t="inlineStr">
        <is>
          <t>IC Organic Acids</t>
        </is>
      </c>
      <c r="EC458" s="20" t="inlineStr">
        <is>
          <t>None</t>
        </is>
      </c>
      <c r="ED458" s="17" t="n"/>
      <c r="EE458" s="16" t="n"/>
      <c r="EF458" s="20" t="inlineStr">
        <is>
          <t>IC Organic Acids</t>
        </is>
      </c>
      <c r="EG458" s="20" t="inlineStr">
        <is>
          <t>None</t>
        </is>
      </c>
      <c r="EH458" s="17" t="n"/>
      <c r="EI458" s="16" t="n"/>
      <c r="EJ458" s="20" t="inlineStr">
        <is>
          <t>IC Organic Acids</t>
        </is>
      </c>
      <c r="EK458" s="20" t="inlineStr">
        <is>
          <t>None</t>
        </is>
      </c>
      <c r="EL458" s="17" t="n"/>
      <c r="EM458" s="16" t="n"/>
      <c r="EN458" s="20" t="inlineStr">
        <is>
          <t>IC Organic Acids</t>
        </is>
      </c>
      <c r="EO458" s="20" t="inlineStr">
        <is>
          <t>None</t>
        </is>
      </c>
      <c r="EP458" s="17" t="n"/>
      <c r="EQ458" s="16" t="n"/>
      <c r="ER458" s="20" t="inlineStr">
        <is>
          <t>IC Organic Acids</t>
        </is>
      </c>
      <c r="ES458" s="20" t="inlineStr">
        <is>
          <t>None</t>
        </is>
      </c>
      <c r="ET458" s="17" t="n"/>
      <c r="EU458" s="16" t="n"/>
      <c r="EV458" s="20" t="inlineStr">
        <is>
          <t>LC-MS</t>
        </is>
      </c>
      <c r="EW458" s="20" t="inlineStr">
        <is>
          <t>None</t>
        </is>
      </c>
      <c r="EX458" s="17" t="n"/>
      <c r="EY458" s="21" t="n"/>
      <c r="EZ458">
        <f>CONCATENATE(A458,B458)</f>
        <v/>
      </c>
      <c r="FA458">
        <f>CONCATENATE(SamplesX!A458,SamplesX!B458)</f>
        <v/>
      </c>
      <c r="FC458">
        <f>MATCH(EZ458,FA1:FA1008,0)</f>
        <v/>
      </c>
    </row>
    <row r="459">
      <c r="A459" s="16" t="n"/>
      <c r="B459" s="17" t="n"/>
      <c r="C459" s="10">
        <f>IF(ISNUMBER(FC459),INDIRECT("SamplesX!C"&amp;FC459),IF(ISNUMBER(FD459),INDIRECT("SamplesY!C"&amp;FD459),""))</f>
        <v/>
      </c>
      <c r="D459" s="12">
        <f>IF(ISNUMBER(FC459),INDIRECT("SamplesX!D"&amp;FC459),IF(ISNUMBER(FD459),INDIRECT("SamplesY!D"&amp;FD459),""))</f>
        <v/>
      </c>
      <c r="E459" s="12">
        <f>IF(ISNUMBER(FC459),INDIRECT("SamplesX!E"&amp;FC459),IF(ISNUMBER(FD459),INDIRECT("SamplesY!E"&amp;FD459),""))</f>
        <v/>
      </c>
      <c r="F459" s="11">
        <f>IF(ISNUMBER(FC459),INDIRECT("SamplesX!F"&amp;FC459),IF(ISNUMBER(FD459),INDIRECT("SamplesY!F"&amp;FD459),""))</f>
        <v/>
      </c>
      <c r="G459" s="18">
        <f>IF(ISNUMBER(FC459),INDIRECT("SamplesX!G"&amp;FC459),IF(ISNUMBER(FD459),INDIRECT("SamplesY!G"&amp;FD459),""))</f>
        <v/>
      </c>
      <c r="H459" s="19">
        <f>IF(ISNUMBER(FC459),INDIRECT("SamplesX!H"&amp;FC459),IF(ISNUMBER(FD459),INDIRECT("SamplesY!H"&amp;FD459),""))</f>
        <v/>
      </c>
      <c r="I459" s="16" t="n"/>
      <c r="J459" s="16" t="n"/>
      <c r="K459" s="16" t="n"/>
      <c r="L459" s="20" t="n"/>
      <c r="M459" s="20" t="inlineStr">
        <is>
          <t>None</t>
        </is>
      </c>
      <c r="N459" s="17" t="n"/>
      <c r="O459" s="16" t="n"/>
      <c r="P459" s="20" t="inlineStr">
        <is>
          <t>Shimadzu TOC-L</t>
        </is>
      </c>
      <c r="Q459" s="20" t="inlineStr">
        <is>
          <t>None</t>
        </is>
      </c>
      <c r="R459" s="17" t="n"/>
      <c r="S459" s="16" t="n"/>
      <c r="T459" s="20" t="inlineStr">
        <is>
          <t>Shimadzu TOC-L</t>
        </is>
      </c>
      <c r="U459" s="20" t="inlineStr">
        <is>
          <t>None</t>
        </is>
      </c>
      <c r="V459" s="17" t="n"/>
      <c r="W459" s="16" t="n"/>
      <c r="X459" s="20" t="n"/>
      <c r="Y459" s="20" t="inlineStr">
        <is>
          <t>None</t>
        </is>
      </c>
      <c r="Z459" s="17" t="n"/>
      <c r="AA459" s="16" t="n"/>
      <c r="AB459" s="20" t="n"/>
      <c r="AC459" s="20" t="inlineStr">
        <is>
          <t>None</t>
        </is>
      </c>
      <c r="AD459" s="17" t="n"/>
      <c r="AE459" s="16" t="n"/>
      <c r="AF459" s="20" t="inlineStr">
        <is>
          <t>IC Anionen</t>
        </is>
      </c>
      <c r="AG459" s="20" t="inlineStr">
        <is>
          <t>None</t>
        </is>
      </c>
      <c r="AH459" s="17" t="n"/>
      <c r="AI459" s="16" t="n"/>
      <c r="AJ459" s="20" t="n"/>
      <c r="AK459" s="20" t="inlineStr">
        <is>
          <t>None</t>
        </is>
      </c>
      <c r="AL459" s="17" t="n"/>
      <c r="AM459" s="16" t="n"/>
      <c r="AN459" s="20" t="inlineStr">
        <is>
          <t>IC Anionen</t>
        </is>
      </c>
      <c r="AO459" s="20" t="inlineStr">
        <is>
          <t>None</t>
        </is>
      </c>
      <c r="AP459" s="17" t="n"/>
      <c r="AQ459" s="16" t="n"/>
      <c r="AR459" s="20" t="n"/>
      <c r="AS459" s="20" t="inlineStr">
        <is>
          <t>None</t>
        </is>
      </c>
      <c r="AT459" s="17" t="n"/>
      <c r="AU459" s="16" t="n"/>
      <c r="AV459" s="20" t="n"/>
      <c r="AW459" s="20" t="inlineStr">
        <is>
          <t>None</t>
        </is>
      </c>
      <c r="AX459" s="17" t="n"/>
      <c r="AY459" s="16" t="n"/>
      <c r="AZ459" s="20" t="inlineStr">
        <is>
          <t>IC Anionen</t>
        </is>
      </c>
      <c r="BA459" s="20" t="inlineStr">
        <is>
          <t>None</t>
        </is>
      </c>
      <c r="BB459" s="17" t="n"/>
      <c r="BC459" s="16" t="n"/>
      <c r="BD459" s="20" t="inlineStr">
        <is>
          <t>IC Kationen</t>
        </is>
      </c>
      <c r="BE459" s="20" t="inlineStr">
        <is>
          <t>None</t>
        </is>
      </c>
      <c r="BF459" s="17" t="n"/>
      <c r="BG459" s="16" t="n"/>
      <c r="BH459" s="20" t="inlineStr">
        <is>
          <t>IC Kationen</t>
        </is>
      </c>
      <c r="BI459" s="20" t="inlineStr">
        <is>
          <t>None</t>
        </is>
      </c>
      <c r="BJ459" s="17" t="n"/>
      <c r="BK459" s="16" t="n"/>
      <c r="BL459" s="20" t="inlineStr">
        <is>
          <t>IC Kationen</t>
        </is>
      </c>
      <c r="BM459" s="20" t="inlineStr">
        <is>
          <t>None</t>
        </is>
      </c>
      <c r="BN459" s="17" t="n"/>
      <c r="BO459" s="16" t="n"/>
      <c r="BP459" s="20" t="inlineStr">
        <is>
          <t>IC Kationen</t>
        </is>
      </c>
      <c r="BQ459" s="20" t="inlineStr">
        <is>
          <t>None</t>
        </is>
      </c>
      <c r="BR459" s="17" t="n"/>
      <c r="BS459" s="16" t="n"/>
      <c r="BT459" s="20" t="inlineStr">
        <is>
          <t>IC Kationen</t>
        </is>
      </c>
      <c r="BU459" s="20" t="inlineStr">
        <is>
          <t>None</t>
        </is>
      </c>
      <c r="BV459" s="17" t="n"/>
      <c r="BW459" s="16" t="n"/>
      <c r="BX459" s="20" t="n"/>
      <c r="BY459" s="20" t="inlineStr">
        <is>
          <t>None</t>
        </is>
      </c>
      <c r="BZ459" s="17" t="n"/>
      <c r="CA459" s="16" t="n"/>
      <c r="CB459" s="20" t="n"/>
      <c r="CC459" s="20" t="inlineStr">
        <is>
          <t>None</t>
        </is>
      </c>
      <c r="CD459" s="17" t="n"/>
      <c r="CE459" s="16" t="n"/>
      <c r="CF459" s="20" t="n"/>
      <c r="CG459" s="20" t="inlineStr">
        <is>
          <t>None</t>
        </is>
      </c>
      <c r="CH459" s="17" t="n"/>
      <c r="CI459" s="16" t="n"/>
      <c r="CJ459" s="20" t="n"/>
      <c r="CK459" s="20" t="inlineStr">
        <is>
          <t>None</t>
        </is>
      </c>
      <c r="CL459" s="17" t="n"/>
      <c r="CM459" s="16" t="n"/>
      <c r="CN459" s="20" t="inlineStr">
        <is>
          <t>SOP 45-34</t>
        </is>
      </c>
      <c r="CO459" s="20" t="inlineStr">
        <is>
          <t>None</t>
        </is>
      </c>
      <c r="CP459" s="17" t="n"/>
      <c r="CQ459" s="16" t="n"/>
      <c r="CR459" s="20" t="n"/>
      <c r="CS459" s="20" t="inlineStr">
        <is>
          <t>None</t>
        </is>
      </c>
      <c r="CT459" s="17" t="n"/>
      <c r="CU459" s="16" t="n"/>
      <c r="CV459" s="20" t="n"/>
      <c r="CW459" s="20" t="inlineStr">
        <is>
          <t>None</t>
        </is>
      </c>
      <c r="CX459" s="17" t="n"/>
      <c r="CY459" s="16" t="n"/>
      <c r="CZ459" s="20" t="inlineStr">
        <is>
          <t>WTW Multimeter 3430 with FDO 925</t>
        </is>
      </c>
      <c r="DA459" s="20" t="inlineStr">
        <is>
          <t>None</t>
        </is>
      </c>
      <c r="DB459" s="17" t="n"/>
      <c r="DC459" s="16" t="n"/>
      <c r="DD459" s="20" t="n"/>
      <c r="DE459" s="20" t="inlineStr">
        <is>
          <t>None</t>
        </is>
      </c>
      <c r="DF459" s="17" t="n"/>
      <c r="DG459" s="16" t="n"/>
      <c r="DH459" s="20" t="inlineStr">
        <is>
          <t>SOP 45-09</t>
        </is>
      </c>
      <c r="DI459" s="20" t="inlineStr">
        <is>
          <t>None</t>
        </is>
      </c>
      <c r="DJ459" s="17" t="n"/>
      <c r="DK459" s="16" t="n"/>
      <c r="DL459" s="20" t="inlineStr">
        <is>
          <t>SOP 45-09 (SOP muss noch angepasst werden für VSS)</t>
        </is>
      </c>
      <c r="DM459" s="20" t="inlineStr">
        <is>
          <t>None</t>
        </is>
      </c>
      <c r="DN459" s="17" t="n"/>
      <c r="DO459" s="16" t="n"/>
      <c r="DP459" s="20" t="inlineStr">
        <is>
          <t>IC Organic Acids</t>
        </is>
      </c>
      <c r="DQ459" s="20" t="inlineStr">
        <is>
          <t>None</t>
        </is>
      </c>
      <c r="DR459" s="17" t="n"/>
      <c r="DS459" s="16" t="n"/>
      <c r="DT459" s="20" t="inlineStr">
        <is>
          <t>IC Organic Acids</t>
        </is>
      </c>
      <c r="DU459" s="20" t="inlineStr">
        <is>
          <t>None</t>
        </is>
      </c>
      <c r="DV459" s="17" t="n"/>
      <c r="DW459" s="16" t="n"/>
      <c r="DX459" s="20" t="inlineStr">
        <is>
          <t>IC Organic Acids</t>
        </is>
      </c>
      <c r="DY459" s="20" t="inlineStr">
        <is>
          <t>None</t>
        </is>
      </c>
      <c r="DZ459" s="17" t="n"/>
      <c r="EA459" s="16" t="n"/>
      <c r="EB459" s="20" t="inlineStr">
        <is>
          <t>IC Organic Acids</t>
        </is>
      </c>
      <c r="EC459" s="20" t="inlineStr">
        <is>
          <t>None</t>
        </is>
      </c>
      <c r="ED459" s="17" t="n"/>
      <c r="EE459" s="16" t="n"/>
      <c r="EF459" s="20" t="inlineStr">
        <is>
          <t>IC Organic Acids</t>
        </is>
      </c>
      <c r="EG459" s="20" t="inlineStr">
        <is>
          <t>None</t>
        </is>
      </c>
      <c r="EH459" s="17" t="n"/>
      <c r="EI459" s="16" t="n"/>
      <c r="EJ459" s="20" t="inlineStr">
        <is>
          <t>IC Organic Acids</t>
        </is>
      </c>
      <c r="EK459" s="20" t="inlineStr">
        <is>
          <t>None</t>
        </is>
      </c>
      <c r="EL459" s="17" t="n"/>
      <c r="EM459" s="16" t="n"/>
      <c r="EN459" s="20" t="inlineStr">
        <is>
          <t>IC Organic Acids</t>
        </is>
      </c>
      <c r="EO459" s="20" t="inlineStr">
        <is>
          <t>None</t>
        </is>
      </c>
      <c r="EP459" s="17" t="n"/>
      <c r="EQ459" s="16" t="n"/>
      <c r="ER459" s="20" t="inlineStr">
        <is>
          <t>IC Organic Acids</t>
        </is>
      </c>
      <c r="ES459" s="20" t="inlineStr">
        <is>
          <t>None</t>
        </is>
      </c>
      <c r="ET459" s="17" t="n"/>
      <c r="EU459" s="16" t="n"/>
      <c r="EV459" s="20" t="inlineStr">
        <is>
          <t>LC-MS</t>
        </is>
      </c>
      <c r="EW459" s="20" t="inlineStr">
        <is>
          <t>None</t>
        </is>
      </c>
      <c r="EX459" s="17" t="n"/>
      <c r="EY459" s="21" t="n"/>
      <c r="EZ459">
        <f>CONCATENATE(A459,B459)</f>
        <v/>
      </c>
      <c r="FA459">
        <f>CONCATENATE(SamplesX!A459,SamplesX!B459)</f>
        <v/>
      </c>
      <c r="FC459">
        <f>MATCH(EZ459,FA1:FA1008,0)</f>
        <v/>
      </c>
    </row>
    <row r="460">
      <c r="A460" s="16" t="n"/>
      <c r="B460" s="17" t="n"/>
      <c r="C460" s="10">
        <f>IF(ISNUMBER(FC460),INDIRECT("SamplesX!C"&amp;FC460),IF(ISNUMBER(FD460),INDIRECT("SamplesY!C"&amp;FD460),""))</f>
        <v/>
      </c>
      <c r="D460" s="12">
        <f>IF(ISNUMBER(FC460),INDIRECT("SamplesX!D"&amp;FC460),IF(ISNUMBER(FD460),INDIRECT("SamplesY!D"&amp;FD460),""))</f>
        <v/>
      </c>
      <c r="E460" s="12">
        <f>IF(ISNUMBER(FC460),INDIRECT("SamplesX!E"&amp;FC460),IF(ISNUMBER(FD460),INDIRECT("SamplesY!E"&amp;FD460),""))</f>
        <v/>
      </c>
      <c r="F460" s="11">
        <f>IF(ISNUMBER(FC460),INDIRECT("SamplesX!F"&amp;FC460),IF(ISNUMBER(FD460),INDIRECT("SamplesY!F"&amp;FD460),""))</f>
        <v/>
      </c>
      <c r="G460" s="18">
        <f>IF(ISNUMBER(FC460),INDIRECT("SamplesX!G"&amp;FC460),IF(ISNUMBER(FD460),INDIRECT("SamplesY!G"&amp;FD460),""))</f>
        <v/>
      </c>
      <c r="H460" s="19">
        <f>IF(ISNUMBER(FC460),INDIRECT("SamplesX!H"&amp;FC460),IF(ISNUMBER(FD460),INDIRECT("SamplesY!H"&amp;FD460),""))</f>
        <v/>
      </c>
      <c r="I460" s="16" t="n"/>
      <c r="J460" s="16" t="n"/>
      <c r="K460" s="16" t="n"/>
      <c r="L460" s="20" t="n"/>
      <c r="M460" s="20" t="inlineStr">
        <is>
          <t>None</t>
        </is>
      </c>
      <c r="N460" s="17" t="n"/>
      <c r="O460" s="16" t="n"/>
      <c r="P460" s="20" t="inlineStr">
        <is>
          <t>Shimadzu TOC-L</t>
        </is>
      </c>
      <c r="Q460" s="20" t="inlineStr">
        <is>
          <t>None</t>
        </is>
      </c>
      <c r="R460" s="17" t="n"/>
      <c r="S460" s="16" t="n"/>
      <c r="T460" s="20" t="inlineStr">
        <is>
          <t>Shimadzu TOC-L</t>
        </is>
      </c>
      <c r="U460" s="20" t="inlineStr">
        <is>
          <t>None</t>
        </is>
      </c>
      <c r="V460" s="17" t="n"/>
      <c r="W460" s="16" t="n"/>
      <c r="X460" s="20" t="n"/>
      <c r="Y460" s="20" t="inlineStr">
        <is>
          <t>None</t>
        </is>
      </c>
      <c r="Z460" s="17" t="n"/>
      <c r="AA460" s="16" t="n"/>
      <c r="AB460" s="20" t="n"/>
      <c r="AC460" s="20" t="inlineStr">
        <is>
          <t>None</t>
        </is>
      </c>
      <c r="AD460" s="17" t="n"/>
      <c r="AE460" s="16" t="n"/>
      <c r="AF460" s="20" t="inlineStr">
        <is>
          <t>IC Anionen</t>
        </is>
      </c>
      <c r="AG460" s="20" t="inlineStr">
        <is>
          <t>None</t>
        </is>
      </c>
      <c r="AH460" s="17" t="n"/>
      <c r="AI460" s="16" t="n"/>
      <c r="AJ460" s="20" t="n"/>
      <c r="AK460" s="20" t="inlineStr">
        <is>
          <t>None</t>
        </is>
      </c>
      <c r="AL460" s="17" t="n"/>
      <c r="AM460" s="16" t="n"/>
      <c r="AN460" s="20" t="inlineStr">
        <is>
          <t>IC Anionen</t>
        </is>
      </c>
      <c r="AO460" s="20" t="inlineStr">
        <is>
          <t>None</t>
        </is>
      </c>
      <c r="AP460" s="17" t="n"/>
      <c r="AQ460" s="16" t="n"/>
      <c r="AR460" s="20" t="n"/>
      <c r="AS460" s="20" t="inlineStr">
        <is>
          <t>None</t>
        </is>
      </c>
      <c r="AT460" s="17" t="n"/>
      <c r="AU460" s="16" t="n"/>
      <c r="AV460" s="20" t="n"/>
      <c r="AW460" s="20" t="inlineStr">
        <is>
          <t>None</t>
        </is>
      </c>
      <c r="AX460" s="17" t="n"/>
      <c r="AY460" s="16" t="n"/>
      <c r="AZ460" s="20" t="inlineStr">
        <is>
          <t>IC Anionen</t>
        </is>
      </c>
      <c r="BA460" s="20" t="inlineStr">
        <is>
          <t>None</t>
        </is>
      </c>
      <c r="BB460" s="17" t="n"/>
      <c r="BC460" s="16" t="n"/>
      <c r="BD460" s="20" t="inlineStr">
        <is>
          <t>IC Kationen</t>
        </is>
      </c>
      <c r="BE460" s="20" t="inlineStr">
        <is>
          <t>None</t>
        </is>
      </c>
      <c r="BF460" s="17" t="n"/>
      <c r="BG460" s="16" t="n"/>
      <c r="BH460" s="20" t="inlineStr">
        <is>
          <t>IC Kationen</t>
        </is>
      </c>
      <c r="BI460" s="20" t="inlineStr">
        <is>
          <t>None</t>
        </is>
      </c>
      <c r="BJ460" s="17" t="n"/>
      <c r="BK460" s="16" t="n"/>
      <c r="BL460" s="20" t="inlineStr">
        <is>
          <t>IC Kationen</t>
        </is>
      </c>
      <c r="BM460" s="20" t="inlineStr">
        <is>
          <t>None</t>
        </is>
      </c>
      <c r="BN460" s="17" t="n"/>
      <c r="BO460" s="16" t="n"/>
      <c r="BP460" s="20" t="inlineStr">
        <is>
          <t>IC Kationen</t>
        </is>
      </c>
      <c r="BQ460" s="20" t="inlineStr">
        <is>
          <t>None</t>
        </is>
      </c>
      <c r="BR460" s="17" t="n"/>
      <c r="BS460" s="16" t="n"/>
      <c r="BT460" s="20" t="inlineStr">
        <is>
          <t>IC Kationen</t>
        </is>
      </c>
      <c r="BU460" s="20" t="inlineStr">
        <is>
          <t>None</t>
        </is>
      </c>
      <c r="BV460" s="17" t="n"/>
      <c r="BW460" s="16" t="n"/>
      <c r="BX460" s="20" t="n"/>
      <c r="BY460" s="20" t="inlineStr">
        <is>
          <t>None</t>
        </is>
      </c>
      <c r="BZ460" s="17" t="n"/>
      <c r="CA460" s="16" t="n"/>
      <c r="CB460" s="20" t="n"/>
      <c r="CC460" s="20" t="inlineStr">
        <is>
          <t>None</t>
        </is>
      </c>
      <c r="CD460" s="17" t="n"/>
      <c r="CE460" s="16" t="n"/>
      <c r="CF460" s="20" t="n"/>
      <c r="CG460" s="20" t="inlineStr">
        <is>
          <t>None</t>
        </is>
      </c>
      <c r="CH460" s="17" t="n"/>
      <c r="CI460" s="16" t="n"/>
      <c r="CJ460" s="20" t="n"/>
      <c r="CK460" s="20" t="inlineStr">
        <is>
          <t>None</t>
        </is>
      </c>
      <c r="CL460" s="17" t="n"/>
      <c r="CM460" s="16" t="n"/>
      <c r="CN460" s="20" t="inlineStr">
        <is>
          <t>SOP 45-34</t>
        </is>
      </c>
      <c r="CO460" s="20" t="inlineStr">
        <is>
          <t>None</t>
        </is>
      </c>
      <c r="CP460" s="17" t="n"/>
      <c r="CQ460" s="16" t="n"/>
      <c r="CR460" s="20" t="n"/>
      <c r="CS460" s="20" t="inlineStr">
        <is>
          <t>None</t>
        </is>
      </c>
      <c r="CT460" s="17" t="n"/>
      <c r="CU460" s="16" t="n"/>
      <c r="CV460" s="20" t="n"/>
      <c r="CW460" s="20" t="inlineStr">
        <is>
          <t>None</t>
        </is>
      </c>
      <c r="CX460" s="17" t="n"/>
      <c r="CY460" s="16" t="n"/>
      <c r="CZ460" s="20" t="inlineStr">
        <is>
          <t>WTW Multimeter 3430 with FDO 925</t>
        </is>
      </c>
      <c r="DA460" s="20" t="inlineStr">
        <is>
          <t>None</t>
        </is>
      </c>
      <c r="DB460" s="17" t="n"/>
      <c r="DC460" s="16" t="n"/>
      <c r="DD460" s="20" t="n"/>
      <c r="DE460" s="20" t="inlineStr">
        <is>
          <t>None</t>
        </is>
      </c>
      <c r="DF460" s="17" t="n"/>
      <c r="DG460" s="16" t="n"/>
      <c r="DH460" s="20" t="inlineStr">
        <is>
          <t>SOP 45-09</t>
        </is>
      </c>
      <c r="DI460" s="20" t="inlineStr">
        <is>
          <t>None</t>
        </is>
      </c>
      <c r="DJ460" s="17" t="n"/>
      <c r="DK460" s="16" t="n"/>
      <c r="DL460" s="20" t="inlineStr">
        <is>
          <t>SOP 45-09 (SOP muss noch angepasst werden für VSS)</t>
        </is>
      </c>
      <c r="DM460" s="20" t="inlineStr">
        <is>
          <t>None</t>
        </is>
      </c>
      <c r="DN460" s="17" t="n"/>
      <c r="DO460" s="16" t="n"/>
      <c r="DP460" s="20" t="inlineStr">
        <is>
          <t>IC Organic Acids</t>
        </is>
      </c>
      <c r="DQ460" s="20" t="inlineStr">
        <is>
          <t>None</t>
        </is>
      </c>
      <c r="DR460" s="17" t="n"/>
      <c r="DS460" s="16" t="n"/>
      <c r="DT460" s="20" t="inlineStr">
        <is>
          <t>IC Organic Acids</t>
        </is>
      </c>
      <c r="DU460" s="20" t="inlineStr">
        <is>
          <t>None</t>
        </is>
      </c>
      <c r="DV460" s="17" t="n"/>
      <c r="DW460" s="16" t="n"/>
      <c r="DX460" s="20" t="inlineStr">
        <is>
          <t>IC Organic Acids</t>
        </is>
      </c>
      <c r="DY460" s="20" t="inlineStr">
        <is>
          <t>None</t>
        </is>
      </c>
      <c r="DZ460" s="17" t="n"/>
      <c r="EA460" s="16" t="n"/>
      <c r="EB460" s="20" t="inlineStr">
        <is>
          <t>IC Organic Acids</t>
        </is>
      </c>
      <c r="EC460" s="20" t="inlineStr">
        <is>
          <t>None</t>
        </is>
      </c>
      <c r="ED460" s="17" t="n"/>
      <c r="EE460" s="16" t="n"/>
      <c r="EF460" s="20" t="inlineStr">
        <is>
          <t>IC Organic Acids</t>
        </is>
      </c>
      <c r="EG460" s="20" t="inlineStr">
        <is>
          <t>None</t>
        </is>
      </c>
      <c r="EH460" s="17" t="n"/>
      <c r="EI460" s="16" t="n"/>
      <c r="EJ460" s="20" t="inlineStr">
        <is>
          <t>IC Organic Acids</t>
        </is>
      </c>
      <c r="EK460" s="20" t="inlineStr">
        <is>
          <t>None</t>
        </is>
      </c>
      <c r="EL460" s="17" t="n"/>
      <c r="EM460" s="16" t="n"/>
      <c r="EN460" s="20" t="inlineStr">
        <is>
          <t>IC Organic Acids</t>
        </is>
      </c>
      <c r="EO460" s="20" t="inlineStr">
        <is>
          <t>None</t>
        </is>
      </c>
      <c r="EP460" s="17" t="n"/>
      <c r="EQ460" s="16" t="n"/>
      <c r="ER460" s="20" t="inlineStr">
        <is>
          <t>IC Organic Acids</t>
        </is>
      </c>
      <c r="ES460" s="20" t="inlineStr">
        <is>
          <t>None</t>
        </is>
      </c>
      <c r="ET460" s="17" t="n"/>
      <c r="EU460" s="16" t="n"/>
      <c r="EV460" s="20" t="inlineStr">
        <is>
          <t>LC-MS</t>
        </is>
      </c>
      <c r="EW460" s="20" t="inlineStr">
        <is>
          <t>None</t>
        </is>
      </c>
      <c r="EX460" s="17" t="n"/>
      <c r="EY460" s="21" t="n"/>
      <c r="EZ460">
        <f>CONCATENATE(A460,B460)</f>
        <v/>
      </c>
      <c r="FA460">
        <f>CONCATENATE(SamplesX!A460,SamplesX!B460)</f>
        <v/>
      </c>
      <c r="FC460">
        <f>MATCH(EZ460,FA1:FA1008,0)</f>
        <v/>
      </c>
    </row>
    <row r="461">
      <c r="A461" s="16" t="n"/>
      <c r="B461" s="17" t="n"/>
      <c r="C461" s="10">
        <f>IF(ISNUMBER(FC461),INDIRECT("SamplesX!C"&amp;FC461),IF(ISNUMBER(FD461),INDIRECT("SamplesY!C"&amp;FD461),""))</f>
        <v/>
      </c>
      <c r="D461" s="12">
        <f>IF(ISNUMBER(FC461),INDIRECT("SamplesX!D"&amp;FC461),IF(ISNUMBER(FD461),INDIRECT("SamplesY!D"&amp;FD461),""))</f>
        <v/>
      </c>
      <c r="E461" s="12">
        <f>IF(ISNUMBER(FC461),INDIRECT("SamplesX!E"&amp;FC461),IF(ISNUMBER(FD461),INDIRECT("SamplesY!E"&amp;FD461),""))</f>
        <v/>
      </c>
      <c r="F461" s="11">
        <f>IF(ISNUMBER(FC461),INDIRECT("SamplesX!F"&amp;FC461),IF(ISNUMBER(FD461),INDIRECT("SamplesY!F"&amp;FD461),""))</f>
        <v/>
      </c>
      <c r="G461" s="18">
        <f>IF(ISNUMBER(FC461),INDIRECT("SamplesX!G"&amp;FC461),IF(ISNUMBER(FD461),INDIRECT("SamplesY!G"&amp;FD461),""))</f>
        <v/>
      </c>
      <c r="H461" s="19">
        <f>IF(ISNUMBER(FC461),INDIRECT("SamplesX!H"&amp;FC461),IF(ISNUMBER(FD461),INDIRECT("SamplesY!H"&amp;FD461),""))</f>
        <v/>
      </c>
      <c r="I461" s="16" t="n"/>
      <c r="J461" s="16" t="n"/>
      <c r="K461" s="16" t="n"/>
      <c r="L461" s="20" t="n"/>
      <c r="M461" s="20" t="inlineStr">
        <is>
          <t>None</t>
        </is>
      </c>
      <c r="N461" s="17" t="n"/>
      <c r="O461" s="16" t="n"/>
      <c r="P461" s="20" t="inlineStr">
        <is>
          <t>Shimadzu TOC-L</t>
        </is>
      </c>
      <c r="Q461" s="20" t="inlineStr">
        <is>
          <t>None</t>
        </is>
      </c>
      <c r="R461" s="17" t="n"/>
      <c r="S461" s="16" t="n"/>
      <c r="T461" s="20" t="inlineStr">
        <is>
          <t>Shimadzu TOC-L</t>
        </is>
      </c>
      <c r="U461" s="20" t="inlineStr">
        <is>
          <t>None</t>
        </is>
      </c>
      <c r="V461" s="17" t="n"/>
      <c r="W461" s="16" t="n"/>
      <c r="X461" s="20" t="n"/>
      <c r="Y461" s="20" t="inlineStr">
        <is>
          <t>None</t>
        </is>
      </c>
      <c r="Z461" s="17" t="n"/>
      <c r="AA461" s="16" t="n"/>
      <c r="AB461" s="20" t="n"/>
      <c r="AC461" s="20" t="inlineStr">
        <is>
          <t>None</t>
        </is>
      </c>
      <c r="AD461" s="17" t="n"/>
      <c r="AE461" s="16" t="n"/>
      <c r="AF461" s="20" t="inlineStr">
        <is>
          <t>IC Anionen</t>
        </is>
      </c>
      <c r="AG461" s="20" t="inlineStr">
        <is>
          <t>None</t>
        </is>
      </c>
      <c r="AH461" s="17" t="n"/>
      <c r="AI461" s="16" t="n"/>
      <c r="AJ461" s="20" t="n"/>
      <c r="AK461" s="20" t="inlineStr">
        <is>
          <t>None</t>
        </is>
      </c>
      <c r="AL461" s="17" t="n"/>
      <c r="AM461" s="16" t="n"/>
      <c r="AN461" s="20" t="inlineStr">
        <is>
          <t>IC Anionen</t>
        </is>
      </c>
      <c r="AO461" s="20" t="inlineStr">
        <is>
          <t>None</t>
        </is>
      </c>
      <c r="AP461" s="17" t="n"/>
      <c r="AQ461" s="16" t="n"/>
      <c r="AR461" s="20" t="n"/>
      <c r="AS461" s="20" t="inlineStr">
        <is>
          <t>None</t>
        </is>
      </c>
      <c r="AT461" s="17" t="n"/>
      <c r="AU461" s="16" t="n"/>
      <c r="AV461" s="20" t="n"/>
      <c r="AW461" s="20" t="inlineStr">
        <is>
          <t>None</t>
        </is>
      </c>
      <c r="AX461" s="17" t="n"/>
      <c r="AY461" s="16" t="n"/>
      <c r="AZ461" s="20" t="inlineStr">
        <is>
          <t>IC Anionen</t>
        </is>
      </c>
      <c r="BA461" s="20" t="inlineStr">
        <is>
          <t>None</t>
        </is>
      </c>
      <c r="BB461" s="17" t="n"/>
      <c r="BC461" s="16" t="n"/>
      <c r="BD461" s="20" t="inlineStr">
        <is>
          <t>IC Kationen</t>
        </is>
      </c>
      <c r="BE461" s="20" t="inlineStr">
        <is>
          <t>None</t>
        </is>
      </c>
      <c r="BF461" s="17" t="n"/>
      <c r="BG461" s="16" t="n"/>
      <c r="BH461" s="20" t="inlineStr">
        <is>
          <t>IC Kationen</t>
        </is>
      </c>
      <c r="BI461" s="20" t="inlineStr">
        <is>
          <t>None</t>
        </is>
      </c>
      <c r="BJ461" s="17" t="n"/>
      <c r="BK461" s="16" t="n"/>
      <c r="BL461" s="20" t="inlineStr">
        <is>
          <t>IC Kationen</t>
        </is>
      </c>
      <c r="BM461" s="20" t="inlineStr">
        <is>
          <t>None</t>
        </is>
      </c>
      <c r="BN461" s="17" t="n"/>
      <c r="BO461" s="16" t="n"/>
      <c r="BP461" s="20" t="inlineStr">
        <is>
          <t>IC Kationen</t>
        </is>
      </c>
      <c r="BQ461" s="20" t="inlineStr">
        <is>
          <t>None</t>
        </is>
      </c>
      <c r="BR461" s="17" t="n"/>
      <c r="BS461" s="16" t="n"/>
      <c r="BT461" s="20" t="inlineStr">
        <is>
          <t>IC Kationen</t>
        </is>
      </c>
      <c r="BU461" s="20" t="inlineStr">
        <is>
          <t>None</t>
        </is>
      </c>
      <c r="BV461" s="17" t="n"/>
      <c r="BW461" s="16" t="n"/>
      <c r="BX461" s="20" t="n"/>
      <c r="BY461" s="20" t="inlineStr">
        <is>
          <t>None</t>
        </is>
      </c>
      <c r="BZ461" s="17" t="n"/>
      <c r="CA461" s="16" t="n"/>
      <c r="CB461" s="20" t="n"/>
      <c r="CC461" s="20" t="inlineStr">
        <is>
          <t>None</t>
        </is>
      </c>
      <c r="CD461" s="17" t="n"/>
      <c r="CE461" s="16" t="n"/>
      <c r="CF461" s="20" t="n"/>
      <c r="CG461" s="20" t="inlineStr">
        <is>
          <t>None</t>
        </is>
      </c>
      <c r="CH461" s="17" t="n"/>
      <c r="CI461" s="16" t="n"/>
      <c r="CJ461" s="20" t="n"/>
      <c r="CK461" s="20" t="inlineStr">
        <is>
          <t>None</t>
        </is>
      </c>
      <c r="CL461" s="17" t="n"/>
      <c r="CM461" s="16" t="n"/>
      <c r="CN461" s="20" t="inlineStr">
        <is>
          <t>SOP 45-34</t>
        </is>
      </c>
      <c r="CO461" s="20" t="inlineStr">
        <is>
          <t>None</t>
        </is>
      </c>
      <c r="CP461" s="17" t="n"/>
      <c r="CQ461" s="16" t="n"/>
      <c r="CR461" s="20" t="n"/>
      <c r="CS461" s="20" t="inlineStr">
        <is>
          <t>None</t>
        </is>
      </c>
      <c r="CT461" s="17" t="n"/>
      <c r="CU461" s="16" t="n"/>
      <c r="CV461" s="20" t="n"/>
      <c r="CW461" s="20" t="inlineStr">
        <is>
          <t>None</t>
        </is>
      </c>
      <c r="CX461" s="17" t="n"/>
      <c r="CY461" s="16" t="n"/>
      <c r="CZ461" s="20" t="inlineStr">
        <is>
          <t>WTW Multimeter 3430 with FDO 925</t>
        </is>
      </c>
      <c r="DA461" s="20" t="inlineStr">
        <is>
          <t>None</t>
        </is>
      </c>
      <c r="DB461" s="17" t="n"/>
      <c r="DC461" s="16" t="n"/>
      <c r="DD461" s="20" t="n"/>
      <c r="DE461" s="20" t="inlineStr">
        <is>
          <t>None</t>
        </is>
      </c>
      <c r="DF461" s="17" t="n"/>
      <c r="DG461" s="16" t="n"/>
      <c r="DH461" s="20" t="inlineStr">
        <is>
          <t>SOP 45-09</t>
        </is>
      </c>
      <c r="DI461" s="20" t="inlineStr">
        <is>
          <t>None</t>
        </is>
      </c>
      <c r="DJ461" s="17" t="n"/>
      <c r="DK461" s="16" t="n"/>
      <c r="DL461" s="20" t="inlineStr">
        <is>
          <t>SOP 45-09 (SOP muss noch angepasst werden für VSS)</t>
        </is>
      </c>
      <c r="DM461" s="20" t="inlineStr">
        <is>
          <t>None</t>
        </is>
      </c>
      <c r="DN461" s="17" t="n"/>
      <c r="DO461" s="16" t="n"/>
      <c r="DP461" s="20" t="inlineStr">
        <is>
          <t>IC Organic Acids</t>
        </is>
      </c>
      <c r="DQ461" s="20" t="inlineStr">
        <is>
          <t>None</t>
        </is>
      </c>
      <c r="DR461" s="17" t="n"/>
      <c r="DS461" s="16" t="n"/>
      <c r="DT461" s="20" t="inlineStr">
        <is>
          <t>IC Organic Acids</t>
        </is>
      </c>
      <c r="DU461" s="20" t="inlineStr">
        <is>
          <t>None</t>
        </is>
      </c>
      <c r="DV461" s="17" t="n"/>
      <c r="DW461" s="16" t="n"/>
      <c r="DX461" s="20" t="inlineStr">
        <is>
          <t>IC Organic Acids</t>
        </is>
      </c>
      <c r="DY461" s="20" t="inlineStr">
        <is>
          <t>None</t>
        </is>
      </c>
      <c r="DZ461" s="17" t="n"/>
      <c r="EA461" s="16" t="n"/>
      <c r="EB461" s="20" t="inlineStr">
        <is>
          <t>IC Organic Acids</t>
        </is>
      </c>
      <c r="EC461" s="20" t="inlineStr">
        <is>
          <t>None</t>
        </is>
      </c>
      <c r="ED461" s="17" t="n"/>
      <c r="EE461" s="16" t="n"/>
      <c r="EF461" s="20" t="inlineStr">
        <is>
          <t>IC Organic Acids</t>
        </is>
      </c>
      <c r="EG461" s="20" t="inlineStr">
        <is>
          <t>None</t>
        </is>
      </c>
      <c r="EH461" s="17" t="n"/>
      <c r="EI461" s="16" t="n"/>
      <c r="EJ461" s="20" t="inlineStr">
        <is>
          <t>IC Organic Acids</t>
        </is>
      </c>
      <c r="EK461" s="20" t="inlineStr">
        <is>
          <t>None</t>
        </is>
      </c>
      <c r="EL461" s="17" t="n"/>
      <c r="EM461" s="16" t="n"/>
      <c r="EN461" s="20" t="inlineStr">
        <is>
          <t>IC Organic Acids</t>
        </is>
      </c>
      <c r="EO461" s="20" t="inlineStr">
        <is>
          <t>None</t>
        </is>
      </c>
      <c r="EP461" s="17" t="n"/>
      <c r="EQ461" s="16" t="n"/>
      <c r="ER461" s="20" t="inlineStr">
        <is>
          <t>IC Organic Acids</t>
        </is>
      </c>
      <c r="ES461" s="20" t="inlineStr">
        <is>
          <t>None</t>
        </is>
      </c>
      <c r="ET461" s="17" t="n"/>
      <c r="EU461" s="16" t="n"/>
      <c r="EV461" s="20" t="inlineStr">
        <is>
          <t>LC-MS</t>
        </is>
      </c>
      <c r="EW461" s="20" t="inlineStr">
        <is>
          <t>None</t>
        </is>
      </c>
      <c r="EX461" s="17" t="n"/>
      <c r="EY461" s="21" t="n"/>
      <c r="EZ461">
        <f>CONCATENATE(A461,B461)</f>
        <v/>
      </c>
      <c r="FA461">
        <f>CONCATENATE(SamplesX!A461,SamplesX!B461)</f>
        <v/>
      </c>
      <c r="FC461">
        <f>MATCH(EZ461,FA1:FA1008,0)</f>
        <v/>
      </c>
    </row>
    <row r="462">
      <c r="A462" s="16" t="n"/>
      <c r="B462" s="17" t="n"/>
      <c r="C462" s="10">
        <f>IF(ISNUMBER(FC462),INDIRECT("SamplesX!C"&amp;FC462),IF(ISNUMBER(FD462),INDIRECT("SamplesY!C"&amp;FD462),""))</f>
        <v/>
      </c>
      <c r="D462" s="12">
        <f>IF(ISNUMBER(FC462),INDIRECT("SamplesX!D"&amp;FC462),IF(ISNUMBER(FD462),INDIRECT("SamplesY!D"&amp;FD462),""))</f>
        <v/>
      </c>
      <c r="E462" s="12">
        <f>IF(ISNUMBER(FC462),INDIRECT("SamplesX!E"&amp;FC462),IF(ISNUMBER(FD462),INDIRECT("SamplesY!E"&amp;FD462),""))</f>
        <v/>
      </c>
      <c r="F462" s="11">
        <f>IF(ISNUMBER(FC462),INDIRECT("SamplesX!F"&amp;FC462),IF(ISNUMBER(FD462),INDIRECT("SamplesY!F"&amp;FD462),""))</f>
        <v/>
      </c>
      <c r="G462" s="18">
        <f>IF(ISNUMBER(FC462),INDIRECT("SamplesX!G"&amp;FC462),IF(ISNUMBER(FD462),INDIRECT("SamplesY!G"&amp;FD462),""))</f>
        <v/>
      </c>
      <c r="H462" s="19">
        <f>IF(ISNUMBER(FC462),INDIRECT("SamplesX!H"&amp;FC462),IF(ISNUMBER(FD462),INDIRECT("SamplesY!H"&amp;FD462),""))</f>
        <v/>
      </c>
      <c r="I462" s="16" t="n"/>
      <c r="J462" s="16" t="n"/>
      <c r="K462" s="16" t="n"/>
      <c r="L462" s="20" t="n"/>
      <c r="M462" s="20" t="inlineStr">
        <is>
          <t>None</t>
        </is>
      </c>
      <c r="N462" s="17" t="n"/>
      <c r="O462" s="16" t="n"/>
      <c r="P462" s="20" t="inlineStr">
        <is>
          <t>Shimadzu TOC-L</t>
        </is>
      </c>
      <c r="Q462" s="20" t="inlineStr">
        <is>
          <t>None</t>
        </is>
      </c>
      <c r="R462" s="17" t="n"/>
      <c r="S462" s="16" t="n"/>
      <c r="T462" s="20" t="inlineStr">
        <is>
          <t>Shimadzu TOC-L</t>
        </is>
      </c>
      <c r="U462" s="20" t="inlineStr">
        <is>
          <t>None</t>
        </is>
      </c>
      <c r="V462" s="17" t="n"/>
      <c r="W462" s="16" t="n"/>
      <c r="X462" s="20" t="n"/>
      <c r="Y462" s="20" t="inlineStr">
        <is>
          <t>None</t>
        </is>
      </c>
      <c r="Z462" s="17" t="n"/>
      <c r="AA462" s="16" t="n"/>
      <c r="AB462" s="20" t="n"/>
      <c r="AC462" s="20" t="inlineStr">
        <is>
          <t>None</t>
        </is>
      </c>
      <c r="AD462" s="17" t="n"/>
      <c r="AE462" s="16" t="n"/>
      <c r="AF462" s="20" t="inlineStr">
        <is>
          <t>IC Anionen</t>
        </is>
      </c>
      <c r="AG462" s="20" t="inlineStr">
        <is>
          <t>None</t>
        </is>
      </c>
      <c r="AH462" s="17" t="n"/>
      <c r="AI462" s="16" t="n"/>
      <c r="AJ462" s="20" t="n"/>
      <c r="AK462" s="20" t="inlineStr">
        <is>
          <t>None</t>
        </is>
      </c>
      <c r="AL462" s="17" t="n"/>
      <c r="AM462" s="16" t="n"/>
      <c r="AN462" s="20" t="inlineStr">
        <is>
          <t>IC Anionen</t>
        </is>
      </c>
      <c r="AO462" s="20" t="inlineStr">
        <is>
          <t>None</t>
        </is>
      </c>
      <c r="AP462" s="17" t="n"/>
      <c r="AQ462" s="16" t="n"/>
      <c r="AR462" s="20" t="n"/>
      <c r="AS462" s="20" t="inlineStr">
        <is>
          <t>None</t>
        </is>
      </c>
      <c r="AT462" s="17" t="n"/>
      <c r="AU462" s="16" t="n"/>
      <c r="AV462" s="20" t="n"/>
      <c r="AW462" s="20" t="inlineStr">
        <is>
          <t>None</t>
        </is>
      </c>
      <c r="AX462" s="17" t="n"/>
      <c r="AY462" s="16" t="n"/>
      <c r="AZ462" s="20" t="inlineStr">
        <is>
          <t>IC Anionen</t>
        </is>
      </c>
      <c r="BA462" s="20" t="inlineStr">
        <is>
          <t>None</t>
        </is>
      </c>
      <c r="BB462" s="17" t="n"/>
      <c r="BC462" s="16" t="n"/>
      <c r="BD462" s="20" t="inlineStr">
        <is>
          <t>IC Kationen</t>
        </is>
      </c>
      <c r="BE462" s="20" t="inlineStr">
        <is>
          <t>None</t>
        </is>
      </c>
      <c r="BF462" s="17" t="n"/>
      <c r="BG462" s="16" t="n"/>
      <c r="BH462" s="20" t="inlineStr">
        <is>
          <t>IC Kationen</t>
        </is>
      </c>
      <c r="BI462" s="20" t="inlineStr">
        <is>
          <t>None</t>
        </is>
      </c>
      <c r="BJ462" s="17" t="n"/>
      <c r="BK462" s="16" t="n"/>
      <c r="BL462" s="20" t="inlineStr">
        <is>
          <t>IC Kationen</t>
        </is>
      </c>
      <c r="BM462" s="20" t="inlineStr">
        <is>
          <t>None</t>
        </is>
      </c>
      <c r="BN462" s="17" t="n"/>
      <c r="BO462" s="16" t="n"/>
      <c r="BP462" s="20" t="inlineStr">
        <is>
          <t>IC Kationen</t>
        </is>
      </c>
      <c r="BQ462" s="20" t="inlineStr">
        <is>
          <t>None</t>
        </is>
      </c>
      <c r="BR462" s="17" t="n"/>
      <c r="BS462" s="16" t="n"/>
      <c r="BT462" s="20" t="inlineStr">
        <is>
          <t>IC Kationen</t>
        </is>
      </c>
      <c r="BU462" s="20" t="inlineStr">
        <is>
          <t>None</t>
        </is>
      </c>
      <c r="BV462" s="17" t="n"/>
      <c r="BW462" s="16" t="n"/>
      <c r="BX462" s="20" t="n"/>
      <c r="BY462" s="20" t="inlineStr">
        <is>
          <t>None</t>
        </is>
      </c>
      <c r="BZ462" s="17" t="n"/>
      <c r="CA462" s="16" t="n"/>
      <c r="CB462" s="20" t="n"/>
      <c r="CC462" s="20" t="inlineStr">
        <is>
          <t>None</t>
        </is>
      </c>
      <c r="CD462" s="17" t="n"/>
      <c r="CE462" s="16" t="n"/>
      <c r="CF462" s="20" t="n"/>
      <c r="CG462" s="20" t="inlineStr">
        <is>
          <t>None</t>
        </is>
      </c>
      <c r="CH462" s="17" t="n"/>
      <c r="CI462" s="16" t="n"/>
      <c r="CJ462" s="20" t="n"/>
      <c r="CK462" s="20" t="inlineStr">
        <is>
          <t>None</t>
        </is>
      </c>
      <c r="CL462" s="17" t="n"/>
      <c r="CM462" s="16" t="n"/>
      <c r="CN462" s="20" t="inlineStr">
        <is>
          <t>SOP 45-34</t>
        </is>
      </c>
      <c r="CO462" s="20" t="inlineStr">
        <is>
          <t>None</t>
        </is>
      </c>
      <c r="CP462" s="17" t="n"/>
      <c r="CQ462" s="16" t="n"/>
      <c r="CR462" s="20" t="n"/>
      <c r="CS462" s="20" t="inlineStr">
        <is>
          <t>None</t>
        </is>
      </c>
      <c r="CT462" s="17" t="n"/>
      <c r="CU462" s="16" t="n"/>
      <c r="CV462" s="20" t="n"/>
      <c r="CW462" s="20" t="inlineStr">
        <is>
          <t>None</t>
        </is>
      </c>
      <c r="CX462" s="17" t="n"/>
      <c r="CY462" s="16" t="n"/>
      <c r="CZ462" s="20" t="inlineStr">
        <is>
          <t>WTW Multimeter 3430 with FDO 925</t>
        </is>
      </c>
      <c r="DA462" s="20" t="inlineStr">
        <is>
          <t>None</t>
        </is>
      </c>
      <c r="DB462" s="17" t="n"/>
      <c r="DC462" s="16" t="n"/>
      <c r="DD462" s="20" t="n"/>
      <c r="DE462" s="20" t="inlineStr">
        <is>
          <t>None</t>
        </is>
      </c>
      <c r="DF462" s="17" t="n"/>
      <c r="DG462" s="16" t="n"/>
      <c r="DH462" s="20" t="inlineStr">
        <is>
          <t>SOP 45-09</t>
        </is>
      </c>
      <c r="DI462" s="20" t="inlineStr">
        <is>
          <t>None</t>
        </is>
      </c>
      <c r="DJ462" s="17" t="n"/>
      <c r="DK462" s="16" t="n"/>
      <c r="DL462" s="20" t="inlineStr">
        <is>
          <t>SOP 45-09 (SOP muss noch angepasst werden für VSS)</t>
        </is>
      </c>
      <c r="DM462" s="20" t="inlineStr">
        <is>
          <t>None</t>
        </is>
      </c>
      <c r="DN462" s="17" t="n"/>
      <c r="DO462" s="16" t="n"/>
      <c r="DP462" s="20" t="inlineStr">
        <is>
          <t>IC Organic Acids</t>
        </is>
      </c>
      <c r="DQ462" s="20" t="inlineStr">
        <is>
          <t>None</t>
        </is>
      </c>
      <c r="DR462" s="17" t="n"/>
      <c r="DS462" s="16" t="n"/>
      <c r="DT462" s="20" t="inlineStr">
        <is>
          <t>IC Organic Acids</t>
        </is>
      </c>
      <c r="DU462" s="20" t="inlineStr">
        <is>
          <t>None</t>
        </is>
      </c>
      <c r="DV462" s="17" t="n"/>
      <c r="DW462" s="16" t="n"/>
      <c r="DX462" s="20" t="inlineStr">
        <is>
          <t>IC Organic Acids</t>
        </is>
      </c>
      <c r="DY462" s="20" t="inlineStr">
        <is>
          <t>None</t>
        </is>
      </c>
      <c r="DZ462" s="17" t="n"/>
      <c r="EA462" s="16" t="n"/>
      <c r="EB462" s="20" t="inlineStr">
        <is>
          <t>IC Organic Acids</t>
        </is>
      </c>
      <c r="EC462" s="20" t="inlineStr">
        <is>
          <t>None</t>
        </is>
      </c>
      <c r="ED462" s="17" t="n"/>
      <c r="EE462" s="16" t="n"/>
      <c r="EF462" s="20" t="inlineStr">
        <is>
          <t>IC Organic Acids</t>
        </is>
      </c>
      <c r="EG462" s="20" t="inlineStr">
        <is>
          <t>None</t>
        </is>
      </c>
      <c r="EH462" s="17" t="n"/>
      <c r="EI462" s="16" t="n"/>
      <c r="EJ462" s="20" t="inlineStr">
        <is>
          <t>IC Organic Acids</t>
        </is>
      </c>
      <c r="EK462" s="20" t="inlineStr">
        <is>
          <t>None</t>
        </is>
      </c>
      <c r="EL462" s="17" t="n"/>
      <c r="EM462" s="16" t="n"/>
      <c r="EN462" s="20" t="inlineStr">
        <is>
          <t>IC Organic Acids</t>
        </is>
      </c>
      <c r="EO462" s="20" t="inlineStr">
        <is>
          <t>None</t>
        </is>
      </c>
      <c r="EP462" s="17" t="n"/>
      <c r="EQ462" s="16" t="n"/>
      <c r="ER462" s="20" t="inlineStr">
        <is>
          <t>IC Organic Acids</t>
        </is>
      </c>
      <c r="ES462" s="20" t="inlineStr">
        <is>
          <t>None</t>
        </is>
      </c>
      <c r="ET462" s="17" t="n"/>
      <c r="EU462" s="16" t="n"/>
      <c r="EV462" s="20" t="inlineStr">
        <is>
          <t>LC-MS</t>
        </is>
      </c>
      <c r="EW462" s="20" t="inlineStr">
        <is>
          <t>None</t>
        </is>
      </c>
      <c r="EX462" s="17" t="n"/>
      <c r="EY462" s="21" t="n"/>
      <c r="EZ462">
        <f>CONCATENATE(A462,B462)</f>
        <v/>
      </c>
      <c r="FA462">
        <f>CONCATENATE(SamplesX!A462,SamplesX!B462)</f>
        <v/>
      </c>
      <c r="FC462">
        <f>MATCH(EZ462,FA1:FA1008,0)</f>
        <v/>
      </c>
    </row>
    <row r="463">
      <c r="A463" s="16" t="n"/>
      <c r="B463" s="17" t="n"/>
      <c r="C463" s="10">
        <f>IF(ISNUMBER(FC463),INDIRECT("SamplesX!C"&amp;FC463),IF(ISNUMBER(FD463),INDIRECT("SamplesY!C"&amp;FD463),""))</f>
        <v/>
      </c>
      <c r="D463" s="12">
        <f>IF(ISNUMBER(FC463),INDIRECT("SamplesX!D"&amp;FC463),IF(ISNUMBER(FD463),INDIRECT("SamplesY!D"&amp;FD463),""))</f>
        <v/>
      </c>
      <c r="E463" s="12">
        <f>IF(ISNUMBER(FC463),INDIRECT("SamplesX!E"&amp;FC463),IF(ISNUMBER(FD463),INDIRECT("SamplesY!E"&amp;FD463),""))</f>
        <v/>
      </c>
      <c r="F463" s="11">
        <f>IF(ISNUMBER(FC463),INDIRECT("SamplesX!F"&amp;FC463),IF(ISNUMBER(FD463),INDIRECT("SamplesY!F"&amp;FD463),""))</f>
        <v/>
      </c>
      <c r="G463" s="18">
        <f>IF(ISNUMBER(FC463),INDIRECT("SamplesX!G"&amp;FC463),IF(ISNUMBER(FD463),INDIRECT("SamplesY!G"&amp;FD463),""))</f>
        <v/>
      </c>
      <c r="H463" s="19">
        <f>IF(ISNUMBER(FC463),INDIRECT("SamplesX!H"&amp;FC463),IF(ISNUMBER(FD463),INDIRECT("SamplesY!H"&amp;FD463),""))</f>
        <v/>
      </c>
      <c r="I463" s="16" t="n"/>
      <c r="J463" s="16" t="n"/>
      <c r="K463" s="16" t="n"/>
      <c r="L463" s="20" t="n"/>
      <c r="M463" s="20" t="inlineStr">
        <is>
          <t>None</t>
        </is>
      </c>
      <c r="N463" s="17" t="n"/>
      <c r="O463" s="16" t="n"/>
      <c r="P463" s="20" t="inlineStr">
        <is>
          <t>Shimadzu TOC-L</t>
        </is>
      </c>
      <c r="Q463" s="20" t="inlineStr">
        <is>
          <t>None</t>
        </is>
      </c>
      <c r="R463" s="17" t="n"/>
      <c r="S463" s="16" t="n"/>
      <c r="T463" s="20" t="inlineStr">
        <is>
          <t>Shimadzu TOC-L</t>
        </is>
      </c>
      <c r="U463" s="20" t="inlineStr">
        <is>
          <t>None</t>
        </is>
      </c>
      <c r="V463" s="17" t="n"/>
      <c r="W463" s="16" t="n"/>
      <c r="X463" s="20" t="n"/>
      <c r="Y463" s="20" t="inlineStr">
        <is>
          <t>None</t>
        </is>
      </c>
      <c r="Z463" s="17" t="n"/>
      <c r="AA463" s="16" t="n"/>
      <c r="AB463" s="20" t="n"/>
      <c r="AC463" s="20" t="inlineStr">
        <is>
          <t>None</t>
        </is>
      </c>
      <c r="AD463" s="17" t="n"/>
      <c r="AE463" s="16" t="n"/>
      <c r="AF463" s="20" t="inlineStr">
        <is>
          <t>IC Anionen</t>
        </is>
      </c>
      <c r="AG463" s="20" t="inlineStr">
        <is>
          <t>None</t>
        </is>
      </c>
      <c r="AH463" s="17" t="n"/>
      <c r="AI463" s="16" t="n"/>
      <c r="AJ463" s="20" t="n"/>
      <c r="AK463" s="20" t="inlineStr">
        <is>
          <t>None</t>
        </is>
      </c>
      <c r="AL463" s="17" t="n"/>
      <c r="AM463" s="16" t="n"/>
      <c r="AN463" s="20" t="inlineStr">
        <is>
          <t>IC Anionen</t>
        </is>
      </c>
      <c r="AO463" s="20" t="inlineStr">
        <is>
          <t>None</t>
        </is>
      </c>
      <c r="AP463" s="17" t="n"/>
      <c r="AQ463" s="16" t="n"/>
      <c r="AR463" s="20" t="n"/>
      <c r="AS463" s="20" t="inlineStr">
        <is>
          <t>None</t>
        </is>
      </c>
      <c r="AT463" s="17" t="n"/>
      <c r="AU463" s="16" t="n"/>
      <c r="AV463" s="20" t="n"/>
      <c r="AW463" s="20" t="inlineStr">
        <is>
          <t>None</t>
        </is>
      </c>
      <c r="AX463" s="17" t="n"/>
      <c r="AY463" s="16" t="n"/>
      <c r="AZ463" s="20" t="inlineStr">
        <is>
          <t>IC Anionen</t>
        </is>
      </c>
      <c r="BA463" s="20" t="inlineStr">
        <is>
          <t>None</t>
        </is>
      </c>
      <c r="BB463" s="17" t="n"/>
      <c r="BC463" s="16" t="n"/>
      <c r="BD463" s="20" t="inlineStr">
        <is>
          <t>IC Kationen</t>
        </is>
      </c>
      <c r="BE463" s="20" t="inlineStr">
        <is>
          <t>None</t>
        </is>
      </c>
      <c r="BF463" s="17" t="n"/>
      <c r="BG463" s="16" t="n"/>
      <c r="BH463" s="20" t="inlineStr">
        <is>
          <t>IC Kationen</t>
        </is>
      </c>
      <c r="BI463" s="20" t="inlineStr">
        <is>
          <t>None</t>
        </is>
      </c>
      <c r="BJ463" s="17" t="n"/>
      <c r="BK463" s="16" t="n"/>
      <c r="BL463" s="20" t="inlineStr">
        <is>
          <t>IC Kationen</t>
        </is>
      </c>
      <c r="BM463" s="20" t="inlineStr">
        <is>
          <t>None</t>
        </is>
      </c>
      <c r="BN463" s="17" t="n"/>
      <c r="BO463" s="16" t="n"/>
      <c r="BP463" s="20" t="inlineStr">
        <is>
          <t>IC Kationen</t>
        </is>
      </c>
      <c r="BQ463" s="20" t="inlineStr">
        <is>
          <t>None</t>
        </is>
      </c>
      <c r="BR463" s="17" t="n"/>
      <c r="BS463" s="16" t="n"/>
      <c r="BT463" s="20" t="inlineStr">
        <is>
          <t>IC Kationen</t>
        </is>
      </c>
      <c r="BU463" s="20" t="inlineStr">
        <is>
          <t>None</t>
        </is>
      </c>
      <c r="BV463" s="17" t="n"/>
      <c r="BW463" s="16" t="n"/>
      <c r="BX463" s="20" t="n"/>
      <c r="BY463" s="20" t="inlineStr">
        <is>
          <t>None</t>
        </is>
      </c>
      <c r="BZ463" s="17" t="n"/>
      <c r="CA463" s="16" t="n"/>
      <c r="CB463" s="20" t="n"/>
      <c r="CC463" s="20" t="inlineStr">
        <is>
          <t>None</t>
        </is>
      </c>
      <c r="CD463" s="17" t="n"/>
      <c r="CE463" s="16" t="n"/>
      <c r="CF463" s="20" t="n"/>
      <c r="CG463" s="20" t="inlineStr">
        <is>
          <t>None</t>
        </is>
      </c>
      <c r="CH463" s="17" t="n"/>
      <c r="CI463" s="16" t="n"/>
      <c r="CJ463" s="20" t="n"/>
      <c r="CK463" s="20" t="inlineStr">
        <is>
          <t>None</t>
        </is>
      </c>
      <c r="CL463" s="17" t="n"/>
      <c r="CM463" s="16" t="n"/>
      <c r="CN463" s="20" t="inlineStr">
        <is>
          <t>SOP 45-34</t>
        </is>
      </c>
      <c r="CO463" s="20" t="inlineStr">
        <is>
          <t>None</t>
        </is>
      </c>
      <c r="CP463" s="17" t="n"/>
      <c r="CQ463" s="16" t="n"/>
      <c r="CR463" s="20" t="n"/>
      <c r="CS463" s="20" t="inlineStr">
        <is>
          <t>None</t>
        </is>
      </c>
      <c r="CT463" s="17" t="n"/>
      <c r="CU463" s="16" t="n"/>
      <c r="CV463" s="20" t="n"/>
      <c r="CW463" s="20" t="inlineStr">
        <is>
          <t>None</t>
        </is>
      </c>
      <c r="CX463" s="17" t="n"/>
      <c r="CY463" s="16" t="n"/>
      <c r="CZ463" s="20" t="inlineStr">
        <is>
          <t>WTW Multimeter 3430 with FDO 925</t>
        </is>
      </c>
      <c r="DA463" s="20" t="inlineStr">
        <is>
          <t>None</t>
        </is>
      </c>
      <c r="DB463" s="17" t="n"/>
      <c r="DC463" s="16" t="n"/>
      <c r="DD463" s="20" t="n"/>
      <c r="DE463" s="20" t="inlineStr">
        <is>
          <t>None</t>
        </is>
      </c>
      <c r="DF463" s="17" t="n"/>
      <c r="DG463" s="16" t="n"/>
      <c r="DH463" s="20" t="inlineStr">
        <is>
          <t>SOP 45-09</t>
        </is>
      </c>
      <c r="DI463" s="20" t="inlineStr">
        <is>
          <t>None</t>
        </is>
      </c>
      <c r="DJ463" s="17" t="n"/>
      <c r="DK463" s="16" t="n"/>
      <c r="DL463" s="20" t="inlineStr">
        <is>
          <t>SOP 45-09 (SOP muss noch angepasst werden für VSS)</t>
        </is>
      </c>
      <c r="DM463" s="20" t="inlineStr">
        <is>
          <t>None</t>
        </is>
      </c>
      <c r="DN463" s="17" t="n"/>
      <c r="DO463" s="16" t="n"/>
      <c r="DP463" s="20" t="inlineStr">
        <is>
          <t>IC Organic Acids</t>
        </is>
      </c>
      <c r="DQ463" s="20" t="inlineStr">
        <is>
          <t>None</t>
        </is>
      </c>
      <c r="DR463" s="17" t="n"/>
      <c r="DS463" s="16" t="n"/>
      <c r="DT463" s="20" t="inlineStr">
        <is>
          <t>IC Organic Acids</t>
        </is>
      </c>
      <c r="DU463" s="20" t="inlineStr">
        <is>
          <t>None</t>
        </is>
      </c>
      <c r="DV463" s="17" t="n"/>
      <c r="DW463" s="16" t="n"/>
      <c r="DX463" s="20" t="inlineStr">
        <is>
          <t>IC Organic Acids</t>
        </is>
      </c>
      <c r="DY463" s="20" t="inlineStr">
        <is>
          <t>None</t>
        </is>
      </c>
      <c r="DZ463" s="17" t="n"/>
      <c r="EA463" s="16" t="n"/>
      <c r="EB463" s="20" t="inlineStr">
        <is>
          <t>IC Organic Acids</t>
        </is>
      </c>
      <c r="EC463" s="20" t="inlineStr">
        <is>
          <t>None</t>
        </is>
      </c>
      <c r="ED463" s="17" t="n"/>
      <c r="EE463" s="16" t="n"/>
      <c r="EF463" s="20" t="inlineStr">
        <is>
          <t>IC Organic Acids</t>
        </is>
      </c>
      <c r="EG463" s="20" t="inlineStr">
        <is>
          <t>None</t>
        </is>
      </c>
      <c r="EH463" s="17" t="n"/>
      <c r="EI463" s="16" t="n"/>
      <c r="EJ463" s="20" t="inlineStr">
        <is>
          <t>IC Organic Acids</t>
        </is>
      </c>
      <c r="EK463" s="20" t="inlineStr">
        <is>
          <t>None</t>
        </is>
      </c>
      <c r="EL463" s="17" t="n"/>
      <c r="EM463" s="16" t="n"/>
      <c r="EN463" s="20" t="inlineStr">
        <is>
          <t>IC Organic Acids</t>
        </is>
      </c>
      <c r="EO463" s="20" t="inlineStr">
        <is>
          <t>None</t>
        </is>
      </c>
      <c r="EP463" s="17" t="n"/>
      <c r="EQ463" s="16" t="n"/>
      <c r="ER463" s="20" t="inlineStr">
        <is>
          <t>IC Organic Acids</t>
        </is>
      </c>
      <c r="ES463" s="20" t="inlineStr">
        <is>
          <t>None</t>
        </is>
      </c>
      <c r="ET463" s="17" t="n"/>
      <c r="EU463" s="16" t="n"/>
      <c r="EV463" s="20" t="inlineStr">
        <is>
          <t>LC-MS</t>
        </is>
      </c>
      <c r="EW463" s="20" t="inlineStr">
        <is>
          <t>None</t>
        </is>
      </c>
      <c r="EX463" s="17" t="n"/>
      <c r="EY463" s="21" t="n"/>
      <c r="EZ463">
        <f>CONCATENATE(A463,B463)</f>
        <v/>
      </c>
      <c r="FA463">
        <f>CONCATENATE(SamplesX!A463,SamplesX!B463)</f>
        <v/>
      </c>
      <c r="FC463">
        <f>MATCH(EZ463,FA1:FA1008,0)</f>
        <v/>
      </c>
    </row>
    <row r="464">
      <c r="A464" s="16" t="n"/>
      <c r="B464" s="17" t="n"/>
      <c r="C464" s="10">
        <f>IF(ISNUMBER(FC464),INDIRECT("SamplesX!C"&amp;FC464),IF(ISNUMBER(FD464),INDIRECT("SamplesY!C"&amp;FD464),""))</f>
        <v/>
      </c>
      <c r="D464" s="12">
        <f>IF(ISNUMBER(FC464),INDIRECT("SamplesX!D"&amp;FC464),IF(ISNUMBER(FD464),INDIRECT("SamplesY!D"&amp;FD464),""))</f>
        <v/>
      </c>
      <c r="E464" s="12">
        <f>IF(ISNUMBER(FC464),INDIRECT("SamplesX!E"&amp;FC464),IF(ISNUMBER(FD464),INDIRECT("SamplesY!E"&amp;FD464),""))</f>
        <v/>
      </c>
      <c r="F464" s="11">
        <f>IF(ISNUMBER(FC464),INDIRECT("SamplesX!F"&amp;FC464),IF(ISNUMBER(FD464),INDIRECT("SamplesY!F"&amp;FD464),""))</f>
        <v/>
      </c>
      <c r="G464" s="18">
        <f>IF(ISNUMBER(FC464),INDIRECT("SamplesX!G"&amp;FC464),IF(ISNUMBER(FD464),INDIRECT("SamplesY!G"&amp;FD464),""))</f>
        <v/>
      </c>
      <c r="H464" s="19">
        <f>IF(ISNUMBER(FC464),INDIRECT("SamplesX!H"&amp;FC464),IF(ISNUMBER(FD464),INDIRECT("SamplesY!H"&amp;FD464),""))</f>
        <v/>
      </c>
      <c r="I464" s="16" t="n"/>
      <c r="J464" s="16" t="n"/>
      <c r="K464" s="16" t="n"/>
      <c r="L464" s="20" t="n"/>
      <c r="M464" s="20" t="inlineStr">
        <is>
          <t>None</t>
        </is>
      </c>
      <c r="N464" s="17" t="n"/>
      <c r="O464" s="16" t="n"/>
      <c r="P464" s="20" t="inlineStr">
        <is>
          <t>Shimadzu TOC-L</t>
        </is>
      </c>
      <c r="Q464" s="20" t="inlineStr">
        <is>
          <t>None</t>
        </is>
      </c>
      <c r="R464" s="17" t="n"/>
      <c r="S464" s="16" t="n"/>
      <c r="T464" s="20" t="inlineStr">
        <is>
          <t>Shimadzu TOC-L</t>
        </is>
      </c>
      <c r="U464" s="20" t="inlineStr">
        <is>
          <t>None</t>
        </is>
      </c>
      <c r="V464" s="17" t="n"/>
      <c r="W464" s="16" t="n"/>
      <c r="X464" s="20" t="n"/>
      <c r="Y464" s="20" t="inlineStr">
        <is>
          <t>None</t>
        </is>
      </c>
      <c r="Z464" s="17" t="n"/>
      <c r="AA464" s="16" t="n"/>
      <c r="AB464" s="20" t="n"/>
      <c r="AC464" s="20" t="inlineStr">
        <is>
          <t>None</t>
        </is>
      </c>
      <c r="AD464" s="17" t="n"/>
      <c r="AE464" s="16" t="n"/>
      <c r="AF464" s="20" t="inlineStr">
        <is>
          <t>IC Anionen</t>
        </is>
      </c>
      <c r="AG464" s="20" t="inlineStr">
        <is>
          <t>None</t>
        </is>
      </c>
      <c r="AH464" s="17" t="n"/>
      <c r="AI464" s="16" t="n"/>
      <c r="AJ464" s="20" t="n"/>
      <c r="AK464" s="20" t="inlineStr">
        <is>
          <t>None</t>
        </is>
      </c>
      <c r="AL464" s="17" t="n"/>
      <c r="AM464" s="16" t="n"/>
      <c r="AN464" s="20" t="inlineStr">
        <is>
          <t>IC Anionen</t>
        </is>
      </c>
      <c r="AO464" s="20" t="inlineStr">
        <is>
          <t>None</t>
        </is>
      </c>
      <c r="AP464" s="17" t="n"/>
      <c r="AQ464" s="16" t="n"/>
      <c r="AR464" s="20" t="n"/>
      <c r="AS464" s="20" t="inlineStr">
        <is>
          <t>None</t>
        </is>
      </c>
      <c r="AT464" s="17" t="n"/>
      <c r="AU464" s="16" t="n"/>
      <c r="AV464" s="20" t="n"/>
      <c r="AW464" s="20" t="inlineStr">
        <is>
          <t>None</t>
        </is>
      </c>
      <c r="AX464" s="17" t="n"/>
      <c r="AY464" s="16" t="n"/>
      <c r="AZ464" s="20" t="inlineStr">
        <is>
          <t>IC Anionen</t>
        </is>
      </c>
      <c r="BA464" s="20" t="inlineStr">
        <is>
          <t>None</t>
        </is>
      </c>
      <c r="BB464" s="17" t="n"/>
      <c r="BC464" s="16" t="n"/>
      <c r="BD464" s="20" t="inlineStr">
        <is>
          <t>IC Kationen</t>
        </is>
      </c>
      <c r="BE464" s="20" t="inlineStr">
        <is>
          <t>None</t>
        </is>
      </c>
      <c r="BF464" s="17" t="n"/>
      <c r="BG464" s="16" t="n"/>
      <c r="BH464" s="20" t="inlineStr">
        <is>
          <t>IC Kationen</t>
        </is>
      </c>
      <c r="BI464" s="20" t="inlineStr">
        <is>
          <t>None</t>
        </is>
      </c>
      <c r="BJ464" s="17" t="n"/>
      <c r="BK464" s="16" t="n"/>
      <c r="BL464" s="20" t="inlineStr">
        <is>
          <t>IC Kationen</t>
        </is>
      </c>
      <c r="BM464" s="20" t="inlineStr">
        <is>
          <t>None</t>
        </is>
      </c>
      <c r="BN464" s="17" t="n"/>
      <c r="BO464" s="16" t="n"/>
      <c r="BP464" s="20" t="inlineStr">
        <is>
          <t>IC Kationen</t>
        </is>
      </c>
      <c r="BQ464" s="20" t="inlineStr">
        <is>
          <t>None</t>
        </is>
      </c>
      <c r="BR464" s="17" t="n"/>
      <c r="BS464" s="16" t="n"/>
      <c r="BT464" s="20" t="inlineStr">
        <is>
          <t>IC Kationen</t>
        </is>
      </c>
      <c r="BU464" s="20" t="inlineStr">
        <is>
          <t>None</t>
        </is>
      </c>
      <c r="BV464" s="17" t="n"/>
      <c r="BW464" s="16" t="n"/>
      <c r="BX464" s="20" t="n"/>
      <c r="BY464" s="20" t="inlineStr">
        <is>
          <t>None</t>
        </is>
      </c>
      <c r="BZ464" s="17" t="n"/>
      <c r="CA464" s="16" t="n"/>
      <c r="CB464" s="20" t="n"/>
      <c r="CC464" s="20" t="inlineStr">
        <is>
          <t>None</t>
        </is>
      </c>
      <c r="CD464" s="17" t="n"/>
      <c r="CE464" s="16" t="n"/>
      <c r="CF464" s="20" t="n"/>
      <c r="CG464" s="20" t="inlineStr">
        <is>
          <t>None</t>
        </is>
      </c>
      <c r="CH464" s="17" t="n"/>
      <c r="CI464" s="16" t="n"/>
      <c r="CJ464" s="20" t="n"/>
      <c r="CK464" s="20" t="inlineStr">
        <is>
          <t>None</t>
        </is>
      </c>
      <c r="CL464" s="17" t="n"/>
      <c r="CM464" s="16" t="n"/>
      <c r="CN464" s="20" t="inlineStr">
        <is>
          <t>SOP 45-34</t>
        </is>
      </c>
      <c r="CO464" s="20" t="inlineStr">
        <is>
          <t>None</t>
        </is>
      </c>
      <c r="CP464" s="17" t="n"/>
      <c r="CQ464" s="16" t="n"/>
      <c r="CR464" s="20" t="n"/>
      <c r="CS464" s="20" t="inlineStr">
        <is>
          <t>None</t>
        </is>
      </c>
      <c r="CT464" s="17" t="n"/>
      <c r="CU464" s="16" t="n"/>
      <c r="CV464" s="20" t="n"/>
      <c r="CW464" s="20" t="inlineStr">
        <is>
          <t>None</t>
        </is>
      </c>
      <c r="CX464" s="17" t="n"/>
      <c r="CY464" s="16" t="n"/>
      <c r="CZ464" s="20" t="inlineStr">
        <is>
          <t>WTW Multimeter 3430 with FDO 925</t>
        </is>
      </c>
      <c r="DA464" s="20" t="inlineStr">
        <is>
          <t>None</t>
        </is>
      </c>
      <c r="DB464" s="17" t="n"/>
      <c r="DC464" s="16" t="n"/>
      <c r="DD464" s="20" t="n"/>
      <c r="DE464" s="20" t="inlineStr">
        <is>
          <t>None</t>
        </is>
      </c>
      <c r="DF464" s="17" t="n"/>
      <c r="DG464" s="16" t="n"/>
      <c r="DH464" s="20" t="inlineStr">
        <is>
          <t>SOP 45-09</t>
        </is>
      </c>
      <c r="DI464" s="20" t="inlineStr">
        <is>
          <t>None</t>
        </is>
      </c>
      <c r="DJ464" s="17" t="n"/>
      <c r="DK464" s="16" t="n"/>
      <c r="DL464" s="20" t="inlineStr">
        <is>
          <t>SOP 45-09 (SOP muss noch angepasst werden für VSS)</t>
        </is>
      </c>
      <c r="DM464" s="20" t="inlineStr">
        <is>
          <t>None</t>
        </is>
      </c>
      <c r="DN464" s="17" t="n"/>
      <c r="DO464" s="16" t="n"/>
      <c r="DP464" s="20" t="inlineStr">
        <is>
          <t>IC Organic Acids</t>
        </is>
      </c>
      <c r="DQ464" s="20" t="inlineStr">
        <is>
          <t>None</t>
        </is>
      </c>
      <c r="DR464" s="17" t="n"/>
      <c r="DS464" s="16" t="n"/>
      <c r="DT464" s="20" t="inlineStr">
        <is>
          <t>IC Organic Acids</t>
        </is>
      </c>
      <c r="DU464" s="20" t="inlineStr">
        <is>
          <t>None</t>
        </is>
      </c>
      <c r="DV464" s="17" t="n"/>
      <c r="DW464" s="16" t="n"/>
      <c r="DX464" s="20" t="inlineStr">
        <is>
          <t>IC Organic Acids</t>
        </is>
      </c>
      <c r="DY464" s="20" t="inlineStr">
        <is>
          <t>None</t>
        </is>
      </c>
      <c r="DZ464" s="17" t="n"/>
      <c r="EA464" s="16" t="n"/>
      <c r="EB464" s="20" t="inlineStr">
        <is>
          <t>IC Organic Acids</t>
        </is>
      </c>
      <c r="EC464" s="20" t="inlineStr">
        <is>
          <t>None</t>
        </is>
      </c>
      <c r="ED464" s="17" t="n"/>
      <c r="EE464" s="16" t="n"/>
      <c r="EF464" s="20" t="inlineStr">
        <is>
          <t>IC Organic Acids</t>
        </is>
      </c>
      <c r="EG464" s="20" t="inlineStr">
        <is>
          <t>None</t>
        </is>
      </c>
      <c r="EH464" s="17" t="n"/>
      <c r="EI464" s="16" t="n"/>
      <c r="EJ464" s="20" t="inlineStr">
        <is>
          <t>IC Organic Acids</t>
        </is>
      </c>
      <c r="EK464" s="20" t="inlineStr">
        <is>
          <t>None</t>
        </is>
      </c>
      <c r="EL464" s="17" t="n"/>
      <c r="EM464" s="16" t="n"/>
      <c r="EN464" s="20" t="inlineStr">
        <is>
          <t>IC Organic Acids</t>
        </is>
      </c>
      <c r="EO464" s="20" t="inlineStr">
        <is>
          <t>None</t>
        </is>
      </c>
      <c r="EP464" s="17" t="n"/>
      <c r="EQ464" s="16" t="n"/>
      <c r="ER464" s="20" t="inlineStr">
        <is>
          <t>IC Organic Acids</t>
        </is>
      </c>
      <c r="ES464" s="20" t="inlineStr">
        <is>
          <t>None</t>
        </is>
      </c>
      <c r="ET464" s="17" t="n"/>
      <c r="EU464" s="16" t="n"/>
      <c r="EV464" s="20" t="inlineStr">
        <is>
          <t>LC-MS</t>
        </is>
      </c>
      <c r="EW464" s="20" t="inlineStr">
        <is>
          <t>None</t>
        </is>
      </c>
      <c r="EX464" s="17" t="n"/>
      <c r="EY464" s="21" t="n"/>
      <c r="EZ464">
        <f>CONCATENATE(A464,B464)</f>
        <v/>
      </c>
      <c r="FA464">
        <f>CONCATENATE(SamplesX!A464,SamplesX!B464)</f>
        <v/>
      </c>
      <c r="FC464">
        <f>MATCH(EZ464,FA1:FA1008,0)</f>
        <v/>
      </c>
    </row>
    <row r="465">
      <c r="A465" s="16" t="n"/>
      <c r="B465" s="17" t="n"/>
      <c r="C465" s="10">
        <f>IF(ISNUMBER(FC465),INDIRECT("SamplesX!C"&amp;FC465),IF(ISNUMBER(FD465),INDIRECT("SamplesY!C"&amp;FD465),""))</f>
        <v/>
      </c>
      <c r="D465" s="12">
        <f>IF(ISNUMBER(FC465),INDIRECT("SamplesX!D"&amp;FC465),IF(ISNUMBER(FD465),INDIRECT("SamplesY!D"&amp;FD465),""))</f>
        <v/>
      </c>
      <c r="E465" s="12">
        <f>IF(ISNUMBER(FC465),INDIRECT("SamplesX!E"&amp;FC465),IF(ISNUMBER(FD465),INDIRECT("SamplesY!E"&amp;FD465),""))</f>
        <v/>
      </c>
      <c r="F465" s="11">
        <f>IF(ISNUMBER(FC465),INDIRECT("SamplesX!F"&amp;FC465),IF(ISNUMBER(FD465),INDIRECT("SamplesY!F"&amp;FD465),""))</f>
        <v/>
      </c>
      <c r="G465" s="18">
        <f>IF(ISNUMBER(FC465),INDIRECT("SamplesX!G"&amp;FC465),IF(ISNUMBER(FD465),INDIRECT("SamplesY!G"&amp;FD465),""))</f>
        <v/>
      </c>
      <c r="H465" s="19">
        <f>IF(ISNUMBER(FC465),INDIRECT("SamplesX!H"&amp;FC465),IF(ISNUMBER(FD465),INDIRECT("SamplesY!H"&amp;FD465),""))</f>
        <v/>
      </c>
      <c r="I465" s="16" t="n"/>
      <c r="J465" s="16" t="n"/>
      <c r="K465" s="16" t="n"/>
      <c r="L465" s="20" t="n"/>
      <c r="M465" s="20" t="inlineStr">
        <is>
          <t>None</t>
        </is>
      </c>
      <c r="N465" s="17" t="n"/>
      <c r="O465" s="16" t="n"/>
      <c r="P465" s="20" t="inlineStr">
        <is>
          <t>Shimadzu TOC-L</t>
        </is>
      </c>
      <c r="Q465" s="20" t="inlineStr">
        <is>
          <t>None</t>
        </is>
      </c>
      <c r="R465" s="17" t="n"/>
      <c r="S465" s="16" t="n"/>
      <c r="T465" s="20" t="inlineStr">
        <is>
          <t>Shimadzu TOC-L</t>
        </is>
      </c>
      <c r="U465" s="20" t="inlineStr">
        <is>
          <t>None</t>
        </is>
      </c>
      <c r="V465" s="17" t="n"/>
      <c r="W465" s="16" t="n"/>
      <c r="X465" s="20" t="n"/>
      <c r="Y465" s="20" t="inlineStr">
        <is>
          <t>None</t>
        </is>
      </c>
      <c r="Z465" s="17" t="n"/>
      <c r="AA465" s="16" t="n"/>
      <c r="AB465" s="20" t="n"/>
      <c r="AC465" s="20" t="inlineStr">
        <is>
          <t>None</t>
        </is>
      </c>
      <c r="AD465" s="17" t="n"/>
      <c r="AE465" s="16" t="n"/>
      <c r="AF465" s="20" t="inlineStr">
        <is>
          <t>IC Anionen</t>
        </is>
      </c>
      <c r="AG465" s="20" t="inlineStr">
        <is>
          <t>None</t>
        </is>
      </c>
      <c r="AH465" s="17" t="n"/>
      <c r="AI465" s="16" t="n"/>
      <c r="AJ465" s="20" t="n"/>
      <c r="AK465" s="20" t="inlineStr">
        <is>
          <t>None</t>
        </is>
      </c>
      <c r="AL465" s="17" t="n"/>
      <c r="AM465" s="16" t="n"/>
      <c r="AN465" s="20" t="inlineStr">
        <is>
          <t>IC Anionen</t>
        </is>
      </c>
      <c r="AO465" s="20" t="inlineStr">
        <is>
          <t>None</t>
        </is>
      </c>
      <c r="AP465" s="17" t="n"/>
      <c r="AQ465" s="16" t="n"/>
      <c r="AR465" s="20" t="n"/>
      <c r="AS465" s="20" t="inlineStr">
        <is>
          <t>None</t>
        </is>
      </c>
      <c r="AT465" s="17" t="n"/>
      <c r="AU465" s="16" t="n"/>
      <c r="AV465" s="20" t="n"/>
      <c r="AW465" s="20" t="inlineStr">
        <is>
          <t>None</t>
        </is>
      </c>
      <c r="AX465" s="17" t="n"/>
      <c r="AY465" s="16" t="n"/>
      <c r="AZ465" s="20" t="inlineStr">
        <is>
          <t>IC Anionen</t>
        </is>
      </c>
      <c r="BA465" s="20" t="inlineStr">
        <is>
          <t>None</t>
        </is>
      </c>
      <c r="BB465" s="17" t="n"/>
      <c r="BC465" s="16" t="n"/>
      <c r="BD465" s="20" t="inlineStr">
        <is>
          <t>IC Kationen</t>
        </is>
      </c>
      <c r="BE465" s="20" t="inlineStr">
        <is>
          <t>None</t>
        </is>
      </c>
      <c r="BF465" s="17" t="n"/>
      <c r="BG465" s="16" t="n"/>
      <c r="BH465" s="20" t="inlineStr">
        <is>
          <t>IC Kationen</t>
        </is>
      </c>
      <c r="BI465" s="20" t="inlineStr">
        <is>
          <t>None</t>
        </is>
      </c>
      <c r="BJ465" s="17" t="n"/>
      <c r="BK465" s="16" t="n"/>
      <c r="BL465" s="20" t="inlineStr">
        <is>
          <t>IC Kationen</t>
        </is>
      </c>
      <c r="BM465" s="20" t="inlineStr">
        <is>
          <t>None</t>
        </is>
      </c>
      <c r="BN465" s="17" t="n"/>
      <c r="BO465" s="16" t="n"/>
      <c r="BP465" s="20" t="inlineStr">
        <is>
          <t>IC Kationen</t>
        </is>
      </c>
      <c r="BQ465" s="20" t="inlineStr">
        <is>
          <t>None</t>
        </is>
      </c>
      <c r="BR465" s="17" t="n"/>
      <c r="BS465" s="16" t="n"/>
      <c r="BT465" s="20" t="inlineStr">
        <is>
          <t>IC Kationen</t>
        </is>
      </c>
      <c r="BU465" s="20" t="inlineStr">
        <is>
          <t>None</t>
        </is>
      </c>
      <c r="BV465" s="17" t="n"/>
      <c r="BW465" s="16" t="n"/>
      <c r="BX465" s="20" t="n"/>
      <c r="BY465" s="20" t="inlineStr">
        <is>
          <t>None</t>
        </is>
      </c>
      <c r="BZ465" s="17" t="n"/>
      <c r="CA465" s="16" t="n"/>
      <c r="CB465" s="20" t="n"/>
      <c r="CC465" s="20" t="inlineStr">
        <is>
          <t>None</t>
        </is>
      </c>
      <c r="CD465" s="17" t="n"/>
      <c r="CE465" s="16" t="n"/>
      <c r="CF465" s="20" t="n"/>
      <c r="CG465" s="20" t="inlineStr">
        <is>
          <t>None</t>
        </is>
      </c>
      <c r="CH465" s="17" t="n"/>
      <c r="CI465" s="16" t="n"/>
      <c r="CJ465" s="20" t="n"/>
      <c r="CK465" s="20" t="inlineStr">
        <is>
          <t>None</t>
        </is>
      </c>
      <c r="CL465" s="17" t="n"/>
      <c r="CM465" s="16" t="n"/>
      <c r="CN465" s="20" t="inlineStr">
        <is>
          <t>SOP 45-34</t>
        </is>
      </c>
      <c r="CO465" s="20" t="inlineStr">
        <is>
          <t>None</t>
        </is>
      </c>
      <c r="CP465" s="17" t="n"/>
      <c r="CQ465" s="16" t="n"/>
      <c r="CR465" s="20" t="n"/>
      <c r="CS465" s="20" t="inlineStr">
        <is>
          <t>None</t>
        </is>
      </c>
      <c r="CT465" s="17" t="n"/>
      <c r="CU465" s="16" t="n"/>
      <c r="CV465" s="20" t="n"/>
      <c r="CW465" s="20" t="inlineStr">
        <is>
          <t>None</t>
        </is>
      </c>
      <c r="CX465" s="17" t="n"/>
      <c r="CY465" s="16" t="n"/>
      <c r="CZ465" s="20" t="inlineStr">
        <is>
          <t>WTW Multimeter 3430 with FDO 925</t>
        </is>
      </c>
      <c r="DA465" s="20" t="inlineStr">
        <is>
          <t>None</t>
        </is>
      </c>
      <c r="DB465" s="17" t="n"/>
      <c r="DC465" s="16" t="n"/>
      <c r="DD465" s="20" t="n"/>
      <c r="DE465" s="20" t="inlineStr">
        <is>
          <t>None</t>
        </is>
      </c>
      <c r="DF465" s="17" t="n"/>
      <c r="DG465" s="16" t="n"/>
      <c r="DH465" s="20" t="inlineStr">
        <is>
          <t>SOP 45-09</t>
        </is>
      </c>
      <c r="DI465" s="20" t="inlineStr">
        <is>
          <t>None</t>
        </is>
      </c>
      <c r="DJ465" s="17" t="n"/>
      <c r="DK465" s="16" t="n"/>
      <c r="DL465" s="20" t="inlineStr">
        <is>
          <t>SOP 45-09 (SOP muss noch angepasst werden für VSS)</t>
        </is>
      </c>
      <c r="DM465" s="20" t="inlineStr">
        <is>
          <t>None</t>
        </is>
      </c>
      <c r="DN465" s="17" t="n"/>
      <c r="DO465" s="16" t="n"/>
      <c r="DP465" s="20" t="inlineStr">
        <is>
          <t>IC Organic Acids</t>
        </is>
      </c>
      <c r="DQ465" s="20" t="inlineStr">
        <is>
          <t>None</t>
        </is>
      </c>
      <c r="DR465" s="17" t="n"/>
      <c r="DS465" s="16" t="n"/>
      <c r="DT465" s="20" t="inlineStr">
        <is>
          <t>IC Organic Acids</t>
        </is>
      </c>
      <c r="DU465" s="20" t="inlineStr">
        <is>
          <t>None</t>
        </is>
      </c>
      <c r="DV465" s="17" t="n"/>
      <c r="DW465" s="16" t="n"/>
      <c r="DX465" s="20" t="inlineStr">
        <is>
          <t>IC Organic Acids</t>
        </is>
      </c>
      <c r="DY465" s="20" t="inlineStr">
        <is>
          <t>None</t>
        </is>
      </c>
      <c r="DZ465" s="17" t="n"/>
      <c r="EA465" s="16" t="n"/>
      <c r="EB465" s="20" t="inlineStr">
        <is>
          <t>IC Organic Acids</t>
        </is>
      </c>
      <c r="EC465" s="20" t="inlineStr">
        <is>
          <t>None</t>
        </is>
      </c>
      <c r="ED465" s="17" t="n"/>
      <c r="EE465" s="16" t="n"/>
      <c r="EF465" s="20" t="inlineStr">
        <is>
          <t>IC Organic Acids</t>
        </is>
      </c>
      <c r="EG465" s="20" t="inlineStr">
        <is>
          <t>None</t>
        </is>
      </c>
      <c r="EH465" s="17" t="n"/>
      <c r="EI465" s="16" t="n"/>
      <c r="EJ465" s="20" t="inlineStr">
        <is>
          <t>IC Organic Acids</t>
        </is>
      </c>
      <c r="EK465" s="20" t="inlineStr">
        <is>
          <t>None</t>
        </is>
      </c>
      <c r="EL465" s="17" t="n"/>
      <c r="EM465" s="16" t="n"/>
      <c r="EN465" s="20" t="inlineStr">
        <is>
          <t>IC Organic Acids</t>
        </is>
      </c>
      <c r="EO465" s="20" t="inlineStr">
        <is>
          <t>None</t>
        </is>
      </c>
      <c r="EP465" s="17" t="n"/>
      <c r="EQ465" s="16" t="n"/>
      <c r="ER465" s="20" t="inlineStr">
        <is>
          <t>IC Organic Acids</t>
        </is>
      </c>
      <c r="ES465" s="20" t="inlineStr">
        <is>
          <t>None</t>
        </is>
      </c>
      <c r="ET465" s="17" t="n"/>
      <c r="EU465" s="16" t="n"/>
      <c r="EV465" s="20" t="inlineStr">
        <is>
          <t>LC-MS</t>
        </is>
      </c>
      <c r="EW465" s="20" t="inlineStr">
        <is>
          <t>None</t>
        </is>
      </c>
      <c r="EX465" s="17" t="n"/>
      <c r="EY465" s="21" t="n"/>
      <c r="EZ465">
        <f>CONCATENATE(A465,B465)</f>
        <v/>
      </c>
      <c r="FA465">
        <f>CONCATENATE(SamplesX!A465,SamplesX!B465)</f>
        <v/>
      </c>
      <c r="FC465">
        <f>MATCH(EZ465,FA1:FA1008,0)</f>
        <v/>
      </c>
    </row>
    <row r="466">
      <c r="A466" s="16" t="n"/>
      <c r="B466" s="17" t="n"/>
      <c r="C466" s="10">
        <f>IF(ISNUMBER(FC466),INDIRECT("SamplesX!C"&amp;FC466),IF(ISNUMBER(FD466),INDIRECT("SamplesY!C"&amp;FD466),""))</f>
        <v/>
      </c>
      <c r="D466" s="12">
        <f>IF(ISNUMBER(FC466),INDIRECT("SamplesX!D"&amp;FC466),IF(ISNUMBER(FD466),INDIRECT("SamplesY!D"&amp;FD466),""))</f>
        <v/>
      </c>
      <c r="E466" s="12">
        <f>IF(ISNUMBER(FC466),INDIRECT("SamplesX!E"&amp;FC466),IF(ISNUMBER(FD466),INDIRECT("SamplesY!E"&amp;FD466),""))</f>
        <v/>
      </c>
      <c r="F466" s="11">
        <f>IF(ISNUMBER(FC466),INDIRECT("SamplesX!F"&amp;FC466),IF(ISNUMBER(FD466),INDIRECT("SamplesY!F"&amp;FD466),""))</f>
        <v/>
      </c>
      <c r="G466" s="18">
        <f>IF(ISNUMBER(FC466),INDIRECT("SamplesX!G"&amp;FC466),IF(ISNUMBER(FD466),INDIRECT("SamplesY!G"&amp;FD466),""))</f>
        <v/>
      </c>
      <c r="H466" s="19">
        <f>IF(ISNUMBER(FC466),INDIRECT("SamplesX!H"&amp;FC466),IF(ISNUMBER(FD466),INDIRECT("SamplesY!H"&amp;FD466),""))</f>
        <v/>
      </c>
      <c r="I466" s="16" t="n"/>
      <c r="J466" s="16" t="n"/>
      <c r="K466" s="16" t="n"/>
      <c r="L466" s="20" t="n"/>
      <c r="M466" s="20" t="inlineStr">
        <is>
          <t>None</t>
        </is>
      </c>
      <c r="N466" s="17" t="n"/>
      <c r="O466" s="16" t="n"/>
      <c r="P466" s="20" t="inlineStr">
        <is>
          <t>Shimadzu TOC-L</t>
        </is>
      </c>
      <c r="Q466" s="20" t="inlineStr">
        <is>
          <t>None</t>
        </is>
      </c>
      <c r="R466" s="17" t="n"/>
      <c r="S466" s="16" t="n"/>
      <c r="T466" s="20" t="inlineStr">
        <is>
          <t>Shimadzu TOC-L</t>
        </is>
      </c>
      <c r="U466" s="20" t="inlineStr">
        <is>
          <t>None</t>
        </is>
      </c>
      <c r="V466" s="17" t="n"/>
      <c r="W466" s="16" t="n"/>
      <c r="X466" s="20" t="n"/>
      <c r="Y466" s="20" t="inlineStr">
        <is>
          <t>None</t>
        </is>
      </c>
      <c r="Z466" s="17" t="n"/>
      <c r="AA466" s="16" t="n"/>
      <c r="AB466" s="20" t="n"/>
      <c r="AC466" s="20" t="inlineStr">
        <is>
          <t>None</t>
        </is>
      </c>
      <c r="AD466" s="17" t="n"/>
      <c r="AE466" s="16" t="n"/>
      <c r="AF466" s="20" t="inlineStr">
        <is>
          <t>IC Anionen</t>
        </is>
      </c>
      <c r="AG466" s="20" t="inlineStr">
        <is>
          <t>None</t>
        </is>
      </c>
      <c r="AH466" s="17" t="n"/>
      <c r="AI466" s="16" t="n"/>
      <c r="AJ466" s="20" t="n"/>
      <c r="AK466" s="20" t="inlineStr">
        <is>
          <t>None</t>
        </is>
      </c>
      <c r="AL466" s="17" t="n"/>
      <c r="AM466" s="16" t="n"/>
      <c r="AN466" s="20" t="inlineStr">
        <is>
          <t>IC Anionen</t>
        </is>
      </c>
      <c r="AO466" s="20" t="inlineStr">
        <is>
          <t>None</t>
        </is>
      </c>
      <c r="AP466" s="17" t="n"/>
      <c r="AQ466" s="16" t="n"/>
      <c r="AR466" s="20" t="n"/>
      <c r="AS466" s="20" t="inlineStr">
        <is>
          <t>None</t>
        </is>
      </c>
      <c r="AT466" s="17" t="n"/>
      <c r="AU466" s="16" t="n"/>
      <c r="AV466" s="20" t="n"/>
      <c r="AW466" s="20" t="inlineStr">
        <is>
          <t>None</t>
        </is>
      </c>
      <c r="AX466" s="17" t="n"/>
      <c r="AY466" s="16" t="n"/>
      <c r="AZ466" s="20" t="inlineStr">
        <is>
          <t>IC Anionen</t>
        </is>
      </c>
      <c r="BA466" s="20" t="inlineStr">
        <is>
          <t>None</t>
        </is>
      </c>
      <c r="BB466" s="17" t="n"/>
      <c r="BC466" s="16" t="n"/>
      <c r="BD466" s="20" t="inlineStr">
        <is>
          <t>IC Kationen</t>
        </is>
      </c>
      <c r="BE466" s="20" t="inlineStr">
        <is>
          <t>None</t>
        </is>
      </c>
      <c r="BF466" s="17" t="n"/>
      <c r="BG466" s="16" t="n"/>
      <c r="BH466" s="20" t="inlineStr">
        <is>
          <t>IC Kationen</t>
        </is>
      </c>
      <c r="BI466" s="20" t="inlineStr">
        <is>
          <t>None</t>
        </is>
      </c>
      <c r="BJ466" s="17" t="n"/>
      <c r="BK466" s="16" t="n"/>
      <c r="BL466" s="20" t="inlineStr">
        <is>
          <t>IC Kationen</t>
        </is>
      </c>
      <c r="BM466" s="20" t="inlineStr">
        <is>
          <t>None</t>
        </is>
      </c>
      <c r="BN466" s="17" t="n"/>
      <c r="BO466" s="16" t="n"/>
      <c r="BP466" s="20" t="inlineStr">
        <is>
          <t>IC Kationen</t>
        </is>
      </c>
      <c r="BQ466" s="20" t="inlineStr">
        <is>
          <t>None</t>
        </is>
      </c>
      <c r="BR466" s="17" t="n"/>
      <c r="BS466" s="16" t="n"/>
      <c r="BT466" s="20" t="inlineStr">
        <is>
          <t>IC Kationen</t>
        </is>
      </c>
      <c r="BU466" s="20" t="inlineStr">
        <is>
          <t>None</t>
        </is>
      </c>
      <c r="BV466" s="17" t="n"/>
      <c r="BW466" s="16" t="n"/>
      <c r="BX466" s="20" t="n"/>
      <c r="BY466" s="20" t="inlineStr">
        <is>
          <t>None</t>
        </is>
      </c>
      <c r="BZ466" s="17" t="n"/>
      <c r="CA466" s="16" t="n"/>
      <c r="CB466" s="20" t="n"/>
      <c r="CC466" s="20" t="inlineStr">
        <is>
          <t>None</t>
        </is>
      </c>
      <c r="CD466" s="17" t="n"/>
      <c r="CE466" s="16" t="n"/>
      <c r="CF466" s="20" t="n"/>
      <c r="CG466" s="20" t="inlineStr">
        <is>
          <t>None</t>
        </is>
      </c>
      <c r="CH466" s="17" t="n"/>
      <c r="CI466" s="16" t="n"/>
      <c r="CJ466" s="20" t="n"/>
      <c r="CK466" s="20" t="inlineStr">
        <is>
          <t>None</t>
        </is>
      </c>
      <c r="CL466" s="17" t="n"/>
      <c r="CM466" s="16" t="n"/>
      <c r="CN466" s="20" t="inlineStr">
        <is>
          <t>SOP 45-34</t>
        </is>
      </c>
      <c r="CO466" s="20" t="inlineStr">
        <is>
          <t>None</t>
        </is>
      </c>
      <c r="CP466" s="17" t="n"/>
      <c r="CQ466" s="16" t="n"/>
      <c r="CR466" s="20" t="n"/>
      <c r="CS466" s="20" t="inlineStr">
        <is>
          <t>None</t>
        </is>
      </c>
      <c r="CT466" s="17" t="n"/>
      <c r="CU466" s="16" t="n"/>
      <c r="CV466" s="20" t="n"/>
      <c r="CW466" s="20" t="inlineStr">
        <is>
          <t>None</t>
        </is>
      </c>
      <c r="CX466" s="17" t="n"/>
      <c r="CY466" s="16" t="n"/>
      <c r="CZ466" s="20" t="inlineStr">
        <is>
          <t>WTW Multimeter 3430 with FDO 925</t>
        </is>
      </c>
      <c r="DA466" s="20" t="inlineStr">
        <is>
          <t>None</t>
        </is>
      </c>
      <c r="DB466" s="17" t="n"/>
      <c r="DC466" s="16" t="n"/>
      <c r="DD466" s="20" t="n"/>
      <c r="DE466" s="20" t="inlineStr">
        <is>
          <t>None</t>
        </is>
      </c>
      <c r="DF466" s="17" t="n"/>
      <c r="DG466" s="16" t="n"/>
      <c r="DH466" s="20" t="inlineStr">
        <is>
          <t>SOP 45-09</t>
        </is>
      </c>
      <c r="DI466" s="20" t="inlineStr">
        <is>
          <t>None</t>
        </is>
      </c>
      <c r="DJ466" s="17" t="n"/>
      <c r="DK466" s="16" t="n"/>
      <c r="DL466" s="20" t="inlineStr">
        <is>
          <t>SOP 45-09 (SOP muss noch angepasst werden für VSS)</t>
        </is>
      </c>
      <c r="DM466" s="20" t="inlineStr">
        <is>
          <t>None</t>
        </is>
      </c>
      <c r="DN466" s="17" t="n"/>
      <c r="DO466" s="16" t="n"/>
      <c r="DP466" s="20" t="inlineStr">
        <is>
          <t>IC Organic Acids</t>
        </is>
      </c>
      <c r="DQ466" s="20" t="inlineStr">
        <is>
          <t>None</t>
        </is>
      </c>
      <c r="DR466" s="17" t="n"/>
      <c r="DS466" s="16" t="n"/>
      <c r="DT466" s="20" t="inlineStr">
        <is>
          <t>IC Organic Acids</t>
        </is>
      </c>
      <c r="DU466" s="20" t="inlineStr">
        <is>
          <t>None</t>
        </is>
      </c>
      <c r="DV466" s="17" t="n"/>
      <c r="DW466" s="16" t="n"/>
      <c r="DX466" s="20" t="inlineStr">
        <is>
          <t>IC Organic Acids</t>
        </is>
      </c>
      <c r="DY466" s="20" t="inlineStr">
        <is>
          <t>None</t>
        </is>
      </c>
      <c r="DZ466" s="17" t="n"/>
      <c r="EA466" s="16" t="n"/>
      <c r="EB466" s="20" t="inlineStr">
        <is>
          <t>IC Organic Acids</t>
        </is>
      </c>
      <c r="EC466" s="20" t="inlineStr">
        <is>
          <t>None</t>
        </is>
      </c>
      <c r="ED466" s="17" t="n"/>
      <c r="EE466" s="16" t="n"/>
      <c r="EF466" s="20" t="inlineStr">
        <is>
          <t>IC Organic Acids</t>
        </is>
      </c>
      <c r="EG466" s="20" t="inlineStr">
        <is>
          <t>None</t>
        </is>
      </c>
      <c r="EH466" s="17" t="n"/>
      <c r="EI466" s="16" t="n"/>
      <c r="EJ466" s="20" t="inlineStr">
        <is>
          <t>IC Organic Acids</t>
        </is>
      </c>
      <c r="EK466" s="20" t="inlineStr">
        <is>
          <t>None</t>
        </is>
      </c>
      <c r="EL466" s="17" t="n"/>
      <c r="EM466" s="16" t="n"/>
      <c r="EN466" s="20" t="inlineStr">
        <is>
          <t>IC Organic Acids</t>
        </is>
      </c>
      <c r="EO466" s="20" t="inlineStr">
        <is>
          <t>None</t>
        </is>
      </c>
      <c r="EP466" s="17" t="n"/>
      <c r="EQ466" s="16" t="n"/>
      <c r="ER466" s="20" t="inlineStr">
        <is>
          <t>IC Organic Acids</t>
        </is>
      </c>
      <c r="ES466" s="20" t="inlineStr">
        <is>
          <t>None</t>
        </is>
      </c>
      <c r="ET466" s="17" t="n"/>
      <c r="EU466" s="16" t="n"/>
      <c r="EV466" s="20" t="inlineStr">
        <is>
          <t>LC-MS</t>
        </is>
      </c>
      <c r="EW466" s="20" t="inlineStr">
        <is>
          <t>None</t>
        </is>
      </c>
      <c r="EX466" s="17" t="n"/>
      <c r="EY466" s="21" t="n"/>
      <c r="EZ466">
        <f>CONCATENATE(A466,B466)</f>
        <v/>
      </c>
      <c r="FA466">
        <f>CONCATENATE(SamplesX!A466,SamplesX!B466)</f>
        <v/>
      </c>
      <c r="FC466">
        <f>MATCH(EZ466,FA1:FA1008,0)</f>
        <v/>
      </c>
    </row>
    <row r="467">
      <c r="A467" s="16" t="n"/>
      <c r="B467" s="17" t="n"/>
      <c r="C467" s="10">
        <f>IF(ISNUMBER(FC467),INDIRECT("SamplesX!C"&amp;FC467),IF(ISNUMBER(FD467),INDIRECT("SamplesY!C"&amp;FD467),""))</f>
        <v/>
      </c>
      <c r="D467" s="12">
        <f>IF(ISNUMBER(FC467),INDIRECT("SamplesX!D"&amp;FC467),IF(ISNUMBER(FD467),INDIRECT("SamplesY!D"&amp;FD467),""))</f>
        <v/>
      </c>
      <c r="E467" s="12">
        <f>IF(ISNUMBER(FC467),INDIRECT("SamplesX!E"&amp;FC467),IF(ISNUMBER(FD467),INDIRECT("SamplesY!E"&amp;FD467),""))</f>
        <v/>
      </c>
      <c r="F467" s="11">
        <f>IF(ISNUMBER(FC467),INDIRECT("SamplesX!F"&amp;FC467),IF(ISNUMBER(FD467),INDIRECT("SamplesY!F"&amp;FD467),""))</f>
        <v/>
      </c>
      <c r="G467" s="18">
        <f>IF(ISNUMBER(FC467),INDIRECT("SamplesX!G"&amp;FC467),IF(ISNUMBER(FD467),INDIRECT("SamplesY!G"&amp;FD467),""))</f>
        <v/>
      </c>
      <c r="H467" s="19">
        <f>IF(ISNUMBER(FC467),INDIRECT("SamplesX!H"&amp;FC467),IF(ISNUMBER(FD467),INDIRECT("SamplesY!H"&amp;FD467),""))</f>
        <v/>
      </c>
      <c r="I467" s="16" t="n"/>
      <c r="J467" s="16" t="n"/>
      <c r="K467" s="16" t="n"/>
      <c r="L467" s="20" t="n"/>
      <c r="M467" s="20" t="inlineStr">
        <is>
          <t>None</t>
        </is>
      </c>
      <c r="N467" s="17" t="n"/>
      <c r="O467" s="16" t="n"/>
      <c r="P467" s="20" t="inlineStr">
        <is>
          <t>Shimadzu TOC-L</t>
        </is>
      </c>
      <c r="Q467" s="20" t="inlineStr">
        <is>
          <t>None</t>
        </is>
      </c>
      <c r="R467" s="17" t="n"/>
      <c r="S467" s="16" t="n"/>
      <c r="T467" s="20" t="inlineStr">
        <is>
          <t>Shimadzu TOC-L</t>
        </is>
      </c>
      <c r="U467" s="20" t="inlineStr">
        <is>
          <t>None</t>
        </is>
      </c>
      <c r="V467" s="17" t="n"/>
      <c r="W467" s="16" t="n"/>
      <c r="X467" s="20" t="n"/>
      <c r="Y467" s="20" t="inlineStr">
        <is>
          <t>None</t>
        </is>
      </c>
      <c r="Z467" s="17" t="n"/>
      <c r="AA467" s="16" t="n"/>
      <c r="AB467" s="20" t="n"/>
      <c r="AC467" s="20" t="inlineStr">
        <is>
          <t>None</t>
        </is>
      </c>
      <c r="AD467" s="17" t="n"/>
      <c r="AE467" s="16" t="n"/>
      <c r="AF467" s="20" t="inlineStr">
        <is>
          <t>IC Anionen</t>
        </is>
      </c>
      <c r="AG467" s="20" t="inlineStr">
        <is>
          <t>None</t>
        </is>
      </c>
      <c r="AH467" s="17" t="n"/>
      <c r="AI467" s="16" t="n"/>
      <c r="AJ467" s="20" t="n"/>
      <c r="AK467" s="20" t="inlineStr">
        <is>
          <t>None</t>
        </is>
      </c>
      <c r="AL467" s="17" t="n"/>
      <c r="AM467" s="16" t="n"/>
      <c r="AN467" s="20" t="inlineStr">
        <is>
          <t>IC Anionen</t>
        </is>
      </c>
      <c r="AO467" s="20" t="inlineStr">
        <is>
          <t>None</t>
        </is>
      </c>
      <c r="AP467" s="17" t="n"/>
      <c r="AQ467" s="16" t="n"/>
      <c r="AR467" s="20" t="n"/>
      <c r="AS467" s="20" t="inlineStr">
        <is>
          <t>None</t>
        </is>
      </c>
      <c r="AT467" s="17" t="n"/>
      <c r="AU467" s="16" t="n"/>
      <c r="AV467" s="20" t="n"/>
      <c r="AW467" s="20" t="inlineStr">
        <is>
          <t>None</t>
        </is>
      </c>
      <c r="AX467" s="17" t="n"/>
      <c r="AY467" s="16" t="n"/>
      <c r="AZ467" s="20" t="inlineStr">
        <is>
          <t>IC Anionen</t>
        </is>
      </c>
      <c r="BA467" s="20" t="inlineStr">
        <is>
          <t>None</t>
        </is>
      </c>
      <c r="BB467" s="17" t="n"/>
      <c r="BC467" s="16" t="n"/>
      <c r="BD467" s="20" t="inlineStr">
        <is>
          <t>IC Kationen</t>
        </is>
      </c>
      <c r="BE467" s="20" t="inlineStr">
        <is>
          <t>None</t>
        </is>
      </c>
      <c r="BF467" s="17" t="n"/>
      <c r="BG467" s="16" t="n"/>
      <c r="BH467" s="20" t="inlineStr">
        <is>
          <t>IC Kationen</t>
        </is>
      </c>
      <c r="BI467" s="20" t="inlineStr">
        <is>
          <t>None</t>
        </is>
      </c>
      <c r="BJ467" s="17" t="n"/>
      <c r="BK467" s="16" t="n"/>
      <c r="BL467" s="20" t="inlineStr">
        <is>
          <t>IC Kationen</t>
        </is>
      </c>
      <c r="BM467" s="20" t="inlineStr">
        <is>
          <t>None</t>
        </is>
      </c>
      <c r="BN467" s="17" t="n"/>
      <c r="BO467" s="16" t="n"/>
      <c r="BP467" s="20" t="inlineStr">
        <is>
          <t>IC Kationen</t>
        </is>
      </c>
      <c r="BQ467" s="20" t="inlineStr">
        <is>
          <t>None</t>
        </is>
      </c>
      <c r="BR467" s="17" t="n"/>
      <c r="BS467" s="16" t="n"/>
      <c r="BT467" s="20" t="inlineStr">
        <is>
          <t>IC Kationen</t>
        </is>
      </c>
      <c r="BU467" s="20" t="inlineStr">
        <is>
          <t>None</t>
        </is>
      </c>
      <c r="BV467" s="17" t="n"/>
      <c r="BW467" s="16" t="n"/>
      <c r="BX467" s="20" t="n"/>
      <c r="BY467" s="20" t="inlineStr">
        <is>
          <t>None</t>
        </is>
      </c>
      <c r="BZ467" s="17" t="n"/>
      <c r="CA467" s="16" t="n"/>
      <c r="CB467" s="20" t="n"/>
      <c r="CC467" s="20" t="inlineStr">
        <is>
          <t>None</t>
        </is>
      </c>
      <c r="CD467" s="17" t="n"/>
      <c r="CE467" s="16" t="n"/>
      <c r="CF467" s="20" t="n"/>
      <c r="CG467" s="20" t="inlineStr">
        <is>
          <t>None</t>
        </is>
      </c>
      <c r="CH467" s="17" t="n"/>
      <c r="CI467" s="16" t="n"/>
      <c r="CJ467" s="20" t="n"/>
      <c r="CK467" s="20" t="inlineStr">
        <is>
          <t>None</t>
        </is>
      </c>
      <c r="CL467" s="17" t="n"/>
      <c r="CM467" s="16" t="n"/>
      <c r="CN467" s="20" t="inlineStr">
        <is>
          <t>SOP 45-34</t>
        </is>
      </c>
      <c r="CO467" s="20" t="inlineStr">
        <is>
          <t>None</t>
        </is>
      </c>
      <c r="CP467" s="17" t="n"/>
      <c r="CQ467" s="16" t="n"/>
      <c r="CR467" s="20" t="n"/>
      <c r="CS467" s="20" t="inlineStr">
        <is>
          <t>None</t>
        </is>
      </c>
      <c r="CT467" s="17" t="n"/>
      <c r="CU467" s="16" t="n"/>
      <c r="CV467" s="20" t="n"/>
      <c r="CW467" s="20" t="inlineStr">
        <is>
          <t>None</t>
        </is>
      </c>
      <c r="CX467" s="17" t="n"/>
      <c r="CY467" s="16" t="n"/>
      <c r="CZ467" s="20" t="inlineStr">
        <is>
          <t>WTW Multimeter 3430 with FDO 925</t>
        </is>
      </c>
      <c r="DA467" s="20" t="inlineStr">
        <is>
          <t>None</t>
        </is>
      </c>
      <c r="DB467" s="17" t="n"/>
      <c r="DC467" s="16" t="n"/>
      <c r="DD467" s="20" t="n"/>
      <c r="DE467" s="20" t="inlineStr">
        <is>
          <t>None</t>
        </is>
      </c>
      <c r="DF467" s="17" t="n"/>
      <c r="DG467" s="16" t="n"/>
      <c r="DH467" s="20" t="inlineStr">
        <is>
          <t>SOP 45-09</t>
        </is>
      </c>
      <c r="DI467" s="20" t="inlineStr">
        <is>
          <t>None</t>
        </is>
      </c>
      <c r="DJ467" s="17" t="n"/>
      <c r="DK467" s="16" t="n"/>
      <c r="DL467" s="20" t="inlineStr">
        <is>
          <t>SOP 45-09 (SOP muss noch angepasst werden für VSS)</t>
        </is>
      </c>
      <c r="DM467" s="20" t="inlineStr">
        <is>
          <t>None</t>
        </is>
      </c>
      <c r="DN467" s="17" t="n"/>
      <c r="DO467" s="16" t="n"/>
      <c r="DP467" s="20" t="inlineStr">
        <is>
          <t>IC Organic Acids</t>
        </is>
      </c>
      <c r="DQ467" s="20" t="inlineStr">
        <is>
          <t>None</t>
        </is>
      </c>
      <c r="DR467" s="17" t="n"/>
      <c r="DS467" s="16" t="n"/>
      <c r="DT467" s="20" t="inlineStr">
        <is>
          <t>IC Organic Acids</t>
        </is>
      </c>
      <c r="DU467" s="20" t="inlineStr">
        <is>
          <t>None</t>
        </is>
      </c>
      <c r="DV467" s="17" t="n"/>
      <c r="DW467" s="16" t="n"/>
      <c r="DX467" s="20" t="inlineStr">
        <is>
          <t>IC Organic Acids</t>
        </is>
      </c>
      <c r="DY467" s="20" t="inlineStr">
        <is>
          <t>None</t>
        </is>
      </c>
      <c r="DZ467" s="17" t="n"/>
      <c r="EA467" s="16" t="n"/>
      <c r="EB467" s="20" t="inlineStr">
        <is>
          <t>IC Organic Acids</t>
        </is>
      </c>
      <c r="EC467" s="20" t="inlineStr">
        <is>
          <t>None</t>
        </is>
      </c>
      <c r="ED467" s="17" t="n"/>
      <c r="EE467" s="16" t="n"/>
      <c r="EF467" s="20" t="inlineStr">
        <is>
          <t>IC Organic Acids</t>
        </is>
      </c>
      <c r="EG467" s="20" t="inlineStr">
        <is>
          <t>None</t>
        </is>
      </c>
      <c r="EH467" s="17" t="n"/>
      <c r="EI467" s="16" t="n"/>
      <c r="EJ467" s="20" t="inlineStr">
        <is>
          <t>IC Organic Acids</t>
        </is>
      </c>
      <c r="EK467" s="20" t="inlineStr">
        <is>
          <t>None</t>
        </is>
      </c>
      <c r="EL467" s="17" t="n"/>
      <c r="EM467" s="16" t="n"/>
      <c r="EN467" s="20" t="inlineStr">
        <is>
          <t>IC Organic Acids</t>
        </is>
      </c>
      <c r="EO467" s="20" t="inlineStr">
        <is>
          <t>None</t>
        </is>
      </c>
      <c r="EP467" s="17" t="n"/>
      <c r="EQ467" s="16" t="n"/>
      <c r="ER467" s="20" t="inlineStr">
        <is>
          <t>IC Organic Acids</t>
        </is>
      </c>
      <c r="ES467" s="20" t="inlineStr">
        <is>
          <t>None</t>
        </is>
      </c>
      <c r="ET467" s="17" t="n"/>
      <c r="EU467" s="16" t="n"/>
      <c r="EV467" s="20" t="inlineStr">
        <is>
          <t>LC-MS</t>
        </is>
      </c>
      <c r="EW467" s="20" t="inlineStr">
        <is>
          <t>None</t>
        </is>
      </c>
      <c r="EX467" s="17" t="n"/>
      <c r="EY467" s="21" t="n"/>
      <c r="EZ467">
        <f>CONCATENATE(A467,B467)</f>
        <v/>
      </c>
      <c r="FA467">
        <f>CONCATENATE(SamplesX!A467,SamplesX!B467)</f>
        <v/>
      </c>
      <c r="FC467">
        <f>MATCH(EZ467,FA1:FA1008,0)</f>
        <v/>
      </c>
    </row>
    <row r="468">
      <c r="A468" s="16" t="n"/>
      <c r="B468" s="17" t="n"/>
      <c r="C468" s="10">
        <f>IF(ISNUMBER(FC468),INDIRECT("SamplesX!C"&amp;FC468),IF(ISNUMBER(FD468),INDIRECT("SamplesY!C"&amp;FD468),""))</f>
        <v/>
      </c>
      <c r="D468" s="12">
        <f>IF(ISNUMBER(FC468),INDIRECT("SamplesX!D"&amp;FC468),IF(ISNUMBER(FD468),INDIRECT("SamplesY!D"&amp;FD468),""))</f>
        <v/>
      </c>
      <c r="E468" s="12">
        <f>IF(ISNUMBER(FC468),INDIRECT("SamplesX!E"&amp;FC468),IF(ISNUMBER(FD468),INDIRECT("SamplesY!E"&amp;FD468),""))</f>
        <v/>
      </c>
      <c r="F468" s="11">
        <f>IF(ISNUMBER(FC468),INDIRECT("SamplesX!F"&amp;FC468),IF(ISNUMBER(FD468),INDIRECT("SamplesY!F"&amp;FD468),""))</f>
        <v/>
      </c>
      <c r="G468" s="18">
        <f>IF(ISNUMBER(FC468),INDIRECT("SamplesX!G"&amp;FC468),IF(ISNUMBER(FD468),INDIRECT("SamplesY!G"&amp;FD468),""))</f>
        <v/>
      </c>
      <c r="H468" s="19">
        <f>IF(ISNUMBER(FC468),INDIRECT("SamplesX!H"&amp;FC468),IF(ISNUMBER(FD468),INDIRECT("SamplesY!H"&amp;FD468),""))</f>
        <v/>
      </c>
      <c r="I468" s="16" t="n"/>
      <c r="J468" s="16" t="n"/>
      <c r="K468" s="16" t="n"/>
      <c r="L468" s="20" t="n"/>
      <c r="M468" s="20" t="inlineStr">
        <is>
          <t>None</t>
        </is>
      </c>
      <c r="N468" s="17" t="n"/>
      <c r="O468" s="16" t="n"/>
      <c r="P468" s="20" t="inlineStr">
        <is>
          <t>Shimadzu TOC-L</t>
        </is>
      </c>
      <c r="Q468" s="20" t="inlineStr">
        <is>
          <t>None</t>
        </is>
      </c>
      <c r="R468" s="17" t="n"/>
      <c r="S468" s="16" t="n"/>
      <c r="T468" s="20" t="inlineStr">
        <is>
          <t>Shimadzu TOC-L</t>
        </is>
      </c>
      <c r="U468" s="20" t="inlineStr">
        <is>
          <t>None</t>
        </is>
      </c>
      <c r="V468" s="17" t="n"/>
      <c r="W468" s="16" t="n"/>
      <c r="X468" s="20" t="n"/>
      <c r="Y468" s="20" t="inlineStr">
        <is>
          <t>None</t>
        </is>
      </c>
      <c r="Z468" s="17" t="n"/>
      <c r="AA468" s="16" t="n"/>
      <c r="AB468" s="20" t="n"/>
      <c r="AC468" s="20" t="inlineStr">
        <is>
          <t>None</t>
        </is>
      </c>
      <c r="AD468" s="17" t="n"/>
      <c r="AE468" s="16" t="n"/>
      <c r="AF468" s="20" t="inlineStr">
        <is>
          <t>IC Anionen</t>
        </is>
      </c>
      <c r="AG468" s="20" t="inlineStr">
        <is>
          <t>None</t>
        </is>
      </c>
      <c r="AH468" s="17" t="n"/>
      <c r="AI468" s="16" t="n"/>
      <c r="AJ468" s="20" t="n"/>
      <c r="AK468" s="20" t="inlineStr">
        <is>
          <t>None</t>
        </is>
      </c>
      <c r="AL468" s="17" t="n"/>
      <c r="AM468" s="16" t="n"/>
      <c r="AN468" s="20" t="inlineStr">
        <is>
          <t>IC Anionen</t>
        </is>
      </c>
      <c r="AO468" s="20" t="inlineStr">
        <is>
          <t>None</t>
        </is>
      </c>
      <c r="AP468" s="17" t="n"/>
      <c r="AQ468" s="16" t="n"/>
      <c r="AR468" s="20" t="n"/>
      <c r="AS468" s="20" t="inlineStr">
        <is>
          <t>None</t>
        </is>
      </c>
      <c r="AT468" s="17" t="n"/>
      <c r="AU468" s="16" t="n"/>
      <c r="AV468" s="20" t="n"/>
      <c r="AW468" s="20" t="inlineStr">
        <is>
          <t>None</t>
        </is>
      </c>
      <c r="AX468" s="17" t="n"/>
      <c r="AY468" s="16" t="n"/>
      <c r="AZ468" s="20" t="inlineStr">
        <is>
          <t>IC Anionen</t>
        </is>
      </c>
      <c r="BA468" s="20" t="inlineStr">
        <is>
          <t>None</t>
        </is>
      </c>
      <c r="BB468" s="17" t="n"/>
      <c r="BC468" s="16" t="n"/>
      <c r="BD468" s="20" t="inlineStr">
        <is>
          <t>IC Kationen</t>
        </is>
      </c>
      <c r="BE468" s="20" t="inlineStr">
        <is>
          <t>None</t>
        </is>
      </c>
      <c r="BF468" s="17" t="n"/>
      <c r="BG468" s="16" t="n"/>
      <c r="BH468" s="20" t="inlineStr">
        <is>
          <t>IC Kationen</t>
        </is>
      </c>
      <c r="BI468" s="20" t="inlineStr">
        <is>
          <t>None</t>
        </is>
      </c>
      <c r="BJ468" s="17" t="n"/>
      <c r="BK468" s="16" t="n"/>
      <c r="BL468" s="20" t="inlineStr">
        <is>
          <t>IC Kationen</t>
        </is>
      </c>
      <c r="BM468" s="20" t="inlineStr">
        <is>
          <t>None</t>
        </is>
      </c>
      <c r="BN468" s="17" t="n"/>
      <c r="BO468" s="16" t="n"/>
      <c r="BP468" s="20" t="inlineStr">
        <is>
          <t>IC Kationen</t>
        </is>
      </c>
      <c r="BQ468" s="20" t="inlineStr">
        <is>
          <t>None</t>
        </is>
      </c>
      <c r="BR468" s="17" t="n"/>
      <c r="BS468" s="16" t="n"/>
      <c r="BT468" s="20" t="inlineStr">
        <is>
          <t>IC Kationen</t>
        </is>
      </c>
      <c r="BU468" s="20" t="inlineStr">
        <is>
          <t>None</t>
        </is>
      </c>
      <c r="BV468" s="17" t="n"/>
      <c r="BW468" s="16" t="n"/>
      <c r="BX468" s="20" t="n"/>
      <c r="BY468" s="20" t="inlineStr">
        <is>
          <t>None</t>
        </is>
      </c>
      <c r="BZ468" s="17" t="n"/>
      <c r="CA468" s="16" t="n"/>
      <c r="CB468" s="20" t="n"/>
      <c r="CC468" s="20" t="inlineStr">
        <is>
          <t>None</t>
        </is>
      </c>
      <c r="CD468" s="17" t="n"/>
      <c r="CE468" s="16" t="n"/>
      <c r="CF468" s="20" t="n"/>
      <c r="CG468" s="20" t="inlineStr">
        <is>
          <t>None</t>
        </is>
      </c>
      <c r="CH468" s="17" t="n"/>
      <c r="CI468" s="16" t="n"/>
      <c r="CJ468" s="20" t="n"/>
      <c r="CK468" s="20" t="inlineStr">
        <is>
          <t>None</t>
        </is>
      </c>
      <c r="CL468" s="17" t="n"/>
      <c r="CM468" s="16" t="n"/>
      <c r="CN468" s="20" t="inlineStr">
        <is>
          <t>SOP 45-34</t>
        </is>
      </c>
      <c r="CO468" s="20" t="inlineStr">
        <is>
          <t>None</t>
        </is>
      </c>
      <c r="CP468" s="17" t="n"/>
      <c r="CQ468" s="16" t="n"/>
      <c r="CR468" s="20" t="n"/>
      <c r="CS468" s="20" t="inlineStr">
        <is>
          <t>None</t>
        </is>
      </c>
      <c r="CT468" s="17" t="n"/>
      <c r="CU468" s="16" t="n"/>
      <c r="CV468" s="20" t="n"/>
      <c r="CW468" s="20" t="inlineStr">
        <is>
          <t>None</t>
        </is>
      </c>
      <c r="CX468" s="17" t="n"/>
      <c r="CY468" s="16" t="n"/>
      <c r="CZ468" s="20" t="inlineStr">
        <is>
          <t>WTW Multimeter 3430 with FDO 925</t>
        </is>
      </c>
      <c r="DA468" s="20" t="inlineStr">
        <is>
          <t>None</t>
        </is>
      </c>
      <c r="DB468" s="17" t="n"/>
      <c r="DC468" s="16" t="n"/>
      <c r="DD468" s="20" t="n"/>
      <c r="DE468" s="20" t="inlineStr">
        <is>
          <t>None</t>
        </is>
      </c>
      <c r="DF468" s="17" t="n"/>
      <c r="DG468" s="16" t="n"/>
      <c r="DH468" s="20" t="inlineStr">
        <is>
          <t>SOP 45-09</t>
        </is>
      </c>
      <c r="DI468" s="20" t="inlineStr">
        <is>
          <t>None</t>
        </is>
      </c>
      <c r="DJ468" s="17" t="n"/>
      <c r="DK468" s="16" t="n"/>
      <c r="DL468" s="20" t="inlineStr">
        <is>
          <t>SOP 45-09 (SOP muss noch angepasst werden für VSS)</t>
        </is>
      </c>
      <c r="DM468" s="20" t="inlineStr">
        <is>
          <t>None</t>
        </is>
      </c>
      <c r="DN468" s="17" t="n"/>
      <c r="DO468" s="16" t="n"/>
      <c r="DP468" s="20" t="inlineStr">
        <is>
          <t>IC Organic Acids</t>
        </is>
      </c>
      <c r="DQ468" s="20" t="inlineStr">
        <is>
          <t>None</t>
        </is>
      </c>
      <c r="DR468" s="17" t="n"/>
      <c r="DS468" s="16" t="n"/>
      <c r="DT468" s="20" t="inlineStr">
        <is>
          <t>IC Organic Acids</t>
        </is>
      </c>
      <c r="DU468" s="20" t="inlineStr">
        <is>
          <t>None</t>
        </is>
      </c>
      <c r="DV468" s="17" t="n"/>
      <c r="DW468" s="16" t="n"/>
      <c r="DX468" s="20" t="inlineStr">
        <is>
          <t>IC Organic Acids</t>
        </is>
      </c>
      <c r="DY468" s="20" t="inlineStr">
        <is>
          <t>None</t>
        </is>
      </c>
      <c r="DZ468" s="17" t="n"/>
      <c r="EA468" s="16" t="n"/>
      <c r="EB468" s="20" t="inlineStr">
        <is>
          <t>IC Organic Acids</t>
        </is>
      </c>
      <c r="EC468" s="20" t="inlineStr">
        <is>
          <t>None</t>
        </is>
      </c>
      <c r="ED468" s="17" t="n"/>
      <c r="EE468" s="16" t="n"/>
      <c r="EF468" s="20" t="inlineStr">
        <is>
          <t>IC Organic Acids</t>
        </is>
      </c>
      <c r="EG468" s="20" t="inlineStr">
        <is>
          <t>None</t>
        </is>
      </c>
      <c r="EH468" s="17" t="n"/>
      <c r="EI468" s="16" t="n"/>
      <c r="EJ468" s="20" t="inlineStr">
        <is>
          <t>IC Organic Acids</t>
        </is>
      </c>
      <c r="EK468" s="20" t="inlineStr">
        <is>
          <t>None</t>
        </is>
      </c>
      <c r="EL468" s="17" t="n"/>
      <c r="EM468" s="16" t="n"/>
      <c r="EN468" s="20" t="inlineStr">
        <is>
          <t>IC Organic Acids</t>
        </is>
      </c>
      <c r="EO468" s="20" t="inlineStr">
        <is>
          <t>None</t>
        </is>
      </c>
      <c r="EP468" s="17" t="n"/>
      <c r="EQ468" s="16" t="n"/>
      <c r="ER468" s="20" t="inlineStr">
        <is>
          <t>IC Organic Acids</t>
        </is>
      </c>
      <c r="ES468" s="20" t="inlineStr">
        <is>
          <t>None</t>
        </is>
      </c>
      <c r="ET468" s="17" t="n"/>
      <c r="EU468" s="16" t="n"/>
      <c r="EV468" s="20" t="inlineStr">
        <is>
          <t>LC-MS</t>
        </is>
      </c>
      <c r="EW468" s="20" t="inlineStr">
        <is>
          <t>None</t>
        </is>
      </c>
      <c r="EX468" s="17" t="n"/>
      <c r="EY468" s="21" t="n"/>
      <c r="EZ468">
        <f>CONCATENATE(A468,B468)</f>
        <v/>
      </c>
      <c r="FA468">
        <f>CONCATENATE(SamplesX!A468,SamplesX!B468)</f>
        <v/>
      </c>
      <c r="FC468">
        <f>MATCH(EZ468,FA1:FA1008,0)</f>
        <v/>
      </c>
    </row>
    <row r="469">
      <c r="A469" s="16" t="n"/>
      <c r="B469" s="17" t="n"/>
      <c r="C469" s="10">
        <f>IF(ISNUMBER(FC469),INDIRECT("SamplesX!C"&amp;FC469),IF(ISNUMBER(FD469),INDIRECT("SamplesY!C"&amp;FD469),""))</f>
        <v/>
      </c>
      <c r="D469" s="12">
        <f>IF(ISNUMBER(FC469),INDIRECT("SamplesX!D"&amp;FC469),IF(ISNUMBER(FD469),INDIRECT("SamplesY!D"&amp;FD469),""))</f>
        <v/>
      </c>
      <c r="E469" s="12">
        <f>IF(ISNUMBER(FC469),INDIRECT("SamplesX!E"&amp;FC469),IF(ISNUMBER(FD469),INDIRECT("SamplesY!E"&amp;FD469),""))</f>
        <v/>
      </c>
      <c r="F469" s="11">
        <f>IF(ISNUMBER(FC469),INDIRECT("SamplesX!F"&amp;FC469),IF(ISNUMBER(FD469),INDIRECT("SamplesY!F"&amp;FD469),""))</f>
        <v/>
      </c>
      <c r="G469" s="18">
        <f>IF(ISNUMBER(FC469),INDIRECT("SamplesX!G"&amp;FC469),IF(ISNUMBER(FD469),INDIRECT("SamplesY!G"&amp;FD469),""))</f>
        <v/>
      </c>
      <c r="H469" s="19">
        <f>IF(ISNUMBER(FC469),INDIRECT("SamplesX!H"&amp;FC469),IF(ISNUMBER(FD469),INDIRECT("SamplesY!H"&amp;FD469),""))</f>
        <v/>
      </c>
      <c r="I469" s="16" t="n"/>
      <c r="J469" s="16" t="n"/>
      <c r="K469" s="16" t="n"/>
      <c r="L469" s="20" t="n"/>
      <c r="M469" s="20" t="inlineStr">
        <is>
          <t>None</t>
        </is>
      </c>
      <c r="N469" s="17" t="n"/>
      <c r="O469" s="16" t="n"/>
      <c r="P469" s="20" t="inlineStr">
        <is>
          <t>Shimadzu TOC-L</t>
        </is>
      </c>
      <c r="Q469" s="20" t="inlineStr">
        <is>
          <t>None</t>
        </is>
      </c>
      <c r="R469" s="17" t="n"/>
      <c r="S469" s="16" t="n"/>
      <c r="T469" s="20" t="inlineStr">
        <is>
          <t>Shimadzu TOC-L</t>
        </is>
      </c>
      <c r="U469" s="20" t="inlineStr">
        <is>
          <t>None</t>
        </is>
      </c>
      <c r="V469" s="17" t="n"/>
      <c r="W469" s="16" t="n"/>
      <c r="X469" s="20" t="n"/>
      <c r="Y469" s="20" t="inlineStr">
        <is>
          <t>None</t>
        </is>
      </c>
      <c r="Z469" s="17" t="n"/>
      <c r="AA469" s="16" t="n"/>
      <c r="AB469" s="20" t="n"/>
      <c r="AC469" s="20" t="inlineStr">
        <is>
          <t>None</t>
        </is>
      </c>
      <c r="AD469" s="17" t="n"/>
      <c r="AE469" s="16" t="n"/>
      <c r="AF469" s="20" t="inlineStr">
        <is>
          <t>IC Anionen</t>
        </is>
      </c>
      <c r="AG469" s="20" t="inlineStr">
        <is>
          <t>None</t>
        </is>
      </c>
      <c r="AH469" s="17" t="n"/>
      <c r="AI469" s="16" t="n"/>
      <c r="AJ469" s="20" t="n"/>
      <c r="AK469" s="20" t="inlineStr">
        <is>
          <t>None</t>
        </is>
      </c>
      <c r="AL469" s="17" t="n"/>
      <c r="AM469" s="16" t="n"/>
      <c r="AN469" s="20" t="inlineStr">
        <is>
          <t>IC Anionen</t>
        </is>
      </c>
      <c r="AO469" s="20" t="inlineStr">
        <is>
          <t>None</t>
        </is>
      </c>
      <c r="AP469" s="17" t="n"/>
      <c r="AQ469" s="16" t="n"/>
      <c r="AR469" s="20" t="n"/>
      <c r="AS469" s="20" t="inlineStr">
        <is>
          <t>None</t>
        </is>
      </c>
      <c r="AT469" s="17" t="n"/>
      <c r="AU469" s="16" t="n"/>
      <c r="AV469" s="20" t="n"/>
      <c r="AW469" s="20" t="inlineStr">
        <is>
          <t>None</t>
        </is>
      </c>
      <c r="AX469" s="17" t="n"/>
      <c r="AY469" s="16" t="n"/>
      <c r="AZ469" s="20" t="inlineStr">
        <is>
          <t>IC Anionen</t>
        </is>
      </c>
      <c r="BA469" s="20" t="inlineStr">
        <is>
          <t>None</t>
        </is>
      </c>
      <c r="BB469" s="17" t="n"/>
      <c r="BC469" s="16" t="n"/>
      <c r="BD469" s="20" t="inlineStr">
        <is>
          <t>IC Kationen</t>
        </is>
      </c>
      <c r="BE469" s="20" t="inlineStr">
        <is>
          <t>None</t>
        </is>
      </c>
      <c r="BF469" s="17" t="n"/>
      <c r="BG469" s="16" t="n"/>
      <c r="BH469" s="20" t="inlineStr">
        <is>
          <t>IC Kationen</t>
        </is>
      </c>
      <c r="BI469" s="20" t="inlineStr">
        <is>
          <t>None</t>
        </is>
      </c>
      <c r="BJ469" s="17" t="n"/>
      <c r="BK469" s="16" t="n"/>
      <c r="BL469" s="20" t="inlineStr">
        <is>
          <t>IC Kationen</t>
        </is>
      </c>
      <c r="BM469" s="20" t="inlineStr">
        <is>
          <t>None</t>
        </is>
      </c>
      <c r="BN469" s="17" t="n"/>
      <c r="BO469" s="16" t="n"/>
      <c r="BP469" s="20" t="inlineStr">
        <is>
          <t>IC Kationen</t>
        </is>
      </c>
      <c r="BQ469" s="20" t="inlineStr">
        <is>
          <t>None</t>
        </is>
      </c>
      <c r="BR469" s="17" t="n"/>
      <c r="BS469" s="16" t="n"/>
      <c r="BT469" s="20" t="inlineStr">
        <is>
          <t>IC Kationen</t>
        </is>
      </c>
      <c r="BU469" s="20" t="inlineStr">
        <is>
          <t>None</t>
        </is>
      </c>
      <c r="BV469" s="17" t="n"/>
      <c r="BW469" s="16" t="n"/>
      <c r="BX469" s="20" t="n"/>
      <c r="BY469" s="20" t="inlineStr">
        <is>
          <t>None</t>
        </is>
      </c>
      <c r="BZ469" s="17" t="n"/>
      <c r="CA469" s="16" t="n"/>
      <c r="CB469" s="20" t="n"/>
      <c r="CC469" s="20" t="inlineStr">
        <is>
          <t>None</t>
        </is>
      </c>
      <c r="CD469" s="17" t="n"/>
      <c r="CE469" s="16" t="n"/>
      <c r="CF469" s="20" t="n"/>
      <c r="CG469" s="20" t="inlineStr">
        <is>
          <t>None</t>
        </is>
      </c>
      <c r="CH469" s="17" t="n"/>
      <c r="CI469" s="16" t="n"/>
      <c r="CJ469" s="20" t="n"/>
      <c r="CK469" s="20" t="inlineStr">
        <is>
          <t>None</t>
        </is>
      </c>
      <c r="CL469" s="17" t="n"/>
      <c r="CM469" s="16" t="n"/>
      <c r="CN469" s="20" t="inlineStr">
        <is>
          <t>SOP 45-34</t>
        </is>
      </c>
      <c r="CO469" s="20" t="inlineStr">
        <is>
          <t>None</t>
        </is>
      </c>
      <c r="CP469" s="17" t="n"/>
      <c r="CQ469" s="16" t="n"/>
      <c r="CR469" s="20" t="n"/>
      <c r="CS469" s="20" t="inlineStr">
        <is>
          <t>None</t>
        </is>
      </c>
      <c r="CT469" s="17" t="n"/>
      <c r="CU469" s="16" t="n"/>
      <c r="CV469" s="20" t="n"/>
      <c r="CW469" s="20" t="inlineStr">
        <is>
          <t>None</t>
        </is>
      </c>
      <c r="CX469" s="17" t="n"/>
      <c r="CY469" s="16" t="n"/>
      <c r="CZ469" s="20" t="inlineStr">
        <is>
          <t>WTW Multimeter 3430 with FDO 925</t>
        </is>
      </c>
      <c r="DA469" s="20" t="inlineStr">
        <is>
          <t>None</t>
        </is>
      </c>
      <c r="DB469" s="17" t="n"/>
      <c r="DC469" s="16" t="n"/>
      <c r="DD469" s="20" t="n"/>
      <c r="DE469" s="20" t="inlineStr">
        <is>
          <t>None</t>
        </is>
      </c>
      <c r="DF469" s="17" t="n"/>
      <c r="DG469" s="16" t="n"/>
      <c r="DH469" s="20" t="inlineStr">
        <is>
          <t>SOP 45-09</t>
        </is>
      </c>
      <c r="DI469" s="20" t="inlineStr">
        <is>
          <t>None</t>
        </is>
      </c>
      <c r="DJ469" s="17" t="n"/>
      <c r="DK469" s="16" t="n"/>
      <c r="DL469" s="20" t="inlineStr">
        <is>
          <t>SOP 45-09 (SOP muss noch angepasst werden für VSS)</t>
        </is>
      </c>
      <c r="DM469" s="20" t="inlineStr">
        <is>
          <t>None</t>
        </is>
      </c>
      <c r="DN469" s="17" t="n"/>
      <c r="DO469" s="16" t="n"/>
      <c r="DP469" s="20" t="inlineStr">
        <is>
          <t>IC Organic Acids</t>
        </is>
      </c>
      <c r="DQ469" s="20" t="inlineStr">
        <is>
          <t>None</t>
        </is>
      </c>
      <c r="DR469" s="17" t="n"/>
      <c r="DS469" s="16" t="n"/>
      <c r="DT469" s="20" t="inlineStr">
        <is>
          <t>IC Organic Acids</t>
        </is>
      </c>
      <c r="DU469" s="20" t="inlineStr">
        <is>
          <t>None</t>
        </is>
      </c>
      <c r="DV469" s="17" t="n"/>
      <c r="DW469" s="16" t="n"/>
      <c r="DX469" s="20" t="inlineStr">
        <is>
          <t>IC Organic Acids</t>
        </is>
      </c>
      <c r="DY469" s="20" t="inlineStr">
        <is>
          <t>None</t>
        </is>
      </c>
      <c r="DZ469" s="17" t="n"/>
      <c r="EA469" s="16" t="n"/>
      <c r="EB469" s="20" t="inlineStr">
        <is>
          <t>IC Organic Acids</t>
        </is>
      </c>
      <c r="EC469" s="20" t="inlineStr">
        <is>
          <t>None</t>
        </is>
      </c>
      <c r="ED469" s="17" t="n"/>
      <c r="EE469" s="16" t="n"/>
      <c r="EF469" s="20" t="inlineStr">
        <is>
          <t>IC Organic Acids</t>
        </is>
      </c>
      <c r="EG469" s="20" t="inlineStr">
        <is>
          <t>None</t>
        </is>
      </c>
      <c r="EH469" s="17" t="n"/>
      <c r="EI469" s="16" t="n"/>
      <c r="EJ469" s="20" t="inlineStr">
        <is>
          <t>IC Organic Acids</t>
        </is>
      </c>
      <c r="EK469" s="20" t="inlineStr">
        <is>
          <t>None</t>
        </is>
      </c>
      <c r="EL469" s="17" t="n"/>
      <c r="EM469" s="16" t="n"/>
      <c r="EN469" s="20" t="inlineStr">
        <is>
          <t>IC Organic Acids</t>
        </is>
      </c>
      <c r="EO469" s="20" t="inlineStr">
        <is>
          <t>None</t>
        </is>
      </c>
      <c r="EP469" s="17" t="n"/>
      <c r="EQ469" s="16" t="n"/>
      <c r="ER469" s="20" t="inlineStr">
        <is>
          <t>IC Organic Acids</t>
        </is>
      </c>
      <c r="ES469" s="20" t="inlineStr">
        <is>
          <t>None</t>
        </is>
      </c>
      <c r="ET469" s="17" t="n"/>
      <c r="EU469" s="16" t="n"/>
      <c r="EV469" s="20" t="inlineStr">
        <is>
          <t>LC-MS</t>
        </is>
      </c>
      <c r="EW469" s="20" t="inlineStr">
        <is>
          <t>None</t>
        </is>
      </c>
      <c r="EX469" s="17" t="n"/>
      <c r="EY469" s="21" t="n"/>
      <c r="EZ469">
        <f>CONCATENATE(A469,B469)</f>
        <v/>
      </c>
      <c r="FA469">
        <f>CONCATENATE(SamplesX!A469,SamplesX!B469)</f>
        <v/>
      </c>
      <c r="FC469">
        <f>MATCH(EZ469,FA1:FA1008,0)</f>
        <v/>
      </c>
    </row>
    <row r="470">
      <c r="A470" s="16" t="n"/>
      <c r="B470" s="17" t="n"/>
      <c r="C470" s="10">
        <f>IF(ISNUMBER(FC470),INDIRECT("SamplesX!C"&amp;FC470),IF(ISNUMBER(FD470),INDIRECT("SamplesY!C"&amp;FD470),""))</f>
        <v/>
      </c>
      <c r="D470" s="12">
        <f>IF(ISNUMBER(FC470),INDIRECT("SamplesX!D"&amp;FC470),IF(ISNUMBER(FD470),INDIRECT("SamplesY!D"&amp;FD470),""))</f>
        <v/>
      </c>
      <c r="E470" s="12">
        <f>IF(ISNUMBER(FC470),INDIRECT("SamplesX!E"&amp;FC470),IF(ISNUMBER(FD470),INDIRECT("SamplesY!E"&amp;FD470),""))</f>
        <v/>
      </c>
      <c r="F470" s="11">
        <f>IF(ISNUMBER(FC470),INDIRECT("SamplesX!F"&amp;FC470),IF(ISNUMBER(FD470),INDIRECT("SamplesY!F"&amp;FD470),""))</f>
        <v/>
      </c>
      <c r="G470" s="18">
        <f>IF(ISNUMBER(FC470),INDIRECT("SamplesX!G"&amp;FC470),IF(ISNUMBER(FD470),INDIRECT("SamplesY!G"&amp;FD470),""))</f>
        <v/>
      </c>
      <c r="H470" s="19">
        <f>IF(ISNUMBER(FC470),INDIRECT("SamplesX!H"&amp;FC470),IF(ISNUMBER(FD470),INDIRECT("SamplesY!H"&amp;FD470),""))</f>
        <v/>
      </c>
      <c r="I470" s="16" t="n"/>
      <c r="J470" s="16" t="n"/>
      <c r="K470" s="16" t="n"/>
      <c r="L470" s="20" t="n"/>
      <c r="M470" s="20" t="inlineStr">
        <is>
          <t>None</t>
        </is>
      </c>
      <c r="N470" s="17" t="n"/>
      <c r="O470" s="16" t="n"/>
      <c r="P470" s="20" t="inlineStr">
        <is>
          <t>Shimadzu TOC-L</t>
        </is>
      </c>
      <c r="Q470" s="20" t="inlineStr">
        <is>
          <t>None</t>
        </is>
      </c>
      <c r="R470" s="17" t="n"/>
      <c r="S470" s="16" t="n"/>
      <c r="T470" s="20" t="inlineStr">
        <is>
          <t>Shimadzu TOC-L</t>
        </is>
      </c>
      <c r="U470" s="20" t="inlineStr">
        <is>
          <t>None</t>
        </is>
      </c>
      <c r="V470" s="17" t="n"/>
      <c r="W470" s="16" t="n"/>
      <c r="X470" s="20" t="n"/>
      <c r="Y470" s="20" t="inlineStr">
        <is>
          <t>None</t>
        </is>
      </c>
      <c r="Z470" s="17" t="n"/>
      <c r="AA470" s="16" t="n"/>
      <c r="AB470" s="20" t="n"/>
      <c r="AC470" s="20" t="inlineStr">
        <is>
          <t>None</t>
        </is>
      </c>
      <c r="AD470" s="17" t="n"/>
      <c r="AE470" s="16" t="n"/>
      <c r="AF470" s="20" t="inlineStr">
        <is>
          <t>IC Anionen</t>
        </is>
      </c>
      <c r="AG470" s="20" t="inlineStr">
        <is>
          <t>None</t>
        </is>
      </c>
      <c r="AH470" s="17" t="n"/>
      <c r="AI470" s="16" t="n"/>
      <c r="AJ470" s="20" t="n"/>
      <c r="AK470" s="20" t="inlineStr">
        <is>
          <t>None</t>
        </is>
      </c>
      <c r="AL470" s="17" t="n"/>
      <c r="AM470" s="16" t="n"/>
      <c r="AN470" s="20" t="inlineStr">
        <is>
          <t>IC Anionen</t>
        </is>
      </c>
      <c r="AO470" s="20" t="inlineStr">
        <is>
          <t>None</t>
        </is>
      </c>
      <c r="AP470" s="17" t="n"/>
      <c r="AQ470" s="16" t="n"/>
      <c r="AR470" s="20" t="n"/>
      <c r="AS470" s="20" t="inlineStr">
        <is>
          <t>None</t>
        </is>
      </c>
      <c r="AT470" s="17" t="n"/>
      <c r="AU470" s="16" t="n"/>
      <c r="AV470" s="20" t="n"/>
      <c r="AW470" s="20" t="inlineStr">
        <is>
          <t>None</t>
        </is>
      </c>
      <c r="AX470" s="17" t="n"/>
      <c r="AY470" s="16" t="n"/>
      <c r="AZ470" s="20" t="inlineStr">
        <is>
          <t>IC Anionen</t>
        </is>
      </c>
      <c r="BA470" s="20" t="inlineStr">
        <is>
          <t>None</t>
        </is>
      </c>
      <c r="BB470" s="17" t="n"/>
      <c r="BC470" s="16" t="n"/>
      <c r="BD470" s="20" t="inlineStr">
        <is>
          <t>IC Kationen</t>
        </is>
      </c>
      <c r="BE470" s="20" t="inlineStr">
        <is>
          <t>None</t>
        </is>
      </c>
      <c r="BF470" s="17" t="n"/>
      <c r="BG470" s="16" t="n"/>
      <c r="BH470" s="20" t="inlineStr">
        <is>
          <t>IC Kationen</t>
        </is>
      </c>
      <c r="BI470" s="20" t="inlineStr">
        <is>
          <t>None</t>
        </is>
      </c>
      <c r="BJ470" s="17" t="n"/>
      <c r="BK470" s="16" t="n"/>
      <c r="BL470" s="20" t="inlineStr">
        <is>
          <t>IC Kationen</t>
        </is>
      </c>
      <c r="BM470" s="20" t="inlineStr">
        <is>
          <t>None</t>
        </is>
      </c>
      <c r="BN470" s="17" t="n"/>
      <c r="BO470" s="16" t="n"/>
      <c r="BP470" s="20" t="inlineStr">
        <is>
          <t>IC Kationen</t>
        </is>
      </c>
      <c r="BQ470" s="20" t="inlineStr">
        <is>
          <t>None</t>
        </is>
      </c>
      <c r="BR470" s="17" t="n"/>
      <c r="BS470" s="16" t="n"/>
      <c r="BT470" s="20" t="inlineStr">
        <is>
          <t>IC Kationen</t>
        </is>
      </c>
      <c r="BU470" s="20" t="inlineStr">
        <is>
          <t>None</t>
        </is>
      </c>
      <c r="BV470" s="17" t="n"/>
      <c r="BW470" s="16" t="n"/>
      <c r="BX470" s="20" t="n"/>
      <c r="BY470" s="20" t="inlineStr">
        <is>
          <t>None</t>
        </is>
      </c>
      <c r="BZ470" s="17" t="n"/>
      <c r="CA470" s="16" t="n"/>
      <c r="CB470" s="20" t="n"/>
      <c r="CC470" s="20" t="inlineStr">
        <is>
          <t>None</t>
        </is>
      </c>
      <c r="CD470" s="17" t="n"/>
      <c r="CE470" s="16" t="n"/>
      <c r="CF470" s="20" t="n"/>
      <c r="CG470" s="20" t="inlineStr">
        <is>
          <t>None</t>
        </is>
      </c>
      <c r="CH470" s="17" t="n"/>
      <c r="CI470" s="16" t="n"/>
      <c r="CJ470" s="20" t="n"/>
      <c r="CK470" s="20" t="inlineStr">
        <is>
          <t>None</t>
        </is>
      </c>
      <c r="CL470" s="17" t="n"/>
      <c r="CM470" s="16" t="n"/>
      <c r="CN470" s="20" t="inlineStr">
        <is>
          <t>SOP 45-34</t>
        </is>
      </c>
      <c r="CO470" s="20" t="inlineStr">
        <is>
          <t>None</t>
        </is>
      </c>
      <c r="CP470" s="17" t="n"/>
      <c r="CQ470" s="16" t="n"/>
      <c r="CR470" s="20" t="n"/>
      <c r="CS470" s="20" t="inlineStr">
        <is>
          <t>None</t>
        </is>
      </c>
      <c r="CT470" s="17" t="n"/>
      <c r="CU470" s="16" t="n"/>
      <c r="CV470" s="20" t="n"/>
      <c r="CW470" s="20" t="inlineStr">
        <is>
          <t>None</t>
        </is>
      </c>
      <c r="CX470" s="17" t="n"/>
      <c r="CY470" s="16" t="n"/>
      <c r="CZ470" s="20" t="inlineStr">
        <is>
          <t>WTW Multimeter 3430 with FDO 925</t>
        </is>
      </c>
      <c r="DA470" s="20" t="inlineStr">
        <is>
          <t>None</t>
        </is>
      </c>
      <c r="DB470" s="17" t="n"/>
      <c r="DC470" s="16" t="n"/>
      <c r="DD470" s="20" t="n"/>
      <c r="DE470" s="20" t="inlineStr">
        <is>
          <t>None</t>
        </is>
      </c>
      <c r="DF470" s="17" t="n"/>
      <c r="DG470" s="16" t="n"/>
      <c r="DH470" s="20" t="inlineStr">
        <is>
          <t>SOP 45-09</t>
        </is>
      </c>
      <c r="DI470" s="20" t="inlineStr">
        <is>
          <t>None</t>
        </is>
      </c>
      <c r="DJ470" s="17" t="n"/>
      <c r="DK470" s="16" t="n"/>
      <c r="DL470" s="20" t="inlineStr">
        <is>
          <t>SOP 45-09 (SOP muss noch angepasst werden für VSS)</t>
        </is>
      </c>
      <c r="DM470" s="20" t="inlineStr">
        <is>
          <t>None</t>
        </is>
      </c>
      <c r="DN470" s="17" t="n"/>
      <c r="DO470" s="16" t="n"/>
      <c r="DP470" s="20" t="inlineStr">
        <is>
          <t>IC Organic Acids</t>
        </is>
      </c>
      <c r="DQ470" s="20" t="inlineStr">
        <is>
          <t>None</t>
        </is>
      </c>
      <c r="DR470" s="17" t="n"/>
      <c r="DS470" s="16" t="n"/>
      <c r="DT470" s="20" t="inlineStr">
        <is>
          <t>IC Organic Acids</t>
        </is>
      </c>
      <c r="DU470" s="20" t="inlineStr">
        <is>
          <t>None</t>
        </is>
      </c>
      <c r="DV470" s="17" t="n"/>
      <c r="DW470" s="16" t="n"/>
      <c r="DX470" s="20" t="inlineStr">
        <is>
          <t>IC Organic Acids</t>
        </is>
      </c>
      <c r="DY470" s="20" t="inlineStr">
        <is>
          <t>None</t>
        </is>
      </c>
      <c r="DZ470" s="17" t="n"/>
      <c r="EA470" s="16" t="n"/>
      <c r="EB470" s="20" t="inlineStr">
        <is>
          <t>IC Organic Acids</t>
        </is>
      </c>
      <c r="EC470" s="20" t="inlineStr">
        <is>
          <t>None</t>
        </is>
      </c>
      <c r="ED470" s="17" t="n"/>
      <c r="EE470" s="16" t="n"/>
      <c r="EF470" s="20" t="inlineStr">
        <is>
          <t>IC Organic Acids</t>
        </is>
      </c>
      <c r="EG470" s="20" t="inlineStr">
        <is>
          <t>None</t>
        </is>
      </c>
      <c r="EH470" s="17" t="n"/>
      <c r="EI470" s="16" t="n"/>
      <c r="EJ470" s="20" t="inlineStr">
        <is>
          <t>IC Organic Acids</t>
        </is>
      </c>
      <c r="EK470" s="20" t="inlineStr">
        <is>
          <t>None</t>
        </is>
      </c>
      <c r="EL470" s="17" t="n"/>
      <c r="EM470" s="16" t="n"/>
      <c r="EN470" s="20" t="inlineStr">
        <is>
          <t>IC Organic Acids</t>
        </is>
      </c>
      <c r="EO470" s="20" t="inlineStr">
        <is>
          <t>None</t>
        </is>
      </c>
      <c r="EP470" s="17" t="n"/>
      <c r="EQ470" s="16" t="n"/>
      <c r="ER470" s="20" t="inlineStr">
        <is>
          <t>IC Organic Acids</t>
        </is>
      </c>
      <c r="ES470" s="20" t="inlineStr">
        <is>
          <t>None</t>
        </is>
      </c>
      <c r="ET470" s="17" t="n"/>
      <c r="EU470" s="16" t="n"/>
      <c r="EV470" s="20" t="inlineStr">
        <is>
          <t>LC-MS</t>
        </is>
      </c>
      <c r="EW470" s="20" t="inlineStr">
        <is>
          <t>None</t>
        </is>
      </c>
      <c r="EX470" s="17" t="n"/>
      <c r="EY470" s="21" t="n"/>
      <c r="EZ470">
        <f>CONCATENATE(A470,B470)</f>
        <v/>
      </c>
      <c r="FA470">
        <f>CONCATENATE(SamplesX!A470,SamplesX!B470)</f>
        <v/>
      </c>
      <c r="FC470">
        <f>MATCH(EZ470,FA1:FA1008,0)</f>
        <v/>
      </c>
    </row>
    <row r="471">
      <c r="A471" s="16" t="n"/>
      <c r="B471" s="17" t="n"/>
      <c r="C471" s="10">
        <f>IF(ISNUMBER(FC471),INDIRECT("SamplesX!C"&amp;FC471),IF(ISNUMBER(FD471),INDIRECT("SamplesY!C"&amp;FD471),""))</f>
        <v/>
      </c>
      <c r="D471" s="12">
        <f>IF(ISNUMBER(FC471),INDIRECT("SamplesX!D"&amp;FC471),IF(ISNUMBER(FD471),INDIRECT("SamplesY!D"&amp;FD471),""))</f>
        <v/>
      </c>
      <c r="E471" s="12">
        <f>IF(ISNUMBER(FC471),INDIRECT("SamplesX!E"&amp;FC471),IF(ISNUMBER(FD471),INDIRECT("SamplesY!E"&amp;FD471),""))</f>
        <v/>
      </c>
      <c r="F471" s="11">
        <f>IF(ISNUMBER(FC471),INDIRECT("SamplesX!F"&amp;FC471),IF(ISNUMBER(FD471),INDIRECT("SamplesY!F"&amp;FD471),""))</f>
        <v/>
      </c>
      <c r="G471" s="18">
        <f>IF(ISNUMBER(FC471),INDIRECT("SamplesX!G"&amp;FC471),IF(ISNUMBER(FD471),INDIRECT("SamplesY!G"&amp;FD471),""))</f>
        <v/>
      </c>
      <c r="H471" s="19">
        <f>IF(ISNUMBER(FC471),INDIRECT("SamplesX!H"&amp;FC471),IF(ISNUMBER(FD471),INDIRECT("SamplesY!H"&amp;FD471),""))</f>
        <v/>
      </c>
      <c r="I471" s="16" t="n"/>
      <c r="J471" s="16" t="n"/>
      <c r="K471" s="16" t="n"/>
      <c r="L471" s="20" t="n"/>
      <c r="M471" s="20" t="inlineStr">
        <is>
          <t>None</t>
        </is>
      </c>
      <c r="N471" s="17" t="n"/>
      <c r="O471" s="16" t="n"/>
      <c r="P471" s="20" t="inlineStr">
        <is>
          <t>Shimadzu TOC-L</t>
        </is>
      </c>
      <c r="Q471" s="20" t="inlineStr">
        <is>
          <t>None</t>
        </is>
      </c>
      <c r="R471" s="17" t="n"/>
      <c r="S471" s="16" t="n"/>
      <c r="T471" s="20" t="inlineStr">
        <is>
          <t>Shimadzu TOC-L</t>
        </is>
      </c>
      <c r="U471" s="20" t="inlineStr">
        <is>
          <t>None</t>
        </is>
      </c>
      <c r="V471" s="17" t="n"/>
      <c r="W471" s="16" t="n"/>
      <c r="X471" s="20" t="n"/>
      <c r="Y471" s="20" t="inlineStr">
        <is>
          <t>None</t>
        </is>
      </c>
      <c r="Z471" s="17" t="n"/>
      <c r="AA471" s="16" t="n"/>
      <c r="AB471" s="20" t="n"/>
      <c r="AC471" s="20" t="inlineStr">
        <is>
          <t>None</t>
        </is>
      </c>
      <c r="AD471" s="17" t="n"/>
      <c r="AE471" s="16" t="n"/>
      <c r="AF471" s="20" t="inlineStr">
        <is>
          <t>IC Anionen</t>
        </is>
      </c>
      <c r="AG471" s="20" t="inlineStr">
        <is>
          <t>None</t>
        </is>
      </c>
      <c r="AH471" s="17" t="n"/>
      <c r="AI471" s="16" t="n"/>
      <c r="AJ471" s="20" t="n"/>
      <c r="AK471" s="20" t="inlineStr">
        <is>
          <t>None</t>
        </is>
      </c>
      <c r="AL471" s="17" t="n"/>
      <c r="AM471" s="16" t="n"/>
      <c r="AN471" s="20" t="inlineStr">
        <is>
          <t>IC Anionen</t>
        </is>
      </c>
      <c r="AO471" s="20" t="inlineStr">
        <is>
          <t>None</t>
        </is>
      </c>
      <c r="AP471" s="17" t="n"/>
      <c r="AQ471" s="16" t="n"/>
      <c r="AR471" s="20" t="n"/>
      <c r="AS471" s="20" t="inlineStr">
        <is>
          <t>None</t>
        </is>
      </c>
      <c r="AT471" s="17" t="n"/>
      <c r="AU471" s="16" t="n"/>
      <c r="AV471" s="20" t="n"/>
      <c r="AW471" s="20" t="inlineStr">
        <is>
          <t>None</t>
        </is>
      </c>
      <c r="AX471" s="17" t="n"/>
      <c r="AY471" s="16" t="n"/>
      <c r="AZ471" s="20" t="inlineStr">
        <is>
          <t>IC Anionen</t>
        </is>
      </c>
      <c r="BA471" s="20" t="inlineStr">
        <is>
          <t>None</t>
        </is>
      </c>
      <c r="BB471" s="17" t="n"/>
      <c r="BC471" s="16" t="n"/>
      <c r="BD471" s="20" t="inlineStr">
        <is>
          <t>IC Kationen</t>
        </is>
      </c>
      <c r="BE471" s="20" t="inlineStr">
        <is>
          <t>None</t>
        </is>
      </c>
      <c r="BF471" s="17" t="n"/>
      <c r="BG471" s="16" t="n"/>
      <c r="BH471" s="20" t="inlineStr">
        <is>
          <t>IC Kationen</t>
        </is>
      </c>
      <c r="BI471" s="20" t="inlineStr">
        <is>
          <t>None</t>
        </is>
      </c>
      <c r="BJ471" s="17" t="n"/>
      <c r="BK471" s="16" t="n"/>
      <c r="BL471" s="20" t="inlineStr">
        <is>
          <t>IC Kationen</t>
        </is>
      </c>
      <c r="BM471" s="20" t="inlineStr">
        <is>
          <t>None</t>
        </is>
      </c>
      <c r="BN471" s="17" t="n"/>
      <c r="BO471" s="16" t="n"/>
      <c r="BP471" s="20" t="inlineStr">
        <is>
          <t>IC Kationen</t>
        </is>
      </c>
      <c r="BQ471" s="20" t="inlineStr">
        <is>
          <t>None</t>
        </is>
      </c>
      <c r="BR471" s="17" t="n"/>
      <c r="BS471" s="16" t="n"/>
      <c r="BT471" s="20" t="inlineStr">
        <is>
          <t>IC Kationen</t>
        </is>
      </c>
      <c r="BU471" s="20" t="inlineStr">
        <is>
          <t>None</t>
        </is>
      </c>
      <c r="BV471" s="17" t="n"/>
      <c r="BW471" s="16" t="n"/>
      <c r="BX471" s="20" t="n"/>
      <c r="BY471" s="20" t="inlineStr">
        <is>
          <t>None</t>
        </is>
      </c>
      <c r="BZ471" s="17" t="n"/>
      <c r="CA471" s="16" t="n"/>
      <c r="CB471" s="20" t="n"/>
      <c r="CC471" s="20" t="inlineStr">
        <is>
          <t>None</t>
        </is>
      </c>
      <c r="CD471" s="17" t="n"/>
      <c r="CE471" s="16" t="n"/>
      <c r="CF471" s="20" t="n"/>
      <c r="CG471" s="20" t="inlineStr">
        <is>
          <t>None</t>
        </is>
      </c>
      <c r="CH471" s="17" t="n"/>
      <c r="CI471" s="16" t="n"/>
      <c r="CJ471" s="20" t="n"/>
      <c r="CK471" s="20" t="inlineStr">
        <is>
          <t>None</t>
        </is>
      </c>
      <c r="CL471" s="17" t="n"/>
      <c r="CM471" s="16" t="n"/>
      <c r="CN471" s="20" t="inlineStr">
        <is>
          <t>SOP 45-34</t>
        </is>
      </c>
      <c r="CO471" s="20" t="inlineStr">
        <is>
          <t>None</t>
        </is>
      </c>
      <c r="CP471" s="17" t="n"/>
      <c r="CQ471" s="16" t="n"/>
      <c r="CR471" s="20" t="n"/>
      <c r="CS471" s="20" t="inlineStr">
        <is>
          <t>None</t>
        </is>
      </c>
      <c r="CT471" s="17" t="n"/>
      <c r="CU471" s="16" t="n"/>
      <c r="CV471" s="20" t="n"/>
      <c r="CW471" s="20" t="inlineStr">
        <is>
          <t>None</t>
        </is>
      </c>
      <c r="CX471" s="17" t="n"/>
      <c r="CY471" s="16" t="n"/>
      <c r="CZ471" s="20" t="inlineStr">
        <is>
          <t>WTW Multimeter 3430 with FDO 925</t>
        </is>
      </c>
      <c r="DA471" s="20" t="inlineStr">
        <is>
          <t>None</t>
        </is>
      </c>
      <c r="DB471" s="17" t="n"/>
      <c r="DC471" s="16" t="n"/>
      <c r="DD471" s="20" t="n"/>
      <c r="DE471" s="20" t="inlineStr">
        <is>
          <t>None</t>
        </is>
      </c>
      <c r="DF471" s="17" t="n"/>
      <c r="DG471" s="16" t="n"/>
      <c r="DH471" s="20" t="inlineStr">
        <is>
          <t>SOP 45-09</t>
        </is>
      </c>
      <c r="DI471" s="20" t="inlineStr">
        <is>
          <t>None</t>
        </is>
      </c>
      <c r="DJ471" s="17" t="n"/>
      <c r="DK471" s="16" t="n"/>
      <c r="DL471" s="20" t="inlineStr">
        <is>
          <t>SOP 45-09 (SOP muss noch angepasst werden für VSS)</t>
        </is>
      </c>
      <c r="DM471" s="20" t="inlineStr">
        <is>
          <t>None</t>
        </is>
      </c>
      <c r="DN471" s="17" t="n"/>
      <c r="DO471" s="16" t="n"/>
      <c r="DP471" s="20" t="inlineStr">
        <is>
          <t>IC Organic Acids</t>
        </is>
      </c>
      <c r="DQ471" s="20" t="inlineStr">
        <is>
          <t>None</t>
        </is>
      </c>
      <c r="DR471" s="17" t="n"/>
      <c r="DS471" s="16" t="n"/>
      <c r="DT471" s="20" t="inlineStr">
        <is>
          <t>IC Organic Acids</t>
        </is>
      </c>
      <c r="DU471" s="20" t="inlineStr">
        <is>
          <t>None</t>
        </is>
      </c>
      <c r="DV471" s="17" t="n"/>
      <c r="DW471" s="16" t="n"/>
      <c r="DX471" s="20" t="inlineStr">
        <is>
          <t>IC Organic Acids</t>
        </is>
      </c>
      <c r="DY471" s="20" t="inlineStr">
        <is>
          <t>None</t>
        </is>
      </c>
      <c r="DZ471" s="17" t="n"/>
      <c r="EA471" s="16" t="n"/>
      <c r="EB471" s="20" t="inlineStr">
        <is>
          <t>IC Organic Acids</t>
        </is>
      </c>
      <c r="EC471" s="20" t="inlineStr">
        <is>
          <t>None</t>
        </is>
      </c>
      <c r="ED471" s="17" t="n"/>
      <c r="EE471" s="16" t="n"/>
      <c r="EF471" s="20" t="inlineStr">
        <is>
          <t>IC Organic Acids</t>
        </is>
      </c>
      <c r="EG471" s="20" t="inlineStr">
        <is>
          <t>None</t>
        </is>
      </c>
      <c r="EH471" s="17" t="n"/>
      <c r="EI471" s="16" t="n"/>
      <c r="EJ471" s="20" t="inlineStr">
        <is>
          <t>IC Organic Acids</t>
        </is>
      </c>
      <c r="EK471" s="20" t="inlineStr">
        <is>
          <t>None</t>
        </is>
      </c>
      <c r="EL471" s="17" t="n"/>
      <c r="EM471" s="16" t="n"/>
      <c r="EN471" s="20" t="inlineStr">
        <is>
          <t>IC Organic Acids</t>
        </is>
      </c>
      <c r="EO471" s="20" t="inlineStr">
        <is>
          <t>None</t>
        </is>
      </c>
      <c r="EP471" s="17" t="n"/>
      <c r="EQ471" s="16" t="n"/>
      <c r="ER471" s="20" t="inlineStr">
        <is>
          <t>IC Organic Acids</t>
        </is>
      </c>
      <c r="ES471" s="20" t="inlineStr">
        <is>
          <t>None</t>
        </is>
      </c>
      <c r="ET471" s="17" t="n"/>
      <c r="EU471" s="16" t="n"/>
      <c r="EV471" s="20" t="inlineStr">
        <is>
          <t>LC-MS</t>
        </is>
      </c>
      <c r="EW471" s="20" t="inlineStr">
        <is>
          <t>None</t>
        </is>
      </c>
      <c r="EX471" s="17" t="n"/>
      <c r="EY471" s="21" t="n"/>
      <c r="EZ471">
        <f>CONCATENATE(A471,B471)</f>
        <v/>
      </c>
      <c r="FA471">
        <f>CONCATENATE(SamplesX!A471,SamplesX!B471)</f>
        <v/>
      </c>
      <c r="FC471">
        <f>MATCH(EZ471,FA1:FA1008,0)</f>
        <v/>
      </c>
    </row>
    <row r="472">
      <c r="A472" s="16" t="n"/>
      <c r="B472" s="17" t="n"/>
      <c r="C472" s="10">
        <f>IF(ISNUMBER(FC472),INDIRECT("SamplesX!C"&amp;FC472),IF(ISNUMBER(FD472),INDIRECT("SamplesY!C"&amp;FD472),""))</f>
        <v/>
      </c>
      <c r="D472" s="12">
        <f>IF(ISNUMBER(FC472),INDIRECT("SamplesX!D"&amp;FC472),IF(ISNUMBER(FD472),INDIRECT("SamplesY!D"&amp;FD472),""))</f>
        <v/>
      </c>
      <c r="E472" s="12">
        <f>IF(ISNUMBER(FC472),INDIRECT("SamplesX!E"&amp;FC472),IF(ISNUMBER(FD472),INDIRECT("SamplesY!E"&amp;FD472),""))</f>
        <v/>
      </c>
      <c r="F472" s="11">
        <f>IF(ISNUMBER(FC472),INDIRECT("SamplesX!F"&amp;FC472),IF(ISNUMBER(FD472),INDIRECT("SamplesY!F"&amp;FD472),""))</f>
        <v/>
      </c>
      <c r="G472" s="18">
        <f>IF(ISNUMBER(FC472),INDIRECT("SamplesX!G"&amp;FC472),IF(ISNUMBER(FD472),INDIRECT("SamplesY!G"&amp;FD472),""))</f>
        <v/>
      </c>
      <c r="H472" s="19">
        <f>IF(ISNUMBER(FC472),INDIRECT("SamplesX!H"&amp;FC472),IF(ISNUMBER(FD472),INDIRECT("SamplesY!H"&amp;FD472),""))</f>
        <v/>
      </c>
      <c r="I472" s="16" t="n"/>
      <c r="J472" s="16" t="n"/>
      <c r="K472" s="16" t="n"/>
      <c r="L472" s="20" t="n"/>
      <c r="M472" s="20" t="inlineStr">
        <is>
          <t>None</t>
        </is>
      </c>
      <c r="N472" s="17" t="n"/>
      <c r="O472" s="16" t="n"/>
      <c r="P472" s="20" t="inlineStr">
        <is>
          <t>Shimadzu TOC-L</t>
        </is>
      </c>
      <c r="Q472" s="20" t="inlineStr">
        <is>
          <t>None</t>
        </is>
      </c>
      <c r="R472" s="17" t="n"/>
      <c r="S472" s="16" t="n"/>
      <c r="T472" s="20" t="inlineStr">
        <is>
          <t>Shimadzu TOC-L</t>
        </is>
      </c>
      <c r="U472" s="20" t="inlineStr">
        <is>
          <t>None</t>
        </is>
      </c>
      <c r="V472" s="17" t="n"/>
      <c r="W472" s="16" t="n"/>
      <c r="X472" s="20" t="n"/>
      <c r="Y472" s="20" t="inlineStr">
        <is>
          <t>None</t>
        </is>
      </c>
      <c r="Z472" s="17" t="n"/>
      <c r="AA472" s="16" t="n"/>
      <c r="AB472" s="20" t="n"/>
      <c r="AC472" s="20" t="inlineStr">
        <is>
          <t>None</t>
        </is>
      </c>
      <c r="AD472" s="17" t="n"/>
      <c r="AE472" s="16" t="n"/>
      <c r="AF472" s="20" t="inlineStr">
        <is>
          <t>IC Anionen</t>
        </is>
      </c>
      <c r="AG472" s="20" t="inlineStr">
        <is>
          <t>None</t>
        </is>
      </c>
      <c r="AH472" s="17" t="n"/>
      <c r="AI472" s="16" t="n"/>
      <c r="AJ472" s="20" t="n"/>
      <c r="AK472" s="20" t="inlineStr">
        <is>
          <t>None</t>
        </is>
      </c>
      <c r="AL472" s="17" t="n"/>
      <c r="AM472" s="16" t="n"/>
      <c r="AN472" s="20" t="inlineStr">
        <is>
          <t>IC Anionen</t>
        </is>
      </c>
      <c r="AO472" s="20" t="inlineStr">
        <is>
          <t>None</t>
        </is>
      </c>
      <c r="AP472" s="17" t="n"/>
      <c r="AQ472" s="16" t="n"/>
      <c r="AR472" s="20" t="n"/>
      <c r="AS472" s="20" t="inlineStr">
        <is>
          <t>None</t>
        </is>
      </c>
      <c r="AT472" s="17" t="n"/>
      <c r="AU472" s="16" t="n"/>
      <c r="AV472" s="20" t="n"/>
      <c r="AW472" s="20" t="inlineStr">
        <is>
          <t>None</t>
        </is>
      </c>
      <c r="AX472" s="17" t="n"/>
      <c r="AY472" s="16" t="n"/>
      <c r="AZ472" s="20" t="inlineStr">
        <is>
          <t>IC Anionen</t>
        </is>
      </c>
      <c r="BA472" s="20" t="inlineStr">
        <is>
          <t>None</t>
        </is>
      </c>
      <c r="BB472" s="17" t="n"/>
      <c r="BC472" s="16" t="n"/>
      <c r="BD472" s="20" t="inlineStr">
        <is>
          <t>IC Kationen</t>
        </is>
      </c>
      <c r="BE472" s="20" t="inlineStr">
        <is>
          <t>None</t>
        </is>
      </c>
      <c r="BF472" s="17" t="n"/>
      <c r="BG472" s="16" t="n"/>
      <c r="BH472" s="20" t="inlineStr">
        <is>
          <t>IC Kationen</t>
        </is>
      </c>
      <c r="BI472" s="20" t="inlineStr">
        <is>
          <t>None</t>
        </is>
      </c>
      <c r="BJ472" s="17" t="n"/>
      <c r="BK472" s="16" t="n"/>
      <c r="BL472" s="20" t="inlineStr">
        <is>
          <t>IC Kationen</t>
        </is>
      </c>
      <c r="BM472" s="20" t="inlineStr">
        <is>
          <t>None</t>
        </is>
      </c>
      <c r="BN472" s="17" t="n"/>
      <c r="BO472" s="16" t="n"/>
      <c r="BP472" s="20" t="inlineStr">
        <is>
          <t>IC Kationen</t>
        </is>
      </c>
      <c r="BQ472" s="20" t="inlineStr">
        <is>
          <t>None</t>
        </is>
      </c>
      <c r="BR472" s="17" t="n"/>
      <c r="BS472" s="16" t="n"/>
      <c r="BT472" s="20" t="inlineStr">
        <is>
          <t>IC Kationen</t>
        </is>
      </c>
      <c r="BU472" s="20" t="inlineStr">
        <is>
          <t>None</t>
        </is>
      </c>
      <c r="BV472" s="17" t="n"/>
      <c r="BW472" s="16" t="n"/>
      <c r="BX472" s="20" t="n"/>
      <c r="BY472" s="20" t="inlineStr">
        <is>
          <t>None</t>
        </is>
      </c>
      <c r="BZ472" s="17" t="n"/>
      <c r="CA472" s="16" t="n"/>
      <c r="CB472" s="20" t="n"/>
      <c r="CC472" s="20" t="inlineStr">
        <is>
          <t>None</t>
        </is>
      </c>
      <c r="CD472" s="17" t="n"/>
      <c r="CE472" s="16" t="n"/>
      <c r="CF472" s="20" t="n"/>
      <c r="CG472" s="20" t="inlineStr">
        <is>
          <t>None</t>
        </is>
      </c>
      <c r="CH472" s="17" t="n"/>
      <c r="CI472" s="16" t="n"/>
      <c r="CJ472" s="20" t="n"/>
      <c r="CK472" s="20" t="inlineStr">
        <is>
          <t>None</t>
        </is>
      </c>
      <c r="CL472" s="17" t="n"/>
      <c r="CM472" s="16" t="n"/>
      <c r="CN472" s="20" t="inlineStr">
        <is>
          <t>SOP 45-34</t>
        </is>
      </c>
      <c r="CO472" s="20" t="inlineStr">
        <is>
          <t>None</t>
        </is>
      </c>
      <c r="CP472" s="17" t="n"/>
      <c r="CQ472" s="16" t="n"/>
      <c r="CR472" s="20" t="n"/>
      <c r="CS472" s="20" t="inlineStr">
        <is>
          <t>None</t>
        </is>
      </c>
      <c r="CT472" s="17" t="n"/>
      <c r="CU472" s="16" t="n"/>
      <c r="CV472" s="20" t="n"/>
      <c r="CW472" s="20" t="inlineStr">
        <is>
          <t>None</t>
        </is>
      </c>
      <c r="CX472" s="17" t="n"/>
      <c r="CY472" s="16" t="n"/>
      <c r="CZ472" s="20" t="inlineStr">
        <is>
          <t>WTW Multimeter 3430 with FDO 925</t>
        </is>
      </c>
      <c r="DA472" s="20" t="inlineStr">
        <is>
          <t>None</t>
        </is>
      </c>
      <c r="DB472" s="17" t="n"/>
      <c r="DC472" s="16" t="n"/>
      <c r="DD472" s="20" t="n"/>
      <c r="DE472" s="20" t="inlineStr">
        <is>
          <t>None</t>
        </is>
      </c>
      <c r="DF472" s="17" t="n"/>
      <c r="DG472" s="16" t="n"/>
      <c r="DH472" s="20" t="inlineStr">
        <is>
          <t>SOP 45-09</t>
        </is>
      </c>
      <c r="DI472" s="20" t="inlineStr">
        <is>
          <t>None</t>
        </is>
      </c>
      <c r="DJ472" s="17" t="n"/>
      <c r="DK472" s="16" t="n"/>
      <c r="DL472" s="20" t="inlineStr">
        <is>
          <t>SOP 45-09 (SOP muss noch angepasst werden für VSS)</t>
        </is>
      </c>
      <c r="DM472" s="20" t="inlineStr">
        <is>
          <t>None</t>
        </is>
      </c>
      <c r="DN472" s="17" t="n"/>
      <c r="DO472" s="16" t="n"/>
      <c r="DP472" s="20" t="inlineStr">
        <is>
          <t>IC Organic Acids</t>
        </is>
      </c>
      <c r="DQ472" s="20" t="inlineStr">
        <is>
          <t>None</t>
        </is>
      </c>
      <c r="DR472" s="17" t="n"/>
      <c r="DS472" s="16" t="n"/>
      <c r="DT472" s="20" t="inlineStr">
        <is>
          <t>IC Organic Acids</t>
        </is>
      </c>
      <c r="DU472" s="20" t="inlineStr">
        <is>
          <t>None</t>
        </is>
      </c>
      <c r="DV472" s="17" t="n"/>
      <c r="DW472" s="16" t="n"/>
      <c r="DX472" s="20" t="inlineStr">
        <is>
          <t>IC Organic Acids</t>
        </is>
      </c>
      <c r="DY472" s="20" t="inlineStr">
        <is>
          <t>None</t>
        </is>
      </c>
      <c r="DZ472" s="17" t="n"/>
      <c r="EA472" s="16" t="n"/>
      <c r="EB472" s="20" t="inlineStr">
        <is>
          <t>IC Organic Acids</t>
        </is>
      </c>
      <c r="EC472" s="20" t="inlineStr">
        <is>
          <t>None</t>
        </is>
      </c>
      <c r="ED472" s="17" t="n"/>
      <c r="EE472" s="16" t="n"/>
      <c r="EF472" s="20" t="inlineStr">
        <is>
          <t>IC Organic Acids</t>
        </is>
      </c>
      <c r="EG472" s="20" t="inlineStr">
        <is>
          <t>None</t>
        </is>
      </c>
      <c r="EH472" s="17" t="n"/>
      <c r="EI472" s="16" t="n"/>
      <c r="EJ472" s="20" t="inlineStr">
        <is>
          <t>IC Organic Acids</t>
        </is>
      </c>
      <c r="EK472" s="20" t="inlineStr">
        <is>
          <t>None</t>
        </is>
      </c>
      <c r="EL472" s="17" t="n"/>
      <c r="EM472" s="16" t="n"/>
      <c r="EN472" s="20" t="inlineStr">
        <is>
          <t>IC Organic Acids</t>
        </is>
      </c>
      <c r="EO472" s="20" t="inlineStr">
        <is>
          <t>None</t>
        </is>
      </c>
      <c r="EP472" s="17" t="n"/>
      <c r="EQ472" s="16" t="n"/>
      <c r="ER472" s="20" t="inlineStr">
        <is>
          <t>IC Organic Acids</t>
        </is>
      </c>
      <c r="ES472" s="20" t="inlineStr">
        <is>
          <t>None</t>
        </is>
      </c>
      <c r="ET472" s="17" t="n"/>
      <c r="EU472" s="16" t="n"/>
      <c r="EV472" s="20" t="inlineStr">
        <is>
          <t>LC-MS</t>
        </is>
      </c>
      <c r="EW472" s="20" t="inlineStr">
        <is>
          <t>None</t>
        </is>
      </c>
      <c r="EX472" s="17" t="n"/>
      <c r="EY472" s="21" t="n"/>
      <c r="EZ472">
        <f>CONCATENATE(A472,B472)</f>
        <v/>
      </c>
      <c r="FA472">
        <f>CONCATENATE(SamplesX!A472,SamplesX!B472)</f>
        <v/>
      </c>
      <c r="FC472">
        <f>MATCH(EZ472,FA1:FA1008,0)</f>
        <v/>
      </c>
    </row>
    <row r="473">
      <c r="A473" s="16" t="n"/>
      <c r="B473" s="17" t="n"/>
      <c r="C473" s="10">
        <f>IF(ISNUMBER(FC473),INDIRECT("SamplesX!C"&amp;FC473),IF(ISNUMBER(FD473),INDIRECT("SamplesY!C"&amp;FD473),""))</f>
        <v/>
      </c>
      <c r="D473" s="12">
        <f>IF(ISNUMBER(FC473),INDIRECT("SamplesX!D"&amp;FC473),IF(ISNUMBER(FD473),INDIRECT("SamplesY!D"&amp;FD473),""))</f>
        <v/>
      </c>
      <c r="E473" s="12">
        <f>IF(ISNUMBER(FC473),INDIRECT("SamplesX!E"&amp;FC473),IF(ISNUMBER(FD473),INDIRECT("SamplesY!E"&amp;FD473),""))</f>
        <v/>
      </c>
      <c r="F473" s="11">
        <f>IF(ISNUMBER(FC473),INDIRECT("SamplesX!F"&amp;FC473),IF(ISNUMBER(FD473),INDIRECT("SamplesY!F"&amp;FD473),""))</f>
        <v/>
      </c>
      <c r="G473" s="18">
        <f>IF(ISNUMBER(FC473),INDIRECT("SamplesX!G"&amp;FC473),IF(ISNUMBER(FD473),INDIRECT("SamplesY!G"&amp;FD473),""))</f>
        <v/>
      </c>
      <c r="H473" s="19">
        <f>IF(ISNUMBER(FC473),INDIRECT("SamplesX!H"&amp;FC473),IF(ISNUMBER(FD473),INDIRECT("SamplesY!H"&amp;FD473),""))</f>
        <v/>
      </c>
      <c r="I473" s="16" t="n"/>
      <c r="J473" s="16" t="n"/>
      <c r="K473" s="16" t="n"/>
      <c r="L473" s="20" t="n"/>
      <c r="M473" s="20" t="inlineStr">
        <is>
          <t>None</t>
        </is>
      </c>
      <c r="N473" s="17" t="n"/>
      <c r="O473" s="16" t="n"/>
      <c r="P473" s="20" t="inlineStr">
        <is>
          <t>Shimadzu TOC-L</t>
        </is>
      </c>
      <c r="Q473" s="20" t="inlineStr">
        <is>
          <t>None</t>
        </is>
      </c>
      <c r="R473" s="17" t="n"/>
      <c r="S473" s="16" t="n"/>
      <c r="T473" s="20" t="inlineStr">
        <is>
          <t>Shimadzu TOC-L</t>
        </is>
      </c>
      <c r="U473" s="20" t="inlineStr">
        <is>
          <t>None</t>
        </is>
      </c>
      <c r="V473" s="17" t="n"/>
      <c r="W473" s="16" t="n"/>
      <c r="X473" s="20" t="n"/>
      <c r="Y473" s="20" t="inlineStr">
        <is>
          <t>None</t>
        </is>
      </c>
      <c r="Z473" s="17" t="n"/>
      <c r="AA473" s="16" t="n"/>
      <c r="AB473" s="20" t="n"/>
      <c r="AC473" s="20" t="inlineStr">
        <is>
          <t>None</t>
        </is>
      </c>
      <c r="AD473" s="17" t="n"/>
      <c r="AE473" s="16" t="n"/>
      <c r="AF473" s="20" t="inlineStr">
        <is>
          <t>IC Anionen</t>
        </is>
      </c>
      <c r="AG473" s="20" t="inlineStr">
        <is>
          <t>None</t>
        </is>
      </c>
      <c r="AH473" s="17" t="n"/>
      <c r="AI473" s="16" t="n"/>
      <c r="AJ473" s="20" t="n"/>
      <c r="AK473" s="20" t="inlineStr">
        <is>
          <t>None</t>
        </is>
      </c>
      <c r="AL473" s="17" t="n"/>
      <c r="AM473" s="16" t="n"/>
      <c r="AN473" s="20" t="inlineStr">
        <is>
          <t>IC Anionen</t>
        </is>
      </c>
      <c r="AO473" s="20" t="inlineStr">
        <is>
          <t>None</t>
        </is>
      </c>
      <c r="AP473" s="17" t="n"/>
      <c r="AQ473" s="16" t="n"/>
      <c r="AR473" s="20" t="n"/>
      <c r="AS473" s="20" t="inlineStr">
        <is>
          <t>None</t>
        </is>
      </c>
      <c r="AT473" s="17" t="n"/>
      <c r="AU473" s="16" t="n"/>
      <c r="AV473" s="20" t="n"/>
      <c r="AW473" s="20" t="inlineStr">
        <is>
          <t>None</t>
        </is>
      </c>
      <c r="AX473" s="17" t="n"/>
      <c r="AY473" s="16" t="n"/>
      <c r="AZ473" s="20" t="inlineStr">
        <is>
          <t>IC Anionen</t>
        </is>
      </c>
      <c r="BA473" s="20" t="inlineStr">
        <is>
          <t>None</t>
        </is>
      </c>
      <c r="BB473" s="17" t="n"/>
      <c r="BC473" s="16" t="n"/>
      <c r="BD473" s="20" t="inlineStr">
        <is>
          <t>IC Kationen</t>
        </is>
      </c>
      <c r="BE473" s="20" t="inlineStr">
        <is>
          <t>None</t>
        </is>
      </c>
      <c r="BF473" s="17" t="n"/>
      <c r="BG473" s="16" t="n"/>
      <c r="BH473" s="20" t="inlineStr">
        <is>
          <t>IC Kationen</t>
        </is>
      </c>
      <c r="BI473" s="20" t="inlineStr">
        <is>
          <t>None</t>
        </is>
      </c>
      <c r="BJ473" s="17" t="n"/>
      <c r="BK473" s="16" t="n"/>
      <c r="BL473" s="20" t="inlineStr">
        <is>
          <t>IC Kationen</t>
        </is>
      </c>
      <c r="BM473" s="20" t="inlineStr">
        <is>
          <t>None</t>
        </is>
      </c>
      <c r="BN473" s="17" t="n"/>
      <c r="BO473" s="16" t="n"/>
      <c r="BP473" s="20" t="inlineStr">
        <is>
          <t>IC Kationen</t>
        </is>
      </c>
      <c r="BQ473" s="20" t="inlineStr">
        <is>
          <t>None</t>
        </is>
      </c>
      <c r="BR473" s="17" t="n"/>
      <c r="BS473" s="16" t="n"/>
      <c r="BT473" s="20" t="inlineStr">
        <is>
          <t>IC Kationen</t>
        </is>
      </c>
      <c r="BU473" s="20" t="inlineStr">
        <is>
          <t>None</t>
        </is>
      </c>
      <c r="BV473" s="17" t="n"/>
      <c r="BW473" s="16" t="n"/>
      <c r="BX473" s="20" t="n"/>
      <c r="BY473" s="20" t="inlineStr">
        <is>
          <t>None</t>
        </is>
      </c>
      <c r="BZ473" s="17" t="n"/>
      <c r="CA473" s="16" t="n"/>
      <c r="CB473" s="20" t="n"/>
      <c r="CC473" s="20" t="inlineStr">
        <is>
          <t>None</t>
        </is>
      </c>
      <c r="CD473" s="17" t="n"/>
      <c r="CE473" s="16" t="n"/>
      <c r="CF473" s="20" t="n"/>
      <c r="CG473" s="20" t="inlineStr">
        <is>
          <t>None</t>
        </is>
      </c>
      <c r="CH473" s="17" t="n"/>
      <c r="CI473" s="16" t="n"/>
      <c r="CJ473" s="20" t="n"/>
      <c r="CK473" s="20" t="inlineStr">
        <is>
          <t>None</t>
        </is>
      </c>
      <c r="CL473" s="17" t="n"/>
      <c r="CM473" s="16" t="n"/>
      <c r="CN473" s="20" t="inlineStr">
        <is>
          <t>SOP 45-34</t>
        </is>
      </c>
      <c r="CO473" s="20" t="inlineStr">
        <is>
          <t>None</t>
        </is>
      </c>
      <c r="CP473" s="17" t="n"/>
      <c r="CQ473" s="16" t="n"/>
      <c r="CR473" s="20" t="n"/>
      <c r="CS473" s="20" t="inlineStr">
        <is>
          <t>None</t>
        </is>
      </c>
      <c r="CT473" s="17" t="n"/>
      <c r="CU473" s="16" t="n"/>
      <c r="CV473" s="20" t="n"/>
      <c r="CW473" s="20" t="inlineStr">
        <is>
          <t>None</t>
        </is>
      </c>
      <c r="CX473" s="17" t="n"/>
      <c r="CY473" s="16" t="n"/>
      <c r="CZ473" s="20" t="inlineStr">
        <is>
          <t>WTW Multimeter 3430 with FDO 925</t>
        </is>
      </c>
      <c r="DA473" s="20" t="inlineStr">
        <is>
          <t>None</t>
        </is>
      </c>
      <c r="DB473" s="17" t="n"/>
      <c r="DC473" s="16" t="n"/>
      <c r="DD473" s="20" t="n"/>
      <c r="DE473" s="20" t="inlineStr">
        <is>
          <t>None</t>
        </is>
      </c>
      <c r="DF473" s="17" t="n"/>
      <c r="DG473" s="16" t="n"/>
      <c r="DH473" s="20" t="inlineStr">
        <is>
          <t>SOP 45-09</t>
        </is>
      </c>
      <c r="DI473" s="20" t="inlineStr">
        <is>
          <t>None</t>
        </is>
      </c>
      <c r="DJ473" s="17" t="n"/>
      <c r="DK473" s="16" t="n"/>
      <c r="DL473" s="20" t="inlineStr">
        <is>
          <t>SOP 45-09 (SOP muss noch angepasst werden für VSS)</t>
        </is>
      </c>
      <c r="DM473" s="20" t="inlineStr">
        <is>
          <t>None</t>
        </is>
      </c>
      <c r="DN473" s="17" t="n"/>
      <c r="DO473" s="16" t="n"/>
      <c r="DP473" s="20" t="inlineStr">
        <is>
          <t>IC Organic Acids</t>
        </is>
      </c>
      <c r="DQ473" s="20" t="inlineStr">
        <is>
          <t>None</t>
        </is>
      </c>
      <c r="DR473" s="17" t="n"/>
      <c r="DS473" s="16" t="n"/>
      <c r="DT473" s="20" t="inlineStr">
        <is>
          <t>IC Organic Acids</t>
        </is>
      </c>
      <c r="DU473" s="20" t="inlineStr">
        <is>
          <t>None</t>
        </is>
      </c>
      <c r="DV473" s="17" t="n"/>
      <c r="DW473" s="16" t="n"/>
      <c r="DX473" s="20" t="inlineStr">
        <is>
          <t>IC Organic Acids</t>
        </is>
      </c>
      <c r="DY473" s="20" t="inlineStr">
        <is>
          <t>None</t>
        </is>
      </c>
      <c r="DZ473" s="17" t="n"/>
      <c r="EA473" s="16" t="n"/>
      <c r="EB473" s="20" t="inlineStr">
        <is>
          <t>IC Organic Acids</t>
        </is>
      </c>
      <c r="EC473" s="20" t="inlineStr">
        <is>
          <t>None</t>
        </is>
      </c>
      <c r="ED473" s="17" t="n"/>
      <c r="EE473" s="16" t="n"/>
      <c r="EF473" s="20" t="inlineStr">
        <is>
          <t>IC Organic Acids</t>
        </is>
      </c>
      <c r="EG473" s="20" t="inlineStr">
        <is>
          <t>None</t>
        </is>
      </c>
      <c r="EH473" s="17" t="n"/>
      <c r="EI473" s="16" t="n"/>
      <c r="EJ473" s="20" t="inlineStr">
        <is>
          <t>IC Organic Acids</t>
        </is>
      </c>
      <c r="EK473" s="20" t="inlineStr">
        <is>
          <t>None</t>
        </is>
      </c>
      <c r="EL473" s="17" t="n"/>
      <c r="EM473" s="16" t="n"/>
      <c r="EN473" s="20" t="inlineStr">
        <is>
          <t>IC Organic Acids</t>
        </is>
      </c>
      <c r="EO473" s="20" t="inlineStr">
        <is>
          <t>None</t>
        </is>
      </c>
      <c r="EP473" s="17" t="n"/>
      <c r="EQ473" s="16" t="n"/>
      <c r="ER473" s="20" t="inlineStr">
        <is>
          <t>IC Organic Acids</t>
        </is>
      </c>
      <c r="ES473" s="20" t="inlineStr">
        <is>
          <t>None</t>
        </is>
      </c>
      <c r="ET473" s="17" t="n"/>
      <c r="EU473" s="16" t="n"/>
      <c r="EV473" s="20" t="inlineStr">
        <is>
          <t>LC-MS</t>
        </is>
      </c>
      <c r="EW473" s="20" t="inlineStr">
        <is>
          <t>None</t>
        </is>
      </c>
      <c r="EX473" s="17" t="n"/>
      <c r="EY473" s="21" t="n"/>
      <c r="EZ473">
        <f>CONCATENATE(A473,B473)</f>
        <v/>
      </c>
      <c r="FA473">
        <f>CONCATENATE(SamplesX!A473,SamplesX!B473)</f>
        <v/>
      </c>
      <c r="FC473">
        <f>MATCH(EZ473,FA1:FA1008,0)</f>
        <v/>
      </c>
    </row>
    <row r="474">
      <c r="A474" s="16" t="n"/>
      <c r="B474" s="17" t="n"/>
      <c r="C474" s="10">
        <f>IF(ISNUMBER(FC474),INDIRECT("SamplesX!C"&amp;FC474),IF(ISNUMBER(FD474),INDIRECT("SamplesY!C"&amp;FD474),""))</f>
        <v/>
      </c>
      <c r="D474" s="12">
        <f>IF(ISNUMBER(FC474),INDIRECT("SamplesX!D"&amp;FC474),IF(ISNUMBER(FD474),INDIRECT("SamplesY!D"&amp;FD474),""))</f>
        <v/>
      </c>
      <c r="E474" s="12">
        <f>IF(ISNUMBER(FC474),INDIRECT("SamplesX!E"&amp;FC474),IF(ISNUMBER(FD474),INDIRECT("SamplesY!E"&amp;FD474),""))</f>
        <v/>
      </c>
      <c r="F474" s="11">
        <f>IF(ISNUMBER(FC474),INDIRECT("SamplesX!F"&amp;FC474),IF(ISNUMBER(FD474),INDIRECT("SamplesY!F"&amp;FD474),""))</f>
        <v/>
      </c>
      <c r="G474" s="18">
        <f>IF(ISNUMBER(FC474),INDIRECT("SamplesX!G"&amp;FC474),IF(ISNUMBER(FD474),INDIRECT("SamplesY!G"&amp;FD474),""))</f>
        <v/>
      </c>
      <c r="H474" s="19">
        <f>IF(ISNUMBER(FC474),INDIRECT("SamplesX!H"&amp;FC474),IF(ISNUMBER(FD474),INDIRECT("SamplesY!H"&amp;FD474),""))</f>
        <v/>
      </c>
      <c r="I474" s="16" t="n"/>
      <c r="J474" s="16" t="n"/>
      <c r="K474" s="16" t="n"/>
      <c r="L474" s="20" t="n"/>
      <c r="M474" s="20" t="inlineStr">
        <is>
          <t>None</t>
        </is>
      </c>
      <c r="N474" s="17" t="n"/>
      <c r="O474" s="16" t="n"/>
      <c r="P474" s="20" t="inlineStr">
        <is>
          <t>Shimadzu TOC-L</t>
        </is>
      </c>
      <c r="Q474" s="20" t="inlineStr">
        <is>
          <t>None</t>
        </is>
      </c>
      <c r="R474" s="17" t="n"/>
      <c r="S474" s="16" t="n"/>
      <c r="T474" s="20" t="inlineStr">
        <is>
          <t>Shimadzu TOC-L</t>
        </is>
      </c>
      <c r="U474" s="20" t="inlineStr">
        <is>
          <t>None</t>
        </is>
      </c>
      <c r="V474" s="17" t="n"/>
      <c r="W474" s="16" t="n"/>
      <c r="X474" s="20" t="n"/>
      <c r="Y474" s="20" t="inlineStr">
        <is>
          <t>None</t>
        </is>
      </c>
      <c r="Z474" s="17" t="n"/>
      <c r="AA474" s="16" t="n"/>
      <c r="AB474" s="20" t="n"/>
      <c r="AC474" s="20" t="inlineStr">
        <is>
          <t>None</t>
        </is>
      </c>
      <c r="AD474" s="17" t="n"/>
      <c r="AE474" s="16" t="n"/>
      <c r="AF474" s="20" t="inlineStr">
        <is>
          <t>IC Anionen</t>
        </is>
      </c>
      <c r="AG474" s="20" t="inlineStr">
        <is>
          <t>None</t>
        </is>
      </c>
      <c r="AH474" s="17" t="n"/>
      <c r="AI474" s="16" t="n"/>
      <c r="AJ474" s="20" t="n"/>
      <c r="AK474" s="20" t="inlineStr">
        <is>
          <t>None</t>
        </is>
      </c>
      <c r="AL474" s="17" t="n"/>
      <c r="AM474" s="16" t="n"/>
      <c r="AN474" s="20" t="inlineStr">
        <is>
          <t>IC Anionen</t>
        </is>
      </c>
      <c r="AO474" s="20" t="inlineStr">
        <is>
          <t>None</t>
        </is>
      </c>
      <c r="AP474" s="17" t="n"/>
      <c r="AQ474" s="16" t="n"/>
      <c r="AR474" s="20" t="n"/>
      <c r="AS474" s="20" t="inlineStr">
        <is>
          <t>None</t>
        </is>
      </c>
      <c r="AT474" s="17" t="n"/>
      <c r="AU474" s="16" t="n"/>
      <c r="AV474" s="20" t="n"/>
      <c r="AW474" s="20" t="inlineStr">
        <is>
          <t>None</t>
        </is>
      </c>
      <c r="AX474" s="17" t="n"/>
      <c r="AY474" s="16" t="n"/>
      <c r="AZ474" s="20" t="inlineStr">
        <is>
          <t>IC Anionen</t>
        </is>
      </c>
      <c r="BA474" s="20" t="inlineStr">
        <is>
          <t>None</t>
        </is>
      </c>
      <c r="BB474" s="17" t="n"/>
      <c r="BC474" s="16" t="n"/>
      <c r="BD474" s="20" t="inlineStr">
        <is>
          <t>IC Kationen</t>
        </is>
      </c>
      <c r="BE474" s="20" t="inlineStr">
        <is>
          <t>None</t>
        </is>
      </c>
      <c r="BF474" s="17" t="n"/>
      <c r="BG474" s="16" t="n"/>
      <c r="BH474" s="20" t="inlineStr">
        <is>
          <t>IC Kationen</t>
        </is>
      </c>
      <c r="BI474" s="20" t="inlineStr">
        <is>
          <t>None</t>
        </is>
      </c>
      <c r="BJ474" s="17" t="n"/>
      <c r="BK474" s="16" t="n"/>
      <c r="BL474" s="20" t="inlineStr">
        <is>
          <t>IC Kationen</t>
        </is>
      </c>
      <c r="BM474" s="20" t="inlineStr">
        <is>
          <t>None</t>
        </is>
      </c>
      <c r="BN474" s="17" t="n"/>
      <c r="BO474" s="16" t="n"/>
      <c r="BP474" s="20" t="inlineStr">
        <is>
          <t>IC Kationen</t>
        </is>
      </c>
      <c r="BQ474" s="20" t="inlineStr">
        <is>
          <t>None</t>
        </is>
      </c>
      <c r="BR474" s="17" t="n"/>
      <c r="BS474" s="16" t="n"/>
      <c r="BT474" s="20" t="inlineStr">
        <is>
          <t>IC Kationen</t>
        </is>
      </c>
      <c r="BU474" s="20" t="inlineStr">
        <is>
          <t>None</t>
        </is>
      </c>
      <c r="BV474" s="17" t="n"/>
      <c r="BW474" s="16" t="n"/>
      <c r="BX474" s="20" t="n"/>
      <c r="BY474" s="20" t="inlineStr">
        <is>
          <t>None</t>
        </is>
      </c>
      <c r="BZ474" s="17" t="n"/>
      <c r="CA474" s="16" t="n"/>
      <c r="CB474" s="20" t="n"/>
      <c r="CC474" s="20" t="inlineStr">
        <is>
          <t>None</t>
        </is>
      </c>
      <c r="CD474" s="17" t="n"/>
      <c r="CE474" s="16" t="n"/>
      <c r="CF474" s="20" t="n"/>
      <c r="CG474" s="20" t="inlineStr">
        <is>
          <t>None</t>
        </is>
      </c>
      <c r="CH474" s="17" t="n"/>
      <c r="CI474" s="16" t="n"/>
      <c r="CJ474" s="20" t="n"/>
      <c r="CK474" s="20" t="inlineStr">
        <is>
          <t>None</t>
        </is>
      </c>
      <c r="CL474" s="17" t="n"/>
      <c r="CM474" s="16" t="n"/>
      <c r="CN474" s="20" t="inlineStr">
        <is>
          <t>SOP 45-34</t>
        </is>
      </c>
      <c r="CO474" s="20" t="inlineStr">
        <is>
          <t>None</t>
        </is>
      </c>
      <c r="CP474" s="17" t="n"/>
      <c r="CQ474" s="16" t="n"/>
      <c r="CR474" s="20" t="n"/>
      <c r="CS474" s="20" t="inlineStr">
        <is>
          <t>None</t>
        </is>
      </c>
      <c r="CT474" s="17" t="n"/>
      <c r="CU474" s="16" t="n"/>
      <c r="CV474" s="20" t="n"/>
      <c r="CW474" s="20" t="inlineStr">
        <is>
          <t>None</t>
        </is>
      </c>
      <c r="CX474" s="17" t="n"/>
      <c r="CY474" s="16" t="n"/>
      <c r="CZ474" s="20" t="inlineStr">
        <is>
          <t>WTW Multimeter 3430 with FDO 925</t>
        </is>
      </c>
      <c r="DA474" s="20" t="inlineStr">
        <is>
          <t>None</t>
        </is>
      </c>
      <c r="DB474" s="17" t="n"/>
      <c r="DC474" s="16" t="n"/>
      <c r="DD474" s="20" t="n"/>
      <c r="DE474" s="20" t="inlineStr">
        <is>
          <t>None</t>
        </is>
      </c>
      <c r="DF474" s="17" t="n"/>
      <c r="DG474" s="16" t="n"/>
      <c r="DH474" s="20" t="inlineStr">
        <is>
          <t>SOP 45-09</t>
        </is>
      </c>
      <c r="DI474" s="20" t="inlineStr">
        <is>
          <t>None</t>
        </is>
      </c>
      <c r="DJ474" s="17" t="n"/>
      <c r="DK474" s="16" t="n"/>
      <c r="DL474" s="20" t="inlineStr">
        <is>
          <t>SOP 45-09 (SOP muss noch angepasst werden für VSS)</t>
        </is>
      </c>
      <c r="DM474" s="20" t="inlineStr">
        <is>
          <t>None</t>
        </is>
      </c>
      <c r="DN474" s="17" t="n"/>
      <c r="DO474" s="16" t="n"/>
      <c r="DP474" s="20" t="inlineStr">
        <is>
          <t>IC Organic Acids</t>
        </is>
      </c>
      <c r="DQ474" s="20" t="inlineStr">
        <is>
          <t>None</t>
        </is>
      </c>
      <c r="DR474" s="17" t="n"/>
      <c r="DS474" s="16" t="n"/>
      <c r="DT474" s="20" t="inlineStr">
        <is>
          <t>IC Organic Acids</t>
        </is>
      </c>
      <c r="DU474" s="20" t="inlineStr">
        <is>
          <t>None</t>
        </is>
      </c>
      <c r="DV474" s="17" t="n"/>
      <c r="DW474" s="16" t="n"/>
      <c r="DX474" s="20" t="inlineStr">
        <is>
          <t>IC Organic Acids</t>
        </is>
      </c>
      <c r="DY474" s="20" t="inlineStr">
        <is>
          <t>None</t>
        </is>
      </c>
      <c r="DZ474" s="17" t="n"/>
      <c r="EA474" s="16" t="n"/>
      <c r="EB474" s="20" t="inlineStr">
        <is>
          <t>IC Organic Acids</t>
        </is>
      </c>
      <c r="EC474" s="20" t="inlineStr">
        <is>
          <t>None</t>
        </is>
      </c>
      <c r="ED474" s="17" t="n"/>
      <c r="EE474" s="16" t="n"/>
      <c r="EF474" s="20" t="inlineStr">
        <is>
          <t>IC Organic Acids</t>
        </is>
      </c>
      <c r="EG474" s="20" t="inlineStr">
        <is>
          <t>None</t>
        </is>
      </c>
      <c r="EH474" s="17" t="n"/>
      <c r="EI474" s="16" t="n"/>
      <c r="EJ474" s="20" t="inlineStr">
        <is>
          <t>IC Organic Acids</t>
        </is>
      </c>
      <c r="EK474" s="20" t="inlineStr">
        <is>
          <t>None</t>
        </is>
      </c>
      <c r="EL474" s="17" t="n"/>
      <c r="EM474" s="16" t="n"/>
      <c r="EN474" s="20" t="inlineStr">
        <is>
          <t>IC Organic Acids</t>
        </is>
      </c>
      <c r="EO474" s="20" t="inlineStr">
        <is>
          <t>None</t>
        </is>
      </c>
      <c r="EP474" s="17" t="n"/>
      <c r="EQ474" s="16" t="n"/>
      <c r="ER474" s="20" t="inlineStr">
        <is>
          <t>IC Organic Acids</t>
        </is>
      </c>
      <c r="ES474" s="20" t="inlineStr">
        <is>
          <t>None</t>
        </is>
      </c>
      <c r="ET474" s="17" t="n"/>
      <c r="EU474" s="16" t="n"/>
      <c r="EV474" s="20" t="inlineStr">
        <is>
          <t>LC-MS</t>
        </is>
      </c>
      <c r="EW474" s="20" t="inlineStr">
        <is>
          <t>None</t>
        </is>
      </c>
      <c r="EX474" s="17" t="n"/>
      <c r="EY474" s="21" t="n"/>
      <c r="EZ474">
        <f>CONCATENATE(A474,B474)</f>
        <v/>
      </c>
      <c r="FA474">
        <f>CONCATENATE(SamplesX!A474,SamplesX!B474)</f>
        <v/>
      </c>
      <c r="FC474">
        <f>MATCH(EZ474,FA1:FA1008,0)</f>
        <v/>
      </c>
    </row>
    <row r="475">
      <c r="A475" s="16" t="n"/>
      <c r="B475" s="17" t="n"/>
      <c r="C475" s="10">
        <f>IF(ISNUMBER(FC475),INDIRECT("SamplesX!C"&amp;FC475),IF(ISNUMBER(FD475),INDIRECT("SamplesY!C"&amp;FD475),""))</f>
        <v/>
      </c>
      <c r="D475" s="12">
        <f>IF(ISNUMBER(FC475),INDIRECT("SamplesX!D"&amp;FC475),IF(ISNUMBER(FD475),INDIRECT("SamplesY!D"&amp;FD475),""))</f>
        <v/>
      </c>
      <c r="E475" s="12">
        <f>IF(ISNUMBER(FC475),INDIRECT("SamplesX!E"&amp;FC475),IF(ISNUMBER(FD475),INDIRECT("SamplesY!E"&amp;FD475),""))</f>
        <v/>
      </c>
      <c r="F475" s="11">
        <f>IF(ISNUMBER(FC475),INDIRECT("SamplesX!F"&amp;FC475),IF(ISNUMBER(FD475),INDIRECT("SamplesY!F"&amp;FD475),""))</f>
        <v/>
      </c>
      <c r="G475" s="18">
        <f>IF(ISNUMBER(FC475),INDIRECT("SamplesX!G"&amp;FC475),IF(ISNUMBER(FD475),INDIRECT("SamplesY!G"&amp;FD475),""))</f>
        <v/>
      </c>
      <c r="H475" s="19">
        <f>IF(ISNUMBER(FC475),INDIRECT("SamplesX!H"&amp;FC475),IF(ISNUMBER(FD475),INDIRECT("SamplesY!H"&amp;FD475),""))</f>
        <v/>
      </c>
      <c r="I475" s="16" t="n"/>
      <c r="J475" s="16" t="n"/>
      <c r="K475" s="16" t="n"/>
      <c r="L475" s="20" t="n"/>
      <c r="M475" s="20" t="inlineStr">
        <is>
          <t>None</t>
        </is>
      </c>
      <c r="N475" s="17" t="n"/>
      <c r="O475" s="16" t="n"/>
      <c r="P475" s="20" t="inlineStr">
        <is>
          <t>Shimadzu TOC-L</t>
        </is>
      </c>
      <c r="Q475" s="20" t="inlineStr">
        <is>
          <t>None</t>
        </is>
      </c>
      <c r="R475" s="17" t="n"/>
      <c r="S475" s="16" t="n"/>
      <c r="T475" s="20" t="inlineStr">
        <is>
          <t>Shimadzu TOC-L</t>
        </is>
      </c>
      <c r="U475" s="20" t="inlineStr">
        <is>
          <t>None</t>
        </is>
      </c>
      <c r="V475" s="17" t="n"/>
      <c r="W475" s="16" t="n"/>
      <c r="X475" s="20" t="n"/>
      <c r="Y475" s="20" t="inlineStr">
        <is>
          <t>None</t>
        </is>
      </c>
      <c r="Z475" s="17" t="n"/>
      <c r="AA475" s="16" t="n"/>
      <c r="AB475" s="20" t="n"/>
      <c r="AC475" s="20" t="inlineStr">
        <is>
          <t>None</t>
        </is>
      </c>
      <c r="AD475" s="17" t="n"/>
      <c r="AE475" s="16" t="n"/>
      <c r="AF475" s="20" t="inlineStr">
        <is>
          <t>IC Anionen</t>
        </is>
      </c>
      <c r="AG475" s="20" t="inlineStr">
        <is>
          <t>None</t>
        </is>
      </c>
      <c r="AH475" s="17" t="n"/>
      <c r="AI475" s="16" t="n"/>
      <c r="AJ475" s="20" t="n"/>
      <c r="AK475" s="20" t="inlineStr">
        <is>
          <t>None</t>
        </is>
      </c>
      <c r="AL475" s="17" t="n"/>
      <c r="AM475" s="16" t="n"/>
      <c r="AN475" s="20" t="inlineStr">
        <is>
          <t>IC Anionen</t>
        </is>
      </c>
      <c r="AO475" s="20" t="inlineStr">
        <is>
          <t>None</t>
        </is>
      </c>
      <c r="AP475" s="17" t="n"/>
      <c r="AQ475" s="16" t="n"/>
      <c r="AR475" s="20" t="n"/>
      <c r="AS475" s="20" t="inlineStr">
        <is>
          <t>None</t>
        </is>
      </c>
      <c r="AT475" s="17" t="n"/>
      <c r="AU475" s="16" t="n"/>
      <c r="AV475" s="20" t="n"/>
      <c r="AW475" s="20" t="inlineStr">
        <is>
          <t>None</t>
        </is>
      </c>
      <c r="AX475" s="17" t="n"/>
      <c r="AY475" s="16" t="n"/>
      <c r="AZ475" s="20" t="inlineStr">
        <is>
          <t>IC Anionen</t>
        </is>
      </c>
      <c r="BA475" s="20" t="inlineStr">
        <is>
          <t>None</t>
        </is>
      </c>
      <c r="BB475" s="17" t="n"/>
      <c r="BC475" s="16" t="n"/>
      <c r="BD475" s="20" t="inlineStr">
        <is>
          <t>IC Kationen</t>
        </is>
      </c>
      <c r="BE475" s="20" t="inlineStr">
        <is>
          <t>None</t>
        </is>
      </c>
      <c r="BF475" s="17" t="n"/>
      <c r="BG475" s="16" t="n"/>
      <c r="BH475" s="20" t="inlineStr">
        <is>
          <t>IC Kationen</t>
        </is>
      </c>
      <c r="BI475" s="20" t="inlineStr">
        <is>
          <t>None</t>
        </is>
      </c>
      <c r="BJ475" s="17" t="n"/>
      <c r="BK475" s="16" t="n"/>
      <c r="BL475" s="20" t="inlineStr">
        <is>
          <t>IC Kationen</t>
        </is>
      </c>
      <c r="BM475" s="20" t="inlineStr">
        <is>
          <t>None</t>
        </is>
      </c>
      <c r="BN475" s="17" t="n"/>
      <c r="BO475" s="16" t="n"/>
      <c r="BP475" s="20" t="inlineStr">
        <is>
          <t>IC Kationen</t>
        </is>
      </c>
      <c r="BQ475" s="20" t="inlineStr">
        <is>
          <t>None</t>
        </is>
      </c>
      <c r="BR475" s="17" t="n"/>
      <c r="BS475" s="16" t="n"/>
      <c r="BT475" s="20" t="inlineStr">
        <is>
          <t>IC Kationen</t>
        </is>
      </c>
      <c r="BU475" s="20" t="inlineStr">
        <is>
          <t>None</t>
        </is>
      </c>
      <c r="BV475" s="17" t="n"/>
      <c r="BW475" s="16" t="n"/>
      <c r="BX475" s="20" t="n"/>
      <c r="BY475" s="20" t="inlineStr">
        <is>
          <t>None</t>
        </is>
      </c>
      <c r="BZ475" s="17" t="n"/>
      <c r="CA475" s="16" t="n"/>
      <c r="CB475" s="20" t="n"/>
      <c r="CC475" s="20" t="inlineStr">
        <is>
          <t>None</t>
        </is>
      </c>
      <c r="CD475" s="17" t="n"/>
      <c r="CE475" s="16" t="n"/>
      <c r="CF475" s="20" t="n"/>
      <c r="CG475" s="20" t="inlineStr">
        <is>
          <t>None</t>
        </is>
      </c>
      <c r="CH475" s="17" t="n"/>
      <c r="CI475" s="16" t="n"/>
      <c r="CJ475" s="20" t="n"/>
      <c r="CK475" s="20" t="inlineStr">
        <is>
          <t>None</t>
        </is>
      </c>
      <c r="CL475" s="17" t="n"/>
      <c r="CM475" s="16" t="n"/>
      <c r="CN475" s="20" t="inlineStr">
        <is>
          <t>SOP 45-34</t>
        </is>
      </c>
      <c r="CO475" s="20" t="inlineStr">
        <is>
          <t>None</t>
        </is>
      </c>
      <c r="CP475" s="17" t="n"/>
      <c r="CQ475" s="16" t="n"/>
      <c r="CR475" s="20" t="n"/>
      <c r="CS475" s="20" t="inlineStr">
        <is>
          <t>None</t>
        </is>
      </c>
      <c r="CT475" s="17" t="n"/>
      <c r="CU475" s="16" t="n"/>
      <c r="CV475" s="20" t="n"/>
      <c r="CW475" s="20" t="inlineStr">
        <is>
          <t>None</t>
        </is>
      </c>
      <c r="CX475" s="17" t="n"/>
      <c r="CY475" s="16" t="n"/>
      <c r="CZ475" s="20" t="inlineStr">
        <is>
          <t>WTW Multimeter 3430 with FDO 925</t>
        </is>
      </c>
      <c r="DA475" s="20" t="inlineStr">
        <is>
          <t>None</t>
        </is>
      </c>
      <c r="DB475" s="17" t="n"/>
      <c r="DC475" s="16" t="n"/>
      <c r="DD475" s="20" t="n"/>
      <c r="DE475" s="20" t="inlineStr">
        <is>
          <t>None</t>
        </is>
      </c>
      <c r="DF475" s="17" t="n"/>
      <c r="DG475" s="16" t="n"/>
      <c r="DH475" s="20" t="inlineStr">
        <is>
          <t>SOP 45-09</t>
        </is>
      </c>
      <c r="DI475" s="20" t="inlineStr">
        <is>
          <t>None</t>
        </is>
      </c>
      <c r="DJ475" s="17" t="n"/>
      <c r="DK475" s="16" t="n"/>
      <c r="DL475" s="20" t="inlineStr">
        <is>
          <t>SOP 45-09 (SOP muss noch angepasst werden für VSS)</t>
        </is>
      </c>
      <c r="DM475" s="20" t="inlineStr">
        <is>
          <t>None</t>
        </is>
      </c>
      <c r="DN475" s="17" t="n"/>
      <c r="DO475" s="16" t="n"/>
      <c r="DP475" s="20" t="inlineStr">
        <is>
          <t>IC Organic Acids</t>
        </is>
      </c>
      <c r="DQ475" s="20" t="inlineStr">
        <is>
          <t>None</t>
        </is>
      </c>
      <c r="DR475" s="17" t="n"/>
      <c r="DS475" s="16" t="n"/>
      <c r="DT475" s="20" t="inlineStr">
        <is>
          <t>IC Organic Acids</t>
        </is>
      </c>
      <c r="DU475" s="20" t="inlineStr">
        <is>
          <t>None</t>
        </is>
      </c>
      <c r="DV475" s="17" t="n"/>
      <c r="DW475" s="16" t="n"/>
      <c r="DX475" s="20" t="inlineStr">
        <is>
          <t>IC Organic Acids</t>
        </is>
      </c>
      <c r="DY475" s="20" t="inlineStr">
        <is>
          <t>None</t>
        </is>
      </c>
      <c r="DZ475" s="17" t="n"/>
      <c r="EA475" s="16" t="n"/>
      <c r="EB475" s="20" t="inlineStr">
        <is>
          <t>IC Organic Acids</t>
        </is>
      </c>
      <c r="EC475" s="20" t="inlineStr">
        <is>
          <t>None</t>
        </is>
      </c>
      <c r="ED475" s="17" t="n"/>
      <c r="EE475" s="16" t="n"/>
      <c r="EF475" s="20" t="inlineStr">
        <is>
          <t>IC Organic Acids</t>
        </is>
      </c>
      <c r="EG475" s="20" t="inlineStr">
        <is>
          <t>None</t>
        </is>
      </c>
      <c r="EH475" s="17" t="n"/>
      <c r="EI475" s="16" t="n"/>
      <c r="EJ475" s="20" t="inlineStr">
        <is>
          <t>IC Organic Acids</t>
        </is>
      </c>
      <c r="EK475" s="20" t="inlineStr">
        <is>
          <t>None</t>
        </is>
      </c>
      <c r="EL475" s="17" t="n"/>
      <c r="EM475" s="16" t="n"/>
      <c r="EN475" s="20" t="inlineStr">
        <is>
          <t>IC Organic Acids</t>
        </is>
      </c>
      <c r="EO475" s="20" t="inlineStr">
        <is>
          <t>None</t>
        </is>
      </c>
      <c r="EP475" s="17" t="n"/>
      <c r="EQ475" s="16" t="n"/>
      <c r="ER475" s="20" t="inlineStr">
        <is>
          <t>IC Organic Acids</t>
        </is>
      </c>
      <c r="ES475" s="20" t="inlineStr">
        <is>
          <t>None</t>
        </is>
      </c>
      <c r="ET475" s="17" t="n"/>
      <c r="EU475" s="16" t="n"/>
      <c r="EV475" s="20" t="inlineStr">
        <is>
          <t>LC-MS</t>
        </is>
      </c>
      <c r="EW475" s="20" t="inlineStr">
        <is>
          <t>None</t>
        </is>
      </c>
      <c r="EX475" s="17" t="n"/>
      <c r="EY475" s="21" t="n"/>
      <c r="EZ475">
        <f>CONCATENATE(A475,B475)</f>
        <v/>
      </c>
      <c r="FA475">
        <f>CONCATENATE(SamplesX!A475,SamplesX!B475)</f>
        <v/>
      </c>
      <c r="FC475">
        <f>MATCH(EZ475,FA1:FA1008,0)</f>
        <v/>
      </c>
    </row>
    <row r="476">
      <c r="A476" s="16" t="n"/>
      <c r="B476" s="17" t="n"/>
      <c r="C476" s="10">
        <f>IF(ISNUMBER(FC476),INDIRECT("SamplesX!C"&amp;FC476),IF(ISNUMBER(FD476),INDIRECT("SamplesY!C"&amp;FD476),""))</f>
        <v/>
      </c>
      <c r="D476" s="12">
        <f>IF(ISNUMBER(FC476),INDIRECT("SamplesX!D"&amp;FC476),IF(ISNUMBER(FD476),INDIRECT("SamplesY!D"&amp;FD476),""))</f>
        <v/>
      </c>
      <c r="E476" s="12">
        <f>IF(ISNUMBER(FC476),INDIRECT("SamplesX!E"&amp;FC476),IF(ISNUMBER(FD476),INDIRECT("SamplesY!E"&amp;FD476),""))</f>
        <v/>
      </c>
      <c r="F476" s="11">
        <f>IF(ISNUMBER(FC476),INDIRECT("SamplesX!F"&amp;FC476),IF(ISNUMBER(FD476),INDIRECT("SamplesY!F"&amp;FD476),""))</f>
        <v/>
      </c>
      <c r="G476" s="18">
        <f>IF(ISNUMBER(FC476),INDIRECT("SamplesX!G"&amp;FC476),IF(ISNUMBER(FD476),INDIRECT("SamplesY!G"&amp;FD476),""))</f>
        <v/>
      </c>
      <c r="H476" s="19">
        <f>IF(ISNUMBER(FC476),INDIRECT("SamplesX!H"&amp;FC476),IF(ISNUMBER(FD476),INDIRECT("SamplesY!H"&amp;FD476),""))</f>
        <v/>
      </c>
      <c r="I476" s="16" t="n"/>
      <c r="J476" s="16" t="n"/>
      <c r="K476" s="16" t="n"/>
      <c r="L476" s="20" t="n"/>
      <c r="M476" s="20" t="inlineStr">
        <is>
          <t>None</t>
        </is>
      </c>
      <c r="N476" s="17" t="n"/>
      <c r="O476" s="16" t="n"/>
      <c r="P476" s="20" t="inlineStr">
        <is>
          <t>Shimadzu TOC-L</t>
        </is>
      </c>
      <c r="Q476" s="20" t="inlineStr">
        <is>
          <t>None</t>
        </is>
      </c>
      <c r="R476" s="17" t="n"/>
      <c r="S476" s="16" t="n"/>
      <c r="T476" s="20" t="inlineStr">
        <is>
          <t>Shimadzu TOC-L</t>
        </is>
      </c>
      <c r="U476" s="20" t="inlineStr">
        <is>
          <t>None</t>
        </is>
      </c>
      <c r="V476" s="17" t="n"/>
      <c r="W476" s="16" t="n"/>
      <c r="X476" s="20" t="n"/>
      <c r="Y476" s="20" t="inlineStr">
        <is>
          <t>None</t>
        </is>
      </c>
      <c r="Z476" s="17" t="n"/>
      <c r="AA476" s="16" t="n"/>
      <c r="AB476" s="20" t="n"/>
      <c r="AC476" s="20" t="inlineStr">
        <is>
          <t>None</t>
        </is>
      </c>
      <c r="AD476" s="17" t="n"/>
      <c r="AE476" s="16" t="n"/>
      <c r="AF476" s="20" t="inlineStr">
        <is>
          <t>IC Anionen</t>
        </is>
      </c>
      <c r="AG476" s="20" t="inlineStr">
        <is>
          <t>None</t>
        </is>
      </c>
      <c r="AH476" s="17" t="n"/>
      <c r="AI476" s="16" t="n"/>
      <c r="AJ476" s="20" t="n"/>
      <c r="AK476" s="20" t="inlineStr">
        <is>
          <t>None</t>
        </is>
      </c>
      <c r="AL476" s="17" t="n"/>
      <c r="AM476" s="16" t="n"/>
      <c r="AN476" s="20" t="inlineStr">
        <is>
          <t>IC Anionen</t>
        </is>
      </c>
      <c r="AO476" s="20" t="inlineStr">
        <is>
          <t>None</t>
        </is>
      </c>
      <c r="AP476" s="17" t="n"/>
      <c r="AQ476" s="16" t="n"/>
      <c r="AR476" s="20" t="n"/>
      <c r="AS476" s="20" t="inlineStr">
        <is>
          <t>None</t>
        </is>
      </c>
      <c r="AT476" s="17" t="n"/>
      <c r="AU476" s="16" t="n"/>
      <c r="AV476" s="20" t="n"/>
      <c r="AW476" s="20" t="inlineStr">
        <is>
          <t>None</t>
        </is>
      </c>
      <c r="AX476" s="17" t="n"/>
      <c r="AY476" s="16" t="n"/>
      <c r="AZ476" s="20" t="inlineStr">
        <is>
          <t>IC Anionen</t>
        </is>
      </c>
      <c r="BA476" s="20" t="inlineStr">
        <is>
          <t>None</t>
        </is>
      </c>
      <c r="BB476" s="17" t="n"/>
      <c r="BC476" s="16" t="n"/>
      <c r="BD476" s="20" t="inlineStr">
        <is>
          <t>IC Kationen</t>
        </is>
      </c>
      <c r="BE476" s="20" t="inlineStr">
        <is>
          <t>None</t>
        </is>
      </c>
      <c r="BF476" s="17" t="n"/>
      <c r="BG476" s="16" t="n"/>
      <c r="BH476" s="20" t="inlineStr">
        <is>
          <t>IC Kationen</t>
        </is>
      </c>
      <c r="BI476" s="20" t="inlineStr">
        <is>
          <t>None</t>
        </is>
      </c>
      <c r="BJ476" s="17" t="n"/>
      <c r="BK476" s="16" t="n"/>
      <c r="BL476" s="20" t="inlineStr">
        <is>
          <t>IC Kationen</t>
        </is>
      </c>
      <c r="BM476" s="20" t="inlineStr">
        <is>
          <t>None</t>
        </is>
      </c>
      <c r="BN476" s="17" t="n"/>
      <c r="BO476" s="16" t="n"/>
      <c r="BP476" s="20" t="inlineStr">
        <is>
          <t>IC Kationen</t>
        </is>
      </c>
      <c r="BQ476" s="20" t="inlineStr">
        <is>
          <t>None</t>
        </is>
      </c>
      <c r="BR476" s="17" t="n"/>
      <c r="BS476" s="16" t="n"/>
      <c r="BT476" s="20" t="inlineStr">
        <is>
          <t>IC Kationen</t>
        </is>
      </c>
      <c r="BU476" s="20" t="inlineStr">
        <is>
          <t>None</t>
        </is>
      </c>
      <c r="BV476" s="17" t="n"/>
      <c r="BW476" s="16" t="n"/>
      <c r="BX476" s="20" t="n"/>
      <c r="BY476" s="20" t="inlineStr">
        <is>
          <t>None</t>
        </is>
      </c>
      <c r="BZ476" s="17" t="n"/>
      <c r="CA476" s="16" t="n"/>
      <c r="CB476" s="20" t="n"/>
      <c r="CC476" s="20" t="inlineStr">
        <is>
          <t>None</t>
        </is>
      </c>
      <c r="CD476" s="17" t="n"/>
      <c r="CE476" s="16" t="n"/>
      <c r="CF476" s="20" t="n"/>
      <c r="CG476" s="20" t="inlineStr">
        <is>
          <t>None</t>
        </is>
      </c>
      <c r="CH476" s="17" t="n"/>
      <c r="CI476" s="16" t="n"/>
      <c r="CJ476" s="20" t="n"/>
      <c r="CK476" s="20" t="inlineStr">
        <is>
          <t>None</t>
        </is>
      </c>
      <c r="CL476" s="17" t="n"/>
      <c r="CM476" s="16" t="n"/>
      <c r="CN476" s="20" t="inlineStr">
        <is>
          <t>SOP 45-34</t>
        </is>
      </c>
      <c r="CO476" s="20" t="inlineStr">
        <is>
          <t>None</t>
        </is>
      </c>
      <c r="CP476" s="17" t="n"/>
      <c r="CQ476" s="16" t="n"/>
      <c r="CR476" s="20" t="n"/>
      <c r="CS476" s="20" t="inlineStr">
        <is>
          <t>None</t>
        </is>
      </c>
      <c r="CT476" s="17" t="n"/>
      <c r="CU476" s="16" t="n"/>
      <c r="CV476" s="20" t="n"/>
      <c r="CW476" s="20" t="inlineStr">
        <is>
          <t>None</t>
        </is>
      </c>
      <c r="CX476" s="17" t="n"/>
      <c r="CY476" s="16" t="n"/>
      <c r="CZ476" s="20" t="inlineStr">
        <is>
          <t>WTW Multimeter 3430 with FDO 925</t>
        </is>
      </c>
      <c r="DA476" s="20" t="inlineStr">
        <is>
          <t>None</t>
        </is>
      </c>
      <c r="DB476" s="17" t="n"/>
      <c r="DC476" s="16" t="n"/>
      <c r="DD476" s="20" t="n"/>
      <c r="DE476" s="20" t="inlineStr">
        <is>
          <t>None</t>
        </is>
      </c>
      <c r="DF476" s="17" t="n"/>
      <c r="DG476" s="16" t="n"/>
      <c r="DH476" s="20" t="inlineStr">
        <is>
          <t>SOP 45-09</t>
        </is>
      </c>
      <c r="DI476" s="20" t="inlineStr">
        <is>
          <t>None</t>
        </is>
      </c>
      <c r="DJ476" s="17" t="n"/>
      <c r="DK476" s="16" t="n"/>
      <c r="DL476" s="20" t="inlineStr">
        <is>
          <t>SOP 45-09 (SOP muss noch angepasst werden für VSS)</t>
        </is>
      </c>
      <c r="DM476" s="20" t="inlineStr">
        <is>
          <t>None</t>
        </is>
      </c>
      <c r="DN476" s="17" t="n"/>
      <c r="DO476" s="16" t="n"/>
      <c r="DP476" s="20" t="inlineStr">
        <is>
          <t>IC Organic Acids</t>
        </is>
      </c>
      <c r="DQ476" s="20" t="inlineStr">
        <is>
          <t>None</t>
        </is>
      </c>
      <c r="DR476" s="17" t="n"/>
      <c r="DS476" s="16" t="n"/>
      <c r="DT476" s="20" t="inlineStr">
        <is>
          <t>IC Organic Acids</t>
        </is>
      </c>
      <c r="DU476" s="20" t="inlineStr">
        <is>
          <t>None</t>
        </is>
      </c>
      <c r="DV476" s="17" t="n"/>
      <c r="DW476" s="16" t="n"/>
      <c r="DX476" s="20" t="inlineStr">
        <is>
          <t>IC Organic Acids</t>
        </is>
      </c>
      <c r="DY476" s="20" t="inlineStr">
        <is>
          <t>None</t>
        </is>
      </c>
      <c r="DZ476" s="17" t="n"/>
      <c r="EA476" s="16" t="n"/>
      <c r="EB476" s="20" t="inlineStr">
        <is>
          <t>IC Organic Acids</t>
        </is>
      </c>
      <c r="EC476" s="20" t="inlineStr">
        <is>
          <t>None</t>
        </is>
      </c>
      <c r="ED476" s="17" t="n"/>
      <c r="EE476" s="16" t="n"/>
      <c r="EF476" s="20" t="inlineStr">
        <is>
          <t>IC Organic Acids</t>
        </is>
      </c>
      <c r="EG476" s="20" t="inlineStr">
        <is>
          <t>None</t>
        </is>
      </c>
      <c r="EH476" s="17" t="n"/>
      <c r="EI476" s="16" t="n"/>
      <c r="EJ476" s="20" t="inlineStr">
        <is>
          <t>IC Organic Acids</t>
        </is>
      </c>
      <c r="EK476" s="20" t="inlineStr">
        <is>
          <t>None</t>
        </is>
      </c>
      <c r="EL476" s="17" t="n"/>
      <c r="EM476" s="16" t="n"/>
      <c r="EN476" s="20" t="inlineStr">
        <is>
          <t>IC Organic Acids</t>
        </is>
      </c>
      <c r="EO476" s="20" t="inlineStr">
        <is>
          <t>None</t>
        </is>
      </c>
      <c r="EP476" s="17" t="n"/>
      <c r="EQ476" s="16" t="n"/>
      <c r="ER476" s="20" t="inlineStr">
        <is>
          <t>IC Organic Acids</t>
        </is>
      </c>
      <c r="ES476" s="20" t="inlineStr">
        <is>
          <t>None</t>
        </is>
      </c>
      <c r="ET476" s="17" t="n"/>
      <c r="EU476" s="16" t="n"/>
      <c r="EV476" s="20" t="inlineStr">
        <is>
          <t>LC-MS</t>
        </is>
      </c>
      <c r="EW476" s="20" t="inlineStr">
        <is>
          <t>None</t>
        </is>
      </c>
      <c r="EX476" s="17" t="n"/>
      <c r="EY476" s="21" t="n"/>
      <c r="EZ476">
        <f>CONCATENATE(A476,B476)</f>
        <v/>
      </c>
      <c r="FA476">
        <f>CONCATENATE(SamplesX!A476,SamplesX!B476)</f>
        <v/>
      </c>
      <c r="FC476">
        <f>MATCH(EZ476,FA1:FA1008,0)</f>
        <v/>
      </c>
    </row>
    <row r="477">
      <c r="A477" s="16" t="n"/>
      <c r="B477" s="17" t="n"/>
      <c r="C477" s="10">
        <f>IF(ISNUMBER(FC477),INDIRECT("SamplesX!C"&amp;FC477),IF(ISNUMBER(FD477),INDIRECT("SamplesY!C"&amp;FD477),""))</f>
        <v/>
      </c>
      <c r="D477" s="12">
        <f>IF(ISNUMBER(FC477),INDIRECT("SamplesX!D"&amp;FC477),IF(ISNUMBER(FD477),INDIRECT("SamplesY!D"&amp;FD477),""))</f>
        <v/>
      </c>
      <c r="E477" s="12">
        <f>IF(ISNUMBER(FC477),INDIRECT("SamplesX!E"&amp;FC477),IF(ISNUMBER(FD477),INDIRECT("SamplesY!E"&amp;FD477),""))</f>
        <v/>
      </c>
      <c r="F477" s="11">
        <f>IF(ISNUMBER(FC477),INDIRECT("SamplesX!F"&amp;FC477),IF(ISNUMBER(FD477),INDIRECT("SamplesY!F"&amp;FD477),""))</f>
        <v/>
      </c>
      <c r="G477" s="18">
        <f>IF(ISNUMBER(FC477),INDIRECT("SamplesX!G"&amp;FC477),IF(ISNUMBER(FD477),INDIRECT("SamplesY!G"&amp;FD477),""))</f>
        <v/>
      </c>
      <c r="H477" s="19">
        <f>IF(ISNUMBER(FC477),INDIRECT("SamplesX!H"&amp;FC477),IF(ISNUMBER(FD477),INDIRECT("SamplesY!H"&amp;FD477),""))</f>
        <v/>
      </c>
      <c r="I477" s="16" t="n"/>
      <c r="J477" s="16" t="n"/>
      <c r="K477" s="16" t="n"/>
      <c r="L477" s="20" t="n"/>
      <c r="M477" s="20" t="inlineStr">
        <is>
          <t>None</t>
        </is>
      </c>
      <c r="N477" s="17" t="n"/>
      <c r="O477" s="16" t="n"/>
      <c r="P477" s="20" t="inlineStr">
        <is>
          <t>Shimadzu TOC-L</t>
        </is>
      </c>
      <c r="Q477" s="20" t="inlineStr">
        <is>
          <t>None</t>
        </is>
      </c>
      <c r="R477" s="17" t="n"/>
      <c r="S477" s="16" t="n"/>
      <c r="T477" s="20" t="inlineStr">
        <is>
          <t>Shimadzu TOC-L</t>
        </is>
      </c>
      <c r="U477" s="20" t="inlineStr">
        <is>
          <t>None</t>
        </is>
      </c>
      <c r="V477" s="17" t="n"/>
      <c r="W477" s="16" t="n"/>
      <c r="X477" s="20" t="n"/>
      <c r="Y477" s="20" t="inlineStr">
        <is>
          <t>None</t>
        </is>
      </c>
      <c r="Z477" s="17" t="n"/>
      <c r="AA477" s="16" t="n"/>
      <c r="AB477" s="20" t="n"/>
      <c r="AC477" s="20" t="inlineStr">
        <is>
          <t>None</t>
        </is>
      </c>
      <c r="AD477" s="17" t="n"/>
      <c r="AE477" s="16" t="n"/>
      <c r="AF477" s="20" t="inlineStr">
        <is>
          <t>IC Anionen</t>
        </is>
      </c>
      <c r="AG477" s="20" t="inlineStr">
        <is>
          <t>None</t>
        </is>
      </c>
      <c r="AH477" s="17" t="n"/>
      <c r="AI477" s="16" t="n"/>
      <c r="AJ477" s="20" t="n"/>
      <c r="AK477" s="20" t="inlineStr">
        <is>
          <t>None</t>
        </is>
      </c>
      <c r="AL477" s="17" t="n"/>
      <c r="AM477" s="16" t="n"/>
      <c r="AN477" s="20" t="inlineStr">
        <is>
          <t>IC Anionen</t>
        </is>
      </c>
      <c r="AO477" s="20" t="inlineStr">
        <is>
          <t>None</t>
        </is>
      </c>
      <c r="AP477" s="17" t="n"/>
      <c r="AQ477" s="16" t="n"/>
      <c r="AR477" s="20" t="n"/>
      <c r="AS477" s="20" t="inlineStr">
        <is>
          <t>None</t>
        </is>
      </c>
      <c r="AT477" s="17" t="n"/>
      <c r="AU477" s="16" t="n"/>
      <c r="AV477" s="20" t="n"/>
      <c r="AW477" s="20" t="inlineStr">
        <is>
          <t>None</t>
        </is>
      </c>
      <c r="AX477" s="17" t="n"/>
      <c r="AY477" s="16" t="n"/>
      <c r="AZ477" s="20" t="inlineStr">
        <is>
          <t>IC Anionen</t>
        </is>
      </c>
      <c r="BA477" s="20" t="inlineStr">
        <is>
          <t>None</t>
        </is>
      </c>
      <c r="BB477" s="17" t="n"/>
      <c r="BC477" s="16" t="n"/>
      <c r="BD477" s="20" t="inlineStr">
        <is>
          <t>IC Kationen</t>
        </is>
      </c>
      <c r="BE477" s="20" t="inlineStr">
        <is>
          <t>None</t>
        </is>
      </c>
      <c r="BF477" s="17" t="n"/>
      <c r="BG477" s="16" t="n"/>
      <c r="BH477" s="20" t="inlineStr">
        <is>
          <t>IC Kationen</t>
        </is>
      </c>
      <c r="BI477" s="20" t="inlineStr">
        <is>
          <t>None</t>
        </is>
      </c>
      <c r="BJ477" s="17" t="n"/>
      <c r="BK477" s="16" t="n"/>
      <c r="BL477" s="20" t="inlineStr">
        <is>
          <t>IC Kationen</t>
        </is>
      </c>
      <c r="BM477" s="20" t="inlineStr">
        <is>
          <t>None</t>
        </is>
      </c>
      <c r="BN477" s="17" t="n"/>
      <c r="BO477" s="16" t="n"/>
      <c r="BP477" s="20" t="inlineStr">
        <is>
          <t>IC Kationen</t>
        </is>
      </c>
      <c r="BQ477" s="20" t="inlineStr">
        <is>
          <t>None</t>
        </is>
      </c>
      <c r="BR477" s="17" t="n"/>
      <c r="BS477" s="16" t="n"/>
      <c r="BT477" s="20" t="inlineStr">
        <is>
          <t>IC Kationen</t>
        </is>
      </c>
      <c r="BU477" s="20" t="inlineStr">
        <is>
          <t>None</t>
        </is>
      </c>
      <c r="BV477" s="17" t="n"/>
      <c r="BW477" s="16" t="n"/>
      <c r="BX477" s="20" t="n"/>
      <c r="BY477" s="20" t="inlineStr">
        <is>
          <t>None</t>
        </is>
      </c>
      <c r="BZ477" s="17" t="n"/>
      <c r="CA477" s="16" t="n"/>
      <c r="CB477" s="20" t="n"/>
      <c r="CC477" s="20" t="inlineStr">
        <is>
          <t>None</t>
        </is>
      </c>
      <c r="CD477" s="17" t="n"/>
      <c r="CE477" s="16" t="n"/>
      <c r="CF477" s="20" t="n"/>
      <c r="CG477" s="20" t="inlineStr">
        <is>
          <t>None</t>
        </is>
      </c>
      <c r="CH477" s="17" t="n"/>
      <c r="CI477" s="16" t="n"/>
      <c r="CJ477" s="20" t="n"/>
      <c r="CK477" s="20" t="inlineStr">
        <is>
          <t>None</t>
        </is>
      </c>
      <c r="CL477" s="17" t="n"/>
      <c r="CM477" s="16" t="n"/>
      <c r="CN477" s="20" t="inlineStr">
        <is>
          <t>SOP 45-34</t>
        </is>
      </c>
      <c r="CO477" s="20" t="inlineStr">
        <is>
          <t>None</t>
        </is>
      </c>
      <c r="CP477" s="17" t="n"/>
      <c r="CQ477" s="16" t="n"/>
      <c r="CR477" s="20" t="n"/>
      <c r="CS477" s="20" t="inlineStr">
        <is>
          <t>None</t>
        </is>
      </c>
      <c r="CT477" s="17" t="n"/>
      <c r="CU477" s="16" t="n"/>
      <c r="CV477" s="20" t="n"/>
      <c r="CW477" s="20" t="inlineStr">
        <is>
          <t>None</t>
        </is>
      </c>
      <c r="CX477" s="17" t="n"/>
      <c r="CY477" s="16" t="n"/>
      <c r="CZ477" s="20" t="inlineStr">
        <is>
          <t>WTW Multimeter 3430 with FDO 925</t>
        </is>
      </c>
      <c r="DA477" s="20" t="inlineStr">
        <is>
          <t>None</t>
        </is>
      </c>
      <c r="DB477" s="17" t="n"/>
      <c r="DC477" s="16" t="n"/>
      <c r="DD477" s="20" t="n"/>
      <c r="DE477" s="20" t="inlineStr">
        <is>
          <t>None</t>
        </is>
      </c>
      <c r="DF477" s="17" t="n"/>
      <c r="DG477" s="16" t="n"/>
      <c r="DH477" s="20" t="inlineStr">
        <is>
          <t>SOP 45-09</t>
        </is>
      </c>
      <c r="DI477" s="20" t="inlineStr">
        <is>
          <t>None</t>
        </is>
      </c>
      <c r="DJ477" s="17" t="n"/>
      <c r="DK477" s="16" t="n"/>
      <c r="DL477" s="20" t="inlineStr">
        <is>
          <t>SOP 45-09 (SOP muss noch angepasst werden für VSS)</t>
        </is>
      </c>
      <c r="DM477" s="20" t="inlineStr">
        <is>
          <t>None</t>
        </is>
      </c>
      <c r="DN477" s="17" t="n"/>
      <c r="DO477" s="16" t="n"/>
      <c r="DP477" s="20" t="inlineStr">
        <is>
          <t>IC Organic Acids</t>
        </is>
      </c>
      <c r="DQ477" s="20" t="inlineStr">
        <is>
          <t>None</t>
        </is>
      </c>
      <c r="DR477" s="17" t="n"/>
      <c r="DS477" s="16" t="n"/>
      <c r="DT477" s="20" t="inlineStr">
        <is>
          <t>IC Organic Acids</t>
        </is>
      </c>
      <c r="DU477" s="20" t="inlineStr">
        <is>
          <t>None</t>
        </is>
      </c>
      <c r="DV477" s="17" t="n"/>
      <c r="DW477" s="16" t="n"/>
      <c r="DX477" s="20" t="inlineStr">
        <is>
          <t>IC Organic Acids</t>
        </is>
      </c>
      <c r="DY477" s="20" t="inlineStr">
        <is>
          <t>None</t>
        </is>
      </c>
      <c r="DZ477" s="17" t="n"/>
      <c r="EA477" s="16" t="n"/>
      <c r="EB477" s="20" t="inlineStr">
        <is>
          <t>IC Organic Acids</t>
        </is>
      </c>
      <c r="EC477" s="20" t="inlineStr">
        <is>
          <t>None</t>
        </is>
      </c>
      <c r="ED477" s="17" t="n"/>
      <c r="EE477" s="16" t="n"/>
      <c r="EF477" s="20" t="inlineStr">
        <is>
          <t>IC Organic Acids</t>
        </is>
      </c>
      <c r="EG477" s="20" t="inlineStr">
        <is>
          <t>None</t>
        </is>
      </c>
      <c r="EH477" s="17" t="n"/>
      <c r="EI477" s="16" t="n"/>
      <c r="EJ477" s="20" t="inlineStr">
        <is>
          <t>IC Organic Acids</t>
        </is>
      </c>
      <c r="EK477" s="20" t="inlineStr">
        <is>
          <t>None</t>
        </is>
      </c>
      <c r="EL477" s="17" t="n"/>
      <c r="EM477" s="16" t="n"/>
      <c r="EN477" s="20" t="inlineStr">
        <is>
          <t>IC Organic Acids</t>
        </is>
      </c>
      <c r="EO477" s="20" t="inlineStr">
        <is>
          <t>None</t>
        </is>
      </c>
      <c r="EP477" s="17" t="n"/>
      <c r="EQ477" s="16" t="n"/>
      <c r="ER477" s="20" t="inlineStr">
        <is>
          <t>IC Organic Acids</t>
        </is>
      </c>
      <c r="ES477" s="20" t="inlineStr">
        <is>
          <t>None</t>
        </is>
      </c>
      <c r="ET477" s="17" t="n"/>
      <c r="EU477" s="16" t="n"/>
      <c r="EV477" s="20" t="inlineStr">
        <is>
          <t>LC-MS</t>
        </is>
      </c>
      <c r="EW477" s="20" t="inlineStr">
        <is>
          <t>None</t>
        </is>
      </c>
      <c r="EX477" s="17" t="n"/>
      <c r="EY477" s="21" t="n"/>
      <c r="EZ477">
        <f>CONCATENATE(A477,B477)</f>
        <v/>
      </c>
      <c r="FA477">
        <f>CONCATENATE(SamplesX!A477,SamplesX!B477)</f>
        <v/>
      </c>
      <c r="FC477">
        <f>MATCH(EZ477,FA1:FA1008,0)</f>
        <v/>
      </c>
    </row>
    <row r="478">
      <c r="A478" s="16" t="n"/>
      <c r="B478" s="17" t="n"/>
      <c r="C478" s="10">
        <f>IF(ISNUMBER(FC478),INDIRECT("SamplesX!C"&amp;FC478),IF(ISNUMBER(FD478),INDIRECT("SamplesY!C"&amp;FD478),""))</f>
        <v/>
      </c>
      <c r="D478" s="12">
        <f>IF(ISNUMBER(FC478),INDIRECT("SamplesX!D"&amp;FC478),IF(ISNUMBER(FD478),INDIRECT("SamplesY!D"&amp;FD478),""))</f>
        <v/>
      </c>
      <c r="E478" s="12">
        <f>IF(ISNUMBER(FC478),INDIRECT("SamplesX!E"&amp;FC478),IF(ISNUMBER(FD478),INDIRECT("SamplesY!E"&amp;FD478),""))</f>
        <v/>
      </c>
      <c r="F478" s="11">
        <f>IF(ISNUMBER(FC478),INDIRECT("SamplesX!F"&amp;FC478),IF(ISNUMBER(FD478),INDIRECT("SamplesY!F"&amp;FD478),""))</f>
        <v/>
      </c>
      <c r="G478" s="18">
        <f>IF(ISNUMBER(FC478),INDIRECT("SamplesX!G"&amp;FC478),IF(ISNUMBER(FD478),INDIRECT("SamplesY!G"&amp;FD478),""))</f>
        <v/>
      </c>
      <c r="H478" s="19">
        <f>IF(ISNUMBER(FC478),INDIRECT("SamplesX!H"&amp;FC478),IF(ISNUMBER(FD478),INDIRECT("SamplesY!H"&amp;FD478),""))</f>
        <v/>
      </c>
      <c r="I478" s="16" t="n"/>
      <c r="J478" s="16" t="n"/>
      <c r="K478" s="16" t="n"/>
      <c r="L478" s="20" t="n"/>
      <c r="M478" s="20" t="inlineStr">
        <is>
          <t>None</t>
        </is>
      </c>
      <c r="N478" s="17" t="n"/>
      <c r="O478" s="16" t="n"/>
      <c r="P478" s="20" t="inlineStr">
        <is>
          <t>Shimadzu TOC-L</t>
        </is>
      </c>
      <c r="Q478" s="20" t="inlineStr">
        <is>
          <t>None</t>
        </is>
      </c>
      <c r="R478" s="17" t="n"/>
      <c r="S478" s="16" t="n"/>
      <c r="T478" s="20" t="inlineStr">
        <is>
          <t>Shimadzu TOC-L</t>
        </is>
      </c>
      <c r="U478" s="20" t="inlineStr">
        <is>
          <t>None</t>
        </is>
      </c>
      <c r="V478" s="17" t="n"/>
      <c r="W478" s="16" t="n"/>
      <c r="X478" s="20" t="n"/>
      <c r="Y478" s="20" t="inlineStr">
        <is>
          <t>None</t>
        </is>
      </c>
      <c r="Z478" s="17" t="n"/>
      <c r="AA478" s="16" t="n"/>
      <c r="AB478" s="20" t="n"/>
      <c r="AC478" s="20" t="inlineStr">
        <is>
          <t>None</t>
        </is>
      </c>
      <c r="AD478" s="17" t="n"/>
      <c r="AE478" s="16" t="n"/>
      <c r="AF478" s="20" t="inlineStr">
        <is>
          <t>IC Anionen</t>
        </is>
      </c>
      <c r="AG478" s="20" t="inlineStr">
        <is>
          <t>None</t>
        </is>
      </c>
      <c r="AH478" s="17" t="n"/>
      <c r="AI478" s="16" t="n"/>
      <c r="AJ478" s="20" t="n"/>
      <c r="AK478" s="20" t="inlineStr">
        <is>
          <t>None</t>
        </is>
      </c>
      <c r="AL478" s="17" t="n"/>
      <c r="AM478" s="16" t="n"/>
      <c r="AN478" s="20" t="inlineStr">
        <is>
          <t>IC Anionen</t>
        </is>
      </c>
      <c r="AO478" s="20" t="inlineStr">
        <is>
          <t>None</t>
        </is>
      </c>
      <c r="AP478" s="17" t="n"/>
      <c r="AQ478" s="16" t="n"/>
      <c r="AR478" s="20" t="n"/>
      <c r="AS478" s="20" t="inlineStr">
        <is>
          <t>None</t>
        </is>
      </c>
      <c r="AT478" s="17" t="n"/>
      <c r="AU478" s="16" t="n"/>
      <c r="AV478" s="20" t="n"/>
      <c r="AW478" s="20" t="inlineStr">
        <is>
          <t>None</t>
        </is>
      </c>
      <c r="AX478" s="17" t="n"/>
      <c r="AY478" s="16" t="n"/>
      <c r="AZ478" s="20" t="inlineStr">
        <is>
          <t>IC Anionen</t>
        </is>
      </c>
      <c r="BA478" s="20" t="inlineStr">
        <is>
          <t>None</t>
        </is>
      </c>
      <c r="BB478" s="17" t="n"/>
      <c r="BC478" s="16" t="n"/>
      <c r="BD478" s="20" t="inlineStr">
        <is>
          <t>IC Kationen</t>
        </is>
      </c>
      <c r="BE478" s="20" t="inlineStr">
        <is>
          <t>None</t>
        </is>
      </c>
      <c r="BF478" s="17" t="n"/>
      <c r="BG478" s="16" t="n"/>
      <c r="BH478" s="20" t="inlineStr">
        <is>
          <t>IC Kationen</t>
        </is>
      </c>
      <c r="BI478" s="20" t="inlineStr">
        <is>
          <t>None</t>
        </is>
      </c>
      <c r="BJ478" s="17" t="n"/>
      <c r="BK478" s="16" t="n"/>
      <c r="BL478" s="20" t="inlineStr">
        <is>
          <t>IC Kationen</t>
        </is>
      </c>
      <c r="BM478" s="20" t="inlineStr">
        <is>
          <t>None</t>
        </is>
      </c>
      <c r="BN478" s="17" t="n"/>
      <c r="BO478" s="16" t="n"/>
      <c r="BP478" s="20" t="inlineStr">
        <is>
          <t>IC Kationen</t>
        </is>
      </c>
      <c r="BQ478" s="20" t="inlineStr">
        <is>
          <t>None</t>
        </is>
      </c>
      <c r="BR478" s="17" t="n"/>
      <c r="BS478" s="16" t="n"/>
      <c r="BT478" s="20" t="inlineStr">
        <is>
          <t>IC Kationen</t>
        </is>
      </c>
      <c r="BU478" s="20" t="inlineStr">
        <is>
          <t>None</t>
        </is>
      </c>
      <c r="BV478" s="17" t="n"/>
      <c r="BW478" s="16" t="n"/>
      <c r="BX478" s="20" t="n"/>
      <c r="BY478" s="20" t="inlineStr">
        <is>
          <t>None</t>
        </is>
      </c>
      <c r="BZ478" s="17" t="n"/>
      <c r="CA478" s="16" t="n"/>
      <c r="CB478" s="20" t="n"/>
      <c r="CC478" s="20" t="inlineStr">
        <is>
          <t>None</t>
        </is>
      </c>
      <c r="CD478" s="17" t="n"/>
      <c r="CE478" s="16" t="n"/>
      <c r="CF478" s="20" t="n"/>
      <c r="CG478" s="20" t="inlineStr">
        <is>
          <t>None</t>
        </is>
      </c>
      <c r="CH478" s="17" t="n"/>
      <c r="CI478" s="16" t="n"/>
      <c r="CJ478" s="20" t="n"/>
      <c r="CK478" s="20" t="inlineStr">
        <is>
          <t>None</t>
        </is>
      </c>
      <c r="CL478" s="17" t="n"/>
      <c r="CM478" s="16" t="n"/>
      <c r="CN478" s="20" t="inlineStr">
        <is>
          <t>SOP 45-34</t>
        </is>
      </c>
      <c r="CO478" s="20" t="inlineStr">
        <is>
          <t>None</t>
        </is>
      </c>
      <c r="CP478" s="17" t="n"/>
      <c r="CQ478" s="16" t="n"/>
      <c r="CR478" s="20" t="n"/>
      <c r="CS478" s="20" t="inlineStr">
        <is>
          <t>None</t>
        </is>
      </c>
      <c r="CT478" s="17" t="n"/>
      <c r="CU478" s="16" t="n"/>
      <c r="CV478" s="20" t="n"/>
      <c r="CW478" s="20" t="inlineStr">
        <is>
          <t>None</t>
        </is>
      </c>
      <c r="CX478" s="17" t="n"/>
      <c r="CY478" s="16" t="n"/>
      <c r="CZ478" s="20" t="inlineStr">
        <is>
          <t>WTW Multimeter 3430 with FDO 925</t>
        </is>
      </c>
      <c r="DA478" s="20" t="inlineStr">
        <is>
          <t>None</t>
        </is>
      </c>
      <c r="DB478" s="17" t="n"/>
      <c r="DC478" s="16" t="n"/>
      <c r="DD478" s="20" t="n"/>
      <c r="DE478" s="20" t="inlineStr">
        <is>
          <t>None</t>
        </is>
      </c>
      <c r="DF478" s="17" t="n"/>
      <c r="DG478" s="16" t="n"/>
      <c r="DH478" s="20" t="inlineStr">
        <is>
          <t>SOP 45-09</t>
        </is>
      </c>
      <c r="DI478" s="20" t="inlineStr">
        <is>
          <t>None</t>
        </is>
      </c>
      <c r="DJ478" s="17" t="n"/>
      <c r="DK478" s="16" t="n"/>
      <c r="DL478" s="20" t="inlineStr">
        <is>
          <t>SOP 45-09 (SOP muss noch angepasst werden für VSS)</t>
        </is>
      </c>
      <c r="DM478" s="20" t="inlineStr">
        <is>
          <t>None</t>
        </is>
      </c>
      <c r="DN478" s="17" t="n"/>
      <c r="DO478" s="16" t="n"/>
      <c r="DP478" s="20" t="inlineStr">
        <is>
          <t>IC Organic Acids</t>
        </is>
      </c>
      <c r="DQ478" s="20" t="inlineStr">
        <is>
          <t>None</t>
        </is>
      </c>
      <c r="DR478" s="17" t="n"/>
      <c r="DS478" s="16" t="n"/>
      <c r="DT478" s="20" t="inlineStr">
        <is>
          <t>IC Organic Acids</t>
        </is>
      </c>
      <c r="DU478" s="20" t="inlineStr">
        <is>
          <t>None</t>
        </is>
      </c>
      <c r="DV478" s="17" t="n"/>
      <c r="DW478" s="16" t="n"/>
      <c r="DX478" s="20" t="inlineStr">
        <is>
          <t>IC Organic Acids</t>
        </is>
      </c>
      <c r="DY478" s="20" t="inlineStr">
        <is>
          <t>None</t>
        </is>
      </c>
      <c r="DZ478" s="17" t="n"/>
      <c r="EA478" s="16" t="n"/>
      <c r="EB478" s="20" t="inlineStr">
        <is>
          <t>IC Organic Acids</t>
        </is>
      </c>
      <c r="EC478" s="20" t="inlineStr">
        <is>
          <t>None</t>
        </is>
      </c>
      <c r="ED478" s="17" t="n"/>
      <c r="EE478" s="16" t="n"/>
      <c r="EF478" s="20" t="inlineStr">
        <is>
          <t>IC Organic Acids</t>
        </is>
      </c>
      <c r="EG478" s="20" t="inlineStr">
        <is>
          <t>None</t>
        </is>
      </c>
      <c r="EH478" s="17" t="n"/>
      <c r="EI478" s="16" t="n"/>
      <c r="EJ478" s="20" t="inlineStr">
        <is>
          <t>IC Organic Acids</t>
        </is>
      </c>
      <c r="EK478" s="20" t="inlineStr">
        <is>
          <t>None</t>
        </is>
      </c>
      <c r="EL478" s="17" t="n"/>
      <c r="EM478" s="16" t="n"/>
      <c r="EN478" s="20" t="inlineStr">
        <is>
          <t>IC Organic Acids</t>
        </is>
      </c>
      <c r="EO478" s="20" t="inlineStr">
        <is>
          <t>None</t>
        </is>
      </c>
      <c r="EP478" s="17" t="n"/>
      <c r="EQ478" s="16" t="n"/>
      <c r="ER478" s="20" t="inlineStr">
        <is>
          <t>IC Organic Acids</t>
        </is>
      </c>
      <c r="ES478" s="20" t="inlineStr">
        <is>
          <t>None</t>
        </is>
      </c>
      <c r="ET478" s="17" t="n"/>
      <c r="EU478" s="16" t="n"/>
      <c r="EV478" s="20" t="inlineStr">
        <is>
          <t>LC-MS</t>
        </is>
      </c>
      <c r="EW478" s="20" t="inlineStr">
        <is>
          <t>None</t>
        </is>
      </c>
      <c r="EX478" s="17" t="n"/>
      <c r="EY478" s="21" t="n"/>
      <c r="EZ478">
        <f>CONCATENATE(A478,B478)</f>
        <v/>
      </c>
      <c r="FA478">
        <f>CONCATENATE(SamplesX!A478,SamplesX!B478)</f>
        <v/>
      </c>
      <c r="FC478">
        <f>MATCH(EZ478,FA1:FA1008,0)</f>
        <v/>
      </c>
    </row>
    <row r="479">
      <c r="A479" s="16" t="n"/>
      <c r="B479" s="17" t="n"/>
      <c r="C479" s="10">
        <f>IF(ISNUMBER(FC479),INDIRECT("SamplesX!C"&amp;FC479),IF(ISNUMBER(FD479),INDIRECT("SamplesY!C"&amp;FD479),""))</f>
        <v/>
      </c>
      <c r="D479" s="12">
        <f>IF(ISNUMBER(FC479),INDIRECT("SamplesX!D"&amp;FC479),IF(ISNUMBER(FD479),INDIRECT("SamplesY!D"&amp;FD479),""))</f>
        <v/>
      </c>
      <c r="E479" s="12">
        <f>IF(ISNUMBER(FC479),INDIRECT("SamplesX!E"&amp;FC479),IF(ISNUMBER(FD479),INDIRECT("SamplesY!E"&amp;FD479),""))</f>
        <v/>
      </c>
      <c r="F479" s="11">
        <f>IF(ISNUMBER(FC479),INDIRECT("SamplesX!F"&amp;FC479),IF(ISNUMBER(FD479),INDIRECT("SamplesY!F"&amp;FD479),""))</f>
        <v/>
      </c>
      <c r="G479" s="18">
        <f>IF(ISNUMBER(FC479),INDIRECT("SamplesX!G"&amp;FC479),IF(ISNUMBER(FD479),INDIRECT("SamplesY!G"&amp;FD479),""))</f>
        <v/>
      </c>
      <c r="H479" s="19">
        <f>IF(ISNUMBER(FC479),INDIRECT("SamplesX!H"&amp;FC479),IF(ISNUMBER(FD479),INDIRECT("SamplesY!H"&amp;FD479),""))</f>
        <v/>
      </c>
      <c r="I479" s="16" t="n"/>
      <c r="J479" s="16" t="n"/>
      <c r="K479" s="16" t="n"/>
      <c r="L479" s="20" t="n"/>
      <c r="M479" s="20" t="inlineStr">
        <is>
          <t>None</t>
        </is>
      </c>
      <c r="N479" s="17" t="n"/>
      <c r="O479" s="16" t="n"/>
      <c r="P479" s="20" t="inlineStr">
        <is>
          <t>Shimadzu TOC-L</t>
        </is>
      </c>
      <c r="Q479" s="20" t="inlineStr">
        <is>
          <t>None</t>
        </is>
      </c>
      <c r="R479" s="17" t="n"/>
      <c r="S479" s="16" t="n"/>
      <c r="T479" s="20" t="inlineStr">
        <is>
          <t>Shimadzu TOC-L</t>
        </is>
      </c>
      <c r="U479" s="20" t="inlineStr">
        <is>
          <t>None</t>
        </is>
      </c>
      <c r="V479" s="17" t="n"/>
      <c r="W479" s="16" t="n"/>
      <c r="X479" s="20" t="n"/>
      <c r="Y479" s="20" t="inlineStr">
        <is>
          <t>None</t>
        </is>
      </c>
      <c r="Z479" s="17" t="n"/>
      <c r="AA479" s="16" t="n"/>
      <c r="AB479" s="20" t="n"/>
      <c r="AC479" s="20" t="inlineStr">
        <is>
          <t>None</t>
        </is>
      </c>
      <c r="AD479" s="17" t="n"/>
      <c r="AE479" s="16" t="n"/>
      <c r="AF479" s="20" t="inlineStr">
        <is>
          <t>IC Anionen</t>
        </is>
      </c>
      <c r="AG479" s="20" t="inlineStr">
        <is>
          <t>None</t>
        </is>
      </c>
      <c r="AH479" s="17" t="n"/>
      <c r="AI479" s="16" t="n"/>
      <c r="AJ479" s="20" t="n"/>
      <c r="AK479" s="20" t="inlineStr">
        <is>
          <t>None</t>
        </is>
      </c>
      <c r="AL479" s="17" t="n"/>
      <c r="AM479" s="16" t="n"/>
      <c r="AN479" s="20" t="inlineStr">
        <is>
          <t>IC Anionen</t>
        </is>
      </c>
      <c r="AO479" s="20" t="inlineStr">
        <is>
          <t>None</t>
        </is>
      </c>
      <c r="AP479" s="17" t="n"/>
      <c r="AQ479" s="16" t="n"/>
      <c r="AR479" s="20" t="n"/>
      <c r="AS479" s="20" t="inlineStr">
        <is>
          <t>None</t>
        </is>
      </c>
      <c r="AT479" s="17" t="n"/>
      <c r="AU479" s="16" t="n"/>
      <c r="AV479" s="20" t="n"/>
      <c r="AW479" s="20" t="inlineStr">
        <is>
          <t>None</t>
        </is>
      </c>
      <c r="AX479" s="17" t="n"/>
      <c r="AY479" s="16" t="n"/>
      <c r="AZ479" s="20" t="inlineStr">
        <is>
          <t>IC Anionen</t>
        </is>
      </c>
      <c r="BA479" s="20" t="inlineStr">
        <is>
          <t>None</t>
        </is>
      </c>
      <c r="BB479" s="17" t="n"/>
      <c r="BC479" s="16" t="n"/>
      <c r="BD479" s="20" t="inlineStr">
        <is>
          <t>IC Kationen</t>
        </is>
      </c>
      <c r="BE479" s="20" t="inlineStr">
        <is>
          <t>None</t>
        </is>
      </c>
      <c r="BF479" s="17" t="n"/>
      <c r="BG479" s="16" t="n"/>
      <c r="BH479" s="20" t="inlineStr">
        <is>
          <t>IC Kationen</t>
        </is>
      </c>
      <c r="BI479" s="20" t="inlineStr">
        <is>
          <t>None</t>
        </is>
      </c>
      <c r="BJ479" s="17" t="n"/>
      <c r="BK479" s="16" t="n"/>
      <c r="BL479" s="20" t="inlineStr">
        <is>
          <t>IC Kationen</t>
        </is>
      </c>
      <c r="BM479" s="20" t="inlineStr">
        <is>
          <t>None</t>
        </is>
      </c>
      <c r="BN479" s="17" t="n"/>
      <c r="BO479" s="16" t="n"/>
      <c r="BP479" s="20" t="inlineStr">
        <is>
          <t>IC Kationen</t>
        </is>
      </c>
      <c r="BQ479" s="20" t="inlineStr">
        <is>
          <t>None</t>
        </is>
      </c>
      <c r="BR479" s="17" t="n"/>
      <c r="BS479" s="16" t="n"/>
      <c r="BT479" s="20" t="inlineStr">
        <is>
          <t>IC Kationen</t>
        </is>
      </c>
      <c r="BU479" s="20" t="inlineStr">
        <is>
          <t>None</t>
        </is>
      </c>
      <c r="BV479" s="17" t="n"/>
      <c r="BW479" s="16" t="n"/>
      <c r="BX479" s="20" t="n"/>
      <c r="BY479" s="20" t="inlineStr">
        <is>
          <t>None</t>
        </is>
      </c>
      <c r="BZ479" s="17" t="n"/>
      <c r="CA479" s="16" t="n"/>
      <c r="CB479" s="20" t="n"/>
      <c r="CC479" s="20" t="inlineStr">
        <is>
          <t>None</t>
        </is>
      </c>
      <c r="CD479" s="17" t="n"/>
      <c r="CE479" s="16" t="n"/>
      <c r="CF479" s="20" t="n"/>
      <c r="CG479" s="20" t="inlineStr">
        <is>
          <t>None</t>
        </is>
      </c>
      <c r="CH479" s="17" t="n"/>
      <c r="CI479" s="16" t="n"/>
      <c r="CJ479" s="20" t="n"/>
      <c r="CK479" s="20" t="inlineStr">
        <is>
          <t>None</t>
        </is>
      </c>
      <c r="CL479" s="17" t="n"/>
      <c r="CM479" s="16" t="n"/>
      <c r="CN479" s="20" t="inlineStr">
        <is>
          <t>SOP 45-34</t>
        </is>
      </c>
      <c r="CO479" s="20" t="inlineStr">
        <is>
          <t>None</t>
        </is>
      </c>
      <c r="CP479" s="17" t="n"/>
      <c r="CQ479" s="16" t="n"/>
      <c r="CR479" s="20" t="n"/>
      <c r="CS479" s="20" t="inlineStr">
        <is>
          <t>None</t>
        </is>
      </c>
      <c r="CT479" s="17" t="n"/>
      <c r="CU479" s="16" t="n"/>
      <c r="CV479" s="20" t="n"/>
      <c r="CW479" s="20" t="inlineStr">
        <is>
          <t>None</t>
        </is>
      </c>
      <c r="CX479" s="17" t="n"/>
      <c r="CY479" s="16" t="n"/>
      <c r="CZ479" s="20" t="inlineStr">
        <is>
          <t>WTW Multimeter 3430 with FDO 925</t>
        </is>
      </c>
      <c r="DA479" s="20" t="inlineStr">
        <is>
          <t>None</t>
        </is>
      </c>
      <c r="DB479" s="17" t="n"/>
      <c r="DC479" s="16" t="n"/>
      <c r="DD479" s="20" t="n"/>
      <c r="DE479" s="20" t="inlineStr">
        <is>
          <t>None</t>
        </is>
      </c>
      <c r="DF479" s="17" t="n"/>
      <c r="DG479" s="16" t="n"/>
      <c r="DH479" s="20" t="inlineStr">
        <is>
          <t>SOP 45-09</t>
        </is>
      </c>
      <c r="DI479" s="20" t="inlineStr">
        <is>
          <t>None</t>
        </is>
      </c>
      <c r="DJ479" s="17" t="n"/>
      <c r="DK479" s="16" t="n"/>
      <c r="DL479" s="20" t="inlineStr">
        <is>
          <t>SOP 45-09 (SOP muss noch angepasst werden für VSS)</t>
        </is>
      </c>
      <c r="DM479" s="20" t="inlineStr">
        <is>
          <t>None</t>
        </is>
      </c>
      <c r="DN479" s="17" t="n"/>
      <c r="DO479" s="16" t="n"/>
      <c r="DP479" s="20" t="inlineStr">
        <is>
          <t>IC Organic Acids</t>
        </is>
      </c>
      <c r="DQ479" s="20" t="inlineStr">
        <is>
          <t>None</t>
        </is>
      </c>
      <c r="DR479" s="17" t="n"/>
      <c r="DS479" s="16" t="n"/>
      <c r="DT479" s="20" t="inlineStr">
        <is>
          <t>IC Organic Acids</t>
        </is>
      </c>
      <c r="DU479" s="20" t="inlineStr">
        <is>
          <t>None</t>
        </is>
      </c>
      <c r="DV479" s="17" t="n"/>
      <c r="DW479" s="16" t="n"/>
      <c r="DX479" s="20" t="inlineStr">
        <is>
          <t>IC Organic Acids</t>
        </is>
      </c>
      <c r="DY479" s="20" t="inlineStr">
        <is>
          <t>None</t>
        </is>
      </c>
      <c r="DZ479" s="17" t="n"/>
      <c r="EA479" s="16" t="n"/>
      <c r="EB479" s="20" t="inlineStr">
        <is>
          <t>IC Organic Acids</t>
        </is>
      </c>
      <c r="EC479" s="20" t="inlineStr">
        <is>
          <t>None</t>
        </is>
      </c>
      <c r="ED479" s="17" t="n"/>
      <c r="EE479" s="16" t="n"/>
      <c r="EF479" s="20" t="inlineStr">
        <is>
          <t>IC Organic Acids</t>
        </is>
      </c>
      <c r="EG479" s="20" t="inlineStr">
        <is>
          <t>None</t>
        </is>
      </c>
      <c r="EH479" s="17" t="n"/>
      <c r="EI479" s="16" t="n"/>
      <c r="EJ479" s="20" t="inlineStr">
        <is>
          <t>IC Organic Acids</t>
        </is>
      </c>
      <c r="EK479" s="20" t="inlineStr">
        <is>
          <t>None</t>
        </is>
      </c>
      <c r="EL479" s="17" t="n"/>
      <c r="EM479" s="16" t="n"/>
      <c r="EN479" s="20" t="inlineStr">
        <is>
          <t>IC Organic Acids</t>
        </is>
      </c>
      <c r="EO479" s="20" t="inlineStr">
        <is>
          <t>None</t>
        </is>
      </c>
      <c r="EP479" s="17" t="n"/>
      <c r="EQ479" s="16" t="n"/>
      <c r="ER479" s="20" t="inlineStr">
        <is>
          <t>IC Organic Acids</t>
        </is>
      </c>
      <c r="ES479" s="20" t="inlineStr">
        <is>
          <t>None</t>
        </is>
      </c>
      <c r="ET479" s="17" t="n"/>
      <c r="EU479" s="16" t="n"/>
      <c r="EV479" s="20" t="inlineStr">
        <is>
          <t>LC-MS</t>
        </is>
      </c>
      <c r="EW479" s="20" t="inlineStr">
        <is>
          <t>None</t>
        </is>
      </c>
      <c r="EX479" s="17" t="n"/>
      <c r="EY479" s="21" t="n"/>
      <c r="EZ479">
        <f>CONCATENATE(A479,B479)</f>
        <v/>
      </c>
      <c r="FA479">
        <f>CONCATENATE(SamplesX!A479,SamplesX!B479)</f>
        <v/>
      </c>
      <c r="FC479">
        <f>MATCH(EZ479,FA1:FA1008,0)</f>
        <v/>
      </c>
    </row>
    <row r="480">
      <c r="A480" s="16" t="n"/>
      <c r="B480" s="17" t="n"/>
      <c r="C480" s="10">
        <f>IF(ISNUMBER(FC480),INDIRECT("SamplesX!C"&amp;FC480),IF(ISNUMBER(FD480),INDIRECT("SamplesY!C"&amp;FD480),""))</f>
        <v/>
      </c>
      <c r="D480" s="12">
        <f>IF(ISNUMBER(FC480),INDIRECT("SamplesX!D"&amp;FC480),IF(ISNUMBER(FD480),INDIRECT("SamplesY!D"&amp;FD480),""))</f>
        <v/>
      </c>
      <c r="E480" s="12">
        <f>IF(ISNUMBER(FC480),INDIRECT("SamplesX!E"&amp;FC480),IF(ISNUMBER(FD480),INDIRECT("SamplesY!E"&amp;FD480),""))</f>
        <v/>
      </c>
      <c r="F480" s="11">
        <f>IF(ISNUMBER(FC480),INDIRECT("SamplesX!F"&amp;FC480),IF(ISNUMBER(FD480),INDIRECT("SamplesY!F"&amp;FD480),""))</f>
        <v/>
      </c>
      <c r="G480" s="18">
        <f>IF(ISNUMBER(FC480),INDIRECT("SamplesX!G"&amp;FC480),IF(ISNUMBER(FD480),INDIRECT("SamplesY!G"&amp;FD480),""))</f>
        <v/>
      </c>
      <c r="H480" s="19">
        <f>IF(ISNUMBER(FC480),INDIRECT("SamplesX!H"&amp;FC480),IF(ISNUMBER(FD480),INDIRECT("SamplesY!H"&amp;FD480),""))</f>
        <v/>
      </c>
      <c r="I480" s="16" t="n"/>
      <c r="J480" s="16" t="n"/>
      <c r="K480" s="16" t="n"/>
      <c r="L480" s="20" t="n"/>
      <c r="M480" s="20" t="inlineStr">
        <is>
          <t>None</t>
        </is>
      </c>
      <c r="N480" s="17" t="n"/>
      <c r="O480" s="16" t="n"/>
      <c r="P480" s="20" t="inlineStr">
        <is>
          <t>Shimadzu TOC-L</t>
        </is>
      </c>
      <c r="Q480" s="20" t="inlineStr">
        <is>
          <t>None</t>
        </is>
      </c>
      <c r="R480" s="17" t="n"/>
      <c r="S480" s="16" t="n"/>
      <c r="T480" s="20" t="inlineStr">
        <is>
          <t>Shimadzu TOC-L</t>
        </is>
      </c>
      <c r="U480" s="20" t="inlineStr">
        <is>
          <t>None</t>
        </is>
      </c>
      <c r="V480" s="17" t="n"/>
      <c r="W480" s="16" t="n"/>
      <c r="X480" s="20" t="n"/>
      <c r="Y480" s="20" t="inlineStr">
        <is>
          <t>None</t>
        </is>
      </c>
      <c r="Z480" s="17" t="n"/>
      <c r="AA480" s="16" t="n"/>
      <c r="AB480" s="20" t="n"/>
      <c r="AC480" s="20" t="inlineStr">
        <is>
          <t>None</t>
        </is>
      </c>
      <c r="AD480" s="17" t="n"/>
      <c r="AE480" s="16" t="n"/>
      <c r="AF480" s="20" t="inlineStr">
        <is>
          <t>IC Anionen</t>
        </is>
      </c>
      <c r="AG480" s="20" t="inlineStr">
        <is>
          <t>None</t>
        </is>
      </c>
      <c r="AH480" s="17" t="n"/>
      <c r="AI480" s="16" t="n"/>
      <c r="AJ480" s="20" t="n"/>
      <c r="AK480" s="20" t="inlineStr">
        <is>
          <t>None</t>
        </is>
      </c>
      <c r="AL480" s="17" t="n"/>
      <c r="AM480" s="16" t="n"/>
      <c r="AN480" s="20" t="inlineStr">
        <is>
          <t>IC Anionen</t>
        </is>
      </c>
      <c r="AO480" s="20" t="inlineStr">
        <is>
          <t>None</t>
        </is>
      </c>
      <c r="AP480" s="17" t="n"/>
      <c r="AQ480" s="16" t="n"/>
      <c r="AR480" s="20" t="n"/>
      <c r="AS480" s="20" t="inlineStr">
        <is>
          <t>None</t>
        </is>
      </c>
      <c r="AT480" s="17" t="n"/>
      <c r="AU480" s="16" t="n"/>
      <c r="AV480" s="20" t="n"/>
      <c r="AW480" s="20" t="inlineStr">
        <is>
          <t>None</t>
        </is>
      </c>
      <c r="AX480" s="17" t="n"/>
      <c r="AY480" s="16" t="n"/>
      <c r="AZ480" s="20" t="inlineStr">
        <is>
          <t>IC Anionen</t>
        </is>
      </c>
      <c r="BA480" s="20" t="inlineStr">
        <is>
          <t>None</t>
        </is>
      </c>
      <c r="BB480" s="17" t="n"/>
      <c r="BC480" s="16" t="n"/>
      <c r="BD480" s="20" t="inlineStr">
        <is>
          <t>IC Kationen</t>
        </is>
      </c>
      <c r="BE480" s="20" t="inlineStr">
        <is>
          <t>None</t>
        </is>
      </c>
      <c r="BF480" s="17" t="n"/>
      <c r="BG480" s="16" t="n"/>
      <c r="BH480" s="20" t="inlineStr">
        <is>
          <t>IC Kationen</t>
        </is>
      </c>
      <c r="BI480" s="20" t="inlineStr">
        <is>
          <t>None</t>
        </is>
      </c>
      <c r="BJ480" s="17" t="n"/>
      <c r="BK480" s="16" t="n"/>
      <c r="BL480" s="20" t="inlineStr">
        <is>
          <t>IC Kationen</t>
        </is>
      </c>
      <c r="BM480" s="20" t="inlineStr">
        <is>
          <t>None</t>
        </is>
      </c>
      <c r="BN480" s="17" t="n"/>
      <c r="BO480" s="16" t="n"/>
      <c r="BP480" s="20" t="inlineStr">
        <is>
          <t>IC Kationen</t>
        </is>
      </c>
      <c r="BQ480" s="20" t="inlineStr">
        <is>
          <t>None</t>
        </is>
      </c>
      <c r="BR480" s="17" t="n"/>
      <c r="BS480" s="16" t="n"/>
      <c r="BT480" s="20" t="inlineStr">
        <is>
          <t>IC Kationen</t>
        </is>
      </c>
      <c r="BU480" s="20" t="inlineStr">
        <is>
          <t>None</t>
        </is>
      </c>
      <c r="BV480" s="17" t="n"/>
      <c r="BW480" s="16" t="n"/>
      <c r="BX480" s="20" t="n"/>
      <c r="BY480" s="20" t="inlineStr">
        <is>
          <t>None</t>
        </is>
      </c>
      <c r="BZ480" s="17" t="n"/>
      <c r="CA480" s="16" t="n"/>
      <c r="CB480" s="20" t="n"/>
      <c r="CC480" s="20" t="inlineStr">
        <is>
          <t>None</t>
        </is>
      </c>
      <c r="CD480" s="17" t="n"/>
      <c r="CE480" s="16" t="n"/>
      <c r="CF480" s="20" t="n"/>
      <c r="CG480" s="20" t="inlineStr">
        <is>
          <t>None</t>
        </is>
      </c>
      <c r="CH480" s="17" t="n"/>
      <c r="CI480" s="16" t="n"/>
      <c r="CJ480" s="20" t="n"/>
      <c r="CK480" s="20" t="inlineStr">
        <is>
          <t>None</t>
        </is>
      </c>
      <c r="CL480" s="17" t="n"/>
      <c r="CM480" s="16" t="n"/>
      <c r="CN480" s="20" t="inlineStr">
        <is>
          <t>SOP 45-34</t>
        </is>
      </c>
      <c r="CO480" s="20" t="inlineStr">
        <is>
          <t>None</t>
        </is>
      </c>
      <c r="CP480" s="17" t="n"/>
      <c r="CQ480" s="16" t="n"/>
      <c r="CR480" s="20" t="n"/>
      <c r="CS480" s="20" t="inlineStr">
        <is>
          <t>None</t>
        </is>
      </c>
      <c r="CT480" s="17" t="n"/>
      <c r="CU480" s="16" t="n"/>
      <c r="CV480" s="20" t="n"/>
      <c r="CW480" s="20" t="inlineStr">
        <is>
          <t>None</t>
        </is>
      </c>
      <c r="CX480" s="17" t="n"/>
      <c r="CY480" s="16" t="n"/>
      <c r="CZ480" s="20" t="inlineStr">
        <is>
          <t>WTW Multimeter 3430 with FDO 925</t>
        </is>
      </c>
      <c r="DA480" s="20" t="inlineStr">
        <is>
          <t>None</t>
        </is>
      </c>
      <c r="DB480" s="17" t="n"/>
      <c r="DC480" s="16" t="n"/>
      <c r="DD480" s="20" t="n"/>
      <c r="DE480" s="20" t="inlineStr">
        <is>
          <t>None</t>
        </is>
      </c>
      <c r="DF480" s="17" t="n"/>
      <c r="DG480" s="16" t="n"/>
      <c r="DH480" s="20" t="inlineStr">
        <is>
          <t>SOP 45-09</t>
        </is>
      </c>
      <c r="DI480" s="20" t="inlineStr">
        <is>
          <t>None</t>
        </is>
      </c>
      <c r="DJ480" s="17" t="n"/>
      <c r="DK480" s="16" t="n"/>
      <c r="DL480" s="20" t="inlineStr">
        <is>
          <t>SOP 45-09 (SOP muss noch angepasst werden für VSS)</t>
        </is>
      </c>
      <c r="DM480" s="20" t="inlineStr">
        <is>
          <t>None</t>
        </is>
      </c>
      <c r="DN480" s="17" t="n"/>
      <c r="DO480" s="16" t="n"/>
      <c r="DP480" s="20" t="inlineStr">
        <is>
          <t>IC Organic Acids</t>
        </is>
      </c>
      <c r="DQ480" s="20" t="inlineStr">
        <is>
          <t>None</t>
        </is>
      </c>
      <c r="DR480" s="17" t="n"/>
      <c r="DS480" s="16" t="n"/>
      <c r="DT480" s="20" t="inlineStr">
        <is>
          <t>IC Organic Acids</t>
        </is>
      </c>
      <c r="DU480" s="20" t="inlineStr">
        <is>
          <t>None</t>
        </is>
      </c>
      <c r="DV480" s="17" t="n"/>
      <c r="DW480" s="16" t="n"/>
      <c r="DX480" s="20" t="inlineStr">
        <is>
          <t>IC Organic Acids</t>
        </is>
      </c>
      <c r="DY480" s="20" t="inlineStr">
        <is>
          <t>None</t>
        </is>
      </c>
      <c r="DZ480" s="17" t="n"/>
      <c r="EA480" s="16" t="n"/>
      <c r="EB480" s="20" t="inlineStr">
        <is>
          <t>IC Organic Acids</t>
        </is>
      </c>
      <c r="EC480" s="20" t="inlineStr">
        <is>
          <t>None</t>
        </is>
      </c>
      <c r="ED480" s="17" t="n"/>
      <c r="EE480" s="16" t="n"/>
      <c r="EF480" s="20" t="inlineStr">
        <is>
          <t>IC Organic Acids</t>
        </is>
      </c>
      <c r="EG480" s="20" t="inlineStr">
        <is>
          <t>None</t>
        </is>
      </c>
      <c r="EH480" s="17" t="n"/>
      <c r="EI480" s="16" t="n"/>
      <c r="EJ480" s="20" t="inlineStr">
        <is>
          <t>IC Organic Acids</t>
        </is>
      </c>
      <c r="EK480" s="20" t="inlineStr">
        <is>
          <t>None</t>
        </is>
      </c>
      <c r="EL480" s="17" t="n"/>
      <c r="EM480" s="16" t="n"/>
      <c r="EN480" s="20" t="inlineStr">
        <is>
          <t>IC Organic Acids</t>
        </is>
      </c>
      <c r="EO480" s="20" t="inlineStr">
        <is>
          <t>None</t>
        </is>
      </c>
      <c r="EP480" s="17" t="n"/>
      <c r="EQ480" s="16" t="n"/>
      <c r="ER480" s="20" t="inlineStr">
        <is>
          <t>IC Organic Acids</t>
        </is>
      </c>
      <c r="ES480" s="20" t="inlineStr">
        <is>
          <t>None</t>
        </is>
      </c>
      <c r="ET480" s="17" t="n"/>
      <c r="EU480" s="16" t="n"/>
      <c r="EV480" s="20" t="inlineStr">
        <is>
          <t>LC-MS</t>
        </is>
      </c>
      <c r="EW480" s="20" t="inlineStr">
        <is>
          <t>None</t>
        </is>
      </c>
      <c r="EX480" s="17" t="n"/>
      <c r="EY480" s="21" t="n"/>
      <c r="EZ480">
        <f>CONCATENATE(A480,B480)</f>
        <v/>
      </c>
      <c r="FA480">
        <f>CONCATENATE(SamplesX!A480,SamplesX!B480)</f>
        <v/>
      </c>
      <c r="FC480">
        <f>MATCH(EZ480,FA1:FA1008,0)</f>
        <v/>
      </c>
    </row>
    <row r="481">
      <c r="A481" s="16" t="n"/>
      <c r="B481" s="17" t="n"/>
      <c r="C481" s="10">
        <f>IF(ISNUMBER(FC481),INDIRECT("SamplesX!C"&amp;FC481),IF(ISNUMBER(FD481),INDIRECT("SamplesY!C"&amp;FD481),""))</f>
        <v/>
      </c>
      <c r="D481" s="12">
        <f>IF(ISNUMBER(FC481),INDIRECT("SamplesX!D"&amp;FC481),IF(ISNUMBER(FD481),INDIRECT("SamplesY!D"&amp;FD481),""))</f>
        <v/>
      </c>
      <c r="E481" s="12">
        <f>IF(ISNUMBER(FC481),INDIRECT("SamplesX!E"&amp;FC481),IF(ISNUMBER(FD481),INDIRECT("SamplesY!E"&amp;FD481),""))</f>
        <v/>
      </c>
      <c r="F481" s="11">
        <f>IF(ISNUMBER(FC481),INDIRECT("SamplesX!F"&amp;FC481),IF(ISNUMBER(FD481),INDIRECT("SamplesY!F"&amp;FD481),""))</f>
        <v/>
      </c>
      <c r="G481" s="18">
        <f>IF(ISNUMBER(FC481),INDIRECT("SamplesX!G"&amp;FC481),IF(ISNUMBER(FD481),INDIRECT("SamplesY!G"&amp;FD481),""))</f>
        <v/>
      </c>
      <c r="H481" s="19">
        <f>IF(ISNUMBER(FC481),INDIRECT("SamplesX!H"&amp;FC481),IF(ISNUMBER(FD481),INDIRECT("SamplesY!H"&amp;FD481),""))</f>
        <v/>
      </c>
      <c r="I481" s="16" t="n"/>
      <c r="J481" s="16" t="n"/>
      <c r="K481" s="16" t="n"/>
      <c r="L481" s="20" t="n"/>
      <c r="M481" s="20" t="inlineStr">
        <is>
          <t>None</t>
        </is>
      </c>
      <c r="N481" s="17" t="n"/>
      <c r="O481" s="16" t="n"/>
      <c r="P481" s="20" t="inlineStr">
        <is>
          <t>Shimadzu TOC-L</t>
        </is>
      </c>
      <c r="Q481" s="20" t="inlineStr">
        <is>
          <t>None</t>
        </is>
      </c>
      <c r="R481" s="17" t="n"/>
      <c r="S481" s="16" t="n"/>
      <c r="T481" s="20" t="inlineStr">
        <is>
          <t>Shimadzu TOC-L</t>
        </is>
      </c>
      <c r="U481" s="20" t="inlineStr">
        <is>
          <t>None</t>
        </is>
      </c>
      <c r="V481" s="17" t="n"/>
      <c r="W481" s="16" t="n"/>
      <c r="X481" s="20" t="n"/>
      <c r="Y481" s="20" t="inlineStr">
        <is>
          <t>None</t>
        </is>
      </c>
      <c r="Z481" s="17" t="n"/>
      <c r="AA481" s="16" t="n"/>
      <c r="AB481" s="20" t="n"/>
      <c r="AC481" s="20" t="inlineStr">
        <is>
          <t>None</t>
        </is>
      </c>
      <c r="AD481" s="17" t="n"/>
      <c r="AE481" s="16" t="n"/>
      <c r="AF481" s="20" t="inlineStr">
        <is>
          <t>IC Anionen</t>
        </is>
      </c>
      <c r="AG481" s="20" t="inlineStr">
        <is>
          <t>None</t>
        </is>
      </c>
      <c r="AH481" s="17" t="n"/>
      <c r="AI481" s="16" t="n"/>
      <c r="AJ481" s="20" t="n"/>
      <c r="AK481" s="20" t="inlineStr">
        <is>
          <t>None</t>
        </is>
      </c>
      <c r="AL481" s="17" t="n"/>
      <c r="AM481" s="16" t="n"/>
      <c r="AN481" s="20" t="inlineStr">
        <is>
          <t>IC Anionen</t>
        </is>
      </c>
      <c r="AO481" s="20" t="inlineStr">
        <is>
          <t>None</t>
        </is>
      </c>
      <c r="AP481" s="17" t="n"/>
      <c r="AQ481" s="16" t="n"/>
      <c r="AR481" s="20" t="n"/>
      <c r="AS481" s="20" t="inlineStr">
        <is>
          <t>None</t>
        </is>
      </c>
      <c r="AT481" s="17" t="n"/>
      <c r="AU481" s="16" t="n"/>
      <c r="AV481" s="20" t="n"/>
      <c r="AW481" s="20" t="inlineStr">
        <is>
          <t>None</t>
        </is>
      </c>
      <c r="AX481" s="17" t="n"/>
      <c r="AY481" s="16" t="n"/>
      <c r="AZ481" s="20" t="inlineStr">
        <is>
          <t>IC Anionen</t>
        </is>
      </c>
      <c r="BA481" s="20" t="inlineStr">
        <is>
          <t>None</t>
        </is>
      </c>
      <c r="BB481" s="17" t="n"/>
      <c r="BC481" s="16" t="n"/>
      <c r="BD481" s="20" t="inlineStr">
        <is>
          <t>IC Kationen</t>
        </is>
      </c>
      <c r="BE481" s="20" t="inlineStr">
        <is>
          <t>None</t>
        </is>
      </c>
      <c r="BF481" s="17" t="n"/>
      <c r="BG481" s="16" t="n"/>
      <c r="BH481" s="20" t="inlineStr">
        <is>
          <t>IC Kationen</t>
        </is>
      </c>
      <c r="BI481" s="20" t="inlineStr">
        <is>
          <t>None</t>
        </is>
      </c>
      <c r="BJ481" s="17" t="n"/>
      <c r="BK481" s="16" t="n"/>
      <c r="BL481" s="20" t="inlineStr">
        <is>
          <t>IC Kationen</t>
        </is>
      </c>
      <c r="BM481" s="20" t="inlineStr">
        <is>
          <t>None</t>
        </is>
      </c>
      <c r="BN481" s="17" t="n"/>
      <c r="BO481" s="16" t="n"/>
      <c r="BP481" s="20" t="inlineStr">
        <is>
          <t>IC Kationen</t>
        </is>
      </c>
      <c r="BQ481" s="20" t="inlineStr">
        <is>
          <t>None</t>
        </is>
      </c>
      <c r="BR481" s="17" t="n"/>
      <c r="BS481" s="16" t="n"/>
      <c r="BT481" s="20" t="inlineStr">
        <is>
          <t>IC Kationen</t>
        </is>
      </c>
      <c r="BU481" s="20" t="inlineStr">
        <is>
          <t>None</t>
        </is>
      </c>
      <c r="BV481" s="17" t="n"/>
      <c r="BW481" s="16" t="n"/>
      <c r="BX481" s="20" t="n"/>
      <c r="BY481" s="20" t="inlineStr">
        <is>
          <t>None</t>
        </is>
      </c>
      <c r="BZ481" s="17" t="n"/>
      <c r="CA481" s="16" t="n"/>
      <c r="CB481" s="20" t="n"/>
      <c r="CC481" s="20" t="inlineStr">
        <is>
          <t>None</t>
        </is>
      </c>
      <c r="CD481" s="17" t="n"/>
      <c r="CE481" s="16" t="n"/>
      <c r="CF481" s="20" t="n"/>
      <c r="CG481" s="20" t="inlineStr">
        <is>
          <t>None</t>
        </is>
      </c>
      <c r="CH481" s="17" t="n"/>
      <c r="CI481" s="16" t="n"/>
      <c r="CJ481" s="20" t="n"/>
      <c r="CK481" s="20" t="inlineStr">
        <is>
          <t>None</t>
        </is>
      </c>
      <c r="CL481" s="17" t="n"/>
      <c r="CM481" s="16" t="n"/>
      <c r="CN481" s="20" t="inlineStr">
        <is>
          <t>SOP 45-34</t>
        </is>
      </c>
      <c r="CO481" s="20" t="inlineStr">
        <is>
          <t>None</t>
        </is>
      </c>
      <c r="CP481" s="17" t="n"/>
      <c r="CQ481" s="16" t="n"/>
      <c r="CR481" s="20" t="n"/>
      <c r="CS481" s="20" t="inlineStr">
        <is>
          <t>None</t>
        </is>
      </c>
      <c r="CT481" s="17" t="n"/>
      <c r="CU481" s="16" t="n"/>
      <c r="CV481" s="20" t="n"/>
      <c r="CW481" s="20" t="inlineStr">
        <is>
          <t>None</t>
        </is>
      </c>
      <c r="CX481" s="17" t="n"/>
      <c r="CY481" s="16" t="n"/>
      <c r="CZ481" s="20" t="inlineStr">
        <is>
          <t>WTW Multimeter 3430 with FDO 925</t>
        </is>
      </c>
      <c r="DA481" s="20" t="inlineStr">
        <is>
          <t>None</t>
        </is>
      </c>
      <c r="DB481" s="17" t="n"/>
      <c r="DC481" s="16" t="n"/>
      <c r="DD481" s="20" t="n"/>
      <c r="DE481" s="20" t="inlineStr">
        <is>
          <t>None</t>
        </is>
      </c>
      <c r="DF481" s="17" t="n"/>
      <c r="DG481" s="16" t="n"/>
      <c r="DH481" s="20" t="inlineStr">
        <is>
          <t>SOP 45-09</t>
        </is>
      </c>
      <c r="DI481" s="20" t="inlineStr">
        <is>
          <t>None</t>
        </is>
      </c>
      <c r="DJ481" s="17" t="n"/>
      <c r="DK481" s="16" t="n"/>
      <c r="DL481" s="20" t="inlineStr">
        <is>
          <t>SOP 45-09 (SOP muss noch angepasst werden für VSS)</t>
        </is>
      </c>
      <c r="DM481" s="20" t="inlineStr">
        <is>
          <t>None</t>
        </is>
      </c>
      <c r="DN481" s="17" t="n"/>
      <c r="DO481" s="16" t="n"/>
      <c r="DP481" s="20" t="inlineStr">
        <is>
          <t>IC Organic Acids</t>
        </is>
      </c>
      <c r="DQ481" s="20" t="inlineStr">
        <is>
          <t>None</t>
        </is>
      </c>
      <c r="DR481" s="17" t="n"/>
      <c r="DS481" s="16" t="n"/>
      <c r="DT481" s="20" t="inlineStr">
        <is>
          <t>IC Organic Acids</t>
        </is>
      </c>
      <c r="DU481" s="20" t="inlineStr">
        <is>
          <t>None</t>
        </is>
      </c>
      <c r="DV481" s="17" t="n"/>
      <c r="DW481" s="16" t="n"/>
      <c r="DX481" s="20" t="inlineStr">
        <is>
          <t>IC Organic Acids</t>
        </is>
      </c>
      <c r="DY481" s="20" t="inlineStr">
        <is>
          <t>None</t>
        </is>
      </c>
      <c r="DZ481" s="17" t="n"/>
      <c r="EA481" s="16" t="n"/>
      <c r="EB481" s="20" t="inlineStr">
        <is>
          <t>IC Organic Acids</t>
        </is>
      </c>
      <c r="EC481" s="20" t="inlineStr">
        <is>
          <t>None</t>
        </is>
      </c>
      <c r="ED481" s="17" t="n"/>
      <c r="EE481" s="16" t="n"/>
      <c r="EF481" s="20" t="inlineStr">
        <is>
          <t>IC Organic Acids</t>
        </is>
      </c>
      <c r="EG481" s="20" t="inlineStr">
        <is>
          <t>None</t>
        </is>
      </c>
      <c r="EH481" s="17" t="n"/>
      <c r="EI481" s="16" t="n"/>
      <c r="EJ481" s="20" t="inlineStr">
        <is>
          <t>IC Organic Acids</t>
        </is>
      </c>
      <c r="EK481" s="20" t="inlineStr">
        <is>
          <t>None</t>
        </is>
      </c>
      <c r="EL481" s="17" t="n"/>
      <c r="EM481" s="16" t="n"/>
      <c r="EN481" s="20" t="inlineStr">
        <is>
          <t>IC Organic Acids</t>
        </is>
      </c>
      <c r="EO481" s="20" t="inlineStr">
        <is>
          <t>None</t>
        </is>
      </c>
      <c r="EP481" s="17" t="n"/>
      <c r="EQ481" s="16" t="n"/>
      <c r="ER481" s="20" t="inlineStr">
        <is>
          <t>IC Organic Acids</t>
        </is>
      </c>
      <c r="ES481" s="20" t="inlineStr">
        <is>
          <t>None</t>
        </is>
      </c>
      <c r="ET481" s="17" t="n"/>
      <c r="EU481" s="16" t="n"/>
      <c r="EV481" s="20" t="inlineStr">
        <is>
          <t>LC-MS</t>
        </is>
      </c>
      <c r="EW481" s="20" t="inlineStr">
        <is>
          <t>None</t>
        </is>
      </c>
      <c r="EX481" s="17" t="n"/>
      <c r="EY481" s="21" t="n"/>
      <c r="EZ481">
        <f>CONCATENATE(A481,B481)</f>
        <v/>
      </c>
      <c r="FA481">
        <f>CONCATENATE(SamplesX!A481,SamplesX!B481)</f>
        <v/>
      </c>
      <c r="FC481">
        <f>MATCH(EZ481,FA1:FA1008,0)</f>
        <v/>
      </c>
    </row>
    <row r="482">
      <c r="A482" s="16" t="n"/>
      <c r="B482" s="17" t="n"/>
      <c r="C482" s="10">
        <f>IF(ISNUMBER(FC482),INDIRECT("SamplesX!C"&amp;FC482),IF(ISNUMBER(FD482),INDIRECT("SamplesY!C"&amp;FD482),""))</f>
        <v/>
      </c>
      <c r="D482" s="12">
        <f>IF(ISNUMBER(FC482),INDIRECT("SamplesX!D"&amp;FC482),IF(ISNUMBER(FD482),INDIRECT("SamplesY!D"&amp;FD482),""))</f>
        <v/>
      </c>
      <c r="E482" s="12">
        <f>IF(ISNUMBER(FC482),INDIRECT("SamplesX!E"&amp;FC482),IF(ISNUMBER(FD482),INDIRECT("SamplesY!E"&amp;FD482),""))</f>
        <v/>
      </c>
      <c r="F482" s="11">
        <f>IF(ISNUMBER(FC482),INDIRECT("SamplesX!F"&amp;FC482),IF(ISNUMBER(FD482),INDIRECT("SamplesY!F"&amp;FD482),""))</f>
        <v/>
      </c>
      <c r="G482" s="18">
        <f>IF(ISNUMBER(FC482),INDIRECT("SamplesX!G"&amp;FC482),IF(ISNUMBER(FD482),INDIRECT("SamplesY!G"&amp;FD482),""))</f>
        <v/>
      </c>
      <c r="H482" s="19">
        <f>IF(ISNUMBER(FC482),INDIRECT("SamplesX!H"&amp;FC482),IF(ISNUMBER(FD482),INDIRECT("SamplesY!H"&amp;FD482),""))</f>
        <v/>
      </c>
      <c r="I482" s="16" t="n"/>
      <c r="J482" s="16" t="n"/>
      <c r="K482" s="16" t="n"/>
      <c r="L482" s="20" t="n"/>
      <c r="M482" s="20" t="inlineStr">
        <is>
          <t>None</t>
        </is>
      </c>
      <c r="N482" s="17" t="n"/>
      <c r="O482" s="16" t="n"/>
      <c r="P482" s="20" t="inlineStr">
        <is>
          <t>Shimadzu TOC-L</t>
        </is>
      </c>
      <c r="Q482" s="20" t="inlineStr">
        <is>
          <t>None</t>
        </is>
      </c>
      <c r="R482" s="17" t="n"/>
      <c r="S482" s="16" t="n"/>
      <c r="T482" s="20" t="inlineStr">
        <is>
          <t>Shimadzu TOC-L</t>
        </is>
      </c>
      <c r="U482" s="20" t="inlineStr">
        <is>
          <t>None</t>
        </is>
      </c>
      <c r="V482" s="17" t="n"/>
      <c r="W482" s="16" t="n"/>
      <c r="X482" s="20" t="n"/>
      <c r="Y482" s="20" t="inlineStr">
        <is>
          <t>None</t>
        </is>
      </c>
      <c r="Z482" s="17" t="n"/>
      <c r="AA482" s="16" t="n"/>
      <c r="AB482" s="20" t="n"/>
      <c r="AC482" s="20" t="inlineStr">
        <is>
          <t>None</t>
        </is>
      </c>
      <c r="AD482" s="17" t="n"/>
      <c r="AE482" s="16" t="n"/>
      <c r="AF482" s="20" t="inlineStr">
        <is>
          <t>IC Anionen</t>
        </is>
      </c>
      <c r="AG482" s="20" t="inlineStr">
        <is>
          <t>None</t>
        </is>
      </c>
      <c r="AH482" s="17" t="n"/>
      <c r="AI482" s="16" t="n"/>
      <c r="AJ482" s="20" t="n"/>
      <c r="AK482" s="20" t="inlineStr">
        <is>
          <t>None</t>
        </is>
      </c>
      <c r="AL482" s="17" t="n"/>
      <c r="AM482" s="16" t="n"/>
      <c r="AN482" s="20" t="inlineStr">
        <is>
          <t>IC Anionen</t>
        </is>
      </c>
      <c r="AO482" s="20" t="inlineStr">
        <is>
          <t>None</t>
        </is>
      </c>
      <c r="AP482" s="17" t="n"/>
      <c r="AQ482" s="16" t="n"/>
      <c r="AR482" s="20" t="n"/>
      <c r="AS482" s="20" t="inlineStr">
        <is>
          <t>None</t>
        </is>
      </c>
      <c r="AT482" s="17" t="n"/>
      <c r="AU482" s="16" t="n"/>
      <c r="AV482" s="20" t="n"/>
      <c r="AW482" s="20" t="inlineStr">
        <is>
          <t>None</t>
        </is>
      </c>
      <c r="AX482" s="17" t="n"/>
      <c r="AY482" s="16" t="n"/>
      <c r="AZ482" s="20" t="inlineStr">
        <is>
          <t>IC Anionen</t>
        </is>
      </c>
      <c r="BA482" s="20" t="inlineStr">
        <is>
          <t>None</t>
        </is>
      </c>
      <c r="BB482" s="17" t="n"/>
      <c r="BC482" s="16" t="n"/>
      <c r="BD482" s="20" t="inlineStr">
        <is>
          <t>IC Kationen</t>
        </is>
      </c>
      <c r="BE482" s="20" t="inlineStr">
        <is>
          <t>None</t>
        </is>
      </c>
      <c r="BF482" s="17" t="n"/>
      <c r="BG482" s="16" t="n"/>
      <c r="BH482" s="20" t="inlineStr">
        <is>
          <t>IC Kationen</t>
        </is>
      </c>
      <c r="BI482" s="20" t="inlineStr">
        <is>
          <t>None</t>
        </is>
      </c>
      <c r="BJ482" s="17" t="n"/>
      <c r="BK482" s="16" t="n"/>
      <c r="BL482" s="20" t="inlineStr">
        <is>
          <t>IC Kationen</t>
        </is>
      </c>
      <c r="BM482" s="20" t="inlineStr">
        <is>
          <t>None</t>
        </is>
      </c>
      <c r="BN482" s="17" t="n"/>
      <c r="BO482" s="16" t="n"/>
      <c r="BP482" s="20" t="inlineStr">
        <is>
          <t>IC Kationen</t>
        </is>
      </c>
      <c r="BQ482" s="20" t="inlineStr">
        <is>
          <t>None</t>
        </is>
      </c>
      <c r="BR482" s="17" t="n"/>
      <c r="BS482" s="16" t="n"/>
      <c r="BT482" s="20" t="inlineStr">
        <is>
          <t>IC Kationen</t>
        </is>
      </c>
      <c r="BU482" s="20" t="inlineStr">
        <is>
          <t>None</t>
        </is>
      </c>
      <c r="BV482" s="17" t="n"/>
      <c r="BW482" s="16" t="n"/>
      <c r="BX482" s="20" t="n"/>
      <c r="BY482" s="20" t="inlineStr">
        <is>
          <t>None</t>
        </is>
      </c>
      <c r="BZ482" s="17" t="n"/>
      <c r="CA482" s="16" t="n"/>
      <c r="CB482" s="20" t="n"/>
      <c r="CC482" s="20" t="inlineStr">
        <is>
          <t>None</t>
        </is>
      </c>
      <c r="CD482" s="17" t="n"/>
      <c r="CE482" s="16" t="n"/>
      <c r="CF482" s="20" t="n"/>
      <c r="CG482" s="20" t="inlineStr">
        <is>
          <t>None</t>
        </is>
      </c>
      <c r="CH482" s="17" t="n"/>
      <c r="CI482" s="16" t="n"/>
      <c r="CJ482" s="20" t="n"/>
      <c r="CK482" s="20" t="inlineStr">
        <is>
          <t>None</t>
        </is>
      </c>
      <c r="CL482" s="17" t="n"/>
      <c r="CM482" s="16" t="n"/>
      <c r="CN482" s="20" t="inlineStr">
        <is>
          <t>SOP 45-34</t>
        </is>
      </c>
      <c r="CO482" s="20" t="inlineStr">
        <is>
          <t>None</t>
        </is>
      </c>
      <c r="CP482" s="17" t="n"/>
      <c r="CQ482" s="16" t="n"/>
      <c r="CR482" s="20" t="n"/>
      <c r="CS482" s="20" t="inlineStr">
        <is>
          <t>None</t>
        </is>
      </c>
      <c r="CT482" s="17" t="n"/>
      <c r="CU482" s="16" t="n"/>
      <c r="CV482" s="20" t="n"/>
      <c r="CW482" s="20" t="inlineStr">
        <is>
          <t>None</t>
        </is>
      </c>
      <c r="CX482" s="17" t="n"/>
      <c r="CY482" s="16" t="n"/>
      <c r="CZ482" s="20" t="inlineStr">
        <is>
          <t>WTW Multimeter 3430 with FDO 925</t>
        </is>
      </c>
      <c r="DA482" s="20" t="inlineStr">
        <is>
          <t>None</t>
        </is>
      </c>
      <c r="DB482" s="17" t="n"/>
      <c r="DC482" s="16" t="n"/>
      <c r="DD482" s="20" t="n"/>
      <c r="DE482" s="20" t="inlineStr">
        <is>
          <t>None</t>
        </is>
      </c>
      <c r="DF482" s="17" t="n"/>
      <c r="DG482" s="16" t="n"/>
      <c r="DH482" s="20" t="inlineStr">
        <is>
          <t>SOP 45-09</t>
        </is>
      </c>
      <c r="DI482" s="20" t="inlineStr">
        <is>
          <t>None</t>
        </is>
      </c>
      <c r="DJ482" s="17" t="n"/>
      <c r="DK482" s="16" t="n"/>
      <c r="DL482" s="20" t="inlineStr">
        <is>
          <t>SOP 45-09 (SOP muss noch angepasst werden für VSS)</t>
        </is>
      </c>
      <c r="DM482" s="20" t="inlineStr">
        <is>
          <t>None</t>
        </is>
      </c>
      <c r="DN482" s="17" t="n"/>
      <c r="DO482" s="16" t="n"/>
      <c r="DP482" s="20" t="inlineStr">
        <is>
          <t>IC Organic Acids</t>
        </is>
      </c>
      <c r="DQ482" s="20" t="inlineStr">
        <is>
          <t>None</t>
        </is>
      </c>
      <c r="DR482" s="17" t="n"/>
      <c r="DS482" s="16" t="n"/>
      <c r="DT482" s="20" t="inlineStr">
        <is>
          <t>IC Organic Acids</t>
        </is>
      </c>
      <c r="DU482" s="20" t="inlineStr">
        <is>
          <t>None</t>
        </is>
      </c>
      <c r="DV482" s="17" t="n"/>
      <c r="DW482" s="16" t="n"/>
      <c r="DX482" s="20" t="inlineStr">
        <is>
          <t>IC Organic Acids</t>
        </is>
      </c>
      <c r="DY482" s="20" t="inlineStr">
        <is>
          <t>None</t>
        </is>
      </c>
      <c r="DZ482" s="17" t="n"/>
      <c r="EA482" s="16" t="n"/>
      <c r="EB482" s="20" t="inlineStr">
        <is>
          <t>IC Organic Acids</t>
        </is>
      </c>
      <c r="EC482" s="20" t="inlineStr">
        <is>
          <t>None</t>
        </is>
      </c>
      <c r="ED482" s="17" t="n"/>
      <c r="EE482" s="16" t="n"/>
      <c r="EF482" s="20" t="inlineStr">
        <is>
          <t>IC Organic Acids</t>
        </is>
      </c>
      <c r="EG482" s="20" t="inlineStr">
        <is>
          <t>None</t>
        </is>
      </c>
      <c r="EH482" s="17" t="n"/>
      <c r="EI482" s="16" t="n"/>
      <c r="EJ482" s="20" t="inlineStr">
        <is>
          <t>IC Organic Acids</t>
        </is>
      </c>
      <c r="EK482" s="20" t="inlineStr">
        <is>
          <t>None</t>
        </is>
      </c>
      <c r="EL482" s="17" t="n"/>
      <c r="EM482" s="16" t="n"/>
      <c r="EN482" s="20" t="inlineStr">
        <is>
          <t>IC Organic Acids</t>
        </is>
      </c>
      <c r="EO482" s="20" t="inlineStr">
        <is>
          <t>None</t>
        </is>
      </c>
      <c r="EP482" s="17" t="n"/>
      <c r="EQ482" s="16" t="n"/>
      <c r="ER482" s="20" t="inlineStr">
        <is>
          <t>IC Organic Acids</t>
        </is>
      </c>
      <c r="ES482" s="20" t="inlineStr">
        <is>
          <t>None</t>
        </is>
      </c>
      <c r="ET482" s="17" t="n"/>
      <c r="EU482" s="16" t="n"/>
      <c r="EV482" s="20" t="inlineStr">
        <is>
          <t>LC-MS</t>
        </is>
      </c>
      <c r="EW482" s="20" t="inlineStr">
        <is>
          <t>None</t>
        </is>
      </c>
      <c r="EX482" s="17" t="n"/>
      <c r="EY482" s="21" t="n"/>
      <c r="EZ482">
        <f>CONCATENATE(A482,B482)</f>
        <v/>
      </c>
      <c r="FA482">
        <f>CONCATENATE(SamplesX!A482,SamplesX!B482)</f>
        <v/>
      </c>
      <c r="FC482">
        <f>MATCH(EZ482,FA1:FA1008,0)</f>
        <v/>
      </c>
    </row>
    <row r="483">
      <c r="A483" s="16" t="n"/>
      <c r="B483" s="17" t="n"/>
      <c r="C483" s="10">
        <f>IF(ISNUMBER(FC483),INDIRECT("SamplesX!C"&amp;FC483),IF(ISNUMBER(FD483),INDIRECT("SamplesY!C"&amp;FD483),""))</f>
        <v/>
      </c>
      <c r="D483" s="12">
        <f>IF(ISNUMBER(FC483),INDIRECT("SamplesX!D"&amp;FC483),IF(ISNUMBER(FD483),INDIRECT("SamplesY!D"&amp;FD483),""))</f>
        <v/>
      </c>
      <c r="E483" s="12">
        <f>IF(ISNUMBER(FC483),INDIRECT("SamplesX!E"&amp;FC483),IF(ISNUMBER(FD483),INDIRECT("SamplesY!E"&amp;FD483),""))</f>
        <v/>
      </c>
      <c r="F483" s="11">
        <f>IF(ISNUMBER(FC483),INDIRECT("SamplesX!F"&amp;FC483),IF(ISNUMBER(FD483),INDIRECT("SamplesY!F"&amp;FD483),""))</f>
        <v/>
      </c>
      <c r="G483" s="18">
        <f>IF(ISNUMBER(FC483),INDIRECT("SamplesX!G"&amp;FC483),IF(ISNUMBER(FD483),INDIRECT("SamplesY!G"&amp;FD483),""))</f>
        <v/>
      </c>
      <c r="H483" s="19">
        <f>IF(ISNUMBER(FC483),INDIRECT("SamplesX!H"&amp;FC483),IF(ISNUMBER(FD483),INDIRECT("SamplesY!H"&amp;FD483),""))</f>
        <v/>
      </c>
      <c r="I483" s="16" t="n"/>
      <c r="J483" s="16" t="n"/>
      <c r="K483" s="16" t="n"/>
      <c r="L483" s="20" t="n"/>
      <c r="M483" s="20" t="inlineStr">
        <is>
          <t>None</t>
        </is>
      </c>
      <c r="N483" s="17" t="n"/>
      <c r="O483" s="16" t="n"/>
      <c r="P483" s="20" t="inlineStr">
        <is>
          <t>Shimadzu TOC-L</t>
        </is>
      </c>
      <c r="Q483" s="20" t="inlineStr">
        <is>
          <t>None</t>
        </is>
      </c>
      <c r="R483" s="17" t="n"/>
      <c r="S483" s="16" t="n"/>
      <c r="T483" s="20" t="inlineStr">
        <is>
          <t>Shimadzu TOC-L</t>
        </is>
      </c>
      <c r="U483" s="20" t="inlineStr">
        <is>
          <t>None</t>
        </is>
      </c>
      <c r="V483" s="17" t="n"/>
      <c r="W483" s="16" t="n"/>
      <c r="X483" s="20" t="n"/>
      <c r="Y483" s="20" t="inlineStr">
        <is>
          <t>None</t>
        </is>
      </c>
      <c r="Z483" s="17" t="n"/>
      <c r="AA483" s="16" t="n"/>
      <c r="AB483" s="20" t="n"/>
      <c r="AC483" s="20" t="inlineStr">
        <is>
          <t>None</t>
        </is>
      </c>
      <c r="AD483" s="17" t="n"/>
      <c r="AE483" s="16" t="n"/>
      <c r="AF483" s="20" t="inlineStr">
        <is>
          <t>IC Anionen</t>
        </is>
      </c>
      <c r="AG483" s="20" t="inlineStr">
        <is>
          <t>None</t>
        </is>
      </c>
      <c r="AH483" s="17" t="n"/>
      <c r="AI483" s="16" t="n"/>
      <c r="AJ483" s="20" t="n"/>
      <c r="AK483" s="20" t="inlineStr">
        <is>
          <t>None</t>
        </is>
      </c>
      <c r="AL483" s="17" t="n"/>
      <c r="AM483" s="16" t="n"/>
      <c r="AN483" s="20" t="inlineStr">
        <is>
          <t>IC Anionen</t>
        </is>
      </c>
      <c r="AO483" s="20" t="inlineStr">
        <is>
          <t>None</t>
        </is>
      </c>
      <c r="AP483" s="17" t="n"/>
      <c r="AQ483" s="16" t="n"/>
      <c r="AR483" s="20" t="n"/>
      <c r="AS483" s="20" t="inlineStr">
        <is>
          <t>None</t>
        </is>
      </c>
      <c r="AT483" s="17" t="n"/>
      <c r="AU483" s="16" t="n"/>
      <c r="AV483" s="20" t="n"/>
      <c r="AW483" s="20" t="inlineStr">
        <is>
          <t>None</t>
        </is>
      </c>
      <c r="AX483" s="17" t="n"/>
      <c r="AY483" s="16" t="n"/>
      <c r="AZ483" s="20" t="inlineStr">
        <is>
          <t>IC Anionen</t>
        </is>
      </c>
      <c r="BA483" s="20" t="inlineStr">
        <is>
          <t>None</t>
        </is>
      </c>
      <c r="BB483" s="17" t="n"/>
      <c r="BC483" s="16" t="n"/>
      <c r="BD483" s="20" t="inlineStr">
        <is>
          <t>IC Kationen</t>
        </is>
      </c>
      <c r="BE483" s="20" t="inlineStr">
        <is>
          <t>None</t>
        </is>
      </c>
      <c r="BF483" s="17" t="n"/>
      <c r="BG483" s="16" t="n"/>
      <c r="BH483" s="20" t="inlineStr">
        <is>
          <t>IC Kationen</t>
        </is>
      </c>
      <c r="BI483" s="20" t="inlineStr">
        <is>
          <t>None</t>
        </is>
      </c>
      <c r="BJ483" s="17" t="n"/>
      <c r="BK483" s="16" t="n"/>
      <c r="BL483" s="20" t="inlineStr">
        <is>
          <t>IC Kationen</t>
        </is>
      </c>
      <c r="BM483" s="20" t="inlineStr">
        <is>
          <t>None</t>
        </is>
      </c>
      <c r="BN483" s="17" t="n"/>
      <c r="BO483" s="16" t="n"/>
      <c r="BP483" s="20" t="inlineStr">
        <is>
          <t>IC Kationen</t>
        </is>
      </c>
      <c r="BQ483" s="20" t="inlineStr">
        <is>
          <t>None</t>
        </is>
      </c>
      <c r="BR483" s="17" t="n"/>
      <c r="BS483" s="16" t="n"/>
      <c r="BT483" s="20" t="inlineStr">
        <is>
          <t>IC Kationen</t>
        </is>
      </c>
      <c r="BU483" s="20" t="inlineStr">
        <is>
          <t>None</t>
        </is>
      </c>
      <c r="BV483" s="17" t="n"/>
      <c r="BW483" s="16" t="n"/>
      <c r="BX483" s="20" t="n"/>
      <c r="BY483" s="20" t="inlineStr">
        <is>
          <t>None</t>
        </is>
      </c>
      <c r="BZ483" s="17" t="n"/>
      <c r="CA483" s="16" t="n"/>
      <c r="CB483" s="20" t="n"/>
      <c r="CC483" s="20" t="inlineStr">
        <is>
          <t>None</t>
        </is>
      </c>
      <c r="CD483" s="17" t="n"/>
      <c r="CE483" s="16" t="n"/>
      <c r="CF483" s="20" t="n"/>
      <c r="CG483" s="20" t="inlineStr">
        <is>
          <t>None</t>
        </is>
      </c>
      <c r="CH483" s="17" t="n"/>
      <c r="CI483" s="16" t="n"/>
      <c r="CJ483" s="20" t="n"/>
      <c r="CK483" s="20" t="inlineStr">
        <is>
          <t>None</t>
        </is>
      </c>
      <c r="CL483" s="17" t="n"/>
      <c r="CM483" s="16" t="n"/>
      <c r="CN483" s="20" t="inlineStr">
        <is>
          <t>SOP 45-34</t>
        </is>
      </c>
      <c r="CO483" s="20" t="inlineStr">
        <is>
          <t>None</t>
        </is>
      </c>
      <c r="CP483" s="17" t="n"/>
      <c r="CQ483" s="16" t="n"/>
      <c r="CR483" s="20" t="n"/>
      <c r="CS483" s="20" t="inlineStr">
        <is>
          <t>None</t>
        </is>
      </c>
      <c r="CT483" s="17" t="n"/>
      <c r="CU483" s="16" t="n"/>
      <c r="CV483" s="20" t="n"/>
      <c r="CW483" s="20" t="inlineStr">
        <is>
          <t>None</t>
        </is>
      </c>
      <c r="CX483" s="17" t="n"/>
      <c r="CY483" s="16" t="n"/>
      <c r="CZ483" s="20" t="inlineStr">
        <is>
          <t>WTW Multimeter 3430 with FDO 925</t>
        </is>
      </c>
      <c r="DA483" s="20" t="inlineStr">
        <is>
          <t>None</t>
        </is>
      </c>
      <c r="DB483" s="17" t="n"/>
      <c r="DC483" s="16" t="n"/>
      <c r="DD483" s="20" t="n"/>
      <c r="DE483" s="20" t="inlineStr">
        <is>
          <t>None</t>
        </is>
      </c>
      <c r="DF483" s="17" t="n"/>
      <c r="DG483" s="16" t="n"/>
      <c r="DH483" s="20" t="inlineStr">
        <is>
          <t>SOP 45-09</t>
        </is>
      </c>
      <c r="DI483" s="20" t="inlineStr">
        <is>
          <t>None</t>
        </is>
      </c>
      <c r="DJ483" s="17" t="n"/>
      <c r="DK483" s="16" t="n"/>
      <c r="DL483" s="20" t="inlineStr">
        <is>
          <t>SOP 45-09 (SOP muss noch angepasst werden für VSS)</t>
        </is>
      </c>
      <c r="DM483" s="20" t="inlineStr">
        <is>
          <t>None</t>
        </is>
      </c>
      <c r="DN483" s="17" t="n"/>
      <c r="DO483" s="16" t="n"/>
      <c r="DP483" s="20" t="inlineStr">
        <is>
          <t>IC Organic Acids</t>
        </is>
      </c>
      <c r="DQ483" s="20" t="inlineStr">
        <is>
          <t>None</t>
        </is>
      </c>
      <c r="DR483" s="17" t="n"/>
      <c r="DS483" s="16" t="n"/>
      <c r="DT483" s="20" t="inlineStr">
        <is>
          <t>IC Organic Acids</t>
        </is>
      </c>
      <c r="DU483" s="20" t="inlineStr">
        <is>
          <t>None</t>
        </is>
      </c>
      <c r="DV483" s="17" t="n"/>
      <c r="DW483" s="16" t="n"/>
      <c r="DX483" s="20" t="inlineStr">
        <is>
          <t>IC Organic Acids</t>
        </is>
      </c>
      <c r="DY483" s="20" t="inlineStr">
        <is>
          <t>None</t>
        </is>
      </c>
      <c r="DZ483" s="17" t="n"/>
      <c r="EA483" s="16" t="n"/>
      <c r="EB483" s="20" t="inlineStr">
        <is>
          <t>IC Organic Acids</t>
        </is>
      </c>
      <c r="EC483" s="20" t="inlineStr">
        <is>
          <t>None</t>
        </is>
      </c>
      <c r="ED483" s="17" t="n"/>
      <c r="EE483" s="16" t="n"/>
      <c r="EF483" s="20" t="inlineStr">
        <is>
          <t>IC Organic Acids</t>
        </is>
      </c>
      <c r="EG483" s="20" t="inlineStr">
        <is>
          <t>None</t>
        </is>
      </c>
      <c r="EH483" s="17" t="n"/>
      <c r="EI483" s="16" t="n"/>
      <c r="EJ483" s="20" t="inlineStr">
        <is>
          <t>IC Organic Acids</t>
        </is>
      </c>
      <c r="EK483" s="20" t="inlineStr">
        <is>
          <t>None</t>
        </is>
      </c>
      <c r="EL483" s="17" t="n"/>
      <c r="EM483" s="16" t="n"/>
      <c r="EN483" s="20" t="inlineStr">
        <is>
          <t>IC Organic Acids</t>
        </is>
      </c>
      <c r="EO483" s="20" t="inlineStr">
        <is>
          <t>None</t>
        </is>
      </c>
      <c r="EP483" s="17" t="n"/>
      <c r="EQ483" s="16" t="n"/>
      <c r="ER483" s="20" t="inlineStr">
        <is>
          <t>IC Organic Acids</t>
        </is>
      </c>
      <c r="ES483" s="20" t="inlineStr">
        <is>
          <t>None</t>
        </is>
      </c>
      <c r="ET483" s="17" t="n"/>
      <c r="EU483" s="16" t="n"/>
      <c r="EV483" s="20" t="inlineStr">
        <is>
          <t>LC-MS</t>
        </is>
      </c>
      <c r="EW483" s="20" t="inlineStr">
        <is>
          <t>None</t>
        </is>
      </c>
      <c r="EX483" s="17" t="n"/>
      <c r="EY483" s="21" t="n"/>
      <c r="EZ483">
        <f>CONCATENATE(A483,B483)</f>
        <v/>
      </c>
      <c r="FA483">
        <f>CONCATENATE(SamplesX!A483,SamplesX!B483)</f>
        <v/>
      </c>
      <c r="FC483">
        <f>MATCH(EZ483,FA1:FA1008,0)</f>
        <v/>
      </c>
    </row>
    <row r="484">
      <c r="A484" s="16" t="n"/>
      <c r="B484" s="17" t="n"/>
      <c r="C484" s="10">
        <f>IF(ISNUMBER(FC484),INDIRECT("SamplesX!C"&amp;FC484),IF(ISNUMBER(FD484),INDIRECT("SamplesY!C"&amp;FD484),""))</f>
        <v/>
      </c>
      <c r="D484" s="12">
        <f>IF(ISNUMBER(FC484),INDIRECT("SamplesX!D"&amp;FC484),IF(ISNUMBER(FD484),INDIRECT("SamplesY!D"&amp;FD484),""))</f>
        <v/>
      </c>
      <c r="E484" s="12">
        <f>IF(ISNUMBER(FC484),INDIRECT("SamplesX!E"&amp;FC484),IF(ISNUMBER(FD484),INDIRECT("SamplesY!E"&amp;FD484),""))</f>
        <v/>
      </c>
      <c r="F484" s="11">
        <f>IF(ISNUMBER(FC484),INDIRECT("SamplesX!F"&amp;FC484),IF(ISNUMBER(FD484),INDIRECT("SamplesY!F"&amp;FD484),""))</f>
        <v/>
      </c>
      <c r="G484" s="18">
        <f>IF(ISNUMBER(FC484),INDIRECT("SamplesX!G"&amp;FC484),IF(ISNUMBER(FD484),INDIRECT("SamplesY!G"&amp;FD484),""))</f>
        <v/>
      </c>
      <c r="H484" s="19">
        <f>IF(ISNUMBER(FC484),INDIRECT("SamplesX!H"&amp;FC484),IF(ISNUMBER(FD484),INDIRECT("SamplesY!H"&amp;FD484),""))</f>
        <v/>
      </c>
      <c r="I484" s="16" t="n"/>
      <c r="J484" s="16" t="n"/>
      <c r="K484" s="16" t="n"/>
      <c r="L484" s="20" t="n"/>
      <c r="M484" s="20" t="inlineStr">
        <is>
          <t>None</t>
        </is>
      </c>
      <c r="N484" s="17" t="n"/>
      <c r="O484" s="16" t="n"/>
      <c r="P484" s="20" t="inlineStr">
        <is>
          <t>Shimadzu TOC-L</t>
        </is>
      </c>
      <c r="Q484" s="20" t="inlineStr">
        <is>
          <t>None</t>
        </is>
      </c>
      <c r="R484" s="17" t="n"/>
      <c r="S484" s="16" t="n"/>
      <c r="T484" s="20" t="inlineStr">
        <is>
          <t>Shimadzu TOC-L</t>
        </is>
      </c>
      <c r="U484" s="20" t="inlineStr">
        <is>
          <t>None</t>
        </is>
      </c>
      <c r="V484" s="17" t="n"/>
      <c r="W484" s="16" t="n"/>
      <c r="X484" s="20" t="n"/>
      <c r="Y484" s="20" t="inlineStr">
        <is>
          <t>None</t>
        </is>
      </c>
      <c r="Z484" s="17" t="n"/>
      <c r="AA484" s="16" t="n"/>
      <c r="AB484" s="20" t="n"/>
      <c r="AC484" s="20" t="inlineStr">
        <is>
          <t>None</t>
        </is>
      </c>
      <c r="AD484" s="17" t="n"/>
      <c r="AE484" s="16" t="n"/>
      <c r="AF484" s="20" t="inlineStr">
        <is>
          <t>IC Anionen</t>
        </is>
      </c>
      <c r="AG484" s="20" t="inlineStr">
        <is>
          <t>None</t>
        </is>
      </c>
      <c r="AH484" s="17" t="n"/>
      <c r="AI484" s="16" t="n"/>
      <c r="AJ484" s="20" t="n"/>
      <c r="AK484" s="20" t="inlineStr">
        <is>
          <t>None</t>
        </is>
      </c>
      <c r="AL484" s="17" t="n"/>
      <c r="AM484" s="16" t="n"/>
      <c r="AN484" s="20" t="inlineStr">
        <is>
          <t>IC Anionen</t>
        </is>
      </c>
      <c r="AO484" s="20" t="inlineStr">
        <is>
          <t>None</t>
        </is>
      </c>
      <c r="AP484" s="17" t="n"/>
      <c r="AQ484" s="16" t="n"/>
      <c r="AR484" s="20" t="n"/>
      <c r="AS484" s="20" t="inlineStr">
        <is>
          <t>None</t>
        </is>
      </c>
      <c r="AT484" s="17" t="n"/>
      <c r="AU484" s="16" t="n"/>
      <c r="AV484" s="20" t="n"/>
      <c r="AW484" s="20" t="inlineStr">
        <is>
          <t>None</t>
        </is>
      </c>
      <c r="AX484" s="17" t="n"/>
      <c r="AY484" s="16" t="n"/>
      <c r="AZ484" s="20" t="inlineStr">
        <is>
          <t>IC Anionen</t>
        </is>
      </c>
      <c r="BA484" s="20" t="inlineStr">
        <is>
          <t>None</t>
        </is>
      </c>
      <c r="BB484" s="17" t="n"/>
      <c r="BC484" s="16" t="n"/>
      <c r="BD484" s="20" t="inlineStr">
        <is>
          <t>IC Kationen</t>
        </is>
      </c>
      <c r="BE484" s="20" t="inlineStr">
        <is>
          <t>None</t>
        </is>
      </c>
      <c r="BF484" s="17" t="n"/>
      <c r="BG484" s="16" t="n"/>
      <c r="BH484" s="20" t="inlineStr">
        <is>
          <t>IC Kationen</t>
        </is>
      </c>
      <c r="BI484" s="20" t="inlineStr">
        <is>
          <t>None</t>
        </is>
      </c>
      <c r="BJ484" s="17" t="n"/>
      <c r="BK484" s="16" t="n"/>
      <c r="BL484" s="20" t="inlineStr">
        <is>
          <t>IC Kationen</t>
        </is>
      </c>
      <c r="BM484" s="20" t="inlineStr">
        <is>
          <t>None</t>
        </is>
      </c>
      <c r="BN484" s="17" t="n"/>
      <c r="BO484" s="16" t="n"/>
      <c r="BP484" s="20" t="inlineStr">
        <is>
          <t>IC Kationen</t>
        </is>
      </c>
      <c r="BQ484" s="20" t="inlineStr">
        <is>
          <t>None</t>
        </is>
      </c>
      <c r="BR484" s="17" t="n"/>
      <c r="BS484" s="16" t="n"/>
      <c r="BT484" s="20" t="inlineStr">
        <is>
          <t>IC Kationen</t>
        </is>
      </c>
      <c r="BU484" s="20" t="inlineStr">
        <is>
          <t>None</t>
        </is>
      </c>
      <c r="BV484" s="17" t="n"/>
      <c r="BW484" s="16" t="n"/>
      <c r="BX484" s="20" t="n"/>
      <c r="BY484" s="20" t="inlineStr">
        <is>
          <t>None</t>
        </is>
      </c>
      <c r="BZ484" s="17" t="n"/>
      <c r="CA484" s="16" t="n"/>
      <c r="CB484" s="20" t="n"/>
      <c r="CC484" s="20" t="inlineStr">
        <is>
          <t>None</t>
        </is>
      </c>
      <c r="CD484" s="17" t="n"/>
      <c r="CE484" s="16" t="n"/>
      <c r="CF484" s="20" t="n"/>
      <c r="CG484" s="20" t="inlineStr">
        <is>
          <t>None</t>
        </is>
      </c>
      <c r="CH484" s="17" t="n"/>
      <c r="CI484" s="16" t="n"/>
      <c r="CJ484" s="20" t="n"/>
      <c r="CK484" s="20" t="inlineStr">
        <is>
          <t>None</t>
        </is>
      </c>
      <c r="CL484" s="17" t="n"/>
      <c r="CM484" s="16" t="n"/>
      <c r="CN484" s="20" t="inlineStr">
        <is>
          <t>SOP 45-34</t>
        </is>
      </c>
      <c r="CO484" s="20" t="inlineStr">
        <is>
          <t>None</t>
        </is>
      </c>
      <c r="CP484" s="17" t="n"/>
      <c r="CQ484" s="16" t="n"/>
      <c r="CR484" s="20" t="n"/>
      <c r="CS484" s="20" t="inlineStr">
        <is>
          <t>None</t>
        </is>
      </c>
      <c r="CT484" s="17" t="n"/>
      <c r="CU484" s="16" t="n"/>
      <c r="CV484" s="20" t="n"/>
      <c r="CW484" s="20" t="inlineStr">
        <is>
          <t>None</t>
        </is>
      </c>
      <c r="CX484" s="17" t="n"/>
      <c r="CY484" s="16" t="n"/>
      <c r="CZ484" s="20" t="inlineStr">
        <is>
          <t>WTW Multimeter 3430 with FDO 925</t>
        </is>
      </c>
      <c r="DA484" s="20" t="inlineStr">
        <is>
          <t>None</t>
        </is>
      </c>
      <c r="DB484" s="17" t="n"/>
      <c r="DC484" s="16" t="n"/>
      <c r="DD484" s="20" t="n"/>
      <c r="DE484" s="20" t="inlineStr">
        <is>
          <t>None</t>
        </is>
      </c>
      <c r="DF484" s="17" t="n"/>
      <c r="DG484" s="16" t="n"/>
      <c r="DH484" s="20" t="inlineStr">
        <is>
          <t>SOP 45-09</t>
        </is>
      </c>
      <c r="DI484" s="20" t="inlineStr">
        <is>
          <t>None</t>
        </is>
      </c>
      <c r="DJ484" s="17" t="n"/>
      <c r="DK484" s="16" t="n"/>
      <c r="DL484" s="20" t="inlineStr">
        <is>
          <t>SOP 45-09 (SOP muss noch angepasst werden für VSS)</t>
        </is>
      </c>
      <c r="DM484" s="20" t="inlineStr">
        <is>
          <t>None</t>
        </is>
      </c>
      <c r="DN484" s="17" t="n"/>
      <c r="DO484" s="16" t="n"/>
      <c r="DP484" s="20" t="inlineStr">
        <is>
          <t>IC Organic Acids</t>
        </is>
      </c>
      <c r="DQ484" s="20" t="inlineStr">
        <is>
          <t>None</t>
        </is>
      </c>
      <c r="DR484" s="17" t="n"/>
      <c r="DS484" s="16" t="n"/>
      <c r="DT484" s="20" t="inlineStr">
        <is>
          <t>IC Organic Acids</t>
        </is>
      </c>
      <c r="DU484" s="20" t="inlineStr">
        <is>
          <t>None</t>
        </is>
      </c>
      <c r="DV484" s="17" t="n"/>
      <c r="DW484" s="16" t="n"/>
      <c r="DX484" s="20" t="inlineStr">
        <is>
          <t>IC Organic Acids</t>
        </is>
      </c>
      <c r="DY484" s="20" t="inlineStr">
        <is>
          <t>None</t>
        </is>
      </c>
      <c r="DZ484" s="17" t="n"/>
      <c r="EA484" s="16" t="n"/>
      <c r="EB484" s="20" t="inlineStr">
        <is>
          <t>IC Organic Acids</t>
        </is>
      </c>
      <c r="EC484" s="20" t="inlineStr">
        <is>
          <t>None</t>
        </is>
      </c>
      <c r="ED484" s="17" t="n"/>
      <c r="EE484" s="16" t="n"/>
      <c r="EF484" s="20" t="inlineStr">
        <is>
          <t>IC Organic Acids</t>
        </is>
      </c>
      <c r="EG484" s="20" t="inlineStr">
        <is>
          <t>None</t>
        </is>
      </c>
      <c r="EH484" s="17" t="n"/>
      <c r="EI484" s="16" t="n"/>
      <c r="EJ484" s="20" t="inlineStr">
        <is>
          <t>IC Organic Acids</t>
        </is>
      </c>
      <c r="EK484" s="20" t="inlineStr">
        <is>
          <t>None</t>
        </is>
      </c>
      <c r="EL484" s="17" t="n"/>
      <c r="EM484" s="16" t="n"/>
      <c r="EN484" s="20" t="inlineStr">
        <is>
          <t>IC Organic Acids</t>
        </is>
      </c>
      <c r="EO484" s="20" t="inlineStr">
        <is>
          <t>None</t>
        </is>
      </c>
      <c r="EP484" s="17" t="n"/>
      <c r="EQ484" s="16" t="n"/>
      <c r="ER484" s="20" t="inlineStr">
        <is>
          <t>IC Organic Acids</t>
        </is>
      </c>
      <c r="ES484" s="20" t="inlineStr">
        <is>
          <t>None</t>
        </is>
      </c>
      <c r="ET484" s="17" t="n"/>
      <c r="EU484" s="16" t="n"/>
      <c r="EV484" s="20" t="inlineStr">
        <is>
          <t>LC-MS</t>
        </is>
      </c>
      <c r="EW484" s="20" t="inlineStr">
        <is>
          <t>None</t>
        </is>
      </c>
      <c r="EX484" s="17" t="n"/>
      <c r="EY484" s="21" t="n"/>
      <c r="EZ484">
        <f>CONCATENATE(A484,B484)</f>
        <v/>
      </c>
      <c r="FA484">
        <f>CONCATENATE(SamplesX!A484,SamplesX!B484)</f>
        <v/>
      </c>
      <c r="FC484">
        <f>MATCH(EZ484,FA1:FA1008,0)</f>
        <v/>
      </c>
    </row>
    <row r="485">
      <c r="A485" s="16" t="n"/>
      <c r="B485" s="17" t="n"/>
      <c r="C485" s="10">
        <f>IF(ISNUMBER(FC485),INDIRECT("SamplesX!C"&amp;FC485),IF(ISNUMBER(FD485),INDIRECT("SamplesY!C"&amp;FD485),""))</f>
        <v/>
      </c>
      <c r="D485" s="12">
        <f>IF(ISNUMBER(FC485),INDIRECT("SamplesX!D"&amp;FC485),IF(ISNUMBER(FD485),INDIRECT("SamplesY!D"&amp;FD485),""))</f>
        <v/>
      </c>
      <c r="E485" s="12">
        <f>IF(ISNUMBER(FC485),INDIRECT("SamplesX!E"&amp;FC485),IF(ISNUMBER(FD485),INDIRECT("SamplesY!E"&amp;FD485),""))</f>
        <v/>
      </c>
      <c r="F485" s="11">
        <f>IF(ISNUMBER(FC485),INDIRECT("SamplesX!F"&amp;FC485),IF(ISNUMBER(FD485),INDIRECT("SamplesY!F"&amp;FD485),""))</f>
        <v/>
      </c>
      <c r="G485" s="18">
        <f>IF(ISNUMBER(FC485),INDIRECT("SamplesX!G"&amp;FC485),IF(ISNUMBER(FD485),INDIRECT("SamplesY!G"&amp;FD485),""))</f>
        <v/>
      </c>
      <c r="H485" s="19">
        <f>IF(ISNUMBER(FC485),INDIRECT("SamplesX!H"&amp;FC485),IF(ISNUMBER(FD485),INDIRECT("SamplesY!H"&amp;FD485),""))</f>
        <v/>
      </c>
      <c r="I485" s="16" t="n"/>
      <c r="J485" s="16" t="n"/>
      <c r="K485" s="16" t="n"/>
      <c r="L485" s="20" t="n"/>
      <c r="M485" s="20" t="inlineStr">
        <is>
          <t>None</t>
        </is>
      </c>
      <c r="N485" s="17" t="n"/>
      <c r="O485" s="16" t="n"/>
      <c r="P485" s="20" t="inlineStr">
        <is>
          <t>Shimadzu TOC-L</t>
        </is>
      </c>
      <c r="Q485" s="20" t="inlineStr">
        <is>
          <t>None</t>
        </is>
      </c>
      <c r="R485" s="17" t="n"/>
      <c r="S485" s="16" t="n"/>
      <c r="T485" s="20" t="inlineStr">
        <is>
          <t>Shimadzu TOC-L</t>
        </is>
      </c>
      <c r="U485" s="20" t="inlineStr">
        <is>
          <t>None</t>
        </is>
      </c>
      <c r="V485" s="17" t="n"/>
      <c r="W485" s="16" t="n"/>
      <c r="X485" s="20" t="n"/>
      <c r="Y485" s="20" t="inlineStr">
        <is>
          <t>None</t>
        </is>
      </c>
      <c r="Z485" s="17" t="n"/>
      <c r="AA485" s="16" t="n"/>
      <c r="AB485" s="20" t="n"/>
      <c r="AC485" s="20" t="inlineStr">
        <is>
          <t>None</t>
        </is>
      </c>
      <c r="AD485" s="17" t="n"/>
      <c r="AE485" s="16" t="n"/>
      <c r="AF485" s="20" t="inlineStr">
        <is>
          <t>IC Anionen</t>
        </is>
      </c>
      <c r="AG485" s="20" t="inlineStr">
        <is>
          <t>None</t>
        </is>
      </c>
      <c r="AH485" s="17" t="n"/>
      <c r="AI485" s="16" t="n"/>
      <c r="AJ485" s="20" t="n"/>
      <c r="AK485" s="20" t="inlineStr">
        <is>
          <t>None</t>
        </is>
      </c>
      <c r="AL485" s="17" t="n"/>
      <c r="AM485" s="16" t="n"/>
      <c r="AN485" s="20" t="inlineStr">
        <is>
          <t>IC Anionen</t>
        </is>
      </c>
      <c r="AO485" s="20" t="inlineStr">
        <is>
          <t>None</t>
        </is>
      </c>
      <c r="AP485" s="17" t="n"/>
      <c r="AQ485" s="16" t="n"/>
      <c r="AR485" s="20" t="n"/>
      <c r="AS485" s="20" t="inlineStr">
        <is>
          <t>None</t>
        </is>
      </c>
      <c r="AT485" s="17" t="n"/>
      <c r="AU485" s="16" t="n"/>
      <c r="AV485" s="20" t="n"/>
      <c r="AW485" s="20" t="inlineStr">
        <is>
          <t>None</t>
        </is>
      </c>
      <c r="AX485" s="17" t="n"/>
      <c r="AY485" s="16" t="n"/>
      <c r="AZ485" s="20" t="inlineStr">
        <is>
          <t>IC Anionen</t>
        </is>
      </c>
      <c r="BA485" s="20" t="inlineStr">
        <is>
          <t>None</t>
        </is>
      </c>
      <c r="BB485" s="17" t="n"/>
      <c r="BC485" s="16" t="n"/>
      <c r="BD485" s="20" t="inlineStr">
        <is>
          <t>IC Kationen</t>
        </is>
      </c>
      <c r="BE485" s="20" t="inlineStr">
        <is>
          <t>None</t>
        </is>
      </c>
      <c r="BF485" s="17" t="n"/>
      <c r="BG485" s="16" t="n"/>
      <c r="BH485" s="20" t="inlineStr">
        <is>
          <t>IC Kationen</t>
        </is>
      </c>
      <c r="BI485" s="20" t="inlineStr">
        <is>
          <t>None</t>
        </is>
      </c>
      <c r="BJ485" s="17" t="n"/>
      <c r="BK485" s="16" t="n"/>
      <c r="BL485" s="20" t="inlineStr">
        <is>
          <t>IC Kationen</t>
        </is>
      </c>
      <c r="BM485" s="20" t="inlineStr">
        <is>
          <t>None</t>
        </is>
      </c>
      <c r="BN485" s="17" t="n"/>
      <c r="BO485" s="16" t="n"/>
      <c r="BP485" s="20" t="inlineStr">
        <is>
          <t>IC Kationen</t>
        </is>
      </c>
      <c r="BQ485" s="20" t="inlineStr">
        <is>
          <t>None</t>
        </is>
      </c>
      <c r="BR485" s="17" t="n"/>
      <c r="BS485" s="16" t="n"/>
      <c r="BT485" s="20" t="inlineStr">
        <is>
          <t>IC Kationen</t>
        </is>
      </c>
      <c r="BU485" s="20" t="inlineStr">
        <is>
          <t>None</t>
        </is>
      </c>
      <c r="BV485" s="17" t="n"/>
      <c r="BW485" s="16" t="n"/>
      <c r="BX485" s="20" t="n"/>
      <c r="BY485" s="20" t="inlineStr">
        <is>
          <t>None</t>
        </is>
      </c>
      <c r="BZ485" s="17" t="n"/>
      <c r="CA485" s="16" t="n"/>
      <c r="CB485" s="20" t="n"/>
      <c r="CC485" s="20" t="inlineStr">
        <is>
          <t>None</t>
        </is>
      </c>
      <c r="CD485" s="17" t="n"/>
      <c r="CE485" s="16" t="n"/>
      <c r="CF485" s="20" t="n"/>
      <c r="CG485" s="20" t="inlineStr">
        <is>
          <t>None</t>
        </is>
      </c>
      <c r="CH485" s="17" t="n"/>
      <c r="CI485" s="16" t="n"/>
      <c r="CJ485" s="20" t="n"/>
      <c r="CK485" s="20" t="inlineStr">
        <is>
          <t>None</t>
        </is>
      </c>
      <c r="CL485" s="17" t="n"/>
      <c r="CM485" s="16" t="n"/>
      <c r="CN485" s="20" t="inlineStr">
        <is>
          <t>SOP 45-34</t>
        </is>
      </c>
      <c r="CO485" s="20" t="inlineStr">
        <is>
          <t>None</t>
        </is>
      </c>
      <c r="CP485" s="17" t="n"/>
      <c r="CQ485" s="16" t="n"/>
      <c r="CR485" s="20" t="n"/>
      <c r="CS485" s="20" t="inlineStr">
        <is>
          <t>None</t>
        </is>
      </c>
      <c r="CT485" s="17" t="n"/>
      <c r="CU485" s="16" t="n"/>
      <c r="CV485" s="20" t="n"/>
      <c r="CW485" s="20" t="inlineStr">
        <is>
          <t>None</t>
        </is>
      </c>
      <c r="CX485" s="17" t="n"/>
      <c r="CY485" s="16" t="n"/>
      <c r="CZ485" s="20" t="inlineStr">
        <is>
          <t>WTW Multimeter 3430 with FDO 925</t>
        </is>
      </c>
      <c r="DA485" s="20" t="inlineStr">
        <is>
          <t>None</t>
        </is>
      </c>
      <c r="DB485" s="17" t="n"/>
      <c r="DC485" s="16" t="n"/>
      <c r="DD485" s="20" t="n"/>
      <c r="DE485" s="20" t="inlineStr">
        <is>
          <t>None</t>
        </is>
      </c>
      <c r="DF485" s="17" t="n"/>
      <c r="DG485" s="16" t="n"/>
      <c r="DH485" s="20" t="inlineStr">
        <is>
          <t>SOP 45-09</t>
        </is>
      </c>
      <c r="DI485" s="20" t="inlineStr">
        <is>
          <t>None</t>
        </is>
      </c>
      <c r="DJ485" s="17" t="n"/>
      <c r="DK485" s="16" t="n"/>
      <c r="DL485" s="20" t="inlineStr">
        <is>
          <t>SOP 45-09 (SOP muss noch angepasst werden für VSS)</t>
        </is>
      </c>
      <c r="DM485" s="20" t="inlineStr">
        <is>
          <t>None</t>
        </is>
      </c>
      <c r="DN485" s="17" t="n"/>
      <c r="DO485" s="16" t="n"/>
      <c r="DP485" s="20" t="inlineStr">
        <is>
          <t>IC Organic Acids</t>
        </is>
      </c>
      <c r="DQ485" s="20" t="inlineStr">
        <is>
          <t>None</t>
        </is>
      </c>
      <c r="DR485" s="17" t="n"/>
      <c r="DS485" s="16" t="n"/>
      <c r="DT485" s="20" t="inlineStr">
        <is>
          <t>IC Organic Acids</t>
        </is>
      </c>
      <c r="DU485" s="20" t="inlineStr">
        <is>
          <t>None</t>
        </is>
      </c>
      <c r="DV485" s="17" t="n"/>
      <c r="DW485" s="16" t="n"/>
      <c r="DX485" s="20" t="inlineStr">
        <is>
          <t>IC Organic Acids</t>
        </is>
      </c>
      <c r="DY485" s="20" t="inlineStr">
        <is>
          <t>None</t>
        </is>
      </c>
      <c r="DZ485" s="17" t="n"/>
      <c r="EA485" s="16" t="n"/>
      <c r="EB485" s="20" t="inlineStr">
        <is>
          <t>IC Organic Acids</t>
        </is>
      </c>
      <c r="EC485" s="20" t="inlineStr">
        <is>
          <t>None</t>
        </is>
      </c>
      <c r="ED485" s="17" t="n"/>
      <c r="EE485" s="16" t="n"/>
      <c r="EF485" s="20" t="inlineStr">
        <is>
          <t>IC Organic Acids</t>
        </is>
      </c>
      <c r="EG485" s="20" t="inlineStr">
        <is>
          <t>None</t>
        </is>
      </c>
      <c r="EH485" s="17" t="n"/>
      <c r="EI485" s="16" t="n"/>
      <c r="EJ485" s="20" t="inlineStr">
        <is>
          <t>IC Organic Acids</t>
        </is>
      </c>
      <c r="EK485" s="20" t="inlineStr">
        <is>
          <t>None</t>
        </is>
      </c>
      <c r="EL485" s="17" t="n"/>
      <c r="EM485" s="16" t="n"/>
      <c r="EN485" s="20" t="inlineStr">
        <is>
          <t>IC Organic Acids</t>
        </is>
      </c>
      <c r="EO485" s="20" t="inlineStr">
        <is>
          <t>None</t>
        </is>
      </c>
      <c r="EP485" s="17" t="n"/>
      <c r="EQ485" s="16" t="n"/>
      <c r="ER485" s="20" t="inlineStr">
        <is>
          <t>IC Organic Acids</t>
        </is>
      </c>
      <c r="ES485" s="20" t="inlineStr">
        <is>
          <t>None</t>
        </is>
      </c>
      <c r="ET485" s="17" t="n"/>
      <c r="EU485" s="16" t="n"/>
      <c r="EV485" s="20" t="inlineStr">
        <is>
          <t>LC-MS</t>
        </is>
      </c>
      <c r="EW485" s="20" t="inlineStr">
        <is>
          <t>None</t>
        </is>
      </c>
      <c r="EX485" s="17" t="n"/>
      <c r="EY485" s="21" t="n"/>
      <c r="EZ485">
        <f>CONCATENATE(A485,B485)</f>
        <v/>
      </c>
      <c r="FA485">
        <f>CONCATENATE(SamplesX!A485,SamplesX!B485)</f>
        <v/>
      </c>
      <c r="FC485">
        <f>MATCH(EZ485,FA1:FA1008,0)</f>
        <v/>
      </c>
    </row>
    <row r="486">
      <c r="A486" s="16" t="n"/>
      <c r="B486" s="17" t="n"/>
      <c r="C486" s="10">
        <f>IF(ISNUMBER(FC486),INDIRECT("SamplesX!C"&amp;FC486),IF(ISNUMBER(FD486),INDIRECT("SamplesY!C"&amp;FD486),""))</f>
        <v/>
      </c>
      <c r="D486" s="12">
        <f>IF(ISNUMBER(FC486),INDIRECT("SamplesX!D"&amp;FC486),IF(ISNUMBER(FD486),INDIRECT("SamplesY!D"&amp;FD486),""))</f>
        <v/>
      </c>
      <c r="E486" s="12">
        <f>IF(ISNUMBER(FC486),INDIRECT("SamplesX!E"&amp;FC486),IF(ISNUMBER(FD486),INDIRECT("SamplesY!E"&amp;FD486),""))</f>
        <v/>
      </c>
      <c r="F486" s="11">
        <f>IF(ISNUMBER(FC486),INDIRECT("SamplesX!F"&amp;FC486),IF(ISNUMBER(FD486),INDIRECT("SamplesY!F"&amp;FD486),""))</f>
        <v/>
      </c>
      <c r="G486" s="18">
        <f>IF(ISNUMBER(FC486),INDIRECT("SamplesX!G"&amp;FC486),IF(ISNUMBER(FD486),INDIRECT("SamplesY!G"&amp;FD486),""))</f>
        <v/>
      </c>
      <c r="H486" s="19">
        <f>IF(ISNUMBER(FC486),INDIRECT("SamplesX!H"&amp;FC486),IF(ISNUMBER(FD486),INDIRECT("SamplesY!H"&amp;FD486),""))</f>
        <v/>
      </c>
      <c r="I486" s="16" t="n"/>
      <c r="J486" s="16" t="n"/>
      <c r="K486" s="16" t="n"/>
      <c r="L486" s="20" t="n"/>
      <c r="M486" s="20" t="inlineStr">
        <is>
          <t>None</t>
        </is>
      </c>
      <c r="N486" s="17" t="n"/>
      <c r="O486" s="16" t="n"/>
      <c r="P486" s="20" t="inlineStr">
        <is>
          <t>Shimadzu TOC-L</t>
        </is>
      </c>
      <c r="Q486" s="20" t="inlineStr">
        <is>
          <t>None</t>
        </is>
      </c>
      <c r="R486" s="17" t="n"/>
      <c r="S486" s="16" t="n"/>
      <c r="T486" s="20" t="inlineStr">
        <is>
          <t>Shimadzu TOC-L</t>
        </is>
      </c>
      <c r="U486" s="20" t="inlineStr">
        <is>
          <t>None</t>
        </is>
      </c>
      <c r="V486" s="17" t="n"/>
      <c r="W486" s="16" t="n"/>
      <c r="X486" s="20" t="n"/>
      <c r="Y486" s="20" t="inlineStr">
        <is>
          <t>None</t>
        </is>
      </c>
      <c r="Z486" s="17" t="n"/>
      <c r="AA486" s="16" t="n"/>
      <c r="AB486" s="20" t="n"/>
      <c r="AC486" s="20" t="inlineStr">
        <is>
          <t>None</t>
        </is>
      </c>
      <c r="AD486" s="17" t="n"/>
      <c r="AE486" s="16" t="n"/>
      <c r="AF486" s="20" t="inlineStr">
        <is>
          <t>IC Anionen</t>
        </is>
      </c>
      <c r="AG486" s="20" t="inlineStr">
        <is>
          <t>None</t>
        </is>
      </c>
      <c r="AH486" s="17" t="n"/>
      <c r="AI486" s="16" t="n"/>
      <c r="AJ486" s="20" t="n"/>
      <c r="AK486" s="20" t="inlineStr">
        <is>
          <t>None</t>
        </is>
      </c>
      <c r="AL486" s="17" t="n"/>
      <c r="AM486" s="16" t="n"/>
      <c r="AN486" s="20" t="inlineStr">
        <is>
          <t>IC Anionen</t>
        </is>
      </c>
      <c r="AO486" s="20" t="inlineStr">
        <is>
          <t>None</t>
        </is>
      </c>
      <c r="AP486" s="17" t="n"/>
      <c r="AQ486" s="16" t="n"/>
      <c r="AR486" s="20" t="n"/>
      <c r="AS486" s="20" t="inlineStr">
        <is>
          <t>None</t>
        </is>
      </c>
      <c r="AT486" s="17" t="n"/>
      <c r="AU486" s="16" t="n"/>
      <c r="AV486" s="20" t="n"/>
      <c r="AW486" s="20" t="inlineStr">
        <is>
          <t>None</t>
        </is>
      </c>
      <c r="AX486" s="17" t="n"/>
      <c r="AY486" s="16" t="n"/>
      <c r="AZ486" s="20" t="inlineStr">
        <is>
          <t>IC Anionen</t>
        </is>
      </c>
      <c r="BA486" s="20" t="inlineStr">
        <is>
          <t>None</t>
        </is>
      </c>
      <c r="BB486" s="17" t="n"/>
      <c r="BC486" s="16" t="n"/>
      <c r="BD486" s="20" t="inlineStr">
        <is>
          <t>IC Kationen</t>
        </is>
      </c>
      <c r="BE486" s="20" t="inlineStr">
        <is>
          <t>None</t>
        </is>
      </c>
      <c r="BF486" s="17" t="n"/>
      <c r="BG486" s="16" t="n"/>
      <c r="BH486" s="20" t="inlineStr">
        <is>
          <t>IC Kationen</t>
        </is>
      </c>
      <c r="BI486" s="20" t="inlineStr">
        <is>
          <t>None</t>
        </is>
      </c>
      <c r="BJ486" s="17" t="n"/>
      <c r="BK486" s="16" t="n"/>
      <c r="BL486" s="20" t="inlineStr">
        <is>
          <t>IC Kationen</t>
        </is>
      </c>
      <c r="BM486" s="20" t="inlineStr">
        <is>
          <t>None</t>
        </is>
      </c>
      <c r="BN486" s="17" t="n"/>
      <c r="BO486" s="16" t="n"/>
      <c r="BP486" s="20" t="inlineStr">
        <is>
          <t>IC Kationen</t>
        </is>
      </c>
      <c r="BQ486" s="20" t="inlineStr">
        <is>
          <t>None</t>
        </is>
      </c>
      <c r="BR486" s="17" t="n"/>
      <c r="BS486" s="16" t="n"/>
      <c r="BT486" s="20" t="inlineStr">
        <is>
          <t>IC Kationen</t>
        </is>
      </c>
      <c r="BU486" s="20" t="inlineStr">
        <is>
          <t>None</t>
        </is>
      </c>
      <c r="BV486" s="17" t="n"/>
      <c r="BW486" s="16" t="n"/>
      <c r="BX486" s="20" t="n"/>
      <c r="BY486" s="20" t="inlineStr">
        <is>
          <t>None</t>
        </is>
      </c>
      <c r="BZ486" s="17" t="n"/>
      <c r="CA486" s="16" t="n"/>
      <c r="CB486" s="20" t="n"/>
      <c r="CC486" s="20" t="inlineStr">
        <is>
          <t>None</t>
        </is>
      </c>
      <c r="CD486" s="17" t="n"/>
      <c r="CE486" s="16" t="n"/>
      <c r="CF486" s="20" t="n"/>
      <c r="CG486" s="20" t="inlineStr">
        <is>
          <t>None</t>
        </is>
      </c>
      <c r="CH486" s="17" t="n"/>
      <c r="CI486" s="16" t="n"/>
      <c r="CJ486" s="20" t="n"/>
      <c r="CK486" s="20" t="inlineStr">
        <is>
          <t>None</t>
        </is>
      </c>
      <c r="CL486" s="17" t="n"/>
      <c r="CM486" s="16" t="n"/>
      <c r="CN486" s="20" t="inlineStr">
        <is>
          <t>SOP 45-34</t>
        </is>
      </c>
      <c r="CO486" s="20" t="inlineStr">
        <is>
          <t>None</t>
        </is>
      </c>
      <c r="CP486" s="17" t="n"/>
      <c r="CQ486" s="16" t="n"/>
      <c r="CR486" s="20" t="n"/>
      <c r="CS486" s="20" t="inlineStr">
        <is>
          <t>None</t>
        </is>
      </c>
      <c r="CT486" s="17" t="n"/>
      <c r="CU486" s="16" t="n"/>
      <c r="CV486" s="20" t="n"/>
      <c r="CW486" s="20" t="inlineStr">
        <is>
          <t>None</t>
        </is>
      </c>
      <c r="CX486" s="17" t="n"/>
      <c r="CY486" s="16" t="n"/>
      <c r="CZ486" s="20" t="inlineStr">
        <is>
          <t>WTW Multimeter 3430 with FDO 925</t>
        </is>
      </c>
      <c r="DA486" s="20" t="inlineStr">
        <is>
          <t>None</t>
        </is>
      </c>
      <c r="DB486" s="17" t="n"/>
      <c r="DC486" s="16" t="n"/>
      <c r="DD486" s="20" t="n"/>
      <c r="DE486" s="20" t="inlineStr">
        <is>
          <t>None</t>
        </is>
      </c>
      <c r="DF486" s="17" t="n"/>
      <c r="DG486" s="16" t="n"/>
      <c r="DH486" s="20" t="inlineStr">
        <is>
          <t>SOP 45-09</t>
        </is>
      </c>
      <c r="DI486" s="20" t="inlineStr">
        <is>
          <t>None</t>
        </is>
      </c>
      <c r="DJ486" s="17" t="n"/>
      <c r="DK486" s="16" t="n"/>
      <c r="DL486" s="20" t="inlineStr">
        <is>
          <t>SOP 45-09 (SOP muss noch angepasst werden für VSS)</t>
        </is>
      </c>
      <c r="DM486" s="20" t="inlineStr">
        <is>
          <t>None</t>
        </is>
      </c>
      <c r="DN486" s="17" t="n"/>
      <c r="DO486" s="16" t="n"/>
      <c r="DP486" s="20" t="inlineStr">
        <is>
          <t>IC Organic Acids</t>
        </is>
      </c>
      <c r="DQ486" s="20" t="inlineStr">
        <is>
          <t>None</t>
        </is>
      </c>
      <c r="DR486" s="17" t="n"/>
      <c r="DS486" s="16" t="n"/>
      <c r="DT486" s="20" t="inlineStr">
        <is>
          <t>IC Organic Acids</t>
        </is>
      </c>
      <c r="DU486" s="20" t="inlineStr">
        <is>
          <t>None</t>
        </is>
      </c>
      <c r="DV486" s="17" t="n"/>
      <c r="DW486" s="16" t="n"/>
      <c r="DX486" s="20" t="inlineStr">
        <is>
          <t>IC Organic Acids</t>
        </is>
      </c>
      <c r="DY486" s="20" t="inlineStr">
        <is>
          <t>None</t>
        </is>
      </c>
      <c r="DZ486" s="17" t="n"/>
      <c r="EA486" s="16" t="n"/>
      <c r="EB486" s="20" t="inlineStr">
        <is>
          <t>IC Organic Acids</t>
        </is>
      </c>
      <c r="EC486" s="20" t="inlineStr">
        <is>
          <t>None</t>
        </is>
      </c>
      <c r="ED486" s="17" t="n"/>
      <c r="EE486" s="16" t="n"/>
      <c r="EF486" s="20" t="inlineStr">
        <is>
          <t>IC Organic Acids</t>
        </is>
      </c>
      <c r="EG486" s="20" t="inlineStr">
        <is>
          <t>None</t>
        </is>
      </c>
      <c r="EH486" s="17" t="n"/>
      <c r="EI486" s="16" t="n"/>
      <c r="EJ486" s="20" t="inlineStr">
        <is>
          <t>IC Organic Acids</t>
        </is>
      </c>
      <c r="EK486" s="20" t="inlineStr">
        <is>
          <t>None</t>
        </is>
      </c>
      <c r="EL486" s="17" t="n"/>
      <c r="EM486" s="16" t="n"/>
      <c r="EN486" s="20" t="inlineStr">
        <is>
          <t>IC Organic Acids</t>
        </is>
      </c>
      <c r="EO486" s="20" t="inlineStr">
        <is>
          <t>None</t>
        </is>
      </c>
      <c r="EP486" s="17" t="n"/>
      <c r="EQ486" s="16" t="n"/>
      <c r="ER486" s="20" t="inlineStr">
        <is>
          <t>IC Organic Acids</t>
        </is>
      </c>
      <c r="ES486" s="20" t="inlineStr">
        <is>
          <t>None</t>
        </is>
      </c>
      <c r="ET486" s="17" t="n"/>
      <c r="EU486" s="16" t="n"/>
      <c r="EV486" s="20" t="inlineStr">
        <is>
          <t>LC-MS</t>
        </is>
      </c>
      <c r="EW486" s="20" t="inlineStr">
        <is>
          <t>None</t>
        </is>
      </c>
      <c r="EX486" s="17" t="n"/>
      <c r="EY486" s="21" t="n"/>
      <c r="EZ486">
        <f>CONCATENATE(A486,B486)</f>
        <v/>
      </c>
      <c r="FA486">
        <f>CONCATENATE(SamplesX!A486,SamplesX!B486)</f>
        <v/>
      </c>
      <c r="FC486">
        <f>MATCH(EZ486,FA1:FA1008,0)</f>
        <v/>
      </c>
    </row>
    <row r="487">
      <c r="A487" s="16" t="n"/>
      <c r="B487" s="17" t="n"/>
      <c r="C487" s="10">
        <f>IF(ISNUMBER(FC487),INDIRECT("SamplesX!C"&amp;FC487),IF(ISNUMBER(FD487),INDIRECT("SamplesY!C"&amp;FD487),""))</f>
        <v/>
      </c>
      <c r="D487" s="12">
        <f>IF(ISNUMBER(FC487),INDIRECT("SamplesX!D"&amp;FC487),IF(ISNUMBER(FD487),INDIRECT("SamplesY!D"&amp;FD487),""))</f>
        <v/>
      </c>
      <c r="E487" s="12">
        <f>IF(ISNUMBER(FC487),INDIRECT("SamplesX!E"&amp;FC487),IF(ISNUMBER(FD487),INDIRECT("SamplesY!E"&amp;FD487),""))</f>
        <v/>
      </c>
      <c r="F487" s="11">
        <f>IF(ISNUMBER(FC487),INDIRECT("SamplesX!F"&amp;FC487),IF(ISNUMBER(FD487),INDIRECT("SamplesY!F"&amp;FD487),""))</f>
        <v/>
      </c>
      <c r="G487" s="18">
        <f>IF(ISNUMBER(FC487),INDIRECT("SamplesX!G"&amp;FC487),IF(ISNUMBER(FD487),INDIRECT("SamplesY!G"&amp;FD487),""))</f>
        <v/>
      </c>
      <c r="H487" s="19">
        <f>IF(ISNUMBER(FC487),INDIRECT("SamplesX!H"&amp;FC487),IF(ISNUMBER(FD487),INDIRECT("SamplesY!H"&amp;FD487),""))</f>
        <v/>
      </c>
      <c r="I487" s="16" t="n"/>
      <c r="J487" s="16" t="n"/>
      <c r="K487" s="16" t="n"/>
      <c r="L487" s="20" t="n"/>
      <c r="M487" s="20" t="inlineStr">
        <is>
          <t>None</t>
        </is>
      </c>
      <c r="N487" s="17" t="n"/>
      <c r="O487" s="16" t="n"/>
      <c r="P487" s="20" t="inlineStr">
        <is>
          <t>Shimadzu TOC-L</t>
        </is>
      </c>
      <c r="Q487" s="20" t="inlineStr">
        <is>
          <t>None</t>
        </is>
      </c>
      <c r="R487" s="17" t="n"/>
      <c r="S487" s="16" t="n"/>
      <c r="T487" s="20" t="inlineStr">
        <is>
          <t>Shimadzu TOC-L</t>
        </is>
      </c>
      <c r="U487" s="20" t="inlineStr">
        <is>
          <t>None</t>
        </is>
      </c>
      <c r="V487" s="17" t="n"/>
      <c r="W487" s="16" t="n"/>
      <c r="X487" s="20" t="n"/>
      <c r="Y487" s="20" t="inlineStr">
        <is>
          <t>None</t>
        </is>
      </c>
      <c r="Z487" s="17" t="n"/>
      <c r="AA487" s="16" t="n"/>
      <c r="AB487" s="20" t="n"/>
      <c r="AC487" s="20" t="inlineStr">
        <is>
          <t>None</t>
        </is>
      </c>
      <c r="AD487" s="17" t="n"/>
      <c r="AE487" s="16" t="n"/>
      <c r="AF487" s="20" t="inlineStr">
        <is>
          <t>IC Anionen</t>
        </is>
      </c>
      <c r="AG487" s="20" t="inlineStr">
        <is>
          <t>None</t>
        </is>
      </c>
      <c r="AH487" s="17" t="n"/>
      <c r="AI487" s="16" t="n"/>
      <c r="AJ487" s="20" t="n"/>
      <c r="AK487" s="20" t="inlineStr">
        <is>
          <t>None</t>
        </is>
      </c>
      <c r="AL487" s="17" t="n"/>
      <c r="AM487" s="16" t="n"/>
      <c r="AN487" s="20" t="inlineStr">
        <is>
          <t>IC Anionen</t>
        </is>
      </c>
      <c r="AO487" s="20" t="inlineStr">
        <is>
          <t>None</t>
        </is>
      </c>
      <c r="AP487" s="17" t="n"/>
      <c r="AQ487" s="16" t="n"/>
      <c r="AR487" s="20" t="n"/>
      <c r="AS487" s="20" t="inlineStr">
        <is>
          <t>None</t>
        </is>
      </c>
      <c r="AT487" s="17" t="n"/>
      <c r="AU487" s="16" t="n"/>
      <c r="AV487" s="20" t="n"/>
      <c r="AW487" s="20" t="inlineStr">
        <is>
          <t>None</t>
        </is>
      </c>
      <c r="AX487" s="17" t="n"/>
      <c r="AY487" s="16" t="n"/>
      <c r="AZ487" s="20" t="inlineStr">
        <is>
          <t>IC Anionen</t>
        </is>
      </c>
      <c r="BA487" s="20" t="inlineStr">
        <is>
          <t>None</t>
        </is>
      </c>
      <c r="BB487" s="17" t="n"/>
      <c r="BC487" s="16" t="n"/>
      <c r="BD487" s="20" t="inlineStr">
        <is>
          <t>IC Kationen</t>
        </is>
      </c>
      <c r="BE487" s="20" t="inlineStr">
        <is>
          <t>None</t>
        </is>
      </c>
      <c r="BF487" s="17" t="n"/>
      <c r="BG487" s="16" t="n"/>
      <c r="BH487" s="20" t="inlineStr">
        <is>
          <t>IC Kationen</t>
        </is>
      </c>
      <c r="BI487" s="20" t="inlineStr">
        <is>
          <t>None</t>
        </is>
      </c>
      <c r="BJ487" s="17" t="n"/>
      <c r="BK487" s="16" t="n"/>
      <c r="BL487" s="20" t="inlineStr">
        <is>
          <t>IC Kationen</t>
        </is>
      </c>
      <c r="BM487" s="20" t="inlineStr">
        <is>
          <t>None</t>
        </is>
      </c>
      <c r="BN487" s="17" t="n"/>
      <c r="BO487" s="16" t="n"/>
      <c r="BP487" s="20" t="inlineStr">
        <is>
          <t>IC Kationen</t>
        </is>
      </c>
      <c r="BQ487" s="20" t="inlineStr">
        <is>
          <t>None</t>
        </is>
      </c>
      <c r="BR487" s="17" t="n"/>
      <c r="BS487" s="16" t="n"/>
      <c r="BT487" s="20" t="inlineStr">
        <is>
          <t>IC Kationen</t>
        </is>
      </c>
      <c r="BU487" s="20" t="inlineStr">
        <is>
          <t>None</t>
        </is>
      </c>
      <c r="BV487" s="17" t="n"/>
      <c r="BW487" s="16" t="n"/>
      <c r="BX487" s="20" t="n"/>
      <c r="BY487" s="20" t="inlineStr">
        <is>
          <t>None</t>
        </is>
      </c>
      <c r="BZ487" s="17" t="n"/>
      <c r="CA487" s="16" t="n"/>
      <c r="CB487" s="20" t="n"/>
      <c r="CC487" s="20" t="inlineStr">
        <is>
          <t>None</t>
        </is>
      </c>
      <c r="CD487" s="17" t="n"/>
      <c r="CE487" s="16" t="n"/>
      <c r="CF487" s="20" t="n"/>
      <c r="CG487" s="20" t="inlineStr">
        <is>
          <t>None</t>
        </is>
      </c>
      <c r="CH487" s="17" t="n"/>
      <c r="CI487" s="16" t="n"/>
      <c r="CJ487" s="20" t="n"/>
      <c r="CK487" s="20" t="inlineStr">
        <is>
          <t>None</t>
        </is>
      </c>
      <c r="CL487" s="17" t="n"/>
      <c r="CM487" s="16" t="n"/>
      <c r="CN487" s="20" t="inlineStr">
        <is>
          <t>SOP 45-34</t>
        </is>
      </c>
      <c r="CO487" s="20" t="inlineStr">
        <is>
          <t>None</t>
        </is>
      </c>
      <c r="CP487" s="17" t="n"/>
      <c r="CQ487" s="16" t="n"/>
      <c r="CR487" s="20" t="n"/>
      <c r="CS487" s="20" t="inlineStr">
        <is>
          <t>None</t>
        </is>
      </c>
      <c r="CT487" s="17" t="n"/>
      <c r="CU487" s="16" t="n"/>
      <c r="CV487" s="20" t="n"/>
      <c r="CW487" s="20" t="inlineStr">
        <is>
          <t>None</t>
        </is>
      </c>
      <c r="CX487" s="17" t="n"/>
      <c r="CY487" s="16" t="n"/>
      <c r="CZ487" s="20" t="inlineStr">
        <is>
          <t>WTW Multimeter 3430 with FDO 925</t>
        </is>
      </c>
      <c r="DA487" s="20" t="inlineStr">
        <is>
          <t>None</t>
        </is>
      </c>
      <c r="DB487" s="17" t="n"/>
      <c r="DC487" s="16" t="n"/>
      <c r="DD487" s="20" t="n"/>
      <c r="DE487" s="20" t="inlineStr">
        <is>
          <t>None</t>
        </is>
      </c>
      <c r="DF487" s="17" t="n"/>
      <c r="DG487" s="16" t="n"/>
      <c r="DH487" s="20" t="inlineStr">
        <is>
          <t>SOP 45-09</t>
        </is>
      </c>
      <c r="DI487" s="20" t="inlineStr">
        <is>
          <t>None</t>
        </is>
      </c>
      <c r="DJ487" s="17" t="n"/>
      <c r="DK487" s="16" t="n"/>
      <c r="DL487" s="20" t="inlineStr">
        <is>
          <t>SOP 45-09 (SOP muss noch angepasst werden für VSS)</t>
        </is>
      </c>
      <c r="DM487" s="20" t="inlineStr">
        <is>
          <t>None</t>
        </is>
      </c>
      <c r="DN487" s="17" t="n"/>
      <c r="DO487" s="16" t="n"/>
      <c r="DP487" s="20" t="inlineStr">
        <is>
          <t>IC Organic Acids</t>
        </is>
      </c>
      <c r="DQ487" s="20" t="inlineStr">
        <is>
          <t>None</t>
        </is>
      </c>
      <c r="DR487" s="17" t="n"/>
      <c r="DS487" s="16" t="n"/>
      <c r="DT487" s="20" t="inlineStr">
        <is>
          <t>IC Organic Acids</t>
        </is>
      </c>
      <c r="DU487" s="20" t="inlineStr">
        <is>
          <t>None</t>
        </is>
      </c>
      <c r="DV487" s="17" t="n"/>
      <c r="DW487" s="16" t="n"/>
      <c r="DX487" s="20" t="inlineStr">
        <is>
          <t>IC Organic Acids</t>
        </is>
      </c>
      <c r="DY487" s="20" t="inlineStr">
        <is>
          <t>None</t>
        </is>
      </c>
      <c r="DZ487" s="17" t="n"/>
      <c r="EA487" s="16" t="n"/>
      <c r="EB487" s="20" t="inlineStr">
        <is>
          <t>IC Organic Acids</t>
        </is>
      </c>
      <c r="EC487" s="20" t="inlineStr">
        <is>
          <t>None</t>
        </is>
      </c>
      <c r="ED487" s="17" t="n"/>
      <c r="EE487" s="16" t="n"/>
      <c r="EF487" s="20" t="inlineStr">
        <is>
          <t>IC Organic Acids</t>
        </is>
      </c>
      <c r="EG487" s="20" t="inlineStr">
        <is>
          <t>None</t>
        </is>
      </c>
      <c r="EH487" s="17" t="n"/>
      <c r="EI487" s="16" t="n"/>
      <c r="EJ487" s="20" t="inlineStr">
        <is>
          <t>IC Organic Acids</t>
        </is>
      </c>
      <c r="EK487" s="20" t="inlineStr">
        <is>
          <t>None</t>
        </is>
      </c>
      <c r="EL487" s="17" t="n"/>
      <c r="EM487" s="16" t="n"/>
      <c r="EN487" s="20" t="inlineStr">
        <is>
          <t>IC Organic Acids</t>
        </is>
      </c>
      <c r="EO487" s="20" t="inlineStr">
        <is>
          <t>None</t>
        </is>
      </c>
      <c r="EP487" s="17" t="n"/>
      <c r="EQ487" s="16" t="n"/>
      <c r="ER487" s="20" t="inlineStr">
        <is>
          <t>IC Organic Acids</t>
        </is>
      </c>
      <c r="ES487" s="20" t="inlineStr">
        <is>
          <t>None</t>
        </is>
      </c>
      <c r="ET487" s="17" t="n"/>
      <c r="EU487" s="16" t="n"/>
      <c r="EV487" s="20" t="inlineStr">
        <is>
          <t>LC-MS</t>
        </is>
      </c>
      <c r="EW487" s="20" t="inlineStr">
        <is>
          <t>None</t>
        </is>
      </c>
      <c r="EX487" s="17" t="n"/>
      <c r="EY487" s="21" t="n"/>
      <c r="EZ487">
        <f>CONCATENATE(A487,B487)</f>
        <v/>
      </c>
      <c r="FA487">
        <f>CONCATENATE(SamplesX!A487,SamplesX!B487)</f>
        <v/>
      </c>
      <c r="FC487">
        <f>MATCH(EZ487,FA1:FA1008,0)</f>
        <v/>
      </c>
    </row>
    <row r="488">
      <c r="A488" s="16" t="n"/>
      <c r="B488" s="17" t="n"/>
      <c r="C488" s="10">
        <f>IF(ISNUMBER(FC488),INDIRECT("SamplesX!C"&amp;FC488),IF(ISNUMBER(FD488),INDIRECT("SamplesY!C"&amp;FD488),""))</f>
        <v/>
      </c>
      <c r="D488" s="12">
        <f>IF(ISNUMBER(FC488),INDIRECT("SamplesX!D"&amp;FC488),IF(ISNUMBER(FD488),INDIRECT("SamplesY!D"&amp;FD488),""))</f>
        <v/>
      </c>
      <c r="E488" s="12">
        <f>IF(ISNUMBER(FC488),INDIRECT("SamplesX!E"&amp;FC488),IF(ISNUMBER(FD488),INDIRECT("SamplesY!E"&amp;FD488),""))</f>
        <v/>
      </c>
      <c r="F488" s="11">
        <f>IF(ISNUMBER(FC488),INDIRECT("SamplesX!F"&amp;FC488),IF(ISNUMBER(FD488),INDIRECT("SamplesY!F"&amp;FD488),""))</f>
        <v/>
      </c>
      <c r="G488" s="18">
        <f>IF(ISNUMBER(FC488),INDIRECT("SamplesX!G"&amp;FC488),IF(ISNUMBER(FD488),INDIRECT("SamplesY!G"&amp;FD488),""))</f>
        <v/>
      </c>
      <c r="H488" s="19">
        <f>IF(ISNUMBER(FC488),INDIRECT("SamplesX!H"&amp;FC488),IF(ISNUMBER(FD488),INDIRECT("SamplesY!H"&amp;FD488),""))</f>
        <v/>
      </c>
      <c r="I488" s="16" t="n"/>
      <c r="J488" s="16" t="n"/>
      <c r="K488" s="16" t="n"/>
      <c r="L488" s="20" t="n"/>
      <c r="M488" s="20" t="inlineStr">
        <is>
          <t>None</t>
        </is>
      </c>
      <c r="N488" s="17" t="n"/>
      <c r="O488" s="16" t="n"/>
      <c r="P488" s="20" t="inlineStr">
        <is>
          <t>Shimadzu TOC-L</t>
        </is>
      </c>
      <c r="Q488" s="20" t="inlineStr">
        <is>
          <t>None</t>
        </is>
      </c>
      <c r="R488" s="17" t="n"/>
      <c r="S488" s="16" t="n"/>
      <c r="T488" s="20" t="inlineStr">
        <is>
          <t>Shimadzu TOC-L</t>
        </is>
      </c>
      <c r="U488" s="20" t="inlineStr">
        <is>
          <t>None</t>
        </is>
      </c>
      <c r="V488" s="17" t="n"/>
      <c r="W488" s="16" t="n"/>
      <c r="X488" s="20" t="n"/>
      <c r="Y488" s="20" t="inlineStr">
        <is>
          <t>None</t>
        </is>
      </c>
      <c r="Z488" s="17" t="n"/>
      <c r="AA488" s="16" t="n"/>
      <c r="AB488" s="20" t="n"/>
      <c r="AC488" s="20" t="inlineStr">
        <is>
          <t>None</t>
        </is>
      </c>
      <c r="AD488" s="17" t="n"/>
      <c r="AE488" s="16" t="n"/>
      <c r="AF488" s="20" t="inlineStr">
        <is>
          <t>IC Anionen</t>
        </is>
      </c>
      <c r="AG488" s="20" t="inlineStr">
        <is>
          <t>None</t>
        </is>
      </c>
      <c r="AH488" s="17" t="n"/>
      <c r="AI488" s="16" t="n"/>
      <c r="AJ488" s="20" t="n"/>
      <c r="AK488" s="20" t="inlineStr">
        <is>
          <t>None</t>
        </is>
      </c>
      <c r="AL488" s="17" t="n"/>
      <c r="AM488" s="16" t="n"/>
      <c r="AN488" s="20" t="inlineStr">
        <is>
          <t>IC Anionen</t>
        </is>
      </c>
      <c r="AO488" s="20" t="inlineStr">
        <is>
          <t>None</t>
        </is>
      </c>
      <c r="AP488" s="17" t="n"/>
      <c r="AQ488" s="16" t="n"/>
      <c r="AR488" s="20" t="n"/>
      <c r="AS488" s="20" t="inlineStr">
        <is>
          <t>None</t>
        </is>
      </c>
      <c r="AT488" s="17" t="n"/>
      <c r="AU488" s="16" t="n"/>
      <c r="AV488" s="20" t="n"/>
      <c r="AW488" s="20" t="inlineStr">
        <is>
          <t>None</t>
        </is>
      </c>
      <c r="AX488" s="17" t="n"/>
      <c r="AY488" s="16" t="n"/>
      <c r="AZ488" s="20" t="inlineStr">
        <is>
          <t>IC Anionen</t>
        </is>
      </c>
      <c r="BA488" s="20" t="inlineStr">
        <is>
          <t>None</t>
        </is>
      </c>
      <c r="BB488" s="17" t="n"/>
      <c r="BC488" s="16" t="n"/>
      <c r="BD488" s="20" t="inlineStr">
        <is>
          <t>IC Kationen</t>
        </is>
      </c>
      <c r="BE488" s="20" t="inlineStr">
        <is>
          <t>None</t>
        </is>
      </c>
      <c r="BF488" s="17" t="n"/>
      <c r="BG488" s="16" t="n"/>
      <c r="BH488" s="20" t="inlineStr">
        <is>
          <t>IC Kationen</t>
        </is>
      </c>
      <c r="BI488" s="20" t="inlineStr">
        <is>
          <t>None</t>
        </is>
      </c>
      <c r="BJ488" s="17" t="n"/>
      <c r="BK488" s="16" t="n"/>
      <c r="BL488" s="20" t="inlineStr">
        <is>
          <t>IC Kationen</t>
        </is>
      </c>
      <c r="BM488" s="20" t="inlineStr">
        <is>
          <t>None</t>
        </is>
      </c>
      <c r="BN488" s="17" t="n"/>
      <c r="BO488" s="16" t="n"/>
      <c r="BP488" s="20" t="inlineStr">
        <is>
          <t>IC Kationen</t>
        </is>
      </c>
      <c r="BQ488" s="20" t="inlineStr">
        <is>
          <t>None</t>
        </is>
      </c>
      <c r="BR488" s="17" t="n"/>
      <c r="BS488" s="16" t="n"/>
      <c r="BT488" s="20" t="inlineStr">
        <is>
          <t>IC Kationen</t>
        </is>
      </c>
      <c r="BU488" s="20" t="inlineStr">
        <is>
          <t>None</t>
        </is>
      </c>
      <c r="BV488" s="17" t="n"/>
      <c r="BW488" s="16" t="n"/>
      <c r="BX488" s="20" t="n"/>
      <c r="BY488" s="20" t="inlineStr">
        <is>
          <t>None</t>
        </is>
      </c>
      <c r="BZ488" s="17" t="n"/>
      <c r="CA488" s="16" t="n"/>
      <c r="CB488" s="20" t="n"/>
      <c r="CC488" s="20" t="inlineStr">
        <is>
          <t>None</t>
        </is>
      </c>
      <c r="CD488" s="17" t="n"/>
      <c r="CE488" s="16" t="n"/>
      <c r="CF488" s="20" t="n"/>
      <c r="CG488" s="20" t="inlineStr">
        <is>
          <t>None</t>
        </is>
      </c>
      <c r="CH488" s="17" t="n"/>
      <c r="CI488" s="16" t="n"/>
      <c r="CJ488" s="20" t="n"/>
      <c r="CK488" s="20" t="inlineStr">
        <is>
          <t>None</t>
        </is>
      </c>
      <c r="CL488" s="17" t="n"/>
      <c r="CM488" s="16" t="n"/>
      <c r="CN488" s="20" t="inlineStr">
        <is>
          <t>SOP 45-34</t>
        </is>
      </c>
      <c r="CO488" s="20" t="inlineStr">
        <is>
          <t>None</t>
        </is>
      </c>
      <c r="CP488" s="17" t="n"/>
      <c r="CQ488" s="16" t="n"/>
      <c r="CR488" s="20" t="n"/>
      <c r="CS488" s="20" t="inlineStr">
        <is>
          <t>None</t>
        </is>
      </c>
      <c r="CT488" s="17" t="n"/>
      <c r="CU488" s="16" t="n"/>
      <c r="CV488" s="20" t="n"/>
      <c r="CW488" s="20" t="inlineStr">
        <is>
          <t>None</t>
        </is>
      </c>
      <c r="CX488" s="17" t="n"/>
      <c r="CY488" s="16" t="n"/>
      <c r="CZ488" s="20" t="inlineStr">
        <is>
          <t>WTW Multimeter 3430 with FDO 925</t>
        </is>
      </c>
      <c r="DA488" s="20" t="inlineStr">
        <is>
          <t>None</t>
        </is>
      </c>
      <c r="DB488" s="17" t="n"/>
      <c r="DC488" s="16" t="n"/>
      <c r="DD488" s="20" t="n"/>
      <c r="DE488" s="20" t="inlineStr">
        <is>
          <t>None</t>
        </is>
      </c>
      <c r="DF488" s="17" t="n"/>
      <c r="DG488" s="16" t="n"/>
      <c r="DH488" s="20" t="inlineStr">
        <is>
          <t>SOP 45-09</t>
        </is>
      </c>
      <c r="DI488" s="20" t="inlineStr">
        <is>
          <t>None</t>
        </is>
      </c>
      <c r="DJ488" s="17" t="n"/>
      <c r="DK488" s="16" t="n"/>
      <c r="DL488" s="20" t="inlineStr">
        <is>
          <t>SOP 45-09 (SOP muss noch angepasst werden für VSS)</t>
        </is>
      </c>
      <c r="DM488" s="20" t="inlineStr">
        <is>
          <t>None</t>
        </is>
      </c>
      <c r="DN488" s="17" t="n"/>
      <c r="DO488" s="16" t="n"/>
      <c r="DP488" s="20" t="inlineStr">
        <is>
          <t>IC Organic Acids</t>
        </is>
      </c>
      <c r="DQ488" s="20" t="inlineStr">
        <is>
          <t>None</t>
        </is>
      </c>
      <c r="DR488" s="17" t="n"/>
      <c r="DS488" s="16" t="n"/>
      <c r="DT488" s="20" t="inlineStr">
        <is>
          <t>IC Organic Acids</t>
        </is>
      </c>
      <c r="DU488" s="20" t="inlineStr">
        <is>
          <t>None</t>
        </is>
      </c>
      <c r="DV488" s="17" t="n"/>
      <c r="DW488" s="16" t="n"/>
      <c r="DX488" s="20" t="inlineStr">
        <is>
          <t>IC Organic Acids</t>
        </is>
      </c>
      <c r="DY488" s="20" t="inlineStr">
        <is>
          <t>None</t>
        </is>
      </c>
      <c r="DZ488" s="17" t="n"/>
      <c r="EA488" s="16" t="n"/>
      <c r="EB488" s="20" t="inlineStr">
        <is>
          <t>IC Organic Acids</t>
        </is>
      </c>
      <c r="EC488" s="20" t="inlineStr">
        <is>
          <t>None</t>
        </is>
      </c>
      <c r="ED488" s="17" t="n"/>
      <c r="EE488" s="16" t="n"/>
      <c r="EF488" s="20" t="inlineStr">
        <is>
          <t>IC Organic Acids</t>
        </is>
      </c>
      <c r="EG488" s="20" t="inlineStr">
        <is>
          <t>None</t>
        </is>
      </c>
      <c r="EH488" s="17" t="n"/>
      <c r="EI488" s="16" t="n"/>
      <c r="EJ488" s="20" t="inlineStr">
        <is>
          <t>IC Organic Acids</t>
        </is>
      </c>
      <c r="EK488" s="20" t="inlineStr">
        <is>
          <t>None</t>
        </is>
      </c>
      <c r="EL488" s="17" t="n"/>
      <c r="EM488" s="16" t="n"/>
      <c r="EN488" s="20" t="inlineStr">
        <is>
          <t>IC Organic Acids</t>
        </is>
      </c>
      <c r="EO488" s="20" t="inlineStr">
        <is>
          <t>None</t>
        </is>
      </c>
      <c r="EP488" s="17" t="n"/>
      <c r="EQ488" s="16" t="n"/>
      <c r="ER488" s="20" t="inlineStr">
        <is>
          <t>IC Organic Acids</t>
        </is>
      </c>
      <c r="ES488" s="20" t="inlineStr">
        <is>
          <t>None</t>
        </is>
      </c>
      <c r="ET488" s="17" t="n"/>
      <c r="EU488" s="16" t="n"/>
      <c r="EV488" s="20" t="inlineStr">
        <is>
          <t>LC-MS</t>
        </is>
      </c>
      <c r="EW488" s="20" t="inlineStr">
        <is>
          <t>None</t>
        </is>
      </c>
      <c r="EX488" s="17" t="n"/>
      <c r="EY488" s="21" t="n"/>
      <c r="EZ488">
        <f>CONCATENATE(A488,B488)</f>
        <v/>
      </c>
      <c r="FA488">
        <f>CONCATENATE(SamplesX!A488,SamplesX!B488)</f>
        <v/>
      </c>
      <c r="FC488">
        <f>MATCH(EZ488,FA1:FA1008,0)</f>
        <v/>
      </c>
    </row>
    <row r="489">
      <c r="A489" s="16" t="n"/>
      <c r="B489" s="17" t="n"/>
      <c r="C489" s="10">
        <f>IF(ISNUMBER(FC489),INDIRECT("SamplesX!C"&amp;FC489),IF(ISNUMBER(FD489),INDIRECT("SamplesY!C"&amp;FD489),""))</f>
        <v/>
      </c>
      <c r="D489" s="12">
        <f>IF(ISNUMBER(FC489),INDIRECT("SamplesX!D"&amp;FC489),IF(ISNUMBER(FD489),INDIRECT("SamplesY!D"&amp;FD489),""))</f>
        <v/>
      </c>
      <c r="E489" s="12">
        <f>IF(ISNUMBER(FC489),INDIRECT("SamplesX!E"&amp;FC489),IF(ISNUMBER(FD489),INDIRECT("SamplesY!E"&amp;FD489),""))</f>
        <v/>
      </c>
      <c r="F489" s="11">
        <f>IF(ISNUMBER(FC489),INDIRECT("SamplesX!F"&amp;FC489),IF(ISNUMBER(FD489),INDIRECT("SamplesY!F"&amp;FD489),""))</f>
        <v/>
      </c>
      <c r="G489" s="18">
        <f>IF(ISNUMBER(FC489),INDIRECT("SamplesX!G"&amp;FC489),IF(ISNUMBER(FD489),INDIRECT("SamplesY!G"&amp;FD489),""))</f>
        <v/>
      </c>
      <c r="H489" s="19">
        <f>IF(ISNUMBER(FC489),INDIRECT("SamplesX!H"&amp;FC489),IF(ISNUMBER(FD489),INDIRECT("SamplesY!H"&amp;FD489),""))</f>
        <v/>
      </c>
      <c r="I489" s="16" t="n"/>
      <c r="J489" s="16" t="n"/>
      <c r="K489" s="16" t="n"/>
      <c r="L489" s="20" t="n"/>
      <c r="M489" s="20" t="inlineStr">
        <is>
          <t>None</t>
        </is>
      </c>
      <c r="N489" s="17" t="n"/>
      <c r="O489" s="16" t="n"/>
      <c r="P489" s="20" t="inlineStr">
        <is>
          <t>Shimadzu TOC-L</t>
        </is>
      </c>
      <c r="Q489" s="20" t="inlineStr">
        <is>
          <t>None</t>
        </is>
      </c>
      <c r="R489" s="17" t="n"/>
      <c r="S489" s="16" t="n"/>
      <c r="T489" s="20" t="inlineStr">
        <is>
          <t>Shimadzu TOC-L</t>
        </is>
      </c>
      <c r="U489" s="20" t="inlineStr">
        <is>
          <t>None</t>
        </is>
      </c>
      <c r="V489" s="17" t="n"/>
      <c r="W489" s="16" t="n"/>
      <c r="X489" s="20" t="n"/>
      <c r="Y489" s="20" t="inlineStr">
        <is>
          <t>None</t>
        </is>
      </c>
      <c r="Z489" s="17" t="n"/>
      <c r="AA489" s="16" t="n"/>
      <c r="AB489" s="20" t="n"/>
      <c r="AC489" s="20" t="inlineStr">
        <is>
          <t>None</t>
        </is>
      </c>
      <c r="AD489" s="17" t="n"/>
      <c r="AE489" s="16" t="n"/>
      <c r="AF489" s="20" t="inlineStr">
        <is>
          <t>IC Anionen</t>
        </is>
      </c>
      <c r="AG489" s="20" t="inlineStr">
        <is>
          <t>None</t>
        </is>
      </c>
      <c r="AH489" s="17" t="n"/>
      <c r="AI489" s="16" t="n"/>
      <c r="AJ489" s="20" t="n"/>
      <c r="AK489" s="20" t="inlineStr">
        <is>
          <t>None</t>
        </is>
      </c>
      <c r="AL489" s="17" t="n"/>
      <c r="AM489" s="16" t="n"/>
      <c r="AN489" s="20" t="inlineStr">
        <is>
          <t>IC Anionen</t>
        </is>
      </c>
      <c r="AO489" s="20" t="inlineStr">
        <is>
          <t>None</t>
        </is>
      </c>
      <c r="AP489" s="17" t="n"/>
      <c r="AQ489" s="16" t="n"/>
      <c r="AR489" s="20" t="n"/>
      <c r="AS489" s="20" t="inlineStr">
        <is>
          <t>None</t>
        </is>
      </c>
      <c r="AT489" s="17" t="n"/>
      <c r="AU489" s="16" t="n"/>
      <c r="AV489" s="20" t="n"/>
      <c r="AW489" s="20" t="inlineStr">
        <is>
          <t>None</t>
        </is>
      </c>
      <c r="AX489" s="17" t="n"/>
      <c r="AY489" s="16" t="n"/>
      <c r="AZ489" s="20" t="inlineStr">
        <is>
          <t>IC Anionen</t>
        </is>
      </c>
      <c r="BA489" s="20" t="inlineStr">
        <is>
          <t>None</t>
        </is>
      </c>
      <c r="BB489" s="17" t="n"/>
      <c r="BC489" s="16" t="n"/>
      <c r="BD489" s="20" t="inlineStr">
        <is>
          <t>IC Kationen</t>
        </is>
      </c>
      <c r="BE489" s="20" t="inlineStr">
        <is>
          <t>None</t>
        </is>
      </c>
      <c r="BF489" s="17" t="n"/>
      <c r="BG489" s="16" t="n"/>
      <c r="BH489" s="20" t="inlineStr">
        <is>
          <t>IC Kationen</t>
        </is>
      </c>
      <c r="BI489" s="20" t="inlineStr">
        <is>
          <t>None</t>
        </is>
      </c>
      <c r="BJ489" s="17" t="n"/>
      <c r="BK489" s="16" t="n"/>
      <c r="BL489" s="20" t="inlineStr">
        <is>
          <t>IC Kationen</t>
        </is>
      </c>
      <c r="BM489" s="20" t="inlineStr">
        <is>
          <t>None</t>
        </is>
      </c>
      <c r="BN489" s="17" t="n"/>
      <c r="BO489" s="16" t="n"/>
      <c r="BP489" s="20" t="inlineStr">
        <is>
          <t>IC Kationen</t>
        </is>
      </c>
      <c r="BQ489" s="20" t="inlineStr">
        <is>
          <t>None</t>
        </is>
      </c>
      <c r="BR489" s="17" t="n"/>
      <c r="BS489" s="16" t="n"/>
      <c r="BT489" s="20" t="inlineStr">
        <is>
          <t>IC Kationen</t>
        </is>
      </c>
      <c r="BU489" s="20" t="inlineStr">
        <is>
          <t>None</t>
        </is>
      </c>
      <c r="BV489" s="17" t="n"/>
      <c r="BW489" s="16" t="n"/>
      <c r="BX489" s="20" t="n"/>
      <c r="BY489" s="20" t="inlineStr">
        <is>
          <t>None</t>
        </is>
      </c>
      <c r="BZ489" s="17" t="n"/>
      <c r="CA489" s="16" t="n"/>
      <c r="CB489" s="20" t="n"/>
      <c r="CC489" s="20" t="inlineStr">
        <is>
          <t>None</t>
        </is>
      </c>
      <c r="CD489" s="17" t="n"/>
      <c r="CE489" s="16" t="n"/>
      <c r="CF489" s="20" t="n"/>
      <c r="CG489" s="20" t="inlineStr">
        <is>
          <t>None</t>
        </is>
      </c>
      <c r="CH489" s="17" t="n"/>
      <c r="CI489" s="16" t="n"/>
      <c r="CJ489" s="20" t="n"/>
      <c r="CK489" s="20" t="inlineStr">
        <is>
          <t>None</t>
        </is>
      </c>
      <c r="CL489" s="17" t="n"/>
      <c r="CM489" s="16" t="n"/>
      <c r="CN489" s="20" t="inlineStr">
        <is>
          <t>SOP 45-34</t>
        </is>
      </c>
      <c r="CO489" s="20" t="inlineStr">
        <is>
          <t>None</t>
        </is>
      </c>
      <c r="CP489" s="17" t="n"/>
      <c r="CQ489" s="16" t="n"/>
      <c r="CR489" s="20" t="n"/>
      <c r="CS489" s="20" t="inlineStr">
        <is>
          <t>None</t>
        </is>
      </c>
      <c r="CT489" s="17" t="n"/>
      <c r="CU489" s="16" t="n"/>
      <c r="CV489" s="20" t="n"/>
      <c r="CW489" s="20" t="inlineStr">
        <is>
          <t>None</t>
        </is>
      </c>
      <c r="CX489" s="17" t="n"/>
      <c r="CY489" s="16" t="n"/>
      <c r="CZ489" s="20" t="inlineStr">
        <is>
          <t>WTW Multimeter 3430 with FDO 925</t>
        </is>
      </c>
      <c r="DA489" s="20" t="inlineStr">
        <is>
          <t>None</t>
        </is>
      </c>
      <c r="DB489" s="17" t="n"/>
      <c r="DC489" s="16" t="n"/>
      <c r="DD489" s="20" t="n"/>
      <c r="DE489" s="20" t="inlineStr">
        <is>
          <t>None</t>
        </is>
      </c>
      <c r="DF489" s="17" t="n"/>
      <c r="DG489" s="16" t="n"/>
      <c r="DH489" s="20" t="inlineStr">
        <is>
          <t>SOP 45-09</t>
        </is>
      </c>
      <c r="DI489" s="20" t="inlineStr">
        <is>
          <t>None</t>
        </is>
      </c>
      <c r="DJ489" s="17" t="n"/>
      <c r="DK489" s="16" t="n"/>
      <c r="DL489" s="20" t="inlineStr">
        <is>
          <t>SOP 45-09 (SOP muss noch angepasst werden für VSS)</t>
        </is>
      </c>
      <c r="DM489" s="20" t="inlineStr">
        <is>
          <t>None</t>
        </is>
      </c>
      <c r="DN489" s="17" t="n"/>
      <c r="DO489" s="16" t="n"/>
      <c r="DP489" s="20" t="inlineStr">
        <is>
          <t>IC Organic Acids</t>
        </is>
      </c>
      <c r="DQ489" s="20" t="inlineStr">
        <is>
          <t>None</t>
        </is>
      </c>
      <c r="DR489" s="17" t="n"/>
      <c r="DS489" s="16" t="n"/>
      <c r="DT489" s="20" t="inlineStr">
        <is>
          <t>IC Organic Acids</t>
        </is>
      </c>
      <c r="DU489" s="20" t="inlineStr">
        <is>
          <t>None</t>
        </is>
      </c>
      <c r="DV489" s="17" t="n"/>
      <c r="DW489" s="16" t="n"/>
      <c r="DX489" s="20" t="inlineStr">
        <is>
          <t>IC Organic Acids</t>
        </is>
      </c>
      <c r="DY489" s="20" t="inlineStr">
        <is>
          <t>None</t>
        </is>
      </c>
      <c r="DZ489" s="17" t="n"/>
      <c r="EA489" s="16" t="n"/>
      <c r="EB489" s="20" t="inlineStr">
        <is>
          <t>IC Organic Acids</t>
        </is>
      </c>
      <c r="EC489" s="20" t="inlineStr">
        <is>
          <t>None</t>
        </is>
      </c>
      <c r="ED489" s="17" t="n"/>
      <c r="EE489" s="16" t="n"/>
      <c r="EF489" s="20" t="inlineStr">
        <is>
          <t>IC Organic Acids</t>
        </is>
      </c>
      <c r="EG489" s="20" t="inlineStr">
        <is>
          <t>None</t>
        </is>
      </c>
      <c r="EH489" s="17" t="n"/>
      <c r="EI489" s="16" t="n"/>
      <c r="EJ489" s="20" t="inlineStr">
        <is>
          <t>IC Organic Acids</t>
        </is>
      </c>
      <c r="EK489" s="20" t="inlineStr">
        <is>
          <t>None</t>
        </is>
      </c>
      <c r="EL489" s="17" t="n"/>
      <c r="EM489" s="16" t="n"/>
      <c r="EN489" s="20" t="inlineStr">
        <is>
          <t>IC Organic Acids</t>
        </is>
      </c>
      <c r="EO489" s="20" t="inlineStr">
        <is>
          <t>None</t>
        </is>
      </c>
      <c r="EP489" s="17" t="n"/>
      <c r="EQ489" s="16" t="n"/>
      <c r="ER489" s="20" t="inlineStr">
        <is>
          <t>IC Organic Acids</t>
        </is>
      </c>
      <c r="ES489" s="20" t="inlineStr">
        <is>
          <t>None</t>
        </is>
      </c>
      <c r="ET489" s="17" t="n"/>
      <c r="EU489" s="16" t="n"/>
      <c r="EV489" s="20" t="inlineStr">
        <is>
          <t>LC-MS</t>
        </is>
      </c>
      <c r="EW489" s="20" t="inlineStr">
        <is>
          <t>None</t>
        </is>
      </c>
      <c r="EX489" s="17" t="n"/>
      <c r="EY489" s="21" t="n"/>
      <c r="EZ489">
        <f>CONCATENATE(A489,B489)</f>
        <v/>
      </c>
      <c r="FA489">
        <f>CONCATENATE(SamplesX!A489,SamplesX!B489)</f>
        <v/>
      </c>
      <c r="FC489">
        <f>MATCH(EZ489,FA1:FA1008,0)</f>
        <v/>
      </c>
    </row>
    <row r="490">
      <c r="A490" s="16" t="n"/>
      <c r="B490" s="17" t="n"/>
      <c r="C490" s="10">
        <f>IF(ISNUMBER(FC490),INDIRECT("SamplesX!C"&amp;FC490),IF(ISNUMBER(FD490),INDIRECT("SamplesY!C"&amp;FD490),""))</f>
        <v/>
      </c>
      <c r="D490" s="12">
        <f>IF(ISNUMBER(FC490),INDIRECT("SamplesX!D"&amp;FC490),IF(ISNUMBER(FD490),INDIRECT("SamplesY!D"&amp;FD490),""))</f>
        <v/>
      </c>
      <c r="E490" s="12">
        <f>IF(ISNUMBER(FC490),INDIRECT("SamplesX!E"&amp;FC490),IF(ISNUMBER(FD490),INDIRECT("SamplesY!E"&amp;FD490),""))</f>
        <v/>
      </c>
      <c r="F490" s="11">
        <f>IF(ISNUMBER(FC490),INDIRECT("SamplesX!F"&amp;FC490),IF(ISNUMBER(FD490),INDIRECT("SamplesY!F"&amp;FD490),""))</f>
        <v/>
      </c>
      <c r="G490" s="18">
        <f>IF(ISNUMBER(FC490),INDIRECT("SamplesX!G"&amp;FC490),IF(ISNUMBER(FD490),INDIRECT("SamplesY!G"&amp;FD490),""))</f>
        <v/>
      </c>
      <c r="H490" s="19">
        <f>IF(ISNUMBER(FC490),INDIRECT("SamplesX!H"&amp;FC490),IF(ISNUMBER(FD490),INDIRECT("SamplesY!H"&amp;FD490),""))</f>
        <v/>
      </c>
      <c r="I490" s="16" t="n"/>
      <c r="J490" s="16" t="n"/>
      <c r="K490" s="16" t="n"/>
      <c r="L490" s="20" t="n"/>
      <c r="M490" s="20" t="inlineStr">
        <is>
          <t>None</t>
        </is>
      </c>
      <c r="N490" s="17" t="n"/>
      <c r="O490" s="16" t="n"/>
      <c r="P490" s="20" t="inlineStr">
        <is>
          <t>Shimadzu TOC-L</t>
        </is>
      </c>
      <c r="Q490" s="20" t="inlineStr">
        <is>
          <t>None</t>
        </is>
      </c>
      <c r="R490" s="17" t="n"/>
      <c r="S490" s="16" t="n"/>
      <c r="T490" s="20" t="inlineStr">
        <is>
          <t>Shimadzu TOC-L</t>
        </is>
      </c>
      <c r="U490" s="20" t="inlineStr">
        <is>
          <t>None</t>
        </is>
      </c>
      <c r="V490" s="17" t="n"/>
      <c r="W490" s="16" t="n"/>
      <c r="X490" s="20" t="n"/>
      <c r="Y490" s="20" t="inlineStr">
        <is>
          <t>None</t>
        </is>
      </c>
      <c r="Z490" s="17" t="n"/>
      <c r="AA490" s="16" t="n"/>
      <c r="AB490" s="20" t="n"/>
      <c r="AC490" s="20" t="inlineStr">
        <is>
          <t>None</t>
        </is>
      </c>
      <c r="AD490" s="17" t="n"/>
      <c r="AE490" s="16" t="n"/>
      <c r="AF490" s="20" t="inlineStr">
        <is>
          <t>IC Anionen</t>
        </is>
      </c>
      <c r="AG490" s="20" t="inlineStr">
        <is>
          <t>None</t>
        </is>
      </c>
      <c r="AH490" s="17" t="n"/>
      <c r="AI490" s="16" t="n"/>
      <c r="AJ490" s="20" t="n"/>
      <c r="AK490" s="20" t="inlineStr">
        <is>
          <t>None</t>
        </is>
      </c>
      <c r="AL490" s="17" t="n"/>
      <c r="AM490" s="16" t="n"/>
      <c r="AN490" s="20" t="inlineStr">
        <is>
          <t>IC Anionen</t>
        </is>
      </c>
      <c r="AO490" s="20" t="inlineStr">
        <is>
          <t>None</t>
        </is>
      </c>
      <c r="AP490" s="17" t="n"/>
      <c r="AQ490" s="16" t="n"/>
      <c r="AR490" s="20" t="n"/>
      <c r="AS490" s="20" t="inlineStr">
        <is>
          <t>None</t>
        </is>
      </c>
      <c r="AT490" s="17" t="n"/>
      <c r="AU490" s="16" t="n"/>
      <c r="AV490" s="20" t="n"/>
      <c r="AW490" s="20" t="inlineStr">
        <is>
          <t>None</t>
        </is>
      </c>
      <c r="AX490" s="17" t="n"/>
      <c r="AY490" s="16" t="n"/>
      <c r="AZ490" s="20" t="inlineStr">
        <is>
          <t>IC Anionen</t>
        </is>
      </c>
      <c r="BA490" s="20" t="inlineStr">
        <is>
          <t>None</t>
        </is>
      </c>
      <c r="BB490" s="17" t="n"/>
      <c r="BC490" s="16" t="n"/>
      <c r="BD490" s="20" t="inlineStr">
        <is>
          <t>IC Kationen</t>
        </is>
      </c>
      <c r="BE490" s="20" t="inlineStr">
        <is>
          <t>None</t>
        </is>
      </c>
      <c r="BF490" s="17" t="n"/>
      <c r="BG490" s="16" t="n"/>
      <c r="BH490" s="20" t="inlineStr">
        <is>
          <t>IC Kationen</t>
        </is>
      </c>
      <c r="BI490" s="20" t="inlineStr">
        <is>
          <t>None</t>
        </is>
      </c>
      <c r="BJ490" s="17" t="n"/>
      <c r="BK490" s="16" t="n"/>
      <c r="BL490" s="20" t="inlineStr">
        <is>
          <t>IC Kationen</t>
        </is>
      </c>
      <c r="BM490" s="20" t="inlineStr">
        <is>
          <t>None</t>
        </is>
      </c>
      <c r="BN490" s="17" t="n"/>
      <c r="BO490" s="16" t="n"/>
      <c r="BP490" s="20" t="inlineStr">
        <is>
          <t>IC Kationen</t>
        </is>
      </c>
      <c r="BQ490" s="20" t="inlineStr">
        <is>
          <t>None</t>
        </is>
      </c>
      <c r="BR490" s="17" t="n"/>
      <c r="BS490" s="16" t="n"/>
      <c r="BT490" s="20" t="inlineStr">
        <is>
          <t>IC Kationen</t>
        </is>
      </c>
      <c r="BU490" s="20" t="inlineStr">
        <is>
          <t>None</t>
        </is>
      </c>
      <c r="BV490" s="17" t="n"/>
      <c r="BW490" s="16" t="n"/>
      <c r="BX490" s="20" t="n"/>
      <c r="BY490" s="20" t="inlineStr">
        <is>
          <t>None</t>
        </is>
      </c>
      <c r="BZ490" s="17" t="n"/>
      <c r="CA490" s="16" t="n"/>
      <c r="CB490" s="20" t="n"/>
      <c r="CC490" s="20" t="inlineStr">
        <is>
          <t>None</t>
        </is>
      </c>
      <c r="CD490" s="17" t="n"/>
      <c r="CE490" s="16" t="n"/>
      <c r="CF490" s="20" t="n"/>
      <c r="CG490" s="20" t="inlineStr">
        <is>
          <t>None</t>
        </is>
      </c>
      <c r="CH490" s="17" t="n"/>
      <c r="CI490" s="16" t="n"/>
      <c r="CJ490" s="20" t="n"/>
      <c r="CK490" s="20" t="inlineStr">
        <is>
          <t>None</t>
        </is>
      </c>
      <c r="CL490" s="17" t="n"/>
      <c r="CM490" s="16" t="n"/>
      <c r="CN490" s="20" t="inlineStr">
        <is>
          <t>SOP 45-34</t>
        </is>
      </c>
      <c r="CO490" s="20" t="inlineStr">
        <is>
          <t>None</t>
        </is>
      </c>
      <c r="CP490" s="17" t="n"/>
      <c r="CQ490" s="16" t="n"/>
      <c r="CR490" s="20" t="n"/>
      <c r="CS490" s="20" t="inlineStr">
        <is>
          <t>None</t>
        </is>
      </c>
      <c r="CT490" s="17" t="n"/>
      <c r="CU490" s="16" t="n"/>
      <c r="CV490" s="20" t="n"/>
      <c r="CW490" s="20" t="inlineStr">
        <is>
          <t>None</t>
        </is>
      </c>
      <c r="CX490" s="17" t="n"/>
      <c r="CY490" s="16" t="n"/>
      <c r="CZ490" s="20" t="inlineStr">
        <is>
          <t>WTW Multimeter 3430 with FDO 925</t>
        </is>
      </c>
      <c r="DA490" s="20" t="inlineStr">
        <is>
          <t>None</t>
        </is>
      </c>
      <c r="DB490" s="17" t="n"/>
      <c r="DC490" s="16" t="n"/>
      <c r="DD490" s="20" t="n"/>
      <c r="DE490" s="20" t="inlineStr">
        <is>
          <t>None</t>
        </is>
      </c>
      <c r="DF490" s="17" t="n"/>
      <c r="DG490" s="16" t="n"/>
      <c r="DH490" s="20" t="inlineStr">
        <is>
          <t>SOP 45-09</t>
        </is>
      </c>
      <c r="DI490" s="20" t="inlineStr">
        <is>
          <t>None</t>
        </is>
      </c>
      <c r="DJ490" s="17" t="n"/>
      <c r="DK490" s="16" t="n"/>
      <c r="DL490" s="20" t="inlineStr">
        <is>
          <t>SOP 45-09 (SOP muss noch angepasst werden für VSS)</t>
        </is>
      </c>
      <c r="DM490" s="20" t="inlineStr">
        <is>
          <t>None</t>
        </is>
      </c>
      <c r="DN490" s="17" t="n"/>
      <c r="DO490" s="16" t="n"/>
      <c r="DP490" s="20" t="inlineStr">
        <is>
          <t>IC Organic Acids</t>
        </is>
      </c>
      <c r="DQ490" s="20" t="inlineStr">
        <is>
          <t>None</t>
        </is>
      </c>
      <c r="DR490" s="17" t="n"/>
      <c r="DS490" s="16" t="n"/>
      <c r="DT490" s="20" t="inlineStr">
        <is>
          <t>IC Organic Acids</t>
        </is>
      </c>
      <c r="DU490" s="20" t="inlineStr">
        <is>
          <t>None</t>
        </is>
      </c>
      <c r="DV490" s="17" t="n"/>
      <c r="DW490" s="16" t="n"/>
      <c r="DX490" s="20" t="inlineStr">
        <is>
          <t>IC Organic Acids</t>
        </is>
      </c>
      <c r="DY490" s="20" t="inlineStr">
        <is>
          <t>None</t>
        </is>
      </c>
      <c r="DZ490" s="17" t="n"/>
      <c r="EA490" s="16" t="n"/>
      <c r="EB490" s="20" t="inlineStr">
        <is>
          <t>IC Organic Acids</t>
        </is>
      </c>
      <c r="EC490" s="20" t="inlineStr">
        <is>
          <t>None</t>
        </is>
      </c>
      <c r="ED490" s="17" t="n"/>
      <c r="EE490" s="16" t="n"/>
      <c r="EF490" s="20" t="inlineStr">
        <is>
          <t>IC Organic Acids</t>
        </is>
      </c>
      <c r="EG490" s="20" t="inlineStr">
        <is>
          <t>None</t>
        </is>
      </c>
      <c r="EH490" s="17" t="n"/>
      <c r="EI490" s="16" t="n"/>
      <c r="EJ490" s="20" t="inlineStr">
        <is>
          <t>IC Organic Acids</t>
        </is>
      </c>
      <c r="EK490" s="20" t="inlineStr">
        <is>
          <t>None</t>
        </is>
      </c>
      <c r="EL490" s="17" t="n"/>
      <c r="EM490" s="16" t="n"/>
      <c r="EN490" s="20" t="inlineStr">
        <is>
          <t>IC Organic Acids</t>
        </is>
      </c>
      <c r="EO490" s="20" t="inlineStr">
        <is>
          <t>None</t>
        </is>
      </c>
      <c r="EP490" s="17" t="n"/>
      <c r="EQ490" s="16" t="n"/>
      <c r="ER490" s="20" t="inlineStr">
        <is>
          <t>IC Organic Acids</t>
        </is>
      </c>
      <c r="ES490" s="20" t="inlineStr">
        <is>
          <t>None</t>
        </is>
      </c>
      <c r="ET490" s="17" t="n"/>
      <c r="EU490" s="16" t="n"/>
      <c r="EV490" s="20" t="inlineStr">
        <is>
          <t>LC-MS</t>
        </is>
      </c>
      <c r="EW490" s="20" t="inlineStr">
        <is>
          <t>None</t>
        </is>
      </c>
      <c r="EX490" s="17" t="n"/>
      <c r="EY490" s="21" t="n"/>
      <c r="EZ490">
        <f>CONCATENATE(A490,B490)</f>
        <v/>
      </c>
      <c r="FA490">
        <f>CONCATENATE(SamplesX!A490,SamplesX!B490)</f>
        <v/>
      </c>
      <c r="FC490">
        <f>MATCH(EZ490,FA1:FA1008,0)</f>
        <v/>
      </c>
    </row>
    <row r="491">
      <c r="A491" s="16" t="n"/>
      <c r="B491" s="17" t="n"/>
      <c r="C491" s="10">
        <f>IF(ISNUMBER(FC491),INDIRECT("SamplesX!C"&amp;FC491),IF(ISNUMBER(FD491),INDIRECT("SamplesY!C"&amp;FD491),""))</f>
        <v/>
      </c>
      <c r="D491" s="12">
        <f>IF(ISNUMBER(FC491),INDIRECT("SamplesX!D"&amp;FC491),IF(ISNUMBER(FD491),INDIRECT("SamplesY!D"&amp;FD491),""))</f>
        <v/>
      </c>
      <c r="E491" s="12">
        <f>IF(ISNUMBER(FC491),INDIRECT("SamplesX!E"&amp;FC491),IF(ISNUMBER(FD491),INDIRECT("SamplesY!E"&amp;FD491),""))</f>
        <v/>
      </c>
      <c r="F491" s="11">
        <f>IF(ISNUMBER(FC491),INDIRECT("SamplesX!F"&amp;FC491),IF(ISNUMBER(FD491),INDIRECT("SamplesY!F"&amp;FD491),""))</f>
        <v/>
      </c>
      <c r="G491" s="18">
        <f>IF(ISNUMBER(FC491),INDIRECT("SamplesX!G"&amp;FC491),IF(ISNUMBER(FD491),INDIRECT("SamplesY!G"&amp;FD491),""))</f>
        <v/>
      </c>
      <c r="H491" s="19">
        <f>IF(ISNUMBER(FC491),INDIRECT("SamplesX!H"&amp;FC491),IF(ISNUMBER(FD491),INDIRECT("SamplesY!H"&amp;FD491),""))</f>
        <v/>
      </c>
      <c r="I491" s="16" t="n"/>
      <c r="J491" s="16" t="n"/>
      <c r="K491" s="16" t="n"/>
      <c r="L491" s="20" t="n"/>
      <c r="M491" s="20" t="inlineStr">
        <is>
          <t>None</t>
        </is>
      </c>
      <c r="N491" s="17" t="n"/>
      <c r="O491" s="16" t="n"/>
      <c r="P491" s="20" t="inlineStr">
        <is>
          <t>Shimadzu TOC-L</t>
        </is>
      </c>
      <c r="Q491" s="20" t="inlineStr">
        <is>
          <t>None</t>
        </is>
      </c>
      <c r="R491" s="17" t="n"/>
      <c r="S491" s="16" t="n"/>
      <c r="T491" s="20" t="inlineStr">
        <is>
          <t>Shimadzu TOC-L</t>
        </is>
      </c>
      <c r="U491" s="20" t="inlineStr">
        <is>
          <t>None</t>
        </is>
      </c>
      <c r="V491" s="17" t="n"/>
      <c r="W491" s="16" t="n"/>
      <c r="X491" s="20" t="n"/>
      <c r="Y491" s="20" t="inlineStr">
        <is>
          <t>None</t>
        </is>
      </c>
      <c r="Z491" s="17" t="n"/>
      <c r="AA491" s="16" t="n"/>
      <c r="AB491" s="20" t="n"/>
      <c r="AC491" s="20" t="inlineStr">
        <is>
          <t>None</t>
        </is>
      </c>
      <c r="AD491" s="17" t="n"/>
      <c r="AE491" s="16" t="n"/>
      <c r="AF491" s="20" t="inlineStr">
        <is>
          <t>IC Anionen</t>
        </is>
      </c>
      <c r="AG491" s="20" t="inlineStr">
        <is>
          <t>None</t>
        </is>
      </c>
      <c r="AH491" s="17" t="n"/>
      <c r="AI491" s="16" t="n"/>
      <c r="AJ491" s="20" t="n"/>
      <c r="AK491" s="20" t="inlineStr">
        <is>
          <t>None</t>
        </is>
      </c>
      <c r="AL491" s="17" t="n"/>
      <c r="AM491" s="16" t="n"/>
      <c r="AN491" s="20" t="inlineStr">
        <is>
          <t>IC Anionen</t>
        </is>
      </c>
      <c r="AO491" s="20" t="inlineStr">
        <is>
          <t>None</t>
        </is>
      </c>
      <c r="AP491" s="17" t="n"/>
      <c r="AQ491" s="16" t="n"/>
      <c r="AR491" s="20" t="n"/>
      <c r="AS491" s="20" t="inlineStr">
        <is>
          <t>None</t>
        </is>
      </c>
      <c r="AT491" s="17" t="n"/>
      <c r="AU491" s="16" t="n"/>
      <c r="AV491" s="20" t="n"/>
      <c r="AW491" s="20" t="inlineStr">
        <is>
          <t>None</t>
        </is>
      </c>
      <c r="AX491" s="17" t="n"/>
      <c r="AY491" s="16" t="n"/>
      <c r="AZ491" s="20" t="inlineStr">
        <is>
          <t>IC Anionen</t>
        </is>
      </c>
      <c r="BA491" s="20" t="inlineStr">
        <is>
          <t>None</t>
        </is>
      </c>
      <c r="BB491" s="17" t="n"/>
      <c r="BC491" s="16" t="n"/>
      <c r="BD491" s="20" t="inlineStr">
        <is>
          <t>IC Kationen</t>
        </is>
      </c>
      <c r="BE491" s="20" t="inlineStr">
        <is>
          <t>None</t>
        </is>
      </c>
      <c r="BF491" s="17" t="n"/>
      <c r="BG491" s="16" t="n"/>
      <c r="BH491" s="20" t="inlineStr">
        <is>
          <t>IC Kationen</t>
        </is>
      </c>
      <c r="BI491" s="20" t="inlineStr">
        <is>
          <t>None</t>
        </is>
      </c>
      <c r="BJ491" s="17" t="n"/>
      <c r="BK491" s="16" t="n"/>
      <c r="BL491" s="20" t="inlineStr">
        <is>
          <t>IC Kationen</t>
        </is>
      </c>
      <c r="BM491" s="20" t="inlineStr">
        <is>
          <t>None</t>
        </is>
      </c>
      <c r="BN491" s="17" t="n"/>
      <c r="BO491" s="16" t="n"/>
      <c r="BP491" s="20" t="inlineStr">
        <is>
          <t>IC Kationen</t>
        </is>
      </c>
      <c r="BQ491" s="20" t="inlineStr">
        <is>
          <t>None</t>
        </is>
      </c>
      <c r="BR491" s="17" t="n"/>
      <c r="BS491" s="16" t="n"/>
      <c r="BT491" s="20" t="inlineStr">
        <is>
          <t>IC Kationen</t>
        </is>
      </c>
      <c r="BU491" s="20" t="inlineStr">
        <is>
          <t>None</t>
        </is>
      </c>
      <c r="BV491" s="17" t="n"/>
      <c r="BW491" s="16" t="n"/>
      <c r="BX491" s="20" t="n"/>
      <c r="BY491" s="20" t="inlineStr">
        <is>
          <t>None</t>
        </is>
      </c>
      <c r="BZ491" s="17" t="n"/>
      <c r="CA491" s="16" t="n"/>
      <c r="CB491" s="20" t="n"/>
      <c r="CC491" s="20" t="inlineStr">
        <is>
          <t>None</t>
        </is>
      </c>
      <c r="CD491" s="17" t="n"/>
      <c r="CE491" s="16" t="n"/>
      <c r="CF491" s="20" t="n"/>
      <c r="CG491" s="20" t="inlineStr">
        <is>
          <t>None</t>
        </is>
      </c>
      <c r="CH491" s="17" t="n"/>
      <c r="CI491" s="16" t="n"/>
      <c r="CJ491" s="20" t="n"/>
      <c r="CK491" s="20" t="inlineStr">
        <is>
          <t>None</t>
        </is>
      </c>
      <c r="CL491" s="17" t="n"/>
      <c r="CM491" s="16" t="n"/>
      <c r="CN491" s="20" t="inlineStr">
        <is>
          <t>SOP 45-34</t>
        </is>
      </c>
      <c r="CO491" s="20" t="inlineStr">
        <is>
          <t>None</t>
        </is>
      </c>
      <c r="CP491" s="17" t="n"/>
      <c r="CQ491" s="16" t="n"/>
      <c r="CR491" s="20" t="n"/>
      <c r="CS491" s="20" t="inlineStr">
        <is>
          <t>None</t>
        </is>
      </c>
      <c r="CT491" s="17" t="n"/>
      <c r="CU491" s="16" t="n"/>
      <c r="CV491" s="20" t="n"/>
      <c r="CW491" s="20" t="inlineStr">
        <is>
          <t>None</t>
        </is>
      </c>
      <c r="CX491" s="17" t="n"/>
      <c r="CY491" s="16" t="n"/>
      <c r="CZ491" s="20" t="inlineStr">
        <is>
          <t>WTW Multimeter 3430 with FDO 925</t>
        </is>
      </c>
      <c r="DA491" s="20" t="inlineStr">
        <is>
          <t>None</t>
        </is>
      </c>
      <c r="DB491" s="17" t="n"/>
      <c r="DC491" s="16" t="n"/>
      <c r="DD491" s="20" t="n"/>
      <c r="DE491" s="20" t="inlineStr">
        <is>
          <t>None</t>
        </is>
      </c>
      <c r="DF491" s="17" t="n"/>
      <c r="DG491" s="16" t="n"/>
      <c r="DH491" s="20" t="inlineStr">
        <is>
          <t>SOP 45-09</t>
        </is>
      </c>
      <c r="DI491" s="20" t="inlineStr">
        <is>
          <t>None</t>
        </is>
      </c>
      <c r="DJ491" s="17" t="n"/>
      <c r="DK491" s="16" t="n"/>
      <c r="DL491" s="20" t="inlineStr">
        <is>
          <t>SOP 45-09 (SOP muss noch angepasst werden für VSS)</t>
        </is>
      </c>
      <c r="DM491" s="20" t="inlineStr">
        <is>
          <t>None</t>
        </is>
      </c>
      <c r="DN491" s="17" t="n"/>
      <c r="DO491" s="16" t="n"/>
      <c r="DP491" s="20" t="inlineStr">
        <is>
          <t>IC Organic Acids</t>
        </is>
      </c>
      <c r="DQ491" s="20" t="inlineStr">
        <is>
          <t>None</t>
        </is>
      </c>
      <c r="DR491" s="17" t="n"/>
      <c r="DS491" s="16" t="n"/>
      <c r="DT491" s="20" t="inlineStr">
        <is>
          <t>IC Organic Acids</t>
        </is>
      </c>
      <c r="DU491" s="20" t="inlineStr">
        <is>
          <t>None</t>
        </is>
      </c>
      <c r="DV491" s="17" t="n"/>
      <c r="DW491" s="16" t="n"/>
      <c r="DX491" s="20" t="inlineStr">
        <is>
          <t>IC Organic Acids</t>
        </is>
      </c>
      <c r="DY491" s="20" t="inlineStr">
        <is>
          <t>None</t>
        </is>
      </c>
      <c r="DZ491" s="17" t="n"/>
      <c r="EA491" s="16" t="n"/>
      <c r="EB491" s="20" t="inlineStr">
        <is>
          <t>IC Organic Acids</t>
        </is>
      </c>
      <c r="EC491" s="20" t="inlineStr">
        <is>
          <t>None</t>
        </is>
      </c>
      <c r="ED491" s="17" t="n"/>
      <c r="EE491" s="16" t="n"/>
      <c r="EF491" s="20" t="inlineStr">
        <is>
          <t>IC Organic Acids</t>
        </is>
      </c>
      <c r="EG491" s="20" t="inlineStr">
        <is>
          <t>None</t>
        </is>
      </c>
      <c r="EH491" s="17" t="n"/>
      <c r="EI491" s="16" t="n"/>
      <c r="EJ491" s="20" t="inlineStr">
        <is>
          <t>IC Organic Acids</t>
        </is>
      </c>
      <c r="EK491" s="20" t="inlineStr">
        <is>
          <t>None</t>
        </is>
      </c>
      <c r="EL491" s="17" t="n"/>
      <c r="EM491" s="16" t="n"/>
      <c r="EN491" s="20" t="inlineStr">
        <is>
          <t>IC Organic Acids</t>
        </is>
      </c>
      <c r="EO491" s="20" t="inlineStr">
        <is>
          <t>None</t>
        </is>
      </c>
      <c r="EP491" s="17" t="n"/>
      <c r="EQ491" s="16" t="n"/>
      <c r="ER491" s="20" t="inlineStr">
        <is>
          <t>IC Organic Acids</t>
        </is>
      </c>
      <c r="ES491" s="20" t="inlineStr">
        <is>
          <t>None</t>
        </is>
      </c>
      <c r="ET491" s="17" t="n"/>
      <c r="EU491" s="16" t="n"/>
      <c r="EV491" s="20" t="inlineStr">
        <is>
          <t>LC-MS</t>
        </is>
      </c>
      <c r="EW491" s="20" t="inlineStr">
        <is>
          <t>None</t>
        </is>
      </c>
      <c r="EX491" s="17" t="n"/>
      <c r="EY491" s="21" t="n"/>
      <c r="EZ491">
        <f>CONCATENATE(A491,B491)</f>
        <v/>
      </c>
      <c r="FA491">
        <f>CONCATENATE(SamplesX!A491,SamplesX!B491)</f>
        <v/>
      </c>
      <c r="FC491">
        <f>MATCH(EZ491,FA1:FA1008,0)</f>
        <v/>
      </c>
    </row>
    <row r="492">
      <c r="A492" s="16" t="n"/>
      <c r="B492" s="17" t="n"/>
      <c r="C492" s="10">
        <f>IF(ISNUMBER(FC492),INDIRECT("SamplesX!C"&amp;FC492),IF(ISNUMBER(FD492),INDIRECT("SamplesY!C"&amp;FD492),""))</f>
        <v/>
      </c>
      <c r="D492" s="12">
        <f>IF(ISNUMBER(FC492),INDIRECT("SamplesX!D"&amp;FC492),IF(ISNUMBER(FD492),INDIRECT("SamplesY!D"&amp;FD492),""))</f>
        <v/>
      </c>
      <c r="E492" s="12">
        <f>IF(ISNUMBER(FC492),INDIRECT("SamplesX!E"&amp;FC492),IF(ISNUMBER(FD492),INDIRECT("SamplesY!E"&amp;FD492),""))</f>
        <v/>
      </c>
      <c r="F492" s="11">
        <f>IF(ISNUMBER(FC492),INDIRECT("SamplesX!F"&amp;FC492),IF(ISNUMBER(FD492),INDIRECT("SamplesY!F"&amp;FD492),""))</f>
        <v/>
      </c>
      <c r="G492" s="18">
        <f>IF(ISNUMBER(FC492),INDIRECT("SamplesX!G"&amp;FC492),IF(ISNUMBER(FD492),INDIRECT("SamplesY!G"&amp;FD492),""))</f>
        <v/>
      </c>
      <c r="H492" s="19">
        <f>IF(ISNUMBER(FC492),INDIRECT("SamplesX!H"&amp;FC492),IF(ISNUMBER(FD492),INDIRECT("SamplesY!H"&amp;FD492),""))</f>
        <v/>
      </c>
      <c r="I492" s="16" t="n"/>
      <c r="J492" s="16" t="n"/>
      <c r="K492" s="16" t="n"/>
      <c r="L492" s="20" t="n"/>
      <c r="M492" s="20" t="inlineStr">
        <is>
          <t>None</t>
        </is>
      </c>
      <c r="N492" s="17" t="n"/>
      <c r="O492" s="16" t="n"/>
      <c r="P492" s="20" t="inlineStr">
        <is>
          <t>Shimadzu TOC-L</t>
        </is>
      </c>
      <c r="Q492" s="20" t="inlineStr">
        <is>
          <t>None</t>
        </is>
      </c>
      <c r="R492" s="17" t="n"/>
      <c r="S492" s="16" t="n"/>
      <c r="T492" s="20" t="inlineStr">
        <is>
          <t>Shimadzu TOC-L</t>
        </is>
      </c>
      <c r="U492" s="20" t="inlineStr">
        <is>
          <t>None</t>
        </is>
      </c>
      <c r="V492" s="17" t="n"/>
      <c r="W492" s="16" t="n"/>
      <c r="X492" s="20" t="n"/>
      <c r="Y492" s="20" t="inlineStr">
        <is>
          <t>None</t>
        </is>
      </c>
      <c r="Z492" s="17" t="n"/>
      <c r="AA492" s="16" t="n"/>
      <c r="AB492" s="20" t="n"/>
      <c r="AC492" s="20" t="inlineStr">
        <is>
          <t>None</t>
        </is>
      </c>
      <c r="AD492" s="17" t="n"/>
      <c r="AE492" s="16" t="n"/>
      <c r="AF492" s="20" t="inlineStr">
        <is>
          <t>IC Anionen</t>
        </is>
      </c>
      <c r="AG492" s="20" t="inlineStr">
        <is>
          <t>None</t>
        </is>
      </c>
      <c r="AH492" s="17" t="n"/>
      <c r="AI492" s="16" t="n"/>
      <c r="AJ492" s="20" t="n"/>
      <c r="AK492" s="20" t="inlineStr">
        <is>
          <t>None</t>
        </is>
      </c>
      <c r="AL492" s="17" t="n"/>
      <c r="AM492" s="16" t="n"/>
      <c r="AN492" s="20" t="inlineStr">
        <is>
          <t>IC Anionen</t>
        </is>
      </c>
      <c r="AO492" s="20" t="inlineStr">
        <is>
          <t>None</t>
        </is>
      </c>
      <c r="AP492" s="17" t="n"/>
      <c r="AQ492" s="16" t="n"/>
      <c r="AR492" s="20" t="n"/>
      <c r="AS492" s="20" t="inlineStr">
        <is>
          <t>None</t>
        </is>
      </c>
      <c r="AT492" s="17" t="n"/>
      <c r="AU492" s="16" t="n"/>
      <c r="AV492" s="20" t="n"/>
      <c r="AW492" s="20" t="inlineStr">
        <is>
          <t>None</t>
        </is>
      </c>
      <c r="AX492" s="17" t="n"/>
      <c r="AY492" s="16" t="n"/>
      <c r="AZ492" s="20" t="inlineStr">
        <is>
          <t>IC Anionen</t>
        </is>
      </c>
      <c r="BA492" s="20" t="inlineStr">
        <is>
          <t>None</t>
        </is>
      </c>
      <c r="BB492" s="17" t="n"/>
      <c r="BC492" s="16" t="n"/>
      <c r="BD492" s="20" t="inlineStr">
        <is>
          <t>IC Kationen</t>
        </is>
      </c>
      <c r="BE492" s="20" t="inlineStr">
        <is>
          <t>None</t>
        </is>
      </c>
      <c r="BF492" s="17" t="n"/>
      <c r="BG492" s="16" t="n"/>
      <c r="BH492" s="20" t="inlineStr">
        <is>
          <t>IC Kationen</t>
        </is>
      </c>
      <c r="BI492" s="20" t="inlineStr">
        <is>
          <t>None</t>
        </is>
      </c>
      <c r="BJ492" s="17" t="n"/>
      <c r="BK492" s="16" t="n"/>
      <c r="BL492" s="20" t="inlineStr">
        <is>
          <t>IC Kationen</t>
        </is>
      </c>
      <c r="BM492" s="20" t="inlineStr">
        <is>
          <t>None</t>
        </is>
      </c>
      <c r="BN492" s="17" t="n"/>
      <c r="BO492" s="16" t="n"/>
      <c r="BP492" s="20" t="inlineStr">
        <is>
          <t>IC Kationen</t>
        </is>
      </c>
      <c r="BQ492" s="20" t="inlineStr">
        <is>
          <t>None</t>
        </is>
      </c>
      <c r="BR492" s="17" t="n"/>
      <c r="BS492" s="16" t="n"/>
      <c r="BT492" s="20" t="inlineStr">
        <is>
          <t>IC Kationen</t>
        </is>
      </c>
      <c r="BU492" s="20" t="inlineStr">
        <is>
          <t>None</t>
        </is>
      </c>
      <c r="BV492" s="17" t="n"/>
      <c r="BW492" s="16" t="n"/>
      <c r="BX492" s="20" t="n"/>
      <c r="BY492" s="20" t="inlineStr">
        <is>
          <t>None</t>
        </is>
      </c>
      <c r="BZ492" s="17" t="n"/>
      <c r="CA492" s="16" t="n"/>
      <c r="CB492" s="20" t="n"/>
      <c r="CC492" s="20" t="inlineStr">
        <is>
          <t>None</t>
        </is>
      </c>
      <c r="CD492" s="17" t="n"/>
      <c r="CE492" s="16" t="n"/>
      <c r="CF492" s="20" t="n"/>
      <c r="CG492" s="20" t="inlineStr">
        <is>
          <t>None</t>
        </is>
      </c>
      <c r="CH492" s="17" t="n"/>
      <c r="CI492" s="16" t="n"/>
      <c r="CJ492" s="20" t="n"/>
      <c r="CK492" s="20" t="inlineStr">
        <is>
          <t>None</t>
        </is>
      </c>
      <c r="CL492" s="17" t="n"/>
      <c r="CM492" s="16" t="n"/>
      <c r="CN492" s="20" t="inlineStr">
        <is>
          <t>SOP 45-34</t>
        </is>
      </c>
      <c r="CO492" s="20" t="inlineStr">
        <is>
          <t>None</t>
        </is>
      </c>
      <c r="CP492" s="17" t="n"/>
      <c r="CQ492" s="16" t="n"/>
      <c r="CR492" s="20" t="n"/>
      <c r="CS492" s="20" t="inlineStr">
        <is>
          <t>None</t>
        </is>
      </c>
      <c r="CT492" s="17" t="n"/>
      <c r="CU492" s="16" t="n"/>
      <c r="CV492" s="20" t="n"/>
      <c r="CW492" s="20" t="inlineStr">
        <is>
          <t>None</t>
        </is>
      </c>
      <c r="CX492" s="17" t="n"/>
      <c r="CY492" s="16" t="n"/>
      <c r="CZ492" s="20" t="inlineStr">
        <is>
          <t>WTW Multimeter 3430 with FDO 925</t>
        </is>
      </c>
      <c r="DA492" s="20" t="inlineStr">
        <is>
          <t>None</t>
        </is>
      </c>
      <c r="DB492" s="17" t="n"/>
      <c r="DC492" s="16" t="n"/>
      <c r="DD492" s="20" t="n"/>
      <c r="DE492" s="20" t="inlineStr">
        <is>
          <t>None</t>
        </is>
      </c>
      <c r="DF492" s="17" t="n"/>
      <c r="DG492" s="16" t="n"/>
      <c r="DH492" s="20" t="inlineStr">
        <is>
          <t>SOP 45-09</t>
        </is>
      </c>
      <c r="DI492" s="20" t="inlineStr">
        <is>
          <t>None</t>
        </is>
      </c>
      <c r="DJ492" s="17" t="n"/>
      <c r="DK492" s="16" t="n"/>
      <c r="DL492" s="20" t="inlineStr">
        <is>
          <t>SOP 45-09 (SOP muss noch angepasst werden für VSS)</t>
        </is>
      </c>
      <c r="DM492" s="20" t="inlineStr">
        <is>
          <t>None</t>
        </is>
      </c>
      <c r="DN492" s="17" t="n"/>
      <c r="DO492" s="16" t="n"/>
      <c r="DP492" s="20" t="inlineStr">
        <is>
          <t>IC Organic Acids</t>
        </is>
      </c>
      <c r="DQ492" s="20" t="inlineStr">
        <is>
          <t>None</t>
        </is>
      </c>
      <c r="DR492" s="17" t="n"/>
      <c r="DS492" s="16" t="n"/>
      <c r="DT492" s="20" t="inlineStr">
        <is>
          <t>IC Organic Acids</t>
        </is>
      </c>
      <c r="DU492" s="20" t="inlineStr">
        <is>
          <t>None</t>
        </is>
      </c>
      <c r="DV492" s="17" t="n"/>
      <c r="DW492" s="16" t="n"/>
      <c r="DX492" s="20" t="inlineStr">
        <is>
          <t>IC Organic Acids</t>
        </is>
      </c>
      <c r="DY492" s="20" t="inlineStr">
        <is>
          <t>None</t>
        </is>
      </c>
      <c r="DZ492" s="17" t="n"/>
      <c r="EA492" s="16" t="n"/>
      <c r="EB492" s="20" t="inlineStr">
        <is>
          <t>IC Organic Acids</t>
        </is>
      </c>
      <c r="EC492" s="20" t="inlineStr">
        <is>
          <t>None</t>
        </is>
      </c>
      <c r="ED492" s="17" t="n"/>
      <c r="EE492" s="16" t="n"/>
      <c r="EF492" s="20" t="inlineStr">
        <is>
          <t>IC Organic Acids</t>
        </is>
      </c>
      <c r="EG492" s="20" t="inlineStr">
        <is>
          <t>None</t>
        </is>
      </c>
      <c r="EH492" s="17" t="n"/>
      <c r="EI492" s="16" t="n"/>
      <c r="EJ492" s="20" t="inlineStr">
        <is>
          <t>IC Organic Acids</t>
        </is>
      </c>
      <c r="EK492" s="20" t="inlineStr">
        <is>
          <t>None</t>
        </is>
      </c>
      <c r="EL492" s="17" t="n"/>
      <c r="EM492" s="16" t="n"/>
      <c r="EN492" s="20" t="inlineStr">
        <is>
          <t>IC Organic Acids</t>
        </is>
      </c>
      <c r="EO492" s="20" t="inlineStr">
        <is>
          <t>None</t>
        </is>
      </c>
      <c r="EP492" s="17" t="n"/>
      <c r="EQ492" s="16" t="n"/>
      <c r="ER492" s="20" t="inlineStr">
        <is>
          <t>IC Organic Acids</t>
        </is>
      </c>
      <c r="ES492" s="20" t="inlineStr">
        <is>
          <t>None</t>
        </is>
      </c>
      <c r="ET492" s="17" t="n"/>
      <c r="EU492" s="16" t="n"/>
      <c r="EV492" s="20" t="inlineStr">
        <is>
          <t>LC-MS</t>
        </is>
      </c>
      <c r="EW492" s="20" t="inlineStr">
        <is>
          <t>None</t>
        </is>
      </c>
      <c r="EX492" s="17" t="n"/>
      <c r="EY492" s="21" t="n"/>
      <c r="EZ492">
        <f>CONCATENATE(A492,B492)</f>
        <v/>
      </c>
      <c r="FA492">
        <f>CONCATENATE(SamplesX!A492,SamplesX!B492)</f>
        <v/>
      </c>
      <c r="FC492">
        <f>MATCH(EZ492,FA1:FA1008,0)</f>
        <v/>
      </c>
    </row>
    <row r="493">
      <c r="A493" s="16" t="n"/>
      <c r="B493" s="17" t="n"/>
      <c r="C493" s="10">
        <f>IF(ISNUMBER(FC493),INDIRECT("SamplesX!C"&amp;FC493),IF(ISNUMBER(FD493),INDIRECT("SamplesY!C"&amp;FD493),""))</f>
        <v/>
      </c>
      <c r="D493" s="12">
        <f>IF(ISNUMBER(FC493),INDIRECT("SamplesX!D"&amp;FC493),IF(ISNUMBER(FD493),INDIRECT("SamplesY!D"&amp;FD493),""))</f>
        <v/>
      </c>
      <c r="E493" s="12">
        <f>IF(ISNUMBER(FC493),INDIRECT("SamplesX!E"&amp;FC493),IF(ISNUMBER(FD493),INDIRECT("SamplesY!E"&amp;FD493),""))</f>
        <v/>
      </c>
      <c r="F493" s="11">
        <f>IF(ISNUMBER(FC493),INDIRECT("SamplesX!F"&amp;FC493),IF(ISNUMBER(FD493),INDIRECT("SamplesY!F"&amp;FD493),""))</f>
        <v/>
      </c>
      <c r="G493" s="18">
        <f>IF(ISNUMBER(FC493),INDIRECT("SamplesX!G"&amp;FC493),IF(ISNUMBER(FD493),INDIRECT("SamplesY!G"&amp;FD493),""))</f>
        <v/>
      </c>
      <c r="H493" s="19">
        <f>IF(ISNUMBER(FC493),INDIRECT("SamplesX!H"&amp;FC493),IF(ISNUMBER(FD493),INDIRECT("SamplesY!H"&amp;FD493),""))</f>
        <v/>
      </c>
      <c r="I493" s="16" t="n"/>
      <c r="J493" s="16" t="n"/>
      <c r="K493" s="16" t="n"/>
      <c r="L493" s="20" t="n"/>
      <c r="M493" s="20" t="inlineStr">
        <is>
          <t>None</t>
        </is>
      </c>
      <c r="N493" s="17" t="n"/>
      <c r="O493" s="16" t="n"/>
      <c r="P493" s="20" t="inlineStr">
        <is>
          <t>Shimadzu TOC-L</t>
        </is>
      </c>
      <c r="Q493" s="20" t="inlineStr">
        <is>
          <t>None</t>
        </is>
      </c>
      <c r="R493" s="17" t="n"/>
      <c r="S493" s="16" t="n"/>
      <c r="T493" s="20" t="inlineStr">
        <is>
          <t>Shimadzu TOC-L</t>
        </is>
      </c>
      <c r="U493" s="20" t="inlineStr">
        <is>
          <t>None</t>
        </is>
      </c>
      <c r="V493" s="17" t="n"/>
      <c r="W493" s="16" t="n"/>
      <c r="X493" s="20" t="n"/>
      <c r="Y493" s="20" t="inlineStr">
        <is>
          <t>None</t>
        </is>
      </c>
      <c r="Z493" s="17" t="n"/>
      <c r="AA493" s="16" t="n"/>
      <c r="AB493" s="20" t="n"/>
      <c r="AC493" s="20" t="inlineStr">
        <is>
          <t>None</t>
        </is>
      </c>
      <c r="AD493" s="17" t="n"/>
      <c r="AE493" s="16" t="n"/>
      <c r="AF493" s="20" t="inlineStr">
        <is>
          <t>IC Anionen</t>
        </is>
      </c>
      <c r="AG493" s="20" t="inlineStr">
        <is>
          <t>None</t>
        </is>
      </c>
      <c r="AH493" s="17" t="n"/>
      <c r="AI493" s="16" t="n"/>
      <c r="AJ493" s="20" t="n"/>
      <c r="AK493" s="20" t="inlineStr">
        <is>
          <t>None</t>
        </is>
      </c>
      <c r="AL493" s="17" t="n"/>
      <c r="AM493" s="16" t="n"/>
      <c r="AN493" s="20" t="inlineStr">
        <is>
          <t>IC Anionen</t>
        </is>
      </c>
      <c r="AO493" s="20" t="inlineStr">
        <is>
          <t>None</t>
        </is>
      </c>
      <c r="AP493" s="17" t="n"/>
      <c r="AQ493" s="16" t="n"/>
      <c r="AR493" s="20" t="n"/>
      <c r="AS493" s="20" t="inlineStr">
        <is>
          <t>None</t>
        </is>
      </c>
      <c r="AT493" s="17" t="n"/>
      <c r="AU493" s="16" t="n"/>
      <c r="AV493" s="20" t="n"/>
      <c r="AW493" s="20" t="inlineStr">
        <is>
          <t>None</t>
        </is>
      </c>
      <c r="AX493" s="17" t="n"/>
      <c r="AY493" s="16" t="n"/>
      <c r="AZ493" s="20" t="inlineStr">
        <is>
          <t>IC Anionen</t>
        </is>
      </c>
      <c r="BA493" s="20" t="inlineStr">
        <is>
          <t>None</t>
        </is>
      </c>
      <c r="BB493" s="17" t="n"/>
      <c r="BC493" s="16" t="n"/>
      <c r="BD493" s="20" t="inlineStr">
        <is>
          <t>IC Kationen</t>
        </is>
      </c>
      <c r="BE493" s="20" t="inlineStr">
        <is>
          <t>None</t>
        </is>
      </c>
      <c r="BF493" s="17" t="n"/>
      <c r="BG493" s="16" t="n"/>
      <c r="BH493" s="20" t="inlineStr">
        <is>
          <t>IC Kationen</t>
        </is>
      </c>
      <c r="BI493" s="20" t="inlineStr">
        <is>
          <t>None</t>
        </is>
      </c>
      <c r="BJ493" s="17" t="n"/>
      <c r="BK493" s="16" t="n"/>
      <c r="BL493" s="20" t="inlineStr">
        <is>
          <t>IC Kationen</t>
        </is>
      </c>
      <c r="BM493" s="20" t="inlineStr">
        <is>
          <t>None</t>
        </is>
      </c>
      <c r="BN493" s="17" t="n"/>
      <c r="BO493" s="16" t="n"/>
      <c r="BP493" s="20" t="inlineStr">
        <is>
          <t>IC Kationen</t>
        </is>
      </c>
      <c r="BQ493" s="20" t="inlineStr">
        <is>
          <t>None</t>
        </is>
      </c>
      <c r="BR493" s="17" t="n"/>
      <c r="BS493" s="16" t="n"/>
      <c r="BT493" s="20" t="inlineStr">
        <is>
          <t>IC Kationen</t>
        </is>
      </c>
      <c r="BU493" s="20" t="inlineStr">
        <is>
          <t>None</t>
        </is>
      </c>
      <c r="BV493" s="17" t="n"/>
      <c r="BW493" s="16" t="n"/>
      <c r="BX493" s="20" t="n"/>
      <c r="BY493" s="20" t="inlineStr">
        <is>
          <t>None</t>
        </is>
      </c>
      <c r="BZ493" s="17" t="n"/>
      <c r="CA493" s="16" t="n"/>
      <c r="CB493" s="20" t="n"/>
      <c r="CC493" s="20" t="inlineStr">
        <is>
          <t>None</t>
        </is>
      </c>
      <c r="CD493" s="17" t="n"/>
      <c r="CE493" s="16" t="n"/>
      <c r="CF493" s="20" t="n"/>
      <c r="CG493" s="20" t="inlineStr">
        <is>
          <t>None</t>
        </is>
      </c>
      <c r="CH493" s="17" t="n"/>
      <c r="CI493" s="16" t="n"/>
      <c r="CJ493" s="20" t="n"/>
      <c r="CK493" s="20" t="inlineStr">
        <is>
          <t>None</t>
        </is>
      </c>
      <c r="CL493" s="17" t="n"/>
      <c r="CM493" s="16" t="n"/>
      <c r="CN493" s="20" t="inlineStr">
        <is>
          <t>SOP 45-34</t>
        </is>
      </c>
      <c r="CO493" s="20" t="inlineStr">
        <is>
          <t>None</t>
        </is>
      </c>
      <c r="CP493" s="17" t="n"/>
      <c r="CQ493" s="16" t="n"/>
      <c r="CR493" s="20" t="n"/>
      <c r="CS493" s="20" t="inlineStr">
        <is>
          <t>None</t>
        </is>
      </c>
      <c r="CT493" s="17" t="n"/>
      <c r="CU493" s="16" t="n"/>
      <c r="CV493" s="20" t="n"/>
      <c r="CW493" s="20" t="inlineStr">
        <is>
          <t>None</t>
        </is>
      </c>
      <c r="CX493" s="17" t="n"/>
      <c r="CY493" s="16" t="n"/>
      <c r="CZ493" s="20" t="inlineStr">
        <is>
          <t>WTW Multimeter 3430 with FDO 925</t>
        </is>
      </c>
      <c r="DA493" s="20" t="inlineStr">
        <is>
          <t>None</t>
        </is>
      </c>
      <c r="DB493" s="17" t="n"/>
      <c r="DC493" s="16" t="n"/>
      <c r="DD493" s="20" t="n"/>
      <c r="DE493" s="20" t="inlineStr">
        <is>
          <t>None</t>
        </is>
      </c>
      <c r="DF493" s="17" t="n"/>
      <c r="DG493" s="16" t="n"/>
      <c r="DH493" s="20" t="inlineStr">
        <is>
          <t>SOP 45-09</t>
        </is>
      </c>
      <c r="DI493" s="20" t="inlineStr">
        <is>
          <t>None</t>
        </is>
      </c>
      <c r="DJ493" s="17" t="n"/>
      <c r="DK493" s="16" t="n"/>
      <c r="DL493" s="20" t="inlineStr">
        <is>
          <t>SOP 45-09 (SOP muss noch angepasst werden für VSS)</t>
        </is>
      </c>
      <c r="DM493" s="20" t="inlineStr">
        <is>
          <t>None</t>
        </is>
      </c>
      <c r="DN493" s="17" t="n"/>
      <c r="DO493" s="16" t="n"/>
      <c r="DP493" s="20" t="inlineStr">
        <is>
          <t>IC Organic Acids</t>
        </is>
      </c>
      <c r="DQ493" s="20" t="inlineStr">
        <is>
          <t>None</t>
        </is>
      </c>
      <c r="DR493" s="17" t="n"/>
      <c r="DS493" s="16" t="n"/>
      <c r="DT493" s="20" t="inlineStr">
        <is>
          <t>IC Organic Acids</t>
        </is>
      </c>
      <c r="DU493" s="20" t="inlineStr">
        <is>
          <t>None</t>
        </is>
      </c>
      <c r="DV493" s="17" t="n"/>
      <c r="DW493" s="16" t="n"/>
      <c r="DX493" s="20" t="inlineStr">
        <is>
          <t>IC Organic Acids</t>
        </is>
      </c>
      <c r="DY493" s="20" t="inlineStr">
        <is>
          <t>None</t>
        </is>
      </c>
      <c r="DZ493" s="17" t="n"/>
      <c r="EA493" s="16" t="n"/>
      <c r="EB493" s="20" t="inlineStr">
        <is>
          <t>IC Organic Acids</t>
        </is>
      </c>
      <c r="EC493" s="20" t="inlineStr">
        <is>
          <t>None</t>
        </is>
      </c>
      <c r="ED493" s="17" t="n"/>
      <c r="EE493" s="16" t="n"/>
      <c r="EF493" s="20" t="inlineStr">
        <is>
          <t>IC Organic Acids</t>
        </is>
      </c>
      <c r="EG493" s="20" t="inlineStr">
        <is>
          <t>None</t>
        </is>
      </c>
      <c r="EH493" s="17" t="n"/>
      <c r="EI493" s="16" t="n"/>
      <c r="EJ493" s="20" t="inlineStr">
        <is>
          <t>IC Organic Acids</t>
        </is>
      </c>
      <c r="EK493" s="20" t="inlineStr">
        <is>
          <t>None</t>
        </is>
      </c>
      <c r="EL493" s="17" t="n"/>
      <c r="EM493" s="16" t="n"/>
      <c r="EN493" s="20" t="inlineStr">
        <is>
          <t>IC Organic Acids</t>
        </is>
      </c>
      <c r="EO493" s="20" t="inlineStr">
        <is>
          <t>None</t>
        </is>
      </c>
      <c r="EP493" s="17" t="n"/>
      <c r="EQ493" s="16" t="n"/>
      <c r="ER493" s="20" t="inlineStr">
        <is>
          <t>IC Organic Acids</t>
        </is>
      </c>
      <c r="ES493" s="20" t="inlineStr">
        <is>
          <t>None</t>
        </is>
      </c>
      <c r="ET493" s="17" t="n"/>
      <c r="EU493" s="16" t="n"/>
      <c r="EV493" s="20" t="inlineStr">
        <is>
          <t>LC-MS</t>
        </is>
      </c>
      <c r="EW493" s="20" t="inlineStr">
        <is>
          <t>None</t>
        </is>
      </c>
      <c r="EX493" s="17" t="n"/>
      <c r="EY493" s="21" t="n"/>
      <c r="EZ493">
        <f>CONCATENATE(A493,B493)</f>
        <v/>
      </c>
      <c r="FA493">
        <f>CONCATENATE(SamplesX!A493,SamplesX!B493)</f>
        <v/>
      </c>
      <c r="FC493">
        <f>MATCH(EZ493,FA1:FA1008,0)</f>
        <v/>
      </c>
    </row>
    <row r="494">
      <c r="A494" s="16" t="n"/>
      <c r="B494" s="17" t="n"/>
      <c r="C494" s="10">
        <f>IF(ISNUMBER(FC494),INDIRECT("SamplesX!C"&amp;FC494),IF(ISNUMBER(FD494),INDIRECT("SamplesY!C"&amp;FD494),""))</f>
        <v/>
      </c>
      <c r="D494" s="12">
        <f>IF(ISNUMBER(FC494),INDIRECT("SamplesX!D"&amp;FC494),IF(ISNUMBER(FD494),INDIRECT("SamplesY!D"&amp;FD494),""))</f>
        <v/>
      </c>
      <c r="E494" s="12">
        <f>IF(ISNUMBER(FC494),INDIRECT("SamplesX!E"&amp;FC494),IF(ISNUMBER(FD494),INDIRECT("SamplesY!E"&amp;FD494),""))</f>
        <v/>
      </c>
      <c r="F494" s="11">
        <f>IF(ISNUMBER(FC494),INDIRECT("SamplesX!F"&amp;FC494),IF(ISNUMBER(FD494),INDIRECT("SamplesY!F"&amp;FD494),""))</f>
        <v/>
      </c>
      <c r="G494" s="18">
        <f>IF(ISNUMBER(FC494),INDIRECT("SamplesX!G"&amp;FC494),IF(ISNUMBER(FD494),INDIRECT("SamplesY!G"&amp;FD494),""))</f>
        <v/>
      </c>
      <c r="H494" s="19">
        <f>IF(ISNUMBER(FC494),INDIRECT("SamplesX!H"&amp;FC494),IF(ISNUMBER(FD494),INDIRECT("SamplesY!H"&amp;FD494),""))</f>
        <v/>
      </c>
      <c r="I494" s="16" t="n"/>
      <c r="J494" s="16" t="n"/>
      <c r="K494" s="16" t="n"/>
      <c r="L494" s="20" t="n"/>
      <c r="M494" s="20" t="inlineStr">
        <is>
          <t>None</t>
        </is>
      </c>
      <c r="N494" s="17" t="n"/>
      <c r="O494" s="16" t="n"/>
      <c r="P494" s="20" t="inlineStr">
        <is>
          <t>Shimadzu TOC-L</t>
        </is>
      </c>
      <c r="Q494" s="20" t="inlineStr">
        <is>
          <t>None</t>
        </is>
      </c>
      <c r="R494" s="17" t="n"/>
      <c r="S494" s="16" t="n"/>
      <c r="T494" s="20" t="inlineStr">
        <is>
          <t>Shimadzu TOC-L</t>
        </is>
      </c>
      <c r="U494" s="20" t="inlineStr">
        <is>
          <t>None</t>
        </is>
      </c>
      <c r="V494" s="17" t="n"/>
      <c r="W494" s="16" t="n"/>
      <c r="X494" s="20" t="n"/>
      <c r="Y494" s="20" t="inlineStr">
        <is>
          <t>None</t>
        </is>
      </c>
      <c r="Z494" s="17" t="n"/>
      <c r="AA494" s="16" t="n"/>
      <c r="AB494" s="20" t="n"/>
      <c r="AC494" s="20" t="inlineStr">
        <is>
          <t>None</t>
        </is>
      </c>
      <c r="AD494" s="17" t="n"/>
      <c r="AE494" s="16" t="n"/>
      <c r="AF494" s="20" t="inlineStr">
        <is>
          <t>IC Anionen</t>
        </is>
      </c>
      <c r="AG494" s="20" t="inlineStr">
        <is>
          <t>None</t>
        </is>
      </c>
      <c r="AH494" s="17" t="n"/>
      <c r="AI494" s="16" t="n"/>
      <c r="AJ494" s="20" t="n"/>
      <c r="AK494" s="20" t="inlineStr">
        <is>
          <t>None</t>
        </is>
      </c>
      <c r="AL494" s="17" t="n"/>
      <c r="AM494" s="16" t="n"/>
      <c r="AN494" s="20" t="inlineStr">
        <is>
          <t>IC Anionen</t>
        </is>
      </c>
      <c r="AO494" s="20" t="inlineStr">
        <is>
          <t>None</t>
        </is>
      </c>
      <c r="AP494" s="17" t="n"/>
      <c r="AQ494" s="16" t="n"/>
      <c r="AR494" s="20" t="n"/>
      <c r="AS494" s="20" t="inlineStr">
        <is>
          <t>None</t>
        </is>
      </c>
      <c r="AT494" s="17" t="n"/>
      <c r="AU494" s="16" t="n"/>
      <c r="AV494" s="20" t="n"/>
      <c r="AW494" s="20" t="inlineStr">
        <is>
          <t>None</t>
        </is>
      </c>
      <c r="AX494" s="17" t="n"/>
      <c r="AY494" s="16" t="n"/>
      <c r="AZ494" s="20" t="inlineStr">
        <is>
          <t>IC Anionen</t>
        </is>
      </c>
      <c r="BA494" s="20" t="inlineStr">
        <is>
          <t>None</t>
        </is>
      </c>
      <c r="BB494" s="17" t="n"/>
      <c r="BC494" s="16" t="n"/>
      <c r="BD494" s="20" t="inlineStr">
        <is>
          <t>IC Kationen</t>
        </is>
      </c>
      <c r="BE494" s="20" t="inlineStr">
        <is>
          <t>None</t>
        </is>
      </c>
      <c r="BF494" s="17" t="n"/>
      <c r="BG494" s="16" t="n"/>
      <c r="BH494" s="20" t="inlineStr">
        <is>
          <t>IC Kationen</t>
        </is>
      </c>
      <c r="BI494" s="20" t="inlineStr">
        <is>
          <t>None</t>
        </is>
      </c>
      <c r="BJ494" s="17" t="n"/>
      <c r="BK494" s="16" t="n"/>
      <c r="BL494" s="20" t="inlineStr">
        <is>
          <t>IC Kationen</t>
        </is>
      </c>
      <c r="BM494" s="20" t="inlineStr">
        <is>
          <t>None</t>
        </is>
      </c>
      <c r="BN494" s="17" t="n"/>
      <c r="BO494" s="16" t="n"/>
      <c r="BP494" s="20" t="inlineStr">
        <is>
          <t>IC Kationen</t>
        </is>
      </c>
      <c r="BQ494" s="20" t="inlineStr">
        <is>
          <t>None</t>
        </is>
      </c>
      <c r="BR494" s="17" t="n"/>
      <c r="BS494" s="16" t="n"/>
      <c r="BT494" s="20" t="inlineStr">
        <is>
          <t>IC Kationen</t>
        </is>
      </c>
      <c r="BU494" s="20" t="inlineStr">
        <is>
          <t>None</t>
        </is>
      </c>
      <c r="BV494" s="17" t="n"/>
      <c r="BW494" s="16" t="n"/>
      <c r="BX494" s="20" t="n"/>
      <c r="BY494" s="20" t="inlineStr">
        <is>
          <t>None</t>
        </is>
      </c>
      <c r="BZ494" s="17" t="n"/>
      <c r="CA494" s="16" t="n"/>
      <c r="CB494" s="20" t="n"/>
      <c r="CC494" s="20" t="inlineStr">
        <is>
          <t>None</t>
        </is>
      </c>
      <c r="CD494" s="17" t="n"/>
      <c r="CE494" s="16" t="n"/>
      <c r="CF494" s="20" t="n"/>
      <c r="CG494" s="20" t="inlineStr">
        <is>
          <t>None</t>
        </is>
      </c>
      <c r="CH494" s="17" t="n"/>
      <c r="CI494" s="16" t="n"/>
      <c r="CJ494" s="20" t="n"/>
      <c r="CK494" s="20" t="inlineStr">
        <is>
          <t>None</t>
        </is>
      </c>
      <c r="CL494" s="17" t="n"/>
      <c r="CM494" s="16" t="n"/>
      <c r="CN494" s="20" t="inlineStr">
        <is>
          <t>SOP 45-34</t>
        </is>
      </c>
      <c r="CO494" s="20" t="inlineStr">
        <is>
          <t>None</t>
        </is>
      </c>
      <c r="CP494" s="17" t="n"/>
      <c r="CQ494" s="16" t="n"/>
      <c r="CR494" s="20" t="n"/>
      <c r="CS494" s="20" t="inlineStr">
        <is>
          <t>None</t>
        </is>
      </c>
      <c r="CT494" s="17" t="n"/>
      <c r="CU494" s="16" t="n"/>
      <c r="CV494" s="20" t="n"/>
      <c r="CW494" s="20" t="inlineStr">
        <is>
          <t>None</t>
        </is>
      </c>
      <c r="CX494" s="17" t="n"/>
      <c r="CY494" s="16" t="n"/>
      <c r="CZ494" s="20" t="inlineStr">
        <is>
          <t>WTW Multimeter 3430 with FDO 925</t>
        </is>
      </c>
      <c r="DA494" s="20" t="inlineStr">
        <is>
          <t>None</t>
        </is>
      </c>
      <c r="DB494" s="17" t="n"/>
      <c r="DC494" s="16" t="n"/>
      <c r="DD494" s="20" t="n"/>
      <c r="DE494" s="20" t="inlineStr">
        <is>
          <t>None</t>
        </is>
      </c>
      <c r="DF494" s="17" t="n"/>
      <c r="DG494" s="16" t="n"/>
      <c r="DH494" s="20" t="inlineStr">
        <is>
          <t>SOP 45-09</t>
        </is>
      </c>
      <c r="DI494" s="20" t="inlineStr">
        <is>
          <t>None</t>
        </is>
      </c>
      <c r="DJ494" s="17" t="n"/>
      <c r="DK494" s="16" t="n"/>
      <c r="DL494" s="20" t="inlineStr">
        <is>
          <t>SOP 45-09 (SOP muss noch angepasst werden für VSS)</t>
        </is>
      </c>
      <c r="DM494" s="20" t="inlineStr">
        <is>
          <t>None</t>
        </is>
      </c>
      <c r="DN494" s="17" t="n"/>
      <c r="DO494" s="16" t="n"/>
      <c r="DP494" s="20" t="inlineStr">
        <is>
          <t>IC Organic Acids</t>
        </is>
      </c>
      <c r="DQ494" s="20" t="inlineStr">
        <is>
          <t>None</t>
        </is>
      </c>
      <c r="DR494" s="17" t="n"/>
      <c r="DS494" s="16" t="n"/>
      <c r="DT494" s="20" t="inlineStr">
        <is>
          <t>IC Organic Acids</t>
        </is>
      </c>
      <c r="DU494" s="20" t="inlineStr">
        <is>
          <t>None</t>
        </is>
      </c>
      <c r="DV494" s="17" t="n"/>
      <c r="DW494" s="16" t="n"/>
      <c r="DX494" s="20" t="inlineStr">
        <is>
          <t>IC Organic Acids</t>
        </is>
      </c>
      <c r="DY494" s="20" t="inlineStr">
        <is>
          <t>None</t>
        </is>
      </c>
      <c r="DZ494" s="17" t="n"/>
      <c r="EA494" s="16" t="n"/>
      <c r="EB494" s="20" t="inlineStr">
        <is>
          <t>IC Organic Acids</t>
        </is>
      </c>
      <c r="EC494" s="20" t="inlineStr">
        <is>
          <t>None</t>
        </is>
      </c>
      <c r="ED494" s="17" t="n"/>
      <c r="EE494" s="16" t="n"/>
      <c r="EF494" s="20" t="inlineStr">
        <is>
          <t>IC Organic Acids</t>
        </is>
      </c>
      <c r="EG494" s="20" t="inlineStr">
        <is>
          <t>None</t>
        </is>
      </c>
      <c r="EH494" s="17" t="n"/>
      <c r="EI494" s="16" t="n"/>
      <c r="EJ494" s="20" t="inlineStr">
        <is>
          <t>IC Organic Acids</t>
        </is>
      </c>
      <c r="EK494" s="20" t="inlineStr">
        <is>
          <t>None</t>
        </is>
      </c>
      <c r="EL494" s="17" t="n"/>
      <c r="EM494" s="16" t="n"/>
      <c r="EN494" s="20" t="inlineStr">
        <is>
          <t>IC Organic Acids</t>
        </is>
      </c>
      <c r="EO494" s="20" t="inlineStr">
        <is>
          <t>None</t>
        </is>
      </c>
      <c r="EP494" s="17" t="n"/>
      <c r="EQ494" s="16" t="n"/>
      <c r="ER494" s="20" t="inlineStr">
        <is>
          <t>IC Organic Acids</t>
        </is>
      </c>
      <c r="ES494" s="20" t="inlineStr">
        <is>
          <t>None</t>
        </is>
      </c>
      <c r="ET494" s="17" t="n"/>
      <c r="EU494" s="16" t="n"/>
      <c r="EV494" s="20" t="inlineStr">
        <is>
          <t>LC-MS</t>
        </is>
      </c>
      <c r="EW494" s="20" t="inlineStr">
        <is>
          <t>None</t>
        </is>
      </c>
      <c r="EX494" s="17" t="n"/>
      <c r="EY494" s="21" t="n"/>
      <c r="EZ494">
        <f>CONCATENATE(A494,B494)</f>
        <v/>
      </c>
      <c r="FA494">
        <f>CONCATENATE(SamplesX!A494,SamplesX!B494)</f>
        <v/>
      </c>
      <c r="FC494">
        <f>MATCH(EZ494,FA1:FA1008,0)</f>
        <v/>
      </c>
    </row>
    <row r="495">
      <c r="A495" s="16" t="n"/>
      <c r="B495" s="17" t="n"/>
      <c r="C495" s="10">
        <f>IF(ISNUMBER(FC495),INDIRECT("SamplesX!C"&amp;FC495),IF(ISNUMBER(FD495),INDIRECT("SamplesY!C"&amp;FD495),""))</f>
        <v/>
      </c>
      <c r="D495" s="12">
        <f>IF(ISNUMBER(FC495),INDIRECT("SamplesX!D"&amp;FC495),IF(ISNUMBER(FD495),INDIRECT("SamplesY!D"&amp;FD495),""))</f>
        <v/>
      </c>
      <c r="E495" s="12">
        <f>IF(ISNUMBER(FC495),INDIRECT("SamplesX!E"&amp;FC495),IF(ISNUMBER(FD495),INDIRECT("SamplesY!E"&amp;FD495),""))</f>
        <v/>
      </c>
      <c r="F495" s="11">
        <f>IF(ISNUMBER(FC495),INDIRECT("SamplesX!F"&amp;FC495),IF(ISNUMBER(FD495),INDIRECT("SamplesY!F"&amp;FD495),""))</f>
        <v/>
      </c>
      <c r="G495" s="18">
        <f>IF(ISNUMBER(FC495),INDIRECT("SamplesX!G"&amp;FC495),IF(ISNUMBER(FD495),INDIRECT("SamplesY!G"&amp;FD495),""))</f>
        <v/>
      </c>
      <c r="H495" s="19">
        <f>IF(ISNUMBER(FC495),INDIRECT("SamplesX!H"&amp;FC495),IF(ISNUMBER(FD495),INDIRECT("SamplesY!H"&amp;FD495),""))</f>
        <v/>
      </c>
      <c r="I495" s="16" t="n"/>
      <c r="J495" s="16" t="n"/>
      <c r="K495" s="16" t="n"/>
      <c r="L495" s="20" t="n"/>
      <c r="M495" s="20" t="inlineStr">
        <is>
          <t>None</t>
        </is>
      </c>
      <c r="N495" s="17" t="n"/>
      <c r="O495" s="16" t="n"/>
      <c r="P495" s="20" t="inlineStr">
        <is>
          <t>Shimadzu TOC-L</t>
        </is>
      </c>
      <c r="Q495" s="20" t="inlineStr">
        <is>
          <t>None</t>
        </is>
      </c>
      <c r="R495" s="17" t="n"/>
      <c r="S495" s="16" t="n"/>
      <c r="T495" s="20" t="inlineStr">
        <is>
          <t>Shimadzu TOC-L</t>
        </is>
      </c>
      <c r="U495" s="20" t="inlineStr">
        <is>
          <t>None</t>
        </is>
      </c>
      <c r="V495" s="17" t="n"/>
      <c r="W495" s="16" t="n"/>
      <c r="X495" s="20" t="n"/>
      <c r="Y495" s="20" t="inlineStr">
        <is>
          <t>None</t>
        </is>
      </c>
      <c r="Z495" s="17" t="n"/>
      <c r="AA495" s="16" t="n"/>
      <c r="AB495" s="20" t="n"/>
      <c r="AC495" s="20" t="inlineStr">
        <is>
          <t>None</t>
        </is>
      </c>
      <c r="AD495" s="17" t="n"/>
      <c r="AE495" s="16" t="n"/>
      <c r="AF495" s="20" t="inlineStr">
        <is>
          <t>IC Anionen</t>
        </is>
      </c>
      <c r="AG495" s="20" t="inlineStr">
        <is>
          <t>None</t>
        </is>
      </c>
      <c r="AH495" s="17" t="n"/>
      <c r="AI495" s="16" t="n"/>
      <c r="AJ495" s="20" t="n"/>
      <c r="AK495" s="20" t="inlineStr">
        <is>
          <t>None</t>
        </is>
      </c>
      <c r="AL495" s="17" t="n"/>
      <c r="AM495" s="16" t="n"/>
      <c r="AN495" s="20" t="inlineStr">
        <is>
          <t>IC Anionen</t>
        </is>
      </c>
      <c r="AO495" s="20" t="inlineStr">
        <is>
          <t>None</t>
        </is>
      </c>
      <c r="AP495" s="17" t="n"/>
      <c r="AQ495" s="16" t="n"/>
      <c r="AR495" s="20" t="n"/>
      <c r="AS495" s="20" t="inlineStr">
        <is>
          <t>None</t>
        </is>
      </c>
      <c r="AT495" s="17" t="n"/>
      <c r="AU495" s="16" t="n"/>
      <c r="AV495" s="20" t="n"/>
      <c r="AW495" s="20" t="inlineStr">
        <is>
          <t>None</t>
        </is>
      </c>
      <c r="AX495" s="17" t="n"/>
      <c r="AY495" s="16" t="n"/>
      <c r="AZ495" s="20" t="inlineStr">
        <is>
          <t>IC Anionen</t>
        </is>
      </c>
      <c r="BA495" s="20" t="inlineStr">
        <is>
          <t>None</t>
        </is>
      </c>
      <c r="BB495" s="17" t="n"/>
      <c r="BC495" s="16" t="n"/>
      <c r="BD495" s="20" t="inlineStr">
        <is>
          <t>IC Kationen</t>
        </is>
      </c>
      <c r="BE495" s="20" t="inlineStr">
        <is>
          <t>None</t>
        </is>
      </c>
      <c r="BF495" s="17" t="n"/>
      <c r="BG495" s="16" t="n"/>
      <c r="BH495" s="20" t="inlineStr">
        <is>
          <t>IC Kationen</t>
        </is>
      </c>
      <c r="BI495" s="20" t="inlineStr">
        <is>
          <t>None</t>
        </is>
      </c>
      <c r="BJ495" s="17" t="n"/>
      <c r="BK495" s="16" t="n"/>
      <c r="BL495" s="20" t="inlineStr">
        <is>
          <t>IC Kationen</t>
        </is>
      </c>
      <c r="BM495" s="20" t="inlineStr">
        <is>
          <t>None</t>
        </is>
      </c>
      <c r="BN495" s="17" t="n"/>
      <c r="BO495" s="16" t="n"/>
      <c r="BP495" s="20" t="inlineStr">
        <is>
          <t>IC Kationen</t>
        </is>
      </c>
      <c r="BQ495" s="20" t="inlineStr">
        <is>
          <t>None</t>
        </is>
      </c>
      <c r="BR495" s="17" t="n"/>
      <c r="BS495" s="16" t="n"/>
      <c r="BT495" s="20" t="inlineStr">
        <is>
          <t>IC Kationen</t>
        </is>
      </c>
      <c r="BU495" s="20" t="inlineStr">
        <is>
          <t>None</t>
        </is>
      </c>
      <c r="BV495" s="17" t="n"/>
      <c r="BW495" s="16" t="n"/>
      <c r="BX495" s="20" t="n"/>
      <c r="BY495" s="20" t="inlineStr">
        <is>
          <t>None</t>
        </is>
      </c>
      <c r="BZ495" s="17" t="n"/>
      <c r="CA495" s="16" t="n"/>
      <c r="CB495" s="20" t="n"/>
      <c r="CC495" s="20" t="inlineStr">
        <is>
          <t>None</t>
        </is>
      </c>
      <c r="CD495" s="17" t="n"/>
      <c r="CE495" s="16" t="n"/>
      <c r="CF495" s="20" t="n"/>
      <c r="CG495" s="20" t="inlineStr">
        <is>
          <t>None</t>
        </is>
      </c>
      <c r="CH495" s="17" t="n"/>
      <c r="CI495" s="16" t="n"/>
      <c r="CJ495" s="20" t="n"/>
      <c r="CK495" s="20" t="inlineStr">
        <is>
          <t>None</t>
        </is>
      </c>
      <c r="CL495" s="17" t="n"/>
      <c r="CM495" s="16" t="n"/>
      <c r="CN495" s="20" t="inlineStr">
        <is>
          <t>SOP 45-34</t>
        </is>
      </c>
      <c r="CO495" s="20" t="inlineStr">
        <is>
          <t>None</t>
        </is>
      </c>
      <c r="CP495" s="17" t="n"/>
      <c r="CQ495" s="16" t="n"/>
      <c r="CR495" s="20" t="n"/>
      <c r="CS495" s="20" t="inlineStr">
        <is>
          <t>None</t>
        </is>
      </c>
      <c r="CT495" s="17" t="n"/>
      <c r="CU495" s="16" t="n"/>
      <c r="CV495" s="20" t="n"/>
      <c r="CW495" s="20" t="inlineStr">
        <is>
          <t>None</t>
        </is>
      </c>
      <c r="CX495" s="17" t="n"/>
      <c r="CY495" s="16" t="n"/>
      <c r="CZ495" s="20" t="inlineStr">
        <is>
          <t>WTW Multimeter 3430 with FDO 925</t>
        </is>
      </c>
      <c r="DA495" s="20" t="inlineStr">
        <is>
          <t>None</t>
        </is>
      </c>
      <c r="DB495" s="17" t="n"/>
      <c r="DC495" s="16" t="n"/>
      <c r="DD495" s="20" t="n"/>
      <c r="DE495" s="20" t="inlineStr">
        <is>
          <t>None</t>
        </is>
      </c>
      <c r="DF495" s="17" t="n"/>
      <c r="DG495" s="16" t="n"/>
      <c r="DH495" s="20" t="inlineStr">
        <is>
          <t>SOP 45-09</t>
        </is>
      </c>
      <c r="DI495" s="20" t="inlineStr">
        <is>
          <t>None</t>
        </is>
      </c>
      <c r="DJ495" s="17" t="n"/>
      <c r="DK495" s="16" t="n"/>
      <c r="DL495" s="20" t="inlineStr">
        <is>
          <t>SOP 45-09 (SOP muss noch angepasst werden für VSS)</t>
        </is>
      </c>
      <c r="DM495" s="20" t="inlineStr">
        <is>
          <t>None</t>
        </is>
      </c>
      <c r="DN495" s="17" t="n"/>
      <c r="DO495" s="16" t="n"/>
      <c r="DP495" s="20" t="inlineStr">
        <is>
          <t>IC Organic Acids</t>
        </is>
      </c>
      <c r="DQ495" s="20" t="inlineStr">
        <is>
          <t>None</t>
        </is>
      </c>
      <c r="DR495" s="17" t="n"/>
      <c r="DS495" s="16" t="n"/>
      <c r="DT495" s="20" t="inlineStr">
        <is>
          <t>IC Organic Acids</t>
        </is>
      </c>
      <c r="DU495" s="20" t="inlineStr">
        <is>
          <t>None</t>
        </is>
      </c>
      <c r="DV495" s="17" t="n"/>
      <c r="DW495" s="16" t="n"/>
      <c r="DX495" s="20" t="inlineStr">
        <is>
          <t>IC Organic Acids</t>
        </is>
      </c>
      <c r="DY495" s="20" t="inlineStr">
        <is>
          <t>None</t>
        </is>
      </c>
      <c r="DZ495" s="17" t="n"/>
      <c r="EA495" s="16" t="n"/>
      <c r="EB495" s="20" t="inlineStr">
        <is>
          <t>IC Organic Acids</t>
        </is>
      </c>
      <c r="EC495" s="20" t="inlineStr">
        <is>
          <t>None</t>
        </is>
      </c>
      <c r="ED495" s="17" t="n"/>
      <c r="EE495" s="16" t="n"/>
      <c r="EF495" s="20" t="inlineStr">
        <is>
          <t>IC Organic Acids</t>
        </is>
      </c>
      <c r="EG495" s="20" t="inlineStr">
        <is>
          <t>None</t>
        </is>
      </c>
      <c r="EH495" s="17" t="n"/>
      <c r="EI495" s="16" t="n"/>
      <c r="EJ495" s="20" t="inlineStr">
        <is>
          <t>IC Organic Acids</t>
        </is>
      </c>
      <c r="EK495" s="20" t="inlineStr">
        <is>
          <t>None</t>
        </is>
      </c>
      <c r="EL495" s="17" t="n"/>
      <c r="EM495" s="16" t="n"/>
      <c r="EN495" s="20" t="inlineStr">
        <is>
          <t>IC Organic Acids</t>
        </is>
      </c>
      <c r="EO495" s="20" t="inlineStr">
        <is>
          <t>None</t>
        </is>
      </c>
      <c r="EP495" s="17" t="n"/>
      <c r="EQ495" s="16" t="n"/>
      <c r="ER495" s="20" t="inlineStr">
        <is>
          <t>IC Organic Acids</t>
        </is>
      </c>
      <c r="ES495" s="20" t="inlineStr">
        <is>
          <t>None</t>
        </is>
      </c>
      <c r="ET495" s="17" t="n"/>
      <c r="EU495" s="16" t="n"/>
      <c r="EV495" s="20" t="inlineStr">
        <is>
          <t>LC-MS</t>
        </is>
      </c>
      <c r="EW495" s="20" t="inlineStr">
        <is>
          <t>None</t>
        </is>
      </c>
      <c r="EX495" s="17" t="n"/>
      <c r="EY495" s="21" t="n"/>
      <c r="EZ495">
        <f>CONCATENATE(A495,B495)</f>
        <v/>
      </c>
      <c r="FA495">
        <f>CONCATENATE(SamplesX!A495,SamplesX!B495)</f>
        <v/>
      </c>
      <c r="FC495">
        <f>MATCH(EZ495,FA1:FA1008,0)</f>
        <v/>
      </c>
    </row>
    <row r="496">
      <c r="A496" s="16" t="n"/>
      <c r="B496" s="17" t="n"/>
      <c r="C496" s="10">
        <f>IF(ISNUMBER(FC496),INDIRECT("SamplesX!C"&amp;FC496),IF(ISNUMBER(FD496),INDIRECT("SamplesY!C"&amp;FD496),""))</f>
        <v/>
      </c>
      <c r="D496" s="12">
        <f>IF(ISNUMBER(FC496),INDIRECT("SamplesX!D"&amp;FC496),IF(ISNUMBER(FD496),INDIRECT("SamplesY!D"&amp;FD496),""))</f>
        <v/>
      </c>
      <c r="E496" s="12">
        <f>IF(ISNUMBER(FC496),INDIRECT("SamplesX!E"&amp;FC496),IF(ISNUMBER(FD496),INDIRECT("SamplesY!E"&amp;FD496),""))</f>
        <v/>
      </c>
      <c r="F496" s="11">
        <f>IF(ISNUMBER(FC496),INDIRECT("SamplesX!F"&amp;FC496),IF(ISNUMBER(FD496),INDIRECT("SamplesY!F"&amp;FD496),""))</f>
        <v/>
      </c>
      <c r="G496" s="18">
        <f>IF(ISNUMBER(FC496),INDIRECT("SamplesX!G"&amp;FC496),IF(ISNUMBER(FD496),INDIRECT("SamplesY!G"&amp;FD496),""))</f>
        <v/>
      </c>
      <c r="H496" s="19">
        <f>IF(ISNUMBER(FC496),INDIRECT("SamplesX!H"&amp;FC496),IF(ISNUMBER(FD496),INDIRECT("SamplesY!H"&amp;FD496),""))</f>
        <v/>
      </c>
      <c r="I496" s="16" t="n"/>
      <c r="J496" s="16" t="n"/>
      <c r="K496" s="16" t="n"/>
      <c r="L496" s="20" t="n"/>
      <c r="M496" s="20" t="inlineStr">
        <is>
          <t>None</t>
        </is>
      </c>
      <c r="N496" s="17" t="n"/>
      <c r="O496" s="16" t="n"/>
      <c r="P496" s="20" t="inlineStr">
        <is>
          <t>Shimadzu TOC-L</t>
        </is>
      </c>
      <c r="Q496" s="20" t="inlineStr">
        <is>
          <t>None</t>
        </is>
      </c>
      <c r="R496" s="17" t="n"/>
      <c r="S496" s="16" t="n"/>
      <c r="T496" s="20" t="inlineStr">
        <is>
          <t>Shimadzu TOC-L</t>
        </is>
      </c>
      <c r="U496" s="20" t="inlineStr">
        <is>
          <t>None</t>
        </is>
      </c>
      <c r="V496" s="17" t="n"/>
      <c r="W496" s="16" t="n"/>
      <c r="X496" s="20" t="n"/>
      <c r="Y496" s="20" t="inlineStr">
        <is>
          <t>None</t>
        </is>
      </c>
      <c r="Z496" s="17" t="n"/>
      <c r="AA496" s="16" t="n"/>
      <c r="AB496" s="20" t="n"/>
      <c r="AC496" s="20" t="inlineStr">
        <is>
          <t>None</t>
        </is>
      </c>
      <c r="AD496" s="17" t="n"/>
      <c r="AE496" s="16" t="n"/>
      <c r="AF496" s="20" t="inlineStr">
        <is>
          <t>IC Anionen</t>
        </is>
      </c>
      <c r="AG496" s="20" t="inlineStr">
        <is>
          <t>None</t>
        </is>
      </c>
      <c r="AH496" s="17" t="n"/>
      <c r="AI496" s="16" t="n"/>
      <c r="AJ496" s="20" t="n"/>
      <c r="AK496" s="20" t="inlineStr">
        <is>
          <t>None</t>
        </is>
      </c>
      <c r="AL496" s="17" t="n"/>
      <c r="AM496" s="16" t="n"/>
      <c r="AN496" s="20" t="inlineStr">
        <is>
          <t>IC Anionen</t>
        </is>
      </c>
      <c r="AO496" s="20" t="inlineStr">
        <is>
          <t>None</t>
        </is>
      </c>
      <c r="AP496" s="17" t="n"/>
      <c r="AQ496" s="16" t="n"/>
      <c r="AR496" s="20" t="n"/>
      <c r="AS496" s="20" t="inlineStr">
        <is>
          <t>None</t>
        </is>
      </c>
      <c r="AT496" s="17" t="n"/>
      <c r="AU496" s="16" t="n"/>
      <c r="AV496" s="20" t="n"/>
      <c r="AW496" s="20" t="inlineStr">
        <is>
          <t>None</t>
        </is>
      </c>
      <c r="AX496" s="17" t="n"/>
      <c r="AY496" s="16" t="n"/>
      <c r="AZ496" s="20" t="inlineStr">
        <is>
          <t>IC Anionen</t>
        </is>
      </c>
      <c r="BA496" s="20" t="inlineStr">
        <is>
          <t>None</t>
        </is>
      </c>
      <c r="BB496" s="17" t="n"/>
      <c r="BC496" s="16" t="n"/>
      <c r="BD496" s="20" t="inlineStr">
        <is>
          <t>IC Kationen</t>
        </is>
      </c>
      <c r="BE496" s="20" t="inlineStr">
        <is>
          <t>None</t>
        </is>
      </c>
      <c r="BF496" s="17" t="n"/>
      <c r="BG496" s="16" t="n"/>
      <c r="BH496" s="20" t="inlineStr">
        <is>
          <t>IC Kationen</t>
        </is>
      </c>
      <c r="BI496" s="20" t="inlineStr">
        <is>
          <t>None</t>
        </is>
      </c>
      <c r="BJ496" s="17" t="n"/>
      <c r="BK496" s="16" t="n"/>
      <c r="BL496" s="20" t="inlineStr">
        <is>
          <t>IC Kationen</t>
        </is>
      </c>
      <c r="BM496" s="20" t="inlineStr">
        <is>
          <t>None</t>
        </is>
      </c>
      <c r="BN496" s="17" t="n"/>
      <c r="BO496" s="16" t="n"/>
      <c r="BP496" s="20" t="inlineStr">
        <is>
          <t>IC Kationen</t>
        </is>
      </c>
      <c r="BQ496" s="20" t="inlineStr">
        <is>
          <t>None</t>
        </is>
      </c>
      <c r="BR496" s="17" t="n"/>
      <c r="BS496" s="16" t="n"/>
      <c r="BT496" s="20" t="inlineStr">
        <is>
          <t>IC Kationen</t>
        </is>
      </c>
      <c r="BU496" s="20" t="inlineStr">
        <is>
          <t>None</t>
        </is>
      </c>
      <c r="BV496" s="17" t="n"/>
      <c r="BW496" s="16" t="n"/>
      <c r="BX496" s="20" t="n"/>
      <c r="BY496" s="20" t="inlineStr">
        <is>
          <t>None</t>
        </is>
      </c>
      <c r="BZ496" s="17" t="n"/>
      <c r="CA496" s="16" t="n"/>
      <c r="CB496" s="20" t="n"/>
      <c r="CC496" s="20" t="inlineStr">
        <is>
          <t>None</t>
        </is>
      </c>
      <c r="CD496" s="17" t="n"/>
      <c r="CE496" s="16" t="n"/>
      <c r="CF496" s="20" t="n"/>
      <c r="CG496" s="20" t="inlineStr">
        <is>
          <t>None</t>
        </is>
      </c>
      <c r="CH496" s="17" t="n"/>
      <c r="CI496" s="16" t="n"/>
      <c r="CJ496" s="20" t="n"/>
      <c r="CK496" s="20" t="inlineStr">
        <is>
          <t>None</t>
        </is>
      </c>
      <c r="CL496" s="17" t="n"/>
      <c r="CM496" s="16" t="n"/>
      <c r="CN496" s="20" t="inlineStr">
        <is>
          <t>SOP 45-34</t>
        </is>
      </c>
      <c r="CO496" s="20" t="inlineStr">
        <is>
          <t>None</t>
        </is>
      </c>
      <c r="CP496" s="17" t="n"/>
      <c r="CQ496" s="16" t="n"/>
      <c r="CR496" s="20" t="n"/>
      <c r="CS496" s="20" t="inlineStr">
        <is>
          <t>None</t>
        </is>
      </c>
      <c r="CT496" s="17" t="n"/>
      <c r="CU496" s="16" t="n"/>
      <c r="CV496" s="20" t="n"/>
      <c r="CW496" s="20" t="inlineStr">
        <is>
          <t>None</t>
        </is>
      </c>
      <c r="CX496" s="17" t="n"/>
      <c r="CY496" s="16" t="n"/>
      <c r="CZ496" s="20" t="inlineStr">
        <is>
          <t>WTW Multimeter 3430 with FDO 925</t>
        </is>
      </c>
      <c r="DA496" s="20" t="inlineStr">
        <is>
          <t>None</t>
        </is>
      </c>
      <c r="DB496" s="17" t="n"/>
      <c r="DC496" s="16" t="n"/>
      <c r="DD496" s="20" t="n"/>
      <c r="DE496" s="20" t="inlineStr">
        <is>
          <t>None</t>
        </is>
      </c>
      <c r="DF496" s="17" t="n"/>
      <c r="DG496" s="16" t="n"/>
      <c r="DH496" s="20" t="inlineStr">
        <is>
          <t>SOP 45-09</t>
        </is>
      </c>
      <c r="DI496" s="20" t="inlineStr">
        <is>
          <t>None</t>
        </is>
      </c>
      <c r="DJ496" s="17" t="n"/>
      <c r="DK496" s="16" t="n"/>
      <c r="DL496" s="20" t="inlineStr">
        <is>
          <t>SOP 45-09 (SOP muss noch angepasst werden für VSS)</t>
        </is>
      </c>
      <c r="DM496" s="20" t="inlineStr">
        <is>
          <t>None</t>
        </is>
      </c>
      <c r="DN496" s="17" t="n"/>
      <c r="DO496" s="16" t="n"/>
      <c r="DP496" s="20" t="inlineStr">
        <is>
          <t>IC Organic Acids</t>
        </is>
      </c>
      <c r="DQ496" s="20" t="inlineStr">
        <is>
          <t>None</t>
        </is>
      </c>
      <c r="DR496" s="17" t="n"/>
      <c r="DS496" s="16" t="n"/>
      <c r="DT496" s="20" t="inlineStr">
        <is>
          <t>IC Organic Acids</t>
        </is>
      </c>
      <c r="DU496" s="20" t="inlineStr">
        <is>
          <t>None</t>
        </is>
      </c>
      <c r="DV496" s="17" t="n"/>
      <c r="DW496" s="16" t="n"/>
      <c r="DX496" s="20" t="inlineStr">
        <is>
          <t>IC Organic Acids</t>
        </is>
      </c>
      <c r="DY496" s="20" t="inlineStr">
        <is>
          <t>None</t>
        </is>
      </c>
      <c r="DZ496" s="17" t="n"/>
      <c r="EA496" s="16" t="n"/>
      <c r="EB496" s="20" t="inlineStr">
        <is>
          <t>IC Organic Acids</t>
        </is>
      </c>
      <c r="EC496" s="20" t="inlineStr">
        <is>
          <t>None</t>
        </is>
      </c>
      <c r="ED496" s="17" t="n"/>
      <c r="EE496" s="16" t="n"/>
      <c r="EF496" s="20" t="inlineStr">
        <is>
          <t>IC Organic Acids</t>
        </is>
      </c>
      <c r="EG496" s="20" t="inlineStr">
        <is>
          <t>None</t>
        </is>
      </c>
      <c r="EH496" s="17" t="n"/>
      <c r="EI496" s="16" t="n"/>
      <c r="EJ496" s="20" t="inlineStr">
        <is>
          <t>IC Organic Acids</t>
        </is>
      </c>
      <c r="EK496" s="20" t="inlineStr">
        <is>
          <t>None</t>
        </is>
      </c>
      <c r="EL496" s="17" t="n"/>
      <c r="EM496" s="16" t="n"/>
      <c r="EN496" s="20" t="inlineStr">
        <is>
          <t>IC Organic Acids</t>
        </is>
      </c>
      <c r="EO496" s="20" t="inlineStr">
        <is>
          <t>None</t>
        </is>
      </c>
      <c r="EP496" s="17" t="n"/>
      <c r="EQ496" s="16" t="n"/>
      <c r="ER496" s="20" t="inlineStr">
        <is>
          <t>IC Organic Acids</t>
        </is>
      </c>
      <c r="ES496" s="20" t="inlineStr">
        <is>
          <t>None</t>
        </is>
      </c>
      <c r="ET496" s="17" t="n"/>
      <c r="EU496" s="16" t="n"/>
      <c r="EV496" s="20" t="inlineStr">
        <is>
          <t>LC-MS</t>
        </is>
      </c>
      <c r="EW496" s="20" t="inlineStr">
        <is>
          <t>None</t>
        </is>
      </c>
      <c r="EX496" s="17" t="n"/>
      <c r="EY496" s="21" t="n"/>
      <c r="EZ496">
        <f>CONCATENATE(A496,B496)</f>
        <v/>
      </c>
      <c r="FA496">
        <f>CONCATENATE(SamplesX!A496,SamplesX!B496)</f>
        <v/>
      </c>
      <c r="FC496">
        <f>MATCH(EZ496,FA1:FA1008,0)</f>
        <v/>
      </c>
    </row>
    <row r="497">
      <c r="A497" s="16" t="n"/>
      <c r="B497" s="17" t="n"/>
      <c r="C497" s="10">
        <f>IF(ISNUMBER(FC497),INDIRECT("SamplesX!C"&amp;FC497),IF(ISNUMBER(FD497),INDIRECT("SamplesY!C"&amp;FD497),""))</f>
        <v/>
      </c>
      <c r="D497" s="12">
        <f>IF(ISNUMBER(FC497),INDIRECT("SamplesX!D"&amp;FC497),IF(ISNUMBER(FD497),INDIRECT("SamplesY!D"&amp;FD497),""))</f>
        <v/>
      </c>
      <c r="E497" s="12">
        <f>IF(ISNUMBER(FC497),INDIRECT("SamplesX!E"&amp;FC497),IF(ISNUMBER(FD497),INDIRECT("SamplesY!E"&amp;FD497),""))</f>
        <v/>
      </c>
      <c r="F497" s="11">
        <f>IF(ISNUMBER(FC497),INDIRECT("SamplesX!F"&amp;FC497),IF(ISNUMBER(FD497),INDIRECT("SamplesY!F"&amp;FD497),""))</f>
        <v/>
      </c>
      <c r="G497" s="18">
        <f>IF(ISNUMBER(FC497),INDIRECT("SamplesX!G"&amp;FC497),IF(ISNUMBER(FD497),INDIRECT("SamplesY!G"&amp;FD497),""))</f>
        <v/>
      </c>
      <c r="H497" s="19">
        <f>IF(ISNUMBER(FC497),INDIRECT("SamplesX!H"&amp;FC497),IF(ISNUMBER(FD497),INDIRECT("SamplesY!H"&amp;FD497),""))</f>
        <v/>
      </c>
      <c r="I497" s="16" t="n"/>
      <c r="J497" s="16" t="n"/>
      <c r="K497" s="16" t="n"/>
      <c r="L497" s="20" t="n"/>
      <c r="M497" s="20" t="inlineStr">
        <is>
          <t>None</t>
        </is>
      </c>
      <c r="N497" s="17" t="n"/>
      <c r="O497" s="16" t="n"/>
      <c r="P497" s="20" t="inlineStr">
        <is>
          <t>Shimadzu TOC-L</t>
        </is>
      </c>
      <c r="Q497" s="20" t="inlineStr">
        <is>
          <t>None</t>
        </is>
      </c>
      <c r="R497" s="17" t="n"/>
      <c r="S497" s="16" t="n"/>
      <c r="T497" s="20" t="inlineStr">
        <is>
          <t>Shimadzu TOC-L</t>
        </is>
      </c>
      <c r="U497" s="20" t="inlineStr">
        <is>
          <t>None</t>
        </is>
      </c>
      <c r="V497" s="17" t="n"/>
      <c r="W497" s="16" t="n"/>
      <c r="X497" s="20" t="n"/>
      <c r="Y497" s="20" t="inlineStr">
        <is>
          <t>None</t>
        </is>
      </c>
      <c r="Z497" s="17" t="n"/>
      <c r="AA497" s="16" t="n"/>
      <c r="AB497" s="20" t="n"/>
      <c r="AC497" s="20" t="inlineStr">
        <is>
          <t>None</t>
        </is>
      </c>
      <c r="AD497" s="17" t="n"/>
      <c r="AE497" s="16" t="n"/>
      <c r="AF497" s="20" t="inlineStr">
        <is>
          <t>IC Anionen</t>
        </is>
      </c>
      <c r="AG497" s="20" t="inlineStr">
        <is>
          <t>None</t>
        </is>
      </c>
      <c r="AH497" s="17" t="n"/>
      <c r="AI497" s="16" t="n"/>
      <c r="AJ497" s="20" t="n"/>
      <c r="AK497" s="20" t="inlineStr">
        <is>
          <t>None</t>
        </is>
      </c>
      <c r="AL497" s="17" t="n"/>
      <c r="AM497" s="16" t="n"/>
      <c r="AN497" s="20" t="inlineStr">
        <is>
          <t>IC Anionen</t>
        </is>
      </c>
      <c r="AO497" s="20" t="inlineStr">
        <is>
          <t>None</t>
        </is>
      </c>
      <c r="AP497" s="17" t="n"/>
      <c r="AQ497" s="16" t="n"/>
      <c r="AR497" s="20" t="n"/>
      <c r="AS497" s="20" t="inlineStr">
        <is>
          <t>None</t>
        </is>
      </c>
      <c r="AT497" s="17" t="n"/>
      <c r="AU497" s="16" t="n"/>
      <c r="AV497" s="20" t="n"/>
      <c r="AW497" s="20" t="inlineStr">
        <is>
          <t>None</t>
        </is>
      </c>
      <c r="AX497" s="17" t="n"/>
      <c r="AY497" s="16" t="n"/>
      <c r="AZ497" s="20" t="inlineStr">
        <is>
          <t>IC Anionen</t>
        </is>
      </c>
      <c r="BA497" s="20" t="inlineStr">
        <is>
          <t>None</t>
        </is>
      </c>
      <c r="BB497" s="17" t="n"/>
      <c r="BC497" s="16" t="n"/>
      <c r="BD497" s="20" t="inlineStr">
        <is>
          <t>IC Kationen</t>
        </is>
      </c>
      <c r="BE497" s="20" t="inlineStr">
        <is>
          <t>None</t>
        </is>
      </c>
      <c r="BF497" s="17" t="n"/>
      <c r="BG497" s="16" t="n"/>
      <c r="BH497" s="20" t="inlineStr">
        <is>
          <t>IC Kationen</t>
        </is>
      </c>
      <c r="BI497" s="20" t="inlineStr">
        <is>
          <t>None</t>
        </is>
      </c>
      <c r="BJ497" s="17" t="n"/>
      <c r="BK497" s="16" t="n"/>
      <c r="BL497" s="20" t="inlineStr">
        <is>
          <t>IC Kationen</t>
        </is>
      </c>
      <c r="BM497" s="20" t="inlineStr">
        <is>
          <t>None</t>
        </is>
      </c>
      <c r="BN497" s="17" t="n"/>
      <c r="BO497" s="16" t="n"/>
      <c r="BP497" s="20" t="inlineStr">
        <is>
          <t>IC Kationen</t>
        </is>
      </c>
      <c r="BQ497" s="20" t="inlineStr">
        <is>
          <t>None</t>
        </is>
      </c>
      <c r="BR497" s="17" t="n"/>
      <c r="BS497" s="16" t="n"/>
      <c r="BT497" s="20" t="inlineStr">
        <is>
          <t>IC Kationen</t>
        </is>
      </c>
      <c r="BU497" s="20" t="inlineStr">
        <is>
          <t>None</t>
        </is>
      </c>
      <c r="BV497" s="17" t="n"/>
      <c r="BW497" s="16" t="n"/>
      <c r="BX497" s="20" t="n"/>
      <c r="BY497" s="20" t="inlineStr">
        <is>
          <t>None</t>
        </is>
      </c>
      <c r="BZ497" s="17" t="n"/>
      <c r="CA497" s="16" t="n"/>
      <c r="CB497" s="20" t="n"/>
      <c r="CC497" s="20" t="inlineStr">
        <is>
          <t>None</t>
        </is>
      </c>
      <c r="CD497" s="17" t="n"/>
      <c r="CE497" s="16" t="n"/>
      <c r="CF497" s="20" t="n"/>
      <c r="CG497" s="20" t="inlineStr">
        <is>
          <t>None</t>
        </is>
      </c>
      <c r="CH497" s="17" t="n"/>
      <c r="CI497" s="16" t="n"/>
      <c r="CJ497" s="20" t="n"/>
      <c r="CK497" s="20" t="inlineStr">
        <is>
          <t>None</t>
        </is>
      </c>
      <c r="CL497" s="17" t="n"/>
      <c r="CM497" s="16" t="n"/>
      <c r="CN497" s="20" t="inlineStr">
        <is>
          <t>SOP 45-34</t>
        </is>
      </c>
      <c r="CO497" s="20" t="inlineStr">
        <is>
          <t>None</t>
        </is>
      </c>
      <c r="CP497" s="17" t="n"/>
      <c r="CQ497" s="16" t="n"/>
      <c r="CR497" s="20" t="n"/>
      <c r="CS497" s="20" t="inlineStr">
        <is>
          <t>None</t>
        </is>
      </c>
      <c r="CT497" s="17" t="n"/>
      <c r="CU497" s="16" t="n"/>
      <c r="CV497" s="20" t="n"/>
      <c r="CW497" s="20" t="inlineStr">
        <is>
          <t>None</t>
        </is>
      </c>
      <c r="CX497" s="17" t="n"/>
      <c r="CY497" s="16" t="n"/>
      <c r="CZ497" s="20" t="inlineStr">
        <is>
          <t>WTW Multimeter 3430 with FDO 925</t>
        </is>
      </c>
      <c r="DA497" s="20" t="inlineStr">
        <is>
          <t>None</t>
        </is>
      </c>
      <c r="DB497" s="17" t="n"/>
      <c r="DC497" s="16" t="n"/>
      <c r="DD497" s="20" t="n"/>
      <c r="DE497" s="20" t="inlineStr">
        <is>
          <t>None</t>
        </is>
      </c>
      <c r="DF497" s="17" t="n"/>
      <c r="DG497" s="16" t="n"/>
      <c r="DH497" s="20" t="inlineStr">
        <is>
          <t>SOP 45-09</t>
        </is>
      </c>
      <c r="DI497" s="20" t="inlineStr">
        <is>
          <t>None</t>
        </is>
      </c>
      <c r="DJ497" s="17" t="n"/>
      <c r="DK497" s="16" t="n"/>
      <c r="DL497" s="20" t="inlineStr">
        <is>
          <t>SOP 45-09 (SOP muss noch angepasst werden für VSS)</t>
        </is>
      </c>
      <c r="DM497" s="20" t="inlineStr">
        <is>
          <t>None</t>
        </is>
      </c>
      <c r="DN497" s="17" t="n"/>
      <c r="DO497" s="16" t="n"/>
      <c r="DP497" s="20" t="inlineStr">
        <is>
          <t>IC Organic Acids</t>
        </is>
      </c>
      <c r="DQ497" s="20" t="inlineStr">
        <is>
          <t>None</t>
        </is>
      </c>
      <c r="DR497" s="17" t="n"/>
      <c r="DS497" s="16" t="n"/>
      <c r="DT497" s="20" t="inlineStr">
        <is>
          <t>IC Organic Acids</t>
        </is>
      </c>
      <c r="DU497" s="20" t="inlineStr">
        <is>
          <t>None</t>
        </is>
      </c>
      <c r="DV497" s="17" t="n"/>
      <c r="DW497" s="16" t="n"/>
      <c r="DX497" s="20" t="inlineStr">
        <is>
          <t>IC Organic Acids</t>
        </is>
      </c>
      <c r="DY497" s="20" t="inlineStr">
        <is>
          <t>None</t>
        </is>
      </c>
      <c r="DZ497" s="17" t="n"/>
      <c r="EA497" s="16" t="n"/>
      <c r="EB497" s="20" t="inlineStr">
        <is>
          <t>IC Organic Acids</t>
        </is>
      </c>
      <c r="EC497" s="20" t="inlineStr">
        <is>
          <t>None</t>
        </is>
      </c>
      <c r="ED497" s="17" t="n"/>
      <c r="EE497" s="16" t="n"/>
      <c r="EF497" s="20" t="inlineStr">
        <is>
          <t>IC Organic Acids</t>
        </is>
      </c>
      <c r="EG497" s="20" t="inlineStr">
        <is>
          <t>None</t>
        </is>
      </c>
      <c r="EH497" s="17" t="n"/>
      <c r="EI497" s="16" t="n"/>
      <c r="EJ497" s="20" t="inlineStr">
        <is>
          <t>IC Organic Acids</t>
        </is>
      </c>
      <c r="EK497" s="20" t="inlineStr">
        <is>
          <t>None</t>
        </is>
      </c>
      <c r="EL497" s="17" t="n"/>
      <c r="EM497" s="16" t="n"/>
      <c r="EN497" s="20" t="inlineStr">
        <is>
          <t>IC Organic Acids</t>
        </is>
      </c>
      <c r="EO497" s="20" t="inlineStr">
        <is>
          <t>None</t>
        </is>
      </c>
      <c r="EP497" s="17" t="n"/>
      <c r="EQ497" s="16" t="n"/>
      <c r="ER497" s="20" t="inlineStr">
        <is>
          <t>IC Organic Acids</t>
        </is>
      </c>
      <c r="ES497" s="20" t="inlineStr">
        <is>
          <t>None</t>
        </is>
      </c>
      <c r="ET497" s="17" t="n"/>
      <c r="EU497" s="16" t="n"/>
      <c r="EV497" s="20" t="inlineStr">
        <is>
          <t>LC-MS</t>
        </is>
      </c>
      <c r="EW497" s="20" t="inlineStr">
        <is>
          <t>None</t>
        </is>
      </c>
      <c r="EX497" s="17" t="n"/>
      <c r="EY497" s="21" t="n"/>
      <c r="EZ497">
        <f>CONCATENATE(A497,B497)</f>
        <v/>
      </c>
      <c r="FA497">
        <f>CONCATENATE(SamplesX!A497,SamplesX!B497)</f>
        <v/>
      </c>
      <c r="FC497">
        <f>MATCH(EZ497,FA1:FA1008,0)</f>
        <v/>
      </c>
    </row>
    <row r="498">
      <c r="A498" s="16" t="n"/>
      <c r="B498" s="17" t="n"/>
      <c r="C498" s="10">
        <f>IF(ISNUMBER(FC498),INDIRECT("SamplesX!C"&amp;FC498),IF(ISNUMBER(FD498),INDIRECT("SamplesY!C"&amp;FD498),""))</f>
        <v/>
      </c>
      <c r="D498" s="12">
        <f>IF(ISNUMBER(FC498),INDIRECT("SamplesX!D"&amp;FC498),IF(ISNUMBER(FD498),INDIRECT("SamplesY!D"&amp;FD498),""))</f>
        <v/>
      </c>
      <c r="E498" s="12">
        <f>IF(ISNUMBER(FC498),INDIRECT("SamplesX!E"&amp;FC498),IF(ISNUMBER(FD498),INDIRECT("SamplesY!E"&amp;FD498),""))</f>
        <v/>
      </c>
      <c r="F498" s="11">
        <f>IF(ISNUMBER(FC498),INDIRECT("SamplesX!F"&amp;FC498),IF(ISNUMBER(FD498),INDIRECT("SamplesY!F"&amp;FD498),""))</f>
        <v/>
      </c>
      <c r="G498" s="18">
        <f>IF(ISNUMBER(FC498),INDIRECT("SamplesX!G"&amp;FC498),IF(ISNUMBER(FD498),INDIRECT("SamplesY!G"&amp;FD498),""))</f>
        <v/>
      </c>
      <c r="H498" s="19">
        <f>IF(ISNUMBER(FC498),INDIRECT("SamplesX!H"&amp;FC498),IF(ISNUMBER(FD498),INDIRECT("SamplesY!H"&amp;FD498),""))</f>
        <v/>
      </c>
      <c r="I498" s="16" t="n"/>
      <c r="J498" s="16" t="n"/>
      <c r="K498" s="16" t="n"/>
      <c r="L498" s="20" t="n"/>
      <c r="M498" s="20" t="inlineStr">
        <is>
          <t>None</t>
        </is>
      </c>
      <c r="N498" s="17" t="n"/>
      <c r="O498" s="16" t="n"/>
      <c r="P498" s="20" t="inlineStr">
        <is>
          <t>Shimadzu TOC-L</t>
        </is>
      </c>
      <c r="Q498" s="20" t="inlineStr">
        <is>
          <t>None</t>
        </is>
      </c>
      <c r="R498" s="17" t="n"/>
      <c r="S498" s="16" t="n"/>
      <c r="T498" s="20" t="inlineStr">
        <is>
          <t>Shimadzu TOC-L</t>
        </is>
      </c>
      <c r="U498" s="20" t="inlineStr">
        <is>
          <t>None</t>
        </is>
      </c>
      <c r="V498" s="17" t="n"/>
      <c r="W498" s="16" t="n"/>
      <c r="X498" s="20" t="n"/>
      <c r="Y498" s="20" t="inlineStr">
        <is>
          <t>None</t>
        </is>
      </c>
      <c r="Z498" s="17" t="n"/>
      <c r="AA498" s="16" t="n"/>
      <c r="AB498" s="20" t="n"/>
      <c r="AC498" s="20" t="inlineStr">
        <is>
          <t>None</t>
        </is>
      </c>
      <c r="AD498" s="17" t="n"/>
      <c r="AE498" s="16" t="n"/>
      <c r="AF498" s="20" t="inlineStr">
        <is>
          <t>IC Anionen</t>
        </is>
      </c>
      <c r="AG498" s="20" t="inlineStr">
        <is>
          <t>None</t>
        </is>
      </c>
      <c r="AH498" s="17" t="n"/>
      <c r="AI498" s="16" t="n"/>
      <c r="AJ498" s="20" t="n"/>
      <c r="AK498" s="20" t="inlineStr">
        <is>
          <t>None</t>
        </is>
      </c>
      <c r="AL498" s="17" t="n"/>
      <c r="AM498" s="16" t="n"/>
      <c r="AN498" s="20" t="inlineStr">
        <is>
          <t>IC Anionen</t>
        </is>
      </c>
      <c r="AO498" s="20" t="inlineStr">
        <is>
          <t>None</t>
        </is>
      </c>
      <c r="AP498" s="17" t="n"/>
      <c r="AQ498" s="16" t="n"/>
      <c r="AR498" s="20" t="n"/>
      <c r="AS498" s="20" t="inlineStr">
        <is>
          <t>None</t>
        </is>
      </c>
      <c r="AT498" s="17" t="n"/>
      <c r="AU498" s="16" t="n"/>
      <c r="AV498" s="20" t="n"/>
      <c r="AW498" s="20" t="inlineStr">
        <is>
          <t>None</t>
        </is>
      </c>
      <c r="AX498" s="17" t="n"/>
      <c r="AY498" s="16" t="n"/>
      <c r="AZ498" s="20" t="inlineStr">
        <is>
          <t>IC Anionen</t>
        </is>
      </c>
      <c r="BA498" s="20" t="inlineStr">
        <is>
          <t>None</t>
        </is>
      </c>
      <c r="BB498" s="17" t="n"/>
      <c r="BC498" s="16" t="n"/>
      <c r="BD498" s="20" t="inlineStr">
        <is>
          <t>IC Kationen</t>
        </is>
      </c>
      <c r="BE498" s="20" t="inlineStr">
        <is>
          <t>None</t>
        </is>
      </c>
      <c r="BF498" s="17" t="n"/>
      <c r="BG498" s="16" t="n"/>
      <c r="BH498" s="20" t="inlineStr">
        <is>
          <t>IC Kationen</t>
        </is>
      </c>
      <c r="BI498" s="20" t="inlineStr">
        <is>
          <t>None</t>
        </is>
      </c>
      <c r="BJ498" s="17" t="n"/>
      <c r="BK498" s="16" t="n"/>
      <c r="BL498" s="20" t="inlineStr">
        <is>
          <t>IC Kationen</t>
        </is>
      </c>
      <c r="BM498" s="20" t="inlineStr">
        <is>
          <t>None</t>
        </is>
      </c>
      <c r="BN498" s="17" t="n"/>
      <c r="BO498" s="16" t="n"/>
      <c r="BP498" s="20" t="inlineStr">
        <is>
          <t>IC Kationen</t>
        </is>
      </c>
      <c r="BQ498" s="20" t="inlineStr">
        <is>
          <t>None</t>
        </is>
      </c>
      <c r="BR498" s="17" t="n"/>
      <c r="BS498" s="16" t="n"/>
      <c r="BT498" s="20" t="inlineStr">
        <is>
          <t>IC Kationen</t>
        </is>
      </c>
      <c r="BU498" s="20" t="inlineStr">
        <is>
          <t>None</t>
        </is>
      </c>
      <c r="BV498" s="17" t="n"/>
      <c r="BW498" s="16" t="n"/>
      <c r="BX498" s="20" t="n"/>
      <c r="BY498" s="20" t="inlineStr">
        <is>
          <t>None</t>
        </is>
      </c>
      <c r="BZ498" s="17" t="n"/>
      <c r="CA498" s="16" t="n"/>
      <c r="CB498" s="20" t="n"/>
      <c r="CC498" s="20" t="inlineStr">
        <is>
          <t>None</t>
        </is>
      </c>
      <c r="CD498" s="17" t="n"/>
      <c r="CE498" s="16" t="n"/>
      <c r="CF498" s="20" t="n"/>
      <c r="CG498" s="20" t="inlineStr">
        <is>
          <t>None</t>
        </is>
      </c>
      <c r="CH498" s="17" t="n"/>
      <c r="CI498" s="16" t="n"/>
      <c r="CJ498" s="20" t="n"/>
      <c r="CK498" s="20" t="inlineStr">
        <is>
          <t>None</t>
        </is>
      </c>
      <c r="CL498" s="17" t="n"/>
      <c r="CM498" s="16" t="n"/>
      <c r="CN498" s="20" t="inlineStr">
        <is>
          <t>SOP 45-34</t>
        </is>
      </c>
      <c r="CO498" s="20" t="inlineStr">
        <is>
          <t>None</t>
        </is>
      </c>
      <c r="CP498" s="17" t="n"/>
      <c r="CQ498" s="16" t="n"/>
      <c r="CR498" s="20" t="n"/>
      <c r="CS498" s="20" t="inlineStr">
        <is>
          <t>None</t>
        </is>
      </c>
      <c r="CT498" s="17" t="n"/>
      <c r="CU498" s="16" t="n"/>
      <c r="CV498" s="20" t="n"/>
      <c r="CW498" s="20" t="inlineStr">
        <is>
          <t>None</t>
        </is>
      </c>
      <c r="CX498" s="17" t="n"/>
      <c r="CY498" s="16" t="n"/>
      <c r="CZ498" s="20" t="inlineStr">
        <is>
          <t>WTW Multimeter 3430 with FDO 925</t>
        </is>
      </c>
      <c r="DA498" s="20" t="inlineStr">
        <is>
          <t>None</t>
        </is>
      </c>
      <c r="DB498" s="17" t="n"/>
      <c r="DC498" s="16" t="n"/>
      <c r="DD498" s="20" t="n"/>
      <c r="DE498" s="20" t="inlineStr">
        <is>
          <t>None</t>
        </is>
      </c>
      <c r="DF498" s="17" t="n"/>
      <c r="DG498" s="16" t="n"/>
      <c r="DH498" s="20" t="inlineStr">
        <is>
          <t>SOP 45-09</t>
        </is>
      </c>
      <c r="DI498" s="20" t="inlineStr">
        <is>
          <t>None</t>
        </is>
      </c>
      <c r="DJ498" s="17" t="n"/>
      <c r="DK498" s="16" t="n"/>
      <c r="DL498" s="20" t="inlineStr">
        <is>
          <t>SOP 45-09 (SOP muss noch angepasst werden für VSS)</t>
        </is>
      </c>
      <c r="DM498" s="20" t="inlineStr">
        <is>
          <t>None</t>
        </is>
      </c>
      <c r="DN498" s="17" t="n"/>
      <c r="DO498" s="16" t="n"/>
      <c r="DP498" s="20" t="inlineStr">
        <is>
          <t>IC Organic Acids</t>
        </is>
      </c>
      <c r="DQ498" s="20" t="inlineStr">
        <is>
          <t>None</t>
        </is>
      </c>
      <c r="DR498" s="17" t="n"/>
      <c r="DS498" s="16" t="n"/>
      <c r="DT498" s="20" t="inlineStr">
        <is>
          <t>IC Organic Acids</t>
        </is>
      </c>
      <c r="DU498" s="20" t="inlineStr">
        <is>
          <t>None</t>
        </is>
      </c>
      <c r="DV498" s="17" t="n"/>
      <c r="DW498" s="16" t="n"/>
      <c r="DX498" s="20" t="inlineStr">
        <is>
          <t>IC Organic Acids</t>
        </is>
      </c>
      <c r="DY498" s="20" t="inlineStr">
        <is>
          <t>None</t>
        </is>
      </c>
      <c r="DZ498" s="17" t="n"/>
      <c r="EA498" s="16" t="n"/>
      <c r="EB498" s="20" t="inlineStr">
        <is>
          <t>IC Organic Acids</t>
        </is>
      </c>
      <c r="EC498" s="20" t="inlineStr">
        <is>
          <t>None</t>
        </is>
      </c>
      <c r="ED498" s="17" t="n"/>
      <c r="EE498" s="16" t="n"/>
      <c r="EF498" s="20" t="inlineStr">
        <is>
          <t>IC Organic Acids</t>
        </is>
      </c>
      <c r="EG498" s="20" t="inlineStr">
        <is>
          <t>None</t>
        </is>
      </c>
      <c r="EH498" s="17" t="n"/>
      <c r="EI498" s="16" t="n"/>
      <c r="EJ498" s="20" t="inlineStr">
        <is>
          <t>IC Organic Acids</t>
        </is>
      </c>
      <c r="EK498" s="20" t="inlineStr">
        <is>
          <t>None</t>
        </is>
      </c>
      <c r="EL498" s="17" t="n"/>
      <c r="EM498" s="16" t="n"/>
      <c r="EN498" s="20" t="inlineStr">
        <is>
          <t>IC Organic Acids</t>
        </is>
      </c>
      <c r="EO498" s="20" t="inlineStr">
        <is>
          <t>None</t>
        </is>
      </c>
      <c r="EP498" s="17" t="n"/>
      <c r="EQ498" s="16" t="n"/>
      <c r="ER498" s="20" t="inlineStr">
        <is>
          <t>IC Organic Acids</t>
        </is>
      </c>
      <c r="ES498" s="20" t="inlineStr">
        <is>
          <t>None</t>
        </is>
      </c>
      <c r="ET498" s="17" t="n"/>
      <c r="EU498" s="16" t="n"/>
      <c r="EV498" s="20" t="inlineStr">
        <is>
          <t>LC-MS</t>
        </is>
      </c>
      <c r="EW498" s="20" t="inlineStr">
        <is>
          <t>None</t>
        </is>
      </c>
      <c r="EX498" s="17" t="n"/>
      <c r="EY498" s="21" t="n"/>
      <c r="EZ498">
        <f>CONCATENATE(A498,B498)</f>
        <v/>
      </c>
      <c r="FA498">
        <f>CONCATENATE(SamplesX!A498,SamplesX!B498)</f>
        <v/>
      </c>
      <c r="FC498">
        <f>MATCH(EZ498,FA1:FA1008,0)</f>
        <v/>
      </c>
    </row>
    <row r="499">
      <c r="A499" s="16" t="n"/>
      <c r="B499" s="17" t="n"/>
      <c r="C499" s="10">
        <f>IF(ISNUMBER(FC499),INDIRECT("SamplesX!C"&amp;FC499),IF(ISNUMBER(FD499),INDIRECT("SamplesY!C"&amp;FD499),""))</f>
        <v/>
      </c>
      <c r="D499" s="12">
        <f>IF(ISNUMBER(FC499),INDIRECT("SamplesX!D"&amp;FC499),IF(ISNUMBER(FD499),INDIRECT("SamplesY!D"&amp;FD499),""))</f>
        <v/>
      </c>
      <c r="E499" s="12">
        <f>IF(ISNUMBER(FC499),INDIRECT("SamplesX!E"&amp;FC499),IF(ISNUMBER(FD499),INDIRECT("SamplesY!E"&amp;FD499),""))</f>
        <v/>
      </c>
      <c r="F499" s="11">
        <f>IF(ISNUMBER(FC499),INDIRECT("SamplesX!F"&amp;FC499),IF(ISNUMBER(FD499),INDIRECT("SamplesY!F"&amp;FD499),""))</f>
        <v/>
      </c>
      <c r="G499" s="18">
        <f>IF(ISNUMBER(FC499),INDIRECT("SamplesX!G"&amp;FC499),IF(ISNUMBER(FD499),INDIRECT("SamplesY!G"&amp;FD499),""))</f>
        <v/>
      </c>
      <c r="H499" s="19">
        <f>IF(ISNUMBER(FC499),INDIRECT("SamplesX!H"&amp;FC499),IF(ISNUMBER(FD499),INDIRECT("SamplesY!H"&amp;FD499),""))</f>
        <v/>
      </c>
      <c r="I499" s="16" t="n"/>
      <c r="J499" s="16" t="n"/>
      <c r="K499" s="16" t="n"/>
      <c r="L499" s="20" t="n"/>
      <c r="M499" s="20" t="inlineStr">
        <is>
          <t>None</t>
        </is>
      </c>
      <c r="N499" s="17" t="n"/>
      <c r="O499" s="16" t="n"/>
      <c r="P499" s="20" t="inlineStr">
        <is>
          <t>Shimadzu TOC-L</t>
        </is>
      </c>
      <c r="Q499" s="20" t="inlineStr">
        <is>
          <t>None</t>
        </is>
      </c>
      <c r="R499" s="17" t="n"/>
      <c r="S499" s="16" t="n"/>
      <c r="T499" s="20" t="inlineStr">
        <is>
          <t>Shimadzu TOC-L</t>
        </is>
      </c>
      <c r="U499" s="20" t="inlineStr">
        <is>
          <t>None</t>
        </is>
      </c>
      <c r="V499" s="17" t="n"/>
      <c r="W499" s="16" t="n"/>
      <c r="X499" s="20" t="n"/>
      <c r="Y499" s="20" t="inlineStr">
        <is>
          <t>None</t>
        </is>
      </c>
      <c r="Z499" s="17" t="n"/>
      <c r="AA499" s="16" t="n"/>
      <c r="AB499" s="20" t="n"/>
      <c r="AC499" s="20" t="inlineStr">
        <is>
          <t>None</t>
        </is>
      </c>
      <c r="AD499" s="17" t="n"/>
      <c r="AE499" s="16" t="n"/>
      <c r="AF499" s="20" t="inlineStr">
        <is>
          <t>IC Anionen</t>
        </is>
      </c>
      <c r="AG499" s="20" t="inlineStr">
        <is>
          <t>None</t>
        </is>
      </c>
      <c r="AH499" s="17" t="n"/>
      <c r="AI499" s="16" t="n"/>
      <c r="AJ499" s="20" t="n"/>
      <c r="AK499" s="20" t="inlineStr">
        <is>
          <t>None</t>
        </is>
      </c>
      <c r="AL499" s="17" t="n"/>
      <c r="AM499" s="16" t="n"/>
      <c r="AN499" s="20" t="inlineStr">
        <is>
          <t>IC Anionen</t>
        </is>
      </c>
      <c r="AO499" s="20" t="inlineStr">
        <is>
          <t>None</t>
        </is>
      </c>
      <c r="AP499" s="17" t="n"/>
      <c r="AQ499" s="16" t="n"/>
      <c r="AR499" s="20" t="n"/>
      <c r="AS499" s="20" t="inlineStr">
        <is>
          <t>None</t>
        </is>
      </c>
      <c r="AT499" s="17" t="n"/>
      <c r="AU499" s="16" t="n"/>
      <c r="AV499" s="20" t="n"/>
      <c r="AW499" s="20" t="inlineStr">
        <is>
          <t>None</t>
        </is>
      </c>
      <c r="AX499" s="17" t="n"/>
      <c r="AY499" s="16" t="n"/>
      <c r="AZ499" s="20" t="inlineStr">
        <is>
          <t>IC Anionen</t>
        </is>
      </c>
      <c r="BA499" s="20" t="inlineStr">
        <is>
          <t>None</t>
        </is>
      </c>
      <c r="BB499" s="17" t="n"/>
      <c r="BC499" s="16" t="n"/>
      <c r="BD499" s="20" t="inlineStr">
        <is>
          <t>IC Kationen</t>
        </is>
      </c>
      <c r="BE499" s="20" t="inlineStr">
        <is>
          <t>None</t>
        </is>
      </c>
      <c r="BF499" s="17" t="n"/>
      <c r="BG499" s="16" t="n"/>
      <c r="BH499" s="20" t="inlineStr">
        <is>
          <t>IC Kationen</t>
        </is>
      </c>
      <c r="BI499" s="20" t="inlineStr">
        <is>
          <t>None</t>
        </is>
      </c>
      <c r="BJ499" s="17" t="n"/>
      <c r="BK499" s="16" t="n"/>
      <c r="BL499" s="20" t="inlineStr">
        <is>
          <t>IC Kationen</t>
        </is>
      </c>
      <c r="BM499" s="20" t="inlineStr">
        <is>
          <t>None</t>
        </is>
      </c>
      <c r="BN499" s="17" t="n"/>
      <c r="BO499" s="16" t="n"/>
      <c r="BP499" s="20" t="inlineStr">
        <is>
          <t>IC Kationen</t>
        </is>
      </c>
      <c r="BQ499" s="20" t="inlineStr">
        <is>
          <t>None</t>
        </is>
      </c>
      <c r="BR499" s="17" t="n"/>
      <c r="BS499" s="16" t="n"/>
      <c r="BT499" s="20" t="inlineStr">
        <is>
          <t>IC Kationen</t>
        </is>
      </c>
      <c r="BU499" s="20" t="inlineStr">
        <is>
          <t>None</t>
        </is>
      </c>
      <c r="BV499" s="17" t="n"/>
      <c r="BW499" s="16" t="n"/>
      <c r="BX499" s="20" t="n"/>
      <c r="BY499" s="20" t="inlineStr">
        <is>
          <t>None</t>
        </is>
      </c>
      <c r="BZ499" s="17" t="n"/>
      <c r="CA499" s="16" t="n"/>
      <c r="CB499" s="20" t="n"/>
      <c r="CC499" s="20" t="inlineStr">
        <is>
          <t>None</t>
        </is>
      </c>
      <c r="CD499" s="17" t="n"/>
      <c r="CE499" s="16" t="n"/>
      <c r="CF499" s="20" t="n"/>
      <c r="CG499" s="20" t="inlineStr">
        <is>
          <t>None</t>
        </is>
      </c>
      <c r="CH499" s="17" t="n"/>
      <c r="CI499" s="16" t="n"/>
      <c r="CJ499" s="20" t="n"/>
      <c r="CK499" s="20" t="inlineStr">
        <is>
          <t>None</t>
        </is>
      </c>
      <c r="CL499" s="17" t="n"/>
      <c r="CM499" s="16" t="n"/>
      <c r="CN499" s="20" t="inlineStr">
        <is>
          <t>SOP 45-34</t>
        </is>
      </c>
      <c r="CO499" s="20" t="inlineStr">
        <is>
          <t>None</t>
        </is>
      </c>
      <c r="CP499" s="17" t="n"/>
      <c r="CQ499" s="16" t="n"/>
      <c r="CR499" s="20" t="n"/>
      <c r="CS499" s="20" t="inlineStr">
        <is>
          <t>None</t>
        </is>
      </c>
      <c r="CT499" s="17" t="n"/>
      <c r="CU499" s="16" t="n"/>
      <c r="CV499" s="20" t="n"/>
      <c r="CW499" s="20" t="inlineStr">
        <is>
          <t>None</t>
        </is>
      </c>
      <c r="CX499" s="17" t="n"/>
      <c r="CY499" s="16" t="n"/>
      <c r="CZ499" s="20" t="inlineStr">
        <is>
          <t>WTW Multimeter 3430 with FDO 925</t>
        </is>
      </c>
      <c r="DA499" s="20" t="inlineStr">
        <is>
          <t>None</t>
        </is>
      </c>
      <c r="DB499" s="17" t="n"/>
      <c r="DC499" s="16" t="n"/>
      <c r="DD499" s="20" t="n"/>
      <c r="DE499" s="20" t="inlineStr">
        <is>
          <t>None</t>
        </is>
      </c>
      <c r="DF499" s="17" t="n"/>
      <c r="DG499" s="16" t="n"/>
      <c r="DH499" s="20" t="inlineStr">
        <is>
          <t>SOP 45-09</t>
        </is>
      </c>
      <c r="DI499" s="20" t="inlineStr">
        <is>
          <t>None</t>
        </is>
      </c>
      <c r="DJ499" s="17" t="n"/>
      <c r="DK499" s="16" t="n"/>
      <c r="DL499" s="20" t="inlineStr">
        <is>
          <t>SOP 45-09 (SOP muss noch angepasst werden für VSS)</t>
        </is>
      </c>
      <c r="DM499" s="20" t="inlineStr">
        <is>
          <t>None</t>
        </is>
      </c>
      <c r="DN499" s="17" t="n"/>
      <c r="DO499" s="16" t="n"/>
      <c r="DP499" s="20" t="inlineStr">
        <is>
          <t>IC Organic Acids</t>
        </is>
      </c>
      <c r="DQ499" s="20" t="inlineStr">
        <is>
          <t>None</t>
        </is>
      </c>
      <c r="DR499" s="17" t="n"/>
      <c r="DS499" s="16" t="n"/>
      <c r="DT499" s="20" t="inlineStr">
        <is>
          <t>IC Organic Acids</t>
        </is>
      </c>
      <c r="DU499" s="20" t="inlineStr">
        <is>
          <t>None</t>
        </is>
      </c>
      <c r="DV499" s="17" t="n"/>
      <c r="DW499" s="16" t="n"/>
      <c r="DX499" s="20" t="inlineStr">
        <is>
          <t>IC Organic Acids</t>
        </is>
      </c>
      <c r="DY499" s="20" t="inlineStr">
        <is>
          <t>None</t>
        </is>
      </c>
      <c r="DZ499" s="17" t="n"/>
      <c r="EA499" s="16" t="n"/>
      <c r="EB499" s="20" t="inlineStr">
        <is>
          <t>IC Organic Acids</t>
        </is>
      </c>
      <c r="EC499" s="20" t="inlineStr">
        <is>
          <t>None</t>
        </is>
      </c>
      <c r="ED499" s="17" t="n"/>
      <c r="EE499" s="16" t="n"/>
      <c r="EF499" s="20" t="inlineStr">
        <is>
          <t>IC Organic Acids</t>
        </is>
      </c>
      <c r="EG499" s="20" t="inlineStr">
        <is>
          <t>None</t>
        </is>
      </c>
      <c r="EH499" s="17" t="n"/>
      <c r="EI499" s="16" t="n"/>
      <c r="EJ499" s="20" t="inlineStr">
        <is>
          <t>IC Organic Acids</t>
        </is>
      </c>
      <c r="EK499" s="20" t="inlineStr">
        <is>
          <t>None</t>
        </is>
      </c>
      <c r="EL499" s="17" t="n"/>
      <c r="EM499" s="16" t="n"/>
      <c r="EN499" s="20" t="inlineStr">
        <is>
          <t>IC Organic Acids</t>
        </is>
      </c>
      <c r="EO499" s="20" t="inlineStr">
        <is>
          <t>None</t>
        </is>
      </c>
      <c r="EP499" s="17" t="n"/>
      <c r="EQ499" s="16" t="n"/>
      <c r="ER499" s="20" t="inlineStr">
        <is>
          <t>IC Organic Acids</t>
        </is>
      </c>
      <c r="ES499" s="20" t="inlineStr">
        <is>
          <t>None</t>
        </is>
      </c>
      <c r="ET499" s="17" t="n"/>
      <c r="EU499" s="16" t="n"/>
      <c r="EV499" s="20" t="inlineStr">
        <is>
          <t>LC-MS</t>
        </is>
      </c>
      <c r="EW499" s="20" t="inlineStr">
        <is>
          <t>None</t>
        </is>
      </c>
      <c r="EX499" s="17" t="n"/>
      <c r="EY499" s="21" t="n"/>
      <c r="EZ499">
        <f>CONCATENATE(A499,B499)</f>
        <v/>
      </c>
      <c r="FA499">
        <f>CONCATENATE(SamplesX!A499,SamplesX!B499)</f>
        <v/>
      </c>
      <c r="FC499">
        <f>MATCH(EZ499,FA1:FA1008,0)</f>
        <v/>
      </c>
    </row>
    <row r="500">
      <c r="A500" s="16" t="n"/>
      <c r="B500" s="17" t="n"/>
      <c r="C500" s="10">
        <f>IF(ISNUMBER(FC500),INDIRECT("SamplesX!C"&amp;FC500),IF(ISNUMBER(FD500),INDIRECT("SamplesY!C"&amp;FD500),""))</f>
        <v/>
      </c>
      <c r="D500" s="12">
        <f>IF(ISNUMBER(FC500),INDIRECT("SamplesX!D"&amp;FC500),IF(ISNUMBER(FD500),INDIRECT("SamplesY!D"&amp;FD500),""))</f>
        <v/>
      </c>
      <c r="E500" s="12">
        <f>IF(ISNUMBER(FC500),INDIRECT("SamplesX!E"&amp;FC500),IF(ISNUMBER(FD500),INDIRECT("SamplesY!E"&amp;FD500),""))</f>
        <v/>
      </c>
      <c r="F500" s="11">
        <f>IF(ISNUMBER(FC500),INDIRECT("SamplesX!F"&amp;FC500),IF(ISNUMBER(FD500),INDIRECT("SamplesY!F"&amp;FD500),""))</f>
        <v/>
      </c>
      <c r="G500" s="18">
        <f>IF(ISNUMBER(FC500),INDIRECT("SamplesX!G"&amp;FC500),IF(ISNUMBER(FD500),INDIRECT("SamplesY!G"&amp;FD500),""))</f>
        <v/>
      </c>
      <c r="H500" s="19">
        <f>IF(ISNUMBER(FC500),INDIRECT("SamplesX!H"&amp;FC500),IF(ISNUMBER(FD500),INDIRECT("SamplesY!H"&amp;FD500),""))</f>
        <v/>
      </c>
      <c r="I500" s="16" t="n"/>
      <c r="J500" s="16" t="n"/>
      <c r="K500" s="16" t="n"/>
      <c r="L500" s="20" t="n"/>
      <c r="M500" s="20" t="inlineStr">
        <is>
          <t>None</t>
        </is>
      </c>
      <c r="N500" s="17" t="n"/>
      <c r="O500" s="16" t="n"/>
      <c r="P500" s="20" t="inlineStr">
        <is>
          <t>Shimadzu TOC-L</t>
        </is>
      </c>
      <c r="Q500" s="20" t="inlineStr">
        <is>
          <t>None</t>
        </is>
      </c>
      <c r="R500" s="17" t="n"/>
      <c r="S500" s="16" t="n"/>
      <c r="T500" s="20" t="inlineStr">
        <is>
          <t>Shimadzu TOC-L</t>
        </is>
      </c>
      <c r="U500" s="20" t="inlineStr">
        <is>
          <t>None</t>
        </is>
      </c>
      <c r="V500" s="17" t="n"/>
      <c r="W500" s="16" t="n"/>
      <c r="X500" s="20" t="n"/>
      <c r="Y500" s="20" t="inlineStr">
        <is>
          <t>None</t>
        </is>
      </c>
      <c r="Z500" s="17" t="n"/>
      <c r="AA500" s="16" t="n"/>
      <c r="AB500" s="20" t="n"/>
      <c r="AC500" s="20" t="inlineStr">
        <is>
          <t>None</t>
        </is>
      </c>
      <c r="AD500" s="17" t="n"/>
      <c r="AE500" s="16" t="n"/>
      <c r="AF500" s="20" t="inlineStr">
        <is>
          <t>IC Anionen</t>
        </is>
      </c>
      <c r="AG500" s="20" t="inlineStr">
        <is>
          <t>None</t>
        </is>
      </c>
      <c r="AH500" s="17" t="n"/>
      <c r="AI500" s="16" t="n"/>
      <c r="AJ500" s="20" t="n"/>
      <c r="AK500" s="20" t="inlineStr">
        <is>
          <t>None</t>
        </is>
      </c>
      <c r="AL500" s="17" t="n"/>
      <c r="AM500" s="16" t="n"/>
      <c r="AN500" s="20" t="inlineStr">
        <is>
          <t>IC Anionen</t>
        </is>
      </c>
      <c r="AO500" s="20" t="inlineStr">
        <is>
          <t>None</t>
        </is>
      </c>
      <c r="AP500" s="17" t="n"/>
      <c r="AQ500" s="16" t="n"/>
      <c r="AR500" s="20" t="n"/>
      <c r="AS500" s="20" t="inlineStr">
        <is>
          <t>None</t>
        </is>
      </c>
      <c r="AT500" s="17" t="n"/>
      <c r="AU500" s="16" t="n"/>
      <c r="AV500" s="20" t="n"/>
      <c r="AW500" s="20" t="inlineStr">
        <is>
          <t>None</t>
        </is>
      </c>
      <c r="AX500" s="17" t="n"/>
      <c r="AY500" s="16" t="n"/>
      <c r="AZ500" s="20" t="inlineStr">
        <is>
          <t>IC Anionen</t>
        </is>
      </c>
      <c r="BA500" s="20" t="inlineStr">
        <is>
          <t>None</t>
        </is>
      </c>
      <c r="BB500" s="17" t="n"/>
      <c r="BC500" s="16" t="n"/>
      <c r="BD500" s="20" t="inlineStr">
        <is>
          <t>IC Kationen</t>
        </is>
      </c>
      <c r="BE500" s="20" t="inlineStr">
        <is>
          <t>None</t>
        </is>
      </c>
      <c r="BF500" s="17" t="n"/>
      <c r="BG500" s="16" t="n"/>
      <c r="BH500" s="20" t="inlineStr">
        <is>
          <t>IC Kationen</t>
        </is>
      </c>
      <c r="BI500" s="20" t="inlineStr">
        <is>
          <t>None</t>
        </is>
      </c>
      <c r="BJ500" s="17" t="n"/>
      <c r="BK500" s="16" t="n"/>
      <c r="BL500" s="20" t="inlineStr">
        <is>
          <t>IC Kationen</t>
        </is>
      </c>
      <c r="BM500" s="20" t="inlineStr">
        <is>
          <t>None</t>
        </is>
      </c>
      <c r="BN500" s="17" t="n"/>
      <c r="BO500" s="16" t="n"/>
      <c r="BP500" s="20" t="inlineStr">
        <is>
          <t>IC Kationen</t>
        </is>
      </c>
      <c r="BQ500" s="20" t="inlineStr">
        <is>
          <t>None</t>
        </is>
      </c>
      <c r="BR500" s="17" t="n"/>
      <c r="BS500" s="16" t="n"/>
      <c r="BT500" s="20" t="inlineStr">
        <is>
          <t>IC Kationen</t>
        </is>
      </c>
      <c r="BU500" s="20" t="inlineStr">
        <is>
          <t>None</t>
        </is>
      </c>
      <c r="BV500" s="17" t="n"/>
      <c r="BW500" s="16" t="n"/>
      <c r="BX500" s="20" t="n"/>
      <c r="BY500" s="20" t="inlineStr">
        <is>
          <t>None</t>
        </is>
      </c>
      <c r="BZ500" s="17" t="n"/>
      <c r="CA500" s="16" t="n"/>
      <c r="CB500" s="20" t="n"/>
      <c r="CC500" s="20" t="inlineStr">
        <is>
          <t>None</t>
        </is>
      </c>
      <c r="CD500" s="17" t="n"/>
      <c r="CE500" s="16" t="n"/>
      <c r="CF500" s="20" t="n"/>
      <c r="CG500" s="20" t="inlineStr">
        <is>
          <t>None</t>
        </is>
      </c>
      <c r="CH500" s="17" t="n"/>
      <c r="CI500" s="16" t="n"/>
      <c r="CJ500" s="20" t="n"/>
      <c r="CK500" s="20" t="inlineStr">
        <is>
          <t>None</t>
        </is>
      </c>
      <c r="CL500" s="17" t="n"/>
      <c r="CM500" s="16" t="n"/>
      <c r="CN500" s="20" t="inlineStr">
        <is>
          <t>SOP 45-34</t>
        </is>
      </c>
      <c r="CO500" s="20" t="inlineStr">
        <is>
          <t>None</t>
        </is>
      </c>
      <c r="CP500" s="17" t="n"/>
      <c r="CQ500" s="16" t="n"/>
      <c r="CR500" s="20" t="n"/>
      <c r="CS500" s="20" t="inlineStr">
        <is>
          <t>None</t>
        </is>
      </c>
      <c r="CT500" s="17" t="n"/>
      <c r="CU500" s="16" t="n"/>
      <c r="CV500" s="20" t="n"/>
      <c r="CW500" s="20" t="inlineStr">
        <is>
          <t>None</t>
        </is>
      </c>
      <c r="CX500" s="17" t="n"/>
      <c r="CY500" s="16" t="n"/>
      <c r="CZ500" s="20" t="inlineStr">
        <is>
          <t>WTW Multimeter 3430 with FDO 925</t>
        </is>
      </c>
      <c r="DA500" s="20" t="inlineStr">
        <is>
          <t>None</t>
        </is>
      </c>
      <c r="DB500" s="17" t="n"/>
      <c r="DC500" s="16" t="n"/>
      <c r="DD500" s="20" t="n"/>
      <c r="DE500" s="20" t="inlineStr">
        <is>
          <t>None</t>
        </is>
      </c>
      <c r="DF500" s="17" t="n"/>
      <c r="DG500" s="16" t="n"/>
      <c r="DH500" s="20" t="inlineStr">
        <is>
          <t>SOP 45-09</t>
        </is>
      </c>
      <c r="DI500" s="20" t="inlineStr">
        <is>
          <t>None</t>
        </is>
      </c>
      <c r="DJ500" s="17" t="n"/>
      <c r="DK500" s="16" t="n"/>
      <c r="DL500" s="20" t="inlineStr">
        <is>
          <t>SOP 45-09 (SOP muss noch angepasst werden für VSS)</t>
        </is>
      </c>
      <c r="DM500" s="20" t="inlineStr">
        <is>
          <t>None</t>
        </is>
      </c>
      <c r="DN500" s="17" t="n"/>
      <c r="DO500" s="16" t="n"/>
      <c r="DP500" s="20" t="inlineStr">
        <is>
          <t>IC Organic Acids</t>
        </is>
      </c>
      <c r="DQ500" s="20" t="inlineStr">
        <is>
          <t>None</t>
        </is>
      </c>
      <c r="DR500" s="17" t="n"/>
      <c r="DS500" s="16" t="n"/>
      <c r="DT500" s="20" t="inlineStr">
        <is>
          <t>IC Organic Acids</t>
        </is>
      </c>
      <c r="DU500" s="20" t="inlineStr">
        <is>
          <t>None</t>
        </is>
      </c>
      <c r="DV500" s="17" t="n"/>
      <c r="DW500" s="16" t="n"/>
      <c r="DX500" s="20" t="inlineStr">
        <is>
          <t>IC Organic Acids</t>
        </is>
      </c>
      <c r="DY500" s="20" t="inlineStr">
        <is>
          <t>None</t>
        </is>
      </c>
      <c r="DZ500" s="17" t="n"/>
      <c r="EA500" s="16" t="n"/>
      <c r="EB500" s="20" t="inlineStr">
        <is>
          <t>IC Organic Acids</t>
        </is>
      </c>
      <c r="EC500" s="20" t="inlineStr">
        <is>
          <t>None</t>
        </is>
      </c>
      <c r="ED500" s="17" t="n"/>
      <c r="EE500" s="16" t="n"/>
      <c r="EF500" s="20" t="inlineStr">
        <is>
          <t>IC Organic Acids</t>
        </is>
      </c>
      <c r="EG500" s="20" t="inlineStr">
        <is>
          <t>None</t>
        </is>
      </c>
      <c r="EH500" s="17" t="n"/>
      <c r="EI500" s="16" t="n"/>
      <c r="EJ500" s="20" t="inlineStr">
        <is>
          <t>IC Organic Acids</t>
        </is>
      </c>
      <c r="EK500" s="20" t="inlineStr">
        <is>
          <t>None</t>
        </is>
      </c>
      <c r="EL500" s="17" t="n"/>
      <c r="EM500" s="16" t="n"/>
      <c r="EN500" s="20" t="inlineStr">
        <is>
          <t>IC Organic Acids</t>
        </is>
      </c>
      <c r="EO500" s="20" t="inlineStr">
        <is>
          <t>None</t>
        </is>
      </c>
      <c r="EP500" s="17" t="n"/>
      <c r="EQ500" s="16" t="n"/>
      <c r="ER500" s="20" t="inlineStr">
        <is>
          <t>IC Organic Acids</t>
        </is>
      </c>
      <c r="ES500" s="20" t="inlineStr">
        <is>
          <t>None</t>
        </is>
      </c>
      <c r="ET500" s="17" t="n"/>
      <c r="EU500" s="16" t="n"/>
      <c r="EV500" s="20" t="inlineStr">
        <is>
          <t>LC-MS</t>
        </is>
      </c>
      <c r="EW500" s="20" t="inlineStr">
        <is>
          <t>None</t>
        </is>
      </c>
      <c r="EX500" s="17" t="n"/>
      <c r="EY500" s="21" t="n"/>
      <c r="EZ500">
        <f>CONCATENATE(A500,B500)</f>
        <v/>
      </c>
      <c r="FA500">
        <f>CONCATENATE(SamplesX!A500,SamplesX!B500)</f>
        <v/>
      </c>
      <c r="FC500">
        <f>MATCH(EZ500,FA1:FA1008,0)</f>
        <v/>
      </c>
    </row>
    <row r="501">
      <c r="A501" s="16" t="n"/>
      <c r="B501" s="17" t="n"/>
      <c r="C501" s="10">
        <f>IF(ISNUMBER(FC501),INDIRECT("SamplesX!C"&amp;FC501),IF(ISNUMBER(FD501),INDIRECT("SamplesY!C"&amp;FD501),""))</f>
        <v/>
      </c>
      <c r="D501" s="12">
        <f>IF(ISNUMBER(FC501),INDIRECT("SamplesX!D"&amp;FC501),IF(ISNUMBER(FD501),INDIRECT("SamplesY!D"&amp;FD501),""))</f>
        <v/>
      </c>
      <c r="E501" s="12">
        <f>IF(ISNUMBER(FC501),INDIRECT("SamplesX!E"&amp;FC501),IF(ISNUMBER(FD501),INDIRECT("SamplesY!E"&amp;FD501),""))</f>
        <v/>
      </c>
      <c r="F501" s="11">
        <f>IF(ISNUMBER(FC501),INDIRECT("SamplesX!F"&amp;FC501),IF(ISNUMBER(FD501),INDIRECT("SamplesY!F"&amp;FD501),""))</f>
        <v/>
      </c>
      <c r="G501" s="18">
        <f>IF(ISNUMBER(FC501),INDIRECT("SamplesX!G"&amp;FC501),IF(ISNUMBER(FD501),INDIRECT("SamplesY!G"&amp;FD501),""))</f>
        <v/>
      </c>
      <c r="H501" s="19">
        <f>IF(ISNUMBER(FC501),INDIRECT("SamplesX!H"&amp;FC501),IF(ISNUMBER(FD501),INDIRECT("SamplesY!H"&amp;FD501),""))</f>
        <v/>
      </c>
      <c r="I501" s="16" t="n"/>
      <c r="J501" s="16" t="n"/>
      <c r="K501" s="16" t="n"/>
      <c r="L501" s="20" t="n"/>
      <c r="M501" s="20" t="inlineStr">
        <is>
          <t>None</t>
        </is>
      </c>
      <c r="N501" s="17" t="n"/>
      <c r="O501" s="16" t="n"/>
      <c r="P501" s="20" t="inlineStr">
        <is>
          <t>Shimadzu TOC-L</t>
        </is>
      </c>
      <c r="Q501" s="20" t="inlineStr">
        <is>
          <t>None</t>
        </is>
      </c>
      <c r="R501" s="17" t="n"/>
      <c r="S501" s="16" t="n"/>
      <c r="T501" s="20" t="inlineStr">
        <is>
          <t>Shimadzu TOC-L</t>
        </is>
      </c>
      <c r="U501" s="20" t="inlineStr">
        <is>
          <t>None</t>
        </is>
      </c>
      <c r="V501" s="17" t="n"/>
      <c r="W501" s="16" t="n"/>
      <c r="X501" s="20" t="n"/>
      <c r="Y501" s="20" t="inlineStr">
        <is>
          <t>None</t>
        </is>
      </c>
      <c r="Z501" s="17" t="n"/>
      <c r="AA501" s="16" t="n"/>
      <c r="AB501" s="20" t="n"/>
      <c r="AC501" s="20" t="inlineStr">
        <is>
          <t>None</t>
        </is>
      </c>
      <c r="AD501" s="17" t="n"/>
      <c r="AE501" s="16" t="n"/>
      <c r="AF501" s="20" t="inlineStr">
        <is>
          <t>IC Anionen</t>
        </is>
      </c>
      <c r="AG501" s="20" t="inlineStr">
        <is>
          <t>None</t>
        </is>
      </c>
      <c r="AH501" s="17" t="n"/>
      <c r="AI501" s="16" t="n"/>
      <c r="AJ501" s="20" t="n"/>
      <c r="AK501" s="20" t="inlineStr">
        <is>
          <t>None</t>
        </is>
      </c>
      <c r="AL501" s="17" t="n"/>
      <c r="AM501" s="16" t="n"/>
      <c r="AN501" s="20" t="inlineStr">
        <is>
          <t>IC Anionen</t>
        </is>
      </c>
      <c r="AO501" s="20" t="inlineStr">
        <is>
          <t>None</t>
        </is>
      </c>
      <c r="AP501" s="17" t="n"/>
      <c r="AQ501" s="16" t="n"/>
      <c r="AR501" s="20" t="n"/>
      <c r="AS501" s="20" t="inlineStr">
        <is>
          <t>None</t>
        </is>
      </c>
      <c r="AT501" s="17" t="n"/>
      <c r="AU501" s="16" t="n"/>
      <c r="AV501" s="20" t="n"/>
      <c r="AW501" s="20" t="inlineStr">
        <is>
          <t>None</t>
        </is>
      </c>
      <c r="AX501" s="17" t="n"/>
      <c r="AY501" s="16" t="n"/>
      <c r="AZ501" s="20" t="inlineStr">
        <is>
          <t>IC Anionen</t>
        </is>
      </c>
      <c r="BA501" s="20" t="inlineStr">
        <is>
          <t>None</t>
        </is>
      </c>
      <c r="BB501" s="17" t="n"/>
      <c r="BC501" s="16" t="n"/>
      <c r="BD501" s="20" t="inlineStr">
        <is>
          <t>IC Kationen</t>
        </is>
      </c>
      <c r="BE501" s="20" t="inlineStr">
        <is>
          <t>None</t>
        </is>
      </c>
      <c r="BF501" s="17" t="n"/>
      <c r="BG501" s="16" t="n"/>
      <c r="BH501" s="20" t="inlineStr">
        <is>
          <t>IC Kationen</t>
        </is>
      </c>
      <c r="BI501" s="20" t="inlineStr">
        <is>
          <t>None</t>
        </is>
      </c>
      <c r="BJ501" s="17" t="n"/>
      <c r="BK501" s="16" t="n"/>
      <c r="BL501" s="20" t="inlineStr">
        <is>
          <t>IC Kationen</t>
        </is>
      </c>
      <c r="BM501" s="20" t="inlineStr">
        <is>
          <t>None</t>
        </is>
      </c>
      <c r="BN501" s="17" t="n"/>
      <c r="BO501" s="16" t="n"/>
      <c r="BP501" s="20" t="inlineStr">
        <is>
          <t>IC Kationen</t>
        </is>
      </c>
      <c r="BQ501" s="20" t="inlineStr">
        <is>
          <t>None</t>
        </is>
      </c>
      <c r="BR501" s="17" t="n"/>
      <c r="BS501" s="16" t="n"/>
      <c r="BT501" s="20" t="inlineStr">
        <is>
          <t>IC Kationen</t>
        </is>
      </c>
      <c r="BU501" s="20" t="inlineStr">
        <is>
          <t>None</t>
        </is>
      </c>
      <c r="BV501" s="17" t="n"/>
      <c r="BW501" s="16" t="n"/>
      <c r="BX501" s="20" t="n"/>
      <c r="BY501" s="20" t="inlineStr">
        <is>
          <t>None</t>
        </is>
      </c>
      <c r="BZ501" s="17" t="n"/>
      <c r="CA501" s="16" t="n"/>
      <c r="CB501" s="20" t="n"/>
      <c r="CC501" s="20" t="inlineStr">
        <is>
          <t>None</t>
        </is>
      </c>
      <c r="CD501" s="17" t="n"/>
      <c r="CE501" s="16" t="n"/>
      <c r="CF501" s="20" t="n"/>
      <c r="CG501" s="20" t="inlineStr">
        <is>
          <t>None</t>
        </is>
      </c>
      <c r="CH501" s="17" t="n"/>
      <c r="CI501" s="16" t="n"/>
      <c r="CJ501" s="20" t="n"/>
      <c r="CK501" s="20" t="inlineStr">
        <is>
          <t>None</t>
        </is>
      </c>
      <c r="CL501" s="17" t="n"/>
      <c r="CM501" s="16" t="n"/>
      <c r="CN501" s="20" t="inlineStr">
        <is>
          <t>SOP 45-34</t>
        </is>
      </c>
      <c r="CO501" s="20" t="inlineStr">
        <is>
          <t>None</t>
        </is>
      </c>
      <c r="CP501" s="17" t="n"/>
      <c r="CQ501" s="16" t="n"/>
      <c r="CR501" s="20" t="n"/>
      <c r="CS501" s="20" t="inlineStr">
        <is>
          <t>None</t>
        </is>
      </c>
      <c r="CT501" s="17" t="n"/>
      <c r="CU501" s="16" t="n"/>
      <c r="CV501" s="20" t="n"/>
      <c r="CW501" s="20" t="inlineStr">
        <is>
          <t>None</t>
        </is>
      </c>
      <c r="CX501" s="17" t="n"/>
      <c r="CY501" s="16" t="n"/>
      <c r="CZ501" s="20" t="inlineStr">
        <is>
          <t>WTW Multimeter 3430 with FDO 925</t>
        </is>
      </c>
      <c r="DA501" s="20" t="inlineStr">
        <is>
          <t>None</t>
        </is>
      </c>
      <c r="DB501" s="17" t="n"/>
      <c r="DC501" s="16" t="n"/>
      <c r="DD501" s="20" t="n"/>
      <c r="DE501" s="20" t="inlineStr">
        <is>
          <t>None</t>
        </is>
      </c>
      <c r="DF501" s="17" t="n"/>
      <c r="DG501" s="16" t="n"/>
      <c r="DH501" s="20" t="inlineStr">
        <is>
          <t>SOP 45-09</t>
        </is>
      </c>
      <c r="DI501" s="20" t="inlineStr">
        <is>
          <t>None</t>
        </is>
      </c>
      <c r="DJ501" s="17" t="n"/>
      <c r="DK501" s="16" t="n"/>
      <c r="DL501" s="20" t="inlineStr">
        <is>
          <t>SOP 45-09 (SOP muss noch angepasst werden für VSS)</t>
        </is>
      </c>
      <c r="DM501" s="20" t="inlineStr">
        <is>
          <t>None</t>
        </is>
      </c>
      <c r="DN501" s="17" t="n"/>
      <c r="DO501" s="16" t="n"/>
      <c r="DP501" s="20" t="inlineStr">
        <is>
          <t>IC Organic Acids</t>
        </is>
      </c>
      <c r="DQ501" s="20" t="inlineStr">
        <is>
          <t>None</t>
        </is>
      </c>
      <c r="DR501" s="17" t="n"/>
      <c r="DS501" s="16" t="n"/>
      <c r="DT501" s="20" t="inlineStr">
        <is>
          <t>IC Organic Acids</t>
        </is>
      </c>
      <c r="DU501" s="20" t="inlineStr">
        <is>
          <t>None</t>
        </is>
      </c>
      <c r="DV501" s="17" t="n"/>
      <c r="DW501" s="16" t="n"/>
      <c r="DX501" s="20" t="inlineStr">
        <is>
          <t>IC Organic Acids</t>
        </is>
      </c>
      <c r="DY501" s="20" t="inlineStr">
        <is>
          <t>None</t>
        </is>
      </c>
      <c r="DZ501" s="17" t="n"/>
      <c r="EA501" s="16" t="n"/>
      <c r="EB501" s="20" t="inlineStr">
        <is>
          <t>IC Organic Acids</t>
        </is>
      </c>
      <c r="EC501" s="20" t="inlineStr">
        <is>
          <t>None</t>
        </is>
      </c>
      <c r="ED501" s="17" t="n"/>
      <c r="EE501" s="16" t="n"/>
      <c r="EF501" s="20" t="inlineStr">
        <is>
          <t>IC Organic Acids</t>
        </is>
      </c>
      <c r="EG501" s="20" t="inlineStr">
        <is>
          <t>None</t>
        </is>
      </c>
      <c r="EH501" s="17" t="n"/>
      <c r="EI501" s="16" t="n"/>
      <c r="EJ501" s="20" t="inlineStr">
        <is>
          <t>IC Organic Acids</t>
        </is>
      </c>
      <c r="EK501" s="20" t="inlineStr">
        <is>
          <t>None</t>
        </is>
      </c>
      <c r="EL501" s="17" t="n"/>
      <c r="EM501" s="16" t="n"/>
      <c r="EN501" s="20" t="inlineStr">
        <is>
          <t>IC Organic Acids</t>
        </is>
      </c>
      <c r="EO501" s="20" t="inlineStr">
        <is>
          <t>None</t>
        </is>
      </c>
      <c r="EP501" s="17" t="n"/>
      <c r="EQ501" s="16" t="n"/>
      <c r="ER501" s="20" t="inlineStr">
        <is>
          <t>IC Organic Acids</t>
        </is>
      </c>
      <c r="ES501" s="20" t="inlineStr">
        <is>
          <t>None</t>
        </is>
      </c>
      <c r="ET501" s="17" t="n"/>
      <c r="EU501" s="16" t="n"/>
      <c r="EV501" s="20" t="inlineStr">
        <is>
          <t>LC-MS</t>
        </is>
      </c>
      <c r="EW501" s="20" t="inlineStr">
        <is>
          <t>None</t>
        </is>
      </c>
      <c r="EX501" s="17" t="n"/>
      <c r="EY501" s="21" t="n"/>
      <c r="EZ501">
        <f>CONCATENATE(A501,B501)</f>
        <v/>
      </c>
      <c r="FA501">
        <f>CONCATENATE(SamplesX!A501,SamplesX!B501)</f>
        <v/>
      </c>
      <c r="FC501">
        <f>MATCH(EZ501,FA1:FA1008,0)</f>
        <v/>
      </c>
    </row>
    <row r="502">
      <c r="A502" s="16" t="n"/>
      <c r="B502" s="17" t="n"/>
      <c r="C502" s="10">
        <f>IF(ISNUMBER(FC502),INDIRECT("SamplesX!C"&amp;FC502),IF(ISNUMBER(FD502),INDIRECT("SamplesY!C"&amp;FD502),""))</f>
        <v/>
      </c>
      <c r="D502" s="12">
        <f>IF(ISNUMBER(FC502),INDIRECT("SamplesX!D"&amp;FC502),IF(ISNUMBER(FD502),INDIRECT("SamplesY!D"&amp;FD502),""))</f>
        <v/>
      </c>
      <c r="E502" s="12">
        <f>IF(ISNUMBER(FC502),INDIRECT("SamplesX!E"&amp;FC502),IF(ISNUMBER(FD502),INDIRECT("SamplesY!E"&amp;FD502),""))</f>
        <v/>
      </c>
      <c r="F502" s="11">
        <f>IF(ISNUMBER(FC502),INDIRECT("SamplesX!F"&amp;FC502),IF(ISNUMBER(FD502),INDIRECT("SamplesY!F"&amp;FD502),""))</f>
        <v/>
      </c>
      <c r="G502" s="18">
        <f>IF(ISNUMBER(FC502),INDIRECT("SamplesX!G"&amp;FC502),IF(ISNUMBER(FD502),INDIRECT("SamplesY!G"&amp;FD502),""))</f>
        <v/>
      </c>
      <c r="H502" s="19">
        <f>IF(ISNUMBER(FC502),INDIRECT("SamplesX!H"&amp;FC502),IF(ISNUMBER(FD502),INDIRECT("SamplesY!H"&amp;FD502),""))</f>
        <v/>
      </c>
      <c r="I502" s="16" t="n"/>
      <c r="J502" s="16" t="n"/>
      <c r="K502" s="16" t="n"/>
      <c r="L502" s="20" t="n"/>
      <c r="M502" s="20" t="inlineStr">
        <is>
          <t>None</t>
        </is>
      </c>
      <c r="N502" s="17" t="n"/>
      <c r="O502" s="16" t="n"/>
      <c r="P502" s="20" t="inlineStr">
        <is>
          <t>Shimadzu TOC-L</t>
        </is>
      </c>
      <c r="Q502" s="20" t="inlineStr">
        <is>
          <t>None</t>
        </is>
      </c>
      <c r="R502" s="17" t="n"/>
      <c r="S502" s="16" t="n"/>
      <c r="T502" s="20" t="inlineStr">
        <is>
          <t>Shimadzu TOC-L</t>
        </is>
      </c>
      <c r="U502" s="20" t="inlineStr">
        <is>
          <t>None</t>
        </is>
      </c>
      <c r="V502" s="17" t="n"/>
      <c r="W502" s="16" t="n"/>
      <c r="X502" s="20" t="n"/>
      <c r="Y502" s="20" t="inlineStr">
        <is>
          <t>None</t>
        </is>
      </c>
      <c r="Z502" s="17" t="n"/>
      <c r="AA502" s="16" t="n"/>
      <c r="AB502" s="20" t="n"/>
      <c r="AC502" s="20" t="inlineStr">
        <is>
          <t>None</t>
        </is>
      </c>
      <c r="AD502" s="17" t="n"/>
      <c r="AE502" s="16" t="n"/>
      <c r="AF502" s="20" t="inlineStr">
        <is>
          <t>IC Anionen</t>
        </is>
      </c>
      <c r="AG502" s="20" t="inlineStr">
        <is>
          <t>None</t>
        </is>
      </c>
      <c r="AH502" s="17" t="n"/>
      <c r="AI502" s="16" t="n"/>
      <c r="AJ502" s="20" t="n"/>
      <c r="AK502" s="20" t="inlineStr">
        <is>
          <t>None</t>
        </is>
      </c>
      <c r="AL502" s="17" t="n"/>
      <c r="AM502" s="16" t="n"/>
      <c r="AN502" s="20" t="inlineStr">
        <is>
          <t>IC Anionen</t>
        </is>
      </c>
      <c r="AO502" s="20" t="inlineStr">
        <is>
          <t>None</t>
        </is>
      </c>
      <c r="AP502" s="17" t="n"/>
      <c r="AQ502" s="16" t="n"/>
      <c r="AR502" s="20" t="n"/>
      <c r="AS502" s="20" t="inlineStr">
        <is>
          <t>None</t>
        </is>
      </c>
      <c r="AT502" s="17" t="n"/>
      <c r="AU502" s="16" t="n"/>
      <c r="AV502" s="20" t="n"/>
      <c r="AW502" s="20" t="inlineStr">
        <is>
          <t>None</t>
        </is>
      </c>
      <c r="AX502" s="17" t="n"/>
      <c r="AY502" s="16" t="n"/>
      <c r="AZ502" s="20" t="inlineStr">
        <is>
          <t>IC Anionen</t>
        </is>
      </c>
      <c r="BA502" s="20" t="inlineStr">
        <is>
          <t>None</t>
        </is>
      </c>
      <c r="BB502" s="17" t="n"/>
      <c r="BC502" s="16" t="n"/>
      <c r="BD502" s="20" t="inlineStr">
        <is>
          <t>IC Kationen</t>
        </is>
      </c>
      <c r="BE502" s="20" t="inlineStr">
        <is>
          <t>None</t>
        </is>
      </c>
      <c r="BF502" s="17" t="n"/>
      <c r="BG502" s="16" t="n"/>
      <c r="BH502" s="20" t="inlineStr">
        <is>
          <t>IC Kationen</t>
        </is>
      </c>
      <c r="BI502" s="20" t="inlineStr">
        <is>
          <t>None</t>
        </is>
      </c>
      <c r="BJ502" s="17" t="n"/>
      <c r="BK502" s="16" t="n"/>
      <c r="BL502" s="20" t="inlineStr">
        <is>
          <t>IC Kationen</t>
        </is>
      </c>
      <c r="BM502" s="20" t="inlineStr">
        <is>
          <t>None</t>
        </is>
      </c>
      <c r="BN502" s="17" t="n"/>
      <c r="BO502" s="16" t="n"/>
      <c r="BP502" s="20" t="inlineStr">
        <is>
          <t>IC Kationen</t>
        </is>
      </c>
      <c r="BQ502" s="20" t="inlineStr">
        <is>
          <t>None</t>
        </is>
      </c>
      <c r="BR502" s="17" t="n"/>
      <c r="BS502" s="16" t="n"/>
      <c r="BT502" s="20" t="inlineStr">
        <is>
          <t>IC Kationen</t>
        </is>
      </c>
      <c r="BU502" s="20" t="inlineStr">
        <is>
          <t>None</t>
        </is>
      </c>
      <c r="BV502" s="17" t="n"/>
      <c r="BW502" s="16" t="n"/>
      <c r="BX502" s="20" t="n"/>
      <c r="BY502" s="20" t="inlineStr">
        <is>
          <t>None</t>
        </is>
      </c>
      <c r="BZ502" s="17" t="n"/>
      <c r="CA502" s="16" t="n"/>
      <c r="CB502" s="20" t="n"/>
      <c r="CC502" s="20" t="inlineStr">
        <is>
          <t>None</t>
        </is>
      </c>
      <c r="CD502" s="17" t="n"/>
      <c r="CE502" s="16" t="n"/>
      <c r="CF502" s="20" t="n"/>
      <c r="CG502" s="20" t="inlineStr">
        <is>
          <t>None</t>
        </is>
      </c>
      <c r="CH502" s="17" t="n"/>
      <c r="CI502" s="16" t="n"/>
      <c r="CJ502" s="20" t="n"/>
      <c r="CK502" s="20" t="inlineStr">
        <is>
          <t>None</t>
        </is>
      </c>
      <c r="CL502" s="17" t="n"/>
      <c r="CM502" s="16" t="n"/>
      <c r="CN502" s="20" t="inlineStr">
        <is>
          <t>SOP 45-34</t>
        </is>
      </c>
      <c r="CO502" s="20" t="inlineStr">
        <is>
          <t>None</t>
        </is>
      </c>
      <c r="CP502" s="17" t="n"/>
      <c r="CQ502" s="16" t="n"/>
      <c r="CR502" s="20" t="n"/>
      <c r="CS502" s="20" t="inlineStr">
        <is>
          <t>None</t>
        </is>
      </c>
      <c r="CT502" s="17" t="n"/>
      <c r="CU502" s="16" t="n"/>
      <c r="CV502" s="20" t="n"/>
      <c r="CW502" s="20" t="inlineStr">
        <is>
          <t>None</t>
        </is>
      </c>
      <c r="CX502" s="17" t="n"/>
      <c r="CY502" s="16" t="n"/>
      <c r="CZ502" s="20" t="inlineStr">
        <is>
          <t>WTW Multimeter 3430 with FDO 925</t>
        </is>
      </c>
      <c r="DA502" s="20" t="inlineStr">
        <is>
          <t>None</t>
        </is>
      </c>
      <c r="DB502" s="17" t="n"/>
      <c r="DC502" s="16" t="n"/>
      <c r="DD502" s="20" t="n"/>
      <c r="DE502" s="20" t="inlineStr">
        <is>
          <t>None</t>
        </is>
      </c>
      <c r="DF502" s="17" t="n"/>
      <c r="DG502" s="16" t="n"/>
      <c r="DH502" s="20" t="inlineStr">
        <is>
          <t>SOP 45-09</t>
        </is>
      </c>
      <c r="DI502" s="20" t="inlineStr">
        <is>
          <t>None</t>
        </is>
      </c>
      <c r="DJ502" s="17" t="n"/>
      <c r="DK502" s="16" t="n"/>
      <c r="DL502" s="20" t="inlineStr">
        <is>
          <t>SOP 45-09 (SOP muss noch angepasst werden für VSS)</t>
        </is>
      </c>
      <c r="DM502" s="20" t="inlineStr">
        <is>
          <t>None</t>
        </is>
      </c>
      <c r="DN502" s="17" t="n"/>
      <c r="DO502" s="16" t="n"/>
      <c r="DP502" s="20" t="inlineStr">
        <is>
          <t>IC Organic Acids</t>
        </is>
      </c>
      <c r="DQ502" s="20" t="inlineStr">
        <is>
          <t>None</t>
        </is>
      </c>
      <c r="DR502" s="17" t="n"/>
      <c r="DS502" s="16" t="n"/>
      <c r="DT502" s="20" t="inlineStr">
        <is>
          <t>IC Organic Acids</t>
        </is>
      </c>
      <c r="DU502" s="20" t="inlineStr">
        <is>
          <t>None</t>
        </is>
      </c>
      <c r="DV502" s="17" t="n"/>
      <c r="DW502" s="16" t="n"/>
      <c r="DX502" s="20" t="inlineStr">
        <is>
          <t>IC Organic Acids</t>
        </is>
      </c>
      <c r="DY502" s="20" t="inlineStr">
        <is>
          <t>None</t>
        </is>
      </c>
      <c r="DZ502" s="17" t="n"/>
      <c r="EA502" s="16" t="n"/>
      <c r="EB502" s="20" t="inlineStr">
        <is>
          <t>IC Organic Acids</t>
        </is>
      </c>
      <c r="EC502" s="20" t="inlineStr">
        <is>
          <t>None</t>
        </is>
      </c>
      <c r="ED502" s="17" t="n"/>
      <c r="EE502" s="16" t="n"/>
      <c r="EF502" s="20" t="inlineStr">
        <is>
          <t>IC Organic Acids</t>
        </is>
      </c>
      <c r="EG502" s="20" t="inlineStr">
        <is>
          <t>None</t>
        </is>
      </c>
      <c r="EH502" s="17" t="n"/>
      <c r="EI502" s="16" t="n"/>
      <c r="EJ502" s="20" t="inlineStr">
        <is>
          <t>IC Organic Acids</t>
        </is>
      </c>
      <c r="EK502" s="20" t="inlineStr">
        <is>
          <t>None</t>
        </is>
      </c>
      <c r="EL502" s="17" t="n"/>
      <c r="EM502" s="16" t="n"/>
      <c r="EN502" s="20" t="inlineStr">
        <is>
          <t>IC Organic Acids</t>
        </is>
      </c>
      <c r="EO502" s="20" t="inlineStr">
        <is>
          <t>None</t>
        </is>
      </c>
      <c r="EP502" s="17" t="n"/>
      <c r="EQ502" s="16" t="n"/>
      <c r="ER502" s="20" t="inlineStr">
        <is>
          <t>IC Organic Acids</t>
        </is>
      </c>
      <c r="ES502" s="20" t="inlineStr">
        <is>
          <t>None</t>
        </is>
      </c>
      <c r="ET502" s="17" t="n"/>
      <c r="EU502" s="16" t="n"/>
      <c r="EV502" s="20" t="inlineStr">
        <is>
          <t>LC-MS</t>
        </is>
      </c>
      <c r="EW502" s="20" t="inlineStr">
        <is>
          <t>None</t>
        </is>
      </c>
      <c r="EX502" s="17" t="n"/>
      <c r="EY502" s="21" t="n"/>
      <c r="EZ502">
        <f>CONCATENATE(A502,B502)</f>
        <v/>
      </c>
      <c r="FA502">
        <f>CONCATENATE(SamplesX!A502,SamplesX!B502)</f>
        <v/>
      </c>
      <c r="FC502">
        <f>MATCH(EZ502,FA1:FA1008,0)</f>
        <v/>
      </c>
    </row>
    <row r="503">
      <c r="A503" s="16" t="n"/>
      <c r="B503" s="17" t="n"/>
      <c r="C503" s="10">
        <f>IF(ISNUMBER(FC503),INDIRECT("SamplesX!C"&amp;FC503),IF(ISNUMBER(FD503),INDIRECT("SamplesY!C"&amp;FD503),""))</f>
        <v/>
      </c>
      <c r="D503" s="12">
        <f>IF(ISNUMBER(FC503),INDIRECT("SamplesX!D"&amp;FC503),IF(ISNUMBER(FD503),INDIRECT("SamplesY!D"&amp;FD503),""))</f>
        <v/>
      </c>
      <c r="E503" s="12">
        <f>IF(ISNUMBER(FC503),INDIRECT("SamplesX!E"&amp;FC503),IF(ISNUMBER(FD503),INDIRECT("SamplesY!E"&amp;FD503),""))</f>
        <v/>
      </c>
      <c r="F503" s="11">
        <f>IF(ISNUMBER(FC503),INDIRECT("SamplesX!F"&amp;FC503),IF(ISNUMBER(FD503),INDIRECT("SamplesY!F"&amp;FD503),""))</f>
        <v/>
      </c>
      <c r="G503" s="18">
        <f>IF(ISNUMBER(FC503),INDIRECT("SamplesX!G"&amp;FC503),IF(ISNUMBER(FD503),INDIRECT("SamplesY!G"&amp;FD503),""))</f>
        <v/>
      </c>
      <c r="H503" s="19">
        <f>IF(ISNUMBER(FC503),INDIRECT("SamplesX!H"&amp;FC503),IF(ISNUMBER(FD503),INDIRECT("SamplesY!H"&amp;FD503),""))</f>
        <v/>
      </c>
      <c r="I503" s="16" t="n"/>
      <c r="J503" s="16" t="n"/>
      <c r="K503" s="16" t="n"/>
      <c r="L503" s="20" t="n"/>
      <c r="M503" s="20" t="inlineStr">
        <is>
          <t>None</t>
        </is>
      </c>
      <c r="N503" s="17" t="n"/>
      <c r="O503" s="16" t="n"/>
      <c r="P503" s="20" t="inlineStr">
        <is>
          <t>Shimadzu TOC-L</t>
        </is>
      </c>
      <c r="Q503" s="20" t="inlineStr">
        <is>
          <t>None</t>
        </is>
      </c>
      <c r="R503" s="17" t="n"/>
      <c r="S503" s="16" t="n"/>
      <c r="T503" s="20" t="inlineStr">
        <is>
          <t>Shimadzu TOC-L</t>
        </is>
      </c>
      <c r="U503" s="20" t="inlineStr">
        <is>
          <t>None</t>
        </is>
      </c>
      <c r="V503" s="17" t="n"/>
      <c r="W503" s="16" t="n"/>
      <c r="X503" s="20" t="n"/>
      <c r="Y503" s="20" t="inlineStr">
        <is>
          <t>None</t>
        </is>
      </c>
      <c r="Z503" s="17" t="n"/>
      <c r="AA503" s="16" t="n"/>
      <c r="AB503" s="20" t="n"/>
      <c r="AC503" s="20" t="inlineStr">
        <is>
          <t>None</t>
        </is>
      </c>
      <c r="AD503" s="17" t="n"/>
      <c r="AE503" s="16" t="n"/>
      <c r="AF503" s="20" t="inlineStr">
        <is>
          <t>IC Anionen</t>
        </is>
      </c>
      <c r="AG503" s="20" t="inlineStr">
        <is>
          <t>None</t>
        </is>
      </c>
      <c r="AH503" s="17" t="n"/>
      <c r="AI503" s="16" t="n"/>
      <c r="AJ503" s="20" t="n"/>
      <c r="AK503" s="20" t="inlineStr">
        <is>
          <t>None</t>
        </is>
      </c>
      <c r="AL503" s="17" t="n"/>
      <c r="AM503" s="16" t="n"/>
      <c r="AN503" s="20" t="inlineStr">
        <is>
          <t>IC Anionen</t>
        </is>
      </c>
      <c r="AO503" s="20" t="inlineStr">
        <is>
          <t>None</t>
        </is>
      </c>
      <c r="AP503" s="17" t="n"/>
      <c r="AQ503" s="16" t="n"/>
      <c r="AR503" s="20" t="n"/>
      <c r="AS503" s="20" t="inlineStr">
        <is>
          <t>None</t>
        </is>
      </c>
      <c r="AT503" s="17" t="n"/>
      <c r="AU503" s="16" t="n"/>
      <c r="AV503" s="20" t="n"/>
      <c r="AW503" s="20" t="inlineStr">
        <is>
          <t>None</t>
        </is>
      </c>
      <c r="AX503" s="17" t="n"/>
      <c r="AY503" s="16" t="n"/>
      <c r="AZ503" s="20" t="inlineStr">
        <is>
          <t>IC Anionen</t>
        </is>
      </c>
      <c r="BA503" s="20" t="inlineStr">
        <is>
          <t>None</t>
        </is>
      </c>
      <c r="BB503" s="17" t="n"/>
      <c r="BC503" s="16" t="n"/>
      <c r="BD503" s="20" t="inlineStr">
        <is>
          <t>IC Kationen</t>
        </is>
      </c>
      <c r="BE503" s="20" t="inlineStr">
        <is>
          <t>None</t>
        </is>
      </c>
      <c r="BF503" s="17" t="n"/>
      <c r="BG503" s="16" t="n"/>
      <c r="BH503" s="20" t="inlineStr">
        <is>
          <t>IC Kationen</t>
        </is>
      </c>
      <c r="BI503" s="20" t="inlineStr">
        <is>
          <t>None</t>
        </is>
      </c>
      <c r="BJ503" s="17" t="n"/>
      <c r="BK503" s="16" t="n"/>
      <c r="BL503" s="20" t="inlineStr">
        <is>
          <t>IC Kationen</t>
        </is>
      </c>
      <c r="BM503" s="20" t="inlineStr">
        <is>
          <t>None</t>
        </is>
      </c>
      <c r="BN503" s="17" t="n"/>
      <c r="BO503" s="16" t="n"/>
      <c r="BP503" s="20" t="inlineStr">
        <is>
          <t>IC Kationen</t>
        </is>
      </c>
      <c r="BQ503" s="20" t="inlineStr">
        <is>
          <t>None</t>
        </is>
      </c>
      <c r="BR503" s="17" t="n"/>
      <c r="BS503" s="16" t="n"/>
      <c r="BT503" s="20" t="inlineStr">
        <is>
          <t>IC Kationen</t>
        </is>
      </c>
      <c r="BU503" s="20" t="inlineStr">
        <is>
          <t>None</t>
        </is>
      </c>
      <c r="BV503" s="17" t="n"/>
      <c r="BW503" s="16" t="n"/>
      <c r="BX503" s="20" t="n"/>
      <c r="BY503" s="20" t="inlineStr">
        <is>
          <t>None</t>
        </is>
      </c>
      <c r="BZ503" s="17" t="n"/>
      <c r="CA503" s="16" t="n"/>
      <c r="CB503" s="20" t="n"/>
      <c r="CC503" s="20" t="inlineStr">
        <is>
          <t>None</t>
        </is>
      </c>
      <c r="CD503" s="17" t="n"/>
      <c r="CE503" s="16" t="n"/>
      <c r="CF503" s="20" t="n"/>
      <c r="CG503" s="20" t="inlineStr">
        <is>
          <t>None</t>
        </is>
      </c>
      <c r="CH503" s="17" t="n"/>
      <c r="CI503" s="16" t="n"/>
      <c r="CJ503" s="20" t="n"/>
      <c r="CK503" s="20" t="inlineStr">
        <is>
          <t>None</t>
        </is>
      </c>
      <c r="CL503" s="17" t="n"/>
      <c r="CM503" s="16" t="n"/>
      <c r="CN503" s="20" t="inlineStr">
        <is>
          <t>SOP 45-34</t>
        </is>
      </c>
      <c r="CO503" s="20" t="inlineStr">
        <is>
          <t>None</t>
        </is>
      </c>
      <c r="CP503" s="17" t="n"/>
      <c r="CQ503" s="16" t="n"/>
      <c r="CR503" s="20" t="n"/>
      <c r="CS503" s="20" t="inlineStr">
        <is>
          <t>None</t>
        </is>
      </c>
      <c r="CT503" s="17" t="n"/>
      <c r="CU503" s="16" t="n"/>
      <c r="CV503" s="20" t="n"/>
      <c r="CW503" s="20" t="inlineStr">
        <is>
          <t>None</t>
        </is>
      </c>
      <c r="CX503" s="17" t="n"/>
      <c r="CY503" s="16" t="n"/>
      <c r="CZ503" s="20" t="inlineStr">
        <is>
          <t>WTW Multimeter 3430 with FDO 925</t>
        </is>
      </c>
      <c r="DA503" s="20" t="inlineStr">
        <is>
          <t>None</t>
        </is>
      </c>
      <c r="DB503" s="17" t="n"/>
      <c r="DC503" s="16" t="n"/>
      <c r="DD503" s="20" t="n"/>
      <c r="DE503" s="20" t="inlineStr">
        <is>
          <t>None</t>
        </is>
      </c>
      <c r="DF503" s="17" t="n"/>
      <c r="DG503" s="16" t="n"/>
      <c r="DH503" s="20" t="inlineStr">
        <is>
          <t>SOP 45-09</t>
        </is>
      </c>
      <c r="DI503" s="20" t="inlineStr">
        <is>
          <t>None</t>
        </is>
      </c>
      <c r="DJ503" s="17" t="n"/>
      <c r="DK503" s="16" t="n"/>
      <c r="DL503" s="20" t="inlineStr">
        <is>
          <t>SOP 45-09 (SOP muss noch angepasst werden für VSS)</t>
        </is>
      </c>
      <c r="DM503" s="20" t="inlineStr">
        <is>
          <t>None</t>
        </is>
      </c>
      <c r="DN503" s="17" t="n"/>
      <c r="DO503" s="16" t="n"/>
      <c r="DP503" s="20" t="inlineStr">
        <is>
          <t>IC Organic Acids</t>
        </is>
      </c>
      <c r="DQ503" s="20" t="inlineStr">
        <is>
          <t>None</t>
        </is>
      </c>
      <c r="DR503" s="17" t="n"/>
      <c r="DS503" s="16" t="n"/>
      <c r="DT503" s="20" t="inlineStr">
        <is>
          <t>IC Organic Acids</t>
        </is>
      </c>
      <c r="DU503" s="20" t="inlineStr">
        <is>
          <t>None</t>
        </is>
      </c>
      <c r="DV503" s="17" t="n"/>
      <c r="DW503" s="16" t="n"/>
      <c r="DX503" s="20" t="inlineStr">
        <is>
          <t>IC Organic Acids</t>
        </is>
      </c>
      <c r="DY503" s="20" t="inlineStr">
        <is>
          <t>None</t>
        </is>
      </c>
      <c r="DZ503" s="17" t="n"/>
      <c r="EA503" s="16" t="n"/>
      <c r="EB503" s="20" t="inlineStr">
        <is>
          <t>IC Organic Acids</t>
        </is>
      </c>
      <c r="EC503" s="20" t="inlineStr">
        <is>
          <t>None</t>
        </is>
      </c>
      <c r="ED503" s="17" t="n"/>
      <c r="EE503" s="16" t="n"/>
      <c r="EF503" s="20" t="inlineStr">
        <is>
          <t>IC Organic Acids</t>
        </is>
      </c>
      <c r="EG503" s="20" t="inlineStr">
        <is>
          <t>None</t>
        </is>
      </c>
      <c r="EH503" s="17" t="n"/>
      <c r="EI503" s="16" t="n"/>
      <c r="EJ503" s="20" t="inlineStr">
        <is>
          <t>IC Organic Acids</t>
        </is>
      </c>
      <c r="EK503" s="20" t="inlineStr">
        <is>
          <t>None</t>
        </is>
      </c>
      <c r="EL503" s="17" t="n"/>
      <c r="EM503" s="16" t="n"/>
      <c r="EN503" s="20" t="inlineStr">
        <is>
          <t>IC Organic Acids</t>
        </is>
      </c>
      <c r="EO503" s="20" t="inlineStr">
        <is>
          <t>None</t>
        </is>
      </c>
      <c r="EP503" s="17" t="n"/>
      <c r="EQ503" s="16" t="n"/>
      <c r="ER503" s="20" t="inlineStr">
        <is>
          <t>IC Organic Acids</t>
        </is>
      </c>
      <c r="ES503" s="20" t="inlineStr">
        <is>
          <t>None</t>
        </is>
      </c>
      <c r="ET503" s="17" t="n"/>
      <c r="EU503" s="16" t="n"/>
      <c r="EV503" s="20" t="inlineStr">
        <is>
          <t>LC-MS</t>
        </is>
      </c>
      <c r="EW503" s="20" t="inlineStr">
        <is>
          <t>None</t>
        </is>
      </c>
      <c r="EX503" s="17" t="n"/>
      <c r="EY503" s="21" t="n"/>
      <c r="EZ503">
        <f>CONCATENATE(A503,B503)</f>
        <v/>
      </c>
      <c r="FA503">
        <f>CONCATENATE(SamplesX!A503,SamplesX!B503)</f>
        <v/>
      </c>
      <c r="FC503">
        <f>MATCH(EZ503,FA1:FA1008,0)</f>
        <v/>
      </c>
    </row>
    <row r="504">
      <c r="A504" s="16" t="n"/>
      <c r="B504" s="17" t="n"/>
      <c r="C504" s="10">
        <f>IF(ISNUMBER(FC504),INDIRECT("SamplesX!C"&amp;FC504),IF(ISNUMBER(FD504),INDIRECT("SamplesY!C"&amp;FD504),""))</f>
        <v/>
      </c>
      <c r="D504" s="12">
        <f>IF(ISNUMBER(FC504),INDIRECT("SamplesX!D"&amp;FC504),IF(ISNUMBER(FD504),INDIRECT("SamplesY!D"&amp;FD504),""))</f>
        <v/>
      </c>
      <c r="E504" s="12">
        <f>IF(ISNUMBER(FC504),INDIRECT("SamplesX!E"&amp;FC504),IF(ISNUMBER(FD504),INDIRECT("SamplesY!E"&amp;FD504),""))</f>
        <v/>
      </c>
      <c r="F504" s="11">
        <f>IF(ISNUMBER(FC504),INDIRECT("SamplesX!F"&amp;FC504),IF(ISNUMBER(FD504),INDIRECT("SamplesY!F"&amp;FD504),""))</f>
        <v/>
      </c>
      <c r="G504" s="18">
        <f>IF(ISNUMBER(FC504),INDIRECT("SamplesX!G"&amp;FC504),IF(ISNUMBER(FD504),INDIRECT("SamplesY!G"&amp;FD504),""))</f>
        <v/>
      </c>
      <c r="H504" s="19">
        <f>IF(ISNUMBER(FC504),INDIRECT("SamplesX!H"&amp;FC504),IF(ISNUMBER(FD504),INDIRECT("SamplesY!H"&amp;FD504),""))</f>
        <v/>
      </c>
      <c r="I504" s="16" t="n"/>
      <c r="J504" s="16" t="n"/>
      <c r="K504" s="16" t="n"/>
      <c r="L504" s="20" t="n"/>
      <c r="M504" s="20" t="inlineStr">
        <is>
          <t>None</t>
        </is>
      </c>
      <c r="N504" s="17" t="n"/>
      <c r="O504" s="16" t="n"/>
      <c r="P504" s="20" t="inlineStr">
        <is>
          <t>Shimadzu TOC-L</t>
        </is>
      </c>
      <c r="Q504" s="20" t="inlineStr">
        <is>
          <t>None</t>
        </is>
      </c>
      <c r="R504" s="17" t="n"/>
      <c r="S504" s="16" t="n"/>
      <c r="T504" s="20" t="inlineStr">
        <is>
          <t>Shimadzu TOC-L</t>
        </is>
      </c>
      <c r="U504" s="20" t="inlineStr">
        <is>
          <t>None</t>
        </is>
      </c>
      <c r="V504" s="17" t="n"/>
      <c r="W504" s="16" t="n"/>
      <c r="X504" s="20" t="n"/>
      <c r="Y504" s="20" t="inlineStr">
        <is>
          <t>None</t>
        </is>
      </c>
      <c r="Z504" s="17" t="n"/>
      <c r="AA504" s="16" t="n"/>
      <c r="AB504" s="20" t="n"/>
      <c r="AC504" s="20" t="inlineStr">
        <is>
          <t>None</t>
        </is>
      </c>
      <c r="AD504" s="17" t="n"/>
      <c r="AE504" s="16" t="n"/>
      <c r="AF504" s="20" t="inlineStr">
        <is>
          <t>IC Anionen</t>
        </is>
      </c>
      <c r="AG504" s="20" t="inlineStr">
        <is>
          <t>None</t>
        </is>
      </c>
      <c r="AH504" s="17" t="n"/>
      <c r="AI504" s="16" t="n"/>
      <c r="AJ504" s="20" t="n"/>
      <c r="AK504" s="20" t="inlineStr">
        <is>
          <t>None</t>
        </is>
      </c>
      <c r="AL504" s="17" t="n"/>
      <c r="AM504" s="16" t="n"/>
      <c r="AN504" s="20" t="inlineStr">
        <is>
          <t>IC Anionen</t>
        </is>
      </c>
      <c r="AO504" s="20" t="inlineStr">
        <is>
          <t>None</t>
        </is>
      </c>
      <c r="AP504" s="17" t="n"/>
      <c r="AQ504" s="16" t="n"/>
      <c r="AR504" s="20" t="n"/>
      <c r="AS504" s="20" t="inlineStr">
        <is>
          <t>None</t>
        </is>
      </c>
      <c r="AT504" s="17" t="n"/>
      <c r="AU504" s="16" t="n"/>
      <c r="AV504" s="20" t="n"/>
      <c r="AW504" s="20" t="inlineStr">
        <is>
          <t>None</t>
        </is>
      </c>
      <c r="AX504" s="17" t="n"/>
      <c r="AY504" s="16" t="n"/>
      <c r="AZ504" s="20" t="inlineStr">
        <is>
          <t>IC Anionen</t>
        </is>
      </c>
      <c r="BA504" s="20" t="inlineStr">
        <is>
          <t>None</t>
        </is>
      </c>
      <c r="BB504" s="17" t="n"/>
      <c r="BC504" s="16" t="n"/>
      <c r="BD504" s="20" t="inlineStr">
        <is>
          <t>IC Kationen</t>
        </is>
      </c>
      <c r="BE504" s="20" t="inlineStr">
        <is>
          <t>None</t>
        </is>
      </c>
      <c r="BF504" s="17" t="n"/>
      <c r="BG504" s="16" t="n"/>
      <c r="BH504" s="20" t="inlineStr">
        <is>
          <t>IC Kationen</t>
        </is>
      </c>
      <c r="BI504" s="20" t="inlineStr">
        <is>
          <t>None</t>
        </is>
      </c>
      <c r="BJ504" s="17" t="n"/>
      <c r="BK504" s="16" t="n"/>
      <c r="BL504" s="20" t="inlineStr">
        <is>
          <t>IC Kationen</t>
        </is>
      </c>
      <c r="BM504" s="20" t="inlineStr">
        <is>
          <t>None</t>
        </is>
      </c>
      <c r="BN504" s="17" t="n"/>
      <c r="BO504" s="16" t="n"/>
      <c r="BP504" s="20" t="inlineStr">
        <is>
          <t>IC Kationen</t>
        </is>
      </c>
      <c r="BQ504" s="20" t="inlineStr">
        <is>
          <t>None</t>
        </is>
      </c>
      <c r="BR504" s="17" t="n"/>
      <c r="BS504" s="16" t="n"/>
      <c r="BT504" s="20" t="inlineStr">
        <is>
          <t>IC Kationen</t>
        </is>
      </c>
      <c r="BU504" s="20" t="inlineStr">
        <is>
          <t>None</t>
        </is>
      </c>
      <c r="BV504" s="17" t="n"/>
      <c r="BW504" s="16" t="n"/>
      <c r="BX504" s="20" t="n"/>
      <c r="BY504" s="20" t="inlineStr">
        <is>
          <t>None</t>
        </is>
      </c>
      <c r="BZ504" s="17" t="n"/>
      <c r="CA504" s="16" t="n"/>
      <c r="CB504" s="20" t="n"/>
      <c r="CC504" s="20" t="inlineStr">
        <is>
          <t>None</t>
        </is>
      </c>
      <c r="CD504" s="17" t="n"/>
      <c r="CE504" s="16" t="n"/>
      <c r="CF504" s="20" t="n"/>
      <c r="CG504" s="20" t="inlineStr">
        <is>
          <t>None</t>
        </is>
      </c>
      <c r="CH504" s="17" t="n"/>
      <c r="CI504" s="16" t="n"/>
      <c r="CJ504" s="20" t="n"/>
      <c r="CK504" s="20" t="inlineStr">
        <is>
          <t>None</t>
        </is>
      </c>
      <c r="CL504" s="17" t="n"/>
      <c r="CM504" s="16" t="n"/>
      <c r="CN504" s="20" t="inlineStr">
        <is>
          <t>SOP 45-34</t>
        </is>
      </c>
      <c r="CO504" s="20" t="inlineStr">
        <is>
          <t>None</t>
        </is>
      </c>
      <c r="CP504" s="17" t="n"/>
      <c r="CQ504" s="16" t="n"/>
      <c r="CR504" s="20" t="n"/>
      <c r="CS504" s="20" t="inlineStr">
        <is>
          <t>None</t>
        </is>
      </c>
      <c r="CT504" s="17" t="n"/>
      <c r="CU504" s="16" t="n"/>
      <c r="CV504" s="20" t="n"/>
      <c r="CW504" s="20" t="inlineStr">
        <is>
          <t>None</t>
        </is>
      </c>
      <c r="CX504" s="17" t="n"/>
      <c r="CY504" s="16" t="n"/>
      <c r="CZ504" s="20" t="inlineStr">
        <is>
          <t>WTW Multimeter 3430 with FDO 925</t>
        </is>
      </c>
      <c r="DA504" s="20" t="inlineStr">
        <is>
          <t>None</t>
        </is>
      </c>
      <c r="DB504" s="17" t="n"/>
      <c r="DC504" s="16" t="n"/>
      <c r="DD504" s="20" t="n"/>
      <c r="DE504" s="20" t="inlineStr">
        <is>
          <t>None</t>
        </is>
      </c>
      <c r="DF504" s="17" t="n"/>
      <c r="DG504" s="16" t="n"/>
      <c r="DH504" s="20" t="inlineStr">
        <is>
          <t>SOP 45-09</t>
        </is>
      </c>
      <c r="DI504" s="20" t="inlineStr">
        <is>
          <t>None</t>
        </is>
      </c>
      <c r="DJ504" s="17" t="n"/>
      <c r="DK504" s="16" t="n"/>
      <c r="DL504" s="20" t="inlineStr">
        <is>
          <t>SOP 45-09 (SOP muss noch angepasst werden für VSS)</t>
        </is>
      </c>
      <c r="DM504" s="20" t="inlineStr">
        <is>
          <t>None</t>
        </is>
      </c>
      <c r="DN504" s="17" t="n"/>
      <c r="DO504" s="16" t="n"/>
      <c r="DP504" s="20" t="inlineStr">
        <is>
          <t>IC Organic Acids</t>
        </is>
      </c>
      <c r="DQ504" s="20" t="inlineStr">
        <is>
          <t>None</t>
        </is>
      </c>
      <c r="DR504" s="17" t="n"/>
      <c r="DS504" s="16" t="n"/>
      <c r="DT504" s="20" t="inlineStr">
        <is>
          <t>IC Organic Acids</t>
        </is>
      </c>
      <c r="DU504" s="20" t="inlineStr">
        <is>
          <t>None</t>
        </is>
      </c>
      <c r="DV504" s="17" t="n"/>
      <c r="DW504" s="16" t="n"/>
      <c r="DX504" s="20" t="inlineStr">
        <is>
          <t>IC Organic Acids</t>
        </is>
      </c>
      <c r="DY504" s="20" t="inlineStr">
        <is>
          <t>None</t>
        </is>
      </c>
      <c r="DZ504" s="17" t="n"/>
      <c r="EA504" s="16" t="n"/>
      <c r="EB504" s="20" t="inlineStr">
        <is>
          <t>IC Organic Acids</t>
        </is>
      </c>
      <c r="EC504" s="20" t="inlineStr">
        <is>
          <t>None</t>
        </is>
      </c>
      <c r="ED504" s="17" t="n"/>
      <c r="EE504" s="16" t="n"/>
      <c r="EF504" s="20" t="inlineStr">
        <is>
          <t>IC Organic Acids</t>
        </is>
      </c>
      <c r="EG504" s="20" t="inlineStr">
        <is>
          <t>None</t>
        </is>
      </c>
      <c r="EH504" s="17" t="n"/>
      <c r="EI504" s="16" t="n"/>
      <c r="EJ504" s="20" t="inlineStr">
        <is>
          <t>IC Organic Acids</t>
        </is>
      </c>
      <c r="EK504" s="20" t="inlineStr">
        <is>
          <t>None</t>
        </is>
      </c>
      <c r="EL504" s="17" t="n"/>
      <c r="EM504" s="16" t="n"/>
      <c r="EN504" s="20" t="inlineStr">
        <is>
          <t>IC Organic Acids</t>
        </is>
      </c>
      <c r="EO504" s="20" t="inlineStr">
        <is>
          <t>None</t>
        </is>
      </c>
      <c r="EP504" s="17" t="n"/>
      <c r="EQ504" s="16" t="n"/>
      <c r="ER504" s="20" t="inlineStr">
        <is>
          <t>IC Organic Acids</t>
        </is>
      </c>
      <c r="ES504" s="20" t="inlineStr">
        <is>
          <t>None</t>
        </is>
      </c>
      <c r="ET504" s="17" t="n"/>
      <c r="EU504" s="16" t="n"/>
      <c r="EV504" s="20" t="inlineStr">
        <is>
          <t>LC-MS</t>
        </is>
      </c>
      <c r="EW504" s="20" t="inlineStr">
        <is>
          <t>None</t>
        </is>
      </c>
      <c r="EX504" s="17" t="n"/>
      <c r="EY504" s="21" t="n"/>
      <c r="EZ504">
        <f>CONCATENATE(A504,B504)</f>
        <v/>
      </c>
      <c r="FA504">
        <f>CONCATENATE(SamplesX!A504,SamplesX!B504)</f>
        <v/>
      </c>
      <c r="FC504">
        <f>MATCH(EZ504,FA1:FA1008,0)</f>
        <v/>
      </c>
    </row>
    <row r="505">
      <c r="A505" s="16" t="n"/>
      <c r="B505" s="17" t="n"/>
      <c r="C505" s="10">
        <f>IF(ISNUMBER(FC505),INDIRECT("SamplesX!C"&amp;FC505),IF(ISNUMBER(FD505),INDIRECT("SamplesY!C"&amp;FD505),""))</f>
        <v/>
      </c>
      <c r="D505" s="12">
        <f>IF(ISNUMBER(FC505),INDIRECT("SamplesX!D"&amp;FC505),IF(ISNUMBER(FD505),INDIRECT("SamplesY!D"&amp;FD505),""))</f>
        <v/>
      </c>
      <c r="E505" s="12">
        <f>IF(ISNUMBER(FC505),INDIRECT("SamplesX!E"&amp;FC505),IF(ISNUMBER(FD505),INDIRECT("SamplesY!E"&amp;FD505),""))</f>
        <v/>
      </c>
      <c r="F505" s="11">
        <f>IF(ISNUMBER(FC505),INDIRECT("SamplesX!F"&amp;FC505),IF(ISNUMBER(FD505),INDIRECT("SamplesY!F"&amp;FD505),""))</f>
        <v/>
      </c>
      <c r="G505" s="18">
        <f>IF(ISNUMBER(FC505),INDIRECT("SamplesX!G"&amp;FC505),IF(ISNUMBER(FD505),INDIRECT("SamplesY!G"&amp;FD505),""))</f>
        <v/>
      </c>
      <c r="H505" s="19">
        <f>IF(ISNUMBER(FC505),INDIRECT("SamplesX!H"&amp;FC505),IF(ISNUMBER(FD505),INDIRECT("SamplesY!H"&amp;FD505),""))</f>
        <v/>
      </c>
      <c r="I505" s="16" t="n"/>
      <c r="J505" s="16" t="n"/>
      <c r="K505" s="16" t="n"/>
      <c r="L505" s="20" t="n"/>
      <c r="M505" s="20" t="inlineStr">
        <is>
          <t>None</t>
        </is>
      </c>
      <c r="N505" s="17" t="n"/>
      <c r="O505" s="16" t="n"/>
      <c r="P505" s="20" t="inlineStr">
        <is>
          <t>Shimadzu TOC-L</t>
        </is>
      </c>
      <c r="Q505" s="20" t="inlineStr">
        <is>
          <t>None</t>
        </is>
      </c>
      <c r="R505" s="17" t="n"/>
      <c r="S505" s="16" t="n"/>
      <c r="T505" s="20" t="inlineStr">
        <is>
          <t>Shimadzu TOC-L</t>
        </is>
      </c>
      <c r="U505" s="20" t="inlineStr">
        <is>
          <t>None</t>
        </is>
      </c>
      <c r="V505" s="17" t="n"/>
      <c r="W505" s="16" t="n"/>
      <c r="X505" s="20" t="n"/>
      <c r="Y505" s="20" t="inlineStr">
        <is>
          <t>None</t>
        </is>
      </c>
      <c r="Z505" s="17" t="n"/>
      <c r="AA505" s="16" t="n"/>
      <c r="AB505" s="20" t="n"/>
      <c r="AC505" s="20" t="inlineStr">
        <is>
          <t>None</t>
        </is>
      </c>
      <c r="AD505" s="17" t="n"/>
      <c r="AE505" s="16" t="n"/>
      <c r="AF505" s="20" t="inlineStr">
        <is>
          <t>IC Anionen</t>
        </is>
      </c>
      <c r="AG505" s="20" t="inlineStr">
        <is>
          <t>None</t>
        </is>
      </c>
      <c r="AH505" s="17" t="n"/>
      <c r="AI505" s="16" t="n"/>
      <c r="AJ505" s="20" t="n"/>
      <c r="AK505" s="20" t="inlineStr">
        <is>
          <t>None</t>
        </is>
      </c>
      <c r="AL505" s="17" t="n"/>
      <c r="AM505" s="16" t="n"/>
      <c r="AN505" s="20" t="inlineStr">
        <is>
          <t>IC Anionen</t>
        </is>
      </c>
      <c r="AO505" s="20" t="inlineStr">
        <is>
          <t>None</t>
        </is>
      </c>
      <c r="AP505" s="17" t="n"/>
      <c r="AQ505" s="16" t="n"/>
      <c r="AR505" s="20" t="n"/>
      <c r="AS505" s="20" t="inlineStr">
        <is>
          <t>None</t>
        </is>
      </c>
      <c r="AT505" s="17" t="n"/>
      <c r="AU505" s="16" t="n"/>
      <c r="AV505" s="20" t="n"/>
      <c r="AW505" s="20" t="inlineStr">
        <is>
          <t>None</t>
        </is>
      </c>
      <c r="AX505" s="17" t="n"/>
      <c r="AY505" s="16" t="n"/>
      <c r="AZ505" s="20" t="inlineStr">
        <is>
          <t>IC Anionen</t>
        </is>
      </c>
      <c r="BA505" s="20" t="inlineStr">
        <is>
          <t>None</t>
        </is>
      </c>
      <c r="BB505" s="17" t="n"/>
      <c r="BC505" s="16" t="n"/>
      <c r="BD505" s="20" t="inlineStr">
        <is>
          <t>IC Kationen</t>
        </is>
      </c>
      <c r="BE505" s="20" t="inlineStr">
        <is>
          <t>None</t>
        </is>
      </c>
      <c r="BF505" s="17" t="n"/>
      <c r="BG505" s="16" t="n"/>
      <c r="BH505" s="20" t="inlineStr">
        <is>
          <t>IC Kationen</t>
        </is>
      </c>
      <c r="BI505" s="20" t="inlineStr">
        <is>
          <t>None</t>
        </is>
      </c>
      <c r="BJ505" s="17" t="n"/>
      <c r="BK505" s="16" t="n"/>
      <c r="BL505" s="20" t="inlineStr">
        <is>
          <t>IC Kationen</t>
        </is>
      </c>
      <c r="BM505" s="20" t="inlineStr">
        <is>
          <t>None</t>
        </is>
      </c>
      <c r="BN505" s="17" t="n"/>
      <c r="BO505" s="16" t="n"/>
      <c r="BP505" s="20" t="inlineStr">
        <is>
          <t>IC Kationen</t>
        </is>
      </c>
      <c r="BQ505" s="20" t="inlineStr">
        <is>
          <t>None</t>
        </is>
      </c>
      <c r="BR505" s="17" t="n"/>
      <c r="BS505" s="16" t="n"/>
      <c r="BT505" s="20" t="inlineStr">
        <is>
          <t>IC Kationen</t>
        </is>
      </c>
      <c r="BU505" s="20" t="inlineStr">
        <is>
          <t>None</t>
        </is>
      </c>
      <c r="BV505" s="17" t="n"/>
      <c r="BW505" s="16" t="n"/>
      <c r="BX505" s="20" t="n"/>
      <c r="BY505" s="20" t="inlineStr">
        <is>
          <t>None</t>
        </is>
      </c>
      <c r="BZ505" s="17" t="n"/>
      <c r="CA505" s="16" t="n"/>
      <c r="CB505" s="20" t="n"/>
      <c r="CC505" s="20" t="inlineStr">
        <is>
          <t>None</t>
        </is>
      </c>
      <c r="CD505" s="17" t="n"/>
      <c r="CE505" s="16" t="n"/>
      <c r="CF505" s="20" t="n"/>
      <c r="CG505" s="20" t="inlineStr">
        <is>
          <t>None</t>
        </is>
      </c>
      <c r="CH505" s="17" t="n"/>
      <c r="CI505" s="16" t="n"/>
      <c r="CJ505" s="20" t="n"/>
      <c r="CK505" s="20" t="inlineStr">
        <is>
          <t>None</t>
        </is>
      </c>
      <c r="CL505" s="17" t="n"/>
      <c r="CM505" s="16" t="n"/>
      <c r="CN505" s="20" t="inlineStr">
        <is>
          <t>SOP 45-34</t>
        </is>
      </c>
      <c r="CO505" s="20" t="inlineStr">
        <is>
          <t>None</t>
        </is>
      </c>
      <c r="CP505" s="17" t="n"/>
      <c r="CQ505" s="16" t="n"/>
      <c r="CR505" s="20" t="n"/>
      <c r="CS505" s="20" t="inlineStr">
        <is>
          <t>None</t>
        </is>
      </c>
      <c r="CT505" s="17" t="n"/>
      <c r="CU505" s="16" t="n"/>
      <c r="CV505" s="20" t="n"/>
      <c r="CW505" s="20" t="inlineStr">
        <is>
          <t>None</t>
        </is>
      </c>
      <c r="CX505" s="17" t="n"/>
      <c r="CY505" s="16" t="n"/>
      <c r="CZ505" s="20" t="inlineStr">
        <is>
          <t>WTW Multimeter 3430 with FDO 925</t>
        </is>
      </c>
      <c r="DA505" s="20" t="inlineStr">
        <is>
          <t>None</t>
        </is>
      </c>
      <c r="DB505" s="17" t="n"/>
      <c r="DC505" s="16" t="n"/>
      <c r="DD505" s="20" t="n"/>
      <c r="DE505" s="20" t="inlineStr">
        <is>
          <t>None</t>
        </is>
      </c>
      <c r="DF505" s="17" t="n"/>
      <c r="DG505" s="16" t="n"/>
      <c r="DH505" s="20" t="inlineStr">
        <is>
          <t>SOP 45-09</t>
        </is>
      </c>
      <c r="DI505" s="20" t="inlineStr">
        <is>
          <t>None</t>
        </is>
      </c>
      <c r="DJ505" s="17" t="n"/>
      <c r="DK505" s="16" t="n"/>
      <c r="DL505" s="20" t="inlineStr">
        <is>
          <t>SOP 45-09 (SOP muss noch angepasst werden für VSS)</t>
        </is>
      </c>
      <c r="DM505" s="20" t="inlineStr">
        <is>
          <t>None</t>
        </is>
      </c>
      <c r="DN505" s="17" t="n"/>
      <c r="DO505" s="16" t="n"/>
      <c r="DP505" s="20" t="inlineStr">
        <is>
          <t>IC Organic Acids</t>
        </is>
      </c>
      <c r="DQ505" s="20" t="inlineStr">
        <is>
          <t>None</t>
        </is>
      </c>
      <c r="DR505" s="17" t="n"/>
      <c r="DS505" s="16" t="n"/>
      <c r="DT505" s="20" t="inlineStr">
        <is>
          <t>IC Organic Acids</t>
        </is>
      </c>
      <c r="DU505" s="20" t="inlineStr">
        <is>
          <t>None</t>
        </is>
      </c>
      <c r="DV505" s="17" t="n"/>
      <c r="DW505" s="16" t="n"/>
      <c r="DX505" s="20" t="inlineStr">
        <is>
          <t>IC Organic Acids</t>
        </is>
      </c>
      <c r="DY505" s="20" t="inlineStr">
        <is>
          <t>None</t>
        </is>
      </c>
      <c r="DZ505" s="17" t="n"/>
      <c r="EA505" s="16" t="n"/>
      <c r="EB505" s="20" t="inlineStr">
        <is>
          <t>IC Organic Acids</t>
        </is>
      </c>
      <c r="EC505" s="20" t="inlineStr">
        <is>
          <t>None</t>
        </is>
      </c>
      <c r="ED505" s="17" t="n"/>
      <c r="EE505" s="16" t="n"/>
      <c r="EF505" s="20" t="inlineStr">
        <is>
          <t>IC Organic Acids</t>
        </is>
      </c>
      <c r="EG505" s="20" t="inlineStr">
        <is>
          <t>None</t>
        </is>
      </c>
      <c r="EH505" s="17" t="n"/>
      <c r="EI505" s="16" t="n"/>
      <c r="EJ505" s="20" t="inlineStr">
        <is>
          <t>IC Organic Acids</t>
        </is>
      </c>
      <c r="EK505" s="20" t="inlineStr">
        <is>
          <t>None</t>
        </is>
      </c>
      <c r="EL505" s="17" t="n"/>
      <c r="EM505" s="16" t="n"/>
      <c r="EN505" s="20" t="inlineStr">
        <is>
          <t>IC Organic Acids</t>
        </is>
      </c>
      <c r="EO505" s="20" t="inlineStr">
        <is>
          <t>None</t>
        </is>
      </c>
      <c r="EP505" s="17" t="n"/>
      <c r="EQ505" s="16" t="n"/>
      <c r="ER505" s="20" t="inlineStr">
        <is>
          <t>IC Organic Acids</t>
        </is>
      </c>
      <c r="ES505" s="20" t="inlineStr">
        <is>
          <t>None</t>
        </is>
      </c>
      <c r="ET505" s="17" t="n"/>
      <c r="EU505" s="16" t="n"/>
      <c r="EV505" s="20" t="inlineStr">
        <is>
          <t>LC-MS</t>
        </is>
      </c>
      <c r="EW505" s="20" t="inlineStr">
        <is>
          <t>None</t>
        </is>
      </c>
      <c r="EX505" s="17" t="n"/>
      <c r="EY505" s="21" t="n"/>
      <c r="EZ505">
        <f>CONCATENATE(A505,B505)</f>
        <v/>
      </c>
      <c r="FA505">
        <f>CONCATENATE(SamplesX!A505,SamplesX!B505)</f>
        <v/>
      </c>
      <c r="FC505">
        <f>MATCH(EZ505,FA1:FA1008,0)</f>
        <v/>
      </c>
    </row>
    <row r="506">
      <c r="A506" s="16" t="n"/>
      <c r="B506" s="17" t="n"/>
      <c r="C506" s="10">
        <f>IF(ISNUMBER(FC506),INDIRECT("SamplesX!C"&amp;FC506),IF(ISNUMBER(FD506),INDIRECT("SamplesY!C"&amp;FD506),""))</f>
        <v/>
      </c>
      <c r="D506" s="12">
        <f>IF(ISNUMBER(FC506),INDIRECT("SamplesX!D"&amp;FC506),IF(ISNUMBER(FD506),INDIRECT("SamplesY!D"&amp;FD506),""))</f>
        <v/>
      </c>
      <c r="E506" s="12">
        <f>IF(ISNUMBER(FC506),INDIRECT("SamplesX!E"&amp;FC506),IF(ISNUMBER(FD506),INDIRECT("SamplesY!E"&amp;FD506),""))</f>
        <v/>
      </c>
      <c r="F506" s="11">
        <f>IF(ISNUMBER(FC506),INDIRECT("SamplesX!F"&amp;FC506),IF(ISNUMBER(FD506),INDIRECT("SamplesY!F"&amp;FD506),""))</f>
        <v/>
      </c>
      <c r="G506" s="18">
        <f>IF(ISNUMBER(FC506),INDIRECT("SamplesX!G"&amp;FC506),IF(ISNUMBER(FD506),INDIRECT("SamplesY!G"&amp;FD506),""))</f>
        <v/>
      </c>
      <c r="H506" s="19">
        <f>IF(ISNUMBER(FC506),INDIRECT("SamplesX!H"&amp;FC506),IF(ISNUMBER(FD506),INDIRECT("SamplesY!H"&amp;FD506),""))</f>
        <v/>
      </c>
      <c r="I506" s="16" t="n"/>
      <c r="J506" s="16" t="n"/>
      <c r="K506" s="16" t="n"/>
      <c r="L506" s="20" t="n"/>
      <c r="M506" s="20" t="inlineStr">
        <is>
          <t>None</t>
        </is>
      </c>
      <c r="N506" s="17" t="n"/>
      <c r="O506" s="16" t="n"/>
      <c r="P506" s="20" t="inlineStr">
        <is>
          <t>Shimadzu TOC-L</t>
        </is>
      </c>
      <c r="Q506" s="20" t="inlineStr">
        <is>
          <t>None</t>
        </is>
      </c>
      <c r="R506" s="17" t="n"/>
      <c r="S506" s="16" t="n"/>
      <c r="T506" s="20" t="inlineStr">
        <is>
          <t>Shimadzu TOC-L</t>
        </is>
      </c>
      <c r="U506" s="20" t="inlineStr">
        <is>
          <t>None</t>
        </is>
      </c>
      <c r="V506" s="17" t="n"/>
      <c r="W506" s="16" t="n"/>
      <c r="X506" s="20" t="n"/>
      <c r="Y506" s="20" t="inlineStr">
        <is>
          <t>None</t>
        </is>
      </c>
      <c r="Z506" s="17" t="n"/>
      <c r="AA506" s="16" t="n"/>
      <c r="AB506" s="20" t="n"/>
      <c r="AC506" s="20" t="inlineStr">
        <is>
          <t>None</t>
        </is>
      </c>
      <c r="AD506" s="17" t="n"/>
      <c r="AE506" s="16" t="n"/>
      <c r="AF506" s="20" t="inlineStr">
        <is>
          <t>IC Anionen</t>
        </is>
      </c>
      <c r="AG506" s="20" t="inlineStr">
        <is>
          <t>None</t>
        </is>
      </c>
      <c r="AH506" s="17" t="n"/>
      <c r="AI506" s="16" t="n"/>
      <c r="AJ506" s="20" t="n"/>
      <c r="AK506" s="20" t="inlineStr">
        <is>
          <t>None</t>
        </is>
      </c>
      <c r="AL506" s="17" t="n"/>
      <c r="AM506" s="16" t="n"/>
      <c r="AN506" s="20" t="inlineStr">
        <is>
          <t>IC Anionen</t>
        </is>
      </c>
      <c r="AO506" s="20" t="inlineStr">
        <is>
          <t>None</t>
        </is>
      </c>
      <c r="AP506" s="17" t="n"/>
      <c r="AQ506" s="16" t="n"/>
      <c r="AR506" s="20" t="n"/>
      <c r="AS506" s="20" t="inlineStr">
        <is>
          <t>None</t>
        </is>
      </c>
      <c r="AT506" s="17" t="n"/>
      <c r="AU506" s="16" t="n"/>
      <c r="AV506" s="20" t="n"/>
      <c r="AW506" s="20" t="inlineStr">
        <is>
          <t>None</t>
        </is>
      </c>
      <c r="AX506" s="17" t="n"/>
      <c r="AY506" s="16" t="n"/>
      <c r="AZ506" s="20" t="inlineStr">
        <is>
          <t>IC Anionen</t>
        </is>
      </c>
      <c r="BA506" s="20" t="inlineStr">
        <is>
          <t>None</t>
        </is>
      </c>
      <c r="BB506" s="17" t="n"/>
      <c r="BC506" s="16" t="n"/>
      <c r="BD506" s="20" t="inlineStr">
        <is>
          <t>IC Kationen</t>
        </is>
      </c>
      <c r="BE506" s="20" t="inlineStr">
        <is>
          <t>None</t>
        </is>
      </c>
      <c r="BF506" s="17" t="n"/>
      <c r="BG506" s="16" t="n"/>
      <c r="BH506" s="20" t="inlineStr">
        <is>
          <t>IC Kationen</t>
        </is>
      </c>
      <c r="BI506" s="20" t="inlineStr">
        <is>
          <t>None</t>
        </is>
      </c>
      <c r="BJ506" s="17" t="n"/>
      <c r="BK506" s="16" t="n"/>
      <c r="BL506" s="20" t="inlineStr">
        <is>
          <t>IC Kationen</t>
        </is>
      </c>
      <c r="BM506" s="20" t="inlineStr">
        <is>
          <t>None</t>
        </is>
      </c>
      <c r="BN506" s="17" t="n"/>
      <c r="BO506" s="16" t="n"/>
      <c r="BP506" s="20" t="inlineStr">
        <is>
          <t>IC Kationen</t>
        </is>
      </c>
      <c r="BQ506" s="20" t="inlineStr">
        <is>
          <t>None</t>
        </is>
      </c>
      <c r="BR506" s="17" t="n"/>
      <c r="BS506" s="16" t="n"/>
      <c r="BT506" s="20" t="inlineStr">
        <is>
          <t>IC Kationen</t>
        </is>
      </c>
      <c r="BU506" s="20" t="inlineStr">
        <is>
          <t>None</t>
        </is>
      </c>
      <c r="BV506" s="17" t="n"/>
      <c r="BW506" s="16" t="n"/>
      <c r="BX506" s="20" t="n"/>
      <c r="BY506" s="20" t="inlineStr">
        <is>
          <t>None</t>
        </is>
      </c>
      <c r="BZ506" s="17" t="n"/>
      <c r="CA506" s="16" t="n"/>
      <c r="CB506" s="20" t="n"/>
      <c r="CC506" s="20" t="inlineStr">
        <is>
          <t>None</t>
        </is>
      </c>
      <c r="CD506" s="17" t="n"/>
      <c r="CE506" s="16" t="n"/>
      <c r="CF506" s="20" t="n"/>
      <c r="CG506" s="20" t="inlineStr">
        <is>
          <t>None</t>
        </is>
      </c>
      <c r="CH506" s="17" t="n"/>
      <c r="CI506" s="16" t="n"/>
      <c r="CJ506" s="20" t="n"/>
      <c r="CK506" s="20" t="inlineStr">
        <is>
          <t>None</t>
        </is>
      </c>
      <c r="CL506" s="17" t="n"/>
      <c r="CM506" s="16" t="n"/>
      <c r="CN506" s="20" t="inlineStr">
        <is>
          <t>SOP 45-34</t>
        </is>
      </c>
      <c r="CO506" s="20" t="inlineStr">
        <is>
          <t>None</t>
        </is>
      </c>
      <c r="CP506" s="17" t="n"/>
      <c r="CQ506" s="16" t="n"/>
      <c r="CR506" s="20" t="n"/>
      <c r="CS506" s="20" t="inlineStr">
        <is>
          <t>None</t>
        </is>
      </c>
      <c r="CT506" s="17" t="n"/>
      <c r="CU506" s="16" t="n"/>
      <c r="CV506" s="20" t="n"/>
      <c r="CW506" s="20" t="inlineStr">
        <is>
          <t>None</t>
        </is>
      </c>
      <c r="CX506" s="17" t="n"/>
      <c r="CY506" s="16" t="n"/>
      <c r="CZ506" s="20" t="inlineStr">
        <is>
          <t>WTW Multimeter 3430 with FDO 925</t>
        </is>
      </c>
      <c r="DA506" s="20" t="inlineStr">
        <is>
          <t>None</t>
        </is>
      </c>
      <c r="DB506" s="17" t="n"/>
      <c r="DC506" s="16" t="n"/>
      <c r="DD506" s="20" t="n"/>
      <c r="DE506" s="20" t="inlineStr">
        <is>
          <t>None</t>
        </is>
      </c>
      <c r="DF506" s="17" t="n"/>
      <c r="DG506" s="16" t="n"/>
      <c r="DH506" s="20" t="inlineStr">
        <is>
          <t>SOP 45-09</t>
        </is>
      </c>
      <c r="DI506" s="20" t="inlineStr">
        <is>
          <t>None</t>
        </is>
      </c>
      <c r="DJ506" s="17" t="n"/>
      <c r="DK506" s="16" t="n"/>
      <c r="DL506" s="20" t="inlineStr">
        <is>
          <t>SOP 45-09 (SOP muss noch angepasst werden für VSS)</t>
        </is>
      </c>
      <c r="DM506" s="20" t="inlineStr">
        <is>
          <t>None</t>
        </is>
      </c>
      <c r="DN506" s="17" t="n"/>
      <c r="DO506" s="16" t="n"/>
      <c r="DP506" s="20" t="inlineStr">
        <is>
          <t>IC Organic Acids</t>
        </is>
      </c>
      <c r="DQ506" s="20" t="inlineStr">
        <is>
          <t>None</t>
        </is>
      </c>
      <c r="DR506" s="17" t="n"/>
      <c r="DS506" s="16" t="n"/>
      <c r="DT506" s="20" t="inlineStr">
        <is>
          <t>IC Organic Acids</t>
        </is>
      </c>
      <c r="DU506" s="20" t="inlineStr">
        <is>
          <t>None</t>
        </is>
      </c>
      <c r="DV506" s="17" t="n"/>
      <c r="DW506" s="16" t="n"/>
      <c r="DX506" s="20" t="inlineStr">
        <is>
          <t>IC Organic Acids</t>
        </is>
      </c>
      <c r="DY506" s="20" t="inlineStr">
        <is>
          <t>None</t>
        </is>
      </c>
      <c r="DZ506" s="17" t="n"/>
      <c r="EA506" s="16" t="n"/>
      <c r="EB506" s="20" t="inlineStr">
        <is>
          <t>IC Organic Acids</t>
        </is>
      </c>
      <c r="EC506" s="20" t="inlineStr">
        <is>
          <t>None</t>
        </is>
      </c>
      <c r="ED506" s="17" t="n"/>
      <c r="EE506" s="16" t="n"/>
      <c r="EF506" s="20" t="inlineStr">
        <is>
          <t>IC Organic Acids</t>
        </is>
      </c>
      <c r="EG506" s="20" t="inlineStr">
        <is>
          <t>None</t>
        </is>
      </c>
      <c r="EH506" s="17" t="n"/>
      <c r="EI506" s="16" t="n"/>
      <c r="EJ506" s="20" t="inlineStr">
        <is>
          <t>IC Organic Acids</t>
        </is>
      </c>
      <c r="EK506" s="20" t="inlineStr">
        <is>
          <t>None</t>
        </is>
      </c>
      <c r="EL506" s="17" t="n"/>
      <c r="EM506" s="16" t="n"/>
      <c r="EN506" s="20" t="inlineStr">
        <is>
          <t>IC Organic Acids</t>
        </is>
      </c>
      <c r="EO506" s="20" t="inlineStr">
        <is>
          <t>None</t>
        </is>
      </c>
      <c r="EP506" s="17" t="n"/>
      <c r="EQ506" s="16" t="n"/>
      <c r="ER506" s="20" t="inlineStr">
        <is>
          <t>IC Organic Acids</t>
        </is>
      </c>
      <c r="ES506" s="20" t="inlineStr">
        <is>
          <t>None</t>
        </is>
      </c>
      <c r="ET506" s="17" t="n"/>
      <c r="EU506" s="16" t="n"/>
      <c r="EV506" s="20" t="inlineStr">
        <is>
          <t>LC-MS</t>
        </is>
      </c>
      <c r="EW506" s="20" t="inlineStr">
        <is>
          <t>None</t>
        </is>
      </c>
      <c r="EX506" s="17" t="n"/>
      <c r="EY506" s="21" t="n"/>
      <c r="EZ506">
        <f>CONCATENATE(A506,B506)</f>
        <v/>
      </c>
      <c r="FA506">
        <f>CONCATENATE(SamplesX!A506,SamplesX!B506)</f>
        <v/>
      </c>
      <c r="FC506">
        <f>MATCH(EZ506,FA1:FA1008,0)</f>
        <v/>
      </c>
    </row>
    <row r="507">
      <c r="A507" s="16" t="n"/>
      <c r="B507" s="17" t="n"/>
      <c r="C507" s="10">
        <f>IF(ISNUMBER(FC507),INDIRECT("SamplesX!C"&amp;FC507),IF(ISNUMBER(FD507),INDIRECT("SamplesY!C"&amp;FD507),""))</f>
        <v/>
      </c>
      <c r="D507" s="12">
        <f>IF(ISNUMBER(FC507),INDIRECT("SamplesX!D"&amp;FC507),IF(ISNUMBER(FD507),INDIRECT("SamplesY!D"&amp;FD507),""))</f>
        <v/>
      </c>
      <c r="E507" s="12">
        <f>IF(ISNUMBER(FC507),INDIRECT("SamplesX!E"&amp;FC507),IF(ISNUMBER(FD507),INDIRECT("SamplesY!E"&amp;FD507),""))</f>
        <v/>
      </c>
      <c r="F507" s="11">
        <f>IF(ISNUMBER(FC507),INDIRECT("SamplesX!F"&amp;FC507),IF(ISNUMBER(FD507),INDIRECT("SamplesY!F"&amp;FD507),""))</f>
        <v/>
      </c>
      <c r="G507" s="18">
        <f>IF(ISNUMBER(FC507),INDIRECT("SamplesX!G"&amp;FC507),IF(ISNUMBER(FD507),INDIRECT("SamplesY!G"&amp;FD507),""))</f>
        <v/>
      </c>
      <c r="H507" s="19">
        <f>IF(ISNUMBER(FC507),INDIRECT("SamplesX!H"&amp;FC507),IF(ISNUMBER(FD507),INDIRECT("SamplesY!H"&amp;FD507),""))</f>
        <v/>
      </c>
      <c r="I507" s="16" t="n"/>
      <c r="J507" s="16" t="n"/>
      <c r="K507" s="16" t="n"/>
      <c r="L507" s="20" t="n"/>
      <c r="M507" s="20" t="inlineStr">
        <is>
          <t>None</t>
        </is>
      </c>
      <c r="N507" s="17" t="n"/>
      <c r="O507" s="16" t="n"/>
      <c r="P507" s="20" t="inlineStr">
        <is>
          <t>Shimadzu TOC-L</t>
        </is>
      </c>
      <c r="Q507" s="20" t="inlineStr">
        <is>
          <t>None</t>
        </is>
      </c>
      <c r="R507" s="17" t="n"/>
      <c r="S507" s="16" t="n"/>
      <c r="T507" s="20" t="inlineStr">
        <is>
          <t>Shimadzu TOC-L</t>
        </is>
      </c>
      <c r="U507" s="20" t="inlineStr">
        <is>
          <t>None</t>
        </is>
      </c>
      <c r="V507" s="17" t="n"/>
      <c r="W507" s="16" t="n"/>
      <c r="X507" s="20" t="n"/>
      <c r="Y507" s="20" t="inlineStr">
        <is>
          <t>None</t>
        </is>
      </c>
      <c r="Z507" s="17" t="n"/>
      <c r="AA507" s="16" t="n"/>
      <c r="AB507" s="20" t="n"/>
      <c r="AC507" s="20" t="inlineStr">
        <is>
          <t>None</t>
        </is>
      </c>
      <c r="AD507" s="17" t="n"/>
      <c r="AE507" s="16" t="n"/>
      <c r="AF507" s="20" t="inlineStr">
        <is>
          <t>IC Anionen</t>
        </is>
      </c>
      <c r="AG507" s="20" t="inlineStr">
        <is>
          <t>None</t>
        </is>
      </c>
      <c r="AH507" s="17" t="n"/>
      <c r="AI507" s="16" t="n"/>
      <c r="AJ507" s="20" t="n"/>
      <c r="AK507" s="20" t="inlineStr">
        <is>
          <t>None</t>
        </is>
      </c>
      <c r="AL507" s="17" t="n"/>
      <c r="AM507" s="16" t="n"/>
      <c r="AN507" s="20" t="inlineStr">
        <is>
          <t>IC Anionen</t>
        </is>
      </c>
      <c r="AO507" s="20" t="inlineStr">
        <is>
          <t>None</t>
        </is>
      </c>
      <c r="AP507" s="17" t="n"/>
      <c r="AQ507" s="16" t="n"/>
      <c r="AR507" s="20" t="n"/>
      <c r="AS507" s="20" t="inlineStr">
        <is>
          <t>None</t>
        </is>
      </c>
      <c r="AT507" s="17" t="n"/>
      <c r="AU507" s="16" t="n"/>
      <c r="AV507" s="20" t="n"/>
      <c r="AW507" s="20" t="inlineStr">
        <is>
          <t>None</t>
        </is>
      </c>
      <c r="AX507" s="17" t="n"/>
      <c r="AY507" s="16" t="n"/>
      <c r="AZ507" s="20" t="inlineStr">
        <is>
          <t>IC Anionen</t>
        </is>
      </c>
      <c r="BA507" s="20" t="inlineStr">
        <is>
          <t>None</t>
        </is>
      </c>
      <c r="BB507" s="17" t="n"/>
      <c r="BC507" s="16" t="n"/>
      <c r="BD507" s="20" t="inlineStr">
        <is>
          <t>IC Kationen</t>
        </is>
      </c>
      <c r="BE507" s="20" t="inlineStr">
        <is>
          <t>None</t>
        </is>
      </c>
      <c r="BF507" s="17" t="n"/>
      <c r="BG507" s="16" t="n"/>
      <c r="BH507" s="20" t="inlineStr">
        <is>
          <t>IC Kationen</t>
        </is>
      </c>
      <c r="BI507" s="20" t="inlineStr">
        <is>
          <t>None</t>
        </is>
      </c>
      <c r="BJ507" s="17" t="n"/>
      <c r="BK507" s="16" t="n"/>
      <c r="BL507" s="20" t="inlineStr">
        <is>
          <t>IC Kationen</t>
        </is>
      </c>
      <c r="BM507" s="20" t="inlineStr">
        <is>
          <t>None</t>
        </is>
      </c>
      <c r="BN507" s="17" t="n"/>
      <c r="BO507" s="16" t="n"/>
      <c r="BP507" s="20" t="inlineStr">
        <is>
          <t>IC Kationen</t>
        </is>
      </c>
      <c r="BQ507" s="20" t="inlineStr">
        <is>
          <t>None</t>
        </is>
      </c>
      <c r="BR507" s="17" t="n"/>
      <c r="BS507" s="16" t="n"/>
      <c r="BT507" s="20" t="inlineStr">
        <is>
          <t>IC Kationen</t>
        </is>
      </c>
      <c r="BU507" s="20" t="inlineStr">
        <is>
          <t>None</t>
        </is>
      </c>
      <c r="BV507" s="17" t="n"/>
      <c r="BW507" s="16" t="n"/>
      <c r="BX507" s="20" t="n"/>
      <c r="BY507" s="20" t="inlineStr">
        <is>
          <t>None</t>
        </is>
      </c>
      <c r="BZ507" s="17" t="n"/>
      <c r="CA507" s="16" t="n"/>
      <c r="CB507" s="20" t="n"/>
      <c r="CC507" s="20" t="inlineStr">
        <is>
          <t>None</t>
        </is>
      </c>
      <c r="CD507" s="17" t="n"/>
      <c r="CE507" s="16" t="n"/>
      <c r="CF507" s="20" t="n"/>
      <c r="CG507" s="20" t="inlineStr">
        <is>
          <t>None</t>
        </is>
      </c>
      <c r="CH507" s="17" t="n"/>
      <c r="CI507" s="16" t="n"/>
      <c r="CJ507" s="20" t="n"/>
      <c r="CK507" s="20" t="inlineStr">
        <is>
          <t>None</t>
        </is>
      </c>
      <c r="CL507" s="17" t="n"/>
      <c r="CM507" s="16" t="n"/>
      <c r="CN507" s="20" t="inlineStr">
        <is>
          <t>SOP 45-34</t>
        </is>
      </c>
      <c r="CO507" s="20" t="inlineStr">
        <is>
          <t>None</t>
        </is>
      </c>
      <c r="CP507" s="17" t="n"/>
      <c r="CQ507" s="16" t="n"/>
      <c r="CR507" s="20" t="n"/>
      <c r="CS507" s="20" t="inlineStr">
        <is>
          <t>None</t>
        </is>
      </c>
      <c r="CT507" s="17" t="n"/>
      <c r="CU507" s="16" t="n"/>
      <c r="CV507" s="20" t="n"/>
      <c r="CW507" s="20" t="inlineStr">
        <is>
          <t>None</t>
        </is>
      </c>
      <c r="CX507" s="17" t="n"/>
      <c r="CY507" s="16" t="n"/>
      <c r="CZ507" s="20" t="inlineStr">
        <is>
          <t>WTW Multimeter 3430 with FDO 925</t>
        </is>
      </c>
      <c r="DA507" s="20" t="inlineStr">
        <is>
          <t>None</t>
        </is>
      </c>
      <c r="DB507" s="17" t="n"/>
      <c r="DC507" s="16" t="n"/>
      <c r="DD507" s="20" t="n"/>
      <c r="DE507" s="20" t="inlineStr">
        <is>
          <t>None</t>
        </is>
      </c>
      <c r="DF507" s="17" t="n"/>
      <c r="DG507" s="16" t="n"/>
      <c r="DH507" s="20" t="inlineStr">
        <is>
          <t>SOP 45-09</t>
        </is>
      </c>
      <c r="DI507" s="20" t="inlineStr">
        <is>
          <t>None</t>
        </is>
      </c>
      <c r="DJ507" s="17" t="n"/>
      <c r="DK507" s="16" t="n"/>
      <c r="DL507" s="20" t="inlineStr">
        <is>
          <t>SOP 45-09 (SOP muss noch angepasst werden für VSS)</t>
        </is>
      </c>
      <c r="DM507" s="20" t="inlineStr">
        <is>
          <t>None</t>
        </is>
      </c>
      <c r="DN507" s="17" t="n"/>
      <c r="DO507" s="16" t="n"/>
      <c r="DP507" s="20" t="inlineStr">
        <is>
          <t>IC Organic Acids</t>
        </is>
      </c>
      <c r="DQ507" s="20" t="inlineStr">
        <is>
          <t>None</t>
        </is>
      </c>
      <c r="DR507" s="17" t="n"/>
      <c r="DS507" s="16" t="n"/>
      <c r="DT507" s="20" t="inlineStr">
        <is>
          <t>IC Organic Acids</t>
        </is>
      </c>
      <c r="DU507" s="20" t="inlineStr">
        <is>
          <t>None</t>
        </is>
      </c>
      <c r="DV507" s="17" t="n"/>
      <c r="DW507" s="16" t="n"/>
      <c r="DX507" s="20" t="inlineStr">
        <is>
          <t>IC Organic Acids</t>
        </is>
      </c>
      <c r="DY507" s="20" t="inlineStr">
        <is>
          <t>None</t>
        </is>
      </c>
      <c r="DZ507" s="17" t="n"/>
      <c r="EA507" s="16" t="n"/>
      <c r="EB507" s="20" t="inlineStr">
        <is>
          <t>IC Organic Acids</t>
        </is>
      </c>
      <c r="EC507" s="20" t="inlineStr">
        <is>
          <t>None</t>
        </is>
      </c>
      <c r="ED507" s="17" t="n"/>
      <c r="EE507" s="16" t="n"/>
      <c r="EF507" s="20" t="inlineStr">
        <is>
          <t>IC Organic Acids</t>
        </is>
      </c>
      <c r="EG507" s="20" t="inlineStr">
        <is>
          <t>None</t>
        </is>
      </c>
      <c r="EH507" s="17" t="n"/>
      <c r="EI507" s="16" t="n"/>
      <c r="EJ507" s="20" t="inlineStr">
        <is>
          <t>IC Organic Acids</t>
        </is>
      </c>
      <c r="EK507" s="20" t="inlineStr">
        <is>
          <t>None</t>
        </is>
      </c>
      <c r="EL507" s="17" t="n"/>
      <c r="EM507" s="16" t="n"/>
      <c r="EN507" s="20" t="inlineStr">
        <is>
          <t>IC Organic Acids</t>
        </is>
      </c>
      <c r="EO507" s="20" t="inlineStr">
        <is>
          <t>None</t>
        </is>
      </c>
      <c r="EP507" s="17" t="n"/>
      <c r="EQ507" s="16" t="n"/>
      <c r="ER507" s="20" t="inlineStr">
        <is>
          <t>IC Organic Acids</t>
        </is>
      </c>
      <c r="ES507" s="20" t="inlineStr">
        <is>
          <t>None</t>
        </is>
      </c>
      <c r="ET507" s="17" t="n"/>
      <c r="EU507" s="16" t="n"/>
      <c r="EV507" s="20" t="inlineStr">
        <is>
          <t>LC-MS</t>
        </is>
      </c>
      <c r="EW507" s="20" t="inlineStr">
        <is>
          <t>None</t>
        </is>
      </c>
      <c r="EX507" s="17" t="n"/>
      <c r="EY507" s="21" t="n"/>
      <c r="EZ507">
        <f>CONCATENATE(A507,B507)</f>
        <v/>
      </c>
      <c r="FA507">
        <f>CONCATENATE(SamplesX!A507,SamplesX!B507)</f>
        <v/>
      </c>
      <c r="FC507">
        <f>MATCH(EZ507,FA1:FA1008,0)</f>
        <v/>
      </c>
    </row>
    <row r="508">
      <c r="A508" s="16" t="n"/>
      <c r="B508" s="17" t="n"/>
      <c r="C508" s="10">
        <f>IF(ISNUMBER(FC508),INDIRECT("SamplesX!C"&amp;FC508),IF(ISNUMBER(FD508),INDIRECT("SamplesY!C"&amp;FD508),""))</f>
        <v/>
      </c>
      <c r="D508" s="12">
        <f>IF(ISNUMBER(FC508),INDIRECT("SamplesX!D"&amp;FC508),IF(ISNUMBER(FD508),INDIRECT("SamplesY!D"&amp;FD508),""))</f>
        <v/>
      </c>
      <c r="E508" s="12">
        <f>IF(ISNUMBER(FC508),INDIRECT("SamplesX!E"&amp;FC508),IF(ISNUMBER(FD508),INDIRECT("SamplesY!E"&amp;FD508),""))</f>
        <v/>
      </c>
      <c r="F508" s="11">
        <f>IF(ISNUMBER(FC508),INDIRECT("SamplesX!F"&amp;FC508),IF(ISNUMBER(FD508),INDIRECT("SamplesY!F"&amp;FD508),""))</f>
        <v/>
      </c>
      <c r="G508" s="18">
        <f>IF(ISNUMBER(FC508),INDIRECT("SamplesX!G"&amp;FC508),IF(ISNUMBER(FD508),INDIRECT("SamplesY!G"&amp;FD508),""))</f>
        <v/>
      </c>
      <c r="H508" s="19">
        <f>IF(ISNUMBER(FC508),INDIRECT("SamplesX!H"&amp;FC508),IF(ISNUMBER(FD508),INDIRECT("SamplesY!H"&amp;FD508),""))</f>
        <v/>
      </c>
      <c r="I508" s="16" t="n"/>
      <c r="J508" s="16" t="n"/>
      <c r="K508" s="16" t="n"/>
      <c r="L508" s="20" t="n"/>
      <c r="M508" s="20" t="inlineStr">
        <is>
          <t>None</t>
        </is>
      </c>
      <c r="N508" s="17" t="n"/>
      <c r="O508" s="16" t="n"/>
      <c r="P508" s="20" t="inlineStr">
        <is>
          <t>Shimadzu TOC-L</t>
        </is>
      </c>
      <c r="Q508" s="20" t="inlineStr">
        <is>
          <t>None</t>
        </is>
      </c>
      <c r="R508" s="17" t="n"/>
      <c r="S508" s="16" t="n"/>
      <c r="T508" s="20" t="inlineStr">
        <is>
          <t>Shimadzu TOC-L</t>
        </is>
      </c>
      <c r="U508" s="20" t="inlineStr">
        <is>
          <t>None</t>
        </is>
      </c>
      <c r="V508" s="17" t="n"/>
      <c r="W508" s="16" t="n"/>
      <c r="X508" s="20" t="n"/>
      <c r="Y508" s="20" t="inlineStr">
        <is>
          <t>None</t>
        </is>
      </c>
      <c r="Z508" s="17" t="n"/>
      <c r="AA508" s="16" t="n"/>
      <c r="AB508" s="20" t="n"/>
      <c r="AC508" s="20" t="inlineStr">
        <is>
          <t>None</t>
        </is>
      </c>
      <c r="AD508" s="17" t="n"/>
      <c r="AE508" s="16" t="n"/>
      <c r="AF508" s="20" t="inlineStr">
        <is>
          <t>IC Anionen</t>
        </is>
      </c>
      <c r="AG508" s="20" t="inlineStr">
        <is>
          <t>None</t>
        </is>
      </c>
      <c r="AH508" s="17" t="n"/>
      <c r="AI508" s="16" t="n"/>
      <c r="AJ508" s="20" t="n"/>
      <c r="AK508" s="20" t="inlineStr">
        <is>
          <t>None</t>
        </is>
      </c>
      <c r="AL508" s="17" t="n"/>
      <c r="AM508" s="16" t="n"/>
      <c r="AN508" s="20" t="inlineStr">
        <is>
          <t>IC Anionen</t>
        </is>
      </c>
      <c r="AO508" s="20" t="inlineStr">
        <is>
          <t>None</t>
        </is>
      </c>
      <c r="AP508" s="17" t="n"/>
      <c r="AQ508" s="16" t="n"/>
      <c r="AR508" s="20" t="n"/>
      <c r="AS508" s="20" t="inlineStr">
        <is>
          <t>None</t>
        </is>
      </c>
      <c r="AT508" s="17" t="n"/>
      <c r="AU508" s="16" t="n"/>
      <c r="AV508" s="20" t="n"/>
      <c r="AW508" s="20" t="inlineStr">
        <is>
          <t>None</t>
        </is>
      </c>
      <c r="AX508" s="17" t="n"/>
      <c r="AY508" s="16" t="n"/>
      <c r="AZ508" s="20" t="inlineStr">
        <is>
          <t>IC Anionen</t>
        </is>
      </c>
      <c r="BA508" s="20" t="inlineStr">
        <is>
          <t>None</t>
        </is>
      </c>
      <c r="BB508" s="17" t="n"/>
      <c r="BC508" s="16" t="n"/>
      <c r="BD508" s="20" t="inlineStr">
        <is>
          <t>IC Kationen</t>
        </is>
      </c>
      <c r="BE508" s="20" t="inlineStr">
        <is>
          <t>None</t>
        </is>
      </c>
      <c r="BF508" s="17" t="n"/>
      <c r="BG508" s="16" t="n"/>
      <c r="BH508" s="20" t="inlineStr">
        <is>
          <t>IC Kationen</t>
        </is>
      </c>
      <c r="BI508" s="20" t="inlineStr">
        <is>
          <t>None</t>
        </is>
      </c>
      <c r="BJ508" s="17" t="n"/>
      <c r="BK508" s="16" t="n"/>
      <c r="BL508" s="20" t="inlineStr">
        <is>
          <t>IC Kationen</t>
        </is>
      </c>
      <c r="BM508" s="20" t="inlineStr">
        <is>
          <t>None</t>
        </is>
      </c>
      <c r="BN508" s="17" t="n"/>
      <c r="BO508" s="16" t="n"/>
      <c r="BP508" s="20" t="inlineStr">
        <is>
          <t>IC Kationen</t>
        </is>
      </c>
      <c r="BQ508" s="20" t="inlineStr">
        <is>
          <t>None</t>
        </is>
      </c>
      <c r="BR508" s="17" t="n"/>
      <c r="BS508" s="16" t="n"/>
      <c r="BT508" s="20" t="inlineStr">
        <is>
          <t>IC Kationen</t>
        </is>
      </c>
      <c r="BU508" s="20" t="inlineStr">
        <is>
          <t>None</t>
        </is>
      </c>
      <c r="BV508" s="17" t="n"/>
      <c r="BW508" s="16" t="n"/>
      <c r="BX508" s="20" t="n"/>
      <c r="BY508" s="20" t="inlineStr">
        <is>
          <t>None</t>
        </is>
      </c>
      <c r="BZ508" s="17" t="n"/>
      <c r="CA508" s="16" t="n"/>
      <c r="CB508" s="20" t="n"/>
      <c r="CC508" s="20" t="inlineStr">
        <is>
          <t>None</t>
        </is>
      </c>
      <c r="CD508" s="17" t="n"/>
      <c r="CE508" s="16" t="n"/>
      <c r="CF508" s="20" t="n"/>
      <c r="CG508" s="20" t="inlineStr">
        <is>
          <t>None</t>
        </is>
      </c>
      <c r="CH508" s="17" t="n"/>
      <c r="CI508" s="16" t="n"/>
      <c r="CJ508" s="20" t="n"/>
      <c r="CK508" s="20" t="inlineStr">
        <is>
          <t>None</t>
        </is>
      </c>
      <c r="CL508" s="17" t="n"/>
      <c r="CM508" s="16" t="n"/>
      <c r="CN508" s="20" t="inlineStr">
        <is>
          <t>SOP 45-34</t>
        </is>
      </c>
      <c r="CO508" s="20" t="inlineStr">
        <is>
          <t>None</t>
        </is>
      </c>
      <c r="CP508" s="17" t="n"/>
      <c r="CQ508" s="16" t="n"/>
      <c r="CR508" s="20" t="n"/>
      <c r="CS508" s="20" t="inlineStr">
        <is>
          <t>None</t>
        </is>
      </c>
      <c r="CT508" s="17" t="n"/>
      <c r="CU508" s="16" t="n"/>
      <c r="CV508" s="20" t="n"/>
      <c r="CW508" s="20" t="inlineStr">
        <is>
          <t>None</t>
        </is>
      </c>
      <c r="CX508" s="17" t="n"/>
      <c r="CY508" s="16" t="n"/>
      <c r="CZ508" s="20" t="inlineStr">
        <is>
          <t>WTW Multimeter 3430 with FDO 925</t>
        </is>
      </c>
      <c r="DA508" s="20" t="inlineStr">
        <is>
          <t>None</t>
        </is>
      </c>
      <c r="DB508" s="17" t="n"/>
      <c r="DC508" s="16" t="n"/>
      <c r="DD508" s="20" t="n"/>
      <c r="DE508" s="20" t="inlineStr">
        <is>
          <t>None</t>
        </is>
      </c>
      <c r="DF508" s="17" t="n"/>
      <c r="DG508" s="16" t="n"/>
      <c r="DH508" s="20" t="inlineStr">
        <is>
          <t>SOP 45-09</t>
        </is>
      </c>
      <c r="DI508" s="20" t="inlineStr">
        <is>
          <t>None</t>
        </is>
      </c>
      <c r="DJ508" s="17" t="n"/>
      <c r="DK508" s="16" t="n"/>
      <c r="DL508" s="20" t="inlineStr">
        <is>
          <t>SOP 45-09 (SOP muss noch angepasst werden für VSS)</t>
        </is>
      </c>
      <c r="DM508" s="20" t="inlineStr">
        <is>
          <t>None</t>
        </is>
      </c>
      <c r="DN508" s="17" t="n"/>
      <c r="DO508" s="16" t="n"/>
      <c r="DP508" s="20" t="inlineStr">
        <is>
          <t>IC Organic Acids</t>
        </is>
      </c>
      <c r="DQ508" s="20" t="inlineStr">
        <is>
          <t>None</t>
        </is>
      </c>
      <c r="DR508" s="17" t="n"/>
      <c r="DS508" s="16" t="n"/>
      <c r="DT508" s="20" t="inlineStr">
        <is>
          <t>IC Organic Acids</t>
        </is>
      </c>
      <c r="DU508" s="20" t="inlineStr">
        <is>
          <t>None</t>
        </is>
      </c>
      <c r="DV508" s="17" t="n"/>
      <c r="DW508" s="16" t="n"/>
      <c r="DX508" s="20" t="inlineStr">
        <is>
          <t>IC Organic Acids</t>
        </is>
      </c>
      <c r="DY508" s="20" t="inlineStr">
        <is>
          <t>None</t>
        </is>
      </c>
      <c r="DZ508" s="17" t="n"/>
      <c r="EA508" s="16" t="n"/>
      <c r="EB508" s="20" t="inlineStr">
        <is>
          <t>IC Organic Acids</t>
        </is>
      </c>
      <c r="EC508" s="20" t="inlineStr">
        <is>
          <t>None</t>
        </is>
      </c>
      <c r="ED508" s="17" t="n"/>
      <c r="EE508" s="16" t="n"/>
      <c r="EF508" s="20" t="inlineStr">
        <is>
          <t>IC Organic Acids</t>
        </is>
      </c>
      <c r="EG508" s="20" t="inlineStr">
        <is>
          <t>None</t>
        </is>
      </c>
      <c r="EH508" s="17" t="n"/>
      <c r="EI508" s="16" t="n"/>
      <c r="EJ508" s="20" t="inlineStr">
        <is>
          <t>IC Organic Acids</t>
        </is>
      </c>
      <c r="EK508" s="20" t="inlineStr">
        <is>
          <t>None</t>
        </is>
      </c>
      <c r="EL508" s="17" t="n"/>
      <c r="EM508" s="16" t="n"/>
      <c r="EN508" s="20" t="inlineStr">
        <is>
          <t>IC Organic Acids</t>
        </is>
      </c>
      <c r="EO508" s="20" t="inlineStr">
        <is>
          <t>None</t>
        </is>
      </c>
      <c r="EP508" s="17" t="n"/>
      <c r="EQ508" s="16" t="n"/>
      <c r="ER508" s="20" t="inlineStr">
        <is>
          <t>IC Organic Acids</t>
        </is>
      </c>
      <c r="ES508" s="20" t="inlineStr">
        <is>
          <t>None</t>
        </is>
      </c>
      <c r="ET508" s="17" t="n"/>
      <c r="EU508" s="16" t="n"/>
      <c r="EV508" s="20" t="inlineStr">
        <is>
          <t>LC-MS</t>
        </is>
      </c>
      <c r="EW508" s="20" t="inlineStr">
        <is>
          <t>None</t>
        </is>
      </c>
      <c r="EX508" s="17" t="n"/>
      <c r="EY508" s="21" t="n"/>
      <c r="EZ508">
        <f>CONCATENATE(A508,B508)</f>
        <v/>
      </c>
      <c r="FA508">
        <f>CONCATENATE(SamplesX!A508,SamplesX!B508)</f>
        <v/>
      </c>
      <c r="FC508">
        <f>MATCH(EZ508,FA1:FA1008,0)</f>
        <v/>
      </c>
    </row>
    <row r="509">
      <c r="A509" s="16" t="n"/>
      <c r="B509" s="17" t="n"/>
      <c r="C509" s="10">
        <f>IF(ISNUMBER(FC509),INDIRECT("SamplesX!C"&amp;FC509),IF(ISNUMBER(FD509),INDIRECT("SamplesY!C"&amp;FD509),""))</f>
        <v/>
      </c>
      <c r="D509" s="12">
        <f>IF(ISNUMBER(FC509),INDIRECT("SamplesX!D"&amp;FC509),IF(ISNUMBER(FD509),INDIRECT("SamplesY!D"&amp;FD509),""))</f>
        <v/>
      </c>
      <c r="E509" s="12">
        <f>IF(ISNUMBER(FC509),INDIRECT("SamplesX!E"&amp;FC509),IF(ISNUMBER(FD509),INDIRECT("SamplesY!E"&amp;FD509),""))</f>
        <v/>
      </c>
      <c r="F509" s="11">
        <f>IF(ISNUMBER(FC509),INDIRECT("SamplesX!F"&amp;FC509),IF(ISNUMBER(FD509),INDIRECT("SamplesY!F"&amp;FD509),""))</f>
        <v/>
      </c>
      <c r="G509" s="18">
        <f>IF(ISNUMBER(FC509),INDIRECT("SamplesX!G"&amp;FC509),IF(ISNUMBER(FD509),INDIRECT("SamplesY!G"&amp;FD509),""))</f>
        <v/>
      </c>
      <c r="H509" s="19">
        <f>IF(ISNUMBER(FC509),INDIRECT("SamplesX!H"&amp;FC509),IF(ISNUMBER(FD509),INDIRECT("SamplesY!H"&amp;FD509),""))</f>
        <v/>
      </c>
      <c r="I509" s="16" t="n"/>
      <c r="J509" s="16" t="n"/>
      <c r="K509" s="16" t="n"/>
      <c r="L509" s="20" t="n"/>
      <c r="M509" s="20" t="inlineStr">
        <is>
          <t>None</t>
        </is>
      </c>
      <c r="N509" s="17" t="n"/>
      <c r="O509" s="16" t="n"/>
      <c r="P509" s="20" t="inlineStr">
        <is>
          <t>Shimadzu TOC-L</t>
        </is>
      </c>
      <c r="Q509" s="20" t="inlineStr">
        <is>
          <t>None</t>
        </is>
      </c>
      <c r="R509" s="17" t="n"/>
      <c r="S509" s="16" t="n"/>
      <c r="T509" s="20" t="inlineStr">
        <is>
          <t>Shimadzu TOC-L</t>
        </is>
      </c>
      <c r="U509" s="20" t="inlineStr">
        <is>
          <t>None</t>
        </is>
      </c>
      <c r="V509" s="17" t="n"/>
      <c r="W509" s="16" t="n"/>
      <c r="X509" s="20" t="n"/>
      <c r="Y509" s="20" t="inlineStr">
        <is>
          <t>None</t>
        </is>
      </c>
      <c r="Z509" s="17" t="n"/>
      <c r="AA509" s="16" t="n"/>
      <c r="AB509" s="20" t="n"/>
      <c r="AC509" s="20" t="inlineStr">
        <is>
          <t>None</t>
        </is>
      </c>
      <c r="AD509" s="17" t="n"/>
      <c r="AE509" s="16" t="n"/>
      <c r="AF509" s="20" t="inlineStr">
        <is>
          <t>IC Anionen</t>
        </is>
      </c>
      <c r="AG509" s="20" t="inlineStr">
        <is>
          <t>None</t>
        </is>
      </c>
      <c r="AH509" s="17" t="n"/>
      <c r="AI509" s="16" t="n"/>
      <c r="AJ509" s="20" t="n"/>
      <c r="AK509" s="20" t="inlineStr">
        <is>
          <t>None</t>
        </is>
      </c>
      <c r="AL509" s="17" t="n"/>
      <c r="AM509" s="16" t="n"/>
      <c r="AN509" s="20" t="inlineStr">
        <is>
          <t>IC Anionen</t>
        </is>
      </c>
      <c r="AO509" s="20" t="inlineStr">
        <is>
          <t>None</t>
        </is>
      </c>
      <c r="AP509" s="17" t="n"/>
      <c r="AQ509" s="16" t="n"/>
      <c r="AR509" s="20" t="n"/>
      <c r="AS509" s="20" t="inlineStr">
        <is>
          <t>None</t>
        </is>
      </c>
      <c r="AT509" s="17" t="n"/>
      <c r="AU509" s="16" t="n"/>
      <c r="AV509" s="20" t="n"/>
      <c r="AW509" s="20" t="inlineStr">
        <is>
          <t>None</t>
        </is>
      </c>
      <c r="AX509" s="17" t="n"/>
      <c r="AY509" s="16" t="n"/>
      <c r="AZ509" s="20" t="inlineStr">
        <is>
          <t>IC Anionen</t>
        </is>
      </c>
      <c r="BA509" s="20" t="inlineStr">
        <is>
          <t>None</t>
        </is>
      </c>
      <c r="BB509" s="17" t="n"/>
      <c r="BC509" s="16" t="n"/>
      <c r="BD509" s="20" t="inlineStr">
        <is>
          <t>IC Kationen</t>
        </is>
      </c>
      <c r="BE509" s="20" t="inlineStr">
        <is>
          <t>None</t>
        </is>
      </c>
      <c r="BF509" s="17" t="n"/>
      <c r="BG509" s="16" t="n"/>
      <c r="BH509" s="20" t="inlineStr">
        <is>
          <t>IC Kationen</t>
        </is>
      </c>
      <c r="BI509" s="20" t="inlineStr">
        <is>
          <t>None</t>
        </is>
      </c>
      <c r="BJ509" s="17" t="n"/>
      <c r="BK509" s="16" t="n"/>
      <c r="BL509" s="20" t="inlineStr">
        <is>
          <t>IC Kationen</t>
        </is>
      </c>
      <c r="BM509" s="20" t="inlineStr">
        <is>
          <t>None</t>
        </is>
      </c>
      <c r="BN509" s="17" t="n"/>
      <c r="BO509" s="16" t="n"/>
      <c r="BP509" s="20" t="inlineStr">
        <is>
          <t>IC Kationen</t>
        </is>
      </c>
      <c r="BQ509" s="20" t="inlineStr">
        <is>
          <t>None</t>
        </is>
      </c>
      <c r="BR509" s="17" t="n"/>
      <c r="BS509" s="16" t="n"/>
      <c r="BT509" s="20" t="inlineStr">
        <is>
          <t>IC Kationen</t>
        </is>
      </c>
      <c r="BU509" s="20" t="inlineStr">
        <is>
          <t>None</t>
        </is>
      </c>
      <c r="BV509" s="17" t="n"/>
      <c r="BW509" s="16" t="n"/>
      <c r="BX509" s="20" t="n"/>
      <c r="BY509" s="20" t="inlineStr">
        <is>
          <t>None</t>
        </is>
      </c>
      <c r="BZ509" s="17" t="n"/>
      <c r="CA509" s="16" t="n"/>
      <c r="CB509" s="20" t="n"/>
      <c r="CC509" s="20" t="inlineStr">
        <is>
          <t>None</t>
        </is>
      </c>
      <c r="CD509" s="17" t="n"/>
      <c r="CE509" s="16" t="n"/>
      <c r="CF509" s="20" t="n"/>
      <c r="CG509" s="20" t="inlineStr">
        <is>
          <t>None</t>
        </is>
      </c>
      <c r="CH509" s="17" t="n"/>
      <c r="CI509" s="16" t="n"/>
      <c r="CJ509" s="20" t="n"/>
      <c r="CK509" s="20" t="inlineStr">
        <is>
          <t>None</t>
        </is>
      </c>
      <c r="CL509" s="17" t="n"/>
      <c r="CM509" s="16" t="n"/>
      <c r="CN509" s="20" t="inlineStr">
        <is>
          <t>SOP 45-34</t>
        </is>
      </c>
      <c r="CO509" s="20" t="inlineStr">
        <is>
          <t>None</t>
        </is>
      </c>
      <c r="CP509" s="17" t="n"/>
      <c r="CQ509" s="16" t="n"/>
      <c r="CR509" s="20" t="n"/>
      <c r="CS509" s="20" t="inlineStr">
        <is>
          <t>None</t>
        </is>
      </c>
      <c r="CT509" s="17" t="n"/>
      <c r="CU509" s="16" t="n"/>
      <c r="CV509" s="20" t="n"/>
      <c r="CW509" s="20" t="inlineStr">
        <is>
          <t>None</t>
        </is>
      </c>
      <c r="CX509" s="17" t="n"/>
      <c r="CY509" s="16" t="n"/>
      <c r="CZ509" s="20" t="inlineStr">
        <is>
          <t>WTW Multimeter 3430 with FDO 925</t>
        </is>
      </c>
      <c r="DA509" s="20" t="inlineStr">
        <is>
          <t>None</t>
        </is>
      </c>
      <c r="DB509" s="17" t="n"/>
      <c r="DC509" s="16" t="n"/>
      <c r="DD509" s="20" t="n"/>
      <c r="DE509" s="20" t="inlineStr">
        <is>
          <t>None</t>
        </is>
      </c>
      <c r="DF509" s="17" t="n"/>
      <c r="DG509" s="16" t="n"/>
      <c r="DH509" s="20" t="inlineStr">
        <is>
          <t>SOP 45-09</t>
        </is>
      </c>
      <c r="DI509" s="20" t="inlineStr">
        <is>
          <t>None</t>
        </is>
      </c>
      <c r="DJ509" s="17" t="n"/>
      <c r="DK509" s="16" t="n"/>
      <c r="DL509" s="20" t="inlineStr">
        <is>
          <t>SOP 45-09 (SOP muss noch angepasst werden für VSS)</t>
        </is>
      </c>
      <c r="DM509" s="20" t="inlineStr">
        <is>
          <t>None</t>
        </is>
      </c>
      <c r="DN509" s="17" t="n"/>
      <c r="DO509" s="16" t="n"/>
      <c r="DP509" s="20" t="inlineStr">
        <is>
          <t>IC Organic Acids</t>
        </is>
      </c>
      <c r="DQ509" s="20" t="inlineStr">
        <is>
          <t>None</t>
        </is>
      </c>
      <c r="DR509" s="17" t="n"/>
      <c r="DS509" s="16" t="n"/>
      <c r="DT509" s="20" t="inlineStr">
        <is>
          <t>IC Organic Acids</t>
        </is>
      </c>
      <c r="DU509" s="20" t="inlineStr">
        <is>
          <t>None</t>
        </is>
      </c>
      <c r="DV509" s="17" t="n"/>
      <c r="DW509" s="16" t="n"/>
      <c r="DX509" s="20" t="inlineStr">
        <is>
          <t>IC Organic Acids</t>
        </is>
      </c>
      <c r="DY509" s="20" t="inlineStr">
        <is>
          <t>None</t>
        </is>
      </c>
      <c r="DZ509" s="17" t="n"/>
      <c r="EA509" s="16" t="n"/>
      <c r="EB509" s="20" t="inlineStr">
        <is>
          <t>IC Organic Acids</t>
        </is>
      </c>
      <c r="EC509" s="20" t="inlineStr">
        <is>
          <t>None</t>
        </is>
      </c>
      <c r="ED509" s="17" t="n"/>
      <c r="EE509" s="16" t="n"/>
      <c r="EF509" s="20" t="inlineStr">
        <is>
          <t>IC Organic Acids</t>
        </is>
      </c>
      <c r="EG509" s="20" t="inlineStr">
        <is>
          <t>None</t>
        </is>
      </c>
      <c r="EH509" s="17" t="n"/>
      <c r="EI509" s="16" t="n"/>
      <c r="EJ509" s="20" t="inlineStr">
        <is>
          <t>IC Organic Acids</t>
        </is>
      </c>
      <c r="EK509" s="20" t="inlineStr">
        <is>
          <t>None</t>
        </is>
      </c>
      <c r="EL509" s="17" t="n"/>
      <c r="EM509" s="16" t="n"/>
      <c r="EN509" s="20" t="inlineStr">
        <is>
          <t>IC Organic Acids</t>
        </is>
      </c>
      <c r="EO509" s="20" t="inlineStr">
        <is>
          <t>None</t>
        </is>
      </c>
      <c r="EP509" s="17" t="n"/>
      <c r="EQ509" s="16" t="n"/>
      <c r="ER509" s="20" t="inlineStr">
        <is>
          <t>IC Organic Acids</t>
        </is>
      </c>
      <c r="ES509" s="20" t="inlineStr">
        <is>
          <t>None</t>
        </is>
      </c>
      <c r="ET509" s="17" t="n"/>
      <c r="EU509" s="16" t="n"/>
      <c r="EV509" s="20" t="inlineStr">
        <is>
          <t>LC-MS</t>
        </is>
      </c>
      <c r="EW509" s="20" t="inlineStr">
        <is>
          <t>None</t>
        </is>
      </c>
      <c r="EX509" s="17" t="n"/>
      <c r="EY509" s="21" t="n"/>
      <c r="EZ509">
        <f>CONCATENATE(A509,B509)</f>
        <v/>
      </c>
      <c r="FA509">
        <f>CONCATENATE(SamplesX!A509,SamplesX!B509)</f>
        <v/>
      </c>
      <c r="FC509">
        <f>MATCH(EZ509,FA1:FA1008,0)</f>
        <v/>
      </c>
    </row>
    <row r="510">
      <c r="A510" s="16" t="n"/>
      <c r="B510" s="17" t="n"/>
      <c r="C510" s="10">
        <f>IF(ISNUMBER(FC510),INDIRECT("SamplesX!C"&amp;FC510),IF(ISNUMBER(FD510),INDIRECT("SamplesY!C"&amp;FD510),""))</f>
        <v/>
      </c>
      <c r="D510" s="12">
        <f>IF(ISNUMBER(FC510),INDIRECT("SamplesX!D"&amp;FC510),IF(ISNUMBER(FD510),INDIRECT("SamplesY!D"&amp;FD510),""))</f>
        <v/>
      </c>
      <c r="E510" s="12">
        <f>IF(ISNUMBER(FC510),INDIRECT("SamplesX!E"&amp;FC510),IF(ISNUMBER(FD510),INDIRECT("SamplesY!E"&amp;FD510),""))</f>
        <v/>
      </c>
      <c r="F510" s="11">
        <f>IF(ISNUMBER(FC510),INDIRECT("SamplesX!F"&amp;FC510),IF(ISNUMBER(FD510),INDIRECT("SamplesY!F"&amp;FD510),""))</f>
        <v/>
      </c>
      <c r="G510" s="18">
        <f>IF(ISNUMBER(FC510),INDIRECT("SamplesX!G"&amp;FC510),IF(ISNUMBER(FD510),INDIRECT("SamplesY!G"&amp;FD510),""))</f>
        <v/>
      </c>
      <c r="H510" s="19">
        <f>IF(ISNUMBER(FC510),INDIRECT("SamplesX!H"&amp;FC510),IF(ISNUMBER(FD510),INDIRECT("SamplesY!H"&amp;FD510),""))</f>
        <v/>
      </c>
      <c r="I510" s="16" t="n"/>
      <c r="J510" s="16" t="n"/>
      <c r="K510" s="16" t="n"/>
      <c r="L510" s="20" t="n"/>
      <c r="M510" s="20" t="inlineStr">
        <is>
          <t>None</t>
        </is>
      </c>
      <c r="N510" s="17" t="n"/>
      <c r="O510" s="16" t="n"/>
      <c r="P510" s="20" t="inlineStr">
        <is>
          <t>Shimadzu TOC-L</t>
        </is>
      </c>
      <c r="Q510" s="20" t="inlineStr">
        <is>
          <t>None</t>
        </is>
      </c>
      <c r="R510" s="17" t="n"/>
      <c r="S510" s="16" t="n"/>
      <c r="T510" s="20" t="inlineStr">
        <is>
          <t>Shimadzu TOC-L</t>
        </is>
      </c>
      <c r="U510" s="20" t="inlineStr">
        <is>
          <t>None</t>
        </is>
      </c>
      <c r="V510" s="17" t="n"/>
      <c r="W510" s="16" t="n"/>
      <c r="X510" s="20" t="n"/>
      <c r="Y510" s="20" t="inlineStr">
        <is>
          <t>None</t>
        </is>
      </c>
      <c r="Z510" s="17" t="n"/>
      <c r="AA510" s="16" t="n"/>
      <c r="AB510" s="20" t="n"/>
      <c r="AC510" s="20" t="inlineStr">
        <is>
          <t>None</t>
        </is>
      </c>
      <c r="AD510" s="17" t="n"/>
      <c r="AE510" s="16" t="n"/>
      <c r="AF510" s="20" t="inlineStr">
        <is>
          <t>IC Anionen</t>
        </is>
      </c>
      <c r="AG510" s="20" t="inlineStr">
        <is>
          <t>None</t>
        </is>
      </c>
      <c r="AH510" s="17" t="n"/>
      <c r="AI510" s="16" t="n"/>
      <c r="AJ510" s="20" t="n"/>
      <c r="AK510" s="20" t="inlineStr">
        <is>
          <t>None</t>
        </is>
      </c>
      <c r="AL510" s="17" t="n"/>
      <c r="AM510" s="16" t="n"/>
      <c r="AN510" s="20" t="inlineStr">
        <is>
          <t>IC Anionen</t>
        </is>
      </c>
      <c r="AO510" s="20" t="inlineStr">
        <is>
          <t>None</t>
        </is>
      </c>
      <c r="AP510" s="17" t="n"/>
      <c r="AQ510" s="16" t="n"/>
      <c r="AR510" s="20" t="n"/>
      <c r="AS510" s="20" t="inlineStr">
        <is>
          <t>None</t>
        </is>
      </c>
      <c r="AT510" s="17" t="n"/>
      <c r="AU510" s="16" t="n"/>
      <c r="AV510" s="20" t="n"/>
      <c r="AW510" s="20" t="inlineStr">
        <is>
          <t>None</t>
        </is>
      </c>
      <c r="AX510" s="17" t="n"/>
      <c r="AY510" s="16" t="n"/>
      <c r="AZ510" s="20" t="inlineStr">
        <is>
          <t>IC Anionen</t>
        </is>
      </c>
      <c r="BA510" s="20" t="inlineStr">
        <is>
          <t>None</t>
        </is>
      </c>
      <c r="BB510" s="17" t="n"/>
      <c r="BC510" s="16" t="n"/>
      <c r="BD510" s="20" t="inlineStr">
        <is>
          <t>IC Kationen</t>
        </is>
      </c>
      <c r="BE510" s="20" t="inlineStr">
        <is>
          <t>None</t>
        </is>
      </c>
      <c r="BF510" s="17" t="n"/>
      <c r="BG510" s="16" t="n"/>
      <c r="BH510" s="20" t="inlineStr">
        <is>
          <t>IC Kationen</t>
        </is>
      </c>
      <c r="BI510" s="20" t="inlineStr">
        <is>
          <t>None</t>
        </is>
      </c>
      <c r="BJ510" s="17" t="n"/>
      <c r="BK510" s="16" t="n"/>
      <c r="BL510" s="20" t="inlineStr">
        <is>
          <t>IC Kationen</t>
        </is>
      </c>
      <c r="BM510" s="20" t="inlineStr">
        <is>
          <t>None</t>
        </is>
      </c>
      <c r="BN510" s="17" t="n"/>
      <c r="BO510" s="16" t="n"/>
      <c r="BP510" s="20" t="inlineStr">
        <is>
          <t>IC Kationen</t>
        </is>
      </c>
      <c r="BQ510" s="20" t="inlineStr">
        <is>
          <t>None</t>
        </is>
      </c>
      <c r="BR510" s="17" t="n"/>
      <c r="BS510" s="16" t="n"/>
      <c r="BT510" s="20" t="inlineStr">
        <is>
          <t>IC Kationen</t>
        </is>
      </c>
      <c r="BU510" s="20" t="inlineStr">
        <is>
          <t>None</t>
        </is>
      </c>
      <c r="BV510" s="17" t="n"/>
      <c r="BW510" s="16" t="n"/>
      <c r="BX510" s="20" t="n"/>
      <c r="BY510" s="20" t="inlineStr">
        <is>
          <t>None</t>
        </is>
      </c>
      <c r="BZ510" s="17" t="n"/>
      <c r="CA510" s="16" t="n"/>
      <c r="CB510" s="20" t="n"/>
      <c r="CC510" s="20" t="inlineStr">
        <is>
          <t>None</t>
        </is>
      </c>
      <c r="CD510" s="17" t="n"/>
      <c r="CE510" s="16" t="n"/>
      <c r="CF510" s="20" t="n"/>
      <c r="CG510" s="20" t="inlineStr">
        <is>
          <t>None</t>
        </is>
      </c>
      <c r="CH510" s="17" t="n"/>
      <c r="CI510" s="16" t="n"/>
      <c r="CJ510" s="20" t="n"/>
      <c r="CK510" s="20" t="inlineStr">
        <is>
          <t>None</t>
        </is>
      </c>
      <c r="CL510" s="17" t="n"/>
      <c r="CM510" s="16" t="n"/>
      <c r="CN510" s="20" t="inlineStr">
        <is>
          <t>SOP 45-34</t>
        </is>
      </c>
      <c r="CO510" s="20" t="inlineStr">
        <is>
          <t>None</t>
        </is>
      </c>
      <c r="CP510" s="17" t="n"/>
      <c r="CQ510" s="16" t="n"/>
      <c r="CR510" s="20" t="n"/>
      <c r="CS510" s="20" t="inlineStr">
        <is>
          <t>None</t>
        </is>
      </c>
      <c r="CT510" s="17" t="n"/>
      <c r="CU510" s="16" t="n"/>
      <c r="CV510" s="20" t="n"/>
      <c r="CW510" s="20" t="inlineStr">
        <is>
          <t>None</t>
        </is>
      </c>
      <c r="CX510" s="17" t="n"/>
      <c r="CY510" s="16" t="n"/>
      <c r="CZ510" s="20" t="inlineStr">
        <is>
          <t>WTW Multimeter 3430 with FDO 925</t>
        </is>
      </c>
      <c r="DA510" s="20" t="inlineStr">
        <is>
          <t>None</t>
        </is>
      </c>
      <c r="DB510" s="17" t="n"/>
      <c r="DC510" s="16" t="n"/>
      <c r="DD510" s="20" t="n"/>
      <c r="DE510" s="20" t="inlineStr">
        <is>
          <t>None</t>
        </is>
      </c>
      <c r="DF510" s="17" t="n"/>
      <c r="DG510" s="16" t="n"/>
      <c r="DH510" s="20" t="inlineStr">
        <is>
          <t>SOP 45-09</t>
        </is>
      </c>
      <c r="DI510" s="20" t="inlineStr">
        <is>
          <t>None</t>
        </is>
      </c>
      <c r="DJ510" s="17" t="n"/>
      <c r="DK510" s="16" t="n"/>
      <c r="DL510" s="20" t="inlineStr">
        <is>
          <t>SOP 45-09 (SOP muss noch angepasst werden für VSS)</t>
        </is>
      </c>
      <c r="DM510" s="20" t="inlineStr">
        <is>
          <t>None</t>
        </is>
      </c>
      <c r="DN510" s="17" t="n"/>
      <c r="DO510" s="16" t="n"/>
      <c r="DP510" s="20" t="inlineStr">
        <is>
          <t>IC Organic Acids</t>
        </is>
      </c>
      <c r="DQ510" s="20" t="inlineStr">
        <is>
          <t>None</t>
        </is>
      </c>
      <c r="DR510" s="17" t="n"/>
      <c r="DS510" s="16" t="n"/>
      <c r="DT510" s="20" t="inlineStr">
        <is>
          <t>IC Organic Acids</t>
        </is>
      </c>
      <c r="DU510" s="20" t="inlineStr">
        <is>
          <t>None</t>
        </is>
      </c>
      <c r="DV510" s="17" t="n"/>
      <c r="DW510" s="16" t="n"/>
      <c r="DX510" s="20" t="inlineStr">
        <is>
          <t>IC Organic Acids</t>
        </is>
      </c>
      <c r="DY510" s="20" t="inlineStr">
        <is>
          <t>None</t>
        </is>
      </c>
      <c r="DZ510" s="17" t="n"/>
      <c r="EA510" s="16" t="n"/>
      <c r="EB510" s="20" t="inlineStr">
        <is>
          <t>IC Organic Acids</t>
        </is>
      </c>
      <c r="EC510" s="20" t="inlineStr">
        <is>
          <t>None</t>
        </is>
      </c>
      <c r="ED510" s="17" t="n"/>
      <c r="EE510" s="16" t="n"/>
      <c r="EF510" s="20" t="inlineStr">
        <is>
          <t>IC Organic Acids</t>
        </is>
      </c>
      <c r="EG510" s="20" t="inlineStr">
        <is>
          <t>None</t>
        </is>
      </c>
      <c r="EH510" s="17" t="n"/>
      <c r="EI510" s="16" t="n"/>
      <c r="EJ510" s="20" t="inlineStr">
        <is>
          <t>IC Organic Acids</t>
        </is>
      </c>
      <c r="EK510" s="20" t="inlineStr">
        <is>
          <t>None</t>
        </is>
      </c>
      <c r="EL510" s="17" t="n"/>
      <c r="EM510" s="16" t="n"/>
      <c r="EN510" s="20" t="inlineStr">
        <is>
          <t>IC Organic Acids</t>
        </is>
      </c>
      <c r="EO510" s="20" t="inlineStr">
        <is>
          <t>None</t>
        </is>
      </c>
      <c r="EP510" s="17" t="n"/>
      <c r="EQ510" s="16" t="n"/>
      <c r="ER510" s="20" t="inlineStr">
        <is>
          <t>IC Organic Acids</t>
        </is>
      </c>
      <c r="ES510" s="20" t="inlineStr">
        <is>
          <t>None</t>
        </is>
      </c>
      <c r="ET510" s="17" t="n"/>
      <c r="EU510" s="16" t="n"/>
      <c r="EV510" s="20" t="inlineStr">
        <is>
          <t>LC-MS</t>
        </is>
      </c>
      <c r="EW510" s="20" t="inlineStr">
        <is>
          <t>None</t>
        </is>
      </c>
      <c r="EX510" s="17" t="n"/>
      <c r="EY510" s="21" t="n"/>
      <c r="EZ510">
        <f>CONCATENATE(A510,B510)</f>
        <v/>
      </c>
      <c r="FA510">
        <f>CONCATENATE(SamplesX!A510,SamplesX!B510)</f>
        <v/>
      </c>
      <c r="FC510">
        <f>MATCH(EZ510,FA1:FA1008,0)</f>
        <v/>
      </c>
    </row>
    <row r="511">
      <c r="A511" s="16" t="n"/>
      <c r="B511" s="17" t="n"/>
      <c r="C511" s="10">
        <f>IF(ISNUMBER(FC511),INDIRECT("SamplesX!C"&amp;FC511),IF(ISNUMBER(FD511),INDIRECT("SamplesY!C"&amp;FD511),""))</f>
        <v/>
      </c>
      <c r="D511" s="12">
        <f>IF(ISNUMBER(FC511),INDIRECT("SamplesX!D"&amp;FC511),IF(ISNUMBER(FD511),INDIRECT("SamplesY!D"&amp;FD511),""))</f>
        <v/>
      </c>
      <c r="E511" s="12">
        <f>IF(ISNUMBER(FC511),INDIRECT("SamplesX!E"&amp;FC511),IF(ISNUMBER(FD511),INDIRECT("SamplesY!E"&amp;FD511),""))</f>
        <v/>
      </c>
      <c r="F511" s="11">
        <f>IF(ISNUMBER(FC511),INDIRECT("SamplesX!F"&amp;FC511),IF(ISNUMBER(FD511),INDIRECT("SamplesY!F"&amp;FD511),""))</f>
        <v/>
      </c>
      <c r="G511" s="18">
        <f>IF(ISNUMBER(FC511),INDIRECT("SamplesX!G"&amp;FC511),IF(ISNUMBER(FD511),INDIRECT("SamplesY!G"&amp;FD511),""))</f>
        <v/>
      </c>
      <c r="H511" s="19">
        <f>IF(ISNUMBER(FC511),INDIRECT("SamplesX!H"&amp;FC511),IF(ISNUMBER(FD511),INDIRECT("SamplesY!H"&amp;FD511),""))</f>
        <v/>
      </c>
      <c r="I511" s="16" t="n"/>
      <c r="J511" s="16" t="n"/>
      <c r="K511" s="16" t="n"/>
      <c r="L511" s="20" t="n"/>
      <c r="M511" s="20" t="inlineStr">
        <is>
          <t>None</t>
        </is>
      </c>
      <c r="N511" s="17" t="n"/>
      <c r="O511" s="16" t="n"/>
      <c r="P511" s="20" t="inlineStr">
        <is>
          <t>Shimadzu TOC-L</t>
        </is>
      </c>
      <c r="Q511" s="20" t="inlineStr">
        <is>
          <t>None</t>
        </is>
      </c>
      <c r="R511" s="17" t="n"/>
      <c r="S511" s="16" t="n"/>
      <c r="T511" s="20" t="inlineStr">
        <is>
          <t>Shimadzu TOC-L</t>
        </is>
      </c>
      <c r="U511" s="20" t="inlineStr">
        <is>
          <t>None</t>
        </is>
      </c>
      <c r="V511" s="17" t="n"/>
      <c r="W511" s="16" t="n"/>
      <c r="X511" s="20" t="n"/>
      <c r="Y511" s="20" t="inlineStr">
        <is>
          <t>None</t>
        </is>
      </c>
      <c r="Z511" s="17" t="n"/>
      <c r="AA511" s="16" t="n"/>
      <c r="AB511" s="20" t="n"/>
      <c r="AC511" s="20" t="inlineStr">
        <is>
          <t>None</t>
        </is>
      </c>
      <c r="AD511" s="17" t="n"/>
      <c r="AE511" s="16" t="n"/>
      <c r="AF511" s="20" t="inlineStr">
        <is>
          <t>IC Anionen</t>
        </is>
      </c>
      <c r="AG511" s="20" t="inlineStr">
        <is>
          <t>None</t>
        </is>
      </c>
      <c r="AH511" s="17" t="n"/>
      <c r="AI511" s="16" t="n"/>
      <c r="AJ511" s="20" t="n"/>
      <c r="AK511" s="20" t="inlineStr">
        <is>
          <t>None</t>
        </is>
      </c>
      <c r="AL511" s="17" t="n"/>
      <c r="AM511" s="16" t="n"/>
      <c r="AN511" s="20" t="inlineStr">
        <is>
          <t>IC Anionen</t>
        </is>
      </c>
      <c r="AO511" s="20" t="inlineStr">
        <is>
          <t>None</t>
        </is>
      </c>
      <c r="AP511" s="17" t="n"/>
      <c r="AQ511" s="16" t="n"/>
      <c r="AR511" s="20" t="n"/>
      <c r="AS511" s="20" t="inlineStr">
        <is>
          <t>None</t>
        </is>
      </c>
      <c r="AT511" s="17" t="n"/>
      <c r="AU511" s="16" t="n"/>
      <c r="AV511" s="20" t="n"/>
      <c r="AW511" s="20" t="inlineStr">
        <is>
          <t>None</t>
        </is>
      </c>
      <c r="AX511" s="17" t="n"/>
      <c r="AY511" s="16" t="n"/>
      <c r="AZ511" s="20" t="inlineStr">
        <is>
          <t>IC Anionen</t>
        </is>
      </c>
      <c r="BA511" s="20" t="inlineStr">
        <is>
          <t>None</t>
        </is>
      </c>
      <c r="BB511" s="17" t="n"/>
      <c r="BC511" s="16" t="n"/>
      <c r="BD511" s="20" t="inlineStr">
        <is>
          <t>IC Kationen</t>
        </is>
      </c>
      <c r="BE511" s="20" t="inlineStr">
        <is>
          <t>None</t>
        </is>
      </c>
      <c r="BF511" s="17" t="n"/>
      <c r="BG511" s="16" t="n"/>
      <c r="BH511" s="20" t="inlineStr">
        <is>
          <t>IC Kationen</t>
        </is>
      </c>
      <c r="BI511" s="20" t="inlineStr">
        <is>
          <t>None</t>
        </is>
      </c>
      <c r="BJ511" s="17" t="n"/>
      <c r="BK511" s="16" t="n"/>
      <c r="BL511" s="20" t="inlineStr">
        <is>
          <t>IC Kationen</t>
        </is>
      </c>
      <c r="BM511" s="20" t="inlineStr">
        <is>
          <t>None</t>
        </is>
      </c>
      <c r="BN511" s="17" t="n"/>
      <c r="BO511" s="16" t="n"/>
      <c r="BP511" s="20" t="inlineStr">
        <is>
          <t>IC Kationen</t>
        </is>
      </c>
      <c r="BQ511" s="20" t="inlineStr">
        <is>
          <t>None</t>
        </is>
      </c>
      <c r="BR511" s="17" t="n"/>
      <c r="BS511" s="16" t="n"/>
      <c r="BT511" s="20" t="inlineStr">
        <is>
          <t>IC Kationen</t>
        </is>
      </c>
      <c r="BU511" s="20" t="inlineStr">
        <is>
          <t>None</t>
        </is>
      </c>
      <c r="BV511" s="17" t="n"/>
      <c r="BW511" s="16" t="n"/>
      <c r="BX511" s="20" t="n"/>
      <c r="BY511" s="20" t="inlineStr">
        <is>
          <t>None</t>
        </is>
      </c>
      <c r="BZ511" s="17" t="n"/>
      <c r="CA511" s="16" t="n"/>
      <c r="CB511" s="20" t="n"/>
      <c r="CC511" s="20" t="inlineStr">
        <is>
          <t>None</t>
        </is>
      </c>
      <c r="CD511" s="17" t="n"/>
      <c r="CE511" s="16" t="n"/>
      <c r="CF511" s="20" t="n"/>
      <c r="CG511" s="20" t="inlineStr">
        <is>
          <t>None</t>
        </is>
      </c>
      <c r="CH511" s="17" t="n"/>
      <c r="CI511" s="16" t="n"/>
      <c r="CJ511" s="20" t="n"/>
      <c r="CK511" s="20" t="inlineStr">
        <is>
          <t>None</t>
        </is>
      </c>
      <c r="CL511" s="17" t="n"/>
      <c r="CM511" s="16" t="n"/>
      <c r="CN511" s="20" t="inlineStr">
        <is>
          <t>SOP 45-34</t>
        </is>
      </c>
      <c r="CO511" s="20" t="inlineStr">
        <is>
          <t>None</t>
        </is>
      </c>
      <c r="CP511" s="17" t="n"/>
      <c r="CQ511" s="16" t="n"/>
      <c r="CR511" s="20" t="n"/>
      <c r="CS511" s="20" t="inlineStr">
        <is>
          <t>None</t>
        </is>
      </c>
      <c r="CT511" s="17" t="n"/>
      <c r="CU511" s="16" t="n"/>
      <c r="CV511" s="20" t="n"/>
      <c r="CW511" s="20" t="inlineStr">
        <is>
          <t>None</t>
        </is>
      </c>
      <c r="CX511" s="17" t="n"/>
      <c r="CY511" s="16" t="n"/>
      <c r="CZ511" s="20" t="inlineStr">
        <is>
          <t>WTW Multimeter 3430 with FDO 925</t>
        </is>
      </c>
      <c r="DA511" s="20" t="inlineStr">
        <is>
          <t>None</t>
        </is>
      </c>
      <c r="DB511" s="17" t="n"/>
      <c r="DC511" s="16" t="n"/>
      <c r="DD511" s="20" t="n"/>
      <c r="DE511" s="20" t="inlineStr">
        <is>
          <t>None</t>
        </is>
      </c>
      <c r="DF511" s="17" t="n"/>
      <c r="DG511" s="16" t="n"/>
      <c r="DH511" s="20" t="inlineStr">
        <is>
          <t>SOP 45-09</t>
        </is>
      </c>
      <c r="DI511" s="20" t="inlineStr">
        <is>
          <t>None</t>
        </is>
      </c>
      <c r="DJ511" s="17" t="n"/>
      <c r="DK511" s="16" t="n"/>
      <c r="DL511" s="20" t="inlineStr">
        <is>
          <t>SOP 45-09 (SOP muss noch angepasst werden für VSS)</t>
        </is>
      </c>
      <c r="DM511" s="20" t="inlineStr">
        <is>
          <t>None</t>
        </is>
      </c>
      <c r="DN511" s="17" t="n"/>
      <c r="DO511" s="16" t="n"/>
      <c r="DP511" s="20" t="inlineStr">
        <is>
          <t>IC Organic Acids</t>
        </is>
      </c>
      <c r="DQ511" s="20" t="inlineStr">
        <is>
          <t>None</t>
        </is>
      </c>
      <c r="DR511" s="17" t="n"/>
      <c r="DS511" s="16" t="n"/>
      <c r="DT511" s="20" t="inlineStr">
        <is>
          <t>IC Organic Acids</t>
        </is>
      </c>
      <c r="DU511" s="20" t="inlineStr">
        <is>
          <t>None</t>
        </is>
      </c>
      <c r="DV511" s="17" t="n"/>
      <c r="DW511" s="16" t="n"/>
      <c r="DX511" s="20" t="inlineStr">
        <is>
          <t>IC Organic Acids</t>
        </is>
      </c>
      <c r="DY511" s="20" t="inlineStr">
        <is>
          <t>None</t>
        </is>
      </c>
      <c r="DZ511" s="17" t="n"/>
      <c r="EA511" s="16" t="n"/>
      <c r="EB511" s="20" t="inlineStr">
        <is>
          <t>IC Organic Acids</t>
        </is>
      </c>
      <c r="EC511" s="20" t="inlineStr">
        <is>
          <t>None</t>
        </is>
      </c>
      <c r="ED511" s="17" t="n"/>
      <c r="EE511" s="16" t="n"/>
      <c r="EF511" s="20" t="inlineStr">
        <is>
          <t>IC Organic Acids</t>
        </is>
      </c>
      <c r="EG511" s="20" t="inlineStr">
        <is>
          <t>None</t>
        </is>
      </c>
      <c r="EH511" s="17" t="n"/>
      <c r="EI511" s="16" t="n"/>
      <c r="EJ511" s="20" t="inlineStr">
        <is>
          <t>IC Organic Acids</t>
        </is>
      </c>
      <c r="EK511" s="20" t="inlineStr">
        <is>
          <t>None</t>
        </is>
      </c>
      <c r="EL511" s="17" t="n"/>
      <c r="EM511" s="16" t="n"/>
      <c r="EN511" s="20" t="inlineStr">
        <is>
          <t>IC Organic Acids</t>
        </is>
      </c>
      <c r="EO511" s="20" t="inlineStr">
        <is>
          <t>None</t>
        </is>
      </c>
      <c r="EP511" s="17" t="n"/>
      <c r="EQ511" s="16" t="n"/>
      <c r="ER511" s="20" t="inlineStr">
        <is>
          <t>IC Organic Acids</t>
        </is>
      </c>
      <c r="ES511" s="20" t="inlineStr">
        <is>
          <t>None</t>
        </is>
      </c>
      <c r="ET511" s="17" t="n"/>
      <c r="EU511" s="16" t="n"/>
      <c r="EV511" s="20" t="inlineStr">
        <is>
          <t>LC-MS</t>
        </is>
      </c>
      <c r="EW511" s="20" t="inlineStr">
        <is>
          <t>None</t>
        </is>
      </c>
      <c r="EX511" s="17" t="n"/>
      <c r="EY511" s="21" t="n"/>
      <c r="EZ511">
        <f>CONCATENATE(A511,B511)</f>
        <v/>
      </c>
      <c r="FA511">
        <f>CONCATENATE(SamplesX!A511,SamplesX!B511)</f>
        <v/>
      </c>
      <c r="FC511">
        <f>MATCH(EZ511,FA1:FA1008,0)</f>
        <v/>
      </c>
    </row>
    <row r="512">
      <c r="A512" s="16" t="n"/>
      <c r="B512" s="17" t="n"/>
      <c r="C512" s="10">
        <f>IF(ISNUMBER(FC512),INDIRECT("SamplesX!C"&amp;FC512),IF(ISNUMBER(FD512),INDIRECT("SamplesY!C"&amp;FD512),""))</f>
        <v/>
      </c>
      <c r="D512" s="12">
        <f>IF(ISNUMBER(FC512),INDIRECT("SamplesX!D"&amp;FC512),IF(ISNUMBER(FD512),INDIRECT("SamplesY!D"&amp;FD512),""))</f>
        <v/>
      </c>
      <c r="E512" s="12">
        <f>IF(ISNUMBER(FC512),INDIRECT("SamplesX!E"&amp;FC512),IF(ISNUMBER(FD512),INDIRECT("SamplesY!E"&amp;FD512),""))</f>
        <v/>
      </c>
      <c r="F512" s="11">
        <f>IF(ISNUMBER(FC512),INDIRECT("SamplesX!F"&amp;FC512),IF(ISNUMBER(FD512),INDIRECT("SamplesY!F"&amp;FD512),""))</f>
        <v/>
      </c>
      <c r="G512" s="18">
        <f>IF(ISNUMBER(FC512),INDIRECT("SamplesX!G"&amp;FC512),IF(ISNUMBER(FD512),INDIRECT("SamplesY!G"&amp;FD512),""))</f>
        <v/>
      </c>
      <c r="H512" s="19">
        <f>IF(ISNUMBER(FC512),INDIRECT("SamplesX!H"&amp;FC512),IF(ISNUMBER(FD512),INDIRECT("SamplesY!H"&amp;FD512),""))</f>
        <v/>
      </c>
      <c r="I512" s="16" t="n"/>
      <c r="J512" s="16" t="n"/>
      <c r="K512" s="16" t="n"/>
      <c r="L512" s="20" t="n"/>
      <c r="M512" s="20" t="inlineStr">
        <is>
          <t>None</t>
        </is>
      </c>
      <c r="N512" s="17" t="n"/>
      <c r="O512" s="16" t="n"/>
      <c r="P512" s="20" t="inlineStr">
        <is>
          <t>Shimadzu TOC-L</t>
        </is>
      </c>
      <c r="Q512" s="20" t="inlineStr">
        <is>
          <t>None</t>
        </is>
      </c>
      <c r="R512" s="17" t="n"/>
      <c r="S512" s="16" t="n"/>
      <c r="T512" s="20" t="inlineStr">
        <is>
          <t>Shimadzu TOC-L</t>
        </is>
      </c>
      <c r="U512" s="20" t="inlineStr">
        <is>
          <t>None</t>
        </is>
      </c>
      <c r="V512" s="17" t="n"/>
      <c r="W512" s="16" t="n"/>
      <c r="X512" s="20" t="n"/>
      <c r="Y512" s="20" t="inlineStr">
        <is>
          <t>None</t>
        </is>
      </c>
      <c r="Z512" s="17" t="n"/>
      <c r="AA512" s="16" t="n"/>
      <c r="AB512" s="20" t="n"/>
      <c r="AC512" s="20" t="inlineStr">
        <is>
          <t>None</t>
        </is>
      </c>
      <c r="AD512" s="17" t="n"/>
      <c r="AE512" s="16" t="n"/>
      <c r="AF512" s="20" t="inlineStr">
        <is>
          <t>IC Anionen</t>
        </is>
      </c>
      <c r="AG512" s="20" t="inlineStr">
        <is>
          <t>None</t>
        </is>
      </c>
      <c r="AH512" s="17" t="n"/>
      <c r="AI512" s="16" t="n"/>
      <c r="AJ512" s="20" t="n"/>
      <c r="AK512" s="20" t="inlineStr">
        <is>
          <t>None</t>
        </is>
      </c>
      <c r="AL512" s="17" t="n"/>
      <c r="AM512" s="16" t="n"/>
      <c r="AN512" s="20" t="inlineStr">
        <is>
          <t>IC Anionen</t>
        </is>
      </c>
      <c r="AO512" s="20" t="inlineStr">
        <is>
          <t>None</t>
        </is>
      </c>
      <c r="AP512" s="17" t="n"/>
      <c r="AQ512" s="16" t="n"/>
      <c r="AR512" s="20" t="n"/>
      <c r="AS512" s="20" t="inlineStr">
        <is>
          <t>None</t>
        </is>
      </c>
      <c r="AT512" s="17" t="n"/>
      <c r="AU512" s="16" t="n"/>
      <c r="AV512" s="20" t="n"/>
      <c r="AW512" s="20" t="inlineStr">
        <is>
          <t>None</t>
        </is>
      </c>
      <c r="AX512" s="17" t="n"/>
      <c r="AY512" s="16" t="n"/>
      <c r="AZ512" s="20" t="inlineStr">
        <is>
          <t>IC Anionen</t>
        </is>
      </c>
      <c r="BA512" s="20" t="inlineStr">
        <is>
          <t>None</t>
        </is>
      </c>
      <c r="BB512" s="17" t="n"/>
      <c r="BC512" s="16" t="n"/>
      <c r="BD512" s="20" t="inlineStr">
        <is>
          <t>IC Kationen</t>
        </is>
      </c>
      <c r="BE512" s="20" t="inlineStr">
        <is>
          <t>None</t>
        </is>
      </c>
      <c r="BF512" s="17" t="n"/>
      <c r="BG512" s="16" t="n"/>
      <c r="BH512" s="20" t="inlineStr">
        <is>
          <t>IC Kationen</t>
        </is>
      </c>
      <c r="BI512" s="20" t="inlineStr">
        <is>
          <t>None</t>
        </is>
      </c>
      <c r="BJ512" s="17" t="n"/>
      <c r="BK512" s="16" t="n"/>
      <c r="BL512" s="20" t="inlineStr">
        <is>
          <t>IC Kationen</t>
        </is>
      </c>
      <c r="BM512" s="20" t="inlineStr">
        <is>
          <t>None</t>
        </is>
      </c>
      <c r="BN512" s="17" t="n"/>
      <c r="BO512" s="16" t="n"/>
      <c r="BP512" s="20" t="inlineStr">
        <is>
          <t>IC Kationen</t>
        </is>
      </c>
      <c r="BQ512" s="20" t="inlineStr">
        <is>
          <t>None</t>
        </is>
      </c>
      <c r="BR512" s="17" t="n"/>
      <c r="BS512" s="16" t="n"/>
      <c r="BT512" s="20" t="inlineStr">
        <is>
          <t>IC Kationen</t>
        </is>
      </c>
      <c r="BU512" s="20" t="inlineStr">
        <is>
          <t>None</t>
        </is>
      </c>
      <c r="BV512" s="17" t="n"/>
      <c r="BW512" s="16" t="n"/>
      <c r="BX512" s="20" t="n"/>
      <c r="BY512" s="20" t="inlineStr">
        <is>
          <t>None</t>
        </is>
      </c>
      <c r="BZ512" s="17" t="n"/>
      <c r="CA512" s="16" t="n"/>
      <c r="CB512" s="20" t="n"/>
      <c r="CC512" s="20" t="inlineStr">
        <is>
          <t>None</t>
        </is>
      </c>
      <c r="CD512" s="17" t="n"/>
      <c r="CE512" s="16" t="n"/>
      <c r="CF512" s="20" t="n"/>
      <c r="CG512" s="20" t="inlineStr">
        <is>
          <t>None</t>
        </is>
      </c>
      <c r="CH512" s="17" t="n"/>
      <c r="CI512" s="16" t="n"/>
      <c r="CJ512" s="20" t="n"/>
      <c r="CK512" s="20" t="inlineStr">
        <is>
          <t>None</t>
        </is>
      </c>
      <c r="CL512" s="17" t="n"/>
      <c r="CM512" s="16" t="n"/>
      <c r="CN512" s="20" t="inlineStr">
        <is>
          <t>SOP 45-34</t>
        </is>
      </c>
      <c r="CO512" s="20" t="inlineStr">
        <is>
          <t>None</t>
        </is>
      </c>
      <c r="CP512" s="17" t="n"/>
      <c r="CQ512" s="16" t="n"/>
      <c r="CR512" s="20" t="n"/>
      <c r="CS512" s="20" t="inlineStr">
        <is>
          <t>None</t>
        </is>
      </c>
      <c r="CT512" s="17" t="n"/>
      <c r="CU512" s="16" t="n"/>
      <c r="CV512" s="20" t="n"/>
      <c r="CW512" s="20" t="inlineStr">
        <is>
          <t>None</t>
        </is>
      </c>
      <c r="CX512" s="17" t="n"/>
      <c r="CY512" s="16" t="n"/>
      <c r="CZ512" s="20" t="inlineStr">
        <is>
          <t>WTW Multimeter 3430 with FDO 925</t>
        </is>
      </c>
      <c r="DA512" s="20" t="inlineStr">
        <is>
          <t>None</t>
        </is>
      </c>
      <c r="DB512" s="17" t="n"/>
      <c r="DC512" s="16" t="n"/>
      <c r="DD512" s="20" t="n"/>
      <c r="DE512" s="20" t="inlineStr">
        <is>
          <t>None</t>
        </is>
      </c>
      <c r="DF512" s="17" t="n"/>
      <c r="DG512" s="16" t="n"/>
      <c r="DH512" s="20" t="inlineStr">
        <is>
          <t>SOP 45-09</t>
        </is>
      </c>
      <c r="DI512" s="20" t="inlineStr">
        <is>
          <t>None</t>
        </is>
      </c>
      <c r="DJ512" s="17" t="n"/>
      <c r="DK512" s="16" t="n"/>
      <c r="DL512" s="20" t="inlineStr">
        <is>
          <t>SOP 45-09 (SOP muss noch angepasst werden für VSS)</t>
        </is>
      </c>
      <c r="DM512" s="20" t="inlineStr">
        <is>
          <t>None</t>
        </is>
      </c>
      <c r="DN512" s="17" t="n"/>
      <c r="DO512" s="16" t="n"/>
      <c r="DP512" s="20" t="inlineStr">
        <is>
          <t>IC Organic Acids</t>
        </is>
      </c>
      <c r="DQ512" s="20" t="inlineStr">
        <is>
          <t>None</t>
        </is>
      </c>
      <c r="DR512" s="17" t="n"/>
      <c r="DS512" s="16" t="n"/>
      <c r="DT512" s="20" t="inlineStr">
        <is>
          <t>IC Organic Acids</t>
        </is>
      </c>
      <c r="DU512" s="20" t="inlineStr">
        <is>
          <t>None</t>
        </is>
      </c>
      <c r="DV512" s="17" t="n"/>
      <c r="DW512" s="16" t="n"/>
      <c r="DX512" s="20" t="inlineStr">
        <is>
          <t>IC Organic Acids</t>
        </is>
      </c>
      <c r="DY512" s="20" t="inlineStr">
        <is>
          <t>None</t>
        </is>
      </c>
      <c r="DZ512" s="17" t="n"/>
      <c r="EA512" s="16" t="n"/>
      <c r="EB512" s="20" t="inlineStr">
        <is>
          <t>IC Organic Acids</t>
        </is>
      </c>
      <c r="EC512" s="20" t="inlineStr">
        <is>
          <t>None</t>
        </is>
      </c>
      <c r="ED512" s="17" t="n"/>
      <c r="EE512" s="16" t="n"/>
      <c r="EF512" s="20" t="inlineStr">
        <is>
          <t>IC Organic Acids</t>
        </is>
      </c>
      <c r="EG512" s="20" t="inlineStr">
        <is>
          <t>None</t>
        </is>
      </c>
      <c r="EH512" s="17" t="n"/>
      <c r="EI512" s="16" t="n"/>
      <c r="EJ512" s="20" t="inlineStr">
        <is>
          <t>IC Organic Acids</t>
        </is>
      </c>
      <c r="EK512" s="20" t="inlineStr">
        <is>
          <t>None</t>
        </is>
      </c>
      <c r="EL512" s="17" t="n"/>
      <c r="EM512" s="16" t="n"/>
      <c r="EN512" s="20" t="inlineStr">
        <is>
          <t>IC Organic Acids</t>
        </is>
      </c>
      <c r="EO512" s="20" t="inlineStr">
        <is>
          <t>None</t>
        </is>
      </c>
      <c r="EP512" s="17" t="n"/>
      <c r="EQ512" s="16" t="n"/>
      <c r="ER512" s="20" t="inlineStr">
        <is>
          <t>IC Organic Acids</t>
        </is>
      </c>
      <c r="ES512" s="20" t="inlineStr">
        <is>
          <t>None</t>
        </is>
      </c>
      <c r="ET512" s="17" t="n"/>
      <c r="EU512" s="16" t="n"/>
      <c r="EV512" s="20" t="inlineStr">
        <is>
          <t>LC-MS</t>
        </is>
      </c>
      <c r="EW512" s="20" t="inlineStr">
        <is>
          <t>None</t>
        </is>
      </c>
      <c r="EX512" s="17" t="n"/>
      <c r="EY512" s="21" t="n"/>
      <c r="EZ512">
        <f>CONCATENATE(A512,B512)</f>
        <v/>
      </c>
      <c r="FA512">
        <f>CONCATENATE(SamplesX!A512,SamplesX!B512)</f>
        <v/>
      </c>
      <c r="FC512">
        <f>MATCH(EZ512,FA1:FA1008,0)</f>
        <v/>
      </c>
    </row>
    <row r="513">
      <c r="A513" s="16" t="n"/>
      <c r="B513" s="17" t="n"/>
      <c r="C513" s="10">
        <f>IF(ISNUMBER(FC513),INDIRECT("SamplesX!C"&amp;FC513),IF(ISNUMBER(FD513),INDIRECT("SamplesY!C"&amp;FD513),""))</f>
        <v/>
      </c>
      <c r="D513" s="12">
        <f>IF(ISNUMBER(FC513),INDIRECT("SamplesX!D"&amp;FC513),IF(ISNUMBER(FD513),INDIRECT("SamplesY!D"&amp;FD513),""))</f>
        <v/>
      </c>
      <c r="E513" s="12">
        <f>IF(ISNUMBER(FC513),INDIRECT("SamplesX!E"&amp;FC513),IF(ISNUMBER(FD513),INDIRECT("SamplesY!E"&amp;FD513),""))</f>
        <v/>
      </c>
      <c r="F513" s="11">
        <f>IF(ISNUMBER(FC513),INDIRECT("SamplesX!F"&amp;FC513),IF(ISNUMBER(FD513),INDIRECT("SamplesY!F"&amp;FD513),""))</f>
        <v/>
      </c>
      <c r="G513" s="18">
        <f>IF(ISNUMBER(FC513),INDIRECT("SamplesX!G"&amp;FC513),IF(ISNUMBER(FD513),INDIRECT("SamplesY!G"&amp;FD513),""))</f>
        <v/>
      </c>
      <c r="H513" s="19">
        <f>IF(ISNUMBER(FC513),INDIRECT("SamplesX!H"&amp;FC513),IF(ISNUMBER(FD513),INDIRECT("SamplesY!H"&amp;FD513),""))</f>
        <v/>
      </c>
      <c r="I513" s="16" t="n"/>
      <c r="J513" s="16" t="n"/>
      <c r="K513" s="16" t="n"/>
      <c r="L513" s="20" t="n"/>
      <c r="M513" s="20" t="inlineStr">
        <is>
          <t>None</t>
        </is>
      </c>
      <c r="N513" s="17" t="n"/>
      <c r="O513" s="16" t="n"/>
      <c r="P513" s="20" t="inlineStr">
        <is>
          <t>Shimadzu TOC-L</t>
        </is>
      </c>
      <c r="Q513" s="20" t="inlineStr">
        <is>
          <t>None</t>
        </is>
      </c>
      <c r="R513" s="17" t="n"/>
      <c r="S513" s="16" t="n"/>
      <c r="T513" s="20" t="inlineStr">
        <is>
          <t>Shimadzu TOC-L</t>
        </is>
      </c>
      <c r="U513" s="20" t="inlineStr">
        <is>
          <t>None</t>
        </is>
      </c>
      <c r="V513" s="17" t="n"/>
      <c r="W513" s="16" t="n"/>
      <c r="X513" s="20" t="n"/>
      <c r="Y513" s="20" t="inlineStr">
        <is>
          <t>None</t>
        </is>
      </c>
      <c r="Z513" s="17" t="n"/>
      <c r="AA513" s="16" t="n"/>
      <c r="AB513" s="20" t="n"/>
      <c r="AC513" s="20" t="inlineStr">
        <is>
          <t>None</t>
        </is>
      </c>
      <c r="AD513" s="17" t="n"/>
      <c r="AE513" s="16" t="n"/>
      <c r="AF513" s="20" t="inlineStr">
        <is>
          <t>IC Anionen</t>
        </is>
      </c>
      <c r="AG513" s="20" t="inlineStr">
        <is>
          <t>None</t>
        </is>
      </c>
      <c r="AH513" s="17" t="n"/>
      <c r="AI513" s="16" t="n"/>
      <c r="AJ513" s="20" t="n"/>
      <c r="AK513" s="20" t="inlineStr">
        <is>
          <t>None</t>
        </is>
      </c>
      <c r="AL513" s="17" t="n"/>
      <c r="AM513" s="16" t="n"/>
      <c r="AN513" s="20" t="inlineStr">
        <is>
          <t>IC Anionen</t>
        </is>
      </c>
      <c r="AO513" s="20" t="inlineStr">
        <is>
          <t>None</t>
        </is>
      </c>
      <c r="AP513" s="17" t="n"/>
      <c r="AQ513" s="16" t="n"/>
      <c r="AR513" s="20" t="n"/>
      <c r="AS513" s="20" t="inlineStr">
        <is>
          <t>None</t>
        </is>
      </c>
      <c r="AT513" s="17" t="n"/>
      <c r="AU513" s="16" t="n"/>
      <c r="AV513" s="20" t="n"/>
      <c r="AW513" s="20" t="inlineStr">
        <is>
          <t>None</t>
        </is>
      </c>
      <c r="AX513" s="17" t="n"/>
      <c r="AY513" s="16" t="n"/>
      <c r="AZ513" s="20" t="inlineStr">
        <is>
          <t>IC Anionen</t>
        </is>
      </c>
      <c r="BA513" s="20" t="inlineStr">
        <is>
          <t>None</t>
        </is>
      </c>
      <c r="BB513" s="17" t="n"/>
      <c r="BC513" s="16" t="n"/>
      <c r="BD513" s="20" t="inlineStr">
        <is>
          <t>IC Kationen</t>
        </is>
      </c>
      <c r="BE513" s="20" t="inlineStr">
        <is>
          <t>None</t>
        </is>
      </c>
      <c r="BF513" s="17" t="n"/>
      <c r="BG513" s="16" t="n"/>
      <c r="BH513" s="20" t="inlineStr">
        <is>
          <t>IC Kationen</t>
        </is>
      </c>
      <c r="BI513" s="20" t="inlineStr">
        <is>
          <t>None</t>
        </is>
      </c>
      <c r="BJ513" s="17" t="n"/>
      <c r="BK513" s="16" t="n"/>
      <c r="BL513" s="20" t="inlineStr">
        <is>
          <t>IC Kationen</t>
        </is>
      </c>
      <c r="BM513" s="20" t="inlineStr">
        <is>
          <t>None</t>
        </is>
      </c>
      <c r="BN513" s="17" t="n"/>
      <c r="BO513" s="16" t="n"/>
      <c r="BP513" s="20" t="inlineStr">
        <is>
          <t>IC Kationen</t>
        </is>
      </c>
      <c r="BQ513" s="20" t="inlineStr">
        <is>
          <t>None</t>
        </is>
      </c>
      <c r="BR513" s="17" t="n"/>
      <c r="BS513" s="16" t="n"/>
      <c r="BT513" s="20" t="inlineStr">
        <is>
          <t>IC Kationen</t>
        </is>
      </c>
      <c r="BU513" s="20" t="inlineStr">
        <is>
          <t>None</t>
        </is>
      </c>
      <c r="BV513" s="17" t="n"/>
      <c r="BW513" s="16" t="n"/>
      <c r="BX513" s="20" t="n"/>
      <c r="BY513" s="20" t="inlineStr">
        <is>
          <t>None</t>
        </is>
      </c>
      <c r="BZ513" s="17" t="n"/>
      <c r="CA513" s="16" t="n"/>
      <c r="CB513" s="20" t="n"/>
      <c r="CC513" s="20" t="inlineStr">
        <is>
          <t>None</t>
        </is>
      </c>
      <c r="CD513" s="17" t="n"/>
      <c r="CE513" s="16" t="n"/>
      <c r="CF513" s="20" t="n"/>
      <c r="CG513" s="20" t="inlineStr">
        <is>
          <t>None</t>
        </is>
      </c>
      <c r="CH513" s="17" t="n"/>
      <c r="CI513" s="16" t="n"/>
      <c r="CJ513" s="20" t="n"/>
      <c r="CK513" s="20" t="inlineStr">
        <is>
          <t>None</t>
        </is>
      </c>
      <c r="CL513" s="17" t="n"/>
      <c r="CM513" s="16" t="n"/>
      <c r="CN513" s="20" t="inlineStr">
        <is>
          <t>SOP 45-34</t>
        </is>
      </c>
      <c r="CO513" s="20" t="inlineStr">
        <is>
          <t>None</t>
        </is>
      </c>
      <c r="CP513" s="17" t="n"/>
      <c r="CQ513" s="16" t="n"/>
      <c r="CR513" s="20" t="n"/>
      <c r="CS513" s="20" t="inlineStr">
        <is>
          <t>None</t>
        </is>
      </c>
      <c r="CT513" s="17" t="n"/>
      <c r="CU513" s="16" t="n"/>
      <c r="CV513" s="20" t="n"/>
      <c r="CW513" s="20" t="inlineStr">
        <is>
          <t>None</t>
        </is>
      </c>
      <c r="CX513" s="17" t="n"/>
      <c r="CY513" s="16" t="n"/>
      <c r="CZ513" s="20" t="inlineStr">
        <is>
          <t>WTW Multimeter 3430 with FDO 925</t>
        </is>
      </c>
      <c r="DA513" s="20" t="inlineStr">
        <is>
          <t>None</t>
        </is>
      </c>
      <c r="DB513" s="17" t="n"/>
      <c r="DC513" s="16" t="n"/>
      <c r="DD513" s="20" t="n"/>
      <c r="DE513" s="20" t="inlineStr">
        <is>
          <t>None</t>
        </is>
      </c>
      <c r="DF513" s="17" t="n"/>
      <c r="DG513" s="16" t="n"/>
      <c r="DH513" s="20" t="inlineStr">
        <is>
          <t>SOP 45-09</t>
        </is>
      </c>
      <c r="DI513" s="20" t="inlineStr">
        <is>
          <t>None</t>
        </is>
      </c>
      <c r="DJ513" s="17" t="n"/>
      <c r="DK513" s="16" t="n"/>
      <c r="DL513" s="20" t="inlineStr">
        <is>
          <t>SOP 45-09 (SOP muss noch angepasst werden für VSS)</t>
        </is>
      </c>
      <c r="DM513" s="20" t="inlineStr">
        <is>
          <t>None</t>
        </is>
      </c>
      <c r="DN513" s="17" t="n"/>
      <c r="DO513" s="16" t="n"/>
      <c r="DP513" s="20" t="inlineStr">
        <is>
          <t>IC Organic Acids</t>
        </is>
      </c>
      <c r="DQ513" s="20" t="inlineStr">
        <is>
          <t>None</t>
        </is>
      </c>
      <c r="DR513" s="17" t="n"/>
      <c r="DS513" s="16" t="n"/>
      <c r="DT513" s="20" t="inlineStr">
        <is>
          <t>IC Organic Acids</t>
        </is>
      </c>
      <c r="DU513" s="20" t="inlineStr">
        <is>
          <t>None</t>
        </is>
      </c>
      <c r="DV513" s="17" t="n"/>
      <c r="DW513" s="16" t="n"/>
      <c r="DX513" s="20" t="inlineStr">
        <is>
          <t>IC Organic Acids</t>
        </is>
      </c>
      <c r="DY513" s="20" t="inlineStr">
        <is>
          <t>None</t>
        </is>
      </c>
      <c r="DZ513" s="17" t="n"/>
      <c r="EA513" s="16" t="n"/>
      <c r="EB513" s="20" t="inlineStr">
        <is>
          <t>IC Organic Acids</t>
        </is>
      </c>
      <c r="EC513" s="20" t="inlineStr">
        <is>
          <t>None</t>
        </is>
      </c>
      <c r="ED513" s="17" t="n"/>
      <c r="EE513" s="16" t="n"/>
      <c r="EF513" s="20" t="inlineStr">
        <is>
          <t>IC Organic Acids</t>
        </is>
      </c>
      <c r="EG513" s="20" t="inlineStr">
        <is>
          <t>None</t>
        </is>
      </c>
      <c r="EH513" s="17" t="n"/>
      <c r="EI513" s="16" t="n"/>
      <c r="EJ513" s="20" t="inlineStr">
        <is>
          <t>IC Organic Acids</t>
        </is>
      </c>
      <c r="EK513" s="20" t="inlineStr">
        <is>
          <t>None</t>
        </is>
      </c>
      <c r="EL513" s="17" t="n"/>
      <c r="EM513" s="16" t="n"/>
      <c r="EN513" s="20" t="inlineStr">
        <is>
          <t>IC Organic Acids</t>
        </is>
      </c>
      <c r="EO513" s="20" t="inlineStr">
        <is>
          <t>None</t>
        </is>
      </c>
      <c r="EP513" s="17" t="n"/>
      <c r="EQ513" s="16" t="n"/>
      <c r="ER513" s="20" t="inlineStr">
        <is>
          <t>IC Organic Acids</t>
        </is>
      </c>
      <c r="ES513" s="20" t="inlineStr">
        <is>
          <t>None</t>
        </is>
      </c>
      <c r="ET513" s="17" t="n"/>
      <c r="EU513" s="16" t="n"/>
      <c r="EV513" s="20" t="inlineStr">
        <is>
          <t>LC-MS</t>
        </is>
      </c>
      <c r="EW513" s="20" t="inlineStr">
        <is>
          <t>None</t>
        </is>
      </c>
      <c r="EX513" s="17" t="n"/>
      <c r="EY513" s="21" t="n"/>
      <c r="EZ513">
        <f>CONCATENATE(A513,B513)</f>
        <v/>
      </c>
      <c r="FA513">
        <f>CONCATENATE(SamplesX!A513,SamplesX!B513)</f>
        <v/>
      </c>
      <c r="FC513">
        <f>MATCH(EZ513,FA1:FA1008,0)</f>
        <v/>
      </c>
    </row>
    <row r="514">
      <c r="A514" s="16" t="n"/>
      <c r="B514" s="17" t="n"/>
      <c r="C514" s="10">
        <f>IF(ISNUMBER(FC514),INDIRECT("SamplesX!C"&amp;FC514),IF(ISNUMBER(FD514),INDIRECT("SamplesY!C"&amp;FD514),""))</f>
        <v/>
      </c>
      <c r="D514" s="12">
        <f>IF(ISNUMBER(FC514),INDIRECT("SamplesX!D"&amp;FC514),IF(ISNUMBER(FD514),INDIRECT("SamplesY!D"&amp;FD514),""))</f>
        <v/>
      </c>
      <c r="E514" s="12">
        <f>IF(ISNUMBER(FC514),INDIRECT("SamplesX!E"&amp;FC514),IF(ISNUMBER(FD514),INDIRECT("SamplesY!E"&amp;FD514),""))</f>
        <v/>
      </c>
      <c r="F514" s="11">
        <f>IF(ISNUMBER(FC514),INDIRECT("SamplesX!F"&amp;FC514),IF(ISNUMBER(FD514),INDIRECT("SamplesY!F"&amp;FD514),""))</f>
        <v/>
      </c>
      <c r="G514" s="18">
        <f>IF(ISNUMBER(FC514),INDIRECT("SamplesX!G"&amp;FC514),IF(ISNUMBER(FD514),INDIRECT("SamplesY!G"&amp;FD514),""))</f>
        <v/>
      </c>
      <c r="H514" s="19">
        <f>IF(ISNUMBER(FC514),INDIRECT("SamplesX!H"&amp;FC514),IF(ISNUMBER(FD514),INDIRECT("SamplesY!H"&amp;FD514),""))</f>
        <v/>
      </c>
      <c r="I514" s="16" t="n"/>
      <c r="J514" s="16" t="n"/>
      <c r="K514" s="16" t="n"/>
      <c r="L514" s="20" t="n"/>
      <c r="M514" s="20" t="inlineStr">
        <is>
          <t>None</t>
        </is>
      </c>
      <c r="N514" s="17" t="n"/>
      <c r="O514" s="16" t="n"/>
      <c r="P514" s="20" t="inlineStr">
        <is>
          <t>Shimadzu TOC-L</t>
        </is>
      </c>
      <c r="Q514" s="20" t="inlineStr">
        <is>
          <t>None</t>
        </is>
      </c>
      <c r="R514" s="17" t="n"/>
      <c r="S514" s="16" t="n"/>
      <c r="T514" s="20" t="inlineStr">
        <is>
          <t>Shimadzu TOC-L</t>
        </is>
      </c>
      <c r="U514" s="20" t="inlineStr">
        <is>
          <t>None</t>
        </is>
      </c>
      <c r="V514" s="17" t="n"/>
      <c r="W514" s="16" t="n"/>
      <c r="X514" s="20" t="n"/>
      <c r="Y514" s="20" t="inlineStr">
        <is>
          <t>None</t>
        </is>
      </c>
      <c r="Z514" s="17" t="n"/>
      <c r="AA514" s="16" t="n"/>
      <c r="AB514" s="20" t="n"/>
      <c r="AC514" s="20" t="inlineStr">
        <is>
          <t>None</t>
        </is>
      </c>
      <c r="AD514" s="17" t="n"/>
      <c r="AE514" s="16" t="n"/>
      <c r="AF514" s="20" t="inlineStr">
        <is>
          <t>IC Anionen</t>
        </is>
      </c>
      <c r="AG514" s="20" t="inlineStr">
        <is>
          <t>None</t>
        </is>
      </c>
      <c r="AH514" s="17" t="n"/>
      <c r="AI514" s="16" t="n"/>
      <c r="AJ514" s="20" t="n"/>
      <c r="AK514" s="20" t="inlineStr">
        <is>
          <t>None</t>
        </is>
      </c>
      <c r="AL514" s="17" t="n"/>
      <c r="AM514" s="16" t="n"/>
      <c r="AN514" s="20" t="inlineStr">
        <is>
          <t>IC Anionen</t>
        </is>
      </c>
      <c r="AO514" s="20" t="inlineStr">
        <is>
          <t>None</t>
        </is>
      </c>
      <c r="AP514" s="17" t="n"/>
      <c r="AQ514" s="16" t="n"/>
      <c r="AR514" s="20" t="n"/>
      <c r="AS514" s="20" t="inlineStr">
        <is>
          <t>None</t>
        </is>
      </c>
      <c r="AT514" s="17" t="n"/>
      <c r="AU514" s="16" t="n"/>
      <c r="AV514" s="20" t="n"/>
      <c r="AW514" s="20" t="inlineStr">
        <is>
          <t>None</t>
        </is>
      </c>
      <c r="AX514" s="17" t="n"/>
      <c r="AY514" s="16" t="n"/>
      <c r="AZ514" s="20" t="inlineStr">
        <is>
          <t>IC Anionen</t>
        </is>
      </c>
      <c r="BA514" s="20" t="inlineStr">
        <is>
          <t>None</t>
        </is>
      </c>
      <c r="BB514" s="17" t="n"/>
      <c r="BC514" s="16" t="n"/>
      <c r="BD514" s="20" t="inlineStr">
        <is>
          <t>IC Kationen</t>
        </is>
      </c>
      <c r="BE514" s="20" t="inlineStr">
        <is>
          <t>None</t>
        </is>
      </c>
      <c r="BF514" s="17" t="n"/>
      <c r="BG514" s="16" t="n"/>
      <c r="BH514" s="20" t="inlineStr">
        <is>
          <t>IC Kationen</t>
        </is>
      </c>
      <c r="BI514" s="20" t="inlineStr">
        <is>
          <t>None</t>
        </is>
      </c>
      <c r="BJ514" s="17" t="n"/>
      <c r="BK514" s="16" t="n"/>
      <c r="BL514" s="20" t="inlineStr">
        <is>
          <t>IC Kationen</t>
        </is>
      </c>
      <c r="BM514" s="20" t="inlineStr">
        <is>
          <t>None</t>
        </is>
      </c>
      <c r="BN514" s="17" t="n"/>
      <c r="BO514" s="16" t="n"/>
      <c r="BP514" s="20" t="inlineStr">
        <is>
          <t>IC Kationen</t>
        </is>
      </c>
      <c r="BQ514" s="20" t="inlineStr">
        <is>
          <t>None</t>
        </is>
      </c>
      <c r="BR514" s="17" t="n"/>
      <c r="BS514" s="16" t="n"/>
      <c r="BT514" s="20" t="inlineStr">
        <is>
          <t>IC Kationen</t>
        </is>
      </c>
      <c r="BU514" s="20" t="inlineStr">
        <is>
          <t>None</t>
        </is>
      </c>
      <c r="BV514" s="17" t="n"/>
      <c r="BW514" s="16" t="n"/>
      <c r="BX514" s="20" t="n"/>
      <c r="BY514" s="20" t="inlineStr">
        <is>
          <t>None</t>
        </is>
      </c>
      <c r="BZ514" s="17" t="n"/>
      <c r="CA514" s="16" t="n"/>
      <c r="CB514" s="20" t="n"/>
      <c r="CC514" s="20" t="inlineStr">
        <is>
          <t>None</t>
        </is>
      </c>
      <c r="CD514" s="17" t="n"/>
      <c r="CE514" s="16" t="n"/>
      <c r="CF514" s="20" t="n"/>
      <c r="CG514" s="20" t="inlineStr">
        <is>
          <t>None</t>
        </is>
      </c>
      <c r="CH514" s="17" t="n"/>
      <c r="CI514" s="16" t="n"/>
      <c r="CJ514" s="20" t="n"/>
      <c r="CK514" s="20" t="inlineStr">
        <is>
          <t>None</t>
        </is>
      </c>
      <c r="CL514" s="17" t="n"/>
      <c r="CM514" s="16" t="n"/>
      <c r="CN514" s="20" t="inlineStr">
        <is>
          <t>SOP 45-34</t>
        </is>
      </c>
      <c r="CO514" s="20" t="inlineStr">
        <is>
          <t>None</t>
        </is>
      </c>
      <c r="CP514" s="17" t="n"/>
      <c r="CQ514" s="16" t="n"/>
      <c r="CR514" s="20" t="n"/>
      <c r="CS514" s="20" t="inlineStr">
        <is>
          <t>None</t>
        </is>
      </c>
      <c r="CT514" s="17" t="n"/>
      <c r="CU514" s="16" t="n"/>
      <c r="CV514" s="20" t="n"/>
      <c r="CW514" s="20" t="inlineStr">
        <is>
          <t>None</t>
        </is>
      </c>
      <c r="CX514" s="17" t="n"/>
      <c r="CY514" s="16" t="n"/>
      <c r="CZ514" s="20" t="inlineStr">
        <is>
          <t>WTW Multimeter 3430 with FDO 925</t>
        </is>
      </c>
      <c r="DA514" s="20" t="inlineStr">
        <is>
          <t>None</t>
        </is>
      </c>
      <c r="DB514" s="17" t="n"/>
      <c r="DC514" s="16" t="n"/>
      <c r="DD514" s="20" t="n"/>
      <c r="DE514" s="20" t="inlineStr">
        <is>
          <t>None</t>
        </is>
      </c>
      <c r="DF514" s="17" t="n"/>
      <c r="DG514" s="16" t="n"/>
      <c r="DH514" s="20" t="inlineStr">
        <is>
          <t>SOP 45-09</t>
        </is>
      </c>
      <c r="DI514" s="20" t="inlineStr">
        <is>
          <t>None</t>
        </is>
      </c>
      <c r="DJ514" s="17" t="n"/>
      <c r="DK514" s="16" t="n"/>
      <c r="DL514" s="20" t="inlineStr">
        <is>
          <t>SOP 45-09 (SOP muss noch angepasst werden für VSS)</t>
        </is>
      </c>
      <c r="DM514" s="20" t="inlineStr">
        <is>
          <t>None</t>
        </is>
      </c>
      <c r="DN514" s="17" t="n"/>
      <c r="DO514" s="16" t="n"/>
      <c r="DP514" s="20" t="inlineStr">
        <is>
          <t>IC Organic Acids</t>
        </is>
      </c>
      <c r="DQ514" s="20" t="inlineStr">
        <is>
          <t>None</t>
        </is>
      </c>
      <c r="DR514" s="17" t="n"/>
      <c r="DS514" s="16" t="n"/>
      <c r="DT514" s="20" t="inlineStr">
        <is>
          <t>IC Organic Acids</t>
        </is>
      </c>
      <c r="DU514" s="20" t="inlineStr">
        <is>
          <t>None</t>
        </is>
      </c>
      <c r="DV514" s="17" t="n"/>
      <c r="DW514" s="16" t="n"/>
      <c r="DX514" s="20" t="inlineStr">
        <is>
          <t>IC Organic Acids</t>
        </is>
      </c>
      <c r="DY514" s="20" t="inlineStr">
        <is>
          <t>None</t>
        </is>
      </c>
      <c r="DZ514" s="17" t="n"/>
      <c r="EA514" s="16" t="n"/>
      <c r="EB514" s="20" t="inlineStr">
        <is>
          <t>IC Organic Acids</t>
        </is>
      </c>
      <c r="EC514" s="20" t="inlineStr">
        <is>
          <t>None</t>
        </is>
      </c>
      <c r="ED514" s="17" t="n"/>
      <c r="EE514" s="16" t="n"/>
      <c r="EF514" s="20" t="inlineStr">
        <is>
          <t>IC Organic Acids</t>
        </is>
      </c>
      <c r="EG514" s="20" t="inlineStr">
        <is>
          <t>None</t>
        </is>
      </c>
      <c r="EH514" s="17" t="n"/>
      <c r="EI514" s="16" t="n"/>
      <c r="EJ514" s="20" t="inlineStr">
        <is>
          <t>IC Organic Acids</t>
        </is>
      </c>
      <c r="EK514" s="20" t="inlineStr">
        <is>
          <t>None</t>
        </is>
      </c>
      <c r="EL514" s="17" t="n"/>
      <c r="EM514" s="16" t="n"/>
      <c r="EN514" s="20" t="inlineStr">
        <is>
          <t>IC Organic Acids</t>
        </is>
      </c>
      <c r="EO514" s="20" t="inlineStr">
        <is>
          <t>None</t>
        </is>
      </c>
      <c r="EP514" s="17" t="n"/>
      <c r="EQ514" s="16" t="n"/>
      <c r="ER514" s="20" t="inlineStr">
        <is>
          <t>IC Organic Acids</t>
        </is>
      </c>
      <c r="ES514" s="20" t="inlineStr">
        <is>
          <t>None</t>
        </is>
      </c>
      <c r="ET514" s="17" t="n"/>
      <c r="EU514" s="16" t="n"/>
      <c r="EV514" s="20" t="inlineStr">
        <is>
          <t>LC-MS</t>
        </is>
      </c>
      <c r="EW514" s="20" t="inlineStr">
        <is>
          <t>None</t>
        </is>
      </c>
      <c r="EX514" s="17" t="n"/>
      <c r="EY514" s="21" t="n"/>
      <c r="EZ514">
        <f>CONCATENATE(A514,B514)</f>
        <v/>
      </c>
      <c r="FA514">
        <f>CONCATENATE(SamplesX!A514,SamplesX!B514)</f>
        <v/>
      </c>
      <c r="FC514">
        <f>MATCH(EZ514,FA1:FA1008,0)</f>
        <v/>
      </c>
    </row>
    <row r="515">
      <c r="A515" s="16" t="n"/>
      <c r="B515" s="17" t="n"/>
      <c r="C515" s="10">
        <f>IF(ISNUMBER(FC515),INDIRECT("SamplesX!C"&amp;FC515),IF(ISNUMBER(FD515),INDIRECT("SamplesY!C"&amp;FD515),""))</f>
        <v/>
      </c>
      <c r="D515" s="12">
        <f>IF(ISNUMBER(FC515),INDIRECT("SamplesX!D"&amp;FC515),IF(ISNUMBER(FD515),INDIRECT("SamplesY!D"&amp;FD515),""))</f>
        <v/>
      </c>
      <c r="E515" s="12">
        <f>IF(ISNUMBER(FC515),INDIRECT("SamplesX!E"&amp;FC515),IF(ISNUMBER(FD515),INDIRECT("SamplesY!E"&amp;FD515),""))</f>
        <v/>
      </c>
      <c r="F515" s="11">
        <f>IF(ISNUMBER(FC515),INDIRECT("SamplesX!F"&amp;FC515),IF(ISNUMBER(FD515),INDIRECT("SamplesY!F"&amp;FD515),""))</f>
        <v/>
      </c>
      <c r="G515" s="18">
        <f>IF(ISNUMBER(FC515),INDIRECT("SamplesX!G"&amp;FC515),IF(ISNUMBER(FD515),INDIRECT("SamplesY!G"&amp;FD515),""))</f>
        <v/>
      </c>
      <c r="H515" s="19">
        <f>IF(ISNUMBER(FC515),INDIRECT("SamplesX!H"&amp;FC515),IF(ISNUMBER(FD515),INDIRECT("SamplesY!H"&amp;FD515),""))</f>
        <v/>
      </c>
      <c r="I515" s="16" t="n"/>
      <c r="J515" s="16" t="n"/>
      <c r="K515" s="16" t="n"/>
      <c r="L515" s="20" t="n"/>
      <c r="M515" s="20" t="inlineStr">
        <is>
          <t>None</t>
        </is>
      </c>
      <c r="N515" s="17" t="n"/>
      <c r="O515" s="16" t="n"/>
      <c r="P515" s="20" t="inlineStr">
        <is>
          <t>Shimadzu TOC-L</t>
        </is>
      </c>
      <c r="Q515" s="20" t="inlineStr">
        <is>
          <t>None</t>
        </is>
      </c>
      <c r="R515" s="17" t="n"/>
      <c r="S515" s="16" t="n"/>
      <c r="T515" s="20" t="inlineStr">
        <is>
          <t>Shimadzu TOC-L</t>
        </is>
      </c>
      <c r="U515" s="20" t="inlineStr">
        <is>
          <t>None</t>
        </is>
      </c>
      <c r="V515" s="17" t="n"/>
      <c r="W515" s="16" t="n"/>
      <c r="X515" s="20" t="n"/>
      <c r="Y515" s="20" t="inlineStr">
        <is>
          <t>None</t>
        </is>
      </c>
      <c r="Z515" s="17" t="n"/>
      <c r="AA515" s="16" t="n"/>
      <c r="AB515" s="20" t="n"/>
      <c r="AC515" s="20" t="inlineStr">
        <is>
          <t>None</t>
        </is>
      </c>
      <c r="AD515" s="17" t="n"/>
      <c r="AE515" s="16" t="n"/>
      <c r="AF515" s="20" t="inlineStr">
        <is>
          <t>IC Anionen</t>
        </is>
      </c>
      <c r="AG515" s="20" t="inlineStr">
        <is>
          <t>None</t>
        </is>
      </c>
      <c r="AH515" s="17" t="n"/>
      <c r="AI515" s="16" t="n"/>
      <c r="AJ515" s="20" t="n"/>
      <c r="AK515" s="20" t="inlineStr">
        <is>
          <t>None</t>
        </is>
      </c>
      <c r="AL515" s="17" t="n"/>
      <c r="AM515" s="16" t="n"/>
      <c r="AN515" s="20" t="inlineStr">
        <is>
          <t>IC Anionen</t>
        </is>
      </c>
      <c r="AO515" s="20" t="inlineStr">
        <is>
          <t>None</t>
        </is>
      </c>
      <c r="AP515" s="17" t="n"/>
      <c r="AQ515" s="16" t="n"/>
      <c r="AR515" s="20" t="n"/>
      <c r="AS515" s="20" t="inlineStr">
        <is>
          <t>None</t>
        </is>
      </c>
      <c r="AT515" s="17" t="n"/>
      <c r="AU515" s="16" t="n"/>
      <c r="AV515" s="20" t="n"/>
      <c r="AW515" s="20" t="inlineStr">
        <is>
          <t>None</t>
        </is>
      </c>
      <c r="AX515" s="17" t="n"/>
      <c r="AY515" s="16" t="n"/>
      <c r="AZ515" s="20" t="inlineStr">
        <is>
          <t>IC Anionen</t>
        </is>
      </c>
      <c r="BA515" s="20" t="inlineStr">
        <is>
          <t>None</t>
        </is>
      </c>
      <c r="BB515" s="17" t="n"/>
      <c r="BC515" s="16" t="n"/>
      <c r="BD515" s="20" t="inlineStr">
        <is>
          <t>IC Kationen</t>
        </is>
      </c>
      <c r="BE515" s="20" t="inlineStr">
        <is>
          <t>None</t>
        </is>
      </c>
      <c r="BF515" s="17" t="n"/>
      <c r="BG515" s="16" t="n"/>
      <c r="BH515" s="20" t="inlineStr">
        <is>
          <t>IC Kationen</t>
        </is>
      </c>
      <c r="BI515" s="20" t="inlineStr">
        <is>
          <t>None</t>
        </is>
      </c>
      <c r="BJ515" s="17" t="n"/>
      <c r="BK515" s="16" t="n"/>
      <c r="BL515" s="20" t="inlineStr">
        <is>
          <t>IC Kationen</t>
        </is>
      </c>
      <c r="BM515" s="20" t="inlineStr">
        <is>
          <t>None</t>
        </is>
      </c>
      <c r="BN515" s="17" t="n"/>
      <c r="BO515" s="16" t="n"/>
      <c r="BP515" s="20" t="inlineStr">
        <is>
          <t>IC Kationen</t>
        </is>
      </c>
      <c r="BQ515" s="20" t="inlineStr">
        <is>
          <t>None</t>
        </is>
      </c>
      <c r="BR515" s="17" t="n"/>
      <c r="BS515" s="16" t="n"/>
      <c r="BT515" s="20" t="inlineStr">
        <is>
          <t>IC Kationen</t>
        </is>
      </c>
      <c r="BU515" s="20" t="inlineStr">
        <is>
          <t>None</t>
        </is>
      </c>
      <c r="BV515" s="17" t="n"/>
      <c r="BW515" s="16" t="n"/>
      <c r="BX515" s="20" t="n"/>
      <c r="BY515" s="20" t="inlineStr">
        <is>
          <t>None</t>
        </is>
      </c>
      <c r="BZ515" s="17" t="n"/>
      <c r="CA515" s="16" t="n"/>
      <c r="CB515" s="20" t="n"/>
      <c r="CC515" s="20" t="inlineStr">
        <is>
          <t>None</t>
        </is>
      </c>
      <c r="CD515" s="17" t="n"/>
      <c r="CE515" s="16" t="n"/>
      <c r="CF515" s="20" t="n"/>
      <c r="CG515" s="20" t="inlineStr">
        <is>
          <t>None</t>
        </is>
      </c>
      <c r="CH515" s="17" t="n"/>
      <c r="CI515" s="16" t="n"/>
      <c r="CJ515" s="20" t="n"/>
      <c r="CK515" s="20" t="inlineStr">
        <is>
          <t>None</t>
        </is>
      </c>
      <c r="CL515" s="17" t="n"/>
      <c r="CM515" s="16" t="n"/>
      <c r="CN515" s="20" t="inlineStr">
        <is>
          <t>SOP 45-34</t>
        </is>
      </c>
      <c r="CO515" s="20" t="inlineStr">
        <is>
          <t>None</t>
        </is>
      </c>
      <c r="CP515" s="17" t="n"/>
      <c r="CQ515" s="16" t="n"/>
      <c r="CR515" s="20" t="n"/>
      <c r="CS515" s="20" t="inlineStr">
        <is>
          <t>None</t>
        </is>
      </c>
      <c r="CT515" s="17" t="n"/>
      <c r="CU515" s="16" t="n"/>
      <c r="CV515" s="20" t="n"/>
      <c r="CW515" s="20" t="inlineStr">
        <is>
          <t>None</t>
        </is>
      </c>
      <c r="CX515" s="17" t="n"/>
      <c r="CY515" s="16" t="n"/>
      <c r="CZ515" s="20" t="inlineStr">
        <is>
          <t>WTW Multimeter 3430 with FDO 925</t>
        </is>
      </c>
      <c r="DA515" s="20" t="inlineStr">
        <is>
          <t>None</t>
        </is>
      </c>
      <c r="DB515" s="17" t="n"/>
      <c r="DC515" s="16" t="n"/>
      <c r="DD515" s="20" t="n"/>
      <c r="DE515" s="20" t="inlineStr">
        <is>
          <t>None</t>
        </is>
      </c>
      <c r="DF515" s="17" t="n"/>
      <c r="DG515" s="16" t="n"/>
      <c r="DH515" s="20" t="inlineStr">
        <is>
          <t>SOP 45-09</t>
        </is>
      </c>
      <c r="DI515" s="20" t="inlineStr">
        <is>
          <t>None</t>
        </is>
      </c>
      <c r="DJ515" s="17" t="n"/>
      <c r="DK515" s="16" t="n"/>
      <c r="DL515" s="20" t="inlineStr">
        <is>
          <t>SOP 45-09 (SOP muss noch angepasst werden für VSS)</t>
        </is>
      </c>
      <c r="DM515" s="20" t="inlineStr">
        <is>
          <t>None</t>
        </is>
      </c>
      <c r="DN515" s="17" t="n"/>
      <c r="DO515" s="16" t="n"/>
      <c r="DP515" s="20" t="inlineStr">
        <is>
          <t>IC Organic Acids</t>
        </is>
      </c>
      <c r="DQ515" s="20" t="inlineStr">
        <is>
          <t>None</t>
        </is>
      </c>
      <c r="DR515" s="17" t="n"/>
      <c r="DS515" s="16" t="n"/>
      <c r="DT515" s="20" t="inlineStr">
        <is>
          <t>IC Organic Acids</t>
        </is>
      </c>
      <c r="DU515" s="20" t="inlineStr">
        <is>
          <t>None</t>
        </is>
      </c>
      <c r="DV515" s="17" t="n"/>
      <c r="DW515" s="16" t="n"/>
      <c r="DX515" s="20" t="inlineStr">
        <is>
          <t>IC Organic Acids</t>
        </is>
      </c>
      <c r="DY515" s="20" t="inlineStr">
        <is>
          <t>None</t>
        </is>
      </c>
      <c r="DZ515" s="17" t="n"/>
      <c r="EA515" s="16" t="n"/>
      <c r="EB515" s="20" t="inlineStr">
        <is>
          <t>IC Organic Acids</t>
        </is>
      </c>
      <c r="EC515" s="20" t="inlineStr">
        <is>
          <t>None</t>
        </is>
      </c>
      <c r="ED515" s="17" t="n"/>
      <c r="EE515" s="16" t="n"/>
      <c r="EF515" s="20" t="inlineStr">
        <is>
          <t>IC Organic Acids</t>
        </is>
      </c>
      <c r="EG515" s="20" t="inlineStr">
        <is>
          <t>None</t>
        </is>
      </c>
      <c r="EH515" s="17" t="n"/>
      <c r="EI515" s="16" t="n"/>
      <c r="EJ515" s="20" t="inlineStr">
        <is>
          <t>IC Organic Acids</t>
        </is>
      </c>
      <c r="EK515" s="20" t="inlineStr">
        <is>
          <t>None</t>
        </is>
      </c>
      <c r="EL515" s="17" t="n"/>
      <c r="EM515" s="16" t="n"/>
      <c r="EN515" s="20" t="inlineStr">
        <is>
          <t>IC Organic Acids</t>
        </is>
      </c>
      <c r="EO515" s="20" t="inlineStr">
        <is>
          <t>None</t>
        </is>
      </c>
      <c r="EP515" s="17" t="n"/>
      <c r="EQ515" s="16" t="n"/>
      <c r="ER515" s="20" t="inlineStr">
        <is>
          <t>IC Organic Acids</t>
        </is>
      </c>
      <c r="ES515" s="20" t="inlineStr">
        <is>
          <t>None</t>
        </is>
      </c>
      <c r="ET515" s="17" t="n"/>
      <c r="EU515" s="16" t="n"/>
      <c r="EV515" s="20" t="inlineStr">
        <is>
          <t>LC-MS</t>
        </is>
      </c>
      <c r="EW515" s="20" t="inlineStr">
        <is>
          <t>None</t>
        </is>
      </c>
      <c r="EX515" s="17" t="n"/>
      <c r="EY515" s="21" t="n"/>
      <c r="EZ515">
        <f>CONCATENATE(A515,B515)</f>
        <v/>
      </c>
      <c r="FA515">
        <f>CONCATENATE(SamplesX!A515,SamplesX!B515)</f>
        <v/>
      </c>
      <c r="FC515">
        <f>MATCH(EZ515,FA1:FA1008,0)</f>
        <v/>
      </c>
    </row>
    <row r="516">
      <c r="A516" s="16" t="n"/>
      <c r="B516" s="17" t="n"/>
      <c r="C516" s="10">
        <f>IF(ISNUMBER(FC516),INDIRECT("SamplesX!C"&amp;FC516),IF(ISNUMBER(FD516),INDIRECT("SamplesY!C"&amp;FD516),""))</f>
        <v/>
      </c>
      <c r="D516" s="12">
        <f>IF(ISNUMBER(FC516),INDIRECT("SamplesX!D"&amp;FC516),IF(ISNUMBER(FD516),INDIRECT("SamplesY!D"&amp;FD516),""))</f>
        <v/>
      </c>
      <c r="E516" s="12">
        <f>IF(ISNUMBER(FC516),INDIRECT("SamplesX!E"&amp;FC516),IF(ISNUMBER(FD516),INDIRECT("SamplesY!E"&amp;FD516),""))</f>
        <v/>
      </c>
      <c r="F516" s="11">
        <f>IF(ISNUMBER(FC516),INDIRECT("SamplesX!F"&amp;FC516),IF(ISNUMBER(FD516),INDIRECT("SamplesY!F"&amp;FD516),""))</f>
        <v/>
      </c>
      <c r="G516" s="18">
        <f>IF(ISNUMBER(FC516),INDIRECT("SamplesX!G"&amp;FC516),IF(ISNUMBER(FD516),INDIRECT("SamplesY!G"&amp;FD516),""))</f>
        <v/>
      </c>
      <c r="H516" s="19">
        <f>IF(ISNUMBER(FC516),INDIRECT("SamplesX!H"&amp;FC516),IF(ISNUMBER(FD516),INDIRECT("SamplesY!H"&amp;FD516),""))</f>
        <v/>
      </c>
      <c r="I516" s="16" t="n"/>
      <c r="J516" s="16" t="n"/>
      <c r="K516" s="16" t="n"/>
      <c r="L516" s="20" t="n"/>
      <c r="M516" s="20" t="inlineStr">
        <is>
          <t>None</t>
        </is>
      </c>
      <c r="N516" s="17" t="n"/>
      <c r="O516" s="16" t="n"/>
      <c r="P516" s="20" t="inlineStr">
        <is>
          <t>Shimadzu TOC-L</t>
        </is>
      </c>
      <c r="Q516" s="20" t="inlineStr">
        <is>
          <t>None</t>
        </is>
      </c>
      <c r="R516" s="17" t="n"/>
      <c r="S516" s="16" t="n"/>
      <c r="T516" s="20" t="inlineStr">
        <is>
          <t>Shimadzu TOC-L</t>
        </is>
      </c>
      <c r="U516" s="20" t="inlineStr">
        <is>
          <t>None</t>
        </is>
      </c>
      <c r="V516" s="17" t="n"/>
      <c r="W516" s="16" t="n"/>
      <c r="X516" s="20" t="n"/>
      <c r="Y516" s="20" t="inlineStr">
        <is>
          <t>None</t>
        </is>
      </c>
      <c r="Z516" s="17" t="n"/>
      <c r="AA516" s="16" t="n"/>
      <c r="AB516" s="20" t="n"/>
      <c r="AC516" s="20" t="inlineStr">
        <is>
          <t>None</t>
        </is>
      </c>
      <c r="AD516" s="17" t="n"/>
      <c r="AE516" s="16" t="n"/>
      <c r="AF516" s="20" t="inlineStr">
        <is>
          <t>IC Anionen</t>
        </is>
      </c>
      <c r="AG516" s="20" t="inlineStr">
        <is>
          <t>None</t>
        </is>
      </c>
      <c r="AH516" s="17" t="n"/>
      <c r="AI516" s="16" t="n"/>
      <c r="AJ516" s="20" t="n"/>
      <c r="AK516" s="20" t="inlineStr">
        <is>
          <t>None</t>
        </is>
      </c>
      <c r="AL516" s="17" t="n"/>
      <c r="AM516" s="16" t="n"/>
      <c r="AN516" s="20" t="inlineStr">
        <is>
          <t>IC Anionen</t>
        </is>
      </c>
      <c r="AO516" s="20" t="inlineStr">
        <is>
          <t>None</t>
        </is>
      </c>
      <c r="AP516" s="17" t="n"/>
      <c r="AQ516" s="16" t="n"/>
      <c r="AR516" s="20" t="n"/>
      <c r="AS516" s="20" t="inlineStr">
        <is>
          <t>None</t>
        </is>
      </c>
      <c r="AT516" s="17" t="n"/>
      <c r="AU516" s="16" t="n"/>
      <c r="AV516" s="20" t="n"/>
      <c r="AW516" s="20" t="inlineStr">
        <is>
          <t>None</t>
        </is>
      </c>
      <c r="AX516" s="17" t="n"/>
      <c r="AY516" s="16" t="n"/>
      <c r="AZ516" s="20" t="inlineStr">
        <is>
          <t>IC Anionen</t>
        </is>
      </c>
      <c r="BA516" s="20" t="inlineStr">
        <is>
          <t>None</t>
        </is>
      </c>
      <c r="BB516" s="17" t="n"/>
      <c r="BC516" s="16" t="n"/>
      <c r="BD516" s="20" t="inlineStr">
        <is>
          <t>IC Kationen</t>
        </is>
      </c>
      <c r="BE516" s="20" t="inlineStr">
        <is>
          <t>None</t>
        </is>
      </c>
      <c r="BF516" s="17" t="n"/>
      <c r="BG516" s="16" t="n"/>
      <c r="BH516" s="20" t="inlineStr">
        <is>
          <t>IC Kationen</t>
        </is>
      </c>
      <c r="BI516" s="20" t="inlineStr">
        <is>
          <t>None</t>
        </is>
      </c>
      <c r="BJ516" s="17" t="n"/>
      <c r="BK516" s="16" t="n"/>
      <c r="BL516" s="20" t="inlineStr">
        <is>
          <t>IC Kationen</t>
        </is>
      </c>
      <c r="BM516" s="20" t="inlineStr">
        <is>
          <t>None</t>
        </is>
      </c>
      <c r="BN516" s="17" t="n"/>
      <c r="BO516" s="16" t="n"/>
      <c r="BP516" s="20" t="inlineStr">
        <is>
          <t>IC Kationen</t>
        </is>
      </c>
      <c r="BQ516" s="20" t="inlineStr">
        <is>
          <t>None</t>
        </is>
      </c>
      <c r="BR516" s="17" t="n"/>
      <c r="BS516" s="16" t="n"/>
      <c r="BT516" s="20" t="inlineStr">
        <is>
          <t>IC Kationen</t>
        </is>
      </c>
      <c r="BU516" s="20" t="inlineStr">
        <is>
          <t>None</t>
        </is>
      </c>
      <c r="BV516" s="17" t="n"/>
      <c r="BW516" s="16" t="n"/>
      <c r="BX516" s="20" t="n"/>
      <c r="BY516" s="20" t="inlineStr">
        <is>
          <t>None</t>
        </is>
      </c>
      <c r="BZ516" s="17" t="n"/>
      <c r="CA516" s="16" t="n"/>
      <c r="CB516" s="20" t="n"/>
      <c r="CC516" s="20" t="inlineStr">
        <is>
          <t>None</t>
        </is>
      </c>
      <c r="CD516" s="17" t="n"/>
      <c r="CE516" s="16" t="n"/>
      <c r="CF516" s="20" t="n"/>
      <c r="CG516" s="20" t="inlineStr">
        <is>
          <t>None</t>
        </is>
      </c>
      <c r="CH516" s="17" t="n"/>
      <c r="CI516" s="16" t="n"/>
      <c r="CJ516" s="20" t="n"/>
      <c r="CK516" s="20" t="inlineStr">
        <is>
          <t>None</t>
        </is>
      </c>
      <c r="CL516" s="17" t="n"/>
      <c r="CM516" s="16" t="n"/>
      <c r="CN516" s="20" t="inlineStr">
        <is>
          <t>SOP 45-34</t>
        </is>
      </c>
      <c r="CO516" s="20" t="inlineStr">
        <is>
          <t>None</t>
        </is>
      </c>
      <c r="CP516" s="17" t="n"/>
      <c r="CQ516" s="16" t="n"/>
      <c r="CR516" s="20" t="n"/>
      <c r="CS516" s="20" t="inlineStr">
        <is>
          <t>None</t>
        </is>
      </c>
      <c r="CT516" s="17" t="n"/>
      <c r="CU516" s="16" t="n"/>
      <c r="CV516" s="20" t="n"/>
      <c r="CW516" s="20" t="inlineStr">
        <is>
          <t>None</t>
        </is>
      </c>
      <c r="CX516" s="17" t="n"/>
      <c r="CY516" s="16" t="n"/>
      <c r="CZ516" s="20" t="inlineStr">
        <is>
          <t>WTW Multimeter 3430 with FDO 925</t>
        </is>
      </c>
      <c r="DA516" s="20" t="inlineStr">
        <is>
          <t>None</t>
        </is>
      </c>
      <c r="DB516" s="17" t="n"/>
      <c r="DC516" s="16" t="n"/>
      <c r="DD516" s="20" t="n"/>
      <c r="DE516" s="20" t="inlineStr">
        <is>
          <t>None</t>
        </is>
      </c>
      <c r="DF516" s="17" t="n"/>
      <c r="DG516" s="16" t="n"/>
      <c r="DH516" s="20" t="inlineStr">
        <is>
          <t>SOP 45-09</t>
        </is>
      </c>
      <c r="DI516" s="20" t="inlineStr">
        <is>
          <t>None</t>
        </is>
      </c>
      <c r="DJ516" s="17" t="n"/>
      <c r="DK516" s="16" t="n"/>
      <c r="DL516" s="20" t="inlineStr">
        <is>
          <t>SOP 45-09 (SOP muss noch angepasst werden für VSS)</t>
        </is>
      </c>
      <c r="DM516" s="20" t="inlineStr">
        <is>
          <t>None</t>
        </is>
      </c>
      <c r="DN516" s="17" t="n"/>
      <c r="DO516" s="16" t="n"/>
      <c r="DP516" s="20" t="inlineStr">
        <is>
          <t>IC Organic Acids</t>
        </is>
      </c>
      <c r="DQ516" s="20" t="inlineStr">
        <is>
          <t>None</t>
        </is>
      </c>
      <c r="DR516" s="17" t="n"/>
      <c r="DS516" s="16" t="n"/>
      <c r="DT516" s="20" t="inlineStr">
        <is>
          <t>IC Organic Acids</t>
        </is>
      </c>
      <c r="DU516" s="20" t="inlineStr">
        <is>
          <t>None</t>
        </is>
      </c>
      <c r="DV516" s="17" t="n"/>
      <c r="DW516" s="16" t="n"/>
      <c r="DX516" s="20" t="inlineStr">
        <is>
          <t>IC Organic Acids</t>
        </is>
      </c>
      <c r="DY516" s="20" t="inlineStr">
        <is>
          <t>None</t>
        </is>
      </c>
      <c r="DZ516" s="17" t="n"/>
      <c r="EA516" s="16" t="n"/>
      <c r="EB516" s="20" t="inlineStr">
        <is>
          <t>IC Organic Acids</t>
        </is>
      </c>
      <c r="EC516" s="20" t="inlineStr">
        <is>
          <t>None</t>
        </is>
      </c>
      <c r="ED516" s="17" t="n"/>
      <c r="EE516" s="16" t="n"/>
      <c r="EF516" s="20" t="inlineStr">
        <is>
          <t>IC Organic Acids</t>
        </is>
      </c>
      <c r="EG516" s="20" t="inlineStr">
        <is>
          <t>None</t>
        </is>
      </c>
      <c r="EH516" s="17" t="n"/>
      <c r="EI516" s="16" t="n"/>
      <c r="EJ516" s="20" t="inlineStr">
        <is>
          <t>IC Organic Acids</t>
        </is>
      </c>
      <c r="EK516" s="20" t="inlineStr">
        <is>
          <t>None</t>
        </is>
      </c>
      <c r="EL516" s="17" t="n"/>
      <c r="EM516" s="16" t="n"/>
      <c r="EN516" s="20" t="inlineStr">
        <is>
          <t>IC Organic Acids</t>
        </is>
      </c>
      <c r="EO516" s="20" t="inlineStr">
        <is>
          <t>None</t>
        </is>
      </c>
      <c r="EP516" s="17" t="n"/>
      <c r="EQ516" s="16" t="n"/>
      <c r="ER516" s="20" t="inlineStr">
        <is>
          <t>IC Organic Acids</t>
        </is>
      </c>
      <c r="ES516" s="20" t="inlineStr">
        <is>
          <t>None</t>
        </is>
      </c>
      <c r="ET516" s="17" t="n"/>
      <c r="EU516" s="16" t="n"/>
      <c r="EV516" s="20" t="inlineStr">
        <is>
          <t>LC-MS</t>
        </is>
      </c>
      <c r="EW516" s="20" t="inlineStr">
        <is>
          <t>None</t>
        </is>
      </c>
      <c r="EX516" s="17" t="n"/>
      <c r="EY516" s="21" t="n"/>
      <c r="EZ516">
        <f>CONCATENATE(A516,B516)</f>
        <v/>
      </c>
      <c r="FA516">
        <f>CONCATENATE(SamplesX!A516,SamplesX!B516)</f>
        <v/>
      </c>
      <c r="FC516">
        <f>MATCH(EZ516,FA1:FA1008,0)</f>
        <v/>
      </c>
    </row>
    <row r="517">
      <c r="A517" s="16" t="n"/>
      <c r="B517" s="17" t="n"/>
      <c r="C517" s="10">
        <f>IF(ISNUMBER(FC517),INDIRECT("SamplesX!C"&amp;FC517),IF(ISNUMBER(FD517),INDIRECT("SamplesY!C"&amp;FD517),""))</f>
        <v/>
      </c>
      <c r="D517" s="12">
        <f>IF(ISNUMBER(FC517),INDIRECT("SamplesX!D"&amp;FC517),IF(ISNUMBER(FD517),INDIRECT("SamplesY!D"&amp;FD517),""))</f>
        <v/>
      </c>
      <c r="E517" s="12">
        <f>IF(ISNUMBER(FC517),INDIRECT("SamplesX!E"&amp;FC517),IF(ISNUMBER(FD517),INDIRECT("SamplesY!E"&amp;FD517),""))</f>
        <v/>
      </c>
      <c r="F517" s="11">
        <f>IF(ISNUMBER(FC517),INDIRECT("SamplesX!F"&amp;FC517),IF(ISNUMBER(FD517),INDIRECT("SamplesY!F"&amp;FD517),""))</f>
        <v/>
      </c>
      <c r="G517" s="18">
        <f>IF(ISNUMBER(FC517),INDIRECT("SamplesX!G"&amp;FC517),IF(ISNUMBER(FD517),INDIRECT("SamplesY!G"&amp;FD517),""))</f>
        <v/>
      </c>
      <c r="H517" s="19">
        <f>IF(ISNUMBER(FC517),INDIRECT("SamplesX!H"&amp;FC517),IF(ISNUMBER(FD517),INDIRECT("SamplesY!H"&amp;FD517),""))</f>
        <v/>
      </c>
      <c r="I517" s="16" t="n"/>
      <c r="J517" s="16" t="n"/>
      <c r="K517" s="16" t="n"/>
      <c r="L517" s="20" t="n"/>
      <c r="M517" s="20" t="inlineStr">
        <is>
          <t>None</t>
        </is>
      </c>
      <c r="N517" s="17" t="n"/>
      <c r="O517" s="16" t="n"/>
      <c r="P517" s="20" t="inlineStr">
        <is>
          <t>Shimadzu TOC-L</t>
        </is>
      </c>
      <c r="Q517" s="20" t="inlineStr">
        <is>
          <t>None</t>
        </is>
      </c>
      <c r="R517" s="17" t="n"/>
      <c r="S517" s="16" t="n"/>
      <c r="T517" s="20" t="inlineStr">
        <is>
          <t>Shimadzu TOC-L</t>
        </is>
      </c>
      <c r="U517" s="20" t="inlineStr">
        <is>
          <t>None</t>
        </is>
      </c>
      <c r="V517" s="17" t="n"/>
      <c r="W517" s="16" t="n"/>
      <c r="X517" s="20" t="n"/>
      <c r="Y517" s="20" t="inlineStr">
        <is>
          <t>None</t>
        </is>
      </c>
      <c r="Z517" s="17" t="n"/>
      <c r="AA517" s="16" t="n"/>
      <c r="AB517" s="20" t="n"/>
      <c r="AC517" s="20" t="inlineStr">
        <is>
          <t>None</t>
        </is>
      </c>
      <c r="AD517" s="17" t="n"/>
      <c r="AE517" s="16" t="n"/>
      <c r="AF517" s="20" t="inlineStr">
        <is>
          <t>IC Anionen</t>
        </is>
      </c>
      <c r="AG517" s="20" t="inlineStr">
        <is>
          <t>None</t>
        </is>
      </c>
      <c r="AH517" s="17" t="n"/>
      <c r="AI517" s="16" t="n"/>
      <c r="AJ517" s="20" t="n"/>
      <c r="AK517" s="20" t="inlineStr">
        <is>
          <t>None</t>
        </is>
      </c>
      <c r="AL517" s="17" t="n"/>
      <c r="AM517" s="16" t="n"/>
      <c r="AN517" s="20" t="inlineStr">
        <is>
          <t>IC Anionen</t>
        </is>
      </c>
      <c r="AO517" s="20" t="inlineStr">
        <is>
          <t>None</t>
        </is>
      </c>
      <c r="AP517" s="17" t="n"/>
      <c r="AQ517" s="16" t="n"/>
      <c r="AR517" s="20" t="n"/>
      <c r="AS517" s="20" t="inlineStr">
        <is>
          <t>None</t>
        </is>
      </c>
      <c r="AT517" s="17" t="n"/>
      <c r="AU517" s="16" t="n"/>
      <c r="AV517" s="20" t="n"/>
      <c r="AW517" s="20" t="inlineStr">
        <is>
          <t>None</t>
        </is>
      </c>
      <c r="AX517" s="17" t="n"/>
      <c r="AY517" s="16" t="n"/>
      <c r="AZ517" s="20" t="inlineStr">
        <is>
          <t>IC Anionen</t>
        </is>
      </c>
      <c r="BA517" s="20" t="inlineStr">
        <is>
          <t>None</t>
        </is>
      </c>
      <c r="BB517" s="17" t="n"/>
      <c r="BC517" s="16" t="n"/>
      <c r="BD517" s="20" t="inlineStr">
        <is>
          <t>IC Kationen</t>
        </is>
      </c>
      <c r="BE517" s="20" t="inlineStr">
        <is>
          <t>None</t>
        </is>
      </c>
      <c r="BF517" s="17" t="n"/>
      <c r="BG517" s="16" t="n"/>
      <c r="BH517" s="20" t="inlineStr">
        <is>
          <t>IC Kationen</t>
        </is>
      </c>
      <c r="BI517" s="20" t="inlineStr">
        <is>
          <t>None</t>
        </is>
      </c>
      <c r="BJ517" s="17" t="n"/>
      <c r="BK517" s="16" t="n"/>
      <c r="BL517" s="20" t="inlineStr">
        <is>
          <t>IC Kationen</t>
        </is>
      </c>
      <c r="BM517" s="20" t="inlineStr">
        <is>
          <t>None</t>
        </is>
      </c>
      <c r="BN517" s="17" t="n"/>
      <c r="BO517" s="16" t="n"/>
      <c r="BP517" s="20" t="inlineStr">
        <is>
          <t>IC Kationen</t>
        </is>
      </c>
      <c r="BQ517" s="20" t="inlineStr">
        <is>
          <t>None</t>
        </is>
      </c>
      <c r="BR517" s="17" t="n"/>
      <c r="BS517" s="16" t="n"/>
      <c r="BT517" s="20" t="inlineStr">
        <is>
          <t>IC Kationen</t>
        </is>
      </c>
      <c r="BU517" s="20" t="inlineStr">
        <is>
          <t>None</t>
        </is>
      </c>
      <c r="BV517" s="17" t="n"/>
      <c r="BW517" s="16" t="n"/>
      <c r="BX517" s="20" t="n"/>
      <c r="BY517" s="20" t="inlineStr">
        <is>
          <t>None</t>
        </is>
      </c>
      <c r="BZ517" s="17" t="n"/>
      <c r="CA517" s="16" t="n"/>
      <c r="CB517" s="20" t="n"/>
      <c r="CC517" s="20" t="inlineStr">
        <is>
          <t>None</t>
        </is>
      </c>
      <c r="CD517" s="17" t="n"/>
      <c r="CE517" s="16" t="n"/>
      <c r="CF517" s="20" t="n"/>
      <c r="CG517" s="20" t="inlineStr">
        <is>
          <t>None</t>
        </is>
      </c>
      <c r="CH517" s="17" t="n"/>
      <c r="CI517" s="16" t="n"/>
      <c r="CJ517" s="20" t="n"/>
      <c r="CK517" s="20" t="inlineStr">
        <is>
          <t>None</t>
        </is>
      </c>
      <c r="CL517" s="17" t="n"/>
      <c r="CM517" s="16" t="n"/>
      <c r="CN517" s="20" t="inlineStr">
        <is>
          <t>SOP 45-34</t>
        </is>
      </c>
      <c r="CO517" s="20" t="inlineStr">
        <is>
          <t>None</t>
        </is>
      </c>
      <c r="CP517" s="17" t="n"/>
      <c r="CQ517" s="16" t="n"/>
      <c r="CR517" s="20" t="n"/>
      <c r="CS517" s="20" t="inlineStr">
        <is>
          <t>None</t>
        </is>
      </c>
      <c r="CT517" s="17" t="n"/>
      <c r="CU517" s="16" t="n"/>
      <c r="CV517" s="20" t="n"/>
      <c r="CW517" s="20" t="inlineStr">
        <is>
          <t>None</t>
        </is>
      </c>
      <c r="CX517" s="17" t="n"/>
      <c r="CY517" s="16" t="n"/>
      <c r="CZ517" s="20" t="inlineStr">
        <is>
          <t>WTW Multimeter 3430 with FDO 925</t>
        </is>
      </c>
      <c r="DA517" s="20" t="inlineStr">
        <is>
          <t>None</t>
        </is>
      </c>
      <c r="DB517" s="17" t="n"/>
      <c r="DC517" s="16" t="n"/>
      <c r="DD517" s="20" t="n"/>
      <c r="DE517" s="20" t="inlineStr">
        <is>
          <t>None</t>
        </is>
      </c>
      <c r="DF517" s="17" t="n"/>
      <c r="DG517" s="16" t="n"/>
      <c r="DH517" s="20" t="inlineStr">
        <is>
          <t>SOP 45-09</t>
        </is>
      </c>
      <c r="DI517" s="20" t="inlineStr">
        <is>
          <t>None</t>
        </is>
      </c>
      <c r="DJ517" s="17" t="n"/>
      <c r="DK517" s="16" t="n"/>
      <c r="DL517" s="20" t="inlineStr">
        <is>
          <t>SOP 45-09 (SOP muss noch angepasst werden für VSS)</t>
        </is>
      </c>
      <c r="DM517" s="20" t="inlineStr">
        <is>
          <t>None</t>
        </is>
      </c>
      <c r="DN517" s="17" t="n"/>
      <c r="DO517" s="16" t="n"/>
      <c r="DP517" s="20" t="inlineStr">
        <is>
          <t>IC Organic Acids</t>
        </is>
      </c>
      <c r="DQ517" s="20" t="inlineStr">
        <is>
          <t>None</t>
        </is>
      </c>
      <c r="DR517" s="17" t="n"/>
      <c r="DS517" s="16" t="n"/>
      <c r="DT517" s="20" t="inlineStr">
        <is>
          <t>IC Organic Acids</t>
        </is>
      </c>
      <c r="DU517" s="20" t="inlineStr">
        <is>
          <t>None</t>
        </is>
      </c>
      <c r="DV517" s="17" t="n"/>
      <c r="DW517" s="16" t="n"/>
      <c r="DX517" s="20" t="inlineStr">
        <is>
          <t>IC Organic Acids</t>
        </is>
      </c>
      <c r="DY517" s="20" t="inlineStr">
        <is>
          <t>None</t>
        </is>
      </c>
      <c r="DZ517" s="17" t="n"/>
      <c r="EA517" s="16" t="n"/>
      <c r="EB517" s="20" t="inlineStr">
        <is>
          <t>IC Organic Acids</t>
        </is>
      </c>
      <c r="EC517" s="20" t="inlineStr">
        <is>
          <t>None</t>
        </is>
      </c>
      <c r="ED517" s="17" t="n"/>
      <c r="EE517" s="16" t="n"/>
      <c r="EF517" s="20" t="inlineStr">
        <is>
          <t>IC Organic Acids</t>
        </is>
      </c>
      <c r="EG517" s="20" t="inlineStr">
        <is>
          <t>None</t>
        </is>
      </c>
      <c r="EH517" s="17" t="n"/>
      <c r="EI517" s="16" t="n"/>
      <c r="EJ517" s="20" t="inlineStr">
        <is>
          <t>IC Organic Acids</t>
        </is>
      </c>
      <c r="EK517" s="20" t="inlineStr">
        <is>
          <t>None</t>
        </is>
      </c>
      <c r="EL517" s="17" t="n"/>
      <c r="EM517" s="16" t="n"/>
      <c r="EN517" s="20" t="inlineStr">
        <is>
          <t>IC Organic Acids</t>
        </is>
      </c>
      <c r="EO517" s="20" t="inlineStr">
        <is>
          <t>None</t>
        </is>
      </c>
      <c r="EP517" s="17" t="n"/>
      <c r="EQ517" s="16" t="n"/>
      <c r="ER517" s="20" t="inlineStr">
        <is>
          <t>IC Organic Acids</t>
        </is>
      </c>
      <c r="ES517" s="20" t="inlineStr">
        <is>
          <t>None</t>
        </is>
      </c>
      <c r="ET517" s="17" t="n"/>
      <c r="EU517" s="16" t="n"/>
      <c r="EV517" s="20" t="inlineStr">
        <is>
          <t>LC-MS</t>
        </is>
      </c>
      <c r="EW517" s="20" t="inlineStr">
        <is>
          <t>None</t>
        </is>
      </c>
      <c r="EX517" s="17" t="n"/>
      <c r="EY517" s="21" t="n"/>
      <c r="EZ517">
        <f>CONCATENATE(A517,B517)</f>
        <v/>
      </c>
      <c r="FA517">
        <f>CONCATENATE(SamplesX!A517,SamplesX!B517)</f>
        <v/>
      </c>
      <c r="FC517">
        <f>MATCH(EZ517,FA1:FA1008,0)</f>
        <v/>
      </c>
    </row>
    <row r="518">
      <c r="A518" s="16" t="n"/>
      <c r="B518" s="17" t="n"/>
      <c r="C518" s="10">
        <f>IF(ISNUMBER(FC518),INDIRECT("SamplesX!C"&amp;FC518),IF(ISNUMBER(FD518),INDIRECT("SamplesY!C"&amp;FD518),""))</f>
        <v/>
      </c>
      <c r="D518" s="12">
        <f>IF(ISNUMBER(FC518),INDIRECT("SamplesX!D"&amp;FC518),IF(ISNUMBER(FD518),INDIRECT("SamplesY!D"&amp;FD518),""))</f>
        <v/>
      </c>
      <c r="E518" s="12">
        <f>IF(ISNUMBER(FC518),INDIRECT("SamplesX!E"&amp;FC518),IF(ISNUMBER(FD518),INDIRECT("SamplesY!E"&amp;FD518),""))</f>
        <v/>
      </c>
      <c r="F518" s="11">
        <f>IF(ISNUMBER(FC518),INDIRECT("SamplesX!F"&amp;FC518),IF(ISNUMBER(FD518),INDIRECT("SamplesY!F"&amp;FD518),""))</f>
        <v/>
      </c>
      <c r="G518" s="18">
        <f>IF(ISNUMBER(FC518),INDIRECT("SamplesX!G"&amp;FC518),IF(ISNUMBER(FD518),INDIRECT("SamplesY!G"&amp;FD518),""))</f>
        <v/>
      </c>
      <c r="H518" s="19">
        <f>IF(ISNUMBER(FC518),INDIRECT("SamplesX!H"&amp;FC518),IF(ISNUMBER(FD518),INDIRECT("SamplesY!H"&amp;FD518),""))</f>
        <v/>
      </c>
      <c r="I518" s="16" t="n"/>
      <c r="J518" s="16" t="n"/>
      <c r="K518" s="16" t="n"/>
      <c r="L518" s="20" t="n"/>
      <c r="M518" s="20" t="inlineStr">
        <is>
          <t>None</t>
        </is>
      </c>
      <c r="N518" s="17" t="n"/>
      <c r="O518" s="16" t="n"/>
      <c r="P518" s="20" t="inlineStr">
        <is>
          <t>Shimadzu TOC-L</t>
        </is>
      </c>
      <c r="Q518" s="20" t="inlineStr">
        <is>
          <t>None</t>
        </is>
      </c>
      <c r="R518" s="17" t="n"/>
      <c r="S518" s="16" t="n"/>
      <c r="T518" s="20" t="inlineStr">
        <is>
          <t>Shimadzu TOC-L</t>
        </is>
      </c>
      <c r="U518" s="20" t="inlineStr">
        <is>
          <t>None</t>
        </is>
      </c>
      <c r="V518" s="17" t="n"/>
      <c r="W518" s="16" t="n"/>
      <c r="X518" s="20" t="n"/>
      <c r="Y518" s="20" t="inlineStr">
        <is>
          <t>None</t>
        </is>
      </c>
      <c r="Z518" s="17" t="n"/>
      <c r="AA518" s="16" t="n"/>
      <c r="AB518" s="20" t="n"/>
      <c r="AC518" s="20" t="inlineStr">
        <is>
          <t>None</t>
        </is>
      </c>
      <c r="AD518" s="17" t="n"/>
      <c r="AE518" s="16" t="n"/>
      <c r="AF518" s="20" t="inlineStr">
        <is>
          <t>IC Anionen</t>
        </is>
      </c>
      <c r="AG518" s="20" t="inlineStr">
        <is>
          <t>None</t>
        </is>
      </c>
      <c r="AH518" s="17" t="n"/>
      <c r="AI518" s="16" t="n"/>
      <c r="AJ518" s="20" t="n"/>
      <c r="AK518" s="20" t="inlineStr">
        <is>
          <t>None</t>
        </is>
      </c>
      <c r="AL518" s="17" t="n"/>
      <c r="AM518" s="16" t="n"/>
      <c r="AN518" s="20" t="inlineStr">
        <is>
          <t>IC Anionen</t>
        </is>
      </c>
      <c r="AO518" s="20" t="inlineStr">
        <is>
          <t>None</t>
        </is>
      </c>
      <c r="AP518" s="17" t="n"/>
      <c r="AQ518" s="16" t="n"/>
      <c r="AR518" s="20" t="n"/>
      <c r="AS518" s="20" t="inlineStr">
        <is>
          <t>None</t>
        </is>
      </c>
      <c r="AT518" s="17" t="n"/>
      <c r="AU518" s="16" t="n"/>
      <c r="AV518" s="20" t="n"/>
      <c r="AW518" s="20" t="inlineStr">
        <is>
          <t>None</t>
        </is>
      </c>
      <c r="AX518" s="17" t="n"/>
      <c r="AY518" s="16" t="n"/>
      <c r="AZ518" s="20" t="inlineStr">
        <is>
          <t>IC Anionen</t>
        </is>
      </c>
      <c r="BA518" s="20" t="inlineStr">
        <is>
          <t>None</t>
        </is>
      </c>
      <c r="BB518" s="17" t="n"/>
      <c r="BC518" s="16" t="n"/>
      <c r="BD518" s="20" t="inlineStr">
        <is>
          <t>IC Kationen</t>
        </is>
      </c>
      <c r="BE518" s="20" t="inlineStr">
        <is>
          <t>None</t>
        </is>
      </c>
      <c r="BF518" s="17" t="n"/>
      <c r="BG518" s="16" t="n"/>
      <c r="BH518" s="20" t="inlineStr">
        <is>
          <t>IC Kationen</t>
        </is>
      </c>
      <c r="BI518" s="20" t="inlineStr">
        <is>
          <t>None</t>
        </is>
      </c>
      <c r="BJ518" s="17" t="n"/>
      <c r="BK518" s="16" t="n"/>
      <c r="BL518" s="20" t="inlineStr">
        <is>
          <t>IC Kationen</t>
        </is>
      </c>
      <c r="BM518" s="20" t="inlineStr">
        <is>
          <t>None</t>
        </is>
      </c>
      <c r="BN518" s="17" t="n"/>
      <c r="BO518" s="16" t="n"/>
      <c r="BP518" s="20" t="inlineStr">
        <is>
          <t>IC Kationen</t>
        </is>
      </c>
      <c r="BQ518" s="20" t="inlineStr">
        <is>
          <t>None</t>
        </is>
      </c>
      <c r="BR518" s="17" t="n"/>
      <c r="BS518" s="16" t="n"/>
      <c r="BT518" s="20" t="inlineStr">
        <is>
          <t>IC Kationen</t>
        </is>
      </c>
      <c r="BU518" s="20" t="inlineStr">
        <is>
          <t>None</t>
        </is>
      </c>
      <c r="BV518" s="17" t="n"/>
      <c r="BW518" s="16" t="n"/>
      <c r="BX518" s="20" t="n"/>
      <c r="BY518" s="20" t="inlineStr">
        <is>
          <t>None</t>
        </is>
      </c>
      <c r="BZ518" s="17" t="n"/>
      <c r="CA518" s="16" t="n"/>
      <c r="CB518" s="20" t="n"/>
      <c r="CC518" s="20" t="inlineStr">
        <is>
          <t>None</t>
        </is>
      </c>
      <c r="CD518" s="17" t="n"/>
      <c r="CE518" s="16" t="n"/>
      <c r="CF518" s="20" t="n"/>
      <c r="CG518" s="20" t="inlineStr">
        <is>
          <t>None</t>
        </is>
      </c>
      <c r="CH518" s="17" t="n"/>
      <c r="CI518" s="16" t="n"/>
      <c r="CJ518" s="20" t="n"/>
      <c r="CK518" s="20" t="inlineStr">
        <is>
          <t>None</t>
        </is>
      </c>
      <c r="CL518" s="17" t="n"/>
      <c r="CM518" s="16" t="n"/>
      <c r="CN518" s="20" t="inlineStr">
        <is>
          <t>SOP 45-34</t>
        </is>
      </c>
      <c r="CO518" s="20" t="inlineStr">
        <is>
          <t>None</t>
        </is>
      </c>
      <c r="CP518" s="17" t="n"/>
      <c r="CQ518" s="16" t="n"/>
      <c r="CR518" s="20" t="n"/>
      <c r="CS518" s="20" t="inlineStr">
        <is>
          <t>None</t>
        </is>
      </c>
      <c r="CT518" s="17" t="n"/>
      <c r="CU518" s="16" t="n"/>
      <c r="CV518" s="20" t="n"/>
      <c r="CW518" s="20" t="inlineStr">
        <is>
          <t>None</t>
        </is>
      </c>
      <c r="CX518" s="17" t="n"/>
      <c r="CY518" s="16" t="n"/>
      <c r="CZ518" s="20" t="inlineStr">
        <is>
          <t>WTW Multimeter 3430 with FDO 925</t>
        </is>
      </c>
      <c r="DA518" s="20" t="inlineStr">
        <is>
          <t>None</t>
        </is>
      </c>
      <c r="DB518" s="17" t="n"/>
      <c r="DC518" s="16" t="n"/>
      <c r="DD518" s="20" t="n"/>
      <c r="DE518" s="20" t="inlineStr">
        <is>
          <t>None</t>
        </is>
      </c>
      <c r="DF518" s="17" t="n"/>
      <c r="DG518" s="16" t="n"/>
      <c r="DH518" s="20" t="inlineStr">
        <is>
          <t>SOP 45-09</t>
        </is>
      </c>
      <c r="DI518" s="20" t="inlineStr">
        <is>
          <t>None</t>
        </is>
      </c>
      <c r="DJ518" s="17" t="n"/>
      <c r="DK518" s="16" t="n"/>
      <c r="DL518" s="20" t="inlineStr">
        <is>
          <t>SOP 45-09 (SOP muss noch angepasst werden für VSS)</t>
        </is>
      </c>
      <c r="DM518" s="20" t="inlineStr">
        <is>
          <t>None</t>
        </is>
      </c>
      <c r="DN518" s="17" t="n"/>
      <c r="DO518" s="16" t="n"/>
      <c r="DP518" s="20" t="inlineStr">
        <is>
          <t>IC Organic Acids</t>
        </is>
      </c>
      <c r="DQ518" s="20" t="inlineStr">
        <is>
          <t>None</t>
        </is>
      </c>
      <c r="DR518" s="17" t="n"/>
      <c r="DS518" s="16" t="n"/>
      <c r="DT518" s="20" t="inlineStr">
        <is>
          <t>IC Organic Acids</t>
        </is>
      </c>
      <c r="DU518" s="20" t="inlineStr">
        <is>
          <t>None</t>
        </is>
      </c>
      <c r="DV518" s="17" t="n"/>
      <c r="DW518" s="16" t="n"/>
      <c r="DX518" s="20" t="inlineStr">
        <is>
          <t>IC Organic Acids</t>
        </is>
      </c>
      <c r="DY518" s="20" t="inlineStr">
        <is>
          <t>None</t>
        </is>
      </c>
      <c r="DZ518" s="17" t="n"/>
      <c r="EA518" s="16" t="n"/>
      <c r="EB518" s="20" t="inlineStr">
        <is>
          <t>IC Organic Acids</t>
        </is>
      </c>
      <c r="EC518" s="20" t="inlineStr">
        <is>
          <t>None</t>
        </is>
      </c>
      <c r="ED518" s="17" t="n"/>
      <c r="EE518" s="16" t="n"/>
      <c r="EF518" s="20" t="inlineStr">
        <is>
          <t>IC Organic Acids</t>
        </is>
      </c>
      <c r="EG518" s="20" t="inlineStr">
        <is>
          <t>None</t>
        </is>
      </c>
      <c r="EH518" s="17" t="n"/>
      <c r="EI518" s="16" t="n"/>
      <c r="EJ518" s="20" t="inlineStr">
        <is>
          <t>IC Organic Acids</t>
        </is>
      </c>
      <c r="EK518" s="20" t="inlineStr">
        <is>
          <t>None</t>
        </is>
      </c>
      <c r="EL518" s="17" t="n"/>
      <c r="EM518" s="16" t="n"/>
      <c r="EN518" s="20" t="inlineStr">
        <is>
          <t>IC Organic Acids</t>
        </is>
      </c>
      <c r="EO518" s="20" t="inlineStr">
        <is>
          <t>None</t>
        </is>
      </c>
      <c r="EP518" s="17" t="n"/>
      <c r="EQ518" s="16" t="n"/>
      <c r="ER518" s="20" t="inlineStr">
        <is>
          <t>IC Organic Acids</t>
        </is>
      </c>
      <c r="ES518" s="20" t="inlineStr">
        <is>
          <t>None</t>
        </is>
      </c>
      <c r="ET518" s="17" t="n"/>
      <c r="EU518" s="16" t="n"/>
      <c r="EV518" s="20" t="inlineStr">
        <is>
          <t>LC-MS</t>
        </is>
      </c>
      <c r="EW518" s="20" t="inlineStr">
        <is>
          <t>None</t>
        </is>
      </c>
      <c r="EX518" s="17" t="n"/>
      <c r="EY518" s="21" t="n"/>
      <c r="EZ518">
        <f>CONCATENATE(A518,B518)</f>
        <v/>
      </c>
      <c r="FA518">
        <f>CONCATENATE(SamplesX!A518,SamplesX!B518)</f>
        <v/>
      </c>
      <c r="FC518">
        <f>MATCH(EZ518,FA1:FA1008,0)</f>
        <v/>
      </c>
    </row>
    <row r="519">
      <c r="A519" s="16" t="n"/>
      <c r="B519" s="17" t="n"/>
      <c r="C519" s="10">
        <f>IF(ISNUMBER(FC519),INDIRECT("SamplesX!C"&amp;FC519),IF(ISNUMBER(FD519),INDIRECT("SamplesY!C"&amp;FD519),""))</f>
        <v/>
      </c>
      <c r="D519" s="12">
        <f>IF(ISNUMBER(FC519),INDIRECT("SamplesX!D"&amp;FC519),IF(ISNUMBER(FD519),INDIRECT("SamplesY!D"&amp;FD519),""))</f>
        <v/>
      </c>
      <c r="E519" s="12">
        <f>IF(ISNUMBER(FC519),INDIRECT("SamplesX!E"&amp;FC519),IF(ISNUMBER(FD519),INDIRECT("SamplesY!E"&amp;FD519),""))</f>
        <v/>
      </c>
      <c r="F519" s="11">
        <f>IF(ISNUMBER(FC519),INDIRECT("SamplesX!F"&amp;FC519),IF(ISNUMBER(FD519),INDIRECT("SamplesY!F"&amp;FD519),""))</f>
        <v/>
      </c>
      <c r="G519" s="18">
        <f>IF(ISNUMBER(FC519),INDIRECT("SamplesX!G"&amp;FC519),IF(ISNUMBER(FD519),INDIRECT("SamplesY!G"&amp;FD519),""))</f>
        <v/>
      </c>
      <c r="H519" s="19">
        <f>IF(ISNUMBER(FC519),INDIRECT("SamplesX!H"&amp;FC519),IF(ISNUMBER(FD519),INDIRECT("SamplesY!H"&amp;FD519),""))</f>
        <v/>
      </c>
      <c r="I519" s="16" t="n"/>
      <c r="J519" s="16" t="n"/>
      <c r="K519" s="16" t="n"/>
      <c r="L519" s="20" t="n"/>
      <c r="M519" s="20" t="inlineStr">
        <is>
          <t>None</t>
        </is>
      </c>
      <c r="N519" s="17" t="n"/>
      <c r="O519" s="16" t="n"/>
      <c r="P519" s="20" t="inlineStr">
        <is>
          <t>Shimadzu TOC-L</t>
        </is>
      </c>
      <c r="Q519" s="20" t="inlineStr">
        <is>
          <t>None</t>
        </is>
      </c>
      <c r="R519" s="17" t="n"/>
      <c r="S519" s="16" t="n"/>
      <c r="T519" s="20" t="inlineStr">
        <is>
          <t>Shimadzu TOC-L</t>
        </is>
      </c>
      <c r="U519" s="20" t="inlineStr">
        <is>
          <t>None</t>
        </is>
      </c>
      <c r="V519" s="17" t="n"/>
      <c r="W519" s="16" t="n"/>
      <c r="X519" s="20" t="n"/>
      <c r="Y519" s="20" t="inlineStr">
        <is>
          <t>None</t>
        </is>
      </c>
      <c r="Z519" s="17" t="n"/>
      <c r="AA519" s="16" t="n"/>
      <c r="AB519" s="20" t="n"/>
      <c r="AC519" s="20" t="inlineStr">
        <is>
          <t>None</t>
        </is>
      </c>
      <c r="AD519" s="17" t="n"/>
      <c r="AE519" s="16" t="n"/>
      <c r="AF519" s="20" t="inlineStr">
        <is>
          <t>IC Anionen</t>
        </is>
      </c>
      <c r="AG519" s="20" t="inlineStr">
        <is>
          <t>None</t>
        </is>
      </c>
      <c r="AH519" s="17" t="n"/>
      <c r="AI519" s="16" t="n"/>
      <c r="AJ519" s="20" t="n"/>
      <c r="AK519" s="20" t="inlineStr">
        <is>
          <t>None</t>
        </is>
      </c>
      <c r="AL519" s="17" t="n"/>
      <c r="AM519" s="16" t="n"/>
      <c r="AN519" s="20" t="inlineStr">
        <is>
          <t>IC Anionen</t>
        </is>
      </c>
      <c r="AO519" s="20" t="inlineStr">
        <is>
          <t>None</t>
        </is>
      </c>
      <c r="AP519" s="17" t="n"/>
      <c r="AQ519" s="16" t="n"/>
      <c r="AR519" s="20" t="n"/>
      <c r="AS519" s="20" t="inlineStr">
        <is>
          <t>None</t>
        </is>
      </c>
      <c r="AT519" s="17" t="n"/>
      <c r="AU519" s="16" t="n"/>
      <c r="AV519" s="20" t="n"/>
      <c r="AW519" s="20" t="inlineStr">
        <is>
          <t>None</t>
        </is>
      </c>
      <c r="AX519" s="17" t="n"/>
      <c r="AY519" s="16" t="n"/>
      <c r="AZ519" s="20" t="inlineStr">
        <is>
          <t>IC Anionen</t>
        </is>
      </c>
      <c r="BA519" s="20" t="inlineStr">
        <is>
          <t>None</t>
        </is>
      </c>
      <c r="BB519" s="17" t="n"/>
      <c r="BC519" s="16" t="n"/>
      <c r="BD519" s="20" t="inlineStr">
        <is>
          <t>IC Kationen</t>
        </is>
      </c>
      <c r="BE519" s="20" t="inlineStr">
        <is>
          <t>None</t>
        </is>
      </c>
      <c r="BF519" s="17" t="n"/>
      <c r="BG519" s="16" t="n"/>
      <c r="BH519" s="20" t="inlineStr">
        <is>
          <t>IC Kationen</t>
        </is>
      </c>
      <c r="BI519" s="20" t="inlineStr">
        <is>
          <t>None</t>
        </is>
      </c>
      <c r="BJ519" s="17" t="n"/>
      <c r="BK519" s="16" t="n"/>
      <c r="BL519" s="20" t="inlineStr">
        <is>
          <t>IC Kationen</t>
        </is>
      </c>
      <c r="BM519" s="20" t="inlineStr">
        <is>
          <t>None</t>
        </is>
      </c>
      <c r="BN519" s="17" t="n"/>
      <c r="BO519" s="16" t="n"/>
      <c r="BP519" s="20" t="inlineStr">
        <is>
          <t>IC Kationen</t>
        </is>
      </c>
      <c r="BQ519" s="20" t="inlineStr">
        <is>
          <t>None</t>
        </is>
      </c>
      <c r="BR519" s="17" t="n"/>
      <c r="BS519" s="16" t="n"/>
      <c r="BT519" s="20" t="inlineStr">
        <is>
          <t>IC Kationen</t>
        </is>
      </c>
      <c r="BU519" s="20" t="inlineStr">
        <is>
          <t>None</t>
        </is>
      </c>
      <c r="BV519" s="17" t="n"/>
      <c r="BW519" s="16" t="n"/>
      <c r="BX519" s="20" t="n"/>
      <c r="BY519" s="20" t="inlineStr">
        <is>
          <t>None</t>
        </is>
      </c>
      <c r="BZ519" s="17" t="n"/>
      <c r="CA519" s="16" t="n"/>
      <c r="CB519" s="20" t="n"/>
      <c r="CC519" s="20" t="inlineStr">
        <is>
          <t>None</t>
        </is>
      </c>
      <c r="CD519" s="17" t="n"/>
      <c r="CE519" s="16" t="n"/>
      <c r="CF519" s="20" t="n"/>
      <c r="CG519" s="20" t="inlineStr">
        <is>
          <t>None</t>
        </is>
      </c>
      <c r="CH519" s="17" t="n"/>
      <c r="CI519" s="16" t="n"/>
      <c r="CJ519" s="20" t="n"/>
      <c r="CK519" s="20" t="inlineStr">
        <is>
          <t>None</t>
        </is>
      </c>
      <c r="CL519" s="17" t="n"/>
      <c r="CM519" s="16" t="n"/>
      <c r="CN519" s="20" t="inlineStr">
        <is>
          <t>SOP 45-34</t>
        </is>
      </c>
      <c r="CO519" s="20" t="inlineStr">
        <is>
          <t>None</t>
        </is>
      </c>
      <c r="CP519" s="17" t="n"/>
      <c r="CQ519" s="16" t="n"/>
      <c r="CR519" s="20" t="n"/>
      <c r="CS519" s="20" t="inlineStr">
        <is>
          <t>None</t>
        </is>
      </c>
      <c r="CT519" s="17" t="n"/>
      <c r="CU519" s="16" t="n"/>
      <c r="CV519" s="20" t="n"/>
      <c r="CW519" s="20" t="inlineStr">
        <is>
          <t>None</t>
        </is>
      </c>
      <c r="CX519" s="17" t="n"/>
      <c r="CY519" s="16" t="n"/>
      <c r="CZ519" s="20" t="inlineStr">
        <is>
          <t>WTW Multimeter 3430 with FDO 925</t>
        </is>
      </c>
      <c r="DA519" s="20" t="inlineStr">
        <is>
          <t>None</t>
        </is>
      </c>
      <c r="DB519" s="17" t="n"/>
      <c r="DC519" s="16" t="n"/>
      <c r="DD519" s="20" t="n"/>
      <c r="DE519" s="20" t="inlineStr">
        <is>
          <t>None</t>
        </is>
      </c>
      <c r="DF519" s="17" t="n"/>
      <c r="DG519" s="16" t="n"/>
      <c r="DH519" s="20" t="inlineStr">
        <is>
          <t>SOP 45-09</t>
        </is>
      </c>
      <c r="DI519" s="20" t="inlineStr">
        <is>
          <t>None</t>
        </is>
      </c>
      <c r="DJ519" s="17" t="n"/>
      <c r="DK519" s="16" t="n"/>
      <c r="DL519" s="20" t="inlineStr">
        <is>
          <t>SOP 45-09 (SOP muss noch angepasst werden für VSS)</t>
        </is>
      </c>
      <c r="DM519" s="20" t="inlineStr">
        <is>
          <t>None</t>
        </is>
      </c>
      <c r="DN519" s="17" t="n"/>
      <c r="DO519" s="16" t="n"/>
      <c r="DP519" s="20" t="inlineStr">
        <is>
          <t>IC Organic Acids</t>
        </is>
      </c>
      <c r="DQ519" s="20" t="inlineStr">
        <is>
          <t>None</t>
        </is>
      </c>
      <c r="DR519" s="17" t="n"/>
      <c r="DS519" s="16" t="n"/>
      <c r="DT519" s="20" t="inlineStr">
        <is>
          <t>IC Organic Acids</t>
        </is>
      </c>
      <c r="DU519" s="20" t="inlineStr">
        <is>
          <t>None</t>
        </is>
      </c>
      <c r="DV519" s="17" t="n"/>
      <c r="DW519" s="16" t="n"/>
      <c r="DX519" s="20" t="inlineStr">
        <is>
          <t>IC Organic Acids</t>
        </is>
      </c>
      <c r="DY519" s="20" t="inlineStr">
        <is>
          <t>None</t>
        </is>
      </c>
      <c r="DZ519" s="17" t="n"/>
      <c r="EA519" s="16" t="n"/>
      <c r="EB519" s="20" t="inlineStr">
        <is>
          <t>IC Organic Acids</t>
        </is>
      </c>
      <c r="EC519" s="20" t="inlineStr">
        <is>
          <t>None</t>
        </is>
      </c>
      <c r="ED519" s="17" t="n"/>
      <c r="EE519" s="16" t="n"/>
      <c r="EF519" s="20" t="inlineStr">
        <is>
          <t>IC Organic Acids</t>
        </is>
      </c>
      <c r="EG519" s="20" t="inlineStr">
        <is>
          <t>None</t>
        </is>
      </c>
      <c r="EH519" s="17" t="n"/>
      <c r="EI519" s="16" t="n"/>
      <c r="EJ519" s="20" t="inlineStr">
        <is>
          <t>IC Organic Acids</t>
        </is>
      </c>
      <c r="EK519" s="20" t="inlineStr">
        <is>
          <t>None</t>
        </is>
      </c>
      <c r="EL519" s="17" t="n"/>
      <c r="EM519" s="16" t="n"/>
      <c r="EN519" s="20" t="inlineStr">
        <is>
          <t>IC Organic Acids</t>
        </is>
      </c>
      <c r="EO519" s="20" t="inlineStr">
        <is>
          <t>None</t>
        </is>
      </c>
      <c r="EP519" s="17" t="n"/>
      <c r="EQ519" s="16" t="n"/>
      <c r="ER519" s="20" t="inlineStr">
        <is>
          <t>IC Organic Acids</t>
        </is>
      </c>
      <c r="ES519" s="20" t="inlineStr">
        <is>
          <t>None</t>
        </is>
      </c>
      <c r="ET519" s="17" t="n"/>
      <c r="EU519" s="16" t="n"/>
      <c r="EV519" s="20" t="inlineStr">
        <is>
          <t>LC-MS</t>
        </is>
      </c>
      <c r="EW519" s="20" t="inlineStr">
        <is>
          <t>None</t>
        </is>
      </c>
      <c r="EX519" s="17" t="n"/>
      <c r="EY519" s="21" t="n"/>
      <c r="EZ519">
        <f>CONCATENATE(A519,B519)</f>
        <v/>
      </c>
      <c r="FA519">
        <f>CONCATENATE(SamplesX!A519,SamplesX!B519)</f>
        <v/>
      </c>
      <c r="FC519">
        <f>MATCH(EZ519,FA1:FA1008,0)</f>
        <v/>
      </c>
    </row>
    <row r="520">
      <c r="A520" s="16" t="n"/>
      <c r="B520" s="17" t="n"/>
      <c r="C520" s="10">
        <f>IF(ISNUMBER(FC520),INDIRECT("SamplesX!C"&amp;FC520),IF(ISNUMBER(FD520),INDIRECT("SamplesY!C"&amp;FD520),""))</f>
        <v/>
      </c>
      <c r="D520" s="12">
        <f>IF(ISNUMBER(FC520),INDIRECT("SamplesX!D"&amp;FC520),IF(ISNUMBER(FD520),INDIRECT("SamplesY!D"&amp;FD520),""))</f>
        <v/>
      </c>
      <c r="E520" s="12">
        <f>IF(ISNUMBER(FC520),INDIRECT("SamplesX!E"&amp;FC520),IF(ISNUMBER(FD520),INDIRECT("SamplesY!E"&amp;FD520),""))</f>
        <v/>
      </c>
      <c r="F520" s="11">
        <f>IF(ISNUMBER(FC520),INDIRECT("SamplesX!F"&amp;FC520),IF(ISNUMBER(FD520),INDIRECT("SamplesY!F"&amp;FD520),""))</f>
        <v/>
      </c>
      <c r="G520" s="18">
        <f>IF(ISNUMBER(FC520),INDIRECT("SamplesX!G"&amp;FC520),IF(ISNUMBER(FD520),INDIRECT("SamplesY!G"&amp;FD520),""))</f>
        <v/>
      </c>
      <c r="H520" s="19">
        <f>IF(ISNUMBER(FC520),INDIRECT("SamplesX!H"&amp;FC520),IF(ISNUMBER(FD520),INDIRECT("SamplesY!H"&amp;FD520),""))</f>
        <v/>
      </c>
      <c r="I520" s="16" t="n"/>
      <c r="J520" s="16" t="n"/>
      <c r="K520" s="16" t="n"/>
      <c r="L520" s="20" t="n"/>
      <c r="M520" s="20" t="inlineStr">
        <is>
          <t>None</t>
        </is>
      </c>
      <c r="N520" s="17" t="n"/>
      <c r="O520" s="16" t="n"/>
      <c r="P520" s="20" t="inlineStr">
        <is>
          <t>Shimadzu TOC-L</t>
        </is>
      </c>
      <c r="Q520" s="20" t="inlineStr">
        <is>
          <t>None</t>
        </is>
      </c>
      <c r="R520" s="17" t="n"/>
      <c r="S520" s="16" t="n"/>
      <c r="T520" s="20" t="inlineStr">
        <is>
          <t>Shimadzu TOC-L</t>
        </is>
      </c>
      <c r="U520" s="20" t="inlineStr">
        <is>
          <t>None</t>
        </is>
      </c>
      <c r="V520" s="17" t="n"/>
      <c r="W520" s="16" t="n"/>
      <c r="X520" s="20" t="n"/>
      <c r="Y520" s="20" t="inlineStr">
        <is>
          <t>None</t>
        </is>
      </c>
      <c r="Z520" s="17" t="n"/>
      <c r="AA520" s="16" t="n"/>
      <c r="AB520" s="20" t="n"/>
      <c r="AC520" s="20" t="inlineStr">
        <is>
          <t>None</t>
        </is>
      </c>
      <c r="AD520" s="17" t="n"/>
      <c r="AE520" s="16" t="n"/>
      <c r="AF520" s="20" t="inlineStr">
        <is>
          <t>IC Anionen</t>
        </is>
      </c>
      <c r="AG520" s="20" t="inlineStr">
        <is>
          <t>None</t>
        </is>
      </c>
      <c r="AH520" s="17" t="n"/>
      <c r="AI520" s="16" t="n"/>
      <c r="AJ520" s="20" t="n"/>
      <c r="AK520" s="20" t="inlineStr">
        <is>
          <t>None</t>
        </is>
      </c>
      <c r="AL520" s="17" t="n"/>
      <c r="AM520" s="16" t="n"/>
      <c r="AN520" s="20" t="inlineStr">
        <is>
          <t>IC Anionen</t>
        </is>
      </c>
      <c r="AO520" s="20" t="inlineStr">
        <is>
          <t>None</t>
        </is>
      </c>
      <c r="AP520" s="17" t="n"/>
      <c r="AQ520" s="16" t="n"/>
      <c r="AR520" s="20" t="n"/>
      <c r="AS520" s="20" t="inlineStr">
        <is>
          <t>None</t>
        </is>
      </c>
      <c r="AT520" s="17" t="n"/>
      <c r="AU520" s="16" t="n"/>
      <c r="AV520" s="20" t="n"/>
      <c r="AW520" s="20" t="inlineStr">
        <is>
          <t>None</t>
        </is>
      </c>
      <c r="AX520" s="17" t="n"/>
      <c r="AY520" s="16" t="n"/>
      <c r="AZ520" s="20" t="inlineStr">
        <is>
          <t>IC Anionen</t>
        </is>
      </c>
      <c r="BA520" s="20" t="inlineStr">
        <is>
          <t>None</t>
        </is>
      </c>
      <c r="BB520" s="17" t="n"/>
      <c r="BC520" s="16" t="n"/>
      <c r="BD520" s="20" t="inlineStr">
        <is>
          <t>IC Kationen</t>
        </is>
      </c>
      <c r="BE520" s="20" t="inlineStr">
        <is>
          <t>None</t>
        </is>
      </c>
      <c r="BF520" s="17" t="n"/>
      <c r="BG520" s="16" t="n"/>
      <c r="BH520" s="20" t="inlineStr">
        <is>
          <t>IC Kationen</t>
        </is>
      </c>
      <c r="BI520" s="20" t="inlineStr">
        <is>
          <t>None</t>
        </is>
      </c>
      <c r="BJ520" s="17" t="n"/>
      <c r="BK520" s="16" t="n"/>
      <c r="BL520" s="20" t="inlineStr">
        <is>
          <t>IC Kationen</t>
        </is>
      </c>
      <c r="BM520" s="20" t="inlineStr">
        <is>
          <t>None</t>
        </is>
      </c>
      <c r="BN520" s="17" t="n"/>
      <c r="BO520" s="16" t="n"/>
      <c r="BP520" s="20" t="inlineStr">
        <is>
          <t>IC Kationen</t>
        </is>
      </c>
      <c r="BQ520" s="20" t="inlineStr">
        <is>
          <t>None</t>
        </is>
      </c>
      <c r="BR520" s="17" t="n"/>
      <c r="BS520" s="16" t="n"/>
      <c r="BT520" s="20" t="inlineStr">
        <is>
          <t>IC Kationen</t>
        </is>
      </c>
      <c r="BU520" s="20" t="inlineStr">
        <is>
          <t>None</t>
        </is>
      </c>
      <c r="BV520" s="17" t="n"/>
      <c r="BW520" s="16" t="n"/>
      <c r="BX520" s="20" t="n"/>
      <c r="BY520" s="20" t="inlineStr">
        <is>
          <t>None</t>
        </is>
      </c>
      <c r="BZ520" s="17" t="n"/>
      <c r="CA520" s="16" t="n"/>
      <c r="CB520" s="20" t="n"/>
      <c r="CC520" s="20" t="inlineStr">
        <is>
          <t>None</t>
        </is>
      </c>
      <c r="CD520" s="17" t="n"/>
      <c r="CE520" s="16" t="n"/>
      <c r="CF520" s="20" t="n"/>
      <c r="CG520" s="20" t="inlineStr">
        <is>
          <t>None</t>
        </is>
      </c>
      <c r="CH520" s="17" t="n"/>
      <c r="CI520" s="16" t="n"/>
      <c r="CJ520" s="20" t="n"/>
      <c r="CK520" s="20" t="inlineStr">
        <is>
          <t>None</t>
        </is>
      </c>
      <c r="CL520" s="17" t="n"/>
      <c r="CM520" s="16" t="n"/>
      <c r="CN520" s="20" t="inlineStr">
        <is>
          <t>SOP 45-34</t>
        </is>
      </c>
      <c r="CO520" s="20" t="inlineStr">
        <is>
          <t>None</t>
        </is>
      </c>
      <c r="CP520" s="17" t="n"/>
      <c r="CQ520" s="16" t="n"/>
      <c r="CR520" s="20" t="n"/>
      <c r="CS520" s="20" t="inlineStr">
        <is>
          <t>None</t>
        </is>
      </c>
      <c r="CT520" s="17" t="n"/>
      <c r="CU520" s="16" t="n"/>
      <c r="CV520" s="20" t="n"/>
      <c r="CW520" s="20" t="inlineStr">
        <is>
          <t>None</t>
        </is>
      </c>
      <c r="CX520" s="17" t="n"/>
      <c r="CY520" s="16" t="n"/>
      <c r="CZ520" s="20" t="inlineStr">
        <is>
          <t>WTW Multimeter 3430 with FDO 925</t>
        </is>
      </c>
      <c r="DA520" s="20" t="inlineStr">
        <is>
          <t>None</t>
        </is>
      </c>
      <c r="DB520" s="17" t="n"/>
      <c r="DC520" s="16" t="n"/>
      <c r="DD520" s="20" t="n"/>
      <c r="DE520" s="20" t="inlineStr">
        <is>
          <t>None</t>
        </is>
      </c>
      <c r="DF520" s="17" t="n"/>
      <c r="DG520" s="16" t="n"/>
      <c r="DH520" s="20" t="inlineStr">
        <is>
          <t>SOP 45-09</t>
        </is>
      </c>
      <c r="DI520" s="20" t="inlineStr">
        <is>
          <t>None</t>
        </is>
      </c>
      <c r="DJ520" s="17" t="n"/>
      <c r="DK520" s="16" t="n"/>
      <c r="DL520" s="20" t="inlineStr">
        <is>
          <t>SOP 45-09 (SOP muss noch angepasst werden für VSS)</t>
        </is>
      </c>
      <c r="DM520" s="20" t="inlineStr">
        <is>
          <t>None</t>
        </is>
      </c>
      <c r="DN520" s="17" t="n"/>
      <c r="DO520" s="16" t="n"/>
      <c r="DP520" s="20" t="inlineStr">
        <is>
          <t>IC Organic Acids</t>
        </is>
      </c>
      <c r="DQ520" s="20" t="inlineStr">
        <is>
          <t>None</t>
        </is>
      </c>
      <c r="DR520" s="17" t="n"/>
      <c r="DS520" s="16" t="n"/>
      <c r="DT520" s="20" t="inlineStr">
        <is>
          <t>IC Organic Acids</t>
        </is>
      </c>
      <c r="DU520" s="20" t="inlineStr">
        <is>
          <t>None</t>
        </is>
      </c>
      <c r="DV520" s="17" t="n"/>
      <c r="DW520" s="16" t="n"/>
      <c r="DX520" s="20" t="inlineStr">
        <is>
          <t>IC Organic Acids</t>
        </is>
      </c>
      <c r="DY520" s="20" t="inlineStr">
        <is>
          <t>None</t>
        </is>
      </c>
      <c r="DZ520" s="17" t="n"/>
      <c r="EA520" s="16" t="n"/>
      <c r="EB520" s="20" t="inlineStr">
        <is>
          <t>IC Organic Acids</t>
        </is>
      </c>
      <c r="EC520" s="20" t="inlineStr">
        <is>
          <t>None</t>
        </is>
      </c>
      <c r="ED520" s="17" t="n"/>
      <c r="EE520" s="16" t="n"/>
      <c r="EF520" s="20" t="inlineStr">
        <is>
          <t>IC Organic Acids</t>
        </is>
      </c>
      <c r="EG520" s="20" t="inlineStr">
        <is>
          <t>None</t>
        </is>
      </c>
      <c r="EH520" s="17" t="n"/>
      <c r="EI520" s="16" t="n"/>
      <c r="EJ520" s="20" t="inlineStr">
        <is>
          <t>IC Organic Acids</t>
        </is>
      </c>
      <c r="EK520" s="20" t="inlineStr">
        <is>
          <t>None</t>
        </is>
      </c>
      <c r="EL520" s="17" t="n"/>
      <c r="EM520" s="16" t="n"/>
      <c r="EN520" s="20" t="inlineStr">
        <is>
          <t>IC Organic Acids</t>
        </is>
      </c>
      <c r="EO520" s="20" t="inlineStr">
        <is>
          <t>None</t>
        </is>
      </c>
      <c r="EP520" s="17" t="n"/>
      <c r="EQ520" s="16" t="n"/>
      <c r="ER520" s="20" t="inlineStr">
        <is>
          <t>IC Organic Acids</t>
        </is>
      </c>
      <c r="ES520" s="20" t="inlineStr">
        <is>
          <t>None</t>
        </is>
      </c>
      <c r="ET520" s="17" t="n"/>
      <c r="EU520" s="16" t="n"/>
      <c r="EV520" s="20" t="inlineStr">
        <is>
          <t>LC-MS</t>
        </is>
      </c>
      <c r="EW520" s="20" t="inlineStr">
        <is>
          <t>None</t>
        </is>
      </c>
      <c r="EX520" s="17" t="n"/>
      <c r="EY520" s="21" t="n"/>
      <c r="EZ520">
        <f>CONCATENATE(A520,B520)</f>
        <v/>
      </c>
      <c r="FA520">
        <f>CONCATENATE(SamplesX!A520,SamplesX!B520)</f>
        <v/>
      </c>
      <c r="FC520">
        <f>MATCH(EZ520,FA1:FA1008,0)</f>
        <v/>
      </c>
    </row>
    <row r="521">
      <c r="A521" s="16" t="n"/>
      <c r="B521" s="17" t="n"/>
      <c r="C521" s="10">
        <f>IF(ISNUMBER(FC521),INDIRECT("SamplesX!C"&amp;FC521),IF(ISNUMBER(FD521),INDIRECT("SamplesY!C"&amp;FD521),""))</f>
        <v/>
      </c>
      <c r="D521" s="12">
        <f>IF(ISNUMBER(FC521),INDIRECT("SamplesX!D"&amp;FC521),IF(ISNUMBER(FD521),INDIRECT("SamplesY!D"&amp;FD521),""))</f>
        <v/>
      </c>
      <c r="E521" s="12">
        <f>IF(ISNUMBER(FC521),INDIRECT("SamplesX!E"&amp;FC521),IF(ISNUMBER(FD521),INDIRECT("SamplesY!E"&amp;FD521),""))</f>
        <v/>
      </c>
      <c r="F521" s="11">
        <f>IF(ISNUMBER(FC521),INDIRECT("SamplesX!F"&amp;FC521),IF(ISNUMBER(FD521),INDIRECT("SamplesY!F"&amp;FD521),""))</f>
        <v/>
      </c>
      <c r="G521" s="18">
        <f>IF(ISNUMBER(FC521),INDIRECT("SamplesX!G"&amp;FC521),IF(ISNUMBER(FD521),INDIRECT("SamplesY!G"&amp;FD521),""))</f>
        <v/>
      </c>
      <c r="H521" s="19">
        <f>IF(ISNUMBER(FC521),INDIRECT("SamplesX!H"&amp;FC521),IF(ISNUMBER(FD521),INDIRECT("SamplesY!H"&amp;FD521),""))</f>
        <v/>
      </c>
      <c r="I521" s="16" t="n"/>
      <c r="J521" s="16" t="n"/>
      <c r="K521" s="16" t="n"/>
      <c r="L521" s="20" t="n"/>
      <c r="M521" s="20" t="inlineStr">
        <is>
          <t>None</t>
        </is>
      </c>
      <c r="N521" s="17" t="n"/>
      <c r="O521" s="16" t="n"/>
      <c r="P521" s="20" t="inlineStr">
        <is>
          <t>Shimadzu TOC-L</t>
        </is>
      </c>
      <c r="Q521" s="20" t="inlineStr">
        <is>
          <t>None</t>
        </is>
      </c>
      <c r="R521" s="17" t="n"/>
      <c r="S521" s="16" t="n"/>
      <c r="T521" s="20" t="inlineStr">
        <is>
          <t>Shimadzu TOC-L</t>
        </is>
      </c>
      <c r="U521" s="20" t="inlineStr">
        <is>
          <t>None</t>
        </is>
      </c>
      <c r="V521" s="17" t="n"/>
      <c r="W521" s="16" t="n"/>
      <c r="X521" s="20" t="n"/>
      <c r="Y521" s="20" t="inlineStr">
        <is>
          <t>None</t>
        </is>
      </c>
      <c r="Z521" s="17" t="n"/>
      <c r="AA521" s="16" t="n"/>
      <c r="AB521" s="20" t="n"/>
      <c r="AC521" s="20" t="inlineStr">
        <is>
          <t>None</t>
        </is>
      </c>
      <c r="AD521" s="17" t="n"/>
      <c r="AE521" s="16" t="n"/>
      <c r="AF521" s="20" t="inlineStr">
        <is>
          <t>IC Anionen</t>
        </is>
      </c>
      <c r="AG521" s="20" t="inlineStr">
        <is>
          <t>None</t>
        </is>
      </c>
      <c r="AH521" s="17" t="n"/>
      <c r="AI521" s="16" t="n"/>
      <c r="AJ521" s="20" t="n"/>
      <c r="AK521" s="20" t="inlineStr">
        <is>
          <t>None</t>
        </is>
      </c>
      <c r="AL521" s="17" t="n"/>
      <c r="AM521" s="16" t="n"/>
      <c r="AN521" s="20" t="inlineStr">
        <is>
          <t>IC Anionen</t>
        </is>
      </c>
      <c r="AO521" s="20" t="inlineStr">
        <is>
          <t>None</t>
        </is>
      </c>
      <c r="AP521" s="17" t="n"/>
      <c r="AQ521" s="16" t="n"/>
      <c r="AR521" s="20" t="n"/>
      <c r="AS521" s="20" t="inlineStr">
        <is>
          <t>None</t>
        </is>
      </c>
      <c r="AT521" s="17" t="n"/>
      <c r="AU521" s="16" t="n"/>
      <c r="AV521" s="20" t="n"/>
      <c r="AW521" s="20" t="inlineStr">
        <is>
          <t>None</t>
        </is>
      </c>
      <c r="AX521" s="17" t="n"/>
      <c r="AY521" s="16" t="n"/>
      <c r="AZ521" s="20" t="inlineStr">
        <is>
          <t>IC Anionen</t>
        </is>
      </c>
      <c r="BA521" s="20" t="inlineStr">
        <is>
          <t>None</t>
        </is>
      </c>
      <c r="BB521" s="17" t="n"/>
      <c r="BC521" s="16" t="n"/>
      <c r="BD521" s="20" t="inlineStr">
        <is>
          <t>IC Kationen</t>
        </is>
      </c>
      <c r="BE521" s="20" t="inlineStr">
        <is>
          <t>None</t>
        </is>
      </c>
      <c r="BF521" s="17" t="n"/>
      <c r="BG521" s="16" t="n"/>
      <c r="BH521" s="20" t="inlineStr">
        <is>
          <t>IC Kationen</t>
        </is>
      </c>
      <c r="BI521" s="20" t="inlineStr">
        <is>
          <t>None</t>
        </is>
      </c>
      <c r="BJ521" s="17" t="n"/>
      <c r="BK521" s="16" t="n"/>
      <c r="BL521" s="20" t="inlineStr">
        <is>
          <t>IC Kationen</t>
        </is>
      </c>
      <c r="BM521" s="20" t="inlineStr">
        <is>
          <t>None</t>
        </is>
      </c>
      <c r="BN521" s="17" t="n"/>
      <c r="BO521" s="16" t="n"/>
      <c r="BP521" s="20" t="inlineStr">
        <is>
          <t>IC Kationen</t>
        </is>
      </c>
      <c r="BQ521" s="20" t="inlineStr">
        <is>
          <t>None</t>
        </is>
      </c>
      <c r="BR521" s="17" t="n"/>
      <c r="BS521" s="16" t="n"/>
      <c r="BT521" s="20" t="inlineStr">
        <is>
          <t>IC Kationen</t>
        </is>
      </c>
      <c r="BU521" s="20" t="inlineStr">
        <is>
          <t>None</t>
        </is>
      </c>
      <c r="BV521" s="17" t="n"/>
      <c r="BW521" s="16" t="n"/>
      <c r="BX521" s="20" t="n"/>
      <c r="BY521" s="20" t="inlineStr">
        <is>
          <t>None</t>
        </is>
      </c>
      <c r="BZ521" s="17" t="n"/>
      <c r="CA521" s="16" t="n"/>
      <c r="CB521" s="20" t="n"/>
      <c r="CC521" s="20" t="inlineStr">
        <is>
          <t>None</t>
        </is>
      </c>
      <c r="CD521" s="17" t="n"/>
      <c r="CE521" s="16" t="n"/>
      <c r="CF521" s="20" t="n"/>
      <c r="CG521" s="20" t="inlineStr">
        <is>
          <t>None</t>
        </is>
      </c>
      <c r="CH521" s="17" t="n"/>
      <c r="CI521" s="16" t="n"/>
      <c r="CJ521" s="20" t="n"/>
      <c r="CK521" s="20" t="inlineStr">
        <is>
          <t>None</t>
        </is>
      </c>
      <c r="CL521" s="17" t="n"/>
      <c r="CM521" s="16" t="n"/>
      <c r="CN521" s="20" t="inlineStr">
        <is>
          <t>SOP 45-34</t>
        </is>
      </c>
      <c r="CO521" s="20" t="inlineStr">
        <is>
          <t>None</t>
        </is>
      </c>
      <c r="CP521" s="17" t="n"/>
      <c r="CQ521" s="16" t="n"/>
      <c r="CR521" s="20" t="n"/>
      <c r="CS521" s="20" t="inlineStr">
        <is>
          <t>None</t>
        </is>
      </c>
      <c r="CT521" s="17" t="n"/>
      <c r="CU521" s="16" t="n"/>
      <c r="CV521" s="20" t="n"/>
      <c r="CW521" s="20" t="inlineStr">
        <is>
          <t>None</t>
        </is>
      </c>
      <c r="CX521" s="17" t="n"/>
      <c r="CY521" s="16" t="n"/>
      <c r="CZ521" s="20" t="inlineStr">
        <is>
          <t>WTW Multimeter 3430 with FDO 925</t>
        </is>
      </c>
      <c r="DA521" s="20" t="inlineStr">
        <is>
          <t>None</t>
        </is>
      </c>
      <c r="DB521" s="17" t="n"/>
      <c r="DC521" s="16" t="n"/>
      <c r="DD521" s="20" t="n"/>
      <c r="DE521" s="20" t="inlineStr">
        <is>
          <t>None</t>
        </is>
      </c>
      <c r="DF521" s="17" t="n"/>
      <c r="DG521" s="16" t="n"/>
      <c r="DH521" s="20" t="inlineStr">
        <is>
          <t>SOP 45-09</t>
        </is>
      </c>
      <c r="DI521" s="20" t="inlineStr">
        <is>
          <t>None</t>
        </is>
      </c>
      <c r="DJ521" s="17" t="n"/>
      <c r="DK521" s="16" t="n"/>
      <c r="DL521" s="20" t="inlineStr">
        <is>
          <t>SOP 45-09 (SOP muss noch angepasst werden für VSS)</t>
        </is>
      </c>
      <c r="DM521" s="20" t="inlineStr">
        <is>
          <t>None</t>
        </is>
      </c>
      <c r="DN521" s="17" t="n"/>
      <c r="DO521" s="16" t="n"/>
      <c r="DP521" s="20" t="inlineStr">
        <is>
          <t>IC Organic Acids</t>
        </is>
      </c>
      <c r="DQ521" s="20" t="inlineStr">
        <is>
          <t>None</t>
        </is>
      </c>
      <c r="DR521" s="17" t="n"/>
      <c r="DS521" s="16" t="n"/>
      <c r="DT521" s="20" t="inlineStr">
        <is>
          <t>IC Organic Acids</t>
        </is>
      </c>
      <c r="DU521" s="20" t="inlineStr">
        <is>
          <t>None</t>
        </is>
      </c>
      <c r="DV521" s="17" t="n"/>
      <c r="DW521" s="16" t="n"/>
      <c r="DX521" s="20" t="inlineStr">
        <is>
          <t>IC Organic Acids</t>
        </is>
      </c>
      <c r="DY521" s="20" t="inlineStr">
        <is>
          <t>None</t>
        </is>
      </c>
      <c r="DZ521" s="17" t="n"/>
      <c r="EA521" s="16" t="n"/>
      <c r="EB521" s="20" t="inlineStr">
        <is>
          <t>IC Organic Acids</t>
        </is>
      </c>
      <c r="EC521" s="20" t="inlineStr">
        <is>
          <t>None</t>
        </is>
      </c>
      <c r="ED521" s="17" t="n"/>
      <c r="EE521" s="16" t="n"/>
      <c r="EF521" s="20" t="inlineStr">
        <is>
          <t>IC Organic Acids</t>
        </is>
      </c>
      <c r="EG521" s="20" t="inlineStr">
        <is>
          <t>None</t>
        </is>
      </c>
      <c r="EH521" s="17" t="n"/>
      <c r="EI521" s="16" t="n"/>
      <c r="EJ521" s="20" t="inlineStr">
        <is>
          <t>IC Organic Acids</t>
        </is>
      </c>
      <c r="EK521" s="20" t="inlineStr">
        <is>
          <t>None</t>
        </is>
      </c>
      <c r="EL521" s="17" t="n"/>
      <c r="EM521" s="16" t="n"/>
      <c r="EN521" s="20" t="inlineStr">
        <is>
          <t>IC Organic Acids</t>
        </is>
      </c>
      <c r="EO521" s="20" t="inlineStr">
        <is>
          <t>None</t>
        </is>
      </c>
      <c r="EP521" s="17" t="n"/>
      <c r="EQ521" s="16" t="n"/>
      <c r="ER521" s="20" t="inlineStr">
        <is>
          <t>IC Organic Acids</t>
        </is>
      </c>
      <c r="ES521" s="20" t="inlineStr">
        <is>
          <t>None</t>
        </is>
      </c>
      <c r="ET521" s="17" t="n"/>
      <c r="EU521" s="16" t="n"/>
      <c r="EV521" s="20" t="inlineStr">
        <is>
          <t>LC-MS</t>
        </is>
      </c>
      <c r="EW521" s="20" t="inlineStr">
        <is>
          <t>None</t>
        </is>
      </c>
      <c r="EX521" s="17" t="n"/>
      <c r="EY521" s="21" t="n"/>
      <c r="EZ521">
        <f>CONCATENATE(A521,B521)</f>
        <v/>
      </c>
      <c r="FA521">
        <f>CONCATENATE(SamplesX!A521,SamplesX!B521)</f>
        <v/>
      </c>
      <c r="FC521">
        <f>MATCH(EZ521,FA1:FA1008,0)</f>
        <v/>
      </c>
    </row>
    <row r="522">
      <c r="A522" s="16" t="n"/>
      <c r="B522" s="17" t="n"/>
      <c r="C522" s="10">
        <f>IF(ISNUMBER(FC522),INDIRECT("SamplesX!C"&amp;FC522),IF(ISNUMBER(FD522),INDIRECT("SamplesY!C"&amp;FD522),""))</f>
        <v/>
      </c>
      <c r="D522" s="12">
        <f>IF(ISNUMBER(FC522),INDIRECT("SamplesX!D"&amp;FC522),IF(ISNUMBER(FD522),INDIRECT("SamplesY!D"&amp;FD522),""))</f>
        <v/>
      </c>
      <c r="E522" s="12">
        <f>IF(ISNUMBER(FC522),INDIRECT("SamplesX!E"&amp;FC522),IF(ISNUMBER(FD522),INDIRECT("SamplesY!E"&amp;FD522),""))</f>
        <v/>
      </c>
      <c r="F522" s="11">
        <f>IF(ISNUMBER(FC522),INDIRECT("SamplesX!F"&amp;FC522),IF(ISNUMBER(FD522),INDIRECT("SamplesY!F"&amp;FD522),""))</f>
        <v/>
      </c>
      <c r="G522" s="18">
        <f>IF(ISNUMBER(FC522),INDIRECT("SamplesX!G"&amp;FC522),IF(ISNUMBER(FD522),INDIRECT("SamplesY!G"&amp;FD522),""))</f>
        <v/>
      </c>
      <c r="H522" s="19">
        <f>IF(ISNUMBER(FC522),INDIRECT("SamplesX!H"&amp;FC522),IF(ISNUMBER(FD522),INDIRECT("SamplesY!H"&amp;FD522),""))</f>
        <v/>
      </c>
      <c r="I522" s="16" t="n"/>
      <c r="J522" s="16" t="n"/>
      <c r="K522" s="16" t="n"/>
      <c r="L522" s="20" t="n"/>
      <c r="M522" s="20" t="inlineStr">
        <is>
          <t>None</t>
        </is>
      </c>
      <c r="N522" s="17" t="n"/>
      <c r="O522" s="16" t="n"/>
      <c r="P522" s="20" t="inlineStr">
        <is>
          <t>Shimadzu TOC-L</t>
        </is>
      </c>
      <c r="Q522" s="20" t="inlineStr">
        <is>
          <t>None</t>
        </is>
      </c>
      <c r="R522" s="17" t="n"/>
      <c r="S522" s="16" t="n"/>
      <c r="T522" s="20" t="inlineStr">
        <is>
          <t>Shimadzu TOC-L</t>
        </is>
      </c>
      <c r="U522" s="20" t="inlineStr">
        <is>
          <t>None</t>
        </is>
      </c>
      <c r="V522" s="17" t="n"/>
      <c r="W522" s="16" t="n"/>
      <c r="X522" s="20" t="n"/>
      <c r="Y522" s="20" t="inlineStr">
        <is>
          <t>None</t>
        </is>
      </c>
      <c r="Z522" s="17" t="n"/>
      <c r="AA522" s="16" t="n"/>
      <c r="AB522" s="20" t="n"/>
      <c r="AC522" s="20" t="inlineStr">
        <is>
          <t>None</t>
        </is>
      </c>
      <c r="AD522" s="17" t="n"/>
      <c r="AE522" s="16" t="n"/>
      <c r="AF522" s="20" t="inlineStr">
        <is>
          <t>IC Anionen</t>
        </is>
      </c>
      <c r="AG522" s="20" t="inlineStr">
        <is>
          <t>None</t>
        </is>
      </c>
      <c r="AH522" s="17" t="n"/>
      <c r="AI522" s="16" t="n"/>
      <c r="AJ522" s="20" t="n"/>
      <c r="AK522" s="20" t="inlineStr">
        <is>
          <t>None</t>
        </is>
      </c>
      <c r="AL522" s="17" t="n"/>
      <c r="AM522" s="16" t="n"/>
      <c r="AN522" s="20" t="inlineStr">
        <is>
          <t>IC Anionen</t>
        </is>
      </c>
      <c r="AO522" s="20" t="inlineStr">
        <is>
          <t>None</t>
        </is>
      </c>
      <c r="AP522" s="17" t="n"/>
      <c r="AQ522" s="16" t="n"/>
      <c r="AR522" s="20" t="n"/>
      <c r="AS522" s="20" t="inlineStr">
        <is>
          <t>None</t>
        </is>
      </c>
      <c r="AT522" s="17" t="n"/>
      <c r="AU522" s="16" t="n"/>
      <c r="AV522" s="20" t="n"/>
      <c r="AW522" s="20" t="inlineStr">
        <is>
          <t>None</t>
        </is>
      </c>
      <c r="AX522" s="17" t="n"/>
      <c r="AY522" s="16" t="n"/>
      <c r="AZ522" s="20" t="inlineStr">
        <is>
          <t>IC Anionen</t>
        </is>
      </c>
      <c r="BA522" s="20" t="inlineStr">
        <is>
          <t>None</t>
        </is>
      </c>
      <c r="BB522" s="17" t="n"/>
      <c r="BC522" s="16" t="n"/>
      <c r="BD522" s="20" t="inlineStr">
        <is>
          <t>IC Kationen</t>
        </is>
      </c>
      <c r="BE522" s="20" t="inlineStr">
        <is>
          <t>None</t>
        </is>
      </c>
      <c r="BF522" s="17" t="n"/>
      <c r="BG522" s="16" t="n"/>
      <c r="BH522" s="20" t="inlineStr">
        <is>
          <t>IC Kationen</t>
        </is>
      </c>
      <c r="BI522" s="20" t="inlineStr">
        <is>
          <t>None</t>
        </is>
      </c>
      <c r="BJ522" s="17" t="n"/>
      <c r="BK522" s="16" t="n"/>
      <c r="BL522" s="20" t="inlineStr">
        <is>
          <t>IC Kationen</t>
        </is>
      </c>
      <c r="BM522" s="20" t="inlineStr">
        <is>
          <t>None</t>
        </is>
      </c>
      <c r="BN522" s="17" t="n"/>
      <c r="BO522" s="16" t="n"/>
      <c r="BP522" s="20" t="inlineStr">
        <is>
          <t>IC Kationen</t>
        </is>
      </c>
      <c r="BQ522" s="20" t="inlineStr">
        <is>
          <t>None</t>
        </is>
      </c>
      <c r="BR522" s="17" t="n"/>
      <c r="BS522" s="16" t="n"/>
      <c r="BT522" s="20" t="inlineStr">
        <is>
          <t>IC Kationen</t>
        </is>
      </c>
      <c r="BU522" s="20" t="inlineStr">
        <is>
          <t>None</t>
        </is>
      </c>
      <c r="BV522" s="17" t="n"/>
      <c r="BW522" s="16" t="n"/>
      <c r="BX522" s="20" t="n"/>
      <c r="BY522" s="20" t="inlineStr">
        <is>
          <t>None</t>
        </is>
      </c>
      <c r="BZ522" s="17" t="n"/>
      <c r="CA522" s="16" t="n"/>
      <c r="CB522" s="20" t="n"/>
      <c r="CC522" s="20" t="inlineStr">
        <is>
          <t>None</t>
        </is>
      </c>
      <c r="CD522" s="17" t="n"/>
      <c r="CE522" s="16" t="n"/>
      <c r="CF522" s="20" t="n"/>
      <c r="CG522" s="20" t="inlineStr">
        <is>
          <t>None</t>
        </is>
      </c>
      <c r="CH522" s="17" t="n"/>
      <c r="CI522" s="16" t="n"/>
      <c r="CJ522" s="20" t="n"/>
      <c r="CK522" s="20" t="inlineStr">
        <is>
          <t>None</t>
        </is>
      </c>
      <c r="CL522" s="17" t="n"/>
      <c r="CM522" s="16" t="n"/>
      <c r="CN522" s="20" t="inlineStr">
        <is>
          <t>SOP 45-34</t>
        </is>
      </c>
      <c r="CO522" s="20" t="inlineStr">
        <is>
          <t>None</t>
        </is>
      </c>
      <c r="CP522" s="17" t="n"/>
      <c r="CQ522" s="16" t="n"/>
      <c r="CR522" s="20" t="n"/>
      <c r="CS522" s="20" t="inlineStr">
        <is>
          <t>None</t>
        </is>
      </c>
      <c r="CT522" s="17" t="n"/>
      <c r="CU522" s="16" t="n"/>
      <c r="CV522" s="20" t="n"/>
      <c r="CW522" s="20" t="inlineStr">
        <is>
          <t>None</t>
        </is>
      </c>
      <c r="CX522" s="17" t="n"/>
      <c r="CY522" s="16" t="n"/>
      <c r="CZ522" s="20" t="inlineStr">
        <is>
          <t>WTW Multimeter 3430 with FDO 925</t>
        </is>
      </c>
      <c r="DA522" s="20" t="inlineStr">
        <is>
          <t>None</t>
        </is>
      </c>
      <c r="DB522" s="17" t="n"/>
      <c r="DC522" s="16" t="n"/>
      <c r="DD522" s="20" t="n"/>
      <c r="DE522" s="20" t="inlineStr">
        <is>
          <t>None</t>
        </is>
      </c>
      <c r="DF522" s="17" t="n"/>
      <c r="DG522" s="16" t="n"/>
      <c r="DH522" s="20" t="inlineStr">
        <is>
          <t>SOP 45-09</t>
        </is>
      </c>
      <c r="DI522" s="20" t="inlineStr">
        <is>
          <t>None</t>
        </is>
      </c>
      <c r="DJ522" s="17" t="n"/>
      <c r="DK522" s="16" t="n"/>
      <c r="DL522" s="20" t="inlineStr">
        <is>
          <t>SOP 45-09 (SOP muss noch angepasst werden für VSS)</t>
        </is>
      </c>
      <c r="DM522" s="20" t="inlineStr">
        <is>
          <t>None</t>
        </is>
      </c>
      <c r="DN522" s="17" t="n"/>
      <c r="DO522" s="16" t="n"/>
      <c r="DP522" s="20" t="inlineStr">
        <is>
          <t>IC Organic Acids</t>
        </is>
      </c>
      <c r="DQ522" s="20" t="inlineStr">
        <is>
          <t>None</t>
        </is>
      </c>
      <c r="DR522" s="17" t="n"/>
      <c r="DS522" s="16" t="n"/>
      <c r="DT522" s="20" t="inlineStr">
        <is>
          <t>IC Organic Acids</t>
        </is>
      </c>
      <c r="DU522" s="20" t="inlineStr">
        <is>
          <t>None</t>
        </is>
      </c>
      <c r="DV522" s="17" t="n"/>
      <c r="DW522" s="16" t="n"/>
      <c r="DX522" s="20" t="inlineStr">
        <is>
          <t>IC Organic Acids</t>
        </is>
      </c>
      <c r="DY522" s="20" t="inlineStr">
        <is>
          <t>None</t>
        </is>
      </c>
      <c r="DZ522" s="17" t="n"/>
      <c r="EA522" s="16" t="n"/>
      <c r="EB522" s="20" t="inlineStr">
        <is>
          <t>IC Organic Acids</t>
        </is>
      </c>
      <c r="EC522" s="20" t="inlineStr">
        <is>
          <t>None</t>
        </is>
      </c>
      <c r="ED522" s="17" t="n"/>
      <c r="EE522" s="16" t="n"/>
      <c r="EF522" s="20" t="inlineStr">
        <is>
          <t>IC Organic Acids</t>
        </is>
      </c>
      <c r="EG522" s="20" t="inlineStr">
        <is>
          <t>None</t>
        </is>
      </c>
      <c r="EH522" s="17" t="n"/>
      <c r="EI522" s="16" t="n"/>
      <c r="EJ522" s="20" t="inlineStr">
        <is>
          <t>IC Organic Acids</t>
        </is>
      </c>
      <c r="EK522" s="20" t="inlineStr">
        <is>
          <t>None</t>
        </is>
      </c>
      <c r="EL522" s="17" t="n"/>
      <c r="EM522" s="16" t="n"/>
      <c r="EN522" s="20" t="inlineStr">
        <is>
          <t>IC Organic Acids</t>
        </is>
      </c>
      <c r="EO522" s="20" t="inlineStr">
        <is>
          <t>None</t>
        </is>
      </c>
      <c r="EP522" s="17" t="n"/>
      <c r="EQ522" s="16" t="n"/>
      <c r="ER522" s="20" t="inlineStr">
        <is>
          <t>IC Organic Acids</t>
        </is>
      </c>
      <c r="ES522" s="20" t="inlineStr">
        <is>
          <t>None</t>
        </is>
      </c>
      <c r="ET522" s="17" t="n"/>
      <c r="EU522" s="16" t="n"/>
      <c r="EV522" s="20" t="inlineStr">
        <is>
          <t>LC-MS</t>
        </is>
      </c>
      <c r="EW522" s="20" t="inlineStr">
        <is>
          <t>None</t>
        </is>
      </c>
      <c r="EX522" s="17" t="n"/>
      <c r="EY522" s="21" t="n"/>
      <c r="EZ522">
        <f>CONCATENATE(A522,B522)</f>
        <v/>
      </c>
      <c r="FA522">
        <f>CONCATENATE(SamplesX!A522,SamplesX!B522)</f>
        <v/>
      </c>
      <c r="FC522">
        <f>MATCH(EZ522,FA1:FA1008,0)</f>
        <v/>
      </c>
    </row>
    <row r="523">
      <c r="A523" s="16" t="n"/>
      <c r="B523" s="17" t="n"/>
      <c r="C523" s="10">
        <f>IF(ISNUMBER(FC523),INDIRECT("SamplesX!C"&amp;FC523),IF(ISNUMBER(FD523),INDIRECT("SamplesY!C"&amp;FD523),""))</f>
        <v/>
      </c>
      <c r="D523" s="12">
        <f>IF(ISNUMBER(FC523),INDIRECT("SamplesX!D"&amp;FC523),IF(ISNUMBER(FD523),INDIRECT("SamplesY!D"&amp;FD523),""))</f>
        <v/>
      </c>
      <c r="E523" s="12">
        <f>IF(ISNUMBER(FC523),INDIRECT("SamplesX!E"&amp;FC523),IF(ISNUMBER(FD523),INDIRECT("SamplesY!E"&amp;FD523),""))</f>
        <v/>
      </c>
      <c r="F523" s="11">
        <f>IF(ISNUMBER(FC523),INDIRECT("SamplesX!F"&amp;FC523),IF(ISNUMBER(FD523),INDIRECT("SamplesY!F"&amp;FD523),""))</f>
        <v/>
      </c>
      <c r="G523" s="18">
        <f>IF(ISNUMBER(FC523),INDIRECT("SamplesX!G"&amp;FC523),IF(ISNUMBER(FD523),INDIRECT("SamplesY!G"&amp;FD523),""))</f>
        <v/>
      </c>
      <c r="H523" s="19">
        <f>IF(ISNUMBER(FC523),INDIRECT("SamplesX!H"&amp;FC523),IF(ISNUMBER(FD523),INDIRECT("SamplesY!H"&amp;FD523),""))</f>
        <v/>
      </c>
      <c r="I523" s="16" t="n"/>
      <c r="J523" s="16" t="n"/>
      <c r="K523" s="16" t="n"/>
      <c r="L523" s="20" t="n"/>
      <c r="M523" s="20" t="inlineStr">
        <is>
          <t>None</t>
        </is>
      </c>
      <c r="N523" s="17" t="n"/>
      <c r="O523" s="16" t="n"/>
      <c r="P523" s="20" t="inlineStr">
        <is>
          <t>Shimadzu TOC-L</t>
        </is>
      </c>
      <c r="Q523" s="20" t="inlineStr">
        <is>
          <t>None</t>
        </is>
      </c>
      <c r="R523" s="17" t="n"/>
      <c r="S523" s="16" t="n"/>
      <c r="T523" s="20" t="inlineStr">
        <is>
          <t>Shimadzu TOC-L</t>
        </is>
      </c>
      <c r="U523" s="20" t="inlineStr">
        <is>
          <t>None</t>
        </is>
      </c>
      <c r="V523" s="17" t="n"/>
      <c r="W523" s="16" t="n"/>
      <c r="X523" s="20" t="n"/>
      <c r="Y523" s="20" t="inlineStr">
        <is>
          <t>None</t>
        </is>
      </c>
      <c r="Z523" s="17" t="n"/>
      <c r="AA523" s="16" t="n"/>
      <c r="AB523" s="20" t="n"/>
      <c r="AC523" s="20" t="inlineStr">
        <is>
          <t>None</t>
        </is>
      </c>
      <c r="AD523" s="17" t="n"/>
      <c r="AE523" s="16" t="n"/>
      <c r="AF523" s="20" t="inlineStr">
        <is>
          <t>IC Anionen</t>
        </is>
      </c>
      <c r="AG523" s="20" t="inlineStr">
        <is>
          <t>None</t>
        </is>
      </c>
      <c r="AH523" s="17" t="n"/>
      <c r="AI523" s="16" t="n"/>
      <c r="AJ523" s="20" t="n"/>
      <c r="AK523" s="20" t="inlineStr">
        <is>
          <t>None</t>
        </is>
      </c>
      <c r="AL523" s="17" t="n"/>
      <c r="AM523" s="16" t="n"/>
      <c r="AN523" s="20" t="inlineStr">
        <is>
          <t>IC Anionen</t>
        </is>
      </c>
      <c r="AO523" s="20" t="inlineStr">
        <is>
          <t>None</t>
        </is>
      </c>
      <c r="AP523" s="17" t="n"/>
      <c r="AQ523" s="16" t="n"/>
      <c r="AR523" s="20" t="n"/>
      <c r="AS523" s="20" t="inlineStr">
        <is>
          <t>None</t>
        </is>
      </c>
      <c r="AT523" s="17" t="n"/>
      <c r="AU523" s="16" t="n"/>
      <c r="AV523" s="20" t="n"/>
      <c r="AW523" s="20" t="inlineStr">
        <is>
          <t>None</t>
        </is>
      </c>
      <c r="AX523" s="17" t="n"/>
      <c r="AY523" s="16" t="n"/>
      <c r="AZ523" s="20" t="inlineStr">
        <is>
          <t>IC Anionen</t>
        </is>
      </c>
      <c r="BA523" s="20" t="inlineStr">
        <is>
          <t>None</t>
        </is>
      </c>
      <c r="BB523" s="17" t="n"/>
      <c r="BC523" s="16" t="n"/>
      <c r="BD523" s="20" t="inlineStr">
        <is>
          <t>IC Kationen</t>
        </is>
      </c>
      <c r="BE523" s="20" t="inlineStr">
        <is>
          <t>None</t>
        </is>
      </c>
      <c r="BF523" s="17" t="n"/>
      <c r="BG523" s="16" t="n"/>
      <c r="BH523" s="20" t="inlineStr">
        <is>
          <t>IC Kationen</t>
        </is>
      </c>
      <c r="BI523" s="20" t="inlineStr">
        <is>
          <t>None</t>
        </is>
      </c>
      <c r="BJ523" s="17" t="n"/>
      <c r="BK523" s="16" t="n"/>
      <c r="BL523" s="20" t="inlineStr">
        <is>
          <t>IC Kationen</t>
        </is>
      </c>
      <c r="BM523" s="20" t="inlineStr">
        <is>
          <t>None</t>
        </is>
      </c>
      <c r="BN523" s="17" t="n"/>
      <c r="BO523" s="16" t="n"/>
      <c r="BP523" s="20" t="inlineStr">
        <is>
          <t>IC Kationen</t>
        </is>
      </c>
      <c r="BQ523" s="20" t="inlineStr">
        <is>
          <t>None</t>
        </is>
      </c>
      <c r="BR523" s="17" t="n"/>
      <c r="BS523" s="16" t="n"/>
      <c r="BT523" s="20" t="inlineStr">
        <is>
          <t>IC Kationen</t>
        </is>
      </c>
      <c r="BU523" s="20" t="inlineStr">
        <is>
          <t>None</t>
        </is>
      </c>
      <c r="BV523" s="17" t="n"/>
      <c r="BW523" s="16" t="n"/>
      <c r="BX523" s="20" t="n"/>
      <c r="BY523" s="20" t="inlineStr">
        <is>
          <t>None</t>
        </is>
      </c>
      <c r="BZ523" s="17" t="n"/>
      <c r="CA523" s="16" t="n"/>
      <c r="CB523" s="20" t="n"/>
      <c r="CC523" s="20" t="inlineStr">
        <is>
          <t>None</t>
        </is>
      </c>
      <c r="CD523" s="17" t="n"/>
      <c r="CE523" s="16" t="n"/>
      <c r="CF523" s="20" t="n"/>
      <c r="CG523" s="20" t="inlineStr">
        <is>
          <t>None</t>
        </is>
      </c>
      <c r="CH523" s="17" t="n"/>
      <c r="CI523" s="16" t="n"/>
      <c r="CJ523" s="20" t="n"/>
      <c r="CK523" s="20" t="inlineStr">
        <is>
          <t>None</t>
        </is>
      </c>
      <c r="CL523" s="17" t="n"/>
      <c r="CM523" s="16" t="n"/>
      <c r="CN523" s="20" t="inlineStr">
        <is>
          <t>SOP 45-34</t>
        </is>
      </c>
      <c r="CO523" s="20" t="inlineStr">
        <is>
          <t>None</t>
        </is>
      </c>
      <c r="CP523" s="17" t="n"/>
      <c r="CQ523" s="16" t="n"/>
      <c r="CR523" s="20" t="n"/>
      <c r="CS523" s="20" t="inlineStr">
        <is>
          <t>None</t>
        </is>
      </c>
      <c r="CT523" s="17" t="n"/>
      <c r="CU523" s="16" t="n"/>
      <c r="CV523" s="20" t="n"/>
      <c r="CW523" s="20" t="inlineStr">
        <is>
          <t>None</t>
        </is>
      </c>
      <c r="CX523" s="17" t="n"/>
      <c r="CY523" s="16" t="n"/>
      <c r="CZ523" s="20" t="inlineStr">
        <is>
          <t>WTW Multimeter 3430 with FDO 925</t>
        </is>
      </c>
      <c r="DA523" s="20" t="inlineStr">
        <is>
          <t>None</t>
        </is>
      </c>
      <c r="DB523" s="17" t="n"/>
      <c r="DC523" s="16" t="n"/>
      <c r="DD523" s="20" t="n"/>
      <c r="DE523" s="20" t="inlineStr">
        <is>
          <t>None</t>
        </is>
      </c>
      <c r="DF523" s="17" t="n"/>
      <c r="DG523" s="16" t="n"/>
      <c r="DH523" s="20" t="inlineStr">
        <is>
          <t>SOP 45-09</t>
        </is>
      </c>
      <c r="DI523" s="20" t="inlineStr">
        <is>
          <t>None</t>
        </is>
      </c>
      <c r="DJ523" s="17" t="n"/>
      <c r="DK523" s="16" t="n"/>
      <c r="DL523" s="20" t="inlineStr">
        <is>
          <t>SOP 45-09 (SOP muss noch angepasst werden für VSS)</t>
        </is>
      </c>
      <c r="DM523" s="20" t="inlineStr">
        <is>
          <t>None</t>
        </is>
      </c>
      <c r="DN523" s="17" t="n"/>
      <c r="DO523" s="16" t="n"/>
      <c r="DP523" s="20" t="inlineStr">
        <is>
          <t>IC Organic Acids</t>
        </is>
      </c>
      <c r="DQ523" s="20" t="inlineStr">
        <is>
          <t>None</t>
        </is>
      </c>
      <c r="DR523" s="17" t="n"/>
      <c r="DS523" s="16" t="n"/>
      <c r="DT523" s="20" t="inlineStr">
        <is>
          <t>IC Organic Acids</t>
        </is>
      </c>
      <c r="DU523" s="20" t="inlineStr">
        <is>
          <t>None</t>
        </is>
      </c>
      <c r="DV523" s="17" t="n"/>
      <c r="DW523" s="16" t="n"/>
      <c r="DX523" s="20" t="inlineStr">
        <is>
          <t>IC Organic Acids</t>
        </is>
      </c>
      <c r="DY523" s="20" t="inlineStr">
        <is>
          <t>None</t>
        </is>
      </c>
      <c r="DZ523" s="17" t="n"/>
      <c r="EA523" s="16" t="n"/>
      <c r="EB523" s="20" t="inlineStr">
        <is>
          <t>IC Organic Acids</t>
        </is>
      </c>
      <c r="EC523" s="20" t="inlineStr">
        <is>
          <t>None</t>
        </is>
      </c>
      <c r="ED523" s="17" t="n"/>
      <c r="EE523" s="16" t="n"/>
      <c r="EF523" s="20" t="inlineStr">
        <is>
          <t>IC Organic Acids</t>
        </is>
      </c>
      <c r="EG523" s="20" t="inlineStr">
        <is>
          <t>None</t>
        </is>
      </c>
      <c r="EH523" s="17" t="n"/>
      <c r="EI523" s="16" t="n"/>
      <c r="EJ523" s="20" t="inlineStr">
        <is>
          <t>IC Organic Acids</t>
        </is>
      </c>
      <c r="EK523" s="20" t="inlineStr">
        <is>
          <t>None</t>
        </is>
      </c>
      <c r="EL523" s="17" t="n"/>
      <c r="EM523" s="16" t="n"/>
      <c r="EN523" s="20" t="inlineStr">
        <is>
          <t>IC Organic Acids</t>
        </is>
      </c>
      <c r="EO523" s="20" t="inlineStr">
        <is>
          <t>None</t>
        </is>
      </c>
      <c r="EP523" s="17" t="n"/>
      <c r="EQ523" s="16" t="n"/>
      <c r="ER523" s="20" t="inlineStr">
        <is>
          <t>IC Organic Acids</t>
        </is>
      </c>
      <c r="ES523" s="20" t="inlineStr">
        <is>
          <t>None</t>
        </is>
      </c>
      <c r="ET523" s="17" t="n"/>
      <c r="EU523" s="16" t="n"/>
      <c r="EV523" s="20" t="inlineStr">
        <is>
          <t>LC-MS</t>
        </is>
      </c>
      <c r="EW523" s="20" t="inlineStr">
        <is>
          <t>None</t>
        </is>
      </c>
      <c r="EX523" s="17" t="n"/>
      <c r="EY523" s="21" t="n"/>
      <c r="EZ523">
        <f>CONCATENATE(A523,B523)</f>
        <v/>
      </c>
      <c r="FA523">
        <f>CONCATENATE(SamplesX!A523,SamplesX!B523)</f>
        <v/>
      </c>
      <c r="FC523">
        <f>MATCH(EZ523,FA1:FA1008,0)</f>
        <v/>
      </c>
    </row>
    <row r="524">
      <c r="A524" s="16" t="n"/>
      <c r="B524" s="17" t="n"/>
      <c r="C524" s="10">
        <f>IF(ISNUMBER(FC524),INDIRECT("SamplesX!C"&amp;FC524),IF(ISNUMBER(FD524),INDIRECT("SamplesY!C"&amp;FD524),""))</f>
        <v/>
      </c>
      <c r="D524" s="12">
        <f>IF(ISNUMBER(FC524),INDIRECT("SamplesX!D"&amp;FC524),IF(ISNUMBER(FD524),INDIRECT("SamplesY!D"&amp;FD524),""))</f>
        <v/>
      </c>
      <c r="E524" s="12">
        <f>IF(ISNUMBER(FC524),INDIRECT("SamplesX!E"&amp;FC524),IF(ISNUMBER(FD524),INDIRECT("SamplesY!E"&amp;FD524),""))</f>
        <v/>
      </c>
      <c r="F524" s="11">
        <f>IF(ISNUMBER(FC524),INDIRECT("SamplesX!F"&amp;FC524),IF(ISNUMBER(FD524),INDIRECT("SamplesY!F"&amp;FD524),""))</f>
        <v/>
      </c>
      <c r="G524" s="18">
        <f>IF(ISNUMBER(FC524),INDIRECT("SamplesX!G"&amp;FC524),IF(ISNUMBER(FD524),INDIRECT("SamplesY!G"&amp;FD524),""))</f>
        <v/>
      </c>
      <c r="H524" s="19">
        <f>IF(ISNUMBER(FC524),INDIRECT("SamplesX!H"&amp;FC524),IF(ISNUMBER(FD524),INDIRECT("SamplesY!H"&amp;FD524),""))</f>
        <v/>
      </c>
      <c r="I524" s="16" t="n"/>
      <c r="J524" s="16" t="n"/>
      <c r="K524" s="16" t="n"/>
      <c r="L524" s="20" t="n"/>
      <c r="M524" s="20" t="inlineStr">
        <is>
          <t>None</t>
        </is>
      </c>
      <c r="N524" s="17" t="n"/>
      <c r="O524" s="16" t="n"/>
      <c r="P524" s="20" t="inlineStr">
        <is>
          <t>Shimadzu TOC-L</t>
        </is>
      </c>
      <c r="Q524" s="20" t="inlineStr">
        <is>
          <t>None</t>
        </is>
      </c>
      <c r="R524" s="17" t="n"/>
      <c r="S524" s="16" t="n"/>
      <c r="T524" s="20" t="inlineStr">
        <is>
          <t>Shimadzu TOC-L</t>
        </is>
      </c>
      <c r="U524" s="20" t="inlineStr">
        <is>
          <t>None</t>
        </is>
      </c>
      <c r="V524" s="17" t="n"/>
      <c r="W524" s="16" t="n"/>
      <c r="X524" s="20" t="n"/>
      <c r="Y524" s="20" t="inlineStr">
        <is>
          <t>None</t>
        </is>
      </c>
      <c r="Z524" s="17" t="n"/>
      <c r="AA524" s="16" t="n"/>
      <c r="AB524" s="20" t="n"/>
      <c r="AC524" s="20" t="inlineStr">
        <is>
          <t>None</t>
        </is>
      </c>
      <c r="AD524" s="17" t="n"/>
      <c r="AE524" s="16" t="n"/>
      <c r="AF524" s="20" t="inlineStr">
        <is>
          <t>IC Anionen</t>
        </is>
      </c>
      <c r="AG524" s="20" t="inlineStr">
        <is>
          <t>None</t>
        </is>
      </c>
      <c r="AH524" s="17" t="n"/>
      <c r="AI524" s="16" t="n"/>
      <c r="AJ524" s="20" t="n"/>
      <c r="AK524" s="20" t="inlineStr">
        <is>
          <t>None</t>
        </is>
      </c>
      <c r="AL524" s="17" t="n"/>
      <c r="AM524" s="16" t="n"/>
      <c r="AN524" s="20" t="inlineStr">
        <is>
          <t>IC Anionen</t>
        </is>
      </c>
      <c r="AO524" s="20" t="inlineStr">
        <is>
          <t>None</t>
        </is>
      </c>
      <c r="AP524" s="17" t="n"/>
      <c r="AQ524" s="16" t="n"/>
      <c r="AR524" s="20" t="n"/>
      <c r="AS524" s="20" t="inlineStr">
        <is>
          <t>None</t>
        </is>
      </c>
      <c r="AT524" s="17" t="n"/>
      <c r="AU524" s="16" t="n"/>
      <c r="AV524" s="20" t="n"/>
      <c r="AW524" s="20" t="inlineStr">
        <is>
          <t>None</t>
        </is>
      </c>
      <c r="AX524" s="17" t="n"/>
      <c r="AY524" s="16" t="n"/>
      <c r="AZ524" s="20" t="inlineStr">
        <is>
          <t>IC Anionen</t>
        </is>
      </c>
      <c r="BA524" s="20" t="inlineStr">
        <is>
          <t>None</t>
        </is>
      </c>
      <c r="BB524" s="17" t="n"/>
      <c r="BC524" s="16" t="n"/>
      <c r="BD524" s="20" t="inlineStr">
        <is>
          <t>IC Kationen</t>
        </is>
      </c>
      <c r="BE524" s="20" t="inlineStr">
        <is>
          <t>None</t>
        </is>
      </c>
      <c r="BF524" s="17" t="n"/>
      <c r="BG524" s="16" t="n"/>
      <c r="BH524" s="20" t="inlineStr">
        <is>
          <t>IC Kationen</t>
        </is>
      </c>
      <c r="BI524" s="20" t="inlineStr">
        <is>
          <t>None</t>
        </is>
      </c>
      <c r="BJ524" s="17" t="n"/>
      <c r="BK524" s="16" t="n"/>
      <c r="BL524" s="20" t="inlineStr">
        <is>
          <t>IC Kationen</t>
        </is>
      </c>
      <c r="BM524" s="20" t="inlineStr">
        <is>
          <t>None</t>
        </is>
      </c>
      <c r="BN524" s="17" t="n"/>
      <c r="BO524" s="16" t="n"/>
      <c r="BP524" s="20" t="inlineStr">
        <is>
          <t>IC Kationen</t>
        </is>
      </c>
      <c r="BQ524" s="20" t="inlineStr">
        <is>
          <t>None</t>
        </is>
      </c>
      <c r="BR524" s="17" t="n"/>
      <c r="BS524" s="16" t="n"/>
      <c r="BT524" s="20" t="inlineStr">
        <is>
          <t>IC Kationen</t>
        </is>
      </c>
      <c r="BU524" s="20" t="inlineStr">
        <is>
          <t>None</t>
        </is>
      </c>
      <c r="BV524" s="17" t="n"/>
      <c r="BW524" s="16" t="n"/>
      <c r="BX524" s="20" t="n"/>
      <c r="BY524" s="20" t="inlineStr">
        <is>
          <t>None</t>
        </is>
      </c>
      <c r="BZ524" s="17" t="n"/>
      <c r="CA524" s="16" t="n"/>
      <c r="CB524" s="20" t="n"/>
      <c r="CC524" s="20" t="inlineStr">
        <is>
          <t>None</t>
        </is>
      </c>
      <c r="CD524" s="17" t="n"/>
      <c r="CE524" s="16" t="n"/>
      <c r="CF524" s="20" t="n"/>
      <c r="CG524" s="20" t="inlineStr">
        <is>
          <t>None</t>
        </is>
      </c>
      <c r="CH524" s="17" t="n"/>
      <c r="CI524" s="16" t="n"/>
      <c r="CJ524" s="20" t="n"/>
      <c r="CK524" s="20" t="inlineStr">
        <is>
          <t>None</t>
        </is>
      </c>
      <c r="CL524" s="17" t="n"/>
      <c r="CM524" s="16" t="n"/>
      <c r="CN524" s="20" t="inlineStr">
        <is>
          <t>SOP 45-34</t>
        </is>
      </c>
      <c r="CO524" s="20" t="inlineStr">
        <is>
          <t>None</t>
        </is>
      </c>
      <c r="CP524" s="17" t="n"/>
      <c r="CQ524" s="16" t="n"/>
      <c r="CR524" s="20" t="n"/>
      <c r="CS524" s="20" t="inlineStr">
        <is>
          <t>None</t>
        </is>
      </c>
      <c r="CT524" s="17" t="n"/>
      <c r="CU524" s="16" t="n"/>
      <c r="CV524" s="20" t="n"/>
      <c r="CW524" s="20" t="inlineStr">
        <is>
          <t>None</t>
        </is>
      </c>
      <c r="CX524" s="17" t="n"/>
      <c r="CY524" s="16" t="n"/>
      <c r="CZ524" s="20" t="inlineStr">
        <is>
          <t>WTW Multimeter 3430 with FDO 925</t>
        </is>
      </c>
      <c r="DA524" s="20" t="inlineStr">
        <is>
          <t>None</t>
        </is>
      </c>
      <c r="DB524" s="17" t="n"/>
      <c r="DC524" s="16" t="n"/>
      <c r="DD524" s="20" t="n"/>
      <c r="DE524" s="20" t="inlineStr">
        <is>
          <t>None</t>
        </is>
      </c>
      <c r="DF524" s="17" t="n"/>
      <c r="DG524" s="16" t="n"/>
      <c r="DH524" s="20" t="inlineStr">
        <is>
          <t>SOP 45-09</t>
        </is>
      </c>
      <c r="DI524" s="20" t="inlineStr">
        <is>
          <t>None</t>
        </is>
      </c>
      <c r="DJ524" s="17" t="n"/>
      <c r="DK524" s="16" t="n"/>
      <c r="DL524" s="20" t="inlineStr">
        <is>
          <t>SOP 45-09 (SOP muss noch angepasst werden für VSS)</t>
        </is>
      </c>
      <c r="DM524" s="20" t="inlineStr">
        <is>
          <t>None</t>
        </is>
      </c>
      <c r="DN524" s="17" t="n"/>
      <c r="DO524" s="16" t="n"/>
      <c r="DP524" s="20" t="inlineStr">
        <is>
          <t>IC Organic Acids</t>
        </is>
      </c>
      <c r="DQ524" s="20" t="inlineStr">
        <is>
          <t>None</t>
        </is>
      </c>
      <c r="DR524" s="17" t="n"/>
      <c r="DS524" s="16" t="n"/>
      <c r="DT524" s="20" t="inlineStr">
        <is>
          <t>IC Organic Acids</t>
        </is>
      </c>
      <c r="DU524" s="20" t="inlineStr">
        <is>
          <t>None</t>
        </is>
      </c>
      <c r="DV524" s="17" t="n"/>
      <c r="DW524" s="16" t="n"/>
      <c r="DX524" s="20" t="inlineStr">
        <is>
          <t>IC Organic Acids</t>
        </is>
      </c>
      <c r="DY524" s="20" t="inlineStr">
        <is>
          <t>None</t>
        </is>
      </c>
      <c r="DZ524" s="17" t="n"/>
      <c r="EA524" s="16" t="n"/>
      <c r="EB524" s="20" t="inlineStr">
        <is>
          <t>IC Organic Acids</t>
        </is>
      </c>
      <c r="EC524" s="20" t="inlineStr">
        <is>
          <t>None</t>
        </is>
      </c>
      <c r="ED524" s="17" t="n"/>
      <c r="EE524" s="16" t="n"/>
      <c r="EF524" s="20" t="inlineStr">
        <is>
          <t>IC Organic Acids</t>
        </is>
      </c>
      <c r="EG524" s="20" t="inlineStr">
        <is>
          <t>None</t>
        </is>
      </c>
      <c r="EH524" s="17" t="n"/>
      <c r="EI524" s="16" t="n"/>
      <c r="EJ524" s="20" t="inlineStr">
        <is>
          <t>IC Organic Acids</t>
        </is>
      </c>
      <c r="EK524" s="20" t="inlineStr">
        <is>
          <t>None</t>
        </is>
      </c>
      <c r="EL524" s="17" t="n"/>
      <c r="EM524" s="16" t="n"/>
      <c r="EN524" s="20" t="inlineStr">
        <is>
          <t>IC Organic Acids</t>
        </is>
      </c>
      <c r="EO524" s="20" t="inlineStr">
        <is>
          <t>None</t>
        </is>
      </c>
      <c r="EP524" s="17" t="n"/>
      <c r="EQ524" s="16" t="n"/>
      <c r="ER524" s="20" t="inlineStr">
        <is>
          <t>IC Organic Acids</t>
        </is>
      </c>
      <c r="ES524" s="20" t="inlineStr">
        <is>
          <t>None</t>
        </is>
      </c>
      <c r="ET524" s="17" t="n"/>
      <c r="EU524" s="16" t="n"/>
      <c r="EV524" s="20" t="inlineStr">
        <is>
          <t>LC-MS</t>
        </is>
      </c>
      <c r="EW524" s="20" t="inlineStr">
        <is>
          <t>None</t>
        </is>
      </c>
      <c r="EX524" s="17" t="n"/>
      <c r="EY524" s="21" t="n"/>
      <c r="EZ524">
        <f>CONCATENATE(A524,B524)</f>
        <v/>
      </c>
      <c r="FA524">
        <f>CONCATENATE(SamplesX!A524,SamplesX!B524)</f>
        <v/>
      </c>
      <c r="FC524">
        <f>MATCH(EZ524,FA1:FA1008,0)</f>
        <v/>
      </c>
    </row>
    <row r="525">
      <c r="A525" s="16" t="n"/>
      <c r="B525" s="17" t="n"/>
      <c r="C525" s="10">
        <f>IF(ISNUMBER(FC525),INDIRECT("SamplesX!C"&amp;FC525),IF(ISNUMBER(FD525),INDIRECT("SamplesY!C"&amp;FD525),""))</f>
        <v/>
      </c>
      <c r="D525" s="12">
        <f>IF(ISNUMBER(FC525),INDIRECT("SamplesX!D"&amp;FC525),IF(ISNUMBER(FD525),INDIRECT("SamplesY!D"&amp;FD525),""))</f>
        <v/>
      </c>
      <c r="E525" s="12">
        <f>IF(ISNUMBER(FC525),INDIRECT("SamplesX!E"&amp;FC525),IF(ISNUMBER(FD525),INDIRECT("SamplesY!E"&amp;FD525),""))</f>
        <v/>
      </c>
      <c r="F525" s="11">
        <f>IF(ISNUMBER(FC525),INDIRECT("SamplesX!F"&amp;FC525),IF(ISNUMBER(FD525),INDIRECT("SamplesY!F"&amp;FD525),""))</f>
        <v/>
      </c>
      <c r="G525" s="18">
        <f>IF(ISNUMBER(FC525),INDIRECT("SamplesX!G"&amp;FC525),IF(ISNUMBER(FD525),INDIRECT("SamplesY!G"&amp;FD525),""))</f>
        <v/>
      </c>
      <c r="H525" s="19">
        <f>IF(ISNUMBER(FC525),INDIRECT("SamplesX!H"&amp;FC525),IF(ISNUMBER(FD525),INDIRECT("SamplesY!H"&amp;FD525),""))</f>
        <v/>
      </c>
      <c r="I525" s="16" t="n"/>
      <c r="J525" s="16" t="n"/>
      <c r="K525" s="16" t="n"/>
      <c r="L525" s="20" t="n"/>
      <c r="M525" s="20" t="inlineStr">
        <is>
          <t>None</t>
        </is>
      </c>
      <c r="N525" s="17" t="n"/>
      <c r="O525" s="16" t="n"/>
      <c r="P525" s="20" t="inlineStr">
        <is>
          <t>Shimadzu TOC-L</t>
        </is>
      </c>
      <c r="Q525" s="20" t="inlineStr">
        <is>
          <t>None</t>
        </is>
      </c>
      <c r="R525" s="17" t="n"/>
      <c r="S525" s="16" t="n"/>
      <c r="T525" s="20" t="inlineStr">
        <is>
          <t>Shimadzu TOC-L</t>
        </is>
      </c>
      <c r="U525" s="20" t="inlineStr">
        <is>
          <t>None</t>
        </is>
      </c>
      <c r="V525" s="17" t="n"/>
      <c r="W525" s="16" t="n"/>
      <c r="X525" s="20" t="n"/>
      <c r="Y525" s="20" t="inlineStr">
        <is>
          <t>None</t>
        </is>
      </c>
      <c r="Z525" s="17" t="n"/>
      <c r="AA525" s="16" t="n"/>
      <c r="AB525" s="20" t="n"/>
      <c r="AC525" s="20" t="inlineStr">
        <is>
          <t>None</t>
        </is>
      </c>
      <c r="AD525" s="17" t="n"/>
      <c r="AE525" s="16" t="n"/>
      <c r="AF525" s="20" t="inlineStr">
        <is>
          <t>IC Anionen</t>
        </is>
      </c>
      <c r="AG525" s="20" t="inlineStr">
        <is>
          <t>None</t>
        </is>
      </c>
      <c r="AH525" s="17" t="n"/>
      <c r="AI525" s="16" t="n"/>
      <c r="AJ525" s="20" t="n"/>
      <c r="AK525" s="20" t="inlineStr">
        <is>
          <t>None</t>
        </is>
      </c>
      <c r="AL525" s="17" t="n"/>
      <c r="AM525" s="16" t="n"/>
      <c r="AN525" s="20" t="inlineStr">
        <is>
          <t>IC Anionen</t>
        </is>
      </c>
      <c r="AO525" s="20" t="inlineStr">
        <is>
          <t>None</t>
        </is>
      </c>
      <c r="AP525" s="17" t="n"/>
      <c r="AQ525" s="16" t="n"/>
      <c r="AR525" s="20" t="n"/>
      <c r="AS525" s="20" t="inlineStr">
        <is>
          <t>None</t>
        </is>
      </c>
      <c r="AT525" s="17" t="n"/>
      <c r="AU525" s="16" t="n"/>
      <c r="AV525" s="20" t="n"/>
      <c r="AW525" s="20" t="inlineStr">
        <is>
          <t>None</t>
        </is>
      </c>
      <c r="AX525" s="17" t="n"/>
      <c r="AY525" s="16" t="n"/>
      <c r="AZ525" s="20" t="inlineStr">
        <is>
          <t>IC Anionen</t>
        </is>
      </c>
      <c r="BA525" s="20" t="inlineStr">
        <is>
          <t>None</t>
        </is>
      </c>
      <c r="BB525" s="17" t="n"/>
      <c r="BC525" s="16" t="n"/>
      <c r="BD525" s="20" t="inlineStr">
        <is>
          <t>IC Kationen</t>
        </is>
      </c>
      <c r="BE525" s="20" t="inlineStr">
        <is>
          <t>None</t>
        </is>
      </c>
      <c r="BF525" s="17" t="n"/>
      <c r="BG525" s="16" t="n"/>
      <c r="BH525" s="20" t="inlineStr">
        <is>
          <t>IC Kationen</t>
        </is>
      </c>
      <c r="BI525" s="20" t="inlineStr">
        <is>
          <t>None</t>
        </is>
      </c>
      <c r="BJ525" s="17" t="n"/>
      <c r="BK525" s="16" t="n"/>
      <c r="BL525" s="20" t="inlineStr">
        <is>
          <t>IC Kationen</t>
        </is>
      </c>
      <c r="BM525" s="20" t="inlineStr">
        <is>
          <t>None</t>
        </is>
      </c>
      <c r="BN525" s="17" t="n"/>
      <c r="BO525" s="16" t="n"/>
      <c r="BP525" s="20" t="inlineStr">
        <is>
          <t>IC Kationen</t>
        </is>
      </c>
      <c r="BQ525" s="20" t="inlineStr">
        <is>
          <t>None</t>
        </is>
      </c>
      <c r="BR525" s="17" t="n"/>
      <c r="BS525" s="16" t="n"/>
      <c r="BT525" s="20" t="inlineStr">
        <is>
          <t>IC Kationen</t>
        </is>
      </c>
      <c r="BU525" s="20" t="inlineStr">
        <is>
          <t>None</t>
        </is>
      </c>
      <c r="BV525" s="17" t="n"/>
      <c r="BW525" s="16" t="n"/>
      <c r="BX525" s="20" t="n"/>
      <c r="BY525" s="20" t="inlineStr">
        <is>
          <t>None</t>
        </is>
      </c>
      <c r="BZ525" s="17" t="n"/>
      <c r="CA525" s="16" t="n"/>
      <c r="CB525" s="20" t="n"/>
      <c r="CC525" s="20" t="inlineStr">
        <is>
          <t>None</t>
        </is>
      </c>
      <c r="CD525" s="17" t="n"/>
      <c r="CE525" s="16" t="n"/>
      <c r="CF525" s="20" t="n"/>
      <c r="CG525" s="20" t="inlineStr">
        <is>
          <t>None</t>
        </is>
      </c>
      <c r="CH525" s="17" t="n"/>
      <c r="CI525" s="16" t="n"/>
      <c r="CJ525" s="20" t="n"/>
      <c r="CK525" s="20" t="inlineStr">
        <is>
          <t>None</t>
        </is>
      </c>
      <c r="CL525" s="17" t="n"/>
      <c r="CM525" s="16" t="n"/>
      <c r="CN525" s="20" t="inlineStr">
        <is>
          <t>SOP 45-34</t>
        </is>
      </c>
      <c r="CO525" s="20" t="inlineStr">
        <is>
          <t>None</t>
        </is>
      </c>
      <c r="CP525" s="17" t="n"/>
      <c r="CQ525" s="16" t="n"/>
      <c r="CR525" s="20" t="n"/>
      <c r="CS525" s="20" t="inlineStr">
        <is>
          <t>None</t>
        </is>
      </c>
      <c r="CT525" s="17" t="n"/>
      <c r="CU525" s="16" t="n"/>
      <c r="CV525" s="20" t="n"/>
      <c r="CW525" s="20" t="inlineStr">
        <is>
          <t>None</t>
        </is>
      </c>
      <c r="CX525" s="17" t="n"/>
      <c r="CY525" s="16" t="n"/>
      <c r="CZ525" s="20" t="inlineStr">
        <is>
          <t>WTW Multimeter 3430 with FDO 925</t>
        </is>
      </c>
      <c r="DA525" s="20" t="inlineStr">
        <is>
          <t>None</t>
        </is>
      </c>
      <c r="DB525" s="17" t="n"/>
      <c r="DC525" s="16" t="n"/>
      <c r="DD525" s="20" t="n"/>
      <c r="DE525" s="20" t="inlineStr">
        <is>
          <t>None</t>
        </is>
      </c>
      <c r="DF525" s="17" t="n"/>
      <c r="DG525" s="16" t="n"/>
      <c r="DH525" s="20" t="inlineStr">
        <is>
          <t>SOP 45-09</t>
        </is>
      </c>
      <c r="DI525" s="20" t="inlineStr">
        <is>
          <t>None</t>
        </is>
      </c>
      <c r="DJ525" s="17" t="n"/>
      <c r="DK525" s="16" t="n"/>
      <c r="DL525" s="20" t="inlineStr">
        <is>
          <t>SOP 45-09 (SOP muss noch angepasst werden für VSS)</t>
        </is>
      </c>
      <c r="DM525" s="20" t="inlineStr">
        <is>
          <t>None</t>
        </is>
      </c>
      <c r="DN525" s="17" t="n"/>
      <c r="DO525" s="16" t="n"/>
      <c r="DP525" s="20" t="inlineStr">
        <is>
          <t>IC Organic Acids</t>
        </is>
      </c>
      <c r="DQ525" s="20" t="inlineStr">
        <is>
          <t>None</t>
        </is>
      </c>
      <c r="DR525" s="17" t="n"/>
      <c r="DS525" s="16" t="n"/>
      <c r="DT525" s="20" t="inlineStr">
        <is>
          <t>IC Organic Acids</t>
        </is>
      </c>
      <c r="DU525" s="20" t="inlineStr">
        <is>
          <t>None</t>
        </is>
      </c>
      <c r="DV525" s="17" t="n"/>
      <c r="DW525" s="16" t="n"/>
      <c r="DX525" s="20" t="inlineStr">
        <is>
          <t>IC Organic Acids</t>
        </is>
      </c>
      <c r="DY525" s="20" t="inlineStr">
        <is>
          <t>None</t>
        </is>
      </c>
      <c r="DZ525" s="17" t="n"/>
      <c r="EA525" s="16" t="n"/>
      <c r="EB525" s="20" t="inlineStr">
        <is>
          <t>IC Organic Acids</t>
        </is>
      </c>
      <c r="EC525" s="20" t="inlineStr">
        <is>
          <t>None</t>
        </is>
      </c>
      <c r="ED525" s="17" t="n"/>
      <c r="EE525" s="16" t="n"/>
      <c r="EF525" s="20" t="inlineStr">
        <is>
          <t>IC Organic Acids</t>
        </is>
      </c>
      <c r="EG525" s="20" t="inlineStr">
        <is>
          <t>None</t>
        </is>
      </c>
      <c r="EH525" s="17" t="n"/>
      <c r="EI525" s="16" t="n"/>
      <c r="EJ525" s="20" t="inlineStr">
        <is>
          <t>IC Organic Acids</t>
        </is>
      </c>
      <c r="EK525" s="20" t="inlineStr">
        <is>
          <t>None</t>
        </is>
      </c>
      <c r="EL525" s="17" t="n"/>
      <c r="EM525" s="16" t="n"/>
      <c r="EN525" s="20" t="inlineStr">
        <is>
          <t>IC Organic Acids</t>
        </is>
      </c>
      <c r="EO525" s="20" t="inlineStr">
        <is>
          <t>None</t>
        </is>
      </c>
      <c r="EP525" s="17" t="n"/>
      <c r="EQ525" s="16" t="n"/>
      <c r="ER525" s="20" t="inlineStr">
        <is>
          <t>IC Organic Acids</t>
        </is>
      </c>
      <c r="ES525" s="20" t="inlineStr">
        <is>
          <t>None</t>
        </is>
      </c>
      <c r="ET525" s="17" t="n"/>
      <c r="EU525" s="16" t="n"/>
      <c r="EV525" s="20" t="inlineStr">
        <is>
          <t>LC-MS</t>
        </is>
      </c>
      <c r="EW525" s="20" t="inlineStr">
        <is>
          <t>None</t>
        </is>
      </c>
      <c r="EX525" s="17" t="n"/>
      <c r="EY525" s="21" t="n"/>
      <c r="EZ525">
        <f>CONCATENATE(A525,B525)</f>
        <v/>
      </c>
      <c r="FA525">
        <f>CONCATENATE(SamplesX!A525,SamplesX!B525)</f>
        <v/>
      </c>
      <c r="FC525">
        <f>MATCH(EZ525,FA1:FA1008,0)</f>
        <v/>
      </c>
    </row>
    <row r="526">
      <c r="A526" s="16" t="n"/>
      <c r="B526" s="17" t="n"/>
      <c r="C526" s="10">
        <f>IF(ISNUMBER(FC526),INDIRECT("SamplesX!C"&amp;FC526),IF(ISNUMBER(FD526),INDIRECT("SamplesY!C"&amp;FD526),""))</f>
        <v/>
      </c>
      <c r="D526" s="12">
        <f>IF(ISNUMBER(FC526),INDIRECT("SamplesX!D"&amp;FC526),IF(ISNUMBER(FD526),INDIRECT("SamplesY!D"&amp;FD526),""))</f>
        <v/>
      </c>
      <c r="E526" s="12">
        <f>IF(ISNUMBER(FC526),INDIRECT("SamplesX!E"&amp;FC526),IF(ISNUMBER(FD526),INDIRECT("SamplesY!E"&amp;FD526),""))</f>
        <v/>
      </c>
      <c r="F526" s="11">
        <f>IF(ISNUMBER(FC526),INDIRECT("SamplesX!F"&amp;FC526),IF(ISNUMBER(FD526),INDIRECT("SamplesY!F"&amp;FD526),""))</f>
        <v/>
      </c>
      <c r="G526" s="18">
        <f>IF(ISNUMBER(FC526),INDIRECT("SamplesX!G"&amp;FC526),IF(ISNUMBER(FD526),INDIRECT("SamplesY!G"&amp;FD526),""))</f>
        <v/>
      </c>
      <c r="H526" s="19">
        <f>IF(ISNUMBER(FC526),INDIRECT("SamplesX!H"&amp;FC526),IF(ISNUMBER(FD526),INDIRECT("SamplesY!H"&amp;FD526),""))</f>
        <v/>
      </c>
      <c r="I526" s="16" t="n"/>
      <c r="J526" s="16" t="n"/>
      <c r="K526" s="16" t="n"/>
      <c r="L526" s="20" t="n"/>
      <c r="M526" s="20" t="inlineStr">
        <is>
          <t>None</t>
        </is>
      </c>
      <c r="N526" s="17" t="n"/>
      <c r="O526" s="16" t="n"/>
      <c r="P526" s="20" t="inlineStr">
        <is>
          <t>Shimadzu TOC-L</t>
        </is>
      </c>
      <c r="Q526" s="20" t="inlineStr">
        <is>
          <t>None</t>
        </is>
      </c>
      <c r="R526" s="17" t="n"/>
      <c r="S526" s="16" t="n"/>
      <c r="T526" s="20" t="inlineStr">
        <is>
          <t>Shimadzu TOC-L</t>
        </is>
      </c>
      <c r="U526" s="20" t="inlineStr">
        <is>
          <t>None</t>
        </is>
      </c>
      <c r="V526" s="17" t="n"/>
      <c r="W526" s="16" t="n"/>
      <c r="X526" s="20" t="n"/>
      <c r="Y526" s="20" t="inlineStr">
        <is>
          <t>None</t>
        </is>
      </c>
      <c r="Z526" s="17" t="n"/>
      <c r="AA526" s="16" t="n"/>
      <c r="AB526" s="20" t="n"/>
      <c r="AC526" s="20" t="inlineStr">
        <is>
          <t>None</t>
        </is>
      </c>
      <c r="AD526" s="17" t="n"/>
      <c r="AE526" s="16" t="n"/>
      <c r="AF526" s="20" t="inlineStr">
        <is>
          <t>IC Anionen</t>
        </is>
      </c>
      <c r="AG526" s="20" t="inlineStr">
        <is>
          <t>None</t>
        </is>
      </c>
      <c r="AH526" s="17" t="n"/>
      <c r="AI526" s="16" t="n"/>
      <c r="AJ526" s="20" t="n"/>
      <c r="AK526" s="20" t="inlineStr">
        <is>
          <t>None</t>
        </is>
      </c>
      <c r="AL526" s="17" t="n"/>
      <c r="AM526" s="16" t="n"/>
      <c r="AN526" s="20" t="inlineStr">
        <is>
          <t>IC Anionen</t>
        </is>
      </c>
      <c r="AO526" s="20" t="inlineStr">
        <is>
          <t>None</t>
        </is>
      </c>
      <c r="AP526" s="17" t="n"/>
      <c r="AQ526" s="16" t="n"/>
      <c r="AR526" s="20" t="n"/>
      <c r="AS526" s="20" t="inlineStr">
        <is>
          <t>None</t>
        </is>
      </c>
      <c r="AT526" s="17" t="n"/>
      <c r="AU526" s="16" t="n"/>
      <c r="AV526" s="20" t="n"/>
      <c r="AW526" s="20" t="inlineStr">
        <is>
          <t>None</t>
        </is>
      </c>
      <c r="AX526" s="17" t="n"/>
      <c r="AY526" s="16" t="n"/>
      <c r="AZ526" s="20" t="inlineStr">
        <is>
          <t>IC Anionen</t>
        </is>
      </c>
      <c r="BA526" s="20" t="inlineStr">
        <is>
          <t>None</t>
        </is>
      </c>
      <c r="BB526" s="17" t="n"/>
      <c r="BC526" s="16" t="n"/>
      <c r="BD526" s="20" t="inlineStr">
        <is>
          <t>IC Kationen</t>
        </is>
      </c>
      <c r="BE526" s="20" t="inlineStr">
        <is>
          <t>None</t>
        </is>
      </c>
      <c r="BF526" s="17" t="n"/>
      <c r="BG526" s="16" t="n"/>
      <c r="BH526" s="20" t="inlineStr">
        <is>
          <t>IC Kationen</t>
        </is>
      </c>
      <c r="BI526" s="20" t="inlineStr">
        <is>
          <t>None</t>
        </is>
      </c>
      <c r="BJ526" s="17" t="n"/>
      <c r="BK526" s="16" t="n"/>
      <c r="BL526" s="20" t="inlineStr">
        <is>
          <t>IC Kationen</t>
        </is>
      </c>
      <c r="BM526" s="20" t="inlineStr">
        <is>
          <t>None</t>
        </is>
      </c>
      <c r="BN526" s="17" t="n"/>
      <c r="BO526" s="16" t="n"/>
      <c r="BP526" s="20" t="inlineStr">
        <is>
          <t>IC Kationen</t>
        </is>
      </c>
      <c r="BQ526" s="20" t="inlineStr">
        <is>
          <t>None</t>
        </is>
      </c>
      <c r="BR526" s="17" t="n"/>
      <c r="BS526" s="16" t="n"/>
      <c r="BT526" s="20" t="inlineStr">
        <is>
          <t>IC Kationen</t>
        </is>
      </c>
      <c r="BU526" s="20" t="inlineStr">
        <is>
          <t>None</t>
        </is>
      </c>
      <c r="BV526" s="17" t="n"/>
      <c r="BW526" s="16" t="n"/>
      <c r="BX526" s="20" t="n"/>
      <c r="BY526" s="20" t="inlineStr">
        <is>
          <t>None</t>
        </is>
      </c>
      <c r="BZ526" s="17" t="n"/>
      <c r="CA526" s="16" t="n"/>
      <c r="CB526" s="20" t="n"/>
      <c r="CC526" s="20" t="inlineStr">
        <is>
          <t>None</t>
        </is>
      </c>
      <c r="CD526" s="17" t="n"/>
      <c r="CE526" s="16" t="n"/>
      <c r="CF526" s="20" t="n"/>
      <c r="CG526" s="20" t="inlineStr">
        <is>
          <t>None</t>
        </is>
      </c>
      <c r="CH526" s="17" t="n"/>
      <c r="CI526" s="16" t="n"/>
      <c r="CJ526" s="20" t="n"/>
      <c r="CK526" s="20" t="inlineStr">
        <is>
          <t>None</t>
        </is>
      </c>
      <c r="CL526" s="17" t="n"/>
      <c r="CM526" s="16" t="n"/>
      <c r="CN526" s="20" t="inlineStr">
        <is>
          <t>SOP 45-34</t>
        </is>
      </c>
      <c r="CO526" s="20" t="inlineStr">
        <is>
          <t>None</t>
        </is>
      </c>
      <c r="CP526" s="17" t="n"/>
      <c r="CQ526" s="16" t="n"/>
      <c r="CR526" s="20" t="n"/>
      <c r="CS526" s="20" t="inlineStr">
        <is>
          <t>None</t>
        </is>
      </c>
      <c r="CT526" s="17" t="n"/>
      <c r="CU526" s="16" t="n"/>
      <c r="CV526" s="20" t="n"/>
      <c r="CW526" s="20" t="inlineStr">
        <is>
          <t>None</t>
        </is>
      </c>
      <c r="CX526" s="17" t="n"/>
      <c r="CY526" s="16" t="n"/>
      <c r="CZ526" s="20" t="inlineStr">
        <is>
          <t>WTW Multimeter 3430 with FDO 925</t>
        </is>
      </c>
      <c r="DA526" s="20" t="inlineStr">
        <is>
          <t>None</t>
        </is>
      </c>
      <c r="DB526" s="17" t="n"/>
      <c r="DC526" s="16" t="n"/>
      <c r="DD526" s="20" t="n"/>
      <c r="DE526" s="20" t="inlineStr">
        <is>
          <t>None</t>
        </is>
      </c>
      <c r="DF526" s="17" t="n"/>
      <c r="DG526" s="16" t="n"/>
      <c r="DH526" s="20" t="inlineStr">
        <is>
          <t>SOP 45-09</t>
        </is>
      </c>
      <c r="DI526" s="20" t="inlineStr">
        <is>
          <t>None</t>
        </is>
      </c>
      <c r="DJ526" s="17" t="n"/>
      <c r="DK526" s="16" t="n"/>
      <c r="DL526" s="20" t="inlineStr">
        <is>
          <t>SOP 45-09 (SOP muss noch angepasst werden für VSS)</t>
        </is>
      </c>
      <c r="DM526" s="20" t="inlineStr">
        <is>
          <t>None</t>
        </is>
      </c>
      <c r="DN526" s="17" t="n"/>
      <c r="DO526" s="16" t="n"/>
      <c r="DP526" s="20" t="inlineStr">
        <is>
          <t>IC Organic Acids</t>
        </is>
      </c>
      <c r="DQ526" s="20" t="inlineStr">
        <is>
          <t>None</t>
        </is>
      </c>
      <c r="DR526" s="17" t="n"/>
      <c r="DS526" s="16" t="n"/>
      <c r="DT526" s="20" t="inlineStr">
        <is>
          <t>IC Organic Acids</t>
        </is>
      </c>
      <c r="DU526" s="20" t="inlineStr">
        <is>
          <t>None</t>
        </is>
      </c>
      <c r="DV526" s="17" t="n"/>
      <c r="DW526" s="16" t="n"/>
      <c r="DX526" s="20" t="inlineStr">
        <is>
          <t>IC Organic Acids</t>
        </is>
      </c>
      <c r="DY526" s="20" t="inlineStr">
        <is>
          <t>None</t>
        </is>
      </c>
      <c r="DZ526" s="17" t="n"/>
      <c r="EA526" s="16" t="n"/>
      <c r="EB526" s="20" t="inlineStr">
        <is>
          <t>IC Organic Acids</t>
        </is>
      </c>
      <c r="EC526" s="20" t="inlineStr">
        <is>
          <t>None</t>
        </is>
      </c>
      <c r="ED526" s="17" t="n"/>
      <c r="EE526" s="16" t="n"/>
      <c r="EF526" s="20" t="inlineStr">
        <is>
          <t>IC Organic Acids</t>
        </is>
      </c>
      <c r="EG526" s="20" t="inlineStr">
        <is>
          <t>None</t>
        </is>
      </c>
      <c r="EH526" s="17" t="n"/>
      <c r="EI526" s="16" t="n"/>
      <c r="EJ526" s="20" t="inlineStr">
        <is>
          <t>IC Organic Acids</t>
        </is>
      </c>
      <c r="EK526" s="20" t="inlineStr">
        <is>
          <t>None</t>
        </is>
      </c>
      <c r="EL526" s="17" t="n"/>
      <c r="EM526" s="16" t="n"/>
      <c r="EN526" s="20" t="inlineStr">
        <is>
          <t>IC Organic Acids</t>
        </is>
      </c>
      <c r="EO526" s="20" t="inlineStr">
        <is>
          <t>None</t>
        </is>
      </c>
      <c r="EP526" s="17" t="n"/>
      <c r="EQ526" s="16" t="n"/>
      <c r="ER526" s="20" t="inlineStr">
        <is>
          <t>IC Organic Acids</t>
        </is>
      </c>
      <c r="ES526" s="20" t="inlineStr">
        <is>
          <t>None</t>
        </is>
      </c>
      <c r="ET526" s="17" t="n"/>
      <c r="EU526" s="16" t="n"/>
      <c r="EV526" s="20" t="inlineStr">
        <is>
          <t>LC-MS</t>
        </is>
      </c>
      <c r="EW526" s="20" t="inlineStr">
        <is>
          <t>None</t>
        </is>
      </c>
      <c r="EX526" s="17" t="n"/>
      <c r="EY526" s="21" t="n"/>
      <c r="EZ526">
        <f>CONCATENATE(A526,B526)</f>
        <v/>
      </c>
      <c r="FA526">
        <f>CONCATENATE(SamplesX!A526,SamplesX!B526)</f>
        <v/>
      </c>
      <c r="FC526">
        <f>MATCH(EZ526,FA1:FA1008,0)</f>
        <v/>
      </c>
    </row>
    <row r="527">
      <c r="A527" s="16" t="n"/>
      <c r="B527" s="17" t="n"/>
      <c r="C527" s="10">
        <f>IF(ISNUMBER(FC527),INDIRECT("SamplesX!C"&amp;FC527),IF(ISNUMBER(FD527),INDIRECT("SamplesY!C"&amp;FD527),""))</f>
        <v/>
      </c>
      <c r="D527" s="12">
        <f>IF(ISNUMBER(FC527),INDIRECT("SamplesX!D"&amp;FC527),IF(ISNUMBER(FD527),INDIRECT("SamplesY!D"&amp;FD527),""))</f>
        <v/>
      </c>
      <c r="E527" s="12">
        <f>IF(ISNUMBER(FC527),INDIRECT("SamplesX!E"&amp;FC527),IF(ISNUMBER(FD527),INDIRECT("SamplesY!E"&amp;FD527),""))</f>
        <v/>
      </c>
      <c r="F527" s="11">
        <f>IF(ISNUMBER(FC527),INDIRECT("SamplesX!F"&amp;FC527),IF(ISNUMBER(FD527),INDIRECT("SamplesY!F"&amp;FD527),""))</f>
        <v/>
      </c>
      <c r="G527" s="18">
        <f>IF(ISNUMBER(FC527),INDIRECT("SamplesX!G"&amp;FC527),IF(ISNUMBER(FD527),INDIRECT("SamplesY!G"&amp;FD527),""))</f>
        <v/>
      </c>
      <c r="H527" s="19">
        <f>IF(ISNUMBER(FC527),INDIRECT("SamplesX!H"&amp;FC527),IF(ISNUMBER(FD527),INDIRECT("SamplesY!H"&amp;FD527),""))</f>
        <v/>
      </c>
      <c r="I527" s="16" t="n"/>
      <c r="J527" s="16" t="n"/>
      <c r="K527" s="16" t="n"/>
      <c r="L527" s="20" t="n"/>
      <c r="M527" s="20" t="inlineStr">
        <is>
          <t>None</t>
        </is>
      </c>
      <c r="N527" s="17" t="n"/>
      <c r="O527" s="16" t="n"/>
      <c r="P527" s="20" t="inlineStr">
        <is>
          <t>Shimadzu TOC-L</t>
        </is>
      </c>
      <c r="Q527" s="20" t="inlineStr">
        <is>
          <t>None</t>
        </is>
      </c>
      <c r="R527" s="17" t="n"/>
      <c r="S527" s="16" t="n"/>
      <c r="T527" s="20" t="inlineStr">
        <is>
          <t>Shimadzu TOC-L</t>
        </is>
      </c>
      <c r="U527" s="20" t="inlineStr">
        <is>
          <t>None</t>
        </is>
      </c>
      <c r="V527" s="17" t="n"/>
      <c r="W527" s="16" t="n"/>
      <c r="X527" s="20" t="n"/>
      <c r="Y527" s="20" t="inlineStr">
        <is>
          <t>None</t>
        </is>
      </c>
      <c r="Z527" s="17" t="n"/>
      <c r="AA527" s="16" t="n"/>
      <c r="AB527" s="20" t="n"/>
      <c r="AC527" s="20" t="inlineStr">
        <is>
          <t>None</t>
        </is>
      </c>
      <c r="AD527" s="17" t="n"/>
      <c r="AE527" s="16" t="n"/>
      <c r="AF527" s="20" t="inlineStr">
        <is>
          <t>IC Anionen</t>
        </is>
      </c>
      <c r="AG527" s="20" t="inlineStr">
        <is>
          <t>None</t>
        </is>
      </c>
      <c r="AH527" s="17" t="n"/>
      <c r="AI527" s="16" t="n"/>
      <c r="AJ527" s="20" t="n"/>
      <c r="AK527" s="20" t="inlineStr">
        <is>
          <t>None</t>
        </is>
      </c>
      <c r="AL527" s="17" t="n"/>
      <c r="AM527" s="16" t="n"/>
      <c r="AN527" s="20" t="inlineStr">
        <is>
          <t>IC Anionen</t>
        </is>
      </c>
      <c r="AO527" s="20" t="inlineStr">
        <is>
          <t>None</t>
        </is>
      </c>
      <c r="AP527" s="17" t="n"/>
      <c r="AQ527" s="16" t="n"/>
      <c r="AR527" s="20" t="n"/>
      <c r="AS527" s="20" t="inlineStr">
        <is>
          <t>None</t>
        </is>
      </c>
      <c r="AT527" s="17" t="n"/>
      <c r="AU527" s="16" t="n"/>
      <c r="AV527" s="20" t="n"/>
      <c r="AW527" s="20" t="inlineStr">
        <is>
          <t>None</t>
        </is>
      </c>
      <c r="AX527" s="17" t="n"/>
      <c r="AY527" s="16" t="n"/>
      <c r="AZ527" s="20" t="inlineStr">
        <is>
          <t>IC Anionen</t>
        </is>
      </c>
      <c r="BA527" s="20" t="inlineStr">
        <is>
          <t>None</t>
        </is>
      </c>
      <c r="BB527" s="17" t="n"/>
      <c r="BC527" s="16" t="n"/>
      <c r="BD527" s="20" t="inlineStr">
        <is>
          <t>IC Kationen</t>
        </is>
      </c>
      <c r="BE527" s="20" t="inlineStr">
        <is>
          <t>None</t>
        </is>
      </c>
      <c r="BF527" s="17" t="n"/>
      <c r="BG527" s="16" t="n"/>
      <c r="BH527" s="20" t="inlineStr">
        <is>
          <t>IC Kationen</t>
        </is>
      </c>
      <c r="BI527" s="20" t="inlineStr">
        <is>
          <t>None</t>
        </is>
      </c>
      <c r="BJ527" s="17" t="n"/>
      <c r="BK527" s="16" t="n"/>
      <c r="BL527" s="20" t="inlineStr">
        <is>
          <t>IC Kationen</t>
        </is>
      </c>
      <c r="BM527" s="20" t="inlineStr">
        <is>
          <t>None</t>
        </is>
      </c>
      <c r="BN527" s="17" t="n"/>
      <c r="BO527" s="16" t="n"/>
      <c r="BP527" s="20" t="inlineStr">
        <is>
          <t>IC Kationen</t>
        </is>
      </c>
      <c r="BQ527" s="20" t="inlineStr">
        <is>
          <t>None</t>
        </is>
      </c>
      <c r="BR527" s="17" t="n"/>
      <c r="BS527" s="16" t="n"/>
      <c r="BT527" s="20" t="inlineStr">
        <is>
          <t>IC Kationen</t>
        </is>
      </c>
      <c r="BU527" s="20" t="inlineStr">
        <is>
          <t>None</t>
        </is>
      </c>
      <c r="BV527" s="17" t="n"/>
      <c r="BW527" s="16" t="n"/>
      <c r="BX527" s="20" t="n"/>
      <c r="BY527" s="20" t="inlineStr">
        <is>
          <t>None</t>
        </is>
      </c>
      <c r="BZ527" s="17" t="n"/>
      <c r="CA527" s="16" t="n"/>
      <c r="CB527" s="20" t="n"/>
      <c r="CC527" s="20" t="inlineStr">
        <is>
          <t>None</t>
        </is>
      </c>
      <c r="CD527" s="17" t="n"/>
      <c r="CE527" s="16" t="n"/>
      <c r="CF527" s="20" t="n"/>
      <c r="CG527" s="20" t="inlineStr">
        <is>
          <t>None</t>
        </is>
      </c>
      <c r="CH527" s="17" t="n"/>
      <c r="CI527" s="16" t="n"/>
      <c r="CJ527" s="20" t="n"/>
      <c r="CK527" s="20" t="inlineStr">
        <is>
          <t>None</t>
        </is>
      </c>
      <c r="CL527" s="17" t="n"/>
      <c r="CM527" s="16" t="n"/>
      <c r="CN527" s="20" t="inlineStr">
        <is>
          <t>SOP 45-34</t>
        </is>
      </c>
      <c r="CO527" s="20" t="inlineStr">
        <is>
          <t>None</t>
        </is>
      </c>
      <c r="CP527" s="17" t="n"/>
      <c r="CQ527" s="16" t="n"/>
      <c r="CR527" s="20" t="n"/>
      <c r="CS527" s="20" t="inlineStr">
        <is>
          <t>None</t>
        </is>
      </c>
      <c r="CT527" s="17" t="n"/>
      <c r="CU527" s="16" t="n"/>
      <c r="CV527" s="20" t="n"/>
      <c r="CW527" s="20" t="inlineStr">
        <is>
          <t>None</t>
        </is>
      </c>
      <c r="CX527" s="17" t="n"/>
      <c r="CY527" s="16" t="n"/>
      <c r="CZ527" s="20" t="inlineStr">
        <is>
          <t>WTW Multimeter 3430 with FDO 925</t>
        </is>
      </c>
      <c r="DA527" s="20" t="inlineStr">
        <is>
          <t>None</t>
        </is>
      </c>
      <c r="DB527" s="17" t="n"/>
      <c r="DC527" s="16" t="n"/>
      <c r="DD527" s="20" t="n"/>
      <c r="DE527" s="20" t="inlineStr">
        <is>
          <t>None</t>
        </is>
      </c>
      <c r="DF527" s="17" t="n"/>
      <c r="DG527" s="16" t="n"/>
      <c r="DH527" s="20" t="inlineStr">
        <is>
          <t>SOP 45-09</t>
        </is>
      </c>
      <c r="DI527" s="20" t="inlineStr">
        <is>
          <t>None</t>
        </is>
      </c>
      <c r="DJ527" s="17" t="n"/>
      <c r="DK527" s="16" t="n"/>
      <c r="DL527" s="20" t="inlineStr">
        <is>
          <t>SOP 45-09 (SOP muss noch angepasst werden für VSS)</t>
        </is>
      </c>
      <c r="DM527" s="20" t="inlineStr">
        <is>
          <t>None</t>
        </is>
      </c>
      <c r="DN527" s="17" t="n"/>
      <c r="DO527" s="16" t="n"/>
      <c r="DP527" s="20" t="inlineStr">
        <is>
          <t>IC Organic Acids</t>
        </is>
      </c>
      <c r="DQ527" s="20" t="inlineStr">
        <is>
          <t>None</t>
        </is>
      </c>
      <c r="DR527" s="17" t="n"/>
      <c r="DS527" s="16" t="n"/>
      <c r="DT527" s="20" t="inlineStr">
        <is>
          <t>IC Organic Acids</t>
        </is>
      </c>
      <c r="DU527" s="20" t="inlineStr">
        <is>
          <t>None</t>
        </is>
      </c>
      <c r="DV527" s="17" t="n"/>
      <c r="DW527" s="16" t="n"/>
      <c r="DX527" s="20" t="inlineStr">
        <is>
          <t>IC Organic Acids</t>
        </is>
      </c>
      <c r="DY527" s="20" t="inlineStr">
        <is>
          <t>None</t>
        </is>
      </c>
      <c r="DZ527" s="17" t="n"/>
      <c r="EA527" s="16" t="n"/>
      <c r="EB527" s="20" t="inlineStr">
        <is>
          <t>IC Organic Acids</t>
        </is>
      </c>
      <c r="EC527" s="20" t="inlineStr">
        <is>
          <t>None</t>
        </is>
      </c>
      <c r="ED527" s="17" t="n"/>
      <c r="EE527" s="16" t="n"/>
      <c r="EF527" s="20" t="inlineStr">
        <is>
          <t>IC Organic Acids</t>
        </is>
      </c>
      <c r="EG527" s="20" t="inlineStr">
        <is>
          <t>None</t>
        </is>
      </c>
      <c r="EH527" s="17" t="n"/>
      <c r="EI527" s="16" t="n"/>
      <c r="EJ527" s="20" t="inlineStr">
        <is>
          <t>IC Organic Acids</t>
        </is>
      </c>
      <c r="EK527" s="20" t="inlineStr">
        <is>
          <t>None</t>
        </is>
      </c>
      <c r="EL527" s="17" t="n"/>
      <c r="EM527" s="16" t="n"/>
      <c r="EN527" s="20" t="inlineStr">
        <is>
          <t>IC Organic Acids</t>
        </is>
      </c>
      <c r="EO527" s="20" t="inlineStr">
        <is>
          <t>None</t>
        </is>
      </c>
      <c r="EP527" s="17" t="n"/>
      <c r="EQ527" s="16" t="n"/>
      <c r="ER527" s="20" t="inlineStr">
        <is>
          <t>IC Organic Acids</t>
        </is>
      </c>
      <c r="ES527" s="20" t="inlineStr">
        <is>
          <t>None</t>
        </is>
      </c>
      <c r="ET527" s="17" t="n"/>
      <c r="EU527" s="16" t="n"/>
      <c r="EV527" s="20" t="inlineStr">
        <is>
          <t>LC-MS</t>
        </is>
      </c>
      <c r="EW527" s="20" t="inlineStr">
        <is>
          <t>None</t>
        </is>
      </c>
      <c r="EX527" s="17" t="n"/>
      <c r="EY527" s="21" t="n"/>
      <c r="EZ527">
        <f>CONCATENATE(A527,B527)</f>
        <v/>
      </c>
      <c r="FA527">
        <f>CONCATENATE(SamplesX!A527,SamplesX!B527)</f>
        <v/>
      </c>
      <c r="FC527">
        <f>MATCH(EZ527,FA1:FA1008,0)</f>
        <v/>
      </c>
    </row>
    <row r="528">
      <c r="A528" s="16" t="n"/>
      <c r="B528" s="17" t="n"/>
      <c r="C528" s="10">
        <f>IF(ISNUMBER(FC528),INDIRECT("SamplesX!C"&amp;FC528),IF(ISNUMBER(FD528),INDIRECT("SamplesY!C"&amp;FD528),""))</f>
        <v/>
      </c>
      <c r="D528" s="12">
        <f>IF(ISNUMBER(FC528),INDIRECT("SamplesX!D"&amp;FC528),IF(ISNUMBER(FD528),INDIRECT("SamplesY!D"&amp;FD528),""))</f>
        <v/>
      </c>
      <c r="E528" s="12">
        <f>IF(ISNUMBER(FC528),INDIRECT("SamplesX!E"&amp;FC528),IF(ISNUMBER(FD528),INDIRECT("SamplesY!E"&amp;FD528),""))</f>
        <v/>
      </c>
      <c r="F528" s="11">
        <f>IF(ISNUMBER(FC528),INDIRECT("SamplesX!F"&amp;FC528),IF(ISNUMBER(FD528),INDIRECT("SamplesY!F"&amp;FD528),""))</f>
        <v/>
      </c>
      <c r="G528" s="18">
        <f>IF(ISNUMBER(FC528),INDIRECT("SamplesX!G"&amp;FC528),IF(ISNUMBER(FD528),INDIRECT("SamplesY!G"&amp;FD528),""))</f>
        <v/>
      </c>
      <c r="H528" s="19">
        <f>IF(ISNUMBER(FC528),INDIRECT("SamplesX!H"&amp;FC528),IF(ISNUMBER(FD528),INDIRECT("SamplesY!H"&amp;FD528),""))</f>
        <v/>
      </c>
      <c r="I528" s="16" t="n"/>
      <c r="J528" s="16" t="n"/>
      <c r="K528" s="16" t="n"/>
      <c r="L528" s="20" t="n"/>
      <c r="M528" s="20" t="inlineStr">
        <is>
          <t>None</t>
        </is>
      </c>
      <c r="N528" s="17" t="n"/>
      <c r="O528" s="16" t="n"/>
      <c r="P528" s="20" t="inlineStr">
        <is>
          <t>Shimadzu TOC-L</t>
        </is>
      </c>
      <c r="Q528" s="20" t="inlineStr">
        <is>
          <t>None</t>
        </is>
      </c>
      <c r="R528" s="17" t="n"/>
      <c r="S528" s="16" t="n"/>
      <c r="T528" s="20" t="inlineStr">
        <is>
          <t>Shimadzu TOC-L</t>
        </is>
      </c>
      <c r="U528" s="20" t="inlineStr">
        <is>
          <t>None</t>
        </is>
      </c>
      <c r="V528" s="17" t="n"/>
      <c r="W528" s="16" t="n"/>
      <c r="X528" s="20" t="n"/>
      <c r="Y528" s="20" t="inlineStr">
        <is>
          <t>None</t>
        </is>
      </c>
      <c r="Z528" s="17" t="n"/>
      <c r="AA528" s="16" t="n"/>
      <c r="AB528" s="20" t="n"/>
      <c r="AC528" s="20" t="inlineStr">
        <is>
          <t>None</t>
        </is>
      </c>
      <c r="AD528" s="17" t="n"/>
      <c r="AE528" s="16" t="n"/>
      <c r="AF528" s="20" t="inlineStr">
        <is>
          <t>IC Anionen</t>
        </is>
      </c>
      <c r="AG528" s="20" t="inlineStr">
        <is>
          <t>None</t>
        </is>
      </c>
      <c r="AH528" s="17" t="n"/>
      <c r="AI528" s="16" t="n"/>
      <c r="AJ528" s="20" t="n"/>
      <c r="AK528" s="20" t="inlineStr">
        <is>
          <t>None</t>
        </is>
      </c>
      <c r="AL528" s="17" t="n"/>
      <c r="AM528" s="16" t="n"/>
      <c r="AN528" s="20" t="inlineStr">
        <is>
          <t>IC Anionen</t>
        </is>
      </c>
      <c r="AO528" s="20" t="inlineStr">
        <is>
          <t>None</t>
        </is>
      </c>
      <c r="AP528" s="17" t="n"/>
      <c r="AQ528" s="16" t="n"/>
      <c r="AR528" s="20" t="n"/>
      <c r="AS528" s="20" t="inlineStr">
        <is>
          <t>None</t>
        </is>
      </c>
      <c r="AT528" s="17" t="n"/>
      <c r="AU528" s="16" t="n"/>
      <c r="AV528" s="20" t="n"/>
      <c r="AW528" s="20" t="inlineStr">
        <is>
          <t>None</t>
        </is>
      </c>
      <c r="AX528" s="17" t="n"/>
      <c r="AY528" s="16" t="n"/>
      <c r="AZ528" s="20" t="inlineStr">
        <is>
          <t>IC Anionen</t>
        </is>
      </c>
      <c r="BA528" s="20" t="inlineStr">
        <is>
          <t>None</t>
        </is>
      </c>
      <c r="BB528" s="17" t="n"/>
      <c r="BC528" s="16" t="n"/>
      <c r="BD528" s="20" t="inlineStr">
        <is>
          <t>IC Kationen</t>
        </is>
      </c>
      <c r="BE528" s="20" t="inlineStr">
        <is>
          <t>None</t>
        </is>
      </c>
      <c r="BF528" s="17" t="n"/>
      <c r="BG528" s="16" t="n"/>
      <c r="BH528" s="20" t="inlineStr">
        <is>
          <t>IC Kationen</t>
        </is>
      </c>
      <c r="BI528" s="20" t="inlineStr">
        <is>
          <t>None</t>
        </is>
      </c>
      <c r="BJ528" s="17" t="n"/>
      <c r="BK528" s="16" t="n"/>
      <c r="BL528" s="20" t="inlineStr">
        <is>
          <t>IC Kationen</t>
        </is>
      </c>
      <c r="BM528" s="20" t="inlineStr">
        <is>
          <t>None</t>
        </is>
      </c>
      <c r="BN528" s="17" t="n"/>
      <c r="BO528" s="16" t="n"/>
      <c r="BP528" s="20" t="inlineStr">
        <is>
          <t>IC Kationen</t>
        </is>
      </c>
      <c r="BQ528" s="20" t="inlineStr">
        <is>
          <t>None</t>
        </is>
      </c>
      <c r="BR528" s="17" t="n"/>
      <c r="BS528" s="16" t="n"/>
      <c r="BT528" s="20" t="inlineStr">
        <is>
          <t>IC Kationen</t>
        </is>
      </c>
      <c r="BU528" s="20" t="inlineStr">
        <is>
          <t>None</t>
        </is>
      </c>
      <c r="BV528" s="17" t="n"/>
      <c r="BW528" s="16" t="n"/>
      <c r="BX528" s="20" t="n"/>
      <c r="BY528" s="20" t="inlineStr">
        <is>
          <t>None</t>
        </is>
      </c>
      <c r="BZ528" s="17" t="n"/>
      <c r="CA528" s="16" t="n"/>
      <c r="CB528" s="20" t="n"/>
      <c r="CC528" s="20" t="inlineStr">
        <is>
          <t>None</t>
        </is>
      </c>
      <c r="CD528" s="17" t="n"/>
      <c r="CE528" s="16" t="n"/>
      <c r="CF528" s="20" t="n"/>
      <c r="CG528" s="20" t="inlineStr">
        <is>
          <t>None</t>
        </is>
      </c>
      <c r="CH528" s="17" t="n"/>
      <c r="CI528" s="16" t="n"/>
      <c r="CJ528" s="20" t="n"/>
      <c r="CK528" s="20" t="inlineStr">
        <is>
          <t>None</t>
        </is>
      </c>
      <c r="CL528" s="17" t="n"/>
      <c r="CM528" s="16" t="n"/>
      <c r="CN528" s="20" t="inlineStr">
        <is>
          <t>SOP 45-34</t>
        </is>
      </c>
      <c r="CO528" s="20" t="inlineStr">
        <is>
          <t>None</t>
        </is>
      </c>
      <c r="CP528" s="17" t="n"/>
      <c r="CQ528" s="16" t="n"/>
      <c r="CR528" s="20" t="n"/>
      <c r="CS528" s="20" t="inlineStr">
        <is>
          <t>None</t>
        </is>
      </c>
      <c r="CT528" s="17" t="n"/>
      <c r="CU528" s="16" t="n"/>
      <c r="CV528" s="20" t="n"/>
      <c r="CW528" s="20" t="inlineStr">
        <is>
          <t>None</t>
        </is>
      </c>
      <c r="CX528" s="17" t="n"/>
      <c r="CY528" s="16" t="n"/>
      <c r="CZ528" s="20" t="inlineStr">
        <is>
          <t>WTW Multimeter 3430 with FDO 925</t>
        </is>
      </c>
      <c r="DA528" s="20" t="inlineStr">
        <is>
          <t>None</t>
        </is>
      </c>
      <c r="DB528" s="17" t="n"/>
      <c r="DC528" s="16" t="n"/>
      <c r="DD528" s="20" t="n"/>
      <c r="DE528" s="20" t="inlineStr">
        <is>
          <t>None</t>
        </is>
      </c>
      <c r="DF528" s="17" t="n"/>
      <c r="DG528" s="16" t="n"/>
      <c r="DH528" s="20" t="inlineStr">
        <is>
          <t>SOP 45-09</t>
        </is>
      </c>
      <c r="DI528" s="20" t="inlineStr">
        <is>
          <t>None</t>
        </is>
      </c>
      <c r="DJ528" s="17" t="n"/>
      <c r="DK528" s="16" t="n"/>
      <c r="DL528" s="20" t="inlineStr">
        <is>
          <t>SOP 45-09 (SOP muss noch angepasst werden für VSS)</t>
        </is>
      </c>
      <c r="DM528" s="20" t="inlineStr">
        <is>
          <t>None</t>
        </is>
      </c>
      <c r="DN528" s="17" t="n"/>
      <c r="DO528" s="16" t="n"/>
      <c r="DP528" s="20" t="inlineStr">
        <is>
          <t>IC Organic Acids</t>
        </is>
      </c>
      <c r="DQ528" s="20" t="inlineStr">
        <is>
          <t>None</t>
        </is>
      </c>
      <c r="DR528" s="17" t="n"/>
      <c r="DS528" s="16" t="n"/>
      <c r="DT528" s="20" t="inlineStr">
        <is>
          <t>IC Organic Acids</t>
        </is>
      </c>
      <c r="DU528" s="20" t="inlineStr">
        <is>
          <t>None</t>
        </is>
      </c>
      <c r="DV528" s="17" t="n"/>
      <c r="DW528" s="16" t="n"/>
      <c r="DX528" s="20" t="inlineStr">
        <is>
          <t>IC Organic Acids</t>
        </is>
      </c>
      <c r="DY528" s="20" t="inlineStr">
        <is>
          <t>None</t>
        </is>
      </c>
      <c r="DZ528" s="17" t="n"/>
      <c r="EA528" s="16" t="n"/>
      <c r="EB528" s="20" t="inlineStr">
        <is>
          <t>IC Organic Acids</t>
        </is>
      </c>
      <c r="EC528" s="20" t="inlineStr">
        <is>
          <t>None</t>
        </is>
      </c>
      <c r="ED528" s="17" t="n"/>
      <c r="EE528" s="16" t="n"/>
      <c r="EF528" s="20" t="inlineStr">
        <is>
          <t>IC Organic Acids</t>
        </is>
      </c>
      <c r="EG528" s="20" t="inlineStr">
        <is>
          <t>None</t>
        </is>
      </c>
      <c r="EH528" s="17" t="n"/>
      <c r="EI528" s="16" t="n"/>
      <c r="EJ528" s="20" t="inlineStr">
        <is>
          <t>IC Organic Acids</t>
        </is>
      </c>
      <c r="EK528" s="20" t="inlineStr">
        <is>
          <t>None</t>
        </is>
      </c>
      <c r="EL528" s="17" t="n"/>
      <c r="EM528" s="16" t="n"/>
      <c r="EN528" s="20" t="inlineStr">
        <is>
          <t>IC Organic Acids</t>
        </is>
      </c>
      <c r="EO528" s="20" t="inlineStr">
        <is>
          <t>None</t>
        </is>
      </c>
      <c r="EP528" s="17" t="n"/>
      <c r="EQ528" s="16" t="n"/>
      <c r="ER528" s="20" t="inlineStr">
        <is>
          <t>IC Organic Acids</t>
        </is>
      </c>
      <c r="ES528" s="20" t="inlineStr">
        <is>
          <t>None</t>
        </is>
      </c>
      <c r="ET528" s="17" t="n"/>
      <c r="EU528" s="16" t="n"/>
      <c r="EV528" s="20" t="inlineStr">
        <is>
          <t>LC-MS</t>
        </is>
      </c>
      <c r="EW528" s="20" t="inlineStr">
        <is>
          <t>None</t>
        </is>
      </c>
      <c r="EX528" s="17" t="n"/>
      <c r="EY528" s="21" t="n"/>
      <c r="EZ528">
        <f>CONCATENATE(A528,B528)</f>
        <v/>
      </c>
      <c r="FA528">
        <f>CONCATENATE(SamplesX!A528,SamplesX!B528)</f>
        <v/>
      </c>
      <c r="FC528">
        <f>MATCH(EZ528,FA1:FA1008,0)</f>
        <v/>
      </c>
    </row>
    <row r="529">
      <c r="A529" s="16" t="n"/>
      <c r="B529" s="17" t="n"/>
      <c r="C529" s="10">
        <f>IF(ISNUMBER(FC529),INDIRECT("SamplesX!C"&amp;FC529),IF(ISNUMBER(FD529),INDIRECT("SamplesY!C"&amp;FD529),""))</f>
        <v/>
      </c>
      <c r="D529" s="12">
        <f>IF(ISNUMBER(FC529),INDIRECT("SamplesX!D"&amp;FC529),IF(ISNUMBER(FD529),INDIRECT("SamplesY!D"&amp;FD529),""))</f>
        <v/>
      </c>
      <c r="E529" s="12">
        <f>IF(ISNUMBER(FC529),INDIRECT("SamplesX!E"&amp;FC529),IF(ISNUMBER(FD529),INDIRECT("SamplesY!E"&amp;FD529),""))</f>
        <v/>
      </c>
      <c r="F529" s="11">
        <f>IF(ISNUMBER(FC529),INDIRECT("SamplesX!F"&amp;FC529),IF(ISNUMBER(FD529),INDIRECT("SamplesY!F"&amp;FD529),""))</f>
        <v/>
      </c>
      <c r="G529" s="18">
        <f>IF(ISNUMBER(FC529),INDIRECT("SamplesX!G"&amp;FC529),IF(ISNUMBER(FD529),INDIRECT("SamplesY!G"&amp;FD529),""))</f>
        <v/>
      </c>
      <c r="H529" s="19">
        <f>IF(ISNUMBER(FC529),INDIRECT("SamplesX!H"&amp;FC529),IF(ISNUMBER(FD529),INDIRECT("SamplesY!H"&amp;FD529),""))</f>
        <v/>
      </c>
      <c r="I529" s="16" t="n"/>
      <c r="J529" s="16" t="n"/>
      <c r="K529" s="16" t="n"/>
      <c r="L529" s="20" t="n"/>
      <c r="M529" s="20" t="inlineStr">
        <is>
          <t>None</t>
        </is>
      </c>
      <c r="N529" s="17" t="n"/>
      <c r="O529" s="16" t="n"/>
      <c r="P529" s="20" t="inlineStr">
        <is>
          <t>Shimadzu TOC-L</t>
        </is>
      </c>
      <c r="Q529" s="20" t="inlineStr">
        <is>
          <t>None</t>
        </is>
      </c>
      <c r="R529" s="17" t="n"/>
      <c r="S529" s="16" t="n"/>
      <c r="T529" s="20" t="inlineStr">
        <is>
          <t>Shimadzu TOC-L</t>
        </is>
      </c>
      <c r="U529" s="20" t="inlineStr">
        <is>
          <t>None</t>
        </is>
      </c>
      <c r="V529" s="17" t="n"/>
      <c r="W529" s="16" t="n"/>
      <c r="X529" s="20" t="n"/>
      <c r="Y529" s="20" t="inlineStr">
        <is>
          <t>None</t>
        </is>
      </c>
      <c r="Z529" s="17" t="n"/>
      <c r="AA529" s="16" t="n"/>
      <c r="AB529" s="20" t="n"/>
      <c r="AC529" s="20" t="inlineStr">
        <is>
          <t>None</t>
        </is>
      </c>
      <c r="AD529" s="17" t="n"/>
      <c r="AE529" s="16" t="n"/>
      <c r="AF529" s="20" t="inlineStr">
        <is>
          <t>IC Anionen</t>
        </is>
      </c>
      <c r="AG529" s="20" t="inlineStr">
        <is>
          <t>None</t>
        </is>
      </c>
      <c r="AH529" s="17" t="n"/>
      <c r="AI529" s="16" t="n"/>
      <c r="AJ529" s="20" t="n"/>
      <c r="AK529" s="20" t="inlineStr">
        <is>
          <t>None</t>
        </is>
      </c>
      <c r="AL529" s="17" t="n"/>
      <c r="AM529" s="16" t="n"/>
      <c r="AN529" s="20" t="inlineStr">
        <is>
          <t>IC Anionen</t>
        </is>
      </c>
      <c r="AO529" s="20" t="inlineStr">
        <is>
          <t>None</t>
        </is>
      </c>
      <c r="AP529" s="17" t="n"/>
      <c r="AQ529" s="16" t="n"/>
      <c r="AR529" s="20" t="n"/>
      <c r="AS529" s="20" t="inlineStr">
        <is>
          <t>None</t>
        </is>
      </c>
      <c r="AT529" s="17" t="n"/>
      <c r="AU529" s="16" t="n"/>
      <c r="AV529" s="20" t="n"/>
      <c r="AW529" s="20" t="inlineStr">
        <is>
          <t>None</t>
        </is>
      </c>
      <c r="AX529" s="17" t="n"/>
      <c r="AY529" s="16" t="n"/>
      <c r="AZ529" s="20" t="inlineStr">
        <is>
          <t>IC Anionen</t>
        </is>
      </c>
      <c r="BA529" s="20" t="inlineStr">
        <is>
          <t>None</t>
        </is>
      </c>
      <c r="BB529" s="17" t="n"/>
      <c r="BC529" s="16" t="n"/>
      <c r="BD529" s="20" t="inlineStr">
        <is>
          <t>IC Kationen</t>
        </is>
      </c>
      <c r="BE529" s="20" t="inlineStr">
        <is>
          <t>None</t>
        </is>
      </c>
      <c r="BF529" s="17" t="n"/>
      <c r="BG529" s="16" t="n"/>
      <c r="BH529" s="20" t="inlineStr">
        <is>
          <t>IC Kationen</t>
        </is>
      </c>
      <c r="BI529" s="20" t="inlineStr">
        <is>
          <t>None</t>
        </is>
      </c>
      <c r="BJ529" s="17" t="n"/>
      <c r="BK529" s="16" t="n"/>
      <c r="BL529" s="20" t="inlineStr">
        <is>
          <t>IC Kationen</t>
        </is>
      </c>
      <c r="BM529" s="20" t="inlineStr">
        <is>
          <t>None</t>
        </is>
      </c>
      <c r="BN529" s="17" t="n"/>
      <c r="BO529" s="16" t="n"/>
      <c r="BP529" s="20" t="inlineStr">
        <is>
          <t>IC Kationen</t>
        </is>
      </c>
      <c r="BQ529" s="20" t="inlineStr">
        <is>
          <t>None</t>
        </is>
      </c>
      <c r="BR529" s="17" t="n"/>
      <c r="BS529" s="16" t="n"/>
      <c r="BT529" s="20" t="inlineStr">
        <is>
          <t>IC Kationen</t>
        </is>
      </c>
      <c r="BU529" s="20" t="inlineStr">
        <is>
          <t>None</t>
        </is>
      </c>
      <c r="BV529" s="17" t="n"/>
      <c r="BW529" s="16" t="n"/>
      <c r="BX529" s="20" t="n"/>
      <c r="BY529" s="20" t="inlineStr">
        <is>
          <t>None</t>
        </is>
      </c>
      <c r="BZ529" s="17" t="n"/>
      <c r="CA529" s="16" t="n"/>
      <c r="CB529" s="20" t="n"/>
      <c r="CC529" s="20" t="inlineStr">
        <is>
          <t>None</t>
        </is>
      </c>
      <c r="CD529" s="17" t="n"/>
      <c r="CE529" s="16" t="n"/>
      <c r="CF529" s="20" t="n"/>
      <c r="CG529" s="20" t="inlineStr">
        <is>
          <t>None</t>
        </is>
      </c>
      <c r="CH529" s="17" t="n"/>
      <c r="CI529" s="16" t="n"/>
      <c r="CJ529" s="20" t="n"/>
      <c r="CK529" s="20" t="inlineStr">
        <is>
          <t>None</t>
        </is>
      </c>
      <c r="CL529" s="17" t="n"/>
      <c r="CM529" s="16" t="n"/>
      <c r="CN529" s="20" t="inlineStr">
        <is>
          <t>SOP 45-34</t>
        </is>
      </c>
      <c r="CO529" s="20" t="inlineStr">
        <is>
          <t>None</t>
        </is>
      </c>
      <c r="CP529" s="17" t="n"/>
      <c r="CQ529" s="16" t="n"/>
      <c r="CR529" s="20" t="n"/>
      <c r="CS529" s="20" t="inlineStr">
        <is>
          <t>None</t>
        </is>
      </c>
      <c r="CT529" s="17" t="n"/>
      <c r="CU529" s="16" t="n"/>
      <c r="CV529" s="20" t="n"/>
      <c r="CW529" s="20" t="inlineStr">
        <is>
          <t>None</t>
        </is>
      </c>
      <c r="CX529" s="17" t="n"/>
      <c r="CY529" s="16" t="n"/>
      <c r="CZ529" s="20" t="inlineStr">
        <is>
          <t>WTW Multimeter 3430 with FDO 925</t>
        </is>
      </c>
      <c r="DA529" s="20" t="inlineStr">
        <is>
          <t>None</t>
        </is>
      </c>
      <c r="DB529" s="17" t="n"/>
      <c r="DC529" s="16" t="n"/>
      <c r="DD529" s="20" t="n"/>
      <c r="DE529" s="20" t="inlineStr">
        <is>
          <t>None</t>
        </is>
      </c>
      <c r="DF529" s="17" t="n"/>
      <c r="DG529" s="16" t="n"/>
      <c r="DH529" s="20" t="inlineStr">
        <is>
          <t>SOP 45-09</t>
        </is>
      </c>
      <c r="DI529" s="20" t="inlineStr">
        <is>
          <t>None</t>
        </is>
      </c>
      <c r="DJ529" s="17" t="n"/>
      <c r="DK529" s="16" t="n"/>
      <c r="DL529" s="20" t="inlineStr">
        <is>
          <t>SOP 45-09 (SOP muss noch angepasst werden für VSS)</t>
        </is>
      </c>
      <c r="DM529" s="20" t="inlineStr">
        <is>
          <t>None</t>
        </is>
      </c>
      <c r="DN529" s="17" t="n"/>
      <c r="DO529" s="16" t="n"/>
      <c r="DP529" s="20" t="inlineStr">
        <is>
          <t>IC Organic Acids</t>
        </is>
      </c>
      <c r="DQ529" s="20" t="inlineStr">
        <is>
          <t>None</t>
        </is>
      </c>
      <c r="DR529" s="17" t="n"/>
      <c r="DS529" s="16" t="n"/>
      <c r="DT529" s="20" t="inlineStr">
        <is>
          <t>IC Organic Acids</t>
        </is>
      </c>
      <c r="DU529" s="20" t="inlineStr">
        <is>
          <t>None</t>
        </is>
      </c>
      <c r="DV529" s="17" t="n"/>
      <c r="DW529" s="16" t="n"/>
      <c r="DX529" s="20" t="inlineStr">
        <is>
          <t>IC Organic Acids</t>
        </is>
      </c>
      <c r="DY529" s="20" t="inlineStr">
        <is>
          <t>None</t>
        </is>
      </c>
      <c r="DZ529" s="17" t="n"/>
      <c r="EA529" s="16" t="n"/>
      <c r="EB529" s="20" t="inlineStr">
        <is>
          <t>IC Organic Acids</t>
        </is>
      </c>
      <c r="EC529" s="20" t="inlineStr">
        <is>
          <t>None</t>
        </is>
      </c>
      <c r="ED529" s="17" t="n"/>
      <c r="EE529" s="16" t="n"/>
      <c r="EF529" s="20" t="inlineStr">
        <is>
          <t>IC Organic Acids</t>
        </is>
      </c>
      <c r="EG529" s="20" t="inlineStr">
        <is>
          <t>None</t>
        </is>
      </c>
      <c r="EH529" s="17" t="n"/>
      <c r="EI529" s="16" t="n"/>
      <c r="EJ529" s="20" t="inlineStr">
        <is>
          <t>IC Organic Acids</t>
        </is>
      </c>
      <c r="EK529" s="20" t="inlineStr">
        <is>
          <t>None</t>
        </is>
      </c>
      <c r="EL529" s="17" t="n"/>
      <c r="EM529" s="16" t="n"/>
      <c r="EN529" s="20" t="inlineStr">
        <is>
          <t>IC Organic Acids</t>
        </is>
      </c>
      <c r="EO529" s="20" t="inlineStr">
        <is>
          <t>None</t>
        </is>
      </c>
      <c r="EP529" s="17" t="n"/>
      <c r="EQ529" s="16" t="n"/>
      <c r="ER529" s="20" t="inlineStr">
        <is>
          <t>IC Organic Acids</t>
        </is>
      </c>
      <c r="ES529" s="20" t="inlineStr">
        <is>
          <t>None</t>
        </is>
      </c>
      <c r="ET529" s="17" t="n"/>
      <c r="EU529" s="16" t="n"/>
      <c r="EV529" s="20" t="inlineStr">
        <is>
          <t>LC-MS</t>
        </is>
      </c>
      <c r="EW529" s="20" t="inlineStr">
        <is>
          <t>None</t>
        </is>
      </c>
      <c r="EX529" s="17" t="n"/>
      <c r="EY529" s="21" t="n"/>
      <c r="EZ529">
        <f>CONCATENATE(A529,B529)</f>
        <v/>
      </c>
      <c r="FA529">
        <f>CONCATENATE(SamplesX!A529,SamplesX!B529)</f>
        <v/>
      </c>
      <c r="FC529">
        <f>MATCH(EZ529,FA1:FA1008,0)</f>
        <v/>
      </c>
    </row>
    <row r="530">
      <c r="A530" s="16" t="n"/>
      <c r="B530" s="17" t="n"/>
      <c r="C530" s="10">
        <f>IF(ISNUMBER(FC530),INDIRECT("SamplesX!C"&amp;FC530),IF(ISNUMBER(FD530),INDIRECT("SamplesY!C"&amp;FD530),""))</f>
        <v/>
      </c>
      <c r="D530" s="12">
        <f>IF(ISNUMBER(FC530),INDIRECT("SamplesX!D"&amp;FC530),IF(ISNUMBER(FD530),INDIRECT("SamplesY!D"&amp;FD530),""))</f>
        <v/>
      </c>
      <c r="E530" s="12">
        <f>IF(ISNUMBER(FC530),INDIRECT("SamplesX!E"&amp;FC530),IF(ISNUMBER(FD530),INDIRECT("SamplesY!E"&amp;FD530),""))</f>
        <v/>
      </c>
      <c r="F530" s="11">
        <f>IF(ISNUMBER(FC530),INDIRECT("SamplesX!F"&amp;FC530),IF(ISNUMBER(FD530),INDIRECT("SamplesY!F"&amp;FD530),""))</f>
        <v/>
      </c>
      <c r="G530" s="18">
        <f>IF(ISNUMBER(FC530),INDIRECT("SamplesX!G"&amp;FC530),IF(ISNUMBER(FD530),INDIRECT("SamplesY!G"&amp;FD530),""))</f>
        <v/>
      </c>
      <c r="H530" s="19">
        <f>IF(ISNUMBER(FC530),INDIRECT("SamplesX!H"&amp;FC530),IF(ISNUMBER(FD530),INDIRECT("SamplesY!H"&amp;FD530),""))</f>
        <v/>
      </c>
      <c r="I530" s="16" t="n"/>
      <c r="J530" s="16" t="n"/>
      <c r="K530" s="16" t="n"/>
      <c r="L530" s="20" t="n"/>
      <c r="M530" s="20" t="inlineStr">
        <is>
          <t>None</t>
        </is>
      </c>
      <c r="N530" s="17" t="n"/>
      <c r="O530" s="16" t="n"/>
      <c r="P530" s="20" t="inlineStr">
        <is>
          <t>Shimadzu TOC-L</t>
        </is>
      </c>
      <c r="Q530" s="20" t="inlineStr">
        <is>
          <t>None</t>
        </is>
      </c>
      <c r="R530" s="17" t="n"/>
      <c r="S530" s="16" t="n"/>
      <c r="T530" s="20" t="inlineStr">
        <is>
          <t>Shimadzu TOC-L</t>
        </is>
      </c>
      <c r="U530" s="20" t="inlineStr">
        <is>
          <t>None</t>
        </is>
      </c>
      <c r="V530" s="17" t="n"/>
      <c r="W530" s="16" t="n"/>
      <c r="X530" s="20" t="n"/>
      <c r="Y530" s="20" t="inlineStr">
        <is>
          <t>None</t>
        </is>
      </c>
      <c r="Z530" s="17" t="n"/>
      <c r="AA530" s="16" t="n"/>
      <c r="AB530" s="20" t="n"/>
      <c r="AC530" s="20" t="inlineStr">
        <is>
          <t>None</t>
        </is>
      </c>
      <c r="AD530" s="17" t="n"/>
      <c r="AE530" s="16" t="n"/>
      <c r="AF530" s="20" t="inlineStr">
        <is>
          <t>IC Anionen</t>
        </is>
      </c>
      <c r="AG530" s="20" t="inlineStr">
        <is>
          <t>None</t>
        </is>
      </c>
      <c r="AH530" s="17" t="n"/>
      <c r="AI530" s="16" t="n"/>
      <c r="AJ530" s="20" t="n"/>
      <c r="AK530" s="20" t="inlineStr">
        <is>
          <t>None</t>
        </is>
      </c>
      <c r="AL530" s="17" t="n"/>
      <c r="AM530" s="16" t="n"/>
      <c r="AN530" s="20" t="inlineStr">
        <is>
          <t>IC Anionen</t>
        </is>
      </c>
      <c r="AO530" s="20" t="inlineStr">
        <is>
          <t>None</t>
        </is>
      </c>
      <c r="AP530" s="17" t="n"/>
      <c r="AQ530" s="16" t="n"/>
      <c r="AR530" s="20" t="n"/>
      <c r="AS530" s="20" t="inlineStr">
        <is>
          <t>None</t>
        </is>
      </c>
      <c r="AT530" s="17" t="n"/>
      <c r="AU530" s="16" t="n"/>
      <c r="AV530" s="20" t="n"/>
      <c r="AW530" s="20" t="inlineStr">
        <is>
          <t>None</t>
        </is>
      </c>
      <c r="AX530" s="17" t="n"/>
      <c r="AY530" s="16" t="n"/>
      <c r="AZ530" s="20" t="inlineStr">
        <is>
          <t>IC Anionen</t>
        </is>
      </c>
      <c r="BA530" s="20" t="inlineStr">
        <is>
          <t>None</t>
        </is>
      </c>
      <c r="BB530" s="17" t="n"/>
      <c r="BC530" s="16" t="n"/>
      <c r="BD530" s="20" t="inlineStr">
        <is>
          <t>IC Kationen</t>
        </is>
      </c>
      <c r="BE530" s="20" t="inlineStr">
        <is>
          <t>None</t>
        </is>
      </c>
      <c r="BF530" s="17" t="n"/>
      <c r="BG530" s="16" t="n"/>
      <c r="BH530" s="20" t="inlineStr">
        <is>
          <t>IC Kationen</t>
        </is>
      </c>
      <c r="BI530" s="20" t="inlineStr">
        <is>
          <t>None</t>
        </is>
      </c>
      <c r="BJ530" s="17" t="n"/>
      <c r="BK530" s="16" t="n"/>
      <c r="BL530" s="20" t="inlineStr">
        <is>
          <t>IC Kationen</t>
        </is>
      </c>
      <c r="BM530" s="20" t="inlineStr">
        <is>
          <t>None</t>
        </is>
      </c>
      <c r="BN530" s="17" t="n"/>
      <c r="BO530" s="16" t="n"/>
      <c r="BP530" s="20" t="inlineStr">
        <is>
          <t>IC Kationen</t>
        </is>
      </c>
      <c r="BQ530" s="20" t="inlineStr">
        <is>
          <t>None</t>
        </is>
      </c>
      <c r="BR530" s="17" t="n"/>
      <c r="BS530" s="16" t="n"/>
      <c r="BT530" s="20" t="inlineStr">
        <is>
          <t>IC Kationen</t>
        </is>
      </c>
      <c r="BU530" s="20" t="inlineStr">
        <is>
          <t>None</t>
        </is>
      </c>
      <c r="BV530" s="17" t="n"/>
      <c r="BW530" s="16" t="n"/>
      <c r="BX530" s="20" t="n"/>
      <c r="BY530" s="20" t="inlineStr">
        <is>
          <t>None</t>
        </is>
      </c>
      <c r="BZ530" s="17" t="n"/>
      <c r="CA530" s="16" t="n"/>
      <c r="CB530" s="20" t="n"/>
      <c r="CC530" s="20" t="inlineStr">
        <is>
          <t>None</t>
        </is>
      </c>
      <c r="CD530" s="17" t="n"/>
      <c r="CE530" s="16" t="n"/>
      <c r="CF530" s="20" t="n"/>
      <c r="CG530" s="20" t="inlineStr">
        <is>
          <t>None</t>
        </is>
      </c>
      <c r="CH530" s="17" t="n"/>
      <c r="CI530" s="16" t="n"/>
      <c r="CJ530" s="20" t="n"/>
      <c r="CK530" s="20" t="inlineStr">
        <is>
          <t>None</t>
        </is>
      </c>
      <c r="CL530" s="17" t="n"/>
      <c r="CM530" s="16" t="n"/>
      <c r="CN530" s="20" t="inlineStr">
        <is>
          <t>SOP 45-34</t>
        </is>
      </c>
      <c r="CO530" s="20" t="inlineStr">
        <is>
          <t>None</t>
        </is>
      </c>
      <c r="CP530" s="17" t="n"/>
      <c r="CQ530" s="16" t="n"/>
      <c r="CR530" s="20" t="n"/>
      <c r="CS530" s="20" t="inlineStr">
        <is>
          <t>None</t>
        </is>
      </c>
      <c r="CT530" s="17" t="n"/>
      <c r="CU530" s="16" t="n"/>
      <c r="CV530" s="20" t="n"/>
      <c r="CW530" s="20" t="inlineStr">
        <is>
          <t>None</t>
        </is>
      </c>
      <c r="CX530" s="17" t="n"/>
      <c r="CY530" s="16" t="n"/>
      <c r="CZ530" s="20" t="inlineStr">
        <is>
          <t>WTW Multimeter 3430 with FDO 925</t>
        </is>
      </c>
      <c r="DA530" s="20" t="inlineStr">
        <is>
          <t>None</t>
        </is>
      </c>
      <c r="DB530" s="17" t="n"/>
      <c r="DC530" s="16" t="n"/>
      <c r="DD530" s="20" t="n"/>
      <c r="DE530" s="20" t="inlineStr">
        <is>
          <t>None</t>
        </is>
      </c>
      <c r="DF530" s="17" t="n"/>
      <c r="DG530" s="16" t="n"/>
      <c r="DH530" s="20" t="inlineStr">
        <is>
          <t>SOP 45-09</t>
        </is>
      </c>
      <c r="DI530" s="20" t="inlineStr">
        <is>
          <t>None</t>
        </is>
      </c>
      <c r="DJ530" s="17" t="n"/>
      <c r="DK530" s="16" t="n"/>
      <c r="DL530" s="20" t="inlineStr">
        <is>
          <t>SOP 45-09 (SOP muss noch angepasst werden für VSS)</t>
        </is>
      </c>
      <c r="DM530" s="20" t="inlineStr">
        <is>
          <t>None</t>
        </is>
      </c>
      <c r="DN530" s="17" t="n"/>
      <c r="DO530" s="16" t="n"/>
      <c r="DP530" s="20" t="inlineStr">
        <is>
          <t>IC Organic Acids</t>
        </is>
      </c>
      <c r="DQ530" s="20" t="inlineStr">
        <is>
          <t>None</t>
        </is>
      </c>
      <c r="DR530" s="17" t="n"/>
      <c r="DS530" s="16" t="n"/>
      <c r="DT530" s="20" t="inlineStr">
        <is>
          <t>IC Organic Acids</t>
        </is>
      </c>
      <c r="DU530" s="20" t="inlineStr">
        <is>
          <t>None</t>
        </is>
      </c>
      <c r="DV530" s="17" t="n"/>
      <c r="DW530" s="16" t="n"/>
      <c r="DX530" s="20" t="inlineStr">
        <is>
          <t>IC Organic Acids</t>
        </is>
      </c>
      <c r="DY530" s="20" t="inlineStr">
        <is>
          <t>None</t>
        </is>
      </c>
      <c r="DZ530" s="17" t="n"/>
      <c r="EA530" s="16" t="n"/>
      <c r="EB530" s="20" t="inlineStr">
        <is>
          <t>IC Organic Acids</t>
        </is>
      </c>
      <c r="EC530" s="20" t="inlineStr">
        <is>
          <t>None</t>
        </is>
      </c>
      <c r="ED530" s="17" t="n"/>
      <c r="EE530" s="16" t="n"/>
      <c r="EF530" s="20" t="inlineStr">
        <is>
          <t>IC Organic Acids</t>
        </is>
      </c>
      <c r="EG530" s="20" t="inlineStr">
        <is>
          <t>None</t>
        </is>
      </c>
      <c r="EH530" s="17" t="n"/>
      <c r="EI530" s="16" t="n"/>
      <c r="EJ530" s="20" t="inlineStr">
        <is>
          <t>IC Organic Acids</t>
        </is>
      </c>
      <c r="EK530" s="20" t="inlineStr">
        <is>
          <t>None</t>
        </is>
      </c>
      <c r="EL530" s="17" t="n"/>
      <c r="EM530" s="16" t="n"/>
      <c r="EN530" s="20" t="inlineStr">
        <is>
          <t>IC Organic Acids</t>
        </is>
      </c>
      <c r="EO530" s="20" t="inlineStr">
        <is>
          <t>None</t>
        </is>
      </c>
      <c r="EP530" s="17" t="n"/>
      <c r="EQ530" s="16" t="n"/>
      <c r="ER530" s="20" t="inlineStr">
        <is>
          <t>IC Organic Acids</t>
        </is>
      </c>
      <c r="ES530" s="20" t="inlineStr">
        <is>
          <t>None</t>
        </is>
      </c>
      <c r="ET530" s="17" t="n"/>
      <c r="EU530" s="16" t="n"/>
      <c r="EV530" s="20" t="inlineStr">
        <is>
          <t>LC-MS</t>
        </is>
      </c>
      <c r="EW530" s="20" t="inlineStr">
        <is>
          <t>None</t>
        </is>
      </c>
      <c r="EX530" s="17" t="n"/>
      <c r="EY530" s="21" t="n"/>
      <c r="EZ530">
        <f>CONCATENATE(A530,B530)</f>
        <v/>
      </c>
      <c r="FA530">
        <f>CONCATENATE(SamplesX!A530,SamplesX!B530)</f>
        <v/>
      </c>
      <c r="FC530">
        <f>MATCH(EZ530,FA1:FA1008,0)</f>
        <v/>
      </c>
    </row>
    <row r="531">
      <c r="A531" s="16" t="n"/>
      <c r="B531" s="17" t="n"/>
      <c r="C531" s="10">
        <f>IF(ISNUMBER(FC531),INDIRECT("SamplesX!C"&amp;FC531),IF(ISNUMBER(FD531),INDIRECT("SamplesY!C"&amp;FD531),""))</f>
        <v/>
      </c>
      <c r="D531" s="12">
        <f>IF(ISNUMBER(FC531),INDIRECT("SamplesX!D"&amp;FC531),IF(ISNUMBER(FD531),INDIRECT("SamplesY!D"&amp;FD531),""))</f>
        <v/>
      </c>
      <c r="E531" s="12">
        <f>IF(ISNUMBER(FC531),INDIRECT("SamplesX!E"&amp;FC531),IF(ISNUMBER(FD531),INDIRECT("SamplesY!E"&amp;FD531),""))</f>
        <v/>
      </c>
      <c r="F531" s="11">
        <f>IF(ISNUMBER(FC531),INDIRECT("SamplesX!F"&amp;FC531),IF(ISNUMBER(FD531),INDIRECT("SamplesY!F"&amp;FD531),""))</f>
        <v/>
      </c>
      <c r="G531" s="18">
        <f>IF(ISNUMBER(FC531),INDIRECT("SamplesX!G"&amp;FC531),IF(ISNUMBER(FD531),INDIRECT("SamplesY!G"&amp;FD531),""))</f>
        <v/>
      </c>
      <c r="H531" s="19">
        <f>IF(ISNUMBER(FC531),INDIRECT("SamplesX!H"&amp;FC531),IF(ISNUMBER(FD531),INDIRECT("SamplesY!H"&amp;FD531),""))</f>
        <v/>
      </c>
      <c r="I531" s="16" t="n"/>
      <c r="J531" s="16" t="n"/>
      <c r="K531" s="16" t="n"/>
      <c r="L531" s="20" t="n"/>
      <c r="M531" s="20" t="inlineStr">
        <is>
          <t>None</t>
        </is>
      </c>
      <c r="N531" s="17" t="n"/>
      <c r="O531" s="16" t="n"/>
      <c r="P531" s="20" t="inlineStr">
        <is>
          <t>Shimadzu TOC-L</t>
        </is>
      </c>
      <c r="Q531" s="20" t="inlineStr">
        <is>
          <t>None</t>
        </is>
      </c>
      <c r="R531" s="17" t="n"/>
      <c r="S531" s="16" t="n"/>
      <c r="T531" s="20" t="inlineStr">
        <is>
          <t>Shimadzu TOC-L</t>
        </is>
      </c>
      <c r="U531" s="20" t="inlineStr">
        <is>
          <t>None</t>
        </is>
      </c>
      <c r="V531" s="17" t="n"/>
      <c r="W531" s="16" t="n"/>
      <c r="X531" s="20" t="n"/>
      <c r="Y531" s="20" t="inlineStr">
        <is>
          <t>None</t>
        </is>
      </c>
      <c r="Z531" s="17" t="n"/>
      <c r="AA531" s="16" t="n"/>
      <c r="AB531" s="20" t="n"/>
      <c r="AC531" s="20" t="inlineStr">
        <is>
          <t>None</t>
        </is>
      </c>
      <c r="AD531" s="17" t="n"/>
      <c r="AE531" s="16" t="n"/>
      <c r="AF531" s="20" t="inlineStr">
        <is>
          <t>IC Anionen</t>
        </is>
      </c>
      <c r="AG531" s="20" t="inlineStr">
        <is>
          <t>None</t>
        </is>
      </c>
      <c r="AH531" s="17" t="n"/>
      <c r="AI531" s="16" t="n"/>
      <c r="AJ531" s="20" t="n"/>
      <c r="AK531" s="20" t="inlineStr">
        <is>
          <t>None</t>
        </is>
      </c>
      <c r="AL531" s="17" t="n"/>
      <c r="AM531" s="16" t="n"/>
      <c r="AN531" s="20" t="inlineStr">
        <is>
          <t>IC Anionen</t>
        </is>
      </c>
      <c r="AO531" s="20" t="inlineStr">
        <is>
          <t>None</t>
        </is>
      </c>
      <c r="AP531" s="17" t="n"/>
      <c r="AQ531" s="16" t="n"/>
      <c r="AR531" s="20" t="n"/>
      <c r="AS531" s="20" t="inlineStr">
        <is>
          <t>None</t>
        </is>
      </c>
      <c r="AT531" s="17" t="n"/>
      <c r="AU531" s="16" t="n"/>
      <c r="AV531" s="20" t="n"/>
      <c r="AW531" s="20" t="inlineStr">
        <is>
          <t>None</t>
        </is>
      </c>
      <c r="AX531" s="17" t="n"/>
      <c r="AY531" s="16" t="n"/>
      <c r="AZ531" s="20" t="inlineStr">
        <is>
          <t>IC Anionen</t>
        </is>
      </c>
      <c r="BA531" s="20" t="inlineStr">
        <is>
          <t>None</t>
        </is>
      </c>
      <c r="BB531" s="17" t="n"/>
      <c r="BC531" s="16" t="n"/>
      <c r="BD531" s="20" t="inlineStr">
        <is>
          <t>IC Kationen</t>
        </is>
      </c>
      <c r="BE531" s="20" t="inlineStr">
        <is>
          <t>None</t>
        </is>
      </c>
      <c r="BF531" s="17" t="n"/>
      <c r="BG531" s="16" t="n"/>
      <c r="BH531" s="20" t="inlineStr">
        <is>
          <t>IC Kationen</t>
        </is>
      </c>
      <c r="BI531" s="20" t="inlineStr">
        <is>
          <t>None</t>
        </is>
      </c>
      <c r="BJ531" s="17" t="n"/>
      <c r="BK531" s="16" t="n"/>
      <c r="BL531" s="20" t="inlineStr">
        <is>
          <t>IC Kationen</t>
        </is>
      </c>
      <c r="BM531" s="20" t="inlineStr">
        <is>
          <t>None</t>
        </is>
      </c>
      <c r="BN531" s="17" t="n"/>
      <c r="BO531" s="16" t="n"/>
      <c r="BP531" s="20" t="inlineStr">
        <is>
          <t>IC Kationen</t>
        </is>
      </c>
      <c r="BQ531" s="20" t="inlineStr">
        <is>
          <t>None</t>
        </is>
      </c>
      <c r="BR531" s="17" t="n"/>
      <c r="BS531" s="16" t="n"/>
      <c r="BT531" s="20" t="inlineStr">
        <is>
          <t>IC Kationen</t>
        </is>
      </c>
      <c r="BU531" s="20" t="inlineStr">
        <is>
          <t>None</t>
        </is>
      </c>
      <c r="BV531" s="17" t="n"/>
      <c r="BW531" s="16" t="n"/>
      <c r="BX531" s="20" t="n"/>
      <c r="BY531" s="20" t="inlineStr">
        <is>
          <t>None</t>
        </is>
      </c>
      <c r="BZ531" s="17" t="n"/>
      <c r="CA531" s="16" t="n"/>
      <c r="CB531" s="20" t="n"/>
      <c r="CC531" s="20" t="inlineStr">
        <is>
          <t>None</t>
        </is>
      </c>
      <c r="CD531" s="17" t="n"/>
      <c r="CE531" s="16" t="n"/>
      <c r="CF531" s="20" t="n"/>
      <c r="CG531" s="20" t="inlineStr">
        <is>
          <t>None</t>
        </is>
      </c>
      <c r="CH531" s="17" t="n"/>
      <c r="CI531" s="16" t="n"/>
      <c r="CJ531" s="20" t="n"/>
      <c r="CK531" s="20" t="inlineStr">
        <is>
          <t>None</t>
        </is>
      </c>
      <c r="CL531" s="17" t="n"/>
      <c r="CM531" s="16" t="n"/>
      <c r="CN531" s="20" t="inlineStr">
        <is>
          <t>SOP 45-34</t>
        </is>
      </c>
      <c r="CO531" s="20" t="inlineStr">
        <is>
          <t>None</t>
        </is>
      </c>
      <c r="CP531" s="17" t="n"/>
      <c r="CQ531" s="16" t="n"/>
      <c r="CR531" s="20" t="n"/>
      <c r="CS531" s="20" t="inlineStr">
        <is>
          <t>None</t>
        </is>
      </c>
      <c r="CT531" s="17" t="n"/>
      <c r="CU531" s="16" t="n"/>
      <c r="CV531" s="20" t="n"/>
      <c r="CW531" s="20" t="inlineStr">
        <is>
          <t>None</t>
        </is>
      </c>
      <c r="CX531" s="17" t="n"/>
      <c r="CY531" s="16" t="n"/>
      <c r="CZ531" s="20" t="inlineStr">
        <is>
          <t>WTW Multimeter 3430 with FDO 925</t>
        </is>
      </c>
      <c r="DA531" s="20" t="inlineStr">
        <is>
          <t>None</t>
        </is>
      </c>
      <c r="DB531" s="17" t="n"/>
      <c r="DC531" s="16" t="n"/>
      <c r="DD531" s="20" t="n"/>
      <c r="DE531" s="20" t="inlineStr">
        <is>
          <t>None</t>
        </is>
      </c>
      <c r="DF531" s="17" t="n"/>
      <c r="DG531" s="16" t="n"/>
      <c r="DH531" s="20" t="inlineStr">
        <is>
          <t>SOP 45-09</t>
        </is>
      </c>
      <c r="DI531" s="20" t="inlineStr">
        <is>
          <t>None</t>
        </is>
      </c>
      <c r="DJ531" s="17" t="n"/>
      <c r="DK531" s="16" t="n"/>
      <c r="DL531" s="20" t="inlineStr">
        <is>
          <t>SOP 45-09 (SOP muss noch angepasst werden für VSS)</t>
        </is>
      </c>
      <c r="DM531" s="20" t="inlineStr">
        <is>
          <t>None</t>
        </is>
      </c>
      <c r="DN531" s="17" t="n"/>
      <c r="DO531" s="16" t="n"/>
      <c r="DP531" s="20" t="inlineStr">
        <is>
          <t>IC Organic Acids</t>
        </is>
      </c>
      <c r="DQ531" s="20" t="inlineStr">
        <is>
          <t>None</t>
        </is>
      </c>
      <c r="DR531" s="17" t="n"/>
      <c r="DS531" s="16" t="n"/>
      <c r="DT531" s="20" t="inlineStr">
        <is>
          <t>IC Organic Acids</t>
        </is>
      </c>
      <c r="DU531" s="20" t="inlineStr">
        <is>
          <t>None</t>
        </is>
      </c>
      <c r="DV531" s="17" t="n"/>
      <c r="DW531" s="16" t="n"/>
      <c r="DX531" s="20" t="inlineStr">
        <is>
          <t>IC Organic Acids</t>
        </is>
      </c>
      <c r="DY531" s="20" t="inlineStr">
        <is>
          <t>None</t>
        </is>
      </c>
      <c r="DZ531" s="17" t="n"/>
      <c r="EA531" s="16" t="n"/>
      <c r="EB531" s="20" t="inlineStr">
        <is>
          <t>IC Organic Acids</t>
        </is>
      </c>
      <c r="EC531" s="20" t="inlineStr">
        <is>
          <t>None</t>
        </is>
      </c>
      <c r="ED531" s="17" t="n"/>
      <c r="EE531" s="16" t="n"/>
      <c r="EF531" s="20" t="inlineStr">
        <is>
          <t>IC Organic Acids</t>
        </is>
      </c>
      <c r="EG531" s="20" t="inlineStr">
        <is>
          <t>None</t>
        </is>
      </c>
      <c r="EH531" s="17" t="n"/>
      <c r="EI531" s="16" t="n"/>
      <c r="EJ531" s="20" t="inlineStr">
        <is>
          <t>IC Organic Acids</t>
        </is>
      </c>
      <c r="EK531" s="20" t="inlineStr">
        <is>
          <t>None</t>
        </is>
      </c>
      <c r="EL531" s="17" t="n"/>
      <c r="EM531" s="16" t="n"/>
      <c r="EN531" s="20" t="inlineStr">
        <is>
          <t>IC Organic Acids</t>
        </is>
      </c>
      <c r="EO531" s="20" t="inlineStr">
        <is>
          <t>None</t>
        </is>
      </c>
      <c r="EP531" s="17" t="n"/>
      <c r="EQ531" s="16" t="n"/>
      <c r="ER531" s="20" t="inlineStr">
        <is>
          <t>IC Organic Acids</t>
        </is>
      </c>
      <c r="ES531" s="20" t="inlineStr">
        <is>
          <t>None</t>
        </is>
      </c>
      <c r="ET531" s="17" t="n"/>
      <c r="EU531" s="16" t="n"/>
      <c r="EV531" s="20" t="inlineStr">
        <is>
          <t>LC-MS</t>
        </is>
      </c>
      <c r="EW531" s="20" t="inlineStr">
        <is>
          <t>None</t>
        </is>
      </c>
      <c r="EX531" s="17" t="n"/>
      <c r="EY531" s="21" t="n"/>
      <c r="EZ531">
        <f>CONCATENATE(A531,B531)</f>
        <v/>
      </c>
      <c r="FA531">
        <f>CONCATENATE(SamplesX!A531,SamplesX!B531)</f>
        <v/>
      </c>
      <c r="FC531">
        <f>MATCH(EZ531,FA1:FA1008,0)</f>
        <v/>
      </c>
    </row>
    <row r="532">
      <c r="A532" s="16" t="n"/>
      <c r="B532" s="17" t="n"/>
      <c r="C532" s="10">
        <f>IF(ISNUMBER(FC532),INDIRECT("SamplesX!C"&amp;FC532),IF(ISNUMBER(FD532),INDIRECT("SamplesY!C"&amp;FD532),""))</f>
        <v/>
      </c>
      <c r="D532" s="12">
        <f>IF(ISNUMBER(FC532),INDIRECT("SamplesX!D"&amp;FC532),IF(ISNUMBER(FD532),INDIRECT("SamplesY!D"&amp;FD532),""))</f>
        <v/>
      </c>
      <c r="E532" s="12">
        <f>IF(ISNUMBER(FC532),INDIRECT("SamplesX!E"&amp;FC532),IF(ISNUMBER(FD532),INDIRECT("SamplesY!E"&amp;FD532),""))</f>
        <v/>
      </c>
      <c r="F532" s="11">
        <f>IF(ISNUMBER(FC532),INDIRECT("SamplesX!F"&amp;FC532),IF(ISNUMBER(FD532),INDIRECT("SamplesY!F"&amp;FD532),""))</f>
        <v/>
      </c>
      <c r="G532" s="18">
        <f>IF(ISNUMBER(FC532),INDIRECT("SamplesX!G"&amp;FC532),IF(ISNUMBER(FD532),INDIRECT("SamplesY!G"&amp;FD532),""))</f>
        <v/>
      </c>
      <c r="H532" s="19">
        <f>IF(ISNUMBER(FC532),INDIRECT("SamplesX!H"&amp;FC532),IF(ISNUMBER(FD532),INDIRECT("SamplesY!H"&amp;FD532),""))</f>
        <v/>
      </c>
      <c r="I532" s="16" t="n"/>
      <c r="J532" s="16" t="n"/>
      <c r="K532" s="16" t="n"/>
      <c r="L532" s="20" t="n"/>
      <c r="M532" s="20" t="inlineStr">
        <is>
          <t>None</t>
        </is>
      </c>
      <c r="N532" s="17" t="n"/>
      <c r="O532" s="16" t="n"/>
      <c r="P532" s="20" t="inlineStr">
        <is>
          <t>Shimadzu TOC-L</t>
        </is>
      </c>
      <c r="Q532" s="20" t="inlineStr">
        <is>
          <t>None</t>
        </is>
      </c>
      <c r="R532" s="17" t="n"/>
      <c r="S532" s="16" t="n"/>
      <c r="T532" s="20" t="inlineStr">
        <is>
          <t>Shimadzu TOC-L</t>
        </is>
      </c>
      <c r="U532" s="20" t="inlineStr">
        <is>
          <t>None</t>
        </is>
      </c>
      <c r="V532" s="17" t="n"/>
      <c r="W532" s="16" t="n"/>
      <c r="X532" s="20" t="n"/>
      <c r="Y532" s="20" t="inlineStr">
        <is>
          <t>None</t>
        </is>
      </c>
      <c r="Z532" s="17" t="n"/>
      <c r="AA532" s="16" t="n"/>
      <c r="AB532" s="20" t="n"/>
      <c r="AC532" s="20" t="inlineStr">
        <is>
          <t>None</t>
        </is>
      </c>
      <c r="AD532" s="17" t="n"/>
      <c r="AE532" s="16" t="n"/>
      <c r="AF532" s="20" t="inlineStr">
        <is>
          <t>IC Anionen</t>
        </is>
      </c>
      <c r="AG532" s="20" t="inlineStr">
        <is>
          <t>None</t>
        </is>
      </c>
      <c r="AH532" s="17" t="n"/>
      <c r="AI532" s="16" t="n"/>
      <c r="AJ532" s="20" t="n"/>
      <c r="AK532" s="20" t="inlineStr">
        <is>
          <t>None</t>
        </is>
      </c>
      <c r="AL532" s="17" t="n"/>
      <c r="AM532" s="16" t="n"/>
      <c r="AN532" s="20" t="inlineStr">
        <is>
          <t>IC Anionen</t>
        </is>
      </c>
      <c r="AO532" s="20" t="inlineStr">
        <is>
          <t>None</t>
        </is>
      </c>
      <c r="AP532" s="17" t="n"/>
      <c r="AQ532" s="16" t="n"/>
      <c r="AR532" s="20" t="n"/>
      <c r="AS532" s="20" t="inlineStr">
        <is>
          <t>None</t>
        </is>
      </c>
      <c r="AT532" s="17" t="n"/>
      <c r="AU532" s="16" t="n"/>
      <c r="AV532" s="20" t="n"/>
      <c r="AW532" s="20" t="inlineStr">
        <is>
          <t>None</t>
        </is>
      </c>
      <c r="AX532" s="17" t="n"/>
      <c r="AY532" s="16" t="n"/>
      <c r="AZ532" s="20" t="inlineStr">
        <is>
          <t>IC Anionen</t>
        </is>
      </c>
      <c r="BA532" s="20" t="inlineStr">
        <is>
          <t>None</t>
        </is>
      </c>
      <c r="BB532" s="17" t="n"/>
      <c r="BC532" s="16" t="n"/>
      <c r="BD532" s="20" t="inlineStr">
        <is>
          <t>IC Kationen</t>
        </is>
      </c>
      <c r="BE532" s="20" t="inlineStr">
        <is>
          <t>None</t>
        </is>
      </c>
      <c r="BF532" s="17" t="n"/>
      <c r="BG532" s="16" t="n"/>
      <c r="BH532" s="20" t="inlineStr">
        <is>
          <t>IC Kationen</t>
        </is>
      </c>
      <c r="BI532" s="20" t="inlineStr">
        <is>
          <t>None</t>
        </is>
      </c>
      <c r="BJ532" s="17" t="n"/>
      <c r="BK532" s="16" t="n"/>
      <c r="BL532" s="20" t="inlineStr">
        <is>
          <t>IC Kationen</t>
        </is>
      </c>
      <c r="BM532" s="20" t="inlineStr">
        <is>
          <t>None</t>
        </is>
      </c>
      <c r="BN532" s="17" t="n"/>
      <c r="BO532" s="16" t="n"/>
      <c r="BP532" s="20" t="inlineStr">
        <is>
          <t>IC Kationen</t>
        </is>
      </c>
      <c r="BQ532" s="20" t="inlineStr">
        <is>
          <t>None</t>
        </is>
      </c>
      <c r="BR532" s="17" t="n"/>
      <c r="BS532" s="16" t="n"/>
      <c r="BT532" s="20" t="inlineStr">
        <is>
          <t>IC Kationen</t>
        </is>
      </c>
      <c r="BU532" s="20" t="inlineStr">
        <is>
          <t>None</t>
        </is>
      </c>
      <c r="BV532" s="17" t="n"/>
      <c r="BW532" s="16" t="n"/>
      <c r="BX532" s="20" t="n"/>
      <c r="BY532" s="20" t="inlineStr">
        <is>
          <t>None</t>
        </is>
      </c>
      <c r="BZ532" s="17" t="n"/>
      <c r="CA532" s="16" t="n"/>
      <c r="CB532" s="20" t="n"/>
      <c r="CC532" s="20" t="inlineStr">
        <is>
          <t>None</t>
        </is>
      </c>
      <c r="CD532" s="17" t="n"/>
      <c r="CE532" s="16" t="n"/>
      <c r="CF532" s="20" t="n"/>
      <c r="CG532" s="20" t="inlineStr">
        <is>
          <t>None</t>
        </is>
      </c>
      <c r="CH532" s="17" t="n"/>
      <c r="CI532" s="16" t="n"/>
      <c r="CJ532" s="20" t="n"/>
      <c r="CK532" s="20" t="inlineStr">
        <is>
          <t>None</t>
        </is>
      </c>
      <c r="CL532" s="17" t="n"/>
      <c r="CM532" s="16" t="n"/>
      <c r="CN532" s="20" t="inlineStr">
        <is>
          <t>SOP 45-34</t>
        </is>
      </c>
      <c r="CO532" s="20" t="inlineStr">
        <is>
          <t>None</t>
        </is>
      </c>
      <c r="CP532" s="17" t="n"/>
      <c r="CQ532" s="16" t="n"/>
      <c r="CR532" s="20" t="n"/>
      <c r="CS532" s="20" t="inlineStr">
        <is>
          <t>None</t>
        </is>
      </c>
      <c r="CT532" s="17" t="n"/>
      <c r="CU532" s="16" t="n"/>
      <c r="CV532" s="20" t="n"/>
      <c r="CW532" s="20" t="inlineStr">
        <is>
          <t>None</t>
        </is>
      </c>
      <c r="CX532" s="17" t="n"/>
      <c r="CY532" s="16" t="n"/>
      <c r="CZ532" s="20" t="inlineStr">
        <is>
          <t>WTW Multimeter 3430 with FDO 925</t>
        </is>
      </c>
      <c r="DA532" s="20" t="inlineStr">
        <is>
          <t>None</t>
        </is>
      </c>
      <c r="DB532" s="17" t="n"/>
      <c r="DC532" s="16" t="n"/>
      <c r="DD532" s="20" t="n"/>
      <c r="DE532" s="20" t="inlineStr">
        <is>
          <t>None</t>
        </is>
      </c>
      <c r="DF532" s="17" t="n"/>
      <c r="DG532" s="16" t="n"/>
      <c r="DH532" s="20" t="inlineStr">
        <is>
          <t>SOP 45-09</t>
        </is>
      </c>
      <c r="DI532" s="20" t="inlineStr">
        <is>
          <t>None</t>
        </is>
      </c>
      <c r="DJ532" s="17" t="n"/>
      <c r="DK532" s="16" t="n"/>
      <c r="DL532" s="20" t="inlineStr">
        <is>
          <t>SOP 45-09 (SOP muss noch angepasst werden für VSS)</t>
        </is>
      </c>
      <c r="DM532" s="20" t="inlineStr">
        <is>
          <t>None</t>
        </is>
      </c>
      <c r="DN532" s="17" t="n"/>
      <c r="DO532" s="16" t="n"/>
      <c r="DP532" s="20" t="inlineStr">
        <is>
          <t>IC Organic Acids</t>
        </is>
      </c>
      <c r="DQ532" s="20" t="inlineStr">
        <is>
          <t>None</t>
        </is>
      </c>
      <c r="DR532" s="17" t="n"/>
      <c r="DS532" s="16" t="n"/>
      <c r="DT532" s="20" t="inlineStr">
        <is>
          <t>IC Organic Acids</t>
        </is>
      </c>
      <c r="DU532" s="20" t="inlineStr">
        <is>
          <t>None</t>
        </is>
      </c>
      <c r="DV532" s="17" t="n"/>
      <c r="DW532" s="16" t="n"/>
      <c r="DX532" s="20" t="inlineStr">
        <is>
          <t>IC Organic Acids</t>
        </is>
      </c>
      <c r="DY532" s="20" t="inlineStr">
        <is>
          <t>None</t>
        </is>
      </c>
      <c r="DZ532" s="17" t="n"/>
      <c r="EA532" s="16" t="n"/>
      <c r="EB532" s="20" t="inlineStr">
        <is>
          <t>IC Organic Acids</t>
        </is>
      </c>
      <c r="EC532" s="20" t="inlineStr">
        <is>
          <t>None</t>
        </is>
      </c>
      <c r="ED532" s="17" t="n"/>
      <c r="EE532" s="16" t="n"/>
      <c r="EF532" s="20" t="inlineStr">
        <is>
          <t>IC Organic Acids</t>
        </is>
      </c>
      <c r="EG532" s="20" t="inlineStr">
        <is>
          <t>None</t>
        </is>
      </c>
      <c r="EH532" s="17" t="n"/>
      <c r="EI532" s="16" t="n"/>
      <c r="EJ532" s="20" t="inlineStr">
        <is>
          <t>IC Organic Acids</t>
        </is>
      </c>
      <c r="EK532" s="20" t="inlineStr">
        <is>
          <t>None</t>
        </is>
      </c>
      <c r="EL532" s="17" t="n"/>
      <c r="EM532" s="16" t="n"/>
      <c r="EN532" s="20" t="inlineStr">
        <is>
          <t>IC Organic Acids</t>
        </is>
      </c>
      <c r="EO532" s="20" t="inlineStr">
        <is>
          <t>None</t>
        </is>
      </c>
      <c r="EP532" s="17" t="n"/>
      <c r="EQ532" s="16" t="n"/>
      <c r="ER532" s="20" t="inlineStr">
        <is>
          <t>IC Organic Acids</t>
        </is>
      </c>
      <c r="ES532" s="20" t="inlineStr">
        <is>
          <t>None</t>
        </is>
      </c>
      <c r="ET532" s="17" t="n"/>
      <c r="EU532" s="16" t="n"/>
      <c r="EV532" s="20" t="inlineStr">
        <is>
          <t>LC-MS</t>
        </is>
      </c>
      <c r="EW532" s="20" t="inlineStr">
        <is>
          <t>None</t>
        </is>
      </c>
      <c r="EX532" s="17" t="n"/>
      <c r="EY532" s="21" t="n"/>
      <c r="EZ532">
        <f>CONCATENATE(A532,B532)</f>
        <v/>
      </c>
      <c r="FA532">
        <f>CONCATENATE(SamplesX!A532,SamplesX!B532)</f>
        <v/>
      </c>
      <c r="FC532">
        <f>MATCH(EZ532,FA1:FA1008,0)</f>
        <v/>
      </c>
    </row>
    <row r="533">
      <c r="A533" s="16" t="n"/>
      <c r="B533" s="17" t="n"/>
      <c r="C533" s="10">
        <f>IF(ISNUMBER(FC533),INDIRECT("SamplesX!C"&amp;FC533),IF(ISNUMBER(FD533),INDIRECT("SamplesY!C"&amp;FD533),""))</f>
        <v/>
      </c>
      <c r="D533" s="12">
        <f>IF(ISNUMBER(FC533),INDIRECT("SamplesX!D"&amp;FC533),IF(ISNUMBER(FD533),INDIRECT("SamplesY!D"&amp;FD533),""))</f>
        <v/>
      </c>
      <c r="E533" s="12">
        <f>IF(ISNUMBER(FC533),INDIRECT("SamplesX!E"&amp;FC533),IF(ISNUMBER(FD533),INDIRECT("SamplesY!E"&amp;FD533),""))</f>
        <v/>
      </c>
      <c r="F533" s="11">
        <f>IF(ISNUMBER(FC533),INDIRECT("SamplesX!F"&amp;FC533),IF(ISNUMBER(FD533),INDIRECT("SamplesY!F"&amp;FD533),""))</f>
        <v/>
      </c>
      <c r="G533" s="18">
        <f>IF(ISNUMBER(FC533),INDIRECT("SamplesX!G"&amp;FC533),IF(ISNUMBER(FD533),INDIRECT("SamplesY!G"&amp;FD533),""))</f>
        <v/>
      </c>
      <c r="H533" s="19">
        <f>IF(ISNUMBER(FC533),INDIRECT("SamplesX!H"&amp;FC533),IF(ISNUMBER(FD533),INDIRECT("SamplesY!H"&amp;FD533),""))</f>
        <v/>
      </c>
      <c r="I533" s="16" t="n"/>
      <c r="J533" s="16" t="n"/>
      <c r="K533" s="16" t="n"/>
      <c r="L533" s="20" t="n"/>
      <c r="M533" s="20" t="inlineStr">
        <is>
          <t>None</t>
        </is>
      </c>
      <c r="N533" s="17" t="n"/>
      <c r="O533" s="16" t="n"/>
      <c r="P533" s="20" t="inlineStr">
        <is>
          <t>Shimadzu TOC-L</t>
        </is>
      </c>
      <c r="Q533" s="20" t="inlineStr">
        <is>
          <t>None</t>
        </is>
      </c>
      <c r="R533" s="17" t="n"/>
      <c r="S533" s="16" t="n"/>
      <c r="T533" s="20" t="inlineStr">
        <is>
          <t>Shimadzu TOC-L</t>
        </is>
      </c>
      <c r="U533" s="20" t="inlineStr">
        <is>
          <t>None</t>
        </is>
      </c>
      <c r="V533" s="17" t="n"/>
      <c r="W533" s="16" t="n"/>
      <c r="X533" s="20" t="n"/>
      <c r="Y533" s="20" t="inlineStr">
        <is>
          <t>None</t>
        </is>
      </c>
      <c r="Z533" s="17" t="n"/>
      <c r="AA533" s="16" t="n"/>
      <c r="AB533" s="20" t="n"/>
      <c r="AC533" s="20" t="inlineStr">
        <is>
          <t>None</t>
        </is>
      </c>
      <c r="AD533" s="17" t="n"/>
      <c r="AE533" s="16" t="n"/>
      <c r="AF533" s="20" t="inlineStr">
        <is>
          <t>IC Anionen</t>
        </is>
      </c>
      <c r="AG533" s="20" t="inlineStr">
        <is>
          <t>None</t>
        </is>
      </c>
      <c r="AH533" s="17" t="n"/>
      <c r="AI533" s="16" t="n"/>
      <c r="AJ533" s="20" t="n"/>
      <c r="AK533" s="20" t="inlineStr">
        <is>
          <t>None</t>
        </is>
      </c>
      <c r="AL533" s="17" t="n"/>
      <c r="AM533" s="16" t="n"/>
      <c r="AN533" s="20" t="inlineStr">
        <is>
          <t>IC Anionen</t>
        </is>
      </c>
      <c r="AO533" s="20" t="inlineStr">
        <is>
          <t>None</t>
        </is>
      </c>
      <c r="AP533" s="17" t="n"/>
      <c r="AQ533" s="16" t="n"/>
      <c r="AR533" s="20" t="n"/>
      <c r="AS533" s="20" t="inlineStr">
        <is>
          <t>None</t>
        </is>
      </c>
      <c r="AT533" s="17" t="n"/>
      <c r="AU533" s="16" t="n"/>
      <c r="AV533" s="20" t="n"/>
      <c r="AW533" s="20" t="inlineStr">
        <is>
          <t>None</t>
        </is>
      </c>
      <c r="AX533" s="17" t="n"/>
      <c r="AY533" s="16" t="n"/>
      <c r="AZ533" s="20" t="inlineStr">
        <is>
          <t>IC Anionen</t>
        </is>
      </c>
      <c r="BA533" s="20" t="inlineStr">
        <is>
          <t>None</t>
        </is>
      </c>
      <c r="BB533" s="17" t="n"/>
      <c r="BC533" s="16" t="n"/>
      <c r="BD533" s="20" t="inlineStr">
        <is>
          <t>IC Kationen</t>
        </is>
      </c>
      <c r="BE533" s="20" t="inlineStr">
        <is>
          <t>None</t>
        </is>
      </c>
      <c r="BF533" s="17" t="n"/>
      <c r="BG533" s="16" t="n"/>
      <c r="BH533" s="20" t="inlineStr">
        <is>
          <t>IC Kationen</t>
        </is>
      </c>
      <c r="BI533" s="20" t="inlineStr">
        <is>
          <t>None</t>
        </is>
      </c>
      <c r="BJ533" s="17" t="n"/>
      <c r="BK533" s="16" t="n"/>
      <c r="BL533" s="20" t="inlineStr">
        <is>
          <t>IC Kationen</t>
        </is>
      </c>
      <c r="BM533" s="20" t="inlineStr">
        <is>
          <t>None</t>
        </is>
      </c>
      <c r="BN533" s="17" t="n"/>
      <c r="BO533" s="16" t="n"/>
      <c r="BP533" s="20" t="inlineStr">
        <is>
          <t>IC Kationen</t>
        </is>
      </c>
      <c r="BQ533" s="20" t="inlineStr">
        <is>
          <t>None</t>
        </is>
      </c>
      <c r="BR533" s="17" t="n"/>
      <c r="BS533" s="16" t="n"/>
      <c r="BT533" s="20" t="inlineStr">
        <is>
          <t>IC Kationen</t>
        </is>
      </c>
      <c r="BU533" s="20" t="inlineStr">
        <is>
          <t>None</t>
        </is>
      </c>
      <c r="BV533" s="17" t="n"/>
      <c r="BW533" s="16" t="n"/>
      <c r="BX533" s="20" t="n"/>
      <c r="BY533" s="20" t="inlineStr">
        <is>
          <t>None</t>
        </is>
      </c>
      <c r="BZ533" s="17" t="n"/>
      <c r="CA533" s="16" t="n"/>
      <c r="CB533" s="20" t="n"/>
      <c r="CC533" s="20" t="inlineStr">
        <is>
          <t>None</t>
        </is>
      </c>
      <c r="CD533" s="17" t="n"/>
      <c r="CE533" s="16" t="n"/>
      <c r="CF533" s="20" t="n"/>
      <c r="CG533" s="20" t="inlineStr">
        <is>
          <t>None</t>
        </is>
      </c>
      <c r="CH533" s="17" t="n"/>
      <c r="CI533" s="16" t="n"/>
      <c r="CJ533" s="20" t="n"/>
      <c r="CK533" s="20" t="inlineStr">
        <is>
          <t>None</t>
        </is>
      </c>
      <c r="CL533" s="17" t="n"/>
      <c r="CM533" s="16" t="n"/>
      <c r="CN533" s="20" t="inlineStr">
        <is>
          <t>SOP 45-34</t>
        </is>
      </c>
      <c r="CO533" s="20" t="inlineStr">
        <is>
          <t>None</t>
        </is>
      </c>
      <c r="CP533" s="17" t="n"/>
      <c r="CQ533" s="16" t="n"/>
      <c r="CR533" s="20" t="n"/>
      <c r="CS533" s="20" t="inlineStr">
        <is>
          <t>None</t>
        </is>
      </c>
      <c r="CT533" s="17" t="n"/>
      <c r="CU533" s="16" t="n"/>
      <c r="CV533" s="20" t="n"/>
      <c r="CW533" s="20" t="inlineStr">
        <is>
          <t>None</t>
        </is>
      </c>
      <c r="CX533" s="17" t="n"/>
      <c r="CY533" s="16" t="n"/>
      <c r="CZ533" s="20" t="inlineStr">
        <is>
          <t>WTW Multimeter 3430 with FDO 925</t>
        </is>
      </c>
      <c r="DA533" s="20" t="inlineStr">
        <is>
          <t>None</t>
        </is>
      </c>
      <c r="DB533" s="17" t="n"/>
      <c r="DC533" s="16" t="n"/>
      <c r="DD533" s="20" t="n"/>
      <c r="DE533" s="20" t="inlineStr">
        <is>
          <t>None</t>
        </is>
      </c>
      <c r="DF533" s="17" t="n"/>
      <c r="DG533" s="16" t="n"/>
      <c r="DH533" s="20" t="inlineStr">
        <is>
          <t>SOP 45-09</t>
        </is>
      </c>
      <c r="DI533" s="20" t="inlineStr">
        <is>
          <t>None</t>
        </is>
      </c>
      <c r="DJ533" s="17" t="n"/>
      <c r="DK533" s="16" t="n"/>
      <c r="DL533" s="20" t="inlineStr">
        <is>
          <t>SOP 45-09 (SOP muss noch angepasst werden für VSS)</t>
        </is>
      </c>
      <c r="DM533" s="20" t="inlineStr">
        <is>
          <t>None</t>
        </is>
      </c>
      <c r="DN533" s="17" t="n"/>
      <c r="DO533" s="16" t="n"/>
      <c r="DP533" s="20" t="inlineStr">
        <is>
          <t>IC Organic Acids</t>
        </is>
      </c>
      <c r="DQ533" s="20" t="inlineStr">
        <is>
          <t>None</t>
        </is>
      </c>
      <c r="DR533" s="17" t="n"/>
      <c r="DS533" s="16" t="n"/>
      <c r="DT533" s="20" t="inlineStr">
        <is>
          <t>IC Organic Acids</t>
        </is>
      </c>
      <c r="DU533" s="20" t="inlineStr">
        <is>
          <t>None</t>
        </is>
      </c>
      <c r="DV533" s="17" t="n"/>
      <c r="DW533" s="16" t="n"/>
      <c r="DX533" s="20" t="inlineStr">
        <is>
          <t>IC Organic Acids</t>
        </is>
      </c>
      <c r="DY533" s="20" t="inlineStr">
        <is>
          <t>None</t>
        </is>
      </c>
      <c r="DZ533" s="17" t="n"/>
      <c r="EA533" s="16" t="n"/>
      <c r="EB533" s="20" t="inlineStr">
        <is>
          <t>IC Organic Acids</t>
        </is>
      </c>
      <c r="EC533" s="20" t="inlineStr">
        <is>
          <t>None</t>
        </is>
      </c>
      <c r="ED533" s="17" t="n"/>
      <c r="EE533" s="16" t="n"/>
      <c r="EF533" s="20" t="inlineStr">
        <is>
          <t>IC Organic Acids</t>
        </is>
      </c>
      <c r="EG533" s="20" t="inlineStr">
        <is>
          <t>None</t>
        </is>
      </c>
      <c r="EH533" s="17" t="n"/>
      <c r="EI533" s="16" t="n"/>
      <c r="EJ533" s="20" t="inlineStr">
        <is>
          <t>IC Organic Acids</t>
        </is>
      </c>
      <c r="EK533" s="20" t="inlineStr">
        <is>
          <t>None</t>
        </is>
      </c>
      <c r="EL533" s="17" t="n"/>
      <c r="EM533" s="16" t="n"/>
      <c r="EN533" s="20" t="inlineStr">
        <is>
          <t>IC Organic Acids</t>
        </is>
      </c>
      <c r="EO533" s="20" t="inlineStr">
        <is>
          <t>None</t>
        </is>
      </c>
      <c r="EP533" s="17" t="n"/>
      <c r="EQ533" s="16" t="n"/>
      <c r="ER533" s="20" t="inlineStr">
        <is>
          <t>IC Organic Acids</t>
        </is>
      </c>
      <c r="ES533" s="20" t="inlineStr">
        <is>
          <t>None</t>
        </is>
      </c>
      <c r="ET533" s="17" t="n"/>
      <c r="EU533" s="16" t="n"/>
      <c r="EV533" s="20" t="inlineStr">
        <is>
          <t>LC-MS</t>
        </is>
      </c>
      <c r="EW533" s="20" t="inlineStr">
        <is>
          <t>None</t>
        </is>
      </c>
      <c r="EX533" s="17" t="n"/>
      <c r="EY533" s="21" t="n"/>
      <c r="EZ533">
        <f>CONCATENATE(A533,B533)</f>
        <v/>
      </c>
      <c r="FA533">
        <f>CONCATENATE(SamplesX!A533,SamplesX!B533)</f>
        <v/>
      </c>
      <c r="FC533">
        <f>MATCH(EZ533,FA1:FA1008,0)</f>
        <v/>
      </c>
    </row>
    <row r="534">
      <c r="A534" s="16" t="n"/>
      <c r="B534" s="17" t="n"/>
      <c r="C534" s="10">
        <f>IF(ISNUMBER(FC534),INDIRECT("SamplesX!C"&amp;FC534),IF(ISNUMBER(FD534),INDIRECT("SamplesY!C"&amp;FD534),""))</f>
        <v/>
      </c>
      <c r="D534" s="12">
        <f>IF(ISNUMBER(FC534),INDIRECT("SamplesX!D"&amp;FC534),IF(ISNUMBER(FD534),INDIRECT("SamplesY!D"&amp;FD534),""))</f>
        <v/>
      </c>
      <c r="E534" s="12">
        <f>IF(ISNUMBER(FC534),INDIRECT("SamplesX!E"&amp;FC534),IF(ISNUMBER(FD534),INDIRECT("SamplesY!E"&amp;FD534),""))</f>
        <v/>
      </c>
      <c r="F534" s="11">
        <f>IF(ISNUMBER(FC534),INDIRECT("SamplesX!F"&amp;FC534),IF(ISNUMBER(FD534),INDIRECT("SamplesY!F"&amp;FD534),""))</f>
        <v/>
      </c>
      <c r="G534" s="18">
        <f>IF(ISNUMBER(FC534),INDIRECT("SamplesX!G"&amp;FC534),IF(ISNUMBER(FD534),INDIRECT("SamplesY!G"&amp;FD534),""))</f>
        <v/>
      </c>
      <c r="H534" s="19">
        <f>IF(ISNUMBER(FC534),INDIRECT("SamplesX!H"&amp;FC534),IF(ISNUMBER(FD534),INDIRECT("SamplesY!H"&amp;FD534),""))</f>
        <v/>
      </c>
      <c r="I534" s="16" t="n"/>
      <c r="J534" s="16" t="n"/>
      <c r="K534" s="16" t="n"/>
      <c r="L534" s="20" t="n"/>
      <c r="M534" s="20" t="inlineStr">
        <is>
          <t>None</t>
        </is>
      </c>
      <c r="N534" s="17" t="n"/>
      <c r="O534" s="16" t="n"/>
      <c r="P534" s="20" t="inlineStr">
        <is>
          <t>Shimadzu TOC-L</t>
        </is>
      </c>
      <c r="Q534" s="20" t="inlineStr">
        <is>
          <t>None</t>
        </is>
      </c>
      <c r="R534" s="17" t="n"/>
      <c r="S534" s="16" t="n"/>
      <c r="T534" s="20" t="inlineStr">
        <is>
          <t>Shimadzu TOC-L</t>
        </is>
      </c>
      <c r="U534" s="20" t="inlineStr">
        <is>
          <t>None</t>
        </is>
      </c>
      <c r="V534" s="17" t="n"/>
      <c r="W534" s="16" t="n"/>
      <c r="X534" s="20" t="n"/>
      <c r="Y534" s="20" t="inlineStr">
        <is>
          <t>None</t>
        </is>
      </c>
      <c r="Z534" s="17" t="n"/>
      <c r="AA534" s="16" t="n"/>
      <c r="AB534" s="20" t="n"/>
      <c r="AC534" s="20" t="inlineStr">
        <is>
          <t>None</t>
        </is>
      </c>
      <c r="AD534" s="17" t="n"/>
      <c r="AE534" s="16" t="n"/>
      <c r="AF534" s="20" t="inlineStr">
        <is>
          <t>IC Anionen</t>
        </is>
      </c>
      <c r="AG534" s="20" t="inlineStr">
        <is>
          <t>None</t>
        </is>
      </c>
      <c r="AH534" s="17" t="n"/>
      <c r="AI534" s="16" t="n"/>
      <c r="AJ534" s="20" t="n"/>
      <c r="AK534" s="20" t="inlineStr">
        <is>
          <t>None</t>
        </is>
      </c>
      <c r="AL534" s="17" t="n"/>
      <c r="AM534" s="16" t="n"/>
      <c r="AN534" s="20" t="inlineStr">
        <is>
          <t>IC Anionen</t>
        </is>
      </c>
      <c r="AO534" s="20" t="inlineStr">
        <is>
          <t>None</t>
        </is>
      </c>
      <c r="AP534" s="17" t="n"/>
      <c r="AQ534" s="16" t="n"/>
      <c r="AR534" s="20" t="n"/>
      <c r="AS534" s="20" t="inlineStr">
        <is>
          <t>None</t>
        </is>
      </c>
      <c r="AT534" s="17" t="n"/>
      <c r="AU534" s="16" t="n"/>
      <c r="AV534" s="20" t="n"/>
      <c r="AW534" s="20" t="inlineStr">
        <is>
          <t>None</t>
        </is>
      </c>
      <c r="AX534" s="17" t="n"/>
      <c r="AY534" s="16" t="n"/>
      <c r="AZ534" s="20" t="inlineStr">
        <is>
          <t>IC Anionen</t>
        </is>
      </c>
      <c r="BA534" s="20" t="inlineStr">
        <is>
          <t>None</t>
        </is>
      </c>
      <c r="BB534" s="17" t="n"/>
      <c r="BC534" s="16" t="n"/>
      <c r="BD534" s="20" t="inlineStr">
        <is>
          <t>IC Kationen</t>
        </is>
      </c>
      <c r="BE534" s="20" t="inlineStr">
        <is>
          <t>None</t>
        </is>
      </c>
      <c r="BF534" s="17" t="n"/>
      <c r="BG534" s="16" t="n"/>
      <c r="BH534" s="20" t="inlineStr">
        <is>
          <t>IC Kationen</t>
        </is>
      </c>
      <c r="BI534" s="20" t="inlineStr">
        <is>
          <t>None</t>
        </is>
      </c>
      <c r="BJ534" s="17" t="n"/>
      <c r="BK534" s="16" t="n"/>
      <c r="BL534" s="20" t="inlineStr">
        <is>
          <t>IC Kationen</t>
        </is>
      </c>
      <c r="BM534" s="20" t="inlineStr">
        <is>
          <t>None</t>
        </is>
      </c>
      <c r="BN534" s="17" t="n"/>
      <c r="BO534" s="16" t="n"/>
      <c r="BP534" s="20" t="inlineStr">
        <is>
          <t>IC Kationen</t>
        </is>
      </c>
      <c r="BQ534" s="20" t="inlineStr">
        <is>
          <t>None</t>
        </is>
      </c>
      <c r="BR534" s="17" t="n"/>
      <c r="BS534" s="16" t="n"/>
      <c r="BT534" s="20" t="inlineStr">
        <is>
          <t>IC Kationen</t>
        </is>
      </c>
      <c r="BU534" s="20" t="inlineStr">
        <is>
          <t>None</t>
        </is>
      </c>
      <c r="BV534" s="17" t="n"/>
      <c r="BW534" s="16" t="n"/>
      <c r="BX534" s="20" t="n"/>
      <c r="BY534" s="20" t="inlineStr">
        <is>
          <t>None</t>
        </is>
      </c>
      <c r="BZ534" s="17" t="n"/>
      <c r="CA534" s="16" t="n"/>
      <c r="CB534" s="20" t="n"/>
      <c r="CC534" s="20" t="inlineStr">
        <is>
          <t>None</t>
        </is>
      </c>
      <c r="CD534" s="17" t="n"/>
      <c r="CE534" s="16" t="n"/>
      <c r="CF534" s="20" t="n"/>
      <c r="CG534" s="20" t="inlineStr">
        <is>
          <t>None</t>
        </is>
      </c>
      <c r="CH534" s="17" t="n"/>
      <c r="CI534" s="16" t="n"/>
      <c r="CJ534" s="20" t="n"/>
      <c r="CK534" s="20" t="inlineStr">
        <is>
          <t>None</t>
        </is>
      </c>
      <c r="CL534" s="17" t="n"/>
      <c r="CM534" s="16" t="n"/>
      <c r="CN534" s="20" t="inlineStr">
        <is>
          <t>SOP 45-34</t>
        </is>
      </c>
      <c r="CO534" s="20" t="inlineStr">
        <is>
          <t>None</t>
        </is>
      </c>
      <c r="CP534" s="17" t="n"/>
      <c r="CQ534" s="16" t="n"/>
      <c r="CR534" s="20" t="n"/>
      <c r="CS534" s="20" t="inlineStr">
        <is>
          <t>None</t>
        </is>
      </c>
      <c r="CT534" s="17" t="n"/>
      <c r="CU534" s="16" t="n"/>
      <c r="CV534" s="20" t="n"/>
      <c r="CW534" s="20" t="inlineStr">
        <is>
          <t>None</t>
        </is>
      </c>
      <c r="CX534" s="17" t="n"/>
      <c r="CY534" s="16" t="n"/>
      <c r="CZ534" s="20" t="inlineStr">
        <is>
          <t>WTW Multimeter 3430 with FDO 925</t>
        </is>
      </c>
      <c r="DA534" s="20" t="inlineStr">
        <is>
          <t>None</t>
        </is>
      </c>
      <c r="DB534" s="17" t="n"/>
      <c r="DC534" s="16" t="n"/>
      <c r="DD534" s="20" t="n"/>
      <c r="DE534" s="20" t="inlineStr">
        <is>
          <t>None</t>
        </is>
      </c>
      <c r="DF534" s="17" t="n"/>
      <c r="DG534" s="16" t="n"/>
      <c r="DH534" s="20" t="inlineStr">
        <is>
          <t>SOP 45-09</t>
        </is>
      </c>
      <c r="DI534" s="20" t="inlineStr">
        <is>
          <t>None</t>
        </is>
      </c>
      <c r="DJ534" s="17" t="n"/>
      <c r="DK534" s="16" t="n"/>
      <c r="DL534" s="20" t="inlineStr">
        <is>
          <t>SOP 45-09 (SOP muss noch angepasst werden für VSS)</t>
        </is>
      </c>
      <c r="DM534" s="20" t="inlineStr">
        <is>
          <t>None</t>
        </is>
      </c>
      <c r="DN534" s="17" t="n"/>
      <c r="DO534" s="16" t="n"/>
      <c r="DP534" s="20" t="inlineStr">
        <is>
          <t>IC Organic Acids</t>
        </is>
      </c>
      <c r="DQ534" s="20" t="inlineStr">
        <is>
          <t>None</t>
        </is>
      </c>
      <c r="DR534" s="17" t="n"/>
      <c r="DS534" s="16" t="n"/>
      <c r="DT534" s="20" t="inlineStr">
        <is>
          <t>IC Organic Acids</t>
        </is>
      </c>
      <c r="DU534" s="20" t="inlineStr">
        <is>
          <t>None</t>
        </is>
      </c>
      <c r="DV534" s="17" t="n"/>
      <c r="DW534" s="16" t="n"/>
      <c r="DX534" s="20" t="inlineStr">
        <is>
          <t>IC Organic Acids</t>
        </is>
      </c>
      <c r="DY534" s="20" t="inlineStr">
        <is>
          <t>None</t>
        </is>
      </c>
      <c r="DZ534" s="17" t="n"/>
      <c r="EA534" s="16" t="n"/>
      <c r="EB534" s="20" t="inlineStr">
        <is>
          <t>IC Organic Acids</t>
        </is>
      </c>
      <c r="EC534" s="20" t="inlineStr">
        <is>
          <t>None</t>
        </is>
      </c>
      <c r="ED534" s="17" t="n"/>
      <c r="EE534" s="16" t="n"/>
      <c r="EF534" s="20" t="inlineStr">
        <is>
          <t>IC Organic Acids</t>
        </is>
      </c>
      <c r="EG534" s="20" t="inlineStr">
        <is>
          <t>None</t>
        </is>
      </c>
      <c r="EH534" s="17" t="n"/>
      <c r="EI534" s="16" t="n"/>
      <c r="EJ534" s="20" t="inlineStr">
        <is>
          <t>IC Organic Acids</t>
        </is>
      </c>
      <c r="EK534" s="20" t="inlineStr">
        <is>
          <t>None</t>
        </is>
      </c>
      <c r="EL534" s="17" t="n"/>
      <c r="EM534" s="16" t="n"/>
      <c r="EN534" s="20" t="inlineStr">
        <is>
          <t>IC Organic Acids</t>
        </is>
      </c>
      <c r="EO534" s="20" t="inlineStr">
        <is>
          <t>None</t>
        </is>
      </c>
      <c r="EP534" s="17" t="n"/>
      <c r="EQ534" s="16" t="n"/>
      <c r="ER534" s="20" t="inlineStr">
        <is>
          <t>IC Organic Acids</t>
        </is>
      </c>
      <c r="ES534" s="20" t="inlineStr">
        <is>
          <t>None</t>
        </is>
      </c>
      <c r="ET534" s="17" t="n"/>
      <c r="EU534" s="16" t="n"/>
      <c r="EV534" s="20" t="inlineStr">
        <is>
          <t>LC-MS</t>
        </is>
      </c>
      <c r="EW534" s="20" t="inlineStr">
        <is>
          <t>None</t>
        </is>
      </c>
      <c r="EX534" s="17" t="n"/>
      <c r="EY534" s="21" t="n"/>
      <c r="EZ534">
        <f>CONCATENATE(A534,B534)</f>
        <v/>
      </c>
      <c r="FA534">
        <f>CONCATENATE(SamplesX!A534,SamplesX!B534)</f>
        <v/>
      </c>
      <c r="FC534">
        <f>MATCH(EZ534,FA1:FA1008,0)</f>
        <v/>
      </c>
    </row>
    <row r="535">
      <c r="A535" s="16" t="n"/>
      <c r="B535" s="17" t="n"/>
      <c r="C535" s="10">
        <f>IF(ISNUMBER(FC535),INDIRECT("SamplesX!C"&amp;FC535),IF(ISNUMBER(FD535),INDIRECT("SamplesY!C"&amp;FD535),""))</f>
        <v/>
      </c>
      <c r="D535" s="12">
        <f>IF(ISNUMBER(FC535),INDIRECT("SamplesX!D"&amp;FC535),IF(ISNUMBER(FD535),INDIRECT("SamplesY!D"&amp;FD535),""))</f>
        <v/>
      </c>
      <c r="E535" s="12">
        <f>IF(ISNUMBER(FC535),INDIRECT("SamplesX!E"&amp;FC535),IF(ISNUMBER(FD535),INDIRECT("SamplesY!E"&amp;FD535),""))</f>
        <v/>
      </c>
      <c r="F535" s="11">
        <f>IF(ISNUMBER(FC535),INDIRECT("SamplesX!F"&amp;FC535),IF(ISNUMBER(FD535),INDIRECT("SamplesY!F"&amp;FD535),""))</f>
        <v/>
      </c>
      <c r="G535" s="18">
        <f>IF(ISNUMBER(FC535),INDIRECT("SamplesX!G"&amp;FC535),IF(ISNUMBER(FD535),INDIRECT("SamplesY!G"&amp;FD535),""))</f>
        <v/>
      </c>
      <c r="H535" s="19">
        <f>IF(ISNUMBER(FC535),INDIRECT("SamplesX!H"&amp;FC535),IF(ISNUMBER(FD535),INDIRECT("SamplesY!H"&amp;FD535),""))</f>
        <v/>
      </c>
      <c r="I535" s="16" t="n"/>
      <c r="J535" s="16" t="n"/>
      <c r="K535" s="16" t="n"/>
      <c r="L535" s="20" t="n"/>
      <c r="M535" s="20" t="inlineStr">
        <is>
          <t>None</t>
        </is>
      </c>
      <c r="N535" s="17" t="n"/>
      <c r="O535" s="16" t="n"/>
      <c r="P535" s="20" t="inlineStr">
        <is>
          <t>Shimadzu TOC-L</t>
        </is>
      </c>
      <c r="Q535" s="20" t="inlineStr">
        <is>
          <t>None</t>
        </is>
      </c>
      <c r="R535" s="17" t="n"/>
      <c r="S535" s="16" t="n"/>
      <c r="T535" s="20" t="inlineStr">
        <is>
          <t>Shimadzu TOC-L</t>
        </is>
      </c>
      <c r="U535" s="20" t="inlineStr">
        <is>
          <t>None</t>
        </is>
      </c>
      <c r="V535" s="17" t="n"/>
      <c r="W535" s="16" t="n"/>
      <c r="X535" s="20" t="n"/>
      <c r="Y535" s="20" t="inlineStr">
        <is>
          <t>None</t>
        </is>
      </c>
      <c r="Z535" s="17" t="n"/>
      <c r="AA535" s="16" t="n"/>
      <c r="AB535" s="20" t="n"/>
      <c r="AC535" s="20" t="inlineStr">
        <is>
          <t>None</t>
        </is>
      </c>
      <c r="AD535" s="17" t="n"/>
      <c r="AE535" s="16" t="n"/>
      <c r="AF535" s="20" t="inlineStr">
        <is>
          <t>IC Anionen</t>
        </is>
      </c>
      <c r="AG535" s="20" t="inlineStr">
        <is>
          <t>None</t>
        </is>
      </c>
      <c r="AH535" s="17" t="n"/>
      <c r="AI535" s="16" t="n"/>
      <c r="AJ535" s="20" t="n"/>
      <c r="AK535" s="20" t="inlineStr">
        <is>
          <t>None</t>
        </is>
      </c>
      <c r="AL535" s="17" t="n"/>
      <c r="AM535" s="16" t="n"/>
      <c r="AN535" s="20" t="inlineStr">
        <is>
          <t>IC Anionen</t>
        </is>
      </c>
      <c r="AO535" s="20" t="inlineStr">
        <is>
          <t>None</t>
        </is>
      </c>
      <c r="AP535" s="17" t="n"/>
      <c r="AQ535" s="16" t="n"/>
      <c r="AR535" s="20" t="n"/>
      <c r="AS535" s="20" t="inlineStr">
        <is>
          <t>None</t>
        </is>
      </c>
      <c r="AT535" s="17" t="n"/>
      <c r="AU535" s="16" t="n"/>
      <c r="AV535" s="20" t="n"/>
      <c r="AW535" s="20" t="inlineStr">
        <is>
          <t>None</t>
        </is>
      </c>
      <c r="AX535" s="17" t="n"/>
      <c r="AY535" s="16" t="n"/>
      <c r="AZ535" s="20" t="inlineStr">
        <is>
          <t>IC Anionen</t>
        </is>
      </c>
      <c r="BA535" s="20" t="inlineStr">
        <is>
          <t>None</t>
        </is>
      </c>
      <c r="BB535" s="17" t="n"/>
      <c r="BC535" s="16" t="n"/>
      <c r="BD535" s="20" t="inlineStr">
        <is>
          <t>IC Kationen</t>
        </is>
      </c>
      <c r="BE535" s="20" t="inlineStr">
        <is>
          <t>None</t>
        </is>
      </c>
      <c r="BF535" s="17" t="n"/>
      <c r="BG535" s="16" t="n"/>
      <c r="BH535" s="20" t="inlineStr">
        <is>
          <t>IC Kationen</t>
        </is>
      </c>
      <c r="BI535" s="20" t="inlineStr">
        <is>
          <t>None</t>
        </is>
      </c>
      <c r="BJ535" s="17" t="n"/>
      <c r="BK535" s="16" t="n"/>
      <c r="BL535" s="20" t="inlineStr">
        <is>
          <t>IC Kationen</t>
        </is>
      </c>
      <c r="BM535" s="20" t="inlineStr">
        <is>
          <t>None</t>
        </is>
      </c>
      <c r="BN535" s="17" t="n"/>
      <c r="BO535" s="16" t="n"/>
      <c r="BP535" s="20" t="inlineStr">
        <is>
          <t>IC Kationen</t>
        </is>
      </c>
      <c r="BQ535" s="20" t="inlineStr">
        <is>
          <t>None</t>
        </is>
      </c>
      <c r="BR535" s="17" t="n"/>
      <c r="BS535" s="16" t="n"/>
      <c r="BT535" s="20" t="inlineStr">
        <is>
          <t>IC Kationen</t>
        </is>
      </c>
      <c r="BU535" s="20" t="inlineStr">
        <is>
          <t>None</t>
        </is>
      </c>
      <c r="BV535" s="17" t="n"/>
      <c r="BW535" s="16" t="n"/>
      <c r="BX535" s="20" t="n"/>
      <c r="BY535" s="20" t="inlineStr">
        <is>
          <t>None</t>
        </is>
      </c>
      <c r="BZ535" s="17" t="n"/>
      <c r="CA535" s="16" t="n"/>
      <c r="CB535" s="20" t="n"/>
      <c r="CC535" s="20" t="inlineStr">
        <is>
          <t>None</t>
        </is>
      </c>
      <c r="CD535" s="17" t="n"/>
      <c r="CE535" s="16" t="n"/>
      <c r="CF535" s="20" t="n"/>
      <c r="CG535" s="20" t="inlineStr">
        <is>
          <t>None</t>
        </is>
      </c>
      <c r="CH535" s="17" t="n"/>
      <c r="CI535" s="16" t="n"/>
      <c r="CJ535" s="20" t="n"/>
      <c r="CK535" s="20" t="inlineStr">
        <is>
          <t>None</t>
        </is>
      </c>
      <c r="CL535" s="17" t="n"/>
      <c r="CM535" s="16" t="n"/>
      <c r="CN535" s="20" t="inlineStr">
        <is>
          <t>SOP 45-34</t>
        </is>
      </c>
      <c r="CO535" s="20" t="inlineStr">
        <is>
          <t>None</t>
        </is>
      </c>
      <c r="CP535" s="17" t="n"/>
      <c r="CQ535" s="16" t="n"/>
      <c r="CR535" s="20" t="n"/>
      <c r="CS535" s="20" t="inlineStr">
        <is>
          <t>None</t>
        </is>
      </c>
      <c r="CT535" s="17" t="n"/>
      <c r="CU535" s="16" t="n"/>
      <c r="CV535" s="20" t="n"/>
      <c r="CW535" s="20" t="inlineStr">
        <is>
          <t>None</t>
        </is>
      </c>
      <c r="CX535" s="17" t="n"/>
      <c r="CY535" s="16" t="n"/>
      <c r="CZ535" s="20" t="inlineStr">
        <is>
          <t>WTW Multimeter 3430 with FDO 925</t>
        </is>
      </c>
      <c r="DA535" s="20" t="inlineStr">
        <is>
          <t>None</t>
        </is>
      </c>
      <c r="DB535" s="17" t="n"/>
      <c r="DC535" s="16" t="n"/>
      <c r="DD535" s="20" t="n"/>
      <c r="DE535" s="20" t="inlineStr">
        <is>
          <t>None</t>
        </is>
      </c>
      <c r="DF535" s="17" t="n"/>
      <c r="DG535" s="16" t="n"/>
      <c r="DH535" s="20" t="inlineStr">
        <is>
          <t>SOP 45-09</t>
        </is>
      </c>
      <c r="DI535" s="20" t="inlineStr">
        <is>
          <t>None</t>
        </is>
      </c>
      <c r="DJ535" s="17" t="n"/>
      <c r="DK535" s="16" t="n"/>
      <c r="DL535" s="20" t="inlineStr">
        <is>
          <t>SOP 45-09 (SOP muss noch angepasst werden für VSS)</t>
        </is>
      </c>
      <c r="DM535" s="20" t="inlineStr">
        <is>
          <t>None</t>
        </is>
      </c>
      <c r="DN535" s="17" t="n"/>
      <c r="DO535" s="16" t="n"/>
      <c r="DP535" s="20" t="inlineStr">
        <is>
          <t>IC Organic Acids</t>
        </is>
      </c>
      <c r="DQ535" s="20" t="inlineStr">
        <is>
          <t>None</t>
        </is>
      </c>
      <c r="DR535" s="17" t="n"/>
      <c r="DS535" s="16" t="n"/>
      <c r="DT535" s="20" t="inlineStr">
        <is>
          <t>IC Organic Acids</t>
        </is>
      </c>
      <c r="DU535" s="20" t="inlineStr">
        <is>
          <t>None</t>
        </is>
      </c>
      <c r="DV535" s="17" t="n"/>
      <c r="DW535" s="16" t="n"/>
      <c r="DX535" s="20" t="inlineStr">
        <is>
          <t>IC Organic Acids</t>
        </is>
      </c>
      <c r="DY535" s="20" t="inlineStr">
        <is>
          <t>None</t>
        </is>
      </c>
      <c r="DZ535" s="17" t="n"/>
      <c r="EA535" s="16" t="n"/>
      <c r="EB535" s="20" t="inlineStr">
        <is>
          <t>IC Organic Acids</t>
        </is>
      </c>
      <c r="EC535" s="20" t="inlineStr">
        <is>
          <t>None</t>
        </is>
      </c>
      <c r="ED535" s="17" t="n"/>
      <c r="EE535" s="16" t="n"/>
      <c r="EF535" s="20" t="inlineStr">
        <is>
          <t>IC Organic Acids</t>
        </is>
      </c>
      <c r="EG535" s="20" t="inlineStr">
        <is>
          <t>None</t>
        </is>
      </c>
      <c r="EH535" s="17" t="n"/>
      <c r="EI535" s="16" t="n"/>
      <c r="EJ535" s="20" t="inlineStr">
        <is>
          <t>IC Organic Acids</t>
        </is>
      </c>
      <c r="EK535" s="20" t="inlineStr">
        <is>
          <t>None</t>
        </is>
      </c>
      <c r="EL535" s="17" t="n"/>
      <c r="EM535" s="16" t="n"/>
      <c r="EN535" s="20" t="inlineStr">
        <is>
          <t>IC Organic Acids</t>
        </is>
      </c>
      <c r="EO535" s="20" t="inlineStr">
        <is>
          <t>None</t>
        </is>
      </c>
      <c r="EP535" s="17" t="n"/>
      <c r="EQ535" s="16" t="n"/>
      <c r="ER535" s="20" t="inlineStr">
        <is>
          <t>IC Organic Acids</t>
        </is>
      </c>
      <c r="ES535" s="20" t="inlineStr">
        <is>
          <t>None</t>
        </is>
      </c>
      <c r="ET535" s="17" t="n"/>
      <c r="EU535" s="16" t="n"/>
      <c r="EV535" s="20" t="inlineStr">
        <is>
          <t>LC-MS</t>
        </is>
      </c>
      <c r="EW535" s="20" t="inlineStr">
        <is>
          <t>None</t>
        </is>
      </c>
      <c r="EX535" s="17" t="n"/>
      <c r="EY535" s="21" t="n"/>
      <c r="EZ535">
        <f>CONCATENATE(A535,B535)</f>
        <v/>
      </c>
      <c r="FA535">
        <f>CONCATENATE(SamplesX!A535,SamplesX!B535)</f>
        <v/>
      </c>
      <c r="FC535">
        <f>MATCH(EZ535,FA1:FA1008,0)</f>
        <v/>
      </c>
    </row>
    <row r="536">
      <c r="A536" s="16" t="n"/>
      <c r="B536" s="17" t="n"/>
      <c r="C536" s="10">
        <f>IF(ISNUMBER(FC536),INDIRECT("SamplesX!C"&amp;FC536),IF(ISNUMBER(FD536),INDIRECT("SamplesY!C"&amp;FD536),""))</f>
        <v/>
      </c>
      <c r="D536" s="12">
        <f>IF(ISNUMBER(FC536),INDIRECT("SamplesX!D"&amp;FC536),IF(ISNUMBER(FD536),INDIRECT("SamplesY!D"&amp;FD536),""))</f>
        <v/>
      </c>
      <c r="E536" s="12">
        <f>IF(ISNUMBER(FC536),INDIRECT("SamplesX!E"&amp;FC536),IF(ISNUMBER(FD536),INDIRECT("SamplesY!E"&amp;FD536),""))</f>
        <v/>
      </c>
      <c r="F536" s="11">
        <f>IF(ISNUMBER(FC536),INDIRECT("SamplesX!F"&amp;FC536),IF(ISNUMBER(FD536),INDIRECT("SamplesY!F"&amp;FD536),""))</f>
        <v/>
      </c>
      <c r="G536" s="18">
        <f>IF(ISNUMBER(FC536),INDIRECT("SamplesX!G"&amp;FC536),IF(ISNUMBER(FD536),INDIRECT("SamplesY!G"&amp;FD536),""))</f>
        <v/>
      </c>
      <c r="H536" s="19">
        <f>IF(ISNUMBER(FC536),INDIRECT("SamplesX!H"&amp;FC536),IF(ISNUMBER(FD536),INDIRECT("SamplesY!H"&amp;FD536),""))</f>
        <v/>
      </c>
      <c r="I536" s="16" t="n"/>
      <c r="J536" s="16" t="n"/>
      <c r="K536" s="16" t="n"/>
      <c r="L536" s="20" t="n"/>
      <c r="M536" s="20" t="inlineStr">
        <is>
          <t>None</t>
        </is>
      </c>
      <c r="N536" s="17" t="n"/>
      <c r="O536" s="16" t="n"/>
      <c r="P536" s="20" t="inlineStr">
        <is>
          <t>Shimadzu TOC-L</t>
        </is>
      </c>
      <c r="Q536" s="20" t="inlineStr">
        <is>
          <t>None</t>
        </is>
      </c>
      <c r="R536" s="17" t="n"/>
      <c r="S536" s="16" t="n"/>
      <c r="T536" s="20" t="inlineStr">
        <is>
          <t>Shimadzu TOC-L</t>
        </is>
      </c>
      <c r="U536" s="20" t="inlineStr">
        <is>
          <t>None</t>
        </is>
      </c>
      <c r="V536" s="17" t="n"/>
      <c r="W536" s="16" t="n"/>
      <c r="X536" s="20" t="n"/>
      <c r="Y536" s="20" t="inlineStr">
        <is>
          <t>None</t>
        </is>
      </c>
      <c r="Z536" s="17" t="n"/>
      <c r="AA536" s="16" t="n"/>
      <c r="AB536" s="20" t="n"/>
      <c r="AC536" s="20" t="inlineStr">
        <is>
          <t>None</t>
        </is>
      </c>
      <c r="AD536" s="17" t="n"/>
      <c r="AE536" s="16" t="n"/>
      <c r="AF536" s="20" t="inlineStr">
        <is>
          <t>IC Anionen</t>
        </is>
      </c>
      <c r="AG536" s="20" t="inlineStr">
        <is>
          <t>None</t>
        </is>
      </c>
      <c r="AH536" s="17" t="n"/>
      <c r="AI536" s="16" t="n"/>
      <c r="AJ536" s="20" t="n"/>
      <c r="AK536" s="20" t="inlineStr">
        <is>
          <t>None</t>
        </is>
      </c>
      <c r="AL536" s="17" t="n"/>
      <c r="AM536" s="16" t="n"/>
      <c r="AN536" s="20" t="inlineStr">
        <is>
          <t>IC Anionen</t>
        </is>
      </c>
      <c r="AO536" s="20" t="inlineStr">
        <is>
          <t>None</t>
        </is>
      </c>
      <c r="AP536" s="17" t="n"/>
      <c r="AQ536" s="16" t="n"/>
      <c r="AR536" s="20" t="n"/>
      <c r="AS536" s="20" t="inlineStr">
        <is>
          <t>None</t>
        </is>
      </c>
      <c r="AT536" s="17" t="n"/>
      <c r="AU536" s="16" t="n"/>
      <c r="AV536" s="20" t="n"/>
      <c r="AW536" s="20" t="inlineStr">
        <is>
          <t>None</t>
        </is>
      </c>
      <c r="AX536" s="17" t="n"/>
      <c r="AY536" s="16" t="n"/>
      <c r="AZ536" s="20" t="inlineStr">
        <is>
          <t>IC Anionen</t>
        </is>
      </c>
      <c r="BA536" s="20" t="inlineStr">
        <is>
          <t>None</t>
        </is>
      </c>
      <c r="BB536" s="17" t="n"/>
      <c r="BC536" s="16" t="n"/>
      <c r="BD536" s="20" t="inlineStr">
        <is>
          <t>IC Kationen</t>
        </is>
      </c>
      <c r="BE536" s="20" t="inlineStr">
        <is>
          <t>None</t>
        </is>
      </c>
      <c r="BF536" s="17" t="n"/>
      <c r="BG536" s="16" t="n"/>
      <c r="BH536" s="20" t="inlineStr">
        <is>
          <t>IC Kationen</t>
        </is>
      </c>
      <c r="BI536" s="20" t="inlineStr">
        <is>
          <t>None</t>
        </is>
      </c>
      <c r="BJ536" s="17" t="n"/>
      <c r="BK536" s="16" t="n"/>
      <c r="BL536" s="20" t="inlineStr">
        <is>
          <t>IC Kationen</t>
        </is>
      </c>
      <c r="BM536" s="20" t="inlineStr">
        <is>
          <t>None</t>
        </is>
      </c>
      <c r="BN536" s="17" t="n"/>
      <c r="BO536" s="16" t="n"/>
      <c r="BP536" s="20" t="inlineStr">
        <is>
          <t>IC Kationen</t>
        </is>
      </c>
      <c r="BQ536" s="20" t="inlineStr">
        <is>
          <t>None</t>
        </is>
      </c>
      <c r="BR536" s="17" t="n"/>
      <c r="BS536" s="16" t="n"/>
      <c r="BT536" s="20" t="inlineStr">
        <is>
          <t>IC Kationen</t>
        </is>
      </c>
      <c r="BU536" s="20" t="inlineStr">
        <is>
          <t>None</t>
        </is>
      </c>
      <c r="BV536" s="17" t="n"/>
      <c r="BW536" s="16" t="n"/>
      <c r="BX536" s="20" t="n"/>
      <c r="BY536" s="20" t="inlineStr">
        <is>
          <t>None</t>
        </is>
      </c>
      <c r="BZ536" s="17" t="n"/>
      <c r="CA536" s="16" t="n"/>
      <c r="CB536" s="20" t="n"/>
      <c r="CC536" s="20" t="inlineStr">
        <is>
          <t>None</t>
        </is>
      </c>
      <c r="CD536" s="17" t="n"/>
      <c r="CE536" s="16" t="n"/>
      <c r="CF536" s="20" t="n"/>
      <c r="CG536" s="20" t="inlineStr">
        <is>
          <t>None</t>
        </is>
      </c>
      <c r="CH536" s="17" t="n"/>
      <c r="CI536" s="16" t="n"/>
      <c r="CJ536" s="20" t="n"/>
      <c r="CK536" s="20" t="inlineStr">
        <is>
          <t>None</t>
        </is>
      </c>
      <c r="CL536" s="17" t="n"/>
      <c r="CM536" s="16" t="n"/>
      <c r="CN536" s="20" t="inlineStr">
        <is>
          <t>SOP 45-34</t>
        </is>
      </c>
      <c r="CO536" s="20" t="inlineStr">
        <is>
          <t>None</t>
        </is>
      </c>
      <c r="CP536" s="17" t="n"/>
      <c r="CQ536" s="16" t="n"/>
      <c r="CR536" s="20" t="n"/>
      <c r="CS536" s="20" t="inlineStr">
        <is>
          <t>None</t>
        </is>
      </c>
      <c r="CT536" s="17" t="n"/>
      <c r="CU536" s="16" t="n"/>
      <c r="CV536" s="20" t="n"/>
      <c r="CW536" s="20" t="inlineStr">
        <is>
          <t>None</t>
        </is>
      </c>
      <c r="CX536" s="17" t="n"/>
      <c r="CY536" s="16" t="n"/>
      <c r="CZ536" s="20" t="inlineStr">
        <is>
          <t>WTW Multimeter 3430 with FDO 925</t>
        </is>
      </c>
      <c r="DA536" s="20" t="inlineStr">
        <is>
          <t>None</t>
        </is>
      </c>
      <c r="DB536" s="17" t="n"/>
      <c r="DC536" s="16" t="n"/>
      <c r="DD536" s="20" t="n"/>
      <c r="DE536" s="20" t="inlineStr">
        <is>
          <t>None</t>
        </is>
      </c>
      <c r="DF536" s="17" t="n"/>
      <c r="DG536" s="16" t="n"/>
      <c r="DH536" s="20" t="inlineStr">
        <is>
          <t>SOP 45-09</t>
        </is>
      </c>
      <c r="DI536" s="20" t="inlineStr">
        <is>
          <t>None</t>
        </is>
      </c>
      <c r="DJ536" s="17" t="n"/>
      <c r="DK536" s="16" t="n"/>
      <c r="DL536" s="20" t="inlineStr">
        <is>
          <t>SOP 45-09 (SOP muss noch angepasst werden für VSS)</t>
        </is>
      </c>
      <c r="DM536" s="20" t="inlineStr">
        <is>
          <t>None</t>
        </is>
      </c>
      <c r="DN536" s="17" t="n"/>
      <c r="DO536" s="16" t="n"/>
      <c r="DP536" s="20" t="inlineStr">
        <is>
          <t>IC Organic Acids</t>
        </is>
      </c>
      <c r="DQ536" s="20" t="inlineStr">
        <is>
          <t>None</t>
        </is>
      </c>
      <c r="DR536" s="17" t="n"/>
      <c r="DS536" s="16" t="n"/>
      <c r="DT536" s="20" t="inlineStr">
        <is>
          <t>IC Organic Acids</t>
        </is>
      </c>
      <c r="DU536" s="20" t="inlineStr">
        <is>
          <t>None</t>
        </is>
      </c>
      <c r="DV536" s="17" t="n"/>
      <c r="DW536" s="16" t="n"/>
      <c r="DX536" s="20" t="inlineStr">
        <is>
          <t>IC Organic Acids</t>
        </is>
      </c>
      <c r="DY536" s="20" t="inlineStr">
        <is>
          <t>None</t>
        </is>
      </c>
      <c r="DZ536" s="17" t="n"/>
      <c r="EA536" s="16" t="n"/>
      <c r="EB536" s="20" t="inlineStr">
        <is>
          <t>IC Organic Acids</t>
        </is>
      </c>
      <c r="EC536" s="20" t="inlineStr">
        <is>
          <t>None</t>
        </is>
      </c>
      <c r="ED536" s="17" t="n"/>
      <c r="EE536" s="16" t="n"/>
      <c r="EF536" s="20" t="inlineStr">
        <is>
          <t>IC Organic Acids</t>
        </is>
      </c>
      <c r="EG536" s="20" t="inlineStr">
        <is>
          <t>None</t>
        </is>
      </c>
      <c r="EH536" s="17" t="n"/>
      <c r="EI536" s="16" t="n"/>
      <c r="EJ536" s="20" t="inlineStr">
        <is>
          <t>IC Organic Acids</t>
        </is>
      </c>
      <c r="EK536" s="20" t="inlineStr">
        <is>
          <t>None</t>
        </is>
      </c>
      <c r="EL536" s="17" t="n"/>
      <c r="EM536" s="16" t="n"/>
      <c r="EN536" s="20" t="inlineStr">
        <is>
          <t>IC Organic Acids</t>
        </is>
      </c>
      <c r="EO536" s="20" t="inlineStr">
        <is>
          <t>None</t>
        </is>
      </c>
      <c r="EP536" s="17" t="n"/>
      <c r="EQ536" s="16" t="n"/>
      <c r="ER536" s="20" t="inlineStr">
        <is>
          <t>IC Organic Acids</t>
        </is>
      </c>
      <c r="ES536" s="20" t="inlineStr">
        <is>
          <t>None</t>
        </is>
      </c>
      <c r="ET536" s="17" t="n"/>
      <c r="EU536" s="16" t="n"/>
      <c r="EV536" s="20" t="inlineStr">
        <is>
          <t>LC-MS</t>
        </is>
      </c>
      <c r="EW536" s="20" t="inlineStr">
        <is>
          <t>None</t>
        </is>
      </c>
      <c r="EX536" s="17" t="n"/>
      <c r="EY536" s="21" t="n"/>
      <c r="EZ536">
        <f>CONCATENATE(A536,B536)</f>
        <v/>
      </c>
      <c r="FA536">
        <f>CONCATENATE(SamplesX!A536,SamplesX!B536)</f>
        <v/>
      </c>
      <c r="FC536">
        <f>MATCH(EZ536,FA1:FA1008,0)</f>
        <v/>
      </c>
    </row>
    <row r="537">
      <c r="A537" s="16" t="n"/>
      <c r="B537" s="17" t="n"/>
      <c r="C537" s="10">
        <f>IF(ISNUMBER(FC537),INDIRECT("SamplesX!C"&amp;FC537),IF(ISNUMBER(FD537),INDIRECT("SamplesY!C"&amp;FD537),""))</f>
        <v/>
      </c>
      <c r="D537" s="12">
        <f>IF(ISNUMBER(FC537),INDIRECT("SamplesX!D"&amp;FC537),IF(ISNUMBER(FD537),INDIRECT("SamplesY!D"&amp;FD537),""))</f>
        <v/>
      </c>
      <c r="E537" s="12">
        <f>IF(ISNUMBER(FC537),INDIRECT("SamplesX!E"&amp;FC537),IF(ISNUMBER(FD537),INDIRECT("SamplesY!E"&amp;FD537),""))</f>
        <v/>
      </c>
      <c r="F537" s="11">
        <f>IF(ISNUMBER(FC537),INDIRECT("SamplesX!F"&amp;FC537),IF(ISNUMBER(FD537),INDIRECT("SamplesY!F"&amp;FD537),""))</f>
        <v/>
      </c>
      <c r="G537" s="18">
        <f>IF(ISNUMBER(FC537),INDIRECT("SamplesX!G"&amp;FC537),IF(ISNUMBER(FD537),INDIRECT("SamplesY!G"&amp;FD537),""))</f>
        <v/>
      </c>
      <c r="H537" s="19">
        <f>IF(ISNUMBER(FC537),INDIRECT("SamplesX!H"&amp;FC537),IF(ISNUMBER(FD537),INDIRECT("SamplesY!H"&amp;FD537),""))</f>
        <v/>
      </c>
      <c r="I537" s="16" t="n"/>
      <c r="J537" s="16" t="n"/>
      <c r="K537" s="16" t="n"/>
      <c r="L537" s="20" t="n"/>
      <c r="M537" s="20" t="inlineStr">
        <is>
          <t>None</t>
        </is>
      </c>
      <c r="N537" s="17" t="n"/>
      <c r="O537" s="16" t="n"/>
      <c r="P537" s="20" t="inlineStr">
        <is>
          <t>Shimadzu TOC-L</t>
        </is>
      </c>
      <c r="Q537" s="20" t="inlineStr">
        <is>
          <t>None</t>
        </is>
      </c>
      <c r="R537" s="17" t="n"/>
      <c r="S537" s="16" t="n"/>
      <c r="T537" s="20" t="inlineStr">
        <is>
          <t>Shimadzu TOC-L</t>
        </is>
      </c>
      <c r="U537" s="20" t="inlineStr">
        <is>
          <t>None</t>
        </is>
      </c>
      <c r="V537" s="17" t="n"/>
      <c r="W537" s="16" t="n"/>
      <c r="X537" s="20" t="n"/>
      <c r="Y537" s="20" t="inlineStr">
        <is>
          <t>None</t>
        </is>
      </c>
      <c r="Z537" s="17" t="n"/>
      <c r="AA537" s="16" t="n"/>
      <c r="AB537" s="20" t="n"/>
      <c r="AC537" s="20" t="inlineStr">
        <is>
          <t>None</t>
        </is>
      </c>
      <c r="AD537" s="17" t="n"/>
      <c r="AE537" s="16" t="n"/>
      <c r="AF537" s="20" t="inlineStr">
        <is>
          <t>IC Anionen</t>
        </is>
      </c>
      <c r="AG537" s="20" t="inlineStr">
        <is>
          <t>None</t>
        </is>
      </c>
      <c r="AH537" s="17" t="n"/>
      <c r="AI537" s="16" t="n"/>
      <c r="AJ537" s="20" t="n"/>
      <c r="AK537" s="20" t="inlineStr">
        <is>
          <t>None</t>
        </is>
      </c>
      <c r="AL537" s="17" t="n"/>
      <c r="AM537" s="16" t="n"/>
      <c r="AN537" s="20" t="inlineStr">
        <is>
          <t>IC Anionen</t>
        </is>
      </c>
      <c r="AO537" s="20" t="inlineStr">
        <is>
          <t>None</t>
        </is>
      </c>
      <c r="AP537" s="17" t="n"/>
      <c r="AQ537" s="16" t="n"/>
      <c r="AR537" s="20" t="n"/>
      <c r="AS537" s="20" t="inlineStr">
        <is>
          <t>None</t>
        </is>
      </c>
      <c r="AT537" s="17" t="n"/>
      <c r="AU537" s="16" t="n"/>
      <c r="AV537" s="20" t="n"/>
      <c r="AW537" s="20" t="inlineStr">
        <is>
          <t>None</t>
        </is>
      </c>
      <c r="AX537" s="17" t="n"/>
      <c r="AY537" s="16" t="n"/>
      <c r="AZ537" s="20" t="inlineStr">
        <is>
          <t>IC Anionen</t>
        </is>
      </c>
      <c r="BA537" s="20" t="inlineStr">
        <is>
          <t>None</t>
        </is>
      </c>
      <c r="BB537" s="17" t="n"/>
      <c r="BC537" s="16" t="n"/>
      <c r="BD537" s="20" t="inlineStr">
        <is>
          <t>IC Kationen</t>
        </is>
      </c>
      <c r="BE537" s="20" t="inlineStr">
        <is>
          <t>None</t>
        </is>
      </c>
      <c r="BF537" s="17" t="n"/>
      <c r="BG537" s="16" t="n"/>
      <c r="BH537" s="20" t="inlineStr">
        <is>
          <t>IC Kationen</t>
        </is>
      </c>
      <c r="BI537" s="20" t="inlineStr">
        <is>
          <t>None</t>
        </is>
      </c>
      <c r="BJ537" s="17" t="n"/>
      <c r="BK537" s="16" t="n"/>
      <c r="BL537" s="20" t="inlineStr">
        <is>
          <t>IC Kationen</t>
        </is>
      </c>
      <c r="BM537" s="20" t="inlineStr">
        <is>
          <t>None</t>
        </is>
      </c>
      <c r="BN537" s="17" t="n"/>
      <c r="BO537" s="16" t="n"/>
      <c r="BP537" s="20" t="inlineStr">
        <is>
          <t>IC Kationen</t>
        </is>
      </c>
      <c r="BQ537" s="20" t="inlineStr">
        <is>
          <t>None</t>
        </is>
      </c>
      <c r="BR537" s="17" t="n"/>
      <c r="BS537" s="16" t="n"/>
      <c r="BT537" s="20" t="inlineStr">
        <is>
          <t>IC Kationen</t>
        </is>
      </c>
      <c r="BU537" s="20" t="inlineStr">
        <is>
          <t>None</t>
        </is>
      </c>
      <c r="BV537" s="17" t="n"/>
      <c r="BW537" s="16" t="n"/>
      <c r="BX537" s="20" t="n"/>
      <c r="BY537" s="20" t="inlineStr">
        <is>
          <t>None</t>
        </is>
      </c>
      <c r="BZ537" s="17" t="n"/>
      <c r="CA537" s="16" t="n"/>
      <c r="CB537" s="20" t="n"/>
      <c r="CC537" s="20" t="inlineStr">
        <is>
          <t>None</t>
        </is>
      </c>
      <c r="CD537" s="17" t="n"/>
      <c r="CE537" s="16" t="n"/>
      <c r="CF537" s="20" t="n"/>
      <c r="CG537" s="20" t="inlineStr">
        <is>
          <t>None</t>
        </is>
      </c>
      <c r="CH537" s="17" t="n"/>
      <c r="CI537" s="16" t="n"/>
      <c r="CJ537" s="20" t="n"/>
      <c r="CK537" s="20" t="inlineStr">
        <is>
          <t>None</t>
        </is>
      </c>
      <c r="CL537" s="17" t="n"/>
      <c r="CM537" s="16" t="n"/>
      <c r="CN537" s="20" t="inlineStr">
        <is>
          <t>SOP 45-34</t>
        </is>
      </c>
      <c r="CO537" s="20" t="inlineStr">
        <is>
          <t>None</t>
        </is>
      </c>
      <c r="CP537" s="17" t="n"/>
      <c r="CQ537" s="16" t="n"/>
      <c r="CR537" s="20" t="n"/>
      <c r="CS537" s="20" t="inlineStr">
        <is>
          <t>None</t>
        </is>
      </c>
      <c r="CT537" s="17" t="n"/>
      <c r="CU537" s="16" t="n"/>
      <c r="CV537" s="20" t="n"/>
      <c r="CW537" s="20" t="inlineStr">
        <is>
          <t>None</t>
        </is>
      </c>
      <c r="CX537" s="17" t="n"/>
      <c r="CY537" s="16" t="n"/>
      <c r="CZ537" s="20" t="inlineStr">
        <is>
          <t>WTW Multimeter 3430 with FDO 925</t>
        </is>
      </c>
      <c r="DA537" s="20" t="inlineStr">
        <is>
          <t>None</t>
        </is>
      </c>
      <c r="DB537" s="17" t="n"/>
      <c r="DC537" s="16" t="n"/>
      <c r="DD537" s="20" t="n"/>
      <c r="DE537" s="20" t="inlineStr">
        <is>
          <t>None</t>
        </is>
      </c>
      <c r="DF537" s="17" t="n"/>
      <c r="DG537" s="16" t="n"/>
      <c r="DH537" s="20" t="inlineStr">
        <is>
          <t>SOP 45-09</t>
        </is>
      </c>
      <c r="DI537" s="20" t="inlineStr">
        <is>
          <t>None</t>
        </is>
      </c>
      <c r="DJ537" s="17" t="n"/>
      <c r="DK537" s="16" t="n"/>
      <c r="DL537" s="20" t="inlineStr">
        <is>
          <t>SOP 45-09 (SOP muss noch angepasst werden für VSS)</t>
        </is>
      </c>
      <c r="DM537" s="20" t="inlineStr">
        <is>
          <t>None</t>
        </is>
      </c>
      <c r="DN537" s="17" t="n"/>
      <c r="DO537" s="16" t="n"/>
      <c r="DP537" s="20" t="inlineStr">
        <is>
          <t>IC Organic Acids</t>
        </is>
      </c>
      <c r="DQ537" s="20" t="inlineStr">
        <is>
          <t>None</t>
        </is>
      </c>
      <c r="DR537" s="17" t="n"/>
      <c r="DS537" s="16" t="n"/>
      <c r="DT537" s="20" t="inlineStr">
        <is>
          <t>IC Organic Acids</t>
        </is>
      </c>
      <c r="DU537" s="20" t="inlineStr">
        <is>
          <t>None</t>
        </is>
      </c>
      <c r="DV537" s="17" t="n"/>
      <c r="DW537" s="16" t="n"/>
      <c r="DX537" s="20" t="inlineStr">
        <is>
          <t>IC Organic Acids</t>
        </is>
      </c>
      <c r="DY537" s="20" t="inlineStr">
        <is>
          <t>None</t>
        </is>
      </c>
      <c r="DZ537" s="17" t="n"/>
      <c r="EA537" s="16" t="n"/>
      <c r="EB537" s="20" t="inlineStr">
        <is>
          <t>IC Organic Acids</t>
        </is>
      </c>
      <c r="EC537" s="20" t="inlineStr">
        <is>
          <t>None</t>
        </is>
      </c>
      <c r="ED537" s="17" t="n"/>
      <c r="EE537" s="16" t="n"/>
      <c r="EF537" s="20" t="inlineStr">
        <is>
          <t>IC Organic Acids</t>
        </is>
      </c>
      <c r="EG537" s="20" t="inlineStr">
        <is>
          <t>None</t>
        </is>
      </c>
      <c r="EH537" s="17" t="n"/>
      <c r="EI537" s="16" t="n"/>
      <c r="EJ537" s="20" t="inlineStr">
        <is>
          <t>IC Organic Acids</t>
        </is>
      </c>
      <c r="EK537" s="20" t="inlineStr">
        <is>
          <t>None</t>
        </is>
      </c>
      <c r="EL537" s="17" t="n"/>
      <c r="EM537" s="16" t="n"/>
      <c r="EN537" s="20" t="inlineStr">
        <is>
          <t>IC Organic Acids</t>
        </is>
      </c>
      <c r="EO537" s="20" t="inlineStr">
        <is>
          <t>None</t>
        </is>
      </c>
      <c r="EP537" s="17" t="n"/>
      <c r="EQ537" s="16" t="n"/>
      <c r="ER537" s="20" t="inlineStr">
        <is>
          <t>IC Organic Acids</t>
        </is>
      </c>
      <c r="ES537" s="20" t="inlineStr">
        <is>
          <t>None</t>
        </is>
      </c>
      <c r="ET537" s="17" t="n"/>
      <c r="EU537" s="16" t="n"/>
      <c r="EV537" s="20" t="inlineStr">
        <is>
          <t>LC-MS</t>
        </is>
      </c>
      <c r="EW537" s="20" t="inlineStr">
        <is>
          <t>None</t>
        </is>
      </c>
      <c r="EX537" s="17" t="n"/>
      <c r="EY537" s="21" t="n"/>
      <c r="EZ537">
        <f>CONCATENATE(A537,B537)</f>
        <v/>
      </c>
      <c r="FA537">
        <f>CONCATENATE(SamplesX!A537,SamplesX!B537)</f>
        <v/>
      </c>
      <c r="FC537">
        <f>MATCH(EZ537,FA1:FA1008,0)</f>
        <v/>
      </c>
    </row>
    <row r="538">
      <c r="A538" s="16" t="n"/>
      <c r="B538" s="17" t="n"/>
      <c r="C538" s="10">
        <f>IF(ISNUMBER(FC538),INDIRECT("SamplesX!C"&amp;FC538),IF(ISNUMBER(FD538),INDIRECT("SamplesY!C"&amp;FD538),""))</f>
        <v/>
      </c>
      <c r="D538" s="12">
        <f>IF(ISNUMBER(FC538),INDIRECT("SamplesX!D"&amp;FC538),IF(ISNUMBER(FD538),INDIRECT("SamplesY!D"&amp;FD538),""))</f>
        <v/>
      </c>
      <c r="E538" s="12">
        <f>IF(ISNUMBER(FC538),INDIRECT("SamplesX!E"&amp;FC538),IF(ISNUMBER(FD538),INDIRECT("SamplesY!E"&amp;FD538),""))</f>
        <v/>
      </c>
      <c r="F538" s="11">
        <f>IF(ISNUMBER(FC538),INDIRECT("SamplesX!F"&amp;FC538),IF(ISNUMBER(FD538),INDIRECT("SamplesY!F"&amp;FD538),""))</f>
        <v/>
      </c>
      <c r="G538" s="18">
        <f>IF(ISNUMBER(FC538),INDIRECT("SamplesX!G"&amp;FC538),IF(ISNUMBER(FD538),INDIRECT("SamplesY!G"&amp;FD538),""))</f>
        <v/>
      </c>
      <c r="H538" s="19">
        <f>IF(ISNUMBER(FC538),INDIRECT("SamplesX!H"&amp;FC538),IF(ISNUMBER(FD538),INDIRECT("SamplesY!H"&amp;FD538),""))</f>
        <v/>
      </c>
      <c r="I538" s="16" t="n"/>
      <c r="J538" s="16" t="n"/>
      <c r="K538" s="16" t="n"/>
      <c r="L538" s="20" t="n"/>
      <c r="M538" s="20" t="inlineStr">
        <is>
          <t>None</t>
        </is>
      </c>
      <c r="N538" s="17" t="n"/>
      <c r="O538" s="16" t="n"/>
      <c r="P538" s="20" t="inlineStr">
        <is>
          <t>Shimadzu TOC-L</t>
        </is>
      </c>
      <c r="Q538" s="20" t="inlineStr">
        <is>
          <t>None</t>
        </is>
      </c>
      <c r="R538" s="17" t="n"/>
      <c r="S538" s="16" t="n"/>
      <c r="T538" s="20" t="inlineStr">
        <is>
          <t>Shimadzu TOC-L</t>
        </is>
      </c>
      <c r="U538" s="20" t="inlineStr">
        <is>
          <t>None</t>
        </is>
      </c>
      <c r="V538" s="17" t="n"/>
      <c r="W538" s="16" t="n"/>
      <c r="X538" s="20" t="n"/>
      <c r="Y538" s="20" t="inlineStr">
        <is>
          <t>None</t>
        </is>
      </c>
      <c r="Z538" s="17" t="n"/>
      <c r="AA538" s="16" t="n"/>
      <c r="AB538" s="20" t="n"/>
      <c r="AC538" s="20" t="inlineStr">
        <is>
          <t>None</t>
        </is>
      </c>
      <c r="AD538" s="17" t="n"/>
      <c r="AE538" s="16" t="n"/>
      <c r="AF538" s="20" t="inlineStr">
        <is>
          <t>IC Anionen</t>
        </is>
      </c>
      <c r="AG538" s="20" t="inlineStr">
        <is>
          <t>None</t>
        </is>
      </c>
      <c r="AH538" s="17" t="n"/>
      <c r="AI538" s="16" t="n"/>
      <c r="AJ538" s="20" t="n"/>
      <c r="AK538" s="20" t="inlineStr">
        <is>
          <t>None</t>
        </is>
      </c>
      <c r="AL538" s="17" t="n"/>
      <c r="AM538" s="16" t="n"/>
      <c r="AN538" s="20" t="inlineStr">
        <is>
          <t>IC Anionen</t>
        </is>
      </c>
      <c r="AO538" s="20" t="inlineStr">
        <is>
          <t>None</t>
        </is>
      </c>
      <c r="AP538" s="17" t="n"/>
      <c r="AQ538" s="16" t="n"/>
      <c r="AR538" s="20" t="n"/>
      <c r="AS538" s="20" t="inlineStr">
        <is>
          <t>None</t>
        </is>
      </c>
      <c r="AT538" s="17" t="n"/>
      <c r="AU538" s="16" t="n"/>
      <c r="AV538" s="20" t="n"/>
      <c r="AW538" s="20" t="inlineStr">
        <is>
          <t>None</t>
        </is>
      </c>
      <c r="AX538" s="17" t="n"/>
      <c r="AY538" s="16" t="n"/>
      <c r="AZ538" s="20" t="inlineStr">
        <is>
          <t>IC Anionen</t>
        </is>
      </c>
      <c r="BA538" s="20" t="inlineStr">
        <is>
          <t>None</t>
        </is>
      </c>
      <c r="BB538" s="17" t="n"/>
      <c r="BC538" s="16" t="n"/>
      <c r="BD538" s="20" t="inlineStr">
        <is>
          <t>IC Kationen</t>
        </is>
      </c>
      <c r="BE538" s="20" t="inlineStr">
        <is>
          <t>None</t>
        </is>
      </c>
      <c r="BF538" s="17" t="n"/>
      <c r="BG538" s="16" t="n"/>
      <c r="BH538" s="20" t="inlineStr">
        <is>
          <t>IC Kationen</t>
        </is>
      </c>
      <c r="BI538" s="20" t="inlineStr">
        <is>
          <t>None</t>
        </is>
      </c>
      <c r="BJ538" s="17" t="n"/>
      <c r="BK538" s="16" t="n"/>
      <c r="BL538" s="20" t="inlineStr">
        <is>
          <t>IC Kationen</t>
        </is>
      </c>
      <c r="BM538" s="20" t="inlineStr">
        <is>
          <t>None</t>
        </is>
      </c>
      <c r="BN538" s="17" t="n"/>
      <c r="BO538" s="16" t="n"/>
      <c r="BP538" s="20" t="inlineStr">
        <is>
          <t>IC Kationen</t>
        </is>
      </c>
      <c r="BQ538" s="20" t="inlineStr">
        <is>
          <t>None</t>
        </is>
      </c>
      <c r="BR538" s="17" t="n"/>
      <c r="BS538" s="16" t="n"/>
      <c r="BT538" s="20" t="inlineStr">
        <is>
          <t>IC Kationen</t>
        </is>
      </c>
      <c r="BU538" s="20" t="inlineStr">
        <is>
          <t>None</t>
        </is>
      </c>
      <c r="BV538" s="17" t="n"/>
      <c r="BW538" s="16" t="n"/>
      <c r="BX538" s="20" t="n"/>
      <c r="BY538" s="20" t="inlineStr">
        <is>
          <t>None</t>
        </is>
      </c>
      <c r="BZ538" s="17" t="n"/>
      <c r="CA538" s="16" t="n"/>
      <c r="CB538" s="20" t="n"/>
      <c r="CC538" s="20" t="inlineStr">
        <is>
          <t>None</t>
        </is>
      </c>
      <c r="CD538" s="17" t="n"/>
      <c r="CE538" s="16" t="n"/>
      <c r="CF538" s="20" t="n"/>
      <c r="CG538" s="20" t="inlineStr">
        <is>
          <t>None</t>
        </is>
      </c>
      <c r="CH538" s="17" t="n"/>
      <c r="CI538" s="16" t="n"/>
      <c r="CJ538" s="20" t="n"/>
      <c r="CK538" s="20" t="inlineStr">
        <is>
          <t>None</t>
        </is>
      </c>
      <c r="CL538" s="17" t="n"/>
      <c r="CM538" s="16" t="n"/>
      <c r="CN538" s="20" t="inlineStr">
        <is>
          <t>SOP 45-34</t>
        </is>
      </c>
      <c r="CO538" s="20" t="inlineStr">
        <is>
          <t>None</t>
        </is>
      </c>
      <c r="CP538" s="17" t="n"/>
      <c r="CQ538" s="16" t="n"/>
      <c r="CR538" s="20" t="n"/>
      <c r="CS538" s="20" t="inlineStr">
        <is>
          <t>None</t>
        </is>
      </c>
      <c r="CT538" s="17" t="n"/>
      <c r="CU538" s="16" t="n"/>
      <c r="CV538" s="20" t="n"/>
      <c r="CW538" s="20" t="inlineStr">
        <is>
          <t>None</t>
        </is>
      </c>
      <c r="CX538" s="17" t="n"/>
      <c r="CY538" s="16" t="n"/>
      <c r="CZ538" s="20" t="inlineStr">
        <is>
          <t>WTW Multimeter 3430 with FDO 925</t>
        </is>
      </c>
      <c r="DA538" s="20" t="inlineStr">
        <is>
          <t>None</t>
        </is>
      </c>
      <c r="DB538" s="17" t="n"/>
      <c r="DC538" s="16" t="n"/>
      <c r="DD538" s="20" t="n"/>
      <c r="DE538" s="20" t="inlineStr">
        <is>
          <t>None</t>
        </is>
      </c>
      <c r="DF538" s="17" t="n"/>
      <c r="DG538" s="16" t="n"/>
      <c r="DH538" s="20" t="inlineStr">
        <is>
          <t>SOP 45-09</t>
        </is>
      </c>
      <c r="DI538" s="20" t="inlineStr">
        <is>
          <t>None</t>
        </is>
      </c>
      <c r="DJ538" s="17" t="n"/>
      <c r="DK538" s="16" t="n"/>
      <c r="DL538" s="20" t="inlineStr">
        <is>
          <t>SOP 45-09 (SOP muss noch angepasst werden für VSS)</t>
        </is>
      </c>
      <c r="DM538" s="20" t="inlineStr">
        <is>
          <t>None</t>
        </is>
      </c>
      <c r="DN538" s="17" t="n"/>
      <c r="DO538" s="16" t="n"/>
      <c r="DP538" s="20" t="inlineStr">
        <is>
          <t>IC Organic Acids</t>
        </is>
      </c>
      <c r="DQ538" s="20" t="inlineStr">
        <is>
          <t>None</t>
        </is>
      </c>
      <c r="DR538" s="17" t="n"/>
      <c r="DS538" s="16" t="n"/>
      <c r="DT538" s="20" t="inlineStr">
        <is>
          <t>IC Organic Acids</t>
        </is>
      </c>
      <c r="DU538" s="20" t="inlineStr">
        <is>
          <t>None</t>
        </is>
      </c>
      <c r="DV538" s="17" t="n"/>
      <c r="DW538" s="16" t="n"/>
      <c r="DX538" s="20" t="inlineStr">
        <is>
          <t>IC Organic Acids</t>
        </is>
      </c>
      <c r="DY538" s="20" t="inlineStr">
        <is>
          <t>None</t>
        </is>
      </c>
      <c r="DZ538" s="17" t="n"/>
      <c r="EA538" s="16" t="n"/>
      <c r="EB538" s="20" t="inlineStr">
        <is>
          <t>IC Organic Acids</t>
        </is>
      </c>
      <c r="EC538" s="20" t="inlineStr">
        <is>
          <t>None</t>
        </is>
      </c>
      <c r="ED538" s="17" t="n"/>
      <c r="EE538" s="16" t="n"/>
      <c r="EF538" s="20" t="inlineStr">
        <is>
          <t>IC Organic Acids</t>
        </is>
      </c>
      <c r="EG538" s="20" t="inlineStr">
        <is>
          <t>None</t>
        </is>
      </c>
      <c r="EH538" s="17" t="n"/>
      <c r="EI538" s="16" t="n"/>
      <c r="EJ538" s="20" t="inlineStr">
        <is>
          <t>IC Organic Acids</t>
        </is>
      </c>
      <c r="EK538" s="20" t="inlineStr">
        <is>
          <t>None</t>
        </is>
      </c>
      <c r="EL538" s="17" t="n"/>
      <c r="EM538" s="16" t="n"/>
      <c r="EN538" s="20" t="inlineStr">
        <is>
          <t>IC Organic Acids</t>
        </is>
      </c>
      <c r="EO538" s="20" t="inlineStr">
        <is>
          <t>None</t>
        </is>
      </c>
      <c r="EP538" s="17" t="n"/>
      <c r="EQ538" s="16" t="n"/>
      <c r="ER538" s="20" t="inlineStr">
        <is>
          <t>IC Organic Acids</t>
        </is>
      </c>
      <c r="ES538" s="20" t="inlineStr">
        <is>
          <t>None</t>
        </is>
      </c>
      <c r="ET538" s="17" t="n"/>
      <c r="EU538" s="16" t="n"/>
      <c r="EV538" s="20" t="inlineStr">
        <is>
          <t>LC-MS</t>
        </is>
      </c>
      <c r="EW538" s="20" t="inlineStr">
        <is>
          <t>None</t>
        </is>
      </c>
      <c r="EX538" s="17" t="n"/>
      <c r="EY538" s="21" t="n"/>
      <c r="EZ538">
        <f>CONCATENATE(A538,B538)</f>
        <v/>
      </c>
      <c r="FA538">
        <f>CONCATENATE(SamplesX!A538,SamplesX!B538)</f>
        <v/>
      </c>
      <c r="FC538">
        <f>MATCH(EZ538,FA1:FA1008,0)</f>
        <v/>
      </c>
    </row>
    <row r="539">
      <c r="A539" s="16" t="n"/>
      <c r="B539" s="17" t="n"/>
      <c r="C539" s="10">
        <f>IF(ISNUMBER(FC539),INDIRECT("SamplesX!C"&amp;FC539),IF(ISNUMBER(FD539),INDIRECT("SamplesY!C"&amp;FD539),""))</f>
        <v/>
      </c>
      <c r="D539" s="12">
        <f>IF(ISNUMBER(FC539),INDIRECT("SamplesX!D"&amp;FC539),IF(ISNUMBER(FD539),INDIRECT("SamplesY!D"&amp;FD539),""))</f>
        <v/>
      </c>
      <c r="E539" s="12">
        <f>IF(ISNUMBER(FC539),INDIRECT("SamplesX!E"&amp;FC539),IF(ISNUMBER(FD539),INDIRECT("SamplesY!E"&amp;FD539),""))</f>
        <v/>
      </c>
      <c r="F539" s="11">
        <f>IF(ISNUMBER(FC539),INDIRECT("SamplesX!F"&amp;FC539),IF(ISNUMBER(FD539),INDIRECT("SamplesY!F"&amp;FD539),""))</f>
        <v/>
      </c>
      <c r="G539" s="18">
        <f>IF(ISNUMBER(FC539),INDIRECT("SamplesX!G"&amp;FC539),IF(ISNUMBER(FD539),INDIRECT("SamplesY!G"&amp;FD539),""))</f>
        <v/>
      </c>
      <c r="H539" s="19">
        <f>IF(ISNUMBER(FC539),INDIRECT("SamplesX!H"&amp;FC539),IF(ISNUMBER(FD539),INDIRECT("SamplesY!H"&amp;FD539),""))</f>
        <v/>
      </c>
      <c r="I539" s="16" t="n"/>
      <c r="J539" s="16" t="n"/>
      <c r="K539" s="16" t="n"/>
      <c r="L539" s="20" t="n"/>
      <c r="M539" s="20" t="inlineStr">
        <is>
          <t>None</t>
        </is>
      </c>
      <c r="N539" s="17" t="n"/>
      <c r="O539" s="16" t="n"/>
      <c r="P539" s="20" t="inlineStr">
        <is>
          <t>Shimadzu TOC-L</t>
        </is>
      </c>
      <c r="Q539" s="20" t="inlineStr">
        <is>
          <t>None</t>
        </is>
      </c>
      <c r="R539" s="17" t="n"/>
      <c r="S539" s="16" t="n"/>
      <c r="T539" s="20" t="inlineStr">
        <is>
          <t>Shimadzu TOC-L</t>
        </is>
      </c>
      <c r="U539" s="20" t="inlineStr">
        <is>
          <t>None</t>
        </is>
      </c>
      <c r="V539" s="17" t="n"/>
      <c r="W539" s="16" t="n"/>
      <c r="X539" s="20" t="n"/>
      <c r="Y539" s="20" t="inlineStr">
        <is>
          <t>None</t>
        </is>
      </c>
      <c r="Z539" s="17" t="n"/>
      <c r="AA539" s="16" t="n"/>
      <c r="AB539" s="20" t="n"/>
      <c r="AC539" s="20" t="inlineStr">
        <is>
          <t>None</t>
        </is>
      </c>
      <c r="AD539" s="17" t="n"/>
      <c r="AE539" s="16" t="n"/>
      <c r="AF539" s="20" t="inlineStr">
        <is>
          <t>IC Anionen</t>
        </is>
      </c>
      <c r="AG539" s="20" t="inlineStr">
        <is>
          <t>None</t>
        </is>
      </c>
      <c r="AH539" s="17" t="n"/>
      <c r="AI539" s="16" t="n"/>
      <c r="AJ539" s="20" t="n"/>
      <c r="AK539" s="20" t="inlineStr">
        <is>
          <t>None</t>
        </is>
      </c>
      <c r="AL539" s="17" t="n"/>
      <c r="AM539" s="16" t="n"/>
      <c r="AN539" s="20" t="inlineStr">
        <is>
          <t>IC Anionen</t>
        </is>
      </c>
      <c r="AO539" s="20" t="inlineStr">
        <is>
          <t>None</t>
        </is>
      </c>
      <c r="AP539" s="17" t="n"/>
      <c r="AQ539" s="16" t="n"/>
      <c r="AR539" s="20" t="n"/>
      <c r="AS539" s="20" t="inlineStr">
        <is>
          <t>None</t>
        </is>
      </c>
      <c r="AT539" s="17" t="n"/>
      <c r="AU539" s="16" t="n"/>
      <c r="AV539" s="20" t="n"/>
      <c r="AW539" s="20" t="inlineStr">
        <is>
          <t>None</t>
        </is>
      </c>
      <c r="AX539" s="17" t="n"/>
      <c r="AY539" s="16" t="n"/>
      <c r="AZ539" s="20" t="inlineStr">
        <is>
          <t>IC Anionen</t>
        </is>
      </c>
      <c r="BA539" s="20" t="inlineStr">
        <is>
          <t>None</t>
        </is>
      </c>
      <c r="BB539" s="17" t="n"/>
      <c r="BC539" s="16" t="n"/>
      <c r="BD539" s="20" t="inlineStr">
        <is>
          <t>IC Kationen</t>
        </is>
      </c>
      <c r="BE539" s="20" t="inlineStr">
        <is>
          <t>None</t>
        </is>
      </c>
      <c r="BF539" s="17" t="n"/>
      <c r="BG539" s="16" t="n"/>
      <c r="BH539" s="20" t="inlineStr">
        <is>
          <t>IC Kationen</t>
        </is>
      </c>
      <c r="BI539" s="20" t="inlineStr">
        <is>
          <t>None</t>
        </is>
      </c>
      <c r="BJ539" s="17" t="n"/>
      <c r="BK539" s="16" t="n"/>
      <c r="BL539" s="20" t="inlineStr">
        <is>
          <t>IC Kationen</t>
        </is>
      </c>
      <c r="BM539" s="20" t="inlineStr">
        <is>
          <t>None</t>
        </is>
      </c>
      <c r="BN539" s="17" t="n"/>
      <c r="BO539" s="16" t="n"/>
      <c r="BP539" s="20" t="inlineStr">
        <is>
          <t>IC Kationen</t>
        </is>
      </c>
      <c r="BQ539" s="20" t="inlineStr">
        <is>
          <t>None</t>
        </is>
      </c>
      <c r="BR539" s="17" t="n"/>
      <c r="BS539" s="16" t="n"/>
      <c r="BT539" s="20" t="inlineStr">
        <is>
          <t>IC Kationen</t>
        </is>
      </c>
      <c r="BU539" s="20" t="inlineStr">
        <is>
          <t>None</t>
        </is>
      </c>
      <c r="BV539" s="17" t="n"/>
      <c r="BW539" s="16" t="n"/>
      <c r="BX539" s="20" t="n"/>
      <c r="BY539" s="20" t="inlineStr">
        <is>
          <t>None</t>
        </is>
      </c>
      <c r="BZ539" s="17" t="n"/>
      <c r="CA539" s="16" t="n"/>
      <c r="CB539" s="20" t="n"/>
      <c r="CC539" s="20" t="inlineStr">
        <is>
          <t>None</t>
        </is>
      </c>
      <c r="CD539" s="17" t="n"/>
      <c r="CE539" s="16" t="n"/>
      <c r="CF539" s="20" t="n"/>
      <c r="CG539" s="20" t="inlineStr">
        <is>
          <t>None</t>
        </is>
      </c>
      <c r="CH539" s="17" t="n"/>
      <c r="CI539" s="16" t="n"/>
      <c r="CJ539" s="20" t="n"/>
      <c r="CK539" s="20" t="inlineStr">
        <is>
          <t>None</t>
        </is>
      </c>
      <c r="CL539" s="17" t="n"/>
      <c r="CM539" s="16" t="n"/>
      <c r="CN539" s="20" t="inlineStr">
        <is>
          <t>SOP 45-34</t>
        </is>
      </c>
      <c r="CO539" s="20" t="inlineStr">
        <is>
          <t>None</t>
        </is>
      </c>
      <c r="CP539" s="17" t="n"/>
      <c r="CQ539" s="16" t="n"/>
      <c r="CR539" s="20" t="n"/>
      <c r="CS539" s="20" t="inlineStr">
        <is>
          <t>None</t>
        </is>
      </c>
      <c r="CT539" s="17" t="n"/>
      <c r="CU539" s="16" t="n"/>
      <c r="CV539" s="20" t="n"/>
      <c r="CW539" s="20" t="inlineStr">
        <is>
          <t>None</t>
        </is>
      </c>
      <c r="CX539" s="17" t="n"/>
      <c r="CY539" s="16" t="n"/>
      <c r="CZ539" s="20" t="inlineStr">
        <is>
          <t>WTW Multimeter 3430 with FDO 925</t>
        </is>
      </c>
      <c r="DA539" s="20" t="inlineStr">
        <is>
          <t>None</t>
        </is>
      </c>
      <c r="DB539" s="17" t="n"/>
      <c r="DC539" s="16" t="n"/>
      <c r="DD539" s="20" t="n"/>
      <c r="DE539" s="20" t="inlineStr">
        <is>
          <t>None</t>
        </is>
      </c>
      <c r="DF539" s="17" t="n"/>
      <c r="DG539" s="16" t="n"/>
      <c r="DH539" s="20" t="inlineStr">
        <is>
          <t>SOP 45-09</t>
        </is>
      </c>
      <c r="DI539" s="20" t="inlineStr">
        <is>
          <t>None</t>
        </is>
      </c>
      <c r="DJ539" s="17" t="n"/>
      <c r="DK539" s="16" t="n"/>
      <c r="DL539" s="20" t="inlineStr">
        <is>
          <t>SOP 45-09 (SOP muss noch angepasst werden für VSS)</t>
        </is>
      </c>
      <c r="DM539" s="20" t="inlineStr">
        <is>
          <t>None</t>
        </is>
      </c>
      <c r="DN539" s="17" t="n"/>
      <c r="DO539" s="16" t="n"/>
      <c r="DP539" s="20" t="inlineStr">
        <is>
          <t>IC Organic Acids</t>
        </is>
      </c>
      <c r="DQ539" s="20" t="inlineStr">
        <is>
          <t>None</t>
        </is>
      </c>
      <c r="DR539" s="17" t="n"/>
      <c r="DS539" s="16" t="n"/>
      <c r="DT539" s="20" t="inlineStr">
        <is>
          <t>IC Organic Acids</t>
        </is>
      </c>
      <c r="DU539" s="20" t="inlineStr">
        <is>
          <t>None</t>
        </is>
      </c>
      <c r="DV539" s="17" t="n"/>
      <c r="DW539" s="16" t="n"/>
      <c r="DX539" s="20" t="inlineStr">
        <is>
          <t>IC Organic Acids</t>
        </is>
      </c>
      <c r="DY539" s="20" t="inlineStr">
        <is>
          <t>None</t>
        </is>
      </c>
      <c r="DZ539" s="17" t="n"/>
      <c r="EA539" s="16" t="n"/>
      <c r="EB539" s="20" t="inlineStr">
        <is>
          <t>IC Organic Acids</t>
        </is>
      </c>
      <c r="EC539" s="20" t="inlineStr">
        <is>
          <t>None</t>
        </is>
      </c>
      <c r="ED539" s="17" t="n"/>
      <c r="EE539" s="16" t="n"/>
      <c r="EF539" s="20" t="inlineStr">
        <is>
          <t>IC Organic Acids</t>
        </is>
      </c>
      <c r="EG539" s="20" t="inlineStr">
        <is>
          <t>None</t>
        </is>
      </c>
      <c r="EH539" s="17" t="n"/>
      <c r="EI539" s="16" t="n"/>
      <c r="EJ539" s="20" t="inlineStr">
        <is>
          <t>IC Organic Acids</t>
        </is>
      </c>
      <c r="EK539" s="20" t="inlineStr">
        <is>
          <t>None</t>
        </is>
      </c>
      <c r="EL539" s="17" t="n"/>
      <c r="EM539" s="16" t="n"/>
      <c r="EN539" s="20" t="inlineStr">
        <is>
          <t>IC Organic Acids</t>
        </is>
      </c>
      <c r="EO539" s="20" t="inlineStr">
        <is>
          <t>None</t>
        </is>
      </c>
      <c r="EP539" s="17" t="n"/>
      <c r="EQ539" s="16" t="n"/>
      <c r="ER539" s="20" t="inlineStr">
        <is>
          <t>IC Organic Acids</t>
        </is>
      </c>
      <c r="ES539" s="20" t="inlineStr">
        <is>
          <t>None</t>
        </is>
      </c>
      <c r="ET539" s="17" t="n"/>
      <c r="EU539" s="16" t="n"/>
      <c r="EV539" s="20" t="inlineStr">
        <is>
          <t>LC-MS</t>
        </is>
      </c>
      <c r="EW539" s="20" t="inlineStr">
        <is>
          <t>None</t>
        </is>
      </c>
      <c r="EX539" s="17" t="n"/>
      <c r="EY539" s="21" t="n"/>
      <c r="EZ539">
        <f>CONCATENATE(A539,B539)</f>
        <v/>
      </c>
      <c r="FA539">
        <f>CONCATENATE(SamplesX!A539,SamplesX!B539)</f>
        <v/>
      </c>
      <c r="FC539">
        <f>MATCH(EZ539,FA1:FA1008,0)</f>
        <v/>
      </c>
    </row>
    <row r="540">
      <c r="A540" s="16" t="n"/>
      <c r="B540" s="17" t="n"/>
      <c r="C540" s="10">
        <f>IF(ISNUMBER(FC540),INDIRECT("SamplesX!C"&amp;FC540),IF(ISNUMBER(FD540),INDIRECT("SamplesY!C"&amp;FD540),""))</f>
        <v/>
      </c>
      <c r="D540" s="12">
        <f>IF(ISNUMBER(FC540),INDIRECT("SamplesX!D"&amp;FC540),IF(ISNUMBER(FD540),INDIRECT("SamplesY!D"&amp;FD540),""))</f>
        <v/>
      </c>
      <c r="E540" s="12">
        <f>IF(ISNUMBER(FC540),INDIRECT("SamplesX!E"&amp;FC540),IF(ISNUMBER(FD540),INDIRECT("SamplesY!E"&amp;FD540),""))</f>
        <v/>
      </c>
      <c r="F540" s="11">
        <f>IF(ISNUMBER(FC540),INDIRECT("SamplesX!F"&amp;FC540),IF(ISNUMBER(FD540),INDIRECT("SamplesY!F"&amp;FD540),""))</f>
        <v/>
      </c>
      <c r="G540" s="18">
        <f>IF(ISNUMBER(FC540),INDIRECT("SamplesX!G"&amp;FC540),IF(ISNUMBER(FD540),INDIRECT("SamplesY!G"&amp;FD540),""))</f>
        <v/>
      </c>
      <c r="H540" s="19">
        <f>IF(ISNUMBER(FC540),INDIRECT("SamplesX!H"&amp;FC540),IF(ISNUMBER(FD540),INDIRECT("SamplesY!H"&amp;FD540),""))</f>
        <v/>
      </c>
      <c r="I540" s="16" t="n"/>
      <c r="J540" s="16" t="n"/>
      <c r="K540" s="16" t="n"/>
      <c r="L540" s="20" t="n"/>
      <c r="M540" s="20" t="inlineStr">
        <is>
          <t>None</t>
        </is>
      </c>
      <c r="N540" s="17" t="n"/>
      <c r="O540" s="16" t="n"/>
      <c r="P540" s="20" t="inlineStr">
        <is>
          <t>Shimadzu TOC-L</t>
        </is>
      </c>
      <c r="Q540" s="20" t="inlineStr">
        <is>
          <t>None</t>
        </is>
      </c>
      <c r="R540" s="17" t="n"/>
      <c r="S540" s="16" t="n"/>
      <c r="T540" s="20" t="inlineStr">
        <is>
          <t>Shimadzu TOC-L</t>
        </is>
      </c>
      <c r="U540" s="20" t="inlineStr">
        <is>
          <t>None</t>
        </is>
      </c>
      <c r="V540" s="17" t="n"/>
      <c r="W540" s="16" t="n"/>
      <c r="X540" s="20" t="n"/>
      <c r="Y540" s="20" t="inlineStr">
        <is>
          <t>None</t>
        </is>
      </c>
      <c r="Z540" s="17" t="n"/>
      <c r="AA540" s="16" t="n"/>
      <c r="AB540" s="20" t="n"/>
      <c r="AC540" s="20" t="inlineStr">
        <is>
          <t>None</t>
        </is>
      </c>
      <c r="AD540" s="17" t="n"/>
      <c r="AE540" s="16" t="n"/>
      <c r="AF540" s="20" t="inlineStr">
        <is>
          <t>IC Anionen</t>
        </is>
      </c>
      <c r="AG540" s="20" t="inlineStr">
        <is>
          <t>None</t>
        </is>
      </c>
      <c r="AH540" s="17" t="n"/>
      <c r="AI540" s="16" t="n"/>
      <c r="AJ540" s="20" t="n"/>
      <c r="AK540" s="20" t="inlineStr">
        <is>
          <t>None</t>
        </is>
      </c>
      <c r="AL540" s="17" t="n"/>
      <c r="AM540" s="16" t="n"/>
      <c r="AN540" s="20" t="inlineStr">
        <is>
          <t>IC Anionen</t>
        </is>
      </c>
      <c r="AO540" s="20" t="inlineStr">
        <is>
          <t>None</t>
        </is>
      </c>
      <c r="AP540" s="17" t="n"/>
      <c r="AQ540" s="16" t="n"/>
      <c r="AR540" s="20" t="n"/>
      <c r="AS540" s="20" t="inlineStr">
        <is>
          <t>None</t>
        </is>
      </c>
      <c r="AT540" s="17" t="n"/>
      <c r="AU540" s="16" t="n"/>
      <c r="AV540" s="20" t="n"/>
      <c r="AW540" s="20" t="inlineStr">
        <is>
          <t>None</t>
        </is>
      </c>
      <c r="AX540" s="17" t="n"/>
      <c r="AY540" s="16" t="n"/>
      <c r="AZ540" s="20" t="inlineStr">
        <is>
          <t>IC Anionen</t>
        </is>
      </c>
      <c r="BA540" s="20" t="inlineStr">
        <is>
          <t>None</t>
        </is>
      </c>
      <c r="BB540" s="17" t="n"/>
      <c r="BC540" s="16" t="n"/>
      <c r="BD540" s="20" t="inlineStr">
        <is>
          <t>IC Kationen</t>
        </is>
      </c>
      <c r="BE540" s="20" t="inlineStr">
        <is>
          <t>None</t>
        </is>
      </c>
      <c r="BF540" s="17" t="n"/>
      <c r="BG540" s="16" t="n"/>
      <c r="BH540" s="20" t="inlineStr">
        <is>
          <t>IC Kationen</t>
        </is>
      </c>
      <c r="BI540" s="20" t="inlineStr">
        <is>
          <t>None</t>
        </is>
      </c>
      <c r="BJ540" s="17" t="n"/>
      <c r="BK540" s="16" t="n"/>
      <c r="BL540" s="20" t="inlineStr">
        <is>
          <t>IC Kationen</t>
        </is>
      </c>
      <c r="BM540" s="20" t="inlineStr">
        <is>
          <t>None</t>
        </is>
      </c>
      <c r="BN540" s="17" t="n"/>
      <c r="BO540" s="16" t="n"/>
      <c r="BP540" s="20" t="inlineStr">
        <is>
          <t>IC Kationen</t>
        </is>
      </c>
      <c r="BQ540" s="20" t="inlineStr">
        <is>
          <t>None</t>
        </is>
      </c>
      <c r="BR540" s="17" t="n"/>
      <c r="BS540" s="16" t="n"/>
      <c r="BT540" s="20" t="inlineStr">
        <is>
          <t>IC Kationen</t>
        </is>
      </c>
      <c r="BU540" s="20" t="inlineStr">
        <is>
          <t>None</t>
        </is>
      </c>
      <c r="BV540" s="17" t="n"/>
      <c r="BW540" s="16" t="n"/>
      <c r="BX540" s="20" t="n"/>
      <c r="BY540" s="20" t="inlineStr">
        <is>
          <t>None</t>
        </is>
      </c>
      <c r="BZ540" s="17" t="n"/>
      <c r="CA540" s="16" t="n"/>
      <c r="CB540" s="20" t="n"/>
      <c r="CC540" s="20" t="inlineStr">
        <is>
          <t>None</t>
        </is>
      </c>
      <c r="CD540" s="17" t="n"/>
      <c r="CE540" s="16" t="n"/>
      <c r="CF540" s="20" t="n"/>
      <c r="CG540" s="20" t="inlineStr">
        <is>
          <t>None</t>
        </is>
      </c>
      <c r="CH540" s="17" t="n"/>
      <c r="CI540" s="16" t="n"/>
      <c r="CJ540" s="20" t="n"/>
      <c r="CK540" s="20" t="inlineStr">
        <is>
          <t>None</t>
        </is>
      </c>
      <c r="CL540" s="17" t="n"/>
      <c r="CM540" s="16" t="n"/>
      <c r="CN540" s="20" t="inlineStr">
        <is>
          <t>SOP 45-34</t>
        </is>
      </c>
      <c r="CO540" s="20" t="inlineStr">
        <is>
          <t>None</t>
        </is>
      </c>
      <c r="CP540" s="17" t="n"/>
      <c r="CQ540" s="16" t="n"/>
      <c r="CR540" s="20" t="n"/>
      <c r="CS540" s="20" t="inlineStr">
        <is>
          <t>None</t>
        </is>
      </c>
      <c r="CT540" s="17" t="n"/>
      <c r="CU540" s="16" t="n"/>
      <c r="CV540" s="20" t="n"/>
      <c r="CW540" s="20" t="inlineStr">
        <is>
          <t>None</t>
        </is>
      </c>
      <c r="CX540" s="17" t="n"/>
      <c r="CY540" s="16" t="n"/>
      <c r="CZ540" s="20" t="inlineStr">
        <is>
          <t>WTW Multimeter 3430 with FDO 925</t>
        </is>
      </c>
      <c r="DA540" s="20" t="inlineStr">
        <is>
          <t>None</t>
        </is>
      </c>
      <c r="DB540" s="17" t="n"/>
      <c r="DC540" s="16" t="n"/>
      <c r="DD540" s="20" t="n"/>
      <c r="DE540" s="20" t="inlineStr">
        <is>
          <t>None</t>
        </is>
      </c>
      <c r="DF540" s="17" t="n"/>
      <c r="DG540" s="16" t="n"/>
      <c r="DH540" s="20" t="inlineStr">
        <is>
          <t>SOP 45-09</t>
        </is>
      </c>
      <c r="DI540" s="20" t="inlineStr">
        <is>
          <t>None</t>
        </is>
      </c>
      <c r="DJ540" s="17" t="n"/>
      <c r="DK540" s="16" t="n"/>
      <c r="DL540" s="20" t="inlineStr">
        <is>
          <t>SOP 45-09 (SOP muss noch angepasst werden für VSS)</t>
        </is>
      </c>
      <c r="DM540" s="20" t="inlineStr">
        <is>
          <t>None</t>
        </is>
      </c>
      <c r="DN540" s="17" t="n"/>
      <c r="DO540" s="16" t="n"/>
      <c r="DP540" s="20" t="inlineStr">
        <is>
          <t>IC Organic Acids</t>
        </is>
      </c>
      <c r="DQ540" s="20" t="inlineStr">
        <is>
          <t>None</t>
        </is>
      </c>
      <c r="DR540" s="17" t="n"/>
      <c r="DS540" s="16" t="n"/>
      <c r="DT540" s="20" t="inlineStr">
        <is>
          <t>IC Organic Acids</t>
        </is>
      </c>
      <c r="DU540" s="20" t="inlineStr">
        <is>
          <t>None</t>
        </is>
      </c>
      <c r="DV540" s="17" t="n"/>
      <c r="DW540" s="16" t="n"/>
      <c r="DX540" s="20" t="inlineStr">
        <is>
          <t>IC Organic Acids</t>
        </is>
      </c>
      <c r="DY540" s="20" t="inlineStr">
        <is>
          <t>None</t>
        </is>
      </c>
      <c r="DZ540" s="17" t="n"/>
      <c r="EA540" s="16" t="n"/>
      <c r="EB540" s="20" t="inlineStr">
        <is>
          <t>IC Organic Acids</t>
        </is>
      </c>
      <c r="EC540" s="20" t="inlineStr">
        <is>
          <t>None</t>
        </is>
      </c>
      <c r="ED540" s="17" t="n"/>
      <c r="EE540" s="16" t="n"/>
      <c r="EF540" s="20" t="inlineStr">
        <is>
          <t>IC Organic Acids</t>
        </is>
      </c>
      <c r="EG540" s="20" t="inlineStr">
        <is>
          <t>None</t>
        </is>
      </c>
      <c r="EH540" s="17" t="n"/>
      <c r="EI540" s="16" t="n"/>
      <c r="EJ540" s="20" t="inlineStr">
        <is>
          <t>IC Organic Acids</t>
        </is>
      </c>
      <c r="EK540" s="20" t="inlineStr">
        <is>
          <t>None</t>
        </is>
      </c>
      <c r="EL540" s="17" t="n"/>
      <c r="EM540" s="16" t="n"/>
      <c r="EN540" s="20" t="inlineStr">
        <is>
          <t>IC Organic Acids</t>
        </is>
      </c>
      <c r="EO540" s="20" t="inlineStr">
        <is>
          <t>None</t>
        </is>
      </c>
      <c r="EP540" s="17" t="n"/>
      <c r="EQ540" s="16" t="n"/>
      <c r="ER540" s="20" t="inlineStr">
        <is>
          <t>IC Organic Acids</t>
        </is>
      </c>
      <c r="ES540" s="20" t="inlineStr">
        <is>
          <t>None</t>
        </is>
      </c>
      <c r="ET540" s="17" t="n"/>
      <c r="EU540" s="16" t="n"/>
      <c r="EV540" s="20" t="inlineStr">
        <is>
          <t>LC-MS</t>
        </is>
      </c>
      <c r="EW540" s="20" t="inlineStr">
        <is>
          <t>None</t>
        </is>
      </c>
      <c r="EX540" s="17" t="n"/>
      <c r="EY540" s="21" t="n"/>
      <c r="EZ540">
        <f>CONCATENATE(A540,B540)</f>
        <v/>
      </c>
      <c r="FA540">
        <f>CONCATENATE(SamplesX!A540,SamplesX!B540)</f>
        <v/>
      </c>
      <c r="FC540">
        <f>MATCH(EZ540,FA1:FA1008,0)</f>
        <v/>
      </c>
    </row>
    <row r="541">
      <c r="A541" s="16" t="n"/>
      <c r="B541" s="17" t="n"/>
      <c r="C541" s="10">
        <f>IF(ISNUMBER(FC541),INDIRECT("SamplesX!C"&amp;FC541),IF(ISNUMBER(FD541),INDIRECT("SamplesY!C"&amp;FD541),""))</f>
        <v/>
      </c>
      <c r="D541" s="12">
        <f>IF(ISNUMBER(FC541),INDIRECT("SamplesX!D"&amp;FC541),IF(ISNUMBER(FD541),INDIRECT("SamplesY!D"&amp;FD541),""))</f>
        <v/>
      </c>
      <c r="E541" s="12">
        <f>IF(ISNUMBER(FC541),INDIRECT("SamplesX!E"&amp;FC541),IF(ISNUMBER(FD541),INDIRECT("SamplesY!E"&amp;FD541),""))</f>
        <v/>
      </c>
      <c r="F541" s="11">
        <f>IF(ISNUMBER(FC541),INDIRECT("SamplesX!F"&amp;FC541),IF(ISNUMBER(FD541),INDIRECT("SamplesY!F"&amp;FD541),""))</f>
        <v/>
      </c>
      <c r="G541" s="18">
        <f>IF(ISNUMBER(FC541),INDIRECT("SamplesX!G"&amp;FC541),IF(ISNUMBER(FD541),INDIRECT("SamplesY!G"&amp;FD541),""))</f>
        <v/>
      </c>
      <c r="H541" s="19">
        <f>IF(ISNUMBER(FC541),INDIRECT("SamplesX!H"&amp;FC541),IF(ISNUMBER(FD541),INDIRECT("SamplesY!H"&amp;FD541),""))</f>
        <v/>
      </c>
      <c r="I541" s="16" t="n"/>
      <c r="J541" s="16" t="n"/>
      <c r="K541" s="16" t="n"/>
      <c r="L541" s="20" t="n"/>
      <c r="M541" s="20" t="inlineStr">
        <is>
          <t>None</t>
        </is>
      </c>
      <c r="N541" s="17" t="n"/>
      <c r="O541" s="16" t="n"/>
      <c r="P541" s="20" t="inlineStr">
        <is>
          <t>Shimadzu TOC-L</t>
        </is>
      </c>
      <c r="Q541" s="20" t="inlineStr">
        <is>
          <t>None</t>
        </is>
      </c>
      <c r="R541" s="17" t="n"/>
      <c r="S541" s="16" t="n"/>
      <c r="T541" s="20" t="inlineStr">
        <is>
          <t>Shimadzu TOC-L</t>
        </is>
      </c>
      <c r="U541" s="20" t="inlineStr">
        <is>
          <t>None</t>
        </is>
      </c>
      <c r="V541" s="17" t="n"/>
      <c r="W541" s="16" t="n"/>
      <c r="X541" s="20" t="n"/>
      <c r="Y541" s="20" t="inlineStr">
        <is>
          <t>None</t>
        </is>
      </c>
      <c r="Z541" s="17" t="n"/>
      <c r="AA541" s="16" t="n"/>
      <c r="AB541" s="20" t="n"/>
      <c r="AC541" s="20" t="inlineStr">
        <is>
          <t>None</t>
        </is>
      </c>
      <c r="AD541" s="17" t="n"/>
      <c r="AE541" s="16" t="n"/>
      <c r="AF541" s="20" t="inlineStr">
        <is>
          <t>IC Anionen</t>
        </is>
      </c>
      <c r="AG541" s="20" t="inlineStr">
        <is>
          <t>None</t>
        </is>
      </c>
      <c r="AH541" s="17" t="n"/>
      <c r="AI541" s="16" t="n"/>
      <c r="AJ541" s="20" t="n"/>
      <c r="AK541" s="20" t="inlineStr">
        <is>
          <t>None</t>
        </is>
      </c>
      <c r="AL541" s="17" t="n"/>
      <c r="AM541" s="16" t="n"/>
      <c r="AN541" s="20" t="inlineStr">
        <is>
          <t>IC Anionen</t>
        </is>
      </c>
      <c r="AO541" s="20" t="inlineStr">
        <is>
          <t>None</t>
        </is>
      </c>
      <c r="AP541" s="17" t="n"/>
      <c r="AQ541" s="16" t="n"/>
      <c r="AR541" s="20" t="n"/>
      <c r="AS541" s="20" t="inlineStr">
        <is>
          <t>None</t>
        </is>
      </c>
      <c r="AT541" s="17" t="n"/>
      <c r="AU541" s="16" t="n"/>
      <c r="AV541" s="20" t="n"/>
      <c r="AW541" s="20" t="inlineStr">
        <is>
          <t>None</t>
        </is>
      </c>
      <c r="AX541" s="17" t="n"/>
      <c r="AY541" s="16" t="n"/>
      <c r="AZ541" s="20" t="inlineStr">
        <is>
          <t>IC Anionen</t>
        </is>
      </c>
      <c r="BA541" s="20" t="inlineStr">
        <is>
          <t>None</t>
        </is>
      </c>
      <c r="BB541" s="17" t="n"/>
      <c r="BC541" s="16" t="n"/>
      <c r="BD541" s="20" t="inlineStr">
        <is>
          <t>IC Kationen</t>
        </is>
      </c>
      <c r="BE541" s="20" t="inlineStr">
        <is>
          <t>None</t>
        </is>
      </c>
      <c r="BF541" s="17" t="n"/>
      <c r="BG541" s="16" t="n"/>
      <c r="BH541" s="20" t="inlineStr">
        <is>
          <t>IC Kationen</t>
        </is>
      </c>
      <c r="BI541" s="20" t="inlineStr">
        <is>
          <t>None</t>
        </is>
      </c>
      <c r="BJ541" s="17" t="n"/>
      <c r="BK541" s="16" t="n"/>
      <c r="BL541" s="20" t="inlineStr">
        <is>
          <t>IC Kationen</t>
        </is>
      </c>
      <c r="BM541" s="20" t="inlineStr">
        <is>
          <t>None</t>
        </is>
      </c>
      <c r="BN541" s="17" t="n"/>
      <c r="BO541" s="16" t="n"/>
      <c r="BP541" s="20" t="inlineStr">
        <is>
          <t>IC Kationen</t>
        </is>
      </c>
      <c r="BQ541" s="20" t="inlineStr">
        <is>
          <t>None</t>
        </is>
      </c>
      <c r="BR541" s="17" t="n"/>
      <c r="BS541" s="16" t="n"/>
      <c r="BT541" s="20" t="inlineStr">
        <is>
          <t>IC Kationen</t>
        </is>
      </c>
      <c r="BU541" s="20" t="inlineStr">
        <is>
          <t>None</t>
        </is>
      </c>
      <c r="BV541" s="17" t="n"/>
      <c r="BW541" s="16" t="n"/>
      <c r="BX541" s="20" t="n"/>
      <c r="BY541" s="20" t="inlineStr">
        <is>
          <t>None</t>
        </is>
      </c>
      <c r="BZ541" s="17" t="n"/>
      <c r="CA541" s="16" t="n"/>
      <c r="CB541" s="20" t="n"/>
      <c r="CC541" s="20" t="inlineStr">
        <is>
          <t>None</t>
        </is>
      </c>
      <c r="CD541" s="17" t="n"/>
      <c r="CE541" s="16" t="n"/>
      <c r="CF541" s="20" t="n"/>
      <c r="CG541" s="20" t="inlineStr">
        <is>
          <t>None</t>
        </is>
      </c>
      <c r="CH541" s="17" t="n"/>
      <c r="CI541" s="16" t="n"/>
      <c r="CJ541" s="20" t="n"/>
      <c r="CK541" s="20" t="inlineStr">
        <is>
          <t>None</t>
        </is>
      </c>
      <c r="CL541" s="17" t="n"/>
      <c r="CM541" s="16" t="n"/>
      <c r="CN541" s="20" t="inlineStr">
        <is>
          <t>SOP 45-34</t>
        </is>
      </c>
      <c r="CO541" s="20" t="inlineStr">
        <is>
          <t>None</t>
        </is>
      </c>
      <c r="CP541" s="17" t="n"/>
      <c r="CQ541" s="16" t="n"/>
      <c r="CR541" s="20" t="n"/>
      <c r="CS541" s="20" t="inlineStr">
        <is>
          <t>None</t>
        </is>
      </c>
      <c r="CT541" s="17" t="n"/>
      <c r="CU541" s="16" t="n"/>
      <c r="CV541" s="20" t="n"/>
      <c r="CW541" s="20" t="inlineStr">
        <is>
          <t>None</t>
        </is>
      </c>
      <c r="CX541" s="17" t="n"/>
      <c r="CY541" s="16" t="n"/>
      <c r="CZ541" s="20" t="inlineStr">
        <is>
          <t>WTW Multimeter 3430 with FDO 925</t>
        </is>
      </c>
      <c r="DA541" s="20" t="inlineStr">
        <is>
          <t>None</t>
        </is>
      </c>
      <c r="DB541" s="17" t="n"/>
      <c r="DC541" s="16" t="n"/>
      <c r="DD541" s="20" t="n"/>
      <c r="DE541" s="20" t="inlineStr">
        <is>
          <t>None</t>
        </is>
      </c>
      <c r="DF541" s="17" t="n"/>
      <c r="DG541" s="16" t="n"/>
      <c r="DH541" s="20" t="inlineStr">
        <is>
          <t>SOP 45-09</t>
        </is>
      </c>
      <c r="DI541" s="20" t="inlineStr">
        <is>
          <t>None</t>
        </is>
      </c>
      <c r="DJ541" s="17" t="n"/>
      <c r="DK541" s="16" t="n"/>
      <c r="DL541" s="20" t="inlineStr">
        <is>
          <t>SOP 45-09 (SOP muss noch angepasst werden für VSS)</t>
        </is>
      </c>
      <c r="DM541" s="20" t="inlineStr">
        <is>
          <t>None</t>
        </is>
      </c>
      <c r="DN541" s="17" t="n"/>
      <c r="DO541" s="16" t="n"/>
      <c r="DP541" s="20" t="inlineStr">
        <is>
          <t>IC Organic Acids</t>
        </is>
      </c>
      <c r="DQ541" s="20" t="inlineStr">
        <is>
          <t>None</t>
        </is>
      </c>
      <c r="DR541" s="17" t="n"/>
      <c r="DS541" s="16" t="n"/>
      <c r="DT541" s="20" t="inlineStr">
        <is>
          <t>IC Organic Acids</t>
        </is>
      </c>
      <c r="DU541" s="20" t="inlineStr">
        <is>
          <t>None</t>
        </is>
      </c>
      <c r="DV541" s="17" t="n"/>
      <c r="DW541" s="16" t="n"/>
      <c r="DX541" s="20" t="inlineStr">
        <is>
          <t>IC Organic Acids</t>
        </is>
      </c>
      <c r="DY541" s="20" t="inlineStr">
        <is>
          <t>None</t>
        </is>
      </c>
      <c r="DZ541" s="17" t="n"/>
      <c r="EA541" s="16" t="n"/>
      <c r="EB541" s="20" t="inlineStr">
        <is>
          <t>IC Organic Acids</t>
        </is>
      </c>
      <c r="EC541" s="20" t="inlineStr">
        <is>
          <t>None</t>
        </is>
      </c>
      <c r="ED541" s="17" t="n"/>
      <c r="EE541" s="16" t="n"/>
      <c r="EF541" s="20" t="inlineStr">
        <is>
          <t>IC Organic Acids</t>
        </is>
      </c>
      <c r="EG541" s="20" t="inlineStr">
        <is>
          <t>None</t>
        </is>
      </c>
      <c r="EH541" s="17" t="n"/>
      <c r="EI541" s="16" t="n"/>
      <c r="EJ541" s="20" t="inlineStr">
        <is>
          <t>IC Organic Acids</t>
        </is>
      </c>
      <c r="EK541" s="20" t="inlineStr">
        <is>
          <t>None</t>
        </is>
      </c>
      <c r="EL541" s="17" t="n"/>
      <c r="EM541" s="16" t="n"/>
      <c r="EN541" s="20" t="inlineStr">
        <is>
          <t>IC Organic Acids</t>
        </is>
      </c>
      <c r="EO541" s="20" t="inlineStr">
        <is>
          <t>None</t>
        </is>
      </c>
      <c r="EP541" s="17" t="n"/>
      <c r="EQ541" s="16" t="n"/>
      <c r="ER541" s="20" t="inlineStr">
        <is>
          <t>IC Organic Acids</t>
        </is>
      </c>
      <c r="ES541" s="20" t="inlineStr">
        <is>
          <t>None</t>
        </is>
      </c>
      <c r="ET541" s="17" t="n"/>
      <c r="EU541" s="16" t="n"/>
      <c r="EV541" s="20" t="inlineStr">
        <is>
          <t>LC-MS</t>
        </is>
      </c>
      <c r="EW541" s="20" t="inlineStr">
        <is>
          <t>None</t>
        </is>
      </c>
      <c r="EX541" s="17" t="n"/>
      <c r="EY541" s="21" t="n"/>
      <c r="EZ541">
        <f>CONCATENATE(A541,B541)</f>
        <v/>
      </c>
      <c r="FA541">
        <f>CONCATENATE(SamplesX!A541,SamplesX!B541)</f>
        <v/>
      </c>
      <c r="FC541">
        <f>MATCH(EZ541,FA1:FA1008,0)</f>
        <v/>
      </c>
    </row>
    <row r="542">
      <c r="A542" s="16" t="n"/>
      <c r="B542" s="17" t="n"/>
      <c r="C542" s="10">
        <f>IF(ISNUMBER(FC542),INDIRECT("SamplesX!C"&amp;FC542),IF(ISNUMBER(FD542),INDIRECT("SamplesY!C"&amp;FD542),""))</f>
        <v/>
      </c>
      <c r="D542" s="12">
        <f>IF(ISNUMBER(FC542),INDIRECT("SamplesX!D"&amp;FC542),IF(ISNUMBER(FD542),INDIRECT("SamplesY!D"&amp;FD542),""))</f>
        <v/>
      </c>
      <c r="E542" s="12">
        <f>IF(ISNUMBER(FC542),INDIRECT("SamplesX!E"&amp;FC542),IF(ISNUMBER(FD542),INDIRECT("SamplesY!E"&amp;FD542),""))</f>
        <v/>
      </c>
      <c r="F542" s="11">
        <f>IF(ISNUMBER(FC542),INDIRECT("SamplesX!F"&amp;FC542),IF(ISNUMBER(FD542),INDIRECT("SamplesY!F"&amp;FD542),""))</f>
        <v/>
      </c>
      <c r="G542" s="18">
        <f>IF(ISNUMBER(FC542),INDIRECT("SamplesX!G"&amp;FC542),IF(ISNUMBER(FD542),INDIRECT("SamplesY!G"&amp;FD542),""))</f>
        <v/>
      </c>
      <c r="H542" s="19">
        <f>IF(ISNUMBER(FC542),INDIRECT("SamplesX!H"&amp;FC542),IF(ISNUMBER(FD542),INDIRECT("SamplesY!H"&amp;FD542),""))</f>
        <v/>
      </c>
      <c r="I542" s="16" t="n"/>
      <c r="J542" s="16" t="n"/>
      <c r="K542" s="16" t="n"/>
      <c r="L542" s="20" t="n"/>
      <c r="M542" s="20" t="inlineStr">
        <is>
          <t>None</t>
        </is>
      </c>
      <c r="N542" s="17" t="n"/>
      <c r="O542" s="16" t="n"/>
      <c r="P542" s="20" t="inlineStr">
        <is>
          <t>Shimadzu TOC-L</t>
        </is>
      </c>
      <c r="Q542" s="20" t="inlineStr">
        <is>
          <t>None</t>
        </is>
      </c>
      <c r="R542" s="17" t="n"/>
      <c r="S542" s="16" t="n"/>
      <c r="T542" s="20" t="inlineStr">
        <is>
          <t>Shimadzu TOC-L</t>
        </is>
      </c>
      <c r="U542" s="20" t="inlineStr">
        <is>
          <t>None</t>
        </is>
      </c>
      <c r="V542" s="17" t="n"/>
      <c r="W542" s="16" t="n"/>
      <c r="X542" s="20" t="n"/>
      <c r="Y542" s="20" t="inlineStr">
        <is>
          <t>None</t>
        </is>
      </c>
      <c r="Z542" s="17" t="n"/>
      <c r="AA542" s="16" t="n"/>
      <c r="AB542" s="20" t="n"/>
      <c r="AC542" s="20" t="inlineStr">
        <is>
          <t>None</t>
        </is>
      </c>
      <c r="AD542" s="17" t="n"/>
      <c r="AE542" s="16" t="n"/>
      <c r="AF542" s="20" t="inlineStr">
        <is>
          <t>IC Anionen</t>
        </is>
      </c>
      <c r="AG542" s="20" t="inlineStr">
        <is>
          <t>None</t>
        </is>
      </c>
      <c r="AH542" s="17" t="n"/>
      <c r="AI542" s="16" t="n"/>
      <c r="AJ542" s="20" t="n"/>
      <c r="AK542" s="20" t="inlineStr">
        <is>
          <t>None</t>
        </is>
      </c>
      <c r="AL542" s="17" t="n"/>
      <c r="AM542" s="16" t="n"/>
      <c r="AN542" s="20" t="inlineStr">
        <is>
          <t>IC Anionen</t>
        </is>
      </c>
      <c r="AO542" s="20" t="inlineStr">
        <is>
          <t>None</t>
        </is>
      </c>
      <c r="AP542" s="17" t="n"/>
      <c r="AQ542" s="16" t="n"/>
      <c r="AR542" s="20" t="n"/>
      <c r="AS542" s="20" t="inlineStr">
        <is>
          <t>None</t>
        </is>
      </c>
      <c r="AT542" s="17" t="n"/>
      <c r="AU542" s="16" t="n"/>
      <c r="AV542" s="20" t="n"/>
      <c r="AW542" s="20" t="inlineStr">
        <is>
          <t>None</t>
        </is>
      </c>
      <c r="AX542" s="17" t="n"/>
      <c r="AY542" s="16" t="n"/>
      <c r="AZ542" s="20" t="inlineStr">
        <is>
          <t>IC Anionen</t>
        </is>
      </c>
      <c r="BA542" s="20" t="inlineStr">
        <is>
          <t>None</t>
        </is>
      </c>
      <c r="BB542" s="17" t="n"/>
      <c r="BC542" s="16" t="n"/>
      <c r="BD542" s="20" t="inlineStr">
        <is>
          <t>IC Kationen</t>
        </is>
      </c>
      <c r="BE542" s="20" t="inlineStr">
        <is>
          <t>None</t>
        </is>
      </c>
      <c r="BF542" s="17" t="n"/>
      <c r="BG542" s="16" t="n"/>
      <c r="BH542" s="20" t="inlineStr">
        <is>
          <t>IC Kationen</t>
        </is>
      </c>
      <c r="BI542" s="20" t="inlineStr">
        <is>
          <t>None</t>
        </is>
      </c>
      <c r="BJ542" s="17" t="n"/>
      <c r="BK542" s="16" t="n"/>
      <c r="BL542" s="20" t="inlineStr">
        <is>
          <t>IC Kationen</t>
        </is>
      </c>
      <c r="BM542" s="20" t="inlineStr">
        <is>
          <t>None</t>
        </is>
      </c>
      <c r="BN542" s="17" t="n"/>
      <c r="BO542" s="16" t="n"/>
      <c r="BP542" s="20" t="inlineStr">
        <is>
          <t>IC Kationen</t>
        </is>
      </c>
      <c r="BQ542" s="20" t="inlineStr">
        <is>
          <t>None</t>
        </is>
      </c>
      <c r="BR542" s="17" t="n"/>
      <c r="BS542" s="16" t="n"/>
      <c r="BT542" s="20" t="inlineStr">
        <is>
          <t>IC Kationen</t>
        </is>
      </c>
      <c r="BU542" s="20" t="inlineStr">
        <is>
          <t>None</t>
        </is>
      </c>
      <c r="BV542" s="17" t="n"/>
      <c r="BW542" s="16" t="n"/>
      <c r="BX542" s="20" t="n"/>
      <c r="BY542" s="20" t="inlineStr">
        <is>
          <t>None</t>
        </is>
      </c>
      <c r="BZ542" s="17" t="n"/>
      <c r="CA542" s="16" t="n"/>
      <c r="CB542" s="20" t="n"/>
      <c r="CC542" s="20" t="inlineStr">
        <is>
          <t>None</t>
        </is>
      </c>
      <c r="CD542" s="17" t="n"/>
      <c r="CE542" s="16" t="n"/>
      <c r="CF542" s="20" t="n"/>
      <c r="CG542" s="20" t="inlineStr">
        <is>
          <t>None</t>
        </is>
      </c>
      <c r="CH542" s="17" t="n"/>
      <c r="CI542" s="16" t="n"/>
      <c r="CJ542" s="20" t="n"/>
      <c r="CK542" s="20" t="inlineStr">
        <is>
          <t>None</t>
        </is>
      </c>
      <c r="CL542" s="17" t="n"/>
      <c r="CM542" s="16" t="n"/>
      <c r="CN542" s="20" t="inlineStr">
        <is>
          <t>SOP 45-34</t>
        </is>
      </c>
      <c r="CO542" s="20" t="inlineStr">
        <is>
          <t>None</t>
        </is>
      </c>
      <c r="CP542" s="17" t="n"/>
      <c r="CQ542" s="16" t="n"/>
      <c r="CR542" s="20" t="n"/>
      <c r="CS542" s="20" t="inlineStr">
        <is>
          <t>None</t>
        </is>
      </c>
      <c r="CT542" s="17" t="n"/>
      <c r="CU542" s="16" t="n"/>
      <c r="CV542" s="20" t="n"/>
      <c r="CW542" s="20" t="inlineStr">
        <is>
          <t>None</t>
        </is>
      </c>
      <c r="CX542" s="17" t="n"/>
      <c r="CY542" s="16" t="n"/>
      <c r="CZ542" s="20" t="inlineStr">
        <is>
          <t>WTW Multimeter 3430 with FDO 925</t>
        </is>
      </c>
      <c r="DA542" s="20" t="inlineStr">
        <is>
          <t>None</t>
        </is>
      </c>
      <c r="DB542" s="17" t="n"/>
      <c r="DC542" s="16" t="n"/>
      <c r="DD542" s="20" t="n"/>
      <c r="DE542" s="20" t="inlineStr">
        <is>
          <t>None</t>
        </is>
      </c>
      <c r="DF542" s="17" t="n"/>
      <c r="DG542" s="16" t="n"/>
      <c r="DH542" s="20" t="inlineStr">
        <is>
          <t>SOP 45-09</t>
        </is>
      </c>
      <c r="DI542" s="20" t="inlineStr">
        <is>
          <t>None</t>
        </is>
      </c>
      <c r="DJ542" s="17" t="n"/>
      <c r="DK542" s="16" t="n"/>
      <c r="DL542" s="20" t="inlineStr">
        <is>
          <t>SOP 45-09 (SOP muss noch angepasst werden für VSS)</t>
        </is>
      </c>
      <c r="DM542" s="20" t="inlineStr">
        <is>
          <t>None</t>
        </is>
      </c>
      <c r="DN542" s="17" t="n"/>
      <c r="DO542" s="16" t="n"/>
      <c r="DP542" s="20" t="inlineStr">
        <is>
          <t>IC Organic Acids</t>
        </is>
      </c>
      <c r="DQ542" s="20" t="inlineStr">
        <is>
          <t>None</t>
        </is>
      </c>
      <c r="DR542" s="17" t="n"/>
      <c r="DS542" s="16" t="n"/>
      <c r="DT542" s="20" t="inlineStr">
        <is>
          <t>IC Organic Acids</t>
        </is>
      </c>
      <c r="DU542" s="20" t="inlineStr">
        <is>
          <t>None</t>
        </is>
      </c>
      <c r="DV542" s="17" t="n"/>
      <c r="DW542" s="16" t="n"/>
      <c r="DX542" s="20" t="inlineStr">
        <is>
          <t>IC Organic Acids</t>
        </is>
      </c>
      <c r="DY542" s="20" t="inlineStr">
        <is>
          <t>None</t>
        </is>
      </c>
      <c r="DZ542" s="17" t="n"/>
      <c r="EA542" s="16" t="n"/>
      <c r="EB542" s="20" t="inlineStr">
        <is>
          <t>IC Organic Acids</t>
        </is>
      </c>
      <c r="EC542" s="20" t="inlineStr">
        <is>
          <t>None</t>
        </is>
      </c>
      <c r="ED542" s="17" t="n"/>
      <c r="EE542" s="16" t="n"/>
      <c r="EF542" s="20" t="inlineStr">
        <is>
          <t>IC Organic Acids</t>
        </is>
      </c>
      <c r="EG542" s="20" t="inlineStr">
        <is>
          <t>None</t>
        </is>
      </c>
      <c r="EH542" s="17" t="n"/>
      <c r="EI542" s="16" t="n"/>
      <c r="EJ542" s="20" t="inlineStr">
        <is>
          <t>IC Organic Acids</t>
        </is>
      </c>
      <c r="EK542" s="20" t="inlineStr">
        <is>
          <t>None</t>
        </is>
      </c>
      <c r="EL542" s="17" t="n"/>
      <c r="EM542" s="16" t="n"/>
      <c r="EN542" s="20" t="inlineStr">
        <is>
          <t>IC Organic Acids</t>
        </is>
      </c>
      <c r="EO542" s="20" t="inlineStr">
        <is>
          <t>None</t>
        </is>
      </c>
      <c r="EP542" s="17" t="n"/>
      <c r="EQ542" s="16" t="n"/>
      <c r="ER542" s="20" t="inlineStr">
        <is>
          <t>IC Organic Acids</t>
        </is>
      </c>
      <c r="ES542" s="20" t="inlineStr">
        <is>
          <t>None</t>
        </is>
      </c>
      <c r="ET542" s="17" t="n"/>
      <c r="EU542" s="16" t="n"/>
      <c r="EV542" s="20" t="inlineStr">
        <is>
          <t>LC-MS</t>
        </is>
      </c>
      <c r="EW542" s="20" t="inlineStr">
        <is>
          <t>None</t>
        </is>
      </c>
      <c r="EX542" s="17" t="n"/>
      <c r="EY542" s="21" t="n"/>
      <c r="EZ542">
        <f>CONCATENATE(A542,B542)</f>
        <v/>
      </c>
      <c r="FA542">
        <f>CONCATENATE(SamplesX!A542,SamplesX!B542)</f>
        <v/>
      </c>
      <c r="FC542">
        <f>MATCH(EZ542,FA1:FA1008,0)</f>
        <v/>
      </c>
    </row>
    <row r="543">
      <c r="A543" s="16" t="n"/>
      <c r="B543" s="17" t="n"/>
      <c r="C543" s="10">
        <f>IF(ISNUMBER(FC543),INDIRECT("SamplesX!C"&amp;FC543),IF(ISNUMBER(FD543),INDIRECT("SamplesY!C"&amp;FD543),""))</f>
        <v/>
      </c>
      <c r="D543" s="12">
        <f>IF(ISNUMBER(FC543),INDIRECT("SamplesX!D"&amp;FC543),IF(ISNUMBER(FD543),INDIRECT("SamplesY!D"&amp;FD543),""))</f>
        <v/>
      </c>
      <c r="E543" s="12">
        <f>IF(ISNUMBER(FC543),INDIRECT("SamplesX!E"&amp;FC543),IF(ISNUMBER(FD543),INDIRECT("SamplesY!E"&amp;FD543),""))</f>
        <v/>
      </c>
      <c r="F543" s="11">
        <f>IF(ISNUMBER(FC543),INDIRECT("SamplesX!F"&amp;FC543),IF(ISNUMBER(FD543),INDIRECT("SamplesY!F"&amp;FD543),""))</f>
        <v/>
      </c>
      <c r="G543" s="18">
        <f>IF(ISNUMBER(FC543),INDIRECT("SamplesX!G"&amp;FC543),IF(ISNUMBER(FD543),INDIRECT("SamplesY!G"&amp;FD543),""))</f>
        <v/>
      </c>
      <c r="H543" s="19">
        <f>IF(ISNUMBER(FC543),INDIRECT("SamplesX!H"&amp;FC543),IF(ISNUMBER(FD543),INDIRECT("SamplesY!H"&amp;FD543),""))</f>
        <v/>
      </c>
      <c r="I543" s="16" t="n"/>
      <c r="J543" s="16" t="n"/>
      <c r="K543" s="16" t="n"/>
      <c r="L543" s="20" t="n"/>
      <c r="M543" s="20" t="inlineStr">
        <is>
          <t>None</t>
        </is>
      </c>
      <c r="N543" s="17" t="n"/>
      <c r="O543" s="16" t="n"/>
      <c r="P543" s="20" t="inlineStr">
        <is>
          <t>Shimadzu TOC-L</t>
        </is>
      </c>
      <c r="Q543" s="20" t="inlineStr">
        <is>
          <t>None</t>
        </is>
      </c>
      <c r="R543" s="17" t="n"/>
      <c r="S543" s="16" t="n"/>
      <c r="T543" s="20" t="inlineStr">
        <is>
          <t>Shimadzu TOC-L</t>
        </is>
      </c>
      <c r="U543" s="20" t="inlineStr">
        <is>
          <t>None</t>
        </is>
      </c>
      <c r="V543" s="17" t="n"/>
      <c r="W543" s="16" t="n"/>
      <c r="X543" s="20" t="n"/>
      <c r="Y543" s="20" t="inlineStr">
        <is>
          <t>None</t>
        </is>
      </c>
      <c r="Z543" s="17" t="n"/>
      <c r="AA543" s="16" t="n"/>
      <c r="AB543" s="20" t="n"/>
      <c r="AC543" s="20" t="inlineStr">
        <is>
          <t>None</t>
        </is>
      </c>
      <c r="AD543" s="17" t="n"/>
      <c r="AE543" s="16" t="n"/>
      <c r="AF543" s="20" t="inlineStr">
        <is>
          <t>IC Anionen</t>
        </is>
      </c>
      <c r="AG543" s="20" t="inlineStr">
        <is>
          <t>None</t>
        </is>
      </c>
      <c r="AH543" s="17" t="n"/>
      <c r="AI543" s="16" t="n"/>
      <c r="AJ543" s="20" t="n"/>
      <c r="AK543" s="20" t="inlineStr">
        <is>
          <t>None</t>
        </is>
      </c>
      <c r="AL543" s="17" t="n"/>
      <c r="AM543" s="16" t="n"/>
      <c r="AN543" s="20" t="inlineStr">
        <is>
          <t>IC Anionen</t>
        </is>
      </c>
      <c r="AO543" s="20" t="inlineStr">
        <is>
          <t>None</t>
        </is>
      </c>
      <c r="AP543" s="17" t="n"/>
      <c r="AQ543" s="16" t="n"/>
      <c r="AR543" s="20" t="n"/>
      <c r="AS543" s="20" t="inlineStr">
        <is>
          <t>None</t>
        </is>
      </c>
      <c r="AT543" s="17" t="n"/>
      <c r="AU543" s="16" t="n"/>
      <c r="AV543" s="20" t="n"/>
      <c r="AW543" s="20" t="inlineStr">
        <is>
          <t>None</t>
        </is>
      </c>
      <c r="AX543" s="17" t="n"/>
      <c r="AY543" s="16" t="n"/>
      <c r="AZ543" s="20" t="inlineStr">
        <is>
          <t>IC Anionen</t>
        </is>
      </c>
      <c r="BA543" s="20" t="inlineStr">
        <is>
          <t>None</t>
        </is>
      </c>
      <c r="BB543" s="17" t="n"/>
      <c r="BC543" s="16" t="n"/>
      <c r="BD543" s="20" t="inlineStr">
        <is>
          <t>IC Kationen</t>
        </is>
      </c>
      <c r="BE543" s="20" t="inlineStr">
        <is>
          <t>None</t>
        </is>
      </c>
      <c r="BF543" s="17" t="n"/>
      <c r="BG543" s="16" t="n"/>
      <c r="BH543" s="20" t="inlineStr">
        <is>
          <t>IC Kationen</t>
        </is>
      </c>
      <c r="BI543" s="20" t="inlineStr">
        <is>
          <t>None</t>
        </is>
      </c>
      <c r="BJ543" s="17" t="n"/>
      <c r="BK543" s="16" t="n"/>
      <c r="BL543" s="20" t="inlineStr">
        <is>
          <t>IC Kationen</t>
        </is>
      </c>
      <c r="BM543" s="20" t="inlineStr">
        <is>
          <t>None</t>
        </is>
      </c>
      <c r="BN543" s="17" t="n"/>
      <c r="BO543" s="16" t="n"/>
      <c r="BP543" s="20" t="inlineStr">
        <is>
          <t>IC Kationen</t>
        </is>
      </c>
      <c r="BQ543" s="20" t="inlineStr">
        <is>
          <t>None</t>
        </is>
      </c>
      <c r="BR543" s="17" t="n"/>
      <c r="BS543" s="16" t="n"/>
      <c r="BT543" s="20" t="inlineStr">
        <is>
          <t>IC Kationen</t>
        </is>
      </c>
      <c r="BU543" s="20" t="inlineStr">
        <is>
          <t>None</t>
        </is>
      </c>
      <c r="BV543" s="17" t="n"/>
      <c r="BW543" s="16" t="n"/>
      <c r="BX543" s="20" t="n"/>
      <c r="BY543" s="20" t="inlineStr">
        <is>
          <t>None</t>
        </is>
      </c>
      <c r="BZ543" s="17" t="n"/>
      <c r="CA543" s="16" t="n"/>
      <c r="CB543" s="20" t="n"/>
      <c r="CC543" s="20" t="inlineStr">
        <is>
          <t>None</t>
        </is>
      </c>
      <c r="CD543" s="17" t="n"/>
      <c r="CE543" s="16" t="n"/>
      <c r="CF543" s="20" t="n"/>
      <c r="CG543" s="20" t="inlineStr">
        <is>
          <t>None</t>
        </is>
      </c>
      <c r="CH543" s="17" t="n"/>
      <c r="CI543" s="16" t="n"/>
      <c r="CJ543" s="20" t="n"/>
      <c r="CK543" s="20" t="inlineStr">
        <is>
          <t>None</t>
        </is>
      </c>
      <c r="CL543" s="17" t="n"/>
      <c r="CM543" s="16" t="n"/>
      <c r="CN543" s="20" t="inlineStr">
        <is>
          <t>SOP 45-34</t>
        </is>
      </c>
      <c r="CO543" s="20" t="inlineStr">
        <is>
          <t>None</t>
        </is>
      </c>
      <c r="CP543" s="17" t="n"/>
      <c r="CQ543" s="16" t="n"/>
      <c r="CR543" s="20" t="n"/>
      <c r="CS543" s="20" t="inlineStr">
        <is>
          <t>None</t>
        </is>
      </c>
      <c r="CT543" s="17" t="n"/>
      <c r="CU543" s="16" t="n"/>
      <c r="CV543" s="20" t="n"/>
      <c r="CW543" s="20" t="inlineStr">
        <is>
          <t>None</t>
        </is>
      </c>
      <c r="CX543" s="17" t="n"/>
      <c r="CY543" s="16" t="n"/>
      <c r="CZ543" s="20" t="inlineStr">
        <is>
          <t>WTW Multimeter 3430 with FDO 925</t>
        </is>
      </c>
      <c r="DA543" s="20" t="inlineStr">
        <is>
          <t>None</t>
        </is>
      </c>
      <c r="DB543" s="17" t="n"/>
      <c r="DC543" s="16" t="n"/>
      <c r="DD543" s="20" t="n"/>
      <c r="DE543" s="20" t="inlineStr">
        <is>
          <t>None</t>
        </is>
      </c>
      <c r="DF543" s="17" t="n"/>
      <c r="DG543" s="16" t="n"/>
      <c r="DH543" s="20" t="inlineStr">
        <is>
          <t>SOP 45-09</t>
        </is>
      </c>
      <c r="DI543" s="20" t="inlineStr">
        <is>
          <t>None</t>
        </is>
      </c>
      <c r="DJ543" s="17" t="n"/>
      <c r="DK543" s="16" t="n"/>
      <c r="DL543" s="20" t="inlineStr">
        <is>
          <t>SOP 45-09 (SOP muss noch angepasst werden für VSS)</t>
        </is>
      </c>
      <c r="DM543" s="20" t="inlineStr">
        <is>
          <t>None</t>
        </is>
      </c>
      <c r="DN543" s="17" t="n"/>
      <c r="DO543" s="16" t="n"/>
      <c r="DP543" s="20" t="inlineStr">
        <is>
          <t>IC Organic Acids</t>
        </is>
      </c>
      <c r="DQ543" s="20" t="inlineStr">
        <is>
          <t>None</t>
        </is>
      </c>
      <c r="DR543" s="17" t="n"/>
      <c r="DS543" s="16" t="n"/>
      <c r="DT543" s="20" t="inlineStr">
        <is>
          <t>IC Organic Acids</t>
        </is>
      </c>
      <c r="DU543" s="20" t="inlineStr">
        <is>
          <t>None</t>
        </is>
      </c>
      <c r="DV543" s="17" t="n"/>
      <c r="DW543" s="16" t="n"/>
      <c r="DX543" s="20" t="inlineStr">
        <is>
          <t>IC Organic Acids</t>
        </is>
      </c>
      <c r="DY543" s="20" t="inlineStr">
        <is>
          <t>None</t>
        </is>
      </c>
      <c r="DZ543" s="17" t="n"/>
      <c r="EA543" s="16" t="n"/>
      <c r="EB543" s="20" t="inlineStr">
        <is>
          <t>IC Organic Acids</t>
        </is>
      </c>
      <c r="EC543" s="20" t="inlineStr">
        <is>
          <t>None</t>
        </is>
      </c>
      <c r="ED543" s="17" t="n"/>
      <c r="EE543" s="16" t="n"/>
      <c r="EF543" s="20" t="inlineStr">
        <is>
          <t>IC Organic Acids</t>
        </is>
      </c>
      <c r="EG543" s="20" t="inlineStr">
        <is>
          <t>None</t>
        </is>
      </c>
      <c r="EH543" s="17" t="n"/>
      <c r="EI543" s="16" t="n"/>
      <c r="EJ543" s="20" t="inlineStr">
        <is>
          <t>IC Organic Acids</t>
        </is>
      </c>
      <c r="EK543" s="20" t="inlineStr">
        <is>
          <t>None</t>
        </is>
      </c>
      <c r="EL543" s="17" t="n"/>
      <c r="EM543" s="16" t="n"/>
      <c r="EN543" s="20" t="inlineStr">
        <is>
          <t>IC Organic Acids</t>
        </is>
      </c>
      <c r="EO543" s="20" t="inlineStr">
        <is>
          <t>None</t>
        </is>
      </c>
      <c r="EP543" s="17" t="n"/>
      <c r="EQ543" s="16" t="n"/>
      <c r="ER543" s="20" t="inlineStr">
        <is>
          <t>IC Organic Acids</t>
        </is>
      </c>
      <c r="ES543" s="20" t="inlineStr">
        <is>
          <t>None</t>
        </is>
      </c>
      <c r="ET543" s="17" t="n"/>
      <c r="EU543" s="16" t="n"/>
      <c r="EV543" s="20" t="inlineStr">
        <is>
          <t>LC-MS</t>
        </is>
      </c>
      <c r="EW543" s="20" t="inlineStr">
        <is>
          <t>None</t>
        </is>
      </c>
      <c r="EX543" s="17" t="n"/>
      <c r="EY543" s="21" t="n"/>
      <c r="EZ543">
        <f>CONCATENATE(A543,B543)</f>
        <v/>
      </c>
      <c r="FA543">
        <f>CONCATENATE(SamplesX!A543,SamplesX!B543)</f>
        <v/>
      </c>
      <c r="FC543">
        <f>MATCH(EZ543,FA1:FA1008,0)</f>
        <v/>
      </c>
    </row>
    <row r="544">
      <c r="A544" s="16" t="n"/>
      <c r="B544" s="17" t="n"/>
      <c r="C544" s="10">
        <f>IF(ISNUMBER(FC544),INDIRECT("SamplesX!C"&amp;FC544),IF(ISNUMBER(FD544),INDIRECT("SamplesY!C"&amp;FD544),""))</f>
        <v/>
      </c>
      <c r="D544" s="12">
        <f>IF(ISNUMBER(FC544),INDIRECT("SamplesX!D"&amp;FC544),IF(ISNUMBER(FD544),INDIRECT("SamplesY!D"&amp;FD544),""))</f>
        <v/>
      </c>
      <c r="E544" s="12">
        <f>IF(ISNUMBER(FC544),INDIRECT("SamplesX!E"&amp;FC544),IF(ISNUMBER(FD544),INDIRECT("SamplesY!E"&amp;FD544),""))</f>
        <v/>
      </c>
      <c r="F544" s="11">
        <f>IF(ISNUMBER(FC544),INDIRECT("SamplesX!F"&amp;FC544),IF(ISNUMBER(FD544),INDIRECT("SamplesY!F"&amp;FD544),""))</f>
        <v/>
      </c>
      <c r="G544" s="18">
        <f>IF(ISNUMBER(FC544),INDIRECT("SamplesX!G"&amp;FC544),IF(ISNUMBER(FD544),INDIRECT("SamplesY!G"&amp;FD544),""))</f>
        <v/>
      </c>
      <c r="H544" s="19">
        <f>IF(ISNUMBER(FC544),INDIRECT("SamplesX!H"&amp;FC544),IF(ISNUMBER(FD544),INDIRECT("SamplesY!H"&amp;FD544),""))</f>
        <v/>
      </c>
      <c r="I544" s="16" t="n"/>
      <c r="J544" s="16" t="n"/>
      <c r="K544" s="16" t="n"/>
      <c r="L544" s="20" t="n"/>
      <c r="M544" s="20" t="inlineStr">
        <is>
          <t>None</t>
        </is>
      </c>
      <c r="N544" s="17" t="n"/>
      <c r="O544" s="16" t="n"/>
      <c r="P544" s="20" t="inlineStr">
        <is>
          <t>Shimadzu TOC-L</t>
        </is>
      </c>
      <c r="Q544" s="20" t="inlineStr">
        <is>
          <t>None</t>
        </is>
      </c>
      <c r="R544" s="17" t="n"/>
      <c r="S544" s="16" t="n"/>
      <c r="T544" s="20" t="inlineStr">
        <is>
          <t>Shimadzu TOC-L</t>
        </is>
      </c>
      <c r="U544" s="20" t="inlineStr">
        <is>
          <t>None</t>
        </is>
      </c>
      <c r="V544" s="17" t="n"/>
      <c r="W544" s="16" t="n"/>
      <c r="X544" s="20" t="n"/>
      <c r="Y544" s="20" t="inlineStr">
        <is>
          <t>None</t>
        </is>
      </c>
      <c r="Z544" s="17" t="n"/>
      <c r="AA544" s="16" t="n"/>
      <c r="AB544" s="20" t="n"/>
      <c r="AC544" s="20" t="inlineStr">
        <is>
          <t>None</t>
        </is>
      </c>
      <c r="AD544" s="17" t="n"/>
      <c r="AE544" s="16" t="n"/>
      <c r="AF544" s="20" t="inlineStr">
        <is>
          <t>IC Anionen</t>
        </is>
      </c>
      <c r="AG544" s="20" t="inlineStr">
        <is>
          <t>None</t>
        </is>
      </c>
      <c r="AH544" s="17" t="n"/>
      <c r="AI544" s="16" t="n"/>
      <c r="AJ544" s="20" t="n"/>
      <c r="AK544" s="20" t="inlineStr">
        <is>
          <t>None</t>
        </is>
      </c>
      <c r="AL544" s="17" t="n"/>
      <c r="AM544" s="16" t="n"/>
      <c r="AN544" s="20" t="inlineStr">
        <is>
          <t>IC Anionen</t>
        </is>
      </c>
      <c r="AO544" s="20" t="inlineStr">
        <is>
          <t>None</t>
        </is>
      </c>
      <c r="AP544" s="17" t="n"/>
      <c r="AQ544" s="16" t="n"/>
      <c r="AR544" s="20" t="n"/>
      <c r="AS544" s="20" t="inlineStr">
        <is>
          <t>None</t>
        </is>
      </c>
      <c r="AT544" s="17" t="n"/>
      <c r="AU544" s="16" t="n"/>
      <c r="AV544" s="20" t="n"/>
      <c r="AW544" s="20" t="inlineStr">
        <is>
          <t>None</t>
        </is>
      </c>
      <c r="AX544" s="17" t="n"/>
      <c r="AY544" s="16" t="n"/>
      <c r="AZ544" s="20" t="inlineStr">
        <is>
          <t>IC Anionen</t>
        </is>
      </c>
      <c r="BA544" s="20" t="inlineStr">
        <is>
          <t>None</t>
        </is>
      </c>
      <c r="BB544" s="17" t="n"/>
      <c r="BC544" s="16" t="n"/>
      <c r="BD544" s="20" t="inlineStr">
        <is>
          <t>IC Kationen</t>
        </is>
      </c>
      <c r="BE544" s="20" t="inlineStr">
        <is>
          <t>None</t>
        </is>
      </c>
      <c r="BF544" s="17" t="n"/>
      <c r="BG544" s="16" t="n"/>
      <c r="BH544" s="20" t="inlineStr">
        <is>
          <t>IC Kationen</t>
        </is>
      </c>
      <c r="BI544" s="20" t="inlineStr">
        <is>
          <t>None</t>
        </is>
      </c>
      <c r="BJ544" s="17" t="n"/>
      <c r="BK544" s="16" t="n"/>
      <c r="BL544" s="20" t="inlineStr">
        <is>
          <t>IC Kationen</t>
        </is>
      </c>
      <c r="BM544" s="20" t="inlineStr">
        <is>
          <t>None</t>
        </is>
      </c>
      <c r="BN544" s="17" t="n"/>
      <c r="BO544" s="16" t="n"/>
      <c r="BP544" s="20" t="inlineStr">
        <is>
          <t>IC Kationen</t>
        </is>
      </c>
      <c r="BQ544" s="20" t="inlineStr">
        <is>
          <t>None</t>
        </is>
      </c>
      <c r="BR544" s="17" t="n"/>
      <c r="BS544" s="16" t="n"/>
      <c r="BT544" s="20" t="inlineStr">
        <is>
          <t>IC Kationen</t>
        </is>
      </c>
      <c r="BU544" s="20" t="inlineStr">
        <is>
          <t>None</t>
        </is>
      </c>
      <c r="BV544" s="17" t="n"/>
      <c r="BW544" s="16" t="n"/>
      <c r="BX544" s="20" t="n"/>
      <c r="BY544" s="20" t="inlineStr">
        <is>
          <t>None</t>
        </is>
      </c>
      <c r="BZ544" s="17" t="n"/>
      <c r="CA544" s="16" t="n"/>
      <c r="CB544" s="20" t="n"/>
      <c r="CC544" s="20" t="inlineStr">
        <is>
          <t>None</t>
        </is>
      </c>
      <c r="CD544" s="17" t="n"/>
      <c r="CE544" s="16" t="n"/>
      <c r="CF544" s="20" t="n"/>
      <c r="CG544" s="20" t="inlineStr">
        <is>
          <t>None</t>
        </is>
      </c>
      <c r="CH544" s="17" t="n"/>
      <c r="CI544" s="16" t="n"/>
      <c r="CJ544" s="20" t="n"/>
      <c r="CK544" s="20" t="inlineStr">
        <is>
          <t>None</t>
        </is>
      </c>
      <c r="CL544" s="17" t="n"/>
      <c r="CM544" s="16" t="n"/>
      <c r="CN544" s="20" t="inlineStr">
        <is>
          <t>SOP 45-34</t>
        </is>
      </c>
      <c r="CO544" s="20" t="inlineStr">
        <is>
          <t>None</t>
        </is>
      </c>
      <c r="CP544" s="17" t="n"/>
      <c r="CQ544" s="16" t="n"/>
      <c r="CR544" s="20" t="n"/>
      <c r="CS544" s="20" t="inlineStr">
        <is>
          <t>None</t>
        </is>
      </c>
      <c r="CT544" s="17" t="n"/>
      <c r="CU544" s="16" t="n"/>
      <c r="CV544" s="20" t="n"/>
      <c r="CW544" s="20" t="inlineStr">
        <is>
          <t>None</t>
        </is>
      </c>
      <c r="CX544" s="17" t="n"/>
      <c r="CY544" s="16" t="n"/>
      <c r="CZ544" s="20" t="inlineStr">
        <is>
          <t>WTW Multimeter 3430 with FDO 925</t>
        </is>
      </c>
      <c r="DA544" s="20" t="inlineStr">
        <is>
          <t>None</t>
        </is>
      </c>
      <c r="DB544" s="17" t="n"/>
      <c r="DC544" s="16" t="n"/>
      <c r="DD544" s="20" t="n"/>
      <c r="DE544" s="20" t="inlineStr">
        <is>
          <t>None</t>
        </is>
      </c>
      <c r="DF544" s="17" t="n"/>
      <c r="DG544" s="16" t="n"/>
      <c r="DH544" s="20" t="inlineStr">
        <is>
          <t>SOP 45-09</t>
        </is>
      </c>
      <c r="DI544" s="20" t="inlineStr">
        <is>
          <t>None</t>
        </is>
      </c>
      <c r="DJ544" s="17" t="n"/>
      <c r="DK544" s="16" t="n"/>
      <c r="DL544" s="20" t="inlineStr">
        <is>
          <t>SOP 45-09 (SOP muss noch angepasst werden für VSS)</t>
        </is>
      </c>
      <c r="DM544" s="20" t="inlineStr">
        <is>
          <t>None</t>
        </is>
      </c>
      <c r="DN544" s="17" t="n"/>
      <c r="DO544" s="16" t="n"/>
      <c r="DP544" s="20" t="inlineStr">
        <is>
          <t>IC Organic Acids</t>
        </is>
      </c>
      <c r="DQ544" s="20" t="inlineStr">
        <is>
          <t>None</t>
        </is>
      </c>
      <c r="DR544" s="17" t="n"/>
      <c r="DS544" s="16" t="n"/>
      <c r="DT544" s="20" t="inlineStr">
        <is>
          <t>IC Organic Acids</t>
        </is>
      </c>
      <c r="DU544" s="20" t="inlineStr">
        <is>
          <t>None</t>
        </is>
      </c>
      <c r="DV544" s="17" t="n"/>
      <c r="DW544" s="16" t="n"/>
      <c r="DX544" s="20" t="inlineStr">
        <is>
          <t>IC Organic Acids</t>
        </is>
      </c>
      <c r="DY544" s="20" t="inlineStr">
        <is>
          <t>None</t>
        </is>
      </c>
      <c r="DZ544" s="17" t="n"/>
      <c r="EA544" s="16" t="n"/>
      <c r="EB544" s="20" t="inlineStr">
        <is>
          <t>IC Organic Acids</t>
        </is>
      </c>
      <c r="EC544" s="20" t="inlineStr">
        <is>
          <t>None</t>
        </is>
      </c>
      <c r="ED544" s="17" t="n"/>
      <c r="EE544" s="16" t="n"/>
      <c r="EF544" s="20" t="inlineStr">
        <is>
          <t>IC Organic Acids</t>
        </is>
      </c>
      <c r="EG544" s="20" t="inlineStr">
        <is>
          <t>None</t>
        </is>
      </c>
      <c r="EH544" s="17" t="n"/>
      <c r="EI544" s="16" t="n"/>
      <c r="EJ544" s="20" t="inlineStr">
        <is>
          <t>IC Organic Acids</t>
        </is>
      </c>
      <c r="EK544" s="20" t="inlineStr">
        <is>
          <t>None</t>
        </is>
      </c>
      <c r="EL544" s="17" t="n"/>
      <c r="EM544" s="16" t="n"/>
      <c r="EN544" s="20" t="inlineStr">
        <is>
          <t>IC Organic Acids</t>
        </is>
      </c>
      <c r="EO544" s="20" t="inlineStr">
        <is>
          <t>None</t>
        </is>
      </c>
      <c r="EP544" s="17" t="n"/>
      <c r="EQ544" s="16" t="n"/>
      <c r="ER544" s="20" t="inlineStr">
        <is>
          <t>IC Organic Acids</t>
        </is>
      </c>
      <c r="ES544" s="20" t="inlineStr">
        <is>
          <t>None</t>
        </is>
      </c>
      <c r="ET544" s="17" t="n"/>
      <c r="EU544" s="16" t="n"/>
      <c r="EV544" s="20" t="inlineStr">
        <is>
          <t>LC-MS</t>
        </is>
      </c>
      <c r="EW544" s="20" t="inlineStr">
        <is>
          <t>None</t>
        </is>
      </c>
      <c r="EX544" s="17" t="n"/>
      <c r="EY544" s="21" t="n"/>
      <c r="EZ544">
        <f>CONCATENATE(A544,B544)</f>
        <v/>
      </c>
      <c r="FA544">
        <f>CONCATENATE(SamplesX!A544,SamplesX!B544)</f>
        <v/>
      </c>
      <c r="FC544">
        <f>MATCH(EZ544,FA1:FA1008,0)</f>
        <v/>
      </c>
    </row>
    <row r="545">
      <c r="A545" s="16" t="n"/>
      <c r="B545" s="17" t="n"/>
      <c r="C545" s="10">
        <f>IF(ISNUMBER(FC545),INDIRECT("SamplesX!C"&amp;FC545),IF(ISNUMBER(FD545),INDIRECT("SamplesY!C"&amp;FD545),""))</f>
        <v/>
      </c>
      <c r="D545" s="12">
        <f>IF(ISNUMBER(FC545),INDIRECT("SamplesX!D"&amp;FC545),IF(ISNUMBER(FD545),INDIRECT("SamplesY!D"&amp;FD545),""))</f>
        <v/>
      </c>
      <c r="E545" s="12">
        <f>IF(ISNUMBER(FC545),INDIRECT("SamplesX!E"&amp;FC545),IF(ISNUMBER(FD545),INDIRECT("SamplesY!E"&amp;FD545),""))</f>
        <v/>
      </c>
      <c r="F545" s="11">
        <f>IF(ISNUMBER(FC545),INDIRECT("SamplesX!F"&amp;FC545),IF(ISNUMBER(FD545),INDIRECT("SamplesY!F"&amp;FD545),""))</f>
        <v/>
      </c>
      <c r="G545" s="18">
        <f>IF(ISNUMBER(FC545),INDIRECT("SamplesX!G"&amp;FC545),IF(ISNUMBER(FD545),INDIRECT("SamplesY!G"&amp;FD545),""))</f>
        <v/>
      </c>
      <c r="H545" s="19">
        <f>IF(ISNUMBER(FC545),INDIRECT("SamplesX!H"&amp;FC545),IF(ISNUMBER(FD545),INDIRECT("SamplesY!H"&amp;FD545),""))</f>
        <v/>
      </c>
      <c r="I545" s="16" t="n"/>
      <c r="J545" s="16" t="n"/>
      <c r="K545" s="16" t="n"/>
      <c r="L545" s="20" t="n"/>
      <c r="M545" s="20" t="inlineStr">
        <is>
          <t>None</t>
        </is>
      </c>
      <c r="N545" s="17" t="n"/>
      <c r="O545" s="16" t="n"/>
      <c r="P545" s="20" t="inlineStr">
        <is>
          <t>Shimadzu TOC-L</t>
        </is>
      </c>
      <c r="Q545" s="20" t="inlineStr">
        <is>
          <t>None</t>
        </is>
      </c>
      <c r="R545" s="17" t="n"/>
      <c r="S545" s="16" t="n"/>
      <c r="T545" s="20" t="inlineStr">
        <is>
          <t>Shimadzu TOC-L</t>
        </is>
      </c>
      <c r="U545" s="20" t="inlineStr">
        <is>
          <t>None</t>
        </is>
      </c>
      <c r="V545" s="17" t="n"/>
      <c r="W545" s="16" t="n"/>
      <c r="X545" s="20" t="n"/>
      <c r="Y545" s="20" t="inlineStr">
        <is>
          <t>None</t>
        </is>
      </c>
      <c r="Z545" s="17" t="n"/>
      <c r="AA545" s="16" t="n"/>
      <c r="AB545" s="20" t="n"/>
      <c r="AC545" s="20" t="inlineStr">
        <is>
          <t>None</t>
        </is>
      </c>
      <c r="AD545" s="17" t="n"/>
      <c r="AE545" s="16" t="n"/>
      <c r="AF545" s="20" t="inlineStr">
        <is>
          <t>IC Anionen</t>
        </is>
      </c>
      <c r="AG545" s="20" t="inlineStr">
        <is>
          <t>None</t>
        </is>
      </c>
      <c r="AH545" s="17" t="n"/>
      <c r="AI545" s="16" t="n"/>
      <c r="AJ545" s="20" t="n"/>
      <c r="AK545" s="20" t="inlineStr">
        <is>
          <t>None</t>
        </is>
      </c>
      <c r="AL545" s="17" t="n"/>
      <c r="AM545" s="16" t="n"/>
      <c r="AN545" s="20" t="inlineStr">
        <is>
          <t>IC Anionen</t>
        </is>
      </c>
      <c r="AO545" s="20" t="inlineStr">
        <is>
          <t>None</t>
        </is>
      </c>
      <c r="AP545" s="17" t="n"/>
      <c r="AQ545" s="16" t="n"/>
      <c r="AR545" s="20" t="n"/>
      <c r="AS545" s="20" t="inlineStr">
        <is>
          <t>None</t>
        </is>
      </c>
      <c r="AT545" s="17" t="n"/>
      <c r="AU545" s="16" t="n"/>
      <c r="AV545" s="20" t="n"/>
      <c r="AW545" s="20" t="inlineStr">
        <is>
          <t>None</t>
        </is>
      </c>
      <c r="AX545" s="17" t="n"/>
      <c r="AY545" s="16" t="n"/>
      <c r="AZ545" s="20" t="inlineStr">
        <is>
          <t>IC Anionen</t>
        </is>
      </c>
      <c r="BA545" s="20" t="inlineStr">
        <is>
          <t>None</t>
        </is>
      </c>
      <c r="BB545" s="17" t="n"/>
      <c r="BC545" s="16" t="n"/>
      <c r="BD545" s="20" t="inlineStr">
        <is>
          <t>IC Kationen</t>
        </is>
      </c>
      <c r="BE545" s="20" t="inlineStr">
        <is>
          <t>None</t>
        </is>
      </c>
      <c r="BF545" s="17" t="n"/>
      <c r="BG545" s="16" t="n"/>
      <c r="BH545" s="20" t="inlineStr">
        <is>
          <t>IC Kationen</t>
        </is>
      </c>
      <c r="BI545" s="20" t="inlineStr">
        <is>
          <t>None</t>
        </is>
      </c>
      <c r="BJ545" s="17" t="n"/>
      <c r="BK545" s="16" t="n"/>
      <c r="BL545" s="20" t="inlineStr">
        <is>
          <t>IC Kationen</t>
        </is>
      </c>
      <c r="BM545" s="20" t="inlineStr">
        <is>
          <t>None</t>
        </is>
      </c>
      <c r="BN545" s="17" t="n"/>
      <c r="BO545" s="16" t="n"/>
      <c r="BP545" s="20" t="inlineStr">
        <is>
          <t>IC Kationen</t>
        </is>
      </c>
      <c r="BQ545" s="20" t="inlineStr">
        <is>
          <t>None</t>
        </is>
      </c>
      <c r="BR545" s="17" t="n"/>
      <c r="BS545" s="16" t="n"/>
      <c r="BT545" s="20" t="inlineStr">
        <is>
          <t>IC Kationen</t>
        </is>
      </c>
      <c r="BU545" s="20" t="inlineStr">
        <is>
          <t>None</t>
        </is>
      </c>
      <c r="BV545" s="17" t="n"/>
      <c r="BW545" s="16" t="n"/>
      <c r="BX545" s="20" t="n"/>
      <c r="BY545" s="20" t="inlineStr">
        <is>
          <t>None</t>
        </is>
      </c>
      <c r="BZ545" s="17" t="n"/>
      <c r="CA545" s="16" t="n"/>
      <c r="CB545" s="20" t="n"/>
      <c r="CC545" s="20" t="inlineStr">
        <is>
          <t>None</t>
        </is>
      </c>
      <c r="CD545" s="17" t="n"/>
      <c r="CE545" s="16" t="n"/>
      <c r="CF545" s="20" t="n"/>
      <c r="CG545" s="20" t="inlineStr">
        <is>
          <t>None</t>
        </is>
      </c>
      <c r="CH545" s="17" t="n"/>
      <c r="CI545" s="16" t="n"/>
      <c r="CJ545" s="20" t="n"/>
      <c r="CK545" s="20" t="inlineStr">
        <is>
          <t>None</t>
        </is>
      </c>
      <c r="CL545" s="17" t="n"/>
      <c r="CM545" s="16" t="n"/>
      <c r="CN545" s="20" t="inlineStr">
        <is>
          <t>SOP 45-34</t>
        </is>
      </c>
      <c r="CO545" s="20" t="inlineStr">
        <is>
          <t>None</t>
        </is>
      </c>
      <c r="CP545" s="17" t="n"/>
      <c r="CQ545" s="16" t="n"/>
      <c r="CR545" s="20" t="n"/>
      <c r="CS545" s="20" t="inlineStr">
        <is>
          <t>None</t>
        </is>
      </c>
      <c r="CT545" s="17" t="n"/>
      <c r="CU545" s="16" t="n"/>
      <c r="CV545" s="20" t="n"/>
      <c r="CW545" s="20" t="inlineStr">
        <is>
          <t>None</t>
        </is>
      </c>
      <c r="CX545" s="17" t="n"/>
      <c r="CY545" s="16" t="n"/>
      <c r="CZ545" s="20" t="inlineStr">
        <is>
          <t>WTW Multimeter 3430 with FDO 925</t>
        </is>
      </c>
      <c r="DA545" s="20" t="inlineStr">
        <is>
          <t>None</t>
        </is>
      </c>
      <c r="DB545" s="17" t="n"/>
      <c r="DC545" s="16" t="n"/>
      <c r="DD545" s="20" t="n"/>
      <c r="DE545" s="20" t="inlineStr">
        <is>
          <t>None</t>
        </is>
      </c>
      <c r="DF545" s="17" t="n"/>
      <c r="DG545" s="16" t="n"/>
      <c r="DH545" s="20" t="inlineStr">
        <is>
          <t>SOP 45-09</t>
        </is>
      </c>
      <c r="DI545" s="20" t="inlineStr">
        <is>
          <t>None</t>
        </is>
      </c>
      <c r="DJ545" s="17" t="n"/>
      <c r="DK545" s="16" t="n"/>
      <c r="DL545" s="20" t="inlineStr">
        <is>
          <t>SOP 45-09 (SOP muss noch angepasst werden für VSS)</t>
        </is>
      </c>
      <c r="DM545" s="20" t="inlineStr">
        <is>
          <t>None</t>
        </is>
      </c>
      <c r="DN545" s="17" t="n"/>
      <c r="DO545" s="16" t="n"/>
      <c r="DP545" s="20" t="inlineStr">
        <is>
          <t>IC Organic Acids</t>
        </is>
      </c>
      <c r="DQ545" s="20" t="inlineStr">
        <is>
          <t>None</t>
        </is>
      </c>
      <c r="DR545" s="17" t="n"/>
      <c r="DS545" s="16" t="n"/>
      <c r="DT545" s="20" t="inlineStr">
        <is>
          <t>IC Organic Acids</t>
        </is>
      </c>
      <c r="DU545" s="20" t="inlineStr">
        <is>
          <t>None</t>
        </is>
      </c>
      <c r="DV545" s="17" t="n"/>
      <c r="DW545" s="16" t="n"/>
      <c r="DX545" s="20" t="inlineStr">
        <is>
          <t>IC Organic Acids</t>
        </is>
      </c>
      <c r="DY545" s="20" t="inlineStr">
        <is>
          <t>None</t>
        </is>
      </c>
      <c r="DZ545" s="17" t="n"/>
      <c r="EA545" s="16" t="n"/>
      <c r="EB545" s="20" t="inlineStr">
        <is>
          <t>IC Organic Acids</t>
        </is>
      </c>
      <c r="EC545" s="20" t="inlineStr">
        <is>
          <t>None</t>
        </is>
      </c>
      <c r="ED545" s="17" t="n"/>
      <c r="EE545" s="16" t="n"/>
      <c r="EF545" s="20" t="inlineStr">
        <is>
          <t>IC Organic Acids</t>
        </is>
      </c>
      <c r="EG545" s="20" t="inlineStr">
        <is>
          <t>None</t>
        </is>
      </c>
      <c r="EH545" s="17" t="n"/>
      <c r="EI545" s="16" t="n"/>
      <c r="EJ545" s="20" t="inlineStr">
        <is>
          <t>IC Organic Acids</t>
        </is>
      </c>
      <c r="EK545" s="20" t="inlineStr">
        <is>
          <t>None</t>
        </is>
      </c>
      <c r="EL545" s="17" t="n"/>
      <c r="EM545" s="16" t="n"/>
      <c r="EN545" s="20" t="inlineStr">
        <is>
          <t>IC Organic Acids</t>
        </is>
      </c>
      <c r="EO545" s="20" t="inlineStr">
        <is>
          <t>None</t>
        </is>
      </c>
      <c r="EP545" s="17" t="n"/>
      <c r="EQ545" s="16" t="n"/>
      <c r="ER545" s="20" t="inlineStr">
        <is>
          <t>IC Organic Acids</t>
        </is>
      </c>
      <c r="ES545" s="20" t="inlineStr">
        <is>
          <t>None</t>
        </is>
      </c>
      <c r="ET545" s="17" t="n"/>
      <c r="EU545" s="16" t="n"/>
      <c r="EV545" s="20" t="inlineStr">
        <is>
          <t>LC-MS</t>
        </is>
      </c>
      <c r="EW545" s="20" t="inlineStr">
        <is>
          <t>None</t>
        </is>
      </c>
      <c r="EX545" s="17" t="n"/>
      <c r="EY545" s="21" t="n"/>
      <c r="EZ545">
        <f>CONCATENATE(A545,B545)</f>
        <v/>
      </c>
      <c r="FA545">
        <f>CONCATENATE(SamplesX!A545,SamplesX!B545)</f>
        <v/>
      </c>
      <c r="FC545">
        <f>MATCH(EZ545,FA1:FA1008,0)</f>
        <v/>
      </c>
    </row>
    <row r="546">
      <c r="A546" s="16" t="n"/>
      <c r="B546" s="17" t="n"/>
      <c r="C546" s="10">
        <f>IF(ISNUMBER(FC546),INDIRECT("SamplesX!C"&amp;FC546),IF(ISNUMBER(FD546),INDIRECT("SamplesY!C"&amp;FD546),""))</f>
        <v/>
      </c>
      <c r="D546" s="12">
        <f>IF(ISNUMBER(FC546),INDIRECT("SamplesX!D"&amp;FC546),IF(ISNUMBER(FD546),INDIRECT("SamplesY!D"&amp;FD546),""))</f>
        <v/>
      </c>
      <c r="E546" s="12">
        <f>IF(ISNUMBER(FC546),INDIRECT("SamplesX!E"&amp;FC546),IF(ISNUMBER(FD546),INDIRECT("SamplesY!E"&amp;FD546),""))</f>
        <v/>
      </c>
      <c r="F546" s="11">
        <f>IF(ISNUMBER(FC546),INDIRECT("SamplesX!F"&amp;FC546),IF(ISNUMBER(FD546),INDIRECT("SamplesY!F"&amp;FD546),""))</f>
        <v/>
      </c>
      <c r="G546" s="18">
        <f>IF(ISNUMBER(FC546),INDIRECT("SamplesX!G"&amp;FC546),IF(ISNUMBER(FD546),INDIRECT("SamplesY!G"&amp;FD546),""))</f>
        <v/>
      </c>
      <c r="H546" s="19">
        <f>IF(ISNUMBER(FC546),INDIRECT("SamplesX!H"&amp;FC546),IF(ISNUMBER(FD546),INDIRECT("SamplesY!H"&amp;FD546),""))</f>
        <v/>
      </c>
      <c r="I546" s="16" t="n"/>
      <c r="J546" s="16" t="n"/>
      <c r="K546" s="16" t="n"/>
      <c r="L546" s="20" t="n"/>
      <c r="M546" s="20" t="inlineStr">
        <is>
          <t>None</t>
        </is>
      </c>
      <c r="N546" s="17" t="n"/>
      <c r="O546" s="16" t="n"/>
      <c r="P546" s="20" t="inlineStr">
        <is>
          <t>Shimadzu TOC-L</t>
        </is>
      </c>
      <c r="Q546" s="20" t="inlineStr">
        <is>
          <t>None</t>
        </is>
      </c>
      <c r="R546" s="17" t="n"/>
      <c r="S546" s="16" t="n"/>
      <c r="T546" s="20" t="inlineStr">
        <is>
          <t>Shimadzu TOC-L</t>
        </is>
      </c>
      <c r="U546" s="20" t="inlineStr">
        <is>
          <t>None</t>
        </is>
      </c>
      <c r="V546" s="17" t="n"/>
      <c r="W546" s="16" t="n"/>
      <c r="X546" s="20" t="n"/>
      <c r="Y546" s="20" t="inlineStr">
        <is>
          <t>None</t>
        </is>
      </c>
      <c r="Z546" s="17" t="n"/>
      <c r="AA546" s="16" t="n"/>
      <c r="AB546" s="20" t="n"/>
      <c r="AC546" s="20" t="inlineStr">
        <is>
          <t>None</t>
        </is>
      </c>
      <c r="AD546" s="17" t="n"/>
      <c r="AE546" s="16" t="n"/>
      <c r="AF546" s="20" t="inlineStr">
        <is>
          <t>IC Anionen</t>
        </is>
      </c>
      <c r="AG546" s="20" t="inlineStr">
        <is>
          <t>None</t>
        </is>
      </c>
      <c r="AH546" s="17" t="n"/>
      <c r="AI546" s="16" t="n"/>
      <c r="AJ546" s="20" t="n"/>
      <c r="AK546" s="20" t="inlineStr">
        <is>
          <t>None</t>
        </is>
      </c>
      <c r="AL546" s="17" t="n"/>
      <c r="AM546" s="16" t="n"/>
      <c r="AN546" s="20" t="inlineStr">
        <is>
          <t>IC Anionen</t>
        </is>
      </c>
      <c r="AO546" s="20" t="inlineStr">
        <is>
          <t>None</t>
        </is>
      </c>
      <c r="AP546" s="17" t="n"/>
      <c r="AQ546" s="16" t="n"/>
      <c r="AR546" s="20" t="n"/>
      <c r="AS546" s="20" t="inlineStr">
        <is>
          <t>None</t>
        </is>
      </c>
      <c r="AT546" s="17" t="n"/>
      <c r="AU546" s="16" t="n"/>
      <c r="AV546" s="20" t="n"/>
      <c r="AW546" s="20" t="inlineStr">
        <is>
          <t>None</t>
        </is>
      </c>
      <c r="AX546" s="17" t="n"/>
      <c r="AY546" s="16" t="n"/>
      <c r="AZ546" s="20" t="inlineStr">
        <is>
          <t>IC Anionen</t>
        </is>
      </c>
      <c r="BA546" s="20" t="inlineStr">
        <is>
          <t>None</t>
        </is>
      </c>
      <c r="BB546" s="17" t="n"/>
      <c r="BC546" s="16" t="n"/>
      <c r="BD546" s="20" t="inlineStr">
        <is>
          <t>IC Kationen</t>
        </is>
      </c>
      <c r="BE546" s="20" t="inlineStr">
        <is>
          <t>None</t>
        </is>
      </c>
      <c r="BF546" s="17" t="n"/>
      <c r="BG546" s="16" t="n"/>
      <c r="BH546" s="20" t="inlineStr">
        <is>
          <t>IC Kationen</t>
        </is>
      </c>
      <c r="BI546" s="20" t="inlineStr">
        <is>
          <t>None</t>
        </is>
      </c>
      <c r="BJ546" s="17" t="n"/>
      <c r="BK546" s="16" t="n"/>
      <c r="BL546" s="20" t="inlineStr">
        <is>
          <t>IC Kationen</t>
        </is>
      </c>
      <c r="BM546" s="20" t="inlineStr">
        <is>
          <t>None</t>
        </is>
      </c>
      <c r="BN546" s="17" t="n"/>
      <c r="BO546" s="16" t="n"/>
      <c r="BP546" s="20" t="inlineStr">
        <is>
          <t>IC Kationen</t>
        </is>
      </c>
      <c r="BQ546" s="20" t="inlineStr">
        <is>
          <t>None</t>
        </is>
      </c>
      <c r="BR546" s="17" t="n"/>
      <c r="BS546" s="16" t="n"/>
      <c r="BT546" s="20" t="inlineStr">
        <is>
          <t>IC Kationen</t>
        </is>
      </c>
      <c r="BU546" s="20" t="inlineStr">
        <is>
          <t>None</t>
        </is>
      </c>
      <c r="BV546" s="17" t="n"/>
      <c r="BW546" s="16" t="n"/>
      <c r="BX546" s="20" t="n"/>
      <c r="BY546" s="20" t="inlineStr">
        <is>
          <t>None</t>
        </is>
      </c>
      <c r="BZ546" s="17" t="n"/>
      <c r="CA546" s="16" t="n"/>
      <c r="CB546" s="20" t="n"/>
      <c r="CC546" s="20" t="inlineStr">
        <is>
          <t>None</t>
        </is>
      </c>
      <c r="CD546" s="17" t="n"/>
      <c r="CE546" s="16" t="n"/>
      <c r="CF546" s="20" t="n"/>
      <c r="CG546" s="20" t="inlineStr">
        <is>
          <t>None</t>
        </is>
      </c>
      <c r="CH546" s="17" t="n"/>
      <c r="CI546" s="16" t="n"/>
      <c r="CJ546" s="20" t="n"/>
      <c r="CK546" s="20" t="inlineStr">
        <is>
          <t>None</t>
        </is>
      </c>
      <c r="CL546" s="17" t="n"/>
      <c r="CM546" s="16" t="n"/>
      <c r="CN546" s="20" t="inlineStr">
        <is>
          <t>SOP 45-34</t>
        </is>
      </c>
      <c r="CO546" s="20" t="inlineStr">
        <is>
          <t>None</t>
        </is>
      </c>
      <c r="CP546" s="17" t="n"/>
      <c r="CQ546" s="16" t="n"/>
      <c r="CR546" s="20" t="n"/>
      <c r="CS546" s="20" t="inlineStr">
        <is>
          <t>None</t>
        </is>
      </c>
      <c r="CT546" s="17" t="n"/>
      <c r="CU546" s="16" t="n"/>
      <c r="CV546" s="20" t="n"/>
      <c r="CW546" s="20" t="inlineStr">
        <is>
          <t>None</t>
        </is>
      </c>
      <c r="CX546" s="17" t="n"/>
      <c r="CY546" s="16" t="n"/>
      <c r="CZ546" s="20" t="inlineStr">
        <is>
          <t>WTW Multimeter 3430 with FDO 925</t>
        </is>
      </c>
      <c r="DA546" s="20" t="inlineStr">
        <is>
          <t>None</t>
        </is>
      </c>
      <c r="DB546" s="17" t="n"/>
      <c r="DC546" s="16" t="n"/>
      <c r="DD546" s="20" t="n"/>
      <c r="DE546" s="20" t="inlineStr">
        <is>
          <t>None</t>
        </is>
      </c>
      <c r="DF546" s="17" t="n"/>
      <c r="DG546" s="16" t="n"/>
      <c r="DH546" s="20" t="inlineStr">
        <is>
          <t>SOP 45-09</t>
        </is>
      </c>
      <c r="DI546" s="20" t="inlineStr">
        <is>
          <t>None</t>
        </is>
      </c>
      <c r="DJ546" s="17" t="n"/>
      <c r="DK546" s="16" t="n"/>
      <c r="DL546" s="20" t="inlineStr">
        <is>
          <t>SOP 45-09 (SOP muss noch angepasst werden für VSS)</t>
        </is>
      </c>
      <c r="DM546" s="20" t="inlineStr">
        <is>
          <t>None</t>
        </is>
      </c>
      <c r="DN546" s="17" t="n"/>
      <c r="DO546" s="16" t="n"/>
      <c r="DP546" s="20" t="inlineStr">
        <is>
          <t>IC Organic Acids</t>
        </is>
      </c>
      <c r="DQ546" s="20" t="inlineStr">
        <is>
          <t>None</t>
        </is>
      </c>
      <c r="DR546" s="17" t="n"/>
      <c r="DS546" s="16" t="n"/>
      <c r="DT546" s="20" t="inlineStr">
        <is>
          <t>IC Organic Acids</t>
        </is>
      </c>
      <c r="DU546" s="20" t="inlineStr">
        <is>
          <t>None</t>
        </is>
      </c>
      <c r="DV546" s="17" t="n"/>
      <c r="DW546" s="16" t="n"/>
      <c r="DX546" s="20" t="inlineStr">
        <is>
          <t>IC Organic Acids</t>
        </is>
      </c>
      <c r="DY546" s="20" t="inlineStr">
        <is>
          <t>None</t>
        </is>
      </c>
      <c r="DZ546" s="17" t="n"/>
      <c r="EA546" s="16" t="n"/>
      <c r="EB546" s="20" t="inlineStr">
        <is>
          <t>IC Organic Acids</t>
        </is>
      </c>
      <c r="EC546" s="20" t="inlineStr">
        <is>
          <t>None</t>
        </is>
      </c>
      <c r="ED546" s="17" t="n"/>
      <c r="EE546" s="16" t="n"/>
      <c r="EF546" s="20" t="inlineStr">
        <is>
          <t>IC Organic Acids</t>
        </is>
      </c>
      <c r="EG546" s="20" t="inlineStr">
        <is>
          <t>None</t>
        </is>
      </c>
      <c r="EH546" s="17" t="n"/>
      <c r="EI546" s="16" t="n"/>
      <c r="EJ546" s="20" t="inlineStr">
        <is>
          <t>IC Organic Acids</t>
        </is>
      </c>
      <c r="EK546" s="20" t="inlineStr">
        <is>
          <t>None</t>
        </is>
      </c>
      <c r="EL546" s="17" t="n"/>
      <c r="EM546" s="16" t="n"/>
      <c r="EN546" s="20" t="inlineStr">
        <is>
          <t>IC Organic Acids</t>
        </is>
      </c>
      <c r="EO546" s="20" t="inlineStr">
        <is>
          <t>None</t>
        </is>
      </c>
      <c r="EP546" s="17" t="n"/>
      <c r="EQ546" s="16" t="n"/>
      <c r="ER546" s="20" t="inlineStr">
        <is>
          <t>IC Organic Acids</t>
        </is>
      </c>
      <c r="ES546" s="20" t="inlineStr">
        <is>
          <t>None</t>
        </is>
      </c>
      <c r="ET546" s="17" t="n"/>
      <c r="EU546" s="16" t="n"/>
      <c r="EV546" s="20" t="inlineStr">
        <is>
          <t>LC-MS</t>
        </is>
      </c>
      <c r="EW546" s="20" t="inlineStr">
        <is>
          <t>None</t>
        </is>
      </c>
      <c r="EX546" s="17" t="n"/>
      <c r="EY546" s="21" t="n"/>
      <c r="EZ546">
        <f>CONCATENATE(A546,B546)</f>
        <v/>
      </c>
      <c r="FA546">
        <f>CONCATENATE(SamplesX!A546,SamplesX!B546)</f>
        <v/>
      </c>
      <c r="FC546">
        <f>MATCH(EZ546,FA1:FA1008,0)</f>
        <v/>
      </c>
    </row>
    <row r="547">
      <c r="A547" s="16" t="n"/>
      <c r="B547" s="17" t="n"/>
      <c r="C547" s="10">
        <f>IF(ISNUMBER(FC547),INDIRECT("SamplesX!C"&amp;FC547),IF(ISNUMBER(FD547),INDIRECT("SamplesY!C"&amp;FD547),""))</f>
        <v/>
      </c>
      <c r="D547" s="12">
        <f>IF(ISNUMBER(FC547),INDIRECT("SamplesX!D"&amp;FC547),IF(ISNUMBER(FD547),INDIRECT("SamplesY!D"&amp;FD547),""))</f>
        <v/>
      </c>
      <c r="E547" s="12">
        <f>IF(ISNUMBER(FC547),INDIRECT("SamplesX!E"&amp;FC547),IF(ISNUMBER(FD547),INDIRECT("SamplesY!E"&amp;FD547),""))</f>
        <v/>
      </c>
      <c r="F547" s="11">
        <f>IF(ISNUMBER(FC547),INDIRECT("SamplesX!F"&amp;FC547),IF(ISNUMBER(FD547),INDIRECT("SamplesY!F"&amp;FD547),""))</f>
        <v/>
      </c>
      <c r="G547" s="18">
        <f>IF(ISNUMBER(FC547),INDIRECT("SamplesX!G"&amp;FC547),IF(ISNUMBER(FD547),INDIRECT("SamplesY!G"&amp;FD547),""))</f>
        <v/>
      </c>
      <c r="H547" s="19">
        <f>IF(ISNUMBER(FC547),INDIRECT("SamplesX!H"&amp;FC547),IF(ISNUMBER(FD547),INDIRECT("SamplesY!H"&amp;FD547),""))</f>
        <v/>
      </c>
      <c r="I547" s="16" t="n"/>
      <c r="J547" s="16" t="n"/>
      <c r="K547" s="16" t="n"/>
      <c r="L547" s="20" t="n"/>
      <c r="M547" s="20" t="inlineStr">
        <is>
          <t>None</t>
        </is>
      </c>
      <c r="N547" s="17" t="n"/>
      <c r="O547" s="16" t="n"/>
      <c r="P547" s="20" t="inlineStr">
        <is>
          <t>Shimadzu TOC-L</t>
        </is>
      </c>
      <c r="Q547" s="20" t="inlineStr">
        <is>
          <t>None</t>
        </is>
      </c>
      <c r="R547" s="17" t="n"/>
      <c r="S547" s="16" t="n"/>
      <c r="T547" s="20" t="inlineStr">
        <is>
          <t>Shimadzu TOC-L</t>
        </is>
      </c>
      <c r="U547" s="20" t="inlineStr">
        <is>
          <t>None</t>
        </is>
      </c>
      <c r="V547" s="17" t="n"/>
      <c r="W547" s="16" t="n"/>
      <c r="X547" s="20" t="n"/>
      <c r="Y547" s="20" t="inlineStr">
        <is>
          <t>None</t>
        </is>
      </c>
      <c r="Z547" s="17" t="n"/>
      <c r="AA547" s="16" t="n"/>
      <c r="AB547" s="20" t="n"/>
      <c r="AC547" s="20" t="inlineStr">
        <is>
          <t>None</t>
        </is>
      </c>
      <c r="AD547" s="17" t="n"/>
      <c r="AE547" s="16" t="n"/>
      <c r="AF547" s="20" t="inlineStr">
        <is>
          <t>IC Anionen</t>
        </is>
      </c>
      <c r="AG547" s="20" t="inlineStr">
        <is>
          <t>None</t>
        </is>
      </c>
      <c r="AH547" s="17" t="n"/>
      <c r="AI547" s="16" t="n"/>
      <c r="AJ547" s="20" t="n"/>
      <c r="AK547" s="20" t="inlineStr">
        <is>
          <t>None</t>
        </is>
      </c>
      <c r="AL547" s="17" t="n"/>
      <c r="AM547" s="16" t="n"/>
      <c r="AN547" s="20" t="inlineStr">
        <is>
          <t>IC Anionen</t>
        </is>
      </c>
      <c r="AO547" s="20" t="inlineStr">
        <is>
          <t>None</t>
        </is>
      </c>
      <c r="AP547" s="17" t="n"/>
      <c r="AQ547" s="16" t="n"/>
      <c r="AR547" s="20" t="n"/>
      <c r="AS547" s="20" t="inlineStr">
        <is>
          <t>None</t>
        </is>
      </c>
      <c r="AT547" s="17" t="n"/>
      <c r="AU547" s="16" t="n"/>
      <c r="AV547" s="20" t="n"/>
      <c r="AW547" s="20" t="inlineStr">
        <is>
          <t>None</t>
        </is>
      </c>
      <c r="AX547" s="17" t="n"/>
      <c r="AY547" s="16" t="n"/>
      <c r="AZ547" s="20" t="inlineStr">
        <is>
          <t>IC Anionen</t>
        </is>
      </c>
      <c r="BA547" s="20" t="inlineStr">
        <is>
          <t>None</t>
        </is>
      </c>
      <c r="BB547" s="17" t="n"/>
      <c r="BC547" s="16" t="n"/>
      <c r="BD547" s="20" t="inlineStr">
        <is>
          <t>IC Kationen</t>
        </is>
      </c>
      <c r="BE547" s="20" t="inlineStr">
        <is>
          <t>None</t>
        </is>
      </c>
      <c r="BF547" s="17" t="n"/>
      <c r="BG547" s="16" t="n"/>
      <c r="BH547" s="20" t="inlineStr">
        <is>
          <t>IC Kationen</t>
        </is>
      </c>
      <c r="BI547" s="20" t="inlineStr">
        <is>
          <t>None</t>
        </is>
      </c>
      <c r="BJ547" s="17" t="n"/>
      <c r="BK547" s="16" t="n"/>
      <c r="BL547" s="20" t="inlineStr">
        <is>
          <t>IC Kationen</t>
        </is>
      </c>
      <c r="BM547" s="20" t="inlineStr">
        <is>
          <t>None</t>
        </is>
      </c>
      <c r="BN547" s="17" t="n"/>
      <c r="BO547" s="16" t="n"/>
      <c r="BP547" s="20" t="inlineStr">
        <is>
          <t>IC Kationen</t>
        </is>
      </c>
      <c r="BQ547" s="20" t="inlineStr">
        <is>
          <t>None</t>
        </is>
      </c>
      <c r="BR547" s="17" t="n"/>
      <c r="BS547" s="16" t="n"/>
      <c r="BT547" s="20" t="inlineStr">
        <is>
          <t>IC Kationen</t>
        </is>
      </c>
      <c r="BU547" s="20" t="inlineStr">
        <is>
          <t>None</t>
        </is>
      </c>
      <c r="BV547" s="17" t="n"/>
      <c r="BW547" s="16" t="n"/>
      <c r="BX547" s="20" t="n"/>
      <c r="BY547" s="20" t="inlineStr">
        <is>
          <t>None</t>
        </is>
      </c>
      <c r="BZ547" s="17" t="n"/>
      <c r="CA547" s="16" t="n"/>
      <c r="CB547" s="20" t="n"/>
      <c r="CC547" s="20" t="inlineStr">
        <is>
          <t>None</t>
        </is>
      </c>
      <c r="CD547" s="17" t="n"/>
      <c r="CE547" s="16" t="n"/>
      <c r="CF547" s="20" t="n"/>
      <c r="CG547" s="20" t="inlineStr">
        <is>
          <t>None</t>
        </is>
      </c>
      <c r="CH547" s="17" t="n"/>
      <c r="CI547" s="16" t="n"/>
      <c r="CJ547" s="20" t="n"/>
      <c r="CK547" s="20" t="inlineStr">
        <is>
          <t>None</t>
        </is>
      </c>
      <c r="CL547" s="17" t="n"/>
      <c r="CM547" s="16" t="n"/>
      <c r="CN547" s="20" t="inlineStr">
        <is>
          <t>SOP 45-34</t>
        </is>
      </c>
      <c r="CO547" s="20" t="inlineStr">
        <is>
          <t>None</t>
        </is>
      </c>
      <c r="CP547" s="17" t="n"/>
      <c r="CQ547" s="16" t="n"/>
      <c r="CR547" s="20" t="n"/>
      <c r="CS547" s="20" t="inlineStr">
        <is>
          <t>None</t>
        </is>
      </c>
      <c r="CT547" s="17" t="n"/>
      <c r="CU547" s="16" t="n"/>
      <c r="CV547" s="20" t="n"/>
      <c r="CW547" s="20" t="inlineStr">
        <is>
          <t>None</t>
        </is>
      </c>
      <c r="CX547" s="17" t="n"/>
      <c r="CY547" s="16" t="n"/>
      <c r="CZ547" s="20" t="inlineStr">
        <is>
          <t>WTW Multimeter 3430 with FDO 925</t>
        </is>
      </c>
      <c r="DA547" s="20" t="inlineStr">
        <is>
          <t>None</t>
        </is>
      </c>
      <c r="DB547" s="17" t="n"/>
      <c r="DC547" s="16" t="n"/>
      <c r="DD547" s="20" t="n"/>
      <c r="DE547" s="20" t="inlineStr">
        <is>
          <t>None</t>
        </is>
      </c>
      <c r="DF547" s="17" t="n"/>
      <c r="DG547" s="16" t="n"/>
      <c r="DH547" s="20" t="inlineStr">
        <is>
          <t>SOP 45-09</t>
        </is>
      </c>
      <c r="DI547" s="20" t="inlineStr">
        <is>
          <t>None</t>
        </is>
      </c>
      <c r="DJ547" s="17" t="n"/>
      <c r="DK547" s="16" t="n"/>
      <c r="DL547" s="20" t="inlineStr">
        <is>
          <t>SOP 45-09 (SOP muss noch angepasst werden für VSS)</t>
        </is>
      </c>
      <c r="DM547" s="20" t="inlineStr">
        <is>
          <t>None</t>
        </is>
      </c>
      <c r="DN547" s="17" t="n"/>
      <c r="DO547" s="16" t="n"/>
      <c r="DP547" s="20" t="inlineStr">
        <is>
          <t>IC Organic Acids</t>
        </is>
      </c>
      <c r="DQ547" s="20" t="inlineStr">
        <is>
          <t>None</t>
        </is>
      </c>
      <c r="DR547" s="17" t="n"/>
      <c r="DS547" s="16" t="n"/>
      <c r="DT547" s="20" t="inlineStr">
        <is>
          <t>IC Organic Acids</t>
        </is>
      </c>
      <c r="DU547" s="20" t="inlineStr">
        <is>
          <t>None</t>
        </is>
      </c>
      <c r="DV547" s="17" t="n"/>
      <c r="DW547" s="16" t="n"/>
      <c r="DX547" s="20" t="inlineStr">
        <is>
          <t>IC Organic Acids</t>
        </is>
      </c>
      <c r="DY547" s="20" t="inlineStr">
        <is>
          <t>None</t>
        </is>
      </c>
      <c r="DZ547" s="17" t="n"/>
      <c r="EA547" s="16" t="n"/>
      <c r="EB547" s="20" t="inlineStr">
        <is>
          <t>IC Organic Acids</t>
        </is>
      </c>
      <c r="EC547" s="20" t="inlineStr">
        <is>
          <t>None</t>
        </is>
      </c>
      <c r="ED547" s="17" t="n"/>
      <c r="EE547" s="16" t="n"/>
      <c r="EF547" s="20" t="inlineStr">
        <is>
          <t>IC Organic Acids</t>
        </is>
      </c>
      <c r="EG547" s="20" t="inlineStr">
        <is>
          <t>None</t>
        </is>
      </c>
      <c r="EH547" s="17" t="n"/>
      <c r="EI547" s="16" t="n"/>
      <c r="EJ547" s="20" t="inlineStr">
        <is>
          <t>IC Organic Acids</t>
        </is>
      </c>
      <c r="EK547" s="20" t="inlineStr">
        <is>
          <t>None</t>
        </is>
      </c>
      <c r="EL547" s="17" t="n"/>
      <c r="EM547" s="16" t="n"/>
      <c r="EN547" s="20" t="inlineStr">
        <is>
          <t>IC Organic Acids</t>
        </is>
      </c>
      <c r="EO547" s="20" t="inlineStr">
        <is>
          <t>None</t>
        </is>
      </c>
      <c r="EP547" s="17" t="n"/>
      <c r="EQ547" s="16" t="n"/>
      <c r="ER547" s="20" t="inlineStr">
        <is>
          <t>IC Organic Acids</t>
        </is>
      </c>
      <c r="ES547" s="20" t="inlineStr">
        <is>
          <t>None</t>
        </is>
      </c>
      <c r="ET547" s="17" t="n"/>
      <c r="EU547" s="16" t="n"/>
      <c r="EV547" s="20" t="inlineStr">
        <is>
          <t>LC-MS</t>
        </is>
      </c>
      <c r="EW547" s="20" t="inlineStr">
        <is>
          <t>None</t>
        </is>
      </c>
      <c r="EX547" s="17" t="n"/>
      <c r="EY547" s="21" t="n"/>
      <c r="EZ547">
        <f>CONCATENATE(A547,B547)</f>
        <v/>
      </c>
      <c r="FA547">
        <f>CONCATENATE(SamplesX!A547,SamplesX!B547)</f>
        <v/>
      </c>
      <c r="FC547">
        <f>MATCH(EZ547,FA1:FA1008,0)</f>
        <v/>
      </c>
    </row>
    <row r="548">
      <c r="A548" s="16" t="n"/>
      <c r="B548" s="17" t="n"/>
      <c r="C548" s="10">
        <f>IF(ISNUMBER(FC548),INDIRECT("SamplesX!C"&amp;FC548),IF(ISNUMBER(FD548),INDIRECT("SamplesY!C"&amp;FD548),""))</f>
        <v/>
      </c>
      <c r="D548" s="12">
        <f>IF(ISNUMBER(FC548),INDIRECT("SamplesX!D"&amp;FC548),IF(ISNUMBER(FD548),INDIRECT("SamplesY!D"&amp;FD548),""))</f>
        <v/>
      </c>
      <c r="E548" s="12">
        <f>IF(ISNUMBER(FC548),INDIRECT("SamplesX!E"&amp;FC548),IF(ISNUMBER(FD548),INDIRECT("SamplesY!E"&amp;FD548),""))</f>
        <v/>
      </c>
      <c r="F548" s="11">
        <f>IF(ISNUMBER(FC548),INDIRECT("SamplesX!F"&amp;FC548),IF(ISNUMBER(FD548),INDIRECT("SamplesY!F"&amp;FD548),""))</f>
        <v/>
      </c>
      <c r="G548" s="18">
        <f>IF(ISNUMBER(FC548),INDIRECT("SamplesX!G"&amp;FC548),IF(ISNUMBER(FD548),INDIRECT("SamplesY!G"&amp;FD548),""))</f>
        <v/>
      </c>
      <c r="H548" s="19">
        <f>IF(ISNUMBER(FC548),INDIRECT("SamplesX!H"&amp;FC548),IF(ISNUMBER(FD548),INDIRECT("SamplesY!H"&amp;FD548),""))</f>
        <v/>
      </c>
      <c r="I548" s="16" t="n"/>
      <c r="J548" s="16" t="n"/>
      <c r="K548" s="16" t="n"/>
      <c r="L548" s="20" t="n"/>
      <c r="M548" s="20" t="inlineStr">
        <is>
          <t>None</t>
        </is>
      </c>
      <c r="N548" s="17" t="n"/>
      <c r="O548" s="16" t="n"/>
      <c r="P548" s="20" t="inlineStr">
        <is>
          <t>Shimadzu TOC-L</t>
        </is>
      </c>
      <c r="Q548" s="20" t="inlineStr">
        <is>
          <t>None</t>
        </is>
      </c>
      <c r="R548" s="17" t="n"/>
      <c r="S548" s="16" t="n"/>
      <c r="T548" s="20" t="inlineStr">
        <is>
          <t>Shimadzu TOC-L</t>
        </is>
      </c>
      <c r="U548" s="20" t="inlineStr">
        <is>
          <t>None</t>
        </is>
      </c>
      <c r="V548" s="17" t="n"/>
      <c r="W548" s="16" t="n"/>
      <c r="X548" s="20" t="n"/>
      <c r="Y548" s="20" t="inlineStr">
        <is>
          <t>None</t>
        </is>
      </c>
      <c r="Z548" s="17" t="n"/>
      <c r="AA548" s="16" t="n"/>
      <c r="AB548" s="20" t="n"/>
      <c r="AC548" s="20" t="inlineStr">
        <is>
          <t>None</t>
        </is>
      </c>
      <c r="AD548" s="17" t="n"/>
      <c r="AE548" s="16" t="n"/>
      <c r="AF548" s="20" t="inlineStr">
        <is>
          <t>IC Anionen</t>
        </is>
      </c>
      <c r="AG548" s="20" t="inlineStr">
        <is>
          <t>None</t>
        </is>
      </c>
      <c r="AH548" s="17" t="n"/>
      <c r="AI548" s="16" t="n"/>
      <c r="AJ548" s="20" t="n"/>
      <c r="AK548" s="20" t="inlineStr">
        <is>
          <t>None</t>
        </is>
      </c>
      <c r="AL548" s="17" t="n"/>
      <c r="AM548" s="16" t="n"/>
      <c r="AN548" s="20" t="inlineStr">
        <is>
          <t>IC Anionen</t>
        </is>
      </c>
      <c r="AO548" s="20" t="inlineStr">
        <is>
          <t>None</t>
        </is>
      </c>
      <c r="AP548" s="17" t="n"/>
      <c r="AQ548" s="16" t="n"/>
      <c r="AR548" s="20" t="n"/>
      <c r="AS548" s="20" t="inlineStr">
        <is>
          <t>None</t>
        </is>
      </c>
      <c r="AT548" s="17" t="n"/>
      <c r="AU548" s="16" t="n"/>
      <c r="AV548" s="20" t="n"/>
      <c r="AW548" s="20" t="inlineStr">
        <is>
          <t>None</t>
        </is>
      </c>
      <c r="AX548" s="17" t="n"/>
      <c r="AY548" s="16" t="n"/>
      <c r="AZ548" s="20" t="inlineStr">
        <is>
          <t>IC Anionen</t>
        </is>
      </c>
      <c r="BA548" s="20" t="inlineStr">
        <is>
          <t>None</t>
        </is>
      </c>
      <c r="BB548" s="17" t="n"/>
      <c r="BC548" s="16" t="n"/>
      <c r="BD548" s="20" t="inlineStr">
        <is>
          <t>IC Kationen</t>
        </is>
      </c>
      <c r="BE548" s="20" t="inlineStr">
        <is>
          <t>None</t>
        </is>
      </c>
      <c r="BF548" s="17" t="n"/>
      <c r="BG548" s="16" t="n"/>
      <c r="BH548" s="20" t="inlineStr">
        <is>
          <t>IC Kationen</t>
        </is>
      </c>
      <c r="BI548" s="20" t="inlineStr">
        <is>
          <t>None</t>
        </is>
      </c>
      <c r="BJ548" s="17" t="n"/>
      <c r="BK548" s="16" t="n"/>
      <c r="BL548" s="20" t="inlineStr">
        <is>
          <t>IC Kationen</t>
        </is>
      </c>
      <c r="BM548" s="20" t="inlineStr">
        <is>
          <t>None</t>
        </is>
      </c>
      <c r="BN548" s="17" t="n"/>
      <c r="BO548" s="16" t="n"/>
      <c r="BP548" s="20" t="inlineStr">
        <is>
          <t>IC Kationen</t>
        </is>
      </c>
      <c r="BQ548" s="20" t="inlineStr">
        <is>
          <t>None</t>
        </is>
      </c>
      <c r="BR548" s="17" t="n"/>
      <c r="BS548" s="16" t="n"/>
      <c r="BT548" s="20" t="inlineStr">
        <is>
          <t>IC Kationen</t>
        </is>
      </c>
      <c r="BU548" s="20" t="inlineStr">
        <is>
          <t>None</t>
        </is>
      </c>
      <c r="BV548" s="17" t="n"/>
      <c r="BW548" s="16" t="n"/>
      <c r="BX548" s="20" t="n"/>
      <c r="BY548" s="20" t="inlineStr">
        <is>
          <t>None</t>
        </is>
      </c>
      <c r="BZ548" s="17" t="n"/>
      <c r="CA548" s="16" t="n"/>
      <c r="CB548" s="20" t="n"/>
      <c r="CC548" s="20" t="inlineStr">
        <is>
          <t>None</t>
        </is>
      </c>
      <c r="CD548" s="17" t="n"/>
      <c r="CE548" s="16" t="n"/>
      <c r="CF548" s="20" t="n"/>
      <c r="CG548" s="20" t="inlineStr">
        <is>
          <t>None</t>
        </is>
      </c>
      <c r="CH548" s="17" t="n"/>
      <c r="CI548" s="16" t="n"/>
      <c r="CJ548" s="20" t="n"/>
      <c r="CK548" s="20" t="inlineStr">
        <is>
          <t>None</t>
        </is>
      </c>
      <c r="CL548" s="17" t="n"/>
      <c r="CM548" s="16" t="n"/>
      <c r="CN548" s="20" t="inlineStr">
        <is>
          <t>SOP 45-34</t>
        </is>
      </c>
      <c r="CO548" s="20" t="inlineStr">
        <is>
          <t>None</t>
        </is>
      </c>
      <c r="CP548" s="17" t="n"/>
      <c r="CQ548" s="16" t="n"/>
      <c r="CR548" s="20" t="n"/>
      <c r="CS548" s="20" t="inlineStr">
        <is>
          <t>None</t>
        </is>
      </c>
      <c r="CT548" s="17" t="n"/>
      <c r="CU548" s="16" t="n"/>
      <c r="CV548" s="20" t="n"/>
      <c r="CW548" s="20" t="inlineStr">
        <is>
          <t>None</t>
        </is>
      </c>
      <c r="CX548" s="17" t="n"/>
      <c r="CY548" s="16" t="n"/>
      <c r="CZ548" s="20" t="inlineStr">
        <is>
          <t>WTW Multimeter 3430 with FDO 925</t>
        </is>
      </c>
      <c r="DA548" s="20" t="inlineStr">
        <is>
          <t>None</t>
        </is>
      </c>
      <c r="DB548" s="17" t="n"/>
      <c r="DC548" s="16" t="n"/>
      <c r="DD548" s="20" t="n"/>
      <c r="DE548" s="20" t="inlineStr">
        <is>
          <t>None</t>
        </is>
      </c>
      <c r="DF548" s="17" t="n"/>
      <c r="DG548" s="16" t="n"/>
      <c r="DH548" s="20" t="inlineStr">
        <is>
          <t>SOP 45-09</t>
        </is>
      </c>
      <c r="DI548" s="20" t="inlineStr">
        <is>
          <t>None</t>
        </is>
      </c>
      <c r="DJ548" s="17" t="n"/>
      <c r="DK548" s="16" t="n"/>
      <c r="DL548" s="20" t="inlineStr">
        <is>
          <t>SOP 45-09 (SOP muss noch angepasst werden für VSS)</t>
        </is>
      </c>
      <c r="DM548" s="20" t="inlineStr">
        <is>
          <t>None</t>
        </is>
      </c>
      <c r="DN548" s="17" t="n"/>
      <c r="DO548" s="16" t="n"/>
      <c r="DP548" s="20" t="inlineStr">
        <is>
          <t>IC Organic Acids</t>
        </is>
      </c>
      <c r="DQ548" s="20" t="inlineStr">
        <is>
          <t>None</t>
        </is>
      </c>
      <c r="DR548" s="17" t="n"/>
      <c r="DS548" s="16" t="n"/>
      <c r="DT548" s="20" t="inlineStr">
        <is>
          <t>IC Organic Acids</t>
        </is>
      </c>
      <c r="DU548" s="20" t="inlineStr">
        <is>
          <t>None</t>
        </is>
      </c>
      <c r="DV548" s="17" t="n"/>
      <c r="DW548" s="16" t="n"/>
      <c r="DX548" s="20" t="inlineStr">
        <is>
          <t>IC Organic Acids</t>
        </is>
      </c>
      <c r="DY548" s="20" t="inlineStr">
        <is>
          <t>None</t>
        </is>
      </c>
      <c r="DZ548" s="17" t="n"/>
      <c r="EA548" s="16" t="n"/>
      <c r="EB548" s="20" t="inlineStr">
        <is>
          <t>IC Organic Acids</t>
        </is>
      </c>
      <c r="EC548" s="20" t="inlineStr">
        <is>
          <t>None</t>
        </is>
      </c>
      <c r="ED548" s="17" t="n"/>
      <c r="EE548" s="16" t="n"/>
      <c r="EF548" s="20" t="inlineStr">
        <is>
          <t>IC Organic Acids</t>
        </is>
      </c>
      <c r="EG548" s="20" t="inlineStr">
        <is>
          <t>None</t>
        </is>
      </c>
      <c r="EH548" s="17" t="n"/>
      <c r="EI548" s="16" t="n"/>
      <c r="EJ548" s="20" t="inlineStr">
        <is>
          <t>IC Organic Acids</t>
        </is>
      </c>
      <c r="EK548" s="20" t="inlineStr">
        <is>
          <t>None</t>
        </is>
      </c>
      <c r="EL548" s="17" t="n"/>
      <c r="EM548" s="16" t="n"/>
      <c r="EN548" s="20" t="inlineStr">
        <is>
          <t>IC Organic Acids</t>
        </is>
      </c>
      <c r="EO548" s="20" t="inlineStr">
        <is>
          <t>None</t>
        </is>
      </c>
      <c r="EP548" s="17" t="n"/>
      <c r="EQ548" s="16" t="n"/>
      <c r="ER548" s="20" t="inlineStr">
        <is>
          <t>IC Organic Acids</t>
        </is>
      </c>
      <c r="ES548" s="20" t="inlineStr">
        <is>
          <t>None</t>
        </is>
      </c>
      <c r="ET548" s="17" t="n"/>
      <c r="EU548" s="16" t="n"/>
      <c r="EV548" s="20" t="inlineStr">
        <is>
          <t>LC-MS</t>
        </is>
      </c>
      <c r="EW548" s="20" t="inlineStr">
        <is>
          <t>None</t>
        </is>
      </c>
      <c r="EX548" s="17" t="n"/>
      <c r="EY548" s="21" t="n"/>
      <c r="EZ548">
        <f>CONCATENATE(A548,B548)</f>
        <v/>
      </c>
      <c r="FA548">
        <f>CONCATENATE(SamplesX!A548,SamplesX!B548)</f>
        <v/>
      </c>
      <c r="FC548">
        <f>MATCH(EZ548,FA1:FA1008,0)</f>
        <v/>
      </c>
    </row>
    <row r="549">
      <c r="A549" s="16" t="n"/>
      <c r="B549" s="17" t="n"/>
      <c r="C549" s="10">
        <f>IF(ISNUMBER(FC549),INDIRECT("SamplesX!C"&amp;FC549),IF(ISNUMBER(FD549),INDIRECT("SamplesY!C"&amp;FD549),""))</f>
        <v/>
      </c>
      <c r="D549" s="12">
        <f>IF(ISNUMBER(FC549),INDIRECT("SamplesX!D"&amp;FC549),IF(ISNUMBER(FD549),INDIRECT("SamplesY!D"&amp;FD549),""))</f>
        <v/>
      </c>
      <c r="E549" s="12">
        <f>IF(ISNUMBER(FC549),INDIRECT("SamplesX!E"&amp;FC549),IF(ISNUMBER(FD549),INDIRECT("SamplesY!E"&amp;FD549),""))</f>
        <v/>
      </c>
      <c r="F549" s="11">
        <f>IF(ISNUMBER(FC549),INDIRECT("SamplesX!F"&amp;FC549),IF(ISNUMBER(FD549),INDIRECT("SamplesY!F"&amp;FD549),""))</f>
        <v/>
      </c>
      <c r="G549" s="18">
        <f>IF(ISNUMBER(FC549),INDIRECT("SamplesX!G"&amp;FC549),IF(ISNUMBER(FD549),INDIRECT("SamplesY!G"&amp;FD549),""))</f>
        <v/>
      </c>
      <c r="H549" s="19">
        <f>IF(ISNUMBER(FC549),INDIRECT("SamplesX!H"&amp;FC549),IF(ISNUMBER(FD549),INDIRECT("SamplesY!H"&amp;FD549),""))</f>
        <v/>
      </c>
      <c r="I549" s="16" t="n"/>
      <c r="J549" s="16" t="n"/>
      <c r="K549" s="16" t="n"/>
      <c r="L549" s="20" t="n"/>
      <c r="M549" s="20" t="inlineStr">
        <is>
          <t>None</t>
        </is>
      </c>
      <c r="N549" s="17" t="n"/>
      <c r="O549" s="16" t="n"/>
      <c r="P549" s="20" t="inlineStr">
        <is>
          <t>Shimadzu TOC-L</t>
        </is>
      </c>
      <c r="Q549" s="20" t="inlineStr">
        <is>
          <t>None</t>
        </is>
      </c>
      <c r="R549" s="17" t="n"/>
      <c r="S549" s="16" t="n"/>
      <c r="T549" s="20" t="inlineStr">
        <is>
          <t>Shimadzu TOC-L</t>
        </is>
      </c>
      <c r="U549" s="20" t="inlineStr">
        <is>
          <t>None</t>
        </is>
      </c>
      <c r="V549" s="17" t="n"/>
      <c r="W549" s="16" t="n"/>
      <c r="X549" s="20" t="n"/>
      <c r="Y549" s="20" t="inlineStr">
        <is>
          <t>None</t>
        </is>
      </c>
      <c r="Z549" s="17" t="n"/>
      <c r="AA549" s="16" t="n"/>
      <c r="AB549" s="20" t="n"/>
      <c r="AC549" s="20" t="inlineStr">
        <is>
          <t>None</t>
        </is>
      </c>
      <c r="AD549" s="17" t="n"/>
      <c r="AE549" s="16" t="n"/>
      <c r="AF549" s="20" t="inlineStr">
        <is>
          <t>IC Anionen</t>
        </is>
      </c>
      <c r="AG549" s="20" t="inlineStr">
        <is>
          <t>None</t>
        </is>
      </c>
      <c r="AH549" s="17" t="n"/>
      <c r="AI549" s="16" t="n"/>
      <c r="AJ549" s="20" t="n"/>
      <c r="AK549" s="20" t="inlineStr">
        <is>
          <t>None</t>
        </is>
      </c>
      <c r="AL549" s="17" t="n"/>
      <c r="AM549" s="16" t="n"/>
      <c r="AN549" s="20" t="inlineStr">
        <is>
          <t>IC Anionen</t>
        </is>
      </c>
      <c r="AO549" s="20" t="inlineStr">
        <is>
          <t>None</t>
        </is>
      </c>
      <c r="AP549" s="17" t="n"/>
      <c r="AQ549" s="16" t="n"/>
      <c r="AR549" s="20" t="n"/>
      <c r="AS549" s="20" t="inlineStr">
        <is>
          <t>None</t>
        </is>
      </c>
      <c r="AT549" s="17" t="n"/>
      <c r="AU549" s="16" t="n"/>
      <c r="AV549" s="20" t="n"/>
      <c r="AW549" s="20" t="inlineStr">
        <is>
          <t>None</t>
        </is>
      </c>
      <c r="AX549" s="17" t="n"/>
      <c r="AY549" s="16" t="n"/>
      <c r="AZ549" s="20" t="inlineStr">
        <is>
          <t>IC Anionen</t>
        </is>
      </c>
      <c r="BA549" s="20" t="inlineStr">
        <is>
          <t>None</t>
        </is>
      </c>
      <c r="BB549" s="17" t="n"/>
      <c r="BC549" s="16" t="n"/>
      <c r="BD549" s="20" t="inlineStr">
        <is>
          <t>IC Kationen</t>
        </is>
      </c>
      <c r="BE549" s="20" t="inlineStr">
        <is>
          <t>None</t>
        </is>
      </c>
      <c r="BF549" s="17" t="n"/>
      <c r="BG549" s="16" t="n"/>
      <c r="BH549" s="20" t="inlineStr">
        <is>
          <t>IC Kationen</t>
        </is>
      </c>
      <c r="BI549" s="20" t="inlineStr">
        <is>
          <t>None</t>
        </is>
      </c>
      <c r="BJ549" s="17" t="n"/>
      <c r="BK549" s="16" t="n"/>
      <c r="BL549" s="20" t="inlineStr">
        <is>
          <t>IC Kationen</t>
        </is>
      </c>
      <c r="BM549" s="20" t="inlineStr">
        <is>
          <t>None</t>
        </is>
      </c>
      <c r="BN549" s="17" t="n"/>
      <c r="BO549" s="16" t="n"/>
      <c r="BP549" s="20" t="inlineStr">
        <is>
          <t>IC Kationen</t>
        </is>
      </c>
      <c r="BQ549" s="20" t="inlineStr">
        <is>
          <t>None</t>
        </is>
      </c>
      <c r="BR549" s="17" t="n"/>
      <c r="BS549" s="16" t="n"/>
      <c r="BT549" s="20" t="inlineStr">
        <is>
          <t>IC Kationen</t>
        </is>
      </c>
      <c r="BU549" s="20" t="inlineStr">
        <is>
          <t>None</t>
        </is>
      </c>
      <c r="BV549" s="17" t="n"/>
      <c r="BW549" s="16" t="n"/>
      <c r="BX549" s="20" t="n"/>
      <c r="BY549" s="20" t="inlineStr">
        <is>
          <t>None</t>
        </is>
      </c>
      <c r="BZ549" s="17" t="n"/>
      <c r="CA549" s="16" t="n"/>
      <c r="CB549" s="20" t="n"/>
      <c r="CC549" s="20" t="inlineStr">
        <is>
          <t>None</t>
        </is>
      </c>
      <c r="CD549" s="17" t="n"/>
      <c r="CE549" s="16" t="n"/>
      <c r="CF549" s="20" t="n"/>
      <c r="CG549" s="20" t="inlineStr">
        <is>
          <t>None</t>
        </is>
      </c>
      <c r="CH549" s="17" t="n"/>
      <c r="CI549" s="16" t="n"/>
      <c r="CJ549" s="20" t="n"/>
      <c r="CK549" s="20" t="inlineStr">
        <is>
          <t>None</t>
        </is>
      </c>
      <c r="CL549" s="17" t="n"/>
      <c r="CM549" s="16" t="n"/>
      <c r="CN549" s="20" t="inlineStr">
        <is>
          <t>SOP 45-34</t>
        </is>
      </c>
      <c r="CO549" s="20" t="inlineStr">
        <is>
          <t>None</t>
        </is>
      </c>
      <c r="CP549" s="17" t="n"/>
      <c r="CQ549" s="16" t="n"/>
      <c r="CR549" s="20" t="n"/>
      <c r="CS549" s="20" t="inlineStr">
        <is>
          <t>None</t>
        </is>
      </c>
      <c r="CT549" s="17" t="n"/>
      <c r="CU549" s="16" t="n"/>
      <c r="CV549" s="20" t="n"/>
      <c r="CW549" s="20" t="inlineStr">
        <is>
          <t>None</t>
        </is>
      </c>
      <c r="CX549" s="17" t="n"/>
      <c r="CY549" s="16" t="n"/>
      <c r="CZ549" s="20" t="inlineStr">
        <is>
          <t>WTW Multimeter 3430 with FDO 925</t>
        </is>
      </c>
      <c r="DA549" s="20" t="inlineStr">
        <is>
          <t>None</t>
        </is>
      </c>
      <c r="DB549" s="17" t="n"/>
      <c r="DC549" s="16" t="n"/>
      <c r="DD549" s="20" t="n"/>
      <c r="DE549" s="20" t="inlineStr">
        <is>
          <t>None</t>
        </is>
      </c>
      <c r="DF549" s="17" t="n"/>
      <c r="DG549" s="16" t="n"/>
      <c r="DH549" s="20" t="inlineStr">
        <is>
          <t>SOP 45-09</t>
        </is>
      </c>
      <c r="DI549" s="20" t="inlineStr">
        <is>
          <t>None</t>
        </is>
      </c>
      <c r="DJ549" s="17" t="n"/>
      <c r="DK549" s="16" t="n"/>
      <c r="DL549" s="20" t="inlineStr">
        <is>
          <t>SOP 45-09 (SOP muss noch angepasst werden für VSS)</t>
        </is>
      </c>
      <c r="DM549" s="20" t="inlineStr">
        <is>
          <t>None</t>
        </is>
      </c>
      <c r="DN549" s="17" t="n"/>
      <c r="DO549" s="16" t="n"/>
      <c r="DP549" s="20" t="inlineStr">
        <is>
          <t>IC Organic Acids</t>
        </is>
      </c>
      <c r="DQ549" s="20" t="inlineStr">
        <is>
          <t>None</t>
        </is>
      </c>
      <c r="DR549" s="17" t="n"/>
      <c r="DS549" s="16" t="n"/>
      <c r="DT549" s="20" t="inlineStr">
        <is>
          <t>IC Organic Acids</t>
        </is>
      </c>
      <c r="DU549" s="20" t="inlineStr">
        <is>
          <t>None</t>
        </is>
      </c>
      <c r="DV549" s="17" t="n"/>
      <c r="DW549" s="16" t="n"/>
      <c r="DX549" s="20" t="inlineStr">
        <is>
          <t>IC Organic Acids</t>
        </is>
      </c>
      <c r="DY549" s="20" t="inlineStr">
        <is>
          <t>None</t>
        </is>
      </c>
      <c r="DZ549" s="17" t="n"/>
      <c r="EA549" s="16" t="n"/>
      <c r="EB549" s="20" t="inlineStr">
        <is>
          <t>IC Organic Acids</t>
        </is>
      </c>
      <c r="EC549" s="20" t="inlineStr">
        <is>
          <t>None</t>
        </is>
      </c>
      <c r="ED549" s="17" t="n"/>
      <c r="EE549" s="16" t="n"/>
      <c r="EF549" s="20" t="inlineStr">
        <is>
          <t>IC Organic Acids</t>
        </is>
      </c>
      <c r="EG549" s="20" t="inlineStr">
        <is>
          <t>None</t>
        </is>
      </c>
      <c r="EH549" s="17" t="n"/>
      <c r="EI549" s="16" t="n"/>
      <c r="EJ549" s="20" t="inlineStr">
        <is>
          <t>IC Organic Acids</t>
        </is>
      </c>
      <c r="EK549" s="20" t="inlineStr">
        <is>
          <t>None</t>
        </is>
      </c>
      <c r="EL549" s="17" t="n"/>
      <c r="EM549" s="16" t="n"/>
      <c r="EN549" s="20" t="inlineStr">
        <is>
          <t>IC Organic Acids</t>
        </is>
      </c>
      <c r="EO549" s="20" t="inlineStr">
        <is>
          <t>None</t>
        </is>
      </c>
      <c r="EP549" s="17" t="n"/>
      <c r="EQ549" s="16" t="n"/>
      <c r="ER549" s="20" t="inlineStr">
        <is>
          <t>IC Organic Acids</t>
        </is>
      </c>
      <c r="ES549" s="20" t="inlineStr">
        <is>
          <t>None</t>
        </is>
      </c>
      <c r="ET549" s="17" t="n"/>
      <c r="EU549" s="16" t="n"/>
      <c r="EV549" s="20" t="inlineStr">
        <is>
          <t>LC-MS</t>
        </is>
      </c>
      <c r="EW549" s="20" t="inlineStr">
        <is>
          <t>None</t>
        </is>
      </c>
      <c r="EX549" s="17" t="n"/>
      <c r="EY549" s="21" t="n"/>
      <c r="EZ549">
        <f>CONCATENATE(A549,B549)</f>
        <v/>
      </c>
      <c r="FA549">
        <f>CONCATENATE(SamplesX!A549,SamplesX!B549)</f>
        <v/>
      </c>
      <c r="FC549">
        <f>MATCH(EZ549,FA1:FA1008,0)</f>
        <v/>
      </c>
    </row>
    <row r="550">
      <c r="A550" s="16" t="n"/>
      <c r="B550" s="17" t="n"/>
      <c r="C550" s="10">
        <f>IF(ISNUMBER(FC550),INDIRECT("SamplesX!C"&amp;FC550),IF(ISNUMBER(FD550),INDIRECT("SamplesY!C"&amp;FD550),""))</f>
        <v/>
      </c>
      <c r="D550" s="12">
        <f>IF(ISNUMBER(FC550),INDIRECT("SamplesX!D"&amp;FC550),IF(ISNUMBER(FD550),INDIRECT("SamplesY!D"&amp;FD550),""))</f>
        <v/>
      </c>
      <c r="E550" s="12">
        <f>IF(ISNUMBER(FC550),INDIRECT("SamplesX!E"&amp;FC550),IF(ISNUMBER(FD550),INDIRECT("SamplesY!E"&amp;FD550),""))</f>
        <v/>
      </c>
      <c r="F550" s="11">
        <f>IF(ISNUMBER(FC550),INDIRECT("SamplesX!F"&amp;FC550),IF(ISNUMBER(FD550),INDIRECT("SamplesY!F"&amp;FD550),""))</f>
        <v/>
      </c>
      <c r="G550" s="18">
        <f>IF(ISNUMBER(FC550),INDIRECT("SamplesX!G"&amp;FC550),IF(ISNUMBER(FD550),INDIRECT("SamplesY!G"&amp;FD550),""))</f>
        <v/>
      </c>
      <c r="H550" s="19">
        <f>IF(ISNUMBER(FC550),INDIRECT("SamplesX!H"&amp;FC550),IF(ISNUMBER(FD550),INDIRECT("SamplesY!H"&amp;FD550),""))</f>
        <v/>
      </c>
      <c r="I550" s="16" t="n"/>
      <c r="J550" s="16" t="n"/>
      <c r="K550" s="16" t="n"/>
      <c r="L550" s="20" t="n"/>
      <c r="M550" s="20" t="inlineStr">
        <is>
          <t>None</t>
        </is>
      </c>
      <c r="N550" s="17" t="n"/>
      <c r="O550" s="16" t="n"/>
      <c r="P550" s="20" t="inlineStr">
        <is>
          <t>Shimadzu TOC-L</t>
        </is>
      </c>
      <c r="Q550" s="20" t="inlineStr">
        <is>
          <t>None</t>
        </is>
      </c>
      <c r="R550" s="17" t="n"/>
      <c r="S550" s="16" t="n"/>
      <c r="T550" s="20" t="inlineStr">
        <is>
          <t>Shimadzu TOC-L</t>
        </is>
      </c>
      <c r="U550" s="20" t="inlineStr">
        <is>
          <t>None</t>
        </is>
      </c>
      <c r="V550" s="17" t="n"/>
      <c r="W550" s="16" t="n"/>
      <c r="X550" s="20" t="n"/>
      <c r="Y550" s="20" t="inlineStr">
        <is>
          <t>None</t>
        </is>
      </c>
      <c r="Z550" s="17" t="n"/>
      <c r="AA550" s="16" t="n"/>
      <c r="AB550" s="20" t="n"/>
      <c r="AC550" s="20" t="inlineStr">
        <is>
          <t>None</t>
        </is>
      </c>
      <c r="AD550" s="17" t="n"/>
      <c r="AE550" s="16" t="n"/>
      <c r="AF550" s="20" t="inlineStr">
        <is>
          <t>IC Anionen</t>
        </is>
      </c>
      <c r="AG550" s="20" t="inlineStr">
        <is>
          <t>None</t>
        </is>
      </c>
      <c r="AH550" s="17" t="n"/>
      <c r="AI550" s="16" t="n"/>
      <c r="AJ550" s="20" t="n"/>
      <c r="AK550" s="20" t="inlineStr">
        <is>
          <t>None</t>
        </is>
      </c>
      <c r="AL550" s="17" t="n"/>
      <c r="AM550" s="16" t="n"/>
      <c r="AN550" s="20" t="inlineStr">
        <is>
          <t>IC Anionen</t>
        </is>
      </c>
      <c r="AO550" s="20" t="inlineStr">
        <is>
          <t>None</t>
        </is>
      </c>
      <c r="AP550" s="17" t="n"/>
      <c r="AQ550" s="16" t="n"/>
      <c r="AR550" s="20" t="n"/>
      <c r="AS550" s="20" t="inlineStr">
        <is>
          <t>None</t>
        </is>
      </c>
      <c r="AT550" s="17" t="n"/>
      <c r="AU550" s="16" t="n"/>
      <c r="AV550" s="20" t="n"/>
      <c r="AW550" s="20" t="inlineStr">
        <is>
          <t>None</t>
        </is>
      </c>
      <c r="AX550" s="17" t="n"/>
      <c r="AY550" s="16" t="n"/>
      <c r="AZ550" s="20" t="inlineStr">
        <is>
          <t>IC Anionen</t>
        </is>
      </c>
      <c r="BA550" s="20" t="inlineStr">
        <is>
          <t>None</t>
        </is>
      </c>
      <c r="BB550" s="17" t="n"/>
      <c r="BC550" s="16" t="n"/>
      <c r="BD550" s="20" t="inlineStr">
        <is>
          <t>IC Kationen</t>
        </is>
      </c>
      <c r="BE550" s="20" t="inlineStr">
        <is>
          <t>None</t>
        </is>
      </c>
      <c r="BF550" s="17" t="n"/>
      <c r="BG550" s="16" t="n"/>
      <c r="BH550" s="20" t="inlineStr">
        <is>
          <t>IC Kationen</t>
        </is>
      </c>
      <c r="BI550" s="20" t="inlineStr">
        <is>
          <t>None</t>
        </is>
      </c>
      <c r="BJ550" s="17" t="n"/>
      <c r="BK550" s="16" t="n"/>
      <c r="BL550" s="20" t="inlineStr">
        <is>
          <t>IC Kationen</t>
        </is>
      </c>
      <c r="BM550" s="20" t="inlineStr">
        <is>
          <t>None</t>
        </is>
      </c>
      <c r="BN550" s="17" t="n"/>
      <c r="BO550" s="16" t="n"/>
      <c r="BP550" s="20" t="inlineStr">
        <is>
          <t>IC Kationen</t>
        </is>
      </c>
      <c r="BQ550" s="20" t="inlineStr">
        <is>
          <t>None</t>
        </is>
      </c>
      <c r="BR550" s="17" t="n"/>
      <c r="BS550" s="16" t="n"/>
      <c r="BT550" s="20" t="inlineStr">
        <is>
          <t>IC Kationen</t>
        </is>
      </c>
      <c r="BU550" s="20" t="inlineStr">
        <is>
          <t>None</t>
        </is>
      </c>
      <c r="BV550" s="17" t="n"/>
      <c r="BW550" s="16" t="n"/>
      <c r="BX550" s="20" t="n"/>
      <c r="BY550" s="20" t="inlineStr">
        <is>
          <t>None</t>
        </is>
      </c>
      <c r="BZ550" s="17" t="n"/>
      <c r="CA550" s="16" t="n"/>
      <c r="CB550" s="20" t="n"/>
      <c r="CC550" s="20" t="inlineStr">
        <is>
          <t>None</t>
        </is>
      </c>
      <c r="CD550" s="17" t="n"/>
      <c r="CE550" s="16" t="n"/>
      <c r="CF550" s="20" t="n"/>
      <c r="CG550" s="20" t="inlineStr">
        <is>
          <t>None</t>
        </is>
      </c>
      <c r="CH550" s="17" t="n"/>
      <c r="CI550" s="16" t="n"/>
      <c r="CJ550" s="20" t="n"/>
      <c r="CK550" s="20" t="inlineStr">
        <is>
          <t>None</t>
        </is>
      </c>
      <c r="CL550" s="17" t="n"/>
      <c r="CM550" s="16" t="n"/>
      <c r="CN550" s="20" t="inlineStr">
        <is>
          <t>SOP 45-34</t>
        </is>
      </c>
      <c r="CO550" s="20" t="inlineStr">
        <is>
          <t>None</t>
        </is>
      </c>
      <c r="CP550" s="17" t="n"/>
      <c r="CQ550" s="16" t="n"/>
      <c r="CR550" s="20" t="n"/>
      <c r="CS550" s="20" t="inlineStr">
        <is>
          <t>None</t>
        </is>
      </c>
      <c r="CT550" s="17" t="n"/>
      <c r="CU550" s="16" t="n"/>
      <c r="CV550" s="20" t="n"/>
      <c r="CW550" s="20" t="inlineStr">
        <is>
          <t>None</t>
        </is>
      </c>
      <c r="CX550" s="17" t="n"/>
      <c r="CY550" s="16" t="n"/>
      <c r="CZ550" s="20" t="inlineStr">
        <is>
          <t>WTW Multimeter 3430 with FDO 925</t>
        </is>
      </c>
      <c r="DA550" s="20" t="inlineStr">
        <is>
          <t>None</t>
        </is>
      </c>
      <c r="DB550" s="17" t="n"/>
      <c r="DC550" s="16" t="n"/>
      <c r="DD550" s="20" t="n"/>
      <c r="DE550" s="20" t="inlineStr">
        <is>
          <t>None</t>
        </is>
      </c>
      <c r="DF550" s="17" t="n"/>
      <c r="DG550" s="16" t="n"/>
      <c r="DH550" s="20" t="inlineStr">
        <is>
          <t>SOP 45-09</t>
        </is>
      </c>
      <c r="DI550" s="20" t="inlineStr">
        <is>
          <t>None</t>
        </is>
      </c>
      <c r="DJ550" s="17" t="n"/>
      <c r="DK550" s="16" t="n"/>
      <c r="DL550" s="20" t="inlineStr">
        <is>
          <t>SOP 45-09 (SOP muss noch angepasst werden für VSS)</t>
        </is>
      </c>
      <c r="DM550" s="20" t="inlineStr">
        <is>
          <t>None</t>
        </is>
      </c>
      <c r="DN550" s="17" t="n"/>
      <c r="DO550" s="16" t="n"/>
      <c r="DP550" s="20" t="inlineStr">
        <is>
          <t>IC Organic Acids</t>
        </is>
      </c>
      <c r="DQ550" s="20" t="inlineStr">
        <is>
          <t>None</t>
        </is>
      </c>
      <c r="DR550" s="17" t="n"/>
      <c r="DS550" s="16" t="n"/>
      <c r="DT550" s="20" t="inlineStr">
        <is>
          <t>IC Organic Acids</t>
        </is>
      </c>
      <c r="DU550" s="20" t="inlineStr">
        <is>
          <t>None</t>
        </is>
      </c>
      <c r="DV550" s="17" t="n"/>
      <c r="DW550" s="16" t="n"/>
      <c r="DX550" s="20" t="inlineStr">
        <is>
          <t>IC Organic Acids</t>
        </is>
      </c>
      <c r="DY550" s="20" t="inlineStr">
        <is>
          <t>None</t>
        </is>
      </c>
      <c r="DZ550" s="17" t="n"/>
      <c r="EA550" s="16" t="n"/>
      <c r="EB550" s="20" t="inlineStr">
        <is>
          <t>IC Organic Acids</t>
        </is>
      </c>
      <c r="EC550" s="20" t="inlineStr">
        <is>
          <t>None</t>
        </is>
      </c>
      <c r="ED550" s="17" t="n"/>
      <c r="EE550" s="16" t="n"/>
      <c r="EF550" s="20" t="inlineStr">
        <is>
          <t>IC Organic Acids</t>
        </is>
      </c>
      <c r="EG550" s="20" t="inlineStr">
        <is>
          <t>None</t>
        </is>
      </c>
      <c r="EH550" s="17" t="n"/>
      <c r="EI550" s="16" t="n"/>
      <c r="EJ550" s="20" t="inlineStr">
        <is>
          <t>IC Organic Acids</t>
        </is>
      </c>
      <c r="EK550" s="20" t="inlineStr">
        <is>
          <t>None</t>
        </is>
      </c>
      <c r="EL550" s="17" t="n"/>
      <c r="EM550" s="16" t="n"/>
      <c r="EN550" s="20" t="inlineStr">
        <is>
          <t>IC Organic Acids</t>
        </is>
      </c>
      <c r="EO550" s="20" t="inlineStr">
        <is>
          <t>None</t>
        </is>
      </c>
      <c r="EP550" s="17" t="n"/>
      <c r="EQ550" s="16" t="n"/>
      <c r="ER550" s="20" t="inlineStr">
        <is>
          <t>IC Organic Acids</t>
        </is>
      </c>
      <c r="ES550" s="20" t="inlineStr">
        <is>
          <t>None</t>
        </is>
      </c>
      <c r="ET550" s="17" t="n"/>
      <c r="EU550" s="16" t="n"/>
      <c r="EV550" s="20" t="inlineStr">
        <is>
          <t>LC-MS</t>
        </is>
      </c>
      <c r="EW550" s="20" t="inlineStr">
        <is>
          <t>None</t>
        </is>
      </c>
      <c r="EX550" s="17" t="n"/>
      <c r="EY550" s="21" t="n"/>
      <c r="EZ550">
        <f>CONCATENATE(A550,B550)</f>
        <v/>
      </c>
      <c r="FA550">
        <f>CONCATENATE(SamplesX!A550,SamplesX!B550)</f>
        <v/>
      </c>
      <c r="FC550">
        <f>MATCH(EZ550,FA1:FA1008,0)</f>
        <v/>
      </c>
    </row>
    <row r="551">
      <c r="A551" s="16" t="n"/>
      <c r="B551" s="17" t="n"/>
      <c r="C551" s="10">
        <f>IF(ISNUMBER(FC551),INDIRECT("SamplesX!C"&amp;FC551),IF(ISNUMBER(FD551),INDIRECT("SamplesY!C"&amp;FD551),""))</f>
        <v/>
      </c>
      <c r="D551" s="12">
        <f>IF(ISNUMBER(FC551),INDIRECT("SamplesX!D"&amp;FC551),IF(ISNUMBER(FD551),INDIRECT("SamplesY!D"&amp;FD551),""))</f>
        <v/>
      </c>
      <c r="E551" s="12">
        <f>IF(ISNUMBER(FC551),INDIRECT("SamplesX!E"&amp;FC551),IF(ISNUMBER(FD551),INDIRECT("SamplesY!E"&amp;FD551),""))</f>
        <v/>
      </c>
      <c r="F551" s="11">
        <f>IF(ISNUMBER(FC551),INDIRECT("SamplesX!F"&amp;FC551),IF(ISNUMBER(FD551),INDIRECT("SamplesY!F"&amp;FD551),""))</f>
        <v/>
      </c>
      <c r="G551" s="18">
        <f>IF(ISNUMBER(FC551),INDIRECT("SamplesX!G"&amp;FC551),IF(ISNUMBER(FD551),INDIRECT("SamplesY!G"&amp;FD551),""))</f>
        <v/>
      </c>
      <c r="H551" s="19">
        <f>IF(ISNUMBER(FC551),INDIRECT("SamplesX!H"&amp;FC551),IF(ISNUMBER(FD551),INDIRECT("SamplesY!H"&amp;FD551),""))</f>
        <v/>
      </c>
      <c r="I551" s="16" t="n"/>
      <c r="J551" s="16" t="n"/>
      <c r="K551" s="16" t="n"/>
      <c r="L551" s="20" t="n"/>
      <c r="M551" s="20" t="inlineStr">
        <is>
          <t>None</t>
        </is>
      </c>
      <c r="N551" s="17" t="n"/>
      <c r="O551" s="16" t="n"/>
      <c r="P551" s="20" t="inlineStr">
        <is>
          <t>Shimadzu TOC-L</t>
        </is>
      </c>
      <c r="Q551" s="20" t="inlineStr">
        <is>
          <t>None</t>
        </is>
      </c>
      <c r="R551" s="17" t="n"/>
      <c r="S551" s="16" t="n"/>
      <c r="T551" s="20" t="inlineStr">
        <is>
          <t>Shimadzu TOC-L</t>
        </is>
      </c>
      <c r="U551" s="20" t="inlineStr">
        <is>
          <t>None</t>
        </is>
      </c>
      <c r="V551" s="17" t="n"/>
      <c r="W551" s="16" t="n"/>
      <c r="X551" s="20" t="n"/>
      <c r="Y551" s="20" t="inlineStr">
        <is>
          <t>None</t>
        </is>
      </c>
      <c r="Z551" s="17" t="n"/>
      <c r="AA551" s="16" t="n"/>
      <c r="AB551" s="20" t="n"/>
      <c r="AC551" s="20" t="inlineStr">
        <is>
          <t>None</t>
        </is>
      </c>
      <c r="AD551" s="17" t="n"/>
      <c r="AE551" s="16" t="n"/>
      <c r="AF551" s="20" t="inlineStr">
        <is>
          <t>IC Anionen</t>
        </is>
      </c>
      <c r="AG551" s="20" t="inlineStr">
        <is>
          <t>None</t>
        </is>
      </c>
      <c r="AH551" s="17" t="n"/>
      <c r="AI551" s="16" t="n"/>
      <c r="AJ551" s="20" t="n"/>
      <c r="AK551" s="20" t="inlineStr">
        <is>
          <t>None</t>
        </is>
      </c>
      <c r="AL551" s="17" t="n"/>
      <c r="AM551" s="16" t="n"/>
      <c r="AN551" s="20" t="inlineStr">
        <is>
          <t>IC Anionen</t>
        </is>
      </c>
      <c r="AO551" s="20" t="inlineStr">
        <is>
          <t>None</t>
        </is>
      </c>
      <c r="AP551" s="17" t="n"/>
      <c r="AQ551" s="16" t="n"/>
      <c r="AR551" s="20" t="n"/>
      <c r="AS551" s="20" t="inlineStr">
        <is>
          <t>None</t>
        </is>
      </c>
      <c r="AT551" s="17" t="n"/>
      <c r="AU551" s="16" t="n"/>
      <c r="AV551" s="20" t="n"/>
      <c r="AW551" s="20" t="inlineStr">
        <is>
          <t>None</t>
        </is>
      </c>
      <c r="AX551" s="17" t="n"/>
      <c r="AY551" s="16" t="n"/>
      <c r="AZ551" s="20" t="inlineStr">
        <is>
          <t>IC Anionen</t>
        </is>
      </c>
      <c r="BA551" s="20" t="inlineStr">
        <is>
          <t>None</t>
        </is>
      </c>
      <c r="BB551" s="17" t="n"/>
      <c r="BC551" s="16" t="n"/>
      <c r="BD551" s="20" t="inlineStr">
        <is>
          <t>IC Kationen</t>
        </is>
      </c>
      <c r="BE551" s="20" t="inlineStr">
        <is>
          <t>None</t>
        </is>
      </c>
      <c r="BF551" s="17" t="n"/>
      <c r="BG551" s="16" t="n"/>
      <c r="BH551" s="20" t="inlineStr">
        <is>
          <t>IC Kationen</t>
        </is>
      </c>
      <c r="BI551" s="20" t="inlineStr">
        <is>
          <t>None</t>
        </is>
      </c>
      <c r="BJ551" s="17" t="n"/>
      <c r="BK551" s="16" t="n"/>
      <c r="BL551" s="20" t="inlineStr">
        <is>
          <t>IC Kationen</t>
        </is>
      </c>
      <c r="BM551" s="20" t="inlineStr">
        <is>
          <t>None</t>
        </is>
      </c>
      <c r="BN551" s="17" t="n"/>
      <c r="BO551" s="16" t="n"/>
      <c r="BP551" s="20" t="inlineStr">
        <is>
          <t>IC Kationen</t>
        </is>
      </c>
      <c r="BQ551" s="20" t="inlineStr">
        <is>
          <t>None</t>
        </is>
      </c>
      <c r="BR551" s="17" t="n"/>
      <c r="BS551" s="16" t="n"/>
      <c r="BT551" s="20" t="inlineStr">
        <is>
          <t>IC Kationen</t>
        </is>
      </c>
      <c r="BU551" s="20" t="inlineStr">
        <is>
          <t>None</t>
        </is>
      </c>
      <c r="BV551" s="17" t="n"/>
      <c r="BW551" s="16" t="n"/>
      <c r="BX551" s="20" t="n"/>
      <c r="BY551" s="20" t="inlineStr">
        <is>
          <t>None</t>
        </is>
      </c>
      <c r="BZ551" s="17" t="n"/>
      <c r="CA551" s="16" t="n"/>
      <c r="CB551" s="20" t="n"/>
      <c r="CC551" s="20" t="inlineStr">
        <is>
          <t>None</t>
        </is>
      </c>
      <c r="CD551" s="17" t="n"/>
      <c r="CE551" s="16" t="n"/>
      <c r="CF551" s="20" t="n"/>
      <c r="CG551" s="20" t="inlineStr">
        <is>
          <t>None</t>
        </is>
      </c>
      <c r="CH551" s="17" t="n"/>
      <c r="CI551" s="16" t="n"/>
      <c r="CJ551" s="20" t="n"/>
      <c r="CK551" s="20" t="inlineStr">
        <is>
          <t>None</t>
        </is>
      </c>
      <c r="CL551" s="17" t="n"/>
      <c r="CM551" s="16" t="n"/>
      <c r="CN551" s="20" t="inlineStr">
        <is>
          <t>SOP 45-34</t>
        </is>
      </c>
      <c r="CO551" s="20" t="inlineStr">
        <is>
          <t>None</t>
        </is>
      </c>
      <c r="CP551" s="17" t="n"/>
      <c r="CQ551" s="16" t="n"/>
      <c r="CR551" s="20" t="n"/>
      <c r="CS551" s="20" t="inlineStr">
        <is>
          <t>None</t>
        </is>
      </c>
      <c r="CT551" s="17" t="n"/>
      <c r="CU551" s="16" t="n"/>
      <c r="CV551" s="20" t="n"/>
      <c r="CW551" s="20" t="inlineStr">
        <is>
          <t>None</t>
        </is>
      </c>
      <c r="CX551" s="17" t="n"/>
      <c r="CY551" s="16" t="n"/>
      <c r="CZ551" s="20" t="inlineStr">
        <is>
          <t>WTW Multimeter 3430 with FDO 925</t>
        </is>
      </c>
      <c r="DA551" s="20" t="inlineStr">
        <is>
          <t>None</t>
        </is>
      </c>
      <c r="DB551" s="17" t="n"/>
      <c r="DC551" s="16" t="n"/>
      <c r="DD551" s="20" t="n"/>
      <c r="DE551" s="20" t="inlineStr">
        <is>
          <t>None</t>
        </is>
      </c>
      <c r="DF551" s="17" t="n"/>
      <c r="DG551" s="16" t="n"/>
      <c r="DH551" s="20" t="inlineStr">
        <is>
          <t>SOP 45-09</t>
        </is>
      </c>
      <c r="DI551" s="20" t="inlineStr">
        <is>
          <t>None</t>
        </is>
      </c>
      <c r="DJ551" s="17" t="n"/>
      <c r="DK551" s="16" t="n"/>
      <c r="DL551" s="20" t="inlineStr">
        <is>
          <t>SOP 45-09 (SOP muss noch angepasst werden für VSS)</t>
        </is>
      </c>
      <c r="DM551" s="20" t="inlineStr">
        <is>
          <t>None</t>
        </is>
      </c>
      <c r="DN551" s="17" t="n"/>
      <c r="DO551" s="16" t="n"/>
      <c r="DP551" s="20" t="inlineStr">
        <is>
          <t>IC Organic Acids</t>
        </is>
      </c>
      <c r="DQ551" s="20" t="inlineStr">
        <is>
          <t>None</t>
        </is>
      </c>
      <c r="DR551" s="17" t="n"/>
      <c r="DS551" s="16" t="n"/>
      <c r="DT551" s="20" t="inlineStr">
        <is>
          <t>IC Organic Acids</t>
        </is>
      </c>
      <c r="DU551" s="20" t="inlineStr">
        <is>
          <t>None</t>
        </is>
      </c>
      <c r="DV551" s="17" t="n"/>
      <c r="DW551" s="16" t="n"/>
      <c r="DX551" s="20" t="inlineStr">
        <is>
          <t>IC Organic Acids</t>
        </is>
      </c>
      <c r="DY551" s="20" t="inlineStr">
        <is>
          <t>None</t>
        </is>
      </c>
      <c r="DZ551" s="17" t="n"/>
      <c r="EA551" s="16" t="n"/>
      <c r="EB551" s="20" t="inlineStr">
        <is>
          <t>IC Organic Acids</t>
        </is>
      </c>
      <c r="EC551" s="20" t="inlineStr">
        <is>
          <t>None</t>
        </is>
      </c>
      <c r="ED551" s="17" t="n"/>
      <c r="EE551" s="16" t="n"/>
      <c r="EF551" s="20" t="inlineStr">
        <is>
          <t>IC Organic Acids</t>
        </is>
      </c>
      <c r="EG551" s="20" t="inlineStr">
        <is>
          <t>None</t>
        </is>
      </c>
      <c r="EH551" s="17" t="n"/>
      <c r="EI551" s="16" t="n"/>
      <c r="EJ551" s="20" t="inlineStr">
        <is>
          <t>IC Organic Acids</t>
        </is>
      </c>
      <c r="EK551" s="20" t="inlineStr">
        <is>
          <t>None</t>
        </is>
      </c>
      <c r="EL551" s="17" t="n"/>
      <c r="EM551" s="16" t="n"/>
      <c r="EN551" s="20" t="inlineStr">
        <is>
          <t>IC Organic Acids</t>
        </is>
      </c>
      <c r="EO551" s="20" t="inlineStr">
        <is>
          <t>None</t>
        </is>
      </c>
      <c r="EP551" s="17" t="n"/>
      <c r="EQ551" s="16" t="n"/>
      <c r="ER551" s="20" t="inlineStr">
        <is>
          <t>IC Organic Acids</t>
        </is>
      </c>
      <c r="ES551" s="20" t="inlineStr">
        <is>
          <t>None</t>
        </is>
      </c>
      <c r="ET551" s="17" t="n"/>
      <c r="EU551" s="16" t="n"/>
      <c r="EV551" s="20" t="inlineStr">
        <is>
          <t>LC-MS</t>
        </is>
      </c>
      <c r="EW551" s="20" t="inlineStr">
        <is>
          <t>None</t>
        </is>
      </c>
      <c r="EX551" s="17" t="n"/>
      <c r="EY551" s="21" t="n"/>
      <c r="EZ551">
        <f>CONCATENATE(A551,B551)</f>
        <v/>
      </c>
      <c r="FA551">
        <f>CONCATENATE(SamplesX!A551,SamplesX!B551)</f>
        <v/>
      </c>
      <c r="FC551">
        <f>MATCH(EZ551,FA1:FA1008,0)</f>
        <v/>
      </c>
    </row>
    <row r="552">
      <c r="A552" s="16" t="n"/>
      <c r="B552" s="17" t="n"/>
      <c r="C552" s="10">
        <f>IF(ISNUMBER(FC552),INDIRECT("SamplesX!C"&amp;FC552),IF(ISNUMBER(FD552),INDIRECT("SamplesY!C"&amp;FD552),""))</f>
        <v/>
      </c>
      <c r="D552" s="12">
        <f>IF(ISNUMBER(FC552),INDIRECT("SamplesX!D"&amp;FC552),IF(ISNUMBER(FD552),INDIRECT("SamplesY!D"&amp;FD552),""))</f>
        <v/>
      </c>
      <c r="E552" s="12">
        <f>IF(ISNUMBER(FC552),INDIRECT("SamplesX!E"&amp;FC552),IF(ISNUMBER(FD552),INDIRECT("SamplesY!E"&amp;FD552),""))</f>
        <v/>
      </c>
      <c r="F552" s="11">
        <f>IF(ISNUMBER(FC552),INDIRECT("SamplesX!F"&amp;FC552),IF(ISNUMBER(FD552),INDIRECT("SamplesY!F"&amp;FD552),""))</f>
        <v/>
      </c>
      <c r="G552" s="18">
        <f>IF(ISNUMBER(FC552),INDIRECT("SamplesX!G"&amp;FC552),IF(ISNUMBER(FD552),INDIRECT("SamplesY!G"&amp;FD552),""))</f>
        <v/>
      </c>
      <c r="H552" s="19">
        <f>IF(ISNUMBER(FC552),INDIRECT("SamplesX!H"&amp;FC552),IF(ISNUMBER(FD552),INDIRECT("SamplesY!H"&amp;FD552),""))</f>
        <v/>
      </c>
      <c r="I552" s="16" t="n"/>
      <c r="J552" s="16" t="n"/>
      <c r="K552" s="16" t="n"/>
      <c r="L552" s="20" t="n"/>
      <c r="M552" s="20" t="inlineStr">
        <is>
          <t>None</t>
        </is>
      </c>
      <c r="N552" s="17" t="n"/>
      <c r="O552" s="16" t="n"/>
      <c r="P552" s="20" t="inlineStr">
        <is>
          <t>Shimadzu TOC-L</t>
        </is>
      </c>
      <c r="Q552" s="20" t="inlineStr">
        <is>
          <t>None</t>
        </is>
      </c>
      <c r="R552" s="17" t="n"/>
      <c r="S552" s="16" t="n"/>
      <c r="T552" s="20" t="inlineStr">
        <is>
          <t>Shimadzu TOC-L</t>
        </is>
      </c>
      <c r="U552" s="20" t="inlineStr">
        <is>
          <t>None</t>
        </is>
      </c>
      <c r="V552" s="17" t="n"/>
      <c r="W552" s="16" t="n"/>
      <c r="X552" s="20" t="n"/>
      <c r="Y552" s="20" t="inlineStr">
        <is>
          <t>None</t>
        </is>
      </c>
      <c r="Z552" s="17" t="n"/>
      <c r="AA552" s="16" t="n"/>
      <c r="AB552" s="20" t="n"/>
      <c r="AC552" s="20" t="inlineStr">
        <is>
          <t>None</t>
        </is>
      </c>
      <c r="AD552" s="17" t="n"/>
      <c r="AE552" s="16" t="n"/>
      <c r="AF552" s="20" t="inlineStr">
        <is>
          <t>IC Anionen</t>
        </is>
      </c>
      <c r="AG552" s="20" t="inlineStr">
        <is>
          <t>None</t>
        </is>
      </c>
      <c r="AH552" s="17" t="n"/>
      <c r="AI552" s="16" t="n"/>
      <c r="AJ552" s="20" t="n"/>
      <c r="AK552" s="20" t="inlineStr">
        <is>
          <t>None</t>
        </is>
      </c>
      <c r="AL552" s="17" t="n"/>
      <c r="AM552" s="16" t="n"/>
      <c r="AN552" s="20" t="inlineStr">
        <is>
          <t>IC Anionen</t>
        </is>
      </c>
      <c r="AO552" s="20" t="inlineStr">
        <is>
          <t>None</t>
        </is>
      </c>
      <c r="AP552" s="17" t="n"/>
      <c r="AQ552" s="16" t="n"/>
      <c r="AR552" s="20" t="n"/>
      <c r="AS552" s="20" t="inlineStr">
        <is>
          <t>None</t>
        </is>
      </c>
      <c r="AT552" s="17" t="n"/>
      <c r="AU552" s="16" t="n"/>
      <c r="AV552" s="20" t="n"/>
      <c r="AW552" s="20" t="inlineStr">
        <is>
          <t>None</t>
        </is>
      </c>
      <c r="AX552" s="17" t="n"/>
      <c r="AY552" s="16" t="n"/>
      <c r="AZ552" s="20" t="inlineStr">
        <is>
          <t>IC Anionen</t>
        </is>
      </c>
      <c r="BA552" s="20" t="inlineStr">
        <is>
          <t>None</t>
        </is>
      </c>
      <c r="BB552" s="17" t="n"/>
      <c r="BC552" s="16" t="n"/>
      <c r="BD552" s="20" t="inlineStr">
        <is>
          <t>IC Kationen</t>
        </is>
      </c>
      <c r="BE552" s="20" t="inlineStr">
        <is>
          <t>None</t>
        </is>
      </c>
      <c r="BF552" s="17" t="n"/>
      <c r="BG552" s="16" t="n"/>
      <c r="BH552" s="20" t="inlineStr">
        <is>
          <t>IC Kationen</t>
        </is>
      </c>
      <c r="BI552" s="20" t="inlineStr">
        <is>
          <t>None</t>
        </is>
      </c>
      <c r="BJ552" s="17" t="n"/>
      <c r="BK552" s="16" t="n"/>
      <c r="BL552" s="20" t="inlineStr">
        <is>
          <t>IC Kationen</t>
        </is>
      </c>
      <c r="BM552" s="20" t="inlineStr">
        <is>
          <t>None</t>
        </is>
      </c>
      <c r="BN552" s="17" t="n"/>
      <c r="BO552" s="16" t="n"/>
      <c r="BP552" s="20" t="inlineStr">
        <is>
          <t>IC Kationen</t>
        </is>
      </c>
      <c r="BQ552" s="20" t="inlineStr">
        <is>
          <t>None</t>
        </is>
      </c>
      <c r="BR552" s="17" t="n"/>
      <c r="BS552" s="16" t="n"/>
      <c r="BT552" s="20" t="inlineStr">
        <is>
          <t>IC Kationen</t>
        </is>
      </c>
      <c r="BU552" s="20" t="inlineStr">
        <is>
          <t>None</t>
        </is>
      </c>
      <c r="BV552" s="17" t="n"/>
      <c r="BW552" s="16" t="n"/>
      <c r="BX552" s="20" t="n"/>
      <c r="BY552" s="20" t="inlineStr">
        <is>
          <t>None</t>
        </is>
      </c>
      <c r="BZ552" s="17" t="n"/>
      <c r="CA552" s="16" t="n"/>
      <c r="CB552" s="20" t="n"/>
      <c r="CC552" s="20" t="inlineStr">
        <is>
          <t>None</t>
        </is>
      </c>
      <c r="CD552" s="17" t="n"/>
      <c r="CE552" s="16" t="n"/>
      <c r="CF552" s="20" t="n"/>
      <c r="CG552" s="20" t="inlineStr">
        <is>
          <t>None</t>
        </is>
      </c>
      <c r="CH552" s="17" t="n"/>
      <c r="CI552" s="16" t="n"/>
      <c r="CJ552" s="20" t="n"/>
      <c r="CK552" s="20" t="inlineStr">
        <is>
          <t>None</t>
        </is>
      </c>
      <c r="CL552" s="17" t="n"/>
      <c r="CM552" s="16" t="n"/>
      <c r="CN552" s="20" t="inlineStr">
        <is>
          <t>SOP 45-34</t>
        </is>
      </c>
      <c r="CO552" s="20" t="inlineStr">
        <is>
          <t>None</t>
        </is>
      </c>
      <c r="CP552" s="17" t="n"/>
      <c r="CQ552" s="16" t="n"/>
      <c r="CR552" s="20" t="n"/>
      <c r="CS552" s="20" t="inlineStr">
        <is>
          <t>None</t>
        </is>
      </c>
      <c r="CT552" s="17" t="n"/>
      <c r="CU552" s="16" t="n"/>
      <c r="CV552" s="20" t="n"/>
      <c r="CW552" s="20" t="inlineStr">
        <is>
          <t>None</t>
        </is>
      </c>
      <c r="CX552" s="17" t="n"/>
      <c r="CY552" s="16" t="n"/>
      <c r="CZ552" s="20" t="inlineStr">
        <is>
          <t>WTW Multimeter 3430 with FDO 925</t>
        </is>
      </c>
      <c r="DA552" s="20" t="inlineStr">
        <is>
          <t>None</t>
        </is>
      </c>
      <c r="DB552" s="17" t="n"/>
      <c r="DC552" s="16" t="n"/>
      <c r="DD552" s="20" t="n"/>
      <c r="DE552" s="20" t="inlineStr">
        <is>
          <t>None</t>
        </is>
      </c>
      <c r="DF552" s="17" t="n"/>
      <c r="DG552" s="16" t="n"/>
      <c r="DH552" s="20" t="inlineStr">
        <is>
          <t>SOP 45-09</t>
        </is>
      </c>
      <c r="DI552" s="20" t="inlineStr">
        <is>
          <t>None</t>
        </is>
      </c>
      <c r="DJ552" s="17" t="n"/>
      <c r="DK552" s="16" t="n"/>
      <c r="DL552" s="20" t="inlineStr">
        <is>
          <t>SOP 45-09 (SOP muss noch angepasst werden für VSS)</t>
        </is>
      </c>
      <c r="DM552" s="20" t="inlineStr">
        <is>
          <t>None</t>
        </is>
      </c>
      <c r="DN552" s="17" t="n"/>
      <c r="DO552" s="16" t="n"/>
      <c r="DP552" s="20" t="inlineStr">
        <is>
          <t>IC Organic Acids</t>
        </is>
      </c>
      <c r="DQ552" s="20" t="inlineStr">
        <is>
          <t>None</t>
        </is>
      </c>
      <c r="DR552" s="17" t="n"/>
      <c r="DS552" s="16" t="n"/>
      <c r="DT552" s="20" t="inlineStr">
        <is>
          <t>IC Organic Acids</t>
        </is>
      </c>
      <c r="DU552" s="20" t="inlineStr">
        <is>
          <t>None</t>
        </is>
      </c>
      <c r="DV552" s="17" t="n"/>
      <c r="DW552" s="16" t="n"/>
      <c r="DX552" s="20" t="inlineStr">
        <is>
          <t>IC Organic Acids</t>
        </is>
      </c>
      <c r="DY552" s="20" t="inlineStr">
        <is>
          <t>None</t>
        </is>
      </c>
      <c r="DZ552" s="17" t="n"/>
      <c r="EA552" s="16" t="n"/>
      <c r="EB552" s="20" t="inlineStr">
        <is>
          <t>IC Organic Acids</t>
        </is>
      </c>
      <c r="EC552" s="20" t="inlineStr">
        <is>
          <t>None</t>
        </is>
      </c>
      <c r="ED552" s="17" t="n"/>
      <c r="EE552" s="16" t="n"/>
      <c r="EF552" s="20" t="inlineStr">
        <is>
          <t>IC Organic Acids</t>
        </is>
      </c>
      <c r="EG552" s="20" t="inlineStr">
        <is>
          <t>None</t>
        </is>
      </c>
      <c r="EH552" s="17" t="n"/>
      <c r="EI552" s="16" t="n"/>
      <c r="EJ552" s="20" t="inlineStr">
        <is>
          <t>IC Organic Acids</t>
        </is>
      </c>
      <c r="EK552" s="20" t="inlineStr">
        <is>
          <t>None</t>
        </is>
      </c>
      <c r="EL552" s="17" t="n"/>
      <c r="EM552" s="16" t="n"/>
      <c r="EN552" s="20" t="inlineStr">
        <is>
          <t>IC Organic Acids</t>
        </is>
      </c>
      <c r="EO552" s="20" t="inlineStr">
        <is>
          <t>None</t>
        </is>
      </c>
      <c r="EP552" s="17" t="n"/>
      <c r="EQ552" s="16" t="n"/>
      <c r="ER552" s="20" t="inlineStr">
        <is>
          <t>IC Organic Acids</t>
        </is>
      </c>
      <c r="ES552" s="20" t="inlineStr">
        <is>
          <t>None</t>
        </is>
      </c>
      <c r="ET552" s="17" t="n"/>
      <c r="EU552" s="16" t="n"/>
      <c r="EV552" s="20" t="inlineStr">
        <is>
          <t>LC-MS</t>
        </is>
      </c>
      <c r="EW552" s="20" t="inlineStr">
        <is>
          <t>None</t>
        </is>
      </c>
      <c r="EX552" s="17" t="n"/>
      <c r="EY552" s="21" t="n"/>
      <c r="EZ552">
        <f>CONCATENATE(A552,B552)</f>
        <v/>
      </c>
      <c r="FA552">
        <f>CONCATENATE(SamplesX!A552,SamplesX!B552)</f>
        <v/>
      </c>
      <c r="FC552">
        <f>MATCH(EZ552,FA1:FA1008,0)</f>
        <v/>
      </c>
    </row>
    <row r="553">
      <c r="A553" s="16" t="n"/>
      <c r="B553" s="17" t="n"/>
      <c r="C553" s="10">
        <f>IF(ISNUMBER(FC553),INDIRECT("SamplesX!C"&amp;FC553),IF(ISNUMBER(FD553),INDIRECT("SamplesY!C"&amp;FD553),""))</f>
        <v/>
      </c>
      <c r="D553" s="12">
        <f>IF(ISNUMBER(FC553),INDIRECT("SamplesX!D"&amp;FC553),IF(ISNUMBER(FD553),INDIRECT("SamplesY!D"&amp;FD553),""))</f>
        <v/>
      </c>
      <c r="E553" s="12">
        <f>IF(ISNUMBER(FC553),INDIRECT("SamplesX!E"&amp;FC553),IF(ISNUMBER(FD553),INDIRECT("SamplesY!E"&amp;FD553),""))</f>
        <v/>
      </c>
      <c r="F553" s="11">
        <f>IF(ISNUMBER(FC553),INDIRECT("SamplesX!F"&amp;FC553),IF(ISNUMBER(FD553),INDIRECT("SamplesY!F"&amp;FD553),""))</f>
        <v/>
      </c>
      <c r="G553" s="18">
        <f>IF(ISNUMBER(FC553),INDIRECT("SamplesX!G"&amp;FC553),IF(ISNUMBER(FD553),INDIRECT("SamplesY!G"&amp;FD553),""))</f>
        <v/>
      </c>
      <c r="H553" s="19">
        <f>IF(ISNUMBER(FC553),INDIRECT("SamplesX!H"&amp;FC553),IF(ISNUMBER(FD553),INDIRECT("SamplesY!H"&amp;FD553),""))</f>
        <v/>
      </c>
      <c r="I553" s="16" t="n"/>
      <c r="J553" s="16" t="n"/>
      <c r="K553" s="16" t="n"/>
      <c r="L553" s="20" t="n"/>
      <c r="M553" s="20" t="inlineStr">
        <is>
          <t>None</t>
        </is>
      </c>
      <c r="N553" s="17" t="n"/>
      <c r="O553" s="16" t="n"/>
      <c r="P553" s="20" t="inlineStr">
        <is>
          <t>Shimadzu TOC-L</t>
        </is>
      </c>
      <c r="Q553" s="20" t="inlineStr">
        <is>
          <t>None</t>
        </is>
      </c>
      <c r="R553" s="17" t="n"/>
      <c r="S553" s="16" t="n"/>
      <c r="T553" s="20" t="inlineStr">
        <is>
          <t>Shimadzu TOC-L</t>
        </is>
      </c>
      <c r="U553" s="20" t="inlineStr">
        <is>
          <t>None</t>
        </is>
      </c>
      <c r="V553" s="17" t="n"/>
      <c r="W553" s="16" t="n"/>
      <c r="X553" s="20" t="n"/>
      <c r="Y553" s="20" t="inlineStr">
        <is>
          <t>None</t>
        </is>
      </c>
      <c r="Z553" s="17" t="n"/>
      <c r="AA553" s="16" t="n"/>
      <c r="AB553" s="20" t="n"/>
      <c r="AC553" s="20" t="inlineStr">
        <is>
          <t>None</t>
        </is>
      </c>
      <c r="AD553" s="17" t="n"/>
      <c r="AE553" s="16" t="n"/>
      <c r="AF553" s="20" t="inlineStr">
        <is>
          <t>IC Anionen</t>
        </is>
      </c>
      <c r="AG553" s="20" t="inlineStr">
        <is>
          <t>None</t>
        </is>
      </c>
      <c r="AH553" s="17" t="n"/>
      <c r="AI553" s="16" t="n"/>
      <c r="AJ553" s="20" t="n"/>
      <c r="AK553" s="20" t="inlineStr">
        <is>
          <t>None</t>
        </is>
      </c>
      <c r="AL553" s="17" t="n"/>
      <c r="AM553" s="16" t="n"/>
      <c r="AN553" s="20" t="inlineStr">
        <is>
          <t>IC Anionen</t>
        </is>
      </c>
      <c r="AO553" s="20" t="inlineStr">
        <is>
          <t>None</t>
        </is>
      </c>
      <c r="AP553" s="17" t="n"/>
      <c r="AQ553" s="16" t="n"/>
      <c r="AR553" s="20" t="n"/>
      <c r="AS553" s="20" t="inlineStr">
        <is>
          <t>None</t>
        </is>
      </c>
      <c r="AT553" s="17" t="n"/>
      <c r="AU553" s="16" t="n"/>
      <c r="AV553" s="20" t="n"/>
      <c r="AW553" s="20" t="inlineStr">
        <is>
          <t>None</t>
        </is>
      </c>
      <c r="AX553" s="17" t="n"/>
      <c r="AY553" s="16" t="n"/>
      <c r="AZ553" s="20" t="inlineStr">
        <is>
          <t>IC Anionen</t>
        </is>
      </c>
      <c r="BA553" s="20" t="inlineStr">
        <is>
          <t>None</t>
        </is>
      </c>
      <c r="BB553" s="17" t="n"/>
      <c r="BC553" s="16" t="n"/>
      <c r="BD553" s="20" t="inlineStr">
        <is>
          <t>IC Kationen</t>
        </is>
      </c>
      <c r="BE553" s="20" t="inlineStr">
        <is>
          <t>None</t>
        </is>
      </c>
      <c r="BF553" s="17" t="n"/>
      <c r="BG553" s="16" t="n"/>
      <c r="BH553" s="20" t="inlineStr">
        <is>
          <t>IC Kationen</t>
        </is>
      </c>
      <c r="BI553" s="20" t="inlineStr">
        <is>
          <t>None</t>
        </is>
      </c>
      <c r="BJ553" s="17" t="n"/>
      <c r="BK553" s="16" t="n"/>
      <c r="BL553" s="20" t="inlineStr">
        <is>
          <t>IC Kationen</t>
        </is>
      </c>
      <c r="BM553" s="20" t="inlineStr">
        <is>
          <t>None</t>
        </is>
      </c>
      <c r="BN553" s="17" t="n"/>
      <c r="BO553" s="16" t="n"/>
      <c r="BP553" s="20" t="inlineStr">
        <is>
          <t>IC Kationen</t>
        </is>
      </c>
      <c r="BQ553" s="20" t="inlineStr">
        <is>
          <t>None</t>
        </is>
      </c>
      <c r="BR553" s="17" t="n"/>
      <c r="BS553" s="16" t="n"/>
      <c r="BT553" s="20" t="inlineStr">
        <is>
          <t>IC Kationen</t>
        </is>
      </c>
      <c r="BU553" s="20" t="inlineStr">
        <is>
          <t>None</t>
        </is>
      </c>
      <c r="BV553" s="17" t="n"/>
      <c r="BW553" s="16" t="n"/>
      <c r="BX553" s="20" t="n"/>
      <c r="BY553" s="20" t="inlineStr">
        <is>
          <t>None</t>
        </is>
      </c>
      <c r="BZ553" s="17" t="n"/>
      <c r="CA553" s="16" t="n"/>
      <c r="CB553" s="20" t="n"/>
      <c r="CC553" s="20" t="inlineStr">
        <is>
          <t>None</t>
        </is>
      </c>
      <c r="CD553" s="17" t="n"/>
      <c r="CE553" s="16" t="n"/>
      <c r="CF553" s="20" t="n"/>
      <c r="CG553" s="20" t="inlineStr">
        <is>
          <t>None</t>
        </is>
      </c>
      <c r="CH553" s="17" t="n"/>
      <c r="CI553" s="16" t="n"/>
      <c r="CJ553" s="20" t="n"/>
      <c r="CK553" s="20" t="inlineStr">
        <is>
          <t>None</t>
        </is>
      </c>
      <c r="CL553" s="17" t="n"/>
      <c r="CM553" s="16" t="n"/>
      <c r="CN553" s="20" t="inlineStr">
        <is>
          <t>SOP 45-34</t>
        </is>
      </c>
      <c r="CO553" s="20" t="inlineStr">
        <is>
          <t>None</t>
        </is>
      </c>
      <c r="CP553" s="17" t="n"/>
      <c r="CQ553" s="16" t="n"/>
      <c r="CR553" s="20" t="n"/>
      <c r="CS553" s="20" t="inlineStr">
        <is>
          <t>None</t>
        </is>
      </c>
      <c r="CT553" s="17" t="n"/>
      <c r="CU553" s="16" t="n"/>
      <c r="CV553" s="20" t="n"/>
      <c r="CW553" s="20" t="inlineStr">
        <is>
          <t>None</t>
        </is>
      </c>
      <c r="CX553" s="17" t="n"/>
      <c r="CY553" s="16" t="n"/>
      <c r="CZ553" s="20" t="inlineStr">
        <is>
          <t>WTW Multimeter 3430 with FDO 925</t>
        </is>
      </c>
      <c r="DA553" s="20" t="inlineStr">
        <is>
          <t>None</t>
        </is>
      </c>
      <c r="DB553" s="17" t="n"/>
      <c r="DC553" s="16" t="n"/>
      <c r="DD553" s="20" t="n"/>
      <c r="DE553" s="20" t="inlineStr">
        <is>
          <t>None</t>
        </is>
      </c>
      <c r="DF553" s="17" t="n"/>
      <c r="DG553" s="16" t="n"/>
      <c r="DH553" s="20" t="inlineStr">
        <is>
          <t>SOP 45-09</t>
        </is>
      </c>
      <c r="DI553" s="20" t="inlineStr">
        <is>
          <t>None</t>
        </is>
      </c>
      <c r="DJ553" s="17" t="n"/>
      <c r="DK553" s="16" t="n"/>
      <c r="DL553" s="20" t="inlineStr">
        <is>
          <t>SOP 45-09 (SOP muss noch angepasst werden für VSS)</t>
        </is>
      </c>
      <c r="DM553" s="20" t="inlineStr">
        <is>
          <t>None</t>
        </is>
      </c>
      <c r="DN553" s="17" t="n"/>
      <c r="DO553" s="16" t="n"/>
      <c r="DP553" s="20" t="inlineStr">
        <is>
          <t>IC Organic Acids</t>
        </is>
      </c>
      <c r="DQ553" s="20" t="inlineStr">
        <is>
          <t>None</t>
        </is>
      </c>
      <c r="DR553" s="17" t="n"/>
      <c r="DS553" s="16" t="n"/>
      <c r="DT553" s="20" t="inlineStr">
        <is>
          <t>IC Organic Acids</t>
        </is>
      </c>
      <c r="DU553" s="20" t="inlineStr">
        <is>
          <t>None</t>
        </is>
      </c>
      <c r="DV553" s="17" t="n"/>
      <c r="DW553" s="16" t="n"/>
      <c r="DX553" s="20" t="inlineStr">
        <is>
          <t>IC Organic Acids</t>
        </is>
      </c>
      <c r="DY553" s="20" t="inlineStr">
        <is>
          <t>None</t>
        </is>
      </c>
      <c r="DZ553" s="17" t="n"/>
      <c r="EA553" s="16" t="n"/>
      <c r="EB553" s="20" t="inlineStr">
        <is>
          <t>IC Organic Acids</t>
        </is>
      </c>
      <c r="EC553" s="20" t="inlineStr">
        <is>
          <t>None</t>
        </is>
      </c>
      <c r="ED553" s="17" t="n"/>
      <c r="EE553" s="16" t="n"/>
      <c r="EF553" s="20" t="inlineStr">
        <is>
          <t>IC Organic Acids</t>
        </is>
      </c>
      <c r="EG553" s="20" t="inlineStr">
        <is>
          <t>None</t>
        </is>
      </c>
      <c r="EH553" s="17" t="n"/>
      <c r="EI553" s="16" t="n"/>
      <c r="EJ553" s="20" t="inlineStr">
        <is>
          <t>IC Organic Acids</t>
        </is>
      </c>
      <c r="EK553" s="20" t="inlineStr">
        <is>
          <t>None</t>
        </is>
      </c>
      <c r="EL553" s="17" t="n"/>
      <c r="EM553" s="16" t="n"/>
      <c r="EN553" s="20" t="inlineStr">
        <is>
          <t>IC Organic Acids</t>
        </is>
      </c>
      <c r="EO553" s="20" t="inlineStr">
        <is>
          <t>None</t>
        </is>
      </c>
      <c r="EP553" s="17" t="n"/>
      <c r="EQ553" s="16" t="n"/>
      <c r="ER553" s="20" t="inlineStr">
        <is>
          <t>IC Organic Acids</t>
        </is>
      </c>
      <c r="ES553" s="20" t="inlineStr">
        <is>
          <t>None</t>
        </is>
      </c>
      <c r="ET553" s="17" t="n"/>
      <c r="EU553" s="16" t="n"/>
      <c r="EV553" s="20" t="inlineStr">
        <is>
          <t>LC-MS</t>
        </is>
      </c>
      <c r="EW553" s="20" t="inlineStr">
        <is>
          <t>None</t>
        </is>
      </c>
      <c r="EX553" s="17" t="n"/>
      <c r="EY553" s="21" t="n"/>
      <c r="EZ553">
        <f>CONCATENATE(A553,B553)</f>
        <v/>
      </c>
      <c r="FA553">
        <f>CONCATENATE(SamplesX!A553,SamplesX!B553)</f>
        <v/>
      </c>
      <c r="FC553">
        <f>MATCH(EZ553,FA1:FA1008,0)</f>
        <v/>
      </c>
    </row>
    <row r="554">
      <c r="A554" s="16" t="n"/>
      <c r="B554" s="17" t="n"/>
      <c r="C554" s="10">
        <f>IF(ISNUMBER(FC554),INDIRECT("SamplesX!C"&amp;FC554),IF(ISNUMBER(FD554),INDIRECT("SamplesY!C"&amp;FD554),""))</f>
        <v/>
      </c>
      <c r="D554" s="12">
        <f>IF(ISNUMBER(FC554),INDIRECT("SamplesX!D"&amp;FC554),IF(ISNUMBER(FD554),INDIRECT("SamplesY!D"&amp;FD554),""))</f>
        <v/>
      </c>
      <c r="E554" s="12">
        <f>IF(ISNUMBER(FC554),INDIRECT("SamplesX!E"&amp;FC554),IF(ISNUMBER(FD554),INDIRECT("SamplesY!E"&amp;FD554),""))</f>
        <v/>
      </c>
      <c r="F554" s="11">
        <f>IF(ISNUMBER(FC554),INDIRECT("SamplesX!F"&amp;FC554),IF(ISNUMBER(FD554),INDIRECT("SamplesY!F"&amp;FD554),""))</f>
        <v/>
      </c>
      <c r="G554" s="18">
        <f>IF(ISNUMBER(FC554),INDIRECT("SamplesX!G"&amp;FC554),IF(ISNUMBER(FD554),INDIRECT("SamplesY!G"&amp;FD554),""))</f>
        <v/>
      </c>
      <c r="H554" s="19">
        <f>IF(ISNUMBER(FC554),INDIRECT("SamplesX!H"&amp;FC554),IF(ISNUMBER(FD554),INDIRECT("SamplesY!H"&amp;FD554),""))</f>
        <v/>
      </c>
      <c r="I554" s="16" t="n"/>
      <c r="J554" s="16" t="n"/>
      <c r="K554" s="16" t="n"/>
      <c r="L554" s="20" t="n"/>
      <c r="M554" s="20" t="inlineStr">
        <is>
          <t>None</t>
        </is>
      </c>
      <c r="N554" s="17" t="n"/>
      <c r="O554" s="16" t="n"/>
      <c r="P554" s="20" t="inlineStr">
        <is>
          <t>Shimadzu TOC-L</t>
        </is>
      </c>
      <c r="Q554" s="20" t="inlineStr">
        <is>
          <t>None</t>
        </is>
      </c>
      <c r="R554" s="17" t="n"/>
      <c r="S554" s="16" t="n"/>
      <c r="T554" s="20" t="inlineStr">
        <is>
          <t>Shimadzu TOC-L</t>
        </is>
      </c>
      <c r="U554" s="20" t="inlineStr">
        <is>
          <t>None</t>
        </is>
      </c>
      <c r="V554" s="17" t="n"/>
      <c r="W554" s="16" t="n"/>
      <c r="X554" s="20" t="n"/>
      <c r="Y554" s="20" t="inlineStr">
        <is>
          <t>None</t>
        </is>
      </c>
      <c r="Z554" s="17" t="n"/>
      <c r="AA554" s="16" t="n"/>
      <c r="AB554" s="20" t="n"/>
      <c r="AC554" s="20" t="inlineStr">
        <is>
          <t>None</t>
        </is>
      </c>
      <c r="AD554" s="17" t="n"/>
      <c r="AE554" s="16" t="n"/>
      <c r="AF554" s="20" t="inlineStr">
        <is>
          <t>IC Anionen</t>
        </is>
      </c>
      <c r="AG554" s="20" t="inlineStr">
        <is>
          <t>None</t>
        </is>
      </c>
      <c r="AH554" s="17" t="n"/>
      <c r="AI554" s="16" t="n"/>
      <c r="AJ554" s="20" t="n"/>
      <c r="AK554" s="20" t="inlineStr">
        <is>
          <t>None</t>
        </is>
      </c>
      <c r="AL554" s="17" t="n"/>
      <c r="AM554" s="16" t="n"/>
      <c r="AN554" s="20" t="inlineStr">
        <is>
          <t>IC Anionen</t>
        </is>
      </c>
      <c r="AO554" s="20" t="inlineStr">
        <is>
          <t>None</t>
        </is>
      </c>
      <c r="AP554" s="17" t="n"/>
      <c r="AQ554" s="16" t="n"/>
      <c r="AR554" s="20" t="n"/>
      <c r="AS554" s="20" t="inlineStr">
        <is>
          <t>None</t>
        </is>
      </c>
      <c r="AT554" s="17" t="n"/>
      <c r="AU554" s="16" t="n"/>
      <c r="AV554" s="20" t="n"/>
      <c r="AW554" s="20" t="inlineStr">
        <is>
          <t>None</t>
        </is>
      </c>
      <c r="AX554" s="17" t="n"/>
      <c r="AY554" s="16" t="n"/>
      <c r="AZ554" s="20" t="inlineStr">
        <is>
          <t>IC Anionen</t>
        </is>
      </c>
      <c r="BA554" s="20" t="inlineStr">
        <is>
          <t>None</t>
        </is>
      </c>
      <c r="BB554" s="17" t="n"/>
      <c r="BC554" s="16" t="n"/>
      <c r="BD554" s="20" t="inlineStr">
        <is>
          <t>IC Kationen</t>
        </is>
      </c>
      <c r="BE554" s="20" t="inlineStr">
        <is>
          <t>None</t>
        </is>
      </c>
      <c r="BF554" s="17" t="n"/>
      <c r="BG554" s="16" t="n"/>
      <c r="BH554" s="20" t="inlineStr">
        <is>
          <t>IC Kationen</t>
        </is>
      </c>
      <c r="BI554" s="20" t="inlineStr">
        <is>
          <t>None</t>
        </is>
      </c>
      <c r="BJ554" s="17" t="n"/>
      <c r="BK554" s="16" t="n"/>
      <c r="BL554" s="20" t="inlineStr">
        <is>
          <t>IC Kationen</t>
        </is>
      </c>
      <c r="BM554" s="20" t="inlineStr">
        <is>
          <t>None</t>
        </is>
      </c>
      <c r="BN554" s="17" t="n"/>
      <c r="BO554" s="16" t="n"/>
      <c r="BP554" s="20" t="inlineStr">
        <is>
          <t>IC Kationen</t>
        </is>
      </c>
      <c r="BQ554" s="20" t="inlineStr">
        <is>
          <t>None</t>
        </is>
      </c>
      <c r="BR554" s="17" t="n"/>
      <c r="BS554" s="16" t="n"/>
      <c r="BT554" s="20" t="inlineStr">
        <is>
          <t>IC Kationen</t>
        </is>
      </c>
      <c r="BU554" s="20" t="inlineStr">
        <is>
          <t>None</t>
        </is>
      </c>
      <c r="BV554" s="17" t="n"/>
      <c r="BW554" s="16" t="n"/>
      <c r="BX554" s="20" t="n"/>
      <c r="BY554" s="20" t="inlineStr">
        <is>
          <t>None</t>
        </is>
      </c>
      <c r="BZ554" s="17" t="n"/>
      <c r="CA554" s="16" t="n"/>
      <c r="CB554" s="20" t="n"/>
      <c r="CC554" s="20" t="inlineStr">
        <is>
          <t>None</t>
        </is>
      </c>
      <c r="CD554" s="17" t="n"/>
      <c r="CE554" s="16" t="n"/>
      <c r="CF554" s="20" t="n"/>
      <c r="CG554" s="20" t="inlineStr">
        <is>
          <t>None</t>
        </is>
      </c>
      <c r="CH554" s="17" t="n"/>
      <c r="CI554" s="16" t="n"/>
      <c r="CJ554" s="20" t="n"/>
      <c r="CK554" s="20" t="inlineStr">
        <is>
          <t>None</t>
        </is>
      </c>
      <c r="CL554" s="17" t="n"/>
      <c r="CM554" s="16" t="n"/>
      <c r="CN554" s="20" t="inlineStr">
        <is>
          <t>SOP 45-34</t>
        </is>
      </c>
      <c r="CO554" s="20" t="inlineStr">
        <is>
          <t>None</t>
        </is>
      </c>
      <c r="CP554" s="17" t="n"/>
      <c r="CQ554" s="16" t="n"/>
      <c r="CR554" s="20" t="n"/>
      <c r="CS554" s="20" t="inlineStr">
        <is>
          <t>None</t>
        </is>
      </c>
      <c r="CT554" s="17" t="n"/>
      <c r="CU554" s="16" t="n"/>
      <c r="CV554" s="20" t="n"/>
      <c r="CW554" s="20" t="inlineStr">
        <is>
          <t>None</t>
        </is>
      </c>
      <c r="CX554" s="17" t="n"/>
      <c r="CY554" s="16" t="n"/>
      <c r="CZ554" s="20" t="inlineStr">
        <is>
          <t>WTW Multimeter 3430 with FDO 925</t>
        </is>
      </c>
      <c r="DA554" s="20" t="inlineStr">
        <is>
          <t>None</t>
        </is>
      </c>
      <c r="DB554" s="17" t="n"/>
      <c r="DC554" s="16" t="n"/>
      <c r="DD554" s="20" t="n"/>
      <c r="DE554" s="20" t="inlineStr">
        <is>
          <t>None</t>
        </is>
      </c>
      <c r="DF554" s="17" t="n"/>
      <c r="DG554" s="16" t="n"/>
      <c r="DH554" s="20" t="inlineStr">
        <is>
          <t>SOP 45-09</t>
        </is>
      </c>
      <c r="DI554" s="20" t="inlineStr">
        <is>
          <t>None</t>
        </is>
      </c>
      <c r="DJ554" s="17" t="n"/>
      <c r="DK554" s="16" t="n"/>
      <c r="DL554" s="20" t="inlineStr">
        <is>
          <t>SOP 45-09 (SOP muss noch angepasst werden für VSS)</t>
        </is>
      </c>
      <c r="DM554" s="20" t="inlineStr">
        <is>
          <t>None</t>
        </is>
      </c>
      <c r="DN554" s="17" t="n"/>
      <c r="DO554" s="16" t="n"/>
      <c r="DP554" s="20" t="inlineStr">
        <is>
          <t>IC Organic Acids</t>
        </is>
      </c>
      <c r="DQ554" s="20" t="inlineStr">
        <is>
          <t>None</t>
        </is>
      </c>
      <c r="DR554" s="17" t="n"/>
      <c r="DS554" s="16" t="n"/>
      <c r="DT554" s="20" t="inlineStr">
        <is>
          <t>IC Organic Acids</t>
        </is>
      </c>
      <c r="DU554" s="20" t="inlineStr">
        <is>
          <t>None</t>
        </is>
      </c>
      <c r="DV554" s="17" t="n"/>
      <c r="DW554" s="16" t="n"/>
      <c r="DX554" s="20" t="inlineStr">
        <is>
          <t>IC Organic Acids</t>
        </is>
      </c>
      <c r="DY554" s="20" t="inlineStr">
        <is>
          <t>None</t>
        </is>
      </c>
      <c r="DZ554" s="17" t="n"/>
      <c r="EA554" s="16" t="n"/>
      <c r="EB554" s="20" t="inlineStr">
        <is>
          <t>IC Organic Acids</t>
        </is>
      </c>
      <c r="EC554" s="20" t="inlineStr">
        <is>
          <t>None</t>
        </is>
      </c>
      <c r="ED554" s="17" t="n"/>
      <c r="EE554" s="16" t="n"/>
      <c r="EF554" s="20" t="inlineStr">
        <is>
          <t>IC Organic Acids</t>
        </is>
      </c>
      <c r="EG554" s="20" t="inlineStr">
        <is>
          <t>None</t>
        </is>
      </c>
      <c r="EH554" s="17" t="n"/>
      <c r="EI554" s="16" t="n"/>
      <c r="EJ554" s="20" t="inlineStr">
        <is>
          <t>IC Organic Acids</t>
        </is>
      </c>
      <c r="EK554" s="20" t="inlineStr">
        <is>
          <t>None</t>
        </is>
      </c>
      <c r="EL554" s="17" t="n"/>
      <c r="EM554" s="16" t="n"/>
      <c r="EN554" s="20" t="inlineStr">
        <is>
          <t>IC Organic Acids</t>
        </is>
      </c>
      <c r="EO554" s="20" t="inlineStr">
        <is>
          <t>None</t>
        </is>
      </c>
      <c r="EP554" s="17" t="n"/>
      <c r="EQ554" s="16" t="n"/>
      <c r="ER554" s="20" t="inlineStr">
        <is>
          <t>IC Organic Acids</t>
        </is>
      </c>
      <c r="ES554" s="20" t="inlineStr">
        <is>
          <t>None</t>
        </is>
      </c>
      <c r="ET554" s="17" t="n"/>
      <c r="EU554" s="16" t="n"/>
      <c r="EV554" s="20" t="inlineStr">
        <is>
          <t>LC-MS</t>
        </is>
      </c>
      <c r="EW554" s="20" t="inlineStr">
        <is>
          <t>None</t>
        </is>
      </c>
      <c r="EX554" s="17" t="n"/>
      <c r="EY554" s="21" t="n"/>
      <c r="EZ554">
        <f>CONCATENATE(A554,B554)</f>
        <v/>
      </c>
      <c r="FA554">
        <f>CONCATENATE(SamplesX!A554,SamplesX!B554)</f>
        <v/>
      </c>
      <c r="FC554">
        <f>MATCH(EZ554,FA1:FA1008,0)</f>
        <v/>
      </c>
    </row>
    <row r="555">
      <c r="A555" s="16" t="n"/>
      <c r="B555" s="17" t="n"/>
      <c r="C555" s="10">
        <f>IF(ISNUMBER(FC555),INDIRECT("SamplesX!C"&amp;FC555),IF(ISNUMBER(FD555),INDIRECT("SamplesY!C"&amp;FD555),""))</f>
        <v/>
      </c>
      <c r="D555" s="12">
        <f>IF(ISNUMBER(FC555),INDIRECT("SamplesX!D"&amp;FC555),IF(ISNUMBER(FD555),INDIRECT("SamplesY!D"&amp;FD555),""))</f>
        <v/>
      </c>
      <c r="E555" s="12">
        <f>IF(ISNUMBER(FC555),INDIRECT("SamplesX!E"&amp;FC555),IF(ISNUMBER(FD555),INDIRECT("SamplesY!E"&amp;FD555),""))</f>
        <v/>
      </c>
      <c r="F555" s="11">
        <f>IF(ISNUMBER(FC555),INDIRECT("SamplesX!F"&amp;FC555),IF(ISNUMBER(FD555),INDIRECT("SamplesY!F"&amp;FD555),""))</f>
        <v/>
      </c>
      <c r="G555" s="18">
        <f>IF(ISNUMBER(FC555),INDIRECT("SamplesX!G"&amp;FC555),IF(ISNUMBER(FD555),INDIRECT("SamplesY!G"&amp;FD555),""))</f>
        <v/>
      </c>
      <c r="H555" s="19">
        <f>IF(ISNUMBER(FC555),INDIRECT("SamplesX!H"&amp;FC555),IF(ISNUMBER(FD555),INDIRECT("SamplesY!H"&amp;FD555),""))</f>
        <v/>
      </c>
      <c r="I555" s="16" t="n"/>
      <c r="J555" s="16" t="n"/>
      <c r="K555" s="16" t="n"/>
      <c r="L555" s="20" t="n"/>
      <c r="M555" s="20" t="inlineStr">
        <is>
          <t>None</t>
        </is>
      </c>
      <c r="N555" s="17" t="n"/>
      <c r="O555" s="16" t="n"/>
      <c r="P555" s="20" t="inlineStr">
        <is>
          <t>Shimadzu TOC-L</t>
        </is>
      </c>
      <c r="Q555" s="20" t="inlineStr">
        <is>
          <t>None</t>
        </is>
      </c>
      <c r="R555" s="17" t="n"/>
      <c r="S555" s="16" t="n"/>
      <c r="T555" s="20" t="inlineStr">
        <is>
          <t>Shimadzu TOC-L</t>
        </is>
      </c>
      <c r="U555" s="20" t="inlineStr">
        <is>
          <t>None</t>
        </is>
      </c>
      <c r="V555" s="17" t="n"/>
      <c r="W555" s="16" t="n"/>
      <c r="X555" s="20" t="n"/>
      <c r="Y555" s="20" t="inlineStr">
        <is>
          <t>None</t>
        </is>
      </c>
      <c r="Z555" s="17" t="n"/>
      <c r="AA555" s="16" t="n"/>
      <c r="AB555" s="20" t="n"/>
      <c r="AC555" s="20" t="inlineStr">
        <is>
          <t>None</t>
        </is>
      </c>
      <c r="AD555" s="17" t="n"/>
      <c r="AE555" s="16" t="n"/>
      <c r="AF555" s="20" t="inlineStr">
        <is>
          <t>IC Anionen</t>
        </is>
      </c>
      <c r="AG555" s="20" t="inlineStr">
        <is>
          <t>None</t>
        </is>
      </c>
      <c r="AH555" s="17" t="n"/>
      <c r="AI555" s="16" t="n"/>
      <c r="AJ555" s="20" t="n"/>
      <c r="AK555" s="20" t="inlineStr">
        <is>
          <t>None</t>
        </is>
      </c>
      <c r="AL555" s="17" t="n"/>
      <c r="AM555" s="16" t="n"/>
      <c r="AN555" s="20" t="inlineStr">
        <is>
          <t>IC Anionen</t>
        </is>
      </c>
      <c r="AO555" s="20" t="inlineStr">
        <is>
          <t>None</t>
        </is>
      </c>
      <c r="AP555" s="17" t="n"/>
      <c r="AQ555" s="16" t="n"/>
      <c r="AR555" s="20" t="n"/>
      <c r="AS555" s="20" t="inlineStr">
        <is>
          <t>None</t>
        </is>
      </c>
      <c r="AT555" s="17" t="n"/>
      <c r="AU555" s="16" t="n"/>
      <c r="AV555" s="20" t="n"/>
      <c r="AW555" s="20" t="inlineStr">
        <is>
          <t>None</t>
        </is>
      </c>
      <c r="AX555" s="17" t="n"/>
      <c r="AY555" s="16" t="n"/>
      <c r="AZ555" s="20" t="inlineStr">
        <is>
          <t>IC Anionen</t>
        </is>
      </c>
      <c r="BA555" s="20" t="inlineStr">
        <is>
          <t>None</t>
        </is>
      </c>
      <c r="BB555" s="17" t="n"/>
      <c r="BC555" s="16" t="n"/>
      <c r="BD555" s="20" t="inlineStr">
        <is>
          <t>IC Kationen</t>
        </is>
      </c>
      <c r="BE555" s="20" t="inlineStr">
        <is>
          <t>None</t>
        </is>
      </c>
      <c r="BF555" s="17" t="n"/>
      <c r="BG555" s="16" t="n"/>
      <c r="BH555" s="20" t="inlineStr">
        <is>
          <t>IC Kationen</t>
        </is>
      </c>
      <c r="BI555" s="20" t="inlineStr">
        <is>
          <t>None</t>
        </is>
      </c>
      <c r="BJ555" s="17" t="n"/>
      <c r="BK555" s="16" t="n"/>
      <c r="BL555" s="20" t="inlineStr">
        <is>
          <t>IC Kationen</t>
        </is>
      </c>
      <c r="BM555" s="20" t="inlineStr">
        <is>
          <t>None</t>
        </is>
      </c>
      <c r="BN555" s="17" t="n"/>
      <c r="BO555" s="16" t="n"/>
      <c r="BP555" s="20" t="inlineStr">
        <is>
          <t>IC Kationen</t>
        </is>
      </c>
      <c r="BQ555" s="20" t="inlineStr">
        <is>
          <t>None</t>
        </is>
      </c>
      <c r="BR555" s="17" t="n"/>
      <c r="BS555" s="16" t="n"/>
      <c r="BT555" s="20" t="inlineStr">
        <is>
          <t>IC Kationen</t>
        </is>
      </c>
      <c r="BU555" s="20" t="inlineStr">
        <is>
          <t>None</t>
        </is>
      </c>
      <c r="BV555" s="17" t="n"/>
      <c r="BW555" s="16" t="n"/>
      <c r="BX555" s="20" t="n"/>
      <c r="BY555" s="20" t="inlineStr">
        <is>
          <t>None</t>
        </is>
      </c>
      <c r="BZ555" s="17" t="n"/>
      <c r="CA555" s="16" t="n"/>
      <c r="CB555" s="20" t="n"/>
      <c r="CC555" s="20" t="inlineStr">
        <is>
          <t>None</t>
        </is>
      </c>
      <c r="CD555" s="17" t="n"/>
      <c r="CE555" s="16" t="n"/>
      <c r="CF555" s="20" t="n"/>
      <c r="CG555" s="20" t="inlineStr">
        <is>
          <t>None</t>
        </is>
      </c>
      <c r="CH555" s="17" t="n"/>
      <c r="CI555" s="16" t="n"/>
      <c r="CJ555" s="20" t="n"/>
      <c r="CK555" s="20" t="inlineStr">
        <is>
          <t>None</t>
        </is>
      </c>
      <c r="CL555" s="17" t="n"/>
      <c r="CM555" s="16" t="n"/>
      <c r="CN555" s="20" t="inlineStr">
        <is>
          <t>SOP 45-34</t>
        </is>
      </c>
      <c r="CO555" s="20" t="inlineStr">
        <is>
          <t>None</t>
        </is>
      </c>
      <c r="CP555" s="17" t="n"/>
      <c r="CQ555" s="16" t="n"/>
      <c r="CR555" s="20" t="n"/>
      <c r="CS555" s="20" t="inlineStr">
        <is>
          <t>None</t>
        </is>
      </c>
      <c r="CT555" s="17" t="n"/>
      <c r="CU555" s="16" t="n"/>
      <c r="CV555" s="20" t="n"/>
      <c r="CW555" s="20" t="inlineStr">
        <is>
          <t>None</t>
        </is>
      </c>
      <c r="CX555" s="17" t="n"/>
      <c r="CY555" s="16" t="n"/>
      <c r="CZ555" s="20" t="inlineStr">
        <is>
          <t>WTW Multimeter 3430 with FDO 925</t>
        </is>
      </c>
      <c r="DA555" s="20" t="inlineStr">
        <is>
          <t>None</t>
        </is>
      </c>
      <c r="DB555" s="17" t="n"/>
      <c r="DC555" s="16" t="n"/>
      <c r="DD555" s="20" t="n"/>
      <c r="DE555" s="20" t="inlineStr">
        <is>
          <t>None</t>
        </is>
      </c>
      <c r="DF555" s="17" t="n"/>
      <c r="DG555" s="16" t="n"/>
      <c r="DH555" s="20" t="inlineStr">
        <is>
          <t>SOP 45-09</t>
        </is>
      </c>
      <c r="DI555" s="20" t="inlineStr">
        <is>
          <t>None</t>
        </is>
      </c>
      <c r="DJ555" s="17" t="n"/>
      <c r="DK555" s="16" t="n"/>
      <c r="DL555" s="20" t="inlineStr">
        <is>
          <t>SOP 45-09 (SOP muss noch angepasst werden für VSS)</t>
        </is>
      </c>
      <c r="DM555" s="20" t="inlineStr">
        <is>
          <t>None</t>
        </is>
      </c>
      <c r="DN555" s="17" t="n"/>
      <c r="DO555" s="16" t="n"/>
      <c r="DP555" s="20" t="inlineStr">
        <is>
          <t>IC Organic Acids</t>
        </is>
      </c>
      <c r="DQ555" s="20" t="inlineStr">
        <is>
          <t>None</t>
        </is>
      </c>
      <c r="DR555" s="17" t="n"/>
      <c r="DS555" s="16" t="n"/>
      <c r="DT555" s="20" t="inlineStr">
        <is>
          <t>IC Organic Acids</t>
        </is>
      </c>
      <c r="DU555" s="20" t="inlineStr">
        <is>
          <t>None</t>
        </is>
      </c>
      <c r="DV555" s="17" t="n"/>
      <c r="DW555" s="16" t="n"/>
      <c r="DX555" s="20" t="inlineStr">
        <is>
          <t>IC Organic Acids</t>
        </is>
      </c>
      <c r="DY555" s="20" t="inlineStr">
        <is>
          <t>None</t>
        </is>
      </c>
      <c r="DZ555" s="17" t="n"/>
      <c r="EA555" s="16" t="n"/>
      <c r="EB555" s="20" t="inlineStr">
        <is>
          <t>IC Organic Acids</t>
        </is>
      </c>
      <c r="EC555" s="20" t="inlineStr">
        <is>
          <t>None</t>
        </is>
      </c>
      <c r="ED555" s="17" t="n"/>
      <c r="EE555" s="16" t="n"/>
      <c r="EF555" s="20" t="inlineStr">
        <is>
          <t>IC Organic Acids</t>
        </is>
      </c>
      <c r="EG555" s="20" t="inlineStr">
        <is>
          <t>None</t>
        </is>
      </c>
      <c r="EH555" s="17" t="n"/>
      <c r="EI555" s="16" t="n"/>
      <c r="EJ555" s="20" t="inlineStr">
        <is>
          <t>IC Organic Acids</t>
        </is>
      </c>
      <c r="EK555" s="20" t="inlineStr">
        <is>
          <t>None</t>
        </is>
      </c>
      <c r="EL555" s="17" t="n"/>
      <c r="EM555" s="16" t="n"/>
      <c r="EN555" s="20" t="inlineStr">
        <is>
          <t>IC Organic Acids</t>
        </is>
      </c>
      <c r="EO555" s="20" t="inlineStr">
        <is>
          <t>None</t>
        </is>
      </c>
      <c r="EP555" s="17" t="n"/>
      <c r="EQ555" s="16" t="n"/>
      <c r="ER555" s="20" t="inlineStr">
        <is>
          <t>IC Organic Acids</t>
        </is>
      </c>
      <c r="ES555" s="20" t="inlineStr">
        <is>
          <t>None</t>
        </is>
      </c>
      <c r="ET555" s="17" t="n"/>
      <c r="EU555" s="16" t="n"/>
      <c r="EV555" s="20" t="inlineStr">
        <is>
          <t>LC-MS</t>
        </is>
      </c>
      <c r="EW555" s="20" t="inlineStr">
        <is>
          <t>None</t>
        </is>
      </c>
      <c r="EX555" s="17" t="n"/>
      <c r="EY555" s="21" t="n"/>
      <c r="EZ555">
        <f>CONCATENATE(A555,B555)</f>
        <v/>
      </c>
      <c r="FA555">
        <f>CONCATENATE(SamplesX!A555,SamplesX!B555)</f>
        <v/>
      </c>
      <c r="FC555">
        <f>MATCH(EZ555,FA1:FA1008,0)</f>
        <v/>
      </c>
    </row>
    <row r="556">
      <c r="A556" s="16" t="n"/>
      <c r="B556" s="17" t="n"/>
      <c r="C556" s="10">
        <f>IF(ISNUMBER(FC556),INDIRECT("SamplesX!C"&amp;FC556),IF(ISNUMBER(FD556),INDIRECT("SamplesY!C"&amp;FD556),""))</f>
        <v/>
      </c>
      <c r="D556" s="12">
        <f>IF(ISNUMBER(FC556),INDIRECT("SamplesX!D"&amp;FC556),IF(ISNUMBER(FD556),INDIRECT("SamplesY!D"&amp;FD556),""))</f>
        <v/>
      </c>
      <c r="E556" s="12">
        <f>IF(ISNUMBER(FC556),INDIRECT("SamplesX!E"&amp;FC556),IF(ISNUMBER(FD556),INDIRECT("SamplesY!E"&amp;FD556),""))</f>
        <v/>
      </c>
      <c r="F556" s="11">
        <f>IF(ISNUMBER(FC556),INDIRECT("SamplesX!F"&amp;FC556),IF(ISNUMBER(FD556),INDIRECT("SamplesY!F"&amp;FD556),""))</f>
        <v/>
      </c>
      <c r="G556" s="18">
        <f>IF(ISNUMBER(FC556),INDIRECT("SamplesX!G"&amp;FC556),IF(ISNUMBER(FD556),INDIRECT("SamplesY!G"&amp;FD556),""))</f>
        <v/>
      </c>
      <c r="H556" s="19">
        <f>IF(ISNUMBER(FC556),INDIRECT("SamplesX!H"&amp;FC556),IF(ISNUMBER(FD556),INDIRECT("SamplesY!H"&amp;FD556),""))</f>
        <v/>
      </c>
      <c r="I556" s="16" t="n"/>
      <c r="J556" s="16" t="n"/>
      <c r="K556" s="16" t="n"/>
      <c r="L556" s="20" t="n"/>
      <c r="M556" s="20" t="inlineStr">
        <is>
          <t>None</t>
        </is>
      </c>
      <c r="N556" s="17" t="n"/>
      <c r="O556" s="16" t="n"/>
      <c r="P556" s="20" t="inlineStr">
        <is>
          <t>Shimadzu TOC-L</t>
        </is>
      </c>
      <c r="Q556" s="20" t="inlineStr">
        <is>
          <t>None</t>
        </is>
      </c>
      <c r="R556" s="17" t="n"/>
      <c r="S556" s="16" t="n"/>
      <c r="T556" s="20" t="inlineStr">
        <is>
          <t>Shimadzu TOC-L</t>
        </is>
      </c>
      <c r="U556" s="20" t="inlineStr">
        <is>
          <t>None</t>
        </is>
      </c>
      <c r="V556" s="17" t="n"/>
      <c r="W556" s="16" t="n"/>
      <c r="X556" s="20" t="n"/>
      <c r="Y556" s="20" t="inlineStr">
        <is>
          <t>None</t>
        </is>
      </c>
      <c r="Z556" s="17" t="n"/>
      <c r="AA556" s="16" t="n"/>
      <c r="AB556" s="20" t="n"/>
      <c r="AC556" s="20" t="inlineStr">
        <is>
          <t>None</t>
        </is>
      </c>
      <c r="AD556" s="17" t="n"/>
      <c r="AE556" s="16" t="n"/>
      <c r="AF556" s="20" t="inlineStr">
        <is>
          <t>IC Anionen</t>
        </is>
      </c>
      <c r="AG556" s="20" t="inlineStr">
        <is>
          <t>None</t>
        </is>
      </c>
      <c r="AH556" s="17" t="n"/>
      <c r="AI556" s="16" t="n"/>
      <c r="AJ556" s="20" t="n"/>
      <c r="AK556" s="20" t="inlineStr">
        <is>
          <t>None</t>
        </is>
      </c>
      <c r="AL556" s="17" t="n"/>
      <c r="AM556" s="16" t="n"/>
      <c r="AN556" s="20" t="inlineStr">
        <is>
          <t>IC Anionen</t>
        </is>
      </c>
      <c r="AO556" s="20" t="inlineStr">
        <is>
          <t>None</t>
        </is>
      </c>
      <c r="AP556" s="17" t="n"/>
      <c r="AQ556" s="16" t="n"/>
      <c r="AR556" s="20" t="n"/>
      <c r="AS556" s="20" t="inlineStr">
        <is>
          <t>None</t>
        </is>
      </c>
      <c r="AT556" s="17" t="n"/>
      <c r="AU556" s="16" t="n"/>
      <c r="AV556" s="20" t="n"/>
      <c r="AW556" s="20" t="inlineStr">
        <is>
          <t>None</t>
        </is>
      </c>
      <c r="AX556" s="17" t="n"/>
      <c r="AY556" s="16" t="n"/>
      <c r="AZ556" s="20" t="inlineStr">
        <is>
          <t>IC Anionen</t>
        </is>
      </c>
      <c r="BA556" s="20" t="inlineStr">
        <is>
          <t>None</t>
        </is>
      </c>
      <c r="BB556" s="17" t="n"/>
      <c r="BC556" s="16" t="n"/>
      <c r="BD556" s="20" t="inlineStr">
        <is>
          <t>IC Kationen</t>
        </is>
      </c>
      <c r="BE556" s="20" t="inlineStr">
        <is>
          <t>None</t>
        </is>
      </c>
      <c r="BF556" s="17" t="n"/>
      <c r="BG556" s="16" t="n"/>
      <c r="BH556" s="20" t="inlineStr">
        <is>
          <t>IC Kationen</t>
        </is>
      </c>
      <c r="BI556" s="20" t="inlineStr">
        <is>
          <t>None</t>
        </is>
      </c>
      <c r="BJ556" s="17" t="n"/>
      <c r="BK556" s="16" t="n"/>
      <c r="BL556" s="20" t="inlineStr">
        <is>
          <t>IC Kationen</t>
        </is>
      </c>
      <c r="BM556" s="20" t="inlineStr">
        <is>
          <t>None</t>
        </is>
      </c>
      <c r="BN556" s="17" t="n"/>
      <c r="BO556" s="16" t="n"/>
      <c r="BP556" s="20" t="inlineStr">
        <is>
          <t>IC Kationen</t>
        </is>
      </c>
      <c r="BQ556" s="20" t="inlineStr">
        <is>
          <t>None</t>
        </is>
      </c>
      <c r="BR556" s="17" t="n"/>
      <c r="BS556" s="16" t="n"/>
      <c r="BT556" s="20" t="inlineStr">
        <is>
          <t>IC Kationen</t>
        </is>
      </c>
      <c r="BU556" s="20" t="inlineStr">
        <is>
          <t>None</t>
        </is>
      </c>
      <c r="BV556" s="17" t="n"/>
      <c r="BW556" s="16" t="n"/>
      <c r="BX556" s="20" t="n"/>
      <c r="BY556" s="20" t="inlineStr">
        <is>
          <t>None</t>
        </is>
      </c>
      <c r="BZ556" s="17" t="n"/>
      <c r="CA556" s="16" t="n"/>
      <c r="CB556" s="20" t="n"/>
      <c r="CC556" s="20" t="inlineStr">
        <is>
          <t>None</t>
        </is>
      </c>
      <c r="CD556" s="17" t="n"/>
      <c r="CE556" s="16" t="n"/>
      <c r="CF556" s="20" t="n"/>
      <c r="CG556" s="20" t="inlineStr">
        <is>
          <t>None</t>
        </is>
      </c>
      <c r="CH556" s="17" t="n"/>
      <c r="CI556" s="16" t="n"/>
      <c r="CJ556" s="20" t="n"/>
      <c r="CK556" s="20" t="inlineStr">
        <is>
          <t>None</t>
        </is>
      </c>
      <c r="CL556" s="17" t="n"/>
      <c r="CM556" s="16" t="n"/>
      <c r="CN556" s="20" t="inlineStr">
        <is>
          <t>SOP 45-34</t>
        </is>
      </c>
      <c r="CO556" s="20" t="inlineStr">
        <is>
          <t>None</t>
        </is>
      </c>
      <c r="CP556" s="17" t="n"/>
      <c r="CQ556" s="16" t="n"/>
      <c r="CR556" s="20" t="n"/>
      <c r="CS556" s="20" t="inlineStr">
        <is>
          <t>None</t>
        </is>
      </c>
      <c r="CT556" s="17" t="n"/>
      <c r="CU556" s="16" t="n"/>
      <c r="CV556" s="20" t="n"/>
      <c r="CW556" s="20" t="inlineStr">
        <is>
          <t>None</t>
        </is>
      </c>
      <c r="CX556" s="17" t="n"/>
      <c r="CY556" s="16" t="n"/>
      <c r="CZ556" s="20" t="inlineStr">
        <is>
          <t>WTW Multimeter 3430 with FDO 925</t>
        </is>
      </c>
      <c r="DA556" s="20" t="inlineStr">
        <is>
          <t>None</t>
        </is>
      </c>
      <c r="DB556" s="17" t="n"/>
      <c r="DC556" s="16" t="n"/>
      <c r="DD556" s="20" t="n"/>
      <c r="DE556" s="20" t="inlineStr">
        <is>
          <t>None</t>
        </is>
      </c>
      <c r="DF556" s="17" t="n"/>
      <c r="DG556" s="16" t="n"/>
      <c r="DH556" s="20" t="inlineStr">
        <is>
          <t>SOP 45-09</t>
        </is>
      </c>
      <c r="DI556" s="20" t="inlineStr">
        <is>
          <t>None</t>
        </is>
      </c>
      <c r="DJ556" s="17" t="n"/>
      <c r="DK556" s="16" t="n"/>
      <c r="DL556" s="20" t="inlineStr">
        <is>
          <t>SOP 45-09 (SOP muss noch angepasst werden für VSS)</t>
        </is>
      </c>
      <c r="DM556" s="20" t="inlineStr">
        <is>
          <t>None</t>
        </is>
      </c>
      <c r="DN556" s="17" t="n"/>
      <c r="DO556" s="16" t="n"/>
      <c r="DP556" s="20" t="inlineStr">
        <is>
          <t>IC Organic Acids</t>
        </is>
      </c>
      <c r="DQ556" s="20" t="inlineStr">
        <is>
          <t>None</t>
        </is>
      </c>
      <c r="DR556" s="17" t="n"/>
      <c r="DS556" s="16" t="n"/>
      <c r="DT556" s="20" t="inlineStr">
        <is>
          <t>IC Organic Acids</t>
        </is>
      </c>
      <c r="DU556" s="20" t="inlineStr">
        <is>
          <t>None</t>
        </is>
      </c>
      <c r="DV556" s="17" t="n"/>
      <c r="DW556" s="16" t="n"/>
      <c r="DX556" s="20" t="inlineStr">
        <is>
          <t>IC Organic Acids</t>
        </is>
      </c>
      <c r="DY556" s="20" t="inlineStr">
        <is>
          <t>None</t>
        </is>
      </c>
      <c r="DZ556" s="17" t="n"/>
      <c r="EA556" s="16" t="n"/>
      <c r="EB556" s="20" t="inlineStr">
        <is>
          <t>IC Organic Acids</t>
        </is>
      </c>
      <c r="EC556" s="20" t="inlineStr">
        <is>
          <t>None</t>
        </is>
      </c>
      <c r="ED556" s="17" t="n"/>
      <c r="EE556" s="16" t="n"/>
      <c r="EF556" s="20" t="inlineStr">
        <is>
          <t>IC Organic Acids</t>
        </is>
      </c>
      <c r="EG556" s="20" t="inlineStr">
        <is>
          <t>None</t>
        </is>
      </c>
      <c r="EH556" s="17" t="n"/>
      <c r="EI556" s="16" t="n"/>
      <c r="EJ556" s="20" t="inlineStr">
        <is>
          <t>IC Organic Acids</t>
        </is>
      </c>
      <c r="EK556" s="20" t="inlineStr">
        <is>
          <t>None</t>
        </is>
      </c>
      <c r="EL556" s="17" t="n"/>
      <c r="EM556" s="16" t="n"/>
      <c r="EN556" s="20" t="inlineStr">
        <is>
          <t>IC Organic Acids</t>
        </is>
      </c>
      <c r="EO556" s="20" t="inlineStr">
        <is>
          <t>None</t>
        </is>
      </c>
      <c r="EP556" s="17" t="n"/>
      <c r="EQ556" s="16" t="n"/>
      <c r="ER556" s="20" t="inlineStr">
        <is>
          <t>IC Organic Acids</t>
        </is>
      </c>
      <c r="ES556" s="20" t="inlineStr">
        <is>
          <t>None</t>
        </is>
      </c>
      <c r="ET556" s="17" t="n"/>
      <c r="EU556" s="16" t="n"/>
      <c r="EV556" s="20" t="inlineStr">
        <is>
          <t>LC-MS</t>
        </is>
      </c>
      <c r="EW556" s="20" t="inlineStr">
        <is>
          <t>None</t>
        </is>
      </c>
      <c r="EX556" s="17" t="n"/>
      <c r="EY556" s="21" t="n"/>
      <c r="EZ556">
        <f>CONCATENATE(A556,B556)</f>
        <v/>
      </c>
      <c r="FA556">
        <f>CONCATENATE(SamplesX!A556,SamplesX!B556)</f>
        <v/>
      </c>
      <c r="FC556">
        <f>MATCH(EZ556,FA1:FA1008,0)</f>
        <v/>
      </c>
    </row>
    <row r="557">
      <c r="A557" s="16" t="n"/>
      <c r="B557" s="17" t="n"/>
      <c r="C557" s="10">
        <f>IF(ISNUMBER(FC557),INDIRECT("SamplesX!C"&amp;FC557),IF(ISNUMBER(FD557),INDIRECT("SamplesY!C"&amp;FD557),""))</f>
        <v/>
      </c>
      <c r="D557" s="12">
        <f>IF(ISNUMBER(FC557),INDIRECT("SamplesX!D"&amp;FC557),IF(ISNUMBER(FD557),INDIRECT("SamplesY!D"&amp;FD557),""))</f>
        <v/>
      </c>
      <c r="E557" s="12">
        <f>IF(ISNUMBER(FC557),INDIRECT("SamplesX!E"&amp;FC557),IF(ISNUMBER(FD557),INDIRECT("SamplesY!E"&amp;FD557),""))</f>
        <v/>
      </c>
      <c r="F557" s="11">
        <f>IF(ISNUMBER(FC557),INDIRECT("SamplesX!F"&amp;FC557),IF(ISNUMBER(FD557),INDIRECT("SamplesY!F"&amp;FD557),""))</f>
        <v/>
      </c>
      <c r="G557" s="18">
        <f>IF(ISNUMBER(FC557),INDIRECT("SamplesX!G"&amp;FC557),IF(ISNUMBER(FD557),INDIRECT("SamplesY!G"&amp;FD557),""))</f>
        <v/>
      </c>
      <c r="H557" s="19">
        <f>IF(ISNUMBER(FC557),INDIRECT("SamplesX!H"&amp;FC557),IF(ISNUMBER(FD557),INDIRECT("SamplesY!H"&amp;FD557),""))</f>
        <v/>
      </c>
      <c r="I557" s="16" t="n"/>
      <c r="J557" s="16" t="n"/>
      <c r="K557" s="16" t="n"/>
      <c r="L557" s="20" t="n"/>
      <c r="M557" s="20" t="inlineStr">
        <is>
          <t>None</t>
        </is>
      </c>
      <c r="N557" s="17" t="n"/>
      <c r="O557" s="16" t="n"/>
      <c r="P557" s="20" t="inlineStr">
        <is>
          <t>Shimadzu TOC-L</t>
        </is>
      </c>
      <c r="Q557" s="20" t="inlineStr">
        <is>
          <t>None</t>
        </is>
      </c>
      <c r="R557" s="17" t="n"/>
      <c r="S557" s="16" t="n"/>
      <c r="T557" s="20" t="inlineStr">
        <is>
          <t>Shimadzu TOC-L</t>
        </is>
      </c>
      <c r="U557" s="20" t="inlineStr">
        <is>
          <t>None</t>
        </is>
      </c>
      <c r="V557" s="17" t="n"/>
      <c r="W557" s="16" t="n"/>
      <c r="X557" s="20" t="n"/>
      <c r="Y557" s="20" t="inlineStr">
        <is>
          <t>None</t>
        </is>
      </c>
      <c r="Z557" s="17" t="n"/>
      <c r="AA557" s="16" t="n"/>
      <c r="AB557" s="20" t="n"/>
      <c r="AC557" s="20" t="inlineStr">
        <is>
          <t>None</t>
        </is>
      </c>
      <c r="AD557" s="17" t="n"/>
      <c r="AE557" s="16" t="n"/>
      <c r="AF557" s="20" t="inlineStr">
        <is>
          <t>IC Anionen</t>
        </is>
      </c>
      <c r="AG557" s="20" t="inlineStr">
        <is>
          <t>None</t>
        </is>
      </c>
      <c r="AH557" s="17" t="n"/>
      <c r="AI557" s="16" t="n"/>
      <c r="AJ557" s="20" t="n"/>
      <c r="AK557" s="20" t="inlineStr">
        <is>
          <t>None</t>
        </is>
      </c>
      <c r="AL557" s="17" t="n"/>
      <c r="AM557" s="16" t="n"/>
      <c r="AN557" s="20" t="inlineStr">
        <is>
          <t>IC Anionen</t>
        </is>
      </c>
      <c r="AO557" s="20" t="inlineStr">
        <is>
          <t>None</t>
        </is>
      </c>
      <c r="AP557" s="17" t="n"/>
      <c r="AQ557" s="16" t="n"/>
      <c r="AR557" s="20" t="n"/>
      <c r="AS557" s="20" t="inlineStr">
        <is>
          <t>None</t>
        </is>
      </c>
      <c r="AT557" s="17" t="n"/>
      <c r="AU557" s="16" t="n"/>
      <c r="AV557" s="20" t="n"/>
      <c r="AW557" s="20" t="inlineStr">
        <is>
          <t>None</t>
        </is>
      </c>
      <c r="AX557" s="17" t="n"/>
      <c r="AY557" s="16" t="n"/>
      <c r="AZ557" s="20" t="inlineStr">
        <is>
          <t>IC Anionen</t>
        </is>
      </c>
      <c r="BA557" s="20" t="inlineStr">
        <is>
          <t>None</t>
        </is>
      </c>
      <c r="BB557" s="17" t="n"/>
      <c r="BC557" s="16" t="n"/>
      <c r="BD557" s="20" t="inlineStr">
        <is>
          <t>IC Kationen</t>
        </is>
      </c>
      <c r="BE557" s="20" t="inlineStr">
        <is>
          <t>None</t>
        </is>
      </c>
      <c r="BF557" s="17" t="n"/>
      <c r="BG557" s="16" t="n"/>
      <c r="BH557" s="20" t="inlineStr">
        <is>
          <t>IC Kationen</t>
        </is>
      </c>
      <c r="BI557" s="20" t="inlineStr">
        <is>
          <t>None</t>
        </is>
      </c>
      <c r="BJ557" s="17" t="n"/>
      <c r="BK557" s="16" t="n"/>
      <c r="BL557" s="20" t="inlineStr">
        <is>
          <t>IC Kationen</t>
        </is>
      </c>
      <c r="BM557" s="20" t="inlineStr">
        <is>
          <t>None</t>
        </is>
      </c>
      <c r="BN557" s="17" t="n"/>
      <c r="BO557" s="16" t="n"/>
      <c r="BP557" s="20" t="inlineStr">
        <is>
          <t>IC Kationen</t>
        </is>
      </c>
      <c r="BQ557" s="20" t="inlineStr">
        <is>
          <t>None</t>
        </is>
      </c>
      <c r="BR557" s="17" t="n"/>
      <c r="BS557" s="16" t="n"/>
      <c r="BT557" s="20" t="inlineStr">
        <is>
          <t>IC Kationen</t>
        </is>
      </c>
      <c r="BU557" s="20" t="inlineStr">
        <is>
          <t>None</t>
        </is>
      </c>
      <c r="BV557" s="17" t="n"/>
      <c r="BW557" s="16" t="n"/>
      <c r="BX557" s="20" t="n"/>
      <c r="BY557" s="20" t="inlineStr">
        <is>
          <t>None</t>
        </is>
      </c>
      <c r="BZ557" s="17" t="n"/>
      <c r="CA557" s="16" t="n"/>
      <c r="CB557" s="20" t="n"/>
      <c r="CC557" s="20" t="inlineStr">
        <is>
          <t>None</t>
        </is>
      </c>
      <c r="CD557" s="17" t="n"/>
      <c r="CE557" s="16" t="n"/>
      <c r="CF557" s="20" t="n"/>
      <c r="CG557" s="20" t="inlineStr">
        <is>
          <t>None</t>
        </is>
      </c>
      <c r="CH557" s="17" t="n"/>
      <c r="CI557" s="16" t="n"/>
      <c r="CJ557" s="20" t="n"/>
      <c r="CK557" s="20" t="inlineStr">
        <is>
          <t>None</t>
        </is>
      </c>
      <c r="CL557" s="17" t="n"/>
      <c r="CM557" s="16" t="n"/>
      <c r="CN557" s="20" t="inlineStr">
        <is>
          <t>SOP 45-34</t>
        </is>
      </c>
      <c r="CO557" s="20" t="inlineStr">
        <is>
          <t>None</t>
        </is>
      </c>
      <c r="CP557" s="17" t="n"/>
      <c r="CQ557" s="16" t="n"/>
      <c r="CR557" s="20" t="n"/>
      <c r="CS557" s="20" t="inlineStr">
        <is>
          <t>None</t>
        </is>
      </c>
      <c r="CT557" s="17" t="n"/>
      <c r="CU557" s="16" t="n"/>
      <c r="CV557" s="20" t="n"/>
      <c r="CW557" s="20" t="inlineStr">
        <is>
          <t>None</t>
        </is>
      </c>
      <c r="CX557" s="17" t="n"/>
      <c r="CY557" s="16" t="n"/>
      <c r="CZ557" s="20" t="inlineStr">
        <is>
          <t>WTW Multimeter 3430 with FDO 925</t>
        </is>
      </c>
      <c r="DA557" s="20" t="inlineStr">
        <is>
          <t>None</t>
        </is>
      </c>
      <c r="DB557" s="17" t="n"/>
      <c r="DC557" s="16" t="n"/>
      <c r="DD557" s="20" t="n"/>
      <c r="DE557" s="20" t="inlineStr">
        <is>
          <t>None</t>
        </is>
      </c>
      <c r="DF557" s="17" t="n"/>
      <c r="DG557" s="16" t="n"/>
      <c r="DH557" s="20" t="inlineStr">
        <is>
          <t>SOP 45-09</t>
        </is>
      </c>
      <c r="DI557" s="20" t="inlineStr">
        <is>
          <t>None</t>
        </is>
      </c>
      <c r="DJ557" s="17" t="n"/>
      <c r="DK557" s="16" t="n"/>
      <c r="DL557" s="20" t="inlineStr">
        <is>
          <t>SOP 45-09 (SOP muss noch angepasst werden für VSS)</t>
        </is>
      </c>
      <c r="DM557" s="20" t="inlineStr">
        <is>
          <t>None</t>
        </is>
      </c>
      <c r="DN557" s="17" t="n"/>
      <c r="DO557" s="16" t="n"/>
      <c r="DP557" s="20" t="inlineStr">
        <is>
          <t>IC Organic Acids</t>
        </is>
      </c>
      <c r="DQ557" s="20" t="inlineStr">
        <is>
          <t>None</t>
        </is>
      </c>
      <c r="DR557" s="17" t="n"/>
      <c r="DS557" s="16" t="n"/>
      <c r="DT557" s="20" t="inlineStr">
        <is>
          <t>IC Organic Acids</t>
        </is>
      </c>
      <c r="DU557" s="20" t="inlineStr">
        <is>
          <t>None</t>
        </is>
      </c>
      <c r="DV557" s="17" t="n"/>
      <c r="DW557" s="16" t="n"/>
      <c r="DX557" s="20" t="inlineStr">
        <is>
          <t>IC Organic Acids</t>
        </is>
      </c>
      <c r="DY557" s="20" t="inlineStr">
        <is>
          <t>None</t>
        </is>
      </c>
      <c r="DZ557" s="17" t="n"/>
      <c r="EA557" s="16" t="n"/>
      <c r="EB557" s="20" t="inlineStr">
        <is>
          <t>IC Organic Acids</t>
        </is>
      </c>
      <c r="EC557" s="20" t="inlineStr">
        <is>
          <t>None</t>
        </is>
      </c>
      <c r="ED557" s="17" t="n"/>
      <c r="EE557" s="16" t="n"/>
      <c r="EF557" s="20" t="inlineStr">
        <is>
          <t>IC Organic Acids</t>
        </is>
      </c>
      <c r="EG557" s="20" t="inlineStr">
        <is>
          <t>None</t>
        </is>
      </c>
      <c r="EH557" s="17" t="n"/>
      <c r="EI557" s="16" t="n"/>
      <c r="EJ557" s="20" t="inlineStr">
        <is>
          <t>IC Organic Acids</t>
        </is>
      </c>
      <c r="EK557" s="20" t="inlineStr">
        <is>
          <t>None</t>
        </is>
      </c>
      <c r="EL557" s="17" t="n"/>
      <c r="EM557" s="16" t="n"/>
      <c r="EN557" s="20" t="inlineStr">
        <is>
          <t>IC Organic Acids</t>
        </is>
      </c>
      <c r="EO557" s="20" t="inlineStr">
        <is>
          <t>None</t>
        </is>
      </c>
      <c r="EP557" s="17" t="n"/>
      <c r="EQ557" s="16" t="n"/>
      <c r="ER557" s="20" t="inlineStr">
        <is>
          <t>IC Organic Acids</t>
        </is>
      </c>
      <c r="ES557" s="20" t="inlineStr">
        <is>
          <t>None</t>
        </is>
      </c>
      <c r="ET557" s="17" t="n"/>
      <c r="EU557" s="16" t="n"/>
      <c r="EV557" s="20" t="inlineStr">
        <is>
          <t>LC-MS</t>
        </is>
      </c>
      <c r="EW557" s="20" t="inlineStr">
        <is>
          <t>None</t>
        </is>
      </c>
      <c r="EX557" s="17" t="n"/>
      <c r="EY557" s="21" t="n"/>
      <c r="EZ557">
        <f>CONCATENATE(A557,B557)</f>
        <v/>
      </c>
      <c r="FA557">
        <f>CONCATENATE(SamplesX!A557,SamplesX!B557)</f>
        <v/>
      </c>
      <c r="FC557">
        <f>MATCH(EZ557,FA1:FA1008,0)</f>
        <v/>
      </c>
    </row>
    <row r="558">
      <c r="A558" s="16" t="n"/>
      <c r="B558" s="17" t="n"/>
      <c r="C558" s="10">
        <f>IF(ISNUMBER(FC558),INDIRECT("SamplesX!C"&amp;FC558),IF(ISNUMBER(FD558),INDIRECT("SamplesY!C"&amp;FD558),""))</f>
        <v/>
      </c>
      <c r="D558" s="12">
        <f>IF(ISNUMBER(FC558),INDIRECT("SamplesX!D"&amp;FC558),IF(ISNUMBER(FD558),INDIRECT("SamplesY!D"&amp;FD558),""))</f>
        <v/>
      </c>
      <c r="E558" s="12">
        <f>IF(ISNUMBER(FC558),INDIRECT("SamplesX!E"&amp;FC558),IF(ISNUMBER(FD558),INDIRECT("SamplesY!E"&amp;FD558),""))</f>
        <v/>
      </c>
      <c r="F558" s="11">
        <f>IF(ISNUMBER(FC558),INDIRECT("SamplesX!F"&amp;FC558),IF(ISNUMBER(FD558),INDIRECT("SamplesY!F"&amp;FD558),""))</f>
        <v/>
      </c>
      <c r="G558" s="18">
        <f>IF(ISNUMBER(FC558),INDIRECT("SamplesX!G"&amp;FC558),IF(ISNUMBER(FD558),INDIRECT("SamplesY!G"&amp;FD558),""))</f>
        <v/>
      </c>
      <c r="H558" s="19">
        <f>IF(ISNUMBER(FC558),INDIRECT("SamplesX!H"&amp;FC558),IF(ISNUMBER(FD558),INDIRECT("SamplesY!H"&amp;FD558),""))</f>
        <v/>
      </c>
      <c r="I558" s="16" t="n"/>
      <c r="J558" s="16" t="n"/>
      <c r="K558" s="16" t="n"/>
      <c r="L558" s="20" t="n"/>
      <c r="M558" s="20" t="inlineStr">
        <is>
          <t>None</t>
        </is>
      </c>
      <c r="N558" s="17" t="n"/>
      <c r="O558" s="16" t="n"/>
      <c r="P558" s="20" t="inlineStr">
        <is>
          <t>Shimadzu TOC-L</t>
        </is>
      </c>
      <c r="Q558" s="20" t="inlineStr">
        <is>
          <t>None</t>
        </is>
      </c>
      <c r="R558" s="17" t="n"/>
      <c r="S558" s="16" t="n"/>
      <c r="T558" s="20" t="inlineStr">
        <is>
          <t>Shimadzu TOC-L</t>
        </is>
      </c>
      <c r="U558" s="20" t="inlineStr">
        <is>
          <t>None</t>
        </is>
      </c>
      <c r="V558" s="17" t="n"/>
      <c r="W558" s="16" t="n"/>
      <c r="X558" s="20" t="n"/>
      <c r="Y558" s="20" t="inlineStr">
        <is>
          <t>None</t>
        </is>
      </c>
      <c r="Z558" s="17" t="n"/>
      <c r="AA558" s="16" t="n"/>
      <c r="AB558" s="20" t="n"/>
      <c r="AC558" s="20" t="inlineStr">
        <is>
          <t>None</t>
        </is>
      </c>
      <c r="AD558" s="17" t="n"/>
      <c r="AE558" s="16" t="n"/>
      <c r="AF558" s="20" t="inlineStr">
        <is>
          <t>IC Anionen</t>
        </is>
      </c>
      <c r="AG558" s="20" t="inlineStr">
        <is>
          <t>None</t>
        </is>
      </c>
      <c r="AH558" s="17" t="n"/>
      <c r="AI558" s="16" t="n"/>
      <c r="AJ558" s="20" t="n"/>
      <c r="AK558" s="20" t="inlineStr">
        <is>
          <t>None</t>
        </is>
      </c>
      <c r="AL558" s="17" t="n"/>
      <c r="AM558" s="16" t="n"/>
      <c r="AN558" s="20" t="inlineStr">
        <is>
          <t>IC Anionen</t>
        </is>
      </c>
      <c r="AO558" s="20" t="inlineStr">
        <is>
          <t>None</t>
        </is>
      </c>
      <c r="AP558" s="17" t="n"/>
      <c r="AQ558" s="16" t="n"/>
      <c r="AR558" s="20" t="n"/>
      <c r="AS558" s="20" t="inlineStr">
        <is>
          <t>None</t>
        </is>
      </c>
      <c r="AT558" s="17" t="n"/>
      <c r="AU558" s="16" t="n"/>
      <c r="AV558" s="20" t="n"/>
      <c r="AW558" s="20" t="inlineStr">
        <is>
          <t>None</t>
        </is>
      </c>
      <c r="AX558" s="17" t="n"/>
      <c r="AY558" s="16" t="n"/>
      <c r="AZ558" s="20" t="inlineStr">
        <is>
          <t>IC Anionen</t>
        </is>
      </c>
      <c r="BA558" s="20" t="inlineStr">
        <is>
          <t>None</t>
        </is>
      </c>
      <c r="BB558" s="17" t="n"/>
      <c r="BC558" s="16" t="n"/>
      <c r="BD558" s="20" t="inlineStr">
        <is>
          <t>IC Kationen</t>
        </is>
      </c>
      <c r="BE558" s="20" t="inlineStr">
        <is>
          <t>None</t>
        </is>
      </c>
      <c r="BF558" s="17" t="n"/>
      <c r="BG558" s="16" t="n"/>
      <c r="BH558" s="20" t="inlineStr">
        <is>
          <t>IC Kationen</t>
        </is>
      </c>
      <c r="BI558" s="20" t="inlineStr">
        <is>
          <t>None</t>
        </is>
      </c>
      <c r="BJ558" s="17" t="n"/>
      <c r="BK558" s="16" t="n"/>
      <c r="BL558" s="20" t="inlineStr">
        <is>
          <t>IC Kationen</t>
        </is>
      </c>
      <c r="BM558" s="20" t="inlineStr">
        <is>
          <t>None</t>
        </is>
      </c>
      <c r="BN558" s="17" t="n"/>
      <c r="BO558" s="16" t="n"/>
      <c r="BP558" s="20" t="inlineStr">
        <is>
          <t>IC Kationen</t>
        </is>
      </c>
      <c r="BQ558" s="20" t="inlineStr">
        <is>
          <t>None</t>
        </is>
      </c>
      <c r="BR558" s="17" t="n"/>
      <c r="BS558" s="16" t="n"/>
      <c r="BT558" s="20" t="inlineStr">
        <is>
          <t>IC Kationen</t>
        </is>
      </c>
      <c r="BU558" s="20" t="inlineStr">
        <is>
          <t>None</t>
        </is>
      </c>
      <c r="BV558" s="17" t="n"/>
      <c r="BW558" s="16" t="n"/>
      <c r="BX558" s="20" t="n"/>
      <c r="BY558" s="20" t="inlineStr">
        <is>
          <t>None</t>
        </is>
      </c>
      <c r="BZ558" s="17" t="n"/>
      <c r="CA558" s="16" t="n"/>
      <c r="CB558" s="20" t="n"/>
      <c r="CC558" s="20" t="inlineStr">
        <is>
          <t>None</t>
        </is>
      </c>
      <c r="CD558" s="17" t="n"/>
      <c r="CE558" s="16" t="n"/>
      <c r="CF558" s="20" t="n"/>
      <c r="CG558" s="20" t="inlineStr">
        <is>
          <t>None</t>
        </is>
      </c>
      <c r="CH558" s="17" t="n"/>
      <c r="CI558" s="16" t="n"/>
      <c r="CJ558" s="20" t="n"/>
      <c r="CK558" s="20" t="inlineStr">
        <is>
          <t>None</t>
        </is>
      </c>
      <c r="CL558" s="17" t="n"/>
      <c r="CM558" s="16" t="n"/>
      <c r="CN558" s="20" t="inlineStr">
        <is>
          <t>SOP 45-34</t>
        </is>
      </c>
      <c r="CO558" s="20" t="inlineStr">
        <is>
          <t>None</t>
        </is>
      </c>
      <c r="CP558" s="17" t="n"/>
      <c r="CQ558" s="16" t="n"/>
      <c r="CR558" s="20" t="n"/>
      <c r="CS558" s="20" t="inlineStr">
        <is>
          <t>None</t>
        </is>
      </c>
      <c r="CT558" s="17" t="n"/>
      <c r="CU558" s="16" t="n"/>
      <c r="CV558" s="20" t="n"/>
      <c r="CW558" s="20" t="inlineStr">
        <is>
          <t>None</t>
        </is>
      </c>
      <c r="CX558" s="17" t="n"/>
      <c r="CY558" s="16" t="n"/>
      <c r="CZ558" s="20" t="inlineStr">
        <is>
          <t>WTW Multimeter 3430 with FDO 925</t>
        </is>
      </c>
      <c r="DA558" s="20" t="inlineStr">
        <is>
          <t>None</t>
        </is>
      </c>
      <c r="DB558" s="17" t="n"/>
      <c r="DC558" s="16" t="n"/>
      <c r="DD558" s="20" t="n"/>
      <c r="DE558" s="20" t="inlineStr">
        <is>
          <t>None</t>
        </is>
      </c>
      <c r="DF558" s="17" t="n"/>
      <c r="DG558" s="16" t="n"/>
      <c r="DH558" s="20" t="inlineStr">
        <is>
          <t>SOP 45-09</t>
        </is>
      </c>
      <c r="DI558" s="20" t="inlineStr">
        <is>
          <t>None</t>
        </is>
      </c>
      <c r="DJ558" s="17" t="n"/>
      <c r="DK558" s="16" t="n"/>
      <c r="DL558" s="20" t="inlineStr">
        <is>
          <t>SOP 45-09 (SOP muss noch angepasst werden für VSS)</t>
        </is>
      </c>
      <c r="DM558" s="20" t="inlineStr">
        <is>
          <t>None</t>
        </is>
      </c>
      <c r="DN558" s="17" t="n"/>
      <c r="DO558" s="16" t="n"/>
      <c r="DP558" s="20" t="inlineStr">
        <is>
          <t>IC Organic Acids</t>
        </is>
      </c>
      <c r="DQ558" s="20" t="inlineStr">
        <is>
          <t>None</t>
        </is>
      </c>
      <c r="DR558" s="17" t="n"/>
      <c r="DS558" s="16" t="n"/>
      <c r="DT558" s="20" t="inlineStr">
        <is>
          <t>IC Organic Acids</t>
        </is>
      </c>
      <c r="DU558" s="20" t="inlineStr">
        <is>
          <t>None</t>
        </is>
      </c>
      <c r="DV558" s="17" t="n"/>
      <c r="DW558" s="16" t="n"/>
      <c r="DX558" s="20" t="inlineStr">
        <is>
          <t>IC Organic Acids</t>
        </is>
      </c>
      <c r="DY558" s="20" t="inlineStr">
        <is>
          <t>None</t>
        </is>
      </c>
      <c r="DZ558" s="17" t="n"/>
      <c r="EA558" s="16" t="n"/>
      <c r="EB558" s="20" t="inlineStr">
        <is>
          <t>IC Organic Acids</t>
        </is>
      </c>
      <c r="EC558" s="20" t="inlineStr">
        <is>
          <t>None</t>
        </is>
      </c>
      <c r="ED558" s="17" t="n"/>
      <c r="EE558" s="16" t="n"/>
      <c r="EF558" s="20" t="inlineStr">
        <is>
          <t>IC Organic Acids</t>
        </is>
      </c>
      <c r="EG558" s="20" t="inlineStr">
        <is>
          <t>None</t>
        </is>
      </c>
      <c r="EH558" s="17" t="n"/>
      <c r="EI558" s="16" t="n"/>
      <c r="EJ558" s="20" t="inlineStr">
        <is>
          <t>IC Organic Acids</t>
        </is>
      </c>
      <c r="EK558" s="20" t="inlineStr">
        <is>
          <t>None</t>
        </is>
      </c>
      <c r="EL558" s="17" t="n"/>
      <c r="EM558" s="16" t="n"/>
      <c r="EN558" s="20" t="inlineStr">
        <is>
          <t>IC Organic Acids</t>
        </is>
      </c>
      <c r="EO558" s="20" t="inlineStr">
        <is>
          <t>None</t>
        </is>
      </c>
      <c r="EP558" s="17" t="n"/>
      <c r="EQ558" s="16" t="n"/>
      <c r="ER558" s="20" t="inlineStr">
        <is>
          <t>IC Organic Acids</t>
        </is>
      </c>
      <c r="ES558" s="20" t="inlineStr">
        <is>
          <t>None</t>
        </is>
      </c>
      <c r="ET558" s="17" t="n"/>
      <c r="EU558" s="16" t="n"/>
      <c r="EV558" s="20" t="inlineStr">
        <is>
          <t>LC-MS</t>
        </is>
      </c>
      <c r="EW558" s="20" t="inlineStr">
        <is>
          <t>None</t>
        </is>
      </c>
      <c r="EX558" s="17" t="n"/>
      <c r="EY558" s="21" t="n"/>
      <c r="EZ558">
        <f>CONCATENATE(A558,B558)</f>
        <v/>
      </c>
      <c r="FA558">
        <f>CONCATENATE(SamplesX!A558,SamplesX!B558)</f>
        <v/>
      </c>
      <c r="FC558">
        <f>MATCH(EZ558,FA1:FA1008,0)</f>
        <v/>
      </c>
    </row>
    <row r="559">
      <c r="A559" s="16" t="n"/>
      <c r="B559" s="17" t="n"/>
      <c r="C559" s="10">
        <f>IF(ISNUMBER(FC559),INDIRECT("SamplesX!C"&amp;FC559),IF(ISNUMBER(FD559),INDIRECT("SamplesY!C"&amp;FD559),""))</f>
        <v/>
      </c>
      <c r="D559" s="12">
        <f>IF(ISNUMBER(FC559),INDIRECT("SamplesX!D"&amp;FC559),IF(ISNUMBER(FD559),INDIRECT("SamplesY!D"&amp;FD559),""))</f>
        <v/>
      </c>
      <c r="E559" s="12">
        <f>IF(ISNUMBER(FC559),INDIRECT("SamplesX!E"&amp;FC559),IF(ISNUMBER(FD559),INDIRECT("SamplesY!E"&amp;FD559),""))</f>
        <v/>
      </c>
      <c r="F559" s="11">
        <f>IF(ISNUMBER(FC559),INDIRECT("SamplesX!F"&amp;FC559),IF(ISNUMBER(FD559),INDIRECT("SamplesY!F"&amp;FD559),""))</f>
        <v/>
      </c>
      <c r="G559" s="18">
        <f>IF(ISNUMBER(FC559),INDIRECT("SamplesX!G"&amp;FC559),IF(ISNUMBER(FD559),INDIRECT("SamplesY!G"&amp;FD559),""))</f>
        <v/>
      </c>
      <c r="H559" s="19">
        <f>IF(ISNUMBER(FC559),INDIRECT("SamplesX!H"&amp;FC559),IF(ISNUMBER(FD559),INDIRECT("SamplesY!H"&amp;FD559),""))</f>
        <v/>
      </c>
      <c r="I559" s="16" t="n"/>
      <c r="J559" s="16" t="n"/>
      <c r="K559" s="16" t="n"/>
      <c r="L559" s="20" t="n"/>
      <c r="M559" s="20" t="inlineStr">
        <is>
          <t>None</t>
        </is>
      </c>
      <c r="N559" s="17" t="n"/>
      <c r="O559" s="16" t="n"/>
      <c r="P559" s="20" t="inlineStr">
        <is>
          <t>Shimadzu TOC-L</t>
        </is>
      </c>
      <c r="Q559" s="20" t="inlineStr">
        <is>
          <t>None</t>
        </is>
      </c>
      <c r="R559" s="17" t="n"/>
      <c r="S559" s="16" t="n"/>
      <c r="T559" s="20" t="inlineStr">
        <is>
          <t>Shimadzu TOC-L</t>
        </is>
      </c>
      <c r="U559" s="20" t="inlineStr">
        <is>
          <t>None</t>
        </is>
      </c>
      <c r="V559" s="17" t="n"/>
      <c r="W559" s="16" t="n"/>
      <c r="X559" s="20" t="n"/>
      <c r="Y559" s="20" t="inlineStr">
        <is>
          <t>None</t>
        </is>
      </c>
      <c r="Z559" s="17" t="n"/>
      <c r="AA559" s="16" t="n"/>
      <c r="AB559" s="20" t="n"/>
      <c r="AC559" s="20" t="inlineStr">
        <is>
          <t>None</t>
        </is>
      </c>
      <c r="AD559" s="17" t="n"/>
      <c r="AE559" s="16" t="n"/>
      <c r="AF559" s="20" t="inlineStr">
        <is>
          <t>IC Anionen</t>
        </is>
      </c>
      <c r="AG559" s="20" t="inlineStr">
        <is>
          <t>None</t>
        </is>
      </c>
      <c r="AH559" s="17" t="n"/>
      <c r="AI559" s="16" t="n"/>
      <c r="AJ559" s="20" t="n"/>
      <c r="AK559" s="20" t="inlineStr">
        <is>
          <t>None</t>
        </is>
      </c>
      <c r="AL559" s="17" t="n"/>
      <c r="AM559" s="16" t="n"/>
      <c r="AN559" s="20" t="inlineStr">
        <is>
          <t>IC Anionen</t>
        </is>
      </c>
      <c r="AO559" s="20" t="inlineStr">
        <is>
          <t>None</t>
        </is>
      </c>
      <c r="AP559" s="17" t="n"/>
      <c r="AQ559" s="16" t="n"/>
      <c r="AR559" s="20" t="n"/>
      <c r="AS559" s="20" t="inlineStr">
        <is>
          <t>None</t>
        </is>
      </c>
      <c r="AT559" s="17" t="n"/>
      <c r="AU559" s="16" t="n"/>
      <c r="AV559" s="20" t="n"/>
      <c r="AW559" s="20" t="inlineStr">
        <is>
          <t>None</t>
        </is>
      </c>
      <c r="AX559" s="17" t="n"/>
      <c r="AY559" s="16" t="n"/>
      <c r="AZ559" s="20" t="inlineStr">
        <is>
          <t>IC Anionen</t>
        </is>
      </c>
      <c r="BA559" s="20" t="inlineStr">
        <is>
          <t>None</t>
        </is>
      </c>
      <c r="BB559" s="17" t="n"/>
      <c r="BC559" s="16" t="n"/>
      <c r="BD559" s="20" t="inlineStr">
        <is>
          <t>IC Kationen</t>
        </is>
      </c>
      <c r="BE559" s="20" t="inlineStr">
        <is>
          <t>None</t>
        </is>
      </c>
      <c r="BF559" s="17" t="n"/>
      <c r="BG559" s="16" t="n"/>
      <c r="BH559" s="20" t="inlineStr">
        <is>
          <t>IC Kationen</t>
        </is>
      </c>
      <c r="BI559" s="20" t="inlineStr">
        <is>
          <t>None</t>
        </is>
      </c>
      <c r="BJ559" s="17" t="n"/>
      <c r="BK559" s="16" t="n"/>
      <c r="BL559" s="20" t="inlineStr">
        <is>
          <t>IC Kationen</t>
        </is>
      </c>
      <c r="BM559" s="20" t="inlineStr">
        <is>
          <t>None</t>
        </is>
      </c>
      <c r="BN559" s="17" t="n"/>
      <c r="BO559" s="16" t="n"/>
      <c r="BP559" s="20" t="inlineStr">
        <is>
          <t>IC Kationen</t>
        </is>
      </c>
      <c r="BQ559" s="20" t="inlineStr">
        <is>
          <t>None</t>
        </is>
      </c>
      <c r="BR559" s="17" t="n"/>
      <c r="BS559" s="16" t="n"/>
      <c r="BT559" s="20" t="inlineStr">
        <is>
          <t>IC Kationen</t>
        </is>
      </c>
      <c r="BU559" s="20" t="inlineStr">
        <is>
          <t>None</t>
        </is>
      </c>
      <c r="BV559" s="17" t="n"/>
      <c r="BW559" s="16" t="n"/>
      <c r="BX559" s="20" t="n"/>
      <c r="BY559" s="20" t="inlineStr">
        <is>
          <t>None</t>
        </is>
      </c>
      <c r="BZ559" s="17" t="n"/>
      <c r="CA559" s="16" t="n"/>
      <c r="CB559" s="20" t="n"/>
      <c r="CC559" s="20" t="inlineStr">
        <is>
          <t>None</t>
        </is>
      </c>
      <c r="CD559" s="17" t="n"/>
      <c r="CE559" s="16" t="n"/>
      <c r="CF559" s="20" t="n"/>
      <c r="CG559" s="20" t="inlineStr">
        <is>
          <t>None</t>
        </is>
      </c>
      <c r="CH559" s="17" t="n"/>
      <c r="CI559" s="16" t="n"/>
      <c r="CJ559" s="20" t="n"/>
      <c r="CK559" s="20" t="inlineStr">
        <is>
          <t>None</t>
        </is>
      </c>
      <c r="CL559" s="17" t="n"/>
      <c r="CM559" s="16" t="n"/>
      <c r="CN559" s="20" t="inlineStr">
        <is>
          <t>SOP 45-34</t>
        </is>
      </c>
      <c r="CO559" s="20" t="inlineStr">
        <is>
          <t>None</t>
        </is>
      </c>
      <c r="CP559" s="17" t="n"/>
      <c r="CQ559" s="16" t="n"/>
      <c r="CR559" s="20" t="n"/>
      <c r="CS559" s="20" t="inlineStr">
        <is>
          <t>None</t>
        </is>
      </c>
      <c r="CT559" s="17" t="n"/>
      <c r="CU559" s="16" t="n"/>
      <c r="CV559" s="20" t="n"/>
      <c r="CW559" s="20" t="inlineStr">
        <is>
          <t>None</t>
        </is>
      </c>
      <c r="CX559" s="17" t="n"/>
      <c r="CY559" s="16" t="n"/>
      <c r="CZ559" s="20" t="inlineStr">
        <is>
          <t>WTW Multimeter 3430 with FDO 925</t>
        </is>
      </c>
      <c r="DA559" s="20" t="inlineStr">
        <is>
          <t>None</t>
        </is>
      </c>
      <c r="DB559" s="17" t="n"/>
      <c r="DC559" s="16" t="n"/>
      <c r="DD559" s="20" t="n"/>
      <c r="DE559" s="20" t="inlineStr">
        <is>
          <t>None</t>
        </is>
      </c>
      <c r="DF559" s="17" t="n"/>
      <c r="DG559" s="16" t="n"/>
      <c r="DH559" s="20" t="inlineStr">
        <is>
          <t>SOP 45-09</t>
        </is>
      </c>
      <c r="DI559" s="20" t="inlineStr">
        <is>
          <t>None</t>
        </is>
      </c>
      <c r="DJ559" s="17" t="n"/>
      <c r="DK559" s="16" t="n"/>
      <c r="DL559" s="20" t="inlineStr">
        <is>
          <t>SOP 45-09 (SOP muss noch angepasst werden für VSS)</t>
        </is>
      </c>
      <c r="DM559" s="20" t="inlineStr">
        <is>
          <t>None</t>
        </is>
      </c>
      <c r="DN559" s="17" t="n"/>
      <c r="DO559" s="16" t="n"/>
      <c r="DP559" s="20" t="inlineStr">
        <is>
          <t>IC Organic Acids</t>
        </is>
      </c>
      <c r="DQ559" s="20" t="inlineStr">
        <is>
          <t>None</t>
        </is>
      </c>
      <c r="DR559" s="17" t="n"/>
      <c r="DS559" s="16" t="n"/>
      <c r="DT559" s="20" t="inlineStr">
        <is>
          <t>IC Organic Acids</t>
        </is>
      </c>
      <c r="DU559" s="20" t="inlineStr">
        <is>
          <t>None</t>
        </is>
      </c>
      <c r="DV559" s="17" t="n"/>
      <c r="DW559" s="16" t="n"/>
      <c r="DX559" s="20" t="inlineStr">
        <is>
          <t>IC Organic Acids</t>
        </is>
      </c>
      <c r="DY559" s="20" t="inlineStr">
        <is>
          <t>None</t>
        </is>
      </c>
      <c r="DZ559" s="17" t="n"/>
      <c r="EA559" s="16" t="n"/>
      <c r="EB559" s="20" t="inlineStr">
        <is>
          <t>IC Organic Acids</t>
        </is>
      </c>
      <c r="EC559" s="20" t="inlineStr">
        <is>
          <t>None</t>
        </is>
      </c>
      <c r="ED559" s="17" t="n"/>
      <c r="EE559" s="16" t="n"/>
      <c r="EF559" s="20" t="inlineStr">
        <is>
          <t>IC Organic Acids</t>
        </is>
      </c>
      <c r="EG559" s="20" t="inlineStr">
        <is>
          <t>None</t>
        </is>
      </c>
      <c r="EH559" s="17" t="n"/>
      <c r="EI559" s="16" t="n"/>
      <c r="EJ559" s="20" t="inlineStr">
        <is>
          <t>IC Organic Acids</t>
        </is>
      </c>
      <c r="EK559" s="20" t="inlineStr">
        <is>
          <t>None</t>
        </is>
      </c>
      <c r="EL559" s="17" t="n"/>
      <c r="EM559" s="16" t="n"/>
      <c r="EN559" s="20" t="inlineStr">
        <is>
          <t>IC Organic Acids</t>
        </is>
      </c>
      <c r="EO559" s="20" t="inlineStr">
        <is>
          <t>None</t>
        </is>
      </c>
      <c r="EP559" s="17" t="n"/>
      <c r="EQ559" s="16" t="n"/>
      <c r="ER559" s="20" t="inlineStr">
        <is>
          <t>IC Organic Acids</t>
        </is>
      </c>
      <c r="ES559" s="20" t="inlineStr">
        <is>
          <t>None</t>
        </is>
      </c>
      <c r="ET559" s="17" t="n"/>
      <c r="EU559" s="16" t="n"/>
      <c r="EV559" s="20" t="inlineStr">
        <is>
          <t>LC-MS</t>
        </is>
      </c>
      <c r="EW559" s="20" t="inlineStr">
        <is>
          <t>None</t>
        </is>
      </c>
      <c r="EX559" s="17" t="n"/>
      <c r="EY559" s="21" t="n"/>
      <c r="EZ559">
        <f>CONCATENATE(A559,B559)</f>
        <v/>
      </c>
      <c r="FA559">
        <f>CONCATENATE(SamplesX!A559,SamplesX!B559)</f>
        <v/>
      </c>
      <c r="FC559">
        <f>MATCH(EZ559,FA1:FA1008,0)</f>
        <v/>
      </c>
    </row>
    <row r="560">
      <c r="A560" s="16" t="n"/>
      <c r="B560" s="17" t="n"/>
      <c r="C560" s="10">
        <f>IF(ISNUMBER(FC560),INDIRECT("SamplesX!C"&amp;FC560),IF(ISNUMBER(FD560),INDIRECT("SamplesY!C"&amp;FD560),""))</f>
        <v/>
      </c>
      <c r="D560" s="12">
        <f>IF(ISNUMBER(FC560),INDIRECT("SamplesX!D"&amp;FC560),IF(ISNUMBER(FD560),INDIRECT("SamplesY!D"&amp;FD560),""))</f>
        <v/>
      </c>
      <c r="E560" s="12">
        <f>IF(ISNUMBER(FC560),INDIRECT("SamplesX!E"&amp;FC560),IF(ISNUMBER(FD560),INDIRECT("SamplesY!E"&amp;FD560),""))</f>
        <v/>
      </c>
      <c r="F560" s="11">
        <f>IF(ISNUMBER(FC560),INDIRECT("SamplesX!F"&amp;FC560),IF(ISNUMBER(FD560),INDIRECT("SamplesY!F"&amp;FD560),""))</f>
        <v/>
      </c>
      <c r="G560" s="18">
        <f>IF(ISNUMBER(FC560),INDIRECT("SamplesX!G"&amp;FC560),IF(ISNUMBER(FD560),INDIRECT("SamplesY!G"&amp;FD560),""))</f>
        <v/>
      </c>
      <c r="H560" s="19">
        <f>IF(ISNUMBER(FC560),INDIRECT("SamplesX!H"&amp;FC560),IF(ISNUMBER(FD560),INDIRECT("SamplesY!H"&amp;FD560),""))</f>
        <v/>
      </c>
      <c r="I560" s="16" t="n"/>
      <c r="J560" s="16" t="n"/>
      <c r="K560" s="16" t="n"/>
      <c r="L560" s="20" t="n"/>
      <c r="M560" s="20" t="inlineStr">
        <is>
          <t>None</t>
        </is>
      </c>
      <c r="N560" s="17" t="n"/>
      <c r="O560" s="16" t="n"/>
      <c r="P560" s="20" t="inlineStr">
        <is>
          <t>Shimadzu TOC-L</t>
        </is>
      </c>
      <c r="Q560" s="20" t="inlineStr">
        <is>
          <t>None</t>
        </is>
      </c>
      <c r="R560" s="17" t="n"/>
      <c r="S560" s="16" t="n"/>
      <c r="T560" s="20" t="inlineStr">
        <is>
          <t>Shimadzu TOC-L</t>
        </is>
      </c>
      <c r="U560" s="20" t="inlineStr">
        <is>
          <t>None</t>
        </is>
      </c>
      <c r="V560" s="17" t="n"/>
      <c r="W560" s="16" t="n"/>
      <c r="X560" s="20" t="n"/>
      <c r="Y560" s="20" t="inlineStr">
        <is>
          <t>None</t>
        </is>
      </c>
      <c r="Z560" s="17" t="n"/>
      <c r="AA560" s="16" t="n"/>
      <c r="AB560" s="20" t="n"/>
      <c r="AC560" s="20" t="inlineStr">
        <is>
          <t>None</t>
        </is>
      </c>
      <c r="AD560" s="17" t="n"/>
      <c r="AE560" s="16" t="n"/>
      <c r="AF560" s="20" t="inlineStr">
        <is>
          <t>IC Anionen</t>
        </is>
      </c>
      <c r="AG560" s="20" t="inlineStr">
        <is>
          <t>None</t>
        </is>
      </c>
      <c r="AH560" s="17" t="n"/>
      <c r="AI560" s="16" t="n"/>
      <c r="AJ560" s="20" t="n"/>
      <c r="AK560" s="20" t="inlineStr">
        <is>
          <t>None</t>
        </is>
      </c>
      <c r="AL560" s="17" t="n"/>
      <c r="AM560" s="16" t="n"/>
      <c r="AN560" s="20" t="inlineStr">
        <is>
          <t>IC Anionen</t>
        </is>
      </c>
      <c r="AO560" s="20" t="inlineStr">
        <is>
          <t>None</t>
        </is>
      </c>
      <c r="AP560" s="17" t="n"/>
      <c r="AQ560" s="16" t="n"/>
      <c r="AR560" s="20" t="n"/>
      <c r="AS560" s="20" t="inlineStr">
        <is>
          <t>None</t>
        </is>
      </c>
      <c r="AT560" s="17" t="n"/>
      <c r="AU560" s="16" t="n"/>
      <c r="AV560" s="20" t="n"/>
      <c r="AW560" s="20" t="inlineStr">
        <is>
          <t>None</t>
        </is>
      </c>
      <c r="AX560" s="17" t="n"/>
      <c r="AY560" s="16" t="n"/>
      <c r="AZ560" s="20" t="inlineStr">
        <is>
          <t>IC Anionen</t>
        </is>
      </c>
      <c r="BA560" s="20" t="inlineStr">
        <is>
          <t>None</t>
        </is>
      </c>
      <c r="BB560" s="17" t="n"/>
      <c r="BC560" s="16" t="n"/>
      <c r="BD560" s="20" t="inlineStr">
        <is>
          <t>IC Kationen</t>
        </is>
      </c>
      <c r="BE560" s="20" t="inlineStr">
        <is>
          <t>None</t>
        </is>
      </c>
      <c r="BF560" s="17" t="n"/>
      <c r="BG560" s="16" t="n"/>
      <c r="BH560" s="20" t="inlineStr">
        <is>
          <t>IC Kationen</t>
        </is>
      </c>
      <c r="BI560" s="20" t="inlineStr">
        <is>
          <t>None</t>
        </is>
      </c>
      <c r="BJ560" s="17" t="n"/>
      <c r="BK560" s="16" t="n"/>
      <c r="BL560" s="20" t="inlineStr">
        <is>
          <t>IC Kationen</t>
        </is>
      </c>
      <c r="BM560" s="20" t="inlineStr">
        <is>
          <t>None</t>
        </is>
      </c>
      <c r="BN560" s="17" t="n"/>
      <c r="BO560" s="16" t="n"/>
      <c r="BP560" s="20" t="inlineStr">
        <is>
          <t>IC Kationen</t>
        </is>
      </c>
      <c r="BQ560" s="20" t="inlineStr">
        <is>
          <t>None</t>
        </is>
      </c>
      <c r="BR560" s="17" t="n"/>
      <c r="BS560" s="16" t="n"/>
      <c r="BT560" s="20" t="inlineStr">
        <is>
          <t>IC Kationen</t>
        </is>
      </c>
      <c r="BU560" s="20" t="inlineStr">
        <is>
          <t>None</t>
        </is>
      </c>
      <c r="BV560" s="17" t="n"/>
      <c r="BW560" s="16" t="n"/>
      <c r="BX560" s="20" t="n"/>
      <c r="BY560" s="20" t="inlineStr">
        <is>
          <t>None</t>
        </is>
      </c>
      <c r="BZ560" s="17" t="n"/>
      <c r="CA560" s="16" t="n"/>
      <c r="CB560" s="20" t="n"/>
      <c r="CC560" s="20" t="inlineStr">
        <is>
          <t>None</t>
        </is>
      </c>
      <c r="CD560" s="17" t="n"/>
      <c r="CE560" s="16" t="n"/>
      <c r="CF560" s="20" t="n"/>
      <c r="CG560" s="20" t="inlineStr">
        <is>
          <t>None</t>
        </is>
      </c>
      <c r="CH560" s="17" t="n"/>
      <c r="CI560" s="16" t="n"/>
      <c r="CJ560" s="20" t="n"/>
      <c r="CK560" s="20" t="inlineStr">
        <is>
          <t>None</t>
        </is>
      </c>
      <c r="CL560" s="17" t="n"/>
      <c r="CM560" s="16" t="n"/>
      <c r="CN560" s="20" t="inlineStr">
        <is>
          <t>SOP 45-34</t>
        </is>
      </c>
      <c r="CO560" s="20" t="inlineStr">
        <is>
          <t>None</t>
        </is>
      </c>
      <c r="CP560" s="17" t="n"/>
      <c r="CQ560" s="16" t="n"/>
      <c r="CR560" s="20" t="n"/>
      <c r="CS560" s="20" t="inlineStr">
        <is>
          <t>None</t>
        </is>
      </c>
      <c r="CT560" s="17" t="n"/>
      <c r="CU560" s="16" t="n"/>
      <c r="CV560" s="20" t="n"/>
      <c r="CW560" s="20" t="inlineStr">
        <is>
          <t>None</t>
        </is>
      </c>
      <c r="CX560" s="17" t="n"/>
      <c r="CY560" s="16" t="n"/>
      <c r="CZ560" s="20" t="inlineStr">
        <is>
          <t>WTW Multimeter 3430 with FDO 925</t>
        </is>
      </c>
      <c r="DA560" s="20" t="inlineStr">
        <is>
          <t>None</t>
        </is>
      </c>
      <c r="DB560" s="17" t="n"/>
      <c r="DC560" s="16" t="n"/>
      <c r="DD560" s="20" t="n"/>
      <c r="DE560" s="20" t="inlineStr">
        <is>
          <t>None</t>
        </is>
      </c>
      <c r="DF560" s="17" t="n"/>
      <c r="DG560" s="16" t="n"/>
      <c r="DH560" s="20" t="inlineStr">
        <is>
          <t>SOP 45-09</t>
        </is>
      </c>
      <c r="DI560" s="20" t="inlineStr">
        <is>
          <t>None</t>
        </is>
      </c>
      <c r="DJ560" s="17" t="n"/>
      <c r="DK560" s="16" t="n"/>
      <c r="DL560" s="20" t="inlineStr">
        <is>
          <t>SOP 45-09 (SOP muss noch angepasst werden für VSS)</t>
        </is>
      </c>
      <c r="DM560" s="20" t="inlineStr">
        <is>
          <t>None</t>
        </is>
      </c>
      <c r="DN560" s="17" t="n"/>
      <c r="DO560" s="16" t="n"/>
      <c r="DP560" s="20" t="inlineStr">
        <is>
          <t>IC Organic Acids</t>
        </is>
      </c>
      <c r="DQ560" s="20" t="inlineStr">
        <is>
          <t>None</t>
        </is>
      </c>
      <c r="DR560" s="17" t="n"/>
      <c r="DS560" s="16" t="n"/>
      <c r="DT560" s="20" t="inlineStr">
        <is>
          <t>IC Organic Acids</t>
        </is>
      </c>
      <c r="DU560" s="20" t="inlineStr">
        <is>
          <t>None</t>
        </is>
      </c>
      <c r="DV560" s="17" t="n"/>
      <c r="DW560" s="16" t="n"/>
      <c r="DX560" s="20" t="inlineStr">
        <is>
          <t>IC Organic Acids</t>
        </is>
      </c>
      <c r="DY560" s="20" t="inlineStr">
        <is>
          <t>None</t>
        </is>
      </c>
      <c r="DZ560" s="17" t="n"/>
      <c r="EA560" s="16" t="n"/>
      <c r="EB560" s="20" t="inlineStr">
        <is>
          <t>IC Organic Acids</t>
        </is>
      </c>
      <c r="EC560" s="20" t="inlineStr">
        <is>
          <t>None</t>
        </is>
      </c>
      <c r="ED560" s="17" t="n"/>
      <c r="EE560" s="16" t="n"/>
      <c r="EF560" s="20" t="inlineStr">
        <is>
          <t>IC Organic Acids</t>
        </is>
      </c>
      <c r="EG560" s="20" t="inlineStr">
        <is>
          <t>None</t>
        </is>
      </c>
      <c r="EH560" s="17" t="n"/>
      <c r="EI560" s="16" t="n"/>
      <c r="EJ560" s="20" t="inlineStr">
        <is>
          <t>IC Organic Acids</t>
        </is>
      </c>
      <c r="EK560" s="20" t="inlineStr">
        <is>
          <t>None</t>
        </is>
      </c>
      <c r="EL560" s="17" t="n"/>
      <c r="EM560" s="16" t="n"/>
      <c r="EN560" s="20" t="inlineStr">
        <is>
          <t>IC Organic Acids</t>
        </is>
      </c>
      <c r="EO560" s="20" t="inlineStr">
        <is>
          <t>None</t>
        </is>
      </c>
      <c r="EP560" s="17" t="n"/>
      <c r="EQ560" s="16" t="n"/>
      <c r="ER560" s="20" t="inlineStr">
        <is>
          <t>IC Organic Acids</t>
        </is>
      </c>
      <c r="ES560" s="20" t="inlineStr">
        <is>
          <t>None</t>
        </is>
      </c>
      <c r="ET560" s="17" t="n"/>
      <c r="EU560" s="16" t="n"/>
      <c r="EV560" s="20" t="inlineStr">
        <is>
          <t>LC-MS</t>
        </is>
      </c>
      <c r="EW560" s="20" t="inlineStr">
        <is>
          <t>None</t>
        </is>
      </c>
      <c r="EX560" s="17" t="n"/>
      <c r="EY560" s="21" t="n"/>
      <c r="EZ560">
        <f>CONCATENATE(A560,B560)</f>
        <v/>
      </c>
      <c r="FA560">
        <f>CONCATENATE(SamplesX!A560,SamplesX!B560)</f>
        <v/>
      </c>
      <c r="FC560">
        <f>MATCH(EZ560,FA1:FA1008,0)</f>
        <v/>
      </c>
    </row>
    <row r="561">
      <c r="A561" s="16" t="n"/>
      <c r="B561" s="17" t="n"/>
      <c r="C561" s="10">
        <f>IF(ISNUMBER(FC561),INDIRECT("SamplesX!C"&amp;FC561),IF(ISNUMBER(FD561),INDIRECT("SamplesY!C"&amp;FD561),""))</f>
        <v/>
      </c>
      <c r="D561" s="12">
        <f>IF(ISNUMBER(FC561),INDIRECT("SamplesX!D"&amp;FC561),IF(ISNUMBER(FD561),INDIRECT("SamplesY!D"&amp;FD561),""))</f>
        <v/>
      </c>
      <c r="E561" s="12">
        <f>IF(ISNUMBER(FC561),INDIRECT("SamplesX!E"&amp;FC561),IF(ISNUMBER(FD561),INDIRECT("SamplesY!E"&amp;FD561),""))</f>
        <v/>
      </c>
      <c r="F561" s="11">
        <f>IF(ISNUMBER(FC561),INDIRECT("SamplesX!F"&amp;FC561),IF(ISNUMBER(FD561),INDIRECT("SamplesY!F"&amp;FD561),""))</f>
        <v/>
      </c>
      <c r="G561" s="18">
        <f>IF(ISNUMBER(FC561),INDIRECT("SamplesX!G"&amp;FC561),IF(ISNUMBER(FD561),INDIRECT("SamplesY!G"&amp;FD561),""))</f>
        <v/>
      </c>
      <c r="H561" s="19">
        <f>IF(ISNUMBER(FC561),INDIRECT("SamplesX!H"&amp;FC561),IF(ISNUMBER(FD561),INDIRECT("SamplesY!H"&amp;FD561),""))</f>
        <v/>
      </c>
      <c r="I561" s="16" t="n"/>
      <c r="J561" s="16" t="n"/>
      <c r="K561" s="16" t="n"/>
      <c r="L561" s="20" t="n"/>
      <c r="M561" s="20" t="inlineStr">
        <is>
          <t>None</t>
        </is>
      </c>
      <c r="N561" s="17" t="n"/>
      <c r="O561" s="16" t="n"/>
      <c r="P561" s="20" t="inlineStr">
        <is>
          <t>Shimadzu TOC-L</t>
        </is>
      </c>
      <c r="Q561" s="20" t="inlineStr">
        <is>
          <t>None</t>
        </is>
      </c>
      <c r="R561" s="17" t="n"/>
      <c r="S561" s="16" t="n"/>
      <c r="T561" s="20" t="inlineStr">
        <is>
          <t>Shimadzu TOC-L</t>
        </is>
      </c>
      <c r="U561" s="20" t="inlineStr">
        <is>
          <t>None</t>
        </is>
      </c>
      <c r="V561" s="17" t="n"/>
      <c r="W561" s="16" t="n"/>
      <c r="X561" s="20" t="n"/>
      <c r="Y561" s="20" t="inlineStr">
        <is>
          <t>None</t>
        </is>
      </c>
      <c r="Z561" s="17" t="n"/>
      <c r="AA561" s="16" t="n"/>
      <c r="AB561" s="20" t="n"/>
      <c r="AC561" s="20" t="inlineStr">
        <is>
          <t>None</t>
        </is>
      </c>
      <c r="AD561" s="17" t="n"/>
      <c r="AE561" s="16" t="n"/>
      <c r="AF561" s="20" t="inlineStr">
        <is>
          <t>IC Anionen</t>
        </is>
      </c>
      <c r="AG561" s="20" t="inlineStr">
        <is>
          <t>None</t>
        </is>
      </c>
      <c r="AH561" s="17" t="n"/>
      <c r="AI561" s="16" t="n"/>
      <c r="AJ561" s="20" t="n"/>
      <c r="AK561" s="20" t="inlineStr">
        <is>
          <t>None</t>
        </is>
      </c>
      <c r="AL561" s="17" t="n"/>
      <c r="AM561" s="16" t="n"/>
      <c r="AN561" s="20" t="inlineStr">
        <is>
          <t>IC Anionen</t>
        </is>
      </c>
      <c r="AO561" s="20" t="inlineStr">
        <is>
          <t>None</t>
        </is>
      </c>
      <c r="AP561" s="17" t="n"/>
      <c r="AQ561" s="16" t="n"/>
      <c r="AR561" s="20" t="n"/>
      <c r="AS561" s="20" t="inlineStr">
        <is>
          <t>None</t>
        </is>
      </c>
      <c r="AT561" s="17" t="n"/>
      <c r="AU561" s="16" t="n"/>
      <c r="AV561" s="20" t="n"/>
      <c r="AW561" s="20" t="inlineStr">
        <is>
          <t>None</t>
        </is>
      </c>
      <c r="AX561" s="17" t="n"/>
      <c r="AY561" s="16" t="n"/>
      <c r="AZ561" s="20" t="inlineStr">
        <is>
          <t>IC Anionen</t>
        </is>
      </c>
      <c r="BA561" s="20" t="inlineStr">
        <is>
          <t>None</t>
        </is>
      </c>
      <c r="BB561" s="17" t="n"/>
      <c r="BC561" s="16" t="n"/>
      <c r="BD561" s="20" t="inlineStr">
        <is>
          <t>IC Kationen</t>
        </is>
      </c>
      <c r="BE561" s="20" t="inlineStr">
        <is>
          <t>None</t>
        </is>
      </c>
      <c r="BF561" s="17" t="n"/>
      <c r="BG561" s="16" t="n"/>
      <c r="BH561" s="20" t="inlineStr">
        <is>
          <t>IC Kationen</t>
        </is>
      </c>
      <c r="BI561" s="20" t="inlineStr">
        <is>
          <t>None</t>
        </is>
      </c>
      <c r="BJ561" s="17" t="n"/>
      <c r="BK561" s="16" t="n"/>
      <c r="BL561" s="20" t="inlineStr">
        <is>
          <t>IC Kationen</t>
        </is>
      </c>
      <c r="BM561" s="20" t="inlineStr">
        <is>
          <t>None</t>
        </is>
      </c>
      <c r="BN561" s="17" t="n"/>
      <c r="BO561" s="16" t="n"/>
      <c r="BP561" s="20" t="inlineStr">
        <is>
          <t>IC Kationen</t>
        </is>
      </c>
      <c r="BQ561" s="20" t="inlineStr">
        <is>
          <t>None</t>
        </is>
      </c>
      <c r="BR561" s="17" t="n"/>
      <c r="BS561" s="16" t="n"/>
      <c r="BT561" s="20" t="inlineStr">
        <is>
          <t>IC Kationen</t>
        </is>
      </c>
      <c r="BU561" s="20" t="inlineStr">
        <is>
          <t>None</t>
        </is>
      </c>
      <c r="BV561" s="17" t="n"/>
      <c r="BW561" s="16" t="n"/>
      <c r="BX561" s="20" t="n"/>
      <c r="BY561" s="20" t="inlineStr">
        <is>
          <t>None</t>
        </is>
      </c>
      <c r="BZ561" s="17" t="n"/>
      <c r="CA561" s="16" t="n"/>
      <c r="CB561" s="20" t="n"/>
      <c r="CC561" s="20" t="inlineStr">
        <is>
          <t>None</t>
        </is>
      </c>
      <c r="CD561" s="17" t="n"/>
      <c r="CE561" s="16" t="n"/>
      <c r="CF561" s="20" t="n"/>
      <c r="CG561" s="20" t="inlineStr">
        <is>
          <t>None</t>
        </is>
      </c>
      <c r="CH561" s="17" t="n"/>
      <c r="CI561" s="16" t="n"/>
      <c r="CJ561" s="20" t="n"/>
      <c r="CK561" s="20" t="inlineStr">
        <is>
          <t>None</t>
        </is>
      </c>
      <c r="CL561" s="17" t="n"/>
      <c r="CM561" s="16" t="n"/>
      <c r="CN561" s="20" t="inlineStr">
        <is>
          <t>SOP 45-34</t>
        </is>
      </c>
      <c r="CO561" s="20" t="inlineStr">
        <is>
          <t>None</t>
        </is>
      </c>
      <c r="CP561" s="17" t="n"/>
      <c r="CQ561" s="16" t="n"/>
      <c r="CR561" s="20" t="n"/>
      <c r="CS561" s="20" t="inlineStr">
        <is>
          <t>None</t>
        </is>
      </c>
      <c r="CT561" s="17" t="n"/>
      <c r="CU561" s="16" t="n"/>
      <c r="CV561" s="20" t="n"/>
      <c r="CW561" s="20" t="inlineStr">
        <is>
          <t>None</t>
        </is>
      </c>
      <c r="CX561" s="17" t="n"/>
      <c r="CY561" s="16" t="n"/>
      <c r="CZ561" s="20" t="inlineStr">
        <is>
          <t>WTW Multimeter 3430 with FDO 925</t>
        </is>
      </c>
      <c r="DA561" s="20" t="inlineStr">
        <is>
          <t>None</t>
        </is>
      </c>
      <c r="DB561" s="17" t="n"/>
      <c r="DC561" s="16" t="n"/>
      <c r="DD561" s="20" t="n"/>
      <c r="DE561" s="20" t="inlineStr">
        <is>
          <t>None</t>
        </is>
      </c>
      <c r="DF561" s="17" t="n"/>
      <c r="DG561" s="16" t="n"/>
      <c r="DH561" s="20" t="inlineStr">
        <is>
          <t>SOP 45-09</t>
        </is>
      </c>
      <c r="DI561" s="20" t="inlineStr">
        <is>
          <t>None</t>
        </is>
      </c>
      <c r="DJ561" s="17" t="n"/>
      <c r="DK561" s="16" t="n"/>
      <c r="DL561" s="20" t="inlineStr">
        <is>
          <t>SOP 45-09 (SOP muss noch angepasst werden für VSS)</t>
        </is>
      </c>
      <c r="DM561" s="20" t="inlineStr">
        <is>
          <t>None</t>
        </is>
      </c>
      <c r="DN561" s="17" t="n"/>
      <c r="DO561" s="16" t="n"/>
      <c r="DP561" s="20" t="inlineStr">
        <is>
          <t>IC Organic Acids</t>
        </is>
      </c>
      <c r="DQ561" s="20" t="inlineStr">
        <is>
          <t>None</t>
        </is>
      </c>
      <c r="DR561" s="17" t="n"/>
      <c r="DS561" s="16" t="n"/>
      <c r="DT561" s="20" t="inlineStr">
        <is>
          <t>IC Organic Acids</t>
        </is>
      </c>
      <c r="DU561" s="20" t="inlineStr">
        <is>
          <t>None</t>
        </is>
      </c>
      <c r="DV561" s="17" t="n"/>
      <c r="DW561" s="16" t="n"/>
      <c r="DX561" s="20" t="inlineStr">
        <is>
          <t>IC Organic Acids</t>
        </is>
      </c>
      <c r="DY561" s="20" t="inlineStr">
        <is>
          <t>None</t>
        </is>
      </c>
      <c r="DZ561" s="17" t="n"/>
      <c r="EA561" s="16" t="n"/>
      <c r="EB561" s="20" t="inlineStr">
        <is>
          <t>IC Organic Acids</t>
        </is>
      </c>
      <c r="EC561" s="20" t="inlineStr">
        <is>
          <t>None</t>
        </is>
      </c>
      <c r="ED561" s="17" t="n"/>
      <c r="EE561" s="16" t="n"/>
      <c r="EF561" s="20" t="inlineStr">
        <is>
          <t>IC Organic Acids</t>
        </is>
      </c>
      <c r="EG561" s="20" t="inlineStr">
        <is>
          <t>None</t>
        </is>
      </c>
      <c r="EH561" s="17" t="n"/>
      <c r="EI561" s="16" t="n"/>
      <c r="EJ561" s="20" t="inlineStr">
        <is>
          <t>IC Organic Acids</t>
        </is>
      </c>
      <c r="EK561" s="20" t="inlineStr">
        <is>
          <t>None</t>
        </is>
      </c>
      <c r="EL561" s="17" t="n"/>
      <c r="EM561" s="16" t="n"/>
      <c r="EN561" s="20" t="inlineStr">
        <is>
          <t>IC Organic Acids</t>
        </is>
      </c>
      <c r="EO561" s="20" t="inlineStr">
        <is>
          <t>None</t>
        </is>
      </c>
      <c r="EP561" s="17" t="n"/>
      <c r="EQ561" s="16" t="n"/>
      <c r="ER561" s="20" t="inlineStr">
        <is>
          <t>IC Organic Acids</t>
        </is>
      </c>
      <c r="ES561" s="20" t="inlineStr">
        <is>
          <t>None</t>
        </is>
      </c>
      <c r="ET561" s="17" t="n"/>
      <c r="EU561" s="16" t="n"/>
      <c r="EV561" s="20" t="inlineStr">
        <is>
          <t>LC-MS</t>
        </is>
      </c>
      <c r="EW561" s="20" t="inlineStr">
        <is>
          <t>None</t>
        </is>
      </c>
      <c r="EX561" s="17" t="n"/>
      <c r="EY561" s="21" t="n"/>
      <c r="EZ561">
        <f>CONCATENATE(A561,B561)</f>
        <v/>
      </c>
      <c r="FA561">
        <f>CONCATENATE(SamplesX!A561,SamplesX!B561)</f>
        <v/>
      </c>
      <c r="FC561">
        <f>MATCH(EZ561,FA1:FA1008,0)</f>
        <v/>
      </c>
    </row>
    <row r="562">
      <c r="A562" s="16" t="n"/>
      <c r="B562" s="17" t="n"/>
      <c r="C562" s="10">
        <f>IF(ISNUMBER(FC562),INDIRECT("SamplesX!C"&amp;FC562),IF(ISNUMBER(FD562),INDIRECT("SamplesY!C"&amp;FD562),""))</f>
        <v/>
      </c>
      <c r="D562" s="12">
        <f>IF(ISNUMBER(FC562),INDIRECT("SamplesX!D"&amp;FC562),IF(ISNUMBER(FD562),INDIRECT("SamplesY!D"&amp;FD562),""))</f>
        <v/>
      </c>
      <c r="E562" s="12">
        <f>IF(ISNUMBER(FC562),INDIRECT("SamplesX!E"&amp;FC562),IF(ISNUMBER(FD562),INDIRECT("SamplesY!E"&amp;FD562),""))</f>
        <v/>
      </c>
      <c r="F562" s="11">
        <f>IF(ISNUMBER(FC562),INDIRECT("SamplesX!F"&amp;FC562),IF(ISNUMBER(FD562),INDIRECT("SamplesY!F"&amp;FD562),""))</f>
        <v/>
      </c>
      <c r="G562" s="18">
        <f>IF(ISNUMBER(FC562),INDIRECT("SamplesX!G"&amp;FC562),IF(ISNUMBER(FD562),INDIRECT("SamplesY!G"&amp;FD562),""))</f>
        <v/>
      </c>
      <c r="H562" s="19">
        <f>IF(ISNUMBER(FC562),INDIRECT("SamplesX!H"&amp;FC562),IF(ISNUMBER(FD562),INDIRECT("SamplesY!H"&amp;FD562),""))</f>
        <v/>
      </c>
      <c r="I562" s="16" t="n"/>
      <c r="J562" s="16" t="n"/>
      <c r="K562" s="16" t="n"/>
      <c r="L562" s="20" t="n"/>
      <c r="M562" s="20" t="inlineStr">
        <is>
          <t>None</t>
        </is>
      </c>
      <c r="N562" s="17" t="n"/>
      <c r="O562" s="16" t="n"/>
      <c r="P562" s="20" t="inlineStr">
        <is>
          <t>Shimadzu TOC-L</t>
        </is>
      </c>
      <c r="Q562" s="20" t="inlineStr">
        <is>
          <t>None</t>
        </is>
      </c>
      <c r="R562" s="17" t="n"/>
      <c r="S562" s="16" t="n"/>
      <c r="T562" s="20" t="inlineStr">
        <is>
          <t>Shimadzu TOC-L</t>
        </is>
      </c>
      <c r="U562" s="20" t="inlineStr">
        <is>
          <t>None</t>
        </is>
      </c>
      <c r="V562" s="17" t="n"/>
      <c r="W562" s="16" t="n"/>
      <c r="X562" s="20" t="n"/>
      <c r="Y562" s="20" t="inlineStr">
        <is>
          <t>None</t>
        </is>
      </c>
      <c r="Z562" s="17" t="n"/>
      <c r="AA562" s="16" t="n"/>
      <c r="AB562" s="20" t="n"/>
      <c r="AC562" s="20" t="inlineStr">
        <is>
          <t>None</t>
        </is>
      </c>
      <c r="AD562" s="17" t="n"/>
      <c r="AE562" s="16" t="n"/>
      <c r="AF562" s="20" t="inlineStr">
        <is>
          <t>IC Anionen</t>
        </is>
      </c>
      <c r="AG562" s="20" t="inlineStr">
        <is>
          <t>None</t>
        </is>
      </c>
      <c r="AH562" s="17" t="n"/>
      <c r="AI562" s="16" t="n"/>
      <c r="AJ562" s="20" t="n"/>
      <c r="AK562" s="20" t="inlineStr">
        <is>
          <t>None</t>
        </is>
      </c>
      <c r="AL562" s="17" t="n"/>
      <c r="AM562" s="16" t="n"/>
      <c r="AN562" s="20" t="inlineStr">
        <is>
          <t>IC Anionen</t>
        </is>
      </c>
      <c r="AO562" s="20" t="inlineStr">
        <is>
          <t>None</t>
        </is>
      </c>
      <c r="AP562" s="17" t="n"/>
      <c r="AQ562" s="16" t="n"/>
      <c r="AR562" s="20" t="n"/>
      <c r="AS562" s="20" t="inlineStr">
        <is>
          <t>None</t>
        </is>
      </c>
      <c r="AT562" s="17" t="n"/>
      <c r="AU562" s="16" t="n"/>
      <c r="AV562" s="20" t="n"/>
      <c r="AW562" s="20" t="inlineStr">
        <is>
          <t>None</t>
        </is>
      </c>
      <c r="AX562" s="17" t="n"/>
      <c r="AY562" s="16" t="n"/>
      <c r="AZ562" s="20" t="inlineStr">
        <is>
          <t>IC Anionen</t>
        </is>
      </c>
      <c r="BA562" s="20" t="inlineStr">
        <is>
          <t>None</t>
        </is>
      </c>
      <c r="BB562" s="17" t="n"/>
      <c r="BC562" s="16" t="n"/>
      <c r="BD562" s="20" t="inlineStr">
        <is>
          <t>IC Kationen</t>
        </is>
      </c>
      <c r="BE562" s="20" t="inlineStr">
        <is>
          <t>None</t>
        </is>
      </c>
      <c r="BF562" s="17" t="n"/>
      <c r="BG562" s="16" t="n"/>
      <c r="BH562" s="20" t="inlineStr">
        <is>
          <t>IC Kationen</t>
        </is>
      </c>
      <c r="BI562" s="20" t="inlineStr">
        <is>
          <t>None</t>
        </is>
      </c>
      <c r="BJ562" s="17" t="n"/>
      <c r="BK562" s="16" t="n"/>
      <c r="BL562" s="20" t="inlineStr">
        <is>
          <t>IC Kationen</t>
        </is>
      </c>
      <c r="BM562" s="20" t="inlineStr">
        <is>
          <t>None</t>
        </is>
      </c>
      <c r="BN562" s="17" t="n"/>
      <c r="BO562" s="16" t="n"/>
      <c r="BP562" s="20" t="inlineStr">
        <is>
          <t>IC Kationen</t>
        </is>
      </c>
      <c r="BQ562" s="20" t="inlineStr">
        <is>
          <t>None</t>
        </is>
      </c>
      <c r="BR562" s="17" t="n"/>
      <c r="BS562" s="16" t="n"/>
      <c r="BT562" s="20" t="inlineStr">
        <is>
          <t>IC Kationen</t>
        </is>
      </c>
      <c r="BU562" s="20" t="inlineStr">
        <is>
          <t>None</t>
        </is>
      </c>
      <c r="BV562" s="17" t="n"/>
      <c r="BW562" s="16" t="n"/>
      <c r="BX562" s="20" t="n"/>
      <c r="BY562" s="20" t="inlineStr">
        <is>
          <t>None</t>
        </is>
      </c>
      <c r="BZ562" s="17" t="n"/>
      <c r="CA562" s="16" t="n"/>
      <c r="CB562" s="20" t="n"/>
      <c r="CC562" s="20" t="inlineStr">
        <is>
          <t>None</t>
        </is>
      </c>
      <c r="CD562" s="17" t="n"/>
      <c r="CE562" s="16" t="n"/>
      <c r="CF562" s="20" t="n"/>
      <c r="CG562" s="20" t="inlineStr">
        <is>
          <t>None</t>
        </is>
      </c>
      <c r="CH562" s="17" t="n"/>
      <c r="CI562" s="16" t="n"/>
      <c r="CJ562" s="20" t="n"/>
      <c r="CK562" s="20" t="inlineStr">
        <is>
          <t>None</t>
        </is>
      </c>
      <c r="CL562" s="17" t="n"/>
      <c r="CM562" s="16" t="n"/>
      <c r="CN562" s="20" t="inlineStr">
        <is>
          <t>SOP 45-34</t>
        </is>
      </c>
      <c r="CO562" s="20" t="inlineStr">
        <is>
          <t>None</t>
        </is>
      </c>
      <c r="CP562" s="17" t="n"/>
      <c r="CQ562" s="16" t="n"/>
      <c r="CR562" s="20" t="n"/>
      <c r="CS562" s="20" t="inlineStr">
        <is>
          <t>None</t>
        </is>
      </c>
      <c r="CT562" s="17" t="n"/>
      <c r="CU562" s="16" t="n"/>
      <c r="CV562" s="20" t="n"/>
      <c r="CW562" s="20" t="inlineStr">
        <is>
          <t>None</t>
        </is>
      </c>
      <c r="CX562" s="17" t="n"/>
      <c r="CY562" s="16" t="n"/>
      <c r="CZ562" s="20" t="inlineStr">
        <is>
          <t>WTW Multimeter 3430 with FDO 925</t>
        </is>
      </c>
      <c r="DA562" s="20" t="inlineStr">
        <is>
          <t>None</t>
        </is>
      </c>
      <c r="DB562" s="17" t="n"/>
      <c r="DC562" s="16" t="n"/>
      <c r="DD562" s="20" t="n"/>
      <c r="DE562" s="20" t="inlineStr">
        <is>
          <t>None</t>
        </is>
      </c>
      <c r="DF562" s="17" t="n"/>
      <c r="DG562" s="16" t="n"/>
      <c r="DH562" s="20" t="inlineStr">
        <is>
          <t>SOP 45-09</t>
        </is>
      </c>
      <c r="DI562" s="20" t="inlineStr">
        <is>
          <t>None</t>
        </is>
      </c>
      <c r="DJ562" s="17" t="n"/>
      <c r="DK562" s="16" t="n"/>
      <c r="DL562" s="20" t="inlineStr">
        <is>
          <t>SOP 45-09 (SOP muss noch angepasst werden für VSS)</t>
        </is>
      </c>
      <c r="DM562" s="20" t="inlineStr">
        <is>
          <t>None</t>
        </is>
      </c>
      <c r="DN562" s="17" t="n"/>
      <c r="DO562" s="16" t="n"/>
      <c r="DP562" s="20" t="inlineStr">
        <is>
          <t>IC Organic Acids</t>
        </is>
      </c>
      <c r="DQ562" s="20" t="inlineStr">
        <is>
          <t>None</t>
        </is>
      </c>
      <c r="DR562" s="17" t="n"/>
      <c r="DS562" s="16" t="n"/>
      <c r="DT562" s="20" t="inlineStr">
        <is>
          <t>IC Organic Acids</t>
        </is>
      </c>
      <c r="DU562" s="20" t="inlineStr">
        <is>
          <t>None</t>
        </is>
      </c>
      <c r="DV562" s="17" t="n"/>
      <c r="DW562" s="16" t="n"/>
      <c r="DX562" s="20" t="inlineStr">
        <is>
          <t>IC Organic Acids</t>
        </is>
      </c>
      <c r="DY562" s="20" t="inlineStr">
        <is>
          <t>None</t>
        </is>
      </c>
      <c r="DZ562" s="17" t="n"/>
      <c r="EA562" s="16" t="n"/>
      <c r="EB562" s="20" t="inlineStr">
        <is>
          <t>IC Organic Acids</t>
        </is>
      </c>
      <c r="EC562" s="20" t="inlineStr">
        <is>
          <t>None</t>
        </is>
      </c>
      <c r="ED562" s="17" t="n"/>
      <c r="EE562" s="16" t="n"/>
      <c r="EF562" s="20" t="inlineStr">
        <is>
          <t>IC Organic Acids</t>
        </is>
      </c>
      <c r="EG562" s="20" t="inlineStr">
        <is>
          <t>None</t>
        </is>
      </c>
      <c r="EH562" s="17" t="n"/>
      <c r="EI562" s="16" t="n"/>
      <c r="EJ562" s="20" t="inlineStr">
        <is>
          <t>IC Organic Acids</t>
        </is>
      </c>
      <c r="EK562" s="20" t="inlineStr">
        <is>
          <t>None</t>
        </is>
      </c>
      <c r="EL562" s="17" t="n"/>
      <c r="EM562" s="16" t="n"/>
      <c r="EN562" s="20" t="inlineStr">
        <is>
          <t>IC Organic Acids</t>
        </is>
      </c>
      <c r="EO562" s="20" t="inlineStr">
        <is>
          <t>None</t>
        </is>
      </c>
      <c r="EP562" s="17" t="n"/>
      <c r="EQ562" s="16" t="n"/>
      <c r="ER562" s="20" t="inlineStr">
        <is>
          <t>IC Organic Acids</t>
        </is>
      </c>
      <c r="ES562" s="20" t="inlineStr">
        <is>
          <t>None</t>
        </is>
      </c>
      <c r="ET562" s="17" t="n"/>
      <c r="EU562" s="16" t="n"/>
      <c r="EV562" s="20" t="inlineStr">
        <is>
          <t>LC-MS</t>
        </is>
      </c>
      <c r="EW562" s="20" t="inlineStr">
        <is>
          <t>None</t>
        </is>
      </c>
      <c r="EX562" s="17" t="n"/>
      <c r="EY562" s="21" t="n"/>
      <c r="EZ562">
        <f>CONCATENATE(A562,B562)</f>
        <v/>
      </c>
      <c r="FA562">
        <f>CONCATENATE(SamplesX!A562,SamplesX!B562)</f>
        <v/>
      </c>
      <c r="FC562">
        <f>MATCH(EZ562,FA1:FA1008,0)</f>
        <v/>
      </c>
    </row>
    <row r="563">
      <c r="A563" s="16" t="n"/>
      <c r="B563" s="17" t="n"/>
      <c r="C563" s="10">
        <f>IF(ISNUMBER(FC563),INDIRECT("SamplesX!C"&amp;FC563),IF(ISNUMBER(FD563),INDIRECT("SamplesY!C"&amp;FD563),""))</f>
        <v/>
      </c>
      <c r="D563" s="12">
        <f>IF(ISNUMBER(FC563),INDIRECT("SamplesX!D"&amp;FC563),IF(ISNUMBER(FD563),INDIRECT("SamplesY!D"&amp;FD563),""))</f>
        <v/>
      </c>
      <c r="E563" s="12">
        <f>IF(ISNUMBER(FC563),INDIRECT("SamplesX!E"&amp;FC563),IF(ISNUMBER(FD563),INDIRECT("SamplesY!E"&amp;FD563),""))</f>
        <v/>
      </c>
      <c r="F563" s="11">
        <f>IF(ISNUMBER(FC563),INDIRECT("SamplesX!F"&amp;FC563),IF(ISNUMBER(FD563),INDIRECT("SamplesY!F"&amp;FD563),""))</f>
        <v/>
      </c>
      <c r="G563" s="18">
        <f>IF(ISNUMBER(FC563),INDIRECT("SamplesX!G"&amp;FC563),IF(ISNUMBER(FD563),INDIRECT("SamplesY!G"&amp;FD563),""))</f>
        <v/>
      </c>
      <c r="H563" s="19">
        <f>IF(ISNUMBER(FC563),INDIRECT("SamplesX!H"&amp;FC563),IF(ISNUMBER(FD563),INDIRECT("SamplesY!H"&amp;FD563),""))</f>
        <v/>
      </c>
      <c r="I563" s="16" t="n"/>
      <c r="J563" s="16" t="n"/>
      <c r="K563" s="16" t="n"/>
      <c r="L563" s="20" t="n"/>
      <c r="M563" s="20" t="inlineStr">
        <is>
          <t>None</t>
        </is>
      </c>
      <c r="N563" s="17" t="n"/>
      <c r="O563" s="16" t="n"/>
      <c r="P563" s="20" t="inlineStr">
        <is>
          <t>Shimadzu TOC-L</t>
        </is>
      </c>
      <c r="Q563" s="20" t="inlineStr">
        <is>
          <t>None</t>
        </is>
      </c>
      <c r="R563" s="17" t="n"/>
      <c r="S563" s="16" t="n"/>
      <c r="T563" s="20" t="inlineStr">
        <is>
          <t>Shimadzu TOC-L</t>
        </is>
      </c>
      <c r="U563" s="20" t="inlineStr">
        <is>
          <t>None</t>
        </is>
      </c>
      <c r="V563" s="17" t="n"/>
      <c r="W563" s="16" t="n"/>
      <c r="X563" s="20" t="n"/>
      <c r="Y563" s="20" t="inlineStr">
        <is>
          <t>None</t>
        </is>
      </c>
      <c r="Z563" s="17" t="n"/>
      <c r="AA563" s="16" t="n"/>
      <c r="AB563" s="20" t="n"/>
      <c r="AC563" s="20" t="inlineStr">
        <is>
          <t>None</t>
        </is>
      </c>
      <c r="AD563" s="17" t="n"/>
      <c r="AE563" s="16" t="n"/>
      <c r="AF563" s="20" t="inlineStr">
        <is>
          <t>IC Anionen</t>
        </is>
      </c>
      <c r="AG563" s="20" t="inlineStr">
        <is>
          <t>None</t>
        </is>
      </c>
      <c r="AH563" s="17" t="n"/>
      <c r="AI563" s="16" t="n"/>
      <c r="AJ563" s="20" t="n"/>
      <c r="AK563" s="20" t="inlineStr">
        <is>
          <t>None</t>
        </is>
      </c>
      <c r="AL563" s="17" t="n"/>
      <c r="AM563" s="16" t="n"/>
      <c r="AN563" s="20" t="inlineStr">
        <is>
          <t>IC Anionen</t>
        </is>
      </c>
      <c r="AO563" s="20" t="inlineStr">
        <is>
          <t>None</t>
        </is>
      </c>
      <c r="AP563" s="17" t="n"/>
      <c r="AQ563" s="16" t="n"/>
      <c r="AR563" s="20" t="n"/>
      <c r="AS563" s="20" t="inlineStr">
        <is>
          <t>None</t>
        </is>
      </c>
      <c r="AT563" s="17" t="n"/>
      <c r="AU563" s="16" t="n"/>
      <c r="AV563" s="20" t="n"/>
      <c r="AW563" s="20" t="inlineStr">
        <is>
          <t>None</t>
        </is>
      </c>
      <c r="AX563" s="17" t="n"/>
      <c r="AY563" s="16" t="n"/>
      <c r="AZ563" s="20" t="inlineStr">
        <is>
          <t>IC Anionen</t>
        </is>
      </c>
      <c r="BA563" s="20" t="inlineStr">
        <is>
          <t>None</t>
        </is>
      </c>
      <c r="BB563" s="17" t="n"/>
      <c r="BC563" s="16" t="n"/>
      <c r="BD563" s="20" t="inlineStr">
        <is>
          <t>IC Kationen</t>
        </is>
      </c>
      <c r="BE563" s="20" t="inlineStr">
        <is>
          <t>None</t>
        </is>
      </c>
      <c r="BF563" s="17" t="n"/>
      <c r="BG563" s="16" t="n"/>
      <c r="BH563" s="20" t="inlineStr">
        <is>
          <t>IC Kationen</t>
        </is>
      </c>
      <c r="BI563" s="20" t="inlineStr">
        <is>
          <t>None</t>
        </is>
      </c>
      <c r="BJ563" s="17" t="n"/>
      <c r="BK563" s="16" t="n"/>
      <c r="BL563" s="20" t="inlineStr">
        <is>
          <t>IC Kationen</t>
        </is>
      </c>
      <c r="BM563" s="20" t="inlineStr">
        <is>
          <t>None</t>
        </is>
      </c>
      <c r="BN563" s="17" t="n"/>
      <c r="BO563" s="16" t="n"/>
      <c r="BP563" s="20" t="inlineStr">
        <is>
          <t>IC Kationen</t>
        </is>
      </c>
      <c r="BQ563" s="20" t="inlineStr">
        <is>
          <t>None</t>
        </is>
      </c>
      <c r="BR563" s="17" t="n"/>
      <c r="BS563" s="16" t="n"/>
      <c r="BT563" s="20" t="inlineStr">
        <is>
          <t>IC Kationen</t>
        </is>
      </c>
      <c r="BU563" s="20" t="inlineStr">
        <is>
          <t>None</t>
        </is>
      </c>
      <c r="BV563" s="17" t="n"/>
      <c r="BW563" s="16" t="n"/>
      <c r="BX563" s="20" t="n"/>
      <c r="BY563" s="20" t="inlineStr">
        <is>
          <t>None</t>
        </is>
      </c>
      <c r="BZ563" s="17" t="n"/>
      <c r="CA563" s="16" t="n"/>
      <c r="CB563" s="20" t="n"/>
      <c r="CC563" s="20" t="inlineStr">
        <is>
          <t>None</t>
        </is>
      </c>
      <c r="CD563" s="17" t="n"/>
      <c r="CE563" s="16" t="n"/>
      <c r="CF563" s="20" t="n"/>
      <c r="CG563" s="20" t="inlineStr">
        <is>
          <t>None</t>
        </is>
      </c>
      <c r="CH563" s="17" t="n"/>
      <c r="CI563" s="16" t="n"/>
      <c r="CJ563" s="20" t="n"/>
      <c r="CK563" s="20" t="inlineStr">
        <is>
          <t>None</t>
        </is>
      </c>
      <c r="CL563" s="17" t="n"/>
      <c r="CM563" s="16" t="n"/>
      <c r="CN563" s="20" t="inlineStr">
        <is>
          <t>SOP 45-34</t>
        </is>
      </c>
      <c r="CO563" s="20" t="inlineStr">
        <is>
          <t>None</t>
        </is>
      </c>
      <c r="CP563" s="17" t="n"/>
      <c r="CQ563" s="16" t="n"/>
      <c r="CR563" s="20" t="n"/>
      <c r="CS563" s="20" t="inlineStr">
        <is>
          <t>None</t>
        </is>
      </c>
      <c r="CT563" s="17" t="n"/>
      <c r="CU563" s="16" t="n"/>
      <c r="CV563" s="20" t="n"/>
      <c r="CW563" s="20" t="inlineStr">
        <is>
          <t>None</t>
        </is>
      </c>
      <c r="CX563" s="17" t="n"/>
      <c r="CY563" s="16" t="n"/>
      <c r="CZ563" s="20" t="inlineStr">
        <is>
          <t>WTW Multimeter 3430 with FDO 925</t>
        </is>
      </c>
      <c r="DA563" s="20" t="inlineStr">
        <is>
          <t>None</t>
        </is>
      </c>
      <c r="DB563" s="17" t="n"/>
      <c r="DC563" s="16" t="n"/>
      <c r="DD563" s="20" t="n"/>
      <c r="DE563" s="20" t="inlineStr">
        <is>
          <t>None</t>
        </is>
      </c>
      <c r="DF563" s="17" t="n"/>
      <c r="DG563" s="16" t="n"/>
      <c r="DH563" s="20" t="inlineStr">
        <is>
          <t>SOP 45-09</t>
        </is>
      </c>
      <c r="DI563" s="20" t="inlineStr">
        <is>
          <t>None</t>
        </is>
      </c>
      <c r="DJ563" s="17" t="n"/>
      <c r="DK563" s="16" t="n"/>
      <c r="DL563" s="20" t="inlineStr">
        <is>
          <t>SOP 45-09 (SOP muss noch angepasst werden für VSS)</t>
        </is>
      </c>
      <c r="DM563" s="20" t="inlineStr">
        <is>
          <t>None</t>
        </is>
      </c>
      <c r="DN563" s="17" t="n"/>
      <c r="DO563" s="16" t="n"/>
      <c r="DP563" s="20" t="inlineStr">
        <is>
          <t>IC Organic Acids</t>
        </is>
      </c>
      <c r="DQ563" s="20" t="inlineStr">
        <is>
          <t>None</t>
        </is>
      </c>
      <c r="DR563" s="17" t="n"/>
      <c r="DS563" s="16" t="n"/>
      <c r="DT563" s="20" t="inlineStr">
        <is>
          <t>IC Organic Acids</t>
        </is>
      </c>
      <c r="DU563" s="20" t="inlineStr">
        <is>
          <t>None</t>
        </is>
      </c>
      <c r="DV563" s="17" t="n"/>
      <c r="DW563" s="16" t="n"/>
      <c r="DX563" s="20" t="inlineStr">
        <is>
          <t>IC Organic Acids</t>
        </is>
      </c>
      <c r="DY563" s="20" t="inlineStr">
        <is>
          <t>None</t>
        </is>
      </c>
      <c r="DZ563" s="17" t="n"/>
      <c r="EA563" s="16" t="n"/>
      <c r="EB563" s="20" t="inlineStr">
        <is>
          <t>IC Organic Acids</t>
        </is>
      </c>
      <c r="EC563" s="20" t="inlineStr">
        <is>
          <t>None</t>
        </is>
      </c>
      <c r="ED563" s="17" t="n"/>
      <c r="EE563" s="16" t="n"/>
      <c r="EF563" s="20" t="inlineStr">
        <is>
          <t>IC Organic Acids</t>
        </is>
      </c>
      <c r="EG563" s="20" t="inlineStr">
        <is>
          <t>None</t>
        </is>
      </c>
      <c r="EH563" s="17" t="n"/>
      <c r="EI563" s="16" t="n"/>
      <c r="EJ563" s="20" t="inlineStr">
        <is>
          <t>IC Organic Acids</t>
        </is>
      </c>
      <c r="EK563" s="20" t="inlineStr">
        <is>
          <t>None</t>
        </is>
      </c>
      <c r="EL563" s="17" t="n"/>
      <c r="EM563" s="16" t="n"/>
      <c r="EN563" s="20" t="inlineStr">
        <is>
          <t>IC Organic Acids</t>
        </is>
      </c>
      <c r="EO563" s="20" t="inlineStr">
        <is>
          <t>None</t>
        </is>
      </c>
      <c r="EP563" s="17" t="n"/>
      <c r="EQ563" s="16" t="n"/>
      <c r="ER563" s="20" t="inlineStr">
        <is>
          <t>IC Organic Acids</t>
        </is>
      </c>
      <c r="ES563" s="20" t="inlineStr">
        <is>
          <t>None</t>
        </is>
      </c>
      <c r="ET563" s="17" t="n"/>
      <c r="EU563" s="16" t="n"/>
      <c r="EV563" s="20" t="inlineStr">
        <is>
          <t>LC-MS</t>
        </is>
      </c>
      <c r="EW563" s="20" t="inlineStr">
        <is>
          <t>None</t>
        </is>
      </c>
      <c r="EX563" s="17" t="n"/>
      <c r="EY563" s="21" t="n"/>
      <c r="EZ563">
        <f>CONCATENATE(A563,B563)</f>
        <v/>
      </c>
      <c r="FA563">
        <f>CONCATENATE(SamplesX!A563,SamplesX!B563)</f>
        <v/>
      </c>
      <c r="FC563">
        <f>MATCH(EZ563,FA1:FA1008,0)</f>
        <v/>
      </c>
    </row>
    <row r="564">
      <c r="A564" s="16" t="n"/>
      <c r="B564" s="17" t="n"/>
      <c r="C564" s="10">
        <f>IF(ISNUMBER(FC564),INDIRECT("SamplesX!C"&amp;FC564),IF(ISNUMBER(FD564),INDIRECT("SamplesY!C"&amp;FD564),""))</f>
        <v/>
      </c>
      <c r="D564" s="12">
        <f>IF(ISNUMBER(FC564),INDIRECT("SamplesX!D"&amp;FC564),IF(ISNUMBER(FD564),INDIRECT("SamplesY!D"&amp;FD564),""))</f>
        <v/>
      </c>
      <c r="E564" s="12">
        <f>IF(ISNUMBER(FC564),INDIRECT("SamplesX!E"&amp;FC564),IF(ISNUMBER(FD564),INDIRECT("SamplesY!E"&amp;FD564),""))</f>
        <v/>
      </c>
      <c r="F564" s="11">
        <f>IF(ISNUMBER(FC564),INDIRECT("SamplesX!F"&amp;FC564),IF(ISNUMBER(FD564),INDIRECT("SamplesY!F"&amp;FD564),""))</f>
        <v/>
      </c>
      <c r="G564" s="18">
        <f>IF(ISNUMBER(FC564),INDIRECT("SamplesX!G"&amp;FC564),IF(ISNUMBER(FD564),INDIRECT("SamplesY!G"&amp;FD564),""))</f>
        <v/>
      </c>
      <c r="H564" s="19">
        <f>IF(ISNUMBER(FC564),INDIRECT("SamplesX!H"&amp;FC564),IF(ISNUMBER(FD564),INDIRECT("SamplesY!H"&amp;FD564),""))</f>
        <v/>
      </c>
      <c r="I564" s="16" t="n"/>
      <c r="J564" s="16" t="n"/>
      <c r="K564" s="16" t="n"/>
      <c r="L564" s="20" t="n"/>
      <c r="M564" s="20" t="inlineStr">
        <is>
          <t>None</t>
        </is>
      </c>
      <c r="N564" s="17" t="n"/>
      <c r="O564" s="16" t="n"/>
      <c r="P564" s="20" t="inlineStr">
        <is>
          <t>Shimadzu TOC-L</t>
        </is>
      </c>
      <c r="Q564" s="20" t="inlineStr">
        <is>
          <t>None</t>
        </is>
      </c>
      <c r="R564" s="17" t="n"/>
      <c r="S564" s="16" t="n"/>
      <c r="T564" s="20" t="inlineStr">
        <is>
          <t>Shimadzu TOC-L</t>
        </is>
      </c>
      <c r="U564" s="20" t="inlineStr">
        <is>
          <t>None</t>
        </is>
      </c>
      <c r="V564" s="17" t="n"/>
      <c r="W564" s="16" t="n"/>
      <c r="X564" s="20" t="n"/>
      <c r="Y564" s="20" t="inlineStr">
        <is>
          <t>None</t>
        </is>
      </c>
      <c r="Z564" s="17" t="n"/>
      <c r="AA564" s="16" t="n"/>
      <c r="AB564" s="20" t="n"/>
      <c r="AC564" s="20" t="inlineStr">
        <is>
          <t>None</t>
        </is>
      </c>
      <c r="AD564" s="17" t="n"/>
      <c r="AE564" s="16" t="n"/>
      <c r="AF564" s="20" t="inlineStr">
        <is>
          <t>IC Anionen</t>
        </is>
      </c>
      <c r="AG564" s="20" t="inlineStr">
        <is>
          <t>None</t>
        </is>
      </c>
      <c r="AH564" s="17" t="n"/>
      <c r="AI564" s="16" t="n"/>
      <c r="AJ564" s="20" t="n"/>
      <c r="AK564" s="20" t="inlineStr">
        <is>
          <t>None</t>
        </is>
      </c>
      <c r="AL564" s="17" t="n"/>
      <c r="AM564" s="16" t="n"/>
      <c r="AN564" s="20" t="inlineStr">
        <is>
          <t>IC Anionen</t>
        </is>
      </c>
      <c r="AO564" s="20" t="inlineStr">
        <is>
          <t>None</t>
        </is>
      </c>
      <c r="AP564" s="17" t="n"/>
      <c r="AQ564" s="16" t="n"/>
      <c r="AR564" s="20" t="n"/>
      <c r="AS564" s="20" t="inlineStr">
        <is>
          <t>None</t>
        </is>
      </c>
      <c r="AT564" s="17" t="n"/>
      <c r="AU564" s="16" t="n"/>
      <c r="AV564" s="20" t="n"/>
      <c r="AW564" s="20" t="inlineStr">
        <is>
          <t>None</t>
        </is>
      </c>
      <c r="AX564" s="17" t="n"/>
      <c r="AY564" s="16" t="n"/>
      <c r="AZ564" s="20" t="inlineStr">
        <is>
          <t>IC Anionen</t>
        </is>
      </c>
      <c r="BA564" s="20" t="inlineStr">
        <is>
          <t>None</t>
        </is>
      </c>
      <c r="BB564" s="17" t="n"/>
      <c r="BC564" s="16" t="n"/>
      <c r="BD564" s="20" t="inlineStr">
        <is>
          <t>IC Kationen</t>
        </is>
      </c>
      <c r="BE564" s="20" t="inlineStr">
        <is>
          <t>None</t>
        </is>
      </c>
      <c r="BF564" s="17" t="n"/>
      <c r="BG564" s="16" t="n"/>
      <c r="BH564" s="20" t="inlineStr">
        <is>
          <t>IC Kationen</t>
        </is>
      </c>
      <c r="BI564" s="20" t="inlineStr">
        <is>
          <t>None</t>
        </is>
      </c>
      <c r="BJ564" s="17" t="n"/>
      <c r="BK564" s="16" t="n"/>
      <c r="BL564" s="20" t="inlineStr">
        <is>
          <t>IC Kationen</t>
        </is>
      </c>
      <c r="BM564" s="20" t="inlineStr">
        <is>
          <t>None</t>
        </is>
      </c>
      <c r="BN564" s="17" t="n"/>
      <c r="BO564" s="16" t="n"/>
      <c r="BP564" s="20" t="inlineStr">
        <is>
          <t>IC Kationen</t>
        </is>
      </c>
      <c r="BQ564" s="20" t="inlineStr">
        <is>
          <t>None</t>
        </is>
      </c>
      <c r="BR564" s="17" t="n"/>
      <c r="BS564" s="16" t="n"/>
      <c r="BT564" s="20" t="inlineStr">
        <is>
          <t>IC Kationen</t>
        </is>
      </c>
      <c r="BU564" s="20" t="inlineStr">
        <is>
          <t>None</t>
        </is>
      </c>
      <c r="BV564" s="17" t="n"/>
      <c r="BW564" s="16" t="n"/>
      <c r="BX564" s="20" t="n"/>
      <c r="BY564" s="20" t="inlineStr">
        <is>
          <t>None</t>
        </is>
      </c>
      <c r="BZ564" s="17" t="n"/>
      <c r="CA564" s="16" t="n"/>
      <c r="CB564" s="20" t="n"/>
      <c r="CC564" s="20" t="inlineStr">
        <is>
          <t>None</t>
        </is>
      </c>
      <c r="CD564" s="17" t="n"/>
      <c r="CE564" s="16" t="n"/>
      <c r="CF564" s="20" t="n"/>
      <c r="CG564" s="20" t="inlineStr">
        <is>
          <t>None</t>
        </is>
      </c>
      <c r="CH564" s="17" t="n"/>
      <c r="CI564" s="16" t="n"/>
      <c r="CJ564" s="20" t="n"/>
      <c r="CK564" s="20" t="inlineStr">
        <is>
          <t>None</t>
        </is>
      </c>
      <c r="CL564" s="17" t="n"/>
      <c r="CM564" s="16" t="n"/>
      <c r="CN564" s="20" t="inlineStr">
        <is>
          <t>SOP 45-34</t>
        </is>
      </c>
      <c r="CO564" s="20" t="inlineStr">
        <is>
          <t>None</t>
        </is>
      </c>
      <c r="CP564" s="17" t="n"/>
      <c r="CQ564" s="16" t="n"/>
      <c r="CR564" s="20" t="n"/>
      <c r="CS564" s="20" t="inlineStr">
        <is>
          <t>None</t>
        </is>
      </c>
      <c r="CT564" s="17" t="n"/>
      <c r="CU564" s="16" t="n"/>
      <c r="CV564" s="20" t="n"/>
      <c r="CW564" s="20" t="inlineStr">
        <is>
          <t>None</t>
        </is>
      </c>
      <c r="CX564" s="17" t="n"/>
      <c r="CY564" s="16" t="n"/>
      <c r="CZ564" s="20" t="inlineStr">
        <is>
          <t>WTW Multimeter 3430 with FDO 925</t>
        </is>
      </c>
      <c r="DA564" s="20" t="inlineStr">
        <is>
          <t>None</t>
        </is>
      </c>
      <c r="DB564" s="17" t="n"/>
      <c r="DC564" s="16" t="n"/>
      <c r="DD564" s="20" t="n"/>
      <c r="DE564" s="20" t="inlineStr">
        <is>
          <t>None</t>
        </is>
      </c>
      <c r="DF564" s="17" t="n"/>
      <c r="DG564" s="16" t="n"/>
      <c r="DH564" s="20" t="inlineStr">
        <is>
          <t>SOP 45-09</t>
        </is>
      </c>
      <c r="DI564" s="20" t="inlineStr">
        <is>
          <t>None</t>
        </is>
      </c>
      <c r="DJ564" s="17" t="n"/>
      <c r="DK564" s="16" t="n"/>
      <c r="DL564" s="20" t="inlineStr">
        <is>
          <t>SOP 45-09 (SOP muss noch angepasst werden für VSS)</t>
        </is>
      </c>
      <c r="DM564" s="20" t="inlineStr">
        <is>
          <t>None</t>
        </is>
      </c>
      <c r="DN564" s="17" t="n"/>
      <c r="DO564" s="16" t="n"/>
      <c r="DP564" s="20" t="inlineStr">
        <is>
          <t>IC Organic Acids</t>
        </is>
      </c>
      <c r="DQ564" s="20" t="inlineStr">
        <is>
          <t>None</t>
        </is>
      </c>
      <c r="DR564" s="17" t="n"/>
      <c r="DS564" s="16" t="n"/>
      <c r="DT564" s="20" t="inlineStr">
        <is>
          <t>IC Organic Acids</t>
        </is>
      </c>
      <c r="DU564" s="20" t="inlineStr">
        <is>
          <t>None</t>
        </is>
      </c>
      <c r="DV564" s="17" t="n"/>
      <c r="DW564" s="16" t="n"/>
      <c r="DX564" s="20" t="inlineStr">
        <is>
          <t>IC Organic Acids</t>
        </is>
      </c>
      <c r="DY564" s="20" t="inlineStr">
        <is>
          <t>None</t>
        </is>
      </c>
      <c r="DZ564" s="17" t="n"/>
      <c r="EA564" s="16" t="n"/>
      <c r="EB564" s="20" t="inlineStr">
        <is>
          <t>IC Organic Acids</t>
        </is>
      </c>
      <c r="EC564" s="20" t="inlineStr">
        <is>
          <t>None</t>
        </is>
      </c>
      <c r="ED564" s="17" t="n"/>
      <c r="EE564" s="16" t="n"/>
      <c r="EF564" s="20" t="inlineStr">
        <is>
          <t>IC Organic Acids</t>
        </is>
      </c>
      <c r="EG564" s="20" t="inlineStr">
        <is>
          <t>None</t>
        </is>
      </c>
      <c r="EH564" s="17" t="n"/>
      <c r="EI564" s="16" t="n"/>
      <c r="EJ564" s="20" t="inlineStr">
        <is>
          <t>IC Organic Acids</t>
        </is>
      </c>
      <c r="EK564" s="20" t="inlineStr">
        <is>
          <t>None</t>
        </is>
      </c>
      <c r="EL564" s="17" t="n"/>
      <c r="EM564" s="16" t="n"/>
      <c r="EN564" s="20" t="inlineStr">
        <is>
          <t>IC Organic Acids</t>
        </is>
      </c>
      <c r="EO564" s="20" t="inlineStr">
        <is>
          <t>None</t>
        </is>
      </c>
      <c r="EP564" s="17" t="n"/>
      <c r="EQ564" s="16" t="n"/>
      <c r="ER564" s="20" t="inlineStr">
        <is>
          <t>IC Organic Acids</t>
        </is>
      </c>
      <c r="ES564" s="20" t="inlineStr">
        <is>
          <t>None</t>
        </is>
      </c>
      <c r="ET564" s="17" t="n"/>
      <c r="EU564" s="16" t="n"/>
      <c r="EV564" s="20" t="inlineStr">
        <is>
          <t>LC-MS</t>
        </is>
      </c>
      <c r="EW564" s="20" t="inlineStr">
        <is>
          <t>None</t>
        </is>
      </c>
      <c r="EX564" s="17" t="n"/>
      <c r="EY564" s="21" t="n"/>
      <c r="EZ564">
        <f>CONCATENATE(A564,B564)</f>
        <v/>
      </c>
      <c r="FA564">
        <f>CONCATENATE(SamplesX!A564,SamplesX!B564)</f>
        <v/>
      </c>
      <c r="FC564">
        <f>MATCH(EZ564,FA1:FA1008,0)</f>
        <v/>
      </c>
    </row>
    <row r="565">
      <c r="A565" s="16" t="n"/>
      <c r="B565" s="17" t="n"/>
      <c r="C565" s="10">
        <f>IF(ISNUMBER(FC565),INDIRECT("SamplesX!C"&amp;FC565),IF(ISNUMBER(FD565),INDIRECT("SamplesY!C"&amp;FD565),""))</f>
        <v/>
      </c>
      <c r="D565" s="12">
        <f>IF(ISNUMBER(FC565),INDIRECT("SamplesX!D"&amp;FC565),IF(ISNUMBER(FD565),INDIRECT("SamplesY!D"&amp;FD565),""))</f>
        <v/>
      </c>
      <c r="E565" s="12">
        <f>IF(ISNUMBER(FC565),INDIRECT("SamplesX!E"&amp;FC565),IF(ISNUMBER(FD565),INDIRECT("SamplesY!E"&amp;FD565),""))</f>
        <v/>
      </c>
      <c r="F565" s="11">
        <f>IF(ISNUMBER(FC565),INDIRECT("SamplesX!F"&amp;FC565),IF(ISNUMBER(FD565),INDIRECT("SamplesY!F"&amp;FD565),""))</f>
        <v/>
      </c>
      <c r="G565" s="18">
        <f>IF(ISNUMBER(FC565),INDIRECT("SamplesX!G"&amp;FC565),IF(ISNUMBER(FD565),INDIRECT("SamplesY!G"&amp;FD565),""))</f>
        <v/>
      </c>
      <c r="H565" s="19">
        <f>IF(ISNUMBER(FC565),INDIRECT("SamplesX!H"&amp;FC565),IF(ISNUMBER(FD565),INDIRECT("SamplesY!H"&amp;FD565),""))</f>
        <v/>
      </c>
      <c r="I565" s="16" t="n"/>
      <c r="J565" s="16" t="n"/>
      <c r="K565" s="16" t="n"/>
      <c r="L565" s="20" t="n"/>
      <c r="M565" s="20" t="inlineStr">
        <is>
          <t>None</t>
        </is>
      </c>
      <c r="N565" s="17" t="n"/>
      <c r="O565" s="16" t="n"/>
      <c r="P565" s="20" t="inlineStr">
        <is>
          <t>Shimadzu TOC-L</t>
        </is>
      </c>
      <c r="Q565" s="20" t="inlineStr">
        <is>
          <t>None</t>
        </is>
      </c>
      <c r="R565" s="17" t="n"/>
      <c r="S565" s="16" t="n"/>
      <c r="T565" s="20" t="inlineStr">
        <is>
          <t>Shimadzu TOC-L</t>
        </is>
      </c>
      <c r="U565" s="20" t="inlineStr">
        <is>
          <t>None</t>
        </is>
      </c>
      <c r="V565" s="17" t="n"/>
      <c r="W565" s="16" t="n"/>
      <c r="X565" s="20" t="n"/>
      <c r="Y565" s="20" t="inlineStr">
        <is>
          <t>None</t>
        </is>
      </c>
      <c r="Z565" s="17" t="n"/>
      <c r="AA565" s="16" t="n"/>
      <c r="AB565" s="20" t="n"/>
      <c r="AC565" s="20" t="inlineStr">
        <is>
          <t>None</t>
        </is>
      </c>
      <c r="AD565" s="17" t="n"/>
      <c r="AE565" s="16" t="n"/>
      <c r="AF565" s="20" t="inlineStr">
        <is>
          <t>IC Anionen</t>
        </is>
      </c>
      <c r="AG565" s="20" t="inlineStr">
        <is>
          <t>None</t>
        </is>
      </c>
      <c r="AH565" s="17" t="n"/>
      <c r="AI565" s="16" t="n"/>
      <c r="AJ565" s="20" t="n"/>
      <c r="AK565" s="20" t="inlineStr">
        <is>
          <t>None</t>
        </is>
      </c>
      <c r="AL565" s="17" t="n"/>
      <c r="AM565" s="16" t="n"/>
      <c r="AN565" s="20" t="inlineStr">
        <is>
          <t>IC Anionen</t>
        </is>
      </c>
      <c r="AO565" s="20" t="inlineStr">
        <is>
          <t>None</t>
        </is>
      </c>
      <c r="AP565" s="17" t="n"/>
      <c r="AQ565" s="16" t="n"/>
      <c r="AR565" s="20" t="n"/>
      <c r="AS565" s="20" t="inlineStr">
        <is>
          <t>None</t>
        </is>
      </c>
      <c r="AT565" s="17" t="n"/>
      <c r="AU565" s="16" t="n"/>
      <c r="AV565" s="20" t="n"/>
      <c r="AW565" s="20" t="inlineStr">
        <is>
          <t>None</t>
        </is>
      </c>
      <c r="AX565" s="17" t="n"/>
      <c r="AY565" s="16" t="n"/>
      <c r="AZ565" s="20" t="inlineStr">
        <is>
          <t>IC Anionen</t>
        </is>
      </c>
      <c r="BA565" s="20" t="inlineStr">
        <is>
          <t>None</t>
        </is>
      </c>
      <c r="BB565" s="17" t="n"/>
      <c r="BC565" s="16" t="n"/>
      <c r="BD565" s="20" t="inlineStr">
        <is>
          <t>IC Kationen</t>
        </is>
      </c>
      <c r="BE565" s="20" t="inlineStr">
        <is>
          <t>None</t>
        </is>
      </c>
      <c r="BF565" s="17" t="n"/>
      <c r="BG565" s="16" t="n"/>
      <c r="BH565" s="20" t="inlineStr">
        <is>
          <t>IC Kationen</t>
        </is>
      </c>
      <c r="BI565" s="20" t="inlineStr">
        <is>
          <t>None</t>
        </is>
      </c>
      <c r="BJ565" s="17" t="n"/>
      <c r="BK565" s="16" t="n"/>
      <c r="BL565" s="20" t="inlineStr">
        <is>
          <t>IC Kationen</t>
        </is>
      </c>
      <c r="BM565" s="20" t="inlineStr">
        <is>
          <t>None</t>
        </is>
      </c>
      <c r="BN565" s="17" t="n"/>
      <c r="BO565" s="16" t="n"/>
      <c r="BP565" s="20" t="inlineStr">
        <is>
          <t>IC Kationen</t>
        </is>
      </c>
      <c r="BQ565" s="20" t="inlineStr">
        <is>
          <t>None</t>
        </is>
      </c>
      <c r="BR565" s="17" t="n"/>
      <c r="BS565" s="16" t="n"/>
      <c r="BT565" s="20" t="inlineStr">
        <is>
          <t>IC Kationen</t>
        </is>
      </c>
      <c r="BU565" s="20" t="inlineStr">
        <is>
          <t>None</t>
        </is>
      </c>
      <c r="BV565" s="17" t="n"/>
      <c r="BW565" s="16" t="n"/>
      <c r="BX565" s="20" t="n"/>
      <c r="BY565" s="20" t="inlineStr">
        <is>
          <t>None</t>
        </is>
      </c>
      <c r="BZ565" s="17" t="n"/>
      <c r="CA565" s="16" t="n"/>
      <c r="CB565" s="20" t="n"/>
      <c r="CC565" s="20" t="inlineStr">
        <is>
          <t>None</t>
        </is>
      </c>
      <c r="CD565" s="17" t="n"/>
      <c r="CE565" s="16" t="n"/>
      <c r="CF565" s="20" t="n"/>
      <c r="CG565" s="20" t="inlineStr">
        <is>
          <t>None</t>
        </is>
      </c>
      <c r="CH565" s="17" t="n"/>
      <c r="CI565" s="16" t="n"/>
      <c r="CJ565" s="20" t="n"/>
      <c r="CK565" s="20" t="inlineStr">
        <is>
          <t>None</t>
        </is>
      </c>
      <c r="CL565" s="17" t="n"/>
      <c r="CM565" s="16" t="n"/>
      <c r="CN565" s="20" t="inlineStr">
        <is>
          <t>SOP 45-34</t>
        </is>
      </c>
      <c r="CO565" s="20" t="inlineStr">
        <is>
          <t>None</t>
        </is>
      </c>
      <c r="CP565" s="17" t="n"/>
      <c r="CQ565" s="16" t="n"/>
      <c r="CR565" s="20" t="n"/>
      <c r="CS565" s="20" t="inlineStr">
        <is>
          <t>None</t>
        </is>
      </c>
      <c r="CT565" s="17" t="n"/>
      <c r="CU565" s="16" t="n"/>
      <c r="CV565" s="20" t="n"/>
      <c r="CW565" s="20" t="inlineStr">
        <is>
          <t>None</t>
        </is>
      </c>
      <c r="CX565" s="17" t="n"/>
      <c r="CY565" s="16" t="n"/>
      <c r="CZ565" s="20" t="inlineStr">
        <is>
          <t>WTW Multimeter 3430 with FDO 925</t>
        </is>
      </c>
      <c r="DA565" s="20" t="inlineStr">
        <is>
          <t>None</t>
        </is>
      </c>
      <c r="DB565" s="17" t="n"/>
      <c r="DC565" s="16" t="n"/>
      <c r="DD565" s="20" t="n"/>
      <c r="DE565" s="20" t="inlineStr">
        <is>
          <t>None</t>
        </is>
      </c>
      <c r="DF565" s="17" t="n"/>
      <c r="DG565" s="16" t="n"/>
      <c r="DH565" s="20" t="inlineStr">
        <is>
          <t>SOP 45-09</t>
        </is>
      </c>
      <c r="DI565" s="20" t="inlineStr">
        <is>
          <t>None</t>
        </is>
      </c>
      <c r="DJ565" s="17" t="n"/>
      <c r="DK565" s="16" t="n"/>
      <c r="DL565" s="20" t="inlineStr">
        <is>
          <t>SOP 45-09 (SOP muss noch angepasst werden für VSS)</t>
        </is>
      </c>
      <c r="DM565" s="20" t="inlineStr">
        <is>
          <t>None</t>
        </is>
      </c>
      <c r="DN565" s="17" t="n"/>
      <c r="DO565" s="16" t="n"/>
      <c r="DP565" s="20" t="inlineStr">
        <is>
          <t>IC Organic Acids</t>
        </is>
      </c>
      <c r="DQ565" s="20" t="inlineStr">
        <is>
          <t>None</t>
        </is>
      </c>
      <c r="DR565" s="17" t="n"/>
      <c r="DS565" s="16" t="n"/>
      <c r="DT565" s="20" t="inlineStr">
        <is>
          <t>IC Organic Acids</t>
        </is>
      </c>
      <c r="DU565" s="20" t="inlineStr">
        <is>
          <t>None</t>
        </is>
      </c>
      <c r="DV565" s="17" t="n"/>
      <c r="DW565" s="16" t="n"/>
      <c r="DX565" s="20" t="inlineStr">
        <is>
          <t>IC Organic Acids</t>
        </is>
      </c>
      <c r="DY565" s="20" t="inlineStr">
        <is>
          <t>None</t>
        </is>
      </c>
      <c r="DZ565" s="17" t="n"/>
      <c r="EA565" s="16" t="n"/>
      <c r="EB565" s="20" t="inlineStr">
        <is>
          <t>IC Organic Acids</t>
        </is>
      </c>
      <c r="EC565" s="20" t="inlineStr">
        <is>
          <t>None</t>
        </is>
      </c>
      <c r="ED565" s="17" t="n"/>
      <c r="EE565" s="16" t="n"/>
      <c r="EF565" s="20" t="inlineStr">
        <is>
          <t>IC Organic Acids</t>
        </is>
      </c>
      <c r="EG565" s="20" t="inlineStr">
        <is>
          <t>None</t>
        </is>
      </c>
      <c r="EH565" s="17" t="n"/>
      <c r="EI565" s="16" t="n"/>
      <c r="EJ565" s="20" t="inlineStr">
        <is>
          <t>IC Organic Acids</t>
        </is>
      </c>
      <c r="EK565" s="20" t="inlineStr">
        <is>
          <t>None</t>
        </is>
      </c>
      <c r="EL565" s="17" t="n"/>
      <c r="EM565" s="16" t="n"/>
      <c r="EN565" s="20" t="inlineStr">
        <is>
          <t>IC Organic Acids</t>
        </is>
      </c>
      <c r="EO565" s="20" t="inlineStr">
        <is>
          <t>None</t>
        </is>
      </c>
      <c r="EP565" s="17" t="n"/>
      <c r="EQ565" s="16" t="n"/>
      <c r="ER565" s="20" t="inlineStr">
        <is>
          <t>IC Organic Acids</t>
        </is>
      </c>
      <c r="ES565" s="20" t="inlineStr">
        <is>
          <t>None</t>
        </is>
      </c>
      <c r="ET565" s="17" t="n"/>
      <c r="EU565" s="16" t="n"/>
      <c r="EV565" s="20" t="inlineStr">
        <is>
          <t>LC-MS</t>
        </is>
      </c>
      <c r="EW565" s="20" t="inlineStr">
        <is>
          <t>None</t>
        </is>
      </c>
      <c r="EX565" s="17" t="n"/>
      <c r="EY565" s="21" t="n"/>
      <c r="EZ565">
        <f>CONCATENATE(A565,B565)</f>
        <v/>
      </c>
      <c r="FA565">
        <f>CONCATENATE(SamplesX!A565,SamplesX!B565)</f>
        <v/>
      </c>
      <c r="FC565">
        <f>MATCH(EZ565,FA1:FA1008,0)</f>
        <v/>
      </c>
    </row>
    <row r="566">
      <c r="A566" s="16" t="n"/>
      <c r="B566" s="17" t="n"/>
      <c r="C566" s="10">
        <f>IF(ISNUMBER(FC566),INDIRECT("SamplesX!C"&amp;FC566),IF(ISNUMBER(FD566),INDIRECT("SamplesY!C"&amp;FD566),""))</f>
        <v/>
      </c>
      <c r="D566" s="12">
        <f>IF(ISNUMBER(FC566),INDIRECT("SamplesX!D"&amp;FC566),IF(ISNUMBER(FD566),INDIRECT("SamplesY!D"&amp;FD566),""))</f>
        <v/>
      </c>
      <c r="E566" s="12">
        <f>IF(ISNUMBER(FC566),INDIRECT("SamplesX!E"&amp;FC566),IF(ISNUMBER(FD566),INDIRECT("SamplesY!E"&amp;FD566),""))</f>
        <v/>
      </c>
      <c r="F566" s="11">
        <f>IF(ISNUMBER(FC566),INDIRECT("SamplesX!F"&amp;FC566),IF(ISNUMBER(FD566),INDIRECT("SamplesY!F"&amp;FD566),""))</f>
        <v/>
      </c>
      <c r="G566" s="18">
        <f>IF(ISNUMBER(FC566),INDIRECT("SamplesX!G"&amp;FC566),IF(ISNUMBER(FD566),INDIRECT("SamplesY!G"&amp;FD566),""))</f>
        <v/>
      </c>
      <c r="H566" s="19">
        <f>IF(ISNUMBER(FC566),INDIRECT("SamplesX!H"&amp;FC566),IF(ISNUMBER(FD566),INDIRECT("SamplesY!H"&amp;FD566),""))</f>
        <v/>
      </c>
      <c r="I566" s="16" t="n"/>
      <c r="J566" s="16" t="n"/>
      <c r="K566" s="16" t="n"/>
      <c r="L566" s="20" t="n"/>
      <c r="M566" s="20" t="inlineStr">
        <is>
          <t>None</t>
        </is>
      </c>
      <c r="N566" s="17" t="n"/>
      <c r="O566" s="16" t="n"/>
      <c r="P566" s="20" t="inlineStr">
        <is>
          <t>Shimadzu TOC-L</t>
        </is>
      </c>
      <c r="Q566" s="20" t="inlineStr">
        <is>
          <t>None</t>
        </is>
      </c>
      <c r="R566" s="17" t="n"/>
      <c r="S566" s="16" t="n"/>
      <c r="T566" s="20" t="inlineStr">
        <is>
          <t>Shimadzu TOC-L</t>
        </is>
      </c>
      <c r="U566" s="20" t="inlineStr">
        <is>
          <t>None</t>
        </is>
      </c>
      <c r="V566" s="17" t="n"/>
      <c r="W566" s="16" t="n"/>
      <c r="X566" s="20" t="n"/>
      <c r="Y566" s="20" t="inlineStr">
        <is>
          <t>None</t>
        </is>
      </c>
      <c r="Z566" s="17" t="n"/>
      <c r="AA566" s="16" t="n"/>
      <c r="AB566" s="20" t="n"/>
      <c r="AC566" s="20" t="inlineStr">
        <is>
          <t>None</t>
        </is>
      </c>
      <c r="AD566" s="17" t="n"/>
      <c r="AE566" s="16" t="n"/>
      <c r="AF566" s="20" t="inlineStr">
        <is>
          <t>IC Anionen</t>
        </is>
      </c>
      <c r="AG566" s="20" t="inlineStr">
        <is>
          <t>None</t>
        </is>
      </c>
      <c r="AH566" s="17" t="n"/>
      <c r="AI566" s="16" t="n"/>
      <c r="AJ566" s="20" t="n"/>
      <c r="AK566" s="20" t="inlineStr">
        <is>
          <t>None</t>
        </is>
      </c>
      <c r="AL566" s="17" t="n"/>
      <c r="AM566" s="16" t="n"/>
      <c r="AN566" s="20" t="inlineStr">
        <is>
          <t>IC Anionen</t>
        </is>
      </c>
      <c r="AO566" s="20" t="inlineStr">
        <is>
          <t>None</t>
        </is>
      </c>
      <c r="AP566" s="17" t="n"/>
      <c r="AQ566" s="16" t="n"/>
      <c r="AR566" s="20" t="n"/>
      <c r="AS566" s="20" t="inlineStr">
        <is>
          <t>None</t>
        </is>
      </c>
      <c r="AT566" s="17" t="n"/>
      <c r="AU566" s="16" t="n"/>
      <c r="AV566" s="20" t="n"/>
      <c r="AW566" s="20" t="inlineStr">
        <is>
          <t>None</t>
        </is>
      </c>
      <c r="AX566" s="17" t="n"/>
      <c r="AY566" s="16" t="n"/>
      <c r="AZ566" s="20" t="inlineStr">
        <is>
          <t>IC Anionen</t>
        </is>
      </c>
      <c r="BA566" s="20" t="inlineStr">
        <is>
          <t>None</t>
        </is>
      </c>
      <c r="BB566" s="17" t="n"/>
      <c r="BC566" s="16" t="n"/>
      <c r="BD566" s="20" t="inlineStr">
        <is>
          <t>IC Kationen</t>
        </is>
      </c>
      <c r="BE566" s="20" t="inlineStr">
        <is>
          <t>None</t>
        </is>
      </c>
      <c r="BF566" s="17" t="n"/>
      <c r="BG566" s="16" t="n"/>
      <c r="BH566" s="20" t="inlineStr">
        <is>
          <t>IC Kationen</t>
        </is>
      </c>
      <c r="BI566" s="20" t="inlineStr">
        <is>
          <t>None</t>
        </is>
      </c>
      <c r="BJ566" s="17" t="n"/>
      <c r="BK566" s="16" t="n"/>
      <c r="BL566" s="20" t="inlineStr">
        <is>
          <t>IC Kationen</t>
        </is>
      </c>
      <c r="BM566" s="20" t="inlineStr">
        <is>
          <t>None</t>
        </is>
      </c>
      <c r="BN566" s="17" t="n"/>
      <c r="BO566" s="16" t="n"/>
      <c r="BP566" s="20" t="inlineStr">
        <is>
          <t>IC Kationen</t>
        </is>
      </c>
      <c r="BQ566" s="20" t="inlineStr">
        <is>
          <t>None</t>
        </is>
      </c>
      <c r="BR566" s="17" t="n"/>
      <c r="BS566" s="16" t="n"/>
      <c r="BT566" s="20" t="inlineStr">
        <is>
          <t>IC Kationen</t>
        </is>
      </c>
      <c r="BU566" s="20" t="inlineStr">
        <is>
          <t>None</t>
        </is>
      </c>
      <c r="BV566" s="17" t="n"/>
      <c r="BW566" s="16" t="n"/>
      <c r="BX566" s="20" t="n"/>
      <c r="BY566" s="20" t="inlineStr">
        <is>
          <t>None</t>
        </is>
      </c>
      <c r="BZ566" s="17" t="n"/>
      <c r="CA566" s="16" t="n"/>
      <c r="CB566" s="20" t="n"/>
      <c r="CC566" s="20" t="inlineStr">
        <is>
          <t>None</t>
        </is>
      </c>
      <c r="CD566" s="17" t="n"/>
      <c r="CE566" s="16" t="n"/>
      <c r="CF566" s="20" t="n"/>
      <c r="CG566" s="20" t="inlineStr">
        <is>
          <t>None</t>
        </is>
      </c>
      <c r="CH566" s="17" t="n"/>
      <c r="CI566" s="16" t="n"/>
      <c r="CJ566" s="20" t="n"/>
      <c r="CK566" s="20" t="inlineStr">
        <is>
          <t>None</t>
        </is>
      </c>
      <c r="CL566" s="17" t="n"/>
      <c r="CM566" s="16" t="n"/>
      <c r="CN566" s="20" t="inlineStr">
        <is>
          <t>SOP 45-34</t>
        </is>
      </c>
      <c r="CO566" s="20" t="inlineStr">
        <is>
          <t>None</t>
        </is>
      </c>
      <c r="CP566" s="17" t="n"/>
      <c r="CQ566" s="16" t="n"/>
      <c r="CR566" s="20" t="n"/>
      <c r="CS566" s="20" t="inlineStr">
        <is>
          <t>None</t>
        </is>
      </c>
      <c r="CT566" s="17" t="n"/>
      <c r="CU566" s="16" t="n"/>
      <c r="CV566" s="20" t="n"/>
      <c r="CW566" s="20" t="inlineStr">
        <is>
          <t>None</t>
        </is>
      </c>
      <c r="CX566" s="17" t="n"/>
      <c r="CY566" s="16" t="n"/>
      <c r="CZ566" s="20" t="inlineStr">
        <is>
          <t>WTW Multimeter 3430 with FDO 925</t>
        </is>
      </c>
      <c r="DA566" s="20" t="inlineStr">
        <is>
          <t>None</t>
        </is>
      </c>
      <c r="DB566" s="17" t="n"/>
      <c r="DC566" s="16" t="n"/>
      <c r="DD566" s="20" t="n"/>
      <c r="DE566" s="20" t="inlineStr">
        <is>
          <t>None</t>
        </is>
      </c>
      <c r="DF566" s="17" t="n"/>
      <c r="DG566" s="16" t="n"/>
      <c r="DH566" s="20" t="inlineStr">
        <is>
          <t>SOP 45-09</t>
        </is>
      </c>
      <c r="DI566" s="20" t="inlineStr">
        <is>
          <t>None</t>
        </is>
      </c>
      <c r="DJ566" s="17" t="n"/>
      <c r="DK566" s="16" t="n"/>
      <c r="DL566" s="20" t="inlineStr">
        <is>
          <t>SOP 45-09 (SOP muss noch angepasst werden für VSS)</t>
        </is>
      </c>
      <c r="DM566" s="20" t="inlineStr">
        <is>
          <t>None</t>
        </is>
      </c>
      <c r="DN566" s="17" t="n"/>
      <c r="DO566" s="16" t="n"/>
      <c r="DP566" s="20" t="inlineStr">
        <is>
          <t>IC Organic Acids</t>
        </is>
      </c>
      <c r="DQ566" s="20" t="inlineStr">
        <is>
          <t>None</t>
        </is>
      </c>
      <c r="DR566" s="17" t="n"/>
      <c r="DS566" s="16" t="n"/>
      <c r="DT566" s="20" t="inlineStr">
        <is>
          <t>IC Organic Acids</t>
        </is>
      </c>
      <c r="DU566" s="20" t="inlineStr">
        <is>
          <t>None</t>
        </is>
      </c>
      <c r="DV566" s="17" t="n"/>
      <c r="DW566" s="16" t="n"/>
      <c r="DX566" s="20" t="inlineStr">
        <is>
          <t>IC Organic Acids</t>
        </is>
      </c>
      <c r="DY566" s="20" t="inlineStr">
        <is>
          <t>None</t>
        </is>
      </c>
      <c r="DZ566" s="17" t="n"/>
      <c r="EA566" s="16" t="n"/>
      <c r="EB566" s="20" t="inlineStr">
        <is>
          <t>IC Organic Acids</t>
        </is>
      </c>
      <c r="EC566" s="20" t="inlineStr">
        <is>
          <t>None</t>
        </is>
      </c>
      <c r="ED566" s="17" t="n"/>
      <c r="EE566" s="16" t="n"/>
      <c r="EF566" s="20" t="inlineStr">
        <is>
          <t>IC Organic Acids</t>
        </is>
      </c>
      <c r="EG566" s="20" t="inlineStr">
        <is>
          <t>None</t>
        </is>
      </c>
      <c r="EH566" s="17" t="n"/>
      <c r="EI566" s="16" t="n"/>
      <c r="EJ566" s="20" t="inlineStr">
        <is>
          <t>IC Organic Acids</t>
        </is>
      </c>
      <c r="EK566" s="20" t="inlineStr">
        <is>
          <t>None</t>
        </is>
      </c>
      <c r="EL566" s="17" t="n"/>
      <c r="EM566" s="16" t="n"/>
      <c r="EN566" s="20" t="inlineStr">
        <is>
          <t>IC Organic Acids</t>
        </is>
      </c>
      <c r="EO566" s="20" t="inlineStr">
        <is>
          <t>None</t>
        </is>
      </c>
      <c r="EP566" s="17" t="n"/>
      <c r="EQ566" s="16" t="n"/>
      <c r="ER566" s="20" t="inlineStr">
        <is>
          <t>IC Organic Acids</t>
        </is>
      </c>
      <c r="ES566" s="20" t="inlineStr">
        <is>
          <t>None</t>
        </is>
      </c>
      <c r="ET566" s="17" t="n"/>
      <c r="EU566" s="16" t="n"/>
      <c r="EV566" s="20" t="inlineStr">
        <is>
          <t>LC-MS</t>
        </is>
      </c>
      <c r="EW566" s="20" t="inlineStr">
        <is>
          <t>None</t>
        </is>
      </c>
      <c r="EX566" s="17" t="n"/>
      <c r="EY566" s="21" t="n"/>
      <c r="EZ566">
        <f>CONCATENATE(A566,B566)</f>
        <v/>
      </c>
      <c r="FA566">
        <f>CONCATENATE(SamplesX!A566,SamplesX!B566)</f>
        <v/>
      </c>
      <c r="FC566">
        <f>MATCH(EZ566,FA1:FA1008,0)</f>
        <v/>
      </c>
    </row>
    <row r="567">
      <c r="A567" s="16" t="n"/>
      <c r="B567" s="17" t="n"/>
      <c r="C567" s="10">
        <f>IF(ISNUMBER(FC567),INDIRECT("SamplesX!C"&amp;FC567),IF(ISNUMBER(FD567),INDIRECT("SamplesY!C"&amp;FD567),""))</f>
        <v/>
      </c>
      <c r="D567" s="12">
        <f>IF(ISNUMBER(FC567),INDIRECT("SamplesX!D"&amp;FC567),IF(ISNUMBER(FD567),INDIRECT("SamplesY!D"&amp;FD567),""))</f>
        <v/>
      </c>
      <c r="E567" s="12">
        <f>IF(ISNUMBER(FC567),INDIRECT("SamplesX!E"&amp;FC567),IF(ISNUMBER(FD567),INDIRECT("SamplesY!E"&amp;FD567),""))</f>
        <v/>
      </c>
      <c r="F567" s="11">
        <f>IF(ISNUMBER(FC567),INDIRECT("SamplesX!F"&amp;FC567),IF(ISNUMBER(FD567),INDIRECT("SamplesY!F"&amp;FD567),""))</f>
        <v/>
      </c>
      <c r="G567" s="18">
        <f>IF(ISNUMBER(FC567),INDIRECT("SamplesX!G"&amp;FC567),IF(ISNUMBER(FD567),INDIRECT("SamplesY!G"&amp;FD567),""))</f>
        <v/>
      </c>
      <c r="H567" s="19">
        <f>IF(ISNUMBER(FC567),INDIRECT("SamplesX!H"&amp;FC567),IF(ISNUMBER(FD567),INDIRECT("SamplesY!H"&amp;FD567),""))</f>
        <v/>
      </c>
      <c r="I567" s="16" t="n"/>
      <c r="J567" s="16" t="n"/>
      <c r="K567" s="16" t="n"/>
      <c r="L567" s="20" t="n"/>
      <c r="M567" s="20" t="inlineStr">
        <is>
          <t>None</t>
        </is>
      </c>
      <c r="N567" s="17" t="n"/>
      <c r="O567" s="16" t="n"/>
      <c r="P567" s="20" t="inlineStr">
        <is>
          <t>Shimadzu TOC-L</t>
        </is>
      </c>
      <c r="Q567" s="20" t="inlineStr">
        <is>
          <t>None</t>
        </is>
      </c>
      <c r="R567" s="17" t="n"/>
      <c r="S567" s="16" t="n"/>
      <c r="T567" s="20" t="inlineStr">
        <is>
          <t>Shimadzu TOC-L</t>
        </is>
      </c>
      <c r="U567" s="20" t="inlineStr">
        <is>
          <t>None</t>
        </is>
      </c>
      <c r="V567" s="17" t="n"/>
      <c r="W567" s="16" t="n"/>
      <c r="X567" s="20" t="n"/>
      <c r="Y567" s="20" t="inlineStr">
        <is>
          <t>None</t>
        </is>
      </c>
      <c r="Z567" s="17" t="n"/>
      <c r="AA567" s="16" t="n"/>
      <c r="AB567" s="20" t="n"/>
      <c r="AC567" s="20" t="inlineStr">
        <is>
          <t>None</t>
        </is>
      </c>
      <c r="AD567" s="17" t="n"/>
      <c r="AE567" s="16" t="n"/>
      <c r="AF567" s="20" t="inlineStr">
        <is>
          <t>IC Anionen</t>
        </is>
      </c>
      <c r="AG567" s="20" t="inlineStr">
        <is>
          <t>None</t>
        </is>
      </c>
      <c r="AH567" s="17" t="n"/>
      <c r="AI567" s="16" t="n"/>
      <c r="AJ567" s="20" t="n"/>
      <c r="AK567" s="20" t="inlineStr">
        <is>
          <t>None</t>
        </is>
      </c>
      <c r="AL567" s="17" t="n"/>
      <c r="AM567" s="16" t="n"/>
      <c r="AN567" s="20" t="inlineStr">
        <is>
          <t>IC Anionen</t>
        </is>
      </c>
      <c r="AO567" s="20" t="inlineStr">
        <is>
          <t>None</t>
        </is>
      </c>
      <c r="AP567" s="17" t="n"/>
      <c r="AQ567" s="16" t="n"/>
      <c r="AR567" s="20" t="n"/>
      <c r="AS567" s="20" t="inlineStr">
        <is>
          <t>None</t>
        </is>
      </c>
      <c r="AT567" s="17" t="n"/>
      <c r="AU567" s="16" t="n"/>
      <c r="AV567" s="20" t="n"/>
      <c r="AW567" s="20" t="inlineStr">
        <is>
          <t>None</t>
        </is>
      </c>
      <c r="AX567" s="17" t="n"/>
      <c r="AY567" s="16" t="n"/>
      <c r="AZ567" s="20" t="inlineStr">
        <is>
          <t>IC Anionen</t>
        </is>
      </c>
      <c r="BA567" s="20" t="inlineStr">
        <is>
          <t>None</t>
        </is>
      </c>
      <c r="BB567" s="17" t="n"/>
      <c r="BC567" s="16" t="n"/>
      <c r="BD567" s="20" t="inlineStr">
        <is>
          <t>IC Kationen</t>
        </is>
      </c>
      <c r="BE567" s="20" t="inlineStr">
        <is>
          <t>None</t>
        </is>
      </c>
      <c r="BF567" s="17" t="n"/>
      <c r="BG567" s="16" t="n"/>
      <c r="BH567" s="20" t="inlineStr">
        <is>
          <t>IC Kationen</t>
        </is>
      </c>
      <c r="BI567" s="20" t="inlineStr">
        <is>
          <t>None</t>
        </is>
      </c>
      <c r="BJ567" s="17" t="n"/>
      <c r="BK567" s="16" t="n"/>
      <c r="BL567" s="20" t="inlineStr">
        <is>
          <t>IC Kationen</t>
        </is>
      </c>
      <c r="BM567" s="20" t="inlineStr">
        <is>
          <t>None</t>
        </is>
      </c>
      <c r="BN567" s="17" t="n"/>
      <c r="BO567" s="16" t="n"/>
      <c r="BP567" s="20" t="inlineStr">
        <is>
          <t>IC Kationen</t>
        </is>
      </c>
      <c r="BQ567" s="20" t="inlineStr">
        <is>
          <t>None</t>
        </is>
      </c>
      <c r="BR567" s="17" t="n"/>
      <c r="BS567" s="16" t="n"/>
      <c r="BT567" s="20" t="inlineStr">
        <is>
          <t>IC Kationen</t>
        </is>
      </c>
      <c r="BU567" s="20" t="inlineStr">
        <is>
          <t>None</t>
        </is>
      </c>
      <c r="BV567" s="17" t="n"/>
      <c r="BW567" s="16" t="n"/>
      <c r="BX567" s="20" t="n"/>
      <c r="BY567" s="20" t="inlineStr">
        <is>
          <t>None</t>
        </is>
      </c>
      <c r="BZ567" s="17" t="n"/>
      <c r="CA567" s="16" t="n"/>
      <c r="CB567" s="20" t="n"/>
      <c r="CC567" s="20" t="inlineStr">
        <is>
          <t>None</t>
        </is>
      </c>
      <c r="CD567" s="17" t="n"/>
      <c r="CE567" s="16" t="n"/>
      <c r="CF567" s="20" t="n"/>
      <c r="CG567" s="20" t="inlineStr">
        <is>
          <t>None</t>
        </is>
      </c>
      <c r="CH567" s="17" t="n"/>
      <c r="CI567" s="16" t="n"/>
      <c r="CJ567" s="20" t="n"/>
      <c r="CK567" s="20" t="inlineStr">
        <is>
          <t>None</t>
        </is>
      </c>
      <c r="CL567" s="17" t="n"/>
      <c r="CM567" s="16" t="n"/>
      <c r="CN567" s="20" t="inlineStr">
        <is>
          <t>SOP 45-34</t>
        </is>
      </c>
      <c r="CO567" s="20" t="inlineStr">
        <is>
          <t>None</t>
        </is>
      </c>
      <c r="CP567" s="17" t="n"/>
      <c r="CQ567" s="16" t="n"/>
      <c r="CR567" s="20" t="n"/>
      <c r="CS567" s="20" t="inlineStr">
        <is>
          <t>None</t>
        </is>
      </c>
      <c r="CT567" s="17" t="n"/>
      <c r="CU567" s="16" t="n"/>
      <c r="CV567" s="20" t="n"/>
      <c r="CW567" s="20" t="inlineStr">
        <is>
          <t>None</t>
        </is>
      </c>
      <c r="CX567" s="17" t="n"/>
      <c r="CY567" s="16" t="n"/>
      <c r="CZ567" s="20" t="inlineStr">
        <is>
          <t>WTW Multimeter 3430 with FDO 925</t>
        </is>
      </c>
      <c r="DA567" s="20" t="inlineStr">
        <is>
          <t>None</t>
        </is>
      </c>
      <c r="DB567" s="17" t="n"/>
      <c r="DC567" s="16" t="n"/>
      <c r="DD567" s="20" t="n"/>
      <c r="DE567" s="20" t="inlineStr">
        <is>
          <t>None</t>
        </is>
      </c>
      <c r="DF567" s="17" t="n"/>
      <c r="DG567" s="16" t="n"/>
      <c r="DH567" s="20" t="inlineStr">
        <is>
          <t>SOP 45-09</t>
        </is>
      </c>
      <c r="DI567" s="20" t="inlineStr">
        <is>
          <t>None</t>
        </is>
      </c>
      <c r="DJ567" s="17" t="n"/>
      <c r="DK567" s="16" t="n"/>
      <c r="DL567" s="20" t="inlineStr">
        <is>
          <t>SOP 45-09 (SOP muss noch angepasst werden für VSS)</t>
        </is>
      </c>
      <c r="DM567" s="20" t="inlineStr">
        <is>
          <t>None</t>
        </is>
      </c>
      <c r="DN567" s="17" t="n"/>
      <c r="DO567" s="16" t="n"/>
      <c r="DP567" s="20" t="inlineStr">
        <is>
          <t>IC Organic Acids</t>
        </is>
      </c>
      <c r="DQ567" s="20" t="inlineStr">
        <is>
          <t>None</t>
        </is>
      </c>
      <c r="DR567" s="17" t="n"/>
      <c r="DS567" s="16" t="n"/>
      <c r="DT567" s="20" t="inlineStr">
        <is>
          <t>IC Organic Acids</t>
        </is>
      </c>
      <c r="DU567" s="20" t="inlineStr">
        <is>
          <t>None</t>
        </is>
      </c>
      <c r="DV567" s="17" t="n"/>
      <c r="DW567" s="16" t="n"/>
      <c r="DX567" s="20" t="inlineStr">
        <is>
          <t>IC Organic Acids</t>
        </is>
      </c>
      <c r="DY567" s="20" t="inlineStr">
        <is>
          <t>None</t>
        </is>
      </c>
      <c r="DZ567" s="17" t="n"/>
      <c r="EA567" s="16" t="n"/>
      <c r="EB567" s="20" t="inlineStr">
        <is>
          <t>IC Organic Acids</t>
        </is>
      </c>
      <c r="EC567" s="20" t="inlineStr">
        <is>
          <t>None</t>
        </is>
      </c>
      <c r="ED567" s="17" t="n"/>
      <c r="EE567" s="16" t="n"/>
      <c r="EF567" s="20" t="inlineStr">
        <is>
          <t>IC Organic Acids</t>
        </is>
      </c>
      <c r="EG567" s="20" t="inlineStr">
        <is>
          <t>None</t>
        </is>
      </c>
      <c r="EH567" s="17" t="n"/>
      <c r="EI567" s="16" t="n"/>
      <c r="EJ567" s="20" t="inlineStr">
        <is>
          <t>IC Organic Acids</t>
        </is>
      </c>
      <c r="EK567" s="20" t="inlineStr">
        <is>
          <t>None</t>
        </is>
      </c>
      <c r="EL567" s="17" t="n"/>
      <c r="EM567" s="16" t="n"/>
      <c r="EN567" s="20" t="inlineStr">
        <is>
          <t>IC Organic Acids</t>
        </is>
      </c>
      <c r="EO567" s="20" t="inlineStr">
        <is>
          <t>None</t>
        </is>
      </c>
      <c r="EP567" s="17" t="n"/>
      <c r="EQ567" s="16" t="n"/>
      <c r="ER567" s="20" t="inlineStr">
        <is>
          <t>IC Organic Acids</t>
        </is>
      </c>
      <c r="ES567" s="20" t="inlineStr">
        <is>
          <t>None</t>
        </is>
      </c>
      <c r="ET567" s="17" t="n"/>
      <c r="EU567" s="16" t="n"/>
      <c r="EV567" s="20" t="inlineStr">
        <is>
          <t>LC-MS</t>
        </is>
      </c>
      <c r="EW567" s="20" t="inlineStr">
        <is>
          <t>None</t>
        </is>
      </c>
      <c r="EX567" s="17" t="n"/>
      <c r="EY567" s="21" t="n"/>
      <c r="EZ567">
        <f>CONCATENATE(A567,B567)</f>
        <v/>
      </c>
      <c r="FA567">
        <f>CONCATENATE(SamplesX!A567,SamplesX!B567)</f>
        <v/>
      </c>
      <c r="FC567">
        <f>MATCH(EZ567,FA1:FA1008,0)</f>
        <v/>
      </c>
    </row>
    <row r="568">
      <c r="A568" s="16" t="n"/>
      <c r="B568" s="17" t="n"/>
      <c r="C568" s="10">
        <f>IF(ISNUMBER(FC568),INDIRECT("SamplesX!C"&amp;FC568),IF(ISNUMBER(FD568),INDIRECT("SamplesY!C"&amp;FD568),""))</f>
        <v/>
      </c>
      <c r="D568" s="12">
        <f>IF(ISNUMBER(FC568),INDIRECT("SamplesX!D"&amp;FC568),IF(ISNUMBER(FD568),INDIRECT("SamplesY!D"&amp;FD568),""))</f>
        <v/>
      </c>
      <c r="E568" s="12">
        <f>IF(ISNUMBER(FC568),INDIRECT("SamplesX!E"&amp;FC568),IF(ISNUMBER(FD568),INDIRECT("SamplesY!E"&amp;FD568),""))</f>
        <v/>
      </c>
      <c r="F568" s="11">
        <f>IF(ISNUMBER(FC568),INDIRECT("SamplesX!F"&amp;FC568),IF(ISNUMBER(FD568),INDIRECT("SamplesY!F"&amp;FD568),""))</f>
        <v/>
      </c>
      <c r="G568" s="18">
        <f>IF(ISNUMBER(FC568),INDIRECT("SamplesX!G"&amp;FC568),IF(ISNUMBER(FD568),INDIRECT("SamplesY!G"&amp;FD568),""))</f>
        <v/>
      </c>
      <c r="H568" s="19">
        <f>IF(ISNUMBER(FC568),INDIRECT("SamplesX!H"&amp;FC568),IF(ISNUMBER(FD568),INDIRECT("SamplesY!H"&amp;FD568),""))</f>
        <v/>
      </c>
      <c r="I568" s="16" t="n"/>
      <c r="J568" s="16" t="n"/>
      <c r="K568" s="16" t="n"/>
      <c r="L568" s="20" t="n"/>
      <c r="M568" s="20" t="inlineStr">
        <is>
          <t>None</t>
        </is>
      </c>
      <c r="N568" s="17" t="n"/>
      <c r="O568" s="16" t="n"/>
      <c r="P568" s="20" t="inlineStr">
        <is>
          <t>Shimadzu TOC-L</t>
        </is>
      </c>
      <c r="Q568" s="20" t="inlineStr">
        <is>
          <t>None</t>
        </is>
      </c>
      <c r="R568" s="17" t="n"/>
      <c r="S568" s="16" t="n"/>
      <c r="T568" s="20" t="inlineStr">
        <is>
          <t>Shimadzu TOC-L</t>
        </is>
      </c>
      <c r="U568" s="20" t="inlineStr">
        <is>
          <t>None</t>
        </is>
      </c>
      <c r="V568" s="17" t="n"/>
      <c r="W568" s="16" t="n"/>
      <c r="X568" s="20" t="n"/>
      <c r="Y568" s="20" t="inlineStr">
        <is>
          <t>None</t>
        </is>
      </c>
      <c r="Z568" s="17" t="n"/>
      <c r="AA568" s="16" t="n"/>
      <c r="AB568" s="20" t="n"/>
      <c r="AC568" s="20" t="inlineStr">
        <is>
          <t>None</t>
        </is>
      </c>
      <c r="AD568" s="17" t="n"/>
      <c r="AE568" s="16" t="n"/>
      <c r="AF568" s="20" t="inlineStr">
        <is>
          <t>IC Anionen</t>
        </is>
      </c>
      <c r="AG568" s="20" t="inlineStr">
        <is>
          <t>None</t>
        </is>
      </c>
      <c r="AH568" s="17" t="n"/>
      <c r="AI568" s="16" t="n"/>
      <c r="AJ568" s="20" t="n"/>
      <c r="AK568" s="20" t="inlineStr">
        <is>
          <t>None</t>
        </is>
      </c>
      <c r="AL568" s="17" t="n"/>
      <c r="AM568" s="16" t="n"/>
      <c r="AN568" s="20" t="inlineStr">
        <is>
          <t>IC Anionen</t>
        </is>
      </c>
      <c r="AO568" s="20" t="inlineStr">
        <is>
          <t>None</t>
        </is>
      </c>
      <c r="AP568" s="17" t="n"/>
      <c r="AQ568" s="16" t="n"/>
      <c r="AR568" s="20" t="n"/>
      <c r="AS568" s="20" t="inlineStr">
        <is>
          <t>None</t>
        </is>
      </c>
      <c r="AT568" s="17" t="n"/>
      <c r="AU568" s="16" t="n"/>
      <c r="AV568" s="20" t="n"/>
      <c r="AW568" s="20" t="inlineStr">
        <is>
          <t>None</t>
        </is>
      </c>
      <c r="AX568" s="17" t="n"/>
      <c r="AY568" s="16" t="n"/>
      <c r="AZ568" s="20" t="inlineStr">
        <is>
          <t>IC Anionen</t>
        </is>
      </c>
      <c r="BA568" s="20" t="inlineStr">
        <is>
          <t>None</t>
        </is>
      </c>
      <c r="BB568" s="17" t="n"/>
      <c r="BC568" s="16" t="n"/>
      <c r="BD568" s="20" t="inlineStr">
        <is>
          <t>IC Kationen</t>
        </is>
      </c>
      <c r="BE568" s="20" t="inlineStr">
        <is>
          <t>None</t>
        </is>
      </c>
      <c r="BF568" s="17" t="n"/>
      <c r="BG568" s="16" t="n"/>
      <c r="BH568" s="20" t="inlineStr">
        <is>
          <t>IC Kationen</t>
        </is>
      </c>
      <c r="BI568" s="20" t="inlineStr">
        <is>
          <t>None</t>
        </is>
      </c>
      <c r="BJ568" s="17" t="n"/>
      <c r="BK568" s="16" t="n"/>
      <c r="BL568" s="20" t="inlineStr">
        <is>
          <t>IC Kationen</t>
        </is>
      </c>
      <c r="BM568" s="20" t="inlineStr">
        <is>
          <t>None</t>
        </is>
      </c>
      <c r="BN568" s="17" t="n"/>
      <c r="BO568" s="16" t="n"/>
      <c r="BP568" s="20" t="inlineStr">
        <is>
          <t>IC Kationen</t>
        </is>
      </c>
      <c r="BQ568" s="20" t="inlineStr">
        <is>
          <t>None</t>
        </is>
      </c>
      <c r="BR568" s="17" t="n"/>
      <c r="BS568" s="16" t="n"/>
      <c r="BT568" s="20" t="inlineStr">
        <is>
          <t>IC Kationen</t>
        </is>
      </c>
      <c r="BU568" s="20" t="inlineStr">
        <is>
          <t>None</t>
        </is>
      </c>
      <c r="BV568" s="17" t="n"/>
      <c r="BW568" s="16" t="n"/>
      <c r="BX568" s="20" t="n"/>
      <c r="BY568" s="20" t="inlineStr">
        <is>
          <t>None</t>
        </is>
      </c>
      <c r="BZ568" s="17" t="n"/>
      <c r="CA568" s="16" t="n"/>
      <c r="CB568" s="20" t="n"/>
      <c r="CC568" s="20" t="inlineStr">
        <is>
          <t>None</t>
        </is>
      </c>
      <c r="CD568" s="17" t="n"/>
      <c r="CE568" s="16" t="n"/>
      <c r="CF568" s="20" t="n"/>
      <c r="CG568" s="20" t="inlineStr">
        <is>
          <t>None</t>
        </is>
      </c>
      <c r="CH568" s="17" t="n"/>
      <c r="CI568" s="16" t="n"/>
      <c r="CJ568" s="20" t="n"/>
      <c r="CK568" s="20" t="inlineStr">
        <is>
          <t>None</t>
        </is>
      </c>
      <c r="CL568" s="17" t="n"/>
      <c r="CM568" s="16" t="n"/>
      <c r="CN568" s="20" t="inlineStr">
        <is>
          <t>SOP 45-34</t>
        </is>
      </c>
      <c r="CO568" s="20" t="inlineStr">
        <is>
          <t>None</t>
        </is>
      </c>
      <c r="CP568" s="17" t="n"/>
      <c r="CQ568" s="16" t="n"/>
      <c r="CR568" s="20" t="n"/>
      <c r="CS568" s="20" t="inlineStr">
        <is>
          <t>None</t>
        </is>
      </c>
      <c r="CT568" s="17" t="n"/>
      <c r="CU568" s="16" t="n"/>
      <c r="CV568" s="20" t="n"/>
      <c r="CW568" s="20" t="inlineStr">
        <is>
          <t>None</t>
        </is>
      </c>
      <c r="CX568" s="17" t="n"/>
      <c r="CY568" s="16" t="n"/>
      <c r="CZ568" s="20" t="inlineStr">
        <is>
          <t>WTW Multimeter 3430 with FDO 925</t>
        </is>
      </c>
      <c r="DA568" s="20" t="inlineStr">
        <is>
          <t>None</t>
        </is>
      </c>
      <c r="DB568" s="17" t="n"/>
      <c r="DC568" s="16" t="n"/>
      <c r="DD568" s="20" t="n"/>
      <c r="DE568" s="20" t="inlineStr">
        <is>
          <t>None</t>
        </is>
      </c>
      <c r="DF568" s="17" t="n"/>
      <c r="DG568" s="16" t="n"/>
      <c r="DH568" s="20" t="inlineStr">
        <is>
          <t>SOP 45-09</t>
        </is>
      </c>
      <c r="DI568" s="20" t="inlineStr">
        <is>
          <t>None</t>
        </is>
      </c>
      <c r="DJ568" s="17" t="n"/>
      <c r="DK568" s="16" t="n"/>
      <c r="DL568" s="20" t="inlineStr">
        <is>
          <t>SOP 45-09 (SOP muss noch angepasst werden für VSS)</t>
        </is>
      </c>
      <c r="DM568" s="20" t="inlineStr">
        <is>
          <t>None</t>
        </is>
      </c>
      <c r="DN568" s="17" t="n"/>
      <c r="DO568" s="16" t="n"/>
      <c r="DP568" s="20" t="inlineStr">
        <is>
          <t>IC Organic Acids</t>
        </is>
      </c>
      <c r="DQ568" s="20" t="inlineStr">
        <is>
          <t>None</t>
        </is>
      </c>
      <c r="DR568" s="17" t="n"/>
      <c r="DS568" s="16" t="n"/>
      <c r="DT568" s="20" t="inlineStr">
        <is>
          <t>IC Organic Acids</t>
        </is>
      </c>
      <c r="DU568" s="20" t="inlineStr">
        <is>
          <t>None</t>
        </is>
      </c>
      <c r="DV568" s="17" t="n"/>
      <c r="DW568" s="16" t="n"/>
      <c r="DX568" s="20" t="inlineStr">
        <is>
          <t>IC Organic Acids</t>
        </is>
      </c>
      <c r="DY568" s="20" t="inlineStr">
        <is>
          <t>None</t>
        </is>
      </c>
      <c r="DZ568" s="17" t="n"/>
      <c r="EA568" s="16" t="n"/>
      <c r="EB568" s="20" t="inlineStr">
        <is>
          <t>IC Organic Acids</t>
        </is>
      </c>
      <c r="EC568" s="20" t="inlineStr">
        <is>
          <t>None</t>
        </is>
      </c>
      <c r="ED568" s="17" t="n"/>
      <c r="EE568" s="16" t="n"/>
      <c r="EF568" s="20" t="inlineStr">
        <is>
          <t>IC Organic Acids</t>
        </is>
      </c>
      <c r="EG568" s="20" t="inlineStr">
        <is>
          <t>None</t>
        </is>
      </c>
      <c r="EH568" s="17" t="n"/>
      <c r="EI568" s="16" t="n"/>
      <c r="EJ568" s="20" t="inlineStr">
        <is>
          <t>IC Organic Acids</t>
        </is>
      </c>
      <c r="EK568" s="20" t="inlineStr">
        <is>
          <t>None</t>
        </is>
      </c>
      <c r="EL568" s="17" t="n"/>
      <c r="EM568" s="16" t="n"/>
      <c r="EN568" s="20" t="inlineStr">
        <is>
          <t>IC Organic Acids</t>
        </is>
      </c>
      <c r="EO568" s="20" t="inlineStr">
        <is>
          <t>None</t>
        </is>
      </c>
      <c r="EP568" s="17" t="n"/>
      <c r="EQ568" s="16" t="n"/>
      <c r="ER568" s="20" t="inlineStr">
        <is>
          <t>IC Organic Acids</t>
        </is>
      </c>
      <c r="ES568" s="20" t="inlineStr">
        <is>
          <t>None</t>
        </is>
      </c>
      <c r="ET568" s="17" t="n"/>
      <c r="EU568" s="16" t="n"/>
      <c r="EV568" s="20" t="inlineStr">
        <is>
          <t>LC-MS</t>
        </is>
      </c>
      <c r="EW568" s="20" t="inlineStr">
        <is>
          <t>None</t>
        </is>
      </c>
      <c r="EX568" s="17" t="n"/>
      <c r="EY568" s="21" t="n"/>
      <c r="EZ568">
        <f>CONCATENATE(A568,B568)</f>
        <v/>
      </c>
      <c r="FA568">
        <f>CONCATENATE(SamplesX!A568,SamplesX!B568)</f>
        <v/>
      </c>
      <c r="FC568">
        <f>MATCH(EZ568,FA1:FA1008,0)</f>
        <v/>
      </c>
    </row>
    <row r="569">
      <c r="A569" s="16" t="n"/>
      <c r="B569" s="17" t="n"/>
      <c r="C569" s="10">
        <f>IF(ISNUMBER(FC569),INDIRECT("SamplesX!C"&amp;FC569),IF(ISNUMBER(FD569),INDIRECT("SamplesY!C"&amp;FD569),""))</f>
        <v/>
      </c>
      <c r="D569" s="12">
        <f>IF(ISNUMBER(FC569),INDIRECT("SamplesX!D"&amp;FC569),IF(ISNUMBER(FD569),INDIRECT("SamplesY!D"&amp;FD569),""))</f>
        <v/>
      </c>
      <c r="E569" s="12">
        <f>IF(ISNUMBER(FC569),INDIRECT("SamplesX!E"&amp;FC569),IF(ISNUMBER(FD569),INDIRECT("SamplesY!E"&amp;FD569),""))</f>
        <v/>
      </c>
      <c r="F569" s="11">
        <f>IF(ISNUMBER(FC569),INDIRECT("SamplesX!F"&amp;FC569),IF(ISNUMBER(FD569),INDIRECT("SamplesY!F"&amp;FD569),""))</f>
        <v/>
      </c>
      <c r="G569" s="18">
        <f>IF(ISNUMBER(FC569),INDIRECT("SamplesX!G"&amp;FC569),IF(ISNUMBER(FD569),INDIRECT("SamplesY!G"&amp;FD569),""))</f>
        <v/>
      </c>
      <c r="H569" s="19">
        <f>IF(ISNUMBER(FC569),INDIRECT("SamplesX!H"&amp;FC569),IF(ISNUMBER(FD569),INDIRECT("SamplesY!H"&amp;FD569),""))</f>
        <v/>
      </c>
      <c r="I569" s="16" t="n"/>
      <c r="J569" s="16" t="n"/>
      <c r="K569" s="16" t="n"/>
      <c r="L569" s="20" t="n"/>
      <c r="M569" s="20" t="inlineStr">
        <is>
          <t>None</t>
        </is>
      </c>
      <c r="N569" s="17" t="n"/>
      <c r="O569" s="16" t="n"/>
      <c r="P569" s="20" t="inlineStr">
        <is>
          <t>Shimadzu TOC-L</t>
        </is>
      </c>
      <c r="Q569" s="20" t="inlineStr">
        <is>
          <t>None</t>
        </is>
      </c>
      <c r="R569" s="17" t="n"/>
      <c r="S569" s="16" t="n"/>
      <c r="T569" s="20" t="inlineStr">
        <is>
          <t>Shimadzu TOC-L</t>
        </is>
      </c>
      <c r="U569" s="20" t="inlineStr">
        <is>
          <t>None</t>
        </is>
      </c>
      <c r="V569" s="17" t="n"/>
      <c r="W569" s="16" t="n"/>
      <c r="X569" s="20" t="n"/>
      <c r="Y569" s="20" t="inlineStr">
        <is>
          <t>None</t>
        </is>
      </c>
      <c r="Z569" s="17" t="n"/>
      <c r="AA569" s="16" t="n"/>
      <c r="AB569" s="20" t="n"/>
      <c r="AC569" s="20" t="inlineStr">
        <is>
          <t>None</t>
        </is>
      </c>
      <c r="AD569" s="17" t="n"/>
      <c r="AE569" s="16" t="n"/>
      <c r="AF569" s="20" t="inlineStr">
        <is>
          <t>IC Anionen</t>
        </is>
      </c>
      <c r="AG569" s="20" t="inlineStr">
        <is>
          <t>None</t>
        </is>
      </c>
      <c r="AH569" s="17" t="n"/>
      <c r="AI569" s="16" t="n"/>
      <c r="AJ569" s="20" t="n"/>
      <c r="AK569" s="20" t="inlineStr">
        <is>
          <t>None</t>
        </is>
      </c>
      <c r="AL569" s="17" t="n"/>
      <c r="AM569" s="16" t="n"/>
      <c r="AN569" s="20" t="inlineStr">
        <is>
          <t>IC Anionen</t>
        </is>
      </c>
      <c r="AO569" s="20" t="inlineStr">
        <is>
          <t>None</t>
        </is>
      </c>
      <c r="AP569" s="17" t="n"/>
      <c r="AQ569" s="16" t="n"/>
      <c r="AR569" s="20" t="n"/>
      <c r="AS569" s="20" t="inlineStr">
        <is>
          <t>None</t>
        </is>
      </c>
      <c r="AT569" s="17" t="n"/>
      <c r="AU569" s="16" t="n"/>
      <c r="AV569" s="20" t="n"/>
      <c r="AW569" s="20" t="inlineStr">
        <is>
          <t>None</t>
        </is>
      </c>
      <c r="AX569" s="17" t="n"/>
      <c r="AY569" s="16" t="n"/>
      <c r="AZ569" s="20" t="inlineStr">
        <is>
          <t>IC Anionen</t>
        </is>
      </c>
      <c r="BA569" s="20" t="inlineStr">
        <is>
          <t>None</t>
        </is>
      </c>
      <c r="BB569" s="17" t="n"/>
      <c r="BC569" s="16" t="n"/>
      <c r="BD569" s="20" t="inlineStr">
        <is>
          <t>IC Kationen</t>
        </is>
      </c>
      <c r="BE569" s="20" t="inlineStr">
        <is>
          <t>None</t>
        </is>
      </c>
      <c r="BF569" s="17" t="n"/>
      <c r="BG569" s="16" t="n"/>
      <c r="BH569" s="20" t="inlineStr">
        <is>
          <t>IC Kationen</t>
        </is>
      </c>
      <c r="BI569" s="20" t="inlineStr">
        <is>
          <t>None</t>
        </is>
      </c>
      <c r="BJ569" s="17" t="n"/>
      <c r="BK569" s="16" t="n"/>
      <c r="BL569" s="20" t="inlineStr">
        <is>
          <t>IC Kationen</t>
        </is>
      </c>
      <c r="BM569" s="20" t="inlineStr">
        <is>
          <t>None</t>
        </is>
      </c>
      <c r="BN569" s="17" t="n"/>
      <c r="BO569" s="16" t="n"/>
      <c r="BP569" s="20" t="inlineStr">
        <is>
          <t>IC Kationen</t>
        </is>
      </c>
      <c r="BQ569" s="20" t="inlineStr">
        <is>
          <t>None</t>
        </is>
      </c>
      <c r="BR569" s="17" t="n"/>
      <c r="BS569" s="16" t="n"/>
      <c r="BT569" s="20" t="inlineStr">
        <is>
          <t>IC Kationen</t>
        </is>
      </c>
      <c r="BU569" s="20" t="inlineStr">
        <is>
          <t>None</t>
        </is>
      </c>
      <c r="BV569" s="17" t="n"/>
      <c r="BW569" s="16" t="n"/>
      <c r="BX569" s="20" t="n"/>
      <c r="BY569" s="20" t="inlineStr">
        <is>
          <t>None</t>
        </is>
      </c>
      <c r="BZ569" s="17" t="n"/>
      <c r="CA569" s="16" t="n"/>
      <c r="CB569" s="20" t="n"/>
      <c r="CC569" s="20" t="inlineStr">
        <is>
          <t>None</t>
        </is>
      </c>
      <c r="CD569" s="17" t="n"/>
      <c r="CE569" s="16" t="n"/>
      <c r="CF569" s="20" t="n"/>
      <c r="CG569" s="20" t="inlineStr">
        <is>
          <t>None</t>
        </is>
      </c>
      <c r="CH569" s="17" t="n"/>
      <c r="CI569" s="16" t="n"/>
      <c r="CJ569" s="20" t="n"/>
      <c r="CK569" s="20" t="inlineStr">
        <is>
          <t>None</t>
        </is>
      </c>
      <c r="CL569" s="17" t="n"/>
      <c r="CM569" s="16" t="n"/>
      <c r="CN569" s="20" t="inlineStr">
        <is>
          <t>SOP 45-34</t>
        </is>
      </c>
      <c r="CO569" s="20" t="inlineStr">
        <is>
          <t>None</t>
        </is>
      </c>
      <c r="CP569" s="17" t="n"/>
      <c r="CQ569" s="16" t="n"/>
      <c r="CR569" s="20" t="n"/>
      <c r="CS569" s="20" t="inlineStr">
        <is>
          <t>None</t>
        </is>
      </c>
      <c r="CT569" s="17" t="n"/>
      <c r="CU569" s="16" t="n"/>
      <c r="CV569" s="20" t="n"/>
      <c r="CW569" s="20" t="inlineStr">
        <is>
          <t>None</t>
        </is>
      </c>
      <c r="CX569" s="17" t="n"/>
      <c r="CY569" s="16" t="n"/>
      <c r="CZ569" s="20" t="inlineStr">
        <is>
          <t>WTW Multimeter 3430 with FDO 925</t>
        </is>
      </c>
      <c r="DA569" s="20" t="inlineStr">
        <is>
          <t>None</t>
        </is>
      </c>
      <c r="DB569" s="17" t="n"/>
      <c r="DC569" s="16" t="n"/>
      <c r="DD569" s="20" t="n"/>
      <c r="DE569" s="20" t="inlineStr">
        <is>
          <t>None</t>
        </is>
      </c>
      <c r="DF569" s="17" t="n"/>
      <c r="DG569" s="16" t="n"/>
      <c r="DH569" s="20" t="inlineStr">
        <is>
          <t>SOP 45-09</t>
        </is>
      </c>
      <c r="DI569" s="20" t="inlineStr">
        <is>
          <t>None</t>
        </is>
      </c>
      <c r="DJ569" s="17" t="n"/>
      <c r="DK569" s="16" t="n"/>
      <c r="DL569" s="20" t="inlineStr">
        <is>
          <t>SOP 45-09 (SOP muss noch angepasst werden für VSS)</t>
        </is>
      </c>
      <c r="DM569" s="20" t="inlineStr">
        <is>
          <t>None</t>
        </is>
      </c>
      <c r="DN569" s="17" t="n"/>
      <c r="DO569" s="16" t="n"/>
      <c r="DP569" s="20" t="inlineStr">
        <is>
          <t>IC Organic Acids</t>
        </is>
      </c>
      <c r="DQ569" s="20" t="inlineStr">
        <is>
          <t>None</t>
        </is>
      </c>
      <c r="DR569" s="17" t="n"/>
      <c r="DS569" s="16" t="n"/>
      <c r="DT569" s="20" t="inlineStr">
        <is>
          <t>IC Organic Acids</t>
        </is>
      </c>
      <c r="DU569" s="20" t="inlineStr">
        <is>
          <t>None</t>
        </is>
      </c>
      <c r="DV569" s="17" t="n"/>
      <c r="DW569" s="16" t="n"/>
      <c r="DX569" s="20" t="inlineStr">
        <is>
          <t>IC Organic Acids</t>
        </is>
      </c>
      <c r="DY569" s="20" t="inlineStr">
        <is>
          <t>None</t>
        </is>
      </c>
      <c r="DZ569" s="17" t="n"/>
      <c r="EA569" s="16" t="n"/>
      <c r="EB569" s="20" t="inlineStr">
        <is>
          <t>IC Organic Acids</t>
        </is>
      </c>
      <c r="EC569" s="20" t="inlineStr">
        <is>
          <t>None</t>
        </is>
      </c>
      <c r="ED569" s="17" t="n"/>
      <c r="EE569" s="16" t="n"/>
      <c r="EF569" s="20" t="inlineStr">
        <is>
          <t>IC Organic Acids</t>
        </is>
      </c>
      <c r="EG569" s="20" t="inlineStr">
        <is>
          <t>None</t>
        </is>
      </c>
      <c r="EH569" s="17" t="n"/>
      <c r="EI569" s="16" t="n"/>
      <c r="EJ569" s="20" t="inlineStr">
        <is>
          <t>IC Organic Acids</t>
        </is>
      </c>
      <c r="EK569" s="20" t="inlineStr">
        <is>
          <t>None</t>
        </is>
      </c>
      <c r="EL569" s="17" t="n"/>
      <c r="EM569" s="16" t="n"/>
      <c r="EN569" s="20" t="inlineStr">
        <is>
          <t>IC Organic Acids</t>
        </is>
      </c>
      <c r="EO569" s="20" t="inlineStr">
        <is>
          <t>None</t>
        </is>
      </c>
      <c r="EP569" s="17" t="n"/>
      <c r="EQ569" s="16" t="n"/>
      <c r="ER569" s="20" t="inlineStr">
        <is>
          <t>IC Organic Acids</t>
        </is>
      </c>
      <c r="ES569" s="20" t="inlineStr">
        <is>
          <t>None</t>
        </is>
      </c>
      <c r="ET569" s="17" t="n"/>
      <c r="EU569" s="16" t="n"/>
      <c r="EV569" s="20" t="inlineStr">
        <is>
          <t>LC-MS</t>
        </is>
      </c>
      <c r="EW569" s="20" t="inlineStr">
        <is>
          <t>None</t>
        </is>
      </c>
      <c r="EX569" s="17" t="n"/>
      <c r="EY569" s="21" t="n"/>
      <c r="EZ569">
        <f>CONCATENATE(A569,B569)</f>
        <v/>
      </c>
      <c r="FA569">
        <f>CONCATENATE(SamplesX!A569,SamplesX!B569)</f>
        <v/>
      </c>
      <c r="FC569">
        <f>MATCH(EZ569,FA1:FA1008,0)</f>
        <v/>
      </c>
    </row>
    <row r="570">
      <c r="A570" s="16" t="n"/>
      <c r="B570" s="17" t="n"/>
      <c r="C570" s="10">
        <f>IF(ISNUMBER(FC570),INDIRECT("SamplesX!C"&amp;FC570),IF(ISNUMBER(FD570),INDIRECT("SamplesY!C"&amp;FD570),""))</f>
        <v/>
      </c>
      <c r="D570" s="12">
        <f>IF(ISNUMBER(FC570),INDIRECT("SamplesX!D"&amp;FC570),IF(ISNUMBER(FD570),INDIRECT("SamplesY!D"&amp;FD570),""))</f>
        <v/>
      </c>
      <c r="E570" s="12">
        <f>IF(ISNUMBER(FC570),INDIRECT("SamplesX!E"&amp;FC570),IF(ISNUMBER(FD570),INDIRECT("SamplesY!E"&amp;FD570),""))</f>
        <v/>
      </c>
      <c r="F570" s="11">
        <f>IF(ISNUMBER(FC570),INDIRECT("SamplesX!F"&amp;FC570),IF(ISNUMBER(FD570),INDIRECT("SamplesY!F"&amp;FD570),""))</f>
        <v/>
      </c>
      <c r="G570" s="18">
        <f>IF(ISNUMBER(FC570),INDIRECT("SamplesX!G"&amp;FC570),IF(ISNUMBER(FD570),INDIRECT("SamplesY!G"&amp;FD570),""))</f>
        <v/>
      </c>
      <c r="H570" s="19">
        <f>IF(ISNUMBER(FC570),INDIRECT("SamplesX!H"&amp;FC570),IF(ISNUMBER(FD570),INDIRECT("SamplesY!H"&amp;FD570),""))</f>
        <v/>
      </c>
      <c r="I570" s="16" t="n"/>
      <c r="J570" s="16" t="n"/>
      <c r="K570" s="16" t="n"/>
      <c r="L570" s="20" t="n"/>
      <c r="M570" s="20" t="inlineStr">
        <is>
          <t>None</t>
        </is>
      </c>
      <c r="N570" s="17" t="n"/>
      <c r="O570" s="16" t="n"/>
      <c r="P570" s="20" t="inlineStr">
        <is>
          <t>Shimadzu TOC-L</t>
        </is>
      </c>
      <c r="Q570" s="20" t="inlineStr">
        <is>
          <t>None</t>
        </is>
      </c>
      <c r="R570" s="17" t="n"/>
      <c r="S570" s="16" t="n"/>
      <c r="T570" s="20" t="inlineStr">
        <is>
          <t>Shimadzu TOC-L</t>
        </is>
      </c>
      <c r="U570" s="20" t="inlineStr">
        <is>
          <t>None</t>
        </is>
      </c>
      <c r="V570" s="17" t="n"/>
      <c r="W570" s="16" t="n"/>
      <c r="X570" s="20" t="n"/>
      <c r="Y570" s="20" t="inlineStr">
        <is>
          <t>None</t>
        </is>
      </c>
      <c r="Z570" s="17" t="n"/>
      <c r="AA570" s="16" t="n"/>
      <c r="AB570" s="20" t="n"/>
      <c r="AC570" s="20" t="inlineStr">
        <is>
          <t>None</t>
        </is>
      </c>
      <c r="AD570" s="17" t="n"/>
      <c r="AE570" s="16" t="n"/>
      <c r="AF570" s="20" t="inlineStr">
        <is>
          <t>IC Anionen</t>
        </is>
      </c>
      <c r="AG570" s="20" t="inlineStr">
        <is>
          <t>None</t>
        </is>
      </c>
      <c r="AH570" s="17" t="n"/>
      <c r="AI570" s="16" t="n"/>
      <c r="AJ570" s="20" t="n"/>
      <c r="AK570" s="20" t="inlineStr">
        <is>
          <t>None</t>
        </is>
      </c>
      <c r="AL570" s="17" t="n"/>
      <c r="AM570" s="16" t="n"/>
      <c r="AN570" s="20" t="inlineStr">
        <is>
          <t>IC Anionen</t>
        </is>
      </c>
      <c r="AO570" s="20" t="inlineStr">
        <is>
          <t>None</t>
        </is>
      </c>
      <c r="AP570" s="17" t="n"/>
      <c r="AQ570" s="16" t="n"/>
      <c r="AR570" s="20" t="n"/>
      <c r="AS570" s="20" t="inlineStr">
        <is>
          <t>None</t>
        </is>
      </c>
      <c r="AT570" s="17" t="n"/>
      <c r="AU570" s="16" t="n"/>
      <c r="AV570" s="20" t="n"/>
      <c r="AW570" s="20" t="inlineStr">
        <is>
          <t>None</t>
        </is>
      </c>
      <c r="AX570" s="17" t="n"/>
      <c r="AY570" s="16" t="n"/>
      <c r="AZ570" s="20" t="inlineStr">
        <is>
          <t>IC Anionen</t>
        </is>
      </c>
      <c r="BA570" s="20" t="inlineStr">
        <is>
          <t>None</t>
        </is>
      </c>
      <c r="BB570" s="17" t="n"/>
      <c r="BC570" s="16" t="n"/>
      <c r="BD570" s="20" t="inlineStr">
        <is>
          <t>IC Kationen</t>
        </is>
      </c>
      <c r="BE570" s="20" t="inlineStr">
        <is>
          <t>None</t>
        </is>
      </c>
      <c r="BF570" s="17" t="n"/>
      <c r="BG570" s="16" t="n"/>
      <c r="BH570" s="20" t="inlineStr">
        <is>
          <t>IC Kationen</t>
        </is>
      </c>
      <c r="BI570" s="20" t="inlineStr">
        <is>
          <t>None</t>
        </is>
      </c>
      <c r="BJ570" s="17" t="n"/>
      <c r="BK570" s="16" t="n"/>
      <c r="BL570" s="20" t="inlineStr">
        <is>
          <t>IC Kationen</t>
        </is>
      </c>
      <c r="BM570" s="20" t="inlineStr">
        <is>
          <t>None</t>
        </is>
      </c>
      <c r="BN570" s="17" t="n"/>
      <c r="BO570" s="16" t="n"/>
      <c r="BP570" s="20" t="inlineStr">
        <is>
          <t>IC Kationen</t>
        </is>
      </c>
      <c r="BQ570" s="20" t="inlineStr">
        <is>
          <t>None</t>
        </is>
      </c>
      <c r="BR570" s="17" t="n"/>
      <c r="BS570" s="16" t="n"/>
      <c r="BT570" s="20" t="inlineStr">
        <is>
          <t>IC Kationen</t>
        </is>
      </c>
      <c r="BU570" s="20" t="inlineStr">
        <is>
          <t>None</t>
        </is>
      </c>
      <c r="BV570" s="17" t="n"/>
      <c r="BW570" s="16" t="n"/>
      <c r="BX570" s="20" t="n"/>
      <c r="BY570" s="20" t="inlineStr">
        <is>
          <t>None</t>
        </is>
      </c>
      <c r="BZ570" s="17" t="n"/>
      <c r="CA570" s="16" t="n"/>
      <c r="CB570" s="20" t="n"/>
      <c r="CC570" s="20" t="inlineStr">
        <is>
          <t>None</t>
        </is>
      </c>
      <c r="CD570" s="17" t="n"/>
      <c r="CE570" s="16" t="n"/>
      <c r="CF570" s="20" t="n"/>
      <c r="CG570" s="20" t="inlineStr">
        <is>
          <t>None</t>
        </is>
      </c>
      <c r="CH570" s="17" t="n"/>
      <c r="CI570" s="16" t="n"/>
      <c r="CJ570" s="20" t="n"/>
      <c r="CK570" s="20" t="inlineStr">
        <is>
          <t>None</t>
        </is>
      </c>
      <c r="CL570" s="17" t="n"/>
      <c r="CM570" s="16" t="n"/>
      <c r="CN570" s="20" t="inlineStr">
        <is>
          <t>SOP 45-34</t>
        </is>
      </c>
      <c r="CO570" s="20" t="inlineStr">
        <is>
          <t>None</t>
        </is>
      </c>
      <c r="CP570" s="17" t="n"/>
      <c r="CQ570" s="16" t="n"/>
      <c r="CR570" s="20" t="n"/>
      <c r="CS570" s="20" t="inlineStr">
        <is>
          <t>None</t>
        </is>
      </c>
      <c r="CT570" s="17" t="n"/>
      <c r="CU570" s="16" t="n"/>
      <c r="CV570" s="20" t="n"/>
      <c r="CW570" s="20" t="inlineStr">
        <is>
          <t>None</t>
        </is>
      </c>
      <c r="CX570" s="17" t="n"/>
      <c r="CY570" s="16" t="n"/>
      <c r="CZ570" s="20" t="inlineStr">
        <is>
          <t>WTW Multimeter 3430 with FDO 925</t>
        </is>
      </c>
      <c r="DA570" s="20" t="inlineStr">
        <is>
          <t>None</t>
        </is>
      </c>
      <c r="DB570" s="17" t="n"/>
      <c r="DC570" s="16" t="n"/>
      <c r="DD570" s="20" t="n"/>
      <c r="DE570" s="20" t="inlineStr">
        <is>
          <t>None</t>
        </is>
      </c>
      <c r="DF570" s="17" t="n"/>
      <c r="DG570" s="16" t="n"/>
      <c r="DH570" s="20" t="inlineStr">
        <is>
          <t>SOP 45-09</t>
        </is>
      </c>
      <c r="DI570" s="20" t="inlineStr">
        <is>
          <t>None</t>
        </is>
      </c>
      <c r="DJ570" s="17" t="n"/>
      <c r="DK570" s="16" t="n"/>
      <c r="DL570" s="20" t="inlineStr">
        <is>
          <t>SOP 45-09 (SOP muss noch angepasst werden für VSS)</t>
        </is>
      </c>
      <c r="DM570" s="20" t="inlineStr">
        <is>
          <t>None</t>
        </is>
      </c>
      <c r="DN570" s="17" t="n"/>
      <c r="DO570" s="16" t="n"/>
      <c r="DP570" s="20" t="inlineStr">
        <is>
          <t>IC Organic Acids</t>
        </is>
      </c>
      <c r="DQ570" s="20" t="inlineStr">
        <is>
          <t>None</t>
        </is>
      </c>
      <c r="DR570" s="17" t="n"/>
      <c r="DS570" s="16" t="n"/>
      <c r="DT570" s="20" t="inlineStr">
        <is>
          <t>IC Organic Acids</t>
        </is>
      </c>
      <c r="DU570" s="20" t="inlineStr">
        <is>
          <t>None</t>
        </is>
      </c>
      <c r="DV570" s="17" t="n"/>
      <c r="DW570" s="16" t="n"/>
      <c r="DX570" s="20" t="inlineStr">
        <is>
          <t>IC Organic Acids</t>
        </is>
      </c>
      <c r="DY570" s="20" t="inlineStr">
        <is>
          <t>None</t>
        </is>
      </c>
      <c r="DZ570" s="17" t="n"/>
      <c r="EA570" s="16" t="n"/>
      <c r="EB570" s="20" t="inlineStr">
        <is>
          <t>IC Organic Acids</t>
        </is>
      </c>
      <c r="EC570" s="20" t="inlineStr">
        <is>
          <t>None</t>
        </is>
      </c>
      <c r="ED570" s="17" t="n"/>
      <c r="EE570" s="16" t="n"/>
      <c r="EF570" s="20" t="inlineStr">
        <is>
          <t>IC Organic Acids</t>
        </is>
      </c>
      <c r="EG570" s="20" t="inlineStr">
        <is>
          <t>None</t>
        </is>
      </c>
      <c r="EH570" s="17" t="n"/>
      <c r="EI570" s="16" t="n"/>
      <c r="EJ570" s="20" t="inlineStr">
        <is>
          <t>IC Organic Acids</t>
        </is>
      </c>
      <c r="EK570" s="20" t="inlineStr">
        <is>
          <t>None</t>
        </is>
      </c>
      <c r="EL570" s="17" t="n"/>
      <c r="EM570" s="16" t="n"/>
      <c r="EN570" s="20" t="inlineStr">
        <is>
          <t>IC Organic Acids</t>
        </is>
      </c>
      <c r="EO570" s="20" t="inlineStr">
        <is>
          <t>None</t>
        </is>
      </c>
      <c r="EP570" s="17" t="n"/>
      <c r="EQ570" s="16" t="n"/>
      <c r="ER570" s="20" t="inlineStr">
        <is>
          <t>IC Organic Acids</t>
        </is>
      </c>
      <c r="ES570" s="20" t="inlineStr">
        <is>
          <t>None</t>
        </is>
      </c>
      <c r="ET570" s="17" t="n"/>
      <c r="EU570" s="16" t="n"/>
      <c r="EV570" s="20" t="inlineStr">
        <is>
          <t>LC-MS</t>
        </is>
      </c>
      <c r="EW570" s="20" t="inlineStr">
        <is>
          <t>None</t>
        </is>
      </c>
      <c r="EX570" s="17" t="n"/>
      <c r="EY570" s="21" t="n"/>
      <c r="EZ570">
        <f>CONCATENATE(A570,B570)</f>
        <v/>
      </c>
      <c r="FA570">
        <f>CONCATENATE(SamplesX!A570,SamplesX!B570)</f>
        <v/>
      </c>
      <c r="FC570">
        <f>MATCH(EZ570,FA1:FA1008,0)</f>
        <v/>
      </c>
    </row>
    <row r="571">
      <c r="A571" s="16" t="n"/>
      <c r="B571" s="17" t="n"/>
      <c r="C571" s="10">
        <f>IF(ISNUMBER(FC571),INDIRECT("SamplesX!C"&amp;FC571),IF(ISNUMBER(FD571),INDIRECT("SamplesY!C"&amp;FD571),""))</f>
        <v/>
      </c>
      <c r="D571" s="12">
        <f>IF(ISNUMBER(FC571),INDIRECT("SamplesX!D"&amp;FC571),IF(ISNUMBER(FD571),INDIRECT("SamplesY!D"&amp;FD571),""))</f>
        <v/>
      </c>
      <c r="E571" s="12">
        <f>IF(ISNUMBER(FC571),INDIRECT("SamplesX!E"&amp;FC571),IF(ISNUMBER(FD571),INDIRECT("SamplesY!E"&amp;FD571),""))</f>
        <v/>
      </c>
      <c r="F571" s="11">
        <f>IF(ISNUMBER(FC571),INDIRECT("SamplesX!F"&amp;FC571),IF(ISNUMBER(FD571),INDIRECT("SamplesY!F"&amp;FD571),""))</f>
        <v/>
      </c>
      <c r="G571" s="18">
        <f>IF(ISNUMBER(FC571),INDIRECT("SamplesX!G"&amp;FC571),IF(ISNUMBER(FD571),INDIRECT("SamplesY!G"&amp;FD571),""))</f>
        <v/>
      </c>
      <c r="H571" s="19">
        <f>IF(ISNUMBER(FC571),INDIRECT("SamplesX!H"&amp;FC571),IF(ISNUMBER(FD571),INDIRECT("SamplesY!H"&amp;FD571),""))</f>
        <v/>
      </c>
      <c r="I571" s="16" t="n"/>
      <c r="J571" s="16" t="n"/>
      <c r="K571" s="16" t="n"/>
      <c r="L571" s="20" t="n"/>
      <c r="M571" s="20" t="inlineStr">
        <is>
          <t>None</t>
        </is>
      </c>
      <c r="N571" s="17" t="n"/>
      <c r="O571" s="16" t="n"/>
      <c r="P571" s="20" t="inlineStr">
        <is>
          <t>Shimadzu TOC-L</t>
        </is>
      </c>
      <c r="Q571" s="20" t="inlineStr">
        <is>
          <t>None</t>
        </is>
      </c>
      <c r="R571" s="17" t="n"/>
      <c r="S571" s="16" t="n"/>
      <c r="T571" s="20" t="inlineStr">
        <is>
          <t>Shimadzu TOC-L</t>
        </is>
      </c>
      <c r="U571" s="20" t="inlineStr">
        <is>
          <t>None</t>
        </is>
      </c>
      <c r="V571" s="17" t="n"/>
      <c r="W571" s="16" t="n"/>
      <c r="X571" s="20" t="n"/>
      <c r="Y571" s="20" t="inlineStr">
        <is>
          <t>None</t>
        </is>
      </c>
      <c r="Z571" s="17" t="n"/>
      <c r="AA571" s="16" t="n"/>
      <c r="AB571" s="20" t="n"/>
      <c r="AC571" s="20" t="inlineStr">
        <is>
          <t>None</t>
        </is>
      </c>
      <c r="AD571" s="17" t="n"/>
      <c r="AE571" s="16" t="n"/>
      <c r="AF571" s="20" t="inlineStr">
        <is>
          <t>IC Anionen</t>
        </is>
      </c>
      <c r="AG571" s="20" t="inlineStr">
        <is>
          <t>None</t>
        </is>
      </c>
      <c r="AH571" s="17" t="n"/>
      <c r="AI571" s="16" t="n"/>
      <c r="AJ571" s="20" t="n"/>
      <c r="AK571" s="20" t="inlineStr">
        <is>
          <t>None</t>
        </is>
      </c>
      <c r="AL571" s="17" t="n"/>
      <c r="AM571" s="16" t="n"/>
      <c r="AN571" s="20" t="inlineStr">
        <is>
          <t>IC Anionen</t>
        </is>
      </c>
      <c r="AO571" s="20" t="inlineStr">
        <is>
          <t>None</t>
        </is>
      </c>
      <c r="AP571" s="17" t="n"/>
      <c r="AQ571" s="16" t="n"/>
      <c r="AR571" s="20" t="n"/>
      <c r="AS571" s="20" t="inlineStr">
        <is>
          <t>None</t>
        </is>
      </c>
      <c r="AT571" s="17" t="n"/>
      <c r="AU571" s="16" t="n"/>
      <c r="AV571" s="20" t="n"/>
      <c r="AW571" s="20" t="inlineStr">
        <is>
          <t>None</t>
        </is>
      </c>
      <c r="AX571" s="17" t="n"/>
      <c r="AY571" s="16" t="n"/>
      <c r="AZ571" s="20" t="inlineStr">
        <is>
          <t>IC Anionen</t>
        </is>
      </c>
      <c r="BA571" s="20" t="inlineStr">
        <is>
          <t>None</t>
        </is>
      </c>
      <c r="BB571" s="17" t="n"/>
      <c r="BC571" s="16" t="n"/>
      <c r="BD571" s="20" t="inlineStr">
        <is>
          <t>IC Kationen</t>
        </is>
      </c>
      <c r="BE571" s="20" t="inlineStr">
        <is>
          <t>None</t>
        </is>
      </c>
      <c r="BF571" s="17" t="n"/>
      <c r="BG571" s="16" t="n"/>
      <c r="BH571" s="20" t="inlineStr">
        <is>
          <t>IC Kationen</t>
        </is>
      </c>
      <c r="BI571" s="20" t="inlineStr">
        <is>
          <t>None</t>
        </is>
      </c>
      <c r="BJ571" s="17" t="n"/>
      <c r="BK571" s="16" t="n"/>
      <c r="BL571" s="20" t="inlineStr">
        <is>
          <t>IC Kationen</t>
        </is>
      </c>
      <c r="BM571" s="20" t="inlineStr">
        <is>
          <t>None</t>
        </is>
      </c>
      <c r="BN571" s="17" t="n"/>
      <c r="BO571" s="16" t="n"/>
      <c r="BP571" s="20" t="inlineStr">
        <is>
          <t>IC Kationen</t>
        </is>
      </c>
      <c r="BQ571" s="20" t="inlineStr">
        <is>
          <t>None</t>
        </is>
      </c>
      <c r="BR571" s="17" t="n"/>
      <c r="BS571" s="16" t="n"/>
      <c r="BT571" s="20" t="inlineStr">
        <is>
          <t>IC Kationen</t>
        </is>
      </c>
      <c r="BU571" s="20" t="inlineStr">
        <is>
          <t>None</t>
        </is>
      </c>
      <c r="BV571" s="17" t="n"/>
      <c r="BW571" s="16" t="n"/>
      <c r="BX571" s="20" t="n"/>
      <c r="BY571" s="20" t="inlineStr">
        <is>
          <t>None</t>
        </is>
      </c>
      <c r="BZ571" s="17" t="n"/>
      <c r="CA571" s="16" t="n"/>
      <c r="CB571" s="20" t="n"/>
      <c r="CC571" s="20" t="inlineStr">
        <is>
          <t>None</t>
        </is>
      </c>
      <c r="CD571" s="17" t="n"/>
      <c r="CE571" s="16" t="n"/>
      <c r="CF571" s="20" t="n"/>
      <c r="CG571" s="20" t="inlineStr">
        <is>
          <t>None</t>
        </is>
      </c>
      <c r="CH571" s="17" t="n"/>
      <c r="CI571" s="16" t="n"/>
      <c r="CJ571" s="20" t="n"/>
      <c r="CK571" s="20" t="inlineStr">
        <is>
          <t>None</t>
        </is>
      </c>
      <c r="CL571" s="17" t="n"/>
      <c r="CM571" s="16" t="n"/>
      <c r="CN571" s="20" t="inlineStr">
        <is>
          <t>SOP 45-34</t>
        </is>
      </c>
      <c r="CO571" s="20" t="inlineStr">
        <is>
          <t>None</t>
        </is>
      </c>
      <c r="CP571" s="17" t="n"/>
      <c r="CQ571" s="16" t="n"/>
      <c r="CR571" s="20" t="n"/>
      <c r="CS571" s="20" t="inlineStr">
        <is>
          <t>None</t>
        </is>
      </c>
      <c r="CT571" s="17" t="n"/>
      <c r="CU571" s="16" t="n"/>
      <c r="CV571" s="20" t="n"/>
      <c r="CW571" s="20" t="inlineStr">
        <is>
          <t>None</t>
        </is>
      </c>
      <c r="CX571" s="17" t="n"/>
      <c r="CY571" s="16" t="n"/>
      <c r="CZ571" s="20" t="inlineStr">
        <is>
          <t>WTW Multimeter 3430 with FDO 925</t>
        </is>
      </c>
      <c r="DA571" s="20" t="inlineStr">
        <is>
          <t>None</t>
        </is>
      </c>
      <c r="DB571" s="17" t="n"/>
      <c r="DC571" s="16" t="n"/>
      <c r="DD571" s="20" t="n"/>
      <c r="DE571" s="20" t="inlineStr">
        <is>
          <t>None</t>
        </is>
      </c>
      <c r="DF571" s="17" t="n"/>
      <c r="DG571" s="16" t="n"/>
      <c r="DH571" s="20" t="inlineStr">
        <is>
          <t>SOP 45-09</t>
        </is>
      </c>
      <c r="DI571" s="20" t="inlineStr">
        <is>
          <t>None</t>
        </is>
      </c>
      <c r="DJ571" s="17" t="n"/>
      <c r="DK571" s="16" t="n"/>
      <c r="DL571" s="20" t="inlineStr">
        <is>
          <t>SOP 45-09 (SOP muss noch angepasst werden für VSS)</t>
        </is>
      </c>
      <c r="DM571" s="20" t="inlineStr">
        <is>
          <t>None</t>
        </is>
      </c>
      <c r="DN571" s="17" t="n"/>
      <c r="DO571" s="16" t="n"/>
      <c r="DP571" s="20" t="inlineStr">
        <is>
          <t>IC Organic Acids</t>
        </is>
      </c>
      <c r="DQ571" s="20" t="inlineStr">
        <is>
          <t>None</t>
        </is>
      </c>
      <c r="DR571" s="17" t="n"/>
      <c r="DS571" s="16" t="n"/>
      <c r="DT571" s="20" t="inlineStr">
        <is>
          <t>IC Organic Acids</t>
        </is>
      </c>
      <c r="DU571" s="20" t="inlineStr">
        <is>
          <t>None</t>
        </is>
      </c>
      <c r="DV571" s="17" t="n"/>
      <c r="DW571" s="16" t="n"/>
      <c r="DX571" s="20" t="inlineStr">
        <is>
          <t>IC Organic Acids</t>
        </is>
      </c>
      <c r="DY571" s="20" t="inlineStr">
        <is>
          <t>None</t>
        </is>
      </c>
      <c r="DZ571" s="17" t="n"/>
      <c r="EA571" s="16" t="n"/>
      <c r="EB571" s="20" t="inlineStr">
        <is>
          <t>IC Organic Acids</t>
        </is>
      </c>
      <c r="EC571" s="20" t="inlineStr">
        <is>
          <t>None</t>
        </is>
      </c>
      <c r="ED571" s="17" t="n"/>
      <c r="EE571" s="16" t="n"/>
      <c r="EF571" s="20" t="inlineStr">
        <is>
          <t>IC Organic Acids</t>
        </is>
      </c>
      <c r="EG571" s="20" t="inlineStr">
        <is>
          <t>None</t>
        </is>
      </c>
      <c r="EH571" s="17" t="n"/>
      <c r="EI571" s="16" t="n"/>
      <c r="EJ571" s="20" t="inlineStr">
        <is>
          <t>IC Organic Acids</t>
        </is>
      </c>
      <c r="EK571" s="20" t="inlineStr">
        <is>
          <t>None</t>
        </is>
      </c>
      <c r="EL571" s="17" t="n"/>
      <c r="EM571" s="16" t="n"/>
      <c r="EN571" s="20" t="inlineStr">
        <is>
          <t>IC Organic Acids</t>
        </is>
      </c>
      <c r="EO571" s="20" t="inlineStr">
        <is>
          <t>None</t>
        </is>
      </c>
      <c r="EP571" s="17" t="n"/>
      <c r="EQ571" s="16" t="n"/>
      <c r="ER571" s="20" t="inlineStr">
        <is>
          <t>IC Organic Acids</t>
        </is>
      </c>
      <c r="ES571" s="20" t="inlineStr">
        <is>
          <t>None</t>
        </is>
      </c>
      <c r="ET571" s="17" t="n"/>
      <c r="EU571" s="16" t="n"/>
      <c r="EV571" s="20" t="inlineStr">
        <is>
          <t>LC-MS</t>
        </is>
      </c>
      <c r="EW571" s="20" t="inlineStr">
        <is>
          <t>None</t>
        </is>
      </c>
      <c r="EX571" s="17" t="n"/>
      <c r="EY571" s="21" t="n"/>
      <c r="EZ571">
        <f>CONCATENATE(A571,B571)</f>
        <v/>
      </c>
      <c r="FA571">
        <f>CONCATENATE(SamplesX!A571,SamplesX!B571)</f>
        <v/>
      </c>
      <c r="FC571">
        <f>MATCH(EZ571,FA1:FA1008,0)</f>
        <v/>
      </c>
    </row>
    <row r="572">
      <c r="A572" s="16" t="n"/>
      <c r="B572" s="17" t="n"/>
      <c r="C572" s="10">
        <f>IF(ISNUMBER(FC572),INDIRECT("SamplesX!C"&amp;FC572),IF(ISNUMBER(FD572),INDIRECT("SamplesY!C"&amp;FD572),""))</f>
        <v/>
      </c>
      <c r="D572" s="12">
        <f>IF(ISNUMBER(FC572),INDIRECT("SamplesX!D"&amp;FC572),IF(ISNUMBER(FD572),INDIRECT("SamplesY!D"&amp;FD572),""))</f>
        <v/>
      </c>
      <c r="E572" s="12">
        <f>IF(ISNUMBER(FC572),INDIRECT("SamplesX!E"&amp;FC572),IF(ISNUMBER(FD572),INDIRECT("SamplesY!E"&amp;FD572),""))</f>
        <v/>
      </c>
      <c r="F572" s="11">
        <f>IF(ISNUMBER(FC572),INDIRECT("SamplesX!F"&amp;FC572),IF(ISNUMBER(FD572),INDIRECT("SamplesY!F"&amp;FD572),""))</f>
        <v/>
      </c>
      <c r="G572" s="18">
        <f>IF(ISNUMBER(FC572),INDIRECT("SamplesX!G"&amp;FC572),IF(ISNUMBER(FD572),INDIRECT("SamplesY!G"&amp;FD572),""))</f>
        <v/>
      </c>
      <c r="H572" s="19">
        <f>IF(ISNUMBER(FC572),INDIRECT("SamplesX!H"&amp;FC572),IF(ISNUMBER(FD572),INDIRECT("SamplesY!H"&amp;FD572),""))</f>
        <v/>
      </c>
      <c r="I572" s="16" t="n"/>
      <c r="J572" s="16" t="n"/>
      <c r="K572" s="16" t="n"/>
      <c r="L572" s="20" t="n"/>
      <c r="M572" s="20" t="inlineStr">
        <is>
          <t>None</t>
        </is>
      </c>
      <c r="N572" s="17" t="n"/>
      <c r="O572" s="16" t="n"/>
      <c r="P572" s="20" t="inlineStr">
        <is>
          <t>Shimadzu TOC-L</t>
        </is>
      </c>
      <c r="Q572" s="20" t="inlineStr">
        <is>
          <t>None</t>
        </is>
      </c>
      <c r="R572" s="17" t="n"/>
      <c r="S572" s="16" t="n"/>
      <c r="T572" s="20" t="inlineStr">
        <is>
          <t>Shimadzu TOC-L</t>
        </is>
      </c>
      <c r="U572" s="20" t="inlineStr">
        <is>
          <t>None</t>
        </is>
      </c>
      <c r="V572" s="17" t="n"/>
      <c r="W572" s="16" t="n"/>
      <c r="X572" s="20" t="n"/>
      <c r="Y572" s="20" t="inlineStr">
        <is>
          <t>None</t>
        </is>
      </c>
      <c r="Z572" s="17" t="n"/>
      <c r="AA572" s="16" t="n"/>
      <c r="AB572" s="20" t="n"/>
      <c r="AC572" s="20" t="inlineStr">
        <is>
          <t>None</t>
        </is>
      </c>
      <c r="AD572" s="17" t="n"/>
      <c r="AE572" s="16" t="n"/>
      <c r="AF572" s="20" t="inlineStr">
        <is>
          <t>IC Anionen</t>
        </is>
      </c>
      <c r="AG572" s="20" t="inlineStr">
        <is>
          <t>None</t>
        </is>
      </c>
      <c r="AH572" s="17" t="n"/>
      <c r="AI572" s="16" t="n"/>
      <c r="AJ572" s="20" t="n"/>
      <c r="AK572" s="20" t="inlineStr">
        <is>
          <t>None</t>
        </is>
      </c>
      <c r="AL572" s="17" t="n"/>
      <c r="AM572" s="16" t="n"/>
      <c r="AN572" s="20" t="inlineStr">
        <is>
          <t>IC Anionen</t>
        </is>
      </c>
      <c r="AO572" s="20" t="inlineStr">
        <is>
          <t>None</t>
        </is>
      </c>
      <c r="AP572" s="17" t="n"/>
      <c r="AQ572" s="16" t="n"/>
      <c r="AR572" s="20" t="n"/>
      <c r="AS572" s="20" t="inlineStr">
        <is>
          <t>None</t>
        </is>
      </c>
      <c r="AT572" s="17" t="n"/>
      <c r="AU572" s="16" t="n"/>
      <c r="AV572" s="20" t="n"/>
      <c r="AW572" s="20" t="inlineStr">
        <is>
          <t>None</t>
        </is>
      </c>
      <c r="AX572" s="17" t="n"/>
      <c r="AY572" s="16" t="n"/>
      <c r="AZ572" s="20" t="inlineStr">
        <is>
          <t>IC Anionen</t>
        </is>
      </c>
      <c r="BA572" s="20" t="inlineStr">
        <is>
          <t>None</t>
        </is>
      </c>
      <c r="BB572" s="17" t="n"/>
      <c r="BC572" s="16" t="n"/>
      <c r="BD572" s="20" t="inlineStr">
        <is>
          <t>IC Kationen</t>
        </is>
      </c>
      <c r="BE572" s="20" t="inlineStr">
        <is>
          <t>None</t>
        </is>
      </c>
      <c r="BF572" s="17" t="n"/>
      <c r="BG572" s="16" t="n"/>
      <c r="BH572" s="20" t="inlineStr">
        <is>
          <t>IC Kationen</t>
        </is>
      </c>
      <c r="BI572" s="20" t="inlineStr">
        <is>
          <t>None</t>
        </is>
      </c>
      <c r="BJ572" s="17" t="n"/>
      <c r="BK572" s="16" t="n"/>
      <c r="BL572" s="20" t="inlineStr">
        <is>
          <t>IC Kationen</t>
        </is>
      </c>
      <c r="BM572" s="20" t="inlineStr">
        <is>
          <t>None</t>
        </is>
      </c>
      <c r="BN572" s="17" t="n"/>
      <c r="BO572" s="16" t="n"/>
      <c r="BP572" s="20" t="inlineStr">
        <is>
          <t>IC Kationen</t>
        </is>
      </c>
      <c r="BQ572" s="20" t="inlineStr">
        <is>
          <t>None</t>
        </is>
      </c>
      <c r="BR572" s="17" t="n"/>
      <c r="BS572" s="16" t="n"/>
      <c r="BT572" s="20" t="inlineStr">
        <is>
          <t>IC Kationen</t>
        </is>
      </c>
      <c r="BU572" s="20" t="inlineStr">
        <is>
          <t>None</t>
        </is>
      </c>
      <c r="BV572" s="17" t="n"/>
      <c r="BW572" s="16" t="n"/>
      <c r="BX572" s="20" t="n"/>
      <c r="BY572" s="20" t="inlineStr">
        <is>
          <t>None</t>
        </is>
      </c>
      <c r="BZ572" s="17" t="n"/>
      <c r="CA572" s="16" t="n"/>
      <c r="CB572" s="20" t="n"/>
      <c r="CC572" s="20" t="inlineStr">
        <is>
          <t>None</t>
        </is>
      </c>
      <c r="CD572" s="17" t="n"/>
      <c r="CE572" s="16" t="n"/>
      <c r="CF572" s="20" t="n"/>
      <c r="CG572" s="20" t="inlineStr">
        <is>
          <t>None</t>
        </is>
      </c>
      <c r="CH572" s="17" t="n"/>
      <c r="CI572" s="16" t="n"/>
      <c r="CJ572" s="20" t="n"/>
      <c r="CK572" s="20" t="inlineStr">
        <is>
          <t>None</t>
        </is>
      </c>
      <c r="CL572" s="17" t="n"/>
      <c r="CM572" s="16" t="n"/>
      <c r="CN572" s="20" t="inlineStr">
        <is>
          <t>SOP 45-34</t>
        </is>
      </c>
      <c r="CO572" s="20" t="inlineStr">
        <is>
          <t>None</t>
        </is>
      </c>
      <c r="CP572" s="17" t="n"/>
      <c r="CQ572" s="16" t="n"/>
      <c r="CR572" s="20" t="n"/>
      <c r="CS572" s="20" t="inlineStr">
        <is>
          <t>None</t>
        </is>
      </c>
      <c r="CT572" s="17" t="n"/>
      <c r="CU572" s="16" t="n"/>
      <c r="CV572" s="20" t="n"/>
      <c r="CW572" s="20" t="inlineStr">
        <is>
          <t>None</t>
        </is>
      </c>
      <c r="CX572" s="17" t="n"/>
      <c r="CY572" s="16" t="n"/>
      <c r="CZ572" s="20" t="inlineStr">
        <is>
          <t>WTW Multimeter 3430 with FDO 925</t>
        </is>
      </c>
      <c r="DA572" s="20" t="inlineStr">
        <is>
          <t>None</t>
        </is>
      </c>
      <c r="DB572" s="17" t="n"/>
      <c r="DC572" s="16" t="n"/>
      <c r="DD572" s="20" t="n"/>
      <c r="DE572" s="20" t="inlineStr">
        <is>
          <t>None</t>
        </is>
      </c>
      <c r="DF572" s="17" t="n"/>
      <c r="DG572" s="16" t="n"/>
      <c r="DH572" s="20" t="inlineStr">
        <is>
          <t>SOP 45-09</t>
        </is>
      </c>
      <c r="DI572" s="20" t="inlineStr">
        <is>
          <t>None</t>
        </is>
      </c>
      <c r="DJ572" s="17" t="n"/>
      <c r="DK572" s="16" t="n"/>
      <c r="DL572" s="20" t="inlineStr">
        <is>
          <t>SOP 45-09 (SOP muss noch angepasst werden für VSS)</t>
        </is>
      </c>
      <c r="DM572" s="20" t="inlineStr">
        <is>
          <t>None</t>
        </is>
      </c>
      <c r="DN572" s="17" t="n"/>
      <c r="DO572" s="16" t="n"/>
      <c r="DP572" s="20" t="inlineStr">
        <is>
          <t>IC Organic Acids</t>
        </is>
      </c>
      <c r="DQ572" s="20" t="inlineStr">
        <is>
          <t>None</t>
        </is>
      </c>
      <c r="DR572" s="17" t="n"/>
      <c r="DS572" s="16" t="n"/>
      <c r="DT572" s="20" t="inlineStr">
        <is>
          <t>IC Organic Acids</t>
        </is>
      </c>
      <c r="DU572" s="20" t="inlineStr">
        <is>
          <t>None</t>
        </is>
      </c>
      <c r="DV572" s="17" t="n"/>
      <c r="DW572" s="16" t="n"/>
      <c r="DX572" s="20" t="inlineStr">
        <is>
          <t>IC Organic Acids</t>
        </is>
      </c>
      <c r="DY572" s="20" t="inlineStr">
        <is>
          <t>None</t>
        </is>
      </c>
      <c r="DZ572" s="17" t="n"/>
      <c r="EA572" s="16" t="n"/>
      <c r="EB572" s="20" t="inlineStr">
        <is>
          <t>IC Organic Acids</t>
        </is>
      </c>
      <c r="EC572" s="20" t="inlineStr">
        <is>
          <t>None</t>
        </is>
      </c>
      <c r="ED572" s="17" t="n"/>
      <c r="EE572" s="16" t="n"/>
      <c r="EF572" s="20" t="inlineStr">
        <is>
          <t>IC Organic Acids</t>
        </is>
      </c>
      <c r="EG572" s="20" t="inlineStr">
        <is>
          <t>None</t>
        </is>
      </c>
      <c r="EH572" s="17" t="n"/>
      <c r="EI572" s="16" t="n"/>
      <c r="EJ572" s="20" t="inlineStr">
        <is>
          <t>IC Organic Acids</t>
        </is>
      </c>
      <c r="EK572" s="20" t="inlineStr">
        <is>
          <t>None</t>
        </is>
      </c>
      <c r="EL572" s="17" t="n"/>
      <c r="EM572" s="16" t="n"/>
      <c r="EN572" s="20" t="inlineStr">
        <is>
          <t>IC Organic Acids</t>
        </is>
      </c>
      <c r="EO572" s="20" t="inlineStr">
        <is>
          <t>None</t>
        </is>
      </c>
      <c r="EP572" s="17" t="n"/>
      <c r="EQ572" s="16" t="n"/>
      <c r="ER572" s="20" t="inlineStr">
        <is>
          <t>IC Organic Acids</t>
        </is>
      </c>
      <c r="ES572" s="20" t="inlineStr">
        <is>
          <t>None</t>
        </is>
      </c>
      <c r="ET572" s="17" t="n"/>
      <c r="EU572" s="16" t="n"/>
      <c r="EV572" s="20" t="inlineStr">
        <is>
          <t>LC-MS</t>
        </is>
      </c>
      <c r="EW572" s="20" t="inlineStr">
        <is>
          <t>None</t>
        </is>
      </c>
      <c r="EX572" s="17" t="n"/>
      <c r="EY572" s="21" t="n"/>
      <c r="EZ572">
        <f>CONCATENATE(A572,B572)</f>
        <v/>
      </c>
      <c r="FA572">
        <f>CONCATENATE(SamplesX!A572,SamplesX!B572)</f>
        <v/>
      </c>
      <c r="FC572">
        <f>MATCH(EZ572,FA1:FA1008,0)</f>
        <v/>
      </c>
    </row>
    <row r="573">
      <c r="A573" s="16" t="n"/>
      <c r="B573" s="17" t="n"/>
      <c r="C573" s="10">
        <f>IF(ISNUMBER(FC573),INDIRECT("SamplesX!C"&amp;FC573),IF(ISNUMBER(FD573),INDIRECT("SamplesY!C"&amp;FD573),""))</f>
        <v/>
      </c>
      <c r="D573" s="12">
        <f>IF(ISNUMBER(FC573),INDIRECT("SamplesX!D"&amp;FC573),IF(ISNUMBER(FD573),INDIRECT("SamplesY!D"&amp;FD573),""))</f>
        <v/>
      </c>
      <c r="E573" s="12">
        <f>IF(ISNUMBER(FC573),INDIRECT("SamplesX!E"&amp;FC573),IF(ISNUMBER(FD573),INDIRECT("SamplesY!E"&amp;FD573),""))</f>
        <v/>
      </c>
      <c r="F573" s="11">
        <f>IF(ISNUMBER(FC573),INDIRECT("SamplesX!F"&amp;FC573),IF(ISNUMBER(FD573),INDIRECT("SamplesY!F"&amp;FD573),""))</f>
        <v/>
      </c>
      <c r="G573" s="18">
        <f>IF(ISNUMBER(FC573),INDIRECT("SamplesX!G"&amp;FC573),IF(ISNUMBER(FD573),INDIRECT("SamplesY!G"&amp;FD573),""))</f>
        <v/>
      </c>
      <c r="H573" s="19">
        <f>IF(ISNUMBER(FC573),INDIRECT("SamplesX!H"&amp;FC573),IF(ISNUMBER(FD573),INDIRECT("SamplesY!H"&amp;FD573),""))</f>
        <v/>
      </c>
      <c r="I573" s="16" t="n"/>
      <c r="J573" s="16" t="n"/>
      <c r="K573" s="16" t="n"/>
      <c r="L573" s="20" t="n"/>
      <c r="M573" s="20" t="inlineStr">
        <is>
          <t>None</t>
        </is>
      </c>
      <c r="N573" s="17" t="n"/>
      <c r="O573" s="16" t="n"/>
      <c r="P573" s="20" t="inlineStr">
        <is>
          <t>Shimadzu TOC-L</t>
        </is>
      </c>
      <c r="Q573" s="20" t="inlineStr">
        <is>
          <t>None</t>
        </is>
      </c>
      <c r="R573" s="17" t="n"/>
      <c r="S573" s="16" t="n"/>
      <c r="T573" s="20" t="inlineStr">
        <is>
          <t>Shimadzu TOC-L</t>
        </is>
      </c>
      <c r="U573" s="20" t="inlineStr">
        <is>
          <t>None</t>
        </is>
      </c>
      <c r="V573" s="17" t="n"/>
      <c r="W573" s="16" t="n"/>
      <c r="X573" s="20" t="n"/>
      <c r="Y573" s="20" t="inlineStr">
        <is>
          <t>None</t>
        </is>
      </c>
      <c r="Z573" s="17" t="n"/>
      <c r="AA573" s="16" t="n"/>
      <c r="AB573" s="20" t="n"/>
      <c r="AC573" s="20" t="inlineStr">
        <is>
          <t>None</t>
        </is>
      </c>
      <c r="AD573" s="17" t="n"/>
      <c r="AE573" s="16" t="n"/>
      <c r="AF573" s="20" t="inlineStr">
        <is>
          <t>IC Anionen</t>
        </is>
      </c>
      <c r="AG573" s="20" t="inlineStr">
        <is>
          <t>None</t>
        </is>
      </c>
      <c r="AH573" s="17" t="n"/>
      <c r="AI573" s="16" t="n"/>
      <c r="AJ573" s="20" t="n"/>
      <c r="AK573" s="20" t="inlineStr">
        <is>
          <t>None</t>
        </is>
      </c>
      <c r="AL573" s="17" t="n"/>
      <c r="AM573" s="16" t="n"/>
      <c r="AN573" s="20" t="inlineStr">
        <is>
          <t>IC Anionen</t>
        </is>
      </c>
      <c r="AO573" s="20" t="inlineStr">
        <is>
          <t>None</t>
        </is>
      </c>
      <c r="AP573" s="17" t="n"/>
      <c r="AQ573" s="16" t="n"/>
      <c r="AR573" s="20" t="n"/>
      <c r="AS573" s="20" t="inlineStr">
        <is>
          <t>None</t>
        </is>
      </c>
      <c r="AT573" s="17" t="n"/>
      <c r="AU573" s="16" t="n"/>
      <c r="AV573" s="20" t="n"/>
      <c r="AW573" s="20" t="inlineStr">
        <is>
          <t>None</t>
        </is>
      </c>
      <c r="AX573" s="17" t="n"/>
      <c r="AY573" s="16" t="n"/>
      <c r="AZ573" s="20" t="inlineStr">
        <is>
          <t>IC Anionen</t>
        </is>
      </c>
      <c r="BA573" s="20" t="inlineStr">
        <is>
          <t>None</t>
        </is>
      </c>
      <c r="BB573" s="17" t="n"/>
      <c r="BC573" s="16" t="n"/>
      <c r="BD573" s="20" t="inlineStr">
        <is>
          <t>IC Kationen</t>
        </is>
      </c>
      <c r="BE573" s="20" t="inlineStr">
        <is>
          <t>None</t>
        </is>
      </c>
      <c r="BF573" s="17" t="n"/>
      <c r="BG573" s="16" t="n"/>
      <c r="BH573" s="20" t="inlineStr">
        <is>
          <t>IC Kationen</t>
        </is>
      </c>
      <c r="BI573" s="20" t="inlineStr">
        <is>
          <t>None</t>
        </is>
      </c>
      <c r="BJ573" s="17" t="n"/>
      <c r="BK573" s="16" t="n"/>
      <c r="BL573" s="20" t="inlineStr">
        <is>
          <t>IC Kationen</t>
        </is>
      </c>
      <c r="BM573" s="20" t="inlineStr">
        <is>
          <t>None</t>
        </is>
      </c>
      <c r="BN573" s="17" t="n"/>
      <c r="BO573" s="16" t="n"/>
      <c r="BP573" s="20" t="inlineStr">
        <is>
          <t>IC Kationen</t>
        </is>
      </c>
      <c r="BQ573" s="20" t="inlineStr">
        <is>
          <t>None</t>
        </is>
      </c>
      <c r="BR573" s="17" t="n"/>
      <c r="BS573" s="16" t="n"/>
      <c r="BT573" s="20" t="inlineStr">
        <is>
          <t>IC Kationen</t>
        </is>
      </c>
      <c r="BU573" s="20" t="inlineStr">
        <is>
          <t>None</t>
        </is>
      </c>
      <c r="BV573" s="17" t="n"/>
      <c r="BW573" s="16" t="n"/>
      <c r="BX573" s="20" t="n"/>
      <c r="BY573" s="20" t="inlineStr">
        <is>
          <t>None</t>
        </is>
      </c>
      <c r="BZ573" s="17" t="n"/>
      <c r="CA573" s="16" t="n"/>
      <c r="CB573" s="20" t="n"/>
      <c r="CC573" s="20" t="inlineStr">
        <is>
          <t>None</t>
        </is>
      </c>
      <c r="CD573" s="17" t="n"/>
      <c r="CE573" s="16" t="n"/>
      <c r="CF573" s="20" t="n"/>
      <c r="CG573" s="20" t="inlineStr">
        <is>
          <t>None</t>
        </is>
      </c>
      <c r="CH573" s="17" t="n"/>
      <c r="CI573" s="16" t="n"/>
      <c r="CJ573" s="20" t="n"/>
      <c r="CK573" s="20" t="inlineStr">
        <is>
          <t>None</t>
        </is>
      </c>
      <c r="CL573" s="17" t="n"/>
      <c r="CM573" s="16" t="n"/>
      <c r="CN573" s="20" t="inlineStr">
        <is>
          <t>SOP 45-34</t>
        </is>
      </c>
      <c r="CO573" s="20" t="inlineStr">
        <is>
          <t>None</t>
        </is>
      </c>
      <c r="CP573" s="17" t="n"/>
      <c r="CQ573" s="16" t="n"/>
      <c r="CR573" s="20" t="n"/>
      <c r="CS573" s="20" t="inlineStr">
        <is>
          <t>None</t>
        </is>
      </c>
      <c r="CT573" s="17" t="n"/>
      <c r="CU573" s="16" t="n"/>
      <c r="CV573" s="20" t="n"/>
      <c r="CW573" s="20" t="inlineStr">
        <is>
          <t>None</t>
        </is>
      </c>
      <c r="CX573" s="17" t="n"/>
      <c r="CY573" s="16" t="n"/>
      <c r="CZ573" s="20" t="inlineStr">
        <is>
          <t>WTW Multimeter 3430 with FDO 925</t>
        </is>
      </c>
      <c r="DA573" s="20" t="inlineStr">
        <is>
          <t>None</t>
        </is>
      </c>
      <c r="DB573" s="17" t="n"/>
      <c r="DC573" s="16" t="n"/>
      <c r="DD573" s="20" t="n"/>
      <c r="DE573" s="20" t="inlineStr">
        <is>
          <t>None</t>
        </is>
      </c>
      <c r="DF573" s="17" t="n"/>
      <c r="DG573" s="16" t="n"/>
      <c r="DH573" s="20" t="inlineStr">
        <is>
          <t>SOP 45-09</t>
        </is>
      </c>
      <c r="DI573" s="20" t="inlineStr">
        <is>
          <t>None</t>
        </is>
      </c>
      <c r="DJ573" s="17" t="n"/>
      <c r="DK573" s="16" t="n"/>
      <c r="DL573" s="20" t="inlineStr">
        <is>
          <t>SOP 45-09 (SOP muss noch angepasst werden für VSS)</t>
        </is>
      </c>
      <c r="DM573" s="20" t="inlineStr">
        <is>
          <t>None</t>
        </is>
      </c>
      <c r="DN573" s="17" t="n"/>
      <c r="DO573" s="16" t="n"/>
      <c r="DP573" s="20" t="inlineStr">
        <is>
          <t>IC Organic Acids</t>
        </is>
      </c>
      <c r="DQ573" s="20" t="inlineStr">
        <is>
          <t>None</t>
        </is>
      </c>
      <c r="DR573" s="17" t="n"/>
      <c r="DS573" s="16" t="n"/>
      <c r="DT573" s="20" t="inlineStr">
        <is>
          <t>IC Organic Acids</t>
        </is>
      </c>
      <c r="DU573" s="20" t="inlineStr">
        <is>
          <t>None</t>
        </is>
      </c>
      <c r="DV573" s="17" t="n"/>
      <c r="DW573" s="16" t="n"/>
      <c r="DX573" s="20" t="inlineStr">
        <is>
          <t>IC Organic Acids</t>
        </is>
      </c>
      <c r="DY573" s="20" t="inlineStr">
        <is>
          <t>None</t>
        </is>
      </c>
      <c r="DZ573" s="17" t="n"/>
      <c r="EA573" s="16" t="n"/>
      <c r="EB573" s="20" t="inlineStr">
        <is>
          <t>IC Organic Acids</t>
        </is>
      </c>
      <c r="EC573" s="20" t="inlineStr">
        <is>
          <t>None</t>
        </is>
      </c>
      <c r="ED573" s="17" t="n"/>
      <c r="EE573" s="16" t="n"/>
      <c r="EF573" s="20" t="inlineStr">
        <is>
          <t>IC Organic Acids</t>
        </is>
      </c>
      <c r="EG573" s="20" t="inlineStr">
        <is>
          <t>None</t>
        </is>
      </c>
      <c r="EH573" s="17" t="n"/>
      <c r="EI573" s="16" t="n"/>
      <c r="EJ573" s="20" t="inlineStr">
        <is>
          <t>IC Organic Acids</t>
        </is>
      </c>
      <c r="EK573" s="20" t="inlineStr">
        <is>
          <t>None</t>
        </is>
      </c>
      <c r="EL573" s="17" t="n"/>
      <c r="EM573" s="16" t="n"/>
      <c r="EN573" s="20" t="inlineStr">
        <is>
          <t>IC Organic Acids</t>
        </is>
      </c>
      <c r="EO573" s="20" t="inlineStr">
        <is>
          <t>None</t>
        </is>
      </c>
      <c r="EP573" s="17" t="n"/>
      <c r="EQ573" s="16" t="n"/>
      <c r="ER573" s="20" t="inlineStr">
        <is>
          <t>IC Organic Acids</t>
        </is>
      </c>
      <c r="ES573" s="20" t="inlineStr">
        <is>
          <t>None</t>
        </is>
      </c>
      <c r="ET573" s="17" t="n"/>
      <c r="EU573" s="16" t="n"/>
      <c r="EV573" s="20" t="inlineStr">
        <is>
          <t>LC-MS</t>
        </is>
      </c>
      <c r="EW573" s="20" t="inlineStr">
        <is>
          <t>None</t>
        </is>
      </c>
      <c r="EX573" s="17" t="n"/>
      <c r="EY573" s="21" t="n"/>
      <c r="EZ573">
        <f>CONCATENATE(A573,B573)</f>
        <v/>
      </c>
      <c r="FA573">
        <f>CONCATENATE(SamplesX!A573,SamplesX!B573)</f>
        <v/>
      </c>
      <c r="FC573">
        <f>MATCH(EZ573,FA1:FA1008,0)</f>
        <v/>
      </c>
    </row>
    <row r="574">
      <c r="A574" s="16" t="n"/>
      <c r="B574" s="17" t="n"/>
      <c r="C574" s="10">
        <f>IF(ISNUMBER(FC574),INDIRECT("SamplesX!C"&amp;FC574),IF(ISNUMBER(FD574),INDIRECT("SamplesY!C"&amp;FD574),""))</f>
        <v/>
      </c>
      <c r="D574" s="12">
        <f>IF(ISNUMBER(FC574),INDIRECT("SamplesX!D"&amp;FC574),IF(ISNUMBER(FD574),INDIRECT("SamplesY!D"&amp;FD574),""))</f>
        <v/>
      </c>
      <c r="E574" s="12">
        <f>IF(ISNUMBER(FC574),INDIRECT("SamplesX!E"&amp;FC574),IF(ISNUMBER(FD574),INDIRECT("SamplesY!E"&amp;FD574),""))</f>
        <v/>
      </c>
      <c r="F574" s="11">
        <f>IF(ISNUMBER(FC574),INDIRECT("SamplesX!F"&amp;FC574),IF(ISNUMBER(FD574),INDIRECT("SamplesY!F"&amp;FD574),""))</f>
        <v/>
      </c>
      <c r="G574" s="18">
        <f>IF(ISNUMBER(FC574),INDIRECT("SamplesX!G"&amp;FC574),IF(ISNUMBER(FD574),INDIRECT("SamplesY!G"&amp;FD574),""))</f>
        <v/>
      </c>
      <c r="H574" s="19">
        <f>IF(ISNUMBER(FC574),INDIRECT("SamplesX!H"&amp;FC574),IF(ISNUMBER(FD574),INDIRECT("SamplesY!H"&amp;FD574),""))</f>
        <v/>
      </c>
      <c r="I574" s="16" t="n"/>
      <c r="J574" s="16" t="n"/>
      <c r="K574" s="16" t="n"/>
      <c r="L574" s="20" t="n"/>
      <c r="M574" s="20" t="inlineStr">
        <is>
          <t>None</t>
        </is>
      </c>
      <c r="N574" s="17" t="n"/>
      <c r="O574" s="16" t="n"/>
      <c r="P574" s="20" t="inlineStr">
        <is>
          <t>Shimadzu TOC-L</t>
        </is>
      </c>
      <c r="Q574" s="20" t="inlineStr">
        <is>
          <t>None</t>
        </is>
      </c>
      <c r="R574" s="17" t="n"/>
      <c r="S574" s="16" t="n"/>
      <c r="T574" s="20" t="inlineStr">
        <is>
          <t>Shimadzu TOC-L</t>
        </is>
      </c>
      <c r="U574" s="20" t="inlineStr">
        <is>
          <t>None</t>
        </is>
      </c>
      <c r="V574" s="17" t="n"/>
      <c r="W574" s="16" t="n"/>
      <c r="X574" s="20" t="n"/>
      <c r="Y574" s="20" t="inlineStr">
        <is>
          <t>None</t>
        </is>
      </c>
      <c r="Z574" s="17" t="n"/>
      <c r="AA574" s="16" t="n"/>
      <c r="AB574" s="20" t="n"/>
      <c r="AC574" s="20" t="inlineStr">
        <is>
          <t>None</t>
        </is>
      </c>
      <c r="AD574" s="17" t="n"/>
      <c r="AE574" s="16" t="n"/>
      <c r="AF574" s="20" t="inlineStr">
        <is>
          <t>IC Anionen</t>
        </is>
      </c>
      <c r="AG574" s="20" t="inlineStr">
        <is>
          <t>None</t>
        </is>
      </c>
      <c r="AH574" s="17" t="n"/>
      <c r="AI574" s="16" t="n"/>
      <c r="AJ574" s="20" t="n"/>
      <c r="AK574" s="20" t="inlineStr">
        <is>
          <t>None</t>
        </is>
      </c>
      <c r="AL574" s="17" t="n"/>
      <c r="AM574" s="16" t="n"/>
      <c r="AN574" s="20" t="inlineStr">
        <is>
          <t>IC Anionen</t>
        </is>
      </c>
      <c r="AO574" s="20" t="inlineStr">
        <is>
          <t>None</t>
        </is>
      </c>
      <c r="AP574" s="17" t="n"/>
      <c r="AQ574" s="16" t="n"/>
      <c r="AR574" s="20" t="n"/>
      <c r="AS574" s="20" t="inlineStr">
        <is>
          <t>None</t>
        </is>
      </c>
      <c r="AT574" s="17" t="n"/>
      <c r="AU574" s="16" t="n"/>
      <c r="AV574" s="20" t="n"/>
      <c r="AW574" s="20" t="inlineStr">
        <is>
          <t>None</t>
        </is>
      </c>
      <c r="AX574" s="17" t="n"/>
      <c r="AY574" s="16" t="n"/>
      <c r="AZ574" s="20" t="inlineStr">
        <is>
          <t>IC Anionen</t>
        </is>
      </c>
      <c r="BA574" s="20" t="inlineStr">
        <is>
          <t>None</t>
        </is>
      </c>
      <c r="BB574" s="17" t="n"/>
      <c r="BC574" s="16" t="n"/>
      <c r="BD574" s="20" t="inlineStr">
        <is>
          <t>IC Kationen</t>
        </is>
      </c>
      <c r="BE574" s="20" t="inlineStr">
        <is>
          <t>None</t>
        </is>
      </c>
      <c r="BF574" s="17" t="n"/>
      <c r="BG574" s="16" t="n"/>
      <c r="BH574" s="20" t="inlineStr">
        <is>
          <t>IC Kationen</t>
        </is>
      </c>
      <c r="BI574" s="20" t="inlineStr">
        <is>
          <t>None</t>
        </is>
      </c>
      <c r="BJ574" s="17" t="n"/>
      <c r="BK574" s="16" t="n"/>
      <c r="BL574" s="20" t="inlineStr">
        <is>
          <t>IC Kationen</t>
        </is>
      </c>
      <c r="BM574" s="20" t="inlineStr">
        <is>
          <t>None</t>
        </is>
      </c>
      <c r="BN574" s="17" t="n"/>
      <c r="BO574" s="16" t="n"/>
      <c r="BP574" s="20" t="inlineStr">
        <is>
          <t>IC Kationen</t>
        </is>
      </c>
      <c r="BQ574" s="20" t="inlineStr">
        <is>
          <t>None</t>
        </is>
      </c>
      <c r="BR574" s="17" t="n"/>
      <c r="BS574" s="16" t="n"/>
      <c r="BT574" s="20" t="inlineStr">
        <is>
          <t>IC Kationen</t>
        </is>
      </c>
      <c r="BU574" s="20" t="inlineStr">
        <is>
          <t>None</t>
        </is>
      </c>
      <c r="BV574" s="17" t="n"/>
      <c r="BW574" s="16" t="n"/>
      <c r="BX574" s="20" t="n"/>
      <c r="BY574" s="20" t="inlineStr">
        <is>
          <t>None</t>
        </is>
      </c>
      <c r="BZ574" s="17" t="n"/>
      <c r="CA574" s="16" t="n"/>
      <c r="CB574" s="20" t="n"/>
      <c r="CC574" s="20" t="inlineStr">
        <is>
          <t>None</t>
        </is>
      </c>
      <c r="CD574" s="17" t="n"/>
      <c r="CE574" s="16" t="n"/>
      <c r="CF574" s="20" t="n"/>
      <c r="CG574" s="20" t="inlineStr">
        <is>
          <t>None</t>
        </is>
      </c>
      <c r="CH574" s="17" t="n"/>
      <c r="CI574" s="16" t="n"/>
      <c r="CJ574" s="20" t="n"/>
      <c r="CK574" s="20" t="inlineStr">
        <is>
          <t>None</t>
        </is>
      </c>
      <c r="CL574" s="17" t="n"/>
      <c r="CM574" s="16" t="n"/>
      <c r="CN574" s="20" t="inlineStr">
        <is>
          <t>SOP 45-34</t>
        </is>
      </c>
      <c r="CO574" s="20" t="inlineStr">
        <is>
          <t>None</t>
        </is>
      </c>
      <c r="CP574" s="17" t="n"/>
      <c r="CQ574" s="16" t="n"/>
      <c r="CR574" s="20" t="n"/>
      <c r="CS574" s="20" t="inlineStr">
        <is>
          <t>None</t>
        </is>
      </c>
      <c r="CT574" s="17" t="n"/>
      <c r="CU574" s="16" t="n"/>
      <c r="CV574" s="20" t="n"/>
      <c r="CW574" s="20" t="inlineStr">
        <is>
          <t>None</t>
        </is>
      </c>
      <c r="CX574" s="17" t="n"/>
      <c r="CY574" s="16" t="n"/>
      <c r="CZ574" s="20" t="inlineStr">
        <is>
          <t>WTW Multimeter 3430 with FDO 925</t>
        </is>
      </c>
      <c r="DA574" s="20" t="inlineStr">
        <is>
          <t>None</t>
        </is>
      </c>
      <c r="DB574" s="17" t="n"/>
      <c r="DC574" s="16" t="n"/>
      <c r="DD574" s="20" t="n"/>
      <c r="DE574" s="20" t="inlineStr">
        <is>
          <t>None</t>
        </is>
      </c>
      <c r="DF574" s="17" t="n"/>
      <c r="DG574" s="16" t="n"/>
      <c r="DH574" s="20" t="inlineStr">
        <is>
          <t>SOP 45-09</t>
        </is>
      </c>
      <c r="DI574" s="20" t="inlineStr">
        <is>
          <t>None</t>
        </is>
      </c>
      <c r="DJ574" s="17" t="n"/>
      <c r="DK574" s="16" t="n"/>
      <c r="DL574" s="20" t="inlineStr">
        <is>
          <t>SOP 45-09 (SOP muss noch angepasst werden für VSS)</t>
        </is>
      </c>
      <c r="DM574" s="20" t="inlineStr">
        <is>
          <t>None</t>
        </is>
      </c>
      <c r="DN574" s="17" t="n"/>
      <c r="DO574" s="16" t="n"/>
      <c r="DP574" s="20" t="inlineStr">
        <is>
          <t>IC Organic Acids</t>
        </is>
      </c>
      <c r="DQ574" s="20" t="inlineStr">
        <is>
          <t>None</t>
        </is>
      </c>
      <c r="DR574" s="17" t="n"/>
      <c r="DS574" s="16" t="n"/>
      <c r="DT574" s="20" t="inlineStr">
        <is>
          <t>IC Organic Acids</t>
        </is>
      </c>
      <c r="DU574" s="20" t="inlineStr">
        <is>
          <t>None</t>
        </is>
      </c>
      <c r="DV574" s="17" t="n"/>
      <c r="DW574" s="16" t="n"/>
      <c r="DX574" s="20" t="inlineStr">
        <is>
          <t>IC Organic Acids</t>
        </is>
      </c>
      <c r="DY574" s="20" t="inlineStr">
        <is>
          <t>None</t>
        </is>
      </c>
      <c r="DZ574" s="17" t="n"/>
      <c r="EA574" s="16" t="n"/>
      <c r="EB574" s="20" t="inlineStr">
        <is>
          <t>IC Organic Acids</t>
        </is>
      </c>
      <c r="EC574" s="20" t="inlineStr">
        <is>
          <t>None</t>
        </is>
      </c>
      <c r="ED574" s="17" t="n"/>
      <c r="EE574" s="16" t="n"/>
      <c r="EF574" s="20" t="inlineStr">
        <is>
          <t>IC Organic Acids</t>
        </is>
      </c>
      <c r="EG574" s="20" t="inlineStr">
        <is>
          <t>None</t>
        </is>
      </c>
      <c r="EH574" s="17" t="n"/>
      <c r="EI574" s="16" t="n"/>
      <c r="EJ574" s="20" t="inlineStr">
        <is>
          <t>IC Organic Acids</t>
        </is>
      </c>
      <c r="EK574" s="20" t="inlineStr">
        <is>
          <t>None</t>
        </is>
      </c>
      <c r="EL574" s="17" t="n"/>
      <c r="EM574" s="16" t="n"/>
      <c r="EN574" s="20" t="inlineStr">
        <is>
          <t>IC Organic Acids</t>
        </is>
      </c>
      <c r="EO574" s="20" t="inlineStr">
        <is>
          <t>None</t>
        </is>
      </c>
      <c r="EP574" s="17" t="n"/>
      <c r="EQ574" s="16" t="n"/>
      <c r="ER574" s="20" t="inlineStr">
        <is>
          <t>IC Organic Acids</t>
        </is>
      </c>
      <c r="ES574" s="20" t="inlineStr">
        <is>
          <t>None</t>
        </is>
      </c>
      <c r="ET574" s="17" t="n"/>
      <c r="EU574" s="16" t="n"/>
      <c r="EV574" s="20" t="inlineStr">
        <is>
          <t>LC-MS</t>
        </is>
      </c>
      <c r="EW574" s="20" t="inlineStr">
        <is>
          <t>None</t>
        </is>
      </c>
      <c r="EX574" s="17" t="n"/>
      <c r="EY574" s="21" t="n"/>
      <c r="EZ574">
        <f>CONCATENATE(A574,B574)</f>
        <v/>
      </c>
      <c r="FA574">
        <f>CONCATENATE(SamplesX!A574,SamplesX!B574)</f>
        <v/>
      </c>
      <c r="FC574">
        <f>MATCH(EZ574,FA1:FA1008,0)</f>
        <v/>
      </c>
    </row>
    <row r="575">
      <c r="A575" s="16" t="n"/>
      <c r="B575" s="17" t="n"/>
      <c r="C575" s="10">
        <f>IF(ISNUMBER(FC575),INDIRECT("SamplesX!C"&amp;FC575),IF(ISNUMBER(FD575),INDIRECT("SamplesY!C"&amp;FD575),""))</f>
        <v/>
      </c>
      <c r="D575" s="12">
        <f>IF(ISNUMBER(FC575),INDIRECT("SamplesX!D"&amp;FC575),IF(ISNUMBER(FD575),INDIRECT("SamplesY!D"&amp;FD575),""))</f>
        <v/>
      </c>
      <c r="E575" s="12">
        <f>IF(ISNUMBER(FC575),INDIRECT("SamplesX!E"&amp;FC575),IF(ISNUMBER(FD575),INDIRECT("SamplesY!E"&amp;FD575),""))</f>
        <v/>
      </c>
      <c r="F575" s="11">
        <f>IF(ISNUMBER(FC575),INDIRECT("SamplesX!F"&amp;FC575),IF(ISNUMBER(FD575),INDIRECT("SamplesY!F"&amp;FD575),""))</f>
        <v/>
      </c>
      <c r="G575" s="18">
        <f>IF(ISNUMBER(FC575),INDIRECT("SamplesX!G"&amp;FC575),IF(ISNUMBER(FD575),INDIRECT("SamplesY!G"&amp;FD575),""))</f>
        <v/>
      </c>
      <c r="H575" s="19">
        <f>IF(ISNUMBER(FC575),INDIRECT("SamplesX!H"&amp;FC575),IF(ISNUMBER(FD575),INDIRECT("SamplesY!H"&amp;FD575),""))</f>
        <v/>
      </c>
      <c r="I575" s="16" t="n"/>
      <c r="J575" s="16" t="n"/>
      <c r="K575" s="16" t="n"/>
      <c r="L575" s="20" t="n"/>
      <c r="M575" s="20" t="inlineStr">
        <is>
          <t>None</t>
        </is>
      </c>
      <c r="N575" s="17" t="n"/>
      <c r="O575" s="16" t="n"/>
      <c r="P575" s="20" t="inlineStr">
        <is>
          <t>Shimadzu TOC-L</t>
        </is>
      </c>
      <c r="Q575" s="20" t="inlineStr">
        <is>
          <t>None</t>
        </is>
      </c>
      <c r="R575" s="17" t="n"/>
      <c r="S575" s="16" t="n"/>
      <c r="T575" s="20" t="inlineStr">
        <is>
          <t>Shimadzu TOC-L</t>
        </is>
      </c>
      <c r="U575" s="20" t="inlineStr">
        <is>
          <t>None</t>
        </is>
      </c>
      <c r="V575" s="17" t="n"/>
      <c r="W575" s="16" t="n"/>
      <c r="X575" s="20" t="n"/>
      <c r="Y575" s="20" t="inlineStr">
        <is>
          <t>None</t>
        </is>
      </c>
      <c r="Z575" s="17" t="n"/>
      <c r="AA575" s="16" t="n"/>
      <c r="AB575" s="20" t="n"/>
      <c r="AC575" s="20" t="inlineStr">
        <is>
          <t>None</t>
        </is>
      </c>
      <c r="AD575" s="17" t="n"/>
      <c r="AE575" s="16" t="n"/>
      <c r="AF575" s="20" t="inlineStr">
        <is>
          <t>IC Anionen</t>
        </is>
      </c>
      <c r="AG575" s="20" t="inlineStr">
        <is>
          <t>None</t>
        </is>
      </c>
      <c r="AH575" s="17" t="n"/>
      <c r="AI575" s="16" t="n"/>
      <c r="AJ575" s="20" t="n"/>
      <c r="AK575" s="20" t="inlineStr">
        <is>
          <t>None</t>
        </is>
      </c>
      <c r="AL575" s="17" t="n"/>
      <c r="AM575" s="16" t="n"/>
      <c r="AN575" s="20" t="inlineStr">
        <is>
          <t>IC Anionen</t>
        </is>
      </c>
      <c r="AO575" s="20" t="inlineStr">
        <is>
          <t>None</t>
        </is>
      </c>
      <c r="AP575" s="17" t="n"/>
      <c r="AQ575" s="16" t="n"/>
      <c r="AR575" s="20" t="n"/>
      <c r="AS575" s="20" t="inlineStr">
        <is>
          <t>None</t>
        </is>
      </c>
      <c r="AT575" s="17" t="n"/>
      <c r="AU575" s="16" t="n"/>
      <c r="AV575" s="20" t="n"/>
      <c r="AW575" s="20" t="inlineStr">
        <is>
          <t>None</t>
        </is>
      </c>
      <c r="AX575" s="17" t="n"/>
      <c r="AY575" s="16" t="n"/>
      <c r="AZ575" s="20" t="inlineStr">
        <is>
          <t>IC Anionen</t>
        </is>
      </c>
      <c r="BA575" s="20" t="inlineStr">
        <is>
          <t>None</t>
        </is>
      </c>
      <c r="BB575" s="17" t="n"/>
      <c r="BC575" s="16" t="n"/>
      <c r="BD575" s="20" t="inlineStr">
        <is>
          <t>IC Kationen</t>
        </is>
      </c>
      <c r="BE575" s="20" t="inlineStr">
        <is>
          <t>None</t>
        </is>
      </c>
      <c r="BF575" s="17" t="n"/>
      <c r="BG575" s="16" t="n"/>
      <c r="BH575" s="20" t="inlineStr">
        <is>
          <t>IC Kationen</t>
        </is>
      </c>
      <c r="BI575" s="20" t="inlineStr">
        <is>
          <t>None</t>
        </is>
      </c>
      <c r="BJ575" s="17" t="n"/>
      <c r="BK575" s="16" t="n"/>
      <c r="BL575" s="20" t="inlineStr">
        <is>
          <t>IC Kationen</t>
        </is>
      </c>
      <c r="BM575" s="20" t="inlineStr">
        <is>
          <t>None</t>
        </is>
      </c>
      <c r="BN575" s="17" t="n"/>
      <c r="BO575" s="16" t="n"/>
      <c r="BP575" s="20" t="inlineStr">
        <is>
          <t>IC Kationen</t>
        </is>
      </c>
      <c r="BQ575" s="20" t="inlineStr">
        <is>
          <t>None</t>
        </is>
      </c>
      <c r="BR575" s="17" t="n"/>
      <c r="BS575" s="16" t="n"/>
      <c r="BT575" s="20" t="inlineStr">
        <is>
          <t>IC Kationen</t>
        </is>
      </c>
      <c r="BU575" s="20" t="inlineStr">
        <is>
          <t>None</t>
        </is>
      </c>
      <c r="BV575" s="17" t="n"/>
      <c r="BW575" s="16" t="n"/>
      <c r="BX575" s="20" t="n"/>
      <c r="BY575" s="20" t="inlineStr">
        <is>
          <t>None</t>
        </is>
      </c>
      <c r="BZ575" s="17" t="n"/>
      <c r="CA575" s="16" t="n"/>
      <c r="CB575" s="20" t="n"/>
      <c r="CC575" s="20" t="inlineStr">
        <is>
          <t>None</t>
        </is>
      </c>
      <c r="CD575" s="17" t="n"/>
      <c r="CE575" s="16" t="n"/>
      <c r="CF575" s="20" t="n"/>
      <c r="CG575" s="20" t="inlineStr">
        <is>
          <t>None</t>
        </is>
      </c>
      <c r="CH575" s="17" t="n"/>
      <c r="CI575" s="16" t="n"/>
      <c r="CJ575" s="20" t="n"/>
      <c r="CK575" s="20" t="inlineStr">
        <is>
          <t>None</t>
        </is>
      </c>
      <c r="CL575" s="17" t="n"/>
      <c r="CM575" s="16" t="n"/>
      <c r="CN575" s="20" t="inlineStr">
        <is>
          <t>SOP 45-34</t>
        </is>
      </c>
      <c r="CO575" s="20" t="inlineStr">
        <is>
          <t>None</t>
        </is>
      </c>
      <c r="CP575" s="17" t="n"/>
      <c r="CQ575" s="16" t="n"/>
      <c r="CR575" s="20" t="n"/>
      <c r="CS575" s="20" t="inlineStr">
        <is>
          <t>None</t>
        </is>
      </c>
      <c r="CT575" s="17" t="n"/>
      <c r="CU575" s="16" t="n"/>
      <c r="CV575" s="20" t="n"/>
      <c r="CW575" s="20" t="inlineStr">
        <is>
          <t>None</t>
        </is>
      </c>
      <c r="CX575" s="17" t="n"/>
      <c r="CY575" s="16" t="n"/>
      <c r="CZ575" s="20" t="inlineStr">
        <is>
          <t>WTW Multimeter 3430 with FDO 925</t>
        </is>
      </c>
      <c r="DA575" s="20" t="inlineStr">
        <is>
          <t>None</t>
        </is>
      </c>
      <c r="DB575" s="17" t="n"/>
      <c r="DC575" s="16" t="n"/>
      <c r="DD575" s="20" t="n"/>
      <c r="DE575" s="20" t="inlineStr">
        <is>
          <t>None</t>
        </is>
      </c>
      <c r="DF575" s="17" t="n"/>
      <c r="DG575" s="16" t="n"/>
      <c r="DH575" s="20" t="inlineStr">
        <is>
          <t>SOP 45-09</t>
        </is>
      </c>
      <c r="DI575" s="20" t="inlineStr">
        <is>
          <t>None</t>
        </is>
      </c>
      <c r="DJ575" s="17" t="n"/>
      <c r="DK575" s="16" t="n"/>
      <c r="DL575" s="20" t="inlineStr">
        <is>
          <t>SOP 45-09 (SOP muss noch angepasst werden für VSS)</t>
        </is>
      </c>
      <c r="DM575" s="20" t="inlineStr">
        <is>
          <t>None</t>
        </is>
      </c>
      <c r="DN575" s="17" t="n"/>
      <c r="DO575" s="16" t="n"/>
      <c r="DP575" s="20" t="inlineStr">
        <is>
          <t>IC Organic Acids</t>
        </is>
      </c>
      <c r="DQ575" s="20" t="inlineStr">
        <is>
          <t>None</t>
        </is>
      </c>
      <c r="DR575" s="17" t="n"/>
      <c r="DS575" s="16" t="n"/>
      <c r="DT575" s="20" t="inlineStr">
        <is>
          <t>IC Organic Acids</t>
        </is>
      </c>
      <c r="DU575" s="20" t="inlineStr">
        <is>
          <t>None</t>
        </is>
      </c>
      <c r="DV575" s="17" t="n"/>
      <c r="DW575" s="16" t="n"/>
      <c r="DX575" s="20" t="inlineStr">
        <is>
          <t>IC Organic Acids</t>
        </is>
      </c>
      <c r="DY575" s="20" t="inlineStr">
        <is>
          <t>None</t>
        </is>
      </c>
      <c r="DZ575" s="17" t="n"/>
      <c r="EA575" s="16" t="n"/>
      <c r="EB575" s="20" t="inlineStr">
        <is>
          <t>IC Organic Acids</t>
        </is>
      </c>
      <c r="EC575" s="20" t="inlineStr">
        <is>
          <t>None</t>
        </is>
      </c>
      <c r="ED575" s="17" t="n"/>
      <c r="EE575" s="16" t="n"/>
      <c r="EF575" s="20" t="inlineStr">
        <is>
          <t>IC Organic Acids</t>
        </is>
      </c>
      <c r="EG575" s="20" t="inlineStr">
        <is>
          <t>None</t>
        </is>
      </c>
      <c r="EH575" s="17" t="n"/>
      <c r="EI575" s="16" t="n"/>
      <c r="EJ575" s="20" t="inlineStr">
        <is>
          <t>IC Organic Acids</t>
        </is>
      </c>
      <c r="EK575" s="20" t="inlineStr">
        <is>
          <t>None</t>
        </is>
      </c>
      <c r="EL575" s="17" t="n"/>
      <c r="EM575" s="16" t="n"/>
      <c r="EN575" s="20" t="inlineStr">
        <is>
          <t>IC Organic Acids</t>
        </is>
      </c>
      <c r="EO575" s="20" t="inlineStr">
        <is>
          <t>None</t>
        </is>
      </c>
      <c r="EP575" s="17" t="n"/>
      <c r="EQ575" s="16" t="n"/>
      <c r="ER575" s="20" t="inlineStr">
        <is>
          <t>IC Organic Acids</t>
        </is>
      </c>
      <c r="ES575" s="20" t="inlineStr">
        <is>
          <t>None</t>
        </is>
      </c>
      <c r="ET575" s="17" t="n"/>
      <c r="EU575" s="16" t="n"/>
      <c r="EV575" s="20" t="inlineStr">
        <is>
          <t>LC-MS</t>
        </is>
      </c>
      <c r="EW575" s="20" t="inlineStr">
        <is>
          <t>None</t>
        </is>
      </c>
      <c r="EX575" s="17" t="n"/>
      <c r="EY575" s="21" t="n"/>
      <c r="EZ575">
        <f>CONCATENATE(A575,B575)</f>
        <v/>
      </c>
      <c r="FA575">
        <f>CONCATENATE(SamplesX!A575,SamplesX!B575)</f>
        <v/>
      </c>
      <c r="FC575">
        <f>MATCH(EZ575,FA1:FA1008,0)</f>
        <v/>
      </c>
    </row>
    <row r="576">
      <c r="A576" s="16" t="n"/>
      <c r="B576" s="17" t="n"/>
      <c r="C576" s="10">
        <f>IF(ISNUMBER(FC576),INDIRECT("SamplesX!C"&amp;FC576),IF(ISNUMBER(FD576),INDIRECT("SamplesY!C"&amp;FD576),""))</f>
        <v/>
      </c>
      <c r="D576" s="12">
        <f>IF(ISNUMBER(FC576),INDIRECT("SamplesX!D"&amp;FC576),IF(ISNUMBER(FD576),INDIRECT("SamplesY!D"&amp;FD576),""))</f>
        <v/>
      </c>
      <c r="E576" s="12">
        <f>IF(ISNUMBER(FC576),INDIRECT("SamplesX!E"&amp;FC576),IF(ISNUMBER(FD576),INDIRECT("SamplesY!E"&amp;FD576),""))</f>
        <v/>
      </c>
      <c r="F576" s="11">
        <f>IF(ISNUMBER(FC576),INDIRECT("SamplesX!F"&amp;FC576),IF(ISNUMBER(FD576),INDIRECT("SamplesY!F"&amp;FD576),""))</f>
        <v/>
      </c>
      <c r="G576" s="18">
        <f>IF(ISNUMBER(FC576),INDIRECT("SamplesX!G"&amp;FC576),IF(ISNUMBER(FD576),INDIRECT("SamplesY!G"&amp;FD576),""))</f>
        <v/>
      </c>
      <c r="H576" s="19">
        <f>IF(ISNUMBER(FC576),INDIRECT("SamplesX!H"&amp;FC576),IF(ISNUMBER(FD576),INDIRECT("SamplesY!H"&amp;FD576),""))</f>
        <v/>
      </c>
      <c r="I576" s="16" t="n"/>
      <c r="J576" s="16" t="n"/>
      <c r="K576" s="16" t="n"/>
      <c r="L576" s="20" t="n"/>
      <c r="M576" s="20" t="inlineStr">
        <is>
          <t>None</t>
        </is>
      </c>
      <c r="N576" s="17" t="n"/>
      <c r="O576" s="16" t="n"/>
      <c r="P576" s="20" t="inlineStr">
        <is>
          <t>Shimadzu TOC-L</t>
        </is>
      </c>
      <c r="Q576" s="20" t="inlineStr">
        <is>
          <t>None</t>
        </is>
      </c>
      <c r="R576" s="17" t="n"/>
      <c r="S576" s="16" t="n"/>
      <c r="T576" s="20" t="inlineStr">
        <is>
          <t>Shimadzu TOC-L</t>
        </is>
      </c>
      <c r="U576" s="20" t="inlineStr">
        <is>
          <t>None</t>
        </is>
      </c>
      <c r="V576" s="17" t="n"/>
      <c r="W576" s="16" t="n"/>
      <c r="X576" s="20" t="n"/>
      <c r="Y576" s="20" t="inlineStr">
        <is>
          <t>None</t>
        </is>
      </c>
      <c r="Z576" s="17" t="n"/>
      <c r="AA576" s="16" t="n"/>
      <c r="AB576" s="20" t="n"/>
      <c r="AC576" s="20" t="inlineStr">
        <is>
          <t>None</t>
        </is>
      </c>
      <c r="AD576" s="17" t="n"/>
      <c r="AE576" s="16" t="n"/>
      <c r="AF576" s="20" t="inlineStr">
        <is>
          <t>IC Anionen</t>
        </is>
      </c>
      <c r="AG576" s="20" t="inlineStr">
        <is>
          <t>None</t>
        </is>
      </c>
      <c r="AH576" s="17" t="n"/>
      <c r="AI576" s="16" t="n"/>
      <c r="AJ576" s="20" t="n"/>
      <c r="AK576" s="20" t="inlineStr">
        <is>
          <t>None</t>
        </is>
      </c>
      <c r="AL576" s="17" t="n"/>
      <c r="AM576" s="16" t="n"/>
      <c r="AN576" s="20" t="inlineStr">
        <is>
          <t>IC Anionen</t>
        </is>
      </c>
      <c r="AO576" s="20" t="inlineStr">
        <is>
          <t>None</t>
        </is>
      </c>
      <c r="AP576" s="17" t="n"/>
      <c r="AQ576" s="16" t="n"/>
      <c r="AR576" s="20" t="n"/>
      <c r="AS576" s="20" t="inlineStr">
        <is>
          <t>None</t>
        </is>
      </c>
      <c r="AT576" s="17" t="n"/>
      <c r="AU576" s="16" t="n"/>
      <c r="AV576" s="20" t="n"/>
      <c r="AW576" s="20" t="inlineStr">
        <is>
          <t>None</t>
        </is>
      </c>
      <c r="AX576" s="17" t="n"/>
      <c r="AY576" s="16" t="n"/>
      <c r="AZ576" s="20" t="inlineStr">
        <is>
          <t>IC Anionen</t>
        </is>
      </c>
      <c r="BA576" s="20" t="inlineStr">
        <is>
          <t>None</t>
        </is>
      </c>
      <c r="BB576" s="17" t="n"/>
      <c r="BC576" s="16" t="n"/>
      <c r="BD576" s="20" t="inlineStr">
        <is>
          <t>IC Kationen</t>
        </is>
      </c>
      <c r="BE576" s="20" t="inlineStr">
        <is>
          <t>None</t>
        </is>
      </c>
      <c r="BF576" s="17" t="n"/>
      <c r="BG576" s="16" t="n"/>
      <c r="BH576" s="20" t="inlineStr">
        <is>
          <t>IC Kationen</t>
        </is>
      </c>
      <c r="BI576" s="20" t="inlineStr">
        <is>
          <t>None</t>
        </is>
      </c>
      <c r="BJ576" s="17" t="n"/>
      <c r="BK576" s="16" t="n"/>
      <c r="BL576" s="20" t="inlineStr">
        <is>
          <t>IC Kationen</t>
        </is>
      </c>
      <c r="BM576" s="20" t="inlineStr">
        <is>
          <t>None</t>
        </is>
      </c>
      <c r="BN576" s="17" t="n"/>
      <c r="BO576" s="16" t="n"/>
      <c r="BP576" s="20" t="inlineStr">
        <is>
          <t>IC Kationen</t>
        </is>
      </c>
      <c r="BQ576" s="20" t="inlineStr">
        <is>
          <t>None</t>
        </is>
      </c>
      <c r="BR576" s="17" t="n"/>
      <c r="BS576" s="16" t="n"/>
      <c r="BT576" s="20" t="inlineStr">
        <is>
          <t>IC Kationen</t>
        </is>
      </c>
      <c r="BU576" s="20" t="inlineStr">
        <is>
          <t>None</t>
        </is>
      </c>
      <c r="BV576" s="17" t="n"/>
      <c r="BW576" s="16" t="n"/>
      <c r="BX576" s="20" t="n"/>
      <c r="BY576" s="20" t="inlineStr">
        <is>
          <t>None</t>
        </is>
      </c>
      <c r="BZ576" s="17" t="n"/>
      <c r="CA576" s="16" t="n"/>
      <c r="CB576" s="20" t="n"/>
      <c r="CC576" s="20" t="inlineStr">
        <is>
          <t>None</t>
        </is>
      </c>
      <c r="CD576" s="17" t="n"/>
      <c r="CE576" s="16" t="n"/>
      <c r="CF576" s="20" t="n"/>
      <c r="CG576" s="20" t="inlineStr">
        <is>
          <t>None</t>
        </is>
      </c>
      <c r="CH576" s="17" t="n"/>
      <c r="CI576" s="16" t="n"/>
      <c r="CJ576" s="20" t="n"/>
      <c r="CK576" s="20" t="inlineStr">
        <is>
          <t>None</t>
        </is>
      </c>
      <c r="CL576" s="17" t="n"/>
      <c r="CM576" s="16" t="n"/>
      <c r="CN576" s="20" t="inlineStr">
        <is>
          <t>SOP 45-34</t>
        </is>
      </c>
      <c r="CO576" s="20" t="inlineStr">
        <is>
          <t>None</t>
        </is>
      </c>
      <c r="CP576" s="17" t="n"/>
      <c r="CQ576" s="16" t="n"/>
      <c r="CR576" s="20" t="n"/>
      <c r="CS576" s="20" t="inlineStr">
        <is>
          <t>None</t>
        </is>
      </c>
      <c r="CT576" s="17" t="n"/>
      <c r="CU576" s="16" t="n"/>
      <c r="CV576" s="20" t="n"/>
      <c r="CW576" s="20" t="inlineStr">
        <is>
          <t>None</t>
        </is>
      </c>
      <c r="CX576" s="17" t="n"/>
      <c r="CY576" s="16" t="n"/>
      <c r="CZ576" s="20" t="inlineStr">
        <is>
          <t>WTW Multimeter 3430 with FDO 925</t>
        </is>
      </c>
      <c r="DA576" s="20" t="inlineStr">
        <is>
          <t>None</t>
        </is>
      </c>
      <c r="DB576" s="17" t="n"/>
      <c r="DC576" s="16" t="n"/>
      <c r="DD576" s="20" t="n"/>
      <c r="DE576" s="20" t="inlineStr">
        <is>
          <t>None</t>
        </is>
      </c>
      <c r="DF576" s="17" t="n"/>
      <c r="DG576" s="16" t="n"/>
      <c r="DH576" s="20" t="inlineStr">
        <is>
          <t>SOP 45-09</t>
        </is>
      </c>
      <c r="DI576" s="20" t="inlineStr">
        <is>
          <t>None</t>
        </is>
      </c>
      <c r="DJ576" s="17" t="n"/>
      <c r="DK576" s="16" t="n"/>
      <c r="DL576" s="20" t="inlineStr">
        <is>
          <t>SOP 45-09 (SOP muss noch angepasst werden für VSS)</t>
        </is>
      </c>
      <c r="DM576" s="20" t="inlineStr">
        <is>
          <t>None</t>
        </is>
      </c>
      <c r="DN576" s="17" t="n"/>
      <c r="DO576" s="16" t="n"/>
      <c r="DP576" s="20" t="inlineStr">
        <is>
          <t>IC Organic Acids</t>
        </is>
      </c>
      <c r="DQ576" s="20" t="inlineStr">
        <is>
          <t>None</t>
        </is>
      </c>
      <c r="DR576" s="17" t="n"/>
      <c r="DS576" s="16" t="n"/>
      <c r="DT576" s="20" t="inlineStr">
        <is>
          <t>IC Organic Acids</t>
        </is>
      </c>
      <c r="DU576" s="20" t="inlineStr">
        <is>
          <t>None</t>
        </is>
      </c>
      <c r="DV576" s="17" t="n"/>
      <c r="DW576" s="16" t="n"/>
      <c r="DX576" s="20" t="inlineStr">
        <is>
          <t>IC Organic Acids</t>
        </is>
      </c>
      <c r="DY576" s="20" t="inlineStr">
        <is>
          <t>None</t>
        </is>
      </c>
      <c r="DZ576" s="17" t="n"/>
      <c r="EA576" s="16" t="n"/>
      <c r="EB576" s="20" t="inlineStr">
        <is>
          <t>IC Organic Acids</t>
        </is>
      </c>
      <c r="EC576" s="20" t="inlineStr">
        <is>
          <t>None</t>
        </is>
      </c>
      <c r="ED576" s="17" t="n"/>
      <c r="EE576" s="16" t="n"/>
      <c r="EF576" s="20" t="inlineStr">
        <is>
          <t>IC Organic Acids</t>
        </is>
      </c>
      <c r="EG576" s="20" t="inlineStr">
        <is>
          <t>None</t>
        </is>
      </c>
      <c r="EH576" s="17" t="n"/>
      <c r="EI576" s="16" t="n"/>
      <c r="EJ576" s="20" t="inlineStr">
        <is>
          <t>IC Organic Acids</t>
        </is>
      </c>
      <c r="EK576" s="20" t="inlineStr">
        <is>
          <t>None</t>
        </is>
      </c>
      <c r="EL576" s="17" t="n"/>
      <c r="EM576" s="16" t="n"/>
      <c r="EN576" s="20" t="inlineStr">
        <is>
          <t>IC Organic Acids</t>
        </is>
      </c>
      <c r="EO576" s="20" t="inlineStr">
        <is>
          <t>None</t>
        </is>
      </c>
      <c r="EP576" s="17" t="n"/>
      <c r="EQ576" s="16" t="n"/>
      <c r="ER576" s="20" t="inlineStr">
        <is>
          <t>IC Organic Acids</t>
        </is>
      </c>
      <c r="ES576" s="20" t="inlineStr">
        <is>
          <t>None</t>
        </is>
      </c>
      <c r="ET576" s="17" t="n"/>
      <c r="EU576" s="16" t="n"/>
      <c r="EV576" s="20" t="inlineStr">
        <is>
          <t>LC-MS</t>
        </is>
      </c>
      <c r="EW576" s="20" t="inlineStr">
        <is>
          <t>None</t>
        </is>
      </c>
      <c r="EX576" s="17" t="n"/>
      <c r="EY576" s="21" t="n"/>
      <c r="EZ576">
        <f>CONCATENATE(A576,B576)</f>
        <v/>
      </c>
      <c r="FA576">
        <f>CONCATENATE(SamplesX!A576,SamplesX!B576)</f>
        <v/>
      </c>
      <c r="FC576">
        <f>MATCH(EZ576,FA1:FA1008,0)</f>
        <v/>
      </c>
    </row>
    <row r="577">
      <c r="A577" s="16" t="n"/>
      <c r="B577" s="17" t="n"/>
      <c r="C577" s="10">
        <f>IF(ISNUMBER(FC577),INDIRECT("SamplesX!C"&amp;FC577),IF(ISNUMBER(FD577),INDIRECT("SamplesY!C"&amp;FD577),""))</f>
        <v/>
      </c>
      <c r="D577" s="12">
        <f>IF(ISNUMBER(FC577),INDIRECT("SamplesX!D"&amp;FC577),IF(ISNUMBER(FD577),INDIRECT("SamplesY!D"&amp;FD577),""))</f>
        <v/>
      </c>
      <c r="E577" s="12">
        <f>IF(ISNUMBER(FC577),INDIRECT("SamplesX!E"&amp;FC577),IF(ISNUMBER(FD577),INDIRECT("SamplesY!E"&amp;FD577),""))</f>
        <v/>
      </c>
      <c r="F577" s="11">
        <f>IF(ISNUMBER(FC577),INDIRECT("SamplesX!F"&amp;FC577),IF(ISNUMBER(FD577),INDIRECT("SamplesY!F"&amp;FD577),""))</f>
        <v/>
      </c>
      <c r="G577" s="18">
        <f>IF(ISNUMBER(FC577),INDIRECT("SamplesX!G"&amp;FC577),IF(ISNUMBER(FD577),INDIRECT("SamplesY!G"&amp;FD577),""))</f>
        <v/>
      </c>
      <c r="H577" s="19">
        <f>IF(ISNUMBER(FC577),INDIRECT("SamplesX!H"&amp;FC577),IF(ISNUMBER(FD577),INDIRECT("SamplesY!H"&amp;FD577),""))</f>
        <v/>
      </c>
      <c r="I577" s="16" t="n"/>
      <c r="J577" s="16" t="n"/>
      <c r="K577" s="16" t="n"/>
      <c r="L577" s="20" t="n"/>
      <c r="M577" s="20" t="inlineStr">
        <is>
          <t>None</t>
        </is>
      </c>
      <c r="N577" s="17" t="n"/>
      <c r="O577" s="16" t="n"/>
      <c r="P577" s="20" t="inlineStr">
        <is>
          <t>Shimadzu TOC-L</t>
        </is>
      </c>
      <c r="Q577" s="20" t="inlineStr">
        <is>
          <t>None</t>
        </is>
      </c>
      <c r="R577" s="17" t="n"/>
      <c r="S577" s="16" t="n"/>
      <c r="T577" s="20" t="inlineStr">
        <is>
          <t>Shimadzu TOC-L</t>
        </is>
      </c>
      <c r="U577" s="20" t="inlineStr">
        <is>
          <t>None</t>
        </is>
      </c>
      <c r="V577" s="17" t="n"/>
      <c r="W577" s="16" t="n"/>
      <c r="X577" s="20" t="n"/>
      <c r="Y577" s="20" t="inlineStr">
        <is>
          <t>None</t>
        </is>
      </c>
      <c r="Z577" s="17" t="n"/>
      <c r="AA577" s="16" t="n"/>
      <c r="AB577" s="20" t="n"/>
      <c r="AC577" s="20" t="inlineStr">
        <is>
          <t>None</t>
        </is>
      </c>
      <c r="AD577" s="17" t="n"/>
      <c r="AE577" s="16" t="n"/>
      <c r="AF577" s="20" t="inlineStr">
        <is>
          <t>IC Anionen</t>
        </is>
      </c>
      <c r="AG577" s="20" t="inlineStr">
        <is>
          <t>None</t>
        </is>
      </c>
      <c r="AH577" s="17" t="n"/>
      <c r="AI577" s="16" t="n"/>
      <c r="AJ577" s="20" t="n"/>
      <c r="AK577" s="20" t="inlineStr">
        <is>
          <t>None</t>
        </is>
      </c>
      <c r="AL577" s="17" t="n"/>
      <c r="AM577" s="16" t="n"/>
      <c r="AN577" s="20" t="inlineStr">
        <is>
          <t>IC Anionen</t>
        </is>
      </c>
      <c r="AO577" s="20" t="inlineStr">
        <is>
          <t>None</t>
        </is>
      </c>
      <c r="AP577" s="17" t="n"/>
      <c r="AQ577" s="16" t="n"/>
      <c r="AR577" s="20" t="n"/>
      <c r="AS577" s="20" t="inlineStr">
        <is>
          <t>None</t>
        </is>
      </c>
      <c r="AT577" s="17" t="n"/>
      <c r="AU577" s="16" t="n"/>
      <c r="AV577" s="20" t="n"/>
      <c r="AW577" s="20" t="inlineStr">
        <is>
          <t>None</t>
        </is>
      </c>
      <c r="AX577" s="17" t="n"/>
      <c r="AY577" s="16" t="n"/>
      <c r="AZ577" s="20" t="inlineStr">
        <is>
          <t>IC Anionen</t>
        </is>
      </c>
      <c r="BA577" s="20" t="inlineStr">
        <is>
          <t>None</t>
        </is>
      </c>
      <c r="BB577" s="17" t="n"/>
      <c r="BC577" s="16" t="n"/>
      <c r="BD577" s="20" t="inlineStr">
        <is>
          <t>IC Kationen</t>
        </is>
      </c>
      <c r="BE577" s="20" t="inlineStr">
        <is>
          <t>None</t>
        </is>
      </c>
      <c r="BF577" s="17" t="n"/>
      <c r="BG577" s="16" t="n"/>
      <c r="BH577" s="20" t="inlineStr">
        <is>
          <t>IC Kationen</t>
        </is>
      </c>
      <c r="BI577" s="20" t="inlineStr">
        <is>
          <t>None</t>
        </is>
      </c>
      <c r="BJ577" s="17" t="n"/>
      <c r="BK577" s="16" t="n"/>
      <c r="BL577" s="20" t="inlineStr">
        <is>
          <t>IC Kationen</t>
        </is>
      </c>
      <c r="BM577" s="20" t="inlineStr">
        <is>
          <t>None</t>
        </is>
      </c>
      <c r="BN577" s="17" t="n"/>
      <c r="BO577" s="16" t="n"/>
      <c r="BP577" s="20" t="inlineStr">
        <is>
          <t>IC Kationen</t>
        </is>
      </c>
      <c r="BQ577" s="20" t="inlineStr">
        <is>
          <t>None</t>
        </is>
      </c>
      <c r="BR577" s="17" t="n"/>
      <c r="BS577" s="16" t="n"/>
      <c r="BT577" s="20" t="inlineStr">
        <is>
          <t>IC Kationen</t>
        </is>
      </c>
      <c r="BU577" s="20" t="inlineStr">
        <is>
          <t>None</t>
        </is>
      </c>
      <c r="BV577" s="17" t="n"/>
      <c r="BW577" s="16" t="n"/>
      <c r="BX577" s="20" t="n"/>
      <c r="BY577" s="20" t="inlineStr">
        <is>
          <t>None</t>
        </is>
      </c>
      <c r="BZ577" s="17" t="n"/>
      <c r="CA577" s="16" t="n"/>
      <c r="CB577" s="20" t="n"/>
      <c r="CC577" s="20" t="inlineStr">
        <is>
          <t>None</t>
        </is>
      </c>
      <c r="CD577" s="17" t="n"/>
      <c r="CE577" s="16" t="n"/>
      <c r="CF577" s="20" t="n"/>
      <c r="CG577" s="20" t="inlineStr">
        <is>
          <t>None</t>
        </is>
      </c>
      <c r="CH577" s="17" t="n"/>
      <c r="CI577" s="16" t="n"/>
      <c r="CJ577" s="20" t="n"/>
      <c r="CK577" s="20" t="inlineStr">
        <is>
          <t>None</t>
        </is>
      </c>
      <c r="CL577" s="17" t="n"/>
      <c r="CM577" s="16" t="n"/>
      <c r="CN577" s="20" t="inlineStr">
        <is>
          <t>SOP 45-34</t>
        </is>
      </c>
      <c r="CO577" s="20" t="inlineStr">
        <is>
          <t>None</t>
        </is>
      </c>
      <c r="CP577" s="17" t="n"/>
      <c r="CQ577" s="16" t="n"/>
      <c r="CR577" s="20" t="n"/>
      <c r="CS577" s="20" t="inlineStr">
        <is>
          <t>None</t>
        </is>
      </c>
      <c r="CT577" s="17" t="n"/>
      <c r="CU577" s="16" t="n"/>
      <c r="CV577" s="20" t="n"/>
      <c r="CW577" s="20" t="inlineStr">
        <is>
          <t>None</t>
        </is>
      </c>
      <c r="CX577" s="17" t="n"/>
      <c r="CY577" s="16" t="n"/>
      <c r="CZ577" s="20" t="inlineStr">
        <is>
          <t>WTW Multimeter 3430 with FDO 925</t>
        </is>
      </c>
      <c r="DA577" s="20" t="inlineStr">
        <is>
          <t>None</t>
        </is>
      </c>
      <c r="DB577" s="17" t="n"/>
      <c r="DC577" s="16" t="n"/>
      <c r="DD577" s="20" t="n"/>
      <c r="DE577" s="20" t="inlineStr">
        <is>
          <t>None</t>
        </is>
      </c>
      <c r="DF577" s="17" t="n"/>
      <c r="DG577" s="16" t="n"/>
      <c r="DH577" s="20" t="inlineStr">
        <is>
          <t>SOP 45-09</t>
        </is>
      </c>
      <c r="DI577" s="20" t="inlineStr">
        <is>
          <t>None</t>
        </is>
      </c>
      <c r="DJ577" s="17" t="n"/>
      <c r="DK577" s="16" t="n"/>
      <c r="DL577" s="20" t="inlineStr">
        <is>
          <t>SOP 45-09 (SOP muss noch angepasst werden für VSS)</t>
        </is>
      </c>
      <c r="DM577" s="20" t="inlineStr">
        <is>
          <t>None</t>
        </is>
      </c>
      <c r="DN577" s="17" t="n"/>
      <c r="DO577" s="16" t="n"/>
      <c r="DP577" s="20" t="inlineStr">
        <is>
          <t>IC Organic Acids</t>
        </is>
      </c>
      <c r="DQ577" s="20" t="inlineStr">
        <is>
          <t>None</t>
        </is>
      </c>
      <c r="DR577" s="17" t="n"/>
      <c r="DS577" s="16" t="n"/>
      <c r="DT577" s="20" t="inlineStr">
        <is>
          <t>IC Organic Acids</t>
        </is>
      </c>
      <c r="DU577" s="20" t="inlineStr">
        <is>
          <t>None</t>
        </is>
      </c>
      <c r="DV577" s="17" t="n"/>
      <c r="DW577" s="16" t="n"/>
      <c r="DX577" s="20" t="inlineStr">
        <is>
          <t>IC Organic Acids</t>
        </is>
      </c>
      <c r="DY577" s="20" t="inlineStr">
        <is>
          <t>None</t>
        </is>
      </c>
      <c r="DZ577" s="17" t="n"/>
      <c r="EA577" s="16" t="n"/>
      <c r="EB577" s="20" t="inlineStr">
        <is>
          <t>IC Organic Acids</t>
        </is>
      </c>
      <c r="EC577" s="20" t="inlineStr">
        <is>
          <t>None</t>
        </is>
      </c>
      <c r="ED577" s="17" t="n"/>
      <c r="EE577" s="16" t="n"/>
      <c r="EF577" s="20" t="inlineStr">
        <is>
          <t>IC Organic Acids</t>
        </is>
      </c>
      <c r="EG577" s="20" t="inlineStr">
        <is>
          <t>None</t>
        </is>
      </c>
      <c r="EH577" s="17" t="n"/>
      <c r="EI577" s="16" t="n"/>
      <c r="EJ577" s="20" t="inlineStr">
        <is>
          <t>IC Organic Acids</t>
        </is>
      </c>
      <c r="EK577" s="20" t="inlineStr">
        <is>
          <t>None</t>
        </is>
      </c>
      <c r="EL577" s="17" t="n"/>
      <c r="EM577" s="16" t="n"/>
      <c r="EN577" s="20" t="inlineStr">
        <is>
          <t>IC Organic Acids</t>
        </is>
      </c>
      <c r="EO577" s="20" t="inlineStr">
        <is>
          <t>None</t>
        </is>
      </c>
      <c r="EP577" s="17" t="n"/>
      <c r="EQ577" s="16" t="n"/>
      <c r="ER577" s="20" t="inlineStr">
        <is>
          <t>IC Organic Acids</t>
        </is>
      </c>
      <c r="ES577" s="20" t="inlineStr">
        <is>
          <t>None</t>
        </is>
      </c>
      <c r="ET577" s="17" t="n"/>
      <c r="EU577" s="16" t="n"/>
      <c r="EV577" s="20" t="inlineStr">
        <is>
          <t>LC-MS</t>
        </is>
      </c>
      <c r="EW577" s="20" t="inlineStr">
        <is>
          <t>None</t>
        </is>
      </c>
      <c r="EX577" s="17" t="n"/>
      <c r="EY577" s="21" t="n"/>
      <c r="EZ577">
        <f>CONCATENATE(A577,B577)</f>
        <v/>
      </c>
      <c r="FA577">
        <f>CONCATENATE(SamplesX!A577,SamplesX!B577)</f>
        <v/>
      </c>
      <c r="FC577">
        <f>MATCH(EZ577,FA1:FA1008,0)</f>
        <v/>
      </c>
    </row>
    <row r="578">
      <c r="A578" s="16" t="n"/>
      <c r="B578" s="17" t="n"/>
      <c r="C578" s="10">
        <f>IF(ISNUMBER(FC578),INDIRECT("SamplesX!C"&amp;FC578),IF(ISNUMBER(FD578),INDIRECT("SamplesY!C"&amp;FD578),""))</f>
        <v/>
      </c>
      <c r="D578" s="12">
        <f>IF(ISNUMBER(FC578),INDIRECT("SamplesX!D"&amp;FC578),IF(ISNUMBER(FD578),INDIRECT("SamplesY!D"&amp;FD578),""))</f>
        <v/>
      </c>
      <c r="E578" s="12">
        <f>IF(ISNUMBER(FC578),INDIRECT("SamplesX!E"&amp;FC578),IF(ISNUMBER(FD578),INDIRECT("SamplesY!E"&amp;FD578),""))</f>
        <v/>
      </c>
      <c r="F578" s="11">
        <f>IF(ISNUMBER(FC578),INDIRECT("SamplesX!F"&amp;FC578),IF(ISNUMBER(FD578),INDIRECT("SamplesY!F"&amp;FD578),""))</f>
        <v/>
      </c>
      <c r="G578" s="18">
        <f>IF(ISNUMBER(FC578),INDIRECT("SamplesX!G"&amp;FC578),IF(ISNUMBER(FD578),INDIRECT("SamplesY!G"&amp;FD578),""))</f>
        <v/>
      </c>
      <c r="H578" s="19">
        <f>IF(ISNUMBER(FC578),INDIRECT("SamplesX!H"&amp;FC578),IF(ISNUMBER(FD578),INDIRECT("SamplesY!H"&amp;FD578),""))</f>
        <v/>
      </c>
      <c r="I578" s="16" t="n"/>
      <c r="J578" s="16" t="n"/>
      <c r="K578" s="16" t="n"/>
      <c r="L578" s="20" t="n"/>
      <c r="M578" s="20" t="inlineStr">
        <is>
          <t>None</t>
        </is>
      </c>
      <c r="N578" s="17" t="n"/>
      <c r="O578" s="16" t="n"/>
      <c r="P578" s="20" t="inlineStr">
        <is>
          <t>Shimadzu TOC-L</t>
        </is>
      </c>
      <c r="Q578" s="20" t="inlineStr">
        <is>
          <t>None</t>
        </is>
      </c>
      <c r="R578" s="17" t="n"/>
      <c r="S578" s="16" t="n"/>
      <c r="T578" s="20" t="inlineStr">
        <is>
          <t>Shimadzu TOC-L</t>
        </is>
      </c>
      <c r="U578" s="20" t="inlineStr">
        <is>
          <t>None</t>
        </is>
      </c>
      <c r="V578" s="17" t="n"/>
      <c r="W578" s="16" t="n"/>
      <c r="X578" s="20" t="n"/>
      <c r="Y578" s="20" t="inlineStr">
        <is>
          <t>None</t>
        </is>
      </c>
      <c r="Z578" s="17" t="n"/>
      <c r="AA578" s="16" t="n"/>
      <c r="AB578" s="20" t="n"/>
      <c r="AC578" s="20" t="inlineStr">
        <is>
          <t>None</t>
        </is>
      </c>
      <c r="AD578" s="17" t="n"/>
      <c r="AE578" s="16" t="n"/>
      <c r="AF578" s="20" t="inlineStr">
        <is>
          <t>IC Anionen</t>
        </is>
      </c>
      <c r="AG578" s="20" t="inlineStr">
        <is>
          <t>None</t>
        </is>
      </c>
      <c r="AH578" s="17" t="n"/>
      <c r="AI578" s="16" t="n"/>
      <c r="AJ578" s="20" t="n"/>
      <c r="AK578" s="20" t="inlineStr">
        <is>
          <t>None</t>
        </is>
      </c>
      <c r="AL578" s="17" t="n"/>
      <c r="AM578" s="16" t="n"/>
      <c r="AN578" s="20" t="inlineStr">
        <is>
          <t>IC Anionen</t>
        </is>
      </c>
      <c r="AO578" s="20" t="inlineStr">
        <is>
          <t>None</t>
        </is>
      </c>
      <c r="AP578" s="17" t="n"/>
      <c r="AQ578" s="16" t="n"/>
      <c r="AR578" s="20" t="n"/>
      <c r="AS578" s="20" t="inlineStr">
        <is>
          <t>None</t>
        </is>
      </c>
      <c r="AT578" s="17" t="n"/>
      <c r="AU578" s="16" t="n"/>
      <c r="AV578" s="20" t="n"/>
      <c r="AW578" s="20" t="inlineStr">
        <is>
          <t>None</t>
        </is>
      </c>
      <c r="AX578" s="17" t="n"/>
      <c r="AY578" s="16" t="n"/>
      <c r="AZ578" s="20" t="inlineStr">
        <is>
          <t>IC Anionen</t>
        </is>
      </c>
      <c r="BA578" s="20" t="inlineStr">
        <is>
          <t>None</t>
        </is>
      </c>
      <c r="BB578" s="17" t="n"/>
      <c r="BC578" s="16" t="n"/>
      <c r="BD578" s="20" t="inlineStr">
        <is>
          <t>IC Kationen</t>
        </is>
      </c>
      <c r="BE578" s="20" t="inlineStr">
        <is>
          <t>None</t>
        </is>
      </c>
      <c r="BF578" s="17" t="n"/>
      <c r="BG578" s="16" t="n"/>
      <c r="BH578" s="20" t="inlineStr">
        <is>
          <t>IC Kationen</t>
        </is>
      </c>
      <c r="BI578" s="20" t="inlineStr">
        <is>
          <t>None</t>
        </is>
      </c>
      <c r="BJ578" s="17" t="n"/>
      <c r="BK578" s="16" t="n"/>
      <c r="BL578" s="20" t="inlineStr">
        <is>
          <t>IC Kationen</t>
        </is>
      </c>
      <c r="BM578" s="20" t="inlineStr">
        <is>
          <t>None</t>
        </is>
      </c>
      <c r="BN578" s="17" t="n"/>
      <c r="BO578" s="16" t="n"/>
      <c r="BP578" s="20" t="inlineStr">
        <is>
          <t>IC Kationen</t>
        </is>
      </c>
      <c r="BQ578" s="20" t="inlineStr">
        <is>
          <t>None</t>
        </is>
      </c>
      <c r="BR578" s="17" t="n"/>
      <c r="BS578" s="16" t="n"/>
      <c r="BT578" s="20" t="inlineStr">
        <is>
          <t>IC Kationen</t>
        </is>
      </c>
      <c r="BU578" s="20" t="inlineStr">
        <is>
          <t>None</t>
        </is>
      </c>
      <c r="BV578" s="17" t="n"/>
      <c r="BW578" s="16" t="n"/>
      <c r="BX578" s="20" t="n"/>
      <c r="BY578" s="20" t="inlineStr">
        <is>
          <t>None</t>
        </is>
      </c>
      <c r="BZ578" s="17" t="n"/>
      <c r="CA578" s="16" t="n"/>
      <c r="CB578" s="20" t="n"/>
      <c r="CC578" s="20" t="inlineStr">
        <is>
          <t>None</t>
        </is>
      </c>
      <c r="CD578" s="17" t="n"/>
      <c r="CE578" s="16" t="n"/>
      <c r="CF578" s="20" t="n"/>
      <c r="CG578" s="20" t="inlineStr">
        <is>
          <t>None</t>
        </is>
      </c>
      <c r="CH578" s="17" t="n"/>
      <c r="CI578" s="16" t="n"/>
      <c r="CJ578" s="20" t="n"/>
      <c r="CK578" s="20" t="inlineStr">
        <is>
          <t>None</t>
        </is>
      </c>
      <c r="CL578" s="17" t="n"/>
      <c r="CM578" s="16" t="n"/>
      <c r="CN578" s="20" t="inlineStr">
        <is>
          <t>SOP 45-34</t>
        </is>
      </c>
      <c r="CO578" s="20" t="inlineStr">
        <is>
          <t>None</t>
        </is>
      </c>
      <c r="CP578" s="17" t="n"/>
      <c r="CQ578" s="16" t="n"/>
      <c r="CR578" s="20" t="n"/>
      <c r="CS578" s="20" t="inlineStr">
        <is>
          <t>None</t>
        </is>
      </c>
      <c r="CT578" s="17" t="n"/>
      <c r="CU578" s="16" t="n"/>
      <c r="CV578" s="20" t="n"/>
      <c r="CW578" s="20" t="inlineStr">
        <is>
          <t>None</t>
        </is>
      </c>
      <c r="CX578" s="17" t="n"/>
      <c r="CY578" s="16" t="n"/>
      <c r="CZ578" s="20" t="inlineStr">
        <is>
          <t>WTW Multimeter 3430 with FDO 925</t>
        </is>
      </c>
      <c r="DA578" s="20" t="inlineStr">
        <is>
          <t>None</t>
        </is>
      </c>
      <c r="DB578" s="17" t="n"/>
      <c r="DC578" s="16" t="n"/>
      <c r="DD578" s="20" t="n"/>
      <c r="DE578" s="20" t="inlineStr">
        <is>
          <t>None</t>
        </is>
      </c>
      <c r="DF578" s="17" t="n"/>
      <c r="DG578" s="16" t="n"/>
      <c r="DH578" s="20" t="inlineStr">
        <is>
          <t>SOP 45-09</t>
        </is>
      </c>
      <c r="DI578" s="20" t="inlineStr">
        <is>
          <t>None</t>
        </is>
      </c>
      <c r="DJ578" s="17" t="n"/>
      <c r="DK578" s="16" t="n"/>
      <c r="DL578" s="20" t="inlineStr">
        <is>
          <t>SOP 45-09 (SOP muss noch angepasst werden für VSS)</t>
        </is>
      </c>
      <c r="DM578" s="20" t="inlineStr">
        <is>
          <t>None</t>
        </is>
      </c>
      <c r="DN578" s="17" t="n"/>
      <c r="DO578" s="16" t="n"/>
      <c r="DP578" s="20" t="inlineStr">
        <is>
          <t>IC Organic Acids</t>
        </is>
      </c>
      <c r="DQ578" s="20" t="inlineStr">
        <is>
          <t>None</t>
        </is>
      </c>
      <c r="DR578" s="17" t="n"/>
      <c r="DS578" s="16" t="n"/>
      <c r="DT578" s="20" t="inlineStr">
        <is>
          <t>IC Organic Acids</t>
        </is>
      </c>
      <c r="DU578" s="20" t="inlineStr">
        <is>
          <t>None</t>
        </is>
      </c>
      <c r="DV578" s="17" t="n"/>
      <c r="DW578" s="16" t="n"/>
      <c r="DX578" s="20" t="inlineStr">
        <is>
          <t>IC Organic Acids</t>
        </is>
      </c>
      <c r="DY578" s="20" t="inlineStr">
        <is>
          <t>None</t>
        </is>
      </c>
      <c r="DZ578" s="17" t="n"/>
      <c r="EA578" s="16" t="n"/>
      <c r="EB578" s="20" t="inlineStr">
        <is>
          <t>IC Organic Acids</t>
        </is>
      </c>
      <c r="EC578" s="20" t="inlineStr">
        <is>
          <t>None</t>
        </is>
      </c>
      <c r="ED578" s="17" t="n"/>
      <c r="EE578" s="16" t="n"/>
      <c r="EF578" s="20" t="inlineStr">
        <is>
          <t>IC Organic Acids</t>
        </is>
      </c>
      <c r="EG578" s="20" t="inlineStr">
        <is>
          <t>None</t>
        </is>
      </c>
      <c r="EH578" s="17" t="n"/>
      <c r="EI578" s="16" t="n"/>
      <c r="EJ578" s="20" t="inlineStr">
        <is>
          <t>IC Organic Acids</t>
        </is>
      </c>
      <c r="EK578" s="20" t="inlineStr">
        <is>
          <t>None</t>
        </is>
      </c>
      <c r="EL578" s="17" t="n"/>
      <c r="EM578" s="16" t="n"/>
      <c r="EN578" s="20" t="inlineStr">
        <is>
          <t>IC Organic Acids</t>
        </is>
      </c>
      <c r="EO578" s="20" t="inlineStr">
        <is>
          <t>None</t>
        </is>
      </c>
      <c r="EP578" s="17" t="n"/>
      <c r="EQ578" s="16" t="n"/>
      <c r="ER578" s="20" t="inlineStr">
        <is>
          <t>IC Organic Acids</t>
        </is>
      </c>
      <c r="ES578" s="20" t="inlineStr">
        <is>
          <t>None</t>
        </is>
      </c>
      <c r="ET578" s="17" t="n"/>
      <c r="EU578" s="16" t="n"/>
      <c r="EV578" s="20" t="inlineStr">
        <is>
          <t>LC-MS</t>
        </is>
      </c>
      <c r="EW578" s="20" t="inlineStr">
        <is>
          <t>None</t>
        </is>
      </c>
      <c r="EX578" s="17" t="n"/>
      <c r="EY578" s="21" t="n"/>
      <c r="EZ578">
        <f>CONCATENATE(A578,B578)</f>
        <v/>
      </c>
      <c r="FA578">
        <f>CONCATENATE(SamplesX!A578,SamplesX!B578)</f>
        <v/>
      </c>
      <c r="FC578">
        <f>MATCH(EZ578,FA1:FA1008,0)</f>
        <v/>
      </c>
    </row>
    <row r="579">
      <c r="A579" s="16" t="n"/>
      <c r="B579" s="17" t="n"/>
      <c r="C579" s="10">
        <f>IF(ISNUMBER(FC579),INDIRECT("SamplesX!C"&amp;FC579),IF(ISNUMBER(FD579),INDIRECT("SamplesY!C"&amp;FD579),""))</f>
        <v/>
      </c>
      <c r="D579" s="12">
        <f>IF(ISNUMBER(FC579),INDIRECT("SamplesX!D"&amp;FC579),IF(ISNUMBER(FD579),INDIRECT("SamplesY!D"&amp;FD579),""))</f>
        <v/>
      </c>
      <c r="E579" s="12">
        <f>IF(ISNUMBER(FC579),INDIRECT("SamplesX!E"&amp;FC579),IF(ISNUMBER(FD579),INDIRECT("SamplesY!E"&amp;FD579),""))</f>
        <v/>
      </c>
      <c r="F579" s="11">
        <f>IF(ISNUMBER(FC579),INDIRECT("SamplesX!F"&amp;FC579),IF(ISNUMBER(FD579),INDIRECT("SamplesY!F"&amp;FD579),""))</f>
        <v/>
      </c>
      <c r="G579" s="18">
        <f>IF(ISNUMBER(FC579),INDIRECT("SamplesX!G"&amp;FC579),IF(ISNUMBER(FD579),INDIRECT("SamplesY!G"&amp;FD579),""))</f>
        <v/>
      </c>
      <c r="H579" s="19">
        <f>IF(ISNUMBER(FC579),INDIRECT("SamplesX!H"&amp;FC579),IF(ISNUMBER(FD579),INDIRECT("SamplesY!H"&amp;FD579),""))</f>
        <v/>
      </c>
      <c r="I579" s="16" t="n"/>
      <c r="J579" s="16" t="n"/>
      <c r="K579" s="16" t="n"/>
      <c r="L579" s="20" t="n"/>
      <c r="M579" s="20" t="inlineStr">
        <is>
          <t>None</t>
        </is>
      </c>
      <c r="N579" s="17" t="n"/>
      <c r="O579" s="16" t="n"/>
      <c r="P579" s="20" t="inlineStr">
        <is>
          <t>Shimadzu TOC-L</t>
        </is>
      </c>
      <c r="Q579" s="20" t="inlineStr">
        <is>
          <t>None</t>
        </is>
      </c>
      <c r="R579" s="17" t="n"/>
      <c r="S579" s="16" t="n"/>
      <c r="T579" s="20" t="inlineStr">
        <is>
          <t>Shimadzu TOC-L</t>
        </is>
      </c>
      <c r="U579" s="20" t="inlineStr">
        <is>
          <t>None</t>
        </is>
      </c>
      <c r="V579" s="17" t="n"/>
      <c r="W579" s="16" t="n"/>
      <c r="X579" s="20" t="n"/>
      <c r="Y579" s="20" t="inlineStr">
        <is>
          <t>None</t>
        </is>
      </c>
      <c r="Z579" s="17" t="n"/>
      <c r="AA579" s="16" t="n"/>
      <c r="AB579" s="20" t="n"/>
      <c r="AC579" s="20" t="inlineStr">
        <is>
          <t>None</t>
        </is>
      </c>
      <c r="AD579" s="17" t="n"/>
      <c r="AE579" s="16" t="n"/>
      <c r="AF579" s="20" t="inlineStr">
        <is>
          <t>IC Anionen</t>
        </is>
      </c>
      <c r="AG579" s="20" t="inlineStr">
        <is>
          <t>None</t>
        </is>
      </c>
      <c r="AH579" s="17" t="n"/>
      <c r="AI579" s="16" t="n"/>
      <c r="AJ579" s="20" t="n"/>
      <c r="AK579" s="20" t="inlineStr">
        <is>
          <t>None</t>
        </is>
      </c>
      <c r="AL579" s="17" t="n"/>
      <c r="AM579" s="16" t="n"/>
      <c r="AN579" s="20" t="inlineStr">
        <is>
          <t>IC Anionen</t>
        </is>
      </c>
      <c r="AO579" s="20" t="inlineStr">
        <is>
          <t>None</t>
        </is>
      </c>
      <c r="AP579" s="17" t="n"/>
      <c r="AQ579" s="16" t="n"/>
      <c r="AR579" s="20" t="n"/>
      <c r="AS579" s="20" t="inlineStr">
        <is>
          <t>None</t>
        </is>
      </c>
      <c r="AT579" s="17" t="n"/>
      <c r="AU579" s="16" t="n"/>
      <c r="AV579" s="20" t="n"/>
      <c r="AW579" s="20" t="inlineStr">
        <is>
          <t>None</t>
        </is>
      </c>
      <c r="AX579" s="17" t="n"/>
      <c r="AY579" s="16" t="n"/>
      <c r="AZ579" s="20" t="inlineStr">
        <is>
          <t>IC Anionen</t>
        </is>
      </c>
      <c r="BA579" s="20" t="inlineStr">
        <is>
          <t>None</t>
        </is>
      </c>
      <c r="BB579" s="17" t="n"/>
      <c r="BC579" s="16" t="n"/>
      <c r="BD579" s="20" t="inlineStr">
        <is>
          <t>IC Kationen</t>
        </is>
      </c>
      <c r="BE579" s="20" t="inlineStr">
        <is>
          <t>None</t>
        </is>
      </c>
      <c r="BF579" s="17" t="n"/>
      <c r="BG579" s="16" t="n"/>
      <c r="BH579" s="20" t="inlineStr">
        <is>
          <t>IC Kationen</t>
        </is>
      </c>
      <c r="BI579" s="20" t="inlineStr">
        <is>
          <t>None</t>
        </is>
      </c>
      <c r="BJ579" s="17" t="n"/>
      <c r="BK579" s="16" t="n"/>
      <c r="BL579" s="20" t="inlineStr">
        <is>
          <t>IC Kationen</t>
        </is>
      </c>
      <c r="BM579" s="20" t="inlineStr">
        <is>
          <t>None</t>
        </is>
      </c>
      <c r="BN579" s="17" t="n"/>
      <c r="BO579" s="16" t="n"/>
      <c r="BP579" s="20" t="inlineStr">
        <is>
          <t>IC Kationen</t>
        </is>
      </c>
      <c r="BQ579" s="20" t="inlineStr">
        <is>
          <t>None</t>
        </is>
      </c>
      <c r="BR579" s="17" t="n"/>
      <c r="BS579" s="16" t="n"/>
      <c r="BT579" s="20" t="inlineStr">
        <is>
          <t>IC Kationen</t>
        </is>
      </c>
      <c r="BU579" s="20" t="inlineStr">
        <is>
          <t>None</t>
        </is>
      </c>
      <c r="BV579" s="17" t="n"/>
      <c r="BW579" s="16" t="n"/>
      <c r="BX579" s="20" t="n"/>
      <c r="BY579" s="20" t="inlineStr">
        <is>
          <t>None</t>
        </is>
      </c>
      <c r="BZ579" s="17" t="n"/>
      <c r="CA579" s="16" t="n"/>
      <c r="CB579" s="20" t="n"/>
      <c r="CC579" s="20" t="inlineStr">
        <is>
          <t>None</t>
        </is>
      </c>
      <c r="CD579" s="17" t="n"/>
      <c r="CE579" s="16" t="n"/>
      <c r="CF579" s="20" t="n"/>
      <c r="CG579" s="20" t="inlineStr">
        <is>
          <t>None</t>
        </is>
      </c>
      <c r="CH579" s="17" t="n"/>
      <c r="CI579" s="16" t="n"/>
      <c r="CJ579" s="20" t="n"/>
      <c r="CK579" s="20" t="inlineStr">
        <is>
          <t>None</t>
        </is>
      </c>
      <c r="CL579" s="17" t="n"/>
      <c r="CM579" s="16" t="n"/>
      <c r="CN579" s="20" t="inlineStr">
        <is>
          <t>SOP 45-34</t>
        </is>
      </c>
      <c r="CO579" s="20" t="inlineStr">
        <is>
          <t>None</t>
        </is>
      </c>
      <c r="CP579" s="17" t="n"/>
      <c r="CQ579" s="16" t="n"/>
      <c r="CR579" s="20" t="n"/>
      <c r="CS579" s="20" t="inlineStr">
        <is>
          <t>None</t>
        </is>
      </c>
      <c r="CT579" s="17" t="n"/>
      <c r="CU579" s="16" t="n"/>
      <c r="CV579" s="20" t="n"/>
      <c r="CW579" s="20" t="inlineStr">
        <is>
          <t>None</t>
        </is>
      </c>
      <c r="CX579" s="17" t="n"/>
      <c r="CY579" s="16" t="n"/>
      <c r="CZ579" s="20" t="inlineStr">
        <is>
          <t>WTW Multimeter 3430 with FDO 925</t>
        </is>
      </c>
      <c r="DA579" s="20" t="inlineStr">
        <is>
          <t>None</t>
        </is>
      </c>
      <c r="DB579" s="17" t="n"/>
      <c r="DC579" s="16" t="n"/>
      <c r="DD579" s="20" t="n"/>
      <c r="DE579" s="20" t="inlineStr">
        <is>
          <t>None</t>
        </is>
      </c>
      <c r="DF579" s="17" t="n"/>
      <c r="DG579" s="16" t="n"/>
      <c r="DH579" s="20" t="inlineStr">
        <is>
          <t>SOP 45-09</t>
        </is>
      </c>
      <c r="DI579" s="20" t="inlineStr">
        <is>
          <t>None</t>
        </is>
      </c>
      <c r="DJ579" s="17" t="n"/>
      <c r="DK579" s="16" t="n"/>
      <c r="DL579" s="20" t="inlineStr">
        <is>
          <t>SOP 45-09 (SOP muss noch angepasst werden für VSS)</t>
        </is>
      </c>
      <c r="DM579" s="20" t="inlineStr">
        <is>
          <t>None</t>
        </is>
      </c>
      <c r="DN579" s="17" t="n"/>
      <c r="DO579" s="16" t="n"/>
      <c r="DP579" s="20" t="inlineStr">
        <is>
          <t>IC Organic Acids</t>
        </is>
      </c>
      <c r="DQ579" s="20" t="inlineStr">
        <is>
          <t>None</t>
        </is>
      </c>
      <c r="DR579" s="17" t="n"/>
      <c r="DS579" s="16" t="n"/>
      <c r="DT579" s="20" t="inlineStr">
        <is>
          <t>IC Organic Acids</t>
        </is>
      </c>
      <c r="DU579" s="20" t="inlineStr">
        <is>
          <t>None</t>
        </is>
      </c>
      <c r="DV579" s="17" t="n"/>
      <c r="DW579" s="16" t="n"/>
      <c r="DX579" s="20" t="inlineStr">
        <is>
          <t>IC Organic Acids</t>
        </is>
      </c>
      <c r="DY579" s="20" t="inlineStr">
        <is>
          <t>None</t>
        </is>
      </c>
      <c r="DZ579" s="17" t="n"/>
      <c r="EA579" s="16" t="n"/>
      <c r="EB579" s="20" t="inlineStr">
        <is>
          <t>IC Organic Acids</t>
        </is>
      </c>
      <c r="EC579" s="20" t="inlineStr">
        <is>
          <t>None</t>
        </is>
      </c>
      <c r="ED579" s="17" t="n"/>
      <c r="EE579" s="16" t="n"/>
      <c r="EF579" s="20" t="inlineStr">
        <is>
          <t>IC Organic Acids</t>
        </is>
      </c>
      <c r="EG579" s="20" t="inlineStr">
        <is>
          <t>None</t>
        </is>
      </c>
      <c r="EH579" s="17" t="n"/>
      <c r="EI579" s="16" t="n"/>
      <c r="EJ579" s="20" t="inlineStr">
        <is>
          <t>IC Organic Acids</t>
        </is>
      </c>
      <c r="EK579" s="20" t="inlineStr">
        <is>
          <t>None</t>
        </is>
      </c>
      <c r="EL579" s="17" t="n"/>
      <c r="EM579" s="16" t="n"/>
      <c r="EN579" s="20" t="inlineStr">
        <is>
          <t>IC Organic Acids</t>
        </is>
      </c>
      <c r="EO579" s="20" t="inlineStr">
        <is>
          <t>None</t>
        </is>
      </c>
      <c r="EP579" s="17" t="n"/>
      <c r="EQ579" s="16" t="n"/>
      <c r="ER579" s="20" t="inlineStr">
        <is>
          <t>IC Organic Acids</t>
        </is>
      </c>
      <c r="ES579" s="20" t="inlineStr">
        <is>
          <t>None</t>
        </is>
      </c>
      <c r="ET579" s="17" t="n"/>
      <c r="EU579" s="16" t="n"/>
      <c r="EV579" s="20" t="inlineStr">
        <is>
          <t>LC-MS</t>
        </is>
      </c>
      <c r="EW579" s="20" t="inlineStr">
        <is>
          <t>None</t>
        </is>
      </c>
      <c r="EX579" s="17" t="n"/>
      <c r="EY579" s="21" t="n"/>
      <c r="EZ579">
        <f>CONCATENATE(A579,B579)</f>
        <v/>
      </c>
      <c r="FA579">
        <f>CONCATENATE(SamplesX!A579,SamplesX!B579)</f>
        <v/>
      </c>
      <c r="FC579">
        <f>MATCH(EZ579,FA1:FA1008,0)</f>
        <v/>
      </c>
    </row>
    <row r="580">
      <c r="A580" s="16" t="n"/>
      <c r="B580" s="17" t="n"/>
      <c r="C580" s="10">
        <f>IF(ISNUMBER(FC580),INDIRECT("SamplesX!C"&amp;FC580),IF(ISNUMBER(FD580),INDIRECT("SamplesY!C"&amp;FD580),""))</f>
        <v/>
      </c>
      <c r="D580" s="12">
        <f>IF(ISNUMBER(FC580),INDIRECT("SamplesX!D"&amp;FC580),IF(ISNUMBER(FD580),INDIRECT("SamplesY!D"&amp;FD580),""))</f>
        <v/>
      </c>
      <c r="E580" s="12">
        <f>IF(ISNUMBER(FC580),INDIRECT("SamplesX!E"&amp;FC580),IF(ISNUMBER(FD580),INDIRECT("SamplesY!E"&amp;FD580),""))</f>
        <v/>
      </c>
      <c r="F580" s="11">
        <f>IF(ISNUMBER(FC580),INDIRECT("SamplesX!F"&amp;FC580),IF(ISNUMBER(FD580),INDIRECT("SamplesY!F"&amp;FD580),""))</f>
        <v/>
      </c>
      <c r="G580" s="18">
        <f>IF(ISNUMBER(FC580),INDIRECT("SamplesX!G"&amp;FC580),IF(ISNUMBER(FD580),INDIRECT("SamplesY!G"&amp;FD580),""))</f>
        <v/>
      </c>
      <c r="H580" s="19">
        <f>IF(ISNUMBER(FC580),INDIRECT("SamplesX!H"&amp;FC580),IF(ISNUMBER(FD580),INDIRECT("SamplesY!H"&amp;FD580),""))</f>
        <v/>
      </c>
      <c r="I580" s="16" t="n"/>
      <c r="J580" s="16" t="n"/>
      <c r="K580" s="16" t="n"/>
      <c r="L580" s="20" t="n"/>
      <c r="M580" s="20" t="inlineStr">
        <is>
          <t>None</t>
        </is>
      </c>
      <c r="N580" s="17" t="n"/>
      <c r="O580" s="16" t="n"/>
      <c r="P580" s="20" t="inlineStr">
        <is>
          <t>Shimadzu TOC-L</t>
        </is>
      </c>
      <c r="Q580" s="20" t="inlineStr">
        <is>
          <t>None</t>
        </is>
      </c>
      <c r="R580" s="17" t="n"/>
      <c r="S580" s="16" t="n"/>
      <c r="T580" s="20" t="inlineStr">
        <is>
          <t>Shimadzu TOC-L</t>
        </is>
      </c>
      <c r="U580" s="20" t="inlineStr">
        <is>
          <t>None</t>
        </is>
      </c>
      <c r="V580" s="17" t="n"/>
      <c r="W580" s="16" t="n"/>
      <c r="X580" s="20" t="n"/>
      <c r="Y580" s="20" t="inlineStr">
        <is>
          <t>None</t>
        </is>
      </c>
      <c r="Z580" s="17" t="n"/>
      <c r="AA580" s="16" t="n"/>
      <c r="AB580" s="20" t="n"/>
      <c r="AC580" s="20" t="inlineStr">
        <is>
          <t>None</t>
        </is>
      </c>
      <c r="AD580" s="17" t="n"/>
      <c r="AE580" s="16" t="n"/>
      <c r="AF580" s="20" t="inlineStr">
        <is>
          <t>IC Anionen</t>
        </is>
      </c>
      <c r="AG580" s="20" t="inlineStr">
        <is>
          <t>None</t>
        </is>
      </c>
      <c r="AH580" s="17" t="n"/>
      <c r="AI580" s="16" t="n"/>
      <c r="AJ580" s="20" t="n"/>
      <c r="AK580" s="20" t="inlineStr">
        <is>
          <t>None</t>
        </is>
      </c>
      <c r="AL580" s="17" t="n"/>
      <c r="AM580" s="16" t="n"/>
      <c r="AN580" s="20" t="inlineStr">
        <is>
          <t>IC Anionen</t>
        </is>
      </c>
      <c r="AO580" s="20" t="inlineStr">
        <is>
          <t>None</t>
        </is>
      </c>
      <c r="AP580" s="17" t="n"/>
      <c r="AQ580" s="16" t="n"/>
      <c r="AR580" s="20" t="n"/>
      <c r="AS580" s="20" t="inlineStr">
        <is>
          <t>None</t>
        </is>
      </c>
      <c r="AT580" s="17" t="n"/>
      <c r="AU580" s="16" t="n"/>
      <c r="AV580" s="20" t="n"/>
      <c r="AW580" s="20" t="inlineStr">
        <is>
          <t>None</t>
        </is>
      </c>
      <c r="AX580" s="17" t="n"/>
      <c r="AY580" s="16" t="n"/>
      <c r="AZ580" s="20" t="inlineStr">
        <is>
          <t>IC Anionen</t>
        </is>
      </c>
      <c r="BA580" s="20" t="inlineStr">
        <is>
          <t>None</t>
        </is>
      </c>
      <c r="BB580" s="17" t="n"/>
      <c r="BC580" s="16" t="n"/>
      <c r="BD580" s="20" t="inlineStr">
        <is>
          <t>IC Kationen</t>
        </is>
      </c>
      <c r="BE580" s="20" t="inlineStr">
        <is>
          <t>None</t>
        </is>
      </c>
      <c r="BF580" s="17" t="n"/>
      <c r="BG580" s="16" t="n"/>
      <c r="BH580" s="20" t="inlineStr">
        <is>
          <t>IC Kationen</t>
        </is>
      </c>
      <c r="BI580" s="20" t="inlineStr">
        <is>
          <t>None</t>
        </is>
      </c>
      <c r="BJ580" s="17" t="n"/>
      <c r="BK580" s="16" t="n"/>
      <c r="BL580" s="20" t="inlineStr">
        <is>
          <t>IC Kationen</t>
        </is>
      </c>
      <c r="BM580" s="20" t="inlineStr">
        <is>
          <t>None</t>
        </is>
      </c>
      <c r="BN580" s="17" t="n"/>
      <c r="BO580" s="16" t="n"/>
      <c r="BP580" s="20" t="inlineStr">
        <is>
          <t>IC Kationen</t>
        </is>
      </c>
      <c r="BQ580" s="20" t="inlineStr">
        <is>
          <t>None</t>
        </is>
      </c>
      <c r="BR580" s="17" t="n"/>
      <c r="BS580" s="16" t="n"/>
      <c r="BT580" s="20" t="inlineStr">
        <is>
          <t>IC Kationen</t>
        </is>
      </c>
      <c r="BU580" s="20" t="inlineStr">
        <is>
          <t>None</t>
        </is>
      </c>
      <c r="BV580" s="17" t="n"/>
      <c r="BW580" s="16" t="n"/>
      <c r="BX580" s="20" t="n"/>
      <c r="BY580" s="20" t="inlineStr">
        <is>
          <t>None</t>
        </is>
      </c>
      <c r="BZ580" s="17" t="n"/>
      <c r="CA580" s="16" t="n"/>
      <c r="CB580" s="20" t="n"/>
      <c r="CC580" s="20" t="inlineStr">
        <is>
          <t>None</t>
        </is>
      </c>
      <c r="CD580" s="17" t="n"/>
      <c r="CE580" s="16" t="n"/>
      <c r="CF580" s="20" t="n"/>
      <c r="CG580" s="20" t="inlineStr">
        <is>
          <t>None</t>
        </is>
      </c>
      <c r="CH580" s="17" t="n"/>
      <c r="CI580" s="16" t="n"/>
      <c r="CJ580" s="20" t="n"/>
      <c r="CK580" s="20" t="inlineStr">
        <is>
          <t>None</t>
        </is>
      </c>
      <c r="CL580" s="17" t="n"/>
      <c r="CM580" s="16" t="n"/>
      <c r="CN580" s="20" t="inlineStr">
        <is>
          <t>SOP 45-34</t>
        </is>
      </c>
      <c r="CO580" s="20" t="inlineStr">
        <is>
          <t>None</t>
        </is>
      </c>
      <c r="CP580" s="17" t="n"/>
      <c r="CQ580" s="16" t="n"/>
      <c r="CR580" s="20" t="n"/>
      <c r="CS580" s="20" t="inlineStr">
        <is>
          <t>None</t>
        </is>
      </c>
      <c r="CT580" s="17" t="n"/>
      <c r="CU580" s="16" t="n"/>
      <c r="CV580" s="20" t="n"/>
      <c r="CW580" s="20" t="inlineStr">
        <is>
          <t>None</t>
        </is>
      </c>
      <c r="CX580" s="17" t="n"/>
      <c r="CY580" s="16" t="n"/>
      <c r="CZ580" s="20" t="inlineStr">
        <is>
          <t>WTW Multimeter 3430 with FDO 925</t>
        </is>
      </c>
      <c r="DA580" s="20" t="inlineStr">
        <is>
          <t>None</t>
        </is>
      </c>
      <c r="DB580" s="17" t="n"/>
      <c r="DC580" s="16" t="n"/>
      <c r="DD580" s="20" t="n"/>
      <c r="DE580" s="20" t="inlineStr">
        <is>
          <t>None</t>
        </is>
      </c>
      <c r="DF580" s="17" t="n"/>
      <c r="DG580" s="16" t="n"/>
      <c r="DH580" s="20" t="inlineStr">
        <is>
          <t>SOP 45-09</t>
        </is>
      </c>
      <c r="DI580" s="20" t="inlineStr">
        <is>
          <t>None</t>
        </is>
      </c>
      <c r="DJ580" s="17" t="n"/>
      <c r="DK580" s="16" t="n"/>
      <c r="DL580" s="20" t="inlineStr">
        <is>
          <t>SOP 45-09 (SOP muss noch angepasst werden für VSS)</t>
        </is>
      </c>
      <c r="DM580" s="20" t="inlineStr">
        <is>
          <t>None</t>
        </is>
      </c>
      <c r="DN580" s="17" t="n"/>
      <c r="DO580" s="16" t="n"/>
      <c r="DP580" s="20" t="inlineStr">
        <is>
          <t>IC Organic Acids</t>
        </is>
      </c>
      <c r="DQ580" s="20" t="inlineStr">
        <is>
          <t>None</t>
        </is>
      </c>
      <c r="DR580" s="17" t="n"/>
      <c r="DS580" s="16" t="n"/>
      <c r="DT580" s="20" t="inlineStr">
        <is>
          <t>IC Organic Acids</t>
        </is>
      </c>
      <c r="DU580" s="20" t="inlineStr">
        <is>
          <t>None</t>
        </is>
      </c>
      <c r="DV580" s="17" t="n"/>
      <c r="DW580" s="16" t="n"/>
      <c r="DX580" s="20" t="inlineStr">
        <is>
          <t>IC Organic Acids</t>
        </is>
      </c>
      <c r="DY580" s="20" t="inlineStr">
        <is>
          <t>None</t>
        </is>
      </c>
      <c r="DZ580" s="17" t="n"/>
      <c r="EA580" s="16" t="n"/>
      <c r="EB580" s="20" t="inlineStr">
        <is>
          <t>IC Organic Acids</t>
        </is>
      </c>
      <c r="EC580" s="20" t="inlineStr">
        <is>
          <t>None</t>
        </is>
      </c>
      <c r="ED580" s="17" t="n"/>
      <c r="EE580" s="16" t="n"/>
      <c r="EF580" s="20" t="inlineStr">
        <is>
          <t>IC Organic Acids</t>
        </is>
      </c>
      <c r="EG580" s="20" t="inlineStr">
        <is>
          <t>None</t>
        </is>
      </c>
      <c r="EH580" s="17" t="n"/>
      <c r="EI580" s="16" t="n"/>
      <c r="EJ580" s="20" t="inlineStr">
        <is>
          <t>IC Organic Acids</t>
        </is>
      </c>
      <c r="EK580" s="20" t="inlineStr">
        <is>
          <t>None</t>
        </is>
      </c>
      <c r="EL580" s="17" t="n"/>
      <c r="EM580" s="16" t="n"/>
      <c r="EN580" s="20" t="inlineStr">
        <is>
          <t>IC Organic Acids</t>
        </is>
      </c>
      <c r="EO580" s="20" t="inlineStr">
        <is>
          <t>None</t>
        </is>
      </c>
      <c r="EP580" s="17" t="n"/>
      <c r="EQ580" s="16" t="n"/>
      <c r="ER580" s="20" t="inlineStr">
        <is>
          <t>IC Organic Acids</t>
        </is>
      </c>
      <c r="ES580" s="20" t="inlineStr">
        <is>
          <t>None</t>
        </is>
      </c>
      <c r="ET580" s="17" t="n"/>
      <c r="EU580" s="16" t="n"/>
      <c r="EV580" s="20" t="inlineStr">
        <is>
          <t>LC-MS</t>
        </is>
      </c>
      <c r="EW580" s="20" t="inlineStr">
        <is>
          <t>None</t>
        </is>
      </c>
      <c r="EX580" s="17" t="n"/>
      <c r="EY580" s="21" t="n"/>
      <c r="EZ580">
        <f>CONCATENATE(A580,B580)</f>
        <v/>
      </c>
      <c r="FA580">
        <f>CONCATENATE(SamplesX!A580,SamplesX!B580)</f>
        <v/>
      </c>
      <c r="FC580">
        <f>MATCH(EZ580,FA1:FA1008,0)</f>
        <v/>
      </c>
    </row>
    <row r="581">
      <c r="A581" s="16" t="n"/>
      <c r="B581" s="17" t="n"/>
      <c r="C581" s="10">
        <f>IF(ISNUMBER(FC581),INDIRECT("SamplesX!C"&amp;FC581),IF(ISNUMBER(FD581),INDIRECT("SamplesY!C"&amp;FD581),""))</f>
        <v/>
      </c>
      <c r="D581" s="12">
        <f>IF(ISNUMBER(FC581),INDIRECT("SamplesX!D"&amp;FC581),IF(ISNUMBER(FD581),INDIRECT("SamplesY!D"&amp;FD581),""))</f>
        <v/>
      </c>
      <c r="E581" s="12">
        <f>IF(ISNUMBER(FC581),INDIRECT("SamplesX!E"&amp;FC581),IF(ISNUMBER(FD581),INDIRECT("SamplesY!E"&amp;FD581),""))</f>
        <v/>
      </c>
      <c r="F581" s="11">
        <f>IF(ISNUMBER(FC581),INDIRECT("SamplesX!F"&amp;FC581),IF(ISNUMBER(FD581),INDIRECT("SamplesY!F"&amp;FD581),""))</f>
        <v/>
      </c>
      <c r="G581" s="18">
        <f>IF(ISNUMBER(FC581),INDIRECT("SamplesX!G"&amp;FC581),IF(ISNUMBER(FD581),INDIRECT("SamplesY!G"&amp;FD581),""))</f>
        <v/>
      </c>
      <c r="H581" s="19">
        <f>IF(ISNUMBER(FC581),INDIRECT("SamplesX!H"&amp;FC581),IF(ISNUMBER(FD581),INDIRECT("SamplesY!H"&amp;FD581),""))</f>
        <v/>
      </c>
      <c r="I581" s="16" t="n"/>
      <c r="J581" s="16" t="n"/>
      <c r="K581" s="16" t="n"/>
      <c r="L581" s="20" t="n"/>
      <c r="M581" s="20" t="inlineStr">
        <is>
          <t>None</t>
        </is>
      </c>
      <c r="N581" s="17" t="n"/>
      <c r="O581" s="16" t="n"/>
      <c r="P581" s="20" t="inlineStr">
        <is>
          <t>Shimadzu TOC-L</t>
        </is>
      </c>
      <c r="Q581" s="20" t="inlineStr">
        <is>
          <t>None</t>
        </is>
      </c>
      <c r="R581" s="17" t="n"/>
      <c r="S581" s="16" t="n"/>
      <c r="T581" s="20" t="inlineStr">
        <is>
          <t>Shimadzu TOC-L</t>
        </is>
      </c>
      <c r="U581" s="20" t="inlineStr">
        <is>
          <t>None</t>
        </is>
      </c>
      <c r="V581" s="17" t="n"/>
      <c r="W581" s="16" t="n"/>
      <c r="X581" s="20" t="n"/>
      <c r="Y581" s="20" t="inlineStr">
        <is>
          <t>None</t>
        </is>
      </c>
      <c r="Z581" s="17" t="n"/>
      <c r="AA581" s="16" t="n"/>
      <c r="AB581" s="20" t="n"/>
      <c r="AC581" s="20" t="inlineStr">
        <is>
          <t>None</t>
        </is>
      </c>
      <c r="AD581" s="17" t="n"/>
      <c r="AE581" s="16" t="n"/>
      <c r="AF581" s="20" t="inlineStr">
        <is>
          <t>IC Anionen</t>
        </is>
      </c>
      <c r="AG581" s="20" t="inlineStr">
        <is>
          <t>None</t>
        </is>
      </c>
      <c r="AH581" s="17" t="n"/>
      <c r="AI581" s="16" t="n"/>
      <c r="AJ581" s="20" t="n"/>
      <c r="AK581" s="20" t="inlineStr">
        <is>
          <t>None</t>
        </is>
      </c>
      <c r="AL581" s="17" t="n"/>
      <c r="AM581" s="16" t="n"/>
      <c r="AN581" s="20" t="inlineStr">
        <is>
          <t>IC Anionen</t>
        </is>
      </c>
      <c r="AO581" s="20" t="inlineStr">
        <is>
          <t>None</t>
        </is>
      </c>
      <c r="AP581" s="17" t="n"/>
      <c r="AQ581" s="16" t="n"/>
      <c r="AR581" s="20" t="n"/>
      <c r="AS581" s="20" t="inlineStr">
        <is>
          <t>None</t>
        </is>
      </c>
      <c r="AT581" s="17" t="n"/>
      <c r="AU581" s="16" t="n"/>
      <c r="AV581" s="20" t="n"/>
      <c r="AW581" s="20" t="inlineStr">
        <is>
          <t>None</t>
        </is>
      </c>
      <c r="AX581" s="17" t="n"/>
      <c r="AY581" s="16" t="n"/>
      <c r="AZ581" s="20" t="inlineStr">
        <is>
          <t>IC Anionen</t>
        </is>
      </c>
      <c r="BA581" s="20" t="inlineStr">
        <is>
          <t>None</t>
        </is>
      </c>
      <c r="BB581" s="17" t="n"/>
      <c r="BC581" s="16" t="n"/>
      <c r="BD581" s="20" t="inlineStr">
        <is>
          <t>IC Kationen</t>
        </is>
      </c>
      <c r="BE581" s="20" t="inlineStr">
        <is>
          <t>None</t>
        </is>
      </c>
      <c r="BF581" s="17" t="n"/>
      <c r="BG581" s="16" t="n"/>
      <c r="BH581" s="20" t="inlineStr">
        <is>
          <t>IC Kationen</t>
        </is>
      </c>
      <c r="BI581" s="20" t="inlineStr">
        <is>
          <t>None</t>
        </is>
      </c>
      <c r="BJ581" s="17" t="n"/>
      <c r="BK581" s="16" t="n"/>
      <c r="BL581" s="20" t="inlineStr">
        <is>
          <t>IC Kationen</t>
        </is>
      </c>
      <c r="BM581" s="20" t="inlineStr">
        <is>
          <t>None</t>
        </is>
      </c>
      <c r="BN581" s="17" t="n"/>
      <c r="BO581" s="16" t="n"/>
      <c r="BP581" s="20" t="inlineStr">
        <is>
          <t>IC Kationen</t>
        </is>
      </c>
      <c r="BQ581" s="20" t="inlineStr">
        <is>
          <t>None</t>
        </is>
      </c>
      <c r="BR581" s="17" t="n"/>
      <c r="BS581" s="16" t="n"/>
      <c r="BT581" s="20" t="inlineStr">
        <is>
          <t>IC Kationen</t>
        </is>
      </c>
      <c r="BU581" s="20" t="inlineStr">
        <is>
          <t>None</t>
        </is>
      </c>
      <c r="BV581" s="17" t="n"/>
      <c r="BW581" s="16" t="n"/>
      <c r="BX581" s="20" t="n"/>
      <c r="BY581" s="20" t="inlineStr">
        <is>
          <t>None</t>
        </is>
      </c>
      <c r="BZ581" s="17" t="n"/>
      <c r="CA581" s="16" t="n"/>
      <c r="CB581" s="20" t="n"/>
      <c r="CC581" s="20" t="inlineStr">
        <is>
          <t>None</t>
        </is>
      </c>
      <c r="CD581" s="17" t="n"/>
      <c r="CE581" s="16" t="n"/>
      <c r="CF581" s="20" t="n"/>
      <c r="CG581" s="20" t="inlineStr">
        <is>
          <t>None</t>
        </is>
      </c>
      <c r="CH581" s="17" t="n"/>
      <c r="CI581" s="16" t="n"/>
      <c r="CJ581" s="20" t="n"/>
      <c r="CK581" s="20" t="inlineStr">
        <is>
          <t>None</t>
        </is>
      </c>
      <c r="CL581" s="17" t="n"/>
      <c r="CM581" s="16" t="n"/>
      <c r="CN581" s="20" t="inlineStr">
        <is>
          <t>SOP 45-34</t>
        </is>
      </c>
      <c r="CO581" s="20" t="inlineStr">
        <is>
          <t>None</t>
        </is>
      </c>
      <c r="CP581" s="17" t="n"/>
      <c r="CQ581" s="16" t="n"/>
      <c r="CR581" s="20" t="n"/>
      <c r="CS581" s="20" t="inlineStr">
        <is>
          <t>None</t>
        </is>
      </c>
      <c r="CT581" s="17" t="n"/>
      <c r="CU581" s="16" t="n"/>
      <c r="CV581" s="20" t="n"/>
      <c r="CW581" s="20" t="inlineStr">
        <is>
          <t>None</t>
        </is>
      </c>
      <c r="CX581" s="17" t="n"/>
      <c r="CY581" s="16" t="n"/>
      <c r="CZ581" s="20" t="inlineStr">
        <is>
          <t>WTW Multimeter 3430 with FDO 925</t>
        </is>
      </c>
      <c r="DA581" s="20" t="inlineStr">
        <is>
          <t>None</t>
        </is>
      </c>
      <c r="DB581" s="17" t="n"/>
      <c r="DC581" s="16" t="n"/>
      <c r="DD581" s="20" t="n"/>
      <c r="DE581" s="20" t="inlineStr">
        <is>
          <t>None</t>
        </is>
      </c>
      <c r="DF581" s="17" t="n"/>
      <c r="DG581" s="16" t="n"/>
      <c r="DH581" s="20" t="inlineStr">
        <is>
          <t>SOP 45-09</t>
        </is>
      </c>
      <c r="DI581" s="20" t="inlineStr">
        <is>
          <t>None</t>
        </is>
      </c>
      <c r="DJ581" s="17" t="n"/>
      <c r="DK581" s="16" t="n"/>
      <c r="DL581" s="20" t="inlineStr">
        <is>
          <t>SOP 45-09 (SOP muss noch angepasst werden für VSS)</t>
        </is>
      </c>
      <c r="DM581" s="20" t="inlineStr">
        <is>
          <t>None</t>
        </is>
      </c>
      <c r="DN581" s="17" t="n"/>
      <c r="DO581" s="16" t="n"/>
      <c r="DP581" s="20" t="inlineStr">
        <is>
          <t>IC Organic Acids</t>
        </is>
      </c>
      <c r="DQ581" s="20" t="inlineStr">
        <is>
          <t>None</t>
        </is>
      </c>
      <c r="DR581" s="17" t="n"/>
      <c r="DS581" s="16" t="n"/>
      <c r="DT581" s="20" t="inlineStr">
        <is>
          <t>IC Organic Acids</t>
        </is>
      </c>
      <c r="DU581" s="20" t="inlineStr">
        <is>
          <t>None</t>
        </is>
      </c>
      <c r="DV581" s="17" t="n"/>
      <c r="DW581" s="16" t="n"/>
      <c r="DX581" s="20" t="inlineStr">
        <is>
          <t>IC Organic Acids</t>
        </is>
      </c>
      <c r="DY581" s="20" t="inlineStr">
        <is>
          <t>None</t>
        </is>
      </c>
      <c r="DZ581" s="17" t="n"/>
      <c r="EA581" s="16" t="n"/>
      <c r="EB581" s="20" t="inlineStr">
        <is>
          <t>IC Organic Acids</t>
        </is>
      </c>
      <c r="EC581" s="20" t="inlineStr">
        <is>
          <t>None</t>
        </is>
      </c>
      <c r="ED581" s="17" t="n"/>
      <c r="EE581" s="16" t="n"/>
      <c r="EF581" s="20" t="inlineStr">
        <is>
          <t>IC Organic Acids</t>
        </is>
      </c>
      <c r="EG581" s="20" t="inlineStr">
        <is>
          <t>None</t>
        </is>
      </c>
      <c r="EH581" s="17" t="n"/>
      <c r="EI581" s="16" t="n"/>
      <c r="EJ581" s="20" t="inlineStr">
        <is>
          <t>IC Organic Acids</t>
        </is>
      </c>
      <c r="EK581" s="20" t="inlineStr">
        <is>
          <t>None</t>
        </is>
      </c>
      <c r="EL581" s="17" t="n"/>
      <c r="EM581" s="16" t="n"/>
      <c r="EN581" s="20" t="inlineStr">
        <is>
          <t>IC Organic Acids</t>
        </is>
      </c>
      <c r="EO581" s="20" t="inlineStr">
        <is>
          <t>None</t>
        </is>
      </c>
      <c r="EP581" s="17" t="n"/>
      <c r="EQ581" s="16" t="n"/>
      <c r="ER581" s="20" t="inlineStr">
        <is>
          <t>IC Organic Acids</t>
        </is>
      </c>
      <c r="ES581" s="20" t="inlineStr">
        <is>
          <t>None</t>
        </is>
      </c>
      <c r="ET581" s="17" t="n"/>
      <c r="EU581" s="16" t="n"/>
      <c r="EV581" s="20" t="inlineStr">
        <is>
          <t>LC-MS</t>
        </is>
      </c>
      <c r="EW581" s="20" t="inlineStr">
        <is>
          <t>None</t>
        </is>
      </c>
      <c r="EX581" s="17" t="n"/>
      <c r="EY581" s="21" t="n"/>
      <c r="EZ581">
        <f>CONCATENATE(A581,B581)</f>
        <v/>
      </c>
      <c r="FA581">
        <f>CONCATENATE(SamplesX!A581,SamplesX!B581)</f>
        <v/>
      </c>
      <c r="FC581">
        <f>MATCH(EZ581,FA1:FA1008,0)</f>
        <v/>
      </c>
    </row>
    <row r="582">
      <c r="A582" s="16" t="n"/>
      <c r="B582" s="17" t="n"/>
      <c r="C582" s="10">
        <f>IF(ISNUMBER(FC582),INDIRECT("SamplesX!C"&amp;FC582),IF(ISNUMBER(FD582),INDIRECT("SamplesY!C"&amp;FD582),""))</f>
        <v/>
      </c>
      <c r="D582" s="12">
        <f>IF(ISNUMBER(FC582),INDIRECT("SamplesX!D"&amp;FC582),IF(ISNUMBER(FD582),INDIRECT("SamplesY!D"&amp;FD582),""))</f>
        <v/>
      </c>
      <c r="E582" s="12">
        <f>IF(ISNUMBER(FC582),INDIRECT("SamplesX!E"&amp;FC582),IF(ISNUMBER(FD582),INDIRECT("SamplesY!E"&amp;FD582),""))</f>
        <v/>
      </c>
      <c r="F582" s="11">
        <f>IF(ISNUMBER(FC582),INDIRECT("SamplesX!F"&amp;FC582),IF(ISNUMBER(FD582),INDIRECT("SamplesY!F"&amp;FD582),""))</f>
        <v/>
      </c>
      <c r="G582" s="18">
        <f>IF(ISNUMBER(FC582),INDIRECT("SamplesX!G"&amp;FC582),IF(ISNUMBER(FD582),INDIRECT("SamplesY!G"&amp;FD582),""))</f>
        <v/>
      </c>
      <c r="H582" s="19">
        <f>IF(ISNUMBER(FC582),INDIRECT("SamplesX!H"&amp;FC582),IF(ISNUMBER(FD582),INDIRECT("SamplesY!H"&amp;FD582),""))</f>
        <v/>
      </c>
      <c r="I582" s="16" t="n"/>
      <c r="J582" s="16" t="n"/>
      <c r="K582" s="16" t="n"/>
      <c r="L582" s="20" t="n"/>
      <c r="M582" s="20" t="inlineStr">
        <is>
          <t>None</t>
        </is>
      </c>
      <c r="N582" s="17" t="n"/>
      <c r="O582" s="16" t="n"/>
      <c r="P582" s="20" t="inlineStr">
        <is>
          <t>Shimadzu TOC-L</t>
        </is>
      </c>
      <c r="Q582" s="20" t="inlineStr">
        <is>
          <t>None</t>
        </is>
      </c>
      <c r="R582" s="17" t="n"/>
      <c r="S582" s="16" t="n"/>
      <c r="T582" s="20" t="inlineStr">
        <is>
          <t>Shimadzu TOC-L</t>
        </is>
      </c>
      <c r="U582" s="20" t="inlineStr">
        <is>
          <t>None</t>
        </is>
      </c>
      <c r="V582" s="17" t="n"/>
      <c r="W582" s="16" t="n"/>
      <c r="X582" s="20" t="n"/>
      <c r="Y582" s="20" t="inlineStr">
        <is>
          <t>None</t>
        </is>
      </c>
      <c r="Z582" s="17" t="n"/>
      <c r="AA582" s="16" t="n"/>
      <c r="AB582" s="20" t="n"/>
      <c r="AC582" s="20" t="inlineStr">
        <is>
          <t>None</t>
        </is>
      </c>
      <c r="AD582" s="17" t="n"/>
      <c r="AE582" s="16" t="n"/>
      <c r="AF582" s="20" t="inlineStr">
        <is>
          <t>IC Anionen</t>
        </is>
      </c>
      <c r="AG582" s="20" t="inlineStr">
        <is>
          <t>None</t>
        </is>
      </c>
      <c r="AH582" s="17" t="n"/>
      <c r="AI582" s="16" t="n"/>
      <c r="AJ582" s="20" t="n"/>
      <c r="AK582" s="20" t="inlineStr">
        <is>
          <t>None</t>
        </is>
      </c>
      <c r="AL582" s="17" t="n"/>
      <c r="AM582" s="16" t="n"/>
      <c r="AN582" s="20" t="inlineStr">
        <is>
          <t>IC Anionen</t>
        </is>
      </c>
      <c r="AO582" s="20" t="inlineStr">
        <is>
          <t>None</t>
        </is>
      </c>
      <c r="AP582" s="17" t="n"/>
      <c r="AQ582" s="16" t="n"/>
      <c r="AR582" s="20" t="n"/>
      <c r="AS582" s="20" t="inlineStr">
        <is>
          <t>None</t>
        </is>
      </c>
      <c r="AT582" s="17" t="n"/>
      <c r="AU582" s="16" t="n"/>
      <c r="AV582" s="20" t="n"/>
      <c r="AW582" s="20" t="inlineStr">
        <is>
          <t>None</t>
        </is>
      </c>
      <c r="AX582" s="17" t="n"/>
      <c r="AY582" s="16" t="n"/>
      <c r="AZ582" s="20" t="inlineStr">
        <is>
          <t>IC Anionen</t>
        </is>
      </c>
      <c r="BA582" s="20" t="inlineStr">
        <is>
          <t>None</t>
        </is>
      </c>
      <c r="BB582" s="17" t="n"/>
      <c r="BC582" s="16" t="n"/>
      <c r="BD582" s="20" t="inlineStr">
        <is>
          <t>IC Kationen</t>
        </is>
      </c>
      <c r="BE582" s="20" t="inlineStr">
        <is>
          <t>None</t>
        </is>
      </c>
      <c r="BF582" s="17" t="n"/>
      <c r="BG582" s="16" t="n"/>
      <c r="BH582" s="20" t="inlineStr">
        <is>
          <t>IC Kationen</t>
        </is>
      </c>
      <c r="BI582" s="20" t="inlineStr">
        <is>
          <t>None</t>
        </is>
      </c>
      <c r="BJ582" s="17" t="n"/>
      <c r="BK582" s="16" t="n"/>
      <c r="BL582" s="20" t="inlineStr">
        <is>
          <t>IC Kationen</t>
        </is>
      </c>
      <c r="BM582" s="20" t="inlineStr">
        <is>
          <t>None</t>
        </is>
      </c>
      <c r="BN582" s="17" t="n"/>
      <c r="BO582" s="16" t="n"/>
      <c r="BP582" s="20" t="inlineStr">
        <is>
          <t>IC Kationen</t>
        </is>
      </c>
      <c r="BQ582" s="20" t="inlineStr">
        <is>
          <t>None</t>
        </is>
      </c>
      <c r="BR582" s="17" t="n"/>
      <c r="BS582" s="16" t="n"/>
      <c r="BT582" s="20" t="inlineStr">
        <is>
          <t>IC Kationen</t>
        </is>
      </c>
      <c r="BU582" s="20" t="inlineStr">
        <is>
          <t>None</t>
        </is>
      </c>
      <c r="BV582" s="17" t="n"/>
      <c r="BW582" s="16" t="n"/>
      <c r="BX582" s="20" t="n"/>
      <c r="BY582" s="20" t="inlineStr">
        <is>
          <t>None</t>
        </is>
      </c>
      <c r="BZ582" s="17" t="n"/>
      <c r="CA582" s="16" t="n"/>
      <c r="CB582" s="20" t="n"/>
      <c r="CC582" s="20" t="inlineStr">
        <is>
          <t>None</t>
        </is>
      </c>
      <c r="CD582" s="17" t="n"/>
      <c r="CE582" s="16" t="n"/>
      <c r="CF582" s="20" t="n"/>
      <c r="CG582" s="20" t="inlineStr">
        <is>
          <t>None</t>
        </is>
      </c>
      <c r="CH582" s="17" t="n"/>
      <c r="CI582" s="16" t="n"/>
      <c r="CJ582" s="20" t="n"/>
      <c r="CK582" s="20" t="inlineStr">
        <is>
          <t>None</t>
        </is>
      </c>
      <c r="CL582" s="17" t="n"/>
      <c r="CM582" s="16" t="n"/>
      <c r="CN582" s="20" t="inlineStr">
        <is>
          <t>SOP 45-34</t>
        </is>
      </c>
      <c r="CO582" s="20" t="inlineStr">
        <is>
          <t>None</t>
        </is>
      </c>
      <c r="CP582" s="17" t="n"/>
      <c r="CQ582" s="16" t="n"/>
      <c r="CR582" s="20" t="n"/>
      <c r="CS582" s="20" t="inlineStr">
        <is>
          <t>None</t>
        </is>
      </c>
      <c r="CT582" s="17" t="n"/>
      <c r="CU582" s="16" t="n"/>
      <c r="CV582" s="20" t="n"/>
      <c r="CW582" s="20" t="inlineStr">
        <is>
          <t>None</t>
        </is>
      </c>
      <c r="CX582" s="17" t="n"/>
      <c r="CY582" s="16" t="n"/>
      <c r="CZ582" s="20" t="inlineStr">
        <is>
          <t>WTW Multimeter 3430 with FDO 925</t>
        </is>
      </c>
      <c r="DA582" s="20" t="inlineStr">
        <is>
          <t>None</t>
        </is>
      </c>
      <c r="DB582" s="17" t="n"/>
      <c r="DC582" s="16" t="n"/>
      <c r="DD582" s="20" t="n"/>
      <c r="DE582" s="20" t="inlineStr">
        <is>
          <t>None</t>
        </is>
      </c>
      <c r="DF582" s="17" t="n"/>
      <c r="DG582" s="16" t="n"/>
      <c r="DH582" s="20" t="inlineStr">
        <is>
          <t>SOP 45-09</t>
        </is>
      </c>
      <c r="DI582" s="20" t="inlineStr">
        <is>
          <t>None</t>
        </is>
      </c>
      <c r="DJ582" s="17" t="n"/>
      <c r="DK582" s="16" t="n"/>
      <c r="DL582" s="20" t="inlineStr">
        <is>
          <t>SOP 45-09 (SOP muss noch angepasst werden für VSS)</t>
        </is>
      </c>
      <c r="DM582" s="20" t="inlineStr">
        <is>
          <t>None</t>
        </is>
      </c>
      <c r="DN582" s="17" t="n"/>
      <c r="DO582" s="16" t="n"/>
      <c r="DP582" s="20" t="inlineStr">
        <is>
          <t>IC Organic Acids</t>
        </is>
      </c>
      <c r="DQ582" s="20" t="inlineStr">
        <is>
          <t>None</t>
        </is>
      </c>
      <c r="DR582" s="17" t="n"/>
      <c r="DS582" s="16" t="n"/>
      <c r="DT582" s="20" t="inlineStr">
        <is>
          <t>IC Organic Acids</t>
        </is>
      </c>
      <c r="DU582" s="20" t="inlineStr">
        <is>
          <t>None</t>
        </is>
      </c>
      <c r="DV582" s="17" t="n"/>
      <c r="DW582" s="16" t="n"/>
      <c r="DX582" s="20" t="inlineStr">
        <is>
          <t>IC Organic Acids</t>
        </is>
      </c>
      <c r="DY582" s="20" t="inlineStr">
        <is>
          <t>None</t>
        </is>
      </c>
      <c r="DZ582" s="17" t="n"/>
      <c r="EA582" s="16" t="n"/>
      <c r="EB582" s="20" t="inlineStr">
        <is>
          <t>IC Organic Acids</t>
        </is>
      </c>
      <c r="EC582" s="20" t="inlineStr">
        <is>
          <t>None</t>
        </is>
      </c>
      <c r="ED582" s="17" t="n"/>
      <c r="EE582" s="16" t="n"/>
      <c r="EF582" s="20" t="inlineStr">
        <is>
          <t>IC Organic Acids</t>
        </is>
      </c>
      <c r="EG582" s="20" t="inlineStr">
        <is>
          <t>None</t>
        </is>
      </c>
      <c r="EH582" s="17" t="n"/>
      <c r="EI582" s="16" t="n"/>
      <c r="EJ582" s="20" t="inlineStr">
        <is>
          <t>IC Organic Acids</t>
        </is>
      </c>
      <c r="EK582" s="20" t="inlineStr">
        <is>
          <t>None</t>
        </is>
      </c>
      <c r="EL582" s="17" t="n"/>
      <c r="EM582" s="16" t="n"/>
      <c r="EN582" s="20" t="inlineStr">
        <is>
          <t>IC Organic Acids</t>
        </is>
      </c>
      <c r="EO582" s="20" t="inlineStr">
        <is>
          <t>None</t>
        </is>
      </c>
      <c r="EP582" s="17" t="n"/>
      <c r="EQ582" s="16" t="n"/>
      <c r="ER582" s="20" t="inlineStr">
        <is>
          <t>IC Organic Acids</t>
        </is>
      </c>
      <c r="ES582" s="20" t="inlineStr">
        <is>
          <t>None</t>
        </is>
      </c>
      <c r="ET582" s="17" t="n"/>
      <c r="EU582" s="16" t="n"/>
      <c r="EV582" s="20" t="inlineStr">
        <is>
          <t>LC-MS</t>
        </is>
      </c>
      <c r="EW582" s="20" t="inlineStr">
        <is>
          <t>None</t>
        </is>
      </c>
      <c r="EX582" s="17" t="n"/>
      <c r="EY582" s="21" t="n"/>
      <c r="EZ582">
        <f>CONCATENATE(A582,B582)</f>
        <v/>
      </c>
      <c r="FA582">
        <f>CONCATENATE(SamplesX!A582,SamplesX!B582)</f>
        <v/>
      </c>
      <c r="FC582">
        <f>MATCH(EZ582,FA1:FA1008,0)</f>
        <v/>
      </c>
    </row>
    <row r="583">
      <c r="A583" s="16" t="n"/>
      <c r="B583" s="17" t="n"/>
      <c r="C583" s="10">
        <f>IF(ISNUMBER(FC583),INDIRECT("SamplesX!C"&amp;FC583),IF(ISNUMBER(FD583),INDIRECT("SamplesY!C"&amp;FD583),""))</f>
        <v/>
      </c>
      <c r="D583" s="12">
        <f>IF(ISNUMBER(FC583),INDIRECT("SamplesX!D"&amp;FC583),IF(ISNUMBER(FD583),INDIRECT("SamplesY!D"&amp;FD583),""))</f>
        <v/>
      </c>
      <c r="E583" s="12">
        <f>IF(ISNUMBER(FC583),INDIRECT("SamplesX!E"&amp;FC583),IF(ISNUMBER(FD583),INDIRECT("SamplesY!E"&amp;FD583),""))</f>
        <v/>
      </c>
      <c r="F583" s="11">
        <f>IF(ISNUMBER(FC583),INDIRECT("SamplesX!F"&amp;FC583),IF(ISNUMBER(FD583),INDIRECT("SamplesY!F"&amp;FD583),""))</f>
        <v/>
      </c>
      <c r="G583" s="18">
        <f>IF(ISNUMBER(FC583),INDIRECT("SamplesX!G"&amp;FC583),IF(ISNUMBER(FD583),INDIRECT("SamplesY!G"&amp;FD583),""))</f>
        <v/>
      </c>
      <c r="H583" s="19">
        <f>IF(ISNUMBER(FC583),INDIRECT("SamplesX!H"&amp;FC583),IF(ISNUMBER(FD583),INDIRECT("SamplesY!H"&amp;FD583),""))</f>
        <v/>
      </c>
      <c r="I583" s="16" t="n"/>
      <c r="J583" s="16" t="n"/>
      <c r="K583" s="16" t="n"/>
      <c r="L583" s="20" t="n"/>
      <c r="M583" s="20" t="inlineStr">
        <is>
          <t>None</t>
        </is>
      </c>
      <c r="N583" s="17" t="n"/>
      <c r="O583" s="16" t="n"/>
      <c r="P583" s="20" t="inlineStr">
        <is>
          <t>Shimadzu TOC-L</t>
        </is>
      </c>
      <c r="Q583" s="20" t="inlineStr">
        <is>
          <t>None</t>
        </is>
      </c>
      <c r="R583" s="17" t="n"/>
      <c r="S583" s="16" t="n"/>
      <c r="T583" s="20" t="inlineStr">
        <is>
          <t>Shimadzu TOC-L</t>
        </is>
      </c>
      <c r="U583" s="20" t="inlineStr">
        <is>
          <t>None</t>
        </is>
      </c>
      <c r="V583" s="17" t="n"/>
      <c r="W583" s="16" t="n"/>
      <c r="X583" s="20" t="n"/>
      <c r="Y583" s="20" t="inlineStr">
        <is>
          <t>None</t>
        </is>
      </c>
      <c r="Z583" s="17" t="n"/>
      <c r="AA583" s="16" t="n"/>
      <c r="AB583" s="20" t="n"/>
      <c r="AC583" s="20" t="inlineStr">
        <is>
          <t>None</t>
        </is>
      </c>
      <c r="AD583" s="17" t="n"/>
      <c r="AE583" s="16" t="n"/>
      <c r="AF583" s="20" t="inlineStr">
        <is>
          <t>IC Anionen</t>
        </is>
      </c>
      <c r="AG583" s="20" t="inlineStr">
        <is>
          <t>None</t>
        </is>
      </c>
      <c r="AH583" s="17" t="n"/>
      <c r="AI583" s="16" t="n"/>
      <c r="AJ583" s="20" t="n"/>
      <c r="AK583" s="20" t="inlineStr">
        <is>
          <t>None</t>
        </is>
      </c>
      <c r="AL583" s="17" t="n"/>
      <c r="AM583" s="16" t="n"/>
      <c r="AN583" s="20" t="inlineStr">
        <is>
          <t>IC Anionen</t>
        </is>
      </c>
      <c r="AO583" s="20" t="inlineStr">
        <is>
          <t>None</t>
        </is>
      </c>
      <c r="AP583" s="17" t="n"/>
      <c r="AQ583" s="16" t="n"/>
      <c r="AR583" s="20" t="n"/>
      <c r="AS583" s="20" t="inlineStr">
        <is>
          <t>None</t>
        </is>
      </c>
      <c r="AT583" s="17" t="n"/>
      <c r="AU583" s="16" t="n"/>
      <c r="AV583" s="20" t="n"/>
      <c r="AW583" s="20" t="inlineStr">
        <is>
          <t>None</t>
        </is>
      </c>
      <c r="AX583" s="17" t="n"/>
      <c r="AY583" s="16" t="n"/>
      <c r="AZ583" s="20" t="inlineStr">
        <is>
          <t>IC Anionen</t>
        </is>
      </c>
      <c r="BA583" s="20" t="inlineStr">
        <is>
          <t>None</t>
        </is>
      </c>
      <c r="BB583" s="17" t="n"/>
      <c r="BC583" s="16" t="n"/>
      <c r="BD583" s="20" t="inlineStr">
        <is>
          <t>IC Kationen</t>
        </is>
      </c>
      <c r="BE583" s="20" t="inlineStr">
        <is>
          <t>None</t>
        </is>
      </c>
      <c r="BF583" s="17" t="n"/>
      <c r="BG583" s="16" t="n"/>
      <c r="BH583" s="20" t="inlineStr">
        <is>
          <t>IC Kationen</t>
        </is>
      </c>
      <c r="BI583" s="20" t="inlineStr">
        <is>
          <t>None</t>
        </is>
      </c>
      <c r="BJ583" s="17" t="n"/>
      <c r="BK583" s="16" t="n"/>
      <c r="BL583" s="20" t="inlineStr">
        <is>
          <t>IC Kationen</t>
        </is>
      </c>
      <c r="BM583" s="20" t="inlineStr">
        <is>
          <t>None</t>
        </is>
      </c>
      <c r="BN583" s="17" t="n"/>
      <c r="BO583" s="16" t="n"/>
      <c r="BP583" s="20" t="inlineStr">
        <is>
          <t>IC Kationen</t>
        </is>
      </c>
      <c r="BQ583" s="20" t="inlineStr">
        <is>
          <t>None</t>
        </is>
      </c>
      <c r="BR583" s="17" t="n"/>
      <c r="BS583" s="16" t="n"/>
      <c r="BT583" s="20" t="inlineStr">
        <is>
          <t>IC Kationen</t>
        </is>
      </c>
      <c r="BU583" s="20" t="inlineStr">
        <is>
          <t>None</t>
        </is>
      </c>
      <c r="BV583" s="17" t="n"/>
      <c r="BW583" s="16" t="n"/>
      <c r="BX583" s="20" t="n"/>
      <c r="BY583" s="20" t="inlineStr">
        <is>
          <t>None</t>
        </is>
      </c>
      <c r="BZ583" s="17" t="n"/>
      <c r="CA583" s="16" t="n"/>
      <c r="CB583" s="20" t="n"/>
      <c r="CC583" s="20" t="inlineStr">
        <is>
          <t>None</t>
        </is>
      </c>
      <c r="CD583" s="17" t="n"/>
      <c r="CE583" s="16" t="n"/>
      <c r="CF583" s="20" t="n"/>
      <c r="CG583" s="20" t="inlineStr">
        <is>
          <t>None</t>
        </is>
      </c>
      <c r="CH583" s="17" t="n"/>
      <c r="CI583" s="16" t="n"/>
      <c r="CJ583" s="20" t="n"/>
      <c r="CK583" s="20" t="inlineStr">
        <is>
          <t>None</t>
        </is>
      </c>
      <c r="CL583" s="17" t="n"/>
      <c r="CM583" s="16" t="n"/>
      <c r="CN583" s="20" t="inlineStr">
        <is>
          <t>SOP 45-34</t>
        </is>
      </c>
      <c r="CO583" s="20" t="inlineStr">
        <is>
          <t>None</t>
        </is>
      </c>
      <c r="CP583" s="17" t="n"/>
      <c r="CQ583" s="16" t="n"/>
      <c r="CR583" s="20" t="n"/>
      <c r="CS583" s="20" t="inlineStr">
        <is>
          <t>None</t>
        </is>
      </c>
      <c r="CT583" s="17" t="n"/>
      <c r="CU583" s="16" t="n"/>
      <c r="CV583" s="20" t="n"/>
      <c r="CW583" s="20" t="inlineStr">
        <is>
          <t>None</t>
        </is>
      </c>
      <c r="CX583" s="17" t="n"/>
      <c r="CY583" s="16" t="n"/>
      <c r="CZ583" s="20" t="inlineStr">
        <is>
          <t>WTW Multimeter 3430 with FDO 925</t>
        </is>
      </c>
      <c r="DA583" s="20" t="inlineStr">
        <is>
          <t>None</t>
        </is>
      </c>
      <c r="DB583" s="17" t="n"/>
      <c r="DC583" s="16" t="n"/>
      <c r="DD583" s="20" t="n"/>
      <c r="DE583" s="20" t="inlineStr">
        <is>
          <t>None</t>
        </is>
      </c>
      <c r="DF583" s="17" t="n"/>
      <c r="DG583" s="16" t="n"/>
      <c r="DH583" s="20" t="inlineStr">
        <is>
          <t>SOP 45-09</t>
        </is>
      </c>
      <c r="DI583" s="20" t="inlineStr">
        <is>
          <t>None</t>
        </is>
      </c>
      <c r="DJ583" s="17" t="n"/>
      <c r="DK583" s="16" t="n"/>
      <c r="DL583" s="20" t="inlineStr">
        <is>
          <t>SOP 45-09 (SOP muss noch angepasst werden für VSS)</t>
        </is>
      </c>
      <c r="DM583" s="20" t="inlineStr">
        <is>
          <t>None</t>
        </is>
      </c>
      <c r="DN583" s="17" t="n"/>
      <c r="DO583" s="16" t="n"/>
      <c r="DP583" s="20" t="inlineStr">
        <is>
          <t>IC Organic Acids</t>
        </is>
      </c>
      <c r="DQ583" s="20" t="inlineStr">
        <is>
          <t>None</t>
        </is>
      </c>
      <c r="DR583" s="17" t="n"/>
      <c r="DS583" s="16" t="n"/>
      <c r="DT583" s="20" t="inlineStr">
        <is>
          <t>IC Organic Acids</t>
        </is>
      </c>
      <c r="DU583" s="20" t="inlineStr">
        <is>
          <t>None</t>
        </is>
      </c>
      <c r="DV583" s="17" t="n"/>
      <c r="DW583" s="16" t="n"/>
      <c r="DX583" s="20" t="inlineStr">
        <is>
          <t>IC Organic Acids</t>
        </is>
      </c>
      <c r="DY583" s="20" t="inlineStr">
        <is>
          <t>None</t>
        </is>
      </c>
      <c r="DZ583" s="17" t="n"/>
      <c r="EA583" s="16" t="n"/>
      <c r="EB583" s="20" t="inlineStr">
        <is>
          <t>IC Organic Acids</t>
        </is>
      </c>
      <c r="EC583" s="20" t="inlineStr">
        <is>
          <t>None</t>
        </is>
      </c>
      <c r="ED583" s="17" t="n"/>
      <c r="EE583" s="16" t="n"/>
      <c r="EF583" s="20" t="inlineStr">
        <is>
          <t>IC Organic Acids</t>
        </is>
      </c>
      <c r="EG583" s="20" t="inlineStr">
        <is>
          <t>None</t>
        </is>
      </c>
      <c r="EH583" s="17" t="n"/>
      <c r="EI583" s="16" t="n"/>
      <c r="EJ583" s="20" t="inlineStr">
        <is>
          <t>IC Organic Acids</t>
        </is>
      </c>
      <c r="EK583" s="20" t="inlineStr">
        <is>
          <t>None</t>
        </is>
      </c>
      <c r="EL583" s="17" t="n"/>
      <c r="EM583" s="16" t="n"/>
      <c r="EN583" s="20" t="inlineStr">
        <is>
          <t>IC Organic Acids</t>
        </is>
      </c>
      <c r="EO583" s="20" t="inlineStr">
        <is>
          <t>None</t>
        </is>
      </c>
      <c r="EP583" s="17" t="n"/>
      <c r="EQ583" s="16" t="n"/>
      <c r="ER583" s="20" t="inlineStr">
        <is>
          <t>IC Organic Acids</t>
        </is>
      </c>
      <c r="ES583" s="20" t="inlineStr">
        <is>
          <t>None</t>
        </is>
      </c>
      <c r="ET583" s="17" t="n"/>
      <c r="EU583" s="16" t="n"/>
      <c r="EV583" s="20" t="inlineStr">
        <is>
          <t>LC-MS</t>
        </is>
      </c>
      <c r="EW583" s="20" t="inlineStr">
        <is>
          <t>None</t>
        </is>
      </c>
      <c r="EX583" s="17" t="n"/>
      <c r="EY583" s="21" t="n"/>
      <c r="EZ583">
        <f>CONCATENATE(A583,B583)</f>
        <v/>
      </c>
      <c r="FA583">
        <f>CONCATENATE(SamplesX!A583,SamplesX!B583)</f>
        <v/>
      </c>
      <c r="FC583">
        <f>MATCH(EZ583,FA1:FA1008,0)</f>
        <v/>
      </c>
    </row>
    <row r="584">
      <c r="A584" s="16" t="n"/>
      <c r="B584" s="17" t="n"/>
      <c r="C584" s="10">
        <f>IF(ISNUMBER(FC584),INDIRECT("SamplesX!C"&amp;FC584),IF(ISNUMBER(FD584),INDIRECT("SamplesY!C"&amp;FD584),""))</f>
        <v/>
      </c>
      <c r="D584" s="12">
        <f>IF(ISNUMBER(FC584),INDIRECT("SamplesX!D"&amp;FC584),IF(ISNUMBER(FD584),INDIRECT("SamplesY!D"&amp;FD584),""))</f>
        <v/>
      </c>
      <c r="E584" s="12">
        <f>IF(ISNUMBER(FC584),INDIRECT("SamplesX!E"&amp;FC584),IF(ISNUMBER(FD584),INDIRECT("SamplesY!E"&amp;FD584),""))</f>
        <v/>
      </c>
      <c r="F584" s="11">
        <f>IF(ISNUMBER(FC584),INDIRECT("SamplesX!F"&amp;FC584),IF(ISNUMBER(FD584),INDIRECT("SamplesY!F"&amp;FD584),""))</f>
        <v/>
      </c>
      <c r="G584" s="18">
        <f>IF(ISNUMBER(FC584),INDIRECT("SamplesX!G"&amp;FC584),IF(ISNUMBER(FD584),INDIRECT("SamplesY!G"&amp;FD584),""))</f>
        <v/>
      </c>
      <c r="H584" s="19">
        <f>IF(ISNUMBER(FC584),INDIRECT("SamplesX!H"&amp;FC584),IF(ISNUMBER(FD584),INDIRECT("SamplesY!H"&amp;FD584),""))</f>
        <v/>
      </c>
      <c r="I584" s="16" t="n"/>
      <c r="J584" s="16" t="n"/>
      <c r="K584" s="16" t="n"/>
      <c r="L584" s="20" t="n"/>
      <c r="M584" s="20" t="inlineStr">
        <is>
          <t>None</t>
        </is>
      </c>
      <c r="N584" s="17" t="n"/>
      <c r="O584" s="16" t="n"/>
      <c r="P584" s="20" t="inlineStr">
        <is>
          <t>Shimadzu TOC-L</t>
        </is>
      </c>
      <c r="Q584" s="20" t="inlineStr">
        <is>
          <t>None</t>
        </is>
      </c>
      <c r="R584" s="17" t="n"/>
      <c r="S584" s="16" t="n"/>
      <c r="T584" s="20" t="inlineStr">
        <is>
          <t>Shimadzu TOC-L</t>
        </is>
      </c>
      <c r="U584" s="20" t="inlineStr">
        <is>
          <t>None</t>
        </is>
      </c>
      <c r="V584" s="17" t="n"/>
      <c r="W584" s="16" t="n"/>
      <c r="X584" s="20" t="n"/>
      <c r="Y584" s="20" t="inlineStr">
        <is>
          <t>None</t>
        </is>
      </c>
      <c r="Z584" s="17" t="n"/>
      <c r="AA584" s="16" t="n"/>
      <c r="AB584" s="20" t="n"/>
      <c r="AC584" s="20" t="inlineStr">
        <is>
          <t>None</t>
        </is>
      </c>
      <c r="AD584" s="17" t="n"/>
      <c r="AE584" s="16" t="n"/>
      <c r="AF584" s="20" t="inlineStr">
        <is>
          <t>IC Anionen</t>
        </is>
      </c>
      <c r="AG584" s="20" t="inlineStr">
        <is>
          <t>None</t>
        </is>
      </c>
      <c r="AH584" s="17" t="n"/>
      <c r="AI584" s="16" t="n"/>
      <c r="AJ584" s="20" t="n"/>
      <c r="AK584" s="20" t="inlineStr">
        <is>
          <t>None</t>
        </is>
      </c>
      <c r="AL584" s="17" t="n"/>
      <c r="AM584" s="16" t="n"/>
      <c r="AN584" s="20" t="inlineStr">
        <is>
          <t>IC Anionen</t>
        </is>
      </c>
      <c r="AO584" s="20" t="inlineStr">
        <is>
          <t>None</t>
        </is>
      </c>
      <c r="AP584" s="17" t="n"/>
      <c r="AQ584" s="16" t="n"/>
      <c r="AR584" s="20" t="n"/>
      <c r="AS584" s="20" t="inlineStr">
        <is>
          <t>None</t>
        </is>
      </c>
      <c r="AT584" s="17" t="n"/>
      <c r="AU584" s="16" t="n"/>
      <c r="AV584" s="20" t="n"/>
      <c r="AW584" s="20" t="inlineStr">
        <is>
          <t>None</t>
        </is>
      </c>
      <c r="AX584" s="17" t="n"/>
      <c r="AY584" s="16" t="n"/>
      <c r="AZ584" s="20" t="inlineStr">
        <is>
          <t>IC Anionen</t>
        </is>
      </c>
      <c r="BA584" s="20" t="inlineStr">
        <is>
          <t>None</t>
        </is>
      </c>
      <c r="BB584" s="17" t="n"/>
      <c r="BC584" s="16" t="n"/>
      <c r="BD584" s="20" t="inlineStr">
        <is>
          <t>IC Kationen</t>
        </is>
      </c>
      <c r="BE584" s="20" t="inlineStr">
        <is>
          <t>None</t>
        </is>
      </c>
      <c r="BF584" s="17" t="n"/>
      <c r="BG584" s="16" t="n"/>
      <c r="BH584" s="20" t="inlineStr">
        <is>
          <t>IC Kationen</t>
        </is>
      </c>
      <c r="BI584" s="20" t="inlineStr">
        <is>
          <t>None</t>
        </is>
      </c>
      <c r="BJ584" s="17" t="n"/>
      <c r="BK584" s="16" t="n"/>
      <c r="BL584" s="20" t="inlineStr">
        <is>
          <t>IC Kationen</t>
        </is>
      </c>
      <c r="BM584" s="20" t="inlineStr">
        <is>
          <t>None</t>
        </is>
      </c>
      <c r="BN584" s="17" t="n"/>
      <c r="BO584" s="16" t="n"/>
      <c r="BP584" s="20" t="inlineStr">
        <is>
          <t>IC Kationen</t>
        </is>
      </c>
      <c r="BQ584" s="20" t="inlineStr">
        <is>
          <t>None</t>
        </is>
      </c>
      <c r="BR584" s="17" t="n"/>
      <c r="BS584" s="16" t="n"/>
      <c r="BT584" s="20" t="inlineStr">
        <is>
          <t>IC Kationen</t>
        </is>
      </c>
      <c r="BU584" s="20" t="inlineStr">
        <is>
          <t>None</t>
        </is>
      </c>
      <c r="BV584" s="17" t="n"/>
      <c r="BW584" s="16" t="n"/>
      <c r="BX584" s="20" t="n"/>
      <c r="BY584" s="20" t="inlineStr">
        <is>
          <t>None</t>
        </is>
      </c>
      <c r="BZ584" s="17" t="n"/>
      <c r="CA584" s="16" t="n"/>
      <c r="CB584" s="20" t="n"/>
      <c r="CC584" s="20" t="inlineStr">
        <is>
          <t>None</t>
        </is>
      </c>
      <c r="CD584" s="17" t="n"/>
      <c r="CE584" s="16" t="n"/>
      <c r="CF584" s="20" t="n"/>
      <c r="CG584" s="20" t="inlineStr">
        <is>
          <t>None</t>
        </is>
      </c>
      <c r="CH584" s="17" t="n"/>
      <c r="CI584" s="16" t="n"/>
      <c r="CJ584" s="20" t="n"/>
      <c r="CK584" s="20" t="inlineStr">
        <is>
          <t>None</t>
        </is>
      </c>
      <c r="CL584" s="17" t="n"/>
      <c r="CM584" s="16" t="n"/>
      <c r="CN584" s="20" t="inlineStr">
        <is>
          <t>SOP 45-34</t>
        </is>
      </c>
      <c r="CO584" s="20" t="inlineStr">
        <is>
          <t>None</t>
        </is>
      </c>
      <c r="CP584" s="17" t="n"/>
      <c r="CQ584" s="16" t="n"/>
      <c r="CR584" s="20" t="n"/>
      <c r="CS584" s="20" t="inlineStr">
        <is>
          <t>None</t>
        </is>
      </c>
      <c r="CT584" s="17" t="n"/>
      <c r="CU584" s="16" t="n"/>
      <c r="CV584" s="20" t="n"/>
      <c r="CW584" s="20" t="inlineStr">
        <is>
          <t>None</t>
        </is>
      </c>
      <c r="CX584" s="17" t="n"/>
      <c r="CY584" s="16" t="n"/>
      <c r="CZ584" s="20" t="inlineStr">
        <is>
          <t>WTW Multimeter 3430 with FDO 925</t>
        </is>
      </c>
      <c r="DA584" s="20" t="inlineStr">
        <is>
          <t>None</t>
        </is>
      </c>
      <c r="DB584" s="17" t="n"/>
      <c r="DC584" s="16" t="n"/>
      <c r="DD584" s="20" t="n"/>
      <c r="DE584" s="20" t="inlineStr">
        <is>
          <t>None</t>
        </is>
      </c>
      <c r="DF584" s="17" t="n"/>
      <c r="DG584" s="16" t="n"/>
      <c r="DH584" s="20" t="inlineStr">
        <is>
          <t>SOP 45-09</t>
        </is>
      </c>
      <c r="DI584" s="20" t="inlineStr">
        <is>
          <t>None</t>
        </is>
      </c>
      <c r="DJ584" s="17" t="n"/>
      <c r="DK584" s="16" t="n"/>
      <c r="DL584" s="20" t="inlineStr">
        <is>
          <t>SOP 45-09 (SOP muss noch angepasst werden für VSS)</t>
        </is>
      </c>
      <c r="DM584" s="20" t="inlineStr">
        <is>
          <t>None</t>
        </is>
      </c>
      <c r="DN584" s="17" t="n"/>
      <c r="DO584" s="16" t="n"/>
      <c r="DP584" s="20" t="inlineStr">
        <is>
          <t>IC Organic Acids</t>
        </is>
      </c>
      <c r="DQ584" s="20" t="inlineStr">
        <is>
          <t>None</t>
        </is>
      </c>
      <c r="DR584" s="17" t="n"/>
      <c r="DS584" s="16" t="n"/>
      <c r="DT584" s="20" t="inlineStr">
        <is>
          <t>IC Organic Acids</t>
        </is>
      </c>
      <c r="DU584" s="20" t="inlineStr">
        <is>
          <t>None</t>
        </is>
      </c>
      <c r="DV584" s="17" t="n"/>
      <c r="DW584" s="16" t="n"/>
      <c r="DX584" s="20" t="inlineStr">
        <is>
          <t>IC Organic Acids</t>
        </is>
      </c>
      <c r="DY584" s="20" t="inlineStr">
        <is>
          <t>None</t>
        </is>
      </c>
      <c r="DZ584" s="17" t="n"/>
      <c r="EA584" s="16" t="n"/>
      <c r="EB584" s="20" t="inlineStr">
        <is>
          <t>IC Organic Acids</t>
        </is>
      </c>
      <c r="EC584" s="20" t="inlineStr">
        <is>
          <t>None</t>
        </is>
      </c>
      <c r="ED584" s="17" t="n"/>
      <c r="EE584" s="16" t="n"/>
      <c r="EF584" s="20" t="inlineStr">
        <is>
          <t>IC Organic Acids</t>
        </is>
      </c>
      <c r="EG584" s="20" t="inlineStr">
        <is>
          <t>None</t>
        </is>
      </c>
      <c r="EH584" s="17" t="n"/>
      <c r="EI584" s="16" t="n"/>
      <c r="EJ584" s="20" t="inlineStr">
        <is>
          <t>IC Organic Acids</t>
        </is>
      </c>
      <c r="EK584" s="20" t="inlineStr">
        <is>
          <t>None</t>
        </is>
      </c>
      <c r="EL584" s="17" t="n"/>
      <c r="EM584" s="16" t="n"/>
      <c r="EN584" s="20" t="inlineStr">
        <is>
          <t>IC Organic Acids</t>
        </is>
      </c>
      <c r="EO584" s="20" t="inlineStr">
        <is>
          <t>None</t>
        </is>
      </c>
      <c r="EP584" s="17" t="n"/>
      <c r="EQ584" s="16" t="n"/>
      <c r="ER584" s="20" t="inlineStr">
        <is>
          <t>IC Organic Acids</t>
        </is>
      </c>
      <c r="ES584" s="20" t="inlineStr">
        <is>
          <t>None</t>
        </is>
      </c>
      <c r="ET584" s="17" t="n"/>
      <c r="EU584" s="16" t="n"/>
      <c r="EV584" s="20" t="inlineStr">
        <is>
          <t>LC-MS</t>
        </is>
      </c>
      <c r="EW584" s="20" t="inlineStr">
        <is>
          <t>None</t>
        </is>
      </c>
      <c r="EX584" s="17" t="n"/>
      <c r="EY584" s="21" t="n"/>
      <c r="EZ584">
        <f>CONCATENATE(A584,B584)</f>
        <v/>
      </c>
      <c r="FA584">
        <f>CONCATENATE(SamplesX!A584,SamplesX!B584)</f>
        <v/>
      </c>
      <c r="FC584">
        <f>MATCH(EZ584,FA1:FA1008,0)</f>
        <v/>
      </c>
    </row>
    <row r="585">
      <c r="A585" s="16" t="n"/>
      <c r="B585" s="17" t="n"/>
      <c r="C585" s="10">
        <f>IF(ISNUMBER(FC585),INDIRECT("SamplesX!C"&amp;FC585),IF(ISNUMBER(FD585),INDIRECT("SamplesY!C"&amp;FD585),""))</f>
        <v/>
      </c>
      <c r="D585" s="12">
        <f>IF(ISNUMBER(FC585),INDIRECT("SamplesX!D"&amp;FC585),IF(ISNUMBER(FD585),INDIRECT("SamplesY!D"&amp;FD585),""))</f>
        <v/>
      </c>
      <c r="E585" s="12">
        <f>IF(ISNUMBER(FC585),INDIRECT("SamplesX!E"&amp;FC585),IF(ISNUMBER(FD585),INDIRECT("SamplesY!E"&amp;FD585),""))</f>
        <v/>
      </c>
      <c r="F585" s="11">
        <f>IF(ISNUMBER(FC585),INDIRECT("SamplesX!F"&amp;FC585),IF(ISNUMBER(FD585),INDIRECT("SamplesY!F"&amp;FD585),""))</f>
        <v/>
      </c>
      <c r="G585" s="18">
        <f>IF(ISNUMBER(FC585),INDIRECT("SamplesX!G"&amp;FC585),IF(ISNUMBER(FD585),INDIRECT("SamplesY!G"&amp;FD585),""))</f>
        <v/>
      </c>
      <c r="H585" s="19">
        <f>IF(ISNUMBER(FC585),INDIRECT("SamplesX!H"&amp;FC585),IF(ISNUMBER(FD585),INDIRECT("SamplesY!H"&amp;FD585),""))</f>
        <v/>
      </c>
      <c r="I585" s="16" t="n"/>
      <c r="J585" s="16" t="n"/>
      <c r="K585" s="16" t="n"/>
      <c r="L585" s="20" t="n"/>
      <c r="M585" s="20" t="inlineStr">
        <is>
          <t>None</t>
        </is>
      </c>
      <c r="N585" s="17" t="n"/>
      <c r="O585" s="16" t="n"/>
      <c r="P585" s="20" t="inlineStr">
        <is>
          <t>Shimadzu TOC-L</t>
        </is>
      </c>
      <c r="Q585" s="20" t="inlineStr">
        <is>
          <t>None</t>
        </is>
      </c>
      <c r="R585" s="17" t="n"/>
      <c r="S585" s="16" t="n"/>
      <c r="T585" s="20" t="inlineStr">
        <is>
          <t>Shimadzu TOC-L</t>
        </is>
      </c>
      <c r="U585" s="20" t="inlineStr">
        <is>
          <t>None</t>
        </is>
      </c>
      <c r="V585" s="17" t="n"/>
      <c r="W585" s="16" t="n"/>
      <c r="X585" s="20" t="n"/>
      <c r="Y585" s="20" t="inlineStr">
        <is>
          <t>None</t>
        </is>
      </c>
      <c r="Z585" s="17" t="n"/>
      <c r="AA585" s="16" t="n"/>
      <c r="AB585" s="20" t="n"/>
      <c r="AC585" s="20" t="inlineStr">
        <is>
          <t>None</t>
        </is>
      </c>
      <c r="AD585" s="17" t="n"/>
      <c r="AE585" s="16" t="n"/>
      <c r="AF585" s="20" t="inlineStr">
        <is>
          <t>IC Anionen</t>
        </is>
      </c>
      <c r="AG585" s="20" t="inlineStr">
        <is>
          <t>None</t>
        </is>
      </c>
      <c r="AH585" s="17" t="n"/>
      <c r="AI585" s="16" t="n"/>
      <c r="AJ585" s="20" t="n"/>
      <c r="AK585" s="20" t="inlineStr">
        <is>
          <t>None</t>
        </is>
      </c>
      <c r="AL585" s="17" t="n"/>
      <c r="AM585" s="16" t="n"/>
      <c r="AN585" s="20" t="inlineStr">
        <is>
          <t>IC Anionen</t>
        </is>
      </c>
      <c r="AO585" s="20" t="inlineStr">
        <is>
          <t>None</t>
        </is>
      </c>
      <c r="AP585" s="17" t="n"/>
      <c r="AQ585" s="16" t="n"/>
      <c r="AR585" s="20" t="n"/>
      <c r="AS585" s="20" t="inlineStr">
        <is>
          <t>None</t>
        </is>
      </c>
      <c r="AT585" s="17" t="n"/>
      <c r="AU585" s="16" t="n"/>
      <c r="AV585" s="20" t="n"/>
      <c r="AW585" s="20" t="inlineStr">
        <is>
          <t>None</t>
        </is>
      </c>
      <c r="AX585" s="17" t="n"/>
      <c r="AY585" s="16" t="n"/>
      <c r="AZ585" s="20" t="inlineStr">
        <is>
          <t>IC Anionen</t>
        </is>
      </c>
      <c r="BA585" s="20" t="inlineStr">
        <is>
          <t>None</t>
        </is>
      </c>
      <c r="BB585" s="17" t="n"/>
      <c r="BC585" s="16" t="n"/>
      <c r="BD585" s="20" t="inlineStr">
        <is>
          <t>IC Kationen</t>
        </is>
      </c>
      <c r="BE585" s="20" t="inlineStr">
        <is>
          <t>None</t>
        </is>
      </c>
      <c r="BF585" s="17" t="n"/>
      <c r="BG585" s="16" t="n"/>
      <c r="BH585" s="20" t="inlineStr">
        <is>
          <t>IC Kationen</t>
        </is>
      </c>
      <c r="BI585" s="20" t="inlineStr">
        <is>
          <t>None</t>
        </is>
      </c>
      <c r="BJ585" s="17" t="n"/>
      <c r="BK585" s="16" t="n"/>
      <c r="BL585" s="20" t="inlineStr">
        <is>
          <t>IC Kationen</t>
        </is>
      </c>
      <c r="BM585" s="20" t="inlineStr">
        <is>
          <t>None</t>
        </is>
      </c>
      <c r="BN585" s="17" t="n"/>
      <c r="BO585" s="16" t="n"/>
      <c r="BP585" s="20" t="inlineStr">
        <is>
          <t>IC Kationen</t>
        </is>
      </c>
      <c r="BQ585" s="20" t="inlineStr">
        <is>
          <t>None</t>
        </is>
      </c>
      <c r="BR585" s="17" t="n"/>
      <c r="BS585" s="16" t="n"/>
      <c r="BT585" s="20" t="inlineStr">
        <is>
          <t>IC Kationen</t>
        </is>
      </c>
      <c r="BU585" s="20" t="inlineStr">
        <is>
          <t>None</t>
        </is>
      </c>
      <c r="BV585" s="17" t="n"/>
      <c r="BW585" s="16" t="n"/>
      <c r="BX585" s="20" t="n"/>
      <c r="BY585" s="20" t="inlineStr">
        <is>
          <t>None</t>
        </is>
      </c>
      <c r="BZ585" s="17" t="n"/>
      <c r="CA585" s="16" t="n"/>
      <c r="CB585" s="20" t="n"/>
      <c r="CC585" s="20" t="inlineStr">
        <is>
          <t>None</t>
        </is>
      </c>
      <c r="CD585" s="17" t="n"/>
      <c r="CE585" s="16" t="n"/>
      <c r="CF585" s="20" t="n"/>
      <c r="CG585" s="20" t="inlineStr">
        <is>
          <t>None</t>
        </is>
      </c>
      <c r="CH585" s="17" t="n"/>
      <c r="CI585" s="16" t="n"/>
      <c r="CJ585" s="20" t="n"/>
      <c r="CK585" s="20" t="inlineStr">
        <is>
          <t>None</t>
        </is>
      </c>
      <c r="CL585" s="17" t="n"/>
      <c r="CM585" s="16" t="n"/>
      <c r="CN585" s="20" t="inlineStr">
        <is>
          <t>SOP 45-34</t>
        </is>
      </c>
      <c r="CO585" s="20" t="inlineStr">
        <is>
          <t>None</t>
        </is>
      </c>
      <c r="CP585" s="17" t="n"/>
      <c r="CQ585" s="16" t="n"/>
      <c r="CR585" s="20" t="n"/>
      <c r="CS585" s="20" t="inlineStr">
        <is>
          <t>None</t>
        </is>
      </c>
      <c r="CT585" s="17" t="n"/>
      <c r="CU585" s="16" t="n"/>
      <c r="CV585" s="20" t="n"/>
      <c r="CW585" s="20" t="inlineStr">
        <is>
          <t>None</t>
        </is>
      </c>
      <c r="CX585" s="17" t="n"/>
      <c r="CY585" s="16" t="n"/>
      <c r="CZ585" s="20" t="inlineStr">
        <is>
          <t>WTW Multimeter 3430 with FDO 925</t>
        </is>
      </c>
      <c r="DA585" s="20" t="inlineStr">
        <is>
          <t>None</t>
        </is>
      </c>
      <c r="DB585" s="17" t="n"/>
      <c r="DC585" s="16" t="n"/>
      <c r="DD585" s="20" t="n"/>
      <c r="DE585" s="20" t="inlineStr">
        <is>
          <t>None</t>
        </is>
      </c>
      <c r="DF585" s="17" t="n"/>
      <c r="DG585" s="16" t="n"/>
      <c r="DH585" s="20" t="inlineStr">
        <is>
          <t>SOP 45-09</t>
        </is>
      </c>
      <c r="DI585" s="20" t="inlineStr">
        <is>
          <t>None</t>
        </is>
      </c>
      <c r="DJ585" s="17" t="n"/>
      <c r="DK585" s="16" t="n"/>
      <c r="DL585" s="20" t="inlineStr">
        <is>
          <t>SOP 45-09 (SOP muss noch angepasst werden für VSS)</t>
        </is>
      </c>
      <c r="DM585" s="20" t="inlineStr">
        <is>
          <t>None</t>
        </is>
      </c>
      <c r="DN585" s="17" t="n"/>
      <c r="DO585" s="16" t="n"/>
      <c r="DP585" s="20" t="inlineStr">
        <is>
          <t>IC Organic Acids</t>
        </is>
      </c>
      <c r="DQ585" s="20" t="inlineStr">
        <is>
          <t>None</t>
        </is>
      </c>
      <c r="DR585" s="17" t="n"/>
      <c r="DS585" s="16" t="n"/>
      <c r="DT585" s="20" t="inlineStr">
        <is>
          <t>IC Organic Acids</t>
        </is>
      </c>
      <c r="DU585" s="20" t="inlineStr">
        <is>
          <t>None</t>
        </is>
      </c>
      <c r="DV585" s="17" t="n"/>
      <c r="DW585" s="16" t="n"/>
      <c r="DX585" s="20" t="inlineStr">
        <is>
          <t>IC Organic Acids</t>
        </is>
      </c>
      <c r="DY585" s="20" t="inlineStr">
        <is>
          <t>None</t>
        </is>
      </c>
      <c r="DZ585" s="17" t="n"/>
      <c r="EA585" s="16" t="n"/>
      <c r="EB585" s="20" t="inlineStr">
        <is>
          <t>IC Organic Acids</t>
        </is>
      </c>
      <c r="EC585" s="20" t="inlineStr">
        <is>
          <t>None</t>
        </is>
      </c>
      <c r="ED585" s="17" t="n"/>
      <c r="EE585" s="16" t="n"/>
      <c r="EF585" s="20" t="inlineStr">
        <is>
          <t>IC Organic Acids</t>
        </is>
      </c>
      <c r="EG585" s="20" t="inlineStr">
        <is>
          <t>None</t>
        </is>
      </c>
      <c r="EH585" s="17" t="n"/>
      <c r="EI585" s="16" t="n"/>
      <c r="EJ585" s="20" t="inlineStr">
        <is>
          <t>IC Organic Acids</t>
        </is>
      </c>
      <c r="EK585" s="20" t="inlineStr">
        <is>
          <t>None</t>
        </is>
      </c>
      <c r="EL585" s="17" t="n"/>
      <c r="EM585" s="16" t="n"/>
      <c r="EN585" s="20" t="inlineStr">
        <is>
          <t>IC Organic Acids</t>
        </is>
      </c>
      <c r="EO585" s="20" t="inlineStr">
        <is>
          <t>None</t>
        </is>
      </c>
      <c r="EP585" s="17" t="n"/>
      <c r="EQ585" s="16" t="n"/>
      <c r="ER585" s="20" t="inlineStr">
        <is>
          <t>IC Organic Acids</t>
        </is>
      </c>
      <c r="ES585" s="20" t="inlineStr">
        <is>
          <t>None</t>
        </is>
      </c>
      <c r="ET585" s="17" t="n"/>
      <c r="EU585" s="16" t="n"/>
      <c r="EV585" s="20" t="inlineStr">
        <is>
          <t>LC-MS</t>
        </is>
      </c>
      <c r="EW585" s="20" t="inlineStr">
        <is>
          <t>None</t>
        </is>
      </c>
      <c r="EX585" s="17" t="n"/>
      <c r="EY585" s="21" t="n"/>
      <c r="EZ585">
        <f>CONCATENATE(A585,B585)</f>
        <v/>
      </c>
      <c r="FA585">
        <f>CONCATENATE(SamplesX!A585,SamplesX!B585)</f>
        <v/>
      </c>
      <c r="FC585">
        <f>MATCH(EZ585,FA1:FA1008,0)</f>
        <v/>
      </c>
    </row>
    <row r="586">
      <c r="A586" s="16" t="n"/>
      <c r="B586" s="17" t="n"/>
      <c r="C586" s="10">
        <f>IF(ISNUMBER(FC586),INDIRECT("SamplesX!C"&amp;FC586),IF(ISNUMBER(FD586),INDIRECT("SamplesY!C"&amp;FD586),""))</f>
        <v/>
      </c>
      <c r="D586" s="12">
        <f>IF(ISNUMBER(FC586),INDIRECT("SamplesX!D"&amp;FC586),IF(ISNUMBER(FD586),INDIRECT("SamplesY!D"&amp;FD586),""))</f>
        <v/>
      </c>
      <c r="E586" s="12">
        <f>IF(ISNUMBER(FC586),INDIRECT("SamplesX!E"&amp;FC586),IF(ISNUMBER(FD586),INDIRECT("SamplesY!E"&amp;FD586),""))</f>
        <v/>
      </c>
      <c r="F586" s="11">
        <f>IF(ISNUMBER(FC586),INDIRECT("SamplesX!F"&amp;FC586),IF(ISNUMBER(FD586),INDIRECT("SamplesY!F"&amp;FD586),""))</f>
        <v/>
      </c>
      <c r="G586" s="18">
        <f>IF(ISNUMBER(FC586),INDIRECT("SamplesX!G"&amp;FC586),IF(ISNUMBER(FD586),INDIRECT("SamplesY!G"&amp;FD586),""))</f>
        <v/>
      </c>
      <c r="H586" s="19">
        <f>IF(ISNUMBER(FC586),INDIRECT("SamplesX!H"&amp;FC586),IF(ISNUMBER(FD586),INDIRECT("SamplesY!H"&amp;FD586),""))</f>
        <v/>
      </c>
      <c r="I586" s="16" t="n"/>
      <c r="J586" s="16" t="n"/>
      <c r="K586" s="16" t="n"/>
      <c r="L586" s="20" t="n"/>
      <c r="M586" s="20" t="inlineStr">
        <is>
          <t>None</t>
        </is>
      </c>
      <c r="N586" s="17" t="n"/>
      <c r="O586" s="16" t="n"/>
      <c r="P586" s="20" t="inlineStr">
        <is>
          <t>Shimadzu TOC-L</t>
        </is>
      </c>
      <c r="Q586" s="20" t="inlineStr">
        <is>
          <t>None</t>
        </is>
      </c>
      <c r="R586" s="17" t="n"/>
      <c r="S586" s="16" t="n"/>
      <c r="T586" s="20" t="inlineStr">
        <is>
          <t>Shimadzu TOC-L</t>
        </is>
      </c>
      <c r="U586" s="20" t="inlineStr">
        <is>
          <t>None</t>
        </is>
      </c>
      <c r="V586" s="17" t="n"/>
      <c r="W586" s="16" t="n"/>
      <c r="X586" s="20" t="n"/>
      <c r="Y586" s="20" t="inlineStr">
        <is>
          <t>None</t>
        </is>
      </c>
      <c r="Z586" s="17" t="n"/>
      <c r="AA586" s="16" t="n"/>
      <c r="AB586" s="20" t="n"/>
      <c r="AC586" s="20" t="inlineStr">
        <is>
          <t>None</t>
        </is>
      </c>
      <c r="AD586" s="17" t="n"/>
      <c r="AE586" s="16" t="n"/>
      <c r="AF586" s="20" t="inlineStr">
        <is>
          <t>IC Anionen</t>
        </is>
      </c>
      <c r="AG586" s="20" t="inlineStr">
        <is>
          <t>None</t>
        </is>
      </c>
      <c r="AH586" s="17" t="n"/>
      <c r="AI586" s="16" t="n"/>
      <c r="AJ586" s="20" t="n"/>
      <c r="AK586" s="20" t="inlineStr">
        <is>
          <t>None</t>
        </is>
      </c>
      <c r="AL586" s="17" t="n"/>
      <c r="AM586" s="16" t="n"/>
      <c r="AN586" s="20" t="inlineStr">
        <is>
          <t>IC Anionen</t>
        </is>
      </c>
      <c r="AO586" s="20" t="inlineStr">
        <is>
          <t>None</t>
        </is>
      </c>
      <c r="AP586" s="17" t="n"/>
      <c r="AQ586" s="16" t="n"/>
      <c r="AR586" s="20" t="n"/>
      <c r="AS586" s="20" t="inlineStr">
        <is>
          <t>None</t>
        </is>
      </c>
      <c r="AT586" s="17" t="n"/>
      <c r="AU586" s="16" t="n"/>
      <c r="AV586" s="20" t="n"/>
      <c r="AW586" s="20" t="inlineStr">
        <is>
          <t>None</t>
        </is>
      </c>
      <c r="AX586" s="17" t="n"/>
      <c r="AY586" s="16" t="n"/>
      <c r="AZ586" s="20" t="inlineStr">
        <is>
          <t>IC Anionen</t>
        </is>
      </c>
      <c r="BA586" s="20" t="inlineStr">
        <is>
          <t>None</t>
        </is>
      </c>
      <c r="BB586" s="17" t="n"/>
      <c r="BC586" s="16" t="n"/>
      <c r="BD586" s="20" t="inlineStr">
        <is>
          <t>IC Kationen</t>
        </is>
      </c>
      <c r="BE586" s="20" t="inlineStr">
        <is>
          <t>None</t>
        </is>
      </c>
      <c r="BF586" s="17" t="n"/>
      <c r="BG586" s="16" t="n"/>
      <c r="BH586" s="20" t="inlineStr">
        <is>
          <t>IC Kationen</t>
        </is>
      </c>
      <c r="BI586" s="20" t="inlineStr">
        <is>
          <t>None</t>
        </is>
      </c>
      <c r="BJ586" s="17" t="n"/>
      <c r="BK586" s="16" t="n"/>
      <c r="BL586" s="20" t="inlineStr">
        <is>
          <t>IC Kationen</t>
        </is>
      </c>
      <c r="BM586" s="20" t="inlineStr">
        <is>
          <t>None</t>
        </is>
      </c>
      <c r="BN586" s="17" t="n"/>
      <c r="BO586" s="16" t="n"/>
      <c r="BP586" s="20" t="inlineStr">
        <is>
          <t>IC Kationen</t>
        </is>
      </c>
      <c r="BQ586" s="20" t="inlineStr">
        <is>
          <t>None</t>
        </is>
      </c>
      <c r="BR586" s="17" t="n"/>
      <c r="BS586" s="16" t="n"/>
      <c r="BT586" s="20" t="inlineStr">
        <is>
          <t>IC Kationen</t>
        </is>
      </c>
      <c r="BU586" s="20" t="inlineStr">
        <is>
          <t>None</t>
        </is>
      </c>
      <c r="BV586" s="17" t="n"/>
      <c r="BW586" s="16" t="n"/>
      <c r="BX586" s="20" t="n"/>
      <c r="BY586" s="20" t="inlineStr">
        <is>
          <t>None</t>
        </is>
      </c>
      <c r="BZ586" s="17" t="n"/>
      <c r="CA586" s="16" t="n"/>
      <c r="CB586" s="20" t="n"/>
      <c r="CC586" s="20" t="inlineStr">
        <is>
          <t>None</t>
        </is>
      </c>
      <c r="CD586" s="17" t="n"/>
      <c r="CE586" s="16" t="n"/>
      <c r="CF586" s="20" t="n"/>
      <c r="CG586" s="20" t="inlineStr">
        <is>
          <t>None</t>
        </is>
      </c>
      <c r="CH586" s="17" t="n"/>
      <c r="CI586" s="16" t="n"/>
      <c r="CJ586" s="20" t="n"/>
      <c r="CK586" s="20" t="inlineStr">
        <is>
          <t>None</t>
        </is>
      </c>
      <c r="CL586" s="17" t="n"/>
      <c r="CM586" s="16" t="n"/>
      <c r="CN586" s="20" t="inlineStr">
        <is>
          <t>SOP 45-34</t>
        </is>
      </c>
      <c r="CO586" s="20" t="inlineStr">
        <is>
          <t>None</t>
        </is>
      </c>
      <c r="CP586" s="17" t="n"/>
      <c r="CQ586" s="16" t="n"/>
      <c r="CR586" s="20" t="n"/>
      <c r="CS586" s="20" t="inlineStr">
        <is>
          <t>None</t>
        </is>
      </c>
      <c r="CT586" s="17" t="n"/>
      <c r="CU586" s="16" t="n"/>
      <c r="CV586" s="20" t="n"/>
      <c r="CW586" s="20" t="inlineStr">
        <is>
          <t>None</t>
        </is>
      </c>
      <c r="CX586" s="17" t="n"/>
      <c r="CY586" s="16" t="n"/>
      <c r="CZ586" s="20" t="inlineStr">
        <is>
          <t>WTW Multimeter 3430 with FDO 925</t>
        </is>
      </c>
      <c r="DA586" s="20" t="inlineStr">
        <is>
          <t>None</t>
        </is>
      </c>
      <c r="DB586" s="17" t="n"/>
      <c r="DC586" s="16" t="n"/>
      <c r="DD586" s="20" t="n"/>
      <c r="DE586" s="20" t="inlineStr">
        <is>
          <t>None</t>
        </is>
      </c>
      <c r="DF586" s="17" t="n"/>
      <c r="DG586" s="16" t="n"/>
      <c r="DH586" s="20" t="inlineStr">
        <is>
          <t>SOP 45-09</t>
        </is>
      </c>
      <c r="DI586" s="20" t="inlineStr">
        <is>
          <t>None</t>
        </is>
      </c>
      <c r="DJ586" s="17" t="n"/>
      <c r="DK586" s="16" t="n"/>
      <c r="DL586" s="20" t="inlineStr">
        <is>
          <t>SOP 45-09 (SOP muss noch angepasst werden für VSS)</t>
        </is>
      </c>
      <c r="DM586" s="20" t="inlineStr">
        <is>
          <t>None</t>
        </is>
      </c>
      <c r="DN586" s="17" t="n"/>
      <c r="DO586" s="16" t="n"/>
      <c r="DP586" s="20" t="inlineStr">
        <is>
          <t>IC Organic Acids</t>
        </is>
      </c>
      <c r="DQ586" s="20" t="inlineStr">
        <is>
          <t>None</t>
        </is>
      </c>
      <c r="DR586" s="17" t="n"/>
      <c r="DS586" s="16" t="n"/>
      <c r="DT586" s="20" t="inlineStr">
        <is>
          <t>IC Organic Acids</t>
        </is>
      </c>
      <c r="DU586" s="20" t="inlineStr">
        <is>
          <t>None</t>
        </is>
      </c>
      <c r="DV586" s="17" t="n"/>
      <c r="DW586" s="16" t="n"/>
      <c r="DX586" s="20" t="inlineStr">
        <is>
          <t>IC Organic Acids</t>
        </is>
      </c>
      <c r="DY586" s="20" t="inlineStr">
        <is>
          <t>None</t>
        </is>
      </c>
      <c r="DZ586" s="17" t="n"/>
      <c r="EA586" s="16" t="n"/>
      <c r="EB586" s="20" t="inlineStr">
        <is>
          <t>IC Organic Acids</t>
        </is>
      </c>
      <c r="EC586" s="20" t="inlineStr">
        <is>
          <t>None</t>
        </is>
      </c>
      <c r="ED586" s="17" t="n"/>
      <c r="EE586" s="16" t="n"/>
      <c r="EF586" s="20" t="inlineStr">
        <is>
          <t>IC Organic Acids</t>
        </is>
      </c>
      <c r="EG586" s="20" t="inlineStr">
        <is>
          <t>None</t>
        </is>
      </c>
      <c r="EH586" s="17" t="n"/>
      <c r="EI586" s="16" t="n"/>
      <c r="EJ586" s="20" t="inlineStr">
        <is>
          <t>IC Organic Acids</t>
        </is>
      </c>
      <c r="EK586" s="20" t="inlineStr">
        <is>
          <t>None</t>
        </is>
      </c>
      <c r="EL586" s="17" t="n"/>
      <c r="EM586" s="16" t="n"/>
      <c r="EN586" s="20" t="inlineStr">
        <is>
          <t>IC Organic Acids</t>
        </is>
      </c>
      <c r="EO586" s="20" t="inlineStr">
        <is>
          <t>None</t>
        </is>
      </c>
      <c r="EP586" s="17" t="n"/>
      <c r="EQ586" s="16" t="n"/>
      <c r="ER586" s="20" t="inlineStr">
        <is>
          <t>IC Organic Acids</t>
        </is>
      </c>
      <c r="ES586" s="20" t="inlineStr">
        <is>
          <t>None</t>
        </is>
      </c>
      <c r="ET586" s="17" t="n"/>
      <c r="EU586" s="16" t="n"/>
      <c r="EV586" s="20" t="inlineStr">
        <is>
          <t>LC-MS</t>
        </is>
      </c>
      <c r="EW586" s="20" t="inlineStr">
        <is>
          <t>None</t>
        </is>
      </c>
      <c r="EX586" s="17" t="n"/>
      <c r="EY586" s="21" t="n"/>
      <c r="EZ586">
        <f>CONCATENATE(A586,B586)</f>
        <v/>
      </c>
      <c r="FA586">
        <f>CONCATENATE(SamplesX!A586,SamplesX!B586)</f>
        <v/>
      </c>
      <c r="FC586">
        <f>MATCH(EZ586,FA1:FA1008,0)</f>
        <v/>
      </c>
    </row>
    <row r="587">
      <c r="A587" s="16" t="n"/>
      <c r="B587" s="17" t="n"/>
      <c r="C587" s="10">
        <f>IF(ISNUMBER(FC587),INDIRECT("SamplesX!C"&amp;FC587),IF(ISNUMBER(FD587),INDIRECT("SamplesY!C"&amp;FD587),""))</f>
        <v/>
      </c>
      <c r="D587" s="12">
        <f>IF(ISNUMBER(FC587),INDIRECT("SamplesX!D"&amp;FC587),IF(ISNUMBER(FD587),INDIRECT("SamplesY!D"&amp;FD587),""))</f>
        <v/>
      </c>
      <c r="E587" s="12">
        <f>IF(ISNUMBER(FC587),INDIRECT("SamplesX!E"&amp;FC587),IF(ISNUMBER(FD587),INDIRECT("SamplesY!E"&amp;FD587),""))</f>
        <v/>
      </c>
      <c r="F587" s="11">
        <f>IF(ISNUMBER(FC587),INDIRECT("SamplesX!F"&amp;FC587),IF(ISNUMBER(FD587),INDIRECT("SamplesY!F"&amp;FD587),""))</f>
        <v/>
      </c>
      <c r="G587" s="18">
        <f>IF(ISNUMBER(FC587),INDIRECT("SamplesX!G"&amp;FC587),IF(ISNUMBER(FD587),INDIRECT("SamplesY!G"&amp;FD587),""))</f>
        <v/>
      </c>
      <c r="H587" s="19">
        <f>IF(ISNUMBER(FC587),INDIRECT("SamplesX!H"&amp;FC587),IF(ISNUMBER(FD587),INDIRECT("SamplesY!H"&amp;FD587),""))</f>
        <v/>
      </c>
      <c r="I587" s="16" t="n"/>
      <c r="J587" s="16" t="n"/>
      <c r="K587" s="16" t="n"/>
      <c r="L587" s="20" t="n"/>
      <c r="M587" s="20" t="inlineStr">
        <is>
          <t>None</t>
        </is>
      </c>
      <c r="N587" s="17" t="n"/>
      <c r="O587" s="16" t="n"/>
      <c r="P587" s="20" t="inlineStr">
        <is>
          <t>Shimadzu TOC-L</t>
        </is>
      </c>
      <c r="Q587" s="20" t="inlineStr">
        <is>
          <t>None</t>
        </is>
      </c>
      <c r="R587" s="17" t="n"/>
      <c r="S587" s="16" t="n"/>
      <c r="T587" s="20" t="inlineStr">
        <is>
          <t>Shimadzu TOC-L</t>
        </is>
      </c>
      <c r="U587" s="20" t="inlineStr">
        <is>
          <t>None</t>
        </is>
      </c>
      <c r="V587" s="17" t="n"/>
      <c r="W587" s="16" t="n"/>
      <c r="X587" s="20" t="n"/>
      <c r="Y587" s="20" t="inlineStr">
        <is>
          <t>None</t>
        </is>
      </c>
      <c r="Z587" s="17" t="n"/>
      <c r="AA587" s="16" t="n"/>
      <c r="AB587" s="20" t="n"/>
      <c r="AC587" s="20" t="inlineStr">
        <is>
          <t>None</t>
        </is>
      </c>
      <c r="AD587" s="17" t="n"/>
      <c r="AE587" s="16" t="n"/>
      <c r="AF587" s="20" t="inlineStr">
        <is>
          <t>IC Anionen</t>
        </is>
      </c>
      <c r="AG587" s="20" t="inlineStr">
        <is>
          <t>None</t>
        </is>
      </c>
      <c r="AH587" s="17" t="n"/>
      <c r="AI587" s="16" t="n"/>
      <c r="AJ587" s="20" t="n"/>
      <c r="AK587" s="20" t="inlineStr">
        <is>
          <t>None</t>
        </is>
      </c>
      <c r="AL587" s="17" t="n"/>
      <c r="AM587" s="16" t="n"/>
      <c r="AN587" s="20" t="inlineStr">
        <is>
          <t>IC Anionen</t>
        </is>
      </c>
      <c r="AO587" s="20" t="inlineStr">
        <is>
          <t>None</t>
        </is>
      </c>
      <c r="AP587" s="17" t="n"/>
      <c r="AQ587" s="16" t="n"/>
      <c r="AR587" s="20" t="n"/>
      <c r="AS587" s="20" t="inlineStr">
        <is>
          <t>None</t>
        </is>
      </c>
      <c r="AT587" s="17" t="n"/>
      <c r="AU587" s="16" t="n"/>
      <c r="AV587" s="20" t="n"/>
      <c r="AW587" s="20" t="inlineStr">
        <is>
          <t>None</t>
        </is>
      </c>
      <c r="AX587" s="17" t="n"/>
      <c r="AY587" s="16" t="n"/>
      <c r="AZ587" s="20" t="inlineStr">
        <is>
          <t>IC Anionen</t>
        </is>
      </c>
      <c r="BA587" s="20" t="inlineStr">
        <is>
          <t>None</t>
        </is>
      </c>
      <c r="BB587" s="17" t="n"/>
      <c r="BC587" s="16" t="n"/>
      <c r="BD587" s="20" t="inlineStr">
        <is>
          <t>IC Kationen</t>
        </is>
      </c>
      <c r="BE587" s="20" t="inlineStr">
        <is>
          <t>None</t>
        </is>
      </c>
      <c r="BF587" s="17" t="n"/>
      <c r="BG587" s="16" t="n"/>
      <c r="BH587" s="20" t="inlineStr">
        <is>
          <t>IC Kationen</t>
        </is>
      </c>
      <c r="BI587" s="20" t="inlineStr">
        <is>
          <t>None</t>
        </is>
      </c>
      <c r="BJ587" s="17" t="n"/>
      <c r="BK587" s="16" t="n"/>
      <c r="BL587" s="20" t="inlineStr">
        <is>
          <t>IC Kationen</t>
        </is>
      </c>
      <c r="BM587" s="20" t="inlineStr">
        <is>
          <t>None</t>
        </is>
      </c>
      <c r="BN587" s="17" t="n"/>
      <c r="BO587" s="16" t="n"/>
      <c r="BP587" s="20" t="inlineStr">
        <is>
          <t>IC Kationen</t>
        </is>
      </c>
      <c r="BQ587" s="20" t="inlineStr">
        <is>
          <t>None</t>
        </is>
      </c>
      <c r="BR587" s="17" t="n"/>
      <c r="BS587" s="16" t="n"/>
      <c r="BT587" s="20" t="inlineStr">
        <is>
          <t>IC Kationen</t>
        </is>
      </c>
      <c r="BU587" s="20" t="inlineStr">
        <is>
          <t>None</t>
        </is>
      </c>
      <c r="BV587" s="17" t="n"/>
      <c r="BW587" s="16" t="n"/>
      <c r="BX587" s="20" t="n"/>
      <c r="BY587" s="20" t="inlineStr">
        <is>
          <t>None</t>
        </is>
      </c>
      <c r="BZ587" s="17" t="n"/>
      <c r="CA587" s="16" t="n"/>
      <c r="CB587" s="20" t="n"/>
      <c r="CC587" s="20" t="inlineStr">
        <is>
          <t>None</t>
        </is>
      </c>
      <c r="CD587" s="17" t="n"/>
      <c r="CE587" s="16" t="n"/>
      <c r="CF587" s="20" t="n"/>
      <c r="CG587" s="20" t="inlineStr">
        <is>
          <t>None</t>
        </is>
      </c>
      <c r="CH587" s="17" t="n"/>
      <c r="CI587" s="16" t="n"/>
      <c r="CJ587" s="20" t="n"/>
      <c r="CK587" s="20" t="inlineStr">
        <is>
          <t>None</t>
        </is>
      </c>
      <c r="CL587" s="17" t="n"/>
      <c r="CM587" s="16" t="n"/>
      <c r="CN587" s="20" t="inlineStr">
        <is>
          <t>SOP 45-34</t>
        </is>
      </c>
      <c r="CO587" s="20" t="inlineStr">
        <is>
          <t>None</t>
        </is>
      </c>
      <c r="CP587" s="17" t="n"/>
      <c r="CQ587" s="16" t="n"/>
      <c r="CR587" s="20" t="n"/>
      <c r="CS587" s="20" t="inlineStr">
        <is>
          <t>None</t>
        </is>
      </c>
      <c r="CT587" s="17" t="n"/>
      <c r="CU587" s="16" t="n"/>
      <c r="CV587" s="20" t="n"/>
      <c r="CW587" s="20" t="inlineStr">
        <is>
          <t>None</t>
        </is>
      </c>
      <c r="CX587" s="17" t="n"/>
      <c r="CY587" s="16" t="n"/>
      <c r="CZ587" s="20" t="inlineStr">
        <is>
          <t>WTW Multimeter 3430 with FDO 925</t>
        </is>
      </c>
      <c r="DA587" s="20" t="inlineStr">
        <is>
          <t>None</t>
        </is>
      </c>
      <c r="DB587" s="17" t="n"/>
      <c r="DC587" s="16" t="n"/>
      <c r="DD587" s="20" t="n"/>
      <c r="DE587" s="20" t="inlineStr">
        <is>
          <t>None</t>
        </is>
      </c>
      <c r="DF587" s="17" t="n"/>
      <c r="DG587" s="16" t="n"/>
      <c r="DH587" s="20" t="inlineStr">
        <is>
          <t>SOP 45-09</t>
        </is>
      </c>
      <c r="DI587" s="20" t="inlineStr">
        <is>
          <t>None</t>
        </is>
      </c>
      <c r="DJ587" s="17" t="n"/>
      <c r="DK587" s="16" t="n"/>
      <c r="DL587" s="20" t="inlineStr">
        <is>
          <t>SOP 45-09 (SOP muss noch angepasst werden für VSS)</t>
        </is>
      </c>
      <c r="DM587" s="20" t="inlineStr">
        <is>
          <t>None</t>
        </is>
      </c>
      <c r="DN587" s="17" t="n"/>
      <c r="DO587" s="16" t="n"/>
      <c r="DP587" s="20" t="inlineStr">
        <is>
          <t>IC Organic Acids</t>
        </is>
      </c>
      <c r="DQ587" s="20" t="inlineStr">
        <is>
          <t>None</t>
        </is>
      </c>
      <c r="DR587" s="17" t="n"/>
      <c r="DS587" s="16" t="n"/>
      <c r="DT587" s="20" t="inlineStr">
        <is>
          <t>IC Organic Acids</t>
        </is>
      </c>
      <c r="DU587" s="20" t="inlineStr">
        <is>
          <t>None</t>
        </is>
      </c>
      <c r="DV587" s="17" t="n"/>
      <c r="DW587" s="16" t="n"/>
      <c r="DX587" s="20" t="inlineStr">
        <is>
          <t>IC Organic Acids</t>
        </is>
      </c>
      <c r="DY587" s="20" t="inlineStr">
        <is>
          <t>None</t>
        </is>
      </c>
      <c r="DZ587" s="17" t="n"/>
      <c r="EA587" s="16" t="n"/>
      <c r="EB587" s="20" t="inlineStr">
        <is>
          <t>IC Organic Acids</t>
        </is>
      </c>
      <c r="EC587" s="20" t="inlineStr">
        <is>
          <t>None</t>
        </is>
      </c>
      <c r="ED587" s="17" t="n"/>
      <c r="EE587" s="16" t="n"/>
      <c r="EF587" s="20" t="inlineStr">
        <is>
          <t>IC Organic Acids</t>
        </is>
      </c>
      <c r="EG587" s="20" t="inlineStr">
        <is>
          <t>None</t>
        </is>
      </c>
      <c r="EH587" s="17" t="n"/>
      <c r="EI587" s="16" t="n"/>
      <c r="EJ587" s="20" t="inlineStr">
        <is>
          <t>IC Organic Acids</t>
        </is>
      </c>
      <c r="EK587" s="20" t="inlineStr">
        <is>
          <t>None</t>
        </is>
      </c>
      <c r="EL587" s="17" t="n"/>
      <c r="EM587" s="16" t="n"/>
      <c r="EN587" s="20" t="inlineStr">
        <is>
          <t>IC Organic Acids</t>
        </is>
      </c>
      <c r="EO587" s="20" t="inlineStr">
        <is>
          <t>None</t>
        </is>
      </c>
      <c r="EP587" s="17" t="n"/>
      <c r="EQ587" s="16" t="n"/>
      <c r="ER587" s="20" t="inlineStr">
        <is>
          <t>IC Organic Acids</t>
        </is>
      </c>
      <c r="ES587" s="20" t="inlineStr">
        <is>
          <t>None</t>
        </is>
      </c>
      <c r="ET587" s="17" t="n"/>
      <c r="EU587" s="16" t="n"/>
      <c r="EV587" s="20" t="inlineStr">
        <is>
          <t>LC-MS</t>
        </is>
      </c>
      <c r="EW587" s="20" t="inlineStr">
        <is>
          <t>None</t>
        </is>
      </c>
      <c r="EX587" s="17" t="n"/>
      <c r="EY587" s="21" t="n"/>
      <c r="EZ587">
        <f>CONCATENATE(A587,B587)</f>
        <v/>
      </c>
      <c r="FA587">
        <f>CONCATENATE(SamplesX!A587,SamplesX!B587)</f>
        <v/>
      </c>
      <c r="FC587">
        <f>MATCH(EZ587,FA1:FA1008,0)</f>
        <v/>
      </c>
    </row>
    <row r="588">
      <c r="A588" s="16" t="n"/>
      <c r="B588" s="17" t="n"/>
      <c r="C588" s="10">
        <f>IF(ISNUMBER(FC588),INDIRECT("SamplesX!C"&amp;FC588),IF(ISNUMBER(FD588),INDIRECT("SamplesY!C"&amp;FD588),""))</f>
        <v/>
      </c>
      <c r="D588" s="12">
        <f>IF(ISNUMBER(FC588),INDIRECT("SamplesX!D"&amp;FC588),IF(ISNUMBER(FD588),INDIRECT("SamplesY!D"&amp;FD588),""))</f>
        <v/>
      </c>
      <c r="E588" s="12">
        <f>IF(ISNUMBER(FC588),INDIRECT("SamplesX!E"&amp;FC588),IF(ISNUMBER(FD588),INDIRECT("SamplesY!E"&amp;FD588),""))</f>
        <v/>
      </c>
      <c r="F588" s="11">
        <f>IF(ISNUMBER(FC588),INDIRECT("SamplesX!F"&amp;FC588),IF(ISNUMBER(FD588),INDIRECT("SamplesY!F"&amp;FD588),""))</f>
        <v/>
      </c>
      <c r="G588" s="18">
        <f>IF(ISNUMBER(FC588),INDIRECT("SamplesX!G"&amp;FC588),IF(ISNUMBER(FD588),INDIRECT("SamplesY!G"&amp;FD588),""))</f>
        <v/>
      </c>
      <c r="H588" s="19">
        <f>IF(ISNUMBER(FC588),INDIRECT("SamplesX!H"&amp;FC588),IF(ISNUMBER(FD588),INDIRECT("SamplesY!H"&amp;FD588),""))</f>
        <v/>
      </c>
      <c r="I588" s="16" t="n"/>
      <c r="J588" s="16" t="n"/>
      <c r="K588" s="16" t="n"/>
      <c r="L588" s="20" t="n"/>
      <c r="M588" s="20" t="inlineStr">
        <is>
          <t>None</t>
        </is>
      </c>
      <c r="N588" s="17" t="n"/>
      <c r="O588" s="16" t="n"/>
      <c r="P588" s="20" t="inlineStr">
        <is>
          <t>Shimadzu TOC-L</t>
        </is>
      </c>
      <c r="Q588" s="20" t="inlineStr">
        <is>
          <t>None</t>
        </is>
      </c>
      <c r="R588" s="17" t="n"/>
      <c r="S588" s="16" t="n"/>
      <c r="T588" s="20" t="inlineStr">
        <is>
          <t>Shimadzu TOC-L</t>
        </is>
      </c>
      <c r="U588" s="20" t="inlineStr">
        <is>
          <t>None</t>
        </is>
      </c>
      <c r="V588" s="17" t="n"/>
      <c r="W588" s="16" t="n"/>
      <c r="X588" s="20" t="n"/>
      <c r="Y588" s="20" t="inlineStr">
        <is>
          <t>None</t>
        </is>
      </c>
      <c r="Z588" s="17" t="n"/>
      <c r="AA588" s="16" t="n"/>
      <c r="AB588" s="20" t="n"/>
      <c r="AC588" s="20" t="inlineStr">
        <is>
          <t>None</t>
        </is>
      </c>
      <c r="AD588" s="17" t="n"/>
      <c r="AE588" s="16" t="n"/>
      <c r="AF588" s="20" t="inlineStr">
        <is>
          <t>IC Anionen</t>
        </is>
      </c>
      <c r="AG588" s="20" t="inlineStr">
        <is>
          <t>None</t>
        </is>
      </c>
      <c r="AH588" s="17" t="n"/>
      <c r="AI588" s="16" t="n"/>
      <c r="AJ588" s="20" t="n"/>
      <c r="AK588" s="20" t="inlineStr">
        <is>
          <t>None</t>
        </is>
      </c>
      <c r="AL588" s="17" t="n"/>
      <c r="AM588" s="16" t="n"/>
      <c r="AN588" s="20" t="inlineStr">
        <is>
          <t>IC Anionen</t>
        </is>
      </c>
      <c r="AO588" s="20" t="inlineStr">
        <is>
          <t>None</t>
        </is>
      </c>
      <c r="AP588" s="17" t="n"/>
      <c r="AQ588" s="16" t="n"/>
      <c r="AR588" s="20" t="n"/>
      <c r="AS588" s="20" t="inlineStr">
        <is>
          <t>None</t>
        </is>
      </c>
      <c r="AT588" s="17" t="n"/>
      <c r="AU588" s="16" t="n"/>
      <c r="AV588" s="20" t="n"/>
      <c r="AW588" s="20" t="inlineStr">
        <is>
          <t>None</t>
        </is>
      </c>
      <c r="AX588" s="17" t="n"/>
      <c r="AY588" s="16" t="n"/>
      <c r="AZ588" s="20" t="inlineStr">
        <is>
          <t>IC Anionen</t>
        </is>
      </c>
      <c r="BA588" s="20" t="inlineStr">
        <is>
          <t>None</t>
        </is>
      </c>
      <c r="BB588" s="17" t="n"/>
      <c r="BC588" s="16" t="n"/>
      <c r="BD588" s="20" t="inlineStr">
        <is>
          <t>IC Kationen</t>
        </is>
      </c>
      <c r="BE588" s="20" t="inlineStr">
        <is>
          <t>None</t>
        </is>
      </c>
      <c r="BF588" s="17" t="n"/>
      <c r="BG588" s="16" t="n"/>
      <c r="BH588" s="20" t="inlineStr">
        <is>
          <t>IC Kationen</t>
        </is>
      </c>
      <c r="BI588" s="20" t="inlineStr">
        <is>
          <t>None</t>
        </is>
      </c>
      <c r="BJ588" s="17" t="n"/>
      <c r="BK588" s="16" t="n"/>
      <c r="BL588" s="20" t="inlineStr">
        <is>
          <t>IC Kationen</t>
        </is>
      </c>
      <c r="BM588" s="20" t="inlineStr">
        <is>
          <t>None</t>
        </is>
      </c>
      <c r="BN588" s="17" t="n"/>
      <c r="BO588" s="16" t="n"/>
      <c r="BP588" s="20" t="inlineStr">
        <is>
          <t>IC Kationen</t>
        </is>
      </c>
      <c r="BQ588" s="20" t="inlineStr">
        <is>
          <t>None</t>
        </is>
      </c>
      <c r="BR588" s="17" t="n"/>
      <c r="BS588" s="16" t="n"/>
      <c r="BT588" s="20" t="inlineStr">
        <is>
          <t>IC Kationen</t>
        </is>
      </c>
      <c r="BU588" s="20" t="inlineStr">
        <is>
          <t>None</t>
        </is>
      </c>
      <c r="BV588" s="17" t="n"/>
      <c r="BW588" s="16" t="n"/>
      <c r="BX588" s="20" t="n"/>
      <c r="BY588" s="20" t="inlineStr">
        <is>
          <t>None</t>
        </is>
      </c>
      <c r="BZ588" s="17" t="n"/>
      <c r="CA588" s="16" t="n"/>
      <c r="CB588" s="20" t="n"/>
      <c r="CC588" s="20" t="inlineStr">
        <is>
          <t>None</t>
        </is>
      </c>
      <c r="CD588" s="17" t="n"/>
      <c r="CE588" s="16" t="n"/>
      <c r="CF588" s="20" t="n"/>
      <c r="CG588" s="20" t="inlineStr">
        <is>
          <t>None</t>
        </is>
      </c>
      <c r="CH588" s="17" t="n"/>
      <c r="CI588" s="16" t="n"/>
      <c r="CJ588" s="20" t="n"/>
      <c r="CK588" s="20" t="inlineStr">
        <is>
          <t>None</t>
        </is>
      </c>
      <c r="CL588" s="17" t="n"/>
      <c r="CM588" s="16" t="n"/>
      <c r="CN588" s="20" t="inlineStr">
        <is>
          <t>SOP 45-34</t>
        </is>
      </c>
      <c r="CO588" s="20" t="inlineStr">
        <is>
          <t>None</t>
        </is>
      </c>
      <c r="CP588" s="17" t="n"/>
      <c r="CQ588" s="16" t="n"/>
      <c r="CR588" s="20" t="n"/>
      <c r="CS588" s="20" t="inlineStr">
        <is>
          <t>None</t>
        </is>
      </c>
      <c r="CT588" s="17" t="n"/>
      <c r="CU588" s="16" t="n"/>
      <c r="CV588" s="20" t="n"/>
      <c r="CW588" s="20" t="inlineStr">
        <is>
          <t>None</t>
        </is>
      </c>
      <c r="CX588" s="17" t="n"/>
      <c r="CY588" s="16" t="n"/>
      <c r="CZ588" s="20" t="inlineStr">
        <is>
          <t>WTW Multimeter 3430 with FDO 925</t>
        </is>
      </c>
      <c r="DA588" s="20" t="inlineStr">
        <is>
          <t>None</t>
        </is>
      </c>
      <c r="DB588" s="17" t="n"/>
      <c r="DC588" s="16" t="n"/>
      <c r="DD588" s="20" t="n"/>
      <c r="DE588" s="20" t="inlineStr">
        <is>
          <t>None</t>
        </is>
      </c>
      <c r="DF588" s="17" t="n"/>
      <c r="DG588" s="16" t="n"/>
      <c r="DH588" s="20" t="inlineStr">
        <is>
          <t>SOP 45-09</t>
        </is>
      </c>
      <c r="DI588" s="20" t="inlineStr">
        <is>
          <t>None</t>
        </is>
      </c>
      <c r="DJ588" s="17" t="n"/>
      <c r="DK588" s="16" t="n"/>
      <c r="DL588" s="20" t="inlineStr">
        <is>
          <t>SOP 45-09 (SOP muss noch angepasst werden für VSS)</t>
        </is>
      </c>
      <c r="DM588" s="20" t="inlineStr">
        <is>
          <t>None</t>
        </is>
      </c>
      <c r="DN588" s="17" t="n"/>
      <c r="DO588" s="16" t="n"/>
      <c r="DP588" s="20" t="inlineStr">
        <is>
          <t>IC Organic Acids</t>
        </is>
      </c>
      <c r="DQ588" s="20" t="inlineStr">
        <is>
          <t>None</t>
        </is>
      </c>
      <c r="DR588" s="17" t="n"/>
      <c r="DS588" s="16" t="n"/>
      <c r="DT588" s="20" t="inlineStr">
        <is>
          <t>IC Organic Acids</t>
        </is>
      </c>
      <c r="DU588" s="20" t="inlineStr">
        <is>
          <t>None</t>
        </is>
      </c>
      <c r="DV588" s="17" t="n"/>
      <c r="DW588" s="16" t="n"/>
      <c r="DX588" s="20" t="inlineStr">
        <is>
          <t>IC Organic Acids</t>
        </is>
      </c>
      <c r="DY588" s="20" t="inlineStr">
        <is>
          <t>None</t>
        </is>
      </c>
      <c r="DZ588" s="17" t="n"/>
      <c r="EA588" s="16" t="n"/>
      <c r="EB588" s="20" t="inlineStr">
        <is>
          <t>IC Organic Acids</t>
        </is>
      </c>
      <c r="EC588" s="20" t="inlineStr">
        <is>
          <t>None</t>
        </is>
      </c>
      <c r="ED588" s="17" t="n"/>
      <c r="EE588" s="16" t="n"/>
      <c r="EF588" s="20" t="inlineStr">
        <is>
          <t>IC Organic Acids</t>
        </is>
      </c>
      <c r="EG588" s="20" t="inlineStr">
        <is>
          <t>None</t>
        </is>
      </c>
      <c r="EH588" s="17" t="n"/>
      <c r="EI588" s="16" t="n"/>
      <c r="EJ588" s="20" t="inlineStr">
        <is>
          <t>IC Organic Acids</t>
        </is>
      </c>
      <c r="EK588" s="20" t="inlineStr">
        <is>
          <t>None</t>
        </is>
      </c>
      <c r="EL588" s="17" t="n"/>
      <c r="EM588" s="16" t="n"/>
      <c r="EN588" s="20" t="inlineStr">
        <is>
          <t>IC Organic Acids</t>
        </is>
      </c>
      <c r="EO588" s="20" t="inlineStr">
        <is>
          <t>None</t>
        </is>
      </c>
      <c r="EP588" s="17" t="n"/>
      <c r="EQ588" s="16" t="n"/>
      <c r="ER588" s="20" t="inlineStr">
        <is>
          <t>IC Organic Acids</t>
        </is>
      </c>
      <c r="ES588" s="20" t="inlineStr">
        <is>
          <t>None</t>
        </is>
      </c>
      <c r="ET588" s="17" t="n"/>
      <c r="EU588" s="16" t="n"/>
      <c r="EV588" s="20" t="inlineStr">
        <is>
          <t>LC-MS</t>
        </is>
      </c>
      <c r="EW588" s="20" t="inlineStr">
        <is>
          <t>None</t>
        </is>
      </c>
      <c r="EX588" s="17" t="n"/>
      <c r="EY588" s="21" t="n"/>
      <c r="EZ588">
        <f>CONCATENATE(A588,B588)</f>
        <v/>
      </c>
      <c r="FA588">
        <f>CONCATENATE(SamplesX!A588,SamplesX!B588)</f>
        <v/>
      </c>
      <c r="FC588">
        <f>MATCH(EZ588,FA1:FA1008,0)</f>
        <v/>
      </c>
    </row>
    <row r="589">
      <c r="A589" s="16" t="n"/>
      <c r="B589" s="17" t="n"/>
      <c r="C589" s="10">
        <f>IF(ISNUMBER(FC589),INDIRECT("SamplesX!C"&amp;FC589),IF(ISNUMBER(FD589),INDIRECT("SamplesY!C"&amp;FD589),""))</f>
        <v/>
      </c>
      <c r="D589" s="12">
        <f>IF(ISNUMBER(FC589),INDIRECT("SamplesX!D"&amp;FC589),IF(ISNUMBER(FD589),INDIRECT("SamplesY!D"&amp;FD589),""))</f>
        <v/>
      </c>
      <c r="E589" s="12">
        <f>IF(ISNUMBER(FC589),INDIRECT("SamplesX!E"&amp;FC589),IF(ISNUMBER(FD589),INDIRECT("SamplesY!E"&amp;FD589),""))</f>
        <v/>
      </c>
      <c r="F589" s="11">
        <f>IF(ISNUMBER(FC589),INDIRECT("SamplesX!F"&amp;FC589),IF(ISNUMBER(FD589),INDIRECT("SamplesY!F"&amp;FD589),""))</f>
        <v/>
      </c>
      <c r="G589" s="18">
        <f>IF(ISNUMBER(FC589),INDIRECT("SamplesX!G"&amp;FC589),IF(ISNUMBER(FD589),INDIRECT("SamplesY!G"&amp;FD589),""))</f>
        <v/>
      </c>
      <c r="H589" s="19">
        <f>IF(ISNUMBER(FC589),INDIRECT("SamplesX!H"&amp;FC589),IF(ISNUMBER(FD589),INDIRECT("SamplesY!H"&amp;FD589),""))</f>
        <v/>
      </c>
      <c r="I589" s="16" t="n"/>
      <c r="J589" s="16" t="n"/>
      <c r="K589" s="16" t="n"/>
      <c r="L589" s="20" t="n"/>
      <c r="M589" s="20" t="inlineStr">
        <is>
          <t>None</t>
        </is>
      </c>
      <c r="N589" s="17" t="n"/>
      <c r="O589" s="16" t="n"/>
      <c r="P589" s="20" t="inlineStr">
        <is>
          <t>Shimadzu TOC-L</t>
        </is>
      </c>
      <c r="Q589" s="20" t="inlineStr">
        <is>
          <t>None</t>
        </is>
      </c>
      <c r="R589" s="17" t="n"/>
      <c r="S589" s="16" t="n"/>
      <c r="T589" s="20" t="inlineStr">
        <is>
          <t>Shimadzu TOC-L</t>
        </is>
      </c>
      <c r="U589" s="20" t="inlineStr">
        <is>
          <t>None</t>
        </is>
      </c>
      <c r="V589" s="17" t="n"/>
      <c r="W589" s="16" t="n"/>
      <c r="X589" s="20" t="n"/>
      <c r="Y589" s="20" t="inlineStr">
        <is>
          <t>None</t>
        </is>
      </c>
      <c r="Z589" s="17" t="n"/>
      <c r="AA589" s="16" t="n"/>
      <c r="AB589" s="20" t="n"/>
      <c r="AC589" s="20" t="inlineStr">
        <is>
          <t>None</t>
        </is>
      </c>
      <c r="AD589" s="17" t="n"/>
      <c r="AE589" s="16" t="n"/>
      <c r="AF589" s="20" t="inlineStr">
        <is>
          <t>IC Anionen</t>
        </is>
      </c>
      <c r="AG589" s="20" t="inlineStr">
        <is>
          <t>None</t>
        </is>
      </c>
      <c r="AH589" s="17" t="n"/>
      <c r="AI589" s="16" t="n"/>
      <c r="AJ589" s="20" t="n"/>
      <c r="AK589" s="20" t="inlineStr">
        <is>
          <t>None</t>
        </is>
      </c>
      <c r="AL589" s="17" t="n"/>
      <c r="AM589" s="16" t="n"/>
      <c r="AN589" s="20" t="inlineStr">
        <is>
          <t>IC Anionen</t>
        </is>
      </c>
      <c r="AO589" s="20" t="inlineStr">
        <is>
          <t>None</t>
        </is>
      </c>
      <c r="AP589" s="17" t="n"/>
      <c r="AQ589" s="16" t="n"/>
      <c r="AR589" s="20" t="n"/>
      <c r="AS589" s="20" t="inlineStr">
        <is>
          <t>None</t>
        </is>
      </c>
      <c r="AT589" s="17" t="n"/>
      <c r="AU589" s="16" t="n"/>
      <c r="AV589" s="20" t="n"/>
      <c r="AW589" s="20" t="inlineStr">
        <is>
          <t>None</t>
        </is>
      </c>
      <c r="AX589" s="17" t="n"/>
      <c r="AY589" s="16" t="n"/>
      <c r="AZ589" s="20" t="inlineStr">
        <is>
          <t>IC Anionen</t>
        </is>
      </c>
      <c r="BA589" s="20" t="inlineStr">
        <is>
          <t>None</t>
        </is>
      </c>
      <c r="BB589" s="17" t="n"/>
      <c r="BC589" s="16" t="n"/>
      <c r="BD589" s="20" t="inlineStr">
        <is>
          <t>IC Kationen</t>
        </is>
      </c>
      <c r="BE589" s="20" t="inlineStr">
        <is>
          <t>None</t>
        </is>
      </c>
      <c r="BF589" s="17" t="n"/>
      <c r="BG589" s="16" t="n"/>
      <c r="BH589" s="20" t="inlineStr">
        <is>
          <t>IC Kationen</t>
        </is>
      </c>
      <c r="BI589" s="20" t="inlineStr">
        <is>
          <t>None</t>
        </is>
      </c>
      <c r="BJ589" s="17" t="n"/>
      <c r="BK589" s="16" t="n"/>
      <c r="BL589" s="20" t="inlineStr">
        <is>
          <t>IC Kationen</t>
        </is>
      </c>
      <c r="BM589" s="20" t="inlineStr">
        <is>
          <t>None</t>
        </is>
      </c>
      <c r="BN589" s="17" t="n"/>
      <c r="BO589" s="16" t="n"/>
      <c r="BP589" s="20" t="inlineStr">
        <is>
          <t>IC Kationen</t>
        </is>
      </c>
      <c r="BQ589" s="20" t="inlineStr">
        <is>
          <t>None</t>
        </is>
      </c>
      <c r="BR589" s="17" t="n"/>
      <c r="BS589" s="16" t="n"/>
      <c r="BT589" s="20" t="inlineStr">
        <is>
          <t>IC Kationen</t>
        </is>
      </c>
      <c r="BU589" s="20" t="inlineStr">
        <is>
          <t>None</t>
        </is>
      </c>
      <c r="BV589" s="17" t="n"/>
      <c r="BW589" s="16" t="n"/>
      <c r="BX589" s="20" t="n"/>
      <c r="BY589" s="20" t="inlineStr">
        <is>
          <t>None</t>
        </is>
      </c>
      <c r="BZ589" s="17" t="n"/>
      <c r="CA589" s="16" t="n"/>
      <c r="CB589" s="20" t="n"/>
      <c r="CC589" s="20" t="inlineStr">
        <is>
          <t>None</t>
        </is>
      </c>
      <c r="CD589" s="17" t="n"/>
      <c r="CE589" s="16" t="n"/>
      <c r="CF589" s="20" t="n"/>
      <c r="CG589" s="20" t="inlineStr">
        <is>
          <t>None</t>
        </is>
      </c>
      <c r="CH589" s="17" t="n"/>
      <c r="CI589" s="16" t="n"/>
      <c r="CJ589" s="20" t="n"/>
      <c r="CK589" s="20" t="inlineStr">
        <is>
          <t>None</t>
        </is>
      </c>
      <c r="CL589" s="17" t="n"/>
      <c r="CM589" s="16" t="n"/>
      <c r="CN589" s="20" t="inlineStr">
        <is>
          <t>SOP 45-34</t>
        </is>
      </c>
      <c r="CO589" s="20" t="inlineStr">
        <is>
          <t>None</t>
        </is>
      </c>
      <c r="CP589" s="17" t="n"/>
      <c r="CQ589" s="16" t="n"/>
      <c r="CR589" s="20" t="n"/>
      <c r="CS589" s="20" t="inlineStr">
        <is>
          <t>None</t>
        </is>
      </c>
      <c r="CT589" s="17" t="n"/>
      <c r="CU589" s="16" t="n"/>
      <c r="CV589" s="20" t="n"/>
      <c r="CW589" s="20" t="inlineStr">
        <is>
          <t>None</t>
        </is>
      </c>
      <c r="CX589" s="17" t="n"/>
      <c r="CY589" s="16" t="n"/>
      <c r="CZ589" s="20" t="inlineStr">
        <is>
          <t>WTW Multimeter 3430 with FDO 925</t>
        </is>
      </c>
      <c r="DA589" s="20" t="inlineStr">
        <is>
          <t>None</t>
        </is>
      </c>
      <c r="DB589" s="17" t="n"/>
      <c r="DC589" s="16" t="n"/>
      <c r="DD589" s="20" t="n"/>
      <c r="DE589" s="20" t="inlineStr">
        <is>
          <t>None</t>
        </is>
      </c>
      <c r="DF589" s="17" t="n"/>
      <c r="DG589" s="16" t="n"/>
      <c r="DH589" s="20" t="inlineStr">
        <is>
          <t>SOP 45-09</t>
        </is>
      </c>
      <c r="DI589" s="20" t="inlineStr">
        <is>
          <t>None</t>
        </is>
      </c>
      <c r="DJ589" s="17" t="n"/>
      <c r="DK589" s="16" t="n"/>
      <c r="DL589" s="20" t="inlineStr">
        <is>
          <t>SOP 45-09 (SOP muss noch angepasst werden für VSS)</t>
        </is>
      </c>
      <c r="DM589" s="20" t="inlineStr">
        <is>
          <t>None</t>
        </is>
      </c>
      <c r="DN589" s="17" t="n"/>
      <c r="DO589" s="16" t="n"/>
      <c r="DP589" s="20" t="inlineStr">
        <is>
          <t>IC Organic Acids</t>
        </is>
      </c>
      <c r="DQ589" s="20" t="inlineStr">
        <is>
          <t>None</t>
        </is>
      </c>
      <c r="DR589" s="17" t="n"/>
      <c r="DS589" s="16" t="n"/>
      <c r="DT589" s="20" t="inlineStr">
        <is>
          <t>IC Organic Acids</t>
        </is>
      </c>
      <c r="DU589" s="20" t="inlineStr">
        <is>
          <t>None</t>
        </is>
      </c>
      <c r="DV589" s="17" t="n"/>
      <c r="DW589" s="16" t="n"/>
      <c r="DX589" s="20" t="inlineStr">
        <is>
          <t>IC Organic Acids</t>
        </is>
      </c>
      <c r="DY589" s="20" t="inlineStr">
        <is>
          <t>None</t>
        </is>
      </c>
      <c r="DZ589" s="17" t="n"/>
      <c r="EA589" s="16" t="n"/>
      <c r="EB589" s="20" t="inlineStr">
        <is>
          <t>IC Organic Acids</t>
        </is>
      </c>
      <c r="EC589" s="20" t="inlineStr">
        <is>
          <t>None</t>
        </is>
      </c>
      <c r="ED589" s="17" t="n"/>
      <c r="EE589" s="16" t="n"/>
      <c r="EF589" s="20" t="inlineStr">
        <is>
          <t>IC Organic Acids</t>
        </is>
      </c>
      <c r="EG589" s="20" t="inlineStr">
        <is>
          <t>None</t>
        </is>
      </c>
      <c r="EH589" s="17" t="n"/>
      <c r="EI589" s="16" t="n"/>
      <c r="EJ589" s="20" t="inlineStr">
        <is>
          <t>IC Organic Acids</t>
        </is>
      </c>
      <c r="EK589" s="20" t="inlineStr">
        <is>
          <t>None</t>
        </is>
      </c>
      <c r="EL589" s="17" t="n"/>
      <c r="EM589" s="16" t="n"/>
      <c r="EN589" s="20" t="inlineStr">
        <is>
          <t>IC Organic Acids</t>
        </is>
      </c>
      <c r="EO589" s="20" t="inlineStr">
        <is>
          <t>None</t>
        </is>
      </c>
      <c r="EP589" s="17" t="n"/>
      <c r="EQ589" s="16" t="n"/>
      <c r="ER589" s="20" t="inlineStr">
        <is>
          <t>IC Organic Acids</t>
        </is>
      </c>
      <c r="ES589" s="20" t="inlineStr">
        <is>
          <t>None</t>
        </is>
      </c>
      <c r="ET589" s="17" t="n"/>
      <c r="EU589" s="16" t="n"/>
      <c r="EV589" s="20" t="inlineStr">
        <is>
          <t>LC-MS</t>
        </is>
      </c>
      <c r="EW589" s="20" t="inlineStr">
        <is>
          <t>None</t>
        </is>
      </c>
      <c r="EX589" s="17" t="n"/>
      <c r="EY589" s="21" t="n"/>
      <c r="EZ589">
        <f>CONCATENATE(A589,B589)</f>
        <v/>
      </c>
      <c r="FA589">
        <f>CONCATENATE(SamplesX!A589,SamplesX!B589)</f>
        <v/>
      </c>
      <c r="FC589">
        <f>MATCH(EZ589,FA1:FA1008,0)</f>
        <v/>
      </c>
    </row>
    <row r="590">
      <c r="A590" s="16" t="n"/>
      <c r="B590" s="17" t="n"/>
      <c r="C590" s="10">
        <f>IF(ISNUMBER(FC590),INDIRECT("SamplesX!C"&amp;FC590),IF(ISNUMBER(FD590),INDIRECT("SamplesY!C"&amp;FD590),""))</f>
        <v/>
      </c>
      <c r="D590" s="12">
        <f>IF(ISNUMBER(FC590),INDIRECT("SamplesX!D"&amp;FC590),IF(ISNUMBER(FD590),INDIRECT("SamplesY!D"&amp;FD590),""))</f>
        <v/>
      </c>
      <c r="E590" s="12">
        <f>IF(ISNUMBER(FC590),INDIRECT("SamplesX!E"&amp;FC590),IF(ISNUMBER(FD590),INDIRECT("SamplesY!E"&amp;FD590),""))</f>
        <v/>
      </c>
      <c r="F590" s="11">
        <f>IF(ISNUMBER(FC590),INDIRECT("SamplesX!F"&amp;FC590),IF(ISNUMBER(FD590),INDIRECT("SamplesY!F"&amp;FD590),""))</f>
        <v/>
      </c>
      <c r="G590" s="18">
        <f>IF(ISNUMBER(FC590),INDIRECT("SamplesX!G"&amp;FC590),IF(ISNUMBER(FD590),INDIRECT("SamplesY!G"&amp;FD590),""))</f>
        <v/>
      </c>
      <c r="H590" s="19">
        <f>IF(ISNUMBER(FC590),INDIRECT("SamplesX!H"&amp;FC590),IF(ISNUMBER(FD590),INDIRECT("SamplesY!H"&amp;FD590),""))</f>
        <v/>
      </c>
      <c r="I590" s="16" t="n"/>
      <c r="J590" s="16" t="n"/>
      <c r="K590" s="16" t="n"/>
      <c r="L590" s="20" t="n"/>
      <c r="M590" s="20" t="inlineStr">
        <is>
          <t>None</t>
        </is>
      </c>
      <c r="N590" s="17" t="n"/>
      <c r="O590" s="16" t="n"/>
      <c r="P590" s="20" t="inlineStr">
        <is>
          <t>Shimadzu TOC-L</t>
        </is>
      </c>
      <c r="Q590" s="20" t="inlineStr">
        <is>
          <t>None</t>
        </is>
      </c>
      <c r="R590" s="17" t="n"/>
      <c r="S590" s="16" t="n"/>
      <c r="T590" s="20" t="inlineStr">
        <is>
          <t>Shimadzu TOC-L</t>
        </is>
      </c>
      <c r="U590" s="20" t="inlineStr">
        <is>
          <t>None</t>
        </is>
      </c>
      <c r="V590" s="17" t="n"/>
      <c r="W590" s="16" t="n"/>
      <c r="X590" s="20" t="n"/>
      <c r="Y590" s="20" t="inlineStr">
        <is>
          <t>None</t>
        </is>
      </c>
      <c r="Z590" s="17" t="n"/>
      <c r="AA590" s="16" t="n"/>
      <c r="AB590" s="20" t="n"/>
      <c r="AC590" s="20" t="inlineStr">
        <is>
          <t>None</t>
        </is>
      </c>
      <c r="AD590" s="17" t="n"/>
      <c r="AE590" s="16" t="n"/>
      <c r="AF590" s="20" t="inlineStr">
        <is>
          <t>IC Anionen</t>
        </is>
      </c>
      <c r="AG590" s="20" t="inlineStr">
        <is>
          <t>None</t>
        </is>
      </c>
      <c r="AH590" s="17" t="n"/>
      <c r="AI590" s="16" t="n"/>
      <c r="AJ590" s="20" t="n"/>
      <c r="AK590" s="20" t="inlineStr">
        <is>
          <t>None</t>
        </is>
      </c>
      <c r="AL590" s="17" t="n"/>
      <c r="AM590" s="16" t="n"/>
      <c r="AN590" s="20" t="inlineStr">
        <is>
          <t>IC Anionen</t>
        </is>
      </c>
      <c r="AO590" s="20" t="inlineStr">
        <is>
          <t>None</t>
        </is>
      </c>
      <c r="AP590" s="17" t="n"/>
      <c r="AQ590" s="16" t="n"/>
      <c r="AR590" s="20" t="n"/>
      <c r="AS590" s="20" t="inlineStr">
        <is>
          <t>None</t>
        </is>
      </c>
      <c r="AT590" s="17" t="n"/>
      <c r="AU590" s="16" t="n"/>
      <c r="AV590" s="20" t="n"/>
      <c r="AW590" s="20" t="inlineStr">
        <is>
          <t>None</t>
        </is>
      </c>
      <c r="AX590" s="17" t="n"/>
      <c r="AY590" s="16" t="n"/>
      <c r="AZ590" s="20" t="inlineStr">
        <is>
          <t>IC Anionen</t>
        </is>
      </c>
      <c r="BA590" s="20" t="inlineStr">
        <is>
          <t>None</t>
        </is>
      </c>
      <c r="BB590" s="17" t="n"/>
      <c r="BC590" s="16" t="n"/>
      <c r="BD590" s="20" t="inlineStr">
        <is>
          <t>IC Kationen</t>
        </is>
      </c>
      <c r="BE590" s="20" t="inlineStr">
        <is>
          <t>None</t>
        </is>
      </c>
      <c r="BF590" s="17" t="n"/>
      <c r="BG590" s="16" t="n"/>
      <c r="BH590" s="20" t="inlineStr">
        <is>
          <t>IC Kationen</t>
        </is>
      </c>
      <c r="BI590" s="20" t="inlineStr">
        <is>
          <t>None</t>
        </is>
      </c>
      <c r="BJ590" s="17" t="n"/>
      <c r="BK590" s="16" t="n"/>
      <c r="BL590" s="20" t="inlineStr">
        <is>
          <t>IC Kationen</t>
        </is>
      </c>
      <c r="BM590" s="20" t="inlineStr">
        <is>
          <t>None</t>
        </is>
      </c>
      <c r="BN590" s="17" t="n"/>
      <c r="BO590" s="16" t="n"/>
      <c r="BP590" s="20" t="inlineStr">
        <is>
          <t>IC Kationen</t>
        </is>
      </c>
      <c r="BQ590" s="20" t="inlineStr">
        <is>
          <t>None</t>
        </is>
      </c>
      <c r="BR590" s="17" t="n"/>
      <c r="BS590" s="16" t="n"/>
      <c r="BT590" s="20" t="inlineStr">
        <is>
          <t>IC Kationen</t>
        </is>
      </c>
      <c r="BU590" s="20" t="inlineStr">
        <is>
          <t>None</t>
        </is>
      </c>
      <c r="BV590" s="17" t="n"/>
      <c r="BW590" s="16" t="n"/>
      <c r="BX590" s="20" t="n"/>
      <c r="BY590" s="20" t="inlineStr">
        <is>
          <t>None</t>
        </is>
      </c>
      <c r="BZ590" s="17" t="n"/>
      <c r="CA590" s="16" t="n"/>
      <c r="CB590" s="20" t="n"/>
      <c r="CC590" s="20" t="inlineStr">
        <is>
          <t>None</t>
        </is>
      </c>
      <c r="CD590" s="17" t="n"/>
      <c r="CE590" s="16" t="n"/>
      <c r="CF590" s="20" t="n"/>
      <c r="CG590" s="20" t="inlineStr">
        <is>
          <t>None</t>
        </is>
      </c>
      <c r="CH590" s="17" t="n"/>
      <c r="CI590" s="16" t="n"/>
      <c r="CJ590" s="20" t="n"/>
      <c r="CK590" s="20" t="inlineStr">
        <is>
          <t>None</t>
        </is>
      </c>
      <c r="CL590" s="17" t="n"/>
      <c r="CM590" s="16" t="n"/>
      <c r="CN590" s="20" t="inlineStr">
        <is>
          <t>SOP 45-34</t>
        </is>
      </c>
      <c r="CO590" s="20" t="inlineStr">
        <is>
          <t>None</t>
        </is>
      </c>
      <c r="CP590" s="17" t="n"/>
      <c r="CQ590" s="16" t="n"/>
      <c r="CR590" s="20" t="n"/>
      <c r="CS590" s="20" t="inlineStr">
        <is>
          <t>None</t>
        </is>
      </c>
      <c r="CT590" s="17" t="n"/>
      <c r="CU590" s="16" t="n"/>
      <c r="CV590" s="20" t="n"/>
      <c r="CW590" s="20" t="inlineStr">
        <is>
          <t>None</t>
        </is>
      </c>
      <c r="CX590" s="17" t="n"/>
      <c r="CY590" s="16" t="n"/>
      <c r="CZ590" s="20" t="inlineStr">
        <is>
          <t>WTW Multimeter 3430 with FDO 925</t>
        </is>
      </c>
      <c r="DA590" s="20" t="inlineStr">
        <is>
          <t>None</t>
        </is>
      </c>
      <c r="DB590" s="17" t="n"/>
      <c r="DC590" s="16" t="n"/>
      <c r="DD590" s="20" t="n"/>
      <c r="DE590" s="20" t="inlineStr">
        <is>
          <t>None</t>
        </is>
      </c>
      <c r="DF590" s="17" t="n"/>
      <c r="DG590" s="16" t="n"/>
      <c r="DH590" s="20" t="inlineStr">
        <is>
          <t>SOP 45-09</t>
        </is>
      </c>
      <c r="DI590" s="20" t="inlineStr">
        <is>
          <t>None</t>
        </is>
      </c>
      <c r="DJ590" s="17" t="n"/>
      <c r="DK590" s="16" t="n"/>
      <c r="DL590" s="20" t="inlineStr">
        <is>
          <t>SOP 45-09 (SOP muss noch angepasst werden für VSS)</t>
        </is>
      </c>
      <c r="DM590" s="20" t="inlineStr">
        <is>
          <t>None</t>
        </is>
      </c>
      <c r="DN590" s="17" t="n"/>
      <c r="DO590" s="16" t="n"/>
      <c r="DP590" s="20" t="inlineStr">
        <is>
          <t>IC Organic Acids</t>
        </is>
      </c>
      <c r="DQ590" s="20" t="inlineStr">
        <is>
          <t>None</t>
        </is>
      </c>
      <c r="DR590" s="17" t="n"/>
      <c r="DS590" s="16" t="n"/>
      <c r="DT590" s="20" t="inlineStr">
        <is>
          <t>IC Organic Acids</t>
        </is>
      </c>
      <c r="DU590" s="20" t="inlineStr">
        <is>
          <t>None</t>
        </is>
      </c>
      <c r="DV590" s="17" t="n"/>
      <c r="DW590" s="16" t="n"/>
      <c r="DX590" s="20" t="inlineStr">
        <is>
          <t>IC Organic Acids</t>
        </is>
      </c>
      <c r="DY590" s="20" t="inlineStr">
        <is>
          <t>None</t>
        </is>
      </c>
      <c r="DZ590" s="17" t="n"/>
      <c r="EA590" s="16" t="n"/>
      <c r="EB590" s="20" t="inlineStr">
        <is>
          <t>IC Organic Acids</t>
        </is>
      </c>
      <c r="EC590" s="20" t="inlineStr">
        <is>
          <t>None</t>
        </is>
      </c>
      <c r="ED590" s="17" t="n"/>
      <c r="EE590" s="16" t="n"/>
      <c r="EF590" s="20" t="inlineStr">
        <is>
          <t>IC Organic Acids</t>
        </is>
      </c>
      <c r="EG590" s="20" t="inlineStr">
        <is>
          <t>None</t>
        </is>
      </c>
      <c r="EH590" s="17" t="n"/>
      <c r="EI590" s="16" t="n"/>
      <c r="EJ590" s="20" t="inlineStr">
        <is>
          <t>IC Organic Acids</t>
        </is>
      </c>
      <c r="EK590" s="20" t="inlineStr">
        <is>
          <t>None</t>
        </is>
      </c>
      <c r="EL590" s="17" t="n"/>
      <c r="EM590" s="16" t="n"/>
      <c r="EN590" s="20" t="inlineStr">
        <is>
          <t>IC Organic Acids</t>
        </is>
      </c>
      <c r="EO590" s="20" t="inlineStr">
        <is>
          <t>None</t>
        </is>
      </c>
      <c r="EP590" s="17" t="n"/>
      <c r="EQ590" s="16" t="n"/>
      <c r="ER590" s="20" t="inlineStr">
        <is>
          <t>IC Organic Acids</t>
        </is>
      </c>
      <c r="ES590" s="20" t="inlineStr">
        <is>
          <t>None</t>
        </is>
      </c>
      <c r="ET590" s="17" t="n"/>
      <c r="EU590" s="16" t="n"/>
      <c r="EV590" s="20" t="inlineStr">
        <is>
          <t>LC-MS</t>
        </is>
      </c>
      <c r="EW590" s="20" t="inlineStr">
        <is>
          <t>None</t>
        </is>
      </c>
      <c r="EX590" s="17" t="n"/>
      <c r="EY590" s="21" t="n"/>
      <c r="EZ590">
        <f>CONCATENATE(A590,B590)</f>
        <v/>
      </c>
      <c r="FA590">
        <f>CONCATENATE(SamplesX!A590,SamplesX!B590)</f>
        <v/>
      </c>
      <c r="FC590">
        <f>MATCH(EZ590,FA1:FA1008,0)</f>
        <v/>
      </c>
    </row>
    <row r="591">
      <c r="A591" s="16" t="n"/>
      <c r="B591" s="17" t="n"/>
      <c r="C591" s="10">
        <f>IF(ISNUMBER(FC591),INDIRECT("SamplesX!C"&amp;FC591),IF(ISNUMBER(FD591),INDIRECT("SamplesY!C"&amp;FD591),""))</f>
        <v/>
      </c>
      <c r="D591" s="12">
        <f>IF(ISNUMBER(FC591),INDIRECT("SamplesX!D"&amp;FC591),IF(ISNUMBER(FD591),INDIRECT("SamplesY!D"&amp;FD591),""))</f>
        <v/>
      </c>
      <c r="E591" s="12">
        <f>IF(ISNUMBER(FC591),INDIRECT("SamplesX!E"&amp;FC591),IF(ISNUMBER(FD591),INDIRECT("SamplesY!E"&amp;FD591),""))</f>
        <v/>
      </c>
      <c r="F591" s="11">
        <f>IF(ISNUMBER(FC591),INDIRECT("SamplesX!F"&amp;FC591),IF(ISNUMBER(FD591),INDIRECT("SamplesY!F"&amp;FD591),""))</f>
        <v/>
      </c>
      <c r="G591" s="18">
        <f>IF(ISNUMBER(FC591),INDIRECT("SamplesX!G"&amp;FC591),IF(ISNUMBER(FD591),INDIRECT("SamplesY!G"&amp;FD591),""))</f>
        <v/>
      </c>
      <c r="H591" s="19">
        <f>IF(ISNUMBER(FC591),INDIRECT("SamplesX!H"&amp;FC591),IF(ISNUMBER(FD591),INDIRECT("SamplesY!H"&amp;FD591),""))</f>
        <v/>
      </c>
      <c r="I591" s="16" t="n"/>
      <c r="J591" s="16" t="n"/>
      <c r="K591" s="16" t="n"/>
      <c r="L591" s="20" t="n"/>
      <c r="M591" s="20" t="inlineStr">
        <is>
          <t>None</t>
        </is>
      </c>
      <c r="N591" s="17" t="n"/>
      <c r="O591" s="16" t="n"/>
      <c r="P591" s="20" t="inlineStr">
        <is>
          <t>Shimadzu TOC-L</t>
        </is>
      </c>
      <c r="Q591" s="20" t="inlineStr">
        <is>
          <t>None</t>
        </is>
      </c>
      <c r="R591" s="17" t="n"/>
      <c r="S591" s="16" t="n"/>
      <c r="T591" s="20" t="inlineStr">
        <is>
          <t>Shimadzu TOC-L</t>
        </is>
      </c>
      <c r="U591" s="20" t="inlineStr">
        <is>
          <t>None</t>
        </is>
      </c>
      <c r="V591" s="17" t="n"/>
      <c r="W591" s="16" t="n"/>
      <c r="X591" s="20" t="n"/>
      <c r="Y591" s="20" t="inlineStr">
        <is>
          <t>None</t>
        </is>
      </c>
      <c r="Z591" s="17" t="n"/>
      <c r="AA591" s="16" t="n"/>
      <c r="AB591" s="20" t="n"/>
      <c r="AC591" s="20" t="inlineStr">
        <is>
          <t>None</t>
        </is>
      </c>
      <c r="AD591" s="17" t="n"/>
      <c r="AE591" s="16" t="n"/>
      <c r="AF591" s="20" t="inlineStr">
        <is>
          <t>IC Anionen</t>
        </is>
      </c>
      <c r="AG591" s="20" t="inlineStr">
        <is>
          <t>None</t>
        </is>
      </c>
      <c r="AH591" s="17" t="n"/>
      <c r="AI591" s="16" t="n"/>
      <c r="AJ591" s="20" t="n"/>
      <c r="AK591" s="20" t="inlineStr">
        <is>
          <t>None</t>
        </is>
      </c>
      <c r="AL591" s="17" t="n"/>
      <c r="AM591" s="16" t="n"/>
      <c r="AN591" s="20" t="inlineStr">
        <is>
          <t>IC Anionen</t>
        </is>
      </c>
      <c r="AO591" s="20" t="inlineStr">
        <is>
          <t>None</t>
        </is>
      </c>
      <c r="AP591" s="17" t="n"/>
      <c r="AQ591" s="16" t="n"/>
      <c r="AR591" s="20" t="n"/>
      <c r="AS591" s="20" t="inlineStr">
        <is>
          <t>None</t>
        </is>
      </c>
      <c r="AT591" s="17" t="n"/>
      <c r="AU591" s="16" t="n"/>
      <c r="AV591" s="20" t="n"/>
      <c r="AW591" s="20" t="inlineStr">
        <is>
          <t>None</t>
        </is>
      </c>
      <c r="AX591" s="17" t="n"/>
      <c r="AY591" s="16" t="n"/>
      <c r="AZ591" s="20" t="inlineStr">
        <is>
          <t>IC Anionen</t>
        </is>
      </c>
      <c r="BA591" s="20" t="inlineStr">
        <is>
          <t>None</t>
        </is>
      </c>
      <c r="BB591" s="17" t="n"/>
      <c r="BC591" s="16" t="n"/>
      <c r="BD591" s="20" t="inlineStr">
        <is>
          <t>IC Kationen</t>
        </is>
      </c>
      <c r="BE591" s="20" t="inlineStr">
        <is>
          <t>None</t>
        </is>
      </c>
      <c r="BF591" s="17" t="n"/>
      <c r="BG591" s="16" t="n"/>
      <c r="BH591" s="20" t="inlineStr">
        <is>
          <t>IC Kationen</t>
        </is>
      </c>
      <c r="BI591" s="20" t="inlineStr">
        <is>
          <t>None</t>
        </is>
      </c>
      <c r="BJ591" s="17" t="n"/>
      <c r="BK591" s="16" t="n"/>
      <c r="BL591" s="20" t="inlineStr">
        <is>
          <t>IC Kationen</t>
        </is>
      </c>
      <c r="BM591" s="20" t="inlineStr">
        <is>
          <t>None</t>
        </is>
      </c>
      <c r="BN591" s="17" t="n"/>
      <c r="BO591" s="16" t="n"/>
      <c r="BP591" s="20" t="inlineStr">
        <is>
          <t>IC Kationen</t>
        </is>
      </c>
      <c r="BQ591" s="20" t="inlineStr">
        <is>
          <t>None</t>
        </is>
      </c>
      <c r="BR591" s="17" t="n"/>
      <c r="BS591" s="16" t="n"/>
      <c r="BT591" s="20" t="inlineStr">
        <is>
          <t>IC Kationen</t>
        </is>
      </c>
      <c r="BU591" s="20" t="inlineStr">
        <is>
          <t>None</t>
        </is>
      </c>
      <c r="BV591" s="17" t="n"/>
      <c r="BW591" s="16" t="n"/>
      <c r="BX591" s="20" t="n"/>
      <c r="BY591" s="20" t="inlineStr">
        <is>
          <t>None</t>
        </is>
      </c>
      <c r="BZ591" s="17" t="n"/>
      <c r="CA591" s="16" t="n"/>
      <c r="CB591" s="20" t="n"/>
      <c r="CC591" s="20" t="inlineStr">
        <is>
          <t>None</t>
        </is>
      </c>
      <c r="CD591" s="17" t="n"/>
      <c r="CE591" s="16" t="n"/>
      <c r="CF591" s="20" t="n"/>
      <c r="CG591" s="20" t="inlineStr">
        <is>
          <t>None</t>
        </is>
      </c>
      <c r="CH591" s="17" t="n"/>
      <c r="CI591" s="16" t="n"/>
      <c r="CJ591" s="20" t="n"/>
      <c r="CK591" s="20" t="inlineStr">
        <is>
          <t>None</t>
        </is>
      </c>
      <c r="CL591" s="17" t="n"/>
      <c r="CM591" s="16" t="n"/>
      <c r="CN591" s="20" t="inlineStr">
        <is>
          <t>SOP 45-34</t>
        </is>
      </c>
      <c r="CO591" s="20" t="inlineStr">
        <is>
          <t>None</t>
        </is>
      </c>
      <c r="CP591" s="17" t="n"/>
      <c r="CQ591" s="16" t="n"/>
      <c r="CR591" s="20" t="n"/>
      <c r="CS591" s="20" t="inlineStr">
        <is>
          <t>None</t>
        </is>
      </c>
      <c r="CT591" s="17" t="n"/>
      <c r="CU591" s="16" t="n"/>
      <c r="CV591" s="20" t="n"/>
      <c r="CW591" s="20" t="inlineStr">
        <is>
          <t>None</t>
        </is>
      </c>
      <c r="CX591" s="17" t="n"/>
      <c r="CY591" s="16" t="n"/>
      <c r="CZ591" s="20" t="inlineStr">
        <is>
          <t>WTW Multimeter 3430 with FDO 925</t>
        </is>
      </c>
      <c r="DA591" s="20" t="inlineStr">
        <is>
          <t>None</t>
        </is>
      </c>
      <c r="DB591" s="17" t="n"/>
      <c r="DC591" s="16" t="n"/>
      <c r="DD591" s="20" t="n"/>
      <c r="DE591" s="20" t="inlineStr">
        <is>
          <t>None</t>
        </is>
      </c>
      <c r="DF591" s="17" t="n"/>
      <c r="DG591" s="16" t="n"/>
      <c r="DH591" s="20" t="inlineStr">
        <is>
          <t>SOP 45-09</t>
        </is>
      </c>
      <c r="DI591" s="20" t="inlineStr">
        <is>
          <t>None</t>
        </is>
      </c>
      <c r="DJ591" s="17" t="n"/>
      <c r="DK591" s="16" t="n"/>
      <c r="DL591" s="20" t="inlineStr">
        <is>
          <t>SOP 45-09 (SOP muss noch angepasst werden für VSS)</t>
        </is>
      </c>
      <c r="DM591" s="20" t="inlineStr">
        <is>
          <t>None</t>
        </is>
      </c>
      <c r="DN591" s="17" t="n"/>
      <c r="DO591" s="16" t="n"/>
      <c r="DP591" s="20" t="inlineStr">
        <is>
          <t>IC Organic Acids</t>
        </is>
      </c>
      <c r="DQ591" s="20" t="inlineStr">
        <is>
          <t>None</t>
        </is>
      </c>
      <c r="DR591" s="17" t="n"/>
      <c r="DS591" s="16" t="n"/>
      <c r="DT591" s="20" t="inlineStr">
        <is>
          <t>IC Organic Acids</t>
        </is>
      </c>
      <c r="DU591" s="20" t="inlineStr">
        <is>
          <t>None</t>
        </is>
      </c>
      <c r="DV591" s="17" t="n"/>
      <c r="DW591" s="16" t="n"/>
      <c r="DX591" s="20" t="inlineStr">
        <is>
          <t>IC Organic Acids</t>
        </is>
      </c>
      <c r="DY591" s="20" t="inlineStr">
        <is>
          <t>None</t>
        </is>
      </c>
      <c r="DZ591" s="17" t="n"/>
      <c r="EA591" s="16" t="n"/>
      <c r="EB591" s="20" t="inlineStr">
        <is>
          <t>IC Organic Acids</t>
        </is>
      </c>
      <c r="EC591" s="20" t="inlineStr">
        <is>
          <t>None</t>
        </is>
      </c>
      <c r="ED591" s="17" t="n"/>
      <c r="EE591" s="16" t="n"/>
      <c r="EF591" s="20" t="inlineStr">
        <is>
          <t>IC Organic Acids</t>
        </is>
      </c>
      <c r="EG591" s="20" t="inlineStr">
        <is>
          <t>None</t>
        </is>
      </c>
      <c r="EH591" s="17" t="n"/>
      <c r="EI591" s="16" t="n"/>
      <c r="EJ591" s="20" t="inlineStr">
        <is>
          <t>IC Organic Acids</t>
        </is>
      </c>
      <c r="EK591" s="20" t="inlineStr">
        <is>
          <t>None</t>
        </is>
      </c>
      <c r="EL591" s="17" t="n"/>
      <c r="EM591" s="16" t="n"/>
      <c r="EN591" s="20" t="inlineStr">
        <is>
          <t>IC Organic Acids</t>
        </is>
      </c>
      <c r="EO591" s="20" t="inlineStr">
        <is>
          <t>None</t>
        </is>
      </c>
      <c r="EP591" s="17" t="n"/>
      <c r="EQ591" s="16" t="n"/>
      <c r="ER591" s="20" t="inlineStr">
        <is>
          <t>IC Organic Acids</t>
        </is>
      </c>
      <c r="ES591" s="20" t="inlineStr">
        <is>
          <t>None</t>
        </is>
      </c>
      <c r="ET591" s="17" t="n"/>
      <c r="EU591" s="16" t="n"/>
      <c r="EV591" s="20" t="inlineStr">
        <is>
          <t>LC-MS</t>
        </is>
      </c>
      <c r="EW591" s="20" t="inlineStr">
        <is>
          <t>None</t>
        </is>
      </c>
      <c r="EX591" s="17" t="n"/>
      <c r="EY591" s="21" t="n"/>
      <c r="EZ591">
        <f>CONCATENATE(A591,B591)</f>
        <v/>
      </c>
      <c r="FA591">
        <f>CONCATENATE(SamplesX!A591,SamplesX!B591)</f>
        <v/>
      </c>
      <c r="FC591">
        <f>MATCH(EZ591,FA1:FA1008,0)</f>
        <v/>
      </c>
    </row>
    <row r="592">
      <c r="A592" s="16" t="n"/>
      <c r="B592" s="17" t="n"/>
      <c r="C592" s="10">
        <f>IF(ISNUMBER(FC592),INDIRECT("SamplesX!C"&amp;FC592),IF(ISNUMBER(FD592),INDIRECT("SamplesY!C"&amp;FD592),""))</f>
        <v/>
      </c>
      <c r="D592" s="12">
        <f>IF(ISNUMBER(FC592),INDIRECT("SamplesX!D"&amp;FC592),IF(ISNUMBER(FD592),INDIRECT("SamplesY!D"&amp;FD592),""))</f>
        <v/>
      </c>
      <c r="E592" s="12">
        <f>IF(ISNUMBER(FC592),INDIRECT("SamplesX!E"&amp;FC592),IF(ISNUMBER(FD592),INDIRECT("SamplesY!E"&amp;FD592),""))</f>
        <v/>
      </c>
      <c r="F592" s="11">
        <f>IF(ISNUMBER(FC592),INDIRECT("SamplesX!F"&amp;FC592),IF(ISNUMBER(FD592),INDIRECT("SamplesY!F"&amp;FD592),""))</f>
        <v/>
      </c>
      <c r="G592" s="18">
        <f>IF(ISNUMBER(FC592),INDIRECT("SamplesX!G"&amp;FC592),IF(ISNUMBER(FD592),INDIRECT("SamplesY!G"&amp;FD592),""))</f>
        <v/>
      </c>
      <c r="H592" s="19">
        <f>IF(ISNUMBER(FC592),INDIRECT("SamplesX!H"&amp;FC592),IF(ISNUMBER(FD592),INDIRECT("SamplesY!H"&amp;FD592),""))</f>
        <v/>
      </c>
      <c r="I592" s="16" t="n"/>
      <c r="J592" s="16" t="n"/>
      <c r="K592" s="16" t="n"/>
      <c r="L592" s="20" t="n"/>
      <c r="M592" s="20" t="inlineStr">
        <is>
          <t>None</t>
        </is>
      </c>
      <c r="N592" s="17" t="n"/>
      <c r="O592" s="16" t="n"/>
      <c r="P592" s="20" t="inlineStr">
        <is>
          <t>Shimadzu TOC-L</t>
        </is>
      </c>
      <c r="Q592" s="20" t="inlineStr">
        <is>
          <t>None</t>
        </is>
      </c>
      <c r="R592" s="17" t="n"/>
      <c r="S592" s="16" t="n"/>
      <c r="T592" s="20" t="inlineStr">
        <is>
          <t>Shimadzu TOC-L</t>
        </is>
      </c>
      <c r="U592" s="20" t="inlineStr">
        <is>
          <t>None</t>
        </is>
      </c>
      <c r="V592" s="17" t="n"/>
      <c r="W592" s="16" t="n"/>
      <c r="X592" s="20" t="n"/>
      <c r="Y592" s="20" t="inlineStr">
        <is>
          <t>None</t>
        </is>
      </c>
      <c r="Z592" s="17" t="n"/>
      <c r="AA592" s="16" t="n"/>
      <c r="AB592" s="20" t="n"/>
      <c r="AC592" s="20" t="inlineStr">
        <is>
          <t>None</t>
        </is>
      </c>
      <c r="AD592" s="17" t="n"/>
      <c r="AE592" s="16" t="n"/>
      <c r="AF592" s="20" t="inlineStr">
        <is>
          <t>IC Anionen</t>
        </is>
      </c>
      <c r="AG592" s="20" t="inlineStr">
        <is>
          <t>None</t>
        </is>
      </c>
      <c r="AH592" s="17" t="n"/>
      <c r="AI592" s="16" t="n"/>
      <c r="AJ592" s="20" t="n"/>
      <c r="AK592" s="20" t="inlineStr">
        <is>
          <t>None</t>
        </is>
      </c>
      <c r="AL592" s="17" t="n"/>
      <c r="AM592" s="16" t="n"/>
      <c r="AN592" s="20" t="inlineStr">
        <is>
          <t>IC Anionen</t>
        </is>
      </c>
      <c r="AO592" s="20" t="inlineStr">
        <is>
          <t>None</t>
        </is>
      </c>
      <c r="AP592" s="17" t="n"/>
      <c r="AQ592" s="16" t="n"/>
      <c r="AR592" s="20" t="n"/>
      <c r="AS592" s="20" t="inlineStr">
        <is>
          <t>None</t>
        </is>
      </c>
      <c r="AT592" s="17" t="n"/>
      <c r="AU592" s="16" t="n"/>
      <c r="AV592" s="20" t="n"/>
      <c r="AW592" s="20" t="inlineStr">
        <is>
          <t>None</t>
        </is>
      </c>
      <c r="AX592" s="17" t="n"/>
      <c r="AY592" s="16" t="n"/>
      <c r="AZ592" s="20" t="inlineStr">
        <is>
          <t>IC Anionen</t>
        </is>
      </c>
      <c r="BA592" s="20" t="inlineStr">
        <is>
          <t>None</t>
        </is>
      </c>
      <c r="BB592" s="17" t="n"/>
      <c r="BC592" s="16" t="n"/>
      <c r="BD592" s="20" t="inlineStr">
        <is>
          <t>IC Kationen</t>
        </is>
      </c>
      <c r="BE592" s="20" t="inlineStr">
        <is>
          <t>None</t>
        </is>
      </c>
      <c r="BF592" s="17" t="n"/>
      <c r="BG592" s="16" t="n"/>
      <c r="BH592" s="20" t="inlineStr">
        <is>
          <t>IC Kationen</t>
        </is>
      </c>
      <c r="BI592" s="20" t="inlineStr">
        <is>
          <t>None</t>
        </is>
      </c>
      <c r="BJ592" s="17" t="n"/>
      <c r="BK592" s="16" t="n"/>
      <c r="BL592" s="20" t="inlineStr">
        <is>
          <t>IC Kationen</t>
        </is>
      </c>
      <c r="BM592" s="20" t="inlineStr">
        <is>
          <t>None</t>
        </is>
      </c>
      <c r="BN592" s="17" t="n"/>
      <c r="BO592" s="16" t="n"/>
      <c r="BP592" s="20" t="inlineStr">
        <is>
          <t>IC Kationen</t>
        </is>
      </c>
      <c r="BQ592" s="20" t="inlineStr">
        <is>
          <t>None</t>
        </is>
      </c>
      <c r="BR592" s="17" t="n"/>
      <c r="BS592" s="16" t="n"/>
      <c r="BT592" s="20" t="inlineStr">
        <is>
          <t>IC Kationen</t>
        </is>
      </c>
      <c r="BU592" s="20" t="inlineStr">
        <is>
          <t>None</t>
        </is>
      </c>
      <c r="BV592" s="17" t="n"/>
      <c r="BW592" s="16" t="n"/>
      <c r="BX592" s="20" t="n"/>
      <c r="BY592" s="20" t="inlineStr">
        <is>
          <t>None</t>
        </is>
      </c>
      <c r="BZ592" s="17" t="n"/>
      <c r="CA592" s="16" t="n"/>
      <c r="CB592" s="20" t="n"/>
      <c r="CC592" s="20" t="inlineStr">
        <is>
          <t>None</t>
        </is>
      </c>
      <c r="CD592" s="17" t="n"/>
      <c r="CE592" s="16" t="n"/>
      <c r="CF592" s="20" t="n"/>
      <c r="CG592" s="20" t="inlineStr">
        <is>
          <t>None</t>
        </is>
      </c>
      <c r="CH592" s="17" t="n"/>
      <c r="CI592" s="16" t="n"/>
      <c r="CJ592" s="20" t="n"/>
      <c r="CK592" s="20" t="inlineStr">
        <is>
          <t>None</t>
        </is>
      </c>
      <c r="CL592" s="17" t="n"/>
      <c r="CM592" s="16" t="n"/>
      <c r="CN592" s="20" t="inlineStr">
        <is>
          <t>SOP 45-34</t>
        </is>
      </c>
      <c r="CO592" s="20" t="inlineStr">
        <is>
          <t>None</t>
        </is>
      </c>
      <c r="CP592" s="17" t="n"/>
      <c r="CQ592" s="16" t="n"/>
      <c r="CR592" s="20" t="n"/>
      <c r="CS592" s="20" t="inlineStr">
        <is>
          <t>None</t>
        </is>
      </c>
      <c r="CT592" s="17" t="n"/>
      <c r="CU592" s="16" t="n"/>
      <c r="CV592" s="20" t="n"/>
      <c r="CW592" s="20" t="inlineStr">
        <is>
          <t>None</t>
        </is>
      </c>
      <c r="CX592" s="17" t="n"/>
      <c r="CY592" s="16" t="n"/>
      <c r="CZ592" s="20" t="inlineStr">
        <is>
          <t>WTW Multimeter 3430 with FDO 925</t>
        </is>
      </c>
      <c r="DA592" s="20" t="inlineStr">
        <is>
          <t>None</t>
        </is>
      </c>
      <c r="DB592" s="17" t="n"/>
      <c r="DC592" s="16" t="n"/>
      <c r="DD592" s="20" t="n"/>
      <c r="DE592" s="20" t="inlineStr">
        <is>
          <t>None</t>
        </is>
      </c>
      <c r="DF592" s="17" t="n"/>
      <c r="DG592" s="16" t="n"/>
      <c r="DH592" s="20" t="inlineStr">
        <is>
          <t>SOP 45-09</t>
        </is>
      </c>
      <c r="DI592" s="20" t="inlineStr">
        <is>
          <t>None</t>
        </is>
      </c>
      <c r="DJ592" s="17" t="n"/>
      <c r="DK592" s="16" t="n"/>
      <c r="DL592" s="20" t="inlineStr">
        <is>
          <t>SOP 45-09 (SOP muss noch angepasst werden für VSS)</t>
        </is>
      </c>
      <c r="DM592" s="20" t="inlineStr">
        <is>
          <t>None</t>
        </is>
      </c>
      <c r="DN592" s="17" t="n"/>
      <c r="DO592" s="16" t="n"/>
      <c r="DP592" s="20" t="inlineStr">
        <is>
          <t>IC Organic Acids</t>
        </is>
      </c>
      <c r="DQ592" s="20" t="inlineStr">
        <is>
          <t>None</t>
        </is>
      </c>
      <c r="DR592" s="17" t="n"/>
      <c r="DS592" s="16" t="n"/>
      <c r="DT592" s="20" t="inlineStr">
        <is>
          <t>IC Organic Acids</t>
        </is>
      </c>
      <c r="DU592" s="20" t="inlineStr">
        <is>
          <t>None</t>
        </is>
      </c>
      <c r="DV592" s="17" t="n"/>
      <c r="DW592" s="16" t="n"/>
      <c r="DX592" s="20" t="inlineStr">
        <is>
          <t>IC Organic Acids</t>
        </is>
      </c>
      <c r="DY592" s="20" t="inlineStr">
        <is>
          <t>None</t>
        </is>
      </c>
      <c r="DZ592" s="17" t="n"/>
      <c r="EA592" s="16" t="n"/>
      <c r="EB592" s="20" t="inlineStr">
        <is>
          <t>IC Organic Acids</t>
        </is>
      </c>
      <c r="EC592" s="20" t="inlineStr">
        <is>
          <t>None</t>
        </is>
      </c>
      <c r="ED592" s="17" t="n"/>
      <c r="EE592" s="16" t="n"/>
      <c r="EF592" s="20" t="inlineStr">
        <is>
          <t>IC Organic Acids</t>
        </is>
      </c>
      <c r="EG592" s="20" t="inlineStr">
        <is>
          <t>None</t>
        </is>
      </c>
      <c r="EH592" s="17" t="n"/>
      <c r="EI592" s="16" t="n"/>
      <c r="EJ592" s="20" t="inlineStr">
        <is>
          <t>IC Organic Acids</t>
        </is>
      </c>
      <c r="EK592" s="20" t="inlineStr">
        <is>
          <t>None</t>
        </is>
      </c>
      <c r="EL592" s="17" t="n"/>
      <c r="EM592" s="16" t="n"/>
      <c r="EN592" s="20" t="inlineStr">
        <is>
          <t>IC Organic Acids</t>
        </is>
      </c>
      <c r="EO592" s="20" t="inlineStr">
        <is>
          <t>None</t>
        </is>
      </c>
      <c r="EP592" s="17" t="n"/>
      <c r="EQ592" s="16" t="n"/>
      <c r="ER592" s="20" t="inlineStr">
        <is>
          <t>IC Organic Acids</t>
        </is>
      </c>
      <c r="ES592" s="20" t="inlineStr">
        <is>
          <t>None</t>
        </is>
      </c>
      <c r="ET592" s="17" t="n"/>
      <c r="EU592" s="16" t="n"/>
      <c r="EV592" s="20" t="inlineStr">
        <is>
          <t>LC-MS</t>
        </is>
      </c>
      <c r="EW592" s="20" t="inlineStr">
        <is>
          <t>None</t>
        </is>
      </c>
      <c r="EX592" s="17" t="n"/>
      <c r="EY592" s="21" t="n"/>
      <c r="EZ592">
        <f>CONCATENATE(A592,B592)</f>
        <v/>
      </c>
      <c r="FA592">
        <f>CONCATENATE(SamplesX!A592,SamplesX!B592)</f>
        <v/>
      </c>
      <c r="FC592">
        <f>MATCH(EZ592,FA1:FA1008,0)</f>
        <v/>
      </c>
    </row>
    <row r="593">
      <c r="A593" s="16" t="n"/>
      <c r="B593" s="17" t="n"/>
      <c r="C593" s="10">
        <f>IF(ISNUMBER(FC593),INDIRECT("SamplesX!C"&amp;FC593),IF(ISNUMBER(FD593),INDIRECT("SamplesY!C"&amp;FD593),""))</f>
        <v/>
      </c>
      <c r="D593" s="12">
        <f>IF(ISNUMBER(FC593),INDIRECT("SamplesX!D"&amp;FC593),IF(ISNUMBER(FD593),INDIRECT("SamplesY!D"&amp;FD593),""))</f>
        <v/>
      </c>
      <c r="E593" s="12">
        <f>IF(ISNUMBER(FC593),INDIRECT("SamplesX!E"&amp;FC593),IF(ISNUMBER(FD593),INDIRECT("SamplesY!E"&amp;FD593),""))</f>
        <v/>
      </c>
      <c r="F593" s="11">
        <f>IF(ISNUMBER(FC593),INDIRECT("SamplesX!F"&amp;FC593),IF(ISNUMBER(FD593),INDIRECT("SamplesY!F"&amp;FD593),""))</f>
        <v/>
      </c>
      <c r="G593" s="18">
        <f>IF(ISNUMBER(FC593),INDIRECT("SamplesX!G"&amp;FC593),IF(ISNUMBER(FD593),INDIRECT("SamplesY!G"&amp;FD593),""))</f>
        <v/>
      </c>
      <c r="H593" s="19">
        <f>IF(ISNUMBER(FC593),INDIRECT("SamplesX!H"&amp;FC593),IF(ISNUMBER(FD593),INDIRECT("SamplesY!H"&amp;FD593),""))</f>
        <v/>
      </c>
      <c r="I593" s="16" t="n"/>
      <c r="J593" s="16" t="n"/>
      <c r="K593" s="16" t="n"/>
      <c r="L593" s="20" t="n"/>
      <c r="M593" s="20" t="inlineStr">
        <is>
          <t>None</t>
        </is>
      </c>
      <c r="N593" s="17" t="n"/>
      <c r="O593" s="16" t="n"/>
      <c r="P593" s="20" t="inlineStr">
        <is>
          <t>Shimadzu TOC-L</t>
        </is>
      </c>
      <c r="Q593" s="20" t="inlineStr">
        <is>
          <t>None</t>
        </is>
      </c>
      <c r="R593" s="17" t="n"/>
      <c r="S593" s="16" t="n"/>
      <c r="T593" s="20" t="inlineStr">
        <is>
          <t>Shimadzu TOC-L</t>
        </is>
      </c>
      <c r="U593" s="20" t="inlineStr">
        <is>
          <t>None</t>
        </is>
      </c>
      <c r="V593" s="17" t="n"/>
      <c r="W593" s="16" t="n"/>
      <c r="X593" s="20" t="n"/>
      <c r="Y593" s="20" t="inlineStr">
        <is>
          <t>None</t>
        </is>
      </c>
      <c r="Z593" s="17" t="n"/>
      <c r="AA593" s="16" t="n"/>
      <c r="AB593" s="20" t="n"/>
      <c r="AC593" s="20" t="inlineStr">
        <is>
          <t>None</t>
        </is>
      </c>
      <c r="AD593" s="17" t="n"/>
      <c r="AE593" s="16" t="n"/>
      <c r="AF593" s="20" t="inlineStr">
        <is>
          <t>IC Anionen</t>
        </is>
      </c>
      <c r="AG593" s="20" t="inlineStr">
        <is>
          <t>None</t>
        </is>
      </c>
      <c r="AH593" s="17" t="n"/>
      <c r="AI593" s="16" t="n"/>
      <c r="AJ593" s="20" t="n"/>
      <c r="AK593" s="20" t="inlineStr">
        <is>
          <t>None</t>
        </is>
      </c>
      <c r="AL593" s="17" t="n"/>
      <c r="AM593" s="16" t="n"/>
      <c r="AN593" s="20" t="inlineStr">
        <is>
          <t>IC Anionen</t>
        </is>
      </c>
      <c r="AO593" s="20" t="inlineStr">
        <is>
          <t>None</t>
        </is>
      </c>
      <c r="AP593" s="17" t="n"/>
      <c r="AQ593" s="16" t="n"/>
      <c r="AR593" s="20" t="n"/>
      <c r="AS593" s="20" t="inlineStr">
        <is>
          <t>None</t>
        </is>
      </c>
      <c r="AT593" s="17" t="n"/>
      <c r="AU593" s="16" t="n"/>
      <c r="AV593" s="20" t="n"/>
      <c r="AW593" s="20" t="inlineStr">
        <is>
          <t>None</t>
        </is>
      </c>
      <c r="AX593" s="17" t="n"/>
      <c r="AY593" s="16" t="n"/>
      <c r="AZ593" s="20" t="inlineStr">
        <is>
          <t>IC Anionen</t>
        </is>
      </c>
      <c r="BA593" s="20" t="inlineStr">
        <is>
          <t>None</t>
        </is>
      </c>
      <c r="BB593" s="17" t="n"/>
      <c r="BC593" s="16" t="n"/>
      <c r="BD593" s="20" t="inlineStr">
        <is>
          <t>IC Kationen</t>
        </is>
      </c>
      <c r="BE593" s="20" t="inlineStr">
        <is>
          <t>None</t>
        </is>
      </c>
      <c r="BF593" s="17" t="n"/>
      <c r="BG593" s="16" t="n"/>
      <c r="BH593" s="20" t="inlineStr">
        <is>
          <t>IC Kationen</t>
        </is>
      </c>
      <c r="BI593" s="20" t="inlineStr">
        <is>
          <t>None</t>
        </is>
      </c>
      <c r="BJ593" s="17" t="n"/>
      <c r="BK593" s="16" t="n"/>
      <c r="BL593" s="20" t="inlineStr">
        <is>
          <t>IC Kationen</t>
        </is>
      </c>
      <c r="BM593" s="20" t="inlineStr">
        <is>
          <t>None</t>
        </is>
      </c>
      <c r="BN593" s="17" t="n"/>
      <c r="BO593" s="16" t="n"/>
      <c r="BP593" s="20" t="inlineStr">
        <is>
          <t>IC Kationen</t>
        </is>
      </c>
      <c r="BQ593" s="20" t="inlineStr">
        <is>
          <t>None</t>
        </is>
      </c>
      <c r="BR593" s="17" t="n"/>
      <c r="BS593" s="16" t="n"/>
      <c r="BT593" s="20" t="inlineStr">
        <is>
          <t>IC Kationen</t>
        </is>
      </c>
      <c r="BU593" s="20" t="inlineStr">
        <is>
          <t>None</t>
        </is>
      </c>
      <c r="BV593" s="17" t="n"/>
      <c r="BW593" s="16" t="n"/>
      <c r="BX593" s="20" t="n"/>
      <c r="BY593" s="20" t="inlineStr">
        <is>
          <t>None</t>
        </is>
      </c>
      <c r="BZ593" s="17" t="n"/>
      <c r="CA593" s="16" t="n"/>
      <c r="CB593" s="20" t="n"/>
      <c r="CC593" s="20" t="inlineStr">
        <is>
          <t>None</t>
        </is>
      </c>
      <c r="CD593" s="17" t="n"/>
      <c r="CE593" s="16" t="n"/>
      <c r="CF593" s="20" t="n"/>
      <c r="CG593" s="20" t="inlineStr">
        <is>
          <t>None</t>
        </is>
      </c>
      <c r="CH593" s="17" t="n"/>
      <c r="CI593" s="16" t="n"/>
      <c r="CJ593" s="20" t="n"/>
      <c r="CK593" s="20" t="inlineStr">
        <is>
          <t>None</t>
        </is>
      </c>
      <c r="CL593" s="17" t="n"/>
      <c r="CM593" s="16" t="n"/>
      <c r="CN593" s="20" t="inlineStr">
        <is>
          <t>SOP 45-34</t>
        </is>
      </c>
      <c r="CO593" s="20" t="inlineStr">
        <is>
          <t>None</t>
        </is>
      </c>
      <c r="CP593" s="17" t="n"/>
      <c r="CQ593" s="16" t="n"/>
      <c r="CR593" s="20" t="n"/>
      <c r="CS593" s="20" t="inlineStr">
        <is>
          <t>None</t>
        </is>
      </c>
      <c r="CT593" s="17" t="n"/>
      <c r="CU593" s="16" t="n"/>
      <c r="CV593" s="20" t="n"/>
      <c r="CW593" s="20" t="inlineStr">
        <is>
          <t>None</t>
        </is>
      </c>
      <c r="CX593" s="17" t="n"/>
      <c r="CY593" s="16" t="n"/>
      <c r="CZ593" s="20" t="inlineStr">
        <is>
          <t>WTW Multimeter 3430 with FDO 925</t>
        </is>
      </c>
      <c r="DA593" s="20" t="inlineStr">
        <is>
          <t>None</t>
        </is>
      </c>
      <c r="DB593" s="17" t="n"/>
      <c r="DC593" s="16" t="n"/>
      <c r="DD593" s="20" t="n"/>
      <c r="DE593" s="20" t="inlineStr">
        <is>
          <t>None</t>
        </is>
      </c>
      <c r="DF593" s="17" t="n"/>
      <c r="DG593" s="16" t="n"/>
      <c r="DH593" s="20" t="inlineStr">
        <is>
          <t>SOP 45-09</t>
        </is>
      </c>
      <c r="DI593" s="20" t="inlineStr">
        <is>
          <t>None</t>
        </is>
      </c>
      <c r="DJ593" s="17" t="n"/>
      <c r="DK593" s="16" t="n"/>
      <c r="DL593" s="20" t="inlineStr">
        <is>
          <t>SOP 45-09 (SOP muss noch angepasst werden für VSS)</t>
        </is>
      </c>
      <c r="DM593" s="20" t="inlineStr">
        <is>
          <t>None</t>
        </is>
      </c>
      <c r="DN593" s="17" t="n"/>
      <c r="DO593" s="16" t="n"/>
      <c r="DP593" s="20" t="inlineStr">
        <is>
          <t>IC Organic Acids</t>
        </is>
      </c>
      <c r="DQ593" s="20" t="inlineStr">
        <is>
          <t>None</t>
        </is>
      </c>
      <c r="DR593" s="17" t="n"/>
      <c r="DS593" s="16" t="n"/>
      <c r="DT593" s="20" t="inlineStr">
        <is>
          <t>IC Organic Acids</t>
        </is>
      </c>
      <c r="DU593" s="20" t="inlineStr">
        <is>
          <t>None</t>
        </is>
      </c>
      <c r="DV593" s="17" t="n"/>
      <c r="DW593" s="16" t="n"/>
      <c r="DX593" s="20" t="inlineStr">
        <is>
          <t>IC Organic Acids</t>
        </is>
      </c>
      <c r="DY593" s="20" t="inlineStr">
        <is>
          <t>None</t>
        </is>
      </c>
      <c r="DZ593" s="17" t="n"/>
      <c r="EA593" s="16" t="n"/>
      <c r="EB593" s="20" t="inlineStr">
        <is>
          <t>IC Organic Acids</t>
        </is>
      </c>
      <c r="EC593" s="20" t="inlineStr">
        <is>
          <t>None</t>
        </is>
      </c>
      <c r="ED593" s="17" t="n"/>
      <c r="EE593" s="16" t="n"/>
      <c r="EF593" s="20" t="inlineStr">
        <is>
          <t>IC Organic Acids</t>
        </is>
      </c>
      <c r="EG593" s="20" t="inlineStr">
        <is>
          <t>None</t>
        </is>
      </c>
      <c r="EH593" s="17" t="n"/>
      <c r="EI593" s="16" t="n"/>
      <c r="EJ593" s="20" t="inlineStr">
        <is>
          <t>IC Organic Acids</t>
        </is>
      </c>
      <c r="EK593" s="20" t="inlineStr">
        <is>
          <t>None</t>
        </is>
      </c>
      <c r="EL593" s="17" t="n"/>
      <c r="EM593" s="16" t="n"/>
      <c r="EN593" s="20" t="inlineStr">
        <is>
          <t>IC Organic Acids</t>
        </is>
      </c>
      <c r="EO593" s="20" t="inlineStr">
        <is>
          <t>None</t>
        </is>
      </c>
      <c r="EP593" s="17" t="n"/>
      <c r="EQ593" s="16" t="n"/>
      <c r="ER593" s="20" t="inlineStr">
        <is>
          <t>IC Organic Acids</t>
        </is>
      </c>
      <c r="ES593" s="20" t="inlineStr">
        <is>
          <t>None</t>
        </is>
      </c>
      <c r="ET593" s="17" t="n"/>
      <c r="EU593" s="16" t="n"/>
      <c r="EV593" s="20" t="inlineStr">
        <is>
          <t>LC-MS</t>
        </is>
      </c>
      <c r="EW593" s="20" t="inlineStr">
        <is>
          <t>None</t>
        </is>
      </c>
      <c r="EX593" s="17" t="n"/>
      <c r="EY593" s="21" t="n"/>
      <c r="EZ593">
        <f>CONCATENATE(A593,B593)</f>
        <v/>
      </c>
      <c r="FA593">
        <f>CONCATENATE(SamplesX!A593,SamplesX!B593)</f>
        <v/>
      </c>
      <c r="FC593">
        <f>MATCH(EZ593,FA1:FA1008,0)</f>
        <v/>
      </c>
    </row>
    <row r="594">
      <c r="A594" s="16" t="n"/>
      <c r="B594" s="17" t="n"/>
      <c r="C594" s="10">
        <f>IF(ISNUMBER(FC594),INDIRECT("SamplesX!C"&amp;FC594),IF(ISNUMBER(FD594),INDIRECT("SamplesY!C"&amp;FD594),""))</f>
        <v/>
      </c>
      <c r="D594" s="12">
        <f>IF(ISNUMBER(FC594),INDIRECT("SamplesX!D"&amp;FC594),IF(ISNUMBER(FD594),INDIRECT("SamplesY!D"&amp;FD594),""))</f>
        <v/>
      </c>
      <c r="E594" s="12">
        <f>IF(ISNUMBER(FC594),INDIRECT("SamplesX!E"&amp;FC594),IF(ISNUMBER(FD594),INDIRECT("SamplesY!E"&amp;FD594),""))</f>
        <v/>
      </c>
      <c r="F594" s="11">
        <f>IF(ISNUMBER(FC594),INDIRECT("SamplesX!F"&amp;FC594),IF(ISNUMBER(FD594),INDIRECT("SamplesY!F"&amp;FD594),""))</f>
        <v/>
      </c>
      <c r="G594" s="18">
        <f>IF(ISNUMBER(FC594),INDIRECT("SamplesX!G"&amp;FC594),IF(ISNUMBER(FD594),INDIRECT("SamplesY!G"&amp;FD594),""))</f>
        <v/>
      </c>
      <c r="H594" s="19">
        <f>IF(ISNUMBER(FC594),INDIRECT("SamplesX!H"&amp;FC594),IF(ISNUMBER(FD594),INDIRECT("SamplesY!H"&amp;FD594),""))</f>
        <v/>
      </c>
      <c r="I594" s="16" t="n"/>
      <c r="J594" s="16" t="n"/>
      <c r="K594" s="16" t="n"/>
      <c r="L594" s="20" t="n"/>
      <c r="M594" s="20" t="inlineStr">
        <is>
          <t>None</t>
        </is>
      </c>
      <c r="N594" s="17" t="n"/>
      <c r="O594" s="16" t="n"/>
      <c r="P594" s="20" t="inlineStr">
        <is>
          <t>Shimadzu TOC-L</t>
        </is>
      </c>
      <c r="Q594" s="20" t="inlineStr">
        <is>
          <t>None</t>
        </is>
      </c>
      <c r="R594" s="17" t="n"/>
      <c r="S594" s="16" t="n"/>
      <c r="T594" s="20" t="inlineStr">
        <is>
          <t>Shimadzu TOC-L</t>
        </is>
      </c>
      <c r="U594" s="20" t="inlineStr">
        <is>
          <t>None</t>
        </is>
      </c>
      <c r="V594" s="17" t="n"/>
      <c r="W594" s="16" t="n"/>
      <c r="X594" s="20" t="n"/>
      <c r="Y594" s="20" t="inlineStr">
        <is>
          <t>None</t>
        </is>
      </c>
      <c r="Z594" s="17" t="n"/>
      <c r="AA594" s="16" t="n"/>
      <c r="AB594" s="20" t="n"/>
      <c r="AC594" s="20" t="inlineStr">
        <is>
          <t>None</t>
        </is>
      </c>
      <c r="AD594" s="17" t="n"/>
      <c r="AE594" s="16" t="n"/>
      <c r="AF594" s="20" t="inlineStr">
        <is>
          <t>IC Anionen</t>
        </is>
      </c>
      <c r="AG594" s="20" t="inlineStr">
        <is>
          <t>None</t>
        </is>
      </c>
      <c r="AH594" s="17" t="n"/>
      <c r="AI594" s="16" t="n"/>
      <c r="AJ594" s="20" t="n"/>
      <c r="AK594" s="20" t="inlineStr">
        <is>
          <t>None</t>
        </is>
      </c>
      <c r="AL594" s="17" t="n"/>
      <c r="AM594" s="16" t="n"/>
      <c r="AN594" s="20" t="inlineStr">
        <is>
          <t>IC Anionen</t>
        </is>
      </c>
      <c r="AO594" s="20" t="inlineStr">
        <is>
          <t>None</t>
        </is>
      </c>
      <c r="AP594" s="17" t="n"/>
      <c r="AQ594" s="16" t="n"/>
      <c r="AR594" s="20" t="n"/>
      <c r="AS594" s="20" t="inlineStr">
        <is>
          <t>None</t>
        </is>
      </c>
      <c r="AT594" s="17" t="n"/>
      <c r="AU594" s="16" t="n"/>
      <c r="AV594" s="20" t="n"/>
      <c r="AW594" s="20" t="inlineStr">
        <is>
          <t>None</t>
        </is>
      </c>
      <c r="AX594" s="17" t="n"/>
      <c r="AY594" s="16" t="n"/>
      <c r="AZ594" s="20" t="inlineStr">
        <is>
          <t>IC Anionen</t>
        </is>
      </c>
      <c r="BA594" s="20" t="inlineStr">
        <is>
          <t>None</t>
        </is>
      </c>
      <c r="BB594" s="17" t="n"/>
      <c r="BC594" s="16" t="n"/>
      <c r="BD594" s="20" t="inlineStr">
        <is>
          <t>IC Kationen</t>
        </is>
      </c>
      <c r="BE594" s="20" t="inlineStr">
        <is>
          <t>None</t>
        </is>
      </c>
      <c r="BF594" s="17" t="n"/>
      <c r="BG594" s="16" t="n"/>
      <c r="BH594" s="20" t="inlineStr">
        <is>
          <t>IC Kationen</t>
        </is>
      </c>
      <c r="BI594" s="20" t="inlineStr">
        <is>
          <t>None</t>
        </is>
      </c>
      <c r="BJ594" s="17" t="n"/>
      <c r="BK594" s="16" t="n"/>
      <c r="BL594" s="20" t="inlineStr">
        <is>
          <t>IC Kationen</t>
        </is>
      </c>
      <c r="BM594" s="20" t="inlineStr">
        <is>
          <t>None</t>
        </is>
      </c>
      <c r="BN594" s="17" t="n"/>
      <c r="BO594" s="16" t="n"/>
      <c r="BP594" s="20" t="inlineStr">
        <is>
          <t>IC Kationen</t>
        </is>
      </c>
      <c r="BQ594" s="20" t="inlineStr">
        <is>
          <t>None</t>
        </is>
      </c>
      <c r="BR594" s="17" t="n"/>
      <c r="BS594" s="16" t="n"/>
      <c r="BT594" s="20" t="inlineStr">
        <is>
          <t>IC Kationen</t>
        </is>
      </c>
      <c r="BU594" s="20" t="inlineStr">
        <is>
          <t>None</t>
        </is>
      </c>
      <c r="BV594" s="17" t="n"/>
      <c r="BW594" s="16" t="n"/>
      <c r="BX594" s="20" t="n"/>
      <c r="BY594" s="20" t="inlineStr">
        <is>
          <t>None</t>
        </is>
      </c>
      <c r="BZ594" s="17" t="n"/>
      <c r="CA594" s="16" t="n"/>
      <c r="CB594" s="20" t="n"/>
      <c r="CC594" s="20" t="inlineStr">
        <is>
          <t>None</t>
        </is>
      </c>
      <c r="CD594" s="17" t="n"/>
      <c r="CE594" s="16" t="n"/>
      <c r="CF594" s="20" t="n"/>
      <c r="CG594" s="20" t="inlineStr">
        <is>
          <t>None</t>
        </is>
      </c>
      <c r="CH594" s="17" t="n"/>
      <c r="CI594" s="16" t="n"/>
      <c r="CJ594" s="20" t="n"/>
      <c r="CK594" s="20" t="inlineStr">
        <is>
          <t>None</t>
        </is>
      </c>
      <c r="CL594" s="17" t="n"/>
      <c r="CM594" s="16" t="n"/>
      <c r="CN594" s="20" t="inlineStr">
        <is>
          <t>SOP 45-34</t>
        </is>
      </c>
      <c r="CO594" s="20" t="inlineStr">
        <is>
          <t>None</t>
        </is>
      </c>
      <c r="CP594" s="17" t="n"/>
      <c r="CQ594" s="16" t="n"/>
      <c r="CR594" s="20" t="n"/>
      <c r="CS594" s="20" t="inlineStr">
        <is>
          <t>None</t>
        </is>
      </c>
      <c r="CT594" s="17" t="n"/>
      <c r="CU594" s="16" t="n"/>
      <c r="CV594" s="20" t="n"/>
      <c r="CW594" s="20" t="inlineStr">
        <is>
          <t>None</t>
        </is>
      </c>
      <c r="CX594" s="17" t="n"/>
      <c r="CY594" s="16" t="n"/>
      <c r="CZ594" s="20" t="inlineStr">
        <is>
          <t>WTW Multimeter 3430 with FDO 925</t>
        </is>
      </c>
      <c r="DA594" s="20" t="inlineStr">
        <is>
          <t>None</t>
        </is>
      </c>
      <c r="DB594" s="17" t="n"/>
      <c r="DC594" s="16" t="n"/>
      <c r="DD594" s="20" t="n"/>
      <c r="DE594" s="20" t="inlineStr">
        <is>
          <t>None</t>
        </is>
      </c>
      <c r="DF594" s="17" t="n"/>
      <c r="DG594" s="16" t="n"/>
      <c r="DH594" s="20" t="inlineStr">
        <is>
          <t>SOP 45-09</t>
        </is>
      </c>
      <c r="DI594" s="20" t="inlineStr">
        <is>
          <t>None</t>
        </is>
      </c>
      <c r="DJ594" s="17" t="n"/>
      <c r="DK594" s="16" t="n"/>
      <c r="DL594" s="20" t="inlineStr">
        <is>
          <t>SOP 45-09 (SOP muss noch angepasst werden für VSS)</t>
        </is>
      </c>
      <c r="DM594" s="20" t="inlineStr">
        <is>
          <t>None</t>
        </is>
      </c>
      <c r="DN594" s="17" t="n"/>
      <c r="DO594" s="16" t="n"/>
      <c r="DP594" s="20" t="inlineStr">
        <is>
          <t>IC Organic Acids</t>
        </is>
      </c>
      <c r="DQ594" s="20" t="inlineStr">
        <is>
          <t>None</t>
        </is>
      </c>
      <c r="DR594" s="17" t="n"/>
      <c r="DS594" s="16" t="n"/>
      <c r="DT594" s="20" t="inlineStr">
        <is>
          <t>IC Organic Acids</t>
        </is>
      </c>
      <c r="DU594" s="20" t="inlineStr">
        <is>
          <t>None</t>
        </is>
      </c>
      <c r="DV594" s="17" t="n"/>
      <c r="DW594" s="16" t="n"/>
      <c r="DX594" s="20" t="inlineStr">
        <is>
          <t>IC Organic Acids</t>
        </is>
      </c>
      <c r="DY594" s="20" t="inlineStr">
        <is>
          <t>None</t>
        </is>
      </c>
      <c r="DZ594" s="17" t="n"/>
      <c r="EA594" s="16" t="n"/>
      <c r="EB594" s="20" t="inlineStr">
        <is>
          <t>IC Organic Acids</t>
        </is>
      </c>
      <c r="EC594" s="20" t="inlineStr">
        <is>
          <t>None</t>
        </is>
      </c>
      <c r="ED594" s="17" t="n"/>
      <c r="EE594" s="16" t="n"/>
      <c r="EF594" s="20" t="inlineStr">
        <is>
          <t>IC Organic Acids</t>
        </is>
      </c>
      <c r="EG594" s="20" t="inlineStr">
        <is>
          <t>None</t>
        </is>
      </c>
      <c r="EH594" s="17" t="n"/>
      <c r="EI594" s="16" t="n"/>
      <c r="EJ594" s="20" t="inlineStr">
        <is>
          <t>IC Organic Acids</t>
        </is>
      </c>
      <c r="EK594" s="20" t="inlineStr">
        <is>
          <t>None</t>
        </is>
      </c>
      <c r="EL594" s="17" t="n"/>
      <c r="EM594" s="16" t="n"/>
      <c r="EN594" s="20" t="inlineStr">
        <is>
          <t>IC Organic Acids</t>
        </is>
      </c>
      <c r="EO594" s="20" t="inlineStr">
        <is>
          <t>None</t>
        </is>
      </c>
      <c r="EP594" s="17" t="n"/>
      <c r="EQ594" s="16" t="n"/>
      <c r="ER594" s="20" t="inlineStr">
        <is>
          <t>IC Organic Acids</t>
        </is>
      </c>
      <c r="ES594" s="20" t="inlineStr">
        <is>
          <t>None</t>
        </is>
      </c>
      <c r="ET594" s="17" t="n"/>
      <c r="EU594" s="16" t="n"/>
      <c r="EV594" s="20" t="inlineStr">
        <is>
          <t>LC-MS</t>
        </is>
      </c>
      <c r="EW594" s="20" t="inlineStr">
        <is>
          <t>None</t>
        </is>
      </c>
      <c r="EX594" s="17" t="n"/>
      <c r="EY594" s="21" t="n"/>
      <c r="EZ594">
        <f>CONCATENATE(A594,B594)</f>
        <v/>
      </c>
      <c r="FA594">
        <f>CONCATENATE(SamplesX!A594,SamplesX!B594)</f>
        <v/>
      </c>
      <c r="FC594">
        <f>MATCH(EZ594,FA1:FA1008,0)</f>
        <v/>
      </c>
    </row>
    <row r="595">
      <c r="A595" s="16" t="n"/>
      <c r="B595" s="17" t="n"/>
      <c r="C595" s="10">
        <f>IF(ISNUMBER(FC595),INDIRECT("SamplesX!C"&amp;FC595),IF(ISNUMBER(FD595),INDIRECT("SamplesY!C"&amp;FD595),""))</f>
        <v/>
      </c>
      <c r="D595" s="12">
        <f>IF(ISNUMBER(FC595),INDIRECT("SamplesX!D"&amp;FC595),IF(ISNUMBER(FD595),INDIRECT("SamplesY!D"&amp;FD595),""))</f>
        <v/>
      </c>
      <c r="E595" s="12">
        <f>IF(ISNUMBER(FC595),INDIRECT("SamplesX!E"&amp;FC595),IF(ISNUMBER(FD595),INDIRECT("SamplesY!E"&amp;FD595),""))</f>
        <v/>
      </c>
      <c r="F595" s="11">
        <f>IF(ISNUMBER(FC595),INDIRECT("SamplesX!F"&amp;FC595),IF(ISNUMBER(FD595),INDIRECT("SamplesY!F"&amp;FD595),""))</f>
        <v/>
      </c>
      <c r="G595" s="18">
        <f>IF(ISNUMBER(FC595),INDIRECT("SamplesX!G"&amp;FC595),IF(ISNUMBER(FD595),INDIRECT("SamplesY!G"&amp;FD595),""))</f>
        <v/>
      </c>
      <c r="H595" s="19">
        <f>IF(ISNUMBER(FC595),INDIRECT("SamplesX!H"&amp;FC595),IF(ISNUMBER(FD595),INDIRECT("SamplesY!H"&amp;FD595),""))</f>
        <v/>
      </c>
      <c r="I595" s="16" t="n"/>
      <c r="J595" s="16" t="n"/>
      <c r="K595" s="16" t="n"/>
      <c r="L595" s="20" t="n"/>
      <c r="M595" s="20" t="inlineStr">
        <is>
          <t>None</t>
        </is>
      </c>
      <c r="N595" s="17" t="n"/>
      <c r="O595" s="16" t="n"/>
      <c r="P595" s="20" t="inlineStr">
        <is>
          <t>Shimadzu TOC-L</t>
        </is>
      </c>
      <c r="Q595" s="20" t="inlineStr">
        <is>
          <t>None</t>
        </is>
      </c>
      <c r="R595" s="17" t="n"/>
      <c r="S595" s="16" t="n"/>
      <c r="T595" s="20" t="inlineStr">
        <is>
          <t>Shimadzu TOC-L</t>
        </is>
      </c>
      <c r="U595" s="20" t="inlineStr">
        <is>
          <t>None</t>
        </is>
      </c>
      <c r="V595" s="17" t="n"/>
      <c r="W595" s="16" t="n"/>
      <c r="X595" s="20" t="n"/>
      <c r="Y595" s="20" t="inlineStr">
        <is>
          <t>None</t>
        </is>
      </c>
      <c r="Z595" s="17" t="n"/>
      <c r="AA595" s="16" t="n"/>
      <c r="AB595" s="20" t="n"/>
      <c r="AC595" s="20" t="inlineStr">
        <is>
          <t>None</t>
        </is>
      </c>
      <c r="AD595" s="17" t="n"/>
      <c r="AE595" s="16" t="n"/>
      <c r="AF595" s="20" t="inlineStr">
        <is>
          <t>IC Anionen</t>
        </is>
      </c>
      <c r="AG595" s="20" t="inlineStr">
        <is>
          <t>None</t>
        </is>
      </c>
      <c r="AH595" s="17" t="n"/>
      <c r="AI595" s="16" t="n"/>
      <c r="AJ595" s="20" t="n"/>
      <c r="AK595" s="20" t="inlineStr">
        <is>
          <t>None</t>
        </is>
      </c>
      <c r="AL595" s="17" t="n"/>
      <c r="AM595" s="16" t="n"/>
      <c r="AN595" s="20" t="inlineStr">
        <is>
          <t>IC Anionen</t>
        </is>
      </c>
      <c r="AO595" s="20" t="inlineStr">
        <is>
          <t>None</t>
        </is>
      </c>
      <c r="AP595" s="17" t="n"/>
      <c r="AQ595" s="16" t="n"/>
      <c r="AR595" s="20" t="n"/>
      <c r="AS595" s="20" t="inlineStr">
        <is>
          <t>None</t>
        </is>
      </c>
      <c r="AT595" s="17" t="n"/>
      <c r="AU595" s="16" t="n"/>
      <c r="AV595" s="20" t="n"/>
      <c r="AW595" s="20" t="inlineStr">
        <is>
          <t>None</t>
        </is>
      </c>
      <c r="AX595" s="17" t="n"/>
      <c r="AY595" s="16" t="n"/>
      <c r="AZ595" s="20" t="inlineStr">
        <is>
          <t>IC Anionen</t>
        </is>
      </c>
      <c r="BA595" s="20" t="inlineStr">
        <is>
          <t>None</t>
        </is>
      </c>
      <c r="BB595" s="17" t="n"/>
      <c r="BC595" s="16" t="n"/>
      <c r="BD595" s="20" t="inlineStr">
        <is>
          <t>IC Kationen</t>
        </is>
      </c>
      <c r="BE595" s="20" t="inlineStr">
        <is>
          <t>None</t>
        </is>
      </c>
      <c r="BF595" s="17" t="n"/>
      <c r="BG595" s="16" t="n"/>
      <c r="BH595" s="20" t="inlineStr">
        <is>
          <t>IC Kationen</t>
        </is>
      </c>
      <c r="BI595" s="20" t="inlineStr">
        <is>
          <t>None</t>
        </is>
      </c>
      <c r="BJ595" s="17" t="n"/>
      <c r="BK595" s="16" t="n"/>
      <c r="BL595" s="20" t="inlineStr">
        <is>
          <t>IC Kationen</t>
        </is>
      </c>
      <c r="BM595" s="20" t="inlineStr">
        <is>
          <t>None</t>
        </is>
      </c>
      <c r="BN595" s="17" t="n"/>
      <c r="BO595" s="16" t="n"/>
      <c r="BP595" s="20" t="inlineStr">
        <is>
          <t>IC Kationen</t>
        </is>
      </c>
      <c r="BQ595" s="20" t="inlineStr">
        <is>
          <t>None</t>
        </is>
      </c>
      <c r="BR595" s="17" t="n"/>
      <c r="BS595" s="16" t="n"/>
      <c r="BT595" s="20" t="inlineStr">
        <is>
          <t>IC Kationen</t>
        </is>
      </c>
      <c r="BU595" s="20" t="inlineStr">
        <is>
          <t>None</t>
        </is>
      </c>
      <c r="BV595" s="17" t="n"/>
      <c r="BW595" s="16" t="n"/>
      <c r="BX595" s="20" t="n"/>
      <c r="BY595" s="20" t="inlineStr">
        <is>
          <t>None</t>
        </is>
      </c>
      <c r="BZ595" s="17" t="n"/>
      <c r="CA595" s="16" t="n"/>
      <c r="CB595" s="20" t="n"/>
      <c r="CC595" s="20" t="inlineStr">
        <is>
          <t>None</t>
        </is>
      </c>
      <c r="CD595" s="17" t="n"/>
      <c r="CE595" s="16" t="n"/>
      <c r="CF595" s="20" t="n"/>
      <c r="CG595" s="20" t="inlineStr">
        <is>
          <t>None</t>
        </is>
      </c>
      <c r="CH595" s="17" t="n"/>
      <c r="CI595" s="16" t="n"/>
      <c r="CJ595" s="20" t="n"/>
      <c r="CK595" s="20" t="inlineStr">
        <is>
          <t>None</t>
        </is>
      </c>
      <c r="CL595" s="17" t="n"/>
      <c r="CM595" s="16" t="n"/>
      <c r="CN595" s="20" t="inlineStr">
        <is>
          <t>SOP 45-34</t>
        </is>
      </c>
      <c r="CO595" s="20" t="inlineStr">
        <is>
          <t>None</t>
        </is>
      </c>
      <c r="CP595" s="17" t="n"/>
      <c r="CQ595" s="16" t="n"/>
      <c r="CR595" s="20" t="n"/>
      <c r="CS595" s="20" t="inlineStr">
        <is>
          <t>None</t>
        </is>
      </c>
      <c r="CT595" s="17" t="n"/>
      <c r="CU595" s="16" t="n"/>
      <c r="CV595" s="20" t="n"/>
      <c r="CW595" s="20" t="inlineStr">
        <is>
          <t>None</t>
        </is>
      </c>
      <c r="CX595" s="17" t="n"/>
      <c r="CY595" s="16" t="n"/>
      <c r="CZ595" s="20" t="inlineStr">
        <is>
          <t>WTW Multimeter 3430 with FDO 925</t>
        </is>
      </c>
      <c r="DA595" s="20" t="inlineStr">
        <is>
          <t>None</t>
        </is>
      </c>
      <c r="DB595" s="17" t="n"/>
      <c r="DC595" s="16" t="n"/>
      <c r="DD595" s="20" t="n"/>
      <c r="DE595" s="20" t="inlineStr">
        <is>
          <t>None</t>
        </is>
      </c>
      <c r="DF595" s="17" t="n"/>
      <c r="DG595" s="16" t="n"/>
      <c r="DH595" s="20" t="inlineStr">
        <is>
          <t>SOP 45-09</t>
        </is>
      </c>
      <c r="DI595" s="20" t="inlineStr">
        <is>
          <t>None</t>
        </is>
      </c>
      <c r="DJ595" s="17" t="n"/>
      <c r="DK595" s="16" t="n"/>
      <c r="DL595" s="20" t="inlineStr">
        <is>
          <t>SOP 45-09 (SOP muss noch angepasst werden für VSS)</t>
        </is>
      </c>
      <c r="DM595" s="20" t="inlineStr">
        <is>
          <t>None</t>
        </is>
      </c>
      <c r="DN595" s="17" t="n"/>
      <c r="DO595" s="16" t="n"/>
      <c r="DP595" s="20" t="inlineStr">
        <is>
          <t>IC Organic Acids</t>
        </is>
      </c>
      <c r="DQ595" s="20" t="inlineStr">
        <is>
          <t>None</t>
        </is>
      </c>
      <c r="DR595" s="17" t="n"/>
      <c r="DS595" s="16" t="n"/>
      <c r="DT595" s="20" t="inlineStr">
        <is>
          <t>IC Organic Acids</t>
        </is>
      </c>
      <c r="DU595" s="20" t="inlineStr">
        <is>
          <t>None</t>
        </is>
      </c>
      <c r="DV595" s="17" t="n"/>
      <c r="DW595" s="16" t="n"/>
      <c r="DX595" s="20" t="inlineStr">
        <is>
          <t>IC Organic Acids</t>
        </is>
      </c>
      <c r="DY595" s="20" t="inlineStr">
        <is>
          <t>None</t>
        </is>
      </c>
      <c r="DZ595" s="17" t="n"/>
      <c r="EA595" s="16" t="n"/>
      <c r="EB595" s="20" t="inlineStr">
        <is>
          <t>IC Organic Acids</t>
        </is>
      </c>
      <c r="EC595" s="20" t="inlineStr">
        <is>
          <t>None</t>
        </is>
      </c>
      <c r="ED595" s="17" t="n"/>
      <c r="EE595" s="16" t="n"/>
      <c r="EF595" s="20" t="inlineStr">
        <is>
          <t>IC Organic Acids</t>
        </is>
      </c>
      <c r="EG595" s="20" t="inlineStr">
        <is>
          <t>None</t>
        </is>
      </c>
      <c r="EH595" s="17" t="n"/>
      <c r="EI595" s="16" t="n"/>
      <c r="EJ595" s="20" t="inlineStr">
        <is>
          <t>IC Organic Acids</t>
        </is>
      </c>
      <c r="EK595" s="20" t="inlineStr">
        <is>
          <t>None</t>
        </is>
      </c>
      <c r="EL595" s="17" t="n"/>
      <c r="EM595" s="16" t="n"/>
      <c r="EN595" s="20" t="inlineStr">
        <is>
          <t>IC Organic Acids</t>
        </is>
      </c>
      <c r="EO595" s="20" t="inlineStr">
        <is>
          <t>None</t>
        </is>
      </c>
      <c r="EP595" s="17" t="n"/>
      <c r="EQ595" s="16" t="n"/>
      <c r="ER595" s="20" t="inlineStr">
        <is>
          <t>IC Organic Acids</t>
        </is>
      </c>
      <c r="ES595" s="20" t="inlineStr">
        <is>
          <t>None</t>
        </is>
      </c>
      <c r="ET595" s="17" t="n"/>
      <c r="EU595" s="16" t="n"/>
      <c r="EV595" s="20" t="inlineStr">
        <is>
          <t>LC-MS</t>
        </is>
      </c>
      <c r="EW595" s="20" t="inlineStr">
        <is>
          <t>None</t>
        </is>
      </c>
      <c r="EX595" s="17" t="n"/>
      <c r="EY595" s="21" t="n"/>
      <c r="EZ595">
        <f>CONCATENATE(A595,B595)</f>
        <v/>
      </c>
      <c r="FA595">
        <f>CONCATENATE(SamplesX!A595,SamplesX!B595)</f>
        <v/>
      </c>
      <c r="FC595">
        <f>MATCH(EZ595,FA1:FA1008,0)</f>
        <v/>
      </c>
    </row>
    <row r="596">
      <c r="A596" s="16" t="n"/>
      <c r="B596" s="17" t="n"/>
      <c r="C596" s="10">
        <f>IF(ISNUMBER(FC596),INDIRECT("SamplesX!C"&amp;FC596),IF(ISNUMBER(FD596),INDIRECT("SamplesY!C"&amp;FD596),""))</f>
        <v/>
      </c>
      <c r="D596" s="12">
        <f>IF(ISNUMBER(FC596),INDIRECT("SamplesX!D"&amp;FC596),IF(ISNUMBER(FD596),INDIRECT("SamplesY!D"&amp;FD596),""))</f>
        <v/>
      </c>
      <c r="E596" s="12">
        <f>IF(ISNUMBER(FC596),INDIRECT("SamplesX!E"&amp;FC596),IF(ISNUMBER(FD596),INDIRECT("SamplesY!E"&amp;FD596),""))</f>
        <v/>
      </c>
      <c r="F596" s="11">
        <f>IF(ISNUMBER(FC596),INDIRECT("SamplesX!F"&amp;FC596),IF(ISNUMBER(FD596),INDIRECT("SamplesY!F"&amp;FD596),""))</f>
        <v/>
      </c>
      <c r="G596" s="18">
        <f>IF(ISNUMBER(FC596),INDIRECT("SamplesX!G"&amp;FC596),IF(ISNUMBER(FD596),INDIRECT("SamplesY!G"&amp;FD596),""))</f>
        <v/>
      </c>
      <c r="H596" s="19">
        <f>IF(ISNUMBER(FC596),INDIRECT("SamplesX!H"&amp;FC596),IF(ISNUMBER(FD596),INDIRECT("SamplesY!H"&amp;FD596),""))</f>
        <v/>
      </c>
      <c r="I596" s="16" t="n"/>
      <c r="J596" s="16" t="n"/>
      <c r="K596" s="16" t="n"/>
      <c r="L596" s="20" t="n"/>
      <c r="M596" s="20" t="inlineStr">
        <is>
          <t>None</t>
        </is>
      </c>
      <c r="N596" s="17" t="n"/>
      <c r="O596" s="16" t="n"/>
      <c r="P596" s="20" t="inlineStr">
        <is>
          <t>Shimadzu TOC-L</t>
        </is>
      </c>
      <c r="Q596" s="20" t="inlineStr">
        <is>
          <t>None</t>
        </is>
      </c>
      <c r="R596" s="17" t="n"/>
      <c r="S596" s="16" t="n"/>
      <c r="T596" s="20" t="inlineStr">
        <is>
          <t>Shimadzu TOC-L</t>
        </is>
      </c>
      <c r="U596" s="20" t="inlineStr">
        <is>
          <t>None</t>
        </is>
      </c>
      <c r="V596" s="17" t="n"/>
      <c r="W596" s="16" t="n"/>
      <c r="X596" s="20" t="n"/>
      <c r="Y596" s="20" t="inlineStr">
        <is>
          <t>None</t>
        </is>
      </c>
      <c r="Z596" s="17" t="n"/>
      <c r="AA596" s="16" t="n"/>
      <c r="AB596" s="20" t="n"/>
      <c r="AC596" s="20" t="inlineStr">
        <is>
          <t>None</t>
        </is>
      </c>
      <c r="AD596" s="17" t="n"/>
      <c r="AE596" s="16" t="n"/>
      <c r="AF596" s="20" t="inlineStr">
        <is>
          <t>IC Anionen</t>
        </is>
      </c>
      <c r="AG596" s="20" t="inlineStr">
        <is>
          <t>None</t>
        </is>
      </c>
      <c r="AH596" s="17" t="n"/>
      <c r="AI596" s="16" t="n"/>
      <c r="AJ596" s="20" t="n"/>
      <c r="AK596" s="20" t="inlineStr">
        <is>
          <t>None</t>
        </is>
      </c>
      <c r="AL596" s="17" t="n"/>
      <c r="AM596" s="16" t="n"/>
      <c r="AN596" s="20" t="inlineStr">
        <is>
          <t>IC Anionen</t>
        </is>
      </c>
      <c r="AO596" s="20" t="inlineStr">
        <is>
          <t>None</t>
        </is>
      </c>
      <c r="AP596" s="17" t="n"/>
      <c r="AQ596" s="16" t="n"/>
      <c r="AR596" s="20" t="n"/>
      <c r="AS596" s="20" t="inlineStr">
        <is>
          <t>None</t>
        </is>
      </c>
      <c r="AT596" s="17" t="n"/>
      <c r="AU596" s="16" t="n"/>
      <c r="AV596" s="20" t="n"/>
      <c r="AW596" s="20" t="inlineStr">
        <is>
          <t>None</t>
        </is>
      </c>
      <c r="AX596" s="17" t="n"/>
      <c r="AY596" s="16" t="n"/>
      <c r="AZ596" s="20" t="inlineStr">
        <is>
          <t>IC Anionen</t>
        </is>
      </c>
      <c r="BA596" s="20" t="inlineStr">
        <is>
          <t>None</t>
        </is>
      </c>
      <c r="BB596" s="17" t="n"/>
      <c r="BC596" s="16" t="n"/>
      <c r="BD596" s="20" t="inlineStr">
        <is>
          <t>IC Kationen</t>
        </is>
      </c>
      <c r="BE596" s="20" t="inlineStr">
        <is>
          <t>None</t>
        </is>
      </c>
      <c r="BF596" s="17" t="n"/>
      <c r="BG596" s="16" t="n"/>
      <c r="BH596" s="20" t="inlineStr">
        <is>
          <t>IC Kationen</t>
        </is>
      </c>
      <c r="BI596" s="20" t="inlineStr">
        <is>
          <t>None</t>
        </is>
      </c>
      <c r="BJ596" s="17" t="n"/>
      <c r="BK596" s="16" t="n"/>
      <c r="BL596" s="20" t="inlineStr">
        <is>
          <t>IC Kationen</t>
        </is>
      </c>
      <c r="BM596" s="20" t="inlineStr">
        <is>
          <t>None</t>
        </is>
      </c>
      <c r="BN596" s="17" t="n"/>
      <c r="BO596" s="16" t="n"/>
      <c r="BP596" s="20" t="inlineStr">
        <is>
          <t>IC Kationen</t>
        </is>
      </c>
      <c r="BQ596" s="20" t="inlineStr">
        <is>
          <t>None</t>
        </is>
      </c>
      <c r="BR596" s="17" t="n"/>
      <c r="BS596" s="16" t="n"/>
      <c r="BT596" s="20" t="inlineStr">
        <is>
          <t>IC Kationen</t>
        </is>
      </c>
      <c r="BU596" s="20" t="inlineStr">
        <is>
          <t>None</t>
        </is>
      </c>
      <c r="BV596" s="17" t="n"/>
      <c r="BW596" s="16" t="n"/>
      <c r="BX596" s="20" t="n"/>
      <c r="BY596" s="20" t="inlineStr">
        <is>
          <t>None</t>
        </is>
      </c>
      <c r="BZ596" s="17" t="n"/>
      <c r="CA596" s="16" t="n"/>
      <c r="CB596" s="20" t="n"/>
      <c r="CC596" s="20" t="inlineStr">
        <is>
          <t>None</t>
        </is>
      </c>
      <c r="CD596" s="17" t="n"/>
      <c r="CE596" s="16" t="n"/>
      <c r="CF596" s="20" t="n"/>
      <c r="CG596" s="20" t="inlineStr">
        <is>
          <t>None</t>
        </is>
      </c>
      <c r="CH596" s="17" t="n"/>
      <c r="CI596" s="16" t="n"/>
      <c r="CJ596" s="20" t="n"/>
      <c r="CK596" s="20" t="inlineStr">
        <is>
          <t>None</t>
        </is>
      </c>
      <c r="CL596" s="17" t="n"/>
      <c r="CM596" s="16" t="n"/>
      <c r="CN596" s="20" t="inlineStr">
        <is>
          <t>SOP 45-34</t>
        </is>
      </c>
      <c r="CO596" s="20" t="inlineStr">
        <is>
          <t>None</t>
        </is>
      </c>
      <c r="CP596" s="17" t="n"/>
      <c r="CQ596" s="16" t="n"/>
      <c r="CR596" s="20" t="n"/>
      <c r="CS596" s="20" t="inlineStr">
        <is>
          <t>None</t>
        </is>
      </c>
      <c r="CT596" s="17" t="n"/>
      <c r="CU596" s="16" t="n"/>
      <c r="CV596" s="20" t="n"/>
      <c r="CW596" s="20" t="inlineStr">
        <is>
          <t>None</t>
        </is>
      </c>
      <c r="CX596" s="17" t="n"/>
      <c r="CY596" s="16" t="n"/>
      <c r="CZ596" s="20" t="inlineStr">
        <is>
          <t>WTW Multimeter 3430 with FDO 925</t>
        </is>
      </c>
      <c r="DA596" s="20" t="inlineStr">
        <is>
          <t>None</t>
        </is>
      </c>
      <c r="DB596" s="17" t="n"/>
      <c r="DC596" s="16" t="n"/>
      <c r="DD596" s="20" t="n"/>
      <c r="DE596" s="20" t="inlineStr">
        <is>
          <t>None</t>
        </is>
      </c>
      <c r="DF596" s="17" t="n"/>
      <c r="DG596" s="16" t="n"/>
      <c r="DH596" s="20" t="inlineStr">
        <is>
          <t>SOP 45-09</t>
        </is>
      </c>
      <c r="DI596" s="20" t="inlineStr">
        <is>
          <t>None</t>
        </is>
      </c>
      <c r="DJ596" s="17" t="n"/>
      <c r="DK596" s="16" t="n"/>
      <c r="DL596" s="20" t="inlineStr">
        <is>
          <t>SOP 45-09 (SOP muss noch angepasst werden für VSS)</t>
        </is>
      </c>
      <c r="DM596" s="20" t="inlineStr">
        <is>
          <t>None</t>
        </is>
      </c>
      <c r="DN596" s="17" t="n"/>
      <c r="DO596" s="16" t="n"/>
      <c r="DP596" s="20" t="inlineStr">
        <is>
          <t>IC Organic Acids</t>
        </is>
      </c>
      <c r="DQ596" s="20" t="inlineStr">
        <is>
          <t>None</t>
        </is>
      </c>
      <c r="DR596" s="17" t="n"/>
      <c r="DS596" s="16" t="n"/>
      <c r="DT596" s="20" t="inlineStr">
        <is>
          <t>IC Organic Acids</t>
        </is>
      </c>
      <c r="DU596" s="20" t="inlineStr">
        <is>
          <t>None</t>
        </is>
      </c>
      <c r="DV596" s="17" t="n"/>
      <c r="DW596" s="16" t="n"/>
      <c r="DX596" s="20" t="inlineStr">
        <is>
          <t>IC Organic Acids</t>
        </is>
      </c>
      <c r="DY596" s="20" t="inlineStr">
        <is>
          <t>None</t>
        </is>
      </c>
      <c r="DZ596" s="17" t="n"/>
      <c r="EA596" s="16" t="n"/>
      <c r="EB596" s="20" t="inlineStr">
        <is>
          <t>IC Organic Acids</t>
        </is>
      </c>
      <c r="EC596" s="20" t="inlineStr">
        <is>
          <t>None</t>
        </is>
      </c>
      <c r="ED596" s="17" t="n"/>
      <c r="EE596" s="16" t="n"/>
      <c r="EF596" s="20" t="inlineStr">
        <is>
          <t>IC Organic Acids</t>
        </is>
      </c>
      <c r="EG596" s="20" t="inlineStr">
        <is>
          <t>None</t>
        </is>
      </c>
      <c r="EH596" s="17" t="n"/>
      <c r="EI596" s="16" t="n"/>
      <c r="EJ596" s="20" t="inlineStr">
        <is>
          <t>IC Organic Acids</t>
        </is>
      </c>
      <c r="EK596" s="20" t="inlineStr">
        <is>
          <t>None</t>
        </is>
      </c>
      <c r="EL596" s="17" t="n"/>
      <c r="EM596" s="16" t="n"/>
      <c r="EN596" s="20" t="inlineStr">
        <is>
          <t>IC Organic Acids</t>
        </is>
      </c>
      <c r="EO596" s="20" t="inlineStr">
        <is>
          <t>None</t>
        </is>
      </c>
      <c r="EP596" s="17" t="n"/>
      <c r="EQ596" s="16" t="n"/>
      <c r="ER596" s="20" t="inlineStr">
        <is>
          <t>IC Organic Acids</t>
        </is>
      </c>
      <c r="ES596" s="20" t="inlineStr">
        <is>
          <t>None</t>
        </is>
      </c>
      <c r="ET596" s="17" t="n"/>
      <c r="EU596" s="16" t="n"/>
      <c r="EV596" s="20" t="inlineStr">
        <is>
          <t>LC-MS</t>
        </is>
      </c>
      <c r="EW596" s="20" t="inlineStr">
        <is>
          <t>None</t>
        </is>
      </c>
      <c r="EX596" s="17" t="n"/>
      <c r="EY596" s="21" t="n"/>
      <c r="EZ596">
        <f>CONCATENATE(A596,B596)</f>
        <v/>
      </c>
      <c r="FA596">
        <f>CONCATENATE(SamplesX!A596,SamplesX!B596)</f>
        <v/>
      </c>
      <c r="FC596">
        <f>MATCH(EZ596,FA1:FA1008,0)</f>
        <v/>
      </c>
    </row>
    <row r="597">
      <c r="A597" s="16" t="n"/>
      <c r="B597" s="17" t="n"/>
      <c r="C597" s="10">
        <f>IF(ISNUMBER(FC597),INDIRECT("SamplesX!C"&amp;FC597),IF(ISNUMBER(FD597),INDIRECT("SamplesY!C"&amp;FD597),""))</f>
        <v/>
      </c>
      <c r="D597" s="12">
        <f>IF(ISNUMBER(FC597),INDIRECT("SamplesX!D"&amp;FC597),IF(ISNUMBER(FD597),INDIRECT("SamplesY!D"&amp;FD597),""))</f>
        <v/>
      </c>
      <c r="E597" s="12">
        <f>IF(ISNUMBER(FC597),INDIRECT("SamplesX!E"&amp;FC597),IF(ISNUMBER(FD597),INDIRECT("SamplesY!E"&amp;FD597),""))</f>
        <v/>
      </c>
      <c r="F597" s="11">
        <f>IF(ISNUMBER(FC597),INDIRECT("SamplesX!F"&amp;FC597),IF(ISNUMBER(FD597),INDIRECT("SamplesY!F"&amp;FD597),""))</f>
        <v/>
      </c>
      <c r="G597" s="18">
        <f>IF(ISNUMBER(FC597),INDIRECT("SamplesX!G"&amp;FC597),IF(ISNUMBER(FD597),INDIRECT("SamplesY!G"&amp;FD597),""))</f>
        <v/>
      </c>
      <c r="H597" s="19">
        <f>IF(ISNUMBER(FC597),INDIRECT("SamplesX!H"&amp;FC597),IF(ISNUMBER(FD597),INDIRECT("SamplesY!H"&amp;FD597),""))</f>
        <v/>
      </c>
      <c r="I597" s="16" t="n"/>
      <c r="J597" s="16" t="n"/>
      <c r="K597" s="16" t="n"/>
      <c r="L597" s="20" t="n"/>
      <c r="M597" s="20" t="inlineStr">
        <is>
          <t>None</t>
        </is>
      </c>
      <c r="N597" s="17" t="n"/>
      <c r="O597" s="16" t="n"/>
      <c r="P597" s="20" t="inlineStr">
        <is>
          <t>Shimadzu TOC-L</t>
        </is>
      </c>
      <c r="Q597" s="20" t="inlineStr">
        <is>
          <t>None</t>
        </is>
      </c>
      <c r="R597" s="17" t="n"/>
      <c r="S597" s="16" t="n"/>
      <c r="T597" s="20" t="inlineStr">
        <is>
          <t>Shimadzu TOC-L</t>
        </is>
      </c>
      <c r="U597" s="20" t="inlineStr">
        <is>
          <t>None</t>
        </is>
      </c>
      <c r="V597" s="17" t="n"/>
      <c r="W597" s="16" t="n"/>
      <c r="X597" s="20" t="n"/>
      <c r="Y597" s="20" t="inlineStr">
        <is>
          <t>None</t>
        </is>
      </c>
      <c r="Z597" s="17" t="n"/>
      <c r="AA597" s="16" t="n"/>
      <c r="AB597" s="20" t="n"/>
      <c r="AC597" s="20" t="inlineStr">
        <is>
          <t>None</t>
        </is>
      </c>
      <c r="AD597" s="17" t="n"/>
      <c r="AE597" s="16" t="n"/>
      <c r="AF597" s="20" t="inlineStr">
        <is>
          <t>IC Anionen</t>
        </is>
      </c>
      <c r="AG597" s="20" t="inlineStr">
        <is>
          <t>None</t>
        </is>
      </c>
      <c r="AH597" s="17" t="n"/>
      <c r="AI597" s="16" t="n"/>
      <c r="AJ597" s="20" t="n"/>
      <c r="AK597" s="20" t="inlineStr">
        <is>
          <t>None</t>
        </is>
      </c>
      <c r="AL597" s="17" t="n"/>
      <c r="AM597" s="16" t="n"/>
      <c r="AN597" s="20" t="inlineStr">
        <is>
          <t>IC Anionen</t>
        </is>
      </c>
      <c r="AO597" s="20" t="inlineStr">
        <is>
          <t>None</t>
        </is>
      </c>
      <c r="AP597" s="17" t="n"/>
      <c r="AQ597" s="16" t="n"/>
      <c r="AR597" s="20" t="n"/>
      <c r="AS597" s="20" t="inlineStr">
        <is>
          <t>None</t>
        </is>
      </c>
      <c r="AT597" s="17" t="n"/>
      <c r="AU597" s="16" t="n"/>
      <c r="AV597" s="20" t="n"/>
      <c r="AW597" s="20" t="inlineStr">
        <is>
          <t>None</t>
        </is>
      </c>
      <c r="AX597" s="17" t="n"/>
      <c r="AY597" s="16" t="n"/>
      <c r="AZ597" s="20" t="inlineStr">
        <is>
          <t>IC Anionen</t>
        </is>
      </c>
      <c r="BA597" s="20" t="inlineStr">
        <is>
          <t>None</t>
        </is>
      </c>
      <c r="BB597" s="17" t="n"/>
      <c r="BC597" s="16" t="n"/>
      <c r="BD597" s="20" t="inlineStr">
        <is>
          <t>IC Kationen</t>
        </is>
      </c>
      <c r="BE597" s="20" t="inlineStr">
        <is>
          <t>None</t>
        </is>
      </c>
      <c r="BF597" s="17" t="n"/>
      <c r="BG597" s="16" t="n"/>
      <c r="BH597" s="20" t="inlineStr">
        <is>
          <t>IC Kationen</t>
        </is>
      </c>
      <c r="BI597" s="20" t="inlineStr">
        <is>
          <t>None</t>
        </is>
      </c>
      <c r="BJ597" s="17" t="n"/>
      <c r="BK597" s="16" t="n"/>
      <c r="BL597" s="20" t="inlineStr">
        <is>
          <t>IC Kationen</t>
        </is>
      </c>
      <c r="BM597" s="20" t="inlineStr">
        <is>
          <t>None</t>
        </is>
      </c>
      <c r="BN597" s="17" t="n"/>
      <c r="BO597" s="16" t="n"/>
      <c r="BP597" s="20" t="inlineStr">
        <is>
          <t>IC Kationen</t>
        </is>
      </c>
      <c r="BQ597" s="20" t="inlineStr">
        <is>
          <t>None</t>
        </is>
      </c>
      <c r="BR597" s="17" t="n"/>
      <c r="BS597" s="16" t="n"/>
      <c r="BT597" s="20" t="inlineStr">
        <is>
          <t>IC Kationen</t>
        </is>
      </c>
      <c r="BU597" s="20" t="inlineStr">
        <is>
          <t>None</t>
        </is>
      </c>
      <c r="BV597" s="17" t="n"/>
      <c r="BW597" s="16" t="n"/>
      <c r="BX597" s="20" t="n"/>
      <c r="BY597" s="20" t="inlineStr">
        <is>
          <t>None</t>
        </is>
      </c>
      <c r="BZ597" s="17" t="n"/>
      <c r="CA597" s="16" t="n"/>
      <c r="CB597" s="20" t="n"/>
      <c r="CC597" s="20" t="inlineStr">
        <is>
          <t>None</t>
        </is>
      </c>
      <c r="CD597" s="17" t="n"/>
      <c r="CE597" s="16" t="n"/>
      <c r="CF597" s="20" t="n"/>
      <c r="CG597" s="20" t="inlineStr">
        <is>
          <t>None</t>
        </is>
      </c>
      <c r="CH597" s="17" t="n"/>
      <c r="CI597" s="16" t="n"/>
      <c r="CJ597" s="20" t="n"/>
      <c r="CK597" s="20" t="inlineStr">
        <is>
          <t>None</t>
        </is>
      </c>
      <c r="CL597" s="17" t="n"/>
      <c r="CM597" s="16" t="n"/>
      <c r="CN597" s="20" t="inlineStr">
        <is>
          <t>SOP 45-34</t>
        </is>
      </c>
      <c r="CO597" s="20" t="inlineStr">
        <is>
          <t>None</t>
        </is>
      </c>
      <c r="CP597" s="17" t="n"/>
      <c r="CQ597" s="16" t="n"/>
      <c r="CR597" s="20" t="n"/>
      <c r="CS597" s="20" t="inlineStr">
        <is>
          <t>None</t>
        </is>
      </c>
      <c r="CT597" s="17" t="n"/>
      <c r="CU597" s="16" t="n"/>
      <c r="CV597" s="20" t="n"/>
      <c r="CW597" s="20" t="inlineStr">
        <is>
          <t>None</t>
        </is>
      </c>
      <c r="CX597" s="17" t="n"/>
      <c r="CY597" s="16" t="n"/>
      <c r="CZ597" s="20" t="inlineStr">
        <is>
          <t>WTW Multimeter 3430 with FDO 925</t>
        </is>
      </c>
      <c r="DA597" s="20" t="inlineStr">
        <is>
          <t>None</t>
        </is>
      </c>
      <c r="DB597" s="17" t="n"/>
      <c r="DC597" s="16" t="n"/>
      <c r="DD597" s="20" t="n"/>
      <c r="DE597" s="20" t="inlineStr">
        <is>
          <t>None</t>
        </is>
      </c>
      <c r="DF597" s="17" t="n"/>
      <c r="DG597" s="16" t="n"/>
      <c r="DH597" s="20" t="inlineStr">
        <is>
          <t>SOP 45-09</t>
        </is>
      </c>
      <c r="DI597" s="20" t="inlineStr">
        <is>
          <t>None</t>
        </is>
      </c>
      <c r="DJ597" s="17" t="n"/>
      <c r="DK597" s="16" t="n"/>
      <c r="DL597" s="20" t="inlineStr">
        <is>
          <t>SOP 45-09 (SOP muss noch angepasst werden für VSS)</t>
        </is>
      </c>
      <c r="DM597" s="20" t="inlineStr">
        <is>
          <t>None</t>
        </is>
      </c>
      <c r="DN597" s="17" t="n"/>
      <c r="DO597" s="16" t="n"/>
      <c r="DP597" s="20" t="inlineStr">
        <is>
          <t>IC Organic Acids</t>
        </is>
      </c>
      <c r="DQ597" s="20" t="inlineStr">
        <is>
          <t>None</t>
        </is>
      </c>
      <c r="DR597" s="17" t="n"/>
      <c r="DS597" s="16" t="n"/>
      <c r="DT597" s="20" t="inlineStr">
        <is>
          <t>IC Organic Acids</t>
        </is>
      </c>
      <c r="DU597" s="20" t="inlineStr">
        <is>
          <t>None</t>
        </is>
      </c>
      <c r="DV597" s="17" t="n"/>
      <c r="DW597" s="16" t="n"/>
      <c r="DX597" s="20" t="inlineStr">
        <is>
          <t>IC Organic Acids</t>
        </is>
      </c>
      <c r="DY597" s="20" t="inlineStr">
        <is>
          <t>None</t>
        </is>
      </c>
      <c r="DZ597" s="17" t="n"/>
      <c r="EA597" s="16" t="n"/>
      <c r="EB597" s="20" t="inlineStr">
        <is>
          <t>IC Organic Acids</t>
        </is>
      </c>
      <c r="EC597" s="20" t="inlineStr">
        <is>
          <t>None</t>
        </is>
      </c>
      <c r="ED597" s="17" t="n"/>
      <c r="EE597" s="16" t="n"/>
      <c r="EF597" s="20" t="inlineStr">
        <is>
          <t>IC Organic Acids</t>
        </is>
      </c>
      <c r="EG597" s="20" t="inlineStr">
        <is>
          <t>None</t>
        </is>
      </c>
      <c r="EH597" s="17" t="n"/>
      <c r="EI597" s="16" t="n"/>
      <c r="EJ597" s="20" t="inlineStr">
        <is>
          <t>IC Organic Acids</t>
        </is>
      </c>
      <c r="EK597" s="20" t="inlineStr">
        <is>
          <t>None</t>
        </is>
      </c>
      <c r="EL597" s="17" t="n"/>
      <c r="EM597" s="16" t="n"/>
      <c r="EN597" s="20" t="inlineStr">
        <is>
          <t>IC Organic Acids</t>
        </is>
      </c>
      <c r="EO597" s="20" t="inlineStr">
        <is>
          <t>None</t>
        </is>
      </c>
      <c r="EP597" s="17" t="n"/>
      <c r="EQ597" s="16" t="n"/>
      <c r="ER597" s="20" t="inlineStr">
        <is>
          <t>IC Organic Acids</t>
        </is>
      </c>
      <c r="ES597" s="20" t="inlineStr">
        <is>
          <t>None</t>
        </is>
      </c>
      <c r="ET597" s="17" t="n"/>
      <c r="EU597" s="16" t="n"/>
      <c r="EV597" s="20" t="inlineStr">
        <is>
          <t>LC-MS</t>
        </is>
      </c>
      <c r="EW597" s="20" t="inlineStr">
        <is>
          <t>None</t>
        </is>
      </c>
      <c r="EX597" s="17" t="n"/>
      <c r="EY597" s="21" t="n"/>
      <c r="EZ597">
        <f>CONCATENATE(A597,B597)</f>
        <v/>
      </c>
      <c r="FA597">
        <f>CONCATENATE(SamplesX!A597,SamplesX!B597)</f>
        <v/>
      </c>
      <c r="FC597">
        <f>MATCH(EZ597,FA1:FA1008,0)</f>
        <v/>
      </c>
    </row>
    <row r="598">
      <c r="A598" s="16" t="n"/>
      <c r="B598" s="17" t="n"/>
      <c r="C598" s="10">
        <f>IF(ISNUMBER(FC598),INDIRECT("SamplesX!C"&amp;FC598),IF(ISNUMBER(FD598),INDIRECT("SamplesY!C"&amp;FD598),""))</f>
        <v/>
      </c>
      <c r="D598" s="12">
        <f>IF(ISNUMBER(FC598),INDIRECT("SamplesX!D"&amp;FC598),IF(ISNUMBER(FD598),INDIRECT("SamplesY!D"&amp;FD598),""))</f>
        <v/>
      </c>
      <c r="E598" s="12">
        <f>IF(ISNUMBER(FC598),INDIRECT("SamplesX!E"&amp;FC598),IF(ISNUMBER(FD598),INDIRECT("SamplesY!E"&amp;FD598),""))</f>
        <v/>
      </c>
      <c r="F598" s="11">
        <f>IF(ISNUMBER(FC598),INDIRECT("SamplesX!F"&amp;FC598),IF(ISNUMBER(FD598),INDIRECT("SamplesY!F"&amp;FD598),""))</f>
        <v/>
      </c>
      <c r="G598" s="18">
        <f>IF(ISNUMBER(FC598),INDIRECT("SamplesX!G"&amp;FC598),IF(ISNUMBER(FD598),INDIRECT("SamplesY!G"&amp;FD598),""))</f>
        <v/>
      </c>
      <c r="H598" s="19">
        <f>IF(ISNUMBER(FC598),INDIRECT("SamplesX!H"&amp;FC598),IF(ISNUMBER(FD598),INDIRECT("SamplesY!H"&amp;FD598),""))</f>
        <v/>
      </c>
      <c r="I598" s="16" t="n"/>
      <c r="J598" s="16" t="n"/>
      <c r="K598" s="16" t="n"/>
      <c r="L598" s="20" t="n"/>
      <c r="M598" s="20" t="inlineStr">
        <is>
          <t>None</t>
        </is>
      </c>
      <c r="N598" s="17" t="n"/>
      <c r="O598" s="16" t="n"/>
      <c r="P598" s="20" t="inlineStr">
        <is>
          <t>Shimadzu TOC-L</t>
        </is>
      </c>
      <c r="Q598" s="20" t="inlineStr">
        <is>
          <t>None</t>
        </is>
      </c>
      <c r="R598" s="17" t="n"/>
      <c r="S598" s="16" t="n"/>
      <c r="T598" s="20" t="inlineStr">
        <is>
          <t>Shimadzu TOC-L</t>
        </is>
      </c>
      <c r="U598" s="20" t="inlineStr">
        <is>
          <t>None</t>
        </is>
      </c>
      <c r="V598" s="17" t="n"/>
      <c r="W598" s="16" t="n"/>
      <c r="X598" s="20" t="n"/>
      <c r="Y598" s="20" t="inlineStr">
        <is>
          <t>None</t>
        </is>
      </c>
      <c r="Z598" s="17" t="n"/>
      <c r="AA598" s="16" t="n"/>
      <c r="AB598" s="20" t="n"/>
      <c r="AC598" s="20" t="inlineStr">
        <is>
          <t>None</t>
        </is>
      </c>
      <c r="AD598" s="17" t="n"/>
      <c r="AE598" s="16" t="n"/>
      <c r="AF598" s="20" t="inlineStr">
        <is>
          <t>IC Anionen</t>
        </is>
      </c>
      <c r="AG598" s="20" t="inlineStr">
        <is>
          <t>None</t>
        </is>
      </c>
      <c r="AH598" s="17" t="n"/>
      <c r="AI598" s="16" t="n"/>
      <c r="AJ598" s="20" t="n"/>
      <c r="AK598" s="20" t="inlineStr">
        <is>
          <t>None</t>
        </is>
      </c>
      <c r="AL598" s="17" t="n"/>
      <c r="AM598" s="16" t="n"/>
      <c r="AN598" s="20" t="inlineStr">
        <is>
          <t>IC Anionen</t>
        </is>
      </c>
      <c r="AO598" s="20" t="inlineStr">
        <is>
          <t>None</t>
        </is>
      </c>
      <c r="AP598" s="17" t="n"/>
      <c r="AQ598" s="16" t="n"/>
      <c r="AR598" s="20" t="n"/>
      <c r="AS598" s="20" t="inlineStr">
        <is>
          <t>None</t>
        </is>
      </c>
      <c r="AT598" s="17" t="n"/>
      <c r="AU598" s="16" t="n"/>
      <c r="AV598" s="20" t="n"/>
      <c r="AW598" s="20" t="inlineStr">
        <is>
          <t>None</t>
        </is>
      </c>
      <c r="AX598" s="17" t="n"/>
      <c r="AY598" s="16" t="n"/>
      <c r="AZ598" s="20" t="inlineStr">
        <is>
          <t>IC Anionen</t>
        </is>
      </c>
      <c r="BA598" s="20" t="inlineStr">
        <is>
          <t>None</t>
        </is>
      </c>
      <c r="BB598" s="17" t="n"/>
      <c r="BC598" s="16" t="n"/>
      <c r="BD598" s="20" t="inlineStr">
        <is>
          <t>IC Kationen</t>
        </is>
      </c>
      <c r="BE598" s="20" t="inlineStr">
        <is>
          <t>None</t>
        </is>
      </c>
      <c r="BF598" s="17" t="n"/>
      <c r="BG598" s="16" t="n"/>
      <c r="BH598" s="20" t="inlineStr">
        <is>
          <t>IC Kationen</t>
        </is>
      </c>
      <c r="BI598" s="20" t="inlineStr">
        <is>
          <t>None</t>
        </is>
      </c>
      <c r="BJ598" s="17" t="n"/>
      <c r="BK598" s="16" t="n"/>
      <c r="BL598" s="20" t="inlineStr">
        <is>
          <t>IC Kationen</t>
        </is>
      </c>
      <c r="BM598" s="20" t="inlineStr">
        <is>
          <t>None</t>
        </is>
      </c>
      <c r="BN598" s="17" t="n"/>
      <c r="BO598" s="16" t="n"/>
      <c r="BP598" s="20" t="inlineStr">
        <is>
          <t>IC Kationen</t>
        </is>
      </c>
      <c r="BQ598" s="20" t="inlineStr">
        <is>
          <t>None</t>
        </is>
      </c>
      <c r="BR598" s="17" t="n"/>
      <c r="BS598" s="16" t="n"/>
      <c r="BT598" s="20" t="inlineStr">
        <is>
          <t>IC Kationen</t>
        </is>
      </c>
      <c r="BU598" s="20" t="inlineStr">
        <is>
          <t>None</t>
        </is>
      </c>
      <c r="BV598" s="17" t="n"/>
      <c r="BW598" s="16" t="n"/>
      <c r="BX598" s="20" t="n"/>
      <c r="BY598" s="20" t="inlineStr">
        <is>
          <t>None</t>
        </is>
      </c>
      <c r="BZ598" s="17" t="n"/>
      <c r="CA598" s="16" t="n"/>
      <c r="CB598" s="20" t="n"/>
      <c r="CC598" s="20" t="inlineStr">
        <is>
          <t>None</t>
        </is>
      </c>
      <c r="CD598" s="17" t="n"/>
      <c r="CE598" s="16" t="n"/>
      <c r="CF598" s="20" t="n"/>
      <c r="CG598" s="20" t="inlineStr">
        <is>
          <t>None</t>
        </is>
      </c>
      <c r="CH598" s="17" t="n"/>
      <c r="CI598" s="16" t="n"/>
      <c r="CJ598" s="20" t="n"/>
      <c r="CK598" s="20" t="inlineStr">
        <is>
          <t>None</t>
        </is>
      </c>
      <c r="CL598" s="17" t="n"/>
      <c r="CM598" s="16" t="n"/>
      <c r="CN598" s="20" t="inlineStr">
        <is>
          <t>SOP 45-34</t>
        </is>
      </c>
      <c r="CO598" s="20" t="inlineStr">
        <is>
          <t>None</t>
        </is>
      </c>
      <c r="CP598" s="17" t="n"/>
      <c r="CQ598" s="16" t="n"/>
      <c r="CR598" s="20" t="n"/>
      <c r="CS598" s="20" t="inlineStr">
        <is>
          <t>None</t>
        </is>
      </c>
      <c r="CT598" s="17" t="n"/>
      <c r="CU598" s="16" t="n"/>
      <c r="CV598" s="20" t="n"/>
      <c r="CW598" s="20" t="inlineStr">
        <is>
          <t>None</t>
        </is>
      </c>
      <c r="CX598" s="17" t="n"/>
      <c r="CY598" s="16" t="n"/>
      <c r="CZ598" s="20" t="inlineStr">
        <is>
          <t>WTW Multimeter 3430 with FDO 925</t>
        </is>
      </c>
      <c r="DA598" s="20" t="inlineStr">
        <is>
          <t>None</t>
        </is>
      </c>
      <c r="DB598" s="17" t="n"/>
      <c r="DC598" s="16" t="n"/>
      <c r="DD598" s="20" t="n"/>
      <c r="DE598" s="20" t="inlineStr">
        <is>
          <t>None</t>
        </is>
      </c>
      <c r="DF598" s="17" t="n"/>
      <c r="DG598" s="16" t="n"/>
      <c r="DH598" s="20" t="inlineStr">
        <is>
          <t>SOP 45-09</t>
        </is>
      </c>
      <c r="DI598" s="20" t="inlineStr">
        <is>
          <t>None</t>
        </is>
      </c>
      <c r="DJ598" s="17" t="n"/>
      <c r="DK598" s="16" t="n"/>
      <c r="DL598" s="20" t="inlineStr">
        <is>
          <t>SOP 45-09 (SOP muss noch angepasst werden für VSS)</t>
        </is>
      </c>
      <c r="DM598" s="20" t="inlineStr">
        <is>
          <t>None</t>
        </is>
      </c>
      <c r="DN598" s="17" t="n"/>
      <c r="DO598" s="16" t="n"/>
      <c r="DP598" s="20" t="inlineStr">
        <is>
          <t>IC Organic Acids</t>
        </is>
      </c>
      <c r="DQ598" s="20" t="inlineStr">
        <is>
          <t>None</t>
        </is>
      </c>
      <c r="DR598" s="17" t="n"/>
      <c r="DS598" s="16" t="n"/>
      <c r="DT598" s="20" t="inlineStr">
        <is>
          <t>IC Organic Acids</t>
        </is>
      </c>
      <c r="DU598" s="20" t="inlineStr">
        <is>
          <t>None</t>
        </is>
      </c>
      <c r="DV598" s="17" t="n"/>
      <c r="DW598" s="16" t="n"/>
      <c r="DX598" s="20" t="inlineStr">
        <is>
          <t>IC Organic Acids</t>
        </is>
      </c>
      <c r="DY598" s="20" t="inlineStr">
        <is>
          <t>None</t>
        </is>
      </c>
      <c r="DZ598" s="17" t="n"/>
      <c r="EA598" s="16" t="n"/>
      <c r="EB598" s="20" t="inlineStr">
        <is>
          <t>IC Organic Acids</t>
        </is>
      </c>
      <c r="EC598" s="20" t="inlineStr">
        <is>
          <t>None</t>
        </is>
      </c>
      <c r="ED598" s="17" t="n"/>
      <c r="EE598" s="16" t="n"/>
      <c r="EF598" s="20" t="inlineStr">
        <is>
          <t>IC Organic Acids</t>
        </is>
      </c>
      <c r="EG598" s="20" t="inlineStr">
        <is>
          <t>None</t>
        </is>
      </c>
      <c r="EH598" s="17" t="n"/>
      <c r="EI598" s="16" t="n"/>
      <c r="EJ598" s="20" t="inlineStr">
        <is>
          <t>IC Organic Acids</t>
        </is>
      </c>
      <c r="EK598" s="20" t="inlineStr">
        <is>
          <t>None</t>
        </is>
      </c>
      <c r="EL598" s="17" t="n"/>
      <c r="EM598" s="16" t="n"/>
      <c r="EN598" s="20" t="inlineStr">
        <is>
          <t>IC Organic Acids</t>
        </is>
      </c>
      <c r="EO598" s="20" t="inlineStr">
        <is>
          <t>None</t>
        </is>
      </c>
      <c r="EP598" s="17" t="n"/>
      <c r="EQ598" s="16" t="n"/>
      <c r="ER598" s="20" t="inlineStr">
        <is>
          <t>IC Organic Acids</t>
        </is>
      </c>
      <c r="ES598" s="20" t="inlineStr">
        <is>
          <t>None</t>
        </is>
      </c>
      <c r="ET598" s="17" t="n"/>
      <c r="EU598" s="16" t="n"/>
      <c r="EV598" s="20" t="inlineStr">
        <is>
          <t>LC-MS</t>
        </is>
      </c>
      <c r="EW598" s="20" t="inlineStr">
        <is>
          <t>None</t>
        </is>
      </c>
      <c r="EX598" s="17" t="n"/>
      <c r="EY598" s="21" t="n"/>
      <c r="EZ598">
        <f>CONCATENATE(A598,B598)</f>
        <v/>
      </c>
      <c r="FA598">
        <f>CONCATENATE(SamplesX!A598,SamplesX!B598)</f>
        <v/>
      </c>
      <c r="FC598">
        <f>MATCH(EZ598,FA1:FA1008,0)</f>
        <v/>
      </c>
    </row>
    <row r="599">
      <c r="A599" s="16" t="n"/>
      <c r="B599" s="17" t="n"/>
      <c r="C599" s="10">
        <f>IF(ISNUMBER(FC599),INDIRECT("SamplesX!C"&amp;FC599),IF(ISNUMBER(FD599),INDIRECT("SamplesY!C"&amp;FD599),""))</f>
        <v/>
      </c>
      <c r="D599" s="12">
        <f>IF(ISNUMBER(FC599),INDIRECT("SamplesX!D"&amp;FC599),IF(ISNUMBER(FD599),INDIRECT("SamplesY!D"&amp;FD599),""))</f>
        <v/>
      </c>
      <c r="E599" s="12">
        <f>IF(ISNUMBER(FC599),INDIRECT("SamplesX!E"&amp;FC599),IF(ISNUMBER(FD599),INDIRECT("SamplesY!E"&amp;FD599),""))</f>
        <v/>
      </c>
      <c r="F599" s="11">
        <f>IF(ISNUMBER(FC599),INDIRECT("SamplesX!F"&amp;FC599),IF(ISNUMBER(FD599),INDIRECT("SamplesY!F"&amp;FD599),""))</f>
        <v/>
      </c>
      <c r="G599" s="18">
        <f>IF(ISNUMBER(FC599),INDIRECT("SamplesX!G"&amp;FC599),IF(ISNUMBER(FD599),INDIRECT("SamplesY!G"&amp;FD599),""))</f>
        <v/>
      </c>
      <c r="H599" s="19">
        <f>IF(ISNUMBER(FC599),INDIRECT("SamplesX!H"&amp;FC599),IF(ISNUMBER(FD599),INDIRECT("SamplesY!H"&amp;FD599),""))</f>
        <v/>
      </c>
      <c r="I599" s="16" t="n"/>
      <c r="J599" s="16" t="n"/>
      <c r="K599" s="16" t="n"/>
      <c r="L599" s="20" t="n"/>
      <c r="M599" s="20" t="inlineStr">
        <is>
          <t>None</t>
        </is>
      </c>
      <c r="N599" s="17" t="n"/>
      <c r="O599" s="16" t="n"/>
      <c r="P599" s="20" t="inlineStr">
        <is>
          <t>Shimadzu TOC-L</t>
        </is>
      </c>
      <c r="Q599" s="20" t="inlineStr">
        <is>
          <t>None</t>
        </is>
      </c>
      <c r="R599" s="17" t="n"/>
      <c r="S599" s="16" t="n"/>
      <c r="T599" s="20" t="inlineStr">
        <is>
          <t>Shimadzu TOC-L</t>
        </is>
      </c>
      <c r="U599" s="20" t="inlineStr">
        <is>
          <t>None</t>
        </is>
      </c>
      <c r="V599" s="17" t="n"/>
      <c r="W599" s="16" t="n"/>
      <c r="X599" s="20" t="n"/>
      <c r="Y599" s="20" t="inlineStr">
        <is>
          <t>None</t>
        </is>
      </c>
      <c r="Z599" s="17" t="n"/>
      <c r="AA599" s="16" t="n"/>
      <c r="AB599" s="20" t="n"/>
      <c r="AC599" s="20" t="inlineStr">
        <is>
          <t>None</t>
        </is>
      </c>
      <c r="AD599" s="17" t="n"/>
      <c r="AE599" s="16" t="n"/>
      <c r="AF599" s="20" t="inlineStr">
        <is>
          <t>IC Anionen</t>
        </is>
      </c>
      <c r="AG599" s="20" t="inlineStr">
        <is>
          <t>None</t>
        </is>
      </c>
      <c r="AH599" s="17" t="n"/>
      <c r="AI599" s="16" t="n"/>
      <c r="AJ599" s="20" t="n"/>
      <c r="AK599" s="20" t="inlineStr">
        <is>
          <t>None</t>
        </is>
      </c>
      <c r="AL599" s="17" t="n"/>
      <c r="AM599" s="16" t="n"/>
      <c r="AN599" s="20" t="inlineStr">
        <is>
          <t>IC Anionen</t>
        </is>
      </c>
      <c r="AO599" s="20" t="inlineStr">
        <is>
          <t>None</t>
        </is>
      </c>
      <c r="AP599" s="17" t="n"/>
      <c r="AQ599" s="16" t="n"/>
      <c r="AR599" s="20" t="n"/>
      <c r="AS599" s="20" t="inlineStr">
        <is>
          <t>None</t>
        </is>
      </c>
      <c r="AT599" s="17" t="n"/>
      <c r="AU599" s="16" t="n"/>
      <c r="AV599" s="20" t="n"/>
      <c r="AW599" s="20" t="inlineStr">
        <is>
          <t>None</t>
        </is>
      </c>
      <c r="AX599" s="17" t="n"/>
      <c r="AY599" s="16" t="n"/>
      <c r="AZ599" s="20" t="inlineStr">
        <is>
          <t>IC Anionen</t>
        </is>
      </c>
      <c r="BA599" s="20" t="inlineStr">
        <is>
          <t>None</t>
        </is>
      </c>
      <c r="BB599" s="17" t="n"/>
      <c r="BC599" s="16" t="n"/>
      <c r="BD599" s="20" t="inlineStr">
        <is>
          <t>IC Kationen</t>
        </is>
      </c>
      <c r="BE599" s="20" t="inlineStr">
        <is>
          <t>None</t>
        </is>
      </c>
      <c r="BF599" s="17" t="n"/>
      <c r="BG599" s="16" t="n"/>
      <c r="BH599" s="20" t="inlineStr">
        <is>
          <t>IC Kationen</t>
        </is>
      </c>
      <c r="BI599" s="20" t="inlineStr">
        <is>
          <t>None</t>
        </is>
      </c>
      <c r="BJ599" s="17" t="n"/>
      <c r="BK599" s="16" t="n"/>
      <c r="BL599" s="20" t="inlineStr">
        <is>
          <t>IC Kationen</t>
        </is>
      </c>
      <c r="BM599" s="20" t="inlineStr">
        <is>
          <t>None</t>
        </is>
      </c>
      <c r="BN599" s="17" t="n"/>
      <c r="BO599" s="16" t="n"/>
      <c r="BP599" s="20" t="inlineStr">
        <is>
          <t>IC Kationen</t>
        </is>
      </c>
      <c r="BQ599" s="20" t="inlineStr">
        <is>
          <t>None</t>
        </is>
      </c>
      <c r="BR599" s="17" t="n"/>
      <c r="BS599" s="16" t="n"/>
      <c r="BT599" s="20" t="inlineStr">
        <is>
          <t>IC Kationen</t>
        </is>
      </c>
      <c r="BU599" s="20" t="inlineStr">
        <is>
          <t>None</t>
        </is>
      </c>
      <c r="BV599" s="17" t="n"/>
      <c r="BW599" s="16" t="n"/>
      <c r="BX599" s="20" t="n"/>
      <c r="BY599" s="20" t="inlineStr">
        <is>
          <t>None</t>
        </is>
      </c>
      <c r="BZ599" s="17" t="n"/>
      <c r="CA599" s="16" t="n"/>
      <c r="CB599" s="20" t="n"/>
      <c r="CC599" s="20" t="inlineStr">
        <is>
          <t>None</t>
        </is>
      </c>
      <c r="CD599" s="17" t="n"/>
      <c r="CE599" s="16" t="n"/>
      <c r="CF599" s="20" t="n"/>
      <c r="CG599" s="20" t="inlineStr">
        <is>
          <t>None</t>
        </is>
      </c>
      <c r="CH599" s="17" t="n"/>
      <c r="CI599" s="16" t="n"/>
      <c r="CJ599" s="20" t="n"/>
      <c r="CK599" s="20" t="inlineStr">
        <is>
          <t>None</t>
        </is>
      </c>
      <c r="CL599" s="17" t="n"/>
      <c r="CM599" s="16" t="n"/>
      <c r="CN599" s="20" t="inlineStr">
        <is>
          <t>SOP 45-34</t>
        </is>
      </c>
      <c r="CO599" s="20" t="inlineStr">
        <is>
          <t>None</t>
        </is>
      </c>
      <c r="CP599" s="17" t="n"/>
      <c r="CQ599" s="16" t="n"/>
      <c r="CR599" s="20" t="n"/>
      <c r="CS599" s="20" t="inlineStr">
        <is>
          <t>None</t>
        </is>
      </c>
      <c r="CT599" s="17" t="n"/>
      <c r="CU599" s="16" t="n"/>
      <c r="CV599" s="20" t="n"/>
      <c r="CW599" s="20" t="inlineStr">
        <is>
          <t>None</t>
        </is>
      </c>
      <c r="CX599" s="17" t="n"/>
      <c r="CY599" s="16" t="n"/>
      <c r="CZ599" s="20" t="inlineStr">
        <is>
          <t>WTW Multimeter 3430 with FDO 925</t>
        </is>
      </c>
      <c r="DA599" s="20" t="inlineStr">
        <is>
          <t>None</t>
        </is>
      </c>
      <c r="DB599" s="17" t="n"/>
      <c r="DC599" s="16" t="n"/>
      <c r="DD599" s="20" t="n"/>
      <c r="DE599" s="20" t="inlineStr">
        <is>
          <t>None</t>
        </is>
      </c>
      <c r="DF599" s="17" t="n"/>
      <c r="DG599" s="16" t="n"/>
      <c r="DH599" s="20" t="inlineStr">
        <is>
          <t>SOP 45-09</t>
        </is>
      </c>
      <c r="DI599" s="20" t="inlineStr">
        <is>
          <t>None</t>
        </is>
      </c>
      <c r="DJ599" s="17" t="n"/>
      <c r="DK599" s="16" t="n"/>
      <c r="DL599" s="20" t="inlineStr">
        <is>
          <t>SOP 45-09 (SOP muss noch angepasst werden für VSS)</t>
        </is>
      </c>
      <c r="DM599" s="20" t="inlineStr">
        <is>
          <t>None</t>
        </is>
      </c>
      <c r="DN599" s="17" t="n"/>
      <c r="DO599" s="16" t="n"/>
      <c r="DP599" s="20" t="inlineStr">
        <is>
          <t>IC Organic Acids</t>
        </is>
      </c>
      <c r="DQ599" s="20" t="inlineStr">
        <is>
          <t>None</t>
        </is>
      </c>
      <c r="DR599" s="17" t="n"/>
      <c r="DS599" s="16" t="n"/>
      <c r="DT599" s="20" t="inlineStr">
        <is>
          <t>IC Organic Acids</t>
        </is>
      </c>
      <c r="DU599" s="20" t="inlineStr">
        <is>
          <t>None</t>
        </is>
      </c>
      <c r="DV599" s="17" t="n"/>
      <c r="DW599" s="16" t="n"/>
      <c r="DX599" s="20" t="inlineStr">
        <is>
          <t>IC Organic Acids</t>
        </is>
      </c>
      <c r="DY599" s="20" t="inlineStr">
        <is>
          <t>None</t>
        </is>
      </c>
      <c r="DZ599" s="17" t="n"/>
      <c r="EA599" s="16" t="n"/>
      <c r="EB599" s="20" t="inlineStr">
        <is>
          <t>IC Organic Acids</t>
        </is>
      </c>
      <c r="EC599" s="20" t="inlineStr">
        <is>
          <t>None</t>
        </is>
      </c>
      <c r="ED599" s="17" t="n"/>
      <c r="EE599" s="16" t="n"/>
      <c r="EF599" s="20" t="inlineStr">
        <is>
          <t>IC Organic Acids</t>
        </is>
      </c>
      <c r="EG599" s="20" t="inlineStr">
        <is>
          <t>None</t>
        </is>
      </c>
      <c r="EH599" s="17" t="n"/>
      <c r="EI599" s="16" t="n"/>
      <c r="EJ599" s="20" t="inlineStr">
        <is>
          <t>IC Organic Acids</t>
        </is>
      </c>
      <c r="EK599" s="20" t="inlineStr">
        <is>
          <t>None</t>
        </is>
      </c>
      <c r="EL599" s="17" t="n"/>
      <c r="EM599" s="16" t="n"/>
      <c r="EN599" s="20" t="inlineStr">
        <is>
          <t>IC Organic Acids</t>
        </is>
      </c>
      <c r="EO599" s="20" t="inlineStr">
        <is>
          <t>None</t>
        </is>
      </c>
      <c r="EP599" s="17" t="n"/>
      <c r="EQ599" s="16" t="n"/>
      <c r="ER599" s="20" t="inlineStr">
        <is>
          <t>IC Organic Acids</t>
        </is>
      </c>
      <c r="ES599" s="20" t="inlineStr">
        <is>
          <t>None</t>
        </is>
      </c>
      <c r="ET599" s="17" t="n"/>
      <c r="EU599" s="16" t="n"/>
      <c r="EV599" s="20" t="inlineStr">
        <is>
          <t>LC-MS</t>
        </is>
      </c>
      <c r="EW599" s="20" t="inlineStr">
        <is>
          <t>None</t>
        </is>
      </c>
      <c r="EX599" s="17" t="n"/>
      <c r="EY599" s="21" t="n"/>
      <c r="EZ599">
        <f>CONCATENATE(A599,B599)</f>
        <v/>
      </c>
      <c r="FA599">
        <f>CONCATENATE(SamplesX!A599,SamplesX!B599)</f>
        <v/>
      </c>
      <c r="FC599">
        <f>MATCH(EZ599,FA1:FA1008,0)</f>
        <v/>
      </c>
    </row>
    <row r="600">
      <c r="A600" s="16" t="n"/>
      <c r="B600" s="17" t="n"/>
      <c r="C600" s="10">
        <f>IF(ISNUMBER(FC600),INDIRECT("SamplesX!C"&amp;FC600),IF(ISNUMBER(FD600),INDIRECT("SamplesY!C"&amp;FD600),""))</f>
        <v/>
      </c>
      <c r="D600" s="12">
        <f>IF(ISNUMBER(FC600),INDIRECT("SamplesX!D"&amp;FC600),IF(ISNUMBER(FD600),INDIRECT("SamplesY!D"&amp;FD600),""))</f>
        <v/>
      </c>
      <c r="E600" s="12">
        <f>IF(ISNUMBER(FC600),INDIRECT("SamplesX!E"&amp;FC600),IF(ISNUMBER(FD600),INDIRECT("SamplesY!E"&amp;FD600),""))</f>
        <v/>
      </c>
      <c r="F600" s="11">
        <f>IF(ISNUMBER(FC600),INDIRECT("SamplesX!F"&amp;FC600),IF(ISNUMBER(FD600),INDIRECT("SamplesY!F"&amp;FD600),""))</f>
        <v/>
      </c>
      <c r="G600" s="18">
        <f>IF(ISNUMBER(FC600),INDIRECT("SamplesX!G"&amp;FC600),IF(ISNUMBER(FD600),INDIRECT("SamplesY!G"&amp;FD600),""))</f>
        <v/>
      </c>
      <c r="H600" s="19">
        <f>IF(ISNUMBER(FC600),INDIRECT("SamplesX!H"&amp;FC600),IF(ISNUMBER(FD600),INDIRECT("SamplesY!H"&amp;FD600),""))</f>
        <v/>
      </c>
      <c r="I600" s="16" t="n"/>
      <c r="J600" s="16" t="n"/>
      <c r="K600" s="16" t="n"/>
      <c r="L600" s="20" t="n"/>
      <c r="M600" s="20" t="inlineStr">
        <is>
          <t>None</t>
        </is>
      </c>
      <c r="N600" s="17" t="n"/>
      <c r="O600" s="16" t="n"/>
      <c r="P600" s="20" t="inlineStr">
        <is>
          <t>Shimadzu TOC-L</t>
        </is>
      </c>
      <c r="Q600" s="20" t="inlineStr">
        <is>
          <t>None</t>
        </is>
      </c>
      <c r="R600" s="17" t="n"/>
      <c r="S600" s="16" t="n"/>
      <c r="T600" s="20" t="inlineStr">
        <is>
          <t>Shimadzu TOC-L</t>
        </is>
      </c>
      <c r="U600" s="20" t="inlineStr">
        <is>
          <t>None</t>
        </is>
      </c>
      <c r="V600" s="17" t="n"/>
      <c r="W600" s="16" t="n"/>
      <c r="X600" s="20" t="n"/>
      <c r="Y600" s="20" t="inlineStr">
        <is>
          <t>None</t>
        </is>
      </c>
      <c r="Z600" s="17" t="n"/>
      <c r="AA600" s="16" t="n"/>
      <c r="AB600" s="20" t="n"/>
      <c r="AC600" s="20" t="inlineStr">
        <is>
          <t>None</t>
        </is>
      </c>
      <c r="AD600" s="17" t="n"/>
      <c r="AE600" s="16" t="n"/>
      <c r="AF600" s="20" t="inlineStr">
        <is>
          <t>IC Anionen</t>
        </is>
      </c>
      <c r="AG600" s="20" t="inlineStr">
        <is>
          <t>None</t>
        </is>
      </c>
      <c r="AH600" s="17" t="n"/>
      <c r="AI600" s="16" t="n"/>
      <c r="AJ600" s="20" t="n"/>
      <c r="AK600" s="20" t="inlineStr">
        <is>
          <t>None</t>
        </is>
      </c>
      <c r="AL600" s="17" t="n"/>
      <c r="AM600" s="16" t="n"/>
      <c r="AN600" s="20" t="inlineStr">
        <is>
          <t>IC Anionen</t>
        </is>
      </c>
      <c r="AO600" s="20" t="inlineStr">
        <is>
          <t>None</t>
        </is>
      </c>
      <c r="AP600" s="17" t="n"/>
      <c r="AQ600" s="16" t="n"/>
      <c r="AR600" s="20" t="n"/>
      <c r="AS600" s="20" t="inlineStr">
        <is>
          <t>None</t>
        </is>
      </c>
      <c r="AT600" s="17" t="n"/>
      <c r="AU600" s="16" t="n"/>
      <c r="AV600" s="20" t="n"/>
      <c r="AW600" s="20" t="inlineStr">
        <is>
          <t>None</t>
        </is>
      </c>
      <c r="AX600" s="17" t="n"/>
      <c r="AY600" s="16" t="n"/>
      <c r="AZ600" s="20" t="inlineStr">
        <is>
          <t>IC Anionen</t>
        </is>
      </c>
      <c r="BA600" s="20" t="inlineStr">
        <is>
          <t>None</t>
        </is>
      </c>
      <c r="BB600" s="17" t="n"/>
      <c r="BC600" s="16" t="n"/>
      <c r="BD600" s="20" t="inlineStr">
        <is>
          <t>IC Kationen</t>
        </is>
      </c>
      <c r="BE600" s="20" t="inlineStr">
        <is>
          <t>None</t>
        </is>
      </c>
      <c r="BF600" s="17" t="n"/>
      <c r="BG600" s="16" t="n"/>
      <c r="BH600" s="20" t="inlineStr">
        <is>
          <t>IC Kationen</t>
        </is>
      </c>
      <c r="BI600" s="20" t="inlineStr">
        <is>
          <t>None</t>
        </is>
      </c>
      <c r="BJ600" s="17" t="n"/>
      <c r="BK600" s="16" t="n"/>
      <c r="BL600" s="20" t="inlineStr">
        <is>
          <t>IC Kationen</t>
        </is>
      </c>
      <c r="BM600" s="20" t="inlineStr">
        <is>
          <t>None</t>
        </is>
      </c>
      <c r="BN600" s="17" t="n"/>
      <c r="BO600" s="16" t="n"/>
      <c r="BP600" s="20" t="inlineStr">
        <is>
          <t>IC Kationen</t>
        </is>
      </c>
      <c r="BQ600" s="20" t="inlineStr">
        <is>
          <t>None</t>
        </is>
      </c>
      <c r="BR600" s="17" t="n"/>
      <c r="BS600" s="16" t="n"/>
      <c r="BT600" s="20" t="inlineStr">
        <is>
          <t>IC Kationen</t>
        </is>
      </c>
      <c r="BU600" s="20" t="inlineStr">
        <is>
          <t>None</t>
        </is>
      </c>
      <c r="BV600" s="17" t="n"/>
      <c r="BW600" s="16" t="n"/>
      <c r="BX600" s="20" t="n"/>
      <c r="BY600" s="20" t="inlineStr">
        <is>
          <t>None</t>
        </is>
      </c>
      <c r="BZ600" s="17" t="n"/>
      <c r="CA600" s="16" t="n"/>
      <c r="CB600" s="20" t="n"/>
      <c r="CC600" s="20" t="inlineStr">
        <is>
          <t>None</t>
        </is>
      </c>
      <c r="CD600" s="17" t="n"/>
      <c r="CE600" s="16" t="n"/>
      <c r="CF600" s="20" t="n"/>
      <c r="CG600" s="20" t="inlineStr">
        <is>
          <t>None</t>
        </is>
      </c>
      <c r="CH600" s="17" t="n"/>
      <c r="CI600" s="16" t="n"/>
      <c r="CJ600" s="20" t="n"/>
      <c r="CK600" s="20" t="inlineStr">
        <is>
          <t>None</t>
        </is>
      </c>
      <c r="CL600" s="17" t="n"/>
      <c r="CM600" s="16" t="n"/>
      <c r="CN600" s="20" t="inlineStr">
        <is>
          <t>SOP 45-34</t>
        </is>
      </c>
      <c r="CO600" s="20" t="inlineStr">
        <is>
          <t>None</t>
        </is>
      </c>
      <c r="CP600" s="17" t="n"/>
      <c r="CQ600" s="16" t="n"/>
      <c r="CR600" s="20" t="n"/>
      <c r="CS600" s="20" t="inlineStr">
        <is>
          <t>None</t>
        </is>
      </c>
      <c r="CT600" s="17" t="n"/>
      <c r="CU600" s="16" t="n"/>
      <c r="CV600" s="20" t="n"/>
      <c r="CW600" s="20" t="inlineStr">
        <is>
          <t>None</t>
        </is>
      </c>
      <c r="CX600" s="17" t="n"/>
      <c r="CY600" s="16" t="n"/>
      <c r="CZ600" s="20" t="inlineStr">
        <is>
          <t>WTW Multimeter 3430 with FDO 925</t>
        </is>
      </c>
      <c r="DA600" s="20" t="inlineStr">
        <is>
          <t>None</t>
        </is>
      </c>
      <c r="DB600" s="17" t="n"/>
      <c r="DC600" s="16" t="n"/>
      <c r="DD600" s="20" t="n"/>
      <c r="DE600" s="20" t="inlineStr">
        <is>
          <t>None</t>
        </is>
      </c>
      <c r="DF600" s="17" t="n"/>
      <c r="DG600" s="16" t="n"/>
      <c r="DH600" s="20" t="inlineStr">
        <is>
          <t>SOP 45-09</t>
        </is>
      </c>
      <c r="DI600" s="20" t="inlineStr">
        <is>
          <t>None</t>
        </is>
      </c>
      <c r="DJ600" s="17" t="n"/>
      <c r="DK600" s="16" t="n"/>
      <c r="DL600" s="20" t="inlineStr">
        <is>
          <t>SOP 45-09 (SOP muss noch angepasst werden für VSS)</t>
        </is>
      </c>
      <c r="DM600" s="20" t="inlineStr">
        <is>
          <t>None</t>
        </is>
      </c>
      <c r="DN600" s="17" t="n"/>
      <c r="DO600" s="16" t="n"/>
      <c r="DP600" s="20" t="inlineStr">
        <is>
          <t>IC Organic Acids</t>
        </is>
      </c>
      <c r="DQ600" s="20" t="inlineStr">
        <is>
          <t>None</t>
        </is>
      </c>
      <c r="DR600" s="17" t="n"/>
      <c r="DS600" s="16" t="n"/>
      <c r="DT600" s="20" t="inlineStr">
        <is>
          <t>IC Organic Acids</t>
        </is>
      </c>
      <c r="DU600" s="20" t="inlineStr">
        <is>
          <t>None</t>
        </is>
      </c>
      <c r="DV600" s="17" t="n"/>
      <c r="DW600" s="16" t="n"/>
      <c r="DX600" s="20" t="inlineStr">
        <is>
          <t>IC Organic Acids</t>
        </is>
      </c>
      <c r="DY600" s="20" t="inlineStr">
        <is>
          <t>None</t>
        </is>
      </c>
      <c r="DZ600" s="17" t="n"/>
      <c r="EA600" s="16" t="n"/>
      <c r="EB600" s="20" t="inlineStr">
        <is>
          <t>IC Organic Acids</t>
        </is>
      </c>
      <c r="EC600" s="20" t="inlineStr">
        <is>
          <t>None</t>
        </is>
      </c>
      <c r="ED600" s="17" t="n"/>
      <c r="EE600" s="16" t="n"/>
      <c r="EF600" s="20" t="inlineStr">
        <is>
          <t>IC Organic Acids</t>
        </is>
      </c>
      <c r="EG600" s="20" t="inlineStr">
        <is>
          <t>None</t>
        </is>
      </c>
      <c r="EH600" s="17" t="n"/>
      <c r="EI600" s="16" t="n"/>
      <c r="EJ600" s="20" t="inlineStr">
        <is>
          <t>IC Organic Acids</t>
        </is>
      </c>
      <c r="EK600" s="20" t="inlineStr">
        <is>
          <t>None</t>
        </is>
      </c>
      <c r="EL600" s="17" t="n"/>
      <c r="EM600" s="16" t="n"/>
      <c r="EN600" s="20" t="inlineStr">
        <is>
          <t>IC Organic Acids</t>
        </is>
      </c>
      <c r="EO600" s="20" t="inlineStr">
        <is>
          <t>None</t>
        </is>
      </c>
      <c r="EP600" s="17" t="n"/>
      <c r="EQ600" s="16" t="n"/>
      <c r="ER600" s="20" t="inlineStr">
        <is>
          <t>IC Organic Acids</t>
        </is>
      </c>
      <c r="ES600" s="20" t="inlineStr">
        <is>
          <t>None</t>
        </is>
      </c>
      <c r="ET600" s="17" t="n"/>
      <c r="EU600" s="16" t="n"/>
      <c r="EV600" s="20" t="inlineStr">
        <is>
          <t>LC-MS</t>
        </is>
      </c>
      <c r="EW600" s="20" t="inlineStr">
        <is>
          <t>None</t>
        </is>
      </c>
      <c r="EX600" s="17" t="n"/>
      <c r="EY600" s="21" t="n"/>
      <c r="EZ600">
        <f>CONCATENATE(A600,B600)</f>
        <v/>
      </c>
      <c r="FA600">
        <f>CONCATENATE(SamplesX!A600,SamplesX!B600)</f>
        <v/>
      </c>
      <c r="FC600">
        <f>MATCH(EZ600,FA1:FA1008,0)</f>
        <v/>
      </c>
    </row>
    <row r="601">
      <c r="A601" s="16" t="n"/>
      <c r="B601" s="17" t="n"/>
      <c r="C601" s="10">
        <f>IF(ISNUMBER(FC601),INDIRECT("SamplesX!C"&amp;FC601),IF(ISNUMBER(FD601),INDIRECT("SamplesY!C"&amp;FD601),""))</f>
        <v/>
      </c>
      <c r="D601" s="12">
        <f>IF(ISNUMBER(FC601),INDIRECT("SamplesX!D"&amp;FC601),IF(ISNUMBER(FD601),INDIRECT("SamplesY!D"&amp;FD601),""))</f>
        <v/>
      </c>
      <c r="E601" s="12">
        <f>IF(ISNUMBER(FC601),INDIRECT("SamplesX!E"&amp;FC601),IF(ISNUMBER(FD601),INDIRECT("SamplesY!E"&amp;FD601),""))</f>
        <v/>
      </c>
      <c r="F601" s="11">
        <f>IF(ISNUMBER(FC601),INDIRECT("SamplesX!F"&amp;FC601),IF(ISNUMBER(FD601),INDIRECT("SamplesY!F"&amp;FD601),""))</f>
        <v/>
      </c>
      <c r="G601" s="18">
        <f>IF(ISNUMBER(FC601),INDIRECT("SamplesX!G"&amp;FC601),IF(ISNUMBER(FD601),INDIRECT("SamplesY!G"&amp;FD601),""))</f>
        <v/>
      </c>
      <c r="H601" s="19">
        <f>IF(ISNUMBER(FC601),INDIRECT("SamplesX!H"&amp;FC601),IF(ISNUMBER(FD601),INDIRECT("SamplesY!H"&amp;FD601),""))</f>
        <v/>
      </c>
      <c r="I601" s="16" t="n"/>
      <c r="J601" s="16" t="n"/>
      <c r="K601" s="16" t="n"/>
      <c r="L601" s="20" t="n"/>
      <c r="M601" s="20" t="inlineStr">
        <is>
          <t>None</t>
        </is>
      </c>
      <c r="N601" s="17" t="n"/>
      <c r="O601" s="16" t="n"/>
      <c r="P601" s="20" t="inlineStr">
        <is>
          <t>Shimadzu TOC-L</t>
        </is>
      </c>
      <c r="Q601" s="20" t="inlineStr">
        <is>
          <t>None</t>
        </is>
      </c>
      <c r="R601" s="17" t="n"/>
      <c r="S601" s="16" t="n"/>
      <c r="T601" s="20" t="inlineStr">
        <is>
          <t>Shimadzu TOC-L</t>
        </is>
      </c>
      <c r="U601" s="20" t="inlineStr">
        <is>
          <t>None</t>
        </is>
      </c>
      <c r="V601" s="17" t="n"/>
      <c r="W601" s="16" t="n"/>
      <c r="X601" s="20" t="n"/>
      <c r="Y601" s="20" t="inlineStr">
        <is>
          <t>None</t>
        </is>
      </c>
      <c r="Z601" s="17" t="n"/>
      <c r="AA601" s="16" t="n"/>
      <c r="AB601" s="20" t="n"/>
      <c r="AC601" s="20" t="inlineStr">
        <is>
          <t>None</t>
        </is>
      </c>
      <c r="AD601" s="17" t="n"/>
      <c r="AE601" s="16" t="n"/>
      <c r="AF601" s="20" t="inlineStr">
        <is>
          <t>IC Anionen</t>
        </is>
      </c>
      <c r="AG601" s="20" t="inlineStr">
        <is>
          <t>None</t>
        </is>
      </c>
      <c r="AH601" s="17" t="n"/>
      <c r="AI601" s="16" t="n"/>
      <c r="AJ601" s="20" t="n"/>
      <c r="AK601" s="20" t="inlineStr">
        <is>
          <t>None</t>
        </is>
      </c>
      <c r="AL601" s="17" t="n"/>
      <c r="AM601" s="16" t="n"/>
      <c r="AN601" s="20" t="inlineStr">
        <is>
          <t>IC Anionen</t>
        </is>
      </c>
      <c r="AO601" s="20" t="inlineStr">
        <is>
          <t>None</t>
        </is>
      </c>
      <c r="AP601" s="17" t="n"/>
      <c r="AQ601" s="16" t="n"/>
      <c r="AR601" s="20" t="n"/>
      <c r="AS601" s="20" t="inlineStr">
        <is>
          <t>None</t>
        </is>
      </c>
      <c r="AT601" s="17" t="n"/>
      <c r="AU601" s="16" t="n"/>
      <c r="AV601" s="20" t="n"/>
      <c r="AW601" s="20" t="inlineStr">
        <is>
          <t>None</t>
        </is>
      </c>
      <c r="AX601" s="17" t="n"/>
      <c r="AY601" s="16" t="n"/>
      <c r="AZ601" s="20" t="inlineStr">
        <is>
          <t>IC Anionen</t>
        </is>
      </c>
      <c r="BA601" s="20" t="inlineStr">
        <is>
          <t>None</t>
        </is>
      </c>
      <c r="BB601" s="17" t="n"/>
      <c r="BC601" s="16" t="n"/>
      <c r="BD601" s="20" t="inlineStr">
        <is>
          <t>IC Kationen</t>
        </is>
      </c>
      <c r="BE601" s="20" t="inlineStr">
        <is>
          <t>None</t>
        </is>
      </c>
      <c r="BF601" s="17" t="n"/>
      <c r="BG601" s="16" t="n"/>
      <c r="BH601" s="20" t="inlineStr">
        <is>
          <t>IC Kationen</t>
        </is>
      </c>
      <c r="BI601" s="20" t="inlineStr">
        <is>
          <t>None</t>
        </is>
      </c>
      <c r="BJ601" s="17" t="n"/>
      <c r="BK601" s="16" t="n"/>
      <c r="BL601" s="20" t="inlineStr">
        <is>
          <t>IC Kationen</t>
        </is>
      </c>
      <c r="BM601" s="20" t="inlineStr">
        <is>
          <t>None</t>
        </is>
      </c>
      <c r="BN601" s="17" t="n"/>
      <c r="BO601" s="16" t="n"/>
      <c r="BP601" s="20" t="inlineStr">
        <is>
          <t>IC Kationen</t>
        </is>
      </c>
      <c r="BQ601" s="20" t="inlineStr">
        <is>
          <t>None</t>
        </is>
      </c>
      <c r="BR601" s="17" t="n"/>
      <c r="BS601" s="16" t="n"/>
      <c r="BT601" s="20" t="inlineStr">
        <is>
          <t>IC Kationen</t>
        </is>
      </c>
      <c r="BU601" s="20" t="inlineStr">
        <is>
          <t>None</t>
        </is>
      </c>
      <c r="BV601" s="17" t="n"/>
      <c r="BW601" s="16" t="n"/>
      <c r="BX601" s="20" t="n"/>
      <c r="BY601" s="20" t="inlineStr">
        <is>
          <t>None</t>
        </is>
      </c>
      <c r="BZ601" s="17" t="n"/>
      <c r="CA601" s="16" t="n"/>
      <c r="CB601" s="20" t="n"/>
      <c r="CC601" s="20" t="inlineStr">
        <is>
          <t>None</t>
        </is>
      </c>
      <c r="CD601" s="17" t="n"/>
      <c r="CE601" s="16" t="n"/>
      <c r="CF601" s="20" t="n"/>
      <c r="CG601" s="20" t="inlineStr">
        <is>
          <t>None</t>
        </is>
      </c>
      <c r="CH601" s="17" t="n"/>
      <c r="CI601" s="16" t="n"/>
      <c r="CJ601" s="20" t="n"/>
      <c r="CK601" s="20" t="inlineStr">
        <is>
          <t>None</t>
        </is>
      </c>
      <c r="CL601" s="17" t="n"/>
      <c r="CM601" s="16" t="n"/>
      <c r="CN601" s="20" t="inlineStr">
        <is>
          <t>SOP 45-34</t>
        </is>
      </c>
      <c r="CO601" s="20" t="inlineStr">
        <is>
          <t>None</t>
        </is>
      </c>
      <c r="CP601" s="17" t="n"/>
      <c r="CQ601" s="16" t="n"/>
      <c r="CR601" s="20" t="n"/>
      <c r="CS601" s="20" t="inlineStr">
        <is>
          <t>None</t>
        </is>
      </c>
      <c r="CT601" s="17" t="n"/>
      <c r="CU601" s="16" t="n"/>
      <c r="CV601" s="20" t="n"/>
      <c r="CW601" s="20" t="inlineStr">
        <is>
          <t>None</t>
        </is>
      </c>
      <c r="CX601" s="17" t="n"/>
      <c r="CY601" s="16" t="n"/>
      <c r="CZ601" s="20" t="inlineStr">
        <is>
          <t>WTW Multimeter 3430 with FDO 925</t>
        </is>
      </c>
      <c r="DA601" s="20" t="inlineStr">
        <is>
          <t>None</t>
        </is>
      </c>
      <c r="DB601" s="17" t="n"/>
      <c r="DC601" s="16" t="n"/>
      <c r="DD601" s="20" t="n"/>
      <c r="DE601" s="20" t="inlineStr">
        <is>
          <t>None</t>
        </is>
      </c>
      <c r="DF601" s="17" t="n"/>
      <c r="DG601" s="16" t="n"/>
      <c r="DH601" s="20" t="inlineStr">
        <is>
          <t>SOP 45-09</t>
        </is>
      </c>
      <c r="DI601" s="20" t="inlineStr">
        <is>
          <t>None</t>
        </is>
      </c>
      <c r="DJ601" s="17" t="n"/>
      <c r="DK601" s="16" t="n"/>
      <c r="DL601" s="20" t="inlineStr">
        <is>
          <t>SOP 45-09 (SOP muss noch angepasst werden für VSS)</t>
        </is>
      </c>
      <c r="DM601" s="20" t="inlineStr">
        <is>
          <t>None</t>
        </is>
      </c>
      <c r="DN601" s="17" t="n"/>
      <c r="DO601" s="16" t="n"/>
      <c r="DP601" s="20" t="inlineStr">
        <is>
          <t>IC Organic Acids</t>
        </is>
      </c>
      <c r="DQ601" s="20" t="inlineStr">
        <is>
          <t>None</t>
        </is>
      </c>
      <c r="DR601" s="17" t="n"/>
      <c r="DS601" s="16" t="n"/>
      <c r="DT601" s="20" t="inlineStr">
        <is>
          <t>IC Organic Acids</t>
        </is>
      </c>
      <c r="DU601" s="20" t="inlineStr">
        <is>
          <t>None</t>
        </is>
      </c>
      <c r="DV601" s="17" t="n"/>
      <c r="DW601" s="16" t="n"/>
      <c r="DX601" s="20" t="inlineStr">
        <is>
          <t>IC Organic Acids</t>
        </is>
      </c>
      <c r="DY601" s="20" t="inlineStr">
        <is>
          <t>None</t>
        </is>
      </c>
      <c r="DZ601" s="17" t="n"/>
      <c r="EA601" s="16" t="n"/>
      <c r="EB601" s="20" t="inlineStr">
        <is>
          <t>IC Organic Acids</t>
        </is>
      </c>
      <c r="EC601" s="20" t="inlineStr">
        <is>
          <t>None</t>
        </is>
      </c>
      <c r="ED601" s="17" t="n"/>
      <c r="EE601" s="16" t="n"/>
      <c r="EF601" s="20" t="inlineStr">
        <is>
          <t>IC Organic Acids</t>
        </is>
      </c>
      <c r="EG601" s="20" t="inlineStr">
        <is>
          <t>None</t>
        </is>
      </c>
      <c r="EH601" s="17" t="n"/>
      <c r="EI601" s="16" t="n"/>
      <c r="EJ601" s="20" t="inlineStr">
        <is>
          <t>IC Organic Acids</t>
        </is>
      </c>
      <c r="EK601" s="20" t="inlineStr">
        <is>
          <t>None</t>
        </is>
      </c>
      <c r="EL601" s="17" t="n"/>
      <c r="EM601" s="16" t="n"/>
      <c r="EN601" s="20" t="inlineStr">
        <is>
          <t>IC Organic Acids</t>
        </is>
      </c>
      <c r="EO601" s="20" t="inlineStr">
        <is>
          <t>None</t>
        </is>
      </c>
      <c r="EP601" s="17" t="n"/>
      <c r="EQ601" s="16" t="n"/>
      <c r="ER601" s="20" t="inlineStr">
        <is>
          <t>IC Organic Acids</t>
        </is>
      </c>
      <c r="ES601" s="20" t="inlineStr">
        <is>
          <t>None</t>
        </is>
      </c>
      <c r="ET601" s="17" t="n"/>
      <c r="EU601" s="16" t="n"/>
      <c r="EV601" s="20" t="inlineStr">
        <is>
          <t>LC-MS</t>
        </is>
      </c>
      <c r="EW601" s="20" t="inlineStr">
        <is>
          <t>None</t>
        </is>
      </c>
      <c r="EX601" s="17" t="n"/>
      <c r="EY601" s="21" t="n"/>
      <c r="EZ601">
        <f>CONCATENATE(A601,B601)</f>
        <v/>
      </c>
      <c r="FA601">
        <f>CONCATENATE(SamplesX!A601,SamplesX!B601)</f>
        <v/>
      </c>
      <c r="FC601">
        <f>MATCH(EZ601,FA1:FA1008,0)</f>
        <v/>
      </c>
    </row>
    <row r="602">
      <c r="A602" s="16" t="n"/>
      <c r="B602" s="17" t="n"/>
      <c r="C602" s="10">
        <f>IF(ISNUMBER(FC602),INDIRECT("SamplesX!C"&amp;FC602),IF(ISNUMBER(FD602),INDIRECT("SamplesY!C"&amp;FD602),""))</f>
        <v/>
      </c>
      <c r="D602" s="12">
        <f>IF(ISNUMBER(FC602),INDIRECT("SamplesX!D"&amp;FC602),IF(ISNUMBER(FD602),INDIRECT("SamplesY!D"&amp;FD602),""))</f>
        <v/>
      </c>
      <c r="E602" s="12">
        <f>IF(ISNUMBER(FC602),INDIRECT("SamplesX!E"&amp;FC602),IF(ISNUMBER(FD602),INDIRECT("SamplesY!E"&amp;FD602),""))</f>
        <v/>
      </c>
      <c r="F602" s="11">
        <f>IF(ISNUMBER(FC602),INDIRECT("SamplesX!F"&amp;FC602),IF(ISNUMBER(FD602),INDIRECT("SamplesY!F"&amp;FD602),""))</f>
        <v/>
      </c>
      <c r="G602" s="18">
        <f>IF(ISNUMBER(FC602),INDIRECT("SamplesX!G"&amp;FC602),IF(ISNUMBER(FD602),INDIRECT("SamplesY!G"&amp;FD602),""))</f>
        <v/>
      </c>
      <c r="H602" s="19">
        <f>IF(ISNUMBER(FC602),INDIRECT("SamplesX!H"&amp;FC602),IF(ISNUMBER(FD602),INDIRECT("SamplesY!H"&amp;FD602),""))</f>
        <v/>
      </c>
      <c r="I602" s="16" t="n"/>
      <c r="J602" s="16" t="n"/>
      <c r="K602" s="16" t="n"/>
      <c r="L602" s="20" t="n"/>
      <c r="M602" s="20" t="inlineStr">
        <is>
          <t>None</t>
        </is>
      </c>
      <c r="N602" s="17" t="n"/>
      <c r="O602" s="16" t="n"/>
      <c r="P602" s="20" t="inlineStr">
        <is>
          <t>Shimadzu TOC-L</t>
        </is>
      </c>
      <c r="Q602" s="20" t="inlineStr">
        <is>
          <t>None</t>
        </is>
      </c>
      <c r="R602" s="17" t="n"/>
      <c r="S602" s="16" t="n"/>
      <c r="T602" s="20" t="inlineStr">
        <is>
          <t>Shimadzu TOC-L</t>
        </is>
      </c>
      <c r="U602" s="20" t="inlineStr">
        <is>
          <t>None</t>
        </is>
      </c>
      <c r="V602" s="17" t="n"/>
      <c r="W602" s="16" t="n"/>
      <c r="X602" s="20" t="n"/>
      <c r="Y602" s="20" t="inlineStr">
        <is>
          <t>None</t>
        </is>
      </c>
      <c r="Z602" s="17" t="n"/>
      <c r="AA602" s="16" t="n"/>
      <c r="AB602" s="20" t="n"/>
      <c r="AC602" s="20" t="inlineStr">
        <is>
          <t>None</t>
        </is>
      </c>
      <c r="AD602" s="17" t="n"/>
      <c r="AE602" s="16" t="n"/>
      <c r="AF602" s="20" t="inlineStr">
        <is>
          <t>IC Anionen</t>
        </is>
      </c>
      <c r="AG602" s="20" t="inlineStr">
        <is>
          <t>None</t>
        </is>
      </c>
      <c r="AH602" s="17" t="n"/>
      <c r="AI602" s="16" t="n"/>
      <c r="AJ602" s="20" t="n"/>
      <c r="AK602" s="20" t="inlineStr">
        <is>
          <t>None</t>
        </is>
      </c>
      <c r="AL602" s="17" t="n"/>
      <c r="AM602" s="16" t="n"/>
      <c r="AN602" s="20" t="inlineStr">
        <is>
          <t>IC Anionen</t>
        </is>
      </c>
      <c r="AO602" s="20" t="inlineStr">
        <is>
          <t>None</t>
        </is>
      </c>
      <c r="AP602" s="17" t="n"/>
      <c r="AQ602" s="16" t="n"/>
      <c r="AR602" s="20" t="n"/>
      <c r="AS602" s="20" t="inlineStr">
        <is>
          <t>None</t>
        </is>
      </c>
      <c r="AT602" s="17" t="n"/>
      <c r="AU602" s="16" t="n"/>
      <c r="AV602" s="20" t="n"/>
      <c r="AW602" s="20" t="inlineStr">
        <is>
          <t>None</t>
        </is>
      </c>
      <c r="AX602" s="17" t="n"/>
      <c r="AY602" s="16" t="n"/>
      <c r="AZ602" s="20" t="inlineStr">
        <is>
          <t>IC Anionen</t>
        </is>
      </c>
      <c r="BA602" s="20" t="inlineStr">
        <is>
          <t>None</t>
        </is>
      </c>
      <c r="BB602" s="17" t="n"/>
      <c r="BC602" s="16" t="n"/>
      <c r="BD602" s="20" t="inlineStr">
        <is>
          <t>IC Kationen</t>
        </is>
      </c>
      <c r="BE602" s="20" t="inlineStr">
        <is>
          <t>None</t>
        </is>
      </c>
      <c r="BF602" s="17" t="n"/>
      <c r="BG602" s="16" t="n"/>
      <c r="BH602" s="20" t="inlineStr">
        <is>
          <t>IC Kationen</t>
        </is>
      </c>
      <c r="BI602" s="20" t="inlineStr">
        <is>
          <t>None</t>
        </is>
      </c>
      <c r="BJ602" s="17" t="n"/>
      <c r="BK602" s="16" t="n"/>
      <c r="BL602" s="20" t="inlineStr">
        <is>
          <t>IC Kationen</t>
        </is>
      </c>
      <c r="BM602" s="20" t="inlineStr">
        <is>
          <t>None</t>
        </is>
      </c>
      <c r="BN602" s="17" t="n"/>
      <c r="BO602" s="16" t="n"/>
      <c r="BP602" s="20" t="inlineStr">
        <is>
          <t>IC Kationen</t>
        </is>
      </c>
      <c r="BQ602" s="20" t="inlineStr">
        <is>
          <t>None</t>
        </is>
      </c>
      <c r="BR602" s="17" t="n"/>
      <c r="BS602" s="16" t="n"/>
      <c r="BT602" s="20" t="inlineStr">
        <is>
          <t>IC Kationen</t>
        </is>
      </c>
      <c r="BU602" s="20" t="inlineStr">
        <is>
          <t>None</t>
        </is>
      </c>
      <c r="BV602" s="17" t="n"/>
      <c r="BW602" s="16" t="n"/>
      <c r="BX602" s="20" t="n"/>
      <c r="BY602" s="20" t="inlineStr">
        <is>
          <t>None</t>
        </is>
      </c>
      <c r="BZ602" s="17" t="n"/>
      <c r="CA602" s="16" t="n"/>
      <c r="CB602" s="20" t="n"/>
      <c r="CC602" s="20" t="inlineStr">
        <is>
          <t>None</t>
        </is>
      </c>
      <c r="CD602" s="17" t="n"/>
      <c r="CE602" s="16" t="n"/>
      <c r="CF602" s="20" t="n"/>
      <c r="CG602" s="20" t="inlineStr">
        <is>
          <t>None</t>
        </is>
      </c>
      <c r="CH602" s="17" t="n"/>
      <c r="CI602" s="16" t="n"/>
      <c r="CJ602" s="20" t="n"/>
      <c r="CK602" s="20" t="inlineStr">
        <is>
          <t>None</t>
        </is>
      </c>
      <c r="CL602" s="17" t="n"/>
      <c r="CM602" s="16" t="n"/>
      <c r="CN602" s="20" t="inlineStr">
        <is>
          <t>SOP 45-34</t>
        </is>
      </c>
      <c r="CO602" s="20" t="inlineStr">
        <is>
          <t>None</t>
        </is>
      </c>
      <c r="CP602" s="17" t="n"/>
      <c r="CQ602" s="16" t="n"/>
      <c r="CR602" s="20" t="n"/>
      <c r="CS602" s="20" t="inlineStr">
        <is>
          <t>None</t>
        </is>
      </c>
      <c r="CT602" s="17" t="n"/>
      <c r="CU602" s="16" t="n"/>
      <c r="CV602" s="20" t="n"/>
      <c r="CW602" s="20" t="inlineStr">
        <is>
          <t>None</t>
        </is>
      </c>
      <c r="CX602" s="17" t="n"/>
      <c r="CY602" s="16" t="n"/>
      <c r="CZ602" s="20" t="inlineStr">
        <is>
          <t>WTW Multimeter 3430 with FDO 925</t>
        </is>
      </c>
      <c r="DA602" s="20" t="inlineStr">
        <is>
          <t>None</t>
        </is>
      </c>
      <c r="DB602" s="17" t="n"/>
      <c r="DC602" s="16" t="n"/>
      <c r="DD602" s="20" t="n"/>
      <c r="DE602" s="20" t="inlineStr">
        <is>
          <t>None</t>
        </is>
      </c>
      <c r="DF602" s="17" t="n"/>
      <c r="DG602" s="16" t="n"/>
      <c r="DH602" s="20" t="inlineStr">
        <is>
          <t>SOP 45-09</t>
        </is>
      </c>
      <c r="DI602" s="20" t="inlineStr">
        <is>
          <t>None</t>
        </is>
      </c>
      <c r="DJ602" s="17" t="n"/>
      <c r="DK602" s="16" t="n"/>
      <c r="DL602" s="20" t="inlineStr">
        <is>
          <t>SOP 45-09 (SOP muss noch angepasst werden für VSS)</t>
        </is>
      </c>
      <c r="DM602" s="20" t="inlineStr">
        <is>
          <t>None</t>
        </is>
      </c>
      <c r="DN602" s="17" t="n"/>
      <c r="DO602" s="16" t="n"/>
      <c r="DP602" s="20" t="inlineStr">
        <is>
          <t>IC Organic Acids</t>
        </is>
      </c>
      <c r="DQ602" s="20" t="inlineStr">
        <is>
          <t>None</t>
        </is>
      </c>
      <c r="DR602" s="17" t="n"/>
      <c r="DS602" s="16" t="n"/>
      <c r="DT602" s="20" t="inlineStr">
        <is>
          <t>IC Organic Acids</t>
        </is>
      </c>
      <c r="DU602" s="20" t="inlineStr">
        <is>
          <t>None</t>
        </is>
      </c>
      <c r="DV602" s="17" t="n"/>
      <c r="DW602" s="16" t="n"/>
      <c r="DX602" s="20" t="inlineStr">
        <is>
          <t>IC Organic Acids</t>
        </is>
      </c>
      <c r="DY602" s="20" t="inlineStr">
        <is>
          <t>None</t>
        </is>
      </c>
      <c r="DZ602" s="17" t="n"/>
      <c r="EA602" s="16" t="n"/>
      <c r="EB602" s="20" t="inlineStr">
        <is>
          <t>IC Organic Acids</t>
        </is>
      </c>
      <c r="EC602" s="20" t="inlineStr">
        <is>
          <t>None</t>
        </is>
      </c>
      <c r="ED602" s="17" t="n"/>
      <c r="EE602" s="16" t="n"/>
      <c r="EF602" s="20" t="inlineStr">
        <is>
          <t>IC Organic Acids</t>
        </is>
      </c>
      <c r="EG602" s="20" t="inlineStr">
        <is>
          <t>None</t>
        </is>
      </c>
      <c r="EH602" s="17" t="n"/>
      <c r="EI602" s="16" t="n"/>
      <c r="EJ602" s="20" t="inlineStr">
        <is>
          <t>IC Organic Acids</t>
        </is>
      </c>
      <c r="EK602" s="20" t="inlineStr">
        <is>
          <t>None</t>
        </is>
      </c>
      <c r="EL602" s="17" t="n"/>
      <c r="EM602" s="16" t="n"/>
      <c r="EN602" s="20" t="inlineStr">
        <is>
          <t>IC Organic Acids</t>
        </is>
      </c>
      <c r="EO602" s="20" t="inlineStr">
        <is>
          <t>None</t>
        </is>
      </c>
      <c r="EP602" s="17" t="n"/>
      <c r="EQ602" s="16" t="n"/>
      <c r="ER602" s="20" t="inlineStr">
        <is>
          <t>IC Organic Acids</t>
        </is>
      </c>
      <c r="ES602" s="20" t="inlineStr">
        <is>
          <t>None</t>
        </is>
      </c>
      <c r="ET602" s="17" t="n"/>
      <c r="EU602" s="16" t="n"/>
      <c r="EV602" s="20" t="inlineStr">
        <is>
          <t>LC-MS</t>
        </is>
      </c>
      <c r="EW602" s="20" t="inlineStr">
        <is>
          <t>None</t>
        </is>
      </c>
      <c r="EX602" s="17" t="n"/>
      <c r="EY602" s="21" t="n"/>
      <c r="EZ602">
        <f>CONCATENATE(A602,B602)</f>
        <v/>
      </c>
      <c r="FA602">
        <f>CONCATENATE(SamplesX!A602,SamplesX!B602)</f>
        <v/>
      </c>
      <c r="FC602">
        <f>MATCH(EZ602,FA1:FA1008,0)</f>
        <v/>
      </c>
    </row>
    <row r="603">
      <c r="A603" s="16" t="n"/>
      <c r="B603" s="17" t="n"/>
      <c r="C603" s="10">
        <f>IF(ISNUMBER(FC603),INDIRECT("SamplesX!C"&amp;FC603),IF(ISNUMBER(FD603),INDIRECT("SamplesY!C"&amp;FD603),""))</f>
        <v/>
      </c>
      <c r="D603" s="12">
        <f>IF(ISNUMBER(FC603),INDIRECT("SamplesX!D"&amp;FC603),IF(ISNUMBER(FD603),INDIRECT("SamplesY!D"&amp;FD603),""))</f>
        <v/>
      </c>
      <c r="E603" s="12">
        <f>IF(ISNUMBER(FC603),INDIRECT("SamplesX!E"&amp;FC603),IF(ISNUMBER(FD603),INDIRECT("SamplesY!E"&amp;FD603),""))</f>
        <v/>
      </c>
      <c r="F603" s="11">
        <f>IF(ISNUMBER(FC603),INDIRECT("SamplesX!F"&amp;FC603),IF(ISNUMBER(FD603),INDIRECT("SamplesY!F"&amp;FD603),""))</f>
        <v/>
      </c>
      <c r="G603" s="18">
        <f>IF(ISNUMBER(FC603),INDIRECT("SamplesX!G"&amp;FC603),IF(ISNUMBER(FD603),INDIRECT("SamplesY!G"&amp;FD603),""))</f>
        <v/>
      </c>
      <c r="H603" s="19">
        <f>IF(ISNUMBER(FC603),INDIRECT("SamplesX!H"&amp;FC603),IF(ISNUMBER(FD603),INDIRECT("SamplesY!H"&amp;FD603),""))</f>
        <v/>
      </c>
      <c r="I603" s="16" t="n"/>
      <c r="J603" s="16" t="n"/>
      <c r="K603" s="16" t="n"/>
      <c r="L603" s="20" t="n"/>
      <c r="M603" s="20" t="inlineStr">
        <is>
          <t>None</t>
        </is>
      </c>
      <c r="N603" s="17" t="n"/>
      <c r="O603" s="16" t="n"/>
      <c r="P603" s="20" t="inlineStr">
        <is>
          <t>Shimadzu TOC-L</t>
        </is>
      </c>
      <c r="Q603" s="20" t="inlineStr">
        <is>
          <t>None</t>
        </is>
      </c>
      <c r="R603" s="17" t="n"/>
      <c r="S603" s="16" t="n"/>
      <c r="T603" s="20" t="inlineStr">
        <is>
          <t>Shimadzu TOC-L</t>
        </is>
      </c>
      <c r="U603" s="20" t="inlineStr">
        <is>
          <t>None</t>
        </is>
      </c>
      <c r="V603" s="17" t="n"/>
      <c r="W603" s="16" t="n"/>
      <c r="X603" s="20" t="n"/>
      <c r="Y603" s="20" t="inlineStr">
        <is>
          <t>None</t>
        </is>
      </c>
      <c r="Z603" s="17" t="n"/>
      <c r="AA603" s="16" t="n"/>
      <c r="AB603" s="20" t="n"/>
      <c r="AC603" s="20" t="inlineStr">
        <is>
          <t>None</t>
        </is>
      </c>
      <c r="AD603" s="17" t="n"/>
      <c r="AE603" s="16" t="n"/>
      <c r="AF603" s="20" t="inlineStr">
        <is>
          <t>IC Anionen</t>
        </is>
      </c>
      <c r="AG603" s="20" t="inlineStr">
        <is>
          <t>None</t>
        </is>
      </c>
      <c r="AH603" s="17" t="n"/>
      <c r="AI603" s="16" t="n"/>
      <c r="AJ603" s="20" t="n"/>
      <c r="AK603" s="20" t="inlineStr">
        <is>
          <t>None</t>
        </is>
      </c>
      <c r="AL603" s="17" t="n"/>
      <c r="AM603" s="16" t="n"/>
      <c r="AN603" s="20" t="inlineStr">
        <is>
          <t>IC Anionen</t>
        </is>
      </c>
      <c r="AO603" s="20" t="inlineStr">
        <is>
          <t>None</t>
        </is>
      </c>
      <c r="AP603" s="17" t="n"/>
      <c r="AQ603" s="16" t="n"/>
      <c r="AR603" s="20" t="n"/>
      <c r="AS603" s="20" t="inlineStr">
        <is>
          <t>None</t>
        </is>
      </c>
      <c r="AT603" s="17" t="n"/>
      <c r="AU603" s="16" t="n"/>
      <c r="AV603" s="20" t="n"/>
      <c r="AW603" s="20" t="inlineStr">
        <is>
          <t>None</t>
        </is>
      </c>
      <c r="AX603" s="17" t="n"/>
      <c r="AY603" s="16" t="n"/>
      <c r="AZ603" s="20" t="inlineStr">
        <is>
          <t>IC Anionen</t>
        </is>
      </c>
      <c r="BA603" s="20" t="inlineStr">
        <is>
          <t>None</t>
        </is>
      </c>
      <c r="BB603" s="17" t="n"/>
      <c r="BC603" s="16" t="n"/>
      <c r="BD603" s="20" t="inlineStr">
        <is>
          <t>IC Kationen</t>
        </is>
      </c>
      <c r="BE603" s="20" t="inlineStr">
        <is>
          <t>None</t>
        </is>
      </c>
      <c r="BF603" s="17" t="n"/>
      <c r="BG603" s="16" t="n"/>
      <c r="BH603" s="20" t="inlineStr">
        <is>
          <t>IC Kationen</t>
        </is>
      </c>
      <c r="BI603" s="20" t="inlineStr">
        <is>
          <t>None</t>
        </is>
      </c>
      <c r="BJ603" s="17" t="n"/>
      <c r="BK603" s="16" t="n"/>
      <c r="BL603" s="20" t="inlineStr">
        <is>
          <t>IC Kationen</t>
        </is>
      </c>
      <c r="BM603" s="20" t="inlineStr">
        <is>
          <t>None</t>
        </is>
      </c>
      <c r="BN603" s="17" t="n"/>
      <c r="BO603" s="16" t="n"/>
      <c r="BP603" s="20" t="inlineStr">
        <is>
          <t>IC Kationen</t>
        </is>
      </c>
      <c r="BQ603" s="20" t="inlineStr">
        <is>
          <t>None</t>
        </is>
      </c>
      <c r="BR603" s="17" t="n"/>
      <c r="BS603" s="16" t="n"/>
      <c r="BT603" s="20" t="inlineStr">
        <is>
          <t>IC Kationen</t>
        </is>
      </c>
      <c r="BU603" s="20" t="inlineStr">
        <is>
          <t>None</t>
        </is>
      </c>
      <c r="BV603" s="17" t="n"/>
      <c r="BW603" s="16" t="n"/>
      <c r="BX603" s="20" t="n"/>
      <c r="BY603" s="20" t="inlineStr">
        <is>
          <t>None</t>
        </is>
      </c>
      <c r="BZ603" s="17" t="n"/>
      <c r="CA603" s="16" t="n"/>
      <c r="CB603" s="20" t="n"/>
      <c r="CC603" s="20" t="inlineStr">
        <is>
          <t>None</t>
        </is>
      </c>
      <c r="CD603" s="17" t="n"/>
      <c r="CE603" s="16" t="n"/>
      <c r="CF603" s="20" t="n"/>
      <c r="CG603" s="20" t="inlineStr">
        <is>
          <t>None</t>
        </is>
      </c>
      <c r="CH603" s="17" t="n"/>
      <c r="CI603" s="16" t="n"/>
      <c r="CJ603" s="20" t="n"/>
      <c r="CK603" s="20" t="inlineStr">
        <is>
          <t>None</t>
        </is>
      </c>
      <c r="CL603" s="17" t="n"/>
      <c r="CM603" s="16" t="n"/>
      <c r="CN603" s="20" t="inlineStr">
        <is>
          <t>SOP 45-34</t>
        </is>
      </c>
      <c r="CO603" s="20" t="inlineStr">
        <is>
          <t>None</t>
        </is>
      </c>
      <c r="CP603" s="17" t="n"/>
      <c r="CQ603" s="16" t="n"/>
      <c r="CR603" s="20" t="n"/>
      <c r="CS603" s="20" t="inlineStr">
        <is>
          <t>None</t>
        </is>
      </c>
      <c r="CT603" s="17" t="n"/>
      <c r="CU603" s="16" t="n"/>
      <c r="CV603" s="20" t="n"/>
      <c r="CW603" s="20" t="inlineStr">
        <is>
          <t>None</t>
        </is>
      </c>
      <c r="CX603" s="17" t="n"/>
      <c r="CY603" s="16" t="n"/>
      <c r="CZ603" s="20" t="inlineStr">
        <is>
          <t>WTW Multimeter 3430 with FDO 925</t>
        </is>
      </c>
      <c r="DA603" s="20" t="inlineStr">
        <is>
          <t>None</t>
        </is>
      </c>
      <c r="DB603" s="17" t="n"/>
      <c r="DC603" s="16" t="n"/>
      <c r="DD603" s="20" t="n"/>
      <c r="DE603" s="20" t="inlineStr">
        <is>
          <t>None</t>
        </is>
      </c>
      <c r="DF603" s="17" t="n"/>
      <c r="DG603" s="16" t="n"/>
      <c r="DH603" s="20" t="inlineStr">
        <is>
          <t>SOP 45-09</t>
        </is>
      </c>
      <c r="DI603" s="20" t="inlineStr">
        <is>
          <t>None</t>
        </is>
      </c>
      <c r="DJ603" s="17" t="n"/>
      <c r="DK603" s="16" t="n"/>
      <c r="DL603" s="20" t="inlineStr">
        <is>
          <t>SOP 45-09 (SOP muss noch angepasst werden für VSS)</t>
        </is>
      </c>
      <c r="DM603" s="20" t="inlineStr">
        <is>
          <t>None</t>
        </is>
      </c>
      <c r="DN603" s="17" t="n"/>
      <c r="DO603" s="16" t="n"/>
      <c r="DP603" s="20" t="inlineStr">
        <is>
          <t>IC Organic Acids</t>
        </is>
      </c>
      <c r="DQ603" s="20" t="inlineStr">
        <is>
          <t>None</t>
        </is>
      </c>
      <c r="DR603" s="17" t="n"/>
      <c r="DS603" s="16" t="n"/>
      <c r="DT603" s="20" t="inlineStr">
        <is>
          <t>IC Organic Acids</t>
        </is>
      </c>
      <c r="DU603" s="20" t="inlineStr">
        <is>
          <t>None</t>
        </is>
      </c>
      <c r="DV603" s="17" t="n"/>
      <c r="DW603" s="16" t="n"/>
      <c r="DX603" s="20" t="inlineStr">
        <is>
          <t>IC Organic Acids</t>
        </is>
      </c>
      <c r="DY603" s="20" t="inlineStr">
        <is>
          <t>None</t>
        </is>
      </c>
      <c r="DZ603" s="17" t="n"/>
      <c r="EA603" s="16" t="n"/>
      <c r="EB603" s="20" t="inlineStr">
        <is>
          <t>IC Organic Acids</t>
        </is>
      </c>
      <c r="EC603" s="20" t="inlineStr">
        <is>
          <t>None</t>
        </is>
      </c>
      <c r="ED603" s="17" t="n"/>
      <c r="EE603" s="16" t="n"/>
      <c r="EF603" s="20" t="inlineStr">
        <is>
          <t>IC Organic Acids</t>
        </is>
      </c>
      <c r="EG603" s="20" t="inlineStr">
        <is>
          <t>None</t>
        </is>
      </c>
      <c r="EH603" s="17" t="n"/>
      <c r="EI603" s="16" t="n"/>
      <c r="EJ603" s="20" t="inlineStr">
        <is>
          <t>IC Organic Acids</t>
        </is>
      </c>
      <c r="EK603" s="20" t="inlineStr">
        <is>
          <t>None</t>
        </is>
      </c>
      <c r="EL603" s="17" t="n"/>
      <c r="EM603" s="16" t="n"/>
      <c r="EN603" s="20" t="inlineStr">
        <is>
          <t>IC Organic Acids</t>
        </is>
      </c>
      <c r="EO603" s="20" t="inlineStr">
        <is>
          <t>None</t>
        </is>
      </c>
      <c r="EP603" s="17" t="n"/>
      <c r="EQ603" s="16" t="n"/>
      <c r="ER603" s="20" t="inlineStr">
        <is>
          <t>IC Organic Acids</t>
        </is>
      </c>
      <c r="ES603" s="20" t="inlineStr">
        <is>
          <t>None</t>
        </is>
      </c>
      <c r="ET603" s="17" t="n"/>
      <c r="EU603" s="16" t="n"/>
      <c r="EV603" s="20" t="inlineStr">
        <is>
          <t>LC-MS</t>
        </is>
      </c>
      <c r="EW603" s="20" t="inlineStr">
        <is>
          <t>None</t>
        </is>
      </c>
      <c r="EX603" s="17" t="n"/>
      <c r="EY603" s="21" t="n"/>
      <c r="EZ603">
        <f>CONCATENATE(A603,B603)</f>
        <v/>
      </c>
      <c r="FA603">
        <f>CONCATENATE(SamplesX!A603,SamplesX!B603)</f>
        <v/>
      </c>
      <c r="FC603">
        <f>MATCH(EZ603,FA1:FA1008,0)</f>
        <v/>
      </c>
    </row>
    <row r="604">
      <c r="A604" s="16" t="n"/>
      <c r="B604" s="17" t="n"/>
      <c r="C604" s="10">
        <f>IF(ISNUMBER(FC604),INDIRECT("SamplesX!C"&amp;FC604),IF(ISNUMBER(FD604),INDIRECT("SamplesY!C"&amp;FD604),""))</f>
        <v/>
      </c>
      <c r="D604" s="12">
        <f>IF(ISNUMBER(FC604),INDIRECT("SamplesX!D"&amp;FC604),IF(ISNUMBER(FD604),INDIRECT("SamplesY!D"&amp;FD604),""))</f>
        <v/>
      </c>
      <c r="E604" s="12">
        <f>IF(ISNUMBER(FC604),INDIRECT("SamplesX!E"&amp;FC604),IF(ISNUMBER(FD604),INDIRECT("SamplesY!E"&amp;FD604),""))</f>
        <v/>
      </c>
      <c r="F604" s="11">
        <f>IF(ISNUMBER(FC604),INDIRECT("SamplesX!F"&amp;FC604),IF(ISNUMBER(FD604),INDIRECT("SamplesY!F"&amp;FD604),""))</f>
        <v/>
      </c>
      <c r="G604" s="18">
        <f>IF(ISNUMBER(FC604),INDIRECT("SamplesX!G"&amp;FC604),IF(ISNUMBER(FD604),INDIRECT("SamplesY!G"&amp;FD604),""))</f>
        <v/>
      </c>
      <c r="H604" s="19">
        <f>IF(ISNUMBER(FC604),INDIRECT("SamplesX!H"&amp;FC604),IF(ISNUMBER(FD604),INDIRECT("SamplesY!H"&amp;FD604),""))</f>
        <v/>
      </c>
      <c r="I604" s="16" t="n"/>
      <c r="J604" s="16" t="n"/>
      <c r="K604" s="16" t="n"/>
      <c r="L604" s="20" t="n"/>
      <c r="M604" s="20" t="inlineStr">
        <is>
          <t>None</t>
        </is>
      </c>
      <c r="N604" s="17" t="n"/>
      <c r="O604" s="16" t="n"/>
      <c r="P604" s="20" t="inlineStr">
        <is>
          <t>Shimadzu TOC-L</t>
        </is>
      </c>
      <c r="Q604" s="20" t="inlineStr">
        <is>
          <t>None</t>
        </is>
      </c>
      <c r="R604" s="17" t="n"/>
      <c r="S604" s="16" t="n"/>
      <c r="T604" s="20" t="inlineStr">
        <is>
          <t>Shimadzu TOC-L</t>
        </is>
      </c>
      <c r="U604" s="20" t="inlineStr">
        <is>
          <t>None</t>
        </is>
      </c>
      <c r="V604" s="17" t="n"/>
      <c r="W604" s="16" t="n"/>
      <c r="X604" s="20" t="n"/>
      <c r="Y604" s="20" t="inlineStr">
        <is>
          <t>None</t>
        </is>
      </c>
      <c r="Z604" s="17" t="n"/>
      <c r="AA604" s="16" t="n"/>
      <c r="AB604" s="20" t="n"/>
      <c r="AC604" s="20" t="inlineStr">
        <is>
          <t>None</t>
        </is>
      </c>
      <c r="AD604" s="17" t="n"/>
      <c r="AE604" s="16" t="n"/>
      <c r="AF604" s="20" t="inlineStr">
        <is>
          <t>IC Anionen</t>
        </is>
      </c>
      <c r="AG604" s="20" t="inlineStr">
        <is>
          <t>None</t>
        </is>
      </c>
      <c r="AH604" s="17" t="n"/>
      <c r="AI604" s="16" t="n"/>
      <c r="AJ604" s="20" t="n"/>
      <c r="AK604" s="20" t="inlineStr">
        <is>
          <t>None</t>
        </is>
      </c>
      <c r="AL604" s="17" t="n"/>
      <c r="AM604" s="16" t="n"/>
      <c r="AN604" s="20" t="inlineStr">
        <is>
          <t>IC Anionen</t>
        </is>
      </c>
      <c r="AO604" s="20" t="inlineStr">
        <is>
          <t>None</t>
        </is>
      </c>
      <c r="AP604" s="17" t="n"/>
      <c r="AQ604" s="16" t="n"/>
      <c r="AR604" s="20" t="n"/>
      <c r="AS604" s="20" t="inlineStr">
        <is>
          <t>None</t>
        </is>
      </c>
      <c r="AT604" s="17" t="n"/>
      <c r="AU604" s="16" t="n"/>
      <c r="AV604" s="20" t="n"/>
      <c r="AW604" s="20" t="inlineStr">
        <is>
          <t>None</t>
        </is>
      </c>
      <c r="AX604" s="17" t="n"/>
      <c r="AY604" s="16" t="n"/>
      <c r="AZ604" s="20" t="inlineStr">
        <is>
          <t>IC Anionen</t>
        </is>
      </c>
      <c r="BA604" s="20" t="inlineStr">
        <is>
          <t>None</t>
        </is>
      </c>
      <c r="BB604" s="17" t="n"/>
      <c r="BC604" s="16" t="n"/>
      <c r="BD604" s="20" t="inlineStr">
        <is>
          <t>IC Kationen</t>
        </is>
      </c>
      <c r="BE604" s="20" t="inlineStr">
        <is>
          <t>None</t>
        </is>
      </c>
      <c r="BF604" s="17" t="n"/>
      <c r="BG604" s="16" t="n"/>
      <c r="BH604" s="20" t="inlineStr">
        <is>
          <t>IC Kationen</t>
        </is>
      </c>
      <c r="BI604" s="20" t="inlineStr">
        <is>
          <t>None</t>
        </is>
      </c>
      <c r="BJ604" s="17" t="n"/>
      <c r="BK604" s="16" t="n"/>
      <c r="BL604" s="20" t="inlineStr">
        <is>
          <t>IC Kationen</t>
        </is>
      </c>
      <c r="BM604" s="20" t="inlineStr">
        <is>
          <t>None</t>
        </is>
      </c>
      <c r="BN604" s="17" t="n"/>
      <c r="BO604" s="16" t="n"/>
      <c r="BP604" s="20" t="inlineStr">
        <is>
          <t>IC Kationen</t>
        </is>
      </c>
      <c r="BQ604" s="20" t="inlineStr">
        <is>
          <t>None</t>
        </is>
      </c>
      <c r="BR604" s="17" t="n"/>
      <c r="BS604" s="16" t="n"/>
      <c r="BT604" s="20" t="inlineStr">
        <is>
          <t>IC Kationen</t>
        </is>
      </c>
      <c r="BU604" s="20" t="inlineStr">
        <is>
          <t>None</t>
        </is>
      </c>
      <c r="BV604" s="17" t="n"/>
      <c r="BW604" s="16" t="n"/>
      <c r="BX604" s="20" t="n"/>
      <c r="BY604" s="20" t="inlineStr">
        <is>
          <t>None</t>
        </is>
      </c>
      <c r="BZ604" s="17" t="n"/>
      <c r="CA604" s="16" t="n"/>
      <c r="CB604" s="20" t="n"/>
      <c r="CC604" s="20" t="inlineStr">
        <is>
          <t>None</t>
        </is>
      </c>
      <c r="CD604" s="17" t="n"/>
      <c r="CE604" s="16" t="n"/>
      <c r="CF604" s="20" t="n"/>
      <c r="CG604" s="20" t="inlineStr">
        <is>
          <t>None</t>
        </is>
      </c>
      <c r="CH604" s="17" t="n"/>
      <c r="CI604" s="16" t="n"/>
      <c r="CJ604" s="20" t="n"/>
      <c r="CK604" s="20" t="inlineStr">
        <is>
          <t>None</t>
        </is>
      </c>
      <c r="CL604" s="17" t="n"/>
      <c r="CM604" s="16" t="n"/>
      <c r="CN604" s="20" t="inlineStr">
        <is>
          <t>SOP 45-34</t>
        </is>
      </c>
      <c r="CO604" s="20" t="inlineStr">
        <is>
          <t>None</t>
        </is>
      </c>
      <c r="CP604" s="17" t="n"/>
      <c r="CQ604" s="16" t="n"/>
      <c r="CR604" s="20" t="n"/>
      <c r="CS604" s="20" t="inlineStr">
        <is>
          <t>None</t>
        </is>
      </c>
      <c r="CT604" s="17" t="n"/>
      <c r="CU604" s="16" t="n"/>
      <c r="CV604" s="20" t="n"/>
      <c r="CW604" s="20" t="inlineStr">
        <is>
          <t>None</t>
        </is>
      </c>
      <c r="CX604" s="17" t="n"/>
      <c r="CY604" s="16" t="n"/>
      <c r="CZ604" s="20" t="inlineStr">
        <is>
          <t>WTW Multimeter 3430 with FDO 925</t>
        </is>
      </c>
      <c r="DA604" s="20" t="inlineStr">
        <is>
          <t>None</t>
        </is>
      </c>
      <c r="DB604" s="17" t="n"/>
      <c r="DC604" s="16" t="n"/>
      <c r="DD604" s="20" t="n"/>
      <c r="DE604" s="20" t="inlineStr">
        <is>
          <t>None</t>
        </is>
      </c>
      <c r="DF604" s="17" t="n"/>
      <c r="DG604" s="16" t="n"/>
      <c r="DH604" s="20" t="inlineStr">
        <is>
          <t>SOP 45-09</t>
        </is>
      </c>
      <c r="DI604" s="20" t="inlineStr">
        <is>
          <t>None</t>
        </is>
      </c>
      <c r="DJ604" s="17" t="n"/>
      <c r="DK604" s="16" t="n"/>
      <c r="DL604" s="20" t="inlineStr">
        <is>
          <t>SOP 45-09 (SOP muss noch angepasst werden für VSS)</t>
        </is>
      </c>
      <c r="DM604" s="20" t="inlineStr">
        <is>
          <t>None</t>
        </is>
      </c>
      <c r="DN604" s="17" t="n"/>
      <c r="DO604" s="16" t="n"/>
      <c r="DP604" s="20" t="inlineStr">
        <is>
          <t>IC Organic Acids</t>
        </is>
      </c>
      <c r="DQ604" s="20" t="inlineStr">
        <is>
          <t>None</t>
        </is>
      </c>
      <c r="DR604" s="17" t="n"/>
      <c r="DS604" s="16" t="n"/>
      <c r="DT604" s="20" t="inlineStr">
        <is>
          <t>IC Organic Acids</t>
        </is>
      </c>
      <c r="DU604" s="20" t="inlineStr">
        <is>
          <t>None</t>
        </is>
      </c>
      <c r="DV604" s="17" t="n"/>
      <c r="DW604" s="16" t="n"/>
      <c r="DX604" s="20" t="inlineStr">
        <is>
          <t>IC Organic Acids</t>
        </is>
      </c>
      <c r="DY604" s="20" t="inlineStr">
        <is>
          <t>None</t>
        </is>
      </c>
      <c r="DZ604" s="17" t="n"/>
      <c r="EA604" s="16" t="n"/>
      <c r="EB604" s="20" t="inlineStr">
        <is>
          <t>IC Organic Acids</t>
        </is>
      </c>
      <c r="EC604" s="20" t="inlineStr">
        <is>
          <t>None</t>
        </is>
      </c>
      <c r="ED604" s="17" t="n"/>
      <c r="EE604" s="16" t="n"/>
      <c r="EF604" s="20" t="inlineStr">
        <is>
          <t>IC Organic Acids</t>
        </is>
      </c>
      <c r="EG604" s="20" t="inlineStr">
        <is>
          <t>None</t>
        </is>
      </c>
      <c r="EH604" s="17" t="n"/>
      <c r="EI604" s="16" t="n"/>
      <c r="EJ604" s="20" t="inlineStr">
        <is>
          <t>IC Organic Acids</t>
        </is>
      </c>
      <c r="EK604" s="20" t="inlineStr">
        <is>
          <t>None</t>
        </is>
      </c>
      <c r="EL604" s="17" t="n"/>
      <c r="EM604" s="16" t="n"/>
      <c r="EN604" s="20" t="inlineStr">
        <is>
          <t>IC Organic Acids</t>
        </is>
      </c>
      <c r="EO604" s="20" t="inlineStr">
        <is>
          <t>None</t>
        </is>
      </c>
      <c r="EP604" s="17" t="n"/>
      <c r="EQ604" s="16" t="n"/>
      <c r="ER604" s="20" t="inlineStr">
        <is>
          <t>IC Organic Acids</t>
        </is>
      </c>
      <c r="ES604" s="20" t="inlineStr">
        <is>
          <t>None</t>
        </is>
      </c>
      <c r="ET604" s="17" t="n"/>
      <c r="EU604" s="16" t="n"/>
      <c r="EV604" s="20" t="inlineStr">
        <is>
          <t>LC-MS</t>
        </is>
      </c>
      <c r="EW604" s="20" t="inlineStr">
        <is>
          <t>None</t>
        </is>
      </c>
      <c r="EX604" s="17" t="n"/>
      <c r="EY604" s="21" t="n"/>
      <c r="EZ604">
        <f>CONCATENATE(A604,B604)</f>
        <v/>
      </c>
      <c r="FA604">
        <f>CONCATENATE(SamplesX!A604,SamplesX!B604)</f>
        <v/>
      </c>
      <c r="FC604">
        <f>MATCH(EZ604,FA1:FA1008,0)</f>
        <v/>
      </c>
    </row>
    <row r="605">
      <c r="A605" s="16" t="n"/>
      <c r="B605" s="17" t="n"/>
      <c r="C605" s="10">
        <f>IF(ISNUMBER(FC605),INDIRECT("SamplesX!C"&amp;FC605),IF(ISNUMBER(FD605),INDIRECT("SamplesY!C"&amp;FD605),""))</f>
        <v/>
      </c>
      <c r="D605" s="12">
        <f>IF(ISNUMBER(FC605),INDIRECT("SamplesX!D"&amp;FC605),IF(ISNUMBER(FD605),INDIRECT("SamplesY!D"&amp;FD605),""))</f>
        <v/>
      </c>
      <c r="E605" s="12">
        <f>IF(ISNUMBER(FC605),INDIRECT("SamplesX!E"&amp;FC605),IF(ISNUMBER(FD605),INDIRECT("SamplesY!E"&amp;FD605),""))</f>
        <v/>
      </c>
      <c r="F605" s="11">
        <f>IF(ISNUMBER(FC605),INDIRECT("SamplesX!F"&amp;FC605),IF(ISNUMBER(FD605),INDIRECT("SamplesY!F"&amp;FD605),""))</f>
        <v/>
      </c>
      <c r="G605" s="18">
        <f>IF(ISNUMBER(FC605),INDIRECT("SamplesX!G"&amp;FC605),IF(ISNUMBER(FD605),INDIRECT("SamplesY!G"&amp;FD605),""))</f>
        <v/>
      </c>
      <c r="H605" s="19">
        <f>IF(ISNUMBER(FC605),INDIRECT("SamplesX!H"&amp;FC605),IF(ISNUMBER(FD605),INDIRECT("SamplesY!H"&amp;FD605),""))</f>
        <v/>
      </c>
      <c r="I605" s="16" t="n"/>
      <c r="J605" s="16" t="n"/>
      <c r="K605" s="16" t="n"/>
      <c r="L605" s="20" t="n"/>
      <c r="M605" s="20" t="inlineStr">
        <is>
          <t>None</t>
        </is>
      </c>
      <c r="N605" s="17" t="n"/>
      <c r="O605" s="16" t="n"/>
      <c r="P605" s="20" t="inlineStr">
        <is>
          <t>Shimadzu TOC-L</t>
        </is>
      </c>
      <c r="Q605" s="20" t="inlineStr">
        <is>
          <t>None</t>
        </is>
      </c>
      <c r="R605" s="17" t="n"/>
      <c r="S605" s="16" t="n"/>
      <c r="T605" s="20" t="inlineStr">
        <is>
          <t>Shimadzu TOC-L</t>
        </is>
      </c>
      <c r="U605" s="20" t="inlineStr">
        <is>
          <t>None</t>
        </is>
      </c>
      <c r="V605" s="17" t="n"/>
      <c r="W605" s="16" t="n"/>
      <c r="X605" s="20" t="n"/>
      <c r="Y605" s="20" t="inlineStr">
        <is>
          <t>None</t>
        </is>
      </c>
      <c r="Z605" s="17" t="n"/>
      <c r="AA605" s="16" t="n"/>
      <c r="AB605" s="20" t="n"/>
      <c r="AC605" s="20" t="inlineStr">
        <is>
          <t>None</t>
        </is>
      </c>
      <c r="AD605" s="17" t="n"/>
      <c r="AE605" s="16" t="n"/>
      <c r="AF605" s="20" t="inlineStr">
        <is>
          <t>IC Anionen</t>
        </is>
      </c>
      <c r="AG605" s="20" t="inlineStr">
        <is>
          <t>None</t>
        </is>
      </c>
      <c r="AH605" s="17" t="n"/>
      <c r="AI605" s="16" t="n"/>
      <c r="AJ605" s="20" t="n"/>
      <c r="AK605" s="20" t="inlineStr">
        <is>
          <t>None</t>
        </is>
      </c>
      <c r="AL605" s="17" t="n"/>
      <c r="AM605" s="16" t="n"/>
      <c r="AN605" s="20" t="inlineStr">
        <is>
          <t>IC Anionen</t>
        </is>
      </c>
      <c r="AO605" s="20" t="inlineStr">
        <is>
          <t>None</t>
        </is>
      </c>
      <c r="AP605" s="17" t="n"/>
      <c r="AQ605" s="16" t="n"/>
      <c r="AR605" s="20" t="n"/>
      <c r="AS605" s="20" t="inlineStr">
        <is>
          <t>None</t>
        </is>
      </c>
      <c r="AT605" s="17" t="n"/>
      <c r="AU605" s="16" t="n"/>
      <c r="AV605" s="20" t="n"/>
      <c r="AW605" s="20" t="inlineStr">
        <is>
          <t>None</t>
        </is>
      </c>
      <c r="AX605" s="17" t="n"/>
      <c r="AY605" s="16" t="n"/>
      <c r="AZ605" s="20" t="inlineStr">
        <is>
          <t>IC Anionen</t>
        </is>
      </c>
      <c r="BA605" s="20" t="inlineStr">
        <is>
          <t>None</t>
        </is>
      </c>
      <c r="BB605" s="17" t="n"/>
      <c r="BC605" s="16" t="n"/>
      <c r="BD605" s="20" t="inlineStr">
        <is>
          <t>IC Kationen</t>
        </is>
      </c>
      <c r="BE605" s="20" t="inlineStr">
        <is>
          <t>None</t>
        </is>
      </c>
      <c r="BF605" s="17" t="n"/>
      <c r="BG605" s="16" t="n"/>
      <c r="BH605" s="20" t="inlineStr">
        <is>
          <t>IC Kationen</t>
        </is>
      </c>
      <c r="BI605" s="20" t="inlineStr">
        <is>
          <t>None</t>
        </is>
      </c>
      <c r="BJ605" s="17" t="n"/>
      <c r="BK605" s="16" t="n"/>
      <c r="BL605" s="20" t="inlineStr">
        <is>
          <t>IC Kationen</t>
        </is>
      </c>
      <c r="BM605" s="20" t="inlineStr">
        <is>
          <t>None</t>
        </is>
      </c>
      <c r="BN605" s="17" t="n"/>
      <c r="BO605" s="16" t="n"/>
      <c r="BP605" s="20" t="inlineStr">
        <is>
          <t>IC Kationen</t>
        </is>
      </c>
      <c r="BQ605" s="20" t="inlineStr">
        <is>
          <t>None</t>
        </is>
      </c>
      <c r="BR605" s="17" t="n"/>
      <c r="BS605" s="16" t="n"/>
      <c r="BT605" s="20" t="inlineStr">
        <is>
          <t>IC Kationen</t>
        </is>
      </c>
      <c r="BU605" s="20" t="inlineStr">
        <is>
          <t>None</t>
        </is>
      </c>
      <c r="BV605" s="17" t="n"/>
      <c r="BW605" s="16" t="n"/>
      <c r="BX605" s="20" t="n"/>
      <c r="BY605" s="20" t="inlineStr">
        <is>
          <t>None</t>
        </is>
      </c>
      <c r="BZ605" s="17" t="n"/>
      <c r="CA605" s="16" t="n"/>
      <c r="CB605" s="20" t="n"/>
      <c r="CC605" s="20" t="inlineStr">
        <is>
          <t>None</t>
        </is>
      </c>
      <c r="CD605" s="17" t="n"/>
      <c r="CE605" s="16" t="n"/>
      <c r="CF605" s="20" t="n"/>
      <c r="CG605" s="20" t="inlineStr">
        <is>
          <t>None</t>
        </is>
      </c>
      <c r="CH605" s="17" t="n"/>
      <c r="CI605" s="16" t="n"/>
      <c r="CJ605" s="20" t="n"/>
      <c r="CK605" s="20" t="inlineStr">
        <is>
          <t>None</t>
        </is>
      </c>
      <c r="CL605" s="17" t="n"/>
      <c r="CM605" s="16" t="n"/>
      <c r="CN605" s="20" t="inlineStr">
        <is>
          <t>SOP 45-34</t>
        </is>
      </c>
      <c r="CO605" s="20" t="inlineStr">
        <is>
          <t>None</t>
        </is>
      </c>
      <c r="CP605" s="17" t="n"/>
      <c r="CQ605" s="16" t="n"/>
      <c r="CR605" s="20" t="n"/>
      <c r="CS605" s="20" t="inlineStr">
        <is>
          <t>None</t>
        </is>
      </c>
      <c r="CT605" s="17" t="n"/>
      <c r="CU605" s="16" t="n"/>
      <c r="CV605" s="20" t="n"/>
      <c r="CW605" s="20" t="inlineStr">
        <is>
          <t>None</t>
        </is>
      </c>
      <c r="CX605" s="17" t="n"/>
      <c r="CY605" s="16" t="n"/>
      <c r="CZ605" s="20" t="inlineStr">
        <is>
          <t>WTW Multimeter 3430 with FDO 925</t>
        </is>
      </c>
      <c r="DA605" s="20" t="inlineStr">
        <is>
          <t>None</t>
        </is>
      </c>
      <c r="DB605" s="17" t="n"/>
      <c r="DC605" s="16" t="n"/>
      <c r="DD605" s="20" t="n"/>
      <c r="DE605" s="20" t="inlineStr">
        <is>
          <t>None</t>
        </is>
      </c>
      <c r="DF605" s="17" t="n"/>
      <c r="DG605" s="16" t="n"/>
      <c r="DH605" s="20" t="inlineStr">
        <is>
          <t>SOP 45-09</t>
        </is>
      </c>
      <c r="DI605" s="20" t="inlineStr">
        <is>
          <t>None</t>
        </is>
      </c>
      <c r="DJ605" s="17" t="n"/>
      <c r="DK605" s="16" t="n"/>
      <c r="DL605" s="20" t="inlineStr">
        <is>
          <t>SOP 45-09 (SOP muss noch angepasst werden für VSS)</t>
        </is>
      </c>
      <c r="DM605" s="20" t="inlineStr">
        <is>
          <t>None</t>
        </is>
      </c>
      <c r="DN605" s="17" t="n"/>
      <c r="DO605" s="16" t="n"/>
      <c r="DP605" s="20" t="inlineStr">
        <is>
          <t>IC Organic Acids</t>
        </is>
      </c>
      <c r="DQ605" s="20" t="inlineStr">
        <is>
          <t>None</t>
        </is>
      </c>
      <c r="DR605" s="17" t="n"/>
      <c r="DS605" s="16" t="n"/>
      <c r="DT605" s="20" t="inlineStr">
        <is>
          <t>IC Organic Acids</t>
        </is>
      </c>
      <c r="DU605" s="20" t="inlineStr">
        <is>
          <t>None</t>
        </is>
      </c>
      <c r="DV605" s="17" t="n"/>
      <c r="DW605" s="16" t="n"/>
      <c r="DX605" s="20" t="inlineStr">
        <is>
          <t>IC Organic Acids</t>
        </is>
      </c>
      <c r="DY605" s="20" t="inlineStr">
        <is>
          <t>None</t>
        </is>
      </c>
      <c r="DZ605" s="17" t="n"/>
      <c r="EA605" s="16" t="n"/>
      <c r="EB605" s="20" t="inlineStr">
        <is>
          <t>IC Organic Acids</t>
        </is>
      </c>
      <c r="EC605" s="20" t="inlineStr">
        <is>
          <t>None</t>
        </is>
      </c>
      <c r="ED605" s="17" t="n"/>
      <c r="EE605" s="16" t="n"/>
      <c r="EF605" s="20" t="inlineStr">
        <is>
          <t>IC Organic Acids</t>
        </is>
      </c>
      <c r="EG605" s="20" t="inlineStr">
        <is>
          <t>None</t>
        </is>
      </c>
      <c r="EH605" s="17" t="n"/>
      <c r="EI605" s="16" t="n"/>
      <c r="EJ605" s="20" t="inlineStr">
        <is>
          <t>IC Organic Acids</t>
        </is>
      </c>
      <c r="EK605" s="20" t="inlineStr">
        <is>
          <t>None</t>
        </is>
      </c>
      <c r="EL605" s="17" t="n"/>
      <c r="EM605" s="16" t="n"/>
      <c r="EN605" s="20" t="inlineStr">
        <is>
          <t>IC Organic Acids</t>
        </is>
      </c>
      <c r="EO605" s="20" t="inlineStr">
        <is>
          <t>None</t>
        </is>
      </c>
      <c r="EP605" s="17" t="n"/>
      <c r="EQ605" s="16" t="n"/>
      <c r="ER605" s="20" t="inlineStr">
        <is>
          <t>IC Organic Acids</t>
        </is>
      </c>
      <c r="ES605" s="20" t="inlineStr">
        <is>
          <t>None</t>
        </is>
      </c>
      <c r="ET605" s="17" t="n"/>
      <c r="EU605" s="16" t="n"/>
      <c r="EV605" s="20" t="inlineStr">
        <is>
          <t>LC-MS</t>
        </is>
      </c>
      <c r="EW605" s="20" t="inlineStr">
        <is>
          <t>None</t>
        </is>
      </c>
      <c r="EX605" s="17" t="n"/>
      <c r="EY605" s="21" t="n"/>
      <c r="EZ605">
        <f>CONCATENATE(A605,B605)</f>
        <v/>
      </c>
      <c r="FA605">
        <f>CONCATENATE(SamplesX!A605,SamplesX!B605)</f>
        <v/>
      </c>
      <c r="FC605">
        <f>MATCH(EZ605,FA1:FA1008,0)</f>
        <v/>
      </c>
    </row>
    <row r="606">
      <c r="A606" s="16" t="n"/>
      <c r="B606" s="17" t="n"/>
      <c r="C606" s="10">
        <f>IF(ISNUMBER(FC606),INDIRECT("SamplesX!C"&amp;FC606),IF(ISNUMBER(FD606),INDIRECT("SamplesY!C"&amp;FD606),""))</f>
        <v/>
      </c>
      <c r="D606" s="12">
        <f>IF(ISNUMBER(FC606),INDIRECT("SamplesX!D"&amp;FC606),IF(ISNUMBER(FD606),INDIRECT("SamplesY!D"&amp;FD606),""))</f>
        <v/>
      </c>
      <c r="E606" s="12">
        <f>IF(ISNUMBER(FC606),INDIRECT("SamplesX!E"&amp;FC606),IF(ISNUMBER(FD606),INDIRECT("SamplesY!E"&amp;FD606),""))</f>
        <v/>
      </c>
      <c r="F606" s="11">
        <f>IF(ISNUMBER(FC606),INDIRECT("SamplesX!F"&amp;FC606),IF(ISNUMBER(FD606),INDIRECT("SamplesY!F"&amp;FD606),""))</f>
        <v/>
      </c>
      <c r="G606" s="18">
        <f>IF(ISNUMBER(FC606),INDIRECT("SamplesX!G"&amp;FC606),IF(ISNUMBER(FD606),INDIRECT("SamplesY!G"&amp;FD606),""))</f>
        <v/>
      </c>
      <c r="H606" s="19">
        <f>IF(ISNUMBER(FC606),INDIRECT("SamplesX!H"&amp;FC606),IF(ISNUMBER(FD606),INDIRECT("SamplesY!H"&amp;FD606),""))</f>
        <v/>
      </c>
      <c r="I606" s="16" t="n"/>
      <c r="J606" s="16" t="n"/>
      <c r="K606" s="16" t="n"/>
      <c r="L606" s="20" t="n"/>
      <c r="M606" s="20" t="inlineStr">
        <is>
          <t>None</t>
        </is>
      </c>
      <c r="N606" s="17" t="n"/>
      <c r="O606" s="16" t="n"/>
      <c r="P606" s="20" t="inlineStr">
        <is>
          <t>Shimadzu TOC-L</t>
        </is>
      </c>
      <c r="Q606" s="20" t="inlineStr">
        <is>
          <t>None</t>
        </is>
      </c>
      <c r="R606" s="17" t="n"/>
      <c r="S606" s="16" t="n"/>
      <c r="T606" s="20" t="inlineStr">
        <is>
          <t>Shimadzu TOC-L</t>
        </is>
      </c>
      <c r="U606" s="20" t="inlineStr">
        <is>
          <t>None</t>
        </is>
      </c>
      <c r="V606" s="17" t="n"/>
      <c r="W606" s="16" t="n"/>
      <c r="X606" s="20" t="n"/>
      <c r="Y606" s="20" t="inlineStr">
        <is>
          <t>None</t>
        </is>
      </c>
      <c r="Z606" s="17" t="n"/>
      <c r="AA606" s="16" t="n"/>
      <c r="AB606" s="20" t="n"/>
      <c r="AC606" s="20" t="inlineStr">
        <is>
          <t>None</t>
        </is>
      </c>
      <c r="AD606" s="17" t="n"/>
      <c r="AE606" s="16" t="n"/>
      <c r="AF606" s="20" t="inlineStr">
        <is>
          <t>IC Anionen</t>
        </is>
      </c>
      <c r="AG606" s="20" t="inlineStr">
        <is>
          <t>None</t>
        </is>
      </c>
      <c r="AH606" s="17" t="n"/>
      <c r="AI606" s="16" t="n"/>
      <c r="AJ606" s="20" t="n"/>
      <c r="AK606" s="20" t="inlineStr">
        <is>
          <t>None</t>
        </is>
      </c>
      <c r="AL606" s="17" t="n"/>
      <c r="AM606" s="16" t="n"/>
      <c r="AN606" s="20" t="inlineStr">
        <is>
          <t>IC Anionen</t>
        </is>
      </c>
      <c r="AO606" s="20" t="inlineStr">
        <is>
          <t>None</t>
        </is>
      </c>
      <c r="AP606" s="17" t="n"/>
      <c r="AQ606" s="16" t="n"/>
      <c r="AR606" s="20" t="n"/>
      <c r="AS606" s="20" t="inlineStr">
        <is>
          <t>None</t>
        </is>
      </c>
      <c r="AT606" s="17" t="n"/>
      <c r="AU606" s="16" t="n"/>
      <c r="AV606" s="20" t="n"/>
      <c r="AW606" s="20" t="inlineStr">
        <is>
          <t>None</t>
        </is>
      </c>
      <c r="AX606" s="17" t="n"/>
      <c r="AY606" s="16" t="n"/>
      <c r="AZ606" s="20" t="inlineStr">
        <is>
          <t>IC Anionen</t>
        </is>
      </c>
      <c r="BA606" s="20" t="inlineStr">
        <is>
          <t>None</t>
        </is>
      </c>
      <c r="BB606" s="17" t="n"/>
      <c r="BC606" s="16" t="n"/>
      <c r="BD606" s="20" t="inlineStr">
        <is>
          <t>IC Kationen</t>
        </is>
      </c>
      <c r="BE606" s="20" t="inlineStr">
        <is>
          <t>None</t>
        </is>
      </c>
      <c r="BF606" s="17" t="n"/>
      <c r="BG606" s="16" t="n"/>
      <c r="BH606" s="20" t="inlineStr">
        <is>
          <t>IC Kationen</t>
        </is>
      </c>
      <c r="BI606" s="20" t="inlineStr">
        <is>
          <t>None</t>
        </is>
      </c>
      <c r="BJ606" s="17" t="n"/>
      <c r="BK606" s="16" t="n"/>
      <c r="BL606" s="20" t="inlineStr">
        <is>
          <t>IC Kationen</t>
        </is>
      </c>
      <c r="BM606" s="20" t="inlineStr">
        <is>
          <t>None</t>
        </is>
      </c>
      <c r="BN606" s="17" t="n"/>
      <c r="BO606" s="16" t="n"/>
      <c r="BP606" s="20" t="inlineStr">
        <is>
          <t>IC Kationen</t>
        </is>
      </c>
      <c r="BQ606" s="20" t="inlineStr">
        <is>
          <t>None</t>
        </is>
      </c>
      <c r="BR606" s="17" t="n"/>
      <c r="BS606" s="16" t="n"/>
      <c r="BT606" s="20" t="inlineStr">
        <is>
          <t>IC Kationen</t>
        </is>
      </c>
      <c r="BU606" s="20" t="inlineStr">
        <is>
          <t>None</t>
        </is>
      </c>
      <c r="BV606" s="17" t="n"/>
      <c r="BW606" s="16" t="n"/>
      <c r="BX606" s="20" t="n"/>
      <c r="BY606" s="20" t="inlineStr">
        <is>
          <t>None</t>
        </is>
      </c>
      <c r="BZ606" s="17" t="n"/>
      <c r="CA606" s="16" t="n"/>
      <c r="CB606" s="20" t="n"/>
      <c r="CC606" s="20" t="inlineStr">
        <is>
          <t>None</t>
        </is>
      </c>
      <c r="CD606" s="17" t="n"/>
      <c r="CE606" s="16" t="n"/>
      <c r="CF606" s="20" t="n"/>
      <c r="CG606" s="20" t="inlineStr">
        <is>
          <t>None</t>
        </is>
      </c>
      <c r="CH606" s="17" t="n"/>
      <c r="CI606" s="16" t="n"/>
      <c r="CJ606" s="20" t="n"/>
      <c r="CK606" s="20" t="inlineStr">
        <is>
          <t>None</t>
        </is>
      </c>
      <c r="CL606" s="17" t="n"/>
      <c r="CM606" s="16" t="n"/>
      <c r="CN606" s="20" t="inlineStr">
        <is>
          <t>SOP 45-34</t>
        </is>
      </c>
      <c r="CO606" s="20" t="inlineStr">
        <is>
          <t>None</t>
        </is>
      </c>
      <c r="CP606" s="17" t="n"/>
      <c r="CQ606" s="16" t="n"/>
      <c r="CR606" s="20" t="n"/>
      <c r="CS606" s="20" t="inlineStr">
        <is>
          <t>None</t>
        </is>
      </c>
      <c r="CT606" s="17" t="n"/>
      <c r="CU606" s="16" t="n"/>
      <c r="CV606" s="20" t="n"/>
      <c r="CW606" s="20" t="inlineStr">
        <is>
          <t>None</t>
        </is>
      </c>
      <c r="CX606" s="17" t="n"/>
      <c r="CY606" s="16" t="n"/>
      <c r="CZ606" s="20" t="inlineStr">
        <is>
          <t>WTW Multimeter 3430 with FDO 925</t>
        </is>
      </c>
      <c r="DA606" s="20" t="inlineStr">
        <is>
          <t>None</t>
        </is>
      </c>
      <c r="DB606" s="17" t="n"/>
      <c r="DC606" s="16" t="n"/>
      <c r="DD606" s="20" t="n"/>
      <c r="DE606" s="20" t="inlineStr">
        <is>
          <t>None</t>
        </is>
      </c>
      <c r="DF606" s="17" t="n"/>
      <c r="DG606" s="16" t="n"/>
      <c r="DH606" s="20" t="inlineStr">
        <is>
          <t>SOP 45-09</t>
        </is>
      </c>
      <c r="DI606" s="20" t="inlineStr">
        <is>
          <t>None</t>
        </is>
      </c>
      <c r="DJ606" s="17" t="n"/>
      <c r="DK606" s="16" t="n"/>
      <c r="DL606" s="20" t="inlineStr">
        <is>
          <t>SOP 45-09 (SOP muss noch angepasst werden für VSS)</t>
        </is>
      </c>
      <c r="DM606" s="20" t="inlineStr">
        <is>
          <t>None</t>
        </is>
      </c>
      <c r="DN606" s="17" t="n"/>
      <c r="DO606" s="16" t="n"/>
      <c r="DP606" s="20" t="inlineStr">
        <is>
          <t>IC Organic Acids</t>
        </is>
      </c>
      <c r="DQ606" s="20" t="inlineStr">
        <is>
          <t>None</t>
        </is>
      </c>
      <c r="DR606" s="17" t="n"/>
      <c r="DS606" s="16" t="n"/>
      <c r="DT606" s="20" t="inlineStr">
        <is>
          <t>IC Organic Acids</t>
        </is>
      </c>
      <c r="DU606" s="20" t="inlineStr">
        <is>
          <t>None</t>
        </is>
      </c>
      <c r="DV606" s="17" t="n"/>
      <c r="DW606" s="16" t="n"/>
      <c r="DX606" s="20" t="inlineStr">
        <is>
          <t>IC Organic Acids</t>
        </is>
      </c>
      <c r="DY606" s="20" t="inlineStr">
        <is>
          <t>None</t>
        </is>
      </c>
      <c r="DZ606" s="17" t="n"/>
      <c r="EA606" s="16" t="n"/>
      <c r="EB606" s="20" t="inlineStr">
        <is>
          <t>IC Organic Acids</t>
        </is>
      </c>
      <c r="EC606" s="20" t="inlineStr">
        <is>
          <t>None</t>
        </is>
      </c>
      <c r="ED606" s="17" t="n"/>
      <c r="EE606" s="16" t="n"/>
      <c r="EF606" s="20" t="inlineStr">
        <is>
          <t>IC Organic Acids</t>
        </is>
      </c>
      <c r="EG606" s="20" t="inlineStr">
        <is>
          <t>None</t>
        </is>
      </c>
      <c r="EH606" s="17" t="n"/>
      <c r="EI606" s="16" t="n"/>
      <c r="EJ606" s="20" t="inlineStr">
        <is>
          <t>IC Organic Acids</t>
        </is>
      </c>
      <c r="EK606" s="20" t="inlineStr">
        <is>
          <t>None</t>
        </is>
      </c>
      <c r="EL606" s="17" t="n"/>
      <c r="EM606" s="16" t="n"/>
      <c r="EN606" s="20" t="inlineStr">
        <is>
          <t>IC Organic Acids</t>
        </is>
      </c>
      <c r="EO606" s="20" t="inlineStr">
        <is>
          <t>None</t>
        </is>
      </c>
      <c r="EP606" s="17" t="n"/>
      <c r="EQ606" s="16" t="n"/>
      <c r="ER606" s="20" t="inlineStr">
        <is>
          <t>IC Organic Acids</t>
        </is>
      </c>
      <c r="ES606" s="20" t="inlineStr">
        <is>
          <t>None</t>
        </is>
      </c>
      <c r="ET606" s="17" t="n"/>
      <c r="EU606" s="16" t="n"/>
      <c r="EV606" s="20" t="inlineStr">
        <is>
          <t>LC-MS</t>
        </is>
      </c>
      <c r="EW606" s="20" t="inlineStr">
        <is>
          <t>None</t>
        </is>
      </c>
      <c r="EX606" s="17" t="n"/>
      <c r="EY606" s="21" t="n"/>
      <c r="EZ606">
        <f>CONCATENATE(A606,B606)</f>
        <v/>
      </c>
      <c r="FA606">
        <f>CONCATENATE(SamplesX!A606,SamplesX!B606)</f>
        <v/>
      </c>
      <c r="FC606">
        <f>MATCH(EZ606,FA1:FA1008,0)</f>
        <v/>
      </c>
    </row>
    <row r="607">
      <c r="A607" s="16" t="n"/>
      <c r="B607" s="17" t="n"/>
      <c r="C607" s="10">
        <f>IF(ISNUMBER(FC607),INDIRECT("SamplesX!C"&amp;FC607),IF(ISNUMBER(FD607),INDIRECT("SamplesY!C"&amp;FD607),""))</f>
        <v/>
      </c>
      <c r="D607" s="12">
        <f>IF(ISNUMBER(FC607),INDIRECT("SamplesX!D"&amp;FC607),IF(ISNUMBER(FD607),INDIRECT("SamplesY!D"&amp;FD607),""))</f>
        <v/>
      </c>
      <c r="E607" s="12">
        <f>IF(ISNUMBER(FC607),INDIRECT("SamplesX!E"&amp;FC607),IF(ISNUMBER(FD607),INDIRECT("SamplesY!E"&amp;FD607),""))</f>
        <v/>
      </c>
      <c r="F607" s="11">
        <f>IF(ISNUMBER(FC607),INDIRECT("SamplesX!F"&amp;FC607),IF(ISNUMBER(FD607),INDIRECT("SamplesY!F"&amp;FD607),""))</f>
        <v/>
      </c>
      <c r="G607" s="18">
        <f>IF(ISNUMBER(FC607),INDIRECT("SamplesX!G"&amp;FC607),IF(ISNUMBER(FD607),INDIRECT("SamplesY!G"&amp;FD607),""))</f>
        <v/>
      </c>
      <c r="H607" s="19">
        <f>IF(ISNUMBER(FC607),INDIRECT("SamplesX!H"&amp;FC607),IF(ISNUMBER(FD607),INDIRECT("SamplesY!H"&amp;FD607),""))</f>
        <v/>
      </c>
      <c r="I607" s="16" t="n"/>
      <c r="J607" s="16" t="n"/>
      <c r="K607" s="16" t="n"/>
      <c r="L607" s="20" t="n"/>
      <c r="M607" s="20" t="inlineStr">
        <is>
          <t>None</t>
        </is>
      </c>
      <c r="N607" s="17" t="n"/>
      <c r="O607" s="16" t="n"/>
      <c r="P607" s="20" t="inlineStr">
        <is>
          <t>Shimadzu TOC-L</t>
        </is>
      </c>
      <c r="Q607" s="20" t="inlineStr">
        <is>
          <t>None</t>
        </is>
      </c>
      <c r="R607" s="17" t="n"/>
      <c r="S607" s="16" t="n"/>
      <c r="T607" s="20" t="inlineStr">
        <is>
          <t>Shimadzu TOC-L</t>
        </is>
      </c>
      <c r="U607" s="20" t="inlineStr">
        <is>
          <t>None</t>
        </is>
      </c>
      <c r="V607" s="17" t="n"/>
      <c r="W607" s="16" t="n"/>
      <c r="X607" s="20" t="n"/>
      <c r="Y607" s="20" t="inlineStr">
        <is>
          <t>None</t>
        </is>
      </c>
      <c r="Z607" s="17" t="n"/>
      <c r="AA607" s="16" t="n"/>
      <c r="AB607" s="20" t="n"/>
      <c r="AC607" s="20" t="inlineStr">
        <is>
          <t>None</t>
        </is>
      </c>
      <c r="AD607" s="17" t="n"/>
      <c r="AE607" s="16" t="n"/>
      <c r="AF607" s="20" t="inlineStr">
        <is>
          <t>IC Anionen</t>
        </is>
      </c>
      <c r="AG607" s="20" t="inlineStr">
        <is>
          <t>None</t>
        </is>
      </c>
      <c r="AH607" s="17" t="n"/>
      <c r="AI607" s="16" t="n"/>
      <c r="AJ607" s="20" t="n"/>
      <c r="AK607" s="20" t="inlineStr">
        <is>
          <t>None</t>
        </is>
      </c>
      <c r="AL607" s="17" t="n"/>
      <c r="AM607" s="16" t="n"/>
      <c r="AN607" s="20" t="inlineStr">
        <is>
          <t>IC Anionen</t>
        </is>
      </c>
      <c r="AO607" s="20" t="inlineStr">
        <is>
          <t>None</t>
        </is>
      </c>
      <c r="AP607" s="17" t="n"/>
      <c r="AQ607" s="16" t="n"/>
      <c r="AR607" s="20" t="n"/>
      <c r="AS607" s="20" t="inlineStr">
        <is>
          <t>None</t>
        </is>
      </c>
      <c r="AT607" s="17" t="n"/>
      <c r="AU607" s="16" t="n"/>
      <c r="AV607" s="20" t="n"/>
      <c r="AW607" s="20" t="inlineStr">
        <is>
          <t>None</t>
        </is>
      </c>
      <c r="AX607" s="17" t="n"/>
      <c r="AY607" s="16" t="n"/>
      <c r="AZ607" s="20" t="inlineStr">
        <is>
          <t>IC Anionen</t>
        </is>
      </c>
      <c r="BA607" s="20" t="inlineStr">
        <is>
          <t>None</t>
        </is>
      </c>
      <c r="BB607" s="17" t="n"/>
      <c r="BC607" s="16" t="n"/>
      <c r="BD607" s="20" t="inlineStr">
        <is>
          <t>IC Kationen</t>
        </is>
      </c>
      <c r="BE607" s="20" t="inlineStr">
        <is>
          <t>None</t>
        </is>
      </c>
      <c r="BF607" s="17" t="n"/>
      <c r="BG607" s="16" t="n"/>
      <c r="BH607" s="20" t="inlineStr">
        <is>
          <t>IC Kationen</t>
        </is>
      </c>
      <c r="BI607" s="20" t="inlineStr">
        <is>
          <t>None</t>
        </is>
      </c>
      <c r="BJ607" s="17" t="n"/>
      <c r="BK607" s="16" t="n"/>
      <c r="BL607" s="20" t="inlineStr">
        <is>
          <t>IC Kationen</t>
        </is>
      </c>
      <c r="BM607" s="20" t="inlineStr">
        <is>
          <t>None</t>
        </is>
      </c>
      <c r="BN607" s="17" t="n"/>
      <c r="BO607" s="16" t="n"/>
      <c r="BP607" s="20" t="inlineStr">
        <is>
          <t>IC Kationen</t>
        </is>
      </c>
      <c r="BQ607" s="20" t="inlineStr">
        <is>
          <t>None</t>
        </is>
      </c>
      <c r="BR607" s="17" t="n"/>
      <c r="BS607" s="16" t="n"/>
      <c r="BT607" s="20" t="inlineStr">
        <is>
          <t>IC Kationen</t>
        </is>
      </c>
      <c r="BU607" s="20" t="inlineStr">
        <is>
          <t>None</t>
        </is>
      </c>
      <c r="BV607" s="17" t="n"/>
      <c r="BW607" s="16" t="n"/>
      <c r="BX607" s="20" t="n"/>
      <c r="BY607" s="20" t="inlineStr">
        <is>
          <t>None</t>
        </is>
      </c>
      <c r="BZ607" s="17" t="n"/>
      <c r="CA607" s="16" t="n"/>
      <c r="CB607" s="20" t="n"/>
      <c r="CC607" s="20" t="inlineStr">
        <is>
          <t>None</t>
        </is>
      </c>
      <c r="CD607" s="17" t="n"/>
      <c r="CE607" s="16" t="n"/>
      <c r="CF607" s="20" t="n"/>
      <c r="CG607" s="20" t="inlineStr">
        <is>
          <t>None</t>
        </is>
      </c>
      <c r="CH607" s="17" t="n"/>
      <c r="CI607" s="16" t="n"/>
      <c r="CJ607" s="20" t="n"/>
      <c r="CK607" s="20" t="inlineStr">
        <is>
          <t>None</t>
        </is>
      </c>
      <c r="CL607" s="17" t="n"/>
      <c r="CM607" s="16" t="n"/>
      <c r="CN607" s="20" t="inlineStr">
        <is>
          <t>SOP 45-34</t>
        </is>
      </c>
      <c r="CO607" s="20" t="inlineStr">
        <is>
          <t>None</t>
        </is>
      </c>
      <c r="CP607" s="17" t="n"/>
      <c r="CQ607" s="16" t="n"/>
      <c r="CR607" s="20" t="n"/>
      <c r="CS607" s="20" t="inlineStr">
        <is>
          <t>None</t>
        </is>
      </c>
      <c r="CT607" s="17" t="n"/>
      <c r="CU607" s="16" t="n"/>
      <c r="CV607" s="20" t="n"/>
      <c r="CW607" s="20" t="inlineStr">
        <is>
          <t>None</t>
        </is>
      </c>
      <c r="CX607" s="17" t="n"/>
      <c r="CY607" s="16" t="n"/>
      <c r="CZ607" s="20" t="inlineStr">
        <is>
          <t>WTW Multimeter 3430 with FDO 925</t>
        </is>
      </c>
      <c r="DA607" s="20" t="inlineStr">
        <is>
          <t>None</t>
        </is>
      </c>
      <c r="DB607" s="17" t="n"/>
      <c r="DC607" s="16" t="n"/>
      <c r="DD607" s="20" t="n"/>
      <c r="DE607" s="20" t="inlineStr">
        <is>
          <t>None</t>
        </is>
      </c>
      <c r="DF607" s="17" t="n"/>
      <c r="DG607" s="16" t="n"/>
      <c r="DH607" s="20" t="inlineStr">
        <is>
          <t>SOP 45-09</t>
        </is>
      </c>
      <c r="DI607" s="20" t="inlineStr">
        <is>
          <t>None</t>
        </is>
      </c>
      <c r="DJ607" s="17" t="n"/>
      <c r="DK607" s="16" t="n"/>
      <c r="DL607" s="20" t="inlineStr">
        <is>
          <t>SOP 45-09 (SOP muss noch angepasst werden für VSS)</t>
        </is>
      </c>
      <c r="DM607" s="20" t="inlineStr">
        <is>
          <t>None</t>
        </is>
      </c>
      <c r="DN607" s="17" t="n"/>
      <c r="DO607" s="16" t="n"/>
      <c r="DP607" s="20" t="inlineStr">
        <is>
          <t>IC Organic Acids</t>
        </is>
      </c>
      <c r="DQ607" s="20" t="inlineStr">
        <is>
          <t>None</t>
        </is>
      </c>
      <c r="DR607" s="17" t="n"/>
      <c r="DS607" s="16" t="n"/>
      <c r="DT607" s="20" t="inlineStr">
        <is>
          <t>IC Organic Acids</t>
        </is>
      </c>
      <c r="DU607" s="20" t="inlineStr">
        <is>
          <t>None</t>
        </is>
      </c>
      <c r="DV607" s="17" t="n"/>
      <c r="DW607" s="16" t="n"/>
      <c r="DX607" s="20" t="inlineStr">
        <is>
          <t>IC Organic Acids</t>
        </is>
      </c>
      <c r="DY607" s="20" t="inlineStr">
        <is>
          <t>None</t>
        </is>
      </c>
      <c r="DZ607" s="17" t="n"/>
      <c r="EA607" s="16" t="n"/>
      <c r="EB607" s="20" t="inlineStr">
        <is>
          <t>IC Organic Acids</t>
        </is>
      </c>
      <c r="EC607" s="20" t="inlineStr">
        <is>
          <t>None</t>
        </is>
      </c>
      <c r="ED607" s="17" t="n"/>
      <c r="EE607" s="16" t="n"/>
      <c r="EF607" s="20" t="inlineStr">
        <is>
          <t>IC Organic Acids</t>
        </is>
      </c>
      <c r="EG607" s="20" t="inlineStr">
        <is>
          <t>None</t>
        </is>
      </c>
      <c r="EH607" s="17" t="n"/>
      <c r="EI607" s="16" t="n"/>
      <c r="EJ607" s="20" t="inlineStr">
        <is>
          <t>IC Organic Acids</t>
        </is>
      </c>
      <c r="EK607" s="20" t="inlineStr">
        <is>
          <t>None</t>
        </is>
      </c>
      <c r="EL607" s="17" t="n"/>
      <c r="EM607" s="16" t="n"/>
      <c r="EN607" s="20" t="inlineStr">
        <is>
          <t>IC Organic Acids</t>
        </is>
      </c>
      <c r="EO607" s="20" t="inlineStr">
        <is>
          <t>None</t>
        </is>
      </c>
      <c r="EP607" s="17" t="n"/>
      <c r="EQ607" s="16" t="n"/>
      <c r="ER607" s="20" t="inlineStr">
        <is>
          <t>IC Organic Acids</t>
        </is>
      </c>
      <c r="ES607" s="20" t="inlineStr">
        <is>
          <t>None</t>
        </is>
      </c>
      <c r="ET607" s="17" t="n"/>
      <c r="EU607" s="16" t="n"/>
      <c r="EV607" s="20" t="inlineStr">
        <is>
          <t>LC-MS</t>
        </is>
      </c>
      <c r="EW607" s="20" t="inlineStr">
        <is>
          <t>None</t>
        </is>
      </c>
      <c r="EX607" s="17" t="n"/>
      <c r="EY607" s="21" t="n"/>
      <c r="EZ607">
        <f>CONCATENATE(A607,B607)</f>
        <v/>
      </c>
      <c r="FA607">
        <f>CONCATENATE(SamplesX!A607,SamplesX!B607)</f>
        <v/>
      </c>
      <c r="FC607">
        <f>MATCH(EZ607,FA1:FA1008,0)</f>
        <v/>
      </c>
    </row>
    <row r="608">
      <c r="A608" s="16" t="n"/>
      <c r="B608" s="17" t="n"/>
      <c r="C608" s="10">
        <f>IF(ISNUMBER(FC608),INDIRECT("SamplesX!C"&amp;FC608),IF(ISNUMBER(FD608),INDIRECT("SamplesY!C"&amp;FD608),""))</f>
        <v/>
      </c>
      <c r="D608" s="12">
        <f>IF(ISNUMBER(FC608),INDIRECT("SamplesX!D"&amp;FC608),IF(ISNUMBER(FD608),INDIRECT("SamplesY!D"&amp;FD608),""))</f>
        <v/>
      </c>
      <c r="E608" s="12">
        <f>IF(ISNUMBER(FC608),INDIRECT("SamplesX!E"&amp;FC608),IF(ISNUMBER(FD608),INDIRECT("SamplesY!E"&amp;FD608),""))</f>
        <v/>
      </c>
      <c r="F608" s="11">
        <f>IF(ISNUMBER(FC608),INDIRECT("SamplesX!F"&amp;FC608),IF(ISNUMBER(FD608),INDIRECT("SamplesY!F"&amp;FD608),""))</f>
        <v/>
      </c>
      <c r="G608" s="18">
        <f>IF(ISNUMBER(FC608),INDIRECT("SamplesX!G"&amp;FC608),IF(ISNUMBER(FD608),INDIRECT("SamplesY!G"&amp;FD608),""))</f>
        <v/>
      </c>
      <c r="H608" s="19">
        <f>IF(ISNUMBER(FC608),INDIRECT("SamplesX!H"&amp;FC608),IF(ISNUMBER(FD608),INDIRECT("SamplesY!H"&amp;FD608),""))</f>
        <v/>
      </c>
      <c r="I608" s="16" t="n"/>
      <c r="J608" s="16" t="n"/>
      <c r="K608" s="16" t="n"/>
      <c r="L608" s="20" t="n"/>
      <c r="M608" s="20" t="inlineStr">
        <is>
          <t>None</t>
        </is>
      </c>
      <c r="N608" s="17" t="n"/>
      <c r="O608" s="16" t="n"/>
      <c r="P608" s="20" t="inlineStr">
        <is>
          <t>Shimadzu TOC-L</t>
        </is>
      </c>
      <c r="Q608" s="20" t="inlineStr">
        <is>
          <t>None</t>
        </is>
      </c>
      <c r="R608" s="17" t="n"/>
      <c r="S608" s="16" t="n"/>
      <c r="T608" s="20" t="inlineStr">
        <is>
          <t>Shimadzu TOC-L</t>
        </is>
      </c>
      <c r="U608" s="20" t="inlineStr">
        <is>
          <t>None</t>
        </is>
      </c>
      <c r="V608" s="17" t="n"/>
      <c r="W608" s="16" t="n"/>
      <c r="X608" s="20" t="n"/>
      <c r="Y608" s="20" t="inlineStr">
        <is>
          <t>None</t>
        </is>
      </c>
      <c r="Z608" s="17" t="n"/>
      <c r="AA608" s="16" t="n"/>
      <c r="AB608" s="20" t="n"/>
      <c r="AC608" s="20" t="inlineStr">
        <is>
          <t>None</t>
        </is>
      </c>
      <c r="AD608" s="17" t="n"/>
      <c r="AE608" s="16" t="n"/>
      <c r="AF608" s="20" t="inlineStr">
        <is>
          <t>IC Anionen</t>
        </is>
      </c>
      <c r="AG608" s="20" t="inlineStr">
        <is>
          <t>None</t>
        </is>
      </c>
      <c r="AH608" s="17" t="n"/>
      <c r="AI608" s="16" t="n"/>
      <c r="AJ608" s="20" t="n"/>
      <c r="AK608" s="20" t="inlineStr">
        <is>
          <t>None</t>
        </is>
      </c>
      <c r="AL608" s="17" t="n"/>
      <c r="AM608" s="16" t="n"/>
      <c r="AN608" s="20" t="inlineStr">
        <is>
          <t>IC Anionen</t>
        </is>
      </c>
      <c r="AO608" s="20" t="inlineStr">
        <is>
          <t>None</t>
        </is>
      </c>
      <c r="AP608" s="17" t="n"/>
      <c r="AQ608" s="16" t="n"/>
      <c r="AR608" s="20" t="n"/>
      <c r="AS608" s="20" t="inlineStr">
        <is>
          <t>None</t>
        </is>
      </c>
      <c r="AT608" s="17" t="n"/>
      <c r="AU608" s="16" t="n"/>
      <c r="AV608" s="20" t="n"/>
      <c r="AW608" s="20" t="inlineStr">
        <is>
          <t>None</t>
        </is>
      </c>
      <c r="AX608" s="17" t="n"/>
      <c r="AY608" s="16" t="n"/>
      <c r="AZ608" s="20" t="inlineStr">
        <is>
          <t>IC Anionen</t>
        </is>
      </c>
      <c r="BA608" s="20" t="inlineStr">
        <is>
          <t>None</t>
        </is>
      </c>
      <c r="BB608" s="17" t="n"/>
      <c r="BC608" s="16" t="n"/>
      <c r="BD608" s="20" t="inlineStr">
        <is>
          <t>IC Kationen</t>
        </is>
      </c>
      <c r="BE608" s="20" t="inlineStr">
        <is>
          <t>None</t>
        </is>
      </c>
      <c r="BF608" s="17" t="n"/>
      <c r="BG608" s="16" t="n"/>
      <c r="BH608" s="20" t="inlineStr">
        <is>
          <t>IC Kationen</t>
        </is>
      </c>
      <c r="BI608" s="20" t="inlineStr">
        <is>
          <t>None</t>
        </is>
      </c>
      <c r="BJ608" s="17" t="n"/>
      <c r="BK608" s="16" t="n"/>
      <c r="BL608" s="20" t="inlineStr">
        <is>
          <t>IC Kationen</t>
        </is>
      </c>
      <c r="BM608" s="20" t="inlineStr">
        <is>
          <t>None</t>
        </is>
      </c>
      <c r="BN608" s="17" t="n"/>
      <c r="BO608" s="16" t="n"/>
      <c r="BP608" s="20" t="inlineStr">
        <is>
          <t>IC Kationen</t>
        </is>
      </c>
      <c r="BQ608" s="20" t="inlineStr">
        <is>
          <t>None</t>
        </is>
      </c>
      <c r="BR608" s="17" t="n"/>
      <c r="BS608" s="16" t="n"/>
      <c r="BT608" s="20" t="inlineStr">
        <is>
          <t>IC Kationen</t>
        </is>
      </c>
      <c r="BU608" s="20" t="inlineStr">
        <is>
          <t>None</t>
        </is>
      </c>
      <c r="BV608" s="17" t="n"/>
      <c r="BW608" s="16" t="n"/>
      <c r="BX608" s="20" t="n"/>
      <c r="BY608" s="20" t="inlineStr">
        <is>
          <t>None</t>
        </is>
      </c>
      <c r="BZ608" s="17" t="n"/>
      <c r="CA608" s="16" t="n"/>
      <c r="CB608" s="20" t="n"/>
      <c r="CC608" s="20" t="inlineStr">
        <is>
          <t>None</t>
        </is>
      </c>
      <c r="CD608" s="17" t="n"/>
      <c r="CE608" s="16" t="n"/>
      <c r="CF608" s="20" t="n"/>
      <c r="CG608" s="20" t="inlineStr">
        <is>
          <t>None</t>
        </is>
      </c>
      <c r="CH608" s="17" t="n"/>
      <c r="CI608" s="16" t="n"/>
      <c r="CJ608" s="20" t="n"/>
      <c r="CK608" s="20" t="inlineStr">
        <is>
          <t>None</t>
        </is>
      </c>
      <c r="CL608" s="17" t="n"/>
      <c r="CM608" s="16" t="n"/>
      <c r="CN608" s="20" t="inlineStr">
        <is>
          <t>SOP 45-34</t>
        </is>
      </c>
      <c r="CO608" s="20" t="inlineStr">
        <is>
          <t>None</t>
        </is>
      </c>
      <c r="CP608" s="17" t="n"/>
      <c r="CQ608" s="16" t="n"/>
      <c r="CR608" s="20" t="n"/>
      <c r="CS608" s="20" t="inlineStr">
        <is>
          <t>None</t>
        </is>
      </c>
      <c r="CT608" s="17" t="n"/>
      <c r="CU608" s="16" t="n"/>
      <c r="CV608" s="20" t="n"/>
      <c r="CW608" s="20" t="inlineStr">
        <is>
          <t>None</t>
        </is>
      </c>
      <c r="CX608" s="17" t="n"/>
      <c r="CY608" s="16" t="n"/>
      <c r="CZ608" s="20" t="inlineStr">
        <is>
          <t>WTW Multimeter 3430 with FDO 925</t>
        </is>
      </c>
      <c r="DA608" s="20" t="inlineStr">
        <is>
          <t>None</t>
        </is>
      </c>
      <c r="DB608" s="17" t="n"/>
      <c r="DC608" s="16" t="n"/>
      <c r="DD608" s="20" t="n"/>
      <c r="DE608" s="20" t="inlineStr">
        <is>
          <t>None</t>
        </is>
      </c>
      <c r="DF608" s="17" t="n"/>
      <c r="DG608" s="16" t="n"/>
      <c r="DH608" s="20" t="inlineStr">
        <is>
          <t>SOP 45-09</t>
        </is>
      </c>
      <c r="DI608" s="20" t="inlineStr">
        <is>
          <t>None</t>
        </is>
      </c>
      <c r="DJ608" s="17" t="n"/>
      <c r="DK608" s="16" t="n"/>
      <c r="DL608" s="20" t="inlineStr">
        <is>
          <t>SOP 45-09 (SOP muss noch angepasst werden für VSS)</t>
        </is>
      </c>
      <c r="DM608" s="20" t="inlineStr">
        <is>
          <t>None</t>
        </is>
      </c>
      <c r="DN608" s="17" t="n"/>
      <c r="DO608" s="16" t="n"/>
      <c r="DP608" s="20" t="inlineStr">
        <is>
          <t>IC Organic Acids</t>
        </is>
      </c>
      <c r="DQ608" s="20" t="inlineStr">
        <is>
          <t>None</t>
        </is>
      </c>
      <c r="DR608" s="17" t="n"/>
      <c r="DS608" s="16" t="n"/>
      <c r="DT608" s="20" t="inlineStr">
        <is>
          <t>IC Organic Acids</t>
        </is>
      </c>
      <c r="DU608" s="20" t="inlineStr">
        <is>
          <t>None</t>
        </is>
      </c>
      <c r="DV608" s="17" t="n"/>
      <c r="DW608" s="16" t="n"/>
      <c r="DX608" s="20" t="inlineStr">
        <is>
          <t>IC Organic Acids</t>
        </is>
      </c>
      <c r="DY608" s="20" t="inlineStr">
        <is>
          <t>None</t>
        </is>
      </c>
      <c r="DZ608" s="17" t="n"/>
      <c r="EA608" s="16" t="n"/>
      <c r="EB608" s="20" t="inlineStr">
        <is>
          <t>IC Organic Acids</t>
        </is>
      </c>
      <c r="EC608" s="20" t="inlineStr">
        <is>
          <t>None</t>
        </is>
      </c>
      <c r="ED608" s="17" t="n"/>
      <c r="EE608" s="16" t="n"/>
      <c r="EF608" s="20" t="inlineStr">
        <is>
          <t>IC Organic Acids</t>
        </is>
      </c>
      <c r="EG608" s="20" t="inlineStr">
        <is>
          <t>None</t>
        </is>
      </c>
      <c r="EH608" s="17" t="n"/>
      <c r="EI608" s="16" t="n"/>
      <c r="EJ608" s="20" t="inlineStr">
        <is>
          <t>IC Organic Acids</t>
        </is>
      </c>
      <c r="EK608" s="20" t="inlineStr">
        <is>
          <t>None</t>
        </is>
      </c>
      <c r="EL608" s="17" t="n"/>
      <c r="EM608" s="16" t="n"/>
      <c r="EN608" s="20" t="inlineStr">
        <is>
          <t>IC Organic Acids</t>
        </is>
      </c>
      <c r="EO608" s="20" t="inlineStr">
        <is>
          <t>None</t>
        </is>
      </c>
      <c r="EP608" s="17" t="n"/>
      <c r="EQ608" s="16" t="n"/>
      <c r="ER608" s="20" t="inlineStr">
        <is>
          <t>IC Organic Acids</t>
        </is>
      </c>
      <c r="ES608" s="20" t="inlineStr">
        <is>
          <t>None</t>
        </is>
      </c>
      <c r="ET608" s="17" t="n"/>
      <c r="EU608" s="16" t="n"/>
      <c r="EV608" s="20" t="inlineStr">
        <is>
          <t>LC-MS</t>
        </is>
      </c>
      <c r="EW608" s="20" t="inlineStr">
        <is>
          <t>None</t>
        </is>
      </c>
      <c r="EX608" s="17" t="n"/>
      <c r="EY608" s="21" t="n"/>
      <c r="EZ608">
        <f>CONCATENATE(A608,B608)</f>
        <v/>
      </c>
      <c r="FA608">
        <f>CONCATENATE(SamplesX!A608,SamplesX!B608)</f>
        <v/>
      </c>
      <c r="FC608">
        <f>MATCH(EZ608,FA1:FA1008,0)</f>
        <v/>
      </c>
    </row>
    <row r="609">
      <c r="A609" s="16" t="n"/>
      <c r="B609" s="17" t="n"/>
      <c r="C609" s="10">
        <f>IF(ISNUMBER(FC609),INDIRECT("SamplesX!C"&amp;FC609),IF(ISNUMBER(FD609),INDIRECT("SamplesY!C"&amp;FD609),""))</f>
        <v/>
      </c>
      <c r="D609" s="12">
        <f>IF(ISNUMBER(FC609),INDIRECT("SamplesX!D"&amp;FC609),IF(ISNUMBER(FD609),INDIRECT("SamplesY!D"&amp;FD609),""))</f>
        <v/>
      </c>
      <c r="E609" s="12">
        <f>IF(ISNUMBER(FC609),INDIRECT("SamplesX!E"&amp;FC609),IF(ISNUMBER(FD609),INDIRECT("SamplesY!E"&amp;FD609),""))</f>
        <v/>
      </c>
      <c r="F609" s="11">
        <f>IF(ISNUMBER(FC609),INDIRECT("SamplesX!F"&amp;FC609),IF(ISNUMBER(FD609),INDIRECT("SamplesY!F"&amp;FD609),""))</f>
        <v/>
      </c>
      <c r="G609" s="18">
        <f>IF(ISNUMBER(FC609),INDIRECT("SamplesX!G"&amp;FC609),IF(ISNUMBER(FD609),INDIRECT("SamplesY!G"&amp;FD609),""))</f>
        <v/>
      </c>
      <c r="H609" s="19">
        <f>IF(ISNUMBER(FC609),INDIRECT("SamplesX!H"&amp;FC609),IF(ISNUMBER(FD609),INDIRECT("SamplesY!H"&amp;FD609),""))</f>
        <v/>
      </c>
      <c r="I609" s="16" t="n"/>
      <c r="J609" s="16" t="n"/>
      <c r="K609" s="16" t="n"/>
      <c r="L609" s="20" t="n"/>
      <c r="M609" s="20" t="inlineStr">
        <is>
          <t>None</t>
        </is>
      </c>
      <c r="N609" s="17" t="n"/>
      <c r="O609" s="16" t="n"/>
      <c r="P609" s="20" t="inlineStr">
        <is>
          <t>Shimadzu TOC-L</t>
        </is>
      </c>
      <c r="Q609" s="20" t="inlineStr">
        <is>
          <t>None</t>
        </is>
      </c>
      <c r="R609" s="17" t="n"/>
      <c r="S609" s="16" t="n"/>
      <c r="T609" s="20" t="inlineStr">
        <is>
          <t>Shimadzu TOC-L</t>
        </is>
      </c>
      <c r="U609" s="20" t="inlineStr">
        <is>
          <t>None</t>
        </is>
      </c>
      <c r="V609" s="17" t="n"/>
      <c r="W609" s="16" t="n"/>
      <c r="X609" s="20" t="n"/>
      <c r="Y609" s="20" t="inlineStr">
        <is>
          <t>None</t>
        </is>
      </c>
      <c r="Z609" s="17" t="n"/>
      <c r="AA609" s="16" t="n"/>
      <c r="AB609" s="20" t="n"/>
      <c r="AC609" s="20" t="inlineStr">
        <is>
          <t>None</t>
        </is>
      </c>
      <c r="AD609" s="17" t="n"/>
      <c r="AE609" s="16" t="n"/>
      <c r="AF609" s="20" t="inlineStr">
        <is>
          <t>IC Anionen</t>
        </is>
      </c>
      <c r="AG609" s="20" t="inlineStr">
        <is>
          <t>None</t>
        </is>
      </c>
      <c r="AH609" s="17" t="n"/>
      <c r="AI609" s="16" t="n"/>
      <c r="AJ609" s="20" t="n"/>
      <c r="AK609" s="20" t="inlineStr">
        <is>
          <t>None</t>
        </is>
      </c>
      <c r="AL609" s="17" t="n"/>
      <c r="AM609" s="16" t="n"/>
      <c r="AN609" s="20" t="inlineStr">
        <is>
          <t>IC Anionen</t>
        </is>
      </c>
      <c r="AO609" s="20" t="inlineStr">
        <is>
          <t>None</t>
        </is>
      </c>
      <c r="AP609" s="17" t="n"/>
      <c r="AQ609" s="16" t="n"/>
      <c r="AR609" s="20" t="n"/>
      <c r="AS609" s="20" t="inlineStr">
        <is>
          <t>None</t>
        </is>
      </c>
      <c r="AT609" s="17" t="n"/>
      <c r="AU609" s="16" t="n"/>
      <c r="AV609" s="20" t="n"/>
      <c r="AW609" s="20" t="inlineStr">
        <is>
          <t>None</t>
        </is>
      </c>
      <c r="AX609" s="17" t="n"/>
      <c r="AY609" s="16" t="n"/>
      <c r="AZ609" s="20" t="inlineStr">
        <is>
          <t>IC Anionen</t>
        </is>
      </c>
      <c r="BA609" s="20" t="inlineStr">
        <is>
          <t>None</t>
        </is>
      </c>
      <c r="BB609" s="17" t="n"/>
      <c r="BC609" s="16" t="n"/>
      <c r="BD609" s="20" t="inlineStr">
        <is>
          <t>IC Kationen</t>
        </is>
      </c>
      <c r="BE609" s="20" t="inlineStr">
        <is>
          <t>None</t>
        </is>
      </c>
      <c r="BF609" s="17" t="n"/>
      <c r="BG609" s="16" t="n"/>
      <c r="BH609" s="20" t="inlineStr">
        <is>
          <t>IC Kationen</t>
        </is>
      </c>
      <c r="BI609" s="20" t="inlineStr">
        <is>
          <t>None</t>
        </is>
      </c>
      <c r="BJ609" s="17" t="n"/>
      <c r="BK609" s="16" t="n"/>
      <c r="BL609" s="20" t="inlineStr">
        <is>
          <t>IC Kationen</t>
        </is>
      </c>
      <c r="BM609" s="20" t="inlineStr">
        <is>
          <t>None</t>
        </is>
      </c>
      <c r="BN609" s="17" t="n"/>
      <c r="BO609" s="16" t="n"/>
      <c r="BP609" s="20" t="inlineStr">
        <is>
          <t>IC Kationen</t>
        </is>
      </c>
      <c r="BQ609" s="20" t="inlineStr">
        <is>
          <t>None</t>
        </is>
      </c>
      <c r="BR609" s="17" t="n"/>
      <c r="BS609" s="16" t="n"/>
      <c r="BT609" s="20" t="inlineStr">
        <is>
          <t>IC Kationen</t>
        </is>
      </c>
      <c r="BU609" s="20" t="inlineStr">
        <is>
          <t>None</t>
        </is>
      </c>
      <c r="BV609" s="17" t="n"/>
      <c r="BW609" s="16" t="n"/>
      <c r="BX609" s="20" t="n"/>
      <c r="BY609" s="20" t="inlineStr">
        <is>
          <t>None</t>
        </is>
      </c>
      <c r="BZ609" s="17" t="n"/>
      <c r="CA609" s="16" t="n"/>
      <c r="CB609" s="20" t="n"/>
      <c r="CC609" s="20" t="inlineStr">
        <is>
          <t>None</t>
        </is>
      </c>
      <c r="CD609" s="17" t="n"/>
      <c r="CE609" s="16" t="n"/>
      <c r="CF609" s="20" t="n"/>
      <c r="CG609" s="20" t="inlineStr">
        <is>
          <t>None</t>
        </is>
      </c>
      <c r="CH609" s="17" t="n"/>
      <c r="CI609" s="16" t="n"/>
      <c r="CJ609" s="20" t="n"/>
      <c r="CK609" s="20" t="inlineStr">
        <is>
          <t>None</t>
        </is>
      </c>
      <c r="CL609" s="17" t="n"/>
      <c r="CM609" s="16" t="n"/>
      <c r="CN609" s="20" t="inlineStr">
        <is>
          <t>SOP 45-34</t>
        </is>
      </c>
      <c r="CO609" s="20" t="inlineStr">
        <is>
          <t>None</t>
        </is>
      </c>
      <c r="CP609" s="17" t="n"/>
      <c r="CQ609" s="16" t="n"/>
      <c r="CR609" s="20" t="n"/>
      <c r="CS609" s="20" t="inlineStr">
        <is>
          <t>None</t>
        </is>
      </c>
      <c r="CT609" s="17" t="n"/>
      <c r="CU609" s="16" t="n"/>
      <c r="CV609" s="20" t="n"/>
      <c r="CW609" s="20" t="inlineStr">
        <is>
          <t>None</t>
        </is>
      </c>
      <c r="CX609" s="17" t="n"/>
      <c r="CY609" s="16" t="n"/>
      <c r="CZ609" s="20" t="inlineStr">
        <is>
          <t>WTW Multimeter 3430 with FDO 925</t>
        </is>
      </c>
      <c r="DA609" s="20" t="inlineStr">
        <is>
          <t>None</t>
        </is>
      </c>
      <c r="DB609" s="17" t="n"/>
      <c r="DC609" s="16" t="n"/>
      <c r="DD609" s="20" t="n"/>
      <c r="DE609" s="20" t="inlineStr">
        <is>
          <t>None</t>
        </is>
      </c>
      <c r="DF609" s="17" t="n"/>
      <c r="DG609" s="16" t="n"/>
      <c r="DH609" s="20" t="inlineStr">
        <is>
          <t>SOP 45-09</t>
        </is>
      </c>
      <c r="DI609" s="20" t="inlineStr">
        <is>
          <t>None</t>
        </is>
      </c>
      <c r="DJ609" s="17" t="n"/>
      <c r="DK609" s="16" t="n"/>
      <c r="DL609" s="20" t="inlineStr">
        <is>
          <t>SOP 45-09 (SOP muss noch angepasst werden für VSS)</t>
        </is>
      </c>
      <c r="DM609" s="20" t="inlineStr">
        <is>
          <t>None</t>
        </is>
      </c>
      <c r="DN609" s="17" t="n"/>
      <c r="DO609" s="16" t="n"/>
      <c r="DP609" s="20" t="inlineStr">
        <is>
          <t>IC Organic Acids</t>
        </is>
      </c>
      <c r="DQ609" s="20" t="inlineStr">
        <is>
          <t>None</t>
        </is>
      </c>
      <c r="DR609" s="17" t="n"/>
      <c r="DS609" s="16" t="n"/>
      <c r="DT609" s="20" t="inlineStr">
        <is>
          <t>IC Organic Acids</t>
        </is>
      </c>
      <c r="DU609" s="20" t="inlineStr">
        <is>
          <t>None</t>
        </is>
      </c>
      <c r="DV609" s="17" t="n"/>
      <c r="DW609" s="16" t="n"/>
      <c r="DX609" s="20" t="inlineStr">
        <is>
          <t>IC Organic Acids</t>
        </is>
      </c>
      <c r="DY609" s="20" t="inlineStr">
        <is>
          <t>None</t>
        </is>
      </c>
      <c r="DZ609" s="17" t="n"/>
      <c r="EA609" s="16" t="n"/>
      <c r="EB609" s="20" t="inlineStr">
        <is>
          <t>IC Organic Acids</t>
        </is>
      </c>
      <c r="EC609" s="20" t="inlineStr">
        <is>
          <t>None</t>
        </is>
      </c>
      <c r="ED609" s="17" t="n"/>
      <c r="EE609" s="16" t="n"/>
      <c r="EF609" s="20" t="inlineStr">
        <is>
          <t>IC Organic Acids</t>
        </is>
      </c>
      <c r="EG609" s="20" t="inlineStr">
        <is>
          <t>None</t>
        </is>
      </c>
      <c r="EH609" s="17" t="n"/>
      <c r="EI609" s="16" t="n"/>
      <c r="EJ609" s="20" t="inlineStr">
        <is>
          <t>IC Organic Acids</t>
        </is>
      </c>
      <c r="EK609" s="20" t="inlineStr">
        <is>
          <t>None</t>
        </is>
      </c>
      <c r="EL609" s="17" t="n"/>
      <c r="EM609" s="16" t="n"/>
      <c r="EN609" s="20" t="inlineStr">
        <is>
          <t>IC Organic Acids</t>
        </is>
      </c>
      <c r="EO609" s="20" t="inlineStr">
        <is>
          <t>None</t>
        </is>
      </c>
      <c r="EP609" s="17" t="n"/>
      <c r="EQ609" s="16" t="n"/>
      <c r="ER609" s="20" t="inlineStr">
        <is>
          <t>IC Organic Acids</t>
        </is>
      </c>
      <c r="ES609" s="20" t="inlineStr">
        <is>
          <t>None</t>
        </is>
      </c>
      <c r="ET609" s="17" t="n"/>
      <c r="EU609" s="16" t="n"/>
      <c r="EV609" s="20" t="inlineStr">
        <is>
          <t>LC-MS</t>
        </is>
      </c>
      <c r="EW609" s="20" t="inlineStr">
        <is>
          <t>None</t>
        </is>
      </c>
      <c r="EX609" s="17" t="n"/>
      <c r="EY609" s="21" t="n"/>
      <c r="EZ609">
        <f>CONCATENATE(A609,B609)</f>
        <v/>
      </c>
      <c r="FA609">
        <f>CONCATENATE(SamplesX!A609,SamplesX!B609)</f>
        <v/>
      </c>
      <c r="FC609">
        <f>MATCH(EZ609,FA1:FA1008,0)</f>
        <v/>
      </c>
    </row>
    <row r="610">
      <c r="A610" s="16" t="n"/>
      <c r="B610" s="17" t="n"/>
      <c r="C610" s="10">
        <f>IF(ISNUMBER(FC610),INDIRECT("SamplesX!C"&amp;FC610),IF(ISNUMBER(FD610),INDIRECT("SamplesY!C"&amp;FD610),""))</f>
        <v/>
      </c>
      <c r="D610" s="12">
        <f>IF(ISNUMBER(FC610),INDIRECT("SamplesX!D"&amp;FC610),IF(ISNUMBER(FD610),INDIRECT("SamplesY!D"&amp;FD610),""))</f>
        <v/>
      </c>
      <c r="E610" s="12">
        <f>IF(ISNUMBER(FC610),INDIRECT("SamplesX!E"&amp;FC610),IF(ISNUMBER(FD610),INDIRECT("SamplesY!E"&amp;FD610),""))</f>
        <v/>
      </c>
      <c r="F610" s="11">
        <f>IF(ISNUMBER(FC610),INDIRECT("SamplesX!F"&amp;FC610),IF(ISNUMBER(FD610),INDIRECT("SamplesY!F"&amp;FD610),""))</f>
        <v/>
      </c>
      <c r="G610" s="18">
        <f>IF(ISNUMBER(FC610),INDIRECT("SamplesX!G"&amp;FC610),IF(ISNUMBER(FD610),INDIRECT("SamplesY!G"&amp;FD610),""))</f>
        <v/>
      </c>
      <c r="H610" s="19">
        <f>IF(ISNUMBER(FC610),INDIRECT("SamplesX!H"&amp;FC610),IF(ISNUMBER(FD610),INDIRECT("SamplesY!H"&amp;FD610),""))</f>
        <v/>
      </c>
      <c r="I610" s="16" t="n"/>
      <c r="J610" s="16" t="n"/>
      <c r="K610" s="16" t="n"/>
      <c r="L610" s="20" t="n"/>
      <c r="M610" s="20" t="inlineStr">
        <is>
          <t>None</t>
        </is>
      </c>
      <c r="N610" s="17" t="n"/>
      <c r="O610" s="16" t="n"/>
      <c r="P610" s="20" t="inlineStr">
        <is>
          <t>Shimadzu TOC-L</t>
        </is>
      </c>
      <c r="Q610" s="20" t="inlineStr">
        <is>
          <t>None</t>
        </is>
      </c>
      <c r="R610" s="17" t="n"/>
      <c r="S610" s="16" t="n"/>
      <c r="T610" s="20" t="inlineStr">
        <is>
          <t>Shimadzu TOC-L</t>
        </is>
      </c>
      <c r="U610" s="20" t="inlineStr">
        <is>
          <t>None</t>
        </is>
      </c>
      <c r="V610" s="17" t="n"/>
      <c r="W610" s="16" t="n"/>
      <c r="X610" s="20" t="n"/>
      <c r="Y610" s="20" t="inlineStr">
        <is>
          <t>None</t>
        </is>
      </c>
      <c r="Z610" s="17" t="n"/>
      <c r="AA610" s="16" t="n"/>
      <c r="AB610" s="20" t="n"/>
      <c r="AC610" s="20" t="inlineStr">
        <is>
          <t>None</t>
        </is>
      </c>
      <c r="AD610" s="17" t="n"/>
      <c r="AE610" s="16" t="n"/>
      <c r="AF610" s="20" t="inlineStr">
        <is>
          <t>IC Anionen</t>
        </is>
      </c>
      <c r="AG610" s="20" t="inlineStr">
        <is>
          <t>None</t>
        </is>
      </c>
      <c r="AH610" s="17" t="n"/>
      <c r="AI610" s="16" t="n"/>
      <c r="AJ610" s="20" t="n"/>
      <c r="AK610" s="20" t="inlineStr">
        <is>
          <t>None</t>
        </is>
      </c>
      <c r="AL610" s="17" t="n"/>
      <c r="AM610" s="16" t="n"/>
      <c r="AN610" s="20" t="inlineStr">
        <is>
          <t>IC Anionen</t>
        </is>
      </c>
      <c r="AO610" s="20" t="inlineStr">
        <is>
          <t>None</t>
        </is>
      </c>
      <c r="AP610" s="17" t="n"/>
      <c r="AQ610" s="16" t="n"/>
      <c r="AR610" s="20" t="n"/>
      <c r="AS610" s="20" t="inlineStr">
        <is>
          <t>None</t>
        </is>
      </c>
      <c r="AT610" s="17" t="n"/>
      <c r="AU610" s="16" t="n"/>
      <c r="AV610" s="20" t="n"/>
      <c r="AW610" s="20" t="inlineStr">
        <is>
          <t>None</t>
        </is>
      </c>
      <c r="AX610" s="17" t="n"/>
      <c r="AY610" s="16" t="n"/>
      <c r="AZ610" s="20" t="inlineStr">
        <is>
          <t>IC Anionen</t>
        </is>
      </c>
      <c r="BA610" s="20" t="inlineStr">
        <is>
          <t>None</t>
        </is>
      </c>
      <c r="BB610" s="17" t="n"/>
      <c r="BC610" s="16" t="n"/>
      <c r="BD610" s="20" t="inlineStr">
        <is>
          <t>IC Kationen</t>
        </is>
      </c>
      <c r="BE610" s="20" t="inlineStr">
        <is>
          <t>None</t>
        </is>
      </c>
      <c r="BF610" s="17" t="n"/>
      <c r="BG610" s="16" t="n"/>
      <c r="BH610" s="20" t="inlineStr">
        <is>
          <t>IC Kationen</t>
        </is>
      </c>
      <c r="BI610" s="20" t="inlineStr">
        <is>
          <t>None</t>
        </is>
      </c>
      <c r="BJ610" s="17" t="n"/>
      <c r="BK610" s="16" t="n"/>
      <c r="BL610" s="20" t="inlineStr">
        <is>
          <t>IC Kationen</t>
        </is>
      </c>
      <c r="BM610" s="20" t="inlineStr">
        <is>
          <t>None</t>
        </is>
      </c>
      <c r="BN610" s="17" t="n"/>
      <c r="BO610" s="16" t="n"/>
      <c r="BP610" s="20" t="inlineStr">
        <is>
          <t>IC Kationen</t>
        </is>
      </c>
      <c r="BQ610" s="20" t="inlineStr">
        <is>
          <t>None</t>
        </is>
      </c>
      <c r="BR610" s="17" t="n"/>
      <c r="BS610" s="16" t="n"/>
      <c r="BT610" s="20" t="inlineStr">
        <is>
          <t>IC Kationen</t>
        </is>
      </c>
      <c r="BU610" s="20" t="inlineStr">
        <is>
          <t>None</t>
        </is>
      </c>
      <c r="BV610" s="17" t="n"/>
      <c r="BW610" s="16" t="n"/>
      <c r="BX610" s="20" t="n"/>
      <c r="BY610" s="20" t="inlineStr">
        <is>
          <t>None</t>
        </is>
      </c>
      <c r="BZ610" s="17" t="n"/>
      <c r="CA610" s="16" t="n"/>
      <c r="CB610" s="20" t="n"/>
      <c r="CC610" s="20" t="inlineStr">
        <is>
          <t>None</t>
        </is>
      </c>
      <c r="CD610" s="17" t="n"/>
      <c r="CE610" s="16" t="n"/>
      <c r="CF610" s="20" t="n"/>
      <c r="CG610" s="20" t="inlineStr">
        <is>
          <t>None</t>
        </is>
      </c>
      <c r="CH610" s="17" t="n"/>
      <c r="CI610" s="16" t="n"/>
      <c r="CJ610" s="20" t="n"/>
      <c r="CK610" s="20" t="inlineStr">
        <is>
          <t>None</t>
        </is>
      </c>
      <c r="CL610" s="17" t="n"/>
      <c r="CM610" s="16" t="n"/>
      <c r="CN610" s="20" t="inlineStr">
        <is>
          <t>SOP 45-34</t>
        </is>
      </c>
      <c r="CO610" s="20" t="inlineStr">
        <is>
          <t>None</t>
        </is>
      </c>
      <c r="CP610" s="17" t="n"/>
      <c r="CQ610" s="16" t="n"/>
      <c r="CR610" s="20" t="n"/>
      <c r="CS610" s="20" t="inlineStr">
        <is>
          <t>None</t>
        </is>
      </c>
      <c r="CT610" s="17" t="n"/>
      <c r="CU610" s="16" t="n"/>
      <c r="CV610" s="20" t="n"/>
      <c r="CW610" s="20" t="inlineStr">
        <is>
          <t>None</t>
        </is>
      </c>
      <c r="CX610" s="17" t="n"/>
      <c r="CY610" s="16" t="n"/>
      <c r="CZ610" s="20" t="inlineStr">
        <is>
          <t>WTW Multimeter 3430 with FDO 925</t>
        </is>
      </c>
      <c r="DA610" s="20" t="inlineStr">
        <is>
          <t>None</t>
        </is>
      </c>
      <c r="DB610" s="17" t="n"/>
      <c r="DC610" s="16" t="n"/>
      <c r="DD610" s="20" t="n"/>
      <c r="DE610" s="20" t="inlineStr">
        <is>
          <t>None</t>
        </is>
      </c>
      <c r="DF610" s="17" t="n"/>
      <c r="DG610" s="16" t="n"/>
      <c r="DH610" s="20" t="inlineStr">
        <is>
          <t>SOP 45-09</t>
        </is>
      </c>
      <c r="DI610" s="20" t="inlineStr">
        <is>
          <t>None</t>
        </is>
      </c>
      <c r="DJ610" s="17" t="n"/>
      <c r="DK610" s="16" t="n"/>
      <c r="DL610" s="20" t="inlineStr">
        <is>
          <t>SOP 45-09 (SOP muss noch angepasst werden für VSS)</t>
        </is>
      </c>
      <c r="DM610" s="20" t="inlineStr">
        <is>
          <t>None</t>
        </is>
      </c>
      <c r="DN610" s="17" t="n"/>
      <c r="DO610" s="16" t="n"/>
      <c r="DP610" s="20" t="inlineStr">
        <is>
          <t>IC Organic Acids</t>
        </is>
      </c>
      <c r="DQ610" s="20" t="inlineStr">
        <is>
          <t>None</t>
        </is>
      </c>
      <c r="DR610" s="17" t="n"/>
      <c r="DS610" s="16" t="n"/>
      <c r="DT610" s="20" t="inlineStr">
        <is>
          <t>IC Organic Acids</t>
        </is>
      </c>
      <c r="DU610" s="20" t="inlineStr">
        <is>
          <t>None</t>
        </is>
      </c>
      <c r="DV610" s="17" t="n"/>
      <c r="DW610" s="16" t="n"/>
      <c r="DX610" s="20" t="inlineStr">
        <is>
          <t>IC Organic Acids</t>
        </is>
      </c>
      <c r="DY610" s="20" t="inlineStr">
        <is>
          <t>None</t>
        </is>
      </c>
      <c r="DZ610" s="17" t="n"/>
      <c r="EA610" s="16" t="n"/>
      <c r="EB610" s="20" t="inlineStr">
        <is>
          <t>IC Organic Acids</t>
        </is>
      </c>
      <c r="EC610" s="20" t="inlineStr">
        <is>
          <t>None</t>
        </is>
      </c>
      <c r="ED610" s="17" t="n"/>
      <c r="EE610" s="16" t="n"/>
      <c r="EF610" s="20" t="inlineStr">
        <is>
          <t>IC Organic Acids</t>
        </is>
      </c>
      <c r="EG610" s="20" t="inlineStr">
        <is>
          <t>None</t>
        </is>
      </c>
      <c r="EH610" s="17" t="n"/>
      <c r="EI610" s="16" t="n"/>
      <c r="EJ610" s="20" t="inlineStr">
        <is>
          <t>IC Organic Acids</t>
        </is>
      </c>
      <c r="EK610" s="20" t="inlineStr">
        <is>
          <t>None</t>
        </is>
      </c>
      <c r="EL610" s="17" t="n"/>
      <c r="EM610" s="16" t="n"/>
      <c r="EN610" s="20" t="inlineStr">
        <is>
          <t>IC Organic Acids</t>
        </is>
      </c>
      <c r="EO610" s="20" t="inlineStr">
        <is>
          <t>None</t>
        </is>
      </c>
      <c r="EP610" s="17" t="n"/>
      <c r="EQ610" s="16" t="n"/>
      <c r="ER610" s="20" t="inlineStr">
        <is>
          <t>IC Organic Acids</t>
        </is>
      </c>
      <c r="ES610" s="20" t="inlineStr">
        <is>
          <t>None</t>
        </is>
      </c>
      <c r="ET610" s="17" t="n"/>
      <c r="EU610" s="16" t="n"/>
      <c r="EV610" s="20" t="inlineStr">
        <is>
          <t>LC-MS</t>
        </is>
      </c>
      <c r="EW610" s="20" t="inlineStr">
        <is>
          <t>None</t>
        </is>
      </c>
      <c r="EX610" s="17" t="n"/>
      <c r="EY610" s="21" t="n"/>
      <c r="EZ610">
        <f>CONCATENATE(A610,B610)</f>
        <v/>
      </c>
      <c r="FA610">
        <f>CONCATENATE(SamplesX!A610,SamplesX!B610)</f>
        <v/>
      </c>
      <c r="FC610">
        <f>MATCH(EZ610,FA1:FA1008,0)</f>
        <v/>
      </c>
    </row>
    <row r="611">
      <c r="A611" s="16" t="n"/>
      <c r="B611" s="17" t="n"/>
      <c r="C611" s="10">
        <f>IF(ISNUMBER(FC611),INDIRECT("SamplesX!C"&amp;FC611),IF(ISNUMBER(FD611),INDIRECT("SamplesY!C"&amp;FD611),""))</f>
        <v/>
      </c>
      <c r="D611" s="12">
        <f>IF(ISNUMBER(FC611),INDIRECT("SamplesX!D"&amp;FC611),IF(ISNUMBER(FD611),INDIRECT("SamplesY!D"&amp;FD611),""))</f>
        <v/>
      </c>
      <c r="E611" s="12">
        <f>IF(ISNUMBER(FC611),INDIRECT("SamplesX!E"&amp;FC611),IF(ISNUMBER(FD611),INDIRECT("SamplesY!E"&amp;FD611),""))</f>
        <v/>
      </c>
      <c r="F611" s="11">
        <f>IF(ISNUMBER(FC611),INDIRECT("SamplesX!F"&amp;FC611),IF(ISNUMBER(FD611),INDIRECT("SamplesY!F"&amp;FD611),""))</f>
        <v/>
      </c>
      <c r="G611" s="18">
        <f>IF(ISNUMBER(FC611),INDIRECT("SamplesX!G"&amp;FC611),IF(ISNUMBER(FD611),INDIRECT("SamplesY!G"&amp;FD611),""))</f>
        <v/>
      </c>
      <c r="H611" s="19">
        <f>IF(ISNUMBER(FC611),INDIRECT("SamplesX!H"&amp;FC611),IF(ISNUMBER(FD611),INDIRECT("SamplesY!H"&amp;FD611),""))</f>
        <v/>
      </c>
      <c r="I611" s="16" t="n"/>
      <c r="J611" s="16" t="n"/>
      <c r="K611" s="16" t="n"/>
      <c r="L611" s="20" t="n"/>
      <c r="M611" s="20" t="inlineStr">
        <is>
          <t>None</t>
        </is>
      </c>
      <c r="N611" s="17" t="n"/>
      <c r="O611" s="16" t="n"/>
      <c r="P611" s="20" t="inlineStr">
        <is>
          <t>Shimadzu TOC-L</t>
        </is>
      </c>
      <c r="Q611" s="20" t="inlineStr">
        <is>
          <t>None</t>
        </is>
      </c>
      <c r="R611" s="17" t="n"/>
      <c r="S611" s="16" t="n"/>
      <c r="T611" s="20" t="inlineStr">
        <is>
          <t>Shimadzu TOC-L</t>
        </is>
      </c>
      <c r="U611" s="20" t="inlineStr">
        <is>
          <t>None</t>
        </is>
      </c>
      <c r="V611" s="17" t="n"/>
      <c r="W611" s="16" t="n"/>
      <c r="X611" s="20" t="n"/>
      <c r="Y611" s="20" t="inlineStr">
        <is>
          <t>None</t>
        </is>
      </c>
      <c r="Z611" s="17" t="n"/>
      <c r="AA611" s="16" t="n"/>
      <c r="AB611" s="20" t="n"/>
      <c r="AC611" s="20" t="inlineStr">
        <is>
          <t>None</t>
        </is>
      </c>
      <c r="AD611" s="17" t="n"/>
      <c r="AE611" s="16" t="n"/>
      <c r="AF611" s="20" t="inlineStr">
        <is>
          <t>IC Anionen</t>
        </is>
      </c>
      <c r="AG611" s="20" t="inlineStr">
        <is>
          <t>None</t>
        </is>
      </c>
      <c r="AH611" s="17" t="n"/>
      <c r="AI611" s="16" t="n"/>
      <c r="AJ611" s="20" t="n"/>
      <c r="AK611" s="20" t="inlineStr">
        <is>
          <t>None</t>
        </is>
      </c>
      <c r="AL611" s="17" t="n"/>
      <c r="AM611" s="16" t="n"/>
      <c r="AN611" s="20" t="inlineStr">
        <is>
          <t>IC Anionen</t>
        </is>
      </c>
      <c r="AO611" s="20" t="inlineStr">
        <is>
          <t>None</t>
        </is>
      </c>
      <c r="AP611" s="17" t="n"/>
      <c r="AQ611" s="16" t="n"/>
      <c r="AR611" s="20" t="n"/>
      <c r="AS611" s="20" t="inlineStr">
        <is>
          <t>None</t>
        </is>
      </c>
      <c r="AT611" s="17" t="n"/>
      <c r="AU611" s="16" t="n"/>
      <c r="AV611" s="20" t="n"/>
      <c r="AW611" s="20" t="inlineStr">
        <is>
          <t>None</t>
        </is>
      </c>
      <c r="AX611" s="17" t="n"/>
      <c r="AY611" s="16" t="n"/>
      <c r="AZ611" s="20" t="inlineStr">
        <is>
          <t>IC Anionen</t>
        </is>
      </c>
      <c r="BA611" s="20" t="inlineStr">
        <is>
          <t>None</t>
        </is>
      </c>
      <c r="BB611" s="17" t="n"/>
      <c r="BC611" s="16" t="n"/>
      <c r="BD611" s="20" t="inlineStr">
        <is>
          <t>IC Kationen</t>
        </is>
      </c>
      <c r="BE611" s="20" t="inlineStr">
        <is>
          <t>None</t>
        </is>
      </c>
      <c r="BF611" s="17" t="n"/>
      <c r="BG611" s="16" t="n"/>
      <c r="BH611" s="20" t="inlineStr">
        <is>
          <t>IC Kationen</t>
        </is>
      </c>
      <c r="BI611" s="20" t="inlineStr">
        <is>
          <t>None</t>
        </is>
      </c>
      <c r="BJ611" s="17" t="n"/>
      <c r="BK611" s="16" t="n"/>
      <c r="BL611" s="20" t="inlineStr">
        <is>
          <t>IC Kationen</t>
        </is>
      </c>
      <c r="BM611" s="20" t="inlineStr">
        <is>
          <t>None</t>
        </is>
      </c>
      <c r="BN611" s="17" t="n"/>
      <c r="BO611" s="16" t="n"/>
      <c r="BP611" s="20" t="inlineStr">
        <is>
          <t>IC Kationen</t>
        </is>
      </c>
      <c r="BQ611" s="20" t="inlineStr">
        <is>
          <t>None</t>
        </is>
      </c>
      <c r="BR611" s="17" t="n"/>
      <c r="BS611" s="16" t="n"/>
      <c r="BT611" s="20" t="inlineStr">
        <is>
          <t>IC Kationen</t>
        </is>
      </c>
      <c r="BU611" s="20" t="inlineStr">
        <is>
          <t>None</t>
        </is>
      </c>
      <c r="BV611" s="17" t="n"/>
      <c r="BW611" s="16" t="n"/>
      <c r="BX611" s="20" t="n"/>
      <c r="BY611" s="20" t="inlineStr">
        <is>
          <t>None</t>
        </is>
      </c>
      <c r="BZ611" s="17" t="n"/>
      <c r="CA611" s="16" t="n"/>
      <c r="CB611" s="20" t="n"/>
      <c r="CC611" s="20" t="inlineStr">
        <is>
          <t>None</t>
        </is>
      </c>
      <c r="CD611" s="17" t="n"/>
      <c r="CE611" s="16" t="n"/>
      <c r="CF611" s="20" t="n"/>
      <c r="CG611" s="20" t="inlineStr">
        <is>
          <t>None</t>
        </is>
      </c>
      <c r="CH611" s="17" t="n"/>
      <c r="CI611" s="16" t="n"/>
      <c r="CJ611" s="20" t="n"/>
      <c r="CK611" s="20" t="inlineStr">
        <is>
          <t>None</t>
        </is>
      </c>
      <c r="CL611" s="17" t="n"/>
      <c r="CM611" s="16" t="n"/>
      <c r="CN611" s="20" t="inlineStr">
        <is>
          <t>SOP 45-34</t>
        </is>
      </c>
      <c r="CO611" s="20" t="inlineStr">
        <is>
          <t>None</t>
        </is>
      </c>
      <c r="CP611" s="17" t="n"/>
      <c r="CQ611" s="16" t="n"/>
      <c r="CR611" s="20" t="n"/>
      <c r="CS611" s="20" t="inlineStr">
        <is>
          <t>None</t>
        </is>
      </c>
      <c r="CT611" s="17" t="n"/>
      <c r="CU611" s="16" t="n"/>
      <c r="CV611" s="20" t="n"/>
      <c r="CW611" s="20" t="inlineStr">
        <is>
          <t>None</t>
        </is>
      </c>
      <c r="CX611" s="17" t="n"/>
      <c r="CY611" s="16" t="n"/>
      <c r="CZ611" s="20" t="inlineStr">
        <is>
          <t>WTW Multimeter 3430 with FDO 925</t>
        </is>
      </c>
      <c r="DA611" s="20" t="inlineStr">
        <is>
          <t>None</t>
        </is>
      </c>
      <c r="DB611" s="17" t="n"/>
      <c r="DC611" s="16" t="n"/>
      <c r="DD611" s="20" t="n"/>
      <c r="DE611" s="20" t="inlineStr">
        <is>
          <t>None</t>
        </is>
      </c>
      <c r="DF611" s="17" t="n"/>
      <c r="DG611" s="16" t="n"/>
      <c r="DH611" s="20" t="inlineStr">
        <is>
          <t>SOP 45-09</t>
        </is>
      </c>
      <c r="DI611" s="20" t="inlineStr">
        <is>
          <t>None</t>
        </is>
      </c>
      <c r="DJ611" s="17" t="n"/>
      <c r="DK611" s="16" t="n"/>
      <c r="DL611" s="20" t="inlineStr">
        <is>
          <t>SOP 45-09 (SOP muss noch angepasst werden für VSS)</t>
        </is>
      </c>
      <c r="DM611" s="20" t="inlineStr">
        <is>
          <t>None</t>
        </is>
      </c>
      <c r="DN611" s="17" t="n"/>
      <c r="DO611" s="16" t="n"/>
      <c r="DP611" s="20" t="inlineStr">
        <is>
          <t>IC Organic Acids</t>
        </is>
      </c>
      <c r="DQ611" s="20" t="inlineStr">
        <is>
          <t>None</t>
        </is>
      </c>
      <c r="DR611" s="17" t="n"/>
      <c r="DS611" s="16" t="n"/>
      <c r="DT611" s="20" t="inlineStr">
        <is>
          <t>IC Organic Acids</t>
        </is>
      </c>
      <c r="DU611" s="20" t="inlineStr">
        <is>
          <t>None</t>
        </is>
      </c>
      <c r="DV611" s="17" t="n"/>
      <c r="DW611" s="16" t="n"/>
      <c r="DX611" s="20" t="inlineStr">
        <is>
          <t>IC Organic Acids</t>
        </is>
      </c>
      <c r="DY611" s="20" t="inlineStr">
        <is>
          <t>None</t>
        </is>
      </c>
      <c r="DZ611" s="17" t="n"/>
      <c r="EA611" s="16" t="n"/>
      <c r="EB611" s="20" t="inlineStr">
        <is>
          <t>IC Organic Acids</t>
        </is>
      </c>
      <c r="EC611" s="20" t="inlineStr">
        <is>
          <t>None</t>
        </is>
      </c>
      <c r="ED611" s="17" t="n"/>
      <c r="EE611" s="16" t="n"/>
      <c r="EF611" s="20" t="inlineStr">
        <is>
          <t>IC Organic Acids</t>
        </is>
      </c>
      <c r="EG611" s="20" t="inlineStr">
        <is>
          <t>None</t>
        </is>
      </c>
      <c r="EH611" s="17" t="n"/>
      <c r="EI611" s="16" t="n"/>
      <c r="EJ611" s="20" t="inlineStr">
        <is>
          <t>IC Organic Acids</t>
        </is>
      </c>
      <c r="EK611" s="20" t="inlineStr">
        <is>
          <t>None</t>
        </is>
      </c>
      <c r="EL611" s="17" t="n"/>
      <c r="EM611" s="16" t="n"/>
      <c r="EN611" s="20" t="inlineStr">
        <is>
          <t>IC Organic Acids</t>
        </is>
      </c>
      <c r="EO611" s="20" t="inlineStr">
        <is>
          <t>None</t>
        </is>
      </c>
      <c r="EP611" s="17" t="n"/>
      <c r="EQ611" s="16" t="n"/>
      <c r="ER611" s="20" t="inlineStr">
        <is>
          <t>IC Organic Acids</t>
        </is>
      </c>
      <c r="ES611" s="20" t="inlineStr">
        <is>
          <t>None</t>
        </is>
      </c>
      <c r="ET611" s="17" t="n"/>
      <c r="EU611" s="16" t="n"/>
      <c r="EV611" s="20" t="inlineStr">
        <is>
          <t>LC-MS</t>
        </is>
      </c>
      <c r="EW611" s="20" t="inlineStr">
        <is>
          <t>None</t>
        </is>
      </c>
      <c r="EX611" s="17" t="n"/>
      <c r="EY611" s="21" t="n"/>
      <c r="EZ611">
        <f>CONCATENATE(A611,B611)</f>
        <v/>
      </c>
      <c r="FA611">
        <f>CONCATENATE(SamplesX!A611,SamplesX!B611)</f>
        <v/>
      </c>
      <c r="FC611">
        <f>MATCH(EZ611,FA1:FA1008,0)</f>
        <v/>
      </c>
    </row>
    <row r="612">
      <c r="A612" s="16" t="n"/>
      <c r="B612" s="17" t="n"/>
      <c r="C612" s="10">
        <f>IF(ISNUMBER(FC612),INDIRECT("SamplesX!C"&amp;FC612),IF(ISNUMBER(FD612),INDIRECT("SamplesY!C"&amp;FD612),""))</f>
        <v/>
      </c>
      <c r="D612" s="12">
        <f>IF(ISNUMBER(FC612),INDIRECT("SamplesX!D"&amp;FC612),IF(ISNUMBER(FD612),INDIRECT("SamplesY!D"&amp;FD612),""))</f>
        <v/>
      </c>
      <c r="E612" s="12">
        <f>IF(ISNUMBER(FC612),INDIRECT("SamplesX!E"&amp;FC612),IF(ISNUMBER(FD612),INDIRECT("SamplesY!E"&amp;FD612),""))</f>
        <v/>
      </c>
      <c r="F612" s="11">
        <f>IF(ISNUMBER(FC612),INDIRECT("SamplesX!F"&amp;FC612),IF(ISNUMBER(FD612),INDIRECT("SamplesY!F"&amp;FD612),""))</f>
        <v/>
      </c>
      <c r="G612" s="18">
        <f>IF(ISNUMBER(FC612),INDIRECT("SamplesX!G"&amp;FC612),IF(ISNUMBER(FD612),INDIRECT("SamplesY!G"&amp;FD612),""))</f>
        <v/>
      </c>
      <c r="H612" s="19">
        <f>IF(ISNUMBER(FC612),INDIRECT("SamplesX!H"&amp;FC612),IF(ISNUMBER(FD612),INDIRECT("SamplesY!H"&amp;FD612),""))</f>
        <v/>
      </c>
      <c r="I612" s="16" t="n"/>
      <c r="J612" s="16" t="n"/>
      <c r="K612" s="16" t="n"/>
      <c r="L612" s="20" t="n"/>
      <c r="M612" s="20" t="inlineStr">
        <is>
          <t>None</t>
        </is>
      </c>
      <c r="N612" s="17" t="n"/>
      <c r="O612" s="16" t="n"/>
      <c r="P612" s="20" t="inlineStr">
        <is>
          <t>Shimadzu TOC-L</t>
        </is>
      </c>
      <c r="Q612" s="20" t="inlineStr">
        <is>
          <t>None</t>
        </is>
      </c>
      <c r="R612" s="17" t="n"/>
      <c r="S612" s="16" t="n"/>
      <c r="T612" s="20" t="inlineStr">
        <is>
          <t>Shimadzu TOC-L</t>
        </is>
      </c>
      <c r="U612" s="20" t="inlineStr">
        <is>
          <t>None</t>
        </is>
      </c>
      <c r="V612" s="17" t="n"/>
      <c r="W612" s="16" t="n"/>
      <c r="X612" s="20" t="n"/>
      <c r="Y612" s="20" t="inlineStr">
        <is>
          <t>None</t>
        </is>
      </c>
      <c r="Z612" s="17" t="n"/>
      <c r="AA612" s="16" t="n"/>
      <c r="AB612" s="20" t="n"/>
      <c r="AC612" s="20" t="inlineStr">
        <is>
          <t>None</t>
        </is>
      </c>
      <c r="AD612" s="17" t="n"/>
      <c r="AE612" s="16" t="n"/>
      <c r="AF612" s="20" t="inlineStr">
        <is>
          <t>IC Anionen</t>
        </is>
      </c>
      <c r="AG612" s="20" t="inlineStr">
        <is>
          <t>None</t>
        </is>
      </c>
      <c r="AH612" s="17" t="n"/>
      <c r="AI612" s="16" t="n"/>
      <c r="AJ612" s="20" t="n"/>
      <c r="AK612" s="20" t="inlineStr">
        <is>
          <t>None</t>
        </is>
      </c>
      <c r="AL612" s="17" t="n"/>
      <c r="AM612" s="16" t="n"/>
      <c r="AN612" s="20" t="inlineStr">
        <is>
          <t>IC Anionen</t>
        </is>
      </c>
      <c r="AO612" s="20" t="inlineStr">
        <is>
          <t>None</t>
        </is>
      </c>
      <c r="AP612" s="17" t="n"/>
      <c r="AQ612" s="16" t="n"/>
      <c r="AR612" s="20" t="n"/>
      <c r="AS612" s="20" t="inlineStr">
        <is>
          <t>None</t>
        </is>
      </c>
      <c r="AT612" s="17" t="n"/>
      <c r="AU612" s="16" t="n"/>
      <c r="AV612" s="20" t="n"/>
      <c r="AW612" s="20" t="inlineStr">
        <is>
          <t>None</t>
        </is>
      </c>
      <c r="AX612" s="17" t="n"/>
      <c r="AY612" s="16" t="n"/>
      <c r="AZ612" s="20" t="inlineStr">
        <is>
          <t>IC Anionen</t>
        </is>
      </c>
      <c r="BA612" s="20" t="inlineStr">
        <is>
          <t>None</t>
        </is>
      </c>
      <c r="BB612" s="17" t="n"/>
      <c r="BC612" s="16" t="n"/>
      <c r="BD612" s="20" t="inlineStr">
        <is>
          <t>IC Kationen</t>
        </is>
      </c>
      <c r="BE612" s="20" t="inlineStr">
        <is>
          <t>None</t>
        </is>
      </c>
      <c r="BF612" s="17" t="n"/>
      <c r="BG612" s="16" t="n"/>
      <c r="BH612" s="20" t="inlineStr">
        <is>
          <t>IC Kationen</t>
        </is>
      </c>
      <c r="BI612" s="20" t="inlineStr">
        <is>
          <t>None</t>
        </is>
      </c>
      <c r="BJ612" s="17" t="n"/>
      <c r="BK612" s="16" t="n"/>
      <c r="BL612" s="20" t="inlineStr">
        <is>
          <t>IC Kationen</t>
        </is>
      </c>
      <c r="BM612" s="20" t="inlineStr">
        <is>
          <t>None</t>
        </is>
      </c>
      <c r="BN612" s="17" t="n"/>
      <c r="BO612" s="16" t="n"/>
      <c r="BP612" s="20" t="inlineStr">
        <is>
          <t>IC Kationen</t>
        </is>
      </c>
      <c r="BQ612" s="20" t="inlineStr">
        <is>
          <t>None</t>
        </is>
      </c>
      <c r="BR612" s="17" t="n"/>
      <c r="BS612" s="16" t="n"/>
      <c r="BT612" s="20" t="inlineStr">
        <is>
          <t>IC Kationen</t>
        </is>
      </c>
      <c r="BU612" s="20" t="inlineStr">
        <is>
          <t>None</t>
        </is>
      </c>
      <c r="BV612" s="17" t="n"/>
      <c r="BW612" s="16" t="n"/>
      <c r="BX612" s="20" t="n"/>
      <c r="BY612" s="20" t="inlineStr">
        <is>
          <t>None</t>
        </is>
      </c>
      <c r="BZ612" s="17" t="n"/>
      <c r="CA612" s="16" t="n"/>
      <c r="CB612" s="20" t="n"/>
      <c r="CC612" s="20" t="inlineStr">
        <is>
          <t>None</t>
        </is>
      </c>
      <c r="CD612" s="17" t="n"/>
      <c r="CE612" s="16" t="n"/>
      <c r="CF612" s="20" t="n"/>
      <c r="CG612" s="20" t="inlineStr">
        <is>
          <t>None</t>
        </is>
      </c>
      <c r="CH612" s="17" t="n"/>
      <c r="CI612" s="16" t="n"/>
      <c r="CJ612" s="20" t="n"/>
      <c r="CK612" s="20" t="inlineStr">
        <is>
          <t>None</t>
        </is>
      </c>
      <c r="CL612" s="17" t="n"/>
      <c r="CM612" s="16" t="n"/>
      <c r="CN612" s="20" t="inlineStr">
        <is>
          <t>SOP 45-34</t>
        </is>
      </c>
      <c r="CO612" s="20" t="inlineStr">
        <is>
          <t>None</t>
        </is>
      </c>
      <c r="CP612" s="17" t="n"/>
      <c r="CQ612" s="16" t="n"/>
      <c r="CR612" s="20" t="n"/>
      <c r="CS612" s="20" t="inlineStr">
        <is>
          <t>None</t>
        </is>
      </c>
      <c r="CT612" s="17" t="n"/>
      <c r="CU612" s="16" t="n"/>
      <c r="CV612" s="20" t="n"/>
      <c r="CW612" s="20" t="inlineStr">
        <is>
          <t>None</t>
        </is>
      </c>
      <c r="CX612" s="17" t="n"/>
      <c r="CY612" s="16" t="n"/>
      <c r="CZ612" s="20" t="inlineStr">
        <is>
          <t>WTW Multimeter 3430 with FDO 925</t>
        </is>
      </c>
      <c r="DA612" s="20" t="inlineStr">
        <is>
          <t>None</t>
        </is>
      </c>
      <c r="DB612" s="17" t="n"/>
      <c r="DC612" s="16" t="n"/>
      <c r="DD612" s="20" t="n"/>
      <c r="DE612" s="20" t="inlineStr">
        <is>
          <t>None</t>
        </is>
      </c>
      <c r="DF612" s="17" t="n"/>
      <c r="DG612" s="16" t="n"/>
      <c r="DH612" s="20" t="inlineStr">
        <is>
          <t>SOP 45-09</t>
        </is>
      </c>
      <c r="DI612" s="20" t="inlineStr">
        <is>
          <t>None</t>
        </is>
      </c>
      <c r="DJ612" s="17" t="n"/>
      <c r="DK612" s="16" t="n"/>
      <c r="DL612" s="20" t="inlineStr">
        <is>
          <t>SOP 45-09 (SOP muss noch angepasst werden für VSS)</t>
        </is>
      </c>
      <c r="DM612" s="20" t="inlineStr">
        <is>
          <t>None</t>
        </is>
      </c>
      <c r="DN612" s="17" t="n"/>
      <c r="DO612" s="16" t="n"/>
      <c r="DP612" s="20" t="inlineStr">
        <is>
          <t>IC Organic Acids</t>
        </is>
      </c>
      <c r="DQ612" s="20" t="inlineStr">
        <is>
          <t>None</t>
        </is>
      </c>
      <c r="DR612" s="17" t="n"/>
      <c r="DS612" s="16" t="n"/>
      <c r="DT612" s="20" t="inlineStr">
        <is>
          <t>IC Organic Acids</t>
        </is>
      </c>
      <c r="DU612" s="20" t="inlineStr">
        <is>
          <t>None</t>
        </is>
      </c>
      <c r="DV612" s="17" t="n"/>
      <c r="DW612" s="16" t="n"/>
      <c r="DX612" s="20" t="inlineStr">
        <is>
          <t>IC Organic Acids</t>
        </is>
      </c>
      <c r="DY612" s="20" t="inlineStr">
        <is>
          <t>None</t>
        </is>
      </c>
      <c r="DZ612" s="17" t="n"/>
      <c r="EA612" s="16" t="n"/>
      <c r="EB612" s="20" t="inlineStr">
        <is>
          <t>IC Organic Acids</t>
        </is>
      </c>
      <c r="EC612" s="20" t="inlineStr">
        <is>
          <t>None</t>
        </is>
      </c>
      <c r="ED612" s="17" t="n"/>
      <c r="EE612" s="16" t="n"/>
      <c r="EF612" s="20" t="inlineStr">
        <is>
          <t>IC Organic Acids</t>
        </is>
      </c>
      <c r="EG612" s="20" t="inlineStr">
        <is>
          <t>None</t>
        </is>
      </c>
      <c r="EH612" s="17" t="n"/>
      <c r="EI612" s="16" t="n"/>
      <c r="EJ612" s="20" t="inlineStr">
        <is>
          <t>IC Organic Acids</t>
        </is>
      </c>
      <c r="EK612" s="20" t="inlineStr">
        <is>
          <t>None</t>
        </is>
      </c>
      <c r="EL612" s="17" t="n"/>
      <c r="EM612" s="16" t="n"/>
      <c r="EN612" s="20" t="inlineStr">
        <is>
          <t>IC Organic Acids</t>
        </is>
      </c>
      <c r="EO612" s="20" t="inlineStr">
        <is>
          <t>None</t>
        </is>
      </c>
      <c r="EP612" s="17" t="n"/>
      <c r="EQ612" s="16" t="n"/>
      <c r="ER612" s="20" t="inlineStr">
        <is>
          <t>IC Organic Acids</t>
        </is>
      </c>
      <c r="ES612" s="20" t="inlineStr">
        <is>
          <t>None</t>
        </is>
      </c>
      <c r="ET612" s="17" t="n"/>
      <c r="EU612" s="16" t="n"/>
      <c r="EV612" s="20" t="inlineStr">
        <is>
          <t>LC-MS</t>
        </is>
      </c>
      <c r="EW612" s="20" t="inlineStr">
        <is>
          <t>None</t>
        </is>
      </c>
      <c r="EX612" s="17" t="n"/>
      <c r="EY612" s="21" t="n"/>
      <c r="EZ612">
        <f>CONCATENATE(A612,B612)</f>
        <v/>
      </c>
      <c r="FA612">
        <f>CONCATENATE(SamplesX!A612,SamplesX!B612)</f>
        <v/>
      </c>
      <c r="FC612">
        <f>MATCH(EZ612,FA1:FA1008,0)</f>
        <v/>
      </c>
    </row>
    <row r="613">
      <c r="A613" s="16" t="n"/>
      <c r="B613" s="17" t="n"/>
      <c r="C613" s="10">
        <f>IF(ISNUMBER(FC613),INDIRECT("SamplesX!C"&amp;FC613),IF(ISNUMBER(FD613),INDIRECT("SamplesY!C"&amp;FD613),""))</f>
        <v/>
      </c>
      <c r="D613" s="12">
        <f>IF(ISNUMBER(FC613),INDIRECT("SamplesX!D"&amp;FC613),IF(ISNUMBER(FD613),INDIRECT("SamplesY!D"&amp;FD613),""))</f>
        <v/>
      </c>
      <c r="E613" s="12">
        <f>IF(ISNUMBER(FC613),INDIRECT("SamplesX!E"&amp;FC613),IF(ISNUMBER(FD613),INDIRECT("SamplesY!E"&amp;FD613),""))</f>
        <v/>
      </c>
      <c r="F613" s="11">
        <f>IF(ISNUMBER(FC613),INDIRECT("SamplesX!F"&amp;FC613),IF(ISNUMBER(FD613),INDIRECT("SamplesY!F"&amp;FD613),""))</f>
        <v/>
      </c>
      <c r="G613" s="18">
        <f>IF(ISNUMBER(FC613),INDIRECT("SamplesX!G"&amp;FC613),IF(ISNUMBER(FD613),INDIRECT("SamplesY!G"&amp;FD613),""))</f>
        <v/>
      </c>
      <c r="H613" s="19">
        <f>IF(ISNUMBER(FC613),INDIRECT("SamplesX!H"&amp;FC613),IF(ISNUMBER(FD613),INDIRECT("SamplesY!H"&amp;FD613),""))</f>
        <v/>
      </c>
      <c r="I613" s="16" t="n"/>
      <c r="J613" s="16" t="n"/>
      <c r="K613" s="16" t="n"/>
      <c r="L613" s="20" t="n"/>
      <c r="M613" s="20" t="inlineStr">
        <is>
          <t>None</t>
        </is>
      </c>
      <c r="N613" s="17" t="n"/>
      <c r="O613" s="16" t="n"/>
      <c r="P613" s="20" t="inlineStr">
        <is>
          <t>Shimadzu TOC-L</t>
        </is>
      </c>
      <c r="Q613" s="20" t="inlineStr">
        <is>
          <t>None</t>
        </is>
      </c>
      <c r="R613" s="17" t="n"/>
      <c r="S613" s="16" t="n"/>
      <c r="T613" s="20" t="inlineStr">
        <is>
          <t>Shimadzu TOC-L</t>
        </is>
      </c>
      <c r="U613" s="20" t="inlineStr">
        <is>
          <t>None</t>
        </is>
      </c>
      <c r="V613" s="17" t="n"/>
      <c r="W613" s="16" t="n"/>
      <c r="X613" s="20" t="n"/>
      <c r="Y613" s="20" t="inlineStr">
        <is>
          <t>None</t>
        </is>
      </c>
      <c r="Z613" s="17" t="n"/>
      <c r="AA613" s="16" t="n"/>
      <c r="AB613" s="20" t="n"/>
      <c r="AC613" s="20" t="inlineStr">
        <is>
          <t>None</t>
        </is>
      </c>
      <c r="AD613" s="17" t="n"/>
      <c r="AE613" s="16" t="n"/>
      <c r="AF613" s="20" t="inlineStr">
        <is>
          <t>IC Anionen</t>
        </is>
      </c>
      <c r="AG613" s="20" t="inlineStr">
        <is>
          <t>None</t>
        </is>
      </c>
      <c r="AH613" s="17" t="n"/>
      <c r="AI613" s="16" t="n"/>
      <c r="AJ613" s="20" t="n"/>
      <c r="AK613" s="20" t="inlineStr">
        <is>
          <t>None</t>
        </is>
      </c>
      <c r="AL613" s="17" t="n"/>
      <c r="AM613" s="16" t="n"/>
      <c r="AN613" s="20" t="inlineStr">
        <is>
          <t>IC Anionen</t>
        </is>
      </c>
      <c r="AO613" s="20" t="inlineStr">
        <is>
          <t>None</t>
        </is>
      </c>
      <c r="AP613" s="17" t="n"/>
      <c r="AQ613" s="16" t="n"/>
      <c r="AR613" s="20" t="n"/>
      <c r="AS613" s="20" t="inlineStr">
        <is>
          <t>None</t>
        </is>
      </c>
      <c r="AT613" s="17" t="n"/>
      <c r="AU613" s="16" t="n"/>
      <c r="AV613" s="20" t="n"/>
      <c r="AW613" s="20" t="inlineStr">
        <is>
          <t>None</t>
        </is>
      </c>
      <c r="AX613" s="17" t="n"/>
      <c r="AY613" s="16" t="n"/>
      <c r="AZ613" s="20" t="inlineStr">
        <is>
          <t>IC Anionen</t>
        </is>
      </c>
      <c r="BA613" s="20" t="inlineStr">
        <is>
          <t>None</t>
        </is>
      </c>
      <c r="BB613" s="17" t="n"/>
      <c r="BC613" s="16" t="n"/>
      <c r="BD613" s="20" t="inlineStr">
        <is>
          <t>IC Kationen</t>
        </is>
      </c>
      <c r="BE613" s="20" t="inlineStr">
        <is>
          <t>None</t>
        </is>
      </c>
      <c r="BF613" s="17" t="n"/>
      <c r="BG613" s="16" t="n"/>
      <c r="BH613" s="20" t="inlineStr">
        <is>
          <t>IC Kationen</t>
        </is>
      </c>
      <c r="BI613" s="20" t="inlineStr">
        <is>
          <t>None</t>
        </is>
      </c>
      <c r="BJ613" s="17" t="n"/>
      <c r="BK613" s="16" t="n"/>
      <c r="BL613" s="20" t="inlineStr">
        <is>
          <t>IC Kationen</t>
        </is>
      </c>
      <c r="BM613" s="20" t="inlineStr">
        <is>
          <t>None</t>
        </is>
      </c>
      <c r="BN613" s="17" t="n"/>
      <c r="BO613" s="16" t="n"/>
      <c r="BP613" s="20" t="inlineStr">
        <is>
          <t>IC Kationen</t>
        </is>
      </c>
      <c r="BQ613" s="20" t="inlineStr">
        <is>
          <t>None</t>
        </is>
      </c>
      <c r="BR613" s="17" t="n"/>
      <c r="BS613" s="16" t="n"/>
      <c r="BT613" s="20" t="inlineStr">
        <is>
          <t>IC Kationen</t>
        </is>
      </c>
      <c r="BU613" s="20" t="inlineStr">
        <is>
          <t>None</t>
        </is>
      </c>
      <c r="BV613" s="17" t="n"/>
      <c r="BW613" s="16" t="n"/>
      <c r="BX613" s="20" t="n"/>
      <c r="BY613" s="20" t="inlineStr">
        <is>
          <t>None</t>
        </is>
      </c>
      <c r="BZ613" s="17" t="n"/>
      <c r="CA613" s="16" t="n"/>
      <c r="CB613" s="20" t="n"/>
      <c r="CC613" s="20" t="inlineStr">
        <is>
          <t>None</t>
        </is>
      </c>
      <c r="CD613" s="17" t="n"/>
      <c r="CE613" s="16" t="n"/>
      <c r="CF613" s="20" t="n"/>
      <c r="CG613" s="20" t="inlineStr">
        <is>
          <t>None</t>
        </is>
      </c>
      <c r="CH613" s="17" t="n"/>
      <c r="CI613" s="16" t="n"/>
      <c r="CJ613" s="20" t="n"/>
      <c r="CK613" s="20" t="inlineStr">
        <is>
          <t>None</t>
        </is>
      </c>
      <c r="CL613" s="17" t="n"/>
      <c r="CM613" s="16" t="n"/>
      <c r="CN613" s="20" t="inlineStr">
        <is>
          <t>SOP 45-34</t>
        </is>
      </c>
      <c r="CO613" s="20" t="inlineStr">
        <is>
          <t>None</t>
        </is>
      </c>
      <c r="CP613" s="17" t="n"/>
      <c r="CQ613" s="16" t="n"/>
      <c r="CR613" s="20" t="n"/>
      <c r="CS613" s="20" t="inlineStr">
        <is>
          <t>None</t>
        </is>
      </c>
      <c r="CT613" s="17" t="n"/>
      <c r="CU613" s="16" t="n"/>
      <c r="CV613" s="20" t="n"/>
      <c r="CW613" s="20" t="inlineStr">
        <is>
          <t>None</t>
        </is>
      </c>
      <c r="CX613" s="17" t="n"/>
      <c r="CY613" s="16" t="n"/>
      <c r="CZ613" s="20" t="inlineStr">
        <is>
          <t>WTW Multimeter 3430 with FDO 925</t>
        </is>
      </c>
      <c r="DA613" s="20" t="inlineStr">
        <is>
          <t>None</t>
        </is>
      </c>
      <c r="DB613" s="17" t="n"/>
      <c r="DC613" s="16" t="n"/>
      <c r="DD613" s="20" t="n"/>
      <c r="DE613" s="20" t="inlineStr">
        <is>
          <t>None</t>
        </is>
      </c>
      <c r="DF613" s="17" t="n"/>
      <c r="DG613" s="16" t="n"/>
      <c r="DH613" s="20" t="inlineStr">
        <is>
          <t>SOP 45-09</t>
        </is>
      </c>
      <c r="DI613" s="20" t="inlineStr">
        <is>
          <t>None</t>
        </is>
      </c>
      <c r="DJ613" s="17" t="n"/>
      <c r="DK613" s="16" t="n"/>
      <c r="DL613" s="20" t="inlineStr">
        <is>
          <t>SOP 45-09 (SOP muss noch angepasst werden für VSS)</t>
        </is>
      </c>
      <c r="DM613" s="20" t="inlineStr">
        <is>
          <t>None</t>
        </is>
      </c>
      <c r="DN613" s="17" t="n"/>
      <c r="DO613" s="16" t="n"/>
      <c r="DP613" s="20" t="inlineStr">
        <is>
          <t>IC Organic Acids</t>
        </is>
      </c>
      <c r="DQ613" s="20" t="inlineStr">
        <is>
          <t>None</t>
        </is>
      </c>
      <c r="DR613" s="17" t="n"/>
      <c r="DS613" s="16" t="n"/>
      <c r="DT613" s="20" t="inlineStr">
        <is>
          <t>IC Organic Acids</t>
        </is>
      </c>
      <c r="DU613" s="20" t="inlineStr">
        <is>
          <t>None</t>
        </is>
      </c>
      <c r="DV613" s="17" t="n"/>
      <c r="DW613" s="16" t="n"/>
      <c r="DX613" s="20" t="inlineStr">
        <is>
          <t>IC Organic Acids</t>
        </is>
      </c>
      <c r="DY613" s="20" t="inlineStr">
        <is>
          <t>None</t>
        </is>
      </c>
      <c r="DZ613" s="17" t="n"/>
      <c r="EA613" s="16" t="n"/>
      <c r="EB613" s="20" t="inlineStr">
        <is>
          <t>IC Organic Acids</t>
        </is>
      </c>
      <c r="EC613" s="20" t="inlineStr">
        <is>
          <t>None</t>
        </is>
      </c>
      <c r="ED613" s="17" t="n"/>
      <c r="EE613" s="16" t="n"/>
      <c r="EF613" s="20" t="inlineStr">
        <is>
          <t>IC Organic Acids</t>
        </is>
      </c>
      <c r="EG613" s="20" t="inlineStr">
        <is>
          <t>None</t>
        </is>
      </c>
      <c r="EH613" s="17" t="n"/>
      <c r="EI613" s="16" t="n"/>
      <c r="EJ613" s="20" t="inlineStr">
        <is>
          <t>IC Organic Acids</t>
        </is>
      </c>
      <c r="EK613" s="20" t="inlineStr">
        <is>
          <t>None</t>
        </is>
      </c>
      <c r="EL613" s="17" t="n"/>
      <c r="EM613" s="16" t="n"/>
      <c r="EN613" s="20" t="inlineStr">
        <is>
          <t>IC Organic Acids</t>
        </is>
      </c>
      <c r="EO613" s="20" t="inlineStr">
        <is>
          <t>None</t>
        </is>
      </c>
      <c r="EP613" s="17" t="n"/>
      <c r="EQ613" s="16" t="n"/>
      <c r="ER613" s="20" t="inlineStr">
        <is>
          <t>IC Organic Acids</t>
        </is>
      </c>
      <c r="ES613" s="20" t="inlineStr">
        <is>
          <t>None</t>
        </is>
      </c>
      <c r="ET613" s="17" t="n"/>
      <c r="EU613" s="16" t="n"/>
      <c r="EV613" s="20" t="inlineStr">
        <is>
          <t>LC-MS</t>
        </is>
      </c>
      <c r="EW613" s="20" t="inlineStr">
        <is>
          <t>None</t>
        </is>
      </c>
      <c r="EX613" s="17" t="n"/>
      <c r="EY613" s="21" t="n"/>
      <c r="EZ613">
        <f>CONCATENATE(A613,B613)</f>
        <v/>
      </c>
      <c r="FA613">
        <f>CONCATENATE(SamplesX!A613,SamplesX!B613)</f>
        <v/>
      </c>
      <c r="FC613">
        <f>MATCH(EZ613,FA1:FA1008,0)</f>
        <v/>
      </c>
    </row>
    <row r="614">
      <c r="A614" s="16" t="n"/>
      <c r="B614" s="17" t="n"/>
      <c r="C614" s="10">
        <f>IF(ISNUMBER(FC614),INDIRECT("SamplesX!C"&amp;FC614),IF(ISNUMBER(FD614),INDIRECT("SamplesY!C"&amp;FD614),""))</f>
        <v/>
      </c>
      <c r="D614" s="12">
        <f>IF(ISNUMBER(FC614),INDIRECT("SamplesX!D"&amp;FC614),IF(ISNUMBER(FD614),INDIRECT("SamplesY!D"&amp;FD614),""))</f>
        <v/>
      </c>
      <c r="E614" s="12">
        <f>IF(ISNUMBER(FC614),INDIRECT("SamplesX!E"&amp;FC614),IF(ISNUMBER(FD614),INDIRECT("SamplesY!E"&amp;FD614),""))</f>
        <v/>
      </c>
      <c r="F614" s="11">
        <f>IF(ISNUMBER(FC614),INDIRECT("SamplesX!F"&amp;FC614),IF(ISNUMBER(FD614),INDIRECT("SamplesY!F"&amp;FD614),""))</f>
        <v/>
      </c>
      <c r="G614" s="18">
        <f>IF(ISNUMBER(FC614),INDIRECT("SamplesX!G"&amp;FC614),IF(ISNUMBER(FD614),INDIRECT("SamplesY!G"&amp;FD614),""))</f>
        <v/>
      </c>
      <c r="H614" s="19">
        <f>IF(ISNUMBER(FC614),INDIRECT("SamplesX!H"&amp;FC614),IF(ISNUMBER(FD614),INDIRECT("SamplesY!H"&amp;FD614),""))</f>
        <v/>
      </c>
      <c r="I614" s="16" t="n"/>
      <c r="J614" s="16" t="n"/>
      <c r="K614" s="16" t="n"/>
      <c r="L614" s="20" t="n"/>
      <c r="M614" s="20" t="inlineStr">
        <is>
          <t>None</t>
        </is>
      </c>
      <c r="N614" s="17" t="n"/>
      <c r="O614" s="16" t="n"/>
      <c r="P614" s="20" t="inlineStr">
        <is>
          <t>Shimadzu TOC-L</t>
        </is>
      </c>
      <c r="Q614" s="20" t="inlineStr">
        <is>
          <t>None</t>
        </is>
      </c>
      <c r="R614" s="17" t="n"/>
      <c r="S614" s="16" t="n"/>
      <c r="T614" s="20" t="inlineStr">
        <is>
          <t>Shimadzu TOC-L</t>
        </is>
      </c>
      <c r="U614" s="20" t="inlineStr">
        <is>
          <t>None</t>
        </is>
      </c>
      <c r="V614" s="17" t="n"/>
      <c r="W614" s="16" t="n"/>
      <c r="X614" s="20" t="n"/>
      <c r="Y614" s="20" t="inlineStr">
        <is>
          <t>None</t>
        </is>
      </c>
      <c r="Z614" s="17" t="n"/>
      <c r="AA614" s="16" t="n"/>
      <c r="AB614" s="20" t="n"/>
      <c r="AC614" s="20" t="inlineStr">
        <is>
          <t>None</t>
        </is>
      </c>
      <c r="AD614" s="17" t="n"/>
      <c r="AE614" s="16" t="n"/>
      <c r="AF614" s="20" t="inlineStr">
        <is>
          <t>IC Anionen</t>
        </is>
      </c>
      <c r="AG614" s="20" t="inlineStr">
        <is>
          <t>None</t>
        </is>
      </c>
      <c r="AH614" s="17" t="n"/>
      <c r="AI614" s="16" t="n"/>
      <c r="AJ614" s="20" t="n"/>
      <c r="AK614" s="20" t="inlineStr">
        <is>
          <t>None</t>
        </is>
      </c>
      <c r="AL614" s="17" t="n"/>
      <c r="AM614" s="16" t="n"/>
      <c r="AN614" s="20" t="inlineStr">
        <is>
          <t>IC Anionen</t>
        </is>
      </c>
      <c r="AO614" s="20" t="inlineStr">
        <is>
          <t>None</t>
        </is>
      </c>
      <c r="AP614" s="17" t="n"/>
      <c r="AQ614" s="16" t="n"/>
      <c r="AR614" s="20" t="n"/>
      <c r="AS614" s="20" t="inlineStr">
        <is>
          <t>None</t>
        </is>
      </c>
      <c r="AT614" s="17" t="n"/>
      <c r="AU614" s="16" t="n"/>
      <c r="AV614" s="20" t="n"/>
      <c r="AW614" s="20" t="inlineStr">
        <is>
          <t>None</t>
        </is>
      </c>
      <c r="AX614" s="17" t="n"/>
      <c r="AY614" s="16" t="n"/>
      <c r="AZ614" s="20" t="inlineStr">
        <is>
          <t>IC Anionen</t>
        </is>
      </c>
      <c r="BA614" s="20" t="inlineStr">
        <is>
          <t>None</t>
        </is>
      </c>
      <c r="BB614" s="17" t="n"/>
      <c r="BC614" s="16" t="n"/>
      <c r="BD614" s="20" t="inlineStr">
        <is>
          <t>IC Kationen</t>
        </is>
      </c>
      <c r="BE614" s="20" t="inlineStr">
        <is>
          <t>None</t>
        </is>
      </c>
      <c r="BF614" s="17" t="n"/>
      <c r="BG614" s="16" t="n"/>
      <c r="BH614" s="20" t="inlineStr">
        <is>
          <t>IC Kationen</t>
        </is>
      </c>
      <c r="BI614" s="20" t="inlineStr">
        <is>
          <t>None</t>
        </is>
      </c>
      <c r="BJ614" s="17" t="n"/>
      <c r="BK614" s="16" t="n"/>
      <c r="BL614" s="20" t="inlineStr">
        <is>
          <t>IC Kationen</t>
        </is>
      </c>
      <c r="BM614" s="20" t="inlineStr">
        <is>
          <t>None</t>
        </is>
      </c>
      <c r="BN614" s="17" t="n"/>
      <c r="BO614" s="16" t="n"/>
      <c r="BP614" s="20" t="inlineStr">
        <is>
          <t>IC Kationen</t>
        </is>
      </c>
      <c r="BQ614" s="20" t="inlineStr">
        <is>
          <t>None</t>
        </is>
      </c>
      <c r="BR614" s="17" t="n"/>
      <c r="BS614" s="16" t="n"/>
      <c r="BT614" s="20" t="inlineStr">
        <is>
          <t>IC Kationen</t>
        </is>
      </c>
      <c r="BU614" s="20" t="inlineStr">
        <is>
          <t>None</t>
        </is>
      </c>
      <c r="BV614" s="17" t="n"/>
      <c r="BW614" s="16" t="n"/>
      <c r="BX614" s="20" t="n"/>
      <c r="BY614" s="20" t="inlineStr">
        <is>
          <t>None</t>
        </is>
      </c>
      <c r="BZ614" s="17" t="n"/>
      <c r="CA614" s="16" t="n"/>
      <c r="CB614" s="20" t="n"/>
      <c r="CC614" s="20" t="inlineStr">
        <is>
          <t>None</t>
        </is>
      </c>
      <c r="CD614" s="17" t="n"/>
      <c r="CE614" s="16" t="n"/>
      <c r="CF614" s="20" t="n"/>
      <c r="CG614" s="20" t="inlineStr">
        <is>
          <t>None</t>
        </is>
      </c>
      <c r="CH614" s="17" t="n"/>
      <c r="CI614" s="16" t="n"/>
      <c r="CJ614" s="20" t="n"/>
      <c r="CK614" s="20" t="inlineStr">
        <is>
          <t>None</t>
        </is>
      </c>
      <c r="CL614" s="17" t="n"/>
      <c r="CM614" s="16" t="n"/>
      <c r="CN614" s="20" t="inlineStr">
        <is>
          <t>SOP 45-34</t>
        </is>
      </c>
      <c r="CO614" s="20" t="inlineStr">
        <is>
          <t>None</t>
        </is>
      </c>
      <c r="CP614" s="17" t="n"/>
      <c r="CQ614" s="16" t="n"/>
      <c r="CR614" s="20" t="n"/>
      <c r="CS614" s="20" t="inlineStr">
        <is>
          <t>None</t>
        </is>
      </c>
      <c r="CT614" s="17" t="n"/>
      <c r="CU614" s="16" t="n"/>
      <c r="CV614" s="20" t="n"/>
      <c r="CW614" s="20" t="inlineStr">
        <is>
          <t>None</t>
        </is>
      </c>
      <c r="CX614" s="17" t="n"/>
      <c r="CY614" s="16" t="n"/>
      <c r="CZ614" s="20" t="inlineStr">
        <is>
          <t>WTW Multimeter 3430 with FDO 925</t>
        </is>
      </c>
      <c r="DA614" s="20" t="inlineStr">
        <is>
          <t>None</t>
        </is>
      </c>
      <c r="DB614" s="17" t="n"/>
      <c r="DC614" s="16" t="n"/>
      <c r="DD614" s="20" t="n"/>
      <c r="DE614" s="20" t="inlineStr">
        <is>
          <t>None</t>
        </is>
      </c>
      <c r="DF614" s="17" t="n"/>
      <c r="DG614" s="16" t="n"/>
      <c r="DH614" s="20" t="inlineStr">
        <is>
          <t>SOP 45-09</t>
        </is>
      </c>
      <c r="DI614" s="20" t="inlineStr">
        <is>
          <t>None</t>
        </is>
      </c>
      <c r="DJ614" s="17" t="n"/>
      <c r="DK614" s="16" t="n"/>
      <c r="DL614" s="20" t="inlineStr">
        <is>
          <t>SOP 45-09 (SOP muss noch angepasst werden für VSS)</t>
        </is>
      </c>
      <c r="DM614" s="20" t="inlineStr">
        <is>
          <t>None</t>
        </is>
      </c>
      <c r="DN614" s="17" t="n"/>
      <c r="DO614" s="16" t="n"/>
      <c r="DP614" s="20" t="inlineStr">
        <is>
          <t>IC Organic Acids</t>
        </is>
      </c>
      <c r="DQ614" s="20" t="inlineStr">
        <is>
          <t>None</t>
        </is>
      </c>
      <c r="DR614" s="17" t="n"/>
      <c r="DS614" s="16" t="n"/>
      <c r="DT614" s="20" t="inlineStr">
        <is>
          <t>IC Organic Acids</t>
        </is>
      </c>
      <c r="DU614" s="20" t="inlineStr">
        <is>
          <t>None</t>
        </is>
      </c>
      <c r="DV614" s="17" t="n"/>
      <c r="DW614" s="16" t="n"/>
      <c r="DX614" s="20" t="inlineStr">
        <is>
          <t>IC Organic Acids</t>
        </is>
      </c>
      <c r="DY614" s="20" t="inlineStr">
        <is>
          <t>None</t>
        </is>
      </c>
      <c r="DZ614" s="17" t="n"/>
      <c r="EA614" s="16" t="n"/>
      <c r="EB614" s="20" t="inlineStr">
        <is>
          <t>IC Organic Acids</t>
        </is>
      </c>
      <c r="EC614" s="20" t="inlineStr">
        <is>
          <t>None</t>
        </is>
      </c>
      <c r="ED614" s="17" t="n"/>
      <c r="EE614" s="16" t="n"/>
      <c r="EF614" s="20" t="inlineStr">
        <is>
          <t>IC Organic Acids</t>
        </is>
      </c>
      <c r="EG614" s="20" t="inlineStr">
        <is>
          <t>None</t>
        </is>
      </c>
      <c r="EH614" s="17" t="n"/>
      <c r="EI614" s="16" t="n"/>
      <c r="EJ614" s="20" t="inlineStr">
        <is>
          <t>IC Organic Acids</t>
        </is>
      </c>
      <c r="EK614" s="20" t="inlineStr">
        <is>
          <t>None</t>
        </is>
      </c>
      <c r="EL614" s="17" t="n"/>
      <c r="EM614" s="16" t="n"/>
      <c r="EN614" s="20" t="inlineStr">
        <is>
          <t>IC Organic Acids</t>
        </is>
      </c>
      <c r="EO614" s="20" t="inlineStr">
        <is>
          <t>None</t>
        </is>
      </c>
      <c r="EP614" s="17" t="n"/>
      <c r="EQ614" s="16" t="n"/>
      <c r="ER614" s="20" t="inlineStr">
        <is>
          <t>IC Organic Acids</t>
        </is>
      </c>
      <c r="ES614" s="20" t="inlineStr">
        <is>
          <t>None</t>
        </is>
      </c>
      <c r="ET614" s="17" t="n"/>
      <c r="EU614" s="16" t="n"/>
      <c r="EV614" s="20" t="inlineStr">
        <is>
          <t>LC-MS</t>
        </is>
      </c>
      <c r="EW614" s="20" t="inlineStr">
        <is>
          <t>None</t>
        </is>
      </c>
      <c r="EX614" s="17" t="n"/>
      <c r="EY614" s="21" t="n"/>
      <c r="EZ614">
        <f>CONCATENATE(A614,B614)</f>
        <v/>
      </c>
      <c r="FA614">
        <f>CONCATENATE(SamplesX!A614,SamplesX!B614)</f>
        <v/>
      </c>
      <c r="FC614">
        <f>MATCH(EZ614,FA1:FA1008,0)</f>
        <v/>
      </c>
    </row>
    <row r="615">
      <c r="A615" s="16" t="n"/>
      <c r="B615" s="17" t="n"/>
      <c r="C615" s="10">
        <f>IF(ISNUMBER(FC615),INDIRECT("SamplesX!C"&amp;FC615),IF(ISNUMBER(FD615),INDIRECT("SamplesY!C"&amp;FD615),""))</f>
        <v/>
      </c>
      <c r="D615" s="12">
        <f>IF(ISNUMBER(FC615),INDIRECT("SamplesX!D"&amp;FC615),IF(ISNUMBER(FD615),INDIRECT("SamplesY!D"&amp;FD615),""))</f>
        <v/>
      </c>
      <c r="E615" s="12">
        <f>IF(ISNUMBER(FC615),INDIRECT("SamplesX!E"&amp;FC615),IF(ISNUMBER(FD615),INDIRECT("SamplesY!E"&amp;FD615),""))</f>
        <v/>
      </c>
      <c r="F615" s="11">
        <f>IF(ISNUMBER(FC615),INDIRECT("SamplesX!F"&amp;FC615),IF(ISNUMBER(FD615),INDIRECT("SamplesY!F"&amp;FD615),""))</f>
        <v/>
      </c>
      <c r="G615" s="18">
        <f>IF(ISNUMBER(FC615),INDIRECT("SamplesX!G"&amp;FC615),IF(ISNUMBER(FD615),INDIRECT("SamplesY!G"&amp;FD615),""))</f>
        <v/>
      </c>
      <c r="H615" s="19">
        <f>IF(ISNUMBER(FC615),INDIRECT("SamplesX!H"&amp;FC615),IF(ISNUMBER(FD615),INDIRECT("SamplesY!H"&amp;FD615),""))</f>
        <v/>
      </c>
      <c r="I615" s="16" t="n"/>
      <c r="J615" s="16" t="n"/>
      <c r="K615" s="16" t="n"/>
      <c r="L615" s="20" t="n"/>
      <c r="M615" s="20" t="inlineStr">
        <is>
          <t>None</t>
        </is>
      </c>
      <c r="N615" s="17" t="n"/>
      <c r="O615" s="16" t="n"/>
      <c r="P615" s="20" t="inlineStr">
        <is>
          <t>Shimadzu TOC-L</t>
        </is>
      </c>
      <c r="Q615" s="20" t="inlineStr">
        <is>
          <t>None</t>
        </is>
      </c>
      <c r="R615" s="17" t="n"/>
      <c r="S615" s="16" t="n"/>
      <c r="T615" s="20" t="inlineStr">
        <is>
          <t>Shimadzu TOC-L</t>
        </is>
      </c>
      <c r="U615" s="20" t="inlineStr">
        <is>
          <t>None</t>
        </is>
      </c>
      <c r="V615" s="17" t="n"/>
      <c r="W615" s="16" t="n"/>
      <c r="X615" s="20" t="n"/>
      <c r="Y615" s="20" t="inlineStr">
        <is>
          <t>None</t>
        </is>
      </c>
      <c r="Z615" s="17" t="n"/>
      <c r="AA615" s="16" t="n"/>
      <c r="AB615" s="20" t="n"/>
      <c r="AC615" s="20" t="inlineStr">
        <is>
          <t>None</t>
        </is>
      </c>
      <c r="AD615" s="17" t="n"/>
      <c r="AE615" s="16" t="n"/>
      <c r="AF615" s="20" t="inlineStr">
        <is>
          <t>IC Anionen</t>
        </is>
      </c>
      <c r="AG615" s="20" t="inlineStr">
        <is>
          <t>None</t>
        </is>
      </c>
      <c r="AH615" s="17" t="n"/>
      <c r="AI615" s="16" t="n"/>
      <c r="AJ615" s="20" t="n"/>
      <c r="AK615" s="20" t="inlineStr">
        <is>
          <t>None</t>
        </is>
      </c>
      <c r="AL615" s="17" t="n"/>
      <c r="AM615" s="16" t="n"/>
      <c r="AN615" s="20" t="inlineStr">
        <is>
          <t>IC Anionen</t>
        </is>
      </c>
      <c r="AO615" s="20" t="inlineStr">
        <is>
          <t>None</t>
        </is>
      </c>
      <c r="AP615" s="17" t="n"/>
      <c r="AQ615" s="16" t="n"/>
      <c r="AR615" s="20" t="n"/>
      <c r="AS615" s="20" t="inlineStr">
        <is>
          <t>None</t>
        </is>
      </c>
      <c r="AT615" s="17" t="n"/>
      <c r="AU615" s="16" t="n"/>
      <c r="AV615" s="20" t="n"/>
      <c r="AW615" s="20" t="inlineStr">
        <is>
          <t>None</t>
        </is>
      </c>
      <c r="AX615" s="17" t="n"/>
      <c r="AY615" s="16" t="n"/>
      <c r="AZ615" s="20" t="inlineStr">
        <is>
          <t>IC Anionen</t>
        </is>
      </c>
      <c r="BA615" s="20" t="inlineStr">
        <is>
          <t>None</t>
        </is>
      </c>
      <c r="BB615" s="17" t="n"/>
      <c r="BC615" s="16" t="n"/>
      <c r="BD615" s="20" t="inlineStr">
        <is>
          <t>IC Kationen</t>
        </is>
      </c>
      <c r="BE615" s="20" t="inlineStr">
        <is>
          <t>None</t>
        </is>
      </c>
      <c r="BF615" s="17" t="n"/>
      <c r="BG615" s="16" t="n"/>
      <c r="BH615" s="20" t="inlineStr">
        <is>
          <t>IC Kationen</t>
        </is>
      </c>
      <c r="BI615" s="20" t="inlineStr">
        <is>
          <t>None</t>
        </is>
      </c>
      <c r="BJ615" s="17" t="n"/>
      <c r="BK615" s="16" t="n"/>
      <c r="BL615" s="20" t="inlineStr">
        <is>
          <t>IC Kationen</t>
        </is>
      </c>
      <c r="BM615" s="20" t="inlineStr">
        <is>
          <t>None</t>
        </is>
      </c>
      <c r="BN615" s="17" t="n"/>
      <c r="BO615" s="16" t="n"/>
      <c r="BP615" s="20" t="inlineStr">
        <is>
          <t>IC Kationen</t>
        </is>
      </c>
      <c r="BQ615" s="20" t="inlineStr">
        <is>
          <t>None</t>
        </is>
      </c>
      <c r="BR615" s="17" t="n"/>
      <c r="BS615" s="16" t="n"/>
      <c r="BT615" s="20" t="inlineStr">
        <is>
          <t>IC Kationen</t>
        </is>
      </c>
      <c r="BU615" s="20" t="inlineStr">
        <is>
          <t>None</t>
        </is>
      </c>
      <c r="BV615" s="17" t="n"/>
      <c r="BW615" s="16" t="n"/>
      <c r="BX615" s="20" t="n"/>
      <c r="BY615" s="20" t="inlineStr">
        <is>
          <t>None</t>
        </is>
      </c>
      <c r="BZ615" s="17" t="n"/>
      <c r="CA615" s="16" t="n"/>
      <c r="CB615" s="20" t="n"/>
      <c r="CC615" s="20" t="inlineStr">
        <is>
          <t>None</t>
        </is>
      </c>
      <c r="CD615" s="17" t="n"/>
      <c r="CE615" s="16" t="n"/>
      <c r="CF615" s="20" t="n"/>
      <c r="CG615" s="20" t="inlineStr">
        <is>
          <t>None</t>
        </is>
      </c>
      <c r="CH615" s="17" t="n"/>
      <c r="CI615" s="16" t="n"/>
      <c r="CJ615" s="20" t="n"/>
      <c r="CK615" s="20" t="inlineStr">
        <is>
          <t>None</t>
        </is>
      </c>
      <c r="CL615" s="17" t="n"/>
      <c r="CM615" s="16" t="n"/>
      <c r="CN615" s="20" t="inlineStr">
        <is>
          <t>SOP 45-34</t>
        </is>
      </c>
      <c r="CO615" s="20" t="inlineStr">
        <is>
          <t>None</t>
        </is>
      </c>
      <c r="CP615" s="17" t="n"/>
      <c r="CQ615" s="16" t="n"/>
      <c r="CR615" s="20" t="n"/>
      <c r="CS615" s="20" t="inlineStr">
        <is>
          <t>None</t>
        </is>
      </c>
      <c r="CT615" s="17" t="n"/>
      <c r="CU615" s="16" t="n"/>
      <c r="CV615" s="20" t="n"/>
      <c r="CW615" s="20" t="inlineStr">
        <is>
          <t>None</t>
        </is>
      </c>
      <c r="CX615" s="17" t="n"/>
      <c r="CY615" s="16" t="n"/>
      <c r="CZ615" s="20" t="inlineStr">
        <is>
          <t>WTW Multimeter 3430 with FDO 925</t>
        </is>
      </c>
      <c r="DA615" s="20" t="inlineStr">
        <is>
          <t>None</t>
        </is>
      </c>
      <c r="DB615" s="17" t="n"/>
      <c r="DC615" s="16" t="n"/>
      <c r="DD615" s="20" t="n"/>
      <c r="DE615" s="20" t="inlineStr">
        <is>
          <t>None</t>
        </is>
      </c>
      <c r="DF615" s="17" t="n"/>
      <c r="DG615" s="16" t="n"/>
      <c r="DH615" s="20" t="inlineStr">
        <is>
          <t>SOP 45-09</t>
        </is>
      </c>
      <c r="DI615" s="20" t="inlineStr">
        <is>
          <t>None</t>
        </is>
      </c>
      <c r="DJ615" s="17" t="n"/>
      <c r="DK615" s="16" t="n"/>
      <c r="DL615" s="20" t="inlineStr">
        <is>
          <t>SOP 45-09 (SOP muss noch angepasst werden für VSS)</t>
        </is>
      </c>
      <c r="DM615" s="20" t="inlineStr">
        <is>
          <t>None</t>
        </is>
      </c>
      <c r="DN615" s="17" t="n"/>
      <c r="DO615" s="16" t="n"/>
      <c r="DP615" s="20" t="inlineStr">
        <is>
          <t>IC Organic Acids</t>
        </is>
      </c>
      <c r="DQ615" s="20" t="inlineStr">
        <is>
          <t>None</t>
        </is>
      </c>
      <c r="DR615" s="17" t="n"/>
      <c r="DS615" s="16" t="n"/>
      <c r="DT615" s="20" t="inlineStr">
        <is>
          <t>IC Organic Acids</t>
        </is>
      </c>
      <c r="DU615" s="20" t="inlineStr">
        <is>
          <t>None</t>
        </is>
      </c>
      <c r="DV615" s="17" t="n"/>
      <c r="DW615" s="16" t="n"/>
      <c r="DX615" s="20" t="inlineStr">
        <is>
          <t>IC Organic Acids</t>
        </is>
      </c>
      <c r="DY615" s="20" t="inlineStr">
        <is>
          <t>None</t>
        </is>
      </c>
      <c r="DZ615" s="17" t="n"/>
      <c r="EA615" s="16" t="n"/>
      <c r="EB615" s="20" t="inlineStr">
        <is>
          <t>IC Organic Acids</t>
        </is>
      </c>
      <c r="EC615" s="20" t="inlineStr">
        <is>
          <t>None</t>
        </is>
      </c>
      <c r="ED615" s="17" t="n"/>
      <c r="EE615" s="16" t="n"/>
      <c r="EF615" s="20" t="inlineStr">
        <is>
          <t>IC Organic Acids</t>
        </is>
      </c>
      <c r="EG615" s="20" t="inlineStr">
        <is>
          <t>None</t>
        </is>
      </c>
      <c r="EH615" s="17" t="n"/>
      <c r="EI615" s="16" t="n"/>
      <c r="EJ615" s="20" t="inlineStr">
        <is>
          <t>IC Organic Acids</t>
        </is>
      </c>
      <c r="EK615" s="20" t="inlineStr">
        <is>
          <t>None</t>
        </is>
      </c>
      <c r="EL615" s="17" t="n"/>
      <c r="EM615" s="16" t="n"/>
      <c r="EN615" s="20" t="inlineStr">
        <is>
          <t>IC Organic Acids</t>
        </is>
      </c>
      <c r="EO615" s="20" t="inlineStr">
        <is>
          <t>None</t>
        </is>
      </c>
      <c r="EP615" s="17" t="n"/>
      <c r="EQ615" s="16" t="n"/>
      <c r="ER615" s="20" t="inlineStr">
        <is>
          <t>IC Organic Acids</t>
        </is>
      </c>
      <c r="ES615" s="20" t="inlineStr">
        <is>
          <t>None</t>
        </is>
      </c>
      <c r="ET615" s="17" t="n"/>
      <c r="EU615" s="16" t="n"/>
      <c r="EV615" s="20" t="inlineStr">
        <is>
          <t>LC-MS</t>
        </is>
      </c>
      <c r="EW615" s="20" t="inlineStr">
        <is>
          <t>None</t>
        </is>
      </c>
      <c r="EX615" s="17" t="n"/>
      <c r="EY615" s="21" t="n"/>
      <c r="EZ615">
        <f>CONCATENATE(A615,B615)</f>
        <v/>
      </c>
      <c r="FA615">
        <f>CONCATENATE(SamplesX!A615,SamplesX!B615)</f>
        <v/>
      </c>
      <c r="FC615">
        <f>MATCH(EZ615,FA1:FA1008,0)</f>
        <v/>
      </c>
    </row>
    <row r="616">
      <c r="A616" s="16" t="n"/>
      <c r="B616" s="17" t="n"/>
      <c r="C616" s="10">
        <f>IF(ISNUMBER(FC616),INDIRECT("SamplesX!C"&amp;FC616),IF(ISNUMBER(FD616),INDIRECT("SamplesY!C"&amp;FD616),""))</f>
        <v/>
      </c>
      <c r="D616" s="12">
        <f>IF(ISNUMBER(FC616),INDIRECT("SamplesX!D"&amp;FC616),IF(ISNUMBER(FD616),INDIRECT("SamplesY!D"&amp;FD616),""))</f>
        <v/>
      </c>
      <c r="E616" s="12">
        <f>IF(ISNUMBER(FC616),INDIRECT("SamplesX!E"&amp;FC616),IF(ISNUMBER(FD616),INDIRECT("SamplesY!E"&amp;FD616),""))</f>
        <v/>
      </c>
      <c r="F616" s="11">
        <f>IF(ISNUMBER(FC616),INDIRECT("SamplesX!F"&amp;FC616),IF(ISNUMBER(FD616),INDIRECT("SamplesY!F"&amp;FD616),""))</f>
        <v/>
      </c>
      <c r="G616" s="18">
        <f>IF(ISNUMBER(FC616),INDIRECT("SamplesX!G"&amp;FC616),IF(ISNUMBER(FD616),INDIRECT("SamplesY!G"&amp;FD616),""))</f>
        <v/>
      </c>
      <c r="H616" s="19">
        <f>IF(ISNUMBER(FC616),INDIRECT("SamplesX!H"&amp;FC616),IF(ISNUMBER(FD616),INDIRECT("SamplesY!H"&amp;FD616),""))</f>
        <v/>
      </c>
      <c r="I616" s="16" t="n"/>
      <c r="J616" s="16" t="n"/>
      <c r="K616" s="16" t="n"/>
      <c r="L616" s="20" t="n"/>
      <c r="M616" s="20" t="inlineStr">
        <is>
          <t>None</t>
        </is>
      </c>
      <c r="N616" s="17" t="n"/>
      <c r="O616" s="16" t="n"/>
      <c r="P616" s="20" t="inlineStr">
        <is>
          <t>Shimadzu TOC-L</t>
        </is>
      </c>
      <c r="Q616" s="20" t="inlineStr">
        <is>
          <t>None</t>
        </is>
      </c>
      <c r="R616" s="17" t="n"/>
      <c r="S616" s="16" t="n"/>
      <c r="T616" s="20" t="inlineStr">
        <is>
          <t>Shimadzu TOC-L</t>
        </is>
      </c>
      <c r="U616" s="20" t="inlineStr">
        <is>
          <t>None</t>
        </is>
      </c>
      <c r="V616" s="17" t="n"/>
      <c r="W616" s="16" t="n"/>
      <c r="X616" s="20" t="n"/>
      <c r="Y616" s="20" t="inlineStr">
        <is>
          <t>None</t>
        </is>
      </c>
      <c r="Z616" s="17" t="n"/>
      <c r="AA616" s="16" t="n"/>
      <c r="AB616" s="20" t="n"/>
      <c r="AC616" s="20" t="inlineStr">
        <is>
          <t>None</t>
        </is>
      </c>
      <c r="AD616" s="17" t="n"/>
      <c r="AE616" s="16" t="n"/>
      <c r="AF616" s="20" t="inlineStr">
        <is>
          <t>IC Anionen</t>
        </is>
      </c>
      <c r="AG616" s="20" t="inlineStr">
        <is>
          <t>None</t>
        </is>
      </c>
      <c r="AH616" s="17" t="n"/>
      <c r="AI616" s="16" t="n"/>
      <c r="AJ616" s="20" t="n"/>
      <c r="AK616" s="20" t="inlineStr">
        <is>
          <t>None</t>
        </is>
      </c>
      <c r="AL616" s="17" t="n"/>
      <c r="AM616" s="16" t="n"/>
      <c r="AN616" s="20" t="inlineStr">
        <is>
          <t>IC Anionen</t>
        </is>
      </c>
      <c r="AO616" s="20" t="inlineStr">
        <is>
          <t>None</t>
        </is>
      </c>
      <c r="AP616" s="17" t="n"/>
      <c r="AQ616" s="16" t="n"/>
      <c r="AR616" s="20" t="n"/>
      <c r="AS616" s="20" t="inlineStr">
        <is>
          <t>None</t>
        </is>
      </c>
      <c r="AT616" s="17" t="n"/>
      <c r="AU616" s="16" t="n"/>
      <c r="AV616" s="20" t="n"/>
      <c r="AW616" s="20" t="inlineStr">
        <is>
          <t>None</t>
        </is>
      </c>
      <c r="AX616" s="17" t="n"/>
      <c r="AY616" s="16" t="n"/>
      <c r="AZ616" s="20" t="inlineStr">
        <is>
          <t>IC Anionen</t>
        </is>
      </c>
      <c r="BA616" s="20" t="inlineStr">
        <is>
          <t>None</t>
        </is>
      </c>
      <c r="BB616" s="17" t="n"/>
      <c r="BC616" s="16" t="n"/>
      <c r="BD616" s="20" t="inlineStr">
        <is>
          <t>IC Kationen</t>
        </is>
      </c>
      <c r="BE616" s="20" t="inlineStr">
        <is>
          <t>None</t>
        </is>
      </c>
      <c r="BF616" s="17" t="n"/>
      <c r="BG616" s="16" t="n"/>
      <c r="BH616" s="20" t="inlineStr">
        <is>
          <t>IC Kationen</t>
        </is>
      </c>
      <c r="BI616" s="20" t="inlineStr">
        <is>
          <t>None</t>
        </is>
      </c>
      <c r="BJ616" s="17" t="n"/>
      <c r="BK616" s="16" t="n"/>
      <c r="BL616" s="20" t="inlineStr">
        <is>
          <t>IC Kationen</t>
        </is>
      </c>
      <c r="BM616" s="20" t="inlineStr">
        <is>
          <t>None</t>
        </is>
      </c>
      <c r="BN616" s="17" t="n"/>
      <c r="BO616" s="16" t="n"/>
      <c r="BP616" s="20" t="inlineStr">
        <is>
          <t>IC Kationen</t>
        </is>
      </c>
      <c r="BQ616" s="20" t="inlineStr">
        <is>
          <t>None</t>
        </is>
      </c>
      <c r="BR616" s="17" t="n"/>
      <c r="BS616" s="16" t="n"/>
      <c r="BT616" s="20" t="inlineStr">
        <is>
          <t>IC Kationen</t>
        </is>
      </c>
      <c r="BU616" s="20" t="inlineStr">
        <is>
          <t>None</t>
        </is>
      </c>
      <c r="BV616" s="17" t="n"/>
      <c r="BW616" s="16" t="n"/>
      <c r="BX616" s="20" t="n"/>
      <c r="BY616" s="20" t="inlineStr">
        <is>
          <t>None</t>
        </is>
      </c>
      <c r="BZ616" s="17" t="n"/>
      <c r="CA616" s="16" t="n"/>
      <c r="CB616" s="20" t="n"/>
      <c r="CC616" s="20" t="inlineStr">
        <is>
          <t>None</t>
        </is>
      </c>
      <c r="CD616" s="17" t="n"/>
      <c r="CE616" s="16" t="n"/>
      <c r="CF616" s="20" t="n"/>
      <c r="CG616" s="20" t="inlineStr">
        <is>
          <t>None</t>
        </is>
      </c>
      <c r="CH616" s="17" t="n"/>
      <c r="CI616" s="16" t="n"/>
      <c r="CJ616" s="20" t="n"/>
      <c r="CK616" s="20" t="inlineStr">
        <is>
          <t>None</t>
        </is>
      </c>
      <c r="CL616" s="17" t="n"/>
      <c r="CM616" s="16" t="n"/>
      <c r="CN616" s="20" t="inlineStr">
        <is>
          <t>SOP 45-34</t>
        </is>
      </c>
      <c r="CO616" s="20" t="inlineStr">
        <is>
          <t>None</t>
        </is>
      </c>
      <c r="CP616" s="17" t="n"/>
      <c r="CQ616" s="16" t="n"/>
      <c r="CR616" s="20" t="n"/>
      <c r="CS616" s="20" t="inlineStr">
        <is>
          <t>None</t>
        </is>
      </c>
      <c r="CT616" s="17" t="n"/>
      <c r="CU616" s="16" t="n"/>
      <c r="CV616" s="20" t="n"/>
      <c r="CW616" s="20" t="inlineStr">
        <is>
          <t>None</t>
        </is>
      </c>
      <c r="CX616" s="17" t="n"/>
      <c r="CY616" s="16" t="n"/>
      <c r="CZ616" s="20" t="inlineStr">
        <is>
          <t>WTW Multimeter 3430 with FDO 925</t>
        </is>
      </c>
      <c r="DA616" s="20" t="inlineStr">
        <is>
          <t>None</t>
        </is>
      </c>
      <c r="DB616" s="17" t="n"/>
      <c r="DC616" s="16" t="n"/>
      <c r="DD616" s="20" t="n"/>
      <c r="DE616" s="20" t="inlineStr">
        <is>
          <t>None</t>
        </is>
      </c>
      <c r="DF616" s="17" t="n"/>
      <c r="DG616" s="16" t="n"/>
      <c r="DH616" s="20" t="inlineStr">
        <is>
          <t>SOP 45-09</t>
        </is>
      </c>
      <c r="DI616" s="20" t="inlineStr">
        <is>
          <t>None</t>
        </is>
      </c>
      <c r="DJ616" s="17" t="n"/>
      <c r="DK616" s="16" t="n"/>
      <c r="DL616" s="20" t="inlineStr">
        <is>
          <t>SOP 45-09 (SOP muss noch angepasst werden für VSS)</t>
        </is>
      </c>
      <c r="DM616" s="20" t="inlineStr">
        <is>
          <t>None</t>
        </is>
      </c>
      <c r="DN616" s="17" t="n"/>
      <c r="DO616" s="16" t="n"/>
      <c r="DP616" s="20" t="inlineStr">
        <is>
          <t>IC Organic Acids</t>
        </is>
      </c>
      <c r="DQ616" s="20" t="inlineStr">
        <is>
          <t>None</t>
        </is>
      </c>
      <c r="DR616" s="17" t="n"/>
      <c r="DS616" s="16" t="n"/>
      <c r="DT616" s="20" t="inlineStr">
        <is>
          <t>IC Organic Acids</t>
        </is>
      </c>
      <c r="DU616" s="20" t="inlineStr">
        <is>
          <t>None</t>
        </is>
      </c>
      <c r="DV616" s="17" t="n"/>
      <c r="DW616" s="16" t="n"/>
      <c r="DX616" s="20" t="inlineStr">
        <is>
          <t>IC Organic Acids</t>
        </is>
      </c>
      <c r="DY616" s="20" t="inlineStr">
        <is>
          <t>None</t>
        </is>
      </c>
      <c r="DZ616" s="17" t="n"/>
      <c r="EA616" s="16" t="n"/>
      <c r="EB616" s="20" t="inlineStr">
        <is>
          <t>IC Organic Acids</t>
        </is>
      </c>
      <c r="EC616" s="20" t="inlineStr">
        <is>
          <t>None</t>
        </is>
      </c>
      <c r="ED616" s="17" t="n"/>
      <c r="EE616" s="16" t="n"/>
      <c r="EF616" s="20" t="inlineStr">
        <is>
          <t>IC Organic Acids</t>
        </is>
      </c>
      <c r="EG616" s="20" t="inlineStr">
        <is>
          <t>None</t>
        </is>
      </c>
      <c r="EH616" s="17" t="n"/>
      <c r="EI616" s="16" t="n"/>
      <c r="EJ616" s="20" t="inlineStr">
        <is>
          <t>IC Organic Acids</t>
        </is>
      </c>
      <c r="EK616" s="20" t="inlineStr">
        <is>
          <t>None</t>
        </is>
      </c>
      <c r="EL616" s="17" t="n"/>
      <c r="EM616" s="16" t="n"/>
      <c r="EN616" s="20" t="inlineStr">
        <is>
          <t>IC Organic Acids</t>
        </is>
      </c>
      <c r="EO616" s="20" t="inlineStr">
        <is>
          <t>None</t>
        </is>
      </c>
      <c r="EP616" s="17" t="n"/>
      <c r="EQ616" s="16" t="n"/>
      <c r="ER616" s="20" t="inlineStr">
        <is>
          <t>IC Organic Acids</t>
        </is>
      </c>
      <c r="ES616" s="20" t="inlineStr">
        <is>
          <t>None</t>
        </is>
      </c>
      <c r="ET616" s="17" t="n"/>
      <c r="EU616" s="16" t="n"/>
      <c r="EV616" s="20" t="inlineStr">
        <is>
          <t>LC-MS</t>
        </is>
      </c>
      <c r="EW616" s="20" t="inlineStr">
        <is>
          <t>None</t>
        </is>
      </c>
      <c r="EX616" s="17" t="n"/>
      <c r="EY616" s="21" t="n"/>
      <c r="EZ616">
        <f>CONCATENATE(A616,B616)</f>
        <v/>
      </c>
      <c r="FA616">
        <f>CONCATENATE(SamplesX!A616,SamplesX!B616)</f>
        <v/>
      </c>
      <c r="FC616">
        <f>MATCH(EZ616,FA1:FA1008,0)</f>
        <v/>
      </c>
    </row>
    <row r="617">
      <c r="A617" s="16" t="n"/>
      <c r="B617" s="17" t="n"/>
      <c r="C617" s="10">
        <f>IF(ISNUMBER(FC617),INDIRECT("SamplesX!C"&amp;FC617),IF(ISNUMBER(FD617),INDIRECT("SamplesY!C"&amp;FD617),""))</f>
        <v/>
      </c>
      <c r="D617" s="12">
        <f>IF(ISNUMBER(FC617),INDIRECT("SamplesX!D"&amp;FC617),IF(ISNUMBER(FD617),INDIRECT("SamplesY!D"&amp;FD617),""))</f>
        <v/>
      </c>
      <c r="E617" s="12">
        <f>IF(ISNUMBER(FC617),INDIRECT("SamplesX!E"&amp;FC617),IF(ISNUMBER(FD617),INDIRECT("SamplesY!E"&amp;FD617),""))</f>
        <v/>
      </c>
      <c r="F617" s="11">
        <f>IF(ISNUMBER(FC617),INDIRECT("SamplesX!F"&amp;FC617),IF(ISNUMBER(FD617),INDIRECT("SamplesY!F"&amp;FD617),""))</f>
        <v/>
      </c>
      <c r="G617" s="18">
        <f>IF(ISNUMBER(FC617),INDIRECT("SamplesX!G"&amp;FC617),IF(ISNUMBER(FD617),INDIRECT("SamplesY!G"&amp;FD617),""))</f>
        <v/>
      </c>
      <c r="H617" s="19">
        <f>IF(ISNUMBER(FC617),INDIRECT("SamplesX!H"&amp;FC617),IF(ISNUMBER(FD617),INDIRECT("SamplesY!H"&amp;FD617),""))</f>
        <v/>
      </c>
      <c r="I617" s="16" t="n"/>
      <c r="J617" s="16" t="n"/>
      <c r="K617" s="16" t="n"/>
      <c r="L617" s="20" t="n"/>
      <c r="M617" s="20" t="inlineStr">
        <is>
          <t>None</t>
        </is>
      </c>
      <c r="N617" s="17" t="n"/>
      <c r="O617" s="16" t="n"/>
      <c r="P617" s="20" t="inlineStr">
        <is>
          <t>Shimadzu TOC-L</t>
        </is>
      </c>
      <c r="Q617" s="20" t="inlineStr">
        <is>
          <t>None</t>
        </is>
      </c>
      <c r="R617" s="17" t="n"/>
      <c r="S617" s="16" t="n"/>
      <c r="T617" s="20" t="inlineStr">
        <is>
          <t>Shimadzu TOC-L</t>
        </is>
      </c>
      <c r="U617" s="20" t="inlineStr">
        <is>
          <t>None</t>
        </is>
      </c>
      <c r="V617" s="17" t="n"/>
      <c r="W617" s="16" t="n"/>
      <c r="X617" s="20" t="n"/>
      <c r="Y617" s="20" t="inlineStr">
        <is>
          <t>None</t>
        </is>
      </c>
      <c r="Z617" s="17" t="n"/>
      <c r="AA617" s="16" t="n"/>
      <c r="AB617" s="20" t="n"/>
      <c r="AC617" s="20" t="inlineStr">
        <is>
          <t>None</t>
        </is>
      </c>
      <c r="AD617" s="17" t="n"/>
      <c r="AE617" s="16" t="n"/>
      <c r="AF617" s="20" t="inlineStr">
        <is>
          <t>IC Anionen</t>
        </is>
      </c>
      <c r="AG617" s="20" t="inlineStr">
        <is>
          <t>None</t>
        </is>
      </c>
      <c r="AH617" s="17" t="n"/>
      <c r="AI617" s="16" t="n"/>
      <c r="AJ617" s="20" t="n"/>
      <c r="AK617" s="20" t="inlineStr">
        <is>
          <t>None</t>
        </is>
      </c>
      <c r="AL617" s="17" t="n"/>
      <c r="AM617" s="16" t="n"/>
      <c r="AN617" s="20" t="inlineStr">
        <is>
          <t>IC Anionen</t>
        </is>
      </c>
      <c r="AO617" s="20" t="inlineStr">
        <is>
          <t>None</t>
        </is>
      </c>
      <c r="AP617" s="17" t="n"/>
      <c r="AQ617" s="16" t="n"/>
      <c r="AR617" s="20" t="n"/>
      <c r="AS617" s="20" t="inlineStr">
        <is>
          <t>None</t>
        </is>
      </c>
      <c r="AT617" s="17" t="n"/>
      <c r="AU617" s="16" t="n"/>
      <c r="AV617" s="20" t="n"/>
      <c r="AW617" s="20" t="inlineStr">
        <is>
          <t>None</t>
        </is>
      </c>
      <c r="AX617" s="17" t="n"/>
      <c r="AY617" s="16" t="n"/>
      <c r="AZ617" s="20" t="inlineStr">
        <is>
          <t>IC Anionen</t>
        </is>
      </c>
      <c r="BA617" s="20" t="inlineStr">
        <is>
          <t>None</t>
        </is>
      </c>
      <c r="BB617" s="17" t="n"/>
      <c r="BC617" s="16" t="n"/>
      <c r="BD617" s="20" t="inlineStr">
        <is>
          <t>IC Kationen</t>
        </is>
      </c>
      <c r="BE617" s="20" t="inlineStr">
        <is>
          <t>None</t>
        </is>
      </c>
      <c r="BF617" s="17" t="n"/>
      <c r="BG617" s="16" t="n"/>
      <c r="BH617" s="20" t="inlineStr">
        <is>
          <t>IC Kationen</t>
        </is>
      </c>
      <c r="BI617" s="20" t="inlineStr">
        <is>
          <t>None</t>
        </is>
      </c>
      <c r="BJ617" s="17" t="n"/>
      <c r="BK617" s="16" t="n"/>
      <c r="BL617" s="20" t="inlineStr">
        <is>
          <t>IC Kationen</t>
        </is>
      </c>
      <c r="BM617" s="20" t="inlineStr">
        <is>
          <t>None</t>
        </is>
      </c>
      <c r="BN617" s="17" t="n"/>
      <c r="BO617" s="16" t="n"/>
      <c r="BP617" s="20" t="inlineStr">
        <is>
          <t>IC Kationen</t>
        </is>
      </c>
      <c r="BQ617" s="20" t="inlineStr">
        <is>
          <t>None</t>
        </is>
      </c>
      <c r="BR617" s="17" t="n"/>
      <c r="BS617" s="16" t="n"/>
      <c r="BT617" s="20" t="inlineStr">
        <is>
          <t>IC Kationen</t>
        </is>
      </c>
      <c r="BU617" s="20" t="inlineStr">
        <is>
          <t>None</t>
        </is>
      </c>
      <c r="BV617" s="17" t="n"/>
      <c r="BW617" s="16" t="n"/>
      <c r="BX617" s="20" t="n"/>
      <c r="BY617" s="20" t="inlineStr">
        <is>
          <t>None</t>
        </is>
      </c>
      <c r="BZ617" s="17" t="n"/>
      <c r="CA617" s="16" t="n"/>
      <c r="CB617" s="20" t="n"/>
      <c r="CC617" s="20" t="inlineStr">
        <is>
          <t>None</t>
        </is>
      </c>
      <c r="CD617" s="17" t="n"/>
      <c r="CE617" s="16" t="n"/>
      <c r="CF617" s="20" t="n"/>
      <c r="CG617" s="20" t="inlineStr">
        <is>
          <t>None</t>
        </is>
      </c>
      <c r="CH617" s="17" t="n"/>
      <c r="CI617" s="16" t="n"/>
      <c r="CJ617" s="20" t="n"/>
      <c r="CK617" s="20" t="inlineStr">
        <is>
          <t>None</t>
        </is>
      </c>
      <c r="CL617" s="17" t="n"/>
      <c r="CM617" s="16" t="n"/>
      <c r="CN617" s="20" t="inlineStr">
        <is>
          <t>SOP 45-34</t>
        </is>
      </c>
      <c r="CO617" s="20" t="inlineStr">
        <is>
          <t>None</t>
        </is>
      </c>
      <c r="CP617" s="17" t="n"/>
      <c r="CQ617" s="16" t="n"/>
      <c r="CR617" s="20" t="n"/>
      <c r="CS617" s="20" t="inlineStr">
        <is>
          <t>None</t>
        </is>
      </c>
      <c r="CT617" s="17" t="n"/>
      <c r="CU617" s="16" t="n"/>
      <c r="CV617" s="20" t="n"/>
      <c r="CW617" s="20" t="inlineStr">
        <is>
          <t>None</t>
        </is>
      </c>
      <c r="CX617" s="17" t="n"/>
      <c r="CY617" s="16" t="n"/>
      <c r="CZ617" s="20" t="inlineStr">
        <is>
          <t>WTW Multimeter 3430 with FDO 925</t>
        </is>
      </c>
      <c r="DA617" s="20" t="inlineStr">
        <is>
          <t>None</t>
        </is>
      </c>
      <c r="DB617" s="17" t="n"/>
      <c r="DC617" s="16" t="n"/>
      <c r="DD617" s="20" t="n"/>
      <c r="DE617" s="20" t="inlineStr">
        <is>
          <t>None</t>
        </is>
      </c>
      <c r="DF617" s="17" t="n"/>
      <c r="DG617" s="16" t="n"/>
      <c r="DH617" s="20" t="inlineStr">
        <is>
          <t>SOP 45-09</t>
        </is>
      </c>
      <c r="DI617" s="20" t="inlineStr">
        <is>
          <t>None</t>
        </is>
      </c>
      <c r="DJ617" s="17" t="n"/>
      <c r="DK617" s="16" t="n"/>
      <c r="DL617" s="20" t="inlineStr">
        <is>
          <t>SOP 45-09 (SOP muss noch angepasst werden für VSS)</t>
        </is>
      </c>
      <c r="DM617" s="20" t="inlineStr">
        <is>
          <t>None</t>
        </is>
      </c>
      <c r="DN617" s="17" t="n"/>
      <c r="DO617" s="16" t="n"/>
      <c r="DP617" s="20" t="inlineStr">
        <is>
          <t>IC Organic Acids</t>
        </is>
      </c>
      <c r="DQ617" s="20" t="inlineStr">
        <is>
          <t>None</t>
        </is>
      </c>
      <c r="DR617" s="17" t="n"/>
      <c r="DS617" s="16" t="n"/>
      <c r="DT617" s="20" t="inlineStr">
        <is>
          <t>IC Organic Acids</t>
        </is>
      </c>
      <c r="DU617" s="20" t="inlineStr">
        <is>
          <t>None</t>
        </is>
      </c>
      <c r="DV617" s="17" t="n"/>
      <c r="DW617" s="16" t="n"/>
      <c r="DX617" s="20" t="inlineStr">
        <is>
          <t>IC Organic Acids</t>
        </is>
      </c>
      <c r="DY617" s="20" t="inlineStr">
        <is>
          <t>None</t>
        </is>
      </c>
      <c r="DZ617" s="17" t="n"/>
      <c r="EA617" s="16" t="n"/>
      <c r="EB617" s="20" t="inlineStr">
        <is>
          <t>IC Organic Acids</t>
        </is>
      </c>
      <c r="EC617" s="20" t="inlineStr">
        <is>
          <t>None</t>
        </is>
      </c>
      <c r="ED617" s="17" t="n"/>
      <c r="EE617" s="16" t="n"/>
      <c r="EF617" s="20" t="inlineStr">
        <is>
          <t>IC Organic Acids</t>
        </is>
      </c>
      <c r="EG617" s="20" t="inlineStr">
        <is>
          <t>None</t>
        </is>
      </c>
      <c r="EH617" s="17" t="n"/>
      <c r="EI617" s="16" t="n"/>
      <c r="EJ617" s="20" t="inlineStr">
        <is>
          <t>IC Organic Acids</t>
        </is>
      </c>
      <c r="EK617" s="20" t="inlineStr">
        <is>
          <t>None</t>
        </is>
      </c>
      <c r="EL617" s="17" t="n"/>
      <c r="EM617" s="16" t="n"/>
      <c r="EN617" s="20" t="inlineStr">
        <is>
          <t>IC Organic Acids</t>
        </is>
      </c>
      <c r="EO617" s="20" t="inlineStr">
        <is>
          <t>None</t>
        </is>
      </c>
      <c r="EP617" s="17" t="n"/>
      <c r="EQ617" s="16" t="n"/>
      <c r="ER617" s="20" t="inlineStr">
        <is>
          <t>IC Organic Acids</t>
        </is>
      </c>
      <c r="ES617" s="20" t="inlineStr">
        <is>
          <t>None</t>
        </is>
      </c>
      <c r="ET617" s="17" t="n"/>
      <c r="EU617" s="16" t="n"/>
      <c r="EV617" s="20" t="inlineStr">
        <is>
          <t>LC-MS</t>
        </is>
      </c>
      <c r="EW617" s="20" t="inlineStr">
        <is>
          <t>None</t>
        </is>
      </c>
      <c r="EX617" s="17" t="n"/>
      <c r="EY617" s="21" t="n"/>
      <c r="EZ617">
        <f>CONCATENATE(A617,B617)</f>
        <v/>
      </c>
      <c r="FA617">
        <f>CONCATENATE(SamplesX!A617,SamplesX!B617)</f>
        <v/>
      </c>
      <c r="FC617">
        <f>MATCH(EZ617,FA1:FA1008,0)</f>
        <v/>
      </c>
    </row>
    <row r="618">
      <c r="A618" s="16" t="n"/>
      <c r="B618" s="17" t="n"/>
      <c r="C618" s="10">
        <f>IF(ISNUMBER(FC618),INDIRECT("SamplesX!C"&amp;FC618),IF(ISNUMBER(FD618),INDIRECT("SamplesY!C"&amp;FD618),""))</f>
        <v/>
      </c>
      <c r="D618" s="12">
        <f>IF(ISNUMBER(FC618),INDIRECT("SamplesX!D"&amp;FC618),IF(ISNUMBER(FD618),INDIRECT("SamplesY!D"&amp;FD618),""))</f>
        <v/>
      </c>
      <c r="E618" s="12">
        <f>IF(ISNUMBER(FC618),INDIRECT("SamplesX!E"&amp;FC618),IF(ISNUMBER(FD618),INDIRECT("SamplesY!E"&amp;FD618),""))</f>
        <v/>
      </c>
      <c r="F618" s="11">
        <f>IF(ISNUMBER(FC618),INDIRECT("SamplesX!F"&amp;FC618),IF(ISNUMBER(FD618),INDIRECT("SamplesY!F"&amp;FD618),""))</f>
        <v/>
      </c>
      <c r="G618" s="18">
        <f>IF(ISNUMBER(FC618),INDIRECT("SamplesX!G"&amp;FC618),IF(ISNUMBER(FD618),INDIRECT("SamplesY!G"&amp;FD618),""))</f>
        <v/>
      </c>
      <c r="H618" s="19">
        <f>IF(ISNUMBER(FC618),INDIRECT("SamplesX!H"&amp;FC618),IF(ISNUMBER(FD618),INDIRECT("SamplesY!H"&amp;FD618),""))</f>
        <v/>
      </c>
      <c r="I618" s="16" t="n"/>
      <c r="J618" s="16" t="n"/>
      <c r="K618" s="16" t="n"/>
      <c r="L618" s="20" t="n"/>
      <c r="M618" s="20" t="inlineStr">
        <is>
          <t>None</t>
        </is>
      </c>
      <c r="N618" s="17" t="n"/>
      <c r="O618" s="16" t="n"/>
      <c r="P618" s="20" t="inlineStr">
        <is>
          <t>Shimadzu TOC-L</t>
        </is>
      </c>
      <c r="Q618" s="20" t="inlineStr">
        <is>
          <t>None</t>
        </is>
      </c>
      <c r="R618" s="17" t="n"/>
      <c r="S618" s="16" t="n"/>
      <c r="T618" s="20" t="inlineStr">
        <is>
          <t>Shimadzu TOC-L</t>
        </is>
      </c>
      <c r="U618" s="20" t="inlineStr">
        <is>
          <t>None</t>
        </is>
      </c>
      <c r="V618" s="17" t="n"/>
      <c r="W618" s="16" t="n"/>
      <c r="X618" s="20" t="n"/>
      <c r="Y618" s="20" t="inlineStr">
        <is>
          <t>None</t>
        </is>
      </c>
      <c r="Z618" s="17" t="n"/>
      <c r="AA618" s="16" t="n"/>
      <c r="AB618" s="20" t="n"/>
      <c r="AC618" s="20" t="inlineStr">
        <is>
          <t>None</t>
        </is>
      </c>
      <c r="AD618" s="17" t="n"/>
      <c r="AE618" s="16" t="n"/>
      <c r="AF618" s="20" t="inlineStr">
        <is>
          <t>IC Anionen</t>
        </is>
      </c>
      <c r="AG618" s="20" t="inlineStr">
        <is>
          <t>None</t>
        </is>
      </c>
      <c r="AH618" s="17" t="n"/>
      <c r="AI618" s="16" t="n"/>
      <c r="AJ618" s="20" t="n"/>
      <c r="AK618" s="20" t="inlineStr">
        <is>
          <t>None</t>
        </is>
      </c>
      <c r="AL618" s="17" t="n"/>
      <c r="AM618" s="16" t="n"/>
      <c r="AN618" s="20" t="inlineStr">
        <is>
          <t>IC Anionen</t>
        </is>
      </c>
      <c r="AO618" s="20" t="inlineStr">
        <is>
          <t>None</t>
        </is>
      </c>
      <c r="AP618" s="17" t="n"/>
      <c r="AQ618" s="16" t="n"/>
      <c r="AR618" s="20" t="n"/>
      <c r="AS618" s="20" t="inlineStr">
        <is>
          <t>None</t>
        </is>
      </c>
      <c r="AT618" s="17" t="n"/>
      <c r="AU618" s="16" t="n"/>
      <c r="AV618" s="20" t="n"/>
      <c r="AW618" s="20" t="inlineStr">
        <is>
          <t>None</t>
        </is>
      </c>
      <c r="AX618" s="17" t="n"/>
      <c r="AY618" s="16" t="n"/>
      <c r="AZ618" s="20" t="inlineStr">
        <is>
          <t>IC Anionen</t>
        </is>
      </c>
      <c r="BA618" s="20" t="inlineStr">
        <is>
          <t>None</t>
        </is>
      </c>
      <c r="BB618" s="17" t="n"/>
      <c r="BC618" s="16" t="n"/>
      <c r="BD618" s="20" t="inlineStr">
        <is>
          <t>IC Kationen</t>
        </is>
      </c>
      <c r="BE618" s="20" t="inlineStr">
        <is>
          <t>None</t>
        </is>
      </c>
      <c r="BF618" s="17" t="n"/>
      <c r="BG618" s="16" t="n"/>
      <c r="BH618" s="20" t="inlineStr">
        <is>
          <t>IC Kationen</t>
        </is>
      </c>
      <c r="BI618" s="20" t="inlineStr">
        <is>
          <t>None</t>
        </is>
      </c>
      <c r="BJ618" s="17" t="n"/>
      <c r="BK618" s="16" t="n"/>
      <c r="BL618" s="20" t="inlineStr">
        <is>
          <t>IC Kationen</t>
        </is>
      </c>
      <c r="BM618" s="20" t="inlineStr">
        <is>
          <t>None</t>
        </is>
      </c>
      <c r="BN618" s="17" t="n"/>
      <c r="BO618" s="16" t="n"/>
      <c r="BP618" s="20" t="inlineStr">
        <is>
          <t>IC Kationen</t>
        </is>
      </c>
      <c r="BQ618" s="20" t="inlineStr">
        <is>
          <t>None</t>
        </is>
      </c>
      <c r="BR618" s="17" t="n"/>
      <c r="BS618" s="16" t="n"/>
      <c r="BT618" s="20" t="inlineStr">
        <is>
          <t>IC Kationen</t>
        </is>
      </c>
      <c r="BU618" s="20" t="inlineStr">
        <is>
          <t>None</t>
        </is>
      </c>
      <c r="BV618" s="17" t="n"/>
      <c r="BW618" s="16" t="n"/>
      <c r="BX618" s="20" t="n"/>
      <c r="BY618" s="20" t="inlineStr">
        <is>
          <t>None</t>
        </is>
      </c>
      <c r="BZ618" s="17" t="n"/>
      <c r="CA618" s="16" t="n"/>
      <c r="CB618" s="20" t="n"/>
      <c r="CC618" s="20" t="inlineStr">
        <is>
          <t>None</t>
        </is>
      </c>
      <c r="CD618" s="17" t="n"/>
      <c r="CE618" s="16" t="n"/>
      <c r="CF618" s="20" t="n"/>
      <c r="CG618" s="20" t="inlineStr">
        <is>
          <t>None</t>
        </is>
      </c>
      <c r="CH618" s="17" t="n"/>
      <c r="CI618" s="16" t="n"/>
      <c r="CJ618" s="20" t="n"/>
      <c r="CK618" s="20" t="inlineStr">
        <is>
          <t>None</t>
        </is>
      </c>
      <c r="CL618" s="17" t="n"/>
      <c r="CM618" s="16" t="n"/>
      <c r="CN618" s="20" t="inlineStr">
        <is>
          <t>SOP 45-34</t>
        </is>
      </c>
      <c r="CO618" s="20" t="inlineStr">
        <is>
          <t>None</t>
        </is>
      </c>
      <c r="CP618" s="17" t="n"/>
      <c r="CQ618" s="16" t="n"/>
      <c r="CR618" s="20" t="n"/>
      <c r="CS618" s="20" t="inlineStr">
        <is>
          <t>None</t>
        </is>
      </c>
      <c r="CT618" s="17" t="n"/>
      <c r="CU618" s="16" t="n"/>
      <c r="CV618" s="20" t="n"/>
      <c r="CW618" s="20" t="inlineStr">
        <is>
          <t>None</t>
        </is>
      </c>
      <c r="CX618" s="17" t="n"/>
      <c r="CY618" s="16" t="n"/>
      <c r="CZ618" s="20" t="inlineStr">
        <is>
          <t>WTW Multimeter 3430 with FDO 925</t>
        </is>
      </c>
      <c r="DA618" s="20" t="inlineStr">
        <is>
          <t>None</t>
        </is>
      </c>
      <c r="DB618" s="17" t="n"/>
      <c r="DC618" s="16" t="n"/>
      <c r="DD618" s="20" t="n"/>
      <c r="DE618" s="20" t="inlineStr">
        <is>
          <t>None</t>
        </is>
      </c>
      <c r="DF618" s="17" t="n"/>
      <c r="DG618" s="16" t="n"/>
      <c r="DH618" s="20" t="inlineStr">
        <is>
          <t>SOP 45-09</t>
        </is>
      </c>
      <c r="DI618" s="20" t="inlineStr">
        <is>
          <t>None</t>
        </is>
      </c>
      <c r="DJ618" s="17" t="n"/>
      <c r="DK618" s="16" t="n"/>
      <c r="DL618" s="20" t="inlineStr">
        <is>
          <t>SOP 45-09 (SOP muss noch angepasst werden für VSS)</t>
        </is>
      </c>
      <c r="DM618" s="20" t="inlineStr">
        <is>
          <t>None</t>
        </is>
      </c>
      <c r="DN618" s="17" t="n"/>
      <c r="DO618" s="16" t="n"/>
      <c r="DP618" s="20" t="inlineStr">
        <is>
          <t>IC Organic Acids</t>
        </is>
      </c>
      <c r="DQ618" s="20" t="inlineStr">
        <is>
          <t>None</t>
        </is>
      </c>
      <c r="DR618" s="17" t="n"/>
      <c r="DS618" s="16" t="n"/>
      <c r="DT618" s="20" t="inlineStr">
        <is>
          <t>IC Organic Acids</t>
        </is>
      </c>
      <c r="DU618" s="20" t="inlineStr">
        <is>
          <t>None</t>
        </is>
      </c>
      <c r="DV618" s="17" t="n"/>
      <c r="DW618" s="16" t="n"/>
      <c r="DX618" s="20" t="inlineStr">
        <is>
          <t>IC Organic Acids</t>
        </is>
      </c>
      <c r="DY618" s="20" t="inlineStr">
        <is>
          <t>None</t>
        </is>
      </c>
      <c r="DZ618" s="17" t="n"/>
      <c r="EA618" s="16" t="n"/>
      <c r="EB618" s="20" t="inlineStr">
        <is>
          <t>IC Organic Acids</t>
        </is>
      </c>
      <c r="EC618" s="20" t="inlineStr">
        <is>
          <t>None</t>
        </is>
      </c>
      <c r="ED618" s="17" t="n"/>
      <c r="EE618" s="16" t="n"/>
      <c r="EF618" s="20" t="inlineStr">
        <is>
          <t>IC Organic Acids</t>
        </is>
      </c>
      <c r="EG618" s="20" t="inlineStr">
        <is>
          <t>None</t>
        </is>
      </c>
      <c r="EH618" s="17" t="n"/>
      <c r="EI618" s="16" t="n"/>
      <c r="EJ618" s="20" t="inlineStr">
        <is>
          <t>IC Organic Acids</t>
        </is>
      </c>
      <c r="EK618" s="20" t="inlineStr">
        <is>
          <t>None</t>
        </is>
      </c>
      <c r="EL618" s="17" t="n"/>
      <c r="EM618" s="16" t="n"/>
      <c r="EN618" s="20" t="inlineStr">
        <is>
          <t>IC Organic Acids</t>
        </is>
      </c>
      <c r="EO618" s="20" t="inlineStr">
        <is>
          <t>None</t>
        </is>
      </c>
      <c r="EP618" s="17" t="n"/>
      <c r="EQ618" s="16" t="n"/>
      <c r="ER618" s="20" t="inlineStr">
        <is>
          <t>IC Organic Acids</t>
        </is>
      </c>
      <c r="ES618" s="20" t="inlineStr">
        <is>
          <t>None</t>
        </is>
      </c>
      <c r="ET618" s="17" t="n"/>
      <c r="EU618" s="16" t="n"/>
      <c r="EV618" s="20" t="inlineStr">
        <is>
          <t>LC-MS</t>
        </is>
      </c>
      <c r="EW618" s="20" t="inlineStr">
        <is>
          <t>None</t>
        </is>
      </c>
      <c r="EX618" s="17" t="n"/>
      <c r="EY618" s="21" t="n"/>
      <c r="EZ618">
        <f>CONCATENATE(A618,B618)</f>
        <v/>
      </c>
      <c r="FA618">
        <f>CONCATENATE(SamplesX!A618,SamplesX!B618)</f>
        <v/>
      </c>
      <c r="FC618">
        <f>MATCH(EZ618,FA1:FA1008,0)</f>
        <v/>
      </c>
    </row>
    <row r="619">
      <c r="A619" s="16" t="n"/>
      <c r="B619" s="17" t="n"/>
      <c r="C619" s="10">
        <f>IF(ISNUMBER(FC619),INDIRECT("SamplesX!C"&amp;FC619),IF(ISNUMBER(FD619),INDIRECT("SamplesY!C"&amp;FD619),""))</f>
        <v/>
      </c>
      <c r="D619" s="12">
        <f>IF(ISNUMBER(FC619),INDIRECT("SamplesX!D"&amp;FC619),IF(ISNUMBER(FD619),INDIRECT("SamplesY!D"&amp;FD619),""))</f>
        <v/>
      </c>
      <c r="E619" s="12">
        <f>IF(ISNUMBER(FC619),INDIRECT("SamplesX!E"&amp;FC619),IF(ISNUMBER(FD619),INDIRECT("SamplesY!E"&amp;FD619),""))</f>
        <v/>
      </c>
      <c r="F619" s="11">
        <f>IF(ISNUMBER(FC619),INDIRECT("SamplesX!F"&amp;FC619),IF(ISNUMBER(FD619),INDIRECT("SamplesY!F"&amp;FD619),""))</f>
        <v/>
      </c>
      <c r="G619" s="18">
        <f>IF(ISNUMBER(FC619),INDIRECT("SamplesX!G"&amp;FC619),IF(ISNUMBER(FD619),INDIRECT("SamplesY!G"&amp;FD619),""))</f>
        <v/>
      </c>
      <c r="H619" s="19">
        <f>IF(ISNUMBER(FC619),INDIRECT("SamplesX!H"&amp;FC619),IF(ISNUMBER(FD619),INDIRECT("SamplesY!H"&amp;FD619),""))</f>
        <v/>
      </c>
      <c r="I619" s="16" t="n"/>
      <c r="J619" s="16" t="n"/>
      <c r="K619" s="16" t="n"/>
      <c r="L619" s="20" t="n"/>
      <c r="M619" s="20" t="inlineStr">
        <is>
          <t>None</t>
        </is>
      </c>
      <c r="N619" s="17" t="n"/>
      <c r="O619" s="16" t="n"/>
      <c r="P619" s="20" t="inlineStr">
        <is>
          <t>Shimadzu TOC-L</t>
        </is>
      </c>
      <c r="Q619" s="20" t="inlineStr">
        <is>
          <t>None</t>
        </is>
      </c>
      <c r="R619" s="17" t="n"/>
      <c r="S619" s="16" t="n"/>
      <c r="T619" s="20" t="inlineStr">
        <is>
          <t>Shimadzu TOC-L</t>
        </is>
      </c>
      <c r="U619" s="20" t="inlineStr">
        <is>
          <t>None</t>
        </is>
      </c>
      <c r="V619" s="17" t="n"/>
      <c r="W619" s="16" t="n"/>
      <c r="X619" s="20" t="n"/>
      <c r="Y619" s="20" t="inlineStr">
        <is>
          <t>None</t>
        </is>
      </c>
      <c r="Z619" s="17" t="n"/>
      <c r="AA619" s="16" t="n"/>
      <c r="AB619" s="20" t="n"/>
      <c r="AC619" s="20" t="inlineStr">
        <is>
          <t>None</t>
        </is>
      </c>
      <c r="AD619" s="17" t="n"/>
      <c r="AE619" s="16" t="n"/>
      <c r="AF619" s="20" t="inlineStr">
        <is>
          <t>IC Anionen</t>
        </is>
      </c>
      <c r="AG619" s="20" t="inlineStr">
        <is>
          <t>None</t>
        </is>
      </c>
      <c r="AH619" s="17" t="n"/>
      <c r="AI619" s="16" t="n"/>
      <c r="AJ619" s="20" t="n"/>
      <c r="AK619" s="20" t="inlineStr">
        <is>
          <t>None</t>
        </is>
      </c>
      <c r="AL619" s="17" t="n"/>
      <c r="AM619" s="16" t="n"/>
      <c r="AN619" s="20" t="inlineStr">
        <is>
          <t>IC Anionen</t>
        </is>
      </c>
      <c r="AO619" s="20" t="inlineStr">
        <is>
          <t>None</t>
        </is>
      </c>
      <c r="AP619" s="17" t="n"/>
      <c r="AQ619" s="16" t="n"/>
      <c r="AR619" s="20" t="n"/>
      <c r="AS619" s="20" t="inlineStr">
        <is>
          <t>None</t>
        </is>
      </c>
      <c r="AT619" s="17" t="n"/>
      <c r="AU619" s="16" t="n"/>
      <c r="AV619" s="20" t="n"/>
      <c r="AW619" s="20" t="inlineStr">
        <is>
          <t>None</t>
        </is>
      </c>
      <c r="AX619" s="17" t="n"/>
      <c r="AY619" s="16" t="n"/>
      <c r="AZ619" s="20" t="inlineStr">
        <is>
          <t>IC Anionen</t>
        </is>
      </c>
      <c r="BA619" s="20" t="inlineStr">
        <is>
          <t>None</t>
        </is>
      </c>
      <c r="BB619" s="17" t="n"/>
      <c r="BC619" s="16" t="n"/>
      <c r="BD619" s="20" t="inlineStr">
        <is>
          <t>IC Kationen</t>
        </is>
      </c>
      <c r="BE619" s="20" t="inlineStr">
        <is>
          <t>None</t>
        </is>
      </c>
      <c r="BF619" s="17" t="n"/>
      <c r="BG619" s="16" t="n"/>
      <c r="BH619" s="20" t="inlineStr">
        <is>
          <t>IC Kationen</t>
        </is>
      </c>
      <c r="BI619" s="20" t="inlineStr">
        <is>
          <t>None</t>
        </is>
      </c>
      <c r="BJ619" s="17" t="n"/>
      <c r="BK619" s="16" t="n"/>
      <c r="BL619" s="20" t="inlineStr">
        <is>
          <t>IC Kationen</t>
        </is>
      </c>
      <c r="BM619" s="20" t="inlineStr">
        <is>
          <t>None</t>
        </is>
      </c>
      <c r="BN619" s="17" t="n"/>
      <c r="BO619" s="16" t="n"/>
      <c r="BP619" s="20" t="inlineStr">
        <is>
          <t>IC Kationen</t>
        </is>
      </c>
      <c r="BQ619" s="20" t="inlineStr">
        <is>
          <t>None</t>
        </is>
      </c>
      <c r="BR619" s="17" t="n"/>
      <c r="BS619" s="16" t="n"/>
      <c r="BT619" s="20" t="inlineStr">
        <is>
          <t>IC Kationen</t>
        </is>
      </c>
      <c r="BU619" s="20" t="inlineStr">
        <is>
          <t>None</t>
        </is>
      </c>
      <c r="BV619" s="17" t="n"/>
      <c r="BW619" s="16" t="n"/>
      <c r="BX619" s="20" t="n"/>
      <c r="BY619" s="20" t="inlineStr">
        <is>
          <t>None</t>
        </is>
      </c>
      <c r="BZ619" s="17" t="n"/>
      <c r="CA619" s="16" t="n"/>
      <c r="CB619" s="20" t="n"/>
      <c r="CC619" s="20" t="inlineStr">
        <is>
          <t>None</t>
        </is>
      </c>
      <c r="CD619" s="17" t="n"/>
      <c r="CE619" s="16" t="n"/>
      <c r="CF619" s="20" t="n"/>
      <c r="CG619" s="20" t="inlineStr">
        <is>
          <t>None</t>
        </is>
      </c>
      <c r="CH619" s="17" t="n"/>
      <c r="CI619" s="16" t="n"/>
      <c r="CJ619" s="20" t="n"/>
      <c r="CK619" s="20" t="inlineStr">
        <is>
          <t>None</t>
        </is>
      </c>
      <c r="CL619" s="17" t="n"/>
      <c r="CM619" s="16" t="n"/>
      <c r="CN619" s="20" t="inlineStr">
        <is>
          <t>SOP 45-34</t>
        </is>
      </c>
      <c r="CO619" s="20" t="inlineStr">
        <is>
          <t>None</t>
        </is>
      </c>
      <c r="CP619" s="17" t="n"/>
      <c r="CQ619" s="16" t="n"/>
      <c r="CR619" s="20" t="n"/>
      <c r="CS619" s="20" t="inlineStr">
        <is>
          <t>None</t>
        </is>
      </c>
      <c r="CT619" s="17" t="n"/>
      <c r="CU619" s="16" t="n"/>
      <c r="CV619" s="20" t="n"/>
      <c r="CW619" s="20" t="inlineStr">
        <is>
          <t>None</t>
        </is>
      </c>
      <c r="CX619" s="17" t="n"/>
      <c r="CY619" s="16" t="n"/>
      <c r="CZ619" s="20" t="inlineStr">
        <is>
          <t>WTW Multimeter 3430 with FDO 925</t>
        </is>
      </c>
      <c r="DA619" s="20" t="inlineStr">
        <is>
          <t>None</t>
        </is>
      </c>
      <c r="DB619" s="17" t="n"/>
      <c r="DC619" s="16" t="n"/>
      <c r="DD619" s="20" t="n"/>
      <c r="DE619" s="20" t="inlineStr">
        <is>
          <t>None</t>
        </is>
      </c>
      <c r="DF619" s="17" t="n"/>
      <c r="DG619" s="16" t="n"/>
      <c r="DH619" s="20" t="inlineStr">
        <is>
          <t>SOP 45-09</t>
        </is>
      </c>
      <c r="DI619" s="20" t="inlineStr">
        <is>
          <t>None</t>
        </is>
      </c>
      <c r="DJ619" s="17" t="n"/>
      <c r="DK619" s="16" t="n"/>
      <c r="DL619" s="20" t="inlineStr">
        <is>
          <t>SOP 45-09 (SOP muss noch angepasst werden für VSS)</t>
        </is>
      </c>
      <c r="DM619" s="20" t="inlineStr">
        <is>
          <t>None</t>
        </is>
      </c>
      <c r="DN619" s="17" t="n"/>
      <c r="DO619" s="16" t="n"/>
      <c r="DP619" s="20" t="inlineStr">
        <is>
          <t>IC Organic Acids</t>
        </is>
      </c>
      <c r="DQ619" s="20" t="inlineStr">
        <is>
          <t>None</t>
        </is>
      </c>
      <c r="DR619" s="17" t="n"/>
      <c r="DS619" s="16" t="n"/>
      <c r="DT619" s="20" t="inlineStr">
        <is>
          <t>IC Organic Acids</t>
        </is>
      </c>
      <c r="DU619" s="20" t="inlineStr">
        <is>
          <t>None</t>
        </is>
      </c>
      <c r="DV619" s="17" t="n"/>
      <c r="DW619" s="16" t="n"/>
      <c r="DX619" s="20" t="inlineStr">
        <is>
          <t>IC Organic Acids</t>
        </is>
      </c>
      <c r="DY619" s="20" t="inlineStr">
        <is>
          <t>None</t>
        </is>
      </c>
      <c r="DZ619" s="17" t="n"/>
      <c r="EA619" s="16" t="n"/>
      <c r="EB619" s="20" t="inlineStr">
        <is>
          <t>IC Organic Acids</t>
        </is>
      </c>
      <c r="EC619" s="20" t="inlineStr">
        <is>
          <t>None</t>
        </is>
      </c>
      <c r="ED619" s="17" t="n"/>
      <c r="EE619" s="16" t="n"/>
      <c r="EF619" s="20" t="inlineStr">
        <is>
          <t>IC Organic Acids</t>
        </is>
      </c>
      <c r="EG619" s="20" t="inlineStr">
        <is>
          <t>None</t>
        </is>
      </c>
      <c r="EH619" s="17" t="n"/>
      <c r="EI619" s="16" t="n"/>
      <c r="EJ619" s="20" t="inlineStr">
        <is>
          <t>IC Organic Acids</t>
        </is>
      </c>
      <c r="EK619" s="20" t="inlineStr">
        <is>
          <t>None</t>
        </is>
      </c>
      <c r="EL619" s="17" t="n"/>
      <c r="EM619" s="16" t="n"/>
      <c r="EN619" s="20" t="inlineStr">
        <is>
          <t>IC Organic Acids</t>
        </is>
      </c>
      <c r="EO619" s="20" t="inlineStr">
        <is>
          <t>None</t>
        </is>
      </c>
      <c r="EP619" s="17" t="n"/>
      <c r="EQ619" s="16" t="n"/>
      <c r="ER619" s="20" t="inlineStr">
        <is>
          <t>IC Organic Acids</t>
        </is>
      </c>
      <c r="ES619" s="20" t="inlineStr">
        <is>
          <t>None</t>
        </is>
      </c>
      <c r="ET619" s="17" t="n"/>
      <c r="EU619" s="16" t="n"/>
      <c r="EV619" s="20" t="inlineStr">
        <is>
          <t>LC-MS</t>
        </is>
      </c>
      <c r="EW619" s="20" t="inlineStr">
        <is>
          <t>None</t>
        </is>
      </c>
      <c r="EX619" s="17" t="n"/>
      <c r="EY619" s="21" t="n"/>
      <c r="EZ619">
        <f>CONCATENATE(A619,B619)</f>
        <v/>
      </c>
      <c r="FA619">
        <f>CONCATENATE(SamplesX!A619,SamplesX!B619)</f>
        <v/>
      </c>
      <c r="FC619">
        <f>MATCH(EZ619,FA1:FA1008,0)</f>
        <v/>
      </c>
    </row>
    <row r="620">
      <c r="A620" s="16" t="n"/>
      <c r="B620" s="17" t="n"/>
      <c r="C620" s="10">
        <f>IF(ISNUMBER(FC620),INDIRECT("SamplesX!C"&amp;FC620),IF(ISNUMBER(FD620),INDIRECT("SamplesY!C"&amp;FD620),""))</f>
        <v/>
      </c>
      <c r="D620" s="12">
        <f>IF(ISNUMBER(FC620),INDIRECT("SamplesX!D"&amp;FC620),IF(ISNUMBER(FD620),INDIRECT("SamplesY!D"&amp;FD620),""))</f>
        <v/>
      </c>
      <c r="E620" s="12">
        <f>IF(ISNUMBER(FC620),INDIRECT("SamplesX!E"&amp;FC620),IF(ISNUMBER(FD620),INDIRECT("SamplesY!E"&amp;FD620),""))</f>
        <v/>
      </c>
      <c r="F620" s="11">
        <f>IF(ISNUMBER(FC620),INDIRECT("SamplesX!F"&amp;FC620),IF(ISNUMBER(FD620),INDIRECT("SamplesY!F"&amp;FD620),""))</f>
        <v/>
      </c>
      <c r="G620" s="18">
        <f>IF(ISNUMBER(FC620),INDIRECT("SamplesX!G"&amp;FC620),IF(ISNUMBER(FD620),INDIRECT("SamplesY!G"&amp;FD620),""))</f>
        <v/>
      </c>
      <c r="H620" s="19">
        <f>IF(ISNUMBER(FC620),INDIRECT("SamplesX!H"&amp;FC620),IF(ISNUMBER(FD620),INDIRECT("SamplesY!H"&amp;FD620),""))</f>
        <v/>
      </c>
      <c r="I620" s="16" t="n"/>
      <c r="J620" s="16" t="n"/>
      <c r="K620" s="16" t="n"/>
      <c r="L620" s="20" t="n"/>
      <c r="M620" s="20" t="inlineStr">
        <is>
          <t>None</t>
        </is>
      </c>
      <c r="N620" s="17" t="n"/>
      <c r="O620" s="16" t="n"/>
      <c r="P620" s="20" t="inlineStr">
        <is>
          <t>Shimadzu TOC-L</t>
        </is>
      </c>
      <c r="Q620" s="20" t="inlineStr">
        <is>
          <t>None</t>
        </is>
      </c>
      <c r="R620" s="17" t="n"/>
      <c r="S620" s="16" t="n"/>
      <c r="T620" s="20" t="inlineStr">
        <is>
          <t>Shimadzu TOC-L</t>
        </is>
      </c>
      <c r="U620" s="20" t="inlineStr">
        <is>
          <t>None</t>
        </is>
      </c>
      <c r="V620" s="17" t="n"/>
      <c r="W620" s="16" t="n"/>
      <c r="X620" s="20" t="n"/>
      <c r="Y620" s="20" t="inlineStr">
        <is>
          <t>None</t>
        </is>
      </c>
      <c r="Z620" s="17" t="n"/>
      <c r="AA620" s="16" t="n"/>
      <c r="AB620" s="20" t="n"/>
      <c r="AC620" s="20" t="inlineStr">
        <is>
          <t>None</t>
        </is>
      </c>
      <c r="AD620" s="17" t="n"/>
      <c r="AE620" s="16" t="n"/>
      <c r="AF620" s="20" t="inlineStr">
        <is>
          <t>IC Anionen</t>
        </is>
      </c>
      <c r="AG620" s="20" t="inlineStr">
        <is>
          <t>None</t>
        </is>
      </c>
      <c r="AH620" s="17" t="n"/>
      <c r="AI620" s="16" t="n"/>
      <c r="AJ620" s="20" t="n"/>
      <c r="AK620" s="20" t="inlineStr">
        <is>
          <t>None</t>
        </is>
      </c>
      <c r="AL620" s="17" t="n"/>
      <c r="AM620" s="16" t="n"/>
      <c r="AN620" s="20" t="inlineStr">
        <is>
          <t>IC Anionen</t>
        </is>
      </c>
      <c r="AO620" s="20" t="inlineStr">
        <is>
          <t>None</t>
        </is>
      </c>
      <c r="AP620" s="17" t="n"/>
      <c r="AQ620" s="16" t="n"/>
      <c r="AR620" s="20" t="n"/>
      <c r="AS620" s="20" t="inlineStr">
        <is>
          <t>None</t>
        </is>
      </c>
      <c r="AT620" s="17" t="n"/>
      <c r="AU620" s="16" t="n"/>
      <c r="AV620" s="20" t="n"/>
      <c r="AW620" s="20" t="inlineStr">
        <is>
          <t>None</t>
        </is>
      </c>
      <c r="AX620" s="17" t="n"/>
      <c r="AY620" s="16" t="n"/>
      <c r="AZ620" s="20" t="inlineStr">
        <is>
          <t>IC Anionen</t>
        </is>
      </c>
      <c r="BA620" s="20" t="inlineStr">
        <is>
          <t>None</t>
        </is>
      </c>
      <c r="BB620" s="17" t="n"/>
      <c r="BC620" s="16" t="n"/>
      <c r="BD620" s="20" t="inlineStr">
        <is>
          <t>IC Kationen</t>
        </is>
      </c>
      <c r="BE620" s="20" t="inlineStr">
        <is>
          <t>None</t>
        </is>
      </c>
      <c r="BF620" s="17" t="n"/>
      <c r="BG620" s="16" t="n"/>
      <c r="BH620" s="20" t="inlineStr">
        <is>
          <t>IC Kationen</t>
        </is>
      </c>
      <c r="BI620" s="20" t="inlineStr">
        <is>
          <t>None</t>
        </is>
      </c>
      <c r="BJ620" s="17" t="n"/>
      <c r="BK620" s="16" t="n"/>
      <c r="BL620" s="20" t="inlineStr">
        <is>
          <t>IC Kationen</t>
        </is>
      </c>
      <c r="BM620" s="20" t="inlineStr">
        <is>
          <t>None</t>
        </is>
      </c>
      <c r="BN620" s="17" t="n"/>
      <c r="BO620" s="16" t="n"/>
      <c r="BP620" s="20" t="inlineStr">
        <is>
          <t>IC Kationen</t>
        </is>
      </c>
      <c r="BQ620" s="20" t="inlineStr">
        <is>
          <t>None</t>
        </is>
      </c>
      <c r="BR620" s="17" t="n"/>
      <c r="BS620" s="16" t="n"/>
      <c r="BT620" s="20" t="inlineStr">
        <is>
          <t>IC Kationen</t>
        </is>
      </c>
      <c r="BU620" s="20" t="inlineStr">
        <is>
          <t>None</t>
        </is>
      </c>
      <c r="BV620" s="17" t="n"/>
      <c r="BW620" s="16" t="n"/>
      <c r="BX620" s="20" t="n"/>
      <c r="BY620" s="20" t="inlineStr">
        <is>
          <t>None</t>
        </is>
      </c>
      <c r="BZ620" s="17" t="n"/>
      <c r="CA620" s="16" t="n"/>
      <c r="CB620" s="20" t="n"/>
      <c r="CC620" s="20" t="inlineStr">
        <is>
          <t>None</t>
        </is>
      </c>
      <c r="CD620" s="17" t="n"/>
      <c r="CE620" s="16" t="n"/>
      <c r="CF620" s="20" t="n"/>
      <c r="CG620" s="20" t="inlineStr">
        <is>
          <t>None</t>
        </is>
      </c>
      <c r="CH620" s="17" t="n"/>
      <c r="CI620" s="16" t="n"/>
      <c r="CJ620" s="20" t="n"/>
      <c r="CK620" s="20" t="inlineStr">
        <is>
          <t>None</t>
        </is>
      </c>
      <c r="CL620" s="17" t="n"/>
      <c r="CM620" s="16" t="n"/>
      <c r="CN620" s="20" t="inlineStr">
        <is>
          <t>SOP 45-34</t>
        </is>
      </c>
      <c r="CO620" s="20" t="inlineStr">
        <is>
          <t>None</t>
        </is>
      </c>
      <c r="CP620" s="17" t="n"/>
      <c r="CQ620" s="16" t="n"/>
      <c r="CR620" s="20" t="n"/>
      <c r="CS620" s="20" t="inlineStr">
        <is>
          <t>None</t>
        </is>
      </c>
      <c r="CT620" s="17" t="n"/>
      <c r="CU620" s="16" t="n"/>
      <c r="CV620" s="20" t="n"/>
      <c r="CW620" s="20" t="inlineStr">
        <is>
          <t>None</t>
        </is>
      </c>
      <c r="CX620" s="17" t="n"/>
      <c r="CY620" s="16" t="n"/>
      <c r="CZ620" s="20" t="inlineStr">
        <is>
          <t>WTW Multimeter 3430 with FDO 925</t>
        </is>
      </c>
      <c r="DA620" s="20" t="inlineStr">
        <is>
          <t>None</t>
        </is>
      </c>
      <c r="DB620" s="17" t="n"/>
      <c r="DC620" s="16" t="n"/>
      <c r="DD620" s="20" t="n"/>
      <c r="DE620" s="20" t="inlineStr">
        <is>
          <t>None</t>
        </is>
      </c>
      <c r="DF620" s="17" t="n"/>
      <c r="DG620" s="16" t="n"/>
      <c r="DH620" s="20" t="inlineStr">
        <is>
          <t>SOP 45-09</t>
        </is>
      </c>
      <c r="DI620" s="20" t="inlineStr">
        <is>
          <t>None</t>
        </is>
      </c>
      <c r="DJ620" s="17" t="n"/>
      <c r="DK620" s="16" t="n"/>
      <c r="DL620" s="20" t="inlineStr">
        <is>
          <t>SOP 45-09 (SOP muss noch angepasst werden für VSS)</t>
        </is>
      </c>
      <c r="DM620" s="20" t="inlineStr">
        <is>
          <t>None</t>
        </is>
      </c>
      <c r="DN620" s="17" t="n"/>
      <c r="DO620" s="16" t="n"/>
      <c r="DP620" s="20" t="inlineStr">
        <is>
          <t>IC Organic Acids</t>
        </is>
      </c>
      <c r="DQ620" s="20" t="inlineStr">
        <is>
          <t>None</t>
        </is>
      </c>
      <c r="DR620" s="17" t="n"/>
      <c r="DS620" s="16" t="n"/>
      <c r="DT620" s="20" t="inlineStr">
        <is>
          <t>IC Organic Acids</t>
        </is>
      </c>
      <c r="DU620" s="20" t="inlineStr">
        <is>
          <t>None</t>
        </is>
      </c>
      <c r="DV620" s="17" t="n"/>
      <c r="DW620" s="16" t="n"/>
      <c r="DX620" s="20" t="inlineStr">
        <is>
          <t>IC Organic Acids</t>
        </is>
      </c>
      <c r="DY620" s="20" t="inlineStr">
        <is>
          <t>None</t>
        </is>
      </c>
      <c r="DZ620" s="17" t="n"/>
      <c r="EA620" s="16" t="n"/>
      <c r="EB620" s="20" t="inlineStr">
        <is>
          <t>IC Organic Acids</t>
        </is>
      </c>
      <c r="EC620" s="20" t="inlineStr">
        <is>
          <t>None</t>
        </is>
      </c>
      <c r="ED620" s="17" t="n"/>
      <c r="EE620" s="16" t="n"/>
      <c r="EF620" s="20" t="inlineStr">
        <is>
          <t>IC Organic Acids</t>
        </is>
      </c>
      <c r="EG620" s="20" t="inlineStr">
        <is>
          <t>None</t>
        </is>
      </c>
      <c r="EH620" s="17" t="n"/>
      <c r="EI620" s="16" t="n"/>
      <c r="EJ620" s="20" t="inlineStr">
        <is>
          <t>IC Organic Acids</t>
        </is>
      </c>
      <c r="EK620" s="20" t="inlineStr">
        <is>
          <t>None</t>
        </is>
      </c>
      <c r="EL620" s="17" t="n"/>
      <c r="EM620" s="16" t="n"/>
      <c r="EN620" s="20" t="inlineStr">
        <is>
          <t>IC Organic Acids</t>
        </is>
      </c>
      <c r="EO620" s="20" t="inlineStr">
        <is>
          <t>None</t>
        </is>
      </c>
      <c r="EP620" s="17" t="n"/>
      <c r="EQ620" s="16" t="n"/>
      <c r="ER620" s="20" t="inlineStr">
        <is>
          <t>IC Organic Acids</t>
        </is>
      </c>
      <c r="ES620" s="20" t="inlineStr">
        <is>
          <t>None</t>
        </is>
      </c>
      <c r="ET620" s="17" t="n"/>
      <c r="EU620" s="16" t="n"/>
      <c r="EV620" s="20" t="inlineStr">
        <is>
          <t>LC-MS</t>
        </is>
      </c>
      <c r="EW620" s="20" t="inlineStr">
        <is>
          <t>None</t>
        </is>
      </c>
      <c r="EX620" s="17" t="n"/>
      <c r="EY620" s="21" t="n"/>
      <c r="EZ620">
        <f>CONCATENATE(A620,B620)</f>
        <v/>
      </c>
      <c r="FA620">
        <f>CONCATENATE(SamplesX!A620,SamplesX!B620)</f>
        <v/>
      </c>
      <c r="FC620">
        <f>MATCH(EZ620,FA1:FA1008,0)</f>
        <v/>
      </c>
    </row>
    <row r="621">
      <c r="A621" s="16" t="n"/>
      <c r="B621" s="17" t="n"/>
      <c r="C621" s="10">
        <f>IF(ISNUMBER(FC621),INDIRECT("SamplesX!C"&amp;FC621),IF(ISNUMBER(FD621),INDIRECT("SamplesY!C"&amp;FD621),""))</f>
        <v/>
      </c>
      <c r="D621" s="12">
        <f>IF(ISNUMBER(FC621),INDIRECT("SamplesX!D"&amp;FC621),IF(ISNUMBER(FD621),INDIRECT("SamplesY!D"&amp;FD621),""))</f>
        <v/>
      </c>
      <c r="E621" s="12">
        <f>IF(ISNUMBER(FC621),INDIRECT("SamplesX!E"&amp;FC621),IF(ISNUMBER(FD621),INDIRECT("SamplesY!E"&amp;FD621),""))</f>
        <v/>
      </c>
      <c r="F621" s="11">
        <f>IF(ISNUMBER(FC621),INDIRECT("SamplesX!F"&amp;FC621),IF(ISNUMBER(FD621),INDIRECT("SamplesY!F"&amp;FD621),""))</f>
        <v/>
      </c>
      <c r="G621" s="18">
        <f>IF(ISNUMBER(FC621),INDIRECT("SamplesX!G"&amp;FC621),IF(ISNUMBER(FD621),INDIRECT("SamplesY!G"&amp;FD621),""))</f>
        <v/>
      </c>
      <c r="H621" s="19">
        <f>IF(ISNUMBER(FC621),INDIRECT("SamplesX!H"&amp;FC621),IF(ISNUMBER(FD621),INDIRECT("SamplesY!H"&amp;FD621),""))</f>
        <v/>
      </c>
      <c r="I621" s="16" t="n"/>
      <c r="J621" s="16" t="n"/>
      <c r="K621" s="16" t="n"/>
      <c r="L621" s="20" t="n"/>
      <c r="M621" s="20" t="inlineStr">
        <is>
          <t>None</t>
        </is>
      </c>
      <c r="N621" s="17" t="n"/>
      <c r="O621" s="16" t="n"/>
      <c r="P621" s="20" t="inlineStr">
        <is>
          <t>Shimadzu TOC-L</t>
        </is>
      </c>
      <c r="Q621" s="20" t="inlineStr">
        <is>
          <t>None</t>
        </is>
      </c>
      <c r="R621" s="17" t="n"/>
      <c r="S621" s="16" t="n"/>
      <c r="T621" s="20" t="inlineStr">
        <is>
          <t>Shimadzu TOC-L</t>
        </is>
      </c>
      <c r="U621" s="20" t="inlineStr">
        <is>
          <t>None</t>
        </is>
      </c>
      <c r="V621" s="17" t="n"/>
      <c r="W621" s="16" t="n"/>
      <c r="X621" s="20" t="n"/>
      <c r="Y621" s="20" t="inlineStr">
        <is>
          <t>None</t>
        </is>
      </c>
      <c r="Z621" s="17" t="n"/>
      <c r="AA621" s="16" t="n"/>
      <c r="AB621" s="20" t="n"/>
      <c r="AC621" s="20" t="inlineStr">
        <is>
          <t>None</t>
        </is>
      </c>
      <c r="AD621" s="17" t="n"/>
      <c r="AE621" s="16" t="n"/>
      <c r="AF621" s="20" t="inlineStr">
        <is>
          <t>IC Anionen</t>
        </is>
      </c>
      <c r="AG621" s="20" t="inlineStr">
        <is>
          <t>None</t>
        </is>
      </c>
      <c r="AH621" s="17" t="n"/>
      <c r="AI621" s="16" t="n"/>
      <c r="AJ621" s="20" t="n"/>
      <c r="AK621" s="20" t="inlineStr">
        <is>
          <t>None</t>
        </is>
      </c>
      <c r="AL621" s="17" t="n"/>
      <c r="AM621" s="16" t="n"/>
      <c r="AN621" s="20" t="inlineStr">
        <is>
          <t>IC Anionen</t>
        </is>
      </c>
      <c r="AO621" s="20" t="inlineStr">
        <is>
          <t>None</t>
        </is>
      </c>
      <c r="AP621" s="17" t="n"/>
      <c r="AQ621" s="16" t="n"/>
      <c r="AR621" s="20" t="n"/>
      <c r="AS621" s="20" t="inlineStr">
        <is>
          <t>None</t>
        </is>
      </c>
      <c r="AT621" s="17" t="n"/>
      <c r="AU621" s="16" t="n"/>
      <c r="AV621" s="20" t="n"/>
      <c r="AW621" s="20" t="inlineStr">
        <is>
          <t>None</t>
        </is>
      </c>
      <c r="AX621" s="17" t="n"/>
      <c r="AY621" s="16" t="n"/>
      <c r="AZ621" s="20" t="inlineStr">
        <is>
          <t>IC Anionen</t>
        </is>
      </c>
      <c r="BA621" s="20" t="inlineStr">
        <is>
          <t>None</t>
        </is>
      </c>
      <c r="BB621" s="17" t="n"/>
      <c r="BC621" s="16" t="n"/>
      <c r="BD621" s="20" t="inlineStr">
        <is>
          <t>IC Kationen</t>
        </is>
      </c>
      <c r="BE621" s="20" t="inlineStr">
        <is>
          <t>None</t>
        </is>
      </c>
      <c r="BF621" s="17" t="n"/>
      <c r="BG621" s="16" t="n"/>
      <c r="BH621" s="20" t="inlineStr">
        <is>
          <t>IC Kationen</t>
        </is>
      </c>
      <c r="BI621" s="20" t="inlineStr">
        <is>
          <t>None</t>
        </is>
      </c>
      <c r="BJ621" s="17" t="n"/>
      <c r="BK621" s="16" t="n"/>
      <c r="BL621" s="20" t="inlineStr">
        <is>
          <t>IC Kationen</t>
        </is>
      </c>
      <c r="BM621" s="20" t="inlineStr">
        <is>
          <t>None</t>
        </is>
      </c>
      <c r="BN621" s="17" t="n"/>
      <c r="BO621" s="16" t="n"/>
      <c r="BP621" s="20" t="inlineStr">
        <is>
          <t>IC Kationen</t>
        </is>
      </c>
      <c r="BQ621" s="20" t="inlineStr">
        <is>
          <t>None</t>
        </is>
      </c>
      <c r="BR621" s="17" t="n"/>
      <c r="BS621" s="16" t="n"/>
      <c r="BT621" s="20" t="inlineStr">
        <is>
          <t>IC Kationen</t>
        </is>
      </c>
      <c r="BU621" s="20" t="inlineStr">
        <is>
          <t>None</t>
        </is>
      </c>
      <c r="BV621" s="17" t="n"/>
      <c r="BW621" s="16" t="n"/>
      <c r="BX621" s="20" t="n"/>
      <c r="BY621" s="20" t="inlineStr">
        <is>
          <t>None</t>
        </is>
      </c>
      <c r="BZ621" s="17" t="n"/>
      <c r="CA621" s="16" t="n"/>
      <c r="CB621" s="20" t="n"/>
      <c r="CC621" s="20" t="inlineStr">
        <is>
          <t>None</t>
        </is>
      </c>
      <c r="CD621" s="17" t="n"/>
      <c r="CE621" s="16" t="n"/>
      <c r="CF621" s="20" t="n"/>
      <c r="CG621" s="20" t="inlineStr">
        <is>
          <t>None</t>
        </is>
      </c>
      <c r="CH621" s="17" t="n"/>
      <c r="CI621" s="16" t="n"/>
      <c r="CJ621" s="20" t="n"/>
      <c r="CK621" s="20" t="inlineStr">
        <is>
          <t>None</t>
        </is>
      </c>
      <c r="CL621" s="17" t="n"/>
      <c r="CM621" s="16" t="n"/>
      <c r="CN621" s="20" t="inlineStr">
        <is>
          <t>SOP 45-34</t>
        </is>
      </c>
      <c r="CO621" s="20" t="inlineStr">
        <is>
          <t>None</t>
        </is>
      </c>
      <c r="CP621" s="17" t="n"/>
      <c r="CQ621" s="16" t="n"/>
      <c r="CR621" s="20" t="n"/>
      <c r="CS621" s="20" t="inlineStr">
        <is>
          <t>None</t>
        </is>
      </c>
      <c r="CT621" s="17" t="n"/>
      <c r="CU621" s="16" t="n"/>
      <c r="CV621" s="20" t="n"/>
      <c r="CW621" s="20" t="inlineStr">
        <is>
          <t>None</t>
        </is>
      </c>
      <c r="CX621" s="17" t="n"/>
      <c r="CY621" s="16" t="n"/>
      <c r="CZ621" s="20" t="inlineStr">
        <is>
          <t>WTW Multimeter 3430 with FDO 925</t>
        </is>
      </c>
      <c r="DA621" s="20" t="inlineStr">
        <is>
          <t>None</t>
        </is>
      </c>
      <c r="DB621" s="17" t="n"/>
      <c r="DC621" s="16" t="n"/>
      <c r="DD621" s="20" t="n"/>
      <c r="DE621" s="20" t="inlineStr">
        <is>
          <t>None</t>
        </is>
      </c>
      <c r="DF621" s="17" t="n"/>
      <c r="DG621" s="16" t="n"/>
      <c r="DH621" s="20" t="inlineStr">
        <is>
          <t>SOP 45-09</t>
        </is>
      </c>
      <c r="DI621" s="20" t="inlineStr">
        <is>
          <t>None</t>
        </is>
      </c>
      <c r="DJ621" s="17" t="n"/>
      <c r="DK621" s="16" t="n"/>
      <c r="DL621" s="20" t="inlineStr">
        <is>
          <t>SOP 45-09 (SOP muss noch angepasst werden für VSS)</t>
        </is>
      </c>
      <c r="DM621" s="20" t="inlineStr">
        <is>
          <t>None</t>
        </is>
      </c>
      <c r="DN621" s="17" t="n"/>
      <c r="DO621" s="16" t="n"/>
      <c r="DP621" s="20" t="inlineStr">
        <is>
          <t>IC Organic Acids</t>
        </is>
      </c>
      <c r="DQ621" s="20" t="inlineStr">
        <is>
          <t>None</t>
        </is>
      </c>
      <c r="DR621" s="17" t="n"/>
      <c r="DS621" s="16" t="n"/>
      <c r="DT621" s="20" t="inlineStr">
        <is>
          <t>IC Organic Acids</t>
        </is>
      </c>
      <c r="DU621" s="20" t="inlineStr">
        <is>
          <t>None</t>
        </is>
      </c>
      <c r="DV621" s="17" t="n"/>
      <c r="DW621" s="16" t="n"/>
      <c r="DX621" s="20" t="inlineStr">
        <is>
          <t>IC Organic Acids</t>
        </is>
      </c>
      <c r="DY621" s="20" t="inlineStr">
        <is>
          <t>None</t>
        </is>
      </c>
      <c r="DZ621" s="17" t="n"/>
      <c r="EA621" s="16" t="n"/>
      <c r="EB621" s="20" t="inlineStr">
        <is>
          <t>IC Organic Acids</t>
        </is>
      </c>
      <c r="EC621" s="20" t="inlineStr">
        <is>
          <t>None</t>
        </is>
      </c>
      <c r="ED621" s="17" t="n"/>
      <c r="EE621" s="16" t="n"/>
      <c r="EF621" s="20" t="inlineStr">
        <is>
          <t>IC Organic Acids</t>
        </is>
      </c>
      <c r="EG621" s="20" t="inlineStr">
        <is>
          <t>None</t>
        </is>
      </c>
      <c r="EH621" s="17" t="n"/>
      <c r="EI621" s="16" t="n"/>
      <c r="EJ621" s="20" t="inlineStr">
        <is>
          <t>IC Organic Acids</t>
        </is>
      </c>
      <c r="EK621" s="20" t="inlineStr">
        <is>
          <t>None</t>
        </is>
      </c>
      <c r="EL621" s="17" t="n"/>
      <c r="EM621" s="16" t="n"/>
      <c r="EN621" s="20" t="inlineStr">
        <is>
          <t>IC Organic Acids</t>
        </is>
      </c>
      <c r="EO621" s="20" t="inlineStr">
        <is>
          <t>None</t>
        </is>
      </c>
      <c r="EP621" s="17" t="n"/>
      <c r="EQ621" s="16" t="n"/>
      <c r="ER621" s="20" t="inlineStr">
        <is>
          <t>IC Organic Acids</t>
        </is>
      </c>
      <c r="ES621" s="20" t="inlineStr">
        <is>
          <t>None</t>
        </is>
      </c>
      <c r="ET621" s="17" t="n"/>
      <c r="EU621" s="16" t="n"/>
      <c r="EV621" s="20" t="inlineStr">
        <is>
          <t>LC-MS</t>
        </is>
      </c>
      <c r="EW621" s="20" t="inlineStr">
        <is>
          <t>None</t>
        </is>
      </c>
      <c r="EX621" s="17" t="n"/>
      <c r="EY621" s="21" t="n"/>
      <c r="EZ621">
        <f>CONCATENATE(A621,B621)</f>
        <v/>
      </c>
      <c r="FA621">
        <f>CONCATENATE(SamplesX!A621,SamplesX!B621)</f>
        <v/>
      </c>
      <c r="FC621">
        <f>MATCH(EZ621,FA1:FA1008,0)</f>
        <v/>
      </c>
    </row>
    <row r="622">
      <c r="A622" s="16" t="n"/>
      <c r="B622" s="17" t="n"/>
      <c r="C622" s="10">
        <f>IF(ISNUMBER(FC622),INDIRECT("SamplesX!C"&amp;FC622),IF(ISNUMBER(FD622),INDIRECT("SamplesY!C"&amp;FD622),""))</f>
        <v/>
      </c>
      <c r="D622" s="12">
        <f>IF(ISNUMBER(FC622),INDIRECT("SamplesX!D"&amp;FC622),IF(ISNUMBER(FD622),INDIRECT("SamplesY!D"&amp;FD622),""))</f>
        <v/>
      </c>
      <c r="E622" s="12">
        <f>IF(ISNUMBER(FC622),INDIRECT("SamplesX!E"&amp;FC622),IF(ISNUMBER(FD622),INDIRECT("SamplesY!E"&amp;FD622),""))</f>
        <v/>
      </c>
      <c r="F622" s="11">
        <f>IF(ISNUMBER(FC622),INDIRECT("SamplesX!F"&amp;FC622),IF(ISNUMBER(FD622),INDIRECT("SamplesY!F"&amp;FD622),""))</f>
        <v/>
      </c>
      <c r="G622" s="18">
        <f>IF(ISNUMBER(FC622),INDIRECT("SamplesX!G"&amp;FC622),IF(ISNUMBER(FD622),INDIRECT("SamplesY!G"&amp;FD622),""))</f>
        <v/>
      </c>
      <c r="H622" s="19">
        <f>IF(ISNUMBER(FC622),INDIRECT("SamplesX!H"&amp;FC622),IF(ISNUMBER(FD622),INDIRECT("SamplesY!H"&amp;FD622),""))</f>
        <v/>
      </c>
      <c r="I622" s="16" t="n"/>
      <c r="J622" s="16" t="n"/>
      <c r="K622" s="16" t="n"/>
      <c r="L622" s="20" t="n"/>
      <c r="M622" s="20" t="inlineStr">
        <is>
          <t>None</t>
        </is>
      </c>
      <c r="N622" s="17" t="n"/>
      <c r="O622" s="16" t="n"/>
      <c r="P622" s="20" t="inlineStr">
        <is>
          <t>Shimadzu TOC-L</t>
        </is>
      </c>
      <c r="Q622" s="20" t="inlineStr">
        <is>
          <t>None</t>
        </is>
      </c>
      <c r="R622" s="17" t="n"/>
      <c r="S622" s="16" t="n"/>
      <c r="T622" s="20" t="inlineStr">
        <is>
          <t>Shimadzu TOC-L</t>
        </is>
      </c>
      <c r="U622" s="20" t="inlineStr">
        <is>
          <t>None</t>
        </is>
      </c>
      <c r="V622" s="17" t="n"/>
      <c r="W622" s="16" t="n"/>
      <c r="X622" s="20" t="n"/>
      <c r="Y622" s="20" t="inlineStr">
        <is>
          <t>None</t>
        </is>
      </c>
      <c r="Z622" s="17" t="n"/>
      <c r="AA622" s="16" t="n"/>
      <c r="AB622" s="20" t="n"/>
      <c r="AC622" s="20" t="inlineStr">
        <is>
          <t>None</t>
        </is>
      </c>
      <c r="AD622" s="17" t="n"/>
      <c r="AE622" s="16" t="n"/>
      <c r="AF622" s="20" t="inlineStr">
        <is>
          <t>IC Anionen</t>
        </is>
      </c>
      <c r="AG622" s="20" t="inlineStr">
        <is>
          <t>None</t>
        </is>
      </c>
      <c r="AH622" s="17" t="n"/>
      <c r="AI622" s="16" t="n"/>
      <c r="AJ622" s="20" t="n"/>
      <c r="AK622" s="20" t="inlineStr">
        <is>
          <t>None</t>
        </is>
      </c>
      <c r="AL622" s="17" t="n"/>
      <c r="AM622" s="16" t="n"/>
      <c r="AN622" s="20" t="inlineStr">
        <is>
          <t>IC Anionen</t>
        </is>
      </c>
      <c r="AO622" s="20" t="inlineStr">
        <is>
          <t>None</t>
        </is>
      </c>
      <c r="AP622" s="17" t="n"/>
      <c r="AQ622" s="16" t="n"/>
      <c r="AR622" s="20" t="n"/>
      <c r="AS622" s="20" t="inlineStr">
        <is>
          <t>None</t>
        </is>
      </c>
      <c r="AT622" s="17" t="n"/>
      <c r="AU622" s="16" t="n"/>
      <c r="AV622" s="20" t="n"/>
      <c r="AW622" s="20" t="inlineStr">
        <is>
          <t>None</t>
        </is>
      </c>
      <c r="AX622" s="17" t="n"/>
      <c r="AY622" s="16" t="n"/>
      <c r="AZ622" s="20" t="inlineStr">
        <is>
          <t>IC Anionen</t>
        </is>
      </c>
      <c r="BA622" s="20" t="inlineStr">
        <is>
          <t>None</t>
        </is>
      </c>
      <c r="BB622" s="17" t="n"/>
      <c r="BC622" s="16" t="n"/>
      <c r="BD622" s="20" t="inlineStr">
        <is>
          <t>IC Kationen</t>
        </is>
      </c>
      <c r="BE622" s="20" t="inlineStr">
        <is>
          <t>None</t>
        </is>
      </c>
      <c r="BF622" s="17" t="n"/>
      <c r="BG622" s="16" t="n"/>
      <c r="BH622" s="20" t="inlineStr">
        <is>
          <t>IC Kationen</t>
        </is>
      </c>
      <c r="BI622" s="20" t="inlineStr">
        <is>
          <t>None</t>
        </is>
      </c>
      <c r="BJ622" s="17" t="n"/>
      <c r="BK622" s="16" t="n"/>
      <c r="BL622" s="20" t="inlineStr">
        <is>
          <t>IC Kationen</t>
        </is>
      </c>
      <c r="BM622" s="20" t="inlineStr">
        <is>
          <t>None</t>
        </is>
      </c>
      <c r="BN622" s="17" t="n"/>
      <c r="BO622" s="16" t="n"/>
      <c r="BP622" s="20" t="inlineStr">
        <is>
          <t>IC Kationen</t>
        </is>
      </c>
      <c r="BQ622" s="20" t="inlineStr">
        <is>
          <t>None</t>
        </is>
      </c>
      <c r="BR622" s="17" t="n"/>
      <c r="BS622" s="16" t="n"/>
      <c r="BT622" s="20" t="inlineStr">
        <is>
          <t>IC Kationen</t>
        </is>
      </c>
      <c r="BU622" s="20" t="inlineStr">
        <is>
          <t>None</t>
        </is>
      </c>
      <c r="BV622" s="17" t="n"/>
      <c r="BW622" s="16" t="n"/>
      <c r="BX622" s="20" t="n"/>
      <c r="BY622" s="20" t="inlineStr">
        <is>
          <t>None</t>
        </is>
      </c>
      <c r="BZ622" s="17" t="n"/>
      <c r="CA622" s="16" t="n"/>
      <c r="CB622" s="20" t="n"/>
      <c r="CC622" s="20" t="inlineStr">
        <is>
          <t>None</t>
        </is>
      </c>
      <c r="CD622" s="17" t="n"/>
      <c r="CE622" s="16" t="n"/>
      <c r="CF622" s="20" t="n"/>
      <c r="CG622" s="20" t="inlineStr">
        <is>
          <t>None</t>
        </is>
      </c>
      <c r="CH622" s="17" t="n"/>
      <c r="CI622" s="16" t="n"/>
      <c r="CJ622" s="20" t="n"/>
      <c r="CK622" s="20" t="inlineStr">
        <is>
          <t>None</t>
        </is>
      </c>
      <c r="CL622" s="17" t="n"/>
      <c r="CM622" s="16" t="n"/>
      <c r="CN622" s="20" t="inlineStr">
        <is>
          <t>SOP 45-34</t>
        </is>
      </c>
      <c r="CO622" s="20" t="inlineStr">
        <is>
          <t>None</t>
        </is>
      </c>
      <c r="CP622" s="17" t="n"/>
      <c r="CQ622" s="16" t="n"/>
      <c r="CR622" s="20" t="n"/>
      <c r="CS622" s="20" t="inlineStr">
        <is>
          <t>None</t>
        </is>
      </c>
      <c r="CT622" s="17" t="n"/>
      <c r="CU622" s="16" t="n"/>
      <c r="CV622" s="20" t="n"/>
      <c r="CW622" s="20" t="inlineStr">
        <is>
          <t>None</t>
        </is>
      </c>
      <c r="CX622" s="17" t="n"/>
      <c r="CY622" s="16" t="n"/>
      <c r="CZ622" s="20" t="inlineStr">
        <is>
          <t>WTW Multimeter 3430 with FDO 925</t>
        </is>
      </c>
      <c r="DA622" s="20" t="inlineStr">
        <is>
          <t>None</t>
        </is>
      </c>
      <c r="DB622" s="17" t="n"/>
      <c r="DC622" s="16" t="n"/>
      <c r="DD622" s="20" t="n"/>
      <c r="DE622" s="20" t="inlineStr">
        <is>
          <t>None</t>
        </is>
      </c>
      <c r="DF622" s="17" t="n"/>
      <c r="DG622" s="16" t="n"/>
      <c r="DH622" s="20" t="inlineStr">
        <is>
          <t>SOP 45-09</t>
        </is>
      </c>
      <c r="DI622" s="20" t="inlineStr">
        <is>
          <t>None</t>
        </is>
      </c>
      <c r="DJ622" s="17" t="n"/>
      <c r="DK622" s="16" t="n"/>
      <c r="DL622" s="20" t="inlineStr">
        <is>
          <t>SOP 45-09 (SOP muss noch angepasst werden für VSS)</t>
        </is>
      </c>
      <c r="DM622" s="20" t="inlineStr">
        <is>
          <t>None</t>
        </is>
      </c>
      <c r="DN622" s="17" t="n"/>
      <c r="DO622" s="16" t="n"/>
      <c r="DP622" s="20" t="inlineStr">
        <is>
          <t>IC Organic Acids</t>
        </is>
      </c>
      <c r="DQ622" s="20" t="inlineStr">
        <is>
          <t>None</t>
        </is>
      </c>
      <c r="DR622" s="17" t="n"/>
      <c r="DS622" s="16" t="n"/>
      <c r="DT622" s="20" t="inlineStr">
        <is>
          <t>IC Organic Acids</t>
        </is>
      </c>
      <c r="DU622" s="20" t="inlineStr">
        <is>
          <t>None</t>
        </is>
      </c>
      <c r="DV622" s="17" t="n"/>
      <c r="DW622" s="16" t="n"/>
      <c r="DX622" s="20" t="inlineStr">
        <is>
          <t>IC Organic Acids</t>
        </is>
      </c>
      <c r="DY622" s="20" t="inlineStr">
        <is>
          <t>None</t>
        </is>
      </c>
      <c r="DZ622" s="17" t="n"/>
      <c r="EA622" s="16" t="n"/>
      <c r="EB622" s="20" t="inlineStr">
        <is>
          <t>IC Organic Acids</t>
        </is>
      </c>
      <c r="EC622" s="20" t="inlineStr">
        <is>
          <t>None</t>
        </is>
      </c>
      <c r="ED622" s="17" t="n"/>
      <c r="EE622" s="16" t="n"/>
      <c r="EF622" s="20" t="inlineStr">
        <is>
          <t>IC Organic Acids</t>
        </is>
      </c>
      <c r="EG622" s="20" t="inlineStr">
        <is>
          <t>None</t>
        </is>
      </c>
      <c r="EH622" s="17" t="n"/>
      <c r="EI622" s="16" t="n"/>
      <c r="EJ622" s="20" t="inlineStr">
        <is>
          <t>IC Organic Acids</t>
        </is>
      </c>
      <c r="EK622" s="20" t="inlineStr">
        <is>
          <t>None</t>
        </is>
      </c>
      <c r="EL622" s="17" t="n"/>
      <c r="EM622" s="16" t="n"/>
      <c r="EN622" s="20" t="inlineStr">
        <is>
          <t>IC Organic Acids</t>
        </is>
      </c>
      <c r="EO622" s="20" t="inlineStr">
        <is>
          <t>None</t>
        </is>
      </c>
      <c r="EP622" s="17" t="n"/>
      <c r="EQ622" s="16" t="n"/>
      <c r="ER622" s="20" t="inlineStr">
        <is>
          <t>IC Organic Acids</t>
        </is>
      </c>
      <c r="ES622" s="20" t="inlineStr">
        <is>
          <t>None</t>
        </is>
      </c>
      <c r="ET622" s="17" t="n"/>
      <c r="EU622" s="16" t="n"/>
      <c r="EV622" s="20" t="inlineStr">
        <is>
          <t>LC-MS</t>
        </is>
      </c>
      <c r="EW622" s="20" t="inlineStr">
        <is>
          <t>None</t>
        </is>
      </c>
      <c r="EX622" s="17" t="n"/>
      <c r="EY622" s="21" t="n"/>
      <c r="EZ622">
        <f>CONCATENATE(A622,B622)</f>
        <v/>
      </c>
      <c r="FA622">
        <f>CONCATENATE(SamplesX!A622,SamplesX!B622)</f>
        <v/>
      </c>
      <c r="FC622">
        <f>MATCH(EZ622,FA1:FA1008,0)</f>
        <v/>
      </c>
    </row>
    <row r="623">
      <c r="A623" s="16" t="n"/>
      <c r="B623" s="17" t="n"/>
      <c r="C623" s="10">
        <f>IF(ISNUMBER(FC623),INDIRECT("SamplesX!C"&amp;FC623),IF(ISNUMBER(FD623),INDIRECT("SamplesY!C"&amp;FD623),""))</f>
        <v/>
      </c>
      <c r="D623" s="12">
        <f>IF(ISNUMBER(FC623),INDIRECT("SamplesX!D"&amp;FC623),IF(ISNUMBER(FD623),INDIRECT("SamplesY!D"&amp;FD623),""))</f>
        <v/>
      </c>
      <c r="E623" s="12">
        <f>IF(ISNUMBER(FC623),INDIRECT("SamplesX!E"&amp;FC623),IF(ISNUMBER(FD623),INDIRECT("SamplesY!E"&amp;FD623),""))</f>
        <v/>
      </c>
      <c r="F623" s="11">
        <f>IF(ISNUMBER(FC623),INDIRECT("SamplesX!F"&amp;FC623),IF(ISNUMBER(FD623),INDIRECT("SamplesY!F"&amp;FD623),""))</f>
        <v/>
      </c>
      <c r="G623" s="18">
        <f>IF(ISNUMBER(FC623),INDIRECT("SamplesX!G"&amp;FC623),IF(ISNUMBER(FD623),INDIRECT("SamplesY!G"&amp;FD623),""))</f>
        <v/>
      </c>
      <c r="H623" s="19">
        <f>IF(ISNUMBER(FC623),INDIRECT("SamplesX!H"&amp;FC623),IF(ISNUMBER(FD623),INDIRECT("SamplesY!H"&amp;FD623),""))</f>
        <v/>
      </c>
      <c r="I623" s="16" t="n"/>
      <c r="J623" s="16" t="n"/>
      <c r="K623" s="16" t="n"/>
      <c r="L623" s="20" t="n"/>
      <c r="M623" s="20" t="inlineStr">
        <is>
          <t>None</t>
        </is>
      </c>
      <c r="N623" s="17" t="n"/>
      <c r="O623" s="16" t="n"/>
      <c r="P623" s="20" t="inlineStr">
        <is>
          <t>Shimadzu TOC-L</t>
        </is>
      </c>
      <c r="Q623" s="20" t="inlineStr">
        <is>
          <t>None</t>
        </is>
      </c>
      <c r="R623" s="17" t="n"/>
      <c r="S623" s="16" t="n"/>
      <c r="T623" s="20" t="inlineStr">
        <is>
          <t>Shimadzu TOC-L</t>
        </is>
      </c>
      <c r="U623" s="20" t="inlineStr">
        <is>
          <t>None</t>
        </is>
      </c>
      <c r="V623" s="17" t="n"/>
      <c r="W623" s="16" t="n"/>
      <c r="X623" s="20" t="n"/>
      <c r="Y623" s="20" t="inlineStr">
        <is>
          <t>None</t>
        </is>
      </c>
      <c r="Z623" s="17" t="n"/>
      <c r="AA623" s="16" t="n"/>
      <c r="AB623" s="20" t="n"/>
      <c r="AC623" s="20" t="inlineStr">
        <is>
          <t>None</t>
        </is>
      </c>
      <c r="AD623" s="17" t="n"/>
      <c r="AE623" s="16" t="n"/>
      <c r="AF623" s="20" t="inlineStr">
        <is>
          <t>IC Anionen</t>
        </is>
      </c>
      <c r="AG623" s="20" t="inlineStr">
        <is>
          <t>None</t>
        </is>
      </c>
      <c r="AH623" s="17" t="n"/>
      <c r="AI623" s="16" t="n"/>
      <c r="AJ623" s="20" t="n"/>
      <c r="AK623" s="20" t="inlineStr">
        <is>
          <t>None</t>
        </is>
      </c>
      <c r="AL623" s="17" t="n"/>
      <c r="AM623" s="16" t="n"/>
      <c r="AN623" s="20" t="inlineStr">
        <is>
          <t>IC Anionen</t>
        </is>
      </c>
      <c r="AO623" s="20" t="inlineStr">
        <is>
          <t>None</t>
        </is>
      </c>
      <c r="AP623" s="17" t="n"/>
      <c r="AQ623" s="16" t="n"/>
      <c r="AR623" s="20" t="n"/>
      <c r="AS623" s="20" t="inlineStr">
        <is>
          <t>None</t>
        </is>
      </c>
      <c r="AT623" s="17" t="n"/>
      <c r="AU623" s="16" t="n"/>
      <c r="AV623" s="20" t="n"/>
      <c r="AW623" s="20" t="inlineStr">
        <is>
          <t>None</t>
        </is>
      </c>
      <c r="AX623" s="17" t="n"/>
      <c r="AY623" s="16" t="n"/>
      <c r="AZ623" s="20" t="inlineStr">
        <is>
          <t>IC Anionen</t>
        </is>
      </c>
      <c r="BA623" s="20" t="inlineStr">
        <is>
          <t>None</t>
        </is>
      </c>
      <c r="BB623" s="17" t="n"/>
      <c r="BC623" s="16" t="n"/>
      <c r="BD623" s="20" t="inlineStr">
        <is>
          <t>IC Kationen</t>
        </is>
      </c>
      <c r="BE623" s="20" t="inlineStr">
        <is>
          <t>None</t>
        </is>
      </c>
      <c r="BF623" s="17" t="n"/>
      <c r="BG623" s="16" t="n"/>
      <c r="BH623" s="20" t="inlineStr">
        <is>
          <t>IC Kationen</t>
        </is>
      </c>
      <c r="BI623" s="20" t="inlineStr">
        <is>
          <t>None</t>
        </is>
      </c>
      <c r="BJ623" s="17" t="n"/>
      <c r="BK623" s="16" t="n"/>
      <c r="BL623" s="20" t="inlineStr">
        <is>
          <t>IC Kationen</t>
        </is>
      </c>
      <c r="BM623" s="20" t="inlineStr">
        <is>
          <t>None</t>
        </is>
      </c>
      <c r="BN623" s="17" t="n"/>
      <c r="BO623" s="16" t="n"/>
      <c r="BP623" s="20" t="inlineStr">
        <is>
          <t>IC Kationen</t>
        </is>
      </c>
      <c r="BQ623" s="20" t="inlineStr">
        <is>
          <t>None</t>
        </is>
      </c>
      <c r="BR623" s="17" t="n"/>
      <c r="BS623" s="16" t="n"/>
      <c r="BT623" s="20" t="inlineStr">
        <is>
          <t>IC Kationen</t>
        </is>
      </c>
      <c r="BU623" s="20" t="inlineStr">
        <is>
          <t>None</t>
        </is>
      </c>
      <c r="BV623" s="17" t="n"/>
      <c r="BW623" s="16" t="n"/>
      <c r="BX623" s="20" t="n"/>
      <c r="BY623" s="20" t="inlineStr">
        <is>
          <t>None</t>
        </is>
      </c>
      <c r="BZ623" s="17" t="n"/>
      <c r="CA623" s="16" t="n"/>
      <c r="CB623" s="20" t="n"/>
      <c r="CC623" s="20" t="inlineStr">
        <is>
          <t>None</t>
        </is>
      </c>
      <c r="CD623" s="17" t="n"/>
      <c r="CE623" s="16" t="n"/>
      <c r="CF623" s="20" t="n"/>
      <c r="CG623" s="20" t="inlineStr">
        <is>
          <t>None</t>
        </is>
      </c>
      <c r="CH623" s="17" t="n"/>
      <c r="CI623" s="16" t="n"/>
      <c r="CJ623" s="20" t="n"/>
      <c r="CK623" s="20" t="inlineStr">
        <is>
          <t>None</t>
        </is>
      </c>
      <c r="CL623" s="17" t="n"/>
      <c r="CM623" s="16" t="n"/>
      <c r="CN623" s="20" t="inlineStr">
        <is>
          <t>SOP 45-34</t>
        </is>
      </c>
      <c r="CO623" s="20" t="inlineStr">
        <is>
          <t>None</t>
        </is>
      </c>
      <c r="CP623" s="17" t="n"/>
      <c r="CQ623" s="16" t="n"/>
      <c r="CR623" s="20" t="n"/>
      <c r="CS623" s="20" t="inlineStr">
        <is>
          <t>None</t>
        </is>
      </c>
      <c r="CT623" s="17" t="n"/>
      <c r="CU623" s="16" t="n"/>
      <c r="CV623" s="20" t="n"/>
      <c r="CW623" s="20" t="inlineStr">
        <is>
          <t>None</t>
        </is>
      </c>
      <c r="CX623" s="17" t="n"/>
      <c r="CY623" s="16" t="n"/>
      <c r="CZ623" s="20" t="inlineStr">
        <is>
          <t>WTW Multimeter 3430 with FDO 925</t>
        </is>
      </c>
      <c r="DA623" s="20" t="inlineStr">
        <is>
          <t>None</t>
        </is>
      </c>
      <c r="DB623" s="17" t="n"/>
      <c r="DC623" s="16" t="n"/>
      <c r="DD623" s="20" t="n"/>
      <c r="DE623" s="20" t="inlineStr">
        <is>
          <t>None</t>
        </is>
      </c>
      <c r="DF623" s="17" t="n"/>
      <c r="DG623" s="16" t="n"/>
      <c r="DH623" s="20" t="inlineStr">
        <is>
          <t>SOP 45-09</t>
        </is>
      </c>
      <c r="DI623" s="20" t="inlineStr">
        <is>
          <t>None</t>
        </is>
      </c>
      <c r="DJ623" s="17" t="n"/>
      <c r="DK623" s="16" t="n"/>
      <c r="DL623" s="20" t="inlineStr">
        <is>
          <t>SOP 45-09 (SOP muss noch angepasst werden für VSS)</t>
        </is>
      </c>
      <c r="DM623" s="20" t="inlineStr">
        <is>
          <t>None</t>
        </is>
      </c>
      <c r="DN623" s="17" t="n"/>
      <c r="DO623" s="16" t="n"/>
      <c r="DP623" s="20" t="inlineStr">
        <is>
          <t>IC Organic Acids</t>
        </is>
      </c>
      <c r="DQ623" s="20" t="inlineStr">
        <is>
          <t>None</t>
        </is>
      </c>
      <c r="DR623" s="17" t="n"/>
      <c r="DS623" s="16" t="n"/>
      <c r="DT623" s="20" t="inlineStr">
        <is>
          <t>IC Organic Acids</t>
        </is>
      </c>
      <c r="DU623" s="20" t="inlineStr">
        <is>
          <t>None</t>
        </is>
      </c>
      <c r="DV623" s="17" t="n"/>
      <c r="DW623" s="16" t="n"/>
      <c r="DX623" s="20" t="inlineStr">
        <is>
          <t>IC Organic Acids</t>
        </is>
      </c>
      <c r="DY623" s="20" t="inlineStr">
        <is>
          <t>None</t>
        </is>
      </c>
      <c r="DZ623" s="17" t="n"/>
      <c r="EA623" s="16" t="n"/>
      <c r="EB623" s="20" t="inlineStr">
        <is>
          <t>IC Organic Acids</t>
        </is>
      </c>
      <c r="EC623" s="20" t="inlineStr">
        <is>
          <t>None</t>
        </is>
      </c>
      <c r="ED623" s="17" t="n"/>
      <c r="EE623" s="16" t="n"/>
      <c r="EF623" s="20" t="inlineStr">
        <is>
          <t>IC Organic Acids</t>
        </is>
      </c>
      <c r="EG623" s="20" t="inlineStr">
        <is>
          <t>None</t>
        </is>
      </c>
      <c r="EH623" s="17" t="n"/>
      <c r="EI623" s="16" t="n"/>
      <c r="EJ623" s="20" t="inlineStr">
        <is>
          <t>IC Organic Acids</t>
        </is>
      </c>
      <c r="EK623" s="20" t="inlineStr">
        <is>
          <t>None</t>
        </is>
      </c>
      <c r="EL623" s="17" t="n"/>
      <c r="EM623" s="16" t="n"/>
      <c r="EN623" s="20" t="inlineStr">
        <is>
          <t>IC Organic Acids</t>
        </is>
      </c>
      <c r="EO623" s="20" t="inlineStr">
        <is>
          <t>None</t>
        </is>
      </c>
      <c r="EP623" s="17" t="n"/>
      <c r="EQ623" s="16" t="n"/>
      <c r="ER623" s="20" t="inlineStr">
        <is>
          <t>IC Organic Acids</t>
        </is>
      </c>
      <c r="ES623" s="20" t="inlineStr">
        <is>
          <t>None</t>
        </is>
      </c>
      <c r="ET623" s="17" t="n"/>
      <c r="EU623" s="16" t="n"/>
      <c r="EV623" s="20" t="inlineStr">
        <is>
          <t>LC-MS</t>
        </is>
      </c>
      <c r="EW623" s="20" t="inlineStr">
        <is>
          <t>None</t>
        </is>
      </c>
      <c r="EX623" s="17" t="n"/>
      <c r="EY623" s="21" t="n"/>
      <c r="EZ623">
        <f>CONCATENATE(A623,B623)</f>
        <v/>
      </c>
      <c r="FA623">
        <f>CONCATENATE(SamplesX!A623,SamplesX!B623)</f>
        <v/>
      </c>
      <c r="FC623">
        <f>MATCH(EZ623,FA1:FA1008,0)</f>
        <v/>
      </c>
    </row>
    <row r="624">
      <c r="A624" s="16" t="n"/>
      <c r="B624" s="17" t="n"/>
      <c r="C624" s="10">
        <f>IF(ISNUMBER(FC624),INDIRECT("SamplesX!C"&amp;FC624),IF(ISNUMBER(FD624),INDIRECT("SamplesY!C"&amp;FD624),""))</f>
        <v/>
      </c>
      <c r="D624" s="12">
        <f>IF(ISNUMBER(FC624),INDIRECT("SamplesX!D"&amp;FC624),IF(ISNUMBER(FD624),INDIRECT("SamplesY!D"&amp;FD624),""))</f>
        <v/>
      </c>
      <c r="E624" s="12">
        <f>IF(ISNUMBER(FC624),INDIRECT("SamplesX!E"&amp;FC624),IF(ISNUMBER(FD624),INDIRECT("SamplesY!E"&amp;FD624),""))</f>
        <v/>
      </c>
      <c r="F624" s="11">
        <f>IF(ISNUMBER(FC624),INDIRECT("SamplesX!F"&amp;FC624),IF(ISNUMBER(FD624),INDIRECT("SamplesY!F"&amp;FD624),""))</f>
        <v/>
      </c>
      <c r="G624" s="18">
        <f>IF(ISNUMBER(FC624),INDIRECT("SamplesX!G"&amp;FC624),IF(ISNUMBER(FD624),INDIRECT("SamplesY!G"&amp;FD624),""))</f>
        <v/>
      </c>
      <c r="H624" s="19">
        <f>IF(ISNUMBER(FC624),INDIRECT("SamplesX!H"&amp;FC624),IF(ISNUMBER(FD624),INDIRECT("SamplesY!H"&amp;FD624),""))</f>
        <v/>
      </c>
      <c r="I624" s="16" t="n"/>
      <c r="J624" s="16" t="n"/>
      <c r="K624" s="16" t="n"/>
      <c r="L624" s="20" t="n"/>
      <c r="M624" s="20" t="inlineStr">
        <is>
          <t>None</t>
        </is>
      </c>
      <c r="N624" s="17" t="n"/>
      <c r="O624" s="16" t="n"/>
      <c r="P624" s="20" t="inlineStr">
        <is>
          <t>Shimadzu TOC-L</t>
        </is>
      </c>
      <c r="Q624" s="20" t="inlineStr">
        <is>
          <t>None</t>
        </is>
      </c>
      <c r="R624" s="17" t="n"/>
      <c r="S624" s="16" t="n"/>
      <c r="T624" s="20" t="inlineStr">
        <is>
          <t>Shimadzu TOC-L</t>
        </is>
      </c>
      <c r="U624" s="20" t="inlineStr">
        <is>
          <t>None</t>
        </is>
      </c>
      <c r="V624" s="17" t="n"/>
      <c r="W624" s="16" t="n"/>
      <c r="X624" s="20" t="n"/>
      <c r="Y624" s="20" t="inlineStr">
        <is>
          <t>None</t>
        </is>
      </c>
      <c r="Z624" s="17" t="n"/>
      <c r="AA624" s="16" t="n"/>
      <c r="AB624" s="20" t="n"/>
      <c r="AC624" s="20" t="inlineStr">
        <is>
          <t>None</t>
        </is>
      </c>
      <c r="AD624" s="17" t="n"/>
      <c r="AE624" s="16" t="n"/>
      <c r="AF624" s="20" t="inlineStr">
        <is>
          <t>IC Anionen</t>
        </is>
      </c>
      <c r="AG624" s="20" t="inlineStr">
        <is>
          <t>None</t>
        </is>
      </c>
      <c r="AH624" s="17" t="n"/>
      <c r="AI624" s="16" t="n"/>
      <c r="AJ624" s="20" t="n"/>
      <c r="AK624" s="20" t="inlineStr">
        <is>
          <t>None</t>
        </is>
      </c>
      <c r="AL624" s="17" t="n"/>
      <c r="AM624" s="16" t="n"/>
      <c r="AN624" s="20" t="inlineStr">
        <is>
          <t>IC Anionen</t>
        </is>
      </c>
      <c r="AO624" s="20" t="inlineStr">
        <is>
          <t>None</t>
        </is>
      </c>
      <c r="AP624" s="17" t="n"/>
      <c r="AQ624" s="16" t="n"/>
      <c r="AR624" s="20" t="n"/>
      <c r="AS624" s="20" t="inlineStr">
        <is>
          <t>None</t>
        </is>
      </c>
      <c r="AT624" s="17" t="n"/>
      <c r="AU624" s="16" t="n"/>
      <c r="AV624" s="20" t="n"/>
      <c r="AW624" s="20" t="inlineStr">
        <is>
          <t>None</t>
        </is>
      </c>
      <c r="AX624" s="17" t="n"/>
      <c r="AY624" s="16" t="n"/>
      <c r="AZ624" s="20" t="inlineStr">
        <is>
          <t>IC Anionen</t>
        </is>
      </c>
      <c r="BA624" s="20" t="inlineStr">
        <is>
          <t>None</t>
        </is>
      </c>
      <c r="BB624" s="17" t="n"/>
      <c r="BC624" s="16" t="n"/>
      <c r="BD624" s="20" t="inlineStr">
        <is>
          <t>IC Kationen</t>
        </is>
      </c>
      <c r="BE624" s="20" t="inlineStr">
        <is>
          <t>None</t>
        </is>
      </c>
      <c r="BF624" s="17" t="n"/>
      <c r="BG624" s="16" t="n"/>
      <c r="BH624" s="20" t="inlineStr">
        <is>
          <t>IC Kationen</t>
        </is>
      </c>
      <c r="BI624" s="20" t="inlineStr">
        <is>
          <t>None</t>
        </is>
      </c>
      <c r="BJ624" s="17" t="n"/>
      <c r="BK624" s="16" t="n"/>
      <c r="BL624" s="20" t="inlineStr">
        <is>
          <t>IC Kationen</t>
        </is>
      </c>
      <c r="BM624" s="20" t="inlineStr">
        <is>
          <t>None</t>
        </is>
      </c>
      <c r="BN624" s="17" t="n"/>
      <c r="BO624" s="16" t="n"/>
      <c r="BP624" s="20" t="inlineStr">
        <is>
          <t>IC Kationen</t>
        </is>
      </c>
      <c r="BQ624" s="20" t="inlineStr">
        <is>
          <t>None</t>
        </is>
      </c>
      <c r="BR624" s="17" t="n"/>
      <c r="BS624" s="16" t="n"/>
      <c r="BT624" s="20" t="inlineStr">
        <is>
          <t>IC Kationen</t>
        </is>
      </c>
      <c r="BU624" s="20" t="inlineStr">
        <is>
          <t>None</t>
        </is>
      </c>
      <c r="BV624" s="17" t="n"/>
      <c r="BW624" s="16" t="n"/>
      <c r="BX624" s="20" t="n"/>
      <c r="BY624" s="20" t="inlineStr">
        <is>
          <t>None</t>
        </is>
      </c>
      <c r="BZ624" s="17" t="n"/>
      <c r="CA624" s="16" t="n"/>
      <c r="CB624" s="20" t="n"/>
      <c r="CC624" s="20" t="inlineStr">
        <is>
          <t>None</t>
        </is>
      </c>
      <c r="CD624" s="17" t="n"/>
      <c r="CE624" s="16" t="n"/>
      <c r="CF624" s="20" t="n"/>
      <c r="CG624" s="20" t="inlineStr">
        <is>
          <t>None</t>
        </is>
      </c>
      <c r="CH624" s="17" t="n"/>
      <c r="CI624" s="16" t="n"/>
      <c r="CJ624" s="20" t="n"/>
      <c r="CK624" s="20" t="inlineStr">
        <is>
          <t>None</t>
        </is>
      </c>
      <c r="CL624" s="17" t="n"/>
      <c r="CM624" s="16" t="n"/>
      <c r="CN624" s="20" t="inlineStr">
        <is>
          <t>SOP 45-34</t>
        </is>
      </c>
      <c r="CO624" s="20" t="inlineStr">
        <is>
          <t>None</t>
        </is>
      </c>
      <c r="CP624" s="17" t="n"/>
      <c r="CQ624" s="16" t="n"/>
      <c r="CR624" s="20" t="n"/>
      <c r="CS624" s="20" t="inlineStr">
        <is>
          <t>None</t>
        </is>
      </c>
      <c r="CT624" s="17" t="n"/>
      <c r="CU624" s="16" t="n"/>
      <c r="CV624" s="20" t="n"/>
      <c r="CW624" s="20" t="inlineStr">
        <is>
          <t>None</t>
        </is>
      </c>
      <c r="CX624" s="17" t="n"/>
      <c r="CY624" s="16" t="n"/>
      <c r="CZ624" s="20" t="inlineStr">
        <is>
          <t>WTW Multimeter 3430 with FDO 925</t>
        </is>
      </c>
      <c r="DA624" s="20" t="inlineStr">
        <is>
          <t>None</t>
        </is>
      </c>
      <c r="DB624" s="17" t="n"/>
      <c r="DC624" s="16" t="n"/>
      <c r="DD624" s="20" t="n"/>
      <c r="DE624" s="20" t="inlineStr">
        <is>
          <t>None</t>
        </is>
      </c>
      <c r="DF624" s="17" t="n"/>
      <c r="DG624" s="16" t="n"/>
      <c r="DH624" s="20" t="inlineStr">
        <is>
          <t>SOP 45-09</t>
        </is>
      </c>
      <c r="DI624" s="20" t="inlineStr">
        <is>
          <t>None</t>
        </is>
      </c>
      <c r="DJ624" s="17" t="n"/>
      <c r="DK624" s="16" t="n"/>
      <c r="DL624" s="20" t="inlineStr">
        <is>
          <t>SOP 45-09 (SOP muss noch angepasst werden für VSS)</t>
        </is>
      </c>
      <c r="DM624" s="20" t="inlineStr">
        <is>
          <t>None</t>
        </is>
      </c>
      <c r="DN624" s="17" t="n"/>
      <c r="DO624" s="16" t="n"/>
      <c r="DP624" s="20" t="inlineStr">
        <is>
          <t>IC Organic Acids</t>
        </is>
      </c>
      <c r="DQ624" s="20" t="inlineStr">
        <is>
          <t>None</t>
        </is>
      </c>
      <c r="DR624" s="17" t="n"/>
      <c r="DS624" s="16" t="n"/>
      <c r="DT624" s="20" t="inlineStr">
        <is>
          <t>IC Organic Acids</t>
        </is>
      </c>
      <c r="DU624" s="20" t="inlineStr">
        <is>
          <t>None</t>
        </is>
      </c>
      <c r="DV624" s="17" t="n"/>
      <c r="DW624" s="16" t="n"/>
      <c r="DX624" s="20" t="inlineStr">
        <is>
          <t>IC Organic Acids</t>
        </is>
      </c>
      <c r="DY624" s="20" t="inlineStr">
        <is>
          <t>None</t>
        </is>
      </c>
      <c r="DZ624" s="17" t="n"/>
      <c r="EA624" s="16" t="n"/>
      <c r="EB624" s="20" t="inlineStr">
        <is>
          <t>IC Organic Acids</t>
        </is>
      </c>
      <c r="EC624" s="20" t="inlineStr">
        <is>
          <t>None</t>
        </is>
      </c>
      <c r="ED624" s="17" t="n"/>
      <c r="EE624" s="16" t="n"/>
      <c r="EF624" s="20" t="inlineStr">
        <is>
          <t>IC Organic Acids</t>
        </is>
      </c>
      <c r="EG624" s="20" t="inlineStr">
        <is>
          <t>None</t>
        </is>
      </c>
      <c r="EH624" s="17" t="n"/>
      <c r="EI624" s="16" t="n"/>
      <c r="EJ624" s="20" t="inlineStr">
        <is>
          <t>IC Organic Acids</t>
        </is>
      </c>
      <c r="EK624" s="20" t="inlineStr">
        <is>
          <t>None</t>
        </is>
      </c>
      <c r="EL624" s="17" t="n"/>
      <c r="EM624" s="16" t="n"/>
      <c r="EN624" s="20" t="inlineStr">
        <is>
          <t>IC Organic Acids</t>
        </is>
      </c>
      <c r="EO624" s="20" t="inlineStr">
        <is>
          <t>None</t>
        </is>
      </c>
      <c r="EP624" s="17" t="n"/>
      <c r="EQ624" s="16" t="n"/>
      <c r="ER624" s="20" t="inlineStr">
        <is>
          <t>IC Organic Acids</t>
        </is>
      </c>
      <c r="ES624" s="20" t="inlineStr">
        <is>
          <t>None</t>
        </is>
      </c>
      <c r="ET624" s="17" t="n"/>
      <c r="EU624" s="16" t="n"/>
      <c r="EV624" s="20" t="inlineStr">
        <is>
          <t>LC-MS</t>
        </is>
      </c>
      <c r="EW624" s="20" t="inlineStr">
        <is>
          <t>None</t>
        </is>
      </c>
      <c r="EX624" s="17" t="n"/>
      <c r="EY624" s="21" t="n"/>
      <c r="EZ624">
        <f>CONCATENATE(A624,B624)</f>
        <v/>
      </c>
      <c r="FA624">
        <f>CONCATENATE(SamplesX!A624,SamplesX!B624)</f>
        <v/>
      </c>
      <c r="FC624">
        <f>MATCH(EZ624,FA1:FA1008,0)</f>
        <v/>
      </c>
    </row>
    <row r="625">
      <c r="A625" s="16" t="n"/>
      <c r="B625" s="17" t="n"/>
      <c r="C625" s="10">
        <f>IF(ISNUMBER(FC625),INDIRECT("SamplesX!C"&amp;FC625),IF(ISNUMBER(FD625),INDIRECT("SamplesY!C"&amp;FD625),""))</f>
        <v/>
      </c>
      <c r="D625" s="12">
        <f>IF(ISNUMBER(FC625),INDIRECT("SamplesX!D"&amp;FC625),IF(ISNUMBER(FD625),INDIRECT("SamplesY!D"&amp;FD625),""))</f>
        <v/>
      </c>
      <c r="E625" s="12">
        <f>IF(ISNUMBER(FC625),INDIRECT("SamplesX!E"&amp;FC625),IF(ISNUMBER(FD625),INDIRECT("SamplesY!E"&amp;FD625),""))</f>
        <v/>
      </c>
      <c r="F625" s="11">
        <f>IF(ISNUMBER(FC625),INDIRECT("SamplesX!F"&amp;FC625),IF(ISNUMBER(FD625),INDIRECT("SamplesY!F"&amp;FD625),""))</f>
        <v/>
      </c>
      <c r="G625" s="18">
        <f>IF(ISNUMBER(FC625),INDIRECT("SamplesX!G"&amp;FC625),IF(ISNUMBER(FD625),INDIRECT("SamplesY!G"&amp;FD625),""))</f>
        <v/>
      </c>
      <c r="H625" s="19">
        <f>IF(ISNUMBER(FC625),INDIRECT("SamplesX!H"&amp;FC625),IF(ISNUMBER(FD625),INDIRECT("SamplesY!H"&amp;FD625),""))</f>
        <v/>
      </c>
      <c r="I625" s="16" t="n"/>
      <c r="J625" s="16" t="n"/>
      <c r="K625" s="16" t="n"/>
      <c r="L625" s="20" t="n"/>
      <c r="M625" s="20" t="inlineStr">
        <is>
          <t>None</t>
        </is>
      </c>
      <c r="N625" s="17" t="n"/>
      <c r="O625" s="16" t="n"/>
      <c r="P625" s="20" t="inlineStr">
        <is>
          <t>Shimadzu TOC-L</t>
        </is>
      </c>
      <c r="Q625" s="20" t="inlineStr">
        <is>
          <t>None</t>
        </is>
      </c>
      <c r="R625" s="17" t="n"/>
      <c r="S625" s="16" t="n"/>
      <c r="T625" s="20" t="inlineStr">
        <is>
          <t>Shimadzu TOC-L</t>
        </is>
      </c>
      <c r="U625" s="20" t="inlineStr">
        <is>
          <t>None</t>
        </is>
      </c>
      <c r="V625" s="17" t="n"/>
      <c r="W625" s="16" t="n"/>
      <c r="X625" s="20" t="n"/>
      <c r="Y625" s="20" t="inlineStr">
        <is>
          <t>None</t>
        </is>
      </c>
      <c r="Z625" s="17" t="n"/>
      <c r="AA625" s="16" t="n"/>
      <c r="AB625" s="20" t="n"/>
      <c r="AC625" s="20" t="inlineStr">
        <is>
          <t>None</t>
        </is>
      </c>
      <c r="AD625" s="17" t="n"/>
      <c r="AE625" s="16" t="n"/>
      <c r="AF625" s="20" t="inlineStr">
        <is>
          <t>IC Anionen</t>
        </is>
      </c>
      <c r="AG625" s="20" t="inlineStr">
        <is>
          <t>None</t>
        </is>
      </c>
      <c r="AH625" s="17" t="n"/>
      <c r="AI625" s="16" t="n"/>
      <c r="AJ625" s="20" t="n"/>
      <c r="AK625" s="20" t="inlineStr">
        <is>
          <t>None</t>
        </is>
      </c>
      <c r="AL625" s="17" t="n"/>
      <c r="AM625" s="16" t="n"/>
      <c r="AN625" s="20" t="inlineStr">
        <is>
          <t>IC Anionen</t>
        </is>
      </c>
      <c r="AO625" s="20" t="inlineStr">
        <is>
          <t>None</t>
        </is>
      </c>
      <c r="AP625" s="17" t="n"/>
      <c r="AQ625" s="16" t="n"/>
      <c r="AR625" s="20" t="n"/>
      <c r="AS625" s="20" t="inlineStr">
        <is>
          <t>None</t>
        </is>
      </c>
      <c r="AT625" s="17" t="n"/>
      <c r="AU625" s="16" t="n"/>
      <c r="AV625" s="20" t="n"/>
      <c r="AW625" s="20" t="inlineStr">
        <is>
          <t>None</t>
        </is>
      </c>
      <c r="AX625" s="17" t="n"/>
      <c r="AY625" s="16" t="n"/>
      <c r="AZ625" s="20" t="inlineStr">
        <is>
          <t>IC Anionen</t>
        </is>
      </c>
      <c r="BA625" s="20" t="inlineStr">
        <is>
          <t>None</t>
        </is>
      </c>
      <c r="BB625" s="17" t="n"/>
      <c r="BC625" s="16" t="n"/>
      <c r="BD625" s="20" t="inlineStr">
        <is>
          <t>IC Kationen</t>
        </is>
      </c>
      <c r="BE625" s="20" t="inlineStr">
        <is>
          <t>None</t>
        </is>
      </c>
      <c r="BF625" s="17" t="n"/>
      <c r="BG625" s="16" t="n"/>
      <c r="BH625" s="20" t="inlineStr">
        <is>
          <t>IC Kationen</t>
        </is>
      </c>
      <c r="BI625" s="20" t="inlineStr">
        <is>
          <t>None</t>
        </is>
      </c>
      <c r="BJ625" s="17" t="n"/>
      <c r="BK625" s="16" t="n"/>
      <c r="BL625" s="20" t="inlineStr">
        <is>
          <t>IC Kationen</t>
        </is>
      </c>
      <c r="BM625" s="20" t="inlineStr">
        <is>
          <t>None</t>
        </is>
      </c>
      <c r="BN625" s="17" t="n"/>
      <c r="BO625" s="16" t="n"/>
      <c r="BP625" s="20" t="inlineStr">
        <is>
          <t>IC Kationen</t>
        </is>
      </c>
      <c r="BQ625" s="20" t="inlineStr">
        <is>
          <t>None</t>
        </is>
      </c>
      <c r="BR625" s="17" t="n"/>
      <c r="BS625" s="16" t="n"/>
      <c r="BT625" s="20" t="inlineStr">
        <is>
          <t>IC Kationen</t>
        </is>
      </c>
      <c r="BU625" s="20" t="inlineStr">
        <is>
          <t>None</t>
        </is>
      </c>
      <c r="BV625" s="17" t="n"/>
      <c r="BW625" s="16" t="n"/>
      <c r="BX625" s="20" t="n"/>
      <c r="BY625" s="20" t="inlineStr">
        <is>
          <t>None</t>
        </is>
      </c>
      <c r="BZ625" s="17" t="n"/>
      <c r="CA625" s="16" t="n"/>
      <c r="CB625" s="20" t="n"/>
      <c r="CC625" s="20" t="inlineStr">
        <is>
          <t>None</t>
        </is>
      </c>
      <c r="CD625" s="17" t="n"/>
      <c r="CE625" s="16" t="n"/>
      <c r="CF625" s="20" t="n"/>
      <c r="CG625" s="20" t="inlineStr">
        <is>
          <t>None</t>
        </is>
      </c>
      <c r="CH625" s="17" t="n"/>
      <c r="CI625" s="16" t="n"/>
      <c r="CJ625" s="20" t="n"/>
      <c r="CK625" s="20" t="inlineStr">
        <is>
          <t>None</t>
        </is>
      </c>
      <c r="CL625" s="17" t="n"/>
      <c r="CM625" s="16" t="n"/>
      <c r="CN625" s="20" t="inlineStr">
        <is>
          <t>SOP 45-34</t>
        </is>
      </c>
      <c r="CO625" s="20" t="inlineStr">
        <is>
          <t>None</t>
        </is>
      </c>
      <c r="CP625" s="17" t="n"/>
      <c r="CQ625" s="16" t="n"/>
      <c r="CR625" s="20" t="n"/>
      <c r="CS625" s="20" t="inlineStr">
        <is>
          <t>None</t>
        </is>
      </c>
      <c r="CT625" s="17" t="n"/>
      <c r="CU625" s="16" t="n"/>
      <c r="CV625" s="20" t="n"/>
      <c r="CW625" s="20" t="inlineStr">
        <is>
          <t>None</t>
        </is>
      </c>
      <c r="CX625" s="17" t="n"/>
      <c r="CY625" s="16" t="n"/>
      <c r="CZ625" s="20" t="inlineStr">
        <is>
          <t>WTW Multimeter 3430 with FDO 925</t>
        </is>
      </c>
      <c r="DA625" s="20" t="inlineStr">
        <is>
          <t>None</t>
        </is>
      </c>
      <c r="DB625" s="17" t="n"/>
      <c r="DC625" s="16" t="n"/>
      <c r="DD625" s="20" t="n"/>
      <c r="DE625" s="20" t="inlineStr">
        <is>
          <t>None</t>
        </is>
      </c>
      <c r="DF625" s="17" t="n"/>
      <c r="DG625" s="16" t="n"/>
      <c r="DH625" s="20" t="inlineStr">
        <is>
          <t>SOP 45-09</t>
        </is>
      </c>
      <c r="DI625" s="20" t="inlineStr">
        <is>
          <t>None</t>
        </is>
      </c>
      <c r="DJ625" s="17" t="n"/>
      <c r="DK625" s="16" t="n"/>
      <c r="DL625" s="20" t="inlineStr">
        <is>
          <t>SOP 45-09 (SOP muss noch angepasst werden für VSS)</t>
        </is>
      </c>
      <c r="DM625" s="20" t="inlineStr">
        <is>
          <t>None</t>
        </is>
      </c>
      <c r="DN625" s="17" t="n"/>
      <c r="DO625" s="16" t="n"/>
      <c r="DP625" s="20" t="inlineStr">
        <is>
          <t>IC Organic Acids</t>
        </is>
      </c>
      <c r="DQ625" s="20" t="inlineStr">
        <is>
          <t>None</t>
        </is>
      </c>
      <c r="DR625" s="17" t="n"/>
      <c r="DS625" s="16" t="n"/>
      <c r="DT625" s="20" t="inlineStr">
        <is>
          <t>IC Organic Acids</t>
        </is>
      </c>
      <c r="DU625" s="20" t="inlineStr">
        <is>
          <t>None</t>
        </is>
      </c>
      <c r="DV625" s="17" t="n"/>
      <c r="DW625" s="16" t="n"/>
      <c r="DX625" s="20" t="inlineStr">
        <is>
          <t>IC Organic Acids</t>
        </is>
      </c>
      <c r="DY625" s="20" t="inlineStr">
        <is>
          <t>None</t>
        </is>
      </c>
      <c r="DZ625" s="17" t="n"/>
      <c r="EA625" s="16" t="n"/>
      <c r="EB625" s="20" t="inlineStr">
        <is>
          <t>IC Organic Acids</t>
        </is>
      </c>
      <c r="EC625" s="20" t="inlineStr">
        <is>
          <t>None</t>
        </is>
      </c>
      <c r="ED625" s="17" t="n"/>
      <c r="EE625" s="16" t="n"/>
      <c r="EF625" s="20" t="inlineStr">
        <is>
          <t>IC Organic Acids</t>
        </is>
      </c>
      <c r="EG625" s="20" t="inlineStr">
        <is>
          <t>None</t>
        </is>
      </c>
      <c r="EH625" s="17" t="n"/>
      <c r="EI625" s="16" t="n"/>
      <c r="EJ625" s="20" t="inlineStr">
        <is>
          <t>IC Organic Acids</t>
        </is>
      </c>
      <c r="EK625" s="20" t="inlineStr">
        <is>
          <t>None</t>
        </is>
      </c>
      <c r="EL625" s="17" t="n"/>
      <c r="EM625" s="16" t="n"/>
      <c r="EN625" s="20" t="inlineStr">
        <is>
          <t>IC Organic Acids</t>
        </is>
      </c>
      <c r="EO625" s="20" t="inlineStr">
        <is>
          <t>None</t>
        </is>
      </c>
      <c r="EP625" s="17" t="n"/>
      <c r="EQ625" s="16" t="n"/>
      <c r="ER625" s="20" t="inlineStr">
        <is>
          <t>IC Organic Acids</t>
        </is>
      </c>
      <c r="ES625" s="20" t="inlineStr">
        <is>
          <t>None</t>
        </is>
      </c>
      <c r="ET625" s="17" t="n"/>
      <c r="EU625" s="16" t="n"/>
      <c r="EV625" s="20" t="inlineStr">
        <is>
          <t>LC-MS</t>
        </is>
      </c>
      <c r="EW625" s="20" t="inlineStr">
        <is>
          <t>None</t>
        </is>
      </c>
      <c r="EX625" s="17" t="n"/>
      <c r="EY625" s="21" t="n"/>
      <c r="EZ625">
        <f>CONCATENATE(A625,B625)</f>
        <v/>
      </c>
      <c r="FA625">
        <f>CONCATENATE(SamplesX!A625,SamplesX!B625)</f>
        <v/>
      </c>
      <c r="FC625">
        <f>MATCH(EZ625,FA1:FA1008,0)</f>
        <v/>
      </c>
    </row>
    <row r="626">
      <c r="A626" s="16" t="n"/>
      <c r="B626" s="17" t="n"/>
      <c r="C626" s="10">
        <f>IF(ISNUMBER(FC626),INDIRECT("SamplesX!C"&amp;FC626),IF(ISNUMBER(FD626),INDIRECT("SamplesY!C"&amp;FD626),""))</f>
        <v/>
      </c>
      <c r="D626" s="12">
        <f>IF(ISNUMBER(FC626),INDIRECT("SamplesX!D"&amp;FC626),IF(ISNUMBER(FD626),INDIRECT("SamplesY!D"&amp;FD626),""))</f>
        <v/>
      </c>
      <c r="E626" s="12">
        <f>IF(ISNUMBER(FC626),INDIRECT("SamplesX!E"&amp;FC626),IF(ISNUMBER(FD626),INDIRECT("SamplesY!E"&amp;FD626),""))</f>
        <v/>
      </c>
      <c r="F626" s="11">
        <f>IF(ISNUMBER(FC626),INDIRECT("SamplesX!F"&amp;FC626),IF(ISNUMBER(FD626),INDIRECT("SamplesY!F"&amp;FD626),""))</f>
        <v/>
      </c>
      <c r="G626" s="18">
        <f>IF(ISNUMBER(FC626),INDIRECT("SamplesX!G"&amp;FC626),IF(ISNUMBER(FD626),INDIRECT("SamplesY!G"&amp;FD626),""))</f>
        <v/>
      </c>
      <c r="H626" s="19">
        <f>IF(ISNUMBER(FC626),INDIRECT("SamplesX!H"&amp;FC626),IF(ISNUMBER(FD626),INDIRECT("SamplesY!H"&amp;FD626),""))</f>
        <v/>
      </c>
      <c r="I626" s="16" t="n"/>
      <c r="J626" s="16" t="n"/>
      <c r="K626" s="16" t="n"/>
      <c r="L626" s="20" t="n"/>
      <c r="M626" s="20" t="inlineStr">
        <is>
          <t>None</t>
        </is>
      </c>
      <c r="N626" s="17" t="n"/>
      <c r="O626" s="16" t="n"/>
      <c r="P626" s="20" t="inlineStr">
        <is>
          <t>Shimadzu TOC-L</t>
        </is>
      </c>
      <c r="Q626" s="20" t="inlineStr">
        <is>
          <t>None</t>
        </is>
      </c>
      <c r="R626" s="17" t="n"/>
      <c r="S626" s="16" t="n"/>
      <c r="T626" s="20" t="inlineStr">
        <is>
          <t>Shimadzu TOC-L</t>
        </is>
      </c>
      <c r="U626" s="20" t="inlineStr">
        <is>
          <t>None</t>
        </is>
      </c>
      <c r="V626" s="17" t="n"/>
      <c r="W626" s="16" t="n"/>
      <c r="X626" s="20" t="n"/>
      <c r="Y626" s="20" t="inlineStr">
        <is>
          <t>None</t>
        </is>
      </c>
      <c r="Z626" s="17" t="n"/>
      <c r="AA626" s="16" t="n"/>
      <c r="AB626" s="20" t="n"/>
      <c r="AC626" s="20" t="inlineStr">
        <is>
          <t>None</t>
        </is>
      </c>
      <c r="AD626" s="17" t="n"/>
      <c r="AE626" s="16" t="n"/>
      <c r="AF626" s="20" t="inlineStr">
        <is>
          <t>IC Anionen</t>
        </is>
      </c>
      <c r="AG626" s="20" t="inlineStr">
        <is>
          <t>None</t>
        </is>
      </c>
      <c r="AH626" s="17" t="n"/>
      <c r="AI626" s="16" t="n"/>
      <c r="AJ626" s="20" t="n"/>
      <c r="AK626" s="20" t="inlineStr">
        <is>
          <t>None</t>
        </is>
      </c>
      <c r="AL626" s="17" t="n"/>
      <c r="AM626" s="16" t="n"/>
      <c r="AN626" s="20" t="inlineStr">
        <is>
          <t>IC Anionen</t>
        </is>
      </c>
      <c r="AO626" s="20" t="inlineStr">
        <is>
          <t>None</t>
        </is>
      </c>
      <c r="AP626" s="17" t="n"/>
      <c r="AQ626" s="16" t="n"/>
      <c r="AR626" s="20" t="n"/>
      <c r="AS626" s="20" t="inlineStr">
        <is>
          <t>None</t>
        </is>
      </c>
      <c r="AT626" s="17" t="n"/>
      <c r="AU626" s="16" t="n"/>
      <c r="AV626" s="20" t="n"/>
      <c r="AW626" s="20" t="inlineStr">
        <is>
          <t>None</t>
        </is>
      </c>
      <c r="AX626" s="17" t="n"/>
      <c r="AY626" s="16" t="n"/>
      <c r="AZ626" s="20" t="inlineStr">
        <is>
          <t>IC Anionen</t>
        </is>
      </c>
      <c r="BA626" s="20" t="inlineStr">
        <is>
          <t>None</t>
        </is>
      </c>
      <c r="BB626" s="17" t="n"/>
      <c r="BC626" s="16" t="n"/>
      <c r="BD626" s="20" t="inlineStr">
        <is>
          <t>IC Kationen</t>
        </is>
      </c>
      <c r="BE626" s="20" t="inlineStr">
        <is>
          <t>None</t>
        </is>
      </c>
      <c r="BF626" s="17" t="n"/>
      <c r="BG626" s="16" t="n"/>
      <c r="BH626" s="20" t="inlineStr">
        <is>
          <t>IC Kationen</t>
        </is>
      </c>
      <c r="BI626" s="20" t="inlineStr">
        <is>
          <t>None</t>
        </is>
      </c>
      <c r="BJ626" s="17" t="n"/>
      <c r="BK626" s="16" t="n"/>
      <c r="BL626" s="20" t="inlineStr">
        <is>
          <t>IC Kationen</t>
        </is>
      </c>
      <c r="BM626" s="20" t="inlineStr">
        <is>
          <t>None</t>
        </is>
      </c>
      <c r="BN626" s="17" t="n"/>
      <c r="BO626" s="16" t="n"/>
      <c r="BP626" s="20" t="inlineStr">
        <is>
          <t>IC Kationen</t>
        </is>
      </c>
      <c r="BQ626" s="20" t="inlineStr">
        <is>
          <t>None</t>
        </is>
      </c>
      <c r="BR626" s="17" t="n"/>
      <c r="BS626" s="16" t="n"/>
      <c r="BT626" s="20" t="inlineStr">
        <is>
          <t>IC Kationen</t>
        </is>
      </c>
      <c r="BU626" s="20" t="inlineStr">
        <is>
          <t>None</t>
        </is>
      </c>
      <c r="BV626" s="17" t="n"/>
      <c r="BW626" s="16" t="n"/>
      <c r="BX626" s="20" t="n"/>
      <c r="BY626" s="20" t="inlineStr">
        <is>
          <t>None</t>
        </is>
      </c>
      <c r="BZ626" s="17" t="n"/>
      <c r="CA626" s="16" t="n"/>
      <c r="CB626" s="20" t="n"/>
      <c r="CC626" s="20" t="inlineStr">
        <is>
          <t>None</t>
        </is>
      </c>
      <c r="CD626" s="17" t="n"/>
      <c r="CE626" s="16" t="n"/>
      <c r="CF626" s="20" t="n"/>
      <c r="CG626" s="20" t="inlineStr">
        <is>
          <t>None</t>
        </is>
      </c>
      <c r="CH626" s="17" t="n"/>
      <c r="CI626" s="16" t="n"/>
      <c r="CJ626" s="20" t="n"/>
      <c r="CK626" s="20" t="inlineStr">
        <is>
          <t>None</t>
        </is>
      </c>
      <c r="CL626" s="17" t="n"/>
      <c r="CM626" s="16" t="n"/>
      <c r="CN626" s="20" t="inlineStr">
        <is>
          <t>SOP 45-34</t>
        </is>
      </c>
      <c r="CO626" s="20" t="inlineStr">
        <is>
          <t>None</t>
        </is>
      </c>
      <c r="CP626" s="17" t="n"/>
      <c r="CQ626" s="16" t="n"/>
      <c r="CR626" s="20" t="n"/>
      <c r="CS626" s="20" t="inlineStr">
        <is>
          <t>None</t>
        </is>
      </c>
      <c r="CT626" s="17" t="n"/>
      <c r="CU626" s="16" t="n"/>
      <c r="CV626" s="20" t="n"/>
      <c r="CW626" s="20" t="inlineStr">
        <is>
          <t>None</t>
        </is>
      </c>
      <c r="CX626" s="17" t="n"/>
      <c r="CY626" s="16" t="n"/>
      <c r="CZ626" s="20" t="inlineStr">
        <is>
          <t>WTW Multimeter 3430 with FDO 925</t>
        </is>
      </c>
      <c r="DA626" s="20" t="inlineStr">
        <is>
          <t>None</t>
        </is>
      </c>
      <c r="DB626" s="17" t="n"/>
      <c r="DC626" s="16" t="n"/>
      <c r="DD626" s="20" t="n"/>
      <c r="DE626" s="20" t="inlineStr">
        <is>
          <t>None</t>
        </is>
      </c>
      <c r="DF626" s="17" t="n"/>
      <c r="DG626" s="16" t="n"/>
      <c r="DH626" s="20" t="inlineStr">
        <is>
          <t>SOP 45-09</t>
        </is>
      </c>
      <c r="DI626" s="20" t="inlineStr">
        <is>
          <t>None</t>
        </is>
      </c>
      <c r="DJ626" s="17" t="n"/>
      <c r="DK626" s="16" t="n"/>
      <c r="DL626" s="20" t="inlineStr">
        <is>
          <t>SOP 45-09 (SOP muss noch angepasst werden für VSS)</t>
        </is>
      </c>
      <c r="DM626" s="20" t="inlineStr">
        <is>
          <t>None</t>
        </is>
      </c>
      <c r="DN626" s="17" t="n"/>
      <c r="DO626" s="16" t="n"/>
      <c r="DP626" s="20" t="inlineStr">
        <is>
          <t>IC Organic Acids</t>
        </is>
      </c>
      <c r="DQ626" s="20" t="inlineStr">
        <is>
          <t>None</t>
        </is>
      </c>
      <c r="DR626" s="17" t="n"/>
      <c r="DS626" s="16" t="n"/>
      <c r="DT626" s="20" t="inlineStr">
        <is>
          <t>IC Organic Acids</t>
        </is>
      </c>
      <c r="DU626" s="20" t="inlineStr">
        <is>
          <t>None</t>
        </is>
      </c>
      <c r="DV626" s="17" t="n"/>
      <c r="DW626" s="16" t="n"/>
      <c r="DX626" s="20" t="inlineStr">
        <is>
          <t>IC Organic Acids</t>
        </is>
      </c>
      <c r="DY626" s="20" t="inlineStr">
        <is>
          <t>None</t>
        </is>
      </c>
      <c r="DZ626" s="17" t="n"/>
      <c r="EA626" s="16" t="n"/>
      <c r="EB626" s="20" t="inlineStr">
        <is>
          <t>IC Organic Acids</t>
        </is>
      </c>
      <c r="EC626" s="20" t="inlineStr">
        <is>
          <t>None</t>
        </is>
      </c>
      <c r="ED626" s="17" t="n"/>
      <c r="EE626" s="16" t="n"/>
      <c r="EF626" s="20" t="inlineStr">
        <is>
          <t>IC Organic Acids</t>
        </is>
      </c>
      <c r="EG626" s="20" t="inlineStr">
        <is>
          <t>None</t>
        </is>
      </c>
      <c r="EH626" s="17" t="n"/>
      <c r="EI626" s="16" t="n"/>
      <c r="EJ626" s="20" t="inlineStr">
        <is>
          <t>IC Organic Acids</t>
        </is>
      </c>
      <c r="EK626" s="20" t="inlineStr">
        <is>
          <t>None</t>
        </is>
      </c>
      <c r="EL626" s="17" t="n"/>
      <c r="EM626" s="16" t="n"/>
      <c r="EN626" s="20" t="inlineStr">
        <is>
          <t>IC Organic Acids</t>
        </is>
      </c>
      <c r="EO626" s="20" t="inlineStr">
        <is>
          <t>None</t>
        </is>
      </c>
      <c r="EP626" s="17" t="n"/>
      <c r="EQ626" s="16" t="n"/>
      <c r="ER626" s="20" t="inlineStr">
        <is>
          <t>IC Organic Acids</t>
        </is>
      </c>
      <c r="ES626" s="20" t="inlineStr">
        <is>
          <t>None</t>
        </is>
      </c>
      <c r="ET626" s="17" t="n"/>
      <c r="EU626" s="16" t="n"/>
      <c r="EV626" s="20" t="inlineStr">
        <is>
          <t>LC-MS</t>
        </is>
      </c>
      <c r="EW626" s="20" t="inlineStr">
        <is>
          <t>None</t>
        </is>
      </c>
      <c r="EX626" s="17" t="n"/>
      <c r="EY626" s="21" t="n"/>
      <c r="EZ626">
        <f>CONCATENATE(A626,B626)</f>
        <v/>
      </c>
      <c r="FA626">
        <f>CONCATENATE(SamplesX!A626,SamplesX!B626)</f>
        <v/>
      </c>
      <c r="FC626">
        <f>MATCH(EZ626,FA1:FA1008,0)</f>
        <v/>
      </c>
    </row>
    <row r="627">
      <c r="A627" s="16" t="n"/>
      <c r="B627" s="17" t="n"/>
      <c r="C627" s="10">
        <f>IF(ISNUMBER(FC627),INDIRECT("SamplesX!C"&amp;FC627),IF(ISNUMBER(FD627),INDIRECT("SamplesY!C"&amp;FD627),""))</f>
        <v/>
      </c>
      <c r="D627" s="12">
        <f>IF(ISNUMBER(FC627),INDIRECT("SamplesX!D"&amp;FC627),IF(ISNUMBER(FD627),INDIRECT("SamplesY!D"&amp;FD627),""))</f>
        <v/>
      </c>
      <c r="E627" s="12">
        <f>IF(ISNUMBER(FC627),INDIRECT("SamplesX!E"&amp;FC627),IF(ISNUMBER(FD627),INDIRECT("SamplesY!E"&amp;FD627),""))</f>
        <v/>
      </c>
      <c r="F627" s="11">
        <f>IF(ISNUMBER(FC627),INDIRECT("SamplesX!F"&amp;FC627),IF(ISNUMBER(FD627),INDIRECT("SamplesY!F"&amp;FD627),""))</f>
        <v/>
      </c>
      <c r="G627" s="18">
        <f>IF(ISNUMBER(FC627),INDIRECT("SamplesX!G"&amp;FC627),IF(ISNUMBER(FD627),INDIRECT("SamplesY!G"&amp;FD627),""))</f>
        <v/>
      </c>
      <c r="H627" s="19">
        <f>IF(ISNUMBER(FC627),INDIRECT("SamplesX!H"&amp;FC627),IF(ISNUMBER(FD627),INDIRECT("SamplesY!H"&amp;FD627),""))</f>
        <v/>
      </c>
      <c r="I627" s="16" t="n"/>
      <c r="J627" s="16" t="n"/>
      <c r="K627" s="16" t="n"/>
      <c r="L627" s="20" t="n"/>
      <c r="M627" s="20" t="inlineStr">
        <is>
          <t>None</t>
        </is>
      </c>
      <c r="N627" s="17" t="n"/>
      <c r="O627" s="16" t="n"/>
      <c r="P627" s="20" t="inlineStr">
        <is>
          <t>Shimadzu TOC-L</t>
        </is>
      </c>
      <c r="Q627" s="20" t="inlineStr">
        <is>
          <t>None</t>
        </is>
      </c>
      <c r="R627" s="17" t="n"/>
      <c r="S627" s="16" t="n"/>
      <c r="T627" s="20" t="inlineStr">
        <is>
          <t>Shimadzu TOC-L</t>
        </is>
      </c>
      <c r="U627" s="20" t="inlineStr">
        <is>
          <t>None</t>
        </is>
      </c>
      <c r="V627" s="17" t="n"/>
      <c r="W627" s="16" t="n"/>
      <c r="X627" s="20" t="n"/>
      <c r="Y627" s="20" t="inlineStr">
        <is>
          <t>None</t>
        </is>
      </c>
      <c r="Z627" s="17" t="n"/>
      <c r="AA627" s="16" t="n"/>
      <c r="AB627" s="20" t="n"/>
      <c r="AC627" s="20" t="inlineStr">
        <is>
          <t>None</t>
        </is>
      </c>
      <c r="AD627" s="17" t="n"/>
      <c r="AE627" s="16" t="n"/>
      <c r="AF627" s="20" t="inlineStr">
        <is>
          <t>IC Anionen</t>
        </is>
      </c>
      <c r="AG627" s="20" t="inlineStr">
        <is>
          <t>None</t>
        </is>
      </c>
      <c r="AH627" s="17" t="n"/>
      <c r="AI627" s="16" t="n"/>
      <c r="AJ627" s="20" t="n"/>
      <c r="AK627" s="20" t="inlineStr">
        <is>
          <t>None</t>
        </is>
      </c>
      <c r="AL627" s="17" t="n"/>
      <c r="AM627" s="16" t="n"/>
      <c r="AN627" s="20" t="inlineStr">
        <is>
          <t>IC Anionen</t>
        </is>
      </c>
      <c r="AO627" s="20" t="inlineStr">
        <is>
          <t>None</t>
        </is>
      </c>
      <c r="AP627" s="17" t="n"/>
      <c r="AQ627" s="16" t="n"/>
      <c r="AR627" s="20" t="n"/>
      <c r="AS627" s="20" t="inlineStr">
        <is>
          <t>None</t>
        </is>
      </c>
      <c r="AT627" s="17" t="n"/>
      <c r="AU627" s="16" t="n"/>
      <c r="AV627" s="20" t="n"/>
      <c r="AW627" s="20" t="inlineStr">
        <is>
          <t>None</t>
        </is>
      </c>
      <c r="AX627" s="17" t="n"/>
      <c r="AY627" s="16" t="n"/>
      <c r="AZ627" s="20" t="inlineStr">
        <is>
          <t>IC Anionen</t>
        </is>
      </c>
      <c r="BA627" s="20" t="inlineStr">
        <is>
          <t>None</t>
        </is>
      </c>
      <c r="BB627" s="17" t="n"/>
      <c r="BC627" s="16" t="n"/>
      <c r="BD627" s="20" t="inlineStr">
        <is>
          <t>IC Kationen</t>
        </is>
      </c>
      <c r="BE627" s="20" t="inlineStr">
        <is>
          <t>None</t>
        </is>
      </c>
      <c r="BF627" s="17" t="n"/>
      <c r="BG627" s="16" t="n"/>
      <c r="BH627" s="20" t="inlineStr">
        <is>
          <t>IC Kationen</t>
        </is>
      </c>
      <c r="BI627" s="20" t="inlineStr">
        <is>
          <t>None</t>
        </is>
      </c>
      <c r="BJ627" s="17" t="n"/>
      <c r="BK627" s="16" t="n"/>
      <c r="BL627" s="20" t="inlineStr">
        <is>
          <t>IC Kationen</t>
        </is>
      </c>
      <c r="BM627" s="20" t="inlineStr">
        <is>
          <t>None</t>
        </is>
      </c>
      <c r="BN627" s="17" t="n"/>
      <c r="BO627" s="16" t="n"/>
      <c r="BP627" s="20" t="inlineStr">
        <is>
          <t>IC Kationen</t>
        </is>
      </c>
      <c r="BQ627" s="20" t="inlineStr">
        <is>
          <t>None</t>
        </is>
      </c>
      <c r="BR627" s="17" t="n"/>
      <c r="BS627" s="16" t="n"/>
      <c r="BT627" s="20" t="inlineStr">
        <is>
          <t>IC Kationen</t>
        </is>
      </c>
      <c r="BU627" s="20" t="inlineStr">
        <is>
          <t>None</t>
        </is>
      </c>
      <c r="BV627" s="17" t="n"/>
      <c r="BW627" s="16" t="n"/>
      <c r="BX627" s="20" t="n"/>
      <c r="BY627" s="20" t="inlineStr">
        <is>
          <t>None</t>
        </is>
      </c>
      <c r="BZ627" s="17" t="n"/>
      <c r="CA627" s="16" t="n"/>
      <c r="CB627" s="20" t="n"/>
      <c r="CC627" s="20" t="inlineStr">
        <is>
          <t>None</t>
        </is>
      </c>
      <c r="CD627" s="17" t="n"/>
      <c r="CE627" s="16" t="n"/>
      <c r="CF627" s="20" t="n"/>
      <c r="CG627" s="20" t="inlineStr">
        <is>
          <t>None</t>
        </is>
      </c>
      <c r="CH627" s="17" t="n"/>
      <c r="CI627" s="16" t="n"/>
      <c r="CJ627" s="20" t="n"/>
      <c r="CK627" s="20" t="inlineStr">
        <is>
          <t>None</t>
        </is>
      </c>
      <c r="CL627" s="17" t="n"/>
      <c r="CM627" s="16" t="n"/>
      <c r="CN627" s="20" t="inlineStr">
        <is>
          <t>SOP 45-34</t>
        </is>
      </c>
      <c r="CO627" s="20" t="inlineStr">
        <is>
          <t>None</t>
        </is>
      </c>
      <c r="CP627" s="17" t="n"/>
      <c r="CQ627" s="16" t="n"/>
      <c r="CR627" s="20" t="n"/>
      <c r="CS627" s="20" t="inlineStr">
        <is>
          <t>None</t>
        </is>
      </c>
      <c r="CT627" s="17" t="n"/>
      <c r="CU627" s="16" t="n"/>
      <c r="CV627" s="20" t="n"/>
      <c r="CW627" s="20" t="inlineStr">
        <is>
          <t>None</t>
        </is>
      </c>
      <c r="CX627" s="17" t="n"/>
      <c r="CY627" s="16" t="n"/>
      <c r="CZ627" s="20" t="inlineStr">
        <is>
          <t>WTW Multimeter 3430 with FDO 925</t>
        </is>
      </c>
      <c r="DA627" s="20" t="inlineStr">
        <is>
          <t>None</t>
        </is>
      </c>
      <c r="DB627" s="17" t="n"/>
      <c r="DC627" s="16" t="n"/>
      <c r="DD627" s="20" t="n"/>
      <c r="DE627" s="20" t="inlineStr">
        <is>
          <t>None</t>
        </is>
      </c>
      <c r="DF627" s="17" t="n"/>
      <c r="DG627" s="16" t="n"/>
      <c r="DH627" s="20" t="inlineStr">
        <is>
          <t>SOP 45-09</t>
        </is>
      </c>
      <c r="DI627" s="20" t="inlineStr">
        <is>
          <t>None</t>
        </is>
      </c>
      <c r="DJ627" s="17" t="n"/>
      <c r="DK627" s="16" t="n"/>
      <c r="DL627" s="20" t="inlineStr">
        <is>
          <t>SOP 45-09 (SOP muss noch angepasst werden für VSS)</t>
        </is>
      </c>
      <c r="DM627" s="20" t="inlineStr">
        <is>
          <t>None</t>
        </is>
      </c>
      <c r="DN627" s="17" t="n"/>
      <c r="DO627" s="16" t="n"/>
      <c r="DP627" s="20" t="inlineStr">
        <is>
          <t>IC Organic Acids</t>
        </is>
      </c>
      <c r="DQ627" s="20" t="inlineStr">
        <is>
          <t>None</t>
        </is>
      </c>
      <c r="DR627" s="17" t="n"/>
      <c r="DS627" s="16" t="n"/>
      <c r="DT627" s="20" t="inlineStr">
        <is>
          <t>IC Organic Acids</t>
        </is>
      </c>
      <c r="DU627" s="20" t="inlineStr">
        <is>
          <t>None</t>
        </is>
      </c>
      <c r="DV627" s="17" t="n"/>
      <c r="DW627" s="16" t="n"/>
      <c r="DX627" s="20" t="inlineStr">
        <is>
          <t>IC Organic Acids</t>
        </is>
      </c>
      <c r="DY627" s="20" t="inlineStr">
        <is>
          <t>None</t>
        </is>
      </c>
      <c r="DZ627" s="17" t="n"/>
      <c r="EA627" s="16" t="n"/>
      <c r="EB627" s="20" t="inlineStr">
        <is>
          <t>IC Organic Acids</t>
        </is>
      </c>
      <c r="EC627" s="20" t="inlineStr">
        <is>
          <t>None</t>
        </is>
      </c>
      <c r="ED627" s="17" t="n"/>
      <c r="EE627" s="16" t="n"/>
      <c r="EF627" s="20" t="inlineStr">
        <is>
          <t>IC Organic Acids</t>
        </is>
      </c>
      <c r="EG627" s="20" t="inlineStr">
        <is>
          <t>None</t>
        </is>
      </c>
      <c r="EH627" s="17" t="n"/>
      <c r="EI627" s="16" t="n"/>
      <c r="EJ627" s="20" t="inlineStr">
        <is>
          <t>IC Organic Acids</t>
        </is>
      </c>
      <c r="EK627" s="20" t="inlineStr">
        <is>
          <t>None</t>
        </is>
      </c>
      <c r="EL627" s="17" t="n"/>
      <c r="EM627" s="16" t="n"/>
      <c r="EN627" s="20" t="inlineStr">
        <is>
          <t>IC Organic Acids</t>
        </is>
      </c>
      <c r="EO627" s="20" t="inlineStr">
        <is>
          <t>None</t>
        </is>
      </c>
      <c r="EP627" s="17" t="n"/>
      <c r="EQ627" s="16" t="n"/>
      <c r="ER627" s="20" t="inlineStr">
        <is>
          <t>IC Organic Acids</t>
        </is>
      </c>
      <c r="ES627" s="20" t="inlineStr">
        <is>
          <t>None</t>
        </is>
      </c>
      <c r="ET627" s="17" t="n"/>
      <c r="EU627" s="16" t="n"/>
      <c r="EV627" s="20" t="inlineStr">
        <is>
          <t>LC-MS</t>
        </is>
      </c>
      <c r="EW627" s="20" t="inlineStr">
        <is>
          <t>None</t>
        </is>
      </c>
      <c r="EX627" s="17" t="n"/>
      <c r="EY627" s="21" t="n"/>
      <c r="EZ627">
        <f>CONCATENATE(A627,B627)</f>
        <v/>
      </c>
      <c r="FA627">
        <f>CONCATENATE(SamplesX!A627,SamplesX!B627)</f>
        <v/>
      </c>
      <c r="FC627">
        <f>MATCH(EZ627,FA1:FA1008,0)</f>
        <v/>
      </c>
    </row>
    <row r="628">
      <c r="A628" s="16" t="n"/>
      <c r="B628" s="17" t="n"/>
      <c r="C628" s="10">
        <f>IF(ISNUMBER(FC628),INDIRECT("SamplesX!C"&amp;FC628),IF(ISNUMBER(FD628),INDIRECT("SamplesY!C"&amp;FD628),""))</f>
        <v/>
      </c>
      <c r="D628" s="12">
        <f>IF(ISNUMBER(FC628),INDIRECT("SamplesX!D"&amp;FC628),IF(ISNUMBER(FD628),INDIRECT("SamplesY!D"&amp;FD628),""))</f>
        <v/>
      </c>
      <c r="E628" s="12">
        <f>IF(ISNUMBER(FC628),INDIRECT("SamplesX!E"&amp;FC628),IF(ISNUMBER(FD628),INDIRECT("SamplesY!E"&amp;FD628),""))</f>
        <v/>
      </c>
      <c r="F628" s="11">
        <f>IF(ISNUMBER(FC628),INDIRECT("SamplesX!F"&amp;FC628),IF(ISNUMBER(FD628),INDIRECT("SamplesY!F"&amp;FD628),""))</f>
        <v/>
      </c>
      <c r="G628" s="18">
        <f>IF(ISNUMBER(FC628),INDIRECT("SamplesX!G"&amp;FC628),IF(ISNUMBER(FD628),INDIRECT("SamplesY!G"&amp;FD628),""))</f>
        <v/>
      </c>
      <c r="H628" s="19">
        <f>IF(ISNUMBER(FC628),INDIRECT("SamplesX!H"&amp;FC628),IF(ISNUMBER(FD628),INDIRECT("SamplesY!H"&amp;FD628),""))</f>
        <v/>
      </c>
      <c r="I628" s="16" t="n"/>
      <c r="J628" s="16" t="n"/>
      <c r="K628" s="16" t="n"/>
      <c r="L628" s="20" t="n"/>
      <c r="M628" s="20" t="inlineStr">
        <is>
          <t>None</t>
        </is>
      </c>
      <c r="N628" s="17" t="n"/>
      <c r="O628" s="16" t="n"/>
      <c r="P628" s="20" t="inlineStr">
        <is>
          <t>Shimadzu TOC-L</t>
        </is>
      </c>
      <c r="Q628" s="20" t="inlineStr">
        <is>
          <t>None</t>
        </is>
      </c>
      <c r="R628" s="17" t="n"/>
      <c r="S628" s="16" t="n"/>
      <c r="T628" s="20" t="inlineStr">
        <is>
          <t>Shimadzu TOC-L</t>
        </is>
      </c>
      <c r="U628" s="20" t="inlineStr">
        <is>
          <t>None</t>
        </is>
      </c>
      <c r="V628" s="17" t="n"/>
      <c r="W628" s="16" t="n"/>
      <c r="X628" s="20" t="n"/>
      <c r="Y628" s="20" t="inlineStr">
        <is>
          <t>None</t>
        </is>
      </c>
      <c r="Z628" s="17" t="n"/>
      <c r="AA628" s="16" t="n"/>
      <c r="AB628" s="20" t="n"/>
      <c r="AC628" s="20" t="inlineStr">
        <is>
          <t>None</t>
        </is>
      </c>
      <c r="AD628" s="17" t="n"/>
      <c r="AE628" s="16" t="n"/>
      <c r="AF628" s="20" t="inlineStr">
        <is>
          <t>IC Anionen</t>
        </is>
      </c>
      <c r="AG628" s="20" t="inlineStr">
        <is>
          <t>None</t>
        </is>
      </c>
      <c r="AH628" s="17" t="n"/>
      <c r="AI628" s="16" t="n"/>
      <c r="AJ628" s="20" t="n"/>
      <c r="AK628" s="20" t="inlineStr">
        <is>
          <t>None</t>
        </is>
      </c>
      <c r="AL628" s="17" t="n"/>
      <c r="AM628" s="16" t="n"/>
      <c r="AN628" s="20" t="inlineStr">
        <is>
          <t>IC Anionen</t>
        </is>
      </c>
      <c r="AO628" s="20" t="inlineStr">
        <is>
          <t>None</t>
        </is>
      </c>
      <c r="AP628" s="17" t="n"/>
      <c r="AQ628" s="16" t="n"/>
      <c r="AR628" s="20" t="n"/>
      <c r="AS628" s="20" t="inlineStr">
        <is>
          <t>None</t>
        </is>
      </c>
      <c r="AT628" s="17" t="n"/>
      <c r="AU628" s="16" t="n"/>
      <c r="AV628" s="20" t="n"/>
      <c r="AW628" s="20" t="inlineStr">
        <is>
          <t>None</t>
        </is>
      </c>
      <c r="AX628" s="17" t="n"/>
      <c r="AY628" s="16" t="n"/>
      <c r="AZ628" s="20" t="inlineStr">
        <is>
          <t>IC Anionen</t>
        </is>
      </c>
      <c r="BA628" s="20" t="inlineStr">
        <is>
          <t>None</t>
        </is>
      </c>
      <c r="BB628" s="17" t="n"/>
      <c r="BC628" s="16" t="n"/>
      <c r="BD628" s="20" t="inlineStr">
        <is>
          <t>IC Kationen</t>
        </is>
      </c>
      <c r="BE628" s="20" t="inlineStr">
        <is>
          <t>None</t>
        </is>
      </c>
      <c r="BF628" s="17" t="n"/>
      <c r="BG628" s="16" t="n"/>
      <c r="BH628" s="20" t="inlineStr">
        <is>
          <t>IC Kationen</t>
        </is>
      </c>
      <c r="BI628" s="20" t="inlineStr">
        <is>
          <t>None</t>
        </is>
      </c>
      <c r="BJ628" s="17" t="n"/>
      <c r="BK628" s="16" t="n"/>
      <c r="BL628" s="20" t="inlineStr">
        <is>
          <t>IC Kationen</t>
        </is>
      </c>
      <c r="BM628" s="20" t="inlineStr">
        <is>
          <t>None</t>
        </is>
      </c>
      <c r="BN628" s="17" t="n"/>
      <c r="BO628" s="16" t="n"/>
      <c r="BP628" s="20" t="inlineStr">
        <is>
          <t>IC Kationen</t>
        </is>
      </c>
      <c r="BQ628" s="20" t="inlineStr">
        <is>
          <t>None</t>
        </is>
      </c>
      <c r="BR628" s="17" t="n"/>
      <c r="BS628" s="16" t="n"/>
      <c r="BT628" s="20" t="inlineStr">
        <is>
          <t>IC Kationen</t>
        </is>
      </c>
      <c r="BU628" s="20" t="inlineStr">
        <is>
          <t>None</t>
        </is>
      </c>
      <c r="BV628" s="17" t="n"/>
      <c r="BW628" s="16" t="n"/>
      <c r="BX628" s="20" t="n"/>
      <c r="BY628" s="20" t="inlineStr">
        <is>
          <t>None</t>
        </is>
      </c>
      <c r="BZ628" s="17" t="n"/>
      <c r="CA628" s="16" t="n"/>
      <c r="CB628" s="20" t="n"/>
      <c r="CC628" s="20" t="inlineStr">
        <is>
          <t>None</t>
        </is>
      </c>
      <c r="CD628" s="17" t="n"/>
      <c r="CE628" s="16" t="n"/>
      <c r="CF628" s="20" t="n"/>
      <c r="CG628" s="20" t="inlineStr">
        <is>
          <t>None</t>
        </is>
      </c>
      <c r="CH628" s="17" t="n"/>
      <c r="CI628" s="16" t="n"/>
      <c r="CJ628" s="20" t="n"/>
      <c r="CK628" s="20" t="inlineStr">
        <is>
          <t>None</t>
        </is>
      </c>
      <c r="CL628" s="17" t="n"/>
      <c r="CM628" s="16" t="n"/>
      <c r="CN628" s="20" t="inlineStr">
        <is>
          <t>SOP 45-34</t>
        </is>
      </c>
      <c r="CO628" s="20" t="inlineStr">
        <is>
          <t>None</t>
        </is>
      </c>
      <c r="CP628" s="17" t="n"/>
      <c r="CQ628" s="16" t="n"/>
      <c r="CR628" s="20" t="n"/>
      <c r="CS628" s="20" t="inlineStr">
        <is>
          <t>None</t>
        </is>
      </c>
      <c r="CT628" s="17" t="n"/>
      <c r="CU628" s="16" t="n"/>
      <c r="CV628" s="20" t="n"/>
      <c r="CW628" s="20" t="inlineStr">
        <is>
          <t>None</t>
        </is>
      </c>
      <c r="CX628" s="17" t="n"/>
      <c r="CY628" s="16" t="n"/>
      <c r="CZ628" s="20" t="inlineStr">
        <is>
          <t>WTW Multimeter 3430 with FDO 925</t>
        </is>
      </c>
      <c r="DA628" s="20" t="inlineStr">
        <is>
          <t>None</t>
        </is>
      </c>
      <c r="DB628" s="17" t="n"/>
      <c r="DC628" s="16" t="n"/>
      <c r="DD628" s="20" t="n"/>
      <c r="DE628" s="20" t="inlineStr">
        <is>
          <t>None</t>
        </is>
      </c>
      <c r="DF628" s="17" t="n"/>
      <c r="DG628" s="16" t="n"/>
      <c r="DH628" s="20" t="inlineStr">
        <is>
          <t>SOP 45-09</t>
        </is>
      </c>
      <c r="DI628" s="20" t="inlineStr">
        <is>
          <t>None</t>
        </is>
      </c>
      <c r="DJ628" s="17" t="n"/>
      <c r="DK628" s="16" t="n"/>
      <c r="DL628" s="20" t="inlineStr">
        <is>
          <t>SOP 45-09 (SOP muss noch angepasst werden für VSS)</t>
        </is>
      </c>
      <c r="DM628" s="20" t="inlineStr">
        <is>
          <t>None</t>
        </is>
      </c>
      <c r="DN628" s="17" t="n"/>
      <c r="DO628" s="16" t="n"/>
      <c r="DP628" s="20" t="inlineStr">
        <is>
          <t>IC Organic Acids</t>
        </is>
      </c>
      <c r="DQ628" s="20" t="inlineStr">
        <is>
          <t>None</t>
        </is>
      </c>
      <c r="DR628" s="17" t="n"/>
      <c r="DS628" s="16" t="n"/>
      <c r="DT628" s="20" t="inlineStr">
        <is>
          <t>IC Organic Acids</t>
        </is>
      </c>
      <c r="DU628" s="20" t="inlineStr">
        <is>
          <t>None</t>
        </is>
      </c>
      <c r="DV628" s="17" t="n"/>
      <c r="DW628" s="16" t="n"/>
      <c r="DX628" s="20" t="inlineStr">
        <is>
          <t>IC Organic Acids</t>
        </is>
      </c>
      <c r="DY628" s="20" t="inlineStr">
        <is>
          <t>None</t>
        </is>
      </c>
      <c r="DZ628" s="17" t="n"/>
      <c r="EA628" s="16" t="n"/>
      <c r="EB628" s="20" t="inlineStr">
        <is>
          <t>IC Organic Acids</t>
        </is>
      </c>
      <c r="EC628" s="20" t="inlineStr">
        <is>
          <t>None</t>
        </is>
      </c>
      <c r="ED628" s="17" t="n"/>
      <c r="EE628" s="16" t="n"/>
      <c r="EF628" s="20" t="inlineStr">
        <is>
          <t>IC Organic Acids</t>
        </is>
      </c>
      <c r="EG628" s="20" t="inlineStr">
        <is>
          <t>None</t>
        </is>
      </c>
      <c r="EH628" s="17" t="n"/>
      <c r="EI628" s="16" t="n"/>
      <c r="EJ628" s="20" t="inlineStr">
        <is>
          <t>IC Organic Acids</t>
        </is>
      </c>
      <c r="EK628" s="20" t="inlineStr">
        <is>
          <t>None</t>
        </is>
      </c>
      <c r="EL628" s="17" t="n"/>
      <c r="EM628" s="16" t="n"/>
      <c r="EN628" s="20" t="inlineStr">
        <is>
          <t>IC Organic Acids</t>
        </is>
      </c>
      <c r="EO628" s="20" t="inlineStr">
        <is>
          <t>None</t>
        </is>
      </c>
      <c r="EP628" s="17" t="n"/>
      <c r="EQ628" s="16" t="n"/>
      <c r="ER628" s="20" t="inlineStr">
        <is>
          <t>IC Organic Acids</t>
        </is>
      </c>
      <c r="ES628" s="20" t="inlineStr">
        <is>
          <t>None</t>
        </is>
      </c>
      <c r="ET628" s="17" t="n"/>
      <c r="EU628" s="16" t="n"/>
      <c r="EV628" s="20" t="inlineStr">
        <is>
          <t>LC-MS</t>
        </is>
      </c>
      <c r="EW628" s="20" t="inlineStr">
        <is>
          <t>None</t>
        </is>
      </c>
      <c r="EX628" s="17" t="n"/>
      <c r="EY628" s="21" t="n"/>
      <c r="EZ628">
        <f>CONCATENATE(A628,B628)</f>
        <v/>
      </c>
      <c r="FA628">
        <f>CONCATENATE(SamplesX!A628,SamplesX!B628)</f>
        <v/>
      </c>
      <c r="FC628">
        <f>MATCH(EZ628,FA1:FA1008,0)</f>
        <v/>
      </c>
    </row>
    <row r="629">
      <c r="A629" s="16" t="n"/>
      <c r="B629" s="17" t="n"/>
      <c r="C629" s="10">
        <f>IF(ISNUMBER(FC629),INDIRECT("SamplesX!C"&amp;FC629),IF(ISNUMBER(FD629),INDIRECT("SamplesY!C"&amp;FD629),""))</f>
        <v/>
      </c>
      <c r="D629" s="12">
        <f>IF(ISNUMBER(FC629),INDIRECT("SamplesX!D"&amp;FC629),IF(ISNUMBER(FD629),INDIRECT("SamplesY!D"&amp;FD629),""))</f>
        <v/>
      </c>
      <c r="E629" s="12">
        <f>IF(ISNUMBER(FC629),INDIRECT("SamplesX!E"&amp;FC629),IF(ISNUMBER(FD629),INDIRECT("SamplesY!E"&amp;FD629),""))</f>
        <v/>
      </c>
      <c r="F629" s="11">
        <f>IF(ISNUMBER(FC629),INDIRECT("SamplesX!F"&amp;FC629),IF(ISNUMBER(FD629),INDIRECT("SamplesY!F"&amp;FD629),""))</f>
        <v/>
      </c>
      <c r="G629" s="18">
        <f>IF(ISNUMBER(FC629),INDIRECT("SamplesX!G"&amp;FC629),IF(ISNUMBER(FD629),INDIRECT("SamplesY!G"&amp;FD629),""))</f>
        <v/>
      </c>
      <c r="H629" s="19">
        <f>IF(ISNUMBER(FC629),INDIRECT("SamplesX!H"&amp;FC629),IF(ISNUMBER(FD629),INDIRECT("SamplesY!H"&amp;FD629),""))</f>
        <v/>
      </c>
      <c r="I629" s="16" t="n"/>
      <c r="J629" s="16" t="n"/>
      <c r="K629" s="16" t="n"/>
      <c r="L629" s="20" t="n"/>
      <c r="M629" s="20" t="inlineStr">
        <is>
          <t>None</t>
        </is>
      </c>
      <c r="N629" s="17" t="n"/>
      <c r="O629" s="16" t="n"/>
      <c r="P629" s="20" t="inlineStr">
        <is>
          <t>Shimadzu TOC-L</t>
        </is>
      </c>
      <c r="Q629" s="20" t="inlineStr">
        <is>
          <t>None</t>
        </is>
      </c>
      <c r="R629" s="17" t="n"/>
      <c r="S629" s="16" t="n"/>
      <c r="T629" s="20" t="inlineStr">
        <is>
          <t>Shimadzu TOC-L</t>
        </is>
      </c>
      <c r="U629" s="20" t="inlineStr">
        <is>
          <t>None</t>
        </is>
      </c>
      <c r="V629" s="17" t="n"/>
      <c r="W629" s="16" t="n"/>
      <c r="X629" s="20" t="n"/>
      <c r="Y629" s="20" t="inlineStr">
        <is>
          <t>None</t>
        </is>
      </c>
      <c r="Z629" s="17" t="n"/>
      <c r="AA629" s="16" t="n"/>
      <c r="AB629" s="20" t="n"/>
      <c r="AC629" s="20" t="inlineStr">
        <is>
          <t>None</t>
        </is>
      </c>
      <c r="AD629" s="17" t="n"/>
      <c r="AE629" s="16" t="n"/>
      <c r="AF629" s="20" t="inlineStr">
        <is>
          <t>IC Anionen</t>
        </is>
      </c>
      <c r="AG629" s="20" t="inlineStr">
        <is>
          <t>None</t>
        </is>
      </c>
      <c r="AH629" s="17" t="n"/>
      <c r="AI629" s="16" t="n"/>
      <c r="AJ629" s="20" t="n"/>
      <c r="AK629" s="20" t="inlineStr">
        <is>
          <t>None</t>
        </is>
      </c>
      <c r="AL629" s="17" t="n"/>
      <c r="AM629" s="16" t="n"/>
      <c r="AN629" s="20" t="inlineStr">
        <is>
          <t>IC Anionen</t>
        </is>
      </c>
      <c r="AO629" s="20" t="inlineStr">
        <is>
          <t>None</t>
        </is>
      </c>
      <c r="AP629" s="17" t="n"/>
      <c r="AQ629" s="16" t="n"/>
      <c r="AR629" s="20" t="n"/>
      <c r="AS629" s="20" t="inlineStr">
        <is>
          <t>None</t>
        </is>
      </c>
      <c r="AT629" s="17" t="n"/>
      <c r="AU629" s="16" t="n"/>
      <c r="AV629" s="20" t="n"/>
      <c r="AW629" s="20" t="inlineStr">
        <is>
          <t>None</t>
        </is>
      </c>
      <c r="AX629" s="17" t="n"/>
      <c r="AY629" s="16" t="n"/>
      <c r="AZ629" s="20" t="inlineStr">
        <is>
          <t>IC Anionen</t>
        </is>
      </c>
      <c r="BA629" s="20" t="inlineStr">
        <is>
          <t>None</t>
        </is>
      </c>
      <c r="BB629" s="17" t="n"/>
      <c r="BC629" s="16" t="n"/>
      <c r="BD629" s="20" t="inlineStr">
        <is>
          <t>IC Kationen</t>
        </is>
      </c>
      <c r="BE629" s="20" t="inlineStr">
        <is>
          <t>None</t>
        </is>
      </c>
      <c r="BF629" s="17" t="n"/>
      <c r="BG629" s="16" t="n"/>
      <c r="BH629" s="20" t="inlineStr">
        <is>
          <t>IC Kationen</t>
        </is>
      </c>
      <c r="BI629" s="20" t="inlineStr">
        <is>
          <t>None</t>
        </is>
      </c>
      <c r="BJ629" s="17" t="n"/>
      <c r="BK629" s="16" t="n"/>
      <c r="BL629" s="20" t="inlineStr">
        <is>
          <t>IC Kationen</t>
        </is>
      </c>
      <c r="BM629" s="20" t="inlineStr">
        <is>
          <t>None</t>
        </is>
      </c>
      <c r="BN629" s="17" t="n"/>
      <c r="BO629" s="16" t="n"/>
      <c r="BP629" s="20" t="inlineStr">
        <is>
          <t>IC Kationen</t>
        </is>
      </c>
      <c r="BQ629" s="20" t="inlineStr">
        <is>
          <t>None</t>
        </is>
      </c>
      <c r="BR629" s="17" t="n"/>
      <c r="BS629" s="16" t="n"/>
      <c r="BT629" s="20" t="inlineStr">
        <is>
          <t>IC Kationen</t>
        </is>
      </c>
      <c r="BU629" s="20" t="inlineStr">
        <is>
          <t>None</t>
        </is>
      </c>
      <c r="BV629" s="17" t="n"/>
      <c r="BW629" s="16" t="n"/>
      <c r="BX629" s="20" t="n"/>
      <c r="BY629" s="20" t="inlineStr">
        <is>
          <t>None</t>
        </is>
      </c>
      <c r="BZ629" s="17" t="n"/>
      <c r="CA629" s="16" t="n"/>
      <c r="CB629" s="20" t="n"/>
      <c r="CC629" s="20" t="inlineStr">
        <is>
          <t>None</t>
        </is>
      </c>
      <c r="CD629" s="17" t="n"/>
      <c r="CE629" s="16" t="n"/>
      <c r="CF629" s="20" t="n"/>
      <c r="CG629" s="20" t="inlineStr">
        <is>
          <t>None</t>
        </is>
      </c>
      <c r="CH629" s="17" t="n"/>
      <c r="CI629" s="16" t="n"/>
      <c r="CJ629" s="20" t="n"/>
      <c r="CK629" s="20" t="inlineStr">
        <is>
          <t>None</t>
        </is>
      </c>
      <c r="CL629" s="17" t="n"/>
      <c r="CM629" s="16" t="n"/>
      <c r="CN629" s="20" t="inlineStr">
        <is>
          <t>SOP 45-34</t>
        </is>
      </c>
      <c r="CO629" s="20" t="inlineStr">
        <is>
          <t>None</t>
        </is>
      </c>
      <c r="CP629" s="17" t="n"/>
      <c r="CQ629" s="16" t="n"/>
      <c r="CR629" s="20" t="n"/>
      <c r="CS629" s="20" t="inlineStr">
        <is>
          <t>None</t>
        </is>
      </c>
      <c r="CT629" s="17" t="n"/>
      <c r="CU629" s="16" t="n"/>
      <c r="CV629" s="20" t="n"/>
      <c r="CW629" s="20" t="inlineStr">
        <is>
          <t>None</t>
        </is>
      </c>
      <c r="CX629" s="17" t="n"/>
      <c r="CY629" s="16" t="n"/>
      <c r="CZ629" s="20" t="inlineStr">
        <is>
          <t>WTW Multimeter 3430 with FDO 925</t>
        </is>
      </c>
      <c r="DA629" s="20" t="inlineStr">
        <is>
          <t>None</t>
        </is>
      </c>
      <c r="DB629" s="17" t="n"/>
      <c r="DC629" s="16" t="n"/>
      <c r="DD629" s="20" t="n"/>
      <c r="DE629" s="20" t="inlineStr">
        <is>
          <t>None</t>
        </is>
      </c>
      <c r="DF629" s="17" t="n"/>
      <c r="DG629" s="16" t="n"/>
      <c r="DH629" s="20" t="inlineStr">
        <is>
          <t>SOP 45-09</t>
        </is>
      </c>
      <c r="DI629" s="20" t="inlineStr">
        <is>
          <t>None</t>
        </is>
      </c>
      <c r="DJ629" s="17" t="n"/>
      <c r="DK629" s="16" t="n"/>
      <c r="DL629" s="20" t="inlineStr">
        <is>
          <t>SOP 45-09 (SOP muss noch angepasst werden für VSS)</t>
        </is>
      </c>
      <c r="DM629" s="20" t="inlineStr">
        <is>
          <t>None</t>
        </is>
      </c>
      <c r="DN629" s="17" t="n"/>
      <c r="DO629" s="16" t="n"/>
      <c r="DP629" s="20" t="inlineStr">
        <is>
          <t>IC Organic Acids</t>
        </is>
      </c>
      <c r="DQ629" s="20" t="inlineStr">
        <is>
          <t>None</t>
        </is>
      </c>
      <c r="DR629" s="17" t="n"/>
      <c r="DS629" s="16" t="n"/>
      <c r="DT629" s="20" t="inlineStr">
        <is>
          <t>IC Organic Acids</t>
        </is>
      </c>
      <c r="DU629" s="20" t="inlineStr">
        <is>
          <t>None</t>
        </is>
      </c>
      <c r="DV629" s="17" t="n"/>
      <c r="DW629" s="16" t="n"/>
      <c r="DX629" s="20" t="inlineStr">
        <is>
          <t>IC Organic Acids</t>
        </is>
      </c>
      <c r="DY629" s="20" t="inlineStr">
        <is>
          <t>None</t>
        </is>
      </c>
      <c r="DZ629" s="17" t="n"/>
      <c r="EA629" s="16" t="n"/>
      <c r="EB629" s="20" t="inlineStr">
        <is>
          <t>IC Organic Acids</t>
        </is>
      </c>
      <c r="EC629" s="20" t="inlineStr">
        <is>
          <t>None</t>
        </is>
      </c>
      <c r="ED629" s="17" t="n"/>
      <c r="EE629" s="16" t="n"/>
      <c r="EF629" s="20" t="inlineStr">
        <is>
          <t>IC Organic Acids</t>
        </is>
      </c>
      <c r="EG629" s="20" t="inlineStr">
        <is>
          <t>None</t>
        </is>
      </c>
      <c r="EH629" s="17" t="n"/>
      <c r="EI629" s="16" t="n"/>
      <c r="EJ629" s="20" t="inlineStr">
        <is>
          <t>IC Organic Acids</t>
        </is>
      </c>
      <c r="EK629" s="20" t="inlineStr">
        <is>
          <t>None</t>
        </is>
      </c>
      <c r="EL629" s="17" t="n"/>
      <c r="EM629" s="16" t="n"/>
      <c r="EN629" s="20" t="inlineStr">
        <is>
          <t>IC Organic Acids</t>
        </is>
      </c>
      <c r="EO629" s="20" t="inlineStr">
        <is>
          <t>None</t>
        </is>
      </c>
      <c r="EP629" s="17" t="n"/>
      <c r="EQ629" s="16" t="n"/>
      <c r="ER629" s="20" t="inlineStr">
        <is>
          <t>IC Organic Acids</t>
        </is>
      </c>
      <c r="ES629" s="20" t="inlineStr">
        <is>
          <t>None</t>
        </is>
      </c>
      <c r="ET629" s="17" t="n"/>
      <c r="EU629" s="16" t="n"/>
      <c r="EV629" s="20" t="inlineStr">
        <is>
          <t>LC-MS</t>
        </is>
      </c>
      <c r="EW629" s="20" t="inlineStr">
        <is>
          <t>None</t>
        </is>
      </c>
      <c r="EX629" s="17" t="n"/>
      <c r="EY629" s="21" t="n"/>
      <c r="EZ629">
        <f>CONCATENATE(A629,B629)</f>
        <v/>
      </c>
      <c r="FA629">
        <f>CONCATENATE(SamplesX!A629,SamplesX!B629)</f>
        <v/>
      </c>
      <c r="FC629">
        <f>MATCH(EZ629,FA1:FA1008,0)</f>
        <v/>
      </c>
    </row>
    <row r="630">
      <c r="A630" s="16" t="n"/>
      <c r="B630" s="17" t="n"/>
      <c r="C630" s="10">
        <f>IF(ISNUMBER(FC630),INDIRECT("SamplesX!C"&amp;FC630),IF(ISNUMBER(FD630),INDIRECT("SamplesY!C"&amp;FD630),""))</f>
        <v/>
      </c>
      <c r="D630" s="12">
        <f>IF(ISNUMBER(FC630),INDIRECT("SamplesX!D"&amp;FC630),IF(ISNUMBER(FD630),INDIRECT("SamplesY!D"&amp;FD630),""))</f>
        <v/>
      </c>
      <c r="E630" s="12">
        <f>IF(ISNUMBER(FC630),INDIRECT("SamplesX!E"&amp;FC630),IF(ISNUMBER(FD630),INDIRECT("SamplesY!E"&amp;FD630),""))</f>
        <v/>
      </c>
      <c r="F630" s="11">
        <f>IF(ISNUMBER(FC630),INDIRECT("SamplesX!F"&amp;FC630),IF(ISNUMBER(FD630),INDIRECT("SamplesY!F"&amp;FD630),""))</f>
        <v/>
      </c>
      <c r="G630" s="18">
        <f>IF(ISNUMBER(FC630),INDIRECT("SamplesX!G"&amp;FC630),IF(ISNUMBER(FD630),INDIRECT("SamplesY!G"&amp;FD630),""))</f>
        <v/>
      </c>
      <c r="H630" s="19">
        <f>IF(ISNUMBER(FC630),INDIRECT("SamplesX!H"&amp;FC630),IF(ISNUMBER(FD630),INDIRECT("SamplesY!H"&amp;FD630),""))</f>
        <v/>
      </c>
      <c r="I630" s="16" t="n"/>
      <c r="J630" s="16" t="n"/>
      <c r="K630" s="16" t="n"/>
      <c r="L630" s="20" t="n"/>
      <c r="M630" s="20" t="inlineStr">
        <is>
          <t>None</t>
        </is>
      </c>
      <c r="N630" s="17" t="n"/>
      <c r="O630" s="16" t="n"/>
      <c r="P630" s="20" t="inlineStr">
        <is>
          <t>Shimadzu TOC-L</t>
        </is>
      </c>
      <c r="Q630" s="20" t="inlineStr">
        <is>
          <t>None</t>
        </is>
      </c>
      <c r="R630" s="17" t="n"/>
      <c r="S630" s="16" t="n"/>
      <c r="T630" s="20" t="inlineStr">
        <is>
          <t>Shimadzu TOC-L</t>
        </is>
      </c>
      <c r="U630" s="20" t="inlineStr">
        <is>
          <t>None</t>
        </is>
      </c>
      <c r="V630" s="17" t="n"/>
      <c r="W630" s="16" t="n"/>
      <c r="X630" s="20" t="n"/>
      <c r="Y630" s="20" t="inlineStr">
        <is>
          <t>None</t>
        </is>
      </c>
      <c r="Z630" s="17" t="n"/>
      <c r="AA630" s="16" t="n"/>
      <c r="AB630" s="20" t="n"/>
      <c r="AC630" s="20" t="inlineStr">
        <is>
          <t>None</t>
        </is>
      </c>
      <c r="AD630" s="17" t="n"/>
      <c r="AE630" s="16" t="n"/>
      <c r="AF630" s="20" t="inlineStr">
        <is>
          <t>IC Anionen</t>
        </is>
      </c>
      <c r="AG630" s="20" t="inlineStr">
        <is>
          <t>None</t>
        </is>
      </c>
      <c r="AH630" s="17" t="n"/>
      <c r="AI630" s="16" t="n"/>
      <c r="AJ630" s="20" t="n"/>
      <c r="AK630" s="20" t="inlineStr">
        <is>
          <t>None</t>
        </is>
      </c>
      <c r="AL630" s="17" t="n"/>
      <c r="AM630" s="16" t="n"/>
      <c r="AN630" s="20" t="inlineStr">
        <is>
          <t>IC Anionen</t>
        </is>
      </c>
      <c r="AO630" s="20" t="inlineStr">
        <is>
          <t>None</t>
        </is>
      </c>
      <c r="AP630" s="17" t="n"/>
      <c r="AQ630" s="16" t="n"/>
      <c r="AR630" s="20" t="n"/>
      <c r="AS630" s="20" t="inlineStr">
        <is>
          <t>None</t>
        </is>
      </c>
      <c r="AT630" s="17" t="n"/>
      <c r="AU630" s="16" t="n"/>
      <c r="AV630" s="20" t="n"/>
      <c r="AW630" s="20" t="inlineStr">
        <is>
          <t>None</t>
        </is>
      </c>
      <c r="AX630" s="17" t="n"/>
      <c r="AY630" s="16" t="n"/>
      <c r="AZ630" s="20" t="inlineStr">
        <is>
          <t>IC Anionen</t>
        </is>
      </c>
      <c r="BA630" s="20" t="inlineStr">
        <is>
          <t>None</t>
        </is>
      </c>
      <c r="BB630" s="17" t="n"/>
      <c r="BC630" s="16" t="n"/>
      <c r="BD630" s="20" t="inlineStr">
        <is>
          <t>IC Kationen</t>
        </is>
      </c>
      <c r="BE630" s="20" t="inlineStr">
        <is>
          <t>None</t>
        </is>
      </c>
      <c r="BF630" s="17" t="n"/>
      <c r="BG630" s="16" t="n"/>
      <c r="BH630" s="20" t="inlineStr">
        <is>
          <t>IC Kationen</t>
        </is>
      </c>
      <c r="BI630" s="20" t="inlineStr">
        <is>
          <t>None</t>
        </is>
      </c>
      <c r="BJ630" s="17" t="n"/>
      <c r="BK630" s="16" t="n"/>
      <c r="BL630" s="20" t="inlineStr">
        <is>
          <t>IC Kationen</t>
        </is>
      </c>
      <c r="BM630" s="20" t="inlineStr">
        <is>
          <t>None</t>
        </is>
      </c>
      <c r="BN630" s="17" t="n"/>
      <c r="BO630" s="16" t="n"/>
      <c r="BP630" s="20" t="inlineStr">
        <is>
          <t>IC Kationen</t>
        </is>
      </c>
      <c r="BQ630" s="20" t="inlineStr">
        <is>
          <t>None</t>
        </is>
      </c>
      <c r="BR630" s="17" t="n"/>
      <c r="BS630" s="16" t="n"/>
      <c r="BT630" s="20" t="inlineStr">
        <is>
          <t>IC Kationen</t>
        </is>
      </c>
      <c r="BU630" s="20" t="inlineStr">
        <is>
          <t>None</t>
        </is>
      </c>
      <c r="BV630" s="17" t="n"/>
      <c r="BW630" s="16" t="n"/>
      <c r="BX630" s="20" t="n"/>
      <c r="BY630" s="20" t="inlineStr">
        <is>
          <t>None</t>
        </is>
      </c>
      <c r="BZ630" s="17" t="n"/>
      <c r="CA630" s="16" t="n"/>
      <c r="CB630" s="20" t="n"/>
      <c r="CC630" s="20" t="inlineStr">
        <is>
          <t>None</t>
        </is>
      </c>
      <c r="CD630" s="17" t="n"/>
      <c r="CE630" s="16" t="n"/>
      <c r="CF630" s="20" t="n"/>
      <c r="CG630" s="20" t="inlineStr">
        <is>
          <t>None</t>
        </is>
      </c>
      <c r="CH630" s="17" t="n"/>
      <c r="CI630" s="16" t="n"/>
      <c r="CJ630" s="20" t="n"/>
      <c r="CK630" s="20" t="inlineStr">
        <is>
          <t>None</t>
        </is>
      </c>
      <c r="CL630" s="17" t="n"/>
      <c r="CM630" s="16" t="n"/>
      <c r="CN630" s="20" t="inlineStr">
        <is>
          <t>SOP 45-34</t>
        </is>
      </c>
      <c r="CO630" s="20" t="inlineStr">
        <is>
          <t>None</t>
        </is>
      </c>
      <c r="CP630" s="17" t="n"/>
      <c r="CQ630" s="16" t="n"/>
      <c r="CR630" s="20" t="n"/>
      <c r="CS630" s="20" t="inlineStr">
        <is>
          <t>None</t>
        </is>
      </c>
      <c r="CT630" s="17" t="n"/>
      <c r="CU630" s="16" t="n"/>
      <c r="CV630" s="20" t="n"/>
      <c r="CW630" s="20" t="inlineStr">
        <is>
          <t>None</t>
        </is>
      </c>
      <c r="CX630" s="17" t="n"/>
      <c r="CY630" s="16" t="n"/>
      <c r="CZ630" s="20" t="inlineStr">
        <is>
          <t>WTW Multimeter 3430 with FDO 925</t>
        </is>
      </c>
      <c r="DA630" s="20" t="inlineStr">
        <is>
          <t>None</t>
        </is>
      </c>
      <c r="DB630" s="17" t="n"/>
      <c r="DC630" s="16" t="n"/>
      <c r="DD630" s="20" t="n"/>
      <c r="DE630" s="20" t="inlineStr">
        <is>
          <t>None</t>
        </is>
      </c>
      <c r="DF630" s="17" t="n"/>
      <c r="DG630" s="16" t="n"/>
      <c r="DH630" s="20" t="inlineStr">
        <is>
          <t>SOP 45-09</t>
        </is>
      </c>
      <c r="DI630" s="20" t="inlineStr">
        <is>
          <t>None</t>
        </is>
      </c>
      <c r="DJ630" s="17" t="n"/>
      <c r="DK630" s="16" t="n"/>
      <c r="DL630" s="20" t="inlineStr">
        <is>
          <t>SOP 45-09 (SOP muss noch angepasst werden für VSS)</t>
        </is>
      </c>
      <c r="DM630" s="20" t="inlineStr">
        <is>
          <t>None</t>
        </is>
      </c>
      <c r="DN630" s="17" t="n"/>
      <c r="DO630" s="16" t="n"/>
      <c r="DP630" s="20" t="inlineStr">
        <is>
          <t>IC Organic Acids</t>
        </is>
      </c>
      <c r="DQ630" s="20" t="inlineStr">
        <is>
          <t>None</t>
        </is>
      </c>
      <c r="DR630" s="17" t="n"/>
      <c r="DS630" s="16" t="n"/>
      <c r="DT630" s="20" t="inlineStr">
        <is>
          <t>IC Organic Acids</t>
        </is>
      </c>
      <c r="DU630" s="20" t="inlineStr">
        <is>
          <t>None</t>
        </is>
      </c>
      <c r="DV630" s="17" t="n"/>
      <c r="DW630" s="16" t="n"/>
      <c r="DX630" s="20" t="inlineStr">
        <is>
          <t>IC Organic Acids</t>
        </is>
      </c>
      <c r="DY630" s="20" t="inlineStr">
        <is>
          <t>None</t>
        </is>
      </c>
      <c r="DZ630" s="17" t="n"/>
      <c r="EA630" s="16" t="n"/>
      <c r="EB630" s="20" t="inlineStr">
        <is>
          <t>IC Organic Acids</t>
        </is>
      </c>
      <c r="EC630" s="20" t="inlineStr">
        <is>
          <t>None</t>
        </is>
      </c>
      <c r="ED630" s="17" t="n"/>
      <c r="EE630" s="16" t="n"/>
      <c r="EF630" s="20" t="inlineStr">
        <is>
          <t>IC Organic Acids</t>
        </is>
      </c>
      <c r="EG630" s="20" t="inlineStr">
        <is>
          <t>None</t>
        </is>
      </c>
      <c r="EH630" s="17" t="n"/>
      <c r="EI630" s="16" t="n"/>
      <c r="EJ630" s="20" t="inlineStr">
        <is>
          <t>IC Organic Acids</t>
        </is>
      </c>
      <c r="EK630" s="20" t="inlineStr">
        <is>
          <t>None</t>
        </is>
      </c>
      <c r="EL630" s="17" t="n"/>
      <c r="EM630" s="16" t="n"/>
      <c r="EN630" s="20" t="inlineStr">
        <is>
          <t>IC Organic Acids</t>
        </is>
      </c>
      <c r="EO630" s="20" t="inlineStr">
        <is>
          <t>None</t>
        </is>
      </c>
      <c r="EP630" s="17" t="n"/>
      <c r="EQ630" s="16" t="n"/>
      <c r="ER630" s="20" t="inlineStr">
        <is>
          <t>IC Organic Acids</t>
        </is>
      </c>
      <c r="ES630" s="20" t="inlineStr">
        <is>
          <t>None</t>
        </is>
      </c>
      <c r="ET630" s="17" t="n"/>
      <c r="EU630" s="16" t="n"/>
      <c r="EV630" s="20" t="inlineStr">
        <is>
          <t>LC-MS</t>
        </is>
      </c>
      <c r="EW630" s="20" t="inlineStr">
        <is>
          <t>None</t>
        </is>
      </c>
      <c r="EX630" s="17" t="n"/>
      <c r="EY630" s="21" t="n"/>
      <c r="EZ630">
        <f>CONCATENATE(A630,B630)</f>
        <v/>
      </c>
      <c r="FA630">
        <f>CONCATENATE(SamplesX!A630,SamplesX!B630)</f>
        <v/>
      </c>
      <c r="FC630">
        <f>MATCH(EZ630,FA1:FA1008,0)</f>
        <v/>
      </c>
    </row>
    <row r="631">
      <c r="A631" s="16" t="n"/>
      <c r="B631" s="17" t="n"/>
      <c r="C631" s="10">
        <f>IF(ISNUMBER(FC631),INDIRECT("SamplesX!C"&amp;FC631),IF(ISNUMBER(FD631),INDIRECT("SamplesY!C"&amp;FD631),""))</f>
        <v/>
      </c>
      <c r="D631" s="12">
        <f>IF(ISNUMBER(FC631),INDIRECT("SamplesX!D"&amp;FC631),IF(ISNUMBER(FD631),INDIRECT("SamplesY!D"&amp;FD631),""))</f>
        <v/>
      </c>
      <c r="E631" s="12">
        <f>IF(ISNUMBER(FC631),INDIRECT("SamplesX!E"&amp;FC631),IF(ISNUMBER(FD631),INDIRECT("SamplesY!E"&amp;FD631),""))</f>
        <v/>
      </c>
      <c r="F631" s="11">
        <f>IF(ISNUMBER(FC631),INDIRECT("SamplesX!F"&amp;FC631),IF(ISNUMBER(FD631),INDIRECT("SamplesY!F"&amp;FD631),""))</f>
        <v/>
      </c>
      <c r="G631" s="18">
        <f>IF(ISNUMBER(FC631),INDIRECT("SamplesX!G"&amp;FC631),IF(ISNUMBER(FD631),INDIRECT("SamplesY!G"&amp;FD631),""))</f>
        <v/>
      </c>
      <c r="H631" s="19">
        <f>IF(ISNUMBER(FC631),INDIRECT("SamplesX!H"&amp;FC631),IF(ISNUMBER(FD631),INDIRECT("SamplesY!H"&amp;FD631),""))</f>
        <v/>
      </c>
      <c r="I631" s="16" t="n"/>
      <c r="J631" s="16" t="n"/>
      <c r="K631" s="16" t="n"/>
      <c r="L631" s="20" t="n"/>
      <c r="M631" s="20" t="inlineStr">
        <is>
          <t>None</t>
        </is>
      </c>
      <c r="N631" s="17" t="n"/>
      <c r="O631" s="16" t="n"/>
      <c r="P631" s="20" t="inlineStr">
        <is>
          <t>Shimadzu TOC-L</t>
        </is>
      </c>
      <c r="Q631" s="20" t="inlineStr">
        <is>
          <t>None</t>
        </is>
      </c>
      <c r="R631" s="17" t="n"/>
      <c r="S631" s="16" t="n"/>
      <c r="T631" s="20" t="inlineStr">
        <is>
          <t>Shimadzu TOC-L</t>
        </is>
      </c>
      <c r="U631" s="20" t="inlineStr">
        <is>
          <t>None</t>
        </is>
      </c>
      <c r="V631" s="17" t="n"/>
      <c r="W631" s="16" t="n"/>
      <c r="X631" s="20" t="n"/>
      <c r="Y631" s="20" t="inlineStr">
        <is>
          <t>None</t>
        </is>
      </c>
      <c r="Z631" s="17" t="n"/>
      <c r="AA631" s="16" t="n"/>
      <c r="AB631" s="20" t="n"/>
      <c r="AC631" s="20" t="inlineStr">
        <is>
          <t>None</t>
        </is>
      </c>
      <c r="AD631" s="17" t="n"/>
      <c r="AE631" s="16" t="n"/>
      <c r="AF631" s="20" t="inlineStr">
        <is>
          <t>IC Anionen</t>
        </is>
      </c>
      <c r="AG631" s="20" t="inlineStr">
        <is>
          <t>None</t>
        </is>
      </c>
      <c r="AH631" s="17" t="n"/>
      <c r="AI631" s="16" t="n"/>
      <c r="AJ631" s="20" t="n"/>
      <c r="AK631" s="20" t="inlineStr">
        <is>
          <t>None</t>
        </is>
      </c>
      <c r="AL631" s="17" t="n"/>
      <c r="AM631" s="16" t="n"/>
      <c r="AN631" s="20" t="inlineStr">
        <is>
          <t>IC Anionen</t>
        </is>
      </c>
      <c r="AO631" s="20" t="inlineStr">
        <is>
          <t>None</t>
        </is>
      </c>
      <c r="AP631" s="17" t="n"/>
      <c r="AQ631" s="16" t="n"/>
      <c r="AR631" s="20" t="n"/>
      <c r="AS631" s="20" t="inlineStr">
        <is>
          <t>None</t>
        </is>
      </c>
      <c r="AT631" s="17" t="n"/>
      <c r="AU631" s="16" t="n"/>
      <c r="AV631" s="20" t="n"/>
      <c r="AW631" s="20" t="inlineStr">
        <is>
          <t>None</t>
        </is>
      </c>
      <c r="AX631" s="17" t="n"/>
      <c r="AY631" s="16" t="n"/>
      <c r="AZ631" s="20" t="inlineStr">
        <is>
          <t>IC Anionen</t>
        </is>
      </c>
      <c r="BA631" s="20" t="inlineStr">
        <is>
          <t>None</t>
        </is>
      </c>
      <c r="BB631" s="17" t="n"/>
      <c r="BC631" s="16" t="n"/>
      <c r="BD631" s="20" t="inlineStr">
        <is>
          <t>IC Kationen</t>
        </is>
      </c>
      <c r="BE631" s="20" t="inlineStr">
        <is>
          <t>None</t>
        </is>
      </c>
      <c r="BF631" s="17" t="n"/>
      <c r="BG631" s="16" t="n"/>
      <c r="BH631" s="20" t="inlineStr">
        <is>
          <t>IC Kationen</t>
        </is>
      </c>
      <c r="BI631" s="20" t="inlineStr">
        <is>
          <t>None</t>
        </is>
      </c>
      <c r="BJ631" s="17" t="n"/>
      <c r="BK631" s="16" t="n"/>
      <c r="BL631" s="20" t="inlineStr">
        <is>
          <t>IC Kationen</t>
        </is>
      </c>
      <c r="BM631" s="20" t="inlineStr">
        <is>
          <t>None</t>
        </is>
      </c>
      <c r="BN631" s="17" t="n"/>
      <c r="BO631" s="16" t="n"/>
      <c r="BP631" s="20" t="inlineStr">
        <is>
          <t>IC Kationen</t>
        </is>
      </c>
      <c r="BQ631" s="20" t="inlineStr">
        <is>
          <t>None</t>
        </is>
      </c>
      <c r="BR631" s="17" t="n"/>
      <c r="BS631" s="16" t="n"/>
      <c r="BT631" s="20" t="inlineStr">
        <is>
          <t>IC Kationen</t>
        </is>
      </c>
      <c r="BU631" s="20" t="inlineStr">
        <is>
          <t>None</t>
        </is>
      </c>
      <c r="BV631" s="17" t="n"/>
      <c r="BW631" s="16" t="n"/>
      <c r="BX631" s="20" t="n"/>
      <c r="BY631" s="20" t="inlineStr">
        <is>
          <t>None</t>
        </is>
      </c>
      <c r="BZ631" s="17" t="n"/>
      <c r="CA631" s="16" t="n"/>
      <c r="CB631" s="20" t="n"/>
      <c r="CC631" s="20" t="inlineStr">
        <is>
          <t>None</t>
        </is>
      </c>
      <c r="CD631" s="17" t="n"/>
      <c r="CE631" s="16" t="n"/>
      <c r="CF631" s="20" t="n"/>
      <c r="CG631" s="20" t="inlineStr">
        <is>
          <t>None</t>
        </is>
      </c>
      <c r="CH631" s="17" t="n"/>
      <c r="CI631" s="16" t="n"/>
      <c r="CJ631" s="20" t="n"/>
      <c r="CK631" s="20" t="inlineStr">
        <is>
          <t>None</t>
        </is>
      </c>
      <c r="CL631" s="17" t="n"/>
      <c r="CM631" s="16" t="n"/>
      <c r="CN631" s="20" t="inlineStr">
        <is>
          <t>SOP 45-34</t>
        </is>
      </c>
      <c r="CO631" s="20" t="inlineStr">
        <is>
          <t>None</t>
        </is>
      </c>
      <c r="CP631" s="17" t="n"/>
      <c r="CQ631" s="16" t="n"/>
      <c r="CR631" s="20" t="n"/>
      <c r="CS631" s="20" t="inlineStr">
        <is>
          <t>None</t>
        </is>
      </c>
      <c r="CT631" s="17" t="n"/>
      <c r="CU631" s="16" t="n"/>
      <c r="CV631" s="20" t="n"/>
      <c r="CW631" s="20" t="inlineStr">
        <is>
          <t>None</t>
        </is>
      </c>
      <c r="CX631" s="17" t="n"/>
      <c r="CY631" s="16" t="n"/>
      <c r="CZ631" s="20" t="inlineStr">
        <is>
          <t>WTW Multimeter 3430 with FDO 925</t>
        </is>
      </c>
      <c r="DA631" s="20" t="inlineStr">
        <is>
          <t>None</t>
        </is>
      </c>
      <c r="DB631" s="17" t="n"/>
      <c r="DC631" s="16" t="n"/>
      <c r="DD631" s="20" t="n"/>
      <c r="DE631" s="20" t="inlineStr">
        <is>
          <t>None</t>
        </is>
      </c>
      <c r="DF631" s="17" t="n"/>
      <c r="DG631" s="16" t="n"/>
      <c r="DH631" s="20" t="inlineStr">
        <is>
          <t>SOP 45-09</t>
        </is>
      </c>
      <c r="DI631" s="20" t="inlineStr">
        <is>
          <t>None</t>
        </is>
      </c>
      <c r="DJ631" s="17" t="n"/>
      <c r="DK631" s="16" t="n"/>
      <c r="DL631" s="20" t="inlineStr">
        <is>
          <t>SOP 45-09 (SOP muss noch angepasst werden für VSS)</t>
        </is>
      </c>
      <c r="DM631" s="20" t="inlineStr">
        <is>
          <t>None</t>
        </is>
      </c>
      <c r="DN631" s="17" t="n"/>
      <c r="DO631" s="16" t="n"/>
      <c r="DP631" s="20" t="inlineStr">
        <is>
          <t>IC Organic Acids</t>
        </is>
      </c>
      <c r="DQ631" s="20" t="inlineStr">
        <is>
          <t>None</t>
        </is>
      </c>
      <c r="DR631" s="17" t="n"/>
      <c r="DS631" s="16" t="n"/>
      <c r="DT631" s="20" t="inlineStr">
        <is>
          <t>IC Organic Acids</t>
        </is>
      </c>
      <c r="DU631" s="20" t="inlineStr">
        <is>
          <t>None</t>
        </is>
      </c>
      <c r="DV631" s="17" t="n"/>
      <c r="DW631" s="16" t="n"/>
      <c r="DX631" s="20" t="inlineStr">
        <is>
          <t>IC Organic Acids</t>
        </is>
      </c>
      <c r="DY631" s="20" t="inlineStr">
        <is>
          <t>None</t>
        </is>
      </c>
      <c r="DZ631" s="17" t="n"/>
      <c r="EA631" s="16" t="n"/>
      <c r="EB631" s="20" t="inlineStr">
        <is>
          <t>IC Organic Acids</t>
        </is>
      </c>
      <c r="EC631" s="20" t="inlineStr">
        <is>
          <t>None</t>
        </is>
      </c>
      <c r="ED631" s="17" t="n"/>
      <c r="EE631" s="16" t="n"/>
      <c r="EF631" s="20" t="inlineStr">
        <is>
          <t>IC Organic Acids</t>
        </is>
      </c>
      <c r="EG631" s="20" t="inlineStr">
        <is>
          <t>None</t>
        </is>
      </c>
      <c r="EH631" s="17" t="n"/>
      <c r="EI631" s="16" t="n"/>
      <c r="EJ631" s="20" t="inlineStr">
        <is>
          <t>IC Organic Acids</t>
        </is>
      </c>
      <c r="EK631" s="20" t="inlineStr">
        <is>
          <t>None</t>
        </is>
      </c>
      <c r="EL631" s="17" t="n"/>
      <c r="EM631" s="16" t="n"/>
      <c r="EN631" s="20" t="inlineStr">
        <is>
          <t>IC Organic Acids</t>
        </is>
      </c>
      <c r="EO631" s="20" t="inlineStr">
        <is>
          <t>None</t>
        </is>
      </c>
      <c r="EP631" s="17" t="n"/>
      <c r="EQ631" s="16" t="n"/>
      <c r="ER631" s="20" t="inlineStr">
        <is>
          <t>IC Organic Acids</t>
        </is>
      </c>
      <c r="ES631" s="20" t="inlineStr">
        <is>
          <t>None</t>
        </is>
      </c>
      <c r="ET631" s="17" t="n"/>
      <c r="EU631" s="16" t="n"/>
      <c r="EV631" s="20" t="inlineStr">
        <is>
          <t>LC-MS</t>
        </is>
      </c>
      <c r="EW631" s="20" t="inlineStr">
        <is>
          <t>None</t>
        </is>
      </c>
      <c r="EX631" s="17" t="n"/>
      <c r="EY631" s="21" t="n"/>
      <c r="EZ631">
        <f>CONCATENATE(A631,B631)</f>
        <v/>
      </c>
      <c r="FA631">
        <f>CONCATENATE(SamplesX!A631,SamplesX!B631)</f>
        <v/>
      </c>
      <c r="FC631">
        <f>MATCH(EZ631,FA1:FA1008,0)</f>
        <v/>
      </c>
    </row>
    <row r="632">
      <c r="A632" s="16" t="n"/>
      <c r="B632" s="17" t="n"/>
      <c r="C632" s="10">
        <f>IF(ISNUMBER(FC632),INDIRECT("SamplesX!C"&amp;FC632),IF(ISNUMBER(FD632),INDIRECT("SamplesY!C"&amp;FD632),""))</f>
        <v/>
      </c>
      <c r="D632" s="12">
        <f>IF(ISNUMBER(FC632),INDIRECT("SamplesX!D"&amp;FC632),IF(ISNUMBER(FD632),INDIRECT("SamplesY!D"&amp;FD632),""))</f>
        <v/>
      </c>
      <c r="E632" s="12">
        <f>IF(ISNUMBER(FC632),INDIRECT("SamplesX!E"&amp;FC632),IF(ISNUMBER(FD632),INDIRECT("SamplesY!E"&amp;FD632),""))</f>
        <v/>
      </c>
      <c r="F632" s="11">
        <f>IF(ISNUMBER(FC632),INDIRECT("SamplesX!F"&amp;FC632),IF(ISNUMBER(FD632),INDIRECT("SamplesY!F"&amp;FD632),""))</f>
        <v/>
      </c>
      <c r="G632" s="18">
        <f>IF(ISNUMBER(FC632),INDIRECT("SamplesX!G"&amp;FC632),IF(ISNUMBER(FD632),INDIRECT("SamplesY!G"&amp;FD632),""))</f>
        <v/>
      </c>
      <c r="H632" s="19">
        <f>IF(ISNUMBER(FC632),INDIRECT("SamplesX!H"&amp;FC632),IF(ISNUMBER(FD632),INDIRECT("SamplesY!H"&amp;FD632),""))</f>
        <v/>
      </c>
      <c r="I632" s="16" t="n"/>
      <c r="J632" s="16" t="n"/>
      <c r="K632" s="16" t="n"/>
      <c r="L632" s="20" t="n"/>
      <c r="M632" s="20" t="inlineStr">
        <is>
          <t>None</t>
        </is>
      </c>
      <c r="N632" s="17" t="n"/>
      <c r="O632" s="16" t="n"/>
      <c r="P632" s="20" t="inlineStr">
        <is>
          <t>Shimadzu TOC-L</t>
        </is>
      </c>
      <c r="Q632" s="20" t="inlineStr">
        <is>
          <t>None</t>
        </is>
      </c>
      <c r="R632" s="17" t="n"/>
      <c r="S632" s="16" t="n"/>
      <c r="T632" s="20" t="inlineStr">
        <is>
          <t>Shimadzu TOC-L</t>
        </is>
      </c>
      <c r="U632" s="20" t="inlineStr">
        <is>
          <t>None</t>
        </is>
      </c>
      <c r="V632" s="17" t="n"/>
      <c r="W632" s="16" t="n"/>
      <c r="X632" s="20" t="n"/>
      <c r="Y632" s="20" t="inlineStr">
        <is>
          <t>None</t>
        </is>
      </c>
      <c r="Z632" s="17" t="n"/>
      <c r="AA632" s="16" t="n"/>
      <c r="AB632" s="20" t="n"/>
      <c r="AC632" s="20" t="inlineStr">
        <is>
          <t>None</t>
        </is>
      </c>
      <c r="AD632" s="17" t="n"/>
      <c r="AE632" s="16" t="n"/>
      <c r="AF632" s="20" t="inlineStr">
        <is>
          <t>IC Anionen</t>
        </is>
      </c>
      <c r="AG632" s="20" t="inlineStr">
        <is>
          <t>None</t>
        </is>
      </c>
      <c r="AH632" s="17" t="n"/>
      <c r="AI632" s="16" t="n"/>
      <c r="AJ632" s="20" t="n"/>
      <c r="AK632" s="20" t="inlineStr">
        <is>
          <t>None</t>
        </is>
      </c>
      <c r="AL632" s="17" t="n"/>
      <c r="AM632" s="16" t="n"/>
      <c r="AN632" s="20" t="inlineStr">
        <is>
          <t>IC Anionen</t>
        </is>
      </c>
      <c r="AO632" s="20" t="inlineStr">
        <is>
          <t>None</t>
        </is>
      </c>
      <c r="AP632" s="17" t="n"/>
      <c r="AQ632" s="16" t="n"/>
      <c r="AR632" s="20" t="n"/>
      <c r="AS632" s="20" t="inlineStr">
        <is>
          <t>None</t>
        </is>
      </c>
      <c r="AT632" s="17" t="n"/>
      <c r="AU632" s="16" t="n"/>
      <c r="AV632" s="20" t="n"/>
      <c r="AW632" s="20" t="inlineStr">
        <is>
          <t>None</t>
        </is>
      </c>
      <c r="AX632" s="17" t="n"/>
      <c r="AY632" s="16" t="n"/>
      <c r="AZ632" s="20" t="inlineStr">
        <is>
          <t>IC Anionen</t>
        </is>
      </c>
      <c r="BA632" s="20" t="inlineStr">
        <is>
          <t>None</t>
        </is>
      </c>
      <c r="BB632" s="17" t="n"/>
      <c r="BC632" s="16" t="n"/>
      <c r="BD632" s="20" t="inlineStr">
        <is>
          <t>IC Kationen</t>
        </is>
      </c>
      <c r="BE632" s="20" t="inlineStr">
        <is>
          <t>None</t>
        </is>
      </c>
      <c r="BF632" s="17" t="n"/>
      <c r="BG632" s="16" t="n"/>
      <c r="BH632" s="20" t="inlineStr">
        <is>
          <t>IC Kationen</t>
        </is>
      </c>
      <c r="BI632" s="20" t="inlineStr">
        <is>
          <t>None</t>
        </is>
      </c>
      <c r="BJ632" s="17" t="n"/>
      <c r="BK632" s="16" t="n"/>
      <c r="BL632" s="20" t="inlineStr">
        <is>
          <t>IC Kationen</t>
        </is>
      </c>
      <c r="BM632" s="20" t="inlineStr">
        <is>
          <t>None</t>
        </is>
      </c>
      <c r="BN632" s="17" t="n"/>
      <c r="BO632" s="16" t="n"/>
      <c r="BP632" s="20" t="inlineStr">
        <is>
          <t>IC Kationen</t>
        </is>
      </c>
      <c r="BQ632" s="20" t="inlineStr">
        <is>
          <t>None</t>
        </is>
      </c>
      <c r="BR632" s="17" t="n"/>
      <c r="BS632" s="16" t="n"/>
      <c r="BT632" s="20" t="inlineStr">
        <is>
          <t>IC Kationen</t>
        </is>
      </c>
      <c r="BU632" s="20" t="inlineStr">
        <is>
          <t>None</t>
        </is>
      </c>
      <c r="BV632" s="17" t="n"/>
      <c r="BW632" s="16" t="n"/>
      <c r="BX632" s="20" t="n"/>
      <c r="BY632" s="20" t="inlineStr">
        <is>
          <t>None</t>
        </is>
      </c>
      <c r="BZ632" s="17" t="n"/>
      <c r="CA632" s="16" t="n"/>
      <c r="CB632" s="20" t="n"/>
      <c r="CC632" s="20" t="inlineStr">
        <is>
          <t>None</t>
        </is>
      </c>
      <c r="CD632" s="17" t="n"/>
      <c r="CE632" s="16" t="n"/>
      <c r="CF632" s="20" t="n"/>
      <c r="CG632" s="20" t="inlineStr">
        <is>
          <t>None</t>
        </is>
      </c>
      <c r="CH632" s="17" t="n"/>
      <c r="CI632" s="16" t="n"/>
      <c r="CJ632" s="20" t="n"/>
      <c r="CK632" s="20" t="inlineStr">
        <is>
          <t>None</t>
        </is>
      </c>
      <c r="CL632" s="17" t="n"/>
      <c r="CM632" s="16" t="n"/>
      <c r="CN632" s="20" t="inlineStr">
        <is>
          <t>SOP 45-34</t>
        </is>
      </c>
      <c r="CO632" s="20" t="inlineStr">
        <is>
          <t>None</t>
        </is>
      </c>
      <c r="CP632" s="17" t="n"/>
      <c r="CQ632" s="16" t="n"/>
      <c r="CR632" s="20" t="n"/>
      <c r="CS632" s="20" t="inlineStr">
        <is>
          <t>None</t>
        </is>
      </c>
      <c r="CT632" s="17" t="n"/>
      <c r="CU632" s="16" t="n"/>
      <c r="CV632" s="20" t="n"/>
      <c r="CW632" s="20" t="inlineStr">
        <is>
          <t>None</t>
        </is>
      </c>
      <c r="CX632" s="17" t="n"/>
      <c r="CY632" s="16" t="n"/>
      <c r="CZ632" s="20" t="inlineStr">
        <is>
          <t>WTW Multimeter 3430 with FDO 925</t>
        </is>
      </c>
      <c r="DA632" s="20" t="inlineStr">
        <is>
          <t>None</t>
        </is>
      </c>
      <c r="DB632" s="17" t="n"/>
      <c r="DC632" s="16" t="n"/>
      <c r="DD632" s="20" t="n"/>
      <c r="DE632" s="20" t="inlineStr">
        <is>
          <t>None</t>
        </is>
      </c>
      <c r="DF632" s="17" t="n"/>
      <c r="DG632" s="16" t="n"/>
      <c r="DH632" s="20" t="inlineStr">
        <is>
          <t>SOP 45-09</t>
        </is>
      </c>
      <c r="DI632" s="20" t="inlineStr">
        <is>
          <t>None</t>
        </is>
      </c>
      <c r="DJ632" s="17" t="n"/>
      <c r="DK632" s="16" t="n"/>
      <c r="DL632" s="20" t="inlineStr">
        <is>
          <t>SOP 45-09 (SOP muss noch angepasst werden für VSS)</t>
        </is>
      </c>
      <c r="DM632" s="20" t="inlineStr">
        <is>
          <t>None</t>
        </is>
      </c>
      <c r="DN632" s="17" t="n"/>
      <c r="DO632" s="16" t="n"/>
      <c r="DP632" s="20" t="inlineStr">
        <is>
          <t>IC Organic Acids</t>
        </is>
      </c>
      <c r="DQ632" s="20" t="inlineStr">
        <is>
          <t>None</t>
        </is>
      </c>
      <c r="DR632" s="17" t="n"/>
      <c r="DS632" s="16" t="n"/>
      <c r="DT632" s="20" t="inlineStr">
        <is>
          <t>IC Organic Acids</t>
        </is>
      </c>
      <c r="DU632" s="20" t="inlineStr">
        <is>
          <t>None</t>
        </is>
      </c>
      <c r="DV632" s="17" t="n"/>
      <c r="DW632" s="16" t="n"/>
      <c r="DX632" s="20" t="inlineStr">
        <is>
          <t>IC Organic Acids</t>
        </is>
      </c>
      <c r="DY632" s="20" t="inlineStr">
        <is>
          <t>None</t>
        </is>
      </c>
      <c r="DZ632" s="17" t="n"/>
      <c r="EA632" s="16" t="n"/>
      <c r="EB632" s="20" t="inlineStr">
        <is>
          <t>IC Organic Acids</t>
        </is>
      </c>
      <c r="EC632" s="20" t="inlineStr">
        <is>
          <t>None</t>
        </is>
      </c>
      <c r="ED632" s="17" t="n"/>
      <c r="EE632" s="16" t="n"/>
      <c r="EF632" s="20" t="inlineStr">
        <is>
          <t>IC Organic Acids</t>
        </is>
      </c>
      <c r="EG632" s="20" t="inlineStr">
        <is>
          <t>None</t>
        </is>
      </c>
      <c r="EH632" s="17" t="n"/>
      <c r="EI632" s="16" t="n"/>
      <c r="EJ632" s="20" t="inlineStr">
        <is>
          <t>IC Organic Acids</t>
        </is>
      </c>
      <c r="EK632" s="20" t="inlineStr">
        <is>
          <t>None</t>
        </is>
      </c>
      <c r="EL632" s="17" t="n"/>
      <c r="EM632" s="16" t="n"/>
      <c r="EN632" s="20" t="inlineStr">
        <is>
          <t>IC Organic Acids</t>
        </is>
      </c>
      <c r="EO632" s="20" t="inlineStr">
        <is>
          <t>None</t>
        </is>
      </c>
      <c r="EP632" s="17" t="n"/>
      <c r="EQ632" s="16" t="n"/>
      <c r="ER632" s="20" t="inlineStr">
        <is>
          <t>IC Organic Acids</t>
        </is>
      </c>
      <c r="ES632" s="20" t="inlineStr">
        <is>
          <t>None</t>
        </is>
      </c>
      <c r="ET632" s="17" t="n"/>
      <c r="EU632" s="16" t="n"/>
      <c r="EV632" s="20" t="inlineStr">
        <is>
          <t>LC-MS</t>
        </is>
      </c>
      <c r="EW632" s="20" t="inlineStr">
        <is>
          <t>None</t>
        </is>
      </c>
      <c r="EX632" s="17" t="n"/>
      <c r="EY632" s="21" t="n"/>
      <c r="EZ632">
        <f>CONCATENATE(A632,B632)</f>
        <v/>
      </c>
      <c r="FA632">
        <f>CONCATENATE(SamplesX!A632,SamplesX!B632)</f>
        <v/>
      </c>
      <c r="FC632">
        <f>MATCH(EZ632,FA1:FA1008,0)</f>
        <v/>
      </c>
    </row>
    <row r="633">
      <c r="A633" s="16" t="n"/>
      <c r="B633" s="17" t="n"/>
      <c r="C633" s="10">
        <f>IF(ISNUMBER(FC633),INDIRECT("SamplesX!C"&amp;FC633),IF(ISNUMBER(FD633),INDIRECT("SamplesY!C"&amp;FD633),""))</f>
        <v/>
      </c>
      <c r="D633" s="12">
        <f>IF(ISNUMBER(FC633),INDIRECT("SamplesX!D"&amp;FC633),IF(ISNUMBER(FD633),INDIRECT("SamplesY!D"&amp;FD633),""))</f>
        <v/>
      </c>
      <c r="E633" s="12">
        <f>IF(ISNUMBER(FC633),INDIRECT("SamplesX!E"&amp;FC633),IF(ISNUMBER(FD633),INDIRECT("SamplesY!E"&amp;FD633),""))</f>
        <v/>
      </c>
      <c r="F633" s="11">
        <f>IF(ISNUMBER(FC633),INDIRECT("SamplesX!F"&amp;FC633),IF(ISNUMBER(FD633),INDIRECT("SamplesY!F"&amp;FD633),""))</f>
        <v/>
      </c>
      <c r="G633" s="18">
        <f>IF(ISNUMBER(FC633),INDIRECT("SamplesX!G"&amp;FC633),IF(ISNUMBER(FD633),INDIRECT("SamplesY!G"&amp;FD633),""))</f>
        <v/>
      </c>
      <c r="H633" s="19">
        <f>IF(ISNUMBER(FC633),INDIRECT("SamplesX!H"&amp;FC633),IF(ISNUMBER(FD633),INDIRECT("SamplesY!H"&amp;FD633),""))</f>
        <v/>
      </c>
      <c r="I633" s="16" t="n"/>
      <c r="J633" s="16" t="n"/>
      <c r="K633" s="16" t="n"/>
      <c r="L633" s="20" t="n"/>
      <c r="M633" s="20" t="inlineStr">
        <is>
          <t>None</t>
        </is>
      </c>
      <c r="N633" s="17" t="n"/>
      <c r="O633" s="16" t="n"/>
      <c r="P633" s="20" t="inlineStr">
        <is>
          <t>Shimadzu TOC-L</t>
        </is>
      </c>
      <c r="Q633" s="20" t="inlineStr">
        <is>
          <t>None</t>
        </is>
      </c>
      <c r="R633" s="17" t="n"/>
      <c r="S633" s="16" t="n"/>
      <c r="T633" s="20" t="inlineStr">
        <is>
          <t>Shimadzu TOC-L</t>
        </is>
      </c>
      <c r="U633" s="20" t="inlineStr">
        <is>
          <t>None</t>
        </is>
      </c>
      <c r="V633" s="17" t="n"/>
      <c r="W633" s="16" t="n"/>
      <c r="X633" s="20" t="n"/>
      <c r="Y633" s="20" t="inlineStr">
        <is>
          <t>None</t>
        </is>
      </c>
      <c r="Z633" s="17" t="n"/>
      <c r="AA633" s="16" t="n"/>
      <c r="AB633" s="20" t="n"/>
      <c r="AC633" s="20" t="inlineStr">
        <is>
          <t>None</t>
        </is>
      </c>
      <c r="AD633" s="17" t="n"/>
      <c r="AE633" s="16" t="n"/>
      <c r="AF633" s="20" t="inlineStr">
        <is>
          <t>IC Anionen</t>
        </is>
      </c>
      <c r="AG633" s="20" t="inlineStr">
        <is>
          <t>None</t>
        </is>
      </c>
      <c r="AH633" s="17" t="n"/>
      <c r="AI633" s="16" t="n"/>
      <c r="AJ633" s="20" t="n"/>
      <c r="AK633" s="20" t="inlineStr">
        <is>
          <t>None</t>
        </is>
      </c>
      <c r="AL633" s="17" t="n"/>
      <c r="AM633" s="16" t="n"/>
      <c r="AN633" s="20" t="inlineStr">
        <is>
          <t>IC Anionen</t>
        </is>
      </c>
      <c r="AO633" s="20" t="inlineStr">
        <is>
          <t>None</t>
        </is>
      </c>
      <c r="AP633" s="17" t="n"/>
      <c r="AQ633" s="16" t="n"/>
      <c r="AR633" s="20" t="n"/>
      <c r="AS633" s="20" t="inlineStr">
        <is>
          <t>None</t>
        </is>
      </c>
      <c r="AT633" s="17" t="n"/>
      <c r="AU633" s="16" t="n"/>
      <c r="AV633" s="20" t="n"/>
      <c r="AW633" s="20" t="inlineStr">
        <is>
          <t>None</t>
        </is>
      </c>
      <c r="AX633" s="17" t="n"/>
      <c r="AY633" s="16" t="n"/>
      <c r="AZ633" s="20" t="inlineStr">
        <is>
          <t>IC Anionen</t>
        </is>
      </c>
      <c r="BA633" s="20" t="inlineStr">
        <is>
          <t>None</t>
        </is>
      </c>
      <c r="BB633" s="17" t="n"/>
      <c r="BC633" s="16" t="n"/>
      <c r="BD633" s="20" t="inlineStr">
        <is>
          <t>IC Kationen</t>
        </is>
      </c>
      <c r="BE633" s="20" t="inlineStr">
        <is>
          <t>None</t>
        </is>
      </c>
      <c r="BF633" s="17" t="n"/>
      <c r="BG633" s="16" t="n"/>
      <c r="BH633" s="20" t="inlineStr">
        <is>
          <t>IC Kationen</t>
        </is>
      </c>
      <c r="BI633" s="20" t="inlineStr">
        <is>
          <t>None</t>
        </is>
      </c>
      <c r="BJ633" s="17" t="n"/>
      <c r="BK633" s="16" t="n"/>
      <c r="BL633" s="20" t="inlineStr">
        <is>
          <t>IC Kationen</t>
        </is>
      </c>
      <c r="BM633" s="20" t="inlineStr">
        <is>
          <t>None</t>
        </is>
      </c>
      <c r="BN633" s="17" t="n"/>
      <c r="BO633" s="16" t="n"/>
      <c r="BP633" s="20" t="inlineStr">
        <is>
          <t>IC Kationen</t>
        </is>
      </c>
      <c r="BQ633" s="20" t="inlineStr">
        <is>
          <t>None</t>
        </is>
      </c>
      <c r="BR633" s="17" t="n"/>
      <c r="BS633" s="16" t="n"/>
      <c r="BT633" s="20" t="inlineStr">
        <is>
          <t>IC Kationen</t>
        </is>
      </c>
      <c r="BU633" s="20" t="inlineStr">
        <is>
          <t>None</t>
        </is>
      </c>
      <c r="BV633" s="17" t="n"/>
      <c r="BW633" s="16" t="n"/>
      <c r="BX633" s="20" t="n"/>
      <c r="BY633" s="20" t="inlineStr">
        <is>
          <t>None</t>
        </is>
      </c>
      <c r="BZ633" s="17" t="n"/>
      <c r="CA633" s="16" t="n"/>
      <c r="CB633" s="20" t="n"/>
      <c r="CC633" s="20" t="inlineStr">
        <is>
          <t>None</t>
        </is>
      </c>
      <c r="CD633" s="17" t="n"/>
      <c r="CE633" s="16" t="n"/>
      <c r="CF633" s="20" t="n"/>
      <c r="CG633" s="20" t="inlineStr">
        <is>
          <t>None</t>
        </is>
      </c>
      <c r="CH633" s="17" t="n"/>
      <c r="CI633" s="16" t="n"/>
      <c r="CJ633" s="20" t="n"/>
      <c r="CK633" s="20" t="inlineStr">
        <is>
          <t>None</t>
        </is>
      </c>
      <c r="CL633" s="17" t="n"/>
      <c r="CM633" s="16" t="n"/>
      <c r="CN633" s="20" t="inlineStr">
        <is>
          <t>SOP 45-34</t>
        </is>
      </c>
      <c r="CO633" s="20" t="inlineStr">
        <is>
          <t>None</t>
        </is>
      </c>
      <c r="CP633" s="17" t="n"/>
      <c r="CQ633" s="16" t="n"/>
      <c r="CR633" s="20" t="n"/>
      <c r="CS633" s="20" t="inlineStr">
        <is>
          <t>None</t>
        </is>
      </c>
      <c r="CT633" s="17" t="n"/>
      <c r="CU633" s="16" t="n"/>
      <c r="CV633" s="20" t="n"/>
      <c r="CW633" s="20" t="inlineStr">
        <is>
          <t>None</t>
        </is>
      </c>
      <c r="CX633" s="17" t="n"/>
      <c r="CY633" s="16" t="n"/>
      <c r="CZ633" s="20" t="inlineStr">
        <is>
          <t>WTW Multimeter 3430 with FDO 925</t>
        </is>
      </c>
      <c r="DA633" s="20" t="inlineStr">
        <is>
          <t>None</t>
        </is>
      </c>
      <c r="DB633" s="17" t="n"/>
      <c r="DC633" s="16" t="n"/>
      <c r="DD633" s="20" t="n"/>
      <c r="DE633" s="20" t="inlineStr">
        <is>
          <t>None</t>
        </is>
      </c>
      <c r="DF633" s="17" t="n"/>
      <c r="DG633" s="16" t="n"/>
      <c r="DH633" s="20" t="inlineStr">
        <is>
          <t>SOP 45-09</t>
        </is>
      </c>
      <c r="DI633" s="20" t="inlineStr">
        <is>
          <t>None</t>
        </is>
      </c>
      <c r="DJ633" s="17" t="n"/>
      <c r="DK633" s="16" t="n"/>
      <c r="DL633" s="20" t="inlineStr">
        <is>
          <t>SOP 45-09 (SOP muss noch angepasst werden für VSS)</t>
        </is>
      </c>
      <c r="DM633" s="20" t="inlineStr">
        <is>
          <t>None</t>
        </is>
      </c>
      <c r="DN633" s="17" t="n"/>
      <c r="DO633" s="16" t="n"/>
      <c r="DP633" s="20" t="inlineStr">
        <is>
          <t>IC Organic Acids</t>
        </is>
      </c>
      <c r="DQ633" s="20" t="inlineStr">
        <is>
          <t>None</t>
        </is>
      </c>
      <c r="DR633" s="17" t="n"/>
      <c r="DS633" s="16" t="n"/>
      <c r="DT633" s="20" t="inlineStr">
        <is>
          <t>IC Organic Acids</t>
        </is>
      </c>
      <c r="DU633" s="20" t="inlineStr">
        <is>
          <t>None</t>
        </is>
      </c>
      <c r="DV633" s="17" t="n"/>
      <c r="DW633" s="16" t="n"/>
      <c r="DX633" s="20" t="inlineStr">
        <is>
          <t>IC Organic Acids</t>
        </is>
      </c>
      <c r="DY633" s="20" t="inlineStr">
        <is>
          <t>None</t>
        </is>
      </c>
      <c r="DZ633" s="17" t="n"/>
      <c r="EA633" s="16" t="n"/>
      <c r="EB633" s="20" t="inlineStr">
        <is>
          <t>IC Organic Acids</t>
        </is>
      </c>
      <c r="EC633" s="20" t="inlineStr">
        <is>
          <t>None</t>
        </is>
      </c>
      <c r="ED633" s="17" t="n"/>
      <c r="EE633" s="16" t="n"/>
      <c r="EF633" s="20" t="inlineStr">
        <is>
          <t>IC Organic Acids</t>
        </is>
      </c>
      <c r="EG633" s="20" t="inlineStr">
        <is>
          <t>None</t>
        </is>
      </c>
      <c r="EH633" s="17" t="n"/>
      <c r="EI633" s="16" t="n"/>
      <c r="EJ633" s="20" t="inlineStr">
        <is>
          <t>IC Organic Acids</t>
        </is>
      </c>
      <c r="EK633" s="20" t="inlineStr">
        <is>
          <t>None</t>
        </is>
      </c>
      <c r="EL633" s="17" t="n"/>
      <c r="EM633" s="16" t="n"/>
      <c r="EN633" s="20" t="inlineStr">
        <is>
          <t>IC Organic Acids</t>
        </is>
      </c>
      <c r="EO633" s="20" t="inlineStr">
        <is>
          <t>None</t>
        </is>
      </c>
      <c r="EP633" s="17" t="n"/>
      <c r="EQ633" s="16" t="n"/>
      <c r="ER633" s="20" t="inlineStr">
        <is>
          <t>IC Organic Acids</t>
        </is>
      </c>
      <c r="ES633" s="20" t="inlineStr">
        <is>
          <t>None</t>
        </is>
      </c>
      <c r="ET633" s="17" t="n"/>
      <c r="EU633" s="16" t="n"/>
      <c r="EV633" s="20" t="inlineStr">
        <is>
          <t>LC-MS</t>
        </is>
      </c>
      <c r="EW633" s="20" t="inlineStr">
        <is>
          <t>None</t>
        </is>
      </c>
      <c r="EX633" s="17" t="n"/>
      <c r="EY633" s="21" t="n"/>
      <c r="EZ633">
        <f>CONCATENATE(A633,B633)</f>
        <v/>
      </c>
      <c r="FA633">
        <f>CONCATENATE(SamplesX!A633,SamplesX!B633)</f>
        <v/>
      </c>
      <c r="FC633">
        <f>MATCH(EZ633,FA1:FA1008,0)</f>
        <v/>
      </c>
    </row>
    <row r="634">
      <c r="A634" s="16" t="n"/>
      <c r="B634" s="17" t="n"/>
      <c r="C634" s="10">
        <f>IF(ISNUMBER(FC634),INDIRECT("SamplesX!C"&amp;FC634),IF(ISNUMBER(FD634),INDIRECT("SamplesY!C"&amp;FD634),""))</f>
        <v/>
      </c>
      <c r="D634" s="12">
        <f>IF(ISNUMBER(FC634),INDIRECT("SamplesX!D"&amp;FC634),IF(ISNUMBER(FD634),INDIRECT("SamplesY!D"&amp;FD634),""))</f>
        <v/>
      </c>
      <c r="E634" s="12">
        <f>IF(ISNUMBER(FC634),INDIRECT("SamplesX!E"&amp;FC634),IF(ISNUMBER(FD634),INDIRECT("SamplesY!E"&amp;FD634),""))</f>
        <v/>
      </c>
      <c r="F634" s="11">
        <f>IF(ISNUMBER(FC634),INDIRECT("SamplesX!F"&amp;FC634),IF(ISNUMBER(FD634),INDIRECT("SamplesY!F"&amp;FD634),""))</f>
        <v/>
      </c>
      <c r="G634" s="18">
        <f>IF(ISNUMBER(FC634),INDIRECT("SamplesX!G"&amp;FC634),IF(ISNUMBER(FD634),INDIRECT("SamplesY!G"&amp;FD634),""))</f>
        <v/>
      </c>
      <c r="H634" s="19">
        <f>IF(ISNUMBER(FC634),INDIRECT("SamplesX!H"&amp;FC634),IF(ISNUMBER(FD634),INDIRECT("SamplesY!H"&amp;FD634),""))</f>
        <v/>
      </c>
      <c r="I634" s="16" t="n"/>
      <c r="J634" s="16" t="n"/>
      <c r="K634" s="16" t="n"/>
      <c r="L634" s="20" t="n"/>
      <c r="M634" s="20" t="inlineStr">
        <is>
          <t>None</t>
        </is>
      </c>
      <c r="N634" s="17" t="n"/>
      <c r="O634" s="16" t="n"/>
      <c r="P634" s="20" t="inlineStr">
        <is>
          <t>Shimadzu TOC-L</t>
        </is>
      </c>
      <c r="Q634" s="20" t="inlineStr">
        <is>
          <t>None</t>
        </is>
      </c>
      <c r="R634" s="17" t="n"/>
      <c r="S634" s="16" t="n"/>
      <c r="T634" s="20" t="inlineStr">
        <is>
          <t>Shimadzu TOC-L</t>
        </is>
      </c>
      <c r="U634" s="20" t="inlineStr">
        <is>
          <t>None</t>
        </is>
      </c>
      <c r="V634" s="17" t="n"/>
      <c r="W634" s="16" t="n"/>
      <c r="X634" s="20" t="n"/>
      <c r="Y634" s="20" t="inlineStr">
        <is>
          <t>None</t>
        </is>
      </c>
      <c r="Z634" s="17" t="n"/>
      <c r="AA634" s="16" t="n"/>
      <c r="AB634" s="20" t="n"/>
      <c r="AC634" s="20" t="inlineStr">
        <is>
          <t>None</t>
        </is>
      </c>
      <c r="AD634" s="17" t="n"/>
      <c r="AE634" s="16" t="n"/>
      <c r="AF634" s="20" t="inlineStr">
        <is>
          <t>IC Anionen</t>
        </is>
      </c>
      <c r="AG634" s="20" t="inlineStr">
        <is>
          <t>None</t>
        </is>
      </c>
      <c r="AH634" s="17" t="n"/>
      <c r="AI634" s="16" t="n"/>
      <c r="AJ634" s="20" t="n"/>
      <c r="AK634" s="20" t="inlineStr">
        <is>
          <t>None</t>
        </is>
      </c>
      <c r="AL634" s="17" t="n"/>
      <c r="AM634" s="16" t="n"/>
      <c r="AN634" s="20" t="inlineStr">
        <is>
          <t>IC Anionen</t>
        </is>
      </c>
      <c r="AO634" s="20" t="inlineStr">
        <is>
          <t>None</t>
        </is>
      </c>
      <c r="AP634" s="17" t="n"/>
      <c r="AQ634" s="16" t="n"/>
      <c r="AR634" s="20" t="n"/>
      <c r="AS634" s="20" t="inlineStr">
        <is>
          <t>None</t>
        </is>
      </c>
      <c r="AT634" s="17" t="n"/>
      <c r="AU634" s="16" t="n"/>
      <c r="AV634" s="20" t="n"/>
      <c r="AW634" s="20" t="inlineStr">
        <is>
          <t>None</t>
        </is>
      </c>
      <c r="AX634" s="17" t="n"/>
      <c r="AY634" s="16" t="n"/>
      <c r="AZ634" s="20" t="inlineStr">
        <is>
          <t>IC Anionen</t>
        </is>
      </c>
      <c r="BA634" s="20" t="inlineStr">
        <is>
          <t>None</t>
        </is>
      </c>
      <c r="BB634" s="17" t="n"/>
      <c r="BC634" s="16" t="n"/>
      <c r="BD634" s="20" t="inlineStr">
        <is>
          <t>IC Kationen</t>
        </is>
      </c>
      <c r="BE634" s="20" t="inlineStr">
        <is>
          <t>None</t>
        </is>
      </c>
      <c r="BF634" s="17" t="n"/>
      <c r="BG634" s="16" t="n"/>
      <c r="BH634" s="20" t="inlineStr">
        <is>
          <t>IC Kationen</t>
        </is>
      </c>
      <c r="BI634" s="20" t="inlineStr">
        <is>
          <t>None</t>
        </is>
      </c>
      <c r="BJ634" s="17" t="n"/>
      <c r="BK634" s="16" t="n"/>
      <c r="BL634" s="20" t="inlineStr">
        <is>
          <t>IC Kationen</t>
        </is>
      </c>
      <c r="BM634" s="20" t="inlineStr">
        <is>
          <t>None</t>
        </is>
      </c>
      <c r="BN634" s="17" t="n"/>
      <c r="BO634" s="16" t="n"/>
      <c r="BP634" s="20" t="inlineStr">
        <is>
          <t>IC Kationen</t>
        </is>
      </c>
      <c r="BQ634" s="20" t="inlineStr">
        <is>
          <t>None</t>
        </is>
      </c>
      <c r="BR634" s="17" t="n"/>
      <c r="BS634" s="16" t="n"/>
      <c r="BT634" s="20" t="inlineStr">
        <is>
          <t>IC Kationen</t>
        </is>
      </c>
      <c r="BU634" s="20" t="inlineStr">
        <is>
          <t>None</t>
        </is>
      </c>
      <c r="BV634" s="17" t="n"/>
      <c r="BW634" s="16" t="n"/>
      <c r="BX634" s="20" t="n"/>
      <c r="BY634" s="20" t="inlineStr">
        <is>
          <t>None</t>
        </is>
      </c>
      <c r="BZ634" s="17" t="n"/>
      <c r="CA634" s="16" t="n"/>
      <c r="CB634" s="20" t="n"/>
      <c r="CC634" s="20" t="inlineStr">
        <is>
          <t>None</t>
        </is>
      </c>
      <c r="CD634" s="17" t="n"/>
      <c r="CE634" s="16" t="n"/>
      <c r="CF634" s="20" t="n"/>
      <c r="CG634" s="20" t="inlineStr">
        <is>
          <t>None</t>
        </is>
      </c>
      <c r="CH634" s="17" t="n"/>
      <c r="CI634" s="16" t="n"/>
      <c r="CJ634" s="20" t="n"/>
      <c r="CK634" s="20" t="inlineStr">
        <is>
          <t>None</t>
        </is>
      </c>
      <c r="CL634" s="17" t="n"/>
      <c r="CM634" s="16" t="n"/>
      <c r="CN634" s="20" t="inlineStr">
        <is>
          <t>SOP 45-34</t>
        </is>
      </c>
      <c r="CO634" s="20" t="inlineStr">
        <is>
          <t>None</t>
        </is>
      </c>
      <c r="CP634" s="17" t="n"/>
      <c r="CQ634" s="16" t="n"/>
      <c r="CR634" s="20" t="n"/>
      <c r="CS634" s="20" t="inlineStr">
        <is>
          <t>None</t>
        </is>
      </c>
      <c r="CT634" s="17" t="n"/>
      <c r="CU634" s="16" t="n"/>
      <c r="CV634" s="20" t="n"/>
      <c r="CW634" s="20" t="inlineStr">
        <is>
          <t>None</t>
        </is>
      </c>
      <c r="CX634" s="17" t="n"/>
      <c r="CY634" s="16" t="n"/>
      <c r="CZ634" s="20" t="inlineStr">
        <is>
          <t>WTW Multimeter 3430 with FDO 925</t>
        </is>
      </c>
      <c r="DA634" s="20" t="inlineStr">
        <is>
          <t>None</t>
        </is>
      </c>
      <c r="DB634" s="17" t="n"/>
      <c r="DC634" s="16" t="n"/>
      <c r="DD634" s="20" t="n"/>
      <c r="DE634" s="20" t="inlineStr">
        <is>
          <t>None</t>
        </is>
      </c>
      <c r="DF634" s="17" t="n"/>
      <c r="DG634" s="16" t="n"/>
      <c r="DH634" s="20" t="inlineStr">
        <is>
          <t>SOP 45-09</t>
        </is>
      </c>
      <c r="DI634" s="20" t="inlineStr">
        <is>
          <t>None</t>
        </is>
      </c>
      <c r="DJ634" s="17" t="n"/>
      <c r="DK634" s="16" t="n"/>
      <c r="DL634" s="20" t="inlineStr">
        <is>
          <t>SOP 45-09 (SOP muss noch angepasst werden für VSS)</t>
        </is>
      </c>
      <c r="DM634" s="20" t="inlineStr">
        <is>
          <t>None</t>
        </is>
      </c>
      <c r="DN634" s="17" t="n"/>
      <c r="DO634" s="16" t="n"/>
      <c r="DP634" s="20" t="inlineStr">
        <is>
          <t>IC Organic Acids</t>
        </is>
      </c>
      <c r="DQ634" s="20" t="inlineStr">
        <is>
          <t>None</t>
        </is>
      </c>
      <c r="DR634" s="17" t="n"/>
      <c r="DS634" s="16" t="n"/>
      <c r="DT634" s="20" t="inlineStr">
        <is>
          <t>IC Organic Acids</t>
        </is>
      </c>
      <c r="DU634" s="20" t="inlineStr">
        <is>
          <t>None</t>
        </is>
      </c>
      <c r="DV634" s="17" t="n"/>
      <c r="DW634" s="16" t="n"/>
      <c r="DX634" s="20" t="inlineStr">
        <is>
          <t>IC Organic Acids</t>
        </is>
      </c>
      <c r="DY634" s="20" t="inlineStr">
        <is>
          <t>None</t>
        </is>
      </c>
      <c r="DZ634" s="17" t="n"/>
      <c r="EA634" s="16" t="n"/>
      <c r="EB634" s="20" t="inlineStr">
        <is>
          <t>IC Organic Acids</t>
        </is>
      </c>
      <c r="EC634" s="20" t="inlineStr">
        <is>
          <t>None</t>
        </is>
      </c>
      <c r="ED634" s="17" t="n"/>
      <c r="EE634" s="16" t="n"/>
      <c r="EF634" s="20" t="inlineStr">
        <is>
          <t>IC Organic Acids</t>
        </is>
      </c>
      <c r="EG634" s="20" t="inlineStr">
        <is>
          <t>None</t>
        </is>
      </c>
      <c r="EH634" s="17" t="n"/>
      <c r="EI634" s="16" t="n"/>
      <c r="EJ634" s="20" t="inlineStr">
        <is>
          <t>IC Organic Acids</t>
        </is>
      </c>
      <c r="EK634" s="20" t="inlineStr">
        <is>
          <t>None</t>
        </is>
      </c>
      <c r="EL634" s="17" t="n"/>
      <c r="EM634" s="16" t="n"/>
      <c r="EN634" s="20" t="inlineStr">
        <is>
          <t>IC Organic Acids</t>
        </is>
      </c>
      <c r="EO634" s="20" t="inlineStr">
        <is>
          <t>None</t>
        </is>
      </c>
      <c r="EP634" s="17" t="n"/>
      <c r="EQ634" s="16" t="n"/>
      <c r="ER634" s="20" t="inlineStr">
        <is>
          <t>IC Organic Acids</t>
        </is>
      </c>
      <c r="ES634" s="20" t="inlineStr">
        <is>
          <t>None</t>
        </is>
      </c>
      <c r="ET634" s="17" t="n"/>
      <c r="EU634" s="16" t="n"/>
      <c r="EV634" s="20" t="inlineStr">
        <is>
          <t>LC-MS</t>
        </is>
      </c>
      <c r="EW634" s="20" t="inlineStr">
        <is>
          <t>None</t>
        </is>
      </c>
      <c r="EX634" s="17" t="n"/>
      <c r="EY634" s="21" t="n"/>
      <c r="EZ634">
        <f>CONCATENATE(A634,B634)</f>
        <v/>
      </c>
      <c r="FA634">
        <f>CONCATENATE(SamplesX!A634,SamplesX!B634)</f>
        <v/>
      </c>
      <c r="FC634">
        <f>MATCH(EZ634,FA1:FA1008,0)</f>
        <v/>
      </c>
    </row>
    <row r="635">
      <c r="A635" s="16" t="n"/>
      <c r="B635" s="17" t="n"/>
      <c r="C635" s="10">
        <f>IF(ISNUMBER(FC635),INDIRECT("SamplesX!C"&amp;FC635),IF(ISNUMBER(FD635),INDIRECT("SamplesY!C"&amp;FD635),""))</f>
        <v/>
      </c>
      <c r="D635" s="12">
        <f>IF(ISNUMBER(FC635),INDIRECT("SamplesX!D"&amp;FC635),IF(ISNUMBER(FD635),INDIRECT("SamplesY!D"&amp;FD635),""))</f>
        <v/>
      </c>
      <c r="E635" s="12">
        <f>IF(ISNUMBER(FC635),INDIRECT("SamplesX!E"&amp;FC635),IF(ISNUMBER(FD635),INDIRECT("SamplesY!E"&amp;FD635),""))</f>
        <v/>
      </c>
      <c r="F635" s="11">
        <f>IF(ISNUMBER(FC635),INDIRECT("SamplesX!F"&amp;FC635),IF(ISNUMBER(FD635),INDIRECT("SamplesY!F"&amp;FD635),""))</f>
        <v/>
      </c>
      <c r="G635" s="18">
        <f>IF(ISNUMBER(FC635),INDIRECT("SamplesX!G"&amp;FC635),IF(ISNUMBER(FD635),INDIRECT("SamplesY!G"&amp;FD635),""))</f>
        <v/>
      </c>
      <c r="H635" s="19">
        <f>IF(ISNUMBER(FC635),INDIRECT("SamplesX!H"&amp;FC635),IF(ISNUMBER(FD635),INDIRECT("SamplesY!H"&amp;FD635),""))</f>
        <v/>
      </c>
      <c r="I635" s="16" t="n"/>
      <c r="J635" s="16" t="n"/>
      <c r="K635" s="16" t="n"/>
      <c r="L635" s="20" t="n"/>
      <c r="M635" s="20" t="inlineStr">
        <is>
          <t>None</t>
        </is>
      </c>
      <c r="N635" s="17" t="n"/>
      <c r="O635" s="16" t="n"/>
      <c r="P635" s="20" t="inlineStr">
        <is>
          <t>Shimadzu TOC-L</t>
        </is>
      </c>
      <c r="Q635" s="20" t="inlineStr">
        <is>
          <t>None</t>
        </is>
      </c>
      <c r="R635" s="17" t="n"/>
      <c r="S635" s="16" t="n"/>
      <c r="T635" s="20" t="inlineStr">
        <is>
          <t>Shimadzu TOC-L</t>
        </is>
      </c>
      <c r="U635" s="20" t="inlineStr">
        <is>
          <t>None</t>
        </is>
      </c>
      <c r="V635" s="17" t="n"/>
      <c r="W635" s="16" t="n"/>
      <c r="X635" s="20" t="n"/>
      <c r="Y635" s="20" t="inlineStr">
        <is>
          <t>None</t>
        </is>
      </c>
      <c r="Z635" s="17" t="n"/>
      <c r="AA635" s="16" t="n"/>
      <c r="AB635" s="20" t="n"/>
      <c r="AC635" s="20" t="inlineStr">
        <is>
          <t>None</t>
        </is>
      </c>
      <c r="AD635" s="17" t="n"/>
      <c r="AE635" s="16" t="n"/>
      <c r="AF635" s="20" t="inlineStr">
        <is>
          <t>IC Anionen</t>
        </is>
      </c>
      <c r="AG635" s="20" t="inlineStr">
        <is>
          <t>None</t>
        </is>
      </c>
      <c r="AH635" s="17" t="n"/>
      <c r="AI635" s="16" t="n"/>
      <c r="AJ635" s="20" t="n"/>
      <c r="AK635" s="20" t="inlineStr">
        <is>
          <t>None</t>
        </is>
      </c>
      <c r="AL635" s="17" t="n"/>
      <c r="AM635" s="16" t="n"/>
      <c r="AN635" s="20" t="inlineStr">
        <is>
          <t>IC Anionen</t>
        </is>
      </c>
      <c r="AO635" s="20" t="inlineStr">
        <is>
          <t>None</t>
        </is>
      </c>
      <c r="AP635" s="17" t="n"/>
      <c r="AQ635" s="16" t="n"/>
      <c r="AR635" s="20" t="n"/>
      <c r="AS635" s="20" t="inlineStr">
        <is>
          <t>None</t>
        </is>
      </c>
      <c r="AT635" s="17" t="n"/>
      <c r="AU635" s="16" t="n"/>
      <c r="AV635" s="20" t="n"/>
      <c r="AW635" s="20" t="inlineStr">
        <is>
          <t>None</t>
        </is>
      </c>
      <c r="AX635" s="17" t="n"/>
      <c r="AY635" s="16" t="n"/>
      <c r="AZ635" s="20" t="inlineStr">
        <is>
          <t>IC Anionen</t>
        </is>
      </c>
      <c r="BA635" s="20" t="inlineStr">
        <is>
          <t>None</t>
        </is>
      </c>
      <c r="BB635" s="17" t="n"/>
      <c r="BC635" s="16" t="n"/>
      <c r="BD635" s="20" t="inlineStr">
        <is>
          <t>IC Kationen</t>
        </is>
      </c>
      <c r="BE635" s="20" t="inlineStr">
        <is>
          <t>None</t>
        </is>
      </c>
      <c r="BF635" s="17" t="n"/>
      <c r="BG635" s="16" t="n"/>
      <c r="BH635" s="20" t="inlineStr">
        <is>
          <t>IC Kationen</t>
        </is>
      </c>
      <c r="BI635" s="20" t="inlineStr">
        <is>
          <t>None</t>
        </is>
      </c>
      <c r="BJ635" s="17" t="n"/>
      <c r="BK635" s="16" t="n"/>
      <c r="BL635" s="20" t="inlineStr">
        <is>
          <t>IC Kationen</t>
        </is>
      </c>
      <c r="BM635" s="20" t="inlineStr">
        <is>
          <t>None</t>
        </is>
      </c>
      <c r="BN635" s="17" t="n"/>
      <c r="BO635" s="16" t="n"/>
      <c r="BP635" s="20" t="inlineStr">
        <is>
          <t>IC Kationen</t>
        </is>
      </c>
      <c r="BQ635" s="20" t="inlineStr">
        <is>
          <t>None</t>
        </is>
      </c>
      <c r="BR635" s="17" t="n"/>
      <c r="BS635" s="16" t="n"/>
      <c r="BT635" s="20" t="inlineStr">
        <is>
          <t>IC Kationen</t>
        </is>
      </c>
      <c r="BU635" s="20" t="inlineStr">
        <is>
          <t>None</t>
        </is>
      </c>
      <c r="BV635" s="17" t="n"/>
      <c r="BW635" s="16" t="n"/>
      <c r="BX635" s="20" t="n"/>
      <c r="BY635" s="20" t="inlineStr">
        <is>
          <t>None</t>
        </is>
      </c>
      <c r="BZ635" s="17" t="n"/>
      <c r="CA635" s="16" t="n"/>
      <c r="CB635" s="20" t="n"/>
      <c r="CC635" s="20" t="inlineStr">
        <is>
          <t>None</t>
        </is>
      </c>
      <c r="CD635" s="17" t="n"/>
      <c r="CE635" s="16" t="n"/>
      <c r="CF635" s="20" t="n"/>
      <c r="CG635" s="20" t="inlineStr">
        <is>
          <t>None</t>
        </is>
      </c>
      <c r="CH635" s="17" t="n"/>
      <c r="CI635" s="16" t="n"/>
      <c r="CJ635" s="20" t="n"/>
      <c r="CK635" s="20" t="inlineStr">
        <is>
          <t>None</t>
        </is>
      </c>
      <c r="CL635" s="17" t="n"/>
      <c r="CM635" s="16" t="n"/>
      <c r="CN635" s="20" t="inlineStr">
        <is>
          <t>SOP 45-34</t>
        </is>
      </c>
      <c r="CO635" s="20" t="inlineStr">
        <is>
          <t>None</t>
        </is>
      </c>
      <c r="CP635" s="17" t="n"/>
      <c r="CQ635" s="16" t="n"/>
      <c r="CR635" s="20" t="n"/>
      <c r="CS635" s="20" t="inlineStr">
        <is>
          <t>None</t>
        </is>
      </c>
      <c r="CT635" s="17" t="n"/>
      <c r="CU635" s="16" t="n"/>
      <c r="CV635" s="20" t="n"/>
      <c r="CW635" s="20" t="inlineStr">
        <is>
          <t>None</t>
        </is>
      </c>
      <c r="CX635" s="17" t="n"/>
      <c r="CY635" s="16" t="n"/>
      <c r="CZ635" s="20" t="inlineStr">
        <is>
          <t>WTW Multimeter 3430 with FDO 925</t>
        </is>
      </c>
      <c r="DA635" s="20" t="inlineStr">
        <is>
          <t>None</t>
        </is>
      </c>
      <c r="DB635" s="17" t="n"/>
      <c r="DC635" s="16" t="n"/>
      <c r="DD635" s="20" t="n"/>
      <c r="DE635" s="20" t="inlineStr">
        <is>
          <t>None</t>
        </is>
      </c>
      <c r="DF635" s="17" t="n"/>
      <c r="DG635" s="16" t="n"/>
      <c r="DH635" s="20" t="inlineStr">
        <is>
          <t>SOP 45-09</t>
        </is>
      </c>
      <c r="DI635" s="20" t="inlineStr">
        <is>
          <t>None</t>
        </is>
      </c>
      <c r="DJ635" s="17" t="n"/>
      <c r="DK635" s="16" t="n"/>
      <c r="DL635" s="20" t="inlineStr">
        <is>
          <t>SOP 45-09 (SOP muss noch angepasst werden für VSS)</t>
        </is>
      </c>
      <c r="DM635" s="20" t="inlineStr">
        <is>
          <t>None</t>
        </is>
      </c>
      <c r="DN635" s="17" t="n"/>
      <c r="DO635" s="16" t="n"/>
      <c r="DP635" s="20" t="inlineStr">
        <is>
          <t>IC Organic Acids</t>
        </is>
      </c>
      <c r="DQ635" s="20" t="inlineStr">
        <is>
          <t>None</t>
        </is>
      </c>
      <c r="DR635" s="17" t="n"/>
      <c r="DS635" s="16" t="n"/>
      <c r="DT635" s="20" t="inlineStr">
        <is>
          <t>IC Organic Acids</t>
        </is>
      </c>
      <c r="DU635" s="20" t="inlineStr">
        <is>
          <t>None</t>
        </is>
      </c>
      <c r="DV635" s="17" t="n"/>
      <c r="DW635" s="16" t="n"/>
      <c r="DX635" s="20" t="inlineStr">
        <is>
          <t>IC Organic Acids</t>
        </is>
      </c>
      <c r="DY635" s="20" t="inlineStr">
        <is>
          <t>None</t>
        </is>
      </c>
      <c r="DZ635" s="17" t="n"/>
      <c r="EA635" s="16" t="n"/>
      <c r="EB635" s="20" t="inlineStr">
        <is>
          <t>IC Organic Acids</t>
        </is>
      </c>
      <c r="EC635" s="20" t="inlineStr">
        <is>
          <t>None</t>
        </is>
      </c>
      <c r="ED635" s="17" t="n"/>
      <c r="EE635" s="16" t="n"/>
      <c r="EF635" s="20" t="inlineStr">
        <is>
          <t>IC Organic Acids</t>
        </is>
      </c>
      <c r="EG635" s="20" t="inlineStr">
        <is>
          <t>None</t>
        </is>
      </c>
      <c r="EH635" s="17" t="n"/>
      <c r="EI635" s="16" t="n"/>
      <c r="EJ635" s="20" t="inlineStr">
        <is>
          <t>IC Organic Acids</t>
        </is>
      </c>
      <c r="EK635" s="20" t="inlineStr">
        <is>
          <t>None</t>
        </is>
      </c>
      <c r="EL635" s="17" t="n"/>
      <c r="EM635" s="16" t="n"/>
      <c r="EN635" s="20" t="inlineStr">
        <is>
          <t>IC Organic Acids</t>
        </is>
      </c>
      <c r="EO635" s="20" t="inlineStr">
        <is>
          <t>None</t>
        </is>
      </c>
      <c r="EP635" s="17" t="n"/>
      <c r="EQ635" s="16" t="n"/>
      <c r="ER635" s="20" t="inlineStr">
        <is>
          <t>IC Organic Acids</t>
        </is>
      </c>
      <c r="ES635" s="20" t="inlineStr">
        <is>
          <t>None</t>
        </is>
      </c>
      <c r="ET635" s="17" t="n"/>
      <c r="EU635" s="16" t="n"/>
      <c r="EV635" s="20" t="inlineStr">
        <is>
          <t>LC-MS</t>
        </is>
      </c>
      <c r="EW635" s="20" t="inlineStr">
        <is>
          <t>None</t>
        </is>
      </c>
      <c r="EX635" s="17" t="n"/>
      <c r="EY635" s="21" t="n"/>
      <c r="EZ635">
        <f>CONCATENATE(A635,B635)</f>
        <v/>
      </c>
      <c r="FA635">
        <f>CONCATENATE(SamplesX!A635,SamplesX!B635)</f>
        <v/>
      </c>
      <c r="FC635">
        <f>MATCH(EZ635,FA1:FA1008,0)</f>
        <v/>
      </c>
    </row>
    <row r="636">
      <c r="A636" s="16" t="n"/>
      <c r="B636" s="17" t="n"/>
      <c r="C636" s="10">
        <f>IF(ISNUMBER(FC636),INDIRECT("SamplesX!C"&amp;FC636),IF(ISNUMBER(FD636),INDIRECT("SamplesY!C"&amp;FD636),""))</f>
        <v/>
      </c>
      <c r="D636" s="12">
        <f>IF(ISNUMBER(FC636),INDIRECT("SamplesX!D"&amp;FC636),IF(ISNUMBER(FD636),INDIRECT("SamplesY!D"&amp;FD636),""))</f>
        <v/>
      </c>
      <c r="E636" s="12">
        <f>IF(ISNUMBER(FC636),INDIRECT("SamplesX!E"&amp;FC636),IF(ISNUMBER(FD636),INDIRECT("SamplesY!E"&amp;FD636),""))</f>
        <v/>
      </c>
      <c r="F636" s="11">
        <f>IF(ISNUMBER(FC636),INDIRECT("SamplesX!F"&amp;FC636),IF(ISNUMBER(FD636),INDIRECT("SamplesY!F"&amp;FD636),""))</f>
        <v/>
      </c>
      <c r="G636" s="18">
        <f>IF(ISNUMBER(FC636),INDIRECT("SamplesX!G"&amp;FC636),IF(ISNUMBER(FD636),INDIRECT("SamplesY!G"&amp;FD636),""))</f>
        <v/>
      </c>
      <c r="H636" s="19">
        <f>IF(ISNUMBER(FC636),INDIRECT("SamplesX!H"&amp;FC636),IF(ISNUMBER(FD636),INDIRECT("SamplesY!H"&amp;FD636),""))</f>
        <v/>
      </c>
      <c r="I636" s="16" t="n"/>
      <c r="J636" s="16" t="n"/>
      <c r="K636" s="16" t="n"/>
      <c r="L636" s="20" t="n"/>
      <c r="M636" s="20" t="inlineStr">
        <is>
          <t>None</t>
        </is>
      </c>
      <c r="N636" s="17" t="n"/>
      <c r="O636" s="16" t="n"/>
      <c r="P636" s="20" t="inlineStr">
        <is>
          <t>Shimadzu TOC-L</t>
        </is>
      </c>
      <c r="Q636" s="20" t="inlineStr">
        <is>
          <t>None</t>
        </is>
      </c>
      <c r="R636" s="17" t="n"/>
      <c r="S636" s="16" t="n"/>
      <c r="T636" s="20" t="inlineStr">
        <is>
          <t>Shimadzu TOC-L</t>
        </is>
      </c>
      <c r="U636" s="20" t="inlineStr">
        <is>
          <t>None</t>
        </is>
      </c>
      <c r="V636" s="17" t="n"/>
      <c r="W636" s="16" t="n"/>
      <c r="X636" s="20" t="n"/>
      <c r="Y636" s="20" t="inlineStr">
        <is>
          <t>None</t>
        </is>
      </c>
      <c r="Z636" s="17" t="n"/>
      <c r="AA636" s="16" t="n"/>
      <c r="AB636" s="20" t="n"/>
      <c r="AC636" s="20" t="inlineStr">
        <is>
          <t>None</t>
        </is>
      </c>
      <c r="AD636" s="17" t="n"/>
      <c r="AE636" s="16" t="n"/>
      <c r="AF636" s="20" t="inlineStr">
        <is>
          <t>IC Anionen</t>
        </is>
      </c>
      <c r="AG636" s="20" t="inlineStr">
        <is>
          <t>None</t>
        </is>
      </c>
      <c r="AH636" s="17" t="n"/>
      <c r="AI636" s="16" t="n"/>
      <c r="AJ636" s="20" t="n"/>
      <c r="AK636" s="20" t="inlineStr">
        <is>
          <t>None</t>
        </is>
      </c>
      <c r="AL636" s="17" t="n"/>
      <c r="AM636" s="16" t="n"/>
      <c r="AN636" s="20" t="inlineStr">
        <is>
          <t>IC Anionen</t>
        </is>
      </c>
      <c r="AO636" s="20" t="inlineStr">
        <is>
          <t>None</t>
        </is>
      </c>
      <c r="AP636" s="17" t="n"/>
      <c r="AQ636" s="16" t="n"/>
      <c r="AR636" s="20" t="n"/>
      <c r="AS636" s="20" t="inlineStr">
        <is>
          <t>None</t>
        </is>
      </c>
      <c r="AT636" s="17" t="n"/>
      <c r="AU636" s="16" t="n"/>
      <c r="AV636" s="20" t="n"/>
      <c r="AW636" s="20" t="inlineStr">
        <is>
          <t>None</t>
        </is>
      </c>
      <c r="AX636" s="17" t="n"/>
      <c r="AY636" s="16" t="n"/>
      <c r="AZ636" s="20" t="inlineStr">
        <is>
          <t>IC Anionen</t>
        </is>
      </c>
      <c r="BA636" s="20" t="inlineStr">
        <is>
          <t>None</t>
        </is>
      </c>
      <c r="BB636" s="17" t="n"/>
      <c r="BC636" s="16" t="n"/>
      <c r="BD636" s="20" t="inlineStr">
        <is>
          <t>IC Kationen</t>
        </is>
      </c>
      <c r="BE636" s="20" t="inlineStr">
        <is>
          <t>None</t>
        </is>
      </c>
      <c r="BF636" s="17" t="n"/>
      <c r="BG636" s="16" t="n"/>
      <c r="BH636" s="20" t="inlineStr">
        <is>
          <t>IC Kationen</t>
        </is>
      </c>
      <c r="BI636" s="20" t="inlineStr">
        <is>
          <t>None</t>
        </is>
      </c>
      <c r="BJ636" s="17" t="n"/>
      <c r="BK636" s="16" t="n"/>
      <c r="BL636" s="20" t="inlineStr">
        <is>
          <t>IC Kationen</t>
        </is>
      </c>
      <c r="BM636" s="20" t="inlineStr">
        <is>
          <t>None</t>
        </is>
      </c>
      <c r="BN636" s="17" t="n"/>
      <c r="BO636" s="16" t="n"/>
      <c r="BP636" s="20" t="inlineStr">
        <is>
          <t>IC Kationen</t>
        </is>
      </c>
      <c r="BQ636" s="20" t="inlineStr">
        <is>
          <t>None</t>
        </is>
      </c>
      <c r="BR636" s="17" t="n"/>
      <c r="BS636" s="16" t="n"/>
      <c r="BT636" s="20" t="inlineStr">
        <is>
          <t>IC Kationen</t>
        </is>
      </c>
      <c r="BU636" s="20" t="inlineStr">
        <is>
          <t>None</t>
        </is>
      </c>
      <c r="BV636" s="17" t="n"/>
      <c r="BW636" s="16" t="n"/>
      <c r="BX636" s="20" t="n"/>
      <c r="BY636" s="20" t="inlineStr">
        <is>
          <t>None</t>
        </is>
      </c>
      <c r="BZ636" s="17" t="n"/>
      <c r="CA636" s="16" t="n"/>
      <c r="CB636" s="20" t="n"/>
      <c r="CC636" s="20" t="inlineStr">
        <is>
          <t>None</t>
        </is>
      </c>
      <c r="CD636" s="17" t="n"/>
      <c r="CE636" s="16" t="n"/>
      <c r="CF636" s="20" t="n"/>
      <c r="CG636" s="20" t="inlineStr">
        <is>
          <t>None</t>
        </is>
      </c>
      <c r="CH636" s="17" t="n"/>
      <c r="CI636" s="16" t="n"/>
      <c r="CJ636" s="20" t="n"/>
      <c r="CK636" s="20" t="inlineStr">
        <is>
          <t>None</t>
        </is>
      </c>
      <c r="CL636" s="17" t="n"/>
      <c r="CM636" s="16" t="n"/>
      <c r="CN636" s="20" t="inlineStr">
        <is>
          <t>SOP 45-34</t>
        </is>
      </c>
      <c r="CO636" s="20" t="inlineStr">
        <is>
          <t>None</t>
        </is>
      </c>
      <c r="CP636" s="17" t="n"/>
      <c r="CQ636" s="16" t="n"/>
      <c r="CR636" s="20" t="n"/>
      <c r="CS636" s="20" t="inlineStr">
        <is>
          <t>None</t>
        </is>
      </c>
      <c r="CT636" s="17" t="n"/>
      <c r="CU636" s="16" t="n"/>
      <c r="CV636" s="20" t="n"/>
      <c r="CW636" s="20" t="inlineStr">
        <is>
          <t>None</t>
        </is>
      </c>
      <c r="CX636" s="17" t="n"/>
      <c r="CY636" s="16" t="n"/>
      <c r="CZ636" s="20" t="inlineStr">
        <is>
          <t>WTW Multimeter 3430 with FDO 925</t>
        </is>
      </c>
      <c r="DA636" s="20" t="inlineStr">
        <is>
          <t>None</t>
        </is>
      </c>
      <c r="DB636" s="17" t="n"/>
      <c r="DC636" s="16" t="n"/>
      <c r="DD636" s="20" t="n"/>
      <c r="DE636" s="20" t="inlineStr">
        <is>
          <t>None</t>
        </is>
      </c>
      <c r="DF636" s="17" t="n"/>
      <c r="DG636" s="16" t="n"/>
      <c r="DH636" s="20" t="inlineStr">
        <is>
          <t>SOP 45-09</t>
        </is>
      </c>
      <c r="DI636" s="20" t="inlineStr">
        <is>
          <t>None</t>
        </is>
      </c>
      <c r="DJ636" s="17" t="n"/>
      <c r="DK636" s="16" t="n"/>
      <c r="DL636" s="20" t="inlineStr">
        <is>
          <t>SOP 45-09 (SOP muss noch angepasst werden für VSS)</t>
        </is>
      </c>
      <c r="DM636" s="20" t="inlineStr">
        <is>
          <t>None</t>
        </is>
      </c>
      <c r="DN636" s="17" t="n"/>
      <c r="DO636" s="16" t="n"/>
      <c r="DP636" s="20" t="inlineStr">
        <is>
          <t>IC Organic Acids</t>
        </is>
      </c>
      <c r="DQ636" s="20" t="inlineStr">
        <is>
          <t>None</t>
        </is>
      </c>
      <c r="DR636" s="17" t="n"/>
      <c r="DS636" s="16" t="n"/>
      <c r="DT636" s="20" t="inlineStr">
        <is>
          <t>IC Organic Acids</t>
        </is>
      </c>
      <c r="DU636" s="20" t="inlineStr">
        <is>
          <t>None</t>
        </is>
      </c>
      <c r="DV636" s="17" t="n"/>
      <c r="DW636" s="16" t="n"/>
      <c r="DX636" s="20" t="inlineStr">
        <is>
          <t>IC Organic Acids</t>
        </is>
      </c>
      <c r="DY636" s="20" t="inlineStr">
        <is>
          <t>None</t>
        </is>
      </c>
      <c r="DZ636" s="17" t="n"/>
      <c r="EA636" s="16" t="n"/>
      <c r="EB636" s="20" t="inlineStr">
        <is>
          <t>IC Organic Acids</t>
        </is>
      </c>
      <c r="EC636" s="20" t="inlineStr">
        <is>
          <t>None</t>
        </is>
      </c>
      <c r="ED636" s="17" t="n"/>
      <c r="EE636" s="16" t="n"/>
      <c r="EF636" s="20" t="inlineStr">
        <is>
          <t>IC Organic Acids</t>
        </is>
      </c>
      <c r="EG636" s="20" t="inlineStr">
        <is>
          <t>None</t>
        </is>
      </c>
      <c r="EH636" s="17" t="n"/>
      <c r="EI636" s="16" t="n"/>
      <c r="EJ636" s="20" t="inlineStr">
        <is>
          <t>IC Organic Acids</t>
        </is>
      </c>
      <c r="EK636" s="20" t="inlineStr">
        <is>
          <t>None</t>
        </is>
      </c>
      <c r="EL636" s="17" t="n"/>
      <c r="EM636" s="16" t="n"/>
      <c r="EN636" s="20" t="inlineStr">
        <is>
          <t>IC Organic Acids</t>
        </is>
      </c>
      <c r="EO636" s="20" t="inlineStr">
        <is>
          <t>None</t>
        </is>
      </c>
      <c r="EP636" s="17" t="n"/>
      <c r="EQ636" s="16" t="n"/>
      <c r="ER636" s="20" t="inlineStr">
        <is>
          <t>IC Organic Acids</t>
        </is>
      </c>
      <c r="ES636" s="20" t="inlineStr">
        <is>
          <t>None</t>
        </is>
      </c>
      <c r="ET636" s="17" t="n"/>
      <c r="EU636" s="16" t="n"/>
      <c r="EV636" s="20" t="inlineStr">
        <is>
          <t>LC-MS</t>
        </is>
      </c>
      <c r="EW636" s="20" t="inlineStr">
        <is>
          <t>None</t>
        </is>
      </c>
      <c r="EX636" s="17" t="n"/>
      <c r="EY636" s="21" t="n"/>
      <c r="EZ636">
        <f>CONCATENATE(A636,B636)</f>
        <v/>
      </c>
      <c r="FA636">
        <f>CONCATENATE(SamplesX!A636,SamplesX!B636)</f>
        <v/>
      </c>
      <c r="FC636">
        <f>MATCH(EZ636,FA1:FA1008,0)</f>
        <v/>
      </c>
    </row>
    <row r="637">
      <c r="A637" s="16" t="n"/>
      <c r="B637" s="17" t="n"/>
      <c r="C637" s="10">
        <f>IF(ISNUMBER(FC637),INDIRECT("SamplesX!C"&amp;FC637),IF(ISNUMBER(FD637),INDIRECT("SamplesY!C"&amp;FD637),""))</f>
        <v/>
      </c>
      <c r="D637" s="12">
        <f>IF(ISNUMBER(FC637),INDIRECT("SamplesX!D"&amp;FC637),IF(ISNUMBER(FD637),INDIRECT("SamplesY!D"&amp;FD637),""))</f>
        <v/>
      </c>
      <c r="E637" s="12">
        <f>IF(ISNUMBER(FC637),INDIRECT("SamplesX!E"&amp;FC637),IF(ISNUMBER(FD637),INDIRECT("SamplesY!E"&amp;FD637),""))</f>
        <v/>
      </c>
      <c r="F637" s="11">
        <f>IF(ISNUMBER(FC637),INDIRECT("SamplesX!F"&amp;FC637),IF(ISNUMBER(FD637),INDIRECT("SamplesY!F"&amp;FD637),""))</f>
        <v/>
      </c>
      <c r="G637" s="18">
        <f>IF(ISNUMBER(FC637),INDIRECT("SamplesX!G"&amp;FC637),IF(ISNUMBER(FD637),INDIRECT("SamplesY!G"&amp;FD637),""))</f>
        <v/>
      </c>
      <c r="H637" s="19">
        <f>IF(ISNUMBER(FC637),INDIRECT("SamplesX!H"&amp;FC637),IF(ISNUMBER(FD637),INDIRECT("SamplesY!H"&amp;FD637),""))</f>
        <v/>
      </c>
      <c r="I637" s="16" t="n"/>
      <c r="J637" s="16" t="n"/>
      <c r="K637" s="16" t="n"/>
      <c r="L637" s="20" t="n"/>
      <c r="M637" s="20" t="inlineStr">
        <is>
          <t>None</t>
        </is>
      </c>
      <c r="N637" s="17" t="n"/>
      <c r="O637" s="16" t="n"/>
      <c r="P637" s="20" t="inlineStr">
        <is>
          <t>Shimadzu TOC-L</t>
        </is>
      </c>
      <c r="Q637" s="20" t="inlineStr">
        <is>
          <t>None</t>
        </is>
      </c>
      <c r="R637" s="17" t="n"/>
      <c r="S637" s="16" t="n"/>
      <c r="T637" s="20" t="inlineStr">
        <is>
          <t>Shimadzu TOC-L</t>
        </is>
      </c>
      <c r="U637" s="20" t="inlineStr">
        <is>
          <t>None</t>
        </is>
      </c>
      <c r="V637" s="17" t="n"/>
      <c r="W637" s="16" t="n"/>
      <c r="X637" s="20" t="n"/>
      <c r="Y637" s="20" t="inlineStr">
        <is>
          <t>None</t>
        </is>
      </c>
      <c r="Z637" s="17" t="n"/>
      <c r="AA637" s="16" t="n"/>
      <c r="AB637" s="20" t="n"/>
      <c r="AC637" s="20" t="inlineStr">
        <is>
          <t>None</t>
        </is>
      </c>
      <c r="AD637" s="17" t="n"/>
      <c r="AE637" s="16" t="n"/>
      <c r="AF637" s="20" t="inlineStr">
        <is>
          <t>IC Anionen</t>
        </is>
      </c>
      <c r="AG637" s="20" t="inlineStr">
        <is>
          <t>None</t>
        </is>
      </c>
      <c r="AH637" s="17" t="n"/>
      <c r="AI637" s="16" t="n"/>
      <c r="AJ637" s="20" t="n"/>
      <c r="AK637" s="20" t="inlineStr">
        <is>
          <t>None</t>
        </is>
      </c>
      <c r="AL637" s="17" t="n"/>
      <c r="AM637" s="16" t="n"/>
      <c r="AN637" s="20" t="inlineStr">
        <is>
          <t>IC Anionen</t>
        </is>
      </c>
      <c r="AO637" s="20" t="inlineStr">
        <is>
          <t>None</t>
        </is>
      </c>
      <c r="AP637" s="17" t="n"/>
      <c r="AQ637" s="16" t="n"/>
      <c r="AR637" s="20" t="n"/>
      <c r="AS637" s="20" t="inlineStr">
        <is>
          <t>None</t>
        </is>
      </c>
      <c r="AT637" s="17" t="n"/>
      <c r="AU637" s="16" t="n"/>
      <c r="AV637" s="20" t="n"/>
      <c r="AW637" s="20" t="inlineStr">
        <is>
          <t>None</t>
        </is>
      </c>
      <c r="AX637" s="17" t="n"/>
      <c r="AY637" s="16" t="n"/>
      <c r="AZ637" s="20" t="inlineStr">
        <is>
          <t>IC Anionen</t>
        </is>
      </c>
      <c r="BA637" s="20" t="inlineStr">
        <is>
          <t>None</t>
        </is>
      </c>
      <c r="BB637" s="17" t="n"/>
      <c r="BC637" s="16" t="n"/>
      <c r="BD637" s="20" t="inlineStr">
        <is>
          <t>IC Kationen</t>
        </is>
      </c>
      <c r="BE637" s="20" t="inlineStr">
        <is>
          <t>None</t>
        </is>
      </c>
      <c r="BF637" s="17" t="n"/>
      <c r="BG637" s="16" t="n"/>
      <c r="BH637" s="20" t="inlineStr">
        <is>
          <t>IC Kationen</t>
        </is>
      </c>
      <c r="BI637" s="20" t="inlineStr">
        <is>
          <t>None</t>
        </is>
      </c>
      <c r="BJ637" s="17" t="n"/>
      <c r="BK637" s="16" t="n"/>
      <c r="BL637" s="20" t="inlineStr">
        <is>
          <t>IC Kationen</t>
        </is>
      </c>
      <c r="BM637" s="20" t="inlineStr">
        <is>
          <t>None</t>
        </is>
      </c>
      <c r="BN637" s="17" t="n"/>
      <c r="BO637" s="16" t="n"/>
      <c r="BP637" s="20" t="inlineStr">
        <is>
          <t>IC Kationen</t>
        </is>
      </c>
      <c r="BQ637" s="20" t="inlineStr">
        <is>
          <t>None</t>
        </is>
      </c>
      <c r="BR637" s="17" t="n"/>
      <c r="BS637" s="16" t="n"/>
      <c r="BT637" s="20" t="inlineStr">
        <is>
          <t>IC Kationen</t>
        </is>
      </c>
      <c r="BU637" s="20" t="inlineStr">
        <is>
          <t>None</t>
        </is>
      </c>
      <c r="BV637" s="17" t="n"/>
      <c r="BW637" s="16" t="n"/>
      <c r="BX637" s="20" t="n"/>
      <c r="BY637" s="20" t="inlineStr">
        <is>
          <t>None</t>
        </is>
      </c>
      <c r="BZ637" s="17" t="n"/>
      <c r="CA637" s="16" t="n"/>
      <c r="CB637" s="20" t="n"/>
      <c r="CC637" s="20" t="inlineStr">
        <is>
          <t>None</t>
        </is>
      </c>
      <c r="CD637" s="17" t="n"/>
      <c r="CE637" s="16" t="n"/>
      <c r="CF637" s="20" t="n"/>
      <c r="CG637" s="20" t="inlineStr">
        <is>
          <t>None</t>
        </is>
      </c>
      <c r="CH637" s="17" t="n"/>
      <c r="CI637" s="16" t="n"/>
      <c r="CJ637" s="20" t="n"/>
      <c r="CK637" s="20" t="inlineStr">
        <is>
          <t>None</t>
        </is>
      </c>
      <c r="CL637" s="17" t="n"/>
      <c r="CM637" s="16" t="n"/>
      <c r="CN637" s="20" t="inlineStr">
        <is>
          <t>SOP 45-34</t>
        </is>
      </c>
      <c r="CO637" s="20" t="inlineStr">
        <is>
          <t>None</t>
        </is>
      </c>
      <c r="CP637" s="17" t="n"/>
      <c r="CQ637" s="16" t="n"/>
      <c r="CR637" s="20" t="n"/>
      <c r="CS637" s="20" t="inlineStr">
        <is>
          <t>None</t>
        </is>
      </c>
      <c r="CT637" s="17" t="n"/>
      <c r="CU637" s="16" t="n"/>
      <c r="CV637" s="20" t="n"/>
      <c r="CW637" s="20" t="inlineStr">
        <is>
          <t>None</t>
        </is>
      </c>
      <c r="CX637" s="17" t="n"/>
      <c r="CY637" s="16" t="n"/>
      <c r="CZ637" s="20" t="inlineStr">
        <is>
          <t>WTW Multimeter 3430 with FDO 925</t>
        </is>
      </c>
      <c r="DA637" s="20" t="inlineStr">
        <is>
          <t>None</t>
        </is>
      </c>
      <c r="DB637" s="17" t="n"/>
      <c r="DC637" s="16" t="n"/>
      <c r="DD637" s="20" t="n"/>
      <c r="DE637" s="20" t="inlineStr">
        <is>
          <t>None</t>
        </is>
      </c>
      <c r="DF637" s="17" t="n"/>
      <c r="DG637" s="16" t="n"/>
      <c r="DH637" s="20" t="inlineStr">
        <is>
          <t>SOP 45-09</t>
        </is>
      </c>
      <c r="DI637" s="20" t="inlineStr">
        <is>
          <t>None</t>
        </is>
      </c>
      <c r="DJ637" s="17" t="n"/>
      <c r="DK637" s="16" t="n"/>
      <c r="DL637" s="20" t="inlineStr">
        <is>
          <t>SOP 45-09 (SOP muss noch angepasst werden für VSS)</t>
        </is>
      </c>
      <c r="DM637" s="20" t="inlineStr">
        <is>
          <t>None</t>
        </is>
      </c>
      <c r="DN637" s="17" t="n"/>
      <c r="DO637" s="16" t="n"/>
      <c r="DP637" s="20" t="inlineStr">
        <is>
          <t>IC Organic Acids</t>
        </is>
      </c>
      <c r="DQ637" s="20" t="inlineStr">
        <is>
          <t>None</t>
        </is>
      </c>
      <c r="DR637" s="17" t="n"/>
      <c r="DS637" s="16" t="n"/>
      <c r="DT637" s="20" t="inlineStr">
        <is>
          <t>IC Organic Acids</t>
        </is>
      </c>
      <c r="DU637" s="20" t="inlineStr">
        <is>
          <t>None</t>
        </is>
      </c>
      <c r="DV637" s="17" t="n"/>
      <c r="DW637" s="16" t="n"/>
      <c r="DX637" s="20" t="inlineStr">
        <is>
          <t>IC Organic Acids</t>
        </is>
      </c>
      <c r="DY637" s="20" t="inlineStr">
        <is>
          <t>None</t>
        </is>
      </c>
      <c r="DZ637" s="17" t="n"/>
      <c r="EA637" s="16" t="n"/>
      <c r="EB637" s="20" t="inlineStr">
        <is>
          <t>IC Organic Acids</t>
        </is>
      </c>
      <c r="EC637" s="20" t="inlineStr">
        <is>
          <t>None</t>
        </is>
      </c>
      <c r="ED637" s="17" t="n"/>
      <c r="EE637" s="16" t="n"/>
      <c r="EF637" s="20" t="inlineStr">
        <is>
          <t>IC Organic Acids</t>
        </is>
      </c>
      <c r="EG637" s="20" t="inlineStr">
        <is>
          <t>None</t>
        </is>
      </c>
      <c r="EH637" s="17" t="n"/>
      <c r="EI637" s="16" t="n"/>
      <c r="EJ637" s="20" t="inlineStr">
        <is>
          <t>IC Organic Acids</t>
        </is>
      </c>
      <c r="EK637" s="20" t="inlineStr">
        <is>
          <t>None</t>
        </is>
      </c>
      <c r="EL637" s="17" t="n"/>
      <c r="EM637" s="16" t="n"/>
      <c r="EN637" s="20" t="inlineStr">
        <is>
          <t>IC Organic Acids</t>
        </is>
      </c>
      <c r="EO637" s="20" t="inlineStr">
        <is>
          <t>None</t>
        </is>
      </c>
      <c r="EP637" s="17" t="n"/>
      <c r="EQ637" s="16" t="n"/>
      <c r="ER637" s="20" t="inlineStr">
        <is>
          <t>IC Organic Acids</t>
        </is>
      </c>
      <c r="ES637" s="20" t="inlineStr">
        <is>
          <t>None</t>
        </is>
      </c>
      <c r="ET637" s="17" t="n"/>
      <c r="EU637" s="16" t="n"/>
      <c r="EV637" s="20" t="inlineStr">
        <is>
          <t>LC-MS</t>
        </is>
      </c>
      <c r="EW637" s="20" t="inlineStr">
        <is>
          <t>None</t>
        </is>
      </c>
      <c r="EX637" s="17" t="n"/>
      <c r="EY637" s="21" t="n"/>
      <c r="EZ637">
        <f>CONCATENATE(A637,B637)</f>
        <v/>
      </c>
      <c r="FA637">
        <f>CONCATENATE(SamplesX!A637,SamplesX!B637)</f>
        <v/>
      </c>
      <c r="FC637">
        <f>MATCH(EZ637,FA1:FA1008,0)</f>
        <v/>
      </c>
    </row>
    <row r="638">
      <c r="A638" s="16" t="n"/>
      <c r="B638" s="17" t="n"/>
      <c r="C638" s="10">
        <f>IF(ISNUMBER(FC638),INDIRECT("SamplesX!C"&amp;FC638),IF(ISNUMBER(FD638),INDIRECT("SamplesY!C"&amp;FD638),""))</f>
        <v/>
      </c>
      <c r="D638" s="12">
        <f>IF(ISNUMBER(FC638),INDIRECT("SamplesX!D"&amp;FC638),IF(ISNUMBER(FD638),INDIRECT("SamplesY!D"&amp;FD638),""))</f>
        <v/>
      </c>
      <c r="E638" s="12">
        <f>IF(ISNUMBER(FC638),INDIRECT("SamplesX!E"&amp;FC638),IF(ISNUMBER(FD638),INDIRECT("SamplesY!E"&amp;FD638),""))</f>
        <v/>
      </c>
      <c r="F638" s="11">
        <f>IF(ISNUMBER(FC638),INDIRECT("SamplesX!F"&amp;FC638),IF(ISNUMBER(FD638),INDIRECT("SamplesY!F"&amp;FD638),""))</f>
        <v/>
      </c>
      <c r="G638" s="18">
        <f>IF(ISNUMBER(FC638),INDIRECT("SamplesX!G"&amp;FC638),IF(ISNUMBER(FD638),INDIRECT("SamplesY!G"&amp;FD638),""))</f>
        <v/>
      </c>
      <c r="H638" s="19">
        <f>IF(ISNUMBER(FC638),INDIRECT("SamplesX!H"&amp;FC638),IF(ISNUMBER(FD638),INDIRECT("SamplesY!H"&amp;FD638),""))</f>
        <v/>
      </c>
      <c r="I638" s="16" t="n"/>
      <c r="J638" s="16" t="n"/>
      <c r="K638" s="16" t="n"/>
      <c r="L638" s="20" t="n"/>
      <c r="M638" s="20" t="inlineStr">
        <is>
          <t>None</t>
        </is>
      </c>
      <c r="N638" s="17" t="n"/>
      <c r="O638" s="16" t="n"/>
      <c r="P638" s="20" t="inlineStr">
        <is>
          <t>Shimadzu TOC-L</t>
        </is>
      </c>
      <c r="Q638" s="20" t="inlineStr">
        <is>
          <t>None</t>
        </is>
      </c>
      <c r="R638" s="17" t="n"/>
      <c r="S638" s="16" t="n"/>
      <c r="T638" s="20" t="inlineStr">
        <is>
          <t>Shimadzu TOC-L</t>
        </is>
      </c>
      <c r="U638" s="20" t="inlineStr">
        <is>
          <t>None</t>
        </is>
      </c>
      <c r="V638" s="17" t="n"/>
      <c r="W638" s="16" t="n"/>
      <c r="X638" s="20" t="n"/>
      <c r="Y638" s="20" t="inlineStr">
        <is>
          <t>None</t>
        </is>
      </c>
      <c r="Z638" s="17" t="n"/>
      <c r="AA638" s="16" t="n"/>
      <c r="AB638" s="20" t="n"/>
      <c r="AC638" s="20" t="inlineStr">
        <is>
          <t>None</t>
        </is>
      </c>
      <c r="AD638" s="17" t="n"/>
      <c r="AE638" s="16" t="n"/>
      <c r="AF638" s="20" t="inlineStr">
        <is>
          <t>IC Anionen</t>
        </is>
      </c>
      <c r="AG638" s="20" t="inlineStr">
        <is>
          <t>None</t>
        </is>
      </c>
      <c r="AH638" s="17" t="n"/>
      <c r="AI638" s="16" t="n"/>
      <c r="AJ638" s="20" t="n"/>
      <c r="AK638" s="20" t="inlineStr">
        <is>
          <t>None</t>
        </is>
      </c>
      <c r="AL638" s="17" t="n"/>
      <c r="AM638" s="16" t="n"/>
      <c r="AN638" s="20" t="inlineStr">
        <is>
          <t>IC Anionen</t>
        </is>
      </c>
      <c r="AO638" s="20" t="inlineStr">
        <is>
          <t>None</t>
        </is>
      </c>
      <c r="AP638" s="17" t="n"/>
      <c r="AQ638" s="16" t="n"/>
      <c r="AR638" s="20" t="n"/>
      <c r="AS638" s="20" t="inlineStr">
        <is>
          <t>None</t>
        </is>
      </c>
      <c r="AT638" s="17" t="n"/>
      <c r="AU638" s="16" t="n"/>
      <c r="AV638" s="20" t="n"/>
      <c r="AW638" s="20" t="inlineStr">
        <is>
          <t>None</t>
        </is>
      </c>
      <c r="AX638" s="17" t="n"/>
      <c r="AY638" s="16" t="n"/>
      <c r="AZ638" s="20" t="inlineStr">
        <is>
          <t>IC Anionen</t>
        </is>
      </c>
      <c r="BA638" s="20" t="inlineStr">
        <is>
          <t>None</t>
        </is>
      </c>
      <c r="BB638" s="17" t="n"/>
      <c r="BC638" s="16" t="n"/>
      <c r="BD638" s="20" t="inlineStr">
        <is>
          <t>IC Kationen</t>
        </is>
      </c>
      <c r="BE638" s="20" t="inlineStr">
        <is>
          <t>None</t>
        </is>
      </c>
      <c r="BF638" s="17" t="n"/>
      <c r="BG638" s="16" t="n"/>
      <c r="BH638" s="20" t="inlineStr">
        <is>
          <t>IC Kationen</t>
        </is>
      </c>
      <c r="BI638" s="20" t="inlineStr">
        <is>
          <t>None</t>
        </is>
      </c>
      <c r="BJ638" s="17" t="n"/>
      <c r="BK638" s="16" t="n"/>
      <c r="BL638" s="20" t="inlineStr">
        <is>
          <t>IC Kationen</t>
        </is>
      </c>
      <c r="BM638" s="20" t="inlineStr">
        <is>
          <t>None</t>
        </is>
      </c>
      <c r="BN638" s="17" t="n"/>
      <c r="BO638" s="16" t="n"/>
      <c r="BP638" s="20" t="inlineStr">
        <is>
          <t>IC Kationen</t>
        </is>
      </c>
      <c r="BQ638" s="20" t="inlineStr">
        <is>
          <t>None</t>
        </is>
      </c>
      <c r="BR638" s="17" t="n"/>
      <c r="BS638" s="16" t="n"/>
      <c r="BT638" s="20" t="inlineStr">
        <is>
          <t>IC Kationen</t>
        </is>
      </c>
      <c r="BU638" s="20" t="inlineStr">
        <is>
          <t>None</t>
        </is>
      </c>
      <c r="BV638" s="17" t="n"/>
      <c r="BW638" s="16" t="n"/>
      <c r="BX638" s="20" t="n"/>
      <c r="BY638" s="20" t="inlineStr">
        <is>
          <t>None</t>
        </is>
      </c>
      <c r="BZ638" s="17" t="n"/>
      <c r="CA638" s="16" t="n"/>
      <c r="CB638" s="20" t="n"/>
      <c r="CC638" s="20" t="inlineStr">
        <is>
          <t>None</t>
        </is>
      </c>
      <c r="CD638" s="17" t="n"/>
      <c r="CE638" s="16" t="n"/>
      <c r="CF638" s="20" t="n"/>
      <c r="CG638" s="20" t="inlineStr">
        <is>
          <t>None</t>
        </is>
      </c>
      <c r="CH638" s="17" t="n"/>
      <c r="CI638" s="16" t="n"/>
      <c r="CJ638" s="20" t="n"/>
      <c r="CK638" s="20" t="inlineStr">
        <is>
          <t>None</t>
        </is>
      </c>
      <c r="CL638" s="17" t="n"/>
      <c r="CM638" s="16" t="n"/>
      <c r="CN638" s="20" t="inlineStr">
        <is>
          <t>SOP 45-34</t>
        </is>
      </c>
      <c r="CO638" s="20" t="inlineStr">
        <is>
          <t>None</t>
        </is>
      </c>
      <c r="CP638" s="17" t="n"/>
      <c r="CQ638" s="16" t="n"/>
      <c r="CR638" s="20" t="n"/>
      <c r="CS638" s="20" t="inlineStr">
        <is>
          <t>None</t>
        </is>
      </c>
      <c r="CT638" s="17" t="n"/>
      <c r="CU638" s="16" t="n"/>
      <c r="CV638" s="20" t="n"/>
      <c r="CW638" s="20" t="inlineStr">
        <is>
          <t>None</t>
        </is>
      </c>
      <c r="CX638" s="17" t="n"/>
      <c r="CY638" s="16" t="n"/>
      <c r="CZ638" s="20" t="inlineStr">
        <is>
          <t>WTW Multimeter 3430 with FDO 925</t>
        </is>
      </c>
      <c r="DA638" s="20" t="inlineStr">
        <is>
          <t>None</t>
        </is>
      </c>
      <c r="DB638" s="17" t="n"/>
      <c r="DC638" s="16" t="n"/>
      <c r="DD638" s="20" t="n"/>
      <c r="DE638" s="20" t="inlineStr">
        <is>
          <t>None</t>
        </is>
      </c>
      <c r="DF638" s="17" t="n"/>
      <c r="DG638" s="16" t="n"/>
      <c r="DH638" s="20" t="inlineStr">
        <is>
          <t>SOP 45-09</t>
        </is>
      </c>
      <c r="DI638" s="20" t="inlineStr">
        <is>
          <t>None</t>
        </is>
      </c>
      <c r="DJ638" s="17" t="n"/>
      <c r="DK638" s="16" t="n"/>
      <c r="DL638" s="20" t="inlineStr">
        <is>
          <t>SOP 45-09 (SOP muss noch angepasst werden für VSS)</t>
        </is>
      </c>
      <c r="DM638" s="20" t="inlineStr">
        <is>
          <t>None</t>
        </is>
      </c>
      <c r="DN638" s="17" t="n"/>
      <c r="DO638" s="16" t="n"/>
      <c r="DP638" s="20" t="inlineStr">
        <is>
          <t>IC Organic Acids</t>
        </is>
      </c>
      <c r="DQ638" s="20" t="inlineStr">
        <is>
          <t>None</t>
        </is>
      </c>
      <c r="DR638" s="17" t="n"/>
      <c r="DS638" s="16" t="n"/>
      <c r="DT638" s="20" t="inlineStr">
        <is>
          <t>IC Organic Acids</t>
        </is>
      </c>
      <c r="DU638" s="20" t="inlineStr">
        <is>
          <t>None</t>
        </is>
      </c>
      <c r="DV638" s="17" t="n"/>
      <c r="DW638" s="16" t="n"/>
      <c r="DX638" s="20" t="inlineStr">
        <is>
          <t>IC Organic Acids</t>
        </is>
      </c>
      <c r="DY638" s="20" t="inlineStr">
        <is>
          <t>None</t>
        </is>
      </c>
      <c r="DZ638" s="17" t="n"/>
      <c r="EA638" s="16" t="n"/>
      <c r="EB638" s="20" t="inlineStr">
        <is>
          <t>IC Organic Acids</t>
        </is>
      </c>
      <c r="EC638" s="20" t="inlineStr">
        <is>
          <t>None</t>
        </is>
      </c>
      <c r="ED638" s="17" t="n"/>
      <c r="EE638" s="16" t="n"/>
      <c r="EF638" s="20" t="inlineStr">
        <is>
          <t>IC Organic Acids</t>
        </is>
      </c>
      <c r="EG638" s="20" t="inlineStr">
        <is>
          <t>None</t>
        </is>
      </c>
      <c r="EH638" s="17" t="n"/>
      <c r="EI638" s="16" t="n"/>
      <c r="EJ638" s="20" t="inlineStr">
        <is>
          <t>IC Organic Acids</t>
        </is>
      </c>
      <c r="EK638" s="20" t="inlineStr">
        <is>
          <t>None</t>
        </is>
      </c>
      <c r="EL638" s="17" t="n"/>
      <c r="EM638" s="16" t="n"/>
      <c r="EN638" s="20" t="inlineStr">
        <is>
          <t>IC Organic Acids</t>
        </is>
      </c>
      <c r="EO638" s="20" t="inlineStr">
        <is>
          <t>None</t>
        </is>
      </c>
      <c r="EP638" s="17" t="n"/>
      <c r="EQ638" s="16" t="n"/>
      <c r="ER638" s="20" t="inlineStr">
        <is>
          <t>IC Organic Acids</t>
        </is>
      </c>
      <c r="ES638" s="20" t="inlineStr">
        <is>
          <t>None</t>
        </is>
      </c>
      <c r="ET638" s="17" t="n"/>
      <c r="EU638" s="16" t="n"/>
      <c r="EV638" s="20" t="inlineStr">
        <is>
          <t>LC-MS</t>
        </is>
      </c>
      <c r="EW638" s="20" t="inlineStr">
        <is>
          <t>None</t>
        </is>
      </c>
      <c r="EX638" s="17" t="n"/>
      <c r="EY638" s="21" t="n"/>
      <c r="EZ638">
        <f>CONCATENATE(A638,B638)</f>
        <v/>
      </c>
      <c r="FA638">
        <f>CONCATENATE(SamplesX!A638,SamplesX!B638)</f>
        <v/>
      </c>
      <c r="FC638">
        <f>MATCH(EZ638,FA1:FA1008,0)</f>
        <v/>
      </c>
    </row>
    <row r="639">
      <c r="A639" s="16" t="n"/>
      <c r="B639" s="17" t="n"/>
      <c r="C639" s="10">
        <f>IF(ISNUMBER(FC639),INDIRECT("SamplesX!C"&amp;FC639),IF(ISNUMBER(FD639),INDIRECT("SamplesY!C"&amp;FD639),""))</f>
        <v/>
      </c>
      <c r="D639" s="12">
        <f>IF(ISNUMBER(FC639),INDIRECT("SamplesX!D"&amp;FC639),IF(ISNUMBER(FD639),INDIRECT("SamplesY!D"&amp;FD639),""))</f>
        <v/>
      </c>
      <c r="E639" s="12">
        <f>IF(ISNUMBER(FC639),INDIRECT("SamplesX!E"&amp;FC639),IF(ISNUMBER(FD639),INDIRECT("SamplesY!E"&amp;FD639),""))</f>
        <v/>
      </c>
      <c r="F639" s="11">
        <f>IF(ISNUMBER(FC639),INDIRECT("SamplesX!F"&amp;FC639),IF(ISNUMBER(FD639),INDIRECT("SamplesY!F"&amp;FD639),""))</f>
        <v/>
      </c>
      <c r="G639" s="18">
        <f>IF(ISNUMBER(FC639),INDIRECT("SamplesX!G"&amp;FC639),IF(ISNUMBER(FD639),INDIRECT("SamplesY!G"&amp;FD639),""))</f>
        <v/>
      </c>
      <c r="H639" s="19">
        <f>IF(ISNUMBER(FC639),INDIRECT("SamplesX!H"&amp;FC639),IF(ISNUMBER(FD639),INDIRECT("SamplesY!H"&amp;FD639),""))</f>
        <v/>
      </c>
      <c r="I639" s="16" t="n"/>
      <c r="J639" s="16" t="n"/>
      <c r="K639" s="16" t="n"/>
      <c r="L639" s="20" t="n"/>
      <c r="M639" s="20" t="inlineStr">
        <is>
          <t>None</t>
        </is>
      </c>
      <c r="N639" s="17" t="n"/>
      <c r="O639" s="16" t="n"/>
      <c r="P639" s="20" t="inlineStr">
        <is>
          <t>Shimadzu TOC-L</t>
        </is>
      </c>
      <c r="Q639" s="20" t="inlineStr">
        <is>
          <t>None</t>
        </is>
      </c>
      <c r="R639" s="17" t="n"/>
      <c r="S639" s="16" t="n"/>
      <c r="T639" s="20" t="inlineStr">
        <is>
          <t>Shimadzu TOC-L</t>
        </is>
      </c>
      <c r="U639" s="20" t="inlineStr">
        <is>
          <t>None</t>
        </is>
      </c>
      <c r="V639" s="17" t="n"/>
      <c r="W639" s="16" t="n"/>
      <c r="X639" s="20" t="n"/>
      <c r="Y639" s="20" t="inlineStr">
        <is>
          <t>None</t>
        </is>
      </c>
      <c r="Z639" s="17" t="n"/>
      <c r="AA639" s="16" t="n"/>
      <c r="AB639" s="20" t="n"/>
      <c r="AC639" s="20" t="inlineStr">
        <is>
          <t>None</t>
        </is>
      </c>
      <c r="AD639" s="17" t="n"/>
      <c r="AE639" s="16" t="n"/>
      <c r="AF639" s="20" t="inlineStr">
        <is>
          <t>IC Anionen</t>
        </is>
      </c>
      <c r="AG639" s="20" t="inlineStr">
        <is>
          <t>None</t>
        </is>
      </c>
      <c r="AH639" s="17" t="n"/>
      <c r="AI639" s="16" t="n"/>
      <c r="AJ639" s="20" t="n"/>
      <c r="AK639" s="20" t="inlineStr">
        <is>
          <t>None</t>
        </is>
      </c>
      <c r="AL639" s="17" t="n"/>
      <c r="AM639" s="16" t="n"/>
      <c r="AN639" s="20" t="inlineStr">
        <is>
          <t>IC Anionen</t>
        </is>
      </c>
      <c r="AO639" s="20" t="inlineStr">
        <is>
          <t>None</t>
        </is>
      </c>
      <c r="AP639" s="17" t="n"/>
      <c r="AQ639" s="16" t="n"/>
      <c r="AR639" s="20" t="n"/>
      <c r="AS639" s="20" t="inlineStr">
        <is>
          <t>None</t>
        </is>
      </c>
      <c r="AT639" s="17" t="n"/>
      <c r="AU639" s="16" t="n"/>
      <c r="AV639" s="20" t="n"/>
      <c r="AW639" s="20" t="inlineStr">
        <is>
          <t>None</t>
        </is>
      </c>
      <c r="AX639" s="17" t="n"/>
      <c r="AY639" s="16" t="n"/>
      <c r="AZ639" s="20" t="inlineStr">
        <is>
          <t>IC Anionen</t>
        </is>
      </c>
      <c r="BA639" s="20" t="inlineStr">
        <is>
          <t>None</t>
        </is>
      </c>
      <c r="BB639" s="17" t="n"/>
      <c r="BC639" s="16" t="n"/>
      <c r="BD639" s="20" t="inlineStr">
        <is>
          <t>IC Kationen</t>
        </is>
      </c>
      <c r="BE639" s="20" t="inlineStr">
        <is>
          <t>None</t>
        </is>
      </c>
      <c r="BF639" s="17" t="n"/>
      <c r="BG639" s="16" t="n"/>
      <c r="BH639" s="20" t="inlineStr">
        <is>
          <t>IC Kationen</t>
        </is>
      </c>
      <c r="BI639" s="20" t="inlineStr">
        <is>
          <t>None</t>
        </is>
      </c>
      <c r="BJ639" s="17" t="n"/>
      <c r="BK639" s="16" t="n"/>
      <c r="BL639" s="20" t="inlineStr">
        <is>
          <t>IC Kationen</t>
        </is>
      </c>
      <c r="BM639" s="20" t="inlineStr">
        <is>
          <t>None</t>
        </is>
      </c>
      <c r="BN639" s="17" t="n"/>
      <c r="BO639" s="16" t="n"/>
      <c r="BP639" s="20" t="inlineStr">
        <is>
          <t>IC Kationen</t>
        </is>
      </c>
      <c r="BQ639" s="20" t="inlineStr">
        <is>
          <t>None</t>
        </is>
      </c>
      <c r="BR639" s="17" t="n"/>
      <c r="BS639" s="16" t="n"/>
      <c r="BT639" s="20" t="inlineStr">
        <is>
          <t>IC Kationen</t>
        </is>
      </c>
      <c r="BU639" s="20" t="inlineStr">
        <is>
          <t>None</t>
        </is>
      </c>
      <c r="BV639" s="17" t="n"/>
      <c r="BW639" s="16" t="n"/>
      <c r="BX639" s="20" t="n"/>
      <c r="BY639" s="20" t="inlineStr">
        <is>
          <t>None</t>
        </is>
      </c>
      <c r="BZ639" s="17" t="n"/>
      <c r="CA639" s="16" t="n"/>
      <c r="CB639" s="20" t="n"/>
      <c r="CC639" s="20" t="inlineStr">
        <is>
          <t>None</t>
        </is>
      </c>
      <c r="CD639" s="17" t="n"/>
      <c r="CE639" s="16" t="n"/>
      <c r="CF639" s="20" t="n"/>
      <c r="CG639" s="20" t="inlineStr">
        <is>
          <t>None</t>
        </is>
      </c>
      <c r="CH639" s="17" t="n"/>
      <c r="CI639" s="16" t="n"/>
      <c r="CJ639" s="20" t="n"/>
      <c r="CK639" s="20" t="inlineStr">
        <is>
          <t>None</t>
        </is>
      </c>
      <c r="CL639" s="17" t="n"/>
      <c r="CM639" s="16" t="n"/>
      <c r="CN639" s="20" t="inlineStr">
        <is>
          <t>SOP 45-34</t>
        </is>
      </c>
      <c r="CO639" s="20" t="inlineStr">
        <is>
          <t>None</t>
        </is>
      </c>
      <c r="CP639" s="17" t="n"/>
      <c r="CQ639" s="16" t="n"/>
      <c r="CR639" s="20" t="n"/>
      <c r="CS639" s="20" t="inlineStr">
        <is>
          <t>None</t>
        </is>
      </c>
      <c r="CT639" s="17" t="n"/>
      <c r="CU639" s="16" t="n"/>
      <c r="CV639" s="20" t="n"/>
      <c r="CW639" s="20" t="inlineStr">
        <is>
          <t>None</t>
        </is>
      </c>
      <c r="CX639" s="17" t="n"/>
      <c r="CY639" s="16" t="n"/>
      <c r="CZ639" s="20" t="inlineStr">
        <is>
          <t>WTW Multimeter 3430 with FDO 925</t>
        </is>
      </c>
      <c r="DA639" s="20" t="inlineStr">
        <is>
          <t>None</t>
        </is>
      </c>
      <c r="DB639" s="17" t="n"/>
      <c r="DC639" s="16" t="n"/>
      <c r="DD639" s="20" t="n"/>
      <c r="DE639" s="20" t="inlineStr">
        <is>
          <t>None</t>
        </is>
      </c>
      <c r="DF639" s="17" t="n"/>
      <c r="DG639" s="16" t="n"/>
      <c r="DH639" s="20" t="inlineStr">
        <is>
          <t>SOP 45-09</t>
        </is>
      </c>
      <c r="DI639" s="20" t="inlineStr">
        <is>
          <t>None</t>
        </is>
      </c>
      <c r="DJ639" s="17" t="n"/>
      <c r="DK639" s="16" t="n"/>
      <c r="DL639" s="20" t="inlineStr">
        <is>
          <t>SOP 45-09 (SOP muss noch angepasst werden für VSS)</t>
        </is>
      </c>
      <c r="DM639" s="20" t="inlineStr">
        <is>
          <t>None</t>
        </is>
      </c>
      <c r="DN639" s="17" t="n"/>
      <c r="DO639" s="16" t="n"/>
      <c r="DP639" s="20" t="inlineStr">
        <is>
          <t>IC Organic Acids</t>
        </is>
      </c>
      <c r="DQ639" s="20" t="inlineStr">
        <is>
          <t>None</t>
        </is>
      </c>
      <c r="DR639" s="17" t="n"/>
      <c r="DS639" s="16" t="n"/>
      <c r="DT639" s="20" t="inlineStr">
        <is>
          <t>IC Organic Acids</t>
        </is>
      </c>
      <c r="DU639" s="20" t="inlineStr">
        <is>
          <t>None</t>
        </is>
      </c>
      <c r="DV639" s="17" t="n"/>
      <c r="DW639" s="16" t="n"/>
      <c r="DX639" s="20" t="inlineStr">
        <is>
          <t>IC Organic Acids</t>
        </is>
      </c>
      <c r="DY639" s="20" t="inlineStr">
        <is>
          <t>None</t>
        </is>
      </c>
      <c r="DZ639" s="17" t="n"/>
      <c r="EA639" s="16" t="n"/>
      <c r="EB639" s="20" t="inlineStr">
        <is>
          <t>IC Organic Acids</t>
        </is>
      </c>
      <c r="EC639" s="20" t="inlineStr">
        <is>
          <t>None</t>
        </is>
      </c>
      <c r="ED639" s="17" t="n"/>
      <c r="EE639" s="16" t="n"/>
      <c r="EF639" s="20" t="inlineStr">
        <is>
          <t>IC Organic Acids</t>
        </is>
      </c>
      <c r="EG639" s="20" t="inlineStr">
        <is>
          <t>None</t>
        </is>
      </c>
      <c r="EH639" s="17" t="n"/>
      <c r="EI639" s="16" t="n"/>
      <c r="EJ639" s="20" t="inlineStr">
        <is>
          <t>IC Organic Acids</t>
        </is>
      </c>
      <c r="EK639" s="20" t="inlineStr">
        <is>
          <t>None</t>
        </is>
      </c>
      <c r="EL639" s="17" t="n"/>
      <c r="EM639" s="16" t="n"/>
      <c r="EN639" s="20" t="inlineStr">
        <is>
          <t>IC Organic Acids</t>
        </is>
      </c>
      <c r="EO639" s="20" t="inlineStr">
        <is>
          <t>None</t>
        </is>
      </c>
      <c r="EP639" s="17" t="n"/>
      <c r="EQ639" s="16" t="n"/>
      <c r="ER639" s="20" t="inlineStr">
        <is>
          <t>IC Organic Acids</t>
        </is>
      </c>
      <c r="ES639" s="20" t="inlineStr">
        <is>
          <t>None</t>
        </is>
      </c>
      <c r="ET639" s="17" t="n"/>
      <c r="EU639" s="16" t="n"/>
      <c r="EV639" s="20" t="inlineStr">
        <is>
          <t>LC-MS</t>
        </is>
      </c>
      <c r="EW639" s="20" t="inlineStr">
        <is>
          <t>None</t>
        </is>
      </c>
      <c r="EX639" s="17" t="n"/>
      <c r="EY639" s="21" t="n"/>
      <c r="EZ639">
        <f>CONCATENATE(A639,B639)</f>
        <v/>
      </c>
      <c r="FA639">
        <f>CONCATENATE(SamplesX!A639,SamplesX!B639)</f>
        <v/>
      </c>
      <c r="FC639">
        <f>MATCH(EZ639,FA1:FA1008,0)</f>
        <v/>
      </c>
    </row>
    <row r="640">
      <c r="A640" s="16" t="n"/>
      <c r="B640" s="17" t="n"/>
      <c r="C640" s="10">
        <f>IF(ISNUMBER(FC640),INDIRECT("SamplesX!C"&amp;FC640),IF(ISNUMBER(FD640),INDIRECT("SamplesY!C"&amp;FD640),""))</f>
        <v/>
      </c>
      <c r="D640" s="12">
        <f>IF(ISNUMBER(FC640),INDIRECT("SamplesX!D"&amp;FC640),IF(ISNUMBER(FD640),INDIRECT("SamplesY!D"&amp;FD640),""))</f>
        <v/>
      </c>
      <c r="E640" s="12">
        <f>IF(ISNUMBER(FC640),INDIRECT("SamplesX!E"&amp;FC640),IF(ISNUMBER(FD640),INDIRECT("SamplesY!E"&amp;FD640),""))</f>
        <v/>
      </c>
      <c r="F640" s="11">
        <f>IF(ISNUMBER(FC640),INDIRECT("SamplesX!F"&amp;FC640),IF(ISNUMBER(FD640),INDIRECT("SamplesY!F"&amp;FD640),""))</f>
        <v/>
      </c>
      <c r="G640" s="18">
        <f>IF(ISNUMBER(FC640),INDIRECT("SamplesX!G"&amp;FC640),IF(ISNUMBER(FD640),INDIRECT("SamplesY!G"&amp;FD640),""))</f>
        <v/>
      </c>
      <c r="H640" s="19">
        <f>IF(ISNUMBER(FC640),INDIRECT("SamplesX!H"&amp;FC640),IF(ISNUMBER(FD640),INDIRECT("SamplesY!H"&amp;FD640),""))</f>
        <v/>
      </c>
      <c r="I640" s="16" t="n"/>
      <c r="J640" s="16" t="n"/>
      <c r="K640" s="16" t="n"/>
      <c r="L640" s="20" t="n"/>
      <c r="M640" s="20" t="inlineStr">
        <is>
          <t>None</t>
        </is>
      </c>
      <c r="N640" s="17" t="n"/>
      <c r="O640" s="16" t="n"/>
      <c r="P640" s="20" t="inlineStr">
        <is>
          <t>Shimadzu TOC-L</t>
        </is>
      </c>
      <c r="Q640" s="20" t="inlineStr">
        <is>
          <t>None</t>
        </is>
      </c>
      <c r="R640" s="17" t="n"/>
      <c r="S640" s="16" t="n"/>
      <c r="T640" s="20" t="inlineStr">
        <is>
          <t>Shimadzu TOC-L</t>
        </is>
      </c>
      <c r="U640" s="20" t="inlineStr">
        <is>
          <t>None</t>
        </is>
      </c>
      <c r="V640" s="17" t="n"/>
      <c r="W640" s="16" t="n"/>
      <c r="X640" s="20" t="n"/>
      <c r="Y640" s="20" t="inlineStr">
        <is>
          <t>None</t>
        </is>
      </c>
      <c r="Z640" s="17" t="n"/>
      <c r="AA640" s="16" t="n"/>
      <c r="AB640" s="20" t="n"/>
      <c r="AC640" s="20" t="inlineStr">
        <is>
          <t>None</t>
        </is>
      </c>
      <c r="AD640" s="17" t="n"/>
      <c r="AE640" s="16" t="n"/>
      <c r="AF640" s="20" t="inlineStr">
        <is>
          <t>IC Anionen</t>
        </is>
      </c>
      <c r="AG640" s="20" t="inlineStr">
        <is>
          <t>None</t>
        </is>
      </c>
      <c r="AH640" s="17" t="n"/>
      <c r="AI640" s="16" t="n"/>
      <c r="AJ640" s="20" t="n"/>
      <c r="AK640" s="20" t="inlineStr">
        <is>
          <t>None</t>
        </is>
      </c>
      <c r="AL640" s="17" t="n"/>
      <c r="AM640" s="16" t="n"/>
      <c r="AN640" s="20" t="inlineStr">
        <is>
          <t>IC Anionen</t>
        </is>
      </c>
      <c r="AO640" s="20" t="inlineStr">
        <is>
          <t>None</t>
        </is>
      </c>
      <c r="AP640" s="17" t="n"/>
      <c r="AQ640" s="16" t="n"/>
      <c r="AR640" s="20" t="n"/>
      <c r="AS640" s="20" t="inlineStr">
        <is>
          <t>None</t>
        </is>
      </c>
      <c r="AT640" s="17" t="n"/>
      <c r="AU640" s="16" t="n"/>
      <c r="AV640" s="20" t="n"/>
      <c r="AW640" s="20" t="inlineStr">
        <is>
          <t>None</t>
        </is>
      </c>
      <c r="AX640" s="17" t="n"/>
      <c r="AY640" s="16" t="n"/>
      <c r="AZ640" s="20" t="inlineStr">
        <is>
          <t>IC Anionen</t>
        </is>
      </c>
      <c r="BA640" s="20" t="inlineStr">
        <is>
          <t>None</t>
        </is>
      </c>
      <c r="BB640" s="17" t="n"/>
      <c r="BC640" s="16" t="n"/>
      <c r="BD640" s="20" t="inlineStr">
        <is>
          <t>IC Kationen</t>
        </is>
      </c>
      <c r="BE640" s="20" t="inlineStr">
        <is>
          <t>None</t>
        </is>
      </c>
      <c r="BF640" s="17" t="n"/>
      <c r="BG640" s="16" t="n"/>
      <c r="BH640" s="20" t="inlineStr">
        <is>
          <t>IC Kationen</t>
        </is>
      </c>
      <c r="BI640" s="20" t="inlineStr">
        <is>
          <t>None</t>
        </is>
      </c>
      <c r="BJ640" s="17" t="n"/>
      <c r="BK640" s="16" t="n"/>
      <c r="BL640" s="20" t="inlineStr">
        <is>
          <t>IC Kationen</t>
        </is>
      </c>
      <c r="BM640" s="20" t="inlineStr">
        <is>
          <t>None</t>
        </is>
      </c>
      <c r="BN640" s="17" t="n"/>
      <c r="BO640" s="16" t="n"/>
      <c r="BP640" s="20" t="inlineStr">
        <is>
          <t>IC Kationen</t>
        </is>
      </c>
      <c r="BQ640" s="20" t="inlineStr">
        <is>
          <t>None</t>
        </is>
      </c>
      <c r="BR640" s="17" t="n"/>
      <c r="BS640" s="16" t="n"/>
      <c r="BT640" s="20" t="inlineStr">
        <is>
          <t>IC Kationen</t>
        </is>
      </c>
      <c r="BU640" s="20" t="inlineStr">
        <is>
          <t>None</t>
        </is>
      </c>
      <c r="BV640" s="17" t="n"/>
      <c r="BW640" s="16" t="n"/>
      <c r="BX640" s="20" t="n"/>
      <c r="BY640" s="20" t="inlineStr">
        <is>
          <t>None</t>
        </is>
      </c>
      <c r="BZ640" s="17" t="n"/>
      <c r="CA640" s="16" t="n"/>
      <c r="CB640" s="20" t="n"/>
      <c r="CC640" s="20" t="inlineStr">
        <is>
          <t>None</t>
        </is>
      </c>
      <c r="CD640" s="17" t="n"/>
      <c r="CE640" s="16" t="n"/>
      <c r="CF640" s="20" t="n"/>
      <c r="CG640" s="20" t="inlineStr">
        <is>
          <t>None</t>
        </is>
      </c>
      <c r="CH640" s="17" t="n"/>
      <c r="CI640" s="16" t="n"/>
      <c r="CJ640" s="20" t="n"/>
      <c r="CK640" s="20" t="inlineStr">
        <is>
          <t>None</t>
        </is>
      </c>
      <c r="CL640" s="17" t="n"/>
      <c r="CM640" s="16" t="n"/>
      <c r="CN640" s="20" t="inlineStr">
        <is>
          <t>SOP 45-34</t>
        </is>
      </c>
      <c r="CO640" s="20" t="inlineStr">
        <is>
          <t>None</t>
        </is>
      </c>
      <c r="CP640" s="17" t="n"/>
      <c r="CQ640" s="16" t="n"/>
      <c r="CR640" s="20" t="n"/>
      <c r="CS640" s="20" t="inlineStr">
        <is>
          <t>None</t>
        </is>
      </c>
      <c r="CT640" s="17" t="n"/>
      <c r="CU640" s="16" t="n"/>
      <c r="CV640" s="20" t="n"/>
      <c r="CW640" s="20" t="inlineStr">
        <is>
          <t>None</t>
        </is>
      </c>
      <c r="CX640" s="17" t="n"/>
      <c r="CY640" s="16" t="n"/>
      <c r="CZ640" s="20" t="inlineStr">
        <is>
          <t>WTW Multimeter 3430 with FDO 925</t>
        </is>
      </c>
      <c r="DA640" s="20" t="inlineStr">
        <is>
          <t>None</t>
        </is>
      </c>
      <c r="DB640" s="17" t="n"/>
      <c r="DC640" s="16" t="n"/>
      <c r="DD640" s="20" t="n"/>
      <c r="DE640" s="20" t="inlineStr">
        <is>
          <t>None</t>
        </is>
      </c>
      <c r="DF640" s="17" t="n"/>
      <c r="DG640" s="16" t="n"/>
      <c r="DH640" s="20" t="inlineStr">
        <is>
          <t>SOP 45-09</t>
        </is>
      </c>
      <c r="DI640" s="20" t="inlineStr">
        <is>
          <t>None</t>
        </is>
      </c>
      <c r="DJ640" s="17" t="n"/>
      <c r="DK640" s="16" t="n"/>
      <c r="DL640" s="20" t="inlineStr">
        <is>
          <t>SOP 45-09 (SOP muss noch angepasst werden für VSS)</t>
        </is>
      </c>
      <c r="DM640" s="20" t="inlineStr">
        <is>
          <t>None</t>
        </is>
      </c>
      <c r="DN640" s="17" t="n"/>
      <c r="DO640" s="16" t="n"/>
      <c r="DP640" s="20" t="inlineStr">
        <is>
          <t>IC Organic Acids</t>
        </is>
      </c>
      <c r="DQ640" s="20" t="inlineStr">
        <is>
          <t>None</t>
        </is>
      </c>
      <c r="DR640" s="17" t="n"/>
      <c r="DS640" s="16" t="n"/>
      <c r="DT640" s="20" t="inlineStr">
        <is>
          <t>IC Organic Acids</t>
        </is>
      </c>
      <c r="DU640" s="20" t="inlineStr">
        <is>
          <t>None</t>
        </is>
      </c>
      <c r="DV640" s="17" t="n"/>
      <c r="DW640" s="16" t="n"/>
      <c r="DX640" s="20" t="inlineStr">
        <is>
          <t>IC Organic Acids</t>
        </is>
      </c>
      <c r="DY640" s="20" t="inlineStr">
        <is>
          <t>None</t>
        </is>
      </c>
      <c r="DZ640" s="17" t="n"/>
      <c r="EA640" s="16" t="n"/>
      <c r="EB640" s="20" t="inlineStr">
        <is>
          <t>IC Organic Acids</t>
        </is>
      </c>
      <c r="EC640" s="20" t="inlineStr">
        <is>
          <t>None</t>
        </is>
      </c>
      <c r="ED640" s="17" t="n"/>
      <c r="EE640" s="16" t="n"/>
      <c r="EF640" s="20" t="inlineStr">
        <is>
          <t>IC Organic Acids</t>
        </is>
      </c>
      <c r="EG640" s="20" t="inlineStr">
        <is>
          <t>None</t>
        </is>
      </c>
      <c r="EH640" s="17" t="n"/>
      <c r="EI640" s="16" t="n"/>
      <c r="EJ640" s="20" t="inlineStr">
        <is>
          <t>IC Organic Acids</t>
        </is>
      </c>
      <c r="EK640" s="20" t="inlineStr">
        <is>
          <t>None</t>
        </is>
      </c>
      <c r="EL640" s="17" t="n"/>
      <c r="EM640" s="16" t="n"/>
      <c r="EN640" s="20" t="inlineStr">
        <is>
          <t>IC Organic Acids</t>
        </is>
      </c>
      <c r="EO640" s="20" t="inlineStr">
        <is>
          <t>None</t>
        </is>
      </c>
      <c r="EP640" s="17" t="n"/>
      <c r="EQ640" s="16" t="n"/>
      <c r="ER640" s="20" t="inlineStr">
        <is>
          <t>IC Organic Acids</t>
        </is>
      </c>
      <c r="ES640" s="20" t="inlineStr">
        <is>
          <t>None</t>
        </is>
      </c>
      <c r="ET640" s="17" t="n"/>
      <c r="EU640" s="16" t="n"/>
      <c r="EV640" s="20" t="inlineStr">
        <is>
          <t>LC-MS</t>
        </is>
      </c>
      <c r="EW640" s="20" t="inlineStr">
        <is>
          <t>None</t>
        </is>
      </c>
      <c r="EX640" s="17" t="n"/>
      <c r="EY640" s="21" t="n"/>
      <c r="EZ640">
        <f>CONCATENATE(A640,B640)</f>
        <v/>
      </c>
      <c r="FA640">
        <f>CONCATENATE(SamplesX!A640,SamplesX!B640)</f>
        <v/>
      </c>
      <c r="FC640">
        <f>MATCH(EZ640,FA1:FA1008,0)</f>
        <v/>
      </c>
    </row>
    <row r="641">
      <c r="A641" s="16" t="n"/>
      <c r="B641" s="17" t="n"/>
      <c r="C641" s="10">
        <f>IF(ISNUMBER(FC641),INDIRECT("SamplesX!C"&amp;FC641),IF(ISNUMBER(FD641),INDIRECT("SamplesY!C"&amp;FD641),""))</f>
        <v/>
      </c>
      <c r="D641" s="12">
        <f>IF(ISNUMBER(FC641),INDIRECT("SamplesX!D"&amp;FC641),IF(ISNUMBER(FD641),INDIRECT("SamplesY!D"&amp;FD641),""))</f>
        <v/>
      </c>
      <c r="E641" s="12">
        <f>IF(ISNUMBER(FC641),INDIRECT("SamplesX!E"&amp;FC641),IF(ISNUMBER(FD641),INDIRECT("SamplesY!E"&amp;FD641),""))</f>
        <v/>
      </c>
      <c r="F641" s="11">
        <f>IF(ISNUMBER(FC641),INDIRECT("SamplesX!F"&amp;FC641),IF(ISNUMBER(FD641),INDIRECT("SamplesY!F"&amp;FD641),""))</f>
        <v/>
      </c>
      <c r="G641" s="18">
        <f>IF(ISNUMBER(FC641),INDIRECT("SamplesX!G"&amp;FC641),IF(ISNUMBER(FD641),INDIRECT("SamplesY!G"&amp;FD641),""))</f>
        <v/>
      </c>
      <c r="H641" s="19">
        <f>IF(ISNUMBER(FC641),INDIRECT("SamplesX!H"&amp;FC641),IF(ISNUMBER(FD641),INDIRECT("SamplesY!H"&amp;FD641),""))</f>
        <v/>
      </c>
      <c r="I641" s="16" t="n"/>
      <c r="J641" s="16" t="n"/>
      <c r="K641" s="16" t="n"/>
      <c r="L641" s="20" t="n"/>
      <c r="M641" s="20" t="inlineStr">
        <is>
          <t>None</t>
        </is>
      </c>
      <c r="N641" s="17" t="n"/>
      <c r="O641" s="16" t="n"/>
      <c r="P641" s="20" t="inlineStr">
        <is>
          <t>Shimadzu TOC-L</t>
        </is>
      </c>
      <c r="Q641" s="20" t="inlineStr">
        <is>
          <t>None</t>
        </is>
      </c>
      <c r="R641" s="17" t="n"/>
      <c r="S641" s="16" t="n"/>
      <c r="T641" s="20" t="inlineStr">
        <is>
          <t>Shimadzu TOC-L</t>
        </is>
      </c>
      <c r="U641" s="20" t="inlineStr">
        <is>
          <t>None</t>
        </is>
      </c>
      <c r="V641" s="17" t="n"/>
      <c r="W641" s="16" t="n"/>
      <c r="X641" s="20" t="n"/>
      <c r="Y641" s="20" t="inlineStr">
        <is>
          <t>None</t>
        </is>
      </c>
      <c r="Z641" s="17" t="n"/>
      <c r="AA641" s="16" t="n"/>
      <c r="AB641" s="20" t="n"/>
      <c r="AC641" s="20" t="inlineStr">
        <is>
          <t>None</t>
        </is>
      </c>
      <c r="AD641" s="17" t="n"/>
      <c r="AE641" s="16" t="n"/>
      <c r="AF641" s="20" t="inlineStr">
        <is>
          <t>IC Anionen</t>
        </is>
      </c>
      <c r="AG641" s="20" t="inlineStr">
        <is>
          <t>None</t>
        </is>
      </c>
      <c r="AH641" s="17" t="n"/>
      <c r="AI641" s="16" t="n"/>
      <c r="AJ641" s="20" t="n"/>
      <c r="AK641" s="20" t="inlineStr">
        <is>
          <t>None</t>
        </is>
      </c>
      <c r="AL641" s="17" t="n"/>
      <c r="AM641" s="16" t="n"/>
      <c r="AN641" s="20" t="inlineStr">
        <is>
          <t>IC Anionen</t>
        </is>
      </c>
      <c r="AO641" s="20" t="inlineStr">
        <is>
          <t>None</t>
        </is>
      </c>
      <c r="AP641" s="17" t="n"/>
      <c r="AQ641" s="16" t="n"/>
      <c r="AR641" s="20" t="n"/>
      <c r="AS641" s="20" t="inlineStr">
        <is>
          <t>None</t>
        </is>
      </c>
      <c r="AT641" s="17" t="n"/>
      <c r="AU641" s="16" t="n"/>
      <c r="AV641" s="20" t="n"/>
      <c r="AW641" s="20" t="inlineStr">
        <is>
          <t>None</t>
        </is>
      </c>
      <c r="AX641" s="17" t="n"/>
      <c r="AY641" s="16" t="n"/>
      <c r="AZ641" s="20" t="inlineStr">
        <is>
          <t>IC Anionen</t>
        </is>
      </c>
      <c r="BA641" s="20" t="inlineStr">
        <is>
          <t>None</t>
        </is>
      </c>
      <c r="BB641" s="17" t="n"/>
      <c r="BC641" s="16" t="n"/>
      <c r="BD641" s="20" t="inlineStr">
        <is>
          <t>IC Kationen</t>
        </is>
      </c>
      <c r="BE641" s="20" t="inlineStr">
        <is>
          <t>None</t>
        </is>
      </c>
      <c r="BF641" s="17" t="n"/>
      <c r="BG641" s="16" t="n"/>
      <c r="BH641" s="20" t="inlineStr">
        <is>
          <t>IC Kationen</t>
        </is>
      </c>
      <c r="BI641" s="20" t="inlineStr">
        <is>
          <t>None</t>
        </is>
      </c>
      <c r="BJ641" s="17" t="n"/>
      <c r="BK641" s="16" t="n"/>
      <c r="BL641" s="20" t="inlineStr">
        <is>
          <t>IC Kationen</t>
        </is>
      </c>
      <c r="BM641" s="20" t="inlineStr">
        <is>
          <t>None</t>
        </is>
      </c>
      <c r="BN641" s="17" t="n"/>
      <c r="BO641" s="16" t="n"/>
      <c r="BP641" s="20" t="inlineStr">
        <is>
          <t>IC Kationen</t>
        </is>
      </c>
      <c r="BQ641" s="20" t="inlineStr">
        <is>
          <t>None</t>
        </is>
      </c>
      <c r="BR641" s="17" t="n"/>
      <c r="BS641" s="16" t="n"/>
      <c r="BT641" s="20" t="inlineStr">
        <is>
          <t>IC Kationen</t>
        </is>
      </c>
      <c r="BU641" s="20" t="inlineStr">
        <is>
          <t>None</t>
        </is>
      </c>
      <c r="BV641" s="17" t="n"/>
      <c r="BW641" s="16" t="n"/>
      <c r="BX641" s="20" t="n"/>
      <c r="BY641" s="20" t="inlineStr">
        <is>
          <t>None</t>
        </is>
      </c>
      <c r="BZ641" s="17" t="n"/>
      <c r="CA641" s="16" t="n"/>
      <c r="CB641" s="20" t="n"/>
      <c r="CC641" s="20" t="inlineStr">
        <is>
          <t>None</t>
        </is>
      </c>
      <c r="CD641" s="17" t="n"/>
      <c r="CE641" s="16" t="n"/>
      <c r="CF641" s="20" t="n"/>
      <c r="CG641" s="20" t="inlineStr">
        <is>
          <t>None</t>
        </is>
      </c>
      <c r="CH641" s="17" t="n"/>
      <c r="CI641" s="16" t="n"/>
      <c r="CJ641" s="20" t="n"/>
      <c r="CK641" s="20" t="inlineStr">
        <is>
          <t>None</t>
        </is>
      </c>
      <c r="CL641" s="17" t="n"/>
      <c r="CM641" s="16" t="n"/>
      <c r="CN641" s="20" t="inlineStr">
        <is>
          <t>SOP 45-34</t>
        </is>
      </c>
      <c r="CO641" s="20" t="inlineStr">
        <is>
          <t>None</t>
        </is>
      </c>
      <c r="CP641" s="17" t="n"/>
      <c r="CQ641" s="16" t="n"/>
      <c r="CR641" s="20" t="n"/>
      <c r="CS641" s="20" t="inlineStr">
        <is>
          <t>None</t>
        </is>
      </c>
      <c r="CT641" s="17" t="n"/>
      <c r="CU641" s="16" t="n"/>
      <c r="CV641" s="20" t="n"/>
      <c r="CW641" s="20" t="inlineStr">
        <is>
          <t>None</t>
        </is>
      </c>
      <c r="CX641" s="17" t="n"/>
      <c r="CY641" s="16" t="n"/>
      <c r="CZ641" s="20" t="inlineStr">
        <is>
          <t>WTW Multimeter 3430 with FDO 925</t>
        </is>
      </c>
      <c r="DA641" s="20" t="inlineStr">
        <is>
          <t>None</t>
        </is>
      </c>
      <c r="DB641" s="17" t="n"/>
      <c r="DC641" s="16" t="n"/>
      <c r="DD641" s="20" t="n"/>
      <c r="DE641" s="20" t="inlineStr">
        <is>
          <t>None</t>
        </is>
      </c>
      <c r="DF641" s="17" t="n"/>
      <c r="DG641" s="16" t="n"/>
      <c r="DH641" s="20" t="inlineStr">
        <is>
          <t>SOP 45-09</t>
        </is>
      </c>
      <c r="DI641" s="20" t="inlineStr">
        <is>
          <t>None</t>
        </is>
      </c>
      <c r="DJ641" s="17" t="n"/>
      <c r="DK641" s="16" t="n"/>
      <c r="DL641" s="20" t="inlineStr">
        <is>
          <t>SOP 45-09 (SOP muss noch angepasst werden für VSS)</t>
        </is>
      </c>
      <c r="DM641" s="20" t="inlineStr">
        <is>
          <t>None</t>
        </is>
      </c>
      <c r="DN641" s="17" t="n"/>
      <c r="DO641" s="16" t="n"/>
      <c r="DP641" s="20" t="inlineStr">
        <is>
          <t>IC Organic Acids</t>
        </is>
      </c>
      <c r="DQ641" s="20" t="inlineStr">
        <is>
          <t>None</t>
        </is>
      </c>
      <c r="DR641" s="17" t="n"/>
      <c r="DS641" s="16" t="n"/>
      <c r="DT641" s="20" t="inlineStr">
        <is>
          <t>IC Organic Acids</t>
        </is>
      </c>
      <c r="DU641" s="20" t="inlineStr">
        <is>
          <t>None</t>
        </is>
      </c>
      <c r="DV641" s="17" t="n"/>
      <c r="DW641" s="16" t="n"/>
      <c r="DX641" s="20" t="inlineStr">
        <is>
          <t>IC Organic Acids</t>
        </is>
      </c>
      <c r="DY641" s="20" t="inlineStr">
        <is>
          <t>None</t>
        </is>
      </c>
      <c r="DZ641" s="17" t="n"/>
      <c r="EA641" s="16" t="n"/>
      <c r="EB641" s="20" t="inlineStr">
        <is>
          <t>IC Organic Acids</t>
        </is>
      </c>
      <c r="EC641" s="20" t="inlineStr">
        <is>
          <t>None</t>
        </is>
      </c>
      <c r="ED641" s="17" t="n"/>
      <c r="EE641" s="16" t="n"/>
      <c r="EF641" s="20" t="inlineStr">
        <is>
          <t>IC Organic Acids</t>
        </is>
      </c>
      <c r="EG641" s="20" t="inlineStr">
        <is>
          <t>None</t>
        </is>
      </c>
      <c r="EH641" s="17" t="n"/>
      <c r="EI641" s="16" t="n"/>
      <c r="EJ641" s="20" t="inlineStr">
        <is>
          <t>IC Organic Acids</t>
        </is>
      </c>
      <c r="EK641" s="20" t="inlineStr">
        <is>
          <t>None</t>
        </is>
      </c>
      <c r="EL641" s="17" t="n"/>
      <c r="EM641" s="16" t="n"/>
      <c r="EN641" s="20" t="inlineStr">
        <is>
          <t>IC Organic Acids</t>
        </is>
      </c>
      <c r="EO641" s="20" t="inlineStr">
        <is>
          <t>None</t>
        </is>
      </c>
      <c r="EP641" s="17" t="n"/>
      <c r="EQ641" s="16" t="n"/>
      <c r="ER641" s="20" t="inlineStr">
        <is>
          <t>IC Organic Acids</t>
        </is>
      </c>
      <c r="ES641" s="20" t="inlineStr">
        <is>
          <t>None</t>
        </is>
      </c>
      <c r="ET641" s="17" t="n"/>
      <c r="EU641" s="16" t="n"/>
      <c r="EV641" s="20" t="inlineStr">
        <is>
          <t>LC-MS</t>
        </is>
      </c>
      <c r="EW641" s="20" t="inlineStr">
        <is>
          <t>None</t>
        </is>
      </c>
      <c r="EX641" s="17" t="n"/>
      <c r="EY641" s="21" t="n"/>
      <c r="EZ641">
        <f>CONCATENATE(A641,B641)</f>
        <v/>
      </c>
      <c r="FA641">
        <f>CONCATENATE(SamplesX!A641,SamplesX!B641)</f>
        <v/>
      </c>
      <c r="FC641">
        <f>MATCH(EZ641,FA1:FA1008,0)</f>
        <v/>
      </c>
    </row>
    <row r="642">
      <c r="A642" s="16" t="n"/>
      <c r="B642" s="17" t="n"/>
      <c r="C642" s="10">
        <f>IF(ISNUMBER(FC642),INDIRECT("SamplesX!C"&amp;FC642),IF(ISNUMBER(FD642),INDIRECT("SamplesY!C"&amp;FD642),""))</f>
        <v/>
      </c>
      <c r="D642" s="12">
        <f>IF(ISNUMBER(FC642),INDIRECT("SamplesX!D"&amp;FC642),IF(ISNUMBER(FD642),INDIRECT("SamplesY!D"&amp;FD642),""))</f>
        <v/>
      </c>
      <c r="E642" s="12">
        <f>IF(ISNUMBER(FC642),INDIRECT("SamplesX!E"&amp;FC642),IF(ISNUMBER(FD642),INDIRECT("SamplesY!E"&amp;FD642),""))</f>
        <v/>
      </c>
      <c r="F642" s="11">
        <f>IF(ISNUMBER(FC642),INDIRECT("SamplesX!F"&amp;FC642),IF(ISNUMBER(FD642),INDIRECT("SamplesY!F"&amp;FD642),""))</f>
        <v/>
      </c>
      <c r="G642" s="18">
        <f>IF(ISNUMBER(FC642),INDIRECT("SamplesX!G"&amp;FC642),IF(ISNUMBER(FD642),INDIRECT("SamplesY!G"&amp;FD642),""))</f>
        <v/>
      </c>
      <c r="H642" s="19">
        <f>IF(ISNUMBER(FC642),INDIRECT("SamplesX!H"&amp;FC642),IF(ISNUMBER(FD642),INDIRECT("SamplesY!H"&amp;FD642),""))</f>
        <v/>
      </c>
      <c r="I642" s="16" t="n"/>
      <c r="J642" s="16" t="n"/>
      <c r="K642" s="16" t="n"/>
      <c r="L642" s="20" t="n"/>
      <c r="M642" s="20" t="inlineStr">
        <is>
          <t>None</t>
        </is>
      </c>
      <c r="N642" s="17" t="n"/>
      <c r="O642" s="16" t="n"/>
      <c r="P642" s="20" t="inlineStr">
        <is>
          <t>Shimadzu TOC-L</t>
        </is>
      </c>
      <c r="Q642" s="20" t="inlineStr">
        <is>
          <t>None</t>
        </is>
      </c>
      <c r="R642" s="17" t="n"/>
      <c r="S642" s="16" t="n"/>
      <c r="T642" s="20" t="inlineStr">
        <is>
          <t>Shimadzu TOC-L</t>
        </is>
      </c>
      <c r="U642" s="20" t="inlineStr">
        <is>
          <t>None</t>
        </is>
      </c>
      <c r="V642" s="17" t="n"/>
      <c r="W642" s="16" t="n"/>
      <c r="X642" s="20" t="n"/>
      <c r="Y642" s="20" t="inlineStr">
        <is>
          <t>None</t>
        </is>
      </c>
      <c r="Z642" s="17" t="n"/>
      <c r="AA642" s="16" t="n"/>
      <c r="AB642" s="20" t="n"/>
      <c r="AC642" s="20" t="inlineStr">
        <is>
          <t>None</t>
        </is>
      </c>
      <c r="AD642" s="17" t="n"/>
      <c r="AE642" s="16" t="n"/>
      <c r="AF642" s="20" t="inlineStr">
        <is>
          <t>IC Anionen</t>
        </is>
      </c>
      <c r="AG642" s="20" t="inlineStr">
        <is>
          <t>None</t>
        </is>
      </c>
      <c r="AH642" s="17" t="n"/>
      <c r="AI642" s="16" t="n"/>
      <c r="AJ642" s="20" t="n"/>
      <c r="AK642" s="20" t="inlineStr">
        <is>
          <t>None</t>
        </is>
      </c>
      <c r="AL642" s="17" t="n"/>
      <c r="AM642" s="16" t="n"/>
      <c r="AN642" s="20" t="inlineStr">
        <is>
          <t>IC Anionen</t>
        </is>
      </c>
      <c r="AO642" s="20" t="inlineStr">
        <is>
          <t>None</t>
        </is>
      </c>
      <c r="AP642" s="17" t="n"/>
      <c r="AQ642" s="16" t="n"/>
      <c r="AR642" s="20" t="n"/>
      <c r="AS642" s="20" t="inlineStr">
        <is>
          <t>None</t>
        </is>
      </c>
      <c r="AT642" s="17" t="n"/>
      <c r="AU642" s="16" t="n"/>
      <c r="AV642" s="20" t="n"/>
      <c r="AW642" s="20" t="inlineStr">
        <is>
          <t>None</t>
        </is>
      </c>
      <c r="AX642" s="17" t="n"/>
      <c r="AY642" s="16" t="n"/>
      <c r="AZ642" s="20" t="inlineStr">
        <is>
          <t>IC Anionen</t>
        </is>
      </c>
      <c r="BA642" s="20" t="inlineStr">
        <is>
          <t>None</t>
        </is>
      </c>
      <c r="BB642" s="17" t="n"/>
      <c r="BC642" s="16" t="n"/>
      <c r="BD642" s="20" t="inlineStr">
        <is>
          <t>IC Kationen</t>
        </is>
      </c>
      <c r="BE642" s="20" t="inlineStr">
        <is>
          <t>None</t>
        </is>
      </c>
      <c r="BF642" s="17" t="n"/>
      <c r="BG642" s="16" t="n"/>
      <c r="BH642" s="20" t="inlineStr">
        <is>
          <t>IC Kationen</t>
        </is>
      </c>
      <c r="BI642" s="20" t="inlineStr">
        <is>
          <t>None</t>
        </is>
      </c>
      <c r="BJ642" s="17" t="n"/>
      <c r="BK642" s="16" t="n"/>
      <c r="BL642" s="20" t="inlineStr">
        <is>
          <t>IC Kationen</t>
        </is>
      </c>
      <c r="BM642" s="20" t="inlineStr">
        <is>
          <t>None</t>
        </is>
      </c>
      <c r="BN642" s="17" t="n"/>
      <c r="BO642" s="16" t="n"/>
      <c r="BP642" s="20" t="inlineStr">
        <is>
          <t>IC Kationen</t>
        </is>
      </c>
      <c r="BQ642" s="20" t="inlineStr">
        <is>
          <t>None</t>
        </is>
      </c>
      <c r="BR642" s="17" t="n"/>
      <c r="BS642" s="16" t="n"/>
      <c r="BT642" s="20" t="inlineStr">
        <is>
          <t>IC Kationen</t>
        </is>
      </c>
      <c r="BU642" s="20" t="inlineStr">
        <is>
          <t>None</t>
        </is>
      </c>
      <c r="BV642" s="17" t="n"/>
      <c r="BW642" s="16" t="n"/>
      <c r="BX642" s="20" t="n"/>
      <c r="BY642" s="20" t="inlineStr">
        <is>
          <t>None</t>
        </is>
      </c>
      <c r="BZ642" s="17" t="n"/>
      <c r="CA642" s="16" t="n"/>
      <c r="CB642" s="20" t="n"/>
      <c r="CC642" s="20" t="inlineStr">
        <is>
          <t>None</t>
        </is>
      </c>
      <c r="CD642" s="17" t="n"/>
      <c r="CE642" s="16" t="n"/>
      <c r="CF642" s="20" t="n"/>
      <c r="CG642" s="20" t="inlineStr">
        <is>
          <t>None</t>
        </is>
      </c>
      <c r="CH642" s="17" t="n"/>
      <c r="CI642" s="16" t="n"/>
      <c r="CJ642" s="20" t="n"/>
      <c r="CK642" s="20" t="inlineStr">
        <is>
          <t>None</t>
        </is>
      </c>
      <c r="CL642" s="17" t="n"/>
      <c r="CM642" s="16" t="n"/>
      <c r="CN642" s="20" t="inlineStr">
        <is>
          <t>SOP 45-34</t>
        </is>
      </c>
      <c r="CO642" s="20" t="inlineStr">
        <is>
          <t>None</t>
        </is>
      </c>
      <c r="CP642" s="17" t="n"/>
      <c r="CQ642" s="16" t="n"/>
      <c r="CR642" s="20" t="n"/>
      <c r="CS642" s="20" t="inlineStr">
        <is>
          <t>None</t>
        </is>
      </c>
      <c r="CT642" s="17" t="n"/>
      <c r="CU642" s="16" t="n"/>
      <c r="CV642" s="20" t="n"/>
      <c r="CW642" s="20" t="inlineStr">
        <is>
          <t>None</t>
        </is>
      </c>
      <c r="CX642" s="17" t="n"/>
      <c r="CY642" s="16" t="n"/>
      <c r="CZ642" s="20" t="inlineStr">
        <is>
          <t>WTW Multimeter 3430 with FDO 925</t>
        </is>
      </c>
      <c r="DA642" s="20" t="inlineStr">
        <is>
          <t>None</t>
        </is>
      </c>
      <c r="DB642" s="17" t="n"/>
      <c r="DC642" s="16" t="n"/>
      <c r="DD642" s="20" t="n"/>
      <c r="DE642" s="20" t="inlineStr">
        <is>
          <t>None</t>
        </is>
      </c>
      <c r="DF642" s="17" t="n"/>
      <c r="DG642" s="16" t="n"/>
      <c r="DH642" s="20" t="inlineStr">
        <is>
          <t>SOP 45-09</t>
        </is>
      </c>
      <c r="DI642" s="20" t="inlineStr">
        <is>
          <t>None</t>
        </is>
      </c>
      <c r="DJ642" s="17" t="n"/>
      <c r="DK642" s="16" t="n"/>
      <c r="DL642" s="20" t="inlineStr">
        <is>
          <t>SOP 45-09 (SOP muss noch angepasst werden für VSS)</t>
        </is>
      </c>
      <c r="DM642" s="20" t="inlineStr">
        <is>
          <t>None</t>
        </is>
      </c>
      <c r="DN642" s="17" t="n"/>
      <c r="DO642" s="16" t="n"/>
      <c r="DP642" s="20" t="inlineStr">
        <is>
          <t>IC Organic Acids</t>
        </is>
      </c>
      <c r="DQ642" s="20" t="inlineStr">
        <is>
          <t>None</t>
        </is>
      </c>
      <c r="DR642" s="17" t="n"/>
      <c r="DS642" s="16" t="n"/>
      <c r="DT642" s="20" t="inlineStr">
        <is>
          <t>IC Organic Acids</t>
        </is>
      </c>
      <c r="DU642" s="20" t="inlineStr">
        <is>
          <t>None</t>
        </is>
      </c>
      <c r="DV642" s="17" t="n"/>
      <c r="DW642" s="16" t="n"/>
      <c r="DX642" s="20" t="inlineStr">
        <is>
          <t>IC Organic Acids</t>
        </is>
      </c>
      <c r="DY642" s="20" t="inlineStr">
        <is>
          <t>None</t>
        </is>
      </c>
      <c r="DZ642" s="17" t="n"/>
      <c r="EA642" s="16" t="n"/>
      <c r="EB642" s="20" t="inlineStr">
        <is>
          <t>IC Organic Acids</t>
        </is>
      </c>
      <c r="EC642" s="20" t="inlineStr">
        <is>
          <t>None</t>
        </is>
      </c>
      <c r="ED642" s="17" t="n"/>
      <c r="EE642" s="16" t="n"/>
      <c r="EF642" s="20" t="inlineStr">
        <is>
          <t>IC Organic Acids</t>
        </is>
      </c>
      <c r="EG642" s="20" t="inlineStr">
        <is>
          <t>None</t>
        </is>
      </c>
      <c r="EH642" s="17" t="n"/>
      <c r="EI642" s="16" t="n"/>
      <c r="EJ642" s="20" t="inlineStr">
        <is>
          <t>IC Organic Acids</t>
        </is>
      </c>
      <c r="EK642" s="20" t="inlineStr">
        <is>
          <t>None</t>
        </is>
      </c>
      <c r="EL642" s="17" t="n"/>
      <c r="EM642" s="16" t="n"/>
      <c r="EN642" s="20" t="inlineStr">
        <is>
          <t>IC Organic Acids</t>
        </is>
      </c>
      <c r="EO642" s="20" t="inlineStr">
        <is>
          <t>None</t>
        </is>
      </c>
      <c r="EP642" s="17" t="n"/>
      <c r="EQ642" s="16" t="n"/>
      <c r="ER642" s="20" t="inlineStr">
        <is>
          <t>IC Organic Acids</t>
        </is>
      </c>
      <c r="ES642" s="20" t="inlineStr">
        <is>
          <t>None</t>
        </is>
      </c>
      <c r="ET642" s="17" t="n"/>
      <c r="EU642" s="16" t="n"/>
      <c r="EV642" s="20" t="inlineStr">
        <is>
          <t>LC-MS</t>
        </is>
      </c>
      <c r="EW642" s="20" t="inlineStr">
        <is>
          <t>None</t>
        </is>
      </c>
      <c r="EX642" s="17" t="n"/>
      <c r="EY642" s="21" t="n"/>
      <c r="EZ642">
        <f>CONCATENATE(A642,B642)</f>
        <v/>
      </c>
      <c r="FA642">
        <f>CONCATENATE(SamplesX!A642,SamplesX!B642)</f>
        <v/>
      </c>
      <c r="FC642">
        <f>MATCH(EZ642,FA1:FA1008,0)</f>
        <v/>
      </c>
    </row>
    <row r="643">
      <c r="A643" s="16" t="n"/>
      <c r="B643" s="17" t="n"/>
      <c r="C643" s="10">
        <f>IF(ISNUMBER(FC643),INDIRECT("SamplesX!C"&amp;FC643),IF(ISNUMBER(FD643),INDIRECT("SamplesY!C"&amp;FD643),""))</f>
        <v/>
      </c>
      <c r="D643" s="12">
        <f>IF(ISNUMBER(FC643),INDIRECT("SamplesX!D"&amp;FC643),IF(ISNUMBER(FD643),INDIRECT("SamplesY!D"&amp;FD643),""))</f>
        <v/>
      </c>
      <c r="E643" s="12">
        <f>IF(ISNUMBER(FC643),INDIRECT("SamplesX!E"&amp;FC643),IF(ISNUMBER(FD643),INDIRECT("SamplesY!E"&amp;FD643),""))</f>
        <v/>
      </c>
      <c r="F643" s="11">
        <f>IF(ISNUMBER(FC643),INDIRECT("SamplesX!F"&amp;FC643),IF(ISNUMBER(FD643),INDIRECT("SamplesY!F"&amp;FD643),""))</f>
        <v/>
      </c>
      <c r="G643" s="18">
        <f>IF(ISNUMBER(FC643),INDIRECT("SamplesX!G"&amp;FC643),IF(ISNUMBER(FD643),INDIRECT("SamplesY!G"&amp;FD643),""))</f>
        <v/>
      </c>
      <c r="H643" s="19">
        <f>IF(ISNUMBER(FC643),INDIRECT("SamplesX!H"&amp;FC643),IF(ISNUMBER(FD643),INDIRECT("SamplesY!H"&amp;FD643),""))</f>
        <v/>
      </c>
      <c r="I643" s="16" t="n"/>
      <c r="J643" s="16" t="n"/>
      <c r="K643" s="16" t="n"/>
      <c r="L643" s="20" t="n"/>
      <c r="M643" s="20" t="inlineStr">
        <is>
          <t>None</t>
        </is>
      </c>
      <c r="N643" s="17" t="n"/>
      <c r="O643" s="16" t="n"/>
      <c r="P643" s="20" t="inlineStr">
        <is>
          <t>Shimadzu TOC-L</t>
        </is>
      </c>
      <c r="Q643" s="20" t="inlineStr">
        <is>
          <t>None</t>
        </is>
      </c>
      <c r="R643" s="17" t="n"/>
      <c r="S643" s="16" t="n"/>
      <c r="T643" s="20" t="inlineStr">
        <is>
          <t>Shimadzu TOC-L</t>
        </is>
      </c>
      <c r="U643" s="20" t="inlineStr">
        <is>
          <t>None</t>
        </is>
      </c>
      <c r="V643" s="17" t="n"/>
      <c r="W643" s="16" t="n"/>
      <c r="X643" s="20" t="n"/>
      <c r="Y643" s="20" t="inlineStr">
        <is>
          <t>None</t>
        </is>
      </c>
      <c r="Z643" s="17" t="n"/>
      <c r="AA643" s="16" t="n"/>
      <c r="AB643" s="20" t="n"/>
      <c r="AC643" s="20" t="inlineStr">
        <is>
          <t>None</t>
        </is>
      </c>
      <c r="AD643" s="17" t="n"/>
      <c r="AE643" s="16" t="n"/>
      <c r="AF643" s="20" t="inlineStr">
        <is>
          <t>IC Anionen</t>
        </is>
      </c>
      <c r="AG643" s="20" t="inlineStr">
        <is>
          <t>None</t>
        </is>
      </c>
      <c r="AH643" s="17" t="n"/>
      <c r="AI643" s="16" t="n"/>
      <c r="AJ643" s="20" t="n"/>
      <c r="AK643" s="20" t="inlineStr">
        <is>
          <t>None</t>
        </is>
      </c>
      <c r="AL643" s="17" t="n"/>
      <c r="AM643" s="16" t="n"/>
      <c r="AN643" s="20" t="inlineStr">
        <is>
          <t>IC Anionen</t>
        </is>
      </c>
      <c r="AO643" s="20" t="inlineStr">
        <is>
          <t>None</t>
        </is>
      </c>
      <c r="AP643" s="17" t="n"/>
      <c r="AQ643" s="16" t="n"/>
      <c r="AR643" s="20" t="n"/>
      <c r="AS643" s="20" t="inlineStr">
        <is>
          <t>None</t>
        </is>
      </c>
      <c r="AT643" s="17" t="n"/>
      <c r="AU643" s="16" t="n"/>
      <c r="AV643" s="20" t="n"/>
      <c r="AW643" s="20" t="inlineStr">
        <is>
          <t>None</t>
        </is>
      </c>
      <c r="AX643" s="17" t="n"/>
      <c r="AY643" s="16" t="n"/>
      <c r="AZ643" s="20" t="inlineStr">
        <is>
          <t>IC Anionen</t>
        </is>
      </c>
      <c r="BA643" s="20" t="inlineStr">
        <is>
          <t>None</t>
        </is>
      </c>
      <c r="BB643" s="17" t="n"/>
      <c r="BC643" s="16" t="n"/>
      <c r="BD643" s="20" t="inlineStr">
        <is>
          <t>IC Kationen</t>
        </is>
      </c>
      <c r="BE643" s="20" t="inlineStr">
        <is>
          <t>None</t>
        </is>
      </c>
      <c r="BF643" s="17" t="n"/>
      <c r="BG643" s="16" t="n"/>
      <c r="BH643" s="20" t="inlineStr">
        <is>
          <t>IC Kationen</t>
        </is>
      </c>
      <c r="BI643" s="20" t="inlineStr">
        <is>
          <t>None</t>
        </is>
      </c>
      <c r="BJ643" s="17" t="n"/>
      <c r="BK643" s="16" t="n"/>
      <c r="BL643" s="20" t="inlineStr">
        <is>
          <t>IC Kationen</t>
        </is>
      </c>
      <c r="BM643" s="20" t="inlineStr">
        <is>
          <t>None</t>
        </is>
      </c>
      <c r="BN643" s="17" t="n"/>
      <c r="BO643" s="16" t="n"/>
      <c r="BP643" s="20" t="inlineStr">
        <is>
          <t>IC Kationen</t>
        </is>
      </c>
      <c r="BQ643" s="20" t="inlineStr">
        <is>
          <t>None</t>
        </is>
      </c>
      <c r="BR643" s="17" t="n"/>
      <c r="BS643" s="16" t="n"/>
      <c r="BT643" s="20" t="inlineStr">
        <is>
          <t>IC Kationen</t>
        </is>
      </c>
      <c r="BU643" s="20" t="inlineStr">
        <is>
          <t>None</t>
        </is>
      </c>
      <c r="BV643" s="17" t="n"/>
      <c r="BW643" s="16" t="n"/>
      <c r="BX643" s="20" t="n"/>
      <c r="BY643" s="20" t="inlineStr">
        <is>
          <t>None</t>
        </is>
      </c>
      <c r="BZ643" s="17" t="n"/>
      <c r="CA643" s="16" t="n"/>
      <c r="CB643" s="20" t="n"/>
      <c r="CC643" s="20" t="inlineStr">
        <is>
          <t>None</t>
        </is>
      </c>
      <c r="CD643" s="17" t="n"/>
      <c r="CE643" s="16" t="n"/>
      <c r="CF643" s="20" t="n"/>
      <c r="CG643" s="20" t="inlineStr">
        <is>
          <t>None</t>
        </is>
      </c>
      <c r="CH643" s="17" t="n"/>
      <c r="CI643" s="16" t="n"/>
      <c r="CJ643" s="20" t="n"/>
      <c r="CK643" s="20" t="inlineStr">
        <is>
          <t>None</t>
        </is>
      </c>
      <c r="CL643" s="17" t="n"/>
      <c r="CM643" s="16" t="n"/>
      <c r="CN643" s="20" t="inlineStr">
        <is>
          <t>SOP 45-34</t>
        </is>
      </c>
      <c r="CO643" s="20" t="inlineStr">
        <is>
          <t>None</t>
        </is>
      </c>
      <c r="CP643" s="17" t="n"/>
      <c r="CQ643" s="16" t="n"/>
      <c r="CR643" s="20" t="n"/>
      <c r="CS643" s="20" t="inlineStr">
        <is>
          <t>None</t>
        </is>
      </c>
      <c r="CT643" s="17" t="n"/>
      <c r="CU643" s="16" t="n"/>
      <c r="CV643" s="20" t="n"/>
      <c r="CW643" s="20" t="inlineStr">
        <is>
          <t>None</t>
        </is>
      </c>
      <c r="CX643" s="17" t="n"/>
      <c r="CY643" s="16" t="n"/>
      <c r="CZ643" s="20" t="inlineStr">
        <is>
          <t>WTW Multimeter 3430 with FDO 925</t>
        </is>
      </c>
      <c r="DA643" s="20" t="inlineStr">
        <is>
          <t>None</t>
        </is>
      </c>
      <c r="DB643" s="17" t="n"/>
      <c r="DC643" s="16" t="n"/>
      <c r="DD643" s="20" t="n"/>
      <c r="DE643" s="20" t="inlineStr">
        <is>
          <t>None</t>
        </is>
      </c>
      <c r="DF643" s="17" t="n"/>
      <c r="DG643" s="16" t="n"/>
      <c r="DH643" s="20" t="inlineStr">
        <is>
          <t>SOP 45-09</t>
        </is>
      </c>
      <c r="DI643" s="20" t="inlineStr">
        <is>
          <t>None</t>
        </is>
      </c>
      <c r="DJ643" s="17" t="n"/>
      <c r="DK643" s="16" t="n"/>
      <c r="DL643" s="20" t="inlineStr">
        <is>
          <t>SOP 45-09 (SOP muss noch angepasst werden für VSS)</t>
        </is>
      </c>
      <c r="DM643" s="20" t="inlineStr">
        <is>
          <t>None</t>
        </is>
      </c>
      <c r="DN643" s="17" t="n"/>
      <c r="DO643" s="16" t="n"/>
      <c r="DP643" s="20" t="inlineStr">
        <is>
          <t>IC Organic Acids</t>
        </is>
      </c>
      <c r="DQ643" s="20" t="inlineStr">
        <is>
          <t>None</t>
        </is>
      </c>
      <c r="DR643" s="17" t="n"/>
      <c r="DS643" s="16" t="n"/>
      <c r="DT643" s="20" t="inlineStr">
        <is>
          <t>IC Organic Acids</t>
        </is>
      </c>
      <c r="DU643" s="20" t="inlineStr">
        <is>
          <t>None</t>
        </is>
      </c>
      <c r="DV643" s="17" t="n"/>
      <c r="DW643" s="16" t="n"/>
      <c r="DX643" s="20" t="inlineStr">
        <is>
          <t>IC Organic Acids</t>
        </is>
      </c>
      <c r="DY643" s="20" t="inlineStr">
        <is>
          <t>None</t>
        </is>
      </c>
      <c r="DZ643" s="17" t="n"/>
      <c r="EA643" s="16" t="n"/>
      <c r="EB643" s="20" t="inlineStr">
        <is>
          <t>IC Organic Acids</t>
        </is>
      </c>
      <c r="EC643" s="20" t="inlineStr">
        <is>
          <t>None</t>
        </is>
      </c>
      <c r="ED643" s="17" t="n"/>
      <c r="EE643" s="16" t="n"/>
      <c r="EF643" s="20" t="inlineStr">
        <is>
          <t>IC Organic Acids</t>
        </is>
      </c>
      <c r="EG643" s="20" t="inlineStr">
        <is>
          <t>None</t>
        </is>
      </c>
      <c r="EH643" s="17" t="n"/>
      <c r="EI643" s="16" t="n"/>
      <c r="EJ643" s="20" t="inlineStr">
        <is>
          <t>IC Organic Acids</t>
        </is>
      </c>
      <c r="EK643" s="20" t="inlineStr">
        <is>
          <t>None</t>
        </is>
      </c>
      <c r="EL643" s="17" t="n"/>
      <c r="EM643" s="16" t="n"/>
      <c r="EN643" s="20" t="inlineStr">
        <is>
          <t>IC Organic Acids</t>
        </is>
      </c>
      <c r="EO643" s="20" t="inlineStr">
        <is>
          <t>None</t>
        </is>
      </c>
      <c r="EP643" s="17" t="n"/>
      <c r="EQ643" s="16" t="n"/>
      <c r="ER643" s="20" t="inlineStr">
        <is>
          <t>IC Organic Acids</t>
        </is>
      </c>
      <c r="ES643" s="20" t="inlineStr">
        <is>
          <t>None</t>
        </is>
      </c>
      <c r="ET643" s="17" t="n"/>
      <c r="EU643" s="16" t="n"/>
      <c r="EV643" s="20" t="inlineStr">
        <is>
          <t>LC-MS</t>
        </is>
      </c>
      <c r="EW643" s="20" t="inlineStr">
        <is>
          <t>None</t>
        </is>
      </c>
      <c r="EX643" s="17" t="n"/>
      <c r="EY643" s="21" t="n"/>
      <c r="EZ643">
        <f>CONCATENATE(A643,B643)</f>
        <v/>
      </c>
      <c r="FA643">
        <f>CONCATENATE(SamplesX!A643,SamplesX!B643)</f>
        <v/>
      </c>
      <c r="FC643">
        <f>MATCH(EZ643,FA1:FA1008,0)</f>
        <v/>
      </c>
    </row>
    <row r="644">
      <c r="A644" s="16" t="n"/>
      <c r="B644" s="17" t="n"/>
      <c r="C644" s="10">
        <f>IF(ISNUMBER(FC644),INDIRECT("SamplesX!C"&amp;FC644),IF(ISNUMBER(FD644),INDIRECT("SamplesY!C"&amp;FD644),""))</f>
        <v/>
      </c>
      <c r="D644" s="12">
        <f>IF(ISNUMBER(FC644),INDIRECT("SamplesX!D"&amp;FC644),IF(ISNUMBER(FD644),INDIRECT("SamplesY!D"&amp;FD644),""))</f>
        <v/>
      </c>
      <c r="E644" s="12">
        <f>IF(ISNUMBER(FC644),INDIRECT("SamplesX!E"&amp;FC644),IF(ISNUMBER(FD644),INDIRECT("SamplesY!E"&amp;FD644),""))</f>
        <v/>
      </c>
      <c r="F644" s="11">
        <f>IF(ISNUMBER(FC644),INDIRECT("SamplesX!F"&amp;FC644),IF(ISNUMBER(FD644),INDIRECT("SamplesY!F"&amp;FD644),""))</f>
        <v/>
      </c>
      <c r="G644" s="18">
        <f>IF(ISNUMBER(FC644),INDIRECT("SamplesX!G"&amp;FC644),IF(ISNUMBER(FD644),INDIRECT("SamplesY!G"&amp;FD644),""))</f>
        <v/>
      </c>
      <c r="H644" s="19">
        <f>IF(ISNUMBER(FC644),INDIRECT("SamplesX!H"&amp;FC644),IF(ISNUMBER(FD644),INDIRECT("SamplesY!H"&amp;FD644),""))</f>
        <v/>
      </c>
      <c r="I644" s="16" t="n"/>
      <c r="J644" s="16" t="n"/>
      <c r="K644" s="16" t="n"/>
      <c r="L644" s="20" t="n"/>
      <c r="M644" s="20" t="inlineStr">
        <is>
          <t>None</t>
        </is>
      </c>
      <c r="N644" s="17" t="n"/>
      <c r="O644" s="16" t="n"/>
      <c r="P644" s="20" t="inlineStr">
        <is>
          <t>Shimadzu TOC-L</t>
        </is>
      </c>
      <c r="Q644" s="20" t="inlineStr">
        <is>
          <t>None</t>
        </is>
      </c>
      <c r="R644" s="17" t="n"/>
      <c r="S644" s="16" t="n"/>
      <c r="T644" s="20" t="inlineStr">
        <is>
          <t>Shimadzu TOC-L</t>
        </is>
      </c>
      <c r="U644" s="20" t="inlineStr">
        <is>
          <t>None</t>
        </is>
      </c>
      <c r="V644" s="17" t="n"/>
      <c r="W644" s="16" t="n"/>
      <c r="X644" s="20" t="n"/>
      <c r="Y644" s="20" t="inlineStr">
        <is>
          <t>None</t>
        </is>
      </c>
      <c r="Z644" s="17" t="n"/>
      <c r="AA644" s="16" t="n"/>
      <c r="AB644" s="20" t="n"/>
      <c r="AC644" s="20" t="inlineStr">
        <is>
          <t>None</t>
        </is>
      </c>
      <c r="AD644" s="17" t="n"/>
      <c r="AE644" s="16" t="n"/>
      <c r="AF644" s="20" t="inlineStr">
        <is>
          <t>IC Anionen</t>
        </is>
      </c>
      <c r="AG644" s="20" t="inlineStr">
        <is>
          <t>None</t>
        </is>
      </c>
      <c r="AH644" s="17" t="n"/>
      <c r="AI644" s="16" t="n"/>
      <c r="AJ644" s="20" t="n"/>
      <c r="AK644" s="20" t="inlineStr">
        <is>
          <t>None</t>
        </is>
      </c>
      <c r="AL644" s="17" t="n"/>
      <c r="AM644" s="16" t="n"/>
      <c r="AN644" s="20" t="inlineStr">
        <is>
          <t>IC Anionen</t>
        </is>
      </c>
      <c r="AO644" s="20" t="inlineStr">
        <is>
          <t>None</t>
        </is>
      </c>
      <c r="AP644" s="17" t="n"/>
      <c r="AQ644" s="16" t="n"/>
      <c r="AR644" s="20" t="n"/>
      <c r="AS644" s="20" t="inlineStr">
        <is>
          <t>None</t>
        </is>
      </c>
      <c r="AT644" s="17" t="n"/>
      <c r="AU644" s="16" t="n"/>
      <c r="AV644" s="20" t="n"/>
      <c r="AW644" s="20" t="inlineStr">
        <is>
          <t>None</t>
        </is>
      </c>
      <c r="AX644" s="17" t="n"/>
      <c r="AY644" s="16" t="n"/>
      <c r="AZ644" s="20" t="inlineStr">
        <is>
          <t>IC Anionen</t>
        </is>
      </c>
      <c r="BA644" s="20" t="inlineStr">
        <is>
          <t>None</t>
        </is>
      </c>
      <c r="BB644" s="17" t="n"/>
      <c r="BC644" s="16" t="n"/>
      <c r="BD644" s="20" t="inlineStr">
        <is>
          <t>IC Kationen</t>
        </is>
      </c>
      <c r="BE644" s="20" t="inlineStr">
        <is>
          <t>None</t>
        </is>
      </c>
      <c r="BF644" s="17" t="n"/>
      <c r="BG644" s="16" t="n"/>
      <c r="BH644" s="20" t="inlineStr">
        <is>
          <t>IC Kationen</t>
        </is>
      </c>
      <c r="BI644" s="20" t="inlineStr">
        <is>
          <t>None</t>
        </is>
      </c>
      <c r="BJ644" s="17" t="n"/>
      <c r="BK644" s="16" t="n"/>
      <c r="BL644" s="20" t="inlineStr">
        <is>
          <t>IC Kationen</t>
        </is>
      </c>
      <c r="BM644" s="20" t="inlineStr">
        <is>
          <t>None</t>
        </is>
      </c>
      <c r="BN644" s="17" t="n"/>
      <c r="BO644" s="16" t="n"/>
      <c r="BP644" s="20" t="inlineStr">
        <is>
          <t>IC Kationen</t>
        </is>
      </c>
      <c r="BQ644" s="20" t="inlineStr">
        <is>
          <t>None</t>
        </is>
      </c>
      <c r="BR644" s="17" t="n"/>
      <c r="BS644" s="16" t="n"/>
      <c r="BT644" s="20" t="inlineStr">
        <is>
          <t>IC Kationen</t>
        </is>
      </c>
      <c r="BU644" s="20" t="inlineStr">
        <is>
          <t>None</t>
        </is>
      </c>
      <c r="BV644" s="17" t="n"/>
      <c r="BW644" s="16" t="n"/>
      <c r="BX644" s="20" t="n"/>
      <c r="BY644" s="20" t="inlineStr">
        <is>
          <t>None</t>
        </is>
      </c>
      <c r="BZ644" s="17" t="n"/>
      <c r="CA644" s="16" t="n"/>
      <c r="CB644" s="20" t="n"/>
      <c r="CC644" s="20" t="inlineStr">
        <is>
          <t>None</t>
        </is>
      </c>
      <c r="CD644" s="17" t="n"/>
      <c r="CE644" s="16" t="n"/>
      <c r="CF644" s="20" t="n"/>
      <c r="CG644" s="20" t="inlineStr">
        <is>
          <t>None</t>
        </is>
      </c>
      <c r="CH644" s="17" t="n"/>
      <c r="CI644" s="16" t="n"/>
      <c r="CJ644" s="20" t="n"/>
      <c r="CK644" s="20" t="inlineStr">
        <is>
          <t>None</t>
        </is>
      </c>
      <c r="CL644" s="17" t="n"/>
      <c r="CM644" s="16" t="n"/>
      <c r="CN644" s="20" t="inlineStr">
        <is>
          <t>SOP 45-34</t>
        </is>
      </c>
      <c r="CO644" s="20" t="inlineStr">
        <is>
          <t>None</t>
        </is>
      </c>
      <c r="CP644" s="17" t="n"/>
      <c r="CQ644" s="16" t="n"/>
      <c r="CR644" s="20" t="n"/>
      <c r="CS644" s="20" t="inlineStr">
        <is>
          <t>None</t>
        </is>
      </c>
      <c r="CT644" s="17" t="n"/>
      <c r="CU644" s="16" t="n"/>
      <c r="CV644" s="20" t="n"/>
      <c r="CW644" s="20" t="inlineStr">
        <is>
          <t>None</t>
        </is>
      </c>
      <c r="CX644" s="17" t="n"/>
      <c r="CY644" s="16" t="n"/>
      <c r="CZ644" s="20" t="inlineStr">
        <is>
          <t>WTW Multimeter 3430 with FDO 925</t>
        </is>
      </c>
      <c r="DA644" s="20" t="inlineStr">
        <is>
          <t>None</t>
        </is>
      </c>
      <c r="DB644" s="17" t="n"/>
      <c r="DC644" s="16" t="n"/>
      <c r="DD644" s="20" t="n"/>
      <c r="DE644" s="20" t="inlineStr">
        <is>
          <t>None</t>
        </is>
      </c>
      <c r="DF644" s="17" t="n"/>
      <c r="DG644" s="16" t="n"/>
      <c r="DH644" s="20" t="inlineStr">
        <is>
          <t>SOP 45-09</t>
        </is>
      </c>
      <c r="DI644" s="20" t="inlineStr">
        <is>
          <t>None</t>
        </is>
      </c>
      <c r="DJ644" s="17" t="n"/>
      <c r="DK644" s="16" t="n"/>
      <c r="DL644" s="20" t="inlineStr">
        <is>
          <t>SOP 45-09 (SOP muss noch angepasst werden für VSS)</t>
        </is>
      </c>
      <c r="DM644" s="20" t="inlineStr">
        <is>
          <t>None</t>
        </is>
      </c>
      <c r="DN644" s="17" t="n"/>
      <c r="DO644" s="16" t="n"/>
      <c r="DP644" s="20" t="inlineStr">
        <is>
          <t>IC Organic Acids</t>
        </is>
      </c>
      <c r="DQ644" s="20" t="inlineStr">
        <is>
          <t>None</t>
        </is>
      </c>
      <c r="DR644" s="17" t="n"/>
      <c r="DS644" s="16" t="n"/>
      <c r="DT644" s="20" t="inlineStr">
        <is>
          <t>IC Organic Acids</t>
        </is>
      </c>
      <c r="DU644" s="20" t="inlineStr">
        <is>
          <t>None</t>
        </is>
      </c>
      <c r="DV644" s="17" t="n"/>
      <c r="DW644" s="16" t="n"/>
      <c r="DX644" s="20" t="inlineStr">
        <is>
          <t>IC Organic Acids</t>
        </is>
      </c>
      <c r="DY644" s="20" t="inlineStr">
        <is>
          <t>None</t>
        </is>
      </c>
      <c r="DZ644" s="17" t="n"/>
      <c r="EA644" s="16" t="n"/>
      <c r="EB644" s="20" t="inlineStr">
        <is>
          <t>IC Organic Acids</t>
        </is>
      </c>
      <c r="EC644" s="20" t="inlineStr">
        <is>
          <t>None</t>
        </is>
      </c>
      <c r="ED644" s="17" t="n"/>
      <c r="EE644" s="16" t="n"/>
      <c r="EF644" s="20" t="inlineStr">
        <is>
          <t>IC Organic Acids</t>
        </is>
      </c>
      <c r="EG644" s="20" t="inlineStr">
        <is>
          <t>None</t>
        </is>
      </c>
      <c r="EH644" s="17" t="n"/>
      <c r="EI644" s="16" t="n"/>
      <c r="EJ644" s="20" t="inlineStr">
        <is>
          <t>IC Organic Acids</t>
        </is>
      </c>
      <c r="EK644" s="20" t="inlineStr">
        <is>
          <t>None</t>
        </is>
      </c>
      <c r="EL644" s="17" t="n"/>
      <c r="EM644" s="16" t="n"/>
      <c r="EN644" s="20" t="inlineStr">
        <is>
          <t>IC Organic Acids</t>
        </is>
      </c>
      <c r="EO644" s="20" t="inlineStr">
        <is>
          <t>None</t>
        </is>
      </c>
      <c r="EP644" s="17" t="n"/>
      <c r="EQ644" s="16" t="n"/>
      <c r="ER644" s="20" t="inlineStr">
        <is>
          <t>IC Organic Acids</t>
        </is>
      </c>
      <c r="ES644" s="20" t="inlineStr">
        <is>
          <t>None</t>
        </is>
      </c>
      <c r="ET644" s="17" t="n"/>
      <c r="EU644" s="16" t="n"/>
      <c r="EV644" s="20" t="inlineStr">
        <is>
          <t>LC-MS</t>
        </is>
      </c>
      <c r="EW644" s="20" t="inlineStr">
        <is>
          <t>None</t>
        </is>
      </c>
      <c r="EX644" s="17" t="n"/>
      <c r="EY644" s="21" t="n"/>
      <c r="EZ644">
        <f>CONCATENATE(A644,B644)</f>
        <v/>
      </c>
      <c r="FA644">
        <f>CONCATENATE(SamplesX!A644,SamplesX!B644)</f>
        <v/>
      </c>
      <c r="FC644">
        <f>MATCH(EZ644,FA1:FA1008,0)</f>
        <v/>
      </c>
    </row>
    <row r="645">
      <c r="A645" s="16" t="n"/>
      <c r="B645" s="17" t="n"/>
      <c r="C645" s="10">
        <f>IF(ISNUMBER(FC645),INDIRECT("SamplesX!C"&amp;FC645),IF(ISNUMBER(FD645),INDIRECT("SamplesY!C"&amp;FD645),""))</f>
        <v/>
      </c>
      <c r="D645" s="12">
        <f>IF(ISNUMBER(FC645),INDIRECT("SamplesX!D"&amp;FC645),IF(ISNUMBER(FD645),INDIRECT("SamplesY!D"&amp;FD645),""))</f>
        <v/>
      </c>
      <c r="E645" s="12">
        <f>IF(ISNUMBER(FC645),INDIRECT("SamplesX!E"&amp;FC645),IF(ISNUMBER(FD645),INDIRECT("SamplesY!E"&amp;FD645),""))</f>
        <v/>
      </c>
      <c r="F645" s="11">
        <f>IF(ISNUMBER(FC645),INDIRECT("SamplesX!F"&amp;FC645),IF(ISNUMBER(FD645),INDIRECT("SamplesY!F"&amp;FD645),""))</f>
        <v/>
      </c>
      <c r="G645" s="18">
        <f>IF(ISNUMBER(FC645),INDIRECT("SamplesX!G"&amp;FC645),IF(ISNUMBER(FD645),INDIRECT("SamplesY!G"&amp;FD645),""))</f>
        <v/>
      </c>
      <c r="H645" s="19">
        <f>IF(ISNUMBER(FC645),INDIRECT("SamplesX!H"&amp;FC645),IF(ISNUMBER(FD645),INDIRECT("SamplesY!H"&amp;FD645),""))</f>
        <v/>
      </c>
      <c r="I645" s="16" t="n"/>
      <c r="J645" s="16" t="n"/>
      <c r="K645" s="16" t="n"/>
      <c r="L645" s="20" t="n"/>
      <c r="M645" s="20" t="inlineStr">
        <is>
          <t>None</t>
        </is>
      </c>
      <c r="N645" s="17" t="n"/>
      <c r="O645" s="16" t="n"/>
      <c r="P645" s="20" t="inlineStr">
        <is>
          <t>Shimadzu TOC-L</t>
        </is>
      </c>
      <c r="Q645" s="20" t="inlineStr">
        <is>
          <t>None</t>
        </is>
      </c>
      <c r="R645" s="17" t="n"/>
      <c r="S645" s="16" t="n"/>
      <c r="T645" s="20" t="inlineStr">
        <is>
          <t>Shimadzu TOC-L</t>
        </is>
      </c>
      <c r="U645" s="20" t="inlineStr">
        <is>
          <t>None</t>
        </is>
      </c>
      <c r="V645" s="17" t="n"/>
      <c r="W645" s="16" t="n"/>
      <c r="X645" s="20" t="n"/>
      <c r="Y645" s="20" t="inlineStr">
        <is>
          <t>None</t>
        </is>
      </c>
      <c r="Z645" s="17" t="n"/>
      <c r="AA645" s="16" t="n"/>
      <c r="AB645" s="20" t="n"/>
      <c r="AC645" s="20" t="inlineStr">
        <is>
          <t>None</t>
        </is>
      </c>
      <c r="AD645" s="17" t="n"/>
      <c r="AE645" s="16" t="n"/>
      <c r="AF645" s="20" t="inlineStr">
        <is>
          <t>IC Anionen</t>
        </is>
      </c>
      <c r="AG645" s="20" t="inlineStr">
        <is>
          <t>None</t>
        </is>
      </c>
      <c r="AH645" s="17" t="n"/>
      <c r="AI645" s="16" t="n"/>
      <c r="AJ645" s="20" t="n"/>
      <c r="AK645" s="20" t="inlineStr">
        <is>
          <t>None</t>
        </is>
      </c>
      <c r="AL645" s="17" t="n"/>
      <c r="AM645" s="16" t="n"/>
      <c r="AN645" s="20" t="inlineStr">
        <is>
          <t>IC Anionen</t>
        </is>
      </c>
      <c r="AO645" s="20" t="inlineStr">
        <is>
          <t>None</t>
        </is>
      </c>
      <c r="AP645" s="17" t="n"/>
      <c r="AQ645" s="16" t="n"/>
      <c r="AR645" s="20" t="n"/>
      <c r="AS645" s="20" t="inlineStr">
        <is>
          <t>None</t>
        </is>
      </c>
      <c r="AT645" s="17" t="n"/>
      <c r="AU645" s="16" t="n"/>
      <c r="AV645" s="20" t="n"/>
      <c r="AW645" s="20" t="inlineStr">
        <is>
          <t>None</t>
        </is>
      </c>
      <c r="AX645" s="17" t="n"/>
      <c r="AY645" s="16" t="n"/>
      <c r="AZ645" s="20" t="inlineStr">
        <is>
          <t>IC Anionen</t>
        </is>
      </c>
      <c r="BA645" s="20" t="inlineStr">
        <is>
          <t>None</t>
        </is>
      </c>
      <c r="BB645" s="17" t="n"/>
      <c r="BC645" s="16" t="n"/>
      <c r="BD645" s="20" t="inlineStr">
        <is>
          <t>IC Kationen</t>
        </is>
      </c>
      <c r="BE645" s="20" t="inlineStr">
        <is>
          <t>None</t>
        </is>
      </c>
      <c r="BF645" s="17" t="n"/>
      <c r="BG645" s="16" t="n"/>
      <c r="BH645" s="20" t="inlineStr">
        <is>
          <t>IC Kationen</t>
        </is>
      </c>
      <c r="BI645" s="20" t="inlineStr">
        <is>
          <t>None</t>
        </is>
      </c>
      <c r="BJ645" s="17" t="n"/>
      <c r="BK645" s="16" t="n"/>
      <c r="BL645" s="20" t="inlineStr">
        <is>
          <t>IC Kationen</t>
        </is>
      </c>
      <c r="BM645" s="20" t="inlineStr">
        <is>
          <t>None</t>
        </is>
      </c>
      <c r="BN645" s="17" t="n"/>
      <c r="BO645" s="16" t="n"/>
      <c r="BP645" s="20" t="inlineStr">
        <is>
          <t>IC Kationen</t>
        </is>
      </c>
      <c r="BQ645" s="20" t="inlineStr">
        <is>
          <t>None</t>
        </is>
      </c>
      <c r="BR645" s="17" t="n"/>
      <c r="BS645" s="16" t="n"/>
      <c r="BT645" s="20" t="inlineStr">
        <is>
          <t>IC Kationen</t>
        </is>
      </c>
      <c r="BU645" s="20" t="inlineStr">
        <is>
          <t>None</t>
        </is>
      </c>
      <c r="BV645" s="17" t="n"/>
      <c r="BW645" s="16" t="n"/>
      <c r="BX645" s="20" t="n"/>
      <c r="BY645" s="20" t="inlineStr">
        <is>
          <t>None</t>
        </is>
      </c>
      <c r="BZ645" s="17" t="n"/>
      <c r="CA645" s="16" t="n"/>
      <c r="CB645" s="20" t="n"/>
      <c r="CC645" s="20" t="inlineStr">
        <is>
          <t>None</t>
        </is>
      </c>
      <c r="CD645" s="17" t="n"/>
      <c r="CE645" s="16" t="n"/>
      <c r="CF645" s="20" t="n"/>
      <c r="CG645" s="20" t="inlineStr">
        <is>
          <t>None</t>
        </is>
      </c>
      <c r="CH645" s="17" t="n"/>
      <c r="CI645" s="16" t="n"/>
      <c r="CJ645" s="20" t="n"/>
      <c r="CK645" s="20" t="inlineStr">
        <is>
          <t>None</t>
        </is>
      </c>
      <c r="CL645" s="17" t="n"/>
      <c r="CM645" s="16" t="n"/>
      <c r="CN645" s="20" t="inlineStr">
        <is>
          <t>SOP 45-34</t>
        </is>
      </c>
      <c r="CO645" s="20" t="inlineStr">
        <is>
          <t>None</t>
        </is>
      </c>
      <c r="CP645" s="17" t="n"/>
      <c r="CQ645" s="16" t="n"/>
      <c r="CR645" s="20" t="n"/>
      <c r="CS645" s="20" t="inlineStr">
        <is>
          <t>None</t>
        </is>
      </c>
      <c r="CT645" s="17" t="n"/>
      <c r="CU645" s="16" t="n"/>
      <c r="CV645" s="20" t="n"/>
      <c r="CW645" s="20" t="inlineStr">
        <is>
          <t>None</t>
        </is>
      </c>
      <c r="CX645" s="17" t="n"/>
      <c r="CY645" s="16" t="n"/>
      <c r="CZ645" s="20" t="inlineStr">
        <is>
          <t>WTW Multimeter 3430 with FDO 925</t>
        </is>
      </c>
      <c r="DA645" s="20" t="inlineStr">
        <is>
          <t>None</t>
        </is>
      </c>
      <c r="DB645" s="17" t="n"/>
      <c r="DC645" s="16" t="n"/>
      <c r="DD645" s="20" t="n"/>
      <c r="DE645" s="20" t="inlineStr">
        <is>
          <t>None</t>
        </is>
      </c>
      <c r="DF645" s="17" t="n"/>
      <c r="DG645" s="16" t="n"/>
      <c r="DH645" s="20" t="inlineStr">
        <is>
          <t>SOP 45-09</t>
        </is>
      </c>
      <c r="DI645" s="20" t="inlineStr">
        <is>
          <t>None</t>
        </is>
      </c>
      <c r="DJ645" s="17" t="n"/>
      <c r="DK645" s="16" t="n"/>
      <c r="DL645" s="20" t="inlineStr">
        <is>
          <t>SOP 45-09 (SOP muss noch angepasst werden für VSS)</t>
        </is>
      </c>
      <c r="DM645" s="20" t="inlineStr">
        <is>
          <t>None</t>
        </is>
      </c>
      <c r="DN645" s="17" t="n"/>
      <c r="DO645" s="16" t="n"/>
      <c r="DP645" s="20" t="inlineStr">
        <is>
          <t>IC Organic Acids</t>
        </is>
      </c>
      <c r="DQ645" s="20" t="inlineStr">
        <is>
          <t>None</t>
        </is>
      </c>
      <c r="DR645" s="17" t="n"/>
      <c r="DS645" s="16" t="n"/>
      <c r="DT645" s="20" t="inlineStr">
        <is>
          <t>IC Organic Acids</t>
        </is>
      </c>
      <c r="DU645" s="20" t="inlineStr">
        <is>
          <t>None</t>
        </is>
      </c>
      <c r="DV645" s="17" t="n"/>
      <c r="DW645" s="16" t="n"/>
      <c r="DX645" s="20" t="inlineStr">
        <is>
          <t>IC Organic Acids</t>
        </is>
      </c>
      <c r="DY645" s="20" t="inlineStr">
        <is>
          <t>None</t>
        </is>
      </c>
      <c r="DZ645" s="17" t="n"/>
      <c r="EA645" s="16" t="n"/>
      <c r="EB645" s="20" t="inlineStr">
        <is>
          <t>IC Organic Acids</t>
        </is>
      </c>
      <c r="EC645" s="20" t="inlineStr">
        <is>
          <t>None</t>
        </is>
      </c>
      <c r="ED645" s="17" t="n"/>
      <c r="EE645" s="16" t="n"/>
      <c r="EF645" s="20" t="inlineStr">
        <is>
          <t>IC Organic Acids</t>
        </is>
      </c>
      <c r="EG645" s="20" t="inlineStr">
        <is>
          <t>None</t>
        </is>
      </c>
      <c r="EH645" s="17" t="n"/>
      <c r="EI645" s="16" t="n"/>
      <c r="EJ645" s="20" t="inlineStr">
        <is>
          <t>IC Organic Acids</t>
        </is>
      </c>
      <c r="EK645" s="20" t="inlineStr">
        <is>
          <t>None</t>
        </is>
      </c>
      <c r="EL645" s="17" t="n"/>
      <c r="EM645" s="16" t="n"/>
      <c r="EN645" s="20" t="inlineStr">
        <is>
          <t>IC Organic Acids</t>
        </is>
      </c>
      <c r="EO645" s="20" t="inlineStr">
        <is>
          <t>None</t>
        </is>
      </c>
      <c r="EP645" s="17" t="n"/>
      <c r="EQ645" s="16" t="n"/>
      <c r="ER645" s="20" t="inlineStr">
        <is>
          <t>IC Organic Acids</t>
        </is>
      </c>
      <c r="ES645" s="20" t="inlineStr">
        <is>
          <t>None</t>
        </is>
      </c>
      <c r="ET645" s="17" t="n"/>
      <c r="EU645" s="16" t="n"/>
      <c r="EV645" s="20" t="inlineStr">
        <is>
          <t>LC-MS</t>
        </is>
      </c>
      <c r="EW645" s="20" t="inlineStr">
        <is>
          <t>None</t>
        </is>
      </c>
      <c r="EX645" s="17" t="n"/>
      <c r="EY645" s="21" t="n"/>
      <c r="EZ645">
        <f>CONCATENATE(A645,B645)</f>
        <v/>
      </c>
      <c r="FA645">
        <f>CONCATENATE(SamplesX!A645,SamplesX!B645)</f>
        <v/>
      </c>
      <c r="FC645">
        <f>MATCH(EZ645,FA1:FA1008,0)</f>
        <v/>
      </c>
    </row>
    <row r="646">
      <c r="A646" s="16" t="n"/>
      <c r="B646" s="17" t="n"/>
      <c r="C646" s="10">
        <f>IF(ISNUMBER(FC646),INDIRECT("SamplesX!C"&amp;FC646),IF(ISNUMBER(FD646),INDIRECT("SamplesY!C"&amp;FD646),""))</f>
        <v/>
      </c>
      <c r="D646" s="12">
        <f>IF(ISNUMBER(FC646),INDIRECT("SamplesX!D"&amp;FC646),IF(ISNUMBER(FD646),INDIRECT("SamplesY!D"&amp;FD646),""))</f>
        <v/>
      </c>
      <c r="E646" s="12">
        <f>IF(ISNUMBER(FC646),INDIRECT("SamplesX!E"&amp;FC646),IF(ISNUMBER(FD646),INDIRECT("SamplesY!E"&amp;FD646),""))</f>
        <v/>
      </c>
      <c r="F646" s="11">
        <f>IF(ISNUMBER(FC646),INDIRECT("SamplesX!F"&amp;FC646),IF(ISNUMBER(FD646),INDIRECT("SamplesY!F"&amp;FD646),""))</f>
        <v/>
      </c>
      <c r="G646" s="18">
        <f>IF(ISNUMBER(FC646),INDIRECT("SamplesX!G"&amp;FC646),IF(ISNUMBER(FD646),INDIRECT("SamplesY!G"&amp;FD646),""))</f>
        <v/>
      </c>
      <c r="H646" s="19">
        <f>IF(ISNUMBER(FC646),INDIRECT("SamplesX!H"&amp;FC646),IF(ISNUMBER(FD646),INDIRECT("SamplesY!H"&amp;FD646),""))</f>
        <v/>
      </c>
      <c r="I646" s="16" t="n"/>
      <c r="J646" s="16" t="n"/>
      <c r="K646" s="16" t="n"/>
      <c r="L646" s="20" t="n"/>
      <c r="M646" s="20" t="inlineStr">
        <is>
          <t>None</t>
        </is>
      </c>
      <c r="N646" s="17" t="n"/>
      <c r="O646" s="16" t="n"/>
      <c r="P646" s="20" t="inlineStr">
        <is>
          <t>Shimadzu TOC-L</t>
        </is>
      </c>
      <c r="Q646" s="20" t="inlineStr">
        <is>
          <t>None</t>
        </is>
      </c>
      <c r="R646" s="17" t="n"/>
      <c r="S646" s="16" t="n"/>
      <c r="T646" s="20" t="inlineStr">
        <is>
          <t>Shimadzu TOC-L</t>
        </is>
      </c>
      <c r="U646" s="20" t="inlineStr">
        <is>
          <t>None</t>
        </is>
      </c>
      <c r="V646" s="17" t="n"/>
      <c r="W646" s="16" t="n"/>
      <c r="X646" s="20" t="n"/>
      <c r="Y646" s="20" t="inlineStr">
        <is>
          <t>None</t>
        </is>
      </c>
      <c r="Z646" s="17" t="n"/>
      <c r="AA646" s="16" t="n"/>
      <c r="AB646" s="20" t="n"/>
      <c r="AC646" s="20" t="inlineStr">
        <is>
          <t>None</t>
        </is>
      </c>
      <c r="AD646" s="17" t="n"/>
      <c r="AE646" s="16" t="n"/>
      <c r="AF646" s="20" t="inlineStr">
        <is>
          <t>IC Anionen</t>
        </is>
      </c>
      <c r="AG646" s="20" t="inlineStr">
        <is>
          <t>None</t>
        </is>
      </c>
      <c r="AH646" s="17" t="n"/>
      <c r="AI646" s="16" t="n"/>
      <c r="AJ646" s="20" t="n"/>
      <c r="AK646" s="20" t="inlineStr">
        <is>
          <t>None</t>
        </is>
      </c>
      <c r="AL646" s="17" t="n"/>
      <c r="AM646" s="16" t="n"/>
      <c r="AN646" s="20" t="inlineStr">
        <is>
          <t>IC Anionen</t>
        </is>
      </c>
      <c r="AO646" s="20" t="inlineStr">
        <is>
          <t>None</t>
        </is>
      </c>
      <c r="AP646" s="17" t="n"/>
      <c r="AQ646" s="16" t="n"/>
      <c r="AR646" s="20" t="n"/>
      <c r="AS646" s="20" t="inlineStr">
        <is>
          <t>None</t>
        </is>
      </c>
      <c r="AT646" s="17" t="n"/>
      <c r="AU646" s="16" t="n"/>
      <c r="AV646" s="20" t="n"/>
      <c r="AW646" s="20" t="inlineStr">
        <is>
          <t>None</t>
        </is>
      </c>
      <c r="AX646" s="17" t="n"/>
      <c r="AY646" s="16" t="n"/>
      <c r="AZ646" s="20" t="inlineStr">
        <is>
          <t>IC Anionen</t>
        </is>
      </c>
      <c r="BA646" s="20" t="inlineStr">
        <is>
          <t>None</t>
        </is>
      </c>
      <c r="BB646" s="17" t="n"/>
      <c r="BC646" s="16" t="n"/>
      <c r="BD646" s="20" t="inlineStr">
        <is>
          <t>IC Kationen</t>
        </is>
      </c>
      <c r="BE646" s="20" t="inlineStr">
        <is>
          <t>None</t>
        </is>
      </c>
      <c r="BF646" s="17" t="n"/>
      <c r="BG646" s="16" t="n"/>
      <c r="BH646" s="20" t="inlineStr">
        <is>
          <t>IC Kationen</t>
        </is>
      </c>
      <c r="BI646" s="20" t="inlineStr">
        <is>
          <t>None</t>
        </is>
      </c>
      <c r="BJ646" s="17" t="n"/>
      <c r="BK646" s="16" t="n"/>
      <c r="BL646" s="20" t="inlineStr">
        <is>
          <t>IC Kationen</t>
        </is>
      </c>
      <c r="BM646" s="20" t="inlineStr">
        <is>
          <t>None</t>
        </is>
      </c>
      <c r="BN646" s="17" t="n"/>
      <c r="BO646" s="16" t="n"/>
      <c r="BP646" s="20" t="inlineStr">
        <is>
          <t>IC Kationen</t>
        </is>
      </c>
      <c r="BQ646" s="20" t="inlineStr">
        <is>
          <t>None</t>
        </is>
      </c>
      <c r="BR646" s="17" t="n"/>
      <c r="BS646" s="16" t="n"/>
      <c r="BT646" s="20" t="inlineStr">
        <is>
          <t>IC Kationen</t>
        </is>
      </c>
      <c r="BU646" s="20" t="inlineStr">
        <is>
          <t>None</t>
        </is>
      </c>
      <c r="BV646" s="17" t="n"/>
      <c r="BW646" s="16" t="n"/>
      <c r="BX646" s="20" t="n"/>
      <c r="BY646" s="20" t="inlineStr">
        <is>
          <t>None</t>
        </is>
      </c>
      <c r="BZ646" s="17" t="n"/>
      <c r="CA646" s="16" t="n"/>
      <c r="CB646" s="20" t="n"/>
      <c r="CC646" s="20" t="inlineStr">
        <is>
          <t>None</t>
        </is>
      </c>
      <c r="CD646" s="17" t="n"/>
      <c r="CE646" s="16" t="n"/>
      <c r="CF646" s="20" t="n"/>
      <c r="CG646" s="20" t="inlineStr">
        <is>
          <t>None</t>
        </is>
      </c>
      <c r="CH646" s="17" t="n"/>
      <c r="CI646" s="16" t="n"/>
      <c r="CJ646" s="20" t="n"/>
      <c r="CK646" s="20" t="inlineStr">
        <is>
          <t>None</t>
        </is>
      </c>
      <c r="CL646" s="17" t="n"/>
      <c r="CM646" s="16" t="n"/>
      <c r="CN646" s="20" t="inlineStr">
        <is>
          <t>SOP 45-34</t>
        </is>
      </c>
      <c r="CO646" s="20" t="inlineStr">
        <is>
          <t>None</t>
        </is>
      </c>
      <c r="CP646" s="17" t="n"/>
      <c r="CQ646" s="16" t="n"/>
      <c r="CR646" s="20" t="n"/>
      <c r="CS646" s="20" t="inlineStr">
        <is>
          <t>None</t>
        </is>
      </c>
      <c r="CT646" s="17" t="n"/>
      <c r="CU646" s="16" t="n"/>
      <c r="CV646" s="20" t="n"/>
      <c r="CW646" s="20" t="inlineStr">
        <is>
          <t>None</t>
        </is>
      </c>
      <c r="CX646" s="17" t="n"/>
      <c r="CY646" s="16" t="n"/>
      <c r="CZ646" s="20" t="inlineStr">
        <is>
          <t>WTW Multimeter 3430 with FDO 925</t>
        </is>
      </c>
      <c r="DA646" s="20" t="inlineStr">
        <is>
          <t>None</t>
        </is>
      </c>
      <c r="DB646" s="17" t="n"/>
      <c r="DC646" s="16" t="n"/>
      <c r="DD646" s="20" t="n"/>
      <c r="DE646" s="20" t="inlineStr">
        <is>
          <t>None</t>
        </is>
      </c>
      <c r="DF646" s="17" t="n"/>
      <c r="DG646" s="16" t="n"/>
      <c r="DH646" s="20" t="inlineStr">
        <is>
          <t>SOP 45-09</t>
        </is>
      </c>
      <c r="DI646" s="20" t="inlineStr">
        <is>
          <t>None</t>
        </is>
      </c>
      <c r="DJ646" s="17" t="n"/>
      <c r="DK646" s="16" t="n"/>
      <c r="DL646" s="20" t="inlineStr">
        <is>
          <t>SOP 45-09 (SOP muss noch angepasst werden für VSS)</t>
        </is>
      </c>
      <c r="DM646" s="20" t="inlineStr">
        <is>
          <t>None</t>
        </is>
      </c>
      <c r="DN646" s="17" t="n"/>
      <c r="DO646" s="16" t="n"/>
      <c r="DP646" s="20" t="inlineStr">
        <is>
          <t>IC Organic Acids</t>
        </is>
      </c>
      <c r="DQ646" s="20" t="inlineStr">
        <is>
          <t>None</t>
        </is>
      </c>
      <c r="DR646" s="17" t="n"/>
      <c r="DS646" s="16" t="n"/>
      <c r="DT646" s="20" t="inlineStr">
        <is>
          <t>IC Organic Acids</t>
        </is>
      </c>
      <c r="DU646" s="20" t="inlineStr">
        <is>
          <t>None</t>
        </is>
      </c>
      <c r="DV646" s="17" t="n"/>
      <c r="DW646" s="16" t="n"/>
      <c r="DX646" s="20" t="inlineStr">
        <is>
          <t>IC Organic Acids</t>
        </is>
      </c>
      <c r="DY646" s="20" t="inlineStr">
        <is>
          <t>None</t>
        </is>
      </c>
      <c r="DZ646" s="17" t="n"/>
      <c r="EA646" s="16" t="n"/>
      <c r="EB646" s="20" t="inlineStr">
        <is>
          <t>IC Organic Acids</t>
        </is>
      </c>
      <c r="EC646" s="20" t="inlineStr">
        <is>
          <t>None</t>
        </is>
      </c>
      <c r="ED646" s="17" t="n"/>
      <c r="EE646" s="16" t="n"/>
      <c r="EF646" s="20" t="inlineStr">
        <is>
          <t>IC Organic Acids</t>
        </is>
      </c>
      <c r="EG646" s="20" t="inlineStr">
        <is>
          <t>None</t>
        </is>
      </c>
      <c r="EH646" s="17" t="n"/>
      <c r="EI646" s="16" t="n"/>
      <c r="EJ646" s="20" t="inlineStr">
        <is>
          <t>IC Organic Acids</t>
        </is>
      </c>
      <c r="EK646" s="20" t="inlineStr">
        <is>
          <t>None</t>
        </is>
      </c>
      <c r="EL646" s="17" t="n"/>
      <c r="EM646" s="16" t="n"/>
      <c r="EN646" s="20" t="inlineStr">
        <is>
          <t>IC Organic Acids</t>
        </is>
      </c>
      <c r="EO646" s="20" t="inlineStr">
        <is>
          <t>None</t>
        </is>
      </c>
      <c r="EP646" s="17" t="n"/>
      <c r="EQ646" s="16" t="n"/>
      <c r="ER646" s="20" t="inlineStr">
        <is>
          <t>IC Organic Acids</t>
        </is>
      </c>
      <c r="ES646" s="20" t="inlineStr">
        <is>
          <t>None</t>
        </is>
      </c>
      <c r="ET646" s="17" t="n"/>
      <c r="EU646" s="16" t="n"/>
      <c r="EV646" s="20" t="inlineStr">
        <is>
          <t>LC-MS</t>
        </is>
      </c>
      <c r="EW646" s="20" t="inlineStr">
        <is>
          <t>None</t>
        </is>
      </c>
      <c r="EX646" s="17" t="n"/>
      <c r="EY646" s="21" t="n"/>
      <c r="EZ646">
        <f>CONCATENATE(A646,B646)</f>
        <v/>
      </c>
      <c r="FA646">
        <f>CONCATENATE(SamplesX!A646,SamplesX!B646)</f>
        <v/>
      </c>
      <c r="FC646">
        <f>MATCH(EZ646,FA1:FA1008,0)</f>
        <v/>
      </c>
    </row>
    <row r="647">
      <c r="A647" s="16" t="n"/>
      <c r="B647" s="17" t="n"/>
      <c r="C647" s="10">
        <f>IF(ISNUMBER(FC647),INDIRECT("SamplesX!C"&amp;FC647),IF(ISNUMBER(FD647),INDIRECT("SamplesY!C"&amp;FD647),""))</f>
        <v/>
      </c>
      <c r="D647" s="12">
        <f>IF(ISNUMBER(FC647),INDIRECT("SamplesX!D"&amp;FC647),IF(ISNUMBER(FD647),INDIRECT("SamplesY!D"&amp;FD647),""))</f>
        <v/>
      </c>
      <c r="E647" s="12">
        <f>IF(ISNUMBER(FC647),INDIRECT("SamplesX!E"&amp;FC647),IF(ISNUMBER(FD647),INDIRECT("SamplesY!E"&amp;FD647),""))</f>
        <v/>
      </c>
      <c r="F647" s="11">
        <f>IF(ISNUMBER(FC647),INDIRECT("SamplesX!F"&amp;FC647),IF(ISNUMBER(FD647),INDIRECT("SamplesY!F"&amp;FD647),""))</f>
        <v/>
      </c>
      <c r="G647" s="18">
        <f>IF(ISNUMBER(FC647),INDIRECT("SamplesX!G"&amp;FC647),IF(ISNUMBER(FD647),INDIRECT("SamplesY!G"&amp;FD647),""))</f>
        <v/>
      </c>
      <c r="H647" s="19">
        <f>IF(ISNUMBER(FC647),INDIRECT("SamplesX!H"&amp;FC647),IF(ISNUMBER(FD647),INDIRECT("SamplesY!H"&amp;FD647),""))</f>
        <v/>
      </c>
      <c r="I647" s="16" t="n"/>
      <c r="J647" s="16" t="n"/>
      <c r="K647" s="16" t="n"/>
      <c r="L647" s="20" t="n"/>
      <c r="M647" s="20" t="inlineStr">
        <is>
          <t>None</t>
        </is>
      </c>
      <c r="N647" s="17" t="n"/>
      <c r="O647" s="16" t="n"/>
      <c r="P647" s="20" t="inlineStr">
        <is>
          <t>Shimadzu TOC-L</t>
        </is>
      </c>
      <c r="Q647" s="20" t="inlineStr">
        <is>
          <t>None</t>
        </is>
      </c>
      <c r="R647" s="17" t="n"/>
      <c r="S647" s="16" t="n"/>
      <c r="T647" s="20" t="inlineStr">
        <is>
          <t>Shimadzu TOC-L</t>
        </is>
      </c>
      <c r="U647" s="20" t="inlineStr">
        <is>
          <t>None</t>
        </is>
      </c>
      <c r="V647" s="17" t="n"/>
      <c r="W647" s="16" t="n"/>
      <c r="X647" s="20" t="n"/>
      <c r="Y647" s="20" t="inlineStr">
        <is>
          <t>None</t>
        </is>
      </c>
      <c r="Z647" s="17" t="n"/>
      <c r="AA647" s="16" t="n"/>
      <c r="AB647" s="20" t="n"/>
      <c r="AC647" s="20" t="inlineStr">
        <is>
          <t>None</t>
        </is>
      </c>
      <c r="AD647" s="17" t="n"/>
      <c r="AE647" s="16" t="n"/>
      <c r="AF647" s="20" t="inlineStr">
        <is>
          <t>IC Anionen</t>
        </is>
      </c>
      <c r="AG647" s="20" t="inlineStr">
        <is>
          <t>None</t>
        </is>
      </c>
      <c r="AH647" s="17" t="n"/>
      <c r="AI647" s="16" t="n"/>
      <c r="AJ647" s="20" t="n"/>
      <c r="AK647" s="20" t="inlineStr">
        <is>
          <t>None</t>
        </is>
      </c>
      <c r="AL647" s="17" t="n"/>
      <c r="AM647" s="16" t="n"/>
      <c r="AN647" s="20" t="inlineStr">
        <is>
          <t>IC Anionen</t>
        </is>
      </c>
      <c r="AO647" s="20" t="inlineStr">
        <is>
          <t>None</t>
        </is>
      </c>
      <c r="AP647" s="17" t="n"/>
      <c r="AQ647" s="16" t="n"/>
      <c r="AR647" s="20" t="n"/>
      <c r="AS647" s="20" t="inlineStr">
        <is>
          <t>None</t>
        </is>
      </c>
      <c r="AT647" s="17" t="n"/>
      <c r="AU647" s="16" t="n"/>
      <c r="AV647" s="20" t="n"/>
      <c r="AW647" s="20" t="inlineStr">
        <is>
          <t>None</t>
        </is>
      </c>
      <c r="AX647" s="17" t="n"/>
      <c r="AY647" s="16" t="n"/>
      <c r="AZ647" s="20" t="inlineStr">
        <is>
          <t>IC Anionen</t>
        </is>
      </c>
      <c r="BA647" s="20" t="inlineStr">
        <is>
          <t>None</t>
        </is>
      </c>
      <c r="BB647" s="17" t="n"/>
      <c r="BC647" s="16" t="n"/>
      <c r="BD647" s="20" t="inlineStr">
        <is>
          <t>IC Kationen</t>
        </is>
      </c>
      <c r="BE647" s="20" t="inlineStr">
        <is>
          <t>None</t>
        </is>
      </c>
      <c r="BF647" s="17" t="n"/>
      <c r="BG647" s="16" t="n"/>
      <c r="BH647" s="20" t="inlineStr">
        <is>
          <t>IC Kationen</t>
        </is>
      </c>
      <c r="BI647" s="20" t="inlineStr">
        <is>
          <t>None</t>
        </is>
      </c>
      <c r="BJ647" s="17" t="n"/>
      <c r="BK647" s="16" t="n"/>
      <c r="BL647" s="20" t="inlineStr">
        <is>
          <t>IC Kationen</t>
        </is>
      </c>
      <c r="BM647" s="20" t="inlineStr">
        <is>
          <t>None</t>
        </is>
      </c>
      <c r="BN647" s="17" t="n"/>
      <c r="BO647" s="16" t="n"/>
      <c r="BP647" s="20" t="inlineStr">
        <is>
          <t>IC Kationen</t>
        </is>
      </c>
      <c r="BQ647" s="20" t="inlineStr">
        <is>
          <t>None</t>
        </is>
      </c>
      <c r="BR647" s="17" t="n"/>
      <c r="BS647" s="16" t="n"/>
      <c r="BT647" s="20" t="inlineStr">
        <is>
          <t>IC Kationen</t>
        </is>
      </c>
      <c r="BU647" s="20" t="inlineStr">
        <is>
          <t>None</t>
        </is>
      </c>
      <c r="BV647" s="17" t="n"/>
      <c r="BW647" s="16" t="n"/>
      <c r="BX647" s="20" t="n"/>
      <c r="BY647" s="20" t="inlineStr">
        <is>
          <t>None</t>
        </is>
      </c>
      <c r="BZ647" s="17" t="n"/>
      <c r="CA647" s="16" t="n"/>
      <c r="CB647" s="20" t="n"/>
      <c r="CC647" s="20" t="inlineStr">
        <is>
          <t>None</t>
        </is>
      </c>
      <c r="CD647" s="17" t="n"/>
      <c r="CE647" s="16" t="n"/>
      <c r="CF647" s="20" t="n"/>
      <c r="CG647" s="20" t="inlineStr">
        <is>
          <t>None</t>
        </is>
      </c>
      <c r="CH647" s="17" t="n"/>
      <c r="CI647" s="16" t="n"/>
      <c r="CJ647" s="20" t="n"/>
      <c r="CK647" s="20" t="inlineStr">
        <is>
          <t>None</t>
        </is>
      </c>
      <c r="CL647" s="17" t="n"/>
      <c r="CM647" s="16" t="n"/>
      <c r="CN647" s="20" t="inlineStr">
        <is>
          <t>SOP 45-34</t>
        </is>
      </c>
      <c r="CO647" s="20" t="inlineStr">
        <is>
          <t>None</t>
        </is>
      </c>
      <c r="CP647" s="17" t="n"/>
      <c r="CQ647" s="16" t="n"/>
      <c r="CR647" s="20" t="n"/>
      <c r="CS647" s="20" t="inlineStr">
        <is>
          <t>None</t>
        </is>
      </c>
      <c r="CT647" s="17" t="n"/>
      <c r="CU647" s="16" t="n"/>
      <c r="CV647" s="20" t="n"/>
      <c r="CW647" s="20" t="inlineStr">
        <is>
          <t>None</t>
        </is>
      </c>
      <c r="CX647" s="17" t="n"/>
      <c r="CY647" s="16" t="n"/>
      <c r="CZ647" s="20" t="inlineStr">
        <is>
          <t>WTW Multimeter 3430 with FDO 925</t>
        </is>
      </c>
      <c r="DA647" s="20" t="inlineStr">
        <is>
          <t>None</t>
        </is>
      </c>
      <c r="DB647" s="17" t="n"/>
      <c r="DC647" s="16" t="n"/>
      <c r="DD647" s="20" t="n"/>
      <c r="DE647" s="20" t="inlineStr">
        <is>
          <t>None</t>
        </is>
      </c>
      <c r="DF647" s="17" t="n"/>
      <c r="DG647" s="16" t="n"/>
      <c r="DH647" s="20" t="inlineStr">
        <is>
          <t>SOP 45-09</t>
        </is>
      </c>
      <c r="DI647" s="20" t="inlineStr">
        <is>
          <t>None</t>
        </is>
      </c>
      <c r="DJ647" s="17" t="n"/>
      <c r="DK647" s="16" t="n"/>
      <c r="DL647" s="20" t="inlineStr">
        <is>
          <t>SOP 45-09 (SOP muss noch angepasst werden für VSS)</t>
        </is>
      </c>
      <c r="DM647" s="20" t="inlineStr">
        <is>
          <t>None</t>
        </is>
      </c>
      <c r="DN647" s="17" t="n"/>
      <c r="DO647" s="16" t="n"/>
      <c r="DP647" s="20" t="inlineStr">
        <is>
          <t>IC Organic Acids</t>
        </is>
      </c>
      <c r="DQ647" s="20" t="inlineStr">
        <is>
          <t>None</t>
        </is>
      </c>
      <c r="DR647" s="17" t="n"/>
      <c r="DS647" s="16" t="n"/>
      <c r="DT647" s="20" t="inlineStr">
        <is>
          <t>IC Organic Acids</t>
        </is>
      </c>
      <c r="DU647" s="20" t="inlineStr">
        <is>
          <t>None</t>
        </is>
      </c>
      <c r="DV647" s="17" t="n"/>
      <c r="DW647" s="16" t="n"/>
      <c r="DX647" s="20" t="inlineStr">
        <is>
          <t>IC Organic Acids</t>
        </is>
      </c>
      <c r="DY647" s="20" t="inlineStr">
        <is>
          <t>None</t>
        </is>
      </c>
      <c r="DZ647" s="17" t="n"/>
      <c r="EA647" s="16" t="n"/>
      <c r="EB647" s="20" t="inlineStr">
        <is>
          <t>IC Organic Acids</t>
        </is>
      </c>
      <c r="EC647" s="20" t="inlineStr">
        <is>
          <t>None</t>
        </is>
      </c>
      <c r="ED647" s="17" t="n"/>
      <c r="EE647" s="16" t="n"/>
      <c r="EF647" s="20" t="inlineStr">
        <is>
          <t>IC Organic Acids</t>
        </is>
      </c>
      <c r="EG647" s="20" t="inlineStr">
        <is>
          <t>None</t>
        </is>
      </c>
      <c r="EH647" s="17" t="n"/>
      <c r="EI647" s="16" t="n"/>
      <c r="EJ647" s="20" t="inlineStr">
        <is>
          <t>IC Organic Acids</t>
        </is>
      </c>
      <c r="EK647" s="20" t="inlineStr">
        <is>
          <t>None</t>
        </is>
      </c>
      <c r="EL647" s="17" t="n"/>
      <c r="EM647" s="16" t="n"/>
      <c r="EN647" s="20" t="inlineStr">
        <is>
          <t>IC Organic Acids</t>
        </is>
      </c>
      <c r="EO647" s="20" t="inlineStr">
        <is>
          <t>None</t>
        </is>
      </c>
      <c r="EP647" s="17" t="n"/>
      <c r="EQ647" s="16" t="n"/>
      <c r="ER647" s="20" t="inlineStr">
        <is>
          <t>IC Organic Acids</t>
        </is>
      </c>
      <c r="ES647" s="20" t="inlineStr">
        <is>
          <t>None</t>
        </is>
      </c>
      <c r="ET647" s="17" t="n"/>
      <c r="EU647" s="16" t="n"/>
      <c r="EV647" s="20" t="inlineStr">
        <is>
          <t>LC-MS</t>
        </is>
      </c>
      <c r="EW647" s="20" t="inlineStr">
        <is>
          <t>None</t>
        </is>
      </c>
      <c r="EX647" s="17" t="n"/>
      <c r="EY647" s="21" t="n"/>
      <c r="EZ647">
        <f>CONCATENATE(A647,B647)</f>
        <v/>
      </c>
      <c r="FA647">
        <f>CONCATENATE(SamplesX!A647,SamplesX!B647)</f>
        <v/>
      </c>
      <c r="FC647">
        <f>MATCH(EZ647,FA1:FA1008,0)</f>
        <v/>
      </c>
    </row>
    <row r="648">
      <c r="A648" s="16" t="n"/>
      <c r="B648" s="17" t="n"/>
      <c r="C648" s="10">
        <f>IF(ISNUMBER(FC648),INDIRECT("SamplesX!C"&amp;FC648),IF(ISNUMBER(FD648),INDIRECT("SamplesY!C"&amp;FD648),""))</f>
        <v/>
      </c>
      <c r="D648" s="12">
        <f>IF(ISNUMBER(FC648),INDIRECT("SamplesX!D"&amp;FC648),IF(ISNUMBER(FD648),INDIRECT("SamplesY!D"&amp;FD648),""))</f>
        <v/>
      </c>
      <c r="E648" s="12">
        <f>IF(ISNUMBER(FC648),INDIRECT("SamplesX!E"&amp;FC648),IF(ISNUMBER(FD648),INDIRECT("SamplesY!E"&amp;FD648),""))</f>
        <v/>
      </c>
      <c r="F648" s="11">
        <f>IF(ISNUMBER(FC648),INDIRECT("SamplesX!F"&amp;FC648),IF(ISNUMBER(FD648),INDIRECT("SamplesY!F"&amp;FD648),""))</f>
        <v/>
      </c>
      <c r="G648" s="18">
        <f>IF(ISNUMBER(FC648),INDIRECT("SamplesX!G"&amp;FC648),IF(ISNUMBER(FD648),INDIRECT("SamplesY!G"&amp;FD648),""))</f>
        <v/>
      </c>
      <c r="H648" s="19">
        <f>IF(ISNUMBER(FC648),INDIRECT("SamplesX!H"&amp;FC648),IF(ISNUMBER(FD648),INDIRECT("SamplesY!H"&amp;FD648),""))</f>
        <v/>
      </c>
      <c r="I648" s="16" t="n"/>
      <c r="J648" s="16" t="n"/>
      <c r="K648" s="16" t="n"/>
      <c r="L648" s="20" t="n"/>
      <c r="M648" s="20" t="inlineStr">
        <is>
          <t>None</t>
        </is>
      </c>
      <c r="N648" s="17" t="n"/>
      <c r="O648" s="16" t="n"/>
      <c r="P648" s="20" t="inlineStr">
        <is>
          <t>Shimadzu TOC-L</t>
        </is>
      </c>
      <c r="Q648" s="20" t="inlineStr">
        <is>
          <t>None</t>
        </is>
      </c>
      <c r="R648" s="17" t="n"/>
      <c r="S648" s="16" t="n"/>
      <c r="T648" s="20" t="inlineStr">
        <is>
          <t>Shimadzu TOC-L</t>
        </is>
      </c>
      <c r="U648" s="20" t="inlineStr">
        <is>
          <t>None</t>
        </is>
      </c>
      <c r="V648" s="17" t="n"/>
      <c r="W648" s="16" t="n"/>
      <c r="X648" s="20" t="n"/>
      <c r="Y648" s="20" t="inlineStr">
        <is>
          <t>None</t>
        </is>
      </c>
      <c r="Z648" s="17" t="n"/>
      <c r="AA648" s="16" t="n"/>
      <c r="AB648" s="20" t="n"/>
      <c r="AC648" s="20" t="inlineStr">
        <is>
          <t>None</t>
        </is>
      </c>
      <c r="AD648" s="17" t="n"/>
      <c r="AE648" s="16" t="n"/>
      <c r="AF648" s="20" t="inlineStr">
        <is>
          <t>IC Anionen</t>
        </is>
      </c>
      <c r="AG648" s="20" t="inlineStr">
        <is>
          <t>None</t>
        </is>
      </c>
      <c r="AH648" s="17" t="n"/>
      <c r="AI648" s="16" t="n"/>
      <c r="AJ648" s="20" t="n"/>
      <c r="AK648" s="20" t="inlineStr">
        <is>
          <t>None</t>
        </is>
      </c>
      <c r="AL648" s="17" t="n"/>
      <c r="AM648" s="16" t="n"/>
      <c r="AN648" s="20" t="inlineStr">
        <is>
          <t>IC Anionen</t>
        </is>
      </c>
      <c r="AO648" s="20" t="inlineStr">
        <is>
          <t>None</t>
        </is>
      </c>
      <c r="AP648" s="17" t="n"/>
      <c r="AQ648" s="16" t="n"/>
      <c r="AR648" s="20" t="n"/>
      <c r="AS648" s="20" t="inlineStr">
        <is>
          <t>None</t>
        </is>
      </c>
      <c r="AT648" s="17" t="n"/>
      <c r="AU648" s="16" t="n"/>
      <c r="AV648" s="20" t="n"/>
      <c r="AW648" s="20" t="inlineStr">
        <is>
          <t>None</t>
        </is>
      </c>
      <c r="AX648" s="17" t="n"/>
      <c r="AY648" s="16" t="n"/>
      <c r="AZ648" s="20" t="inlineStr">
        <is>
          <t>IC Anionen</t>
        </is>
      </c>
      <c r="BA648" s="20" t="inlineStr">
        <is>
          <t>None</t>
        </is>
      </c>
      <c r="BB648" s="17" t="n"/>
      <c r="BC648" s="16" t="n"/>
      <c r="BD648" s="20" t="inlineStr">
        <is>
          <t>IC Kationen</t>
        </is>
      </c>
      <c r="BE648" s="20" t="inlineStr">
        <is>
          <t>None</t>
        </is>
      </c>
      <c r="BF648" s="17" t="n"/>
      <c r="BG648" s="16" t="n"/>
      <c r="BH648" s="20" t="inlineStr">
        <is>
          <t>IC Kationen</t>
        </is>
      </c>
      <c r="BI648" s="20" t="inlineStr">
        <is>
          <t>None</t>
        </is>
      </c>
      <c r="BJ648" s="17" t="n"/>
      <c r="BK648" s="16" t="n"/>
      <c r="BL648" s="20" t="inlineStr">
        <is>
          <t>IC Kationen</t>
        </is>
      </c>
      <c r="BM648" s="20" t="inlineStr">
        <is>
          <t>None</t>
        </is>
      </c>
      <c r="BN648" s="17" t="n"/>
      <c r="BO648" s="16" t="n"/>
      <c r="BP648" s="20" t="inlineStr">
        <is>
          <t>IC Kationen</t>
        </is>
      </c>
      <c r="BQ648" s="20" t="inlineStr">
        <is>
          <t>None</t>
        </is>
      </c>
      <c r="BR648" s="17" t="n"/>
      <c r="BS648" s="16" t="n"/>
      <c r="BT648" s="20" t="inlineStr">
        <is>
          <t>IC Kationen</t>
        </is>
      </c>
      <c r="BU648" s="20" t="inlineStr">
        <is>
          <t>None</t>
        </is>
      </c>
      <c r="BV648" s="17" t="n"/>
      <c r="BW648" s="16" t="n"/>
      <c r="BX648" s="20" t="n"/>
      <c r="BY648" s="20" t="inlineStr">
        <is>
          <t>None</t>
        </is>
      </c>
      <c r="BZ648" s="17" t="n"/>
      <c r="CA648" s="16" t="n"/>
      <c r="CB648" s="20" t="n"/>
      <c r="CC648" s="20" t="inlineStr">
        <is>
          <t>None</t>
        </is>
      </c>
      <c r="CD648" s="17" t="n"/>
      <c r="CE648" s="16" t="n"/>
      <c r="CF648" s="20" t="n"/>
      <c r="CG648" s="20" t="inlineStr">
        <is>
          <t>None</t>
        </is>
      </c>
      <c r="CH648" s="17" t="n"/>
      <c r="CI648" s="16" t="n"/>
      <c r="CJ648" s="20" t="n"/>
      <c r="CK648" s="20" t="inlineStr">
        <is>
          <t>None</t>
        </is>
      </c>
      <c r="CL648" s="17" t="n"/>
      <c r="CM648" s="16" t="n"/>
      <c r="CN648" s="20" t="inlineStr">
        <is>
          <t>SOP 45-34</t>
        </is>
      </c>
      <c r="CO648" s="20" t="inlineStr">
        <is>
          <t>None</t>
        </is>
      </c>
      <c r="CP648" s="17" t="n"/>
      <c r="CQ648" s="16" t="n"/>
      <c r="CR648" s="20" t="n"/>
      <c r="CS648" s="20" t="inlineStr">
        <is>
          <t>None</t>
        </is>
      </c>
      <c r="CT648" s="17" t="n"/>
      <c r="CU648" s="16" t="n"/>
      <c r="CV648" s="20" t="n"/>
      <c r="CW648" s="20" t="inlineStr">
        <is>
          <t>None</t>
        </is>
      </c>
      <c r="CX648" s="17" t="n"/>
      <c r="CY648" s="16" t="n"/>
      <c r="CZ648" s="20" t="inlineStr">
        <is>
          <t>WTW Multimeter 3430 with FDO 925</t>
        </is>
      </c>
      <c r="DA648" s="20" t="inlineStr">
        <is>
          <t>None</t>
        </is>
      </c>
      <c r="DB648" s="17" t="n"/>
      <c r="DC648" s="16" t="n"/>
      <c r="DD648" s="20" t="n"/>
      <c r="DE648" s="20" t="inlineStr">
        <is>
          <t>None</t>
        </is>
      </c>
      <c r="DF648" s="17" t="n"/>
      <c r="DG648" s="16" t="n"/>
      <c r="DH648" s="20" t="inlineStr">
        <is>
          <t>SOP 45-09</t>
        </is>
      </c>
      <c r="DI648" s="20" t="inlineStr">
        <is>
          <t>None</t>
        </is>
      </c>
      <c r="DJ648" s="17" t="n"/>
      <c r="DK648" s="16" t="n"/>
      <c r="DL648" s="20" t="inlineStr">
        <is>
          <t>SOP 45-09 (SOP muss noch angepasst werden für VSS)</t>
        </is>
      </c>
      <c r="DM648" s="20" t="inlineStr">
        <is>
          <t>None</t>
        </is>
      </c>
      <c r="DN648" s="17" t="n"/>
      <c r="DO648" s="16" t="n"/>
      <c r="DP648" s="20" t="inlineStr">
        <is>
          <t>IC Organic Acids</t>
        </is>
      </c>
      <c r="DQ648" s="20" t="inlineStr">
        <is>
          <t>None</t>
        </is>
      </c>
      <c r="DR648" s="17" t="n"/>
      <c r="DS648" s="16" t="n"/>
      <c r="DT648" s="20" t="inlineStr">
        <is>
          <t>IC Organic Acids</t>
        </is>
      </c>
      <c r="DU648" s="20" t="inlineStr">
        <is>
          <t>None</t>
        </is>
      </c>
      <c r="DV648" s="17" t="n"/>
      <c r="DW648" s="16" t="n"/>
      <c r="DX648" s="20" t="inlineStr">
        <is>
          <t>IC Organic Acids</t>
        </is>
      </c>
      <c r="DY648" s="20" t="inlineStr">
        <is>
          <t>None</t>
        </is>
      </c>
      <c r="DZ648" s="17" t="n"/>
      <c r="EA648" s="16" t="n"/>
      <c r="EB648" s="20" t="inlineStr">
        <is>
          <t>IC Organic Acids</t>
        </is>
      </c>
      <c r="EC648" s="20" t="inlineStr">
        <is>
          <t>None</t>
        </is>
      </c>
      <c r="ED648" s="17" t="n"/>
      <c r="EE648" s="16" t="n"/>
      <c r="EF648" s="20" t="inlineStr">
        <is>
          <t>IC Organic Acids</t>
        </is>
      </c>
      <c r="EG648" s="20" t="inlineStr">
        <is>
          <t>None</t>
        </is>
      </c>
      <c r="EH648" s="17" t="n"/>
      <c r="EI648" s="16" t="n"/>
      <c r="EJ648" s="20" t="inlineStr">
        <is>
          <t>IC Organic Acids</t>
        </is>
      </c>
      <c r="EK648" s="20" t="inlineStr">
        <is>
          <t>None</t>
        </is>
      </c>
      <c r="EL648" s="17" t="n"/>
      <c r="EM648" s="16" t="n"/>
      <c r="EN648" s="20" t="inlineStr">
        <is>
          <t>IC Organic Acids</t>
        </is>
      </c>
      <c r="EO648" s="20" t="inlineStr">
        <is>
          <t>None</t>
        </is>
      </c>
      <c r="EP648" s="17" t="n"/>
      <c r="EQ648" s="16" t="n"/>
      <c r="ER648" s="20" t="inlineStr">
        <is>
          <t>IC Organic Acids</t>
        </is>
      </c>
      <c r="ES648" s="20" t="inlineStr">
        <is>
          <t>None</t>
        </is>
      </c>
      <c r="ET648" s="17" t="n"/>
      <c r="EU648" s="16" t="n"/>
      <c r="EV648" s="20" t="inlineStr">
        <is>
          <t>LC-MS</t>
        </is>
      </c>
      <c r="EW648" s="20" t="inlineStr">
        <is>
          <t>None</t>
        </is>
      </c>
      <c r="EX648" s="17" t="n"/>
      <c r="EY648" s="21" t="n"/>
      <c r="EZ648">
        <f>CONCATENATE(A648,B648)</f>
        <v/>
      </c>
      <c r="FA648">
        <f>CONCATENATE(SamplesX!A648,SamplesX!B648)</f>
        <v/>
      </c>
      <c r="FC648">
        <f>MATCH(EZ648,FA1:FA1008,0)</f>
        <v/>
      </c>
    </row>
    <row r="649">
      <c r="A649" s="16" t="n"/>
      <c r="B649" s="17" t="n"/>
      <c r="C649" s="10">
        <f>IF(ISNUMBER(FC649),INDIRECT("SamplesX!C"&amp;FC649),IF(ISNUMBER(FD649),INDIRECT("SamplesY!C"&amp;FD649),""))</f>
        <v/>
      </c>
      <c r="D649" s="12">
        <f>IF(ISNUMBER(FC649),INDIRECT("SamplesX!D"&amp;FC649),IF(ISNUMBER(FD649),INDIRECT("SamplesY!D"&amp;FD649),""))</f>
        <v/>
      </c>
      <c r="E649" s="12">
        <f>IF(ISNUMBER(FC649),INDIRECT("SamplesX!E"&amp;FC649),IF(ISNUMBER(FD649),INDIRECT("SamplesY!E"&amp;FD649),""))</f>
        <v/>
      </c>
      <c r="F649" s="11">
        <f>IF(ISNUMBER(FC649),INDIRECT("SamplesX!F"&amp;FC649),IF(ISNUMBER(FD649),INDIRECT("SamplesY!F"&amp;FD649),""))</f>
        <v/>
      </c>
      <c r="G649" s="18">
        <f>IF(ISNUMBER(FC649),INDIRECT("SamplesX!G"&amp;FC649),IF(ISNUMBER(FD649),INDIRECT("SamplesY!G"&amp;FD649),""))</f>
        <v/>
      </c>
      <c r="H649" s="19">
        <f>IF(ISNUMBER(FC649),INDIRECT("SamplesX!H"&amp;FC649),IF(ISNUMBER(FD649),INDIRECT("SamplesY!H"&amp;FD649),""))</f>
        <v/>
      </c>
      <c r="I649" s="16" t="n"/>
      <c r="J649" s="16" t="n"/>
      <c r="K649" s="16" t="n"/>
      <c r="L649" s="20" t="n"/>
      <c r="M649" s="20" t="inlineStr">
        <is>
          <t>None</t>
        </is>
      </c>
      <c r="N649" s="17" t="n"/>
      <c r="O649" s="16" t="n"/>
      <c r="P649" s="20" t="inlineStr">
        <is>
          <t>Shimadzu TOC-L</t>
        </is>
      </c>
      <c r="Q649" s="20" t="inlineStr">
        <is>
          <t>None</t>
        </is>
      </c>
      <c r="R649" s="17" t="n"/>
      <c r="S649" s="16" t="n"/>
      <c r="T649" s="20" t="inlineStr">
        <is>
          <t>Shimadzu TOC-L</t>
        </is>
      </c>
      <c r="U649" s="20" t="inlineStr">
        <is>
          <t>None</t>
        </is>
      </c>
      <c r="V649" s="17" t="n"/>
      <c r="W649" s="16" t="n"/>
      <c r="X649" s="20" t="n"/>
      <c r="Y649" s="20" t="inlineStr">
        <is>
          <t>None</t>
        </is>
      </c>
      <c r="Z649" s="17" t="n"/>
      <c r="AA649" s="16" t="n"/>
      <c r="AB649" s="20" t="n"/>
      <c r="AC649" s="20" t="inlineStr">
        <is>
          <t>None</t>
        </is>
      </c>
      <c r="AD649" s="17" t="n"/>
      <c r="AE649" s="16" t="n"/>
      <c r="AF649" s="20" t="inlineStr">
        <is>
          <t>IC Anionen</t>
        </is>
      </c>
      <c r="AG649" s="20" t="inlineStr">
        <is>
          <t>None</t>
        </is>
      </c>
      <c r="AH649" s="17" t="n"/>
      <c r="AI649" s="16" t="n"/>
      <c r="AJ649" s="20" t="n"/>
      <c r="AK649" s="20" t="inlineStr">
        <is>
          <t>None</t>
        </is>
      </c>
      <c r="AL649" s="17" t="n"/>
      <c r="AM649" s="16" t="n"/>
      <c r="AN649" s="20" t="inlineStr">
        <is>
          <t>IC Anionen</t>
        </is>
      </c>
      <c r="AO649" s="20" t="inlineStr">
        <is>
          <t>None</t>
        </is>
      </c>
      <c r="AP649" s="17" t="n"/>
      <c r="AQ649" s="16" t="n"/>
      <c r="AR649" s="20" t="n"/>
      <c r="AS649" s="20" t="inlineStr">
        <is>
          <t>None</t>
        </is>
      </c>
      <c r="AT649" s="17" t="n"/>
      <c r="AU649" s="16" t="n"/>
      <c r="AV649" s="20" t="n"/>
      <c r="AW649" s="20" t="inlineStr">
        <is>
          <t>None</t>
        </is>
      </c>
      <c r="AX649" s="17" t="n"/>
      <c r="AY649" s="16" t="n"/>
      <c r="AZ649" s="20" t="inlineStr">
        <is>
          <t>IC Anionen</t>
        </is>
      </c>
      <c r="BA649" s="20" t="inlineStr">
        <is>
          <t>None</t>
        </is>
      </c>
      <c r="BB649" s="17" t="n"/>
      <c r="BC649" s="16" t="n"/>
      <c r="BD649" s="20" t="inlineStr">
        <is>
          <t>IC Kationen</t>
        </is>
      </c>
      <c r="BE649" s="20" t="inlineStr">
        <is>
          <t>None</t>
        </is>
      </c>
      <c r="BF649" s="17" t="n"/>
      <c r="BG649" s="16" t="n"/>
      <c r="BH649" s="20" t="inlineStr">
        <is>
          <t>IC Kationen</t>
        </is>
      </c>
      <c r="BI649" s="20" t="inlineStr">
        <is>
          <t>None</t>
        </is>
      </c>
      <c r="BJ649" s="17" t="n"/>
      <c r="BK649" s="16" t="n"/>
      <c r="BL649" s="20" t="inlineStr">
        <is>
          <t>IC Kationen</t>
        </is>
      </c>
      <c r="BM649" s="20" t="inlineStr">
        <is>
          <t>None</t>
        </is>
      </c>
      <c r="BN649" s="17" t="n"/>
      <c r="BO649" s="16" t="n"/>
      <c r="BP649" s="20" t="inlineStr">
        <is>
          <t>IC Kationen</t>
        </is>
      </c>
      <c r="BQ649" s="20" t="inlineStr">
        <is>
          <t>None</t>
        </is>
      </c>
      <c r="BR649" s="17" t="n"/>
      <c r="BS649" s="16" t="n"/>
      <c r="BT649" s="20" t="inlineStr">
        <is>
          <t>IC Kationen</t>
        </is>
      </c>
      <c r="BU649" s="20" t="inlineStr">
        <is>
          <t>None</t>
        </is>
      </c>
      <c r="BV649" s="17" t="n"/>
      <c r="BW649" s="16" t="n"/>
      <c r="BX649" s="20" t="n"/>
      <c r="BY649" s="20" t="inlineStr">
        <is>
          <t>None</t>
        </is>
      </c>
      <c r="BZ649" s="17" t="n"/>
      <c r="CA649" s="16" t="n"/>
      <c r="CB649" s="20" t="n"/>
      <c r="CC649" s="20" t="inlineStr">
        <is>
          <t>None</t>
        </is>
      </c>
      <c r="CD649" s="17" t="n"/>
      <c r="CE649" s="16" t="n"/>
      <c r="CF649" s="20" t="n"/>
      <c r="CG649" s="20" t="inlineStr">
        <is>
          <t>None</t>
        </is>
      </c>
      <c r="CH649" s="17" t="n"/>
      <c r="CI649" s="16" t="n"/>
      <c r="CJ649" s="20" t="n"/>
      <c r="CK649" s="20" t="inlineStr">
        <is>
          <t>None</t>
        </is>
      </c>
      <c r="CL649" s="17" t="n"/>
      <c r="CM649" s="16" t="n"/>
      <c r="CN649" s="20" t="inlineStr">
        <is>
          <t>SOP 45-34</t>
        </is>
      </c>
      <c r="CO649" s="20" t="inlineStr">
        <is>
          <t>None</t>
        </is>
      </c>
      <c r="CP649" s="17" t="n"/>
      <c r="CQ649" s="16" t="n"/>
      <c r="CR649" s="20" t="n"/>
      <c r="CS649" s="20" t="inlineStr">
        <is>
          <t>None</t>
        </is>
      </c>
      <c r="CT649" s="17" t="n"/>
      <c r="CU649" s="16" t="n"/>
      <c r="CV649" s="20" t="n"/>
      <c r="CW649" s="20" t="inlineStr">
        <is>
          <t>None</t>
        </is>
      </c>
      <c r="CX649" s="17" t="n"/>
      <c r="CY649" s="16" t="n"/>
      <c r="CZ649" s="20" t="inlineStr">
        <is>
          <t>WTW Multimeter 3430 with FDO 925</t>
        </is>
      </c>
      <c r="DA649" s="20" t="inlineStr">
        <is>
          <t>None</t>
        </is>
      </c>
      <c r="DB649" s="17" t="n"/>
      <c r="DC649" s="16" t="n"/>
      <c r="DD649" s="20" t="n"/>
      <c r="DE649" s="20" t="inlineStr">
        <is>
          <t>None</t>
        </is>
      </c>
      <c r="DF649" s="17" t="n"/>
      <c r="DG649" s="16" t="n"/>
      <c r="DH649" s="20" t="inlineStr">
        <is>
          <t>SOP 45-09</t>
        </is>
      </c>
      <c r="DI649" s="20" t="inlineStr">
        <is>
          <t>None</t>
        </is>
      </c>
      <c r="DJ649" s="17" t="n"/>
      <c r="DK649" s="16" t="n"/>
      <c r="DL649" s="20" t="inlineStr">
        <is>
          <t>SOP 45-09 (SOP muss noch angepasst werden für VSS)</t>
        </is>
      </c>
      <c r="DM649" s="20" t="inlineStr">
        <is>
          <t>None</t>
        </is>
      </c>
      <c r="DN649" s="17" t="n"/>
      <c r="DO649" s="16" t="n"/>
      <c r="DP649" s="20" t="inlineStr">
        <is>
          <t>IC Organic Acids</t>
        </is>
      </c>
      <c r="DQ649" s="20" t="inlineStr">
        <is>
          <t>None</t>
        </is>
      </c>
      <c r="DR649" s="17" t="n"/>
      <c r="DS649" s="16" t="n"/>
      <c r="DT649" s="20" t="inlineStr">
        <is>
          <t>IC Organic Acids</t>
        </is>
      </c>
      <c r="DU649" s="20" t="inlineStr">
        <is>
          <t>None</t>
        </is>
      </c>
      <c r="DV649" s="17" t="n"/>
      <c r="DW649" s="16" t="n"/>
      <c r="DX649" s="20" t="inlineStr">
        <is>
          <t>IC Organic Acids</t>
        </is>
      </c>
      <c r="DY649" s="20" t="inlineStr">
        <is>
          <t>None</t>
        </is>
      </c>
      <c r="DZ649" s="17" t="n"/>
      <c r="EA649" s="16" t="n"/>
      <c r="EB649" s="20" t="inlineStr">
        <is>
          <t>IC Organic Acids</t>
        </is>
      </c>
      <c r="EC649" s="20" t="inlineStr">
        <is>
          <t>None</t>
        </is>
      </c>
      <c r="ED649" s="17" t="n"/>
      <c r="EE649" s="16" t="n"/>
      <c r="EF649" s="20" t="inlineStr">
        <is>
          <t>IC Organic Acids</t>
        </is>
      </c>
      <c r="EG649" s="20" t="inlineStr">
        <is>
          <t>None</t>
        </is>
      </c>
      <c r="EH649" s="17" t="n"/>
      <c r="EI649" s="16" t="n"/>
      <c r="EJ649" s="20" t="inlineStr">
        <is>
          <t>IC Organic Acids</t>
        </is>
      </c>
      <c r="EK649" s="20" t="inlineStr">
        <is>
          <t>None</t>
        </is>
      </c>
      <c r="EL649" s="17" t="n"/>
      <c r="EM649" s="16" t="n"/>
      <c r="EN649" s="20" t="inlineStr">
        <is>
          <t>IC Organic Acids</t>
        </is>
      </c>
      <c r="EO649" s="20" t="inlineStr">
        <is>
          <t>None</t>
        </is>
      </c>
      <c r="EP649" s="17" t="n"/>
      <c r="EQ649" s="16" t="n"/>
      <c r="ER649" s="20" t="inlineStr">
        <is>
          <t>IC Organic Acids</t>
        </is>
      </c>
      <c r="ES649" s="20" t="inlineStr">
        <is>
          <t>None</t>
        </is>
      </c>
      <c r="ET649" s="17" t="n"/>
      <c r="EU649" s="16" t="n"/>
      <c r="EV649" s="20" t="inlineStr">
        <is>
          <t>LC-MS</t>
        </is>
      </c>
      <c r="EW649" s="20" t="inlineStr">
        <is>
          <t>None</t>
        </is>
      </c>
      <c r="EX649" s="17" t="n"/>
      <c r="EY649" s="21" t="n"/>
      <c r="EZ649">
        <f>CONCATENATE(A649,B649)</f>
        <v/>
      </c>
      <c r="FA649">
        <f>CONCATENATE(SamplesX!A649,SamplesX!B649)</f>
        <v/>
      </c>
      <c r="FC649">
        <f>MATCH(EZ649,FA1:FA1008,0)</f>
        <v/>
      </c>
    </row>
    <row r="650">
      <c r="A650" s="16" t="n"/>
      <c r="B650" s="17" t="n"/>
      <c r="C650" s="10">
        <f>IF(ISNUMBER(FC650),INDIRECT("SamplesX!C"&amp;FC650),IF(ISNUMBER(FD650),INDIRECT("SamplesY!C"&amp;FD650),""))</f>
        <v/>
      </c>
      <c r="D650" s="12">
        <f>IF(ISNUMBER(FC650),INDIRECT("SamplesX!D"&amp;FC650),IF(ISNUMBER(FD650),INDIRECT("SamplesY!D"&amp;FD650),""))</f>
        <v/>
      </c>
      <c r="E650" s="12">
        <f>IF(ISNUMBER(FC650),INDIRECT("SamplesX!E"&amp;FC650),IF(ISNUMBER(FD650),INDIRECT("SamplesY!E"&amp;FD650),""))</f>
        <v/>
      </c>
      <c r="F650" s="11">
        <f>IF(ISNUMBER(FC650),INDIRECT("SamplesX!F"&amp;FC650),IF(ISNUMBER(FD650),INDIRECT("SamplesY!F"&amp;FD650),""))</f>
        <v/>
      </c>
      <c r="G650" s="18">
        <f>IF(ISNUMBER(FC650),INDIRECT("SamplesX!G"&amp;FC650),IF(ISNUMBER(FD650),INDIRECT("SamplesY!G"&amp;FD650),""))</f>
        <v/>
      </c>
      <c r="H650" s="19">
        <f>IF(ISNUMBER(FC650),INDIRECT("SamplesX!H"&amp;FC650),IF(ISNUMBER(FD650),INDIRECT("SamplesY!H"&amp;FD650),""))</f>
        <v/>
      </c>
      <c r="I650" s="16" t="n"/>
      <c r="J650" s="16" t="n"/>
      <c r="K650" s="16" t="n"/>
      <c r="L650" s="20" t="n"/>
      <c r="M650" s="20" t="inlineStr">
        <is>
          <t>None</t>
        </is>
      </c>
      <c r="N650" s="17" t="n"/>
      <c r="O650" s="16" t="n"/>
      <c r="P650" s="20" t="inlineStr">
        <is>
          <t>Shimadzu TOC-L</t>
        </is>
      </c>
      <c r="Q650" s="20" t="inlineStr">
        <is>
          <t>None</t>
        </is>
      </c>
      <c r="R650" s="17" t="n"/>
      <c r="S650" s="16" t="n"/>
      <c r="T650" s="20" t="inlineStr">
        <is>
          <t>Shimadzu TOC-L</t>
        </is>
      </c>
      <c r="U650" s="20" t="inlineStr">
        <is>
          <t>None</t>
        </is>
      </c>
      <c r="V650" s="17" t="n"/>
      <c r="W650" s="16" t="n"/>
      <c r="X650" s="20" t="n"/>
      <c r="Y650" s="20" t="inlineStr">
        <is>
          <t>None</t>
        </is>
      </c>
      <c r="Z650" s="17" t="n"/>
      <c r="AA650" s="16" t="n"/>
      <c r="AB650" s="20" t="n"/>
      <c r="AC650" s="20" t="inlineStr">
        <is>
          <t>None</t>
        </is>
      </c>
      <c r="AD650" s="17" t="n"/>
      <c r="AE650" s="16" t="n"/>
      <c r="AF650" s="20" t="inlineStr">
        <is>
          <t>IC Anionen</t>
        </is>
      </c>
      <c r="AG650" s="20" t="inlineStr">
        <is>
          <t>None</t>
        </is>
      </c>
      <c r="AH650" s="17" t="n"/>
      <c r="AI650" s="16" t="n"/>
      <c r="AJ650" s="20" t="n"/>
      <c r="AK650" s="20" t="inlineStr">
        <is>
          <t>None</t>
        </is>
      </c>
      <c r="AL650" s="17" t="n"/>
      <c r="AM650" s="16" t="n"/>
      <c r="AN650" s="20" t="inlineStr">
        <is>
          <t>IC Anionen</t>
        </is>
      </c>
      <c r="AO650" s="20" t="inlineStr">
        <is>
          <t>None</t>
        </is>
      </c>
      <c r="AP650" s="17" t="n"/>
      <c r="AQ650" s="16" t="n"/>
      <c r="AR650" s="20" t="n"/>
      <c r="AS650" s="20" t="inlineStr">
        <is>
          <t>None</t>
        </is>
      </c>
      <c r="AT650" s="17" t="n"/>
      <c r="AU650" s="16" t="n"/>
      <c r="AV650" s="20" t="n"/>
      <c r="AW650" s="20" t="inlineStr">
        <is>
          <t>None</t>
        </is>
      </c>
      <c r="AX650" s="17" t="n"/>
      <c r="AY650" s="16" t="n"/>
      <c r="AZ650" s="20" t="inlineStr">
        <is>
          <t>IC Anionen</t>
        </is>
      </c>
      <c r="BA650" s="20" t="inlineStr">
        <is>
          <t>None</t>
        </is>
      </c>
      <c r="BB650" s="17" t="n"/>
      <c r="BC650" s="16" t="n"/>
      <c r="BD650" s="20" t="inlineStr">
        <is>
          <t>IC Kationen</t>
        </is>
      </c>
      <c r="BE650" s="20" t="inlineStr">
        <is>
          <t>None</t>
        </is>
      </c>
      <c r="BF650" s="17" t="n"/>
      <c r="BG650" s="16" t="n"/>
      <c r="BH650" s="20" t="inlineStr">
        <is>
          <t>IC Kationen</t>
        </is>
      </c>
      <c r="BI650" s="20" t="inlineStr">
        <is>
          <t>None</t>
        </is>
      </c>
      <c r="BJ650" s="17" t="n"/>
      <c r="BK650" s="16" t="n"/>
      <c r="BL650" s="20" t="inlineStr">
        <is>
          <t>IC Kationen</t>
        </is>
      </c>
      <c r="BM650" s="20" t="inlineStr">
        <is>
          <t>None</t>
        </is>
      </c>
      <c r="BN650" s="17" t="n"/>
      <c r="BO650" s="16" t="n"/>
      <c r="BP650" s="20" t="inlineStr">
        <is>
          <t>IC Kationen</t>
        </is>
      </c>
      <c r="BQ650" s="20" t="inlineStr">
        <is>
          <t>None</t>
        </is>
      </c>
      <c r="BR650" s="17" t="n"/>
      <c r="BS650" s="16" t="n"/>
      <c r="BT650" s="20" t="inlineStr">
        <is>
          <t>IC Kationen</t>
        </is>
      </c>
      <c r="BU650" s="20" t="inlineStr">
        <is>
          <t>None</t>
        </is>
      </c>
      <c r="BV650" s="17" t="n"/>
      <c r="BW650" s="16" t="n"/>
      <c r="BX650" s="20" t="n"/>
      <c r="BY650" s="20" t="inlineStr">
        <is>
          <t>None</t>
        </is>
      </c>
      <c r="BZ650" s="17" t="n"/>
      <c r="CA650" s="16" t="n"/>
      <c r="CB650" s="20" t="n"/>
      <c r="CC650" s="20" t="inlineStr">
        <is>
          <t>None</t>
        </is>
      </c>
      <c r="CD650" s="17" t="n"/>
      <c r="CE650" s="16" t="n"/>
      <c r="CF650" s="20" t="n"/>
      <c r="CG650" s="20" t="inlineStr">
        <is>
          <t>None</t>
        </is>
      </c>
      <c r="CH650" s="17" t="n"/>
      <c r="CI650" s="16" t="n"/>
      <c r="CJ650" s="20" t="n"/>
      <c r="CK650" s="20" t="inlineStr">
        <is>
          <t>None</t>
        </is>
      </c>
      <c r="CL650" s="17" t="n"/>
      <c r="CM650" s="16" t="n"/>
      <c r="CN650" s="20" t="inlineStr">
        <is>
          <t>SOP 45-34</t>
        </is>
      </c>
      <c r="CO650" s="20" t="inlineStr">
        <is>
          <t>None</t>
        </is>
      </c>
      <c r="CP650" s="17" t="n"/>
      <c r="CQ650" s="16" t="n"/>
      <c r="CR650" s="20" t="n"/>
      <c r="CS650" s="20" t="inlineStr">
        <is>
          <t>None</t>
        </is>
      </c>
      <c r="CT650" s="17" t="n"/>
      <c r="CU650" s="16" t="n"/>
      <c r="CV650" s="20" t="n"/>
      <c r="CW650" s="20" t="inlineStr">
        <is>
          <t>None</t>
        </is>
      </c>
      <c r="CX650" s="17" t="n"/>
      <c r="CY650" s="16" t="n"/>
      <c r="CZ650" s="20" t="inlineStr">
        <is>
          <t>WTW Multimeter 3430 with FDO 925</t>
        </is>
      </c>
      <c r="DA650" s="20" t="inlineStr">
        <is>
          <t>None</t>
        </is>
      </c>
      <c r="DB650" s="17" t="n"/>
      <c r="DC650" s="16" t="n"/>
      <c r="DD650" s="20" t="n"/>
      <c r="DE650" s="20" t="inlineStr">
        <is>
          <t>None</t>
        </is>
      </c>
      <c r="DF650" s="17" t="n"/>
      <c r="DG650" s="16" t="n"/>
      <c r="DH650" s="20" t="inlineStr">
        <is>
          <t>SOP 45-09</t>
        </is>
      </c>
      <c r="DI650" s="20" t="inlineStr">
        <is>
          <t>None</t>
        </is>
      </c>
      <c r="DJ650" s="17" t="n"/>
      <c r="DK650" s="16" t="n"/>
      <c r="DL650" s="20" t="inlineStr">
        <is>
          <t>SOP 45-09 (SOP muss noch angepasst werden für VSS)</t>
        </is>
      </c>
      <c r="DM650" s="20" t="inlineStr">
        <is>
          <t>None</t>
        </is>
      </c>
      <c r="DN650" s="17" t="n"/>
      <c r="DO650" s="16" t="n"/>
      <c r="DP650" s="20" t="inlineStr">
        <is>
          <t>IC Organic Acids</t>
        </is>
      </c>
      <c r="DQ650" s="20" t="inlineStr">
        <is>
          <t>None</t>
        </is>
      </c>
      <c r="DR650" s="17" t="n"/>
      <c r="DS650" s="16" t="n"/>
      <c r="DT650" s="20" t="inlineStr">
        <is>
          <t>IC Organic Acids</t>
        </is>
      </c>
      <c r="DU650" s="20" t="inlineStr">
        <is>
          <t>None</t>
        </is>
      </c>
      <c r="DV650" s="17" t="n"/>
      <c r="DW650" s="16" t="n"/>
      <c r="DX650" s="20" t="inlineStr">
        <is>
          <t>IC Organic Acids</t>
        </is>
      </c>
      <c r="DY650" s="20" t="inlineStr">
        <is>
          <t>None</t>
        </is>
      </c>
      <c r="DZ650" s="17" t="n"/>
      <c r="EA650" s="16" t="n"/>
      <c r="EB650" s="20" t="inlineStr">
        <is>
          <t>IC Organic Acids</t>
        </is>
      </c>
      <c r="EC650" s="20" t="inlineStr">
        <is>
          <t>None</t>
        </is>
      </c>
      <c r="ED650" s="17" t="n"/>
      <c r="EE650" s="16" t="n"/>
      <c r="EF650" s="20" t="inlineStr">
        <is>
          <t>IC Organic Acids</t>
        </is>
      </c>
      <c r="EG650" s="20" t="inlineStr">
        <is>
          <t>None</t>
        </is>
      </c>
      <c r="EH650" s="17" t="n"/>
      <c r="EI650" s="16" t="n"/>
      <c r="EJ650" s="20" t="inlineStr">
        <is>
          <t>IC Organic Acids</t>
        </is>
      </c>
      <c r="EK650" s="20" t="inlineStr">
        <is>
          <t>None</t>
        </is>
      </c>
      <c r="EL650" s="17" t="n"/>
      <c r="EM650" s="16" t="n"/>
      <c r="EN650" s="20" t="inlineStr">
        <is>
          <t>IC Organic Acids</t>
        </is>
      </c>
      <c r="EO650" s="20" t="inlineStr">
        <is>
          <t>None</t>
        </is>
      </c>
      <c r="EP650" s="17" t="n"/>
      <c r="EQ650" s="16" t="n"/>
      <c r="ER650" s="20" t="inlineStr">
        <is>
          <t>IC Organic Acids</t>
        </is>
      </c>
      <c r="ES650" s="20" t="inlineStr">
        <is>
          <t>None</t>
        </is>
      </c>
      <c r="ET650" s="17" t="n"/>
      <c r="EU650" s="16" t="n"/>
      <c r="EV650" s="20" t="inlineStr">
        <is>
          <t>LC-MS</t>
        </is>
      </c>
      <c r="EW650" s="20" t="inlineStr">
        <is>
          <t>None</t>
        </is>
      </c>
      <c r="EX650" s="17" t="n"/>
      <c r="EY650" s="21" t="n"/>
      <c r="EZ650">
        <f>CONCATENATE(A650,B650)</f>
        <v/>
      </c>
      <c r="FA650">
        <f>CONCATENATE(SamplesX!A650,SamplesX!B650)</f>
        <v/>
      </c>
      <c r="FC650">
        <f>MATCH(EZ650,FA1:FA1008,0)</f>
        <v/>
      </c>
    </row>
    <row r="651">
      <c r="A651" s="16" t="n"/>
      <c r="B651" s="17" t="n"/>
      <c r="C651" s="10">
        <f>IF(ISNUMBER(FC651),INDIRECT("SamplesX!C"&amp;FC651),IF(ISNUMBER(FD651),INDIRECT("SamplesY!C"&amp;FD651),""))</f>
        <v/>
      </c>
      <c r="D651" s="12">
        <f>IF(ISNUMBER(FC651),INDIRECT("SamplesX!D"&amp;FC651),IF(ISNUMBER(FD651),INDIRECT("SamplesY!D"&amp;FD651),""))</f>
        <v/>
      </c>
      <c r="E651" s="12">
        <f>IF(ISNUMBER(FC651),INDIRECT("SamplesX!E"&amp;FC651),IF(ISNUMBER(FD651),INDIRECT("SamplesY!E"&amp;FD651),""))</f>
        <v/>
      </c>
      <c r="F651" s="11">
        <f>IF(ISNUMBER(FC651),INDIRECT("SamplesX!F"&amp;FC651),IF(ISNUMBER(FD651),INDIRECT("SamplesY!F"&amp;FD651),""))</f>
        <v/>
      </c>
      <c r="G651" s="18">
        <f>IF(ISNUMBER(FC651),INDIRECT("SamplesX!G"&amp;FC651),IF(ISNUMBER(FD651),INDIRECT("SamplesY!G"&amp;FD651),""))</f>
        <v/>
      </c>
      <c r="H651" s="19">
        <f>IF(ISNUMBER(FC651),INDIRECT("SamplesX!H"&amp;FC651),IF(ISNUMBER(FD651),INDIRECT("SamplesY!H"&amp;FD651),""))</f>
        <v/>
      </c>
      <c r="I651" s="16" t="n"/>
      <c r="J651" s="16" t="n"/>
      <c r="K651" s="16" t="n"/>
      <c r="L651" s="20" t="n"/>
      <c r="M651" s="20" t="inlineStr">
        <is>
          <t>None</t>
        </is>
      </c>
      <c r="N651" s="17" t="n"/>
      <c r="O651" s="16" t="n"/>
      <c r="P651" s="20" t="inlineStr">
        <is>
          <t>Shimadzu TOC-L</t>
        </is>
      </c>
      <c r="Q651" s="20" t="inlineStr">
        <is>
          <t>None</t>
        </is>
      </c>
      <c r="R651" s="17" t="n"/>
      <c r="S651" s="16" t="n"/>
      <c r="T651" s="20" t="inlineStr">
        <is>
          <t>Shimadzu TOC-L</t>
        </is>
      </c>
      <c r="U651" s="20" t="inlineStr">
        <is>
          <t>None</t>
        </is>
      </c>
      <c r="V651" s="17" t="n"/>
      <c r="W651" s="16" t="n"/>
      <c r="X651" s="20" t="n"/>
      <c r="Y651" s="20" t="inlineStr">
        <is>
          <t>None</t>
        </is>
      </c>
      <c r="Z651" s="17" t="n"/>
      <c r="AA651" s="16" t="n"/>
      <c r="AB651" s="20" t="n"/>
      <c r="AC651" s="20" t="inlineStr">
        <is>
          <t>None</t>
        </is>
      </c>
      <c r="AD651" s="17" t="n"/>
      <c r="AE651" s="16" t="n"/>
      <c r="AF651" s="20" t="inlineStr">
        <is>
          <t>IC Anionen</t>
        </is>
      </c>
      <c r="AG651" s="20" t="inlineStr">
        <is>
          <t>None</t>
        </is>
      </c>
      <c r="AH651" s="17" t="n"/>
      <c r="AI651" s="16" t="n"/>
      <c r="AJ651" s="20" t="n"/>
      <c r="AK651" s="20" t="inlineStr">
        <is>
          <t>None</t>
        </is>
      </c>
      <c r="AL651" s="17" t="n"/>
      <c r="AM651" s="16" t="n"/>
      <c r="AN651" s="20" t="inlineStr">
        <is>
          <t>IC Anionen</t>
        </is>
      </c>
      <c r="AO651" s="20" t="inlineStr">
        <is>
          <t>None</t>
        </is>
      </c>
      <c r="AP651" s="17" t="n"/>
      <c r="AQ651" s="16" t="n"/>
      <c r="AR651" s="20" t="n"/>
      <c r="AS651" s="20" t="inlineStr">
        <is>
          <t>None</t>
        </is>
      </c>
      <c r="AT651" s="17" t="n"/>
      <c r="AU651" s="16" t="n"/>
      <c r="AV651" s="20" t="n"/>
      <c r="AW651" s="20" t="inlineStr">
        <is>
          <t>None</t>
        </is>
      </c>
      <c r="AX651" s="17" t="n"/>
      <c r="AY651" s="16" t="n"/>
      <c r="AZ651" s="20" t="inlineStr">
        <is>
          <t>IC Anionen</t>
        </is>
      </c>
      <c r="BA651" s="20" t="inlineStr">
        <is>
          <t>None</t>
        </is>
      </c>
      <c r="BB651" s="17" t="n"/>
      <c r="BC651" s="16" t="n"/>
      <c r="BD651" s="20" t="inlineStr">
        <is>
          <t>IC Kationen</t>
        </is>
      </c>
      <c r="BE651" s="20" t="inlineStr">
        <is>
          <t>None</t>
        </is>
      </c>
      <c r="BF651" s="17" t="n"/>
      <c r="BG651" s="16" t="n"/>
      <c r="BH651" s="20" t="inlineStr">
        <is>
          <t>IC Kationen</t>
        </is>
      </c>
      <c r="BI651" s="20" t="inlineStr">
        <is>
          <t>None</t>
        </is>
      </c>
      <c r="BJ651" s="17" t="n"/>
      <c r="BK651" s="16" t="n"/>
      <c r="BL651" s="20" t="inlineStr">
        <is>
          <t>IC Kationen</t>
        </is>
      </c>
      <c r="BM651" s="20" t="inlineStr">
        <is>
          <t>None</t>
        </is>
      </c>
      <c r="BN651" s="17" t="n"/>
      <c r="BO651" s="16" t="n"/>
      <c r="BP651" s="20" t="inlineStr">
        <is>
          <t>IC Kationen</t>
        </is>
      </c>
      <c r="BQ651" s="20" t="inlineStr">
        <is>
          <t>None</t>
        </is>
      </c>
      <c r="BR651" s="17" t="n"/>
      <c r="BS651" s="16" t="n"/>
      <c r="BT651" s="20" t="inlineStr">
        <is>
          <t>IC Kationen</t>
        </is>
      </c>
      <c r="BU651" s="20" t="inlineStr">
        <is>
          <t>None</t>
        </is>
      </c>
      <c r="BV651" s="17" t="n"/>
      <c r="BW651" s="16" t="n"/>
      <c r="BX651" s="20" t="n"/>
      <c r="BY651" s="20" t="inlineStr">
        <is>
          <t>None</t>
        </is>
      </c>
      <c r="BZ651" s="17" t="n"/>
      <c r="CA651" s="16" t="n"/>
      <c r="CB651" s="20" t="n"/>
      <c r="CC651" s="20" t="inlineStr">
        <is>
          <t>None</t>
        </is>
      </c>
      <c r="CD651" s="17" t="n"/>
      <c r="CE651" s="16" t="n"/>
      <c r="CF651" s="20" t="n"/>
      <c r="CG651" s="20" t="inlineStr">
        <is>
          <t>None</t>
        </is>
      </c>
      <c r="CH651" s="17" t="n"/>
      <c r="CI651" s="16" t="n"/>
      <c r="CJ651" s="20" t="n"/>
      <c r="CK651" s="20" t="inlineStr">
        <is>
          <t>None</t>
        </is>
      </c>
      <c r="CL651" s="17" t="n"/>
      <c r="CM651" s="16" t="n"/>
      <c r="CN651" s="20" t="inlineStr">
        <is>
          <t>SOP 45-34</t>
        </is>
      </c>
      <c r="CO651" s="20" t="inlineStr">
        <is>
          <t>None</t>
        </is>
      </c>
      <c r="CP651" s="17" t="n"/>
      <c r="CQ651" s="16" t="n"/>
      <c r="CR651" s="20" t="n"/>
      <c r="CS651" s="20" t="inlineStr">
        <is>
          <t>None</t>
        </is>
      </c>
      <c r="CT651" s="17" t="n"/>
      <c r="CU651" s="16" t="n"/>
      <c r="CV651" s="20" t="n"/>
      <c r="CW651" s="20" t="inlineStr">
        <is>
          <t>None</t>
        </is>
      </c>
      <c r="CX651" s="17" t="n"/>
      <c r="CY651" s="16" t="n"/>
      <c r="CZ651" s="20" t="inlineStr">
        <is>
          <t>WTW Multimeter 3430 with FDO 925</t>
        </is>
      </c>
      <c r="DA651" s="20" t="inlineStr">
        <is>
          <t>None</t>
        </is>
      </c>
      <c r="DB651" s="17" t="n"/>
      <c r="DC651" s="16" t="n"/>
      <c r="DD651" s="20" t="n"/>
      <c r="DE651" s="20" t="inlineStr">
        <is>
          <t>None</t>
        </is>
      </c>
      <c r="DF651" s="17" t="n"/>
      <c r="DG651" s="16" t="n"/>
      <c r="DH651" s="20" t="inlineStr">
        <is>
          <t>SOP 45-09</t>
        </is>
      </c>
      <c r="DI651" s="20" t="inlineStr">
        <is>
          <t>None</t>
        </is>
      </c>
      <c r="DJ651" s="17" t="n"/>
      <c r="DK651" s="16" t="n"/>
      <c r="DL651" s="20" t="inlineStr">
        <is>
          <t>SOP 45-09 (SOP muss noch angepasst werden für VSS)</t>
        </is>
      </c>
      <c r="DM651" s="20" t="inlineStr">
        <is>
          <t>None</t>
        </is>
      </c>
      <c r="DN651" s="17" t="n"/>
      <c r="DO651" s="16" t="n"/>
      <c r="DP651" s="20" t="inlineStr">
        <is>
          <t>IC Organic Acids</t>
        </is>
      </c>
      <c r="DQ651" s="20" t="inlineStr">
        <is>
          <t>None</t>
        </is>
      </c>
      <c r="DR651" s="17" t="n"/>
      <c r="DS651" s="16" t="n"/>
      <c r="DT651" s="20" t="inlineStr">
        <is>
          <t>IC Organic Acids</t>
        </is>
      </c>
      <c r="DU651" s="20" t="inlineStr">
        <is>
          <t>None</t>
        </is>
      </c>
      <c r="DV651" s="17" t="n"/>
      <c r="DW651" s="16" t="n"/>
      <c r="DX651" s="20" t="inlineStr">
        <is>
          <t>IC Organic Acids</t>
        </is>
      </c>
      <c r="DY651" s="20" t="inlineStr">
        <is>
          <t>None</t>
        </is>
      </c>
      <c r="DZ651" s="17" t="n"/>
      <c r="EA651" s="16" t="n"/>
      <c r="EB651" s="20" t="inlineStr">
        <is>
          <t>IC Organic Acids</t>
        </is>
      </c>
      <c r="EC651" s="20" t="inlineStr">
        <is>
          <t>None</t>
        </is>
      </c>
      <c r="ED651" s="17" t="n"/>
      <c r="EE651" s="16" t="n"/>
      <c r="EF651" s="20" t="inlineStr">
        <is>
          <t>IC Organic Acids</t>
        </is>
      </c>
      <c r="EG651" s="20" t="inlineStr">
        <is>
          <t>None</t>
        </is>
      </c>
      <c r="EH651" s="17" t="n"/>
      <c r="EI651" s="16" t="n"/>
      <c r="EJ651" s="20" t="inlineStr">
        <is>
          <t>IC Organic Acids</t>
        </is>
      </c>
      <c r="EK651" s="20" t="inlineStr">
        <is>
          <t>None</t>
        </is>
      </c>
      <c r="EL651" s="17" t="n"/>
      <c r="EM651" s="16" t="n"/>
      <c r="EN651" s="20" t="inlineStr">
        <is>
          <t>IC Organic Acids</t>
        </is>
      </c>
      <c r="EO651" s="20" t="inlineStr">
        <is>
          <t>None</t>
        </is>
      </c>
      <c r="EP651" s="17" t="n"/>
      <c r="EQ651" s="16" t="n"/>
      <c r="ER651" s="20" t="inlineStr">
        <is>
          <t>IC Organic Acids</t>
        </is>
      </c>
      <c r="ES651" s="20" t="inlineStr">
        <is>
          <t>None</t>
        </is>
      </c>
      <c r="ET651" s="17" t="n"/>
      <c r="EU651" s="16" t="n"/>
      <c r="EV651" s="20" t="inlineStr">
        <is>
          <t>LC-MS</t>
        </is>
      </c>
      <c r="EW651" s="20" t="inlineStr">
        <is>
          <t>None</t>
        </is>
      </c>
      <c r="EX651" s="17" t="n"/>
      <c r="EY651" s="21" t="n"/>
      <c r="EZ651">
        <f>CONCATENATE(A651,B651)</f>
        <v/>
      </c>
      <c r="FA651">
        <f>CONCATENATE(SamplesX!A651,SamplesX!B651)</f>
        <v/>
      </c>
      <c r="FC651">
        <f>MATCH(EZ651,FA1:FA1008,0)</f>
        <v/>
      </c>
    </row>
    <row r="652">
      <c r="A652" s="16" t="n"/>
      <c r="B652" s="17" t="n"/>
      <c r="C652" s="10">
        <f>IF(ISNUMBER(FC652),INDIRECT("SamplesX!C"&amp;FC652),IF(ISNUMBER(FD652),INDIRECT("SamplesY!C"&amp;FD652),""))</f>
        <v/>
      </c>
      <c r="D652" s="12">
        <f>IF(ISNUMBER(FC652),INDIRECT("SamplesX!D"&amp;FC652),IF(ISNUMBER(FD652),INDIRECT("SamplesY!D"&amp;FD652),""))</f>
        <v/>
      </c>
      <c r="E652" s="12">
        <f>IF(ISNUMBER(FC652),INDIRECT("SamplesX!E"&amp;FC652),IF(ISNUMBER(FD652),INDIRECT("SamplesY!E"&amp;FD652),""))</f>
        <v/>
      </c>
      <c r="F652" s="11">
        <f>IF(ISNUMBER(FC652),INDIRECT("SamplesX!F"&amp;FC652),IF(ISNUMBER(FD652),INDIRECT("SamplesY!F"&amp;FD652),""))</f>
        <v/>
      </c>
      <c r="G652" s="18">
        <f>IF(ISNUMBER(FC652),INDIRECT("SamplesX!G"&amp;FC652),IF(ISNUMBER(FD652),INDIRECT("SamplesY!G"&amp;FD652),""))</f>
        <v/>
      </c>
      <c r="H652" s="19">
        <f>IF(ISNUMBER(FC652),INDIRECT("SamplesX!H"&amp;FC652),IF(ISNUMBER(FD652),INDIRECT("SamplesY!H"&amp;FD652),""))</f>
        <v/>
      </c>
      <c r="I652" s="16" t="n"/>
      <c r="J652" s="16" t="n"/>
      <c r="K652" s="16" t="n"/>
      <c r="L652" s="20" t="n"/>
      <c r="M652" s="20" t="inlineStr">
        <is>
          <t>None</t>
        </is>
      </c>
      <c r="N652" s="17" t="n"/>
      <c r="O652" s="16" t="n"/>
      <c r="P652" s="20" t="inlineStr">
        <is>
          <t>Shimadzu TOC-L</t>
        </is>
      </c>
      <c r="Q652" s="20" t="inlineStr">
        <is>
          <t>None</t>
        </is>
      </c>
      <c r="R652" s="17" t="n"/>
      <c r="S652" s="16" t="n"/>
      <c r="T652" s="20" t="inlineStr">
        <is>
          <t>Shimadzu TOC-L</t>
        </is>
      </c>
      <c r="U652" s="20" t="inlineStr">
        <is>
          <t>None</t>
        </is>
      </c>
      <c r="V652" s="17" t="n"/>
      <c r="W652" s="16" t="n"/>
      <c r="X652" s="20" t="n"/>
      <c r="Y652" s="20" t="inlineStr">
        <is>
          <t>None</t>
        </is>
      </c>
      <c r="Z652" s="17" t="n"/>
      <c r="AA652" s="16" t="n"/>
      <c r="AB652" s="20" t="n"/>
      <c r="AC652" s="20" t="inlineStr">
        <is>
          <t>None</t>
        </is>
      </c>
      <c r="AD652" s="17" t="n"/>
      <c r="AE652" s="16" t="n"/>
      <c r="AF652" s="20" t="inlineStr">
        <is>
          <t>IC Anionen</t>
        </is>
      </c>
      <c r="AG652" s="20" t="inlineStr">
        <is>
          <t>None</t>
        </is>
      </c>
      <c r="AH652" s="17" t="n"/>
      <c r="AI652" s="16" t="n"/>
      <c r="AJ652" s="20" t="n"/>
      <c r="AK652" s="20" t="inlineStr">
        <is>
          <t>None</t>
        </is>
      </c>
      <c r="AL652" s="17" t="n"/>
      <c r="AM652" s="16" t="n"/>
      <c r="AN652" s="20" t="inlineStr">
        <is>
          <t>IC Anionen</t>
        </is>
      </c>
      <c r="AO652" s="20" t="inlineStr">
        <is>
          <t>None</t>
        </is>
      </c>
      <c r="AP652" s="17" t="n"/>
      <c r="AQ652" s="16" t="n"/>
      <c r="AR652" s="20" t="n"/>
      <c r="AS652" s="20" t="inlineStr">
        <is>
          <t>None</t>
        </is>
      </c>
      <c r="AT652" s="17" t="n"/>
      <c r="AU652" s="16" t="n"/>
      <c r="AV652" s="20" t="n"/>
      <c r="AW652" s="20" t="inlineStr">
        <is>
          <t>None</t>
        </is>
      </c>
      <c r="AX652" s="17" t="n"/>
      <c r="AY652" s="16" t="n"/>
      <c r="AZ652" s="20" t="inlineStr">
        <is>
          <t>IC Anionen</t>
        </is>
      </c>
      <c r="BA652" s="20" t="inlineStr">
        <is>
          <t>None</t>
        </is>
      </c>
      <c r="BB652" s="17" t="n"/>
      <c r="BC652" s="16" t="n"/>
      <c r="BD652" s="20" t="inlineStr">
        <is>
          <t>IC Kationen</t>
        </is>
      </c>
      <c r="BE652" s="20" t="inlineStr">
        <is>
          <t>None</t>
        </is>
      </c>
      <c r="BF652" s="17" t="n"/>
      <c r="BG652" s="16" t="n"/>
      <c r="BH652" s="20" t="inlineStr">
        <is>
          <t>IC Kationen</t>
        </is>
      </c>
      <c r="BI652" s="20" t="inlineStr">
        <is>
          <t>None</t>
        </is>
      </c>
      <c r="BJ652" s="17" t="n"/>
      <c r="BK652" s="16" t="n"/>
      <c r="BL652" s="20" t="inlineStr">
        <is>
          <t>IC Kationen</t>
        </is>
      </c>
      <c r="BM652" s="20" t="inlineStr">
        <is>
          <t>None</t>
        </is>
      </c>
      <c r="BN652" s="17" t="n"/>
      <c r="BO652" s="16" t="n"/>
      <c r="BP652" s="20" t="inlineStr">
        <is>
          <t>IC Kationen</t>
        </is>
      </c>
      <c r="BQ652" s="20" t="inlineStr">
        <is>
          <t>None</t>
        </is>
      </c>
      <c r="BR652" s="17" t="n"/>
      <c r="BS652" s="16" t="n"/>
      <c r="BT652" s="20" t="inlineStr">
        <is>
          <t>IC Kationen</t>
        </is>
      </c>
      <c r="BU652" s="20" t="inlineStr">
        <is>
          <t>None</t>
        </is>
      </c>
      <c r="BV652" s="17" t="n"/>
      <c r="BW652" s="16" t="n"/>
      <c r="BX652" s="20" t="n"/>
      <c r="BY652" s="20" t="inlineStr">
        <is>
          <t>None</t>
        </is>
      </c>
      <c r="BZ652" s="17" t="n"/>
      <c r="CA652" s="16" t="n"/>
      <c r="CB652" s="20" t="n"/>
      <c r="CC652" s="20" t="inlineStr">
        <is>
          <t>None</t>
        </is>
      </c>
      <c r="CD652" s="17" t="n"/>
      <c r="CE652" s="16" t="n"/>
      <c r="CF652" s="20" t="n"/>
      <c r="CG652" s="20" t="inlineStr">
        <is>
          <t>None</t>
        </is>
      </c>
      <c r="CH652" s="17" t="n"/>
      <c r="CI652" s="16" t="n"/>
      <c r="CJ652" s="20" t="n"/>
      <c r="CK652" s="20" t="inlineStr">
        <is>
          <t>None</t>
        </is>
      </c>
      <c r="CL652" s="17" t="n"/>
      <c r="CM652" s="16" t="n"/>
      <c r="CN652" s="20" t="inlineStr">
        <is>
          <t>SOP 45-34</t>
        </is>
      </c>
      <c r="CO652" s="20" t="inlineStr">
        <is>
          <t>None</t>
        </is>
      </c>
      <c r="CP652" s="17" t="n"/>
      <c r="CQ652" s="16" t="n"/>
      <c r="CR652" s="20" t="n"/>
      <c r="CS652" s="20" t="inlineStr">
        <is>
          <t>None</t>
        </is>
      </c>
      <c r="CT652" s="17" t="n"/>
      <c r="CU652" s="16" t="n"/>
      <c r="CV652" s="20" t="n"/>
      <c r="CW652" s="20" t="inlineStr">
        <is>
          <t>None</t>
        </is>
      </c>
      <c r="CX652" s="17" t="n"/>
      <c r="CY652" s="16" t="n"/>
      <c r="CZ652" s="20" t="inlineStr">
        <is>
          <t>WTW Multimeter 3430 with FDO 925</t>
        </is>
      </c>
      <c r="DA652" s="20" t="inlineStr">
        <is>
          <t>None</t>
        </is>
      </c>
      <c r="DB652" s="17" t="n"/>
      <c r="DC652" s="16" t="n"/>
      <c r="DD652" s="20" t="n"/>
      <c r="DE652" s="20" t="inlineStr">
        <is>
          <t>None</t>
        </is>
      </c>
      <c r="DF652" s="17" t="n"/>
      <c r="DG652" s="16" t="n"/>
      <c r="DH652" s="20" t="inlineStr">
        <is>
          <t>SOP 45-09</t>
        </is>
      </c>
      <c r="DI652" s="20" t="inlineStr">
        <is>
          <t>None</t>
        </is>
      </c>
      <c r="DJ652" s="17" t="n"/>
      <c r="DK652" s="16" t="n"/>
      <c r="DL652" s="20" t="inlineStr">
        <is>
          <t>SOP 45-09 (SOP muss noch angepasst werden für VSS)</t>
        </is>
      </c>
      <c r="DM652" s="20" t="inlineStr">
        <is>
          <t>None</t>
        </is>
      </c>
      <c r="DN652" s="17" t="n"/>
      <c r="DO652" s="16" t="n"/>
      <c r="DP652" s="20" t="inlineStr">
        <is>
          <t>IC Organic Acids</t>
        </is>
      </c>
      <c r="DQ652" s="20" t="inlineStr">
        <is>
          <t>None</t>
        </is>
      </c>
      <c r="DR652" s="17" t="n"/>
      <c r="DS652" s="16" t="n"/>
      <c r="DT652" s="20" t="inlineStr">
        <is>
          <t>IC Organic Acids</t>
        </is>
      </c>
      <c r="DU652" s="20" t="inlineStr">
        <is>
          <t>None</t>
        </is>
      </c>
      <c r="DV652" s="17" t="n"/>
      <c r="DW652" s="16" t="n"/>
      <c r="DX652" s="20" t="inlineStr">
        <is>
          <t>IC Organic Acids</t>
        </is>
      </c>
      <c r="DY652" s="20" t="inlineStr">
        <is>
          <t>None</t>
        </is>
      </c>
      <c r="DZ652" s="17" t="n"/>
      <c r="EA652" s="16" t="n"/>
      <c r="EB652" s="20" t="inlineStr">
        <is>
          <t>IC Organic Acids</t>
        </is>
      </c>
      <c r="EC652" s="20" t="inlineStr">
        <is>
          <t>None</t>
        </is>
      </c>
      <c r="ED652" s="17" t="n"/>
      <c r="EE652" s="16" t="n"/>
      <c r="EF652" s="20" t="inlineStr">
        <is>
          <t>IC Organic Acids</t>
        </is>
      </c>
      <c r="EG652" s="20" t="inlineStr">
        <is>
          <t>None</t>
        </is>
      </c>
      <c r="EH652" s="17" t="n"/>
      <c r="EI652" s="16" t="n"/>
      <c r="EJ652" s="20" t="inlineStr">
        <is>
          <t>IC Organic Acids</t>
        </is>
      </c>
      <c r="EK652" s="20" t="inlineStr">
        <is>
          <t>None</t>
        </is>
      </c>
      <c r="EL652" s="17" t="n"/>
      <c r="EM652" s="16" t="n"/>
      <c r="EN652" s="20" t="inlineStr">
        <is>
          <t>IC Organic Acids</t>
        </is>
      </c>
      <c r="EO652" s="20" t="inlineStr">
        <is>
          <t>None</t>
        </is>
      </c>
      <c r="EP652" s="17" t="n"/>
      <c r="EQ652" s="16" t="n"/>
      <c r="ER652" s="20" t="inlineStr">
        <is>
          <t>IC Organic Acids</t>
        </is>
      </c>
      <c r="ES652" s="20" t="inlineStr">
        <is>
          <t>None</t>
        </is>
      </c>
      <c r="ET652" s="17" t="n"/>
      <c r="EU652" s="16" t="n"/>
      <c r="EV652" s="20" t="inlineStr">
        <is>
          <t>LC-MS</t>
        </is>
      </c>
      <c r="EW652" s="20" t="inlineStr">
        <is>
          <t>None</t>
        </is>
      </c>
      <c r="EX652" s="17" t="n"/>
      <c r="EY652" s="21" t="n"/>
      <c r="EZ652">
        <f>CONCATENATE(A652,B652)</f>
        <v/>
      </c>
      <c r="FA652">
        <f>CONCATENATE(SamplesX!A652,SamplesX!B652)</f>
        <v/>
      </c>
      <c r="FC652">
        <f>MATCH(EZ652,FA1:FA1008,0)</f>
        <v/>
      </c>
    </row>
    <row r="653">
      <c r="A653" s="16" t="n"/>
      <c r="B653" s="17" t="n"/>
      <c r="C653" s="10">
        <f>IF(ISNUMBER(FC653),INDIRECT("SamplesX!C"&amp;FC653),IF(ISNUMBER(FD653),INDIRECT("SamplesY!C"&amp;FD653),""))</f>
        <v/>
      </c>
      <c r="D653" s="12">
        <f>IF(ISNUMBER(FC653),INDIRECT("SamplesX!D"&amp;FC653),IF(ISNUMBER(FD653),INDIRECT("SamplesY!D"&amp;FD653),""))</f>
        <v/>
      </c>
      <c r="E653" s="12">
        <f>IF(ISNUMBER(FC653),INDIRECT("SamplesX!E"&amp;FC653),IF(ISNUMBER(FD653),INDIRECT("SamplesY!E"&amp;FD653),""))</f>
        <v/>
      </c>
      <c r="F653" s="11">
        <f>IF(ISNUMBER(FC653),INDIRECT("SamplesX!F"&amp;FC653),IF(ISNUMBER(FD653),INDIRECT("SamplesY!F"&amp;FD653),""))</f>
        <v/>
      </c>
      <c r="G653" s="18">
        <f>IF(ISNUMBER(FC653),INDIRECT("SamplesX!G"&amp;FC653),IF(ISNUMBER(FD653),INDIRECT("SamplesY!G"&amp;FD653),""))</f>
        <v/>
      </c>
      <c r="H653" s="19">
        <f>IF(ISNUMBER(FC653),INDIRECT("SamplesX!H"&amp;FC653),IF(ISNUMBER(FD653),INDIRECT("SamplesY!H"&amp;FD653),""))</f>
        <v/>
      </c>
      <c r="I653" s="16" t="n"/>
      <c r="J653" s="16" t="n"/>
      <c r="K653" s="16" t="n"/>
      <c r="L653" s="20" t="n"/>
      <c r="M653" s="20" t="inlineStr">
        <is>
          <t>None</t>
        </is>
      </c>
      <c r="N653" s="17" t="n"/>
      <c r="O653" s="16" t="n"/>
      <c r="P653" s="20" t="inlineStr">
        <is>
          <t>Shimadzu TOC-L</t>
        </is>
      </c>
      <c r="Q653" s="20" t="inlineStr">
        <is>
          <t>None</t>
        </is>
      </c>
      <c r="R653" s="17" t="n"/>
      <c r="S653" s="16" t="n"/>
      <c r="T653" s="20" t="inlineStr">
        <is>
          <t>Shimadzu TOC-L</t>
        </is>
      </c>
      <c r="U653" s="20" t="inlineStr">
        <is>
          <t>None</t>
        </is>
      </c>
      <c r="V653" s="17" t="n"/>
      <c r="W653" s="16" t="n"/>
      <c r="X653" s="20" t="n"/>
      <c r="Y653" s="20" t="inlineStr">
        <is>
          <t>None</t>
        </is>
      </c>
      <c r="Z653" s="17" t="n"/>
      <c r="AA653" s="16" t="n"/>
      <c r="AB653" s="20" t="n"/>
      <c r="AC653" s="20" t="inlineStr">
        <is>
          <t>None</t>
        </is>
      </c>
      <c r="AD653" s="17" t="n"/>
      <c r="AE653" s="16" t="n"/>
      <c r="AF653" s="20" t="inlineStr">
        <is>
          <t>IC Anionen</t>
        </is>
      </c>
      <c r="AG653" s="20" t="inlineStr">
        <is>
          <t>None</t>
        </is>
      </c>
      <c r="AH653" s="17" t="n"/>
      <c r="AI653" s="16" t="n"/>
      <c r="AJ653" s="20" t="n"/>
      <c r="AK653" s="20" t="inlineStr">
        <is>
          <t>None</t>
        </is>
      </c>
      <c r="AL653" s="17" t="n"/>
      <c r="AM653" s="16" t="n"/>
      <c r="AN653" s="20" t="inlineStr">
        <is>
          <t>IC Anionen</t>
        </is>
      </c>
      <c r="AO653" s="20" t="inlineStr">
        <is>
          <t>None</t>
        </is>
      </c>
      <c r="AP653" s="17" t="n"/>
      <c r="AQ653" s="16" t="n"/>
      <c r="AR653" s="20" t="n"/>
      <c r="AS653" s="20" t="inlineStr">
        <is>
          <t>None</t>
        </is>
      </c>
      <c r="AT653" s="17" t="n"/>
      <c r="AU653" s="16" t="n"/>
      <c r="AV653" s="20" t="n"/>
      <c r="AW653" s="20" t="inlineStr">
        <is>
          <t>None</t>
        </is>
      </c>
      <c r="AX653" s="17" t="n"/>
      <c r="AY653" s="16" t="n"/>
      <c r="AZ653" s="20" t="inlineStr">
        <is>
          <t>IC Anionen</t>
        </is>
      </c>
      <c r="BA653" s="20" t="inlineStr">
        <is>
          <t>None</t>
        </is>
      </c>
      <c r="BB653" s="17" t="n"/>
      <c r="BC653" s="16" t="n"/>
      <c r="BD653" s="20" t="inlineStr">
        <is>
          <t>IC Kationen</t>
        </is>
      </c>
      <c r="BE653" s="20" t="inlineStr">
        <is>
          <t>None</t>
        </is>
      </c>
      <c r="BF653" s="17" t="n"/>
      <c r="BG653" s="16" t="n"/>
      <c r="BH653" s="20" t="inlineStr">
        <is>
          <t>IC Kationen</t>
        </is>
      </c>
      <c r="BI653" s="20" t="inlineStr">
        <is>
          <t>None</t>
        </is>
      </c>
      <c r="BJ653" s="17" t="n"/>
      <c r="BK653" s="16" t="n"/>
      <c r="BL653" s="20" t="inlineStr">
        <is>
          <t>IC Kationen</t>
        </is>
      </c>
      <c r="BM653" s="20" t="inlineStr">
        <is>
          <t>None</t>
        </is>
      </c>
      <c r="BN653" s="17" t="n"/>
      <c r="BO653" s="16" t="n"/>
      <c r="BP653" s="20" t="inlineStr">
        <is>
          <t>IC Kationen</t>
        </is>
      </c>
      <c r="BQ653" s="20" t="inlineStr">
        <is>
          <t>None</t>
        </is>
      </c>
      <c r="BR653" s="17" t="n"/>
      <c r="BS653" s="16" t="n"/>
      <c r="BT653" s="20" t="inlineStr">
        <is>
          <t>IC Kationen</t>
        </is>
      </c>
      <c r="BU653" s="20" t="inlineStr">
        <is>
          <t>None</t>
        </is>
      </c>
      <c r="BV653" s="17" t="n"/>
      <c r="BW653" s="16" t="n"/>
      <c r="BX653" s="20" t="n"/>
      <c r="BY653" s="20" t="inlineStr">
        <is>
          <t>None</t>
        </is>
      </c>
      <c r="BZ653" s="17" t="n"/>
      <c r="CA653" s="16" t="n"/>
      <c r="CB653" s="20" t="n"/>
      <c r="CC653" s="20" t="inlineStr">
        <is>
          <t>None</t>
        </is>
      </c>
      <c r="CD653" s="17" t="n"/>
      <c r="CE653" s="16" t="n"/>
      <c r="CF653" s="20" t="n"/>
      <c r="CG653" s="20" t="inlineStr">
        <is>
          <t>None</t>
        </is>
      </c>
      <c r="CH653" s="17" t="n"/>
      <c r="CI653" s="16" t="n"/>
      <c r="CJ653" s="20" t="n"/>
      <c r="CK653" s="20" t="inlineStr">
        <is>
          <t>None</t>
        </is>
      </c>
      <c r="CL653" s="17" t="n"/>
      <c r="CM653" s="16" t="n"/>
      <c r="CN653" s="20" t="inlineStr">
        <is>
          <t>SOP 45-34</t>
        </is>
      </c>
      <c r="CO653" s="20" t="inlineStr">
        <is>
          <t>None</t>
        </is>
      </c>
      <c r="CP653" s="17" t="n"/>
      <c r="CQ653" s="16" t="n"/>
      <c r="CR653" s="20" t="n"/>
      <c r="CS653" s="20" t="inlineStr">
        <is>
          <t>None</t>
        </is>
      </c>
      <c r="CT653" s="17" t="n"/>
      <c r="CU653" s="16" t="n"/>
      <c r="CV653" s="20" t="n"/>
      <c r="CW653" s="20" t="inlineStr">
        <is>
          <t>None</t>
        </is>
      </c>
      <c r="CX653" s="17" t="n"/>
      <c r="CY653" s="16" t="n"/>
      <c r="CZ653" s="20" t="inlineStr">
        <is>
          <t>WTW Multimeter 3430 with FDO 925</t>
        </is>
      </c>
      <c r="DA653" s="20" t="inlineStr">
        <is>
          <t>None</t>
        </is>
      </c>
      <c r="DB653" s="17" t="n"/>
      <c r="DC653" s="16" t="n"/>
      <c r="DD653" s="20" t="n"/>
      <c r="DE653" s="20" t="inlineStr">
        <is>
          <t>None</t>
        </is>
      </c>
      <c r="DF653" s="17" t="n"/>
      <c r="DG653" s="16" t="n"/>
      <c r="DH653" s="20" t="inlineStr">
        <is>
          <t>SOP 45-09</t>
        </is>
      </c>
      <c r="DI653" s="20" t="inlineStr">
        <is>
          <t>None</t>
        </is>
      </c>
      <c r="DJ653" s="17" t="n"/>
      <c r="DK653" s="16" t="n"/>
      <c r="DL653" s="20" t="inlineStr">
        <is>
          <t>SOP 45-09 (SOP muss noch angepasst werden für VSS)</t>
        </is>
      </c>
      <c r="DM653" s="20" t="inlineStr">
        <is>
          <t>None</t>
        </is>
      </c>
      <c r="DN653" s="17" t="n"/>
      <c r="DO653" s="16" t="n"/>
      <c r="DP653" s="20" t="inlineStr">
        <is>
          <t>IC Organic Acids</t>
        </is>
      </c>
      <c r="DQ653" s="20" t="inlineStr">
        <is>
          <t>None</t>
        </is>
      </c>
      <c r="DR653" s="17" t="n"/>
      <c r="DS653" s="16" t="n"/>
      <c r="DT653" s="20" t="inlineStr">
        <is>
          <t>IC Organic Acids</t>
        </is>
      </c>
      <c r="DU653" s="20" t="inlineStr">
        <is>
          <t>None</t>
        </is>
      </c>
      <c r="DV653" s="17" t="n"/>
      <c r="DW653" s="16" t="n"/>
      <c r="DX653" s="20" t="inlineStr">
        <is>
          <t>IC Organic Acids</t>
        </is>
      </c>
      <c r="DY653" s="20" t="inlineStr">
        <is>
          <t>None</t>
        </is>
      </c>
      <c r="DZ653" s="17" t="n"/>
      <c r="EA653" s="16" t="n"/>
      <c r="EB653" s="20" t="inlineStr">
        <is>
          <t>IC Organic Acids</t>
        </is>
      </c>
      <c r="EC653" s="20" t="inlineStr">
        <is>
          <t>None</t>
        </is>
      </c>
      <c r="ED653" s="17" t="n"/>
      <c r="EE653" s="16" t="n"/>
      <c r="EF653" s="20" t="inlineStr">
        <is>
          <t>IC Organic Acids</t>
        </is>
      </c>
      <c r="EG653" s="20" t="inlineStr">
        <is>
          <t>None</t>
        </is>
      </c>
      <c r="EH653" s="17" t="n"/>
      <c r="EI653" s="16" t="n"/>
      <c r="EJ653" s="20" t="inlineStr">
        <is>
          <t>IC Organic Acids</t>
        </is>
      </c>
      <c r="EK653" s="20" t="inlineStr">
        <is>
          <t>None</t>
        </is>
      </c>
      <c r="EL653" s="17" t="n"/>
      <c r="EM653" s="16" t="n"/>
      <c r="EN653" s="20" t="inlineStr">
        <is>
          <t>IC Organic Acids</t>
        </is>
      </c>
      <c r="EO653" s="20" t="inlineStr">
        <is>
          <t>None</t>
        </is>
      </c>
      <c r="EP653" s="17" t="n"/>
      <c r="EQ653" s="16" t="n"/>
      <c r="ER653" s="20" t="inlineStr">
        <is>
          <t>IC Organic Acids</t>
        </is>
      </c>
      <c r="ES653" s="20" t="inlineStr">
        <is>
          <t>None</t>
        </is>
      </c>
      <c r="ET653" s="17" t="n"/>
      <c r="EU653" s="16" t="n"/>
      <c r="EV653" s="20" t="inlineStr">
        <is>
          <t>LC-MS</t>
        </is>
      </c>
      <c r="EW653" s="20" t="inlineStr">
        <is>
          <t>None</t>
        </is>
      </c>
      <c r="EX653" s="17" t="n"/>
      <c r="EY653" s="21" t="n"/>
      <c r="EZ653">
        <f>CONCATENATE(A653,B653)</f>
        <v/>
      </c>
      <c r="FA653">
        <f>CONCATENATE(SamplesX!A653,SamplesX!B653)</f>
        <v/>
      </c>
      <c r="FC653">
        <f>MATCH(EZ653,FA1:FA1008,0)</f>
        <v/>
      </c>
    </row>
    <row r="654">
      <c r="A654" s="16" t="n"/>
      <c r="B654" s="17" t="n"/>
      <c r="C654" s="10">
        <f>IF(ISNUMBER(FC654),INDIRECT("SamplesX!C"&amp;FC654),IF(ISNUMBER(FD654),INDIRECT("SamplesY!C"&amp;FD654),""))</f>
        <v/>
      </c>
      <c r="D654" s="12">
        <f>IF(ISNUMBER(FC654),INDIRECT("SamplesX!D"&amp;FC654),IF(ISNUMBER(FD654),INDIRECT("SamplesY!D"&amp;FD654),""))</f>
        <v/>
      </c>
      <c r="E654" s="12">
        <f>IF(ISNUMBER(FC654),INDIRECT("SamplesX!E"&amp;FC654),IF(ISNUMBER(FD654),INDIRECT("SamplesY!E"&amp;FD654),""))</f>
        <v/>
      </c>
      <c r="F654" s="11">
        <f>IF(ISNUMBER(FC654),INDIRECT("SamplesX!F"&amp;FC654),IF(ISNUMBER(FD654),INDIRECT("SamplesY!F"&amp;FD654),""))</f>
        <v/>
      </c>
      <c r="G654" s="18">
        <f>IF(ISNUMBER(FC654),INDIRECT("SamplesX!G"&amp;FC654),IF(ISNUMBER(FD654),INDIRECT("SamplesY!G"&amp;FD654),""))</f>
        <v/>
      </c>
      <c r="H654" s="19">
        <f>IF(ISNUMBER(FC654),INDIRECT("SamplesX!H"&amp;FC654),IF(ISNUMBER(FD654),INDIRECT("SamplesY!H"&amp;FD654),""))</f>
        <v/>
      </c>
      <c r="I654" s="16" t="n"/>
      <c r="J654" s="16" t="n"/>
      <c r="K654" s="16" t="n"/>
      <c r="L654" s="20" t="n"/>
      <c r="M654" s="20" t="inlineStr">
        <is>
          <t>None</t>
        </is>
      </c>
      <c r="N654" s="17" t="n"/>
      <c r="O654" s="16" t="n"/>
      <c r="P654" s="20" t="inlineStr">
        <is>
          <t>Shimadzu TOC-L</t>
        </is>
      </c>
      <c r="Q654" s="20" t="inlineStr">
        <is>
          <t>None</t>
        </is>
      </c>
      <c r="R654" s="17" t="n"/>
      <c r="S654" s="16" t="n"/>
      <c r="T654" s="20" t="inlineStr">
        <is>
          <t>Shimadzu TOC-L</t>
        </is>
      </c>
      <c r="U654" s="20" t="inlineStr">
        <is>
          <t>None</t>
        </is>
      </c>
      <c r="V654" s="17" t="n"/>
      <c r="W654" s="16" t="n"/>
      <c r="X654" s="20" t="n"/>
      <c r="Y654" s="20" t="inlineStr">
        <is>
          <t>None</t>
        </is>
      </c>
      <c r="Z654" s="17" t="n"/>
      <c r="AA654" s="16" t="n"/>
      <c r="AB654" s="20" t="n"/>
      <c r="AC654" s="20" t="inlineStr">
        <is>
          <t>None</t>
        </is>
      </c>
      <c r="AD654" s="17" t="n"/>
      <c r="AE654" s="16" t="n"/>
      <c r="AF654" s="20" t="inlineStr">
        <is>
          <t>IC Anionen</t>
        </is>
      </c>
      <c r="AG654" s="20" t="inlineStr">
        <is>
          <t>None</t>
        </is>
      </c>
      <c r="AH654" s="17" t="n"/>
      <c r="AI654" s="16" t="n"/>
      <c r="AJ654" s="20" t="n"/>
      <c r="AK654" s="20" t="inlineStr">
        <is>
          <t>None</t>
        </is>
      </c>
      <c r="AL654" s="17" t="n"/>
      <c r="AM654" s="16" t="n"/>
      <c r="AN654" s="20" t="inlineStr">
        <is>
          <t>IC Anionen</t>
        </is>
      </c>
      <c r="AO654" s="20" t="inlineStr">
        <is>
          <t>None</t>
        </is>
      </c>
      <c r="AP654" s="17" t="n"/>
      <c r="AQ654" s="16" t="n"/>
      <c r="AR654" s="20" t="n"/>
      <c r="AS654" s="20" t="inlineStr">
        <is>
          <t>None</t>
        </is>
      </c>
      <c r="AT654" s="17" t="n"/>
      <c r="AU654" s="16" t="n"/>
      <c r="AV654" s="20" t="n"/>
      <c r="AW654" s="20" t="inlineStr">
        <is>
          <t>None</t>
        </is>
      </c>
      <c r="AX654" s="17" t="n"/>
      <c r="AY654" s="16" t="n"/>
      <c r="AZ654" s="20" t="inlineStr">
        <is>
          <t>IC Anionen</t>
        </is>
      </c>
      <c r="BA654" s="20" t="inlineStr">
        <is>
          <t>None</t>
        </is>
      </c>
      <c r="BB654" s="17" t="n"/>
      <c r="BC654" s="16" t="n"/>
      <c r="BD654" s="20" t="inlineStr">
        <is>
          <t>IC Kationen</t>
        </is>
      </c>
      <c r="BE654" s="20" t="inlineStr">
        <is>
          <t>None</t>
        </is>
      </c>
      <c r="BF654" s="17" t="n"/>
      <c r="BG654" s="16" t="n"/>
      <c r="BH654" s="20" t="inlineStr">
        <is>
          <t>IC Kationen</t>
        </is>
      </c>
      <c r="BI654" s="20" t="inlineStr">
        <is>
          <t>None</t>
        </is>
      </c>
      <c r="BJ654" s="17" t="n"/>
      <c r="BK654" s="16" t="n"/>
      <c r="BL654" s="20" t="inlineStr">
        <is>
          <t>IC Kationen</t>
        </is>
      </c>
      <c r="BM654" s="20" t="inlineStr">
        <is>
          <t>None</t>
        </is>
      </c>
      <c r="BN654" s="17" t="n"/>
      <c r="BO654" s="16" t="n"/>
      <c r="BP654" s="20" t="inlineStr">
        <is>
          <t>IC Kationen</t>
        </is>
      </c>
      <c r="BQ654" s="20" t="inlineStr">
        <is>
          <t>None</t>
        </is>
      </c>
      <c r="BR654" s="17" t="n"/>
      <c r="BS654" s="16" t="n"/>
      <c r="BT654" s="20" t="inlineStr">
        <is>
          <t>IC Kationen</t>
        </is>
      </c>
      <c r="BU654" s="20" t="inlineStr">
        <is>
          <t>None</t>
        </is>
      </c>
      <c r="BV654" s="17" t="n"/>
      <c r="BW654" s="16" t="n"/>
      <c r="BX654" s="20" t="n"/>
      <c r="BY654" s="20" t="inlineStr">
        <is>
          <t>None</t>
        </is>
      </c>
      <c r="BZ654" s="17" t="n"/>
      <c r="CA654" s="16" t="n"/>
      <c r="CB654" s="20" t="n"/>
      <c r="CC654" s="20" t="inlineStr">
        <is>
          <t>None</t>
        </is>
      </c>
      <c r="CD654" s="17" t="n"/>
      <c r="CE654" s="16" t="n"/>
      <c r="CF654" s="20" t="n"/>
      <c r="CG654" s="20" t="inlineStr">
        <is>
          <t>None</t>
        </is>
      </c>
      <c r="CH654" s="17" t="n"/>
      <c r="CI654" s="16" t="n"/>
      <c r="CJ654" s="20" t="n"/>
      <c r="CK654" s="20" t="inlineStr">
        <is>
          <t>None</t>
        </is>
      </c>
      <c r="CL654" s="17" t="n"/>
      <c r="CM654" s="16" t="n"/>
      <c r="CN654" s="20" t="inlineStr">
        <is>
          <t>SOP 45-34</t>
        </is>
      </c>
      <c r="CO654" s="20" t="inlineStr">
        <is>
          <t>None</t>
        </is>
      </c>
      <c r="CP654" s="17" t="n"/>
      <c r="CQ654" s="16" t="n"/>
      <c r="CR654" s="20" t="n"/>
      <c r="CS654" s="20" t="inlineStr">
        <is>
          <t>None</t>
        </is>
      </c>
      <c r="CT654" s="17" t="n"/>
      <c r="CU654" s="16" t="n"/>
      <c r="CV654" s="20" t="n"/>
      <c r="CW654" s="20" t="inlineStr">
        <is>
          <t>None</t>
        </is>
      </c>
      <c r="CX654" s="17" t="n"/>
      <c r="CY654" s="16" t="n"/>
      <c r="CZ654" s="20" t="inlineStr">
        <is>
          <t>WTW Multimeter 3430 with FDO 925</t>
        </is>
      </c>
      <c r="DA654" s="20" t="inlineStr">
        <is>
          <t>None</t>
        </is>
      </c>
      <c r="DB654" s="17" t="n"/>
      <c r="DC654" s="16" t="n"/>
      <c r="DD654" s="20" t="n"/>
      <c r="DE654" s="20" t="inlineStr">
        <is>
          <t>None</t>
        </is>
      </c>
      <c r="DF654" s="17" t="n"/>
      <c r="DG654" s="16" t="n"/>
      <c r="DH654" s="20" t="inlineStr">
        <is>
          <t>SOP 45-09</t>
        </is>
      </c>
      <c r="DI654" s="20" t="inlineStr">
        <is>
          <t>None</t>
        </is>
      </c>
      <c r="DJ654" s="17" t="n"/>
      <c r="DK654" s="16" t="n"/>
      <c r="DL654" s="20" t="inlineStr">
        <is>
          <t>SOP 45-09 (SOP muss noch angepasst werden für VSS)</t>
        </is>
      </c>
      <c r="DM654" s="20" t="inlineStr">
        <is>
          <t>None</t>
        </is>
      </c>
      <c r="DN654" s="17" t="n"/>
      <c r="DO654" s="16" t="n"/>
      <c r="DP654" s="20" t="inlineStr">
        <is>
          <t>IC Organic Acids</t>
        </is>
      </c>
      <c r="DQ654" s="20" t="inlineStr">
        <is>
          <t>None</t>
        </is>
      </c>
      <c r="DR654" s="17" t="n"/>
      <c r="DS654" s="16" t="n"/>
      <c r="DT654" s="20" t="inlineStr">
        <is>
          <t>IC Organic Acids</t>
        </is>
      </c>
      <c r="DU654" s="20" t="inlineStr">
        <is>
          <t>None</t>
        </is>
      </c>
      <c r="DV654" s="17" t="n"/>
      <c r="DW654" s="16" t="n"/>
      <c r="DX654" s="20" t="inlineStr">
        <is>
          <t>IC Organic Acids</t>
        </is>
      </c>
      <c r="DY654" s="20" t="inlineStr">
        <is>
          <t>None</t>
        </is>
      </c>
      <c r="DZ654" s="17" t="n"/>
      <c r="EA654" s="16" t="n"/>
      <c r="EB654" s="20" t="inlineStr">
        <is>
          <t>IC Organic Acids</t>
        </is>
      </c>
      <c r="EC654" s="20" t="inlineStr">
        <is>
          <t>None</t>
        </is>
      </c>
      <c r="ED654" s="17" t="n"/>
      <c r="EE654" s="16" t="n"/>
      <c r="EF654" s="20" t="inlineStr">
        <is>
          <t>IC Organic Acids</t>
        </is>
      </c>
      <c r="EG654" s="20" t="inlineStr">
        <is>
          <t>None</t>
        </is>
      </c>
      <c r="EH654" s="17" t="n"/>
      <c r="EI654" s="16" t="n"/>
      <c r="EJ654" s="20" t="inlineStr">
        <is>
          <t>IC Organic Acids</t>
        </is>
      </c>
      <c r="EK654" s="20" t="inlineStr">
        <is>
          <t>None</t>
        </is>
      </c>
      <c r="EL654" s="17" t="n"/>
      <c r="EM654" s="16" t="n"/>
      <c r="EN654" s="20" t="inlineStr">
        <is>
          <t>IC Organic Acids</t>
        </is>
      </c>
      <c r="EO654" s="20" t="inlineStr">
        <is>
          <t>None</t>
        </is>
      </c>
      <c r="EP654" s="17" t="n"/>
      <c r="EQ654" s="16" t="n"/>
      <c r="ER654" s="20" t="inlineStr">
        <is>
          <t>IC Organic Acids</t>
        </is>
      </c>
      <c r="ES654" s="20" t="inlineStr">
        <is>
          <t>None</t>
        </is>
      </c>
      <c r="ET654" s="17" t="n"/>
      <c r="EU654" s="16" t="n"/>
      <c r="EV654" s="20" t="inlineStr">
        <is>
          <t>LC-MS</t>
        </is>
      </c>
      <c r="EW654" s="20" t="inlineStr">
        <is>
          <t>None</t>
        </is>
      </c>
      <c r="EX654" s="17" t="n"/>
      <c r="EY654" s="21" t="n"/>
      <c r="EZ654">
        <f>CONCATENATE(A654,B654)</f>
        <v/>
      </c>
      <c r="FA654">
        <f>CONCATENATE(SamplesX!A654,SamplesX!B654)</f>
        <v/>
      </c>
      <c r="FC654">
        <f>MATCH(EZ654,FA1:FA1008,0)</f>
        <v/>
      </c>
    </row>
    <row r="655">
      <c r="A655" s="16" t="n"/>
      <c r="B655" s="17" t="n"/>
      <c r="C655" s="10">
        <f>IF(ISNUMBER(FC655),INDIRECT("SamplesX!C"&amp;FC655),IF(ISNUMBER(FD655),INDIRECT("SamplesY!C"&amp;FD655),""))</f>
        <v/>
      </c>
      <c r="D655" s="12">
        <f>IF(ISNUMBER(FC655),INDIRECT("SamplesX!D"&amp;FC655),IF(ISNUMBER(FD655),INDIRECT("SamplesY!D"&amp;FD655),""))</f>
        <v/>
      </c>
      <c r="E655" s="12">
        <f>IF(ISNUMBER(FC655),INDIRECT("SamplesX!E"&amp;FC655),IF(ISNUMBER(FD655),INDIRECT("SamplesY!E"&amp;FD655),""))</f>
        <v/>
      </c>
      <c r="F655" s="11">
        <f>IF(ISNUMBER(FC655),INDIRECT("SamplesX!F"&amp;FC655),IF(ISNUMBER(FD655),INDIRECT("SamplesY!F"&amp;FD655),""))</f>
        <v/>
      </c>
      <c r="G655" s="18">
        <f>IF(ISNUMBER(FC655),INDIRECT("SamplesX!G"&amp;FC655),IF(ISNUMBER(FD655),INDIRECT("SamplesY!G"&amp;FD655),""))</f>
        <v/>
      </c>
      <c r="H655" s="19">
        <f>IF(ISNUMBER(FC655),INDIRECT("SamplesX!H"&amp;FC655),IF(ISNUMBER(FD655),INDIRECT("SamplesY!H"&amp;FD655),""))</f>
        <v/>
      </c>
      <c r="I655" s="16" t="n"/>
      <c r="J655" s="16" t="n"/>
      <c r="K655" s="16" t="n"/>
      <c r="L655" s="20" t="n"/>
      <c r="M655" s="20" t="inlineStr">
        <is>
          <t>None</t>
        </is>
      </c>
      <c r="N655" s="17" t="n"/>
      <c r="O655" s="16" t="n"/>
      <c r="P655" s="20" t="inlineStr">
        <is>
          <t>Shimadzu TOC-L</t>
        </is>
      </c>
      <c r="Q655" s="20" t="inlineStr">
        <is>
          <t>None</t>
        </is>
      </c>
      <c r="R655" s="17" t="n"/>
      <c r="S655" s="16" t="n"/>
      <c r="T655" s="20" t="inlineStr">
        <is>
          <t>Shimadzu TOC-L</t>
        </is>
      </c>
      <c r="U655" s="20" t="inlineStr">
        <is>
          <t>None</t>
        </is>
      </c>
      <c r="V655" s="17" t="n"/>
      <c r="W655" s="16" t="n"/>
      <c r="X655" s="20" t="n"/>
      <c r="Y655" s="20" t="inlineStr">
        <is>
          <t>None</t>
        </is>
      </c>
      <c r="Z655" s="17" t="n"/>
      <c r="AA655" s="16" t="n"/>
      <c r="AB655" s="20" t="n"/>
      <c r="AC655" s="20" t="inlineStr">
        <is>
          <t>None</t>
        </is>
      </c>
      <c r="AD655" s="17" t="n"/>
      <c r="AE655" s="16" t="n"/>
      <c r="AF655" s="20" t="inlineStr">
        <is>
          <t>IC Anionen</t>
        </is>
      </c>
      <c r="AG655" s="20" t="inlineStr">
        <is>
          <t>None</t>
        </is>
      </c>
      <c r="AH655" s="17" t="n"/>
      <c r="AI655" s="16" t="n"/>
      <c r="AJ655" s="20" t="n"/>
      <c r="AK655" s="20" t="inlineStr">
        <is>
          <t>None</t>
        </is>
      </c>
      <c r="AL655" s="17" t="n"/>
      <c r="AM655" s="16" t="n"/>
      <c r="AN655" s="20" t="inlineStr">
        <is>
          <t>IC Anionen</t>
        </is>
      </c>
      <c r="AO655" s="20" t="inlineStr">
        <is>
          <t>None</t>
        </is>
      </c>
      <c r="AP655" s="17" t="n"/>
      <c r="AQ655" s="16" t="n"/>
      <c r="AR655" s="20" t="n"/>
      <c r="AS655" s="20" t="inlineStr">
        <is>
          <t>None</t>
        </is>
      </c>
      <c r="AT655" s="17" t="n"/>
      <c r="AU655" s="16" t="n"/>
      <c r="AV655" s="20" t="n"/>
      <c r="AW655" s="20" t="inlineStr">
        <is>
          <t>None</t>
        </is>
      </c>
      <c r="AX655" s="17" t="n"/>
      <c r="AY655" s="16" t="n"/>
      <c r="AZ655" s="20" t="inlineStr">
        <is>
          <t>IC Anionen</t>
        </is>
      </c>
      <c r="BA655" s="20" t="inlineStr">
        <is>
          <t>None</t>
        </is>
      </c>
      <c r="BB655" s="17" t="n"/>
      <c r="BC655" s="16" t="n"/>
      <c r="BD655" s="20" t="inlineStr">
        <is>
          <t>IC Kationen</t>
        </is>
      </c>
      <c r="BE655" s="20" t="inlineStr">
        <is>
          <t>None</t>
        </is>
      </c>
      <c r="BF655" s="17" t="n"/>
      <c r="BG655" s="16" t="n"/>
      <c r="BH655" s="20" t="inlineStr">
        <is>
          <t>IC Kationen</t>
        </is>
      </c>
      <c r="BI655" s="20" t="inlineStr">
        <is>
          <t>None</t>
        </is>
      </c>
      <c r="BJ655" s="17" t="n"/>
      <c r="BK655" s="16" t="n"/>
      <c r="BL655" s="20" t="inlineStr">
        <is>
          <t>IC Kationen</t>
        </is>
      </c>
      <c r="BM655" s="20" t="inlineStr">
        <is>
          <t>None</t>
        </is>
      </c>
      <c r="BN655" s="17" t="n"/>
      <c r="BO655" s="16" t="n"/>
      <c r="BP655" s="20" t="inlineStr">
        <is>
          <t>IC Kationen</t>
        </is>
      </c>
      <c r="BQ655" s="20" t="inlineStr">
        <is>
          <t>None</t>
        </is>
      </c>
      <c r="BR655" s="17" t="n"/>
      <c r="BS655" s="16" t="n"/>
      <c r="BT655" s="20" t="inlineStr">
        <is>
          <t>IC Kationen</t>
        </is>
      </c>
      <c r="BU655" s="20" t="inlineStr">
        <is>
          <t>None</t>
        </is>
      </c>
      <c r="BV655" s="17" t="n"/>
      <c r="BW655" s="16" t="n"/>
      <c r="BX655" s="20" t="n"/>
      <c r="BY655" s="20" t="inlineStr">
        <is>
          <t>None</t>
        </is>
      </c>
      <c r="BZ655" s="17" t="n"/>
      <c r="CA655" s="16" t="n"/>
      <c r="CB655" s="20" t="n"/>
      <c r="CC655" s="20" t="inlineStr">
        <is>
          <t>None</t>
        </is>
      </c>
      <c r="CD655" s="17" t="n"/>
      <c r="CE655" s="16" t="n"/>
      <c r="CF655" s="20" t="n"/>
      <c r="CG655" s="20" t="inlineStr">
        <is>
          <t>None</t>
        </is>
      </c>
      <c r="CH655" s="17" t="n"/>
      <c r="CI655" s="16" t="n"/>
      <c r="CJ655" s="20" t="n"/>
      <c r="CK655" s="20" t="inlineStr">
        <is>
          <t>None</t>
        </is>
      </c>
      <c r="CL655" s="17" t="n"/>
      <c r="CM655" s="16" t="n"/>
      <c r="CN655" s="20" t="inlineStr">
        <is>
          <t>SOP 45-34</t>
        </is>
      </c>
      <c r="CO655" s="20" t="inlineStr">
        <is>
          <t>None</t>
        </is>
      </c>
      <c r="CP655" s="17" t="n"/>
      <c r="CQ655" s="16" t="n"/>
      <c r="CR655" s="20" t="n"/>
      <c r="CS655" s="20" t="inlineStr">
        <is>
          <t>None</t>
        </is>
      </c>
      <c r="CT655" s="17" t="n"/>
      <c r="CU655" s="16" t="n"/>
      <c r="CV655" s="20" t="n"/>
      <c r="CW655" s="20" t="inlineStr">
        <is>
          <t>None</t>
        </is>
      </c>
      <c r="CX655" s="17" t="n"/>
      <c r="CY655" s="16" t="n"/>
      <c r="CZ655" s="20" t="inlineStr">
        <is>
          <t>WTW Multimeter 3430 with FDO 925</t>
        </is>
      </c>
      <c r="DA655" s="20" t="inlineStr">
        <is>
          <t>None</t>
        </is>
      </c>
      <c r="DB655" s="17" t="n"/>
      <c r="DC655" s="16" t="n"/>
      <c r="DD655" s="20" t="n"/>
      <c r="DE655" s="20" t="inlineStr">
        <is>
          <t>None</t>
        </is>
      </c>
      <c r="DF655" s="17" t="n"/>
      <c r="DG655" s="16" t="n"/>
      <c r="DH655" s="20" t="inlineStr">
        <is>
          <t>SOP 45-09</t>
        </is>
      </c>
      <c r="DI655" s="20" t="inlineStr">
        <is>
          <t>None</t>
        </is>
      </c>
      <c r="DJ655" s="17" t="n"/>
      <c r="DK655" s="16" t="n"/>
      <c r="DL655" s="20" t="inlineStr">
        <is>
          <t>SOP 45-09 (SOP muss noch angepasst werden für VSS)</t>
        </is>
      </c>
      <c r="DM655" s="20" t="inlineStr">
        <is>
          <t>None</t>
        </is>
      </c>
      <c r="DN655" s="17" t="n"/>
      <c r="DO655" s="16" t="n"/>
      <c r="DP655" s="20" t="inlineStr">
        <is>
          <t>IC Organic Acids</t>
        </is>
      </c>
      <c r="DQ655" s="20" t="inlineStr">
        <is>
          <t>None</t>
        </is>
      </c>
      <c r="DR655" s="17" t="n"/>
      <c r="DS655" s="16" t="n"/>
      <c r="DT655" s="20" t="inlineStr">
        <is>
          <t>IC Organic Acids</t>
        </is>
      </c>
      <c r="DU655" s="20" t="inlineStr">
        <is>
          <t>None</t>
        </is>
      </c>
      <c r="DV655" s="17" t="n"/>
      <c r="DW655" s="16" t="n"/>
      <c r="DX655" s="20" t="inlineStr">
        <is>
          <t>IC Organic Acids</t>
        </is>
      </c>
      <c r="DY655" s="20" t="inlineStr">
        <is>
          <t>None</t>
        </is>
      </c>
      <c r="DZ655" s="17" t="n"/>
      <c r="EA655" s="16" t="n"/>
      <c r="EB655" s="20" t="inlineStr">
        <is>
          <t>IC Organic Acids</t>
        </is>
      </c>
      <c r="EC655" s="20" t="inlineStr">
        <is>
          <t>None</t>
        </is>
      </c>
      <c r="ED655" s="17" t="n"/>
      <c r="EE655" s="16" t="n"/>
      <c r="EF655" s="20" t="inlineStr">
        <is>
          <t>IC Organic Acids</t>
        </is>
      </c>
      <c r="EG655" s="20" t="inlineStr">
        <is>
          <t>None</t>
        </is>
      </c>
      <c r="EH655" s="17" t="n"/>
      <c r="EI655" s="16" t="n"/>
      <c r="EJ655" s="20" t="inlineStr">
        <is>
          <t>IC Organic Acids</t>
        </is>
      </c>
      <c r="EK655" s="20" t="inlineStr">
        <is>
          <t>None</t>
        </is>
      </c>
      <c r="EL655" s="17" t="n"/>
      <c r="EM655" s="16" t="n"/>
      <c r="EN655" s="20" t="inlineStr">
        <is>
          <t>IC Organic Acids</t>
        </is>
      </c>
      <c r="EO655" s="20" t="inlineStr">
        <is>
          <t>None</t>
        </is>
      </c>
      <c r="EP655" s="17" t="n"/>
      <c r="EQ655" s="16" t="n"/>
      <c r="ER655" s="20" t="inlineStr">
        <is>
          <t>IC Organic Acids</t>
        </is>
      </c>
      <c r="ES655" s="20" t="inlineStr">
        <is>
          <t>None</t>
        </is>
      </c>
      <c r="ET655" s="17" t="n"/>
      <c r="EU655" s="16" t="n"/>
      <c r="EV655" s="20" t="inlineStr">
        <is>
          <t>LC-MS</t>
        </is>
      </c>
      <c r="EW655" s="20" t="inlineStr">
        <is>
          <t>None</t>
        </is>
      </c>
      <c r="EX655" s="17" t="n"/>
      <c r="EY655" s="21" t="n"/>
      <c r="EZ655">
        <f>CONCATENATE(A655,B655)</f>
        <v/>
      </c>
      <c r="FA655">
        <f>CONCATENATE(SamplesX!A655,SamplesX!B655)</f>
        <v/>
      </c>
      <c r="FC655">
        <f>MATCH(EZ655,FA1:FA1008,0)</f>
        <v/>
      </c>
    </row>
    <row r="656">
      <c r="A656" s="16" t="n"/>
      <c r="B656" s="17" t="n"/>
      <c r="C656" s="10">
        <f>IF(ISNUMBER(FC656),INDIRECT("SamplesX!C"&amp;FC656),IF(ISNUMBER(FD656),INDIRECT("SamplesY!C"&amp;FD656),""))</f>
        <v/>
      </c>
      <c r="D656" s="12">
        <f>IF(ISNUMBER(FC656),INDIRECT("SamplesX!D"&amp;FC656),IF(ISNUMBER(FD656),INDIRECT("SamplesY!D"&amp;FD656),""))</f>
        <v/>
      </c>
      <c r="E656" s="12">
        <f>IF(ISNUMBER(FC656),INDIRECT("SamplesX!E"&amp;FC656),IF(ISNUMBER(FD656),INDIRECT("SamplesY!E"&amp;FD656),""))</f>
        <v/>
      </c>
      <c r="F656" s="11">
        <f>IF(ISNUMBER(FC656),INDIRECT("SamplesX!F"&amp;FC656),IF(ISNUMBER(FD656),INDIRECT("SamplesY!F"&amp;FD656),""))</f>
        <v/>
      </c>
      <c r="G656" s="18">
        <f>IF(ISNUMBER(FC656),INDIRECT("SamplesX!G"&amp;FC656),IF(ISNUMBER(FD656),INDIRECT("SamplesY!G"&amp;FD656),""))</f>
        <v/>
      </c>
      <c r="H656" s="19">
        <f>IF(ISNUMBER(FC656),INDIRECT("SamplesX!H"&amp;FC656),IF(ISNUMBER(FD656),INDIRECT("SamplesY!H"&amp;FD656),""))</f>
        <v/>
      </c>
      <c r="I656" s="16" t="n"/>
      <c r="J656" s="16" t="n"/>
      <c r="K656" s="16" t="n"/>
      <c r="L656" s="20" t="n"/>
      <c r="M656" s="20" t="inlineStr">
        <is>
          <t>None</t>
        </is>
      </c>
      <c r="N656" s="17" t="n"/>
      <c r="O656" s="16" t="n"/>
      <c r="P656" s="20" t="inlineStr">
        <is>
          <t>Shimadzu TOC-L</t>
        </is>
      </c>
      <c r="Q656" s="20" t="inlineStr">
        <is>
          <t>None</t>
        </is>
      </c>
      <c r="R656" s="17" t="n"/>
      <c r="S656" s="16" t="n"/>
      <c r="T656" s="20" t="inlineStr">
        <is>
          <t>Shimadzu TOC-L</t>
        </is>
      </c>
      <c r="U656" s="20" t="inlineStr">
        <is>
          <t>None</t>
        </is>
      </c>
      <c r="V656" s="17" t="n"/>
      <c r="W656" s="16" t="n"/>
      <c r="X656" s="20" t="n"/>
      <c r="Y656" s="20" t="inlineStr">
        <is>
          <t>None</t>
        </is>
      </c>
      <c r="Z656" s="17" t="n"/>
      <c r="AA656" s="16" t="n"/>
      <c r="AB656" s="20" t="n"/>
      <c r="AC656" s="20" t="inlineStr">
        <is>
          <t>None</t>
        </is>
      </c>
      <c r="AD656" s="17" t="n"/>
      <c r="AE656" s="16" t="n"/>
      <c r="AF656" s="20" t="inlineStr">
        <is>
          <t>IC Anionen</t>
        </is>
      </c>
      <c r="AG656" s="20" t="inlineStr">
        <is>
          <t>None</t>
        </is>
      </c>
      <c r="AH656" s="17" t="n"/>
      <c r="AI656" s="16" t="n"/>
      <c r="AJ656" s="20" t="n"/>
      <c r="AK656" s="20" t="inlineStr">
        <is>
          <t>None</t>
        </is>
      </c>
      <c r="AL656" s="17" t="n"/>
      <c r="AM656" s="16" t="n"/>
      <c r="AN656" s="20" t="inlineStr">
        <is>
          <t>IC Anionen</t>
        </is>
      </c>
      <c r="AO656" s="20" t="inlineStr">
        <is>
          <t>None</t>
        </is>
      </c>
      <c r="AP656" s="17" t="n"/>
      <c r="AQ656" s="16" t="n"/>
      <c r="AR656" s="20" t="n"/>
      <c r="AS656" s="20" t="inlineStr">
        <is>
          <t>None</t>
        </is>
      </c>
      <c r="AT656" s="17" t="n"/>
      <c r="AU656" s="16" t="n"/>
      <c r="AV656" s="20" t="n"/>
      <c r="AW656" s="20" t="inlineStr">
        <is>
          <t>None</t>
        </is>
      </c>
      <c r="AX656" s="17" t="n"/>
      <c r="AY656" s="16" t="n"/>
      <c r="AZ656" s="20" t="inlineStr">
        <is>
          <t>IC Anionen</t>
        </is>
      </c>
      <c r="BA656" s="20" t="inlineStr">
        <is>
          <t>None</t>
        </is>
      </c>
      <c r="BB656" s="17" t="n"/>
      <c r="BC656" s="16" t="n"/>
      <c r="BD656" s="20" t="inlineStr">
        <is>
          <t>IC Kationen</t>
        </is>
      </c>
      <c r="BE656" s="20" t="inlineStr">
        <is>
          <t>None</t>
        </is>
      </c>
      <c r="BF656" s="17" t="n"/>
      <c r="BG656" s="16" t="n"/>
      <c r="BH656" s="20" t="inlineStr">
        <is>
          <t>IC Kationen</t>
        </is>
      </c>
      <c r="BI656" s="20" t="inlineStr">
        <is>
          <t>None</t>
        </is>
      </c>
      <c r="BJ656" s="17" t="n"/>
      <c r="BK656" s="16" t="n"/>
      <c r="BL656" s="20" t="inlineStr">
        <is>
          <t>IC Kationen</t>
        </is>
      </c>
      <c r="BM656" s="20" t="inlineStr">
        <is>
          <t>None</t>
        </is>
      </c>
      <c r="BN656" s="17" t="n"/>
      <c r="BO656" s="16" t="n"/>
      <c r="BP656" s="20" t="inlineStr">
        <is>
          <t>IC Kationen</t>
        </is>
      </c>
      <c r="BQ656" s="20" t="inlineStr">
        <is>
          <t>None</t>
        </is>
      </c>
      <c r="BR656" s="17" t="n"/>
      <c r="BS656" s="16" t="n"/>
      <c r="BT656" s="20" t="inlineStr">
        <is>
          <t>IC Kationen</t>
        </is>
      </c>
      <c r="BU656" s="20" t="inlineStr">
        <is>
          <t>None</t>
        </is>
      </c>
      <c r="BV656" s="17" t="n"/>
      <c r="BW656" s="16" t="n"/>
      <c r="BX656" s="20" t="n"/>
      <c r="BY656" s="20" t="inlineStr">
        <is>
          <t>None</t>
        </is>
      </c>
      <c r="BZ656" s="17" t="n"/>
      <c r="CA656" s="16" t="n"/>
      <c r="CB656" s="20" t="n"/>
      <c r="CC656" s="20" t="inlineStr">
        <is>
          <t>None</t>
        </is>
      </c>
      <c r="CD656" s="17" t="n"/>
      <c r="CE656" s="16" t="n"/>
      <c r="CF656" s="20" t="n"/>
      <c r="CG656" s="20" t="inlineStr">
        <is>
          <t>None</t>
        </is>
      </c>
      <c r="CH656" s="17" t="n"/>
      <c r="CI656" s="16" t="n"/>
      <c r="CJ656" s="20" t="n"/>
      <c r="CK656" s="20" t="inlineStr">
        <is>
          <t>None</t>
        </is>
      </c>
      <c r="CL656" s="17" t="n"/>
      <c r="CM656" s="16" t="n"/>
      <c r="CN656" s="20" t="inlineStr">
        <is>
          <t>SOP 45-34</t>
        </is>
      </c>
      <c r="CO656" s="20" t="inlineStr">
        <is>
          <t>None</t>
        </is>
      </c>
      <c r="CP656" s="17" t="n"/>
      <c r="CQ656" s="16" t="n"/>
      <c r="CR656" s="20" t="n"/>
      <c r="CS656" s="20" t="inlineStr">
        <is>
          <t>None</t>
        </is>
      </c>
      <c r="CT656" s="17" t="n"/>
      <c r="CU656" s="16" t="n"/>
      <c r="CV656" s="20" t="n"/>
      <c r="CW656" s="20" t="inlineStr">
        <is>
          <t>None</t>
        </is>
      </c>
      <c r="CX656" s="17" t="n"/>
      <c r="CY656" s="16" t="n"/>
      <c r="CZ656" s="20" t="inlineStr">
        <is>
          <t>WTW Multimeter 3430 with FDO 925</t>
        </is>
      </c>
      <c r="DA656" s="20" t="inlineStr">
        <is>
          <t>None</t>
        </is>
      </c>
      <c r="DB656" s="17" t="n"/>
      <c r="DC656" s="16" t="n"/>
      <c r="DD656" s="20" t="n"/>
      <c r="DE656" s="20" t="inlineStr">
        <is>
          <t>None</t>
        </is>
      </c>
      <c r="DF656" s="17" t="n"/>
      <c r="DG656" s="16" t="n"/>
      <c r="DH656" s="20" t="inlineStr">
        <is>
          <t>SOP 45-09</t>
        </is>
      </c>
      <c r="DI656" s="20" t="inlineStr">
        <is>
          <t>None</t>
        </is>
      </c>
      <c r="DJ656" s="17" t="n"/>
      <c r="DK656" s="16" t="n"/>
      <c r="DL656" s="20" t="inlineStr">
        <is>
          <t>SOP 45-09 (SOP muss noch angepasst werden für VSS)</t>
        </is>
      </c>
      <c r="DM656" s="20" t="inlineStr">
        <is>
          <t>None</t>
        </is>
      </c>
      <c r="DN656" s="17" t="n"/>
      <c r="DO656" s="16" t="n"/>
      <c r="DP656" s="20" t="inlineStr">
        <is>
          <t>IC Organic Acids</t>
        </is>
      </c>
      <c r="DQ656" s="20" t="inlineStr">
        <is>
          <t>None</t>
        </is>
      </c>
      <c r="DR656" s="17" t="n"/>
      <c r="DS656" s="16" t="n"/>
      <c r="DT656" s="20" t="inlineStr">
        <is>
          <t>IC Organic Acids</t>
        </is>
      </c>
      <c r="DU656" s="20" t="inlineStr">
        <is>
          <t>None</t>
        </is>
      </c>
      <c r="DV656" s="17" t="n"/>
      <c r="DW656" s="16" t="n"/>
      <c r="DX656" s="20" t="inlineStr">
        <is>
          <t>IC Organic Acids</t>
        </is>
      </c>
      <c r="DY656" s="20" t="inlineStr">
        <is>
          <t>None</t>
        </is>
      </c>
      <c r="DZ656" s="17" t="n"/>
      <c r="EA656" s="16" t="n"/>
      <c r="EB656" s="20" t="inlineStr">
        <is>
          <t>IC Organic Acids</t>
        </is>
      </c>
      <c r="EC656" s="20" t="inlineStr">
        <is>
          <t>None</t>
        </is>
      </c>
      <c r="ED656" s="17" t="n"/>
      <c r="EE656" s="16" t="n"/>
      <c r="EF656" s="20" t="inlineStr">
        <is>
          <t>IC Organic Acids</t>
        </is>
      </c>
      <c r="EG656" s="20" t="inlineStr">
        <is>
          <t>None</t>
        </is>
      </c>
      <c r="EH656" s="17" t="n"/>
      <c r="EI656" s="16" t="n"/>
      <c r="EJ656" s="20" t="inlineStr">
        <is>
          <t>IC Organic Acids</t>
        </is>
      </c>
      <c r="EK656" s="20" t="inlineStr">
        <is>
          <t>None</t>
        </is>
      </c>
      <c r="EL656" s="17" t="n"/>
      <c r="EM656" s="16" t="n"/>
      <c r="EN656" s="20" t="inlineStr">
        <is>
          <t>IC Organic Acids</t>
        </is>
      </c>
      <c r="EO656" s="20" t="inlineStr">
        <is>
          <t>None</t>
        </is>
      </c>
      <c r="EP656" s="17" t="n"/>
      <c r="EQ656" s="16" t="n"/>
      <c r="ER656" s="20" t="inlineStr">
        <is>
          <t>IC Organic Acids</t>
        </is>
      </c>
      <c r="ES656" s="20" t="inlineStr">
        <is>
          <t>None</t>
        </is>
      </c>
      <c r="ET656" s="17" t="n"/>
      <c r="EU656" s="16" t="n"/>
      <c r="EV656" s="20" t="inlineStr">
        <is>
          <t>LC-MS</t>
        </is>
      </c>
      <c r="EW656" s="20" t="inlineStr">
        <is>
          <t>None</t>
        </is>
      </c>
      <c r="EX656" s="17" t="n"/>
      <c r="EY656" s="21" t="n"/>
      <c r="EZ656">
        <f>CONCATENATE(A656,B656)</f>
        <v/>
      </c>
      <c r="FA656">
        <f>CONCATENATE(SamplesX!A656,SamplesX!B656)</f>
        <v/>
      </c>
      <c r="FC656">
        <f>MATCH(EZ656,FA1:FA1008,0)</f>
        <v/>
      </c>
    </row>
    <row r="657">
      <c r="A657" s="16" t="n"/>
      <c r="B657" s="17" t="n"/>
      <c r="C657" s="10">
        <f>IF(ISNUMBER(FC657),INDIRECT("SamplesX!C"&amp;FC657),IF(ISNUMBER(FD657),INDIRECT("SamplesY!C"&amp;FD657),""))</f>
        <v/>
      </c>
      <c r="D657" s="12">
        <f>IF(ISNUMBER(FC657),INDIRECT("SamplesX!D"&amp;FC657),IF(ISNUMBER(FD657),INDIRECT("SamplesY!D"&amp;FD657),""))</f>
        <v/>
      </c>
      <c r="E657" s="12">
        <f>IF(ISNUMBER(FC657),INDIRECT("SamplesX!E"&amp;FC657),IF(ISNUMBER(FD657),INDIRECT("SamplesY!E"&amp;FD657),""))</f>
        <v/>
      </c>
      <c r="F657" s="11">
        <f>IF(ISNUMBER(FC657),INDIRECT("SamplesX!F"&amp;FC657),IF(ISNUMBER(FD657),INDIRECT("SamplesY!F"&amp;FD657),""))</f>
        <v/>
      </c>
      <c r="G657" s="18">
        <f>IF(ISNUMBER(FC657),INDIRECT("SamplesX!G"&amp;FC657),IF(ISNUMBER(FD657),INDIRECT("SamplesY!G"&amp;FD657),""))</f>
        <v/>
      </c>
      <c r="H657" s="19">
        <f>IF(ISNUMBER(FC657),INDIRECT("SamplesX!H"&amp;FC657),IF(ISNUMBER(FD657),INDIRECT("SamplesY!H"&amp;FD657),""))</f>
        <v/>
      </c>
      <c r="I657" s="16" t="n"/>
      <c r="J657" s="16" t="n"/>
      <c r="K657" s="16" t="n"/>
      <c r="L657" s="20" t="n"/>
      <c r="M657" s="20" t="inlineStr">
        <is>
          <t>None</t>
        </is>
      </c>
      <c r="N657" s="17" t="n"/>
      <c r="O657" s="16" t="n"/>
      <c r="P657" s="20" t="inlineStr">
        <is>
          <t>Shimadzu TOC-L</t>
        </is>
      </c>
      <c r="Q657" s="20" t="inlineStr">
        <is>
          <t>None</t>
        </is>
      </c>
      <c r="R657" s="17" t="n"/>
      <c r="S657" s="16" t="n"/>
      <c r="T657" s="20" t="inlineStr">
        <is>
          <t>Shimadzu TOC-L</t>
        </is>
      </c>
      <c r="U657" s="20" t="inlineStr">
        <is>
          <t>None</t>
        </is>
      </c>
      <c r="V657" s="17" t="n"/>
      <c r="W657" s="16" t="n"/>
      <c r="X657" s="20" t="n"/>
      <c r="Y657" s="20" t="inlineStr">
        <is>
          <t>None</t>
        </is>
      </c>
      <c r="Z657" s="17" t="n"/>
      <c r="AA657" s="16" t="n"/>
      <c r="AB657" s="20" t="n"/>
      <c r="AC657" s="20" t="inlineStr">
        <is>
          <t>None</t>
        </is>
      </c>
      <c r="AD657" s="17" t="n"/>
      <c r="AE657" s="16" t="n"/>
      <c r="AF657" s="20" t="inlineStr">
        <is>
          <t>IC Anionen</t>
        </is>
      </c>
      <c r="AG657" s="20" t="inlineStr">
        <is>
          <t>None</t>
        </is>
      </c>
      <c r="AH657" s="17" t="n"/>
      <c r="AI657" s="16" t="n"/>
      <c r="AJ657" s="20" t="n"/>
      <c r="AK657" s="20" t="inlineStr">
        <is>
          <t>None</t>
        </is>
      </c>
      <c r="AL657" s="17" t="n"/>
      <c r="AM657" s="16" t="n"/>
      <c r="AN657" s="20" t="inlineStr">
        <is>
          <t>IC Anionen</t>
        </is>
      </c>
      <c r="AO657" s="20" t="inlineStr">
        <is>
          <t>None</t>
        </is>
      </c>
      <c r="AP657" s="17" t="n"/>
      <c r="AQ657" s="16" t="n"/>
      <c r="AR657" s="20" t="n"/>
      <c r="AS657" s="20" t="inlineStr">
        <is>
          <t>None</t>
        </is>
      </c>
      <c r="AT657" s="17" t="n"/>
      <c r="AU657" s="16" t="n"/>
      <c r="AV657" s="20" t="n"/>
      <c r="AW657" s="20" t="inlineStr">
        <is>
          <t>None</t>
        </is>
      </c>
      <c r="AX657" s="17" t="n"/>
      <c r="AY657" s="16" t="n"/>
      <c r="AZ657" s="20" t="inlineStr">
        <is>
          <t>IC Anionen</t>
        </is>
      </c>
      <c r="BA657" s="20" t="inlineStr">
        <is>
          <t>None</t>
        </is>
      </c>
      <c r="BB657" s="17" t="n"/>
      <c r="BC657" s="16" t="n"/>
      <c r="BD657" s="20" t="inlineStr">
        <is>
          <t>IC Kationen</t>
        </is>
      </c>
      <c r="BE657" s="20" t="inlineStr">
        <is>
          <t>None</t>
        </is>
      </c>
      <c r="BF657" s="17" t="n"/>
      <c r="BG657" s="16" t="n"/>
      <c r="BH657" s="20" t="inlineStr">
        <is>
          <t>IC Kationen</t>
        </is>
      </c>
      <c r="BI657" s="20" t="inlineStr">
        <is>
          <t>None</t>
        </is>
      </c>
      <c r="BJ657" s="17" t="n"/>
      <c r="BK657" s="16" t="n"/>
      <c r="BL657" s="20" t="inlineStr">
        <is>
          <t>IC Kationen</t>
        </is>
      </c>
      <c r="BM657" s="20" t="inlineStr">
        <is>
          <t>None</t>
        </is>
      </c>
      <c r="BN657" s="17" t="n"/>
      <c r="BO657" s="16" t="n"/>
      <c r="BP657" s="20" t="inlineStr">
        <is>
          <t>IC Kationen</t>
        </is>
      </c>
      <c r="BQ657" s="20" t="inlineStr">
        <is>
          <t>None</t>
        </is>
      </c>
      <c r="BR657" s="17" t="n"/>
      <c r="BS657" s="16" t="n"/>
      <c r="BT657" s="20" t="inlineStr">
        <is>
          <t>IC Kationen</t>
        </is>
      </c>
      <c r="BU657" s="20" t="inlineStr">
        <is>
          <t>None</t>
        </is>
      </c>
      <c r="BV657" s="17" t="n"/>
      <c r="BW657" s="16" t="n"/>
      <c r="BX657" s="20" t="n"/>
      <c r="BY657" s="20" t="inlineStr">
        <is>
          <t>None</t>
        </is>
      </c>
      <c r="BZ657" s="17" t="n"/>
      <c r="CA657" s="16" t="n"/>
      <c r="CB657" s="20" t="n"/>
      <c r="CC657" s="20" t="inlineStr">
        <is>
          <t>None</t>
        </is>
      </c>
      <c r="CD657" s="17" t="n"/>
      <c r="CE657" s="16" t="n"/>
      <c r="CF657" s="20" t="n"/>
      <c r="CG657" s="20" t="inlineStr">
        <is>
          <t>None</t>
        </is>
      </c>
      <c r="CH657" s="17" t="n"/>
      <c r="CI657" s="16" t="n"/>
      <c r="CJ657" s="20" t="n"/>
      <c r="CK657" s="20" t="inlineStr">
        <is>
          <t>None</t>
        </is>
      </c>
      <c r="CL657" s="17" t="n"/>
      <c r="CM657" s="16" t="n"/>
      <c r="CN657" s="20" t="inlineStr">
        <is>
          <t>SOP 45-34</t>
        </is>
      </c>
      <c r="CO657" s="20" t="inlineStr">
        <is>
          <t>None</t>
        </is>
      </c>
      <c r="CP657" s="17" t="n"/>
      <c r="CQ657" s="16" t="n"/>
      <c r="CR657" s="20" t="n"/>
      <c r="CS657" s="20" t="inlineStr">
        <is>
          <t>None</t>
        </is>
      </c>
      <c r="CT657" s="17" t="n"/>
      <c r="CU657" s="16" t="n"/>
      <c r="CV657" s="20" t="n"/>
      <c r="CW657" s="20" t="inlineStr">
        <is>
          <t>None</t>
        </is>
      </c>
      <c r="CX657" s="17" t="n"/>
      <c r="CY657" s="16" t="n"/>
      <c r="CZ657" s="20" t="inlineStr">
        <is>
          <t>WTW Multimeter 3430 with FDO 925</t>
        </is>
      </c>
      <c r="DA657" s="20" t="inlineStr">
        <is>
          <t>None</t>
        </is>
      </c>
      <c r="DB657" s="17" t="n"/>
      <c r="DC657" s="16" t="n"/>
      <c r="DD657" s="20" t="n"/>
      <c r="DE657" s="20" t="inlineStr">
        <is>
          <t>None</t>
        </is>
      </c>
      <c r="DF657" s="17" t="n"/>
      <c r="DG657" s="16" t="n"/>
      <c r="DH657" s="20" t="inlineStr">
        <is>
          <t>SOP 45-09</t>
        </is>
      </c>
      <c r="DI657" s="20" t="inlineStr">
        <is>
          <t>None</t>
        </is>
      </c>
      <c r="DJ657" s="17" t="n"/>
      <c r="DK657" s="16" t="n"/>
      <c r="DL657" s="20" t="inlineStr">
        <is>
          <t>SOP 45-09 (SOP muss noch angepasst werden für VSS)</t>
        </is>
      </c>
      <c r="DM657" s="20" t="inlineStr">
        <is>
          <t>None</t>
        </is>
      </c>
      <c r="DN657" s="17" t="n"/>
      <c r="DO657" s="16" t="n"/>
      <c r="DP657" s="20" t="inlineStr">
        <is>
          <t>IC Organic Acids</t>
        </is>
      </c>
      <c r="DQ657" s="20" t="inlineStr">
        <is>
          <t>None</t>
        </is>
      </c>
      <c r="DR657" s="17" t="n"/>
      <c r="DS657" s="16" t="n"/>
      <c r="DT657" s="20" t="inlineStr">
        <is>
          <t>IC Organic Acids</t>
        </is>
      </c>
      <c r="DU657" s="20" t="inlineStr">
        <is>
          <t>None</t>
        </is>
      </c>
      <c r="DV657" s="17" t="n"/>
      <c r="DW657" s="16" t="n"/>
      <c r="DX657" s="20" t="inlineStr">
        <is>
          <t>IC Organic Acids</t>
        </is>
      </c>
      <c r="DY657" s="20" t="inlineStr">
        <is>
          <t>None</t>
        </is>
      </c>
      <c r="DZ657" s="17" t="n"/>
      <c r="EA657" s="16" t="n"/>
      <c r="EB657" s="20" t="inlineStr">
        <is>
          <t>IC Organic Acids</t>
        </is>
      </c>
      <c r="EC657" s="20" t="inlineStr">
        <is>
          <t>None</t>
        </is>
      </c>
      <c r="ED657" s="17" t="n"/>
      <c r="EE657" s="16" t="n"/>
      <c r="EF657" s="20" t="inlineStr">
        <is>
          <t>IC Organic Acids</t>
        </is>
      </c>
      <c r="EG657" s="20" t="inlineStr">
        <is>
          <t>None</t>
        </is>
      </c>
      <c r="EH657" s="17" t="n"/>
      <c r="EI657" s="16" t="n"/>
      <c r="EJ657" s="20" t="inlineStr">
        <is>
          <t>IC Organic Acids</t>
        </is>
      </c>
      <c r="EK657" s="20" t="inlineStr">
        <is>
          <t>None</t>
        </is>
      </c>
      <c r="EL657" s="17" t="n"/>
      <c r="EM657" s="16" t="n"/>
      <c r="EN657" s="20" t="inlineStr">
        <is>
          <t>IC Organic Acids</t>
        </is>
      </c>
      <c r="EO657" s="20" t="inlineStr">
        <is>
          <t>None</t>
        </is>
      </c>
      <c r="EP657" s="17" t="n"/>
      <c r="EQ657" s="16" t="n"/>
      <c r="ER657" s="20" t="inlineStr">
        <is>
          <t>IC Organic Acids</t>
        </is>
      </c>
      <c r="ES657" s="20" t="inlineStr">
        <is>
          <t>None</t>
        </is>
      </c>
      <c r="ET657" s="17" t="n"/>
      <c r="EU657" s="16" t="n"/>
      <c r="EV657" s="20" t="inlineStr">
        <is>
          <t>LC-MS</t>
        </is>
      </c>
      <c r="EW657" s="20" t="inlineStr">
        <is>
          <t>None</t>
        </is>
      </c>
      <c r="EX657" s="17" t="n"/>
      <c r="EY657" s="21" t="n"/>
      <c r="EZ657">
        <f>CONCATENATE(A657,B657)</f>
        <v/>
      </c>
      <c r="FA657">
        <f>CONCATENATE(SamplesX!A657,SamplesX!B657)</f>
        <v/>
      </c>
      <c r="FC657">
        <f>MATCH(EZ657,FA1:FA1008,0)</f>
        <v/>
      </c>
    </row>
    <row r="658">
      <c r="A658" s="16" t="n"/>
      <c r="B658" s="17" t="n"/>
      <c r="C658" s="10">
        <f>IF(ISNUMBER(FC658),INDIRECT("SamplesX!C"&amp;FC658),IF(ISNUMBER(FD658),INDIRECT("SamplesY!C"&amp;FD658),""))</f>
        <v/>
      </c>
      <c r="D658" s="12">
        <f>IF(ISNUMBER(FC658),INDIRECT("SamplesX!D"&amp;FC658),IF(ISNUMBER(FD658),INDIRECT("SamplesY!D"&amp;FD658),""))</f>
        <v/>
      </c>
      <c r="E658" s="12">
        <f>IF(ISNUMBER(FC658),INDIRECT("SamplesX!E"&amp;FC658),IF(ISNUMBER(FD658),INDIRECT("SamplesY!E"&amp;FD658),""))</f>
        <v/>
      </c>
      <c r="F658" s="11">
        <f>IF(ISNUMBER(FC658),INDIRECT("SamplesX!F"&amp;FC658),IF(ISNUMBER(FD658),INDIRECT("SamplesY!F"&amp;FD658),""))</f>
        <v/>
      </c>
      <c r="G658" s="18">
        <f>IF(ISNUMBER(FC658),INDIRECT("SamplesX!G"&amp;FC658),IF(ISNUMBER(FD658),INDIRECT("SamplesY!G"&amp;FD658),""))</f>
        <v/>
      </c>
      <c r="H658" s="19">
        <f>IF(ISNUMBER(FC658),INDIRECT("SamplesX!H"&amp;FC658),IF(ISNUMBER(FD658),INDIRECT("SamplesY!H"&amp;FD658),""))</f>
        <v/>
      </c>
      <c r="I658" s="16" t="n"/>
      <c r="J658" s="16" t="n"/>
      <c r="K658" s="16" t="n"/>
      <c r="L658" s="20" t="n"/>
      <c r="M658" s="20" t="inlineStr">
        <is>
          <t>None</t>
        </is>
      </c>
      <c r="N658" s="17" t="n"/>
      <c r="O658" s="16" t="n"/>
      <c r="P658" s="20" t="inlineStr">
        <is>
          <t>Shimadzu TOC-L</t>
        </is>
      </c>
      <c r="Q658" s="20" t="inlineStr">
        <is>
          <t>None</t>
        </is>
      </c>
      <c r="R658" s="17" t="n"/>
      <c r="S658" s="16" t="n"/>
      <c r="T658" s="20" t="inlineStr">
        <is>
          <t>Shimadzu TOC-L</t>
        </is>
      </c>
      <c r="U658" s="20" t="inlineStr">
        <is>
          <t>None</t>
        </is>
      </c>
      <c r="V658" s="17" t="n"/>
      <c r="W658" s="16" t="n"/>
      <c r="X658" s="20" t="n"/>
      <c r="Y658" s="20" t="inlineStr">
        <is>
          <t>None</t>
        </is>
      </c>
      <c r="Z658" s="17" t="n"/>
      <c r="AA658" s="16" t="n"/>
      <c r="AB658" s="20" t="n"/>
      <c r="AC658" s="20" t="inlineStr">
        <is>
          <t>None</t>
        </is>
      </c>
      <c r="AD658" s="17" t="n"/>
      <c r="AE658" s="16" t="n"/>
      <c r="AF658" s="20" t="inlineStr">
        <is>
          <t>IC Anionen</t>
        </is>
      </c>
      <c r="AG658" s="20" t="inlineStr">
        <is>
          <t>None</t>
        </is>
      </c>
      <c r="AH658" s="17" t="n"/>
      <c r="AI658" s="16" t="n"/>
      <c r="AJ658" s="20" t="n"/>
      <c r="AK658" s="20" t="inlineStr">
        <is>
          <t>None</t>
        </is>
      </c>
      <c r="AL658" s="17" t="n"/>
      <c r="AM658" s="16" t="n"/>
      <c r="AN658" s="20" t="inlineStr">
        <is>
          <t>IC Anionen</t>
        </is>
      </c>
      <c r="AO658" s="20" t="inlineStr">
        <is>
          <t>None</t>
        </is>
      </c>
      <c r="AP658" s="17" t="n"/>
      <c r="AQ658" s="16" t="n"/>
      <c r="AR658" s="20" t="n"/>
      <c r="AS658" s="20" t="inlineStr">
        <is>
          <t>None</t>
        </is>
      </c>
      <c r="AT658" s="17" t="n"/>
      <c r="AU658" s="16" t="n"/>
      <c r="AV658" s="20" t="n"/>
      <c r="AW658" s="20" t="inlineStr">
        <is>
          <t>None</t>
        </is>
      </c>
      <c r="AX658" s="17" t="n"/>
      <c r="AY658" s="16" t="n"/>
      <c r="AZ658" s="20" t="inlineStr">
        <is>
          <t>IC Anionen</t>
        </is>
      </c>
      <c r="BA658" s="20" t="inlineStr">
        <is>
          <t>None</t>
        </is>
      </c>
      <c r="BB658" s="17" t="n"/>
      <c r="BC658" s="16" t="n"/>
      <c r="BD658" s="20" t="inlineStr">
        <is>
          <t>IC Kationen</t>
        </is>
      </c>
      <c r="BE658" s="20" t="inlineStr">
        <is>
          <t>None</t>
        </is>
      </c>
      <c r="BF658" s="17" t="n"/>
      <c r="BG658" s="16" t="n"/>
      <c r="BH658" s="20" t="inlineStr">
        <is>
          <t>IC Kationen</t>
        </is>
      </c>
      <c r="BI658" s="20" t="inlineStr">
        <is>
          <t>None</t>
        </is>
      </c>
      <c r="BJ658" s="17" t="n"/>
      <c r="BK658" s="16" t="n"/>
      <c r="BL658" s="20" t="inlineStr">
        <is>
          <t>IC Kationen</t>
        </is>
      </c>
      <c r="BM658" s="20" t="inlineStr">
        <is>
          <t>None</t>
        </is>
      </c>
      <c r="BN658" s="17" t="n"/>
      <c r="BO658" s="16" t="n"/>
      <c r="BP658" s="20" t="inlineStr">
        <is>
          <t>IC Kationen</t>
        </is>
      </c>
      <c r="BQ658" s="20" t="inlineStr">
        <is>
          <t>None</t>
        </is>
      </c>
      <c r="BR658" s="17" t="n"/>
      <c r="BS658" s="16" t="n"/>
      <c r="BT658" s="20" t="inlineStr">
        <is>
          <t>IC Kationen</t>
        </is>
      </c>
      <c r="BU658" s="20" t="inlineStr">
        <is>
          <t>None</t>
        </is>
      </c>
      <c r="BV658" s="17" t="n"/>
      <c r="BW658" s="16" t="n"/>
      <c r="BX658" s="20" t="n"/>
      <c r="BY658" s="20" t="inlineStr">
        <is>
          <t>None</t>
        </is>
      </c>
      <c r="BZ658" s="17" t="n"/>
      <c r="CA658" s="16" t="n"/>
      <c r="CB658" s="20" t="n"/>
      <c r="CC658" s="20" t="inlineStr">
        <is>
          <t>None</t>
        </is>
      </c>
      <c r="CD658" s="17" t="n"/>
      <c r="CE658" s="16" t="n"/>
      <c r="CF658" s="20" t="n"/>
      <c r="CG658" s="20" t="inlineStr">
        <is>
          <t>None</t>
        </is>
      </c>
      <c r="CH658" s="17" t="n"/>
      <c r="CI658" s="16" t="n"/>
      <c r="CJ658" s="20" t="n"/>
      <c r="CK658" s="20" t="inlineStr">
        <is>
          <t>None</t>
        </is>
      </c>
      <c r="CL658" s="17" t="n"/>
      <c r="CM658" s="16" t="n"/>
      <c r="CN658" s="20" t="inlineStr">
        <is>
          <t>SOP 45-34</t>
        </is>
      </c>
      <c r="CO658" s="20" t="inlineStr">
        <is>
          <t>None</t>
        </is>
      </c>
      <c r="CP658" s="17" t="n"/>
      <c r="CQ658" s="16" t="n"/>
      <c r="CR658" s="20" t="n"/>
      <c r="CS658" s="20" t="inlineStr">
        <is>
          <t>None</t>
        </is>
      </c>
      <c r="CT658" s="17" t="n"/>
      <c r="CU658" s="16" t="n"/>
      <c r="CV658" s="20" t="n"/>
      <c r="CW658" s="20" t="inlineStr">
        <is>
          <t>None</t>
        </is>
      </c>
      <c r="CX658" s="17" t="n"/>
      <c r="CY658" s="16" t="n"/>
      <c r="CZ658" s="20" t="inlineStr">
        <is>
          <t>WTW Multimeter 3430 with FDO 925</t>
        </is>
      </c>
      <c r="DA658" s="20" t="inlineStr">
        <is>
          <t>None</t>
        </is>
      </c>
      <c r="DB658" s="17" t="n"/>
      <c r="DC658" s="16" t="n"/>
      <c r="DD658" s="20" t="n"/>
      <c r="DE658" s="20" t="inlineStr">
        <is>
          <t>None</t>
        </is>
      </c>
      <c r="DF658" s="17" t="n"/>
      <c r="DG658" s="16" t="n"/>
      <c r="DH658" s="20" t="inlineStr">
        <is>
          <t>SOP 45-09</t>
        </is>
      </c>
      <c r="DI658" s="20" t="inlineStr">
        <is>
          <t>None</t>
        </is>
      </c>
      <c r="DJ658" s="17" t="n"/>
      <c r="DK658" s="16" t="n"/>
      <c r="DL658" s="20" t="inlineStr">
        <is>
          <t>SOP 45-09 (SOP muss noch angepasst werden für VSS)</t>
        </is>
      </c>
      <c r="DM658" s="20" t="inlineStr">
        <is>
          <t>None</t>
        </is>
      </c>
      <c r="DN658" s="17" t="n"/>
      <c r="DO658" s="16" t="n"/>
      <c r="DP658" s="20" t="inlineStr">
        <is>
          <t>IC Organic Acids</t>
        </is>
      </c>
      <c r="DQ658" s="20" t="inlineStr">
        <is>
          <t>None</t>
        </is>
      </c>
      <c r="DR658" s="17" t="n"/>
      <c r="DS658" s="16" t="n"/>
      <c r="DT658" s="20" t="inlineStr">
        <is>
          <t>IC Organic Acids</t>
        </is>
      </c>
      <c r="DU658" s="20" t="inlineStr">
        <is>
          <t>None</t>
        </is>
      </c>
      <c r="DV658" s="17" t="n"/>
      <c r="DW658" s="16" t="n"/>
      <c r="DX658" s="20" t="inlineStr">
        <is>
          <t>IC Organic Acids</t>
        </is>
      </c>
      <c r="DY658" s="20" t="inlineStr">
        <is>
          <t>None</t>
        </is>
      </c>
      <c r="DZ658" s="17" t="n"/>
      <c r="EA658" s="16" t="n"/>
      <c r="EB658" s="20" t="inlineStr">
        <is>
          <t>IC Organic Acids</t>
        </is>
      </c>
      <c r="EC658" s="20" t="inlineStr">
        <is>
          <t>None</t>
        </is>
      </c>
      <c r="ED658" s="17" t="n"/>
      <c r="EE658" s="16" t="n"/>
      <c r="EF658" s="20" t="inlineStr">
        <is>
          <t>IC Organic Acids</t>
        </is>
      </c>
      <c r="EG658" s="20" t="inlineStr">
        <is>
          <t>None</t>
        </is>
      </c>
      <c r="EH658" s="17" t="n"/>
      <c r="EI658" s="16" t="n"/>
      <c r="EJ658" s="20" t="inlineStr">
        <is>
          <t>IC Organic Acids</t>
        </is>
      </c>
      <c r="EK658" s="20" t="inlineStr">
        <is>
          <t>None</t>
        </is>
      </c>
      <c r="EL658" s="17" t="n"/>
      <c r="EM658" s="16" t="n"/>
      <c r="EN658" s="20" t="inlineStr">
        <is>
          <t>IC Organic Acids</t>
        </is>
      </c>
      <c r="EO658" s="20" t="inlineStr">
        <is>
          <t>None</t>
        </is>
      </c>
      <c r="EP658" s="17" t="n"/>
      <c r="EQ658" s="16" t="n"/>
      <c r="ER658" s="20" t="inlineStr">
        <is>
          <t>IC Organic Acids</t>
        </is>
      </c>
      <c r="ES658" s="20" t="inlineStr">
        <is>
          <t>None</t>
        </is>
      </c>
      <c r="ET658" s="17" t="n"/>
      <c r="EU658" s="16" t="n"/>
      <c r="EV658" s="20" t="inlineStr">
        <is>
          <t>LC-MS</t>
        </is>
      </c>
      <c r="EW658" s="20" t="inlineStr">
        <is>
          <t>None</t>
        </is>
      </c>
      <c r="EX658" s="17" t="n"/>
      <c r="EY658" s="21" t="n"/>
      <c r="EZ658">
        <f>CONCATENATE(A658,B658)</f>
        <v/>
      </c>
      <c r="FA658">
        <f>CONCATENATE(SamplesX!A658,SamplesX!B658)</f>
        <v/>
      </c>
      <c r="FC658">
        <f>MATCH(EZ658,FA1:FA1008,0)</f>
        <v/>
      </c>
    </row>
    <row r="659">
      <c r="A659" s="16" t="n"/>
      <c r="B659" s="17" t="n"/>
      <c r="C659" s="10">
        <f>IF(ISNUMBER(FC659),INDIRECT("SamplesX!C"&amp;FC659),IF(ISNUMBER(FD659),INDIRECT("SamplesY!C"&amp;FD659),""))</f>
        <v/>
      </c>
      <c r="D659" s="12">
        <f>IF(ISNUMBER(FC659),INDIRECT("SamplesX!D"&amp;FC659),IF(ISNUMBER(FD659),INDIRECT("SamplesY!D"&amp;FD659),""))</f>
        <v/>
      </c>
      <c r="E659" s="12">
        <f>IF(ISNUMBER(FC659),INDIRECT("SamplesX!E"&amp;FC659),IF(ISNUMBER(FD659),INDIRECT("SamplesY!E"&amp;FD659),""))</f>
        <v/>
      </c>
      <c r="F659" s="11">
        <f>IF(ISNUMBER(FC659),INDIRECT("SamplesX!F"&amp;FC659),IF(ISNUMBER(FD659),INDIRECT("SamplesY!F"&amp;FD659),""))</f>
        <v/>
      </c>
      <c r="G659" s="18">
        <f>IF(ISNUMBER(FC659),INDIRECT("SamplesX!G"&amp;FC659),IF(ISNUMBER(FD659),INDIRECT("SamplesY!G"&amp;FD659),""))</f>
        <v/>
      </c>
      <c r="H659" s="19">
        <f>IF(ISNUMBER(FC659),INDIRECT("SamplesX!H"&amp;FC659),IF(ISNUMBER(FD659),INDIRECT("SamplesY!H"&amp;FD659),""))</f>
        <v/>
      </c>
      <c r="I659" s="16" t="n"/>
      <c r="J659" s="16" t="n"/>
      <c r="K659" s="16" t="n"/>
      <c r="L659" s="20" t="n"/>
      <c r="M659" s="20" t="inlineStr">
        <is>
          <t>None</t>
        </is>
      </c>
      <c r="N659" s="17" t="n"/>
      <c r="O659" s="16" t="n"/>
      <c r="P659" s="20" t="inlineStr">
        <is>
          <t>Shimadzu TOC-L</t>
        </is>
      </c>
      <c r="Q659" s="20" t="inlineStr">
        <is>
          <t>None</t>
        </is>
      </c>
      <c r="R659" s="17" t="n"/>
      <c r="S659" s="16" t="n"/>
      <c r="T659" s="20" t="inlineStr">
        <is>
          <t>Shimadzu TOC-L</t>
        </is>
      </c>
      <c r="U659" s="20" t="inlineStr">
        <is>
          <t>None</t>
        </is>
      </c>
      <c r="V659" s="17" t="n"/>
      <c r="W659" s="16" t="n"/>
      <c r="X659" s="20" t="n"/>
      <c r="Y659" s="20" t="inlineStr">
        <is>
          <t>None</t>
        </is>
      </c>
      <c r="Z659" s="17" t="n"/>
      <c r="AA659" s="16" t="n"/>
      <c r="AB659" s="20" t="n"/>
      <c r="AC659" s="20" t="inlineStr">
        <is>
          <t>None</t>
        </is>
      </c>
      <c r="AD659" s="17" t="n"/>
      <c r="AE659" s="16" t="n"/>
      <c r="AF659" s="20" t="inlineStr">
        <is>
          <t>IC Anionen</t>
        </is>
      </c>
      <c r="AG659" s="20" t="inlineStr">
        <is>
          <t>None</t>
        </is>
      </c>
      <c r="AH659" s="17" t="n"/>
      <c r="AI659" s="16" t="n"/>
      <c r="AJ659" s="20" t="n"/>
      <c r="AK659" s="20" t="inlineStr">
        <is>
          <t>None</t>
        </is>
      </c>
      <c r="AL659" s="17" t="n"/>
      <c r="AM659" s="16" t="n"/>
      <c r="AN659" s="20" t="inlineStr">
        <is>
          <t>IC Anionen</t>
        </is>
      </c>
      <c r="AO659" s="20" t="inlineStr">
        <is>
          <t>None</t>
        </is>
      </c>
      <c r="AP659" s="17" t="n"/>
      <c r="AQ659" s="16" t="n"/>
      <c r="AR659" s="20" t="n"/>
      <c r="AS659" s="20" t="inlineStr">
        <is>
          <t>None</t>
        </is>
      </c>
      <c r="AT659" s="17" t="n"/>
      <c r="AU659" s="16" t="n"/>
      <c r="AV659" s="20" t="n"/>
      <c r="AW659" s="20" t="inlineStr">
        <is>
          <t>None</t>
        </is>
      </c>
      <c r="AX659" s="17" t="n"/>
      <c r="AY659" s="16" t="n"/>
      <c r="AZ659" s="20" t="inlineStr">
        <is>
          <t>IC Anionen</t>
        </is>
      </c>
      <c r="BA659" s="20" t="inlineStr">
        <is>
          <t>None</t>
        </is>
      </c>
      <c r="BB659" s="17" t="n"/>
      <c r="BC659" s="16" t="n"/>
      <c r="BD659" s="20" t="inlineStr">
        <is>
          <t>IC Kationen</t>
        </is>
      </c>
      <c r="BE659" s="20" t="inlineStr">
        <is>
          <t>None</t>
        </is>
      </c>
      <c r="BF659" s="17" t="n"/>
      <c r="BG659" s="16" t="n"/>
      <c r="BH659" s="20" t="inlineStr">
        <is>
          <t>IC Kationen</t>
        </is>
      </c>
      <c r="BI659" s="20" t="inlineStr">
        <is>
          <t>None</t>
        </is>
      </c>
      <c r="BJ659" s="17" t="n"/>
      <c r="BK659" s="16" t="n"/>
      <c r="BL659" s="20" t="inlineStr">
        <is>
          <t>IC Kationen</t>
        </is>
      </c>
      <c r="BM659" s="20" t="inlineStr">
        <is>
          <t>None</t>
        </is>
      </c>
      <c r="BN659" s="17" t="n"/>
      <c r="BO659" s="16" t="n"/>
      <c r="BP659" s="20" t="inlineStr">
        <is>
          <t>IC Kationen</t>
        </is>
      </c>
      <c r="BQ659" s="20" t="inlineStr">
        <is>
          <t>None</t>
        </is>
      </c>
      <c r="BR659" s="17" t="n"/>
      <c r="BS659" s="16" t="n"/>
      <c r="BT659" s="20" t="inlineStr">
        <is>
          <t>IC Kationen</t>
        </is>
      </c>
      <c r="BU659" s="20" t="inlineStr">
        <is>
          <t>None</t>
        </is>
      </c>
      <c r="BV659" s="17" t="n"/>
      <c r="BW659" s="16" t="n"/>
      <c r="BX659" s="20" t="n"/>
      <c r="BY659" s="20" t="inlineStr">
        <is>
          <t>None</t>
        </is>
      </c>
      <c r="BZ659" s="17" t="n"/>
      <c r="CA659" s="16" t="n"/>
      <c r="CB659" s="20" t="n"/>
      <c r="CC659" s="20" t="inlineStr">
        <is>
          <t>None</t>
        </is>
      </c>
      <c r="CD659" s="17" t="n"/>
      <c r="CE659" s="16" t="n"/>
      <c r="CF659" s="20" t="n"/>
      <c r="CG659" s="20" t="inlineStr">
        <is>
          <t>None</t>
        </is>
      </c>
      <c r="CH659" s="17" t="n"/>
      <c r="CI659" s="16" t="n"/>
      <c r="CJ659" s="20" t="n"/>
      <c r="CK659" s="20" t="inlineStr">
        <is>
          <t>None</t>
        </is>
      </c>
      <c r="CL659" s="17" t="n"/>
      <c r="CM659" s="16" t="n"/>
      <c r="CN659" s="20" t="inlineStr">
        <is>
          <t>SOP 45-34</t>
        </is>
      </c>
      <c r="CO659" s="20" t="inlineStr">
        <is>
          <t>None</t>
        </is>
      </c>
      <c r="CP659" s="17" t="n"/>
      <c r="CQ659" s="16" t="n"/>
      <c r="CR659" s="20" t="n"/>
      <c r="CS659" s="20" t="inlineStr">
        <is>
          <t>None</t>
        </is>
      </c>
      <c r="CT659" s="17" t="n"/>
      <c r="CU659" s="16" t="n"/>
      <c r="CV659" s="20" t="n"/>
      <c r="CW659" s="20" t="inlineStr">
        <is>
          <t>None</t>
        </is>
      </c>
      <c r="CX659" s="17" t="n"/>
      <c r="CY659" s="16" t="n"/>
      <c r="CZ659" s="20" t="inlineStr">
        <is>
          <t>WTW Multimeter 3430 with FDO 925</t>
        </is>
      </c>
      <c r="DA659" s="20" t="inlineStr">
        <is>
          <t>None</t>
        </is>
      </c>
      <c r="DB659" s="17" t="n"/>
      <c r="DC659" s="16" t="n"/>
      <c r="DD659" s="20" t="n"/>
      <c r="DE659" s="20" t="inlineStr">
        <is>
          <t>None</t>
        </is>
      </c>
      <c r="DF659" s="17" t="n"/>
      <c r="DG659" s="16" t="n"/>
      <c r="DH659" s="20" t="inlineStr">
        <is>
          <t>SOP 45-09</t>
        </is>
      </c>
      <c r="DI659" s="20" t="inlineStr">
        <is>
          <t>None</t>
        </is>
      </c>
      <c r="DJ659" s="17" t="n"/>
      <c r="DK659" s="16" t="n"/>
      <c r="DL659" s="20" t="inlineStr">
        <is>
          <t>SOP 45-09 (SOP muss noch angepasst werden für VSS)</t>
        </is>
      </c>
      <c r="DM659" s="20" t="inlineStr">
        <is>
          <t>None</t>
        </is>
      </c>
      <c r="DN659" s="17" t="n"/>
      <c r="DO659" s="16" t="n"/>
      <c r="DP659" s="20" t="inlineStr">
        <is>
          <t>IC Organic Acids</t>
        </is>
      </c>
      <c r="DQ659" s="20" t="inlineStr">
        <is>
          <t>None</t>
        </is>
      </c>
      <c r="DR659" s="17" t="n"/>
      <c r="DS659" s="16" t="n"/>
      <c r="DT659" s="20" t="inlineStr">
        <is>
          <t>IC Organic Acids</t>
        </is>
      </c>
      <c r="DU659" s="20" t="inlineStr">
        <is>
          <t>None</t>
        </is>
      </c>
      <c r="DV659" s="17" t="n"/>
      <c r="DW659" s="16" t="n"/>
      <c r="DX659" s="20" t="inlineStr">
        <is>
          <t>IC Organic Acids</t>
        </is>
      </c>
      <c r="DY659" s="20" t="inlineStr">
        <is>
          <t>None</t>
        </is>
      </c>
      <c r="DZ659" s="17" t="n"/>
      <c r="EA659" s="16" t="n"/>
      <c r="EB659" s="20" t="inlineStr">
        <is>
          <t>IC Organic Acids</t>
        </is>
      </c>
      <c r="EC659" s="20" t="inlineStr">
        <is>
          <t>None</t>
        </is>
      </c>
      <c r="ED659" s="17" t="n"/>
      <c r="EE659" s="16" t="n"/>
      <c r="EF659" s="20" t="inlineStr">
        <is>
          <t>IC Organic Acids</t>
        </is>
      </c>
      <c r="EG659" s="20" t="inlineStr">
        <is>
          <t>None</t>
        </is>
      </c>
      <c r="EH659" s="17" t="n"/>
      <c r="EI659" s="16" t="n"/>
      <c r="EJ659" s="20" t="inlineStr">
        <is>
          <t>IC Organic Acids</t>
        </is>
      </c>
      <c r="EK659" s="20" t="inlineStr">
        <is>
          <t>None</t>
        </is>
      </c>
      <c r="EL659" s="17" t="n"/>
      <c r="EM659" s="16" t="n"/>
      <c r="EN659" s="20" t="inlineStr">
        <is>
          <t>IC Organic Acids</t>
        </is>
      </c>
      <c r="EO659" s="20" t="inlineStr">
        <is>
          <t>None</t>
        </is>
      </c>
      <c r="EP659" s="17" t="n"/>
      <c r="EQ659" s="16" t="n"/>
      <c r="ER659" s="20" t="inlineStr">
        <is>
          <t>IC Organic Acids</t>
        </is>
      </c>
      <c r="ES659" s="20" t="inlineStr">
        <is>
          <t>None</t>
        </is>
      </c>
      <c r="ET659" s="17" t="n"/>
      <c r="EU659" s="16" t="n"/>
      <c r="EV659" s="20" t="inlineStr">
        <is>
          <t>LC-MS</t>
        </is>
      </c>
      <c r="EW659" s="20" t="inlineStr">
        <is>
          <t>None</t>
        </is>
      </c>
      <c r="EX659" s="17" t="n"/>
      <c r="EY659" s="21" t="n"/>
      <c r="EZ659">
        <f>CONCATENATE(A659,B659)</f>
        <v/>
      </c>
      <c r="FA659">
        <f>CONCATENATE(SamplesX!A659,SamplesX!B659)</f>
        <v/>
      </c>
      <c r="FC659">
        <f>MATCH(EZ659,FA1:FA1008,0)</f>
        <v/>
      </c>
    </row>
    <row r="660">
      <c r="A660" s="16" t="n"/>
      <c r="B660" s="17" t="n"/>
      <c r="C660" s="10">
        <f>IF(ISNUMBER(FC660),INDIRECT("SamplesX!C"&amp;FC660),IF(ISNUMBER(FD660),INDIRECT("SamplesY!C"&amp;FD660),""))</f>
        <v/>
      </c>
      <c r="D660" s="12">
        <f>IF(ISNUMBER(FC660),INDIRECT("SamplesX!D"&amp;FC660),IF(ISNUMBER(FD660),INDIRECT("SamplesY!D"&amp;FD660),""))</f>
        <v/>
      </c>
      <c r="E660" s="12">
        <f>IF(ISNUMBER(FC660),INDIRECT("SamplesX!E"&amp;FC660),IF(ISNUMBER(FD660),INDIRECT("SamplesY!E"&amp;FD660),""))</f>
        <v/>
      </c>
      <c r="F660" s="11">
        <f>IF(ISNUMBER(FC660),INDIRECT("SamplesX!F"&amp;FC660),IF(ISNUMBER(FD660),INDIRECT("SamplesY!F"&amp;FD660),""))</f>
        <v/>
      </c>
      <c r="G660" s="18">
        <f>IF(ISNUMBER(FC660),INDIRECT("SamplesX!G"&amp;FC660),IF(ISNUMBER(FD660),INDIRECT("SamplesY!G"&amp;FD660),""))</f>
        <v/>
      </c>
      <c r="H660" s="19">
        <f>IF(ISNUMBER(FC660),INDIRECT("SamplesX!H"&amp;FC660),IF(ISNUMBER(FD660),INDIRECT("SamplesY!H"&amp;FD660),""))</f>
        <v/>
      </c>
      <c r="I660" s="16" t="n"/>
      <c r="J660" s="16" t="n"/>
      <c r="K660" s="16" t="n"/>
      <c r="L660" s="20" t="n"/>
      <c r="M660" s="20" t="inlineStr">
        <is>
          <t>None</t>
        </is>
      </c>
      <c r="N660" s="17" t="n"/>
      <c r="O660" s="16" t="n"/>
      <c r="P660" s="20" t="inlineStr">
        <is>
          <t>Shimadzu TOC-L</t>
        </is>
      </c>
      <c r="Q660" s="20" t="inlineStr">
        <is>
          <t>None</t>
        </is>
      </c>
      <c r="R660" s="17" t="n"/>
      <c r="S660" s="16" t="n"/>
      <c r="T660" s="20" t="inlineStr">
        <is>
          <t>Shimadzu TOC-L</t>
        </is>
      </c>
      <c r="U660" s="20" t="inlineStr">
        <is>
          <t>None</t>
        </is>
      </c>
      <c r="V660" s="17" t="n"/>
      <c r="W660" s="16" t="n"/>
      <c r="X660" s="20" t="n"/>
      <c r="Y660" s="20" t="inlineStr">
        <is>
          <t>None</t>
        </is>
      </c>
      <c r="Z660" s="17" t="n"/>
      <c r="AA660" s="16" t="n"/>
      <c r="AB660" s="20" t="n"/>
      <c r="AC660" s="20" t="inlineStr">
        <is>
          <t>None</t>
        </is>
      </c>
      <c r="AD660" s="17" t="n"/>
      <c r="AE660" s="16" t="n"/>
      <c r="AF660" s="20" t="inlineStr">
        <is>
          <t>IC Anionen</t>
        </is>
      </c>
      <c r="AG660" s="20" t="inlineStr">
        <is>
          <t>None</t>
        </is>
      </c>
      <c r="AH660" s="17" t="n"/>
      <c r="AI660" s="16" t="n"/>
      <c r="AJ660" s="20" t="n"/>
      <c r="AK660" s="20" t="inlineStr">
        <is>
          <t>None</t>
        </is>
      </c>
      <c r="AL660" s="17" t="n"/>
      <c r="AM660" s="16" t="n"/>
      <c r="AN660" s="20" t="inlineStr">
        <is>
          <t>IC Anionen</t>
        </is>
      </c>
      <c r="AO660" s="20" t="inlineStr">
        <is>
          <t>None</t>
        </is>
      </c>
      <c r="AP660" s="17" t="n"/>
      <c r="AQ660" s="16" t="n"/>
      <c r="AR660" s="20" t="n"/>
      <c r="AS660" s="20" t="inlineStr">
        <is>
          <t>None</t>
        </is>
      </c>
      <c r="AT660" s="17" t="n"/>
      <c r="AU660" s="16" t="n"/>
      <c r="AV660" s="20" t="n"/>
      <c r="AW660" s="20" t="inlineStr">
        <is>
          <t>None</t>
        </is>
      </c>
      <c r="AX660" s="17" t="n"/>
      <c r="AY660" s="16" t="n"/>
      <c r="AZ660" s="20" t="inlineStr">
        <is>
          <t>IC Anionen</t>
        </is>
      </c>
      <c r="BA660" s="20" t="inlineStr">
        <is>
          <t>None</t>
        </is>
      </c>
      <c r="BB660" s="17" t="n"/>
      <c r="BC660" s="16" t="n"/>
      <c r="BD660" s="20" t="inlineStr">
        <is>
          <t>IC Kationen</t>
        </is>
      </c>
      <c r="BE660" s="20" t="inlineStr">
        <is>
          <t>None</t>
        </is>
      </c>
      <c r="BF660" s="17" t="n"/>
      <c r="BG660" s="16" t="n"/>
      <c r="BH660" s="20" t="inlineStr">
        <is>
          <t>IC Kationen</t>
        </is>
      </c>
      <c r="BI660" s="20" t="inlineStr">
        <is>
          <t>None</t>
        </is>
      </c>
      <c r="BJ660" s="17" t="n"/>
      <c r="BK660" s="16" t="n"/>
      <c r="BL660" s="20" t="inlineStr">
        <is>
          <t>IC Kationen</t>
        </is>
      </c>
      <c r="BM660" s="20" t="inlineStr">
        <is>
          <t>None</t>
        </is>
      </c>
      <c r="BN660" s="17" t="n"/>
      <c r="BO660" s="16" t="n"/>
      <c r="BP660" s="20" t="inlineStr">
        <is>
          <t>IC Kationen</t>
        </is>
      </c>
      <c r="BQ660" s="20" t="inlineStr">
        <is>
          <t>None</t>
        </is>
      </c>
      <c r="BR660" s="17" t="n"/>
      <c r="BS660" s="16" t="n"/>
      <c r="BT660" s="20" t="inlineStr">
        <is>
          <t>IC Kationen</t>
        </is>
      </c>
      <c r="BU660" s="20" t="inlineStr">
        <is>
          <t>None</t>
        </is>
      </c>
      <c r="BV660" s="17" t="n"/>
      <c r="BW660" s="16" t="n"/>
      <c r="BX660" s="20" t="n"/>
      <c r="BY660" s="20" t="inlineStr">
        <is>
          <t>None</t>
        </is>
      </c>
      <c r="BZ660" s="17" t="n"/>
      <c r="CA660" s="16" t="n"/>
      <c r="CB660" s="20" t="n"/>
      <c r="CC660" s="20" t="inlineStr">
        <is>
          <t>None</t>
        </is>
      </c>
      <c r="CD660" s="17" t="n"/>
      <c r="CE660" s="16" t="n"/>
      <c r="CF660" s="20" t="n"/>
      <c r="CG660" s="20" t="inlineStr">
        <is>
          <t>None</t>
        </is>
      </c>
      <c r="CH660" s="17" t="n"/>
      <c r="CI660" s="16" t="n"/>
      <c r="CJ660" s="20" t="n"/>
      <c r="CK660" s="20" t="inlineStr">
        <is>
          <t>None</t>
        </is>
      </c>
      <c r="CL660" s="17" t="n"/>
      <c r="CM660" s="16" t="n"/>
      <c r="CN660" s="20" t="inlineStr">
        <is>
          <t>SOP 45-34</t>
        </is>
      </c>
      <c r="CO660" s="20" t="inlineStr">
        <is>
          <t>None</t>
        </is>
      </c>
      <c r="CP660" s="17" t="n"/>
      <c r="CQ660" s="16" t="n"/>
      <c r="CR660" s="20" t="n"/>
      <c r="CS660" s="20" t="inlineStr">
        <is>
          <t>None</t>
        </is>
      </c>
      <c r="CT660" s="17" t="n"/>
      <c r="CU660" s="16" t="n"/>
      <c r="CV660" s="20" t="n"/>
      <c r="CW660" s="20" t="inlineStr">
        <is>
          <t>None</t>
        </is>
      </c>
      <c r="CX660" s="17" t="n"/>
      <c r="CY660" s="16" t="n"/>
      <c r="CZ660" s="20" t="inlineStr">
        <is>
          <t>WTW Multimeter 3430 with FDO 925</t>
        </is>
      </c>
      <c r="DA660" s="20" t="inlineStr">
        <is>
          <t>None</t>
        </is>
      </c>
      <c r="DB660" s="17" t="n"/>
      <c r="DC660" s="16" t="n"/>
      <c r="DD660" s="20" t="n"/>
      <c r="DE660" s="20" t="inlineStr">
        <is>
          <t>None</t>
        </is>
      </c>
      <c r="DF660" s="17" t="n"/>
      <c r="DG660" s="16" t="n"/>
      <c r="DH660" s="20" t="inlineStr">
        <is>
          <t>SOP 45-09</t>
        </is>
      </c>
      <c r="DI660" s="20" t="inlineStr">
        <is>
          <t>None</t>
        </is>
      </c>
      <c r="DJ660" s="17" t="n"/>
      <c r="DK660" s="16" t="n"/>
      <c r="DL660" s="20" t="inlineStr">
        <is>
          <t>SOP 45-09 (SOP muss noch angepasst werden für VSS)</t>
        </is>
      </c>
      <c r="DM660" s="20" t="inlineStr">
        <is>
          <t>None</t>
        </is>
      </c>
      <c r="DN660" s="17" t="n"/>
      <c r="DO660" s="16" t="n"/>
      <c r="DP660" s="20" t="inlineStr">
        <is>
          <t>IC Organic Acids</t>
        </is>
      </c>
      <c r="DQ660" s="20" t="inlineStr">
        <is>
          <t>None</t>
        </is>
      </c>
      <c r="DR660" s="17" t="n"/>
      <c r="DS660" s="16" t="n"/>
      <c r="DT660" s="20" t="inlineStr">
        <is>
          <t>IC Organic Acids</t>
        </is>
      </c>
      <c r="DU660" s="20" t="inlineStr">
        <is>
          <t>None</t>
        </is>
      </c>
      <c r="DV660" s="17" t="n"/>
      <c r="DW660" s="16" t="n"/>
      <c r="DX660" s="20" t="inlineStr">
        <is>
          <t>IC Organic Acids</t>
        </is>
      </c>
      <c r="DY660" s="20" t="inlineStr">
        <is>
          <t>None</t>
        </is>
      </c>
      <c r="DZ660" s="17" t="n"/>
      <c r="EA660" s="16" t="n"/>
      <c r="EB660" s="20" t="inlineStr">
        <is>
          <t>IC Organic Acids</t>
        </is>
      </c>
      <c r="EC660" s="20" t="inlineStr">
        <is>
          <t>None</t>
        </is>
      </c>
      <c r="ED660" s="17" t="n"/>
      <c r="EE660" s="16" t="n"/>
      <c r="EF660" s="20" t="inlineStr">
        <is>
          <t>IC Organic Acids</t>
        </is>
      </c>
      <c r="EG660" s="20" t="inlineStr">
        <is>
          <t>None</t>
        </is>
      </c>
      <c r="EH660" s="17" t="n"/>
      <c r="EI660" s="16" t="n"/>
      <c r="EJ660" s="20" t="inlineStr">
        <is>
          <t>IC Organic Acids</t>
        </is>
      </c>
      <c r="EK660" s="20" t="inlineStr">
        <is>
          <t>None</t>
        </is>
      </c>
      <c r="EL660" s="17" t="n"/>
      <c r="EM660" s="16" t="n"/>
      <c r="EN660" s="20" t="inlineStr">
        <is>
          <t>IC Organic Acids</t>
        </is>
      </c>
      <c r="EO660" s="20" t="inlineStr">
        <is>
          <t>None</t>
        </is>
      </c>
      <c r="EP660" s="17" t="n"/>
      <c r="EQ660" s="16" t="n"/>
      <c r="ER660" s="20" t="inlineStr">
        <is>
          <t>IC Organic Acids</t>
        </is>
      </c>
      <c r="ES660" s="20" t="inlineStr">
        <is>
          <t>None</t>
        </is>
      </c>
      <c r="ET660" s="17" t="n"/>
      <c r="EU660" s="16" t="n"/>
      <c r="EV660" s="20" t="inlineStr">
        <is>
          <t>LC-MS</t>
        </is>
      </c>
      <c r="EW660" s="20" t="inlineStr">
        <is>
          <t>None</t>
        </is>
      </c>
      <c r="EX660" s="17" t="n"/>
      <c r="EY660" s="21" t="n"/>
      <c r="EZ660">
        <f>CONCATENATE(A660,B660)</f>
        <v/>
      </c>
      <c r="FA660">
        <f>CONCATENATE(SamplesX!A660,SamplesX!B660)</f>
        <v/>
      </c>
      <c r="FC660">
        <f>MATCH(EZ660,FA1:FA1008,0)</f>
        <v/>
      </c>
    </row>
    <row r="661">
      <c r="A661" s="16" t="n"/>
      <c r="B661" s="17" t="n"/>
      <c r="C661" s="10">
        <f>IF(ISNUMBER(FC661),INDIRECT("SamplesX!C"&amp;FC661),IF(ISNUMBER(FD661),INDIRECT("SamplesY!C"&amp;FD661),""))</f>
        <v/>
      </c>
      <c r="D661" s="12">
        <f>IF(ISNUMBER(FC661),INDIRECT("SamplesX!D"&amp;FC661),IF(ISNUMBER(FD661),INDIRECT("SamplesY!D"&amp;FD661),""))</f>
        <v/>
      </c>
      <c r="E661" s="12">
        <f>IF(ISNUMBER(FC661),INDIRECT("SamplesX!E"&amp;FC661),IF(ISNUMBER(FD661),INDIRECT("SamplesY!E"&amp;FD661),""))</f>
        <v/>
      </c>
      <c r="F661" s="11">
        <f>IF(ISNUMBER(FC661),INDIRECT("SamplesX!F"&amp;FC661),IF(ISNUMBER(FD661),INDIRECT("SamplesY!F"&amp;FD661),""))</f>
        <v/>
      </c>
      <c r="G661" s="18">
        <f>IF(ISNUMBER(FC661),INDIRECT("SamplesX!G"&amp;FC661),IF(ISNUMBER(FD661),INDIRECT("SamplesY!G"&amp;FD661),""))</f>
        <v/>
      </c>
      <c r="H661" s="19">
        <f>IF(ISNUMBER(FC661),INDIRECT("SamplesX!H"&amp;FC661),IF(ISNUMBER(FD661),INDIRECT("SamplesY!H"&amp;FD661),""))</f>
        <v/>
      </c>
      <c r="I661" s="16" t="n"/>
      <c r="J661" s="16" t="n"/>
      <c r="K661" s="16" t="n"/>
      <c r="L661" s="20" t="n"/>
      <c r="M661" s="20" t="inlineStr">
        <is>
          <t>None</t>
        </is>
      </c>
      <c r="N661" s="17" t="n"/>
      <c r="O661" s="16" t="n"/>
      <c r="P661" s="20" t="inlineStr">
        <is>
          <t>Shimadzu TOC-L</t>
        </is>
      </c>
      <c r="Q661" s="20" t="inlineStr">
        <is>
          <t>None</t>
        </is>
      </c>
      <c r="R661" s="17" t="n"/>
      <c r="S661" s="16" t="n"/>
      <c r="T661" s="20" t="inlineStr">
        <is>
          <t>Shimadzu TOC-L</t>
        </is>
      </c>
      <c r="U661" s="20" t="inlineStr">
        <is>
          <t>None</t>
        </is>
      </c>
      <c r="V661" s="17" t="n"/>
      <c r="W661" s="16" t="n"/>
      <c r="X661" s="20" t="n"/>
      <c r="Y661" s="20" t="inlineStr">
        <is>
          <t>None</t>
        </is>
      </c>
      <c r="Z661" s="17" t="n"/>
      <c r="AA661" s="16" t="n"/>
      <c r="AB661" s="20" t="n"/>
      <c r="AC661" s="20" t="inlineStr">
        <is>
          <t>None</t>
        </is>
      </c>
      <c r="AD661" s="17" t="n"/>
      <c r="AE661" s="16" t="n"/>
      <c r="AF661" s="20" t="inlineStr">
        <is>
          <t>IC Anionen</t>
        </is>
      </c>
      <c r="AG661" s="20" t="inlineStr">
        <is>
          <t>None</t>
        </is>
      </c>
      <c r="AH661" s="17" t="n"/>
      <c r="AI661" s="16" t="n"/>
      <c r="AJ661" s="20" t="n"/>
      <c r="AK661" s="20" t="inlineStr">
        <is>
          <t>None</t>
        </is>
      </c>
      <c r="AL661" s="17" t="n"/>
      <c r="AM661" s="16" t="n"/>
      <c r="AN661" s="20" t="inlineStr">
        <is>
          <t>IC Anionen</t>
        </is>
      </c>
      <c r="AO661" s="20" t="inlineStr">
        <is>
          <t>None</t>
        </is>
      </c>
      <c r="AP661" s="17" t="n"/>
      <c r="AQ661" s="16" t="n"/>
      <c r="AR661" s="20" t="n"/>
      <c r="AS661" s="20" t="inlineStr">
        <is>
          <t>None</t>
        </is>
      </c>
      <c r="AT661" s="17" t="n"/>
      <c r="AU661" s="16" t="n"/>
      <c r="AV661" s="20" t="n"/>
      <c r="AW661" s="20" t="inlineStr">
        <is>
          <t>None</t>
        </is>
      </c>
      <c r="AX661" s="17" t="n"/>
      <c r="AY661" s="16" t="n"/>
      <c r="AZ661" s="20" t="inlineStr">
        <is>
          <t>IC Anionen</t>
        </is>
      </c>
      <c r="BA661" s="20" t="inlineStr">
        <is>
          <t>None</t>
        </is>
      </c>
      <c r="BB661" s="17" t="n"/>
      <c r="BC661" s="16" t="n"/>
      <c r="BD661" s="20" t="inlineStr">
        <is>
          <t>IC Kationen</t>
        </is>
      </c>
      <c r="BE661" s="20" t="inlineStr">
        <is>
          <t>None</t>
        </is>
      </c>
      <c r="BF661" s="17" t="n"/>
      <c r="BG661" s="16" t="n"/>
      <c r="BH661" s="20" t="inlineStr">
        <is>
          <t>IC Kationen</t>
        </is>
      </c>
      <c r="BI661" s="20" t="inlineStr">
        <is>
          <t>None</t>
        </is>
      </c>
      <c r="BJ661" s="17" t="n"/>
      <c r="BK661" s="16" t="n"/>
      <c r="BL661" s="20" t="inlineStr">
        <is>
          <t>IC Kationen</t>
        </is>
      </c>
      <c r="BM661" s="20" t="inlineStr">
        <is>
          <t>None</t>
        </is>
      </c>
      <c r="BN661" s="17" t="n"/>
      <c r="BO661" s="16" t="n"/>
      <c r="BP661" s="20" t="inlineStr">
        <is>
          <t>IC Kationen</t>
        </is>
      </c>
      <c r="BQ661" s="20" t="inlineStr">
        <is>
          <t>None</t>
        </is>
      </c>
      <c r="BR661" s="17" t="n"/>
      <c r="BS661" s="16" t="n"/>
      <c r="BT661" s="20" t="inlineStr">
        <is>
          <t>IC Kationen</t>
        </is>
      </c>
      <c r="BU661" s="20" t="inlineStr">
        <is>
          <t>None</t>
        </is>
      </c>
      <c r="BV661" s="17" t="n"/>
      <c r="BW661" s="16" t="n"/>
      <c r="BX661" s="20" t="n"/>
      <c r="BY661" s="20" t="inlineStr">
        <is>
          <t>None</t>
        </is>
      </c>
      <c r="BZ661" s="17" t="n"/>
      <c r="CA661" s="16" t="n"/>
      <c r="CB661" s="20" t="n"/>
      <c r="CC661" s="20" t="inlineStr">
        <is>
          <t>None</t>
        </is>
      </c>
      <c r="CD661" s="17" t="n"/>
      <c r="CE661" s="16" t="n"/>
      <c r="CF661" s="20" t="n"/>
      <c r="CG661" s="20" t="inlineStr">
        <is>
          <t>None</t>
        </is>
      </c>
      <c r="CH661" s="17" t="n"/>
      <c r="CI661" s="16" t="n"/>
      <c r="CJ661" s="20" t="n"/>
      <c r="CK661" s="20" t="inlineStr">
        <is>
          <t>None</t>
        </is>
      </c>
      <c r="CL661" s="17" t="n"/>
      <c r="CM661" s="16" t="n"/>
      <c r="CN661" s="20" t="inlineStr">
        <is>
          <t>SOP 45-34</t>
        </is>
      </c>
      <c r="CO661" s="20" t="inlineStr">
        <is>
          <t>None</t>
        </is>
      </c>
      <c r="CP661" s="17" t="n"/>
      <c r="CQ661" s="16" t="n"/>
      <c r="CR661" s="20" t="n"/>
      <c r="CS661" s="20" t="inlineStr">
        <is>
          <t>None</t>
        </is>
      </c>
      <c r="CT661" s="17" t="n"/>
      <c r="CU661" s="16" t="n"/>
      <c r="CV661" s="20" t="n"/>
      <c r="CW661" s="20" t="inlineStr">
        <is>
          <t>None</t>
        </is>
      </c>
      <c r="CX661" s="17" t="n"/>
      <c r="CY661" s="16" t="n"/>
      <c r="CZ661" s="20" t="inlineStr">
        <is>
          <t>WTW Multimeter 3430 with FDO 925</t>
        </is>
      </c>
      <c r="DA661" s="20" t="inlineStr">
        <is>
          <t>None</t>
        </is>
      </c>
      <c r="DB661" s="17" t="n"/>
      <c r="DC661" s="16" t="n"/>
      <c r="DD661" s="20" t="n"/>
      <c r="DE661" s="20" t="inlineStr">
        <is>
          <t>None</t>
        </is>
      </c>
      <c r="DF661" s="17" t="n"/>
      <c r="DG661" s="16" t="n"/>
      <c r="DH661" s="20" t="inlineStr">
        <is>
          <t>SOP 45-09</t>
        </is>
      </c>
      <c r="DI661" s="20" t="inlineStr">
        <is>
          <t>None</t>
        </is>
      </c>
      <c r="DJ661" s="17" t="n"/>
      <c r="DK661" s="16" t="n"/>
      <c r="DL661" s="20" t="inlineStr">
        <is>
          <t>SOP 45-09 (SOP muss noch angepasst werden für VSS)</t>
        </is>
      </c>
      <c r="DM661" s="20" t="inlineStr">
        <is>
          <t>None</t>
        </is>
      </c>
      <c r="DN661" s="17" t="n"/>
      <c r="DO661" s="16" t="n"/>
      <c r="DP661" s="20" t="inlineStr">
        <is>
          <t>IC Organic Acids</t>
        </is>
      </c>
      <c r="DQ661" s="20" t="inlineStr">
        <is>
          <t>None</t>
        </is>
      </c>
      <c r="DR661" s="17" t="n"/>
      <c r="DS661" s="16" t="n"/>
      <c r="DT661" s="20" t="inlineStr">
        <is>
          <t>IC Organic Acids</t>
        </is>
      </c>
      <c r="DU661" s="20" t="inlineStr">
        <is>
          <t>None</t>
        </is>
      </c>
      <c r="DV661" s="17" t="n"/>
      <c r="DW661" s="16" t="n"/>
      <c r="DX661" s="20" t="inlineStr">
        <is>
          <t>IC Organic Acids</t>
        </is>
      </c>
      <c r="DY661" s="20" t="inlineStr">
        <is>
          <t>None</t>
        </is>
      </c>
      <c r="DZ661" s="17" t="n"/>
      <c r="EA661" s="16" t="n"/>
      <c r="EB661" s="20" t="inlineStr">
        <is>
          <t>IC Organic Acids</t>
        </is>
      </c>
      <c r="EC661" s="20" t="inlineStr">
        <is>
          <t>None</t>
        </is>
      </c>
      <c r="ED661" s="17" t="n"/>
      <c r="EE661" s="16" t="n"/>
      <c r="EF661" s="20" t="inlineStr">
        <is>
          <t>IC Organic Acids</t>
        </is>
      </c>
      <c r="EG661" s="20" t="inlineStr">
        <is>
          <t>None</t>
        </is>
      </c>
      <c r="EH661" s="17" t="n"/>
      <c r="EI661" s="16" t="n"/>
      <c r="EJ661" s="20" t="inlineStr">
        <is>
          <t>IC Organic Acids</t>
        </is>
      </c>
      <c r="EK661" s="20" t="inlineStr">
        <is>
          <t>None</t>
        </is>
      </c>
      <c r="EL661" s="17" t="n"/>
      <c r="EM661" s="16" t="n"/>
      <c r="EN661" s="20" t="inlineStr">
        <is>
          <t>IC Organic Acids</t>
        </is>
      </c>
      <c r="EO661" s="20" t="inlineStr">
        <is>
          <t>None</t>
        </is>
      </c>
      <c r="EP661" s="17" t="n"/>
      <c r="EQ661" s="16" t="n"/>
      <c r="ER661" s="20" t="inlineStr">
        <is>
          <t>IC Organic Acids</t>
        </is>
      </c>
      <c r="ES661" s="20" t="inlineStr">
        <is>
          <t>None</t>
        </is>
      </c>
      <c r="ET661" s="17" t="n"/>
      <c r="EU661" s="16" t="n"/>
      <c r="EV661" s="20" t="inlineStr">
        <is>
          <t>LC-MS</t>
        </is>
      </c>
      <c r="EW661" s="20" t="inlineStr">
        <is>
          <t>None</t>
        </is>
      </c>
      <c r="EX661" s="17" t="n"/>
      <c r="EY661" s="21" t="n"/>
      <c r="EZ661">
        <f>CONCATENATE(A661,B661)</f>
        <v/>
      </c>
      <c r="FA661">
        <f>CONCATENATE(SamplesX!A661,SamplesX!B661)</f>
        <v/>
      </c>
      <c r="FC661">
        <f>MATCH(EZ661,FA1:FA1008,0)</f>
        <v/>
      </c>
    </row>
    <row r="662">
      <c r="A662" s="16" t="n"/>
      <c r="B662" s="17" t="n"/>
      <c r="C662" s="10">
        <f>IF(ISNUMBER(FC662),INDIRECT("SamplesX!C"&amp;FC662),IF(ISNUMBER(FD662),INDIRECT("SamplesY!C"&amp;FD662),""))</f>
        <v/>
      </c>
      <c r="D662" s="12">
        <f>IF(ISNUMBER(FC662),INDIRECT("SamplesX!D"&amp;FC662),IF(ISNUMBER(FD662),INDIRECT("SamplesY!D"&amp;FD662),""))</f>
        <v/>
      </c>
      <c r="E662" s="12">
        <f>IF(ISNUMBER(FC662),INDIRECT("SamplesX!E"&amp;FC662),IF(ISNUMBER(FD662),INDIRECT("SamplesY!E"&amp;FD662),""))</f>
        <v/>
      </c>
      <c r="F662" s="11">
        <f>IF(ISNUMBER(FC662),INDIRECT("SamplesX!F"&amp;FC662),IF(ISNUMBER(FD662),INDIRECT("SamplesY!F"&amp;FD662),""))</f>
        <v/>
      </c>
      <c r="G662" s="18">
        <f>IF(ISNUMBER(FC662),INDIRECT("SamplesX!G"&amp;FC662),IF(ISNUMBER(FD662),INDIRECT("SamplesY!G"&amp;FD662),""))</f>
        <v/>
      </c>
      <c r="H662" s="19">
        <f>IF(ISNUMBER(FC662),INDIRECT("SamplesX!H"&amp;FC662),IF(ISNUMBER(FD662),INDIRECT("SamplesY!H"&amp;FD662),""))</f>
        <v/>
      </c>
      <c r="I662" s="16" t="n"/>
      <c r="J662" s="16" t="n"/>
      <c r="K662" s="16" t="n"/>
      <c r="L662" s="20" t="n"/>
      <c r="M662" s="20" t="inlineStr">
        <is>
          <t>None</t>
        </is>
      </c>
      <c r="N662" s="17" t="n"/>
      <c r="O662" s="16" t="n"/>
      <c r="P662" s="20" t="inlineStr">
        <is>
          <t>Shimadzu TOC-L</t>
        </is>
      </c>
      <c r="Q662" s="20" t="inlineStr">
        <is>
          <t>None</t>
        </is>
      </c>
      <c r="R662" s="17" t="n"/>
      <c r="S662" s="16" t="n"/>
      <c r="T662" s="20" t="inlineStr">
        <is>
          <t>Shimadzu TOC-L</t>
        </is>
      </c>
      <c r="U662" s="20" t="inlineStr">
        <is>
          <t>None</t>
        </is>
      </c>
      <c r="V662" s="17" t="n"/>
      <c r="W662" s="16" t="n"/>
      <c r="X662" s="20" t="n"/>
      <c r="Y662" s="20" t="inlineStr">
        <is>
          <t>None</t>
        </is>
      </c>
      <c r="Z662" s="17" t="n"/>
      <c r="AA662" s="16" t="n"/>
      <c r="AB662" s="20" t="n"/>
      <c r="AC662" s="20" t="inlineStr">
        <is>
          <t>None</t>
        </is>
      </c>
      <c r="AD662" s="17" t="n"/>
      <c r="AE662" s="16" t="n"/>
      <c r="AF662" s="20" t="inlineStr">
        <is>
          <t>IC Anionen</t>
        </is>
      </c>
      <c r="AG662" s="20" t="inlineStr">
        <is>
          <t>None</t>
        </is>
      </c>
      <c r="AH662" s="17" t="n"/>
      <c r="AI662" s="16" t="n"/>
      <c r="AJ662" s="20" t="n"/>
      <c r="AK662" s="20" t="inlineStr">
        <is>
          <t>None</t>
        </is>
      </c>
      <c r="AL662" s="17" t="n"/>
      <c r="AM662" s="16" t="n"/>
      <c r="AN662" s="20" t="inlineStr">
        <is>
          <t>IC Anionen</t>
        </is>
      </c>
      <c r="AO662" s="20" t="inlineStr">
        <is>
          <t>None</t>
        </is>
      </c>
      <c r="AP662" s="17" t="n"/>
      <c r="AQ662" s="16" t="n"/>
      <c r="AR662" s="20" t="n"/>
      <c r="AS662" s="20" t="inlineStr">
        <is>
          <t>None</t>
        </is>
      </c>
      <c r="AT662" s="17" t="n"/>
      <c r="AU662" s="16" t="n"/>
      <c r="AV662" s="20" t="n"/>
      <c r="AW662" s="20" t="inlineStr">
        <is>
          <t>None</t>
        </is>
      </c>
      <c r="AX662" s="17" t="n"/>
      <c r="AY662" s="16" t="n"/>
      <c r="AZ662" s="20" t="inlineStr">
        <is>
          <t>IC Anionen</t>
        </is>
      </c>
      <c r="BA662" s="20" t="inlineStr">
        <is>
          <t>None</t>
        </is>
      </c>
      <c r="BB662" s="17" t="n"/>
      <c r="BC662" s="16" t="n"/>
      <c r="BD662" s="20" t="inlineStr">
        <is>
          <t>IC Kationen</t>
        </is>
      </c>
      <c r="BE662" s="20" t="inlineStr">
        <is>
          <t>None</t>
        </is>
      </c>
      <c r="BF662" s="17" t="n"/>
      <c r="BG662" s="16" t="n"/>
      <c r="BH662" s="20" t="inlineStr">
        <is>
          <t>IC Kationen</t>
        </is>
      </c>
      <c r="BI662" s="20" t="inlineStr">
        <is>
          <t>None</t>
        </is>
      </c>
      <c r="BJ662" s="17" t="n"/>
      <c r="BK662" s="16" t="n"/>
      <c r="BL662" s="20" t="inlineStr">
        <is>
          <t>IC Kationen</t>
        </is>
      </c>
      <c r="BM662" s="20" t="inlineStr">
        <is>
          <t>None</t>
        </is>
      </c>
      <c r="BN662" s="17" t="n"/>
      <c r="BO662" s="16" t="n"/>
      <c r="BP662" s="20" t="inlineStr">
        <is>
          <t>IC Kationen</t>
        </is>
      </c>
      <c r="BQ662" s="20" t="inlineStr">
        <is>
          <t>None</t>
        </is>
      </c>
      <c r="BR662" s="17" t="n"/>
      <c r="BS662" s="16" t="n"/>
      <c r="BT662" s="20" t="inlineStr">
        <is>
          <t>IC Kationen</t>
        </is>
      </c>
      <c r="BU662" s="20" t="inlineStr">
        <is>
          <t>None</t>
        </is>
      </c>
      <c r="BV662" s="17" t="n"/>
      <c r="BW662" s="16" t="n"/>
      <c r="BX662" s="20" t="n"/>
      <c r="BY662" s="20" t="inlineStr">
        <is>
          <t>None</t>
        </is>
      </c>
      <c r="BZ662" s="17" t="n"/>
      <c r="CA662" s="16" t="n"/>
      <c r="CB662" s="20" t="n"/>
      <c r="CC662" s="20" t="inlineStr">
        <is>
          <t>None</t>
        </is>
      </c>
      <c r="CD662" s="17" t="n"/>
      <c r="CE662" s="16" t="n"/>
      <c r="CF662" s="20" t="n"/>
      <c r="CG662" s="20" t="inlineStr">
        <is>
          <t>None</t>
        </is>
      </c>
      <c r="CH662" s="17" t="n"/>
      <c r="CI662" s="16" t="n"/>
      <c r="CJ662" s="20" t="n"/>
      <c r="CK662" s="20" t="inlineStr">
        <is>
          <t>None</t>
        </is>
      </c>
      <c r="CL662" s="17" t="n"/>
      <c r="CM662" s="16" t="n"/>
      <c r="CN662" s="20" t="inlineStr">
        <is>
          <t>SOP 45-34</t>
        </is>
      </c>
      <c r="CO662" s="20" t="inlineStr">
        <is>
          <t>None</t>
        </is>
      </c>
      <c r="CP662" s="17" t="n"/>
      <c r="CQ662" s="16" t="n"/>
      <c r="CR662" s="20" t="n"/>
      <c r="CS662" s="20" t="inlineStr">
        <is>
          <t>None</t>
        </is>
      </c>
      <c r="CT662" s="17" t="n"/>
      <c r="CU662" s="16" t="n"/>
      <c r="CV662" s="20" t="n"/>
      <c r="CW662" s="20" t="inlineStr">
        <is>
          <t>None</t>
        </is>
      </c>
      <c r="CX662" s="17" t="n"/>
      <c r="CY662" s="16" t="n"/>
      <c r="CZ662" s="20" t="inlineStr">
        <is>
          <t>WTW Multimeter 3430 with FDO 925</t>
        </is>
      </c>
      <c r="DA662" s="20" t="inlineStr">
        <is>
          <t>None</t>
        </is>
      </c>
      <c r="DB662" s="17" t="n"/>
      <c r="DC662" s="16" t="n"/>
      <c r="DD662" s="20" t="n"/>
      <c r="DE662" s="20" t="inlineStr">
        <is>
          <t>None</t>
        </is>
      </c>
      <c r="DF662" s="17" t="n"/>
      <c r="DG662" s="16" t="n"/>
      <c r="DH662" s="20" t="inlineStr">
        <is>
          <t>SOP 45-09</t>
        </is>
      </c>
      <c r="DI662" s="20" t="inlineStr">
        <is>
          <t>None</t>
        </is>
      </c>
      <c r="DJ662" s="17" t="n"/>
      <c r="DK662" s="16" t="n"/>
      <c r="DL662" s="20" t="inlineStr">
        <is>
          <t>SOP 45-09 (SOP muss noch angepasst werden für VSS)</t>
        </is>
      </c>
      <c r="DM662" s="20" t="inlineStr">
        <is>
          <t>None</t>
        </is>
      </c>
      <c r="DN662" s="17" t="n"/>
      <c r="DO662" s="16" t="n"/>
      <c r="DP662" s="20" t="inlineStr">
        <is>
          <t>IC Organic Acids</t>
        </is>
      </c>
      <c r="DQ662" s="20" t="inlineStr">
        <is>
          <t>None</t>
        </is>
      </c>
      <c r="DR662" s="17" t="n"/>
      <c r="DS662" s="16" t="n"/>
      <c r="DT662" s="20" t="inlineStr">
        <is>
          <t>IC Organic Acids</t>
        </is>
      </c>
      <c r="DU662" s="20" t="inlineStr">
        <is>
          <t>None</t>
        </is>
      </c>
      <c r="DV662" s="17" t="n"/>
      <c r="DW662" s="16" t="n"/>
      <c r="DX662" s="20" t="inlineStr">
        <is>
          <t>IC Organic Acids</t>
        </is>
      </c>
      <c r="DY662" s="20" t="inlineStr">
        <is>
          <t>None</t>
        </is>
      </c>
      <c r="DZ662" s="17" t="n"/>
      <c r="EA662" s="16" t="n"/>
      <c r="EB662" s="20" t="inlineStr">
        <is>
          <t>IC Organic Acids</t>
        </is>
      </c>
      <c r="EC662" s="20" t="inlineStr">
        <is>
          <t>None</t>
        </is>
      </c>
      <c r="ED662" s="17" t="n"/>
      <c r="EE662" s="16" t="n"/>
      <c r="EF662" s="20" t="inlineStr">
        <is>
          <t>IC Organic Acids</t>
        </is>
      </c>
      <c r="EG662" s="20" t="inlineStr">
        <is>
          <t>None</t>
        </is>
      </c>
      <c r="EH662" s="17" t="n"/>
      <c r="EI662" s="16" t="n"/>
      <c r="EJ662" s="20" t="inlineStr">
        <is>
          <t>IC Organic Acids</t>
        </is>
      </c>
      <c r="EK662" s="20" t="inlineStr">
        <is>
          <t>None</t>
        </is>
      </c>
      <c r="EL662" s="17" t="n"/>
      <c r="EM662" s="16" t="n"/>
      <c r="EN662" s="20" t="inlineStr">
        <is>
          <t>IC Organic Acids</t>
        </is>
      </c>
      <c r="EO662" s="20" t="inlineStr">
        <is>
          <t>None</t>
        </is>
      </c>
      <c r="EP662" s="17" t="n"/>
      <c r="EQ662" s="16" t="n"/>
      <c r="ER662" s="20" t="inlineStr">
        <is>
          <t>IC Organic Acids</t>
        </is>
      </c>
      <c r="ES662" s="20" t="inlineStr">
        <is>
          <t>None</t>
        </is>
      </c>
      <c r="ET662" s="17" t="n"/>
      <c r="EU662" s="16" t="n"/>
      <c r="EV662" s="20" t="inlineStr">
        <is>
          <t>LC-MS</t>
        </is>
      </c>
      <c r="EW662" s="20" t="inlineStr">
        <is>
          <t>None</t>
        </is>
      </c>
      <c r="EX662" s="17" t="n"/>
      <c r="EY662" s="21" t="n"/>
      <c r="EZ662">
        <f>CONCATENATE(A662,B662)</f>
        <v/>
      </c>
      <c r="FA662">
        <f>CONCATENATE(SamplesX!A662,SamplesX!B662)</f>
        <v/>
      </c>
      <c r="FC662">
        <f>MATCH(EZ662,FA1:FA1008,0)</f>
        <v/>
      </c>
    </row>
    <row r="663">
      <c r="A663" s="16" t="n"/>
      <c r="B663" s="17" t="n"/>
      <c r="C663" s="10">
        <f>IF(ISNUMBER(FC663),INDIRECT("SamplesX!C"&amp;FC663),IF(ISNUMBER(FD663),INDIRECT("SamplesY!C"&amp;FD663),""))</f>
        <v/>
      </c>
      <c r="D663" s="12">
        <f>IF(ISNUMBER(FC663),INDIRECT("SamplesX!D"&amp;FC663),IF(ISNUMBER(FD663),INDIRECT("SamplesY!D"&amp;FD663),""))</f>
        <v/>
      </c>
      <c r="E663" s="12">
        <f>IF(ISNUMBER(FC663),INDIRECT("SamplesX!E"&amp;FC663),IF(ISNUMBER(FD663),INDIRECT("SamplesY!E"&amp;FD663),""))</f>
        <v/>
      </c>
      <c r="F663" s="11">
        <f>IF(ISNUMBER(FC663),INDIRECT("SamplesX!F"&amp;FC663),IF(ISNUMBER(FD663),INDIRECT("SamplesY!F"&amp;FD663),""))</f>
        <v/>
      </c>
      <c r="G663" s="18">
        <f>IF(ISNUMBER(FC663),INDIRECT("SamplesX!G"&amp;FC663),IF(ISNUMBER(FD663),INDIRECT("SamplesY!G"&amp;FD663),""))</f>
        <v/>
      </c>
      <c r="H663" s="19">
        <f>IF(ISNUMBER(FC663),INDIRECT("SamplesX!H"&amp;FC663),IF(ISNUMBER(FD663),INDIRECT("SamplesY!H"&amp;FD663),""))</f>
        <v/>
      </c>
      <c r="I663" s="16" t="n"/>
      <c r="J663" s="16" t="n"/>
      <c r="K663" s="16" t="n"/>
      <c r="L663" s="20" t="n"/>
      <c r="M663" s="20" t="inlineStr">
        <is>
          <t>None</t>
        </is>
      </c>
      <c r="N663" s="17" t="n"/>
      <c r="O663" s="16" t="n"/>
      <c r="P663" s="20" t="inlineStr">
        <is>
          <t>Shimadzu TOC-L</t>
        </is>
      </c>
      <c r="Q663" s="20" t="inlineStr">
        <is>
          <t>None</t>
        </is>
      </c>
      <c r="R663" s="17" t="n"/>
      <c r="S663" s="16" t="n"/>
      <c r="T663" s="20" t="inlineStr">
        <is>
          <t>Shimadzu TOC-L</t>
        </is>
      </c>
      <c r="U663" s="20" t="inlineStr">
        <is>
          <t>None</t>
        </is>
      </c>
      <c r="V663" s="17" t="n"/>
      <c r="W663" s="16" t="n"/>
      <c r="X663" s="20" t="n"/>
      <c r="Y663" s="20" t="inlineStr">
        <is>
          <t>None</t>
        </is>
      </c>
      <c r="Z663" s="17" t="n"/>
      <c r="AA663" s="16" t="n"/>
      <c r="AB663" s="20" t="n"/>
      <c r="AC663" s="20" t="inlineStr">
        <is>
          <t>None</t>
        </is>
      </c>
      <c r="AD663" s="17" t="n"/>
      <c r="AE663" s="16" t="n"/>
      <c r="AF663" s="20" t="inlineStr">
        <is>
          <t>IC Anionen</t>
        </is>
      </c>
      <c r="AG663" s="20" t="inlineStr">
        <is>
          <t>None</t>
        </is>
      </c>
      <c r="AH663" s="17" t="n"/>
      <c r="AI663" s="16" t="n"/>
      <c r="AJ663" s="20" t="n"/>
      <c r="AK663" s="20" t="inlineStr">
        <is>
          <t>None</t>
        </is>
      </c>
      <c r="AL663" s="17" t="n"/>
      <c r="AM663" s="16" t="n"/>
      <c r="AN663" s="20" t="inlineStr">
        <is>
          <t>IC Anionen</t>
        </is>
      </c>
      <c r="AO663" s="20" t="inlineStr">
        <is>
          <t>None</t>
        </is>
      </c>
      <c r="AP663" s="17" t="n"/>
      <c r="AQ663" s="16" t="n"/>
      <c r="AR663" s="20" t="n"/>
      <c r="AS663" s="20" t="inlineStr">
        <is>
          <t>None</t>
        </is>
      </c>
      <c r="AT663" s="17" t="n"/>
      <c r="AU663" s="16" t="n"/>
      <c r="AV663" s="20" t="n"/>
      <c r="AW663" s="20" t="inlineStr">
        <is>
          <t>None</t>
        </is>
      </c>
      <c r="AX663" s="17" t="n"/>
      <c r="AY663" s="16" t="n"/>
      <c r="AZ663" s="20" t="inlineStr">
        <is>
          <t>IC Anionen</t>
        </is>
      </c>
      <c r="BA663" s="20" t="inlineStr">
        <is>
          <t>None</t>
        </is>
      </c>
      <c r="BB663" s="17" t="n"/>
      <c r="BC663" s="16" t="n"/>
      <c r="BD663" s="20" t="inlineStr">
        <is>
          <t>IC Kationen</t>
        </is>
      </c>
      <c r="BE663" s="20" t="inlineStr">
        <is>
          <t>None</t>
        </is>
      </c>
      <c r="BF663" s="17" t="n"/>
      <c r="BG663" s="16" t="n"/>
      <c r="BH663" s="20" t="inlineStr">
        <is>
          <t>IC Kationen</t>
        </is>
      </c>
      <c r="BI663" s="20" t="inlineStr">
        <is>
          <t>None</t>
        </is>
      </c>
      <c r="BJ663" s="17" t="n"/>
      <c r="BK663" s="16" t="n"/>
      <c r="BL663" s="20" t="inlineStr">
        <is>
          <t>IC Kationen</t>
        </is>
      </c>
      <c r="BM663" s="20" t="inlineStr">
        <is>
          <t>None</t>
        </is>
      </c>
      <c r="BN663" s="17" t="n"/>
      <c r="BO663" s="16" t="n"/>
      <c r="BP663" s="20" t="inlineStr">
        <is>
          <t>IC Kationen</t>
        </is>
      </c>
      <c r="BQ663" s="20" t="inlineStr">
        <is>
          <t>None</t>
        </is>
      </c>
      <c r="BR663" s="17" t="n"/>
      <c r="BS663" s="16" t="n"/>
      <c r="BT663" s="20" t="inlineStr">
        <is>
          <t>IC Kationen</t>
        </is>
      </c>
      <c r="BU663" s="20" t="inlineStr">
        <is>
          <t>None</t>
        </is>
      </c>
      <c r="BV663" s="17" t="n"/>
      <c r="BW663" s="16" t="n"/>
      <c r="BX663" s="20" t="n"/>
      <c r="BY663" s="20" t="inlineStr">
        <is>
          <t>None</t>
        </is>
      </c>
      <c r="BZ663" s="17" t="n"/>
      <c r="CA663" s="16" t="n"/>
      <c r="CB663" s="20" t="n"/>
      <c r="CC663" s="20" t="inlineStr">
        <is>
          <t>None</t>
        </is>
      </c>
      <c r="CD663" s="17" t="n"/>
      <c r="CE663" s="16" t="n"/>
      <c r="CF663" s="20" t="n"/>
      <c r="CG663" s="20" t="inlineStr">
        <is>
          <t>None</t>
        </is>
      </c>
      <c r="CH663" s="17" t="n"/>
      <c r="CI663" s="16" t="n"/>
      <c r="CJ663" s="20" t="n"/>
      <c r="CK663" s="20" t="inlineStr">
        <is>
          <t>None</t>
        </is>
      </c>
      <c r="CL663" s="17" t="n"/>
      <c r="CM663" s="16" t="n"/>
      <c r="CN663" s="20" t="inlineStr">
        <is>
          <t>SOP 45-34</t>
        </is>
      </c>
      <c r="CO663" s="20" t="inlineStr">
        <is>
          <t>None</t>
        </is>
      </c>
      <c r="CP663" s="17" t="n"/>
      <c r="CQ663" s="16" t="n"/>
      <c r="CR663" s="20" t="n"/>
      <c r="CS663" s="20" t="inlineStr">
        <is>
          <t>None</t>
        </is>
      </c>
      <c r="CT663" s="17" t="n"/>
      <c r="CU663" s="16" t="n"/>
      <c r="CV663" s="20" t="n"/>
      <c r="CW663" s="20" t="inlineStr">
        <is>
          <t>None</t>
        </is>
      </c>
      <c r="CX663" s="17" t="n"/>
      <c r="CY663" s="16" t="n"/>
      <c r="CZ663" s="20" t="inlineStr">
        <is>
          <t>WTW Multimeter 3430 with FDO 925</t>
        </is>
      </c>
      <c r="DA663" s="20" t="inlineStr">
        <is>
          <t>None</t>
        </is>
      </c>
      <c r="DB663" s="17" t="n"/>
      <c r="DC663" s="16" t="n"/>
      <c r="DD663" s="20" t="n"/>
      <c r="DE663" s="20" t="inlineStr">
        <is>
          <t>None</t>
        </is>
      </c>
      <c r="DF663" s="17" t="n"/>
      <c r="DG663" s="16" t="n"/>
      <c r="DH663" s="20" t="inlineStr">
        <is>
          <t>SOP 45-09</t>
        </is>
      </c>
      <c r="DI663" s="20" t="inlineStr">
        <is>
          <t>None</t>
        </is>
      </c>
      <c r="DJ663" s="17" t="n"/>
      <c r="DK663" s="16" t="n"/>
      <c r="DL663" s="20" t="inlineStr">
        <is>
          <t>SOP 45-09 (SOP muss noch angepasst werden für VSS)</t>
        </is>
      </c>
      <c r="DM663" s="20" t="inlineStr">
        <is>
          <t>None</t>
        </is>
      </c>
      <c r="DN663" s="17" t="n"/>
      <c r="DO663" s="16" t="n"/>
      <c r="DP663" s="20" t="inlineStr">
        <is>
          <t>IC Organic Acids</t>
        </is>
      </c>
      <c r="DQ663" s="20" t="inlineStr">
        <is>
          <t>None</t>
        </is>
      </c>
      <c r="DR663" s="17" t="n"/>
      <c r="DS663" s="16" t="n"/>
      <c r="DT663" s="20" t="inlineStr">
        <is>
          <t>IC Organic Acids</t>
        </is>
      </c>
      <c r="DU663" s="20" t="inlineStr">
        <is>
          <t>None</t>
        </is>
      </c>
      <c r="DV663" s="17" t="n"/>
      <c r="DW663" s="16" t="n"/>
      <c r="DX663" s="20" t="inlineStr">
        <is>
          <t>IC Organic Acids</t>
        </is>
      </c>
      <c r="DY663" s="20" t="inlineStr">
        <is>
          <t>None</t>
        </is>
      </c>
      <c r="DZ663" s="17" t="n"/>
      <c r="EA663" s="16" t="n"/>
      <c r="EB663" s="20" t="inlineStr">
        <is>
          <t>IC Organic Acids</t>
        </is>
      </c>
      <c r="EC663" s="20" t="inlineStr">
        <is>
          <t>None</t>
        </is>
      </c>
      <c r="ED663" s="17" t="n"/>
      <c r="EE663" s="16" t="n"/>
      <c r="EF663" s="20" t="inlineStr">
        <is>
          <t>IC Organic Acids</t>
        </is>
      </c>
      <c r="EG663" s="20" t="inlineStr">
        <is>
          <t>None</t>
        </is>
      </c>
      <c r="EH663" s="17" t="n"/>
      <c r="EI663" s="16" t="n"/>
      <c r="EJ663" s="20" t="inlineStr">
        <is>
          <t>IC Organic Acids</t>
        </is>
      </c>
      <c r="EK663" s="20" t="inlineStr">
        <is>
          <t>None</t>
        </is>
      </c>
      <c r="EL663" s="17" t="n"/>
      <c r="EM663" s="16" t="n"/>
      <c r="EN663" s="20" t="inlineStr">
        <is>
          <t>IC Organic Acids</t>
        </is>
      </c>
      <c r="EO663" s="20" t="inlineStr">
        <is>
          <t>None</t>
        </is>
      </c>
      <c r="EP663" s="17" t="n"/>
      <c r="EQ663" s="16" t="n"/>
      <c r="ER663" s="20" t="inlineStr">
        <is>
          <t>IC Organic Acids</t>
        </is>
      </c>
      <c r="ES663" s="20" t="inlineStr">
        <is>
          <t>None</t>
        </is>
      </c>
      <c r="ET663" s="17" t="n"/>
      <c r="EU663" s="16" t="n"/>
      <c r="EV663" s="20" t="inlineStr">
        <is>
          <t>LC-MS</t>
        </is>
      </c>
      <c r="EW663" s="20" t="inlineStr">
        <is>
          <t>None</t>
        </is>
      </c>
      <c r="EX663" s="17" t="n"/>
      <c r="EY663" s="21" t="n"/>
      <c r="EZ663">
        <f>CONCATENATE(A663,B663)</f>
        <v/>
      </c>
      <c r="FA663">
        <f>CONCATENATE(SamplesX!A663,SamplesX!B663)</f>
        <v/>
      </c>
      <c r="FC663">
        <f>MATCH(EZ663,FA1:FA1008,0)</f>
        <v/>
      </c>
    </row>
    <row r="664">
      <c r="A664" s="16" t="n"/>
      <c r="B664" s="17" t="n"/>
      <c r="C664" s="10">
        <f>IF(ISNUMBER(FC664),INDIRECT("SamplesX!C"&amp;FC664),IF(ISNUMBER(FD664),INDIRECT("SamplesY!C"&amp;FD664),""))</f>
        <v/>
      </c>
      <c r="D664" s="12">
        <f>IF(ISNUMBER(FC664),INDIRECT("SamplesX!D"&amp;FC664),IF(ISNUMBER(FD664),INDIRECT("SamplesY!D"&amp;FD664),""))</f>
        <v/>
      </c>
      <c r="E664" s="12">
        <f>IF(ISNUMBER(FC664),INDIRECT("SamplesX!E"&amp;FC664),IF(ISNUMBER(FD664),INDIRECT("SamplesY!E"&amp;FD664),""))</f>
        <v/>
      </c>
      <c r="F664" s="11">
        <f>IF(ISNUMBER(FC664),INDIRECT("SamplesX!F"&amp;FC664),IF(ISNUMBER(FD664),INDIRECT("SamplesY!F"&amp;FD664),""))</f>
        <v/>
      </c>
      <c r="G664" s="18">
        <f>IF(ISNUMBER(FC664),INDIRECT("SamplesX!G"&amp;FC664),IF(ISNUMBER(FD664),INDIRECT("SamplesY!G"&amp;FD664),""))</f>
        <v/>
      </c>
      <c r="H664" s="19">
        <f>IF(ISNUMBER(FC664),INDIRECT("SamplesX!H"&amp;FC664),IF(ISNUMBER(FD664),INDIRECT("SamplesY!H"&amp;FD664),""))</f>
        <v/>
      </c>
      <c r="I664" s="16" t="n"/>
      <c r="J664" s="16" t="n"/>
      <c r="K664" s="16" t="n"/>
      <c r="L664" s="20" t="n"/>
      <c r="M664" s="20" t="inlineStr">
        <is>
          <t>None</t>
        </is>
      </c>
      <c r="N664" s="17" t="n"/>
      <c r="O664" s="16" t="n"/>
      <c r="P664" s="20" t="inlineStr">
        <is>
          <t>Shimadzu TOC-L</t>
        </is>
      </c>
      <c r="Q664" s="20" t="inlineStr">
        <is>
          <t>None</t>
        </is>
      </c>
      <c r="R664" s="17" t="n"/>
      <c r="S664" s="16" t="n"/>
      <c r="T664" s="20" t="inlineStr">
        <is>
          <t>Shimadzu TOC-L</t>
        </is>
      </c>
      <c r="U664" s="20" t="inlineStr">
        <is>
          <t>None</t>
        </is>
      </c>
      <c r="V664" s="17" t="n"/>
      <c r="W664" s="16" t="n"/>
      <c r="X664" s="20" t="n"/>
      <c r="Y664" s="20" t="inlineStr">
        <is>
          <t>None</t>
        </is>
      </c>
      <c r="Z664" s="17" t="n"/>
      <c r="AA664" s="16" t="n"/>
      <c r="AB664" s="20" t="n"/>
      <c r="AC664" s="20" t="inlineStr">
        <is>
          <t>None</t>
        </is>
      </c>
      <c r="AD664" s="17" t="n"/>
      <c r="AE664" s="16" t="n"/>
      <c r="AF664" s="20" t="inlineStr">
        <is>
          <t>IC Anionen</t>
        </is>
      </c>
      <c r="AG664" s="20" t="inlineStr">
        <is>
          <t>None</t>
        </is>
      </c>
      <c r="AH664" s="17" t="n"/>
      <c r="AI664" s="16" t="n"/>
      <c r="AJ664" s="20" t="n"/>
      <c r="AK664" s="20" t="inlineStr">
        <is>
          <t>None</t>
        </is>
      </c>
      <c r="AL664" s="17" t="n"/>
      <c r="AM664" s="16" t="n"/>
      <c r="AN664" s="20" t="inlineStr">
        <is>
          <t>IC Anionen</t>
        </is>
      </c>
      <c r="AO664" s="20" t="inlineStr">
        <is>
          <t>None</t>
        </is>
      </c>
      <c r="AP664" s="17" t="n"/>
      <c r="AQ664" s="16" t="n"/>
      <c r="AR664" s="20" t="n"/>
      <c r="AS664" s="20" t="inlineStr">
        <is>
          <t>None</t>
        </is>
      </c>
      <c r="AT664" s="17" t="n"/>
      <c r="AU664" s="16" t="n"/>
      <c r="AV664" s="20" t="n"/>
      <c r="AW664" s="20" t="inlineStr">
        <is>
          <t>None</t>
        </is>
      </c>
      <c r="AX664" s="17" t="n"/>
      <c r="AY664" s="16" t="n"/>
      <c r="AZ664" s="20" t="inlineStr">
        <is>
          <t>IC Anionen</t>
        </is>
      </c>
      <c r="BA664" s="20" t="inlineStr">
        <is>
          <t>None</t>
        </is>
      </c>
      <c r="BB664" s="17" t="n"/>
      <c r="BC664" s="16" t="n"/>
      <c r="BD664" s="20" t="inlineStr">
        <is>
          <t>IC Kationen</t>
        </is>
      </c>
      <c r="BE664" s="20" t="inlineStr">
        <is>
          <t>None</t>
        </is>
      </c>
      <c r="BF664" s="17" t="n"/>
      <c r="BG664" s="16" t="n"/>
      <c r="BH664" s="20" t="inlineStr">
        <is>
          <t>IC Kationen</t>
        </is>
      </c>
      <c r="BI664" s="20" t="inlineStr">
        <is>
          <t>None</t>
        </is>
      </c>
      <c r="BJ664" s="17" t="n"/>
      <c r="BK664" s="16" t="n"/>
      <c r="BL664" s="20" t="inlineStr">
        <is>
          <t>IC Kationen</t>
        </is>
      </c>
      <c r="BM664" s="20" t="inlineStr">
        <is>
          <t>None</t>
        </is>
      </c>
      <c r="BN664" s="17" t="n"/>
      <c r="BO664" s="16" t="n"/>
      <c r="BP664" s="20" t="inlineStr">
        <is>
          <t>IC Kationen</t>
        </is>
      </c>
      <c r="BQ664" s="20" t="inlineStr">
        <is>
          <t>None</t>
        </is>
      </c>
      <c r="BR664" s="17" t="n"/>
      <c r="BS664" s="16" t="n"/>
      <c r="BT664" s="20" t="inlineStr">
        <is>
          <t>IC Kationen</t>
        </is>
      </c>
      <c r="BU664" s="20" t="inlineStr">
        <is>
          <t>None</t>
        </is>
      </c>
      <c r="BV664" s="17" t="n"/>
      <c r="BW664" s="16" t="n"/>
      <c r="BX664" s="20" t="n"/>
      <c r="BY664" s="20" t="inlineStr">
        <is>
          <t>None</t>
        </is>
      </c>
      <c r="BZ664" s="17" t="n"/>
      <c r="CA664" s="16" t="n"/>
      <c r="CB664" s="20" t="n"/>
      <c r="CC664" s="20" t="inlineStr">
        <is>
          <t>None</t>
        </is>
      </c>
      <c r="CD664" s="17" t="n"/>
      <c r="CE664" s="16" t="n"/>
      <c r="CF664" s="20" t="n"/>
      <c r="CG664" s="20" t="inlineStr">
        <is>
          <t>None</t>
        </is>
      </c>
      <c r="CH664" s="17" t="n"/>
      <c r="CI664" s="16" t="n"/>
      <c r="CJ664" s="20" t="n"/>
      <c r="CK664" s="20" t="inlineStr">
        <is>
          <t>None</t>
        </is>
      </c>
      <c r="CL664" s="17" t="n"/>
      <c r="CM664" s="16" t="n"/>
      <c r="CN664" s="20" t="inlineStr">
        <is>
          <t>SOP 45-34</t>
        </is>
      </c>
      <c r="CO664" s="20" t="inlineStr">
        <is>
          <t>None</t>
        </is>
      </c>
      <c r="CP664" s="17" t="n"/>
      <c r="CQ664" s="16" t="n"/>
      <c r="CR664" s="20" t="n"/>
      <c r="CS664" s="20" t="inlineStr">
        <is>
          <t>None</t>
        </is>
      </c>
      <c r="CT664" s="17" t="n"/>
      <c r="CU664" s="16" t="n"/>
      <c r="CV664" s="20" t="n"/>
      <c r="CW664" s="20" t="inlineStr">
        <is>
          <t>None</t>
        </is>
      </c>
      <c r="CX664" s="17" t="n"/>
      <c r="CY664" s="16" t="n"/>
      <c r="CZ664" s="20" t="inlineStr">
        <is>
          <t>WTW Multimeter 3430 with FDO 925</t>
        </is>
      </c>
      <c r="DA664" s="20" t="inlineStr">
        <is>
          <t>None</t>
        </is>
      </c>
      <c r="DB664" s="17" t="n"/>
      <c r="DC664" s="16" t="n"/>
      <c r="DD664" s="20" t="n"/>
      <c r="DE664" s="20" t="inlineStr">
        <is>
          <t>None</t>
        </is>
      </c>
      <c r="DF664" s="17" t="n"/>
      <c r="DG664" s="16" t="n"/>
      <c r="DH664" s="20" t="inlineStr">
        <is>
          <t>SOP 45-09</t>
        </is>
      </c>
      <c r="DI664" s="20" t="inlineStr">
        <is>
          <t>None</t>
        </is>
      </c>
      <c r="DJ664" s="17" t="n"/>
      <c r="DK664" s="16" t="n"/>
      <c r="DL664" s="20" t="inlineStr">
        <is>
          <t>SOP 45-09 (SOP muss noch angepasst werden für VSS)</t>
        </is>
      </c>
      <c r="DM664" s="20" t="inlineStr">
        <is>
          <t>None</t>
        </is>
      </c>
      <c r="DN664" s="17" t="n"/>
      <c r="DO664" s="16" t="n"/>
      <c r="DP664" s="20" t="inlineStr">
        <is>
          <t>IC Organic Acids</t>
        </is>
      </c>
      <c r="DQ664" s="20" t="inlineStr">
        <is>
          <t>None</t>
        </is>
      </c>
      <c r="DR664" s="17" t="n"/>
      <c r="DS664" s="16" t="n"/>
      <c r="DT664" s="20" t="inlineStr">
        <is>
          <t>IC Organic Acids</t>
        </is>
      </c>
      <c r="DU664" s="20" t="inlineStr">
        <is>
          <t>None</t>
        </is>
      </c>
      <c r="DV664" s="17" t="n"/>
      <c r="DW664" s="16" t="n"/>
      <c r="DX664" s="20" t="inlineStr">
        <is>
          <t>IC Organic Acids</t>
        </is>
      </c>
      <c r="DY664" s="20" t="inlineStr">
        <is>
          <t>None</t>
        </is>
      </c>
      <c r="DZ664" s="17" t="n"/>
      <c r="EA664" s="16" t="n"/>
      <c r="EB664" s="20" t="inlineStr">
        <is>
          <t>IC Organic Acids</t>
        </is>
      </c>
      <c r="EC664" s="20" t="inlineStr">
        <is>
          <t>None</t>
        </is>
      </c>
      <c r="ED664" s="17" t="n"/>
      <c r="EE664" s="16" t="n"/>
      <c r="EF664" s="20" t="inlineStr">
        <is>
          <t>IC Organic Acids</t>
        </is>
      </c>
      <c r="EG664" s="20" t="inlineStr">
        <is>
          <t>None</t>
        </is>
      </c>
      <c r="EH664" s="17" t="n"/>
      <c r="EI664" s="16" t="n"/>
      <c r="EJ664" s="20" t="inlineStr">
        <is>
          <t>IC Organic Acids</t>
        </is>
      </c>
      <c r="EK664" s="20" t="inlineStr">
        <is>
          <t>None</t>
        </is>
      </c>
      <c r="EL664" s="17" t="n"/>
      <c r="EM664" s="16" t="n"/>
      <c r="EN664" s="20" t="inlineStr">
        <is>
          <t>IC Organic Acids</t>
        </is>
      </c>
      <c r="EO664" s="20" t="inlineStr">
        <is>
          <t>None</t>
        </is>
      </c>
      <c r="EP664" s="17" t="n"/>
      <c r="EQ664" s="16" t="n"/>
      <c r="ER664" s="20" t="inlineStr">
        <is>
          <t>IC Organic Acids</t>
        </is>
      </c>
      <c r="ES664" s="20" t="inlineStr">
        <is>
          <t>None</t>
        </is>
      </c>
      <c r="ET664" s="17" t="n"/>
      <c r="EU664" s="16" t="n"/>
      <c r="EV664" s="20" t="inlineStr">
        <is>
          <t>LC-MS</t>
        </is>
      </c>
      <c r="EW664" s="20" t="inlineStr">
        <is>
          <t>None</t>
        </is>
      </c>
      <c r="EX664" s="17" t="n"/>
      <c r="EY664" s="21" t="n"/>
      <c r="EZ664">
        <f>CONCATENATE(A664,B664)</f>
        <v/>
      </c>
      <c r="FA664">
        <f>CONCATENATE(SamplesX!A664,SamplesX!B664)</f>
        <v/>
      </c>
      <c r="FC664">
        <f>MATCH(EZ664,FA1:FA1008,0)</f>
        <v/>
      </c>
    </row>
    <row r="665">
      <c r="A665" s="16" t="n"/>
      <c r="B665" s="17" t="n"/>
      <c r="C665" s="10">
        <f>IF(ISNUMBER(FC665),INDIRECT("SamplesX!C"&amp;FC665),IF(ISNUMBER(FD665),INDIRECT("SamplesY!C"&amp;FD665),""))</f>
        <v/>
      </c>
      <c r="D665" s="12">
        <f>IF(ISNUMBER(FC665),INDIRECT("SamplesX!D"&amp;FC665),IF(ISNUMBER(FD665),INDIRECT("SamplesY!D"&amp;FD665),""))</f>
        <v/>
      </c>
      <c r="E665" s="12">
        <f>IF(ISNUMBER(FC665),INDIRECT("SamplesX!E"&amp;FC665),IF(ISNUMBER(FD665),INDIRECT("SamplesY!E"&amp;FD665),""))</f>
        <v/>
      </c>
      <c r="F665" s="11">
        <f>IF(ISNUMBER(FC665),INDIRECT("SamplesX!F"&amp;FC665),IF(ISNUMBER(FD665),INDIRECT("SamplesY!F"&amp;FD665),""))</f>
        <v/>
      </c>
      <c r="G665" s="18">
        <f>IF(ISNUMBER(FC665),INDIRECT("SamplesX!G"&amp;FC665),IF(ISNUMBER(FD665),INDIRECT("SamplesY!G"&amp;FD665),""))</f>
        <v/>
      </c>
      <c r="H665" s="19">
        <f>IF(ISNUMBER(FC665),INDIRECT("SamplesX!H"&amp;FC665),IF(ISNUMBER(FD665),INDIRECT("SamplesY!H"&amp;FD665),""))</f>
        <v/>
      </c>
      <c r="I665" s="16" t="n"/>
      <c r="J665" s="16" t="n"/>
      <c r="K665" s="16" t="n"/>
      <c r="L665" s="20" t="n"/>
      <c r="M665" s="20" t="inlineStr">
        <is>
          <t>None</t>
        </is>
      </c>
      <c r="N665" s="17" t="n"/>
      <c r="O665" s="16" t="n"/>
      <c r="P665" s="20" t="inlineStr">
        <is>
          <t>Shimadzu TOC-L</t>
        </is>
      </c>
      <c r="Q665" s="20" t="inlineStr">
        <is>
          <t>None</t>
        </is>
      </c>
      <c r="R665" s="17" t="n"/>
      <c r="S665" s="16" t="n"/>
      <c r="T665" s="20" t="inlineStr">
        <is>
          <t>Shimadzu TOC-L</t>
        </is>
      </c>
      <c r="U665" s="20" t="inlineStr">
        <is>
          <t>None</t>
        </is>
      </c>
      <c r="V665" s="17" t="n"/>
      <c r="W665" s="16" t="n"/>
      <c r="X665" s="20" t="n"/>
      <c r="Y665" s="20" t="inlineStr">
        <is>
          <t>None</t>
        </is>
      </c>
      <c r="Z665" s="17" t="n"/>
      <c r="AA665" s="16" t="n"/>
      <c r="AB665" s="20" t="n"/>
      <c r="AC665" s="20" t="inlineStr">
        <is>
          <t>None</t>
        </is>
      </c>
      <c r="AD665" s="17" t="n"/>
      <c r="AE665" s="16" t="n"/>
      <c r="AF665" s="20" t="inlineStr">
        <is>
          <t>IC Anionen</t>
        </is>
      </c>
      <c r="AG665" s="20" t="inlineStr">
        <is>
          <t>None</t>
        </is>
      </c>
      <c r="AH665" s="17" t="n"/>
      <c r="AI665" s="16" t="n"/>
      <c r="AJ665" s="20" t="n"/>
      <c r="AK665" s="20" t="inlineStr">
        <is>
          <t>None</t>
        </is>
      </c>
      <c r="AL665" s="17" t="n"/>
      <c r="AM665" s="16" t="n"/>
      <c r="AN665" s="20" t="inlineStr">
        <is>
          <t>IC Anionen</t>
        </is>
      </c>
      <c r="AO665" s="20" t="inlineStr">
        <is>
          <t>None</t>
        </is>
      </c>
      <c r="AP665" s="17" t="n"/>
      <c r="AQ665" s="16" t="n"/>
      <c r="AR665" s="20" t="n"/>
      <c r="AS665" s="20" t="inlineStr">
        <is>
          <t>None</t>
        </is>
      </c>
      <c r="AT665" s="17" t="n"/>
      <c r="AU665" s="16" t="n"/>
      <c r="AV665" s="20" t="n"/>
      <c r="AW665" s="20" t="inlineStr">
        <is>
          <t>None</t>
        </is>
      </c>
      <c r="AX665" s="17" t="n"/>
      <c r="AY665" s="16" t="n"/>
      <c r="AZ665" s="20" t="inlineStr">
        <is>
          <t>IC Anionen</t>
        </is>
      </c>
      <c r="BA665" s="20" t="inlineStr">
        <is>
          <t>None</t>
        </is>
      </c>
      <c r="BB665" s="17" t="n"/>
      <c r="BC665" s="16" t="n"/>
      <c r="BD665" s="20" t="inlineStr">
        <is>
          <t>IC Kationen</t>
        </is>
      </c>
      <c r="BE665" s="20" t="inlineStr">
        <is>
          <t>None</t>
        </is>
      </c>
      <c r="BF665" s="17" t="n"/>
      <c r="BG665" s="16" t="n"/>
      <c r="BH665" s="20" t="inlineStr">
        <is>
          <t>IC Kationen</t>
        </is>
      </c>
      <c r="BI665" s="20" t="inlineStr">
        <is>
          <t>None</t>
        </is>
      </c>
      <c r="BJ665" s="17" t="n"/>
      <c r="BK665" s="16" t="n"/>
      <c r="BL665" s="20" t="inlineStr">
        <is>
          <t>IC Kationen</t>
        </is>
      </c>
      <c r="BM665" s="20" t="inlineStr">
        <is>
          <t>None</t>
        </is>
      </c>
      <c r="BN665" s="17" t="n"/>
      <c r="BO665" s="16" t="n"/>
      <c r="BP665" s="20" t="inlineStr">
        <is>
          <t>IC Kationen</t>
        </is>
      </c>
      <c r="BQ665" s="20" t="inlineStr">
        <is>
          <t>None</t>
        </is>
      </c>
      <c r="BR665" s="17" t="n"/>
      <c r="BS665" s="16" t="n"/>
      <c r="BT665" s="20" t="inlineStr">
        <is>
          <t>IC Kationen</t>
        </is>
      </c>
      <c r="BU665" s="20" t="inlineStr">
        <is>
          <t>None</t>
        </is>
      </c>
      <c r="BV665" s="17" t="n"/>
      <c r="BW665" s="16" t="n"/>
      <c r="BX665" s="20" t="n"/>
      <c r="BY665" s="20" t="inlineStr">
        <is>
          <t>None</t>
        </is>
      </c>
      <c r="BZ665" s="17" t="n"/>
      <c r="CA665" s="16" t="n"/>
      <c r="CB665" s="20" t="n"/>
      <c r="CC665" s="20" t="inlineStr">
        <is>
          <t>None</t>
        </is>
      </c>
      <c r="CD665" s="17" t="n"/>
      <c r="CE665" s="16" t="n"/>
      <c r="CF665" s="20" t="n"/>
      <c r="CG665" s="20" t="inlineStr">
        <is>
          <t>None</t>
        </is>
      </c>
      <c r="CH665" s="17" t="n"/>
      <c r="CI665" s="16" t="n"/>
      <c r="CJ665" s="20" t="n"/>
      <c r="CK665" s="20" t="inlineStr">
        <is>
          <t>None</t>
        </is>
      </c>
      <c r="CL665" s="17" t="n"/>
      <c r="CM665" s="16" t="n"/>
      <c r="CN665" s="20" t="inlineStr">
        <is>
          <t>SOP 45-34</t>
        </is>
      </c>
      <c r="CO665" s="20" t="inlineStr">
        <is>
          <t>None</t>
        </is>
      </c>
      <c r="CP665" s="17" t="n"/>
      <c r="CQ665" s="16" t="n"/>
      <c r="CR665" s="20" t="n"/>
      <c r="CS665" s="20" t="inlineStr">
        <is>
          <t>None</t>
        </is>
      </c>
      <c r="CT665" s="17" t="n"/>
      <c r="CU665" s="16" t="n"/>
      <c r="CV665" s="20" t="n"/>
      <c r="CW665" s="20" t="inlineStr">
        <is>
          <t>None</t>
        </is>
      </c>
      <c r="CX665" s="17" t="n"/>
      <c r="CY665" s="16" t="n"/>
      <c r="CZ665" s="20" t="inlineStr">
        <is>
          <t>WTW Multimeter 3430 with FDO 925</t>
        </is>
      </c>
      <c r="DA665" s="20" t="inlineStr">
        <is>
          <t>None</t>
        </is>
      </c>
      <c r="DB665" s="17" t="n"/>
      <c r="DC665" s="16" t="n"/>
      <c r="DD665" s="20" t="n"/>
      <c r="DE665" s="20" t="inlineStr">
        <is>
          <t>None</t>
        </is>
      </c>
      <c r="DF665" s="17" t="n"/>
      <c r="DG665" s="16" t="n"/>
      <c r="DH665" s="20" t="inlineStr">
        <is>
          <t>SOP 45-09</t>
        </is>
      </c>
      <c r="DI665" s="20" t="inlineStr">
        <is>
          <t>None</t>
        </is>
      </c>
      <c r="DJ665" s="17" t="n"/>
      <c r="DK665" s="16" t="n"/>
      <c r="DL665" s="20" t="inlineStr">
        <is>
          <t>SOP 45-09 (SOP muss noch angepasst werden für VSS)</t>
        </is>
      </c>
      <c r="DM665" s="20" t="inlineStr">
        <is>
          <t>None</t>
        </is>
      </c>
      <c r="DN665" s="17" t="n"/>
      <c r="DO665" s="16" t="n"/>
      <c r="DP665" s="20" t="inlineStr">
        <is>
          <t>IC Organic Acids</t>
        </is>
      </c>
      <c r="DQ665" s="20" t="inlineStr">
        <is>
          <t>None</t>
        </is>
      </c>
      <c r="DR665" s="17" t="n"/>
      <c r="DS665" s="16" t="n"/>
      <c r="DT665" s="20" t="inlineStr">
        <is>
          <t>IC Organic Acids</t>
        </is>
      </c>
      <c r="DU665" s="20" t="inlineStr">
        <is>
          <t>None</t>
        </is>
      </c>
      <c r="DV665" s="17" t="n"/>
      <c r="DW665" s="16" t="n"/>
      <c r="DX665" s="20" t="inlineStr">
        <is>
          <t>IC Organic Acids</t>
        </is>
      </c>
      <c r="DY665" s="20" t="inlineStr">
        <is>
          <t>None</t>
        </is>
      </c>
      <c r="DZ665" s="17" t="n"/>
      <c r="EA665" s="16" t="n"/>
      <c r="EB665" s="20" t="inlineStr">
        <is>
          <t>IC Organic Acids</t>
        </is>
      </c>
      <c r="EC665" s="20" t="inlineStr">
        <is>
          <t>None</t>
        </is>
      </c>
      <c r="ED665" s="17" t="n"/>
      <c r="EE665" s="16" t="n"/>
      <c r="EF665" s="20" t="inlineStr">
        <is>
          <t>IC Organic Acids</t>
        </is>
      </c>
      <c r="EG665" s="20" t="inlineStr">
        <is>
          <t>None</t>
        </is>
      </c>
      <c r="EH665" s="17" t="n"/>
      <c r="EI665" s="16" t="n"/>
      <c r="EJ665" s="20" t="inlineStr">
        <is>
          <t>IC Organic Acids</t>
        </is>
      </c>
      <c r="EK665" s="20" t="inlineStr">
        <is>
          <t>None</t>
        </is>
      </c>
      <c r="EL665" s="17" t="n"/>
      <c r="EM665" s="16" t="n"/>
      <c r="EN665" s="20" t="inlineStr">
        <is>
          <t>IC Organic Acids</t>
        </is>
      </c>
      <c r="EO665" s="20" t="inlineStr">
        <is>
          <t>None</t>
        </is>
      </c>
      <c r="EP665" s="17" t="n"/>
      <c r="EQ665" s="16" t="n"/>
      <c r="ER665" s="20" t="inlineStr">
        <is>
          <t>IC Organic Acids</t>
        </is>
      </c>
      <c r="ES665" s="20" t="inlineStr">
        <is>
          <t>None</t>
        </is>
      </c>
      <c r="ET665" s="17" t="n"/>
      <c r="EU665" s="16" t="n"/>
      <c r="EV665" s="20" t="inlineStr">
        <is>
          <t>LC-MS</t>
        </is>
      </c>
      <c r="EW665" s="20" t="inlineStr">
        <is>
          <t>None</t>
        </is>
      </c>
      <c r="EX665" s="17" t="n"/>
      <c r="EY665" s="21" t="n"/>
      <c r="EZ665">
        <f>CONCATENATE(A665,B665)</f>
        <v/>
      </c>
      <c r="FA665">
        <f>CONCATENATE(SamplesX!A665,SamplesX!B665)</f>
        <v/>
      </c>
      <c r="FC665">
        <f>MATCH(EZ665,FA1:FA1008,0)</f>
        <v/>
      </c>
    </row>
    <row r="666">
      <c r="A666" s="16" t="n"/>
      <c r="B666" s="17" t="n"/>
      <c r="C666" s="10">
        <f>IF(ISNUMBER(FC666),INDIRECT("SamplesX!C"&amp;FC666),IF(ISNUMBER(FD666),INDIRECT("SamplesY!C"&amp;FD666),""))</f>
        <v/>
      </c>
      <c r="D666" s="12">
        <f>IF(ISNUMBER(FC666),INDIRECT("SamplesX!D"&amp;FC666),IF(ISNUMBER(FD666),INDIRECT("SamplesY!D"&amp;FD666),""))</f>
        <v/>
      </c>
      <c r="E666" s="12">
        <f>IF(ISNUMBER(FC666),INDIRECT("SamplesX!E"&amp;FC666),IF(ISNUMBER(FD666),INDIRECT("SamplesY!E"&amp;FD666),""))</f>
        <v/>
      </c>
      <c r="F666" s="11">
        <f>IF(ISNUMBER(FC666),INDIRECT("SamplesX!F"&amp;FC666),IF(ISNUMBER(FD666),INDIRECT("SamplesY!F"&amp;FD666),""))</f>
        <v/>
      </c>
      <c r="G666" s="18">
        <f>IF(ISNUMBER(FC666),INDIRECT("SamplesX!G"&amp;FC666),IF(ISNUMBER(FD666),INDIRECT("SamplesY!G"&amp;FD666),""))</f>
        <v/>
      </c>
      <c r="H666" s="19">
        <f>IF(ISNUMBER(FC666),INDIRECT("SamplesX!H"&amp;FC666),IF(ISNUMBER(FD666),INDIRECT("SamplesY!H"&amp;FD666),""))</f>
        <v/>
      </c>
      <c r="I666" s="16" t="n"/>
      <c r="J666" s="16" t="n"/>
      <c r="K666" s="16" t="n"/>
      <c r="L666" s="20" t="n"/>
      <c r="M666" s="20" t="inlineStr">
        <is>
          <t>None</t>
        </is>
      </c>
      <c r="N666" s="17" t="n"/>
      <c r="O666" s="16" t="n"/>
      <c r="P666" s="20" t="inlineStr">
        <is>
          <t>Shimadzu TOC-L</t>
        </is>
      </c>
      <c r="Q666" s="20" t="inlineStr">
        <is>
          <t>None</t>
        </is>
      </c>
      <c r="R666" s="17" t="n"/>
      <c r="S666" s="16" t="n"/>
      <c r="T666" s="20" t="inlineStr">
        <is>
          <t>Shimadzu TOC-L</t>
        </is>
      </c>
      <c r="U666" s="20" t="inlineStr">
        <is>
          <t>None</t>
        </is>
      </c>
      <c r="V666" s="17" t="n"/>
      <c r="W666" s="16" t="n"/>
      <c r="X666" s="20" t="n"/>
      <c r="Y666" s="20" t="inlineStr">
        <is>
          <t>None</t>
        </is>
      </c>
      <c r="Z666" s="17" t="n"/>
      <c r="AA666" s="16" t="n"/>
      <c r="AB666" s="20" t="n"/>
      <c r="AC666" s="20" t="inlineStr">
        <is>
          <t>None</t>
        </is>
      </c>
      <c r="AD666" s="17" t="n"/>
      <c r="AE666" s="16" t="n"/>
      <c r="AF666" s="20" t="inlineStr">
        <is>
          <t>IC Anionen</t>
        </is>
      </c>
      <c r="AG666" s="20" t="inlineStr">
        <is>
          <t>None</t>
        </is>
      </c>
      <c r="AH666" s="17" t="n"/>
      <c r="AI666" s="16" t="n"/>
      <c r="AJ666" s="20" t="n"/>
      <c r="AK666" s="20" t="inlineStr">
        <is>
          <t>None</t>
        </is>
      </c>
      <c r="AL666" s="17" t="n"/>
      <c r="AM666" s="16" t="n"/>
      <c r="AN666" s="20" t="inlineStr">
        <is>
          <t>IC Anionen</t>
        </is>
      </c>
      <c r="AO666" s="20" t="inlineStr">
        <is>
          <t>None</t>
        </is>
      </c>
      <c r="AP666" s="17" t="n"/>
      <c r="AQ666" s="16" t="n"/>
      <c r="AR666" s="20" t="n"/>
      <c r="AS666" s="20" t="inlineStr">
        <is>
          <t>None</t>
        </is>
      </c>
      <c r="AT666" s="17" t="n"/>
      <c r="AU666" s="16" t="n"/>
      <c r="AV666" s="20" t="n"/>
      <c r="AW666" s="20" t="inlineStr">
        <is>
          <t>None</t>
        </is>
      </c>
      <c r="AX666" s="17" t="n"/>
      <c r="AY666" s="16" t="n"/>
      <c r="AZ666" s="20" t="inlineStr">
        <is>
          <t>IC Anionen</t>
        </is>
      </c>
      <c r="BA666" s="20" t="inlineStr">
        <is>
          <t>None</t>
        </is>
      </c>
      <c r="BB666" s="17" t="n"/>
      <c r="BC666" s="16" t="n"/>
      <c r="BD666" s="20" t="inlineStr">
        <is>
          <t>IC Kationen</t>
        </is>
      </c>
      <c r="BE666" s="20" t="inlineStr">
        <is>
          <t>None</t>
        </is>
      </c>
      <c r="BF666" s="17" t="n"/>
      <c r="BG666" s="16" t="n"/>
      <c r="BH666" s="20" t="inlineStr">
        <is>
          <t>IC Kationen</t>
        </is>
      </c>
      <c r="BI666" s="20" t="inlineStr">
        <is>
          <t>None</t>
        </is>
      </c>
      <c r="BJ666" s="17" t="n"/>
      <c r="BK666" s="16" t="n"/>
      <c r="BL666" s="20" t="inlineStr">
        <is>
          <t>IC Kationen</t>
        </is>
      </c>
      <c r="BM666" s="20" t="inlineStr">
        <is>
          <t>None</t>
        </is>
      </c>
      <c r="BN666" s="17" t="n"/>
      <c r="BO666" s="16" t="n"/>
      <c r="BP666" s="20" t="inlineStr">
        <is>
          <t>IC Kationen</t>
        </is>
      </c>
      <c r="BQ666" s="20" t="inlineStr">
        <is>
          <t>None</t>
        </is>
      </c>
      <c r="BR666" s="17" t="n"/>
      <c r="BS666" s="16" t="n"/>
      <c r="BT666" s="20" t="inlineStr">
        <is>
          <t>IC Kationen</t>
        </is>
      </c>
      <c r="BU666" s="20" t="inlineStr">
        <is>
          <t>None</t>
        </is>
      </c>
      <c r="BV666" s="17" t="n"/>
      <c r="BW666" s="16" t="n"/>
      <c r="BX666" s="20" t="n"/>
      <c r="BY666" s="20" t="inlineStr">
        <is>
          <t>None</t>
        </is>
      </c>
      <c r="BZ666" s="17" t="n"/>
      <c r="CA666" s="16" t="n"/>
      <c r="CB666" s="20" t="n"/>
      <c r="CC666" s="20" t="inlineStr">
        <is>
          <t>None</t>
        </is>
      </c>
      <c r="CD666" s="17" t="n"/>
      <c r="CE666" s="16" t="n"/>
      <c r="CF666" s="20" t="n"/>
      <c r="CG666" s="20" t="inlineStr">
        <is>
          <t>None</t>
        </is>
      </c>
      <c r="CH666" s="17" t="n"/>
      <c r="CI666" s="16" t="n"/>
      <c r="CJ666" s="20" t="n"/>
      <c r="CK666" s="20" t="inlineStr">
        <is>
          <t>None</t>
        </is>
      </c>
      <c r="CL666" s="17" t="n"/>
      <c r="CM666" s="16" t="n"/>
      <c r="CN666" s="20" t="inlineStr">
        <is>
          <t>SOP 45-34</t>
        </is>
      </c>
      <c r="CO666" s="20" t="inlineStr">
        <is>
          <t>None</t>
        </is>
      </c>
      <c r="CP666" s="17" t="n"/>
      <c r="CQ666" s="16" t="n"/>
      <c r="CR666" s="20" t="n"/>
      <c r="CS666" s="20" t="inlineStr">
        <is>
          <t>None</t>
        </is>
      </c>
      <c r="CT666" s="17" t="n"/>
      <c r="CU666" s="16" t="n"/>
      <c r="CV666" s="20" t="n"/>
      <c r="CW666" s="20" t="inlineStr">
        <is>
          <t>None</t>
        </is>
      </c>
      <c r="CX666" s="17" t="n"/>
      <c r="CY666" s="16" t="n"/>
      <c r="CZ666" s="20" t="inlineStr">
        <is>
          <t>WTW Multimeter 3430 with FDO 925</t>
        </is>
      </c>
      <c r="DA666" s="20" t="inlineStr">
        <is>
          <t>None</t>
        </is>
      </c>
      <c r="DB666" s="17" t="n"/>
      <c r="DC666" s="16" t="n"/>
      <c r="DD666" s="20" t="n"/>
      <c r="DE666" s="20" t="inlineStr">
        <is>
          <t>None</t>
        </is>
      </c>
      <c r="DF666" s="17" t="n"/>
      <c r="DG666" s="16" t="n"/>
      <c r="DH666" s="20" t="inlineStr">
        <is>
          <t>SOP 45-09</t>
        </is>
      </c>
      <c r="DI666" s="20" t="inlineStr">
        <is>
          <t>None</t>
        </is>
      </c>
      <c r="DJ666" s="17" t="n"/>
      <c r="DK666" s="16" t="n"/>
      <c r="DL666" s="20" t="inlineStr">
        <is>
          <t>SOP 45-09 (SOP muss noch angepasst werden für VSS)</t>
        </is>
      </c>
      <c r="DM666" s="20" t="inlineStr">
        <is>
          <t>None</t>
        </is>
      </c>
      <c r="DN666" s="17" t="n"/>
      <c r="DO666" s="16" t="n"/>
      <c r="DP666" s="20" t="inlineStr">
        <is>
          <t>IC Organic Acids</t>
        </is>
      </c>
      <c r="DQ666" s="20" t="inlineStr">
        <is>
          <t>None</t>
        </is>
      </c>
      <c r="DR666" s="17" t="n"/>
      <c r="DS666" s="16" t="n"/>
      <c r="DT666" s="20" t="inlineStr">
        <is>
          <t>IC Organic Acids</t>
        </is>
      </c>
      <c r="DU666" s="20" t="inlineStr">
        <is>
          <t>None</t>
        </is>
      </c>
      <c r="DV666" s="17" t="n"/>
      <c r="DW666" s="16" t="n"/>
      <c r="DX666" s="20" t="inlineStr">
        <is>
          <t>IC Organic Acids</t>
        </is>
      </c>
      <c r="DY666" s="20" t="inlineStr">
        <is>
          <t>None</t>
        </is>
      </c>
      <c r="DZ666" s="17" t="n"/>
      <c r="EA666" s="16" t="n"/>
      <c r="EB666" s="20" t="inlineStr">
        <is>
          <t>IC Organic Acids</t>
        </is>
      </c>
      <c r="EC666" s="20" t="inlineStr">
        <is>
          <t>None</t>
        </is>
      </c>
      <c r="ED666" s="17" t="n"/>
      <c r="EE666" s="16" t="n"/>
      <c r="EF666" s="20" t="inlineStr">
        <is>
          <t>IC Organic Acids</t>
        </is>
      </c>
      <c r="EG666" s="20" t="inlineStr">
        <is>
          <t>None</t>
        </is>
      </c>
      <c r="EH666" s="17" t="n"/>
      <c r="EI666" s="16" t="n"/>
      <c r="EJ666" s="20" t="inlineStr">
        <is>
          <t>IC Organic Acids</t>
        </is>
      </c>
      <c r="EK666" s="20" t="inlineStr">
        <is>
          <t>None</t>
        </is>
      </c>
      <c r="EL666" s="17" t="n"/>
      <c r="EM666" s="16" t="n"/>
      <c r="EN666" s="20" t="inlineStr">
        <is>
          <t>IC Organic Acids</t>
        </is>
      </c>
      <c r="EO666" s="20" t="inlineStr">
        <is>
          <t>None</t>
        </is>
      </c>
      <c r="EP666" s="17" t="n"/>
      <c r="EQ666" s="16" t="n"/>
      <c r="ER666" s="20" t="inlineStr">
        <is>
          <t>IC Organic Acids</t>
        </is>
      </c>
      <c r="ES666" s="20" t="inlineStr">
        <is>
          <t>None</t>
        </is>
      </c>
      <c r="ET666" s="17" t="n"/>
      <c r="EU666" s="16" t="n"/>
      <c r="EV666" s="20" t="inlineStr">
        <is>
          <t>LC-MS</t>
        </is>
      </c>
      <c r="EW666" s="20" t="inlineStr">
        <is>
          <t>None</t>
        </is>
      </c>
      <c r="EX666" s="17" t="n"/>
      <c r="EY666" s="21" t="n"/>
      <c r="EZ666">
        <f>CONCATENATE(A666,B666)</f>
        <v/>
      </c>
      <c r="FA666">
        <f>CONCATENATE(SamplesX!A666,SamplesX!B666)</f>
        <v/>
      </c>
      <c r="FC666">
        <f>MATCH(EZ666,FA1:FA1008,0)</f>
        <v/>
      </c>
    </row>
    <row r="667">
      <c r="A667" s="16" t="n"/>
      <c r="B667" s="17" t="n"/>
      <c r="C667" s="10">
        <f>IF(ISNUMBER(FC667),INDIRECT("SamplesX!C"&amp;FC667),IF(ISNUMBER(FD667),INDIRECT("SamplesY!C"&amp;FD667),""))</f>
        <v/>
      </c>
      <c r="D667" s="12">
        <f>IF(ISNUMBER(FC667),INDIRECT("SamplesX!D"&amp;FC667),IF(ISNUMBER(FD667),INDIRECT("SamplesY!D"&amp;FD667),""))</f>
        <v/>
      </c>
      <c r="E667" s="12">
        <f>IF(ISNUMBER(FC667),INDIRECT("SamplesX!E"&amp;FC667),IF(ISNUMBER(FD667),INDIRECT("SamplesY!E"&amp;FD667),""))</f>
        <v/>
      </c>
      <c r="F667" s="11">
        <f>IF(ISNUMBER(FC667),INDIRECT("SamplesX!F"&amp;FC667),IF(ISNUMBER(FD667),INDIRECT("SamplesY!F"&amp;FD667),""))</f>
        <v/>
      </c>
      <c r="G667" s="18">
        <f>IF(ISNUMBER(FC667),INDIRECT("SamplesX!G"&amp;FC667),IF(ISNUMBER(FD667),INDIRECT("SamplesY!G"&amp;FD667),""))</f>
        <v/>
      </c>
      <c r="H667" s="19">
        <f>IF(ISNUMBER(FC667),INDIRECT("SamplesX!H"&amp;FC667),IF(ISNUMBER(FD667),INDIRECT("SamplesY!H"&amp;FD667),""))</f>
        <v/>
      </c>
      <c r="I667" s="16" t="n"/>
      <c r="J667" s="16" t="n"/>
      <c r="K667" s="16" t="n"/>
      <c r="L667" s="20" t="n"/>
      <c r="M667" s="20" t="inlineStr">
        <is>
          <t>None</t>
        </is>
      </c>
      <c r="N667" s="17" t="n"/>
      <c r="O667" s="16" t="n"/>
      <c r="P667" s="20" t="inlineStr">
        <is>
          <t>Shimadzu TOC-L</t>
        </is>
      </c>
      <c r="Q667" s="20" t="inlineStr">
        <is>
          <t>None</t>
        </is>
      </c>
      <c r="R667" s="17" t="n"/>
      <c r="S667" s="16" t="n"/>
      <c r="T667" s="20" t="inlineStr">
        <is>
          <t>Shimadzu TOC-L</t>
        </is>
      </c>
      <c r="U667" s="20" t="inlineStr">
        <is>
          <t>None</t>
        </is>
      </c>
      <c r="V667" s="17" t="n"/>
      <c r="W667" s="16" t="n"/>
      <c r="X667" s="20" t="n"/>
      <c r="Y667" s="20" t="inlineStr">
        <is>
          <t>None</t>
        </is>
      </c>
      <c r="Z667" s="17" t="n"/>
      <c r="AA667" s="16" t="n"/>
      <c r="AB667" s="20" t="n"/>
      <c r="AC667" s="20" t="inlineStr">
        <is>
          <t>None</t>
        </is>
      </c>
      <c r="AD667" s="17" t="n"/>
      <c r="AE667" s="16" t="n"/>
      <c r="AF667" s="20" t="inlineStr">
        <is>
          <t>IC Anionen</t>
        </is>
      </c>
      <c r="AG667" s="20" t="inlineStr">
        <is>
          <t>None</t>
        </is>
      </c>
      <c r="AH667" s="17" t="n"/>
      <c r="AI667" s="16" t="n"/>
      <c r="AJ667" s="20" t="n"/>
      <c r="AK667" s="20" t="inlineStr">
        <is>
          <t>None</t>
        </is>
      </c>
      <c r="AL667" s="17" t="n"/>
      <c r="AM667" s="16" t="n"/>
      <c r="AN667" s="20" t="inlineStr">
        <is>
          <t>IC Anionen</t>
        </is>
      </c>
      <c r="AO667" s="20" t="inlineStr">
        <is>
          <t>None</t>
        </is>
      </c>
      <c r="AP667" s="17" t="n"/>
      <c r="AQ667" s="16" t="n"/>
      <c r="AR667" s="20" t="n"/>
      <c r="AS667" s="20" t="inlineStr">
        <is>
          <t>None</t>
        </is>
      </c>
      <c r="AT667" s="17" t="n"/>
      <c r="AU667" s="16" t="n"/>
      <c r="AV667" s="20" t="n"/>
      <c r="AW667" s="20" t="inlineStr">
        <is>
          <t>None</t>
        </is>
      </c>
      <c r="AX667" s="17" t="n"/>
      <c r="AY667" s="16" t="n"/>
      <c r="AZ667" s="20" t="inlineStr">
        <is>
          <t>IC Anionen</t>
        </is>
      </c>
      <c r="BA667" s="20" t="inlineStr">
        <is>
          <t>None</t>
        </is>
      </c>
      <c r="BB667" s="17" t="n"/>
      <c r="BC667" s="16" t="n"/>
      <c r="BD667" s="20" t="inlineStr">
        <is>
          <t>IC Kationen</t>
        </is>
      </c>
      <c r="BE667" s="20" t="inlineStr">
        <is>
          <t>None</t>
        </is>
      </c>
      <c r="BF667" s="17" t="n"/>
      <c r="BG667" s="16" t="n"/>
      <c r="BH667" s="20" t="inlineStr">
        <is>
          <t>IC Kationen</t>
        </is>
      </c>
      <c r="BI667" s="20" t="inlineStr">
        <is>
          <t>None</t>
        </is>
      </c>
      <c r="BJ667" s="17" t="n"/>
      <c r="BK667" s="16" t="n"/>
      <c r="BL667" s="20" t="inlineStr">
        <is>
          <t>IC Kationen</t>
        </is>
      </c>
      <c r="BM667" s="20" t="inlineStr">
        <is>
          <t>None</t>
        </is>
      </c>
      <c r="BN667" s="17" t="n"/>
      <c r="BO667" s="16" t="n"/>
      <c r="BP667" s="20" t="inlineStr">
        <is>
          <t>IC Kationen</t>
        </is>
      </c>
      <c r="BQ667" s="20" t="inlineStr">
        <is>
          <t>None</t>
        </is>
      </c>
      <c r="BR667" s="17" t="n"/>
      <c r="BS667" s="16" t="n"/>
      <c r="BT667" s="20" t="inlineStr">
        <is>
          <t>IC Kationen</t>
        </is>
      </c>
      <c r="BU667" s="20" t="inlineStr">
        <is>
          <t>None</t>
        </is>
      </c>
      <c r="BV667" s="17" t="n"/>
      <c r="BW667" s="16" t="n"/>
      <c r="BX667" s="20" t="n"/>
      <c r="BY667" s="20" t="inlineStr">
        <is>
          <t>None</t>
        </is>
      </c>
      <c r="BZ667" s="17" t="n"/>
      <c r="CA667" s="16" t="n"/>
      <c r="CB667" s="20" t="n"/>
      <c r="CC667" s="20" t="inlineStr">
        <is>
          <t>None</t>
        </is>
      </c>
      <c r="CD667" s="17" t="n"/>
      <c r="CE667" s="16" t="n"/>
      <c r="CF667" s="20" t="n"/>
      <c r="CG667" s="20" t="inlineStr">
        <is>
          <t>None</t>
        </is>
      </c>
      <c r="CH667" s="17" t="n"/>
      <c r="CI667" s="16" t="n"/>
      <c r="CJ667" s="20" t="n"/>
      <c r="CK667" s="20" t="inlineStr">
        <is>
          <t>None</t>
        </is>
      </c>
      <c r="CL667" s="17" t="n"/>
      <c r="CM667" s="16" t="n"/>
      <c r="CN667" s="20" t="inlineStr">
        <is>
          <t>SOP 45-34</t>
        </is>
      </c>
      <c r="CO667" s="20" t="inlineStr">
        <is>
          <t>None</t>
        </is>
      </c>
      <c r="CP667" s="17" t="n"/>
      <c r="CQ667" s="16" t="n"/>
      <c r="CR667" s="20" t="n"/>
      <c r="CS667" s="20" t="inlineStr">
        <is>
          <t>None</t>
        </is>
      </c>
      <c r="CT667" s="17" t="n"/>
      <c r="CU667" s="16" t="n"/>
      <c r="CV667" s="20" t="n"/>
      <c r="CW667" s="20" t="inlineStr">
        <is>
          <t>None</t>
        </is>
      </c>
      <c r="CX667" s="17" t="n"/>
      <c r="CY667" s="16" t="n"/>
      <c r="CZ667" s="20" t="inlineStr">
        <is>
          <t>WTW Multimeter 3430 with FDO 925</t>
        </is>
      </c>
      <c r="DA667" s="20" t="inlineStr">
        <is>
          <t>None</t>
        </is>
      </c>
      <c r="DB667" s="17" t="n"/>
      <c r="DC667" s="16" t="n"/>
      <c r="DD667" s="20" t="n"/>
      <c r="DE667" s="20" t="inlineStr">
        <is>
          <t>None</t>
        </is>
      </c>
      <c r="DF667" s="17" t="n"/>
      <c r="DG667" s="16" t="n"/>
      <c r="DH667" s="20" t="inlineStr">
        <is>
          <t>SOP 45-09</t>
        </is>
      </c>
      <c r="DI667" s="20" t="inlineStr">
        <is>
          <t>None</t>
        </is>
      </c>
      <c r="DJ667" s="17" t="n"/>
      <c r="DK667" s="16" t="n"/>
      <c r="DL667" s="20" t="inlineStr">
        <is>
          <t>SOP 45-09 (SOP muss noch angepasst werden für VSS)</t>
        </is>
      </c>
      <c r="DM667" s="20" t="inlineStr">
        <is>
          <t>None</t>
        </is>
      </c>
      <c r="DN667" s="17" t="n"/>
      <c r="DO667" s="16" t="n"/>
      <c r="DP667" s="20" t="inlineStr">
        <is>
          <t>IC Organic Acids</t>
        </is>
      </c>
      <c r="DQ667" s="20" t="inlineStr">
        <is>
          <t>None</t>
        </is>
      </c>
      <c r="DR667" s="17" t="n"/>
      <c r="DS667" s="16" t="n"/>
      <c r="DT667" s="20" t="inlineStr">
        <is>
          <t>IC Organic Acids</t>
        </is>
      </c>
      <c r="DU667" s="20" t="inlineStr">
        <is>
          <t>None</t>
        </is>
      </c>
      <c r="DV667" s="17" t="n"/>
      <c r="DW667" s="16" t="n"/>
      <c r="DX667" s="20" t="inlineStr">
        <is>
          <t>IC Organic Acids</t>
        </is>
      </c>
      <c r="DY667" s="20" t="inlineStr">
        <is>
          <t>None</t>
        </is>
      </c>
      <c r="DZ667" s="17" t="n"/>
      <c r="EA667" s="16" t="n"/>
      <c r="EB667" s="20" t="inlineStr">
        <is>
          <t>IC Organic Acids</t>
        </is>
      </c>
      <c r="EC667" s="20" t="inlineStr">
        <is>
          <t>None</t>
        </is>
      </c>
      <c r="ED667" s="17" t="n"/>
      <c r="EE667" s="16" t="n"/>
      <c r="EF667" s="20" t="inlineStr">
        <is>
          <t>IC Organic Acids</t>
        </is>
      </c>
      <c r="EG667" s="20" t="inlineStr">
        <is>
          <t>None</t>
        </is>
      </c>
      <c r="EH667" s="17" t="n"/>
      <c r="EI667" s="16" t="n"/>
      <c r="EJ667" s="20" t="inlineStr">
        <is>
          <t>IC Organic Acids</t>
        </is>
      </c>
      <c r="EK667" s="20" t="inlineStr">
        <is>
          <t>None</t>
        </is>
      </c>
      <c r="EL667" s="17" t="n"/>
      <c r="EM667" s="16" t="n"/>
      <c r="EN667" s="20" t="inlineStr">
        <is>
          <t>IC Organic Acids</t>
        </is>
      </c>
      <c r="EO667" s="20" t="inlineStr">
        <is>
          <t>None</t>
        </is>
      </c>
      <c r="EP667" s="17" t="n"/>
      <c r="EQ667" s="16" t="n"/>
      <c r="ER667" s="20" t="inlineStr">
        <is>
          <t>IC Organic Acids</t>
        </is>
      </c>
      <c r="ES667" s="20" t="inlineStr">
        <is>
          <t>None</t>
        </is>
      </c>
      <c r="ET667" s="17" t="n"/>
      <c r="EU667" s="16" t="n"/>
      <c r="EV667" s="20" t="inlineStr">
        <is>
          <t>LC-MS</t>
        </is>
      </c>
      <c r="EW667" s="20" t="inlineStr">
        <is>
          <t>None</t>
        </is>
      </c>
      <c r="EX667" s="17" t="n"/>
      <c r="EY667" s="21" t="n"/>
      <c r="EZ667">
        <f>CONCATENATE(A667,B667)</f>
        <v/>
      </c>
      <c r="FA667">
        <f>CONCATENATE(SamplesX!A667,SamplesX!B667)</f>
        <v/>
      </c>
      <c r="FC667">
        <f>MATCH(EZ667,FA1:FA1008,0)</f>
        <v/>
      </c>
    </row>
    <row r="668">
      <c r="A668" s="16" t="n"/>
      <c r="B668" s="17" t="n"/>
      <c r="C668" s="10">
        <f>IF(ISNUMBER(FC668),INDIRECT("SamplesX!C"&amp;FC668),IF(ISNUMBER(FD668),INDIRECT("SamplesY!C"&amp;FD668),""))</f>
        <v/>
      </c>
      <c r="D668" s="12">
        <f>IF(ISNUMBER(FC668),INDIRECT("SamplesX!D"&amp;FC668),IF(ISNUMBER(FD668),INDIRECT("SamplesY!D"&amp;FD668),""))</f>
        <v/>
      </c>
      <c r="E668" s="12">
        <f>IF(ISNUMBER(FC668),INDIRECT("SamplesX!E"&amp;FC668),IF(ISNUMBER(FD668),INDIRECT("SamplesY!E"&amp;FD668),""))</f>
        <v/>
      </c>
      <c r="F668" s="11">
        <f>IF(ISNUMBER(FC668),INDIRECT("SamplesX!F"&amp;FC668),IF(ISNUMBER(FD668),INDIRECT("SamplesY!F"&amp;FD668),""))</f>
        <v/>
      </c>
      <c r="G668" s="18">
        <f>IF(ISNUMBER(FC668),INDIRECT("SamplesX!G"&amp;FC668),IF(ISNUMBER(FD668),INDIRECT("SamplesY!G"&amp;FD668),""))</f>
        <v/>
      </c>
      <c r="H668" s="19">
        <f>IF(ISNUMBER(FC668),INDIRECT("SamplesX!H"&amp;FC668),IF(ISNUMBER(FD668),INDIRECT("SamplesY!H"&amp;FD668),""))</f>
        <v/>
      </c>
      <c r="I668" s="16" t="n"/>
      <c r="J668" s="16" t="n"/>
      <c r="K668" s="16" t="n"/>
      <c r="L668" s="20" t="n"/>
      <c r="M668" s="20" t="inlineStr">
        <is>
          <t>None</t>
        </is>
      </c>
      <c r="N668" s="17" t="n"/>
      <c r="O668" s="16" t="n"/>
      <c r="P668" s="20" t="inlineStr">
        <is>
          <t>Shimadzu TOC-L</t>
        </is>
      </c>
      <c r="Q668" s="20" t="inlineStr">
        <is>
          <t>None</t>
        </is>
      </c>
      <c r="R668" s="17" t="n"/>
      <c r="S668" s="16" t="n"/>
      <c r="T668" s="20" t="inlineStr">
        <is>
          <t>Shimadzu TOC-L</t>
        </is>
      </c>
      <c r="U668" s="20" t="inlineStr">
        <is>
          <t>None</t>
        </is>
      </c>
      <c r="V668" s="17" t="n"/>
      <c r="W668" s="16" t="n"/>
      <c r="X668" s="20" t="n"/>
      <c r="Y668" s="20" t="inlineStr">
        <is>
          <t>None</t>
        </is>
      </c>
      <c r="Z668" s="17" t="n"/>
      <c r="AA668" s="16" t="n"/>
      <c r="AB668" s="20" t="n"/>
      <c r="AC668" s="20" t="inlineStr">
        <is>
          <t>None</t>
        </is>
      </c>
      <c r="AD668" s="17" t="n"/>
      <c r="AE668" s="16" t="n"/>
      <c r="AF668" s="20" t="inlineStr">
        <is>
          <t>IC Anionen</t>
        </is>
      </c>
      <c r="AG668" s="20" t="inlineStr">
        <is>
          <t>None</t>
        </is>
      </c>
      <c r="AH668" s="17" t="n"/>
      <c r="AI668" s="16" t="n"/>
      <c r="AJ668" s="20" t="n"/>
      <c r="AK668" s="20" t="inlineStr">
        <is>
          <t>None</t>
        </is>
      </c>
      <c r="AL668" s="17" t="n"/>
      <c r="AM668" s="16" t="n"/>
      <c r="AN668" s="20" t="inlineStr">
        <is>
          <t>IC Anionen</t>
        </is>
      </c>
      <c r="AO668" s="20" t="inlineStr">
        <is>
          <t>None</t>
        </is>
      </c>
      <c r="AP668" s="17" t="n"/>
      <c r="AQ668" s="16" t="n"/>
      <c r="AR668" s="20" t="n"/>
      <c r="AS668" s="20" t="inlineStr">
        <is>
          <t>None</t>
        </is>
      </c>
      <c r="AT668" s="17" t="n"/>
      <c r="AU668" s="16" t="n"/>
      <c r="AV668" s="20" t="n"/>
      <c r="AW668" s="20" t="inlineStr">
        <is>
          <t>None</t>
        </is>
      </c>
      <c r="AX668" s="17" t="n"/>
      <c r="AY668" s="16" t="n"/>
      <c r="AZ668" s="20" t="inlineStr">
        <is>
          <t>IC Anionen</t>
        </is>
      </c>
      <c r="BA668" s="20" t="inlineStr">
        <is>
          <t>None</t>
        </is>
      </c>
      <c r="BB668" s="17" t="n"/>
      <c r="BC668" s="16" t="n"/>
      <c r="BD668" s="20" t="inlineStr">
        <is>
          <t>IC Kationen</t>
        </is>
      </c>
      <c r="BE668" s="20" t="inlineStr">
        <is>
          <t>None</t>
        </is>
      </c>
      <c r="BF668" s="17" t="n"/>
      <c r="BG668" s="16" t="n"/>
      <c r="BH668" s="20" t="inlineStr">
        <is>
          <t>IC Kationen</t>
        </is>
      </c>
      <c r="BI668" s="20" t="inlineStr">
        <is>
          <t>None</t>
        </is>
      </c>
      <c r="BJ668" s="17" t="n"/>
      <c r="BK668" s="16" t="n"/>
      <c r="BL668" s="20" t="inlineStr">
        <is>
          <t>IC Kationen</t>
        </is>
      </c>
      <c r="BM668" s="20" t="inlineStr">
        <is>
          <t>None</t>
        </is>
      </c>
      <c r="BN668" s="17" t="n"/>
      <c r="BO668" s="16" t="n"/>
      <c r="BP668" s="20" t="inlineStr">
        <is>
          <t>IC Kationen</t>
        </is>
      </c>
      <c r="BQ668" s="20" t="inlineStr">
        <is>
          <t>None</t>
        </is>
      </c>
      <c r="BR668" s="17" t="n"/>
      <c r="BS668" s="16" t="n"/>
      <c r="BT668" s="20" t="inlineStr">
        <is>
          <t>IC Kationen</t>
        </is>
      </c>
      <c r="BU668" s="20" t="inlineStr">
        <is>
          <t>None</t>
        </is>
      </c>
      <c r="BV668" s="17" t="n"/>
      <c r="BW668" s="16" t="n"/>
      <c r="BX668" s="20" t="n"/>
      <c r="BY668" s="20" t="inlineStr">
        <is>
          <t>None</t>
        </is>
      </c>
      <c r="BZ668" s="17" t="n"/>
      <c r="CA668" s="16" t="n"/>
      <c r="CB668" s="20" t="n"/>
      <c r="CC668" s="20" t="inlineStr">
        <is>
          <t>None</t>
        </is>
      </c>
      <c r="CD668" s="17" t="n"/>
      <c r="CE668" s="16" t="n"/>
      <c r="CF668" s="20" t="n"/>
      <c r="CG668" s="20" t="inlineStr">
        <is>
          <t>None</t>
        </is>
      </c>
      <c r="CH668" s="17" t="n"/>
      <c r="CI668" s="16" t="n"/>
      <c r="CJ668" s="20" t="n"/>
      <c r="CK668" s="20" t="inlineStr">
        <is>
          <t>None</t>
        </is>
      </c>
      <c r="CL668" s="17" t="n"/>
      <c r="CM668" s="16" t="n"/>
      <c r="CN668" s="20" t="inlineStr">
        <is>
          <t>SOP 45-34</t>
        </is>
      </c>
      <c r="CO668" s="20" t="inlineStr">
        <is>
          <t>None</t>
        </is>
      </c>
      <c r="CP668" s="17" t="n"/>
      <c r="CQ668" s="16" t="n"/>
      <c r="CR668" s="20" t="n"/>
      <c r="CS668" s="20" t="inlineStr">
        <is>
          <t>None</t>
        </is>
      </c>
      <c r="CT668" s="17" t="n"/>
      <c r="CU668" s="16" t="n"/>
      <c r="CV668" s="20" t="n"/>
      <c r="CW668" s="20" t="inlineStr">
        <is>
          <t>None</t>
        </is>
      </c>
      <c r="CX668" s="17" t="n"/>
      <c r="CY668" s="16" t="n"/>
      <c r="CZ668" s="20" t="inlineStr">
        <is>
          <t>WTW Multimeter 3430 with FDO 925</t>
        </is>
      </c>
      <c r="DA668" s="20" t="inlineStr">
        <is>
          <t>None</t>
        </is>
      </c>
      <c r="DB668" s="17" t="n"/>
      <c r="DC668" s="16" t="n"/>
      <c r="DD668" s="20" t="n"/>
      <c r="DE668" s="20" t="inlineStr">
        <is>
          <t>None</t>
        </is>
      </c>
      <c r="DF668" s="17" t="n"/>
      <c r="DG668" s="16" t="n"/>
      <c r="DH668" s="20" t="inlineStr">
        <is>
          <t>SOP 45-09</t>
        </is>
      </c>
      <c r="DI668" s="20" t="inlineStr">
        <is>
          <t>None</t>
        </is>
      </c>
      <c r="DJ668" s="17" t="n"/>
      <c r="DK668" s="16" t="n"/>
      <c r="DL668" s="20" t="inlineStr">
        <is>
          <t>SOP 45-09 (SOP muss noch angepasst werden für VSS)</t>
        </is>
      </c>
      <c r="DM668" s="20" t="inlineStr">
        <is>
          <t>None</t>
        </is>
      </c>
      <c r="DN668" s="17" t="n"/>
      <c r="DO668" s="16" t="n"/>
      <c r="DP668" s="20" t="inlineStr">
        <is>
          <t>IC Organic Acids</t>
        </is>
      </c>
      <c r="DQ668" s="20" t="inlineStr">
        <is>
          <t>None</t>
        </is>
      </c>
      <c r="DR668" s="17" t="n"/>
      <c r="DS668" s="16" t="n"/>
      <c r="DT668" s="20" t="inlineStr">
        <is>
          <t>IC Organic Acids</t>
        </is>
      </c>
      <c r="DU668" s="20" t="inlineStr">
        <is>
          <t>None</t>
        </is>
      </c>
      <c r="DV668" s="17" t="n"/>
      <c r="DW668" s="16" t="n"/>
      <c r="DX668" s="20" t="inlineStr">
        <is>
          <t>IC Organic Acids</t>
        </is>
      </c>
      <c r="DY668" s="20" t="inlineStr">
        <is>
          <t>None</t>
        </is>
      </c>
      <c r="DZ668" s="17" t="n"/>
      <c r="EA668" s="16" t="n"/>
      <c r="EB668" s="20" t="inlineStr">
        <is>
          <t>IC Organic Acids</t>
        </is>
      </c>
      <c r="EC668" s="20" t="inlineStr">
        <is>
          <t>None</t>
        </is>
      </c>
      <c r="ED668" s="17" t="n"/>
      <c r="EE668" s="16" t="n"/>
      <c r="EF668" s="20" t="inlineStr">
        <is>
          <t>IC Organic Acids</t>
        </is>
      </c>
      <c r="EG668" s="20" t="inlineStr">
        <is>
          <t>None</t>
        </is>
      </c>
      <c r="EH668" s="17" t="n"/>
      <c r="EI668" s="16" t="n"/>
      <c r="EJ668" s="20" t="inlineStr">
        <is>
          <t>IC Organic Acids</t>
        </is>
      </c>
      <c r="EK668" s="20" t="inlineStr">
        <is>
          <t>None</t>
        </is>
      </c>
      <c r="EL668" s="17" t="n"/>
      <c r="EM668" s="16" t="n"/>
      <c r="EN668" s="20" t="inlineStr">
        <is>
          <t>IC Organic Acids</t>
        </is>
      </c>
      <c r="EO668" s="20" t="inlineStr">
        <is>
          <t>None</t>
        </is>
      </c>
      <c r="EP668" s="17" t="n"/>
      <c r="EQ668" s="16" t="n"/>
      <c r="ER668" s="20" t="inlineStr">
        <is>
          <t>IC Organic Acids</t>
        </is>
      </c>
      <c r="ES668" s="20" t="inlineStr">
        <is>
          <t>None</t>
        </is>
      </c>
      <c r="ET668" s="17" t="n"/>
      <c r="EU668" s="16" t="n"/>
      <c r="EV668" s="20" t="inlineStr">
        <is>
          <t>LC-MS</t>
        </is>
      </c>
      <c r="EW668" s="20" t="inlineStr">
        <is>
          <t>None</t>
        </is>
      </c>
      <c r="EX668" s="17" t="n"/>
      <c r="EY668" s="21" t="n"/>
      <c r="EZ668">
        <f>CONCATENATE(A668,B668)</f>
        <v/>
      </c>
      <c r="FA668">
        <f>CONCATENATE(SamplesX!A668,SamplesX!B668)</f>
        <v/>
      </c>
      <c r="FC668">
        <f>MATCH(EZ668,FA1:FA1008,0)</f>
        <v/>
      </c>
    </row>
    <row r="669">
      <c r="A669" s="16" t="n"/>
      <c r="B669" s="17" t="n"/>
      <c r="C669" s="10">
        <f>IF(ISNUMBER(FC669),INDIRECT("SamplesX!C"&amp;FC669),IF(ISNUMBER(FD669),INDIRECT("SamplesY!C"&amp;FD669),""))</f>
        <v/>
      </c>
      <c r="D669" s="12">
        <f>IF(ISNUMBER(FC669),INDIRECT("SamplesX!D"&amp;FC669),IF(ISNUMBER(FD669),INDIRECT("SamplesY!D"&amp;FD669),""))</f>
        <v/>
      </c>
      <c r="E669" s="12">
        <f>IF(ISNUMBER(FC669),INDIRECT("SamplesX!E"&amp;FC669),IF(ISNUMBER(FD669),INDIRECT("SamplesY!E"&amp;FD669),""))</f>
        <v/>
      </c>
      <c r="F669" s="11">
        <f>IF(ISNUMBER(FC669),INDIRECT("SamplesX!F"&amp;FC669),IF(ISNUMBER(FD669),INDIRECT("SamplesY!F"&amp;FD669),""))</f>
        <v/>
      </c>
      <c r="G669" s="18">
        <f>IF(ISNUMBER(FC669),INDIRECT("SamplesX!G"&amp;FC669),IF(ISNUMBER(FD669),INDIRECT("SamplesY!G"&amp;FD669),""))</f>
        <v/>
      </c>
      <c r="H669" s="19">
        <f>IF(ISNUMBER(FC669),INDIRECT("SamplesX!H"&amp;FC669),IF(ISNUMBER(FD669),INDIRECT("SamplesY!H"&amp;FD669),""))</f>
        <v/>
      </c>
      <c r="I669" s="16" t="n"/>
      <c r="J669" s="16" t="n"/>
      <c r="K669" s="16" t="n"/>
      <c r="L669" s="20" t="n"/>
      <c r="M669" s="20" t="inlineStr">
        <is>
          <t>None</t>
        </is>
      </c>
      <c r="N669" s="17" t="n"/>
      <c r="O669" s="16" t="n"/>
      <c r="P669" s="20" t="inlineStr">
        <is>
          <t>Shimadzu TOC-L</t>
        </is>
      </c>
      <c r="Q669" s="20" t="inlineStr">
        <is>
          <t>None</t>
        </is>
      </c>
      <c r="R669" s="17" t="n"/>
      <c r="S669" s="16" t="n"/>
      <c r="T669" s="20" t="inlineStr">
        <is>
          <t>Shimadzu TOC-L</t>
        </is>
      </c>
      <c r="U669" s="20" t="inlineStr">
        <is>
          <t>None</t>
        </is>
      </c>
      <c r="V669" s="17" t="n"/>
      <c r="W669" s="16" t="n"/>
      <c r="X669" s="20" t="n"/>
      <c r="Y669" s="20" t="inlineStr">
        <is>
          <t>None</t>
        </is>
      </c>
      <c r="Z669" s="17" t="n"/>
      <c r="AA669" s="16" t="n"/>
      <c r="AB669" s="20" t="n"/>
      <c r="AC669" s="20" t="inlineStr">
        <is>
          <t>None</t>
        </is>
      </c>
      <c r="AD669" s="17" t="n"/>
      <c r="AE669" s="16" t="n"/>
      <c r="AF669" s="20" t="inlineStr">
        <is>
          <t>IC Anionen</t>
        </is>
      </c>
      <c r="AG669" s="20" t="inlineStr">
        <is>
          <t>None</t>
        </is>
      </c>
      <c r="AH669" s="17" t="n"/>
      <c r="AI669" s="16" t="n"/>
      <c r="AJ669" s="20" t="n"/>
      <c r="AK669" s="20" t="inlineStr">
        <is>
          <t>None</t>
        </is>
      </c>
      <c r="AL669" s="17" t="n"/>
      <c r="AM669" s="16" t="n"/>
      <c r="AN669" s="20" t="inlineStr">
        <is>
          <t>IC Anionen</t>
        </is>
      </c>
      <c r="AO669" s="20" t="inlineStr">
        <is>
          <t>None</t>
        </is>
      </c>
      <c r="AP669" s="17" t="n"/>
      <c r="AQ669" s="16" t="n"/>
      <c r="AR669" s="20" t="n"/>
      <c r="AS669" s="20" t="inlineStr">
        <is>
          <t>None</t>
        </is>
      </c>
      <c r="AT669" s="17" t="n"/>
      <c r="AU669" s="16" t="n"/>
      <c r="AV669" s="20" t="n"/>
      <c r="AW669" s="20" t="inlineStr">
        <is>
          <t>None</t>
        </is>
      </c>
      <c r="AX669" s="17" t="n"/>
      <c r="AY669" s="16" t="n"/>
      <c r="AZ669" s="20" t="inlineStr">
        <is>
          <t>IC Anionen</t>
        </is>
      </c>
      <c r="BA669" s="20" t="inlineStr">
        <is>
          <t>None</t>
        </is>
      </c>
      <c r="BB669" s="17" t="n"/>
      <c r="BC669" s="16" t="n"/>
      <c r="BD669" s="20" t="inlineStr">
        <is>
          <t>IC Kationen</t>
        </is>
      </c>
      <c r="BE669" s="20" t="inlineStr">
        <is>
          <t>None</t>
        </is>
      </c>
      <c r="BF669" s="17" t="n"/>
      <c r="BG669" s="16" t="n"/>
      <c r="BH669" s="20" t="inlineStr">
        <is>
          <t>IC Kationen</t>
        </is>
      </c>
      <c r="BI669" s="20" t="inlineStr">
        <is>
          <t>None</t>
        </is>
      </c>
      <c r="BJ669" s="17" t="n"/>
      <c r="BK669" s="16" t="n"/>
      <c r="BL669" s="20" t="inlineStr">
        <is>
          <t>IC Kationen</t>
        </is>
      </c>
      <c r="BM669" s="20" t="inlineStr">
        <is>
          <t>None</t>
        </is>
      </c>
      <c r="BN669" s="17" t="n"/>
      <c r="BO669" s="16" t="n"/>
      <c r="BP669" s="20" t="inlineStr">
        <is>
          <t>IC Kationen</t>
        </is>
      </c>
      <c r="BQ669" s="20" t="inlineStr">
        <is>
          <t>None</t>
        </is>
      </c>
      <c r="BR669" s="17" t="n"/>
      <c r="BS669" s="16" t="n"/>
      <c r="BT669" s="20" t="inlineStr">
        <is>
          <t>IC Kationen</t>
        </is>
      </c>
      <c r="BU669" s="20" t="inlineStr">
        <is>
          <t>None</t>
        </is>
      </c>
      <c r="BV669" s="17" t="n"/>
      <c r="BW669" s="16" t="n"/>
      <c r="BX669" s="20" t="n"/>
      <c r="BY669" s="20" t="inlineStr">
        <is>
          <t>None</t>
        </is>
      </c>
      <c r="BZ669" s="17" t="n"/>
      <c r="CA669" s="16" t="n"/>
      <c r="CB669" s="20" t="n"/>
      <c r="CC669" s="20" t="inlineStr">
        <is>
          <t>None</t>
        </is>
      </c>
      <c r="CD669" s="17" t="n"/>
      <c r="CE669" s="16" t="n"/>
      <c r="CF669" s="20" t="n"/>
      <c r="CG669" s="20" t="inlineStr">
        <is>
          <t>None</t>
        </is>
      </c>
      <c r="CH669" s="17" t="n"/>
      <c r="CI669" s="16" t="n"/>
      <c r="CJ669" s="20" t="n"/>
      <c r="CK669" s="20" t="inlineStr">
        <is>
          <t>None</t>
        </is>
      </c>
      <c r="CL669" s="17" t="n"/>
      <c r="CM669" s="16" t="n"/>
      <c r="CN669" s="20" t="inlineStr">
        <is>
          <t>SOP 45-34</t>
        </is>
      </c>
      <c r="CO669" s="20" t="inlineStr">
        <is>
          <t>None</t>
        </is>
      </c>
      <c r="CP669" s="17" t="n"/>
      <c r="CQ669" s="16" t="n"/>
      <c r="CR669" s="20" t="n"/>
      <c r="CS669" s="20" t="inlineStr">
        <is>
          <t>None</t>
        </is>
      </c>
      <c r="CT669" s="17" t="n"/>
      <c r="CU669" s="16" t="n"/>
      <c r="CV669" s="20" t="n"/>
      <c r="CW669" s="20" t="inlineStr">
        <is>
          <t>None</t>
        </is>
      </c>
      <c r="CX669" s="17" t="n"/>
      <c r="CY669" s="16" t="n"/>
      <c r="CZ669" s="20" t="inlineStr">
        <is>
          <t>WTW Multimeter 3430 with FDO 925</t>
        </is>
      </c>
      <c r="DA669" s="20" t="inlineStr">
        <is>
          <t>None</t>
        </is>
      </c>
      <c r="DB669" s="17" t="n"/>
      <c r="DC669" s="16" t="n"/>
      <c r="DD669" s="20" t="n"/>
      <c r="DE669" s="20" t="inlineStr">
        <is>
          <t>None</t>
        </is>
      </c>
      <c r="DF669" s="17" t="n"/>
      <c r="DG669" s="16" t="n"/>
      <c r="DH669" s="20" t="inlineStr">
        <is>
          <t>SOP 45-09</t>
        </is>
      </c>
      <c r="DI669" s="20" t="inlineStr">
        <is>
          <t>None</t>
        </is>
      </c>
      <c r="DJ669" s="17" t="n"/>
      <c r="DK669" s="16" t="n"/>
      <c r="DL669" s="20" t="inlineStr">
        <is>
          <t>SOP 45-09 (SOP muss noch angepasst werden für VSS)</t>
        </is>
      </c>
      <c r="DM669" s="20" t="inlineStr">
        <is>
          <t>None</t>
        </is>
      </c>
      <c r="DN669" s="17" t="n"/>
      <c r="DO669" s="16" t="n"/>
      <c r="DP669" s="20" t="inlineStr">
        <is>
          <t>IC Organic Acids</t>
        </is>
      </c>
      <c r="DQ669" s="20" t="inlineStr">
        <is>
          <t>None</t>
        </is>
      </c>
      <c r="DR669" s="17" t="n"/>
      <c r="DS669" s="16" t="n"/>
      <c r="DT669" s="20" t="inlineStr">
        <is>
          <t>IC Organic Acids</t>
        </is>
      </c>
      <c r="DU669" s="20" t="inlineStr">
        <is>
          <t>None</t>
        </is>
      </c>
      <c r="DV669" s="17" t="n"/>
      <c r="DW669" s="16" t="n"/>
      <c r="DX669" s="20" t="inlineStr">
        <is>
          <t>IC Organic Acids</t>
        </is>
      </c>
      <c r="DY669" s="20" t="inlineStr">
        <is>
          <t>None</t>
        </is>
      </c>
      <c r="DZ669" s="17" t="n"/>
      <c r="EA669" s="16" t="n"/>
      <c r="EB669" s="20" t="inlineStr">
        <is>
          <t>IC Organic Acids</t>
        </is>
      </c>
      <c r="EC669" s="20" t="inlineStr">
        <is>
          <t>None</t>
        </is>
      </c>
      <c r="ED669" s="17" t="n"/>
      <c r="EE669" s="16" t="n"/>
      <c r="EF669" s="20" t="inlineStr">
        <is>
          <t>IC Organic Acids</t>
        </is>
      </c>
      <c r="EG669" s="20" t="inlineStr">
        <is>
          <t>None</t>
        </is>
      </c>
      <c r="EH669" s="17" t="n"/>
      <c r="EI669" s="16" t="n"/>
      <c r="EJ669" s="20" t="inlineStr">
        <is>
          <t>IC Organic Acids</t>
        </is>
      </c>
      <c r="EK669" s="20" t="inlineStr">
        <is>
          <t>None</t>
        </is>
      </c>
      <c r="EL669" s="17" t="n"/>
      <c r="EM669" s="16" t="n"/>
      <c r="EN669" s="20" t="inlineStr">
        <is>
          <t>IC Organic Acids</t>
        </is>
      </c>
      <c r="EO669" s="20" t="inlineStr">
        <is>
          <t>None</t>
        </is>
      </c>
      <c r="EP669" s="17" t="n"/>
      <c r="EQ669" s="16" t="n"/>
      <c r="ER669" s="20" t="inlineStr">
        <is>
          <t>IC Organic Acids</t>
        </is>
      </c>
      <c r="ES669" s="20" t="inlineStr">
        <is>
          <t>None</t>
        </is>
      </c>
      <c r="ET669" s="17" t="n"/>
      <c r="EU669" s="16" t="n"/>
      <c r="EV669" s="20" t="inlineStr">
        <is>
          <t>LC-MS</t>
        </is>
      </c>
      <c r="EW669" s="20" t="inlineStr">
        <is>
          <t>None</t>
        </is>
      </c>
      <c r="EX669" s="17" t="n"/>
      <c r="EY669" s="21" t="n"/>
      <c r="EZ669">
        <f>CONCATENATE(A669,B669)</f>
        <v/>
      </c>
      <c r="FA669">
        <f>CONCATENATE(SamplesX!A669,SamplesX!B669)</f>
        <v/>
      </c>
      <c r="FC669">
        <f>MATCH(EZ669,FA1:FA1008,0)</f>
        <v/>
      </c>
    </row>
    <row r="670">
      <c r="A670" s="16" t="n"/>
      <c r="B670" s="17" t="n"/>
      <c r="C670" s="10">
        <f>IF(ISNUMBER(FC670),INDIRECT("SamplesX!C"&amp;FC670),IF(ISNUMBER(FD670),INDIRECT("SamplesY!C"&amp;FD670),""))</f>
        <v/>
      </c>
      <c r="D670" s="12">
        <f>IF(ISNUMBER(FC670),INDIRECT("SamplesX!D"&amp;FC670),IF(ISNUMBER(FD670),INDIRECT("SamplesY!D"&amp;FD670),""))</f>
        <v/>
      </c>
      <c r="E670" s="12">
        <f>IF(ISNUMBER(FC670),INDIRECT("SamplesX!E"&amp;FC670),IF(ISNUMBER(FD670),INDIRECT("SamplesY!E"&amp;FD670),""))</f>
        <v/>
      </c>
      <c r="F670" s="11">
        <f>IF(ISNUMBER(FC670),INDIRECT("SamplesX!F"&amp;FC670),IF(ISNUMBER(FD670),INDIRECT("SamplesY!F"&amp;FD670),""))</f>
        <v/>
      </c>
      <c r="G670" s="18">
        <f>IF(ISNUMBER(FC670),INDIRECT("SamplesX!G"&amp;FC670),IF(ISNUMBER(FD670),INDIRECT("SamplesY!G"&amp;FD670),""))</f>
        <v/>
      </c>
      <c r="H670" s="19">
        <f>IF(ISNUMBER(FC670),INDIRECT("SamplesX!H"&amp;FC670),IF(ISNUMBER(FD670),INDIRECT("SamplesY!H"&amp;FD670),""))</f>
        <v/>
      </c>
      <c r="I670" s="16" t="n"/>
      <c r="J670" s="16" t="n"/>
      <c r="K670" s="16" t="n"/>
      <c r="L670" s="20" t="n"/>
      <c r="M670" s="20" t="inlineStr">
        <is>
          <t>None</t>
        </is>
      </c>
      <c r="N670" s="17" t="n"/>
      <c r="O670" s="16" t="n"/>
      <c r="P670" s="20" t="inlineStr">
        <is>
          <t>Shimadzu TOC-L</t>
        </is>
      </c>
      <c r="Q670" s="20" t="inlineStr">
        <is>
          <t>None</t>
        </is>
      </c>
      <c r="R670" s="17" t="n"/>
      <c r="S670" s="16" t="n"/>
      <c r="T670" s="20" t="inlineStr">
        <is>
          <t>Shimadzu TOC-L</t>
        </is>
      </c>
      <c r="U670" s="20" t="inlineStr">
        <is>
          <t>None</t>
        </is>
      </c>
      <c r="V670" s="17" t="n"/>
      <c r="W670" s="16" t="n"/>
      <c r="X670" s="20" t="n"/>
      <c r="Y670" s="20" t="inlineStr">
        <is>
          <t>None</t>
        </is>
      </c>
      <c r="Z670" s="17" t="n"/>
      <c r="AA670" s="16" t="n"/>
      <c r="AB670" s="20" t="n"/>
      <c r="AC670" s="20" t="inlineStr">
        <is>
          <t>None</t>
        </is>
      </c>
      <c r="AD670" s="17" t="n"/>
      <c r="AE670" s="16" t="n"/>
      <c r="AF670" s="20" t="inlineStr">
        <is>
          <t>IC Anionen</t>
        </is>
      </c>
      <c r="AG670" s="20" t="inlineStr">
        <is>
          <t>None</t>
        </is>
      </c>
      <c r="AH670" s="17" t="n"/>
      <c r="AI670" s="16" t="n"/>
      <c r="AJ670" s="20" t="n"/>
      <c r="AK670" s="20" t="inlineStr">
        <is>
          <t>None</t>
        </is>
      </c>
      <c r="AL670" s="17" t="n"/>
      <c r="AM670" s="16" t="n"/>
      <c r="AN670" s="20" t="inlineStr">
        <is>
          <t>IC Anionen</t>
        </is>
      </c>
      <c r="AO670" s="20" t="inlineStr">
        <is>
          <t>None</t>
        </is>
      </c>
      <c r="AP670" s="17" t="n"/>
      <c r="AQ670" s="16" t="n"/>
      <c r="AR670" s="20" t="n"/>
      <c r="AS670" s="20" t="inlineStr">
        <is>
          <t>None</t>
        </is>
      </c>
      <c r="AT670" s="17" t="n"/>
      <c r="AU670" s="16" t="n"/>
      <c r="AV670" s="20" t="n"/>
      <c r="AW670" s="20" t="inlineStr">
        <is>
          <t>None</t>
        </is>
      </c>
      <c r="AX670" s="17" t="n"/>
      <c r="AY670" s="16" t="n"/>
      <c r="AZ670" s="20" t="inlineStr">
        <is>
          <t>IC Anionen</t>
        </is>
      </c>
      <c r="BA670" s="20" t="inlineStr">
        <is>
          <t>None</t>
        </is>
      </c>
      <c r="BB670" s="17" t="n"/>
      <c r="BC670" s="16" t="n"/>
      <c r="BD670" s="20" t="inlineStr">
        <is>
          <t>IC Kationen</t>
        </is>
      </c>
      <c r="BE670" s="20" t="inlineStr">
        <is>
          <t>None</t>
        </is>
      </c>
      <c r="BF670" s="17" t="n"/>
      <c r="BG670" s="16" t="n"/>
      <c r="BH670" s="20" t="inlineStr">
        <is>
          <t>IC Kationen</t>
        </is>
      </c>
      <c r="BI670" s="20" t="inlineStr">
        <is>
          <t>None</t>
        </is>
      </c>
      <c r="BJ670" s="17" t="n"/>
      <c r="BK670" s="16" t="n"/>
      <c r="BL670" s="20" t="inlineStr">
        <is>
          <t>IC Kationen</t>
        </is>
      </c>
      <c r="BM670" s="20" t="inlineStr">
        <is>
          <t>None</t>
        </is>
      </c>
      <c r="BN670" s="17" t="n"/>
      <c r="BO670" s="16" t="n"/>
      <c r="BP670" s="20" t="inlineStr">
        <is>
          <t>IC Kationen</t>
        </is>
      </c>
      <c r="BQ670" s="20" t="inlineStr">
        <is>
          <t>None</t>
        </is>
      </c>
      <c r="BR670" s="17" t="n"/>
      <c r="BS670" s="16" t="n"/>
      <c r="BT670" s="20" t="inlineStr">
        <is>
          <t>IC Kationen</t>
        </is>
      </c>
      <c r="BU670" s="20" t="inlineStr">
        <is>
          <t>None</t>
        </is>
      </c>
      <c r="BV670" s="17" t="n"/>
      <c r="BW670" s="16" t="n"/>
      <c r="BX670" s="20" t="n"/>
      <c r="BY670" s="20" t="inlineStr">
        <is>
          <t>None</t>
        </is>
      </c>
      <c r="BZ670" s="17" t="n"/>
      <c r="CA670" s="16" t="n"/>
      <c r="CB670" s="20" t="n"/>
      <c r="CC670" s="20" t="inlineStr">
        <is>
          <t>None</t>
        </is>
      </c>
      <c r="CD670" s="17" t="n"/>
      <c r="CE670" s="16" t="n"/>
      <c r="CF670" s="20" t="n"/>
      <c r="CG670" s="20" t="inlineStr">
        <is>
          <t>None</t>
        </is>
      </c>
      <c r="CH670" s="17" t="n"/>
      <c r="CI670" s="16" t="n"/>
      <c r="CJ670" s="20" t="n"/>
      <c r="CK670" s="20" t="inlineStr">
        <is>
          <t>None</t>
        </is>
      </c>
      <c r="CL670" s="17" t="n"/>
      <c r="CM670" s="16" t="n"/>
      <c r="CN670" s="20" t="inlineStr">
        <is>
          <t>SOP 45-34</t>
        </is>
      </c>
      <c r="CO670" s="20" t="inlineStr">
        <is>
          <t>None</t>
        </is>
      </c>
      <c r="CP670" s="17" t="n"/>
      <c r="CQ670" s="16" t="n"/>
      <c r="CR670" s="20" t="n"/>
      <c r="CS670" s="20" t="inlineStr">
        <is>
          <t>None</t>
        </is>
      </c>
      <c r="CT670" s="17" t="n"/>
      <c r="CU670" s="16" t="n"/>
      <c r="CV670" s="20" t="n"/>
      <c r="CW670" s="20" t="inlineStr">
        <is>
          <t>None</t>
        </is>
      </c>
      <c r="CX670" s="17" t="n"/>
      <c r="CY670" s="16" t="n"/>
      <c r="CZ670" s="20" t="inlineStr">
        <is>
          <t>WTW Multimeter 3430 with FDO 925</t>
        </is>
      </c>
      <c r="DA670" s="20" t="inlineStr">
        <is>
          <t>None</t>
        </is>
      </c>
      <c r="DB670" s="17" t="n"/>
      <c r="DC670" s="16" t="n"/>
      <c r="DD670" s="20" t="n"/>
      <c r="DE670" s="20" t="inlineStr">
        <is>
          <t>None</t>
        </is>
      </c>
      <c r="DF670" s="17" t="n"/>
      <c r="DG670" s="16" t="n"/>
      <c r="DH670" s="20" t="inlineStr">
        <is>
          <t>SOP 45-09</t>
        </is>
      </c>
      <c r="DI670" s="20" t="inlineStr">
        <is>
          <t>None</t>
        </is>
      </c>
      <c r="DJ670" s="17" t="n"/>
      <c r="DK670" s="16" t="n"/>
      <c r="DL670" s="20" t="inlineStr">
        <is>
          <t>SOP 45-09 (SOP muss noch angepasst werden für VSS)</t>
        </is>
      </c>
      <c r="DM670" s="20" t="inlineStr">
        <is>
          <t>None</t>
        </is>
      </c>
      <c r="DN670" s="17" t="n"/>
      <c r="DO670" s="16" t="n"/>
      <c r="DP670" s="20" t="inlineStr">
        <is>
          <t>IC Organic Acids</t>
        </is>
      </c>
      <c r="DQ670" s="20" t="inlineStr">
        <is>
          <t>None</t>
        </is>
      </c>
      <c r="DR670" s="17" t="n"/>
      <c r="DS670" s="16" t="n"/>
      <c r="DT670" s="20" t="inlineStr">
        <is>
          <t>IC Organic Acids</t>
        </is>
      </c>
      <c r="DU670" s="20" t="inlineStr">
        <is>
          <t>None</t>
        </is>
      </c>
      <c r="DV670" s="17" t="n"/>
      <c r="DW670" s="16" t="n"/>
      <c r="DX670" s="20" t="inlineStr">
        <is>
          <t>IC Organic Acids</t>
        </is>
      </c>
      <c r="DY670" s="20" t="inlineStr">
        <is>
          <t>None</t>
        </is>
      </c>
      <c r="DZ670" s="17" t="n"/>
      <c r="EA670" s="16" t="n"/>
      <c r="EB670" s="20" t="inlineStr">
        <is>
          <t>IC Organic Acids</t>
        </is>
      </c>
      <c r="EC670" s="20" t="inlineStr">
        <is>
          <t>None</t>
        </is>
      </c>
      <c r="ED670" s="17" t="n"/>
      <c r="EE670" s="16" t="n"/>
      <c r="EF670" s="20" t="inlineStr">
        <is>
          <t>IC Organic Acids</t>
        </is>
      </c>
      <c r="EG670" s="20" t="inlineStr">
        <is>
          <t>None</t>
        </is>
      </c>
      <c r="EH670" s="17" t="n"/>
      <c r="EI670" s="16" t="n"/>
      <c r="EJ670" s="20" t="inlineStr">
        <is>
          <t>IC Organic Acids</t>
        </is>
      </c>
      <c r="EK670" s="20" t="inlineStr">
        <is>
          <t>None</t>
        </is>
      </c>
      <c r="EL670" s="17" t="n"/>
      <c r="EM670" s="16" t="n"/>
      <c r="EN670" s="20" t="inlineStr">
        <is>
          <t>IC Organic Acids</t>
        </is>
      </c>
      <c r="EO670" s="20" t="inlineStr">
        <is>
          <t>None</t>
        </is>
      </c>
      <c r="EP670" s="17" t="n"/>
      <c r="EQ670" s="16" t="n"/>
      <c r="ER670" s="20" t="inlineStr">
        <is>
          <t>IC Organic Acids</t>
        </is>
      </c>
      <c r="ES670" s="20" t="inlineStr">
        <is>
          <t>None</t>
        </is>
      </c>
      <c r="ET670" s="17" t="n"/>
      <c r="EU670" s="16" t="n"/>
      <c r="EV670" s="20" t="inlineStr">
        <is>
          <t>LC-MS</t>
        </is>
      </c>
      <c r="EW670" s="20" t="inlineStr">
        <is>
          <t>None</t>
        </is>
      </c>
      <c r="EX670" s="17" t="n"/>
      <c r="EY670" s="21" t="n"/>
      <c r="EZ670">
        <f>CONCATENATE(A670,B670)</f>
        <v/>
      </c>
      <c r="FA670">
        <f>CONCATENATE(SamplesX!A670,SamplesX!B670)</f>
        <v/>
      </c>
      <c r="FC670">
        <f>MATCH(EZ670,FA1:FA1008,0)</f>
        <v/>
      </c>
    </row>
    <row r="671">
      <c r="A671" s="16" t="n"/>
      <c r="B671" s="17" t="n"/>
      <c r="C671" s="10">
        <f>IF(ISNUMBER(FC671),INDIRECT("SamplesX!C"&amp;FC671),IF(ISNUMBER(FD671),INDIRECT("SamplesY!C"&amp;FD671),""))</f>
        <v/>
      </c>
      <c r="D671" s="12">
        <f>IF(ISNUMBER(FC671),INDIRECT("SamplesX!D"&amp;FC671),IF(ISNUMBER(FD671),INDIRECT("SamplesY!D"&amp;FD671),""))</f>
        <v/>
      </c>
      <c r="E671" s="12">
        <f>IF(ISNUMBER(FC671),INDIRECT("SamplesX!E"&amp;FC671),IF(ISNUMBER(FD671),INDIRECT("SamplesY!E"&amp;FD671),""))</f>
        <v/>
      </c>
      <c r="F671" s="11">
        <f>IF(ISNUMBER(FC671),INDIRECT("SamplesX!F"&amp;FC671),IF(ISNUMBER(FD671),INDIRECT("SamplesY!F"&amp;FD671),""))</f>
        <v/>
      </c>
      <c r="G671" s="18">
        <f>IF(ISNUMBER(FC671),INDIRECT("SamplesX!G"&amp;FC671),IF(ISNUMBER(FD671),INDIRECT("SamplesY!G"&amp;FD671),""))</f>
        <v/>
      </c>
      <c r="H671" s="19">
        <f>IF(ISNUMBER(FC671),INDIRECT("SamplesX!H"&amp;FC671),IF(ISNUMBER(FD671),INDIRECT("SamplesY!H"&amp;FD671),""))</f>
        <v/>
      </c>
      <c r="I671" s="16" t="n"/>
      <c r="J671" s="16" t="n"/>
      <c r="K671" s="16" t="n"/>
      <c r="L671" s="20" t="n"/>
      <c r="M671" s="20" t="inlineStr">
        <is>
          <t>None</t>
        </is>
      </c>
      <c r="N671" s="17" t="n"/>
      <c r="O671" s="16" t="n"/>
      <c r="P671" s="20" t="inlineStr">
        <is>
          <t>Shimadzu TOC-L</t>
        </is>
      </c>
      <c r="Q671" s="20" t="inlineStr">
        <is>
          <t>None</t>
        </is>
      </c>
      <c r="R671" s="17" t="n"/>
      <c r="S671" s="16" t="n"/>
      <c r="T671" s="20" t="inlineStr">
        <is>
          <t>Shimadzu TOC-L</t>
        </is>
      </c>
      <c r="U671" s="20" t="inlineStr">
        <is>
          <t>None</t>
        </is>
      </c>
      <c r="V671" s="17" t="n"/>
      <c r="W671" s="16" t="n"/>
      <c r="X671" s="20" t="n"/>
      <c r="Y671" s="20" t="inlineStr">
        <is>
          <t>None</t>
        </is>
      </c>
      <c r="Z671" s="17" t="n"/>
      <c r="AA671" s="16" t="n"/>
      <c r="AB671" s="20" t="n"/>
      <c r="AC671" s="20" t="inlineStr">
        <is>
          <t>None</t>
        </is>
      </c>
      <c r="AD671" s="17" t="n"/>
      <c r="AE671" s="16" t="n"/>
      <c r="AF671" s="20" t="inlineStr">
        <is>
          <t>IC Anionen</t>
        </is>
      </c>
      <c r="AG671" s="20" t="inlineStr">
        <is>
          <t>None</t>
        </is>
      </c>
      <c r="AH671" s="17" t="n"/>
      <c r="AI671" s="16" t="n"/>
      <c r="AJ671" s="20" t="n"/>
      <c r="AK671" s="20" t="inlineStr">
        <is>
          <t>None</t>
        </is>
      </c>
      <c r="AL671" s="17" t="n"/>
      <c r="AM671" s="16" t="n"/>
      <c r="AN671" s="20" t="inlineStr">
        <is>
          <t>IC Anionen</t>
        </is>
      </c>
      <c r="AO671" s="20" t="inlineStr">
        <is>
          <t>None</t>
        </is>
      </c>
      <c r="AP671" s="17" t="n"/>
      <c r="AQ671" s="16" t="n"/>
      <c r="AR671" s="20" t="n"/>
      <c r="AS671" s="20" t="inlineStr">
        <is>
          <t>None</t>
        </is>
      </c>
      <c r="AT671" s="17" t="n"/>
      <c r="AU671" s="16" t="n"/>
      <c r="AV671" s="20" t="n"/>
      <c r="AW671" s="20" t="inlineStr">
        <is>
          <t>None</t>
        </is>
      </c>
      <c r="AX671" s="17" t="n"/>
      <c r="AY671" s="16" t="n"/>
      <c r="AZ671" s="20" t="inlineStr">
        <is>
          <t>IC Anionen</t>
        </is>
      </c>
      <c r="BA671" s="20" t="inlineStr">
        <is>
          <t>None</t>
        </is>
      </c>
      <c r="BB671" s="17" t="n"/>
      <c r="BC671" s="16" t="n"/>
      <c r="BD671" s="20" t="inlineStr">
        <is>
          <t>IC Kationen</t>
        </is>
      </c>
      <c r="BE671" s="20" t="inlineStr">
        <is>
          <t>None</t>
        </is>
      </c>
      <c r="BF671" s="17" t="n"/>
      <c r="BG671" s="16" t="n"/>
      <c r="BH671" s="20" t="inlineStr">
        <is>
          <t>IC Kationen</t>
        </is>
      </c>
      <c r="BI671" s="20" t="inlineStr">
        <is>
          <t>None</t>
        </is>
      </c>
      <c r="BJ671" s="17" t="n"/>
      <c r="BK671" s="16" t="n"/>
      <c r="BL671" s="20" t="inlineStr">
        <is>
          <t>IC Kationen</t>
        </is>
      </c>
      <c r="BM671" s="20" t="inlineStr">
        <is>
          <t>None</t>
        </is>
      </c>
      <c r="BN671" s="17" t="n"/>
      <c r="BO671" s="16" t="n"/>
      <c r="BP671" s="20" t="inlineStr">
        <is>
          <t>IC Kationen</t>
        </is>
      </c>
      <c r="BQ671" s="20" t="inlineStr">
        <is>
          <t>None</t>
        </is>
      </c>
      <c r="BR671" s="17" t="n"/>
      <c r="BS671" s="16" t="n"/>
      <c r="BT671" s="20" t="inlineStr">
        <is>
          <t>IC Kationen</t>
        </is>
      </c>
      <c r="BU671" s="20" t="inlineStr">
        <is>
          <t>None</t>
        </is>
      </c>
      <c r="BV671" s="17" t="n"/>
      <c r="BW671" s="16" t="n"/>
      <c r="BX671" s="20" t="n"/>
      <c r="BY671" s="20" t="inlineStr">
        <is>
          <t>None</t>
        </is>
      </c>
      <c r="BZ671" s="17" t="n"/>
      <c r="CA671" s="16" t="n"/>
      <c r="CB671" s="20" t="n"/>
      <c r="CC671" s="20" t="inlineStr">
        <is>
          <t>None</t>
        </is>
      </c>
      <c r="CD671" s="17" t="n"/>
      <c r="CE671" s="16" t="n"/>
      <c r="CF671" s="20" t="n"/>
      <c r="CG671" s="20" t="inlineStr">
        <is>
          <t>None</t>
        </is>
      </c>
      <c r="CH671" s="17" t="n"/>
      <c r="CI671" s="16" t="n"/>
      <c r="CJ671" s="20" t="n"/>
      <c r="CK671" s="20" t="inlineStr">
        <is>
          <t>None</t>
        </is>
      </c>
      <c r="CL671" s="17" t="n"/>
      <c r="CM671" s="16" t="n"/>
      <c r="CN671" s="20" t="inlineStr">
        <is>
          <t>SOP 45-34</t>
        </is>
      </c>
      <c r="CO671" s="20" t="inlineStr">
        <is>
          <t>None</t>
        </is>
      </c>
      <c r="CP671" s="17" t="n"/>
      <c r="CQ671" s="16" t="n"/>
      <c r="CR671" s="20" t="n"/>
      <c r="CS671" s="20" t="inlineStr">
        <is>
          <t>None</t>
        </is>
      </c>
      <c r="CT671" s="17" t="n"/>
      <c r="CU671" s="16" t="n"/>
      <c r="CV671" s="20" t="n"/>
      <c r="CW671" s="20" t="inlineStr">
        <is>
          <t>None</t>
        </is>
      </c>
      <c r="CX671" s="17" t="n"/>
      <c r="CY671" s="16" t="n"/>
      <c r="CZ671" s="20" t="inlineStr">
        <is>
          <t>WTW Multimeter 3430 with FDO 925</t>
        </is>
      </c>
      <c r="DA671" s="20" t="inlineStr">
        <is>
          <t>None</t>
        </is>
      </c>
      <c r="DB671" s="17" t="n"/>
      <c r="DC671" s="16" t="n"/>
      <c r="DD671" s="20" t="n"/>
      <c r="DE671" s="20" t="inlineStr">
        <is>
          <t>None</t>
        </is>
      </c>
      <c r="DF671" s="17" t="n"/>
      <c r="DG671" s="16" t="n"/>
      <c r="DH671" s="20" t="inlineStr">
        <is>
          <t>SOP 45-09</t>
        </is>
      </c>
      <c r="DI671" s="20" t="inlineStr">
        <is>
          <t>None</t>
        </is>
      </c>
      <c r="DJ671" s="17" t="n"/>
      <c r="DK671" s="16" t="n"/>
      <c r="DL671" s="20" t="inlineStr">
        <is>
          <t>SOP 45-09 (SOP muss noch angepasst werden für VSS)</t>
        </is>
      </c>
      <c r="DM671" s="20" t="inlineStr">
        <is>
          <t>None</t>
        </is>
      </c>
      <c r="DN671" s="17" t="n"/>
      <c r="DO671" s="16" t="n"/>
      <c r="DP671" s="20" t="inlineStr">
        <is>
          <t>IC Organic Acids</t>
        </is>
      </c>
      <c r="DQ671" s="20" t="inlineStr">
        <is>
          <t>None</t>
        </is>
      </c>
      <c r="DR671" s="17" t="n"/>
      <c r="DS671" s="16" t="n"/>
      <c r="DT671" s="20" t="inlineStr">
        <is>
          <t>IC Organic Acids</t>
        </is>
      </c>
      <c r="DU671" s="20" t="inlineStr">
        <is>
          <t>None</t>
        </is>
      </c>
      <c r="DV671" s="17" t="n"/>
      <c r="DW671" s="16" t="n"/>
      <c r="DX671" s="20" t="inlineStr">
        <is>
          <t>IC Organic Acids</t>
        </is>
      </c>
      <c r="DY671" s="20" t="inlineStr">
        <is>
          <t>None</t>
        </is>
      </c>
      <c r="DZ671" s="17" t="n"/>
      <c r="EA671" s="16" t="n"/>
      <c r="EB671" s="20" t="inlineStr">
        <is>
          <t>IC Organic Acids</t>
        </is>
      </c>
      <c r="EC671" s="20" t="inlineStr">
        <is>
          <t>None</t>
        </is>
      </c>
      <c r="ED671" s="17" t="n"/>
      <c r="EE671" s="16" t="n"/>
      <c r="EF671" s="20" t="inlineStr">
        <is>
          <t>IC Organic Acids</t>
        </is>
      </c>
      <c r="EG671" s="20" t="inlineStr">
        <is>
          <t>None</t>
        </is>
      </c>
      <c r="EH671" s="17" t="n"/>
      <c r="EI671" s="16" t="n"/>
      <c r="EJ671" s="20" t="inlineStr">
        <is>
          <t>IC Organic Acids</t>
        </is>
      </c>
      <c r="EK671" s="20" t="inlineStr">
        <is>
          <t>None</t>
        </is>
      </c>
      <c r="EL671" s="17" t="n"/>
      <c r="EM671" s="16" t="n"/>
      <c r="EN671" s="20" t="inlineStr">
        <is>
          <t>IC Organic Acids</t>
        </is>
      </c>
      <c r="EO671" s="20" t="inlineStr">
        <is>
          <t>None</t>
        </is>
      </c>
      <c r="EP671" s="17" t="n"/>
      <c r="EQ671" s="16" t="n"/>
      <c r="ER671" s="20" t="inlineStr">
        <is>
          <t>IC Organic Acids</t>
        </is>
      </c>
      <c r="ES671" s="20" t="inlineStr">
        <is>
          <t>None</t>
        </is>
      </c>
      <c r="ET671" s="17" t="n"/>
      <c r="EU671" s="16" t="n"/>
      <c r="EV671" s="20" t="inlineStr">
        <is>
          <t>LC-MS</t>
        </is>
      </c>
      <c r="EW671" s="20" t="inlineStr">
        <is>
          <t>None</t>
        </is>
      </c>
      <c r="EX671" s="17" t="n"/>
      <c r="EY671" s="21" t="n"/>
      <c r="EZ671">
        <f>CONCATENATE(A671,B671)</f>
        <v/>
      </c>
      <c r="FA671">
        <f>CONCATENATE(SamplesX!A671,SamplesX!B671)</f>
        <v/>
      </c>
      <c r="FC671">
        <f>MATCH(EZ671,FA1:FA1008,0)</f>
        <v/>
      </c>
    </row>
    <row r="672">
      <c r="A672" s="16" t="n"/>
      <c r="B672" s="17" t="n"/>
      <c r="C672" s="10">
        <f>IF(ISNUMBER(FC672),INDIRECT("SamplesX!C"&amp;FC672),IF(ISNUMBER(FD672),INDIRECT("SamplesY!C"&amp;FD672),""))</f>
        <v/>
      </c>
      <c r="D672" s="12">
        <f>IF(ISNUMBER(FC672),INDIRECT("SamplesX!D"&amp;FC672),IF(ISNUMBER(FD672),INDIRECT("SamplesY!D"&amp;FD672),""))</f>
        <v/>
      </c>
      <c r="E672" s="12">
        <f>IF(ISNUMBER(FC672),INDIRECT("SamplesX!E"&amp;FC672),IF(ISNUMBER(FD672),INDIRECT("SamplesY!E"&amp;FD672),""))</f>
        <v/>
      </c>
      <c r="F672" s="11">
        <f>IF(ISNUMBER(FC672),INDIRECT("SamplesX!F"&amp;FC672),IF(ISNUMBER(FD672),INDIRECT("SamplesY!F"&amp;FD672),""))</f>
        <v/>
      </c>
      <c r="G672" s="18">
        <f>IF(ISNUMBER(FC672),INDIRECT("SamplesX!G"&amp;FC672),IF(ISNUMBER(FD672),INDIRECT("SamplesY!G"&amp;FD672),""))</f>
        <v/>
      </c>
      <c r="H672" s="19">
        <f>IF(ISNUMBER(FC672),INDIRECT("SamplesX!H"&amp;FC672),IF(ISNUMBER(FD672),INDIRECT("SamplesY!H"&amp;FD672),""))</f>
        <v/>
      </c>
      <c r="I672" s="16" t="n"/>
      <c r="J672" s="16" t="n"/>
      <c r="K672" s="16" t="n"/>
      <c r="L672" s="20" t="n"/>
      <c r="M672" s="20" t="inlineStr">
        <is>
          <t>None</t>
        </is>
      </c>
      <c r="N672" s="17" t="n"/>
      <c r="O672" s="16" t="n"/>
      <c r="P672" s="20" t="inlineStr">
        <is>
          <t>Shimadzu TOC-L</t>
        </is>
      </c>
      <c r="Q672" s="20" t="inlineStr">
        <is>
          <t>None</t>
        </is>
      </c>
      <c r="R672" s="17" t="n"/>
      <c r="S672" s="16" t="n"/>
      <c r="T672" s="20" t="inlineStr">
        <is>
          <t>Shimadzu TOC-L</t>
        </is>
      </c>
      <c r="U672" s="20" t="inlineStr">
        <is>
          <t>None</t>
        </is>
      </c>
      <c r="V672" s="17" t="n"/>
      <c r="W672" s="16" t="n"/>
      <c r="X672" s="20" t="n"/>
      <c r="Y672" s="20" t="inlineStr">
        <is>
          <t>None</t>
        </is>
      </c>
      <c r="Z672" s="17" t="n"/>
      <c r="AA672" s="16" t="n"/>
      <c r="AB672" s="20" t="n"/>
      <c r="AC672" s="20" t="inlineStr">
        <is>
          <t>None</t>
        </is>
      </c>
      <c r="AD672" s="17" t="n"/>
      <c r="AE672" s="16" t="n"/>
      <c r="AF672" s="20" t="inlineStr">
        <is>
          <t>IC Anionen</t>
        </is>
      </c>
      <c r="AG672" s="20" t="inlineStr">
        <is>
          <t>None</t>
        </is>
      </c>
      <c r="AH672" s="17" t="n"/>
      <c r="AI672" s="16" t="n"/>
      <c r="AJ672" s="20" t="n"/>
      <c r="AK672" s="20" t="inlineStr">
        <is>
          <t>None</t>
        </is>
      </c>
      <c r="AL672" s="17" t="n"/>
      <c r="AM672" s="16" t="n"/>
      <c r="AN672" s="20" t="inlineStr">
        <is>
          <t>IC Anionen</t>
        </is>
      </c>
      <c r="AO672" s="20" t="inlineStr">
        <is>
          <t>None</t>
        </is>
      </c>
      <c r="AP672" s="17" t="n"/>
      <c r="AQ672" s="16" t="n"/>
      <c r="AR672" s="20" t="n"/>
      <c r="AS672" s="20" t="inlineStr">
        <is>
          <t>None</t>
        </is>
      </c>
      <c r="AT672" s="17" t="n"/>
      <c r="AU672" s="16" t="n"/>
      <c r="AV672" s="20" t="n"/>
      <c r="AW672" s="20" t="inlineStr">
        <is>
          <t>None</t>
        </is>
      </c>
      <c r="AX672" s="17" t="n"/>
      <c r="AY672" s="16" t="n"/>
      <c r="AZ672" s="20" t="inlineStr">
        <is>
          <t>IC Anionen</t>
        </is>
      </c>
      <c r="BA672" s="20" t="inlineStr">
        <is>
          <t>None</t>
        </is>
      </c>
      <c r="BB672" s="17" t="n"/>
      <c r="BC672" s="16" t="n"/>
      <c r="BD672" s="20" t="inlineStr">
        <is>
          <t>IC Kationen</t>
        </is>
      </c>
      <c r="BE672" s="20" t="inlineStr">
        <is>
          <t>None</t>
        </is>
      </c>
      <c r="BF672" s="17" t="n"/>
      <c r="BG672" s="16" t="n"/>
      <c r="BH672" s="20" t="inlineStr">
        <is>
          <t>IC Kationen</t>
        </is>
      </c>
      <c r="BI672" s="20" t="inlineStr">
        <is>
          <t>None</t>
        </is>
      </c>
      <c r="BJ672" s="17" t="n"/>
      <c r="BK672" s="16" t="n"/>
      <c r="BL672" s="20" t="inlineStr">
        <is>
          <t>IC Kationen</t>
        </is>
      </c>
      <c r="BM672" s="20" t="inlineStr">
        <is>
          <t>None</t>
        </is>
      </c>
      <c r="BN672" s="17" t="n"/>
      <c r="BO672" s="16" t="n"/>
      <c r="BP672" s="20" t="inlineStr">
        <is>
          <t>IC Kationen</t>
        </is>
      </c>
      <c r="BQ672" s="20" t="inlineStr">
        <is>
          <t>None</t>
        </is>
      </c>
      <c r="BR672" s="17" t="n"/>
      <c r="BS672" s="16" t="n"/>
      <c r="BT672" s="20" t="inlineStr">
        <is>
          <t>IC Kationen</t>
        </is>
      </c>
      <c r="BU672" s="20" t="inlineStr">
        <is>
          <t>None</t>
        </is>
      </c>
      <c r="BV672" s="17" t="n"/>
      <c r="BW672" s="16" t="n"/>
      <c r="BX672" s="20" t="n"/>
      <c r="BY672" s="20" t="inlineStr">
        <is>
          <t>None</t>
        </is>
      </c>
      <c r="BZ672" s="17" t="n"/>
      <c r="CA672" s="16" t="n"/>
      <c r="CB672" s="20" t="n"/>
      <c r="CC672" s="20" t="inlineStr">
        <is>
          <t>None</t>
        </is>
      </c>
      <c r="CD672" s="17" t="n"/>
      <c r="CE672" s="16" t="n"/>
      <c r="CF672" s="20" t="n"/>
      <c r="CG672" s="20" t="inlineStr">
        <is>
          <t>None</t>
        </is>
      </c>
      <c r="CH672" s="17" t="n"/>
      <c r="CI672" s="16" t="n"/>
      <c r="CJ672" s="20" t="n"/>
      <c r="CK672" s="20" t="inlineStr">
        <is>
          <t>None</t>
        </is>
      </c>
      <c r="CL672" s="17" t="n"/>
      <c r="CM672" s="16" t="n"/>
      <c r="CN672" s="20" t="inlineStr">
        <is>
          <t>SOP 45-34</t>
        </is>
      </c>
      <c r="CO672" s="20" t="inlineStr">
        <is>
          <t>None</t>
        </is>
      </c>
      <c r="CP672" s="17" t="n"/>
      <c r="CQ672" s="16" t="n"/>
      <c r="CR672" s="20" t="n"/>
      <c r="CS672" s="20" t="inlineStr">
        <is>
          <t>None</t>
        </is>
      </c>
      <c r="CT672" s="17" t="n"/>
      <c r="CU672" s="16" t="n"/>
      <c r="CV672" s="20" t="n"/>
      <c r="CW672" s="20" t="inlineStr">
        <is>
          <t>None</t>
        </is>
      </c>
      <c r="CX672" s="17" t="n"/>
      <c r="CY672" s="16" t="n"/>
      <c r="CZ672" s="20" t="inlineStr">
        <is>
          <t>WTW Multimeter 3430 with FDO 925</t>
        </is>
      </c>
      <c r="DA672" s="20" t="inlineStr">
        <is>
          <t>None</t>
        </is>
      </c>
      <c r="DB672" s="17" t="n"/>
      <c r="DC672" s="16" t="n"/>
      <c r="DD672" s="20" t="n"/>
      <c r="DE672" s="20" t="inlineStr">
        <is>
          <t>None</t>
        </is>
      </c>
      <c r="DF672" s="17" t="n"/>
      <c r="DG672" s="16" t="n"/>
      <c r="DH672" s="20" t="inlineStr">
        <is>
          <t>SOP 45-09</t>
        </is>
      </c>
      <c r="DI672" s="20" t="inlineStr">
        <is>
          <t>None</t>
        </is>
      </c>
      <c r="DJ672" s="17" t="n"/>
      <c r="DK672" s="16" t="n"/>
      <c r="DL672" s="20" t="inlineStr">
        <is>
          <t>SOP 45-09 (SOP muss noch angepasst werden für VSS)</t>
        </is>
      </c>
      <c r="DM672" s="20" t="inlineStr">
        <is>
          <t>None</t>
        </is>
      </c>
      <c r="DN672" s="17" t="n"/>
      <c r="DO672" s="16" t="n"/>
      <c r="DP672" s="20" t="inlineStr">
        <is>
          <t>IC Organic Acids</t>
        </is>
      </c>
      <c r="DQ672" s="20" t="inlineStr">
        <is>
          <t>None</t>
        </is>
      </c>
      <c r="DR672" s="17" t="n"/>
      <c r="DS672" s="16" t="n"/>
      <c r="DT672" s="20" t="inlineStr">
        <is>
          <t>IC Organic Acids</t>
        </is>
      </c>
      <c r="DU672" s="20" t="inlineStr">
        <is>
          <t>None</t>
        </is>
      </c>
      <c r="DV672" s="17" t="n"/>
      <c r="DW672" s="16" t="n"/>
      <c r="DX672" s="20" t="inlineStr">
        <is>
          <t>IC Organic Acids</t>
        </is>
      </c>
      <c r="DY672" s="20" t="inlineStr">
        <is>
          <t>None</t>
        </is>
      </c>
      <c r="DZ672" s="17" t="n"/>
      <c r="EA672" s="16" t="n"/>
      <c r="EB672" s="20" t="inlineStr">
        <is>
          <t>IC Organic Acids</t>
        </is>
      </c>
      <c r="EC672" s="20" t="inlineStr">
        <is>
          <t>None</t>
        </is>
      </c>
      <c r="ED672" s="17" t="n"/>
      <c r="EE672" s="16" t="n"/>
      <c r="EF672" s="20" t="inlineStr">
        <is>
          <t>IC Organic Acids</t>
        </is>
      </c>
      <c r="EG672" s="20" t="inlineStr">
        <is>
          <t>None</t>
        </is>
      </c>
      <c r="EH672" s="17" t="n"/>
      <c r="EI672" s="16" t="n"/>
      <c r="EJ672" s="20" t="inlineStr">
        <is>
          <t>IC Organic Acids</t>
        </is>
      </c>
      <c r="EK672" s="20" t="inlineStr">
        <is>
          <t>None</t>
        </is>
      </c>
      <c r="EL672" s="17" t="n"/>
      <c r="EM672" s="16" t="n"/>
      <c r="EN672" s="20" t="inlineStr">
        <is>
          <t>IC Organic Acids</t>
        </is>
      </c>
      <c r="EO672" s="20" t="inlineStr">
        <is>
          <t>None</t>
        </is>
      </c>
      <c r="EP672" s="17" t="n"/>
      <c r="EQ672" s="16" t="n"/>
      <c r="ER672" s="20" t="inlineStr">
        <is>
          <t>IC Organic Acids</t>
        </is>
      </c>
      <c r="ES672" s="20" t="inlineStr">
        <is>
          <t>None</t>
        </is>
      </c>
      <c r="ET672" s="17" t="n"/>
      <c r="EU672" s="16" t="n"/>
      <c r="EV672" s="20" t="inlineStr">
        <is>
          <t>LC-MS</t>
        </is>
      </c>
      <c r="EW672" s="20" t="inlineStr">
        <is>
          <t>None</t>
        </is>
      </c>
      <c r="EX672" s="17" t="n"/>
      <c r="EY672" s="21" t="n"/>
      <c r="EZ672">
        <f>CONCATENATE(A672,B672)</f>
        <v/>
      </c>
      <c r="FA672">
        <f>CONCATENATE(SamplesX!A672,SamplesX!B672)</f>
        <v/>
      </c>
      <c r="FC672">
        <f>MATCH(EZ672,FA1:FA1008,0)</f>
        <v/>
      </c>
    </row>
    <row r="673">
      <c r="A673" s="16" t="n"/>
      <c r="B673" s="17" t="n"/>
      <c r="C673" s="10">
        <f>IF(ISNUMBER(FC673),INDIRECT("SamplesX!C"&amp;FC673),IF(ISNUMBER(FD673),INDIRECT("SamplesY!C"&amp;FD673),""))</f>
        <v/>
      </c>
      <c r="D673" s="12">
        <f>IF(ISNUMBER(FC673),INDIRECT("SamplesX!D"&amp;FC673),IF(ISNUMBER(FD673),INDIRECT("SamplesY!D"&amp;FD673),""))</f>
        <v/>
      </c>
      <c r="E673" s="12">
        <f>IF(ISNUMBER(FC673),INDIRECT("SamplesX!E"&amp;FC673),IF(ISNUMBER(FD673),INDIRECT("SamplesY!E"&amp;FD673),""))</f>
        <v/>
      </c>
      <c r="F673" s="11">
        <f>IF(ISNUMBER(FC673),INDIRECT("SamplesX!F"&amp;FC673),IF(ISNUMBER(FD673),INDIRECT("SamplesY!F"&amp;FD673),""))</f>
        <v/>
      </c>
      <c r="G673" s="18">
        <f>IF(ISNUMBER(FC673),INDIRECT("SamplesX!G"&amp;FC673),IF(ISNUMBER(FD673),INDIRECT("SamplesY!G"&amp;FD673),""))</f>
        <v/>
      </c>
      <c r="H673" s="19">
        <f>IF(ISNUMBER(FC673),INDIRECT("SamplesX!H"&amp;FC673),IF(ISNUMBER(FD673),INDIRECT("SamplesY!H"&amp;FD673),""))</f>
        <v/>
      </c>
      <c r="I673" s="16" t="n"/>
      <c r="J673" s="16" t="n"/>
      <c r="K673" s="16" t="n"/>
      <c r="L673" s="20" t="n"/>
      <c r="M673" s="20" t="inlineStr">
        <is>
          <t>None</t>
        </is>
      </c>
      <c r="N673" s="17" t="n"/>
      <c r="O673" s="16" t="n"/>
      <c r="P673" s="20" t="inlineStr">
        <is>
          <t>Shimadzu TOC-L</t>
        </is>
      </c>
      <c r="Q673" s="20" t="inlineStr">
        <is>
          <t>None</t>
        </is>
      </c>
      <c r="R673" s="17" t="n"/>
      <c r="S673" s="16" t="n"/>
      <c r="T673" s="20" t="inlineStr">
        <is>
          <t>Shimadzu TOC-L</t>
        </is>
      </c>
      <c r="U673" s="20" t="inlineStr">
        <is>
          <t>None</t>
        </is>
      </c>
      <c r="V673" s="17" t="n"/>
      <c r="W673" s="16" t="n"/>
      <c r="X673" s="20" t="n"/>
      <c r="Y673" s="20" t="inlineStr">
        <is>
          <t>None</t>
        </is>
      </c>
      <c r="Z673" s="17" t="n"/>
      <c r="AA673" s="16" t="n"/>
      <c r="AB673" s="20" t="n"/>
      <c r="AC673" s="20" t="inlineStr">
        <is>
          <t>None</t>
        </is>
      </c>
      <c r="AD673" s="17" t="n"/>
      <c r="AE673" s="16" t="n"/>
      <c r="AF673" s="20" t="inlineStr">
        <is>
          <t>IC Anionen</t>
        </is>
      </c>
      <c r="AG673" s="20" t="inlineStr">
        <is>
          <t>None</t>
        </is>
      </c>
      <c r="AH673" s="17" t="n"/>
      <c r="AI673" s="16" t="n"/>
      <c r="AJ673" s="20" t="n"/>
      <c r="AK673" s="20" t="inlineStr">
        <is>
          <t>None</t>
        </is>
      </c>
      <c r="AL673" s="17" t="n"/>
      <c r="AM673" s="16" t="n"/>
      <c r="AN673" s="20" t="inlineStr">
        <is>
          <t>IC Anionen</t>
        </is>
      </c>
      <c r="AO673" s="20" t="inlineStr">
        <is>
          <t>None</t>
        </is>
      </c>
      <c r="AP673" s="17" t="n"/>
      <c r="AQ673" s="16" t="n"/>
      <c r="AR673" s="20" t="n"/>
      <c r="AS673" s="20" t="inlineStr">
        <is>
          <t>None</t>
        </is>
      </c>
      <c r="AT673" s="17" t="n"/>
      <c r="AU673" s="16" t="n"/>
      <c r="AV673" s="20" t="n"/>
      <c r="AW673" s="20" t="inlineStr">
        <is>
          <t>None</t>
        </is>
      </c>
      <c r="AX673" s="17" t="n"/>
      <c r="AY673" s="16" t="n"/>
      <c r="AZ673" s="20" t="inlineStr">
        <is>
          <t>IC Anionen</t>
        </is>
      </c>
      <c r="BA673" s="20" t="inlineStr">
        <is>
          <t>None</t>
        </is>
      </c>
      <c r="BB673" s="17" t="n"/>
      <c r="BC673" s="16" t="n"/>
      <c r="BD673" s="20" t="inlineStr">
        <is>
          <t>IC Kationen</t>
        </is>
      </c>
      <c r="BE673" s="20" t="inlineStr">
        <is>
          <t>None</t>
        </is>
      </c>
      <c r="BF673" s="17" t="n"/>
      <c r="BG673" s="16" t="n"/>
      <c r="BH673" s="20" t="inlineStr">
        <is>
          <t>IC Kationen</t>
        </is>
      </c>
      <c r="BI673" s="20" t="inlineStr">
        <is>
          <t>None</t>
        </is>
      </c>
      <c r="BJ673" s="17" t="n"/>
      <c r="BK673" s="16" t="n"/>
      <c r="BL673" s="20" t="inlineStr">
        <is>
          <t>IC Kationen</t>
        </is>
      </c>
      <c r="BM673" s="20" t="inlineStr">
        <is>
          <t>None</t>
        </is>
      </c>
      <c r="BN673" s="17" t="n"/>
      <c r="BO673" s="16" t="n"/>
      <c r="BP673" s="20" t="inlineStr">
        <is>
          <t>IC Kationen</t>
        </is>
      </c>
      <c r="BQ673" s="20" t="inlineStr">
        <is>
          <t>None</t>
        </is>
      </c>
      <c r="BR673" s="17" t="n"/>
      <c r="BS673" s="16" t="n"/>
      <c r="BT673" s="20" t="inlineStr">
        <is>
          <t>IC Kationen</t>
        </is>
      </c>
      <c r="BU673" s="20" t="inlineStr">
        <is>
          <t>None</t>
        </is>
      </c>
      <c r="BV673" s="17" t="n"/>
      <c r="BW673" s="16" t="n"/>
      <c r="BX673" s="20" t="n"/>
      <c r="BY673" s="20" t="inlineStr">
        <is>
          <t>None</t>
        </is>
      </c>
      <c r="BZ673" s="17" t="n"/>
      <c r="CA673" s="16" t="n"/>
      <c r="CB673" s="20" t="n"/>
      <c r="CC673" s="20" t="inlineStr">
        <is>
          <t>None</t>
        </is>
      </c>
      <c r="CD673" s="17" t="n"/>
      <c r="CE673" s="16" t="n"/>
      <c r="CF673" s="20" t="n"/>
      <c r="CG673" s="20" t="inlineStr">
        <is>
          <t>None</t>
        </is>
      </c>
      <c r="CH673" s="17" t="n"/>
      <c r="CI673" s="16" t="n"/>
      <c r="CJ673" s="20" t="n"/>
      <c r="CK673" s="20" t="inlineStr">
        <is>
          <t>None</t>
        </is>
      </c>
      <c r="CL673" s="17" t="n"/>
      <c r="CM673" s="16" t="n"/>
      <c r="CN673" s="20" t="inlineStr">
        <is>
          <t>SOP 45-34</t>
        </is>
      </c>
      <c r="CO673" s="20" t="inlineStr">
        <is>
          <t>None</t>
        </is>
      </c>
      <c r="CP673" s="17" t="n"/>
      <c r="CQ673" s="16" t="n"/>
      <c r="CR673" s="20" t="n"/>
      <c r="CS673" s="20" t="inlineStr">
        <is>
          <t>None</t>
        </is>
      </c>
      <c r="CT673" s="17" t="n"/>
      <c r="CU673" s="16" t="n"/>
      <c r="CV673" s="20" t="n"/>
      <c r="CW673" s="20" t="inlineStr">
        <is>
          <t>None</t>
        </is>
      </c>
      <c r="CX673" s="17" t="n"/>
      <c r="CY673" s="16" t="n"/>
      <c r="CZ673" s="20" t="inlineStr">
        <is>
          <t>WTW Multimeter 3430 with FDO 925</t>
        </is>
      </c>
      <c r="DA673" s="20" t="inlineStr">
        <is>
          <t>None</t>
        </is>
      </c>
      <c r="DB673" s="17" t="n"/>
      <c r="DC673" s="16" t="n"/>
      <c r="DD673" s="20" t="n"/>
      <c r="DE673" s="20" t="inlineStr">
        <is>
          <t>None</t>
        </is>
      </c>
      <c r="DF673" s="17" t="n"/>
      <c r="DG673" s="16" t="n"/>
      <c r="DH673" s="20" t="inlineStr">
        <is>
          <t>SOP 45-09</t>
        </is>
      </c>
      <c r="DI673" s="20" t="inlineStr">
        <is>
          <t>None</t>
        </is>
      </c>
      <c r="DJ673" s="17" t="n"/>
      <c r="DK673" s="16" t="n"/>
      <c r="DL673" s="20" t="inlineStr">
        <is>
          <t>SOP 45-09 (SOP muss noch angepasst werden für VSS)</t>
        </is>
      </c>
      <c r="DM673" s="20" t="inlineStr">
        <is>
          <t>None</t>
        </is>
      </c>
      <c r="DN673" s="17" t="n"/>
      <c r="DO673" s="16" t="n"/>
      <c r="DP673" s="20" t="inlineStr">
        <is>
          <t>IC Organic Acids</t>
        </is>
      </c>
      <c r="DQ673" s="20" t="inlineStr">
        <is>
          <t>None</t>
        </is>
      </c>
      <c r="DR673" s="17" t="n"/>
      <c r="DS673" s="16" t="n"/>
      <c r="DT673" s="20" t="inlineStr">
        <is>
          <t>IC Organic Acids</t>
        </is>
      </c>
      <c r="DU673" s="20" t="inlineStr">
        <is>
          <t>None</t>
        </is>
      </c>
      <c r="DV673" s="17" t="n"/>
      <c r="DW673" s="16" t="n"/>
      <c r="DX673" s="20" t="inlineStr">
        <is>
          <t>IC Organic Acids</t>
        </is>
      </c>
      <c r="DY673" s="20" t="inlineStr">
        <is>
          <t>None</t>
        </is>
      </c>
      <c r="DZ673" s="17" t="n"/>
      <c r="EA673" s="16" t="n"/>
      <c r="EB673" s="20" t="inlineStr">
        <is>
          <t>IC Organic Acids</t>
        </is>
      </c>
      <c r="EC673" s="20" t="inlineStr">
        <is>
          <t>None</t>
        </is>
      </c>
      <c r="ED673" s="17" t="n"/>
      <c r="EE673" s="16" t="n"/>
      <c r="EF673" s="20" t="inlineStr">
        <is>
          <t>IC Organic Acids</t>
        </is>
      </c>
      <c r="EG673" s="20" t="inlineStr">
        <is>
          <t>None</t>
        </is>
      </c>
      <c r="EH673" s="17" t="n"/>
      <c r="EI673" s="16" t="n"/>
      <c r="EJ673" s="20" t="inlineStr">
        <is>
          <t>IC Organic Acids</t>
        </is>
      </c>
      <c r="EK673" s="20" t="inlineStr">
        <is>
          <t>None</t>
        </is>
      </c>
      <c r="EL673" s="17" t="n"/>
      <c r="EM673" s="16" t="n"/>
      <c r="EN673" s="20" t="inlineStr">
        <is>
          <t>IC Organic Acids</t>
        </is>
      </c>
      <c r="EO673" s="20" t="inlineStr">
        <is>
          <t>None</t>
        </is>
      </c>
      <c r="EP673" s="17" t="n"/>
      <c r="EQ673" s="16" t="n"/>
      <c r="ER673" s="20" t="inlineStr">
        <is>
          <t>IC Organic Acids</t>
        </is>
      </c>
      <c r="ES673" s="20" t="inlineStr">
        <is>
          <t>None</t>
        </is>
      </c>
      <c r="ET673" s="17" t="n"/>
      <c r="EU673" s="16" t="n"/>
      <c r="EV673" s="20" t="inlineStr">
        <is>
          <t>LC-MS</t>
        </is>
      </c>
      <c r="EW673" s="20" t="inlineStr">
        <is>
          <t>None</t>
        </is>
      </c>
      <c r="EX673" s="17" t="n"/>
      <c r="EY673" s="21" t="n"/>
      <c r="EZ673">
        <f>CONCATENATE(A673,B673)</f>
        <v/>
      </c>
      <c r="FA673">
        <f>CONCATENATE(SamplesX!A673,SamplesX!B673)</f>
        <v/>
      </c>
      <c r="FC673">
        <f>MATCH(EZ673,FA1:FA1008,0)</f>
        <v/>
      </c>
    </row>
    <row r="674">
      <c r="A674" s="16" t="n"/>
      <c r="B674" s="17" t="n"/>
      <c r="C674" s="10">
        <f>IF(ISNUMBER(FC674),INDIRECT("SamplesX!C"&amp;FC674),IF(ISNUMBER(FD674),INDIRECT("SamplesY!C"&amp;FD674),""))</f>
        <v/>
      </c>
      <c r="D674" s="12">
        <f>IF(ISNUMBER(FC674),INDIRECT("SamplesX!D"&amp;FC674),IF(ISNUMBER(FD674),INDIRECT("SamplesY!D"&amp;FD674),""))</f>
        <v/>
      </c>
      <c r="E674" s="12">
        <f>IF(ISNUMBER(FC674),INDIRECT("SamplesX!E"&amp;FC674),IF(ISNUMBER(FD674),INDIRECT("SamplesY!E"&amp;FD674),""))</f>
        <v/>
      </c>
      <c r="F674" s="11">
        <f>IF(ISNUMBER(FC674),INDIRECT("SamplesX!F"&amp;FC674),IF(ISNUMBER(FD674),INDIRECT("SamplesY!F"&amp;FD674),""))</f>
        <v/>
      </c>
      <c r="G674" s="18">
        <f>IF(ISNUMBER(FC674),INDIRECT("SamplesX!G"&amp;FC674),IF(ISNUMBER(FD674),INDIRECT("SamplesY!G"&amp;FD674),""))</f>
        <v/>
      </c>
      <c r="H674" s="19">
        <f>IF(ISNUMBER(FC674),INDIRECT("SamplesX!H"&amp;FC674),IF(ISNUMBER(FD674),INDIRECT("SamplesY!H"&amp;FD674),""))</f>
        <v/>
      </c>
      <c r="I674" s="16" t="n"/>
      <c r="J674" s="16" t="n"/>
      <c r="K674" s="16" t="n"/>
      <c r="L674" s="20" t="n"/>
      <c r="M674" s="20" t="inlineStr">
        <is>
          <t>None</t>
        </is>
      </c>
      <c r="N674" s="17" t="n"/>
      <c r="O674" s="16" t="n"/>
      <c r="P674" s="20" t="inlineStr">
        <is>
          <t>Shimadzu TOC-L</t>
        </is>
      </c>
      <c r="Q674" s="20" t="inlineStr">
        <is>
          <t>None</t>
        </is>
      </c>
      <c r="R674" s="17" t="n"/>
      <c r="S674" s="16" t="n"/>
      <c r="T674" s="20" t="inlineStr">
        <is>
          <t>Shimadzu TOC-L</t>
        </is>
      </c>
      <c r="U674" s="20" t="inlineStr">
        <is>
          <t>None</t>
        </is>
      </c>
      <c r="V674" s="17" t="n"/>
      <c r="W674" s="16" t="n"/>
      <c r="X674" s="20" t="n"/>
      <c r="Y674" s="20" t="inlineStr">
        <is>
          <t>None</t>
        </is>
      </c>
      <c r="Z674" s="17" t="n"/>
      <c r="AA674" s="16" t="n"/>
      <c r="AB674" s="20" t="n"/>
      <c r="AC674" s="20" t="inlineStr">
        <is>
          <t>None</t>
        </is>
      </c>
      <c r="AD674" s="17" t="n"/>
      <c r="AE674" s="16" t="n"/>
      <c r="AF674" s="20" t="inlineStr">
        <is>
          <t>IC Anionen</t>
        </is>
      </c>
      <c r="AG674" s="20" t="inlineStr">
        <is>
          <t>None</t>
        </is>
      </c>
      <c r="AH674" s="17" t="n"/>
      <c r="AI674" s="16" t="n"/>
      <c r="AJ674" s="20" t="n"/>
      <c r="AK674" s="20" t="inlineStr">
        <is>
          <t>None</t>
        </is>
      </c>
      <c r="AL674" s="17" t="n"/>
      <c r="AM674" s="16" t="n"/>
      <c r="AN674" s="20" t="inlineStr">
        <is>
          <t>IC Anionen</t>
        </is>
      </c>
      <c r="AO674" s="20" t="inlineStr">
        <is>
          <t>None</t>
        </is>
      </c>
      <c r="AP674" s="17" t="n"/>
      <c r="AQ674" s="16" t="n"/>
      <c r="AR674" s="20" t="n"/>
      <c r="AS674" s="20" t="inlineStr">
        <is>
          <t>None</t>
        </is>
      </c>
      <c r="AT674" s="17" t="n"/>
      <c r="AU674" s="16" t="n"/>
      <c r="AV674" s="20" t="n"/>
      <c r="AW674" s="20" t="inlineStr">
        <is>
          <t>None</t>
        </is>
      </c>
      <c r="AX674" s="17" t="n"/>
      <c r="AY674" s="16" t="n"/>
      <c r="AZ674" s="20" t="inlineStr">
        <is>
          <t>IC Anionen</t>
        </is>
      </c>
      <c r="BA674" s="20" t="inlineStr">
        <is>
          <t>None</t>
        </is>
      </c>
      <c r="BB674" s="17" t="n"/>
      <c r="BC674" s="16" t="n"/>
      <c r="BD674" s="20" t="inlineStr">
        <is>
          <t>IC Kationen</t>
        </is>
      </c>
      <c r="BE674" s="20" t="inlineStr">
        <is>
          <t>None</t>
        </is>
      </c>
      <c r="BF674" s="17" t="n"/>
      <c r="BG674" s="16" t="n"/>
      <c r="BH674" s="20" t="inlineStr">
        <is>
          <t>IC Kationen</t>
        </is>
      </c>
      <c r="BI674" s="20" t="inlineStr">
        <is>
          <t>None</t>
        </is>
      </c>
      <c r="BJ674" s="17" t="n"/>
      <c r="BK674" s="16" t="n"/>
      <c r="BL674" s="20" t="inlineStr">
        <is>
          <t>IC Kationen</t>
        </is>
      </c>
      <c r="BM674" s="20" t="inlineStr">
        <is>
          <t>None</t>
        </is>
      </c>
      <c r="BN674" s="17" t="n"/>
      <c r="BO674" s="16" t="n"/>
      <c r="BP674" s="20" t="inlineStr">
        <is>
          <t>IC Kationen</t>
        </is>
      </c>
      <c r="BQ674" s="20" t="inlineStr">
        <is>
          <t>None</t>
        </is>
      </c>
      <c r="BR674" s="17" t="n"/>
      <c r="BS674" s="16" t="n"/>
      <c r="BT674" s="20" t="inlineStr">
        <is>
          <t>IC Kationen</t>
        </is>
      </c>
      <c r="BU674" s="20" t="inlineStr">
        <is>
          <t>None</t>
        </is>
      </c>
      <c r="BV674" s="17" t="n"/>
      <c r="BW674" s="16" t="n"/>
      <c r="BX674" s="20" t="n"/>
      <c r="BY674" s="20" t="inlineStr">
        <is>
          <t>None</t>
        </is>
      </c>
      <c r="BZ674" s="17" t="n"/>
      <c r="CA674" s="16" t="n"/>
      <c r="CB674" s="20" t="n"/>
      <c r="CC674" s="20" t="inlineStr">
        <is>
          <t>None</t>
        </is>
      </c>
      <c r="CD674" s="17" t="n"/>
      <c r="CE674" s="16" t="n"/>
      <c r="CF674" s="20" t="n"/>
      <c r="CG674" s="20" t="inlineStr">
        <is>
          <t>None</t>
        </is>
      </c>
      <c r="CH674" s="17" t="n"/>
      <c r="CI674" s="16" t="n"/>
      <c r="CJ674" s="20" t="n"/>
      <c r="CK674" s="20" t="inlineStr">
        <is>
          <t>None</t>
        </is>
      </c>
      <c r="CL674" s="17" t="n"/>
      <c r="CM674" s="16" t="n"/>
      <c r="CN674" s="20" t="inlineStr">
        <is>
          <t>SOP 45-34</t>
        </is>
      </c>
      <c r="CO674" s="20" t="inlineStr">
        <is>
          <t>None</t>
        </is>
      </c>
      <c r="CP674" s="17" t="n"/>
      <c r="CQ674" s="16" t="n"/>
      <c r="CR674" s="20" t="n"/>
      <c r="CS674" s="20" t="inlineStr">
        <is>
          <t>None</t>
        </is>
      </c>
      <c r="CT674" s="17" t="n"/>
      <c r="CU674" s="16" t="n"/>
      <c r="CV674" s="20" t="n"/>
      <c r="CW674" s="20" t="inlineStr">
        <is>
          <t>None</t>
        </is>
      </c>
      <c r="CX674" s="17" t="n"/>
      <c r="CY674" s="16" t="n"/>
      <c r="CZ674" s="20" t="inlineStr">
        <is>
          <t>WTW Multimeter 3430 with FDO 925</t>
        </is>
      </c>
      <c r="DA674" s="20" t="inlineStr">
        <is>
          <t>None</t>
        </is>
      </c>
      <c r="DB674" s="17" t="n"/>
      <c r="DC674" s="16" t="n"/>
      <c r="DD674" s="20" t="n"/>
      <c r="DE674" s="20" t="inlineStr">
        <is>
          <t>None</t>
        </is>
      </c>
      <c r="DF674" s="17" t="n"/>
      <c r="DG674" s="16" t="n"/>
      <c r="DH674" s="20" t="inlineStr">
        <is>
          <t>SOP 45-09</t>
        </is>
      </c>
      <c r="DI674" s="20" t="inlineStr">
        <is>
          <t>None</t>
        </is>
      </c>
      <c r="DJ674" s="17" t="n"/>
      <c r="DK674" s="16" t="n"/>
      <c r="DL674" s="20" t="inlineStr">
        <is>
          <t>SOP 45-09 (SOP muss noch angepasst werden für VSS)</t>
        </is>
      </c>
      <c r="DM674" s="20" t="inlineStr">
        <is>
          <t>None</t>
        </is>
      </c>
      <c r="DN674" s="17" t="n"/>
      <c r="DO674" s="16" t="n"/>
      <c r="DP674" s="20" t="inlineStr">
        <is>
          <t>IC Organic Acids</t>
        </is>
      </c>
      <c r="DQ674" s="20" t="inlineStr">
        <is>
          <t>None</t>
        </is>
      </c>
      <c r="DR674" s="17" t="n"/>
      <c r="DS674" s="16" t="n"/>
      <c r="DT674" s="20" t="inlineStr">
        <is>
          <t>IC Organic Acids</t>
        </is>
      </c>
      <c r="DU674" s="20" t="inlineStr">
        <is>
          <t>None</t>
        </is>
      </c>
      <c r="DV674" s="17" t="n"/>
      <c r="DW674" s="16" t="n"/>
      <c r="DX674" s="20" t="inlineStr">
        <is>
          <t>IC Organic Acids</t>
        </is>
      </c>
      <c r="DY674" s="20" t="inlineStr">
        <is>
          <t>None</t>
        </is>
      </c>
      <c r="DZ674" s="17" t="n"/>
      <c r="EA674" s="16" t="n"/>
      <c r="EB674" s="20" t="inlineStr">
        <is>
          <t>IC Organic Acids</t>
        </is>
      </c>
      <c r="EC674" s="20" t="inlineStr">
        <is>
          <t>None</t>
        </is>
      </c>
      <c r="ED674" s="17" t="n"/>
      <c r="EE674" s="16" t="n"/>
      <c r="EF674" s="20" t="inlineStr">
        <is>
          <t>IC Organic Acids</t>
        </is>
      </c>
      <c r="EG674" s="20" t="inlineStr">
        <is>
          <t>None</t>
        </is>
      </c>
      <c r="EH674" s="17" t="n"/>
      <c r="EI674" s="16" t="n"/>
      <c r="EJ674" s="20" t="inlineStr">
        <is>
          <t>IC Organic Acids</t>
        </is>
      </c>
      <c r="EK674" s="20" t="inlineStr">
        <is>
          <t>None</t>
        </is>
      </c>
      <c r="EL674" s="17" t="n"/>
      <c r="EM674" s="16" t="n"/>
      <c r="EN674" s="20" t="inlineStr">
        <is>
          <t>IC Organic Acids</t>
        </is>
      </c>
      <c r="EO674" s="20" t="inlineStr">
        <is>
          <t>None</t>
        </is>
      </c>
      <c r="EP674" s="17" t="n"/>
      <c r="EQ674" s="16" t="n"/>
      <c r="ER674" s="20" t="inlineStr">
        <is>
          <t>IC Organic Acids</t>
        </is>
      </c>
      <c r="ES674" s="20" t="inlineStr">
        <is>
          <t>None</t>
        </is>
      </c>
      <c r="ET674" s="17" t="n"/>
      <c r="EU674" s="16" t="n"/>
      <c r="EV674" s="20" t="inlineStr">
        <is>
          <t>LC-MS</t>
        </is>
      </c>
      <c r="EW674" s="20" t="inlineStr">
        <is>
          <t>None</t>
        </is>
      </c>
      <c r="EX674" s="17" t="n"/>
      <c r="EY674" s="21" t="n"/>
      <c r="EZ674">
        <f>CONCATENATE(A674,B674)</f>
        <v/>
      </c>
      <c r="FA674">
        <f>CONCATENATE(SamplesX!A674,SamplesX!B674)</f>
        <v/>
      </c>
      <c r="FC674">
        <f>MATCH(EZ674,FA1:FA1008,0)</f>
        <v/>
      </c>
    </row>
    <row r="675">
      <c r="A675" s="16" t="n"/>
      <c r="B675" s="17" t="n"/>
      <c r="C675" s="10">
        <f>IF(ISNUMBER(FC675),INDIRECT("SamplesX!C"&amp;FC675),IF(ISNUMBER(FD675),INDIRECT("SamplesY!C"&amp;FD675),""))</f>
        <v/>
      </c>
      <c r="D675" s="12">
        <f>IF(ISNUMBER(FC675),INDIRECT("SamplesX!D"&amp;FC675),IF(ISNUMBER(FD675),INDIRECT("SamplesY!D"&amp;FD675),""))</f>
        <v/>
      </c>
      <c r="E675" s="12">
        <f>IF(ISNUMBER(FC675),INDIRECT("SamplesX!E"&amp;FC675),IF(ISNUMBER(FD675),INDIRECT("SamplesY!E"&amp;FD675),""))</f>
        <v/>
      </c>
      <c r="F675" s="11">
        <f>IF(ISNUMBER(FC675),INDIRECT("SamplesX!F"&amp;FC675),IF(ISNUMBER(FD675),INDIRECT("SamplesY!F"&amp;FD675),""))</f>
        <v/>
      </c>
      <c r="G675" s="18">
        <f>IF(ISNUMBER(FC675),INDIRECT("SamplesX!G"&amp;FC675),IF(ISNUMBER(FD675),INDIRECT("SamplesY!G"&amp;FD675),""))</f>
        <v/>
      </c>
      <c r="H675" s="19">
        <f>IF(ISNUMBER(FC675),INDIRECT("SamplesX!H"&amp;FC675),IF(ISNUMBER(FD675),INDIRECT("SamplesY!H"&amp;FD675),""))</f>
        <v/>
      </c>
      <c r="I675" s="16" t="n"/>
      <c r="J675" s="16" t="n"/>
      <c r="K675" s="16" t="n"/>
      <c r="L675" s="20" t="n"/>
      <c r="M675" s="20" t="inlineStr">
        <is>
          <t>None</t>
        </is>
      </c>
      <c r="N675" s="17" t="n"/>
      <c r="O675" s="16" t="n"/>
      <c r="P675" s="20" t="inlineStr">
        <is>
          <t>Shimadzu TOC-L</t>
        </is>
      </c>
      <c r="Q675" s="20" t="inlineStr">
        <is>
          <t>None</t>
        </is>
      </c>
      <c r="R675" s="17" t="n"/>
      <c r="S675" s="16" t="n"/>
      <c r="T675" s="20" t="inlineStr">
        <is>
          <t>Shimadzu TOC-L</t>
        </is>
      </c>
      <c r="U675" s="20" t="inlineStr">
        <is>
          <t>None</t>
        </is>
      </c>
      <c r="V675" s="17" t="n"/>
      <c r="W675" s="16" t="n"/>
      <c r="X675" s="20" t="n"/>
      <c r="Y675" s="20" t="inlineStr">
        <is>
          <t>None</t>
        </is>
      </c>
      <c r="Z675" s="17" t="n"/>
      <c r="AA675" s="16" t="n"/>
      <c r="AB675" s="20" t="n"/>
      <c r="AC675" s="20" t="inlineStr">
        <is>
          <t>None</t>
        </is>
      </c>
      <c r="AD675" s="17" t="n"/>
      <c r="AE675" s="16" t="n"/>
      <c r="AF675" s="20" t="inlineStr">
        <is>
          <t>IC Anionen</t>
        </is>
      </c>
      <c r="AG675" s="20" t="inlineStr">
        <is>
          <t>None</t>
        </is>
      </c>
      <c r="AH675" s="17" t="n"/>
      <c r="AI675" s="16" t="n"/>
      <c r="AJ675" s="20" t="n"/>
      <c r="AK675" s="20" t="inlineStr">
        <is>
          <t>None</t>
        </is>
      </c>
      <c r="AL675" s="17" t="n"/>
      <c r="AM675" s="16" t="n"/>
      <c r="AN675" s="20" t="inlineStr">
        <is>
          <t>IC Anionen</t>
        </is>
      </c>
      <c r="AO675" s="20" t="inlineStr">
        <is>
          <t>None</t>
        </is>
      </c>
      <c r="AP675" s="17" t="n"/>
      <c r="AQ675" s="16" t="n"/>
      <c r="AR675" s="20" t="n"/>
      <c r="AS675" s="20" t="inlineStr">
        <is>
          <t>None</t>
        </is>
      </c>
      <c r="AT675" s="17" t="n"/>
      <c r="AU675" s="16" t="n"/>
      <c r="AV675" s="20" t="n"/>
      <c r="AW675" s="20" t="inlineStr">
        <is>
          <t>None</t>
        </is>
      </c>
      <c r="AX675" s="17" t="n"/>
      <c r="AY675" s="16" t="n"/>
      <c r="AZ675" s="20" t="inlineStr">
        <is>
          <t>IC Anionen</t>
        </is>
      </c>
      <c r="BA675" s="20" t="inlineStr">
        <is>
          <t>None</t>
        </is>
      </c>
      <c r="BB675" s="17" t="n"/>
      <c r="BC675" s="16" t="n"/>
      <c r="BD675" s="20" t="inlineStr">
        <is>
          <t>IC Kationen</t>
        </is>
      </c>
      <c r="BE675" s="20" t="inlineStr">
        <is>
          <t>None</t>
        </is>
      </c>
      <c r="BF675" s="17" t="n"/>
      <c r="BG675" s="16" t="n"/>
      <c r="BH675" s="20" t="inlineStr">
        <is>
          <t>IC Kationen</t>
        </is>
      </c>
      <c r="BI675" s="20" t="inlineStr">
        <is>
          <t>None</t>
        </is>
      </c>
      <c r="BJ675" s="17" t="n"/>
      <c r="BK675" s="16" t="n"/>
      <c r="BL675" s="20" t="inlineStr">
        <is>
          <t>IC Kationen</t>
        </is>
      </c>
      <c r="BM675" s="20" t="inlineStr">
        <is>
          <t>None</t>
        </is>
      </c>
      <c r="BN675" s="17" t="n"/>
      <c r="BO675" s="16" t="n"/>
      <c r="BP675" s="20" t="inlineStr">
        <is>
          <t>IC Kationen</t>
        </is>
      </c>
      <c r="BQ675" s="20" t="inlineStr">
        <is>
          <t>None</t>
        </is>
      </c>
      <c r="BR675" s="17" t="n"/>
      <c r="BS675" s="16" t="n"/>
      <c r="BT675" s="20" t="inlineStr">
        <is>
          <t>IC Kationen</t>
        </is>
      </c>
      <c r="BU675" s="20" t="inlineStr">
        <is>
          <t>None</t>
        </is>
      </c>
      <c r="BV675" s="17" t="n"/>
      <c r="BW675" s="16" t="n"/>
      <c r="BX675" s="20" t="n"/>
      <c r="BY675" s="20" t="inlineStr">
        <is>
          <t>None</t>
        </is>
      </c>
      <c r="BZ675" s="17" t="n"/>
      <c r="CA675" s="16" t="n"/>
      <c r="CB675" s="20" t="n"/>
      <c r="CC675" s="20" t="inlineStr">
        <is>
          <t>None</t>
        </is>
      </c>
      <c r="CD675" s="17" t="n"/>
      <c r="CE675" s="16" t="n"/>
      <c r="CF675" s="20" t="n"/>
      <c r="CG675" s="20" t="inlineStr">
        <is>
          <t>None</t>
        </is>
      </c>
      <c r="CH675" s="17" t="n"/>
      <c r="CI675" s="16" t="n"/>
      <c r="CJ675" s="20" t="n"/>
      <c r="CK675" s="20" t="inlineStr">
        <is>
          <t>None</t>
        </is>
      </c>
      <c r="CL675" s="17" t="n"/>
      <c r="CM675" s="16" t="n"/>
      <c r="CN675" s="20" t="inlineStr">
        <is>
          <t>SOP 45-34</t>
        </is>
      </c>
      <c r="CO675" s="20" t="inlineStr">
        <is>
          <t>None</t>
        </is>
      </c>
      <c r="CP675" s="17" t="n"/>
      <c r="CQ675" s="16" t="n"/>
      <c r="CR675" s="20" t="n"/>
      <c r="CS675" s="20" t="inlineStr">
        <is>
          <t>None</t>
        </is>
      </c>
      <c r="CT675" s="17" t="n"/>
      <c r="CU675" s="16" t="n"/>
      <c r="CV675" s="20" t="n"/>
      <c r="CW675" s="20" t="inlineStr">
        <is>
          <t>None</t>
        </is>
      </c>
      <c r="CX675" s="17" t="n"/>
      <c r="CY675" s="16" t="n"/>
      <c r="CZ675" s="20" t="inlineStr">
        <is>
          <t>WTW Multimeter 3430 with FDO 925</t>
        </is>
      </c>
      <c r="DA675" s="20" t="inlineStr">
        <is>
          <t>None</t>
        </is>
      </c>
      <c r="DB675" s="17" t="n"/>
      <c r="DC675" s="16" t="n"/>
      <c r="DD675" s="20" t="n"/>
      <c r="DE675" s="20" t="inlineStr">
        <is>
          <t>None</t>
        </is>
      </c>
      <c r="DF675" s="17" t="n"/>
      <c r="DG675" s="16" t="n"/>
      <c r="DH675" s="20" t="inlineStr">
        <is>
          <t>SOP 45-09</t>
        </is>
      </c>
      <c r="DI675" s="20" t="inlineStr">
        <is>
          <t>None</t>
        </is>
      </c>
      <c r="DJ675" s="17" t="n"/>
      <c r="DK675" s="16" t="n"/>
      <c r="DL675" s="20" t="inlineStr">
        <is>
          <t>SOP 45-09 (SOP muss noch angepasst werden für VSS)</t>
        </is>
      </c>
      <c r="DM675" s="20" t="inlineStr">
        <is>
          <t>None</t>
        </is>
      </c>
      <c r="DN675" s="17" t="n"/>
      <c r="DO675" s="16" t="n"/>
      <c r="DP675" s="20" t="inlineStr">
        <is>
          <t>IC Organic Acids</t>
        </is>
      </c>
      <c r="DQ675" s="20" t="inlineStr">
        <is>
          <t>None</t>
        </is>
      </c>
      <c r="DR675" s="17" t="n"/>
      <c r="DS675" s="16" t="n"/>
      <c r="DT675" s="20" t="inlineStr">
        <is>
          <t>IC Organic Acids</t>
        </is>
      </c>
      <c r="DU675" s="20" t="inlineStr">
        <is>
          <t>None</t>
        </is>
      </c>
      <c r="DV675" s="17" t="n"/>
      <c r="DW675" s="16" t="n"/>
      <c r="DX675" s="20" t="inlineStr">
        <is>
          <t>IC Organic Acids</t>
        </is>
      </c>
      <c r="DY675" s="20" t="inlineStr">
        <is>
          <t>None</t>
        </is>
      </c>
      <c r="DZ675" s="17" t="n"/>
      <c r="EA675" s="16" t="n"/>
      <c r="EB675" s="20" t="inlineStr">
        <is>
          <t>IC Organic Acids</t>
        </is>
      </c>
      <c r="EC675" s="20" t="inlineStr">
        <is>
          <t>None</t>
        </is>
      </c>
      <c r="ED675" s="17" t="n"/>
      <c r="EE675" s="16" t="n"/>
      <c r="EF675" s="20" t="inlineStr">
        <is>
          <t>IC Organic Acids</t>
        </is>
      </c>
      <c r="EG675" s="20" t="inlineStr">
        <is>
          <t>None</t>
        </is>
      </c>
      <c r="EH675" s="17" t="n"/>
      <c r="EI675" s="16" t="n"/>
      <c r="EJ675" s="20" t="inlineStr">
        <is>
          <t>IC Organic Acids</t>
        </is>
      </c>
      <c r="EK675" s="20" t="inlineStr">
        <is>
          <t>None</t>
        </is>
      </c>
      <c r="EL675" s="17" t="n"/>
      <c r="EM675" s="16" t="n"/>
      <c r="EN675" s="20" t="inlineStr">
        <is>
          <t>IC Organic Acids</t>
        </is>
      </c>
      <c r="EO675" s="20" t="inlineStr">
        <is>
          <t>None</t>
        </is>
      </c>
      <c r="EP675" s="17" t="n"/>
      <c r="EQ675" s="16" t="n"/>
      <c r="ER675" s="20" t="inlineStr">
        <is>
          <t>IC Organic Acids</t>
        </is>
      </c>
      <c r="ES675" s="20" t="inlineStr">
        <is>
          <t>None</t>
        </is>
      </c>
      <c r="ET675" s="17" t="n"/>
      <c r="EU675" s="16" t="n"/>
      <c r="EV675" s="20" t="inlineStr">
        <is>
          <t>LC-MS</t>
        </is>
      </c>
      <c r="EW675" s="20" t="inlineStr">
        <is>
          <t>None</t>
        </is>
      </c>
      <c r="EX675" s="17" t="n"/>
      <c r="EY675" s="21" t="n"/>
      <c r="EZ675">
        <f>CONCATENATE(A675,B675)</f>
        <v/>
      </c>
      <c r="FA675">
        <f>CONCATENATE(SamplesX!A675,SamplesX!B675)</f>
        <v/>
      </c>
      <c r="FC675">
        <f>MATCH(EZ675,FA1:FA1008,0)</f>
        <v/>
      </c>
    </row>
    <row r="676">
      <c r="A676" s="16" t="n"/>
      <c r="B676" s="17" t="n"/>
      <c r="C676" s="10">
        <f>IF(ISNUMBER(FC676),INDIRECT("SamplesX!C"&amp;FC676),IF(ISNUMBER(FD676),INDIRECT("SamplesY!C"&amp;FD676),""))</f>
        <v/>
      </c>
      <c r="D676" s="12">
        <f>IF(ISNUMBER(FC676),INDIRECT("SamplesX!D"&amp;FC676),IF(ISNUMBER(FD676),INDIRECT("SamplesY!D"&amp;FD676),""))</f>
        <v/>
      </c>
      <c r="E676" s="12">
        <f>IF(ISNUMBER(FC676),INDIRECT("SamplesX!E"&amp;FC676),IF(ISNUMBER(FD676),INDIRECT("SamplesY!E"&amp;FD676),""))</f>
        <v/>
      </c>
      <c r="F676" s="11">
        <f>IF(ISNUMBER(FC676),INDIRECT("SamplesX!F"&amp;FC676),IF(ISNUMBER(FD676),INDIRECT("SamplesY!F"&amp;FD676),""))</f>
        <v/>
      </c>
      <c r="G676" s="18">
        <f>IF(ISNUMBER(FC676),INDIRECT("SamplesX!G"&amp;FC676),IF(ISNUMBER(FD676),INDIRECT("SamplesY!G"&amp;FD676),""))</f>
        <v/>
      </c>
      <c r="H676" s="19">
        <f>IF(ISNUMBER(FC676),INDIRECT("SamplesX!H"&amp;FC676),IF(ISNUMBER(FD676),INDIRECT("SamplesY!H"&amp;FD676),""))</f>
        <v/>
      </c>
      <c r="I676" s="16" t="n"/>
      <c r="J676" s="16" t="n"/>
      <c r="K676" s="16" t="n"/>
      <c r="L676" s="20" t="n"/>
      <c r="M676" s="20" t="inlineStr">
        <is>
          <t>None</t>
        </is>
      </c>
      <c r="N676" s="17" t="n"/>
      <c r="O676" s="16" t="n"/>
      <c r="P676" s="20" t="inlineStr">
        <is>
          <t>Shimadzu TOC-L</t>
        </is>
      </c>
      <c r="Q676" s="20" t="inlineStr">
        <is>
          <t>None</t>
        </is>
      </c>
      <c r="R676" s="17" t="n"/>
      <c r="S676" s="16" t="n"/>
      <c r="T676" s="20" t="inlineStr">
        <is>
          <t>Shimadzu TOC-L</t>
        </is>
      </c>
      <c r="U676" s="20" t="inlineStr">
        <is>
          <t>None</t>
        </is>
      </c>
      <c r="V676" s="17" t="n"/>
      <c r="W676" s="16" t="n"/>
      <c r="X676" s="20" t="n"/>
      <c r="Y676" s="20" t="inlineStr">
        <is>
          <t>None</t>
        </is>
      </c>
      <c r="Z676" s="17" t="n"/>
      <c r="AA676" s="16" t="n"/>
      <c r="AB676" s="20" t="n"/>
      <c r="AC676" s="20" t="inlineStr">
        <is>
          <t>None</t>
        </is>
      </c>
      <c r="AD676" s="17" t="n"/>
      <c r="AE676" s="16" t="n"/>
      <c r="AF676" s="20" t="inlineStr">
        <is>
          <t>IC Anionen</t>
        </is>
      </c>
      <c r="AG676" s="20" t="inlineStr">
        <is>
          <t>None</t>
        </is>
      </c>
      <c r="AH676" s="17" t="n"/>
      <c r="AI676" s="16" t="n"/>
      <c r="AJ676" s="20" t="n"/>
      <c r="AK676" s="20" t="inlineStr">
        <is>
          <t>None</t>
        </is>
      </c>
      <c r="AL676" s="17" t="n"/>
      <c r="AM676" s="16" t="n"/>
      <c r="AN676" s="20" t="inlineStr">
        <is>
          <t>IC Anionen</t>
        </is>
      </c>
      <c r="AO676" s="20" t="inlineStr">
        <is>
          <t>None</t>
        </is>
      </c>
      <c r="AP676" s="17" t="n"/>
      <c r="AQ676" s="16" t="n"/>
      <c r="AR676" s="20" t="n"/>
      <c r="AS676" s="20" t="inlineStr">
        <is>
          <t>None</t>
        </is>
      </c>
      <c r="AT676" s="17" t="n"/>
      <c r="AU676" s="16" t="n"/>
      <c r="AV676" s="20" t="n"/>
      <c r="AW676" s="20" t="inlineStr">
        <is>
          <t>None</t>
        </is>
      </c>
      <c r="AX676" s="17" t="n"/>
      <c r="AY676" s="16" t="n"/>
      <c r="AZ676" s="20" t="inlineStr">
        <is>
          <t>IC Anionen</t>
        </is>
      </c>
      <c r="BA676" s="20" t="inlineStr">
        <is>
          <t>None</t>
        </is>
      </c>
      <c r="BB676" s="17" t="n"/>
      <c r="BC676" s="16" t="n"/>
      <c r="BD676" s="20" t="inlineStr">
        <is>
          <t>IC Kationen</t>
        </is>
      </c>
      <c r="BE676" s="20" t="inlineStr">
        <is>
          <t>None</t>
        </is>
      </c>
      <c r="BF676" s="17" t="n"/>
      <c r="BG676" s="16" t="n"/>
      <c r="BH676" s="20" t="inlineStr">
        <is>
          <t>IC Kationen</t>
        </is>
      </c>
      <c r="BI676" s="20" t="inlineStr">
        <is>
          <t>None</t>
        </is>
      </c>
      <c r="BJ676" s="17" t="n"/>
      <c r="BK676" s="16" t="n"/>
      <c r="BL676" s="20" t="inlineStr">
        <is>
          <t>IC Kationen</t>
        </is>
      </c>
      <c r="BM676" s="20" t="inlineStr">
        <is>
          <t>None</t>
        </is>
      </c>
      <c r="BN676" s="17" t="n"/>
      <c r="BO676" s="16" t="n"/>
      <c r="BP676" s="20" t="inlineStr">
        <is>
          <t>IC Kationen</t>
        </is>
      </c>
      <c r="BQ676" s="20" t="inlineStr">
        <is>
          <t>None</t>
        </is>
      </c>
      <c r="BR676" s="17" t="n"/>
      <c r="BS676" s="16" t="n"/>
      <c r="BT676" s="20" t="inlineStr">
        <is>
          <t>IC Kationen</t>
        </is>
      </c>
      <c r="BU676" s="20" t="inlineStr">
        <is>
          <t>None</t>
        </is>
      </c>
      <c r="BV676" s="17" t="n"/>
      <c r="BW676" s="16" t="n"/>
      <c r="BX676" s="20" t="n"/>
      <c r="BY676" s="20" t="inlineStr">
        <is>
          <t>None</t>
        </is>
      </c>
      <c r="BZ676" s="17" t="n"/>
      <c r="CA676" s="16" t="n"/>
      <c r="CB676" s="20" t="n"/>
      <c r="CC676" s="20" t="inlineStr">
        <is>
          <t>None</t>
        </is>
      </c>
      <c r="CD676" s="17" t="n"/>
      <c r="CE676" s="16" t="n"/>
      <c r="CF676" s="20" t="n"/>
      <c r="CG676" s="20" t="inlineStr">
        <is>
          <t>None</t>
        </is>
      </c>
      <c r="CH676" s="17" t="n"/>
      <c r="CI676" s="16" t="n"/>
      <c r="CJ676" s="20" t="n"/>
      <c r="CK676" s="20" t="inlineStr">
        <is>
          <t>None</t>
        </is>
      </c>
      <c r="CL676" s="17" t="n"/>
      <c r="CM676" s="16" t="n"/>
      <c r="CN676" s="20" t="inlineStr">
        <is>
          <t>SOP 45-34</t>
        </is>
      </c>
      <c r="CO676" s="20" t="inlineStr">
        <is>
          <t>None</t>
        </is>
      </c>
      <c r="CP676" s="17" t="n"/>
      <c r="CQ676" s="16" t="n"/>
      <c r="CR676" s="20" t="n"/>
      <c r="CS676" s="20" t="inlineStr">
        <is>
          <t>None</t>
        </is>
      </c>
      <c r="CT676" s="17" t="n"/>
      <c r="CU676" s="16" t="n"/>
      <c r="CV676" s="20" t="n"/>
      <c r="CW676" s="20" t="inlineStr">
        <is>
          <t>None</t>
        </is>
      </c>
      <c r="CX676" s="17" t="n"/>
      <c r="CY676" s="16" t="n"/>
      <c r="CZ676" s="20" t="inlineStr">
        <is>
          <t>WTW Multimeter 3430 with FDO 925</t>
        </is>
      </c>
      <c r="DA676" s="20" t="inlineStr">
        <is>
          <t>None</t>
        </is>
      </c>
      <c r="DB676" s="17" t="n"/>
      <c r="DC676" s="16" t="n"/>
      <c r="DD676" s="20" t="n"/>
      <c r="DE676" s="20" t="inlineStr">
        <is>
          <t>None</t>
        </is>
      </c>
      <c r="DF676" s="17" t="n"/>
      <c r="DG676" s="16" t="n"/>
      <c r="DH676" s="20" t="inlineStr">
        <is>
          <t>SOP 45-09</t>
        </is>
      </c>
      <c r="DI676" s="20" t="inlineStr">
        <is>
          <t>None</t>
        </is>
      </c>
      <c r="DJ676" s="17" t="n"/>
      <c r="DK676" s="16" t="n"/>
      <c r="DL676" s="20" t="inlineStr">
        <is>
          <t>SOP 45-09 (SOP muss noch angepasst werden für VSS)</t>
        </is>
      </c>
      <c r="DM676" s="20" t="inlineStr">
        <is>
          <t>None</t>
        </is>
      </c>
      <c r="DN676" s="17" t="n"/>
      <c r="DO676" s="16" t="n"/>
      <c r="DP676" s="20" t="inlineStr">
        <is>
          <t>IC Organic Acids</t>
        </is>
      </c>
      <c r="DQ676" s="20" t="inlineStr">
        <is>
          <t>None</t>
        </is>
      </c>
      <c r="DR676" s="17" t="n"/>
      <c r="DS676" s="16" t="n"/>
      <c r="DT676" s="20" t="inlineStr">
        <is>
          <t>IC Organic Acids</t>
        </is>
      </c>
      <c r="DU676" s="20" t="inlineStr">
        <is>
          <t>None</t>
        </is>
      </c>
      <c r="DV676" s="17" t="n"/>
      <c r="DW676" s="16" t="n"/>
      <c r="DX676" s="20" t="inlineStr">
        <is>
          <t>IC Organic Acids</t>
        </is>
      </c>
      <c r="DY676" s="20" t="inlineStr">
        <is>
          <t>None</t>
        </is>
      </c>
      <c r="DZ676" s="17" t="n"/>
      <c r="EA676" s="16" t="n"/>
      <c r="EB676" s="20" t="inlineStr">
        <is>
          <t>IC Organic Acids</t>
        </is>
      </c>
      <c r="EC676" s="20" t="inlineStr">
        <is>
          <t>None</t>
        </is>
      </c>
      <c r="ED676" s="17" t="n"/>
      <c r="EE676" s="16" t="n"/>
      <c r="EF676" s="20" t="inlineStr">
        <is>
          <t>IC Organic Acids</t>
        </is>
      </c>
      <c r="EG676" s="20" t="inlineStr">
        <is>
          <t>None</t>
        </is>
      </c>
      <c r="EH676" s="17" t="n"/>
      <c r="EI676" s="16" t="n"/>
      <c r="EJ676" s="20" t="inlineStr">
        <is>
          <t>IC Organic Acids</t>
        </is>
      </c>
      <c r="EK676" s="20" t="inlineStr">
        <is>
          <t>None</t>
        </is>
      </c>
      <c r="EL676" s="17" t="n"/>
      <c r="EM676" s="16" t="n"/>
      <c r="EN676" s="20" t="inlineStr">
        <is>
          <t>IC Organic Acids</t>
        </is>
      </c>
      <c r="EO676" s="20" t="inlineStr">
        <is>
          <t>None</t>
        </is>
      </c>
      <c r="EP676" s="17" t="n"/>
      <c r="EQ676" s="16" t="n"/>
      <c r="ER676" s="20" t="inlineStr">
        <is>
          <t>IC Organic Acids</t>
        </is>
      </c>
      <c r="ES676" s="20" t="inlineStr">
        <is>
          <t>None</t>
        </is>
      </c>
      <c r="ET676" s="17" t="n"/>
      <c r="EU676" s="16" t="n"/>
      <c r="EV676" s="20" t="inlineStr">
        <is>
          <t>LC-MS</t>
        </is>
      </c>
      <c r="EW676" s="20" t="inlineStr">
        <is>
          <t>None</t>
        </is>
      </c>
      <c r="EX676" s="17" t="n"/>
      <c r="EY676" s="21" t="n"/>
      <c r="EZ676">
        <f>CONCATENATE(A676,B676)</f>
        <v/>
      </c>
      <c r="FA676">
        <f>CONCATENATE(SamplesX!A676,SamplesX!B676)</f>
        <v/>
      </c>
      <c r="FC676">
        <f>MATCH(EZ676,FA1:FA1008,0)</f>
        <v/>
      </c>
    </row>
    <row r="677">
      <c r="A677" s="16" t="n"/>
      <c r="B677" s="17" t="n"/>
      <c r="C677" s="10">
        <f>IF(ISNUMBER(FC677),INDIRECT("SamplesX!C"&amp;FC677),IF(ISNUMBER(FD677),INDIRECT("SamplesY!C"&amp;FD677),""))</f>
        <v/>
      </c>
      <c r="D677" s="12">
        <f>IF(ISNUMBER(FC677),INDIRECT("SamplesX!D"&amp;FC677),IF(ISNUMBER(FD677),INDIRECT("SamplesY!D"&amp;FD677),""))</f>
        <v/>
      </c>
      <c r="E677" s="12">
        <f>IF(ISNUMBER(FC677),INDIRECT("SamplesX!E"&amp;FC677),IF(ISNUMBER(FD677),INDIRECT("SamplesY!E"&amp;FD677),""))</f>
        <v/>
      </c>
      <c r="F677" s="11">
        <f>IF(ISNUMBER(FC677),INDIRECT("SamplesX!F"&amp;FC677),IF(ISNUMBER(FD677),INDIRECT("SamplesY!F"&amp;FD677),""))</f>
        <v/>
      </c>
      <c r="G677" s="18">
        <f>IF(ISNUMBER(FC677),INDIRECT("SamplesX!G"&amp;FC677),IF(ISNUMBER(FD677),INDIRECT("SamplesY!G"&amp;FD677),""))</f>
        <v/>
      </c>
      <c r="H677" s="19">
        <f>IF(ISNUMBER(FC677),INDIRECT("SamplesX!H"&amp;FC677),IF(ISNUMBER(FD677),INDIRECT("SamplesY!H"&amp;FD677),""))</f>
        <v/>
      </c>
      <c r="I677" s="16" t="n"/>
      <c r="J677" s="16" t="n"/>
      <c r="K677" s="16" t="n"/>
      <c r="L677" s="20" t="n"/>
      <c r="M677" s="20" t="inlineStr">
        <is>
          <t>None</t>
        </is>
      </c>
      <c r="N677" s="17" t="n"/>
      <c r="O677" s="16" t="n"/>
      <c r="P677" s="20" t="inlineStr">
        <is>
          <t>Shimadzu TOC-L</t>
        </is>
      </c>
      <c r="Q677" s="20" t="inlineStr">
        <is>
          <t>None</t>
        </is>
      </c>
      <c r="R677" s="17" t="n"/>
      <c r="S677" s="16" t="n"/>
      <c r="T677" s="20" t="inlineStr">
        <is>
          <t>Shimadzu TOC-L</t>
        </is>
      </c>
      <c r="U677" s="20" t="inlineStr">
        <is>
          <t>None</t>
        </is>
      </c>
      <c r="V677" s="17" t="n"/>
      <c r="W677" s="16" t="n"/>
      <c r="X677" s="20" t="n"/>
      <c r="Y677" s="20" t="inlineStr">
        <is>
          <t>None</t>
        </is>
      </c>
      <c r="Z677" s="17" t="n"/>
      <c r="AA677" s="16" t="n"/>
      <c r="AB677" s="20" t="n"/>
      <c r="AC677" s="20" t="inlineStr">
        <is>
          <t>None</t>
        </is>
      </c>
      <c r="AD677" s="17" t="n"/>
      <c r="AE677" s="16" t="n"/>
      <c r="AF677" s="20" t="inlineStr">
        <is>
          <t>IC Anionen</t>
        </is>
      </c>
      <c r="AG677" s="20" t="inlineStr">
        <is>
          <t>None</t>
        </is>
      </c>
      <c r="AH677" s="17" t="n"/>
      <c r="AI677" s="16" t="n"/>
      <c r="AJ677" s="20" t="n"/>
      <c r="AK677" s="20" t="inlineStr">
        <is>
          <t>None</t>
        </is>
      </c>
      <c r="AL677" s="17" t="n"/>
      <c r="AM677" s="16" t="n"/>
      <c r="AN677" s="20" t="inlineStr">
        <is>
          <t>IC Anionen</t>
        </is>
      </c>
      <c r="AO677" s="20" t="inlineStr">
        <is>
          <t>None</t>
        </is>
      </c>
      <c r="AP677" s="17" t="n"/>
      <c r="AQ677" s="16" t="n"/>
      <c r="AR677" s="20" t="n"/>
      <c r="AS677" s="20" t="inlineStr">
        <is>
          <t>None</t>
        </is>
      </c>
      <c r="AT677" s="17" t="n"/>
      <c r="AU677" s="16" t="n"/>
      <c r="AV677" s="20" t="n"/>
      <c r="AW677" s="20" t="inlineStr">
        <is>
          <t>None</t>
        </is>
      </c>
      <c r="AX677" s="17" t="n"/>
      <c r="AY677" s="16" t="n"/>
      <c r="AZ677" s="20" t="inlineStr">
        <is>
          <t>IC Anionen</t>
        </is>
      </c>
      <c r="BA677" s="20" t="inlineStr">
        <is>
          <t>None</t>
        </is>
      </c>
      <c r="BB677" s="17" t="n"/>
      <c r="BC677" s="16" t="n"/>
      <c r="BD677" s="20" t="inlineStr">
        <is>
          <t>IC Kationen</t>
        </is>
      </c>
      <c r="BE677" s="20" t="inlineStr">
        <is>
          <t>None</t>
        </is>
      </c>
      <c r="BF677" s="17" t="n"/>
      <c r="BG677" s="16" t="n"/>
      <c r="BH677" s="20" t="inlineStr">
        <is>
          <t>IC Kationen</t>
        </is>
      </c>
      <c r="BI677" s="20" t="inlineStr">
        <is>
          <t>None</t>
        </is>
      </c>
      <c r="BJ677" s="17" t="n"/>
      <c r="BK677" s="16" t="n"/>
      <c r="BL677" s="20" t="inlineStr">
        <is>
          <t>IC Kationen</t>
        </is>
      </c>
      <c r="BM677" s="20" t="inlineStr">
        <is>
          <t>None</t>
        </is>
      </c>
      <c r="BN677" s="17" t="n"/>
      <c r="BO677" s="16" t="n"/>
      <c r="BP677" s="20" t="inlineStr">
        <is>
          <t>IC Kationen</t>
        </is>
      </c>
      <c r="BQ677" s="20" t="inlineStr">
        <is>
          <t>None</t>
        </is>
      </c>
      <c r="BR677" s="17" t="n"/>
      <c r="BS677" s="16" t="n"/>
      <c r="BT677" s="20" t="inlineStr">
        <is>
          <t>IC Kationen</t>
        </is>
      </c>
      <c r="BU677" s="20" t="inlineStr">
        <is>
          <t>None</t>
        </is>
      </c>
      <c r="BV677" s="17" t="n"/>
      <c r="BW677" s="16" t="n"/>
      <c r="BX677" s="20" t="n"/>
      <c r="BY677" s="20" t="inlineStr">
        <is>
          <t>None</t>
        </is>
      </c>
      <c r="BZ677" s="17" t="n"/>
      <c r="CA677" s="16" t="n"/>
      <c r="CB677" s="20" t="n"/>
      <c r="CC677" s="20" t="inlineStr">
        <is>
          <t>None</t>
        </is>
      </c>
      <c r="CD677" s="17" t="n"/>
      <c r="CE677" s="16" t="n"/>
      <c r="CF677" s="20" t="n"/>
      <c r="CG677" s="20" t="inlineStr">
        <is>
          <t>None</t>
        </is>
      </c>
      <c r="CH677" s="17" t="n"/>
      <c r="CI677" s="16" t="n"/>
      <c r="CJ677" s="20" t="n"/>
      <c r="CK677" s="20" t="inlineStr">
        <is>
          <t>None</t>
        </is>
      </c>
      <c r="CL677" s="17" t="n"/>
      <c r="CM677" s="16" t="n"/>
      <c r="CN677" s="20" t="inlineStr">
        <is>
          <t>SOP 45-34</t>
        </is>
      </c>
      <c r="CO677" s="20" t="inlineStr">
        <is>
          <t>None</t>
        </is>
      </c>
      <c r="CP677" s="17" t="n"/>
      <c r="CQ677" s="16" t="n"/>
      <c r="CR677" s="20" t="n"/>
      <c r="CS677" s="20" t="inlineStr">
        <is>
          <t>None</t>
        </is>
      </c>
      <c r="CT677" s="17" t="n"/>
      <c r="CU677" s="16" t="n"/>
      <c r="CV677" s="20" t="n"/>
      <c r="CW677" s="20" t="inlineStr">
        <is>
          <t>None</t>
        </is>
      </c>
      <c r="CX677" s="17" t="n"/>
      <c r="CY677" s="16" t="n"/>
      <c r="CZ677" s="20" t="inlineStr">
        <is>
          <t>WTW Multimeter 3430 with FDO 925</t>
        </is>
      </c>
      <c r="DA677" s="20" t="inlineStr">
        <is>
          <t>None</t>
        </is>
      </c>
      <c r="DB677" s="17" t="n"/>
      <c r="DC677" s="16" t="n"/>
      <c r="DD677" s="20" t="n"/>
      <c r="DE677" s="20" t="inlineStr">
        <is>
          <t>None</t>
        </is>
      </c>
      <c r="DF677" s="17" t="n"/>
      <c r="DG677" s="16" t="n"/>
      <c r="DH677" s="20" t="inlineStr">
        <is>
          <t>SOP 45-09</t>
        </is>
      </c>
      <c r="DI677" s="20" t="inlineStr">
        <is>
          <t>None</t>
        </is>
      </c>
      <c r="DJ677" s="17" t="n"/>
      <c r="DK677" s="16" t="n"/>
      <c r="DL677" s="20" t="inlineStr">
        <is>
          <t>SOP 45-09 (SOP muss noch angepasst werden für VSS)</t>
        </is>
      </c>
      <c r="DM677" s="20" t="inlineStr">
        <is>
          <t>None</t>
        </is>
      </c>
      <c r="DN677" s="17" t="n"/>
      <c r="DO677" s="16" t="n"/>
      <c r="DP677" s="20" t="inlineStr">
        <is>
          <t>IC Organic Acids</t>
        </is>
      </c>
      <c r="DQ677" s="20" t="inlineStr">
        <is>
          <t>None</t>
        </is>
      </c>
      <c r="DR677" s="17" t="n"/>
      <c r="DS677" s="16" t="n"/>
      <c r="DT677" s="20" t="inlineStr">
        <is>
          <t>IC Organic Acids</t>
        </is>
      </c>
      <c r="DU677" s="20" t="inlineStr">
        <is>
          <t>None</t>
        </is>
      </c>
      <c r="DV677" s="17" t="n"/>
      <c r="DW677" s="16" t="n"/>
      <c r="DX677" s="20" t="inlineStr">
        <is>
          <t>IC Organic Acids</t>
        </is>
      </c>
      <c r="DY677" s="20" t="inlineStr">
        <is>
          <t>None</t>
        </is>
      </c>
      <c r="DZ677" s="17" t="n"/>
      <c r="EA677" s="16" t="n"/>
      <c r="EB677" s="20" t="inlineStr">
        <is>
          <t>IC Organic Acids</t>
        </is>
      </c>
      <c r="EC677" s="20" t="inlineStr">
        <is>
          <t>None</t>
        </is>
      </c>
      <c r="ED677" s="17" t="n"/>
      <c r="EE677" s="16" t="n"/>
      <c r="EF677" s="20" t="inlineStr">
        <is>
          <t>IC Organic Acids</t>
        </is>
      </c>
      <c r="EG677" s="20" t="inlineStr">
        <is>
          <t>None</t>
        </is>
      </c>
      <c r="EH677" s="17" t="n"/>
      <c r="EI677" s="16" t="n"/>
      <c r="EJ677" s="20" t="inlineStr">
        <is>
          <t>IC Organic Acids</t>
        </is>
      </c>
      <c r="EK677" s="20" t="inlineStr">
        <is>
          <t>None</t>
        </is>
      </c>
      <c r="EL677" s="17" t="n"/>
      <c r="EM677" s="16" t="n"/>
      <c r="EN677" s="20" t="inlineStr">
        <is>
          <t>IC Organic Acids</t>
        </is>
      </c>
      <c r="EO677" s="20" t="inlineStr">
        <is>
          <t>None</t>
        </is>
      </c>
      <c r="EP677" s="17" t="n"/>
      <c r="EQ677" s="16" t="n"/>
      <c r="ER677" s="20" t="inlineStr">
        <is>
          <t>IC Organic Acids</t>
        </is>
      </c>
      <c r="ES677" s="20" t="inlineStr">
        <is>
          <t>None</t>
        </is>
      </c>
      <c r="ET677" s="17" t="n"/>
      <c r="EU677" s="16" t="n"/>
      <c r="EV677" s="20" t="inlineStr">
        <is>
          <t>LC-MS</t>
        </is>
      </c>
      <c r="EW677" s="20" t="inlineStr">
        <is>
          <t>None</t>
        </is>
      </c>
      <c r="EX677" s="17" t="n"/>
      <c r="EY677" s="21" t="n"/>
      <c r="EZ677">
        <f>CONCATENATE(A677,B677)</f>
        <v/>
      </c>
      <c r="FA677">
        <f>CONCATENATE(SamplesX!A677,SamplesX!B677)</f>
        <v/>
      </c>
      <c r="FC677">
        <f>MATCH(EZ677,FA1:FA1008,0)</f>
        <v/>
      </c>
    </row>
    <row r="678">
      <c r="A678" s="16" t="n"/>
      <c r="B678" s="17" t="n"/>
      <c r="C678" s="10">
        <f>IF(ISNUMBER(FC678),INDIRECT("SamplesX!C"&amp;FC678),IF(ISNUMBER(FD678),INDIRECT("SamplesY!C"&amp;FD678),""))</f>
        <v/>
      </c>
      <c r="D678" s="12">
        <f>IF(ISNUMBER(FC678),INDIRECT("SamplesX!D"&amp;FC678),IF(ISNUMBER(FD678),INDIRECT("SamplesY!D"&amp;FD678),""))</f>
        <v/>
      </c>
      <c r="E678" s="12">
        <f>IF(ISNUMBER(FC678),INDIRECT("SamplesX!E"&amp;FC678),IF(ISNUMBER(FD678),INDIRECT("SamplesY!E"&amp;FD678),""))</f>
        <v/>
      </c>
      <c r="F678" s="11">
        <f>IF(ISNUMBER(FC678),INDIRECT("SamplesX!F"&amp;FC678),IF(ISNUMBER(FD678),INDIRECT("SamplesY!F"&amp;FD678),""))</f>
        <v/>
      </c>
      <c r="G678" s="18">
        <f>IF(ISNUMBER(FC678),INDIRECT("SamplesX!G"&amp;FC678),IF(ISNUMBER(FD678),INDIRECT("SamplesY!G"&amp;FD678),""))</f>
        <v/>
      </c>
      <c r="H678" s="19">
        <f>IF(ISNUMBER(FC678),INDIRECT("SamplesX!H"&amp;FC678),IF(ISNUMBER(FD678),INDIRECT("SamplesY!H"&amp;FD678),""))</f>
        <v/>
      </c>
      <c r="I678" s="16" t="n"/>
      <c r="J678" s="16" t="n"/>
      <c r="K678" s="16" t="n"/>
      <c r="L678" s="20" t="n"/>
      <c r="M678" s="20" t="inlineStr">
        <is>
          <t>None</t>
        </is>
      </c>
      <c r="N678" s="17" t="n"/>
      <c r="O678" s="16" t="n"/>
      <c r="P678" s="20" t="inlineStr">
        <is>
          <t>Shimadzu TOC-L</t>
        </is>
      </c>
      <c r="Q678" s="20" t="inlineStr">
        <is>
          <t>None</t>
        </is>
      </c>
      <c r="R678" s="17" t="n"/>
      <c r="S678" s="16" t="n"/>
      <c r="T678" s="20" t="inlineStr">
        <is>
          <t>Shimadzu TOC-L</t>
        </is>
      </c>
      <c r="U678" s="20" t="inlineStr">
        <is>
          <t>None</t>
        </is>
      </c>
      <c r="V678" s="17" t="n"/>
      <c r="W678" s="16" t="n"/>
      <c r="X678" s="20" t="n"/>
      <c r="Y678" s="20" t="inlineStr">
        <is>
          <t>None</t>
        </is>
      </c>
      <c r="Z678" s="17" t="n"/>
      <c r="AA678" s="16" t="n"/>
      <c r="AB678" s="20" t="n"/>
      <c r="AC678" s="20" t="inlineStr">
        <is>
          <t>None</t>
        </is>
      </c>
      <c r="AD678" s="17" t="n"/>
      <c r="AE678" s="16" t="n"/>
      <c r="AF678" s="20" t="inlineStr">
        <is>
          <t>IC Anionen</t>
        </is>
      </c>
      <c r="AG678" s="20" t="inlineStr">
        <is>
          <t>None</t>
        </is>
      </c>
      <c r="AH678" s="17" t="n"/>
      <c r="AI678" s="16" t="n"/>
      <c r="AJ678" s="20" t="n"/>
      <c r="AK678" s="20" t="inlineStr">
        <is>
          <t>None</t>
        </is>
      </c>
      <c r="AL678" s="17" t="n"/>
      <c r="AM678" s="16" t="n"/>
      <c r="AN678" s="20" t="inlineStr">
        <is>
          <t>IC Anionen</t>
        </is>
      </c>
      <c r="AO678" s="20" t="inlineStr">
        <is>
          <t>None</t>
        </is>
      </c>
      <c r="AP678" s="17" t="n"/>
      <c r="AQ678" s="16" t="n"/>
      <c r="AR678" s="20" t="n"/>
      <c r="AS678" s="20" t="inlineStr">
        <is>
          <t>None</t>
        </is>
      </c>
      <c r="AT678" s="17" t="n"/>
      <c r="AU678" s="16" t="n"/>
      <c r="AV678" s="20" t="n"/>
      <c r="AW678" s="20" t="inlineStr">
        <is>
          <t>None</t>
        </is>
      </c>
      <c r="AX678" s="17" t="n"/>
      <c r="AY678" s="16" t="n"/>
      <c r="AZ678" s="20" t="inlineStr">
        <is>
          <t>IC Anionen</t>
        </is>
      </c>
      <c r="BA678" s="20" t="inlineStr">
        <is>
          <t>None</t>
        </is>
      </c>
      <c r="BB678" s="17" t="n"/>
      <c r="BC678" s="16" t="n"/>
      <c r="BD678" s="20" t="inlineStr">
        <is>
          <t>IC Kationen</t>
        </is>
      </c>
      <c r="BE678" s="20" t="inlineStr">
        <is>
          <t>None</t>
        </is>
      </c>
      <c r="BF678" s="17" t="n"/>
      <c r="BG678" s="16" t="n"/>
      <c r="BH678" s="20" t="inlineStr">
        <is>
          <t>IC Kationen</t>
        </is>
      </c>
      <c r="BI678" s="20" t="inlineStr">
        <is>
          <t>None</t>
        </is>
      </c>
      <c r="BJ678" s="17" t="n"/>
      <c r="BK678" s="16" t="n"/>
      <c r="BL678" s="20" t="inlineStr">
        <is>
          <t>IC Kationen</t>
        </is>
      </c>
      <c r="BM678" s="20" t="inlineStr">
        <is>
          <t>None</t>
        </is>
      </c>
      <c r="BN678" s="17" t="n"/>
      <c r="BO678" s="16" t="n"/>
      <c r="BP678" s="20" t="inlineStr">
        <is>
          <t>IC Kationen</t>
        </is>
      </c>
      <c r="BQ678" s="20" t="inlineStr">
        <is>
          <t>None</t>
        </is>
      </c>
      <c r="BR678" s="17" t="n"/>
      <c r="BS678" s="16" t="n"/>
      <c r="BT678" s="20" t="inlineStr">
        <is>
          <t>IC Kationen</t>
        </is>
      </c>
      <c r="BU678" s="20" t="inlineStr">
        <is>
          <t>None</t>
        </is>
      </c>
      <c r="BV678" s="17" t="n"/>
      <c r="BW678" s="16" t="n"/>
      <c r="BX678" s="20" t="n"/>
      <c r="BY678" s="20" t="inlineStr">
        <is>
          <t>None</t>
        </is>
      </c>
      <c r="BZ678" s="17" t="n"/>
      <c r="CA678" s="16" t="n"/>
      <c r="CB678" s="20" t="n"/>
      <c r="CC678" s="20" t="inlineStr">
        <is>
          <t>None</t>
        </is>
      </c>
      <c r="CD678" s="17" t="n"/>
      <c r="CE678" s="16" t="n"/>
      <c r="CF678" s="20" t="n"/>
      <c r="CG678" s="20" t="inlineStr">
        <is>
          <t>None</t>
        </is>
      </c>
      <c r="CH678" s="17" t="n"/>
      <c r="CI678" s="16" t="n"/>
      <c r="CJ678" s="20" t="n"/>
      <c r="CK678" s="20" t="inlineStr">
        <is>
          <t>None</t>
        </is>
      </c>
      <c r="CL678" s="17" t="n"/>
      <c r="CM678" s="16" t="n"/>
      <c r="CN678" s="20" t="inlineStr">
        <is>
          <t>SOP 45-34</t>
        </is>
      </c>
      <c r="CO678" s="20" t="inlineStr">
        <is>
          <t>None</t>
        </is>
      </c>
      <c r="CP678" s="17" t="n"/>
      <c r="CQ678" s="16" t="n"/>
      <c r="CR678" s="20" t="n"/>
      <c r="CS678" s="20" t="inlineStr">
        <is>
          <t>None</t>
        </is>
      </c>
      <c r="CT678" s="17" t="n"/>
      <c r="CU678" s="16" t="n"/>
      <c r="CV678" s="20" t="n"/>
      <c r="CW678" s="20" t="inlineStr">
        <is>
          <t>None</t>
        </is>
      </c>
      <c r="CX678" s="17" t="n"/>
      <c r="CY678" s="16" t="n"/>
      <c r="CZ678" s="20" t="inlineStr">
        <is>
          <t>WTW Multimeter 3430 with FDO 925</t>
        </is>
      </c>
      <c r="DA678" s="20" t="inlineStr">
        <is>
          <t>None</t>
        </is>
      </c>
      <c r="DB678" s="17" t="n"/>
      <c r="DC678" s="16" t="n"/>
      <c r="DD678" s="20" t="n"/>
      <c r="DE678" s="20" t="inlineStr">
        <is>
          <t>None</t>
        </is>
      </c>
      <c r="DF678" s="17" t="n"/>
      <c r="DG678" s="16" t="n"/>
      <c r="DH678" s="20" t="inlineStr">
        <is>
          <t>SOP 45-09</t>
        </is>
      </c>
      <c r="DI678" s="20" t="inlineStr">
        <is>
          <t>None</t>
        </is>
      </c>
      <c r="DJ678" s="17" t="n"/>
      <c r="DK678" s="16" t="n"/>
      <c r="DL678" s="20" t="inlineStr">
        <is>
          <t>SOP 45-09 (SOP muss noch angepasst werden für VSS)</t>
        </is>
      </c>
      <c r="DM678" s="20" t="inlineStr">
        <is>
          <t>None</t>
        </is>
      </c>
      <c r="DN678" s="17" t="n"/>
      <c r="DO678" s="16" t="n"/>
      <c r="DP678" s="20" t="inlineStr">
        <is>
          <t>IC Organic Acids</t>
        </is>
      </c>
      <c r="DQ678" s="20" t="inlineStr">
        <is>
          <t>None</t>
        </is>
      </c>
      <c r="DR678" s="17" t="n"/>
      <c r="DS678" s="16" t="n"/>
      <c r="DT678" s="20" t="inlineStr">
        <is>
          <t>IC Organic Acids</t>
        </is>
      </c>
      <c r="DU678" s="20" t="inlineStr">
        <is>
          <t>None</t>
        </is>
      </c>
      <c r="DV678" s="17" t="n"/>
      <c r="DW678" s="16" t="n"/>
      <c r="DX678" s="20" t="inlineStr">
        <is>
          <t>IC Organic Acids</t>
        </is>
      </c>
      <c r="DY678" s="20" t="inlineStr">
        <is>
          <t>None</t>
        </is>
      </c>
      <c r="DZ678" s="17" t="n"/>
      <c r="EA678" s="16" t="n"/>
      <c r="EB678" s="20" t="inlineStr">
        <is>
          <t>IC Organic Acids</t>
        </is>
      </c>
      <c r="EC678" s="20" t="inlineStr">
        <is>
          <t>None</t>
        </is>
      </c>
      <c r="ED678" s="17" t="n"/>
      <c r="EE678" s="16" t="n"/>
      <c r="EF678" s="20" t="inlineStr">
        <is>
          <t>IC Organic Acids</t>
        </is>
      </c>
      <c r="EG678" s="20" t="inlineStr">
        <is>
          <t>None</t>
        </is>
      </c>
      <c r="EH678" s="17" t="n"/>
      <c r="EI678" s="16" t="n"/>
      <c r="EJ678" s="20" t="inlineStr">
        <is>
          <t>IC Organic Acids</t>
        </is>
      </c>
      <c r="EK678" s="20" t="inlineStr">
        <is>
          <t>None</t>
        </is>
      </c>
      <c r="EL678" s="17" t="n"/>
      <c r="EM678" s="16" t="n"/>
      <c r="EN678" s="20" t="inlineStr">
        <is>
          <t>IC Organic Acids</t>
        </is>
      </c>
      <c r="EO678" s="20" t="inlineStr">
        <is>
          <t>None</t>
        </is>
      </c>
      <c r="EP678" s="17" t="n"/>
      <c r="EQ678" s="16" t="n"/>
      <c r="ER678" s="20" t="inlineStr">
        <is>
          <t>IC Organic Acids</t>
        </is>
      </c>
      <c r="ES678" s="20" t="inlineStr">
        <is>
          <t>None</t>
        </is>
      </c>
      <c r="ET678" s="17" t="n"/>
      <c r="EU678" s="16" t="n"/>
      <c r="EV678" s="20" t="inlineStr">
        <is>
          <t>LC-MS</t>
        </is>
      </c>
      <c r="EW678" s="20" t="inlineStr">
        <is>
          <t>None</t>
        </is>
      </c>
      <c r="EX678" s="17" t="n"/>
      <c r="EY678" s="21" t="n"/>
      <c r="EZ678">
        <f>CONCATENATE(A678,B678)</f>
        <v/>
      </c>
      <c r="FA678">
        <f>CONCATENATE(SamplesX!A678,SamplesX!B678)</f>
        <v/>
      </c>
      <c r="FC678">
        <f>MATCH(EZ678,FA1:FA1008,0)</f>
        <v/>
      </c>
    </row>
    <row r="679">
      <c r="A679" s="16" t="n"/>
      <c r="B679" s="17" t="n"/>
      <c r="C679" s="10">
        <f>IF(ISNUMBER(FC679),INDIRECT("SamplesX!C"&amp;FC679),IF(ISNUMBER(FD679),INDIRECT("SamplesY!C"&amp;FD679),""))</f>
        <v/>
      </c>
      <c r="D679" s="12">
        <f>IF(ISNUMBER(FC679),INDIRECT("SamplesX!D"&amp;FC679),IF(ISNUMBER(FD679),INDIRECT("SamplesY!D"&amp;FD679),""))</f>
        <v/>
      </c>
      <c r="E679" s="12">
        <f>IF(ISNUMBER(FC679),INDIRECT("SamplesX!E"&amp;FC679),IF(ISNUMBER(FD679),INDIRECT("SamplesY!E"&amp;FD679),""))</f>
        <v/>
      </c>
      <c r="F679" s="11">
        <f>IF(ISNUMBER(FC679),INDIRECT("SamplesX!F"&amp;FC679),IF(ISNUMBER(FD679),INDIRECT("SamplesY!F"&amp;FD679),""))</f>
        <v/>
      </c>
      <c r="G679" s="18">
        <f>IF(ISNUMBER(FC679),INDIRECT("SamplesX!G"&amp;FC679),IF(ISNUMBER(FD679),INDIRECT("SamplesY!G"&amp;FD679),""))</f>
        <v/>
      </c>
      <c r="H679" s="19">
        <f>IF(ISNUMBER(FC679),INDIRECT("SamplesX!H"&amp;FC679),IF(ISNUMBER(FD679),INDIRECT("SamplesY!H"&amp;FD679),""))</f>
        <v/>
      </c>
      <c r="I679" s="16" t="n"/>
      <c r="J679" s="16" t="n"/>
      <c r="K679" s="16" t="n"/>
      <c r="L679" s="20" t="n"/>
      <c r="M679" s="20" t="inlineStr">
        <is>
          <t>None</t>
        </is>
      </c>
      <c r="N679" s="17" t="n"/>
      <c r="O679" s="16" t="n"/>
      <c r="P679" s="20" t="inlineStr">
        <is>
          <t>Shimadzu TOC-L</t>
        </is>
      </c>
      <c r="Q679" s="20" t="inlineStr">
        <is>
          <t>None</t>
        </is>
      </c>
      <c r="R679" s="17" t="n"/>
      <c r="S679" s="16" t="n"/>
      <c r="T679" s="20" t="inlineStr">
        <is>
          <t>Shimadzu TOC-L</t>
        </is>
      </c>
      <c r="U679" s="20" t="inlineStr">
        <is>
          <t>None</t>
        </is>
      </c>
      <c r="V679" s="17" t="n"/>
      <c r="W679" s="16" t="n"/>
      <c r="X679" s="20" t="n"/>
      <c r="Y679" s="20" t="inlineStr">
        <is>
          <t>None</t>
        </is>
      </c>
      <c r="Z679" s="17" t="n"/>
      <c r="AA679" s="16" t="n"/>
      <c r="AB679" s="20" t="n"/>
      <c r="AC679" s="20" t="inlineStr">
        <is>
          <t>None</t>
        </is>
      </c>
      <c r="AD679" s="17" t="n"/>
      <c r="AE679" s="16" t="n"/>
      <c r="AF679" s="20" t="inlineStr">
        <is>
          <t>IC Anionen</t>
        </is>
      </c>
      <c r="AG679" s="20" t="inlineStr">
        <is>
          <t>None</t>
        </is>
      </c>
      <c r="AH679" s="17" t="n"/>
      <c r="AI679" s="16" t="n"/>
      <c r="AJ679" s="20" t="n"/>
      <c r="AK679" s="20" t="inlineStr">
        <is>
          <t>None</t>
        </is>
      </c>
      <c r="AL679" s="17" t="n"/>
      <c r="AM679" s="16" t="n"/>
      <c r="AN679" s="20" t="inlineStr">
        <is>
          <t>IC Anionen</t>
        </is>
      </c>
      <c r="AO679" s="20" t="inlineStr">
        <is>
          <t>None</t>
        </is>
      </c>
      <c r="AP679" s="17" t="n"/>
      <c r="AQ679" s="16" t="n"/>
      <c r="AR679" s="20" t="n"/>
      <c r="AS679" s="20" t="inlineStr">
        <is>
          <t>None</t>
        </is>
      </c>
      <c r="AT679" s="17" t="n"/>
      <c r="AU679" s="16" t="n"/>
      <c r="AV679" s="20" t="n"/>
      <c r="AW679" s="20" t="inlineStr">
        <is>
          <t>None</t>
        </is>
      </c>
      <c r="AX679" s="17" t="n"/>
      <c r="AY679" s="16" t="n"/>
      <c r="AZ679" s="20" t="inlineStr">
        <is>
          <t>IC Anionen</t>
        </is>
      </c>
      <c r="BA679" s="20" t="inlineStr">
        <is>
          <t>None</t>
        </is>
      </c>
      <c r="BB679" s="17" t="n"/>
      <c r="BC679" s="16" t="n"/>
      <c r="BD679" s="20" t="inlineStr">
        <is>
          <t>IC Kationen</t>
        </is>
      </c>
      <c r="BE679" s="20" t="inlineStr">
        <is>
          <t>None</t>
        </is>
      </c>
      <c r="BF679" s="17" t="n"/>
      <c r="BG679" s="16" t="n"/>
      <c r="BH679" s="20" t="inlineStr">
        <is>
          <t>IC Kationen</t>
        </is>
      </c>
      <c r="BI679" s="20" t="inlineStr">
        <is>
          <t>None</t>
        </is>
      </c>
      <c r="BJ679" s="17" t="n"/>
      <c r="BK679" s="16" t="n"/>
      <c r="BL679" s="20" t="inlineStr">
        <is>
          <t>IC Kationen</t>
        </is>
      </c>
      <c r="BM679" s="20" t="inlineStr">
        <is>
          <t>None</t>
        </is>
      </c>
      <c r="BN679" s="17" t="n"/>
      <c r="BO679" s="16" t="n"/>
      <c r="BP679" s="20" t="inlineStr">
        <is>
          <t>IC Kationen</t>
        </is>
      </c>
      <c r="BQ679" s="20" t="inlineStr">
        <is>
          <t>None</t>
        </is>
      </c>
      <c r="BR679" s="17" t="n"/>
      <c r="BS679" s="16" t="n"/>
      <c r="BT679" s="20" t="inlineStr">
        <is>
          <t>IC Kationen</t>
        </is>
      </c>
      <c r="BU679" s="20" t="inlineStr">
        <is>
          <t>None</t>
        </is>
      </c>
      <c r="BV679" s="17" t="n"/>
      <c r="BW679" s="16" t="n"/>
      <c r="BX679" s="20" t="n"/>
      <c r="BY679" s="20" t="inlineStr">
        <is>
          <t>None</t>
        </is>
      </c>
      <c r="BZ679" s="17" t="n"/>
      <c r="CA679" s="16" t="n"/>
      <c r="CB679" s="20" t="n"/>
      <c r="CC679" s="20" t="inlineStr">
        <is>
          <t>None</t>
        </is>
      </c>
      <c r="CD679" s="17" t="n"/>
      <c r="CE679" s="16" t="n"/>
      <c r="CF679" s="20" t="n"/>
      <c r="CG679" s="20" t="inlineStr">
        <is>
          <t>None</t>
        </is>
      </c>
      <c r="CH679" s="17" t="n"/>
      <c r="CI679" s="16" t="n"/>
      <c r="CJ679" s="20" t="n"/>
      <c r="CK679" s="20" t="inlineStr">
        <is>
          <t>None</t>
        </is>
      </c>
      <c r="CL679" s="17" t="n"/>
      <c r="CM679" s="16" t="n"/>
      <c r="CN679" s="20" t="inlineStr">
        <is>
          <t>SOP 45-34</t>
        </is>
      </c>
      <c r="CO679" s="20" t="inlineStr">
        <is>
          <t>None</t>
        </is>
      </c>
      <c r="CP679" s="17" t="n"/>
      <c r="CQ679" s="16" t="n"/>
      <c r="CR679" s="20" t="n"/>
      <c r="CS679" s="20" t="inlineStr">
        <is>
          <t>None</t>
        </is>
      </c>
      <c r="CT679" s="17" t="n"/>
      <c r="CU679" s="16" t="n"/>
      <c r="CV679" s="20" t="n"/>
      <c r="CW679" s="20" t="inlineStr">
        <is>
          <t>None</t>
        </is>
      </c>
      <c r="CX679" s="17" t="n"/>
      <c r="CY679" s="16" t="n"/>
      <c r="CZ679" s="20" t="inlineStr">
        <is>
          <t>WTW Multimeter 3430 with FDO 925</t>
        </is>
      </c>
      <c r="DA679" s="20" t="inlineStr">
        <is>
          <t>None</t>
        </is>
      </c>
      <c r="DB679" s="17" t="n"/>
      <c r="DC679" s="16" t="n"/>
      <c r="DD679" s="20" t="n"/>
      <c r="DE679" s="20" t="inlineStr">
        <is>
          <t>None</t>
        </is>
      </c>
      <c r="DF679" s="17" t="n"/>
      <c r="DG679" s="16" t="n"/>
      <c r="DH679" s="20" t="inlineStr">
        <is>
          <t>SOP 45-09</t>
        </is>
      </c>
      <c r="DI679" s="20" t="inlineStr">
        <is>
          <t>None</t>
        </is>
      </c>
      <c r="DJ679" s="17" t="n"/>
      <c r="DK679" s="16" t="n"/>
      <c r="DL679" s="20" t="inlineStr">
        <is>
          <t>SOP 45-09 (SOP muss noch angepasst werden für VSS)</t>
        </is>
      </c>
      <c r="DM679" s="20" t="inlineStr">
        <is>
          <t>None</t>
        </is>
      </c>
      <c r="DN679" s="17" t="n"/>
      <c r="DO679" s="16" t="n"/>
      <c r="DP679" s="20" t="inlineStr">
        <is>
          <t>IC Organic Acids</t>
        </is>
      </c>
      <c r="DQ679" s="20" t="inlineStr">
        <is>
          <t>None</t>
        </is>
      </c>
      <c r="DR679" s="17" t="n"/>
      <c r="DS679" s="16" t="n"/>
      <c r="DT679" s="20" t="inlineStr">
        <is>
          <t>IC Organic Acids</t>
        </is>
      </c>
      <c r="DU679" s="20" t="inlineStr">
        <is>
          <t>None</t>
        </is>
      </c>
      <c r="DV679" s="17" t="n"/>
      <c r="DW679" s="16" t="n"/>
      <c r="DX679" s="20" t="inlineStr">
        <is>
          <t>IC Organic Acids</t>
        </is>
      </c>
      <c r="DY679" s="20" t="inlineStr">
        <is>
          <t>None</t>
        </is>
      </c>
      <c r="DZ679" s="17" t="n"/>
      <c r="EA679" s="16" t="n"/>
      <c r="EB679" s="20" t="inlineStr">
        <is>
          <t>IC Organic Acids</t>
        </is>
      </c>
      <c r="EC679" s="20" t="inlineStr">
        <is>
          <t>None</t>
        </is>
      </c>
      <c r="ED679" s="17" t="n"/>
      <c r="EE679" s="16" t="n"/>
      <c r="EF679" s="20" t="inlineStr">
        <is>
          <t>IC Organic Acids</t>
        </is>
      </c>
      <c r="EG679" s="20" t="inlineStr">
        <is>
          <t>None</t>
        </is>
      </c>
      <c r="EH679" s="17" t="n"/>
      <c r="EI679" s="16" t="n"/>
      <c r="EJ679" s="20" t="inlineStr">
        <is>
          <t>IC Organic Acids</t>
        </is>
      </c>
      <c r="EK679" s="20" t="inlineStr">
        <is>
          <t>None</t>
        </is>
      </c>
      <c r="EL679" s="17" t="n"/>
      <c r="EM679" s="16" t="n"/>
      <c r="EN679" s="20" t="inlineStr">
        <is>
          <t>IC Organic Acids</t>
        </is>
      </c>
      <c r="EO679" s="20" t="inlineStr">
        <is>
          <t>None</t>
        </is>
      </c>
      <c r="EP679" s="17" t="n"/>
      <c r="EQ679" s="16" t="n"/>
      <c r="ER679" s="20" t="inlineStr">
        <is>
          <t>IC Organic Acids</t>
        </is>
      </c>
      <c r="ES679" s="20" t="inlineStr">
        <is>
          <t>None</t>
        </is>
      </c>
      <c r="ET679" s="17" t="n"/>
      <c r="EU679" s="16" t="n"/>
      <c r="EV679" s="20" t="inlineStr">
        <is>
          <t>LC-MS</t>
        </is>
      </c>
      <c r="EW679" s="20" t="inlineStr">
        <is>
          <t>None</t>
        </is>
      </c>
      <c r="EX679" s="17" t="n"/>
      <c r="EY679" s="21" t="n"/>
      <c r="EZ679">
        <f>CONCATENATE(A679,B679)</f>
        <v/>
      </c>
      <c r="FA679">
        <f>CONCATENATE(SamplesX!A679,SamplesX!B679)</f>
        <v/>
      </c>
      <c r="FC679">
        <f>MATCH(EZ679,FA1:FA1008,0)</f>
        <v/>
      </c>
    </row>
    <row r="680">
      <c r="A680" s="16" t="n"/>
      <c r="B680" s="17" t="n"/>
      <c r="C680" s="10">
        <f>IF(ISNUMBER(FC680),INDIRECT("SamplesX!C"&amp;FC680),IF(ISNUMBER(FD680),INDIRECT("SamplesY!C"&amp;FD680),""))</f>
        <v/>
      </c>
      <c r="D680" s="12">
        <f>IF(ISNUMBER(FC680),INDIRECT("SamplesX!D"&amp;FC680),IF(ISNUMBER(FD680),INDIRECT("SamplesY!D"&amp;FD680),""))</f>
        <v/>
      </c>
      <c r="E680" s="12">
        <f>IF(ISNUMBER(FC680),INDIRECT("SamplesX!E"&amp;FC680),IF(ISNUMBER(FD680),INDIRECT("SamplesY!E"&amp;FD680),""))</f>
        <v/>
      </c>
      <c r="F680" s="11">
        <f>IF(ISNUMBER(FC680),INDIRECT("SamplesX!F"&amp;FC680),IF(ISNUMBER(FD680),INDIRECT("SamplesY!F"&amp;FD680),""))</f>
        <v/>
      </c>
      <c r="G680" s="18">
        <f>IF(ISNUMBER(FC680),INDIRECT("SamplesX!G"&amp;FC680),IF(ISNUMBER(FD680),INDIRECT("SamplesY!G"&amp;FD680),""))</f>
        <v/>
      </c>
      <c r="H680" s="19">
        <f>IF(ISNUMBER(FC680),INDIRECT("SamplesX!H"&amp;FC680),IF(ISNUMBER(FD680),INDIRECT("SamplesY!H"&amp;FD680),""))</f>
        <v/>
      </c>
      <c r="I680" s="16" t="n"/>
      <c r="J680" s="16" t="n"/>
      <c r="K680" s="16" t="n"/>
      <c r="L680" s="20" t="n"/>
      <c r="M680" s="20" t="inlineStr">
        <is>
          <t>None</t>
        </is>
      </c>
      <c r="N680" s="17" t="n"/>
      <c r="O680" s="16" t="n"/>
      <c r="P680" s="20" t="inlineStr">
        <is>
          <t>Shimadzu TOC-L</t>
        </is>
      </c>
      <c r="Q680" s="20" t="inlineStr">
        <is>
          <t>None</t>
        </is>
      </c>
      <c r="R680" s="17" t="n"/>
      <c r="S680" s="16" t="n"/>
      <c r="T680" s="20" t="inlineStr">
        <is>
          <t>Shimadzu TOC-L</t>
        </is>
      </c>
      <c r="U680" s="20" t="inlineStr">
        <is>
          <t>None</t>
        </is>
      </c>
      <c r="V680" s="17" t="n"/>
      <c r="W680" s="16" t="n"/>
      <c r="X680" s="20" t="n"/>
      <c r="Y680" s="20" t="inlineStr">
        <is>
          <t>None</t>
        </is>
      </c>
      <c r="Z680" s="17" t="n"/>
      <c r="AA680" s="16" t="n"/>
      <c r="AB680" s="20" t="n"/>
      <c r="AC680" s="20" t="inlineStr">
        <is>
          <t>None</t>
        </is>
      </c>
      <c r="AD680" s="17" t="n"/>
      <c r="AE680" s="16" t="n"/>
      <c r="AF680" s="20" t="inlineStr">
        <is>
          <t>IC Anionen</t>
        </is>
      </c>
      <c r="AG680" s="20" t="inlineStr">
        <is>
          <t>None</t>
        </is>
      </c>
      <c r="AH680" s="17" t="n"/>
      <c r="AI680" s="16" t="n"/>
      <c r="AJ680" s="20" t="n"/>
      <c r="AK680" s="20" t="inlineStr">
        <is>
          <t>None</t>
        </is>
      </c>
      <c r="AL680" s="17" t="n"/>
      <c r="AM680" s="16" t="n"/>
      <c r="AN680" s="20" t="inlineStr">
        <is>
          <t>IC Anionen</t>
        </is>
      </c>
      <c r="AO680" s="20" t="inlineStr">
        <is>
          <t>None</t>
        </is>
      </c>
      <c r="AP680" s="17" t="n"/>
      <c r="AQ680" s="16" t="n"/>
      <c r="AR680" s="20" t="n"/>
      <c r="AS680" s="20" t="inlineStr">
        <is>
          <t>None</t>
        </is>
      </c>
      <c r="AT680" s="17" t="n"/>
      <c r="AU680" s="16" t="n"/>
      <c r="AV680" s="20" t="n"/>
      <c r="AW680" s="20" t="inlineStr">
        <is>
          <t>None</t>
        </is>
      </c>
      <c r="AX680" s="17" t="n"/>
      <c r="AY680" s="16" t="n"/>
      <c r="AZ680" s="20" t="inlineStr">
        <is>
          <t>IC Anionen</t>
        </is>
      </c>
      <c r="BA680" s="20" t="inlineStr">
        <is>
          <t>None</t>
        </is>
      </c>
      <c r="BB680" s="17" t="n"/>
      <c r="BC680" s="16" t="n"/>
      <c r="BD680" s="20" t="inlineStr">
        <is>
          <t>IC Kationen</t>
        </is>
      </c>
      <c r="BE680" s="20" t="inlineStr">
        <is>
          <t>None</t>
        </is>
      </c>
      <c r="BF680" s="17" t="n"/>
      <c r="BG680" s="16" t="n"/>
      <c r="BH680" s="20" t="inlineStr">
        <is>
          <t>IC Kationen</t>
        </is>
      </c>
      <c r="BI680" s="20" t="inlineStr">
        <is>
          <t>None</t>
        </is>
      </c>
      <c r="BJ680" s="17" t="n"/>
      <c r="BK680" s="16" t="n"/>
      <c r="BL680" s="20" t="inlineStr">
        <is>
          <t>IC Kationen</t>
        </is>
      </c>
      <c r="BM680" s="20" t="inlineStr">
        <is>
          <t>None</t>
        </is>
      </c>
      <c r="BN680" s="17" t="n"/>
      <c r="BO680" s="16" t="n"/>
      <c r="BP680" s="20" t="inlineStr">
        <is>
          <t>IC Kationen</t>
        </is>
      </c>
      <c r="BQ680" s="20" t="inlineStr">
        <is>
          <t>None</t>
        </is>
      </c>
      <c r="BR680" s="17" t="n"/>
      <c r="BS680" s="16" t="n"/>
      <c r="BT680" s="20" t="inlineStr">
        <is>
          <t>IC Kationen</t>
        </is>
      </c>
      <c r="BU680" s="20" t="inlineStr">
        <is>
          <t>None</t>
        </is>
      </c>
      <c r="BV680" s="17" t="n"/>
      <c r="BW680" s="16" t="n"/>
      <c r="BX680" s="20" t="n"/>
      <c r="BY680" s="20" t="inlineStr">
        <is>
          <t>None</t>
        </is>
      </c>
      <c r="BZ680" s="17" t="n"/>
      <c r="CA680" s="16" t="n"/>
      <c r="CB680" s="20" t="n"/>
      <c r="CC680" s="20" t="inlineStr">
        <is>
          <t>None</t>
        </is>
      </c>
      <c r="CD680" s="17" t="n"/>
      <c r="CE680" s="16" t="n"/>
      <c r="CF680" s="20" t="n"/>
      <c r="CG680" s="20" t="inlineStr">
        <is>
          <t>None</t>
        </is>
      </c>
      <c r="CH680" s="17" t="n"/>
      <c r="CI680" s="16" t="n"/>
      <c r="CJ680" s="20" t="n"/>
      <c r="CK680" s="20" t="inlineStr">
        <is>
          <t>None</t>
        </is>
      </c>
      <c r="CL680" s="17" t="n"/>
      <c r="CM680" s="16" t="n"/>
      <c r="CN680" s="20" t="inlineStr">
        <is>
          <t>SOP 45-34</t>
        </is>
      </c>
      <c r="CO680" s="20" t="inlineStr">
        <is>
          <t>None</t>
        </is>
      </c>
      <c r="CP680" s="17" t="n"/>
      <c r="CQ680" s="16" t="n"/>
      <c r="CR680" s="20" t="n"/>
      <c r="CS680" s="20" t="inlineStr">
        <is>
          <t>None</t>
        </is>
      </c>
      <c r="CT680" s="17" t="n"/>
      <c r="CU680" s="16" t="n"/>
      <c r="CV680" s="20" t="n"/>
      <c r="CW680" s="20" t="inlineStr">
        <is>
          <t>None</t>
        </is>
      </c>
      <c r="CX680" s="17" t="n"/>
      <c r="CY680" s="16" t="n"/>
      <c r="CZ680" s="20" t="inlineStr">
        <is>
          <t>WTW Multimeter 3430 with FDO 925</t>
        </is>
      </c>
      <c r="DA680" s="20" t="inlineStr">
        <is>
          <t>None</t>
        </is>
      </c>
      <c r="DB680" s="17" t="n"/>
      <c r="DC680" s="16" t="n"/>
      <c r="DD680" s="20" t="n"/>
      <c r="DE680" s="20" t="inlineStr">
        <is>
          <t>None</t>
        </is>
      </c>
      <c r="DF680" s="17" t="n"/>
      <c r="DG680" s="16" t="n"/>
      <c r="DH680" s="20" t="inlineStr">
        <is>
          <t>SOP 45-09</t>
        </is>
      </c>
      <c r="DI680" s="20" t="inlineStr">
        <is>
          <t>None</t>
        </is>
      </c>
      <c r="DJ680" s="17" t="n"/>
      <c r="DK680" s="16" t="n"/>
      <c r="DL680" s="20" t="inlineStr">
        <is>
          <t>SOP 45-09 (SOP muss noch angepasst werden für VSS)</t>
        </is>
      </c>
      <c r="DM680" s="20" t="inlineStr">
        <is>
          <t>None</t>
        </is>
      </c>
      <c r="DN680" s="17" t="n"/>
      <c r="DO680" s="16" t="n"/>
      <c r="DP680" s="20" t="inlineStr">
        <is>
          <t>IC Organic Acids</t>
        </is>
      </c>
      <c r="DQ680" s="20" t="inlineStr">
        <is>
          <t>None</t>
        </is>
      </c>
      <c r="DR680" s="17" t="n"/>
      <c r="DS680" s="16" t="n"/>
      <c r="DT680" s="20" t="inlineStr">
        <is>
          <t>IC Organic Acids</t>
        </is>
      </c>
      <c r="DU680" s="20" t="inlineStr">
        <is>
          <t>None</t>
        </is>
      </c>
      <c r="DV680" s="17" t="n"/>
      <c r="DW680" s="16" t="n"/>
      <c r="DX680" s="20" t="inlineStr">
        <is>
          <t>IC Organic Acids</t>
        </is>
      </c>
      <c r="DY680" s="20" t="inlineStr">
        <is>
          <t>None</t>
        </is>
      </c>
      <c r="DZ680" s="17" t="n"/>
      <c r="EA680" s="16" t="n"/>
      <c r="EB680" s="20" t="inlineStr">
        <is>
          <t>IC Organic Acids</t>
        </is>
      </c>
      <c r="EC680" s="20" t="inlineStr">
        <is>
          <t>None</t>
        </is>
      </c>
      <c r="ED680" s="17" t="n"/>
      <c r="EE680" s="16" t="n"/>
      <c r="EF680" s="20" t="inlineStr">
        <is>
          <t>IC Organic Acids</t>
        </is>
      </c>
      <c r="EG680" s="20" t="inlineStr">
        <is>
          <t>None</t>
        </is>
      </c>
      <c r="EH680" s="17" t="n"/>
      <c r="EI680" s="16" t="n"/>
      <c r="EJ680" s="20" t="inlineStr">
        <is>
          <t>IC Organic Acids</t>
        </is>
      </c>
      <c r="EK680" s="20" t="inlineStr">
        <is>
          <t>None</t>
        </is>
      </c>
      <c r="EL680" s="17" t="n"/>
      <c r="EM680" s="16" t="n"/>
      <c r="EN680" s="20" t="inlineStr">
        <is>
          <t>IC Organic Acids</t>
        </is>
      </c>
      <c r="EO680" s="20" t="inlineStr">
        <is>
          <t>None</t>
        </is>
      </c>
      <c r="EP680" s="17" t="n"/>
      <c r="EQ680" s="16" t="n"/>
      <c r="ER680" s="20" t="inlineStr">
        <is>
          <t>IC Organic Acids</t>
        </is>
      </c>
      <c r="ES680" s="20" t="inlineStr">
        <is>
          <t>None</t>
        </is>
      </c>
      <c r="ET680" s="17" t="n"/>
      <c r="EU680" s="16" t="n"/>
      <c r="EV680" s="20" t="inlineStr">
        <is>
          <t>LC-MS</t>
        </is>
      </c>
      <c r="EW680" s="20" t="inlineStr">
        <is>
          <t>None</t>
        </is>
      </c>
      <c r="EX680" s="17" t="n"/>
      <c r="EY680" s="21" t="n"/>
      <c r="EZ680">
        <f>CONCATENATE(A680,B680)</f>
        <v/>
      </c>
      <c r="FA680">
        <f>CONCATENATE(SamplesX!A680,SamplesX!B680)</f>
        <v/>
      </c>
      <c r="FC680">
        <f>MATCH(EZ680,FA1:FA1008,0)</f>
        <v/>
      </c>
    </row>
    <row r="681">
      <c r="A681" s="16" t="n"/>
      <c r="B681" s="17" t="n"/>
      <c r="C681" s="10">
        <f>IF(ISNUMBER(FC681),INDIRECT("SamplesX!C"&amp;FC681),IF(ISNUMBER(FD681),INDIRECT("SamplesY!C"&amp;FD681),""))</f>
        <v/>
      </c>
      <c r="D681" s="12">
        <f>IF(ISNUMBER(FC681),INDIRECT("SamplesX!D"&amp;FC681),IF(ISNUMBER(FD681),INDIRECT("SamplesY!D"&amp;FD681),""))</f>
        <v/>
      </c>
      <c r="E681" s="12">
        <f>IF(ISNUMBER(FC681),INDIRECT("SamplesX!E"&amp;FC681),IF(ISNUMBER(FD681),INDIRECT("SamplesY!E"&amp;FD681),""))</f>
        <v/>
      </c>
      <c r="F681" s="11">
        <f>IF(ISNUMBER(FC681),INDIRECT("SamplesX!F"&amp;FC681),IF(ISNUMBER(FD681),INDIRECT("SamplesY!F"&amp;FD681),""))</f>
        <v/>
      </c>
      <c r="G681" s="18">
        <f>IF(ISNUMBER(FC681),INDIRECT("SamplesX!G"&amp;FC681),IF(ISNUMBER(FD681),INDIRECT("SamplesY!G"&amp;FD681),""))</f>
        <v/>
      </c>
      <c r="H681" s="19">
        <f>IF(ISNUMBER(FC681),INDIRECT("SamplesX!H"&amp;FC681),IF(ISNUMBER(FD681),INDIRECT("SamplesY!H"&amp;FD681),""))</f>
        <v/>
      </c>
      <c r="I681" s="16" t="n"/>
      <c r="J681" s="16" t="n"/>
      <c r="K681" s="16" t="n"/>
      <c r="L681" s="20" t="n"/>
      <c r="M681" s="20" t="inlineStr">
        <is>
          <t>None</t>
        </is>
      </c>
      <c r="N681" s="17" t="n"/>
      <c r="O681" s="16" t="n"/>
      <c r="P681" s="20" t="inlineStr">
        <is>
          <t>Shimadzu TOC-L</t>
        </is>
      </c>
      <c r="Q681" s="20" t="inlineStr">
        <is>
          <t>None</t>
        </is>
      </c>
      <c r="R681" s="17" t="n"/>
      <c r="S681" s="16" t="n"/>
      <c r="T681" s="20" t="inlineStr">
        <is>
          <t>Shimadzu TOC-L</t>
        </is>
      </c>
      <c r="U681" s="20" t="inlineStr">
        <is>
          <t>None</t>
        </is>
      </c>
      <c r="V681" s="17" t="n"/>
      <c r="W681" s="16" t="n"/>
      <c r="X681" s="20" t="n"/>
      <c r="Y681" s="20" t="inlineStr">
        <is>
          <t>None</t>
        </is>
      </c>
      <c r="Z681" s="17" t="n"/>
      <c r="AA681" s="16" t="n"/>
      <c r="AB681" s="20" t="n"/>
      <c r="AC681" s="20" t="inlineStr">
        <is>
          <t>None</t>
        </is>
      </c>
      <c r="AD681" s="17" t="n"/>
      <c r="AE681" s="16" t="n"/>
      <c r="AF681" s="20" t="inlineStr">
        <is>
          <t>IC Anionen</t>
        </is>
      </c>
      <c r="AG681" s="20" t="inlineStr">
        <is>
          <t>None</t>
        </is>
      </c>
      <c r="AH681" s="17" t="n"/>
      <c r="AI681" s="16" t="n"/>
      <c r="AJ681" s="20" t="n"/>
      <c r="AK681" s="20" t="inlineStr">
        <is>
          <t>None</t>
        </is>
      </c>
      <c r="AL681" s="17" t="n"/>
      <c r="AM681" s="16" t="n"/>
      <c r="AN681" s="20" t="inlineStr">
        <is>
          <t>IC Anionen</t>
        </is>
      </c>
      <c r="AO681" s="20" t="inlineStr">
        <is>
          <t>None</t>
        </is>
      </c>
      <c r="AP681" s="17" t="n"/>
      <c r="AQ681" s="16" t="n"/>
      <c r="AR681" s="20" t="n"/>
      <c r="AS681" s="20" t="inlineStr">
        <is>
          <t>None</t>
        </is>
      </c>
      <c r="AT681" s="17" t="n"/>
      <c r="AU681" s="16" t="n"/>
      <c r="AV681" s="20" t="n"/>
      <c r="AW681" s="20" t="inlineStr">
        <is>
          <t>None</t>
        </is>
      </c>
      <c r="AX681" s="17" t="n"/>
      <c r="AY681" s="16" t="n"/>
      <c r="AZ681" s="20" t="inlineStr">
        <is>
          <t>IC Anionen</t>
        </is>
      </c>
      <c r="BA681" s="20" t="inlineStr">
        <is>
          <t>None</t>
        </is>
      </c>
      <c r="BB681" s="17" t="n"/>
      <c r="BC681" s="16" t="n"/>
      <c r="BD681" s="20" t="inlineStr">
        <is>
          <t>IC Kationen</t>
        </is>
      </c>
      <c r="BE681" s="20" t="inlineStr">
        <is>
          <t>None</t>
        </is>
      </c>
      <c r="BF681" s="17" t="n"/>
      <c r="BG681" s="16" t="n"/>
      <c r="BH681" s="20" t="inlineStr">
        <is>
          <t>IC Kationen</t>
        </is>
      </c>
      <c r="BI681" s="20" t="inlineStr">
        <is>
          <t>None</t>
        </is>
      </c>
      <c r="BJ681" s="17" t="n"/>
      <c r="BK681" s="16" t="n"/>
      <c r="BL681" s="20" t="inlineStr">
        <is>
          <t>IC Kationen</t>
        </is>
      </c>
      <c r="BM681" s="20" t="inlineStr">
        <is>
          <t>None</t>
        </is>
      </c>
      <c r="BN681" s="17" t="n"/>
      <c r="BO681" s="16" t="n"/>
      <c r="BP681" s="20" t="inlineStr">
        <is>
          <t>IC Kationen</t>
        </is>
      </c>
      <c r="BQ681" s="20" t="inlineStr">
        <is>
          <t>None</t>
        </is>
      </c>
      <c r="BR681" s="17" t="n"/>
      <c r="BS681" s="16" t="n"/>
      <c r="BT681" s="20" t="inlineStr">
        <is>
          <t>IC Kationen</t>
        </is>
      </c>
      <c r="BU681" s="20" t="inlineStr">
        <is>
          <t>None</t>
        </is>
      </c>
      <c r="BV681" s="17" t="n"/>
      <c r="BW681" s="16" t="n"/>
      <c r="BX681" s="20" t="n"/>
      <c r="BY681" s="20" t="inlineStr">
        <is>
          <t>None</t>
        </is>
      </c>
      <c r="BZ681" s="17" t="n"/>
      <c r="CA681" s="16" t="n"/>
      <c r="CB681" s="20" t="n"/>
      <c r="CC681" s="20" t="inlineStr">
        <is>
          <t>None</t>
        </is>
      </c>
      <c r="CD681" s="17" t="n"/>
      <c r="CE681" s="16" t="n"/>
      <c r="CF681" s="20" t="n"/>
      <c r="CG681" s="20" t="inlineStr">
        <is>
          <t>None</t>
        </is>
      </c>
      <c r="CH681" s="17" t="n"/>
      <c r="CI681" s="16" t="n"/>
      <c r="CJ681" s="20" t="n"/>
      <c r="CK681" s="20" t="inlineStr">
        <is>
          <t>None</t>
        </is>
      </c>
      <c r="CL681" s="17" t="n"/>
      <c r="CM681" s="16" t="n"/>
      <c r="CN681" s="20" t="inlineStr">
        <is>
          <t>SOP 45-34</t>
        </is>
      </c>
      <c r="CO681" s="20" t="inlineStr">
        <is>
          <t>None</t>
        </is>
      </c>
      <c r="CP681" s="17" t="n"/>
      <c r="CQ681" s="16" t="n"/>
      <c r="CR681" s="20" t="n"/>
      <c r="CS681" s="20" t="inlineStr">
        <is>
          <t>None</t>
        </is>
      </c>
      <c r="CT681" s="17" t="n"/>
      <c r="CU681" s="16" t="n"/>
      <c r="CV681" s="20" t="n"/>
      <c r="CW681" s="20" t="inlineStr">
        <is>
          <t>None</t>
        </is>
      </c>
      <c r="CX681" s="17" t="n"/>
      <c r="CY681" s="16" t="n"/>
      <c r="CZ681" s="20" t="inlineStr">
        <is>
          <t>WTW Multimeter 3430 with FDO 925</t>
        </is>
      </c>
      <c r="DA681" s="20" t="inlineStr">
        <is>
          <t>None</t>
        </is>
      </c>
      <c r="DB681" s="17" t="n"/>
      <c r="DC681" s="16" t="n"/>
      <c r="DD681" s="20" t="n"/>
      <c r="DE681" s="20" t="inlineStr">
        <is>
          <t>None</t>
        </is>
      </c>
      <c r="DF681" s="17" t="n"/>
      <c r="DG681" s="16" t="n"/>
      <c r="DH681" s="20" t="inlineStr">
        <is>
          <t>SOP 45-09</t>
        </is>
      </c>
      <c r="DI681" s="20" t="inlineStr">
        <is>
          <t>None</t>
        </is>
      </c>
      <c r="DJ681" s="17" t="n"/>
      <c r="DK681" s="16" t="n"/>
      <c r="DL681" s="20" t="inlineStr">
        <is>
          <t>SOP 45-09 (SOP muss noch angepasst werden für VSS)</t>
        </is>
      </c>
      <c r="DM681" s="20" t="inlineStr">
        <is>
          <t>None</t>
        </is>
      </c>
      <c r="DN681" s="17" t="n"/>
      <c r="DO681" s="16" t="n"/>
      <c r="DP681" s="20" t="inlineStr">
        <is>
          <t>IC Organic Acids</t>
        </is>
      </c>
      <c r="DQ681" s="20" t="inlineStr">
        <is>
          <t>None</t>
        </is>
      </c>
      <c r="DR681" s="17" t="n"/>
      <c r="DS681" s="16" t="n"/>
      <c r="DT681" s="20" t="inlineStr">
        <is>
          <t>IC Organic Acids</t>
        </is>
      </c>
      <c r="DU681" s="20" t="inlineStr">
        <is>
          <t>None</t>
        </is>
      </c>
      <c r="DV681" s="17" t="n"/>
      <c r="DW681" s="16" t="n"/>
      <c r="DX681" s="20" t="inlineStr">
        <is>
          <t>IC Organic Acids</t>
        </is>
      </c>
      <c r="DY681" s="20" t="inlineStr">
        <is>
          <t>None</t>
        </is>
      </c>
      <c r="DZ681" s="17" t="n"/>
      <c r="EA681" s="16" t="n"/>
      <c r="EB681" s="20" t="inlineStr">
        <is>
          <t>IC Organic Acids</t>
        </is>
      </c>
      <c r="EC681" s="20" t="inlineStr">
        <is>
          <t>None</t>
        </is>
      </c>
      <c r="ED681" s="17" t="n"/>
      <c r="EE681" s="16" t="n"/>
      <c r="EF681" s="20" t="inlineStr">
        <is>
          <t>IC Organic Acids</t>
        </is>
      </c>
      <c r="EG681" s="20" t="inlineStr">
        <is>
          <t>None</t>
        </is>
      </c>
      <c r="EH681" s="17" t="n"/>
      <c r="EI681" s="16" t="n"/>
      <c r="EJ681" s="20" t="inlineStr">
        <is>
          <t>IC Organic Acids</t>
        </is>
      </c>
      <c r="EK681" s="20" t="inlineStr">
        <is>
          <t>None</t>
        </is>
      </c>
      <c r="EL681" s="17" t="n"/>
      <c r="EM681" s="16" t="n"/>
      <c r="EN681" s="20" t="inlineStr">
        <is>
          <t>IC Organic Acids</t>
        </is>
      </c>
      <c r="EO681" s="20" t="inlineStr">
        <is>
          <t>None</t>
        </is>
      </c>
      <c r="EP681" s="17" t="n"/>
      <c r="EQ681" s="16" t="n"/>
      <c r="ER681" s="20" t="inlineStr">
        <is>
          <t>IC Organic Acids</t>
        </is>
      </c>
      <c r="ES681" s="20" t="inlineStr">
        <is>
          <t>None</t>
        </is>
      </c>
      <c r="ET681" s="17" t="n"/>
      <c r="EU681" s="16" t="n"/>
      <c r="EV681" s="20" t="inlineStr">
        <is>
          <t>LC-MS</t>
        </is>
      </c>
      <c r="EW681" s="20" t="inlineStr">
        <is>
          <t>None</t>
        </is>
      </c>
      <c r="EX681" s="17" t="n"/>
      <c r="EY681" s="21" t="n"/>
      <c r="EZ681">
        <f>CONCATENATE(A681,B681)</f>
        <v/>
      </c>
      <c r="FA681">
        <f>CONCATENATE(SamplesX!A681,SamplesX!B681)</f>
        <v/>
      </c>
      <c r="FC681">
        <f>MATCH(EZ681,FA1:FA1008,0)</f>
        <v/>
      </c>
    </row>
    <row r="682">
      <c r="A682" s="16" t="n"/>
      <c r="B682" s="17" t="n"/>
      <c r="C682" s="10">
        <f>IF(ISNUMBER(FC682),INDIRECT("SamplesX!C"&amp;FC682),IF(ISNUMBER(FD682),INDIRECT("SamplesY!C"&amp;FD682),""))</f>
        <v/>
      </c>
      <c r="D682" s="12">
        <f>IF(ISNUMBER(FC682),INDIRECT("SamplesX!D"&amp;FC682),IF(ISNUMBER(FD682),INDIRECT("SamplesY!D"&amp;FD682),""))</f>
        <v/>
      </c>
      <c r="E682" s="12">
        <f>IF(ISNUMBER(FC682),INDIRECT("SamplesX!E"&amp;FC682),IF(ISNUMBER(FD682),INDIRECT("SamplesY!E"&amp;FD682),""))</f>
        <v/>
      </c>
      <c r="F682" s="11">
        <f>IF(ISNUMBER(FC682),INDIRECT("SamplesX!F"&amp;FC682),IF(ISNUMBER(FD682),INDIRECT("SamplesY!F"&amp;FD682),""))</f>
        <v/>
      </c>
      <c r="G682" s="18">
        <f>IF(ISNUMBER(FC682),INDIRECT("SamplesX!G"&amp;FC682),IF(ISNUMBER(FD682),INDIRECT("SamplesY!G"&amp;FD682),""))</f>
        <v/>
      </c>
      <c r="H682" s="19">
        <f>IF(ISNUMBER(FC682),INDIRECT("SamplesX!H"&amp;FC682),IF(ISNUMBER(FD682),INDIRECT("SamplesY!H"&amp;FD682),""))</f>
        <v/>
      </c>
      <c r="I682" s="16" t="n"/>
      <c r="J682" s="16" t="n"/>
      <c r="K682" s="16" t="n"/>
      <c r="L682" s="20" t="n"/>
      <c r="M682" s="20" t="inlineStr">
        <is>
          <t>None</t>
        </is>
      </c>
      <c r="N682" s="17" t="n"/>
      <c r="O682" s="16" t="n"/>
      <c r="P682" s="20" t="inlineStr">
        <is>
          <t>Shimadzu TOC-L</t>
        </is>
      </c>
      <c r="Q682" s="20" t="inlineStr">
        <is>
          <t>None</t>
        </is>
      </c>
      <c r="R682" s="17" t="n"/>
      <c r="S682" s="16" t="n"/>
      <c r="T682" s="20" t="inlineStr">
        <is>
          <t>Shimadzu TOC-L</t>
        </is>
      </c>
      <c r="U682" s="20" t="inlineStr">
        <is>
          <t>None</t>
        </is>
      </c>
      <c r="V682" s="17" t="n"/>
      <c r="W682" s="16" t="n"/>
      <c r="X682" s="20" t="n"/>
      <c r="Y682" s="20" t="inlineStr">
        <is>
          <t>None</t>
        </is>
      </c>
      <c r="Z682" s="17" t="n"/>
      <c r="AA682" s="16" t="n"/>
      <c r="AB682" s="20" t="n"/>
      <c r="AC682" s="20" t="inlineStr">
        <is>
          <t>None</t>
        </is>
      </c>
      <c r="AD682" s="17" t="n"/>
      <c r="AE682" s="16" t="n"/>
      <c r="AF682" s="20" t="inlineStr">
        <is>
          <t>IC Anionen</t>
        </is>
      </c>
      <c r="AG682" s="20" t="inlineStr">
        <is>
          <t>None</t>
        </is>
      </c>
      <c r="AH682" s="17" t="n"/>
      <c r="AI682" s="16" t="n"/>
      <c r="AJ682" s="20" t="n"/>
      <c r="AK682" s="20" t="inlineStr">
        <is>
          <t>None</t>
        </is>
      </c>
      <c r="AL682" s="17" t="n"/>
      <c r="AM682" s="16" t="n"/>
      <c r="AN682" s="20" t="inlineStr">
        <is>
          <t>IC Anionen</t>
        </is>
      </c>
      <c r="AO682" s="20" t="inlineStr">
        <is>
          <t>None</t>
        </is>
      </c>
      <c r="AP682" s="17" t="n"/>
      <c r="AQ682" s="16" t="n"/>
      <c r="AR682" s="20" t="n"/>
      <c r="AS682" s="20" t="inlineStr">
        <is>
          <t>None</t>
        </is>
      </c>
      <c r="AT682" s="17" t="n"/>
      <c r="AU682" s="16" t="n"/>
      <c r="AV682" s="20" t="n"/>
      <c r="AW682" s="20" t="inlineStr">
        <is>
          <t>None</t>
        </is>
      </c>
      <c r="AX682" s="17" t="n"/>
      <c r="AY682" s="16" t="n"/>
      <c r="AZ682" s="20" t="inlineStr">
        <is>
          <t>IC Anionen</t>
        </is>
      </c>
      <c r="BA682" s="20" t="inlineStr">
        <is>
          <t>None</t>
        </is>
      </c>
      <c r="BB682" s="17" t="n"/>
      <c r="BC682" s="16" t="n"/>
      <c r="BD682" s="20" t="inlineStr">
        <is>
          <t>IC Kationen</t>
        </is>
      </c>
      <c r="BE682" s="20" t="inlineStr">
        <is>
          <t>None</t>
        </is>
      </c>
      <c r="BF682" s="17" t="n"/>
      <c r="BG682" s="16" t="n"/>
      <c r="BH682" s="20" t="inlineStr">
        <is>
          <t>IC Kationen</t>
        </is>
      </c>
      <c r="BI682" s="20" t="inlineStr">
        <is>
          <t>None</t>
        </is>
      </c>
      <c r="BJ682" s="17" t="n"/>
      <c r="BK682" s="16" t="n"/>
      <c r="BL682" s="20" t="inlineStr">
        <is>
          <t>IC Kationen</t>
        </is>
      </c>
      <c r="BM682" s="20" t="inlineStr">
        <is>
          <t>None</t>
        </is>
      </c>
      <c r="BN682" s="17" t="n"/>
      <c r="BO682" s="16" t="n"/>
      <c r="BP682" s="20" t="inlineStr">
        <is>
          <t>IC Kationen</t>
        </is>
      </c>
      <c r="BQ682" s="20" t="inlineStr">
        <is>
          <t>None</t>
        </is>
      </c>
      <c r="BR682" s="17" t="n"/>
      <c r="BS682" s="16" t="n"/>
      <c r="BT682" s="20" t="inlineStr">
        <is>
          <t>IC Kationen</t>
        </is>
      </c>
      <c r="BU682" s="20" t="inlineStr">
        <is>
          <t>None</t>
        </is>
      </c>
      <c r="BV682" s="17" t="n"/>
      <c r="BW682" s="16" t="n"/>
      <c r="BX682" s="20" t="n"/>
      <c r="BY682" s="20" t="inlineStr">
        <is>
          <t>None</t>
        </is>
      </c>
      <c r="BZ682" s="17" t="n"/>
      <c r="CA682" s="16" t="n"/>
      <c r="CB682" s="20" t="n"/>
      <c r="CC682" s="20" t="inlineStr">
        <is>
          <t>None</t>
        </is>
      </c>
      <c r="CD682" s="17" t="n"/>
      <c r="CE682" s="16" t="n"/>
      <c r="CF682" s="20" t="n"/>
      <c r="CG682" s="20" t="inlineStr">
        <is>
          <t>None</t>
        </is>
      </c>
      <c r="CH682" s="17" t="n"/>
      <c r="CI682" s="16" t="n"/>
      <c r="CJ682" s="20" t="n"/>
      <c r="CK682" s="20" t="inlineStr">
        <is>
          <t>None</t>
        </is>
      </c>
      <c r="CL682" s="17" t="n"/>
      <c r="CM682" s="16" t="n"/>
      <c r="CN682" s="20" t="inlineStr">
        <is>
          <t>SOP 45-34</t>
        </is>
      </c>
      <c r="CO682" s="20" t="inlineStr">
        <is>
          <t>None</t>
        </is>
      </c>
      <c r="CP682" s="17" t="n"/>
      <c r="CQ682" s="16" t="n"/>
      <c r="CR682" s="20" t="n"/>
      <c r="CS682" s="20" t="inlineStr">
        <is>
          <t>None</t>
        </is>
      </c>
      <c r="CT682" s="17" t="n"/>
      <c r="CU682" s="16" t="n"/>
      <c r="CV682" s="20" t="n"/>
      <c r="CW682" s="20" t="inlineStr">
        <is>
          <t>None</t>
        </is>
      </c>
      <c r="CX682" s="17" t="n"/>
      <c r="CY682" s="16" t="n"/>
      <c r="CZ682" s="20" t="inlineStr">
        <is>
          <t>WTW Multimeter 3430 with FDO 925</t>
        </is>
      </c>
      <c r="DA682" s="20" t="inlineStr">
        <is>
          <t>None</t>
        </is>
      </c>
      <c r="DB682" s="17" t="n"/>
      <c r="DC682" s="16" t="n"/>
      <c r="DD682" s="20" t="n"/>
      <c r="DE682" s="20" t="inlineStr">
        <is>
          <t>None</t>
        </is>
      </c>
      <c r="DF682" s="17" t="n"/>
      <c r="DG682" s="16" t="n"/>
      <c r="DH682" s="20" t="inlineStr">
        <is>
          <t>SOP 45-09</t>
        </is>
      </c>
      <c r="DI682" s="20" t="inlineStr">
        <is>
          <t>None</t>
        </is>
      </c>
      <c r="DJ682" s="17" t="n"/>
      <c r="DK682" s="16" t="n"/>
      <c r="DL682" s="20" t="inlineStr">
        <is>
          <t>SOP 45-09 (SOP muss noch angepasst werden für VSS)</t>
        </is>
      </c>
      <c r="DM682" s="20" t="inlineStr">
        <is>
          <t>None</t>
        </is>
      </c>
      <c r="DN682" s="17" t="n"/>
      <c r="DO682" s="16" t="n"/>
      <c r="DP682" s="20" t="inlineStr">
        <is>
          <t>IC Organic Acids</t>
        </is>
      </c>
      <c r="DQ682" s="20" t="inlineStr">
        <is>
          <t>None</t>
        </is>
      </c>
      <c r="DR682" s="17" t="n"/>
      <c r="DS682" s="16" t="n"/>
      <c r="DT682" s="20" t="inlineStr">
        <is>
          <t>IC Organic Acids</t>
        </is>
      </c>
      <c r="DU682" s="20" t="inlineStr">
        <is>
          <t>None</t>
        </is>
      </c>
      <c r="DV682" s="17" t="n"/>
      <c r="DW682" s="16" t="n"/>
      <c r="DX682" s="20" t="inlineStr">
        <is>
          <t>IC Organic Acids</t>
        </is>
      </c>
      <c r="DY682" s="20" t="inlineStr">
        <is>
          <t>None</t>
        </is>
      </c>
      <c r="DZ682" s="17" t="n"/>
      <c r="EA682" s="16" t="n"/>
      <c r="EB682" s="20" t="inlineStr">
        <is>
          <t>IC Organic Acids</t>
        </is>
      </c>
      <c r="EC682" s="20" t="inlineStr">
        <is>
          <t>None</t>
        </is>
      </c>
      <c r="ED682" s="17" t="n"/>
      <c r="EE682" s="16" t="n"/>
      <c r="EF682" s="20" t="inlineStr">
        <is>
          <t>IC Organic Acids</t>
        </is>
      </c>
      <c r="EG682" s="20" t="inlineStr">
        <is>
          <t>None</t>
        </is>
      </c>
      <c r="EH682" s="17" t="n"/>
      <c r="EI682" s="16" t="n"/>
      <c r="EJ682" s="20" t="inlineStr">
        <is>
          <t>IC Organic Acids</t>
        </is>
      </c>
      <c r="EK682" s="20" t="inlineStr">
        <is>
          <t>None</t>
        </is>
      </c>
      <c r="EL682" s="17" t="n"/>
      <c r="EM682" s="16" t="n"/>
      <c r="EN682" s="20" t="inlineStr">
        <is>
          <t>IC Organic Acids</t>
        </is>
      </c>
      <c r="EO682" s="20" t="inlineStr">
        <is>
          <t>None</t>
        </is>
      </c>
      <c r="EP682" s="17" t="n"/>
      <c r="EQ682" s="16" t="n"/>
      <c r="ER682" s="20" t="inlineStr">
        <is>
          <t>IC Organic Acids</t>
        </is>
      </c>
      <c r="ES682" s="20" t="inlineStr">
        <is>
          <t>None</t>
        </is>
      </c>
      <c r="ET682" s="17" t="n"/>
      <c r="EU682" s="16" t="n"/>
      <c r="EV682" s="20" t="inlineStr">
        <is>
          <t>LC-MS</t>
        </is>
      </c>
      <c r="EW682" s="20" t="inlineStr">
        <is>
          <t>None</t>
        </is>
      </c>
      <c r="EX682" s="17" t="n"/>
      <c r="EY682" s="21" t="n"/>
      <c r="EZ682">
        <f>CONCATENATE(A682,B682)</f>
        <v/>
      </c>
      <c r="FA682">
        <f>CONCATENATE(SamplesX!A682,SamplesX!B682)</f>
        <v/>
      </c>
      <c r="FC682">
        <f>MATCH(EZ682,FA1:FA1008,0)</f>
        <v/>
      </c>
    </row>
    <row r="683">
      <c r="A683" s="16" t="n"/>
      <c r="B683" s="17" t="n"/>
      <c r="C683" s="10">
        <f>IF(ISNUMBER(FC683),INDIRECT("SamplesX!C"&amp;FC683),IF(ISNUMBER(FD683),INDIRECT("SamplesY!C"&amp;FD683),""))</f>
        <v/>
      </c>
      <c r="D683" s="12">
        <f>IF(ISNUMBER(FC683),INDIRECT("SamplesX!D"&amp;FC683),IF(ISNUMBER(FD683),INDIRECT("SamplesY!D"&amp;FD683),""))</f>
        <v/>
      </c>
      <c r="E683" s="12">
        <f>IF(ISNUMBER(FC683),INDIRECT("SamplesX!E"&amp;FC683),IF(ISNUMBER(FD683),INDIRECT("SamplesY!E"&amp;FD683),""))</f>
        <v/>
      </c>
      <c r="F683" s="11">
        <f>IF(ISNUMBER(FC683),INDIRECT("SamplesX!F"&amp;FC683),IF(ISNUMBER(FD683),INDIRECT("SamplesY!F"&amp;FD683),""))</f>
        <v/>
      </c>
      <c r="G683" s="18">
        <f>IF(ISNUMBER(FC683),INDIRECT("SamplesX!G"&amp;FC683),IF(ISNUMBER(FD683),INDIRECT("SamplesY!G"&amp;FD683),""))</f>
        <v/>
      </c>
      <c r="H683" s="19">
        <f>IF(ISNUMBER(FC683),INDIRECT("SamplesX!H"&amp;FC683),IF(ISNUMBER(FD683),INDIRECT("SamplesY!H"&amp;FD683),""))</f>
        <v/>
      </c>
      <c r="I683" s="16" t="n"/>
      <c r="J683" s="16" t="n"/>
      <c r="K683" s="16" t="n"/>
      <c r="L683" s="20" t="n"/>
      <c r="M683" s="20" t="inlineStr">
        <is>
          <t>None</t>
        </is>
      </c>
      <c r="N683" s="17" t="n"/>
      <c r="O683" s="16" t="n"/>
      <c r="P683" s="20" t="inlineStr">
        <is>
          <t>Shimadzu TOC-L</t>
        </is>
      </c>
      <c r="Q683" s="20" t="inlineStr">
        <is>
          <t>None</t>
        </is>
      </c>
      <c r="R683" s="17" t="n"/>
      <c r="S683" s="16" t="n"/>
      <c r="T683" s="20" t="inlineStr">
        <is>
          <t>Shimadzu TOC-L</t>
        </is>
      </c>
      <c r="U683" s="20" t="inlineStr">
        <is>
          <t>None</t>
        </is>
      </c>
      <c r="V683" s="17" t="n"/>
      <c r="W683" s="16" t="n"/>
      <c r="X683" s="20" t="n"/>
      <c r="Y683" s="20" t="inlineStr">
        <is>
          <t>None</t>
        </is>
      </c>
      <c r="Z683" s="17" t="n"/>
      <c r="AA683" s="16" t="n"/>
      <c r="AB683" s="20" t="n"/>
      <c r="AC683" s="20" t="inlineStr">
        <is>
          <t>None</t>
        </is>
      </c>
      <c r="AD683" s="17" t="n"/>
      <c r="AE683" s="16" t="n"/>
      <c r="AF683" s="20" t="inlineStr">
        <is>
          <t>IC Anionen</t>
        </is>
      </c>
      <c r="AG683" s="20" t="inlineStr">
        <is>
          <t>None</t>
        </is>
      </c>
      <c r="AH683" s="17" t="n"/>
      <c r="AI683" s="16" t="n"/>
      <c r="AJ683" s="20" t="n"/>
      <c r="AK683" s="20" t="inlineStr">
        <is>
          <t>None</t>
        </is>
      </c>
      <c r="AL683" s="17" t="n"/>
      <c r="AM683" s="16" t="n"/>
      <c r="AN683" s="20" t="inlineStr">
        <is>
          <t>IC Anionen</t>
        </is>
      </c>
      <c r="AO683" s="20" t="inlineStr">
        <is>
          <t>None</t>
        </is>
      </c>
      <c r="AP683" s="17" t="n"/>
      <c r="AQ683" s="16" t="n"/>
      <c r="AR683" s="20" t="n"/>
      <c r="AS683" s="20" t="inlineStr">
        <is>
          <t>None</t>
        </is>
      </c>
      <c r="AT683" s="17" t="n"/>
      <c r="AU683" s="16" t="n"/>
      <c r="AV683" s="20" t="n"/>
      <c r="AW683" s="20" t="inlineStr">
        <is>
          <t>None</t>
        </is>
      </c>
      <c r="AX683" s="17" t="n"/>
      <c r="AY683" s="16" t="n"/>
      <c r="AZ683" s="20" t="inlineStr">
        <is>
          <t>IC Anionen</t>
        </is>
      </c>
      <c r="BA683" s="20" t="inlineStr">
        <is>
          <t>None</t>
        </is>
      </c>
      <c r="BB683" s="17" t="n"/>
      <c r="BC683" s="16" t="n"/>
      <c r="BD683" s="20" t="inlineStr">
        <is>
          <t>IC Kationen</t>
        </is>
      </c>
      <c r="BE683" s="20" t="inlineStr">
        <is>
          <t>None</t>
        </is>
      </c>
      <c r="BF683" s="17" t="n"/>
      <c r="BG683" s="16" t="n"/>
      <c r="BH683" s="20" t="inlineStr">
        <is>
          <t>IC Kationen</t>
        </is>
      </c>
      <c r="BI683" s="20" t="inlineStr">
        <is>
          <t>None</t>
        </is>
      </c>
      <c r="BJ683" s="17" t="n"/>
      <c r="BK683" s="16" t="n"/>
      <c r="BL683" s="20" t="inlineStr">
        <is>
          <t>IC Kationen</t>
        </is>
      </c>
      <c r="BM683" s="20" t="inlineStr">
        <is>
          <t>None</t>
        </is>
      </c>
      <c r="BN683" s="17" t="n"/>
      <c r="BO683" s="16" t="n"/>
      <c r="BP683" s="20" t="inlineStr">
        <is>
          <t>IC Kationen</t>
        </is>
      </c>
      <c r="BQ683" s="20" t="inlineStr">
        <is>
          <t>None</t>
        </is>
      </c>
      <c r="BR683" s="17" t="n"/>
      <c r="BS683" s="16" t="n"/>
      <c r="BT683" s="20" t="inlineStr">
        <is>
          <t>IC Kationen</t>
        </is>
      </c>
      <c r="BU683" s="20" t="inlineStr">
        <is>
          <t>None</t>
        </is>
      </c>
      <c r="BV683" s="17" t="n"/>
      <c r="BW683" s="16" t="n"/>
      <c r="BX683" s="20" t="n"/>
      <c r="BY683" s="20" t="inlineStr">
        <is>
          <t>None</t>
        </is>
      </c>
      <c r="BZ683" s="17" t="n"/>
      <c r="CA683" s="16" t="n"/>
      <c r="CB683" s="20" t="n"/>
      <c r="CC683" s="20" t="inlineStr">
        <is>
          <t>None</t>
        </is>
      </c>
      <c r="CD683" s="17" t="n"/>
      <c r="CE683" s="16" t="n"/>
      <c r="CF683" s="20" t="n"/>
      <c r="CG683" s="20" t="inlineStr">
        <is>
          <t>None</t>
        </is>
      </c>
      <c r="CH683" s="17" t="n"/>
      <c r="CI683" s="16" t="n"/>
      <c r="CJ683" s="20" t="n"/>
      <c r="CK683" s="20" t="inlineStr">
        <is>
          <t>None</t>
        </is>
      </c>
      <c r="CL683" s="17" t="n"/>
      <c r="CM683" s="16" t="n"/>
      <c r="CN683" s="20" t="inlineStr">
        <is>
          <t>SOP 45-34</t>
        </is>
      </c>
      <c r="CO683" s="20" t="inlineStr">
        <is>
          <t>None</t>
        </is>
      </c>
      <c r="CP683" s="17" t="n"/>
      <c r="CQ683" s="16" t="n"/>
      <c r="CR683" s="20" t="n"/>
      <c r="CS683" s="20" t="inlineStr">
        <is>
          <t>None</t>
        </is>
      </c>
      <c r="CT683" s="17" t="n"/>
      <c r="CU683" s="16" t="n"/>
      <c r="CV683" s="20" t="n"/>
      <c r="CW683" s="20" t="inlineStr">
        <is>
          <t>None</t>
        </is>
      </c>
      <c r="CX683" s="17" t="n"/>
      <c r="CY683" s="16" t="n"/>
      <c r="CZ683" s="20" t="inlineStr">
        <is>
          <t>WTW Multimeter 3430 with FDO 925</t>
        </is>
      </c>
      <c r="DA683" s="20" t="inlineStr">
        <is>
          <t>None</t>
        </is>
      </c>
      <c r="DB683" s="17" t="n"/>
      <c r="DC683" s="16" t="n"/>
      <c r="DD683" s="20" t="n"/>
      <c r="DE683" s="20" t="inlineStr">
        <is>
          <t>None</t>
        </is>
      </c>
      <c r="DF683" s="17" t="n"/>
      <c r="DG683" s="16" t="n"/>
      <c r="DH683" s="20" t="inlineStr">
        <is>
          <t>SOP 45-09</t>
        </is>
      </c>
      <c r="DI683" s="20" t="inlineStr">
        <is>
          <t>None</t>
        </is>
      </c>
      <c r="DJ683" s="17" t="n"/>
      <c r="DK683" s="16" t="n"/>
      <c r="DL683" s="20" t="inlineStr">
        <is>
          <t>SOP 45-09 (SOP muss noch angepasst werden für VSS)</t>
        </is>
      </c>
      <c r="DM683" s="20" t="inlineStr">
        <is>
          <t>None</t>
        </is>
      </c>
      <c r="DN683" s="17" t="n"/>
      <c r="DO683" s="16" t="n"/>
      <c r="DP683" s="20" t="inlineStr">
        <is>
          <t>IC Organic Acids</t>
        </is>
      </c>
      <c r="DQ683" s="20" t="inlineStr">
        <is>
          <t>None</t>
        </is>
      </c>
      <c r="DR683" s="17" t="n"/>
      <c r="DS683" s="16" t="n"/>
      <c r="DT683" s="20" t="inlineStr">
        <is>
          <t>IC Organic Acids</t>
        </is>
      </c>
      <c r="DU683" s="20" t="inlineStr">
        <is>
          <t>None</t>
        </is>
      </c>
      <c r="DV683" s="17" t="n"/>
      <c r="DW683" s="16" t="n"/>
      <c r="DX683" s="20" t="inlineStr">
        <is>
          <t>IC Organic Acids</t>
        </is>
      </c>
      <c r="DY683" s="20" t="inlineStr">
        <is>
          <t>None</t>
        </is>
      </c>
      <c r="DZ683" s="17" t="n"/>
      <c r="EA683" s="16" t="n"/>
      <c r="EB683" s="20" t="inlineStr">
        <is>
          <t>IC Organic Acids</t>
        </is>
      </c>
      <c r="EC683" s="20" t="inlineStr">
        <is>
          <t>None</t>
        </is>
      </c>
      <c r="ED683" s="17" t="n"/>
      <c r="EE683" s="16" t="n"/>
      <c r="EF683" s="20" t="inlineStr">
        <is>
          <t>IC Organic Acids</t>
        </is>
      </c>
      <c r="EG683" s="20" t="inlineStr">
        <is>
          <t>None</t>
        </is>
      </c>
      <c r="EH683" s="17" t="n"/>
      <c r="EI683" s="16" t="n"/>
      <c r="EJ683" s="20" t="inlineStr">
        <is>
          <t>IC Organic Acids</t>
        </is>
      </c>
      <c r="EK683" s="20" t="inlineStr">
        <is>
          <t>None</t>
        </is>
      </c>
      <c r="EL683" s="17" t="n"/>
      <c r="EM683" s="16" t="n"/>
      <c r="EN683" s="20" t="inlineStr">
        <is>
          <t>IC Organic Acids</t>
        </is>
      </c>
      <c r="EO683" s="20" t="inlineStr">
        <is>
          <t>None</t>
        </is>
      </c>
      <c r="EP683" s="17" t="n"/>
      <c r="EQ683" s="16" t="n"/>
      <c r="ER683" s="20" t="inlineStr">
        <is>
          <t>IC Organic Acids</t>
        </is>
      </c>
      <c r="ES683" s="20" t="inlineStr">
        <is>
          <t>None</t>
        </is>
      </c>
      <c r="ET683" s="17" t="n"/>
      <c r="EU683" s="16" t="n"/>
      <c r="EV683" s="20" t="inlineStr">
        <is>
          <t>LC-MS</t>
        </is>
      </c>
      <c r="EW683" s="20" t="inlineStr">
        <is>
          <t>None</t>
        </is>
      </c>
      <c r="EX683" s="17" t="n"/>
      <c r="EY683" s="21" t="n"/>
      <c r="EZ683">
        <f>CONCATENATE(A683,B683)</f>
        <v/>
      </c>
      <c r="FA683">
        <f>CONCATENATE(SamplesX!A683,SamplesX!B683)</f>
        <v/>
      </c>
      <c r="FC683">
        <f>MATCH(EZ683,FA1:FA1008,0)</f>
        <v/>
      </c>
    </row>
    <row r="684">
      <c r="A684" s="16" t="n"/>
      <c r="B684" s="17" t="n"/>
      <c r="C684" s="10">
        <f>IF(ISNUMBER(FC684),INDIRECT("SamplesX!C"&amp;FC684),IF(ISNUMBER(FD684),INDIRECT("SamplesY!C"&amp;FD684),""))</f>
        <v/>
      </c>
      <c r="D684" s="12">
        <f>IF(ISNUMBER(FC684),INDIRECT("SamplesX!D"&amp;FC684),IF(ISNUMBER(FD684),INDIRECT("SamplesY!D"&amp;FD684),""))</f>
        <v/>
      </c>
      <c r="E684" s="12">
        <f>IF(ISNUMBER(FC684),INDIRECT("SamplesX!E"&amp;FC684),IF(ISNUMBER(FD684),INDIRECT("SamplesY!E"&amp;FD684),""))</f>
        <v/>
      </c>
      <c r="F684" s="11">
        <f>IF(ISNUMBER(FC684),INDIRECT("SamplesX!F"&amp;FC684),IF(ISNUMBER(FD684),INDIRECT("SamplesY!F"&amp;FD684),""))</f>
        <v/>
      </c>
      <c r="G684" s="18">
        <f>IF(ISNUMBER(FC684),INDIRECT("SamplesX!G"&amp;FC684),IF(ISNUMBER(FD684),INDIRECT("SamplesY!G"&amp;FD684),""))</f>
        <v/>
      </c>
      <c r="H684" s="19">
        <f>IF(ISNUMBER(FC684),INDIRECT("SamplesX!H"&amp;FC684),IF(ISNUMBER(FD684),INDIRECT("SamplesY!H"&amp;FD684),""))</f>
        <v/>
      </c>
      <c r="I684" s="16" t="n"/>
      <c r="J684" s="16" t="n"/>
      <c r="K684" s="16" t="n"/>
      <c r="L684" s="20" t="n"/>
      <c r="M684" s="20" t="inlineStr">
        <is>
          <t>None</t>
        </is>
      </c>
      <c r="N684" s="17" t="n"/>
      <c r="O684" s="16" t="n"/>
      <c r="P684" s="20" t="inlineStr">
        <is>
          <t>Shimadzu TOC-L</t>
        </is>
      </c>
      <c r="Q684" s="20" t="inlineStr">
        <is>
          <t>None</t>
        </is>
      </c>
      <c r="R684" s="17" t="n"/>
      <c r="S684" s="16" t="n"/>
      <c r="T684" s="20" t="inlineStr">
        <is>
          <t>Shimadzu TOC-L</t>
        </is>
      </c>
      <c r="U684" s="20" t="inlineStr">
        <is>
          <t>None</t>
        </is>
      </c>
      <c r="V684" s="17" t="n"/>
      <c r="W684" s="16" t="n"/>
      <c r="X684" s="20" t="n"/>
      <c r="Y684" s="20" t="inlineStr">
        <is>
          <t>None</t>
        </is>
      </c>
      <c r="Z684" s="17" t="n"/>
      <c r="AA684" s="16" t="n"/>
      <c r="AB684" s="20" t="n"/>
      <c r="AC684" s="20" t="inlineStr">
        <is>
          <t>None</t>
        </is>
      </c>
      <c r="AD684" s="17" t="n"/>
      <c r="AE684" s="16" t="n"/>
      <c r="AF684" s="20" t="inlineStr">
        <is>
          <t>IC Anionen</t>
        </is>
      </c>
      <c r="AG684" s="20" t="inlineStr">
        <is>
          <t>None</t>
        </is>
      </c>
      <c r="AH684" s="17" t="n"/>
      <c r="AI684" s="16" t="n"/>
      <c r="AJ684" s="20" t="n"/>
      <c r="AK684" s="20" t="inlineStr">
        <is>
          <t>None</t>
        </is>
      </c>
      <c r="AL684" s="17" t="n"/>
      <c r="AM684" s="16" t="n"/>
      <c r="AN684" s="20" t="inlineStr">
        <is>
          <t>IC Anionen</t>
        </is>
      </c>
      <c r="AO684" s="20" t="inlineStr">
        <is>
          <t>None</t>
        </is>
      </c>
      <c r="AP684" s="17" t="n"/>
      <c r="AQ684" s="16" t="n"/>
      <c r="AR684" s="20" t="n"/>
      <c r="AS684" s="20" t="inlineStr">
        <is>
          <t>None</t>
        </is>
      </c>
      <c r="AT684" s="17" t="n"/>
      <c r="AU684" s="16" t="n"/>
      <c r="AV684" s="20" t="n"/>
      <c r="AW684" s="20" t="inlineStr">
        <is>
          <t>None</t>
        </is>
      </c>
      <c r="AX684" s="17" t="n"/>
      <c r="AY684" s="16" t="n"/>
      <c r="AZ684" s="20" t="inlineStr">
        <is>
          <t>IC Anionen</t>
        </is>
      </c>
      <c r="BA684" s="20" t="inlineStr">
        <is>
          <t>None</t>
        </is>
      </c>
      <c r="BB684" s="17" t="n"/>
      <c r="BC684" s="16" t="n"/>
      <c r="BD684" s="20" t="inlineStr">
        <is>
          <t>IC Kationen</t>
        </is>
      </c>
      <c r="BE684" s="20" t="inlineStr">
        <is>
          <t>None</t>
        </is>
      </c>
      <c r="BF684" s="17" t="n"/>
      <c r="BG684" s="16" t="n"/>
      <c r="BH684" s="20" t="inlineStr">
        <is>
          <t>IC Kationen</t>
        </is>
      </c>
      <c r="BI684" s="20" t="inlineStr">
        <is>
          <t>None</t>
        </is>
      </c>
      <c r="BJ684" s="17" t="n"/>
      <c r="BK684" s="16" t="n"/>
      <c r="BL684" s="20" t="inlineStr">
        <is>
          <t>IC Kationen</t>
        </is>
      </c>
      <c r="BM684" s="20" t="inlineStr">
        <is>
          <t>None</t>
        </is>
      </c>
      <c r="BN684" s="17" t="n"/>
      <c r="BO684" s="16" t="n"/>
      <c r="BP684" s="20" t="inlineStr">
        <is>
          <t>IC Kationen</t>
        </is>
      </c>
      <c r="BQ684" s="20" t="inlineStr">
        <is>
          <t>None</t>
        </is>
      </c>
      <c r="BR684" s="17" t="n"/>
      <c r="BS684" s="16" t="n"/>
      <c r="BT684" s="20" t="inlineStr">
        <is>
          <t>IC Kationen</t>
        </is>
      </c>
      <c r="BU684" s="20" t="inlineStr">
        <is>
          <t>None</t>
        </is>
      </c>
      <c r="BV684" s="17" t="n"/>
      <c r="BW684" s="16" t="n"/>
      <c r="BX684" s="20" t="n"/>
      <c r="BY684" s="20" t="inlineStr">
        <is>
          <t>None</t>
        </is>
      </c>
      <c r="BZ684" s="17" t="n"/>
      <c r="CA684" s="16" t="n"/>
      <c r="CB684" s="20" t="n"/>
      <c r="CC684" s="20" t="inlineStr">
        <is>
          <t>None</t>
        </is>
      </c>
      <c r="CD684" s="17" t="n"/>
      <c r="CE684" s="16" t="n"/>
      <c r="CF684" s="20" t="n"/>
      <c r="CG684" s="20" t="inlineStr">
        <is>
          <t>None</t>
        </is>
      </c>
      <c r="CH684" s="17" t="n"/>
      <c r="CI684" s="16" t="n"/>
      <c r="CJ684" s="20" t="n"/>
      <c r="CK684" s="20" t="inlineStr">
        <is>
          <t>None</t>
        </is>
      </c>
      <c r="CL684" s="17" t="n"/>
      <c r="CM684" s="16" t="n"/>
      <c r="CN684" s="20" t="inlineStr">
        <is>
          <t>SOP 45-34</t>
        </is>
      </c>
      <c r="CO684" s="20" t="inlineStr">
        <is>
          <t>None</t>
        </is>
      </c>
      <c r="CP684" s="17" t="n"/>
      <c r="CQ684" s="16" t="n"/>
      <c r="CR684" s="20" t="n"/>
      <c r="CS684" s="20" t="inlineStr">
        <is>
          <t>None</t>
        </is>
      </c>
      <c r="CT684" s="17" t="n"/>
      <c r="CU684" s="16" t="n"/>
      <c r="CV684" s="20" t="n"/>
      <c r="CW684" s="20" t="inlineStr">
        <is>
          <t>None</t>
        </is>
      </c>
      <c r="CX684" s="17" t="n"/>
      <c r="CY684" s="16" t="n"/>
      <c r="CZ684" s="20" t="inlineStr">
        <is>
          <t>WTW Multimeter 3430 with FDO 925</t>
        </is>
      </c>
      <c r="DA684" s="20" t="inlineStr">
        <is>
          <t>None</t>
        </is>
      </c>
      <c r="DB684" s="17" t="n"/>
      <c r="DC684" s="16" t="n"/>
      <c r="DD684" s="20" t="n"/>
      <c r="DE684" s="20" t="inlineStr">
        <is>
          <t>None</t>
        </is>
      </c>
      <c r="DF684" s="17" t="n"/>
      <c r="DG684" s="16" t="n"/>
      <c r="DH684" s="20" t="inlineStr">
        <is>
          <t>SOP 45-09</t>
        </is>
      </c>
      <c r="DI684" s="20" t="inlineStr">
        <is>
          <t>None</t>
        </is>
      </c>
      <c r="DJ684" s="17" t="n"/>
      <c r="DK684" s="16" t="n"/>
      <c r="DL684" s="20" t="inlineStr">
        <is>
          <t>SOP 45-09 (SOP muss noch angepasst werden für VSS)</t>
        </is>
      </c>
      <c r="DM684" s="20" t="inlineStr">
        <is>
          <t>None</t>
        </is>
      </c>
      <c r="DN684" s="17" t="n"/>
      <c r="DO684" s="16" t="n"/>
      <c r="DP684" s="20" t="inlineStr">
        <is>
          <t>IC Organic Acids</t>
        </is>
      </c>
      <c r="DQ684" s="20" t="inlineStr">
        <is>
          <t>None</t>
        </is>
      </c>
      <c r="DR684" s="17" t="n"/>
      <c r="DS684" s="16" t="n"/>
      <c r="DT684" s="20" t="inlineStr">
        <is>
          <t>IC Organic Acids</t>
        </is>
      </c>
      <c r="DU684" s="20" t="inlineStr">
        <is>
          <t>None</t>
        </is>
      </c>
      <c r="DV684" s="17" t="n"/>
      <c r="DW684" s="16" t="n"/>
      <c r="DX684" s="20" t="inlineStr">
        <is>
          <t>IC Organic Acids</t>
        </is>
      </c>
      <c r="DY684" s="20" t="inlineStr">
        <is>
          <t>None</t>
        </is>
      </c>
      <c r="DZ684" s="17" t="n"/>
      <c r="EA684" s="16" t="n"/>
      <c r="EB684" s="20" t="inlineStr">
        <is>
          <t>IC Organic Acids</t>
        </is>
      </c>
      <c r="EC684" s="20" t="inlineStr">
        <is>
          <t>None</t>
        </is>
      </c>
      <c r="ED684" s="17" t="n"/>
      <c r="EE684" s="16" t="n"/>
      <c r="EF684" s="20" t="inlineStr">
        <is>
          <t>IC Organic Acids</t>
        </is>
      </c>
      <c r="EG684" s="20" t="inlineStr">
        <is>
          <t>None</t>
        </is>
      </c>
      <c r="EH684" s="17" t="n"/>
      <c r="EI684" s="16" t="n"/>
      <c r="EJ684" s="20" t="inlineStr">
        <is>
          <t>IC Organic Acids</t>
        </is>
      </c>
      <c r="EK684" s="20" t="inlineStr">
        <is>
          <t>None</t>
        </is>
      </c>
      <c r="EL684" s="17" t="n"/>
      <c r="EM684" s="16" t="n"/>
      <c r="EN684" s="20" t="inlineStr">
        <is>
          <t>IC Organic Acids</t>
        </is>
      </c>
      <c r="EO684" s="20" t="inlineStr">
        <is>
          <t>None</t>
        </is>
      </c>
      <c r="EP684" s="17" t="n"/>
      <c r="EQ684" s="16" t="n"/>
      <c r="ER684" s="20" t="inlineStr">
        <is>
          <t>IC Organic Acids</t>
        </is>
      </c>
      <c r="ES684" s="20" t="inlineStr">
        <is>
          <t>None</t>
        </is>
      </c>
      <c r="ET684" s="17" t="n"/>
      <c r="EU684" s="16" t="n"/>
      <c r="EV684" s="20" t="inlineStr">
        <is>
          <t>LC-MS</t>
        </is>
      </c>
      <c r="EW684" s="20" t="inlineStr">
        <is>
          <t>None</t>
        </is>
      </c>
      <c r="EX684" s="17" t="n"/>
      <c r="EY684" s="21" t="n"/>
      <c r="EZ684">
        <f>CONCATENATE(A684,B684)</f>
        <v/>
      </c>
      <c r="FA684">
        <f>CONCATENATE(SamplesX!A684,SamplesX!B684)</f>
        <v/>
      </c>
      <c r="FC684">
        <f>MATCH(EZ684,FA1:FA1008,0)</f>
        <v/>
      </c>
    </row>
    <row r="685">
      <c r="A685" s="16" t="n"/>
      <c r="B685" s="17" t="n"/>
      <c r="C685" s="10">
        <f>IF(ISNUMBER(FC685),INDIRECT("SamplesX!C"&amp;FC685),IF(ISNUMBER(FD685),INDIRECT("SamplesY!C"&amp;FD685),""))</f>
        <v/>
      </c>
      <c r="D685" s="12">
        <f>IF(ISNUMBER(FC685),INDIRECT("SamplesX!D"&amp;FC685),IF(ISNUMBER(FD685),INDIRECT("SamplesY!D"&amp;FD685),""))</f>
        <v/>
      </c>
      <c r="E685" s="12">
        <f>IF(ISNUMBER(FC685),INDIRECT("SamplesX!E"&amp;FC685),IF(ISNUMBER(FD685),INDIRECT("SamplesY!E"&amp;FD685),""))</f>
        <v/>
      </c>
      <c r="F685" s="11">
        <f>IF(ISNUMBER(FC685),INDIRECT("SamplesX!F"&amp;FC685),IF(ISNUMBER(FD685),INDIRECT("SamplesY!F"&amp;FD685),""))</f>
        <v/>
      </c>
      <c r="G685" s="18">
        <f>IF(ISNUMBER(FC685),INDIRECT("SamplesX!G"&amp;FC685),IF(ISNUMBER(FD685),INDIRECT("SamplesY!G"&amp;FD685),""))</f>
        <v/>
      </c>
      <c r="H685" s="19">
        <f>IF(ISNUMBER(FC685),INDIRECT("SamplesX!H"&amp;FC685),IF(ISNUMBER(FD685),INDIRECT("SamplesY!H"&amp;FD685),""))</f>
        <v/>
      </c>
      <c r="I685" s="16" t="n"/>
      <c r="J685" s="16" t="n"/>
      <c r="K685" s="16" t="n"/>
      <c r="L685" s="20" t="n"/>
      <c r="M685" s="20" t="inlineStr">
        <is>
          <t>None</t>
        </is>
      </c>
      <c r="N685" s="17" t="n"/>
      <c r="O685" s="16" t="n"/>
      <c r="P685" s="20" t="inlineStr">
        <is>
          <t>Shimadzu TOC-L</t>
        </is>
      </c>
      <c r="Q685" s="20" t="inlineStr">
        <is>
          <t>None</t>
        </is>
      </c>
      <c r="R685" s="17" t="n"/>
      <c r="S685" s="16" t="n"/>
      <c r="T685" s="20" t="inlineStr">
        <is>
          <t>Shimadzu TOC-L</t>
        </is>
      </c>
      <c r="U685" s="20" t="inlineStr">
        <is>
          <t>None</t>
        </is>
      </c>
      <c r="V685" s="17" t="n"/>
      <c r="W685" s="16" t="n"/>
      <c r="X685" s="20" t="n"/>
      <c r="Y685" s="20" t="inlineStr">
        <is>
          <t>None</t>
        </is>
      </c>
      <c r="Z685" s="17" t="n"/>
      <c r="AA685" s="16" t="n"/>
      <c r="AB685" s="20" t="n"/>
      <c r="AC685" s="20" t="inlineStr">
        <is>
          <t>None</t>
        </is>
      </c>
      <c r="AD685" s="17" t="n"/>
      <c r="AE685" s="16" t="n"/>
      <c r="AF685" s="20" t="inlineStr">
        <is>
          <t>IC Anionen</t>
        </is>
      </c>
      <c r="AG685" s="20" t="inlineStr">
        <is>
          <t>None</t>
        </is>
      </c>
      <c r="AH685" s="17" t="n"/>
      <c r="AI685" s="16" t="n"/>
      <c r="AJ685" s="20" t="n"/>
      <c r="AK685" s="20" t="inlineStr">
        <is>
          <t>None</t>
        </is>
      </c>
      <c r="AL685" s="17" t="n"/>
      <c r="AM685" s="16" t="n"/>
      <c r="AN685" s="20" t="inlineStr">
        <is>
          <t>IC Anionen</t>
        </is>
      </c>
      <c r="AO685" s="20" t="inlineStr">
        <is>
          <t>None</t>
        </is>
      </c>
      <c r="AP685" s="17" t="n"/>
      <c r="AQ685" s="16" t="n"/>
      <c r="AR685" s="20" t="n"/>
      <c r="AS685" s="20" t="inlineStr">
        <is>
          <t>None</t>
        </is>
      </c>
      <c r="AT685" s="17" t="n"/>
      <c r="AU685" s="16" t="n"/>
      <c r="AV685" s="20" t="n"/>
      <c r="AW685" s="20" t="inlineStr">
        <is>
          <t>None</t>
        </is>
      </c>
      <c r="AX685" s="17" t="n"/>
      <c r="AY685" s="16" t="n"/>
      <c r="AZ685" s="20" t="inlineStr">
        <is>
          <t>IC Anionen</t>
        </is>
      </c>
      <c r="BA685" s="20" t="inlineStr">
        <is>
          <t>None</t>
        </is>
      </c>
      <c r="BB685" s="17" t="n"/>
      <c r="BC685" s="16" t="n"/>
      <c r="BD685" s="20" t="inlineStr">
        <is>
          <t>IC Kationen</t>
        </is>
      </c>
      <c r="BE685" s="20" t="inlineStr">
        <is>
          <t>None</t>
        </is>
      </c>
      <c r="BF685" s="17" t="n"/>
      <c r="BG685" s="16" t="n"/>
      <c r="BH685" s="20" t="inlineStr">
        <is>
          <t>IC Kationen</t>
        </is>
      </c>
      <c r="BI685" s="20" t="inlineStr">
        <is>
          <t>None</t>
        </is>
      </c>
      <c r="BJ685" s="17" t="n"/>
      <c r="BK685" s="16" t="n"/>
      <c r="BL685" s="20" t="inlineStr">
        <is>
          <t>IC Kationen</t>
        </is>
      </c>
      <c r="BM685" s="20" t="inlineStr">
        <is>
          <t>None</t>
        </is>
      </c>
      <c r="BN685" s="17" t="n"/>
      <c r="BO685" s="16" t="n"/>
      <c r="BP685" s="20" t="inlineStr">
        <is>
          <t>IC Kationen</t>
        </is>
      </c>
      <c r="BQ685" s="20" t="inlineStr">
        <is>
          <t>None</t>
        </is>
      </c>
      <c r="BR685" s="17" t="n"/>
      <c r="BS685" s="16" t="n"/>
      <c r="BT685" s="20" t="inlineStr">
        <is>
          <t>IC Kationen</t>
        </is>
      </c>
      <c r="BU685" s="20" t="inlineStr">
        <is>
          <t>None</t>
        </is>
      </c>
      <c r="BV685" s="17" t="n"/>
      <c r="BW685" s="16" t="n"/>
      <c r="BX685" s="20" t="n"/>
      <c r="BY685" s="20" t="inlineStr">
        <is>
          <t>None</t>
        </is>
      </c>
      <c r="BZ685" s="17" t="n"/>
      <c r="CA685" s="16" t="n"/>
      <c r="CB685" s="20" t="n"/>
      <c r="CC685" s="20" t="inlineStr">
        <is>
          <t>None</t>
        </is>
      </c>
      <c r="CD685" s="17" t="n"/>
      <c r="CE685" s="16" t="n"/>
      <c r="CF685" s="20" t="n"/>
      <c r="CG685" s="20" t="inlineStr">
        <is>
          <t>None</t>
        </is>
      </c>
      <c r="CH685" s="17" t="n"/>
      <c r="CI685" s="16" t="n"/>
      <c r="CJ685" s="20" t="n"/>
      <c r="CK685" s="20" t="inlineStr">
        <is>
          <t>None</t>
        </is>
      </c>
      <c r="CL685" s="17" t="n"/>
      <c r="CM685" s="16" t="n"/>
      <c r="CN685" s="20" t="inlineStr">
        <is>
          <t>SOP 45-34</t>
        </is>
      </c>
      <c r="CO685" s="20" t="inlineStr">
        <is>
          <t>None</t>
        </is>
      </c>
      <c r="CP685" s="17" t="n"/>
      <c r="CQ685" s="16" t="n"/>
      <c r="CR685" s="20" t="n"/>
      <c r="CS685" s="20" t="inlineStr">
        <is>
          <t>None</t>
        </is>
      </c>
      <c r="CT685" s="17" t="n"/>
      <c r="CU685" s="16" t="n"/>
      <c r="CV685" s="20" t="n"/>
      <c r="CW685" s="20" t="inlineStr">
        <is>
          <t>None</t>
        </is>
      </c>
      <c r="CX685" s="17" t="n"/>
      <c r="CY685" s="16" t="n"/>
      <c r="CZ685" s="20" t="inlineStr">
        <is>
          <t>WTW Multimeter 3430 with FDO 925</t>
        </is>
      </c>
      <c r="DA685" s="20" t="inlineStr">
        <is>
          <t>None</t>
        </is>
      </c>
      <c r="DB685" s="17" t="n"/>
      <c r="DC685" s="16" t="n"/>
      <c r="DD685" s="20" t="n"/>
      <c r="DE685" s="20" t="inlineStr">
        <is>
          <t>None</t>
        </is>
      </c>
      <c r="DF685" s="17" t="n"/>
      <c r="DG685" s="16" t="n"/>
      <c r="DH685" s="20" t="inlineStr">
        <is>
          <t>SOP 45-09</t>
        </is>
      </c>
      <c r="DI685" s="20" t="inlineStr">
        <is>
          <t>None</t>
        </is>
      </c>
      <c r="DJ685" s="17" t="n"/>
      <c r="DK685" s="16" t="n"/>
      <c r="DL685" s="20" t="inlineStr">
        <is>
          <t>SOP 45-09 (SOP muss noch angepasst werden für VSS)</t>
        </is>
      </c>
      <c r="DM685" s="20" t="inlineStr">
        <is>
          <t>None</t>
        </is>
      </c>
      <c r="DN685" s="17" t="n"/>
      <c r="DO685" s="16" t="n"/>
      <c r="DP685" s="20" t="inlineStr">
        <is>
          <t>IC Organic Acids</t>
        </is>
      </c>
      <c r="DQ685" s="20" t="inlineStr">
        <is>
          <t>None</t>
        </is>
      </c>
      <c r="DR685" s="17" t="n"/>
      <c r="DS685" s="16" t="n"/>
      <c r="DT685" s="20" t="inlineStr">
        <is>
          <t>IC Organic Acids</t>
        </is>
      </c>
      <c r="DU685" s="20" t="inlineStr">
        <is>
          <t>None</t>
        </is>
      </c>
      <c r="DV685" s="17" t="n"/>
      <c r="DW685" s="16" t="n"/>
      <c r="DX685" s="20" t="inlineStr">
        <is>
          <t>IC Organic Acids</t>
        </is>
      </c>
      <c r="DY685" s="20" t="inlineStr">
        <is>
          <t>None</t>
        </is>
      </c>
      <c r="DZ685" s="17" t="n"/>
      <c r="EA685" s="16" t="n"/>
      <c r="EB685" s="20" t="inlineStr">
        <is>
          <t>IC Organic Acids</t>
        </is>
      </c>
      <c r="EC685" s="20" t="inlineStr">
        <is>
          <t>None</t>
        </is>
      </c>
      <c r="ED685" s="17" t="n"/>
      <c r="EE685" s="16" t="n"/>
      <c r="EF685" s="20" t="inlineStr">
        <is>
          <t>IC Organic Acids</t>
        </is>
      </c>
      <c r="EG685" s="20" t="inlineStr">
        <is>
          <t>None</t>
        </is>
      </c>
      <c r="EH685" s="17" t="n"/>
      <c r="EI685" s="16" t="n"/>
      <c r="EJ685" s="20" t="inlineStr">
        <is>
          <t>IC Organic Acids</t>
        </is>
      </c>
      <c r="EK685" s="20" t="inlineStr">
        <is>
          <t>None</t>
        </is>
      </c>
      <c r="EL685" s="17" t="n"/>
      <c r="EM685" s="16" t="n"/>
      <c r="EN685" s="20" t="inlineStr">
        <is>
          <t>IC Organic Acids</t>
        </is>
      </c>
      <c r="EO685" s="20" t="inlineStr">
        <is>
          <t>None</t>
        </is>
      </c>
      <c r="EP685" s="17" t="n"/>
      <c r="EQ685" s="16" t="n"/>
      <c r="ER685" s="20" t="inlineStr">
        <is>
          <t>IC Organic Acids</t>
        </is>
      </c>
      <c r="ES685" s="20" t="inlineStr">
        <is>
          <t>None</t>
        </is>
      </c>
      <c r="ET685" s="17" t="n"/>
      <c r="EU685" s="16" t="n"/>
      <c r="EV685" s="20" t="inlineStr">
        <is>
          <t>LC-MS</t>
        </is>
      </c>
      <c r="EW685" s="20" t="inlineStr">
        <is>
          <t>None</t>
        </is>
      </c>
      <c r="EX685" s="17" t="n"/>
      <c r="EY685" s="21" t="n"/>
      <c r="EZ685">
        <f>CONCATENATE(A685,B685)</f>
        <v/>
      </c>
      <c r="FA685">
        <f>CONCATENATE(SamplesX!A685,SamplesX!B685)</f>
        <v/>
      </c>
      <c r="FC685">
        <f>MATCH(EZ685,FA1:FA1008,0)</f>
        <v/>
      </c>
    </row>
    <row r="686">
      <c r="A686" s="16" t="n"/>
      <c r="B686" s="17" t="n"/>
      <c r="C686" s="10">
        <f>IF(ISNUMBER(FC686),INDIRECT("SamplesX!C"&amp;FC686),IF(ISNUMBER(FD686),INDIRECT("SamplesY!C"&amp;FD686),""))</f>
        <v/>
      </c>
      <c r="D686" s="12">
        <f>IF(ISNUMBER(FC686),INDIRECT("SamplesX!D"&amp;FC686),IF(ISNUMBER(FD686),INDIRECT("SamplesY!D"&amp;FD686),""))</f>
        <v/>
      </c>
      <c r="E686" s="12">
        <f>IF(ISNUMBER(FC686),INDIRECT("SamplesX!E"&amp;FC686),IF(ISNUMBER(FD686),INDIRECT("SamplesY!E"&amp;FD686),""))</f>
        <v/>
      </c>
      <c r="F686" s="11">
        <f>IF(ISNUMBER(FC686),INDIRECT("SamplesX!F"&amp;FC686),IF(ISNUMBER(FD686),INDIRECT("SamplesY!F"&amp;FD686),""))</f>
        <v/>
      </c>
      <c r="G686" s="18">
        <f>IF(ISNUMBER(FC686),INDIRECT("SamplesX!G"&amp;FC686),IF(ISNUMBER(FD686),INDIRECT("SamplesY!G"&amp;FD686),""))</f>
        <v/>
      </c>
      <c r="H686" s="19">
        <f>IF(ISNUMBER(FC686),INDIRECT("SamplesX!H"&amp;FC686),IF(ISNUMBER(FD686),INDIRECT("SamplesY!H"&amp;FD686),""))</f>
        <v/>
      </c>
      <c r="I686" s="16" t="n"/>
      <c r="J686" s="16" t="n"/>
      <c r="K686" s="16" t="n"/>
      <c r="L686" s="20" t="n"/>
      <c r="M686" s="20" t="inlineStr">
        <is>
          <t>None</t>
        </is>
      </c>
      <c r="N686" s="17" t="n"/>
      <c r="O686" s="16" t="n"/>
      <c r="P686" s="20" t="inlineStr">
        <is>
          <t>Shimadzu TOC-L</t>
        </is>
      </c>
      <c r="Q686" s="20" t="inlineStr">
        <is>
          <t>None</t>
        </is>
      </c>
      <c r="R686" s="17" t="n"/>
      <c r="S686" s="16" t="n"/>
      <c r="T686" s="20" t="inlineStr">
        <is>
          <t>Shimadzu TOC-L</t>
        </is>
      </c>
      <c r="U686" s="20" t="inlineStr">
        <is>
          <t>None</t>
        </is>
      </c>
      <c r="V686" s="17" t="n"/>
      <c r="W686" s="16" t="n"/>
      <c r="X686" s="20" t="n"/>
      <c r="Y686" s="20" t="inlineStr">
        <is>
          <t>None</t>
        </is>
      </c>
      <c r="Z686" s="17" t="n"/>
      <c r="AA686" s="16" t="n"/>
      <c r="AB686" s="20" t="n"/>
      <c r="AC686" s="20" t="inlineStr">
        <is>
          <t>None</t>
        </is>
      </c>
      <c r="AD686" s="17" t="n"/>
      <c r="AE686" s="16" t="n"/>
      <c r="AF686" s="20" t="inlineStr">
        <is>
          <t>IC Anionen</t>
        </is>
      </c>
      <c r="AG686" s="20" t="inlineStr">
        <is>
          <t>None</t>
        </is>
      </c>
      <c r="AH686" s="17" t="n"/>
      <c r="AI686" s="16" t="n"/>
      <c r="AJ686" s="20" t="n"/>
      <c r="AK686" s="20" t="inlineStr">
        <is>
          <t>None</t>
        </is>
      </c>
      <c r="AL686" s="17" t="n"/>
      <c r="AM686" s="16" t="n"/>
      <c r="AN686" s="20" t="inlineStr">
        <is>
          <t>IC Anionen</t>
        </is>
      </c>
      <c r="AO686" s="20" t="inlineStr">
        <is>
          <t>None</t>
        </is>
      </c>
      <c r="AP686" s="17" t="n"/>
      <c r="AQ686" s="16" t="n"/>
      <c r="AR686" s="20" t="n"/>
      <c r="AS686" s="20" t="inlineStr">
        <is>
          <t>None</t>
        </is>
      </c>
      <c r="AT686" s="17" t="n"/>
      <c r="AU686" s="16" t="n"/>
      <c r="AV686" s="20" t="n"/>
      <c r="AW686" s="20" t="inlineStr">
        <is>
          <t>None</t>
        </is>
      </c>
      <c r="AX686" s="17" t="n"/>
      <c r="AY686" s="16" t="n"/>
      <c r="AZ686" s="20" t="inlineStr">
        <is>
          <t>IC Anionen</t>
        </is>
      </c>
      <c r="BA686" s="20" t="inlineStr">
        <is>
          <t>None</t>
        </is>
      </c>
      <c r="BB686" s="17" t="n"/>
      <c r="BC686" s="16" t="n"/>
      <c r="BD686" s="20" t="inlineStr">
        <is>
          <t>IC Kationen</t>
        </is>
      </c>
      <c r="BE686" s="20" t="inlineStr">
        <is>
          <t>None</t>
        </is>
      </c>
      <c r="BF686" s="17" t="n"/>
      <c r="BG686" s="16" t="n"/>
      <c r="BH686" s="20" t="inlineStr">
        <is>
          <t>IC Kationen</t>
        </is>
      </c>
      <c r="BI686" s="20" t="inlineStr">
        <is>
          <t>None</t>
        </is>
      </c>
      <c r="BJ686" s="17" t="n"/>
      <c r="BK686" s="16" t="n"/>
      <c r="BL686" s="20" t="inlineStr">
        <is>
          <t>IC Kationen</t>
        </is>
      </c>
      <c r="BM686" s="20" t="inlineStr">
        <is>
          <t>None</t>
        </is>
      </c>
      <c r="BN686" s="17" t="n"/>
      <c r="BO686" s="16" t="n"/>
      <c r="BP686" s="20" t="inlineStr">
        <is>
          <t>IC Kationen</t>
        </is>
      </c>
      <c r="BQ686" s="20" t="inlineStr">
        <is>
          <t>None</t>
        </is>
      </c>
      <c r="BR686" s="17" t="n"/>
      <c r="BS686" s="16" t="n"/>
      <c r="BT686" s="20" t="inlineStr">
        <is>
          <t>IC Kationen</t>
        </is>
      </c>
      <c r="BU686" s="20" t="inlineStr">
        <is>
          <t>None</t>
        </is>
      </c>
      <c r="BV686" s="17" t="n"/>
      <c r="BW686" s="16" t="n"/>
      <c r="BX686" s="20" t="n"/>
      <c r="BY686" s="20" t="inlineStr">
        <is>
          <t>None</t>
        </is>
      </c>
      <c r="BZ686" s="17" t="n"/>
      <c r="CA686" s="16" t="n"/>
      <c r="CB686" s="20" t="n"/>
      <c r="CC686" s="20" t="inlineStr">
        <is>
          <t>None</t>
        </is>
      </c>
      <c r="CD686" s="17" t="n"/>
      <c r="CE686" s="16" t="n"/>
      <c r="CF686" s="20" t="n"/>
      <c r="CG686" s="20" t="inlineStr">
        <is>
          <t>None</t>
        </is>
      </c>
      <c r="CH686" s="17" t="n"/>
      <c r="CI686" s="16" t="n"/>
      <c r="CJ686" s="20" t="n"/>
      <c r="CK686" s="20" t="inlineStr">
        <is>
          <t>None</t>
        </is>
      </c>
      <c r="CL686" s="17" t="n"/>
      <c r="CM686" s="16" t="n"/>
      <c r="CN686" s="20" t="inlineStr">
        <is>
          <t>SOP 45-34</t>
        </is>
      </c>
      <c r="CO686" s="20" t="inlineStr">
        <is>
          <t>None</t>
        </is>
      </c>
      <c r="CP686" s="17" t="n"/>
      <c r="CQ686" s="16" t="n"/>
      <c r="CR686" s="20" t="n"/>
      <c r="CS686" s="20" t="inlineStr">
        <is>
          <t>None</t>
        </is>
      </c>
      <c r="CT686" s="17" t="n"/>
      <c r="CU686" s="16" t="n"/>
      <c r="CV686" s="20" t="n"/>
      <c r="CW686" s="20" t="inlineStr">
        <is>
          <t>None</t>
        </is>
      </c>
      <c r="CX686" s="17" t="n"/>
      <c r="CY686" s="16" t="n"/>
      <c r="CZ686" s="20" t="inlineStr">
        <is>
          <t>WTW Multimeter 3430 with FDO 925</t>
        </is>
      </c>
      <c r="DA686" s="20" t="inlineStr">
        <is>
          <t>None</t>
        </is>
      </c>
      <c r="DB686" s="17" t="n"/>
      <c r="DC686" s="16" t="n"/>
      <c r="DD686" s="20" t="n"/>
      <c r="DE686" s="20" t="inlineStr">
        <is>
          <t>None</t>
        </is>
      </c>
      <c r="DF686" s="17" t="n"/>
      <c r="DG686" s="16" t="n"/>
      <c r="DH686" s="20" t="inlineStr">
        <is>
          <t>SOP 45-09</t>
        </is>
      </c>
      <c r="DI686" s="20" t="inlineStr">
        <is>
          <t>None</t>
        </is>
      </c>
      <c r="DJ686" s="17" t="n"/>
      <c r="DK686" s="16" t="n"/>
      <c r="DL686" s="20" t="inlineStr">
        <is>
          <t>SOP 45-09 (SOP muss noch angepasst werden für VSS)</t>
        </is>
      </c>
      <c r="DM686" s="20" t="inlineStr">
        <is>
          <t>None</t>
        </is>
      </c>
      <c r="DN686" s="17" t="n"/>
      <c r="DO686" s="16" t="n"/>
      <c r="DP686" s="20" t="inlineStr">
        <is>
          <t>IC Organic Acids</t>
        </is>
      </c>
      <c r="DQ686" s="20" t="inlineStr">
        <is>
          <t>None</t>
        </is>
      </c>
      <c r="DR686" s="17" t="n"/>
      <c r="DS686" s="16" t="n"/>
      <c r="DT686" s="20" t="inlineStr">
        <is>
          <t>IC Organic Acids</t>
        </is>
      </c>
      <c r="DU686" s="20" t="inlineStr">
        <is>
          <t>None</t>
        </is>
      </c>
      <c r="DV686" s="17" t="n"/>
      <c r="DW686" s="16" t="n"/>
      <c r="DX686" s="20" t="inlineStr">
        <is>
          <t>IC Organic Acids</t>
        </is>
      </c>
      <c r="DY686" s="20" t="inlineStr">
        <is>
          <t>None</t>
        </is>
      </c>
      <c r="DZ686" s="17" t="n"/>
      <c r="EA686" s="16" t="n"/>
      <c r="EB686" s="20" t="inlineStr">
        <is>
          <t>IC Organic Acids</t>
        </is>
      </c>
      <c r="EC686" s="20" t="inlineStr">
        <is>
          <t>None</t>
        </is>
      </c>
      <c r="ED686" s="17" t="n"/>
      <c r="EE686" s="16" t="n"/>
      <c r="EF686" s="20" t="inlineStr">
        <is>
          <t>IC Organic Acids</t>
        </is>
      </c>
      <c r="EG686" s="20" t="inlineStr">
        <is>
          <t>None</t>
        </is>
      </c>
      <c r="EH686" s="17" t="n"/>
      <c r="EI686" s="16" t="n"/>
      <c r="EJ686" s="20" t="inlineStr">
        <is>
          <t>IC Organic Acids</t>
        </is>
      </c>
      <c r="EK686" s="20" t="inlineStr">
        <is>
          <t>None</t>
        </is>
      </c>
      <c r="EL686" s="17" t="n"/>
      <c r="EM686" s="16" t="n"/>
      <c r="EN686" s="20" t="inlineStr">
        <is>
          <t>IC Organic Acids</t>
        </is>
      </c>
      <c r="EO686" s="20" t="inlineStr">
        <is>
          <t>None</t>
        </is>
      </c>
      <c r="EP686" s="17" t="n"/>
      <c r="EQ686" s="16" t="n"/>
      <c r="ER686" s="20" t="inlineStr">
        <is>
          <t>IC Organic Acids</t>
        </is>
      </c>
      <c r="ES686" s="20" t="inlineStr">
        <is>
          <t>None</t>
        </is>
      </c>
      <c r="ET686" s="17" t="n"/>
      <c r="EU686" s="16" t="n"/>
      <c r="EV686" s="20" t="inlineStr">
        <is>
          <t>LC-MS</t>
        </is>
      </c>
      <c r="EW686" s="20" t="inlineStr">
        <is>
          <t>None</t>
        </is>
      </c>
      <c r="EX686" s="17" t="n"/>
      <c r="EY686" s="21" t="n"/>
      <c r="EZ686">
        <f>CONCATENATE(A686,B686)</f>
        <v/>
      </c>
      <c r="FA686">
        <f>CONCATENATE(SamplesX!A686,SamplesX!B686)</f>
        <v/>
      </c>
      <c r="FC686">
        <f>MATCH(EZ686,FA1:FA1008,0)</f>
        <v/>
      </c>
    </row>
    <row r="687">
      <c r="A687" s="16" t="n"/>
      <c r="B687" s="17" t="n"/>
      <c r="C687" s="10">
        <f>IF(ISNUMBER(FC687),INDIRECT("SamplesX!C"&amp;FC687),IF(ISNUMBER(FD687),INDIRECT("SamplesY!C"&amp;FD687),""))</f>
        <v/>
      </c>
      <c r="D687" s="12">
        <f>IF(ISNUMBER(FC687),INDIRECT("SamplesX!D"&amp;FC687),IF(ISNUMBER(FD687),INDIRECT("SamplesY!D"&amp;FD687),""))</f>
        <v/>
      </c>
      <c r="E687" s="12">
        <f>IF(ISNUMBER(FC687),INDIRECT("SamplesX!E"&amp;FC687),IF(ISNUMBER(FD687),INDIRECT("SamplesY!E"&amp;FD687),""))</f>
        <v/>
      </c>
      <c r="F687" s="11">
        <f>IF(ISNUMBER(FC687),INDIRECT("SamplesX!F"&amp;FC687),IF(ISNUMBER(FD687),INDIRECT("SamplesY!F"&amp;FD687),""))</f>
        <v/>
      </c>
      <c r="G687" s="18">
        <f>IF(ISNUMBER(FC687),INDIRECT("SamplesX!G"&amp;FC687),IF(ISNUMBER(FD687),INDIRECT("SamplesY!G"&amp;FD687),""))</f>
        <v/>
      </c>
      <c r="H687" s="19">
        <f>IF(ISNUMBER(FC687),INDIRECT("SamplesX!H"&amp;FC687),IF(ISNUMBER(FD687),INDIRECT("SamplesY!H"&amp;FD687),""))</f>
        <v/>
      </c>
      <c r="I687" s="16" t="n"/>
      <c r="J687" s="16" t="n"/>
      <c r="K687" s="16" t="n"/>
      <c r="L687" s="20" t="n"/>
      <c r="M687" s="20" t="inlineStr">
        <is>
          <t>None</t>
        </is>
      </c>
      <c r="N687" s="17" t="n"/>
      <c r="O687" s="16" t="n"/>
      <c r="P687" s="20" t="inlineStr">
        <is>
          <t>Shimadzu TOC-L</t>
        </is>
      </c>
      <c r="Q687" s="20" t="inlineStr">
        <is>
          <t>None</t>
        </is>
      </c>
      <c r="R687" s="17" t="n"/>
      <c r="S687" s="16" t="n"/>
      <c r="T687" s="20" t="inlineStr">
        <is>
          <t>Shimadzu TOC-L</t>
        </is>
      </c>
      <c r="U687" s="20" t="inlineStr">
        <is>
          <t>None</t>
        </is>
      </c>
      <c r="V687" s="17" t="n"/>
      <c r="W687" s="16" t="n"/>
      <c r="X687" s="20" t="n"/>
      <c r="Y687" s="20" t="inlineStr">
        <is>
          <t>None</t>
        </is>
      </c>
      <c r="Z687" s="17" t="n"/>
      <c r="AA687" s="16" t="n"/>
      <c r="AB687" s="20" t="n"/>
      <c r="AC687" s="20" t="inlineStr">
        <is>
          <t>None</t>
        </is>
      </c>
      <c r="AD687" s="17" t="n"/>
      <c r="AE687" s="16" t="n"/>
      <c r="AF687" s="20" t="inlineStr">
        <is>
          <t>IC Anionen</t>
        </is>
      </c>
      <c r="AG687" s="20" t="inlineStr">
        <is>
          <t>None</t>
        </is>
      </c>
      <c r="AH687" s="17" t="n"/>
      <c r="AI687" s="16" t="n"/>
      <c r="AJ687" s="20" t="n"/>
      <c r="AK687" s="20" t="inlineStr">
        <is>
          <t>None</t>
        </is>
      </c>
      <c r="AL687" s="17" t="n"/>
      <c r="AM687" s="16" t="n"/>
      <c r="AN687" s="20" t="inlineStr">
        <is>
          <t>IC Anionen</t>
        </is>
      </c>
      <c r="AO687" s="20" t="inlineStr">
        <is>
          <t>None</t>
        </is>
      </c>
      <c r="AP687" s="17" t="n"/>
      <c r="AQ687" s="16" t="n"/>
      <c r="AR687" s="20" t="n"/>
      <c r="AS687" s="20" t="inlineStr">
        <is>
          <t>None</t>
        </is>
      </c>
      <c r="AT687" s="17" t="n"/>
      <c r="AU687" s="16" t="n"/>
      <c r="AV687" s="20" t="n"/>
      <c r="AW687" s="20" t="inlineStr">
        <is>
          <t>None</t>
        </is>
      </c>
      <c r="AX687" s="17" t="n"/>
      <c r="AY687" s="16" t="n"/>
      <c r="AZ687" s="20" t="inlineStr">
        <is>
          <t>IC Anionen</t>
        </is>
      </c>
      <c r="BA687" s="20" t="inlineStr">
        <is>
          <t>None</t>
        </is>
      </c>
      <c r="BB687" s="17" t="n"/>
      <c r="BC687" s="16" t="n"/>
      <c r="BD687" s="20" t="inlineStr">
        <is>
          <t>IC Kationen</t>
        </is>
      </c>
      <c r="BE687" s="20" t="inlineStr">
        <is>
          <t>None</t>
        </is>
      </c>
      <c r="BF687" s="17" t="n"/>
      <c r="BG687" s="16" t="n"/>
      <c r="BH687" s="20" t="inlineStr">
        <is>
          <t>IC Kationen</t>
        </is>
      </c>
      <c r="BI687" s="20" t="inlineStr">
        <is>
          <t>None</t>
        </is>
      </c>
      <c r="BJ687" s="17" t="n"/>
      <c r="BK687" s="16" t="n"/>
      <c r="BL687" s="20" t="inlineStr">
        <is>
          <t>IC Kationen</t>
        </is>
      </c>
      <c r="BM687" s="20" t="inlineStr">
        <is>
          <t>None</t>
        </is>
      </c>
      <c r="BN687" s="17" t="n"/>
      <c r="BO687" s="16" t="n"/>
      <c r="BP687" s="20" t="inlineStr">
        <is>
          <t>IC Kationen</t>
        </is>
      </c>
      <c r="BQ687" s="20" t="inlineStr">
        <is>
          <t>None</t>
        </is>
      </c>
      <c r="BR687" s="17" t="n"/>
      <c r="BS687" s="16" t="n"/>
      <c r="BT687" s="20" t="inlineStr">
        <is>
          <t>IC Kationen</t>
        </is>
      </c>
      <c r="BU687" s="20" t="inlineStr">
        <is>
          <t>None</t>
        </is>
      </c>
      <c r="BV687" s="17" t="n"/>
      <c r="BW687" s="16" t="n"/>
      <c r="BX687" s="20" t="n"/>
      <c r="BY687" s="20" t="inlineStr">
        <is>
          <t>None</t>
        </is>
      </c>
      <c r="BZ687" s="17" t="n"/>
      <c r="CA687" s="16" t="n"/>
      <c r="CB687" s="20" t="n"/>
      <c r="CC687" s="20" t="inlineStr">
        <is>
          <t>None</t>
        </is>
      </c>
      <c r="CD687" s="17" t="n"/>
      <c r="CE687" s="16" t="n"/>
      <c r="CF687" s="20" t="n"/>
      <c r="CG687" s="20" t="inlineStr">
        <is>
          <t>None</t>
        </is>
      </c>
      <c r="CH687" s="17" t="n"/>
      <c r="CI687" s="16" t="n"/>
      <c r="CJ687" s="20" t="n"/>
      <c r="CK687" s="20" t="inlineStr">
        <is>
          <t>None</t>
        </is>
      </c>
      <c r="CL687" s="17" t="n"/>
      <c r="CM687" s="16" t="n"/>
      <c r="CN687" s="20" t="inlineStr">
        <is>
          <t>SOP 45-34</t>
        </is>
      </c>
      <c r="CO687" s="20" t="inlineStr">
        <is>
          <t>None</t>
        </is>
      </c>
      <c r="CP687" s="17" t="n"/>
      <c r="CQ687" s="16" t="n"/>
      <c r="CR687" s="20" t="n"/>
      <c r="CS687" s="20" t="inlineStr">
        <is>
          <t>None</t>
        </is>
      </c>
      <c r="CT687" s="17" t="n"/>
      <c r="CU687" s="16" t="n"/>
      <c r="CV687" s="20" t="n"/>
      <c r="CW687" s="20" t="inlineStr">
        <is>
          <t>None</t>
        </is>
      </c>
      <c r="CX687" s="17" t="n"/>
      <c r="CY687" s="16" t="n"/>
      <c r="CZ687" s="20" t="inlineStr">
        <is>
          <t>WTW Multimeter 3430 with FDO 925</t>
        </is>
      </c>
      <c r="DA687" s="20" t="inlineStr">
        <is>
          <t>None</t>
        </is>
      </c>
      <c r="DB687" s="17" t="n"/>
      <c r="DC687" s="16" t="n"/>
      <c r="DD687" s="20" t="n"/>
      <c r="DE687" s="20" t="inlineStr">
        <is>
          <t>None</t>
        </is>
      </c>
      <c r="DF687" s="17" t="n"/>
      <c r="DG687" s="16" t="n"/>
      <c r="DH687" s="20" t="inlineStr">
        <is>
          <t>SOP 45-09</t>
        </is>
      </c>
      <c r="DI687" s="20" t="inlineStr">
        <is>
          <t>None</t>
        </is>
      </c>
      <c r="DJ687" s="17" t="n"/>
      <c r="DK687" s="16" t="n"/>
      <c r="DL687" s="20" t="inlineStr">
        <is>
          <t>SOP 45-09 (SOP muss noch angepasst werden für VSS)</t>
        </is>
      </c>
      <c r="DM687" s="20" t="inlineStr">
        <is>
          <t>None</t>
        </is>
      </c>
      <c r="DN687" s="17" t="n"/>
      <c r="DO687" s="16" t="n"/>
      <c r="DP687" s="20" t="inlineStr">
        <is>
          <t>IC Organic Acids</t>
        </is>
      </c>
      <c r="DQ687" s="20" t="inlineStr">
        <is>
          <t>None</t>
        </is>
      </c>
      <c r="DR687" s="17" t="n"/>
      <c r="DS687" s="16" t="n"/>
      <c r="DT687" s="20" t="inlineStr">
        <is>
          <t>IC Organic Acids</t>
        </is>
      </c>
      <c r="DU687" s="20" t="inlineStr">
        <is>
          <t>None</t>
        </is>
      </c>
      <c r="DV687" s="17" t="n"/>
      <c r="DW687" s="16" t="n"/>
      <c r="DX687" s="20" t="inlineStr">
        <is>
          <t>IC Organic Acids</t>
        </is>
      </c>
      <c r="DY687" s="20" t="inlineStr">
        <is>
          <t>None</t>
        </is>
      </c>
      <c r="DZ687" s="17" t="n"/>
      <c r="EA687" s="16" t="n"/>
      <c r="EB687" s="20" t="inlineStr">
        <is>
          <t>IC Organic Acids</t>
        </is>
      </c>
      <c r="EC687" s="20" t="inlineStr">
        <is>
          <t>None</t>
        </is>
      </c>
      <c r="ED687" s="17" t="n"/>
      <c r="EE687" s="16" t="n"/>
      <c r="EF687" s="20" t="inlineStr">
        <is>
          <t>IC Organic Acids</t>
        </is>
      </c>
      <c r="EG687" s="20" t="inlineStr">
        <is>
          <t>None</t>
        </is>
      </c>
      <c r="EH687" s="17" t="n"/>
      <c r="EI687" s="16" t="n"/>
      <c r="EJ687" s="20" t="inlineStr">
        <is>
          <t>IC Organic Acids</t>
        </is>
      </c>
      <c r="EK687" s="20" t="inlineStr">
        <is>
          <t>None</t>
        </is>
      </c>
      <c r="EL687" s="17" t="n"/>
      <c r="EM687" s="16" t="n"/>
      <c r="EN687" s="20" t="inlineStr">
        <is>
          <t>IC Organic Acids</t>
        </is>
      </c>
      <c r="EO687" s="20" t="inlineStr">
        <is>
          <t>None</t>
        </is>
      </c>
      <c r="EP687" s="17" t="n"/>
      <c r="EQ687" s="16" t="n"/>
      <c r="ER687" s="20" t="inlineStr">
        <is>
          <t>IC Organic Acids</t>
        </is>
      </c>
      <c r="ES687" s="20" t="inlineStr">
        <is>
          <t>None</t>
        </is>
      </c>
      <c r="ET687" s="17" t="n"/>
      <c r="EU687" s="16" t="n"/>
      <c r="EV687" s="20" t="inlineStr">
        <is>
          <t>LC-MS</t>
        </is>
      </c>
      <c r="EW687" s="20" t="inlineStr">
        <is>
          <t>None</t>
        </is>
      </c>
      <c r="EX687" s="17" t="n"/>
      <c r="EY687" s="21" t="n"/>
      <c r="EZ687">
        <f>CONCATENATE(A687,B687)</f>
        <v/>
      </c>
      <c r="FA687">
        <f>CONCATENATE(SamplesX!A687,SamplesX!B687)</f>
        <v/>
      </c>
      <c r="FC687">
        <f>MATCH(EZ687,FA1:FA1008,0)</f>
        <v/>
      </c>
    </row>
    <row r="688">
      <c r="A688" s="16" t="n"/>
      <c r="B688" s="17" t="n"/>
      <c r="C688" s="10">
        <f>IF(ISNUMBER(FC688),INDIRECT("SamplesX!C"&amp;FC688),IF(ISNUMBER(FD688),INDIRECT("SamplesY!C"&amp;FD688),""))</f>
        <v/>
      </c>
      <c r="D688" s="12">
        <f>IF(ISNUMBER(FC688),INDIRECT("SamplesX!D"&amp;FC688),IF(ISNUMBER(FD688),INDIRECT("SamplesY!D"&amp;FD688),""))</f>
        <v/>
      </c>
      <c r="E688" s="12">
        <f>IF(ISNUMBER(FC688),INDIRECT("SamplesX!E"&amp;FC688),IF(ISNUMBER(FD688),INDIRECT("SamplesY!E"&amp;FD688),""))</f>
        <v/>
      </c>
      <c r="F688" s="11">
        <f>IF(ISNUMBER(FC688),INDIRECT("SamplesX!F"&amp;FC688),IF(ISNUMBER(FD688),INDIRECT("SamplesY!F"&amp;FD688),""))</f>
        <v/>
      </c>
      <c r="G688" s="18">
        <f>IF(ISNUMBER(FC688),INDIRECT("SamplesX!G"&amp;FC688),IF(ISNUMBER(FD688),INDIRECT("SamplesY!G"&amp;FD688),""))</f>
        <v/>
      </c>
      <c r="H688" s="19">
        <f>IF(ISNUMBER(FC688),INDIRECT("SamplesX!H"&amp;FC688),IF(ISNUMBER(FD688),INDIRECT("SamplesY!H"&amp;FD688),""))</f>
        <v/>
      </c>
      <c r="I688" s="16" t="n"/>
      <c r="J688" s="16" t="n"/>
      <c r="K688" s="16" t="n"/>
      <c r="L688" s="20" t="n"/>
      <c r="M688" s="20" t="inlineStr">
        <is>
          <t>None</t>
        </is>
      </c>
      <c r="N688" s="17" t="n"/>
      <c r="O688" s="16" t="n"/>
      <c r="P688" s="20" t="inlineStr">
        <is>
          <t>Shimadzu TOC-L</t>
        </is>
      </c>
      <c r="Q688" s="20" t="inlineStr">
        <is>
          <t>None</t>
        </is>
      </c>
      <c r="R688" s="17" t="n"/>
      <c r="S688" s="16" t="n"/>
      <c r="T688" s="20" t="inlineStr">
        <is>
          <t>Shimadzu TOC-L</t>
        </is>
      </c>
      <c r="U688" s="20" t="inlineStr">
        <is>
          <t>None</t>
        </is>
      </c>
      <c r="V688" s="17" t="n"/>
      <c r="W688" s="16" t="n"/>
      <c r="X688" s="20" t="n"/>
      <c r="Y688" s="20" t="inlineStr">
        <is>
          <t>None</t>
        </is>
      </c>
      <c r="Z688" s="17" t="n"/>
      <c r="AA688" s="16" t="n"/>
      <c r="AB688" s="20" t="n"/>
      <c r="AC688" s="20" t="inlineStr">
        <is>
          <t>None</t>
        </is>
      </c>
      <c r="AD688" s="17" t="n"/>
      <c r="AE688" s="16" t="n"/>
      <c r="AF688" s="20" t="inlineStr">
        <is>
          <t>IC Anionen</t>
        </is>
      </c>
      <c r="AG688" s="20" t="inlineStr">
        <is>
          <t>None</t>
        </is>
      </c>
      <c r="AH688" s="17" t="n"/>
      <c r="AI688" s="16" t="n"/>
      <c r="AJ688" s="20" t="n"/>
      <c r="AK688" s="20" t="inlineStr">
        <is>
          <t>None</t>
        </is>
      </c>
      <c r="AL688" s="17" t="n"/>
      <c r="AM688" s="16" t="n"/>
      <c r="AN688" s="20" t="inlineStr">
        <is>
          <t>IC Anionen</t>
        </is>
      </c>
      <c r="AO688" s="20" t="inlineStr">
        <is>
          <t>None</t>
        </is>
      </c>
      <c r="AP688" s="17" t="n"/>
      <c r="AQ688" s="16" t="n"/>
      <c r="AR688" s="20" t="n"/>
      <c r="AS688" s="20" t="inlineStr">
        <is>
          <t>None</t>
        </is>
      </c>
      <c r="AT688" s="17" t="n"/>
      <c r="AU688" s="16" t="n"/>
      <c r="AV688" s="20" t="n"/>
      <c r="AW688" s="20" t="inlineStr">
        <is>
          <t>None</t>
        </is>
      </c>
      <c r="AX688" s="17" t="n"/>
      <c r="AY688" s="16" t="n"/>
      <c r="AZ688" s="20" t="inlineStr">
        <is>
          <t>IC Anionen</t>
        </is>
      </c>
      <c r="BA688" s="20" t="inlineStr">
        <is>
          <t>None</t>
        </is>
      </c>
      <c r="BB688" s="17" t="n"/>
      <c r="BC688" s="16" t="n"/>
      <c r="BD688" s="20" t="inlineStr">
        <is>
          <t>IC Kationen</t>
        </is>
      </c>
      <c r="BE688" s="20" t="inlineStr">
        <is>
          <t>None</t>
        </is>
      </c>
      <c r="BF688" s="17" t="n"/>
      <c r="BG688" s="16" t="n"/>
      <c r="BH688" s="20" t="inlineStr">
        <is>
          <t>IC Kationen</t>
        </is>
      </c>
      <c r="BI688" s="20" t="inlineStr">
        <is>
          <t>None</t>
        </is>
      </c>
      <c r="BJ688" s="17" t="n"/>
      <c r="BK688" s="16" t="n"/>
      <c r="BL688" s="20" t="inlineStr">
        <is>
          <t>IC Kationen</t>
        </is>
      </c>
      <c r="BM688" s="20" t="inlineStr">
        <is>
          <t>None</t>
        </is>
      </c>
      <c r="BN688" s="17" t="n"/>
      <c r="BO688" s="16" t="n"/>
      <c r="BP688" s="20" t="inlineStr">
        <is>
          <t>IC Kationen</t>
        </is>
      </c>
      <c r="BQ688" s="20" t="inlineStr">
        <is>
          <t>None</t>
        </is>
      </c>
      <c r="BR688" s="17" t="n"/>
      <c r="BS688" s="16" t="n"/>
      <c r="BT688" s="20" t="inlineStr">
        <is>
          <t>IC Kationen</t>
        </is>
      </c>
      <c r="BU688" s="20" t="inlineStr">
        <is>
          <t>None</t>
        </is>
      </c>
      <c r="BV688" s="17" t="n"/>
      <c r="BW688" s="16" t="n"/>
      <c r="BX688" s="20" t="n"/>
      <c r="BY688" s="20" t="inlineStr">
        <is>
          <t>None</t>
        </is>
      </c>
      <c r="BZ688" s="17" t="n"/>
      <c r="CA688" s="16" t="n"/>
      <c r="CB688" s="20" t="n"/>
      <c r="CC688" s="20" t="inlineStr">
        <is>
          <t>None</t>
        </is>
      </c>
      <c r="CD688" s="17" t="n"/>
      <c r="CE688" s="16" t="n"/>
      <c r="CF688" s="20" t="n"/>
      <c r="CG688" s="20" t="inlineStr">
        <is>
          <t>None</t>
        </is>
      </c>
      <c r="CH688" s="17" t="n"/>
      <c r="CI688" s="16" t="n"/>
      <c r="CJ688" s="20" t="n"/>
      <c r="CK688" s="20" t="inlineStr">
        <is>
          <t>None</t>
        </is>
      </c>
      <c r="CL688" s="17" t="n"/>
      <c r="CM688" s="16" t="n"/>
      <c r="CN688" s="20" t="inlineStr">
        <is>
          <t>SOP 45-34</t>
        </is>
      </c>
      <c r="CO688" s="20" t="inlineStr">
        <is>
          <t>None</t>
        </is>
      </c>
      <c r="CP688" s="17" t="n"/>
      <c r="CQ688" s="16" t="n"/>
      <c r="CR688" s="20" t="n"/>
      <c r="CS688" s="20" t="inlineStr">
        <is>
          <t>None</t>
        </is>
      </c>
      <c r="CT688" s="17" t="n"/>
      <c r="CU688" s="16" t="n"/>
      <c r="CV688" s="20" t="n"/>
      <c r="CW688" s="20" t="inlineStr">
        <is>
          <t>None</t>
        </is>
      </c>
      <c r="CX688" s="17" t="n"/>
      <c r="CY688" s="16" t="n"/>
      <c r="CZ688" s="20" t="inlineStr">
        <is>
          <t>WTW Multimeter 3430 with FDO 925</t>
        </is>
      </c>
      <c r="DA688" s="20" t="inlineStr">
        <is>
          <t>None</t>
        </is>
      </c>
      <c r="DB688" s="17" t="n"/>
      <c r="DC688" s="16" t="n"/>
      <c r="DD688" s="20" t="n"/>
      <c r="DE688" s="20" t="inlineStr">
        <is>
          <t>None</t>
        </is>
      </c>
      <c r="DF688" s="17" t="n"/>
      <c r="DG688" s="16" t="n"/>
      <c r="DH688" s="20" t="inlineStr">
        <is>
          <t>SOP 45-09</t>
        </is>
      </c>
      <c r="DI688" s="20" t="inlineStr">
        <is>
          <t>None</t>
        </is>
      </c>
      <c r="DJ688" s="17" t="n"/>
      <c r="DK688" s="16" t="n"/>
      <c r="DL688" s="20" t="inlineStr">
        <is>
          <t>SOP 45-09 (SOP muss noch angepasst werden für VSS)</t>
        </is>
      </c>
      <c r="DM688" s="20" t="inlineStr">
        <is>
          <t>None</t>
        </is>
      </c>
      <c r="DN688" s="17" t="n"/>
      <c r="DO688" s="16" t="n"/>
      <c r="DP688" s="20" t="inlineStr">
        <is>
          <t>IC Organic Acids</t>
        </is>
      </c>
      <c r="DQ688" s="20" t="inlineStr">
        <is>
          <t>None</t>
        </is>
      </c>
      <c r="DR688" s="17" t="n"/>
      <c r="DS688" s="16" t="n"/>
      <c r="DT688" s="20" t="inlineStr">
        <is>
          <t>IC Organic Acids</t>
        </is>
      </c>
      <c r="DU688" s="20" t="inlineStr">
        <is>
          <t>None</t>
        </is>
      </c>
      <c r="DV688" s="17" t="n"/>
      <c r="DW688" s="16" t="n"/>
      <c r="DX688" s="20" t="inlineStr">
        <is>
          <t>IC Organic Acids</t>
        </is>
      </c>
      <c r="DY688" s="20" t="inlineStr">
        <is>
          <t>None</t>
        </is>
      </c>
      <c r="DZ688" s="17" t="n"/>
      <c r="EA688" s="16" t="n"/>
      <c r="EB688" s="20" t="inlineStr">
        <is>
          <t>IC Organic Acids</t>
        </is>
      </c>
      <c r="EC688" s="20" t="inlineStr">
        <is>
          <t>None</t>
        </is>
      </c>
      <c r="ED688" s="17" t="n"/>
      <c r="EE688" s="16" t="n"/>
      <c r="EF688" s="20" t="inlineStr">
        <is>
          <t>IC Organic Acids</t>
        </is>
      </c>
      <c r="EG688" s="20" t="inlineStr">
        <is>
          <t>None</t>
        </is>
      </c>
      <c r="EH688" s="17" t="n"/>
      <c r="EI688" s="16" t="n"/>
      <c r="EJ688" s="20" t="inlineStr">
        <is>
          <t>IC Organic Acids</t>
        </is>
      </c>
      <c r="EK688" s="20" t="inlineStr">
        <is>
          <t>None</t>
        </is>
      </c>
      <c r="EL688" s="17" t="n"/>
      <c r="EM688" s="16" t="n"/>
      <c r="EN688" s="20" t="inlineStr">
        <is>
          <t>IC Organic Acids</t>
        </is>
      </c>
      <c r="EO688" s="20" t="inlineStr">
        <is>
          <t>None</t>
        </is>
      </c>
      <c r="EP688" s="17" t="n"/>
      <c r="EQ688" s="16" t="n"/>
      <c r="ER688" s="20" t="inlineStr">
        <is>
          <t>IC Organic Acids</t>
        </is>
      </c>
      <c r="ES688" s="20" t="inlineStr">
        <is>
          <t>None</t>
        </is>
      </c>
      <c r="ET688" s="17" t="n"/>
      <c r="EU688" s="16" t="n"/>
      <c r="EV688" s="20" t="inlineStr">
        <is>
          <t>LC-MS</t>
        </is>
      </c>
      <c r="EW688" s="20" t="inlineStr">
        <is>
          <t>None</t>
        </is>
      </c>
      <c r="EX688" s="17" t="n"/>
      <c r="EY688" s="21" t="n"/>
      <c r="EZ688">
        <f>CONCATENATE(A688,B688)</f>
        <v/>
      </c>
      <c r="FA688">
        <f>CONCATENATE(SamplesX!A688,SamplesX!B688)</f>
        <v/>
      </c>
      <c r="FC688">
        <f>MATCH(EZ688,FA1:FA1008,0)</f>
        <v/>
      </c>
    </row>
    <row r="689">
      <c r="A689" s="16" t="n"/>
      <c r="B689" s="17" t="n"/>
      <c r="C689" s="10">
        <f>IF(ISNUMBER(FC689),INDIRECT("SamplesX!C"&amp;FC689),IF(ISNUMBER(FD689),INDIRECT("SamplesY!C"&amp;FD689),""))</f>
        <v/>
      </c>
      <c r="D689" s="12">
        <f>IF(ISNUMBER(FC689),INDIRECT("SamplesX!D"&amp;FC689),IF(ISNUMBER(FD689),INDIRECT("SamplesY!D"&amp;FD689),""))</f>
        <v/>
      </c>
      <c r="E689" s="12">
        <f>IF(ISNUMBER(FC689),INDIRECT("SamplesX!E"&amp;FC689),IF(ISNUMBER(FD689),INDIRECT("SamplesY!E"&amp;FD689),""))</f>
        <v/>
      </c>
      <c r="F689" s="11">
        <f>IF(ISNUMBER(FC689),INDIRECT("SamplesX!F"&amp;FC689),IF(ISNUMBER(FD689),INDIRECT("SamplesY!F"&amp;FD689),""))</f>
        <v/>
      </c>
      <c r="G689" s="18">
        <f>IF(ISNUMBER(FC689),INDIRECT("SamplesX!G"&amp;FC689),IF(ISNUMBER(FD689),INDIRECT("SamplesY!G"&amp;FD689),""))</f>
        <v/>
      </c>
      <c r="H689" s="19">
        <f>IF(ISNUMBER(FC689),INDIRECT("SamplesX!H"&amp;FC689),IF(ISNUMBER(FD689),INDIRECT("SamplesY!H"&amp;FD689),""))</f>
        <v/>
      </c>
      <c r="I689" s="16" t="n"/>
      <c r="J689" s="16" t="n"/>
      <c r="K689" s="16" t="n"/>
      <c r="L689" s="20" t="n"/>
      <c r="M689" s="20" t="inlineStr">
        <is>
          <t>None</t>
        </is>
      </c>
      <c r="N689" s="17" t="n"/>
      <c r="O689" s="16" t="n"/>
      <c r="P689" s="20" t="inlineStr">
        <is>
          <t>Shimadzu TOC-L</t>
        </is>
      </c>
      <c r="Q689" s="20" t="inlineStr">
        <is>
          <t>None</t>
        </is>
      </c>
      <c r="R689" s="17" t="n"/>
      <c r="S689" s="16" t="n"/>
      <c r="T689" s="20" t="inlineStr">
        <is>
          <t>Shimadzu TOC-L</t>
        </is>
      </c>
      <c r="U689" s="20" t="inlineStr">
        <is>
          <t>None</t>
        </is>
      </c>
      <c r="V689" s="17" t="n"/>
      <c r="W689" s="16" t="n"/>
      <c r="X689" s="20" t="n"/>
      <c r="Y689" s="20" t="inlineStr">
        <is>
          <t>None</t>
        </is>
      </c>
      <c r="Z689" s="17" t="n"/>
      <c r="AA689" s="16" t="n"/>
      <c r="AB689" s="20" t="n"/>
      <c r="AC689" s="20" t="inlineStr">
        <is>
          <t>None</t>
        </is>
      </c>
      <c r="AD689" s="17" t="n"/>
      <c r="AE689" s="16" t="n"/>
      <c r="AF689" s="20" t="inlineStr">
        <is>
          <t>IC Anionen</t>
        </is>
      </c>
      <c r="AG689" s="20" t="inlineStr">
        <is>
          <t>None</t>
        </is>
      </c>
      <c r="AH689" s="17" t="n"/>
      <c r="AI689" s="16" t="n"/>
      <c r="AJ689" s="20" t="n"/>
      <c r="AK689" s="20" t="inlineStr">
        <is>
          <t>None</t>
        </is>
      </c>
      <c r="AL689" s="17" t="n"/>
      <c r="AM689" s="16" t="n"/>
      <c r="AN689" s="20" t="inlineStr">
        <is>
          <t>IC Anionen</t>
        </is>
      </c>
      <c r="AO689" s="20" t="inlineStr">
        <is>
          <t>None</t>
        </is>
      </c>
      <c r="AP689" s="17" t="n"/>
      <c r="AQ689" s="16" t="n"/>
      <c r="AR689" s="20" t="n"/>
      <c r="AS689" s="20" t="inlineStr">
        <is>
          <t>None</t>
        </is>
      </c>
      <c r="AT689" s="17" t="n"/>
      <c r="AU689" s="16" t="n"/>
      <c r="AV689" s="20" t="n"/>
      <c r="AW689" s="20" t="inlineStr">
        <is>
          <t>None</t>
        </is>
      </c>
      <c r="AX689" s="17" t="n"/>
      <c r="AY689" s="16" t="n"/>
      <c r="AZ689" s="20" t="inlineStr">
        <is>
          <t>IC Anionen</t>
        </is>
      </c>
      <c r="BA689" s="20" t="inlineStr">
        <is>
          <t>None</t>
        </is>
      </c>
      <c r="BB689" s="17" t="n"/>
      <c r="BC689" s="16" t="n"/>
      <c r="BD689" s="20" t="inlineStr">
        <is>
          <t>IC Kationen</t>
        </is>
      </c>
      <c r="BE689" s="20" t="inlineStr">
        <is>
          <t>None</t>
        </is>
      </c>
      <c r="BF689" s="17" t="n"/>
      <c r="BG689" s="16" t="n"/>
      <c r="BH689" s="20" t="inlineStr">
        <is>
          <t>IC Kationen</t>
        </is>
      </c>
      <c r="BI689" s="20" t="inlineStr">
        <is>
          <t>None</t>
        </is>
      </c>
      <c r="BJ689" s="17" t="n"/>
      <c r="BK689" s="16" t="n"/>
      <c r="BL689" s="20" t="inlineStr">
        <is>
          <t>IC Kationen</t>
        </is>
      </c>
      <c r="BM689" s="20" t="inlineStr">
        <is>
          <t>None</t>
        </is>
      </c>
      <c r="BN689" s="17" t="n"/>
      <c r="BO689" s="16" t="n"/>
      <c r="BP689" s="20" t="inlineStr">
        <is>
          <t>IC Kationen</t>
        </is>
      </c>
      <c r="BQ689" s="20" t="inlineStr">
        <is>
          <t>None</t>
        </is>
      </c>
      <c r="BR689" s="17" t="n"/>
      <c r="BS689" s="16" t="n"/>
      <c r="BT689" s="20" t="inlineStr">
        <is>
          <t>IC Kationen</t>
        </is>
      </c>
      <c r="BU689" s="20" t="inlineStr">
        <is>
          <t>None</t>
        </is>
      </c>
      <c r="BV689" s="17" t="n"/>
      <c r="BW689" s="16" t="n"/>
      <c r="BX689" s="20" t="n"/>
      <c r="BY689" s="20" t="inlineStr">
        <is>
          <t>None</t>
        </is>
      </c>
      <c r="BZ689" s="17" t="n"/>
      <c r="CA689" s="16" t="n"/>
      <c r="CB689" s="20" t="n"/>
      <c r="CC689" s="20" t="inlineStr">
        <is>
          <t>None</t>
        </is>
      </c>
      <c r="CD689" s="17" t="n"/>
      <c r="CE689" s="16" t="n"/>
      <c r="CF689" s="20" t="n"/>
      <c r="CG689" s="20" t="inlineStr">
        <is>
          <t>None</t>
        </is>
      </c>
      <c r="CH689" s="17" t="n"/>
      <c r="CI689" s="16" t="n"/>
      <c r="CJ689" s="20" t="n"/>
      <c r="CK689" s="20" t="inlineStr">
        <is>
          <t>None</t>
        </is>
      </c>
      <c r="CL689" s="17" t="n"/>
      <c r="CM689" s="16" t="n"/>
      <c r="CN689" s="20" t="inlineStr">
        <is>
          <t>SOP 45-34</t>
        </is>
      </c>
      <c r="CO689" s="20" t="inlineStr">
        <is>
          <t>None</t>
        </is>
      </c>
      <c r="CP689" s="17" t="n"/>
      <c r="CQ689" s="16" t="n"/>
      <c r="CR689" s="20" t="n"/>
      <c r="CS689" s="20" t="inlineStr">
        <is>
          <t>None</t>
        </is>
      </c>
      <c r="CT689" s="17" t="n"/>
      <c r="CU689" s="16" t="n"/>
      <c r="CV689" s="20" t="n"/>
      <c r="CW689" s="20" t="inlineStr">
        <is>
          <t>None</t>
        </is>
      </c>
      <c r="CX689" s="17" t="n"/>
      <c r="CY689" s="16" t="n"/>
      <c r="CZ689" s="20" t="inlineStr">
        <is>
          <t>WTW Multimeter 3430 with FDO 925</t>
        </is>
      </c>
      <c r="DA689" s="20" t="inlineStr">
        <is>
          <t>None</t>
        </is>
      </c>
      <c r="DB689" s="17" t="n"/>
      <c r="DC689" s="16" t="n"/>
      <c r="DD689" s="20" t="n"/>
      <c r="DE689" s="20" t="inlineStr">
        <is>
          <t>None</t>
        </is>
      </c>
      <c r="DF689" s="17" t="n"/>
      <c r="DG689" s="16" t="n"/>
      <c r="DH689" s="20" t="inlineStr">
        <is>
          <t>SOP 45-09</t>
        </is>
      </c>
      <c r="DI689" s="20" t="inlineStr">
        <is>
          <t>None</t>
        </is>
      </c>
      <c r="DJ689" s="17" t="n"/>
      <c r="DK689" s="16" t="n"/>
      <c r="DL689" s="20" t="inlineStr">
        <is>
          <t>SOP 45-09 (SOP muss noch angepasst werden für VSS)</t>
        </is>
      </c>
      <c r="DM689" s="20" t="inlineStr">
        <is>
          <t>None</t>
        </is>
      </c>
      <c r="DN689" s="17" t="n"/>
      <c r="DO689" s="16" t="n"/>
      <c r="DP689" s="20" t="inlineStr">
        <is>
          <t>IC Organic Acids</t>
        </is>
      </c>
      <c r="DQ689" s="20" t="inlineStr">
        <is>
          <t>None</t>
        </is>
      </c>
      <c r="DR689" s="17" t="n"/>
      <c r="DS689" s="16" t="n"/>
      <c r="DT689" s="20" t="inlineStr">
        <is>
          <t>IC Organic Acids</t>
        </is>
      </c>
      <c r="DU689" s="20" t="inlineStr">
        <is>
          <t>None</t>
        </is>
      </c>
      <c r="DV689" s="17" t="n"/>
      <c r="DW689" s="16" t="n"/>
      <c r="DX689" s="20" t="inlineStr">
        <is>
          <t>IC Organic Acids</t>
        </is>
      </c>
      <c r="DY689" s="20" t="inlineStr">
        <is>
          <t>None</t>
        </is>
      </c>
      <c r="DZ689" s="17" t="n"/>
      <c r="EA689" s="16" t="n"/>
      <c r="EB689" s="20" t="inlineStr">
        <is>
          <t>IC Organic Acids</t>
        </is>
      </c>
      <c r="EC689" s="20" t="inlineStr">
        <is>
          <t>None</t>
        </is>
      </c>
      <c r="ED689" s="17" t="n"/>
      <c r="EE689" s="16" t="n"/>
      <c r="EF689" s="20" t="inlineStr">
        <is>
          <t>IC Organic Acids</t>
        </is>
      </c>
      <c r="EG689" s="20" t="inlineStr">
        <is>
          <t>None</t>
        </is>
      </c>
      <c r="EH689" s="17" t="n"/>
      <c r="EI689" s="16" t="n"/>
      <c r="EJ689" s="20" t="inlineStr">
        <is>
          <t>IC Organic Acids</t>
        </is>
      </c>
      <c r="EK689" s="20" t="inlineStr">
        <is>
          <t>None</t>
        </is>
      </c>
      <c r="EL689" s="17" t="n"/>
      <c r="EM689" s="16" t="n"/>
      <c r="EN689" s="20" t="inlineStr">
        <is>
          <t>IC Organic Acids</t>
        </is>
      </c>
      <c r="EO689" s="20" t="inlineStr">
        <is>
          <t>None</t>
        </is>
      </c>
      <c r="EP689" s="17" t="n"/>
      <c r="EQ689" s="16" t="n"/>
      <c r="ER689" s="20" t="inlineStr">
        <is>
          <t>IC Organic Acids</t>
        </is>
      </c>
      <c r="ES689" s="20" t="inlineStr">
        <is>
          <t>None</t>
        </is>
      </c>
      <c r="ET689" s="17" t="n"/>
      <c r="EU689" s="16" t="n"/>
      <c r="EV689" s="20" t="inlineStr">
        <is>
          <t>LC-MS</t>
        </is>
      </c>
      <c r="EW689" s="20" t="inlineStr">
        <is>
          <t>None</t>
        </is>
      </c>
      <c r="EX689" s="17" t="n"/>
      <c r="EY689" s="21" t="n"/>
      <c r="EZ689">
        <f>CONCATENATE(A689,B689)</f>
        <v/>
      </c>
      <c r="FA689">
        <f>CONCATENATE(SamplesX!A689,SamplesX!B689)</f>
        <v/>
      </c>
      <c r="FC689">
        <f>MATCH(EZ689,FA1:FA1008,0)</f>
        <v/>
      </c>
    </row>
    <row r="690">
      <c r="A690" s="16" t="n"/>
      <c r="B690" s="17" t="n"/>
      <c r="C690" s="10">
        <f>IF(ISNUMBER(FC690),INDIRECT("SamplesX!C"&amp;FC690),IF(ISNUMBER(FD690),INDIRECT("SamplesY!C"&amp;FD690),""))</f>
        <v/>
      </c>
      <c r="D690" s="12">
        <f>IF(ISNUMBER(FC690),INDIRECT("SamplesX!D"&amp;FC690),IF(ISNUMBER(FD690),INDIRECT("SamplesY!D"&amp;FD690),""))</f>
        <v/>
      </c>
      <c r="E690" s="12">
        <f>IF(ISNUMBER(FC690),INDIRECT("SamplesX!E"&amp;FC690),IF(ISNUMBER(FD690),INDIRECT("SamplesY!E"&amp;FD690),""))</f>
        <v/>
      </c>
      <c r="F690" s="11">
        <f>IF(ISNUMBER(FC690),INDIRECT("SamplesX!F"&amp;FC690),IF(ISNUMBER(FD690),INDIRECT("SamplesY!F"&amp;FD690),""))</f>
        <v/>
      </c>
      <c r="G690" s="18">
        <f>IF(ISNUMBER(FC690),INDIRECT("SamplesX!G"&amp;FC690),IF(ISNUMBER(FD690),INDIRECT("SamplesY!G"&amp;FD690),""))</f>
        <v/>
      </c>
      <c r="H690" s="19">
        <f>IF(ISNUMBER(FC690),INDIRECT("SamplesX!H"&amp;FC690),IF(ISNUMBER(FD690),INDIRECT("SamplesY!H"&amp;FD690),""))</f>
        <v/>
      </c>
      <c r="I690" s="16" t="n"/>
      <c r="J690" s="16" t="n"/>
      <c r="K690" s="16" t="n"/>
      <c r="L690" s="20" t="n"/>
      <c r="M690" s="20" t="inlineStr">
        <is>
          <t>None</t>
        </is>
      </c>
      <c r="N690" s="17" t="n"/>
      <c r="O690" s="16" t="n"/>
      <c r="P690" s="20" t="inlineStr">
        <is>
          <t>Shimadzu TOC-L</t>
        </is>
      </c>
      <c r="Q690" s="20" t="inlineStr">
        <is>
          <t>None</t>
        </is>
      </c>
      <c r="R690" s="17" t="n"/>
      <c r="S690" s="16" t="n"/>
      <c r="T690" s="20" t="inlineStr">
        <is>
          <t>Shimadzu TOC-L</t>
        </is>
      </c>
      <c r="U690" s="20" t="inlineStr">
        <is>
          <t>None</t>
        </is>
      </c>
      <c r="V690" s="17" t="n"/>
      <c r="W690" s="16" t="n"/>
      <c r="X690" s="20" t="n"/>
      <c r="Y690" s="20" t="inlineStr">
        <is>
          <t>None</t>
        </is>
      </c>
      <c r="Z690" s="17" t="n"/>
      <c r="AA690" s="16" t="n"/>
      <c r="AB690" s="20" t="n"/>
      <c r="AC690" s="20" t="inlineStr">
        <is>
          <t>None</t>
        </is>
      </c>
      <c r="AD690" s="17" t="n"/>
      <c r="AE690" s="16" t="n"/>
      <c r="AF690" s="20" t="inlineStr">
        <is>
          <t>IC Anionen</t>
        </is>
      </c>
      <c r="AG690" s="20" t="inlineStr">
        <is>
          <t>None</t>
        </is>
      </c>
      <c r="AH690" s="17" t="n"/>
      <c r="AI690" s="16" t="n"/>
      <c r="AJ690" s="20" t="n"/>
      <c r="AK690" s="20" t="inlineStr">
        <is>
          <t>None</t>
        </is>
      </c>
      <c r="AL690" s="17" t="n"/>
      <c r="AM690" s="16" t="n"/>
      <c r="AN690" s="20" t="inlineStr">
        <is>
          <t>IC Anionen</t>
        </is>
      </c>
      <c r="AO690" s="20" t="inlineStr">
        <is>
          <t>None</t>
        </is>
      </c>
      <c r="AP690" s="17" t="n"/>
      <c r="AQ690" s="16" t="n"/>
      <c r="AR690" s="20" t="n"/>
      <c r="AS690" s="20" t="inlineStr">
        <is>
          <t>None</t>
        </is>
      </c>
      <c r="AT690" s="17" t="n"/>
      <c r="AU690" s="16" t="n"/>
      <c r="AV690" s="20" t="n"/>
      <c r="AW690" s="20" t="inlineStr">
        <is>
          <t>None</t>
        </is>
      </c>
      <c r="AX690" s="17" t="n"/>
      <c r="AY690" s="16" t="n"/>
      <c r="AZ690" s="20" t="inlineStr">
        <is>
          <t>IC Anionen</t>
        </is>
      </c>
      <c r="BA690" s="20" t="inlineStr">
        <is>
          <t>None</t>
        </is>
      </c>
      <c r="BB690" s="17" t="n"/>
      <c r="BC690" s="16" t="n"/>
      <c r="BD690" s="20" t="inlineStr">
        <is>
          <t>IC Kationen</t>
        </is>
      </c>
      <c r="BE690" s="20" t="inlineStr">
        <is>
          <t>None</t>
        </is>
      </c>
      <c r="BF690" s="17" t="n"/>
      <c r="BG690" s="16" t="n"/>
      <c r="BH690" s="20" t="inlineStr">
        <is>
          <t>IC Kationen</t>
        </is>
      </c>
      <c r="BI690" s="20" t="inlineStr">
        <is>
          <t>None</t>
        </is>
      </c>
      <c r="BJ690" s="17" t="n"/>
      <c r="BK690" s="16" t="n"/>
      <c r="BL690" s="20" t="inlineStr">
        <is>
          <t>IC Kationen</t>
        </is>
      </c>
      <c r="BM690" s="20" t="inlineStr">
        <is>
          <t>None</t>
        </is>
      </c>
      <c r="BN690" s="17" t="n"/>
      <c r="BO690" s="16" t="n"/>
      <c r="BP690" s="20" t="inlineStr">
        <is>
          <t>IC Kationen</t>
        </is>
      </c>
      <c r="BQ690" s="20" t="inlineStr">
        <is>
          <t>None</t>
        </is>
      </c>
      <c r="BR690" s="17" t="n"/>
      <c r="BS690" s="16" t="n"/>
      <c r="BT690" s="20" t="inlineStr">
        <is>
          <t>IC Kationen</t>
        </is>
      </c>
      <c r="BU690" s="20" t="inlineStr">
        <is>
          <t>None</t>
        </is>
      </c>
      <c r="BV690" s="17" t="n"/>
      <c r="BW690" s="16" t="n"/>
      <c r="BX690" s="20" t="n"/>
      <c r="BY690" s="20" t="inlineStr">
        <is>
          <t>None</t>
        </is>
      </c>
      <c r="BZ690" s="17" t="n"/>
      <c r="CA690" s="16" t="n"/>
      <c r="CB690" s="20" t="n"/>
      <c r="CC690" s="20" t="inlineStr">
        <is>
          <t>None</t>
        </is>
      </c>
      <c r="CD690" s="17" t="n"/>
      <c r="CE690" s="16" t="n"/>
      <c r="CF690" s="20" t="n"/>
      <c r="CG690" s="20" t="inlineStr">
        <is>
          <t>None</t>
        </is>
      </c>
      <c r="CH690" s="17" t="n"/>
      <c r="CI690" s="16" t="n"/>
      <c r="CJ690" s="20" t="n"/>
      <c r="CK690" s="20" t="inlineStr">
        <is>
          <t>None</t>
        </is>
      </c>
      <c r="CL690" s="17" t="n"/>
      <c r="CM690" s="16" t="n"/>
      <c r="CN690" s="20" t="inlineStr">
        <is>
          <t>SOP 45-34</t>
        </is>
      </c>
      <c r="CO690" s="20" t="inlineStr">
        <is>
          <t>None</t>
        </is>
      </c>
      <c r="CP690" s="17" t="n"/>
      <c r="CQ690" s="16" t="n"/>
      <c r="CR690" s="20" t="n"/>
      <c r="CS690" s="20" t="inlineStr">
        <is>
          <t>None</t>
        </is>
      </c>
      <c r="CT690" s="17" t="n"/>
      <c r="CU690" s="16" t="n"/>
      <c r="CV690" s="20" t="n"/>
      <c r="CW690" s="20" t="inlineStr">
        <is>
          <t>None</t>
        </is>
      </c>
      <c r="CX690" s="17" t="n"/>
      <c r="CY690" s="16" t="n"/>
      <c r="CZ690" s="20" t="inlineStr">
        <is>
          <t>WTW Multimeter 3430 with FDO 925</t>
        </is>
      </c>
      <c r="DA690" s="20" t="inlineStr">
        <is>
          <t>None</t>
        </is>
      </c>
      <c r="DB690" s="17" t="n"/>
      <c r="DC690" s="16" t="n"/>
      <c r="DD690" s="20" t="n"/>
      <c r="DE690" s="20" t="inlineStr">
        <is>
          <t>None</t>
        </is>
      </c>
      <c r="DF690" s="17" t="n"/>
      <c r="DG690" s="16" t="n"/>
      <c r="DH690" s="20" t="inlineStr">
        <is>
          <t>SOP 45-09</t>
        </is>
      </c>
      <c r="DI690" s="20" t="inlineStr">
        <is>
          <t>None</t>
        </is>
      </c>
      <c r="DJ690" s="17" t="n"/>
      <c r="DK690" s="16" t="n"/>
      <c r="DL690" s="20" t="inlineStr">
        <is>
          <t>SOP 45-09 (SOP muss noch angepasst werden für VSS)</t>
        </is>
      </c>
      <c r="DM690" s="20" t="inlineStr">
        <is>
          <t>None</t>
        </is>
      </c>
      <c r="DN690" s="17" t="n"/>
      <c r="DO690" s="16" t="n"/>
      <c r="DP690" s="20" t="inlineStr">
        <is>
          <t>IC Organic Acids</t>
        </is>
      </c>
      <c r="DQ690" s="20" t="inlineStr">
        <is>
          <t>None</t>
        </is>
      </c>
      <c r="DR690" s="17" t="n"/>
      <c r="DS690" s="16" t="n"/>
      <c r="DT690" s="20" t="inlineStr">
        <is>
          <t>IC Organic Acids</t>
        </is>
      </c>
      <c r="DU690" s="20" t="inlineStr">
        <is>
          <t>None</t>
        </is>
      </c>
      <c r="DV690" s="17" t="n"/>
      <c r="DW690" s="16" t="n"/>
      <c r="DX690" s="20" t="inlineStr">
        <is>
          <t>IC Organic Acids</t>
        </is>
      </c>
      <c r="DY690" s="20" t="inlineStr">
        <is>
          <t>None</t>
        </is>
      </c>
      <c r="DZ690" s="17" t="n"/>
      <c r="EA690" s="16" t="n"/>
      <c r="EB690" s="20" t="inlineStr">
        <is>
          <t>IC Organic Acids</t>
        </is>
      </c>
      <c r="EC690" s="20" t="inlineStr">
        <is>
          <t>None</t>
        </is>
      </c>
      <c r="ED690" s="17" t="n"/>
      <c r="EE690" s="16" t="n"/>
      <c r="EF690" s="20" t="inlineStr">
        <is>
          <t>IC Organic Acids</t>
        </is>
      </c>
      <c r="EG690" s="20" t="inlineStr">
        <is>
          <t>None</t>
        </is>
      </c>
      <c r="EH690" s="17" t="n"/>
      <c r="EI690" s="16" t="n"/>
      <c r="EJ690" s="20" t="inlineStr">
        <is>
          <t>IC Organic Acids</t>
        </is>
      </c>
      <c r="EK690" s="20" t="inlineStr">
        <is>
          <t>None</t>
        </is>
      </c>
      <c r="EL690" s="17" t="n"/>
      <c r="EM690" s="16" t="n"/>
      <c r="EN690" s="20" t="inlineStr">
        <is>
          <t>IC Organic Acids</t>
        </is>
      </c>
      <c r="EO690" s="20" t="inlineStr">
        <is>
          <t>None</t>
        </is>
      </c>
      <c r="EP690" s="17" t="n"/>
      <c r="EQ690" s="16" t="n"/>
      <c r="ER690" s="20" t="inlineStr">
        <is>
          <t>IC Organic Acids</t>
        </is>
      </c>
      <c r="ES690" s="20" t="inlineStr">
        <is>
          <t>None</t>
        </is>
      </c>
      <c r="ET690" s="17" t="n"/>
      <c r="EU690" s="16" t="n"/>
      <c r="EV690" s="20" t="inlineStr">
        <is>
          <t>LC-MS</t>
        </is>
      </c>
      <c r="EW690" s="20" t="inlineStr">
        <is>
          <t>None</t>
        </is>
      </c>
      <c r="EX690" s="17" t="n"/>
      <c r="EY690" s="21" t="n"/>
      <c r="EZ690">
        <f>CONCATENATE(A690,B690)</f>
        <v/>
      </c>
      <c r="FA690">
        <f>CONCATENATE(SamplesX!A690,SamplesX!B690)</f>
        <v/>
      </c>
      <c r="FC690">
        <f>MATCH(EZ690,FA1:FA1008,0)</f>
        <v/>
      </c>
    </row>
    <row r="691">
      <c r="A691" s="16" t="n"/>
      <c r="B691" s="17" t="n"/>
      <c r="C691" s="10">
        <f>IF(ISNUMBER(FC691),INDIRECT("SamplesX!C"&amp;FC691),IF(ISNUMBER(FD691),INDIRECT("SamplesY!C"&amp;FD691),""))</f>
        <v/>
      </c>
      <c r="D691" s="12">
        <f>IF(ISNUMBER(FC691),INDIRECT("SamplesX!D"&amp;FC691),IF(ISNUMBER(FD691),INDIRECT("SamplesY!D"&amp;FD691),""))</f>
        <v/>
      </c>
      <c r="E691" s="12">
        <f>IF(ISNUMBER(FC691),INDIRECT("SamplesX!E"&amp;FC691),IF(ISNUMBER(FD691),INDIRECT("SamplesY!E"&amp;FD691),""))</f>
        <v/>
      </c>
      <c r="F691" s="11">
        <f>IF(ISNUMBER(FC691),INDIRECT("SamplesX!F"&amp;FC691),IF(ISNUMBER(FD691),INDIRECT("SamplesY!F"&amp;FD691),""))</f>
        <v/>
      </c>
      <c r="G691" s="18">
        <f>IF(ISNUMBER(FC691),INDIRECT("SamplesX!G"&amp;FC691),IF(ISNUMBER(FD691),INDIRECT("SamplesY!G"&amp;FD691),""))</f>
        <v/>
      </c>
      <c r="H691" s="19">
        <f>IF(ISNUMBER(FC691),INDIRECT("SamplesX!H"&amp;FC691),IF(ISNUMBER(FD691),INDIRECT("SamplesY!H"&amp;FD691),""))</f>
        <v/>
      </c>
      <c r="I691" s="16" t="n"/>
      <c r="J691" s="16" t="n"/>
      <c r="K691" s="16" t="n"/>
      <c r="L691" s="20" t="n"/>
      <c r="M691" s="20" t="inlineStr">
        <is>
          <t>None</t>
        </is>
      </c>
      <c r="N691" s="17" t="n"/>
      <c r="O691" s="16" t="n"/>
      <c r="P691" s="20" t="inlineStr">
        <is>
          <t>Shimadzu TOC-L</t>
        </is>
      </c>
      <c r="Q691" s="20" t="inlineStr">
        <is>
          <t>None</t>
        </is>
      </c>
      <c r="R691" s="17" t="n"/>
      <c r="S691" s="16" t="n"/>
      <c r="T691" s="20" t="inlineStr">
        <is>
          <t>Shimadzu TOC-L</t>
        </is>
      </c>
      <c r="U691" s="20" t="inlineStr">
        <is>
          <t>None</t>
        </is>
      </c>
      <c r="V691" s="17" t="n"/>
      <c r="W691" s="16" t="n"/>
      <c r="X691" s="20" t="n"/>
      <c r="Y691" s="20" t="inlineStr">
        <is>
          <t>None</t>
        </is>
      </c>
      <c r="Z691" s="17" t="n"/>
      <c r="AA691" s="16" t="n"/>
      <c r="AB691" s="20" t="n"/>
      <c r="AC691" s="20" t="inlineStr">
        <is>
          <t>None</t>
        </is>
      </c>
      <c r="AD691" s="17" t="n"/>
      <c r="AE691" s="16" t="n"/>
      <c r="AF691" s="20" t="inlineStr">
        <is>
          <t>IC Anionen</t>
        </is>
      </c>
      <c r="AG691" s="20" t="inlineStr">
        <is>
          <t>None</t>
        </is>
      </c>
      <c r="AH691" s="17" t="n"/>
      <c r="AI691" s="16" t="n"/>
      <c r="AJ691" s="20" t="n"/>
      <c r="AK691" s="20" t="inlineStr">
        <is>
          <t>None</t>
        </is>
      </c>
      <c r="AL691" s="17" t="n"/>
      <c r="AM691" s="16" t="n"/>
      <c r="AN691" s="20" t="inlineStr">
        <is>
          <t>IC Anionen</t>
        </is>
      </c>
      <c r="AO691" s="20" t="inlineStr">
        <is>
          <t>None</t>
        </is>
      </c>
      <c r="AP691" s="17" t="n"/>
      <c r="AQ691" s="16" t="n"/>
      <c r="AR691" s="20" t="n"/>
      <c r="AS691" s="20" t="inlineStr">
        <is>
          <t>None</t>
        </is>
      </c>
      <c r="AT691" s="17" t="n"/>
      <c r="AU691" s="16" t="n"/>
      <c r="AV691" s="20" t="n"/>
      <c r="AW691" s="20" t="inlineStr">
        <is>
          <t>None</t>
        </is>
      </c>
      <c r="AX691" s="17" t="n"/>
      <c r="AY691" s="16" t="n"/>
      <c r="AZ691" s="20" t="inlineStr">
        <is>
          <t>IC Anionen</t>
        </is>
      </c>
      <c r="BA691" s="20" t="inlineStr">
        <is>
          <t>None</t>
        </is>
      </c>
      <c r="BB691" s="17" t="n"/>
      <c r="BC691" s="16" t="n"/>
      <c r="BD691" s="20" t="inlineStr">
        <is>
          <t>IC Kationen</t>
        </is>
      </c>
      <c r="BE691" s="20" t="inlineStr">
        <is>
          <t>None</t>
        </is>
      </c>
      <c r="BF691" s="17" t="n"/>
      <c r="BG691" s="16" t="n"/>
      <c r="BH691" s="20" t="inlineStr">
        <is>
          <t>IC Kationen</t>
        </is>
      </c>
      <c r="BI691" s="20" t="inlineStr">
        <is>
          <t>None</t>
        </is>
      </c>
      <c r="BJ691" s="17" t="n"/>
      <c r="BK691" s="16" t="n"/>
      <c r="BL691" s="20" t="inlineStr">
        <is>
          <t>IC Kationen</t>
        </is>
      </c>
      <c r="BM691" s="20" t="inlineStr">
        <is>
          <t>None</t>
        </is>
      </c>
      <c r="BN691" s="17" t="n"/>
      <c r="BO691" s="16" t="n"/>
      <c r="BP691" s="20" t="inlineStr">
        <is>
          <t>IC Kationen</t>
        </is>
      </c>
      <c r="BQ691" s="20" t="inlineStr">
        <is>
          <t>None</t>
        </is>
      </c>
      <c r="BR691" s="17" t="n"/>
      <c r="BS691" s="16" t="n"/>
      <c r="BT691" s="20" t="inlineStr">
        <is>
          <t>IC Kationen</t>
        </is>
      </c>
      <c r="BU691" s="20" t="inlineStr">
        <is>
          <t>None</t>
        </is>
      </c>
      <c r="BV691" s="17" t="n"/>
      <c r="BW691" s="16" t="n"/>
      <c r="BX691" s="20" t="n"/>
      <c r="BY691" s="20" t="inlineStr">
        <is>
          <t>None</t>
        </is>
      </c>
      <c r="BZ691" s="17" t="n"/>
      <c r="CA691" s="16" t="n"/>
      <c r="CB691" s="20" t="n"/>
      <c r="CC691" s="20" t="inlineStr">
        <is>
          <t>None</t>
        </is>
      </c>
      <c r="CD691" s="17" t="n"/>
      <c r="CE691" s="16" t="n"/>
      <c r="CF691" s="20" t="n"/>
      <c r="CG691" s="20" t="inlineStr">
        <is>
          <t>None</t>
        </is>
      </c>
      <c r="CH691" s="17" t="n"/>
      <c r="CI691" s="16" t="n"/>
      <c r="CJ691" s="20" t="n"/>
      <c r="CK691" s="20" t="inlineStr">
        <is>
          <t>None</t>
        </is>
      </c>
      <c r="CL691" s="17" t="n"/>
      <c r="CM691" s="16" t="n"/>
      <c r="CN691" s="20" t="inlineStr">
        <is>
          <t>SOP 45-34</t>
        </is>
      </c>
      <c r="CO691" s="20" t="inlineStr">
        <is>
          <t>None</t>
        </is>
      </c>
      <c r="CP691" s="17" t="n"/>
      <c r="CQ691" s="16" t="n"/>
      <c r="CR691" s="20" t="n"/>
      <c r="CS691" s="20" t="inlineStr">
        <is>
          <t>None</t>
        </is>
      </c>
      <c r="CT691" s="17" t="n"/>
      <c r="CU691" s="16" t="n"/>
      <c r="CV691" s="20" t="n"/>
      <c r="CW691" s="20" t="inlineStr">
        <is>
          <t>None</t>
        </is>
      </c>
      <c r="CX691" s="17" t="n"/>
      <c r="CY691" s="16" t="n"/>
      <c r="CZ691" s="20" t="inlineStr">
        <is>
          <t>WTW Multimeter 3430 with FDO 925</t>
        </is>
      </c>
      <c r="DA691" s="20" t="inlineStr">
        <is>
          <t>None</t>
        </is>
      </c>
      <c r="DB691" s="17" t="n"/>
      <c r="DC691" s="16" t="n"/>
      <c r="DD691" s="20" t="n"/>
      <c r="DE691" s="20" t="inlineStr">
        <is>
          <t>None</t>
        </is>
      </c>
      <c r="DF691" s="17" t="n"/>
      <c r="DG691" s="16" t="n"/>
      <c r="DH691" s="20" t="inlineStr">
        <is>
          <t>SOP 45-09</t>
        </is>
      </c>
      <c r="DI691" s="20" t="inlineStr">
        <is>
          <t>None</t>
        </is>
      </c>
      <c r="DJ691" s="17" t="n"/>
      <c r="DK691" s="16" t="n"/>
      <c r="DL691" s="20" t="inlineStr">
        <is>
          <t>SOP 45-09 (SOP muss noch angepasst werden für VSS)</t>
        </is>
      </c>
      <c r="DM691" s="20" t="inlineStr">
        <is>
          <t>None</t>
        </is>
      </c>
      <c r="DN691" s="17" t="n"/>
      <c r="DO691" s="16" t="n"/>
      <c r="DP691" s="20" t="inlineStr">
        <is>
          <t>IC Organic Acids</t>
        </is>
      </c>
      <c r="DQ691" s="20" t="inlineStr">
        <is>
          <t>None</t>
        </is>
      </c>
      <c r="DR691" s="17" t="n"/>
      <c r="DS691" s="16" t="n"/>
      <c r="DT691" s="20" t="inlineStr">
        <is>
          <t>IC Organic Acids</t>
        </is>
      </c>
      <c r="DU691" s="20" t="inlineStr">
        <is>
          <t>None</t>
        </is>
      </c>
      <c r="DV691" s="17" t="n"/>
      <c r="DW691" s="16" t="n"/>
      <c r="DX691" s="20" t="inlineStr">
        <is>
          <t>IC Organic Acids</t>
        </is>
      </c>
      <c r="DY691" s="20" t="inlineStr">
        <is>
          <t>None</t>
        </is>
      </c>
      <c r="DZ691" s="17" t="n"/>
      <c r="EA691" s="16" t="n"/>
      <c r="EB691" s="20" t="inlineStr">
        <is>
          <t>IC Organic Acids</t>
        </is>
      </c>
      <c r="EC691" s="20" t="inlineStr">
        <is>
          <t>None</t>
        </is>
      </c>
      <c r="ED691" s="17" t="n"/>
      <c r="EE691" s="16" t="n"/>
      <c r="EF691" s="20" t="inlineStr">
        <is>
          <t>IC Organic Acids</t>
        </is>
      </c>
      <c r="EG691" s="20" t="inlineStr">
        <is>
          <t>None</t>
        </is>
      </c>
      <c r="EH691" s="17" t="n"/>
      <c r="EI691" s="16" t="n"/>
      <c r="EJ691" s="20" t="inlineStr">
        <is>
          <t>IC Organic Acids</t>
        </is>
      </c>
      <c r="EK691" s="20" t="inlineStr">
        <is>
          <t>None</t>
        </is>
      </c>
      <c r="EL691" s="17" t="n"/>
      <c r="EM691" s="16" t="n"/>
      <c r="EN691" s="20" t="inlineStr">
        <is>
          <t>IC Organic Acids</t>
        </is>
      </c>
      <c r="EO691" s="20" t="inlineStr">
        <is>
          <t>None</t>
        </is>
      </c>
      <c r="EP691" s="17" t="n"/>
      <c r="EQ691" s="16" t="n"/>
      <c r="ER691" s="20" t="inlineStr">
        <is>
          <t>IC Organic Acids</t>
        </is>
      </c>
      <c r="ES691" s="20" t="inlineStr">
        <is>
          <t>None</t>
        </is>
      </c>
      <c r="ET691" s="17" t="n"/>
      <c r="EU691" s="16" t="n"/>
      <c r="EV691" s="20" t="inlineStr">
        <is>
          <t>LC-MS</t>
        </is>
      </c>
      <c r="EW691" s="20" t="inlineStr">
        <is>
          <t>None</t>
        </is>
      </c>
      <c r="EX691" s="17" t="n"/>
      <c r="EY691" s="21" t="n"/>
      <c r="EZ691">
        <f>CONCATENATE(A691,B691)</f>
        <v/>
      </c>
      <c r="FA691">
        <f>CONCATENATE(SamplesX!A691,SamplesX!B691)</f>
        <v/>
      </c>
      <c r="FC691">
        <f>MATCH(EZ691,FA1:FA1008,0)</f>
        <v/>
      </c>
    </row>
    <row r="692">
      <c r="A692" s="16" t="n"/>
      <c r="B692" s="17" t="n"/>
      <c r="C692" s="10">
        <f>IF(ISNUMBER(FC692),INDIRECT("SamplesX!C"&amp;FC692),IF(ISNUMBER(FD692),INDIRECT("SamplesY!C"&amp;FD692),""))</f>
        <v/>
      </c>
      <c r="D692" s="12">
        <f>IF(ISNUMBER(FC692),INDIRECT("SamplesX!D"&amp;FC692),IF(ISNUMBER(FD692),INDIRECT("SamplesY!D"&amp;FD692),""))</f>
        <v/>
      </c>
      <c r="E692" s="12">
        <f>IF(ISNUMBER(FC692),INDIRECT("SamplesX!E"&amp;FC692),IF(ISNUMBER(FD692),INDIRECT("SamplesY!E"&amp;FD692),""))</f>
        <v/>
      </c>
      <c r="F692" s="11">
        <f>IF(ISNUMBER(FC692),INDIRECT("SamplesX!F"&amp;FC692),IF(ISNUMBER(FD692),INDIRECT("SamplesY!F"&amp;FD692),""))</f>
        <v/>
      </c>
      <c r="G692" s="18">
        <f>IF(ISNUMBER(FC692),INDIRECT("SamplesX!G"&amp;FC692),IF(ISNUMBER(FD692),INDIRECT("SamplesY!G"&amp;FD692),""))</f>
        <v/>
      </c>
      <c r="H692" s="19">
        <f>IF(ISNUMBER(FC692),INDIRECT("SamplesX!H"&amp;FC692),IF(ISNUMBER(FD692),INDIRECT("SamplesY!H"&amp;FD692),""))</f>
        <v/>
      </c>
      <c r="I692" s="16" t="n"/>
      <c r="J692" s="16" t="n"/>
      <c r="K692" s="16" t="n"/>
      <c r="L692" s="20" t="n"/>
      <c r="M692" s="20" t="inlineStr">
        <is>
          <t>None</t>
        </is>
      </c>
      <c r="N692" s="17" t="n"/>
      <c r="O692" s="16" t="n"/>
      <c r="P692" s="20" t="inlineStr">
        <is>
          <t>Shimadzu TOC-L</t>
        </is>
      </c>
      <c r="Q692" s="20" t="inlineStr">
        <is>
          <t>None</t>
        </is>
      </c>
      <c r="R692" s="17" t="n"/>
      <c r="S692" s="16" t="n"/>
      <c r="T692" s="20" t="inlineStr">
        <is>
          <t>Shimadzu TOC-L</t>
        </is>
      </c>
      <c r="U692" s="20" t="inlineStr">
        <is>
          <t>None</t>
        </is>
      </c>
      <c r="V692" s="17" t="n"/>
      <c r="W692" s="16" t="n"/>
      <c r="X692" s="20" t="n"/>
      <c r="Y692" s="20" t="inlineStr">
        <is>
          <t>None</t>
        </is>
      </c>
      <c r="Z692" s="17" t="n"/>
      <c r="AA692" s="16" t="n"/>
      <c r="AB692" s="20" t="n"/>
      <c r="AC692" s="20" t="inlineStr">
        <is>
          <t>None</t>
        </is>
      </c>
      <c r="AD692" s="17" t="n"/>
      <c r="AE692" s="16" t="n"/>
      <c r="AF692" s="20" t="inlineStr">
        <is>
          <t>IC Anionen</t>
        </is>
      </c>
      <c r="AG692" s="20" t="inlineStr">
        <is>
          <t>None</t>
        </is>
      </c>
      <c r="AH692" s="17" t="n"/>
      <c r="AI692" s="16" t="n"/>
      <c r="AJ692" s="20" t="n"/>
      <c r="AK692" s="20" t="inlineStr">
        <is>
          <t>None</t>
        </is>
      </c>
      <c r="AL692" s="17" t="n"/>
      <c r="AM692" s="16" t="n"/>
      <c r="AN692" s="20" t="inlineStr">
        <is>
          <t>IC Anionen</t>
        </is>
      </c>
      <c r="AO692" s="20" t="inlineStr">
        <is>
          <t>None</t>
        </is>
      </c>
      <c r="AP692" s="17" t="n"/>
      <c r="AQ692" s="16" t="n"/>
      <c r="AR692" s="20" t="n"/>
      <c r="AS692" s="20" t="inlineStr">
        <is>
          <t>None</t>
        </is>
      </c>
      <c r="AT692" s="17" t="n"/>
      <c r="AU692" s="16" t="n"/>
      <c r="AV692" s="20" t="n"/>
      <c r="AW692" s="20" t="inlineStr">
        <is>
          <t>None</t>
        </is>
      </c>
      <c r="AX692" s="17" t="n"/>
      <c r="AY692" s="16" t="n"/>
      <c r="AZ692" s="20" t="inlineStr">
        <is>
          <t>IC Anionen</t>
        </is>
      </c>
      <c r="BA692" s="20" t="inlineStr">
        <is>
          <t>None</t>
        </is>
      </c>
      <c r="BB692" s="17" t="n"/>
      <c r="BC692" s="16" t="n"/>
      <c r="BD692" s="20" t="inlineStr">
        <is>
          <t>IC Kationen</t>
        </is>
      </c>
      <c r="BE692" s="20" t="inlineStr">
        <is>
          <t>None</t>
        </is>
      </c>
      <c r="BF692" s="17" t="n"/>
      <c r="BG692" s="16" t="n"/>
      <c r="BH692" s="20" t="inlineStr">
        <is>
          <t>IC Kationen</t>
        </is>
      </c>
      <c r="BI692" s="20" t="inlineStr">
        <is>
          <t>None</t>
        </is>
      </c>
      <c r="BJ692" s="17" t="n"/>
      <c r="BK692" s="16" t="n"/>
      <c r="BL692" s="20" t="inlineStr">
        <is>
          <t>IC Kationen</t>
        </is>
      </c>
      <c r="BM692" s="20" t="inlineStr">
        <is>
          <t>None</t>
        </is>
      </c>
      <c r="BN692" s="17" t="n"/>
      <c r="BO692" s="16" t="n"/>
      <c r="BP692" s="20" t="inlineStr">
        <is>
          <t>IC Kationen</t>
        </is>
      </c>
      <c r="BQ692" s="20" t="inlineStr">
        <is>
          <t>None</t>
        </is>
      </c>
      <c r="BR692" s="17" t="n"/>
      <c r="BS692" s="16" t="n"/>
      <c r="BT692" s="20" t="inlineStr">
        <is>
          <t>IC Kationen</t>
        </is>
      </c>
      <c r="BU692" s="20" t="inlineStr">
        <is>
          <t>None</t>
        </is>
      </c>
      <c r="BV692" s="17" t="n"/>
      <c r="BW692" s="16" t="n"/>
      <c r="BX692" s="20" t="n"/>
      <c r="BY692" s="20" t="inlineStr">
        <is>
          <t>None</t>
        </is>
      </c>
      <c r="BZ692" s="17" t="n"/>
      <c r="CA692" s="16" t="n"/>
      <c r="CB692" s="20" t="n"/>
      <c r="CC692" s="20" t="inlineStr">
        <is>
          <t>None</t>
        </is>
      </c>
      <c r="CD692" s="17" t="n"/>
      <c r="CE692" s="16" t="n"/>
      <c r="CF692" s="20" t="n"/>
      <c r="CG692" s="20" t="inlineStr">
        <is>
          <t>None</t>
        </is>
      </c>
      <c r="CH692" s="17" t="n"/>
      <c r="CI692" s="16" t="n"/>
      <c r="CJ692" s="20" t="n"/>
      <c r="CK692" s="20" t="inlineStr">
        <is>
          <t>None</t>
        </is>
      </c>
      <c r="CL692" s="17" t="n"/>
      <c r="CM692" s="16" t="n"/>
      <c r="CN692" s="20" t="inlineStr">
        <is>
          <t>SOP 45-34</t>
        </is>
      </c>
      <c r="CO692" s="20" t="inlineStr">
        <is>
          <t>None</t>
        </is>
      </c>
      <c r="CP692" s="17" t="n"/>
      <c r="CQ692" s="16" t="n"/>
      <c r="CR692" s="20" t="n"/>
      <c r="CS692" s="20" t="inlineStr">
        <is>
          <t>None</t>
        </is>
      </c>
      <c r="CT692" s="17" t="n"/>
      <c r="CU692" s="16" t="n"/>
      <c r="CV692" s="20" t="n"/>
      <c r="CW692" s="20" t="inlineStr">
        <is>
          <t>None</t>
        </is>
      </c>
      <c r="CX692" s="17" t="n"/>
      <c r="CY692" s="16" t="n"/>
      <c r="CZ692" s="20" t="inlineStr">
        <is>
          <t>WTW Multimeter 3430 with FDO 925</t>
        </is>
      </c>
      <c r="DA692" s="20" t="inlineStr">
        <is>
          <t>None</t>
        </is>
      </c>
      <c r="DB692" s="17" t="n"/>
      <c r="DC692" s="16" t="n"/>
      <c r="DD692" s="20" t="n"/>
      <c r="DE692" s="20" t="inlineStr">
        <is>
          <t>None</t>
        </is>
      </c>
      <c r="DF692" s="17" t="n"/>
      <c r="DG692" s="16" t="n"/>
      <c r="DH692" s="20" t="inlineStr">
        <is>
          <t>SOP 45-09</t>
        </is>
      </c>
      <c r="DI692" s="20" t="inlineStr">
        <is>
          <t>None</t>
        </is>
      </c>
      <c r="DJ692" s="17" t="n"/>
      <c r="DK692" s="16" t="n"/>
      <c r="DL692" s="20" t="inlineStr">
        <is>
          <t>SOP 45-09 (SOP muss noch angepasst werden für VSS)</t>
        </is>
      </c>
      <c r="DM692" s="20" t="inlineStr">
        <is>
          <t>None</t>
        </is>
      </c>
      <c r="DN692" s="17" t="n"/>
      <c r="DO692" s="16" t="n"/>
      <c r="DP692" s="20" t="inlineStr">
        <is>
          <t>IC Organic Acids</t>
        </is>
      </c>
      <c r="DQ692" s="20" t="inlineStr">
        <is>
          <t>None</t>
        </is>
      </c>
      <c r="DR692" s="17" t="n"/>
      <c r="DS692" s="16" t="n"/>
      <c r="DT692" s="20" t="inlineStr">
        <is>
          <t>IC Organic Acids</t>
        </is>
      </c>
      <c r="DU692" s="20" t="inlineStr">
        <is>
          <t>None</t>
        </is>
      </c>
      <c r="DV692" s="17" t="n"/>
      <c r="DW692" s="16" t="n"/>
      <c r="DX692" s="20" t="inlineStr">
        <is>
          <t>IC Organic Acids</t>
        </is>
      </c>
      <c r="DY692" s="20" t="inlineStr">
        <is>
          <t>None</t>
        </is>
      </c>
      <c r="DZ692" s="17" t="n"/>
      <c r="EA692" s="16" t="n"/>
      <c r="EB692" s="20" t="inlineStr">
        <is>
          <t>IC Organic Acids</t>
        </is>
      </c>
      <c r="EC692" s="20" t="inlineStr">
        <is>
          <t>None</t>
        </is>
      </c>
      <c r="ED692" s="17" t="n"/>
      <c r="EE692" s="16" t="n"/>
      <c r="EF692" s="20" t="inlineStr">
        <is>
          <t>IC Organic Acids</t>
        </is>
      </c>
      <c r="EG692" s="20" t="inlineStr">
        <is>
          <t>None</t>
        </is>
      </c>
      <c r="EH692" s="17" t="n"/>
      <c r="EI692" s="16" t="n"/>
      <c r="EJ692" s="20" t="inlineStr">
        <is>
          <t>IC Organic Acids</t>
        </is>
      </c>
      <c r="EK692" s="20" t="inlineStr">
        <is>
          <t>None</t>
        </is>
      </c>
      <c r="EL692" s="17" t="n"/>
      <c r="EM692" s="16" t="n"/>
      <c r="EN692" s="20" t="inlineStr">
        <is>
          <t>IC Organic Acids</t>
        </is>
      </c>
      <c r="EO692" s="20" t="inlineStr">
        <is>
          <t>None</t>
        </is>
      </c>
      <c r="EP692" s="17" t="n"/>
      <c r="EQ692" s="16" t="n"/>
      <c r="ER692" s="20" t="inlineStr">
        <is>
          <t>IC Organic Acids</t>
        </is>
      </c>
      <c r="ES692" s="20" t="inlineStr">
        <is>
          <t>None</t>
        </is>
      </c>
      <c r="ET692" s="17" t="n"/>
      <c r="EU692" s="16" t="n"/>
      <c r="EV692" s="20" t="inlineStr">
        <is>
          <t>LC-MS</t>
        </is>
      </c>
      <c r="EW692" s="20" t="inlineStr">
        <is>
          <t>None</t>
        </is>
      </c>
      <c r="EX692" s="17" t="n"/>
      <c r="EY692" s="21" t="n"/>
      <c r="EZ692">
        <f>CONCATENATE(A692,B692)</f>
        <v/>
      </c>
      <c r="FA692">
        <f>CONCATENATE(SamplesX!A692,SamplesX!B692)</f>
        <v/>
      </c>
      <c r="FC692">
        <f>MATCH(EZ692,FA1:FA1008,0)</f>
        <v/>
      </c>
    </row>
    <row r="693">
      <c r="A693" s="16" t="n"/>
      <c r="B693" s="17" t="n"/>
      <c r="C693" s="10">
        <f>IF(ISNUMBER(FC693),INDIRECT("SamplesX!C"&amp;FC693),IF(ISNUMBER(FD693),INDIRECT("SamplesY!C"&amp;FD693),""))</f>
        <v/>
      </c>
      <c r="D693" s="12">
        <f>IF(ISNUMBER(FC693),INDIRECT("SamplesX!D"&amp;FC693),IF(ISNUMBER(FD693),INDIRECT("SamplesY!D"&amp;FD693),""))</f>
        <v/>
      </c>
      <c r="E693" s="12">
        <f>IF(ISNUMBER(FC693),INDIRECT("SamplesX!E"&amp;FC693),IF(ISNUMBER(FD693),INDIRECT("SamplesY!E"&amp;FD693),""))</f>
        <v/>
      </c>
      <c r="F693" s="11">
        <f>IF(ISNUMBER(FC693),INDIRECT("SamplesX!F"&amp;FC693),IF(ISNUMBER(FD693),INDIRECT("SamplesY!F"&amp;FD693),""))</f>
        <v/>
      </c>
      <c r="G693" s="18">
        <f>IF(ISNUMBER(FC693),INDIRECT("SamplesX!G"&amp;FC693),IF(ISNUMBER(FD693),INDIRECT("SamplesY!G"&amp;FD693),""))</f>
        <v/>
      </c>
      <c r="H693" s="19">
        <f>IF(ISNUMBER(FC693),INDIRECT("SamplesX!H"&amp;FC693),IF(ISNUMBER(FD693),INDIRECT("SamplesY!H"&amp;FD693),""))</f>
        <v/>
      </c>
      <c r="I693" s="16" t="n"/>
      <c r="J693" s="16" t="n"/>
      <c r="K693" s="16" t="n"/>
      <c r="L693" s="20" t="n"/>
      <c r="M693" s="20" t="inlineStr">
        <is>
          <t>None</t>
        </is>
      </c>
      <c r="N693" s="17" t="n"/>
      <c r="O693" s="16" t="n"/>
      <c r="P693" s="20" t="inlineStr">
        <is>
          <t>Shimadzu TOC-L</t>
        </is>
      </c>
      <c r="Q693" s="20" t="inlineStr">
        <is>
          <t>None</t>
        </is>
      </c>
      <c r="R693" s="17" t="n"/>
      <c r="S693" s="16" t="n"/>
      <c r="T693" s="20" t="inlineStr">
        <is>
          <t>Shimadzu TOC-L</t>
        </is>
      </c>
      <c r="U693" s="20" t="inlineStr">
        <is>
          <t>None</t>
        </is>
      </c>
      <c r="V693" s="17" t="n"/>
      <c r="W693" s="16" t="n"/>
      <c r="X693" s="20" t="n"/>
      <c r="Y693" s="20" t="inlineStr">
        <is>
          <t>None</t>
        </is>
      </c>
      <c r="Z693" s="17" t="n"/>
      <c r="AA693" s="16" t="n"/>
      <c r="AB693" s="20" t="n"/>
      <c r="AC693" s="20" t="inlineStr">
        <is>
          <t>None</t>
        </is>
      </c>
      <c r="AD693" s="17" t="n"/>
      <c r="AE693" s="16" t="n"/>
      <c r="AF693" s="20" t="inlineStr">
        <is>
          <t>IC Anionen</t>
        </is>
      </c>
      <c r="AG693" s="20" t="inlineStr">
        <is>
          <t>None</t>
        </is>
      </c>
      <c r="AH693" s="17" t="n"/>
      <c r="AI693" s="16" t="n"/>
      <c r="AJ693" s="20" t="n"/>
      <c r="AK693" s="20" t="inlineStr">
        <is>
          <t>None</t>
        </is>
      </c>
      <c r="AL693" s="17" t="n"/>
      <c r="AM693" s="16" t="n"/>
      <c r="AN693" s="20" t="inlineStr">
        <is>
          <t>IC Anionen</t>
        </is>
      </c>
      <c r="AO693" s="20" t="inlineStr">
        <is>
          <t>None</t>
        </is>
      </c>
      <c r="AP693" s="17" t="n"/>
      <c r="AQ693" s="16" t="n"/>
      <c r="AR693" s="20" t="n"/>
      <c r="AS693" s="20" t="inlineStr">
        <is>
          <t>None</t>
        </is>
      </c>
      <c r="AT693" s="17" t="n"/>
      <c r="AU693" s="16" t="n"/>
      <c r="AV693" s="20" t="n"/>
      <c r="AW693" s="20" t="inlineStr">
        <is>
          <t>None</t>
        </is>
      </c>
      <c r="AX693" s="17" t="n"/>
      <c r="AY693" s="16" t="n"/>
      <c r="AZ693" s="20" t="inlineStr">
        <is>
          <t>IC Anionen</t>
        </is>
      </c>
      <c r="BA693" s="20" t="inlineStr">
        <is>
          <t>None</t>
        </is>
      </c>
      <c r="BB693" s="17" t="n"/>
      <c r="BC693" s="16" t="n"/>
      <c r="BD693" s="20" t="inlineStr">
        <is>
          <t>IC Kationen</t>
        </is>
      </c>
      <c r="BE693" s="20" t="inlineStr">
        <is>
          <t>None</t>
        </is>
      </c>
      <c r="BF693" s="17" t="n"/>
      <c r="BG693" s="16" t="n"/>
      <c r="BH693" s="20" t="inlineStr">
        <is>
          <t>IC Kationen</t>
        </is>
      </c>
      <c r="BI693" s="20" t="inlineStr">
        <is>
          <t>None</t>
        </is>
      </c>
      <c r="BJ693" s="17" t="n"/>
      <c r="BK693" s="16" t="n"/>
      <c r="BL693" s="20" t="inlineStr">
        <is>
          <t>IC Kationen</t>
        </is>
      </c>
      <c r="BM693" s="20" t="inlineStr">
        <is>
          <t>None</t>
        </is>
      </c>
      <c r="BN693" s="17" t="n"/>
      <c r="BO693" s="16" t="n"/>
      <c r="BP693" s="20" t="inlineStr">
        <is>
          <t>IC Kationen</t>
        </is>
      </c>
      <c r="BQ693" s="20" t="inlineStr">
        <is>
          <t>None</t>
        </is>
      </c>
      <c r="BR693" s="17" t="n"/>
      <c r="BS693" s="16" t="n"/>
      <c r="BT693" s="20" t="inlineStr">
        <is>
          <t>IC Kationen</t>
        </is>
      </c>
      <c r="BU693" s="20" t="inlineStr">
        <is>
          <t>None</t>
        </is>
      </c>
      <c r="BV693" s="17" t="n"/>
      <c r="BW693" s="16" t="n"/>
      <c r="BX693" s="20" t="n"/>
      <c r="BY693" s="20" t="inlineStr">
        <is>
          <t>None</t>
        </is>
      </c>
      <c r="BZ693" s="17" t="n"/>
      <c r="CA693" s="16" t="n"/>
      <c r="CB693" s="20" t="n"/>
      <c r="CC693" s="20" t="inlineStr">
        <is>
          <t>None</t>
        </is>
      </c>
      <c r="CD693" s="17" t="n"/>
      <c r="CE693" s="16" t="n"/>
      <c r="CF693" s="20" t="n"/>
      <c r="CG693" s="20" t="inlineStr">
        <is>
          <t>None</t>
        </is>
      </c>
      <c r="CH693" s="17" t="n"/>
      <c r="CI693" s="16" t="n"/>
      <c r="CJ693" s="20" t="n"/>
      <c r="CK693" s="20" t="inlineStr">
        <is>
          <t>None</t>
        </is>
      </c>
      <c r="CL693" s="17" t="n"/>
      <c r="CM693" s="16" t="n"/>
      <c r="CN693" s="20" t="inlineStr">
        <is>
          <t>SOP 45-34</t>
        </is>
      </c>
      <c r="CO693" s="20" t="inlineStr">
        <is>
          <t>None</t>
        </is>
      </c>
      <c r="CP693" s="17" t="n"/>
      <c r="CQ693" s="16" t="n"/>
      <c r="CR693" s="20" t="n"/>
      <c r="CS693" s="20" t="inlineStr">
        <is>
          <t>None</t>
        </is>
      </c>
      <c r="CT693" s="17" t="n"/>
      <c r="CU693" s="16" t="n"/>
      <c r="CV693" s="20" t="n"/>
      <c r="CW693" s="20" t="inlineStr">
        <is>
          <t>None</t>
        </is>
      </c>
      <c r="CX693" s="17" t="n"/>
      <c r="CY693" s="16" t="n"/>
      <c r="CZ693" s="20" t="inlineStr">
        <is>
          <t>WTW Multimeter 3430 with FDO 925</t>
        </is>
      </c>
      <c r="DA693" s="20" t="inlineStr">
        <is>
          <t>None</t>
        </is>
      </c>
      <c r="DB693" s="17" t="n"/>
      <c r="DC693" s="16" t="n"/>
      <c r="DD693" s="20" t="n"/>
      <c r="DE693" s="20" t="inlineStr">
        <is>
          <t>None</t>
        </is>
      </c>
      <c r="DF693" s="17" t="n"/>
      <c r="DG693" s="16" t="n"/>
      <c r="DH693" s="20" t="inlineStr">
        <is>
          <t>SOP 45-09</t>
        </is>
      </c>
      <c r="DI693" s="20" t="inlineStr">
        <is>
          <t>None</t>
        </is>
      </c>
      <c r="DJ693" s="17" t="n"/>
      <c r="DK693" s="16" t="n"/>
      <c r="DL693" s="20" t="inlineStr">
        <is>
          <t>SOP 45-09 (SOP muss noch angepasst werden für VSS)</t>
        </is>
      </c>
      <c r="DM693" s="20" t="inlineStr">
        <is>
          <t>None</t>
        </is>
      </c>
      <c r="DN693" s="17" t="n"/>
      <c r="DO693" s="16" t="n"/>
      <c r="DP693" s="20" t="inlineStr">
        <is>
          <t>IC Organic Acids</t>
        </is>
      </c>
      <c r="DQ693" s="20" t="inlineStr">
        <is>
          <t>None</t>
        </is>
      </c>
      <c r="DR693" s="17" t="n"/>
      <c r="DS693" s="16" t="n"/>
      <c r="DT693" s="20" t="inlineStr">
        <is>
          <t>IC Organic Acids</t>
        </is>
      </c>
      <c r="DU693" s="20" t="inlineStr">
        <is>
          <t>None</t>
        </is>
      </c>
      <c r="DV693" s="17" t="n"/>
      <c r="DW693" s="16" t="n"/>
      <c r="DX693" s="20" t="inlineStr">
        <is>
          <t>IC Organic Acids</t>
        </is>
      </c>
      <c r="DY693" s="20" t="inlineStr">
        <is>
          <t>None</t>
        </is>
      </c>
      <c r="DZ693" s="17" t="n"/>
      <c r="EA693" s="16" t="n"/>
      <c r="EB693" s="20" t="inlineStr">
        <is>
          <t>IC Organic Acids</t>
        </is>
      </c>
      <c r="EC693" s="20" t="inlineStr">
        <is>
          <t>None</t>
        </is>
      </c>
      <c r="ED693" s="17" t="n"/>
      <c r="EE693" s="16" t="n"/>
      <c r="EF693" s="20" t="inlineStr">
        <is>
          <t>IC Organic Acids</t>
        </is>
      </c>
      <c r="EG693" s="20" t="inlineStr">
        <is>
          <t>None</t>
        </is>
      </c>
      <c r="EH693" s="17" t="n"/>
      <c r="EI693" s="16" t="n"/>
      <c r="EJ693" s="20" t="inlineStr">
        <is>
          <t>IC Organic Acids</t>
        </is>
      </c>
      <c r="EK693" s="20" t="inlineStr">
        <is>
          <t>None</t>
        </is>
      </c>
      <c r="EL693" s="17" t="n"/>
      <c r="EM693" s="16" t="n"/>
      <c r="EN693" s="20" t="inlineStr">
        <is>
          <t>IC Organic Acids</t>
        </is>
      </c>
      <c r="EO693" s="20" t="inlineStr">
        <is>
          <t>None</t>
        </is>
      </c>
      <c r="EP693" s="17" t="n"/>
      <c r="EQ693" s="16" t="n"/>
      <c r="ER693" s="20" t="inlineStr">
        <is>
          <t>IC Organic Acids</t>
        </is>
      </c>
      <c r="ES693" s="20" t="inlineStr">
        <is>
          <t>None</t>
        </is>
      </c>
      <c r="ET693" s="17" t="n"/>
      <c r="EU693" s="16" t="n"/>
      <c r="EV693" s="20" t="inlineStr">
        <is>
          <t>LC-MS</t>
        </is>
      </c>
      <c r="EW693" s="20" t="inlineStr">
        <is>
          <t>None</t>
        </is>
      </c>
      <c r="EX693" s="17" t="n"/>
      <c r="EY693" s="21" t="n"/>
      <c r="EZ693">
        <f>CONCATENATE(A693,B693)</f>
        <v/>
      </c>
      <c r="FA693">
        <f>CONCATENATE(SamplesX!A693,SamplesX!B693)</f>
        <v/>
      </c>
      <c r="FC693">
        <f>MATCH(EZ693,FA1:FA1008,0)</f>
        <v/>
      </c>
    </row>
    <row r="694">
      <c r="A694" s="16" t="n"/>
      <c r="B694" s="17" t="n"/>
      <c r="C694" s="10">
        <f>IF(ISNUMBER(FC694),INDIRECT("SamplesX!C"&amp;FC694),IF(ISNUMBER(FD694),INDIRECT("SamplesY!C"&amp;FD694),""))</f>
        <v/>
      </c>
      <c r="D694" s="12">
        <f>IF(ISNUMBER(FC694),INDIRECT("SamplesX!D"&amp;FC694),IF(ISNUMBER(FD694),INDIRECT("SamplesY!D"&amp;FD694),""))</f>
        <v/>
      </c>
      <c r="E694" s="12">
        <f>IF(ISNUMBER(FC694),INDIRECT("SamplesX!E"&amp;FC694),IF(ISNUMBER(FD694),INDIRECT("SamplesY!E"&amp;FD694),""))</f>
        <v/>
      </c>
      <c r="F694" s="11">
        <f>IF(ISNUMBER(FC694),INDIRECT("SamplesX!F"&amp;FC694),IF(ISNUMBER(FD694),INDIRECT("SamplesY!F"&amp;FD694),""))</f>
        <v/>
      </c>
      <c r="G694" s="18">
        <f>IF(ISNUMBER(FC694),INDIRECT("SamplesX!G"&amp;FC694),IF(ISNUMBER(FD694),INDIRECT("SamplesY!G"&amp;FD694),""))</f>
        <v/>
      </c>
      <c r="H694" s="19">
        <f>IF(ISNUMBER(FC694),INDIRECT("SamplesX!H"&amp;FC694),IF(ISNUMBER(FD694),INDIRECT("SamplesY!H"&amp;FD694),""))</f>
        <v/>
      </c>
      <c r="I694" s="16" t="n"/>
      <c r="J694" s="16" t="n"/>
      <c r="K694" s="16" t="n"/>
      <c r="L694" s="20" t="n"/>
      <c r="M694" s="20" t="inlineStr">
        <is>
          <t>None</t>
        </is>
      </c>
      <c r="N694" s="17" t="n"/>
      <c r="O694" s="16" t="n"/>
      <c r="P694" s="20" t="inlineStr">
        <is>
          <t>Shimadzu TOC-L</t>
        </is>
      </c>
      <c r="Q694" s="20" t="inlineStr">
        <is>
          <t>None</t>
        </is>
      </c>
      <c r="R694" s="17" t="n"/>
      <c r="S694" s="16" t="n"/>
      <c r="T694" s="20" t="inlineStr">
        <is>
          <t>Shimadzu TOC-L</t>
        </is>
      </c>
      <c r="U694" s="20" t="inlineStr">
        <is>
          <t>None</t>
        </is>
      </c>
      <c r="V694" s="17" t="n"/>
      <c r="W694" s="16" t="n"/>
      <c r="X694" s="20" t="n"/>
      <c r="Y694" s="20" t="inlineStr">
        <is>
          <t>None</t>
        </is>
      </c>
      <c r="Z694" s="17" t="n"/>
      <c r="AA694" s="16" t="n"/>
      <c r="AB694" s="20" t="n"/>
      <c r="AC694" s="20" t="inlineStr">
        <is>
          <t>None</t>
        </is>
      </c>
      <c r="AD694" s="17" t="n"/>
      <c r="AE694" s="16" t="n"/>
      <c r="AF694" s="20" t="inlineStr">
        <is>
          <t>IC Anionen</t>
        </is>
      </c>
      <c r="AG694" s="20" t="inlineStr">
        <is>
          <t>None</t>
        </is>
      </c>
      <c r="AH694" s="17" t="n"/>
      <c r="AI694" s="16" t="n"/>
      <c r="AJ694" s="20" t="n"/>
      <c r="AK694" s="20" t="inlineStr">
        <is>
          <t>None</t>
        </is>
      </c>
      <c r="AL694" s="17" t="n"/>
      <c r="AM694" s="16" t="n"/>
      <c r="AN694" s="20" t="inlineStr">
        <is>
          <t>IC Anionen</t>
        </is>
      </c>
      <c r="AO694" s="20" t="inlineStr">
        <is>
          <t>None</t>
        </is>
      </c>
      <c r="AP694" s="17" t="n"/>
      <c r="AQ694" s="16" t="n"/>
      <c r="AR694" s="20" t="n"/>
      <c r="AS694" s="20" t="inlineStr">
        <is>
          <t>None</t>
        </is>
      </c>
      <c r="AT694" s="17" t="n"/>
      <c r="AU694" s="16" t="n"/>
      <c r="AV694" s="20" t="n"/>
      <c r="AW694" s="20" t="inlineStr">
        <is>
          <t>None</t>
        </is>
      </c>
      <c r="AX694" s="17" t="n"/>
      <c r="AY694" s="16" t="n"/>
      <c r="AZ694" s="20" t="inlineStr">
        <is>
          <t>IC Anionen</t>
        </is>
      </c>
      <c r="BA694" s="20" t="inlineStr">
        <is>
          <t>None</t>
        </is>
      </c>
      <c r="BB694" s="17" t="n"/>
      <c r="BC694" s="16" t="n"/>
      <c r="BD694" s="20" t="inlineStr">
        <is>
          <t>IC Kationen</t>
        </is>
      </c>
      <c r="BE694" s="20" t="inlineStr">
        <is>
          <t>None</t>
        </is>
      </c>
      <c r="BF694" s="17" t="n"/>
      <c r="BG694" s="16" t="n"/>
      <c r="BH694" s="20" t="inlineStr">
        <is>
          <t>IC Kationen</t>
        </is>
      </c>
      <c r="BI694" s="20" t="inlineStr">
        <is>
          <t>None</t>
        </is>
      </c>
      <c r="BJ694" s="17" t="n"/>
      <c r="BK694" s="16" t="n"/>
      <c r="BL694" s="20" t="inlineStr">
        <is>
          <t>IC Kationen</t>
        </is>
      </c>
      <c r="BM694" s="20" t="inlineStr">
        <is>
          <t>None</t>
        </is>
      </c>
      <c r="BN694" s="17" t="n"/>
      <c r="BO694" s="16" t="n"/>
      <c r="BP694" s="20" t="inlineStr">
        <is>
          <t>IC Kationen</t>
        </is>
      </c>
      <c r="BQ694" s="20" t="inlineStr">
        <is>
          <t>None</t>
        </is>
      </c>
      <c r="BR694" s="17" t="n"/>
      <c r="BS694" s="16" t="n"/>
      <c r="BT694" s="20" t="inlineStr">
        <is>
          <t>IC Kationen</t>
        </is>
      </c>
      <c r="BU694" s="20" t="inlineStr">
        <is>
          <t>None</t>
        </is>
      </c>
      <c r="BV694" s="17" t="n"/>
      <c r="BW694" s="16" t="n"/>
      <c r="BX694" s="20" t="n"/>
      <c r="BY694" s="20" t="inlineStr">
        <is>
          <t>None</t>
        </is>
      </c>
      <c r="BZ694" s="17" t="n"/>
      <c r="CA694" s="16" t="n"/>
      <c r="CB694" s="20" t="n"/>
      <c r="CC694" s="20" t="inlineStr">
        <is>
          <t>None</t>
        </is>
      </c>
      <c r="CD694" s="17" t="n"/>
      <c r="CE694" s="16" t="n"/>
      <c r="CF694" s="20" t="n"/>
      <c r="CG694" s="20" t="inlineStr">
        <is>
          <t>None</t>
        </is>
      </c>
      <c r="CH694" s="17" t="n"/>
      <c r="CI694" s="16" t="n"/>
      <c r="CJ694" s="20" t="n"/>
      <c r="CK694" s="20" t="inlineStr">
        <is>
          <t>None</t>
        </is>
      </c>
      <c r="CL694" s="17" t="n"/>
      <c r="CM694" s="16" t="n"/>
      <c r="CN694" s="20" t="inlineStr">
        <is>
          <t>SOP 45-34</t>
        </is>
      </c>
      <c r="CO694" s="20" t="inlineStr">
        <is>
          <t>None</t>
        </is>
      </c>
      <c r="CP694" s="17" t="n"/>
      <c r="CQ694" s="16" t="n"/>
      <c r="CR694" s="20" t="n"/>
      <c r="CS694" s="20" t="inlineStr">
        <is>
          <t>None</t>
        </is>
      </c>
      <c r="CT694" s="17" t="n"/>
      <c r="CU694" s="16" t="n"/>
      <c r="CV694" s="20" t="n"/>
      <c r="CW694" s="20" t="inlineStr">
        <is>
          <t>None</t>
        </is>
      </c>
      <c r="CX694" s="17" t="n"/>
      <c r="CY694" s="16" t="n"/>
      <c r="CZ694" s="20" t="inlineStr">
        <is>
          <t>WTW Multimeter 3430 with FDO 925</t>
        </is>
      </c>
      <c r="DA694" s="20" t="inlineStr">
        <is>
          <t>None</t>
        </is>
      </c>
      <c r="DB694" s="17" t="n"/>
      <c r="DC694" s="16" t="n"/>
      <c r="DD694" s="20" t="n"/>
      <c r="DE694" s="20" t="inlineStr">
        <is>
          <t>None</t>
        </is>
      </c>
      <c r="DF694" s="17" t="n"/>
      <c r="DG694" s="16" t="n"/>
      <c r="DH694" s="20" t="inlineStr">
        <is>
          <t>SOP 45-09</t>
        </is>
      </c>
      <c r="DI694" s="20" t="inlineStr">
        <is>
          <t>None</t>
        </is>
      </c>
      <c r="DJ694" s="17" t="n"/>
      <c r="DK694" s="16" t="n"/>
      <c r="DL694" s="20" t="inlineStr">
        <is>
          <t>SOP 45-09 (SOP muss noch angepasst werden für VSS)</t>
        </is>
      </c>
      <c r="DM694" s="20" t="inlineStr">
        <is>
          <t>None</t>
        </is>
      </c>
      <c r="DN694" s="17" t="n"/>
      <c r="DO694" s="16" t="n"/>
      <c r="DP694" s="20" t="inlineStr">
        <is>
          <t>IC Organic Acids</t>
        </is>
      </c>
      <c r="DQ694" s="20" t="inlineStr">
        <is>
          <t>None</t>
        </is>
      </c>
      <c r="DR694" s="17" t="n"/>
      <c r="DS694" s="16" t="n"/>
      <c r="DT694" s="20" t="inlineStr">
        <is>
          <t>IC Organic Acids</t>
        </is>
      </c>
      <c r="DU694" s="20" t="inlineStr">
        <is>
          <t>None</t>
        </is>
      </c>
      <c r="DV694" s="17" t="n"/>
      <c r="DW694" s="16" t="n"/>
      <c r="DX694" s="20" t="inlineStr">
        <is>
          <t>IC Organic Acids</t>
        </is>
      </c>
      <c r="DY694" s="20" t="inlineStr">
        <is>
          <t>None</t>
        </is>
      </c>
      <c r="DZ694" s="17" t="n"/>
      <c r="EA694" s="16" t="n"/>
      <c r="EB694" s="20" t="inlineStr">
        <is>
          <t>IC Organic Acids</t>
        </is>
      </c>
      <c r="EC694" s="20" t="inlineStr">
        <is>
          <t>None</t>
        </is>
      </c>
      <c r="ED694" s="17" t="n"/>
      <c r="EE694" s="16" t="n"/>
      <c r="EF694" s="20" t="inlineStr">
        <is>
          <t>IC Organic Acids</t>
        </is>
      </c>
      <c r="EG694" s="20" t="inlineStr">
        <is>
          <t>None</t>
        </is>
      </c>
      <c r="EH694" s="17" t="n"/>
      <c r="EI694" s="16" t="n"/>
      <c r="EJ694" s="20" t="inlineStr">
        <is>
          <t>IC Organic Acids</t>
        </is>
      </c>
      <c r="EK694" s="20" t="inlineStr">
        <is>
          <t>None</t>
        </is>
      </c>
      <c r="EL694" s="17" t="n"/>
      <c r="EM694" s="16" t="n"/>
      <c r="EN694" s="20" t="inlineStr">
        <is>
          <t>IC Organic Acids</t>
        </is>
      </c>
      <c r="EO694" s="20" t="inlineStr">
        <is>
          <t>None</t>
        </is>
      </c>
      <c r="EP694" s="17" t="n"/>
      <c r="EQ694" s="16" t="n"/>
      <c r="ER694" s="20" t="inlineStr">
        <is>
          <t>IC Organic Acids</t>
        </is>
      </c>
      <c r="ES694" s="20" t="inlineStr">
        <is>
          <t>None</t>
        </is>
      </c>
      <c r="ET694" s="17" t="n"/>
      <c r="EU694" s="16" t="n"/>
      <c r="EV694" s="20" t="inlineStr">
        <is>
          <t>LC-MS</t>
        </is>
      </c>
      <c r="EW694" s="20" t="inlineStr">
        <is>
          <t>None</t>
        </is>
      </c>
      <c r="EX694" s="17" t="n"/>
      <c r="EY694" s="21" t="n"/>
      <c r="EZ694">
        <f>CONCATENATE(A694,B694)</f>
        <v/>
      </c>
      <c r="FA694">
        <f>CONCATENATE(SamplesX!A694,SamplesX!B694)</f>
        <v/>
      </c>
      <c r="FC694">
        <f>MATCH(EZ694,FA1:FA1008,0)</f>
        <v/>
      </c>
    </row>
    <row r="695">
      <c r="A695" s="16" t="n"/>
      <c r="B695" s="17" t="n"/>
      <c r="C695" s="10">
        <f>IF(ISNUMBER(FC695),INDIRECT("SamplesX!C"&amp;FC695),IF(ISNUMBER(FD695),INDIRECT("SamplesY!C"&amp;FD695),""))</f>
        <v/>
      </c>
      <c r="D695" s="12">
        <f>IF(ISNUMBER(FC695),INDIRECT("SamplesX!D"&amp;FC695),IF(ISNUMBER(FD695),INDIRECT("SamplesY!D"&amp;FD695),""))</f>
        <v/>
      </c>
      <c r="E695" s="12">
        <f>IF(ISNUMBER(FC695),INDIRECT("SamplesX!E"&amp;FC695),IF(ISNUMBER(FD695),INDIRECT("SamplesY!E"&amp;FD695),""))</f>
        <v/>
      </c>
      <c r="F695" s="11">
        <f>IF(ISNUMBER(FC695),INDIRECT("SamplesX!F"&amp;FC695),IF(ISNUMBER(FD695),INDIRECT("SamplesY!F"&amp;FD695),""))</f>
        <v/>
      </c>
      <c r="G695" s="18">
        <f>IF(ISNUMBER(FC695),INDIRECT("SamplesX!G"&amp;FC695),IF(ISNUMBER(FD695),INDIRECT("SamplesY!G"&amp;FD695),""))</f>
        <v/>
      </c>
      <c r="H695" s="19">
        <f>IF(ISNUMBER(FC695),INDIRECT("SamplesX!H"&amp;FC695),IF(ISNUMBER(FD695),INDIRECT("SamplesY!H"&amp;FD695),""))</f>
        <v/>
      </c>
      <c r="I695" s="16" t="n"/>
      <c r="J695" s="16" t="n"/>
      <c r="K695" s="16" t="n"/>
      <c r="L695" s="20" t="n"/>
      <c r="M695" s="20" t="inlineStr">
        <is>
          <t>None</t>
        </is>
      </c>
      <c r="N695" s="17" t="n"/>
      <c r="O695" s="16" t="n"/>
      <c r="P695" s="20" t="inlineStr">
        <is>
          <t>Shimadzu TOC-L</t>
        </is>
      </c>
      <c r="Q695" s="20" t="inlineStr">
        <is>
          <t>None</t>
        </is>
      </c>
      <c r="R695" s="17" t="n"/>
      <c r="S695" s="16" t="n"/>
      <c r="T695" s="20" t="inlineStr">
        <is>
          <t>Shimadzu TOC-L</t>
        </is>
      </c>
      <c r="U695" s="20" t="inlineStr">
        <is>
          <t>None</t>
        </is>
      </c>
      <c r="V695" s="17" t="n"/>
      <c r="W695" s="16" t="n"/>
      <c r="X695" s="20" t="n"/>
      <c r="Y695" s="20" t="inlineStr">
        <is>
          <t>None</t>
        </is>
      </c>
      <c r="Z695" s="17" t="n"/>
      <c r="AA695" s="16" t="n"/>
      <c r="AB695" s="20" t="n"/>
      <c r="AC695" s="20" t="inlineStr">
        <is>
          <t>None</t>
        </is>
      </c>
      <c r="AD695" s="17" t="n"/>
      <c r="AE695" s="16" t="n"/>
      <c r="AF695" s="20" t="inlineStr">
        <is>
          <t>IC Anionen</t>
        </is>
      </c>
      <c r="AG695" s="20" t="inlineStr">
        <is>
          <t>None</t>
        </is>
      </c>
      <c r="AH695" s="17" t="n"/>
      <c r="AI695" s="16" t="n"/>
      <c r="AJ695" s="20" t="n"/>
      <c r="AK695" s="20" t="inlineStr">
        <is>
          <t>None</t>
        </is>
      </c>
      <c r="AL695" s="17" t="n"/>
      <c r="AM695" s="16" t="n"/>
      <c r="AN695" s="20" t="inlineStr">
        <is>
          <t>IC Anionen</t>
        </is>
      </c>
      <c r="AO695" s="20" t="inlineStr">
        <is>
          <t>None</t>
        </is>
      </c>
      <c r="AP695" s="17" t="n"/>
      <c r="AQ695" s="16" t="n"/>
      <c r="AR695" s="20" t="n"/>
      <c r="AS695" s="20" t="inlineStr">
        <is>
          <t>None</t>
        </is>
      </c>
      <c r="AT695" s="17" t="n"/>
      <c r="AU695" s="16" t="n"/>
      <c r="AV695" s="20" t="n"/>
      <c r="AW695" s="20" t="inlineStr">
        <is>
          <t>None</t>
        </is>
      </c>
      <c r="AX695" s="17" t="n"/>
      <c r="AY695" s="16" t="n"/>
      <c r="AZ695" s="20" t="inlineStr">
        <is>
          <t>IC Anionen</t>
        </is>
      </c>
      <c r="BA695" s="20" t="inlineStr">
        <is>
          <t>None</t>
        </is>
      </c>
      <c r="BB695" s="17" t="n"/>
      <c r="BC695" s="16" t="n"/>
      <c r="BD695" s="20" t="inlineStr">
        <is>
          <t>IC Kationen</t>
        </is>
      </c>
      <c r="BE695" s="20" t="inlineStr">
        <is>
          <t>None</t>
        </is>
      </c>
      <c r="BF695" s="17" t="n"/>
      <c r="BG695" s="16" t="n"/>
      <c r="BH695" s="20" t="inlineStr">
        <is>
          <t>IC Kationen</t>
        </is>
      </c>
      <c r="BI695" s="20" t="inlineStr">
        <is>
          <t>None</t>
        </is>
      </c>
      <c r="BJ695" s="17" t="n"/>
      <c r="BK695" s="16" t="n"/>
      <c r="BL695" s="20" t="inlineStr">
        <is>
          <t>IC Kationen</t>
        </is>
      </c>
      <c r="BM695" s="20" t="inlineStr">
        <is>
          <t>None</t>
        </is>
      </c>
      <c r="BN695" s="17" t="n"/>
      <c r="BO695" s="16" t="n"/>
      <c r="BP695" s="20" t="inlineStr">
        <is>
          <t>IC Kationen</t>
        </is>
      </c>
      <c r="BQ695" s="20" t="inlineStr">
        <is>
          <t>None</t>
        </is>
      </c>
      <c r="BR695" s="17" t="n"/>
      <c r="BS695" s="16" t="n"/>
      <c r="BT695" s="20" t="inlineStr">
        <is>
          <t>IC Kationen</t>
        </is>
      </c>
      <c r="BU695" s="20" t="inlineStr">
        <is>
          <t>None</t>
        </is>
      </c>
      <c r="BV695" s="17" t="n"/>
      <c r="BW695" s="16" t="n"/>
      <c r="BX695" s="20" t="n"/>
      <c r="BY695" s="20" t="inlineStr">
        <is>
          <t>None</t>
        </is>
      </c>
      <c r="BZ695" s="17" t="n"/>
      <c r="CA695" s="16" t="n"/>
      <c r="CB695" s="20" t="n"/>
      <c r="CC695" s="20" t="inlineStr">
        <is>
          <t>None</t>
        </is>
      </c>
      <c r="CD695" s="17" t="n"/>
      <c r="CE695" s="16" t="n"/>
      <c r="CF695" s="20" t="n"/>
      <c r="CG695" s="20" t="inlineStr">
        <is>
          <t>None</t>
        </is>
      </c>
      <c r="CH695" s="17" t="n"/>
      <c r="CI695" s="16" t="n"/>
      <c r="CJ695" s="20" t="n"/>
      <c r="CK695" s="20" t="inlineStr">
        <is>
          <t>None</t>
        </is>
      </c>
      <c r="CL695" s="17" t="n"/>
      <c r="CM695" s="16" t="n"/>
      <c r="CN695" s="20" t="inlineStr">
        <is>
          <t>SOP 45-34</t>
        </is>
      </c>
      <c r="CO695" s="20" t="inlineStr">
        <is>
          <t>None</t>
        </is>
      </c>
      <c r="CP695" s="17" t="n"/>
      <c r="CQ695" s="16" t="n"/>
      <c r="CR695" s="20" t="n"/>
      <c r="CS695" s="20" t="inlineStr">
        <is>
          <t>None</t>
        </is>
      </c>
      <c r="CT695" s="17" t="n"/>
      <c r="CU695" s="16" t="n"/>
      <c r="CV695" s="20" t="n"/>
      <c r="CW695" s="20" t="inlineStr">
        <is>
          <t>None</t>
        </is>
      </c>
      <c r="CX695" s="17" t="n"/>
      <c r="CY695" s="16" t="n"/>
      <c r="CZ695" s="20" t="inlineStr">
        <is>
          <t>WTW Multimeter 3430 with FDO 925</t>
        </is>
      </c>
      <c r="DA695" s="20" t="inlineStr">
        <is>
          <t>None</t>
        </is>
      </c>
      <c r="DB695" s="17" t="n"/>
      <c r="DC695" s="16" t="n"/>
      <c r="DD695" s="20" t="n"/>
      <c r="DE695" s="20" t="inlineStr">
        <is>
          <t>None</t>
        </is>
      </c>
      <c r="DF695" s="17" t="n"/>
      <c r="DG695" s="16" t="n"/>
      <c r="DH695" s="20" t="inlineStr">
        <is>
          <t>SOP 45-09</t>
        </is>
      </c>
      <c r="DI695" s="20" t="inlineStr">
        <is>
          <t>None</t>
        </is>
      </c>
      <c r="DJ695" s="17" t="n"/>
      <c r="DK695" s="16" t="n"/>
      <c r="DL695" s="20" t="inlineStr">
        <is>
          <t>SOP 45-09 (SOP muss noch angepasst werden für VSS)</t>
        </is>
      </c>
      <c r="DM695" s="20" t="inlineStr">
        <is>
          <t>None</t>
        </is>
      </c>
      <c r="DN695" s="17" t="n"/>
      <c r="DO695" s="16" t="n"/>
      <c r="DP695" s="20" t="inlineStr">
        <is>
          <t>IC Organic Acids</t>
        </is>
      </c>
      <c r="DQ695" s="20" t="inlineStr">
        <is>
          <t>None</t>
        </is>
      </c>
      <c r="DR695" s="17" t="n"/>
      <c r="DS695" s="16" t="n"/>
      <c r="DT695" s="20" t="inlineStr">
        <is>
          <t>IC Organic Acids</t>
        </is>
      </c>
      <c r="DU695" s="20" t="inlineStr">
        <is>
          <t>None</t>
        </is>
      </c>
      <c r="DV695" s="17" t="n"/>
      <c r="DW695" s="16" t="n"/>
      <c r="DX695" s="20" t="inlineStr">
        <is>
          <t>IC Organic Acids</t>
        </is>
      </c>
      <c r="DY695" s="20" t="inlineStr">
        <is>
          <t>None</t>
        </is>
      </c>
      <c r="DZ695" s="17" t="n"/>
      <c r="EA695" s="16" t="n"/>
      <c r="EB695" s="20" t="inlineStr">
        <is>
          <t>IC Organic Acids</t>
        </is>
      </c>
      <c r="EC695" s="20" t="inlineStr">
        <is>
          <t>None</t>
        </is>
      </c>
      <c r="ED695" s="17" t="n"/>
      <c r="EE695" s="16" t="n"/>
      <c r="EF695" s="20" t="inlineStr">
        <is>
          <t>IC Organic Acids</t>
        </is>
      </c>
      <c r="EG695" s="20" t="inlineStr">
        <is>
          <t>None</t>
        </is>
      </c>
      <c r="EH695" s="17" t="n"/>
      <c r="EI695" s="16" t="n"/>
      <c r="EJ695" s="20" t="inlineStr">
        <is>
          <t>IC Organic Acids</t>
        </is>
      </c>
      <c r="EK695" s="20" t="inlineStr">
        <is>
          <t>None</t>
        </is>
      </c>
      <c r="EL695" s="17" t="n"/>
      <c r="EM695" s="16" t="n"/>
      <c r="EN695" s="20" t="inlineStr">
        <is>
          <t>IC Organic Acids</t>
        </is>
      </c>
      <c r="EO695" s="20" t="inlineStr">
        <is>
          <t>None</t>
        </is>
      </c>
      <c r="EP695" s="17" t="n"/>
      <c r="EQ695" s="16" t="n"/>
      <c r="ER695" s="20" t="inlineStr">
        <is>
          <t>IC Organic Acids</t>
        </is>
      </c>
      <c r="ES695" s="20" t="inlineStr">
        <is>
          <t>None</t>
        </is>
      </c>
      <c r="ET695" s="17" t="n"/>
      <c r="EU695" s="16" t="n"/>
      <c r="EV695" s="20" t="inlineStr">
        <is>
          <t>LC-MS</t>
        </is>
      </c>
      <c r="EW695" s="20" t="inlineStr">
        <is>
          <t>None</t>
        </is>
      </c>
      <c r="EX695" s="17" t="n"/>
      <c r="EY695" s="21" t="n"/>
      <c r="EZ695">
        <f>CONCATENATE(A695,B695)</f>
        <v/>
      </c>
      <c r="FA695">
        <f>CONCATENATE(SamplesX!A695,SamplesX!B695)</f>
        <v/>
      </c>
      <c r="FC695">
        <f>MATCH(EZ695,FA1:FA1008,0)</f>
        <v/>
      </c>
    </row>
    <row r="696">
      <c r="A696" s="16" t="n"/>
      <c r="B696" s="17" t="n"/>
      <c r="C696" s="10">
        <f>IF(ISNUMBER(FC696),INDIRECT("SamplesX!C"&amp;FC696),IF(ISNUMBER(FD696),INDIRECT("SamplesY!C"&amp;FD696),""))</f>
        <v/>
      </c>
      <c r="D696" s="12">
        <f>IF(ISNUMBER(FC696),INDIRECT("SamplesX!D"&amp;FC696),IF(ISNUMBER(FD696),INDIRECT("SamplesY!D"&amp;FD696),""))</f>
        <v/>
      </c>
      <c r="E696" s="12">
        <f>IF(ISNUMBER(FC696),INDIRECT("SamplesX!E"&amp;FC696),IF(ISNUMBER(FD696),INDIRECT("SamplesY!E"&amp;FD696),""))</f>
        <v/>
      </c>
      <c r="F696" s="11">
        <f>IF(ISNUMBER(FC696),INDIRECT("SamplesX!F"&amp;FC696),IF(ISNUMBER(FD696),INDIRECT("SamplesY!F"&amp;FD696),""))</f>
        <v/>
      </c>
      <c r="G696" s="18">
        <f>IF(ISNUMBER(FC696),INDIRECT("SamplesX!G"&amp;FC696),IF(ISNUMBER(FD696),INDIRECT("SamplesY!G"&amp;FD696),""))</f>
        <v/>
      </c>
      <c r="H696" s="19">
        <f>IF(ISNUMBER(FC696),INDIRECT("SamplesX!H"&amp;FC696),IF(ISNUMBER(FD696),INDIRECT("SamplesY!H"&amp;FD696),""))</f>
        <v/>
      </c>
      <c r="I696" s="16" t="n"/>
      <c r="J696" s="16" t="n"/>
      <c r="K696" s="16" t="n"/>
      <c r="L696" s="20" t="n"/>
      <c r="M696" s="20" t="inlineStr">
        <is>
          <t>None</t>
        </is>
      </c>
      <c r="N696" s="17" t="n"/>
      <c r="O696" s="16" t="n"/>
      <c r="P696" s="20" t="inlineStr">
        <is>
          <t>Shimadzu TOC-L</t>
        </is>
      </c>
      <c r="Q696" s="20" t="inlineStr">
        <is>
          <t>None</t>
        </is>
      </c>
      <c r="R696" s="17" t="n"/>
      <c r="S696" s="16" t="n"/>
      <c r="T696" s="20" t="inlineStr">
        <is>
          <t>Shimadzu TOC-L</t>
        </is>
      </c>
      <c r="U696" s="20" t="inlineStr">
        <is>
          <t>None</t>
        </is>
      </c>
      <c r="V696" s="17" t="n"/>
      <c r="W696" s="16" t="n"/>
      <c r="X696" s="20" t="n"/>
      <c r="Y696" s="20" t="inlineStr">
        <is>
          <t>None</t>
        </is>
      </c>
      <c r="Z696" s="17" t="n"/>
      <c r="AA696" s="16" t="n"/>
      <c r="AB696" s="20" t="n"/>
      <c r="AC696" s="20" t="inlineStr">
        <is>
          <t>None</t>
        </is>
      </c>
      <c r="AD696" s="17" t="n"/>
      <c r="AE696" s="16" t="n"/>
      <c r="AF696" s="20" t="inlineStr">
        <is>
          <t>IC Anionen</t>
        </is>
      </c>
      <c r="AG696" s="20" t="inlineStr">
        <is>
          <t>None</t>
        </is>
      </c>
      <c r="AH696" s="17" t="n"/>
      <c r="AI696" s="16" t="n"/>
      <c r="AJ696" s="20" t="n"/>
      <c r="AK696" s="20" t="inlineStr">
        <is>
          <t>None</t>
        </is>
      </c>
      <c r="AL696" s="17" t="n"/>
      <c r="AM696" s="16" t="n"/>
      <c r="AN696" s="20" t="inlineStr">
        <is>
          <t>IC Anionen</t>
        </is>
      </c>
      <c r="AO696" s="20" t="inlineStr">
        <is>
          <t>None</t>
        </is>
      </c>
      <c r="AP696" s="17" t="n"/>
      <c r="AQ696" s="16" t="n"/>
      <c r="AR696" s="20" t="n"/>
      <c r="AS696" s="20" t="inlineStr">
        <is>
          <t>None</t>
        </is>
      </c>
      <c r="AT696" s="17" t="n"/>
      <c r="AU696" s="16" t="n"/>
      <c r="AV696" s="20" t="n"/>
      <c r="AW696" s="20" t="inlineStr">
        <is>
          <t>None</t>
        </is>
      </c>
      <c r="AX696" s="17" t="n"/>
      <c r="AY696" s="16" t="n"/>
      <c r="AZ696" s="20" t="inlineStr">
        <is>
          <t>IC Anionen</t>
        </is>
      </c>
      <c r="BA696" s="20" t="inlineStr">
        <is>
          <t>None</t>
        </is>
      </c>
      <c r="BB696" s="17" t="n"/>
      <c r="BC696" s="16" t="n"/>
      <c r="BD696" s="20" t="inlineStr">
        <is>
          <t>IC Kationen</t>
        </is>
      </c>
      <c r="BE696" s="20" t="inlineStr">
        <is>
          <t>None</t>
        </is>
      </c>
      <c r="BF696" s="17" t="n"/>
      <c r="BG696" s="16" t="n"/>
      <c r="BH696" s="20" t="inlineStr">
        <is>
          <t>IC Kationen</t>
        </is>
      </c>
      <c r="BI696" s="20" t="inlineStr">
        <is>
          <t>None</t>
        </is>
      </c>
      <c r="BJ696" s="17" t="n"/>
      <c r="BK696" s="16" t="n"/>
      <c r="BL696" s="20" t="inlineStr">
        <is>
          <t>IC Kationen</t>
        </is>
      </c>
      <c r="BM696" s="20" t="inlineStr">
        <is>
          <t>None</t>
        </is>
      </c>
      <c r="BN696" s="17" t="n"/>
      <c r="BO696" s="16" t="n"/>
      <c r="BP696" s="20" t="inlineStr">
        <is>
          <t>IC Kationen</t>
        </is>
      </c>
      <c r="BQ696" s="20" t="inlineStr">
        <is>
          <t>None</t>
        </is>
      </c>
      <c r="BR696" s="17" t="n"/>
      <c r="BS696" s="16" t="n"/>
      <c r="BT696" s="20" t="inlineStr">
        <is>
          <t>IC Kationen</t>
        </is>
      </c>
      <c r="BU696" s="20" t="inlineStr">
        <is>
          <t>None</t>
        </is>
      </c>
      <c r="BV696" s="17" t="n"/>
      <c r="BW696" s="16" t="n"/>
      <c r="BX696" s="20" t="n"/>
      <c r="BY696" s="20" t="inlineStr">
        <is>
          <t>None</t>
        </is>
      </c>
      <c r="BZ696" s="17" t="n"/>
      <c r="CA696" s="16" t="n"/>
      <c r="CB696" s="20" t="n"/>
      <c r="CC696" s="20" t="inlineStr">
        <is>
          <t>None</t>
        </is>
      </c>
      <c r="CD696" s="17" t="n"/>
      <c r="CE696" s="16" t="n"/>
      <c r="CF696" s="20" t="n"/>
      <c r="CG696" s="20" t="inlineStr">
        <is>
          <t>None</t>
        </is>
      </c>
      <c r="CH696" s="17" t="n"/>
      <c r="CI696" s="16" t="n"/>
      <c r="CJ696" s="20" t="n"/>
      <c r="CK696" s="20" t="inlineStr">
        <is>
          <t>None</t>
        </is>
      </c>
      <c r="CL696" s="17" t="n"/>
      <c r="CM696" s="16" t="n"/>
      <c r="CN696" s="20" t="inlineStr">
        <is>
          <t>SOP 45-34</t>
        </is>
      </c>
      <c r="CO696" s="20" t="inlineStr">
        <is>
          <t>None</t>
        </is>
      </c>
      <c r="CP696" s="17" t="n"/>
      <c r="CQ696" s="16" t="n"/>
      <c r="CR696" s="20" t="n"/>
      <c r="CS696" s="20" t="inlineStr">
        <is>
          <t>None</t>
        </is>
      </c>
      <c r="CT696" s="17" t="n"/>
      <c r="CU696" s="16" t="n"/>
      <c r="CV696" s="20" t="n"/>
      <c r="CW696" s="20" t="inlineStr">
        <is>
          <t>None</t>
        </is>
      </c>
      <c r="CX696" s="17" t="n"/>
      <c r="CY696" s="16" t="n"/>
      <c r="CZ696" s="20" t="inlineStr">
        <is>
          <t>WTW Multimeter 3430 with FDO 925</t>
        </is>
      </c>
      <c r="DA696" s="20" t="inlineStr">
        <is>
          <t>None</t>
        </is>
      </c>
      <c r="DB696" s="17" t="n"/>
      <c r="DC696" s="16" t="n"/>
      <c r="DD696" s="20" t="n"/>
      <c r="DE696" s="20" t="inlineStr">
        <is>
          <t>None</t>
        </is>
      </c>
      <c r="DF696" s="17" t="n"/>
      <c r="DG696" s="16" t="n"/>
      <c r="DH696" s="20" t="inlineStr">
        <is>
          <t>SOP 45-09</t>
        </is>
      </c>
      <c r="DI696" s="20" t="inlineStr">
        <is>
          <t>None</t>
        </is>
      </c>
      <c r="DJ696" s="17" t="n"/>
      <c r="DK696" s="16" t="n"/>
      <c r="DL696" s="20" t="inlineStr">
        <is>
          <t>SOP 45-09 (SOP muss noch angepasst werden für VSS)</t>
        </is>
      </c>
      <c r="DM696" s="20" t="inlineStr">
        <is>
          <t>None</t>
        </is>
      </c>
      <c r="DN696" s="17" t="n"/>
      <c r="DO696" s="16" t="n"/>
      <c r="DP696" s="20" t="inlineStr">
        <is>
          <t>IC Organic Acids</t>
        </is>
      </c>
      <c r="DQ696" s="20" t="inlineStr">
        <is>
          <t>None</t>
        </is>
      </c>
      <c r="DR696" s="17" t="n"/>
      <c r="DS696" s="16" t="n"/>
      <c r="DT696" s="20" t="inlineStr">
        <is>
          <t>IC Organic Acids</t>
        </is>
      </c>
      <c r="DU696" s="20" t="inlineStr">
        <is>
          <t>None</t>
        </is>
      </c>
      <c r="DV696" s="17" t="n"/>
      <c r="DW696" s="16" t="n"/>
      <c r="DX696" s="20" t="inlineStr">
        <is>
          <t>IC Organic Acids</t>
        </is>
      </c>
      <c r="DY696" s="20" t="inlineStr">
        <is>
          <t>None</t>
        </is>
      </c>
      <c r="DZ696" s="17" t="n"/>
      <c r="EA696" s="16" t="n"/>
      <c r="EB696" s="20" t="inlineStr">
        <is>
          <t>IC Organic Acids</t>
        </is>
      </c>
      <c r="EC696" s="20" t="inlineStr">
        <is>
          <t>None</t>
        </is>
      </c>
      <c r="ED696" s="17" t="n"/>
      <c r="EE696" s="16" t="n"/>
      <c r="EF696" s="20" t="inlineStr">
        <is>
          <t>IC Organic Acids</t>
        </is>
      </c>
      <c r="EG696" s="20" t="inlineStr">
        <is>
          <t>None</t>
        </is>
      </c>
      <c r="EH696" s="17" t="n"/>
      <c r="EI696" s="16" t="n"/>
      <c r="EJ696" s="20" t="inlineStr">
        <is>
          <t>IC Organic Acids</t>
        </is>
      </c>
      <c r="EK696" s="20" t="inlineStr">
        <is>
          <t>None</t>
        </is>
      </c>
      <c r="EL696" s="17" t="n"/>
      <c r="EM696" s="16" t="n"/>
      <c r="EN696" s="20" t="inlineStr">
        <is>
          <t>IC Organic Acids</t>
        </is>
      </c>
      <c r="EO696" s="20" t="inlineStr">
        <is>
          <t>None</t>
        </is>
      </c>
      <c r="EP696" s="17" t="n"/>
      <c r="EQ696" s="16" t="n"/>
      <c r="ER696" s="20" t="inlineStr">
        <is>
          <t>IC Organic Acids</t>
        </is>
      </c>
      <c r="ES696" s="20" t="inlineStr">
        <is>
          <t>None</t>
        </is>
      </c>
      <c r="ET696" s="17" t="n"/>
      <c r="EU696" s="16" t="n"/>
      <c r="EV696" s="20" t="inlineStr">
        <is>
          <t>LC-MS</t>
        </is>
      </c>
      <c r="EW696" s="20" t="inlineStr">
        <is>
          <t>None</t>
        </is>
      </c>
      <c r="EX696" s="17" t="n"/>
      <c r="EY696" s="21" t="n"/>
      <c r="EZ696">
        <f>CONCATENATE(A696,B696)</f>
        <v/>
      </c>
      <c r="FA696">
        <f>CONCATENATE(SamplesX!A696,SamplesX!B696)</f>
        <v/>
      </c>
      <c r="FC696">
        <f>MATCH(EZ696,FA1:FA1008,0)</f>
        <v/>
      </c>
    </row>
    <row r="697">
      <c r="A697" s="16" t="n"/>
      <c r="B697" s="17" t="n"/>
      <c r="C697" s="10">
        <f>IF(ISNUMBER(FC697),INDIRECT("SamplesX!C"&amp;FC697),IF(ISNUMBER(FD697),INDIRECT("SamplesY!C"&amp;FD697),""))</f>
        <v/>
      </c>
      <c r="D697" s="12">
        <f>IF(ISNUMBER(FC697),INDIRECT("SamplesX!D"&amp;FC697),IF(ISNUMBER(FD697),INDIRECT("SamplesY!D"&amp;FD697),""))</f>
        <v/>
      </c>
      <c r="E697" s="12">
        <f>IF(ISNUMBER(FC697),INDIRECT("SamplesX!E"&amp;FC697),IF(ISNUMBER(FD697),INDIRECT("SamplesY!E"&amp;FD697),""))</f>
        <v/>
      </c>
      <c r="F697" s="11">
        <f>IF(ISNUMBER(FC697),INDIRECT("SamplesX!F"&amp;FC697),IF(ISNUMBER(FD697),INDIRECT("SamplesY!F"&amp;FD697),""))</f>
        <v/>
      </c>
      <c r="G697" s="18">
        <f>IF(ISNUMBER(FC697),INDIRECT("SamplesX!G"&amp;FC697),IF(ISNUMBER(FD697),INDIRECT("SamplesY!G"&amp;FD697),""))</f>
        <v/>
      </c>
      <c r="H697" s="19">
        <f>IF(ISNUMBER(FC697),INDIRECT("SamplesX!H"&amp;FC697),IF(ISNUMBER(FD697),INDIRECT("SamplesY!H"&amp;FD697),""))</f>
        <v/>
      </c>
      <c r="I697" s="16" t="n"/>
      <c r="J697" s="16" t="n"/>
      <c r="K697" s="16" t="n"/>
      <c r="L697" s="20" t="n"/>
      <c r="M697" s="20" t="inlineStr">
        <is>
          <t>None</t>
        </is>
      </c>
      <c r="N697" s="17" t="n"/>
      <c r="O697" s="16" t="n"/>
      <c r="P697" s="20" t="inlineStr">
        <is>
          <t>Shimadzu TOC-L</t>
        </is>
      </c>
      <c r="Q697" s="20" t="inlineStr">
        <is>
          <t>None</t>
        </is>
      </c>
      <c r="R697" s="17" t="n"/>
      <c r="S697" s="16" t="n"/>
      <c r="T697" s="20" t="inlineStr">
        <is>
          <t>Shimadzu TOC-L</t>
        </is>
      </c>
      <c r="U697" s="20" t="inlineStr">
        <is>
          <t>None</t>
        </is>
      </c>
      <c r="V697" s="17" t="n"/>
      <c r="W697" s="16" t="n"/>
      <c r="X697" s="20" t="n"/>
      <c r="Y697" s="20" t="inlineStr">
        <is>
          <t>None</t>
        </is>
      </c>
      <c r="Z697" s="17" t="n"/>
      <c r="AA697" s="16" t="n"/>
      <c r="AB697" s="20" t="n"/>
      <c r="AC697" s="20" t="inlineStr">
        <is>
          <t>None</t>
        </is>
      </c>
      <c r="AD697" s="17" t="n"/>
      <c r="AE697" s="16" t="n"/>
      <c r="AF697" s="20" t="inlineStr">
        <is>
          <t>IC Anionen</t>
        </is>
      </c>
      <c r="AG697" s="20" t="inlineStr">
        <is>
          <t>None</t>
        </is>
      </c>
      <c r="AH697" s="17" t="n"/>
      <c r="AI697" s="16" t="n"/>
      <c r="AJ697" s="20" t="n"/>
      <c r="AK697" s="20" t="inlineStr">
        <is>
          <t>None</t>
        </is>
      </c>
      <c r="AL697" s="17" t="n"/>
      <c r="AM697" s="16" t="n"/>
      <c r="AN697" s="20" t="inlineStr">
        <is>
          <t>IC Anionen</t>
        </is>
      </c>
      <c r="AO697" s="20" t="inlineStr">
        <is>
          <t>None</t>
        </is>
      </c>
      <c r="AP697" s="17" t="n"/>
      <c r="AQ697" s="16" t="n"/>
      <c r="AR697" s="20" t="n"/>
      <c r="AS697" s="20" t="inlineStr">
        <is>
          <t>None</t>
        </is>
      </c>
      <c r="AT697" s="17" t="n"/>
      <c r="AU697" s="16" t="n"/>
      <c r="AV697" s="20" t="n"/>
      <c r="AW697" s="20" t="inlineStr">
        <is>
          <t>None</t>
        </is>
      </c>
      <c r="AX697" s="17" t="n"/>
      <c r="AY697" s="16" t="n"/>
      <c r="AZ697" s="20" t="inlineStr">
        <is>
          <t>IC Anionen</t>
        </is>
      </c>
      <c r="BA697" s="20" t="inlineStr">
        <is>
          <t>None</t>
        </is>
      </c>
      <c r="BB697" s="17" t="n"/>
      <c r="BC697" s="16" t="n"/>
      <c r="BD697" s="20" t="inlineStr">
        <is>
          <t>IC Kationen</t>
        </is>
      </c>
      <c r="BE697" s="20" t="inlineStr">
        <is>
          <t>None</t>
        </is>
      </c>
      <c r="BF697" s="17" t="n"/>
      <c r="BG697" s="16" t="n"/>
      <c r="BH697" s="20" t="inlineStr">
        <is>
          <t>IC Kationen</t>
        </is>
      </c>
      <c r="BI697" s="20" t="inlineStr">
        <is>
          <t>None</t>
        </is>
      </c>
      <c r="BJ697" s="17" t="n"/>
      <c r="BK697" s="16" t="n"/>
      <c r="BL697" s="20" t="inlineStr">
        <is>
          <t>IC Kationen</t>
        </is>
      </c>
      <c r="BM697" s="20" t="inlineStr">
        <is>
          <t>None</t>
        </is>
      </c>
      <c r="BN697" s="17" t="n"/>
      <c r="BO697" s="16" t="n"/>
      <c r="BP697" s="20" t="inlineStr">
        <is>
          <t>IC Kationen</t>
        </is>
      </c>
      <c r="BQ697" s="20" t="inlineStr">
        <is>
          <t>None</t>
        </is>
      </c>
      <c r="BR697" s="17" t="n"/>
      <c r="BS697" s="16" t="n"/>
      <c r="BT697" s="20" t="inlineStr">
        <is>
          <t>IC Kationen</t>
        </is>
      </c>
      <c r="BU697" s="20" t="inlineStr">
        <is>
          <t>None</t>
        </is>
      </c>
      <c r="BV697" s="17" t="n"/>
      <c r="BW697" s="16" t="n"/>
      <c r="BX697" s="20" t="n"/>
      <c r="BY697" s="20" t="inlineStr">
        <is>
          <t>None</t>
        </is>
      </c>
      <c r="BZ697" s="17" t="n"/>
      <c r="CA697" s="16" t="n"/>
      <c r="CB697" s="20" t="n"/>
      <c r="CC697" s="20" t="inlineStr">
        <is>
          <t>None</t>
        </is>
      </c>
      <c r="CD697" s="17" t="n"/>
      <c r="CE697" s="16" t="n"/>
      <c r="CF697" s="20" t="n"/>
      <c r="CG697" s="20" t="inlineStr">
        <is>
          <t>None</t>
        </is>
      </c>
      <c r="CH697" s="17" t="n"/>
      <c r="CI697" s="16" t="n"/>
      <c r="CJ697" s="20" t="n"/>
      <c r="CK697" s="20" t="inlineStr">
        <is>
          <t>None</t>
        </is>
      </c>
      <c r="CL697" s="17" t="n"/>
      <c r="CM697" s="16" t="n"/>
      <c r="CN697" s="20" t="inlineStr">
        <is>
          <t>SOP 45-34</t>
        </is>
      </c>
      <c r="CO697" s="20" t="inlineStr">
        <is>
          <t>None</t>
        </is>
      </c>
      <c r="CP697" s="17" t="n"/>
      <c r="CQ697" s="16" t="n"/>
      <c r="CR697" s="20" t="n"/>
      <c r="CS697" s="20" t="inlineStr">
        <is>
          <t>None</t>
        </is>
      </c>
      <c r="CT697" s="17" t="n"/>
      <c r="CU697" s="16" t="n"/>
      <c r="CV697" s="20" t="n"/>
      <c r="CW697" s="20" t="inlineStr">
        <is>
          <t>None</t>
        </is>
      </c>
      <c r="CX697" s="17" t="n"/>
      <c r="CY697" s="16" t="n"/>
      <c r="CZ697" s="20" t="inlineStr">
        <is>
          <t>WTW Multimeter 3430 with FDO 925</t>
        </is>
      </c>
      <c r="DA697" s="20" t="inlineStr">
        <is>
          <t>None</t>
        </is>
      </c>
      <c r="DB697" s="17" t="n"/>
      <c r="DC697" s="16" t="n"/>
      <c r="DD697" s="20" t="n"/>
      <c r="DE697" s="20" t="inlineStr">
        <is>
          <t>None</t>
        </is>
      </c>
      <c r="DF697" s="17" t="n"/>
      <c r="DG697" s="16" t="n"/>
      <c r="DH697" s="20" t="inlineStr">
        <is>
          <t>SOP 45-09</t>
        </is>
      </c>
      <c r="DI697" s="20" t="inlineStr">
        <is>
          <t>None</t>
        </is>
      </c>
      <c r="DJ697" s="17" t="n"/>
      <c r="DK697" s="16" t="n"/>
      <c r="DL697" s="20" t="inlineStr">
        <is>
          <t>SOP 45-09 (SOP muss noch angepasst werden für VSS)</t>
        </is>
      </c>
      <c r="DM697" s="20" t="inlineStr">
        <is>
          <t>None</t>
        </is>
      </c>
      <c r="DN697" s="17" t="n"/>
      <c r="DO697" s="16" t="n"/>
      <c r="DP697" s="20" t="inlineStr">
        <is>
          <t>IC Organic Acids</t>
        </is>
      </c>
      <c r="DQ697" s="20" t="inlineStr">
        <is>
          <t>None</t>
        </is>
      </c>
      <c r="DR697" s="17" t="n"/>
      <c r="DS697" s="16" t="n"/>
      <c r="DT697" s="20" t="inlineStr">
        <is>
          <t>IC Organic Acids</t>
        </is>
      </c>
      <c r="DU697" s="20" t="inlineStr">
        <is>
          <t>None</t>
        </is>
      </c>
      <c r="DV697" s="17" t="n"/>
      <c r="DW697" s="16" t="n"/>
      <c r="DX697" s="20" t="inlineStr">
        <is>
          <t>IC Organic Acids</t>
        </is>
      </c>
      <c r="DY697" s="20" t="inlineStr">
        <is>
          <t>None</t>
        </is>
      </c>
      <c r="DZ697" s="17" t="n"/>
      <c r="EA697" s="16" t="n"/>
      <c r="EB697" s="20" t="inlineStr">
        <is>
          <t>IC Organic Acids</t>
        </is>
      </c>
      <c r="EC697" s="20" t="inlineStr">
        <is>
          <t>None</t>
        </is>
      </c>
      <c r="ED697" s="17" t="n"/>
      <c r="EE697" s="16" t="n"/>
      <c r="EF697" s="20" t="inlineStr">
        <is>
          <t>IC Organic Acids</t>
        </is>
      </c>
      <c r="EG697" s="20" t="inlineStr">
        <is>
          <t>None</t>
        </is>
      </c>
      <c r="EH697" s="17" t="n"/>
      <c r="EI697" s="16" t="n"/>
      <c r="EJ697" s="20" t="inlineStr">
        <is>
          <t>IC Organic Acids</t>
        </is>
      </c>
      <c r="EK697" s="20" t="inlineStr">
        <is>
          <t>None</t>
        </is>
      </c>
      <c r="EL697" s="17" t="n"/>
      <c r="EM697" s="16" t="n"/>
      <c r="EN697" s="20" t="inlineStr">
        <is>
          <t>IC Organic Acids</t>
        </is>
      </c>
      <c r="EO697" s="20" t="inlineStr">
        <is>
          <t>None</t>
        </is>
      </c>
      <c r="EP697" s="17" t="n"/>
      <c r="EQ697" s="16" t="n"/>
      <c r="ER697" s="20" t="inlineStr">
        <is>
          <t>IC Organic Acids</t>
        </is>
      </c>
      <c r="ES697" s="20" t="inlineStr">
        <is>
          <t>None</t>
        </is>
      </c>
      <c r="ET697" s="17" t="n"/>
      <c r="EU697" s="16" t="n"/>
      <c r="EV697" s="20" t="inlineStr">
        <is>
          <t>LC-MS</t>
        </is>
      </c>
      <c r="EW697" s="20" t="inlineStr">
        <is>
          <t>None</t>
        </is>
      </c>
      <c r="EX697" s="17" t="n"/>
      <c r="EY697" s="21" t="n"/>
      <c r="EZ697">
        <f>CONCATENATE(A697,B697)</f>
        <v/>
      </c>
      <c r="FA697">
        <f>CONCATENATE(SamplesX!A697,SamplesX!B697)</f>
        <v/>
      </c>
      <c r="FC697">
        <f>MATCH(EZ697,FA1:FA1008,0)</f>
        <v/>
      </c>
    </row>
    <row r="698">
      <c r="A698" s="16" t="n"/>
      <c r="B698" s="17" t="n"/>
      <c r="C698" s="10">
        <f>IF(ISNUMBER(FC698),INDIRECT("SamplesX!C"&amp;FC698),IF(ISNUMBER(FD698),INDIRECT("SamplesY!C"&amp;FD698),""))</f>
        <v/>
      </c>
      <c r="D698" s="12">
        <f>IF(ISNUMBER(FC698),INDIRECT("SamplesX!D"&amp;FC698),IF(ISNUMBER(FD698),INDIRECT("SamplesY!D"&amp;FD698),""))</f>
        <v/>
      </c>
      <c r="E698" s="12">
        <f>IF(ISNUMBER(FC698),INDIRECT("SamplesX!E"&amp;FC698),IF(ISNUMBER(FD698),INDIRECT("SamplesY!E"&amp;FD698),""))</f>
        <v/>
      </c>
      <c r="F698" s="11">
        <f>IF(ISNUMBER(FC698),INDIRECT("SamplesX!F"&amp;FC698),IF(ISNUMBER(FD698),INDIRECT("SamplesY!F"&amp;FD698),""))</f>
        <v/>
      </c>
      <c r="G698" s="18">
        <f>IF(ISNUMBER(FC698),INDIRECT("SamplesX!G"&amp;FC698),IF(ISNUMBER(FD698),INDIRECT("SamplesY!G"&amp;FD698),""))</f>
        <v/>
      </c>
      <c r="H698" s="19">
        <f>IF(ISNUMBER(FC698),INDIRECT("SamplesX!H"&amp;FC698),IF(ISNUMBER(FD698),INDIRECT("SamplesY!H"&amp;FD698),""))</f>
        <v/>
      </c>
      <c r="I698" s="16" t="n"/>
      <c r="J698" s="16" t="n"/>
      <c r="K698" s="16" t="n"/>
      <c r="L698" s="20" t="n"/>
      <c r="M698" s="20" t="inlineStr">
        <is>
          <t>None</t>
        </is>
      </c>
      <c r="N698" s="17" t="n"/>
      <c r="O698" s="16" t="n"/>
      <c r="P698" s="20" t="inlineStr">
        <is>
          <t>Shimadzu TOC-L</t>
        </is>
      </c>
      <c r="Q698" s="20" t="inlineStr">
        <is>
          <t>None</t>
        </is>
      </c>
      <c r="R698" s="17" t="n"/>
      <c r="S698" s="16" t="n"/>
      <c r="T698" s="20" t="inlineStr">
        <is>
          <t>Shimadzu TOC-L</t>
        </is>
      </c>
      <c r="U698" s="20" t="inlineStr">
        <is>
          <t>None</t>
        </is>
      </c>
      <c r="V698" s="17" t="n"/>
      <c r="W698" s="16" t="n"/>
      <c r="X698" s="20" t="n"/>
      <c r="Y698" s="20" t="inlineStr">
        <is>
          <t>None</t>
        </is>
      </c>
      <c r="Z698" s="17" t="n"/>
      <c r="AA698" s="16" t="n"/>
      <c r="AB698" s="20" t="n"/>
      <c r="AC698" s="20" t="inlineStr">
        <is>
          <t>None</t>
        </is>
      </c>
      <c r="AD698" s="17" t="n"/>
      <c r="AE698" s="16" t="n"/>
      <c r="AF698" s="20" t="inlineStr">
        <is>
          <t>IC Anionen</t>
        </is>
      </c>
      <c r="AG698" s="20" t="inlineStr">
        <is>
          <t>None</t>
        </is>
      </c>
      <c r="AH698" s="17" t="n"/>
      <c r="AI698" s="16" t="n"/>
      <c r="AJ698" s="20" t="n"/>
      <c r="AK698" s="20" t="inlineStr">
        <is>
          <t>None</t>
        </is>
      </c>
      <c r="AL698" s="17" t="n"/>
      <c r="AM698" s="16" t="n"/>
      <c r="AN698" s="20" t="inlineStr">
        <is>
          <t>IC Anionen</t>
        </is>
      </c>
      <c r="AO698" s="20" t="inlineStr">
        <is>
          <t>None</t>
        </is>
      </c>
      <c r="AP698" s="17" t="n"/>
      <c r="AQ698" s="16" t="n"/>
      <c r="AR698" s="20" t="n"/>
      <c r="AS698" s="20" t="inlineStr">
        <is>
          <t>None</t>
        </is>
      </c>
      <c r="AT698" s="17" t="n"/>
      <c r="AU698" s="16" t="n"/>
      <c r="AV698" s="20" t="n"/>
      <c r="AW698" s="20" t="inlineStr">
        <is>
          <t>None</t>
        </is>
      </c>
      <c r="AX698" s="17" t="n"/>
      <c r="AY698" s="16" t="n"/>
      <c r="AZ698" s="20" t="inlineStr">
        <is>
          <t>IC Anionen</t>
        </is>
      </c>
      <c r="BA698" s="20" t="inlineStr">
        <is>
          <t>None</t>
        </is>
      </c>
      <c r="BB698" s="17" t="n"/>
      <c r="BC698" s="16" t="n"/>
      <c r="BD698" s="20" t="inlineStr">
        <is>
          <t>IC Kationen</t>
        </is>
      </c>
      <c r="BE698" s="20" t="inlineStr">
        <is>
          <t>None</t>
        </is>
      </c>
      <c r="BF698" s="17" t="n"/>
      <c r="BG698" s="16" t="n"/>
      <c r="BH698" s="20" t="inlineStr">
        <is>
          <t>IC Kationen</t>
        </is>
      </c>
      <c r="BI698" s="20" t="inlineStr">
        <is>
          <t>None</t>
        </is>
      </c>
      <c r="BJ698" s="17" t="n"/>
      <c r="BK698" s="16" t="n"/>
      <c r="BL698" s="20" t="inlineStr">
        <is>
          <t>IC Kationen</t>
        </is>
      </c>
      <c r="BM698" s="20" t="inlineStr">
        <is>
          <t>None</t>
        </is>
      </c>
      <c r="BN698" s="17" t="n"/>
      <c r="BO698" s="16" t="n"/>
      <c r="BP698" s="20" t="inlineStr">
        <is>
          <t>IC Kationen</t>
        </is>
      </c>
      <c r="BQ698" s="20" t="inlineStr">
        <is>
          <t>None</t>
        </is>
      </c>
      <c r="BR698" s="17" t="n"/>
      <c r="BS698" s="16" t="n"/>
      <c r="BT698" s="20" t="inlineStr">
        <is>
          <t>IC Kationen</t>
        </is>
      </c>
      <c r="BU698" s="20" t="inlineStr">
        <is>
          <t>None</t>
        </is>
      </c>
      <c r="BV698" s="17" t="n"/>
      <c r="BW698" s="16" t="n"/>
      <c r="BX698" s="20" t="n"/>
      <c r="BY698" s="20" t="inlineStr">
        <is>
          <t>None</t>
        </is>
      </c>
      <c r="BZ698" s="17" t="n"/>
      <c r="CA698" s="16" t="n"/>
      <c r="CB698" s="20" t="n"/>
      <c r="CC698" s="20" t="inlineStr">
        <is>
          <t>None</t>
        </is>
      </c>
      <c r="CD698" s="17" t="n"/>
      <c r="CE698" s="16" t="n"/>
      <c r="CF698" s="20" t="n"/>
      <c r="CG698" s="20" t="inlineStr">
        <is>
          <t>None</t>
        </is>
      </c>
      <c r="CH698" s="17" t="n"/>
      <c r="CI698" s="16" t="n"/>
      <c r="CJ698" s="20" t="n"/>
      <c r="CK698" s="20" t="inlineStr">
        <is>
          <t>None</t>
        </is>
      </c>
      <c r="CL698" s="17" t="n"/>
      <c r="CM698" s="16" t="n"/>
      <c r="CN698" s="20" t="inlineStr">
        <is>
          <t>SOP 45-34</t>
        </is>
      </c>
      <c r="CO698" s="20" t="inlineStr">
        <is>
          <t>None</t>
        </is>
      </c>
      <c r="CP698" s="17" t="n"/>
      <c r="CQ698" s="16" t="n"/>
      <c r="CR698" s="20" t="n"/>
      <c r="CS698" s="20" t="inlineStr">
        <is>
          <t>None</t>
        </is>
      </c>
      <c r="CT698" s="17" t="n"/>
      <c r="CU698" s="16" t="n"/>
      <c r="CV698" s="20" t="n"/>
      <c r="CW698" s="20" t="inlineStr">
        <is>
          <t>None</t>
        </is>
      </c>
      <c r="CX698" s="17" t="n"/>
      <c r="CY698" s="16" t="n"/>
      <c r="CZ698" s="20" t="inlineStr">
        <is>
          <t>WTW Multimeter 3430 with FDO 925</t>
        </is>
      </c>
      <c r="DA698" s="20" t="inlineStr">
        <is>
          <t>None</t>
        </is>
      </c>
      <c r="DB698" s="17" t="n"/>
      <c r="DC698" s="16" t="n"/>
      <c r="DD698" s="20" t="n"/>
      <c r="DE698" s="20" t="inlineStr">
        <is>
          <t>None</t>
        </is>
      </c>
      <c r="DF698" s="17" t="n"/>
      <c r="DG698" s="16" t="n"/>
      <c r="DH698" s="20" t="inlineStr">
        <is>
          <t>SOP 45-09</t>
        </is>
      </c>
      <c r="DI698" s="20" t="inlineStr">
        <is>
          <t>None</t>
        </is>
      </c>
      <c r="DJ698" s="17" t="n"/>
      <c r="DK698" s="16" t="n"/>
      <c r="DL698" s="20" t="inlineStr">
        <is>
          <t>SOP 45-09 (SOP muss noch angepasst werden für VSS)</t>
        </is>
      </c>
      <c r="DM698" s="20" t="inlineStr">
        <is>
          <t>None</t>
        </is>
      </c>
      <c r="DN698" s="17" t="n"/>
      <c r="DO698" s="16" t="n"/>
      <c r="DP698" s="20" t="inlineStr">
        <is>
          <t>IC Organic Acids</t>
        </is>
      </c>
      <c r="DQ698" s="20" t="inlineStr">
        <is>
          <t>None</t>
        </is>
      </c>
      <c r="DR698" s="17" t="n"/>
      <c r="DS698" s="16" t="n"/>
      <c r="DT698" s="20" t="inlineStr">
        <is>
          <t>IC Organic Acids</t>
        </is>
      </c>
      <c r="DU698" s="20" t="inlineStr">
        <is>
          <t>None</t>
        </is>
      </c>
      <c r="DV698" s="17" t="n"/>
      <c r="DW698" s="16" t="n"/>
      <c r="DX698" s="20" t="inlineStr">
        <is>
          <t>IC Organic Acids</t>
        </is>
      </c>
      <c r="DY698" s="20" t="inlineStr">
        <is>
          <t>None</t>
        </is>
      </c>
      <c r="DZ698" s="17" t="n"/>
      <c r="EA698" s="16" t="n"/>
      <c r="EB698" s="20" t="inlineStr">
        <is>
          <t>IC Organic Acids</t>
        </is>
      </c>
      <c r="EC698" s="20" t="inlineStr">
        <is>
          <t>None</t>
        </is>
      </c>
      <c r="ED698" s="17" t="n"/>
      <c r="EE698" s="16" t="n"/>
      <c r="EF698" s="20" t="inlineStr">
        <is>
          <t>IC Organic Acids</t>
        </is>
      </c>
      <c r="EG698" s="20" t="inlineStr">
        <is>
          <t>None</t>
        </is>
      </c>
      <c r="EH698" s="17" t="n"/>
      <c r="EI698" s="16" t="n"/>
      <c r="EJ698" s="20" t="inlineStr">
        <is>
          <t>IC Organic Acids</t>
        </is>
      </c>
      <c r="EK698" s="20" t="inlineStr">
        <is>
          <t>None</t>
        </is>
      </c>
      <c r="EL698" s="17" t="n"/>
      <c r="EM698" s="16" t="n"/>
      <c r="EN698" s="20" t="inlineStr">
        <is>
          <t>IC Organic Acids</t>
        </is>
      </c>
      <c r="EO698" s="20" t="inlineStr">
        <is>
          <t>None</t>
        </is>
      </c>
      <c r="EP698" s="17" t="n"/>
      <c r="EQ698" s="16" t="n"/>
      <c r="ER698" s="20" t="inlineStr">
        <is>
          <t>IC Organic Acids</t>
        </is>
      </c>
      <c r="ES698" s="20" t="inlineStr">
        <is>
          <t>None</t>
        </is>
      </c>
      <c r="ET698" s="17" t="n"/>
      <c r="EU698" s="16" t="n"/>
      <c r="EV698" s="20" t="inlineStr">
        <is>
          <t>LC-MS</t>
        </is>
      </c>
      <c r="EW698" s="20" t="inlineStr">
        <is>
          <t>None</t>
        </is>
      </c>
      <c r="EX698" s="17" t="n"/>
      <c r="EY698" s="21" t="n"/>
      <c r="EZ698">
        <f>CONCATENATE(A698,B698)</f>
        <v/>
      </c>
      <c r="FA698">
        <f>CONCATENATE(SamplesX!A698,SamplesX!B698)</f>
        <v/>
      </c>
      <c r="FC698">
        <f>MATCH(EZ698,FA1:FA1008,0)</f>
        <v/>
      </c>
    </row>
    <row r="699">
      <c r="A699" s="16" t="n"/>
      <c r="B699" s="17" t="n"/>
      <c r="C699" s="10">
        <f>IF(ISNUMBER(FC699),INDIRECT("SamplesX!C"&amp;FC699),IF(ISNUMBER(FD699),INDIRECT("SamplesY!C"&amp;FD699),""))</f>
        <v/>
      </c>
      <c r="D699" s="12">
        <f>IF(ISNUMBER(FC699),INDIRECT("SamplesX!D"&amp;FC699),IF(ISNUMBER(FD699),INDIRECT("SamplesY!D"&amp;FD699),""))</f>
        <v/>
      </c>
      <c r="E699" s="12">
        <f>IF(ISNUMBER(FC699),INDIRECT("SamplesX!E"&amp;FC699),IF(ISNUMBER(FD699),INDIRECT("SamplesY!E"&amp;FD699),""))</f>
        <v/>
      </c>
      <c r="F699" s="11">
        <f>IF(ISNUMBER(FC699),INDIRECT("SamplesX!F"&amp;FC699),IF(ISNUMBER(FD699),INDIRECT("SamplesY!F"&amp;FD699),""))</f>
        <v/>
      </c>
      <c r="G699" s="18">
        <f>IF(ISNUMBER(FC699),INDIRECT("SamplesX!G"&amp;FC699),IF(ISNUMBER(FD699),INDIRECT("SamplesY!G"&amp;FD699),""))</f>
        <v/>
      </c>
      <c r="H699" s="19">
        <f>IF(ISNUMBER(FC699),INDIRECT("SamplesX!H"&amp;FC699),IF(ISNUMBER(FD699),INDIRECT("SamplesY!H"&amp;FD699),""))</f>
        <v/>
      </c>
      <c r="I699" s="16" t="n"/>
      <c r="J699" s="16" t="n"/>
      <c r="K699" s="16" t="n"/>
      <c r="L699" s="20" t="n"/>
      <c r="M699" s="20" t="inlineStr">
        <is>
          <t>None</t>
        </is>
      </c>
      <c r="N699" s="17" t="n"/>
      <c r="O699" s="16" t="n"/>
      <c r="P699" s="20" t="inlineStr">
        <is>
          <t>Shimadzu TOC-L</t>
        </is>
      </c>
      <c r="Q699" s="20" t="inlineStr">
        <is>
          <t>None</t>
        </is>
      </c>
      <c r="R699" s="17" t="n"/>
      <c r="S699" s="16" t="n"/>
      <c r="T699" s="20" t="inlineStr">
        <is>
          <t>Shimadzu TOC-L</t>
        </is>
      </c>
      <c r="U699" s="20" t="inlineStr">
        <is>
          <t>None</t>
        </is>
      </c>
      <c r="V699" s="17" t="n"/>
      <c r="W699" s="16" t="n"/>
      <c r="X699" s="20" t="n"/>
      <c r="Y699" s="20" t="inlineStr">
        <is>
          <t>None</t>
        </is>
      </c>
      <c r="Z699" s="17" t="n"/>
      <c r="AA699" s="16" t="n"/>
      <c r="AB699" s="20" t="n"/>
      <c r="AC699" s="20" t="inlineStr">
        <is>
          <t>None</t>
        </is>
      </c>
      <c r="AD699" s="17" t="n"/>
      <c r="AE699" s="16" t="n"/>
      <c r="AF699" s="20" t="inlineStr">
        <is>
          <t>IC Anionen</t>
        </is>
      </c>
      <c r="AG699" s="20" t="inlineStr">
        <is>
          <t>None</t>
        </is>
      </c>
      <c r="AH699" s="17" t="n"/>
      <c r="AI699" s="16" t="n"/>
      <c r="AJ699" s="20" t="n"/>
      <c r="AK699" s="20" t="inlineStr">
        <is>
          <t>None</t>
        </is>
      </c>
      <c r="AL699" s="17" t="n"/>
      <c r="AM699" s="16" t="n"/>
      <c r="AN699" s="20" t="inlineStr">
        <is>
          <t>IC Anionen</t>
        </is>
      </c>
      <c r="AO699" s="20" t="inlineStr">
        <is>
          <t>None</t>
        </is>
      </c>
      <c r="AP699" s="17" t="n"/>
      <c r="AQ699" s="16" t="n"/>
      <c r="AR699" s="20" t="n"/>
      <c r="AS699" s="20" t="inlineStr">
        <is>
          <t>None</t>
        </is>
      </c>
      <c r="AT699" s="17" t="n"/>
      <c r="AU699" s="16" t="n"/>
      <c r="AV699" s="20" t="n"/>
      <c r="AW699" s="20" t="inlineStr">
        <is>
          <t>None</t>
        </is>
      </c>
      <c r="AX699" s="17" t="n"/>
      <c r="AY699" s="16" t="n"/>
      <c r="AZ699" s="20" t="inlineStr">
        <is>
          <t>IC Anionen</t>
        </is>
      </c>
      <c r="BA699" s="20" t="inlineStr">
        <is>
          <t>None</t>
        </is>
      </c>
      <c r="BB699" s="17" t="n"/>
      <c r="BC699" s="16" t="n"/>
      <c r="BD699" s="20" t="inlineStr">
        <is>
          <t>IC Kationen</t>
        </is>
      </c>
      <c r="BE699" s="20" t="inlineStr">
        <is>
          <t>None</t>
        </is>
      </c>
      <c r="BF699" s="17" t="n"/>
      <c r="BG699" s="16" t="n"/>
      <c r="BH699" s="20" t="inlineStr">
        <is>
          <t>IC Kationen</t>
        </is>
      </c>
      <c r="BI699" s="20" t="inlineStr">
        <is>
          <t>None</t>
        </is>
      </c>
      <c r="BJ699" s="17" t="n"/>
      <c r="BK699" s="16" t="n"/>
      <c r="BL699" s="20" t="inlineStr">
        <is>
          <t>IC Kationen</t>
        </is>
      </c>
      <c r="BM699" s="20" t="inlineStr">
        <is>
          <t>None</t>
        </is>
      </c>
      <c r="BN699" s="17" t="n"/>
      <c r="BO699" s="16" t="n"/>
      <c r="BP699" s="20" t="inlineStr">
        <is>
          <t>IC Kationen</t>
        </is>
      </c>
      <c r="BQ699" s="20" t="inlineStr">
        <is>
          <t>None</t>
        </is>
      </c>
      <c r="BR699" s="17" t="n"/>
      <c r="BS699" s="16" t="n"/>
      <c r="BT699" s="20" t="inlineStr">
        <is>
          <t>IC Kationen</t>
        </is>
      </c>
      <c r="BU699" s="20" t="inlineStr">
        <is>
          <t>None</t>
        </is>
      </c>
      <c r="BV699" s="17" t="n"/>
      <c r="BW699" s="16" t="n"/>
      <c r="BX699" s="20" t="n"/>
      <c r="BY699" s="20" t="inlineStr">
        <is>
          <t>None</t>
        </is>
      </c>
      <c r="BZ699" s="17" t="n"/>
      <c r="CA699" s="16" t="n"/>
      <c r="CB699" s="20" t="n"/>
      <c r="CC699" s="20" t="inlineStr">
        <is>
          <t>None</t>
        </is>
      </c>
      <c r="CD699" s="17" t="n"/>
      <c r="CE699" s="16" t="n"/>
      <c r="CF699" s="20" t="n"/>
      <c r="CG699" s="20" t="inlineStr">
        <is>
          <t>None</t>
        </is>
      </c>
      <c r="CH699" s="17" t="n"/>
      <c r="CI699" s="16" t="n"/>
      <c r="CJ699" s="20" t="n"/>
      <c r="CK699" s="20" t="inlineStr">
        <is>
          <t>None</t>
        </is>
      </c>
      <c r="CL699" s="17" t="n"/>
      <c r="CM699" s="16" t="n"/>
      <c r="CN699" s="20" t="inlineStr">
        <is>
          <t>SOP 45-34</t>
        </is>
      </c>
      <c r="CO699" s="20" t="inlineStr">
        <is>
          <t>None</t>
        </is>
      </c>
      <c r="CP699" s="17" t="n"/>
      <c r="CQ699" s="16" t="n"/>
      <c r="CR699" s="20" t="n"/>
      <c r="CS699" s="20" t="inlineStr">
        <is>
          <t>None</t>
        </is>
      </c>
      <c r="CT699" s="17" t="n"/>
      <c r="CU699" s="16" t="n"/>
      <c r="CV699" s="20" t="n"/>
      <c r="CW699" s="20" t="inlineStr">
        <is>
          <t>None</t>
        </is>
      </c>
      <c r="CX699" s="17" t="n"/>
      <c r="CY699" s="16" t="n"/>
      <c r="CZ699" s="20" t="inlineStr">
        <is>
          <t>WTW Multimeter 3430 with FDO 925</t>
        </is>
      </c>
      <c r="DA699" s="20" t="inlineStr">
        <is>
          <t>None</t>
        </is>
      </c>
      <c r="DB699" s="17" t="n"/>
      <c r="DC699" s="16" t="n"/>
      <c r="DD699" s="20" t="n"/>
      <c r="DE699" s="20" t="inlineStr">
        <is>
          <t>None</t>
        </is>
      </c>
      <c r="DF699" s="17" t="n"/>
      <c r="DG699" s="16" t="n"/>
      <c r="DH699" s="20" t="inlineStr">
        <is>
          <t>SOP 45-09</t>
        </is>
      </c>
      <c r="DI699" s="20" t="inlineStr">
        <is>
          <t>None</t>
        </is>
      </c>
      <c r="DJ699" s="17" t="n"/>
      <c r="DK699" s="16" t="n"/>
      <c r="DL699" s="20" t="inlineStr">
        <is>
          <t>SOP 45-09 (SOP muss noch angepasst werden für VSS)</t>
        </is>
      </c>
      <c r="DM699" s="20" t="inlineStr">
        <is>
          <t>None</t>
        </is>
      </c>
      <c r="DN699" s="17" t="n"/>
      <c r="DO699" s="16" t="n"/>
      <c r="DP699" s="20" t="inlineStr">
        <is>
          <t>IC Organic Acids</t>
        </is>
      </c>
      <c r="DQ699" s="20" t="inlineStr">
        <is>
          <t>None</t>
        </is>
      </c>
      <c r="DR699" s="17" t="n"/>
      <c r="DS699" s="16" t="n"/>
      <c r="DT699" s="20" t="inlineStr">
        <is>
          <t>IC Organic Acids</t>
        </is>
      </c>
      <c r="DU699" s="20" t="inlineStr">
        <is>
          <t>None</t>
        </is>
      </c>
      <c r="DV699" s="17" t="n"/>
      <c r="DW699" s="16" t="n"/>
      <c r="DX699" s="20" t="inlineStr">
        <is>
          <t>IC Organic Acids</t>
        </is>
      </c>
      <c r="DY699" s="20" t="inlineStr">
        <is>
          <t>None</t>
        </is>
      </c>
      <c r="DZ699" s="17" t="n"/>
      <c r="EA699" s="16" t="n"/>
      <c r="EB699" s="20" t="inlineStr">
        <is>
          <t>IC Organic Acids</t>
        </is>
      </c>
      <c r="EC699" s="20" t="inlineStr">
        <is>
          <t>None</t>
        </is>
      </c>
      <c r="ED699" s="17" t="n"/>
      <c r="EE699" s="16" t="n"/>
      <c r="EF699" s="20" t="inlineStr">
        <is>
          <t>IC Organic Acids</t>
        </is>
      </c>
      <c r="EG699" s="20" t="inlineStr">
        <is>
          <t>None</t>
        </is>
      </c>
      <c r="EH699" s="17" t="n"/>
      <c r="EI699" s="16" t="n"/>
      <c r="EJ699" s="20" t="inlineStr">
        <is>
          <t>IC Organic Acids</t>
        </is>
      </c>
      <c r="EK699" s="20" t="inlineStr">
        <is>
          <t>None</t>
        </is>
      </c>
      <c r="EL699" s="17" t="n"/>
      <c r="EM699" s="16" t="n"/>
      <c r="EN699" s="20" t="inlineStr">
        <is>
          <t>IC Organic Acids</t>
        </is>
      </c>
      <c r="EO699" s="20" t="inlineStr">
        <is>
          <t>None</t>
        </is>
      </c>
      <c r="EP699" s="17" t="n"/>
      <c r="EQ699" s="16" t="n"/>
      <c r="ER699" s="20" t="inlineStr">
        <is>
          <t>IC Organic Acids</t>
        </is>
      </c>
      <c r="ES699" s="20" t="inlineStr">
        <is>
          <t>None</t>
        </is>
      </c>
      <c r="ET699" s="17" t="n"/>
      <c r="EU699" s="16" t="n"/>
      <c r="EV699" s="20" t="inlineStr">
        <is>
          <t>LC-MS</t>
        </is>
      </c>
      <c r="EW699" s="20" t="inlineStr">
        <is>
          <t>None</t>
        </is>
      </c>
      <c r="EX699" s="17" t="n"/>
      <c r="EY699" s="21" t="n"/>
      <c r="EZ699">
        <f>CONCATENATE(A699,B699)</f>
        <v/>
      </c>
      <c r="FA699">
        <f>CONCATENATE(SamplesX!A699,SamplesX!B699)</f>
        <v/>
      </c>
      <c r="FC699">
        <f>MATCH(EZ699,FA1:FA1008,0)</f>
        <v/>
      </c>
    </row>
    <row r="700">
      <c r="A700" s="16" t="n"/>
      <c r="B700" s="17" t="n"/>
      <c r="C700" s="10">
        <f>IF(ISNUMBER(FC700),INDIRECT("SamplesX!C"&amp;FC700),IF(ISNUMBER(FD700),INDIRECT("SamplesY!C"&amp;FD700),""))</f>
        <v/>
      </c>
      <c r="D700" s="12">
        <f>IF(ISNUMBER(FC700),INDIRECT("SamplesX!D"&amp;FC700),IF(ISNUMBER(FD700),INDIRECT("SamplesY!D"&amp;FD700),""))</f>
        <v/>
      </c>
      <c r="E700" s="12">
        <f>IF(ISNUMBER(FC700),INDIRECT("SamplesX!E"&amp;FC700),IF(ISNUMBER(FD700),INDIRECT("SamplesY!E"&amp;FD700),""))</f>
        <v/>
      </c>
      <c r="F700" s="11">
        <f>IF(ISNUMBER(FC700),INDIRECT("SamplesX!F"&amp;FC700),IF(ISNUMBER(FD700),INDIRECT("SamplesY!F"&amp;FD700),""))</f>
        <v/>
      </c>
      <c r="G700" s="18">
        <f>IF(ISNUMBER(FC700),INDIRECT("SamplesX!G"&amp;FC700),IF(ISNUMBER(FD700),INDIRECT("SamplesY!G"&amp;FD700),""))</f>
        <v/>
      </c>
      <c r="H700" s="19">
        <f>IF(ISNUMBER(FC700),INDIRECT("SamplesX!H"&amp;FC700),IF(ISNUMBER(FD700),INDIRECT("SamplesY!H"&amp;FD700),""))</f>
        <v/>
      </c>
      <c r="I700" s="16" t="n"/>
      <c r="J700" s="16" t="n"/>
      <c r="K700" s="16" t="n"/>
      <c r="L700" s="20" t="n"/>
      <c r="M700" s="20" t="inlineStr">
        <is>
          <t>None</t>
        </is>
      </c>
      <c r="N700" s="17" t="n"/>
      <c r="O700" s="16" t="n"/>
      <c r="P700" s="20" t="inlineStr">
        <is>
          <t>Shimadzu TOC-L</t>
        </is>
      </c>
      <c r="Q700" s="20" t="inlineStr">
        <is>
          <t>None</t>
        </is>
      </c>
      <c r="R700" s="17" t="n"/>
      <c r="S700" s="16" t="n"/>
      <c r="T700" s="20" t="inlineStr">
        <is>
          <t>Shimadzu TOC-L</t>
        </is>
      </c>
      <c r="U700" s="20" t="inlineStr">
        <is>
          <t>None</t>
        </is>
      </c>
      <c r="V700" s="17" t="n"/>
      <c r="W700" s="16" t="n"/>
      <c r="X700" s="20" t="n"/>
      <c r="Y700" s="20" t="inlineStr">
        <is>
          <t>None</t>
        </is>
      </c>
      <c r="Z700" s="17" t="n"/>
      <c r="AA700" s="16" t="n"/>
      <c r="AB700" s="20" t="n"/>
      <c r="AC700" s="20" t="inlineStr">
        <is>
          <t>None</t>
        </is>
      </c>
      <c r="AD700" s="17" t="n"/>
      <c r="AE700" s="16" t="n"/>
      <c r="AF700" s="20" t="inlineStr">
        <is>
          <t>IC Anionen</t>
        </is>
      </c>
      <c r="AG700" s="20" t="inlineStr">
        <is>
          <t>None</t>
        </is>
      </c>
      <c r="AH700" s="17" t="n"/>
      <c r="AI700" s="16" t="n"/>
      <c r="AJ700" s="20" t="n"/>
      <c r="AK700" s="20" t="inlineStr">
        <is>
          <t>None</t>
        </is>
      </c>
      <c r="AL700" s="17" t="n"/>
      <c r="AM700" s="16" t="n"/>
      <c r="AN700" s="20" t="inlineStr">
        <is>
          <t>IC Anionen</t>
        </is>
      </c>
      <c r="AO700" s="20" t="inlineStr">
        <is>
          <t>None</t>
        </is>
      </c>
      <c r="AP700" s="17" t="n"/>
      <c r="AQ700" s="16" t="n"/>
      <c r="AR700" s="20" t="n"/>
      <c r="AS700" s="20" t="inlineStr">
        <is>
          <t>None</t>
        </is>
      </c>
      <c r="AT700" s="17" t="n"/>
      <c r="AU700" s="16" t="n"/>
      <c r="AV700" s="20" t="n"/>
      <c r="AW700" s="20" t="inlineStr">
        <is>
          <t>None</t>
        </is>
      </c>
      <c r="AX700" s="17" t="n"/>
      <c r="AY700" s="16" t="n"/>
      <c r="AZ700" s="20" t="inlineStr">
        <is>
          <t>IC Anionen</t>
        </is>
      </c>
      <c r="BA700" s="20" t="inlineStr">
        <is>
          <t>None</t>
        </is>
      </c>
      <c r="BB700" s="17" t="n"/>
      <c r="BC700" s="16" t="n"/>
      <c r="BD700" s="20" t="inlineStr">
        <is>
          <t>IC Kationen</t>
        </is>
      </c>
      <c r="BE700" s="20" t="inlineStr">
        <is>
          <t>None</t>
        </is>
      </c>
      <c r="BF700" s="17" t="n"/>
      <c r="BG700" s="16" t="n"/>
      <c r="BH700" s="20" t="inlineStr">
        <is>
          <t>IC Kationen</t>
        </is>
      </c>
      <c r="BI700" s="20" t="inlineStr">
        <is>
          <t>None</t>
        </is>
      </c>
      <c r="BJ700" s="17" t="n"/>
      <c r="BK700" s="16" t="n"/>
      <c r="BL700" s="20" t="inlineStr">
        <is>
          <t>IC Kationen</t>
        </is>
      </c>
      <c r="BM700" s="20" t="inlineStr">
        <is>
          <t>None</t>
        </is>
      </c>
      <c r="BN700" s="17" t="n"/>
      <c r="BO700" s="16" t="n"/>
      <c r="BP700" s="20" t="inlineStr">
        <is>
          <t>IC Kationen</t>
        </is>
      </c>
      <c r="BQ700" s="20" t="inlineStr">
        <is>
          <t>None</t>
        </is>
      </c>
      <c r="BR700" s="17" t="n"/>
      <c r="BS700" s="16" t="n"/>
      <c r="BT700" s="20" t="inlineStr">
        <is>
          <t>IC Kationen</t>
        </is>
      </c>
      <c r="BU700" s="20" t="inlineStr">
        <is>
          <t>None</t>
        </is>
      </c>
      <c r="BV700" s="17" t="n"/>
      <c r="BW700" s="16" t="n"/>
      <c r="BX700" s="20" t="n"/>
      <c r="BY700" s="20" t="inlineStr">
        <is>
          <t>None</t>
        </is>
      </c>
      <c r="BZ700" s="17" t="n"/>
      <c r="CA700" s="16" t="n"/>
      <c r="CB700" s="20" t="n"/>
      <c r="CC700" s="20" t="inlineStr">
        <is>
          <t>None</t>
        </is>
      </c>
      <c r="CD700" s="17" t="n"/>
      <c r="CE700" s="16" t="n"/>
      <c r="CF700" s="20" t="n"/>
      <c r="CG700" s="20" t="inlineStr">
        <is>
          <t>None</t>
        </is>
      </c>
      <c r="CH700" s="17" t="n"/>
      <c r="CI700" s="16" t="n"/>
      <c r="CJ700" s="20" t="n"/>
      <c r="CK700" s="20" t="inlineStr">
        <is>
          <t>None</t>
        </is>
      </c>
      <c r="CL700" s="17" t="n"/>
      <c r="CM700" s="16" t="n"/>
      <c r="CN700" s="20" t="inlineStr">
        <is>
          <t>SOP 45-34</t>
        </is>
      </c>
      <c r="CO700" s="20" t="inlineStr">
        <is>
          <t>None</t>
        </is>
      </c>
      <c r="CP700" s="17" t="n"/>
      <c r="CQ700" s="16" t="n"/>
      <c r="CR700" s="20" t="n"/>
      <c r="CS700" s="20" t="inlineStr">
        <is>
          <t>None</t>
        </is>
      </c>
      <c r="CT700" s="17" t="n"/>
      <c r="CU700" s="16" t="n"/>
      <c r="CV700" s="20" t="n"/>
      <c r="CW700" s="20" t="inlineStr">
        <is>
          <t>None</t>
        </is>
      </c>
      <c r="CX700" s="17" t="n"/>
      <c r="CY700" s="16" t="n"/>
      <c r="CZ700" s="20" t="inlineStr">
        <is>
          <t>WTW Multimeter 3430 with FDO 925</t>
        </is>
      </c>
      <c r="DA700" s="20" t="inlineStr">
        <is>
          <t>None</t>
        </is>
      </c>
      <c r="DB700" s="17" t="n"/>
      <c r="DC700" s="16" t="n"/>
      <c r="DD700" s="20" t="n"/>
      <c r="DE700" s="20" t="inlineStr">
        <is>
          <t>None</t>
        </is>
      </c>
      <c r="DF700" s="17" t="n"/>
      <c r="DG700" s="16" t="n"/>
      <c r="DH700" s="20" t="inlineStr">
        <is>
          <t>SOP 45-09</t>
        </is>
      </c>
      <c r="DI700" s="20" t="inlineStr">
        <is>
          <t>None</t>
        </is>
      </c>
      <c r="DJ700" s="17" t="n"/>
      <c r="DK700" s="16" t="n"/>
      <c r="DL700" s="20" t="inlineStr">
        <is>
          <t>SOP 45-09 (SOP muss noch angepasst werden für VSS)</t>
        </is>
      </c>
      <c r="DM700" s="20" t="inlineStr">
        <is>
          <t>None</t>
        </is>
      </c>
      <c r="DN700" s="17" t="n"/>
      <c r="DO700" s="16" t="n"/>
      <c r="DP700" s="20" t="inlineStr">
        <is>
          <t>IC Organic Acids</t>
        </is>
      </c>
      <c r="DQ700" s="20" t="inlineStr">
        <is>
          <t>None</t>
        </is>
      </c>
      <c r="DR700" s="17" t="n"/>
      <c r="DS700" s="16" t="n"/>
      <c r="DT700" s="20" t="inlineStr">
        <is>
          <t>IC Organic Acids</t>
        </is>
      </c>
      <c r="DU700" s="20" t="inlineStr">
        <is>
          <t>None</t>
        </is>
      </c>
      <c r="DV700" s="17" t="n"/>
      <c r="DW700" s="16" t="n"/>
      <c r="DX700" s="20" t="inlineStr">
        <is>
          <t>IC Organic Acids</t>
        </is>
      </c>
      <c r="DY700" s="20" t="inlineStr">
        <is>
          <t>None</t>
        </is>
      </c>
      <c r="DZ700" s="17" t="n"/>
      <c r="EA700" s="16" t="n"/>
      <c r="EB700" s="20" t="inlineStr">
        <is>
          <t>IC Organic Acids</t>
        </is>
      </c>
      <c r="EC700" s="20" t="inlineStr">
        <is>
          <t>None</t>
        </is>
      </c>
      <c r="ED700" s="17" t="n"/>
      <c r="EE700" s="16" t="n"/>
      <c r="EF700" s="20" t="inlineStr">
        <is>
          <t>IC Organic Acids</t>
        </is>
      </c>
      <c r="EG700" s="20" t="inlineStr">
        <is>
          <t>None</t>
        </is>
      </c>
      <c r="EH700" s="17" t="n"/>
      <c r="EI700" s="16" t="n"/>
      <c r="EJ700" s="20" t="inlineStr">
        <is>
          <t>IC Organic Acids</t>
        </is>
      </c>
      <c r="EK700" s="20" t="inlineStr">
        <is>
          <t>None</t>
        </is>
      </c>
      <c r="EL700" s="17" t="n"/>
      <c r="EM700" s="16" t="n"/>
      <c r="EN700" s="20" t="inlineStr">
        <is>
          <t>IC Organic Acids</t>
        </is>
      </c>
      <c r="EO700" s="20" t="inlineStr">
        <is>
          <t>None</t>
        </is>
      </c>
      <c r="EP700" s="17" t="n"/>
      <c r="EQ700" s="16" t="n"/>
      <c r="ER700" s="20" t="inlineStr">
        <is>
          <t>IC Organic Acids</t>
        </is>
      </c>
      <c r="ES700" s="20" t="inlineStr">
        <is>
          <t>None</t>
        </is>
      </c>
      <c r="ET700" s="17" t="n"/>
      <c r="EU700" s="16" t="n"/>
      <c r="EV700" s="20" t="inlineStr">
        <is>
          <t>LC-MS</t>
        </is>
      </c>
      <c r="EW700" s="20" t="inlineStr">
        <is>
          <t>None</t>
        </is>
      </c>
      <c r="EX700" s="17" t="n"/>
      <c r="EY700" s="21" t="n"/>
      <c r="EZ700">
        <f>CONCATENATE(A700,B700)</f>
        <v/>
      </c>
      <c r="FA700">
        <f>CONCATENATE(SamplesX!A700,SamplesX!B700)</f>
        <v/>
      </c>
      <c r="FC700">
        <f>MATCH(EZ700,FA1:FA1008,0)</f>
        <v/>
      </c>
    </row>
    <row r="701">
      <c r="A701" s="16" t="n"/>
      <c r="B701" s="17" t="n"/>
      <c r="C701" s="10">
        <f>IF(ISNUMBER(FC701),INDIRECT("SamplesX!C"&amp;FC701),IF(ISNUMBER(FD701),INDIRECT("SamplesY!C"&amp;FD701),""))</f>
        <v/>
      </c>
      <c r="D701" s="12">
        <f>IF(ISNUMBER(FC701),INDIRECT("SamplesX!D"&amp;FC701),IF(ISNUMBER(FD701),INDIRECT("SamplesY!D"&amp;FD701),""))</f>
        <v/>
      </c>
      <c r="E701" s="12">
        <f>IF(ISNUMBER(FC701),INDIRECT("SamplesX!E"&amp;FC701),IF(ISNUMBER(FD701),INDIRECT("SamplesY!E"&amp;FD701),""))</f>
        <v/>
      </c>
      <c r="F701" s="11">
        <f>IF(ISNUMBER(FC701),INDIRECT("SamplesX!F"&amp;FC701),IF(ISNUMBER(FD701),INDIRECT("SamplesY!F"&amp;FD701),""))</f>
        <v/>
      </c>
      <c r="G701" s="18">
        <f>IF(ISNUMBER(FC701),INDIRECT("SamplesX!G"&amp;FC701),IF(ISNUMBER(FD701),INDIRECT("SamplesY!G"&amp;FD701),""))</f>
        <v/>
      </c>
      <c r="H701" s="19">
        <f>IF(ISNUMBER(FC701),INDIRECT("SamplesX!H"&amp;FC701),IF(ISNUMBER(FD701),INDIRECT("SamplesY!H"&amp;FD701),""))</f>
        <v/>
      </c>
      <c r="I701" s="16" t="n"/>
      <c r="J701" s="16" t="n"/>
      <c r="K701" s="16" t="n"/>
      <c r="L701" s="20" t="n"/>
      <c r="M701" s="20" t="inlineStr">
        <is>
          <t>None</t>
        </is>
      </c>
      <c r="N701" s="17" t="n"/>
      <c r="O701" s="16" t="n"/>
      <c r="P701" s="20" t="inlineStr">
        <is>
          <t>Shimadzu TOC-L</t>
        </is>
      </c>
      <c r="Q701" s="20" t="inlineStr">
        <is>
          <t>None</t>
        </is>
      </c>
      <c r="R701" s="17" t="n"/>
      <c r="S701" s="16" t="n"/>
      <c r="T701" s="20" t="inlineStr">
        <is>
          <t>Shimadzu TOC-L</t>
        </is>
      </c>
      <c r="U701" s="20" t="inlineStr">
        <is>
          <t>None</t>
        </is>
      </c>
      <c r="V701" s="17" t="n"/>
      <c r="W701" s="16" t="n"/>
      <c r="X701" s="20" t="n"/>
      <c r="Y701" s="20" t="inlineStr">
        <is>
          <t>None</t>
        </is>
      </c>
      <c r="Z701" s="17" t="n"/>
      <c r="AA701" s="16" t="n"/>
      <c r="AB701" s="20" t="n"/>
      <c r="AC701" s="20" t="inlineStr">
        <is>
          <t>None</t>
        </is>
      </c>
      <c r="AD701" s="17" t="n"/>
      <c r="AE701" s="16" t="n"/>
      <c r="AF701" s="20" t="inlineStr">
        <is>
          <t>IC Anionen</t>
        </is>
      </c>
      <c r="AG701" s="20" t="inlineStr">
        <is>
          <t>None</t>
        </is>
      </c>
      <c r="AH701" s="17" t="n"/>
      <c r="AI701" s="16" t="n"/>
      <c r="AJ701" s="20" t="n"/>
      <c r="AK701" s="20" t="inlineStr">
        <is>
          <t>None</t>
        </is>
      </c>
      <c r="AL701" s="17" t="n"/>
      <c r="AM701" s="16" t="n"/>
      <c r="AN701" s="20" t="inlineStr">
        <is>
          <t>IC Anionen</t>
        </is>
      </c>
      <c r="AO701" s="20" t="inlineStr">
        <is>
          <t>None</t>
        </is>
      </c>
      <c r="AP701" s="17" t="n"/>
      <c r="AQ701" s="16" t="n"/>
      <c r="AR701" s="20" t="n"/>
      <c r="AS701" s="20" t="inlineStr">
        <is>
          <t>None</t>
        </is>
      </c>
      <c r="AT701" s="17" t="n"/>
      <c r="AU701" s="16" t="n"/>
      <c r="AV701" s="20" t="n"/>
      <c r="AW701" s="20" t="inlineStr">
        <is>
          <t>None</t>
        </is>
      </c>
      <c r="AX701" s="17" t="n"/>
      <c r="AY701" s="16" t="n"/>
      <c r="AZ701" s="20" t="inlineStr">
        <is>
          <t>IC Anionen</t>
        </is>
      </c>
      <c r="BA701" s="20" t="inlineStr">
        <is>
          <t>None</t>
        </is>
      </c>
      <c r="BB701" s="17" t="n"/>
      <c r="BC701" s="16" t="n"/>
      <c r="BD701" s="20" t="inlineStr">
        <is>
          <t>IC Kationen</t>
        </is>
      </c>
      <c r="BE701" s="20" t="inlineStr">
        <is>
          <t>None</t>
        </is>
      </c>
      <c r="BF701" s="17" t="n"/>
      <c r="BG701" s="16" t="n"/>
      <c r="BH701" s="20" t="inlineStr">
        <is>
          <t>IC Kationen</t>
        </is>
      </c>
      <c r="BI701" s="20" t="inlineStr">
        <is>
          <t>None</t>
        </is>
      </c>
      <c r="BJ701" s="17" t="n"/>
      <c r="BK701" s="16" t="n"/>
      <c r="BL701" s="20" t="inlineStr">
        <is>
          <t>IC Kationen</t>
        </is>
      </c>
      <c r="BM701" s="20" t="inlineStr">
        <is>
          <t>None</t>
        </is>
      </c>
      <c r="BN701" s="17" t="n"/>
      <c r="BO701" s="16" t="n"/>
      <c r="BP701" s="20" t="inlineStr">
        <is>
          <t>IC Kationen</t>
        </is>
      </c>
      <c r="BQ701" s="20" t="inlineStr">
        <is>
          <t>None</t>
        </is>
      </c>
      <c r="BR701" s="17" t="n"/>
      <c r="BS701" s="16" t="n"/>
      <c r="BT701" s="20" t="inlineStr">
        <is>
          <t>IC Kationen</t>
        </is>
      </c>
      <c r="BU701" s="20" t="inlineStr">
        <is>
          <t>None</t>
        </is>
      </c>
      <c r="BV701" s="17" t="n"/>
      <c r="BW701" s="16" t="n"/>
      <c r="BX701" s="20" t="n"/>
      <c r="BY701" s="20" t="inlineStr">
        <is>
          <t>None</t>
        </is>
      </c>
      <c r="BZ701" s="17" t="n"/>
      <c r="CA701" s="16" t="n"/>
      <c r="CB701" s="20" t="n"/>
      <c r="CC701" s="20" t="inlineStr">
        <is>
          <t>None</t>
        </is>
      </c>
      <c r="CD701" s="17" t="n"/>
      <c r="CE701" s="16" t="n"/>
      <c r="CF701" s="20" t="n"/>
      <c r="CG701" s="20" t="inlineStr">
        <is>
          <t>None</t>
        </is>
      </c>
      <c r="CH701" s="17" t="n"/>
      <c r="CI701" s="16" t="n"/>
      <c r="CJ701" s="20" t="n"/>
      <c r="CK701" s="20" t="inlineStr">
        <is>
          <t>None</t>
        </is>
      </c>
      <c r="CL701" s="17" t="n"/>
      <c r="CM701" s="16" t="n"/>
      <c r="CN701" s="20" t="inlineStr">
        <is>
          <t>SOP 45-34</t>
        </is>
      </c>
      <c r="CO701" s="20" t="inlineStr">
        <is>
          <t>None</t>
        </is>
      </c>
      <c r="CP701" s="17" t="n"/>
      <c r="CQ701" s="16" t="n"/>
      <c r="CR701" s="20" t="n"/>
      <c r="CS701" s="20" t="inlineStr">
        <is>
          <t>None</t>
        </is>
      </c>
      <c r="CT701" s="17" t="n"/>
      <c r="CU701" s="16" t="n"/>
      <c r="CV701" s="20" t="n"/>
      <c r="CW701" s="20" t="inlineStr">
        <is>
          <t>None</t>
        </is>
      </c>
      <c r="CX701" s="17" t="n"/>
      <c r="CY701" s="16" t="n"/>
      <c r="CZ701" s="20" t="inlineStr">
        <is>
          <t>WTW Multimeter 3430 with FDO 925</t>
        </is>
      </c>
      <c r="DA701" s="20" t="inlineStr">
        <is>
          <t>None</t>
        </is>
      </c>
      <c r="DB701" s="17" t="n"/>
      <c r="DC701" s="16" t="n"/>
      <c r="DD701" s="20" t="n"/>
      <c r="DE701" s="20" t="inlineStr">
        <is>
          <t>None</t>
        </is>
      </c>
      <c r="DF701" s="17" t="n"/>
      <c r="DG701" s="16" t="n"/>
      <c r="DH701" s="20" t="inlineStr">
        <is>
          <t>SOP 45-09</t>
        </is>
      </c>
      <c r="DI701" s="20" t="inlineStr">
        <is>
          <t>None</t>
        </is>
      </c>
      <c r="DJ701" s="17" t="n"/>
      <c r="DK701" s="16" t="n"/>
      <c r="DL701" s="20" t="inlineStr">
        <is>
          <t>SOP 45-09 (SOP muss noch angepasst werden für VSS)</t>
        </is>
      </c>
      <c r="DM701" s="20" t="inlineStr">
        <is>
          <t>None</t>
        </is>
      </c>
      <c r="DN701" s="17" t="n"/>
      <c r="DO701" s="16" t="n"/>
      <c r="DP701" s="20" t="inlineStr">
        <is>
          <t>IC Organic Acids</t>
        </is>
      </c>
      <c r="DQ701" s="20" t="inlineStr">
        <is>
          <t>None</t>
        </is>
      </c>
      <c r="DR701" s="17" t="n"/>
      <c r="DS701" s="16" t="n"/>
      <c r="DT701" s="20" t="inlineStr">
        <is>
          <t>IC Organic Acids</t>
        </is>
      </c>
      <c r="DU701" s="20" t="inlineStr">
        <is>
          <t>None</t>
        </is>
      </c>
      <c r="DV701" s="17" t="n"/>
      <c r="DW701" s="16" t="n"/>
      <c r="DX701" s="20" t="inlineStr">
        <is>
          <t>IC Organic Acids</t>
        </is>
      </c>
      <c r="DY701" s="20" t="inlineStr">
        <is>
          <t>None</t>
        </is>
      </c>
      <c r="DZ701" s="17" t="n"/>
      <c r="EA701" s="16" t="n"/>
      <c r="EB701" s="20" t="inlineStr">
        <is>
          <t>IC Organic Acids</t>
        </is>
      </c>
      <c r="EC701" s="20" t="inlineStr">
        <is>
          <t>None</t>
        </is>
      </c>
      <c r="ED701" s="17" t="n"/>
      <c r="EE701" s="16" t="n"/>
      <c r="EF701" s="20" t="inlineStr">
        <is>
          <t>IC Organic Acids</t>
        </is>
      </c>
      <c r="EG701" s="20" t="inlineStr">
        <is>
          <t>None</t>
        </is>
      </c>
      <c r="EH701" s="17" t="n"/>
      <c r="EI701" s="16" t="n"/>
      <c r="EJ701" s="20" t="inlineStr">
        <is>
          <t>IC Organic Acids</t>
        </is>
      </c>
      <c r="EK701" s="20" t="inlineStr">
        <is>
          <t>None</t>
        </is>
      </c>
      <c r="EL701" s="17" t="n"/>
      <c r="EM701" s="16" t="n"/>
      <c r="EN701" s="20" t="inlineStr">
        <is>
          <t>IC Organic Acids</t>
        </is>
      </c>
      <c r="EO701" s="20" t="inlineStr">
        <is>
          <t>None</t>
        </is>
      </c>
      <c r="EP701" s="17" t="n"/>
      <c r="EQ701" s="16" t="n"/>
      <c r="ER701" s="20" t="inlineStr">
        <is>
          <t>IC Organic Acids</t>
        </is>
      </c>
      <c r="ES701" s="20" t="inlineStr">
        <is>
          <t>None</t>
        </is>
      </c>
      <c r="ET701" s="17" t="n"/>
      <c r="EU701" s="16" t="n"/>
      <c r="EV701" s="20" t="inlineStr">
        <is>
          <t>LC-MS</t>
        </is>
      </c>
      <c r="EW701" s="20" t="inlineStr">
        <is>
          <t>None</t>
        </is>
      </c>
      <c r="EX701" s="17" t="n"/>
      <c r="EY701" s="21" t="n"/>
      <c r="EZ701">
        <f>CONCATENATE(A701,B701)</f>
        <v/>
      </c>
      <c r="FA701">
        <f>CONCATENATE(SamplesX!A701,SamplesX!B701)</f>
        <v/>
      </c>
      <c r="FC701">
        <f>MATCH(EZ701,FA1:FA1008,0)</f>
        <v/>
      </c>
    </row>
    <row r="702">
      <c r="A702" s="16" t="n"/>
      <c r="B702" s="17" t="n"/>
      <c r="C702" s="10">
        <f>IF(ISNUMBER(FC702),INDIRECT("SamplesX!C"&amp;FC702),IF(ISNUMBER(FD702),INDIRECT("SamplesY!C"&amp;FD702),""))</f>
        <v/>
      </c>
      <c r="D702" s="12">
        <f>IF(ISNUMBER(FC702),INDIRECT("SamplesX!D"&amp;FC702),IF(ISNUMBER(FD702),INDIRECT("SamplesY!D"&amp;FD702),""))</f>
        <v/>
      </c>
      <c r="E702" s="12">
        <f>IF(ISNUMBER(FC702),INDIRECT("SamplesX!E"&amp;FC702),IF(ISNUMBER(FD702),INDIRECT("SamplesY!E"&amp;FD702),""))</f>
        <v/>
      </c>
      <c r="F702" s="11">
        <f>IF(ISNUMBER(FC702),INDIRECT("SamplesX!F"&amp;FC702),IF(ISNUMBER(FD702),INDIRECT("SamplesY!F"&amp;FD702),""))</f>
        <v/>
      </c>
      <c r="G702" s="18">
        <f>IF(ISNUMBER(FC702),INDIRECT("SamplesX!G"&amp;FC702),IF(ISNUMBER(FD702),INDIRECT("SamplesY!G"&amp;FD702),""))</f>
        <v/>
      </c>
      <c r="H702" s="19">
        <f>IF(ISNUMBER(FC702),INDIRECT("SamplesX!H"&amp;FC702),IF(ISNUMBER(FD702),INDIRECT("SamplesY!H"&amp;FD702),""))</f>
        <v/>
      </c>
      <c r="I702" s="16" t="n"/>
      <c r="J702" s="16" t="n"/>
      <c r="K702" s="16" t="n"/>
      <c r="L702" s="20" t="n"/>
      <c r="M702" s="20" t="inlineStr">
        <is>
          <t>None</t>
        </is>
      </c>
      <c r="N702" s="17" t="n"/>
      <c r="O702" s="16" t="n"/>
      <c r="P702" s="20" t="inlineStr">
        <is>
          <t>Shimadzu TOC-L</t>
        </is>
      </c>
      <c r="Q702" s="20" t="inlineStr">
        <is>
          <t>None</t>
        </is>
      </c>
      <c r="R702" s="17" t="n"/>
      <c r="S702" s="16" t="n"/>
      <c r="T702" s="20" t="inlineStr">
        <is>
          <t>Shimadzu TOC-L</t>
        </is>
      </c>
      <c r="U702" s="20" t="inlineStr">
        <is>
          <t>None</t>
        </is>
      </c>
      <c r="V702" s="17" t="n"/>
      <c r="W702" s="16" t="n"/>
      <c r="X702" s="20" t="n"/>
      <c r="Y702" s="20" t="inlineStr">
        <is>
          <t>None</t>
        </is>
      </c>
      <c r="Z702" s="17" t="n"/>
      <c r="AA702" s="16" t="n"/>
      <c r="AB702" s="20" t="n"/>
      <c r="AC702" s="20" t="inlineStr">
        <is>
          <t>None</t>
        </is>
      </c>
      <c r="AD702" s="17" t="n"/>
      <c r="AE702" s="16" t="n"/>
      <c r="AF702" s="20" t="inlineStr">
        <is>
          <t>IC Anionen</t>
        </is>
      </c>
      <c r="AG702" s="20" t="inlineStr">
        <is>
          <t>None</t>
        </is>
      </c>
      <c r="AH702" s="17" t="n"/>
      <c r="AI702" s="16" t="n"/>
      <c r="AJ702" s="20" t="n"/>
      <c r="AK702" s="20" t="inlineStr">
        <is>
          <t>None</t>
        </is>
      </c>
      <c r="AL702" s="17" t="n"/>
      <c r="AM702" s="16" t="n"/>
      <c r="AN702" s="20" t="inlineStr">
        <is>
          <t>IC Anionen</t>
        </is>
      </c>
      <c r="AO702" s="20" t="inlineStr">
        <is>
          <t>None</t>
        </is>
      </c>
      <c r="AP702" s="17" t="n"/>
      <c r="AQ702" s="16" t="n"/>
      <c r="AR702" s="20" t="n"/>
      <c r="AS702" s="20" t="inlineStr">
        <is>
          <t>None</t>
        </is>
      </c>
      <c r="AT702" s="17" t="n"/>
      <c r="AU702" s="16" t="n"/>
      <c r="AV702" s="20" t="n"/>
      <c r="AW702" s="20" t="inlineStr">
        <is>
          <t>None</t>
        </is>
      </c>
      <c r="AX702" s="17" t="n"/>
      <c r="AY702" s="16" t="n"/>
      <c r="AZ702" s="20" t="inlineStr">
        <is>
          <t>IC Anionen</t>
        </is>
      </c>
      <c r="BA702" s="20" t="inlineStr">
        <is>
          <t>None</t>
        </is>
      </c>
      <c r="BB702" s="17" t="n"/>
      <c r="BC702" s="16" t="n"/>
      <c r="BD702" s="20" t="inlineStr">
        <is>
          <t>IC Kationen</t>
        </is>
      </c>
      <c r="BE702" s="20" t="inlineStr">
        <is>
          <t>None</t>
        </is>
      </c>
      <c r="BF702" s="17" t="n"/>
      <c r="BG702" s="16" t="n"/>
      <c r="BH702" s="20" t="inlineStr">
        <is>
          <t>IC Kationen</t>
        </is>
      </c>
      <c r="BI702" s="20" t="inlineStr">
        <is>
          <t>None</t>
        </is>
      </c>
      <c r="BJ702" s="17" t="n"/>
      <c r="BK702" s="16" t="n"/>
      <c r="BL702" s="20" t="inlineStr">
        <is>
          <t>IC Kationen</t>
        </is>
      </c>
      <c r="BM702" s="20" t="inlineStr">
        <is>
          <t>None</t>
        </is>
      </c>
      <c r="BN702" s="17" t="n"/>
      <c r="BO702" s="16" t="n"/>
      <c r="BP702" s="20" t="inlineStr">
        <is>
          <t>IC Kationen</t>
        </is>
      </c>
      <c r="BQ702" s="20" t="inlineStr">
        <is>
          <t>None</t>
        </is>
      </c>
      <c r="BR702" s="17" t="n"/>
      <c r="BS702" s="16" t="n"/>
      <c r="BT702" s="20" t="inlineStr">
        <is>
          <t>IC Kationen</t>
        </is>
      </c>
      <c r="BU702" s="20" t="inlineStr">
        <is>
          <t>None</t>
        </is>
      </c>
      <c r="BV702" s="17" t="n"/>
      <c r="BW702" s="16" t="n"/>
      <c r="BX702" s="20" t="n"/>
      <c r="BY702" s="20" t="inlineStr">
        <is>
          <t>None</t>
        </is>
      </c>
      <c r="BZ702" s="17" t="n"/>
      <c r="CA702" s="16" t="n"/>
      <c r="CB702" s="20" t="n"/>
      <c r="CC702" s="20" t="inlineStr">
        <is>
          <t>None</t>
        </is>
      </c>
      <c r="CD702" s="17" t="n"/>
      <c r="CE702" s="16" t="n"/>
      <c r="CF702" s="20" t="n"/>
      <c r="CG702" s="20" t="inlineStr">
        <is>
          <t>None</t>
        </is>
      </c>
      <c r="CH702" s="17" t="n"/>
      <c r="CI702" s="16" t="n"/>
      <c r="CJ702" s="20" t="n"/>
      <c r="CK702" s="20" t="inlineStr">
        <is>
          <t>None</t>
        </is>
      </c>
      <c r="CL702" s="17" t="n"/>
      <c r="CM702" s="16" t="n"/>
      <c r="CN702" s="20" t="inlineStr">
        <is>
          <t>SOP 45-34</t>
        </is>
      </c>
      <c r="CO702" s="20" t="inlineStr">
        <is>
          <t>None</t>
        </is>
      </c>
      <c r="CP702" s="17" t="n"/>
      <c r="CQ702" s="16" t="n"/>
      <c r="CR702" s="20" t="n"/>
      <c r="CS702" s="20" t="inlineStr">
        <is>
          <t>None</t>
        </is>
      </c>
      <c r="CT702" s="17" t="n"/>
      <c r="CU702" s="16" t="n"/>
      <c r="CV702" s="20" t="n"/>
      <c r="CW702" s="20" t="inlineStr">
        <is>
          <t>None</t>
        </is>
      </c>
      <c r="CX702" s="17" t="n"/>
      <c r="CY702" s="16" t="n"/>
      <c r="CZ702" s="20" t="inlineStr">
        <is>
          <t>WTW Multimeter 3430 with FDO 925</t>
        </is>
      </c>
      <c r="DA702" s="20" t="inlineStr">
        <is>
          <t>None</t>
        </is>
      </c>
      <c r="DB702" s="17" t="n"/>
      <c r="DC702" s="16" t="n"/>
      <c r="DD702" s="20" t="n"/>
      <c r="DE702" s="20" t="inlineStr">
        <is>
          <t>None</t>
        </is>
      </c>
      <c r="DF702" s="17" t="n"/>
      <c r="DG702" s="16" t="n"/>
      <c r="DH702" s="20" t="inlineStr">
        <is>
          <t>SOP 45-09</t>
        </is>
      </c>
      <c r="DI702" s="20" t="inlineStr">
        <is>
          <t>None</t>
        </is>
      </c>
      <c r="DJ702" s="17" t="n"/>
      <c r="DK702" s="16" t="n"/>
      <c r="DL702" s="20" t="inlineStr">
        <is>
          <t>SOP 45-09 (SOP muss noch angepasst werden für VSS)</t>
        </is>
      </c>
      <c r="DM702" s="20" t="inlineStr">
        <is>
          <t>None</t>
        </is>
      </c>
      <c r="DN702" s="17" t="n"/>
      <c r="DO702" s="16" t="n"/>
      <c r="DP702" s="20" t="inlineStr">
        <is>
          <t>IC Organic Acids</t>
        </is>
      </c>
      <c r="DQ702" s="20" t="inlineStr">
        <is>
          <t>None</t>
        </is>
      </c>
      <c r="DR702" s="17" t="n"/>
      <c r="DS702" s="16" t="n"/>
      <c r="DT702" s="20" t="inlineStr">
        <is>
          <t>IC Organic Acids</t>
        </is>
      </c>
      <c r="DU702" s="20" t="inlineStr">
        <is>
          <t>None</t>
        </is>
      </c>
      <c r="DV702" s="17" t="n"/>
      <c r="DW702" s="16" t="n"/>
      <c r="DX702" s="20" t="inlineStr">
        <is>
          <t>IC Organic Acids</t>
        </is>
      </c>
      <c r="DY702" s="20" t="inlineStr">
        <is>
          <t>None</t>
        </is>
      </c>
      <c r="DZ702" s="17" t="n"/>
      <c r="EA702" s="16" t="n"/>
      <c r="EB702" s="20" t="inlineStr">
        <is>
          <t>IC Organic Acids</t>
        </is>
      </c>
      <c r="EC702" s="20" t="inlineStr">
        <is>
          <t>None</t>
        </is>
      </c>
      <c r="ED702" s="17" t="n"/>
      <c r="EE702" s="16" t="n"/>
      <c r="EF702" s="20" t="inlineStr">
        <is>
          <t>IC Organic Acids</t>
        </is>
      </c>
      <c r="EG702" s="20" t="inlineStr">
        <is>
          <t>None</t>
        </is>
      </c>
      <c r="EH702" s="17" t="n"/>
      <c r="EI702" s="16" t="n"/>
      <c r="EJ702" s="20" t="inlineStr">
        <is>
          <t>IC Organic Acids</t>
        </is>
      </c>
      <c r="EK702" s="20" t="inlineStr">
        <is>
          <t>None</t>
        </is>
      </c>
      <c r="EL702" s="17" t="n"/>
      <c r="EM702" s="16" t="n"/>
      <c r="EN702" s="20" t="inlineStr">
        <is>
          <t>IC Organic Acids</t>
        </is>
      </c>
      <c r="EO702" s="20" t="inlineStr">
        <is>
          <t>None</t>
        </is>
      </c>
      <c r="EP702" s="17" t="n"/>
      <c r="EQ702" s="16" t="n"/>
      <c r="ER702" s="20" t="inlineStr">
        <is>
          <t>IC Organic Acids</t>
        </is>
      </c>
      <c r="ES702" s="20" t="inlineStr">
        <is>
          <t>None</t>
        </is>
      </c>
      <c r="ET702" s="17" t="n"/>
      <c r="EU702" s="16" t="n"/>
      <c r="EV702" s="20" t="inlineStr">
        <is>
          <t>LC-MS</t>
        </is>
      </c>
      <c r="EW702" s="20" t="inlineStr">
        <is>
          <t>None</t>
        </is>
      </c>
      <c r="EX702" s="17" t="n"/>
      <c r="EY702" s="21" t="n"/>
      <c r="EZ702">
        <f>CONCATENATE(A702,B702)</f>
        <v/>
      </c>
      <c r="FA702">
        <f>CONCATENATE(SamplesX!A702,SamplesX!B702)</f>
        <v/>
      </c>
      <c r="FC702">
        <f>MATCH(EZ702,FA1:FA1008,0)</f>
        <v/>
      </c>
    </row>
    <row r="703">
      <c r="A703" s="16" t="n"/>
      <c r="B703" s="17" t="n"/>
      <c r="C703" s="10">
        <f>IF(ISNUMBER(FC703),INDIRECT("SamplesX!C"&amp;FC703),IF(ISNUMBER(FD703),INDIRECT("SamplesY!C"&amp;FD703),""))</f>
        <v/>
      </c>
      <c r="D703" s="12">
        <f>IF(ISNUMBER(FC703),INDIRECT("SamplesX!D"&amp;FC703),IF(ISNUMBER(FD703),INDIRECT("SamplesY!D"&amp;FD703),""))</f>
        <v/>
      </c>
      <c r="E703" s="12">
        <f>IF(ISNUMBER(FC703),INDIRECT("SamplesX!E"&amp;FC703),IF(ISNUMBER(FD703),INDIRECT("SamplesY!E"&amp;FD703),""))</f>
        <v/>
      </c>
      <c r="F703" s="11">
        <f>IF(ISNUMBER(FC703),INDIRECT("SamplesX!F"&amp;FC703),IF(ISNUMBER(FD703),INDIRECT("SamplesY!F"&amp;FD703),""))</f>
        <v/>
      </c>
      <c r="G703" s="18">
        <f>IF(ISNUMBER(FC703),INDIRECT("SamplesX!G"&amp;FC703),IF(ISNUMBER(FD703),INDIRECT("SamplesY!G"&amp;FD703),""))</f>
        <v/>
      </c>
      <c r="H703" s="19">
        <f>IF(ISNUMBER(FC703),INDIRECT("SamplesX!H"&amp;FC703),IF(ISNUMBER(FD703),INDIRECT("SamplesY!H"&amp;FD703),""))</f>
        <v/>
      </c>
      <c r="I703" s="16" t="n"/>
      <c r="J703" s="16" t="n"/>
      <c r="K703" s="16" t="n"/>
      <c r="L703" s="20" t="n"/>
      <c r="M703" s="20" t="inlineStr">
        <is>
          <t>None</t>
        </is>
      </c>
      <c r="N703" s="17" t="n"/>
      <c r="O703" s="16" t="n"/>
      <c r="P703" s="20" t="inlineStr">
        <is>
          <t>Shimadzu TOC-L</t>
        </is>
      </c>
      <c r="Q703" s="20" t="inlineStr">
        <is>
          <t>None</t>
        </is>
      </c>
      <c r="R703" s="17" t="n"/>
      <c r="S703" s="16" t="n"/>
      <c r="T703" s="20" t="inlineStr">
        <is>
          <t>Shimadzu TOC-L</t>
        </is>
      </c>
      <c r="U703" s="20" t="inlineStr">
        <is>
          <t>None</t>
        </is>
      </c>
      <c r="V703" s="17" t="n"/>
      <c r="W703" s="16" t="n"/>
      <c r="X703" s="20" t="n"/>
      <c r="Y703" s="20" t="inlineStr">
        <is>
          <t>None</t>
        </is>
      </c>
      <c r="Z703" s="17" t="n"/>
      <c r="AA703" s="16" t="n"/>
      <c r="AB703" s="20" t="n"/>
      <c r="AC703" s="20" t="inlineStr">
        <is>
          <t>None</t>
        </is>
      </c>
      <c r="AD703" s="17" t="n"/>
      <c r="AE703" s="16" t="n"/>
      <c r="AF703" s="20" t="inlineStr">
        <is>
          <t>IC Anionen</t>
        </is>
      </c>
      <c r="AG703" s="20" t="inlineStr">
        <is>
          <t>None</t>
        </is>
      </c>
      <c r="AH703" s="17" t="n"/>
      <c r="AI703" s="16" t="n"/>
      <c r="AJ703" s="20" t="n"/>
      <c r="AK703" s="20" t="inlineStr">
        <is>
          <t>None</t>
        </is>
      </c>
      <c r="AL703" s="17" t="n"/>
      <c r="AM703" s="16" t="n"/>
      <c r="AN703" s="20" t="inlineStr">
        <is>
          <t>IC Anionen</t>
        </is>
      </c>
      <c r="AO703" s="20" t="inlineStr">
        <is>
          <t>None</t>
        </is>
      </c>
      <c r="AP703" s="17" t="n"/>
      <c r="AQ703" s="16" t="n"/>
      <c r="AR703" s="20" t="n"/>
      <c r="AS703" s="20" t="inlineStr">
        <is>
          <t>None</t>
        </is>
      </c>
      <c r="AT703" s="17" t="n"/>
      <c r="AU703" s="16" t="n"/>
      <c r="AV703" s="20" t="n"/>
      <c r="AW703" s="20" t="inlineStr">
        <is>
          <t>None</t>
        </is>
      </c>
      <c r="AX703" s="17" t="n"/>
      <c r="AY703" s="16" t="n"/>
      <c r="AZ703" s="20" t="inlineStr">
        <is>
          <t>IC Anionen</t>
        </is>
      </c>
      <c r="BA703" s="20" t="inlineStr">
        <is>
          <t>None</t>
        </is>
      </c>
      <c r="BB703" s="17" t="n"/>
      <c r="BC703" s="16" t="n"/>
      <c r="BD703" s="20" t="inlineStr">
        <is>
          <t>IC Kationen</t>
        </is>
      </c>
      <c r="BE703" s="20" t="inlineStr">
        <is>
          <t>None</t>
        </is>
      </c>
      <c r="BF703" s="17" t="n"/>
      <c r="BG703" s="16" t="n"/>
      <c r="BH703" s="20" t="inlineStr">
        <is>
          <t>IC Kationen</t>
        </is>
      </c>
      <c r="BI703" s="20" t="inlineStr">
        <is>
          <t>None</t>
        </is>
      </c>
      <c r="BJ703" s="17" t="n"/>
      <c r="BK703" s="16" t="n"/>
      <c r="BL703" s="20" t="inlineStr">
        <is>
          <t>IC Kationen</t>
        </is>
      </c>
      <c r="BM703" s="20" t="inlineStr">
        <is>
          <t>None</t>
        </is>
      </c>
      <c r="BN703" s="17" t="n"/>
      <c r="BO703" s="16" t="n"/>
      <c r="BP703" s="20" t="inlineStr">
        <is>
          <t>IC Kationen</t>
        </is>
      </c>
      <c r="BQ703" s="20" t="inlineStr">
        <is>
          <t>None</t>
        </is>
      </c>
      <c r="BR703" s="17" t="n"/>
      <c r="BS703" s="16" t="n"/>
      <c r="BT703" s="20" t="inlineStr">
        <is>
          <t>IC Kationen</t>
        </is>
      </c>
      <c r="BU703" s="20" t="inlineStr">
        <is>
          <t>None</t>
        </is>
      </c>
      <c r="BV703" s="17" t="n"/>
      <c r="BW703" s="16" t="n"/>
      <c r="BX703" s="20" t="n"/>
      <c r="BY703" s="20" t="inlineStr">
        <is>
          <t>None</t>
        </is>
      </c>
      <c r="BZ703" s="17" t="n"/>
      <c r="CA703" s="16" t="n"/>
      <c r="CB703" s="20" t="n"/>
      <c r="CC703" s="20" t="inlineStr">
        <is>
          <t>None</t>
        </is>
      </c>
      <c r="CD703" s="17" t="n"/>
      <c r="CE703" s="16" t="n"/>
      <c r="CF703" s="20" t="n"/>
      <c r="CG703" s="20" t="inlineStr">
        <is>
          <t>None</t>
        </is>
      </c>
      <c r="CH703" s="17" t="n"/>
      <c r="CI703" s="16" t="n"/>
      <c r="CJ703" s="20" t="n"/>
      <c r="CK703" s="20" t="inlineStr">
        <is>
          <t>None</t>
        </is>
      </c>
      <c r="CL703" s="17" t="n"/>
      <c r="CM703" s="16" t="n"/>
      <c r="CN703" s="20" t="inlineStr">
        <is>
          <t>SOP 45-34</t>
        </is>
      </c>
      <c r="CO703" s="20" t="inlineStr">
        <is>
          <t>None</t>
        </is>
      </c>
      <c r="CP703" s="17" t="n"/>
      <c r="CQ703" s="16" t="n"/>
      <c r="CR703" s="20" t="n"/>
      <c r="CS703" s="20" t="inlineStr">
        <is>
          <t>None</t>
        </is>
      </c>
      <c r="CT703" s="17" t="n"/>
      <c r="CU703" s="16" t="n"/>
      <c r="CV703" s="20" t="n"/>
      <c r="CW703" s="20" t="inlineStr">
        <is>
          <t>None</t>
        </is>
      </c>
      <c r="CX703" s="17" t="n"/>
      <c r="CY703" s="16" t="n"/>
      <c r="CZ703" s="20" t="inlineStr">
        <is>
          <t>WTW Multimeter 3430 with FDO 925</t>
        </is>
      </c>
      <c r="DA703" s="20" t="inlineStr">
        <is>
          <t>None</t>
        </is>
      </c>
      <c r="DB703" s="17" t="n"/>
      <c r="DC703" s="16" t="n"/>
      <c r="DD703" s="20" t="n"/>
      <c r="DE703" s="20" t="inlineStr">
        <is>
          <t>None</t>
        </is>
      </c>
      <c r="DF703" s="17" t="n"/>
      <c r="DG703" s="16" t="n"/>
      <c r="DH703" s="20" t="inlineStr">
        <is>
          <t>SOP 45-09</t>
        </is>
      </c>
      <c r="DI703" s="20" t="inlineStr">
        <is>
          <t>None</t>
        </is>
      </c>
      <c r="DJ703" s="17" t="n"/>
      <c r="DK703" s="16" t="n"/>
      <c r="DL703" s="20" t="inlineStr">
        <is>
          <t>SOP 45-09 (SOP muss noch angepasst werden für VSS)</t>
        </is>
      </c>
      <c r="DM703" s="20" t="inlineStr">
        <is>
          <t>None</t>
        </is>
      </c>
      <c r="DN703" s="17" t="n"/>
      <c r="DO703" s="16" t="n"/>
      <c r="DP703" s="20" t="inlineStr">
        <is>
          <t>IC Organic Acids</t>
        </is>
      </c>
      <c r="DQ703" s="20" t="inlineStr">
        <is>
          <t>None</t>
        </is>
      </c>
      <c r="DR703" s="17" t="n"/>
      <c r="DS703" s="16" t="n"/>
      <c r="DT703" s="20" t="inlineStr">
        <is>
          <t>IC Organic Acids</t>
        </is>
      </c>
      <c r="DU703" s="20" t="inlineStr">
        <is>
          <t>None</t>
        </is>
      </c>
      <c r="DV703" s="17" t="n"/>
      <c r="DW703" s="16" t="n"/>
      <c r="DX703" s="20" t="inlineStr">
        <is>
          <t>IC Organic Acids</t>
        </is>
      </c>
      <c r="DY703" s="20" t="inlineStr">
        <is>
          <t>None</t>
        </is>
      </c>
      <c r="DZ703" s="17" t="n"/>
      <c r="EA703" s="16" t="n"/>
      <c r="EB703" s="20" t="inlineStr">
        <is>
          <t>IC Organic Acids</t>
        </is>
      </c>
      <c r="EC703" s="20" t="inlineStr">
        <is>
          <t>None</t>
        </is>
      </c>
      <c r="ED703" s="17" t="n"/>
      <c r="EE703" s="16" t="n"/>
      <c r="EF703" s="20" t="inlineStr">
        <is>
          <t>IC Organic Acids</t>
        </is>
      </c>
      <c r="EG703" s="20" t="inlineStr">
        <is>
          <t>None</t>
        </is>
      </c>
      <c r="EH703" s="17" t="n"/>
      <c r="EI703" s="16" t="n"/>
      <c r="EJ703" s="20" t="inlineStr">
        <is>
          <t>IC Organic Acids</t>
        </is>
      </c>
      <c r="EK703" s="20" t="inlineStr">
        <is>
          <t>None</t>
        </is>
      </c>
      <c r="EL703" s="17" t="n"/>
      <c r="EM703" s="16" t="n"/>
      <c r="EN703" s="20" t="inlineStr">
        <is>
          <t>IC Organic Acids</t>
        </is>
      </c>
      <c r="EO703" s="20" t="inlineStr">
        <is>
          <t>None</t>
        </is>
      </c>
      <c r="EP703" s="17" t="n"/>
      <c r="EQ703" s="16" t="n"/>
      <c r="ER703" s="20" t="inlineStr">
        <is>
          <t>IC Organic Acids</t>
        </is>
      </c>
      <c r="ES703" s="20" t="inlineStr">
        <is>
          <t>None</t>
        </is>
      </c>
      <c r="ET703" s="17" t="n"/>
      <c r="EU703" s="16" t="n"/>
      <c r="EV703" s="20" t="inlineStr">
        <is>
          <t>LC-MS</t>
        </is>
      </c>
      <c r="EW703" s="20" t="inlineStr">
        <is>
          <t>None</t>
        </is>
      </c>
      <c r="EX703" s="17" t="n"/>
      <c r="EY703" s="21" t="n"/>
      <c r="EZ703">
        <f>CONCATENATE(A703,B703)</f>
        <v/>
      </c>
      <c r="FA703">
        <f>CONCATENATE(SamplesX!A703,SamplesX!B703)</f>
        <v/>
      </c>
      <c r="FC703">
        <f>MATCH(EZ703,FA1:FA1008,0)</f>
        <v/>
      </c>
    </row>
    <row r="704">
      <c r="A704" s="16" t="n"/>
      <c r="B704" s="17" t="n"/>
      <c r="C704" s="10">
        <f>IF(ISNUMBER(FC704),INDIRECT("SamplesX!C"&amp;FC704),IF(ISNUMBER(FD704),INDIRECT("SamplesY!C"&amp;FD704),""))</f>
        <v/>
      </c>
      <c r="D704" s="12">
        <f>IF(ISNUMBER(FC704),INDIRECT("SamplesX!D"&amp;FC704),IF(ISNUMBER(FD704),INDIRECT("SamplesY!D"&amp;FD704),""))</f>
        <v/>
      </c>
      <c r="E704" s="12">
        <f>IF(ISNUMBER(FC704),INDIRECT("SamplesX!E"&amp;FC704),IF(ISNUMBER(FD704),INDIRECT("SamplesY!E"&amp;FD704),""))</f>
        <v/>
      </c>
      <c r="F704" s="11">
        <f>IF(ISNUMBER(FC704),INDIRECT("SamplesX!F"&amp;FC704),IF(ISNUMBER(FD704),INDIRECT("SamplesY!F"&amp;FD704),""))</f>
        <v/>
      </c>
      <c r="G704" s="18">
        <f>IF(ISNUMBER(FC704),INDIRECT("SamplesX!G"&amp;FC704),IF(ISNUMBER(FD704),INDIRECT("SamplesY!G"&amp;FD704),""))</f>
        <v/>
      </c>
      <c r="H704" s="19">
        <f>IF(ISNUMBER(FC704),INDIRECT("SamplesX!H"&amp;FC704),IF(ISNUMBER(FD704),INDIRECT("SamplesY!H"&amp;FD704),""))</f>
        <v/>
      </c>
      <c r="I704" s="16" t="n"/>
      <c r="J704" s="16" t="n"/>
      <c r="K704" s="16" t="n"/>
      <c r="L704" s="20" t="n"/>
      <c r="M704" s="20" t="inlineStr">
        <is>
          <t>None</t>
        </is>
      </c>
      <c r="N704" s="17" t="n"/>
      <c r="O704" s="16" t="n"/>
      <c r="P704" s="20" t="inlineStr">
        <is>
          <t>Shimadzu TOC-L</t>
        </is>
      </c>
      <c r="Q704" s="20" t="inlineStr">
        <is>
          <t>None</t>
        </is>
      </c>
      <c r="R704" s="17" t="n"/>
      <c r="S704" s="16" t="n"/>
      <c r="T704" s="20" t="inlineStr">
        <is>
          <t>Shimadzu TOC-L</t>
        </is>
      </c>
      <c r="U704" s="20" t="inlineStr">
        <is>
          <t>None</t>
        </is>
      </c>
      <c r="V704" s="17" t="n"/>
      <c r="W704" s="16" t="n"/>
      <c r="X704" s="20" t="n"/>
      <c r="Y704" s="20" t="inlineStr">
        <is>
          <t>None</t>
        </is>
      </c>
      <c r="Z704" s="17" t="n"/>
      <c r="AA704" s="16" t="n"/>
      <c r="AB704" s="20" t="n"/>
      <c r="AC704" s="20" t="inlineStr">
        <is>
          <t>None</t>
        </is>
      </c>
      <c r="AD704" s="17" t="n"/>
      <c r="AE704" s="16" t="n"/>
      <c r="AF704" s="20" t="inlineStr">
        <is>
          <t>IC Anionen</t>
        </is>
      </c>
      <c r="AG704" s="20" t="inlineStr">
        <is>
          <t>None</t>
        </is>
      </c>
      <c r="AH704" s="17" t="n"/>
      <c r="AI704" s="16" t="n"/>
      <c r="AJ704" s="20" t="n"/>
      <c r="AK704" s="20" t="inlineStr">
        <is>
          <t>None</t>
        </is>
      </c>
      <c r="AL704" s="17" t="n"/>
      <c r="AM704" s="16" t="n"/>
      <c r="AN704" s="20" t="inlineStr">
        <is>
          <t>IC Anionen</t>
        </is>
      </c>
      <c r="AO704" s="20" t="inlineStr">
        <is>
          <t>None</t>
        </is>
      </c>
      <c r="AP704" s="17" t="n"/>
      <c r="AQ704" s="16" t="n"/>
      <c r="AR704" s="20" t="n"/>
      <c r="AS704" s="20" t="inlineStr">
        <is>
          <t>None</t>
        </is>
      </c>
      <c r="AT704" s="17" t="n"/>
      <c r="AU704" s="16" t="n"/>
      <c r="AV704" s="20" t="n"/>
      <c r="AW704" s="20" t="inlineStr">
        <is>
          <t>None</t>
        </is>
      </c>
      <c r="AX704" s="17" t="n"/>
      <c r="AY704" s="16" t="n"/>
      <c r="AZ704" s="20" t="inlineStr">
        <is>
          <t>IC Anionen</t>
        </is>
      </c>
      <c r="BA704" s="20" t="inlineStr">
        <is>
          <t>None</t>
        </is>
      </c>
      <c r="BB704" s="17" t="n"/>
      <c r="BC704" s="16" t="n"/>
      <c r="BD704" s="20" t="inlineStr">
        <is>
          <t>IC Kationen</t>
        </is>
      </c>
      <c r="BE704" s="20" t="inlineStr">
        <is>
          <t>None</t>
        </is>
      </c>
      <c r="BF704" s="17" t="n"/>
      <c r="BG704" s="16" t="n"/>
      <c r="BH704" s="20" t="inlineStr">
        <is>
          <t>IC Kationen</t>
        </is>
      </c>
      <c r="BI704" s="20" t="inlineStr">
        <is>
          <t>None</t>
        </is>
      </c>
      <c r="BJ704" s="17" t="n"/>
      <c r="BK704" s="16" t="n"/>
      <c r="BL704" s="20" t="inlineStr">
        <is>
          <t>IC Kationen</t>
        </is>
      </c>
      <c r="BM704" s="20" t="inlineStr">
        <is>
          <t>None</t>
        </is>
      </c>
      <c r="BN704" s="17" t="n"/>
      <c r="BO704" s="16" t="n"/>
      <c r="BP704" s="20" t="inlineStr">
        <is>
          <t>IC Kationen</t>
        </is>
      </c>
      <c r="BQ704" s="20" t="inlineStr">
        <is>
          <t>None</t>
        </is>
      </c>
      <c r="BR704" s="17" t="n"/>
      <c r="BS704" s="16" t="n"/>
      <c r="BT704" s="20" t="inlineStr">
        <is>
          <t>IC Kationen</t>
        </is>
      </c>
      <c r="BU704" s="20" t="inlineStr">
        <is>
          <t>None</t>
        </is>
      </c>
      <c r="BV704" s="17" t="n"/>
      <c r="BW704" s="16" t="n"/>
      <c r="BX704" s="20" t="n"/>
      <c r="BY704" s="20" t="inlineStr">
        <is>
          <t>None</t>
        </is>
      </c>
      <c r="BZ704" s="17" t="n"/>
      <c r="CA704" s="16" t="n"/>
      <c r="CB704" s="20" t="n"/>
      <c r="CC704" s="20" t="inlineStr">
        <is>
          <t>None</t>
        </is>
      </c>
      <c r="CD704" s="17" t="n"/>
      <c r="CE704" s="16" t="n"/>
      <c r="CF704" s="20" t="n"/>
      <c r="CG704" s="20" t="inlineStr">
        <is>
          <t>None</t>
        </is>
      </c>
      <c r="CH704" s="17" t="n"/>
      <c r="CI704" s="16" t="n"/>
      <c r="CJ704" s="20" t="n"/>
      <c r="CK704" s="20" t="inlineStr">
        <is>
          <t>None</t>
        </is>
      </c>
      <c r="CL704" s="17" t="n"/>
      <c r="CM704" s="16" t="n"/>
      <c r="CN704" s="20" t="inlineStr">
        <is>
          <t>SOP 45-34</t>
        </is>
      </c>
      <c r="CO704" s="20" t="inlineStr">
        <is>
          <t>None</t>
        </is>
      </c>
      <c r="CP704" s="17" t="n"/>
      <c r="CQ704" s="16" t="n"/>
      <c r="CR704" s="20" t="n"/>
      <c r="CS704" s="20" t="inlineStr">
        <is>
          <t>None</t>
        </is>
      </c>
      <c r="CT704" s="17" t="n"/>
      <c r="CU704" s="16" t="n"/>
      <c r="CV704" s="20" t="n"/>
      <c r="CW704" s="20" t="inlineStr">
        <is>
          <t>None</t>
        </is>
      </c>
      <c r="CX704" s="17" t="n"/>
      <c r="CY704" s="16" t="n"/>
      <c r="CZ704" s="20" t="inlineStr">
        <is>
          <t>WTW Multimeter 3430 with FDO 925</t>
        </is>
      </c>
      <c r="DA704" s="20" t="inlineStr">
        <is>
          <t>None</t>
        </is>
      </c>
      <c r="DB704" s="17" t="n"/>
      <c r="DC704" s="16" t="n"/>
      <c r="DD704" s="20" t="n"/>
      <c r="DE704" s="20" t="inlineStr">
        <is>
          <t>None</t>
        </is>
      </c>
      <c r="DF704" s="17" t="n"/>
      <c r="DG704" s="16" t="n"/>
      <c r="DH704" s="20" t="inlineStr">
        <is>
          <t>SOP 45-09</t>
        </is>
      </c>
      <c r="DI704" s="20" t="inlineStr">
        <is>
          <t>None</t>
        </is>
      </c>
      <c r="DJ704" s="17" t="n"/>
      <c r="DK704" s="16" t="n"/>
      <c r="DL704" s="20" t="inlineStr">
        <is>
          <t>SOP 45-09 (SOP muss noch angepasst werden für VSS)</t>
        </is>
      </c>
      <c r="DM704" s="20" t="inlineStr">
        <is>
          <t>None</t>
        </is>
      </c>
      <c r="DN704" s="17" t="n"/>
      <c r="DO704" s="16" t="n"/>
      <c r="DP704" s="20" t="inlineStr">
        <is>
          <t>IC Organic Acids</t>
        </is>
      </c>
      <c r="DQ704" s="20" t="inlineStr">
        <is>
          <t>None</t>
        </is>
      </c>
      <c r="DR704" s="17" t="n"/>
      <c r="DS704" s="16" t="n"/>
      <c r="DT704" s="20" t="inlineStr">
        <is>
          <t>IC Organic Acids</t>
        </is>
      </c>
      <c r="DU704" s="20" t="inlineStr">
        <is>
          <t>None</t>
        </is>
      </c>
      <c r="DV704" s="17" t="n"/>
      <c r="DW704" s="16" t="n"/>
      <c r="DX704" s="20" t="inlineStr">
        <is>
          <t>IC Organic Acids</t>
        </is>
      </c>
      <c r="DY704" s="20" t="inlineStr">
        <is>
          <t>None</t>
        </is>
      </c>
      <c r="DZ704" s="17" t="n"/>
      <c r="EA704" s="16" t="n"/>
      <c r="EB704" s="20" t="inlineStr">
        <is>
          <t>IC Organic Acids</t>
        </is>
      </c>
      <c r="EC704" s="20" t="inlineStr">
        <is>
          <t>None</t>
        </is>
      </c>
      <c r="ED704" s="17" t="n"/>
      <c r="EE704" s="16" t="n"/>
      <c r="EF704" s="20" t="inlineStr">
        <is>
          <t>IC Organic Acids</t>
        </is>
      </c>
      <c r="EG704" s="20" t="inlineStr">
        <is>
          <t>None</t>
        </is>
      </c>
      <c r="EH704" s="17" t="n"/>
      <c r="EI704" s="16" t="n"/>
      <c r="EJ704" s="20" t="inlineStr">
        <is>
          <t>IC Organic Acids</t>
        </is>
      </c>
      <c r="EK704" s="20" t="inlineStr">
        <is>
          <t>None</t>
        </is>
      </c>
      <c r="EL704" s="17" t="n"/>
      <c r="EM704" s="16" t="n"/>
      <c r="EN704" s="20" t="inlineStr">
        <is>
          <t>IC Organic Acids</t>
        </is>
      </c>
      <c r="EO704" s="20" t="inlineStr">
        <is>
          <t>None</t>
        </is>
      </c>
      <c r="EP704" s="17" t="n"/>
      <c r="EQ704" s="16" t="n"/>
      <c r="ER704" s="20" t="inlineStr">
        <is>
          <t>IC Organic Acids</t>
        </is>
      </c>
      <c r="ES704" s="20" t="inlineStr">
        <is>
          <t>None</t>
        </is>
      </c>
      <c r="ET704" s="17" t="n"/>
      <c r="EU704" s="16" t="n"/>
      <c r="EV704" s="20" t="inlineStr">
        <is>
          <t>LC-MS</t>
        </is>
      </c>
      <c r="EW704" s="20" t="inlineStr">
        <is>
          <t>None</t>
        </is>
      </c>
      <c r="EX704" s="17" t="n"/>
      <c r="EY704" s="21" t="n"/>
      <c r="EZ704">
        <f>CONCATENATE(A704,B704)</f>
        <v/>
      </c>
      <c r="FA704">
        <f>CONCATENATE(SamplesX!A704,SamplesX!B704)</f>
        <v/>
      </c>
      <c r="FC704">
        <f>MATCH(EZ704,FA1:FA1008,0)</f>
        <v/>
      </c>
    </row>
    <row r="705">
      <c r="A705" s="16" t="n"/>
      <c r="B705" s="17" t="n"/>
      <c r="C705" s="10">
        <f>IF(ISNUMBER(FC705),INDIRECT("SamplesX!C"&amp;FC705),IF(ISNUMBER(FD705),INDIRECT("SamplesY!C"&amp;FD705),""))</f>
        <v/>
      </c>
      <c r="D705" s="12">
        <f>IF(ISNUMBER(FC705),INDIRECT("SamplesX!D"&amp;FC705),IF(ISNUMBER(FD705),INDIRECT("SamplesY!D"&amp;FD705),""))</f>
        <v/>
      </c>
      <c r="E705" s="12">
        <f>IF(ISNUMBER(FC705),INDIRECT("SamplesX!E"&amp;FC705),IF(ISNUMBER(FD705),INDIRECT("SamplesY!E"&amp;FD705),""))</f>
        <v/>
      </c>
      <c r="F705" s="11">
        <f>IF(ISNUMBER(FC705),INDIRECT("SamplesX!F"&amp;FC705),IF(ISNUMBER(FD705),INDIRECT("SamplesY!F"&amp;FD705),""))</f>
        <v/>
      </c>
      <c r="G705" s="18">
        <f>IF(ISNUMBER(FC705),INDIRECT("SamplesX!G"&amp;FC705),IF(ISNUMBER(FD705),INDIRECT("SamplesY!G"&amp;FD705),""))</f>
        <v/>
      </c>
      <c r="H705" s="19">
        <f>IF(ISNUMBER(FC705),INDIRECT("SamplesX!H"&amp;FC705),IF(ISNUMBER(FD705),INDIRECT("SamplesY!H"&amp;FD705),""))</f>
        <v/>
      </c>
      <c r="I705" s="16" t="n"/>
      <c r="J705" s="16" t="n"/>
      <c r="K705" s="16" t="n"/>
      <c r="L705" s="20" t="n"/>
      <c r="M705" s="20" t="inlineStr">
        <is>
          <t>None</t>
        </is>
      </c>
      <c r="N705" s="17" t="n"/>
      <c r="O705" s="16" t="n"/>
      <c r="P705" s="20" t="inlineStr">
        <is>
          <t>Shimadzu TOC-L</t>
        </is>
      </c>
      <c r="Q705" s="20" t="inlineStr">
        <is>
          <t>None</t>
        </is>
      </c>
      <c r="R705" s="17" t="n"/>
      <c r="S705" s="16" t="n"/>
      <c r="T705" s="20" t="inlineStr">
        <is>
          <t>Shimadzu TOC-L</t>
        </is>
      </c>
      <c r="U705" s="20" t="inlineStr">
        <is>
          <t>None</t>
        </is>
      </c>
      <c r="V705" s="17" t="n"/>
      <c r="W705" s="16" t="n"/>
      <c r="X705" s="20" t="n"/>
      <c r="Y705" s="20" t="inlineStr">
        <is>
          <t>None</t>
        </is>
      </c>
      <c r="Z705" s="17" t="n"/>
      <c r="AA705" s="16" t="n"/>
      <c r="AB705" s="20" t="n"/>
      <c r="AC705" s="20" t="inlineStr">
        <is>
          <t>None</t>
        </is>
      </c>
      <c r="AD705" s="17" t="n"/>
      <c r="AE705" s="16" t="n"/>
      <c r="AF705" s="20" t="inlineStr">
        <is>
          <t>IC Anionen</t>
        </is>
      </c>
      <c r="AG705" s="20" t="inlineStr">
        <is>
          <t>None</t>
        </is>
      </c>
      <c r="AH705" s="17" t="n"/>
      <c r="AI705" s="16" t="n"/>
      <c r="AJ705" s="20" t="n"/>
      <c r="AK705" s="20" t="inlineStr">
        <is>
          <t>None</t>
        </is>
      </c>
      <c r="AL705" s="17" t="n"/>
      <c r="AM705" s="16" t="n"/>
      <c r="AN705" s="20" t="inlineStr">
        <is>
          <t>IC Anionen</t>
        </is>
      </c>
      <c r="AO705" s="20" t="inlineStr">
        <is>
          <t>None</t>
        </is>
      </c>
      <c r="AP705" s="17" t="n"/>
      <c r="AQ705" s="16" t="n"/>
      <c r="AR705" s="20" t="n"/>
      <c r="AS705" s="20" t="inlineStr">
        <is>
          <t>None</t>
        </is>
      </c>
      <c r="AT705" s="17" t="n"/>
      <c r="AU705" s="16" t="n"/>
      <c r="AV705" s="20" t="n"/>
      <c r="AW705" s="20" t="inlineStr">
        <is>
          <t>None</t>
        </is>
      </c>
      <c r="AX705" s="17" t="n"/>
      <c r="AY705" s="16" t="n"/>
      <c r="AZ705" s="20" t="inlineStr">
        <is>
          <t>IC Anionen</t>
        </is>
      </c>
      <c r="BA705" s="20" t="inlineStr">
        <is>
          <t>None</t>
        </is>
      </c>
      <c r="BB705" s="17" t="n"/>
      <c r="BC705" s="16" t="n"/>
      <c r="BD705" s="20" t="inlineStr">
        <is>
          <t>IC Kationen</t>
        </is>
      </c>
      <c r="BE705" s="20" t="inlineStr">
        <is>
          <t>None</t>
        </is>
      </c>
      <c r="BF705" s="17" t="n"/>
      <c r="BG705" s="16" t="n"/>
      <c r="BH705" s="20" t="inlineStr">
        <is>
          <t>IC Kationen</t>
        </is>
      </c>
      <c r="BI705" s="20" t="inlineStr">
        <is>
          <t>None</t>
        </is>
      </c>
      <c r="BJ705" s="17" t="n"/>
      <c r="BK705" s="16" t="n"/>
      <c r="BL705" s="20" t="inlineStr">
        <is>
          <t>IC Kationen</t>
        </is>
      </c>
      <c r="BM705" s="20" t="inlineStr">
        <is>
          <t>None</t>
        </is>
      </c>
      <c r="BN705" s="17" t="n"/>
      <c r="BO705" s="16" t="n"/>
      <c r="BP705" s="20" t="inlineStr">
        <is>
          <t>IC Kationen</t>
        </is>
      </c>
      <c r="BQ705" s="20" t="inlineStr">
        <is>
          <t>None</t>
        </is>
      </c>
      <c r="BR705" s="17" t="n"/>
      <c r="BS705" s="16" t="n"/>
      <c r="BT705" s="20" t="inlineStr">
        <is>
          <t>IC Kationen</t>
        </is>
      </c>
      <c r="BU705" s="20" t="inlineStr">
        <is>
          <t>None</t>
        </is>
      </c>
      <c r="BV705" s="17" t="n"/>
      <c r="BW705" s="16" t="n"/>
      <c r="BX705" s="20" t="n"/>
      <c r="BY705" s="20" t="inlineStr">
        <is>
          <t>None</t>
        </is>
      </c>
      <c r="BZ705" s="17" t="n"/>
      <c r="CA705" s="16" t="n"/>
      <c r="CB705" s="20" t="n"/>
      <c r="CC705" s="20" t="inlineStr">
        <is>
          <t>None</t>
        </is>
      </c>
      <c r="CD705" s="17" t="n"/>
      <c r="CE705" s="16" t="n"/>
      <c r="CF705" s="20" t="n"/>
      <c r="CG705" s="20" t="inlineStr">
        <is>
          <t>None</t>
        </is>
      </c>
      <c r="CH705" s="17" t="n"/>
      <c r="CI705" s="16" t="n"/>
      <c r="CJ705" s="20" t="n"/>
      <c r="CK705" s="20" t="inlineStr">
        <is>
          <t>None</t>
        </is>
      </c>
      <c r="CL705" s="17" t="n"/>
      <c r="CM705" s="16" t="n"/>
      <c r="CN705" s="20" t="inlineStr">
        <is>
          <t>SOP 45-34</t>
        </is>
      </c>
      <c r="CO705" s="20" t="inlineStr">
        <is>
          <t>None</t>
        </is>
      </c>
      <c r="CP705" s="17" t="n"/>
      <c r="CQ705" s="16" t="n"/>
      <c r="CR705" s="20" t="n"/>
      <c r="CS705" s="20" t="inlineStr">
        <is>
          <t>None</t>
        </is>
      </c>
      <c r="CT705" s="17" t="n"/>
      <c r="CU705" s="16" t="n"/>
      <c r="CV705" s="20" t="n"/>
      <c r="CW705" s="20" t="inlineStr">
        <is>
          <t>None</t>
        </is>
      </c>
      <c r="CX705" s="17" t="n"/>
      <c r="CY705" s="16" t="n"/>
      <c r="CZ705" s="20" t="inlineStr">
        <is>
          <t>WTW Multimeter 3430 with FDO 925</t>
        </is>
      </c>
      <c r="DA705" s="20" t="inlineStr">
        <is>
          <t>None</t>
        </is>
      </c>
      <c r="DB705" s="17" t="n"/>
      <c r="DC705" s="16" t="n"/>
      <c r="DD705" s="20" t="n"/>
      <c r="DE705" s="20" t="inlineStr">
        <is>
          <t>None</t>
        </is>
      </c>
      <c r="DF705" s="17" t="n"/>
      <c r="DG705" s="16" t="n"/>
      <c r="DH705" s="20" t="inlineStr">
        <is>
          <t>SOP 45-09</t>
        </is>
      </c>
      <c r="DI705" s="20" t="inlineStr">
        <is>
          <t>None</t>
        </is>
      </c>
      <c r="DJ705" s="17" t="n"/>
      <c r="DK705" s="16" t="n"/>
      <c r="DL705" s="20" t="inlineStr">
        <is>
          <t>SOP 45-09 (SOP muss noch angepasst werden für VSS)</t>
        </is>
      </c>
      <c r="DM705" s="20" t="inlineStr">
        <is>
          <t>None</t>
        </is>
      </c>
      <c r="DN705" s="17" t="n"/>
      <c r="DO705" s="16" t="n"/>
      <c r="DP705" s="20" t="inlineStr">
        <is>
          <t>IC Organic Acids</t>
        </is>
      </c>
      <c r="DQ705" s="20" t="inlineStr">
        <is>
          <t>None</t>
        </is>
      </c>
      <c r="DR705" s="17" t="n"/>
      <c r="DS705" s="16" t="n"/>
      <c r="DT705" s="20" t="inlineStr">
        <is>
          <t>IC Organic Acids</t>
        </is>
      </c>
      <c r="DU705" s="20" t="inlineStr">
        <is>
          <t>None</t>
        </is>
      </c>
      <c r="DV705" s="17" t="n"/>
      <c r="DW705" s="16" t="n"/>
      <c r="DX705" s="20" t="inlineStr">
        <is>
          <t>IC Organic Acids</t>
        </is>
      </c>
      <c r="DY705" s="20" t="inlineStr">
        <is>
          <t>None</t>
        </is>
      </c>
      <c r="DZ705" s="17" t="n"/>
      <c r="EA705" s="16" t="n"/>
      <c r="EB705" s="20" t="inlineStr">
        <is>
          <t>IC Organic Acids</t>
        </is>
      </c>
      <c r="EC705" s="20" t="inlineStr">
        <is>
          <t>None</t>
        </is>
      </c>
      <c r="ED705" s="17" t="n"/>
      <c r="EE705" s="16" t="n"/>
      <c r="EF705" s="20" t="inlineStr">
        <is>
          <t>IC Organic Acids</t>
        </is>
      </c>
      <c r="EG705" s="20" t="inlineStr">
        <is>
          <t>None</t>
        </is>
      </c>
      <c r="EH705" s="17" t="n"/>
      <c r="EI705" s="16" t="n"/>
      <c r="EJ705" s="20" t="inlineStr">
        <is>
          <t>IC Organic Acids</t>
        </is>
      </c>
      <c r="EK705" s="20" t="inlineStr">
        <is>
          <t>None</t>
        </is>
      </c>
      <c r="EL705" s="17" t="n"/>
      <c r="EM705" s="16" t="n"/>
      <c r="EN705" s="20" t="inlineStr">
        <is>
          <t>IC Organic Acids</t>
        </is>
      </c>
      <c r="EO705" s="20" t="inlineStr">
        <is>
          <t>None</t>
        </is>
      </c>
      <c r="EP705" s="17" t="n"/>
      <c r="EQ705" s="16" t="n"/>
      <c r="ER705" s="20" t="inlineStr">
        <is>
          <t>IC Organic Acids</t>
        </is>
      </c>
      <c r="ES705" s="20" t="inlineStr">
        <is>
          <t>None</t>
        </is>
      </c>
      <c r="ET705" s="17" t="n"/>
      <c r="EU705" s="16" t="n"/>
      <c r="EV705" s="20" t="inlineStr">
        <is>
          <t>LC-MS</t>
        </is>
      </c>
      <c r="EW705" s="20" t="inlineStr">
        <is>
          <t>None</t>
        </is>
      </c>
      <c r="EX705" s="17" t="n"/>
      <c r="EY705" s="21" t="n"/>
      <c r="EZ705">
        <f>CONCATENATE(A705,B705)</f>
        <v/>
      </c>
      <c r="FA705">
        <f>CONCATENATE(SamplesX!A705,SamplesX!B705)</f>
        <v/>
      </c>
      <c r="FC705">
        <f>MATCH(EZ705,FA1:FA1008,0)</f>
        <v/>
      </c>
    </row>
    <row r="706">
      <c r="A706" s="16" t="n"/>
      <c r="B706" s="17" t="n"/>
      <c r="C706" s="10">
        <f>IF(ISNUMBER(FC706),INDIRECT("SamplesX!C"&amp;FC706),IF(ISNUMBER(FD706),INDIRECT("SamplesY!C"&amp;FD706),""))</f>
        <v/>
      </c>
      <c r="D706" s="12">
        <f>IF(ISNUMBER(FC706),INDIRECT("SamplesX!D"&amp;FC706),IF(ISNUMBER(FD706),INDIRECT("SamplesY!D"&amp;FD706),""))</f>
        <v/>
      </c>
      <c r="E706" s="12">
        <f>IF(ISNUMBER(FC706),INDIRECT("SamplesX!E"&amp;FC706),IF(ISNUMBER(FD706),INDIRECT("SamplesY!E"&amp;FD706),""))</f>
        <v/>
      </c>
      <c r="F706" s="11">
        <f>IF(ISNUMBER(FC706),INDIRECT("SamplesX!F"&amp;FC706),IF(ISNUMBER(FD706),INDIRECT("SamplesY!F"&amp;FD706),""))</f>
        <v/>
      </c>
      <c r="G706" s="18">
        <f>IF(ISNUMBER(FC706),INDIRECT("SamplesX!G"&amp;FC706),IF(ISNUMBER(FD706),INDIRECT("SamplesY!G"&amp;FD706),""))</f>
        <v/>
      </c>
      <c r="H706" s="19">
        <f>IF(ISNUMBER(FC706),INDIRECT("SamplesX!H"&amp;FC706),IF(ISNUMBER(FD706),INDIRECT("SamplesY!H"&amp;FD706),""))</f>
        <v/>
      </c>
      <c r="I706" s="16" t="n"/>
      <c r="J706" s="16" t="n"/>
      <c r="K706" s="16" t="n"/>
      <c r="L706" s="20" t="n"/>
      <c r="M706" s="20" t="inlineStr">
        <is>
          <t>None</t>
        </is>
      </c>
      <c r="N706" s="17" t="n"/>
      <c r="O706" s="16" t="n"/>
      <c r="P706" s="20" t="inlineStr">
        <is>
          <t>Shimadzu TOC-L</t>
        </is>
      </c>
      <c r="Q706" s="20" t="inlineStr">
        <is>
          <t>None</t>
        </is>
      </c>
      <c r="R706" s="17" t="n"/>
      <c r="S706" s="16" t="n"/>
      <c r="T706" s="20" t="inlineStr">
        <is>
          <t>Shimadzu TOC-L</t>
        </is>
      </c>
      <c r="U706" s="20" t="inlineStr">
        <is>
          <t>None</t>
        </is>
      </c>
      <c r="V706" s="17" t="n"/>
      <c r="W706" s="16" t="n"/>
      <c r="X706" s="20" t="n"/>
      <c r="Y706" s="20" t="inlineStr">
        <is>
          <t>None</t>
        </is>
      </c>
      <c r="Z706" s="17" t="n"/>
      <c r="AA706" s="16" t="n"/>
      <c r="AB706" s="20" t="n"/>
      <c r="AC706" s="20" t="inlineStr">
        <is>
          <t>None</t>
        </is>
      </c>
      <c r="AD706" s="17" t="n"/>
      <c r="AE706" s="16" t="n"/>
      <c r="AF706" s="20" t="inlineStr">
        <is>
          <t>IC Anionen</t>
        </is>
      </c>
      <c r="AG706" s="20" t="inlineStr">
        <is>
          <t>None</t>
        </is>
      </c>
      <c r="AH706" s="17" t="n"/>
      <c r="AI706" s="16" t="n"/>
      <c r="AJ706" s="20" t="n"/>
      <c r="AK706" s="20" t="inlineStr">
        <is>
          <t>None</t>
        </is>
      </c>
      <c r="AL706" s="17" t="n"/>
      <c r="AM706" s="16" t="n"/>
      <c r="AN706" s="20" t="inlineStr">
        <is>
          <t>IC Anionen</t>
        </is>
      </c>
      <c r="AO706" s="20" t="inlineStr">
        <is>
          <t>None</t>
        </is>
      </c>
      <c r="AP706" s="17" t="n"/>
      <c r="AQ706" s="16" t="n"/>
      <c r="AR706" s="20" t="n"/>
      <c r="AS706" s="20" t="inlineStr">
        <is>
          <t>None</t>
        </is>
      </c>
      <c r="AT706" s="17" t="n"/>
      <c r="AU706" s="16" t="n"/>
      <c r="AV706" s="20" t="n"/>
      <c r="AW706" s="20" t="inlineStr">
        <is>
          <t>None</t>
        </is>
      </c>
      <c r="AX706" s="17" t="n"/>
      <c r="AY706" s="16" t="n"/>
      <c r="AZ706" s="20" t="inlineStr">
        <is>
          <t>IC Anionen</t>
        </is>
      </c>
      <c r="BA706" s="20" t="inlineStr">
        <is>
          <t>None</t>
        </is>
      </c>
      <c r="BB706" s="17" t="n"/>
      <c r="BC706" s="16" t="n"/>
      <c r="BD706" s="20" t="inlineStr">
        <is>
          <t>IC Kationen</t>
        </is>
      </c>
      <c r="BE706" s="20" t="inlineStr">
        <is>
          <t>None</t>
        </is>
      </c>
      <c r="BF706" s="17" t="n"/>
      <c r="BG706" s="16" t="n"/>
      <c r="BH706" s="20" t="inlineStr">
        <is>
          <t>IC Kationen</t>
        </is>
      </c>
      <c r="BI706" s="20" t="inlineStr">
        <is>
          <t>None</t>
        </is>
      </c>
      <c r="BJ706" s="17" t="n"/>
      <c r="BK706" s="16" t="n"/>
      <c r="BL706" s="20" t="inlineStr">
        <is>
          <t>IC Kationen</t>
        </is>
      </c>
      <c r="BM706" s="20" t="inlineStr">
        <is>
          <t>None</t>
        </is>
      </c>
      <c r="BN706" s="17" t="n"/>
      <c r="BO706" s="16" t="n"/>
      <c r="BP706" s="20" t="inlineStr">
        <is>
          <t>IC Kationen</t>
        </is>
      </c>
      <c r="BQ706" s="20" t="inlineStr">
        <is>
          <t>None</t>
        </is>
      </c>
      <c r="BR706" s="17" t="n"/>
      <c r="BS706" s="16" t="n"/>
      <c r="BT706" s="20" t="inlineStr">
        <is>
          <t>IC Kationen</t>
        </is>
      </c>
      <c r="BU706" s="20" t="inlineStr">
        <is>
          <t>None</t>
        </is>
      </c>
      <c r="BV706" s="17" t="n"/>
      <c r="BW706" s="16" t="n"/>
      <c r="BX706" s="20" t="n"/>
      <c r="BY706" s="20" t="inlineStr">
        <is>
          <t>None</t>
        </is>
      </c>
      <c r="BZ706" s="17" t="n"/>
      <c r="CA706" s="16" t="n"/>
      <c r="CB706" s="20" t="n"/>
      <c r="CC706" s="20" t="inlineStr">
        <is>
          <t>None</t>
        </is>
      </c>
      <c r="CD706" s="17" t="n"/>
      <c r="CE706" s="16" t="n"/>
      <c r="CF706" s="20" t="n"/>
      <c r="CG706" s="20" t="inlineStr">
        <is>
          <t>None</t>
        </is>
      </c>
      <c r="CH706" s="17" t="n"/>
      <c r="CI706" s="16" t="n"/>
      <c r="CJ706" s="20" t="n"/>
      <c r="CK706" s="20" t="inlineStr">
        <is>
          <t>None</t>
        </is>
      </c>
      <c r="CL706" s="17" t="n"/>
      <c r="CM706" s="16" t="n"/>
      <c r="CN706" s="20" t="inlineStr">
        <is>
          <t>SOP 45-34</t>
        </is>
      </c>
      <c r="CO706" s="20" t="inlineStr">
        <is>
          <t>None</t>
        </is>
      </c>
      <c r="CP706" s="17" t="n"/>
      <c r="CQ706" s="16" t="n"/>
      <c r="CR706" s="20" t="n"/>
      <c r="CS706" s="20" t="inlineStr">
        <is>
          <t>None</t>
        </is>
      </c>
      <c r="CT706" s="17" t="n"/>
      <c r="CU706" s="16" t="n"/>
      <c r="CV706" s="20" t="n"/>
      <c r="CW706" s="20" t="inlineStr">
        <is>
          <t>None</t>
        </is>
      </c>
      <c r="CX706" s="17" t="n"/>
      <c r="CY706" s="16" t="n"/>
      <c r="CZ706" s="20" t="inlineStr">
        <is>
          <t>WTW Multimeter 3430 with FDO 925</t>
        </is>
      </c>
      <c r="DA706" s="20" t="inlineStr">
        <is>
          <t>None</t>
        </is>
      </c>
      <c r="DB706" s="17" t="n"/>
      <c r="DC706" s="16" t="n"/>
      <c r="DD706" s="20" t="n"/>
      <c r="DE706" s="20" t="inlineStr">
        <is>
          <t>None</t>
        </is>
      </c>
      <c r="DF706" s="17" t="n"/>
      <c r="DG706" s="16" t="n"/>
      <c r="DH706" s="20" t="inlineStr">
        <is>
          <t>SOP 45-09</t>
        </is>
      </c>
      <c r="DI706" s="20" t="inlineStr">
        <is>
          <t>None</t>
        </is>
      </c>
      <c r="DJ706" s="17" t="n"/>
      <c r="DK706" s="16" t="n"/>
      <c r="DL706" s="20" t="inlineStr">
        <is>
          <t>SOP 45-09 (SOP muss noch angepasst werden für VSS)</t>
        </is>
      </c>
      <c r="DM706" s="20" t="inlineStr">
        <is>
          <t>None</t>
        </is>
      </c>
      <c r="DN706" s="17" t="n"/>
      <c r="DO706" s="16" t="n"/>
      <c r="DP706" s="20" t="inlineStr">
        <is>
          <t>IC Organic Acids</t>
        </is>
      </c>
      <c r="DQ706" s="20" t="inlineStr">
        <is>
          <t>None</t>
        </is>
      </c>
      <c r="DR706" s="17" t="n"/>
      <c r="DS706" s="16" t="n"/>
      <c r="DT706" s="20" t="inlineStr">
        <is>
          <t>IC Organic Acids</t>
        </is>
      </c>
      <c r="DU706" s="20" t="inlineStr">
        <is>
          <t>None</t>
        </is>
      </c>
      <c r="DV706" s="17" t="n"/>
      <c r="DW706" s="16" t="n"/>
      <c r="DX706" s="20" t="inlineStr">
        <is>
          <t>IC Organic Acids</t>
        </is>
      </c>
      <c r="DY706" s="20" t="inlineStr">
        <is>
          <t>None</t>
        </is>
      </c>
      <c r="DZ706" s="17" t="n"/>
      <c r="EA706" s="16" t="n"/>
      <c r="EB706" s="20" t="inlineStr">
        <is>
          <t>IC Organic Acids</t>
        </is>
      </c>
      <c r="EC706" s="20" t="inlineStr">
        <is>
          <t>None</t>
        </is>
      </c>
      <c r="ED706" s="17" t="n"/>
      <c r="EE706" s="16" t="n"/>
      <c r="EF706" s="20" t="inlineStr">
        <is>
          <t>IC Organic Acids</t>
        </is>
      </c>
      <c r="EG706" s="20" t="inlineStr">
        <is>
          <t>None</t>
        </is>
      </c>
      <c r="EH706" s="17" t="n"/>
      <c r="EI706" s="16" t="n"/>
      <c r="EJ706" s="20" t="inlineStr">
        <is>
          <t>IC Organic Acids</t>
        </is>
      </c>
      <c r="EK706" s="20" t="inlineStr">
        <is>
          <t>None</t>
        </is>
      </c>
      <c r="EL706" s="17" t="n"/>
      <c r="EM706" s="16" t="n"/>
      <c r="EN706" s="20" t="inlineStr">
        <is>
          <t>IC Organic Acids</t>
        </is>
      </c>
      <c r="EO706" s="20" t="inlineStr">
        <is>
          <t>None</t>
        </is>
      </c>
      <c r="EP706" s="17" t="n"/>
      <c r="EQ706" s="16" t="n"/>
      <c r="ER706" s="20" t="inlineStr">
        <is>
          <t>IC Organic Acids</t>
        </is>
      </c>
      <c r="ES706" s="20" t="inlineStr">
        <is>
          <t>None</t>
        </is>
      </c>
      <c r="ET706" s="17" t="n"/>
      <c r="EU706" s="16" t="n"/>
      <c r="EV706" s="20" t="inlineStr">
        <is>
          <t>LC-MS</t>
        </is>
      </c>
      <c r="EW706" s="20" t="inlineStr">
        <is>
          <t>None</t>
        </is>
      </c>
      <c r="EX706" s="17" t="n"/>
      <c r="EY706" s="21" t="n"/>
      <c r="EZ706">
        <f>CONCATENATE(A706,B706)</f>
        <v/>
      </c>
      <c r="FA706">
        <f>CONCATENATE(SamplesX!A706,SamplesX!B706)</f>
        <v/>
      </c>
      <c r="FC706">
        <f>MATCH(EZ706,FA1:FA1008,0)</f>
        <v/>
      </c>
    </row>
    <row r="707">
      <c r="A707" s="16" t="n"/>
      <c r="B707" s="17" t="n"/>
      <c r="C707" s="10">
        <f>IF(ISNUMBER(FC707),INDIRECT("SamplesX!C"&amp;FC707),IF(ISNUMBER(FD707),INDIRECT("SamplesY!C"&amp;FD707),""))</f>
        <v/>
      </c>
      <c r="D707" s="12">
        <f>IF(ISNUMBER(FC707),INDIRECT("SamplesX!D"&amp;FC707),IF(ISNUMBER(FD707),INDIRECT("SamplesY!D"&amp;FD707),""))</f>
        <v/>
      </c>
      <c r="E707" s="12">
        <f>IF(ISNUMBER(FC707),INDIRECT("SamplesX!E"&amp;FC707),IF(ISNUMBER(FD707),INDIRECT("SamplesY!E"&amp;FD707),""))</f>
        <v/>
      </c>
      <c r="F707" s="11">
        <f>IF(ISNUMBER(FC707),INDIRECT("SamplesX!F"&amp;FC707),IF(ISNUMBER(FD707),INDIRECT("SamplesY!F"&amp;FD707),""))</f>
        <v/>
      </c>
      <c r="G707" s="18">
        <f>IF(ISNUMBER(FC707),INDIRECT("SamplesX!G"&amp;FC707),IF(ISNUMBER(FD707),INDIRECT("SamplesY!G"&amp;FD707),""))</f>
        <v/>
      </c>
      <c r="H707" s="19">
        <f>IF(ISNUMBER(FC707),INDIRECT("SamplesX!H"&amp;FC707),IF(ISNUMBER(FD707),INDIRECT("SamplesY!H"&amp;FD707),""))</f>
        <v/>
      </c>
      <c r="I707" s="16" t="n"/>
      <c r="J707" s="16" t="n"/>
      <c r="K707" s="16" t="n"/>
      <c r="L707" s="20" t="n"/>
      <c r="M707" s="20" t="inlineStr">
        <is>
          <t>None</t>
        </is>
      </c>
      <c r="N707" s="17" t="n"/>
      <c r="O707" s="16" t="n"/>
      <c r="P707" s="20" t="inlineStr">
        <is>
          <t>Shimadzu TOC-L</t>
        </is>
      </c>
      <c r="Q707" s="20" t="inlineStr">
        <is>
          <t>None</t>
        </is>
      </c>
      <c r="R707" s="17" t="n"/>
      <c r="S707" s="16" t="n"/>
      <c r="T707" s="20" t="inlineStr">
        <is>
          <t>Shimadzu TOC-L</t>
        </is>
      </c>
      <c r="U707" s="20" t="inlineStr">
        <is>
          <t>None</t>
        </is>
      </c>
      <c r="V707" s="17" t="n"/>
      <c r="W707" s="16" t="n"/>
      <c r="X707" s="20" t="n"/>
      <c r="Y707" s="20" t="inlineStr">
        <is>
          <t>None</t>
        </is>
      </c>
      <c r="Z707" s="17" t="n"/>
      <c r="AA707" s="16" t="n"/>
      <c r="AB707" s="20" t="n"/>
      <c r="AC707" s="20" t="inlineStr">
        <is>
          <t>None</t>
        </is>
      </c>
      <c r="AD707" s="17" t="n"/>
      <c r="AE707" s="16" t="n"/>
      <c r="AF707" s="20" t="inlineStr">
        <is>
          <t>IC Anionen</t>
        </is>
      </c>
      <c r="AG707" s="20" t="inlineStr">
        <is>
          <t>None</t>
        </is>
      </c>
      <c r="AH707" s="17" t="n"/>
      <c r="AI707" s="16" t="n"/>
      <c r="AJ707" s="20" t="n"/>
      <c r="AK707" s="20" t="inlineStr">
        <is>
          <t>None</t>
        </is>
      </c>
      <c r="AL707" s="17" t="n"/>
      <c r="AM707" s="16" t="n"/>
      <c r="AN707" s="20" t="inlineStr">
        <is>
          <t>IC Anionen</t>
        </is>
      </c>
      <c r="AO707" s="20" t="inlineStr">
        <is>
          <t>None</t>
        </is>
      </c>
      <c r="AP707" s="17" t="n"/>
      <c r="AQ707" s="16" t="n"/>
      <c r="AR707" s="20" t="n"/>
      <c r="AS707" s="20" t="inlineStr">
        <is>
          <t>None</t>
        </is>
      </c>
      <c r="AT707" s="17" t="n"/>
      <c r="AU707" s="16" t="n"/>
      <c r="AV707" s="20" t="n"/>
      <c r="AW707" s="20" t="inlineStr">
        <is>
          <t>None</t>
        </is>
      </c>
      <c r="AX707" s="17" t="n"/>
      <c r="AY707" s="16" t="n"/>
      <c r="AZ707" s="20" t="inlineStr">
        <is>
          <t>IC Anionen</t>
        </is>
      </c>
      <c r="BA707" s="20" t="inlineStr">
        <is>
          <t>None</t>
        </is>
      </c>
      <c r="BB707" s="17" t="n"/>
      <c r="BC707" s="16" t="n"/>
      <c r="BD707" s="20" t="inlineStr">
        <is>
          <t>IC Kationen</t>
        </is>
      </c>
      <c r="BE707" s="20" t="inlineStr">
        <is>
          <t>None</t>
        </is>
      </c>
      <c r="BF707" s="17" t="n"/>
      <c r="BG707" s="16" t="n"/>
      <c r="BH707" s="20" t="inlineStr">
        <is>
          <t>IC Kationen</t>
        </is>
      </c>
      <c r="BI707" s="20" t="inlineStr">
        <is>
          <t>None</t>
        </is>
      </c>
      <c r="BJ707" s="17" t="n"/>
      <c r="BK707" s="16" t="n"/>
      <c r="BL707" s="20" t="inlineStr">
        <is>
          <t>IC Kationen</t>
        </is>
      </c>
      <c r="BM707" s="20" t="inlineStr">
        <is>
          <t>None</t>
        </is>
      </c>
      <c r="BN707" s="17" t="n"/>
      <c r="BO707" s="16" t="n"/>
      <c r="BP707" s="20" t="inlineStr">
        <is>
          <t>IC Kationen</t>
        </is>
      </c>
      <c r="BQ707" s="20" t="inlineStr">
        <is>
          <t>None</t>
        </is>
      </c>
      <c r="BR707" s="17" t="n"/>
      <c r="BS707" s="16" t="n"/>
      <c r="BT707" s="20" t="inlineStr">
        <is>
          <t>IC Kationen</t>
        </is>
      </c>
      <c r="BU707" s="20" t="inlineStr">
        <is>
          <t>None</t>
        </is>
      </c>
      <c r="BV707" s="17" t="n"/>
      <c r="BW707" s="16" t="n"/>
      <c r="BX707" s="20" t="n"/>
      <c r="BY707" s="20" t="inlineStr">
        <is>
          <t>None</t>
        </is>
      </c>
      <c r="BZ707" s="17" t="n"/>
      <c r="CA707" s="16" t="n"/>
      <c r="CB707" s="20" t="n"/>
      <c r="CC707" s="20" t="inlineStr">
        <is>
          <t>None</t>
        </is>
      </c>
      <c r="CD707" s="17" t="n"/>
      <c r="CE707" s="16" t="n"/>
      <c r="CF707" s="20" t="n"/>
      <c r="CG707" s="20" t="inlineStr">
        <is>
          <t>None</t>
        </is>
      </c>
      <c r="CH707" s="17" t="n"/>
      <c r="CI707" s="16" t="n"/>
      <c r="CJ707" s="20" t="n"/>
      <c r="CK707" s="20" t="inlineStr">
        <is>
          <t>None</t>
        </is>
      </c>
      <c r="CL707" s="17" t="n"/>
      <c r="CM707" s="16" t="n"/>
      <c r="CN707" s="20" t="inlineStr">
        <is>
          <t>SOP 45-34</t>
        </is>
      </c>
      <c r="CO707" s="20" t="inlineStr">
        <is>
          <t>None</t>
        </is>
      </c>
      <c r="CP707" s="17" t="n"/>
      <c r="CQ707" s="16" t="n"/>
      <c r="CR707" s="20" t="n"/>
      <c r="CS707" s="20" t="inlineStr">
        <is>
          <t>None</t>
        </is>
      </c>
      <c r="CT707" s="17" t="n"/>
      <c r="CU707" s="16" t="n"/>
      <c r="CV707" s="20" t="n"/>
      <c r="CW707" s="20" t="inlineStr">
        <is>
          <t>None</t>
        </is>
      </c>
      <c r="CX707" s="17" t="n"/>
      <c r="CY707" s="16" t="n"/>
      <c r="CZ707" s="20" t="inlineStr">
        <is>
          <t>WTW Multimeter 3430 with FDO 925</t>
        </is>
      </c>
      <c r="DA707" s="20" t="inlineStr">
        <is>
          <t>None</t>
        </is>
      </c>
      <c r="DB707" s="17" t="n"/>
      <c r="DC707" s="16" t="n"/>
      <c r="DD707" s="20" t="n"/>
      <c r="DE707" s="20" t="inlineStr">
        <is>
          <t>None</t>
        </is>
      </c>
      <c r="DF707" s="17" t="n"/>
      <c r="DG707" s="16" t="n"/>
      <c r="DH707" s="20" t="inlineStr">
        <is>
          <t>SOP 45-09</t>
        </is>
      </c>
      <c r="DI707" s="20" t="inlineStr">
        <is>
          <t>None</t>
        </is>
      </c>
      <c r="DJ707" s="17" t="n"/>
      <c r="DK707" s="16" t="n"/>
      <c r="DL707" s="20" t="inlineStr">
        <is>
          <t>SOP 45-09 (SOP muss noch angepasst werden für VSS)</t>
        </is>
      </c>
      <c r="DM707" s="20" t="inlineStr">
        <is>
          <t>None</t>
        </is>
      </c>
      <c r="DN707" s="17" t="n"/>
      <c r="DO707" s="16" t="n"/>
      <c r="DP707" s="20" t="inlineStr">
        <is>
          <t>IC Organic Acids</t>
        </is>
      </c>
      <c r="DQ707" s="20" t="inlineStr">
        <is>
          <t>None</t>
        </is>
      </c>
      <c r="DR707" s="17" t="n"/>
      <c r="DS707" s="16" t="n"/>
      <c r="DT707" s="20" t="inlineStr">
        <is>
          <t>IC Organic Acids</t>
        </is>
      </c>
      <c r="DU707" s="20" t="inlineStr">
        <is>
          <t>None</t>
        </is>
      </c>
      <c r="DV707" s="17" t="n"/>
      <c r="DW707" s="16" t="n"/>
      <c r="DX707" s="20" t="inlineStr">
        <is>
          <t>IC Organic Acids</t>
        </is>
      </c>
      <c r="DY707" s="20" t="inlineStr">
        <is>
          <t>None</t>
        </is>
      </c>
      <c r="DZ707" s="17" t="n"/>
      <c r="EA707" s="16" t="n"/>
      <c r="EB707" s="20" t="inlineStr">
        <is>
          <t>IC Organic Acids</t>
        </is>
      </c>
      <c r="EC707" s="20" t="inlineStr">
        <is>
          <t>None</t>
        </is>
      </c>
      <c r="ED707" s="17" t="n"/>
      <c r="EE707" s="16" t="n"/>
      <c r="EF707" s="20" t="inlineStr">
        <is>
          <t>IC Organic Acids</t>
        </is>
      </c>
      <c r="EG707" s="20" t="inlineStr">
        <is>
          <t>None</t>
        </is>
      </c>
      <c r="EH707" s="17" t="n"/>
      <c r="EI707" s="16" t="n"/>
      <c r="EJ707" s="20" t="inlineStr">
        <is>
          <t>IC Organic Acids</t>
        </is>
      </c>
      <c r="EK707" s="20" t="inlineStr">
        <is>
          <t>None</t>
        </is>
      </c>
      <c r="EL707" s="17" t="n"/>
      <c r="EM707" s="16" t="n"/>
      <c r="EN707" s="20" t="inlineStr">
        <is>
          <t>IC Organic Acids</t>
        </is>
      </c>
      <c r="EO707" s="20" t="inlineStr">
        <is>
          <t>None</t>
        </is>
      </c>
      <c r="EP707" s="17" t="n"/>
      <c r="EQ707" s="16" t="n"/>
      <c r="ER707" s="20" t="inlineStr">
        <is>
          <t>IC Organic Acids</t>
        </is>
      </c>
      <c r="ES707" s="20" t="inlineStr">
        <is>
          <t>None</t>
        </is>
      </c>
      <c r="ET707" s="17" t="n"/>
      <c r="EU707" s="16" t="n"/>
      <c r="EV707" s="20" t="inlineStr">
        <is>
          <t>LC-MS</t>
        </is>
      </c>
      <c r="EW707" s="20" t="inlineStr">
        <is>
          <t>None</t>
        </is>
      </c>
      <c r="EX707" s="17" t="n"/>
      <c r="EY707" s="21" t="n"/>
      <c r="EZ707">
        <f>CONCATENATE(A707,B707)</f>
        <v/>
      </c>
      <c r="FA707">
        <f>CONCATENATE(SamplesX!A707,SamplesX!B707)</f>
        <v/>
      </c>
      <c r="FC707">
        <f>MATCH(EZ707,FA1:FA1008,0)</f>
        <v/>
      </c>
    </row>
    <row r="708">
      <c r="A708" s="16" t="n"/>
      <c r="B708" s="17" t="n"/>
      <c r="C708" s="10">
        <f>IF(ISNUMBER(FC708),INDIRECT("SamplesX!C"&amp;FC708),IF(ISNUMBER(FD708),INDIRECT("SamplesY!C"&amp;FD708),""))</f>
        <v/>
      </c>
      <c r="D708" s="12">
        <f>IF(ISNUMBER(FC708),INDIRECT("SamplesX!D"&amp;FC708),IF(ISNUMBER(FD708),INDIRECT("SamplesY!D"&amp;FD708),""))</f>
        <v/>
      </c>
      <c r="E708" s="12">
        <f>IF(ISNUMBER(FC708),INDIRECT("SamplesX!E"&amp;FC708),IF(ISNUMBER(FD708),INDIRECT("SamplesY!E"&amp;FD708),""))</f>
        <v/>
      </c>
      <c r="F708" s="11">
        <f>IF(ISNUMBER(FC708),INDIRECT("SamplesX!F"&amp;FC708),IF(ISNUMBER(FD708),INDIRECT("SamplesY!F"&amp;FD708),""))</f>
        <v/>
      </c>
      <c r="G708" s="18">
        <f>IF(ISNUMBER(FC708),INDIRECT("SamplesX!G"&amp;FC708),IF(ISNUMBER(FD708),INDIRECT("SamplesY!G"&amp;FD708),""))</f>
        <v/>
      </c>
      <c r="H708" s="19">
        <f>IF(ISNUMBER(FC708),INDIRECT("SamplesX!H"&amp;FC708),IF(ISNUMBER(FD708),INDIRECT("SamplesY!H"&amp;FD708),""))</f>
        <v/>
      </c>
      <c r="I708" s="16" t="n"/>
      <c r="J708" s="16" t="n"/>
      <c r="K708" s="16" t="n"/>
      <c r="L708" s="20" t="n"/>
      <c r="M708" s="20" t="inlineStr">
        <is>
          <t>None</t>
        </is>
      </c>
      <c r="N708" s="17" t="n"/>
      <c r="O708" s="16" t="n"/>
      <c r="P708" s="20" t="inlineStr">
        <is>
          <t>Shimadzu TOC-L</t>
        </is>
      </c>
      <c r="Q708" s="20" t="inlineStr">
        <is>
          <t>None</t>
        </is>
      </c>
      <c r="R708" s="17" t="n"/>
      <c r="S708" s="16" t="n"/>
      <c r="T708" s="20" t="inlineStr">
        <is>
          <t>Shimadzu TOC-L</t>
        </is>
      </c>
      <c r="U708" s="20" t="inlineStr">
        <is>
          <t>None</t>
        </is>
      </c>
      <c r="V708" s="17" t="n"/>
      <c r="W708" s="16" t="n"/>
      <c r="X708" s="20" t="n"/>
      <c r="Y708" s="20" t="inlineStr">
        <is>
          <t>None</t>
        </is>
      </c>
      <c r="Z708" s="17" t="n"/>
      <c r="AA708" s="16" t="n"/>
      <c r="AB708" s="20" t="n"/>
      <c r="AC708" s="20" t="inlineStr">
        <is>
          <t>None</t>
        </is>
      </c>
      <c r="AD708" s="17" t="n"/>
      <c r="AE708" s="16" t="n"/>
      <c r="AF708" s="20" t="inlineStr">
        <is>
          <t>IC Anionen</t>
        </is>
      </c>
      <c r="AG708" s="20" t="inlineStr">
        <is>
          <t>None</t>
        </is>
      </c>
      <c r="AH708" s="17" t="n"/>
      <c r="AI708" s="16" t="n"/>
      <c r="AJ708" s="20" t="n"/>
      <c r="AK708" s="20" t="inlineStr">
        <is>
          <t>None</t>
        </is>
      </c>
      <c r="AL708" s="17" t="n"/>
      <c r="AM708" s="16" t="n"/>
      <c r="AN708" s="20" t="inlineStr">
        <is>
          <t>IC Anionen</t>
        </is>
      </c>
      <c r="AO708" s="20" t="inlineStr">
        <is>
          <t>None</t>
        </is>
      </c>
      <c r="AP708" s="17" t="n"/>
      <c r="AQ708" s="16" t="n"/>
      <c r="AR708" s="20" t="n"/>
      <c r="AS708" s="20" t="inlineStr">
        <is>
          <t>None</t>
        </is>
      </c>
      <c r="AT708" s="17" t="n"/>
      <c r="AU708" s="16" t="n"/>
      <c r="AV708" s="20" t="n"/>
      <c r="AW708" s="20" t="inlineStr">
        <is>
          <t>None</t>
        </is>
      </c>
      <c r="AX708" s="17" t="n"/>
      <c r="AY708" s="16" t="n"/>
      <c r="AZ708" s="20" t="inlineStr">
        <is>
          <t>IC Anionen</t>
        </is>
      </c>
      <c r="BA708" s="20" t="inlineStr">
        <is>
          <t>None</t>
        </is>
      </c>
      <c r="BB708" s="17" t="n"/>
      <c r="BC708" s="16" t="n"/>
      <c r="BD708" s="20" t="inlineStr">
        <is>
          <t>IC Kationen</t>
        </is>
      </c>
      <c r="BE708" s="20" t="inlineStr">
        <is>
          <t>None</t>
        </is>
      </c>
      <c r="BF708" s="17" t="n"/>
      <c r="BG708" s="16" t="n"/>
      <c r="BH708" s="20" t="inlineStr">
        <is>
          <t>IC Kationen</t>
        </is>
      </c>
      <c r="BI708" s="20" t="inlineStr">
        <is>
          <t>None</t>
        </is>
      </c>
      <c r="BJ708" s="17" t="n"/>
      <c r="BK708" s="16" t="n"/>
      <c r="BL708" s="20" t="inlineStr">
        <is>
          <t>IC Kationen</t>
        </is>
      </c>
      <c r="BM708" s="20" t="inlineStr">
        <is>
          <t>None</t>
        </is>
      </c>
      <c r="BN708" s="17" t="n"/>
      <c r="BO708" s="16" t="n"/>
      <c r="BP708" s="20" t="inlineStr">
        <is>
          <t>IC Kationen</t>
        </is>
      </c>
      <c r="BQ708" s="20" t="inlineStr">
        <is>
          <t>None</t>
        </is>
      </c>
      <c r="BR708" s="17" t="n"/>
      <c r="BS708" s="16" t="n"/>
      <c r="BT708" s="20" t="inlineStr">
        <is>
          <t>IC Kationen</t>
        </is>
      </c>
      <c r="BU708" s="20" t="inlineStr">
        <is>
          <t>None</t>
        </is>
      </c>
      <c r="BV708" s="17" t="n"/>
      <c r="BW708" s="16" t="n"/>
      <c r="BX708" s="20" t="n"/>
      <c r="BY708" s="20" t="inlineStr">
        <is>
          <t>None</t>
        </is>
      </c>
      <c r="BZ708" s="17" t="n"/>
      <c r="CA708" s="16" t="n"/>
      <c r="CB708" s="20" t="n"/>
      <c r="CC708" s="20" t="inlineStr">
        <is>
          <t>None</t>
        </is>
      </c>
      <c r="CD708" s="17" t="n"/>
      <c r="CE708" s="16" t="n"/>
      <c r="CF708" s="20" t="n"/>
      <c r="CG708" s="20" t="inlineStr">
        <is>
          <t>None</t>
        </is>
      </c>
      <c r="CH708" s="17" t="n"/>
      <c r="CI708" s="16" t="n"/>
      <c r="CJ708" s="20" t="n"/>
      <c r="CK708" s="20" t="inlineStr">
        <is>
          <t>None</t>
        </is>
      </c>
      <c r="CL708" s="17" t="n"/>
      <c r="CM708" s="16" t="n"/>
      <c r="CN708" s="20" t="inlineStr">
        <is>
          <t>SOP 45-34</t>
        </is>
      </c>
      <c r="CO708" s="20" t="inlineStr">
        <is>
          <t>None</t>
        </is>
      </c>
      <c r="CP708" s="17" t="n"/>
      <c r="CQ708" s="16" t="n"/>
      <c r="CR708" s="20" t="n"/>
      <c r="CS708" s="20" t="inlineStr">
        <is>
          <t>None</t>
        </is>
      </c>
      <c r="CT708" s="17" t="n"/>
      <c r="CU708" s="16" t="n"/>
      <c r="CV708" s="20" t="n"/>
      <c r="CW708" s="20" t="inlineStr">
        <is>
          <t>None</t>
        </is>
      </c>
      <c r="CX708" s="17" t="n"/>
      <c r="CY708" s="16" t="n"/>
      <c r="CZ708" s="20" t="inlineStr">
        <is>
          <t>WTW Multimeter 3430 with FDO 925</t>
        </is>
      </c>
      <c r="DA708" s="20" t="inlineStr">
        <is>
          <t>None</t>
        </is>
      </c>
      <c r="DB708" s="17" t="n"/>
      <c r="DC708" s="16" t="n"/>
      <c r="DD708" s="20" t="n"/>
      <c r="DE708" s="20" t="inlineStr">
        <is>
          <t>None</t>
        </is>
      </c>
      <c r="DF708" s="17" t="n"/>
      <c r="DG708" s="16" t="n"/>
      <c r="DH708" s="20" t="inlineStr">
        <is>
          <t>SOP 45-09</t>
        </is>
      </c>
      <c r="DI708" s="20" t="inlineStr">
        <is>
          <t>None</t>
        </is>
      </c>
      <c r="DJ708" s="17" t="n"/>
      <c r="DK708" s="16" t="n"/>
      <c r="DL708" s="20" t="inlineStr">
        <is>
          <t>SOP 45-09 (SOP muss noch angepasst werden für VSS)</t>
        </is>
      </c>
      <c r="DM708" s="20" t="inlineStr">
        <is>
          <t>None</t>
        </is>
      </c>
      <c r="DN708" s="17" t="n"/>
      <c r="DO708" s="16" t="n"/>
      <c r="DP708" s="20" t="inlineStr">
        <is>
          <t>IC Organic Acids</t>
        </is>
      </c>
      <c r="DQ708" s="20" t="inlineStr">
        <is>
          <t>None</t>
        </is>
      </c>
      <c r="DR708" s="17" t="n"/>
      <c r="DS708" s="16" t="n"/>
      <c r="DT708" s="20" t="inlineStr">
        <is>
          <t>IC Organic Acids</t>
        </is>
      </c>
      <c r="DU708" s="20" t="inlineStr">
        <is>
          <t>None</t>
        </is>
      </c>
      <c r="DV708" s="17" t="n"/>
      <c r="DW708" s="16" t="n"/>
      <c r="DX708" s="20" t="inlineStr">
        <is>
          <t>IC Organic Acids</t>
        </is>
      </c>
      <c r="DY708" s="20" t="inlineStr">
        <is>
          <t>None</t>
        </is>
      </c>
      <c r="DZ708" s="17" t="n"/>
      <c r="EA708" s="16" t="n"/>
      <c r="EB708" s="20" t="inlineStr">
        <is>
          <t>IC Organic Acids</t>
        </is>
      </c>
      <c r="EC708" s="20" t="inlineStr">
        <is>
          <t>None</t>
        </is>
      </c>
      <c r="ED708" s="17" t="n"/>
      <c r="EE708" s="16" t="n"/>
      <c r="EF708" s="20" t="inlineStr">
        <is>
          <t>IC Organic Acids</t>
        </is>
      </c>
      <c r="EG708" s="20" t="inlineStr">
        <is>
          <t>None</t>
        </is>
      </c>
      <c r="EH708" s="17" t="n"/>
      <c r="EI708" s="16" t="n"/>
      <c r="EJ708" s="20" t="inlineStr">
        <is>
          <t>IC Organic Acids</t>
        </is>
      </c>
      <c r="EK708" s="20" t="inlineStr">
        <is>
          <t>None</t>
        </is>
      </c>
      <c r="EL708" s="17" t="n"/>
      <c r="EM708" s="16" t="n"/>
      <c r="EN708" s="20" t="inlineStr">
        <is>
          <t>IC Organic Acids</t>
        </is>
      </c>
      <c r="EO708" s="20" t="inlineStr">
        <is>
          <t>None</t>
        </is>
      </c>
      <c r="EP708" s="17" t="n"/>
      <c r="EQ708" s="16" t="n"/>
      <c r="ER708" s="20" t="inlineStr">
        <is>
          <t>IC Organic Acids</t>
        </is>
      </c>
      <c r="ES708" s="20" t="inlineStr">
        <is>
          <t>None</t>
        </is>
      </c>
      <c r="ET708" s="17" t="n"/>
      <c r="EU708" s="16" t="n"/>
      <c r="EV708" s="20" t="inlineStr">
        <is>
          <t>LC-MS</t>
        </is>
      </c>
      <c r="EW708" s="20" t="inlineStr">
        <is>
          <t>None</t>
        </is>
      </c>
      <c r="EX708" s="17" t="n"/>
      <c r="EY708" s="21" t="n"/>
      <c r="EZ708">
        <f>CONCATENATE(A708,B708)</f>
        <v/>
      </c>
      <c r="FA708">
        <f>CONCATENATE(SamplesX!A708,SamplesX!B708)</f>
        <v/>
      </c>
      <c r="FC708">
        <f>MATCH(EZ708,FA1:FA1008,0)</f>
        <v/>
      </c>
    </row>
    <row r="709">
      <c r="A709" s="16" t="n"/>
      <c r="B709" s="17" t="n"/>
      <c r="C709" s="10">
        <f>IF(ISNUMBER(FC709),INDIRECT("SamplesX!C"&amp;FC709),IF(ISNUMBER(FD709),INDIRECT("SamplesY!C"&amp;FD709),""))</f>
        <v/>
      </c>
      <c r="D709" s="12">
        <f>IF(ISNUMBER(FC709),INDIRECT("SamplesX!D"&amp;FC709),IF(ISNUMBER(FD709),INDIRECT("SamplesY!D"&amp;FD709),""))</f>
        <v/>
      </c>
      <c r="E709" s="12">
        <f>IF(ISNUMBER(FC709),INDIRECT("SamplesX!E"&amp;FC709),IF(ISNUMBER(FD709),INDIRECT("SamplesY!E"&amp;FD709),""))</f>
        <v/>
      </c>
      <c r="F709" s="11">
        <f>IF(ISNUMBER(FC709),INDIRECT("SamplesX!F"&amp;FC709),IF(ISNUMBER(FD709),INDIRECT("SamplesY!F"&amp;FD709),""))</f>
        <v/>
      </c>
      <c r="G709" s="18">
        <f>IF(ISNUMBER(FC709),INDIRECT("SamplesX!G"&amp;FC709),IF(ISNUMBER(FD709),INDIRECT("SamplesY!G"&amp;FD709),""))</f>
        <v/>
      </c>
      <c r="H709" s="19">
        <f>IF(ISNUMBER(FC709),INDIRECT("SamplesX!H"&amp;FC709),IF(ISNUMBER(FD709),INDIRECT("SamplesY!H"&amp;FD709),""))</f>
        <v/>
      </c>
      <c r="I709" s="16" t="n"/>
      <c r="J709" s="16" t="n"/>
      <c r="K709" s="16" t="n"/>
      <c r="L709" s="20" t="n"/>
      <c r="M709" s="20" t="inlineStr">
        <is>
          <t>None</t>
        </is>
      </c>
      <c r="N709" s="17" t="n"/>
      <c r="O709" s="16" t="n"/>
      <c r="P709" s="20" t="inlineStr">
        <is>
          <t>Shimadzu TOC-L</t>
        </is>
      </c>
      <c r="Q709" s="20" t="inlineStr">
        <is>
          <t>None</t>
        </is>
      </c>
      <c r="R709" s="17" t="n"/>
      <c r="S709" s="16" t="n"/>
      <c r="T709" s="20" t="inlineStr">
        <is>
          <t>Shimadzu TOC-L</t>
        </is>
      </c>
      <c r="U709" s="20" t="inlineStr">
        <is>
          <t>None</t>
        </is>
      </c>
      <c r="V709" s="17" t="n"/>
      <c r="W709" s="16" t="n"/>
      <c r="X709" s="20" t="n"/>
      <c r="Y709" s="20" t="inlineStr">
        <is>
          <t>None</t>
        </is>
      </c>
      <c r="Z709" s="17" t="n"/>
      <c r="AA709" s="16" t="n"/>
      <c r="AB709" s="20" t="n"/>
      <c r="AC709" s="20" t="inlineStr">
        <is>
          <t>None</t>
        </is>
      </c>
      <c r="AD709" s="17" t="n"/>
      <c r="AE709" s="16" t="n"/>
      <c r="AF709" s="20" t="inlineStr">
        <is>
          <t>IC Anionen</t>
        </is>
      </c>
      <c r="AG709" s="20" t="inlineStr">
        <is>
          <t>None</t>
        </is>
      </c>
      <c r="AH709" s="17" t="n"/>
      <c r="AI709" s="16" t="n"/>
      <c r="AJ709" s="20" t="n"/>
      <c r="AK709" s="20" t="inlineStr">
        <is>
          <t>None</t>
        </is>
      </c>
      <c r="AL709" s="17" t="n"/>
      <c r="AM709" s="16" t="n"/>
      <c r="AN709" s="20" t="inlineStr">
        <is>
          <t>IC Anionen</t>
        </is>
      </c>
      <c r="AO709" s="20" t="inlineStr">
        <is>
          <t>None</t>
        </is>
      </c>
      <c r="AP709" s="17" t="n"/>
      <c r="AQ709" s="16" t="n"/>
      <c r="AR709" s="20" t="n"/>
      <c r="AS709" s="20" t="inlineStr">
        <is>
          <t>None</t>
        </is>
      </c>
      <c r="AT709" s="17" t="n"/>
      <c r="AU709" s="16" t="n"/>
      <c r="AV709" s="20" t="n"/>
      <c r="AW709" s="20" t="inlineStr">
        <is>
          <t>None</t>
        </is>
      </c>
      <c r="AX709" s="17" t="n"/>
      <c r="AY709" s="16" t="n"/>
      <c r="AZ709" s="20" t="inlineStr">
        <is>
          <t>IC Anionen</t>
        </is>
      </c>
      <c r="BA709" s="20" t="inlineStr">
        <is>
          <t>None</t>
        </is>
      </c>
      <c r="BB709" s="17" t="n"/>
      <c r="BC709" s="16" t="n"/>
      <c r="BD709" s="20" t="inlineStr">
        <is>
          <t>IC Kationen</t>
        </is>
      </c>
      <c r="BE709" s="20" t="inlineStr">
        <is>
          <t>None</t>
        </is>
      </c>
      <c r="BF709" s="17" t="n"/>
      <c r="BG709" s="16" t="n"/>
      <c r="BH709" s="20" t="inlineStr">
        <is>
          <t>IC Kationen</t>
        </is>
      </c>
      <c r="BI709" s="20" t="inlineStr">
        <is>
          <t>None</t>
        </is>
      </c>
      <c r="BJ709" s="17" t="n"/>
      <c r="BK709" s="16" t="n"/>
      <c r="BL709" s="20" t="inlineStr">
        <is>
          <t>IC Kationen</t>
        </is>
      </c>
      <c r="BM709" s="20" t="inlineStr">
        <is>
          <t>None</t>
        </is>
      </c>
      <c r="BN709" s="17" t="n"/>
      <c r="BO709" s="16" t="n"/>
      <c r="BP709" s="20" t="inlineStr">
        <is>
          <t>IC Kationen</t>
        </is>
      </c>
      <c r="BQ709" s="20" t="inlineStr">
        <is>
          <t>None</t>
        </is>
      </c>
      <c r="BR709" s="17" t="n"/>
      <c r="BS709" s="16" t="n"/>
      <c r="BT709" s="20" t="inlineStr">
        <is>
          <t>IC Kationen</t>
        </is>
      </c>
      <c r="BU709" s="20" t="inlineStr">
        <is>
          <t>None</t>
        </is>
      </c>
      <c r="BV709" s="17" t="n"/>
      <c r="BW709" s="16" t="n"/>
      <c r="BX709" s="20" t="n"/>
      <c r="BY709" s="20" t="inlineStr">
        <is>
          <t>None</t>
        </is>
      </c>
      <c r="BZ709" s="17" t="n"/>
      <c r="CA709" s="16" t="n"/>
      <c r="CB709" s="20" t="n"/>
      <c r="CC709" s="20" t="inlineStr">
        <is>
          <t>None</t>
        </is>
      </c>
      <c r="CD709" s="17" t="n"/>
      <c r="CE709" s="16" t="n"/>
      <c r="CF709" s="20" t="n"/>
      <c r="CG709" s="20" t="inlineStr">
        <is>
          <t>None</t>
        </is>
      </c>
      <c r="CH709" s="17" t="n"/>
      <c r="CI709" s="16" t="n"/>
      <c r="CJ709" s="20" t="n"/>
      <c r="CK709" s="20" t="inlineStr">
        <is>
          <t>None</t>
        </is>
      </c>
      <c r="CL709" s="17" t="n"/>
      <c r="CM709" s="16" t="n"/>
      <c r="CN709" s="20" t="inlineStr">
        <is>
          <t>SOP 45-34</t>
        </is>
      </c>
      <c r="CO709" s="20" t="inlineStr">
        <is>
          <t>None</t>
        </is>
      </c>
      <c r="CP709" s="17" t="n"/>
      <c r="CQ709" s="16" t="n"/>
      <c r="CR709" s="20" t="n"/>
      <c r="CS709" s="20" t="inlineStr">
        <is>
          <t>None</t>
        </is>
      </c>
      <c r="CT709" s="17" t="n"/>
      <c r="CU709" s="16" t="n"/>
      <c r="CV709" s="20" t="n"/>
      <c r="CW709" s="20" t="inlineStr">
        <is>
          <t>None</t>
        </is>
      </c>
      <c r="CX709" s="17" t="n"/>
      <c r="CY709" s="16" t="n"/>
      <c r="CZ709" s="20" t="inlineStr">
        <is>
          <t>WTW Multimeter 3430 with FDO 925</t>
        </is>
      </c>
      <c r="DA709" s="20" t="inlineStr">
        <is>
          <t>None</t>
        </is>
      </c>
      <c r="DB709" s="17" t="n"/>
      <c r="DC709" s="16" t="n"/>
      <c r="DD709" s="20" t="n"/>
      <c r="DE709" s="20" t="inlineStr">
        <is>
          <t>None</t>
        </is>
      </c>
      <c r="DF709" s="17" t="n"/>
      <c r="DG709" s="16" t="n"/>
      <c r="DH709" s="20" t="inlineStr">
        <is>
          <t>SOP 45-09</t>
        </is>
      </c>
      <c r="DI709" s="20" t="inlineStr">
        <is>
          <t>None</t>
        </is>
      </c>
      <c r="DJ709" s="17" t="n"/>
      <c r="DK709" s="16" t="n"/>
      <c r="DL709" s="20" t="inlineStr">
        <is>
          <t>SOP 45-09 (SOP muss noch angepasst werden für VSS)</t>
        </is>
      </c>
      <c r="DM709" s="20" t="inlineStr">
        <is>
          <t>None</t>
        </is>
      </c>
      <c r="DN709" s="17" t="n"/>
      <c r="DO709" s="16" t="n"/>
      <c r="DP709" s="20" t="inlineStr">
        <is>
          <t>IC Organic Acids</t>
        </is>
      </c>
      <c r="DQ709" s="20" t="inlineStr">
        <is>
          <t>None</t>
        </is>
      </c>
      <c r="DR709" s="17" t="n"/>
      <c r="DS709" s="16" t="n"/>
      <c r="DT709" s="20" t="inlineStr">
        <is>
          <t>IC Organic Acids</t>
        </is>
      </c>
      <c r="DU709" s="20" t="inlineStr">
        <is>
          <t>None</t>
        </is>
      </c>
      <c r="DV709" s="17" t="n"/>
      <c r="DW709" s="16" t="n"/>
      <c r="DX709" s="20" t="inlineStr">
        <is>
          <t>IC Organic Acids</t>
        </is>
      </c>
      <c r="DY709" s="20" t="inlineStr">
        <is>
          <t>None</t>
        </is>
      </c>
      <c r="DZ709" s="17" t="n"/>
      <c r="EA709" s="16" t="n"/>
      <c r="EB709" s="20" t="inlineStr">
        <is>
          <t>IC Organic Acids</t>
        </is>
      </c>
      <c r="EC709" s="20" t="inlineStr">
        <is>
          <t>None</t>
        </is>
      </c>
      <c r="ED709" s="17" t="n"/>
      <c r="EE709" s="16" t="n"/>
      <c r="EF709" s="20" t="inlineStr">
        <is>
          <t>IC Organic Acids</t>
        </is>
      </c>
      <c r="EG709" s="20" t="inlineStr">
        <is>
          <t>None</t>
        </is>
      </c>
      <c r="EH709" s="17" t="n"/>
      <c r="EI709" s="16" t="n"/>
      <c r="EJ709" s="20" t="inlineStr">
        <is>
          <t>IC Organic Acids</t>
        </is>
      </c>
      <c r="EK709" s="20" t="inlineStr">
        <is>
          <t>None</t>
        </is>
      </c>
      <c r="EL709" s="17" t="n"/>
      <c r="EM709" s="16" t="n"/>
      <c r="EN709" s="20" t="inlineStr">
        <is>
          <t>IC Organic Acids</t>
        </is>
      </c>
      <c r="EO709" s="20" t="inlineStr">
        <is>
          <t>None</t>
        </is>
      </c>
      <c r="EP709" s="17" t="n"/>
      <c r="EQ709" s="16" t="n"/>
      <c r="ER709" s="20" t="inlineStr">
        <is>
          <t>IC Organic Acids</t>
        </is>
      </c>
      <c r="ES709" s="20" t="inlineStr">
        <is>
          <t>None</t>
        </is>
      </c>
      <c r="ET709" s="17" t="n"/>
      <c r="EU709" s="16" t="n"/>
      <c r="EV709" s="20" t="inlineStr">
        <is>
          <t>LC-MS</t>
        </is>
      </c>
      <c r="EW709" s="20" t="inlineStr">
        <is>
          <t>None</t>
        </is>
      </c>
      <c r="EX709" s="17" t="n"/>
      <c r="EY709" s="21" t="n"/>
      <c r="EZ709">
        <f>CONCATENATE(A709,B709)</f>
        <v/>
      </c>
      <c r="FA709">
        <f>CONCATENATE(SamplesX!A709,SamplesX!B709)</f>
        <v/>
      </c>
      <c r="FC709">
        <f>MATCH(EZ709,FA1:FA1008,0)</f>
        <v/>
      </c>
    </row>
    <row r="710">
      <c r="A710" s="16" t="n"/>
      <c r="B710" s="17" t="n"/>
      <c r="C710" s="10">
        <f>IF(ISNUMBER(FC710),INDIRECT("SamplesX!C"&amp;FC710),IF(ISNUMBER(FD710),INDIRECT("SamplesY!C"&amp;FD710),""))</f>
        <v/>
      </c>
      <c r="D710" s="12">
        <f>IF(ISNUMBER(FC710),INDIRECT("SamplesX!D"&amp;FC710),IF(ISNUMBER(FD710),INDIRECT("SamplesY!D"&amp;FD710),""))</f>
        <v/>
      </c>
      <c r="E710" s="12">
        <f>IF(ISNUMBER(FC710),INDIRECT("SamplesX!E"&amp;FC710),IF(ISNUMBER(FD710),INDIRECT("SamplesY!E"&amp;FD710),""))</f>
        <v/>
      </c>
      <c r="F710" s="11">
        <f>IF(ISNUMBER(FC710),INDIRECT("SamplesX!F"&amp;FC710),IF(ISNUMBER(FD710),INDIRECT("SamplesY!F"&amp;FD710),""))</f>
        <v/>
      </c>
      <c r="G710" s="18">
        <f>IF(ISNUMBER(FC710),INDIRECT("SamplesX!G"&amp;FC710),IF(ISNUMBER(FD710),INDIRECT("SamplesY!G"&amp;FD710),""))</f>
        <v/>
      </c>
      <c r="H710" s="19">
        <f>IF(ISNUMBER(FC710),INDIRECT("SamplesX!H"&amp;FC710),IF(ISNUMBER(FD710),INDIRECT("SamplesY!H"&amp;FD710),""))</f>
        <v/>
      </c>
      <c r="I710" s="16" t="n"/>
      <c r="J710" s="16" t="n"/>
      <c r="K710" s="16" t="n"/>
      <c r="L710" s="20" t="n"/>
      <c r="M710" s="20" t="inlineStr">
        <is>
          <t>None</t>
        </is>
      </c>
      <c r="N710" s="17" t="n"/>
      <c r="O710" s="16" t="n"/>
      <c r="P710" s="20" t="inlineStr">
        <is>
          <t>Shimadzu TOC-L</t>
        </is>
      </c>
      <c r="Q710" s="20" t="inlineStr">
        <is>
          <t>None</t>
        </is>
      </c>
      <c r="R710" s="17" t="n"/>
      <c r="S710" s="16" t="n"/>
      <c r="T710" s="20" t="inlineStr">
        <is>
          <t>Shimadzu TOC-L</t>
        </is>
      </c>
      <c r="U710" s="20" t="inlineStr">
        <is>
          <t>None</t>
        </is>
      </c>
      <c r="V710" s="17" t="n"/>
      <c r="W710" s="16" t="n"/>
      <c r="X710" s="20" t="n"/>
      <c r="Y710" s="20" t="inlineStr">
        <is>
          <t>None</t>
        </is>
      </c>
      <c r="Z710" s="17" t="n"/>
      <c r="AA710" s="16" t="n"/>
      <c r="AB710" s="20" t="n"/>
      <c r="AC710" s="20" t="inlineStr">
        <is>
          <t>None</t>
        </is>
      </c>
      <c r="AD710" s="17" t="n"/>
      <c r="AE710" s="16" t="n"/>
      <c r="AF710" s="20" t="inlineStr">
        <is>
          <t>IC Anionen</t>
        </is>
      </c>
      <c r="AG710" s="20" t="inlineStr">
        <is>
          <t>None</t>
        </is>
      </c>
      <c r="AH710" s="17" t="n"/>
      <c r="AI710" s="16" t="n"/>
      <c r="AJ710" s="20" t="n"/>
      <c r="AK710" s="20" t="inlineStr">
        <is>
          <t>None</t>
        </is>
      </c>
      <c r="AL710" s="17" t="n"/>
      <c r="AM710" s="16" t="n"/>
      <c r="AN710" s="20" t="inlineStr">
        <is>
          <t>IC Anionen</t>
        </is>
      </c>
      <c r="AO710" s="20" t="inlineStr">
        <is>
          <t>None</t>
        </is>
      </c>
      <c r="AP710" s="17" t="n"/>
      <c r="AQ710" s="16" t="n"/>
      <c r="AR710" s="20" t="n"/>
      <c r="AS710" s="20" t="inlineStr">
        <is>
          <t>None</t>
        </is>
      </c>
      <c r="AT710" s="17" t="n"/>
      <c r="AU710" s="16" t="n"/>
      <c r="AV710" s="20" t="n"/>
      <c r="AW710" s="20" t="inlineStr">
        <is>
          <t>None</t>
        </is>
      </c>
      <c r="AX710" s="17" t="n"/>
      <c r="AY710" s="16" t="n"/>
      <c r="AZ710" s="20" t="inlineStr">
        <is>
          <t>IC Anionen</t>
        </is>
      </c>
      <c r="BA710" s="20" t="inlineStr">
        <is>
          <t>None</t>
        </is>
      </c>
      <c r="BB710" s="17" t="n"/>
      <c r="BC710" s="16" t="n"/>
      <c r="BD710" s="20" t="inlineStr">
        <is>
          <t>IC Kationen</t>
        </is>
      </c>
      <c r="BE710" s="20" t="inlineStr">
        <is>
          <t>None</t>
        </is>
      </c>
      <c r="BF710" s="17" t="n"/>
      <c r="BG710" s="16" t="n"/>
      <c r="BH710" s="20" t="inlineStr">
        <is>
          <t>IC Kationen</t>
        </is>
      </c>
      <c r="BI710" s="20" t="inlineStr">
        <is>
          <t>None</t>
        </is>
      </c>
      <c r="BJ710" s="17" t="n"/>
      <c r="BK710" s="16" t="n"/>
      <c r="BL710" s="20" t="inlineStr">
        <is>
          <t>IC Kationen</t>
        </is>
      </c>
      <c r="BM710" s="20" t="inlineStr">
        <is>
          <t>None</t>
        </is>
      </c>
      <c r="BN710" s="17" t="n"/>
      <c r="BO710" s="16" t="n"/>
      <c r="BP710" s="20" t="inlineStr">
        <is>
          <t>IC Kationen</t>
        </is>
      </c>
      <c r="BQ710" s="20" t="inlineStr">
        <is>
          <t>None</t>
        </is>
      </c>
      <c r="BR710" s="17" t="n"/>
      <c r="BS710" s="16" t="n"/>
      <c r="BT710" s="20" t="inlineStr">
        <is>
          <t>IC Kationen</t>
        </is>
      </c>
      <c r="BU710" s="20" t="inlineStr">
        <is>
          <t>None</t>
        </is>
      </c>
      <c r="BV710" s="17" t="n"/>
      <c r="BW710" s="16" t="n"/>
      <c r="BX710" s="20" t="n"/>
      <c r="BY710" s="20" t="inlineStr">
        <is>
          <t>None</t>
        </is>
      </c>
      <c r="BZ710" s="17" t="n"/>
      <c r="CA710" s="16" t="n"/>
      <c r="CB710" s="20" t="n"/>
      <c r="CC710" s="20" t="inlineStr">
        <is>
          <t>None</t>
        </is>
      </c>
      <c r="CD710" s="17" t="n"/>
      <c r="CE710" s="16" t="n"/>
      <c r="CF710" s="20" t="n"/>
      <c r="CG710" s="20" t="inlineStr">
        <is>
          <t>None</t>
        </is>
      </c>
      <c r="CH710" s="17" t="n"/>
      <c r="CI710" s="16" t="n"/>
      <c r="CJ710" s="20" t="n"/>
      <c r="CK710" s="20" t="inlineStr">
        <is>
          <t>None</t>
        </is>
      </c>
      <c r="CL710" s="17" t="n"/>
      <c r="CM710" s="16" t="n"/>
      <c r="CN710" s="20" t="inlineStr">
        <is>
          <t>SOP 45-34</t>
        </is>
      </c>
      <c r="CO710" s="20" t="inlineStr">
        <is>
          <t>None</t>
        </is>
      </c>
      <c r="CP710" s="17" t="n"/>
      <c r="CQ710" s="16" t="n"/>
      <c r="CR710" s="20" t="n"/>
      <c r="CS710" s="20" t="inlineStr">
        <is>
          <t>None</t>
        </is>
      </c>
      <c r="CT710" s="17" t="n"/>
      <c r="CU710" s="16" t="n"/>
      <c r="CV710" s="20" t="n"/>
      <c r="CW710" s="20" t="inlineStr">
        <is>
          <t>None</t>
        </is>
      </c>
      <c r="CX710" s="17" t="n"/>
      <c r="CY710" s="16" t="n"/>
      <c r="CZ710" s="20" t="inlineStr">
        <is>
          <t>WTW Multimeter 3430 with FDO 925</t>
        </is>
      </c>
      <c r="DA710" s="20" t="inlineStr">
        <is>
          <t>None</t>
        </is>
      </c>
      <c r="DB710" s="17" t="n"/>
      <c r="DC710" s="16" t="n"/>
      <c r="DD710" s="20" t="n"/>
      <c r="DE710" s="20" t="inlineStr">
        <is>
          <t>None</t>
        </is>
      </c>
      <c r="DF710" s="17" t="n"/>
      <c r="DG710" s="16" t="n"/>
      <c r="DH710" s="20" t="inlineStr">
        <is>
          <t>SOP 45-09</t>
        </is>
      </c>
      <c r="DI710" s="20" t="inlineStr">
        <is>
          <t>None</t>
        </is>
      </c>
      <c r="DJ710" s="17" t="n"/>
      <c r="DK710" s="16" t="n"/>
      <c r="DL710" s="20" t="inlineStr">
        <is>
          <t>SOP 45-09 (SOP muss noch angepasst werden für VSS)</t>
        </is>
      </c>
      <c r="DM710" s="20" t="inlineStr">
        <is>
          <t>None</t>
        </is>
      </c>
      <c r="DN710" s="17" t="n"/>
      <c r="DO710" s="16" t="n"/>
      <c r="DP710" s="20" t="inlineStr">
        <is>
          <t>IC Organic Acids</t>
        </is>
      </c>
      <c r="DQ710" s="20" t="inlineStr">
        <is>
          <t>None</t>
        </is>
      </c>
      <c r="DR710" s="17" t="n"/>
      <c r="DS710" s="16" t="n"/>
      <c r="DT710" s="20" t="inlineStr">
        <is>
          <t>IC Organic Acids</t>
        </is>
      </c>
      <c r="DU710" s="20" t="inlineStr">
        <is>
          <t>None</t>
        </is>
      </c>
      <c r="DV710" s="17" t="n"/>
      <c r="DW710" s="16" t="n"/>
      <c r="DX710" s="20" t="inlineStr">
        <is>
          <t>IC Organic Acids</t>
        </is>
      </c>
      <c r="DY710" s="20" t="inlineStr">
        <is>
          <t>None</t>
        </is>
      </c>
      <c r="DZ710" s="17" t="n"/>
      <c r="EA710" s="16" t="n"/>
      <c r="EB710" s="20" t="inlineStr">
        <is>
          <t>IC Organic Acids</t>
        </is>
      </c>
      <c r="EC710" s="20" t="inlineStr">
        <is>
          <t>None</t>
        </is>
      </c>
      <c r="ED710" s="17" t="n"/>
      <c r="EE710" s="16" t="n"/>
      <c r="EF710" s="20" t="inlineStr">
        <is>
          <t>IC Organic Acids</t>
        </is>
      </c>
      <c r="EG710" s="20" t="inlineStr">
        <is>
          <t>None</t>
        </is>
      </c>
      <c r="EH710" s="17" t="n"/>
      <c r="EI710" s="16" t="n"/>
      <c r="EJ710" s="20" t="inlineStr">
        <is>
          <t>IC Organic Acids</t>
        </is>
      </c>
      <c r="EK710" s="20" t="inlineStr">
        <is>
          <t>None</t>
        </is>
      </c>
      <c r="EL710" s="17" t="n"/>
      <c r="EM710" s="16" t="n"/>
      <c r="EN710" s="20" t="inlineStr">
        <is>
          <t>IC Organic Acids</t>
        </is>
      </c>
      <c r="EO710" s="20" t="inlineStr">
        <is>
          <t>None</t>
        </is>
      </c>
      <c r="EP710" s="17" t="n"/>
      <c r="EQ710" s="16" t="n"/>
      <c r="ER710" s="20" t="inlineStr">
        <is>
          <t>IC Organic Acids</t>
        </is>
      </c>
      <c r="ES710" s="20" t="inlineStr">
        <is>
          <t>None</t>
        </is>
      </c>
      <c r="ET710" s="17" t="n"/>
      <c r="EU710" s="16" t="n"/>
      <c r="EV710" s="20" t="inlineStr">
        <is>
          <t>LC-MS</t>
        </is>
      </c>
      <c r="EW710" s="20" t="inlineStr">
        <is>
          <t>None</t>
        </is>
      </c>
      <c r="EX710" s="17" t="n"/>
      <c r="EY710" s="21" t="n"/>
      <c r="EZ710">
        <f>CONCATENATE(A710,B710)</f>
        <v/>
      </c>
      <c r="FA710">
        <f>CONCATENATE(SamplesX!A710,SamplesX!B710)</f>
        <v/>
      </c>
      <c r="FC710">
        <f>MATCH(EZ710,FA1:FA1008,0)</f>
        <v/>
      </c>
    </row>
    <row r="711">
      <c r="A711" s="16" t="n"/>
      <c r="B711" s="17" t="n"/>
      <c r="C711" s="10">
        <f>IF(ISNUMBER(FC711),INDIRECT("SamplesX!C"&amp;FC711),IF(ISNUMBER(FD711),INDIRECT("SamplesY!C"&amp;FD711),""))</f>
        <v/>
      </c>
      <c r="D711" s="12">
        <f>IF(ISNUMBER(FC711),INDIRECT("SamplesX!D"&amp;FC711),IF(ISNUMBER(FD711),INDIRECT("SamplesY!D"&amp;FD711),""))</f>
        <v/>
      </c>
      <c r="E711" s="12">
        <f>IF(ISNUMBER(FC711),INDIRECT("SamplesX!E"&amp;FC711),IF(ISNUMBER(FD711),INDIRECT("SamplesY!E"&amp;FD711),""))</f>
        <v/>
      </c>
      <c r="F711" s="11">
        <f>IF(ISNUMBER(FC711),INDIRECT("SamplesX!F"&amp;FC711),IF(ISNUMBER(FD711),INDIRECT("SamplesY!F"&amp;FD711),""))</f>
        <v/>
      </c>
      <c r="G711" s="18">
        <f>IF(ISNUMBER(FC711),INDIRECT("SamplesX!G"&amp;FC711),IF(ISNUMBER(FD711),INDIRECT("SamplesY!G"&amp;FD711),""))</f>
        <v/>
      </c>
      <c r="H711" s="19">
        <f>IF(ISNUMBER(FC711),INDIRECT("SamplesX!H"&amp;FC711),IF(ISNUMBER(FD711),INDIRECT("SamplesY!H"&amp;FD711),""))</f>
        <v/>
      </c>
      <c r="I711" s="16" t="n"/>
      <c r="J711" s="16" t="n"/>
      <c r="K711" s="16" t="n"/>
      <c r="L711" s="20" t="n"/>
      <c r="M711" s="20" t="inlineStr">
        <is>
          <t>None</t>
        </is>
      </c>
      <c r="N711" s="17" t="n"/>
      <c r="O711" s="16" t="n"/>
      <c r="P711" s="20" t="inlineStr">
        <is>
          <t>Shimadzu TOC-L</t>
        </is>
      </c>
      <c r="Q711" s="20" t="inlineStr">
        <is>
          <t>None</t>
        </is>
      </c>
      <c r="R711" s="17" t="n"/>
      <c r="S711" s="16" t="n"/>
      <c r="T711" s="20" t="inlineStr">
        <is>
          <t>Shimadzu TOC-L</t>
        </is>
      </c>
      <c r="U711" s="20" t="inlineStr">
        <is>
          <t>None</t>
        </is>
      </c>
      <c r="V711" s="17" t="n"/>
      <c r="W711" s="16" t="n"/>
      <c r="X711" s="20" t="n"/>
      <c r="Y711" s="20" t="inlineStr">
        <is>
          <t>None</t>
        </is>
      </c>
      <c r="Z711" s="17" t="n"/>
      <c r="AA711" s="16" t="n"/>
      <c r="AB711" s="20" t="n"/>
      <c r="AC711" s="20" t="inlineStr">
        <is>
          <t>None</t>
        </is>
      </c>
      <c r="AD711" s="17" t="n"/>
      <c r="AE711" s="16" t="n"/>
      <c r="AF711" s="20" t="inlineStr">
        <is>
          <t>IC Anionen</t>
        </is>
      </c>
      <c r="AG711" s="20" t="inlineStr">
        <is>
          <t>None</t>
        </is>
      </c>
      <c r="AH711" s="17" t="n"/>
      <c r="AI711" s="16" t="n"/>
      <c r="AJ711" s="20" t="n"/>
      <c r="AK711" s="20" t="inlineStr">
        <is>
          <t>None</t>
        </is>
      </c>
      <c r="AL711" s="17" t="n"/>
      <c r="AM711" s="16" t="n"/>
      <c r="AN711" s="20" t="inlineStr">
        <is>
          <t>IC Anionen</t>
        </is>
      </c>
      <c r="AO711" s="20" t="inlineStr">
        <is>
          <t>None</t>
        </is>
      </c>
      <c r="AP711" s="17" t="n"/>
      <c r="AQ711" s="16" t="n"/>
      <c r="AR711" s="20" t="n"/>
      <c r="AS711" s="20" t="inlineStr">
        <is>
          <t>None</t>
        </is>
      </c>
      <c r="AT711" s="17" t="n"/>
      <c r="AU711" s="16" t="n"/>
      <c r="AV711" s="20" t="n"/>
      <c r="AW711" s="20" t="inlineStr">
        <is>
          <t>None</t>
        </is>
      </c>
      <c r="AX711" s="17" t="n"/>
      <c r="AY711" s="16" t="n"/>
      <c r="AZ711" s="20" t="inlineStr">
        <is>
          <t>IC Anionen</t>
        </is>
      </c>
      <c r="BA711" s="20" t="inlineStr">
        <is>
          <t>None</t>
        </is>
      </c>
      <c r="BB711" s="17" t="n"/>
      <c r="BC711" s="16" t="n"/>
      <c r="BD711" s="20" t="inlineStr">
        <is>
          <t>IC Kationen</t>
        </is>
      </c>
      <c r="BE711" s="20" t="inlineStr">
        <is>
          <t>None</t>
        </is>
      </c>
      <c r="BF711" s="17" t="n"/>
      <c r="BG711" s="16" t="n"/>
      <c r="BH711" s="20" t="inlineStr">
        <is>
          <t>IC Kationen</t>
        </is>
      </c>
      <c r="BI711" s="20" t="inlineStr">
        <is>
          <t>None</t>
        </is>
      </c>
      <c r="BJ711" s="17" t="n"/>
      <c r="BK711" s="16" t="n"/>
      <c r="BL711" s="20" t="inlineStr">
        <is>
          <t>IC Kationen</t>
        </is>
      </c>
      <c r="BM711" s="20" t="inlineStr">
        <is>
          <t>None</t>
        </is>
      </c>
      <c r="BN711" s="17" t="n"/>
      <c r="BO711" s="16" t="n"/>
      <c r="BP711" s="20" t="inlineStr">
        <is>
          <t>IC Kationen</t>
        </is>
      </c>
      <c r="BQ711" s="20" t="inlineStr">
        <is>
          <t>None</t>
        </is>
      </c>
      <c r="BR711" s="17" t="n"/>
      <c r="BS711" s="16" t="n"/>
      <c r="BT711" s="20" t="inlineStr">
        <is>
          <t>IC Kationen</t>
        </is>
      </c>
      <c r="BU711" s="20" t="inlineStr">
        <is>
          <t>None</t>
        </is>
      </c>
      <c r="BV711" s="17" t="n"/>
      <c r="BW711" s="16" t="n"/>
      <c r="BX711" s="20" t="n"/>
      <c r="BY711" s="20" t="inlineStr">
        <is>
          <t>None</t>
        </is>
      </c>
      <c r="BZ711" s="17" t="n"/>
      <c r="CA711" s="16" t="n"/>
      <c r="CB711" s="20" t="n"/>
      <c r="CC711" s="20" t="inlineStr">
        <is>
          <t>None</t>
        </is>
      </c>
      <c r="CD711" s="17" t="n"/>
      <c r="CE711" s="16" t="n"/>
      <c r="CF711" s="20" t="n"/>
      <c r="CG711" s="20" t="inlineStr">
        <is>
          <t>None</t>
        </is>
      </c>
      <c r="CH711" s="17" t="n"/>
      <c r="CI711" s="16" t="n"/>
      <c r="CJ711" s="20" t="n"/>
      <c r="CK711" s="20" t="inlineStr">
        <is>
          <t>None</t>
        </is>
      </c>
      <c r="CL711" s="17" t="n"/>
      <c r="CM711" s="16" t="n"/>
      <c r="CN711" s="20" t="inlineStr">
        <is>
          <t>SOP 45-34</t>
        </is>
      </c>
      <c r="CO711" s="20" t="inlineStr">
        <is>
          <t>None</t>
        </is>
      </c>
      <c r="CP711" s="17" t="n"/>
      <c r="CQ711" s="16" t="n"/>
      <c r="CR711" s="20" t="n"/>
      <c r="CS711" s="20" t="inlineStr">
        <is>
          <t>None</t>
        </is>
      </c>
      <c r="CT711" s="17" t="n"/>
      <c r="CU711" s="16" t="n"/>
      <c r="CV711" s="20" t="n"/>
      <c r="CW711" s="20" t="inlineStr">
        <is>
          <t>None</t>
        </is>
      </c>
      <c r="CX711" s="17" t="n"/>
      <c r="CY711" s="16" t="n"/>
      <c r="CZ711" s="20" t="inlineStr">
        <is>
          <t>WTW Multimeter 3430 with FDO 925</t>
        </is>
      </c>
      <c r="DA711" s="20" t="inlineStr">
        <is>
          <t>None</t>
        </is>
      </c>
      <c r="DB711" s="17" t="n"/>
      <c r="DC711" s="16" t="n"/>
      <c r="DD711" s="20" t="n"/>
      <c r="DE711" s="20" t="inlineStr">
        <is>
          <t>None</t>
        </is>
      </c>
      <c r="DF711" s="17" t="n"/>
      <c r="DG711" s="16" t="n"/>
      <c r="DH711" s="20" t="inlineStr">
        <is>
          <t>SOP 45-09</t>
        </is>
      </c>
      <c r="DI711" s="20" t="inlineStr">
        <is>
          <t>None</t>
        </is>
      </c>
      <c r="DJ711" s="17" t="n"/>
      <c r="DK711" s="16" t="n"/>
      <c r="DL711" s="20" t="inlineStr">
        <is>
          <t>SOP 45-09 (SOP muss noch angepasst werden für VSS)</t>
        </is>
      </c>
      <c r="DM711" s="20" t="inlineStr">
        <is>
          <t>None</t>
        </is>
      </c>
      <c r="DN711" s="17" t="n"/>
      <c r="DO711" s="16" t="n"/>
      <c r="DP711" s="20" t="inlineStr">
        <is>
          <t>IC Organic Acids</t>
        </is>
      </c>
      <c r="DQ711" s="20" t="inlineStr">
        <is>
          <t>None</t>
        </is>
      </c>
      <c r="DR711" s="17" t="n"/>
      <c r="DS711" s="16" t="n"/>
      <c r="DT711" s="20" t="inlineStr">
        <is>
          <t>IC Organic Acids</t>
        </is>
      </c>
      <c r="DU711" s="20" t="inlineStr">
        <is>
          <t>None</t>
        </is>
      </c>
      <c r="DV711" s="17" t="n"/>
      <c r="DW711" s="16" t="n"/>
      <c r="DX711" s="20" t="inlineStr">
        <is>
          <t>IC Organic Acids</t>
        </is>
      </c>
      <c r="DY711" s="20" t="inlineStr">
        <is>
          <t>None</t>
        </is>
      </c>
      <c r="DZ711" s="17" t="n"/>
      <c r="EA711" s="16" t="n"/>
      <c r="EB711" s="20" t="inlineStr">
        <is>
          <t>IC Organic Acids</t>
        </is>
      </c>
      <c r="EC711" s="20" t="inlineStr">
        <is>
          <t>None</t>
        </is>
      </c>
      <c r="ED711" s="17" t="n"/>
      <c r="EE711" s="16" t="n"/>
      <c r="EF711" s="20" t="inlineStr">
        <is>
          <t>IC Organic Acids</t>
        </is>
      </c>
      <c r="EG711" s="20" t="inlineStr">
        <is>
          <t>None</t>
        </is>
      </c>
      <c r="EH711" s="17" t="n"/>
      <c r="EI711" s="16" t="n"/>
      <c r="EJ711" s="20" t="inlineStr">
        <is>
          <t>IC Organic Acids</t>
        </is>
      </c>
      <c r="EK711" s="20" t="inlineStr">
        <is>
          <t>None</t>
        </is>
      </c>
      <c r="EL711" s="17" t="n"/>
      <c r="EM711" s="16" t="n"/>
      <c r="EN711" s="20" t="inlineStr">
        <is>
          <t>IC Organic Acids</t>
        </is>
      </c>
      <c r="EO711" s="20" t="inlineStr">
        <is>
          <t>None</t>
        </is>
      </c>
      <c r="EP711" s="17" t="n"/>
      <c r="EQ711" s="16" t="n"/>
      <c r="ER711" s="20" t="inlineStr">
        <is>
          <t>IC Organic Acids</t>
        </is>
      </c>
      <c r="ES711" s="20" t="inlineStr">
        <is>
          <t>None</t>
        </is>
      </c>
      <c r="ET711" s="17" t="n"/>
      <c r="EU711" s="16" t="n"/>
      <c r="EV711" s="20" t="inlineStr">
        <is>
          <t>LC-MS</t>
        </is>
      </c>
      <c r="EW711" s="20" t="inlineStr">
        <is>
          <t>None</t>
        </is>
      </c>
      <c r="EX711" s="17" t="n"/>
      <c r="EY711" s="21" t="n"/>
      <c r="EZ711">
        <f>CONCATENATE(A711,B711)</f>
        <v/>
      </c>
      <c r="FA711">
        <f>CONCATENATE(SamplesX!A711,SamplesX!B711)</f>
        <v/>
      </c>
      <c r="FC711">
        <f>MATCH(EZ711,FA1:FA1008,0)</f>
        <v/>
      </c>
    </row>
    <row r="712">
      <c r="A712" s="16" t="n"/>
      <c r="B712" s="17" t="n"/>
      <c r="C712" s="10">
        <f>IF(ISNUMBER(FC712),INDIRECT("SamplesX!C"&amp;FC712),IF(ISNUMBER(FD712),INDIRECT("SamplesY!C"&amp;FD712),""))</f>
        <v/>
      </c>
      <c r="D712" s="12">
        <f>IF(ISNUMBER(FC712),INDIRECT("SamplesX!D"&amp;FC712),IF(ISNUMBER(FD712),INDIRECT("SamplesY!D"&amp;FD712),""))</f>
        <v/>
      </c>
      <c r="E712" s="12">
        <f>IF(ISNUMBER(FC712),INDIRECT("SamplesX!E"&amp;FC712),IF(ISNUMBER(FD712),INDIRECT("SamplesY!E"&amp;FD712),""))</f>
        <v/>
      </c>
      <c r="F712" s="11">
        <f>IF(ISNUMBER(FC712),INDIRECT("SamplesX!F"&amp;FC712),IF(ISNUMBER(FD712),INDIRECT("SamplesY!F"&amp;FD712),""))</f>
        <v/>
      </c>
      <c r="G712" s="18">
        <f>IF(ISNUMBER(FC712),INDIRECT("SamplesX!G"&amp;FC712),IF(ISNUMBER(FD712),INDIRECT("SamplesY!G"&amp;FD712),""))</f>
        <v/>
      </c>
      <c r="H712" s="19">
        <f>IF(ISNUMBER(FC712),INDIRECT("SamplesX!H"&amp;FC712),IF(ISNUMBER(FD712),INDIRECT("SamplesY!H"&amp;FD712),""))</f>
        <v/>
      </c>
      <c r="I712" s="16" t="n"/>
      <c r="J712" s="16" t="n"/>
      <c r="K712" s="16" t="n"/>
      <c r="L712" s="20" t="n"/>
      <c r="M712" s="20" t="inlineStr">
        <is>
          <t>None</t>
        </is>
      </c>
      <c r="N712" s="17" t="n"/>
      <c r="O712" s="16" t="n"/>
      <c r="P712" s="20" t="inlineStr">
        <is>
          <t>Shimadzu TOC-L</t>
        </is>
      </c>
      <c r="Q712" s="20" t="inlineStr">
        <is>
          <t>None</t>
        </is>
      </c>
      <c r="R712" s="17" t="n"/>
      <c r="S712" s="16" t="n"/>
      <c r="T712" s="20" t="inlineStr">
        <is>
          <t>Shimadzu TOC-L</t>
        </is>
      </c>
      <c r="U712" s="20" t="inlineStr">
        <is>
          <t>None</t>
        </is>
      </c>
      <c r="V712" s="17" t="n"/>
      <c r="W712" s="16" t="n"/>
      <c r="X712" s="20" t="n"/>
      <c r="Y712" s="20" t="inlineStr">
        <is>
          <t>None</t>
        </is>
      </c>
      <c r="Z712" s="17" t="n"/>
      <c r="AA712" s="16" t="n"/>
      <c r="AB712" s="20" t="n"/>
      <c r="AC712" s="20" t="inlineStr">
        <is>
          <t>None</t>
        </is>
      </c>
      <c r="AD712" s="17" t="n"/>
      <c r="AE712" s="16" t="n"/>
      <c r="AF712" s="20" t="inlineStr">
        <is>
          <t>IC Anionen</t>
        </is>
      </c>
      <c r="AG712" s="20" t="inlineStr">
        <is>
          <t>None</t>
        </is>
      </c>
      <c r="AH712" s="17" t="n"/>
      <c r="AI712" s="16" t="n"/>
      <c r="AJ712" s="20" t="n"/>
      <c r="AK712" s="20" t="inlineStr">
        <is>
          <t>None</t>
        </is>
      </c>
      <c r="AL712" s="17" t="n"/>
      <c r="AM712" s="16" t="n"/>
      <c r="AN712" s="20" t="inlineStr">
        <is>
          <t>IC Anionen</t>
        </is>
      </c>
      <c r="AO712" s="20" t="inlineStr">
        <is>
          <t>None</t>
        </is>
      </c>
      <c r="AP712" s="17" t="n"/>
      <c r="AQ712" s="16" t="n"/>
      <c r="AR712" s="20" t="n"/>
      <c r="AS712" s="20" t="inlineStr">
        <is>
          <t>None</t>
        </is>
      </c>
      <c r="AT712" s="17" t="n"/>
      <c r="AU712" s="16" t="n"/>
      <c r="AV712" s="20" t="n"/>
      <c r="AW712" s="20" t="inlineStr">
        <is>
          <t>None</t>
        </is>
      </c>
      <c r="AX712" s="17" t="n"/>
      <c r="AY712" s="16" t="n"/>
      <c r="AZ712" s="20" t="inlineStr">
        <is>
          <t>IC Anionen</t>
        </is>
      </c>
      <c r="BA712" s="20" t="inlineStr">
        <is>
          <t>None</t>
        </is>
      </c>
      <c r="BB712" s="17" t="n"/>
      <c r="BC712" s="16" t="n"/>
      <c r="BD712" s="20" t="inlineStr">
        <is>
          <t>IC Kationen</t>
        </is>
      </c>
      <c r="BE712" s="20" t="inlineStr">
        <is>
          <t>None</t>
        </is>
      </c>
      <c r="BF712" s="17" t="n"/>
      <c r="BG712" s="16" t="n"/>
      <c r="BH712" s="20" t="inlineStr">
        <is>
          <t>IC Kationen</t>
        </is>
      </c>
      <c r="BI712" s="20" t="inlineStr">
        <is>
          <t>None</t>
        </is>
      </c>
      <c r="BJ712" s="17" t="n"/>
      <c r="BK712" s="16" t="n"/>
      <c r="BL712" s="20" t="inlineStr">
        <is>
          <t>IC Kationen</t>
        </is>
      </c>
      <c r="BM712" s="20" t="inlineStr">
        <is>
          <t>None</t>
        </is>
      </c>
      <c r="BN712" s="17" t="n"/>
      <c r="BO712" s="16" t="n"/>
      <c r="BP712" s="20" t="inlineStr">
        <is>
          <t>IC Kationen</t>
        </is>
      </c>
      <c r="BQ712" s="20" t="inlineStr">
        <is>
          <t>None</t>
        </is>
      </c>
      <c r="BR712" s="17" t="n"/>
      <c r="BS712" s="16" t="n"/>
      <c r="BT712" s="20" t="inlineStr">
        <is>
          <t>IC Kationen</t>
        </is>
      </c>
      <c r="BU712" s="20" t="inlineStr">
        <is>
          <t>None</t>
        </is>
      </c>
      <c r="BV712" s="17" t="n"/>
      <c r="BW712" s="16" t="n"/>
      <c r="BX712" s="20" t="n"/>
      <c r="BY712" s="20" t="inlineStr">
        <is>
          <t>None</t>
        </is>
      </c>
      <c r="BZ712" s="17" t="n"/>
      <c r="CA712" s="16" t="n"/>
      <c r="CB712" s="20" t="n"/>
      <c r="CC712" s="20" t="inlineStr">
        <is>
          <t>None</t>
        </is>
      </c>
      <c r="CD712" s="17" t="n"/>
      <c r="CE712" s="16" t="n"/>
      <c r="CF712" s="20" t="n"/>
      <c r="CG712" s="20" t="inlineStr">
        <is>
          <t>None</t>
        </is>
      </c>
      <c r="CH712" s="17" t="n"/>
      <c r="CI712" s="16" t="n"/>
      <c r="CJ712" s="20" t="n"/>
      <c r="CK712" s="20" t="inlineStr">
        <is>
          <t>None</t>
        </is>
      </c>
      <c r="CL712" s="17" t="n"/>
      <c r="CM712" s="16" t="n"/>
      <c r="CN712" s="20" t="inlineStr">
        <is>
          <t>SOP 45-34</t>
        </is>
      </c>
      <c r="CO712" s="20" t="inlineStr">
        <is>
          <t>None</t>
        </is>
      </c>
      <c r="CP712" s="17" t="n"/>
      <c r="CQ712" s="16" t="n"/>
      <c r="CR712" s="20" t="n"/>
      <c r="CS712" s="20" t="inlineStr">
        <is>
          <t>None</t>
        </is>
      </c>
      <c r="CT712" s="17" t="n"/>
      <c r="CU712" s="16" t="n"/>
      <c r="CV712" s="20" t="n"/>
      <c r="CW712" s="20" t="inlineStr">
        <is>
          <t>None</t>
        </is>
      </c>
      <c r="CX712" s="17" t="n"/>
      <c r="CY712" s="16" t="n"/>
      <c r="CZ712" s="20" t="inlineStr">
        <is>
          <t>WTW Multimeter 3430 with FDO 925</t>
        </is>
      </c>
      <c r="DA712" s="20" t="inlineStr">
        <is>
          <t>None</t>
        </is>
      </c>
      <c r="DB712" s="17" t="n"/>
      <c r="DC712" s="16" t="n"/>
      <c r="DD712" s="20" t="n"/>
      <c r="DE712" s="20" t="inlineStr">
        <is>
          <t>None</t>
        </is>
      </c>
      <c r="DF712" s="17" t="n"/>
      <c r="DG712" s="16" t="n"/>
      <c r="DH712" s="20" t="inlineStr">
        <is>
          <t>SOP 45-09</t>
        </is>
      </c>
      <c r="DI712" s="20" t="inlineStr">
        <is>
          <t>None</t>
        </is>
      </c>
      <c r="DJ712" s="17" t="n"/>
      <c r="DK712" s="16" t="n"/>
      <c r="DL712" s="20" t="inlineStr">
        <is>
          <t>SOP 45-09 (SOP muss noch angepasst werden für VSS)</t>
        </is>
      </c>
      <c r="DM712" s="20" t="inlineStr">
        <is>
          <t>None</t>
        </is>
      </c>
      <c r="DN712" s="17" t="n"/>
      <c r="DO712" s="16" t="n"/>
      <c r="DP712" s="20" t="inlineStr">
        <is>
          <t>IC Organic Acids</t>
        </is>
      </c>
      <c r="DQ712" s="20" t="inlineStr">
        <is>
          <t>None</t>
        </is>
      </c>
      <c r="DR712" s="17" t="n"/>
      <c r="DS712" s="16" t="n"/>
      <c r="DT712" s="20" t="inlineStr">
        <is>
          <t>IC Organic Acids</t>
        </is>
      </c>
      <c r="DU712" s="20" t="inlineStr">
        <is>
          <t>None</t>
        </is>
      </c>
      <c r="DV712" s="17" t="n"/>
      <c r="DW712" s="16" t="n"/>
      <c r="DX712" s="20" t="inlineStr">
        <is>
          <t>IC Organic Acids</t>
        </is>
      </c>
      <c r="DY712" s="20" t="inlineStr">
        <is>
          <t>None</t>
        </is>
      </c>
      <c r="DZ712" s="17" t="n"/>
      <c r="EA712" s="16" t="n"/>
      <c r="EB712" s="20" t="inlineStr">
        <is>
          <t>IC Organic Acids</t>
        </is>
      </c>
      <c r="EC712" s="20" t="inlineStr">
        <is>
          <t>None</t>
        </is>
      </c>
      <c r="ED712" s="17" t="n"/>
      <c r="EE712" s="16" t="n"/>
      <c r="EF712" s="20" t="inlineStr">
        <is>
          <t>IC Organic Acids</t>
        </is>
      </c>
      <c r="EG712" s="20" t="inlineStr">
        <is>
          <t>None</t>
        </is>
      </c>
      <c r="EH712" s="17" t="n"/>
      <c r="EI712" s="16" t="n"/>
      <c r="EJ712" s="20" t="inlineStr">
        <is>
          <t>IC Organic Acids</t>
        </is>
      </c>
      <c r="EK712" s="20" t="inlineStr">
        <is>
          <t>None</t>
        </is>
      </c>
      <c r="EL712" s="17" t="n"/>
      <c r="EM712" s="16" t="n"/>
      <c r="EN712" s="20" t="inlineStr">
        <is>
          <t>IC Organic Acids</t>
        </is>
      </c>
      <c r="EO712" s="20" t="inlineStr">
        <is>
          <t>None</t>
        </is>
      </c>
      <c r="EP712" s="17" t="n"/>
      <c r="EQ712" s="16" t="n"/>
      <c r="ER712" s="20" t="inlineStr">
        <is>
          <t>IC Organic Acids</t>
        </is>
      </c>
      <c r="ES712" s="20" t="inlineStr">
        <is>
          <t>None</t>
        </is>
      </c>
      <c r="ET712" s="17" t="n"/>
      <c r="EU712" s="16" t="n"/>
      <c r="EV712" s="20" t="inlineStr">
        <is>
          <t>LC-MS</t>
        </is>
      </c>
      <c r="EW712" s="20" t="inlineStr">
        <is>
          <t>None</t>
        </is>
      </c>
      <c r="EX712" s="17" t="n"/>
      <c r="EY712" s="21" t="n"/>
      <c r="EZ712">
        <f>CONCATENATE(A712,B712)</f>
        <v/>
      </c>
      <c r="FA712">
        <f>CONCATENATE(SamplesX!A712,SamplesX!B712)</f>
        <v/>
      </c>
      <c r="FC712">
        <f>MATCH(EZ712,FA1:FA1008,0)</f>
        <v/>
      </c>
    </row>
    <row r="713">
      <c r="A713" s="16" t="n"/>
      <c r="B713" s="17" t="n"/>
      <c r="C713" s="10">
        <f>IF(ISNUMBER(FC713),INDIRECT("SamplesX!C"&amp;FC713),IF(ISNUMBER(FD713),INDIRECT("SamplesY!C"&amp;FD713),""))</f>
        <v/>
      </c>
      <c r="D713" s="12">
        <f>IF(ISNUMBER(FC713),INDIRECT("SamplesX!D"&amp;FC713),IF(ISNUMBER(FD713),INDIRECT("SamplesY!D"&amp;FD713),""))</f>
        <v/>
      </c>
      <c r="E713" s="12">
        <f>IF(ISNUMBER(FC713),INDIRECT("SamplesX!E"&amp;FC713),IF(ISNUMBER(FD713),INDIRECT("SamplesY!E"&amp;FD713),""))</f>
        <v/>
      </c>
      <c r="F713" s="11">
        <f>IF(ISNUMBER(FC713),INDIRECT("SamplesX!F"&amp;FC713),IF(ISNUMBER(FD713),INDIRECT("SamplesY!F"&amp;FD713),""))</f>
        <v/>
      </c>
      <c r="G713" s="18">
        <f>IF(ISNUMBER(FC713),INDIRECT("SamplesX!G"&amp;FC713),IF(ISNUMBER(FD713),INDIRECT("SamplesY!G"&amp;FD713),""))</f>
        <v/>
      </c>
      <c r="H713" s="19">
        <f>IF(ISNUMBER(FC713),INDIRECT("SamplesX!H"&amp;FC713),IF(ISNUMBER(FD713),INDIRECT("SamplesY!H"&amp;FD713),""))</f>
        <v/>
      </c>
      <c r="I713" s="16" t="n"/>
      <c r="J713" s="16" t="n"/>
      <c r="K713" s="16" t="n"/>
      <c r="L713" s="20" t="n"/>
      <c r="M713" s="20" t="inlineStr">
        <is>
          <t>None</t>
        </is>
      </c>
      <c r="N713" s="17" t="n"/>
      <c r="O713" s="16" t="n"/>
      <c r="P713" s="20" t="inlineStr">
        <is>
          <t>Shimadzu TOC-L</t>
        </is>
      </c>
      <c r="Q713" s="20" t="inlineStr">
        <is>
          <t>None</t>
        </is>
      </c>
      <c r="R713" s="17" t="n"/>
      <c r="S713" s="16" t="n"/>
      <c r="T713" s="20" t="inlineStr">
        <is>
          <t>Shimadzu TOC-L</t>
        </is>
      </c>
      <c r="U713" s="20" t="inlineStr">
        <is>
          <t>None</t>
        </is>
      </c>
      <c r="V713" s="17" t="n"/>
      <c r="W713" s="16" t="n"/>
      <c r="X713" s="20" t="n"/>
      <c r="Y713" s="20" t="inlineStr">
        <is>
          <t>None</t>
        </is>
      </c>
      <c r="Z713" s="17" t="n"/>
      <c r="AA713" s="16" t="n"/>
      <c r="AB713" s="20" t="n"/>
      <c r="AC713" s="20" t="inlineStr">
        <is>
          <t>None</t>
        </is>
      </c>
      <c r="AD713" s="17" t="n"/>
      <c r="AE713" s="16" t="n"/>
      <c r="AF713" s="20" t="inlineStr">
        <is>
          <t>IC Anionen</t>
        </is>
      </c>
      <c r="AG713" s="20" t="inlineStr">
        <is>
          <t>None</t>
        </is>
      </c>
      <c r="AH713" s="17" t="n"/>
      <c r="AI713" s="16" t="n"/>
      <c r="AJ713" s="20" t="n"/>
      <c r="AK713" s="20" t="inlineStr">
        <is>
          <t>None</t>
        </is>
      </c>
      <c r="AL713" s="17" t="n"/>
      <c r="AM713" s="16" t="n"/>
      <c r="AN713" s="20" t="inlineStr">
        <is>
          <t>IC Anionen</t>
        </is>
      </c>
      <c r="AO713" s="20" t="inlineStr">
        <is>
          <t>None</t>
        </is>
      </c>
      <c r="AP713" s="17" t="n"/>
      <c r="AQ713" s="16" t="n"/>
      <c r="AR713" s="20" t="n"/>
      <c r="AS713" s="20" t="inlineStr">
        <is>
          <t>None</t>
        </is>
      </c>
      <c r="AT713" s="17" t="n"/>
      <c r="AU713" s="16" t="n"/>
      <c r="AV713" s="20" t="n"/>
      <c r="AW713" s="20" t="inlineStr">
        <is>
          <t>None</t>
        </is>
      </c>
      <c r="AX713" s="17" t="n"/>
      <c r="AY713" s="16" t="n"/>
      <c r="AZ713" s="20" t="inlineStr">
        <is>
          <t>IC Anionen</t>
        </is>
      </c>
      <c r="BA713" s="20" t="inlineStr">
        <is>
          <t>None</t>
        </is>
      </c>
      <c r="BB713" s="17" t="n"/>
      <c r="BC713" s="16" t="n"/>
      <c r="BD713" s="20" t="inlineStr">
        <is>
          <t>IC Kationen</t>
        </is>
      </c>
      <c r="BE713" s="20" t="inlineStr">
        <is>
          <t>None</t>
        </is>
      </c>
      <c r="BF713" s="17" t="n"/>
      <c r="BG713" s="16" t="n"/>
      <c r="BH713" s="20" t="inlineStr">
        <is>
          <t>IC Kationen</t>
        </is>
      </c>
      <c r="BI713" s="20" t="inlineStr">
        <is>
          <t>None</t>
        </is>
      </c>
      <c r="BJ713" s="17" t="n"/>
      <c r="BK713" s="16" t="n"/>
      <c r="BL713" s="20" t="inlineStr">
        <is>
          <t>IC Kationen</t>
        </is>
      </c>
      <c r="BM713" s="20" t="inlineStr">
        <is>
          <t>None</t>
        </is>
      </c>
      <c r="BN713" s="17" t="n"/>
      <c r="BO713" s="16" t="n"/>
      <c r="BP713" s="20" t="inlineStr">
        <is>
          <t>IC Kationen</t>
        </is>
      </c>
      <c r="BQ713" s="20" t="inlineStr">
        <is>
          <t>None</t>
        </is>
      </c>
      <c r="BR713" s="17" t="n"/>
      <c r="BS713" s="16" t="n"/>
      <c r="BT713" s="20" t="inlineStr">
        <is>
          <t>IC Kationen</t>
        </is>
      </c>
      <c r="BU713" s="20" t="inlineStr">
        <is>
          <t>None</t>
        </is>
      </c>
      <c r="BV713" s="17" t="n"/>
      <c r="BW713" s="16" t="n"/>
      <c r="BX713" s="20" t="n"/>
      <c r="BY713" s="20" t="inlineStr">
        <is>
          <t>None</t>
        </is>
      </c>
      <c r="BZ713" s="17" t="n"/>
      <c r="CA713" s="16" t="n"/>
      <c r="CB713" s="20" t="n"/>
      <c r="CC713" s="20" t="inlineStr">
        <is>
          <t>None</t>
        </is>
      </c>
      <c r="CD713" s="17" t="n"/>
      <c r="CE713" s="16" t="n"/>
      <c r="CF713" s="20" t="n"/>
      <c r="CG713" s="20" t="inlineStr">
        <is>
          <t>None</t>
        </is>
      </c>
      <c r="CH713" s="17" t="n"/>
      <c r="CI713" s="16" t="n"/>
      <c r="CJ713" s="20" t="n"/>
      <c r="CK713" s="20" t="inlineStr">
        <is>
          <t>None</t>
        </is>
      </c>
      <c r="CL713" s="17" t="n"/>
      <c r="CM713" s="16" t="n"/>
      <c r="CN713" s="20" t="inlineStr">
        <is>
          <t>SOP 45-34</t>
        </is>
      </c>
      <c r="CO713" s="20" t="inlineStr">
        <is>
          <t>None</t>
        </is>
      </c>
      <c r="CP713" s="17" t="n"/>
      <c r="CQ713" s="16" t="n"/>
      <c r="CR713" s="20" t="n"/>
      <c r="CS713" s="20" t="inlineStr">
        <is>
          <t>None</t>
        </is>
      </c>
      <c r="CT713" s="17" t="n"/>
      <c r="CU713" s="16" t="n"/>
      <c r="CV713" s="20" t="n"/>
      <c r="CW713" s="20" t="inlineStr">
        <is>
          <t>None</t>
        </is>
      </c>
      <c r="CX713" s="17" t="n"/>
      <c r="CY713" s="16" t="n"/>
      <c r="CZ713" s="20" t="inlineStr">
        <is>
          <t>WTW Multimeter 3430 with FDO 925</t>
        </is>
      </c>
      <c r="DA713" s="20" t="inlineStr">
        <is>
          <t>None</t>
        </is>
      </c>
      <c r="DB713" s="17" t="n"/>
      <c r="DC713" s="16" t="n"/>
      <c r="DD713" s="20" t="n"/>
      <c r="DE713" s="20" t="inlineStr">
        <is>
          <t>None</t>
        </is>
      </c>
      <c r="DF713" s="17" t="n"/>
      <c r="DG713" s="16" t="n"/>
      <c r="DH713" s="20" t="inlineStr">
        <is>
          <t>SOP 45-09</t>
        </is>
      </c>
      <c r="DI713" s="20" t="inlineStr">
        <is>
          <t>None</t>
        </is>
      </c>
      <c r="DJ713" s="17" t="n"/>
      <c r="DK713" s="16" t="n"/>
      <c r="DL713" s="20" t="inlineStr">
        <is>
          <t>SOP 45-09 (SOP muss noch angepasst werden für VSS)</t>
        </is>
      </c>
      <c r="DM713" s="20" t="inlineStr">
        <is>
          <t>None</t>
        </is>
      </c>
      <c r="DN713" s="17" t="n"/>
      <c r="DO713" s="16" t="n"/>
      <c r="DP713" s="20" t="inlineStr">
        <is>
          <t>IC Organic Acids</t>
        </is>
      </c>
      <c r="DQ713" s="20" t="inlineStr">
        <is>
          <t>None</t>
        </is>
      </c>
      <c r="DR713" s="17" t="n"/>
      <c r="DS713" s="16" t="n"/>
      <c r="DT713" s="20" t="inlineStr">
        <is>
          <t>IC Organic Acids</t>
        </is>
      </c>
      <c r="DU713" s="20" t="inlineStr">
        <is>
          <t>None</t>
        </is>
      </c>
      <c r="DV713" s="17" t="n"/>
      <c r="DW713" s="16" t="n"/>
      <c r="DX713" s="20" t="inlineStr">
        <is>
          <t>IC Organic Acids</t>
        </is>
      </c>
      <c r="DY713" s="20" t="inlineStr">
        <is>
          <t>None</t>
        </is>
      </c>
      <c r="DZ713" s="17" t="n"/>
      <c r="EA713" s="16" t="n"/>
      <c r="EB713" s="20" t="inlineStr">
        <is>
          <t>IC Organic Acids</t>
        </is>
      </c>
      <c r="EC713" s="20" t="inlineStr">
        <is>
          <t>None</t>
        </is>
      </c>
      <c r="ED713" s="17" t="n"/>
      <c r="EE713" s="16" t="n"/>
      <c r="EF713" s="20" t="inlineStr">
        <is>
          <t>IC Organic Acids</t>
        </is>
      </c>
      <c r="EG713" s="20" t="inlineStr">
        <is>
          <t>None</t>
        </is>
      </c>
      <c r="EH713" s="17" t="n"/>
      <c r="EI713" s="16" t="n"/>
      <c r="EJ713" s="20" t="inlineStr">
        <is>
          <t>IC Organic Acids</t>
        </is>
      </c>
      <c r="EK713" s="20" t="inlineStr">
        <is>
          <t>None</t>
        </is>
      </c>
      <c r="EL713" s="17" t="n"/>
      <c r="EM713" s="16" t="n"/>
      <c r="EN713" s="20" t="inlineStr">
        <is>
          <t>IC Organic Acids</t>
        </is>
      </c>
      <c r="EO713" s="20" t="inlineStr">
        <is>
          <t>None</t>
        </is>
      </c>
      <c r="EP713" s="17" t="n"/>
      <c r="EQ713" s="16" t="n"/>
      <c r="ER713" s="20" t="inlineStr">
        <is>
          <t>IC Organic Acids</t>
        </is>
      </c>
      <c r="ES713" s="20" t="inlineStr">
        <is>
          <t>None</t>
        </is>
      </c>
      <c r="ET713" s="17" t="n"/>
      <c r="EU713" s="16" t="n"/>
      <c r="EV713" s="20" t="inlineStr">
        <is>
          <t>LC-MS</t>
        </is>
      </c>
      <c r="EW713" s="20" t="inlineStr">
        <is>
          <t>None</t>
        </is>
      </c>
      <c r="EX713" s="17" t="n"/>
      <c r="EY713" s="21" t="n"/>
      <c r="EZ713">
        <f>CONCATENATE(A713,B713)</f>
        <v/>
      </c>
      <c r="FA713">
        <f>CONCATENATE(SamplesX!A713,SamplesX!B713)</f>
        <v/>
      </c>
      <c r="FC713">
        <f>MATCH(EZ713,FA1:FA1008,0)</f>
        <v/>
      </c>
    </row>
    <row r="714">
      <c r="A714" s="16" t="n"/>
      <c r="B714" s="17" t="n"/>
      <c r="C714" s="10">
        <f>IF(ISNUMBER(FC714),INDIRECT("SamplesX!C"&amp;FC714),IF(ISNUMBER(FD714),INDIRECT("SamplesY!C"&amp;FD714),""))</f>
        <v/>
      </c>
      <c r="D714" s="12">
        <f>IF(ISNUMBER(FC714),INDIRECT("SamplesX!D"&amp;FC714),IF(ISNUMBER(FD714),INDIRECT("SamplesY!D"&amp;FD714),""))</f>
        <v/>
      </c>
      <c r="E714" s="12">
        <f>IF(ISNUMBER(FC714),INDIRECT("SamplesX!E"&amp;FC714),IF(ISNUMBER(FD714),INDIRECT("SamplesY!E"&amp;FD714),""))</f>
        <v/>
      </c>
      <c r="F714" s="11">
        <f>IF(ISNUMBER(FC714),INDIRECT("SamplesX!F"&amp;FC714),IF(ISNUMBER(FD714),INDIRECT("SamplesY!F"&amp;FD714),""))</f>
        <v/>
      </c>
      <c r="G714" s="18">
        <f>IF(ISNUMBER(FC714),INDIRECT("SamplesX!G"&amp;FC714),IF(ISNUMBER(FD714),INDIRECT("SamplesY!G"&amp;FD714),""))</f>
        <v/>
      </c>
      <c r="H714" s="19">
        <f>IF(ISNUMBER(FC714),INDIRECT("SamplesX!H"&amp;FC714),IF(ISNUMBER(FD714),INDIRECT("SamplesY!H"&amp;FD714),""))</f>
        <v/>
      </c>
      <c r="I714" s="16" t="n"/>
      <c r="J714" s="16" t="n"/>
      <c r="K714" s="16" t="n"/>
      <c r="L714" s="20" t="n"/>
      <c r="M714" s="20" t="inlineStr">
        <is>
          <t>None</t>
        </is>
      </c>
      <c r="N714" s="17" t="n"/>
      <c r="O714" s="16" t="n"/>
      <c r="P714" s="20" t="inlineStr">
        <is>
          <t>Shimadzu TOC-L</t>
        </is>
      </c>
      <c r="Q714" s="20" t="inlineStr">
        <is>
          <t>None</t>
        </is>
      </c>
      <c r="R714" s="17" t="n"/>
      <c r="S714" s="16" t="n"/>
      <c r="T714" s="20" t="inlineStr">
        <is>
          <t>Shimadzu TOC-L</t>
        </is>
      </c>
      <c r="U714" s="20" t="inlineStr">
        <is>
          <t>None</t>
        </is>
      </c>
      <c r="V714" s="17" t="n"/>
      <c r="W714" s="16" t="n"/>
      <c r="X714" s="20" t="n"/>
      <c r="Y714" s="20" t="inlineStr">
        <is>
          <t>None</t>
        </is>
      </c>
      <c r="Z714" s="17" t="n"/>
      <c r="AA714" s="16" t="n"/>
      <c r="AB714" s="20" t="n"/>
      <c r="AC714" s="20" t="inlineStr">
        <is>
          <t>None</t>
        </is>
      </c>
      <c r="AD714" s="17" t="n"/>
      <c r="AE714" s="16" t="n"/>
      <c r="AF714" s="20" t="inlineStr">
        <is>
          <t>IC Anionen</t>
        </is>
      </c>
      <c r="AG714" s="20" t="inlineStr">
        <is>
          <t>None</t>
        </is>
      </c>
      <c r="AH714" s="17" t="n"/>
      <c r="AI714" s="16" t="n"/>
      <c r="AJ714" s="20" t="n"/>
      <c r="AK714" s="20" t="inlineStr">
        <is>
          <t>None</t>
        </is>
      </c>
      <c r="AL714" s="17" t="n"/>
      <c r="AM714" s="16" t="n"/>
      <c r="AN714" s="20" t="inlineStr">
        <is>
          <t>IC Anionen</t>
        </is>
      </c>
      <c r="AO714" s="20" t="inlineStr">
        <is>
          <t>None</t>
        </is>
      </c>
      <c r="AP714" s="17" t="n"/>
      <c r="AQ714" s="16" t="n"/>
      <c r="AR714" s="20" t="n"/>
      <c r="AS714" s="20" t="inlineStr">
        <is>
          <t>None</t>
        </is>
      </c>
      <c r="AT714" s="17" t="n"/>
      <c r="AU714" s="16" t="n"/>
      <c r="AV714" s="20" t="n"/>
      <c r="AW714" s="20" t="inlineStr">
        <is>
          <t>None</t>
        </is>
      </c>
      <c r="AX714" s="17" t="n"/>
      <c r="AY714" s="16" t="n"/>
      <c r="AZ714" s="20" t="inlineStr">
        <is>
          <t>IC Anionen</t>
        </is>
      </c>
      <c r="BA714" s="20" t="inlineStr">
        <is>
          <t>None</t>
        </is>
      </c>
      <c r="BB714" s="17" t="n"/>
      <c r="BC714" s="16" t="n"/>
      <c r="BD714" s="20" t="inlineStr">
        <is>
          <t>IC Kationen</t>
        </is>
      </c>
      <c r="BE714" s="20" t="inlineStr">
        <is>
          <t>None</t>
        </is>
      </c>
      <c r="BF714" s="17" t="n"/>
      <c r="BG714" s="16" t="n"/>
      <c r="BH714" s="20" t="inlineStr">
        <is>
          <t>IC Kationen</t>
        </is>
      </c>
      <c r="BI714" s="20" t="inlineStr">
        <is>
          <t>None</t>
        </is>
      </c>
      <c r="BJ714" s="17" t="n"/>
      <c r="BK714" s="16" t="n"/>
      <c r="BL714" s="20" t="inlineStr">
        <is>
          <t>IC Kationen</t>
        </is>
      </c>
      <c r="BM714" s="20" t="inlineStr">
        <is>
          <t>None</t>
        </is>
      </c>
      <c r="BN714" s="17" t="n"/>
      <c r="BO714" s="16" t="n"/>
      <c r="BP714" s="20" t="inlineStr">
        <is>
          <t>IC Kationen</t>
        </is>
      </c>
      <c r="BQ714" s="20" t="inlineStr">
        <is>
          <t>None</t>
        </is>
      </c>
      <c r="BR714" s="17" t="n"/>
      <c r="BS714" s="16" t="n"/>
      <c r="BT714" s="20" t="inlineStr">
        <is>
          <t>IC Kationen</t>
        </is>
      </c>
      <c r="BU714" s="20" t="inlineStr">
        <is>
          <t>None</t>
        </is>
      </c>
      <c r="BV714" s="17" t="n"/>
      <c r="BW714" s="16" t="n"/>
      <c r="BX714" s="20" t="n"/>
      <c r="BY714" s="20" t="inlineStr">
        <is>
          <t>None</t>
        </is>
      </c>
      <c r="BZ714" s="17" t="n"/>
      <c r="CA714" s="16" t="n"/>
      <c r="CB714" s="20" t="n"/>
      <c r="CC714" s="20" t="inlineStr">
        <is>
          <t>None</t>
        </is>
      </c>
      <c r="CD714" s="17" t="n"/>
      <c r="CE714" s="16" t="n"/>
      <c r="CF714" s="20" t="n"/>
      <c r="CG714" s="20" t="inlineStr">
        <is>
          <t>None</t>
        </is>
      </c>
      <c r="CH714" s="17" t="n"/>
      <c r="CI714" s="16" t="n"/>
      <c r="CJ714" s="20" t="n"/>
      <c r="CK714" s="20" t="inlineStr">
        <is>
          <t>None</t>
        </is>
      </c>
      <c r="CL714" s="17" t="n"/>
      <c r="CM714" s="16" t="n"/>
      <c r="CN714" s="20" t="inlineStr">
        <is>
          <t>SOP 45-34</t>
        </is>
      </c>
      <c r="CO714" s="20" t="inlineStr">
        <is>
          <t>None</t>
        </is>
      </c>
      <c r="CP714" s="17" t="n"/>
      <c r="CQ714" s="16" t="n"/>
      <c r="CR714" s="20" t="n"/>
      <c r="CS714" s="20" t="inlineStr">
        <is>
          <t>None</t>
        </is>
      </c>
      <c r="CT714" s="17" t="n"/>
      <c r="CU714" s="16" t="n"/>
      <c r="CV714" s="20" t="n"/>
      <c r="CW714" s="20" t="inlineStr">
        <is>
          <t>None</t>
        </is>
      </c>
      <c r="CX714" s="17" t="n"/>
      <c r="CY714" s="16" t="n"/>
      <c r="CZ714" s="20" t="inlineStr">
        <is>
          <t>WTW Multimeter 3430 with FDO 925</t>
        </is>
      </c>
      <c r="DA714" s="20" t="inlineStr">
        <is>
          <t>None</t>
        </is>
      </c>
      <c r="DB714" s="17" t="n"/>
      <c r="DC714" s="16" t="n"/>
      <c r="DD714" s="20" t="n"/>
      <c r="DE714" s="20" t="inlineStr">
        <is>
          <t>None</t>
        </is>
      </c>
      <c r="DF714" s="17" t="n"/>
      <c r="DG714" s="16" t="n"/>
      <c r="DH714" s="20" t="inlineStr">
        <is>
          <t>SOP 45-09</t>
        </is>
      </c>
      <c r="DI714" s="20" t="inlineStr">
        <is>
          <t>None</t>
        </is>
      </c>
      <c r="DJ714" s="17" t="n"/>
      <c r="DK714" s="16" t="n"/>
      <c r="DL714" s="20" t="inlineStr">
        <is>
          <t>SOP 45-09 (SOP muss noch angepasst werden für VSS)</t>
        </is>
      </c>
      <c r="DM714" s="20" t="inlineStr">
        <is>
          <t>None</t>
        </is>
      </c>
      <c r="DN714" s="17" t="n"/>
      <c r="DO714" s="16" t="n"/>
      <c r="DP714" s="20" t="inlineStr">
        <is>
          <t>IC Organic Acids</t>
        </is>
      </c>
      <c r="DQ714" s="20" t="inlineStr">
        <is>
          <t>None</t>
        </is>
      </c>
      <c r="DR714" s="17" t="n"/>
      <c r="DS714" s="16" t="n"/>
      <c r="DT714" s="20" t="inlineStr">
        <is>
          <t>IC Organic Acids</t>
        </is>
      </c>
      <c r="DU714" s="20" t="inlineStr">
        <is>
          <t>None</t>
        </is>
      </c>
      <c r="DV714" s="17" t="n"/>
      <c r="DW714" s="16" t="n"/>
      <c r="DX714" s="20" t="inlineStr">
        <is>
          <t>IC Organic Acids</t>
        </is>
      </c>
      <c r="DY714" s="20" t="inlineStr">
        <is>
          <t>None</t>
        </is>
      </c>
      <c r="DZ714" s="17" t="n"/>
      <c r="EA714" s="16" t="n"/>
      <c r="EB714" s="20" t="inlineStr">
        <is>
          <t>IC Organic Acids</t>
        </is>
      </c>
      <c r="EC714" s="20" t="inlineStr">
        <is>
          <t>None</t>
        </is>
      </c>
      <c r="ED714" s="17" t="n"/>
      <c r="EE714" s="16" t="n"/>
      <c r="EF714" s="20" t="inlineStr">
        <is>
          <t>IC Organic Acids</t>
        </is>
      </c>
      <c r="EG714" s="20" t="inlineStr">
        <is>
          <t>None</t>
        </is>
      </c>
      <c r="EH714" s="17" t="n"/>
      <c r="EI714" s="16" t="n"/>
      <c r="EJ714" s="20" t="inlineStr">
        <is>
          <t>IC Organic Acids</t>
        </is>
      </c>
      <c r="EK714" s="20" t="inlineStr">
        <is>
          <t>None</t>
        </is>
      </c>
      <c r="EL714" s="17" t="n"/>
      <c r="EM714" s="16" t="n"/>
      <c r="EN714" s="20" t="inlineStr">
        <is>
          <t>IC Organic Acids</t>
        </is>
      </c>
      <c r="EO714" s="20" t="inlineStr">
        <is>
          <t>None</t>
        </is>
      </c>
      <c r="EP714" s="17" t="n"/>
      <c r="EQ714" s="16" t="n"/>
      <c r="ER714" s="20" t="inlineStr">
        <is>
          <t>IC Organic Acids</t>
        </is>
      </c>
      <c r="ES714" s="20" t="inlineStr">
        <is>
          <t>None</t>
        </is>
      </c>
      <c r="ET714" s="17" t="n"/>
      <c r="EU714" s="16" t="n"/>
      <c r="EV714" s="20" t="inlineStr">
        <is>
          <t>LC-MS</t>
        </is>
      </c>
      <c r="EW714" s="20" t="inlineStr">
        <is>
          <t>None</t>
        </is>
      </c>
      <c r="EX714" s="17" t="n"/>
      <c r="EY714" s="21" t="n"/>
      <c r="EZ714">
        <f>CONCATENATE(A714,B714)</f>
        <v/>
      </c>
      <c r="FA714">
        <f>CONCATENATE(SamplesX!A714,SamplesX!B714)</f>
        <v/>
      </c>
      <c r="FC714">
        <f>MATCH(EZ714,FA1:FA1008,0)</f>
        <v/>
      </c>
    </row>
    <row r="715">
      <c r="A715" s="16" t="n"/>
      <c r="B715" s="17" t="n"/>
      <c r="C715" s="10">
        <f>IF(ISNUMBER(FC715),INDIRECT("SamplesX!C"&amp;FC715),IF(ISNUMBER(FD715),INDIRECT("SamplesY!C"&amp;FD715),""))</f>
        <v/>
      </c>
      <c r="D715" s="12">
        <f>IF(ISNUMBER(FC715),INDIRECT("SamplesX!D"&amp;FC715),IF(ISNUMBER(FD715),INDIRECT("SamplesY!D"&amp;FD715),""))</f>
        <v/>
      </c>
      <c r="E715" s="12">
        <f>IF(ISNUMBER(FC715),INDIRECT("SamplesX!E"&amp;FC715),IF(ISNUMBER(FD715),INDIRECT("SamplesY!E"&amp;FD715),""))</f>
        <v/>
      </c>
      <c r="F715" s="11">
        <f>IF(ISNUMBER(FC715),INDIRECT("SamplesX!F"&amp;FC715),IF(ISNUMBER(FD715),INDIRECT("SamplesY!F"&amp;FD715),""))</f>
        <v/>
      </c>
      <c r="G715" s="18">
        <f>IF(ISNUMBER(FC715),INDIRECT("SamplesX!G"&amp;FC715),IF(ISNUMBER(FD715),INDIRECT("SamplesY!G"&amp;FD715),""))</f>
        <v/>
      </c>
      <c r="H715" s="19">
        <f>IF(ISNUMBER(FC715),INDIRECT("SamplesX!H"&amp;FC715),IF(ISNUMBER(FD715),INDIRECT("SamplesY!H"&amp;FD715),""))</f>
        <v/>
      </c>
      <c r="I715" s="16" t="n"/>
      <c r="J715" s="16" t="n"/>
      <c r="K715" s="16" t="n"/>
      <c r="L715" s="20" t="n"/>
      <c r="M715" s="20" t="inlineStr">
        <is>
          <t>None</t>
        </is>
      </c>
      <c r="N715" s="17" t="n"/>
      <c r="O715" s="16" t="n"/>
      <c r="P715" s="20" t="inlineStr">
        <is>
          <t>Shimadzu TOC-L</t>
        </is>
      </c>
      <c r="Q715" s="20" t="inlineStr">
        <is>
          <t>None</t>
        </is>
      </c>
      <c r="R715" s="17" t="n"/>
      <c r="S715" s="16" t="n"/>
      <c r="T715" s="20" t="inlineStr">
        <is>
          <t>Shimadzu TOC-L</t>
        </is>
      </c>
      <c r="U715" s="20" t="inlineStr">
        <is>
          <t>None</t>
        </is>
      </c>
      <c r="V715" s="17" t="n"/>
      <c r="W715" s="16" t="n"/>
      <c r="X715" s="20" t="n"/>
      <c r="Y715" s="20" t="inlineStr">
        <is>
          <t>None</t>
        </is>
      </c>
      <c r="Z715" s="17" t="n"/>
      <c r="AA715" s="16" t="n"/>
      <c r="AB715" s="20" t="n"/>
      <c r="AC715" s="20" t="inlineStr">
        <is>
          <t>None</t>
        </is>
      </c>
      <c r="AD715" s="17" t="n"/>
      <c r="AE715" s="16" t="n"/>
      <c r="AF715" s="20" t="inlineStr">
        <is>
          <t>IC Anionen</t>
        </is>
      </c>
      <c r="AG715" s="20" t="inlineStr">
        <is>
          <t>None</t>
        </is>
      </c>
      <c r="AH715" s="17" t="n"/>
      <c r="AI715" s="16" t="n"/>
      <c r="AJ715" s="20" t="n"/>
      <c r="AK715" s="20" t="inlineStr">
        <is>
          <t>None</t>
        </is>
      </c>
      <c r="AL715" s="17" t="n"/>
      <c r="AM715" s="16" t="n"/>
      <c r="AN715" s="20" t="inlineStr">
        <is>
          <t>IC Anionen</t>
        </is>
      </c>
      <c r="AO715" s="20" t="inlineStr">
        <is>
          <t>None</t>
        </is>
      </c>
      <c r="AP715" s="17" t="n"/>
      <c r="AQ715" s="16" t="n"/>
      <c r="AR715" s="20" t="n"/>
      <c r="AS715" s="20" t="inlineStr">
        <is>
          <t>None</t>
        </is>
      </c>
      <c r="AT715" s="17" t="n"/>
      <c r="AU715" s="16" t="n"/>
      <c r="AV715" s="20" t="n"/>
      <c r="AW715" s="20" t="inlineStr">
        <is>
          <t>None</t>
        </is>
      </c>
      <c r="AX715" s="17" t="n"/>
      <c r="AY715" s="16" t="n"/>
      <c r="AZ715" s="20" t="inlineStr">
        <is>
          <t>IC Anionen</t>
        </is>
      </c>
      <c r="BA715" s="20" t="inlineStr">
        <is>
          <t>None</t>
        </is>
      </c>
      <c r="BB715" s="17" t="n"/>
      <c r="BC715" s="16" t="n"/>
      <c r="BD715" s="20" t="inlineStr">
        <is>
          <t>IC Kationen</t>
        </is>
      </c>
      <c r="BE715" s="20" t="inlineStr">
        <is>
          <t>None</t>
        </is>
      </c>
      <c r="BF715" s="17" t="n"/>
      <c r="BG715" s="16" t="n"/>
      <c r="BH715" s="20" t="inlineStr">
        <is>
          <t>IC Kationen</t>
        </is>
      </c>
      <c r="BI715" s="20" t="inlineStr">
        <is>
          <t>None</t>
        </is>
      </c>
      <c r="BJ715" s="17" t="n"/>
      <c r="BK715" s="16" t="n"/>
      <c r="BL715" s="20" t="inlineStr">
        <is>
          <t>IC Kationen</t>
        </is>
      </c>
      <c r="BM715" s="20" t="inlineStr">
        <is>
          <t>None</t>
        </is>
      </c>
      <c r="BN715" s="17" t="n"/>
      <c r="BO715" s="16" t="n"/>
      <c r="BP715" s="20" t="inlineStr">
        <is>
          <t>IC Kationen</t>
        </is>
      </c>
      <c r="BQ715" s="20" t="inlineStr">
        <is>
          <t>None</t>
        </is>
      </c>
      <c r="BR715" s="17" t="n"/>
      <c r="BS715" s="16" t="n"/>
      <c r="BT715" s="20" t="inlineStr">
        <is>
          <t>IC Kationen</t>
        </is>
      </c>
      <c r="BU715" s="20" t="inlineStr">
        <is>
          <t>None</t>
        </is>
      </c>
      <c r="BV715" s="17" t="n"/>
      <c r="BW715" s="16" t="n"/>
      <c r="BX715" s="20" t="n"/>
      <c r="BY715" s="20" t="inlineStr">
        <is>
          <t>None</t>
        </is>
      </c>
      <c r="BZ715" s="17" t="n"/>
      <c r="CA715" s="16" t="n"/>
      <c r="CB715" s="20" t="n"/>
      <c r="CC715" s="20" t="inlineStr">
        <is>
          <t>None</t>
        </is>
      </c>
      <c r="CD715" s="17" t="n"/>
      <c r="CE715" s="16" t="n"/>
      <c r="CF715" s="20" t="n"/>
      <c r="CG715" s="20" t="inlineStr">
        <is>
          <t>None</t>
        </is>
      </c>
      <c r="CH715" s="17" t="n"/>
      <c r="CI715" s="16" t="n"/>
      <c r="CJ715" s="20" t="n"/>
      <c r="CK715" s="20" t="inlineStr">
        <is>
          <t>None</t>
        </is>
      </c>
      <c r="CL715" s="17" t="n"/>
      <c r="CM715" s="16" t="n"/>
      <c r="CN715" s="20" t="inlineStr">
        <is>
          <t>SOP 45-34</t>
        </is>
      </c>
      <c r="CO715" s="20" t="inlineStr">
        <is>
          <t>None</t>
        </is>
      </c>
      <c r="CP715" s="17" t="n"/>
      <c r="CQ715" s="16" t="n"/>
      <c r="CR715" s="20" t="n"/>
      <c r="CS715" s="20" t="inlineStr">
        <is>
          <t>None</t>
        </is>
      </c>
      <c r="CT715" s="17" t="n"/>
      <c r="CU715" s="16" t="n"/>
      <c r="CV715" s="20" t="n"/>
      <c r="CW715" s="20" t="inlineStr">
        <is>
          <t>None</t>
        </is>
      </c>
      <c r="CX715" s="17" t="n"/>
      <c r="CY715" s="16" t="n"/>
      <c r="CZ715" s="20" t="inlineStr">
        <is>
          <t>WTW Multimeter 3430 with FDO 925</t>
        </is>
      </c>
      <c r="DA715" s="20" t="inlineStr">
        <is>
          <t>None</t>
        </is>
      </c>
      <c r="DB715" s="17" t="n"/>
      <c r="DC715" s="16" t="n"/>
      <c r="DD715" s="20" t="n"/>
      <c r="DE715" s="20" t="inlineStr">
        <is>
          <t>None</t>
        </is>
      </c>
      <c r="DF715" s="17" t="n"/>
      <c r="DG715" s="16" t="n"/>
      <c r="DH715" s="20" t="inlineStr">
        <is>
          <t>SOP 45-09</t>
        </is>
      </c>
      <c r="DI715" s="20" t="inlineStr">
        <is>
          <t>None</t>
        </is>
      </c>
      <c r="DJ715" s="17" t="n"/>
      <c r="DK715" s="16" t="n"/>
      <c r="DL715" s="20" t="inlineStr">
        <is>
          <t>SOP 45-09 (SOP muss noch angepasst werden für VSS)</t>
        </is>
      </c>
      <c r="DM715" s="20" t="inlineStr">
        <is>
          <t>None</t>
        </is>
      </c>
      <c r="DN715" s="17" t="n"/>
      <c r="DO715" s="16" t="n"/>
      <c r="DP715" s="20" t="inlineStr">
        <is>
          <t>IC Organic Acids</t>
        </is>
      </c>
      <c r="DQ715" s="20" t="inlineStr">
        <is>
          <t>None</t>
        </is>
      </c>
      <c r="DR715" s="17" t="n"/>
      <c r="DS715" s="16" t="n"/>
      <c r="DT715" s="20" t="inlineStr">
        <is>
          <t>IC Organic Acids</t>
        </is>
      </c>
      <c r="DU715" s="20" t="inlineStr">
        <is>
          <t>None</t>
        </is>
      </c>
      <c r="DV715" s="17" t="n"/>
      <c r="DW715" s="16" t="n"/>
      <c r="DX715" s="20" t="inlineStr">
        <is>
          <t>IC Organic Acids</t>
        </is>
      </c>
      <c r="DY715" s="20" t="inlineStr">
        <is>
          <t>None</t>
        </is>
      </c>
      <c r="DZ715" s="17" t="n"/>
      <c r="EA715" s="16" t="n"/>
      <c r="EB715" s="20" t="inlineStr">
        <is>
          <t>IC Organic Acids</t>
        </is>
      </c>
      <c r="EC715" s="20" t="inlineStr">
        <is>
          <t>None</t>
        </is>
      </c>
      <c r="ED715" s="17" t="n"/>
      <c r="EE715" s="16" t="n"/>
      <c r="EF715" s="20" t="inlineStr">
        <is>
          <t>IC Organic Acids</t>
        </is>
      </c>
      <c r="EG715" s="20" t="inlineStr">
        <is>
          <t>None</t>
        </is>
      </c>
      <c r="EH715" s="17" t="n"/>
      <c r="EI715" s="16" t="n"/>
      <c r="EJ715" s="20" t="inlineStr">
        <is>
          <t>IC Organic Acids</t>
        </is>
      </c>
      <c r="EK715" s="20" t="inlineStr">
        <is>
          <t>None</t>
        </is>
      </c>
      <c r="EL715" s="17" t="n"/>
      <c r="EM715" s="16" t="n"/>
      <c r="EN715" s="20" t="inlineStr">
        <is>
          <t>IC Organic Acids</t>
        </is>
      </c>
      <c r="EO715" s="20" t="inlineStr">
        <is>
          <t>None</t>
        </is>
      </c>
      <c r="EP715" s="17" t="n"/>
      <c r="EQ715" s="16" t="n"/>
      <c r="ER715" s="20" t="inlineStr">
        <is>
          <t>IC Organic Acids</t>
        </is>
      </c>
      <c r="ES715" s="20" t="inlineStr">
        <is>
          <t>None</t>
        </is>
      </c>
      <c r="ET715" s="17" t="n"/>
      <c r="EU715" s="16" t="n"/>
      <c r="EV715" s="20" t="inlineStr">
        <is>
          <t>LC-MS</t>
        </is>
      </c>
      <c r="EW715" s="20" t="inlineStr">
        <is>
          <t>None</t>
        </is>
      </c>
      <c r="EX715" s="17" t="n"/>
      <c r="EY715" s="21" t="n"/>
      <c r="EZ715">
        <f>CONCATENATE(A715,B715)</f>
        <v/>
      </c>
      <c r="FA715">
        <f>CONCATENATE(SamplesX!A715,SamplesX!B715)</f>
        <v/>
      </c>
      <c r="FC715">
        <f>MATCH(EZ715,FA1:FA1008,0)</f>
        <v/>
      </c>
    </row>
    <row r="716">
      <c r="A716" s="16" t="n"/>
      <c r="B716" s="17" t="n"/>
      <c r="C716" s="10">
        <f>IF(ISNUMBER(FC716),INDIRECT("SamplesX!C"&amp;FC716),IF(ISNUMBER(FD716),INDIRECT("SamplesY!C"&amp;FD716),""))</f>
        <v/>
      </c>
      <c r="D716" s="12">
        <f>IF(ISNUMBER(FC716),INDIRECT("SamplesX!D"&amp;FC716),IF(ISNUMBER(FD716),INDIRECT("SamplesY!D"&amp;FD716),""))</f>
        <v/>
      </c>
      <c r="E716" s="12">
        <f>IF(ISNUMBER(FC716),INDIRECT("SamplesX!E"&amp;FC716),IF(ISNUMBER(FD716),INDIRECT("SamplesY!E"&amp;FD716),""))</f>
        <v/>
      </c>
      <c r="F716" s="11">
        <f>IF(ISNUMBER(FC716),INDIRECT("SamplesX!F"&amp;FC716),IF(ISNUMBER(FD716),INDIRECT("SamplesY!F"&amp;FD716),""))</f>
        <v/>
      </c>
      <c r="G716" s="18">
        <f>IF(ISNUMBER(FC716),INDIRECT("SamplesX!G"&amp;FC716),IF(ISNUMBER(FD716),INDIRECT("SamplesY!G"&amp;FD716),""))</f>
        <v/>
      </c>
      <c r="H716" s="19">
        <f>IF(ISNUMBER(FC716),INDIRECT("SamplesX!H"&amp;FC716),IF(ISNUMBER(FD716),INDIRECT("SamplesY!H"&amp;FD716),""))</f>
        <v/>
      </c>
      <c r="I716" s="16" t="n"/>
      <c r="J716" s="16" t="n"/>
      <c r="K716" s="16" t="n"/>
      <c r="L716" s="20" t="n"/>
      <c r="M716" s="20" t="inlineStr">
        <is>
          <t>None</t>
        </is>
      </c>
      <c r="N716" s="17" t="n"/>
      <c r="O716" s="16" t="n"/>
      <c r="P716" s="20" t="inlineStr">
        <is>
          <t>Shimadzu TOC-L</t>
        </is>
      </c>
      <c r="Q716" s="20" t="inlineStr">
        <is>
          <t>None</t>
        </is>
      </c>
      <c r="R716" s="17" t="n"/>
      <c r="S716" s="16" t="n"/>
      <c r="T716" s="20" t="inlineStr">
        <is>
          <t>Shimadzu TOC-L</t>
        </is>
      </c>
      <c r="U716" s="20" t="inlineStr">
        <is>
          <t>None</t>
        </is>
      </c>
      <c r="V716" s="17" t="n"/>
      <c r="W716" s="16" t="n"/>
      <c r="X716" s="20" t="n"/>
      <c r="Y716" s="20" t="inlineStr">
        <is>
          <t>None</t>
        </is>
      </c>
      <c r="Z716" s="17" t="n"/>
      <c r="AA716" s="16" t="n"/>
      <c r="AB716" s="20" t="n"/>
      <c r="AC716" s="20" t="inlineStr">
        <is>
          <t>None</t>
        </is>
      </c>
      <c r="AD716" s="17" t="n"/>
      <c r="AE716" s="16" t="n"/>
      <c r="AF716" s="20" t="inlineStr">
        <is>
          <t>IC Anionen</t>
        </is>
      </c>
      <c r="AG716" s="20" t="inlineStr">
        <is>
          <t>None</t>
        </is>
      </c>
      <c r="AH716" s="17" t="n"/>
      <c r="AI716" s="16" t="n"/>
      <c r="AJ716" s="20" t="n"/>
      <c r="AK716" s="20" t="inlineStr">
        <is>
          <t>None</t>
        </is>
      </c>
      <c r="AL716" s="17" t="n"/>
      <c r="AM716" s="16" t="n"/>
      <c r="AN716" s="20" t="inlineStr">
        <is>
          <t>IC Anionen</t>
        </is>
      </c>
      <c r="AO716" s="20" t="inlineStr">
        <is>
          <t>None</t>
        </is>
      </c>
      <c r="AP716" s="17" t="n"/>
      <c r="AQ716" s="16" t="n"/>
      <c r="AR716" s="20" t="n"/>
      <c r="AS716" s="20" t="inlineStr">
        <is>
          <t>None</t>
        </is>
      </c>
      <c r="AT716" s="17" t="n"/>
      <c r="AU716" s="16" t="n"/>
      <c r="AV716" s="20" t="n"/>
      <c r="AW716" s="20" t="inlineStr">
        <is>
          <t>None</t>
        </is>
      </c>
      <c r="AX716" s="17" t="n"/>
      <c r="AY716" s="16" t="n"/>
      <c r="AZ716" s="20" t="inlineStr">
        <is>
          <t>IC Anionen</t>
        </is>
      </c>
      <c r="BA716" s="20" t="inlineStr">
        <is>
          <t>None</t>
        </is>
      </c>
      <c r="BB716" s="17" t="n"/>
      <c r="BC716" s="16" t="n"/>
      <c r="BD716" s="20" t="inlineStr">
        <is>
          <t>IC Kationen</t>
        </is>
      </c>
      <c r="BE716" s="20" t="inlineStr">
        <is>
          <t>None</t>
        </is>
      </c>
      <c r="BF716" s="17" t="n"/>
      <c r="BG716" s="16" t="n"/>
      <c r="BH716" s="20" t="inlineStr">
        <is>
          <t>IC Kationen</t>
        </is>
      </c>
      <c r="BI716" s="20" t="inlineStr">
        <is>
          <t>None</t>
        </is>
      </c>
      <c r="BJ716" s="17" t="n"/>
      <c r="BK716" s="16" t="n"/>
      <c r="BL716" s="20" t="inlineStr">
        <is>
          <t>IC Kationen</t>
        </is>
      </c>
      <c r="BM716" s="20" t="inlineStr">
        <is>
          <t>None</t>
        </is>
      </c>
      <c r="BN716" s="17" t="n"/>
      <c r="BO716" s="16" t="n"/>
      <c r="BP716" s="20" t="inlineStr">
        <is>
          <t>IC Kationen</t>
        </is>
      </c>
      <c r="BQ716" s="20" t="inlineStr">
        <is>
          <t>None</t>
        </is>
      </c>
      <c r="BR716" s="17" t="n"/>
      <c r="BS716" s="16" t="n"/>
      <c r="BT716" s="20" t="inlineStr">
        <is>
          <t>IC Kationen</t>
        </is>
      </c>
      <c r="BU716" s="20" t="inlineStr">
        <is>
          <t>None</t>
        </is>
      </c>
      <c r="BV716" s="17" t="n"/>
      <c r="BW716" s="16" t="n"/>
      <c r="BX716" s="20" t="n"/>
      <c r="BY716" s="20" t="inlineStr">
        <is>
          <t>None</t>
        </is>
      </c>
      <c r="BZ716" s="17" t="n"/>
      <c r="CA716" s="16" t="n"/>
      <c r="CB716" s="20" t="n"/>
      <c r="CC716" s="20" t="inlineStr">
        <is>
          <t>None</t>
        </is>
      </c>
      <c r="CD716" s="17" t="n"/>
      <c r="CE716" s="16" t="n"/>
      <c r="CF716" s="20" t="n"/>
      <c r="CG716" s="20" t="inlineStr">
        <is>
          <t>None</t>
        </is>
      </c>
      <c r="CH716" s="17" t="n"/>
      <c r="CI716" s="16" t="n"/>
      <c r="CJ716" s="20" t="n"/>
      <c r="CK716" s="20" t="inlineStr">
        <is>
          <t>None</t>
        </is>
      </c>
      <c r="CL716" s="17" t="n"/>
      <c r="CM716" s="16" t="n"/>
      <c r="CN716" s="20" t="inlineStr">
        <is>
          <t>SOP 45-34</t>
        </is>
      </c>
      <c r="CO716" s="20" t="inlineStr">
        <is>
          <t>None</t>
        </is>
      </c>
      <c r="CP716" s="17" t="n"/>
      <c r="CQ716" s="16" t="n"/>
      <c r="CR716" s="20" t="n"/>
      <c r="CS716" s="20" t="inlineStr">
        <is>
          <t>None</t>
        </is>
      </c>
      <c r="CT716" s="17" t="n"/>
      <c r="CU716" s="16" t="n"/>
      <c r="CV716" s="20" t="n"/>
      <c r="CW716" s="20" t="inlineStr">
        <is>
          <t>None</t>
        </is>
      </c>
      <c r="CX716" s="17" t="n"/>
      <c r="CY716" s="16" t="n"/>
      <c r="CZ716" s="20" t="inlineStr">
        <is>
          <t>WTW Multimeter 3430 with FDO 925</t>
        </is>
      </c>
      <c r="DA716" s="20" t="inlineStr">
        <is>
          <t>None</t>
        </is>
      </c>
      <c r="DB716" s="17" t="n"/>
      <c r="DC716" s="16" t="n"/>
      <c r="DD716" s="20" t="n"/>
      <c r="DE716" s="20" t="inlineStr">
        <is>
          <t>None</t>
        </is>
      </c>
      <c r="DF716" s="17" t="n"/>
      <c r="DG716" s="16" t="n"/>
      <c r="DH716" s="20" t="inlineStr">
        <is>
          <t>SOP 45-09</t>
        </is>
      </c>
      <c r="DI716" s="20" t="inlineStr">
        <is>
          <t>None</t>
        </is>
      </c>
      <c r="DJ716" s="17" t="n"/>
      <c r="DK716" s="16" t="n"/>
      <c r="DL716" s="20" t="inlineStr">
        <is>
          <t>SOP 45-09 (SOP muss noch angepasst werden für VSS)</t>
        </is>
      </c>
      <c r="DM716" s="20" t="inlineStr">
        <is>
          <t>None</t>
        </is>
      </c>
      <c r="DN716" s="17" t="n"/>
      <c r="DO716" s="16" t="n"/>
      <c r="DP716" s="20" t="inlineStr">
        <is>
          <t>IC Organic Acids</t>
        </is>
      </c>
      <c r="DQ716" s="20" t="inlineStr">
        <is>
          <t>None</t>
        </is>
      </c>
      <c r="DR716" s="17" t="n"/>
      <c r="DS716" s="16" t="n"/>
      <c r="DT716" s="20" t="inlineStr">
        <is>
          <t>IC Organic Acids</t>
        </is>
      </c>
      <c r="DU716" s="20" t="inlineStr">
        <is>
          <t>None</t>
        </is>
      </c>
      <c r="DV716" s="17" t="n"/>
      <c r="DW716" s="16" t="n"/>
      <c r="DX716" s="20" t="inlineStr">
        <is>
          <t>IC Organic Acids</t>
        </is>
      </c>
      <c r="DY716" s="20" t="inlineStr">
        <is>
          <t>None</t>
        </is>
      </c>
      <c r="DZ716" s="17" t="n"/>
      <c r="EA716" s="16" t="n"/>
      <c r="EB716" s="20" t="inlineStr">
        <is>
          <t>IC Organic Acids</t>
        </is>
      </c>
      <c r="EC716" s="20" t="inlineStr">
        <is>
          <t>None</t>
        </is>
      </c>
      <c r="ED716" s="17" t="n"/>
      <c r="EE716" s="16" t="n"/>
      <c r="EF716" s="20" t="inlineStr">
        <is>
          <t>IC Organic Acids</t>
        </is>
      </c>
      <c r="EG716" s="20" t="inlineStr">
        <is>
          <t>None</t>
        </is>
      </c>
      <c r="EH716" s="17" t="n"/>
      <c r="EI716" s="16" t="n"/>
      <c r="EJ716" s="20" t="inlineStr">
        <is>
          <t>IC Organic Acids</t>
        </is>
      </c>
      <c r="EK716" s="20" t="inlineStr">
        <is>
          <t>None</t>
        </is>
      </c>
      <c r="EL716" s="17" t="n"/>
      <c r="EM716" s="16" t="n"/>
      <c r="EN716" s="20" t="inlineStr">
        <is>
          <t>IC Organic Acids</t>
        </is>
      </c>
      <c r="EO716" s="20" t="inlineStr">
        <is>
          <t>None</t>
        </is>
      </c>
      <c r="EP716" s="17" t="n"/>
      <c r="EQ716" s="16" t="n"/>
      <c r="ER716" s="20" t="inlineStr">
        <is>
          <t>IC Organic Acids</t>
        </is>
      </c>
      <c r="ES716" s="20" t="inlineStr">
        <is>
          <t>None</t>
        </is>
      </c>
      <c r="ET716" s="17" t="n"/>
      <c r="EU716" s="16" t="n"/>
      <c r="EV716" s="20" t="inlineStr">
        <is>
          <t>LC-MS</t>
        </is>
      </c>
      <c r="EW716" s="20" t="inlineStr">
        <is>
          <t>None</t>
        </is>
      </c>
      <c r="EX716" s="17" t="n"/>
      <c r="EY716" s="21" t="n"/>
      <c r="EZ716">
        <f>CONCATENATE(A716,B716)</f>
        <v/>
      </c>
      <c r="FA716">
        <f>CONCATENATE(SamplesX!A716,SamplesX!B716)</f>
        <v/>
      </c>
      <c r="FC716">
        <f>MATCH(EZ716,FA1:FA1008,0)</f>
        <v/>
      </c>
    </row>
    <row r="717">
      <c r="A717" s="16" t="n"/>
      <c r="B717" s="17" t="n"/>
      <c r="C717" s="10">
        <f>IF(ISNUMBER(FC717),INDIRECT("SamplesX!C"&amp;FC717),IF(ISNUMBER(FD717),INDIRECT("SamplesY!C"&amp;FD717),""))</f>
        <v/>
      </c>
      <c r="D717" s="12">
        <f>IF(ISNUMBER(FC717),INDIRECT("SamplesX!D"&amp;FC717),IF(ISNUMBER(FD717),INDIRECT("SamplesY!D"&amp;FD717),""))</f>
        <v/>
      </c>
      <c r="E717" s="12">
        <f>IF(ISNUMBER(FC717),INDIRECT("SamplesX!E"&amp;FC717),IF(ISNUMBER(FD717),INDIRECT("SamplesY!E"&amp;FD717),""))</f>
        <v/>
      </c>
      <c r="F717" s="11">
        <f>IF(ISNUMBER(FC717),INDIRECT("SamplesX!F"&amp;FC717),IF(ISNUMBER(FD717),INDIRECT("SamplesY!F"&amp;FD717),""))</f>
        <v/>
      </c>
      <c r="G717" s="18">
        <f>IF(ISNUMBER(FC717),INDIRECT("SamplesX!G"&amp;FC717),IF(ISNUMBER(FD717),INDIRECT("SamplesY!G"&amp;FD717),""))</f>
        <v/>
      </c>
      <c r="H717" s="19">
        <f>IF(ISNUMBER(FC717),INDIRECT("SamplesX!H"&amp;FC717),IF(ISNUMBER(FD717),INDIRECT("SamplesY!H"&amp;FD717),""))</f>
        <v/>
      </c>
      <c r="I717" s="16" t="n"/>
      <c r="J717" s="16" t="n"/>
      <c r="K717" s="16" t="n"/>
      <c r="L717" s="20" t="n"/>
      <c r="M717" s="20" t="inlineStr">
        <is>
          <t>None</t>
        </is>
      </c>
      <c r="N717" s="17" t="n"/>
      <c r="O717" s="16" t="n"/>
      <c r="P717" s="20" t="inlineStr">
        <is>
          <t>Shimadzu TOC-L</t>
        </is>
      </c>
      <c r="Q717" s="20" t="inlineStr">
        <is>
          <t>None</t>
        </is>
      </c>
      <c r="R717" s="17" t="n"/>
      <c r="S717" s="16" t="n"/>
      <c r="T717" s="20" t="inlineStr">
        <is>
          <t>Shimadzu TOC-L</t>
        </is>
      </c>
      <c r="U717" s="20" t="inlineStr">
        <is>
          <t>None</t>
        </is>
      </c>
      <c r="V717" s="17" t="n"/>
      <c r="W717" s="16" t="n"/>
      <c r="X717" s="20" t="n"/>
      <c r="Y717" s="20" t="inlineStr">
        <is>
          <t>None</t>
        </is>
      </c>
      <c r="Z717" s="17" t="n"/>
      <c r="AA717" s="16" t="n"/>
      <c r="AB717" s="20" t="n"/>
      <c r="AC717" s="20" t="inlineStr">
        <is>
          <t>None</t>
        </is>
      </c>
      <c r="AD717" s="17" t="n"/>
      <c r="AE717" s="16" t="n"/>
      <c r="AF717" s="20" t="inlineStr">
        <is>
          <t>IC Anionen</t>
        </is>
      </c>
      <c r="AG717" s="20" t="inlineStr">
        <is>
          <t>None</t>
        </is>
      </c>
      <c r="AH717" s="17" t="n"/>
      <c r="AI717" s="16" t="n"/>
      <c r="AJ717" s="20" t="n"/>
      <c r="AK717" s="20" t="inlineStr">
        <is>
          <t>None</t>
        </is>
      </c>
      <c r="AL717" s="17" t="n"/>
      <c r="AM717" s="16" t="n"/>
      <c r="AN717" s="20" t="inlineStr">
        <is>
          <t>IC Anionen</t>
        </is>
      </c>
      <c r="AO717" s="20" t="inlineStr">
        <is>
          <t>None</t>
        </is>
      </c>
      <c r="AP717" s="17" t="n"/>
      <c r="AQ717" s="16" t="n"/>
      <c r="AR717" s="20" t="n"/>
      <c r="AS717" s="20" t="inlineStr">
        <is>
          <t>None</t>
        </is>
      </c>
      <c r="AT717" s="17" t="n"/>
      <c r="AU717" s="16" t="n"/>
      <c r="AV717" s="20" t="n"/>
      <c r="AW717" s="20" t="inlineStr">
        <is>
          <t>None</t>
        </is>
      </c>
      <c r="AX717" s="17" t="n"/>
      <c r="AY717" s="16" t="n"/>
      <c r="AZ717" s="20" t="inlineStr">
        <is>
          <t>IC Anionen</t>
        </is>
      </c>
      <c r="BA717" s="20" t="inlineStr">
        <is>
          <t>None</t>
        </is>
      </c>
      <c r="BB717" s="17" t="n"/>
      <c r="BC717" s="16" t="n"/>
      <c r="BD717" s="20" t="inlineStr">
        <is>
          <t>IC Kationen</t>
        </is>
      </c>
      <c r="BE717" s="20" t="inlineStr">
        <is>
          <t>None</t>
        </is>
      </c>
      <c r="BF717" s="17" t="n"/>
      <c r="BG717" s="16" t="n"/>
      <c r="BH717" s="20" t="inlineStr">
        <is>
          <t>IC Kationen</t>
        </is>
      </c>
      <c r="BI717" s="20" t="inlineStr">
        <is>
          <t>None</t>
        </is>
      </c>
      <c r="BJ717" s="17" t="n"/>
      <c r="BK717" s="16" t="n"/>
      <c r="BL717" s="20" t="inlineStr">
        <is>
          <t>IC Kationen</t>
        </is>
      </c>
      <c r="BM717" s="20" t="inlineStr">
        <is>
          <t>None</t>
        </is>
      </c>
      <c r="BN717" s="17" t="n"/>
      <c r="BO717" s="16" t="n"/>
      <c r="BP717" s="20" t="inlineStr">
        <is>
          <t>IC Kationen</t>
        </is>
      </c>
      <c r="BQ717" s="20" t="inlineStr">
        <is>
          <t>None</t>
        </is>
      </c>
      <c r="BR717" s="17" t="n"/>
      <c r="BS717" s="16" t="n"/>
      <c r="BT717" s="20" t="inlineStr">
        <is>
          <t>IC Kationen</t>
        </is>
      </c>
      <c r="BU717" s="20" t="inlineStr">
        <is>
          <t>None</t>
        </is>
      </c>
      <c r="BV717" s="17" t="n"/>
      <c r="BW717" s="16" t="n"/>
      <c r="BX717" s="20" t="n"/>
      <c r="BY717" s="20" t="inlineStr">
        <is>
          <t>None</t>
        </is>
      </c>
      <c r="BZ717" s="17" t="n"/>
      <c r="CA717" s="16" t="n"/>
      <c r="CB717" s="20" t="n"/>
      <c r="CC717" s="20" t="inlineStr">
        <is>
          <t>None</t>
        </is>
      </c>
      <c r="CD717" s="17" t="n"/>
      <c r="CE717" s="16" t="n"/>
      <c r="CF717" s="20" t="n"/>
      <c r="CG717" s="20" t="inlineStr">
        <is>
          <t>None</t>
        </is>
      </c>
      <c r="CH717" s="17" t="n"/>
      <c r="CI717" s="16" t="n"/>
      <c r="CJ717" s="20" t="n"/>
      <c r="CK717" s="20" t="inlineStr">
        <is>
          <t>None</t>
        </is>
      </c>
      <c r="CL717" s="17" t="n"/>
      <c r="CM717" s="16" t="n"/>
      <c r="CN717" s="20" t="inlineStr">
        <is>
          <t>SOP 45-34</t>
        </is>
      </c>
      <c r="CO717" s="20" t="inlineStr">
        <is>
          <t>None</t>
        </is>
      </c>
      <c r="CP717" s="17" t="n"/>
      <c r="CQ717" s="16" t="n"/>
      <c r="CR717" s="20" t="n"/>
      <c r="CS717" s="20" t="inlineStr">
        <is>
          <t>None</t>
        </is>
      </c>
      <c r="CT717" s="17" t="n"/>
      <c r="CU717" s="16" t="n"/>
      <c r="CV717" s="20" t="n"/>
      <c r="CW717" s="20" t="inlineStr">
        <is>
          <t>None</t>
        </is>
      </c>
      <c r="CX717" s="17" t="n"/>
      <c r="CY717" s="16" t="n"/>
      <c r="CZ717" s="20" t="inlineStr">
        <is>
          <t>WTW Multimeter 3430 with FDO 925</t>
        </is>
      </c>
      <c r="DA717" s="20" t="inlineStr">
        <is>
          <t>None</t>
        </is>
      </c>
      <c r="DB717" s="17" t="n"/>
      <c r="DC717" s="16" t="n"/>
      <c r="DD717" s="20" t="n"/>
      <c r="DE717" s="20" t="inlineStr">
        <is>
          <t>None</t>
        </is>
      </c>
      <c r="DF717" s="17" t="n"/>
      <c r="DG717" s="16" t="n"/>
      <c r="DH717" s="20" t="inlineStr">
        <is>
          <t>SOP 45-09</t>
        </is>
      </c>
      <c r="DI717" s="20" t="inlineStr">
        <is>
          <t>None</t>
        </is>
      </c>
      <c r="DJ717" s="17" t="n"/>
      <c r="DK717" s="16" t="n"/>
      <c r="DL717" s="20" t="inlineStr">
        <is>
          <t>SOP 45-09 (SOP muss noch angepasst werden für VSS)</t>
        </is>
      </c>
      <c r="DM717" s="20" t="inlineStr">
        <is>
          <t>None</t>
        </is>
      </c>
      <c r="DN717" s="17" t="n"/>
      <c r="DO717" s="16" t="n"/>
      <c r="DP717" s="20" t="inlineStr">
        <is>
          <t>IC Organic Acids</t>
        </is>
      </c>
      <c r="DQ717" s="20" t="inlineStr">
        <is>
          <t>None</t>
        </is>
      </c>
      <c r="DR717" s="17" t="n"/>
      <c r="DS717" s="16" t="n"/>
      <c r="DT717" s="20" t="inlineStr">
        <is>
          <t>IC Organic Acids</t>
        </is>
      </c>
      <c r="DU717" s="20" t="inlineStr">
        <is>
          <t>None</t>
        </is>
      </c>
      <c r="DV717" s="17" t="n"/>
      <c r="DW717" s="16" t="n"/>
      <c r="DX717" s="20" t="inlineStr">
        <is>
          <t>IC Organic Acids</t>
        </is>
      </c>
      <c r="DY717" s="20" t="inlineStr">
        <is>
          <t>None</t>
        </is>
      </c>
      <c r="DZ717" s="17" t="n"/>
      <c r="EA717" s="16" t="n"/>
      <c r="EB717" s="20" t="inlineStr">
        <is>
          <t>IC Organic Acids</t>
        </is>
      </c>
      <c r="EC717" s="20" t="inlineStr">
        <is>
          <t>None</t>
        </is>
      </c>
      <c r="ED717" s="17" t="n"/>
      <c r="EE717" s="16" t="n"/>
      <c r="EF717" s="20" t="inlineStr">
        <is>
          <t>IC Organic Acids</t>
        </is>
      </c>
      <c r="EG717" s="20" t="inlineStr">
        <is>
          <t>None</t>
        </is>
      </c>
      <c r="EH717" s="17" t="n"/>
      <c r="EI717" s="16" t="n"/>
      <c r="EJ717" s="20" t="inlineStr">
        <is>
          <t>IC Organic Acids</t>
        </is>
      </c>
      <c r="EK717" s="20" t="inlineStr">
        <is>
          <t>None</t>
        </is>
      </c>
      <c r="EL717" s="17" t="n"/>
      <c r="EM717" s="16" t="n"/>
      <c r="EN717" s="20" t="inlineStr">
        <is>
          <t>IC Organic Acids</t>
        </is>
      </c>
      <c r="EO717" s="20" t="inlineStr">
        <is>
          <t>None</t>
        </is>
      </c>
      <c r="EP717" s="17" t="n"/>
      <c r="EQ717" s="16" t="n"/>
      <c r="ER717" s="20" t="inlineStr">
        <is>
          <t>IC Organic Acids</t>
        </is>
      </c>
      <c r="ES717" s="20" t="inlineStr">
        <is>
          <t>None</t>
        </is>
      </c>
      <c r="ET717" s="17" t="n"/>
      <c r="EU717" s="16" t="n"/>
      <c r="EV717" s="20" t="inlineStr">
        <is>
          <t>LC-MS</t>
        </is>
      </c>
      <c r="EW717" s="20" t="inlineStr">
        <is>
          <t>None</t>
        </is>
      </c>
      <c r="EX717" s="17" t="n"/>
      <c r="EY717" s="21" t="n"/>
      <c r="EZ717">
        <f>CONCATENATE(A717,B717)</f>
        <v/>
      </c>
      <c r="FA717">
        <f>CONCATENATE(SamplesX!A717,SamplesX!B717)</f>
        <v/>
      </c>
      <c r="FC717">
        <f>MATCH(EZ717,FA1:FA1008,0)</f>
        <v/>
      </c>
    </row>
    <row r="718">
      <c r="A718" s="16" t="n"/>
      <c r="B718" s="17" t="n"/>
      <c r="C718" s="10">
        <f>IF(ISNUMBER(FC718),INDIRECT("SamplesX!C"&amp;FC718),IF(ISNUMBER(FD718),INDIRECT("SamplesY!C"&amp;FD718),""))</f>
        <v/>
      </c>
      <c r="D718" s="12">
        <f>IF(ISNUMBER(FC718),INDIRECT("SamplesX!D"&amp;FC718),IF(ISNUMBER(FD718),INDIRECT("SamplesY!D"&amp;FD718),""))</f>
        <v/>
      </c>
      <c r="E718" s="12">
        <f>IF(ISNUMBER(FC718),INDIRECT("SamplesX!E"&amp;FC718),IF(ISNUMBER(FD718),INDIRECT("SamplesY!E"&amp;FD718),""))</f>
        <v/>
      </c>
      <c r="F718" s="11">
        <f>IF(ISNUMBER(FC718),INDIRECT("SamplesX!F"&amp;FC718),IF(ISNUMBER(FD718),INDIRECT("SamplesY!F"&amp;FD718),""))</f>
        <v/>
      </c>
      <c r="G718" s="18">
        <f>IF(ISNUMBER(FC718),INDIRECT("SamplesX!G"&amp;FC718),IF(ISNUMBER(FD718),INDIRECT("SamplesY!G"&amp;FD718),""))</f>
        <v/>
      </c>
      <c r="H718" s="19">
        <f>IF(ISNUMBER(FC718),INDIRECT("SamplesX!H"&amp;FC718),IF(ISNUMBER(FD718),INDIRECT("SamplesY!H"&amp;FD718),""))</f>
        <v/>
      </c>
      <c r="I718" s="16" t="n"/>
      <c r="J718" s="16" t="n"/>
      <c r="K718" s="16" t="n"/>
      <c r="L718" s="20" t="n"/>
      <c r="M718" s="20" t="inlineStr">
        <is>
          <t>None</t>
        </is>
      </c>
      <c r="N718" s="17" t="n"/>
      <c r="O718" s="16" t="n"/>
      <c r="P718" s="20" t="inlineStr">
        <is>
          <t>Shimadzu TOC-L</t>
        </is>
      </c>
      <c r="Q718" s="20" t="inlineStr">
        <is>
          <t>None</t>
        </is>
      </c>
      <c r="R718" s="17" t="n"/>
      <c r="S718" s="16" t="n"/>
      <c r="T718" s="20" t="inlineStr">
        <is>
          <t>Shimadzu TOC-L</t>
        </is>
      </c>
      <c r="U718" s="20" t="inlineStr">
        <is>
          <t>None</t>
        </is>
      </c>
      <c r="V718" s="17" t="n"/>
      <c r="W718" s="16" t="n"/>
      <c r="X718" s="20" t="n"/>
      <c r="Y718" s="20" t="inlineStr">
        <is>
          <t>None</t>
        </is>
      </c>
      <c r="Z718" s="17" t="n"/>
      <c r="AA718" s="16" t="n"/>
      <c r="AB718" s="20" t="n"/>
      <c r="AC718" s="20" t="inlineStr">
        <is>
          <t>None</t>
        </is>
      </c>
      <c r="AD718" s="17" t="n"/>
      <c r="AE718" s="16" t="n"/>
      <c r="AF718" s="20" t="inlineStr">
        <is>
          <t>IC Anionen</t>
        </is>
      </c>
      <c r="AG718" s="20" t="inlineStr">
        <is>
          <t>None</t>
        </is>
      </c>
      <c r="AH718" s="17" t="n"/>
      <c r="AI718" s="16" t="n"/>
      <c r="AJ718" s="20" t="n"/>
      <c r="AK718" s="20" t="inlineStr">
        <is>
          <t>None</t>
        </is>
      </c>
      <c r="AL718" s="17" t="n"/>
      <c r="AM718" s="16" t="n"/>
      <c r="AN718" s="20" t="inlineStr">
        <is>
          <t>IC Anionen</t>
        </is>
      </c>
      <c r="AO718" s="20" t="inlineStr">
        <is>
          <t>None</t>
        </is>
      </c>
      <c r="AP718" s="17" t="n"/>
      <c r="AQ718" s="16" t="n"/>
      <c r="AR718" s="20" t="n"/>
      <c r="AS718" s="20" t="inlineStr">
        <is>
          <t>None</t>
        </is>
      </c>
      <c r="AT718" s="17" t="n"/>
      <c r="AU718" s="16" t="n"/>
      <c r="AV718" s="20" t="n"/>
      <c r="AW718" s="20" t="inlineStr">
        <is>
          <t>None</t>
        </is>
      </c>
      <c r="AX718" s="17" t="n"/>
      <c r="AY718" s="16" t="n"/>
      <c r="AZ718" s="20" t="inlineStr">
        <is>
          <t>IC Anionen</t>
        </is>
      </c>
      <c r="BA718" s="20" t="inlineStr">
        <is>
          <t>None</t>
        </is>
      </c>
      <c r="BB718" s="17" t="n"/>
      <c r="BC718" s="16" t="n"/>
      <c r="BD718" s="20" t="inlineStr">
        <is>
          <t>IC Kationen</t>
        </is>
      </c>
      <c r="BE718" s="20" t="inlineStr">
        <is>
          <t>None</t>
        </is>
      </c>
      <c r="BF718" s="17" t="n"/>
      <c r="BG718" s="16" t="n"/>
      <c r="BH718" s="20" t="inlineStr">
        <is>
          <t>IC Kationen</t>
        </is>
      </c>
      <c r="BI718" s="20" t="inlineStr">
        <is>
          <t>None</t>
        </is>
      </c>
      <c r="BJ718" s="17" t="n"/>
      <c r="BK718" s="16" t="n"/>
      <c r="BL718" s="20" t="inlineStr">
        <is>
          <t>IC Kationen</t>
        </is>
      </c>
      <c r="BM718" s="20" t="inlineStr">
        <is>
          <t>None</t>
        </is>
      </c>
      <c r="BN718" s="17" t="n"/>
      <c r="BO718" s="16" t="n"/>
      <c r="BP718" s="20" t="inlineStr">
        <is>
          <t>IC Kationen</t>
        </is>
      </c>
      <c r="BQ718" s="20" t="inlineStr">
        <is>
          <t>None</t>
        </is>
      </c>
      <c r="BR718" s="17" t="n"/>
      <c r="BS718" s="16" t="n"/>
      <c r="BT718" s="20" t="inlineStr">
        <is>
          <t>IC Kationen</t>
        </is>
      </c>
      <c r="BU718" s="20" t="inlineStr">
        <is>
          <t>None</t>
        </is>
      </c>
      <c r="BV718" s="17" t="n"/>
      <c r="BW718" s="16" t="n"/>
      <c r="BX718" s="20" t="n"/>
      <c r="BY718" s="20" t="inlineStr">
        <is>
          <t>None</t>
        </is>
      </c>
      <c r="BZ718" s="17" t="n"/>
      <c r="CA718" s="16" t="n"/>
      <c r="CB718" s="20" t="n"/>
      <c r="CC718" s="20" t="inlineStr">
        <is>
          <t>None</t>
        </is>
      </c>
      <c r="CD718" s="17" t="n"/>
      <c r="CE718" s="16" t="n"/>
      <c r="CF718" s="20" t="n"/>
      <c r="CG718" s="20" t="inlineStr">
        <is>
          <t>None</t>
        </is>
      </c>
      <c r="CH718" s="17" t="n"/>
      <c r="CI718" s="16" t="n"/>
      <c r="CJ718" s="20" t="n"/>
      <c r="CK718" s="20" t="inlineStr">
        <is>
          <t>None</t>
        </is>
      </c>
      <c r="CL718" s="17" t="n"/>
      <c r="CM718" s="16" t="n"/>
      <c r="CN718" s="20" t="inlineStr">
        <is>
          <t>SOP 45-34</t>
        </is>
      </c>
      <c r="CO718" s="20" t="inlineStr">
        <is>
          <t>None</t>
        </is>
      </c>
      <c r="CP718" s="17" t="n"/>
      <c r="CQ718" s="16" t="n"/>
      <c r="CR718" s="20" t="n"/>
      <c r="CS718" s="20" t="inlineStr">
        <is>
          <t>None</t>
        </is>
      </c>
      <c r="CT718" s="17" t="n"/>
      <c r="CU718" s="16" t="n"/>
      <c r="CV718" s="20" t="n"/>
      <c r="CW718" s="20" t="inlineStr">
        <is>
          <t>None</t>
        </is>
      </c>
      <c r="CX718" s="17" t="n"/>
      <c r="CY718" s="16" t="n"/>
      <c r="CZ718" s="20" t="inlineStr">
        <is>
          <t>WTW Multimeter 3430 with FDO 925</t>
        </is>
      </c>
      <c r="DA718" s="20" t="inlineStr">
        <is>
          <t>None</t>
        </is>
      </c>
      <c r="DB718" s="17" t="n"/>
      <c r="DC718" s="16" t="n"/>
      <c r="DD718" s="20" t="n"/>
      <c r="DE718" s="20" t="inlineStr">
        <is>
          <t>None</t>
        </is>
      </c>
      <c r="DF718" s="17" t="n"/>
      <c r="DG718" s="16" t="n"/>
      <c r="DH718" s="20" t="inlineStr">
        <is>
          <t>SOP 45-09</t>
        </is>
      </c>
      <c r="DI718" s="20" t="inlineStr">
        <is>
          <t>None</t>
        </is>
      </c>
      <c r="DJ718" s="17" t="n"/>
      <c r="DK718" s="16" t="n"/>
      <c r="DL718" s="20" t="inlineStr">
        <is>
          <t>SOP 45-09 (SOP muss noch angepasst werden für VSS)</t>
        </is>
      </c>
      <c r="DM718" s="20" t="inlineStr">
        <is>
          <t>None</t>
        </is>
      </c>
      <c r="DN718" s="17" t="n"/>
      <c r="DO718" s="16" t="n"/>
      <c r="DP718" s="20" t="inlineStr">
        <is>
          <t>IC Organic Acids</t>
        </is>
      </c>
      <c r="DQ718" s="20" t="inlineStr">
        <is>
          <t>None</t>
        </is>
      </c>
      <c r="DR718" s="17" t="n"/>
      <c r="DS718" s="16" t="n"/>
      <c r="DT718" s="20" t="inlineStr">
        <is>
          <t>IC Organic Acids</t>
        </is>
      </c>
      <c r="DU718" s="20" t="inlineStr">
        <is>
          <t>None</t>
        </is>
      </c>
      <c r="DV718" s="17" t="n"/>
      <c r="DW718" s="16" t="n"/>
      <c r="DX718" s="20" t="inlineStr">
        <is>
          <t>IC Organic Acids</t>
        </is>
      </c>
      <c r="DY718" s="20" t="inlineStr">
        <is>
          <t>None</t>
        </is>
      </c>
      <c r="DZ718" s="17" t="n"/>
      <c r="EA718" s="16" t="n"/>
      <c r="EB718" s="20" t="inlineStr">
        <is>
          <t>IC Organic Acids</t>
        </is>
      </c>
      <c r="EC718" s="20" t="inlineStr">
        <is>
          <t>None</t>
        </is>
      </c>
      <c r="ED718" s="17" t="n"/>
      <c r="EE718" s="16" t="n"/>
      <c r="EF718" s="20" t="inlineStr">
        <is>
          <t>IC Organic Acids</t>
        </is>
      </c>
      <c r="EG718" s="20" t="inlineStr">
        <is>
          <t>None</t>
        </is>
      </c>
      <c r="EH718" s="17" t="n"/>
      <c r="EI718" s="16" t="n"/>
      <c r="EJ718" s="20" t="inlineStr">
        <is>
          <t>IC Organic Acids</t>
        </is>
      </c>
      <c r="EK718" s="20" t="inlineStr">
        <is>
          <t>None</t>
        </is>
      </c>
      <c r="EL718" s="17" t="n"/>
      <c r="EM718" s="16" t="n"/>
      <c r="EN718" s="20" t="inlineStr">
        <is>
          <t>IC Organic Acids</t>
        </is>
      </c>
      <c r="EO718" s="20" t="inlineStr">
        <is>
          <t>None</t>
        </is>
      </c>
      <c r="EP718" s="17" t="n"/>
      <c r="EQ718" s="16" t="n"/>
      <c r="ER718" s="20" t="inlineStr">
        <is>
          <t>IC Organic Acids</t>
        </is>
      </c>
      <c r="ES718" s="20" t="inlineStr">
        <is>
          <t>None</t>
        </is>
      </c>
      <c r="ET718" s="17" t="n"/>
      <c r="EU718" s="16" t="n"/>
      <c r="EV718" s="20" t="inlineStr">
        <is>
          <t>LC-MS</t>
        </is>
      </c>
      <c r="EW718" s="20" t="inlineStr">
        <is>
          <t>None</t>
        </is>
      </c>
      <c r="EX718" s="17" t="n"/>
      <c r="EY718" s="21" t="n"/>
      <c r="EZ718">
        <f>CONCATENATE(A718,B718)</f>
        <v/>
      </c>
      <c r="FA718">
        <f>CONCATENATE(SamplesX!A718,SamplesX!B718)</f>
        <v/>
      </c>
      <c r="FC718">
        <f>MATCH(EZ718,FA1:FA1008,0)</f>
        <v/>
      </c>
    </row>
    <row r="719">
      <c r="A719" s="16" t="n"/>
      <c r="B719" s="17" t="n"/>
      <c r="C719" s="10">
        <f>IF(ISNUMBER(FC719),INDIRECT("SamplesX!C"&amp;FC719),IF(ISNUMBER(FD719),INDIRECT("SamplesY!C"&amp;FD719),""))</f>
        <v/>
      </c>
      <c r="D719" s="12">
        <f>IF(ISNUMBER(FC719),INDIRECT("SamplesX!D"&amp;FC719),IF(ISNUMBER(FD719),INDIRECT("SamplesY!D"&amp;FD719),""))</f>
        <v/>
      </c>
      <c r="E719" s="12">
        <f>IF(ISNUMBER(FC719),INDIRECT("SamplesX!E"&amp;FC719),IF(ISNUMBER(FD719),INDIRECT("SamplesY!E"&amp;FD719),""))</f>
        <v/>
      </c>
      <c r="F719" s="11">
        <f>IF(ISNUMBER(FC719),INDIRECT("SamplesX!F"&amp;FC719),IF(ISNUMBER(FD719),INDIRECT("SamplesY!F"&amp;FD719),""))</f>
        <v/>
      </c>
      <c r="G719" s="18">
        <f>IF(ISNUMBER(FC719),INDIRECT("SamplesX!G"&amp;FC719),IF(ISNUMBER(FD719),INDIRECT("SamplesY!G"&amp;FD719),""))</f>
        <v/>
      </c>
      <c r="H719" s="19">
        <f>IF(ISNUMBER(FC719),INDIRECT("SamplesX!H"&amp;FC719),IF(ISNUMBER(FD719),INDIRECT("SamplesY!H"&amp;FD719),""))</f>
        <v/>
      </c>
      <c r="I719" s="16" t="n"/>
      <c r="J719" s="16" t="n"/>
      <c r="K719" s="16" t="n"/>
      <c r="L719" s="20" t="n"/>
      <c r="M719" s="20" t="inlineStr">
        <is>
          <t>None</t>
        </is>
      </c>
      <c r="N719" s="17" t="n"/>
      <c r="O719" s="16" t="n"/>
      <c r="P719" s="20" t="inlineStr">
        <is>
          <t>Shimadzu TOC-L</t>
        </is>
      </c>
      <c r="Q719" s="20" t="inlineStr">
        <is>
          <t>None</t>
        </is>
      </c>
      <c r="R719" s="17" t="n"/>
      <c r="S719" s="16" t="n"/>
      <c r="T719" s="20" t="inlineStr">
        <is>
          <t>Shimadzu TOC-L</t>
        </is>
      </c>
      <c r="U719" s="20" t="inlineStr">
        <is>
          <t>None</t>
        </is>
      </c>
      <c r="V719" s="17" t="n"/>
      <c r="W719" s="16" t="n"/>
      <c r="X719" s="20" t="n"/>
      <c r="Y719" s="20" t="inlineStr">
        <is>
          <t>None</t>
        </is>
      </c>
      <c r="Z719" s="17" t="n"/>
      <c r="AA719" s="16" t="n"/>
      <c r="AB719" s="20" t="n"/>
      <c r="AC719" s="20" t="inlineStr">
        <is>
          <t>None</t>
        </is>
      </c>
      <c r="AD719" s="17" t="n"/>
      <c r="AE719" s="16" t="n"/>
      <c r="AF719" s="20" t="inlineStr">
        <is>
          <t>IC Anionen</t>
        </is>
      </c>
      <c r="AG719" s="20" t="inlineStr">
        <is>
          <t>None</t>
        </is>
      </c>
      <c r="AH719" s="17" t="n"/>
      <c r="AI719" s="16" t="n"/>
      <c r="AJ719" s="20" t="n"/>
      <c r="AK719" s="20" t="inlineStr">
        <is>
          <t>None</t>
        </is>
      </c>
      <c r="AL719" s="17" t="n"/>
      <c r="AM719" s="16" t="n"/>
      <c r="AN719" s="20" t="inlineStr">
        <is>
          <t>IC Anionen</t>
        </is>
      </c>
      <c r="AO719" s="20" t="inlineStr">
        <is>
          <t>None</t>
        </is>
      </c>
      <c r="AP719" s="17" t="n"/>
      <c r="AQ719" s="16" t="n"/>
      <c r="AR719" s="20" t="n"/>
      <c r="AS719" s="20" t="inlineStr">
        <is>
          <t>None</t>
        </is>
      </c>
      <c r="AT719" s="17" t="n"/>
      <c r="AU719" s="16" t="n"/>
      <c r="AV719" s="20" t="n"/>
      <c r="AW719" s="20" t="inlineStr">
        <is>
          <t>None</t>
        </is>
      </c>
      <c r="AX719" s="17" t="n"/>
      <c r="AY719" s="16" t="n"/>
      <c r="AZ719" s="20" t="inlineStr">
        <is>
          <t>IC Anionen</t>
        </is>
      </c>
      <c r="BA719" s="20" t="inlineStr">
        <is>
          <t>None</t>
        </is>
      </c>
      <c r="BB719" s="17" t="n"/>
      <c r="BC719" s="16" t="n"/>
      <c r="BD719" s="20" t="inlineStr">
        <is>
          <t>IC Kationen</t>
        </is>
      </c>
      <c r="BE719" s="20" t="inlineStr">
        <is>
          <t>None</t>
        </is>
      </c>
      <c r="BF719" s="17" t="n"/>
      <c r="BG719" s="16" t="n"/>
      <c r="BH719" s="20" t="inlineStr">
        <is>
          <t>IC Kationen</t>
        </is>
      </c>
      <c r="BI719" s="20" t="inlineStr">
        <is>
          <t>None</t>
        </is>
      </c>
      <c r="BJ719" s="17" t="n"/>
      <c r="BK719" s="16" t="n"/>
      <c r="BL719" s="20" t="inlineStr">
        <is>
          <t>IC Kationen</t>
        </is>
      </c>
      <c r="BM719" s="20" t="inlineStr">
        <is>
          <t>None</t>
        </is>
      </c>
      <c r="BN719" s="17" t="n"/>
      <c r="BO719" s="16" t="n"/>
      <c r="BP719" s="20" t="inlineStr">
        <is>
          <t>IC Kationen</t>
        </is>
      </c>
      <c r="BQ719" s="20" t="inlineStr">
        <is>
          <t>None</t>
        </is>
      </c>
      <c r="BR719" s="17" t="n"/>
      <c r="BS719" s="16" t="n"/>
      <c r="BT719" s="20" t="inlineStr">
        <is>
          <t>IC Kationen</t>
        </is>
      </c>
      <c r="BU719" s="20" t="inlineStr">
        <is>
          <t>None</t>
        </is>
      </c>
      <c r="BV719" s="17" t="n"/>
      <c r="BW719" s="16" t="n"/>
      <c r="BX719" s="20" t="n"/>
      <c r="BY719" s="20" t="inlineStr">
        <is>
          <t>None</t>
        </is>
      </c>
      <c r="BZ719" s="17" t="n"/>
      <c r="CA719" s="16" t="n"/>
      <c r="CB719" s="20" t="n"/>
      <c r="CC719" s="20" t="inlineStr">
        <is>
          <t>None</t>
        </is>
      </c>
      <c r="CD719" s="17" t="n"/>
      <c r="CE719" s="16" t="n"/>
      <c r="CF719" s="20" t="n"/>
      <c r="CG719" s="20" t="inlineStr">
        <is>
          <t>None</t>
        </is>
      </c>
      <c r="CH719" s="17" t="n"/>
      <c r="CI719" s="16" t="n"/>
      <c r="CJ719" s="20" t="n"/>
      <c r="CK719" s="20" t="inlineStr">
        <is>
          <t>None</t>
        </is>
      </c>
      <c r="CL719" s="17" t="n"/>
      <c r="CM719" s="16" t="n"/>
      <c r="CN719" s="20" t="inlineStr">
        <is>
          <t>SOP 45-34</t>
        </is>
      </c>
      <c r="CO719" s="20" t="inlineStr">
        <is>
          <t>None</t>
        </is>
      </c>
      <c r="CP719" s="17" t="n"/>
      <c r="CQ719" s="16" t="n"/>
      <c r="CR719" s="20" t="n"/>
      <c r="CS719" s="20" t="inlineStr">
        <is>
          <t>None</t>
        </is>
      </c>
      <c r="CT719" s="17" t="n"/>
      <c r="CU719" s="16" t="n"/>
      <c r="CV719" s="20" t="n"/>
      <c r="CW719" s="20" t="inlineStr">
        <is>
          <t>None</t>
        </is>
      </c>
      <c r="CX719" s="17" t="n"/>
      <c r="CY719" s="16" t="n"/>
      <c r="CZ719" s="20" t="inlineStr">
        <is>
          <t>WTW Multimeter 3430 with FDO 925</t>
        </is>
      </c>
      <c r="DA719" s="20" t="inlineStr">
        <is>
          <t>None</t>
        </is>
      </c>
      <c r="DB719" s="17" t="n"/>
      <c r="DC719" s="16" t="n"/>
      <c r="DD719" s="20" t="n"/>
      <c r="DE719" s="20" t="inlineStr">
        <is>
          <t>None</t>
        </is>
      </c>
      <c r="DF719" s="17" t="n"/>
      <c r="DG719" s="16" t="n"/>
      <c r="DH719" s="20" t="inlineStr">
        <is>
          <t>SOP 45-09</t>
        </is>
      </c>
      <c r="DI719" s="20" t="inlineStr">
        <is>
          <t>None</t>
        </is>
      </c>
      <c r="DJ719" s="17" t="n"/>
      <c r="DK719" s="16" t="n"/>
      <c r="DL719" s="20" t="inlineStr">
        <is>
          <t>SOP 45-09 (SOP muss noch angepasst werden für VSS)</t>
        </is>
      </c>
      <c r="DM719" s="20" t="inlineStr">
        <is>
          <t>None</t>
        </is>
      </c>
      <c r="DN719" s="17" t="n"/>
      <c r="DO719" s="16" t="n"/>
      <c r="DP719" s="20" t="inlineStr">
        <is>
          <t>IC Organic Acids</t>
        </is>
      </c>
      <c r="DQ719" s="20" t="inlineStr">
        <is>
          <t>None</t>
        </is>
      </c>
      <c r="DR719" s="17" t="n"/>
      <c r="DS719" s="16" t="n"/>
      <c r="DT719" s="20" t="inlineStr">
        <is>
          <t>IC Organic Acids</t>
        </is>
      </c>
      <c r="DU719" s="20" t="inlineStr">
        <is>
          <t>None</t>
        </is>
      </c>
      <c r="DV719" s="17" t="n"/>
      <c r="DW719" s="16" t="n"/>
      <c r="DX719" s="20" t="inlineStr">
        <is>
          <t>IC Organic Acids</t>
        </is>
      </c>
      <c r="DY719" s="20" t="inlineStr">
        <is>
          <t>None</t>
        </is>
      </c>
      <c r="DZ719" s="17" t="n"/>
      <c r="EA719" s="16" t="n"/>
      <c r="EB719" s="20" t="inlineStr">
        <is>
          <t>IC Organic Acids</t>
        </is>
      </c>
      <c r="EC719" s="20" t="inlineStr">
        <is>
          <t>None</t>
        </is>
      </c>
      <c r="ED719" s="17" t="n"/>
      <c r="EE719" s="16" t="n"/>
      <c r="EF719" s="20" t="inlineStr">
        <is>
          <t>IC Organic Acids</t>
        </is>
      </c>
      <c r="EG719" s="20" t="inlineStr">
        <is>
          <t>None</t>
        </is>
      </c>
      <c r="EH719" s="17" t="n"/>
      <c r="EI719" s="16" t="n"/>
      <c r="EJ719" s="20" t="inlineStr">
        <is>
          <t>IC Organic Acids</t>
        </is>
      </c>
      <c r="EK719" s="20" t="inlineStr">
        <is>
          <t>None</t>
        </is>
      </c>
      <c r="EL719" s="17" t="n"/>
      <c r="EM719" s="16" t="n"/>
      <c r="EN719" s="20" t="inlineStr">
        <is>
          <t>IC Organic Acids</t>
        </is>
      </c>
      <c r="EO719" s="20" t="inlineStr">
        <is>
          <t>None</t>
        </is>
      </c>
      <c r="EP719" s="17" t="n"/>
      <c r="EQ719" s="16" t="n"/>
      <c r="ER719" s="20" t="inlineStr">
        <is>
          <t>IC Organic Acids</t>
        </is>
      </c>
      <c r="ES719" s="20" t="inlineStr">
        <is>
          <t>None</t>
        </is>
      </c>
      <c r="ET719" s="17" t="n"/>
      <c r="EU719" s="16" t="n"/>
      <c r="EV719" s="20" t="inlineStr">
        <is>
          <t>LC-MS</t>
        </is>
      </c>
      <c r="EW719" s="20" t="inlineStr">
        <is>
          <t>None</t>
        </is>
      </c>
      <c r="EX719" s="17" t="n"/>
      <c r="EY719" s="21" t="n"/>
      <c r="EZ719">
        <f>CONCATENATE(A719,B719)</f>
        <v/>
      </c>
      <c r="FA719">
        <f>CONCATENATE(SamplesX!A719,SamplesX!B719)</f>
        <v/>
      </c>
      <c r="FC719">
        <f>MATCH(EZ719,FA1:FA1008,0)</f>
        <v/>
      </c>
    </row>
    <row r="720">
      <c r="A720" s="16" t="n"/>
      <c r="B720" s="17" t="n"/>
      <c r="C720" s="10">
        <f>IF(ISNUMBER(FC720),INDIRECT("SamplesX!C"&amp;FC720),IF(ISNUMBER(FD720),INDIRECT("SamplesY!C"&amp;FD720),""))</f>
        <v/>
      </c>
      <c r="D720" s="12">
        <f>IF(ISNUMBER(FC720),INDIRECT("SamplesX!D"&amp;FC720),IF(ISNUMBER(FD720),INDIRECT("SamplesY!D"&amp;FD720),""))</f>
        <v/>
      </c>
      <c r="E720" s="12">
        <f>IF(ISNUMBER(FC720),INDIRECT("SamplesX!E"&amp;FC720),IF(ISNUMBER(FD720),INDIRECT("SamplesY!E"&amp;FD720),""))</f>
        <v/>
      </c>
      <c r="F720" s="11">
        <f>IF(ISNUMBER(FC720),INDIRECT("SamplesX!F"&amp;FC720),IF(ISNUMBER(FD720),INDIRECT("SamplesY!F"&amp;FD720),""))</f>
        <v/>
      </c>
      <c r="G720" s="18">
        <f>IF(ISNUMBER(FC720),INDIRECT("SamplesX!G"&amp;FC720),IF(ISNUMBER(FD720),INDIRECT("SamplesY!G"&amp;FD720),""))</f>
        <v/>
      </c>
      <c r="H720" s="19">
        <f>IF(ISNUMBER(FC720),INDIRECT("SamplesX!H"&amp;FC720),IF(ISNUMBER(FD720),INDIRECT("SamplesY!H"&amp;FD720),""))</f>
        <v/>
      </c>
      <c r="I720" s="16" t="n"/>
      <c r="J720" s="16" t="n"/>
      <c r="K720" s="16" t="n"/>
      <c r="L720" s="20" t="n"/>
      <c r="M720" s="20" t="inlineStr">
        <is>
          <t>None</t>
        </is>
      </c>
      <c r="N720" s="17" t="n"/>
      <c r="O720" s="16" t="n"/>
      <c r="P720" s="20" t="inlineStr">
        <is>
          <t>Shimadzu TOC-L</t>
        </is>
      </c>
      <c r="Q720" s="20" t="inlineStr">
        <is>
          <t>None</t>
        </is>
      </c>
      <c r="R720" s="17" t="n"/>
      <c r="S720" s="16" t="n"/>
      <c r="T720" s="20" t="inlineStr">
        <is>
          <t>Shimadzu TOC-L</t>
        </is>
      </c>
      <c r="U720" s="20" t="inlineStr">
        <is>
          <t>None</t>
        </is>
      </c>
      <c r="V720" s="17" t="n"/>
      <c r="W720" s="16" t="n"/>
      <c r="X720" s="20" t="n"/>
      <c r="Y720" s="20" t="inlineStr">
        <is>
          <t>None</t>
        </is>
      </c>
      <c r="Z720" s="17" t="n"/>
      <c r="AA720" s="16" t="n"/>
      <c r="AB720" s="20" t="n"/>
      <c r="AC720" s="20" t="inlineStr">
        <is>
          <t>None</t>
        </is>
      </c>
      <c r="AD720" s="17" t="n"/>
      <c r="AE720" s="16" t="n"/>
      <c r="AF720" s="20" t="inlineStr">
        <is>
          <t>IC Anionen</t>
        </is>
      </c>
      <c r="AG720" s="20" t="inlineStr">
        <is>
          <t>None</t>
        </is>
      </c>
      <c r="AH720" s="17" t="n"/>
      <c r="AI720" s="16" t="n"/>
      <c r="AJ720" s="20" t="n"/>
      <c r="AK720" s="20" t="inlineStr">
        <is>
          <t>None</t>
        </is>
      </c>
      <c r="AL720" s="17" t="n"/>
      <c r="AM720" s="16" t="n"/>
      <c r="AN720" s="20" t="inlineStr">
        <is>
          <t>IC Anionen</t>
        </is>
      </c>
      <c r="AO720" s="20" t="inlineStr">
        <is>
          <t>None</t>
        </is>
      </c>
      <c r="AP720" s="17" t="n"/>
      <c r="AQ720" s="16" t="n"/>
      <c r="AR720" s="20" t="n"/>
      <c r="AS720" s="20" t="inlineStr">
        <is>
          <t>None</t>
        </is>
      </c>
      <c r="AT720" s="17" t="n"/>
      <c r="AU720" s="16" t="n"/>
      <c r="AV720" s="20" t="n"/>
      <c r="AW720" s="20" t="inlineStr">
        <is>
          <t>None</t>
        </is>
      </c>
      <c r="AX720" s="17" t="n"/>
      <c r="AY720" s="16" t="n"/>
      <c r="AZ720" s="20" t="inlineStr">
        <is>
          <t>IC Anionen</t>
        </is>
      </c>
      <c r="BA720" s="20" t="inlineStr">
        <is>
          <t>None</t>
        </is>
      </c>
      <c r="BB720" s="17" t="n"/>
      <c r="BC720" s="16" t="n"/>
      <c r="BD720" s="20" t="inlineStr">
        <is>
          <t>IC Kationen</t>
        </is>
      </c>
      <c r="BE720" s="20" t="inlineStr">
        <is>
          <t>None</t>
        </is>
      </c>
      <c r="BF720" s="17" t="n"/>
      <c r="BG720" s="16" t="n"/>
      <c r="BH720" s="20" t="inlineStr">
        <is>
          <t>IC Kationen</t>
        </is>
      </c>
      <c r="BI720" s="20" t="inlineStr">
        <is>
          <t>None</t>
        </is>
      </c>
      <c r="BJ720" s="17" t="n"/>
      <c r="BK720" s="16" t="n"/>
      <c r="BL720" s="20" t="inlineStr">
        <is>
          <t>IC Kationen</t>
        </is>
      </c>
      <c r="BM720" s="20" t="inlineStr">
        <is>
          <t>None</t>
        </is>
      </c>
      <c r="BN720" s="17" t="n"/>
      <c r="BO720" s="16" t="n"/>
      <c r="BP720" s="20" t="inlineStr">
        <is>
          <t>IC Kationen</t>
        </is>
      </c>
      <c r="BQ720" s="20" t="inlineStr">
        <is>
          <t>None</t>
        </is>
      </c>
      <c r="BR720" s="17" t="n"/>
      <c r="BS720" s="16" t="n"/>
      <c r="BT720" s="20" t="inlineStr">
        <is>
          <t>IC Kationen</t>
        </is>
      </c>
      <c r="BU720" s="20" t="inlineStr">
        <is>
          <t>None</t>
        </is>
      </c>
      <c r="BV720" s="17" t="n"/>
      <c r="BW720" s="16" t="n"/>
      <c r="BX720" s="20" t="n"/>
      <c r="BY720" s="20" t="inlineStr">
        <is>
          <t>None</t>
        </is>
      </c>
      <c r="BZ720" s="17" t="n"/>
      <c r="CA720" s="16" t="n"/>
      <c r="CB720" s="20" t="n"/>
      <c r="CC720" s="20" t="inlineStr">
        <is>
          <t>None</t>
        </is>
      </c>
      <c r="CD720" s="17" t="n"/>
      <c r="CE720" s="16" t="n"/>
      <c r="CF720" s="20" t="n"/>
      <c r="CG720" s="20" t="inlineStr">
        <is>
          <t>None</t>
        </is>
      </c>
      <c r="CH720" s="17" t="n"/>
      <c r="CI720" s="16" t="n"/>
      <c r="CJ720" s="20" t="n"/>
      <c r="CK720" s="20" t="inlineStr">
        <is>
          <t>None</t>
        </is>
      </c>
      <c r="CL720" s="17" t="n"/>
      <c r="CM720" s="16" t="n"/>
      <c r="CN720" s="20" t="inlineStr">
        <is>
          <t>SOP 45-34</t>
        </is>
      </c>
      <c r="CO720" s="20" t="inlineStr">
        <is>
          <t>None</t>
        </is>
      </c>
      <c r="CP720" s="17" t="n"/>
      <c r="CQ720" s="16" t="n"/>
      <c r="CR720" s="20" t="n"/>
      <c r="CS720" s="20" t="inlineStr">
        <is>
          <t>None</t>
        </is>
      </c>
      <c r="CT720" s="17" t="n"/>
      <c r="CU720" s="16" t="n"/>
      <c r="CV720" s="20" t="n"/>
      <c r="CW720" s="20" t="inlineStr">
        <is>
          <t>None</t>
        </is>
      </c>
      <c r="CX720" s="17" t="n"/>
      <c r="CY720" s="16" t="n"/>
      <c r="CZ720" s="20" t="inlineStr">
        <is>
          <t>WTW Multimeter 3430 with FDO 925</t>
        </is>
      </c>
      <c r="DA720" s="20" t="inlineStr">
        <is>
          <t>None</t>
        </is>
      </c>
      <c r="DB720" s="17" t="n"/>
      <c r="DC720" s="16" t="n"/>
      <c r="DD720" s="20" t="n"/>
      <c r="DE720" s="20" t="inlineStr">
        <is>
          <t>None</t>
        </is>
      </c>
      <c r="DF720" s="17" t="n"/>
      <c r="DG720" s="16" t="n"/>
      <c r="DH720" s="20" t="inlineStr">
        <is>
          <t>SOP 45-09</t>
        </is>
      </c>
      <c r="DI720" s="20" t="inlineStr">
        <is>
          <t>None</t>
        </is>
      </c>
      <c r="DJ720" s="17" t="n"/>
      <c r="DK720" s="16" t="n"/>
      <c r="DL720" s="20" t="inlineStr">
        <is>
          <t>SOP 45-09 (SOP muss noch angepasst werden für VSS)</t>
        </is>
      </c>
      <c r="DM720" s="20" t="inlineStr">
        <is>
          <t>None</t>
        </is>
      </c>
      <c r="DN720" s="17" t="n"/>
      <c r="DO720" s="16" t="n"/>
      <c r="DP720" s="20" t="inlineStr">
        <is>
          <t>IC Organic Acids</t>
        </is>
      </c>
      <c r="DQ720" s="20" t="inlineStr">
        <is>
          <t>None</t>
        </is>
      </c>
      <c r="DR720" s="17" t="n"/>
      <c r="DS720" s="16" t="n"/>
      <c r="DT720" s="20" t="inlineStr">
        <is>
          <t>IC Organic Acids</t>
        </is>
      </c>
      <c r="DU720" s="20" t="inlineStr">
        <is>
          <t>None</t>
        </is>
      </c>
      <c r="DV720" s="17" t="n"/>
      <c r="DW720" s="16" t="n"/>
      <c r="DX720" s="20" t="inlineStr">
        <is>
          <t>IC Organic Acids</t>
        </is>
      </c>
      <c r="DY720" s="20" t="inlineStr">
        <is>
          <t>None</t>
        </is>
      </c>
      <c r="DZ720" s="17" t="n"/>
      <c r="EA720" s="16" t="n"/>
      <c r="EB720" s="20" t="inlineStr">
        <is>
          <t>IC Organic Acids</t>
        </is>
      </c>
      <c r="EC720" s="20" t="inlineStr">
        <is>
          <t>None</t>
        </is>
      </c>
      <c r="ED720" s="17" t="n"/>
      <c r="EE720" s="16" t="n"/>
      <c r="EF720" s="20" t="inlineStr">
        <is>
          <t>IC Organic Acids</t>
        </is>
      </c>
      <c r="EG720" s="20" t="inlineStr">
        <is>
          <t>None</t>
        </is>
      </c>
      <c r="EH720" s="17" t="n"/>
      <c r="EI720" s="16" t="n"/>
      <c r="EJ720" s="20" t="inlineStr">
        <is>
          <t>IC Organic Acids</t>
        </is>
      </c>
      <c r="EK720" s="20" t="inlineStr">
        <is>
          <t>None</t>
        </is>
      </c>
      <c r="EL720" s="17" t="n"/>
      <c r="EM720" s="16" t="n"/>
      <c r="EN720" s="20" t="inlineStr">
        <is>
          <t>IC Organic Acids</t>
        </is>
      </c>
      <c r="EO720" s="20" t="inlineStr">
        <is>
          <t>None</t>
        </is>
      </c>
      <c r="EP720" s="17" t="n"/>
      <c r="EQ720" s="16" t="n"/>
      <c r="ER720" s="20" t="inlineStr">
        <is>
          <t>IC Organic Acids</t>
        </is>
      </c>
      <c r="ES720" s="20" t="inlineStr">
        <is>
          <t>None</t>
        </is>
      </c>
      <c r="ET720" s="17" t="n"/>
      <c r="EU720" s="16" t="n"/>
      <c r="EV720" s="20" t="inlineStr">
        <is>
          <t>LC-MS</t>
        </is>
      </c>
      <c r="EW720" s="20" t="inlineStr">
        <is>
          <t>None</t>
        </is>
      </c>
      <c r="EX720" s="17" t="n"/>
      <c r="EY720" s="21" t="n"/>
      <c r="EZ720">
        <f>CONCATENATE(A720,B720)</f>
        <v/>
      </c>
      <c r="FA720">
        <f>CONCATENATE(SamplesX!A720,SamplesX!B720)</f>
        <v/>
      </c>
      <c r="FC720">
        <f>MATCH(EZ720,FA1:FA1008,0)</f>
        <v/>
      </c>
    </row>
    <row r="721">
      <c r="A721" s="16" t="n"/>
      <c r="B721" s="17" t="n"/>
      <c r="C721" s="10">
        <f>IF(ISNUMBER(FC721),INDIRECT("SamplesX!C"&amp;FC721),IF(ISNUMBER(FD721),INDIRECT("SamplesY!C"&amp;FD721),""))</f>
        <v/>
      </c>
      <c r="D721" s="12">
        <f>IF(ISNUMBER(FC721),INDIRECT("SamplesX!D"&amp;FC721),IF(ISNUMBER(FD721),INDIRECT("SamplesY!D"&amp;FD721),""))</f>
        <v/>
      </c>
      <c r="E721" s="12">
        <f>IF(ISNUMBER(FC721),INDIRECT("SamplesX!E"&amp;FC721),IF(ISNUMBER(FD721),INDIRECT("SamplesY!E"&amp;FD721),""))</f>
        <v/>
      </c>
      <c r="F721" s="11">
        <f>IF(ISNUMBER(FC721),INDIRECT("SamplesX!F"&amp;FC721),IF(ISNUMBER(FD721),INDIRECT("SamplesY!F"&amp;FD721),""))</f>
        <v/>
      </c>
      <c r="G721" s="18">
        <f>IF(ISNUMBER(FC721),INDIRECT("SamplesX!G"&amp;FC721),IF(ISNUMBER(FD721),INDIRECT("SamplesY!G"&amp;FD721),""))</f>
        <v/>
      </c>
      <c r="H721" s="19">
        <f>IF(ISNUMBER(FC721),INDIRECT("SamplesX!H"&amp;FC721),IF(ISNUMBER(FD721),INDIRECT("SamplesY!H"&amp;FD721),""))</f>
        <v/>
      </c>
      <c r="I721" s="16" t="n"/>
      <c r="J721" s="16" t="n"/>
      <c r="K721" s="16" t="n"/>
      <c r="L721" s="20" t="n"/>
      <c r="M721" s="20" t="inlineStr">
        <is>
          <t>None</t>
        </is>
      </c>
      <c r="N721" s="17" t="n"/>
      <c r="O721" s="16" t="n"/>
      <c r="P721" s="20" t="inlineStr">
        <is>
          <t>Shimadzu TOC-L</t>
        </is>
      </c>
      <c r="Q721" s="20" t="inlineStr">
        <is>
          <t>None</t>
        </is>
      </c>
      <c r="R721" s="17" t="n"/>
      <c r="S721" s="16" t="n"/>
      <c r="T721" s="20" t="inlineStr">
        <is>
          <t>Shimadzu TOC-L</t>
        </is>
      </c>
      <c r="U721" s="20" t="inlineStr">
        <is>
          <t>None</t>
        </is>
      </c>
      <c r="V721" s="17" t="n"/>
      <c r="W721" s="16" t="n"/>
      <c r="X721" s="20" t="n"/>
      <c r="Y721" s="20" t="inlineStr">
        <is>
          <t>None</t>
        </is>
      </c>
      <c r="Z721" s="17" t="n"/>
      <c r="AA721" s="16" t="n"/>
      <c r="AB721" s="20" t="n"/>
      <c r="AC721" s="20" t="inlineStr">
        <is>
          <t>None</t>
        </is>
      </c>
      <c r="AD721" s="17" t="n"/>
      <c r="AE721" s="16" t="n"/>
      <c r="AF721" s="20" t="inlineStr">
        <is>
          <t>IC Anionen</t>
        </is>
      </c>
      <c r="AG721" s="20" t="inlineStr">
        <is>
          <t>None</t>
        </is>
      </c>
      <c r="AH721" s="17" t="n"/>
      <c r="AI721" s="16" t="n"/>
      <c r="AJ721" s="20" t="n"/>
      <c r="AK721" s="20" t="inlineStr">
        <is>
          <t>None</t>
        </is>
      </c>
      <c r="AL721" s="17" t="n"/>
      <c r="AM721" s="16" t="n"/>
      <c r="AN721" s="20" t="inlineStr">
        <is>
          <t>IC Anionen</t>
        </is>
      </c>
      <c r="AO721" s="20" t="inlineStr">
        <is>
          <t>None</t>
        </is>
      </c>
      <c r="AP721" s="17" t="n"/>
      <c r="AQ721" s="16" t="n"/>
      <c r="AR721" s="20" t="n"/>
      <c r="AS721" s="20" t="inlineStr">
        <is>
          <t>None</t>
        </is>
      </c>
      <c r="AT721" s="17" t="n"/>
      <c r="AU721" s="16" t="n"/>
      <c r="AV721" s="20" t="n"/>
      <c r="AW721" s="20" t="inlineStr">
        <is>
          <t>None</t>
        </is>
      </c>
      <c r="AX721" s="17" t="n"/>
      <c r="AY721" s="16" t="n"/>
      <c r="AZ721" s="20" t="inlineStr">
        <is>
          <t>IC Anionen</t>
        </is>
      </c>
      <c r="BA721" s="20" t="inlineStr">
        <is>
          <t>None</t>
        </is>
      </c>
      <c r="BB721" s="17" t="n"/>
      <c r="BC721" s="16" t="n"/>
      <c r="BD721" s="20" t="inlineStr">
        <is>
          <t>IC Kationen</t>
        </is>
      </c>
      <c r="BE721" s="20" t="inlineStr">
        <is>
          <t>None</t>
        </is>
      </c>
      <c r="BF721" s="17" t="n"/>
      <c r="BG721" s="16" t="n"/>
      <c r="BH721" s="20" t="inlineStr">
        <is>
          <t>IC Kationen</t>
        </is>
      </c>
      <c r="BI721" s="20" t="inlineStr">
        <is>
          <t>None</t>
        </is>
      </c>
      <c r="BJ721" s="17" t="n"/>
      <c r="BK721" s="16" t="n"/>
      <c r="BL721" s="20" t="inlineStr">
        <is>
          <t>IC Kationen</t>
        </is>
      </c>
      <c r="BM721" s="20" t="inlineStr">
        <is>
          <t>None</t>
        </is>
      </c>
      <c r="BN721" s="17" t="n"/>
      <c r="BO721" s="16" t="n"/>
      <c r="BP721" s="20" t="inlineStr">
        <is>
          <t>IC Kationen</t>
        </is>
      </c>
      <c r="BQ721" s="20" t="inlineStr">
        <is>
          <t>None</t>
        </is>
      </c>
      <c r="BR721" s="17" t="n"/>
      <c r="BS721" s="16" t="n"/>
      <c r="BT721" s="20" t="inlineStr">
        <is>
          <t>IC Kationen</t>
        </is>
      </c>
      <c r="BU721" s="20" t="inlineStr">
        <is>
          <t>None</t>
        </is>
      </c>
      <c r="BV721" s="17" t="n"/>
      <c r="BW721" s="16" t="n"/>
      <c r="BX721" s="20" t="n"/>
      <c r="BY721" s="20" t="inlineStr">
        <is>
          <t>None</t>
        </is>
      </c>
      <c r="BZ721" s="17" t="n"/>
      <c r="CA721" s="16" t="n"/>
      <c r="CB721" s="20" t="n"/>
      <c r="CC721" s="20" t="inlineStr">
        <is>
          <t>None</t>
        </is>
      </c>
      <c r="CD721" s="17" t="n"/>
      <c r="CE721" s="16" t="n"/>
      <c r="CF721" s="20" t="n"/>
      <c r="CG721" s="20" t="inlineStr">
        <is>
          <t>None</t>
        </is>
      </c>
      <c r="CH721" s="17" t="n"/>
      <c r="CI721" s="16" t="n"/>
      <c r="CJ721" s="20" t="n"/>
      <c r="CK721" s="20" t="inlineStr">
        <is>
          <t>None</t>
        </is>
      </c>
      <c r="CL721" s="17" t="n"/>
      <c r="CM721" s="16" t="n"/>
      <c r="CN721" s="20" t="inlineStr">
        <is>
          <t>SOP 45-34</t>
        </is>
      </c>
      <c r="CO721" s="20" t="inlineStr">
        <is>
          <t>None</t>
        </is>
      </c>
      <c r="CP721" s="17" t="n"/>
      <c r="CQ721" s="16" t="n"/>
      <c r="CR721" s="20" t="n"/>
      <c r="CS721" s="20" t="inlineStr">
        <is>
          <t>None</t>
        </is>
      </c>
      <c r="CT721" s="17" t="n"/>
      <c r="CU721" s="16" t="n"/>
      <c r="CV721" s="20" t="n"/>
      <c r="CW721" s="20" t="inlineStr">
        <is>
          <t>None</t>
        </is>
      </c>
      <c r="CX721" s="17" t="n"/>
      <c r="CY721" s="16" t="n"/>
      <c r="CZ721" s="20" t="inlineStr">
        <is>
          <t>WTW Multimeter 3430 with FDO 925</t>
        </is>
      </c>
      <c r="DA721" s="20" t="inlineStr">
        <is>
          <t>None</t>
        </is>
      </c>
      <c r="DB721" s="17" t="n"/>
      <c r="DC721" s="16" t="n"/>
      <c r="DD721" s="20" t="n"/>
      <c r="DE721" s="20" t="inlineStr">
        <is>
          <t>None</t>
        </is>
      </c>
      <c r="DF721" s="17" t="n"/>
      <c r="DG721" s="16" t="n"/>
      <c r="DH721" s="20" t="inlineStr">
        <is>
          <t>SOP 45-09</t>
        </is>
      </c>
      <c r="DI721" s="20" t="inlineStr">
        <is>
          <t>None</t>
        </is>
      </c>
      <c r="DJ721" s="17" t="n"/>
      <c r="DK721" s="16" t="n"/>
      <c r="DL721" s="20" t="inlineStr">
        <is>
          <t>SOP 45-09 (SOP muss noch angepasst werden für VSS)</t>
        </is>
      </c>
      <c r="DM721" s="20" t="inlineStr">
        <is>
          <t>None</t>
        </is>
      </c>
      <c r="DN721" s="17" t="n"/>
      <c r="DO721" s="16" t="n"/>
      <c r="DP721" s="20" t="inlineStr">
        <is>
          <t>IC Organic Acids</t>
        </is>
      </c>
      <c r="DQ721" s="20" t="inlineStr">
        <is>
          <t>None</t>
        </is>
      </c>
      <c r="DR721" s="17" t="n"/>
      <c r="DS721" s="16" t="n"/>
      <c r="DT721" s="20" t="inlineStr">
        <is>
          <t>IC Organic Acids</t>
        </is>
      </c>
      <c r="DU721" s="20" t="inlineStr">
        <is>
          <t>None</t>
        </is>
      </c>
      <c r="DV721" s="17" t="n"/>
      <c r="DW721" s="16" t="n"/>
      <c r="DX721" s="20" t="inlineStr">
        <is>
          <t>IC Organic Acids</t>
        </is>
      </c>
      <c r="DY721" s="20" t="inlineStr">
        <is>
          <t>None</t>
        </is>
      </c>
      <c r="DZ721" s="17" t="n"/>
      <c r="EA721" s="16" t="n"/>
      <c r="EB721" s="20" t="inlineStr">
        <is>
          <t>IC Organic Acids</t>
        </is>
      </c>
      <c r="EC721" s="20" t="inlineStr">
        <is>
          <t>None</t>
        </is>
      </c>
      <c r="ED721" s="17" t="n"/>
      <c r="EE721" s="16" t="n"/>
      <c r="EF721" s="20" t="inlineStr">
        <is>
          <t>IC Organic Acids</t>
        </is>
      </c>
      <c r="EG721" s="20" t="inlineStr">
        <is>
          <t>None</t>
        </is>
      </c>
      <c r="EH721" s="17" t="n"/>
      <c r="EI721" s="16" t="n"/>
      <c r="EJ721" s="20" t="inlineStr">
        <is>
          <t>IC Organic Acids</t>
        </is>
      </c>
      <c r="EK721" s="20" t="inlineStr">
        <is>
          <t>None</t>
        </is>
      </c>
      <c r="EL721" s="17" t="n"/>
      <c r="EM721" s="16" t="n"/>
      <c r="EN721" s="20" t="inlineStr">
        <is>
          <t>IC Organic Acids</t>
        </is>
      </c>
      <c r="EO721" s="20" t="inlineStr">
        <is>
          <t>None</t>
        </is>
      </c>
      <c r="EP721" s="17" t="n"/>
      <c r="EQ721" s="16" t="n"/>
      <c r="ER721" s="20" t="inlineStr">
        <is>
          <t>IC Organic Acids</t>
        </is>
      </c>
      <c r="ES721" s="20" t="inlineStr">
        <is>
          <t>None</t>
        </is>
      </c>
      <c r="ET721" s="17" t="n"/>
      <c r="EU721" s="16" t="n"/>
      <c r="EV721" s="20" t="inlineStr">
        <is>
          <t>LC-MS</t>
        </is>
      </c>
      <c r="EW721" s="20" t="inlineStr">
        <is>
          <t>None</t>
        </is>
      </c>
      <c r="EX721" s="17" t="n"/>
      <c r="EY721" s="21" t="n"/>
      <c r="EZ721">
        <f>CONCATENATE(A721,B721)</f>
        <v/>
      </c>
      <c r="FA721">
        <f>CONCATENATE(SamplesX!A721,SamplesX!B721)</f>
        <v/>
      </c>
      <c r="FC721">
        <f>MATCH(EZ721,FA1:FA1008,0)</f>
        <v/>
      </c>
    </row>
    <row r="722">
      <c r="A722" s="16" t="n"/>
      <c r="B722" s="17" t="n"/>
      <c r="C722" s="10">
        <f>IF(ISNUMBER(FC722),INDIRECT("SamplesX!C"&amp;FC722),IF(ISNUMBER(FD722),INDIRECT("SamplesY!C"&amp;FD722),""))</f>
        <v/>
      </c>
      <c r="D722" s="12">
        <f>IF(ISNUMBER(FC722),INDIRECT("SamplesX!D"&amp;FC722),IF(ISNUMBER(FD722),INDIRECT("SamplesY!D"&amp;FD722),""))</f>
        <v/>
      </c>
      <c r="E722" s="12">
        <f>IF(ISNUMBER(FC722),INDIRECT("SamplesX!E"&amp;FC722),IF(ISNUMBER(FD722),INDIRECT("SamplesY!E"&amp;FD722),""))</f>
        <v/>
      </c>
      <c r="F722" s="11">
        <f>IF(ISNUMBER(FC722),INDIRECT("SamplesX!F"&amp;FC722),IF(ISNUMBER(FD722),INDIRECT("SamplesY!F"&amp;FD722),""))</f>
        <v/>
      </c>
      <c r="G722" s="18">
        <f>IF(ISNUMBER(FC722),INDIRECT("SamplesX!G"&amp;FC722),IF(ISNUMBER(FD722),INDIRECT("SamplesY!G"&amp;FD722),""))</f>
        <v/>
      </c>
      <c r="H722" s="19">
        <f>IF(ISNUMBER(FC722),INDIRECT("SamplesX!H"&amp;FC722),IF(ISNUMBER(FD722),INDIRECT("SamplesY!H"&amp;FD722),""))</f>
        <v/>
      </c>
      <c r="I722" s="16" t="n"/>
      <c r="J722" s="16" t="n"/>
      <c r="K722" s="16" t="n"/>
      <c r="L722" s="20" t="n"/>
      <c r="M722" s="20" t="inlineStr">
        <is>
          <t>None</t>
        </is>
      </c>
      <c r="N722" s="17" t="n"/>
      <c r="O722" s="16" t="n"/>
      <c r="P722" s="20" t="inlineStr">
        <is>
          <t>Shimadzu TOC-L</t>
        </is>
      </c>
      <c r="Q722" s="20" t="inlineStr">
        <is>
          <t>None</t>
        </is>
      </c>
      <c r="R722" s="17" t="n"/>
      <c r="S722" s="16" t="n"/>
      <c r="T722" s="20" t="inlineStr">
        <is>
          <t>Shimadzu TOC-L</t>
        </is>
      </c>
      <c r="U722" s="20" t="inlineStr">
        <is>
          <t>None</t>
        </is>
      </c>
      <c r="V722" s="17" t="n"/>
      <c r="W722" s="16" t="n"/>
      <c r="X722" s="20" t="n"/>
      <c r="Y722" s="20" t="inlineStr">
        <is>
          <t>None</t>
        </is>
      </c>
      <c r="Z722" s="17" t="n"/>
      <c r="AA722" s="16" t="n"/>
      <c r="AB722" s="20" t="n"/>
      <c r="AC722" s="20" t="inlineStr">
        <is>
          <t>None</t>
        </is>
      </c>
      <c r="AD722" s="17" t="n"/>
      <c r="AE722" s="16" t="n"/>
      <c r="AF722" s="20" t="inlineStr">
        <is>
          <t>IC Anionen</t>
        </is>
      </c>
      <c r="AG722" s="20" t="inlineStr">
        <is>
          <t>None</t>
        </is>
      </c>
      <c r="AH722" s="17" t="n"/>
      <c r="AI722" s="16" t="n"/>
      <c r="AJ722" s="20" t="n"/>
      <c r="AK722" s="20" t="inlineStr">
        <is>
          <t>None</t>
        </is>
      </c>
      <c r="AL722" s="17" t="n"/>
      <c r="AM722" s="16" t="n"/>
      <c r="AN722" s="20" t="inlineStr">
        <is>
          <t>IC Anionen</t>
        </is>
      </c>
      <c r="AO722" s="20" t="inlineStr">
        <is>
          <t>None</t>
        </is>
      </c>
      <c r="AP722" s="17" t="n"/>
      <c r="AQ722" s="16" t="n"/>
      <c r="AR722" s="20" t="n"/>
      <c r="AS722" s="20" t="inlineStr">
        <is>
          <t>None</t>
        </is>
      </c>
      <c r="AT722" s="17" t="n"/>
      <c r="AU722" s="16" t="n"/>
      <c r="AV722" s="20" t="n"/>
      <c r="AW722" s="20" t="inlineStr">
        <is>
          <t>None</t>
        </is>
      </c>
      <c r="AX722" s="17" t="n"/>
      <c r="AY722" s="16" t="n"/>
      <c r="AZ722" s="20" t="inlineStr">
        <is>
          <t>IC Anionen</t>
        </is>
      </c>
      <c r="BA722" s="20" t="inlineStr">
        <is>
          <t>None</t>
        </is>
      </c>
      <c r="BB722" s="17" t="n"/>
      <c r="BC722" s="16" t="n"/>
      <c r="BD722" s="20" t="inlineStr">
        <is>
          <t>IC Kationen</t>
        </is>
      </c>
      <c r="BE722" s="20" t="inlineStr">
        <is>
          <t>None</t>
        </is>
      </c>
      <c r="BF722" s="17" t="n"/>
      <c r="BG722" s="16" t="n"/>
      <c r="BH722" s="20" t="inlineStr">
        <is>
          <t>IC Kationen</t>
        </is>
      </c>
      <c r="BI722" s="20" t="inlineStr">
        <is>
          <t>None</t>
        </is>
      </c>
      <c r="BJ722" s="17" t="n"/>
      <c r="BK722" s="16" t="n"/>
      <c r="BL722" s="20" t="inlineStr">
        <is>
          <t>IC Kationen</t>
        </is>
      </c>
      <c r="BM722" s="20" t="inlineStr">
        <is>
          <t>None</t>
        </is>
      </c>
      <c r="BN722" s="17" t="n"/>
      <c r="BO722" s="16" t="n"/>
      <c r="BP722" s="20" t="inlineStr">
        <is>
          <t>IC Kationen</t>
        </is>
      </c>
      <c r="BQ722" s="20" t="inlineStr">
        <is>
          <t>None</t>
        </is>
      </c>
      <c r="BR722" s="17" t="n"/>
      <c r="BS722" s="16" t="n"/>
      <c r="BT722" s="20" t="inlineStr">
        <is>
          <t>IC Kationen</t>
        </is>
      </c>
      <c r="BU722" s="20" t="inlineStr">
        <is>
          <t>None</t>
        </is>
      </c>
      <c r="BV722" s="17" t="n"/>
      <c r="BW722" s="16" t="n"/>
      <c r="BX722" s="20" t="n"/>
      <c r="BY722" s="20" t="inlineStr">
        <is>
          <t>None</t>
        </is>
      </c>
      <c r="BZ722" s="17" t="n"/>
      <c r="CA722" s="16" t="n"/>
      <c r="CB722" s="20" t="n"/>
      <c r="CC722" s="20" t="inlineStr">
        <is>
          <t>None</t>
        </is>
      </c>
      <c r="CD722" s="17" t="n"/>
      <c r="CE722" s="16" t="n"/>
      <c r="CF722" s="20" t="n"/>
      <c r="CG722" s="20" t="inlineStr">
        <is>
          <t>None</t>
        </is>
      </c>
      <c r="CH722" s="17" t="n"/>
      <c r="CI722" s="16" t="n"/>
      <c r="CJ722" s="20" t="n"/>
      <c r="CK722" s="20" t="inlineStr">
        <is>
          <t>None</t>
        </is>
      </c>
      <c r="CL722" s="17" t="n"/>
      <c r="CM722" s="16" t="n"/>
      <c r="CN722" s="20" t="inlineStr">
        <is>
          <t>SOP 45-34</t>
        </is>
      </c>
      <c r="CO722" s="20" t="inlineStr">
        <is>
          <t>None</t>
        </is>
      </c>
      <c r="CP722" s="17" t="n"/>
      <c r="CQ722" s="16" t="n"/>
      <c r="CR722" s="20" t="n"/>
      <c r="CS722" s="20" t="inlineStr">
        <is>
          <t>None</t>
        </is>
      </c>
      <c r="CT722" s="17" t="n"/>
      <c r="CU722" s="16" t="n"/>
      <c r="CV722" s="20" t="n"/>
      <c r="CW722" s="20" t="inlineStr">
        <is>
          <t>None</t>
        </is>
      </c>
      <c r="CX722" s="17" t="n"/>
      <c r="CY722" s="16" t="n"/>
      <c r="CZ722" s="20" t="inlineStr">
        <is>
          <t>WTW Multimeter 3430 with FDO 925</t>
        </is>
      </c>
      <c r="DA722" s="20" t="inlineStr">
        <is>
          <t>None</t>
        </is>
      </c>
      <c r="DB722" s="17" t="n"/>
      <c r="DC722" s="16" t="n"/>
      <c r="DD722" s="20" t="n"/>
      <c r="DE722" s="20" t="inlineStr">
        <is>
          <t>None</t>
        </is>
      </c>
      <c r="DF722" s="17" t="n"/>
      <c r="DG722" s="16" t="n"/>
      <c r="DH722" s="20" t="inlineStr">
        <is>
          <t>SOP 45-09</t>
        </is>
      </c>
      <c r="DI722" s="20" t="inlineStr">
        <is>
          <t>None</t>
        </is>
      </c>
      <c r="DJ722" s="17" t="n"/>
      <c r="DK722" s="16" t="n"/>
      <c r="DL722" s="20" t="inlineStr">
        <is>
          <t>SOP 45-09 (SOP muss noch angepasst werden für VSS)</t>
        </is>
      </c>
      <c r="DM722" s="20" t="inlineStr">
        <is>
          <t>None</t>
        </is>
      </c>
      <c r="DN722" s="17" t="n"/>
      <c r="DO722" s="16" t="n"/>
      <c r="DP722" s="20" t="inlineStr">
        <is>
          <t>IC Organic Acids</t>
        </is>
      </c>
      <c r="DQ722" s="20" t="inlineStr">
        <is>
          <t>None</t>
        </is>
      </c>
      <c r="DR722" s="17" t="n"/>
      <c r="DS722" s="16" t="n"/>
      <c r="DT722" s="20" t="inlineStr">
        <is>
          <t>IC Organic Acids</t>
        </is>
      </c>
      <c r="DU722" s="20" t="inlineStr">
        <is>
          <t>None</t>
        </is>
      </c>
      <c r="DV722" s="17" t="n"/>
      <c r="DW722" s="16" t="n"/>
      <c r="DX722" s="20" t="inlineStr">
        <is>
          <t>IC Organic Acids</t>
        </is>
      </c>
      <c r="DY722" s="20" t="inlineStr">
        <is>
          <t>None</t>
        </is>
      </c>
      <c r="DZ722" s="17" t="n"/>
      <c r="EA722" s="16" t="n"/>
      <c r="EB722" s="20" t="inlineStr">
        <is>
          <t>IC Organic Acids</t>
        </is>
      </c>
      <c r="EC722" s="20" t="inlineStr">
        <is>
          <t>None</t>
        </is>
      </c>
      <c r="ED722" s="17" t="n"/>
      <c r="EE722" s="16" t="n"/>
      <c r="EF722" s="20" t="inlineStr">
        <is>
          <t>IC Organic Acids</t>
        </is>
      </c>
      <c r="EG722" s="20" t="inlineStr">
        <is>
          <t>None</t>
        </is>
      </c>
      <c r="EH722" s="17" t="n"/>
      <c r="EI722" s="16" t="n"/>
      <c r="EJ722" s="20" t="inlineStr">
        <is>
          <t>IC Organic Acids</t>
        </is>
      </c>
      <c r="EK722" s="20" t="inlineStr">
        <is>
          <t>None</t>
        </is>
      </c>
      <c r="EL722" s="17" t="n"/>
      <c r="EM722" s="16" t="n"/>
      <c r="EN722" s="20" t="inlineStr">
        <is>
          <t>IC Organic Acids</t>
        </is>
      </c>
      <c r="EO722" s="20" t="inlineStr">
        <is>
          <t>None</t>
        </is>
      </c>
      <c r="EP722" s="17" t="n"/>
      <c r="EQ722" s="16" t="n"/>
      <c r="ER722" s="20" t="inlineStr">
        <is>
          <t>IC Organic Acids</t>
        </is>
      </c>
      <c r="ES722" s="20" t="inlineStr">
        <is>
          <t>None</t>
        </is>
      </c>
      <c r="ET722" s="17" t="n"/>
      <c r="EU722" s="16" t="n"/>
      <c r="EV722" s="20" t="inlineStr">
        <is>
          <t>LC-MS</t>
        </is>
      </c>
      <c r="EW722" s="20" t="inlineStr">
        <is>
          <t>None</t>
        </is>
      </c>
      <c r="EX722" s="17" t="n"/>
      <c r="EY722" s="21" t="n"/>
      <c r="EZ722">
        <f>CONCATENATE(A722,B722)</f>
        <v/>
      </c>
      <c r="FA722">
        <f>CONCATENATE(SamplesX!A722,SamplesX!B722)</f>
        <v/>
      </c>
      <c r="FC722">
        <f>MATCH(EZ722,FA1:FA1008,0)</f>
        <v/>
      </c>
    </row>
    <row r="723">
      <c r="A723" s="16" t="n"/>
      <c r="B723" s="17" t="n"/>
      <c r="C723" s="10">
        <f>IF(ISNUMBER(FC723),INDIRECT("SamplesX!C"&amp;FC723),IF(ISNUMBER(FD723),INDIRECT("SamplesY!C"&amp;FD723),""))</f>
        <v/>
      </c>
      <c r="D723" s="12">
        <f>IF(ISNUMBER(FC723),INDIRECT("SamplesX!D"&amp;FC723),IF(ISNUMBER(FD723),INDIRECT("SamplesY!D"&amp;FD723),""))</f>
        <v/>
      </c>
      <c r="E723" s="12">
        <f>IF(ISNUMBER(FC723),INDIRECT("SamplesX!E"&amp;FC723),IF(ISNUMBER(FD723),INDIRECT("SamplesY!E"&amp;FD723),""))</f>
        <v/>
      </c>
      <c r="F723" s="11">
        <f>IF(ISNUMBER(FC723),INDIRECT("SamplesX!F"&amp;FC723),IF(ISNUMBER(FD723),INDIRECT("SamplesY!F"&amp;FD723),""))</f>
        <v/>
      </c>
      <c r="G723" s="18">
        <f>IF(ISNUMBER(FC723),INDIRECT("SamplesX!G"&amp;FC723),IF(ISNUMBER(FD723),INDIRECT("SamplesY!G"&amp;FD723),""))</f>
        <v/>
      </c>
      <c r="H723" s="19">
        <f>IF(ISNUMBER(FC723),INDIRECT("SamplesX!H"&amp;FC723),IF(ISNUMBER(FD723),INDIRECT("SamplesY!H"&amp;FD723),""))</f>
        <v/>
      </c>
      <c r="I723" s="16" t="n"/>
      <c r="J723" s="16" t="n"/>
      <c r="K723" s="16" t="n"/>
      <c r="L723" s="20" t="n"/>
      <c r="M723" s="20" t="inlineStr">
        <is>
          <t>None</t>
        </is>
      </c>
      <c r="N723" s="17" t="n"/>
      <c r="O723" s="16" t="n"/>
      <c r="P723" s="20" t="inlineStr">
        <is>
          <t>Shimadzu TOC-L</t>
        </is>
      </c>
      <c r="Q723" s="20" t="inlineStr">
        <is>
          <t>None</t>
        </is>
      </c>
      <c r="R723" s="17" t="n"/>
      <c r="S723" s="16" t="n"/>
      <c r="T723" s="20" t="inlineStr">
        <is>
          <t>Shimadzu TOC-L</t>
        </is>
      </c>
      <c r="U723" s="20" t="inlineStr">
        <is>
          <t>None</t>
        </is>
      </c>
      <c r="V723" s="17" t="n"/>
      <c r="W723" s="16" t="n"/>
      <c r="X723" s="20" t="n"/>
      <c r="Y723" s="20" t="inlineStr">
        <is>
          <t>None</t>
        </is>
      </c>
      <c r="Z723" s="17" t="n"/>
      <c r="AA723" s="16" t="n"/>
      <c r="AB723" s="20" t="n"/>
      <c r="AC723" s="20" t="inlineStr">
        <is>
          <t>None</t>
        </is>
      </c>
      <c r="AD723" s="17" t="n"/>
      <c r="AE723" s="16" t="n"/>
      <c r="AF723" s="20" t="inlineStr">
        <is>
          <t>IC Anionen</t>
        </is>
      </c>
      <c r="AG723" s="20" t="inlineStr">
        <is>
          <t>None</t>
        </is>
      </c>
      <c r="AH723" s="17" t="n"/>
      <c r="AI723" s="16" t="n"/>
      <c r="AJ723" s="20" t="n"/>
      <c r="AK723" s="20" t="inlineStr">
        <is>
          <t>None</t>
        </is>
      </c>
      <c r="AL723" s="17" t="n"/>
      <c r="AM723" s="16" t="n"/>
      <c r="AN723" s="20" t="inlineStr">
        <is>
          <t>IC Anionen</t>
        </is>
      </c>
      <c r="AO723" s="20" t="inlineStr">
        <is>
          <t>None</t>
        </is>
      </c>
      <c r="AP723" s="17" t="n"/>
      <c r="AQ723" s="16" t="n"/>
      <c r="AR723" s="20" t="n"/>
      <c r="AS723" s="20" t="inlineStr">
        <is>
          <t>None</t>
        </is>
      </c>
      <c r="AT723" s="17" t="n"/>
      <c r="AU723" s="16" t="n"/>
      <c r="AV723" s="20" t="n"/>
      <c r="AW723" s="20" t="inlineStr">
        <is>
          <t>None</t>
        </is>
      </c>
      <c r="AX723" s="17" t="n"/>
      <c r="AY723" s="16" t="n"/>
      <c r="AZ723" s="20" t="inlineStr">
        <is>
          <t>IC Anionen</t>
        </is>
      </c>
      <c r="BA723" s="20" t="inlineStr">
        <is>
          <t>None</t>
        </is>
      </c>
      <c r="BB723" s="17" t="n"/>
      <c r="BC723" s="16" t="n"/>
      <c r="BD723" s="20" t="inlineStr">
        <is>
          <t>IC Kationen</t>
        </is>
      </c>
      <c r="BE723" s="20" t="inlineStr">
        <is>
          <t>None</t>
        </is>
      </c>
      <c r="BF723" s="17" t="n"/>
      <c r="BG723" s="16" t="n"/>
      <c r="BH723" s="20" t="inlineStr">
        <is>
          <t>IC Kationen</t>
        </is>
      </c>
      <c r="BI723" s="20" t="inlineStr">
        <is>
          <t>None</t>
        </is>
      </c>
      <c r="BJ723" s="17" t="n"/>
      <c r="BK723" s="16" t="n"/>
      <c r="BL723" s="20" t="inlineStr">
        <is>
          <t>IC Kationen</t>
        </is>
      </c>
      <c r="BM723" s="20" t="inlineStr">
        <is>
          <t>None</t>
        </is>
      </c>
      <c r="BN723" s="17" t="n"/>
      <c r="BO723" s="16" t="n"/>
      <c r="BP723" s="20" t="inlineStr">
        <is>
          <t>IC Kationen</t>
        </is>
      </c>
      <c r="BQ723" s="20" t="inlineStr">
        <is>
          <t>None</t>
        </is>
      </c>
      <c r="BR723" s="17" t="n"/>
      <c r="BS723" s="16" t="n"/>
      <c r="BT723" s="20" t="inlineStr">
        <is>
          <t>IC Kationen</t>
        </is>
      </c>
      <c r="BU723" s="20" t="inlineStr">
        <is>
          <t>None</t>
        </is>
      </c>
      <c r="BV723" s="17" t="n"/>
      <c r="BW723" s="16" t="n"/>
      <c r="BX723" s="20" t="n"/>
      <c r="BY723" s="20" t="inlineStr">
        <is>
          <t>None</t>
        </is>
      </c>
      <c r="BZ723" s="17" t="n"/>
      <c r="CA723" s="16" t="n"/>
      <c r="CB723" s="20" t="n"/>
      <c r="CC723" s="20" t="inlineStr">
        <is>
          <t>None</t>
        </is>
      </c>
      <c r="CD723" s="17" t="n"/>
      <c r="CE723" s="16" t="n"/>
      <c r="CF723" s="20" t="n"/>
      <c r="CG723" s="20" t="inlineStr">
        <is>
          <t>None</t>
        </is>
      </c>
      <c r="CH723" s="17" t="n"/>
      <c r="CI723" s="16" t="n"/>
      <c r="CJ723" s="20" t="n"/>
      <c r="CK723" s="20" t="inlineStr">
        <is>
          <t>None</t>
        </is>
      </c>
      <c r="CL723" s="17" t="n"/>
      <c r="CM723" s="16" t="n"/>
      <c r="CN723" s="20" t="inlineStr">
        <is>
          <t>SOP 45-34</t>
        </is>
      </c>
      <c r="CO723" s="20" t="inlineStr">
        <is>
          <t>None</t>
        </is>
      </c>
      <c r="CP723" s="17" t="n"/>
      <c r="CQ723" s="16" t="n"/>
      <c r="CR723" s="20" t="n"/>
      <c r="CS723" s="20" t="inlineStr">
        <is>
          <t>None</t>
        </is>
      </c>
      <c r="CT723" s="17" t="n"/>
      <c r="CU723" s="16" t="n"/>
      <c r="CV723" s="20" t="n"/>
      <c r="CW723" s="20" t="inlineStr">
        <is>
          <t>None</t>
        </is>
      </c>
      <c r="CX723" s="17" t="n"/>
      <c r="CY723" s="16" t="n"/>
      <c r="CZ723" s="20" t="inlineStr">
        <is>
          <t>WTW Multimeter 3430 with FDO 925</t>
        </is>
      </c>
      <c r="DA723" s="20" t="inlineStr">
        <is>
          <t>None</t>
        </is>
      </c>
      <c r="DB723" s="17" t="n"/>
      <c r="DC723" s="16" t="n"/>
      <c r="DD723" s="20" t="n"/>
      <c r="DE723" s="20" t="inlineStr">
        <is>
          <t>None</t>
        </is>
      </c>
      <c r="DF723" s="17" t="n"/>
      <c r="DG723" s="16" t="n"/>
      <c r="DH723" s="20" t="inlineStr">
        <is>
          <t>SOP 45-09</t>
        </is>
      </c>
      <c r="DI723" s="20" t="inlineStr">
        <is>
          <t>None</t>
        </is>
      </c>
      <c r="DJ723" s="17" t="n"/>
      <c r="DK723" s="16" t="n"/>
      <c r="DL723" s="20" t="inlineStr">
        <is>
          <t>SOP 45-09 (SOP muss noch angepasst werden für VSS)</t>
        </is>
      </c>
      <c r="DM723" s="20" t="inlineStr">
        <is>
          <t>None</t>
        </is>
      </c>
      <c r="DN723" s="17" t="n"/>
      <c r="DO723" s="16" t="n"/>
      <c r="DP723" s="20" t="inlineStr">
        <is>
          <t>IC Organic Acids</t>
        </is>
      </c>
      <c r="DQ723" s="20" t="inlineStr">
        <is>
          <t>None</t>
        </is>
      </c>
      <c r="DR723" s="17" t="n"/>
      <c r="DS723" s="16" t="n"/>
      <c r="DT723" s="20" t="inlineStr">
        <is>
          <t>IC Organic Acids</t>
        </is>
      </c>
      <c r="DU723" s="20" t="inlineStr">
        <is>
          <t>None</t>
        </is>
      </c>
      <c r="DV723" s="17" t="n"/>
      <c r="DW723" s="16" t="n"/>
      <c r="DX723" s="20" t="inlineStr">
        <is>
          <t>IC Organic Acids</t>
        </is>
      </c>
      <c r="DY723" s="20" t="inlineStr">
        <is>
          <t>None</t>
        </is>
      </c>
      <c r="DZ723" s="17" t="n"/>
      <c r="EA723" s="16" t="n"/>
      <c r="EB723" s="20" t="inlineStr">
        <is>
          <t>IC Organic Acids</t>
        </is>
      </c>
      <c r="EC723" s="20" t="inlineStr">
        <is>
          <t>None</t>
        </is>
      </c>
      <c r="ED723" s="17" t="n"/>
      <c r="EE723" s="16" t="n"/>
      <c r="EF723" s="20" t="inlineStr">
        <is>
          <t>IC Organic Acids</t>
        </is>
      </c>
      <c r="EG723" s="20" t="inlineStr">
        <is>
          <t>None</t>
        </is>
      </c>
      <c r="EH723" s="17" t="n"/>
      <c r="EI723" s="16" t="n"/>
      <c r="EJ723" s="20" t="inlineStr">
        <is>
          <t>IC Organic Acids</t>
        </is>
      </c>
      <c r="EK723" s="20" t="inlineStr">
        <is>
          <t>None</t>
        </is>
      </c>
      <c r="EL723" s="17" t="n"/>
      <c r="EM723" s="16" t="n"/>
      <c r="EN723" s="20" t="inlineStr">
        <is>
          <t>IC Organic Acids</t>
        </is>
      </c>
      <c r="EO723" s="20" t="inlineStr">
        <is>
          <t>None</t>
        </is>
      </c>
      <c r="EP723" s="17" t="n"/>
      <c r="EQ723" s="16" t="n"/>
      <c r="ER723" s="20" t="inlineStr">
        <is>
          <t>IC Organic Acids</t>
        </is>
      </c>
      <c r="ES723" s="20" t="inlineStr">
        <is>
          <t>None</t>
        </is>
      </c>
      <c r="ET723" s="17" t="n"/>
      <c r="EU723" s="16" t="n"/>
      <c r="EV723" s="20" t="inlineStr">
        <is>
          <t>LC-MS</t>
        </is>
      </c>
      <c r="EW723" s="20" t="inlineStr">
        <is>
          <t>None</t>
        </is>
      </c>
      <c r="EX723" s="17" t="n"/>
      <c r="EY723" s="21" t="n"/>
      <c r="EZ723">
        <f>CONCATENATE(A723,B723)</f>
        <v/>
      </c>
      <c r="FA723">
        <f>CONCATENATE(SamplesX!A723,SamplesX!B723)</f>
        <v/>
      </c>
      <c r="FC723">
        <f>MATCH(EZ723,FA1:FA1008,0)</f>
        <v/>
      </c>
    </row>
    <row r="724">
      <c r="A724" s="16" t="n"/>
      <c r="B724" s="17" t="n"/>
      <c r="C724" s="10">
        <f>IF(ISNUMBER(FC724),INDIRECT("SamplesX!C"&amp;FC724),IF(ISNUMBER(FD724),INDIRECT("SamplesY!C"&amp;FD724),""))</f>
        <v/>
      </c>
      <c r="D724" s="12">
        <f>IF(ISNUMBER(FC724),INDIRECT("SamplesX!D"&amp;FC724),IF(ISNUMBER(FD724),INDIRECT("SamplesY!D"&amp;FD724),""))</f>
        <v/>
      </c>
      <c r="E724" s="12">
        <f>IF(ISNUMBER(FC724),INDIRECT("SamplesX!E"&amp;FC724),IF(ISNUMBER(FD724),INDIRECT("SamplesY!E"&amp;FD724),""))</f>
        <v/>
      </c>
      <c r="F724" s="11">
        <f>IF(ISNUMBER(FC724),INDIRECT("SamplesX!F"&amp;FC724),IF(ISNUMBER(FD724),INDIRECT("SamplesY!F"&amp;FD724),""))</f>
        <v/>
      </c>
      <c r="G724" s="18">
        <f>IF(ISNUMBER(FC724),INDIRECT("SamplesX!G"&amp;FC724),IF(ISNUMBER(FD724),INDIRECT("SamplesY!G"&amp;FD724),""))</f>
        <v/>
      </c>
      <c r="H724" s="19">
        <f>IF(ISNUMBER(FC724),INDIRECT("SamplesX!H"&amp;FC724),IF(ISNUMBER(FD724),INDIRECT("SamplesY!H"&amp;FD724),""))</f>
        <v/>
      </c>
      <c r="I724" s="16" t="n"/>
      <c r="J724" s="16" t="n"/>
      <c r="K724" s="16" t="n"/>
      <c r="L724" s="20" t="n"/>
      <c r="M724" s="20" t="inlineStr">
        <is>
          <t>None</t>
        </is>
      </c>
      <c r="N724" s="17" t="n"/>
      <c r="O724" s="16" t="n"/>
      <c r="P724" s="20" t="inlineStr">
        <is>
          <t>Shimadzu TOC-L</t>
        </is>
      </c>
      <c r="Q724" s="20" t="inlineStr">
        <is>
          <t>None</t>
        </is>
      </c>
      <c r="R724" s="17" t="n"/>
      <c r="S724" s="16" t="n"/>
      <c r="T724" s="20" t="inlineStr">
        <is>
          <t>Shimadzu TOC-L</t>
        </is>
      </c>
      <c r="U724" s="20" t="inlineStr">
        <is>
          <t>None</t>
        </is>
      </c>
      <c r="V724" s="17" t="n"/>
      <c r="W724" s="16" t="n"/>
      <c r="X724" s="20" t="n"/>
      <c r="Y724" s="20" t="inlineStr">
        <is>
          <t>None</t>
        </is>
      </c>
      <c r="Z724" s="17" t="n"/>
      <c r="AA724" s="16" t="n"/>
      <c r="AB724" s="20" t="n"/>
      <c r="AC724" s="20" t="inlineStr">
        <is>
          <t>None</t>
        </is>
      </c>
      <c r="AD724" s="17" t="n"/>
      <c r="AE724" s="16" t="n"/>
      <c r="AF724" s="20" t="inlineStr">
        <is>
          <t>IC Anionen</t>
        </is>
      </c>
      <c r="AG724" s="20" t="inlineStr">
        <is>
          <t>None</t>
        </is>
      </c>
      <c r="AH724" s="17" t="n"/>
      <c r="AI724" s="16" t="n"/>
      <c r="AJ724" s="20" t="n"/>
      <c r="AK724" s="20" t="inlineStr">
        <is>
          <t>None</t>
        </is>
      </c>
      <c r="AL724" s="17" t="n"/>
      <c r="AM724" s="16" t="n"/>
      <c r="AN724" s="20" t="inlineStr">
        <is>
          <t>IC Anionen</t>
        </is>
      </c>
      <c r="AO724" s="20" t="inlineStr">
        <is>
          <t>None</t>
        </is>
      </c>
      <c r="AP724" s="17" t="n"/>
      <c r="AQ724" s="16" t="n"/>
      <c r="AR724" s="20" t="n"/>
      <c r="AS724" s="20" t="inlineStr">
        <is>
          <t>None</t>
        </is>
      </c>
      <c r="AT724" s="17" t="n"/>
      <c r="AU724" s="16" t="n"/>
      <c r="AV724" s="20" t="n"/>
      <c r="AW724" s="20" t="inlineStr">
        <is>
          <t>None</t>
        </is>
      </c>
      <c r="AX724" s="17" t="n"/>
      <c r="AY724" s="16" t="n"/>
      <c r="AZ724" s="20" t="inlineStr">
        <is>
          <t>IC Anionen</t>
        </is>
      </c>
      <c r="BA724" s="20" t="inlineStr">
        <is>
          <t>None</t>
        </is>
      </c>
      <c r="BB724" s="17" t="n"/>
      <c r="BC724" s="16" t="n"/>
      <c r="BD724" s="20" t="inlineStr">
        <is>
          <t>IC Kationen</t>
        </is>
      </c>
      <c r="BE724" s="20" t="inlineStr">
        <is>
          <t>None</t>
        </is>
      </c>
      <c r="BF724" s="17" t="n"/>
      <c r="BG724" s="16" t="n"/>
      <c r="BH724" s="20" t="inlineStr">
        <is>
          <t>IC Kationen</t>
        </is>
      </c>
      <c r="BI724" s="20" t="inlineStr">
        <is>
          <t>None</t>
        </is>
      </c>
      <c r="BJ724" s="17" t="n"/>
      <c r="BK724" s="16" t="n"/>
      <c r="BL724" s="20" t="inlineStr">
        <is>
          <t>IC Kationen</t>
        </is>
      </c>
      <c r="BM724" s="20" t="inlineStr">
        <is>
          <t>None</t>
        </is>
      </c>
      <c r="BN724" s="17" t="n"/>
      <c r="BO724" s="16" t="n"/>
      <c r="BP724" s="20" t="inlineStr">
        <is>
          <t>IC Kationen</t>
        </is>
      </c>
      <c r="BQ724" s="20" t="inlineStr">
        <is>
          <t>None</t>
        </is>
      </c>
      <c r="BR724" s="17" t="n"/>
      <c r="BS724" s="16" t="n"/>
      <c r="BT724" s="20" t="inlineStr">
        <is>
          <t>IC Kationen</t>
        </is>
      </c>
      <c r="BU724" s="20" t="inlineStr">
        <is>
          <t>None</t>
        </is>
      </c>
      <c r="BV724" s="17" t="n"/>
      <c r="BW724" s="16" t="n"/>
      <c r="BX724" s="20" t="n"/>
      <c r="BY724" s="20" t="inlineStr">
        <is>
          <t>None</t>
        </is>
      </c>
      <c r="BZ724" s="17" t="n"/>
      <c r="CA724" s="16" t="n"/>
      <c r="CB724" s="20" t="n"/>
      <c r="CC724" s="20" t="inlineStr">
        <is>
          <t>None</t>
        </is>
      </c>
      <c r="CD724" s="17" t="n"/>
      <c r="CE724" s="16" t="n"/>
      <c r="CF724" s="20" t="n"/>
      <c r="CG724" s="20" t="inlineStr">
        <is>
          <t>None</t>
        </is>
      </c>
      <c r="CH724" s="17" t="n"/>
      <c r="CI724" s="16" t="n"/>
      <c r="CJ724" s="20" t="n"/>
      <c r="CK724" s="20" t="inlineStr">
        <is>
          <t>None</t>
        </is>
      </c>
      <c r="CL724" s="17" t="n"/>
      <c r="CM724" s="16" t="n"/>
      <c r="CN724" s="20" t="inlineStr">
        <is>
          <t>SOP 45-34</t>
        </is>
      </c>
      <c r="CO724" s="20" t="inlineStr">
        <is>
          <t>None</t>
        </is>
      </c>
      <c r="CP724" s="17" t="n"/>
      <c r="CQ724" s="16" t="n"/>
      <c r="CR724" s="20" t="n"/>
      <c r="CS724" s="20" t="inlineStr">
        <is>
          <t>None</t>
        </is>
      </c>
      <c r="CT724" s="17" t="n"/>
      <c r="CU724" s="16" t="n"/>
      <c r="CV724" s="20" t="n"/>
      <c r="CW724" s="20" t="inlineStr">
        <is>
          <t>None</t>
        </is>
      </c>
      <c r="CX724" s="17" t="n"/>
      <c r="CY724" s="16" t="n"/>
      <c r="CZ724" s="20" t="inlineStr">
        <is>
          <t>WTW Multimeter 3430 with FDO 925</t>
        </is>
      </c>
      <c r="DA724" s="20" t="inlineStr">
        <is>
          <t>None</t>
        </is>
      </c>
      <c r="DB724" s="17" t="n"/>
      <c r="DC724" s="16" t="n"/>
      <c r="DD724" s="20" t="n"/>
      <c r="DE724" s="20" t="inlineStr">
        <is>
          <t>None</t>
        </is>
      </c>
      <c r="DF724" s="17" t="n"/>
      <c r="DG724" s="16" t="n"/>
      <c r="DH724" s="20" t="inlineStr">
        <is>
          <t>SOP 45-09</t>
        </is>
      </c>
      <c r="DI724" s="20" t="inlineStr">
        <is>
          <t>None</t>
        </is>
      </c>
      <c r="DJ724" s="17" t="n"/>
      <c r="DK724" s="16" t="n"/>
      <c r="DL724" s="20" t="inlineStr">
        <is>
          <t>SOP 45-09 (SOP muss noch angepasst werden für VSS)</t>
        </is>
      </c>
      <c r="DM724" s="20" t="inlineStr">
        <is>
          <t>None</t>
        </is>
      </c>
      <c r="DN724" s="17" t="n"/>
      <c r="DO724" s="16" t="n"/>
      <c r="DP724" s="20" t="inlineStr">
        <is>
          <t>IC Organic Acids</t>
        </is>
      </c>
      <c r="DQ724" s="20" t="inlineStr">
        <is>
          <t>None</t>
        </is>
      </c>
      <c r="DR724" s="17" t="n"/>
      <c r="DS724" s="16" t="n"/>
      <c r="DT724" s="20" t="inlineStr">
        <is>
          <t>IC Organic Acids</t>
        </is>
      </c>
      <c r="DU724" s="20" t="inlineStr">
        <is>
          <t>None</t>
        </is>
      </c>
      <c r="DV724" s="17" t="n"/>
      <c r="DW724" s="16" t="n"/>
      <c r="DX724" s="20" t="inlineStr">
        <is>
          <t>IC Organic Acids</t>
        </is>
      </c>
      <c r="DY724" s="20" t="inlineStr">
        <is>
          <t>None</t>
        </is>
      </c>
      <c r="DZ724" s="17" t="n"/>
      <c r="EA724" s="16" t="n"/>
      <c r="EB724" s="20" t="inlineStr">
        <is>
          <t>IC Organic Acids</t>
        </is>
      </c>
      <c r="EC724" s="20" t="inlineStr">
        <is>
          <t>None</t>
        </is>
      </c>
      <c r="ED724" s="17" t="n"/>
      <c r="EE724" s="16" t="n"/>
      <c r="EF724" s="20" t="inlineStr">
        <is>
          <t>IC Organic Acids</t>
        </is>
      </c>
      <c r="EG724" s="20" t="inlineStr">
        <is>
          <t>None</t>
        </is>
      </c>
      <c r="EH724" s="17" t="n"/>
      <c r="EI724" s="16" t="n"/>
      <c r="EJ724" s="20" t="inlineStr">
        <is>
          <t>IC Organic Acids</t>
        </is>
      </c>
      <c r="EK724" s="20" t="inlineStr">
        <is>
          <t>None</t>
        </is>
      </c>
      <c r="EL724" s="17" t="n"/>
      <c r="EM724" s="16" t="n"/>
      <c r="EN724" s="20" t="inlineStr">
        <is>
          <t>IC Organic Acids</t>
        </is>
      </c>
      <c r="EO724" s="20" t="inlineStr">
        <is>
          <t>None</t>
        </is>
      </c>
      <c r="EP724" s="17" t="n"/>
      <c r="EQ724" s="16" t="n"/>
      <c r="ER724" s="20" t="inlineStr">
        <is>
          <t>IC Organic Acids</t>
        </is>
      </c>
      <c r="ES724" s="20" t="inlineStr">
        <is>
          <t>None</t>
        </is>
      </c>
      <c r="ET724" s="17" t="n"/>
      <c r="EU724" s="16" t="n"/>
      <c r="EV724" s="20" t="inlineStr">
        <is>
          <t>LC-MS</t>
        </is>
      </c>
      <c r="EW724" s="20" t="inlineStr">
        <is>
          <t>None</t>
        </is>
      </c>
      <c r="EX724" s="17" t="n"/>
      <c r="EY724" s="21" t="n"/>
      <c r="EZ724">
        <f>CONCATENATE(A724,B724)</f>
        <v/>
      </c>
      <c r="FA724">
        <f>CONCATENATE(SamplesX!A724,SamplesX!B724)</f>
        <v/>
      </c>
      <c r="FC724">
        <f>MATCH(EZ724,FA1:FA1008,0)</f>
        <v/>
      </c>
    </row>
    <row r="725">
      <c r="A725" s="16" t="n"/>
      <c r="B725" s="17" t="n"/>
      <c r="C725" s="10">
        <f>IF(ISNUMBER(FC725),INDIRECT("SamplesX!C"&amp;FC725),IF(ISNUMBER(FD725),INDIRECT("SamplesY!C"&amp;FD725),""))</f>
        <v/>
      </c>
      <c r="D725" s="12">
        <f>IF(ISNUMBER(FC725),INDIRECT("SamplesX!D"&amp;FC725),IF(ISNUMBER(FD725),INDIRECT("SamplesY!D"&amp;FD725),""))</f>
        <v/>
      </c>
      <c r="E725" s="12">
        <f>IF(ISNUMBER(FC725),INDIRECT("SamplesX!E"&amp;FC725),IF(ISNUMBER(FD725),INDIRECT("SamplesY!E"&amp;FD725),""))</f>
        <v/>
      </c>
      <c r="F725" s="11">
        <f>IF(ISNUMBER(FC725),INDIRECT("SamplesX!F"&amp;FC725),IF(ISNUMBER(FD725),INDIRECT("SamplesY!F"&amp;FD725),""))</f>
        <v/>
      </c>
      <c r="G725" s="18">
        <f>IF(ISNUMBER(FC725),INDIRECT("SamplesX!G"&amp;FC725),IF(ISNUMBER(FD725),INDIRECT("SamplesY!G"&amp;FD725),""))</f>
        <v/>
      </c>
      <c r="H725" s="19">
        <f>IF(ISNUMBER(FC725),INDIRECT("SamplesX!H"&amp;FC725),IF(ISNUMBER(FD725),INDIRECT("SamplesY!H"&amp;FD725),""))</f>
        <v/>
      </c>
      <c r="I725" s="16" t="n"/>
      <c r="J725" s="16" t="n"/>
      <c r="K725" s="16" t="n"/>
      <c r="L725" s="20" t="n"/>
      <c r="M725" s="20" t="inlineStr">
        <is>
          <t>None</t>
        </is>
      </c>
      <c r="N725" s="17" t="n"/>
      <c r="O725" s="16" t="n"/>
      <c r="P725" s="20" t="inlineStr">
        <is>
          <t>Shimadzu TOC-L</t>
        </is>
      </c>
      <c r="Q725" s="20" t="inlineStr">
        <is>
          <t>None</t>
        </is>
      </c>
      <c r="R725" s="17" t="n"/>
      <c r="S725" s="16" t="n"/>
      <c r="T725" s="20" t="inlineStr">
        <is>
          <t>Shimadzu TOC-L</t>
        </is>
      </c>
      <c r="U725" s="20" t="inlineStr">
        <is>
          <t>None</t>
        </is>
      </c>
      <c r="V725" s="17" t="n"/>
      <c r="W725" s="16" t="n"/>
      <c r="X725" s="20" t="n"/>
      <c r="Y725" s="20" t="inlineStr">
        <is>
          <t>None</t>
        </is>
      </c>
      <c r="Z725" s="17" t="n"/>
      <c r="AA725" s="16" t="n"/>
      <c r="AB725" s="20" t="n"/>
      <c r="AC725" s="20" t="inlineStr">
        <is>
          <t>None</t>
        </is>
      </c>
      <c r="AD725" s="17" t="n"/>
      <c r="AE725" s="16" t="n"/>
      <c r="AF725" s="20" t="inlineStr">
        <is>
          <t>IC Anionen</t>
        </is>
      </c>
      <c r="AG725" s="20" t="inlineStr">
        <is>
          <t>None</t>
        </is>
      </c>
      <c r="AH725" s="17" t="n"/>
      <c r="AI725" s="16" t="n"/>
      <c r="AJ725" s="20" t="n"/>
      <c r="AK725" s="20" t="inlineStr">
        <is>
          <t>None</t>
        </is>
      </c>
      <c r="AL725" s="17" t="n"/>
      <c r="AM725" s="16" t="n"/>
      <c r="AN725" s="20" t="inlineStr">
        <is>
          <t>IC Anionen</t>
        </is>
      </c>
      <c r="AO725" s="20" t="inlineStr">
        <is>
          <t>None</t>
        </is>
      </c>
      <c r="AP725" s="17" t="n"/>
      <c r="AQ725" s="16" t="n"/>
      <c r="AR725" s="20" t="n"/>
      <c r="AS725" s="20" t="inlineStr">
        <is>
          <t>None</t>
        </is>
      </c>
      <c r="AT725" s="17" t="n"/>
      <c r="AU725" s="16" t="n"/>
      <c r="AV725" s="20" t="n"/>
      <c r="AW725" s="20" t="inlineStr">
        <is>
          <t>None</t>
        </is>
      </c>
      <c r="AX725" s="17" t="n"/>
      <c r="AY725" s="16" t="n"/>
      <c r="AZ725" s="20" t="inlineStr">
        <is>
          <t>IC Anionen</t>
        </is>
      </c>
      <c r="BA725" s="20" t="inlineStr">
        <is>
          <t>None</t>
        </is>
      </c>
      <c r="BB725" s="17" t="n"/>
      <c r="BC725" s="16" t="n"/>
      <c r="BD725" s="20" t="inlineStr">
        <is>
          <t>IC Kationen</t>
        </is>
      </c>
      <c r="BE725" s="20" t="inlineStr">
        <is>
          <t>None</t>
        </is>
      </c>
      <c r="BF725" s="17" t="n"/>
      <c r="BG725" s="16" t="n"/>
      <c r="BH725" s="20" t="inlineStr">
        <is>
          <t>IC Kationen</t>
        </is>
      </c>
      <c r="BI725" s="20" t="inlineStr">
        <is>
          <t>None</t>
        </is>
      </c>
      <c r="BJ725" s="17" t="n"/>
      <c r="BK725" s="16" t="n"/>
      <c r="BL725" s="20" t="inlineStr">
        <is>
          <t>IC Kationen</t>
        </is>
      </c>
      <c r="BM725" s="20" t="inlineStr">
        <is>
          <t>None</t>
        </is>
      </c>
      <c r="BN725" s="17" t="n"/>
      <c r="BO725" s="16" t="n"/>
      <c r="BP725" s="20" t="inlineStr">
        <is>
          <t>IC Kationen</t>
        </is>
      </c>
      <c r="BQ725" s="20" t="inlineStr">
        <is>
          <t>None</t>
        </is>
      </c>
      <c r="BR725" s="17" t="n"/>
      <c r="BS725" s="16" t="n"/>
      <c r="BT725" s="20" t="inlineStr">
        <is>
          <t>IC Kationen</t>
        </is>
      </c>
      <c r="BU725" s="20" t="inlineStr">
        <is>
          <t>None</t>
        </is>
      </c>
      <c r="BV725" s="17" t="n"/>
      <c r="BW725" s="16" t="n"/>
      <c r="BX725" s="20" t="n"/>
      <c r="BY725" s="20" t="inlineStr">
        <is>
          <t>None</t>
        </is>
      </c>
      <c r="BZ725" s="17" t="n"/>
      <c r="CA725" s="16" t="n"/>
      <c r="CB725" s="20" t="n"/>
      <c r="CC725" s="20" t="inlineStr">
        <is>
          <t>None</t>
        </is>
      </c>
      <c r="CD725" s="17" t="n"/>
      <c r="CE725" s="16" t="n"/>
      <c r="CF725" s="20" t="n"/>
      <c r="CG725" s="20" t="inlineStr">
        <is>
          <t>None</t>
        </is>
      </c>
      <c r="CH725" s="17" t="n"/>
      <c r="CI725" s="16" t="n"/>
      <c r="CJ725" s="20" t="n"/>
      <c r="CK725" s="20" t="inlineStr">
        <is>
          <t>None</t>
        </is>
      </c>
      <c r="CL725" s="17" t="n"/>
      <c r="CM725" s="16" t="n"/>
      <c r="CN725" s="20" t="inlineStr">
        <is>
          <t>SOP 45-34</t>
        </is>
      </c>
      <c r="CO725" s="20" t="inlineStr">
        <is>
          <t>None</t>
        </is>
      </c>
      <c r="CP725" s="17" t="n"/>
      <c r="CQ725" s="16" t="n"/>
      <c r="CR725" s="20" t="n"/>
      <c r="CS725" s="20" t="inlineStr">
        <is>
          <t>None</t>
        </is>
      </c>
      <c r="CT725" s="17" t="n"/>
      <c r="CU725" s="16" t="n"/>
      <c r="CV725" s="20" t="n"/>
      <c r="CW725" s="20" t="inlineStr">
        <is>
          <t>None</t>
        </is>
      </c>
      <c r="CX725" s="17" t="n"/>
      <c r="CY725" s="16" t="n"/>
      <c r="CZ725" s="20" t="inlineStr">
        <is>
          <t>WTW Multimeter 3430 with FDO 925</t>
        </is>
      </c>
      <c r="DA725" s="20" t="inlineStr">
        <is>
          <t>None</t>
        </is>
      </c>
      <c r="DB725" s="17" t="n"/>
      <c r="DC725" s="16" t="n"/>
      <c r="DD725" s="20" t="n"/>
      <c r="DE725" s="20" t="inlineStr">
        <is>
          <t>None</t>
        </is>
      </c>
      <c r="DF725" s="17" t="n"/>
      <c r="DG725" s="16" t="n"/>
      <c r="DH725" s="20" t="inlineStr">
        <is>
          <t>SOP 45-09</t>
        </is>
      </c>
      <c r="DI725" s="20" t="inlineStr">
        <is>
          <t>None</t>
        </is>
      </c>
      <c r="DJ725" s="17" t="n"/>
      <c r="DK725" s="16" t="n"/>
      <c r="DL725" s="20" t="inlineStr">
        <is>
          <t>SOP 45-09 (SOP muss noch angepasst werden für VSS)</t>
        </is>
      </c>
      <c r="DM725" s="20" t="inlineStr">
        <is>
          <t>None</t>
        </is>
      </c>
      <c r="DN725" s="17" t="n"/>
      <c r="DO725" s="16" t="n"/>
      <c r="DP725" s="20" t="inlineStr">
        <is>
          <t>IC Organic Acids</t>
        </is>
      </c>
      <c r="DQ725" s="20" t="inlineStr">
        <is>
          <t>None</t>
        </is>
      </c>
      <c r="DR725" s="17" t="n"/>
      <c r="DS725" s="16" t="n"/>
      <c r="DT725" s="20" t="inlineStr">
        <is>
          <t>IC Organic Acids</t>
        </is>
      </c>
      <c r="DU725" s="20" t="inlineStr">
        <is>
          <t>None</t>
        </is>
      </c>
      <c r="DV725" s="17" t="n"/>
      <c r="DW725" s="16" t="n"/>
      <c r="DX725" s="20" t="inlineStr">
        <is>
          <t>IC Organic Acids</t>
        </is>
      </c>
      <c r="DY725" s="20" t="inlineStr">
        <is>
          <t>None</t>
        </is>
      </c>
      <c r="DZ725" s="17" t="n"/>
      <c r="EA725" s="16" t="n"/>
      <c r="EB725" s="20" t="inlineStr">
        <is>
          <t>IC Organic Acids</t>
        </is>
      </c>
      <c r="EC725" s="20" t="inlineStr">
        <is>
          <t>None</t>
        </is>
      </c>
      <c r="ED725" s="17" t="n"/>
      <c r="EE725" s="16" t="n"/>
      <c r="EF725" s="20" t="inlineStr">
        <is>
          <t>IC Organic Acids</t>
        </is>
      </c>
      <c r="EG725" s="20" t="inlineStr">
        <is>
          <t>None</t>
        </is>
      </c>
      <c r="EH725" s="17" t="n"/>
      <c r="EI725" s="16" t="n"/>
      <c r="EJ725" s="20" t="inlineStr">
        <is>
          <t>IC Organic Acids</t>
        </is>
      </c>
      <c r="EK725" s="20" t="inlineStr">
        <is>
          <t>None</t>
        </is>
      </c>
      <c r="EL725" s="17" t="n"/>
      <c r="EM725" s="16" t="n"/>
      <c r="EN725" s="20" t="inlineStr">
        <is>
          <t>IC Organic Acids</t>
        </is>
      </c>
      <c r="EO725" s="20" t="inlineStr">
        <is>
          <t>None</t>
        </is>
      </c>
      <c r="EP725" s="17" t="n"/>
      <c r="EQ725" s="16" t="n"/>
      <c r="ER725" s="20" t="inlineStr">
        <is>
          <t>IC Organic Acids</t>
        </is>
      </c>
      <c r="ES725" s="20" t="inlineStr">
        <is>
          <t>None</t>
        </is>
      </c>
      <c r="ET725" s="17" t="n"/>
      <c r="EU725" s="16" t="n"/>
      <c r="EV725" s="20" t="inlineStr">
        <is>
          <t>LC-MS</t>
        </is>
      </c>
      <c r="EW725" s="20" t="inlineStr">
        <is>
          <t>None</t>
        </is>
      </c>
      <c r="EX725" s="17" t="n"/>
      <c r="EY725" s="21" t="n"/>
      <c r="EZ725">
        <f>CONCATENATE(A725,B725)</f>
        <v/>
      </c>
      <c r="FA725">
        <f>CONCATENATE(SamplesX!A725,SamplesX!B725)</f>
        <v/>
      </c>
      <c r="FC725">
        <f>MATCH(EZ725,FA1:FA1008,0)</f>
        <v/>
      </c>
    </row>
    <row r="726">
      <c r="A726" s="16" t="n"/>
      <c r="B726" s="17" t="n"/>
      <c r="C726" s="10">
        <f>IF(ISNUMBER(FC726),INDIRECT("SamplesX!C"&amp;FC726),IF(ISNUMBER(FD726),INDIRECT("SamplesY!C"&amp;FD726),""))</f>
        <v/>
      </c>
      <c r="D726" s="12">
        <f>IF(ISNUMBER(FC726),INDIRECT("SamplesX!D"&amp;FC726),IF(ISNUMBER(FD726),INDIRECT("SamplesY!D"&amp;FD726),""))</f>
        <v/>
      </c>
      <c r="E726" s="12">
        <f>IF(ISNUMBER(FC726),INDIRECT("SamplesX!E"&amp;FC726),IF(ISNUMBER(FD726),INDIRECT("SamplesY!E"&amp;FD726),""))</f>
        <v/>
      </c>
      <c r="F726" s="11">
        <f>IF(ISNUMBER(FC726),INDIRECT("SamplesX!F"&amp;FC726),IF(ISNUMBER(FD726),INDIRECT("SamplesY!F"&amp;FD726),""))</f>
        <v/>
      </c>
      <c r="G726" s="18">
        <f>IF(ISNUMBER(FC726),INDIRECT("SamplesX!G"&amp;FC726),IF(ISNUMBER(FD726),INDIRECT("SamplesY!G"&amp;FD726),""))</f>
        <v/>
      </c>
      <c r="H726" s="19">
        <f>IF(ISNUMBER(FC726),INDIRECT("SamplesX!H"&amp;FC726),IF(ISNUMBER(FD726),INDIRECT("SamplesY!H"&amp;FD726),""))</f>
        <v/>
      </c>
      <c r="I726" s="16" t="n"/>
      <c r="J726" s="16" t="n"/>
      <c r="K726" s="16" t="n"/>
      <c r="L726" s="20" t="n"/>
      <c r="M726" s="20" t="inlineStr">
        <is>
          <t>None</t>
        </is>
      </c>
      <c r="N726" s="17" t="n"/>
      <c r="O726" s="16" t="n"/>
      <c r="P726" s="20" t="inlineStr">
        <is>
          <t>Shimadzu TOC-L</t>
        </is>
      </c>
      <c r="Q726" s="20" t="inlineStr">
        <is>
          <t>None</t>
        </is>
      </c>
      <c r="R726" s="17" t="n"/>
      <c r="S726" s="16" t="n"/>
      <c r="T726" s="20" t="inlineStr">
        <is>
          <t>Shimadzu TOC-L</t>
        </is>
      </c>
      <c r="U726" s="20" t="inlineStr">
        <is>
          <t>None</t>
        </is>
      </c>
      <c r="V726" s="17" t="n"/>
      <c r="W726" s="16" t="n"/>
      <c r="X726" s="20" t="n"/>
      <c r="Y726" s="20" t="inlineStr">
        <is>
          <t>None</t>
        </is>
      </c>
      <c r="Z726" s="17" t="n"/>
      <c r="AA726" s="16" t="n"/>
      <c r="AB726" s="20" t="n"/>
      <c r="AC726" s="20" t="inlineStr">
        <is>
          <t>None</t>
        </is>
      </c>
      <c r="AD726" s="17" t="n"/>
      <c r="AE726" s="16" t="n"/>
      <c r="AF726" s="20" t="inlineStr">
        <is>
          <t>IC Anionen</t>
        </is>
      </c>
      <c r="AG726" s="20" t="inlineStr">
        <is>
          <t>None</t>
        </is>
      </c>
      <c r="AH726" s="17" t="n"/>
      <c r="AI726" s="16" t="n"/>
      <c r="AJ726" s="20" t="n"/>
      <c r="AK726" s="20" t="inlineStr">
        <is>
          <t>None</t>
        </is>
      </c>
      <c r="AL726" s="17" t="n"/>
      <c r="AM726" s="16" t="n"/>
      <c r="AN726" s="20" t="inlineStr">
        <is>
          <t>IC Anionen</t>
        </is>
      </c>
      <c r="AO726" s="20" t="inlineStr">
        <is>
          <t>None</t>
        </is>
      </c>
      <c r="AP726" s="17" t="n"/>
      <c r="AQ726" s="16" t="n"/>
      <c r="AR726" s="20" t="n"/>
      <c r="AS726" s="20" t="inlineStr">
        <is>
          <t>None</t>
        </is>
      </c>
      <c r="AT726" s="17" t="n"/>
      <c r="AU726" s="16" t="n"/>
      <c r="AV726" s="20" t="n"/>
      <c r="AW726" s="20" t="inlineStr">
        <is>
          <t>None</t>
        </is>
      </c>
      <c r="AX726" s="17" t="n"/>
      <c r="AY726" s="16" t="n"/>
      <c r="AZ726" s="20" t="inlineStr">
        <is>
          <t>IC Anionen</t>
        </is>
      </c>
      <c r="BA726" s="20" t="inlineStr">
        <is>
          <t>None</t>
        </is>
      </c>
      <c r="BB726" s="17" t="n"/>
      <c r="BC726" s="16" t="n"/>
      <c r="BD726" s="20" t="inlineStr">
        <is>
          <t>IC Kationen</t>
        </is>
      </c>
      <c r="BE726" s="20" t="inlineStr">
        <is>
          <t>None</t>
        </is>
      </c>
      <c r="BF726" s="17" t="n"/>
      <c r="BG726" s="16" t="n"/>
      <c r="BH726" s="20" t="inlineStr">
        <is>
          <t>IC Kationen</t>
        </is>
      </c>
      <c r="BI726" s="20" t="inlineStr">
        <is>
          <t>None</t>
        </is>
      </c>
      <c r="BJ726" s="17" t="n"/>
      <c r="BK726" s="16" t="n"/>
      <c r="BL726" s="20" t="inlineStr">
        <is>
          <t>IC Kationen</t>
        </is>
      </c>
      <c r="BM726" s="20" t="inlineStr">
        <is>
          <t>None</t>
        </is>
      </c>
      <c r="BN726" s="17" t="n"/>
      <c r="BO726" s="16" t="n"/>
      <c r="BP726" s="20" t="inlineStr">
        <is>
          <t>IC Kationen</t>
        </is>
      </c>
      <c r="BQ726" s="20" t="inlineStr">
        <is>
          <t>None</t>
        </is>
      </c>
      <c r="BR726" s="17" t="n"/>
      <c r="BS726" s="16" t="n"/>
      <c r="BT726" s="20" t="inlineStr">
        <is>
          <t>IC Kationen</t>
        </is>
      </c>
      <c r="BU726" s="20" t="inlineStr">
        <is>
          <t>None</t>
        </is>
      </c>
      <c r="BV726" s="17" t="n"/>
      <c r="BW726" s="16" t="n"/>
      <c r="BX726" s="20" t="n"/>
      <c r="BY726" s="20" t="inlineStr">
        <is>
          <t>None</t>
        </is>
      </c>
      <c r="BZ726" s="17" t="n"/>
      <c r="CA726" s="16" t="n"/>
      <c r="CB726" s="20" t="n"/>
      <c r="CC726" s="20" t="inlineStr">
        <is>
          <t>None</t>
        </is>
      </c>
      <c r="CD726" s="17" t="n"/>
      <c r="CE726" s="16" t="n"/>
      <c r="CF726" s="20" t="n"/>
      <c r="CG726" s="20" t="inlineStr">
        <is>
          <t>None</t>
        </is>
      </c>
      <c r="CH726" s="17" t="n"/>
      <c r="CI726" s="16" t="n"/>
      <c r="CJ726" s="20" t="n"/>
      <c r="CK726" s="20" t="inlineStr">
        <is>
          <t>None</t>
        </is>
      </c>
      <c r="CL726" s="17" t="n"/>
      <c r="CM726" s="16" t="n"/>
      <c r="CN726" s="20" t="inlineStr">
        <is>
          <t>SOP 45-34</t>
        </is>
      </c>
      <c r="CO726" s="20" t="inlineStr">
        <is>
          <t>None</t>
        </is>
      </c>
      <c r="CP726" s="17" t="n"/>
      <c r="CQ726" s="16" t="n"/>
      <c r="CR726" s="20" t="n"/>
      <c r="CS726" s="20" t="inlineStr">
        <is>
          <t>None</t>
        </is>
      </c>
      <c r="CT726" s="17" t="n"/>
      <c r="CU726" s="16" t="n"/>
      <c r="CV726" s="20" t="n"/>
      <c r="CW726" s="20" t="inlineStr">
        <is>
          <t>None</t>
        </is>
      </c>
      <c r="CX726" s="17" t="n"/>
      <c r="CY726" s="16" t="n"/>
      <c r="CZ726" s="20" t="inlineStr">
        <is>
          <t>WTW Multimeter 3430 with FDO 925</t>
        </is>
      </c>
      <c r="DA726" s="20" t="inlineStr">
        <is>
          <t>None</t>
        </is>
      </c>
      <c r="DB726" s="17" t="n"/>
      <c r="DC726" s="16" t="n"/>
      <c r="DD726" s="20" t="n"/>
      <c r="DE726" s="20" t="inlineStr">
        <is>
          <t>None</t>
        </is>
      </c>
      <c r="DF726" s="17" t="n"/>
      <c r="DG726" s="16" t="n"/>
      <c r="DH726" s="20" t="inlineStr">
        <is>
          <t>SOP 45-09</t>
        </is>
      </c>
      <c r="DI726" s="20" t="inlineStr">
        <is>
          <t>None</t>
        </is>
      </c>
      <c r="DJ726" s="17" t="n"/>
      <c r="DK726" s="16" t="n"/>
      <c r="DL726" s="20" t="inlineStr">
        <is>
          <t>SOP 45-09 (SOP muss noch angepasst werden für VSS)</t>
        </is>
      </c>
      <c r="DM726" s="20" t="inlineStr">
        <is>
          <t>None</t>
        </is>
      </c>
      <c r="DN726" s="17" t="n"/>
      <c r="DO726" s="16" t="n"/>
      <c r="DP726" s="20" t="inlineStr">
        <is>
          <t>IC Organic Acids</t>
        </is>
      </c>
      <c r="DQ726" s="20" t="inlineStr">
        <is>
          <t>None</t>
        </is>
      </c>
      <c r="DR726" s="17" t="n"/>
      <c r="DS726" s="16" t="n"/>
      <c r="DT726" s="20" t="inlineStr">
        <is>
          <t>IC Organic Acids</t>
        </is>
      </c>
      <c r="DU726" s="20" t="inlineStr">
        <is>
          <t>None</t>
        </is>
      </c>
      <c r="DV726" s="17" t="n"/>
      <c r="DW726" s="16" t="n"/>
      <c r="DX726" s="20" t="inlineStr">
        <is>
          <t>IC Organic Acids</t>
        </is>
      </c>
      <c r="DY726" s="20" t="inlineStr">
        <is>
          <t>None</t>
        </is>
      </c>
      <c r="DZ726" s="17" t="n"/>
      <c r="EA726" s="16" t="n"/>
      <c r="EB726" s="20" t="inlineStr">
        <is>
          <t>IC Organic Acids</t>
        </is>
      </c>
      <c r="EC726" s="20" t="inlineStr">
        <is>
          <t>None</t>
        </is>
      </c>
      <c r="ED726" s="17" t="n"/>
      <c r="EE726" s="16" t="n"/>
      <c r="EF726" s="20" t="inlineStr">
        <is>
          <t>IC Organic Acids</t>
        </is>
      </c>
      <c r="EG726" s="20" t="inlineStr">
        <is>
          <t>None</t>
        </is>
      </c>
      <c r="EH726" s="17" t="n"/>
      <c r="EI726" s="16" t="n"/>
      <c r="EJ726" s="20" t="inlineStr">
        <is>
          <t>IC Organic Acids</t>
        </is>
      </c>
      <c r="EK726" s="20" t="inlineStr">
        <is>
          <t>None</t>
        </is>
      </c>
      <c r="EL726" s="17" t="n"/>
      <c r="EM726" s="16" t="n"/>
      <c r="EN726" s="20" t="inlineStr">
        <is>
          <t>IC Organic Acids</t>
        </is>
      </c>
      <c r="EO726" s="20" t="inlineStr">
        <is>
          <t>None</t>
        </is>
      </c>
      <c r="EP726" s="17" t="n"/>
      <c r="EQ726" s="16" t="n"/>
      <c r="ER726" s="20" t="inlineStr">
        <is>
          <t>IC Organic Acids</t>
        </is>
      </c>
      <c r="ES726" s="20" t="inlineStr">
        <is>
          <t>None</t>
        </is>
      </c>
      <c r="ET726" s="17" t="n"/>
      <c r="EU726" s="16" t="n"/>
      <c r="EV726" s="20" t="inlineStr">
        <is>
          <t>LC-MS</t>
        </is>
      </c>
      <c r="EW726" s="20" t="inlineStr">
        <is>
          <t>None</t>
        </is>
      </c>
      <c r="EX726" s="17" t="n"/>
      <c r="EY726" s="21" t="n"/>
      <c r="EZ726">
        <f>CONCATENATE(A726,B726)</f>
        <v/>
      </c>
      <c r="FA726">
        <f>CONCATENATE(SamplesX!A726,SamplesX!B726)</f>
        <v/>
      </c>
      <c r="FC726">
        <f>MATCH(EZ726,FA1:FA1008,0)</f>
        <v/>
      </c>
    </row>
    <row r="727">
      <c r="A727" s="16" t="n"/>
      <c r="B727" s="17" t="n"/>
      <c r="C727" s="10">
        <f>IF(ISNUMBER(FC727),INDIRECT("SamplesX!C"&amp;FC727),IF(ISNUMBER(FD727),INDIRECT("SamplesY!C"&amp;FD727),""))</f>
        <v/>
      </c>
      <c r="D727" s="12">
        <f>IF(ISNUMBER(FC727),INDIRECT("SamplesX!D"&amp;FC727),IF(ISNUMBER(FD727),INDIRECT("SamplesY!D"&amp;FD727),""))</f>
        <v/>
      </c>
      <c r="E727" s="12">
        <f>IF(ISNUMBER(FC727),INDIRECT("SamplesX!E"&amp;FC727),IF(ISNUMBER(FD727),INDIRECT("SamplesY!E"&amp;FD727),""))</f>
        <v/>
      </c>
      <c r="F727" s="11">
        <f>IF(ISNUMBER(FC727),INDIRECT("SamplesX!F"&amp;FC727),IF(ISNUMBER(FD727),INDIRECT("SamplesY!F"&amp;FD727),""))</f>
        <v/>
      </c>
      <c r="G727" s="18">
        <f>IF(ISNUMBER(FC727),INDIRECT("SamplesX!G"&amp;FC727),IF(ISNUMBER(FD727),INDIRECT("SamplesY!G"&amp;FD727),""))</f>
        <v/>
      </c>
      <c r="H727" s="19">
        <f>IF(ISNUMBER(FC727),INDIRECT("SamplesX!H"&amp;FC727),IF(ISNUMBER(FD727),INDIRECT("SamplesY!H"&amp;FD727),""))</f>
        <v/>
      </c>
      <c r="I727" s="16" t="n"/>
      <c r="J727" s="16" t="n"/>
      <c r="K727" s="16" t="n"/>
      <c r="L727" s="20" t="n"/>
      <c r="M727" s="20" t="inlineStr">
        <is>
          <t>None</t>
        </is>
      </c>
      <c r="N727" s="17" t="n"/>
      <c r="O727" s="16" t="n"/>
      <c r="P727" s="20" t="inlineStr">
        <is>
          <t>Shimadzu TOC-L</t>
        </is>
      </c>
      <c r="Q727" s="20" t="inlineStr">
        <is>
          <t>None</t>
        </is>
      </c>
      <c r="R727" s="17" t="n"/>
      <c r="S727" s="16" t="n"/>
      <c r="T727" s="20" t="inlineStr">
        <is>
          <t>Shimadzu TOC-L</t>
        </is>
      </c>
      <c r="U727" s="20" t="inlineStr">
        <is>
          <t>None</t>
        </is>
      </c>
      <c r="V727" s="17" t="n"/>
      <c r="W727" s="16" t="n"/>
      <c r="X727" s="20" t="n"/>
      <c r="Y727" s="20" t="inlineStr">
        <is>
          <t>None</t>
        </is>
      </c>
      <c r="Z727" s="17" t="n"/>
      <c r="AA727" s="16" t="n"/>
      <c r="AB727" s="20" t="n"/>
      <c r="AC727" s="20" t="inlineStr">
        <is>
          <t>None</t>
        </is>
      </c>
      <c r="AD727" s="17" t="n"/>
      <c r="AE727" s="16" t="n"/>
      <c r="AF727" s="20" t="inlineStr">
        <is>
          <t>IC Anionen</t>
        </is>
      </c>
      <c r="AG727" s="20" t="inlineStr">
        <is>
          <t>None</t>
        </is>
      </c>
      <c r="AH727" s="17" t="n"/>
      <c r="AI727" s="16" t="n"/>
      <c r="AJ727" s="20" t="n"/>
      <c r="AK727" s="20" t="inlineStr">
        <is>
          <t>None</t>
        </is>
      </c>
      <c r="AL727" s="17" t="n"/>
      <c r="AM727" s="16" t="n"/>
      <c r="AN727" s="20" t="inlineStr">
        <is>
          <t>IC Anionen</t>
        </is>
      </c>
      <c r="AO727" s="20" t="inlineStr">
        <is>
          <t>None</t>
        </is>
      </c>
      <c r="AP727" s="17" t="n"/>
      <c r="AQ727" s="16" t="n"/>
      <c r="AR727" s="20" t="n"/>
      <c r="AS727" s="20" t="inlineStr">
        <is>
          <t>None</t>
        </is>
      </c>
      <c r="AT727" s="17" t="n"/>
      <c r="AU727" s="16" t="n"/>
      <c r="AV727" s="20" t="n"/>
      <c r="AW727" s="20" t="inlineStr">
        <is>
          <t>None</t>
        </is>
      </c>
      <c r="AX727" s="17" t="n"/>
      <c r="AY727" s="16" t="n"/>
      <c r="AZ727" s="20" t="inlineStr">
        <is>
          <t>IC Anionen</t>
        </is>
      </c>
      <c r="BA727" s="20" t="inlineStr">
        <is>
          <t>None</t>
        </is>
      </c>
      <c r="BB727" s="17" t="n"/>
      <c r="BC727" s="16" t="n"/>
      <c r="BD727" s="20" t="inlineStr">
        <is>
          <t>IC Kationen</t>
        </is>
      </c>
      <c r="BE727" s="20" t="inlineStr">
        <is>
          <t>None</t>
        </is>
      </c>
      <c r="BF727" s="17" t="n"/>
      <c r="BG727" s="16" t="n"/>
      <c r="BH727" s="20" t="inlineStr">
        <is>
          <t>IC Kationen</t>
        </is>
      </c>
      <c r="BI727" s="20" t="inlineStr">
        <is>
          <t>None</t>
        </is>
      </c>
      <c r="BJ727" s="17" t="n"/>
      <c r="BK727" s="16" t="n"/>
      <c r="BL727" s="20" t="inlineStr">
        <is>
          <t>IC Kationen</t>
        </is>
      </c>
      <c r="BM727" s="20" t="inlineStr">
        <is>
          <t>None</t>
        </is>
      </c>
      <c r="BN727" s="17" t="n"/>
      <c r="BO727" s="16" t="n"/>
      <c r="BP727" s="20" t="inlineStr">
        <is>
          <t>IC Kationen</t>
        </is>
      </c>
      <c r="BQ727" s="20" t="inlineStr">
        <is>
          <t>None</t>
        </is>
      </c>
      <c r="BR727" s="17" t="n"/>
      <c r="BS727" s="16" t="n"/>
      <c r="BT727" s="20" t="inlineStr">
        <is>
          <t>IC Kationen</t>
        </is>
      </c>
      <c r="BU727" s="20" t="inlineStr">
        <is>
          <t>None</t>
        </is>
      </c>
      <c r="BV727" s="17" t="n"/>
      <c r="BW727" s="16" t="n"/>
      <c r="BX727" s="20" t="n"/>
      <c r="BY727" s="20" t="inlineStr">
        <is>
          <t>None</t>
        </is>
      </c>
      <c r="BZ727" s="17" t="n"/>
      <c r="CA727" s="16" t="n"/>
      <c r="CB727" s="20" t="n"/>
      <c r="CC727" s="20" t="inlineStr">
        <is>
          <t>None</t>
        </is>
      </c>
      <c r="CD727" s="17" t="n"/>
      <c r="CE727" s="16" t="n"/>
      <c r="CF727" s="20" t="n"/>
      <c r="CG727" s="20" t="inlineStr">
        <is>
          <t>None</t>
        </is>
      </c>
      <c r="CH727" s="17" t="n"/>
      <c r="CI727" s="16" t="n"/>
      <c r="CJ727" s="20" t="n"/>
      <c r="CK727" s="20" t="inlineStr">
        <is>
          <t>None</t>
        </is>
      </c>
      <c r="CL727" s="17" t="n"/>
      <c r="CM727" s="16" t="n"/>
      <c r="CN727" s="20" t="inlineStr">
        <is>
          <t>SOP 45-34</t>
        </is>
      </c>
      <c r="CO727" s="20" t="inlineStr">
        <is>
          <t>None</t>
        </is>
      </c>
      <c r="CP727" s="17" t="n"/>
      <c r="CQ727" s="16" t="n"/>
      <c r="CR727" s="20" t="n"/>
      <c r="CS727" s="20" t="inlineStr">
        <is>
          <t>None</t>
        </is>
      </c>
      <c r="CT727" s="17" t="n"/>
      <c r="CU727" s="16" t="n"/>
      <c r="CV727" s="20" t="n"/>
      <c r="CW727" s="20" t="inlineStr">
        <is>
          <t>None</t>
        </is>
      </c>
      <c r="CX727" s="17" t="n"/>
      <c r="CY727" s="16" t="n"/>
      <c r="CZ727" s="20" t="inlineStr">
        <is>
          <t>WTW Multimeter 3430 with FDO 925</t>
        </is>
      </c>
      <c r="DA727" s="20" t="inlineStr">
        <is>
          <t>None</t>
        </is>
      </c>
      <c r="DB727" s="17" t="n"/>
      <c r="DC727" s="16" t="n"/>
      <c r="DD727" s="20" t="n"/>
      <c r="DE727" s="20" t="inlineStr">
        <is>
          <t>None</t>
        </is>
      </c>
      <c r="DF727" s="17" t="n"/>
      <c r="DG727" s="16" t="n"/>
      <c r="DH727" s="20" t="inlineStr">
        <is>
          <t>SOP 45-09</t>
        </is>
      </c>
      <c r="DI727" s="20" t="inlineStr">
        <is>
          <t>None</t>
        </is>
      </c>
      <c r="DJ727" s="17" t="n"/>
      <c r="DK727" s="16" t="n"/>
      <c r="DL727" s="20" t="inlineStr">
        <is>
          <t>SOP 45-09 (SOP muss noch angepasst werden für VSS)</t>
        </is>
      </c>
      <c r="DM727" s="20" t="inlineStr">
        <is>
          <t>None</t>
        </is>
      </c>
      <c r="DN727" s="17" t="n"/>
      <c r="DO727" s="16" t="n"/>
      <c r="DP727" s="20" t="inlineStr">
        <is>
          <t>IC Organic Acids</t>
        </is>
      </c>
      <c r="DQ727" s="20" t="inlineStr">
        <is>
          <t>None</t>
        </is>
      </c>
      <c r="DR727" s="17" t="n"/>
      <c r="DS727" s="16" t="n"/>
      <c r="DT727" s="20" t="inlineStr">
        <is>
          <t>IC Organic Acids</t>
        </is>
      </c>
      <c r="DU727" s="20" t="inlineStr">
        <is>
          <t>None</t>
        </is>
      </c>
      <c r="DV727" s="17" t="n"/>
      <c r="DW727" s="16" t="n"/>
      <c r="DX727" s="20" t="inlineStr">
        <is>
          <t>IC Organic Acids</t>
        </is>
      </c>
      <c r="DY727" s="20" t="inlineStr">
        <is>
          <t>None</t>
        </is>
      </c>
      <c r="DZ727" s="17" t="n"/>
      <c r="EA727" s="16" t="n"/>
      <c r="EB727" s="20" t="inlineStr">
        <is>
          <t>IC Organic Acids</t>
        </is>
      </c>
      <c r="EC727" s="20" t="inlineStr">
        <is>
          <t>None</t>
        </is>
      </c>
      <c r="ED727" s="17" t="n"/>
      <c r="EE727" s="16" t="n"/>
      <c r="EF727" s="20" t="inlineStr">
        <is>
          <t>IC Organic Acids</t>
        </is>
      </c>
      <c r="EG727" s="20" t="inlineStr">
        <is>
          <t>None</t>
        </is>
      </c>
      <c r="EH727" s="17" t="n"/>
      <c r="EI727" s="16" t="n"/>
      <c r="EJ727" s="20" t="inlineStr">
        <is>
          <t>IC Organic Acids</t>
        </is>
      </c>
      <c r="EK727" s="20" t="inlineStr">
        <is>
          <t>None</t>
        </is>
      </c>
      <c r="EL727" s="17" t="n"/>
      <c r="EM727" s="16" t="n"/>
      <c r="EN727" s="20" t="inlineStr">
        <is>
          <t>IC Organic Acids</t>
        </is>
      </c>
      <c r="EO727" s="20" t="inlineStr">
        <is>
          <t>None</t>
        </is>
      </c>
      <c r="EP727" s="17" t="n"/>
      <c r="EQ727" s="16" t="n"/>
      <c r="ER727" s="20" t="inlineStr">
        <is>
          <t>IC Organic Acids</t>
        </is>
      </c>
      <c r="ES727" s="20" t="inlineStr">
        <is>
          <t>None</t>
        </is>
      </c>
      <c r="ET727" s="17" t="n"/>
      <c r="EU727" s="16" t="n"/>
      <c r="EV727" s="20" t="inlineStr">
        <is>
          <t>LC-MS</t>
        </is>
      </c>
      <c r="EW727" s="20" t="inlineStr">
        <is>
          <t>None</t>
        </is>
      </c>
      <c r="EX727" s="17" t="n"/>
      <c r="EY727" s="21" t="n"/>
      <c r="EZ727">
        <f>CONCATENATE(A727,B727)</f>
        <v/>
      </c>
      <c r="FA727">
        <f>CONCATENATE(SamplesX!A727,SamplesX!B727)</f>
        <v/>
      </c>
      <c r="FC727">
        <f>MATCH(EZ727,FA1:FA1008,0)</f>
        <v/>
      </c>
    </row>
    <row r="728">
      <c r="A728" s="16" t="n"/>
      <c r="B728" s="17" t="n"/>
      <c r="C728" s="10">
        <f>IF(ISNUMBER(FC728),INDIRECT("SamplesX!C"&amp;FC728),IF(ISNUMBER(FD728),INDIRECT("SamplesY!C"&amp;FD728),""))</f>
        <v/>
      </c>
      <c r="D728" s="12">
        <f>IF(ISNUMBER(FC728),INDIRECT("SamplesX!D"&amp;FC728),IF(ISNUMBER(FD728),INDIRECT("SamplesY!D"&amp;FD728),""))</f>
        <v/>
      </c>
      <c r="E728" s="12">
        <f>IF(ISNUMBER(FC728),INDIRECT("SamplesX!E"&amp;FC728),IF(ISNUMBER(FD728),INDIRECT("SamplesY!E"&amp;FD728),""))</f>
        <v/>
      </c>
      <c r="F728" s="11">
        <f>IF(ISNUMBER(FC728),INDIRECT("SamplesX!F"&amp;FC728),IF(ISNUMBER(FD728),INDIRECT("SamplesY!F"&amp;FD728),""))</f>
        <v/>
      </c>
      <c r="G728" s="18">
        <f>IF(ISNUMBER(FC728),INDIRECT("SamplesX!G"&amp;FC728),IF(ISNUMBER(FD728),INDIRECT("SamplesY!G"&amp;FD728),""))</f>
        <v/>
      </c>
      <c r="H728" s="19">
        <f>IF(ISNUMBER(FC728),INDIRECT("SamplesX!H"&amp;FC728),IF(ISNUMBER(FD728),INDIRECT("SamplesY!H"&amp;FD728),""))</f>
        <v/>
      </c>
      <c r="I728" s="16" t="n"/>
      <c r="J728" s="16" t="n"/>
      <c r="K728" s="16" t="n"/>
      <c r="L728" s="20" t="n"/>
      <c r="M728" s="20" t="inlineStr">
        <is>
          <t>None</t>
        </is>
      </c>
      <c r="N728" s="17" t="n"/>
      <c r="O728" s="16" t="n"/>
      <c r="P728" s="20" t="inlineStr">
        <is>
          <t>Shimadzu TOC-L</t>
        </is>
      </c>
      <c r="Q728" s="20" t="inlineStr">
        <is>
          <t>None</t>
        </is>
      </c>
      <c r="R728" s="17" t="n"/>
      <c r="S728" s="16" t="n"/>
      <c r="T728" s="20" t="inlineStr">
        <is>
          <t>Shimadzu TOC-L</t>
        </is>
      </c>
      <c r="U728" s="20" t="inlineStr">
        <is>
          <t>None</t>
        </is>
      </c>
      <c r="V728" s="17" t="n"/>
      <c r="W728" s="16" t="n"/>
      <c r="X728" s="20" t="n"/>
      <c r="Y728" s="20" t="inlineStr">
        <is>
          <t>None</t>
        </is>
      </c>
      <c r="Z728" s="17" t="n"/>
      <c r="AA728" s="16" t="n"/>
      <c r="AB728" s="20" t="n"/>
      <c r="AC728" s="20" t="inlineStr">
        <is>
          <t>None</t>
        </is>
      </c>
      <c r="AD728" s="17" t="n"/>
      <c r="AE728" s="16" t="n"/>
      <c r="AF728" s="20" t="inlineStr">
        <is>
          <t>IC Anionen</t>
        </is>
      </c>
      <c r="AG728" s="20" t="inlineStr">
        <is>
          <t>None</t>
        </is>
      </c>
      <c r="AH728" s="17" t="n"/>
      <c r="AI728" s="16" t="n"/>
      <c r="AJ728" s="20" t="n"/>
      <c r="AK728" s="20" t="inlineStr">
        <is>
          <t>None</t>
        </is>
      </c>
      <c r="AL728" s="17" t="n"/>
      <c r="AM728" s="16" t="n"/>
      <c r="AN728" s="20" t="inlineStr">
        <is>
          <t>IC Anionen</t>
        </is>
      </c>
      <c r="AO728" s="20" t="inlineStr">
        <is>
          <t>None</t>
        </is>
      </c>
      <c r="AP728" s="17" t="n"/>
      <c r="AQ728" s="16" t="n"/>
      <c r="AR728" s="20" t="n"/>
      <c r="AS728" s="20" t="inlineStr">
        <is>
          <t>None</t>
        </is>
      </c>
      <c r="AT728" s="17" t="n"/>
      <c r="AU728" s="16" t="n"/>
      <c r="AV728" s="20" t="n"/>
      <c r="AW728" s="20" t="inlineStr">
        <is>
          <t>None</t>
        </is>
      </c>
      <c r="AX728" s="17" t="n"/>
      <c r="AY728" s="16" t="n"/>
      <c r="AZ728" s="20" t="inlineStr">
        <is>
          <t>IC Anionen</t>
        </is>
      </c>
      <c r="BA728" s="20" t="inlineStr">
        <is>
          <t>None</t>
        </is>
      </c>
      <c r="BB728" s="17" t="n"/>
      <c r="BC728" s="16" t="n"/>
      <c r="BD728" s="20" t="inlineStr">
        <is>
          <t>IC Kationen</t>
        </is>
      </c>
      <c r="BE728" s="20" t="inlineStr">
        <is>
          <t>None</t>
        </is>
      </c>
      <c r="BF728" s="17" t="n"/>
      <c r="BG728" s="16" t="n"/>
      <c r="BH728" s="20" t="inlineStr">
        <is>
          <t>IC Kationen</t>
        </is>
      </c>
      <c r="BI728" s="20" t="inlineStr">
        <is>
          <t>None</t>
        </is>
      </c>
      <c r="BJ728" s="17" t="n"/>
      <c r="BK728" s="16" t="n"/>
      <c r="BL728" s="20" t="inlineStr">
        <is>
          <t>IC Kationen</t>
        </is>
      </c>
      <c r="BM728" s="20" t="inlineStr">
        <is>
          <t>None</t>
        </is>
      </c>
      <c r="BN728" s="17" t="n"/>
      <c r="BO728" s="16" t="n"/>
      <c r="BP728" s="20" t="inlineStr">
        <is>
          <t>IC Kationen</t>
        </is>
      </c>
      <c r="BQ728" s="20" t="inlineStr">
        <is>
          <t>None</t>
        </is>
      </c>
      <c r="BR728" s="17" t="n"/>
      <c r="BS728" s="16" t="n"/>
      <c r="BT728" s="20" t="inlineStr">
        <is>
          <t>IC Kationen</t>
        </is>
      </c>
      <c r="BU728" s="20" t="inlineStr">
        <is>
          <t>None</t>
        </is>
      </c>
      <c r="BV728" s="17" t="n"/>
      <c r="BW728" s="16" t="n"/>
      <c r="BX728" s="20" t="n"/>
      <c r="BY728" s="20" t="inlineStr">
        <is>
          <t>None</t>
        </is>
      </c>
      <c r="BZ728" s="17" t="n"/>
      <c r="CA728" s="16" t="n"/>
      <c r="CB728" s="20" t="n"/>
      <c r="CC728" s="20" t="inlineStr">
        <is>
          <t>None</t>
        </is>
      </c>
      <c r="CD728" s="17" t="n"/>
      <c r="CE728" s="16" t="n"/>
      <c r="CF728" s="20" t="n"/>
      <c r="CG728" s="20" t="inlineStr">
        <is>
          <t>None</t>
        </is>
      </c>
      <c r="CH728" s="17" t="n"/>
      <c r="CI728" s="16" t="n"/>
      <c r="CJ728" s="20" t="n"/>
      <c r="CK728" s="20" t="inlineStr">
        <is>
          <t>None</t>
        </is>
      </c>
      <c r="CL728" s="17" t="n"/>
      <c r="CM728" s="16" t="n"/>
      <c r="CN728" s="20" t="inlineStr">
        <is>
          <t>SOP 45-34</t>
        </is>
      </c>
      <c r="CO728" s="20" t="inlineStr">
        <is>
          <t>None</t>
        </is>
      </c>
      <c r="CP728" s="17" t="n"/>
      <c r="CQ728" s="16" t="n"/>
      <c r="CR728" s="20" t="n"/>
      <c r="CS728" s="20" t="inlineStr">
        <is>
          <t>None</t>
        </is>
      </c>
      <c r="CT728" s="17" t="n"/>
      <c r="CU728" s="16" t="n"/>
      <c r="CV728" s="20" t="n"/>
      <c r="CW728" s="20" t="inlineStr">
        <is>
          <t>None</t>
        </is>
      </c>
      <c r="CX728" s="17" t="n"/>
      <c r="CY728" s="16" t="n"/>
      <c r="CZ728" s="20" t="inlineStr">
        <is>
          <t>WTW Multimeter 3430 with FDO 925</t>
        </is>
      </c>
      <c r="DA728" s="20" t="inlineStr">
        <is>
          <t>None</t>
        </is>
      </c>
      <c r="DB728" s="17" t="n"/>
      <c r="DC728" s="16" t="n"/>
      <c r="DD728" s="20" t="n"/>
      <c r="DE728" s="20" t="inlineStr">
        <is>
          <t>None</t>
        </is>
      </c>
      <c r="DF728" s="17" t="n"/>
      <c r="DG728" s="16" t="n"/>
      <c r="DH728" s="20" t="inlineStr">
        <is>
          <t>SOP 45-09</t>
        </is>
      </c>
      <c r="DI728" s="20" t="inlineStr">
        <is>
          <t>None</t>
        </is>
      </c>
      <c r="DJ728" s="17" t="n"/>
      <c r="DK728" s="16" t="n"/>
      <c r="DL728" s="20" t="inlineStr">
        <is>
          <t>SOP 45-09 (SOP muss noch angepasst werden für VSS)</t>
        </is>
      </c>
      <c r="DM728" s="20" t="inlineStr">
        <is>
          <t>None</t>
        </is>
      </c>
      <c r="DN728" s="17" t="n"/>
      <c r="DO728" s="16" t="n"/>
      <c r="DP728" s="20" t="inlineStr">
        <is>
          <t>IC Organic Acids</t>
        </is>
      </c>
      <c r="DQ728" s="20" t="inlineStr">
        <is>
          <t>None</t>
        </is>
      </c>
      <c r="DR728" s="17" t="n"/>
      <c r="DS728" s="16" t="n"/>
      <c r="DT728" s="20" t="inlineStr">
        <is>
          <t>IC Organic Acids</t>
        </is>
      </c>
      <c r="DU728" s="20" t="inlineStr">
        <is>
          <t>None</t>
        </is>
      </c>
      <c r="DV728" s="17" t="n"/>
      <c r="DW728" s="16" t="n"/>
      <c r="DX728" s="20" t="inlineStr">
        <is>
          <t>IC Organic Acids</t>
        </is>
      </c>
      <c r="DY728" s="20" t="inlineStr">
        <is>
          <t>None</t>
        </is>
      </c>
      <c r="DZ728" s="17" t="n"/>
      <c r="EA728" s="16" t="n"/>
      <c r="EB728" s="20" t="inlineStr">
        <is>
          <t>IC Organic Acids</t>
        </is>
      </c>
      <c r="EC728" s="20" t="inlineStr">
        <is>
          <t>None</t>
        </is>
      </c>
      <c r="ED728" s="17" t="n"/>
      <c r="EE728" s="16" t="n"/>
      <c r="EF728" s="20" t="inlineStr">
        <is>
          <t>IC Organic Acids</t>
        </is>
      </c>
      <c r="EG728" s="20" t="inlineStr">
        <is>
          <t>None</t>
        </is>
      </c>
      <c r="EH728" s="17" t="n"/>
      <c r="EI728" s="16" t="n"/>
      <c r="EJ728" s="20" t="inlineStr">
        <is>
          <t>IC Organic Acids</t>
        </is>
      </c>
      <c r="EK728" s="20" t="inlineStr">
        <is>
          <t>None</t>
        </is>
      </c>
      <c r="EL728" s="17" t="n"/>
      <c r="EM728" s="16" t="n"/>
      <c r="EN728" s="20" t="inlineStr">
        <is>
          <t>IC Organic Acids</t>
        </is>
      </c>
      <c r="EO728" s="20" t="inlineStr">
        <is>
          <t>None</t>
        </is>
      </c>
      <c r="EP728" s="17" t="n"/>
      <c r="EQ728" s="16" t="n"/>
      <c r="ER728" s="20" t="inlineStr">
        <is>
          <t>IC Organic Acids</t>
        </is>
      </c>
      <c r="ES728" s="20" t="inlineStr">
        <is>
          <t>None</t>
        </is>
      </c>
      <c r="ET728" s="17" t="n"/>
      <c r="EU728" s="16" t="n"/>
      <c r="EV728" s="20" t="inlineStr">
        <is>
          <t>LC-MS</t>
        </is>
      </c>
      <c r="EW728" s="20" t="inlineStr">
        <is>
          <t>None</t>
        </is>
      </c>
      <c r="EX728" s="17" t="n"/>
      <c r="EY728" s="21" t="n"/>
      <c r="EZ728">
        <f>CONCATENATE(A728,B728)</f>
        <v/>
      </c>
      <c r="FA728">
        <f>CONCATENATE(SamplesX!A728,SamplesX!B728)</f>
        <v/>
      </c>
      <c r="FC728">
        <f>MATCH(EZ728,FA1:FA1008,0)</f>
        <v/>
      </c>
    </row>
    <row r="729">
      <c r="A729" s="16" t="n"/>
      <c r="B729" s="17" t="n"/>
      <c r="C729" s="10">
        <f>IF(ISNUMBER(FC729),INDIRECT("SamplesX!C"&amp;FC729),IF(ISNUMBER(FD729),INDIRECT("SamplesY!C"&amp;FD729),""))</f>
        <v/>
      </c>
      <c r="D729" s="12">
        <f>IF(ISNUMBER(FC729),INDIRECT("SamplesX!D"&amp;FC729),IF(ISNUMBER(FD729),INDIRECT("SamplesY!D"&amp;FD729),""))</f>
        <v/>
      </c>
      <c r="E729" s="12">
        <f>IF(ISNUMBER(FC729),INDIRECT("SamplesX!E"&amp;FC729),IF(ISNUMBER(FD729),INDIRECT("SamplesY!E"&amp;FD729),""))</f>
        <v/>
      </c>
      <c r="F729" s="11">
        <f>IF(ISNUMBER(FC729),INDIRECT("SamplesX!F"&amp;FC729),IF(ISNUMBER(FD729),INDIRECT("SamplesY!F"&amp;FD729),""))</f>
        <v/>
      </c>
      <c r="G729" s="18">
        <f>IF(ISNUMBER(FC729),INDIRECT("SamplesX!G"&amp;FC729),IF(ISNUMBER(FD729),INDIRECT("SamplesY!G"&amp;FD729),""))</f>
        <v/>
      </c>
      <c r="H729" s="19">
        <f>IF(ISNUMBER(FC729),INDIRECT("SamplesX!H"&amp;FC729),IF(ISNUMBER(FD729),INDIRECT("SamplesY!H"&amp;FD729),""))</f>
        <v/>
      </c>
      <c r="I729" s="16" t="n"/>
      <c r="J729" s="16" t="n"/>
      <c r="K729" s="16" t="n"/>
      <c r="L729" s="20" t="n"/>
      <c r="M729" s="20" t="inlineStr">
        <is>
          <t>None</t>
        </is>
      </c>
      <c r="N729" s="17" t="n"/>
      <c r="O729" s="16" t="n"/>
      <c r="P729" s="20" t="inlineStr">
        <is>
          <t>Shimadzu TOC-L</t>
        </is>
      </c>
      <c r="Q729" s="20" t="inlineStr">
        <is>
          <t>None</t>
        </is>
      </c>
      <c r="R729" s="17" t="n"/>
      <c r="S729" s="16" t="n"/>
      <c r="T729" s="20" t="inlineStr">
        <is>
          <t>Shimadzu TOC-L</t>
        </is>
      </c>
      <c r="U729" s="20" t="inlineStr">
        <is>
          <t>None</t>
        </is>
      </c>
      <c r="V729" s="17" t="n"/>
      <c r="W729" s="16" t="n"/>
      <c r="X729" s="20" t="n"/>
      <c r="Y729" s="20" t="inlineStr">
        <is>
          <t>None</t>
        </is>
      </c>
      <c r="Z729" s="17" t="n"/>
      <c r="AA729" s="16" t="n"/>
      <c r="AB729" s="20" t="n"/>
      <c r="AC729" s="20" t="inlineStr">
        <is>
          <t>None</t>
        </is>
      </c>
      <c r="AD729" s="17" t="n"/>
      <c r="AE729" s="16" t="n"/>
      <c r="AF729" s="20" t="inlineStr">
        <is>
          <t>IC Anionen</t>
        </is>
      </c>
      <c r="AG729" s="20" t="inlineStr">
        <is>
          <t>None</t>
        </is>
      </c>
      <c r="AH729" s="17" t="n"/>
      <c r="AI729" s="16" t="n"/>
      <c r="AJ729" s="20" t="n"/>
      <c r="AK729" s="20" t="inlineStr">
        <is>
          <t>None</t>
        </is>
      </c>
      <c r="AL729" s="17" t="n"/>
      <c r="AM729" s="16" t="n"/>
      <c r="AN729" s="20" t="inlineStr">
        <is>
          <t>IC Anionen</t>
        </is>
      </c>
      <c r="AO729" s="20" t="inlineStr">
        <is>
          <t>None</t>
        </is>
      </c>
      <c r="AP729" s="17" t="n"/>
      <c r="AQ729" s="16" t="n"/>
      <c r="AR729" s="20" t="n"/>
      <c r="AS729" s="20" t="inlineStr">
        <is>
          <t>None</t>
        </is>
      </c>
      <c r="AT729" s="17" t="n"/>
      <c r="AU729" s="16" t="n"/>
      <c r="AV729" s="20" t="n"/>
      <c r="AW729" s="20" t="inlineStr">
        <is>
          <t>None</t>
        </is>
      </c>
      <c r="AX729" s="17" t="n"/>
      <c r="AY729" s="16" t="n"/>
      <c r="AZ729" s="20" t="inlineStr">
        <is>
          <t>IC Anionen</t>
        </is>
      </c>
      <c r="BA729" s="20" t="inlineStr">
        <is>
          <t>None</t>
        </is>
      </c>
      <c r="BB729" s="17" t="n"/>
      <c r="BC729" s="16" t="n"/>
      <c r="BD729" s="20" t="inlineStr">
        <is>
          <t>IC Kationen</t>
        </is>
      </c>
      <c r="BE729" s="20" t="inlineStr">
        <is>
          <t>None</t>
        </is>
      </c>
      <c r="BF729" s="17" t="n"/>
      <c r="BG729" s="16" t="n"/>
      <c r="BH729" s="20" t="inlineStr">
        <is>
          <t>IC Kationen</t>
        </is>
      </c>
      <c r="BI729" s="20" t="inlineStr">
        <is>
          <t>None</t>
        </is>
      </c>
      <c r="BJ729" s="17" t="n"/>
      <c r="BK729" s="16" t="n"/>
      <c r="BL729" s="20" t="inlineStr">
        <is>
          <t>IC Kationen</t>
        </is>
      </c>
      <c r="BM729" s="20" t="inlineStr">
        <is>
          <t>None</t>
        </is>
      </c>
      <c r="BN729" s="17" t="n"/>
      <c r="BO729" s="16" t="n"/>
      <c r="BP729" s="20" t="inlineStr">
        <is>
          <t>IC Kationen</t>
        </is>
      </c>
      <c r="BQ729" s="20" t="inlineStr">
        <is>
          <t>None</t>
        </is>
      </c>
      <c r="BR729" s="17" t="n"/>
      <c r="BS729" s="16" t="n"/>
      <c r="BT729" s="20" t="inlineStr">
        <is>
          <t>IC Kationen</t>
        </is>
      </c>
      <c r="BU729" s="20" t="inlineStr">
        <is>
          <t>None</t>
        </is>
      </c>
      <c r="BV729" s="17" t="n"/>
      <c r="BW729" s="16" t="n"/>
      <c r="BX729" s="20" t="n"/>
      <c r="BY729" s="20" t="inlineStr">
        <is>
          <t>None</t>
        </is>
      </c>
      <c r="BZ729" s="17" t="n"/>
      <c r="CA729" s="16" t="n"/>
      <c r="CB729" s="20" t="n"/>
      <c r="CC729" s="20" t="inlineStr">
        <is>
          <t>None</t>
        </is>
      </c>
      <c r="CD729" s="17" t="n"/>
      <c r="CE729" s="16" t="n"/>
      <c r="CF729" s="20" t="n"/>
      <c r="CG729" s="20" t="inlineStr">
        <is>
          <t>None</t>
        </is>
      </c>
      <c r="CH729" s="17" t="n"/>
      <c r="CI729" s="16" t="n"/>
      <c r="CJ729" s="20" t="n"/>
      <c r="CK729" s="20" t="inlineStr">
        <is>
          <t>None</t>
        </is>
      </c>
      <c r="CL729" s="17" t="n"/>
      <c r="CM729" s="16" t="n"/>
      <c r="CN729" s="20" t="inlineStr">
        <is>
          <t>SOP 45-34</t>
        </is>
      </c>
      <c r="CO729" s="20" t="inlineStr">
        <is>
          <t>None</t>
        </is>
      </c>
      <c r="CP729" s="17" t="n"/>
      <c r="CQ729" s="16" t="n"/>
      <c r="CR729" s="20" t="n"/>
      <c r="CS729" s="20" t="inlineStr">
        <is>
          <t>None</t>
        </is>
      </c>
      <c r="CT729" s="17" t="n"/>
      <c r="CU729" s="16" t="n"/>
      <c r="CV729" s="20" t="n"/>
      <c r="CW729" s="20" t="inlineStr">
        <is>
          <t>None</t>
        </is>
      </c>
      <c r="CX729" s="17" t="n"/>
      <c r="CY729" s="16" t="n"/>
      <c r="CZ729" s="20" t="inlineStr">
        <is>
          <t>WTW Multimeter 3430 with FDO 925</t>
        </is>
      </c>
      <c r="DA729" s="20" t="inlineStr">
        <is>
          <t>None</t>
        </is>
      </c>
      <c r="DB729" s="17" t="n"/>
      <c r="DC729" s="16" t="n"/>
      <c r="DD729" s="20" t="n"/>
      <c r="DE729" s="20" t="inlineStr">
        <is>
          <t>None</t>
        </is>
      </c>
      <c r="DF729" s="17" t="n"/>
      <c r="DG729" s="16" t="n"/>
      <c r="DH729" s="20" t="inlineStr">
        <is>
          <t>SOP 45-09</t>
        </is>
      </c>
      <c r="DI729" s="20" t="inlineStr">
        <is>
          <t>None</t>
        </is>
      </c>
      <c r="DJ729" s="17" t="n"/>
      <c r="DK729" s="16" t="n"/>
      <c r="DL729" s="20" t="inlineStr">
        <is>
          <t>SOP 45-09 (SOP muss noch angepasst werden für VSS)</t>
        </is>
      </c>
      <c r="DM729" s="20" t="inlineStr">
        <is>
          <t>None</t>
        </is>
      </c>
      <c r="DN729" s="17" t="n"/>
      <c r="DO729" s="16" t="n"/>
      <c r="DP729" s="20" t="inlineStr">
        <is>
          <t>IC Organic Acids</t>
        </is>
      </c>
      <c r="DQ729" s="20" t="inlineStr">
        <is>
          <t>None</t>
        </is>
      </c>
      <c r="DR729" s="17" t="n"/>
      <c r="DS729" s="16" t="n"/>
      <c r="DT729" s="20" t="inlineStr">
        <is>
          <t>IC Organic Acids</t>
        </is>
      </c>
      <c r="DU729" s="20" t="inlineStr">
        <is>
          <t>None</t>
        </is>
      </c>
      <c r="DV729" s="17" t="n"/>
      <c r="DW729" s="16" t="n"/>
      <c r="DX729" s="20" t="inlineStr">
        <is>
          <t>IC Organic Acids</t>
        </is>
      </c>
      <c r="DY729" s="20" t="inlineStr">
        <is>
          <t>None</t>
        </is>
      </c>
      <c r="DZ729" s="17" t="n"/>
      <c r="EA729" s="16" t="n"/>
      <c r="EB729" s="20" t="inlineStr">
        <is>
          <t>IC Organic Acids</t>
        </is>
      </c>
      <c r="EC729" s="20" t="inlineStr">
        <is>
          <t>None</t>
        </is>
      </c>
      <c r="ED729" s="17" t="n"/>
      <c r="EE729" s="16" t="n"/>
      <c r="EF729" s="20" t="inlineStr">
        <is>
          <t>IC Organic Acids</t>
        </is>
      </c>
      <c r="EG729" s="20" t="inlineStr">
        <is>
          <t>None</t>
        </is>
      </c>
      <c r="EH729" s="17" t="n"/>
      <c r="EI729" s="16" t="n"/>
      <c r="EJ729" s="20" t="inlineStr">
        <is>
          <t>IC Organic Acids</t>
        </is>
      </c>
      <c r="EK729" s="20" t="inlineStr">
        <is>
          <t>None</t>
        </is>
      </c>
      <c r="EL729" s="17" t="n"/>
      <c r="EM729" s="16" t="n"/>
      <c r="EN729" s="20" t="inlineStr">
        <is>
          <t>IC Organic Acids</t>
        </is>
      </c>
      <c r="EO729" s="20" t="inlineStr">
        <is>
          <t>None</t>
        </is>
      </c>
      <c r="EP729" s="17" t="n"/>
      <c r="EQ729" s="16" t="n"/>
      <c r="ER729" s="20" t="inlineStr">
        <is>
          <t>IC Organic Acids</t>
        </is>
      </c>
      <c r="ES729" s="20" t="inlineStr">
        <is>
          <t>None</t>
        </is>
      </c>
      <c r="ET729" s="17" t="n"/>
      <c r="EU729" s="16" t="n"/>
      <c r="EV729" s="20" t="inlineStr">
        <is>
          <t>LC-MS</t>
        </is>
      </c>
      <c r="EW729" s="20" t="inlineStr">
        <is>
          <t>None</t>
        </is>
      </c>
      <c r="EX729" s="17" t="n"/>
      <c r="EY729" s="21" t="n"/>
      <c r="EZ729">
        <f>CONCATENATE(A729,B729)</f>
        <v/>
      </c>
      <c r="FA729">
        <f>CONCATENATE(SamplesX!A729,SamplesX!B729)</f>
        <v/>
      </c>
      <c r="FC729">
        <f>MATCH(EZ729,FA1:FA1008,0)</f>
        <v/>
      </c>
    </row>
    <row r="730">
      <c r="A730" s="16" t="n"/>
      <c r="B730" s="17" t="n"/>
      <c r="C730" s="10">
        <f>IF(ISNUMBER(FC730),INDIRECT("SamplesX!C"&amp;FC730),IF(ISNUMBER(FD730),INDIRECT("SamplesY!C"&amp;FD730),""))</f>
        <v/>
      </c>
      <c r="D730" s="12">
        <f>IF(ISNUMBER(FC730),INDIRECT("SamplesX!D"&amp;FC730),IF(ISNUMBER(FD730),INDIRECT("SamplesY!D"&amp;FD730),""))</f>
        <v/>
      </c>
      <c r="E730" s="12">
        <f>IF(ISNUMBER(FC730),INDIRECT("SamplesX!E"&amp;FC730),IF(ISNUMBER(FD730),INDIRECT("SamplesY!E"&amp;FD730),""))</f>
        <v/>
      </c>
      <c r="F730" s="11">
        <f>IF(ISNUMBER(FC730),INDIRECT("SamplesX!F"&amp;FC730),IF(ISNUMBER(FD730),INDIRECT("SamplesY!F"&amp;FD730),""))</f>
        <v/>
      </c>
      <c r="G730" s="18">
        <f>IF(ISNUMBER(FC730),INDIRECT("SamplesX!G"&amp;FC730),IF(ISNUMBER(FD730),INDIRECT("SamplesY!G"&amp;FD730),""))</f>
        <v/>
      </c>
      <c r="H730" s="19">
        <f>IF(ISNUMBER(FC730),INDIRECT("SamplesX!H"&amp;FC730),IF(ISNUMBER(FD730),INDIRECT("SamplesY!H"&amp;FD730),""))</f>
        <v/>
      </c>
      <c r="I730" s="16" t="n"/>
      <c r="J730" s="16" t="n"/>
      <c r="K730" s="16" t="n"/>
      <c r="L730" s="20" t="n"/>
      <c r="M730" s="20" t="inlineStr">
        <is>
          <t>None</t>
        </is>
      </c>
      <c r="N730" s="17" t="n"/>
      <c r="O730" s="16" t="n"/>
      <c r="P730" s="20" t="inlineStr">
        <is>
          <t>Shimadzu TOC-L</t>
        </is>
      </c>
      <c r="Q730" s="20" t="inlineStr">
        <is>
          <t>None</t>
        </is>
      </c>
      <c r="R730" s="17" t="n"/>
      <c r="S730" s="16" t="n"/>
      <c r="T730" s="20" t="inlineStr">
        <is>
          <t>Shimadzu TOC-L</t>
        </is>
      </c>
      <c r="U730" s="20" t="inlineStr">
        <is>
          <t>None</t>
        </is>
      </c>
      <c r="V730" s="17" t="n"/>
      <c r="W730" s="16" t="n"/>
      <c r="X730" s="20" t="n"/>
      <c r="Y730" s="20" t="inlineStr">
        <is>
          <t>None</t>
        </is>
      </c>
      <c r="Z730" s="17" t="n"/>
      <c r="AA730" s="16" t="n"/>
      <c r="AB730" s="20" t="n"/>
      <c r="AC730" s="20" t="inlineStr">
        <is>
          <t>None</t>
        </is>
      </c>
      <c r="AD730" s="17" t="n"/>
      <c r="AE730" s="16" t="n"/>
      <c r="AF730" s="20" t="inlineStr">
        <is>
          <t>IC Anionen</t>
        </is>
      </c>
      <c r="AG730" s="20" t="inlineStr">
        <is>
          <t>None</t>
        </is>
      </c>
      <c r="AH730" s="17" t="n"/>
      <c r="AI730" s="16" t="n"/>
      <c r="AJ730" s="20" t="n"/>
      <c r="AK730" s="20" t="inlineStr">
        <is>
          <t>None</t>
        </is>
      </c>
      <c r="AL730" s="17" t="n"/>
      <c r="AM730" s="16" t="n"/>
      <c r="AN730" s="20" t="inlineStr">
        <is>
          <t>IC Anionen</t>
        </is>
      </c>
      <c r="AO730" s="20" t="inlineStr">
        <is>
          <t>None</t>
        </is>
      </c>
      <c r="AP730" s="17" t="n"/>
      <c r="AQ730" s="16" t="n"/>
      <c r="AR730" s="20" t="n"/>
      <c r="AS730" s="20" t="inlineStr">
        <is>
          <t>None</t>
        </is>
      </c>
      <c r="AT730" s="17" t="n"/>
      <c r="AU730" s="16" t="n"/>
      <c r="AV730" s="20" t="n"/>
      <c r="AW730" s="20" t="inlineStr">
        <is>
          <t>None</t>
        </is>
      </c>
      <c r="AX730" s="17" t="n"/>
      <c r="AY730" s="16" t="n"/>
      <c r="AZ730" s="20" t="inlineStr">
        <is>
          <t>IC Anionen</t>
        </is>
      </c>
      <c r="BA730" s="20" t="inlineStr">
        <is>
          <t>None</t>
        </is>
      </c>
      <c r="BB730" s="17" t="n"/>
      <c r="BC730" s="16" t="n"/>
      <c r="BD730" s="20" t="inlineStr">
        <is>
          <t>IC Kationen</t>
        </is>
      </c>
      <c r="BE730" s="20" t="inlineStr">
        <is>
          <t>None</t>
        </is>
      </c>
      <c r="BF730" s="17" t="n"/>
      <c r="BG730" s="16" t="n"/>
      <c r="BH730" s="20" t="inlineStr">
        <is>
          <t>IC Kationen</t>
        </is>
      </c>
      <c r="BI730" s="20" t="inlineStr">
        <is>
          <t>None</t>
        </is>
      </c>
      <c r="BJ730" s="17" t="n"/>
      <c r="BK730" s="16" t="n"/>
      <c r="BL730" s="20" t="inlineStr">
        <is>
          <t>IC Kationen</t>
        </is>
      </c>
      <c r="BM730" s="20" t="inlineStr">
        <is>
          <t>None</t>
        </is>
      </c>
      <c r="BN730" s="17" t="n"/>
      <c r="BO730" s="16" t="n"/>
      <c r="BP730" s="20" t="inlineStr">
        <is>
          <t>IC Kationen</t>
        </is>
      </c>
      <c r="BQ730" s="20" t="inlineStr">
        <is>
          <t>None</t>
        </is>
      </c>
      <c r="BR730" s="17" t="n"/>
      <c r="BS730" s="16" t="n"/>
      <c r="BT730" s="20" t="inlineStr">
        <is>
          <t>IC Kationen</t>
        </is>
      </c>
      <c r="BU730" s="20" t="inlineStr">
        <is>
          <t>None</t>
        </is>
      </c>
      <c r="BV730" s="17" t="n"/>
      <c r="BW730" s="16" t="n"/>
      <c r="BX730" s="20" t="n"/>
      <c r="BY730" s="20" t="inlineStr">
        <is>
          <t>None</t>
        </is>
      </c>
      <c r="BZ730" s="17" t="n"/>
      <c r="CA730" s="16" t="n"/>
      <c r="CB730" s="20" t="n"/>
      <c r="CC730" s="20" t="inlineStr">
        <is>
          <t>None</t>
        </is>
      </c>
      <c r="CD730" s="17" t="n"/>
      <c r="CE730" s="16" t="n"/>
      <c r="CF730" s="20" t="n"/>
      <c r="CG730" s="20" t="inlineStr">
        <is>
          <t>None</t>
        </is>
      </c>
      <c r="CH730" s="17" t="n"/>
      <c r="CI730" s="16" t="n"/>
      <c r="CJ730" s="20" t="n"/>
      <c r="CK730" s="20" t="inlineStr">
        <is>
          <t>None</t>
        </is>
      </c>
      <c r="CL730" s="17" t="n"/>
      <c r="CM730" s="16" t="n"/>
      <c r="CN730" s="20" t="inlineStr">
        <is>
          <t>SOP 45-34</t>
        </is>
      </c>
      <c r="CO730" s="20" t="inlineStr">
        <is>
          <t>None</t>
        </is>
      </c>
      <c r="CP730" s="17" t="n"/>
      <c r="CQ730" s="16" t="n"/>
      <c r="CR730" s="20" t="n"/>
      <c r="CS730" s="20" t="inlineStr">
        <is>
          <t>None</t>
        </is>
      </c>
      <c r="CT730" s="17" t="n"/>
      <c r="CU730" s="16" t="n"/>
      <c r="CV730" s="20" t="n"/>
      <c r="CW730" s="20" t="inlineStr">
        <is>
          <t>None</t>
        </is>
      </c>
      <c r="CX730" s="17" t="n"/>
      <c r="CY730" s="16" t="n"/>
      <c r="CZ730" s="20" t="inlineStr">
        <is>
          <t>WTW Multimeter 3430 with FDO 925</t>
        </is>
      </c>
      <c r="DA730" s="20" t="inlineStr">
        <is>
          <t>None</t>
        </is>
      </c>
      <c r="DB730" s="17" t="n"/>
      <c r="DC730" s="16" t="n"/>
      <c r="DD730" s="20" t="n"/>
      <c r="DE730" s="20" t="inlineStr">
        <is>
          <t>None</t>
        </is>
      </c>
      <c r="DF730" s="17" t="n"/>
      <c r="DG730" s="16" t="n"/>
      <c r="DH730" s="20" t="inlineStr">
        <is>
          <t>SOP 45-09</t>
        </is>
      </c>
      <c r="DI730" s="20" t="inlineStr">
        <is>
          <t>None</t>
        </is>
      </c>
      <c r="DJ730" s="17" t="n"/>
      <c r="DK730" s="16" t="n"/>
      <c r="DL730" s="20" t="inlineStr">
        <is>
          <t>SOP 45-09 (SOP muss noch angepasst werden für VSS)</t>
        </is>
      </c>
      <c r="DM730" s="20" t="inlineStr">
        <is>
          <t>None</t>
        </is>
      </c>
      <c r="DN730" s="17" t="n"/>
      <c r="DO730" s="16" t="n"/>
      <c r="DP730" s="20" t="inlineStr">
        <is>
          <t>IC Organic Acids</t>
        </is>
      </c>
      <c r="DQ730" s="20" t="inlineStr">
        <is>
          <t>None</t>
        </is>
      </c>
      <c r="DR730" s="17" t="n"/>
      <c r="DS730" s="16" t="n"/>
      <c r="DT730" s="20" t="inlineStr">
        <is>
          <t>IC Organic Acids</t>
        </is>
      </c>
      <c r="DU730" s="20" t="inlineStr">
        <is>
          <t>None</t>
        </is>
      </c>
      <c r="DV730" s="17" t="n"/>
      <c r="DW730" s="16" t="n"/>
      <c r="DX730" s="20" t="inlineStr">
        <is>
          <t>IC Organic Acids</t>
        </is>
      </c>
      <c r="DY730" s="20" t="inlineStr">
        <is>
          <t>None</t>
        </is>
      </c>
      <c r="DZ730" s="17" t="n"/>
      <c r="EA730" s="16" t="n"/>
      <c r="EB730" s="20" t="inlineStr">
        <is>
          <t>IC Organic Acids</t>
        </is>
      </c>
      <c r="EC730" s="20" t="inlineStr">
        <is>
          <t>None</t>
        </is>
      </c>
      <c r="ED730" s="17" t="n"/>
      <c r="EE730" s="16" t="n"/>
      <c r="EF730" s="20" t="inlineStr">
        <is>
          <t>IC Organic Acids</t>
        </is>
      </c>
      <c r="EG730" s="20" t="inlineStr">
        <is>
          <t>None</t>
        </is>
      </c>
      <c r="EH730" s="17" t="n"/>
      <c r="EI730" s="16" t="n"/>
      <c r="EJ730" s="20" t="inlineStr">
        <is>
          <t>IC Organic Acids</t>
        </is>
      </c>
      <c r="EK730" s="20" t="inlineStr">
        <is>
          <t>None</t>
        </is>
      </c>
      <c r="EL730" s="17" t="n"/>
      <c r="EM730" s="16" t="n"/>
      <c r="EN730" s="20" t="inlineStr">
        <is>
          <t>IC Organic Acids</t>
        </is>
      </c>
      <c r="EO730" s="20" t="inlineStr">
        <is>
          <t>None</t>
        </is>
      </c>
      <c r="EP730" s="17" t="n"/>
      <c r="EQ730" s="16" t="n"/>
      <c r="ER730" s="20" t="inlineStr">
        <is>
          <t>IC Organic Acids</t>
        </is>
      </c>
      <c r="ES730" s="20" t="inlineStr">
        <is>
          <t>None</t>
        </is>
      </c>
      <c r="ET730" s="17" t="n"/>
      <c r="EU730" s="16" t="n"/>
      <c r="EV730" s="20" t="inlineStr">
        <is>
          <t>LC-MS</t>
        </is>
      </c>
      <c r="EW730" s="20" t="inlineStr">
        <is>
          <t>None</t>
        </is>
      </c>
      <c r="EX730" s="17" t="n"/>
      <c r="EY730" s="21" t="n"/>
      <c r="EZ730">
        <f>CONCATENATE(A730,B730)</f>
        <v/>
      </c>
      <c r="FA730">
        <f>CONCATENATE(SamplesX!A730,SamplesX!B730)</f>
        <v/>
      </c>
      <c r="FC730">
        <f>MATCH(EZ730,FA1:FA1008,0)</f>
        <v/>
      </c>
    </row>
    <row r="731">
      <c r="A731" s="16" t="n"/>
      <c r="B731" s="17" t="n"/>
      <c r="C731" s="10">
        <f>IF(ISNUMBER(FC731),INDIRECT("SamplesX!C"&amp;FC731),IF(ISNUMBER(FD731),INDIRECT("SamplesY!C"&amp;FD731),""))</f>
        <v/>
      </c>
      <c r="D731" s="12">
        <f>IF(ISNUMBER(FC731),INDIRECT("SamplesX!D"&amp;FC731),IF(ISNUMBER(FD731),INDIRECT("SamplesY!D"&amp;FD731),""))</f>
        <v/>
      </c>
      <c r="E731" s="12">
        <f>IF(ISNUMBER(FC731),INDIRECT("SamplesX!E"&amp;FC731),IF(ISNUMBER(FD731),INDIRECT("SamplesY!E"&amp;FD731),""))</f>
        <v/>
      </c>
      <c r="F731" s="11">
        <f>IF(ISNUMBER(FC731),INDIRECT("SamplesX!F"&amp;FC731),IF(ISNUMBER(FD731),INDIRECT("SamplesY!F"&amp;FD731),""))</f>
        <v/>
      </c>
      <c r="G731" s="18">
        <f>IF(ISNUMBER(FC731),INDIRECT("SamplesX!G"&amp;FC731),IF(ISNUMBER(FD731),INDIRECT("SamplesY!G"&amp;FD731),""))</f>
        <v/>
      </c>
      <c r="H731" s="19">
        <f>IF(ISNUMBER(FC731),INDIRECT("SamplesX!H"&amp;FC731),IF(ISNUMBER(FD731),INDIRECT("SamplesY!H"&amp;FD731),""))</f>
        <v/>
      </c>
      <c r="I731" s="16" t="n"/>
      <c r="J731" s="16" t="n"/>
      <c r="K731" s="16" t="n"/>
      <c r="L731" s="20" t="n"/>
      <c r="M731" s="20" t="inlineStr">
        <is>
          <t>None</t>
        </is>
      </c>
      <c r="N731" s="17" t="n"/>
      <c r="O731" s="16" t="n"/>
      <c r="P731" s="20" t="inlineStr">
        <is>
          <t>Shimadzu TOC-L</t>
        </is>
      </c>
      <c r="Q731" s="20" t="inlineStr">
        <is>
          <t>None</t>
        </is>
      </c>
      <c r="R731" s="17" t="n"/>
      <c r="S731" s="16" t="n"/>
      <c r="T731" s="20" t="inlineStr">
        <is>
          <t>Shimadzu TOC-L</t>
        </is>
      </c>
      <c r="U731" s="20" t="inlineStr">
        <is>
          <t>None</t>
        </is>
      </c>
      <c r="V731" s="17" t="n"/>
      <c r="W731" s="16" t="n"/>
      <c r="X731" s="20" t="n"/>
      <c r="Y731" s="20" t="inlineStr">
        <is>
          <t>None</t>
        </is>
      </c>
      <c r="Z731" s="17" t="n"/>
      <c r="AA731" s="16" t="n"/>
      <c r="AB731" s="20" t="n"/>
      <c r="AC731" s="20" t="inlineStr">
        <is>
          <t>None</t>
        </is>
      </c>
      <c r="AD731" s="17" t="n"/>
      <c r="AE731" s="16" t="n"/>
      <c r="AF731" s="20" t="inlineStr">
        <is>
          <t>IC Anionen</t>
        </is>
      </c>
      <c r="AG731" s="20" t="inlineStr">
        <is>
          <t>None</t>
        </is>
      </c>
      <c r="AH731" s="17" t="n"/>
      <c r="AI731" s="16" t="n"/>
      <c r="AJ731" s="20" t="n"/>
      <c r="AK731" s="20" t="inlineStr">
        <is>
          <t>None</t>
        </is>
      </c>
      <c r="AL731" s="17" t="n"/>
      <c r="AM731" s="16" t="n"/>
      <c r="AN731" s="20" t="inlineStr">
        <is>
          <t>IC Anionen</t>
        </is>
      </c>
      <c r="AO731" s="20" t="inlineStr">
        <is>
          <t>None</t>
        </is>
      </c>
      <c r="AP731" s="17" t="n"/>
      <c r="AQ731" s="16" t="n"/>
      <c r="AR731" s="20" t="n"/>
      <c r="AS731" s="20" t="inlineStr">
        <is>
          <t>None</t>
        </is>
      </c>
      <c r="AT731" s="17" t="n"/>
      <c r="AU731" s="16" t="n"/>
      <c r="AV731" s="20" t="n"/>
      <c r="AW731" s="20" t="inlineStr">
        <is>
          <t>None</t>
        </is>
      </c>
      <c r="AX731" s="17" t="n"/>
      <c r="AY731" s="16" t="n"/>
      <c r="AZ731" s="20" t="inlineStr">
        <is>
          <t>IC Anionen</t>
        </is>
      </c>
      <c r="BA731" s="20" t="inlineStr">
        <is>
          <t>None</t>
        </is>
      </c>
      <c r="BB731" s="17" t="n"/>
      <c r="BC731" s="16" t="n"/>
      <c r="BD731" s="20" t="inlineStr">
        <is>
          <t>IC Kationen</t>
        </is>
      </c>
      <c r="BE731" s="20" t="inlineStr">
        <is>
          <t>None</t>
        </is>
      </c>
      <c r="BF731" s="17" t="n"/>
      <c r="BG731" s="16" t="n"/>
      <c r="BH731" s="20" t="inlineStr">
        <is>
          <t>IC Kationen</t>
        </is>
      </c>
      <c r="BI731" s="20" t="inlineStr">
        <is>
          <t>None</t>
        </is>
      </c>
      <c r="BJ731" s="17" t="n"/>
      <c r="BK731" s="16" t="n"/>
      <c r="BL731" s="20" t="inlineStr">
        <is>
          <t>IC Kationen</t>
        </is>
      </c>
      <c r="BM731" s="20" t="inlineStr">
        <is>
          <t>None</t>
        </is>
      </c>
      <c r="BN731" s="17" t="n"/>
      <c r="BO731" s="16" t="n"/>
      <c r="BP731" s="20" t="inlineStr">
        <is>
          <t>IC Kationen</t>
        </is>
      </c>
      <c r="BQ731" s="20" t="inlineStr">
        <is>
          <t>None</t>
        </is>
      </c>
      <c r="BR731" s="17" t="n"/>
      <c r="BS731" s="16" t="n"/>
      <c r="BT731" s="20" t="inlineStr">
        <is>
          <t>IC Kationen</t>
        </is>
      </c>
      <c r="BU731" s="20" t="inlineStr">
        <is>
          <t>None</t>
        </is>
      </c>
      <c r="BV731" s="17" t="n"/>
      <c r="BW731" s="16" t="n"/>
      <c r="BX731" s="20" t="n"/>
      <c r="BY731" s="20" t="inlineStr">
        <is>
          <t>None</t>
        </is>
      </c>
      <c r="BZ731" s="17" t="n"/>
      <c r="CA731" s="16" t="n"/>
      <c r="CB731" s="20" t="n"/>
      <c r="CC731" s="20" t="inlineStr">
        <is>
          <t>None</t>
        </is>
      </c>
      <c r="CD731" s="17" t="n"/>
      <c r="CE731" s="16" t="n"/>
      <c r="CF731" s="20" t="n"/>
      <c r="CG731" s="20" t="inlineStr">
        <is>
          <t>None</t>
        </is>
      </c>
      <c r="CH731" s="17" t="n"/>
      <c r="CI731" s="16" t="n"/>
      <c r="CJ731" s="20" t="n"/>
      <c r="CK731" s="20" t="inlineStr">
        <is>
          <t>None</t>
        </is>
      </c>
      <c r="CL731" s="17" t="n"/>
      <c r="CM731" s="16" t="n"/>
      <c r="CN731" s="20" t="inlineStr">
        <is>
          <t>SOP 45-34</t>
        </is>
      </c>
      <c r="CO731" s="20" t="inlineStr">
        <is>
          <t>None</t>
        </is>
      </c>
      <c r="CP731" s="17" t="n"/>
      <c r="CQ731" s="16" t="n"/>
      <c r="CR731" s="20" t="n"/>
      <c r="CS731" s="20" t="inlineStr">
        <is>
          <t>None</t>
        </is>
      </c>
      <c r="CT731" s="17" t="n"/>
      <c r="CU731" s="16" t="n"/>
      <c r="CV731" s="20" t="n"/>
      <c r="CW731" s="20" t="inlineStr">
        <is>
          <t>None</t>
        </is>
      </c>
      <c r="CX731" s="17" t="n"/>
      <c r="CY731" s="16" t="n"/>
      <c r="CZ731" s="20" t="inlineStr">
        <is>
          <t>WTW Multimeter 3430 with FDO 925</t>
        </is>
      </c>
      <c r="DA731" s="20" t="inlineStr">
        <is>
          <t>None</t>
        </is>
      </c>
      <c r="DB731" s="17" t="n"/>
      <c r="DC731" s="16" t="n"/>
      <c r="DD731" s="20" t="n"/>
      <c r="DE731" s="20" t="inlineStr">
        <is>
          <t>None</t>
        </is>
      </c>
      <c r="DF731" s="17" t="n"/>
      <c r="DG731" s="16" t="n"/>
      <c r="DH731" s="20" t="inlineStr">
        <is>
          <t>SOP 45-09</t>
        </is>
      </c>
      <c r="DI731" s="20" t="inlineStr">
        <is>
          <t>None</t>
        </is>
      </c>
      <c r="DJ731" s="17" t="n"/>
      <c r="DK731" s="16" t="n"/>
      <c r="DL731" s="20" t="inlineStr">
        <is>
          <t>SOP 45-09 (SOP muss noch angepasst werden für VSS)</t>
        </is>
      </c>
      <c r="DM731" s="20" t="inlineStr">
        <is>
          <t>None</t>
        </is>
      </c>
      <c r="DN731" s="17" t="n"/>
      <c r="DO731" s="16" t="n"/>
      <c r="DP731" s="20" t="inlineStr">
        <is>
          <t>IC Organic Acids</t>
        </is>
      </c>
      <c r="DQ731" s="20" t="inlineStr">
        <is>
          <t>None</t>
        </is>
      </c>
      <c r="DR731" s="17" t="n"/>
      <c r="DS731" s="16" t="n"/>
      <c r="DT731" s="20" t="inlineStr">
        <is>
          <t>IC Organic Acids</t>
        </is>
      </c>
      <c r="DU731" s="20" t="inlineStr">
        <is>
          <t>None</t>
        </is>
      </c>
      <c r="DV731" s="17" t="n"/>
      <c r="DW731" s="16" t="n"/>
      <c r="DX731" s="20" t="inlineStr">
        <is>
          <t>IC Organic Acids</t>
        </is>
      </c>
      <c r="DY731" s="20" t="inlineStr">
        <is>
          <t>None</t>
        </is>
      </c>
      <c r="DZ731" s="17" t="n"/>
      <c r="EA731" s="16" t="n"/>
      <c r="EB731" s="20" t="inlineStr">
        <is>
          <t>IC Organic Acids</t>
        </is>
      </c>
      <c r="EC731" s="20" t="inlineStr">
        <is>
          <t>None</t>
        </is>
      </c>
      <c r="ED731" s="17" t="n"/>
      <c r="EE731" s="16" t="n"/>
      <c r="EF731" s="20" t="inlineStr">
        <is>
          <t>IC Organic Acids</t>
        </is>
      </c>
      <c r="EG731" s="20" t="inlineStr">
        <is>
          <t>None</t>
        </is>
      </c>
      <c r="EH731" s="17" t="n"/>
      <c r="EI731" s="16" t="n"/>
      <c r="EJ731" s="20" t="inlineStr">
        <is>
          <t>IC Organic Acids</t>
        </is>
      </c>
      <c r="EK731" s="20" t="inlineStr">
        <is>
          <t>None</t>
        </is>
      </c>
      <c r="EL731" s="17" t="n"/>
      <c r="EM731" s="16" t="n"/>
      <c r="EN731" s="20" t="inlineStr">
        <is>
          <t>IC Organic Acids</t>
        </is>
      </c>
      <c r="EO731" s="20" t="inlineStr">
        <is>
          <t>None</t>
        </is>
      </c>
      <c r="EP731" s="17" t="n"/>
      <c r="EQ731" s="16" t="n"/>
      <c r="ER731" s="20" t="inlineStr">
        <is>
          <t>IC Organic Acids</t>
        </is>
      </c>
      <c r="ES731" s="20" t="inlineStr">
        <is>
          <t>None</t>
        </is>
      </c>
      <c r="ET731" s="17" t="n"/>
      <c r="EU731" s="16" t="n"/>
      <c r="EV731" s="20" t="inlineStr">
        <is>
          <t>LC-MS</t>
        </is>
      </c>
      <c r="EW731" s="20" t="inlineStr">
        <is>
          <t>None</t>
        </is>
      </c>
      <c r="EX731" s="17" t="n"/>
      <c r="EY731" s="21" t="n"/>
      <c r="EZ731">
        <f>CONCATENATE(A731,B731)</f>
        <v/>
      </c>
      <c r="FA731">
        <f>CONCATENATE(SamplesX!A731,SamplesX!B731)</f>
        <v/>
      </c>
      <c r="FC731">
        <f>MATCH(EZ731,FA1:FA1008,0)</f>
        <v/>
      </c>
    </row>
    <row r="732">
      <c r="A732" s="16" t="n"/>
      <c r="B732" s="17" t="n"/>
      <c r="C732" s="10">
        <f>IF(ISNUMBER(FC732),INDIRECT("SamplesX!C"&amp;FC732),IF(ISNUMBER(FD732),INDIRECT("SamplesY!C"&amp;FD732),""))</f>
        <v/>
      </c>
      <c r="D732" s="12">
        <f>IF(ISNUMBER(FC732),INDIRECT("SamplesX!D"&amp;FC732),IF(ISNUMBER(FD732),INDIRECT("SamplesY!D"&amp;FD732),""))</f>
        <v/>
      </c>
      <c r="E732" s="12">
        <f>IF(ISNUMBER(FC732),INDIRECT("SamplesX!E"&amp;FC732),IF(ISNUMBER(FD732),INDIRECT("SamplesY!E"&amp;FD732),""))</f>
        <v/>
      </c>
      <c r="F732" s="11">
        <f>IF(ISNUMBER(FC732),INDIRECT("SamplesX!F"&amp;FC732),IF(ISNUMBER(FD732),INDIRECT("SamplesY!F"&amp;FD732),""))</f>
        <v/>
      </c>
      <c r="G732" s="18">
        <f>IF(ISNUMBER(FC732),INDIRECT("SamplesX!G"&amp;FC732),IF(ISNUMBER(FD732),INDIRECT("SamplesY!G"&amp;FD732),""))</f>
        <v/>
      </c>
      <c r="H732" s="19">
        <f>IF(ISNUMBER(FC732),INDIRECT("SamplesX!H"&amp;FC732),IF(ISNUMBER(FD732),INDIRECT("SamplesY!H"&amp;FD732),""))</f>
        <v/>
      </c>
      <c r="I732" s="16" t="n"/>
      <c r="J732" s="16" t="n"/>
      <c r="K732" s="16" t="n"/>
      <c r="L732" s="20" t="n"/>
      <c r="M732" s="20" t="inlineStr">
        <is>
          <t>None</t>
        </is>
      </c>
      <c r="N732" s="17" t="n"/>
      <c r="O732" s="16" t="n"/>
      <c r="P732" s="20" t="inlineStr">
        <is>
          <t>Shimadzu TOC-L</t>
        </is>
      </c>
      <c r="Q732" s="20" t="inlineStr">
        <is>
          <t>None</t>
        </is>
      </c>
      <c r="R732" s="17" t="n"/>
      <c r="S732" s="16" t="n"/>
      <c r="T732" s="20" t="inlineStr">
        <is>
          <t>Shimadzu TOC-L</t>
        </is>
      </c>
      <c r="U732" s="20" t="inlineStr">
        <is>
          <t>None</t>
        </is>
      </c>
      <c r="V732" s="17" t="n"/>
      <c r="W732" s="16" t="n"/>
      <c r="X732" s="20" t="n"/>
      <c r="Y732" s="20" t="inlineStr">
        <is>
          <t>None</t>
        </is>
      </c>
      <c r="Z732" s="17" t="n"/>
      <c r="AA732" s="16" t="n"/>
      <c r="AB732" s="20" t="n"/>
      <c r="AC732" s="20" t="inlineStr">
        <is>
          <t>None</t>
        </is>
      </c>
      <c r="AD732" s="17" t="n"/>
      <c r="AE732" s="16" t="n"/>
      <c r="AF732" s="20" t="inlineStr">
        <is>
          <t>IC Anionen</t>
        </is>
      </c>
      <c r="AG732" s="20" t="inlineStr">
        <is>
          <t>None</t>
        </is>
      </c>
      <c r="AH732" s="17" t="n"/>
      <c r="AI732" s="16" t="n"/>
      <c r="AJ732" s="20" t="n"/>
      <c r="AK732" s="20" t="inlineStr">
        <is>
          <t>None</t>
        </is>
      </c>
      <c r="AL732" s="17" t="n"/>
      <c r="AM732" s="16" t="n"/>
      <c r="AN732" s="20" t="inlineStr">
        <is>
          <t>IC Anionen</t>
        </is>
      </c>
      <c r="AO732" s="20" t="inlineStr">
        <is>
          <t>None</t>
        </is>
      </c>
      <c r="AP732" s="17" t="n"/>
      <c r="AQ732" s="16" t="n"/>
      <c r="AR732" s="20" t="n"/>
      <c r="AS732" s="20" t="inlineStr">
        <is>
          <t>None</t>
        </is>
      </c>
      <c r="AT732" s="17" t="n"/>
      <c r="AU732" s="16" t="n"/>
      <c r="AV732" s="20" t="n"/>
      <c r="AW732" s="20" t="inlineStr">
        <is>
          <t>None</t>
        </is>
      </c>
      <c r="AX732" s="17" t="n"/>
      <c r="AY732" s="16" t="n"/>
      <c r="AZ732" s="20" t="inlineStr">
        <is>
          <t>IC Anionen</t>
        </is>
      </c>
      <c r="BA732" s="20" t="inlineStr">
        <is>
          <t>None</t>
        </is>
      </c>
      <c r="BB732" s="17" t="n"/>
      <c r="BC732" s="16" t="n"/>
      <c r="BD732" s="20" t="inlineStr">
        <is>
          <t>IC Kationen</t>
        </is>
      </c>
      <c r="BE732" s="20" t="inlineStr">
        <is>
          <t>None</t>
        </is>
      </c>
      <c r="BF732" s="17" t="n"/>
      <c r="BG732" s="16" t="n"/>
      <c r="BH732" s="20" t="inlineStr">
        <is>
          <t>IC Kationen</t>
        </is>
      </c>
      <c r="BI732" s="20" t="inlineStr">
        <is>
          <t>None</t>
        </is>
      </c>
      <c r="BJ732" s="17" t="n"/>
      <c r="BK732" s="16" t="n"/>
      <c r="BL732" s="20" t="inlineStr">
        <is>
          <t>IC Kationen</t>
        </is>
      </c>
      <c r="BM732" s="20" t="inlineStr">
        <is>
          <t>None</t>
        </is>
      </c>
      <c r="BN732" s="17" t="n"/>
      <c r="BO732" s="16" t="n"/>
      <c r="BP732" s="20" t="inlineStr">
        <is>
          <t>IC Kationen</t>
        </is>
      </c>
      <c r="BQ732" s="20" t="inlineStr">
        <is>
          <t>None</t>
        </is>
      </c>
      <c r="BR732" s="17" t="n"/>
      <c r="BS732" s="16" t="n"/>
      <c r="BT732" s="20" t="inlineStr">
        <is>
          <t>IC Kationen</t>
        </is>
      </c>
      <c r="BU732" s="20" t="inlineStr">
        <is>
          <t>None</t>
        </is>
      </c>
      <c r="BV732" s="17" t="n"/>
      <c r="BW732" s="16" t="n"/>
      <c r="BX732" s="20" t="n"/>
      <c r="BY732" s="20" t="inlineStr">
        <is>
          <t>None</t>
        </is>
      </c>
      <c r="BZ732" s="17" t="n"/>
      <c r="CA732" s="16" t="n"/>
      <c r="CB732" s="20" t="n"/>
      <c r="CC732" s="20" t="inlineStr">
        <is>
          <t>None</t>
        </is>
      </c>
      <c r="CD732" s="17" t="n"/>
      <c r="CE732" s="16" t="n"/>
      <c r="CF732" s="20" t="n"/>
      <c r="CG732" s="20" t="inlineStr">
        <is>
          <t>None</t>
        </is>
      </c>
      <c r="CH732" s="17" t="n"/>
      <c r="CI732" s="16" t="n"/>
      <c r="CJ732" s="20" t="n"/>
      <c r="CK732" s="20" t="inlineStr">
        <is>
          <t>None</t>
        </is>
      </c>
      <c r="CL732" s="17" t="n"/>
      <c r="CM732" s="16" t="n"/>
      <c r="CN732" s="20" t="inlineStr">
        <is>
          <t>SOP 45-34</t>
        </is>
      </c>
      <c r="CO732" s="20" t="inlineStr">
        <is>
          <t>None</t>
        </is>
      </c>
      <c r="CP732" s="17" t="n"/>
      <c r="CQ732" s="16" t="n"/>
      <c r="CR732" s="20" t="n"/>
      <c r="CS732" s="20" t="inlineStr">
        <is>
          <t>None</t>
        </is>
      </c>
      <c r="CT732" s="17" t="n"/>
      <c r="CU732" s="16" t="n"/>
      <c r="CV732" s="20" t="n"/>
      <c r="CW732" s="20" t="inlineStr">
        <is>
          <t>None</t>
        </is>
      </c>
      <c r="CX732" s="17" t="n"/>
      <c r="CY732" s="16" t="n"/>
      <c r="CZ732" s="20" t="inlineStr">
        <is>
          <t>WTW Multimeter 3430 with FDO 925</t>
        </is>
      </c>
      <c r="DA732" s="20" t="inlineStr">
        <is>
          <t>None</t>
        </is>
      </c>
      <c r="DB732" s="17" t="n"/>
      <c r="DC732" s="16" t="n"/>
      <c r="DD732" s="20" t="n"/>
      <c r="DE732" s="20" t="inlineStr">
        <is>
          <t>None</t>
        </is>
      </c>
      <c r="DF732" s="17" t="n"/>
      <c r="DG732" s="16" t="n"/>
      <c r="DH732" s="20" t="inlineStr">
        <is>
          <t>SOP 45-09</t>
        </is>
      </c>
      <c r="DI732" s="20" t="inlineStr">
        <is>
          <t>None</t>
        </is>
      </c>
      <c r="DJ732" s="17" t="n"/>
      <c r="DK732" s="16" t="n"/>
      <c r="DL732" s="20" t="inlineStr">
        <is>
          <t>SOP 45-09 (SOP muss noch angepasst werden für VSS)</t>
        </is>
      </c>
      <c r="DM732" s="20" t="inlineStr">
        <is>
          <t>None</t>
        </is>
      </c>
      <c r="DN732" s="17" t="n"/>
      <c r="DO732" s="16" t="n"/>
      <c r="DP732" s="20" t="inlineStr">
        <is>
          <t>IC Organic Acids</t>
        </is>
      </c>
      <c r="DQ732" s="20" t="inlineStr">
        <is>
          <t>None</t>
        </is>
      </c>
      <c r="DR732" s="17" t="n"/>
      <c r="DS732" s="16" t="n"/>
      <c r="DT732" s="20" t="inlineStr">
        <is>
          <t>IC Organic Acids</t>
        </is>
      </c>
      <c r="DU732" s="20" t="inlineStr">
        <is>
          <t>None</t>
        </is>
      </c>
      <c r="DV732" s="17" t="n"/>
      <c r="DW732" s="16" t="n"/>
      <c r="DX732" s="20" t="inlineStr">
        <is>
          <t>IC Organic Acids</t>
        </is>
      </c>
      <c r="DY732" s="20" t="inlineStr">
        <is>
          <t>None</t>
        </is>
      </c>
      <c r="DZ732" s="17" t="n"/>
      <c r="EA732" s="16" t="n"/>
      <c r="EB732" s="20" t="inlineStr">
        <is>
          <t>IC Organic Acids</t>
        </is>
      </c>
      <c r="EC732" s="20" t="inlineStr">
        <is>
          <t>None</t>
        </is>
      </c>
      <c r="ED732" s="17" t="n"/>
      <c r="EE732" s="16" t="n"/>
      <c r="EF732" s="20" t="inlineStr">
        <is>
          <t>IC Organic Acids</t>
        </is>
      </c>
      <c r="EG732" s="20" t="inlineStr">
        <is>
          <t>None</t>
        </is>
      </c>
      <c r="EH732" s="17" t="n"/>
      <c r="EI732" s="16" t="n"/>
      <c r="EJ732" s="20" t="inlineStr">
        <is>
          <t>IC Organic Acids</t>
        </is>
      </c>
      <c r="EK732" s="20" t="inlineStr">
        <is>
          <t>None</t>
        </is>
      </c>
      <c r="EL732" s="17" t="n"/>
      <c r="EM732" s="16" t="n"/>
      <c r="EN732" s="20" t="inlineStr">
        <is>
          <t>IC Organic Acids</t>
        </is>
      </c>
      <c r="EO732" s="20" t="inlineStr">
        <is>
          <t>None</t>
        </is>
      </c>
      <c r="EP732" s="17" t="n"/>
      <c r="EQ732" s="16" t="n"/>
      <c r="ER732" s="20" t="inlineStr">
        <is>
          <t>IC Organic Acids</t>
        </is>
      </c>
      <c r="ES732" s="20" t="inlineStr">
        <is>
          <t>None</t>
        </is>
      </c>
      <c r="ET732" s="17" t="n"/>
      <c r="EU732" s="16" t="n"/>
      <c r="EV732" s="20" t="inlineStr">
        <is>
          <t>LC-MS</t>
        </is>
      </c>
      <c r="EW732" s="20" t="inlineStr">
        <is>
          <t>None</t>
        </is>
      </c>
      <c r="EX732" s="17" t="n"/>
      <c r="EY732" s="21" t="n"/>
      <c r="EZ732">
        <f>CONCATENATE(A732,B732)</f>
        <v/>
      </c>
      <c r="FA732">
        <f>CONCATENATE(SamplesX!A732,SamplesX!B732)</f>
        <v/>
      </c>
      <c r="FC732">
        <f>MATCH(EZ732,FA1:FA1008,0)</f>
        <v/>
      </c>
    </row>
    <row r="733">
      <c r="A733" s="16" t="n"/>
      <c r="B733" s="17" t="n"/>
      <c r="C733" s="10">
        <f>IF(ISNUMBER(FC733),INDIRECT("SamplesX!C"&amp;FC733),IF(ISNUMBER(FD733),INDIRECT("SamplesY!C"&amp;FD733),""))</f>
        <v/>
      </c>
      <c r="D733" s="12">
        <f>IF(ISNUMBER(FC733),INDIRECT("SamplesX!D"&amp;FC733),IF(ISNUMBER(FD733),INDIRECT("SamplesY!D"&amp;FD733),""))</f>
        <v/>
      </c>
      <c r="E733" s="12">
        <f>IF(ISNUMBER(FC733),INDIRECT("SamplesX!E"&amp;FC733),IF(ISNUMBER(FD733),INDIRECT("SamplesY!E"&amp;FD733),""))</f>
        <v/>
      </c>
      <c r="F733" s="11">
        <f>IF(ISNUMBER(FC733),INDIRECT("SamplesX!F"&amp;FC733),IF(ISNUMBER(FD733),INDIRECT("SamplesY!F"&amp;FD733),""))</f>
        <v/>
      </c>
      <c r="G733" s="18">
        <f>IF(ISNUMBER(FC733),INDIRECT("SamplesX!G"&amp;FC733),IF(ISNUMBER(FD733),INDIRECT("SamplesY!G"&amp;FD733),""))</f>
        <v/>
      </c>
      <c r="H733" s="19">
        <f>IF(ISNUMBER(FC733),INDIRECT("SamplesX!H"&amp;FC733),IF(ISNUMBER(FD733),INDIRECT("SamplesY!H"&amp;FD733),""))</f>
        <v/>
      </c>
      <c r="I733" s="16" t="n"/>
      <c r="J733" s="16" t="n"/>
      <c r="K733" s="16" t="n"/>
      <c r="L733" s="20" t="n"/>
      <c r="M733" s="20" t="inlineStr">
        <is>
          <t>None</t>
        </is>
      </c>
      <c r="N733" s="17" t="n"/>
      <c r="O733" s="16" t="n"/>
      <c r="P733" s="20" t="inlineStr">
        <is>
          <t>Shimadzu TOC-L</t>
        </is>
      </c>
      <c r="Q733" s="20" t="inlineStr">
        <is>
          <t>None</t>
        </is>
      </c>
      <c r="R733" s="17" t="n"/>
      <c r="S733" s="16" t="n"/>
      <c r="T733" s="20" t="inlineStr">
        <is>
          <t>Shimadzu TOC-L</t>
        </is>
      </c>
      <c r="U733" s="20" t="inlineStr">
        <is>
          <t>None</t>
        </is>
      </c>
      <c r="V733" s="17" t="n"/>
      <c r="W733" s="16" t="n"/>
      <c r="X733" s="20" t="n"/>
      <c r="Y733" s="20" t="inlineStr">
        <is>
          <t>None</t>
        </is>
      </c>
      <c r="Z733" s="17" t="n"/>
      <c r="AA733" s="16" t="n"/>
      <c r="AB733" s="20" t="n"/>
      <c r="AC733" s="20" t="inlineStr">
        <is>
          <t>None</t>
        </is>
      </c>
      <c r="AD733" s="17" t="n"/>
      <c r="AE733" s="16" t="n"/>
      <c r="AF733" s="20" t="inlineStr">
        <is>
          <t>IC Anionen</t>
        </is>
      </c>
      <c r="AG733" s="20" t="inlineStr">
        <is>
          <t>None</t>
        </is>
      </c>
      <c r="AH733" s="17" t="n"/>
      <c r="AI733" s="16" t="n"/>
      <c r="AJ733" s="20" t="n"/>
      <c r="AK733" s="20" t="inlineStr">
        <is>
          <t>None</t>
        </is>
      </c>
      <c r="AL733" s="17" t="n"/>
      <c r="AM733" s="16" t="n"/>
      <c r="AN733" s="20" t="inlineStr">
        <is>
          <t>IC Anionen</t>
        </is>
      </c>
      <c r="AO733" s="20" t="inlineStr">
        <is>
          <t>None</t>
        </is>
      </c>
      <c r="AP733" s="17" t="n"/>
      <c r="AQ733" s="16" t="n"/>
      <c r="AR733" s="20" t="n"/>
      <c r="AS733" s="20" t="inlineStr">
        <is>
          <t>None</t>
        </is>
      </c>
      <c r="AT733" s="17" t="n"/>
      <c r="AU733" s="16" t="n"/>
      <c r="AV733" s="20" t="n"/>
      <c r="AW733" s="20" t="inlineStr">
        <is>
          <t>None</t>
        </is>
      </c>
      <c r="AX733" s="17" t="n"/>
      <c r="AY733" s="16" t="n"/>
      <c r="AZ733" s="20" t="inlineStr">
        <is>
          <t>IC Anionen</t>
        </is>
      </c>
      <c r="BA733" s="20" t="inlineStr">
        <is>
          <t>None</t>
        </is>
      </c>
      <c r="BB733" s="17" t="n"/>
      <c r="BC733" s="16" t="n"/>
      <c r="BD733" s="20" t="inlineStr">
        <is>
          <t>IC Kationen</t>
        </is>
      </c>
      <c r="BE733" s="20" t="inlineStr">
        <is>
          <t>None</t>
        </is>
      </c>
      <c r="BF733" s="17" t="n"/>
      <c r="BG733" s="16" t="n"/>
      <c r="BH733" s="20" t="inlineStr">
        <is>
          <t>IC Kationen</t>
        </is>
      </c>
      <c r="BI733" s="20" t="inlineStr">
        <is>
          <t>None</t>
        </is>
      </c>
      <c r="BJ733" s="17" t="n"/>
      <c r="BK733" s="16" t="n"/>
      <c r="BL733" s="20" t="inlineStr">
        <is>
          <t>IC Kationen</t>
        </is>
      </c>
      <c r="BM733" s="20" t="inlineStr">
        <is>
          <t>None</t>
        </is>
      </c>
      <c r="BN733" s="17" t="n"/>
      <c r="BO733" s="16" t="n"/>
      <c r="BP733" s="20" t="inlineStr">
        <is>
          <t>IC Kationen</t>
        </is>
      </c>
      <c r="BQ733" s="20" t="inlineStr">
        <is>
          <t>None</t>
        </is>
      </c>
      <c r="BR733" s="17" t="n"/>
      <c r="BS733" s="16" t="n"/>
      <c r="BT733" s="20" t="inlineStr">
        <is>
          <t>IC Kationen</t>
        </is>
      </c>
      <c r="BU733" s="20" t="inlineStr">
        <is>
          <t>None</t>
        </is>
      </c>
      <c r="BV733" s="17" t="n"/>
      <c r="BW733" s="16" t="n"/>
      <c r="BX733" s="20" t="n"/>
      <c r="BY733" s="20" t="inlineStr">
        <is>
          <t>None</t>
        </is>
      </c>
      <c r="BZ733" s="17" t="n"/>
      <c r="CA733" s="16" t="n"/>
      <c r="CB733" s="20" t="n"/>
      <c r="CC733" s="20" t="inlineStr">
        <is>
          <t>None</t>
        </is>
      </c>
      <c r="CD733" s="17" t="n"/>
      <c r="CE733" s="16" t="n"/>
      <c r="CF733" s="20" t="n"/>
      <c r="CG733" s="20" t="inlineStr">
        <is>
          <t>None</t>
        </is>
      </c>
      <c r="CH733" s="17" t="n"/>
      <c r="CI733" s="16" t="n"/>
      <c r="CJ733" s="20" t="n"/>
      <c r="CK733" s="20" t="inlineStr">
        <is>
          <t>None</t>
        </is>
      </c>
      <c r="CL733" s="17" t="n"/>
      <c r="CM733" s="16" t="n"/>
      <c r="CN733" s="20" t="inlineStr">
        <is>
          <t>SOP 45-34</t>
        </is>
      </c>
      <c r="CO733" s="20" t="inlineStr">
        <is>
          <t>None</t>
        </is>
      </c>
      <c r="CP733" s="17" t="n"/>
      <c r="CQ733" s="16" t="n"/>
      <c r="CR733" s="20" t="n"/>
      <c r="CS733" s="20" t="inlineStr">
        <is>
          <t>None</t>
        </is>
      </c>
      <c r="CT733" s="17" t="n"/>
      <c r="CU733" s="16" t="n"/>
      <c r="CV733" s="20" t="n"/>
      <c r="CW733" s="20" t="inlineStr">
        <is>
          <t>None</t>
        </is>
      </c>
      <c r="CX733" s="17" t="n"/>
      <c r="CY733" s="16" t="n"/>
      <c r="CZ733" s="20" t="inlineStr">
        <is>
          <t>WTW Multimeter 3430 with FDO 925</t>
        </is>
      </c>
      <c r="DA733" s="20" t="inlineStr">
        <is>
          <t>None</t>
        </is>
      </c>
      <c r="DB733" s="17" t="n"/>
      <c r="DC733" s="16" t="n"/>
      <c r="DD733" s="20" t="n"/>
      <c r="DE733" s="20" t="inlineStr">
        <is>
          <t>None</t>
        </is>
      </c>
      <c r="DF733" s="17" t="n"/>
      <c r="DG733" s="16" t="n"/>
      <c r="DH733" s="20" t="inlineStr">
        <is>
          <t>SOP 45-09</t>
        </is>
      </c>
      <c r="DI733" s="20" t="inlineStr">
        <is>
          <t>None</t>
        </is>
      </c>
      <c r="DJ733" s="17" t="n"/>
      <c r="DK733" s="16" t="n"/>
      <c r="DL733" s="20" t="inlineStr">
        <is>
          <t>SOP 45-09 (SOP muss noch angepasst werden für VSS)</t>
        </is>
      </c>
      <c r="DM733" s="20" t="inlineStr">
        <is>
          <t>None</t>
        </is>
      </c>
      <c r="DN733" s="17" t="n"/>
      <c r="DO733" s="16" t="n"/>
      <c r="DP733" s="20" t="inlineStr">
        <is>
          <t>IC Organic Acids</t>
        </is>
      </c>
      <c r="DQ733" s="20" t="inlineStr">
        <is>
          <t>None</t>
        </is>
      </c>
      <c r="DR733" s="17" t="n"/>
      <c r="DS733" s="16" t="n"/>
      <c r="DT733" s="20" t="inlineStr">
        <is>
          <t>IC Organic Acids</t>
        </is>
      </c>
      <c r="DU733" s="20" t="inlineStr">
        <is>
          <t>None</t>
        </is>
      </c>
      <c r="DV733" s="17" t="n"/>
      <c r="DW733" s="16" t="n"/>
      <c r="DX733" s="20" t="inlineStr">
        <is>
          <t>IC Organic Acids</t>
        </is>
      </c>
      <c r="DY733" s="20" t="inlineStr">
        <is>
          <t>None</t>
        </is>
      </c>
      <c r="DZ733" s="17" t="n"/>
      <c r="EA733" s="16" t="n"/>
      <c r="EB733" s="20" t="inlineStr">
        <is>
          <t>IC Organic Acids</t>
        </is>
      </c>
      <c r="EC733" s="20" t="inlineStr">
        <is>
          <t>None</t>
        </is>
      </c>
      <c r="ED733" s="17" t="n"/>
      <c r="EE733" s="16" t="n"/>
      <c r="EF733" s="20" t="inlineStr">
        <is>
          <t>IC Organic Acids</t>
        </is>
      </c>
      <c r="EG733" s="20" t="inlineStr">
        <is>
          <t>None</t>
        </is>
      </c>
      <c r="EH733" s="17" t="n"/>
      <c r="EI733" s="16" t="n"/>
      <c r="EJ733" s="20" t="inlineStr">
        <is>
          <t>IC Organic Acids</t>
        </is>
      </c>
      <c r="EK733" s="20" t="inlineStr">
        <is>
          <t>None</t>
        </is>
      </c>
      <c r="EL733" s="17" t="n"/>
      <c r="EM733" s="16" t="n"/>
      <c r="EN733" s="20" t="inlineStr">
        <is>
          <t>IC Organic Acids</t>
        </is>
      </c>
      <c r="EO733" s="20" t="inlineStr">
        <is>
          <t>None</t>
        </is>
      </c>
      <c r="EP733" s="17" t="n"/>
      <c r="EQ733" s="16" t="n"/>
      <c r="ER733" s="20" t="inlineStr">
        <is>
          <t>IC Organic Acids</t>
        </is>
      </c>
      <c r="ES733" s="20" t="inlineStr">
        <is>
          <t>None</t>
        </is>
      </c>
      <c r="ET733" s="17" t="n"/>
      <c r="EU733" s="16" t="n"/>
      <c r="EV733" s="20" t="inlineStr">
        <is>
          <t>LC-MS</t>
        </is>
      </c>
      <c r="EW733" s="20" t="inlineStr">
        <is>
          <t>None</t>
        </is>
      </c>
      <c r="EX733" s="17" t="n"/>
      <c r="EY733" s="21" t="n"/>
      <c r="EZ733">
        <f>CONCATENATE(A733,B733)</f>
        <v/>
      </c>
      <c r="FA733">
        <f>CONCATENATE(SamplesX!A733,SamplesX!B733)</f>
        <v/>
      </c>
      <c r="FC733">
        <f>MATCH(EZ733,FA1:FA1008,0)</f>
        <v/>
      </c>
    </row>
    <row r="734">
      <c r="A734" s="16" t="n"/>
      <c r="B734" s="17" t="n"/>
      <c r="C734" s="10">
        <f>IF(ISNUMBER(FC734),INDIRECT("SamplesX!C"&amp;FC734),IF(ISNUMBER(FD734),INDIRECT("SamplesY!C"&amp;FD734),""))</f>
        <v/>
      </c>
      <c r="D734" s="12">
        <f>IF(ISNUMBER(FC734),INDIRECT("SamplesX!D"&amp;FC734),IF(ISNUMBER(FD734),INDIRECT("SamplesY!D"&amp;FD734),""))</f>
        <v/>
      </c>
      <c r="E734" s="12">
        <f>IF(ISNUMBER(FC734),INDIRECT("SamplesX!E"&amp;FC734),IF(ISNUMBER(FD734),INDIRECT("SamplesY!E"&amp;FD734),""))</f>
        <v/>
      </c>
      <c r="F734" s="11">
        <f>IF(ISNUMBER(FC734),INDIRECT("SamplesX!F"&amp;FC734),IF(ISNUMBER(FD734),INDIRECT("SamplesY!F"&amp;FD734),""))</f>
        <v/>
      </c>
      <c r="G734" s="18">
        <f>IF(ISNUMBER(FC734),INDIRECT("SamplesX!G"&amp;FC734),IF(ISNUMBER(FD734),INDIRECT("SamplesY!G"&amp;FD734),""))</f>
        <v/>
      </c>
      <c r="H734" s="19">
        <f>IF(ISNUMBER(FC734),INDIRECT("SamplesX!H"&amp;FC734),IF(ISNUMBER(FD734),INDIRECT("SamplesY!H"&amp;FD734),""))</f>
        <v/>
      </c>
      <c r="I734" s="16" t="n"/>
      <c r="J734" s="16" t="n"/>
      <c r="K734" s="16" t="n"/>
      <c r="L734" s="20" t="n"/>
      <c r="M734" s="20" t="inlineStr">
        <is>
          <t>None</t>
        </is>
      </c>
      <c r="N734" s="17" t="n"/>
      <c r="O734" s="16" t="n"/>
      <c r="P734" s="20" t="inlineStr">
        <is>
          <t>Shimadzu TOC-L</t>
        </is>
      </c>
      <c r="Q734" s="20" t="inlineStr">
        <is>
          <t>None</t>
        </is>
      </c>
      <c r="R734" s="17" t="n"/>
      <c r="S734" s="16" t="n"/>
      <c r="T734" s="20" t="inlineStr">
        <is>
          <t>Shimadzu TOC-L</t>
        </is>
      </c>
      <c r="U734" s="20" t="inlineStr">
        <is>
          <t>None</t>
        </is>
      </c>
      <c r="V734" s="17" t="n"/>
      <c r="W734" s="16" t="n"/>
      <c r="X734" s="20" t="n"/>
      <c r="Y734" s="20" t="inlineStr">
        <is>
          <t>None</t>
        </is>
      </c>
      <c r="Z734" s="17" t="n"/>
      <c r="AA734" s="16" t="n"/>
      <c r="AB734" s="20" t="n"/>
      <c r="AC734" s="20" t="inlineStr">
        <is>
          <t>None</t>
        </is>
      </c>
      <c r="AD734" s="17" t="n"/>
      <c r="AE734" s="16" t="n"/>
      <c r="AF734" s="20" t="inlineStr">
        <is>
          <t>IC Anionen</t>
        </is>
      </c>
      <c r="AG734" s="20" t="inlineStr">
        <is>
          <t>None</t>
        </is>
      </c>
      <c r="AH734" s="17" t="n"/>
      <c r="AI734" s="16" t="n"/>
      <c r="AJ734" s="20" t="n"/>
      <c r="AK734" s="20" t="inlineStr">
        <is>
          <t>None</t>
        </is>
      </c>
      <c r="AL734" s="17" t="n"/>
      <c r="AM734" s="16" t="n"/>
      <c r="AN734" s="20" t="inlineStr">
        <is>
          <t>IC Anionen</t>
        </is>
      </c>
      <c r="AO734" s="20" t="inlineStr">
        <is>
          <t>None</t>
        </is>
      </c>
      <c r="AP734" s="17" t="n"/>
      <c r="AQ734" s="16" t="n"/>
      <c r="AR734" s="20" t="n"/>
      <c r="AS734" s="20" t="inlineStr">
        <is>
          <t>None</t>
        </is>
      </c>
      <c r="AT734" s="17" t="n"/>
      <c r="AU734" s="16" t="n"/>
      <c r="AV734" s="20" t="n"/>
      <c r="AW734" s="20" t="inlineStr">
        <is>
          <t>None</t>
        </is>
      </c>
      <c r="AX734" s="17" t="n"/>
      <c r="AY734" s="16" t="n"/>
      <c r="AZ734" s="20" t="inlineStr">
        <is>
          <t>IC Anionen</t>
        </is>
      </c>
      <c r="BA734" s="20" t="inlineStr">
        <is>
          <t>None</t>
        </is>
      </c>
      <c r="BB734" s="17" t="n"/>
      <c r="BC734" s="16" t="n"/>
      <c r="BD734" s="20" t="inlineStr">
        <is>
          <t>IC Kationen</t>
        </is>
      </c>
      <c r="BE734" s="20" t="inlineStr">
        <is>
          <t>None</t>
        </is>
      </c>
      <c r="BF734" s="17" t="n"/>
      <c r="BG734" s="16" t="n"/>
      <c r="BH734" s="20" t="inlineStr">
        <is>
          <t>IC Kationen</t>
        </is>
      </c>
      <c r="BI734" s="20" t="inlineStr">
        <is>
          <t>None</t>
        </is>
      </c>
      <c r="BJ734" s="17" t="n"/>
      <c r="BK734" s="16" t="n"/>
      <c r="BL734" s="20" t="inlineStr">
        <is>
          <t>IC Kationen</t>
        </is>
      </c>
      <c r="BM734" s="20" t="inlineStr">
        <is>
          <t>None</t>
        </is>
      </c>
      <c r="BN734" s="17" t="n"/>
      <c r="BO734" s="16" t="n"/>
      <c r="BP734" s="20" t="inlineStr">
        <is>
          <t>IC Kationen</t>
        </is>
      </c>
      <c r="BQ734" s="20" t="inlineStr">
        <is>
          <t>None</t>
        </is>
      </c>
      <c r="BR734" s="17" t="n"/>
      <c r="BS734" s="16" t="n"/>
      <c r="BT734" s="20" t="inlineStr">
        <is>
          <t>IC Kationen</t>
        </is>
      </c>
      <c r="BU734" s="20" t="inlineStr">
        <is>
          <t>None</t>
        </is>
      </c>
      <c r="BV734" s="17" t="n"/>
      <c r="BW734" s="16" t="n"/>
      <c r="BX734" s="20" t="n"/>
      <c r="BY734" s="20" t="inlineStr">
        <is>
          <t>None</t>
        </is>
      </c>
      <c r="BZ734" s="17" t="n"/>
      <c r="CA734" s="16" t="n"/>
      <c r="CB734" s="20" t="n"/>
      <c r="CC734" s="20" t="inlineStr">
        <is>
          <t>None</t>
        </is>
      </c>
      <c r="CD734" s="17" t="n"/>
      <c r="CE734" s="16" t="n"/>
      <c r="CF734" s="20" t="n"/>
      <c r="CG734" s="20" t="inlineStr">
        <is>
          <t>None</t>
        </is>
      </c>
      <c r="CH734" s="17" t="n"/>
      <c r="CI734" s="16" t="n"/>
      <c r="CJ734" s="20" t="n"/>
      <c r="CK734" s="20" t="inlineStr">
        <is>
          <t>None</t>
        </is>
      </c>
      <c r="CL734" s="17" t="n"/>
      <c r="CM734" s="16" t="n"/>
      <c r="CN734" s="20" t="inlineStr">
        <is>
          <t>SOP 45-34</t>
        </is>
      </c>
      <c r="CO734" s="20" t="inlineStr">
        <is>
          <t>None</t>
        </is>
      </c>
      <c r="CP734" s="17" t="n"/>
      <c r="CQ734" s="16" t="n"/>
      <c r="CR734" s="20" t="n"/>
      <c r="CS734" s="20" t="inlineStr">
        <is>
          <t>None</t>
        </is>
      </c>
      <c r="CT734" s="17" t="n"/>
      <c r="CU734" s="16" t="n"/>
      <c r="CV734" s="20" t="n"/>
      <c r="CW734" s="20" t="inlineStr">
        <is>
          <t>None</t>
        </is>
      </c>
      <c r="CX734" s="17" t="n"/>
      <c r="CY734" s="16" t="n"/>
      <c r="CZ734" s="20" t="inlineStr">
        <is>
          <t>WTW Multimeter 3430 with FDO 925</t>
        </is>
      </c>
      <c r="DA734" s="20" t="inlineStr">
        <is>
          <t>None</t>
        </is>
      </c>
      <c r="DB734" s="17" t="n"/>
      <c r="DC734" s="16" t="n"/>
      <c r="DD734" s="20" t="n"/>
      <c r="DE734" s="20" t="inlineStr">
        <is>
          <t>None</t>
        </is>
      </c>
      <c r="DF734" s="17" t="n"/>
      <c r="DG734" s="16" t="n"/>
      <c r="DH734" s="20" t="inlineStr">
        <is>
          <t>SOP 45-09</t>
        </is>
      </c>
      <c r="DI734" s="20" t="inlineStr">
        <is>
          <t>None</t>
        </is>
      </c>
      <c r="DJ734" s="17" t="n"/>
      <c r="DK734" s="16" t="n"/>
      <c r="DL734" s="20" t="inlineStr">
        <is>
          <t>SOP 45-09 (SOP muss noch angepasst werden für VSS)</t>
        </is>
      </c>
      <c r="DM734" s="20" t="inlineStr">
        <is>
          <t>None</t>
        </is>
      </c>
      <c r="DN734" s="17" t="n"/>
      <c r="DO734" s="16" t="n"/>
      <c r="DP734" s="20" t="inlineStr">
        <is>
          <t>IC Organic Acids</t>
        </is>
      </c>
      <c r="DQ734" s="20" t="inlineStr">
        <is>
          <t>None</t>
        </is>
      </c>
      <c r="DR734" s="17" t="n"/>
      <c r="DS734" s="16" t="n"/>
      <c r="DT734" s="20" t="inlineStr">
        <is>
          <t>IC Organic Acids</t>
        </is>
      </c>
      <c r="DU734" s="20" t="inlineStr">
        <is>
          <t>None</t>
        </is>
      </c>
      <c r="DV734" s="17" t="n"/>
      <c r="DW734" s="16" t="n"/>
      <c r="DX734" s="20" t="inlineStr">
        <is>
          <t>IC Organic Acids</t>
        </is>
      </c>
      <c r="DY734" s="20" t="inlineStr">
        <is>
          <t>None</t>
        </is>
      </c>
      <c r="DZ734" s="17" t="n"/>
      <c r="EA734" s="16" t="n"/>
      <c r="EB734" s="20" t="inlineStr">
        <is>
          <t>IC Organic Acids</t>
        </is>
      </c>
      <c r="EC734" s="20" t="inlineStr">
        <is>
          <t>None</t>
        </is>
      </c>
      <c r="ED734" s="17" t="n"/>
      <c r="EE734" s="16" t="n"/>
      <c r="EF734" s="20" t="inlineStr">
        <is>
          <t>IC Organic Acids</t>
        </is>
      </c>
      <c r="EG734" s="20" t="inlineStr">
        <is>
          <t>None</t>
        </is>
      </c>
      <c r="EH734" s="17" t="n"/>
      <c r="EI734" s="16" t="n"/>
      <c r="EJ734" s="20" t="inlineStr">
        <is>
          <t>IC Organic Acids</t>
        </is>
      </c>
      <c r="EK734" s="20" t="inlineStr">
        <is>
          <t>None</t>
        </is>
      </c>
      <c r="EL734" s="17" t="n"/>
      <c r="EM734" s="16" t="n"/>
      <c r="EN734" s="20" t="inlineStr">
        <is>
          <t>IC Organic Acids</t>
        </is>
      </c>
      <c r="EO734" s="20" t="inlineStr">
        <is>
          <t>None</t>
        </is>
      </c>
      <c r="EP734" s="17" t="n"/>
      <c r="EQ734" s="16" t="n"/>
      <c r="ER734" s="20" t="inlineStr">
        <is>
          <t>IC Organic Acids</t>
        </is>
      </c>
      <c r="ES734" s="20" t="inlineStr">
        <is>
          <t>None</t>
        </is>
      </c>
      <c r="ET734" s="17" t="n"/>
      <c r="EU734" s="16" t="n"/>
      <c r="EV734" s="20" t="inlineStr">
        <is>
          <t>LC-MS</t>
        </is>
      </c>
      <c r="EW734" s="20" t="inlineStr">
        <is>
          <t>None</t>
        </is>
      </c>
      <c r="EX734" s="17" t="n"/>
      <c r="EY734" s="21" t="n"/>
      <c r="EZ734">
        <f>CONCATENATE(A734,B734)</f>
        <v/>
      </c>
      <c r="FA734">
        <f>CONCATENATE(SamplesX!A734,SamplesX!B734)</f>
        <v/>
      </c>
      <c r="FC734">
        <f>MATCH(EZ734,FA1:FA1008,0)</f>
        <v/>
      </c>
    </row>
    <row r="735">
      <c r="A735" s="16" t="n"/>
      <c r="B735" s="17" t="n"/>
      <c r="C735" s="10">
        <f>IF(ISNUMBER(FC735),INDIRECT("SamplesX!C"&amp;FC735),IF(ISNUMBER(FD735),INDIRECT("SamplesY!C"&amp;FD735),""))</f>
        <v/>
      </c>
      <c r="D735" s="12">
        <f>IF(ISNUMBER(FC735),INDIRECT("SamplesX!D"&amp;FC735),IF(ISNUMBER(FD735),INDIRECT("SamplesY!D"&amp;FD735),""))</f>
        <v/>
      </c>
      <c r="E735" s="12">
        <f>IF(ISNUMBER(FC735),INDIRECT("SamplesX!E"&amp;FC735),IF(ISNUMBER(FD735),INDIRECT("SamplesY!E"&amp;FD735),""))</f>
        <v/>
      </c>
      <c r="F735" s="11">
        <f>IF(ISNUMBER(FC735),INDIRECT("SamplesX!F"&amp;FC735),IF(ISNUMBER(FD735),INDIRECT("SamplesY!F"&amp;FD735),""))</f>
        <v/>
      </c>
      <c r="G735" s="18">
        <f>IF(ISNUMBER(FC735),INDIRECT("SamplesX!G"&amp;FC735),IF(ISNUMBER(FD735),INDIRECT("SamplesY!G"&amp;FD735),""))</f>
        <v/>
      </c>
      <c r="H735" s="19">
        <f>IF(ISNUMBER(FC735),INDIRECT("SamplesX!H"&amp;FC735),IF(ISNUMBER(FD735),INDIRECT("SamplesY!H"&amp;FD735),""))</f>
        <v/>
      </c>
      <c r="I735" s="16" t="n"/>
      <c r="J735" s="16" t="n"/>
      <c r="K735" s="16" t="n"/>
      <c r="L735" s="20" t="n"/>
      <c r="M735" s="20" t="inlineStr">
        <is>
          <t>None</t>
        </is>
      </c>
      <c r="N735" s="17" t="n"/>
      <c r="O735" s="16" t="n"/>
      <c r="P735" s="20" t="inlineStr">
        <is>
          <t>Shimadzu TOC-L</t>
        </is>
      </c>
      <c r="Q735" s="20" t="inlineStr">
        <is>
          <t>None</t>
        </is>
      </c>
      <c r="R735" s="17" t="n"/>
      <c r="S735" s="16" t="n"/>
      <c r="T735" s="20" t="inlineStr">
        <is>
          <t>Shimadzu TOC-L</t>
        </is>
      </c>
      <c r="U735" s="20" t="inlineStr">
        <is>
          <t>None</t>
        </is>
      </c>
      <c r="V735" s="17" t="n"/>
      <c r="W735" s="16" t="n"/>
      <c r="X735" s="20" t="n"/>
      <c r="Y735" s="20" t="inlineStr">
        <is>
          <t>None</t>
        </is>
      </c>
      <c r="Z735" s="17" t="n"/>
      <c r="AA735" s="16" t="n"/>
      <c r="AB735" s="20" t="n"/>
      <c r="AC735" s="20" t="inlineStr">
        <is>
          <t>None</t>
        </is>
      </c>
      <c r="AD735" s="17" t="n"/>
      <c r="AE735" s="16" t="n"/>
      <c r="AF735" s="20" t="inlineStr">
        <is>
          <t>IC Anionen</t>
        </is>
      </c>
      <c r="AG735" s="20" t="inlineStr">
        <is>
          <t>None</t>
        </is>
      </c>
      <c r="AH735" s="17" t="n"/>
      <c r="AI735" s="16" t="n"/>
      <c r="AJ735" s="20" t="n"/>
      <c r="AK735" s="20" t="inlineStr">
        <is>
          <t>None</t>
        </is>
      </c>
      <c r="AL735" s="17" t="n"/>
      <c r="AM735" s="16" t="n"/>
      <c r="AN735" s="20" t="inlineStr">
        <is>
          <t>IC Anionen</t>
        </is>
      </c>
      <c r="AO735" s="20" t="inlineStr">
        <is>
          <t>None</t>
        </is>
      </c>
      <c r="AP735" s="17" t="n"/>
      <c r="AQ735" s="16" t="n"/>
      <c r="AR735" s="20" t="n"/>
      <c r="AS735" s="20" t="inlineStr">
        <is>
          <t>None</t>
        </is>
      </c>
      <c r="AT735" s="17" t="n"/>
      <c r="AU735" s="16" t="n"/>
      <c r="AV735" s="20" t="n"/>
      <c r="AW735" s="20" t="inlineStr">
        <is>
          <t>None</t>
        </is>
      </c>
      <c r="AX735" s="17" t="n"/>
      <c r="AY735" s="16" t="n"/>
      <c r="AZ735" s="20" t="inlineStr">
        <is>
          <t>IC Anionen</t>
        </is>
      </c>
      <c r="BA735" s="20" t="inlineStr">
        <is>
          <t>None</t>
        </is>
      </c>
      <c r="BB735" s="17" t="n"/>
      <c r="BC735" s="16" t="n"/>
      <c r="BD735" s="20" t="inlineStr">
        <is>
          <t>IC Kationen</t>
        </is>
      </c>
      <c r="BE735" s="20" t="inlineStr">
        <is>
          <t>None</t>
        </is>
      </c>
      <c r="BF735" s="17" t="n"/>
      <c r="BG735" s="16" t="n"/>
      <c r="BH735" s="20" t="inlineStr">
        <is>
          <t>IC Kationen</t>
        </is>
      </c>
      <c r="BI735" s="20" t="inlineStr">
        <is>
          <t>None</t>
        </is>
      </c>
      <c r="BJ735" s="17" t="n"/>
      <c r="BK735" s="16" t="n"/>
      <c r="BL735" s="20" t="inlineStr">
        <is>
          <t>IC Kationen</t>
        </is>
      </c>
      <c r="BM735" s="20" t="inlineStr">
        <is>
          <t>None</t>
        </is>
      </c>
      <c r="BN735" s="17" t="n"/>
      <c r="BO735" s="16" t="n"/>
      <c r="BP735" s="20" t="inlineStr">
        <is>
          <t>IC Kationen</t>
        </is>
      </c>
      <c r="BQ735" s="20" t="inlineStr">
        <is>
          <t>None</t>
        </is>
      </c>
      <c r="BR735" s="17" t="n"/>
      <c r="BS735" s="16" t="n"/>
      <c r="BT735" s="20" t="inlineStr">
        <is>
          <t>IC Kationen</t>
        </is>
      </c>
      <c r="BU735" s="20" t="inlineStr">
        <is>
          <t>None</t>
        </is>
      </c>
      <c r="BV735" s="17" t="n"/>
      <c r="BW735" s="16" t="n"/>
      <c r="BX735" s="20" t="n"/>
      <c r="BY735" s="20" t="inlineStr">
        <is>
          <t>None</t>
        </is>
      </c>
      <c r="BZ735" s="17" t="n"/>
      <c r="CA735" s="16" t="n"/>
      <c r="CB735" s="20" t="n"/>
      <c r="CC735" s="20" t="inlineStr">
        <is>
          <t>None</t>
        </is>
      </c>
      <c r="CD735" s="17" t="n"/>
      <c r="CE735" s="16" t="n"/>
      <c r="CF735" s="20" t="n"/>
      <c r="CG735" s="20" t="inlineStr">
        <is>
          <t>None</t>
        </is>
      </c>
      <c r="CH735" s="17" t="n"/>
      <c r="CI735" s="16" t="n"/>
      <c r="CJ735" s="20" t="n"/>
      <c r="CK735" s="20" t="inlineStr">
        <is>
          <t>None</t>
        </is>
      </c>
      <c r="CL735" s="17" t="n"/>
      <c r="CM735" s="16" t="n"/>
      <c r="CN735" s="20" t="inlineStr">
        <is>
          <t>SOP 45-34</t>
        </is>
      </c>
      <c r="CO735" s="20" t="inlineStr">
        <is>
          <t>None</t>
        </is>
      </c>
      <c r="CP735" s="17" t="n"/>
      <c r="CQ735" s="16" t="n"/>
      <c r="CR735" s="20" t="n"/>
      <c r="CS735" s="20" t="inlineStr">
        <is>
          <t>None</t>
        </is>
      </c>
      <c r="CT735" s="17" t="n"/>
      <c r="CU735" s="16" t="n"/>
      <c r="CV735" s="20" t="n"/>
      <c r="CW735" s="20" t="inlineStr">
        <is>
          <t>None</t>
        </is>
      </c>
      <c r="CX735" s="17" t="n"/>
      <c r="CY735" s="16" t="n"/>
      <c r="CZ735" s="20" t="inlineStr">
        <is>
          <t>WTW Multimeter 3430 with FDO 925</t>
        </is>
      </c>
      <c r="DA735" s="20" t="inlineStr">
        <is>
          <t>None</t>
        </is>
      </c>
      <c r="DB735" s="17" t="n"/>
      <c r="DC735" s="16" t="n"/>
      <c r="DD735" s="20" t="n"/>
      <c r="DE735" s="20" t="inlineStr">
        <is>
          <t>None</t>
        </is>
      </c>
      <c r="DF735" s="17" t="n"/>
      <c r="DG735" s="16" t="n"/>
      <c r="DH735" s="20" t="inlineStr">
        <is>
          <t>SOP 45-09</t>
        </is>
      </c>
      <c r="DI735" s="20" t="inlineStr">
        <is>
          <t>None</t>
        </is>
      </c>
      <c r="DJ735" s="17" t="n"/>
      <c r="DK735" s="16" t="n"/>
      <c r="DL735" s="20" t="inlineStr">
        <is>
          <t>SOP 45-09 (SOP muss noch angepasst werden für VSS)</t>
        </is>
      </c>
      <c r="DM735" s="20" t="inlineStr">
        <is>
          <t>None</t>
        </is>
      </c>
      <c r="DN735" s="17" t="n"/>
      <c r="DO735" s="16" t="n"/>
      <c r="DP735" s="20" t="inlineStr">
        <is>
          <t>IC Organic Acids</t>
        </is>
      </c>
      <c r="DQ735" s="20" t="inlineStr">
        <is>
          <t>None</t>
        </is>
      </c>
      <c r="DR735" s="17" t="n"/>
      <c r="DS735" s="16" t="n"/>
      <c r="DT735" s="20" t="inlineStr">
        <is>
          <t>IC Organic Acids</t>
        </is>
      </c>
      <c r="DU735" s="20" t="inlineStr">
        <is>
          <t>None</t>
        </is>
      </c>
      <c r="DV735" s="17" t="n"/>
      <c r="DW735" s="16" t="n"/>
      <c r="DX735" s="20" t="inlineStr">
        <is>
          <t>IC Organic Acids</t>
        </is>
      </c>
      <c r="DY735" s="20" t="inlineStr">
        <is>
          <t>None</t>
        </is>
      </c>
      <c r="DZ735" s="17" t="n"/>
      <c r="EA735" s="16" t="n"/>
      <c r="EB735" s="20" t="inlineStr">
        <is>
          <t>IC Organic Acids</t>
        </is>
      </c>
      <c r="EC735" s="20" t="inlineStr">
        <is>
          <t>None</t>
        </is>
      </c>
      <c r="ED735" s="17" t="n"/>
      <c r="EE735" s="16" t="n"/>
      <c r="EF735" s="20" t="inlineStr">
        <is>
          <t>IC Organic Acids</t>
        </is>
      </c>
      <c r="EG735" s="20" t="inlineStr">
        <is>
          <t>None</t>
        </is>
      </c>
      <c r="EH735" s="17" t="n"/>
      <c r="EI735" s="16" t="n"/>
      <c r="EJ735" s="20" t="inlineStr">
        <is>
          <t>IC Organic Acids</t>
        </is>
      </c>
      <c r="EK735" s="20" t="inlineStr">
        <is>
          <t>None</t>
        </is>
      </c>
      <c r="EL735" s="17" t="n"/>
      <c r="EM735" s="16" t="n"/>
      <c r="EN735" s="20" t="inlineStr">
        <is>
          <t>IC Organic Acids</t>
        </is>
      </c>
      <c r="EO735" s="20" t="inlineStr">
        <is>
          <t>None</t>
        </is>
      </c>
      <c r="EP735" s="17" t="n"/>
      <c r="EQ735" s="16" t="n"/>
      <c r="ER735" s="20" t="inlineStr">
        <is>
          <t>IC Organic Acids</t>
        </is>
      </c>
      <c r="ES735" s="20" t="inlineStr">
        <is>
          <t>None</t>
        </is>
      </c>
      <c r="ET735" s="17" t="n"/>
      <c r="EU735" s="16" t="n"/>
      <c r="EV735" s="20" t="inlineStr">
        <is>
          <t>LC-MS</t>
        </is>
      </c>
      <c r="EW735" s="20" t="inlineStr">
        <is>
          <t>None</t>
        </is>
      </c>
      <c r="EX735" s="17" t="n"/>
      <c r="EY735" s="21" t="n"/>
      <c r="EZ735">
        <f>CONCATENATE(A735,B735)</f>
        <v/>
      </c>
      <c r="FA735">
        <f>CONCATENATE(SamplesX!A735,SamplesX!B735)</f>
        <v/>
      </c>
      <c r="FC735">
        <f>MATCH(EZ735,FA1:FA1008,0)</f>
        <v/>
      </c>
    </row>
    <row r="736">
      <c r="A736" s="16" t="n"/>
      <c r="B736" s="17" t="n"/>
      <c r="C736" s="10">
        <f>IF(ISNUMBER(FC736),INDIRECT("SamplesX!C"&amp;FC736),IF(ISNUMBER(FD736),INDIRECT("SamplesY!C"&amp;FD736),""))</f>
        <v/>
      </c>
      <c r="D736" s="12">
        <f>IF(ISNUMBER(FC736),INDIRECT("SamplesX!D"&amp;FC736),IF(ISNUMBER(FD736),INDIRECT("SamplesY!D"&amp;FD736),""))</f>
        <v/>
      </c>
      <c r="E736" s="12">
        <f>IF(ISNUMBER(FC736),INDIRECT("SamplesX!E"&amp;FC736),IF(ISNUMBER(FD736),INDIRECT("SamplesY!E"&amp;FD736),""))</f>
        <v/>
      </c>
      <c r="F736" s="11">
        <f>IF(ISNUMBER(FC736),INDIRECT("SamplesX!F"&amp;FC736),IF(ISNUMBER(FD736),INDIRECT("SamplesY!F"&amp;FD736),""))</f>
        <v/>
      </c>
      <c r="G736" s="18">
        <f>IF(ISNUMBER(FC736),INDIRECT("SamplesX!G"&amp;FC736),IF(ISNUMBER(FD736),INDIRECT("SamplesY!G"&amp;FD736),""))</f>
        <v/>
      </c>
      <c r="H736" s="19">
        <f>IF(ISNUMBER(FC736),INDIRECT("SamplesX!H"&amp;FC736),IF(ISNUMBER(FD736),INDIRECT("SamplesY!H"&amp;FD736),""))</f>
        <v/>
      </c>
      <c r="I736" s="16" t="n"/>
      <c r="J736" s="16" t="n"/>
      <c r="K736" s="16" t="n"/>
      <c r="L736" s="20" t="n"/>
      <c r="M736" s="20" t="inlineStr">
        <is>
          <t>None</t>
        </is>
      </c>
      <c r="N736" s="17" t="n"/>
      <c r="O736" s="16" t="n"/>
      <c r="P736" s="20" t="inlineStr">
        <is>
          <t>Shimadzu TOC-L</t>
        </is>
      </c>
      <c r="Q736" s="20" t="inlineStr">
        <is>
          <t>None</t>
        </is>
      </c>
      <c r="R736" s="17" t="n"/>
      <c r="S736" s="16" t="n"/>
      <c r="T736" s="20" t="inlineStr">
        <is>
          <t>Shimadzu TOC-L</t>
        </is>
      </c>
      <c r="U736" s="20" t="inlineStr">
        <is>
          <t>None</t>
        </is>
      </c>
      <c r="V736" s="17" t="n"/>
      <c r="W736" s="16" t="n"/>
      <c r="X736" s="20" t="n"/>
      <c r="Y736" s="20" t="inlineStr">
        <is>
          <t>None</t>
        </is>
      </c>
      <c r="Z736" s="17" t="n"/>
      <c r="AA736" s="16" t="n"/>
      <c r="AB736" s="20" t="n"/>
      <c r="AC736" s="20" t="inlineStr">
        <is>
          <t>None</t>
        </is>
      </c>
      <c r="AD736" s="17" t="n"/>
      <c r="AE736" s="16" t="n"/>
      <c r="AF736" s="20" t="inlineStr">
        <is>
          <t>IC Anionen</t>
        </is>
      </c>
      <c r="AG736" s="20" t="inlineStr">
        <is>
          <t>None</t>
        </is>
      </c>
      <c r="AH736" s="17" t="n"/>
      <c r="AI736" s="16" t="n"/>
      <c r="AJ736" s="20" t="n"/>
      <c r="AK736" s="20" t="inlineStr">
        <is>
          <t>None</t>
        </is>
      </c>
      <c r="AL736" s="17" t="n"/>
      <c r="AM736" s="16" t="n"/>
      <c r="AN736" s="20" t="inlineStr">
        <is>
          <t>IC Anionen</t>
        </is>
      </c>
      <c r="AO736" s="20" t="inlineStr">
        <is>
          <t>None</t>
        </is>
      </c>
      <c r="AP736" s="17" t="n"/>
      <c r="AQ736" s="16" t="n"/>
      <c r="AR736" s="20" t="n"/>
      <c r="AS736" s="20" t="inlineStr">
        <is>
          <t>None</t>
        </is>
      </c>
      <c r="AT736" s="17" t="n"/>
      <c r="AU736" s="16" t="n"/>
      <c r="AV736" s="20" t="n"/>
      <c r="AW736" s="20" t="inlineStr">
        <is>
          <t>None</t>
        </is>
      </c>
      <c r="AX736" s="17" t="n"/>
      <c r="AY736" s="16" t="n"/>
      <c r="AZ736" s="20" t="inlineStr">
        <is>
          <t>IC Anionen</t>
        </is>
      </c>
      <c r="BA736" s="20" t="inlineStr">
        <is>
          <t>None</t>
        </is>
      </c>
      <c r="BB736" s="17" t="n"/>
      <c r="BC736" s="16" t="n"/>
      <c r="BD736" s="20" t="inlineStr">
        <is>
          <t>IC Kationen</t>
        </is>
      </c>
      <c r="BE736" s="20" t="inlineStr">
        <is>
          <t>None</t>
        </is>
      </c>
      <c r="BF736" s="17" t="n"/>
      <c r="BG736" s="16" t="n"/>
      <c r="BH736" s="20" t="inlineStr">
        <is>
          <t>IC Kationen</t>
        </is>
      </c>
      <c r="BI736" s="20" t="inlineStr">
        <is>
          <t>None</t>
        </is>
      </c>
      <c r="BJ736" s="17" t="n"/>
      <c r="BK736" s="16" t="n"/>
      <c r="BL736" s="20" t="inlineStr">
        <is>
          <t>IC Kationen</t>
        </is>
      </c>
      <c r="BM736" s="20" t="inlineStr">
        <is>
          <t>None</t>
        </is>
      </c>
      <c r="BN736" s="17" t="n"/>
      <c r="BO736" s="16" t="n"/>
      <c r="BP736" s="20" t="inlineStr">
        <is>
          <t>IC Kationen</t>
        </is>
      </c>
      <c r="BQ736" s="20" t="inlineStr">
        <is>
          <t>None</t>
        </is>
      </c>
      <c r="BR736" s="17" t="n"/>
      <c r="BS736" s="16" t="n"/>
      <c r="BT736" s="20" t="inlineStr">
        <is>
          <t>IC Kationen</t>
        </is>
      </c>
      <c r="BU736" s="20" t="inlineStr">
        <is>
          <t>None</t>
        </is>
      </c>
      <c r="BV736" s="17" t="n"/>
      <c r="BW736" s="16" t="n"/>
      <c r="BX736" s="20" t="n"/>
      <c r="BY736" s="20" t="inlineStr">
        <is>
          <t>None</t>
        </is>
      </c>
      <c r="BZ736" s="17" t="n"/>
      <c r="CA736" s="16" t="n"/>
      <c r="CB736" s="20" t="n"/>
      <c r="CC736" s="20" t="inlineStr">
        <is>
          <t>None</t>
        </is>
      </c>
      <c r="CD736" s="17" t="n"/>
      <c r="CE736" s="16" t="n"/>
      <c r="CF736" s="20" t="n"/>
      <c r="CG736" s="20" t="inlineStr">
        <is>
          <t>None</t>
        </is>
      </c>
      <c r="CH736" s="17" t="n"/>
      <c r="CI736" s="16" t="n"/>
      <c r="CJ736" s="20" t="n"/>
      <c r="CK736" s="20" t="inlineStr">
        <is>
          <t>None</t>
        </is>
      </c>
      <c r="CL736" s="17" t="n"/>
      <c r="CM736" s="16" t="n"/>
      <c r="CN736" s="20" t="inlineStr">
        <is>
          <t>SOP 45-34</t>
        </is>
      </c>
      <c r="CO736" s="20" t="inlineStr">
        <is>
          <t>None</t>
        </is>
      </c>
      <c r="CP736" s="17" t="n"/>
      <c r="CQ736" s="16" t="n"/>
      <c r="CR736" s="20" t="n"/>
      <c r="CS736" s="20" t="inlineStr">
        <is>
          <t>None</t>
        </is>
      </c>
      <c r="CT736" s="17" t="n"/>
      <c r="CU736" s="16" t="n"/>
      <c r="CV736" s="20" t="n"/>
      <c r="CW736" s="20" t="inlineStr">
        <is>
          <t>None</t>
        </is>
      </c>
      <c r="CX736" s="17" t="n"/>
      <c r="CY736" s="16" t="n"/>
      <c r="CZ736" s="20" t="inlineStr">
        <is>
          <t>WTW Multimeter 3430 with FDO 925</t>
        </is>
      </c>
      <c r="DA736" s="20" t="inlineStr">
        <is>
          <t>None</t>
        </is>
      </c>
      <c r="DB736" s="17" t="n"/>
      <c r="DC736" s="16" t="n"/>
      <c r="DD736" s="20" t="n"/>
      <c r="DE736" s="20" t="inlineStr">
        <is>
          <t>None</t>
        </is>
      </c>
      <c r="DF736" s="17" t="n"/>
      <c r="DG736" s="16" t="n"/>
      <c r="DH736" s="20" t="inlineStr">
        <is>
          <t>SOP 45-09</t>
        </is>
      </c>
      <c r="DI736" s="20" t="inlineStr">
        <is>
          <t>None</t>
        </is>
      </c>
      <c r="DJ736" s="17" t="n"/>
      <c r="DK736" s="16" t="n"/>
      <c r="DL736" s="20" t="inlineStr">
        <is>
          <t>SOP 45-09 (SOP muss noch angepasst werden für VSS)</t>
        </is>
      </c>
      <c r="DM736" s="20" t="inlineStr">
        <is>
          <t>None</t>
        </is>
      </c>
      <c r="DN736" s="17" t="n"/>
      <c r="DO736" s="16" t="n"/>
      <c r="DP736" s="20" t="inlineStr">
        <is>
          <t>IC Organic Acids</t>
        </is>
      </c>
      <c r="DQ736" s="20" t="inlineStr">
        <is>
          <t>None</t>
        </is>
      </c>
      <c r="DR736" s="17" t="n"/>
      <c r="DS736" s="16" t="n"/>
      <c r="DT736" s="20" t="inlineStr">
        <is>
          <t>IC Organic Acids</t>
        </is>
      </c>
      <c r="DU736" s="20" t="inlineStr">
        <is>
          <t>None</t>
        </is>
      </c>
      <c r="DV736" s="17" t="n"/>
      <c r="DW736" s="16" t="n"/>
      <c r="DX736" s="20" t="inlineStr">
        <is>
          <t>IC Organic Acids</t>
        </is>
      </c>
      <c r="DY736" s="20" t="inlineStr">
        <is>
          <t>None</t>
        </is>
      </c>
      <c r="DZ736" s="17" t="n"/>
      <c r="EA736" s="16" t="n"/>
      <c r="EB736" s="20" t="inlineStr">
        <is>
          <t>IC Organic Acids</t>
        </is>
      </c>
      <c r="EC736" s="20" t="inlineStr">
        <is>
          <t>None</t>
        </is>
      </c>
      <c r="ED736" s="17" t="n"/>
      <c r="EE736" s="16" t="n"/>
      <c r="EF736" s="20" t="inlineStr">
        <is>
          <t>IC Organic Acids</t>
        </is>
      </c>
      <c r="EG736" s="20" t="inlineStr">
        <is>
          <t>None</t>
        </is>
      </c>
      <c r="EH736" s="17" t="n"/>
      <c r="EI736" s="16" t="n"/>
      <c r="EJ736" s="20" t="inlineStr">
        <is>
          <t>IC Organic Acids</t>
        </is>
      </c>
      <c r="EK736" s="20" t="inlineStr">
        <is>
          <t>None</t>
        </is>
      </c>
      <c r="EL736" s="17" t="n"/>
      <c r="EM736" s="16" t="n"/>
      <c r="EN736" s="20" t="inlineStr">
        <is>
          <t>IC Organic Acids</t>
        </is>
      </c>
      <c r="EO736" s="20" t="inlineStr">
        <is>
          <t>None</t>
        </is>
      </c>
      <c r="EP736" s="17" t="n"/>
      <c r="EQ736" s="16" t="n"/>
      <c r="ER736" s="20" t="inlineStr">
        <is>
          <t>IC Organic Acids</t>
        </is>
      </c>
      <c r="ES736" s="20" t="inlineStr">
        <is>
          <t>None</t>
        </is>
      </c>
      <c r="ET736" s="17" t="n"/>
      <c r="EU736" s="16" t="n"/>
      <c r="EV736" s="20" t="inlineStr">
        <is>
          <t>LC-MS</t>
        </is>
      </c>
      <c r="EW736" s="20" t="inlineStr">
        <is>
          <t>None</t>
        </is>
      </c>
      <c r="EX736" s="17" t="n"/>
      <c r="EY736" s="21" t="n"/>
      <c r="EZ736">
        <f>CONCATENATE(A736,B736)</f>
        <v/>
      </c>
      <c r="FA736">
        <f>CONCATENATE(SamplesX!A736,SamplesX!B736)</f>
        <v/>
      </c>
      <c r="FC736">
        <f>MATCH(EZ736,FA1:FA1008,0)</f>
        <v/>
      </c>
    </row>
    <row r="737">
      <c r="A737" s="16" t="n"/>
      <c r="B737" s="17" t="n"/>
      <c r="C737" s="10">
        <f>IF(ISNUMBER(FC737),INDIRECT("SamplesX!C"&amp;FC737),IF(ISNUMBER(FD737),INDIRECT("SamplesY!C"&amp;FD737),""))</f>
        <v/>
      </c>
      <c r="D737" s="12">
        <f>IF(ISNUMBER(FC737),INDIRECT("SamplesX!D"&amp;FC737),IF(ISNUMBER(FD737),INDIRECT("SamplesY!D"&amp;FD737),""))</f>
        <v/>
      </c>
      <c r="E737" s="12">
        <f>IF(ISNUMBER(FC737),INDIRECT("SamplesX!E"&amp;FC737),IF(ISNUMBER(FD737),INDIRECT("SamplesY!E"&amp;FD737),""))</f>
        <v/>
      </c>
      <c r="F737" s="11">
        <f>IF(ISNUMBER(FC737),INDIRECT("SamplesX!F"&amp;FC737),IF(ISNUMBER(FD737),INDIRECT("SamplesY!F"&amp;FD737),""))</f>
        <v/>
      </c>
      <c r="G737" s="18">
        <f>IF(ISNUMBER(FC737),INDIRECT("SamplesX!G"&amp;FC737),IF(ISNUMBER(FD737),INDIRECT("SamplesY!G"&amp;FD737),""))</f>
        <v/>
      </c>
      <c r="H737" s="19">
        <f>IF(ISNUMBER(FC737),INDIRECT("SamplesX!H"&amp;FC737),IF(ISNUMBER(FD737),INDIRECT("SamplesY!H"&amp;FD737),""))</f>
        <v/>
      </c>
      <c r="I737" s="16" t="n"/>
      <c r="J737" s="16" t="n"/>
      <c r="K737" s="16" t="n"/>
      <c r="L737" s="20" t="n"/>
      <c r="M737" s="20" t="inlineStr">
        <is>
          <t>None</t>
        </is>
      </c>
      <c r="N737" s="17" t="n"/>
      <c r="O737" s="16" t="n"/>
      <c r="P737" s="20" t="inlineStr">
        <is>
          <t>Shimadzu TOC-L</t>
        </is>
      </c>
      <c r="Q737" s="20" t="inlineStr">
        <is>
          <t>None</t>
        </is>
      </c>
      <c r="R737" s="17" t="n"/>
      <c r="S737" s="16" t="n"/>
      <c r="T737" s="20" t="inlineStr">
        <is>
          <t>Shimadzu TOC-L</t>
        </is>
      </c>
      <c r="U737" s="20" t="inlineStr">
        <is>
          <t>None</t>
        </is>
      </c>
      <c r="V737" s="17" t="n"/>
      <c r="W737" s="16" t="n"/>
      <c r="X737" s="20" t="n"/>
      <c r="Y737" s="20" t="inlineStr">
        <is>
          <t>None</t>
        </is>
      </c>
      <c r="Z737" s="17" t="n"/>
      <c r="AA737" s="16" t="n"/>
      <c r="AB737" s="20" t="n"/>
      <c r="AC737" s="20" t="inlineStr">
        <is>
          <t>None</t>
        </is>
      </c>
      <c r="AD737" s="17" t="n"/>
      <c r="AE737" s="16" t="n"/>
      <c r="AF737" s="20" t="inlineStr">
        <is>
          <t>IC Anionen</t>
        </is>
      </c>
      <c r="AG737" s="20" t="inlineStr">
        <is>
          <t>None</t>
        </is>
      </c>
      <c r="AH737" s="17" t="n"/>
      <c r="AI737" s="16" t="n"/>
      <c r="AJ737" s="20" t="n"/>
      <c r="AK737" s="20" t="inlineStr">
        <is>
          <t>None</t>
        </is>
      </c>
      <c r="AL737" s="17" t="n"/>
      <c r="AM737" s="16" t="n"/>
      <c r="AN737" s="20" t="inlineStr">
        <is>
          <t>IC Anionen</t>
        </is>
      </c>
      <c r="AO737" s="20" t="inlineStr">
        <is>
          <t>None</t>
        </is>
      </c>
      <c r="AP737" s="17" t="n"/>
      <c r="AQ737" s="16" t="n"/>
      <c r="AR737" s="20" t="n"/>
      <c r="AS737" s="20" t="inlineStr">
        <is>
          <t>None</t>
        </is>
      </c>
      <c r="AT737" s="17" t="n"/>
      <c r="AU737" s="16" t="n"/>
      <c r="AV737" s="20" t="n"/>
      <c r="AW737" s="20" t="inlineStr">
        <is>
          <t>None</t>
        </is>
      </c>
      <c r="AX737" s="17" t="n"/>
      <c r="AY737" s="16" t="n"/>
      <c r="AZ737" s="20" t="inlineStr">
        <is>
          <t>IC Anionen</t>
        </is>
      </c>
      <c r="BA737" s="20" t="inlineStr">
        <is>
          <t>None</t>
        </is>
      </c>
      <c r="BB737" s="17" t="n"/>
      <c r="BC737" s="16" t="n"/>
      <c r="BD737" s="20" t="inlineStr">
        <is>
          <t>IC Kationen</t>
        </is>
      </c>
      <c r="BE737" s="20" t="inlineStr">
        <is>
          <t>None</t>
        </is>
      </c>
      <c r="BF737" s="17" t="n"/>
      <c r="BG737" s="16" t="n"/>
      <c r="BH737" s="20" t="inlineStr">
        <is>
          <t>IC Kationen</t>
        </is>
      </c>
      <c r="BI737" s="20" t="inlineStr">
        <is>
          <t>None</t>
        </is>
      </c>
      <c r="BJ737" s="17" t="n"/>
      <c r="BK737" s="16" t="n"/>
      <c r="BL737" s="20" t="inlineStr">
        <is>
          <t>IC Kationen</t>
        </is>
      </c>
      <c r="BM737" s="20" t="inlineStr">
        <is>
          <t>None</t>
        </is>
      </c>
      <c r="BN737" s="17" t="n"/>
      <c r="BO737" s="16" t="n"/>
      <c r="BP737" s="20" t="inlineStr">
        <is>
          <t>IC Kationen</t>
        </is>
      </c>
      <c r="BQ737" s="20" t="inlineStr">
        <is>
          <t>None</t>
        </is>
      </c>
      <c r="BR737" s="17" t="n"/>
      <c r="BS737" s="16" t="n"/>
      <c r="BT737" s="20" t="inlineStr">
        <is>
          <t>IC Kationen</t>
        </is>
      </c>
      <c r="BU737" s="20" t="inlineStr">
        <is>
          <t>None</t>
        </is>
      </c>
      <c r="BV737" s="17" t="n"/>
      <c r="BW737" s="16" t="n"/>
      <c r="BX737" s="20" t="n"/>
      <c r="BY737" s="20" t="inlineStr">
        <is>
          <t>None</t>
        </is>
      </c>
      <c r="BZ737" s="17" t="n"/>
      <c r="CA737" s="16" t="n"/>
      <c r="CB737" s="20" t="n"/>
      <c r="CC737" s="20" t="inlineStr">
        <is>
          <t>None</t>
        </is>
      </c>
      <c r="CD737" s="17" t="n"/>
      <c r="CE737" s="16" t="n"/>
      <c r="CF737" s="20" t="n"/>
      <c r="CG737" s="20" t="inlineStr">
        <is>
          <t>None</t>
        </is>
      </c>
      <c r="CH737" s="17" t="n"/>
      <c r="CI737" s="16" t="n"/>
      <c r="CJ737" s="20" t="n"/>
      <c r="CK737" s="20" t="inlineStr">
        <is>
          <t>None</t>
        </is>
      </c>
      <c r="CL737" s="17" t="n"/>
      <c r="CM737" s="16" t="n"/>
      <c r="CN737" s="20" t="inlineStr">
        <is>
          <t>SOP 45-34</t>
        </is>
      </c>
      <c r="CO737" s="20" t="inlineStr">
        <is>
          <t>None</t>
        </is>
      </c>
      <c r="CP737" s="17" t="n"/>
      <c r="CQ737" s="16" t="n"/>
      <c r="CR737" s="20" t="n"/>
      <c r="CS737" s="20" t="inlineStr">
        <is>
          <t>None</t>
        </is>
      </c>
      <c r="CT737" s="17" t="n"/>
      <c r="CU737" s="16" t="n"/>
      <c r="CV737" s="20" t="n"/>
      <c r="CW737" s="20" t="inlineStr">
        <is>
          <t>None</t>
        </is>
      </c>
      <c r="CX737" s="17" t="n"/>
      <c r="CY737" s="16" t="n"/>
      <c r="CZ737" s="20" t="inlineStr">
        <is>
          <t>WTW Multimeter 3430 with FDO 925</t>
        </is>
      </c>
      <c r="DA737" s="20" t="inlineStr">
        <is>
          <t>None</t>
        </is>
      </c>
      <c r="DB737" s="17" t="n"/>
      <c r="DC737" s="16" t="n"/>
      <c r="DD737" s="20" t="n"/>
      <c r="DE737" s="20" t="inlineStr">
        <is>
          <t>None</t>
        </is>
      </c>
      <c r="DF737" s="17" t="n"/>
      <c r="DG737" s="16" t="n"/>
      <c r="DH737" s="20" t="inlineStr">
        <is>
          <t>SOP 45-09</t>
        </is>
      </c>
      <c r="DI737" s="20" t="inlineStr">
        <is>
          <t>None</t>
        </is>
      </c>
      <c r="DJ737" s="17" t="n"/>
      <c r="DK737" s="16" t="n"/>
      <c r="DL737" s="20" t="inlineStr">
        <is>
          <t>SOP 45-09 (SOP muss noch angepasst werden für VSS)</t>
        </is>
      </c>
      <c r="DM737" s="20" t="inlineStr">
        <is>
          <t>None</t>
        </is>
      </c>
      <c r="DN737" s="17" t="n"/>
      <c r="DO737" s="16" t="n"/>
      <c r="DP737" s="20" t="inlineStr">
        <is>
          <t>IC Organic Acids</t>
        </is>
      </c>
      <c r="DQ737" s="20" t="inlineStr">
        <is>
          <t>None</t>
        </is>
      </c>
      <c r="DR737" s="17" t="n"/>
      <c r="DS737" s="16" t="n"/>
      <c r="DT737" s="20" t="inlineStr">
        <is>
          <t>IC Organic Acids</t>
        </is>
      </c>
      <c r="DU737" s="20" t="inlineStr">
        <is>
          <t>None</t>
        </is>
      </c>
      <c r="DV737" s="17" t="n"/>
      <c r="DW737" s="16" t="n"/>
      <c r="DX737" s="20" t="inlineStr">
        <is>
          <t>IC Organic Acids</t>
        </is>
      </c>
      <c r="DY737" s="20" t="inlineStr">
        <is>
          <t>None</t>
        </is>
      </c>
      <c r="DZ737" s="17" t="n"/>
      <c r="EA737" s="16" t="n"/>
      <c r="EB737" s="20" t="inlineStr">
        <is>
          <t>IC Organic Acids</t>
        </is>
      </c>
      <c r="EC737" s="20" t="inlineStr">
        <is>
          <t>None</t>
        </is>
      </c>
      <c r="ED737" s="17" t="n"/>
      <c r="EE737" s="16" t="n"/>
      <c r="EF737" s="20" t="inlineStr">
        <is>
          <t>IC Organic Acids</t>
        </is>
      </c>
      <c r="EG737" s="20" t="inlineStr">
        <is>
          <t>None</t>
        </is>
      </c>
      <c r="EH737" s="17" t="n"/>
      <c r="EI737" s="16" t="n"/>
      <c r="EJ737" s="20" t="inlineStr">
        <is>
          <t>IC Organic Acids</t>
        </is>
      </c>
      <c r="EK737" s="20" t="inlineStr">
        <is>
          <t>None</t>
        </is>
      </c>
      <c r="EL737" s="17" t="n"/>
      <c r="EM737" s="16" t="n"/>
      <c r="EN737" s="20" t="inlineStr">
        <is>
          <t>IC Organic Acids</t>
        </is>
      </c>
      <c r="EO737" s="20" t="inlineStr">
        <is>
          <t>None</t>
        </is>
      </c>
      <c r="EP737" s="17" t="n"/>
      <c r="EQ737" s="16" t="n"/>
      <c r="ER737" s="20" t="inlineStr">
        <is>
          <t>IC Organic Acids</t>
        </is>
      </c>
      <c r="ES737" s="20" t="inlineStr">
        <is>
          <t>None</t>
        </is>
      </c>
      <c r="ET737" s="17" t="n"/>
      <c r="EU737" s="16" t="n"/>
      <c r="EV737" s="20" t="inlineStr">
        <is>
          <t>LC-MS</t>
        </is>
      </c>
      <c r="EW737" s="20" t="inlineStr">
        <is>
          <t>None</t>
        </is>
      </c>
      <c r="EX737" s="17" t="n"/>
      <c r="EY737" s="21" t="n"/>
      <c r="EZ737">
        <f>CONCATENATE(A737,B737)</f>
        <v/>
      </c>
      <c r="FA737">
        <f>CONCATENATE(SamplesX!A737,SamplesX!B737)</f>
        <v/>
      </c>
      <c r="FC737">
        <f>MATCH(EZ737,FA1:FA1008,0)</f>
        <v/>
      </c>
    </row>
    <row r="738">
      <c r="A738" s="16" t="n"/>
      <c r="B738" s="17" t="n"/>
      <c r="C738" s="10">
        <f>IF(ISNUMBER(FC738),INDIRECT("SamplesX!C"&amp;FC738),IF(ISNUMBER(FD738),INDIRECT("SamplesY!C"&amp;FD738),""))</f>
        <v/>
      </c>
      <c r="D738" s="12">
        <f>IF(ISNUMBER(FC738),INDIRECT("SamplesX!D"&amp;FC738),IF(ISNUMBER(FD738),INDIRECT("SamplesY!D"&amp;FD738),""))</f>
        <v/>
      </c>
      <c r="E738" s="12">
        <f>IF(ISNUMBER(FC738),INDIRECT("SamplesX!E"&amp;FC738),IF(ISNUMBER(FD738),INDIRECT("SamplesY!E"&amp;FD738),""))</f>
        <v/>
      </c>
      <c r="F738" s="11">
        <f>IF(ISNUMBER(FC738),INDIRECT("SamplesX!F"&amp;FC738),IF(ISNUMBER(FD738),INDIRECT("SamplesY!F"&amp;FD738),""))</f>
        <v/>
      </c>
      <c r="G738" s="18">
        <f>IF(ISNUMBER(FC738),INDIRECT("SamplesX!G"&amp;FC738),IF(ISNUMBER(FD738),INDIRECT("SamplesY!G"&amp;FD738),""))</f>
        <v/>
      </c>
      <c r="H738" s="19">
        <f>IF(ISNUMBER(FC738),INDIRECT("SamplesX!H"&amp;FC738),IF(ISNUMBER(FD738),INDIRECT("SamplesY!H"&amp;FD738),""))</f>
        <v/>
      </c>
      <c r="I738" s="16" t="n"/>
      <c r="J738" s="16" t="n"/>
      <c r="K738" s="16" t="n"/>
      <c r="L738" s="20" t="n"/>
      <c r="M738" s="20" t="inlineStr">
        <is>
          <t>None</t>
        </is>
      </c>
      <c r="N738" s="17" t="n"/>
      <c r="O738" s="16" t="n"/>
      <c r="P738" s="20" t="inlineStr">
        <is>
          <t>Shimadzu TOC-L</t>
        </is>
      </c>
      <c r="Q738" s="20" t="inlineStr">
        <is>
          <t>None</t>
        </is>
      </c>
      <c r="R738" s="17" t="n"/>
      <c r="S738" s="16" t="n"/>
      <c r="T738" s="20" t="inlineStr">
        <is>
          <t>Shimadzu TOC-L</t>
        </is>
      </c>
      <c r="U738" s="20" t="inlineStr">
        <is>
          <t>None</t>
        </is>
      </c>
      <c r="V738" s="17" t="n"/>
      <c r="W738" s="16" t="n"/>
      <c r="X738" s="20" t="n"/>
      <c r="Y738" s="20" t="inlineStr">
        <is>
          <t>None</t>
        </is>
      </c>
      <c r="Z738" s="17" t="n"/>
      <c r="AA738" s="16" t="n"/>
      <c r="AB738" s="20" t="n"/>
      <c r="AC738" s="20" t="inlineStr">
        <is>
          <t>None</t>
        </is>
      </c>
      <c r="AD738" s="17" t="n"/>
      <c r="AE738" s="16" t="n"/>
      <c r="AF738" s="20" t="inlineStr">
        <is>
          <t>IC Anionen</t>
        </is>
      </c>
      <c r="AG738" s="20" t="inlineStr">
        <is>
          <t>None</t>
        </is>
      </c>
      <c r="AH738" s="17" t="n"/>
      <c r="AI738" s="16" t="n"/>
      <c r="AJ738" s="20" t="n"/>
      <c r="AK738" s="20" t="inlineStr">
        <is>
          <t>None</t>
        </is>
      </c>
      <c r="AL738" s="17" t="n"/>
      <c r="AM738" s="16" t="n"/>
      <c r="AN738" s="20" t="inlineStr">
        <is>
          <t>IC Anionen</t>
        </is>
      </c>
      <c r="AO738" s="20" t="inlineStr">
        <is>
          <t>None</t>
        </is>
      </c>
      <c r="AP738" s="17" t="n"/>
      <c r="AQ738" s="16" t="n"/>
      <c r="AR738" s="20" t="n"/>
      <c r="AS738" s="20" t="inlineStr">
        <is>
          <t>None</t>
        </is>
      </c>
      <c r="AT738" s="17" t="n"/>
      <c r="AU738" s="16" t="n"/>
      <c r="AV738" s="20" t="n"/>
      <c r="AW738" s="20" t="inlineStr">
        <is>
          <t>None</t>
        </is>
      </c>
      <c r="AX738" s="17" t="n"/>
      <c r="AY738" s="16" t="n"/>
      <c r="AZ738" s="20" t="inlineStr">
        <is>
          <t>IC Anionen</t>
        </is>
      </c>
      <c r="BA738" s="20" t="inlineStr">
        <is>
          <t>None</t>
        </is>
      </c>
      <c r="BB738" s="17" t="n"/>
      <c r="BC738" s="16" t="n"/>
      <c r="BD738" s="20" t="inlineStr">
        <is>
          <t>IC Kationen</t>
        </is>
      </c>
      <c r="BE738" s="20" t="inlineStr">
        <is>
          <t>None</t>
        </is>
      </c>
      <c r="BF738" s="17" t="n"/>
      <c r="BG738" s="16" t="n"/>
      <c r="BH738" s="20" t="inlineStr">
        <is>
          <t>IC Kationen</t>
        </is>
      </c>
      <c r="BI738" s="20" t="inlineStr">
        <is>
          <t>None</t>
        </is>
      </c>
      <c r="BJ738" s="17" t="n"/>
      <c r="BK738" s="16" t="n"/>
      <c r="BL738" s="20" t="inlineStr">
        <is>
          <t>IC Kationen</t>
        </is>
      </c>
      <c r="BM738" s="20" t="inlineStr">
        <is>
          <t>None</t>
        </is>
      </c>
      <c r="BN738" s="17" t="n"/>
      <c r="BO738" s="16" t="n"/>
      <c r="BP738" s="20" t="inlineStr">
        <is>
          <t>IC Kationen</t>
        </is>
      </c>
      <c r="BQ738" s="20" t="inlineStr">
        <is>
          <t>None</t>
        </is>
      </c>
      <c r="BR738" s="17" t="n"/>
      <c r="BS738" s="16" t="n"/>
      <c r="BT738" s="20" t="inlineStr">
        <is>
          <t>IC Kationen</t>
        </is>
      </c>
      <c r="BU738" s="20" t="inlineStr">
        <is>
          <t>None</t>
        </is>
      </c>
      <c r="BV738" s="17" t="n"/>
      <c r="BW738" s="16" t="n"/>
      <c r="BX738" s="20" t="n"/>
      <c r="BY738" s="20" t="inlineStr">
        <is>
          <t>None</t>
        </is>
      </c>
      <c r="BZ738" s="17" t="n"/>
      <c r="CA738" s="16" t="n"/>
      <c r="CB738" s="20" t="n"/>
      <c r="CC738" s="20" t="inlineStr">
        <is>
          <t>None</t>
        </is>
      </c>
      <c r="CD738" s="17" t="n"/>
      <c r="CE738" s="16" t="n"/>
      <c r="CF738" s="20" t="n"/>
      <c r="CG738" s="20" t="inlineStr">
        <is>
          <t>None</t>
        </is>
      </c>
      <c r="CH738" s="17" t="n"/>
      <c r="CI738" s="16" t="n"/>
      <c r="CJ738" s="20" t="n"/>
      <c r="CK738" s="20" t="inlineStr">
        <is>
          <t>None</t>
        </is>
      </c>
      <c r="CL738" s="17" t="n"/>
      <c r="CM738" s="16" t="n"/>
      <c r="CN738" s="20" t="inlineStr">
        <is>
          <t>SOP 45-34</t>
        </is>
      </c>
      <c r="CO738" s="20" t="inlineStr">
        <is>
          <t>None</t>
        </is>
      </c>
      <c r="CP738" s="17" t="n"/>
      <c r="CQ738" s="16" t="n"/>
      <c r="CR738" s="20" t="n"/>
      <c r="CS738" s="20" t="inlineStr">
        <is>
          <t>None</t>
        </is>
      </c>
      <c r="CT738" s="17" t="n"/>
      <c r="CU738" s="16" t="n"/>
      <c r="CV738" s="20" t="n"/>
      <c r="CW738" s="20" t="inlineStr">
        <is>
          <t>None</t>
        </is>
      </c>
      <c r="CX738" s="17" t="n"/>
      <c r="CY738" s="16" t="n"/>
      <c r="CZ738" s="20" t="inlineStr">
        <is>
          <t>WTW Multimeter 3430 with FDO 925</t>
        </is>
      </c>
      <c r="DA738" s="20" t="inlineStr">
        <is>
          <t>None</t>
        </is>
      </c>
      <c r="DB738" s="17" t="n"/>
      <c r="DC738" s="16" t="n"/>
      <c r="DD738" s="20" t="n"/>
      <c r="DE738" s="20" t="inlineStr">
        <is>
          <t>None</t>
        </is>
      </c>
      <c r="DF738" s="17" t="n"/>
      <c r="DG738" s="16" t="n"/>
      <c r="DH738" s="20" t="inlineStr">
        <is>
          <t>SOP 45-09</t>
        </is>
      </c>
      <c r="DI738" s="20" t="inlineStr">
        <is>
          <t>None</t>
        </is>
      </c>
      <c r="DJ738" s="17" t="n"/>
      <c r="DK738" s="16" t="n"/>
      <c r="DL738" s="20" t="inlineStr">
        <is>
          <t>SOP 45-09 (SOP muss noch angepasst werden für VSS)</t>
        </is>
      </c>
      <c r="DM738" s="20" t="inlineStr">
        <is>
          <t>None</t>
        </is>
      </c>
      <c r="DN738" s="17" t="n"/>
      <c r="DO738" s="16" t="n"/>
      <c r="DP738" s="20" t="inlineStr">
        <is>
          <t>IC Organic Acids</t>
        </is>
      </c>
      <c r="DQ738" s="20" t="inlineStr">
        <is>
          <t>None</t>
        </is>
      </c>
      <c r="DR738" s="17" t="n"/>
      <c r="DS738" s="16" t="n"/>
      <c r="DT738" s="20" t="inlineStr">
        <is>
          <t>IC Organic Acids</t>
        </is>
      </c>
      <c r="DU738" s="20" t="inlineStr">
        <is>
          <t>None</t>
        </is>
      </c>
      <c r="DV738" s="17" t="n"/>
      <c r="DW738" s="16" t="n"/>
      <c r="DX738" s="20" t="inlineStr">
        <is>
          <t>IC Organic Acids</t>
        </is>
      </c>
      <c r="DY738" s="20" t="inlineStr">
        <is>
          <t>None</t>
        </is>
      </c>
      <c r="DZ738" s="17" t="n"/>
      <c r="EA738" s="16" t="n"/>
      <c r="EB738" s="20" t="inlineStr">
        <is>
          <t>IC Organic Acids</t>
        </is>
      </c>
      <c r="EC738" s="20" t="inlineStr">
        <is>
          <t>None</t>
        </is>
      </c>
      <c r="ED738" s="17" t="n"/>
      <c r="EE738" s="16" t="n"/>
      <c r="EF738" s="20" t="inlineStr">
        <is>
          <t>IC Organic Acids</t>
        </is>
      </c>
      <c r="EG738" s="20" t="inlineStr">
        <is>
          <t>None</t>
        </is>
      </c>
      <c r="EH738" s="17" t="n"/>
      <c r="EI738" s="16" t="n"/>
      <c r="EJ738" s="20" t="inlineStr">
        <is>
          <t>IC Organic Acids</t>
        </is>
      </c>
      <c r="EK738" s="20" t="inlineStr">
        <is>
          <t>None</t>
        </is>
      </c>
      <c r="EL738" s="17" t="n"/>
      <c r="EM738" s="16" t="n"/>
      <c r="EN738" s="20" t="inlineStr">
        <is>
          <t>IC Organic Acids</t>
        </is>
      </c>
      <c r="EO738" s="20" t="inlineStr">
        <is>
          <t>None</t>
        </is>
      </c>
      <c r="EP738" s="17" t="n"/>
      <c r="EQ738" s="16" t="n"/>
      <c r="ER738" s="20" t="inlineStr">
        <is>
          <t>IC Organic Acids</t>
        </is>
      </c>
      <c r="ES738" s="20" t="inlineStr">
        <is>
          <t>None</t>
        </is>
      </c>
      <c r="ET738" s="17" t="n"/>
      <c r="EU738" s="16" t="n"/>
      <c r="EV738" s="20" t="inlineStr">
        <is>
          <t>LC-MS</t>
        </is>
      </c>
      <c r="EW738" s="20" t="inlineStr">
        <is>
          <t>None</t>
        </is>
      </c>
      <c r="EX738" s="17" t="n"/>
      <c r="EY738" s="21" t="n"/>
      <c r="EZ738">
        <f>CONCATENATE(A738,B738)</f>
        <v/>
      </c>
      <c r="FA738">
        <f>CONCATENATE(SamplesX!A738,SamplesX!B738)</f>
        <v/>
      </c>
      <c r="FC738">
        <f>MATCH(EZ738,FA1:FA1008,0)</f>
        <v/>
      </c>
    </row>
    <row r="739">
      <c r="A739" s="16" t="n"/>
      <c r="B739" s="17" t="n"/>
      <c r="C739" s="10">
        <f>IF(ISNUMBER(FC739),INDIRECT("SamplesX!C"&amp;FC739),IF(ISNUMBER(FD739),INDIRECT("SamplesY!C"&amp;FD739),""))</f>
        <v/>
      </c>
      <c r="D739" s="12">
        <f>IF(ISNUMBER(FC739),INDIRECT("SamplesX!D"&amp;FC739),IF(ISNUMBER(FD739),INDIRECT("SamplesY!D"&amp;FD739),""))</f>
        <v/>
      </c>
      <c r="E739" s="12">
        <f>IF(ISNUMBER(FC739),INDIRECT("SamplesX!E"&amp;FC739),IF(ISNUMBER(FD739),INDIRECT("SamplesY!E"&amp;FD739),""))</f>
        <v/>
      </c>
      <c r="F739" s="11">
        <f>IF(ISNUMBER(FC739),INDIRECT("SamplesX!F"&amp;FC739),IF(ISNUMBER(FD739),INDIRECT("SamplesY!F"&amp;FD739),""))</f>
        <v/>
      </c>
      <c r="G739" s="18">
        <f>IF(ISNUMBER(FC739),INDIRECT("SamplesX!G"&amp;FC739),IF(ISNUMBER(FD739),INDIRECT("SamplesY!G"&amp;FD739),""))</f>
        <v/>
      </c>
      <c r="H739" s="19">
        <f>IF(ISNUMBER(FC739),INDIRECT("SamplesX!H"&amp;FC739),IF(ISNUMBER(FD739),INDIRECT("SamplesY!H"&amp;FD739),""))</f>
        <v/>
      </c>
      <c r="I739" s="16" t="n"/>
      <c r="J739" s="16" t="n"/>
      <c r="K739" s="16" t="n"/>
      <c r="L739" s="20" t="n"/>
      <c r="M739" s="20" t="inlineStr">
        <is>
          <t>None</t>
        </is>
      </c>
      <c r="N739" s="17" t="n"/>
      <c r="O739" s="16" t="n"/>
      <c r="P739" s="20" t="inlineStr">
        <is>
          <t>Shimadzu TOC-L</t>
        </is>
      </c>
      <c r="Q739" s="20" t="inlineStr">
        <is>
          <t>None</t>
        </is>
      </c>
      <c r="R739" s="17" t="n"/>
      <c r="S739" s="16" t="n"/>
      <c r="T739" s="20" t="inlineStr">
        <is>
          <t>Shimadzu TOC-L</t>
        </is>
      </c>
      <c r="U739" s="20" t="inlineStr">
        <is>
          <t>None</t>
        </is>
      </c>
      <c r="V739" s="17" t="n"/>
      <c r="W739" s="16" t="n"/>
      <c r="X739" s="20" t="n"/>
      <c r="Y739" s="20" t="inlineStr">
        <is>
          <t>None</t>
        </is>
      </c>
      <c r="Z739" s="17" t="n"/>
      <c r="AA739" s="16" t="n"/>
      <c r="AB739" s="20" t="n"/>
      <c r="AC739" s="20" t="inlineStr">
        <is>
          <t>None</t>
        </is>
      </c>
      <c r="AD739" s="17" t="n"/>
      <c r="AE739" s="16" t="n"/>
      <c r="AF739" s="20" t="inlineStr">
        <is>
          <t>IC Anionen</t>
        </is>
      </c>
      <c r="AG739" s="20" t="inlineStr">
        <is>
          <t>None</t>
        </is>
      </c>
      <c r="AH739" s="17" t="n"/>
      <c r="AI739" s="16" t="n"/>
      <c r="AJ739" s="20" t="n"/>
      <c r="AK739" s="20" t="inlineStr">
        <is>
          <t>None</t>
        </is>
      </c>
      <c r="AL739" s="17" t="n"/>
      <c r="AM739" s="16" t="n"/>
      <c r="AN739" s="20" t="inlineStr">
        <is>
          <t>IC Anionen</t>
        </is>
      </c>
      <c r="AO739" s="20" t="inlineStr">
        <is>
          <t>None</t>
        </is>
      </c>
      <c r="AP739" s="17" t="n"/>
      <c r="AQ739" s="16" t="n"/>
      <c r="AR739" s="20" t="n"/>
      <c r="AS739" s="20" t="inlineStr">
        <is>
          <t>None</t>
        </is>
      </c>
      <c r="AT739" s="17" t="n"/>
      <c r="AU739" s="16" t="n"/>
      <c r="AV739" s="20" t="n"/>
      <c r="AW739" s="20" t="inlineStr">
        <is>
          <t>None</t>
        </is>
      </c>
      <c r="AX739" s="17" t="n"/>
      <c r="AY739" s="16" t="n"/>
      <c r="AZ739" s="20" t="inlineStr">
        <is>
          <t>IC Anionen</t>
        </is>
      </c>
      <c r="BA739" s="20" t="inlineStr">
        <is>
          <t>None</t>
        </is>
      </c>
      <c r="BB739" s="17" t="n"/>
      <c r="BC739" s="16" t="n"/>
      <c r="BD739" s="20" t="inlineStr">
        <is>
          <t>IC Kationen</t>
        </is>
      </c>
      <c r="BE739" s="20" t="inlineStr">
        <is>
          <t>None</t>
        </is>
      </c>
      <c r="BF739" s="17" t="n"/>
      <c r="BG739" s="16" t="n"/>
      <c r="BH739" s="20" t="inlineStr">
        <is>
          <t>IC Kationen</t>
        </is>
      </c>
      <c r="BI739" s="20" t="inlineStr">
        <is>
          <t>None</t>
        </is>
      </c>
      <c r="BJ739" s="17" t="n"/>
      <c r="BK739" s="16" t="n"/>
      <c r="BL739" s="20" t="inlineStr">
        <is>
          <t>IC Kationen</t>
        </is>
      </c>
      <c r="BM739" s="20" t="inlineStr">
        <is>
          <t>None</t>
        </is>
      </c>
      <c r="BN739" s="17" t="n"/>
      <c r="BO739" s="16" t="n"/>
      <c r="BP739" s="20" t="inlineStr">
        <is>
          <t>IC Kationen</t>
        </is>
      </c>
      <c r="BQ739" s="20" t="inlineStr">
        <is>
          <t>None</t>
        </is>
      </c>
      <c r="BR739" s="17" t="n"/>
      <c r="BS739" s="16" t="n"/>
      <c r="BT739" s="20" t="inlineStr">
        <is>
          <t>IC Kationen</t>
        </is>
      </c>
      <c r="BU739" s="20" t="inlineStr">
        <is>
          <t>None</t>
        </is>
      </c>
      <c r="BV739" s="17" t="n"/>
      <c r="BW739" s="16" t="n"/>
      <c r="BX739" s="20" t="n"/>
      <c r="BY739" s="20" t="inlineStr">
        <is>
          <t>None</t>
        </is>
      </c>
      <c r="BZ739" s="17" t="n"/>
      <c r="CA739" s="16" t="n"/>
      <c r="CB739" s="20" t="n"/>
      <c r="CC739" s="20" t="inlineStr">
        <is>
          <t>None</t>
        </is>
      </c>
      <c r="CD739" s="17" t="n"/>
      <c r="CE739" s="16" t="n"/>
      <c r="CF739" s="20" t="n"/>
      <c r="CG739" s="20" t="inlineStr">
        <is>
          <t>None</t>
        </is>
      </c>
      <c r="CH739" s="17" t="n"/>
      <c r="CI739" s="16" t="n"/>
      <c r="CJ739" s="20" t="n"/>
      <c r="CK739" s="20" t="inlineStr">
        <is>
          <t>None</t>
        </is>
      </c>
      <c r="CL739" s="17" t="n"/>
      <c r="CM739" s="16" t="n"/>
      <c r="CN739" s="20" t="inlineStr">
        <is>
          <t>SOP 45-34</t>
        </is>
      </c>
      <c r="CO739" s="20" t="inlineStr">
        <is>
          <t>None</t>
        </is>
      </c>
      <c r="CP739" s="17" t="n"/>
      <c r="CQ739" s="16" t="n"/>
      <c r="CR739" s="20" t="n"/>
      <c r="CS739" s="20" t="inlineStr">
        <is>
          <t>None</t>
        </is>
      </c>
      <c r="CT739" s="17" t="n"/>
      <c r="CU739" s="16" t="n"/>
      <c r="CV739" s="20" t="n"/>
      <c r="CW739" s="20" t="inlineStr">
        <is>
          <t>None</t>
        </is>
      </c>
      <c r="CX739" s="17" t="n"/>
      <c r="CY739" s="16" t="n"/>
      <c r="CZ739" s="20" t="inlineStr">
        <is>
          <t>WTW Multimeter 3430 with FDO 925</t>
        </is>
      </c>
      <c r="DA739" s="20" t="inlineStr">
        <is>
          <t>None</t>
        </is>
      </c>
      <c r="DB739" s="17" t="n"/>
      <c r="DC739" s="16" t="n"/>
      <c r="DD739" s="20" t="n"/>
      <c r="DE739" s="20" t="inlineStr">
        <is>
          <t>None</t>
        </is>
      </c>
      <c r="DF739" s="17" t="n"/>
      <c r="DG739" s="16" t="n"/>
      <c r="DH739" s="20" t="inlineStr">
        <is>
          <t>SOP 45-09</t>
        </is>
      </c>
      <c r="DI739" s="20" t="inlineStr">
        <is>
          <t>None</t>
        </is>
      </c>
      <c r="DJ739" s="17" t="n"/>
      <c r="DK739" s="16" t="n"/>
      <c r="DL739" s="20" t="inlineStr">
        <is>
          <t>SOP 45-09 (SOP muss noch angepasst werden für VSS)</t>
        </is>
      </c>
      <c r="DM739" s="20" t="inlineStr">
        <is>
          <t>None</t>
        </is>
      </c>
      <c r="DN739" s="17" t="n"/>
      <c r="DO739" s="16" t="n"/>
      <c r="DP739" s="20" t="inlineStr">
        <is>
          <t>IC Organic Acids</t>
        </is>
      </c>
      <c r="DQ739" s="20" t="inlineStr">
        <is>
          <t>None</t>
        </is>
      </c>
      <c r="DR739" s="17" t="n"/>
      <c r="DS739" s="16" t="n"/>
      <c r="DT739" s="20" t="inlineStr">
        <is>
          <t>IC Organic Acids</t>
        </is>
      </c>
      <c r="DU739" s="20" t="inlineStr">
        <is>
          <t>None</t>
        </is>
      </c>
      <c r="DV739" s="17" t="n"/>
      <c r="DW739" s="16" t="n"/>
      <c r="DX739" s="20" t="inlineStr">
        <is>
          <t>IC Organic Acids</t>
        </is>
      </c>
      <c r="DY739" s="20" t="inlineStr">
        <is>
          <t>None</t>
        </is>
      </c>
      <c r="DZ739" s="17" t="n"/>
      <c r="EA739" s="16" t="n"/>
      <c r="EB739" s="20" t="inlineStr">
        <is>
          <t>IC Organic Acids</t>
        </is>
      </c>
      <c r="EC739" s="20" t="inlineStr">
        <is>
          <t>None</t>
        </is>
      </c>
      <c r="ED739" s="17" t="n"/>
      <c r="EE739" s="16" t="n"/>
      <c r="EF739" s="20" t="inlineStr">
        <is>
          <t>IC Organic Acids</t>
        </is>
      </c>
      <c r="EG739" s="20" t="inlineStr">
        <is>
          <t>None</t>
        </is>
      </c>
      <c r="EH739" s="17" t="n"/>
      <c r="EI739" s="16" t="n"/>
      <c r="EJ739" s="20" t="inlineStr">
        <is>
          <t>IC Organic Acids</t>
        </is>
      </c>
      <c r="EK739" s="20" t="inlineStr">
        <is>
          <t>None</t>
        </is>
      </c>
      <c r="EL739" s="17" t="n"/>
      <c r="EM739" s="16" t="n"/>
      <c r="EN739" s="20" t="inlineStr">
        <is>
          <t>IC Organic Acids</t>
        </is>
      </c>
      <c r="EO739" s="20" t="inlineStr">
        <is>
          <t>None</t>
        </is>
      </c>
      <c r="EP739" s="17" t="n"/>
      <c r="EQ739" s="16" t="n"/>
      <c r="ER739" s="20" t="inlineStr">
        <is>
          <t>IC Organic Acids</t>
        </is>
      </c>
      <c r="ES739" s="20" t="inlineStr">
        <is>
          <t>None</t>
        </is>
      </c>
      <c r="ET739" s="17" t="n"/>
      <c r="EU739" s="16" t="n"/>
      <c r="EV739" s="20" t="inlineStr">
        <is>
          <t>LC-MS</t>
        </is>
      </c>
      <c r="EW739" s="20" t="inlineStr">
        <is>
          <t>None</t>
        </is>
      </c>
      <c r="EX739" s="17" t="n"/>
      <c r="EY739" s="21" t="n"/>
      <c r="EZ739">
        <f>CONCATENATE(A739,B739)</f>
        <v/>
      </c>
      <c r="FA739">
        <f>CONCATENATE(SamplesX!A739,SamplesX!B739)</f>
        <v/>
      </c>
      <c r="FC739">
        <f>MATCH(EZ739,FA1:FA1008,0)</f>
        <v/>
      </c>
    </row>
    <row r="740">
      <c r="A740" s="16" t="n"/>
      <c r="B740" s="17" t="n"/>
      <c r="C740" s="10">
        <f>IF(ISNUMBER(FC740),INDIRECT("SamplesX!C"&amp;FC740),IF(ISNUMBER(FD740),INDIRECT("SamplesY!C"&amp;FD740),""))</f>
        <v/>
      </c>
      <c r="D740" s="12">
        <f>IF(ISNUMBER(FC740),INDIRECT("SamplesX!D"&amp;FC740),IF(ISNUMBER(FD740),INDIRECT("SamplesY!D"&amp;FD740),""))</f>
        <v/>
      </c>
      <c r="E740" s="12">
        <f>IF(ISNUMBER(FC740),INDIRECT("SamplesX!E"&amp;FC740),IF(ISNUMBER(FD740),INDIRECT("SamplesY!E"&amp;FD740),""))</f>
        <v/>
      </c>
      <c r="F740" s="11">
        <f>IF(ISNUMBER(FC740),INDIRECT("SamplesX!F"&amp;FC740),IF(ISNUMBER(FD740),INDIRECT("SamplesY!F"&amp;FD740),""))</f>
        <v/>
      </c>
      <c r="G740" s="18">
        <f>IF(ISNUMBER(FC740),INDIRECT("SamplesX!G"&amp;FC740),IF(ISNUMBER(FD740),INDIRECT("SamplesY!G"&amp;FD740),""))</f>
        <v/>
      </c>
      <c r="H740" s="19">
        <f>IF(ISNUMBER(FC740),INDIRECT("SamplesX!H"&amp;FC740),IF(ISNUMBER(FD740),INDIRECT("SamplesY!H"&amp;FD740),""))</f>
        <v/>
      </c>
      <c r="I740" s="16" t="n"/>
      <c r="J740" s="16" t="n"/>
      <c r="K740" s="16" t="n"/>
      <c r="L740" s="20" t="n"/>
      <c r="M740" s="20" t="inlineStr">
        <is>
          <t>None</t>
        </is>
      </c>
      <c r="N740" s="17" t="n"/>
      <c r="O740" s="16" t="n"/>
      <c r="P740" s="20" t="inlineStr">
        <is>
          <t>Shimadzu TOC-L</t>
        </is>
      </c>
      <c r="Q740" s="20" t="inlineStr">
        <is>
          <t>None</t>
        </is>
      </c>
      <c r="R740" s="17" t="n"/>
      <c r="S740" s="16" t="n"/>
      <c r="T740" s="20" t="inlineStr">
        <is>
          <t>Shimadzu TOC-L</t>
        </is>
      </c>
      <c r="U740" s="20" t="inlineStr">
        <is>
          <t>None</t>
        </is>
      </c>
      <c r="V740" s="17" t="n"/>
      <c r="W740" s="16" t="n"/>
      <c r="X740" s="20" t="n"/>
      <c r="Y740" s="20" t="inlineStr">
        <is>
          <t>None</t>
        </is>
      </c>
      <c r="Z740" s="17" t="n"/>
      <c r="AA740" s="16" t="n"/>
      <c r="AB740" s="20" t="n"/>
      <c r="AC740" s="20" t="inlineStr">
        <is>
          <t>None</t>
        </is>
      </c>
      <c r="AD740" s="17" t="n"/>
      <c r="AE740" s="16" t="n"/>
      <c r="AF740" s="20" t="inlineStr">
        <is>
          <t>IC Anionen</t>
        </is>
      </c>
      <c r="AG740" s="20" t="inlineStr">
        <is>
          <t>None</t>
        </is>
      </c>
      <c r="AH740" s="17" t="n"/>
      <c r="AI740" s="16" t="n"/>
      <c r="AJ740" s="20" t="n"/>
      <c r="AK740" s="20" t="inlineStr">
        <is>
          <t>None</t>
        </is>
      </c>
      <c r="AL740" s="17" t="n"/>
      <c r="AM740" s="16" t="n"/>
      <c r="AN740" s="20" t="inlineStr">
        <is>
          <t>IC Anionen</t>
        </is>
      </c>
      <c r="AO740" s="20" t="inlineStr">
        <is>
          <t>None</t>
        </is>
      </c>
      <c r="AP740" s="17" t="n"/>
      <c r="AQ740" s="16" t="n"/>
      <c r="AR740" s="20" t="n"/>
      <c r="AS740" s="20" t="inlineStr">
        <is>
          <t>None</t>
        </is>
      </c>
      <c r="AT740" s="17" t="n"/>
      <c r="AU740" s="16" t="n"/>
      <c r="AV740" s="20" t="n"/>
      <c r="AW740" s="20" t="inlineStr">
        <is>
          <t>None</t>
        </is>
      </c>
      <c r="AX740" s="17" t="n"/>
      <c r="AY740" s="16" t="n"/>
      <c r="AZ740" s="20" t="inlineStr">
        <is>
          <t>IC Anionen</t>
        </is>
      </c>
      <c r="BA740" s="20" t="inlineStr">
        <is>
          <t>None</t>
        </is>
      </c>
      <c r="BB740" s="17" t="n"/>
      <c r="BC740" s="16" t="n"/>
      <c r="BD740" s="20" t="inlineStr">
        <is>
          <t>IC Kationen</t>
        </is>
      </c>
      <c r="BE740" s="20" t="inlineStr">
        <is>
          <t>None</t>
        </is>
      </c>
      <c r="BF740" s="17" t="n"/>
      <c r="BG740" s="16" t="n"/>
      <c r="BH740" s="20" t="inlineStr">
        <is>
          <t>IC Kationen</t>
        </is>
      </c>
      <c r="BI740" s="20" t="inlineStr">
        <is>
          <t>None</t>
        </is>
      </c>
      <c r="BJ740" s="17" t="n"/>
      <c r="BK740" s="16" t="n"/>
      <c r="BL740" s="20" t="inlineStr">
        <is>
          <t>IC Kationen</t>
        </is>
      </c>
      <c r="BM740" s="20" t="inlineStr">
        <is>
          <t>None</t>
        </is>
      </c>
      <c r="BN740" s="17" t="n"/>
      <c r="BO740" s="16" t="n"/>
      <c r="BP740" s="20" t="inlineStr">
        <is>
          <t>IC Kationen</t>
        </is>
      </c>
      <c r="BQ740" s="20" t="inlineStr">
        <is>
          <t>None</t>
        </is>
      </c>
      <c r="BR740" s="17" t="n"/>
      <c r="BS740" s="16" t="n"/>
      <c r="BT740" s="20" t="inlineStr">
        <is>
          <t>IC Kationen</t>
        </is>
      </c>
      <c r="BU740" s="20" t="inlineStr">
        <is>
          <t>None</t>
        </is>
      </c>
      <c r="BV740" s="17" t="n"/>
      <c r="BW740" s="16" t="n"/>
      <c r="BX740" s="20" t="n"/>
      <c r="BY740" s="20" t="inlineStr">
        <is>
          <t>None</t>
        </is>
      </c>
      <c r="BZ740" s="17" t="n"/>
      <c r="CA740" s="16" t="n"/>
      <c r="CB740" s="20" t="n"/>
      <c r="CC740" s="20" t="inlineStr">
        <is>
          <t>None</t>
        </is>
      </c>
      <c r="CD740" s="17" t="n"/>
      <c r="CE740" s="16" t="n"/>
      <c r="CF740" s="20" t="n"/>
      <c r="CG740" s="20" t="inlineStr">
        <is>
          <t>None</t>
        </is>
      </c>
      <c r="CH740" s="17" t="n"/>
      <c r="CI740" s="16" t="n"/>
      <c r="CJ740" s="20" t="n"/>
      <c r="CK740" s="20" t="inlineStr">
        <is>
          <t>None</t>
        </is>
      </c>
      <c r="CL740" s="17" t="n"/>
      <c r="CM740" s="16" t="n"/>
      <c r="CN740" s="20" t="inlineStr">
        <is>
          <t>SOP 45-34</t>
        </is>
      </c>
      <c r="CO740" s="20" t="inlineStr">
        <is>
          <t>None</t>
        </is>
      </c>
      <c r="CP740" s="17" t="n"/>
      <c r="CQ740" s="16" t="n"/>
      <c r="CR740" s="20" t="n"/>
      <c r="CS740" s="20" t="inlineStr">
        <is>
          <t>None</t>
        </is>
      </c>
      <c r="CT740" s="17" t="n"/>
      <c r="CU740" s="16" t="n"/>
      <c r="CV740" s="20" t="n"/>
      <c r="CW740" s="20" t="inlineStr">
        <is>
          <t>None</t>
        </is>
      </c>
      <c r="CX740" s="17" t="n"/>
      <c r="CY740" s="16" t="n"/>
      <c r="CZ740" s="20" t="inlineStr">
        <is>
          <t>WTW Multimeter 3430 with FDO 925</t>
        </is>
      </c>
      <c r="DA740" s="20" t="inlineStr">
        <is>
          <t>None</t>
        </is>
      </c>
      <c r="DB740" s="17" t="n"/>
      <c r="DC740" s="16" t="n"/>
      <c r="DD740" s="20" t="n"/>
      <c r="DE740" s="20" t="inlineStr">
        <is>
          <t>None</t>
        </is>
      </c>
      <c r="DF740" s="17" t="n"/>
      <c r="DG740" s="16" t="n"/>
      <c r="DH740" s="20" t="inlineStr">
        <is>
          <t>SOP 45-09</t>
        </is>
      </c>
      <c r="DI740" s="20" t="inlineStr">
        <is>
          <t>None</t>
        </is>
      </c>
      <c r="DJ740" s="17" t="n"/>
      <c r="DK740" s="16" t="n"/>
      <c r="DL740" s="20" t="inlineStr">
        <is>
          <t>SOP 45-09 (SOP muss noch angepasst werden für VSS)</t>
        </is>
      </c>
      <c r="DM740" s="20" t="inlineStr">
        <is>
          <t>None</t>
        </is>
      </c>
      <c r="DN740" s="17" t="n"/>
      <c r="DO740" s="16" t="n"/>
      <c r="DP740" s="20" t="inlineStr">
        <is>
          <t>IC Organic Acids</t>
        </is>
      </c>
      <c r="DQ740" s="20" t="inlineStr">
        <is>
          <t>None</t>
        </is>
      </c>
      <c r="DR740" s="17" t="n"/>
      <c r="DS740" s="16" t="n"/>
      <c r="DT740" s="20" t="inlineStr">
        <is>
          <t>IC Organic Acids</t>
        </is>
      </c>
      <c r="DU740" s="20" t="inlineStr">
        <is>
          <t>None</t>
        </is>
      </c>
      <c r="DV740" s="17" t="n"/>
      <c r="DW740" s="16" t="n"/>
      <c r="DX740" s="20" t="inlineStr">
        <is>
          <t>IC Organic Acids</t>
        </is>
      </c>
      <c r="DY740" s="20" t="inlineStr">
        <is>
          <t>None</t>
        </is>
      </c>
      <c r="DZ740" s="17" t="n"/>
      <c r="EA740" s="16" t="n"/>
      <c r="EB740" s="20" t="inlineStr">
        <is>
          <t>IC Organic Acids</t>
        </is>
      </c>
      <c r="EC740" s="20" t="inlineStr">
        <is>
          <t>None</t>
        </is>
      </c>
      <c r="ED740" s="17" t="n"/>
      <c r="EE740" s="16" t="n"/>
      <c r="EF740" s="20" t="inlineStr">
        <is>
          <t>IC Organic Acids</t>
        </is>
      </c>
      <c r="EG740" s="20" t="inlineStr">
        <is>
          <t>None</t>
        </is>
      </c>
      <c r="EH740" s="17" t="n"/>
      <c r="EI740" s="16" t="n"/>
      <c r="EJ740" s="20" t="inlineStr">
        <is>
          <t>IC Organic Acids</t>
        </is>
      </c>
      <c r="EK740" s="20" t="inlineStr">
        <is>
          <t>None</t>
        </is>
      </c>
      <c r="EL740" s="17" t="n"/>
      <c r="EM740" s="16" t="n"/>
      <c r="EN740" s="20" t="inlineStr">
        <is>
          <t>IC Organic Acids</t>
        </is>
      </c>
      <c r="EO740" s="20" t="inlineStr">
        <is>
          <t>None</t>
        </is>
      </c>
      <c r="EP740" s="17" t="n"/>
      <c r="EQ740" s="16" t="n"/>
      <c r="ER740" s="20" t="inlineStr">
        <is>
          <t>IC Organic Acids</t>
        </is>
      </c>
      <c r="ES740" s="20" t="inlineStr">
        <is>
          <t>None</t>
        </is>
      </c>
      <c r="ET740" s="17" t="n"/>
      <c r="EU740" s="16" t="n"/>
      <c r="EV740" s="20" t="inlineStr">
        <is>
          <t>LC-MS</t>
        </is>
      </c>
      <c r="EW740" s="20" t="inlineStr">
        <is>
          <t>None</t>
        </is>
      </c>
      <c r="EX740" s="17" t="n"/>
      <c r="EY740" s="21" t="n"/>
      <c r="EZ740">
        <f>CONCATENATE(A740,B740)</f>
        <v/>
      </c>
      <c r="FA740">
        <f>CONCATENATE(SamplesX!A740,SamplesX!B740)</f>
        <v/>
      </c>
      <c r="FC740">
        <f>MATCH(EZ740,FA1:FA1008,0)</f>
        <v/>
      </c>
    </row>
    <row r="741">
      <c r="A741" s="16" t="n"/>
      <c r="B741" s="17" t="n"/>
      <c r="C741" s="10">
        <f>IF(ISNUMBER(FC741),INDIRECT("SamplesX!C"&amp;FC741),IF(ISNUMBER(FD741),INDIRECT("SamplesY!C"&amp;FD741),""))</f>
        <v/>
      </c>
      <c r="D741" s="12">
        <f>IF(ISNUMBER(FC741),INDIRECT("SamplesX!D"&amp;FC741),IF(ISNUMBER(FD741),INDIRECT("SamplesY!D"&amp;FD741),""))</f>
        <v/>
      </c>
      <c r="E741" s="12">
        <f>IF(ISNUMBER(FC741),INDIRECT("SamplesX!E"&amp;FC741),IF(ISNUMBER(FD741),INDIRECT("SamplesY!E"&amp;FD741),""))</f>
        <v/>
      </c>
      <c r="F741" s="11">
        <f>IF(ISNUMBER(FC741),INDIRECT("SamplesX!F"&amp;FC741),IF(ISNUMBER(FD741),INDIRECT("SamplesY!F"&amp;FD741),""))</f>
        <v/>
      </c>
      <c r="G741" s="18">
        <f>IF(ISNUMBER(FC741),INDIRECT("SamplesX!G"&amp;FC741),IF(ISNUMBER(FD741),INDIRECT("SamplesY!G"&amp;FD741),""))</f>
        <v/>
      </c>
      <c r="H741" s="19">
        <f>IF(ISNUMBER(FC741),INDIRECT("SamplesX!H"&amp;FC741),IF(ISNUMBER(FD741),INDIRECT("SamplesY!H"&amp;FD741),""))</f>
        <v/>
      </c>
      <c r="I741" s="16" t="n"/>
      <c r="J741" s="16" t="n"/>
      <c r="K741" s="16" t="n"/>
      <c r="L741" s="20" t="n"/>
      <c r="M741" s="20" t="inlineStr">
        <is>
          <t>None</t>
        </is>
      </c>
      <c r="N741" s="17" t="n"/>
      <c r="O741" s="16" t="n"/>
      <c r="P741" s="20" t="inlineStr">
        <is>
          <t>Shimadzu TOC-L</t>
        </is>
      </c>
      <c r="Q741" s="20" t="inlineStr">
        <is>
          <t>None</t>
        </is>
      </c>
      <c r="R741" s="17" t="n"/>
      <c r="S741" s="16" t="n"/>
      <c r="T741" s="20" t="inlineStr">
        <is>
          <t>Shimadzu TOC-L</t>
        </is>
      </c>
      <c r="U741" s="20" t="inlineStr">
        <is>
          <t>None</t>
        </is>
      </c>
      <c r="V741" s="17" t="n"/>
      <c r="W741" s="16" t="n"/>
      <c r="X741" s="20" t="n"/>
      <c r="Y741" s="20" t="inlineStr">
        <is>
          <t>None</t>
        </is>
      </c>
      <c r="Z741" s="17" t="n"/>
      <c r="AA741" s="16" t="n"/>
      <c r="AB741" s="20" t="n"/>
      <c r="AC741" s="20" t="inlineStr">
        <is>
          <t>None</t>
        </is>
      </c>
      <c r="AD741" s="17" t="n"/>
      <c r="AE741" s="16" t="n"/>
      <c r="AF741" s="20" t="inlineStr">
        <is>
          <t>IC Anionen</t>
        </is>
      </c>
      <c r="AG741" s="20" t="inlineStr">
        <is>
          <t>None</t>
        </is>
      </c>
      <c r="AH741" s="17" t="n"/>
      <c r="AI741" s="16" t="n"/>
      <c r="AJ741" s="20" t="n"/>
      <c r="AK741" s="20" t="inlineStr">
        <is>
          <t>None</t>
        </is>
      </c>
      <c r="AL741" s="17" t="n"/>
      <c r="AM741" s="16" t="n"/>
      <c r="AN741" s="20" t="inlineStr">
        <is>
          <t>IC Anionen</t>
        </is>
      </c>
      <c r="AO741" s="20" t="inlineStr">
        <is>
          <t>None</t>
        </is>
      </c>
      <c r="AP741" s="17" t="n"/>
      <c r="AQ741" s="16" t="n"/>
      <c r="AR741" s="20" t="n"/>
      <c r="AS741" s="20" t="inlineStr">
        <is>
          <t>None</t>
        </is>
      </c>
      <c r="AT741" s="17" t="n"/>
      <c r="AU741" s="16" t="n"/>
      <c r="AV741" s="20" t="n"/>
      <c r="AW741" s="20" t="inlineStr">
        <is>
          <t>None</t>
        </is>
      </c>
      <c r="AX741" s="17" t="n"/>
      <c r="AY741" s="16" t="n"/>
      <c r="AZ741" s="20" t="inlineStr">
        <is>
          <t>IC Anionen</t>
        </is>
      </c>
      <c r="BA741" s="20" t="inlineStr">
        <is>
          <t>None</t>
        </is>
      </c>
      <c r="BB741" s="17" t="n"/>
      <c r="BC741" s="16" t="n"/>
      <c r="BD741" s="20" t="inlineStr">
        <is>
          <t>IC Kationen</t>
        </is>
      </c>
      <c r="BE741" s="20" t="inlineStr">
        <is>
          <t>None</t>
        </is>
      </c>
      <c r="BF741" s="17" t="n"/>
      <c r="BG741" s="16" t="n"/>
      <c r="BH741" s="20" t="inlineStr">
        <is>
          <t>IC Kationen</t>
        </is>
      </c>
      <c r="BI741" s="20" t="inlineStr">
        <is>
          <t>None</t>
        </is>
      </c>
      <c r="BJ741" s="17" t="n"/>
      <c r="BK741" s="16" t="n"/>
      <c r="BL741" s="20" t="inlineStr">
        <is>
          <t>IC Kationen</t>
        </is>
      </c>
      <c r="BM741" s="20" t="inlineStr">
        <is>
          <t>None</t>
        </is>
      </c>
      <c r="BN741" s="17" t="n"/>
      <c r="BO741" s="16" t="n"/>
      <c r="BP741" s="20" t="inlineStr">
        <is>
          <t>IC Kationen</t>
        </is>
      </c>
      <c r="BQ741" s="20" t="inlineStr">
        <is>
          <t>None</t>
        </is>
      </c>
      <c r="BR741" s="17" t="n"/>
      <c r="BS741" s="16" t="n"/>
      <c r="BT741" s="20" t="inlineStr">
        <is>
          <t>IC Kationen</t>
        </is>
      </c>
      <c r="BU741" s="20" t="inlineStr">
        <is>
          <t>None</t>
        </is>
      </c>
      <c r="BV741" s="17" t="n"/>
      <c r="BW741" s="16" t="n"/>
      <c r="BX741" s="20" t="n"/>
      <c r="BY741" s="20" t="inlineStr">
        <is>
          <t>None</t>
        </is>
      </c>
      <c r="BZ741" s="17" t="n"/>
      <c r="CA741" s="16" t="n"/>
      <c r="CB741" s="20" t="n"/>
      <c r="CC741" s="20" t="inlineStr">
        <is>
          <t>None</t>
        </is>
      </c>
      <c r="CD741" s="17" t="n"/>
      <c r="CE741" s="16" t="n"/>
      <c r="CF741" s="20" t="n"/>
      <c r="CG741" s="20" t="inlineStr">
        <is>
          <t>None</t>
        </is>
      </c>
      <c r="CH741" s="17" t="n"/>
      <c r="CI741" s="16" t="n"/>
      <c r="CJ741" s="20" t="n"/>
      <c r="CK741" s="20" t="inlineStr">
        <is>
          <t>None</t>
        </is>
      </c>
      <c r="CL741" s="17" t="n"/>
      <c r="CM741" s="16" t="n"/>
      <c r="CN741" s="20" t="inlineStr">
        <is>
          <t>SOP 45-34</t>
        </is>
      </c>
      <c r="CO741" s="20" t="inlineStr">
        <is>
          <t>None</t>
        </is>
      </c>
      <c r="CP741" s="17" t="n"/>
      <c r="CQ741" s="16" t="n"/>
      <c r="CR741" s="20" t="n"/>
      <c r="CS741" s="20" t="inlineStr">
        <is>
          <t>None</t>
        </is>
      </c>
      <c r="CT741" s="17" t="n"/>
      <c r="CU741" s="16" t="n"/>
      <c r="CV741" s="20" t="n"/>
      <c r="CW741" s="20" t="inlineStr">
        <is>
          <t>None</t>
        </is>
      </c>
      <c r="CX741" s="17" t="n"/>
      <c r="CY741" s="16" t="n"/>
      <c r="CZ741" s="20" t="inlineStr">
        <is>
          <t>WTW Multimeter 3430 with FDO 925</t>
        </is>
      </c>
      <c r="DA741" s="20" t="inlineStr">
        <is>
          <t>None</t>
        </is>
      </c>
      <c r="DB741" s="17" t="n"/>
      <c r="DC741" s="16" t="n"/>
      <c r="DD741" s="20" t="n"/>
      <c r="DE741" s="20" t="inlineStr">
        <is>
          <t>None</t>
        </is>
      </c>
      <c r="DF741" s="17" t="n"/>
      <c r="DG741" s="16" t="n"/>
      <c r="DH741" s="20" t="inlineStr">
        <is>
          <t>SOP 45-09</t>
        </is>
      </c>
      <c r="DI741" s="20" t="inlineStr">
        <is>
          <t>None</t>
        </is>
      </c>
      <c r="DJ741" s="17" t="n"/>
      <c r="DK741" s="16" t="n"/>
      <c r="DL741" s="20" t="inlineStr">
        <is>
          <t>SOP 45-09 (SOP muss noch angepasst werden für VSS)</t>
        </is>
      </c>
      <c r="DM741" s="20" t="inlineStr">
        <is>
          <t>None</t>
        </is>
      </c>
      <c r="DN741" s="17" t="n"/>
      <c r="DO741" s="16" t="n"/>
      <c r="DP741" s="20" t="inlineStr">
        <is>
          <t>IC Organic Acids</t>
        </is>
      </c>
      <c r="DQ741" s="20" t="inlineStr">
        <is>
          <t>None</t>
        </is>
      </c>
      <c r="DR741" s="17" t="n"/>
      <c r="DS741" s="16" t="n"/>
      <c r="DT741" s="20" t="inlineStr">
        <is>
          <t>IC Organic Acids</t>
        </is>
      </c>
      <c r="DU741" s="20" t="inlineStr">
        <is>
          <t>None</t>
        </is>
      </c>
      <c r="DV741" s="17" t="n"/>
      <c r="DW741" s="16" t="n"/>
      <c r="DX741" s="20" t="inlineStr">
        <is>
          <t>IC Organic Acids</t>
        </is>
      </c>
      <c r="DY741" s="20" t="inlineStr">
        <is>
          <t>None</t>
        </is>
      </c>
      <c r="DZ741" s="17" t="n"/>
      <c r="EA741" s="16" t="n"/>
      <c r="EB741" s="20" t="inlineStr">
        <is>
          <t>IC Organic Acids</t>
        </is>
      </c>
      <c r="EC741" s="20" t="inlineStr">
        <is>
          <t>None</t>
        </is>
      </c>
      <c r="ED741" s="17" t="n"/>
      <c r="EE741" s="16" t="n"/>
      <c r="EF741" s="20" t="inlineStr">
        <is>
          <t>IC Organic Acids</t>
        </is>
      </c>
      <c r="EG741" s="20" t="inlineStr">
        <is>
          <t>None</t>
        </is>
      </c>
      <c r="EH741" s="17" t="n"/>
      <c r="EI741" s="16" t="n"/>
      <c r="EJ741" s="20" t="inlineStr">
        <is>
          <t>IC Organic Acids</t>
        </is>
      </c>
      <c r="EK741" s="20" t="inlineStr">
        <is>
          <t>None</t>
        </is>
      </c>
      <c r="EL741" s="17" t="n"/>
      <c r="EM741" s="16" t="n"/>
      <c r="EN741" s="20" t="inlineStr">
        <is>
          <t>IC Organic Acids</t>
        </is>
      </c>
      <c r="EO741" s="20" t="inlineStr">
        <is>
          <t>None</t>
        </is>
      </c>
      <c r="EP741" s="17" t="n"/>
      <c r="EQ741" s="16" t="n"/>
      <c r="ER741" s="20" t="inlineStr">
        <is>
          <t>IC Organic Acids</t>
        </is>
      </c>
      <c r="ES741" s="20" t="inlineStr">
        <is>
          <t>None</t>
        </is>
      </c>
      <c r="ET741" s="17" t="n"/>
      <c r="EU741" s="16" t="n"/>
      <c r="EV741" s="20" t="inlineStr">
        <is>
          <t>LC-MS</t>
        </is>
      </c>
      <c r="EW741" s="20" t="inlineStr">
        <is>
          <t>None</t>
        </is>
      </c>
      <c r="EX741" s="17" t="n"/>
      <c r="EY741" s="21" t="n"/>
      <c r="EZ741">
        <f>CONCATENATE(A741,B741)</f>
        <v/>
      </c>
      <c r="FA741">
        <f>CONCATENATE(SamplesX!A741,SamplesX!B741)</f>
        <v/>
      </c>
      <c r="FC741">
        <f>MATCH(EZ741,FA1:FA1008,0)</f>
        <v/>
      </c>
    </row>
    <row r="742">
      <c r="A742" s="16" t="n"/>
      <c r="B742" s="17" t="n"/>
      <c r="C742" s="10">
        <f>IF(ISNUMBER(FC742),INDIRECT("SamplesX!C"&amp;FC742),IF(ISNUMBER(FD742),INDIRECT("SamplesY!C"&amp;FD742),""))</f>
        <v/>
      </c>
      <c r="D742" s="12">
        <f>IF(ISNUMBER(FC742),INDIRECT("SamplesX!D"&amp;FC742),IF(ISNUMBER(FD742),INDIRECT("SamplesY!D"&amp;FD742),""))</f>
        <v/>
      </c>
      <c r="E742" s="12">
        <f>IF(ISNUMBER(FC742),INDIRECT("SamplesX!E"&amp;FC742),IF(ISNUMBER(FD742),INDIRECT("SamplesY!E"&amp;FD742),""))</f>
        <v/>
      </c>
      <c r="F742" s="11">
        <f>IF(ISNUMBER(FC742),INDIRECT("SamplesX!F"&amp;FC742),IF(ISNUMBER(FD742),INDIRECT("SamplesY!F"&amp;FD742),""))</f>
        <v/>
      </c>
      <c r="G742" s="18">
        <f>IF(ISNUMBER(FC742),INDIRECT("SamplesX!G"&amp;FC742),IF(ISNUMBER(FD742),INDIRECT("SamplesY!G"&amp;FD742),""))</f>
        <v/>
      </c>
      <c r="H742" s="19">
        <f>IF(ISNUMBER(FC742),INDIRECT("SamplesX!H"&amp;FC742),IF(ISNUMBER(FD742),INDIRECT("SamplesY!H"&amp;FD742),""))</f>
        <v/>
      </c>
      <c r="I742" s="16" t="n"/>
      <c r="J742" s="16" t="n"/>
      <c r="K742" s="16" t="n"/>
      <c r="L742" s="20" t="n"/>
      <c r="M742" s="20" t="inlineStr">
        <is>
          <t>None</t>
        </is>
      </c>
      <c r="N742" s="17" t="n"/>
      <c r="O742" s="16" t="n"/>
      <c r="P742" s="20" t="inlineStr">
        <is>
          <t>Shimadzu TOC-L</t>
        </is>
      </c>
      <c r="Q742" s="20" t="inlineStr">
        <is>
          <t>None</t>
        </is>
      </c>
      <c r="R742" s="17" t="n"/>
      <c r="S742" s="16" t="n"/>
      <c r="T742" s="20" t="inlineStr">
        <is>
          <t>Shimadzu TOC-L</t>
        </is>
      </c>
      <c r="U742" s="20" t="inlineStr">
        <is>
          <t>None</t>
        </is>
      </c>
      <c r="V742" s="17" t="n"/>
      <c r="W742" s="16" t="n"/>
      <c r="X742" s="20" t="n"/>
      <c r="Y742" s="20" t="inlineStr">
        <is>
          <t>None</t>
        </is>
      </c>
      <c r="Z742" s="17" t="n"/>
      <c r="AA742" s="16" t="n"/>
      <c r="AB742" s="20" t="n"/>
      <c r="AC742" s="20" t="inlineStr">
        <is>
          <t>None</t>
        </is>
      </c>
      <c r="AD742" s="17" t="n"/>
      <c r="AE742" s="16" t="n"/>
      <c r="AF742" s="20" t="inlineStr">
        <is>
          <t>IC Anionen</t>
        </is>
      </c>
      <c r="AG742" s="20" t="inlineStr">
        <is>
          <t>None</t>
        </is>
      </c>
      <c r="AH742" s="17" t="n"/>
      <c r="AI742" s="16" t="n"/>
      <c r="AJ742" s="20" t="n"/>
      <c r="AK742" s="20" t="inlineStr">
        <is>
          <t>None</t>
        </is>
      </c>
      <c r="AL742" s="17" t="n"/>
      <c r="AM742" s="16" t="n"/>
      <c r="AN742" s="20" t="inlineStr">
        <is>
          <t>IC Anionen</t>
        </is>
      </c>
      <c r="AO742" s="20" t="inlineStr">
        <is>
          <t>None</t>
        </is>
      </c>
      <c r="AP742" s="17" t="n"/>
      <c r="AQ742" s="16" t="n"/>
      <c r="AR742" s="20" t="n"/>
      <c r="AS742" s="20" t="inlineStr">
        <is>
          <t>None</t>
        </is>
      </c>
      <c r="AT742" s="17" t="n"/>
      <c r="AU742" s="16" t="n"/>
      <c r="AV742" s="20" t="n"/>
      <c r="AW742" s="20" t="inlineStr">
        <is>
          <t>None</t>
        </is>
      </c>
      <c r="AX742" s="17" t="n"/>
      <c r="AY742" s="16" t="n"/>
      <c r="AZ742" s="20" t="inlineStr">
        <is>
          <t>IC Anionen</t>
        </is>
      </c>
      <c r="BA742" s="20" t="inlineStr">
        <is>
          <t>None</t>
        </is>
      </c>
      <c r="BB742" s="17" t="n"/>
      <c r="BC742" s="16" t="n"/>
      <c r="BD742" s="20" t="inlineStr">
        <is>
          <t>IC Kationen</t>
        </is>
      </c>
      <c r="BE742" s="20" t="inlineStr">
        <is>
          <t>None</t>
        </is>
      </c>
      <c r="BF742" s="17" t="n"/>
      <c r="BG742" s="16" t="n"/>
      <c r="BH742" s="20" t="inlineStr">
        <is>
          <t>IC Kationen</t>
        </is>
      </c>
      <c r="BI742" s="20" t="inlineStr">
        <is>
          <t>None</t>
        </is>
      </c>
      <c r="BJ742" s="17" t="n"/>
      <c r="BK742" s="16" t="n"/>
      <c r="BL742" s="20" t="inlineStr">
        <is>
          <t>IC Kationen</t>
        </is>
      </c>
      <c r="BM742" s="20" t="inlineStr">
        <is>
          <t>None</t>
        </is>
      </c>
      <c r="BN742" s="17" t="n"/>
      <c r="BO742" s="16" t="n"/>
      <c r="BP742" s="20" t="inlineStr">
        <is>
          <t>IC Kationen</t>
        </is>
      </c>
      <c r="BQ742" s="20" t="inlineStr">
        <is>
          <t>None</t>
        </is>
      </c>
      <c r="BR742" s="17" t="n"/>
      <c r="BS742" s="16" t="n"/>
      <c r="BT742" s="20" t="inlineStr">
        <is>
          <t>IC Kationen</t>
        </is>
      </c>
      <c r="BU742" s="20" t="inlineStr">
        <is>
          <t>None</t>
        </is>
      </c>
      <c r="BV742" s="17" t="n"/>
      <c r="BW742" s="16" t="n"/>
      <c r="BX742" s="20" t="n"/>
      <c r="BY742" s="20" t="inlineStr">
        <is>
          <t>None</t>
        </is>
      </c>
      <c r="BZ742" s="17" t="n"/>
      <c r="CA742" s="16" t="n"/>
      <c r="CB742" s="20" t="n"/>
      <c r="CC742" s="20" t="inlineStr">
        <is>
          <t>None</t>
        </is>
      </c>
      <c r="CD742" s="17" t="n"/>
      <c r="CE742" s="16" t="n"/>
      <c r="CF742" s="20" t="n"/>
      <c r="CG742" s="20" t="inlineStr">
        <is>
          <t>None</t>
        </is>
      </c>
      <c r="CH742" s="17" t="n"/>
      <c r="CI742" s="16" t="n"/>
      <c r="CJ742" s="20" t="n"/>
      <c r="CK742" s="20" t="inlineStr">
        <is>
          <t>None</t>
        </is>
      </c>
      <c r="CL742" s="17" t="n"/>
      <c r="CM742" s="16" t="n"/>
      <c r="CN742" s="20" t="inlineStr">
        <is>
          <t>SOP 45-34</t>
        </is>
      </c>
      <c r="CO742" s="20" t="inlineStr">
        <is>
          <t>None</t>
        </is>
      </c>
      <c r="CP742" s="17" t="n"/>
      <c r="CQ742" s="16" t="n"/>
      <c r="CR742" s="20" t="n"/>
      <c r="CS742" s="20" t="inlineStr">
        <is>
          <t>None</t>
        </is>
      </c>
      <c r="CT742" s="17" t="n"/>
      <c r="CU742" s="16" t="n"/>
      <c r="CV742" s="20" t="n"/>
      <c r="CW742" s="20" t="inlineStr">
        <is>
          <t>None</t>
        </is>
      </c>
      <c r="CX742" s="17" t="n"/>
      <c r="CY742" s="16" t="n"/>
      <c r="CZ742" s="20" t="inlineStr">
        <is>
          <t>WTW Multimeter 3430 with FDO 925</t>
        </is>
      </c>
      <c r="DA742" s="20" t="inlineStr">
        <is>
          <t>None</t>
        </is>
      </c>
      <c r="DB742" s="17" t="n"/>
      <c r="DC742" s="16" t="n"/>
      <c r="DD742" s="20" t="n"/>
      <c r="DE742" s="20" t="inlineStr">
        <is>
          <t>None</t>
        </is>
      </c>
      <c r="DF742" s="17" t="n"/>
      <c r="DG742" s="16" t="n"/>
      <c r="DH742" s="20" t="inlineStr">
        <is>
          <t>SOP 45-09</t>
        </is>
      </c>
      <c r="DI742" s="20" t="inlineStr">
        <is>
          <t>None</t>
        </is>
      </c>
      <c r="DJ742" s="17" t="n"/>
      <c r="DK742" s="16" t="n"/>
      <c r="DL742" s="20" t="inlineStr">
        <is>
          <t>SOP 45-09 (SOP muss noch angepasst werden für VSS)</t>
        </is>
      </c>
      <c r="DM742" s="20" t="inlineStr">
        <is>
          <t>None</t>
        </is>
      </c>
      <c r="DN742" s="17" t="n"/>
      <c r="DO742" s="16" t="n"/>
      <c r="DP742" s="20" t="inlineStr">
        <is>
          <t>IC Organic Acids</t>
        </is>
      </c>
      <c r="DQ742" s="20" t="inlineStr">
        <is>
          <t>None</t>
        </is>
      </c>
      <c r="DR742" s="17" t="n"/>
      <c r="DS742" s="16" t="n"/>
      <c r="DT742" s="20" t="inlineStr">
        <is>
          <t>IC Organic Acids</t>
        </is>
      </c>
      <c r="DU742" s="20" t="inlineStr">
        <is>
          <t>None</t>
        </is>
      </c>
      <c r="DV742" s="17" t="n"/>
      <c r="DW742" s="16" t="n"/>
      <c r="DX742" s="20" t="inlineStr">
        <is>
          <t>IC Organic Acids</t>
        </is>
      </c>
      <c r="DY742" s="20" t="inlineStr">
        <is>
          <t>None</t>
        </is>
      </c>
      <c r="DZ742" s="17" t="n"/>
      <c r="EA742" s="16" t="n"/>
      <c r="EB742" s="20" t="inlineStr">
        <is>
          <t>IC Organic Acids</t>
        </is>
      </c>
      <c r="EC742" s="20" t="inlineStr">
        <is>
          <t>None</t>
        </is>
      </c>
      <c r="ED742" s="17" t="n"/>
      <c r="EE742" s="16" t="n"/>
      <c r="EF742" s="20" t="inlineStr">
        <is>
          <t>IC Organic Acids</t>
        </is>
      </c>
      <c r="EG742" s="20" t="inlineStr">
        <is>
          <t>None</t>
        </is>
      </c>
      <c r="EH742" s="17" t="n"/>
      <c r="EI742" s="16" t="n"/>
      <c r="EJ742" s="20" t="inlineStr">
        <is>
          <t>IC Organic Acids</t>
        </is>
      </c>
      <c r="EK742" s="20" t="inlineStr">
        <is>
          <t>None</t>
        </is>
      </c>
      <c r="EL742" s="17" t="n"/>
      <c r="EM742" s="16" t="n"/>
      <c r="EN742" s="20" t="inlineStr">
        <is>
          <t>IC Organic Acids</t>
        </is>
      </c>
      <c r="EO742" s="20" t="inlineStr">
        <is>
          <t>None</t>
        </is>
      </c>
      <c r="EP742" s="17" t="n"/>
      <c r="EQ742" s="16" t="n"/>
      <c r="ER742" s="20" t="inlineStr">
        <is>
          <t>IC Organic Acids</t>
        </is>
      </c>
      <c r="ES742" s="20" t="inlineStr">
        <is>
          <t>None</t>
        </is>
      </c>
      <c r="ET742" s="17" t="n"/>
      <c r="EU742" s="16" t="n"/>
      <c r="EV742" s="20" t="inlineStr">
        <is>
          <t>LC-MS</t>
        </is>
      </c>
      <c r="EW742" s="20" t="inlineStr">
        <is>
          <t>None</t>
        </is>
      </c>
      <c r="EX742" s="17" t="n"/>
      <c r="EY742" s="21" t="n"/>
      <c r="EZ742">
        <f>CONCATENATE(A742,B742)</f>
        <v/>
      </c>
      <c r="FA742">
        <f>CONCATENATE(SamplesX!A742,SamplesX!B742)</f>
        <v/>
      </c>
      <c r="FC742">
        <f>MATCH(EZ742,FA1:FA1008,0)</f>
        <v/>
      </c>
    </row>
    <row r="743">
      <c r="A743" s="16" t="n"/>
      <c r="B743" s="17" t="n"/>
      <c r="C743" s="10">
        <f>IF(ISNUMBER(FC743),INDIRECT("SamplesX!C"&amp;FC743),IF(ISNUMBER(FD743),INDIRECT("SamplesY!C"&amp;FD743),""))</f>
        <v/>
      </c>
      <c r="D743" s="12">
        <f>IF(ISNUMBER(FC743),INDIRECT("SamplesX!D"&amp;FC743),IF(ISNUMBER(FD743),INDIRECT("SamplesY!D"&amp;FD743),""))</f>
        <v/>
      </c>
      <c r="E743" s="12">
        <f>IF(ISNUMBER(FC743),INDIRECT("SamplesX!E"&amp;FC743),IF(ISNUMBER(FD743),INDIRECT("SamplesY!E"&amp;FD743),""))</f>
        <v/>
      </c>
      <c r="F743" s="11">
        <f>IF(ISNUMBER(FC743),INDIRECT("SamplesX!F"&amp;FC743),IF(ISNUMBER(FD743),INDIRECT("SamplesY!F"&amp;FD743),""))</f>
        <v/>
      </c>
      <c r="G743" s="18">
        <f>IF(ISNUMBER(FC743),INDIRECT("SamplesX!G"&amp;FC743),IF(ISNUMBER(FD743),INDIRECT("SamplesY!G"&amp;FD743),""))</f>
        <v/>
      </c>
      <c r="H743" s="19">
        <f>IF(ISNUMBER(FC743),INDIRECT("SamplesX!H"&amp;FC743),IF(ISNUMBER(FD743),INDIRECT("SamplesY!H"&amp;FD743),""))</f>
        <v/>
      </c>
      <c r="I743" s="16" t="n"/>
      <c r="J743" s="16" t="n"/>
      <c r="K743" s="16" t="n"/>
      <c r="L743" s="20" t="n"/>
      <c r="M743" s="20" t="inlineStr">
        <is>
          <t>None</t>
        </is>
      </c>
      <c r="N743" s="17" t="n"/>
      <c r="O743" s="16" t="n"/>
      <c r="P743" s="20" t="inlineStr">
        <is>
          <t>Shimadzu TOC-L</t>
        </is>
      </c>
      <c r="Q743" s="20" t="inlineStr">
        <is>
          <t>None</t>
        </is>
      </c>
      <c r="R743" s="17" t="n"/>
      <c r="S743" s="16" t="n"/>
      <c r="T743" s="20" t="inlineStr">
        <is>
          <t>Shimadzu TOC-L</t>
        </is>
      </c>
      <c r="U743" s="20" t="inlineStr">
        <is>
          <t>None</t>
        </is>
      </c>
      <c r="V743" s="17" t="n"/>
      <c r="W743" s="16" t="n"/>
      <c r="X743" s="20" t="n"/>
      <c r="Y743" s="20" t="inlineStr">
        <is>
          <t>None</t>
        </is>
      </c>
      <c r="Z743" s="17" t="n"/>
      <c r="AA743" s="16" t="n"/>
      <c r="AB743" s="20" t="n"/>
      <c r="AC743" s="20" t="inlineStr">
        <is>
          <t>None</t>
        </is>
      </c>
      <c r="AD743" s="17" t="n"/>
      <c r="AE743" s="16" t="n"/>
      <c r="AF743" s="20" t="inlineStr">
        <is>
          <t>IC Anionen</t>
        </is>
      </c>
      <c r="AG743" s="20" t="inlineStr">
        <is>
          <t>None</t>
        </is>
      </c>
      <c r="AH743" s="17" t="n"/>
      <c r="AI743" s="16" t="n"/>
      <c r="AJ743" s="20" t="n"/>
      <c r="AK743" s="20" t="inlineStr">
        <is>
          <t>None</t>
        </is>
      </c>
      <c r="AL743" s="17" t="n"/>
      <c r="AM743" s="16" t="n"/>
      <c r="AN743" s="20" t="inlineStr">
        <is>
          <t>IC Anionen</t>
        </is>
      </c>
      <c r="AO743" s="20" t="inlineStr">
        <is>
          <t>None</t>
        </is>
      </c>
      <c r="AP743" s="17" t="n"/>
      <c r="AQ743" s="16" t="n"/>
      <c r="AR743" s="20" t="n"/>
      <c r="AS743" s="20" t="inlineStr">
        <is>
          <t>None</t>
        </is>
      </c>
      <c r="AT743" s="17" t="n"/>
      <c r="AU743" s="16" t="n"/>
      <c r="AV743" s="20" t="n"/>
      <c r="AW743" s="20" t="inlineStr">
        <is>
          <t>None</t>
        </is>
      </c>
      <c r="AX743" s="17" t="n"/>
      <c r="AY743" s="16" t="n"/>
      <c r="AZ743" s="20" t="inlineStr">
        <is>
          <t>IC Anionen</t>
        </is>
      </c>
      <c r="BA743" s="20" t="inlineStr">
        <is>
          <t>None</t>
        </is>
      </c>
      <c r="BB743" s="17" t="n"/>
      <c r="BC743" s="16" t="n"/>
      <c r="BD743" s="20" t="inlineStr">
        <is>
          <t>IC Kationen</t>
        </is>
      </c>
      <c r="BE743" s="20" t="inlineStr">
        <is>
          <t>None</t>
        </is>
      </c>
      <c r="BF743" s="17" t="n"/>
      <c r="BG743" s="16" t="n"/>
      <c r="BH743" s="20" t="inlineStr">
        <is>
          <t>IC Kationen</t>
        </is>
      </c>
      <c r="BI743" s="20" t="inlineStr">
        <is>
          <t>None</t>
        </is>
      </c>
      <c r="BJ743" s="17" t="n"/>
      <c r="BK743" s="16" t="n"/>
      <c r="BL743" s="20" t="inlineStr">
        <is>
          <t>IC Kationen</t>
        </is>
      </c>
      <c r="BM743" s="20" t="inlineStr">
        <is>
          <t>None</t>
        </is>
      </c>
      <c r="BN743" s="17" t="n"/>
      <c r="BO743" s="16" t="n"/>
      <c r="BP743" s="20" t="inlineStr">
        <is>
          <t>IC Kationen</t>
        </is>
      </c>
      <c r="BQ743" s="20" t="inlineStr">
        <is>
          <t>None</t>
        </is>
      </c>
      <c r="BR743" s="17" t="n"/>
      <c r="BS743" s="16" t="n"/>
      <c r="BT743" s="20" t="inlineStr">
        <is>
          <t>IC Kationen</t>
        </is>
      </c>
      <c r="BU743" s="20" t="inlineStr">
        <is>
          <t>None</t>
        </is>
      </c>
      <c r="BV743" s="17" t="n"/>
      <c r="BW743" s="16" t="n"/>
      <c r="BX743" s="20" t="n"/>
      <c r="BY743" s="20" t="inlineStr">
        <is>
          <t>None</t>
        </is>
      </c>
      <c r="BZ743" s="17" t="n"/>
      <c r="CA743" s="16" t="n"/>
      <c r="CB743" s="20" t="n"/>
      <c r="CC743" s="20" t="inlineStr">
        <is>
          <t>None</t>
        </is>
      </c>
      <c r="CD743" s="17" t="n"/>
      <c r="CE743" s="16" t="n"/>
      <c r="CF743" s="20" t="n"/>
      <c r="CG743" s="20" t="inlineStr">
        <is>
          <t>None</t>
        </is>
      </c>
      <c r="CH743" s="17" t="n"/>
      <c r="CI743" s="16" t="n"/>
      <c r="CJ743" s="20" t="n"/>
      <c r="CK743" s="20" t="inlineStr">
        <is>
          <t>None</t>
        </is>
      </c>
      <c r="CL743" s="17" t="n"/>
      <c r="CM743" s="16" t="n"/>
      <c r="CN743" s="20" t="inlineStr">
        <is>
          <t>SOP 45-34</t>
        </is>
      </c>
      <c r="CO743" s="20" t="inlineStr">
        <is>
          <t>None</t>
        </is>
      </c>
      <c r="CP743" s="17" t="n"/>
      <c r="CQ743" s="16" t="n"/>
      <c r="CR743" s="20" t="n"/>
      <c r="CS743" s="20" t="inlineStr">
        <is>
          <t>None</t>
        </is>
      </c>
      <c r="CT743" s="17" t="n"/>
      <c r="CU743" s="16" t="n"/>
      <c r="CV743" s="20" t="n"/>
      <c r="CW743" s="20" t="inlineStr">
        <is>
          <t>None</t>
        </is>
      </c>
      <c r="CX743" s="17" t="n"/>
      <c r="CY743" s="16" t="n"/>
      <c r="CZ743" s="20" t="inlineStr">
        <is>
          <t>WTW Multimeter 3430 with FDO 925</t>
        </is>
      </c>
      <c r="DA743" s="20" t="inlineStr">
        <is>
          <t>None</t>
        </is>
      </c>
      <c r="DB743" s="17" t="n"/>
      <c r="DC743" s="16" t="n"/>
      <c r="DD743" s="20" t="n"/>
      <c r="DE743" s="20" t="inlineStr">
        <is>
          <t>None</t>
        </is>
      </c>
      <c r="DF743" s="17" t="n"/>
      <c r="DG743" s="16" t="n"/>
      <c r="DH743" s="20" t="inlineStr">
        <is>
          <t>SOP 45-09</t>
        </is>
      </c>
      <c r="DI743" s="20" t="inlineStr">
        <is>
          <t>None</t>
        </is>
      </c>
      <c r="DJ743" s="17" t="n"/>
      <c r="DK743" s="16" t="n"/>
      <c r="DL743" s="20" t="inlineStr">
        <is>
          <t>SOP 45-09 (SOP muss noch angepasst werden für VSS)</t>
        </is>
      </c>
      <c r="DM743" s="20" t="inlineStr">
        <is>
          <t>None</t>
        </is>
      </c>
      <c r="DN743" s="17" t="n"/>
      <c r="DO743" s="16" t="n"/>
      <c r="DP743" s="20" t="inlineStr">
        <is>
          <t>IC Organic Acids</t>
        </is>
      </c>
      <c r="DQ743" s="20" t="inlineStr">
        <is>
          <t>None</t>
        </is>
      </c>
      <c r="DR743" s="17" t="n"/>
      <c r="DS743" s="16" t="n"/>
      <c r="DT743" s="20" t="inlineStr">
        <is>
          <t>IC Organic Acids</t>
        </is>
      </c>
      <c r="DU743" s="20" t="inlineStr">
        <is>
          <t>None</t>
        </is>
      </c>
      <c r="DV743" s="17" t="n"/>
      <c r="DW743" s="16" t="n"/>
      <c r="DX743" s="20" t="inlineStr">
        <is>
          <t>IC Organic Acids</t>
        </is>
      </c>
      <c r="DY743" s="20" t="inlineStr">
        <is>
          <t>None</t>
        </is>
      </c>
      <c r="DZ743" s="17" t="n"/>
      <c r="EA743" s="16" t="n"/>
      <c r="EB743" s="20" t="inlineStr">
        <is>
          <t>IC Organic Acids</t>
        </is>
      </c>
      <c r="EC743" s="20" t="inlineStr">
        <is>
          <t>None</t>
        </is>
      </c>
      <c r="ED743" s="17" t="n"/>
      <c r="EE743" s="16" t="n"/>
      <c r="EF743" s="20" t="inlineStr">
        <is>
          <t>IC Organic Acids</t>
        </is>
      </c>
      <c r="EG743" s="20" t="inlineStr">
        <is>
          <t>None</t>
        </is>
      </c>
      <c r="EH743" s="17" t="n"/>
      <c r="EI743" s="16" t="n"/>
      <c r="EJ743" s="20" t="inlineStr">
        <is>
          <t>IC Organic Acids</t>
        </is>
      </c>
      <c r="EK743" s="20" t="inlineStr">
        <is>
          <t>None</t>
        </is>
      </c>
      <c r="EL743" s="17" t="n"/>
      <c r="EM743" s="16" t="n"/>
      <c r="EN743" s="20" t="inlineStr">
        <is>
          <t>IC Organic Acids</t>
        </is>
      </c>
      <c r="EO743" s="20" t="inlineStr">
        <is>
          <t>None</t>
        </is>
      </c>
      <c r="EP743" s="17" t="n"/>
      <c r="EQ743" s="16" t="n"/>
      <c r="ER743" s="20" t="inlineStr">
        <is>
          <t>IC Organic Acids</t>
        </is>
      </c>
      <c r="ES743" s="20" t="inlineStr">
        <is>
          <t>None</t>
        </is>
      </c>
      <c r="ET743" s="17" t="n"/>
      <c r="EU743" s="16" t="n"/>
      <c r="EV743" s="20" t="inlineStr">
        <is>
          <t>LC-MS</t>
        </is>
      </c>
      <c r="EW743" s="20" t="inlineStr">
        <is>
          <t>None</t>
        </is>
      </c>
      <c r="EX743" s="17" t="n"/>
      <c r="EY743" s="21" t="n"/>
      <c r="EZ743">
        <f>CONCATENATE(A743,B743)</f>
        <v/>
      </c>
      <c r="FA743">
        <f>CONCATENATE(SamplesX!A743,SamplesX!B743)</f>
        <v/>
      </c>
      <c r="FC743">
        <f>MATCH(EZ743,FA1:FA1008,0)</f>
        <v/>
      </c>
    </row>
    <row r="744">
      <c r="A744" s="16" t="n"/>
      <c r="B744" s="17" t="n"/>
      <c r="C744" s="10">
        <f>IF(ISNUMBER(FC744),INDIRECT("SamplesX!C"&amp;FC744),IF(ISNUMBER(FD744),INDIRECT("SamplesY!C"&amp;FD744),""))</f>
        <v/>
      </c>
      <c r="D744" s="12">
        <f>IF(ISNUMBER(FC744),INDIRECT("SamplesX!D"&amp;FC744),IF(ISNUMBER(FD744),INDIRECT("SamplesY!D"&amp;FD744),""))</f>
        <v/>
      </c>
      <c r="E744" s="12">
        <f>IF(ISNUMBER(FC744),INDIRECT("SamplesX!E"&amp;FC744),IF(ISNUMBER(FD744),INDIRECT("SamplesY!E"&amp;FD744),""))</f>
        <v/>
      </c>
      <c r="F744" s="11">
        <f>IF(ISNUMBER(FC744),INDIRECT("SamplesX!F"&amp;FC744),IF(ISNUMBER(FD744),INDIRECT("SamplesY!F"&amp;FD744),""))</f>
        <v/>
      </c>
      <c r="G744" s="18">
        <f>IF(ISNUMBER(FC744),INDIRECT("SamplesX!G"&amp;FC744),IF(ISNUMBER(FD744),INDIRECT("SamplesY!G"&amp;FD744),""))</f>
        <v/>
      </c>
      <c r="H744" s="19">
        <f>IF(ISNUMBER(FC744),INDIRECT("SamplesX!H"&amp;FC744),IF(ISNUMBER(FD744),INDIRECT("SamplesY!H"&amp;FD744),""))</f>
        <v/>
      </c>
      <c r="I744" s="16" t="n"/>
      <c r="J744" s="16" t="n"/>
      <c r="K744" s="16" t="n"/>
      <c r="L744" s="20" t="n"/>
      <c r="M744" s="20" t="inlineStr">
        <is>
          <t>None</t>
        </is>
      </c>
      <c r="N744" s="17" t="n"/>
      <c r="O744" s="16" t="n"/>
      <c r="P744" s="20" t="inlineStr">
        <is>
          <t>Shimadzu TOC-L</t>
        </is>
      </c>
      <c r="Q744" s="20" t="inlineStr">
        <is>
          <t>None</t>
        </is>
      </c>
      <c r="R744" s="17" t="n"/>
      <c r="S744" s="16" t="n"/>
      <c r="T744" s="20" t="inlineStr">
        <is>
          <t>Shimadzu TOC-L</t>
        </is>
      </c>
      <c r="U744" s="20" t="inlineStr">
        <is>
          <t>None</t>
        </is>
      </c>
      <c r="V744" s="17" t="n"/>
      <c r="W744" s="16" t="n"/>
      <c r="X744" s="20" t="n"/>
      <c r="Y744" s="20" t="inlineStr">
        <is>
          <t>None</t>
        </is>
      </c>
      <c r="Z744" s="17" t="n"/>
      <c r="AA744" s="16" t="n"/>
      <c r="AB744" s="20" t="n"/>
      <c r="AC744" s="20" t="inlineStr">
        <is>
          <t>None</t>
        </is>
      </c>
      <c r="AD744" s="17" t="n"/>
      <c r="AE744" s="16" t="n"/>
      <c r="AF744" s="20" t="inlineStr">
        <is>
          <t>IC Anionen</t>
        </is>
      </c>
      <c r="AG744" s="20" t="inlineStr">
        <is>
          <t>None</t>
        </is>
      </c>
      <c r="AH744" s="17" t="n"/>
      <c r="AI744" s="16" t="n"/>
      <c r="AJ744" s="20" t="n"/>
      <c r="AK744" s="20" t="inlineStr">
        <is>
          <t>None</t>
        </is>
      </c>
      <c r="AL744" s="17" t="n"/>
      <c r="AM744" s="16" t="n"/>
      <c r="AN744" s="20" t="inlineStr">
        <is>
          <t>IC Anionen</t>
        </is>
      </c>
      <c r="AO744" s="20" t="inlineStr">
        <is>
          <t>None</t>
        </is>
      </c>
      <c r="AP744" s="17" t="n"/>
      <c r="AQ744" s="16" t="n"/>
      <c r="AR744" s="20" t="n"/>
      <c r="AS744" s="20" t="inlineStr">
        <is>
          <t>None</t>
        </is>
      </c>
      <c r="AT744" s="17" t="n"/>
      <c r="AU744" s="16" t="n"/>
      <c r="AV744" s="20" t="n"/>
      <c r="AW744" s="20" t="inlineStr">
        <is>
          <t>None</t>
        </is>
      </c>
      <c r="AX744" s="17" t="n"/>
      <c r="AY744" s="16" t="n"/>
      <c r="AZ744" s="20" t="inlineStr">
        <is>
          <t>IC Anionen</t>
        </is>
      </c>
      <c r="BA744" s="20" t="inlineStr">
        <is>
          <t>None</t>
        </is>
      </c>
      <c r="BB744" s="17" t="n"/>
      <c r="BC744" s="16" t="n"/>
      <c r="BD744" s="20" t="inlineStr">
        <is>
          <t>IC Kationen</t>
        </is>
      </c>
      <c r="BE744" s="20" t="inlineStr">
        <is>
          <t>None</t>
        </is>
      </c>
      <c r="BF744" s="17" t="n"/>
      <c r="BG744" s="16" t="n"/>
      <c r="BH744" s="20" t="inlineStr">
        <is>
          <t>IC Kationen</t>
        </is>
      </c>
      <c r="BI744" s="20" t="inlineStr">
        <is>
          <t>None</t>
        </is>
      </c>
      <c r="BJ744" s="17" t="n"/>
      <c r="BK744" s="16" t="n"/>
      <c r="BL744" s="20" t="inlineStr">
        <is>
          <t>IC Kationen</t>
        </is>
      </c>
      <c r="BM744" s="20" t="inlineStr">
        <is>
          <t>None</t>
        </is>
      </c>
      <c r="BN744" s="17" t="n"/>
      <c r="BO744" s="16" t="n"/>
      <c r="BP744" s="20" t="inlineStr">
        <is>
          <t>IC Kationen</t>
        </is>
      </c>
      <c r="BQ744" s="20" t="inlineStr">
        <is>
          <t>None</t>
        </is>
      </c>
      <c r="BR744" s="17" t="n"/>
      <c r="BS744" s="16" t="n"/>
      <c r="BT744" s="20" t="inlineStr">
        <is>
          <t>IC Kationen</t>
        </is>
      </c>
      <c r="BU744" s="20" t="inlineStr">
        <is>
          <t>None</t>
        </is>
      </c>
      <c r="BV744" s="17" t="n"/>
      <c r="BW744" s="16" t="n"/>
      <c r="BX744" s="20" t="n"/>
      <c r="BY744" s="20" t="inlineStr">
        <is>
          <t>None</t>
        </is>
      </c>
      <c r="BZ744" s="17" t="n"/>
      <c r="CA744" s="16" t="n"/>
      <c r="CB744" s="20" t="n"/>
      <c r="CC744" s="20" t="inlineStr">
        <is>
          <t>None</t>
        </is>
      </c>
      <c r="CD744" s="17" t="n"/>
      <c r="CE744" s="16" t="n"/>
      <c r="CF744" s="20" t="n"/>
      <c r="CG744" s="20" t="inlineStr">
        <is>
          <t>None</t>
        </is>
      </c>
      <c r="CH744" s="17" t="n"/>
      <c r="CI744" s="16" t="n"/>
      <c r="CJ744" s="20" t="n"/>
      <c r="CK744" s="20" t="inlineStr">
        <is>
          <t>None</t>
        </is>
      </c>
      <c r="CL744" s="17" t="n"/>
      <c r="CM744" s="16" t="n"/>
      <c r="CN744" s="20" t="inlineStr">
        <is>
          <t>SOP 45-34</t>
        </is>
      </c>
      <c r="CO744" s="20" t="inlineStr">
        <is>
          <t>None</t>
        </is>
      </c>
      <c r="CP744" s="17" t="n"/>
      <c r="CQ744" s="16" t="n"/>
      <c r="CR744" s="20" t="n"/>
      <c r="CS744" s="20" t="inlineStr">
        <is>
          <t>None</t>
        </is>
      </c>
      <c r="CT744" s="17" t="n"/>
      <c r="CU744" s="16" t="n"/>
      <c r="CV744" s="20" t="n"/>
      <c r="CW744" s="20" t="inlineStr">
        <is>
          <t>None</t>
        </is>
      </c>
      <c r="CX744" s="17" t="n"/>
      <c r="CY744" s="16" t="n"/>
      <c r="CZ744" s="20" t="inlineStr">
        <is>
          <t>WTW Multimeter 3430 with FDO 925</t>
        </is>
      </c>
      <c r="DA744" s="20" t="inlineStr">
        <is>
          <t>None</t>
        </is>
      </c>
      <c r="DB744" s="17" t="n"/>
      <c r="DC744" s="16" t="n"/>
      <c r="DD744" s="20" t="n"/>
      <c r="DE744" s="20" t="inlineStr">
        <is>
          <t>None</t>
        </is>
      </c>
      <c r="DF744" s="17" t="n"/>
      <c r="DG744" s="16" t="n"/>
      <c r="DH744" s="20" t="inlineStr">
        <is>
          <t>SOP 45-09</t>
        </is>
      </c>
      <c r="DI744" s="20" t="inlineStr">
        <is>
          <t>None</t>
        </is>
      </c>
      <c r="DJ744" s="17" t="n"/>
      <c r="DK744" s="16" t="n"/>
      <c r="DL744" s="20" t="inlineStr">
        <is>
          <t>SOP 45-09 (SOP muss noch angepasst werden für VSS)</t>
        </is>
      </c>
      <c r="DM744" s="20" t="inlineStr">
        <is>
          <t>None</t>
        </is>
      </c>
      <c r="DN744" s="17" t="n"/>
      <c r="DO744" s="16" t="n"/>
      <c r="DP744" s="20" t="inlineStr">
        <is>
          <t>IC Organic Acids</t>
        </is>
      </c>
      <c r="DQ744" s="20" t="inlineStr">
        <is>
          <t>None</t>
        </is>
      </c>
      <c r="DR744" s="17" t="n"/>
      <c r="DS744" s="16" t="n"/>
      <c r="DT744" s="20" t="inlineStr">
        <is>
          <t>IC Organic Acids</t>
        </is>
      </c>
      <c r="DU744" s="20" t="inlineStr">
        <is>
          <t>None</t>
        </is>
      </c>
      <c r="DV744" s="17" t="n"/>
      <c r="DW744" s="16" t="n"/>
      <c r="DX744" s="20" t="inlineStr">
        <is>
          <t>IC Organic Acids</t>
        </is>
      </c>
      <c r="DY744" s="20" t="inlineStr">
        <is>
          <t>None</t>
        </is>
      </c>
      <c r="DZ744" s="17" t="n"/>
      <c r="EA744" s="16" t="n"/>
      <c r="EB744" s="20" t="inlineStr">
        <is>
          <t>IC Organic Acids</t>
        </is>
      </c>
      <c r="EC744" s="20" t="inlineStr">
        <is>
          <t>None</t>
        </is>
      </c>
      <c r="ED744" s="17" t="n"/>
      <c r="EE744" s="16" t="n"/>
      <c r="EF744" s="20" t="inlineStr">
        <is>
          <t>IC Organic Acids</t>
        </is>
      </c>
      <c r="EG744" s="20" t="inlineStr">
        <is>
          <t>None</t>
        </is>
      </c>
      <c r="EH744" s="17" t="n"/>
      <c r="EI744" s="16" t="n"/>
      <c r="EJ744" s="20" t="inlineStr">
        <is>
          <t>IC Organic Acids</t>
        </is>
      </c>
      <c r="EK744" s="20" t="inlineStr">
        <is>
          <t>None</t>
        </is>
      </c>
      <c r="EL744" s="17" t="n"/>
      <c r="EM744" s="16" t="n"/>
      <c r="EN744" s="20" t="inlineStr">
        <is>
          <t>IC Organic Acids</t>
        </is>
      </c>
      <c r="EO744" s="20" t="inlineStr">
        <is>
          <t>None</t>
        </is>
      </c>
      <c r="EP744" s="17" t="n"/>
      <c r="EQ744" s="16" t="n"/>
      <c r="ER744" s="20" t="inlineStr">
        <is>
          <t>IC Organic Acids</t>
        </is>
      </c>
      <c r="ES744" s="20" t="inlineStr">
        <is>
          <t>None</t>
        </is>
      </c>
      <c r="ET744" s="17" t="n"/>
      <c r="EU744" s="16" t="n"/>
      <c r="EV744" s="20" t="inlineStr">
        <is>
          <t>LC-MS</t>
        </is>
      </c>
      <c r="EW744" s="20" t="inlineStr">
        <is>
          <t>None</t>
        </is>
      </c>
      <c r="EX744" s="17" t="n"/>
      <c r="EY744" s="21" t="n"/>
      <c r="EZ744">
        <f>CONCATENATE(A744,B744)</f>
        <v/>
      </c>
      <c r="FA744">
        <f>CONCATENATE(SamplesX!A744,SamplesX!B744)</f>
        <v/>
      </c>
      <c r="FC744">
        <f>MATCH(EZ744,FA1:FA1008,0)</f>
        <v/>
      </c>
    </row>
    <row r="745">
      <c r="A745" s="16" t="n"/>
      <c r="B745" s="17" t="n"/>
      <c r="C745" s="10">
        <f>IF(ISNUMBER(FC745),INDIRECT("SamplesX!C"&amp;FC745),IF(ISNUMBER(FD745),INDIRECT("SamplesY!C"&amp;FD745),""))</f>
        <v/>
      </c>
      <c r="D745" s="12">
        <f>IF(ISNUMBER(FC745),INDIRECT("SamplesX!D"&amp;FC745),IF(ISNUMBER(FD745),INDIRECT("SamplesY!D"&amp;FD745),""))</f>
        <v/>
      </c>
      <c r="E745" s="12">
        <f>IF(ISNUMBER(FC745),INDIRECT("SamplesX!E"&amp;FC745),IF(ISNUMBER(FD745),INDIRECT("SamplesY!E"&amp;FD745),""))</f>
        <v/>
      </c>
      <c r="F745" s="11">
        <f>IF(ISNUMBER(FC745),INDIRECT("SamplesX!F"&amp;FC745),IF(ISNUMBER(FD745),INDIRECT("SamplesY!F"&amp;FD745),""))</f>
        <v/>
      </c>
      <c r="G745" s="18">
        <f>IF(ISNUMBER(FC745),INDIRECT("SamplesX!G"&amp;FC745),IF(ISNUMBER(FD745),INDIRECT("SamplesY!G"&amp;FD745),""))</f>
        <v/>
      </c>
      <c r="H745" s="19">
        <f>IF(ISNUMBER(FC745),INDIRECT("SamplesX!H"&amp;FC745),IF(ISNUMBER(FD745),INDIRECT("SamplesY!H"&amp;FD745),""))</f>
        <v/>
      </c>
      <c r="I745" s="16" t="n"/>
      <c r="J745" s="16" t="n"/>
      <c r="K745" s="16" t="n"/>
      <c r="L745" s="20" t="n"/>
      <c r="M745" s="20" t="inlineStr">
        <is>
          <t>None</t>
        </is>
      </c>
      <c r="N745" s="17" t="n"/>
      <c r="O745" s="16" t="n"/>
      <c r="P745" s="20" t="inlineStr">
        <is>
          <t>Shimadzu TOC-L</t>
        </is>
      </c>
      <c r="Q745" s="20" t="inlineStr">
        <is>
          <t>None</t>
        </is>
      </c>
      <c r="R745" s="17" t="n"/>
      <c r="S745" s="16" t="n"/>
      <c r="T745" s="20" t="inlineStr">
        <is>
          <t>Shimadzu TOC-L</t>
        </is>
      </c>
      <c r="U745" s="20" t="inlineStr">
        <is>
          <t>None</t>
        </is>
      </c>
      <c r="V745" s="17" t="n"/>
      <c r="W745" s="16" t="n"/>
      <c r="X745" s="20" t="n"/>
      <c r="Y745" s="20" t="inlineStr">
        <is>
          <t>None</t>
        </is>
      </c>
      <c r="Z745" s="17" t="n"/>
      <c r="AA745" s="16" t="n"/>
      <c r="AB745" s="20" t="n"/>
      <c r="AC745" s="20" t="inlineStr">
        <is>
          <t>None</t>
        </is>
      </c>
      <c r="AD745" s="17" t="n"/>
      <c r="AE745" s="16" t="n"/>
      <c r="AF745" s="20" t="inlineStr">
        <is>
          <t>IC Anionen</t>
        </is>
      </c>
      <c r="AG745" s="20" t="inlineStr">
        <is>
          <t>None</t>
        </is>
      </c>
      <c r="AH745" s="17" t="n"/>
      <c r="AI745" s="16" t="n"/>
      <c r="AJ745" s="20" t="n"/>
      <c r="AK745" s="20" t="inlineStr">
        <is>
          <t>None</t>
        </is>
      </c>
      <c r="AL745" s="17" t="n"/>
      <c r="AM745" s="16" t="n"/>
      <c r="AN745" s="20" t="inlineStr">
        <is>
          <t>IC Anionen</t>
        </is>
      </c>
      <c r="AO745" s="20" t="inlineStr">
        <is>
          <t>None</t>
        </is>
      </c>
      <c r="AP745" s="17" t="n"/>
      <c r="AQ745" s="16" t="n"/>
      <c r="AR745" s="20" t="n"/>
      <c r="AS745" s="20" t="inlineStr">
        <is>
          <t>None</t>
        </is>
      </c>
      <c r="AT745" s="17" t="n"/>
      <c r="AU745" s="16" t="n"/>
      <c r="AV745" s="20" t="n"/>
      <c r="AW745" s="20" t="inlineStr">
        <is>
          <t>None</t>
        </is>
      </c>
      <c r="AX745" s="17" t="n"/>
      <c r="AY745" s="16" t="n"/>
      <c r="AZ745" s="20" t="inlineStr">
        <is>
          <t>IC Anionen</t>
        </is>
      </c>
      <c r="BA745" s="20" t="inlineStr">
        <is>
          <t>None</t>
        </is>
      </c>
      <c r="BB745" s="17" t="n"/>
      <c r="BC745" s="16" t="n"/>
      <c r="BD745" s="20" t="inlineStr">
        <is>
          <t>IC Kationen</t>
        </is>
      </c>
      <c r="BE745" s="20" t="inlineStr">
        <is>
          <t>None</t>
        </is>
      </c>
      <c r="BF745" s="17" t="n"/>
      <c r="BG745" s="16" t="n"/>
      <c r="BH745" s="20" t="inlineStr">
        <is>
          <t>IC Kationen</t>
        </is>
      </c>
      <c r="BI745" s="20" t="inlineStr">
        <is>
          <t>None</t>
        </is>
      </c>
      <c r="BJ745" s="17" t="n"/>
      <c r="BK745" s="16" t="n"/>
      <c r="BL745" s="20" t="inlineStr">
        <is>
          <t>IC Kationen</t>
        </is>
      </c>
      <c r="BM745" s="20" t="inlineStr">
        <is>
          <t>None</t>
        </is>
      </c>
      <c r="BN745" s="17" t="n"/>
      <c r="BO745" s="16" t="n"/>
      <c r="BP745" s="20" t="inlineStr">
        <is>
          <t>IC Kationen</t>
        </is>
      </c>
      <c r="BQ745" s="20" t="inlineStr">
        <is>
          <t>None</t>
        </is>
      </c>
      <c r="BR745" s="17" t="n"/>
      <c r="BS745" s="16" t="n"/>
      <c r="BT745" s="20" t="inlineStr">
        <is>
          <t>IC Kationen</t>
        </is>
      </c>
      <c r="BU745" s="20" t="inlineStr">
        <is>
          <t>None</t>
        </is>
      </c>
      <c r="BV745" s="17" t="n"/>
      <c r="BW745" s="16" t="n"/>
      <c r="BX745" s="20" t="n"/>
      <c r="BY745" s="20" t="inlineStr">
        <is>
          <t>None</t>
        </is>
      </c>
      <c r="BZ745" s="17" t="n"/>
      <c r="CA745" s="16" t="n"/>
      <c r="CB745" s="20" t="n"/>
      <c r="CC745" s="20" t="inlineStr">
        <is>
          <t>None</t>
        </is>
      </c>
      <c r="CD745" s="17" t="n"/>
      <c r="CE745" s="16" t="n"/>
      <c r="CF745" s="20" t="n"/>
      <c r="CG745" s="20" t="inlineStr">
        <is>
          <t>None</t>
        </is>
      </c>
      <c r="CH745" s="17" t="n"/>
      <c r="CI745" s="16" t="n"/>
      <c r="CJ745" s="20" t="n"/>
      <c r="CK745" s="20" t="inlineStr">
        <is>
          <t>None</t>
        </is>
      </c>
      <c r="CL745" s="17" t="n"/>
      <c r="CM745" s="16" t="n"/>
      <c r="CN745" s="20" t="inlineStr">
        <is>
          <t>SOP 45-34</t>
        </is>
      </c>
      <c r="CO745" s="20" t="inlineStr">
        <is>
          <t>None</t>
        </is>
      </c>
      <c r="CP745" s="17" t="n"/>
      <c r="CQ745" s="16" t="n"/>
      <c r="CR745" s="20" t="n"/>
      <c r="CS745" s="20" t="inlineStr">
        <is>
          <t>None</t>
        </is>
      </c>
      <c r="CT745" s="17" t="n"/>
      <c r="CU745" s="16" t="n"/>
      <c r="CV745" s="20" t="n"/>
      <c r="CW745" s="20" t="inlineStr">
        <is>
          <t>None</t>
        </is>
      </c>
      <c r="CX745" s="17" t="n"/>
      <c r="CY745" s="16" t="n"/>
      <c r="CZ745" s="20" t="inlineStr">
        <is>
          <t>WTW Multimeter 3430 with FDO 925</t>
        </is>
      </c>
      <c r="DA745" s="20" t="inlineStr">
        <is>
          <t>None</t>
        </is>
      </c>
      <c r="DB745" s="17" t="n"/>
      <c r="DC745" s="16" t="n"/>
      <c r="DD745" s="20" t="n"/>
      <c r="DE745" s="20" t="inlineStr">
        <is>
          <t>None</t>
        </is>
      </c>
      <c r="DF745" s="17" t="n"/>
      <c r="DG745" s="16" t="n"/>
      <c r="DH745" s="20" t="inlineStr">
        <is>
          <t>SOP 45-09</t>
        </is>
      </c>
      <c r="DI745" s="20" t="inlineStr">
        <is>
          <t>None</t>
        </is>
      </c>
      <c r="DJ745" s="17" t="n"/>
      <c r="DK745" s="16" t="n"/>
      <c r="DL745" s="20" t="inlineStr">
        <is>
          <t>SOP 45-09 (SOP muss noch angepasst werden für VSS)</t>
        </is>
      </c>
      <c r="DM745" s="20" t="inlineStr">
        <is>
          <t>None</t>
        </is>
      </c>
      <c r="DN745" s="17" t="n"/>
      <c r="DO745" s="16" t="n"/>
      <c r="DP745" s="20" t="inlineStr">
        <is>
          <t>IC Organic Acids</t>
        </is>
      </c>
      <c r="DQ745" s="20" t="inlineStr">
        <is>
          <t>None</t>
        </is>
      </c>
      <c r="DR745" s="17" t="n"/>
      <c r="DS745" s="16" t="n"/>
      <c r="DT745" s="20" t="inlineStr">
        <is>
          <t>IC Organic Acids</t>
        </is>
      </c>
      <c r="DU745" s="20" t="inlineStr">
        <is>
          <t>None</t>
        </is>
      </c>
      <c r="DV745" s="17" t="n"/>
      <c r="DW745" s="16" t="n"/>
      <c r="DX745" s="20" t="inlineStr">
        <is>
          <t>IC Organic Acids</t>
        </is>
      </c>
      <c r="DY745" s="20" t="inlineStr">
        <is>
          <t>None</t>
        </is>
      </c>
      <c r="DZ745" s="17" t="n"/>
      <c r="EA745" s="16" t="n"/>
      <c r="EB745" s="20" t="inlineStr">
        <is>
          <t>IC Organic Acids</t>
        </is>
      </c>
      <c r="EC745" s="20" t="inlineStr">
        <is>
          <t>None</t>
        </is>
      </c>
      <c r="ED745" s="17" t="n"/>
      <c r="EE745" s="16" t="n"/>
      <c r="EF745" s="20" t="inlineStr">
        <is>
          <t>IC Organic Acids</t>
        </is>
      </c>
      <c r="EG745" s="20" t="inlineStr">
        <is>
          <t>None</t>
        </is>
      </c>
      <c r="EH745" s="17" t="n"/>
      <c r="EI745" s="16" t="n"/>
      <c r="EJ745" s="20" t="inlineStr">
        <is>
          <t>IC Organic Acids</t>
        </is>
      </c>
      <c r="EK745" s="20" t="inlineStr">
        <is>
          <t>None</t>
        </is>
      </c>
      <c r="EL745" s="17" t="n"/>
      <c r="EM745" s="16" t="n"/>
      <c r="EN745" s="20" t="inlineStr">
        <is>
          <t>IC Organic Acids</t>
        </is>
      </c>
      <c r="EO745" s="20" t="inlineStr">
        <is>
          <t>None</t>
        </is>
      </c>
      <c r="EP745" s="17" t="n"/>
      <c r="EQ745" s="16" t="n"/>
      <c r="ER745" s="20" t="inlineStr">
        <is>
          <t>IC Organic Acids</t>
        </is>
      </c>
      <c r="ES745" s="20" t="inlineStr">
        <is>
          <t>None</t>
        </is>
      </c>
      <c r="ET745" s="17" t="n"/>
      <c r="EU745" s="16" t="n"/>
      <c r="EV745" s="20" t="inlineStr">
        <is>
          <t>LC-MS</t>
        </is>
      </c>
      <c r="EW745" s="20" t="inlineStr">
        <is>
          <t>None</t>
        </is>
      </c>
      <c r="EX745" s="17" t="n"/>
      <c r="EY745" s="21" t="n"/>
      <c r="EZ745">
        <f>CONCATENATE(A745,B745)</f>
        <v/>
      </c>
      <c r="FA745">
        <f>CONCATENATE(SamplesX!A745,SamplesX!B745)</f>
        <v/>
      </c>
      <c r="FC745">
        <f>MATCH(EZ745,FA1:FA1008,0)</f>
        <v/>
      </c>
    </row>
    <row r="746">
      <c r="A746" s="16" t="n"/>
      <c r="B746" s="17" t="n"/>
      <c r="C746" s="10">
        <f>IF(ISNUMBER(FC746),INDIRECT("SamplesX!C"&amp;FC746),IF(ISNUMBER(FD746),INDIRECT("SamplesY!C"&amp;FD746),""))</f>
        <v/>
      </c>
      <c r="D746" s="12">
        <f>IF(ISNUMBER(FC746),INDIRECT("SamplesX!D"&amp;FC746),IF(ISNUMBER(FD746),INDIRECT("SamplesY!D"&amp;FD746),""))</f>
        <v/>
      </c>
      <c r="E746" s="12">
        <f>IF(ISNUMBER(FC746),INDIRECT("SamplesX!E"&amp;FC746),IF(ISNUMBER(FD746),INDIRECT("SamplesY!E"&amp;FD746),""))</f>
        <v/>
      </c>
      <c r="F746" s="11">
        <f>IF(ISNUMBER(FC746),INDIRECT("SamplesX!F"&amp;FC746),IF(ISNUMBER(FD746),INDIRECT("SamplesY!F"&amp;FD746),""))</f>
        <v/>
      </c>
      <c r="G746" s="18">
        <f>IF(ISNUMBER(FC746),INDIRECT("SamplesX!G"&amp;FC746),IF(ISNUMBER(FD746),INDIRECT("SamplesY!G"&amp;FD746),""))</f>
        <v/>
      </c>
      <c r="H746" s="19">
        <f>IF(ISNUMBER(FC746),INDIRECT("SamplesX!H"&amp;FC746),IF(ISNUMBER(FD746),INDIRECT("SamplesY!H"&amp;FD746),""))</f>
        <v/>
      </c>
      <c r="I746" s="16" t="n"/>
      <c r="J746" s="16" t="n"/>
      <c r="K746" s="16" t="n"/>
      <c r="L746" s="20" t="n"/>
      <c r="M746" s="20" t="inlineStr">
        <is>
          <t>None</t>
        </is>
      </c>
      <c r="N746" s="17" t="n"/>
      <c r="O746" s="16" t="n"/>
      <c r="P746" s="20" t="inlineStr">
        <is>
          <t>Shimadzu TOC-L</t>
        </is>
      </c>
      <c r="Q746" s="20" t="inlineStr">
        <is>
          <t>None</t>
        </is>
      </c>
      <c r="R746" s="17" t="n"/>
      <c r="S746" s="16" t="n"/>
      <c r="T746" s="20" t="inlineStr">
        <is>
          <t>Shimadzu TOC-L</t>
        </is>
      </c>
      <c r="U746" s="20" t="inlineStr">
        <is>
          <t>None</t>
        </is>
      </c>
      <c r="V746" s="17" t="n"/>
      <c r="W746" s="16" t="n"/>
      <c r="X746" s="20" t="n"/>
      <c r="Y746" s="20" t="inlineStr">
        <is>
          <t>None</t>
        </is>
      </c>
      <c r="Z746" s="17" t="n"/>
      <c r="AA746" s="16" t="n"/>
      <c r="AB746" s="20" t="n"/>
      <c r="AC746" s="20" t="inlineStr">
        <is>
          <t>None</t>
        </is>
      </c>
      <c r="AD746" s="17" t="n"/>
      <c r="AE746" s="16" t="n"/>
      <c r="AF746" s="20" t="inlineStr">
        <is>
          <t>IC Anionen</t>
        </is>
      </c>
      <c r="AG746" s="20" t="inlineStr">
        <is>
          <t>None</t>
        </is>
      </c>
      <c r="AH746" s="17" t="n"/>
      <c r="AI746" s="16" t="n"/>
      <c r="AJ746" s="20" t="n"/>
      <c r="AK746" s="20" t="inlineStr">
        <is>
          <t>None</t>
        </is>
      </c>
      <c r="AL746" s="17" t="n"/>
      <c r="AM746" s="16" t="n"/>
      <c r="AN746" s="20" t="inlineStr">
        <is>
          <t>IC Anionen</t>
        </is>
      </c>
      <c r="AO746" s="20" t="inlineStr">
        <is>
          <t>None</t>
        </is>
      </c>
      <c r="AP746" s="17" t="n"/>
      <c r="AQ746" s="16" t="n"/>
      <c r="AR746" s="20" t="n"/>
      <c r="AS746" s="20" t="inlineStr">
        <is>
          <t>None</t>
        </is>
      </c>
      <c r="AT746" s="17" t="n"/>
      <c r="AU746" s="16" t="n"/>
      <c r="AV746" s="20" t="n"/>
      <c r="AW746" s="20" t="inlineStr">
        <is>
          <t>None</t>
        </is>
      </c>
      <c r="AX746" s="17" t="n"/>
      <c r="AY746" s="16" t="n"/>
      <c r="AZ746" s="20" t="inlineStr">
        <is>
          <t>IC Anionen</t>
        </is>
      </c>
      <c r="BA746" s="20" t="inlineStr">
        <is>
          <t>None</t>
        </is>
      </c>
      <c r="BB746" s="17" t="n"/>
      <c r="BC746" s="16" t="n"/>
      <c r="BD746" s="20" t="inlineStr">
        <is>
          <t>IC Kationen</t>
        </is>
      </c>
      <c r="BE746" s="20" t="inlineStr">
        <is>
          <t>None</t>
        </is>
      </c>
      <c r="BF746" s="17" t="n"/>
      <c r="BG746" s="16" t="n"/>
      <c r="BH746" s="20" t="inlineStr">
        <is>
          <t>IC Kationen</t>
        </is>
      </c>
      <c r="BI746" s="20" t="inlineStr">
        <is>
          <t>None</t>
        </is>
      </c>
      <c r="BJ746" s="17" t="n"/>
      <c r="BK746" s="16" t="n"/>
      <c r="BL746" s="20" t="inlineStr">
        <is>
          <t>IC Kationen</t>
        </is>
      </c>
      <c r="BM746" s="20" t="inlineStr">
        <is>
          <t>None</t>
        </is>
      </c>
      <c r="BN746" s="17" t="n"/>
      <c r="BO746" s="16" t="n"/>
      <c r="BP746" s="20" t="inlineStr">
        <is>
          <t>IC Kationen</t>
        </is>
      </c>
      <c r="BQ746" s="20" t="inlineStr">
        <is>
          <t>None</t>
        </is>
      </c>
      <c r="BR746" s="17" t="n"/>
      <c r="BS746" s="16" t="n"/>
      <c r="BT746" s="20" t="inlineStr">
        <is>
          <t>IC Kationen</t>
        </is>
      </c>
      <c r="BU746" s="20" t="inlineStr">
        <is>
          <t>None</t>
        </is>
      </c>
      <c r="BV746" s="17" t="n"/>
      <c r="BW746" s="16" t="n"/>
      <c r="BX746" s="20" t="n"/>
      <c r="BY746" s="20" t="inlineStr">
        <is>
          <t>None</t>
        </is>
      </c>
      <c r="BZ746" s="17" t="n"/>
      <c r="CA746" s="16" t="n"/>
      <c r="CB746" s="20" t="n"/>
      <c r="CC746" s="20" t="inlineStr">
        <is>
          <t>None</t>
        </is>
      </c>
      <c r="CD746" s="17" t="n"/>
      <c r="CE746" s="16" t="n"/>
      <c r="CF746" s="20" t="n"/>
      <c r="CG746" s="20" t="inlineStr">
        <is>
          <t>None</t>
        </is>
      </c>
      <c r="CH746" s="17" t="n"/>
      <c r="CI746" s="16" t="n"/>
      <c r="CJ746" s="20" t="n"/>
      <c r="CK746" s="20" t="inlineStr">
        <is>
          <t>None</t>
        </is>
      </c>
      <c r="CL746" s="17" t="n"/>
      <c r="CM746" s="16" t="n"/>
      <c r="CN746" s="20" t="inlineStr">
        <is>
          <t>SOP 45-34</t>
        </is>
      </c>
      <c r="CO746" s="20" t="inlineStr">
        <is>
          <t>None</t>
        </is>
      </c>
      <c r="CP746" s="17" t="n"/>
      <c r="CQ746" s="16" t="n"/>
      <c r="CR746" s="20" t="n"/>
      <c r="CS746" s="20" t="inlineStr">
        <is>
          <t>None</t>
        </is>
      </c>
      <c r="CT746" s="17" t="n"/>
      <c r="CU746" s="16" t="n"/>
      <c r="CV746" s="20" t="n"/>
      <c r="CW746" s="20" t="inlineStr">
        <is>
          <t>None</t>
        </is>
      </c>
      <c r="CX746" s="17" t="n"/>
      <c r="CY746" s="16" t="n"/>
      <c r="CZ746" s="20" t="inlineStr">
        <is>
          <t>WTW Multimeter 3430 with FDO 925</t>
        </is>
      </c>
      <c r="DA746" s="20" t="inlineStr">
        <is>
          <t>None</t>
        </is>
      </c>
      <c r="DB746" s="17" t="n"/>
      <c r="DC746" s="16" t="n"/>
      <c r="DD746" s="20" t="n"/>
      <c r="DE746" s="20" t="inlineStr">
        <is>
          <t>None</t>
        </is>
      </c>
      <c r="DF746" s="17" t="n"/>
      <c r="DG746" s="16" t="n"/>
      <c r="DH746" s="20" t="inlineStr">
        <is>
          <t>SOP 45-09</t>
        </is>
      </c>
      <c r="DI746" s="20" t="inlineStr">
        <is>
          <t>None</t>
        </is>
      </c>
      <c r="DJ746" s="17" t="n"/>
      <c r="DK746" s="16" t="n"/>
      <c r="DL746" s="20" t="inlineStr">
        <is>
          <t>SOP 45-09 (SOP muss noch angepasst werden für VSS)</t>
        </is>
      </c>
      <c r="DM746" s="20" t="inlineStr">
        <is>
          <t>None</t>
        </is>
      </c>
      <c r="DN746" s="17" t="n"/>
      <c r="DO746" s="16" t="n"/>
      <c r="DP746" s="20" t="inlineStr">
        <is>
          <t>IC Organic Acids</t>
        </is>
      </c>
      <c r="DQ746" s="20" t="inlineStr">
        <is>
          <t>None</t>
        </is>
      </c>
      <c r="DR746" s="17" t="n"/>
      <c r="DS746" s="16" t="n"/>
      <c r="DT746" s="20" t="inlineStr">
        <is>
          <t>IC Organic Acids</t>
        </is>
      </c>
      <c r="DU746" s="20" t="inlineStr">
        <is>
          <t>None</t>
        </is>
      </c>
      <c r="DV746" s="17" t="n"/>
      <c r="DW746" s="16" t="n"/>
      <c r="DX746" s="20" t="inlineStr">
        <is>
          <t>IC Organic Acids</t>
        </is>
      </c>
      <c r="DY746" s="20" t="inlineStr">
        <is>
          <t>None</t>
        </is>
      </c>
      <c r="DZ746" s="17" t="n"/>
      <c r="EA746" s="16" t="n"/>
      <c r="EB746" s="20" t="inlineStr">
        <is>
          <t>IC Organic Acids</t>
        </is>
      </c>
      <c r="EC746" s="20" t="inlineStr">
        <is>
          <t>None</t>
        </is>
      </c>
      <c r="ED746" s="17" t="n"/>
      <c r="EE746" s="16" t="n"/>
      <c r="EF746" s="20" t="inlineStr">
        <is>
          <t>IC Organic Acids</t>
        </is>
      </c>
      <c r="EG746" s="20" t="inlineStr">
        <is>
          <t>None</t>
        </is>
      </c>
      <c r="EH746" s="17" t="n"/>
      <c r="EI746" s="16" t="n"/>
      <c r="EJ746" s="20" t="inlineStr">
        <is>
          <t>IC Organic Acids</t>
        </is>
      </c>
      <c r="EK746" s="20" t="inlineStr">
        <is>
          <t>None</t>
        </is>
      </c>
      <c r="EL746" s="17" t="n"/>
      <c r="EM746" s="16" t="n"/>
      <c r="EN746" s="20" t="inlineStr">
        <is>
          <t>IC Organic Acids</t>
        </is>
      </c>
      <c r="EO746" s="20" t="inlineStr">
        <is>
          <t>None</t>
        </is>
      </c>
      <c r="EP746" s="17" t="n"/>
      <c r="EQ746" s="16" t="n"/>
      <c r="ER746" s="20" t="inlineStr">
        <is>
          <t>IC Organic Acids</t>
        </is>
      </c>
      <c r="ES746" s="20" t="inlineStr">
        <is>
          <t>None</t>
        </is>
      </c>
      <c r="ET746" s="17" t="n"/>
      <c r="EU746" s="16" t="n"/>
      <c r="EV746" s="20" t="inlineStr">
        <is>
          <t>LC-MS</t>
        </is>
      </c>
      <c r="EW746" s="20" t="inlineStr">
        <is>
          <t>None</t>
        </is>
      </c>
      <c r="EX746" s="17" t="n"/>
      <c r="EY746" s="21" t="n"/>
      <c r="EZ746">
        <f>CONCATENATE(A746,B746)</f>
        <v/>
      </c>
      <c r="FA746">
        <f>CONCATENATE(SamplesX!A746,SamplesX!B746)</f>
        <v/>
      </c>
      <c r="FC746">
        <f>MATCH(EZ746,FA1:FA1008,0)</f>
        <v/>
      </c>
    </row>
    <row r="747">
      <c r="A747" s="16" t="n"/>
      <c r="B747" s="17" t="n"/>
      <c r="C747" s="10">
        <f>IF(ISNUMBER(FC747),INDIRECT("SamplesX!C"&amp;FC747),IF(ISNUMBER(FD747),INDIRECT("SamplesY!C"&amp;FD747),""))</f>
        <v/>
      </c>
      <c r="D747" s="12">
        <f>IF(ISNUMBER(FC747),INDIRECT("SamplesX!D"&amp;FC747),IF(ISNUMBER(FD747),INDIRECT("SamplesY!D"&amp;FD747),""))</f>
        <v/>
      </c>
      <c r="E747" s="12">
        <f>IF(ISNUMBER(FC747),INDIRECT("SamplesX!E"&amp;FC747),IF(ISNUMBER(FD747),INDIRECT("SamplesY!E"&amp;FD747),""))</f>
        <v/>
      </c>
      <c r="F747" s="11">
        <f>IF(ISNUMBER(FC747),INDIRECT("SamplesX!F"&amp;FC747),IF(ISNUMBER(FD747),INDIRECT("SamplesY!F"&amp;FD747),""))</f>
        <v/>
      </c>
      <c r="G747" s="18">
        <f>IF(ISNUMBER(FC747),INDIRECT("SamplesX!G"&amp;FC747),IF(ISNUMBER(FD747),INDIRECT("SamplesY!G"&amp;FD747),""))</f>
        <v/>
      </c>
      <c r="H747" s="19">
        <f>IF(ISNUMBER(FC747),INDIRECT("SamplesX!H"&amp;FC747),IF(ISNUMBER(FD747),INDIRECT("SamplesY!H"&amp;FD747),""))</f>
        <v/>
      </c>
      <c r="I747" s="16" t="n"/>
      <c r="J747" s="16" t="n"/>
      <c r="K747" s="16" t="n"/>
      <c r="L747" s="20" t="n"/>
      <c r="M747" s="20" t="inlineStr">
        <is>
          <t>None</t>
        </is>
      </c>
      <c r="N747" s="17" t="n"/>
      <c r="O747" s="16" t="n"/>
      <c r="P747" s="20" t="inlineStr">
        <is>
          <t>Shimadzu TOC-L</t>
        </is>
      </c>
      <c r="Q747" s="20" t="inlineStr">
        <is>
          <t>None</t>
        </is>
      </c>
      <c r="R747" s="17" t="n"/>
      <c r="S747" s="16" t="n"/>
      <c r="T747" s="20" t="inlineStr">
        <is>
          <t>Shimadzu TOC-L</t>
        </is>
      </c>
      <c r="U747" s="20" t="inlineStr">
        <is>
          <t>None</t>
        </is>
      </c>
      <c r="V747" s="17" t="n"/>
      <c r="W747" s="16" t="n"/>
      <c r="X747" s="20" t="n"/>
      <c r="Y747" s="20" t="inlineStr">
        <is>
          <t>None</t>
        </is>
      </c>
      <c r="Z747" s="17" t="n"/>
      <c r="AA747" s="16" t="n"/>
      <c r="AB747" s="20" t="n"/>
      <c r="AC747" s="20" t="inlineStr">
        <is>
          <t>None</t>
        </is>
      </c>
      <c r="AD747" s="17" t="n"/>
      <c r="AE747" s="16" t="n"/>
      <c r="AF747" s="20" t="inlineStr">
        <is>
          <t>IC Anionen</t>
        </is>
      </c>
      <c r="AG747" s="20" t="inlineStr">
        <is>
          <t>None</t>
        </is>
      </c>
      <c r="AH747" s="17" t="n"/>
      <c r="AI747" s="16" t="n"/>
      <c r="AJ747" s="20" t="n"/>
      <c r="AK747" s="20" t="inlineStr">
        <is>
          <t>None</t>
        </is>
      </c>
      <c r="AL747" s="17" t="n"/>
      <c r="AM747" s="16" t="n"/>
      <c r="AN747" s="20" t="inlineStr">
        <is>
          <t>IC Anionen</t>
        </is>
      </c>
      <c r="AO747" s="20" t="inlineStr">
        <is>
          <t>None</t>
        </is>
      </c>
      <c r="AP747" s="17" t="n"/>
      <c r="AQ747" s="16" t="n"/>
      <c r="AR747" s="20" t="n"/>
      <c r="AS747" s="20" t="inlineStr">
        <is>
          <t>None</t>
        </is>
      </c>
      <c r="AT747" s="17" t="n"/>
      <c r="AU747" s="16" t="n"/>
      <c r="AV747" s="20" t="n"/>
      <c r="AW747" s="20" t="inlineStr">
        <is>
          <t>None</t>
        </is>
      </c>
      <c r="AX747" s="17" t="n"/>
      <c r="AY747" s="16" t="n"/>
      <c r="AZ747" s="20" t="inlineStr">
        <is>
          <t>IC Anionen</t>
        </is>
      </c>
      <c r="BA747" s="20" t="inlineStr">
        <is>
          <t>None</t>
        </is>
      </c>
      <c r="BB747" s="17" t="n"/>
      <c r="BC747" s="16" t="n"/>
      <c r="BD747" s="20" t="inlineStr">
        <is>
          <t>IC Kationen</t>
        </is>
      </c>
      <c r="BE747" s="20" t="inlineStr">
        <is>
          <t>None</t>
        </is>
      </c>
      <c r="BF747" s="17" t="n"/>
      <c r="BG747" s="16" t="n"/>
      <c r="BH747" s="20" t="inlineStr">
        <is>
          <t>IC Kationen</t>
        </is>
      </c>
      <c r="BI747" s="20" t="inlineStr">
        <is>
          <t>None</t>
        </is>
      </c>
      <c r="BJ747" s="17" t="n"/>
      <c r="BK747" s="16" t="n"/>
      <c r="BL747" s="20" t="inlineStr">
        <is>
          <t>IC Kationen</t>
        </is>
      </c>
      <c r="BM747" s="20" t="inlineStr">
        <is>
          <t>None</t>
        </is>
      </c>
      <c r="BN747" s="17" t="n"/>
      <c r="BO747" s="16" t="n"/>
      <c r="BP747" s="20" t="inlineStr">
        <is>
          <t>IC Kationen</t>
        </is>
      </c>
      <c r="BQ747" s="20" t="inlineStr">
        <is>
          <t>None</t>
        </is>
      </c>
      <c r="BR747" s="17" t="n"/>
      <c r="BS747" s="16" t="n"/>
      <c r="BT747" s="20" t="inlineStr">
        <is>
          <t>IC Kationen</t>
        </is>
      </c>
      <c r="BU747" s="20" t="inlineStr">
        <is>
          <t>None</t>
        </is>
      </c>
      <c r="BV747" s="17" t="n"/>
      <c r="BW747" s="16" t="n"/>
      <c r="BX747" s="20" t="n"/>
      <c r="BY747" s="20" t="inlineStr">
        <is>
          <t>None</t>
        </is>
      </c>
      <c r="BZ747" s="17" t="n"/>
      <c r="CA747" s="16" t="n"/>
      <c r="CB747" s="20" t="n"/>
      <c r="CC747" s="20" t="inlineStr">
        <is>
          <t>None</t>
        </is>
      </c>
      <c r="CD747" s="17" t="n"/>
      <c r="CE747" s="16" t="n"/>
      <c r="CF747" s="20" t="n"/>
      <c r="CG747" s="20" t="inlineStr">
        <is>
          <t>None</t>
        </is>
      </c>
      <c r="CH747" s="17" t="n"/>
      <c r="CI747" s="16" t="n"/>
      <c r="CJ747" s="20" t="n"/>
      <c r="CK747" s="20" t="inlineStr">
        <is>
          <t>None</t>
        </is>
      </c>
      <c r="CL747" s="17" t="n"/>
      <c r="CM747" s="16" t="n"/>
      <c r="CN747" s="20" t="inlineStr">
        <is>
          <t>SOP 45-34</t>
        </is>
      </c>
      <c r="CO747" s="20" t="inlineStr">
        <is>
          <t>None</t>
        </is>
      </c>
      <c r="CP747" s="17" t="n"/>
      <c r="CQ747" s="16" t="n"/>
      <c r="CR747" s="20" t="n"/>
      <c r="CS747" s="20" t="inlineStr">
        <is>
          <t>None</t>
        </is>
      </c>
      <c r="CT747" s="17" t="n"/>
      <c r="CU747" s="16" t="n"/>
      <c r="CV747" s="20" t="n"/>
      <c r="CW747" s="20" t="inlineStr">
        <is>
          <t>None</t>
        </is>
      </c>
      <c r="CX747" s="17" t="n"/>
      <c r="CY747" s="16" t="n"/>
      <c r="CZ747" s="20" t="inlineStr">
        <is>
          <t>WTW Multimeter 3430 with FDO 925</t>
        </is>
      </c>
      <c r="DA747" s="20" t="inlineStr">
        <is>
          <t>None</t>
        </is>
      </c>
      <c r="DB747" s="17" t="n"/>
      <c r="DC747" s="16" t="n"/>
      <c r="DD747" s="20" t="n"/>
      <c r="DE747" s="20" t="inlineStr">
        <is>
          <t>None</t>
        </is>
      </c>
      <c r="DF747" s="17" t="n"/>
      <c r="DG747" s="16" t="n"/>
      <c r="DH747" s="20" t="inlineStr">
        <is>
          <t>SOP 45-09</t>
        </is>
      </c>
      <c r="DI747" s="20" t="inlineStr">
        <is>
          <t>None</t>
        </is>
      </c>
      <c r="DJ747" s="17" t="n"/>
      <c r="DK747" s="16" t="n"/>
      <c r="DL747" s="20" t="inlineStr">
        <is>
          <t>SOP 45-09 (SOP muss noch angepasst werden für VSS)</t>
        </is>
      </c>
      <c r="DM747" s="20" t="inlineStr">
        <is>
          <t>None</t>
        </is>
      </c>
      <c r="DN747" s="17" t="n"/>
      <c r="DO747" s="16" t="n"/>
      <c r="DP747" s="20" t="inlineStr">
        <is>
          <t>IC Organic Acids</t>
        </is>
      </c>
      <c r="DQ747" s="20" t="inlineStr">
        <is>
          <t>None</t>
        </is>
      </c>
      <c r="DR747" s="17" t="n"/>
      <c r="DS747" s="16" t="n"/>
      <c r="DT747" s="20" t="inlineStr">
        <is>
          <t>IC Organic Acids</t>
        </is>
      </c>
      <c r="DU747" s="20" t="inlineStr">
        <is>
          <t>None</t>
        </is>
      </c>
      <c r="DV747" s="17" t="n"/>
      <c r="DW747" s="16" t="n"/>
      <c r="DX747" s="20" t="inlineStr">
        <is>
          <t>IC Organic Acids</t>
        </is>
      </c>
      <c r="DY747" s="20" t="inlineStr">
        <is>
          <t>None</t>
        </is>
      </c>
      <c r="DZ747" s="17" t="n"/>
      <c r="EA747" s="16" t="n"/>
      <c r="EB747" s="20" t="inlineStr">
        <is>
          <t>IC Organic Acids</t>
        </is>
      </c>
      <c r="EC747" s="20" t="inlineStr">
        <is>
          <t>None</t>
        </is>
      </c>
      <c r="ED747" s="17" t="n"/>
      <c r="EE747" s="16" t="n"/>
      <c r="EF747" s="20" t="inlineStr">
        <is>
          <t>IC Organic Acids</t>
        </is>
      </c>
      <c r="EG747" s="20" t="inlineStr">
        <is>
          <t>None</t>
        </is>
      </c>
      <c r="EH747" s="17" t="n"/>
      <c r="EI747" s="16" t="n"/>
      <c r="EJ747" s="20" t="inlineStr">
        <is>
          <t>IC Organic Acids</t>
        </is>
      </c>
      <c r="EK747" s="20" t="inlineStr">
        <is>
          <t>None</t>
        </is>
      </c>
      <c r="EL747" s="17" t="n"/>
      <c r="EM747" s="16" t="n"/>
      <c r="EN747" s="20" t="inlineStr">
        <is>
          <t>IC Organic Acids</t>
        </is>
      </c>
      <c r="EO747" s="20" t="inlineStr">
        <is>
          <t>None</t>
        </is>
      </c>
      <c r="EP747" s="17" t="n"/>
      <c r="EQ747" s="16" t="n"/>
      <c r="ER747" s="20" t="inlineStr">
        <is>
          <t>IC Organic Acids</t>
        </is>
      </c>
      <c r="ES747" s="20" t="inlineStr">
        <is>
          <t>None</t>
        </is>
      </c>
      <c r="ET747" s="17" t="n"/>
      <c r="EU747" s="16" t="n"/>
      <c r="EV747" s="20" t="inlineStr">
        <is>
          <t>LC-MS</t>
        </is>
      </c>
      <c r="EW747" s="20" t="inlineStr">
        <is>
          <t>None</t>
        </is>
      </c>
      <c r="EX747" s="17" t="n"/>
      <c r="EY747" s="21" t="n"/>
      <c r="EZ747">
        <f>CONCATENATE(A747,B747)</f>
        <v/>
      </c>
      <c r="FA747">
        <f>CONCATENATE(SamplesX!A747,SamplesX!B747)</f>
        <v/>
      </c>
      <c r="FC747">
        <f>MATCH(EZ747,FA1:FA1008,0)</f>
        <v/>
      </c>
    </row>
    <row r="748">
      <c r="A748" s="16" t="n"/>
      <c r="B748" s="17" t="n"/>
      <c r="C748" s="10">
        <f>IF(ISNUMBER(FC748),INDIRECT("SamplesX!C"&amp;FC748),IF(ISNUMBER(FD748),INDIRECT("SamplesY!C"&amp;FD748),""))</f>
        <v/>
      </c>
      <c r="D748" s="12">
        <f>IF(ISNUMBER(FC748),INDIRECT("SamplesX!D"&amp;FC748),IF(ISNUMBER(FD748),INDIRECT("SamplesY!D"&amp;FD748),""))</f>
        <v/>
      </c>
      <c r="E748" s="12">
        <f>IF(ISNUMBER(FC748),INDIRECT("SamplesX!E"&amp;FC748),IF(ISNUMBER(FD748),INDIRECT("SamplesY!E"&amp;FD748),""))</f>
        <v/>
      </c>
      <c r="F748" s="11">
        <f>IF(ISNUMBER(FC748),INDIRECT("SamplesX!F"&amp;FC748),IF(ISNUMBER(FD748),INDIRECT("SamplesY!F"&amp;FD748),""))</f>
        <v/>
      </c>
      <c r="G748" s="18">
        <f>IF(ISNUMBER(FC748),INDIRECT("SamplesX!G"&amp;FC748),IF(ISNUMBER(FD748),INDIRECT("SamplesY!G"&amp;FD748),""))</f>
        <v/>
      </c>
      <c r="H748" s="19">
        <f>IF(ISNUMBER(FC748),INDIRECT("SamplesX!H"&amp;FC748),IF(ISNUMBER(FD748),INDIRECT("SamplesY!H"&amp;FD748),""))</f>
        <v/>
      </c>
      <c r="I748" s="16" t="n"/>
      <c r="J748" s="16" t="n"/>
      <c r="K748" s="16" t="n"/>
      <c r="L748" s="20" t="n"/>
      <c r="M748" s="20" t="inlineStr">
        <is>
          <t>None</t>
        </is>
      </c>
      <c r="N748" s="17" t="n"/>
      <c r="O748" s="16" t="n"/>
      <c r="P748" s="20" t="inlineStr">
        <is>
          <t>Shimadzu TOC-L</t>
        </is>
      </c>
      <c r="Q748" s="20" t="inlineStr">
        <is>
          <t>None</t>
        </is>
      </c>
      <c r="R748" s="17" t="n"/>
      <c r="S748" s="16" t="n"/>
      <c r="T748" s="20" t="inlineStr">
        <is>
          <t>Shimadzu TOC-L</t>
        </is>
      </c>
      <c r="U748" s="20" t="inlineStr">
        <is>
          <t>None</t>
        </is>
      </c>
      <c r="V748" s="17" t="n"/>
      <c r="W748" s="16" t="n"/>
      <c r="X748" s="20" t="n"/>
      <c r="Y748" s="20" t="inlineStr">
        <is>
          <t>None</t>
        </is>
      </c>
      <c r="Z748" s="17" t="n"/>
      <c r="AA748" s="16" t="n"/>
      <c r="AB748" s="20" t="n"/>
      <c r="AC748" s="20" t="inlineStr">
        <is>
          <t>None</t>
        </is>
      </c>
      <c r="AD748" s="17" t="n"/>
      <c r="AE748" s="16" t="n"/>
      <c r="AF748" s="20" t="inlineStr">
        <is>
          <t>IC Anionen</t>
        </is>
      </c>
      <c r="AG748" s="20" t="inlineStr">
        <is>
          <t>None</t>
        </is>
      </c>
      <c r="AH748" s="17" t="n"/>
      <c r="AI748" s="16" t="n"/>
      <c r="AJ748" s="20" t="n"/>
      <c r="AK748" s="20" t="inlineStr">
        <is>
          <t>None</t>
        </is>
      </c>
      <c r="AL748" s="17" t="n"/>
      <c r="AM748" s="16" t="n"/>
      <c r="AN748" s="20" t="inlineStr">
        <is>
          <t>IC Anionen</t>
        </is>
      </c>
      <c r="AO748" s="20" t="inlineStr">
        <is>
          <t>None</t>
        </is>
      </c>
      <c r="AP748" s="17" t="n"/>
      <c r="AQ748" s="16" t="n"/>
      <c r="AR748" s="20" t="n"/>
      <c r="AS748" s="20" t="inlineStr">
        <is>
          <t>None</t>
        </is>
      </c>
      <c r="AT748" s="17" t="n"/>
      <c r="AU748" s="16" t="n"/>
      <c r="AV748" s="20" t="n"/>
      <c r="AW748" s="20" t="inlineStr">
        <is>
          <t>None</t>
        </is>
      </c>
      <c r="AX748" s="17" t="n"/>
      <c r="AY748" s="16" t="n"/>
      <c r="AZ748" s="20" t="inlineStr">
        <is>
          <t>IC Anionen</t>
        </is>
      </c>
      <c r="BA748" s="20" t="inlineStr">
        <is>
          <t>None</t>
        </is>
      </c>
      <c r="BB748" s="17" t="n"/>
      <c r="BC748" s="16" t="n"/>
      <c r="BD748" s="20" t="inlineStr">
        <is>
          <t>IC Kationen</t>
        </is>
      </c>
      <c r="BE748" s="20" t="inlineStr">
        <is>
          <t>None</t>
        </is>
      </c>
      <c r="BF748" s="17" t="n"/>
      <c r="BG748" s="16" t="n"/>
      <c r="BH748" s="20" t="inlineStr">
        <is>
          <t>IC Kationen</t>
        </is>
      </c>
      <c r="BI748" s="20" t="inlineStr">
        <is>
          <t>None</t>
        </is>
      </c>
      <c r="BJ748" s="17" t="n"/>
      <c r="BK748" s="16" t="n"/>
      <c r="BL748" s="20" t="inlineStr">
        <is>
          <t>IC Kationen</t>
        </is>
      </c>
      <c r="BM748" s="20" t="inlineStr">
        <is>
          <t>None</t>
        </is>
      </c>
      <c r="BN748" s="17" t="n"/>
      <c r="BO748" s="16" t="n"/>
      <c r="BP748" s="20" t="inlineStr">
        <is>
          <t>IC Kationen</t>
        </is>
      </c>
      <c r="BQ748" s="20" t="inlineStr">
        <is>
          <t>None</t>
        </is>
      </c>
      <c r="BR748" s="17" t="n"/>
      <c r="BS748" s="16" t="n"/>
      <c r="BT748" s="20" t="inlineStr">
        <is>
          <t>IC Kationen</t>
        </is>
      </c>
      <c r="BU748" s="20" t="inlineStr">
        <is>
          <t>None</t>
        </is>
      </c>
      <c r="BV748" s="17" t="n"/>
      <c r="BW748" s="16" t="n"/>
      <c r="BX748" s="20" t="n"/>
      <c r="BY748" s="20" t="inlineStr">
        <is>
          <t>None</t>
        </is>
      </c>
      <c r="BZ748" s="17" t="n"/>
      <c r="CA748" s="16" t="n"/>
      <c r="CB748" s="20" t="n"/>
      <c r="CC748" s="20" t="inlineStr">
        <is>
          <t>None</t>
        </is>
      </c>
      <c r="CD748" s="17" t="n"/>
      <c r="CE748" s="16" t="n"/>
      <c r="CF748" s="20" t="n"/>
      <c r="CG748" s="20" t="inlineStr">
        <is>
          <t>None</t>
        </is>
      </c>
      <c r="CH748" s="17" t="n"/>
      <c r="CI748" s="16" t="n"/>
      <c r="CJ748" s="20" t="n"/>
      <c r="CK748" s="20" t="inlineStr">
        <is>
          <t>None</t>
        </is>
      </c>
      <c r="CL748" s="17" t="n"/>
      <c r="CM748" s="16" t="n"/>
      <c r="CN748" s="20" t="inlineStr">
        <is>
          <t>SOP 45-34</t>
        </is>
      </c>
      <c r="CO748" s="20" t="inlineStr">
        <is>
          <t>None</t>
        </is>
      </c>
      <c r="CP748" s="17" t="n"/>
      <c r="CQ748" s="16" t="n"/>
      <c r="CR748" s="20" t="n"/>
      <c r="CS748" s="20" t="inlineStr">
        <is>
          <t>None</t>
        </is>
      </c>
      <c r="CT748" s="17" t="n"/>
      <c r="CU748" s="16" t="n"/>
      <c r="CV748" s="20" t="n"/>
      <c r="CW748" s="20" t="inlineStr">
        <is>
          <t>None</t>
        </is>
      </c>
      <c r="CX748" s="17" t="n"/>
      <c r="CY748" s="16" t="n"/>
      <c r="CZ748" s="20" t="inlineStr">
        <is>
          <t>WTW Multimeter 3430 with FDO 925</t>
        </is>
      </c>
      <c r="DA748" s="20" t="inlineStr">
        <is>
          <t>None</t>
        </is>
      </c>
      <c r="DB748" s="17" t="n"/>
      <c r="DC748" s="16" t="n"/>
      <c r="DD748" s="20" t="n"/>
      <c r="DE748" s="20" t="inlineStr">
        <is>
          <t>None</t>
        </is>
      </c>
      <c r="DF748" s="17" t="n"/>
      <c r="DG748" s="16" t="n"/>
      <c r="DH748" s="20" t="inlineStr">
        <is>
          <t>SOP 45-09</t>
        </is>
      </c>
      <c r="DI748" s="20" t="inlineStr">
        <is>
          <t>None</t>
        </is>
      </c>
      <c r="DJ748" s="17" t="n"/>
      <c r="DK748" s="16" t="n"/>
      <c r="DL748" s="20" t="inlineStr">
        <is>
          <t>SOP 45-09 (SOP muss noch angepasst werden für VSS)</t>
        </is>
      </c>
      <c r="DM748" s="20" t="inlineStr">
        <is>
          <t>None</t>
        </is>
      </c>
      <c r="DN748" s="17" t="n"/>
      <c r="DO748" s="16" t="n"/>
      <c r="DP748" s="20" t="inlineStr">
        <is>
          <t>IC Organic Acids</t>
        </is>
      </c>
      <c r="DQ748" s="20" t="inlineStr">
        <is>
          <t>None</t>
        </is>
      </c>
      <c r="DR748" s="17" t="n"/>
      <c r="DS748" s="16" t="n"/>
      <c r="DT748" s="20" t="inlineStr">
        <is>
          <t>IC Organic Acids</t>
        </is>
      </c>
      <c r="DU748" s="20" t="inlineStr">
        <is>
          <t>None</t>
        </is>
      </c>
      <c r="DV748" s="17" t="n"/>
      <c r="DW748" s="16" t="n"/>
      <c r="DX748" s="20" t="inlineStr">
        <is>
          <t>IC Organic Acids</t>
        </is>
      </c>
      <c r="DY748" s="20" t="inlineStr">
        <is>
          <t>None</t>
        </is>
      </c>
      <c r="DZ748" s="17" t="n"/>
      <c r="EA748" s="16" t="n"/>
      <c r="EB748" s="20" t="inlineStr">
        <is>
          <t>IC Organic Acids</t>
        </is>
      </c>
      <c r="EC748" s="20" t="inlineStr">
        <is>
          <t>None</t>
        </is>
      </c>
      <c r="ED748" s="17" t="n"/>
      <c r="EE748" s="16" t="n"/>
      <c r="EF748" s="20" t="inlineStr">
        <is>
          <t>IC Organic Acids</t>
        </is>
      </c>
      <c r="EG748" s="20" t="inlineStr">
        <is>
          <t>None</t>
        </is>
      </c>
      <c r="EH748" s="17" t="n"/>
      <c r="EI748" s="16" t="n"/>
      <c r="EJ748" s="20" t="inlineStr">
        <is>
          <t>IC Organic Acids</t>
        </is>
      </c>
      <c r="EK748" s="20" t="inlineStr">
        <is>
          <t>None</t>
        </is>
      </c>
      <c r="EL748" s="17" t="n"/>
      <c r="EM748" s="16" t="n"/>
      <c r="EN748" s="20" t="inlineStr">
        <is>
          <t>IC Organic Acids</t>
        </is>
      </c>
      <c r="EO748" s="20" t="inlineStr">
        <is>
          <t>None</t>
        </is>
      </c>
      <c r="EP748" s="17" t="n"/>
      <c r="EQ748" s="16" t="n"/>
      <c r="ER748" s="20" t="inlineStr">
        <is>
          <t>IC Organic Acids</t>
        </is>
      </c>
      <c r="ES748" s="20" t="inlineStr">
        <is>
          <t>None</t>
        </is>
      </c>
      <c r="ET748" s="17" t="n"/>
      <c r="EU748" s="16" t="n"/>
      <c r="EV748" s="20" t="inlineStr">
        <is>
          <t>LC-MS</t>
        </is>
      </c>
      <c r="EW748" s="20" t="inlineStr">
        <is>
          <t>None</t>
        </is>
      </c>
      <c r="EX748" s="17" t="n"/>
      <c r="EY748" s="21" t="n"/>
      <c r="EZ748">
        <f>CONCATENATE(A748,B748)</f>
        <v/>
      </c>
      <c r="FA748">
        <f>CONCATENATE(SamplesX!A748,SamplesX!B748)</f>
        <v/>
      </c>
      <c r="FC748">
        <f>MATCH(EZ748,FA1:FA1008,0)</f>
        <v/>
      </c>
    </row>
    <row r="749">
      <c r="A749" s="16" t="n"/>
      <c r="B749" s="17" t="n"/>
      <c r="C749" s="10">
        <f>IF(ISNUMBER(FC749),INDIRECT("SamplesX!C"&amp;FC749),IF(ISNUMBER(FD749),INDIRECT("SamplesY!C"&amp;FD749),""))</f>
        <v/>
      </c>
      <c r="D749" s="12">
        <f>IF(ISNUMBER(FC749),INDIRECT("SamplesX!D"&amp;FC749),IF(ISNUMBER(FD749),INDIRECT("SamplesY!D"&amp;FD749),""))</f>
        <v/>
      </c>
      <c r="E749" s="12">
        <f>IF(ISNUMBER(FC749),INDIRECT("SamplesX!E"&amp;FC749),IF(ISNUMBER(FD749),INDIRECT("SamplesY!E"&amp;FD749),""))</f>
        <v/>
      </c>
      <c r="F749" s="11">
        <f>IF(ISNUMBER(FC749),INDIRECT("SamplesX!F"&amp;FC749),IF(ISNUMBER(FD749),INDIRECT("SamplesY!F"&amp;FD749),""))</f>
        <v/>
      </c>
      <c r="G749" s="18">
        <f>IF(ISNUMBER(FC749),INDIRECT("SamplesX!G"&amp;FC749),IF(ISNUMBER(FD749),INDIRECT("SamplesY!G"&amp;FD749),""))</f>
        <v/>
      </c>
      <c r="H749" s="19">
        <f>IF(ISNUMBER(FC749),INDIRECT("SamplesX!H"&amp;FC749),IF(ISNUMBER(FD749),INDIRECT("SamplesY!H"&amp;FD749),""))</f>
        <v/>
      </c>
      <c r="I749" s="16" t="n"/>
      <c r="J749" s="16" t="n"/>
      <c r="K749" s="16" t="n"/>
      <c r="L749" s="20" t="n"/>
      <c r="M749" s="20" t="inlineStr">
        <is>
          <t>None</t>
        </is>
      </c>
      <c r="N749" s="17" t="n"/>
      <c r="O749" s="16" t="n"/>
      <c r="P749" s="20" t="inlineStr">
        <is>
          <t>Shimadzu TOC-L</t>
        </is>
      </c>
      <c r="Q749" s="20" t="inlineStr">
        <is>
          <t>None</t>
        </is>
      </c>
      <c r="R749" s="17" t="n"/>
      <c r="S749" s="16" t="n"/>
      <c r="T749" s="20" t="inlineStr">
        <is>
          <t>Shimadzu TOC-L</t>
        </is>
      </c>
      <c r="U749" s="20" t="inlineStr">
        <is>
          <t>None</t>
        </is>
      </c>
      <c r="V749" s="17" t="n"/>
      <c r="W749" s="16" t="n"/>
      <c r="X749" s="20" t="n"/>
      <c r="Y749" s="20" t="inlineStr">
        <is>
          <t>None</t>
        </is>
      </c>
      <c r="Z749" s="17" t="n"/>
      <c r="AA749" s="16" t="n"/>
      <c r="AB749" s="20" t="n"/>
      <c r="AC749" s="20" t="inlineStr">
        <is>
          <t>None</t>
        </is>
      </c>
      <c r="AD749" s="17" t="n"/>
      <c r="AE749" s="16" t="n"/>
      <c r="AF749" s="20" t="inlineStr">
        <is>
          <t>IC Anionen</t>
        </is>
      </c>
      <c r="AG749" s="20" t="inlineStr">
        <is>
          <t>None</t>
        </is>
      </c>
      <c r="AH749" s="17" t="n"/>
      <c r="AI749" s="16" t="n"/>
      <c r="AJ749" s="20" t="n"/>
      <c r="AK749" s="20" t="inlineStr">
        <is>
          <t>None</t>
        </is>
      </c>
      <c r="AL749" s="17" t="n"/>
      <c r="AM749" s="16" t="n"/>
      <c r="AN749" s="20" t="inlineStr">
        <is>
          <t>IC Anionen</t>
        </is>
      </c>
      <c r="AO749" s="20" t="inlineStr">
        <is>
          <t>None</t>
        </is>
      </c>
      <c r="AP749" s="17" t="n"/>
      <c r="AQ749" s="16" t="n"/>
      <c r="AR749" s="20" t="n"/>
      <c r="AS749" s="20" t="inlineStr">
        <is>
          <t>None</t>
        </is>
      </c>
      <c r="AT749" s="17" t="n"/>
      <c r="AU749" s="16" t="n"/>
      <c r="AV749" s="20" t="n"/>
      <c r="AW749" s="20" t="inlineStr">
        <is>
          <t>None</t>
        </is>
      </c>
      <c r="AX749" s="17" t="n"/>
      <c r="AY749" s="16" t="n"/>
      <c r="AZ749" s="20" t="inlineStr">
        <is>
          <t>IC Anionen</t>
        </is>
      </c>
      <c r="BA749" s="20" t="inlineStr">
        <is>
          <t>None</t>
        </is>
      </c>
      <c r="BB749" s="17" t="n"/>
      <c r="BC749" s="16" t="n"/>
      <c r="BD749" s="20" t="inlineStr">
        <is>
          <t>IC Kationen</t>
        </is>
      </c>
      <c r="BE749" s="20" t="inlineStr">
        <is>
          <t>None</t>
        </is>
      </c>
      <c r="BF749" s="17" t="n"/>
      <c r="BG749" s="16" t="n"/>
      <c r="BH749" s="20" t="inlineStr">
        <is>
          <t>IC Kationen</t>
        </is>
      </c>
      <c r="BI749" s="20" t="inlineStr">
        <is>
          <t>None</t>
        </is>
      </c>
      <c r="BJ749" s="17" t="n"/>
      <c r="BK749" s="16" t="n"/>
      <c r="BL749" s="20" t="inlineStr">
        <is>
          <t>IC Kationen</t>
        </is>
      </c>
      <c r="BM749" s="20" t="inlineStr">
        <is>
          <t>None</t>
        </is>
      </c>
      <c r="BN749" s="17" t="n"/>
      <c r="BO749" s="16" t="n"/>
      <c r="BP749" s="20" t="inlineStr">
        <is>
          <t>IC Kationen</t>
        </is>
      </c>
      <c r="BQ749" s="20" t="inlineStr">
        <is>
          <t>None</t>
        </is>
      </c>
      <c r="BR749" s="17" t="n"/>
      <c r="BS749" s="16" t="n"/>
      <c r="BT749" s="20" t="inlineStr">
        <is>
          <t>IC Kationen</t>
        </is>
      </c>
      <c r="BU749" s="20" t="inlineStr">
        <is>
          <t>None</t>
        </is>
      </c>
      <c r="BV749" s="17" t="n"/>
      <c r="BW749" s="16" t="n"/>
      <c r="BX749" s="20" t="n"/>
      <c r="BY749" s="20" t="inlineStr">
        <is>
          <t>None</t>
        </is>
      </c>
      <c r="BZ749" s="17" t="n"/>
      <c r="CA749" s="16" t="n"/>
      <c r="CB749" s="20" t="n"/>
      <c r="CC749" s="20" t="inlineStr">
        <is>
          <t>None</t>
        </is>
      </c>
      <c r="CD749" s="17" t="n"/>
      <c r="CE749" s="16" t="n"/>
      <c r="CF749" s="20" t="n"/>
      <c r="CG749" s="20" t="inlineStr">
        <is>
          <t>None</t>
        </is>
      </c>
      <c r="CH749" s="17" t="n"/>
      <c r="CI749" s="16" t="n"/>
      <c r="CJ749" s="20" t="n"/>
      <c r="CK749" s="20" t="inlineStr">
        <is>
          <t>None</t>
        </is>
      </c>
      <c r="CL749" s="17" t="n"/>
      <c r="CM749" s="16" t="n"/>
      <c r="CN749" s="20" t="inlineStr">
        <is>
          <t>SOP 45-34</t>
        </is>
      </c>
      <c r="CO749" s="20" t="inlineStr">
        <is>
          <t>None</t>
        </is>
      </c>
      <c r="CP749" s="17" t="n"/>
      <c r="CQ749" s="16" t="n"/>
      <c r="CR749" s="20" t="n"/>
      <c r="CS749" s="20" t="inlineStr">
        <is>
          <t>None</t>
        </is>
      </c>
      <c r="CT749" s="17" t="n"/>
      <c r="CU749" s="16" t="n"/>
      <c r="CV749" s="20" t="n"/>
      <c r="CW749" s="20" t="inlineStr">
        <is>
          <t>None</t>
        </is>
      </c>
      <c r="CX749" s="17" t="n"/>
      <c r="CY749" s="16" t="n"/>
      <c r="CZ749" s="20" t="inlineStr">
        <is>
          <t>WTW Multimeter 3430 with FDO 925</t>
        </is>
      </c>
      <c r="DA749" s="20" t="inlineStr">
        <is>
          <t>None</t>
        </is>
      </c>
      <c r="DB749" s="17" t="n"/>
      <c r="DC749" s="16" t="n"/>
      <c r="DD749" s="20" t="n"/>
      <c r="DE749" s="20" t="inlineStr">
        <is>
          <t>None</t>
        </is>
      </c>
      <c r="DF749" s="17" t="n"/>
      <c r="DG749" s="16" t="n"/>
      <c r="DH749" s="20" t="inlineStr">
        <is>
          <t>SOP 45-09</t>
        </is>
      </c>
      <c r="DI749" s="20" t="inlineStr">
        <is>
          <t>None</t>
        </is>
      </c>
      <c r="DJ749" s="17" t="n"/>
      <c r="DK749" s="16" t="n"/>
      <c r="DL749" s="20" t="inlineStr">
        <is>
          <t>SOP 45-09 (SOP muss noch angepasst werden für VSS)</t>
        </is>
      </c>
      <c r="DM749" s="20" t="inlineStr">
        <is>
          <t>None</t>
        </is>
      </c>
      <c r="DN749" s="17" t="n"/>
      <c r="DO749" s="16" t="n"/>
      <c r="DP749" s="20" t="inlineStr">
        <is>
          <t>IC Organic Acids</t>
        </is>
      </c>
      <c r="DQ749" s="20" t="inlineStr">
        <is>
          <t>None</t>
        </is>
      </c>
      <c r="DR749" s="17" t="n"/>
      <c r="DS749" s="16" t="n"/>
      <c r="DT749" s="20" t="inlineStr">
        <is>
          <t>IC Organic Acids</t>
        </is>
      </c>
      <c r="DU749" s="20" t="inlineStr">
        <is>
          <t>None</t>
        </is>
      </c>
      <c r="DV749" s="17" t="n"/>
      <c r="DW749" s="16" t="n"/>
      <c r="DX749" s="20" t="inlineStr">
        <is>
          <t>IC Organic Acids</t>
        </is>
      </c>
      <c r="DY749" s="20" t="inlineStr">
        <is>
          <t>None</t>
        </is>
      </c>
      <c r="DZ749" s="17" t="n"/>
      <c r="EA749" s="16" t="n"/>
      <c r="EB749" s="20" t="inlineStr">
        <is>
          <t>IC Organic Acids</t>
        </is>
      </c>
      <c r="EC749" s="20" t="inlineStr">
        <is>
          <t>None</t>
        </is>
      </c>
      <c r="ED749" s="17" t="n"/>
      <c r="EE749" s="16" t="n"/>
      <c r="EF749" s="20" t="inlineStr">
        <is>
          <t>IC Organic Acids</t>
        </is>
      </c>
      <c r="EG749" s="20" t="inlineStr">
        <is>
          <t>None</t>
        </is>
      </c>
      <c r="EH749" s="17" t="n"/>
      <c r="EI749" s="16" t="n"/>
      <c r="EJ749" s="20" t="inlineStr">
        <is>
          <t>IC Organic Acids</t>
        </is>
      </c>
      <c r="EK749" s="20" t="inlineStr">
        <is>
          <t>None</t>
        </is>
      </c>
      <c r="EL749" s="17" t="n"/>
      <c r="EM749" s="16" t="n"/>
      <c r="EN749" s="20" t="inlineStr">
        <is>
          <t>IC Organic Acids</t>
        </is>
      </c>
      <c r="EO749" s="20" t="inlineStr">
        <is>
          <t>None</t>
        </is>
      </c>
      <c r="EP749" s="17" t="n"/>
      <c r="EQ749" s="16" t="n"/>
      <c r="ER749" s="20" t="inlineStr">
        <is>
          <t>IC Organic Acids</t>
        </is>
      </c>
      <c r="ES749" s="20" t="inlineStr">
        <is>
          <t>None</t>
        </is>
      </c>
      <c r="ET749" s="17" t="n"/>
      <c r="EU749" s="16" t="n"/>
      <c r="EV749" s="20" t="inlineStr">
        <is>
          <t>LC-MS</t>
        </is>
      </c>
      <c r="EW749" s="20" t="inlineStr">
        <is>
          <t>None</t>
        </is>
      </c>
      <c r="EX749" s="17" t="n"/>
      <c r="EY749" s="21" t="n"/>
      <c r="EZ749">
        <f>CONCATENATE(A749,B749)</f>
        <v/>
      </c>
      <c r="FA749">
        <f>CONCATENATE(SamplesX!A749,SamplesX!B749)</f>
        <v/>
      </c>
      <c r="FC749">
        <f>MATCH(EZ749,FA1:FA1008,0)</f>
        <v/>
      </c>
    </row>
    <row r="750">
      <c r="A750" s="16" t="n"/>
      <c r="B750" s="17" t="n"/>
      <c r="C750" s="10">
        <f>IF(ISNUMBER(FC750),INDIRECT("SamplesX!C"&amp;FC750),IF(ISNUMBER(FD750),INDIRECT("SamplesY!C"&amp;FD750),""))</f>
        <v/>
      </c>
      <c r="D750" s="12">
        <f>IF(ISNUMBER(FC750),INDIRECT("SamplesX!D"&amp;FC750),IF(ISNUMBER(FD750),INDIRECT("SamplesY!D"&amp;FD750),""))</f>
        <v/>
      </c>
      <c r="E750" s="12">
        <f>IF(ISNUMBER(FC750),INDIRECT("SamplesX!E"&amp;FC750),IF(ISNUMBER(FD750),INDIRECT("SamplesY!E"&amp;FD750),""))</f>
        <v/>
      </c>
      <c r="F750" s="11">
        <f>IF(ISNUMBER(FC750),INDIRECT("SamplesX!F"&amp;FC750),IF(ISNUMBER(FD750),INDIRECT("SamplesY!F"&amp;FD750),""))</f>
        <v/>
      </c>
      <c r="G750" s="18">
        <f>IF(ISNUMBER(FC750),INDIRECT("SamplesX!G"&amp;FC750),IF(ISNUMBER(FD750),INDIRECT("SamplesY!G"&amp;FD750),""))</f>
        <v/>
      </c>
      <c r="H750" s="19">
        <f>IF(ISNUMBER(FC750),INDIRECT("SamplesX!H"&amp;FC750),IF(ISNUMBER(FD750),INDIRECT("SamplesY!H"&amp;FD750),""))</f>
        <v/>
      </c>
      <c r="I750" s="16" t="n"/>
      <c r="J750" s="16" t="n"/>
      <c r="K750" s="16" t="n"/>
      <c r="L750" s="20" t="n"/>
      <c r="M750" s="20" t="inlineStr">
        <is>
          <t>None</t>
        </is>
      </c>
      <c r="N750" s="17" t="n"/>
      <c r="O750" s="16" t="n"/>
      <c r="P750" s="20" t="inlineStr">
        <is>
          <t>Shimadzu TOC-L</t>
        </is>
      </c>
      <c r="Q750" s="20" t="inlineStr">
        <is>
          <t>None</t>
        </is>
      </c>
      <c r="R750" s="17" t="n"/>
      <c r="S750" s="16" t="n"/>
      <c r="T750" s="20" t="inlineStr">
        <is>
          <t>Shimadzu TOC-L</t>
        </is>
      </c>
      <c r="U750" s="20" t="inlineStr">
        <is>
          <t>None</t>
        </is>
      </c>
      <c r="V750" s="17" t="n"/>
      <c r="W750" s="16" t="n"/>
      <c r="X750" s="20" t="n"/>
      <c r="Y750" s="20" t="inlineStr">
        <is>
          <t>None</t>
        </is>
      </c>
      <c r="Z750" s="17" t="n"/>
      <c r="AA750" s="16" t="n"/>
      <c r="AB750" s="20" t="n"/>
      <c r="AC750" s="20" t="inlineStr">
        <is>
          <t>None</t>
        </is>
      </c>
      <c r="AD750" s="17" t="n"/>
      <c r="AE750" s="16" t="n"/>
      <c r="AF750" s="20" t="inlineStr">
        <is>
          <t>IC Anionen</t>
        </is>
      </c>
      <c r="AG750" s="20" t="inlineStr">
        <is>
          <t>None</t>
        </is>
      </c>
      <c r="AH750" s="17" t="n"/>
      <c r="AI750" s="16" t="n"/>
      <c r="AJ750" s="20" t="n"/>
      <c r="AK750" s="20" t="inlineStr">
        <is>
          <t>None</t>
        </is>
      </c>
      <c r="AL750" s="17" t="n"/>
      <c r="AM750" s="16" t="n"/>
      <c r="AN750" s="20" t="inlineStr">
        <is>
          <t>IC Anionen</t>
        </is>
      </c>
      <c r="AO750" s="20" t="inlineStr">
        <is>
          <t>None</t>
        </is>
      </c>
      <c r="AP750" s="17" t="n"/>
      <c r="AQ750" s="16" t="n"/>
      <c r="AR750" s="20" t="n"/>
      <c r="AS750" s="20" t="inlineStr">
        <is>
          <t>None</t>
        </is>
      </c>
      <c r="AT750" s="17" t="n"/>
      <c r="AU750" s="16" t="n"/>
      <c r="AV750" s="20" t="n"/>
      <c r="AW750" s="20" t="inlineStr">
        <is>
          <t>None</t>
        </is>
      </c>
      <c r="AX750" s="17" t="n"/>
      <c r="AY750" s="16" t="n"/>
      <c r="AZ750" s="20" t="inlineStr">
        <is>
          <t>IC Anionen</t>
        </is>
      </c>
      <c r="BA750" s="20" t="inlineStr">
        <is>
          <t>None</t>
        </is>
      </c>
      <c r="BB750" s="17" t="n"/>
      <c r="BC750" s="16" t="n"/>
      <c r="BD750" s="20" t="inlineStr">
        <is>
          <t>IC Kationen</t>
        </is>
      </c>
      <c r="BE750" s="20" t="inlineStr">
        <is>
          <t>None</t>
        </is>
      </c>
      <c r="BF750" s="17" t="n"/>
      <c r="BG750" s="16" t="n"/>
      <c r="BH750" s="20" t="inlineStr">
        <is>
          <t>IC Kationen</t>
        </is>
      </c>
      <c r="BI750" s="20" t="inlineStr">
        <is>
          <t>None</t>
        </is>
      </c>
      <c r="BJ750" s="17" t="n"/>
      <c r="BK750" s="16" t="n"/>
      <c r="BL750" s="20" t="inlineStr">
        <is>
          <t>IC Kationen</t>
        </is>
      </c>
      <c r="BM750" s="20" t="inlineStr">
        <is>
          <t>None</t>
        </is>
      </c>
      <c r="BN750" s="17" t="n"/>
      <c r="BO750" s="16" t="n"/>
      <c r="BP750" s="20" t="inlineStr">
        <is>
          <t>IC Kationen</t>
        </is>
      </c>
      <c r="BQ750" s="20" t="inlineStr">
        <is>
          <t>None</t>
        </is>
      </c>
      <c r="BR750" s="17" t="n"/>
      <c r="BS750" s="16" t="n"/>
      <c r="BT750" s="20" t="inlineStr">
        <is>
          <t>IC Kationen</t>
        </is>
      </c>
      <c r="BU750" s="20" t="inlineStr">
        <is>
          <t>None</t>
        </is>
      </c>
      <c r="BV750" s="17" t="n"/>
      <c r="BW750" s="16" t="n"/>
      <c r="BX750" s="20" t="n"/>
      <c r="BY750" s="20" t="inlineStr">
        <is>
          <t>None</t>
        </is>
      </c>
      <c r="BZ750" s="17" t="n"/>
      <c r="CA750" s="16" t="n"/>
      <c r="CB750" s="20" t="n"/>
      <c r="CC750" s="20" t="inlineStr">
        <is>
          <t>None</t>
        </is>
      </c>
      <c r="CD750" s="17" t="n"/>
      <c r="CE750" s="16" t="n"/>
      <c r="CF750" s="20" t="n"/>
      <c r="CG750" s="20" t="inlineStr">
        <is>
          <t>None</t>
        </is>
      </c>
      <c r="CH750" s="17" t="n"/>
      <c r="CI750" s="16" t="n"/>
      <c r="CJ750" s="20" t="n"/>
      <c r="CK750" s="20" t="inlineStr">
        <is>
          <t>None</t>
        </is>
      </c>
      <c r="CL750" s="17" t="n"/>
      <c r="CM750" s="16" t="n"/>
      <c r="CN750" s="20" t="inlineStr">
        <is>
          <t>SOP 45-34</t>
        </is>
      </c>
      <c r="CO750" s="20" t="inlineStr">
        <is>
          <t>None</t>
        </is>
      </c>
      <c r="CP750" s="17" t="n"/>
      <c r="CQ750" s="16" t="n"/>
      <c r="CR750" s="20" t="n"/>
      <c r="CS750" s="20" t="inlineStr">
        <is>
          <t>None</t>
        </is>
      </c>
      <c r="CT750" s="17" t="n"/>
      <c r="CU750" s="16" t="n"/>
      <c r="CV750" s="20" t="n"/>
      <c r="CW750" s="20" t="inlineStr">
        <is>
          <t>None</t>
        </is>
      </c>
      <c r="CX750" s="17" t="n"/>
      <c r="CY750" s="16" t="n"/>
      <c r="CZ750" s="20" t="inlineStr">
        <is>
          <t>WTW Multimeter 3430 with FDO 925</t>
        </is>
      </c>
      <c r="DA750" s="20" t="inlineStr">
        <is>
          <t>None</t>
        </is>
      </c>
      <c r="DB750" s="17" t="n"/>
      <c r="DC750" s="16" t="n"/>
      <c r="DD750" s="20" t="n"/>
      <c r="DE750" s="20" t="inlineStr">
        <is>
          <t>None</t>
        </is>
      </c>
      <c r="DF750" s="17" t="n"/>
      <c r="DG750" s="16" t="n"/>
      <c r="DH750" s="20" t="inlineStr">
        <is>
          <t>SOP 45-09</t>
        </is>
      </c>
      <c r="DI750" s="20" t="inlineStr">
        <is>
          <t>None</t>
        </is>
      </c>
      <c r="DJ750" s="17" t="n"/>
      <c r="DK750" s="16" t="n"/>
      <c r="DL750" s="20" t="inlineStr">
        <is>
          <t>SOP 45-09 (SOP muss noch angepasst werden für VSS)</t>
        </is>
      </c>
      <c r="DM750" s="20" t="inlineStr">
        <is>
          <t>None</t>
        </is>
      </c>
      <c r="DN750" s="17" t="n"/>
      <c r="DO750" s="16" t="n"/>
      <c r="DP750" s="20" t="inlineStr">
        <is>
          <t>IC Organic Acids</t>
        </is>
      </c>
      <c r="DQ750" s="20" t="inlineStr">
        <is>
          <t>None</t>
        </is>
      </c>
      <c r="DR750" s="17" t="n"/>
      <c r="DS750" s="16" t="n"/>
      <c r="DT750" s="20" t="inlineStr">
        <is>
          <t>IC Organic Acids</t>
        </is>
      </c>
      <c r="DU750" s="20" t="inlineStr">
        <is>
          <t>None</t>
        </is>
      </c>
      <c r="DV750" s="17" t="n"/>
      <c r="DW750" s="16" t="n"/>
      <c r="DX750" s="20" t="inlineStr">
        <is>
          <t>IC Organic Acids</t>
        </is>
      </c>
      <c r="DY750" s="20" t="inlineStr">
        <is>
          <t>None</t>
        </is>
      </c>
      <c r="DZ750" s="17" t="n"/>
      <c r="EA750" s="16" t="n"/>
      <c r="EB750" s="20" t="inlineStr">
        <is>
          <t>IC Organic Acids</t>
        </is>
      </c>
      <c r="EC750" s="20" t="inlineStr">
        <is>
          <t>None</t>
        </is>
      </c>
      <c r="ED750" s="17" t="n"/>
      <c r="EE750" s="16" t="n"/>
      <c r="EF750" s="20" t="inlineStr">
        <is>
          <t>IC Organic Acids</t>
        </is>
      </c>
      <c r="EG750" s="20" t="inlineStr">
        <is>
          <t>None</t>
        </is>
      </c>
      <c r="EH750" s="17" t="n"/>
      <c r="EI750" s="16" t="n"/>
      <c r="EJ750" s="20" t="inlineStr">
        <is>
          <t>IC Organic Acids</t>
        </is>
      </c>
      <c r="EK750" s="20" t="inlineStr">
        <is>
          <t>None</t>
        </is>
      </c>
      <c r="EL750" s="17" t="n"/>
      <c r="EM750" s="16" t="n"/>
      <c r="EN750" s="20" t="inlineStr">
        <is>
          <t>IC Organic Acids</t>
        </is>
      </c>
      <c r="EO750" s="20" t="inlineStr">
        <is>
          <t>None</t>
        </is>
      </c>
      <c r="EP750" s="17" t="n"/>
      <c r="EQ750" s="16" t="n"/>
      <c r="ER750" s="20" t="inlineStr">
        <is>
          <t>IC Organic Acids</t>
        </is>
      </c>
      <c r="ES750" s="20" t="inlineStr">
        <is>
          <t>None</t>
        </is>
      </c>
      <c r="ET750" s="17" t="n"/>
      <c r="EU750" s="16" t="n"/>
      <c r="EV750" s="20" t="inlineStr">
        <is>
          <t>LC-MS</t>
        </is>
      </c>
      <c r="EW750" s="20" t="inlineStr">
        <is>
          <t>None</t>
        </is>
      </c>
      <c r="EX750" s="17" t="n"/>
      <c r="EY750" s="21" t="n"/>
      <c r="EZ750">
        <f>CONCATENATE(A750,B750)</f>
        <v/>
      </c>
      <c r="FA750">
        <f>CONCATENATE(SamplesX!A750,SamplesX!B750)</f>
        <v/>
      </c>
      <c r="FC750">
        <f>MATCH(EZ750,FA1:FA1008,0)</f>
        <v/>
      </c>
    </row>
    <row r="751">
      <c r="A751" s="16" t="n"/>
      <c r="B751" s="17" t="n"/>
      <c r="C751" s="10">
        <f>IF(ISNUMBER(FC751),INDIRECT("SamplesX!C"&amp;FC751),IF(ISNUMBER(FD751),INDIRECT("SamplesY!C"&amp;FD751),""))</f>
        <v/>
      </c>
      <c r="D751" s="12">
        <f>IF(ISNUMBER(FC751),INDIRECT("SamplesX!D"&amp;FC751),IF(ISNUMBER(FD751),INDIRECT("SamplesY!D"&amp;FD751),""))</f>
        <v/>
      </c>
      <c r="E751" s="12">
        <f>IF(ISNUMBER(FC751),INDIRECT("SamplesX!E"&amp;FC751),IF(ISNUMBER(FD751),INDIRECT("SamplesY!E"&amp;FD751),""))</f>
        <v/>
      </c>
      <c r="F751" s="11">
        <f>IF(ISNUMBER(FC751),INDIRECT("SamplesX!F"&amp;FC751),IF(ISNUMBER(FD751),INDIRECT("SamplesY!F"&amp;FD751),""))</f>
        <v/>
      </c>
      <c r="G751" s="18">
        <f>IF(ISNUMBER(FC751),INDIRECT("SamplesX!G"&amp;FC751),IF(ISNUMBER(FD751),INDIRECT("SamplesY!G"&amp;FD751),""))</f>
        <v/>
      </c>
      <c r="H751" s="19">
        <f>IF(ISNUMBER(FC751),INDIRECT("SamplesX!H"&amp;FC751),IF(ISNUMBER(FD751),INDIRECT("SamplesY!H"&amp;FD751),""))</f>
        <v/>
      </c>
      <c r="I751" s="16" t="n"/>
      <c r="J751" s="16" t="n"/>
      <c r="K751" s="16" t="n"/>
      <c r="L751" s="20" t="n"/>
      <c r="M751" s="20" t="inlineStr">
        <is>
          <t>None</t>
        </is>
      </c>
      <c r="N751" s="17" t="n"/>
      <c r="O751" s="16" t="n"/>
      <c r="P751" s="20" t="inlineStr">
        <is>
          <t>Shimadzu TOC-L</t>
        </is>
      </c>
      <c r="Q751" s="20" t="inlineStr">
        <is>
          <t>None</t>
        </is>
      </c>
      <c r="R751" s="17" t="n"/>
      <c r="S751" s="16" t="n"/>
      <c r="T751" s="20" t="inlineStr">
        <is>
          <t>Shimadzu TOC-L</t>
        </is>
      </c>
      <c r="U751" s="20" t="inlineStr">
        <is>
          <t>None</t>
        </is>
      </c>
      <c r="V751" s="17" t="n"/>
      <c r="W751" s="16" t="n"/>
      <c r="X751" s="20" t="n"/>
      <c r="Y751" s="20" t="inlineStr">
        <is>
          <t>None</t>
        </is>
      </c>
      <c r="Z751" s="17" t="n"/>
      <c r="AA751" s="16" t="n"/>
      <c r="AB751" s="20" t="n"/>
      <c r="AC751" s="20" t="inlineStr">
        <is>
          <t>None</t>
        </is>
      </c>
      <c r="AD751" s="17" t="n"/>
      <c r="AE751" s="16" t="n"/>
      <c r="AF751" s="20" t="inlineStr">
        <is>
          <t>IC Anionen</t>
        </is>
      </c>
      <c r="AG751" s="20" t="inlineStr">
        <is>
          <t>None</t>
        </is>
      </c>
      <c r="AH751" s="17" t="n"/>
      <c r="AI751" s="16" t="n"/>
      <c r="AJ751" s="20" t="n"/>
      <c r="AK751" s="20" t="inlineStr">
        <is>
          <t>None</t>
        </is>
      </c>
      <c r="AL751" s="17" t="n"/>
      <c r="AM751" s="16" t="n"/>
      <c r="AN751" s="20" t="inlineStr">
        <is>
          <t>IC Anionen</t>
        </is>
      </c>
      <c r="AO751" s="20" t="inlineStr">
        <is>
          <t>None</t>
        </is>
      </c>
      <c r="AP751" s="17" t="n"/>
      <c r="AQ751" s="16" t="n"/>
      <c r="AR751" s="20" t="n"/>
      <c r="AS751" s="20" t="inlineStr">
        <is>
          <t>None</t>
        </is>
      </c>
      <c r="AT751" s="17" t="n"/>
      <c r="AU751" s="16" t="n"/>
      <c r="AV751" s="20" t="n"/>
      <c r="AW751" s="20" t="inlineStr">
        <is>
          <t>None</t>
        </is>
      </c>
      <c r="AX751" s="17" t="n"/>
      <c r="AY751" s="16" t="n"/>
      <c r="AZ751" s="20" t="inlineStr">
        <is>
          <t>IC Anionen</t>
        </is>
      </c>
      <c r="BA751" s="20" t="inlineStr">
        <is>
          <t>None</t>
        </is>
      </c>
      <c r="BB751" s="17" t="n"/>
      <c r="BC751" s="16" t="n"/>
      <c r="BD751" s="20" t="inlineStr">
        <is>
          <t>IC Kationen</t>
        </is>
      </c>
      <c r="BE751" s="20" t="inlineStr">
        <is>
          <t>None</t>
        </is>
      </c>
      <c r="BF751" s="17" t="n"/>
      <c r="BG751" s="16" t="n"/>
      <c r="BH751" s="20" t="inlineStr">
        <is>
          <t>IC Kationen</t>
        </is>
      </c>
      <c r="BI751" s="20" t="inlineStr">
        <is>
          <t>None</t>
        </is>
      </c>
      <c r="BJ751" s="17" t="n"/>
      <c r="BK751" s="16" t="n"/>
      <c r="BL751" s="20" t="inlineStr">
        <is>
          <t>IC Kationen</t>
        </is>
      </c>
      <c r="BM751" s="20" t="inlineStr">
        <is>
          <t>None</t>
        </is>
      </c>
      <c r="BN751" s="17" t="n"/>
      <c r="BO751" s="16" t="n"/>
      <c r="BP751" s="20" t="inlineStr">
        <is>
          <t>IC Kationen</t>
        </is>
      </c>
      <c r="BQ751" s="20" t="inlineStr">
        <is>
          <t>None</t>
        </is>
      </c>
      <c r="BR751" s="17" t="n"/>
      <c r="BS751" s="16" t="n"/>
      <c r="BT751" s="20" t="inlineStr">
        <is>
          <t>IC Kationen</t>
        </is>
      </c>
      <c r="BU751" s="20" t="inlineStr">
        <is>
          <t>None</t>
        </is>
      </c>
      <c r="BV751" s="17" t="n"/>
      <c r="BW751" s="16" t="n"/>
      <c r="BX751" s="20" t="n"/>
      <c r="BY751" s="20" t="inlineStr">
        <is>
          <t>None</t>
        </is>
      </c>
      <c r="BZ751" s="17" t="n"/>
      <c r="CA751" s="16" t="n"/>
      <c r="CB751" s="20" t="n"/>
      <c r="CC751" s="20" t="inlineStr">
        <is>
          <t>None</t>
        </is>
      </c>
      <c r="CD751" s="17" t="n"/>
      <c r="CE751" s="16" t="n"/>
      <c r="CF751" s="20" t="n"/>
      <c r="CG751" s="20" t="inlineStr">
        <is>
          <t>None</t>
        </is>
      </c>
      <c r="CH751" s="17" t="n"/>
      <c r="CI751" s="16" t="n"/>
      <c r="CJ751" s="20" t="n"/>
      <c r="CK751" s="20" t="inlineStr">
        <is>
          <t>None</t>
        </is>
      </c>
      <c r="CL751" s="17" t="n"/>
      <c r="CM751" s="16" t="n"/>
      <c r="CN751" s="20" t="inlineStr">
        <is>
          <t>SOP 45-34</t>
        </is>
      </c>
      <c r="CO751" s="20" t="inlineStr">
        <is>
          <t>None</t>
        </is>
      </c>
      <c r="CP751" s="17" t="n"/>
      <c r="CQ751" s="16" t="n"/>
      <c r="CR751" s="20" t="n"/>
      <c r="CS751" s="20" t="inlineStr">
        <is>
          <t>None</t>
        </is>
      </c>
      <c r="CT751" s="17" t="n"/>
      <c r="CU751" s="16" t="n"/>
      <c r="CV751" s="20" t="n"/>
      <c r="CW751" s="20" t="inlineStr">
        <is>
          <t>None</t>
        </is>
      </c>
      <c r="CX751" s="17" t="n"/>
      <c r="CY751" s="16" t="n"/>
      <c r="CZ751" s="20" t="inlineStr">
        <is>
          <t>WTW Multimeter 3430 with FDO 925</t>
        </is>
      </c>
      <c r="DA751" s="20" t="inlineStr">
        <is>
          <t>None</t>
        </is>
      </c>
      <c r="DB751" s="17" t="n"/>
      <c r="DC751" s="16" t="n"/>
      <c r="DD751" s="20" t="n"/>
      <c r="DE751" s="20" t="inlineStr">
        <is>
          <t>None</t>
        </is>
      </c>
      <c r="DF751" s="17" t="n"/>
      <c r="DG751" s="16" t="n"/>
      <c r="DH751" s="20" t="inlineStr">
        <is>
          <t>SOP 45-09</t>
        </is>
      </c>
      <c r="DI751" s="20" t="inlineStr">
        <is>
          <t>None</t>
        </is>
      </c>
      <c r="DJ751" s="17" t="n"/>
      <c r="DK751" s="16" t="n"/>
      <c r="DL751" s="20" t="inlineStr">
        <is>
          <t>SOP 45-09 (SOP muss noch angepasst werden für VSS)</t>
        </is>
      </c>
      <c r="DM751" s="20" t="inlineStr">
        <is>
          <t>None</t>
        </is>
      </c>
      <c r="DN751" s="17" t="n"/>
      <c r="DO751" s="16" t="n"/>
      <c r="DP751" s="20" t="inlineStr">
        <is>
          <t>IC Organic Acids</t>
        </is>
      </c>
      <c r="DQ751" s="20" t="inlineStr">
        <is>
          <t>None</t>
        </is>
      </c>
      <c r="DR751" s="17" t="n"/>
      <c r="DS751" s="16" t="n"/>
      <c r="DT751" s="20" t="inlineStr">
        <is>
          <t>IC Organic Acids</t>
        </is>
      </c>
      <c r="DU751" s="20" t="inlineStr">
        <is>
          <t>None</t>
        </is>
      </c>
      <c r="DV751" s="17" t="n"/>
      <c r="DW751" s="16" t="n"/>
      <c r="DX751" s="20" t="inlineStr">
        <is>
          <t>IC Organic Acids</t>
        </is>
      </c>
      <c r="DY751" s="20" t="inlineStr">
        <is>
          <t>None</t>
        </is>
      </c>
      <c r="DZ751" s="17" t="n"/>
      <c r="EA751" s="16" t="n"/>
      <c r="EB751" s="20" t="inlineStr">
        <is>
          <t>IC Organic Acids</t>
        </is>
      </c>
      <c r="EC751" s="20" t="inlineStr">
        <is>
          <t>None</t>
        </is>
      </c>
      <c r="ED751" s="17" t="n"/>
      <c r="EE751" s="16" t="n"/>
      <c r="EF751" s="20" t="inlineStr">
        <is>
          <t>IC Organic Acids</t>
        </is>
      </c>
      <c r="EG751" s="20" t="inlineStr">
        <is>
          <t>None</t>
        </is>
      </c>
      <c r="EH751" s="17" t="n"/>
      <c r="EI751" s="16" t="n"/>
      <c r="EJ751" s="20" t="inlineStr">
        <is>
          <t>IC Organic Acids</t>
        </is>
      </c>
      <c r="EK751" s="20" t="inlineStr">
        <is>
          <t>None</t>
        </is>
      </c>
      <c r="EL751" s="17" t="n"/>
      <c r="EM751" s="16" t="n"/>
      <c r="EN751" s="20" t="inlineStr">
        <is>
          <t>IC Organic Acids</t>
        </is>
      </c>
      <c r="EO751" s="20" t="inlineStr">
        <is>
          <t>None</t>
        </is>
      </c>
      <c r="EP751" s="17" t="n"/>
      <c r="EQ751" s="16" t="n"/>
      <c r="ER751" s="20" t="inlineStr">
        <is>
          <t>IC Organic Acids</t>
        </is>
      </c>
      <c r="ES751" s="20" t="inlineStr">
        <is>
          <t>None</t>
        </is>
      </c>
      <c r="ET751" s="17" t="n"/>
      <c r="EU751" s="16" t="n"/>
      <c r="EV751" s="20" t="inlineStr">
        <is>
          <t>LC-MS</t>
        </is>
      </c>
      <c r="EW751" s="20" t="inlineStr">
        <is>
          <t>None</t>
        </is>
      </c>
      <c r="EX751" s="17" t="n"/>
      <c r="EY751" s="21" t="n"/>
      <c r="EZ751">
        <f>CONCATENATE(A751,B751)</f>
        <v/>
      </c>
      <c r="FA751">
        <f>CONCATENATE(SamplesX!A751,SamplesX!B751)</f>
        <v/>
      </c>
      <c r="FC751">
        <f>MATCH(EZ751,FA1:FA1008,0)</f>
        <v/>
      </c>
    </row>
    <row r="752">
      <c r="A752" s="16" t="n"/>
      <c r="B752" s="17" t="n"/>
      <c r="C752" s="10">
        <f>IF(ISNUMBER(FC752),INDIRECT("SamplesX!C"&amp;FC752),IF(ISNUMBER(FD752),INDIRECT("SamplesY!C"&amp;FD752),""))</f>
        <v/>
      </c>
      <c r="D752" s="12">
        <f>IF(ISNUMBER(FC752),INDIRECT("SamplesX!D"&amp;FC752),IF(ISNUMBER(FD752),INDIRECT("SamplesY!D"&amp;FD752),""))</f>
        <v/>
      </c>
      <c r="E752" s="12">
        <f>IF(ISNUMBER(FC752),INDIRECT("SamplesX!E"&amp;FC752),IF(ISNUMBER(FD752),INDIRECT("SamplesY!E"&amp;FD752),""))</f>
        <v/>
      </c>
      <c r="F752" s="11">
        <f>IF(ISNUMBER(FC752),INDIRECT("SamplesX!F"&amp;FC752),IF(ISNUMBER(FD752),INDIRECT("SamplesY!F"&amp;FD752),""))</f>
        <v/>
      </c>
      <c r="G752" s="18">
        <f>IF(ISNUMBER(FC752),INDIRECT("SamplesX!G"&amp;FC752),IF(ISNUMBER(FD752),INDIRECT("SamplesY!G"&amp;FD752),""))</f>
        <v/>
      </c>
      <c r="H752" s="19">
        <f>IF(ISNUMBER(FC752),INDIRECT("SamplesX!H"&amp;FC752),IF(ISNUMBER(FD752),INDIRECT("SamplesY!H"&amp;FD752),""))</f>
        <v/>
      </c>
      <c r="I752" s="16" t="n"/>
      <c r="J752" s="16" t="n"/>
      <c r="K752" s="16" t="n"/>
      <c r="L752" s="20" t="n"/>
      <c r="M752" s="20" t="inlineStr">
        <is>
          <t>None</t>
        </is>
      </c>
      <c r="N752" s="17" t="n"/>
      <c r="O752" s="16" t="n"/>
      <c r="P752" s="20" t="inlineStr">
        <is>
          <t>Shimadzu TOC-L</t>
        </is>
      </c>
      <c r="Q752" s="20" t="inlineStr">
        <is>
          <t>None</t>
        </is>
      </c>
      <c r="R752" s="17" t="n"/>
      <c r="S752" s="16" t="n"/>
      <c r="T752" s="20" t="inlineStr">
        <is>
          <t>Shimadzu TOC-L</t>
        </is>
      </c>
      <c r="U752" s="20" t="inlineStr">
        <is>
          <t>None</t>
        </is>
      </c>
      <c r="V752" s="17" t="n"/>
      <c r="W752" s="16" t="n"/>
      <c r="X752" s="20" t="n"/>
      <c r="Y752" s="20" t="inlineStr">
        <is>
          <t>None</t>
        </is>
      </c>
      <c r="Z752" s="17" t="n"/>
      <c r="AA752" s="16" t="n"/>
      <c r="AB752" s="20" t="n"/>
      <c r="AC752" s="20" t="inlineStr">
        <is>
          <t>None</t>
        </is>
      </c>
      <c r="AD752" s="17" t="n"/>
      <c r="AE752" s="16" t="n"/>
      <c r="AF752" s="20" t="inlineStr">
        <is>
          <t>IC Anionen</t>
        </is>
      </c>
      <c r="AG752" s="20" t="inlineStr">
        <is>
          <t>None</t>
        </is>
      </c>
      <c r="AH752" s="17" t="n"/>
      <c r="AI752" s="16" t="n"/>
      <c r="AJ752" s="20" t="n"/>
      <c r="AK752" s="20" t="inlineStr">
        <is>
          <t>None</t>
        </is>
      </c>
      <c r="AL752" s="17" t="n"/>
      <c r="AM752" s="16" t="n"/>
      <c r="AN752" s="20" t="inlineStr">
        <is>
          <t>IC Anionen</t>
        </is>
      </c>
      <c r="AO752" s="20" t="inlineStr">
        <is>
          <t>None</t>
        </is>
      </c>
      <c r="AP752" s="17" t="n"/>
      <c r="AQ752" s="16" t="n"/>
      <c r="AR752" s="20" t="n"/>
      <c r="AS752" s="20" t="inlineStr">
        <is>
          <t>None</t>
        </is>
      </c>
      <c r="AT752" s="17" t="n"/>
      <c r="AU752" s="16" t="n"/>
      <c r="AV752" s="20" t="n"/>
      <c r="AW752" s="20" t="inlineStr">
        <is>
          <t>None</t>
        </is>
      </c>
      <c r="AX752" s="17" t="n"/>
      <c r="AY752" s="16" t="n"/>
      <c r="AZ752" s="20" t="inlineStr">
        <is>
          <t>IC Anionen</t>
        </is>
      </c>
      <c r="BA752" s="20" t="inlineStr">
        <is>
          <t>None</t>
        </is>
      </c>
      <c r="BB752" s="17" t="n"/>
      <c r="BC752" s="16" t="n"/>
      <c r="BD752" s="20" t="inlineStr">
        <is>
          <t>IC Kationen</t>
        </is>
      </c>
      <c r="BE752" s="20" t="inlineStr">
        <is>
          <t>None</t>
        </is>
      </c>
      <c r="BF752" s="17" t="n"/>
      <c r="BG752" s="16" t="n"/>
      <c r="BH752" s="20" t="inlineStr">
        <is>
          <t>IC Kationen</t>
        </is>
      </c>
      <c r="BI752" s="20" t="inlineStr">
        <is>
          <t>None</t>
        </is>
      </c>
      <c r="BJ752" s="17" t="n"/>
      <c r="BK752" s="16" t="n"/>
      <c r="BL752" s="20" t="inlineStr">
        <is>
          <t>IC Kationen</t>
        </is>
      </c>
      <c r="BM752" s="20" t="inlineStr">
        <is>
          <t>None</t>
        </is>
      </c>
      <c r="BN752" s="17" t="n"/>
      <c r="BO752" s="16" t="n"/>
      <c r="BP752" s="20" t="inlineStr">
        <is>
          <t>IC Kationen</t>
        </is>
      </c>
      <c r="BQ752" s="20" t="inlineStr">
        <is>
          <t>None</t>
        </is>
      </c>
      <c r="BR752" s="17" t="n"/>
      <c r="BS752" s="16" t="n"/>
      <c r="BT752" s="20" t="inlineStr">
        <is>
          <t>IC Kationen</t>
        </is>
      </c>
      <c r="BU752" s="20" t="inlineStr">
        <is>
          <t>None</t>
        </is>
      </c>
      <c r="BV752" s="17" t="n"/>
      <c r="BW752" s="16" t="n"/>
      <c r="BX752" s="20" t="n"/>
      <c r="BY752" s="20" t="inlineStr">
        <is>
          <t>None</t>
        </is>
      </c>
      <c r="BZ752" s="17" t="n"/>
      <c r="CA752" s="16" t="n"/>
      <c r="CB752" s="20" t="n"/>
      <c r="CC752" s="20" t="inlineStr">
        <is>
          <t>None</t>
        </is>
      </c>
      <c r="CD752" s="17" t="n"/>
      <c r="CE752" s="16" t="n"/>
      <c r="CF752" s="20" t="n"/>
      <c r="CG752" s="20" t="inlineStr">
        <is>
          <t>None</t>
        </is>
      </c>
      <c r="CH752" s="17" t="n"/>
      <c r="CI752" s="16" t="n"/>
      <c r="CJ752" s="20" t="n"/>
      <c r="CK752" s="20" t="inlineStr">
        <is>
          <t>None</t>
        </is>
      </c>
      <c r="CL752" s="17" t="n"/>
      <c r="CM752" s="16" t="n"/>
      <c r="CN752" s="20" t="inlineStr">
        <is>
          <t>SOP 45-34</t>
        </is>
      </c>
      <c r="CO752" s="20" t="inlineStr">
        <is>
          <t>None</t>
        </is>
      </c>
      <c r="CP752" s="17" t="n"/>
      <c r="CQ752" s="16" t="n"/>
      <c r="CR752" s="20" t="n"/>
      <c r="CS752" s="20" t="inlineStr">
        <is>
          <t>None</t>
        </is>
      </c>
      <c r="CT752" s="17" t="n"/>
      <c r="CU752" s="16" t="n"/>
      <c r="CV752" s="20" t="n"/>
      <c r="CW752" s="20" t="inlineStr">
        <is>
          <t>None</t>
        </is>
      </c>
      <c r="CX752" s="17" t="n"/>
      <c r="CY752" s="16" t="n"/>
      <c r="CZ752" s="20" t="inlineStr">
        <is>
          <t>WTW Multimeter 3430 with FDO 925</t>
        </is>
      </c>
      <c r="DA752" s="20" t="inlineStr">
        <is>
          <t>None</t>
        </is>
      </c>
      <c r="DB752" s="17" t="n"/>
      <c r="DC752" s="16" t="n"/>
      <c r="DD752" s="20" t="n"/>
      <c r="DE752" s="20" t="inlineStr">
        <is>
          <t>None</t>
        </is>
      </c>
      <c r="DF752" s="17" t="n"/>
      <c r="DG752" s="16" t="n"/>
      <c r="DH752" s="20" t="inlineStr">
        <is>
          <t>SOP 45-09</t>
        </is>
      </c>
      <c r="DI752" s="20" t="inlineStr">
        <is>
          <t>None</t>
        </is>
      </c>
      <c r="DJ752" s="17" t="n"/>
      <c r="DK752" s="16" t="n"/>
      <c r="DL752" s="20" t="inlineStr">
        <is>
          <t>SOP 45-09 (SOP muss noch angepasst werden für VSS)</t>
        </is>
      </c>
      <c r="DM752" s="20" t="inlineStr">
        <is>
          <t>None</t>
        </is>
      </c>
      <c r="DN752" s="17" t="n"/>
      <c r="DO752" s="16" t="n"/>
      <c r="DP752" s="20" t="inlineStr">
        <is>
          <t>IC Organic Acids</t>
        </is>
      </c>
      <c r="DQ752" s="20" t="inlineStr">
        <is>
          <t>None</t>
        </is>
      </c>
      <c r="DR752" s="17" t="n"/>
      <c r="DS752" s="16" t="n"/>
      <c r="DT752" s="20" t="inlineStr">
        <is>
          <t>IC Organic Acids</t>
        </is>
      </c>
      <c r="DU752" s="20" t="inlineStr">
        <is>
          <t>None</t>
        </is>
      </c>
      <c r="DV752" s="17" t="n"/>
      <c r="DW752" s="16" t="n"/>
      <c r="DX752" s="20" t="inlineStr">
        <is>
          <t>IC Organic Acids</t>
        </is>
      </c>
      <c r="DY752" s="20" t="inlineStr">
        <is>
          <t>None</t>
        </is>
      </c>
      <c r="DZ752" s="17" t="n"/>
      <c r="EA752" s="16" t="n"/>
      <c r="EB752" s="20" t="inlineStr">
        <is>
          <t>IC Organic Acids</t>
        </is>
      </c>
      <c r="EC752" s="20" t="inlineStr">
        <is>
          <t>None</t>
        </is>
      </c>
      <c r="ED752" s="17" t="n"/>
      <c r="EE752" s="16" t="n"/>
      <c r="EF752" s="20" t="inlineStr">
        <is>
          <t>IC Organic Acids</t>
        </is>
      </c>
      <c r="EG752" s="20" t="inlineStr">
        <is>
          <t>None</t>
        </is>
      </c>
      <c r="EH752" s="17" t="n"/>
      <c r="EI752" s="16" t="n"/>
      <c r="EJ752" s="20" t="inlineStr">
        <is>
          <t>IC Organic Acids</t>
        </is>
      </c>
      <c r="EK752" s="20" t="inlineStr">
        <is>
          <t>None</t>
        </is>
      </c>
      <c r="EL752" s="17" t="n"/>
      <c r="EM752" s="16" t="n"/>
      <c r="EN752" s="20" t="inlineStr">
        <is>
          <t>IC Organic Acids</t>
        </is>
      </c>
      <c r="EO752" s="20" t="inlineStr">
        <is>
          <t>None</t>
        </is>
      </c>
      <c r="EP752" s="17" t="n"/>
      <c r="EQ752" s="16" t="n"/>
      <c r="ER752" s="20" t="inlineStr">
        <is>
          <t>IC Organic Acids</t>
        </is>
      </c>
      <c r="ES752" s="20" t="inlineStr">
        <is>
          <t>None</t>
        </is>
      </c>
      <c r="ET752" s="17" t="n"/>
      <c r="EU752" s="16" t="n"/>
      <c r="EV752" s="20" t="inlineStr">
        <is>
          <t>LC-MS</t>
        </is>
      </c>
      <c r="EW752" s="20" t="inlineStr">
        <is>
          <t>None</t>
        </is>
      </c>
      <c r="EX752" s="17" t="n"/>
      <c r="EY752" s="21" t="n"/>
      <c r="EZ752">
        <f>CONCATENATE(A752,B752)</f>
        <v/>
      </c>
      <c r="FA752">
        <f>CONCATENATE(SamplesX!A752,SamplesX!B752)</f>
        <v/>
      </c>
      <c r="FC752">
        <f>MATCH(EZ752,FA1:FA1008,0)</f>
        <v/>
      </c>
    </row>
    <row r="753">
      <c r="A753" s="16" t="n"/>
      <c r="B753" s="17" t="n"/>
      <c r="C753" s="10">
        <f>IF(ISNUMBER(FC753),INDIRECT("SamplesX!C"&amp;FC753),IF(ISNUMBER(FD753),INDIRECT("SamplesY!C"&amp;FD753),""))</f>
        <v/>
      </c>
      <c r="D753" s="12">
        <f>IF(ISNUMBER(FC753),INDIRECT("SamplesX!D"&amp;FC753),IF(ISNUMBER(FD753),INDIRECT("SamplesY!D"&amp;FD753),""))</f>
        <v/>
      </c>
      <c r="E753" s="12">
        <f>IF(ISNUMBER(FC753),INDIRECT("SamplesX!E"&amp;FC753),IF(ISNUMBER(FD753),INDIRECT("SamplesY!E"&amp;FD753),""))</f>
        <v/>
      </c>
      <c r="F753" s="11">
        <f>IF(ISNUMBER(FC753),INDIRECT("SamplesX!F"&amp;FC753),IF(ISNUMBER(FD753),INDIRECT("SamplesY!F"&amp;FD753),""))</f>
        <v/>
      </c>
      <c r="G753" s="18">
        <f>IF(ISNUMBER(FC753),INDIRECT("SamplesX!G"&amp;FC753),IF(ISNUMBER(FD753),INDIRECT("SamplesY!G"&amp;FD753),""))</f>
        <v/>
      </c>
      <c r="H753" s="19">
        <f>IF(ISNUMBER(FC753),INDIRECT("SamplesX!H"&amp;FC753),IF(ISNUMBER(FD753),INDIRECT("SamplesY!H"&amp;FD753),""))</f>
        <v/>
      </c>
      <c r="I753" s="16" t="n"/>
      <c r="J753" s="16" t="n"/>
      <c r="K753" s="16" t="n"/>
      <c r="L753" s="20" t="n"/>
      <c r="M753" s="20" t="inlineStr">
        <is>
          <t>None</t>
        </is>
      </c>
      <c r="N753" s="17" t="n"/>
      <c r="O753" s="16" t="n"/>
      <c r="P753" s="20" t="inlineStr">
        <is>
          <t>Shimadzu TOC-L</t>
        </is>
      </c>
      <c r="Q753" s="20" t="inlineStr">
        <is>
          <t>None</t>
        </is>
      </c>
      <c r="R753" s="17" t="n"/>
      <c r="S753" s="16" t="n"/>
      <c r="T753" s="20" t="inlineStr">
        <is>
          <t>Shimadzu TOC-L</t>
        </is>
      </c>
      <c r="U753" s="20" t="inlineStr">
        <is>
          <t>None</t>
        </is>
      </c>
      <c r="V753" s="17" t="n"/>
      <c r="W753" s="16" t="n"/>
      <c r="X753" s="20" t="n"/>
      <c r="Y753" s="20" t="inlineStr">
        <is>
          <t>None</t>
        </is>
      </c>
      <c r="Z753" s="17" t="n"/>
      <c r="AA753" s="16" t="n"/>
      <c r="AB753" s="20" t="n"/>
      <c r="AC753" s="20" t="inlineStr">
        <is>
          <t>None</t>
        </is>
      </c>
      <c r="AD753" s="17" t="n"/>
      <c r="AE753" s="16" t="n"/>
      <c r="AF753" s="20" t="inlineStr">
        <is>
          <t>IC Anionen</t>
        </is>
      </c>
      <c r="AG753" s="20" t="inlineStr">
        <is>
          <t>None</t>
        </is>
      </c>
      <c r="AH753" s="17" t="n"/>
      <c r="AI753" s="16" t="n"/>
      <c r="AJ753" s="20" t="n"/>
      <c r="AK753" s="20" t="inlineStr">
        <is>
          <t>None</t>
        </is>
      </c>
      <c r="AL753" s="17" t="n"/>
      <c r="AM753" s="16" t="n"/>
      <c r="AN753" s="20" t="inlineStr">
        <is>
          <t>IC Anionen</t>
        </is>
      </c>
      <c r="AO753" s="20" t="inlineStr">
        <is>
          <t>None</t>
        </is>
      </c>
      <c r="AP753" s="17" t="n"/>
      <c r="AQ753" s="16" t="n"/>
      <c r="AR753" s="20" t="n"/>
      <c r="AS753" s="20" t="inlineStr">
        <is>
          <t>None</t>
        </is>
      </c>
      <c r="AT753" s="17" t="n"/>
      <c r="AU753" s="16" t="n"/>
      <c r="AV753" s="20" t="n"/>
      <c r="AW753" s="20" t="inlineStr">
        <is>
          <t>None</t>
        </is>
      </c>
      <c r="AX753" s="17" t="n"/>
      <c r="AY753" s="16" t="n"/>
      <c r="AZ753" s="20" t="inlineStr">
        <is>
          <t>IC Anionen</t>
        </is>
      </c>
      <c r="BA753" s="20" t="inlineStr">
        <is>
          <t>None</t>
        </is>
      </c>
      <c r="BB753" s="17" t="n"/>
      <c r="BC753" s="16" t="n"/>
      <c r="BD753" s="20" t="inlineStr">
        <is>
          <t>IC Kationen</t>
        </is>
      </c>
      <c r="BE753" s="20" t="inlineStr">
        <is>
          <t>None</t>
        </is>
      </c>
      <c r="BF753" s="17" t="n"/>
      <c r="BG753" s="16" t="n"/>
      <c r="BH753" s="20" t="inlineStr">
        <is>
          <t>IC Kationen</t>
        </is>
      </c>
      <c r="BI753" s="20" t="inlineStr">
        <is>
          <t>None</t>
        </is>
      </c>
      <c r="BJ753" s="17" t="n"/>
      <c r="BK753" s="16" t="n"/>
      <c r="BL753" s="20" t="inlineStr">
        <is>
          <t>IC Kationen</t>
        </is>
      </c>
      <c r="BM753" s="20" t="inlineStr">
        <is>
          <t>None</t>
        </is>
      </c>
      <c r="BN753" s="17" t="n"/>
      <c r="BO753" s="16" t="n"/>
      <c r="BP753" s="20" t="inlineStr">
        <is>
          <t>IC Kationen</t>
        </is>
      </c>
      <c r="BQ753" s="20" t="inlineStr">
        <is>
          <t>None</t>
        </is>
      </c>
      <c r="BR753" s="17" t="n"/>
      <c r="BS753" s="16" t="n"/>
      <c r="BT753" s="20" t="inlineStr">
        <is>
          <t>IC Kationen</t>
        </is>
      </c>
      <c r="BU753" s="20" t="inlineStr">
        <is>
          <t>None</t>
        </is>
      </c>
      <c r="BV753" s="17" t="n"/>
      <c r="BW753" s="16" t="n"/>
      <c r="BX753" s="20" t="n"/>
      <c r="BY753" s="20" t="inlineStr">
        <is>
          <t>None</t>
        </is>
      </c>
      <c r="BZ753" s="17" t="n"/>
      <c r="CA753" s="16" t="n"/>
      <c r="CB753" s="20" t="n"/>
      <c r="CC753" s="20" t="inlineStr">
        <is>
          <t>None</t>
        </is>
      </c>
      <c r="CD753" s="17" t="n"/>
      <c r="CE753" s="16" t="n"/>
      <c r="CF753" s="20" t="n"/>
      <c r="CG753" s="20" t="inlineStr">
        <is>
          <t>None</t>
        </is>
      </c>
      <c r="CH753" s="17" t="n"/>
      <c r="CI753" s="16" t="n"/>
      <c r="CJ753" s="20" t="n"/>
      <c r="CK753" s="20" t="inlineStr">
        <is>
          <t>None</t>
        </is>
      </c>
      <c r="CL753" s="17" t="n"/>
      <c r="CM753" s="16" t="n"/>
      <c r="CN753" s="20" t="inlineStr">
        <is>
          <t>SOP 45-34</t>
        </is>
      </c>
      <c r="CO753" s="20" t="inlineStr">
        <is>
          <t>None</t>
        </is>
      </c>
      <c r="CP753" s="17" t="n"/>
      <c r="CQ753" s="16" t="n"/>
      <c r="CR753" s="20" t="n"/>
      <c r="CS753" s="20" t="inlineStr">
        <is>
          <t>None</t>
        </is>
      </c>
      <c r="CT753" s="17" t="n"/>
      <c r="CU753" s="16" t="n"/>
      <c r="CV753" s="20" t="n"/>
      <c r="CW753" s="20" t="inlineStr">
        <is>
          <t>None</t>
        </is>
      </c>
      <c r="CX753" s="17" t="n"/>
      <c r="CY753" s="16" t="n"/>
      <c r="CZ753" s="20" t="inlineStr">
        <is>
          <t>WTW Multimeter 3430 with FDO 925</t>
        </is>
      </c>
      <c r="DA753" s="20" t="inlineStr">
        <is>
          <t>None</t>
        </is>
      </c>
      <c r="DB753" s="17" t="n"/>
      <c r="DC753" s="16" t="n"/>
      <c r="DD753" s="20" t="n"/>
      <c r="DE753" s="20" t="inlineStr">
        <is>
          <t>None</t>
        </is>
      </c>
      <c r="DF753" s="17" t="n"/>
      <c r="DG753" s="16" t="n"/>
      <c r="DH753" s="20" t="inlineStr">
        <is>
          <t>SOP 45-09</t>
        </is>
      </c>
      <c r="DI753" s="20" t="inlineStr">
        <is>
          <t>None</t>
        </is>
      </c>
      <c r="DJ753" s="17" t="n"/>
      <c r="DK753" s="16" t="n"/>
      <c r="DL753" s="20" t="inlineStr">
        <is>
          <t>SOP 45-09 (SOP muss noch angepasst werden für VSS)</t>
        </is>
      </c>
      <c r="DM753" s="20" t="inlineStr">
        <is>
          <t>None</t>
        </is>
      </c>
      <c r="DN753" s="17" t="n"/>
      <c r="DO753" s="16" t="n"/>
      <c r="DP753" s="20" t="inlineStr">
        <is>
          <t>IC Organic Acids</t>
        </is>
      </c>
      <c r="DQ753" s="20" t="inlineStr">
        <is>
          <t>None</t>
        </is>
      </c>
      <c r="DR753" s="17" t="n"/>
      <c r="DS753" s="16" t="n"/>
      <c r="DT753" s="20" t="inlineStr">
        <is>
          <t>IC Organic Acids</t>
        </is>
      </c>
      <c r="DU753" s="20" t="inlineStr">
        <is>
          <t>None</t>
        </is>
      </c>
      <c r="DV753" s="17" t="n"/>
      <c r="DW753" s="16" t="n"/>
      <c r="DX753" s="20" t="inlineStr">
        <is>
          <t>IC Organic Acids</t>
        </is>
      </c>
      <c r="DY753" s="20" t="inlineStr">
        <is>
          <t>None</t>
        </is>
      </c>
      <c r="DZ753" s="17" t="n"/>
      <c r="EA753" s="16" t="n"/>
      <c r="EB753" s="20" t="inlineStr">
        <is>
          <t>IC Organic Acids</t>
        </is>
      </c>
      <c r="EC753" s="20" t="inlineStr">
        <is>
          <t>None</t>
        </is>
      </c>
      <c r="ED753" s="17" t="n"/>
      <c r="EE753" s="16" t="n"/>
      <c r="EF753" s="20" t="inlineStr">
        <is>
          <t>IC Organic Acids</t>
        </is>
      </c>
      <c r="EG753" s="20" t="inlineStr">
        <is>
          <t>None</t>
        </is>
      </c>
      <c r="EH753" s="17" t="n"/>
      <c r="EI753" s="16" t="n"/>
      <c r="EJ753" s="20" t="inlineStr">
        <is>
          <t>IC Organic Acids</t>
        </is>
      </c>
      <c r="EK753" s="20" t="inlineStr">
        <is>
          <t>None</t>
        </is>
      </c>
      <c r="EL753" s="17" t="n"/>
      <c r="EM753" s="16" t="n"/>
      <c r="EN753" s="20" t="inlineStr">
        <is>
          <t>IC Organic Acids</t>
        </is>
      </c>
      <c r="EO753" s="20" t="inlineStr">
        <is>
          <t>None</t>
        </is>
      </c>
      <c r="EP753" s="17" t="n"/>
      <c r="EQ753" s="16" t="n"/>
      <c r="ER753" s="20" t="inlineStr">
        <is>
          <t>IC Organic Acids</t>
        </is>
      </c>
      <c r="ES753" s="20" t="inlineStr">
        <is>
          <t>None</t>
        </is>
      </c>
      <c r="ET753" s="17" t="n"/>
      <c r="EU753" s="16" t="n"/>
      <c r="EV753" s="20" t="inlineStr">
        <is>
          <t>LC-MS</t>
        </is>
      </c>
      <c r="EW753" s="20" t="inlineStr">
        <is>
          <t>None</t>
        </is>
      </c>
      <c r="EX753" s="17" t="n"/>
      <c r="EY753" s="21" t="n"/>
      <c r="EZ753">
        <f>CONCATENATE(A753,B753)</f>
        <v/>
      </c>
      <c r="FA753">
        <f>CONCATENATE(SamplesX!A753,SamplesX!B753)</f>
        <v/>
      </c>
      <c r="FC753">
        <f>MATCH(EZ753,FA1:FA1008,0)</f>
        <v/>
      </c>
    </row>
    <row r="754">
      <c r="A754" s="16" t="n"/>
      <c r="B754" s="17" t="n"/>
      <c r="C754" s="10">
        <f>IF(ISNUMBER(FC754),INDIRECT("SamplesX!C"&amp;FC754),IF(ISNUMBER(FD754),INDIRECT("SamplesY!C"&amp;FD754),""))</f>
        <v/>
      </c>
      <c r="D754" s="12">
        <f>IF(ISNUMBER(FC754),INDIRECT("SamplesX!D"&amp;FC754),IF(ISNUMBER(FD754),INDIRECT("SamplesY!D"&amp;FD754),""))</f>
        <v/>
      </c>
      <c r="E754" s="12">
        <f>IF(ISNUMBER(FC754),INDIRECT("SamplesX!E"&amp;FC754),IF(ISNUMBER(FD754),INDIRECT("SamplesY!E"&amp;FD754),""))</f>
        <v/>
      </c>
      <c r="F754" s="11">
        <f>IF(ISNUMBER(FC754),INDIRECT("SamplesX!F"&amp;FC754),IF(ISNUMBER(FD754),INDIRECT("SamplesY!F"&amp;FD754),""))</f>
        <v/>
      </c>
      <c r="G754" s="18">
        <f>IF(ISNUMBER(FC754),INDIRECT("SamplesX!G"&amp;FC754),IF(ISNUMBER(FD754),INDIRECT("SamplesY!G"&amp;FD754),""))</f>
        <v/>
      </c>
      <c r="H754" s="19">
        <f>IF(ISNUMBER(FC754),INDIRECT("SamplesX!H"&amp;FC754),IF(ISNUMBER(FD754),INDIRECT("SamplesY!H"&amp;FD754),""))</f>
        <v/>
      </c>
      <c r="I754" s="16" t="n"/>
      <c r="J754" s="16" t="n"/>
      <c r="K754" s="16" t="n"/>
      <c r="L754" s="20" t="n"/>
      <c r="M754" s="20" t="inlineStr">
        <is>
          <t>None</t>
        </is>
      </c>
      <c r="N754" s="17" t="n"/>
      <c r="O754" s="16" t="n"/>
      <c r="P754" s="20" t="inlineStr">
        <is>
          <t>Shimadzu TOC-L</t>
        </is>
      </c>
      <c r="Q754" s="20" t="inlineStr">
        <is>
          <t>None</t>
        </is>
      </c>
      <c r="R754" s="17" t="n"/>
      <c r="S754" s="16" t="n"/>
      <c r="T754" s="20" t="inlineStr">
        <is>
          <t>Shimadzu TOC-L</t>
        </is>
      </c>
      <c r="U754" s="20" t="inlineStr">
        <is>
          <t>None</t>
        </is>
      </c>
      <c r="V754" s="17" t="n"/>
      <c r="W754" s="16" t="n"/>
      <c r="X754" s="20" t="n"/>
      <c r="Y754" s="20" t="inlineStr">
        <is>
          <t>None</t>
        </is>
      </c>
      <c r="Z754" s="17" t="n"/>
      <c r="AA754" s="16" t="n"/>
      <c r="AB754" s="20" t="n"/>
      <c r="AC754" s="20" t="inlineStr">
        <is>
          <t>None</t>
        </is>
      </c>
      <c r="AD754" s="17" t="n"/>
      <c r="AE754" s="16" t="n"/>
      <c r="AF754" s="20" t="inlineStr">
        <is>
          <t>IC Anionen</t>
        </is>
      </c>
      <c r="AG754" s="20" t="inlineStr">
        <is>
          <t>None</t>
        </is>
      </c>
      <c r="AH754" s="17" t="n"/>
      <c r="AI754" s="16" t="n"/>
      <c r="AJ754" s="20" t="n"/>
      <c r="AK754" s="20" t="inlineStr">
        <is>
          <t>None</t>
        </is>
      </c>
      <c r="AL754" s="17" t="n"/>
      <c r="AM754" s="16" t="n"/>
      <c r="AN754" s="20" t="inlineStr">
        <is>
          <t>IC Anionen</t>
        </is>
      </c>
      <c r="AO754" s="20" t="inlineStr">
        <is>
          <t>None</t>
        </is>
      </c>
      <c r="AP754" s="17" t="n"/>
      <c r="AQ754" s="16" t="n"/>
      <c r="AR754" s="20" t="n"/>
      <c r="AS754" s="20" t="inlineStr">
        <is>
          <t>None</t>
        </is>
      </c>
      <c r="AT754" s="17" t="n"/>
      <c r="AU754" s="16" t="n"/>
      <c r="AV754" s="20" t="n"/>
      <c r="AW754" s="20" t="inlineStr">
        <is>
          <t>None</t>
        </is>
      </c>
      <c r="AX754" s="17" t="n"/>
      <c r="AY754" s="16" t="n"/>
      <c r="AZ754" s="20" t="inlineStr">
        <is>
          <t>IC Anionen</t>
        </is>
      </c>
      <c r="BA754" s="20" t="inlineStr">
        <is>
          <t>None</t>
        </is>
      </c>
      <c r="BB754" s="17" t="n"/>
      <c r="BC754" s="16" t="n"/>
      <c r="BD754" s="20" t="inlineStr">
        <is>
          <t>IC Kationen</t>
        </is>
      </c>
      <c r="BE754" s="20" t="inlineStr">
        <is>
          <t>None</t>
        </is>
      </c>
      <c r="BF754" s="17" t="n"/>
      <c r="BG754" s="16" t="n"/>
      <c r="BH754" s="20" t="inlineStr">
        <is>
          <t>IC Kationen</t>
        </is>
      </c>
      <c r="BI754" s="20" t="inlineStr">
        <is>
          <t>None</t>
        </is>
      </c>
      <c r="BJ754" s="17" t="n"/>
      <c r="BK754" s="16" t="n"/>
      <c r="BL754" s="20" t="inlineStr">
        <is>
          <t>IC Kationen</t>
        </is>
      </c>
      <c r="BM754" s="20" t="inlineStr">
        <is>
          <t>None</t>
        </is>
      </c>
      <c r="BN754" s="17" t="n"/>
      <c r="BO754" s="16" t="n"/>
      <c r="BP754" s="20" t="inlineStr">
        <is>
          <t>IC Kationen</t>
        </is>
      </c>
      <c r="BQ754" s="20" t="inlineStr">
        <is>
          <t>None</t>
        </is>
      </c>
      <c r="BR754" s="17" t="n"/>
      <c r="BS754" s="16" t="n"/>
      <c r="BT754" s="20" t="inlineStr">
        <is>
          <t>IC Kationen</t>
        </is>
      </c>
      <c r="BU754" s="20" t="inlineStr">
        <is>
          <t>None</t>
        </is>
      </c>
      <c r="BV754" s="17" t="n"/>
      <c r="BW754" s="16" t="n"/>
      <c r="BX754" s="20" t="n"/>
      <c r="BY754" s="20" t="inlineStr">
        <is>
          <t>None</t>
        </is>
      </c>
      <c r="BZ754" s="17" t="n"/>
      <c r="CA754" s="16" t="n"/>
      <c r="CB754" s="20" t="n"/>
      <c r="CC754" s="20" t="inlineStr">
        <is>
          <t>None</t>
        </is>
      </c>
      <c r="CD754" s="17" t="n"/>
      <c r="CE754" s="16" t="n"/>
      <c r="CF754" s="20" t="n"/>
      <c r="CG754" s="20" t="inlineStr">
        <is>
          <t>None</t>
        </is>
      </c>
      <c r="CH754" s="17" t="n"/>
      <c r="CI754" s="16" t="n"/>
      <c r="CJ754" s="20" t="n"/>
      <c r="CK754" s="20" t="inlineStr">
        <is>
          <t>None</t>
        </is>
      </c>
      <c r="CL754" s="17" t="n"/>
      <c r="CM754" s="16" t="n"/>
      <c r="CN754" s="20" t="inlineStr">
        <is>
          <t>SOP 45-34</t>
        </is>
      </c>
      <c r="CO754" s="20" t="inlineStr">
        <is>
          <t>None</t>
        </is>
      </c>
      <c r="CP754" s="17" t="n"/>
      <c r="CQ754" s="16" t="n"/>
      <c r="CR754" s="20" t="n"/>
      <c r="CS754" s="20" t="inlineStr">
        <is>
          <t>None</t>
        </is>
      </c>
      <c r="CT754" s="17" t="n"/>
      <c r="CU754" s="16" t="n"/>
      <c r="CV754" s="20" t="n"/>
      <c r="CW754" s="20" t="inlineStr">
        <is>
          <t>None</t>
        </is>
      </c>
      <c r="CX754" s="17" t="n"/>
      <c r="CY754" s="16" t="n"/>
      <c r="CZ754" s="20" t="inlineStr">
        <is>
          <t>WTW Multimeter 3430 with FDO 925</t>
        </is>
      </c>
      <c r="DA754" s="20" t="inlineStr">
        <is>
          <t>None</t>
        </is>
      </c>
      <c r="DB754" s="17" t="n"/>
      <c r="DC754" s="16" t="n"/>
      <c r="DD754" s="20" t="n"/>
      <c r="DE754" s="20" t="inlineStr">
        <is>
          <t>None</t>
        </is>
      </c>
      <c r="DF754" s="17" t="n"/>
      <c r="DG754" s="16" t="n"/>
      <c r="DH754" s="20" t="inlineStr">
        <is>
          <t>SOP 45-09</t>
        </is>
      </c>
      <c r="DI754" s="20" t="inlineStr">
        <is>
          <t>None</t>
        </is>
      </c>
      <c r="DJ754" s="17" t="n"/>
      <c r="DK754" s="16" t="n"/>
      <c r="DL754" s="20" t="inlineStr">
        <is>
          <t>SOP 45-09 (SOP muss noch angepasst werden für VSS)</t>
        </is>
      </c>
      <c r="DM754" s="20" t="inlineStr">
        <is>
          <t>None</t>
        </is>
      </c>
      <c r="DN754" s="17" t="n"/>
      <c r="DO754" s="16" t="n"/>
      <c r="DP754" s="20" t="inlineStr">
        <is>
          <t>IC Organic Acids</t>
        </is>
      </c>
      <c r="DQ754" s="20" t="inlineStr">
        <is>
          <t>None</t>
        </is>
      </c>
      <c r="DR754" s="17" t="n"/>
      <c r="DS754" s="16" t="n"/>
      <c r="DT754" s="20" t="inlineStr">
        <is>
          <t>IC Organic Acids</t>
        </is>
      </c>
      <c r="DU754" s="20" t="inlineStr">
        <is>
          <t>None</t>
        </is>
      </c>
      <c r="DV754" s="17" t="n"/>
      <c r="DW754" s="16" t="n"/>
      <c r="DX754" s="20" t="inlineStr">
        <is>
          <t>IC Organic Acids</t>
        </is>
      </c>
      <c r="DY754" s="20" t="inlineStr">
        <is>
          <t>None</t>
        </is>
      </c>
      <c r="DZ754" s="17" t="n"/>
      <c r="EA754" s="16" t="n"/>
      <c r="EB754" s="20" t="inlineStr">
        <is>
          <t>IC Organic Acids</t>
        </is>
      </c>
      <c r="EC754" s="20" t="inlineStr">
        <is>
          <t>None</t>
        </is>
      </c>
      <c r="ED754" s="17" t="n"/>
      <c r="EE754" s="16" t="n"/>
      <c r="EF754" s="20" t="inlineStr">
        <is>
          <t>IC Organic Acids</t>
        </is>
      </c>
      <c r="EG754" s="20" t="inlineStr">
        <is>
          <t>None</t>
        </is>
      </c>
      <c r="EH754" s="17" t="n"/>
      <c r="EI754" s="16" t="n"/>
      <c r="EJ754" s="20" t="inlineStr">
        <is>
          <t>IC Organic Acids</t>
        </is>
      </c>
      <c r="EK754" s="20" t="inlineStr">
        <is>
          <t>None</t>
        </is>
      </c>
      <c r="EL754" s="17" t="n"/>
      <c r="EM754" s="16" t="n"/>
      <c r="EN754" s="20" t="inlineStr">
        <is>
          <t>IC Organic Acids</t>
        </is>
      </c>
      <c r="EO754" s="20" t="inlineStr">
        <is>
          <t>None</t>
        </is>
      </c>
      <c r="EP754" s="17" t="n"/>
      <c r="EQ754" s="16" t="n"/>
      <c r="ER754" s="20" t="inlineStr">
        <is>
          <t>IC Organic Acids</t>
        </is>
      </c>
      <c r="ES754" s="20" t="inlineStr">
        <is>
          <t>None</t>
        </is>
      </c>
      <c r="ET754" s="17" t="n"/>
      <c r="EU754" s="16" t="n"/>
      <c r="EV754" s="20" t="inlineStr">
        <is>
          <t>LC-MS</t>
        </is>
      </c>
      <c r="EW754" s="20" t="inlineStr">
        <is>
          <t>None</t>
        </is>
      </c>
      <c r="EX754" s="17" t="n"/>
      <c r="EY754" s="21" t="n"/>
      <c r="EZ754">
        <f>CONCATENATE(A754,B754)</f>
        <v/>
      </c>
      <c r="FA754">
        <f>CONCATENATE(SamplesX!A754,SamplesX!B754)</f>
        <v/>
      </c>
      <c r="FC754">
        <f>MATCH(EZ754,FA1:FA1008,0)</f>
        <v/>
      </c>
    </row>
    <row r="755">
      <c r="A755" s="16" t="n"/>
      <c r="B755" s="17" t="n"/>
      <c r="C755" s="10">
        <f>IF(ISNUMBER(FC755),INDIRECT("SamplesX!C"&amp;FC755),IF(ISNUMBER(FD755),INDIRECT("SamplesY!C"&amp;FD755),""))</f>
        <v/>
      </c>
      <c r="D755" s="12">
        <f>IF(ISNUMBER(FC755),INDIRECT("SamplesX!D"&amp;FC755),IF(ISNUMBER(FD755),INDIRECT("SamplesY!D"&amp;FD755),""))</f>
        <v/>
      </c>
      <c r="E755" s="12">
        <f>IF(ISNUMBER(FC755),INDIRECT("SamplesX!E"&amp;FC755),IF(ISNUMBER(FD755),INDIRECT("SamplesY!E"&amp;FD755),""))</f>
        <v/>
      </c>
      <c r="F755" s="11">
        <f>IF(ISNUMBER(FC755),INDIRECT("SamplesX!F"&amp;FC755),IF(ISNUMBER(FD755),INDIRECT("SamplesY!F"&amp;FD755),""))</f>
        <v/>
      </c>
      <c r="G755" s="18">
        <f>IF(ISNUMBER(FC755),INDIRECT("SamplesX!G"&amp;FC755),IF(ISNUMBER(FD755),INDIRECT("SamplesY!G"&amp;FD755),""))</f>
        <v/>
      </c>
      <c r="H755" s="19">
        <f>IF(ISNUMBER(FC755),INDIRECT("SamplesX!H"&amp;FC755),IF(ISNUMBER(FD755),INDIRECT("SamplesY!H"&amp;FD755),""))</f>
        <v/>
      </c>
      <c r="I755" s="16" t="n"/>
      <c r="J755" s="16" t="n"/>
      <c r="K755" s="16" t="n"/>
      <c r="L755" s="20" t="n"/>
      <c r="M755" s="20" t="inlineStr">
        <is>
          <t>None</t>
        </is>
      </c>
      <c r="N755" s="17" t="n"/>
      <c r="O755" s="16" t="n"/>
      <c r="P755" s="20" t="inlineStr">
        <is>
          <t>Shimadzu TOC-L</t>
        </is>
      </c>
      <c r="Q755" s="20" t="inlineStr">
        <is>
          <t>None</t>
        </is>
      </c>
      <c r="R755" s="17" t="n"/>
      <c r="S755" s="16" t="n"/>
      <c r="T755" s="20" t="inlineStr">
        <is>
          <t>Shimadzu TOC-L</t>
        </is>
      </c>
      <c r="U755" s="20" t="inlineStr">
        <is>
          <t>None</t>
        </is>
      </c>
      <c r="V755" s="17" t="n"/>
      <c r="W755" s="16" t="n"/>
      <c r="X755" s="20" t="n"/>
      <c r="Y755" s="20" t="inlineStr">
        <is>
          <t>None</t>
        </is>
      </c>
      <c r="Z755" s="17" t="n"/>
      <c r="AA755" s="16" t="n"/>
      <c r="AB755" s="20" t="n"/>
      <c r="AC755" s="20" t="inlineStr">
        <is>
          <t>None</t>
        </is>
      </c>
      <c r="AD755" s="17" t="n"/>
      <c r="AE755" s="16" t="n"/>
      <c r="AF755" s="20" t="inlineStr">
        <is>
          <t>IC Anionen</t>
        </is>
      </c>
      <c r="AG755" s="20" t="inlineStr">
        <is>
          <t>None</t>
        </is>
      </c>
      <c r="AH755" s="17" t="n"/>
      <c r="AI755" s="16" t="n"/>
      <c r="AJ755" s="20" t="n"/>
      <c r="AK755" s="20" t="inlineStr">
        <is>
          <t>None</t>
        </is>
      </c>
      <c r="AL755" s="17" t="n"/>
      <c r="AM755" s="16" t="n"/>
      <c r="AN755" s="20" t="inlineStr">
        <is>
          <t>IC Anionen</t>
        </is>
      </c>
      <c r="AO755" s="20" t="inlineStr">
        <is>
          <t>None</t>
        </is>
      </c>
      <c r="AP755" s="17" t="n"/>
      <c r="AQ755" s="16" t="n"/>
      <c r="AR755" s="20" t="n"/>
      <c r="AS755" s="20" t="inlineStr">
        <is>
          <t>None</t>
        </is>
      </c>
      <c r="AT755" s="17" t="n"/>
      <c r="AU755" s="16" t="n"/>
      <c r="AV755" s="20" t="n"/>
      <c r="AW755" s="20" t="inlineStr">
        <is>
          <t>None</t>
        </is>
      </c>
      <c r="AX755" s="17" t="n"/>
      <c r="AY755" s="16" t="n"/>
      <c r="AZ755" s="20" t="inlineStr">
        <is>
          <t>IC Anionen</t>
        </is>
      </c>
      <c r="BA755" s="20" t="inlineStr">
        <is>
          <t>None</t>
        </is>
      </c>
      <c r="BB755" s="17" t="n"/>
      <c r="BC755" s="16" t="n"/>
      <c r="BD755" s="20" t="inlineStr">
        <is>
          <t>IC Kationen</t>
        </is>
      </c>
      <c r="BE755" s="20" t="inlineStr">
        <is>
          <t>None</t>
        </is>
      </c>
      <c r="BF755" s="17" t="n"/>
      <c r="BG755" s="16" t="n"/>
      <c r="BH755" s="20" t="inlineStr">
        <is>
          <t>IC Kationen</t>
        </is>
      </c>
      <c r="BI755" s="20" t="inlineStr">
        <is>
          <t>None</t>
        </is>
      </c>
      <c r="BJ755" s="17" t="n"/>
      <c r="BK755" s="16" t="n"/>
      <c r="BL755" s="20" t="inlineStr">
        <is>
          <t>IC Kationen</t>
        </is>
      </c>
      <c r="BM755" s="20" t="inlineStr">
        <is>
          <t>None</t>
        </is>
      </c>
      <c r="BN755" s="17" t="n"/>
      <c r="BO755" s="16" t="n"/>
      <c r="BP755" s="20" t="inlineStr">
        <is>
          <t>IC Kationen</t>
        </is>
      </c>
      <c r="BQ755" s="20" t="inlineStr">
        <is>
          <t>None</t>
        </is>
      </c>
      <c r="BR755" s="17" t="n"/>
      <c r="BS755" s="16" t="n"/>
      <c r="BT755" s="20" t="inlineStr">
        <is>
          <t>IC Kationen</t>
        </is>
      </c>
      <c r="BU755" s="20" t="inlineStr">
        <is>
          <t>None</t>
        </is>
      </c>
      <c r="BV755" s="17" t="n"/>
      <c r="BW755" s="16" t="n"/>
      <c r="BX755" s="20" t="n"/>
      <c r="BY755" s="20" t="inlineStr">
        <is>
          <t>None</t>
        </is>
      </c>
      <c r="BZ755" s="17" t="n"/>
      <c r="CA755" s="16" t="n"/>
      <c r="CB755" s="20" t="n"/>
      <c r="CC755" s="20" t="inlineStr">
        <is>
          <t>None</t>
        </is>
      </c>
      <c r="CD755" s="17" t="n"/>
      <c r="CE755" s="16" t="n"/>
      <c r="CF755" s="20" t="n"/>
      <c r="CG755" s="20" t="inlineStr">
        <is>
          <t>None</t>
        </is>
      </c>
      <c r="CH755" s="17" t="n"/>
      <c r="CI755" s="16" t="n"/>
      <c r="CJ755" s="20" t="n"/>
      <c r="CK755" s="20" t="inlineStr">
        <is>
          <t>None</t>
        </is>
      </c>
      <c r="CL755" s="17" t="n"/>
      <c r="CM755" s="16" t="n"/>
      <c r="CN755" s="20" t="inlineStr">
        <is>
          <t>SOP 45-34</t>
        </is>
      </c>
      <c r="CO755" s="20" t="inlineStr">
        <is>
          <t>None</t>
        </is>
      </c>
      <c r="CP755" s="17" t="n"/>
      <c r="CQ755" s="16" t="n"/>
      <c r="CR755" s="20" t="n"/>
      <c r="CS755" s="20" t="inlineStr">
        <is>
          <t>None</t>
        </is>
      </c>
      <c r="CT755" s="17" t="n"/>
      <c r="CU755" s="16" t="n"/>
      <c r="CV755" s="20" t="n"/>
      <c r="CW755" s="20" t="inlineStr">
        <is>
          <t>None</t>
        </is>
      </c>
      <c r="CX755" s="17" t="n"/>
      <c r="CY755" s="16" t="n"/>
      <c r="CZ755" s="20" t="inlineStr">
        <is>
          <t>WTW Multimeter 3430 with FDO 925</t>
        </is>
      </c>
      <c r="DA755" s="20" t="inlineStr">
        <is>
          <t>None</t>
        </is>
      </c>
      <c r="DB755" s="17" t="n"/>
      <c r="DC755" s="16" t="n"/>
      <c r="DD755" s="20" t="n"/>
      <c r="DE755" s="20" t="inlineStr">
        <is>
          <t>None</t>
        </is>
      </c>
      <c r="DF755" s="17" t="n"/>
      <c r="DG755" s="16" t="n"/>
      <c r="DH755" s="20" t="inlineStr">
        <is>
          <t>SOP 45-09</t>
        </is>
      </c>
      <c r="DI755" s="20" t="inlineStr">
        <is>
          <t>None</t>
        </is>
      </c>
      <c r="DJ755" s="17" t="n"/>
      <c r="DK755" s="16" t="n"/>
      <c r="DL755" s="20" t="inlineStr">
        <is>
          <t>SOP 45-09 (SOP muss noch angepasst werden für VSS)</t>
        </is>
      </c>
      <c r="DM755" s="20" t="inlineStr">
        <is>
          <t>None</t>
        </is>
      </c>
      <c r="DN755" s="17" t="n"/>
      <c r="DO755" s="16" t="n"/>
      <c r="DP755" s="20" t="inlineStr">
        <is>
          <t>IC Organic Acids</t>
        </is>
      </c>
      <c r="DQ755" s="20" t="inlineStr">
        <is>
          <t>None</t>
        </is>
      </c>
      <c r="DR755" s="17" t="n"/>
      <c r="DS755" s="16" t="n"/>
      <c r="DT755" s="20" t="inlineStr">
        <is>
          <t>IC Organic Acids</t>
        </is>
      </c>
      <c r="DU755" s="20" t="inlineStr">
        <is>
          <t>None</t>
        </is>
      </c>
      <c r="DV755" s="17" t="n"/>
      <c r="DW755" s="16" t="n"/>
      <c r="DX755" s="20" t="inlineStr">
        <is>
          <t>IC Organic Acids</t>
        </is>
      </c>
      <c r="DY755" s="20" t="inlineStr">
        <is>
          <t>None</t>
        </is>
      </c>
      <c r="DZ755" s="17" t="n"/>
      <c r="EA755" s="16" t="n"/>
      <c r="EB755" s="20" t="inlineStr">
        <is>
          <t>IC Organic Acids</t>
        </is>
      </c>
      <c r="EC755" s="20" t="inlineStr">
        <is>
          <t>None</t>
        </is>
      </c>
      <c r="ED755" s="17" t="n"/>
      <c r="EE755" s="16" t="n"/>
      <c r="EF755" s="20" t="inlineStr">
        <is>
          <t>IC Organic Acids</t>
        </is>
      </c>
      <c r="EG755" s="20" t="inlineStr">
        <is>
          <t>None</t>
        </is>
      </c>
      <c r="EH755" s="17" t="n"/>
      <c r="EI755" s="16" t="n"/>
      <c r="EJ755" s="20" t="inlineStr">
        <is>
          <t>IC Organic Acids</t>
        </is>
      </c>
      <c r="EK755" s="20" t="inlineStr">
        <is>
          <t>None</t>
        </is>
      </c>
      <c r="EL755" s="17" t="n"/>
      <c r="EM755" s="16" t="n"/>
      <c r="EN755" s="20" t="inlineStr">
        <is>
          <t>IC Organic Acids</t>
        </is>
      </c>
      <c r="EO755" s="20" t="inlineStr">
        <is>
          <t>None</t>
        </is>
      </c>
      <c r="EP755" s="17" t="n"/>
      <c r="EQ755" s="16" t="n"/>
      <c r="ER755" s="20" t="inlineStr">
        <is>
          <t>IC Organic Acids</t>
        </is>
      </c>
      <c r="ES755" s="20" t="inlineStr">
        <is>
          <t>None</t>
        </is>
      </c>
      <c r="ET755" s="17" t="n"/>
      <c r="EU755" s="16" t="n"/>
      <c r="EV755" s="20" t="inlineStr">
        <is>
          <t>LC-MS</t>
        </is>
      </c>
      <c r="EW755" s="20" t="inlineStr">
        <is>
          <t>None</t>
        </is>
      </c>
      <c r="EX755" s="17" t="n"/>
      <c r="EY755" s="21" t="n"/>
      <c r="EZ755">
        <f>CONCATENATE(A755,B755)</f>
        <v/>
      </c>
      <c r="FA755">
        <f>CONCATENATE(SamplesX!A755,SamplesX!B755)</f>
        <v/>
      </c>
      <c r="FC755">
        <f>MATCH(EZ755,FA1:FA1008,0)</f>
        <v/>
      </c>
    </row>
    <row r="756">
      <c r="A756" s="16" t="n"/>
      <c r="B756" s="17" t="n"/>
      <c r="C756" s="10">
        <f>IF(ISNUMBER(FC756),INDIRECT("SamplesX!C"&amp;FC756),IF(ISNUMBER(FD756),INDIRECT("SamplesY!C"&amp;FD756),""))</f>
        <v/>
      </c>
      <c r="D756" s="12">
        <f>IF(ISNUMBER(FC756),INDIRECT("SamplesX!D"&amp;FC756),IF(ISNUMBER(FD756),INDIRECT("SamplesY!D"&amp;FD756),""))</f>
        <v/>
      </c>
      <c r="E756" s="12">
        <f>IF(ISNUMBER(FC756),INDIRECT("SamplesX!E"&amp;FC756),IF(ISNUMBER(FD756),INDIRECT("SamplesY!E"&amp;FD756),""))</f>
        <v/>
      </c>
      <c r="F756" s="11">
        <f>IF(ISNUMBER(FC756),INDIRECT("SamplesX!F"&amp;FC756),IF(ISNUMBER(FD756),INDIRECT("SamplesY!F"&amp;FD756),""))</f>
        <v/>
      </c>
      <c r="G756" s="18">
        <f>IF(ISNUMBER(FC756),INDIRECT("SamplesX!G"&amp;FC756),IF(ISNUMBER(FD756),INDIRECT("SamplesY!G"&amp;FD756),""))</f>
        <v/>
      </c>
      <c r="H756" s="19">
        <f>IF(ISNUMBER(FC756),INDIRECT("SamplesX!H"&amp;FC756),IF(ISNUMBER(FD756),INDIRECT("SamplesY!H"&amp;FD756),""))</f>
        <v/>
      </c>
      <c r="I756" s="16" t="n"/>
      <c r="J756" s="16" t="n"/>
      <c r="K756" s="16" t="n"/>
      <c r="L756" s="20" t="n"/>
      <c r="M756" s="20" t="inlineStr">
        <is>
          <t>None</t>
        </is>
      </c>
      <c r="N756" s="17" t="n"/>
      <c r="O756" s="16" t="n"/>
      <c r="P756" s="20" t="inlineStr">
        <is>
          <t>Shimadzu TOC-L</t>
        </is>
      </c>
      <c r="Q756" s="20" t="inlineStr">
        <is>
          <t>None</t>
        </is>
      </c>
      <c r="R756" s="17" t="n"/>
      <c r="S756" s="16" t="n"/>
      <c r="T756" s="20" t="inlineStr">
        <is>
          <t>Shimadzu TOC-L</t>
        </is>
      </c>
      <c r="U756" s="20" t="inlineStr">
        <is>
          <t>None</t>
        </is>
      </c>
      <c r="V756" s="17" t="n"/>
      <c r="W756" s="16" t="n"/>
      <c r="X756" s="20" t="n"/>
      <c r="Y756" s="20" t="inlineStr">
        <is>
          <t>None</t>
        </is>
      </c>
      <c r="Z756" s="17" t="n"/>
      <c r="AA756" s="16" t="n"/>
      <c r="AB756" s="20" t="n"/>
      <c r="AC756" s="20" t="inlineStr">
        <is>
          <t>None</t>
        </is>
      </c>
      <c r="AD756" s="17" t="n"/>
      <c r="AE756" s="16" t="n"/>
      <c r="AF756" s="20" t="inlineStr">
        <is>
          <t>IC Anionen</t>
        </is>
      </c>
      <c r="AG756" s="20" t="inlineStr">
        <is>
          <t>None</t>
        </is>
      </c>
      <c r="AH756" s="17" t="n"/>
      <c r="AI756" s="16" t="n"/>
      <c r="AJ756" s="20" t="n"/>
      <c r="AK756" s="20" t="inlineStr">
        <is>
          <t>None</t>
        </is>
      </c>
      <c r="AL756" s="17" t="n"/>
      <c r="AM756" s="16" t="n"/>
      <c r="AN756" s="20" t="inlineStr">
        <is>
          <t>IC Anionen</t>
        </is>
      </c>
      <c r="AO756" s="20" t="inlineStr">
        <is>
          <t>None</t>
        </is>
      </c>
      <c r="AP756" s="17" t="n"/>
      <c r="AQ756" s="16" t="n"/>
      <c r="AR756" s="20" t="n"/>
      <c r="AS756" s="20" t="inlineStr">
        <is>
          <t>None</t>
        </is>
      </c>
      <c r="AT756" s="17" t="n"/>
      <c r="AU756" s="16" t="n"/>
      <c r="AV756" s="20" t="n"/>
      <c r="AW756" s="20" t="inlineStr">
        <is>
          <t>None</t>
        </is>
      </c>
      <c r="AX756" s="17" t="n"/>
      <c r="AY756" s="16" t="n"/>
      <c r="AZ756" s="20" t="inlineStr">
        <is>
          <t>IC Anionen</t>
        </is>
      </c>
      <c r="BA756" s="20" t="inlineStr">
        <is>
          <t>None</t>
        </is>
      </c>
      <c r="BB756" s="17" t="n"/>
      <c r="BC756" s="16" t="n"/>
      <c r="BD756" s="20" t="inlineStr">
        <is>
          <t>IC Kationen</t>
        </is>
      </c>
      <c r="BE756" s="20" t="inlineStr">
        <is>
          <t>None</t>
        </is>
      </c>
      <c r="BF756" s="17" t="n"/>
      <c r="BG756" s="16" t="n"/>
      <c r="BH756" s="20" t="inlineStr">
        <is>
          <t>IC Kationen</t>
        </is>
      </c>
      <c r="BI756" s="20" t="inlineStr">
        <is>
          <t>None</t>
        </is>
      </c>
      <c r="BJ756" s="17" t="n"/>
      <c r="BK756" s="16" t="n"/>
      <c r="BL756" s="20" t="inlineStr">
        <is>
          <t>IC Kationen</t>
        </is>
      </c>
      <c r="BM756" s="20" t="inlineStr">
        <is>
          <t>None</t>
        </is>
      </c>
      <c r="BN756" s="17" t="n"/>
      <c r="BO756" s="16" t="n"/>
      <c r="BP756" s="20" t="inlineStr">
        <is>
          <t>IC Kationen</t>
        </is>
      </c>
      <c r="BQ756" s="20" t="inlineStr">
        <is>
          <t>None</t>
        </is>
      </c>
      <c r="BR756" s="17" t="n"/>
      <c r="BS756" s="16" t="n"/>
      <c r="BT756" s="20" t="inlineStr">
        <is>
          <t>IC Kationen</t>
        </is>
      </c>
      <c r="BU756" s="20" t="inlineStr">
        <is>
          <t>None</t>
        </is>
      </c>
      <c r="BV756" s="17" t="n"/>
      <c r="BW756" s="16" t="n"/>
      <c r="BX756" s="20" t="n"/>
      <c r="BY756" s="20" t="inlineStr">
        <is>
          <t>None</t>
        </is>
      </c>
      <c r="BZ756" s="17" t="n"/>
      <c r="CA756" s="16" t="n"/>
      <c r="CB756" s="20" t="n"/>
      <c r="CC756" s="20" t="inlineStr">
        <is>
          <t>None</t>
        </is>
      </c>
      <c r="CD756" s="17" t="n"/>
      <c r="CE756" s="16" t="n"/>
      <c r="CF756" s="20" t="n"/>
      <c r="CG756" s="20" t="inlineStr">
        <is>
          <t>None</t>
        </is>
      </c>
      <c r="CH756" s="17" t="n"/>
      <c r="CI756" s="16" t="n"/>
      <c r="CJ756" s="20" t="n"/>
      <c r="CK756" s="20" t="inlineStr">
        <is>
          <t>None</t>
        </is>
      </c>
      <c r="CL756" s="17" t="n"/>
      <c r="CM756" s="16" t="n"/>
      <c r="CN756" s="20" t="inlineStr">
        <is>
          <t>SOP 45-34</t>
        </is>
      </c>
      <c r="CO756" s="20" t="inlineStr">
        <is>
          <t>None</t>
        </is>
      </c>
      <c r="CP756" s="17" t="n"/>
      <c r="CQ756" s="16" t="n"/>
      <c r="CR756" s="20" t="n"/>
      <c r="CS756" s="20" t="inlineStr">
        <is>
          <t>None</t>
        </is>
      </c>
      <c r="CT756" s="17" t="n"/>
      <c r="CU756" s="16" t="n"/>
      <c r="CV756" s="20" t="n"/>
      <c r="CW756" s="20" t="inlineStr">
        <is>
          <t>None</t>
        </is>
      </c>
      <c r="CX756" s="17" t="n"/>
      <c r="CY756" s="16" t="n"/>
      <c r="CZ756" s="20" t="inlineStr">
        <is>
          <t>WTW Multimeter 3430 with FDO 925</t>
        </is>
      </c>
      <c r="DA756" s="20" t="inlineStr">
        <is>
          <t>None</t>
        </is>
      </c>
      <c r="DB756" s="17" t="n"/>
      <c r="DC756" s="16" t="n"/>
      <c r="DD756" s="20" t="n"/>
      <c r="DE756" s="20" t="inlineStr">
        <is>
          <t>None</t>
        </is>
      </c>
      <c r="DF756" s="17" t="n"/>
      <c r="DG756" s="16" t="n"/>
      <c r="DH756" s="20" t="inlineStr">
        <is>
          <t>SOP 45-09</t>
        </is>
      </c>
      <c r="DI756" s="20" t="inlineStr">
        <is>
          <t>None</t>
        </is>
      </c>
      <c r="DJ756" s="17" t="n"/>
      <c r="DK756" s="16" t="n"/>
      <c r="DL756" s="20" t="inlineStr">
        <is>
          <t>SOP 45-09 (SOP muss noch angepasst werden für VSS)</t>
        </is>
      </c>
      <c r="DM756" s="20" t="inlineStr">
        <is>
          <t>None</t>
        </is>
      </c>
      <c r="DN756" s="17" t="n"/>
      <c r="DO756" s="16" t="n"/>
      <c r="DP756" s="20" t="inlineStr">
        <is>
          <t>IC Organic Acids</t>
        </is>
      </c>
      <c r="DQ756" s="20" t="inlineStr">
        <is>
          <t>None</t>
        </is>
      </c>
      <c r="DR756" s="17" t="n"/>
      <c r="DS756" s="16" t="n"/>
      <c r="DT756" s="20" t="inlineStr">
        <is>
          <t>IC Organic Acids</t>
        </is>
      </c>
      <c r="DU756" s="20" t="inlineStr">
        <is>
          <t>None</t>
        </is>
      </c>
      <c r="DV756" s="17" t="n"/>
      <c r="DW756" s="16" t="n"/>
      <c r="DX756" s="20" t="inlineStr">
        <is>
          <t>IC Organic Acids</t>
        </is>
      </c>
      <c r="DY756" s="20" t="inlineStr">
        <is>
          <t>None</t>
        </is>
      </c>
      <c r="DZ756" s="17" t="n"/>
      <c r="EA756" s="16" t="n"/>
      <c r="EB756" s="20" t="inlineStr">
        <is>
          <t>IC Organic Acids</t>
        </is>
      </c>
      <c r="EC756" s="20" t="inlineStr">
        <is>
          <t>None</t>
        </is>
      </c>
      <c r="ED756" s="17" t="n"/>
      <c r="EE756" s="16" t="n"/>
      <c r="EF756" s="20" t="inlineStr">
        <is>
          <t>IC Organic Acids</t>
        </is>
      </c>
      <c r="EG756" s="20" t="inlineStr">
        <is>
          <t>None</t>
        </is>
      </c>
      <c r="EH756" s="17" t="n"/>
      <c r="EI756" s="16" t="n"/>
      <c r="EJ756" s="20" t="inlineStr">
        <is>
          <t>IC Organic Acids</t>
        </is>
      </c>
      <c r="EK756" s="20" t="inlineStr">
        <is>
          <t>None</t>
        </is>
      </c>
      <c r="EL756" s="17" t="n"/>
      <c r="EM756" s="16" t="n"/>
      <c r="EN756" s="20" t="inlineStr">
        <is>
          <t>IC Organic Acids</t>
        </is>
      </c>
      <c r="EO756" s="20" t="inlineStr">
        <is>
          <t>None</t>
        </is>
      </c>
      <c r="EP756" s="17" t="n"/>
      <c r="EQ756" s="16" t="n"/>
      <c r="ER756" s="20" t="inlineStr">
        <is>
          <t>IC Organic Acids</t>
        </is>
      </c>
      <c r="ES756" s="20" t="inlineStr">
        <is>
          <t>None</t>
        </is>
      </c>
      <c r="ET756" s="17" t="n"/>
      <c r="EU756" s="16" t="n"/>
      <c r="EV756" s="20" t="inlineStr">
        <is>
          <t>LC-MS</t>
        </is>
      </c>
      <c r="EW756" s="20" t="inlineStr">
        <is>
          <t>None</t>
        </is>
      </c>
      <c r="EX756" s="17" t="n"/>
      <c r="EY756" s="21" t="n"/>
      <c r="EZ756">
        <f>CONCATENATE(A756,B756)</f>
        <v/>
      </c>
      <c r="FA756">
        <f>CONCATENATE(SamplesX!A756,SamplesX!B756)</f>
        <v/>
      </c>
      <c r="FC756">
        <f>MATCH(EZ756,FA1:FA1008,0)</f>
        <v/>
      </c>
    </row>
    <row r="757">
      <c r="A757" s="16" t="n"/>
      <c r="B757" s="17" t="n"/>
      <c r="C757" s="10">
        <f>IF(ISNUMBER(FC757),INDIRECT("SamplesX!C"&amp;FC757),IF(ISNUMBER(FD757),INDIRECT("SamplesY!C"&amp;FD757),""))</f>
        <v/>
      </c>
      <c r="D757" s="12">
        <f>IF(ISNUMBER(FC757),INDIRECT("SamplesX!D"&amp;FC757),IF(ISNUMBER(FD757),INDIRECT("SamplesY!D"&amp;FD757),""))</f>
        <v/>
      </c>
      <c r="E757" s="12">
        <f>IF(ISNUMBER(FC757),INDIRECT("SamplesX!E"&amp;FC757),IF(ISNUMBER(FD757),INDIRECT("SamplesY!E"&amp;FD757),""))</f>
        <v/>
      </c>
      <c r="F757" s="11">
        <f>IF(ISNUMBER(FC757),INDIRECT("SamplesX!F"&amp;FC757),IF(ISNUMBER(FD757),INDIRECT("SamplesY!F"&amp;FD757),""))</f>
        <v/>
      </c>
      <c r="G757" s="18">
        <f>IF(ISNUMBER(FC757),INDIRECT("SamplesX!G"&amp;FC757),IF(ISNUMBER(FD757),INDIRECT("SamplesY!G"&amp;FD757),""))</f>
        <v/>
      </c>
      <c r="H757" s="19">
        <f>IF(ISNUMBER(FC757),INDIRECT("SamplesX!H"&amp;FC757),IF(ISNUMBER(FD757),INDIRECT("SamplesY!H"&amp;FD757),""))</f>
        <v/>
      </c>
      <c r="I757" s="16" t="n"/>
      <c r="J757" s="16" t="n"/>
      <c r="K757" s="16" t="n"/>
      <c r="L757" s="20" t="n"/>
      <c r="M757" s="20" t="inlineStr">
        <is>
          <t>None</t>
        </is>
      </c>
      <c r="N757" s="17" t="n"/>
      <c r="O757" s="16" t="n"/>
      <c r="P757" s="20" t="inlineStr">
        <is>
          <t>Shimadzu TOC-L</t>
        </is>
      </c>
      <c r="Q757" s="20" t="inlineStr">
        <is>
          <t>None</t>
        </is>
      </c>
      <c r="R757" s="17" t="n"/>
      <c r="S757" s="16" t="n"/>
      <c r="T757" s="20" t="inlineStr">
        <is>
          <t>Shimadzu TOC-L</t>
        </is>
      </c>
      <c r="U757" s="20" t="inlineStr">
        <is>
          <t>None</t>
        </is>
      </c>
      <c r="V757" s="17" t="n"/>
      <c r="W757" s="16" t="n"/>
      <c r="X757" s="20" t="n"/>
      <c r="Y757" s="20" t="inlineStr">
        <is>
          <t>None</t>
        </is>
      </c>
      <c r="Z757" s="17" t="n"/>
      <c r="AA757" s="16" t="n"/>
      <c r="AB757" s="20" t="n"/>
      <c r="AC757" s="20" t="inlineStr">
        <is>
          <t>None</t>
        </is>
      </c>
      <c r="AD757" s="17" t="n"/>
      <c r="AE757" s="16" t="n"/>
      <c r="AF757" s="20" t="inlineStr">
        <is>
          <t>IC Anionen</t>
        </is>
      </c>
      <c r="AG757" s="20" t="inlineStr">
        <is>
          <t>None</t>
        </is>
      </c>
      <c r="AH757" s="17" t="n"/>
      <c r="AI757" s="16" t="n"/>
      <c r="AJ757" s="20" t="n"/>
      <c r="AK757" s="20" t="inlineStr">
        <is>
          <t>None</t>
        </is>
      </c>
      <c r="AL757" s="17" t="n"/>
      <c r="AM757" s="16" t="n"/>
      <c r="AN757" s="20" t="inlineStr">
        <is>
          <t>IC Anionen</t>
        </is>
      </c>
      <c r="AO757" s="20" t="inlineStr">
        <is>
          <t>None</t>
        </is>
      </c>
      <c r="AP757" s="17" t="n"/>
      <c r="AQ757" s="16" t="n"/>
      <c r="AR757" s="20" t="n"/>
      <c r="AS757" s="20" t="inlineStr">
        <is>
          <t>None</t>
        </is>
      </c>
      <c r="AT757" s="17" t="n"/>
      <c r="AU757" s="16" t="n"/>
      <c r="AV757" s="20" t="n"/>
      <c r="AW757" s="20" t="inlineStr">
        <is>
          <t>None</t>
        </is>
      </c>
      <c r="AX757" s="17" t="n"/>
      <c r="AY757" s="16" t="n"/>
      <c r="AZ757" s="20" t="inlineStr">
        <is>
          <t>IC Anionen</t>
        </is>
      </c>
      <c r="BA757" s="20" t="inlineStr">
        <is>
          <t>None</t>
        </is>
      </c>
      <c r="BB757" s="17" t="n"/>
      <c r="BC757" s="16" t="n"/>
      <c r="BD757" s="20" t="inlineStr">
        <is>
          <t>IC Kationen</t>
        </is>
      </c>
      <c r="BE757" s="20" t="inlineStr">
        <is>
          <t>None</t>
        </is>
      </c>
      <c r="BF757" s="17" t="n"/>
      <c r="BG757" s="16" t="n"/>
      <c r="BH757" s="20" t="inlineStr">
        <is>
          <t>IC Kationen</t>
        </is>
      </c>
      <c r="BI757" s="20" t="inlineStr">
        <is>
          <t>None</t>
        </is>
      </c>
      <c r="BJ757" s="17" t="n"/>
      <c r="BK757" s="16" t="n"/>
      <c r="BL757" s="20" t="inlineStr">
        <is>
          <t>IC Kationen</t>
        </is>
      </c>
      <c r="BM757" s="20" t="inlineStr">
        <is>
          <t>None</t>
        </is>
      </c>
      <c r="BN757" s="17" t="n"/>
      <c r="BO757" s="16" t="n"/>
      <c r="BP757" s="20" t="inlineStr">
        <is>
          <t>IC Kationen</t>
        </is>
      </c>
      <c r="BQ757" s="20" t="inlineStr">
        <is>
          <t>None</t>
        </is>
      </c>
      <c r="BR757" s="17" t="n"/>
      <c r="BS757" s="16" t="n"/>
      <c r="BT757" s="20" t="inlineStr">
        <is>
          <t>IC Kationen</t>
        </is>
      </c>
      <c r="BU757" s="20" t="inlineStr">
        <is>
          <t>None</t>
        </is>
      </c>
      <c r="BV757" s="17" t="n"/>
      <c r="BW757" s="16" t="n"/>
      <c r="BX757" s="20" t="n"/>
      <c r="BY757" s="20" t="inlineStr">
        <is>
          <t>None</t>
        </is>
      </c>
      <c r="BZ757" s="17" t="n"/>
      <c r="CA757" s="16" t="n"/>
      <c r="CB757" s="20" t="n"/>
      <c r="CC757" s="20" t="inlineStr">
        <is>
          <t>None</t>
        </is>
      </c>
      <c r="CD757" s="17" t="n"/>
      <c r="CE757" s="16" t="n"/>
      <c r="CF757" s="20" t="n"/>
      <c r="CG757" s="20" t="inlineStr">
        <is>
          <t>None</t>
        </is>
      </c>
      <c r="CH757" s="17" t="n"/>
      <c r="CI757" s="16" t="n"/>
      <c r="CJ757" s="20" t="n"/>
      <c r="CK757" s="20" t="inlineStr">
        <is>
          <t>None</t>
        </is>
      </c>
      <c r="CL757" s="17" t="n"/>
      <c r="CM757" s="16" t="n"/>
      <c r="CN757" s="20" t="inlineStr">
        <is>
          <t>SOP 45-34</t>
        </is>
      </c>
      <c r="CO757" s="20" t="inlineStr">
        <is>
          <t>None</t>
        </is>
      </c>
      <c r="CP757" s="17" t="n"/>
      <c r="CQ757" s="16" t="n"/>
      <c r="CR757" s="20" t="n"/>
      <c r="CS757" s="20" t="inlineStr">
        <is>
          <t>None</t>
        </is>
      </c>
      <c r="CT757" s="17" t="n"/>
      <c r="CU757" s="16" t="n"/>
      <c r="CV757" s="20" t="n"/>
      <c r="CW757" s="20" t="inlineStr">
        <is>
          <t>None</t>
        </is>
      </c>
      <c r="CX757" s="17" t="n"/>
      <c r="CY757" s="16" t="n"/>
      <c r="CZ757" s="20" t="inlineStr">
        <is>
          <t>WTW Multimeter 3430 with FDO 925</t>
        </is>
      </c>
      <c r="DA757" s="20" t="inlineStr">
        <is>
          <t>None</t>
        </is>
      </c>
      <c r="DB757" s="17" t="n"/>
      <c r="DC757" s="16" t="n"/>
      <c r="DD757" s="20" t="n"/>
      <c r="DE757" s="20" t="inlineStr">
        <is>
          <t>None</t>
        </is>
      </c>
      <c r="DF757" s="17" t="n"/>
      <c r="DG757" s="16" t="n"/>
      <c r="DH757" s="20" t="inlineStr">
        <is>
          <t>SOP 45-09</t>
        </is>
      </c>
      <c r="DI757" s="20" t="inlineStr">
        <is>
          <t>None</t>
        </is>
      </c>
      <c r="DJ757" s="17" t="n"/>
      <c r="DK757" s="16" t="n"/>
      <c r="DL757" s="20" t="inlineStr">
        <is>
          <t>SOP 45-09 (SOP muss noch angepasst werden für VSS)</t>
        </is>
      </c>
      <c r="DM757" s="20" t="inlineStr">
        <is>
          <t>None</t>
        </is>
      </c>
      <c r="DN757" s="17" t="n"/>
      <c r="DO757" s="16" t="n"/>
      <c r="DP757" s="20" t="inlineStr">
        <is>
          <t>IC Organic Acids</t>
        </is>
      </c>
      <c r="DQ757" s="20" t="inlineStr">
        <is>
          <t>None</t>
        </is>
      </c>
      <c r="DR757" s="17" t="n"/>
      <c r="DS757" s="16" t="n"/>
      <c r="DT757" s="20" t="inlineStr">
        <is>
          <t>IC Organic Acids</t>
        </is>
      </c>
      <c r="DU757" s="20" t="inlineStr">
        <is>
          <t>None</t>
        </is>
      </c>
      <c r="DV757" s="17" t="n"/>
      <c r="DW757" s="16" t="n"/>
      <c r="DX757" s="20" t="inlineStr">
        <is>
          <t>IC Organic Acids</t>
        </is>
      </c>
      <c r="DY757" s="20" t="inlineStr">
        <is>
          <t>None</t>
        </is>
      </c>
      <c r="DZ757" s="17" t="n"/>
      <c r="EA757" s="16" t="n"/>
      <c r="EB757" s="20" t="inlineStr">
        <is>
          <t>IC Organic Acids</t>
        </is>
      </c>
      <c r="EC757" s="20" t="inlineStr">
        <is>
          <t>None</t>
        </is>
      </c>
      <c r="ED757" s="17" t="n"/>
      <c r="EE757" s="16" t="n"/>
      <c r="EF757" s="20" t="inlineStr">
        <is>
          <t>IC Organic Acids</t>
        </is>
      </c>
      <c r="EG757" s="20" t="inlineStr">
        <is>
          <t>None</t>
        </is>
      </c>
      <c r="EH757" s="17" t="n"/>
      <c r="EI757" s="16" t="n"/>
      <c r="EJ757" s="20" t="inlineStr">
        <is>
          <t>IC Organic Acids</t>
        </is>
      </c>
      <c r="EK757" s="20" t="inlineStr">
        <is>
          <t>None</t>
        </is>
      </c>
      <c r="EL757" s="17" t="n"/>
      <c r="EM757" s="16" t="n"/>
      <c r="EN757" s="20" t="inlineStr">
        <is>
          <t>IC Organic Acids</t>
        </is>
      </c>
      <c r="EO757" s="20" t="inlineStr">
        <is>
          <t>None</t>
        </is>
      </c>
      <c r="EP757" s="17" t="n"/>
      <c r="EQ757" s="16" t="n"/>
      <c r="ER757" s="20" t="inlineStr">
        <is>
          <t>IC Organic Acids</t>
        </is>
      </c>
      <c r="ES757" s="20" t="inlineStr">
        <is>
          <t>None</t>
        </is>
      </c>
      <c r="ET757" s="17" t="n"/>
      <c r="EU757" s="16" t="n"/>
      <c r="EV757" s="20" t="inlineStr">
        <is>
          <t>LC-MS</t>
        </is>
      </c>
      <c r="EW757" s="20" t="inlineStr">
        <is>
          <t>None</t>
        </is>
      </c>
      <c r="EX757" s="17" t="n"/>
      <c r="EY757" s="21" t="n"/>
      <c r="EZ757">
        <f>CONCATENATE(A757,B757)</f>
        <v/>
      </c>
      <c r="FA757">
        <f>CONCATENATE(SamplesX!A757,SamplesX!B757)</f>
        <v/>
      </c>
      <c r="FC757">
        <f>MATCH(EZ757,FA1:FA1008,0)</f>
        <v/>
      </c>
    </row>
    <row r="758">
      <c r="A758" s="16" t="n"/>
      <c r="B758" s="17" t="n"/>
      <c r="C758" s="10">
        <f>IF(ISNUMBER(FC758),INDIRECT("SamplesX!C"&amp;FC758),IF(ISNUMBER(FD758),INDIRECT("SamplesY!C"&amp;FD758),""))</f>
        <v/>
      </c>
      <c r="D758" s="12">
        <f>IF(ISNUMBER(FC758),INDIRECT("SamplesX!D"&amp;FC758),IF(ISNUMBER(FD758),INDIRECT("SamplesY!D"&amp;FD758),""))</f>
        <v/>
      </c>
      <c r="E758" s="12">
        <f>IF(ISNUMBER(FC758),INDIRECT("SamplesX!E"&amp;FC758),IF(ISNUMBER(FD758),INDIRECT("SamplesY!E"&amp;FD758),""))</f>
        <v/>
      </c>
      <c r="F758" s="11">
        <f>IF(ISNUMBER(FC758),INDIRECT("SamplesX!F"&amp;FC758),IF(ISNUMBER(FD758),INDIRECT("SamplesY!F"&amp;FD758),""))</f>
        <v/>
      </c>
      <c r="G758" s="18">
        <f>IF(ISNUMBER(FC758),INDIRECT("SamplesX!G"&amp;FC758),IF(ISNUMBER(FD758),INDIRECT("SamplesY!G"&amp;FD758),""))</f>
        <v/>
      </c>
      <c r="H758" s="19">
        <f>IF(ISNUMBER(FC758),INDIRECT("SamplesX!H"&amp;FC758),IF(ISNUMBER(FD758),INDIRECT("SamplesY!H"&amp;FD758),""))</f>
        <v/>
      </c>
      <c r="I758" s="16" t="n"/>
      <c r="J758" s="16" t="n"/>
      <c r="K758" s="16" t="n"/>
      <c r="L758" s="20" t="n"/>
      <c r="M758" s="20" t="inlineStr">
        <is>
          <t>None</t>
        </is>
      </c>
      <c r="N758" s="17" t="n"/>
      <c r="O758" s="16" t="n"/>
      <c r="P758" s="20" t="inlineStr">
        <is>
          <t>Shimadzu TOC-L</t>
        </is>
      </c>
      <c r="Q758" s="20" t="inlineStr">
        <is>
          <t>None</t>
        </is>
      </c>
      <c r="R758" s="17" t="n"/>
      <c r="S758" s="16" t="n"/>
      <c r="T758" s="20" t="inlineStr">
        <is>
          <t>Shimadzu TOC-L</t>
        </is>
      </c>
      <c r="U758" s="20" t="inlineStr">
        <is>
          <t>None</t>
        </is>
      </c>
      <c r="V758" s="17" t="n"/>
      <c r="W758" s="16" t="n"/>
      <c r="X758" s="20" t="n"/>
      <c r="Y758" s="20" t="inlineStr">
        <is>
          <t>None</t>
        </is>
      </c>
      <c r="Z758" s="17" t="n"/>
      <c r="AA758" s="16" t="n"/>
      <c r="AB758" s="20" t="n"/>
      <c r="AC758" s="20" t="inlineStr">
        <is>
          <t>None</t>
        </is>
      </c>
      <c r="AD758" s="17" t="n"/>
      <c r="AE758" s="16" t="n"/>
      <c r="AF758" s="20" t="inlineStr">
        <is>
          <t>IC Anionen</t>
        </is>
      </c>
      <c r="AG758" s="20" t="inlineStr">
        <is>
          <t>None</t>
        </is>
      </c>
      <c r="AH758" s="17" t="n"/>
      <c r="AI758" s="16" t="n"/>
      <c r="AJ758" s="20" t="n"/>
      <c r="AK758" s="20" t="inlineStr">
        <is>
          <t>None</t>
        </is>
      </c>
      <c r="AL758" s="17" t="n"/>
      <c r="AM758" s="16" t="n"/>
      <c r="AN758" s="20" t="inlineStr">
        <is>
          <t>IC Anionen</t>
        </is>
      </c>
      <c r="AO758" s="20" t="inlineStr">
        <is>
          <t>None</t>
        </is>
      </c>
      <c r="AP758" s="17" t="n"/>
      <c r="AQ758" s="16" t="n"/>
      <c r="AR758" s="20" t="n"/>
      <c r="AS758" s="20" t="inlineStr">
        <is>
          <t>None</t>
        </is>
      </c>
      <c r="AT758" s="17" t="n"/>
      <c r="AU758" s="16" t="n"/>
      <c r="AV758" s="20" t="n"/>
      <c r="AW758" s="20" t="inlineStr">
        <is>
          <t>None</t>
        </is>
      </c>
      <c r="AX758" s="17" t="n"/>
      <c r="AY758" s="16" t="n"/>
      <c r="AZ758" s="20" t="inlineStr">
        <is>
          <t>IC Anionen</t>
        </is>
      </c>
      <c r="BA758" s="20" t="inlineStr">
        <is>
          <t>None</t>
        </is>
      </c>
      <c r="BB758" s="17" t="n"/>
      <c r="BC758" s="16" t="n"/>
      <c r="BD758" s="20" t="inlineStr">
        <is>
          <t>IC Kationen</t>
        </is>
      </c>
      <c r="BE758" s="20" t="inlineStr">
        <is>
          <t>None</t>
        </is>
      </c>
      <c r="BF758" s="17" t="n"/>
      <c r="BG758" s="16" t="n"/>
      <c r="BH758" s="20" t="inlineStr">
        <is>
          <t>IC Kationen</t>
        </is>
      </c>
      <c r="BI758" s="20" t="inlineStr">
        <is>
          <t>None</t>
        </is>
      </c>
      <c r="BJ758" s="17" t="n"/>
      <c r="BK758" s="16" t="n"/>
      <c r="BL758" s="20" t="inlineStr">
        <is>
          <t>IC Kationen</t>
        </is>
      </c>
      <c r="BM758" s="20" t="inlineStr">
        <is>
          <t>None</t>
        </is>
      </c>
      <c r="BN758" s="17" t="n"/>
      <c r="BO758" s="16" t="n"/>
      <c r="BP758" s="20" t="inlineStr">
        <is>
          <t>IC Kationen</t>
        </is>
      </c>
      <c r="BQ758" s="20" t="inlineStr">
        <is>
          <t>None</t>
        </is>
      </c>
      <c r="BR758" s="17" t="n"/>
      <c r="BS758" s="16" t="n"/>
      <c r="BT758" s="20" t="inlineStr">
        <is>
          <t>IC Kationen</t>
        </is>
      </c>
      <c r="BU758" s="20" t="inlineStr">
        <is>
          <t>None</t>
        </is>
      </c>
      <c r="BV758" s="17" t="n"/>
      <c r="BW758" s="16" t="n"/>
      <c r="BX758" s="20" t="n"/>
      <c r="BY758" s="20" t="inlineStr">
        <is>
          <t>None</t>
        </is>
      </c>
      <c r="BZ758" s="17" t="n"/>
      <c r="CA758" s="16" t="n"/>
      <c r="CB758" s="20" t="n"/>
      <c r="CC758" s="20" t="inlineStr">
        <is>
          <t>None</t>
        </is>
      </c>
      <c r="CD758" s="17" t="n"/>
      <c r="CE758" s="16" t="n"/>
      <c r="CF758" s="20" t="n"/>
      <c r="CG758" s="20" t="inlineStr">
        <is>
          <t>None</t>
        </is>
      </c>
      <c r="CH758" s="17" t="n"/>
      <c r="CI758" s="16" t="n"/>
      <c r="CJ758" s="20" t="n"/>
      <c r="CK758" s="20" t="inlineStr">
        <is>
          <t>None</t>
        </is>
      </c>
      <c r="CL758" s="17" t="n"/>
      <c r="CM758" s="16" t="n"/>
      <c r="CN758" s="20" t="inlineStr">
        <is>
          <t>SOP 45-34</t>
        </is>
      </c>
      <c r="CO758" s="20" t="inlineStr">
        <is>
          <t>None</t>
        </is>
      </c>
      <c r="CP758" s="17" t="n"/>
      <c r="CQ758" s="16" t="n"/>
      <c r="CR758" s="20" t="n"/>
      <c r="CS758" s="20" t="inlineStr">
        <is>
          <t>None</t>
        </is>
      </c>
      <c r="CT758" s="17" t="n"/>
      <c r="CU758" s="16" t="n"/>
      <c r="CV758" s="20" t="n"/>
      <c r="CW758" s="20" t="inlineStr">
        <is>
          <t>None</t>
        </is>
      </c>
      <c r="CX758" s="17" t="n"/>
      <c r="CY758" s="16" t="n"/>
      <c r="CZ758" s="20" t="inlineStr">
        <is>
          <t>WTW Multimeter 3430 with FDO 925</t>
        </is>
      </c>
      <c r="DA758" s="20" t="inlineStr">
        <is>
          <t>None</t>
        </is>
      </c>
      <c r="DB758" s="17" t="n"/>
      <c r="DC758" s="16" t="n"/>
      <c r="DD758" s="20" t="n"/>
      <c r="DE758" s="20" t="inlineStr">
        <is>
          <t>None</t>
        </is>
      </c>
      <c r="DF758" s="17" t="n"/>
      <c r="DG758" s="16" t="n"/>
      <c r="DH758" s="20" t="inlineStr">
        <is>
          <t>SOP 45-09</t>
        </is>
      </c>
      <c r="DI758" s="20" t="inlineStr">
        <is>
          <t>None</t>
        </is>
      </c>
      <c r="DJ758" s="17" t="n"/>
      <c r="DK758" s="16" t="n"/>
      <c r="DL758" s="20" t="inlineStr">
        <is>
          <t>SOP 45-09 (SOP muss noch angepasst werden für VSS)</t>
        </is>
      </c>
      <c r="DM758" s="20" t="inlineStr">
        <is>
          <t>None</t>
        </is>
      </c>
      <c r="DN758" s="17" t="n"/>
      <c r="DO758" s="16" t="n"/>
      <c r="DP758" s="20" t="inlineStr">
        <is>
          <t>IC Organic Acids</t>
        </is>
      </c>
      <c r="DQ758" s="20" t="inlineStr">
        <is>
          <t>None</t>
        </is>
      </c>
      <c r="DR758" s="17" t="n"/>
      <c r="DS758" s="16" t="n"/>
      <c r="DT758" s="20" t="inlineStr">
        <is>
          <t>IC Organic Acids</t>
        </is>
      </c>
      <c r="DU758" s="20" t="inlineStr">
        <is>
          <t>None</t>
        </is>
      </c>
      <c r="DV758" s="17" t="n"/>
      <c r="DW758" s="16" t="n"/>
      <c r="DX758" s="20" t="inlineStr">
        <is>
          <t>IC Organic Acids</t>
        </is>
      </c>
      <c r="DY758" s="20" t="inlineStr">
        <is>
          <t>None</t>
        </is>
      </c>
      <c r="DZ758" s="17" t="n"/>
      <c r="EA758" s="16" t="n"/>
      <c r="EB758" s="20" t="inlineStr">
        <is>
          <t>IC Organic Acids</t>
        </is>
      </c>
      <c r="EC758" s="20" t="inlineStr">
        <is>
          <t>None</t>
        </is>
      </c>
      <c r="ED758" s="17" t="n"/>
      <c r="EE758" s="16" t="n"/>
      <c r="EF758" s="20" t="inlineStr">
        <is>
          <t>IC Organic Acids</t>
        </is>
      </c>
      <c r="EG758" s="20" t="inlineStr">
        <is>
          <t>None</t>
        </is>
      </c>
      <c r="EH758" s="17" t="n"/>
      <c r="EI758" s="16" t="n"/>
      <c r="EJ758" s="20" t="inlineStr">
        <is>
          <t>IC Organic Acids</t>
        </is>
      </c>
      <c r="EK758" s="20" t="inlineStr">
        <is>
          <t>None</t>
        </is>
      </c>
      <c r="EL758" s="17" t="n"/>
      <c r="EM758" s="16" t="n"/>
      <c r="EN758" s="20" t="inlineStr">
        <is>
          <t>IC Organic Acids</t>
        </is>
      </c>
      <c r="EO758" s="20" t="inlineStr">
        <is>
          <t>None</t>
        </is>
      </c>
      <c r="EP758" s="17" t="n"/>
      <c r="EQ758" s="16" t="n"/>
      <c r="ER758" s="20" t="inlineStr">
        <is>
          <t>IC Organic Acids</t>
        </is>
      </c>
      <c r="ES758" s="20" t="inlineStr">
        <is>
          <t>None</t>
        </is>
      </c>
      <c r="ET758" s="17" t="n"/>
      <c r="EU758" s="16" t="n"/>
      <c r="EV758" s="20" t="inlineStr">
        <is>
          <t>LC-MS</t>
        </is>
      </c>
      <c r="EW758" s="20" t="inlineStr">
        <is>
          <t>None</t>
        </is>
      </c>
      <c r="EX758" s="17" t="n"/>
      <c r="EY758" s="21" t="n"/>
      <c r="EZ758">
        <f>CONCATENATE(A758,B758)</f>
        <v/>
      </c>
      <c r="FA758">
        <f>CONCATENATE(SamplesX!A758,SamplesX!B758)</f>
        <v/>
      </c>
      <c r="FC758">
        <f>MATCH(EZ758,FA1:FA1008,0)</f>
        <v/>
      </c>
    </row>
    <row r="759">
      <c r="A759" s="16" t="n"/>
      <c r="B759" s="17" t="n"/>
      <c r="C759" s="10">
        <f>IF(ISNUMBER(FC759),INDIRECT("SamplesX!C"&amp;FC759),IF(ISNUMBER(FD759),INDIRECT("SamplesY!C"&amp;FD759),""))</f>
        <v/>
      </c>
      <c r="D759" s="12">
        <f>IF(ISNUMBER(FC759),INDIRECT("SamplesX!D"&amp;FC759),IF(ISNUMBER(FD759),INDIRECT("SamplesY!D"&amp;FD759),""))</f>
        <v/>
      </c>
      <c r="E759" s="12">
        <f>IF(ISNUMBER(FC759),INDIRECT("SamplesX!E"&amp;FC759),IF(ISNUMBER(FD759),INDIRECT("SamplesY!E"&amp;FD759),""))</f>
        <v/>
      </c>
      <c r="F759" s="11">
        <f>IF(ISNUMBER(FC759),INDIRECT("SamplesX!F"&amp;FC759),IF(ISNUMBER(FD759),INDIRECT("SamplesY!F"&amp;FD759),""))</f>
        <v/>
      </c>
      <c r="G759" s="18">
        <f>IF(ISNUMBER(FC759),INDIRECT("SamplesX!G"&amp;FC759),IF(ISNUMBER(FD759),INDIRECT("SamplesY!G"&amp;FD759),""))</f>
        <v/>
      </c>
      <c r="H759" s="19">
        <f>IF(ISNUMBER(FC759),INDIRECT("SamplesX!H"&amp;FC759),IF(ISNUMBER(FD759),INDIRECT("SamplesY!H"&amp;FD759),""))</f>
        <v/>
      </c>
      <c r="I759" s="16" t="n"/>
      <c r="J759" s="16" t="n"/>
      <c r="K759" s="16" t="n"/>
      <c r="L759" s="20" t="n"/>
      <c r="M759" s="20" t="inlineStr">
        <is>
          <t>None</t>
        </is>
      </c>
      <c r="N759" s="17" t="n"/>
      <c r="O759" s="16" t="n"/>
      <c r="P759" s="20" t="inlineStr">
        <is>
          <t>Shimadzu TOC-L</t>
        </is>
      </c>
      <c r="Q759" s="20" t="inlineStr">
        <is>
          <t>None</t>
        </is>
      </c>
      <c r="R759" s="17" t="n"/>
      <c r="S759" s="16" t="n"/>
      <c r="T759" s="20" t="inlineStr">
        <is>
          <t>Shimadzu TOC-L</t>
        </is>
      </c>
      <c r="U759" s="20" t="inlineStr">
        <is>
          <t>None</t>
        </is>
      </c>
      <c r="V759" s="17" t="n"/>
      <c r="W759" s="16" t="n"/>
      <c r="X759" s="20" t="n"/>
      <c r="Y759" s="20" t="inlineStr">
        <is>
          <t>None</t>
        </is>
      </c>
      <c r="Z759" s="17" t="n"/>
      <c r="AA759" s="16" t="n"/>
      <c r="AB759" s="20" t="n"/>
      <c r="AC759" s="20" t="inlineStr">
        <is>
          <t>None</t>
        </is>
      </c>
      <c r="AD759" s="17" t="n"/>
      <c r="AE759" s="16" t="n"/>
      <c r="AF759" s="20" t="inlineStr">
        <is>
          <t>IC Anionen</t>
        </is>
      </c>
      <c r="AG759" s="20" t="inlineStr">
        <is>
          <t>None</t>
        </is>
      </c>
      <c r="AH759" s="17" t="n"/>
      <c r="AI759" s="16" t="n"/>
      <c r="AJ759" s="20" t="n"/>
      <c r="AK759" s="20" t="inlineStr">
        <is>
          <t>None</t>
        </is>
      </c>
      <c r="AL759" s="17" t="n"/>
      <c r="AM759" s="16" t="n"/>
      <c r="AN759" s="20" t="inlineStr">
        <is>
          <t>IC Anionen</t>
        </is>
      </c>
      <c r="AO759" s="20" t="inlineStr">
        <is>
          <t>None</t>
        </is>
      </c>
      <c r="AP759" s="17" t="n"/>
      <c r="AQ759" s="16" t="n"/>
      <c r="AR759" s="20" t="n"/>
      <c r="AS759" s="20" t="inlineStr">
        <is>
          <t>None</t>
        </is>
      </c>
      <c r="AT759" s="17" t="n"/>
      <c r="AU759" s="16" t="n"/>
      <c r="AV759" s="20" t="n"/>
      <c r="AW759" s="20" t="inlineStr">
        <is>
          <t>None</t>
        </is>
      </c>
      <c r="AX759" s="17" t="n"/>
      <c r="AY759" s="16" t="n"/>
      <c r="AZ759" s="20" t="inlineStr">
        <is>
          <t>IC Anionen</t>
        </is>
      </c>
      <c r="BA759" s="20" t="inlineStr">
        <is>
          <t>None</t>
        </is>
      </c>
      <c r="BB759" s="17" t="n"/>
      <c r="BC759" s="16" t="n"/>
      <c r="BD759" s="20" t="inlineStr">
        <is>
          <t>IC Kationen</t>
        </is>
      </c>
      <c r="BE759" s="20" t="inlineStr">
        <is>
          <t>None</t>
        </is>
      </c>
      <c r="BF759" s="17" t="n"/>
      <c r="BG759" s="16" t="n"/>
      <c r="BH759" s="20" t="inlineStr">
        <is>
          <t>IC Kationen</t>
        </is>
      </c>
      <c r="BI759" s="20" t="inlineStr">
        <is>
          <t>None</t>
        </is>
      </c>
      <c r="BJ759" s="17" t="n"/>
      <c r="BK759" s="16" t="n"/>
      <c r="BL759" s="20" t="inlineStr">
        <is>
          <t>IC Kationen</t>
        </is>
      </c>
      <c r="BM759" s="20" t="inlineStr">
        <is>
          <t>None</t>
        </is>
      </c>
      <c r="BN759" s="17" t="n"/>
      <c r="BO759" s="16" t="n"/>
      <c r="BP759" s="20" t="inlineStr">
        <is>
          <t>IC Kationen</t>
        </is>
      </c>
      <c r="BQ759" s="20" t="inlineStr">
        <is>
          <t>None</t>
        </is>
      </c>
      <c r="BR759" s="17" t="n"/>
      <c r="BS759" s="16" t="n"/>
      <c r="BT759" s="20" t="inlineStr">
        <is>
          <t>IC Kationen</t>
        </is>
      </c>
      <c r="BU759" s="20" t="inlineStr">
        <is>
          <t>None</t>
        </is>
      </c>
      <c r="BV759" s="17" t="n"/>
      <c r="BW759" s="16" t="n"/>
      <c r="BX759" s="20" t="n"/>
      <c r="BY759" s="20" t="inlineStr">
        <is>
          <t>None</t>
        </is>
      </c>
      <c r="BZ759" s="17" t="n"/>
      <c r="CA759" s="16" t="n"/>
      <c r="CB759" s="20" t="n"/>
      <c r="CC759" s="20" t="inlineStr">
        <is>
          <t>None</t>
        </is>
      </c>
      <c r="CD759" s="17" t="n"/>
      <c r="CE759" s="16" t="n"/>
      <c r="CF759" s="20" t="n"/>
      <c r="CG759" s="20" t="inlineStr">
        <is>
          <t>None</t>
        </is>
      </c>
      <c r="CH759" s="17" t="n"/>
      <c r="CI759" s="16" t="n"/>
      <c r="CJ759" s="20" t="n"/>
      <c r="CK759" s="20" t="inlineStr">
        <is>
          <t>None</t>
        </is>
      </c>
      <c r="CL759" s="17" t="n"/>
      <c r="CM759" s="16" t="n"/>
      <c r="CN759" s="20" t="inlineStr">
        <is>
          <t>SOP 45-34</t>
        </is>
      </c>
      <c r="CO759" s="20" t="inlineStr">
        <is>
          <t>None</t>
        </is>
      </c>
      <c r="CP759" s="17" t="n"/>
      <c r="CQ759" s="16" t="n"/>
      <c r="CR759" s="20" t="n"/>
      <c r="CS759" s="20" t="inlineStr">
        <is>
          <t>None</t>
        </is>
      </c>
      <c r="CT759" s="17" t="n"/>
      <c r="CU759" s="16" t="n"/>
      <c r="CV759" s="20" t="n"/>
      <c r="CW759" s="20" t="inlineStr">
        <is>
          <t>None</t>
        </is>
      </c>
      <c r="CX759" s="17" t="n"/>
      <c r="CY759" s="16" t="n"/>
      <c r="CZ759" s="20" t="inlineStr">
        <is>
          <t>WTW Multimeter 3430 with FDO 925</t>
        </is>
      </c>
      <c r="DA759" s="20" t="inlineStr">
        <is>
          <t>None</t>
        </is>
      </c>
      <c r="DB759" s="17" t="n"/>
      <c r="DC759" s="16" t="n"/>
      <c r="DD759" s="20" t="n"/>
      <c r="DE759" s="20" t="inlineStr">
        <is>
          <t>None</t>
        </is>
      </c>
      <c r="DF759" s="17" t="n"/>
      <c r="DG759" s="16" t="n"/>
      <c r="DH759" s="20" t="inlineStr">
        <is>
          <t>SOP 45-09</t>
        </is>
      </c>
      <c r="DI759" s="20" t="inlineStr">
        <is>
          <t>None</t>
        </is>
      </c>
      <c r="DJ759" s="17" t="n"/>
      <c r="DK759" s="16" t="n"/>
      <c r="DL759" s="20" t="inlineStr">
        <is>
          <t>SOP 45-09 (SOP muss noch angepasst werden für VSS)</t>
        </is>
      </c>
      <c r="DM759" s="20" t="inlineStr">
        <is>
          <t>None</t>
        </is>
      </c>
      <c r="DN759" s="17" t="n"/>
      <c r="DO759" s="16" t="n"/>
      <c r="DP759" s="20" t="inlineStr">
        <is>
          <t>IC Organic Acids</t>
        </is>
      </c>
      <c r="DQ759" s="20" t="inlineStr">
        <is>
          <t>None</t>
        </is>
      </c>
      <c r="DR759" s="17" t="n"/>
      <c r="DS759" s="16" t="n"/>
      <c r="DT759" s="20" t="inlineStr">
        <is>
          <t>IC Organic Acids</t>
        </is>
      </c>
      <c r="DU759" s="20" t="inlineStr">
        <is>
          <t>None</t>
        </is>
      </c>
      <c r="DV759" s="17" t="n"/>
      <c r="DW759" s="16" t="n"/>
      <c r="DX759" s="20" t="inlineStr">
        <is>
          <t>IC Organic Acids</t>
        </is>
      </c>
      <c r="DY759" s="20" t="inlineStr">
        <is>
          <t>None</t>
        </is>
      </c>
      <c r="DZ759" s="17" t="n"/>
      <c r="EA759" s="16" t="n"/>
      <c r="EB759" s="20" t="inlineStr">
        <is>
          <t>IC Organic Acids</t>
        </is>
      </c>
      <c r="EC759" s="20" t="inlineStr">
        <is>
          <t>None</t>
        </is>
      </c>
      <c r="ED759" s="17" t="n"/>
      <c r="EE759" s="16" t="n"/>
      <c r="EF759" s="20" t="inlineStr">
        <is>
          <t>IC Organic Acids</t>
        </is>
      </c>
      <c r="EG759" s="20" t="inlineStr">
        <is>
          <t>None</t>
        </is>
      </c>
      <c r="EH759" s="17" t="n"/>
      <c r="EI759" s="16" t="n"/>
      <c r="EJ759" s="20" t="inlineStr">
        <is>
          <t>IC Organic Acids</t>
        </is>
      </c>
      <c r="EK759" s="20" t="inlineStr">
        <is>
          <t>None</t>
        </is>
      </c>
      <c r="EL759" s="17" t="n"/>
      <c r="EM759" s="16" t="n"/>
      <c r="EN759" s="20" t="inlineStr">
        <is>
          <t>IC Organic Acids</t>
        </is>
      </c>
      <c r="EO759" s="20" t="inlineStr">
        <is>
          <t>None</t>
        </is>
      </c>
      <c r="EP759" s="17" t="n"/>
      <c r="EQ759" s="16" t="n"/>
      <c r="ER759" s="20" t="inlineStr">
        <is>
          <t>IC Organic Acids</t>
        </is>
      </c>
      <c r="ES759" s="20" t="inlineStr">
        <is>
          <t>None</t>
        </is>
      </c>
      <c r="ET759" s="17" t="n"/>
      <c r="EU759" s="16" t="n"/>
      <c r="EV759" s="20" t="inlineStr">
        <is>
          <t>LC-MS</t>
        </is>
      </c>
      <c r="EW759" s="20" t="inlineStr">
        <is>
          <t>None</t>
        </is>
      </c>
      <c r="EX759" s="17" t="n"/>
      <c r="EY759" s="21" t="n"/>
      <c r="EZ759">
        <f>CONCATENATE(A759,B759)</f>
        <v/>
      </c>
      <c r="FA759">
        <f>CONCATENATE(SamplesX!A759,SamplesX!B759)</f>
        <v/>
      </c>
      <c r="FC759">
        <f>MATCH(EZ759,FA1:FA1008,0)</f>
        <v/>
      </c>
    </row>
    <row r="760">
      <c r="A760" s="16" t="n"/>
      <c r="B760" s="17" t="n"/>
      <c r="C760" s="10">
        <f>IF(ISNUMBER(FC760),INDIRECT("SamplesX!C"&amp;FC760),IF(ISNUMBER(FD760),INDIRECT("SamplesY!C"&amp;FD760),""))</f>
        <v/>
      </c>
      <c r="D760" s="12">
        <f>IF(ISNUMBER(FC760),INDIRECT("SamplesX!D"&amp;FC760),IF(ISNUMBER(FD760),INDIRECT("SamplesY!D"&amp;FD760),""))</f>
        <v/>
      </c>
      <c r="E760" s="12">
        <f>IF(ISNUMBER(FC760),INDIRECT("SamplesX!E"&amp;FC760),IF(ISNUMBER(FD760),INDIRECT("SamplesY!E"&amp;FD760),""))</f>
        <v/>
      </c>
      <c r="F760" s="11">
        <f>IF(ISNUMBER(FC760),INDIRECT("SamplesX!F"&amp;FC760),IF(ISNUMBER(FD760),INDIRECT("SamplesY!F"&amp;FD760),""))</f>
        <v/>
      </c>
      <c r="G760" s="18">
        <f>IF(ISNUMBER(FC760),INDIRECT("SamplesX!G"&amp;FC760),IF(ISNUMBER(FD760),INDIRECT("SamplesY!G"&amp;FD760),""))</f>
        <v/>
      </c>
      <c r="H760" s="19">
        <f>IF(ISNUMBER(FC760),INDIRECT("SamplesX!H"&amp;FC760),IF(ISNUMBER(FD760),INDIRECT("SamplesY!H"&amp;FD760),""))</f>
        <v/>
      </c>
      <c r="I760" s="16" t="n"/>
      <c r="J760" s="16" t="n"/>
      <c r="K760" s="16" t="n"/>
      <c r="L760" s="20" t="n"/>
      <c r="M760" s="20" t="inlineStr">
        <is>
          <t>None</t>
        </is>
      </c>
      <c r="N760" s="17" t="n"/>
      <c r="O760" s="16" t="n"/>
      <c r="P760" s="20" t="inlineStr">
        <is>
          <t>Shimadzu TOC-L</t>
        </is>
      </c>
      <c r="Q760" s="20" t="inlineStr">
        <is>
          <t>None</t>
        </is>
      </c>
      <c r="R760" s="17" t="n"/>
      <c r="S760" s="16" t="n"/>
      <c r="T760" s="20" t="inlineStr">
        <is>
          <t>Shimadzu TOC-L</t>
        </is>
      </c>
      <c r="U760" s="20" t="inlineStr">
        <is>
          <t>None</t>
        </is>
      </c>
      <c r="V760" s="17" t="n"/>
      <c r="W760" s="16" t="n"/>
      <c r="X760" s="20" t="n"/>
      <c r="Y760" s="20" t="inlineStr">
        <is>
          <t>None</t>
        </is>
      </c>
      <c r="Z760" s="17" t="n"/>
      <c r="AA760" s="16" t="n"/>
      <c r="AB760" s="20" t="n"/>
      <c r="AC760" s="20" t="inlineStr">
        <is>
          <t>None</t>
        </is>
      </c>
      <c r="AD760" s="17" t="n"/>
      <c r="AE760" s="16" t="n"/>
      <c r="AF760" s="20" t="inlineStr">
        <is>
          <t>IC Anionen</t>
        </is>
      </c>
      <c r="AG760" s="20" t="inlineStr">
        <is>
          <t>None</t>
        </is>
      </c>
      <c r="AH760" s="17" t="n"/>
      <c r="AI760" s="16" t="n"/>
      <c r="AJ760" s="20" t="n"/>
      <c r="AK760" s="20" t="inlineStr">
        <is>
          <t>None</t>
        </is>
      </c>
      <c r="AL760" s="17" t="n"/>
      <c r="AM760" s="16" t="n"/>
      <c r="AN760" s="20" t="inlineStr">
        <is>
          <t>IC Anionen</t>
        </is>
      </c>
      <c r="AO760" s="20" t="inlineStr">
        <is>
          <t>None</t>
        </is>
      </c>
      <c r="AP760" s="17" t="n"/>
      <c r="AQ760" s="16" t="n"/>
      <c r="AR760" s="20" t="n"/>
      <c r="AS760" s="20" t="inlineStr">
        <is>
          <t>None</t>
        </is>
      </c>
      <c r="AT760" s="17" t="n"/>
      <c r="AU760" s="16" t="n"/>
      <c r="AV760" s="20" t="n"/>
      <c r="AW760" s="20" t="inlineStr">
        <is>
          <t>None</t>
        </is>
      </c>
      <c r="AX760" s="17" t="n"/>
      <c r="AY760" s="16" t="n"/>
      <c r="AZ760" s="20" t="inlineStr">
        <is>
          <t>IC Anionen</t>
        </is>
      </c>
      <c r="BA760" s="20" t="inlineStr">
        <is>
          <t>None</t>
        </is>
      </c>
      <c r="BB760" s="17" t="n"/>
      <c r="BC760" s="16" t="n"/>
      <c r="BD760" s="20" t="inlineStr">
        <is>
          <t>IC Kationen</t>
        </is>
      </c>
      <c r="BE760" s="20" t="inlineStr">
        <is>
          <t>None</t>
        </is>
      </c>
      <c r="BF760" s="17" t="n"/>
      <c r="BG760" s="16" t="n"/>
      <c r="BH760" s="20" t="inlineStr">
        <is>
          <t>IC Kationen</t>
        </is>
      </c>
      <c r="BI760" s="20" t="inlineStr">
        <is>
          <t>None</t>
        </is>
      </c>
      <c r="BJ760" s="17" t="n"/>
      <c r="BK760" s="16" t="n"/>
      <c r="BL760" s="20" t="inlineStr">
        <is>
          <t>IC Kationen</t>
        </is>
      </c>
      <c r="BM760" s="20" t="inlineStr">
        <is>
          <t>None</t>
        </is>
      </c>
      <c r="BN760" s="17" t="n"/>
      <c r="BO760" s="16" t="n"/>
      <c r="BP760" s="20" t="inlineStr">
        <is>
          <t>IC Kationen</t>
        </is>
      </c>
      <c r="BQ760" s="20" t="inlineStr">
        <is>
          <t>None</t>
        </is>
      </c>
      <c r="BR760" s="17" t="n"/>
      <c r="BS760" s="16" t="n"/>
      <c r="BT760" s="20" t="inlineStr">
        <is>
          <t>IC Kationen</t>
        </is>
      </c>
      <c r="BU760" s="20" t="inlineStr">
        <is>
          <t>None</t>
        </is>
      </c>
      <c r="BV760" s="17" t="n"/>
      <c r="BW760" s="16" t="n"/>
      <c r="BX760" s="20" t="n"/>
      <c r="BY760" s="20" t="inlineStr">
        <is>
          <t>None</t>
        </is>
      </c>
      <c r="BZ760" s="17" t="n"/>
      <c r="CA760" s="16" t="n"/>
      <c r="CB760" s="20" t="n"/>
      <c r="CC760" s="20" t="inlineStr">
        <is>
          <t>None</t>
        </is>
      </c>
      <c r="CD760" s="17" t="n"/>
      <c r="CE760" s="16" t="n"/>
      <c r="CF760" s="20" t="n"/>
      <c r="CG760" s="20" t="inlineStr">
        <is>
          <t>None</t>
        </is>
      </c>
      <c r="CH760" s="17" t="n"/>
      <c r="CI760" s="16" t="n"/>
      <c r="CJ760" s="20" t="n"/>
      <c r="CK760" s="20" t="inlineStr">
        <is>
          <t>None</t>
        </is>
      </c>
      <c r="CL760" s="17" t="n"/>
      <c r="CM760" s="16" t="n"/>
      <c r="CN760" s="20" t="inlineStr">
        <is>
          <t>SOP 45-34</t>
        </is>
      </c>
      <c r="CO760" s="20" t="inlineStr">
        <is>
          <t>None</t>
        </is>
      </c>
      <c r="CP760" s="17" t="n"/>
      <c r="CQ760" s="16" t="n"/>
      <c r="CR760" s="20" t="n"/>
      <c r="CS760" s="20" t="inlineStr">
        <is>
          <t>None</t>
        </is>
      </c>
      <c r="CT760" s="17" t="n"/>
      <c r="CU760" s="16" t="n"/>
      <c r="CV760" s="20" t="n"/>
      <c r="CW760" s="20" t="inlineStr">
        <is>
          <t>None</t>
        </is>
      </c>
      <c r="CX760" s="17" t="n"/>
      <c r="CY760" s="16" t="n"/>
      <c r="CZ760" s="20" t="inlineStr">
        <is>
          <t>WTW Multimeter 3430 with FDO 925</t>
        </is>
      </c>
      <c r="DA760" s="20" t="inlineStr">
        <is>
          <t>None</t>
        </is>
      </c>
      <c r="DB760" s="17" t="n"/>
      <c r="DC760" s="16" t="n"/>
      <c r="DD760" s="20" t="n"/>
      <c r="DE760" s="20" t="inlineStr">
        <is>
          <t>None</t>
        </is>
      </c>
      <c r="DF760" s="17" t="n"/>
      <c r="DG760" s="16" t="n"/>
      <c r="DH760" s="20" t="inlineStr">
        <is>
          <t>SOP 45-09</t>
        </is>
      </c>
      <c r="DI760" s="20" t="inlineStr">
        <is>
          <t>None</t>
        </is>
      </c>
      <c r="DJ760" s="17" t="n"/>
      <c r="DK760" s="16" t="n"/>
      <c r="DL760" s="20" t="inlineStr">
        <is>
          <t>SOP 45-09 (SOP muss noch angepasst werden für VSS)</t>
        </is>
      </c>
      <c r="DM760" s="20" t="inlineStr">
        <is>
          <t>None</t>
        </is>
      </c>
      <c r="DN760" s="17" t="n"/>
      <c r="DO760" s="16" t="n"/>
      <c r="DP760" s="20" t="inlineStr">
        <is>
          <t>IC Organic Acids</t>
        </is>
      </c>
      <c r="DQ760" s="20" t="inlineStr">
        <is>
          <t>None</t>
        </is>
      </c>
      <c r="DR760" s="17" t="n"/>
      <c r="DS760" s="16" t="n"/>
      <c r="DT760" s="20" t="inlineStr">
        <is>
          <t>IC Organic Acids</t>
        </is>
      </c>
      <c r="DU760" s="20" t="inlineStr">
        <is>
          <t>None</t>
        </is>
      </c>
      <c r="DV760" s="17" t="n"/>
      <c r="DW760" s="16" t="n"/>
      <c r="DX760" s="20" t="inlineStr">
        <is>
          <t>IC Organic Acids</t>
        </is>
      </c>
      <c r="DY760" s="20" t="inlineStr">
        <is>
          <t>None</t>
        </is>
      </c>
      <c r="DZ760" s="17" t="n"/>
      <c r="EA760" s="16" t="n"/>
      <c r="EB760" s="20" t="inlineStr">
        <is>
          <t>IC Organic Acids</t>
        </is>
      </c>
      <c r="EC760" s="20" t="inlineStr">
        <is>
          <t>None</t>
        </is>
      </c>
      <c r="ED760" s="17" t="n"/>
      <c r="EE760" s="16" t="n"/>
      <c r="EF760" s="20" t="inlineStr">
        <is>
          <t>IC Organic Acids</t>
        </is>
      </c>
      <c r="EG760" s="20" t="inlineStr">
        <is>
          <t>None</t>
        </is>
      </c>
      <c r="EH760" s="17" t="n"/>
      <c r="EI760" s="16" t="n"/>
      <c r="EJ760" s="20" t="inlineStr">
        <is>
          <t>IC Organic Acids</t>
        </is>
      </c>
      <c r="EK760" s="20" t="inlineStr">
        <is>
          <t>None</t>
        </is>
      </c>
      <c r="EL760" s="17" t="n"/>
      <c r="EM760" s="16" t="n"/>
      <c r="EN760" s="20" t="inlineStr">
        <is>
          <t>IC Organic Acids</t>
        </is>
      </c>
      <c r="EO760" s="20" t="inlineStr">
        <is>
          <t>None</t>
        </is>
      </c>
      <c r="EP760" s="17" t="n"/>
      <c r="EQ760" s="16" t="n"/>
      <c r="ER760" s="20" t="inlineStr">
        <is>
          <t>IC Organic Acids</t>
        </is>
      </c>
      <c r="ES760" s="20" t="inlineStr">
        <is>
          <t>None</t>
        </is>
      </c>
      <c r="ET760" s="17" t="n"/>
      <c r="EU760" s="16" t="n"/>
      <c r="EV760" s="20" t="inlineStr">
        <is>
          <t>LC-MS</t>
        </is>
      </c>
      <c r="EW760" s="20" t="inlineStr">
        <is>
          <t>None</t>
        </is>
      </c>
      <c r="EX760" s="17" t="n"/>
      <c r="EY760" s="21" t="n"/>
      <c r="EZ760">
        <f>CONCATENATE(A760,B760)</f>
        <v/>
      </c>
      <c r="FA760">
        <f>CONCATENATE(SamplesX!A760,SamplesX!B760)</f>
        <v/>
      </c>
      <c r="FC760">
        <f>MATCH(EZ760,FA1:FA1008,0)</f>
        <v/>
      </c>
    </row>
    <row r="761">
      <c r="A761" s="16" t="n"/>
      <c r="B761" s="17" t="n"/>
      <c r="C761" s="10">
        <f>IF(ISNUMBER(FC761),INDIRECT("SamplesX!C"&amp;FC761),IF(ISNUMBER(FD761),INDIRECT("SamplesY!C"&amp;FD761),""))</f>
        <v/>
      </c>
      <c r="D761" s="12">
        <f>IF(ISNUMBER(FC761),INDIRECT("SamplesX!D"&amp;FC761),IF(ISNUMBER(FD761),INDIRECT("SamplesY!D"&amp;FD761),""))</f>
        <v/>
      </c>
      <c r="E761" s="12">
        <f>IF(ISNUMBER(FC761),INDIRECT("SamplesX!E"&amp;FC761),IF(ISNUMBER(FD761),INDIRECT("SamplesY!E"&amp;FD761),""))</f>
        <v/>
      </c>
      <c r="F761" s="11">
        <f>IF(ISNUMBER(FC761),INDIRECT("SamplesX!F"&amp;FC761),IF(ISNUMBER(FD761),INDIRECT("SamplesY!F"&amp;FD761),""))</f>
        <v/>
      </c>
      <c r="G761" s="18">
        <f>IF(ISNUMBER(FC761),INDIRECT("SamplesX!G"&amp;FC761),IF(ISNUMBER(FD761),INDIRECT("SamplesY!G"&amp;FD761),""))</f>
        <v/>
      </c>
      <c r="H761" s="19">
        <f>IF(ISNUMBER(FC761),INDIRECT("SamplesX!H"&amp;FC761),IF(ISNUMBER(FD761),INDIRECT("SamplesY!H"&amp;FD761),""))</f>
        <v/>
      </c>
      <c r="I761" s="16" t="n"/>
      <c r="J761" s="16" t="n"/>
      <c r="K761" s="16" t="n"/>
      <c r="L761" s="20" t="n"/>
      <c r="M761" s="20" t="inlineStr">
        <is>
          <t>None</t>
        </is>
      </c>
      <c r="N761" s="17" t="n"/>
      <c r="O761" s="16" t="n"/>
      <c r="P761" s="20" t="inlineStr">
        <is>
          <t>Shimadzu TOC-L</t>
        </is>
      </c>
      <c r="Q761" s="20" t="inlineStr">
        <is>
          <t>None</t>
        </is>
      </c>
      <c r="R761" s="17" t="n"/>
      <c r="S761" s="16" t="n"/>
      <c r="T761" s="20" t="inlineStr">
        <is>
          <t>Shimadzu TOC-L</t>
        </is>
      </c>
      <c r="U761" s="20" t="inlineStr">
        <is>
          <t>None</t>
        </is>
      </c>
      <c r="V761" s="17" t="n"/>
      <c r="W761" s="16" t="n"/>
      <c r="X761" s="20" t="n"/>
      <c r="Y761" s="20" t="inlineStr">
        <is>
          <t>None</t>
        </is>
      </c>
      <c r="Z761" s="17" t="n"/>
      <c r="AA761" s="16" t="n"/>
      <c r="AB761" s="20" t="n"/>
      <c r="AC761" s="20" t="inlineStr">
        <is>
          <t>None</t>
        </is>
      </c>
      <c r="AD761" s="17" t="n"/>
      <c r="AE761" s="16" t="n"/>
      <c r="AF761" s="20" t="inlineStr">
        <is>
          <t>IC Anionen</t>
        </is>
      </c>
      <c r="AG761" s="20" t="inlineStr">
        <is>
          <t>None</t>
        </is>
      </c>
      <c r="AH761" s="17" t="n"/>
      <c r="AI761" s="16" t="n"/>
      <c r="AJ761" s="20" t="n"/>
      <c r="AK761" s="20" t="inlineStr">
        <is>
          <t>None</t>
        </is>
      </c>
      <c r="AL761" s="17" t="n"/>
      <c r="AM761" s="16" t="n"/>
      <c r="AN761" s="20" t="inlineStr">
        <is>
          <t>IC Anionen</t>
        </is>
      </c>
      <c r="AO761" s="20" t="inlineStr">
        <is>
          <t>None</t>
        </is>
      </c>
      <c r="AP761" s="17" t="n"/>
      <c r="AQ761" s="16" t="n"/>
      <c r="AR761" s="20" t="n"/>
      <c r="AS761" s="20" t="inlineStr">
        <is>
          <t>None</t>
        </is>
      </c>
      <c r="AT761" s="17" t="n"/>
      <c r="AU761" s="16" t="n"/>
      <c r="AV761" s="20" t="n"/>
      <c r="AW761" s="20" t="inlineStr">
        <is>
          <t>None</t>
        </is>
      </c>
      <c r="AX761" s="17" t="n"/>
      <c r="AY761" s="16" t="n"/>
      <c r="AZ761" s="20" t="inlineStr">
        <is>
          <t>IC Anionen</t>
        </is>
      </c>
      <c r="BA761" s="20" t="inlineStr">
        <is>
          <t>None</t>
        </is>
      </c>
      <c r="BB761" s="17" t="n"/>
      <c r="BC761" s="16" t="n"/>
      <c r="BD761" s="20" t="inlineStr">
        <is>
          <t>IC Kationen</t>
        </is>
      </c>
      <c r="BE761" s="20" t="inlineStr">
        <is>
          <t>None</t>
        </is>
      </c>
      <c r="BF761" s="17" t="n"/>
      <c r="BG761" s="16" t="n"/>
      <c r="BH761" s="20" t="inlineStr">
        <is>
          <t>IC Kationen</t>
        </is>
      </c>
      <c r="BI761" s="20" t="inlineStr">
        <is>
          <t>None</t>
        </is>
      </c>
      <c r="BJ761" s="17" t="n"/>
      <c r="BK761" s="16" t="n"/>
      <c r="BL761" s="20" t="inlineStr">
        <is>
          <t>IC Kationen</t>
        </is>
      </c>
      <c r="BM761" s="20" t="inlineStr">
        <is>
          <t>None</t>
        </is>
      </c>
      <c r="BN761" s="17" t="n"/>
      <c r="BO761" s="16" t="n"/>
      <c r="BP761" s="20" t="inlineStr">
        <is>
          <t>IC Kationen</t>
        </is>
      </c>
      <c r="BQ761" s="20" t="inlineStr">
        <is>
          <t>None</t>
        </is>
      </c>
      <c r="BR761" s="17" t="n"/>
      <c r="BS761" s="16" t="n"/>
      <c r="BT761" s="20" t="inlineStr">
        <is>
          <t>IC Kationen</t>
        </is>
      </c>
      <c r="BU761" s="20" t="inlineStr">
        <is>
          <t>None</t>
        </is>
      </c>
      <c r="BV761" s="17" t="n"/>
      <c r="BW761" s="16" t="n"/>
      <c r="BX761" s="20" t="n"/>
      <c r="BY761" s="20" t="inlineStr">
        <is>
          <t>None</t>
        </is>
      </c>
      <c r="BZ761" s="17" t="n"/>
      <c r="CA761" s="16" t="n"/>
      <c r="CB761" s="20" t="n"/>
      <c r="CC761" s="20" t="inlineStr">
        <is>
          <t>None</t>
        </is>
      </c>
      <c r="CD761" s="17" t="n"/>
      <c r="CE761" s="16" t="n"/>
      <c r="CF761" s="20" t="n"/>
      <c r="CG761" s="20" t="inlineStr">
        <is>
          <t>None</t>
        </is>
      </c>
      <c r="CH761" s="17" t="n"/>
      <c r="CI761" s="16" t="n"/>
      <c r="CJ761" s="20" t="n"/>
      <c r="CK761" s="20" t="inlineStr">
        <is>
          <t>None</t>
        </is>
      </c>
      <c r="CL761" s="17" t="n"/>
      <c r="CM761" s="16" t="n"/>
      <c r="CN761" s="20" t="inlineStr">
        <is>
          <t>SOP 45-34</t>
        </is>
      </c>
      <c r="CO761" s="20" t="inlineStr">
        <is>
          <t>None</t>
        </is>
      </c>
      <c r="CP761" s="17" t="n"/>
      <c r="CQ761" s="16" t="n"/>
      <c r="CR761" s="20" t="n"/>
      <c r="CS761" s="20" t="inlineStr">
        <is>
          <t>None</t>
        </is>
      </c>
      <c r="CT761" s="17" t="n"/>
      <c r="CU761" s="16" t="n"/>
      <c r="CV761" s="20" t="n"/>
      <c r="CW761" s="20" t="inlineStr">
        <is>
          <t>None</t>
        </is>
      </c>
      <c r="CX761" s="17" t="n"/>
      <c r="CY761" s="16" t="n"/>
      <c r="CZ761" s="20" t="inlineStr">
        <is>
          <t>WTW Multimeter 3430 with FDO 925</t>
        </is>
      </c>
      <c r="DA761" s="20" t="inlineStr">
        <is>
          <t>None</t>
        </is>
      </c>
      <c r="DB761" s="17" t="n"/>
      <c r="DC761" s="16" t="n"/>
      <c r="DD761" s="20" t="n"/>
      <c r="DE761" s="20" t="inlineStr">
        <is>
          <t>None</t>
        </is>
      </c>
      <c r="DF761" s="17" t="n"/>
      <c r="DG761" s="16" t="n"/>
      <c r="DH761" s="20" t="inlineStr">
        <is>
          <t>SOP 45-09</t>
        </is>
      </c>
      <c r="DI761" s="20" t="inlineStr">
        <is>
          <t>None</t>
        </is>
      </c>
      <c r="DJ761" s="17" t="n"/>
      <c r="DK761" s="16" t="n"/>
      <c r="DL761" s="20" t="inlineStr">
        <is>
          <t>SOP 45-09 (SOP muss noch angepasst werden für VSS)</t>
        </is>
      </c>
      <c r="DM761" s="20" t="inlineStr">
        <is>
          <t>None</t>
        </is>
      </c>
      <c r="DN761" s="17" t="n"/>
      <c r="DO761" s="16" t="n"/>
      <c r="DP761" s="20" t="inlineStr">
        <is>
          <t>IC Organic Acids</t>
        </is>
      </c>
      <c r="DQ761" s="20" t="inlineStr">
        <is>
          <t>None</t>
        </is>
      </c>
      <c r="DR761" s="17" t="n"/>
      <c r="DS761" s="16" t="n"/>
      <c r="DT761" s="20" t="inlineStr">
        <is>
          <t>IC Organic Acids</t>
        </is>
      </c>
      <c r="DU761" s="20" t="inlineStr">
        <is>
          <t>None</t>
        </is>
      </c>
      <c r="DV761" s="17" t="n"/>
      <c r="DW761" s="16" t="n"/>
      <c r="DX761" s="20" t="inlineStr">
        <is>
          <t>IC Organic Acids</t>
        </is>
      </c>
      <c r="DY761" s="20" t="inlineStr">
        <is>
          <t>None</t>
        </is>
      </c>
      <c r="DZ761" s="17" t="n"/>
      <c r="EA761" s="16" t="n"/>
      <c r="EB761" s="20" t="inlineStr">
        <is>
          <t>IC Organic Acids</t>
        </is>
      </c>
      <c r="EC761" s="20" t="inlineStr">
        <is>
          <t>None</t>
        </is>
      </c>
      <c r="ED761" s="17" t="n"/>
      <c r="EE761" s="16" t="n"/>
      <c r="EF761" s="20" t="inlineStr">
        <is>
          <t>IC Organic Acids</t>
        </is>
      </c>
      <c r="EG761" s="20" t="inlineStr">
        <is>
          <t>None</t>
        </is>
      </c>
      <c r="EH761" s="17" t="n"/>
      <c r="EI761" s="16" t="n"/>
      <c r="EJ761" s="20" t="inlineStr">
        <is>
          <t>IC Organic Acids</t>
        </is>
      </c>
      <c r="EK761" s="20" t="inlineStr">
        <is>
          <t>None</t>
        </is>
      </c>
      <c r="EL761" s="17" t="n"/>
      <c r="EM761" s="16" t="n"/>
      <c r="EN761" s="20" t="inlineStr">
        <is>
          <t>IC Organic Acids</t>
        </is>
      </c>
      <c r="EO761" s="20" t="inlineStr">
        <is>
          <t>None</t>
        </is>
      </c>
      <c r="EP761" s="17" t="n"/>
      <c r="EQ761" s="16" t="n"/>
      <c r="ER761" s="20" t="inlineStr">
        <is>
          <t>IC Organic Acids</t>
        </is>
      </c>
      <c r="ES761" s="20" t="inlineStr">
        <is>
          <t>None</t>
        </is>
      </c>
      <c r="ET761" s="17" t="n"/>
      <c r="EU761" s="16" t="n"/>
      <c r="EV761" s="20" t="inlineStr">
        <is>
          <t>LC-MS</t>
        </is>
      </c>
      <c r="EW761" s="20" t="inlineStr">
        <is>
          <t>None</t>
        </is>
      </c>
      <c r="EX761" s="17" t="n"/>
      <c r="EY761" s="21" t="n"/>
      <c r="EZ761">
        <f>CONCATENATE(A761,B761)</f>
        <v/>
      </c>
      <c r="FA761">
        <f>CONCATENATE(SamplesX!A761,SamplesX!B761)</f>
        <v/>
      </c>
      <c r="FC761">
        <f>MATCH(EZ761,FA1:FA1008,0)</f>
        <v/>
      </c>
    </row>
    <row r="762">
      <c r="A762" s="16" t="n"/>
      <c r="B762" s="17" t="n"/>
      <c r="C762" s="10">
        <f>IF(ISNUMBER(FC762),INDIRECT("SamplesX!C"&amp;FC762),IF(ISNUMBER(FD762),INDIRECT("SamplesY!C"&amp;FD762),""))</f>
        <v/>
      </c>
      <c r="D762" s="12">
        <f>IF(ISNUMBER(FC762),INDIRECT("SamplesX!D"&amp;FC762),IF(ISNUMBER(FD762),INDIRECT("SamplesY!D"&amp;FD762),""))</f>
        <v/>
      </c>
      <c r="E762" s="12">
        <f>IF(ISNUMBER(FC762),INDIRECT("SamplesX!E"&amp;FC762),IF(ISNUMBER(FD762),INDIRECT("SamplesY!E"&amp;FD762),""))</f>
        <v/>
      </c>
      <c r="F762" s="11">
        <f>IF(ISNUMBER(FC762),INDIRECT("SamplesX!F"&amp;FC762),IF(ISNUMBER(FD762),INDIRECT("SamplesY!F"&amp;FD762),""))</f>
        <v/>
      </c>
      <c r="G762" s="18">
        <f>IF(ISNUMBER(FC762),INDIRECT("SamplesX!G"&amp;FC762),IF(ISNUMBER(FD762),INDIRECT("SamplesY!G"&amp;FD762),""))</f>
        <v/>
      </c>
      <c r="H762" s="19">
        <f>IF(ISNUMBER(FC762),INDIRECT("SamplesX!H"&amp;FC762),IF(ISNUMBER(FD762),INDIRECT("SamplesY!H"&amp;FD762),""))</f>
        <v/>
      </c>
      <c r="I762" s="16" t="n"/>
      <c r="J762" s="16" t="n"/>
      <c r="K762" s="16" t="n"/>
      <c r="L762" s="20" t="n"/>
      <c r="M762" s="20" t="inlineStr">
        <is>
          <t>None</t>
        </is>
      </c>
      <c r="N762" s="17" t="n"/>
      <c r="O762" s="16" t="n"/>
      <c r="P762" s="20" t="inlineStr">
        <is>
          <t>Shimadzu TOC-L</t>
        </is>
      </c>
      <c r="Q762" s="20" t="inlineStr">
        <is>
          <t>None</t>
        </is>
      </c>
      <c r="R762" s="17" t="n"/>
      <c r="S762" s="16" t="n"/>
      <c r="T762" s="20" t="inlineStr">
        <is>
          <t>Shimadzu TOC-L</t>
        </is>
      </c>
      <c r="U762" s="20" t="inlineStr">
        <is>
          <t>None</t>
        </is>
      </c>
      <c r="V762" s="17" t="n"/>
      <c r="W762" s="16" t="n"/>
      <c r="X762" s="20" t="n"/>
      <c r="Y762" s="20" t="inlineStr">
        <is>
          <t>None</t>
        </is>
      </c>
      <c r="Z762" s="17" t="n"/>
      <c r="AA762" s="16" t="n"/>
      <c r="AB762" s="20" t="n"/>
      <c r="AC762" s="20" t="inlineStr">
        <is>
          <t>None</t>
        </is>
      </c>
      <c r="AD762" s="17" t="n"/>
      <c r="AE762" s="16" t="n"/>
      <c r="AF762" s="20" t="inlineStr">
        <is>
          <t>IC Anionen</t>
        </is>
      </c>
      <c r="AG762" s="20" t="inlineStr">
        <is>
          <t>None</t>
        </is>
      </c>
      <c r="AH762" s="17" t="n"/>
      <c r="AI762" s="16" t="n"/>
      <c r="AJ762" s="20" t="n"/>
      <c r="AK762" s="20" t="inlineStr">
        <is>
          <t>None</t>
        </is>
      </c>
      <c r="AL762" s="17" t="n"/>
      <c r="AM762" s="16" t="n"/>
      <c r="AN762" s="20" t="inlineStr">
        <is>
          <t>IC Anionen</t>
        </is>
      </c>
      <c r="AO762" s="20" t="inlineStr">
        <is>
          <t>None</t>
        </is>
      </c>
      <c r="AP762" s="17" t="n"/>
      <c r="AQ762" s="16" t="n"/>
      <c r="AR762" s="20" t="n"/>
      <c r="AS762" s="20" t="inlineStr">
        <is>
          <t>None</t>
        </is>
      </c>
      <c r="AT762" s="17" t="n"/>
      <c r="AU762" s="16" t="n"/>
      <c r="AV762" s="20" t="n"/>
      <c r="AW762" s="20" t="inlineStr">
        <is>
          <t>None</t>
        </is>
      </c>
      <c r="AX762" s="17" t="n"/>
      <c r="AY762" s="16" t="n"/>
      <c r="AZ762" s="20" t="inlineStr">
        <is>
          <t>IC Anionen</t>
        </is>
      </c>
      <c r="BA762" s="20" t="inlineStr">
        <is>
          <t>None</t>
        </is>
      </c>
      <c r="BB762" s="17" t="n"/>
      <c r="BC762" s="16" t="n"/>
      <c r="BD762" s="20" t="inlineStr">
        <is>
          <t>IC Kationen</t>
        </is>
      </c>
      <c r="BE762" s="20" t="inlineStr">
        <is>
          <t>None</t>
        </is>
      </c>
      <c r="BF762" s="17" t="n"/>
      <c r="BG762" s="16" t="n"/>
      <c r="BH762" s="20" t="inlineStr">
        <is>
          <t>IC Kationen</t>
        </is>
      </c>
      <c r="BI762" s="20" t="inlineStr">
        <is>
          <t>None</t>
        </is>
      </c>
      <c r="BJ762" s="17" t="n"/>
      <c r="BK762" s="16" t="n"/>
      <c r="BL762" s="20" t="inlineStr">
        <is>
          <t>IC Kationen</t>
        </is>
      </c>
      <c r="BM762" s="20" t="inlineStr">
        <is>
          <t>None</t>
        </is>
      </c>
      <c r="BN762" s="17" t="n"/>
      <c r="BO762" s="16" t="n"/>
      <c r="BP762" s="20" t="inlineStr">
        <is>
          <t>IC Kationen</t>
        </is>
      </c>
      <c r="BQ762" s="20" t="inlineStr">
        <is>
          <t>None</t>
        </is>
      </c>
      <c r="BR762" s="17" t="n"/>
      <c r="BS762" s="16" t="n"/>
      <c r="BT762" s="20" t="inlineStr">
        <is>
          <t>IC Kationen</t>
        </is>
      </c>
      <c r="BU762" s="20" t="inlineStr">
        <is>
          <t>None</t>
        </is>
      </c>
      <c r="BV762" s="17" t="n"/>
      <c r="BW762" s="16" t="n"/>
      <c r="BX762" s="20" t="n"/>
      <c r="BY762" s="20" t="inlineStr">
        <is>
          <t>None</t>
        </is>
      </c>
      <c r="BZ762" s="17" t="n"/>
      <c r="CA762" s="16" t="n"/>
      <c r="CB762" s="20" t="n"/>
      <c r="CC762" s="20" t="inlineStr">
        <is>
          <t>None</t>
        </is>
      </c>
      <c r="CD762" s="17" t="n"/>
      <c r="CE762" s="16" t="n"/>
      <c r="CF762" s="20" t="n"/>
      <c r="CG762" s="20" t="inlineStr">
        <is>
          <t>None</t>
        </is>
      </c>
      <c r="CH762" s="17" t="n"/>
      <c r="CI762" s="16" t="n"/>
      <c r="CJ762" s="20" t="n"/>
      <c r="CK762" s="20" t="inlineStr">
        <is>
          <t>None</t>
        </is>
      </c>
      <c r="CL762" s="17" t="n"/>
      <c r="CM762" s="16" t="n"/>
      <c r="CN762" s="20" t="inlineStr">
        <is>
          <t>SOP 45-34</t>
        </is>
      </c>
      <c r="CO762" s="20" t="inlineStr">
        <is>
          <t>None</t>
        </is>
      </c>
      <c r="CP762" s="17" t="n"/>
      <c r="CQ762" s="16" t="n"/>
      <c r="CR762" s="20" t="n"/>
      <c r="CS762" s="20" t="inlineStr">
        <is>
          <t>None</t>
        </is>
      </c>
      <c r="CT762" s="17" t="n"/>
      <c r="CU762" s="16" t="n"/>
      <c r="CV762" s="20" t="n"/>
      <c r="CW762" s="20" t="inlineStr">
        <is>
          <t>None</t>
        </is>
      </c>
      <c r="CX762" s="17" t="n"/>
      <c r="CY762" s="16" t="n"/>
      <c r="CZ762" s="20" t="inlineStr">
        <is>
          <t>WTW Multimeter 3430 with FDO 925</t>
        </is>
      </c>
      <c r="DA762" s="20" t="inlineStr">
        <is>
          <t>None</t>
        </is>
      </c>
      <c r="DB762" s="17" t="n"/>
      <c r="DC762" s="16" t="n"/>
      <c r="DD762" s="20" t="n"/>
      <c r="DE762" s="20" t="inlineStr">
        <is>
          <t>None</t>
        </is>
      </c>
      <c r="DF762" s="17" t="n"/>
      <c r="DG762" s="16" t="n"/>
      <c r="DH762" s="20" t="inlineStr">
        <is>
          <t>SOP 45-09</t>
        </is>
      </c>
      <c r="DI762" s="20" t="inlineStr">
        <is>
          <t>None</t>
        </is>
      </c>
      <c r="DJ762" s="17" t="n"/>
      <c r="DK762" s="16" t="n"/>
      <c r="DL762" s="20" t="inlineStr">
        <is>
          <t>SOP 45-09 (SOP muss noch angepasst werden für VSS)</t>
        </is>
      </c>
      <c r="DM762" s="20" t="inlineStr">
        <is>
          <t>None</t>
        </is>
      </c>
      <c r="DN762" s="17" t="n"/>
      <c r="DO762" s="16" t="n"/>
      <c r="DP762" s="20" t="inlineStr">
        <is>
          <t>IC Organic Acids</t>
        </is>
      </c>
      <c r="DQ762" s="20" t="inlineStr">
        <is>
          <t>None</t>
        </is>
      </c>
      <c r="DR762" s="17" t="n"/>
      <c r="DS762" s="16" t="n"/>
      <c r="DT762" s="20" t="inlineStr">
        <is>
          <t>IC Organic Acids</t>
        </is>
      </c>
      <c r="DU762" s="20" t="inlineStr">
        <is>
          <t>None</t>
        </is>
      </c>
      <c r="DV762" s="17" t="n"/>
      <c r="DW762" s="16" t="n"/>
      <c r="DX762" s="20" t="inlineStr">
        <is>
          <t>IC Organic Acids</t>
        </is>
      </c>
      <c r="DY762" s="20" t="inlineStr">
        <is>
          <t>None</t>
        </is>
      </c>
      <c r="DZ762" s="17" t="n"/>
      <c r="EA762" s="16" t="n"/>
      <c r="EB762" s="20" t="inlineStr">
        <is>
          <t>IC Organic Acids</t>
        </is>
      </c>
      <c r="EC762" s="20" t="inlineStr">
        <is>
          <t>None</t>
        </is>
      </c>
      <c r="ED762" s="17" t="n"/>
      <c r="EE762" s="16" t="n"/>
      <c r="EF762" s="20" t="inlineStr">
        <is>
          <t>IC Organic Acids</t>
        </is>
      </c>
      <c r="EG762" s="20" t="inlineStr">
        <is>
          <t>None</t>
        </is>
      </c>
      <c r="EH762" s="17" t="n"/>
      <c r="EI762" s="16" t="n"/>
      <c r="EJ762" s="20" t="inlineStr">
        <is>
          <t>IC Organic Acids</t>
        </is>
      </c>
      <c r="EK762" s="20" t="inlineStr">
        <is>
          <t>None</t>
        </is>
      </c>
      <c r="EL762" s="17" t="n"/>
      <c r="EM762" s="16" t="n"/>
      <c r="EN762" s="20" t="inlineStr">
        <is>
          <t>IC Organic Acids</t>
        </is>
      </c>
      <c r="EO762" s="20" t="inlineStr">
        <is>
          <t>None</t>
        </is>
      </c>
      <c r="EP762" s="17" t="n"/>
      <c r="EQ762" s="16" t="n"/>
      <c r="ER762" s="20" t="inlineStr">
        <is>
          <t>IC Organic Acids</t>
        </is>
      </c>
      <c r="ES762" s="20" t="inlineStr">
        <is>
          <t>None</t>
        </is>
      </c>
      <c r="ET762" s="17" t="n"/>
      <c r="EU762" s="16" t="n"/>
      <c r="EV762" s="20" t="inlineStr">
        <is>
          <t>LC-MS</t>
        </is>
      </c>
      <c r="EW762" s="20" t="inlineStr">
        <is>
          <t>None</t>
        </is>
      </c>
      <c r="EX762" s="17" t="n"/>
      <c r="EY762" s="21" t="n"/>
      <c r="EZ762">
        <f>CONCATENATE(A762,B762)</f>
        <v/>
      </c>
      <c r="FA762">
        <f>CONCATENATE(SamplesX!A762,SamplesX!B762)</f>
        <v/>
      </c>
      <c r="FC762">
        <f>MATCH(EZ762,FA1:FA1008,0)</f>
        <v/>
      </c>
    </row>
    <row r="763">
      <c r="A763" s="16" t="n"/>
      <c r="B763" s="17" t="n"/>
      <c r="C763" s="10">
        <f>IF(ISNUMBER(FC763),INDIRECT("SamplesX!C"&amp;FC763),IF(ISNUMBER(FD763),INDIRECT("SamplesY!C"&amp;FD763),""))</f>
        <v/>
      </c>
      <c r="D763" s="12">
        <f>IF(ISNUMBER(FC763),INDIRECT("SamplesX!D"&amp;FC763),IF(ISNUMBER(FD763),INDIRECT("SamplesY!D"&amp;FD763),""))</f>
        <v/>
      </c>
      <c r="E763" s="12">
        <f>IF(ISNUMBER(FC763),INDIRECT("SamplesX!E"&amp;FC763),IF(ISNUMBER(FD763),INDIRECT("SamplesY!E"&amp;FD763),""))</f>
        <v/>
      </c>
      <c r="F763" s="11">
        <f>IF(ISNUMBER(FC763),INDIRECT("SamplesX!F"&amp;FC763),IF(ISNUMBER(FD763),INDIRECT("SamplesY!F"&amp;FD763),""))</f>
        <v/>
      </c>
      <c r="G763" s="18">
        <f>IF(ISNUMBER(FC763),INDIRECT("SamplesX!G"&amp;FC763),IF(ISNUMBER(FD763),INDIRECT("SamplesY!G"&amp;FD763),""))</f>
        <v/>
      </c>
      <c r="H763" s="19">
        <f>IF(ISNUMBER(FC763),INDIRECT("SamplesX!H"&amp;FC763),IF(ISNUMBER(FD763),INDIRECT("SamplesY!H"&amp;FD763),""))</f>
        <v/>
      </c>
      <c r="I763" s="16" t="n"/>
      <c r="J763" s="16" t="n"/>
      <c r="K763" s="16" t="n"/>
      <c r="L763" s="20" t="n"/>
      <c r="M763" s="20" t="inlineStr">
        <is>
          <t>None</t>
        </is>
      </c>
      <c r="N763" s="17" t="n"/>
      <c r="O763" s="16" t="n"/>
      <c r="P763" s="20" t="inlineStr">
        <is>
          <t>Shimadzu TOC-L</t>
        </is>
      </c>
      <c r="Q763" s="20" t="inlineStr">
        <is>
          <t>None</t>
        </is>
      </c>
      <c r="R763" s="17" t="n"/>
      <c r="S763" s="16" t="n"/>
      <c r="T763" s="20" t="inlineStr">
        <is>
          <t>Shimadzu TOC-L</t>
        </is>
      </c>
      <c r="U763" s="20" t="inlineStr">
        <is>
          <t>None</t>
        </is>
      </c>
      <c r="V763" s="17" t="n"/>
      <c r="W763" s="16" t="n"/>
      <c r="X763" s="20" t="n"/>
      <c r="Y763" s="20" t="inlineStr">
        <is>
          <t>None</t>
        </is>
      </c>
      <c r="Z763" s="17" t="n"/>
      <c r="AA763" s="16" t="n"/>
      <c r="AB763" s="20" t="n"/>
      <c r="AC763" s="20" t="inlineStr">
        <is>
          <t>None</t>
        </is>
      </c>
      <c r="AD763" s="17" t="n"/>
      <c r="AE763" s="16" t="n"/>
      <c r="AF763" s="20" t="inlineStr">
        <is>
          <t>IC Anionen</t>
        </is>
      </c>
      <c r="AG763" s="20" t="inlineStr">
        <is>
          <t>None</t>
        </is>
      </c>
      <c r="AH763" s="17" t="n"/>
      <c r="AI763" s="16" t="n"/>
      <c r="AJ763" s="20" t="n"/>
      <c r="AK763" s="20" t="inlineStr">
        <is>
          <t>None</t>
        </is>
      </c>
      <c r="AL763" s="17" t="n"/>
      <c r="AM763" s="16" t="n"/>
      <c r="AN763" s="20" t="inlineStr">
        <is>
          <t>IC Anionen</t>
        </is>
      </c>
      <c r="AO763" s="20" t="inlineStr">
        <is>
          <t>None</t>
        </is>
      </c>
      <c r="AP763" s="17" t="n"/>
      <c r="AQ763" s="16" t="n"/>
      <c r="AR763" s="20" t="n"/>
      <c r="AS763" s="20" t="inlineStr">
        <is>
          <t>None</t>
        </is>
      </c>
      <c r="AT763" s="17" t="n"/>
      <c r="AU763" s="16" t="n"/>
      <c r="AV763" s="20" t="n"/>
      <c r="AW763" s="20" t="inlineStr">
        <is>
          <t>None</t>
        </is>
      </c>
      <c r="AX763" s="17" t="n"/>
      <c r="AY763" s="16" t="n"/>
      <c r="AZ763" s="20" t="inlineStr">
        <is>
          <t>IC Anionen</t>
        </is>
      </c>
      <c r="BA763" s="20" t="inlineStr">
        <is>
          <t>None</t>
        </is>
      </c>
      <c r="BB763" s="17" t="n"/>
      <c r="BC763" s="16" t="n"/>
      <c r="BD763" s="20" t="inlineStr">
        <is>
          <t>IC Kationen</t>
        </is>
      </c>
      <c r="BE763" s="20" t="inlineStr">
        <is>
          <t>None</t>
        </is>
      </c>
      <c r="BF763" s="17" t="n"/>
      <c r="BG763" s="16" t="n"/>
      <c r="BH763" s="20" t="inlineStr">
        <is>
          <t>IC Kationen</t>
        </is>
      </c>
      <c r="BI763" s="20" t="inlineStr">
        <is>
          <t>None</t>
        </is>
      </c>
      <c r="BJ763" s="17" t="n"/>
      <c r="BK763" s="16" t="n"/>
      <c r="BL763" s="20" t="inlineStr">
        <is>
          <t>IC Kationen</t>
        </is>
      </c>
      <c r="BM763" s="20" t="inlineStr">
        <is>
          <t>None</t>
        </is>
      </c>
      <c r="BN763" s="17" t="n"/>
      <c r="BO763" s="16" t="n"/>
      <c r="BP763" s="20" t="inlineStr">
        <is>
          <t>IC Kationen</t>
        </is>
      </c>
      <c r="BQ763" s="20" t="inlineStr">
        <is>
          <t>None</t>
        </is>
      </c>
      <c r="BR763" s="17" t="n"/>
      <c r="BS763" s="16" t="n"/>
      <c r="BT763" s="20" t="inlineStr">
        <is>
          <t>IC Kationen</t>
        </is>
      </c>
      <c r="BU763" s="20" t="inlineStr">
        <is>
          <t>None</t>
        </is>
      </c>
      <c r="BV763" s="17" t="n"/>
      <c r="BW763" s="16" t="n"/>
      <c r="BX763" s="20" t="n"/>
      <c r="BY763" s="20" t="inlineStr">
        <is>
          <t>None</t>
        </is>
      </c>
      <c r="BZ763" s="17" t="n"/>
      <c r="CA763" s="16" t="n"/>
      <c r="CB763" s="20" t="n"/>
      <c r="CC763" s="20" t="inlineStr">
        <is>
          <t>None</t>
        </is>
      </c>
      <c r="CD763" s="17" t="n"/>
      <c r="CE763" s="16" t="n"/>
      <c r="CF763" s="20" t="n"/>
      <c r="CG763" s="20" t="inlineStr">
        <is>
          <t>None</t>
        </is>
      </c>
      <c r="CH763" s="17" t="n"/>
      <c r="CI763" s="16" t="n"/>
      <c r="CJ763" s="20" t="n"/>
      <c r="CK763" s="20" t="inlineStr">
        <is>
          <t>None</t>
        </is>
      </c>
      <c r="CL763" s="17" t="n"/>
      <c r="CM763" s="16" t="n"/>
      <c r="CN763" s="20" t="inlineStr">
        <is>
          <t>SOP 45-34</t>
        </is>
      </c>
      <c r="CO763" s="20" t="inlineStr">
        <is>
          <t>None</t>
        </is>
      </c>
      <c r="CP763" s="17" t="n"/>
      <c r="CQ763" s="16" t="n"/>
      <c r="CR763" s="20" t="n"/>
      <c r="CS763" s="20" t="inlineStr">
        <is>
          <t>None</t>
        </is>
      </c>
      <c r="CT763" s="17" t="n"/>
      <c r="CU763" s="16" t="n"/>
      <c r="CV763" s="20" t="n"/>
      <c r="CW763" s="20" t="inlineStr">
        <is>
          <t>None</t>
        </is>
      </c>
      <c r="CX763" s="17" t="n"/>
      <c r="CY763" s="16" t="n"/>
      <c r="CZ763" s="20" t="inlineStr">
        <is>
          <t>WTW Multimeter 3430 with FDO 925</t>
        </is>
      </c>
      <c r="DA763" s="20" t="inlineStr">
        <is>
          <t>None</t>
        </is>
      </c>
      <c r="DB763" s="17" t="n"/>
      <c r="DC763" s="16" t="n"/>
      <c r="DD763" s="20" t="n"/>
      <c r="DE763" s="20" t="inlineStr">
        <is>
          <t>None</t>
        </is>
      </c>
      <c r="DF763" s="17" t="n"/>
      <c r="DG763" s="16" t="n"/>
      <c r="DH763" s="20" t="inlineStr">
        <is>
          <t>SOP 45-09</t>
        </is>
      </c>
      <c r="DI763" s="20" t="inlineStr">
        <is>
          <t>None</t>
        </is>
      </c>
      <c r="DJ763" s="17" t="n"/>
      <c r="DK763" s="16" t="n"/>
      <c r="DL763" s="20" t="inlineStr">
        <is>
          <t>SOP 45-09 (SOP muss noch angepasst werden für VSS)</t>
        </is>
      </c>
      <c r="DM763" s="20" t="inlineStr">
        <is>
          <t>None</t>
        </is>
      </c>
      <c r="DN763" s="17" t="n"/>
      <c r="DO763" s="16" t="n"/>
      <c r="DP763" s="20" t="inlineStr">
        <is>
          <t>IC Organic Acids</t>
        </is>
      </c>
      <c r="DQ763" s="20" t="inlineStr">
        <is>
          <t>None</t>
        </is>
      </c>
      <c r="DR763" s="17" t="n"/>
      <c r="DS763" s="16" t="n"/>
      <c r="DT763" s="20" t="inlineStr">
        <is>
          <t>IC Organic Acids</t>
        </is>
      </c>
      <c r="DU763" s="20" t="inlineStr">
        <is>
          <t>None</t>
        </is>
      </c>
      <c r="DV763" s="17" t="n"/>
      <c r="DW763" s="16" t="n"/>
      <c r="DX763" s="20" t="inlineStr">
        <is>
          <t>IC Organic Acids</t>
        </is>
      </c>
      <c r="DY763" s="20" t="inlineStr">
        <is>
          <t>None</t>
        </is>
      </c>
      <c r="DZ763" s="17" t="n"/>
      <c r="EA763" s="16" t="n"/>
      <c r="EB763" s="20" t="inlineStr">
        <is>
          <t>IC Organic Acids</t>
        </is>
      </c>
      <c r="EC763" s="20" t="inlineStr">
        <is>
          <t>None</t>
        </is>
      </c>
      <c r="ED763" s="17" t="n"/>
      <c r="EE763" s="16" t="n"/>
      <c r="EF763" s="20" t="inlineStr">
        <is>
          <t>IC Organic Acids</t>
        </is>
      </c>
      <c r="EG763" s="20" t="inlineStr">
        <is>
          <t>None</t>
        </is>
      </c>
      <c r="EH763" s="17" t="n"/>
      <c r="EI763" s="16" t="n"/>
      <c r="EJ763" s="20" t="inlineStr">
        <is>
          <t>IC Organic Acids</t>
        </is>
      </c>
      <c r="EK763" s="20" t="inlineStr">
        <is>
          <t>None</t>
        </is>
      </c>
      <c r="EL763" s="17" t="n"/>
      <c r="EM763" s="16" t="n"/>
      <c r="EN763" s="20" t="inlineStr">
        <is>
          <t>IC Organic Acids</t>
        </is>
      </c>
      <c r="EO763" s="20" t="inlineStr">
        <is>
          <t>None</t>
        </is>
      </c>
      <c r="EP763" s="17" t="n"/>
      <c r="EQ763" s="16" t="n"/>
      <c r="ER763" s="20" t="inlineStr">
        <is>
          <t>IC Organic Acids</t>
        </is>
      </c>
      <c r="ES763" s="20" t="inlineStr">
        <is>
          <t>None</t>
        </is>
      </c>
      <c r="ET763" s="17" t="n"/>
      <c r="EU763" s="16" t="n"/>
      <c r="EV763" s="20" t="inlineStr">
        <is>
          <t>LC-MS</t>
        </is>
      </c>
      <c r="EW763" s="20" t="inlineStr">
        <is>
          <t>None</t>
        </is>
      </c>
      <c r="EX763" s="17" t="n"/>
      <c r="EY763" s="21" t="n"/>
      <c r="EZ763">
        <f>CONCATENATE(A763,B763)</f>
        <v/>
      </c>
      <c r="FA763">
        <f>CONCATENATE(SamplesX!A763,SamplesX!B763)</f>
        <v/>
      </c>
      <c r="FC763">
        <f>MATCH(EZ763,FA1:FA1008,0)</f>
        <v/>
      </c>
    </row>
    <row r="764">
      <c r="A764" s="16" t="n"/>
      <c r="B764" s="17" t="n"/>
      <c r="C764" s="10">
        <f>IF(ISNUMBER(FC764),INDIRECT("SamplesX!C"&amp;FC764),IF(ISNUMBER(FD764),INDIRECT("SamplesY!C"&amp;FD764),""))</f>
        <v/>
      </c>
      <c r="D764" s="12">
        <f>IF(ISNUMBER(FC764),INDIRECT("SamplesX!D"&amp;FC764),IF(ISNUMBER(FD764),INDIRECT("SamplesY!D"&amp;FD764),""))</f>
        <v/>
      </c>
      <c r="E764" s="12">
        <f>IF(ISNUMBER(FC764),INDIRECT("SamplesX!E"&amp;FC764),IF(ISNUMBER(FD764),INDIRECT("SamplesY!E"&amp;FD764),""))</f>
        <v/>
      </c>
      <c r="F764" s="11">
        <f>IF(ISNUMBER(FC764),INDIRECT("SamplesX!F"&amp;FC764),IF(ISNUMBER(FD764),INDIRECT("SamplesY!F"&amp;FD764),""))</f>
        <v/>
      </c>
      <c r="G764" s="18">
        <f>IF(ISNUMBER(FC764),INDIRECT("SamplesX!G"&amp;FC764),IF(ISNUMBER(FD764),INDIRECT("SamplesY!G"&amp;FD764),""))</f>
        <v/>
      </c>
      <c r="H764" s="19">
        <f>IF(ISNUMBER(FC764),INDIRECT("SamplesX!H"&amp;FC764),IF(ISNUMBER(FD764),INDIRECT("SamplesY!H"&amp;FD764),""))</f>
        <v/>
      </c>
      <c r="I764" s="16" t="n"/>
      <c r="J764" s="16" t="n"/>
      <c r="K764" s="16" t="n"/>
      <c r="L764" s="20" t="n"/>
      <c r="M764" s="20" t="inlineStr">
        <is>
          <t>None</t>
        </is>
      </c>
      <c r="N764" s="17" t="n"/>
      <c r="O764" s="16" t="n"/>
      <c r="P764" s="20" t="inlineStr">
        <is>
          <t>Shimadzu TOC-L</t>
        </is>
      </c>
      <c r="Q764" s="20" t="inlineStr">
        <is>
          <t>None</t>
        </is>
      </c>
      <c r="R764" s="17" t="n"/>
      <c r="S764" s="16" t="n"/>
      <c r="T764" s="20" t="inlineStr">
        <is>
          <t>Shimadzu TOC-L</t>
        </is>
      </c>
      <c r="U764" s="20" t="inlineStr">
        <is>
          <t>None</t>
        </is>
      </c>
      <c r="V764" s="17" t="n"/>
      <c r="W764" s="16" t="n"/>
      <c r="X764" s="20" t="n"/>
      <c r="Y764" s="20" t="inlineStr">
        <is>
          <t>None</t>
        </is>
      </c>
      <c r="Z764" s="17" t="n"/>
      <c r="AA764" s="16" t="n"/>
      <c r="AB764" s="20" t="n"/>
      <c r="AC764" s="20" t="inlineStr">
        <is>
          <t>None</t>
        </is>
      </c>
      <c r="AD764" s="17" t="n"/>
      <c r="AE764" s="16" t="n"/>
      <c r="AF764" s="20" t="inlineStr">
        <is>
          <t>IC Anionen</t>
        </is>
      </c>
      <c r="AG764" s="20" t="inlineStr">
        <is>
          <t>None</t>
        </is>
      </c>
      <c r="AH764" s="17" t="n"/>
      <c r="AI764" s="16" t="n"/>
      <c r="AJ764" s="20" t="n"/>
      <c r="AK764" s="20" t="inlineStr">
        <is>
          <t>None</t>
        </is>
      </c>
      <c r="AL764" s="17" t="n"/>
      <c r="AM764" s="16" t="n"/>
      <c r="AN764" s="20" t="inlineStr">
        <is>
          <t>IC Anionen</t>
        </is>
      </c>
      <c r="AO764" s="20" t="inlineStr">
        <is>
          <t>None</t>
        </is>
      </c>
      <c r="AP764" s="17" t="n"/>
      <c r="AQ764" s="16" t="n"/>
      <c r="AR764" s="20" t="n"/>
      <c r="AS764" s="20" t="inlineStr">
        <is>
          <t>None</t>
        </is>
      </c>
      <c r="AT764" s="17" t="n"/>
      <c r="AU764" s="16" t="n"/>
      <c r="AV764" s="20" t="n"/>
      <c r="AW764" s="20" t="inlineStr">
        <is>
          <t>None</t>
        </is>
      </c>
      <c r="AX764" s="17" t="n"/>
      <c r="AY764" s="16" t="n"/>
      <c r="AZ764" s="20" t="inlineStr">
        <is>
          <t>IC Anionen</t>
        </is>
      </c>
      <c r="BA764" s="20" t="inlineStr">
        <is>
          <t>None</t>
        </is>
      </c>
      <c r="BB764" s="17" t="n"/>
      <c r="BC764" s="16" t="n"/>
      <c r="BD764" s="20" t="inlineStr">
        <is>
          <t>IC Kationen</t>
        </is>
      </c>
      <c r="BE764" s="20" t="inlineStr">
        <is>
          <t>None</t>
        </is>
      </c>
      <c r="BF764" s="17" t="n"/>
      <c r="BG764" s="16" t="n"/>
      <c r="BH764" s="20" t="inlineStr">
        <is>
          <t>IC Kationen</t>
        </is>
      </c>
      <c r="BI764" s="20" t="inlineStr">
        <is>
          <t>None</t>
        </is>
      </c>
      <c r="BJ764" s="17" t="n"/>
      <c r="BK764" s="16" t="n"/>
      <c r="BL764" s="20" t="inlineStr">
        <is>
          <t>IC Kationen</t>
        </is>
      </c>
      <c r="BM764" s="20" t="inlineStr">
        <is>
          <t>None</t>
        </is>
      </c>
      <c r="BN764" s="17" t="n"/>
      <c r="BO764" s="16" t="n"/>
      <c r="BP764" s="20" t="inlineStr">
        <is>
          <t>IC Kationen</t>
        </is>
      </c>
      <c r="BQ764" s="20" t="inlineStr">
        <is>
          <t>None</t>
        </is>
      </c>
      <c r="BR764" s="17" t="n"/>
      <c r="BS764" s="16" t="n"/>
      <c r="BT764" s="20" t="inlineStr">
        <is>
          <t>IC Kationen</t>
        </is>
      </c>
      <c r="BU764" s="20" t="inlineStr">
        <is>
          <t>None</t>
        </is>
      </c>
      <c r="BV764" s="17" t="n"/>
      <c r="BW764" s="16" t="n"/>
      <c r="BX764" s="20" t="n"/>
      <c r="BY764" s="20" t="inlineStr">
        <is>
          <t>None</t>
        </is>
      </c>
      <c r="BZ764" s="17" t="n"/>
      <c r="CA764" s="16" t="n"/>
      <c r="CB764" s="20" t="n"/>
      <c r="CC764" s="20" t="inlineStr">
        <is>
          <t>None</t>
        </is>
      </c>
      <c r="CD764" s="17" t="n"/>
      <c r="CE764" s="16" t="n"/>
      <c r="CF764" s="20" t="n"/>
      <c r="CG764" s="20" t="inlineStr">
        <is>
          <t>None</t>
        </is>
      </c>
      <c r="CH764" s="17" t="n"/>
      <c r="CI764" s="16" t="n"/>
      <c r="CJ764" s="20" t="n"/>
      <c r="CK764" s="20" t="inlineStr">
        <is>
          <t>None</t>
        </is>
      </c>
      <c r="CL764" s="17" t="n"/>
      <c r="CM764" s="16" t="n"/>
      <c r="CN764" s="20" t="inlineStr">
        <is>
          <t>SOP 45-34</t>
        </is>
      </c>
      <c r="CO764" s="20" t="inlineStr">
        <is>
          <t>None</t>
        </is>
      </c>
      <c r="CP764" s="17" t="n"/>
      <c r="CQ764" s="16" t="n"/>
      <c r="CR764" s="20" t="n"/>
      <c r="CS764" s="20" t="inlineStr">
        <is>
          <t>None</t>
        </is>
      </c>
      <c r="CT764" s="17" t="n"/>
      <c r="CU764" s="16" t="n"/>
      <c r="CV764" s="20" t="n"/>
      <c r="CW764" s="20" t="inlineStr">
        <is>
          <t>None</t>
        </is>
      </c>
      <c r="CX764" s="17" t="n"/>
      <c r="CY764" s="16" t="n"/>
      <c r="CZ764" s="20" t="inlineStr">
        <is>
          <t>WTW Multimeter 3430 with FDO 925</t>
        </is>
      </c>
      <c r="DA764" s="20" t="inlineStr">
        <is>
          <t>None</t>
        </is>
      </c>
      <c r="DB764" s="17" t="n"/>
      <c r="DC764" s="16" t="n"/>
      <c r="DD764" s="20" t="n"/>
      <c r="DE764" s="20" t="inlineStr">
        <is>
          <t>None</t>
        </is>
      </c>
      <c r="DF764" s="17" t="n"/>
      <c r="DG764" s="16" t="n"/>
      <c r="DH764" s="20" t="inlineStr">
        <is>
          <t>SOP 45-09</t>
        </is>
      </c>
      <c r="DI764" s="20" t="inlineStr">
        <is>
          <t>None</t>
        </is>
      </c>
      <c r="DJ764" s="17" t="n"/>
      <c r="DK764" s="16" t="n"/>
      <c r="DL764" s="20" t="inlineStr">
        <is>
          <t>SOP 45-09 (SOP muss noch angepasst werden für VSS)</t>
        </is>
      </c>
      <c r="DM764" s="20" t="inlineStr">
        <is>
          <t>None</t>
        </is>
      </c>
      <c r="DN764" s="17" t="n"/>
      <c r="DO764" s="16" t="n"/>
      <c r="DP764" s="20" t="inlineStr">
        <is>
          <t>IC Organic Acids</t>
        </is>
      </c>
      <c r="DQ764" s="20" t="inlineStr">
        <is>
          <t>None</t>
        </is>
      </c>
      <c r="DR764" s="17" t="n"/>
      <c r="DS764" s="16" t="n"/>
      <c r="DT764" s="20" t="inlineStr">
        <is>
          <t>IC Organic Acids</t>
        </is>
      </c>
      <c r="DU764" s="20" t="inlineStr">
        <is>
          <t>None</t>
        </is>
      </c>
      <c r="DV764" s="17" t="n"/>
      <c r="DW764" s="16" t="n"/>
      <c r="DX764" s="20" t="inlineStr">
        <is>
          <t>IC Organic Acids</t>
        </is>
      </c>
      <c r="DY764" s="20" t="inlineStr">
        <is>
          <t>None</t>
        </is>
      </c>
      <c r="DZ764" s="17" t="n"/>
      <c r="EA764" s="16" t="n"/>
      <c r="EB764" s="20" t="inlineStr">
        <is>
          <t>IC Organic Acids</t>
        </is>
      </c>
      <c r="EC764" s="20" t="inlineStr">
        <is>
          <t>None</t>
        </is>
      </c>
      <c r="ED764" s="17" t="n"/>
      <c r="EE764" s="16" t="n"/>
      <c r="EF764" s="20" t="inlineStr">
        <is>
          <t>IC Organic Acids</t>
        </is>
      </c>
      <c r="EG764" s="20" t="inlineStr">
        <is>
          <t>None</t>
        </is>
      </c>
      <c r="EH764" s="17" t="n"/>
      <c r="EI764" s="16" t="n"/>
      <c r="EJ764" s="20" t="inlineStr">
        <is>
          <t>IC Organic Acids</t>
        </is>
      </c>
      <c r="EK764" s="20" t="inlineStr">
        <is>
          <t>None</t>
        </is>
      </c>
      <c r="EL764" s="17" t="n"/>
      <c r="EM764" s="16" t="n"/>
      <c r="EN764" s="20" t="inlineStr">
        <is>
          <t>IC Organic Acids</t>
        </is>
      </c>
      <c r="EO764" s="20" t="inlineStr">
        <is>
          <t>None</t>
        </is>
      </c>
      <c r="EP764" s="17" t="n"/>
      <c r="EQ764" s="16" t="n"/>
      <c r="ER764" s="20" t="inlineStr">
        <is>
          <t>IC Organic Acids</t>
        </is>
      </c>
      <c r="ES764" s="20" t="inlineStr">
        <is>
          <t>None</t>
        </is>
      </c>
      <c r="ET764" s="17" t="n"/>
      <c r="EU764" s="16" t="n"/>
      <c r="EV764" s="20" t="inlineStr">
        <is>
          <t>LC-MS</t>
        </is>
      </c>
      <c r="EW764" s="20" t="inlineStr">
        <is>
          <t>None</t>
        </is>
      </c>
      <c r="EX764" s="17" t="n"/>
      <c r="EY764" s="21" t="n"/>
      <c r="EZ764">
        <f>CONCATENATE(A764,B764)</f>
        <v/>
      </c>
      <c r="FA764">
        <f>CONCATENATE(SamplesX!A764,SamplesX!B764)</f>
        <v/>
      </c>
      <c r="FC764">
        <f>MATCH(EZ764,FA1:FA1008,0)</f>
        <v/>
      </c>
    </row>
    <row r="765">
      <c r="A765" s="16" t="n"/>
      <c r="B765" s="17" t="n"/>
      <c r="C765" s="10">
        <f>IF(ISNUMBER(FC765),INDIRECT("SamplesX!C"&amp;FC765),IF(ISNUMBER(FD765),INDIRECT("SamplesY!C"&amp;FD765),""))</f>
        <v/>
      </c>
      <c r="D765" s="12">
        <f>IF(ISNUMBER(FC765),INDIRECT("SamplesX!D"&amp;FC765),IF(ISNUMBER(FD765),INDIRECT("SamplesY!D"&amp;FD765),""))</f>
        <v/>
      </c>
      <c r="E765" s="12">
        <f>IF(ISNUMBER(FC765),INDIRECT("SamplesX!E"&amp;FC765),IF(ISNUMBER(FD765),INDIRECT("SamplesY!E"&amp;FD765),""))</f>
        <v/>
      </c>
      <c r="F765" s="11">
        <f>IF(ISNUMBER(FC765),INDIRECT("SamplesX!F"&amp;FC765),IF(ISNUMBER(FD765),INDIRECT("SamplesY!F"&amp;FD765),""))</f>
        <v/>
      </c>
      <c r="G765" s="18">
        <f>IF(ISNUMBER(FC765),INDIRECT("SamplesX!G"&amp;FC765),IF(ISNUMBER(FD765),INDIRECT("SamplesY!G"&amp;FD765),""))</f>
        <v/>
      </c>
      <c r="H765" s="19">
        <f>IF(ISNUMBER(FC765),INDIRECT("SamplesX!H"&amp;FC765),IF(ISNUMBER(FD765),INDIRECT("SamplesY!H"&amp;FD765),""))</f>
        <v/>
      </c>
      <c r="I765" s="16" t="n"/>
      <c r="J765" s="16" t="n"/>
      <c r="K765" s="16" t="n"/>
      <c r="L765" s="20" t="n"/>
      <c r="M765" s="20" t="inlineStr">
        <is>
          <t>None</t>
        </is>
      </c>
      <c r="N765" s="17" t="n"/>
      <c r="O765" s="16" t="n"/>
      <c r="P765" s="20" t="inlineStr">
        <is>
          <t>Shimadzu TOC-L</t>
        </is>
      </c>
      <c r="Q765" s="20" t="inlineStr">
        <is>
          <t>None</t>
        </is>
      </c>
      <c r="R765" s="17" t="n"/>
      <c r="S765" s="16" t="n"/>
      <c r="T765" s="20" t="inlineStr">
        <is>
          <t>Shimadzu TOC-L</t>
        </is>
      </c>
      <c r="U765" s="20" t="inlineStr">
        <is>
          <t>None</t>
        </is>
      </c>
      <c r="V765" s="17" t="n"/>
      <c r="W765" s="16" t="n"/>
      <c r="X765" s="20" t="n"/>
      <c r="Y765" s="20" t="inlineStr">
        <is>
          <t>None</t>
        </is>
      </c>
      <c r="Z765" s="17" t="n"/>
      <c r="AA765" s="16" t="n"/>
      <c r="AB765" s="20" t="n"/>
      <c r="AC765" s="20" t="inlineStr">
        <is>
          <t>None</t>
        </is>
      </c>
      <c r="AD765" s="17" t="n"/>
      <c r="AE765" s="16" t="n"/>
      <c r="AF765" s="20" t="inlineStr">
        <is>
          <t>IC Anionen</t>
        </is>
      </c>
      <c r="AG765" s="20" t="inlineStr">
        <is>
          <t>None</t>
        </is>
      </c>
      <c r="AH765" s="17" t="n"/>
      <c r="AI765" s="16" t="n"/>
      <c r="AJ765" s="20" t="n"/>
      <c r="AK765" s="20" t="inlineStr">
        <is>
          <t>None</t>
        </is>
      </c>
      <c r="AL765" s="17" t="n"/>
      <c r="AM765" s="16" t="n"/>
      <c r="AN765" s="20" t="inlineStr">
        <is>
          <t>IC Anionen</t>
        </is>
      </c>
      <c r="AO765" s="20" t="inlineStr">
        <is>
          <t>None</t>
        </is>
      </c>
      <c r="AP765" s="17" t="n"/>
      <c r="AQ765" s="16" t="n"/>
      <c r="AR765" s="20" t="n"/>
      <c r="AS765" s="20" t="inlineStr">
        <is>
          <t>None</t>
        </is>
      </c>
      <c r="AT765" s="17" t="n"/>
      <c r="AU765" s="16" t="n"/>
      <c r="AV765" s="20" t="n"/>
      <c r="AW765" s="20" t="inlineStr">
        <is>
          <t>None</t>
        </is>
      </c>
      <c r="AX765" s="17" t="n"/>
      <c r="AY765" s="16" t="n"/>
      <c r="AZ765" s="20" t="inlineStr">
        <is>
          <t>IC Anionen</t>
        </is>
      </c>
      <c r="BA765" s="20" t="inlineStr">
        <is>
          <t>None</t>
        </is>
      </c>
      <c r="BB765" s="17" t="n"/>
      <c r="BC765" s="16" t="n"/>
      <c r="BD765" s="20" t="inlineStr">
        <is>
          <t>IC Kationen</t>
        </is>
      </c>
      <c r="BE765" s="20" t="inlineStr">
        <is>
          <t>None</t>
        </is>
      </c>
      <c r="BF765" s="17" t="n"/>
      <c r="BG765" s="16" t="n"/>
      <c r="BH765" s="20" t="inlineStr">
        <is>
          <t>IC Kationen</t>
        </is>
      </c>
      <c r="BI765" s="20" t="inlineStr">
        <is>
          <t>None</t>
        </is>
      </c>
      <c r="BJ765" s="17" t="n"/>
      <c r="BK765" s="16" t="n"/>
      <c r="BL765" s="20" t="inlineStr">
        <is>
          <t>IC Kationen</t>
        </is>
      </c>
      <c r="BM765" s="20" t="inlineStr">
        <is>
          <t>None</t>
        </is>
      </c>
      <c r="BN765" s="17" t="n"/>
      <c r="BO765" s="16" t="n"/>
      <c r="BP765" s="20" t="inlineStr">
        <is>
          <t>IC Kationen</t>
        </is>
      </c>
      <c r="BQ765" s="20" t="inlineStr">
        <is>
          <t>None</t>
        </is>
      </c>
      <c r="BR765" s="17" t="n"/>
      <c r="BS765" s="16" t="n"/>
      <c r="BT765" s="20" t="inlineStr">
        <is>
          <t>IC Kationen</t>
        </is>
      </c>
      <c r="BU765" s="20" t="inlineStr">
        <is>
          <t>None</t>
        </is>
      </c>
      <c r="BV765" s="17" t="n"/>
      <c r="BW765" s="16" t="n"/>
      <c r="BX765" s="20" t="n"/>
      <c r="BY765" s="20" t="inlineStr">
        <is>
          <t>None</t>
        </is>
      </c>
      <c r="BZ765" s="17" t="n"/>
      <c r="CA765" s="16" t="n"/>
      <c r="CB765" s="20" t="n"/>
      <c r="CC765" s="20" t="inlineStr">
        <is>
          <t>None</t>
        </is>
      </c>
      <c r="CD765" s="17" t="n"/>
      <c r="CE765" s="16" t="n"/>
      <c r="CF765" s="20" t="n"/>
      <c r="CG765" s="20" t="inlineStr">
        <is>
          <t>None</t>
        </is>
      </c>
      <c r="CH765" s="17" t="n"/>
      <c r="CI765" s="16" t="n"/>
      <c r="CJ765" s="20" t="n"/>
      <c r="CK765" s="20" t="inlineStr">
        <is>
          <t>None</t>
        </is>
      </c>
      <c r="CL765" s="17" t="n"/>
      <c r="CM765" s="16" t="n"/>
      <c r="CN765" s="20" t="inlineStr">
        <is>
          <t>SOP 45-34</t>
        </is>
      </c>
      <c r="CO765" s="20" t="inlineStr">
        <is>
          <t>None</t>
        </is>
      </c>
      <c r="CP765" s="17" t="n"/>
      <c r="CQ765" s="16" t="n"/>
      <c r="CR765" s="20" t="n"/>
      <c r="CS765" s="20" t="inlineStr">
        <is>
          <t>None</t>
        </is>
      </c>
      <c r="CT765" s="17" t="n"/>
      <c r="CU765" s="16" t="n"/>
      <c r="CV765" s="20" t="n"/>
      <c r="CW765" s="20" t="inlineStr">
        <is>
          <t>None</t>
        </is>
      </c>
      <c r="CX765" s="17" t="n"/>
      <c r="CY765" s="16" t="n"/>
      <c r="CZ765" s="20" t="inlineStr">
        <is>
          <t>WTW Multimeter 3430 with FDO 925</t>
        </is>
      </c>
      <c r="DA765" s="20" t="inlineStr">
        <is>
          <t>None</t>
        </is>
      </c>
      <c r="DB765" s="17" t="n"/>
      <c r="DC765" s="16" t="n"/>
      <c r="DD765" s="20" t="n"/>
      <c r="DE765" s="20" t="inlineStr">
        <is>
          <t>None</t>
        </is>
      </c>
      <c r="DF765" s="17" t="n"/>
      <c r="DG765" s="16" t="n"/>
      <c r="DH765" s="20" t="inlineStr">
        <is>
          <t>SOP 45-09</t>
        </is>
      </c>
      <c r="DI765" s="20" t="inlineStr">
        <is>
          <t>None</t>
        </is>
      </c>
      <c r="DJ765" s="17" t="n"/>
      <c r="DK765" s="16" t="n"/>
      <c r="DL765" s="20" t="inlineStr">
        <is>
          <t>SOP 45-09 (SOP muss noch angepasst werden für VSS)</t>
        </is>
      </c>
      <c r="DM765" s="20" t="inlineStr">
        <is>
          <t>None</t>
        </is>
      </c>
      <c r="DN765" s="17" t="n"/>
      <c r="DO765" s="16" t="n"/>
      <c r="DP765" s="20" t="inlineStr">
        <is>
          <t>IC Organic Acids</t>
        </is>
      </c>
      <c r="DQ765" s="20" t="inlineStr">
        <is>
          <t>None</t>
        </is>
      </c>
      <c r="DR765" s="17" t="n"/>
      <c r="DS765" s="16" t="n"/>
      <c r="DT765" s="20" t="inlineStr">
        <is>
          <t>IC Organic Acids</t>
        </is>
      </c>
      <c r="DU765" s="20" t="inlineStr">
        <is>
          <t>None</t>
        </is>
      </c>
      <c r="DV765" s="17" t="n"/>
      <c r="DW765" s="16" t="n"/>
      <c r="DX765" s="20" t="inlineStr">
        <is>
          <t>IC Organic Acids</t>
        </is>
      </c>
      <c r="DY765" s="20" t="inlineStr">
        <is>
          <t>None</t>
        </is>
      </c>
      <c r="DZ765" s="17" t="n"/>
      <c r="EA765" s="16" t="n"/>
      <c r="EB765" s="20" t="inlineStr">
        <is>
          <t>IC Organic Acids</t>
        </is>
      </c>
      <c r="EC765" s="20" t="inlineStr">
        <is>
          <t>None</t>
        </is>
      </c>
      <c r="ED765" s="17" t="n"/>
      <c r="EE765" s="16" t="n"/>
      <c r="EF765" s="20" t="inlineStr">
        <is>
          <t>IC Organic Acids</t>
        </is>
      </c>
      <c r="EG765" s="20" t="inlineStr">
        <is>
          <t>None</t>
        </is>
      </c>
      <c r="EH765" s="17" t="n"/>
      <c r="EI765" s="16" t="n"/>
      <c r="EJ765" s="20" t="inlineStr">
        <is>
          <t>IC Organic Acids</t>
        </is>
      </c>
      <c r="EK765" s="20" t="inlineStr">
        <is>
          <t>None</t>
        </is>
      </c>
      <c r="EL765" s="17" t="n"/>
      <c r="EM765" s="16" t="n"/>
      <c r="EN765" s="20" t="inlineStr">
        <is>
          <t>IC Organic Acids</t>
        </is>
      </c>
      <c r="EO765" s="20" t="inlineStr">
        <is>
          <t>None</t>
        </is>
      </c>
      <c r="EP765" s="17" t="n"/>
      <c r="EQ765" s="16" t="n"/>
      <c r="ER765" s="20" t="inlineStr">
        <is>
          <t>IC Organic Acids</t>
        </is>
      </c>
      <c r="ES765" s="20" t="inlineStr">
        <is>
          <t>None</t>
        </is>
      </c>
      <c r="ET765" s="17" t="n"/>
      <c r="EU765" s="16" t="n"/>
      <c r="EV765" s="20" t="inlineStr">
        <is>
          <t>LC-MS</t>
        </is>
      </c>
      <c r="EW765" s="20" t="inlineStr">
        <is>
          <t>None</t>
        </is>
      </c>
      <c r="EX765" s="17" t="n"/>
      <c r="EY765" s="21" t="n"/>
      <c r="EZ765">
        <f>CONCATENATE(A765,B765)</f>
        <v/>
      </c>
      <c r="FA765">
        <f>CONCATENATE(SamplesX!A765,SamplesX!B765)</f>
        <v/>
      </c>
      <c r="FC765">
        <f>MATCH(EZ765,FA1:FA1008,0)</f>
        <v/>
      </c>
    </row>
    <row r="766">
      <c r="A766" s="16" t="n"/>
      <c r="B766" s="17" t="n"/>
      <c r="C766" s="10">
        <f>IF(ISNUMBER(FC766),INDIRECT("SamplesX!C"&amp;FC766),IF(ISNUMBER(FD766),INDIRECT("SamplesY!C"&amp;FD766),""))</f>
        <v/>
      </c>
      <c r="D766" s="12">
        <f>IF(ISNUMBER(FC766),INDIRECT("SamplesX!D"&amp;FC766),IF(ISNUMBER(FD766),INDIRECT("SamplesY!D"&amp;FD766),""))</f>
        <v/>
      </c>
      <c r="E766" s="12">
        <f>IF(ISNUMBER(FC766),INDIRECT("SamplesX!E"&amp;FC766),IF(ISNUMBER(FD766),INDIRECT("SamplesY!E"&amp;FD766),""))</f>
        <v/>
      </c>
      <c r="F766" s="11">
        <f>IF(ISNUMBER(FC766),INDIRECT("SamplesX!F"&amp;FC766),IF(ISNUMBER(FD766),INDIRECT("SamplesY!F"&amp;FD766),""))</f>
        <v/>
      </c>
      <c r="G766" s="18">
        <f>IF(ISNUMBER(FC766),INDIRECT("SamplesX!G"&amp;FC766),IF(ISNUMBER(FD766),INDIRECT("SamplesY!G"&amp;FD766),""))</f>
        <v/>
      </c>
      <c r="H766" s="19">
        <f>IF(ISNUMBER(FC766),INDIRECT("SamplesX!H"&amp;FC766),IF(ISNUMBER(FD766),INDIRECT("SamplesY!H"&amp;FD766),""))</f>
        <v/>
      </c>
      <c r="I766" s="16" t="n"/>
      <c r="J766" s="16" t="n"/>
      <c r="K766" s="16" t="n"/>
      <c r="L766" s="20" t="n"/>
      <c r="M766" s="20" t="inlineStr">
        <is>
          <t>None</t>
        </is>
      </c>
      <c r="N766" s="17" t="n"/>
      <c r="O766" s="16" t="n"/>
      <c r="P766" s="20" t="inlineStr">
        <is>
          <t>Shimadzu TOC-L</t>
        </is>
      </c>
      <c r="Q766" s="20" t="inlineStr">
        <is>
          <t>None</t>
        </is>
      </c>
      <c r="R766" s="17" t="n"/>
      <c r="S766" s="16" t="n"/>
      <c r="T766" s="20" t="inlineStr">
        <is>
          <t>Shimadzu TOC-L</t>
        </is>
      </c>
      <c r="U766" s="20" t="inlineStr">
        <is>
          <t>None</t>
        </is>
      </c>
      <c r="V766" s="17" t="n"/>
      <c r="W766" s="16" t="n"/>
      <c r="X766" s="20" t="n"/>
      <c r="Y766" s="20" t="inlineStr">
        <is>
          <t>None</t>
        </is>
      </c>
      <c r="Z766" s="17" t="n"/>
      <c r="AA766" s="16" t="n"/>
      <c r="AB766" s="20" t="n"/>
      <c r="AC766" s="20" t="inlineStr">
        <is>
          <t>None</t>
        </is>
      </c>
      <c r="AD766" s="17" t="n"/>
      <c r="AE766" s="16" t="n"/>
      <c r="AF766" s="20" t="inlineStr">
        <is>
          <t>IC Anionen</t>
        </is>
      </c>
      <c r="AG766" s="20" t="inlineStr">
        <is>
          <t>None</t>
        </is>
      </c>
      <c r="AH766" s="17" t="n"/>
      <c r="AI766" s="16" t="n"/>
      <c r="AJ766" s="20" t="n"/>
      <c r="AK766" s="20" t="inlineStr">
        <is>
          <t>None</t>
        </is>
      </c>
      <c r="AL766" s="17" t="n"/>
      <c r="AM766" s="16" t="n"/>
      <c r="AN766" s="20" t="inlineStr">
        <is>
          <t>IC Anionen</t>
        </is>
      </c>
      <c r="AO766" s="20" t="inlineStr">
        <is>
          <t>None</t>
        </is>
      </c>
      <c r="AP766" s="17" t="n"/>
      <c r="AQ766" s="16" t="n"/>
      <c r="AR766" s="20" t="n"/>
      <c r="AS766" s="20" t="inlineStr">
        <is>
          <t>None</t>
        </is>
      </c>
      <c r="AT766" s="17" t="n"/>
      <c r="AU766" s="16" t="n"/>
      <c r="AV766" s="20" t="n"/>
      <c r="AW766" s="20" t="inlineStr">
        <is>
          <t>None</t>
        </is>
      </c>
      <c r="AX766" s="17" t="n"/>
      <c r="AY766" s="16" t="n"/>
      <c r="AZ766" s="20" t="inlineStr">
        <is>
          <t>IC Anionen</t>
        </is>
      </c>
      <c r="BA766" s="20" t="inlineStr">
        <is>
          <t>None</t>
        </is>
      </c>
      <c r="BB766" s="17" t="n"/>
      <c r="BC766" s="16" t="n"/>
      <c r="BD766" s="20" t="inlineStr">
        <is>
          <t>IC Kationen</t>
        </is>
      </c>
      <c r="BE766" s="20" t="inlineStr">
        <is>
          <t>None</t>
        </is>
      </c>
      <c r="BF766" s="17" t="n"/>
      <c r="BG766" s="16" t="n"/>
      <c r="BH766" s="20" t="inlineStr">
        <is>
          <t>IC Kationen</t>
        </is>
      </c>
      <c r="BI766" s="20" t="inlineStr">
        <is>
          <t>None</t>
        </is>
      </c>
      <c r="BJ766" s="17" t="n"/>
      <c r="BK766" s="16" t="n"/>
      <c r="BL766" s="20" t="inlineStr">
        <is>
          <t>IC Kationen</t>
        </is>
      </c>
      <c r="BM766" s="20" t="inlineStr">
        <is>
          <t>None</t>
        </is>
      </c>
      <c r="BN766" s="17" t="n"/>
      <c r="BO766" s="16" t="n"/>
      <c r="BP766" s="20" t="inlineStr">
        <is>
          <t>IC Kationen</t>
        </is>
      </c>
      <c r="BQ766" s="20" t="inlineStr">
        <is>
          <t>None</t>
        </is>
      </c>
      <c r="BR766" s="17" t="n"/>
      <c r="BS766" s="16" t="n"/>
      <c r="BT766" s="20" t="inlineStr">
        <is>
          <t>IC Kationen</t>
        </is>
      </c>
      <c r="BU766" s="20" t="inlineStr">
        <is>
          <t>None</t>
        </is>
      </c>
      <c r="BV766" s="17" t="n"/>
      <c r="BW766" s="16" t="n"/>
      <c r="BX766" s="20" t="n"/>
      <c r="BY766" s="20" t="inlineStr">
        <is>
          <t>None</t>
        </is>
      </c>
      <c r="BZ766" s="17" t="n"/>
      <c r="CA766" s="16" t="n"/>
      <c r="CB766" s="20" t="n"/>
      <c r="CC766" s="20" t="inlineStr">
        <is>
          <t>None</t>
        </is>
      </c>
      <c r="CD766" s="17" t="n"/>
      <c r="CE766" s="16" t="n"/>
      <c r="CF766" s="20" t="n"/>
      <c r="CG766" s="20" t="inlineStr">
        <is>
          <t>None</t>
        </is>
      </c>
      <c r="CH766" s="17" t="n"/>
      <c r="CI766" s="16" t="n"/>
      <c r="CJ766" s="20" t="n"/>
      <c r="CK766" s="20" t="inlineStr">
        <is>
          <t>None</t>
        </is>
      </c>
      <c r="CL766" s="17" t="n"/>
      <c r="CM766" s="16" t="n"/>
      <c r="CN766" s="20" t="inlineStr">
        <is>
          <t>SOP 45-34</t>
        </is>
      </c>
      <c r="CO766" s="20" t="inlineStr">
        <is>
          <t>None</t>
        </is>
      </c>
      <c r="CP766" s="17" t="n"/>
      <c r="CQ766" s="16" t="n"/>
      <c r="CR766" s="20" t="n"/>
      <c r="CS766" s="20" t="inlineStr">
        <is>
          <t>None</t>
        </is>
      </c>
      <c r="CT766" s="17" t="n"/>
      <c r="CU766" s="16" t="n"/>
      <c r="CV766" s="20" t="n"/>
      <c r="CW766" s="20" t="inlineStr">
        <is>
          <t>None</t>
        </is>
      </c>
      <c r="CX766" s="17" t="n"/>
      <c r="CY766" s="16" t="n"/>
      <c r="CZ766" s="20" t="inlineStr">
        <is>
          <t>WTW Multimeter 3430 with FDO 925</t>
        </is>
      </c>
      <c r="DA766" s="20" t="inlineStr">
        <is>
          <t>None</t>
        </is>
      </c>
      <c r="DB766" s="17" t="n"/>
      <c r="DC766" s="16" t="n"/>
      <c r="DD766" s="20" t="n"/>
      <c r="DE766" s="20" t="inlineStr">
        <is>
          <t>None</t>
        </is>
      </c>
      <c r="DF766" s="17" t="n"/>
      <c r="DG766" s="16" t="n"/>
      <c r="DH766" s="20" t="inlineStr">
        <is>
          <t>SOP 45-09</t>
        </is>
      </c>
      <c r="DI766" s="20" t="inlineStr">
        <is>
          <t>None</t>
        </is>
      </c>
      <c r="DJ766" s="17" t="n"/>
      <c r="DK766" s="16" t="n"/>
      <c r="DL766" s="20" t="inlineStr">
        <is>
          <t>SOP 45-09 (SOP muss noch angepasst werden für VSS)</t>
        </is>
      </c>
      <c r="DM766" s="20" t="inlineStr">
        <is>
          <t>None</t>
        </is>
      </c>
      <c r="DN766" s="17" t="n"/>
      <c r="DO766" s="16" t="n"/>
      <c r="DP766" s="20" t="inlineStr">
        <is>
          <t>IC Organic Acids</t>
        </is>
      </c>
      <c r="DQ766" s="20" t="inlineStr">
        <is>
          <t>None</t>
        </is>
      </c>
      <c r="DR766" s="17" t="n"/>
      <c r="DS766" s="16" t="n"/>
      <c r="DT766" s="20" t="inlineStr">
        <is>
          <t>IC Organic Acids</t>
        </is>
      </c>
      <c r="DU766" s="20" t="inlineStr">
        <is>
          <t>None</t>
        </is>
      </c>
      <c r="DV766" s="17" t="n"/>
      <c r="DW766" s="16" t="n"/>
      <c r="DX766" s="20" t="inlineStr">
        <is>
          <t>IC Organic Acids</t>
        </is>
      </c>
      <c r="DY766" s="20" t="inlineStr">
        <is>
          <t>None</t>
        </is>
      </c>
      <c r="DZ766" s="17" t="n"/>
      <c r="EA766" s="16" t="n"/>
      <c r="EB766" s="20" t="inlineStr">
        <is>
          <t>IC Organic Acids</t>
        </is>
      </c>
      <c r="EC766" s="20" t="inlineStr">
        <is>
          <t>None</t>
        </is>
      </c>
      <c r="ED766" s="17" t="n"/>
      <c r="EE766" s="16" t="n"/>
      <c r="EF766" s="20" t="inlineStr">
        <is>
          <t>IC Organic Acids</t>
        </is>
      </c>
      <c r="EG766" s="20" t="inlineStr">
        <is>
          <t>None</t>
        </is>
      </c>
      <c r="EH766" s="17" t="n"/>
      <c r="EI766" s="16" t="n"/>
      <c r="EJ766" s="20" t="inlineStr">
        <is>
          <t>IC Organic Acids</t>
        </is>
      </c>
      <c r="EK766" s="20" t="inlineStr">
        <is>
          <t>None</t>
        </is>
      </c>
      <c r="EL766" s="17" t="n"/>
      <c r="EM766" s="16" t="n"/>
      <c r="EN766" s="20" t="inlineStr">
        <is>
          <t>IC Organic Acids</t>
        </is>
      </c>
      <c r="EO766" s="20" t="inlineStr">
        <is>
          <t>None</t>
        </is>
      </c>
      <c r="EP766" s="17" t="n"/>
      <c r="EQ766" s="16" t="n"/>
      <c r="ER766" s="20" t="inlineStr">
        <is>
          <t>IC Organic Acids</t>
        </is>
      </c>
      <c r="ES766" s="20" t="inlineStr">
        <is>
          <t>None</t>
        </is>
      </c>
      <c r="ET766" s="17" t="n"/>
      <c r="EU766" s="16" t="n"/>
      <c r="EV766" s="20" t="inlineStr">
        <is>
          <t>LC-MS</t>
        </is>
      </c>
      <c r="EW766" s="20" t="inlineStr">
        <is>
          <t>None</t>
        </is>
      </c>
      <c r="EX766" s="17" t="n"/>
      <c r="EY766" s="21" t="n"/>
      <c r="EZ766">
        <f>CONCATENATE(A766,B766)</f>
        <v/>
      </c>
      <c r="FA766">
        <f>CONCATENATE(SamplesX!A766,SamplesX!B766)</f>
        <v/>
      </c>
      <c r="FC766">
        <f>MATCH(EZ766,FA1:FA1008,0)</f>
        <v/>
      </c>
    </row>
    <row r="767">
      <c r="A767" s="16" t="n"/>
      <c r="B767" s="17" t="n"/>
      <c r="C767" s="10">
        <f>IF(ISNUMBER(FC767),INDIRECT("SamplesX!C"&amp;FC767),IF(ISNUMBER(FD767),INDIRECT("SamplesY!C"&amp;FD767),""))</f>
        <v/>
      </c>
      <c r="D767" s="12">
        <f>IF(ISNUMBER(FC767),INDIRECT("SamplesX!D"&amp;FC767),IF(ISNUMBER(FD767),INDIRECT("SamplesY!D"&amp;FD767),""))</f>
        <v/>
      </c>
      <c r="E767" s="12">
        <f>IF(ISNUMBER(FC767),INDIRECT("SamplesX!E"&amp;FC767),IF(ISNUMBER(FD767),INDIRECT("SamplesY!E"&amp;FD767),""))</f>
        <v/>
      </c>
      <c r="F767" s="11">
        <f>IF(ISNUMBER(FC767),INDIRECT("SamplesX!F"&amp;FC767),IF(ISNUMBER(FD767),INDIRECT("SamplesY!F"&amp;FD767),""))</f>
        <v/>
      </c>
      <c r="G767" s="18">
        <f>IF(ISNUMBER(FC767),INDIRECT("SamplesX!G"&amp;FC767),IF(ISNUMBER(FD767),INDIRECT("SamplesY!G"&amp;FD767),""))</f>
        <v/>
      </c>
      <c r="H767" s="19">
        <f>IF(ISNUMBER(FC767),INDIRECT("SamplesX!H"&amp;FC767),IF(ISNUMBER(FD767),INDIRECT("SamplesY!H"&amp;FD767),""))</f>
        <v/>
      </c>
      <c r="I767" s="16" t="n"/>
      <c r="J767" s="16" t="n"/>
      <c r="K767" s="16" t="n"/>
      <c r="L767" s="20" t="n"/>
      <c r="M767" s="20" t="inlineStr">
        <is>
          <t>None</t>
        </is>
      </c>
      <c r="N767" s="17" t="n"/>
      <c r="O767" s="16" t="n"/>
      <c r="P767" s="20" t="inlineStr">
        <is>
          <t>Shimadzu TOC-L</t>
        </is>
      </c>
      <c r="Q767" s="20" t="inlineStr">
        <is>
          <t>None</t>
        </is>
      </c>
      <c r="R767" s="17" t="n"/>
      <c r="S767" s="16" t="n"/>
      <c r="T767" s="20" t="inlineStr">
        <is>
          <t>Shimadzu TOC-L</t>
        </is>
      </c>
      <c r="U767" s="20" t="inlineStr">
        <is>
          <t>None</t>
        </is>
      </c>
      <c r="V767" s="17" t="n"/>
      <c r="W767" s="16" t="n"/>
      <c r="X767" s="20" t="n"/>
      <c r="Y767" s="20" t="inlineStr">
        <is>
          <t>None</t>
        </is>
      </c>
      <c r="Z767" s="17" t="n"/>
      <c r="AA767" s="16" t="n"/>
      <c r="AB767" s="20" t="n"/>
      <c r="AC767" s="20" t="inlineStr">
        <is>
          <t>None</t>
        </is>
      </c>
      <c r="AD767" s="17" t="n"/>
      <c r="AE767" s="16" t="n"/>
      <c r="AF767" s="20" t="inlineStr">
        <is>
          <t>IC Anionen</t>
        </is>
      </c>
      <c r="AG767" s="20" t="inlineStr">
        <is>
          <t>None</t>
        </is>
      </c>
      <c r="AH767" s="17" t="n"/>
      <c r="AI767" s="16" t="n"/>
      <c r="AJ767" s="20" t="n"/>
      <c r="AK767" s="20" t="inlineStr">
        <is>
          <t>None</t>
        </is>
      </c>
      <c r="AL767" s="17" t="n"/>
      <c r="AM767" s="16" t="n"/>
      <c r="AN767" s="20" t="inlineStr">
        <is>
          <t>IC Anionen</t>
        </is>
      </c>
      <c r="AO767" s="20" t="inlineStr">
        <is>
          <t>None</t>
        </is>
      </c>
      <c r="AP767" s="17" t="n"/>
      <c r="AQ767" s="16" t="n"/>
      <c r="AR767" s="20" t="n"/>
      <c r="AS767" s="20" t="inlineStr">
        <is>
          <t>None</t>
        </is>
      </c>
      <c r="AT767" s="17" t="n"/>
      <c r="AU767" s="16" t="n"/>
      <c r="AV767" s="20" t="n"/>
      <c r="AW767" s="20" t="inlineStr">
        <is>
          <t>None</t>
        </is>
      </c>
      <c r="AX767" s="17" t="n"/>
      <c r="AY767" s="16" t="n"/>
      <c r="AZ767" s="20" t="inlineStr">
        <is>
          <t>IC Anionen</t>
        </is>
      </c>
      <c r="BA767" s="20" t="inlineStr">
        <is>
          <t>None</t>
        </is>
      </c>
      <c r="BB767" s="17" t="n"/>
      <c r="BC767" s="16" t="n"/>
      <c r="BD767" s="20" t="inlineStr">
        <is>
          <t>IC Kationen</t>
        </is>
      </c>
      <c r="BE767" s="20" t="inlineStr">
        <is>
          <t>None</t>
        </is>
      </c>
      <c r="BF767" s="17" t="n"/>
      <c r="BG767" s="16" t="n"/>
      <c r="BH767" s="20" t="inlineStr">
        <is>
          <t>IC Kationen</t>
        </is>
      </c>
      <c r="BI767" s="20" t="inlineStr">
        <is>
          <t>None</t>
        </is>
      </c>
      <c r="BJ767" s="17" t="n"/>
      <c r="BK767" s="16" t="n"/>
      <c r="BL767" s="20" t="inlineStr">
        <is>
          <t>IC Kationen</t>
        </is>
      </c>
      <c r="BM767" s="20" t="inlineStr">
        <is>
          <t>None</t>
        </is>
      </c>
      <c r="BN767" s="17" t="n"/>
      <c r="BO767" s="16" t="n"/>
      <c r="BP767" s="20" t="inlineStr">
        <is>
          <t>IC Kationen</t>
        </is>
      </c>
      <c r="BQ767" s="20" t="inlineStr">
        <is>
          <t>None</t>
        </is>
      </c>
      <c r="BR767" s="17" t="n"/>
      <c r="BS767" s="16" t="n"/>
      <c r="BT767" s="20" t="inlineStr">
        <is>
          <t>IC Kationen</t>
        </is>
      </c>
      <c r="BU767" s="20" t="inlineStr">
        <is>
          <t>None</t>
        </is>
      </c>
      <c r="BV767" s="17" t="n"/>
      <c r="BW767" s="16" t="n"/>
      <c r="BX767" s="20" t="n"/>
      <c r="BY767" s="20" t="inlineStr">
        <is>
          <t>None</t>
        </is>
      </c>
      <c r="BZ767" s="17" t="n"/>
      <c r="CA767" s="16" t="n"/>
      <c r="CB767" s="20" t="n"/>
      <c r="CC767" s="20" t="inlineStr">
        <is>
          <t>None</t>
        </is>
      </c>
      <c r="CD767" s="17" t="n"/>
      <c r="CE767" s="16" t="n"/>
      <c r="CF767" s="20" t="n"/>
      <c r="CG767" s="20" t="inlineStr">
        <is>
          <t>None</t>
        </is>
      </c>
      <c r="CH767" s="17" t="n"/>
      <c r="CI767" s="16" t="n"/>
      <c r="CJ767" s="20" t="n"/>
      <c r="CK767" s="20" t="inlineStr">
        <is>
          <t>None</t>
        </is>
      </c>
      <c r="CL767" s="17" t="n"/>
      <c r="CM767" s="16" t="n"/>
      <c r="CN767" s="20" t="inlineStr">
        <is>
          <t>SOP 45-34</t>
        </is>
      </c>
      <c r="CO767" s="20" t="inlineStr">
        <is>
          <t>None</t>
        </is>
      </c>
      <c r="CP767" s="17" t="n"/>
      <c r="CQ767" s="16" t="n"/>
      <c r="CR767" s="20" t="n"/>
      <c r="CS767" s="20" t="inlineStr">
        <is>
          <t>None</t>
        </is>
      </c>
      <c r="CT767" s="17" t="n"/>
      <c r="CU767" s="16" t="n"/>
      <c r="CV767" s="20" t="n"/>
      <c r="CW767" s="20" t="inlineStr">
        <is>
          <t>None</t>
        </is>
      </c>
      <c r="CX767" s="17" t="n"/>
      <c r="CY767" s="16" t="n"/>
      <c r="CZ767" s="20" t="inlineStr">
        <is>
          <t>WTW Multimeter 3430 with FDO 925</t>
        </is>
      </c>
      <c r="DA767" s="20" t="inlineStr">
        <is>
          <t>None</t>
        </is>
      </c>
      <c r="DB767" s="17" t="n"/>
      <c r="DC767" s="16" t="n"/>
      <c r="DD767" s="20" t="n"/>
      <c r="DE767" s="20" t="inlineStr">
        <is>
          <t>None</t>
        </is>
      </c>
      <c r="DF767" s="17" t="n"/>
      <c r="DG767" s="16" t="n"/>
      <c r="DH767" s="20" t="inlineStr">
        <is>
          <t>SOP 45-09</t>
        </is>
      </c>
      <c r="DI767" s="20" t="inlineStr">
        <is>
          <t>None</t>
        </is>
      </c>
      <c r="DJ767" s="17" t="n"/>
      <c r="DK767" s="16" t="n"/>
      <c r="DL767" s="20" t="inlineStr">
        <is>
          <t>SOP 45-09 (SOP muss noch angepasst werden für VSS)</t>
        </is>
      </c>
      <c r="DM767" s="20" t="inlineStr">
        <is>
          <t>None</t>
        </is>
      </c>
      <c r="DN767" s="17" t="n"/>
      <c r="DO767" s="16" t="n"/>
      <c r="DP767" s="20" t="inlineStr">
        <is>
          <t>IC Organic Acids</t>
        </is>
      </c>
      <c r="DQ767" s="20" t="inlineStr">
        <is>
          <t>None</t>
        </is>
      </c>
      <c r="DR767" s="17" t="n"/>
      <c r="DS767" s="16" t="n"/>
      <c r="DT767" s="20" t="inlineStr">
        <is>
          <t>IC Organic Acids</t>
        </is>
      </c>
      <c r="DU767" s="20" t="inlineStr">
        <is>
          <t>None</t>
        </is>
      </c>
      <c r="DV767" s="17" t="n"/>
      <c r="DW767" s="16" t="n"/>
      <c r="DX767" s="20" t="inlineStr">
        <is>
          <t>IC Organic Acids</t>
        </is>
      </c>
      <c r="DY767" s="20" t="inlineStr">
        <is>
          <t>None</t>
        </is>
      </c>
      <c r="DZ767" s="17" t="n"/>
      <c r="EA767" s="16" t="n"/>
      <c r="EB767" s="20" t="inlineStr">
        <is>
          <t>IC Organic Acids</t>
        </is>
      </c>
      <c r="EC767" s="20" t="inlineStr">
        <is>
          <t>None</t>
        </is>
      </c>
      <c r="ED767" s="17" t="n"/>
      <c r="EE767" s="16" t="n"/>
      <c r="EF767" s="20" t="inlineStr">
        <is>
          <t>IC Organic Acids</t>
        </is>
      </c>
      <c r="EG767" s="20" t="inlineStr">
        <is>
          <t>None</t>
        </is>
      </c>
      <c r="EH767" s="17" t="n"/>
      <c r="EI767" s="16" t="n"/>
      <c r="EJ767" s="20" t="inlineStr">
        <is>
          <t>IC Organic Acids</t>
        </is>
      </c>
      <c r="EK767" s="20" t="inlineStr">
        <is>
          <t>None</t>
        </is>
      </c>
      <c r="EL767" s="17" t="n"/>
      <c r="EM767" s="16" t="n"/>
      <c r="EN767" s="20" t="inlineStr">
        <is>
          <t>IC Organic Acids</t>
        </is>
      </c>
      <c r="EO767" s="20" t="inlineStr">
        <is>
          <t>None</t>
        </is>
      </c>
      <c r="EP767" s="17" t="n"/>
      <c r="EQ767" s="16" t="n"/>
      <c r="ER767" s="20" t="inlineStr">
        <is>
          <t>IC Organic Acids</t>
        </is>
      </c>
      <c r="ES767" s="20" t="inlineStr">
        <is>
          <t>None</t>
        </is>
      </c>
      <c r="ET767" s="17" t="n"/>
      <c r="EU767" s="16" t="n"/>
      <c r="EV767" s="20" t="inlineStr">
        <is>
          <t>LC-MS</t>
        </is>
      </c>
      <c r="EW767" s="20" t="inlineStr">
        <is>
          <t>None</t>
        </is>
      </c>
      <c r="EX767" s="17" t="n"/>
      <c r="EY767" s="21" t="n"/>
      <c r="EZ767">
        <f>CONCATENATE(A767,B767)</f>
        <v/>
      </c>
      <c r="FA767">
        <f>CONCATENATE(SamplesX!A767,SamplesX!B767)</f>
        <v/>
      </c>
      <c r="FC767">
        <f>MATCH(EZ767,FA1:FA1008,0)</f>
        <v/>
      </c>
    </row>
    <row r="768">
      <c r="A768" s="16" t="n"/>
      <c r="B768" s="17" t="n"/>
      <c r="C768" s="10">
        <f>IF(ISNUMBER(FC768),INDIRECT("SamplesX!C"&amp;FC768),IF(ISNUMBER(FD768),INDIRECT("SamplesY!C"&amp;FD768),""))</f>
        <v/>
      </c>
      <c r="D768" s="12">
        <f>IF(ISNUMBER(FC768),INDIRECT("SamplesX!D"&amp;FC768),IF(ISNUMBER(FD768),INDIRECT("SamplesY!D"&amp;FD768),""))</f>
        <v/>
      </c>
      <c r="E768" s="12">
        <f>IF(ISNUMBER(FC768),INDIRECT("SamplesX!E"&amp;FC768),IF(ISNUMBER(FD768),INDIRECT("SamplesY!E"&amp;FD768),""))</f>
        <v/>
      </c>
      <c r="F768" s="11">
        <f>IF(ISNUMBER(FC768),INDIRECT("SamplesX!F"&amp;FC768),IF(ISNUMBER(FD768),INDIRECT("SamplesY!F"&amp;FD768),""))</f>
        <v/>
      </c>
      <c r="G768" s="18">
        <f>IF(ISNUMBER(FC768),INDIRECT("SamplesX!G"&amp;FC768),IF(ISNUMBER(FD768),INDIRECT("SamplesY!G"&amp;FD768),""))</f>
        <v/>
      </c>
      <c r="H768" s="19">
        <f>IF(ISNUMBER(FC768),INDIRECT("SamplesX!H"&amp;FC768),IF(ISNUMBER(FD768),INDIRECT("SamplesY!H"&amp;FD768),""))</f>
        <v/>
      </c>
      <c r="I768" s="16" t="n"/>
      <c r="J768" s="16" t="n"/>
      <c r="K768" s="16" t="n"/>
      <c r="L768" s="20" t="n"/>
      <c r="M768" s="20" t="inlineStr">
        <is>
          <t>None</t>
        </is>
      </c>
      <c r="N768" s="17" t="n"/>
      <c r="O768" s="16" t="n"/>
      <c r="P768" s="20" t="inlineStr">
        <is>
          <t>Shimadzu TOC-L</t>
        </is>
      </c>
      <c r="Q768" s="20" t="inlineStr">
        <is>
          <t>None</t>
        </is>
      </c>
      <c r="R768" s="17" t="n"/>
      <c r="S768" s="16" t="n"/>
      <c r="T768" s="20" t="inlineStr">
        <is>
          <t>Shimadzu TOC-L</t>
        </is>
      </c>
      <c r="U768" s="20" t="inlineStr">
        <is>
          <t>None</t>
        </is>
      </c>
      <c r="V768" s="17" t="n"/>
      <c r="W768" s="16" t="n"/>
      <c r="X768" s="20" t="n"/>
      <c r="Y768" s="20" t="inlineStr">
        <is>
          <t>None</t>
        </is>
      </c>
      <c r="Z768" s="17" t="n"/>
      <c r="AA768" s="16" t="n"/>
      <c r="AB768" s="20" t="n"/>
      <c r="AC768" s="20" t="inlineStr">
        <is>
          <t>None</t>
        </is>
      </c>
      <c r="AD768" s="17" t="n"/>
      <c r="AE768" s="16" t="n"/>
      <c r="AF768" s="20" t="inlineStr">
        <is>
          <t>IC Anionen</t>
        </is>
      </c>
      <c r="AG768" s="20" t="inlineStr">
        <is>
          <t>None</t>
        </is>
      </c>
      <c r="AH768" s="17" t="n"/>
      <c r="AI768" s="16" t="n"/>
      <c r="AJ768" s="20" t="n"/>
      <c r="AK768" s="20" t="inlineStr">
        <is>
          <t>None</t>
        </is>
      </c>
      <c r="AL768" s="17" t="n"/>
      <c r="AM768" s="16" t="n"/>
      <c r="AN768" s="20" t="inlineStr">
        <is>
          <t>IC Anionen</t>
        </is>
      </c>
      <c r="AO768" s="20" t="inlineStr">
        <is>
          <t>None</t>
        </is>
      </c>
      <c r="AP768" s="17" t="n"/>
      <c r="AQ768" s="16" t="n"/>
      <c r="AR768" s="20" t="n"/>
      <c r="AS768" s="20" t="inlineStr">
        <is>
          <t>None</t>
        </is>
      </c>
      <c r="AT768" s="17" t="n"/>
      <c r="AU768" s="16" t="n"/>
      <c r="AV768" s="20" t="n"/>
      <c r="AW768" s="20" t="inlineStr">
        <is>
          <t>None</t>
        </is>
      </c>
      <c r="AX768" s="17" t="n"/>
      <c r="AY768" s="16" t="n"/>
      <c r="AZ768" s="20" t="inlineStr">
        <is>
          <t>IC Anionen</t>
        </is>
      </c>
      <c r="BA768" s="20" t="inlineStr">
        <is>
          <t>None</t>
        </is>
      </c>
      <c r="BB768" s="17" t="n"/>
      <c r="BC768" s="16" t="n"/>
      <c r="BD768" s="20" t="inlineStr">
        <is>
          <t>IC Kationen</t>
        </is>
      </c>
      <c r="BE768" s="20" t="inlineStr">
        <is>
          <t>None</t>
        </is>
      </c>
      <c r="BF768" s="17" t="n"/>
      <c r="BG768" s="16" t="n"/>
      <c r="BH768" s="20" t="inlineStr">
        <is>
          <t>IC Kationen</t>
        </is>
      </c>
      <c r="BI768" s="20" t="inlineStr">
        <is>
          <t>None</t>
        </is>
      </c>
      <c r="BJ768" s="17" t="n"/>
      <c r="BK768" s="16" t="n"/>
      <c r="BL768" s="20" t="inlineStr">
        <is>
          <t>IC Kationen</t>
        </is>
      </c>
      <c r="BM768" s="20" t="inlineStr">
        <is>
          <t>None</t>
        </is>
      </c>
      <c r="BN768" s="17" t="n"/>
      <c r="BO768" s="16" t="n"/>
      <c r="BP768" s="20" t="inlineStr">
        <is>
          <t>IC Kationen</t>
        </is>
      </c>
      <c r="BQ768" s="20" t="inlineStr">
        <is>
          <t>None</t>
        </is>
      </c>
      <c r="BR768" s="17" t="n"/>
      <c r="BS768" s="16" t="n"/>
      <c r="BT768" s="20" t="inlineStr">
        <is>
          <t>IC Kationen</t>
        </is>
      </c>
      <c r="BU768" s="20" t="inlineStr">
        <is>
          <t>None</t>
        </is>
      </c>
      <c r="BV768" s="17" t="n"/>
      <c r="BW768" s="16" t="n"/>
      <c r="BX768" s="20" t="n"/>
      <c r="BY768" s="20" t="inlineStr">
        <is>
          <t>None</t>
        </is>
      </c>
      <c r="BZ768" s="17" t="n"/>
      <c r="CA768" s="16" t="n"/>
      <c r="CB768" s="20" t="n"/>
      <c r="CC768" s="20" t="inlineStr">
        <is>
          <t>None</t>
        </is>
      </c>
      <c r="CD768" s="17" t="n"/>
      <c r="CE768" s="16" t="n"/>
      <c r="CF768" s="20" t="n"/>
      <c r="CG768" s="20" t="inlineStr">
        <is>
          <t>None</t>
        </is>
      </c>
      <c r="CH768" s="17" t="n"/>
      <c r="CI768" s="16" t="n"/>
      <c r="CJ768" s="20" t="n"/>
      <c r="CK768" s="20" t="inlineStr">
        <is>
          <t>None</t>
        </is>
      </c>
      <c r="CL768" s="17" t="n"/>
      <c r="CM768" s="16" t="n"/>
      <c r="CN768" s="20" t="inlineStr">
        <is>
          <t>SOP 45-34</t>
        </is>
      </c>
      <c r="CO768" s="20" t="inlineStr">
        <is>
          <t>None</t>
        </is>
      </c>
      <c r="CP768" s="17" t="n"/>
      <c r="CQ768" s="16" t="n"/>
      <c r="CR768" s="20" t="n"/>
      <c r="CS768" s="20" t="inlineStr">
        <is>
          <t>None</t>
        </is>
      </c>
      <c r="CT768" s="17" t="n"/>
      <c r="CU768" s="16" t="n"/>
      <c r="CV768" s="20" t="n"/>
      <c r="CW768" s="20" t="inlineStr">
        <is>
          <t>None</t>
        </is>
      </c>
      <c r="CX768" s="17" t="n"/>
      <c r="CY768" s="16" t="n"/>
      <c r="CZ768" s="20" t="inlineStr">
        <is>
          <t>WTW Multimeter 3430 with FDO 925</t>
        </is>
      </c>
      <c r="DA768" s="20" t="inlineStr">
        <is>
          <t>None</t>
        </is>
      </c>
      <c r="DB768" s="17" t="n"/>
      <c r="DC768" s="16" t="n"/>
      <c r="DD768" s="20" t="n"/>
      <c r="DE768" s="20" t="inlineStr">
        <is>
          <t>None</t>
        </is>
      </c>
      <c r="DF768" s="17" t="n"/>
      <c r="DG768" s="16" t="n"/>
      <c r="DH768" s="20" t="inlineStr">
        <is>
          <t>SOP 45-09</t>
        </is>
      </c>
      <c r="DI768" s="20" t="inlineStr">
        <is>
          <t>None</t>
        </is>
      </c>
      <c r="DJ768" s="17" t="n"/>
      <c r="DK768" s="16" t="n"/>
      <c r="DL768" s="20" t="inlineStr">
        <is>
          <t>SOP 45-09 (SOP muss noch angepasst werden für VSS)</t>
        </is>
      </c>
      <c r="DM768" s="20" t="inlineStr">
        <is>
          <t>None</t>
        </is>
      </c>
      <c r="DN768" s="17" t="n"/>
      <c r="DO768" s="16" t="n"/>
      <c r="DP768" s="20" t="inlineStr">
        <is>
          <t>IC Organic Acids</t>
        </is>
      </c>
      <c r="DQ768" s="20" t="inlineStr">
        <is>
          <t>None</t>
        </is>
      </c>
      <c r="DR768" s="17" t="n"/>
      <c r="DS768" s="16" t="n"/>
      <c r="DT768" s="20" t="inlineStr">
        <is>
          <t>IC Organic Acids</t>
        </is>
      </c>
      <c r="DU768" s="20" t="inlineStr">
        <is>
          <t>None</t>
        </is>
      </c>
      <c r="DV768" s="17" t="n"/>
      <c r="DW768" s="16" t="n"/>
      <c r="DX768" s="20" t="inlineStr">
        <is>
          <t>IC Organic Acids</t>
        </is>
      </c>
      <c r="DY768" s="20" t="inlineStr">
        <is>
          <t>None</t>
        </is>
      </c>
      <c r="DZ768" s="17" t="n"/>
      <c r="EA768" s="16" t="n"/>
      <c r="EB768" s="20" t="inlineStr">
        <is>
          <t>IC Organic Acids</t>
        </is>
      </c>
      <c r="EC768" s="20" t="inlineStr">
        <is>
          <t>None</t>
        </is>
      </c>
      <c r="ED768" s="17" t="n"/>
      <c r="EE768" s="16" t="n"/>
      <c r="EF768" s="20" t="inlineStr">
        <is>
          <t>IC Organic Acids</t>
        </is>
      </c>
      <c r="EG768" s="20" t="inlineStr">
        <is>
          <t>None</t>
        </is>
      </c>
      <c r="EH768" s="17" t="n"/>
      <c r="EI768" s="16" t="n"/>
      <c r="EJ768" s="20" t="inlineStr">
        <is>
          <t>IC Organic Acids</t>
        </is>
      </c>
      <c r="EK768" s="20" t="inlineStr">
        <is>
          <t>None</t>
        </is>
      </c>
      <c r="EL768" s="17" t="n"/>
      <c r="EM768" s="16" t="n"/>
      <c r="EN768" s="20" t="inlineStr">
        <is>
          <t>IC Organic Acids</t>
        </is>
      </c>
      <c r="EO768" s="20" t="inlineStr">
        <is>
          <t>None</t>
        </is>
      </c>
      <c r="EP768" s="17" t="n"/>
      <c r="EQ768" s="16" t="n"/>
      <c r="ER768" s="20" t="inlineStr">
        <is>
          <t>IC Organic Acids</t>
        </is>
      </c>
      <c r="ES768" s="20" t="inlineStr">
        <is>
          <t>None</t>
        </is>
      </c>
      <c r="ET768" s="17" t="n"/>
      <c r="EU768" s="16" t="n"/>
      <c r="EV768" s="20" t="inlineStr">
        <is>
          <t>LC-MS</t>
        </is>
      </c>
      <c r="EW768" s="20" t="inlineStr">
        <is>
          <t>None</t>
        </is>
      </c>
      <c r="EX768" s="17" t="n"/>
      <c r="EY768" s="21" t="n"/>
      <c r="EZ768">
        <f>CONCATENATE(A768,B768)</f>
        <v/>
      </c>
      <c r="FA768">
        <f>CONCATENATE(SamplesX!A768,SamplesX!B768)</f>
        <v/>
      </c>
      <c r="FC768">
        <f>MATCH(EZ768,FA1:FA1008,0)</f>
        <v/>
      </c>
    </row>
    <row r="769">
      <c r="A769" s="16" t="n"/>
      <c r="B769" s="17" t="n"/>
      <c r="C769" s="10">
        <f>IF(ISNUMBER(FC769),INDIRECT("SamplesX!C"&amp;FC769),IF(ISNUMBER(FD769),INDIRECT("SamplesY!C"&amp;FD769),""))</f>
        <v/>
      </c>
      <c r="D769" s="12">
        <f>IF(ISNUMBER(FC769),INDIRECT("SamplesX!D"&amp;FC769),IF(ISNUMBER(FD769),INDIRECT("SamplesY!D"&amp;FD769),""))</f>
        <v/>
      </c>
      <c r="E769" s="12">
        <f>IF(ISNUMBER(FC769),INDIRECT("SamplesX!E"&amp;FC769),IF(ISNUMBER(FD769),INDIRECT("SamplesY!E"&amp;FD769),""))</f>
        <v/>
      </c>
      <c r="F769" s="11">
        <f>IF(ISNUMBER(FC769),INDIRECT("SamplesX!F"&amp;FC769),IF(ISNUMBER(FD769),INDIRECT("SamplesY!F"&amp;FD769),""))</f>
        <v/>
      </c>
      <c r="G769" s="18">
        <f>IF(ISNUMBER(FC769),INDIRECT("SamplesX!G"&amp;FC769),IF(ISNUMBER(FD769),INDIRECT("SamplesY!G"&amp;FD769),""))</f>
        <v/>
      </c>
      <c r="H769" s="19">
        <f>IF(ISNUMBER(FC769),INDIRECT("SamplesX!H"&amp;FC769),IF(ISNUMBER(FD769),INDIRECT("SamplesY!H"&amp;FD769),""))</f>
        <v/>
      </c>
      <c r="I769" s="16" t="n"/>
      <c r="J769" s="16" t="n"/>
      <c r="K769" s="16" t="n"/>
      <c r="L769" s="20" t="n"/>
      <c r="M769" s="20" t="inlineStr">
        <is>
          <t>None</t>
        </is>
      </c>
      <c r="N769" s="17" t="n"/>
      <c r="O769" s="16" t="n"/>
      <c r="P769" s="20" t="inlineStr">
        <is>
          <t>Shimadzu TOC-L</t>
        </is>
      </c>
      <c r="Q769" s="20" t="inlineStr">
        <is>
          <t>None</t>
        </is>
      </c>
      <c r="R769" s="17" t="n"/>
      <c r="S769" s="16" t="n"/>
      <c r="T769" s="20" t="inlineStr">
        <is>
          <t>Shimadzu TOC-L</t>
        </is>
      </c>
      <c r="U769" s="20" t="inlineStr">
        <is>
          <t>None</t>
        </is>
      </c>
      <c r="V769" s="17" t="n"/>
      <c r="W769" s="16" t="n"/>
      <c r="X769" s="20" t="n"/>
      <c r="Y769" s="20" t="inlineStr">
        <is>
          <t>None</t>
        </is>
      </c>
      <c r="Z769" s="17" t="n"/>
      <c r="AA769" s="16" t="n"/>
      <c r="AB769" s="20" t="n"/>
      <c r="AC769" s="20" t="inlineStr">
        <is>
          <t>None</t>
        </is>
      </c>
      <c r="AD769" s="17" t="n"/>
      <c r="AE769" s="16" t="n"/>
      <c r="AF769" s="20" t="inlineStr">
        <is>
          <t>IC Anionen</t>
        </is>
      </c>
      <c r="AG769" s="20" t="inlineStr">
        <is>
          <t>None</t>
        </is>
      </c>
      <c r="AH769" s="17" t="n"/>
      <c r="AI769" s="16" t="n"/>
      <c r="AJ769" s="20" t="n"/>
      <c r="AK769" s="20" t="inlineStr">
        <is>
          <t>None</t>
        </is>
      </c>
      <c r="AL769" s="17" t="n"/>
      <c r="AM769" s="16" t="n"/>
      <c r="AN769" s="20" t="inlineStr">
        <is>
          <t>IC Anionen</t>
        </is>
      </c>
      <c r="AO769" s="20" t="inlineStr">
        <is>
          <t>None</t>
        </is>
      </c>
      <c r="AP769" s="17" t="n"/>
      <c r="AQ769" s="16" t="n"/>
      <c r="AR769" s="20" t="n"/>
      <c r="AS769" s="20" t="inlineStr">
        <is>
          <t>None</t>
        </is>
      </c>
      <c r="AT769" s="17" t="n"/>
      <c r="AU769" s="16" t="n"/>
      <c r="AV769" s="20" t="n"/>
      <c r="AW769" s="20" t="inlineStr">
        <is>
          <t>None</t>
        </is>
      </c>
      <c r="AX769" s="17" t="n"/>
      <c r="AY769" s="16" t="n"/>
      <c r="AZ769" s="20" t="inlineStr">
        <is>
          <t>IC Anionen</t>
        </is>
      </c>
      <c r="BA769" s="20" t="inlineStr">
        <is>
          <t>None</t>
        </is>
      </c>
      <c r="BB769" s="17" t="n"/>
      <c r="BC769" s="16" t="n"/>
      <c r="BD769" s="20" t="inlineStr">
        <is>
          <t>IC Kationen</t>
        </is>
      </c>
      <c r="BE769" s="20" t="inlineStr">
        <is>
          <t>None</t>
        </is>
      </c>
      <c r="BF769" s="17" t="n"/>
      <c r="BG769" s="16" t="n"/>
      <c r="BH769" s="20" t="inlineStr">
        <is>
          <t>IC Kationen</t>
        </is>
      </c>
      <c r="BI769" s="20" t="inlineStr">
        <is>
          <t>None</t>
        </is>
      </c>
      <c r="BJ769" s="17" t="n"/>
      <c r="BK769" s="16" t="n"/>
      <c r="BL769" s="20" t="inlineStr">
        <is>
          <t>IC Kationen</t>
        </is>
      </c>
      <c r="BM769" s="20" t="inlineStr">
        <is>
          <t>None</t>
        </is>
      </c>
      <c r="BN769" s="17" t="n"/>
      <c r="BO769" s="16" t="n"/>
      <c r="BP769" s="20" t="inlineStr">
        <is>
          <t>IC Kationen</t>
        </is>
      </c>
      <c r="BQ769" s="20" t="inlineStr">
        <is>
          <t>None</t>
        </is>
      </c>
      <c r="BR769" s="17" t="n"/>
      <c r="BS769" s="16" t="n"/>
      <c r="BT769" s="20" t="inlineStr">
        <is>
          <t>IC Kationen</t>
        </is>
      </c>
      <c r="BU769" s="20" t="inlineStr">
        <is>
          <t>None</t>
        </is>
      </c>
      <c r="BV769" s="17" t="n"/>
      <c r="BW769" s="16" t="n"/>
      <c r="BX769" s="20" t="n"/>
      <c r="BY769" s="20" t="inlineStr">
        <is>
          <t>None</t>
        </is>
      </c>
      <c r="BZ769" s="17" t="n"/>
      <c r="CA769" s="16" t="n"/>
      <c r="CB769" s="20" t="n"/>
      <c r="CC769" s="20" t="inlineStr">
        <is>
          <t>None</t>
        </is>
      </c>
      <c r="CD769" s="17" t="n"/>
      <c r="CE769" s="16" t="n"/>
      <c r="CF769" s="20" t="n"/>
      <c r="CG769" s="20" t="inlineStr">
        <is>
          <t>None</t>
        </is>
      </c>
      <c r="CH769" s="17" t="n"/>
      <c r="CI769" s="16" t="n"/>
      <c r="CJ769" s="20" t="n"/>
      <c r="CK769" s="20" t="inlineStr">
        <is>
          <t>None</t>
        </is>
      </c>
      <c r="CL769" s="17" t="n"/>
      <c r="CM769" s="16" t="n"/>
      <c r="CN769" s="20" t="inlineStr">
        <is>
          <t>SOP 45-34</t>
        </is>
      </c>
      <c r="CO769" s="20" t="inlineStr">
        <is>
          <t>None</t>
        </is>
      </c>
      <c r="CP769" s="17" t="n"/>
      <c r="CQ769" s="16" t="n"/>
      <c r="CR769" s="20" t="n"/>
      <c r="CS769" s="20" t="inlineStr">
        <is>
          <t>None</t>
        </is>
      </c>
      <c r="CT769" s="17" t="n"/>
      <c r="CU769" s="16" t="n"/>
      <c r="CV769" s="20" t="n"/>
      <c r="CW769" s="20" t="inlineStr">
        <is>
          <t>None</t>
        </is>
      </c>
      <c r="CX769" s="17" t="n"/>
      <c r="CY769" s="16" t="n"/>
      <c r="CZ769" s="20" t="inlineStr">
        <is>
          <t>WTW Multimeter 3430 with FDO 925</t>
        </is>
      </c>
      <c r="DA769" s="20" t="inlineStr">
        <is>
          <t>None</t>
        </is>
      </c>
      <c r="DB769" s="17" t="n"/>
      <c r="DC769" s="16" t="n"/>
      <c r="DD769" s="20" t="n"/>
      <c r="DE769" s="20" t="inlineStr">
        <is>
          <t>None</t>
        </is>
      </c>
      <c r="DF769" s="17" t="n"/>
      <c r="DG769" s="16" t="n"/>
      <c r="DH769" s="20" t="inlineStr">
        <is>
          <t>SOP 45-09</t>
        </is>
      </c>
      <c r="DI769" s="20" t="inlineStr">
        <is>
          <t>None</t>
        </is>
      </c>
      <c r="DJ769" s="17" t="n"/>
      <c r="DK769" s="16" t="n"/>
      <c r="DL769" s="20" t="inlineStr">
        <is>
          <t>SOP 45-09 (SOP muss noch angepasst werden für VSS)</t>
        </is>
      </c>
      <c r="DM769" s="20" t="inlineStr">
        <is>
          <t>None</t>
        </is>
      </c>
      <c r="DN769" s="17" t="n"/>
      <c r="DO769" s="16" t="n"/>
      <c r="DP769" s="20" t="inlineStr">
        <is>
          <t>IC Organic Acids</t>
        </is>
      </c>
      <c r="DQ769" s="20" t="inlineStr">
        <is>
          <t>None</t>
        </is>
      </c>
      <c r="DR769" s="17" t="n"/>
      <c r="DS769" s="16" t="n"/>
      <c r="DT769" s="20" t="inlineStr">
        <is>
          <t>IC Organic Acids</t>
        </is>
      </c>
      <c r="DU769" s="20" t="inlineStr">
        <is>
          <t>None</t>
        </is>
      </c>
      <c r="DV769" s="17" t="n"/>
      <c r="DW769" s="16" t="n"/>
      <c r="DX769" s="20" t="inlineStr">
        <is>
          <t>IC Organic Acids</t>
        </is>
      </c>
      <c r="DY769" s="20" t="inlineStr">
        <is>
          <t>None</t>
        </is>
      </c>
      <c r="DZ769" s="17" t="n"/>
      <c r="EA769" s="16" t="n"/>
      <c r="EB769" s="20" t="inlineStr">
        <is>
          <t>IC Organic Acids</t>
        </is>
      </c>
      <c r="EC769" s="20" t="inlineStr">
        <is>
          <t>None</t>
        </is>
      </c>
      <c r="ED769" s="17" t="n"/>
      <c r="EE769" s="16" t="n"/>
      <c r="EF769" s="20" t="inlineStr">
        <is>
          <t>IC Organic Acids</t>
        </is>
      </c>
      <c r="EG769" s="20" t="inlineStr">
        <is>
          <t>None</t>
        </is>
      </c>
      <c r="EH769" s="17" t="n"/>
      <c r="EI769" s="16" t="n"/>
      <c r="EJ769" s="20" t="inlineStr">
        <is>
          <t>IC Organic Acids</t>
        </is>
      </c>
      <c r="EK769" s="20" t="inlineStr">
        <is>
          <t>None</t>
        </is>
      </c>
      <c r="EL769" s="17" t="n"/>
      <c r="EM769" s="16" t="n"/>
      <c r="EN769" s="20" t="inlineStr">
        <is>
          <t>IC Organic Acids</t>
        </is>
      </c>
      <c r="EO769" s="20" t="inlineStr">
        <is>
          <t>None</t>
        </is>
      </c>
      <c r="EP769" s="17" t="n"/>
      <c r="EQ769" s="16" t="n"/>
      <c r="ER769" s="20" t="inlineStr">
        <is>
          <t>IC Organic Acids</t>
        </is>
      </c>
      <c r="ES769" s="20" t="inlineStr">
        <is>
          <t>None</t>
        </is>
      </c>
      <c r="ET769" s="17" t="n"/>
      <c r="EU769" s="16" t="n"/>
      <c r="EV769" s="20" t="inlineStr">
        <is>
          <t>LC-MS</t>
        </is>
      </c>
      <c r="EW769" s="20" t="inlineStr">
        <is>
          <t>None</t>
        </is>
      </c>
      <c r="EX769" s="17" t="n"/>
      <c r="EY769" s="21" t="n"/>
      <c r="EZ769">
        <f>CONCATENATE(A769,B769)</f>
        <v/>
      </c>
      <c r="FA769">
        <f>CONCATENATE(SamplesX!A769,SamplesX!B769)</f>
        <v/>
      </c>
      <c r="FC769">
        <f>MATCH(EZ769,FA1:FA1008,0)</f>
        <v/>
      </c>
    </row>
    <row r="770">
      <c r="A770" s="16" t="n"/>
      <c r="B770" s="17" t="n"/>
      <c r="C770" s="10">
        <f>IF(ISNUMBER(FC770),INDIRECT("SamplesX!C"&amp;FC770),IF(ISNUMBER(FD770),INDIRECT("SamplesY!C"&amp;FD770),""))</f>
        <v/>
      </c>
      <c r="D770" s="12">
        <f>IF(ISNUMBER(FC770),INDIRECT("SamplesX!D"&amp;FC770),IF(ISNUMBER(FD770),INDIRECT("SamplesY!D"&amp;FD770),""))</f>
        <v/>
      </c>
      <c r="E770" s="12">
        <f>IF(ISNUMBER(FC770),INDIRECT("SamplesX!E"&amp;FC770),IF(ISNUMBER(FD770),INDIRECT("SamplesY!E"&amp;FD770),""))</f>
        <v/>
      </c>
      <c r="F770" s="11">
        <f>IF(ISNUMBER(FC770),INDIRECT("SamplesX!F"&amp;FC770),IF(ISNUMBER(FD770),INDIRECT("SamplesY!F"&amp;FD770),""))</f>
        <v/>
      </c>
      <c r="G770" s="18">
        <f>IF(ISNUMBER(FC770),INDIRECT("SamplesX!G"&amp;FC770),IF(ISNUMBER(FD770),INDIRECT("SamplesY!G"&amp;FD770),""))</f>
        <v/>
      </c>
      <c r="H770" s="19">
        <f>IF(ISNUMBER(FC770),INDIRECT("SamplesX!H"&amp;FC770),IF(ISNUMBER(FD770),INDIRECT("SamplesY!H"&amp;FD770),""))</f>
        <v/>
      </c>
      <c r="I770" s="16" t="n"/>
      <c r="J770" s="16" t="n"/>
      <c r="K770" s="16" t="n"/>
      <c r="L770" s="20" t="n"/>
      <c r="M770" s="20" t="inlineStr">
        <is>
          <t>None</t>
        </is>
      </c>
      <c r="N770" s="17" t="n"/>
      <c r="O770" s="16" t="n"/>
      <c r="P770" s="20" t="inlineStr">
        <is>
          <t>Shimadzu TOC-L</t>
        </is>
      </c>
      <c r="Q770" s="20" t="inlineStr">
        <is>
          <t>None</t>
        </is>
      </c>
      <c r="R770" s="17" t="n"/>
      <c r="S770" s="16" t="n"/>
      <c r="T770" s="20" t="inlineStr">
        <is>
          <t>Shimadzu TOC-L</t>
        </is>
      </c>
      <c r="U770" s="20" t="inlineStr">
        <is>
          <t>None</t>
        </is>
      </c>
      <c r="V770" s="17" t="n"/>
      <c r="W770" s="16" t="n"/>
      <c r="X770" s="20" t="n"/>
      <c r="Y770" s="20" t="inlineStr">
        <is>
          <t>None</t>
        </is>
      </c>
      <c r="Z770" s="17" t="n"/>
      <c r="AA770" s="16" t="n"/>
      <c r="AB770" s="20" t="n"/>
      <c r="AC770" s="20" t="inlineStr">
        <is>
          <t>None</t>
        </is>
      </c>
      <c r="AD770" s="17" t="n"/>
      <c r="AE770" s="16" t="n"/>
      <c r="AF770" s="20" t="inlineStr">
        <is>
          <t>IC Anionen</t>
        </is>
      </c>
      <c r="AG770" s="20" t="inlineStr">
        <is>
          <t>None</t>
        </is>
      </c>
      <c r="AH770" s="17" t="n"/>
      <c r="AI770" s="16" t="n"/>
      <c r="AJ770" s="20" t="n"/>
      <c r="AK770" s="20" t="inlineStr">
        <is>
          <t>None</t>
        </is>
      </c>
      <c r="AL770" s="17" t="n"/>
      <c r="AM770" s="16" t="n"/>
      <c r="AN770" s="20" t="inlineStr">
        <is>
          <t>IC Anionen</t>
        </is>
      </c>
      <c r="AO770" s="20" t="inlineStr">
        <is>
          <t>None</t>
        </is>
      </c>
      <c r="AP770" s="17" t="n"/>
      <c r="AQ770" s="16" t="n"/>
      <c r="AR770" s="20" t="n"/>
      <c r="AS770" s="20" t="inlineStr">
        <is>
          <t>None</t>
        </is>
      </c>
      <c r="AT770" s="17" t="n"/>
      <c r="AU770" s="16" t="n"/>
      <c r="AV770" s="20" t="n"/>
      <c r="AW770" s="20" t="inlineStr">
        <is>
          <t>None</t>
        </is>
      </c>
      <c r="AX770" s="17" t="n"/>
      <c r="AY770" s="16" t="n"/>
      <c r="AZ770" s="20" t="inlineStr">
        <is>
          <t>IC Anionen</t>
        </is>
      </c>
      <c r="BA770" s="20" t="inlineStr">
        <is>
          <t>None</t>
        </is>
      </c>
      <c r="BB770" s="17" t="n"/>
      <c r="BC770" s="16" t="n"/>
      <c r="BD770" s="20" t="inlineStr">
        <is>
          <t>IC Kationen</t>
        </is>
      </c>
      <c r="BE770" s="20" t="inlineStr">
        <is>
          <t>None</t>
        </is>
      </c>
      <c r="BF770" s="17" t="n"/>
      <c r="BG770" s="16" t="n"/>
      <c r="BH770" s="20" t="inlineStr">
        <is>
          <t>IC Kationen</t>
        </is>
      </c>
      <c r="BI770" s="20" t="inlineStr">
        <is>
          <t>None</t>
        </is>
      </c>
      <c r="BJ770" s="17" t="n"/>
      <c r="BK770" s="16" t="n"/>
      <c r="BL770" s="20" t="inlineStr">
        <is>
          <t>IC Kationen</t>
        </is>
      </c>
      <c r="BM770" s="20" t="inlineStr">
        <is>
          <t>None</t>
        </is>
      </c>
      <c r="BN770" s="17" t="n"/>
      <c r="BO770" s="16" t="n"/>
      <c r="BP770" s="20" t="inlineStr">
        <is>
          <t>IC Kationen</t>
        </is>
      </c>
      <c r="BQ770" s="20" t="inlineStr">
        <is>
          <t>None</t>
        </is>
      </c>
      <c r="BR770" s="17" t="n"/>
      <c r="BS770" s="16" t="n"/>
      <c r="BT770" s="20" t="inlineStr">
        <is>
          <t>IC Kationen</t>
        </is>
      </c>
      <c r="BU770" s="20" t="inlineStr">
        <is>
          <t>None</t>
        </is>
      </c>
      <c r="BV770" s="17" t="n"/>
      <c r="BW770" s="16" t="n"/>
      <c r="BX770" s="20" t="n"/>
      <c r="BY770" s="20" t="inlineStr">
        <is>
          <t>None</t>
        </is>
      </c>
      <c r="BZ770" s="17" t="n"/>
      <c r="CA770" s="16" t="n"/>
      <c r="CB770" s="20" t="n"/>
      <c r="CC770" s="20" t="inlineStr">
        <is>
          <t>None</t>
        </is>
      </c>
      <c r="CD770" s="17" t="n"/>
      <c r="CE770" s="16" t="n"/>
      <c r="CF770" s="20" t="n"/>
      <c r="CG770" s="20" t="inlineStr">
        <is>
          <t>None</t>
        </is>
      </c>
      <c r="CH770" s="17" t="n"/>
      <c r="CI770" s="16" t="n"/>
      <c r="CJ770" s="20" t="n"/>
      <c r="CK770" s="20" t="inlineStr">
        <is>
          <t>None</t>
        </is>
      </c>
      <c r="CL770" s="17" t="n"/>
      <c r="CM770" s="16" t="n"/>
      <c r="CN770" s="20" t="inlineStr">
        <is>
          <t>SOP 45-34</t>
        </is>
      </c>
      <c r="CO770" s="20" t="inlineStr">
        <is>
          <t>None</t>
        </is>
      </c>
      <c r="CP770" s="17" t="n"/>
      <c r="CQ770" s="16" t="n"/>
      <c r="CR770" s="20" t="n"/>
      <c r="CS770" s="20" t="inlineStr">
        <is>
          <t>None</t>
        </is>
      </c>
      <c r="CT770" s="17" t="n"/>
      <c r="CU770" s="16" t="n"/>
      <c r="CV770" s="20" t="n"/>
      <c r="CW770" s="20" t="inlineStr">
        <is>
          <t>None</t>
        </is>
      </c>
      <c r="CX770" s="17" t="n"/>
      <c r="CY770" s="16" t="n"/>
      <c r="CZ770" s="20" t="inlineStr">
        <is>
          <t>WTW Multimeter 3430 with FDO 925</t>
        </is>
      </c>
      <c r="DA770" s="20" t="inlineStr">
        <is>
          <t>None</t>
        </is>
      </c>
      <c r="DB770" s="17" t="n"/>
      <c r="DC770" s="16" t="n"/>
      <c r="DD770" s="20" t="n"/>
      <c r="DE770" s="20" t="inlineStr">
        <is>
          <t>None</t>
        </is>
      </c>
      <c r="DF770" s="17" t="n"/>
      <c r="DG770" s="16" t="n"/>
      <c r="DH770" s="20" t="inlineStr">
        <is>
          <t>SOP 45-09</t>
        </is>
      </c>
      <c r="DI770" s="20" t="inlineStr">
        <is>
          <t>None</t>
        </is>
      </c>
      <c r="DJ770" s="17" t="n"/>
      <c r="DK770" s="16" t="n"/>
      <c r="DL770" s="20" t="inlineStr">
        <is>
          <t>SOP 45-09 (SOP muss noch angepasst werden für VSS)</t>
        </is>
      </c>
      <c r="DM770" s="20" t="inlineStr">
        <is>
          <t>None</t>
        </is>
      </c>
      <c r="DN770" s="17" t="n"/>
      <c r="DO770" s="16" t="n"/>
      <c r="DP770" s="20" t="inlineStr">
        <is>
          <t>IC Organic Acids</t>
        </is>
      </c>
      <c r="DQ770" s="20" t="inlineStr">
        <is>
          <t>None</t>
        </is>
      </c>
      <c r="DR770" s="17" t="n"/>
      <c r="DS770" s="16" t="n"/>
      <c r="DT770" s="20" t="inlineStr">
        <is>
          <t>IC Organic Acids</t>
        </is>
      </c>
      <c r="DU770" s="20" t="inlineStr">
        <is>
          <t>None</t>
        </is>
      </c>
      <c r="DV770" s="17" t="n"/>
      <c r="DW770" s="16" t="n"/>
      <c r="DX770" s="20" t="inlineStr">
        <is>
          <t>IC Organic Acids</t>
        </is>
      </c>
      <c r="DY770" s="20" t="inlineStr">
        <is>
          <t>None</t>
        </is>
      </c>
      <c r="DZ770" s="17" t="n"/>
      <c r="EA770" s="16" t="n"/>
      <c r="EB770" s="20" t="inlineStr">
        <is>
          <t>IC Organic Acids</t>
        </is>
      </c>
      <c r="EC770" s="20" t="inlineStr">
        <is>
          <t>None</t>
        </is>
      </c>
      <c r="ED770" s="17" t="n"/>
      <c r="EE770" s="16" t="n"/>
      <c r="EF770" s="20" t="inlineStr">
        <is>
          <t>IC Organic Acids</t>
        </is>
      </c>
      <c r="EG770" s="20" t="inlineStr">
        <is>
          <t>None</t>
        </is>
      </c>
      <c r="EH770" s="17" t="n"/>
      <c r="EI770" s="16" t="n"/>
      <c r="EJ770" s="20" t="inlineStr">
        <is>
          <t>IC Organic Acids</t>
        </is>
      </c>
      <c r="EK770" s="20" t="inlineStr">
        <is>
          <t>None</t>
        </is>
      </c>
      <c r="EL770" s="17" t="n"/>
      <c r="EM770" s="16" t="n"/>
      <c r="EN770" s="20" t="inlineStr">
        <is>
          <t>IC Organic Acids</t>
        </is>
      </c>
      <c r="EO770" s="20" t="inlineStr">
        <is>
          <t>None</t>
        </is>
      </c>
      <c r="EP770" s="17" t="n"/>
      <c r="EQ770" s="16" t="n"/>
      <c r="ER770" s="20" t="inlineStr">
        <is>
          <t>IC Organic Acids</t>
        </is>
      </c>
      <c r="ES770" s="20" t="inlineStr">
        <is>
          <t>None</t>
        </is>
      </c>
      <c r="ET770" s="17" t="n"/>
      <c r="EU770" s="16" t="n"/>
      <c r="EV770" s="20" t="inlineStr">
        <is>
          <t>LC-MS</t>
        </is>
      </c>
      <c r="EW770" s="20" t="inlineStr">
        <is>
          <t>None</t>
        </is>
      </c>
      <c r="EX770" s="17" t="n"/>
      <c r="EY770" s="21" t="n"/>
      <c r="EZ770">
        <f>CONCATENATE(A770,B770)</f>
        <v/>
      </c>
      <c r="FA770">
        <f>CONCATENATE(SamplesX!A770,SamplesX!B770)</f>
        <v/>
      </c>
      <c r="FC770">
        <f>MATCH(EZ770,FA1:FA1008,0)</f>
        <v/>
      </c>
    </row>
    <row r="771">
      <c r="A771" s="16" t="n"/>
      <c r="B771" s="17" t="n"/>
      <c r="C771" s="10">
        <f>IF(ISNUMBER(FC771),INDIRECT("SamplesX!C"&amp;FC771),IF(ISNUMBER(FD771),INDIRECT("SamplesY!C"&amp;FD771),""))</f>
        <v/>
      </c>
      <c r="D771" s="12">
        <f>IF(ISNUMBER(FC771),INDIRECT("SamplesX!D"&amp;FC771),IF(ISNUMBER(FD771),INDIRECT("SamplesY!D"&amp;FD771),""))</f>
        <v/>
      </c>
      <c r="E771" s="12">
        <f>IF(ISNUMBER(FC771),INDIRECT("SamplesX!E"&amp;FC771),IF(ISNUMBER(FD771),INDIRECT("SamplesY!E"&amp;FD771),""))</f>
        <v/>
      </c>
      <c r="F771" s="11">
        <f>IF(ISNUMBER(FC771),INDIRECT("SamplesX!F"&amp;FC771),IF(ISNUMBER(FD771),INDIRECT("SamplesY!F"&amp;FD771),""))</f>
        <v/>
      </c>
      <c r="G771" s="18">
        <f>IF(ISNUMBER(FC771),INDIRECT("SamplesX!G"&amp;FC771),IF(ISNUMBER(FD771),INDIRECT("SamplesY!G"&amp;FD771),""))</f>
        <v/>
      </c>
      <c r="H771" s="19">
        <f>IF(ISNUMBER(FC771),INDIRECT("SamplesX!H"&amp;FC771),IF(ISNUMBER(FD771),INDIRECT("SamplesY!H"&amp;FD771),""))</f>
        <v/>
      </c>
      <c r="I771" s="16" t="n"/>
      <c r="J771" s="16" t="n"/>
      <c r="K771" s="16" t="n"/>
      <c r="L771" s="20" t="n"/>
      <c r="M771" s="20" t="inlineStr">
        <is>
          <t>None</t>
        </is>
      </c>
      <c r="N771" s="17" t="n"/>
      <c r="O771" s="16" t="n"/>
      <c r="P771" s="20" t="inlineStr">
        <is>
          <t>Shimadzu TOC-L</t>
        </is>
      </c>
      <c r="Q771" s="20" t="inlineStr">
        <is>
          <t>None</t>
        </is>
      </c>
      <c r="R771" s="17" t="n"/>
      <c r="S771" s="16" t="n"/>
      <c r="T771" s="20" t="inlineStr">
        <is>
          <t>Shimadzu TOC-L</t>
        </is>
      </c>
      <c r="U771" s="20" t="inlineStr">
        <is>
          <t>None</t>
        </is>
      </c>
      <c r="V771" s="17" t="n"/>
      <c r="W771" s="16" t="n"/>
      <c r="X771" s="20" t="n"/>
      <c r="Y771" s="20" t="inlineStr">
        <is>
          <t>None</t>
        </is>
      </c>
      <c r="Z771" s="17" t="n"/>
      <c r="AA771" s="16" t="n"/>
      <c r="AB771" s="20" t="n"/>
      <c r="AC771" s="20" t="inlineStr">
        <is>
          <t>None</t>
        </is>
      </c>
      <c r="AD771" s="17" t="n"/>
      <c r="AE771" s="16" t="n"/>
      <c r="AF771" s="20" t="inlineStr">
        <is>
          <t>IC Anionen</t>
        </is>
      </c>
      <c r="AG771" s="20" t="inlineStr">
        <is>
          <t>None</t>
        </is>
      </c>
      <c r="AH771" s="17" t="n"/>
      <c r="AI771" s="16" t="n"/>
      <c r="AJ771" s="20" t="n"/>
      <c r="AK771" s="20" t="inlineStr">
        <is>
          <t>None</t>
        </is>
      </c>
      <c r="AL771" s="17" t="n"/>
      <c r="AM771" s="16" t="n"/>
      <c r="AN771" s="20" t="inlineStr">
        <is>
          <t>IC Anionen</t>
        </is>
      </c>
      <c r="AO771" s="20" t="inlineStr">
        <is>
          <t>None</t>
        </is>
      </c>
      <c r="AP771" s="17" t="n"/>
      <c r="AQ771" s="16" t="n"/>
      <c r="AR771" s="20" t="n"/>
      <c r="AS771" s="20" t="inlineStr">
        <is>
          <t>None</t>
        </is>
      </c>
      <c r="AT771" s="17" t="n"/>
      <c r="AU771" s="16" t="n"/>
      <c r="AV771" s="20" t="n"/>
      <c r="AW771" s="20" t="inlineStr">
        <is>
          <t>None</t>
        </is>
      </c>
      <c r="AX771" s="17" t="n"/>
      <c r="AY771" s="16" t="n"/>
      <c r="AZ771" s="20" t="inlineStr">
        <is>
          <t>IC Anionen</t>
        </is>
      </c>
      <c r="BA771" s="20" t="inlineStr">
        <is>
          <t>None</t>
        </is>
      </c>
      <c r="BB771" s="17" t="n"/>
      <c r="BC771" s="16" t="n"/>
      <c r="BD771" s="20" t="inlineStr">
        <is>
          <t>IC Kationen</t>
        </is>
      </c>
      <c r="BE771" s="20" t="inlineStr">
        <is>
          <t>None</t>
        </is>
      </c>
      <c r="BF771" s="17" t="n"/>
      <c r="BG771" s="16" t="n"/>
      <c r="BH771" s="20" t="inlineStr">
        <is>
          <t>IC Kationen</t>
        </is>
      </c>
      <c r="BI771" s="20" t="inlineStr">
        <is>
          <t>None</t>
        </is>
      </c>
      <c r="BJ771" s="17" t="n"/>
      <c r="BK771" s="16" t="n"/>
      <c r="BL771" s="20" t="inlineStr">
        <is>
          <t>IC Kationen</t>
        </is>
      </c>
      <c r="BM771" s="20" t="inlineStr">
        <is>
          <t>None</t>
        </is>
      </c>
      <c r="BN771" s="17" t="n"/>
      <c r="BO771" s="16" t="n"/>
      <c r="BP771" s="20" t="inlineStr">
        <is>
          <t>IC Kationen</t>
        </is>
      </c>
      <c r="BQ771" s="20" t="inlineStr">
        <is>
          <t>None</t>
        </is>
      </c>
      <c r="BR771" s="17" t="n"/>
      <c r="BS771" s="16" t="n"/>
      <c r="BT771" s="20" t="inlineStr">
        <is>
          <t>IC Kationen</t>
        </is>
      </c>
      <c r="BU771" s="20" t="inlineStr">
        <is>
          <t>None</t>
        </is>
      </c>
      <c r="BV771" s="17" t="n"/>
      <c r="BW771" s="16" t="n"/>
      <c r="BX771" s="20" t="n"/>
      <c r="BY771" s="20" t="inlineStr">
        <is>
          <t>None</t>
        </is>
      </c>
      <c r="BZ771" s="17" t="n"/>
      <c r="CA771" s="16" t="n"/>
      <c r="CB771" s="20" t="n"/>
      <c r="CC771" s="20" t="inlineStr">
        <is>
          <t>None</t>
        </is>
      </c>
      <c r="CD771" s="17" t="n"/>
      <c r="CE771" s="16" t="n"/>
      <c r="CF771" s="20" t="n"/>
      <c r="CG771" s="20" t="inlineStr">
        <is>
          <t>None</t>
        </is>
      </c>
      <c r="CH771" s="17" t="n"/>
      <c r="CI771" s="16" t="n"/>
      <c r="CJ771" s="20" t="n"/>
      <c r="CK771" s="20" t="inlineStr">
        <is>
          <t>None</t>
        </is>
      </c>
      <c r="CL771" s="17" t="n"/>
      <c r="CM771" s="16" t="n"/>
      <c r="CN771" s="20" t="inlineStr">
        <is>
          <t>SOP 45-34</t>
        </is>
      </c>
      <c r="CO771" s="20" t="inlineStr">
        <is>
          <t>None</t>
        </is>
      </c>
      <c r="CP771" s="17" t="n"/>
      <c r="CQ771" s="16" t="n"/>
      <c r="CR771" s="20" t="n"/>
      <c r="CS771" s="20" t="inlineStr">
        <is>
          <t>None</t>
        </is>
      </c>
      <c r="CT771" s="17" t="n"/>
      <c r="CU771" s="16" t="n"/>
      <c r="CV771" s="20" t="n"/>
      <c r="CW771" s="20" t="inlineStr">
        <is>
          <t>None</t>
        </is>
      </c>
      <c r="CX771" s="17" t="n"/>
      <c r="CY771" s="16" t="n"/>
      <c r="CZ771" s="20" t="inlineStr">
        <is>
          <t>WTW Multimeter 3430 with FDO 925</t>
        </is>
      </c>
      <c r="DA771" s="20" t="inlineStr">
        <is>
          <t>None</t>
        </is>
      </c>
      <c r="DB771" s="17" t="n"/>
      <c r="DC771" s="16" t="n"/>
      <c r="DD771" s="20" t="n"/>
      <c r="DE771" s="20" t="inlineStr">
        <is>
          <t>None</t>
        </is>
      </c>
      <c r="DF771" s="17" t="n"/>
      <c r="DG771" s="16" t="n"/>
      <c r="DH771" s="20" t="inlineStr">
        <is>
          <t>SOP 45-09</t>
        </is>
      </c>
      <c r="DI771" s="20" t="inlineStr">
        <is>
          <t>None</t>
        </is>
      </c>
      <c r="DJ771" s="17" t="n"/>
      <c r="DK771" s="16" t="n"/>
      <c r="DL771" s="20" t="inlineStr">
        <is>
          <t>SOP 45-09 (SOP muss noch angepasst werden für VSS)</t>
        </is>
      </c>
      <c r="DM771" s="20" t="inlineStr">
        <is>
          <t>None</t>
        </is>
      </c>
      <c r="DN771" s="17" t="n"/>
      <c r="DO771" s="16" t="n"/>
      <c r="DP771" s="20" t="inlineStr">
        <is>
          <t>IC Organic Acids</t>
        </is>
      </c>
      <c r="DQ771" s="20" t="inlineStr">
        <is>
          <t>None</t>
        </is>
      </c>
      <c r="DR771" s="17" t="n"/>
      <c r="DS771" s="16" t="n"/>
      <c r="DT771" s="20" t="inlineStr">
        <is>
          <t>IC Organic Acids</t>
        </is>
      </c>
      <c r="DU771" s="20" t="inlineStr">
        <is>
          <t>None</t>
        </is>
      </c>
      <c r="DV771" s="17" t="n"/>
      <c r="DW771" s="16" t="n"/>
      <c r="DX771" s="20" t="inlineStr">
        <is>
          <t>IC Organic Acids</t>
        </is>
      </c>
      <c r="DY771" s="20" t="inlineStr">
        <is>
          <t>None</t>
        </is>
      </c>
      <c r="DZ771" s="17" t="n"/>
      <c r="EA771" s="16" t="n"/>
      <c r="EB771" s="20" t="inlineStr">
        <is>
          <t>IC Organic Acids</t>
        </is>
      </c>
      <c r="EC771" s="20" t="inlineStr">
        <is>
          <t>None</t>
        </is>
      </c>
      <c r="ED771" s="17" t="n"/>
      <c r="EE771" s="16" t="n"/>
      <c r="EF771" s="20" t="inlineStr">
        <is>
          <t>IC Organic Acids</t>
        </is>
      </c>
      <c r="EG771" s="20" t="inlineStr">
        <is>
          <t>None</t>
        </is>
      </c>
      <c r="EH771" s="17" t="n"/>
      <c r="EI771" s="16" t="n"/>
      <c r="EJ771" s="20" t="inlineStr">
        <is>
          <t>IC Organic Acids</t>
        </is>
      </c>
      <c r="EK771" s="20" t="inlineStr">
        <is>
          <t>None</t>
        </is>
      </c>
      <c r="EL771" s="17" t="n"/>
      <c r="EM771" s="16" t="n"/>
      <c r="EN771" s="20" t="inlineStr">
        <is>
          <t>IC Organic Acids</t>
        </is>
      </c>
      <c r="EO771" s="20" t="inlineStr">
        <is>
          <t>None</t>
        </is>
      </c>
      <c r="EP771" s="17" t="n"/>
      <c r="EQ771" s="16" t="n"/>
      <c r="ER771" s="20" t="inlineStr">
        <is>
          <t>IC Organic Acids</t>
        </is>
      </c>
      <c r="ES771" s="20" t="inlineStr">
        <is>
          <t>None</t>
        </is>
      </c>
      <c r="ET771" s="17" t="n"/>
      <c r="EU771" s="16" t="n"/>
      <c r="EV771" s="20" t="inlineStr">
        <is>
          <t>LC-MS</t>
        </is>
      </c>
      <c r="EW771" s="20" t="inlineStr">
        <is>
          <t>None</t>
        </is>
      </c>
      <c r="EX771" s="17" t="n"/>
      <c r="EY771" s="21" t="n"/>
      <c r="EZ771">
        <f>CONCATENATE(A771,B771)</f>
        <v/>
      </c>
      <c r="FA771">
        <f>CONCATENATE(SamplesX!A771,SamplesX!B771)</f>
        <v/>
      </c>
      <c r="FC771">
        <f>MATCH(EZ771,FA1:FA1008,0)</f>
        <v/>
      </c>
    </row>
    <row r="772">
      <c r="A772" s="16" t="n"/>
      <c r="B772" s="17" t="n"/>
      <c r="C772" s="10">
        <f>IF(ISNUMBER(FC772),INDIRECT("SamplesX!C"&amp;FC772),IF(ISNUMBER(FD772),INDIRECT("SamplesY!C"&amp;FD772),""))</f>
        <v/>
      </c>
      <c r="D772" s="12">
        <f>IF(ISNUMBER(FC772),INDIRECT("SamplesX!D"&amp;FC772),IF(ISNUMBER(FD772),INDIRECT("SamplesY!D"&amp;FD772),""))</f>
        <v/>
      </c>
      <c r="E772" s="12">
        <f>IF(ISNUMBER(FC772),INDIRECT("SamplesX!E"&amp;FC772),IF(ISNUMBER(FD772),INDIRECT("SamplesY!E"&amp;FD772),""))</f>
        <v/>
      </c>
      <c r="F772" s="11">
        <f>IF(ISNUMBER(FC772),INDIRECT("SamplesX!F"&amp;FC772),IF(ISNUMBER(FD772),INDIRECT("SamplesY!F"&amp;FD772),""))</f>
        <v/>
      </c>
      <c r="G772" s="18">
        <f>IF(ISNUMBER(FC772),INDIRECT("SamplesX!G"&amp;FC772),IF(ISNUMBER(FD772),INDIRECT("SamplesY!G"&amp;FD772),""))</f>
        <v/>
      </c>
      <c r="H772" s="19">
        <f>IF(ISNUMBER(FC772),INDIRECT("SamplesX!H"&amp;FC772),IF(ISNUMBER(FD772),INDIRECT("SamplesY!H"&amp;FD772),""))</f>
        <v/>
      </c>
      <c r="I772" s="16" t="n"/>
      <c r="J772" s="16" t="n"/>
      <c r="K772" s="16" t="n"/>
      <c r="L772" s="20" t="n"/>
      <c r="M772" s="20" t="inlineStr">
        <is>
          <t>None</t>
        </is>
      </c>
      <c r="N772" s="17" t="n"/>
      <c r="O772" s="16" t="n"/>
      <c r="P772" s="20" t="inlineStr">
        <is>
          <t>Shimadzu TOC-L</t>
        </is>
      </c>
      <c r="Q772" s="20" t="inlineStr">
        <is>
          <t>None</t>
        </is>
      </c>
      <c r="R772" s="17" t="n"/>
      <c r="S772" s="16" t="n"/>
      <c r="T772" s="20" t="inlineStr">
        <is>
          <t>Shimadzu TOC-L</t>
        </is>
      </c>
      <c r="U772" s="20" t="inlineStr">
        <is>
          <t>None</t>
        </is>
      </c>
      <c r="V772" s="17" t="n"/>
      <c r="W772" s="16" t="n"/>
      <c r="X772" s="20" t="n"/>
      <c r="Y772" s="20" t="inlineStr">
        <is>
          <t>None</t>
        </is>
      </c>
      <c r="Z772" s="17" t="n"/>
      <c r="AA772" s="16" t="n"/>
      <c r="AB772" s="20" t="n"/>
      <c r="AC772" s="20" t="inlineStr">
        <is>
          <t>None</t>
        </is>
      </c>
      <c r="AD772" s="17" t="n"/>
      <c r="AE772" s="16" t="n"/>
      <c r="AF772" s="20" t="inlineStr">
        <is>
          <t>IC Anionen</t>
        </is>
      </c>
      <c r="AG772" s="20" t="inlineStr">
        <is>
          <t>None</t>
        </is>
      </c>
      <c r="AH772" s="17" t="n"/>
      <c r="AI772" s="16" t="n"/>
      <c r="AJ772" s="20" t="n"/>
      <c r="AK772" s="20" t="inlineStr">
        <is>
          <t>None</t>
        </is>
      </c>
      <c r="AL772" s="17" t="n"/>
      <c r="AM772" s="16" t="n"/>
      <c r="AN772" s="20" t="inlineStr">
        <is>
          <t>IC Anionen</t>
        </is>
      </c>
      <c r="AO772" s="20" t="inlineStr">
        <is>
          <t>None</t>
        </is>
      </c>
      <c r="AP772" s="17" t="n"/>
      <c r="AQ772" s="16" t="n"/>
      <c r="AR772" s="20" t="n"/>
      <c r="AS772" s="20" t="inlineStr">
        <is>
          <t>None</t>
        </is>
      </c>
      <c r="AT772" s="17" t="n"/>
      <c r="AU772" s="16" t="n"/>
      <c r="AV772" s="20" t="n"/>
      <c r="AW772" s="20" t="inlineStr">
        <is>
          <t>None</t>
        </is>
      </c>
      <c r="AX772" s="17" t="n"/>
      <c r="AY772" s="16" t="n"/>
      <c r="AZ772" s="20" t="inlineStr">
        <is>
          <t>IC Anionen</t>
        </is>
      </c>
      <c r="BA772" s="20" t="inlineStr">
        <is>
          <t>None</t>
        </is>
      </c>
      <c r="BB772" s="17" t="n"/>
      <c r="BC772" s="16" t="n"/>
      <c r="BD772" s="20" t="inlineStr">
        <is>
          <t>IC Kationen</t>
        </is>
      </c>
      <c r="BE772" s="20" t="inlineStr">
        <is>
          <t>None</t>
        </is>
      </c>
      <c r="BF772" s="17" t="n"/>
      <c r="BG772" s="16" t="n"/>
      <c r="BH772" s="20" t="inlineStr">
        <is>
          <t>IC Kationen</t>
        </is>
      </c>
      <c r="BI772" s="20" t="inlineStr">
        <is>
          <t>None</t>
        </is>
      </c>
      <c r="BJ772" s="17" t="n"/>
      <c r="BK772" s="16" t="n"/>
      <c r="BL772" s="20" t="inlineStr">
        <is>
          <t>IC Kationen</t>
        </is>
      </c>
      <c r="BM772" s="20" t="inlineStr">
        <is>
          <t>None</t>
        </is>
      </c>
      <c r="BN772" s="17" t="n"/>
      <c r="BO772" s="16" t="n"/>
      <c r="BP772" s="20" t="inlineStr">
        <is>
          <t>IC Kationen</t>
        </is>
      </c>
      <c r="BQ772" s="20" t="inlineStr">
        <is>
          <t>None</t>
        </is>
      </c>
      <c r="BR772" s="17" t="n"/>
      <c r="BS772" s="16" t="n"/>
      <c r="BT772" s="20" t="inlineStr">
        <is>
          <t>IC Kationen</t>
        </is>
      </c>
      <c r="BU772" s="20" t="inlineStr">
        <is>
          <t>None</t>
        </is>
      </c>
      <c r="BV772" s="17" t="n"/>
      <c r="BW772" s="16" t="n"/>
      <c r="BX772" s="20" t="n"/>
      <c r="BY772" s="20" t="inlineStr">
        <is>
          <t>None</t>
        </is>
      </c>
      <c r="BZ772" s="17" t="n"/>
      <c r="CA772" s="16" t="n"/>
      <c r="CB772" s="20" t="n"/>
      <c r="CC772" s="20" t="inlineStr">
        <is>
          <t>None</t>
        </is>
      </c>
      <c r="CD772" s="17" t="n"/>
      <c r="CE772" s="16" t="n"/>
      <c r="CF772" s="20" t="n"/>
      <c r="CG772" s="20" t="inlineStr">
        <is>
          <t>None</t>
        </is>
      </c>
      <c r="CH772" s="17" t="n"/>
      <c r="CI772" s="16" t="n"/>
      <c r="CJ772" s="20" t="n"/>
      <c r="CK772" s="20" t="inlineStr">
        <is>
          <t>None</t>
        </is>
      </c>
      <c r="CL772" s="17" t="n"/>
      <c r="CM772" s="16" t="n"/>
      <c r="CN772" s="20" t="inlineStr">
        <is>
          <t>SOP 45-34</t>
        </is>
      </c>
      <c r="CO772" s="20" t="inlineStr">
        <is>
          <t>None</t>
        </is>
      </c>
      <c r="CP772" s="17" t="n"/>
      <c r="CQ772" s="16" t="n"/>
      <c r="CR772" s="20" t="n"/>
      <c r="CS772" s="20" t="inlineStr">
        <is>
          <t>None</t>
        </is>
      </c>
      <c r="CT772" s="17" t="n"/>
      <c r="CU772" s="16" t="n"/>
      <c r="CV772" s="20" t="n"/>
      <c r="CW772" s="20" t="inlineStr">
        <is>
          <t>None</t>
        </is>
      </c>
      <c r="CX772" s="17" t="n"/>
      <c r="CY772" s="16" t="n"/>
      <c r="CZ772" s="20" t="inlineStr">
        <is>
          <t>WTW Multimeter 3430 with FDO 925</t>
        </is>
      </c>
      <c r="DA772" s="20" t="inlineStr">
        <is>
          <t>None</t>
        </is>
      </c>
      <c r="DB772" s="17" t="n"/>
      <c r="DC772" s="16" t="n"/>
      <c r="DD772" s="20" t="n"/>
      <c r="DE772" s="20" t="inlineStr">
        <is>
          <t>None</t>
        </is>
      </c>
      <c r="DF772" s="17" t="n"/>
      <c r="DG772" s="16" t="n"/>
      <c r="DH772" s="20" t="inlineStr">
        <is>
          <t>SOP 45-09</t>
        </is>
      </c>
      <c r="DI772" s="20" t="inlineStr">
        <is>
          <t>None</t>
        </is>
      </c>
      <c r="DJ772" s="17" t="n"/>
      <c r="DK772" s="16" t="n"/>
      <c r="DL772" s="20" t="inlineStr">
        <is>
          <t>SOP 45-09 (SOP muss noch angepasst werden für VSS)</t>
        </is>
      </c>
      <c r="DM772" s="20" t="inlineStr">
        <is>
          <t>None</t>
        </is>
      </c>
      <c r="DN772" s="17" t="n"/>
      <c r="DO772" s="16" t="n"/>
      <c r="DP772" s="20" t="inlineStr">
        <is>
          <t>IC Organic Acids</t>
        </is>
      </c>
      <c r="DQ772" s="20" t="inlineStr">
        <is>
          <t>None</t>
        </is>
      </c>
      <c r="DR772" s="17" t="n"/>
      <c r="DS772" s="16" t="n"/>
      <c r="DT772" s="20" t="inlineStr">
        <is>
          <t>IC Organic Acids</t>
        </is>
      </c>
      <c r="DU772" s="20" t="inlineStr">
        <is>
          <t>None</t>
        </is>
      </c>
      <c r="DV772" s="17" t="n"/>
      <c r="DW772" s="16" t="n"/>
      <c r="DX772" s="20" t="inlineStr">
        <is>
          <t>IC Organic Acids</t>
        </is>
      </c>
      <c r="DY772" s="20" t="inlineStr">
        <is>
          <t>None</t>
        </is>
      </c>
      <c r="DZ772" s="17" t="n"/>
      <c r="EA772" s="16" t="n"/>
      <c r="EB772" s="20" t="inlineStr">
        <is>
          <t>IC Organic Acids</t>
        </is>
      </c>
      <c r="EC772" s="20" t="inlineStr">
        <is>
          <t>None</t>
        </is>
      </c>
      <c r="ED772" s="17" t="n"/>
      <c r="EE772" s="16" t="n"/>
      <c r="EF772" s="20" t="inlineStr">
        <is>
          <t>IC Organic Acids</t>
        </is>
      </c>
      <c r="EG772" s="20" t="inlineStr">
        <is>
          <t>None</t>
        </is>
      </c>
      <c r="EH772" s="17" t="n"/>
      <c r="EI772" s="16" t="n"/>
      <c r="EJ772" s="20" t="inlineStr">
        <is>
          <t>IC Organic Acids</t>
        </is>
      </c>
      <c r="EK772" s="20" t="inlineStr">
        <is>
          <t>None</t>
        </is>
      </c>
      <c r="EL772" s="17" t="n"/>
      <c r="EM772" s="16" t="n"/>
      <c r="EN772" s="20" t="inlineStr">
        <is>
          <t>IC Organic Acids</t>
        </is>
      </c>
      <c r="EO772" s="20" t="inlineStr">
        <is>
          <t>None</t>
        </is>
      </c>
      <c r="EP772" s="17" t="n"/>
      <c r="EQ772" s="16" t="n"/>
      <c r="ER772" s="20" t="inlineStr">
        <is>
          <t>IC Organic Acids</t>
        </is>
      </c>
      <c r="ES772" s="20" t="inlineStr">
        <is>
          <t>None</t>
        </is>
      </c>
      <c r="ET772" s="17" t="n"/>
      <c r="EU772" s="16" t="n"/>
      <c r="EV772" s="20" t="inlineStr">
        <is>
          <t>LC-MS</t>
        </is>
      </c>
      <c r="EW772" s="20" t="inlineStr">
        <is>
          <t>None</t>
        </is>
      </c>
      <c r="EX772" s="17" t="n"/>
      <c r="EY772" s="21" t="n"/>
      <c r="EZ772">
        <f>CONCATENATE(A772,B772)</f>
        <v/>
      </c>
      <c r="FA772">
        <f>CONCATENATE(SamplesX!A772,SamplesX!B772)</f>
        <v/>
      </c>
      <c r="FC772">
        <f>MATCH(EZ772,FA1:FA1008,0)</f>
        <v/>
      </c>
    </row>
    <row r="773">
      <c r="A773" s="16" t="n"/>
      <c r="B773" s="17" t="n"/>
      <c r="C773" s="10">
        <f>IF(ISNUMBER(FC773),INDIRECT("SamplesX!C"&amp;FC773),IF(ISNUMBER(FD773),INDIRECT("SamplesY!C"&amp;FD773),""))</f>
        <v/>
      </c>
      <c r="D773" s="12">
        <f>IF(ISNUMBER(FC773),INDIRECT("SamplesX!D"&amp;FC773),IF(ISNUMBER(FD773),INDIRECT("SamplesY!D"&amp;FD773),""))</f>
        <v/>
      </c>
      <c r="E773" s="12">
        <f>IF(ISNUMBER(FC773),INDIRECT("SamplesX!E"&amp;FC773),IF(ISNUMBER(FD773),INDIRECT("SamplesY!E"&amp;FD773),""))</f>
        <v/>
      </c>
      <c r="F773" s="11">
        <f>IF(ISNUMBER(FC773),INDIRECT("SamplesX!F"&amp;FC773),IF(ISNUMBER(FD773),INDIRECT("SamplesY!F"&amp;FD773),""))</f>
        <v/>
      </c>
      <c r="G773" s="18">
        <f>IF(ISNUMBER(FC773),INDIRECT("SamplesX!G"&amp;FC773),IF(ISNUMBER(FD773),INDIRECT("SamplesY!G"&amp;FD773),""))</f>
        <v/>
      </c>
      <c r="H773" s="19">
        <f>IF(ISNUMBER(FC773),INDIRECT("SamplesX!H"&amp;FC773),IF(ISNUMBER(FD773),INDIRECT("SamplesY!H"&amp;FD773),""))</f>
        <v/>
      </c>
      <c r="I773" s="16" t="n"/>
      <c r="J773" s="16" t="n"/>
      <c r="K773" s="16" t="n"/>
      <c r="L773" s="20" t="n"/>
      <c r="M773" s="20" t="inlineStr">
        <is>
          <t>None</t>
        </is>
      </c>
      <c r="N773" s="17" t="n"/>
      <c r="O773" s="16" t="n"/>
      <c r="P773" s="20" t="inlineStr">
        <is>
          <t>Shimadzu TOC-L</t>
        </is>
      </c>
      <c r="Q773" s="20" t="inlineStr">
        <is>
          <t>None</t>
        </is>
      </c>
      <c r="R773" s="17" t="n"/>
      <c r="S773" s="16" t="n"/>
      <c r="T773" s="20" t="inlineStr">
        <is>
          <t>Shimadzu TOC-L</t>
        </is>
      </c>
      <c r="U773" s="20" t="inlineStr">
        <is>
          <t>None</t>
        </is>
      </c>
      <c r="V773" s="17" t="n"/>
      <c r="W773" s="16" t="n"/>
      <c r="X773" s="20" t="n"/>
      <c r="Y773" s="20" t="inlineStr">
        <is>
          <t>None</t>
        </is>
      </c>
      <c r="Z773" s="17" t="n"/>
      <c r="AA773" s="16" t="n"/>
      <c r="AB773" s="20" t="n"/>
      <c r="AC773" s="20" t="inlineStr">
        <is>
          <t>None</t>
        </is>
      </c>
      <c r="AD773" s="17" t="n"/>
      <c r="AE773" s="16" t="n"/>
      <c r="AF773" s="20" t="inlineStr">
        <is>
          <t>IC Anionen</t>
        </is>
      </c>
      <c r="AG773" s="20" t="inlineStr">
        <is>
          <t>None</t>
        </is>
      </c>
      <c r="AH773" s="17" t="n"/>
      <c r="AI773" s="16" t="n"/>
      <c r="AJ773" s="20" t="n"/>
      <c r="AK773" s="20" t="inlineStr">
        <is>
          <t>None</t>
        </is>
      </c>
      <c r="AL773" s="17" t="n"/>
      <c r="AM773" s="16" t="n"/>
      <c r="AN773" s="20" t="inlineStr">
        <is>
          <t>IC Anionen</t>
        </is>
      </c>
      <c r="AO773" s="20" t="inlineStr">
        <is>
          <t>None</t>
        </is>
      </c>
      <c r="AP773" s="17" t="n"/>
      <c r="AQ773" s="16" t="n"/>
      <c r="AR773" s="20" t="n"/>
      <c r="AS773" s="20" t="inlineStr">
        <is>
          <t>None</t>
        </is>
      </c>
      <c r="AT773" s="17" t="n"/>
      <c r="AU773" s="16" t="n"/>
      <c r="AV773" s="20" t="n"/>
      <c r="AW773" s="20" t="inlineStr">
        <is>
          <t>None</t>
        </is>
      </c>
      <c r="AX773" s="17" t="n"/>
      <c r="AY773" s="16" t="n"/>
      <c r="AZ773" s="20" t="inlineStr">
        <is>
          <t>IC Anionen</t>
        </is>
      </c>
      <c r="BA773" s="20" t="inlineStr">
        <is>
          <t>None</t>
        </is>
      </c>
      <c r="BB773" s="17" t="n"/>
      <c r="BC773" s="16" t="n"/>
      <c r="BD773" s="20" t="inlineStr">
        <is>
          <t>IC Kationen</t>
        </is>
      </c>
      <c r="BE773" s="20" t="inlineStr">
        <is>
          <t>None</t>
        </is>
      </c>
      <c r="BF773" s="17" t="n"/>
      <c r="BG773" s="16" t="n"/>
      <c r="BH773" s="20" t="inlineStr">
        <is>
          <t>IC Kationen</t>
        </is>
      </c>
      <c r="BI773" s="20" t="inlineStr">
        <is>
          <t>None</t>
        </is>
      </c>
      <c r="BJ773" s="17" t="n"/>
      <c r="BK773" s="16" t="n"/>
      <c r="BL773" s="20" t="inlineStr">
        <is>
          <t>IC Kationen</t>
        </is>
      </c>
      <c r="BM773" s="20" t="inlineStr">
        <is>
          <t>None</t>
        </is>
      </c>
      <c r="BN773" s="17" t="n"/>
      <c r="BO773" s="16" t="n"/>
      <c r="BP773" s="20" t="inlineStr">
        <is>
          <t>IC Kationen</t>
        </is>
      </c>
      <c r="BQ773" s="20" t="inlineStr">
        <is>
          <t>None</t>
        </is>
      </c>
      <c r="BR773" s="17" t="n"/>
      <c r="BS773" s="16" t="n"/>
      <c r="BT773" s="20" t="inlineStr">
        <is>
          <t>IC Kationen</t>
        </is>
      </c>
      <c r="BU773" s="20" t="inlineStr">
        <is>
          <t>None</t>
        </is>
      </c>
      <c r="BV773" s="17" t="n"/>
      <c r="BW773" s="16" t="n"/>
      <c r="BX773" s="20" t="n"/>
      <c r="BY773" s="20" t="inlineStr">
        <is>
          <t>None</t>
        </is>
      </c>
      <c r="BZ773" s="17" t="n"/>
      <c r="CA773" s="16" t="n"/>
      <c r="CB773" s="20" t="n"/>
      <c r="CC773" s="20" t="inlineStr">
        <is>
          <t>None</t>
        </is>
      </c>
      <c r="CD773" s="17" t="n"/>
      <c r="CE773" s="16" t="n"/>
      <c r="CF773" s="20" t="n"/>
      <c r="CG773" s="20" t="inlineStr">
        <is>
          <t>None</t>
        </is>
      </c>
      <c r="CH773" s="17" t="n"/>
      <c r="CI773" s="16" t="n"/>
      <c r="CJ773" s="20" t="n"/>
      <c r="CK773" s="20" t="inlineStr">
        <is>
          <t>None</t>
        </is>
      </c>
      <c r="CL773" s="17" t="n"/>
      <c r="CM773" s="16" t="n"/>
      <c r="CN773" s="20" t="inlineStr">
        <is>
          <t>SOP 45-34</t>
        </is>
      </c>
      <c r="CO773" s="20" t="inlineStr">
        <is>
          <t>None</t>
        </is>
      </c>
      <c r="CP773" s="17" t="n"/>
      <c r="CQ773" s="16" t="n"/>
      <c r="CR773" s="20" t="n"/>
      <c r="CS773" s="20" t="inlineStr">
        <is>
          <t>None</t>
        </is>
      </c>
      <c r="CT773" s="17" t="n"/>
      <c r="CU773" s="16" t="n"/>
      <c r="CV773" s="20" t="n"/>
      <c r="CW773" s="20" t="inlineStr">
        <is>
          <t>None</t>
        </is>
      </c>
      <c r="CX773" s="17" t="n"/>
      <c r="CY773" s="16" t="n"/>
      <c r="CZ773" s="20" t="inlineStr">
        <is>
          <t>WTW Multimeter 3430 with FDO 925</t>
        </is>
      </c>
      <c r="DA773" s="20" t="inlineStr">
        <is>
          <t>None</t>
        </is>
      </c>
      <c r="DB773" s="17" t="n"/>
      <c r="DC773" s="16" t="n"/>
      <c r="DD773" s="20" t="n"/>
      <c r="DE773" s="20" t="inlineStr">
        <is>
          <t>None</t>
        </is>
      </c>
      <c r="DF773" s="17" t="n"/>
      <c r="DG773" s="16" t="n"/>
      <c r="DH773" s="20" t="inlineStr">
        <is>
          <t>SOP 45-09</t>
        </is>
      </c>
      <c r="DI773" s="20" t="inlineStr">
        <is>
          <t>None</t>
        </is>
      </c>
      <c r="DJ773" s="17" t="n"/>
      <c r="DK773" s="16" t="n"/>
      <c r="DL773" s="20" t="inlineStr">
        <is>
          <t>SOP 45-09 (SOP muss noch angepasst werden für VSS)</t>
        </is>
      </c>
      <c r="DM773" s="20" t="inlineStr">
        <is>
          <t>None</t>
        </is>
      </c>
      <c r="DN773" s="17" t="n"/>
      <c r="DO773" s="16" t="n"/>
      <c r="DP773" s="20" t="inlineStr">
        <is>
          <t>IC Organic Acids</t>
        </is>
      </c>
      <c r="DQ773" s="20" t="inlineStr">
        <is>
          <t>None</t>
        </is>
      </c>
      <c r="DR773" s="17" t="n"/>
      <c r="DS773" s="16" t="n"/>
      <c r="DT773" s="20" t="inlineStr">
        <is>
          <t>IC Organic Acids</t>
        </is>
      </c>
      <c r="DU773" s="20" t="inlineStr">
        <is>
          <t>None</t>
        </is>
      </c>
      <c r="DV773" s="17" t="n"/>
      <c r="DW773" s="16" t="n"/>
      <c r="DX773" s="20" t="inlineStr">
        <is>
          <t>IC Organic Acids</t>
        </is>
      </c>
      <c r="DY773" s="20" t="inlineStr">
        <is>
          <t>None</t>
        </is>
      </c>
      <c r="DZ773" s="17" t="n"/>
      <c r="EA773" s="16" t="n"/>
      <c r="EB773" s="20" t="inlineStr">
        <is>
          <t>IC Organic Acids</t>
        </is>
      </c>
      <c r="EC773" s="20" t="inlineStr">
        <is>
          <t>None</t>
        </is>
      </c>
      <c r="ED773" s="17" t="n"/>
      <c r="EE773" s="16" t="n"/>
      <c r="EF773" s="20" t="inlineStr">
        <is>
          <t>IC Organic Acids</t>
        </is>
      </c>
      <c r="EG773" s="20" t="inlineStr">
        <is>
          <t>None</t>
        </is>
      </c>
      <c r="EH773" s="17" t="n"/>
      <c r="EI773" s="16" t="n"/>
      <c r="EJ773" s="20" t="inlineStr">
        <is>
          <t>IC Organic Acids</t>
        </is>
      </c>
      <c r="EK773" s="20" t="inlineStr">
        <is>
          <t>None</t>
        </is>
      </c>
      <c r="EL773" s="17" t="n"/>
      <c r="EM773" s="16" t="n"/>
      <c r="EN773" s="20" t="inlineStr">
        <is>
          <t>IC Organic Acids</t>
        </is>
      </c>
      <c r="EO773" s="20" t="inlineStr">
        <is>
          <t>None</t>
        </is>
      </c>
      <c r="EP773" s="17" t="n"/>
      <c r="EQ773" s="16" t="n"/>
      <c r="ER773" s="20" t="inlineStr">
        <is>
          <t>IC Organic Acids</t>
        </is>
      </c>
      <c r="ES773" s="20" t="inlineStr">
        <is>
          <t>None</t>
        </is>
      </c>
      <c r="ET773" s="17" t="n"/>
      <c r="EU773" s="16" t="n"/>
      <c r="EV773" s="20" t="inlineStr">
        <is>
          <t>LC-MS</t>
        </is>
      </c>
      <c r="EW773" s="20" t="inlineStr">
        <is>
          <t>None</t>
        </is>
      </c>
      <c r="EX773" s="17" t="n"/>
      <c r="EY773" s="21" t="n"/>
      <c r="EZ773">
        <f>CONCATENATE(A773,B773)</f>
        <v/>
      </c>
      <c r="FA773">
        <f>CONCATENATE(SamplesX!A773,SamplesX!B773)</f>
        <v/>
      </c>
      <c r="FC773">
        <f>MATCH(EZ773,FA1:FA1008,0)</f>
        <v/>
      </c>
    </row>
    <row r="774">
      <c r="A774" s="16" t="n"/>
      <c r="B774" s="17" t="n"/>
      <c r="C774" s="10">
        <f>IF(ISNUMBER(FC774),INDIRECT("SamplesX!C"&amp;FC774),IF(ISNUMBER(FD774),INDIRECT("SamplesY!C"&amp;FD774),""))</f>
        <v/>
      </c>
      <c r="D774" s="12">
        <f>IF(ISNUMBER(FC774),INDIRECT("SamplesX!D"&amp;FC774),IF(ISNUMBER(FD774),INDIRECT("SamplesY!D"&amp;FD774),""))</f>
        <v/>
      </c>
      <c r="E774" s="12">
        <f>IF(ISNUMBER(FC774),INDIRECT("SamplesX!E"&amp;FC774),IF(ISNUMBER(FD774),INDIRECT("SamplesY!E"&amp;FD774),""))</f>
        <v/>
      </c>
      <c r="F774" s="11">
        <f>IF(ISNUMBER(FC774),INDIRECT("SamplesX!F"&amp;FC774),IF(ISNUMBER(FD774),INDIRECT("SamplesY!F"&amp;FD774),""))</f>
        <v/>
      </c>
      <c r="G774" s="18">
        <f>IF(ISNUMBER(FC774),INDIRECT("SamplesX!G"&amp;FC774),IF(ISNUMBER(FD774),INDIRECT("SamplesY!G"&amp;FD774),""))</f>
        <v/>
      </c>
      <c r="H774" s="19">
        <f>IF(ISNUMBER(FC774),INDIRECT("SamplesX!H"&amp;FC774),IF(ISNUMBER(FD774),INDIRECT("SamplesY!H"&amp;FD774),""))</f>
        <v/>
      </c>
      <c r="I774" s="16" t="n"/>
      <c r="J774" s="16" t="n"/>
      <c r="K774" s="16" t="n"/>
      <c r="L774" s="20" t="n"/>
      <c r="M774" s="20" t="inlineStr">
        <is>
          <t>None</t>
        </is>
      </c>
      <c r="N774" s="17" t="n"/>
      <c r="O774" s="16" t="n"/>
      <c r="P774" s="20" t="inlineStr">
        <is>
          <t>Shimadzu TOC-L</t>
        </is>
      </c>
      <c r="Q774" s="20" t="inlineStr">
        <is>
          <t>None</t>
        </is>
      </c>
      <c r="R774" s="17" t="n"/>
      <c r="S774" s="16" t="n"/>
      <c r="T774" s="20" t="inlineStr">
        <is>
          <t>Shimadzu TOC-L</t>
        </is>
      </c>
      <c r="U774" s="20" t="inlineStr">
        <is>
          <t>None</t>
        </is>
      </c>
      <c r="V774" s="17" t="n"/>
      <c r="W774" s="16" t="n"/>
      <c r="X774" s="20" t="n"/>
      <c r="Y774" s="20" t="inlineStr">
        <is>
          <t>None</t>
        </is>
      </c>
      <c r="Z774" s="17" t="n"/>
      <c r="AA774" s="16" t="n"/>
      <c r="AB774" s="20" t="n"/>
      <c r="AC774" s="20" t="inlineStr">
        <is>
          <t>None</t>
        </is>
      </c>
      <c r="AD774" s="17" t="n"/>
      <c r="AE774" s="16" t="n"/>
      <c r="AF774" s="20" t="inlineStr">
        <is>
          <t>IC Anionen</t>
        </is>
      </c>
      <c r="AG774" s="20" t="inlineStr">
        <is>
          <t>None</t>
        </is>
      </c>
      <c r="AH774" s="17" t="n"/>
      <c r="AI774" s="16" t="n"/>
      <c r="AJ774" s="20" t="n"/>
      <c r="AK774" s="20" t="inlineStr">
        <is>
          <t>None</t>
        </is>
      </c>
      <c r="AL774" s="17" t="n"/>
      <c r="AM774" s="16" t="n"/>
      <c r="AN774" s="20" t="inlineStr">
        <is>
          <t>IC Anionen</t>
        </is>
      </c>
      <c r="AO774" s="20" t="inlineStr">
        <is>
          <t>None</t>
        </is>
      </c>
      <c r="AP774" s="17" t="n"/>
      <c r="AQ774" s="16" t="n"/>
      <c r="AR774" s="20" t="n"/>
      <c r="AS774" s="20" t="inlineStr">
        <is>
          <t>None</t>
        </is>
      </c>
      <c r="AT774" s="17" t="n"/>
      <c r="AU774" s="16" t="n"/>
      <c r="AV774" s="20" t="n"/>
      <c r="AW774" s="20" t="inlineStr">
        <is>
          <t>None</t>
        </is>
      </c>
      <c r="AX774" s="17" t="n"/>
      <c r="AY774" s="16" t="n"/>
      <c r="AZ774" s="20" t="inlineStr">
        <is>
          <t>IC Anionen</t>
        </is>
      </c>
      <c r="BA774" s="20" t="inlineStr">
        <is>
          <t>None</t>
        </is>
      </c>
      <c r="BB774" s="17" t="n"/>
      <c r="BC774" s="16" t="n"/>
      <c r="BD774" s="20" t="inlineStr">
        <is>
          <t>IC Kationen</t>
        </is>
      </c>
      <c r="BE774" s="20" t="inlineStr">
        <is>
          <t>None</t>
        </is>
      </c>
      <c r="BF774" s="17" t="n"/>
      <c r="BG774" s="16" t="n"/>
      <c r="BH774" s="20" t="inlineStr">
        <is>
          <t>IC Kationen</t>
        </is>
      </c>
      <c r="BI774" s="20" t="inlineStr">
        <is>
          <t>None</t>
        </is>
      </c>
      <c r="BJ774" s="17" t="n"/>
      <c r="BK774" s="16" t="n"/>
      <c r="BL774" s="20" t="inlineStr">
        <is>
          <t>IC Kationen</t>
        </is>
      </c>
      <c r="BM774" s="20" t="inlineStr">
        <is>
          <t>None</t>
        </is>
      </c>
      <c r="BN774" s="17" t="n"/>
      <c r="BO774" s="16" t="n"/>
      <c r="BP774" s="20" t="inlineStr">
        <is>
          <t>IC Kationen</t>
        </is>
      </c>
      <c r="BQ774" s="20" t="inlineStr">
        <is>
          <t>None</t>
        </is>
      </c>
      <c r="BR774" s="17" t="n"/>
      <c r="BS774" s="16" t="n"/>
      <c r="BT774" s="20" t="inlineStr">
        <is>
          <t>IC Kationen</t>
        </is>
      </c>
      <c r="BU774" s="20" t="inlineStr">
        <is>
          <t>None</t>
        </is>
      </c>
      <c r="BV774" s="17" t="n"/>
      <c r="BW774" s="16" t="n"/>
      <c r="BX774" s="20" t="n"/>
      <c r="BY774" s="20" t="inlineStr">
        <is>
          <t>None</t>
        </is>
      </c>
      <c r="BZ774" s="17" t="n"/>
      <c r="CA774" s="16" t="n"/>
      <c r="CB774" s="20" t="n"/>
      <c r="CC774" s="20" t="inlineStr">
        <is>
          <t>None</t>
        </is>
      </c>
      <c r="CD774" s="17" t="n"/>
      <c r="CE774" s="16" t="n"/>
      <c r="CF774" s="20" t="n"/>
      <c r="CG774" s="20" t="inlineStr">
        <is>
          <t>None</t>
        </is>
      </c>
      <c r="CH774" s="17" t="n"/>
      <c r="CI774" s="16" t="n"/>
      <c r="CJ774" s="20" t="n"/>
      <c r="CK774" s="20" t="inlineStr">
        <is>
          <t>None</t>
        </is>
      </c>
      <c r="CL774" s="17" t="n"/>
      <c r="CM774" s="16" t="n"/>
      <c r="CN774" s="20" t="inlineStr">
        <is>
          <t>SOP 45-34</t>
        </is>
      </c>
      <c r="CO774" s="20" t="inlineStr">
        <is>
          <t>None</t>
        </is>
      </c>
      <c r="CP774" s="17" t="n"/>
      <c r="CQ774" s="16" t="n"/>
      <c r="CR774" s="20" t="n"/>
      <c r="CS774" s="20" t="inlineStr">
        <is>
          <t>None</t>
        </is>
      </c>
      <c r="CT774" s="17" t="n"/>
      <c r="CU774" s="16" t="n"/>
      <c r="CV774" s="20" t="n"/>
      <c r="CW774" s="20" t="inlineStr">
        <is>
          <t>None</t>
        </is>
      </c>
      <c r="CX774" s="17" t="n"/>
      <c r="CY774" s="16" t="n"/>
      <c r="CZ774" s="20" t="inlineStr">
        <is>
          <t>WTW Multimeter 3430 with FDO 925</t>
        </is>
      </c>
      <c r="DA774" s="20" t="inlineStr">
        <is>
          <t>None</t>
        </is>
      </c>
      <c r="DB774" s="17" t="n"/>
      <c r="DC774" s="16" t="n"/>
      <c r="DD774" s="20" t="n"/>
      <c r="DE774" s="20" t="inlineStr">
        <is>
          <t>None</t>
        </is>
      </c>
      <c r="DF774" s="17" t="n"/>
      <c r="DG774" s="16" t="n"/>
      <c r="DH774" s="20" t="inlineStr">
        <is>
          <t>SOP 45-09</t>
        </is>
      </c>
      <c r="DI774" s="20" t="inlineStr">
        <is>
          <t>None</t>
        </is>
      </c>
      <c r="DJ774" s="17" t="n"/>
      <c r="DK774" s="16" t="n"/>
      <c r="DL774" s="20" t="inlineStr">
        <is>
          <t>SOP 45-09 (SOP muss noch angepasst werden für VSS)</t>
        </is>
      </c>
      <c r="DM774" s="20" t="inlineStr">
        <is>
          <t>None</t>
        </is>
      </c>
      <c r="DN774" s="17" t="n"/>
      <c r="DO774" s="16" t="n"/>
      <c r="DP774" s="20" t="inlineStr">
        <is>
          <t>IC Organic Acids</t>
        </is>
      </c>
      <c r="DQ774" s="20" t="inlineStr">
        <is>
          <t>None</t>
        </is>
      </c>
      <c r="DR774" s="17" t="n"/>
      <c r="DS774" s="16" t="n"/>
      <c r="DT774" s="20" t="inlineStr">
        <is>
          <t>IC Organic Acids</t>
        </is>
      </c>
      <c r="DU774" s="20" t="inlineStr">
        <is>
          <t>None</t>
        </is>
      </c>
      <c r="DV774" s="17" t="n"/>
      <c r="DW774" s="16" t="n"/>
      <c r="DX774" s="20" t="inlineStr">
        <is>
          <t>IC Organic Acids</t>
        </is>
      </c>
      <c r="DY774" s="20" t="inlineStr">
        <is>
          <t>None</t>
        </is>
      </c>
      <c r="DZ774" s="17" t="n"/>
      <c r="EA774" s="16" t="n"/>
      <c r="EB774" s="20" t="inlineStr">
        <is>
          <t>IC Organic Acids</t>
        </is>
      </c>
      <c r="EC774" s="20" t="inlineStr">
        <is>
          <t>None</t>
        </is>
      </c>
      <c r="ED774" s="17" t="n"/>
      <c r="EE774" s="16" t="n"/>
      <c r="EF774" s="20" t="inlineStr">
        <is>
          <t>IC Organic Acids</t>
        </is>
      </c>
      <c r="EG774" s="20" t="inlineStr">
        <is>
          <t>None</t>
        </is>
      </c>
      <c r="EH774" s="17" t="n"/>
      <c r="EI774" s="16" t="n"/>
      <c r="EJ774" s="20" t="inlineStr">
        <is>
          <t>IC Organic Acids</t>
        </is>
      </c>
      <c r="EK774" s="20" t="inlineStr">
        <is>
          <t>None</t>
        </is>
      </c>
      <c r="EL774" s="17" t="n"/>
      <c r="EM774" s="16" t="n"/>
      <c r="EN774" s="20" t="inlineStr">
        <is>
          <t>IC Organic Acids</t>
        </is>
      </c>
      <c r="EO774" s="20" t="inlineStr">
        <is>
          <t>None</t>
        </is>
      </c>
      <c r="EP774" s="17" t="n"/>
      <c r="EQ774" s="16" t="n"/>
      <c r="ER774" s="20" t="inlineStr">
        <is>
          <t>IC Organic Acids</t>
        </is>
      </c>
      <c r="ES774" s="20" t="inlineStr">
        <is>
          <t>None</t>
        </is>
      </c>
      <c r="ET774" s="17" t="n"/>
      <c r="EU774" s="16" t="n"/>
      <c r="EV774" s="20" t="inlineStr">
        <is>
          <t>LC-MS</t>
        </is>
      </c>
      <c r="EW774" s="20" t="inlineStr">
        <is>
          <t>None</t>
        </is>
      </c>
      <c r="EX774" s="17" t="n"/>
      <c r="EY774" s="21" t="n"/>
      <c r="EZ774">
        <f>CONCATENATE(A774,B774)</f>
        <v/>
      </c>
      <c r="FA774">
        <f>CONCATENATE(SamplesX!A774,SamplesX!B774)</f>
        <v/>
      </c>
      <c r="FC774">
        <f>MATCH(EZ774,FA1:FA1008,0)</f>
        <v/>
      </c>
    </row>
    <row r="775">
      <c r="A775" s="16" t="n"/>
      <c r="B775" s="17" t="n"/>
      <c r="C775" s="10">
        <f>IF(ISNUMBER(FC775),INDIRECT("SamplesX!C"&amp;FC775),IF(ISNUMBER(FD775),INDIRECT("SamplesY!C"&amp;FD775),""))</f>
        <v/>
      </c>
      <c r="D775" s="12">
        <f>IF(ISNUMBER(FC775),INDIRECT("SamplesX!D"&amp;FC775),IF(ISNUMBER(FD775),INDIRECT("SamplesY!D"&amp;FD775),""))</f>
        <v/>
      </c>
      <c r="E775" s="12">
        <f>IF(ISNUMBER(FC775),INDIRECT("SamplesX!E"&amp;FC775),IF(ISNUMBER(FD775),INDIRECT("SamplesY!E"&amp;FD775),""))</f>
        <v/>
      </c>
      <c r="F775" s="11">
        <f>IF(ISNUMBER(FC775),INDIRECT("SamplesX!F"&amp;FC775),IF(ISNUMBER(FD775),INDIRECT("SamplesY!F"&amp;FD775),""))</f>
        <v/>
      </c>
      <c r="G775" s="18">
        <f>IF(ISNUMBER(FC775),INDIRECT("SamplesX!G"&amp;FC775),IF(ISNUMBER(FD775),INDIRECT("SamplesY!G"&amp;FD775),""))</f>
        <v/>
      </c>
      <c r="H775" s="19">
        <f>IF(ISNUMBER(FC775),INDIRECT("SamplesX!H"&amp;FC775),IF(ISNUMBER(FD775),INDIRECT("SamplesY!H"&amp;FD775),""))</f>
        <v/>
      </c>
      <c r="I775" s="16" t="n"/>
      <c r="J775" s="16" t="n"/>
      <c r="K775" s="16" t="n"/>
      <c r="L775" s="20" t="n"/>
      <c r="M775" s="20" t="inlineStr">
        <is>
          <t>None</t>
        </is>
      </c>
      <c r="N775" s="17" t="n"/>
      <c r="O775" s="16" t="n"/>
      <c r="P775" s="20" t="inlineStr">
        <is>
          <t>Shimadzu TOC-L</t>
        </is>
      </c>
      <c r="Q775" s="20" t="inlineStr">
        <is>
          <t>None</t>
        </is>
      </c>
      <c r="R775" s="17" t="n"/>
      <c r="S775" s="16" t="n"/>
      <c r="T775" s="20" t="inlineStr">
        <is>
          <t>Shimadzu TOC-L</t>
        </is>
      </c>
      <c r="U775" s="20" t="inlineStr">
        <is>
          <t>None</t>
        </is>
      </c>
      <c r="V775" s="17" t="n"/>
      <c r="W775" s="16" t="n"/>
      <c r="X775" s="20" t="n"/>
      <c r="Y775" s="20" t="inlineStr">
        <is>
          <t>None</t>
        </is>
      </c>
      <c r="Z775" s="17" t="n"/>
      <c r="AA775" s="16" t="n"/>
      <c r="AB775" s="20" t="n"/>
      <c r="AC775" s="20" t="inlineStr">
        <is>
          <t>None</t>
        </is>
      </c>
      <c r="AD775" s="17" t="n"/>
      <c r="AE775" s="16" t="n"/>
      <c r="AF775" s="20" t="inlineStr">
        <is>
          <t>IC Anionen</t>
        </is>
      </c>
      <c r="AG775" s="20" t="inlineStr">
        <is>
          <t>None</t>
        </is>
      </c>
      <c r="AH775" s="17" t="n"/>
      <c r="AI775" s="16" t="n"/>
      <c r="AJ775" s="20" t="n"/>
      <c r="AK775" s="20" t="inlineStr">
        <is>
          <t>None</t>
        </is>
      </c>
      <c r="AL775" s="17" t="n"/>
      <c r="AM775" s="16" t="n"/>
      <c r="AN775" s="20" t="inlineStr">
        <is>
          <t>IC Anionen</t>
        </is>
      </c>
      <c r="AO775" s="20" t="inlineStr">
        <is>
          <t>None</t>
        </is>
      </c>
      <c r="AP775" s="17" t="n"/>
      <c r="AQ775" s="16" t="n"/>
      <c r="AR775" s="20" t="n"/>
      <c r="AS775" s="20" t="inlineStr">
        <is>
          <t>None</t>
        </is>
      </c>
      <c r="AT775" s="17" t="n"/>
      <c r="AU775" s="16" t="n"/>
      <c r="AV775" s="20" t="n"/>
      <c r="AW775" s="20" t="inlineStr">
        <is>
          <t>None</t>
        </is>
      </c>
      <c r="AX775" s="17" t="n"/>
      <c r="AY775" s="16" t="n"/>
      <c r="AZ775" s="20" t="inlineStr">
        <is>
          <t>IC Anionen</t>
        </is>
      </c>
      <c r="BA775" s="20" t="inlineStr">
        <is>
          <t>None</t>
        </is>
      </c>
      <c r="BB775" s="17" t="n"/>
      <c r="BC775" s="16" t="n"/>
      <c r="BD775" s="20" t="inlineStr">
        <is>
          <t>IC Kationen</t>
        </is>
      </c>
      <c r="BE775" s="20" t="inlineStr">
        <is>
          <t>None</t>
        </is>
      </c>
      <c r="BF775" s="17" t="n"/>
      <c r="BG775" s="16" t="n"/>
      <c r="BH775" s="20" t="inlineStr">
        <is>
          <t>IC Kationen</t>
        </is>
      </c>
      <c r="BI775" s="20" t="inlineStr">
        <is>
          <t>None</t>
        </is>
      </c>
      <c r="BJ775" s="17" t="n"/>
      <c r="BK775" s="16" t="n"/>
      <c r="BL775" s="20" t="inlineStr">
        <is>
          <t>IC Kationen</t>
        </is>
      </c>
      <c r="BM775" s="20" t="inlineStr">
        <is>
          <t>None</t>
        </is>
      </c>
      <c r="BN775" s="17" t="n"/>
      <c r="BO775" s="16" t="n"/>
      <c r="BP775" s="20" t="inlineStr">
        <is>
          <t>IC Kationen</t>
        </is>
      </c>
      <c r="BQ775" s="20" t="inlineStr">
        <is>
          <t>None</t>
        </is>
      </c>
      <c r="BR775" s="17" t="n"/>
      <c r="BS775" s="16" t="n"/>
      <c r="BT775" s="20" t="inlineStr">
        <is>
          <t>IC Kationen</t>
        </is>
      </c>
      <c r="BU775" s="20" t="inlineStr">
        <is>
          <t>None</t>
        </is>
      </c>
      <c r="BV775" s="17" t="n"/>
      <c r="BW775" s="16" t="n"/>
      <c r="BX775" s="20" t="n"/>
      <c r="BY775" s="20" t="inlineStr">
        <is>
          <t>None</t>
        </is>
      </c>
      <c r="BZ775" s="17" t="n"/>
      <c r="CA775" s="16" t="n"/>
      <c r="CB775" s="20" t="n"/>
      <c r="CC775" s="20" t="inlineStr">
        <is>
          <t>None</t>
        </is>
      </c>
      <c r="CD775" s="17" t="n"/>
      <c r="CE775" s="16" t="n"/>
      <c r="CF775" s="20" t="n"/>
      <c r="CG775" s="20" t="inlineStr">
        <is>
          <t>None</t>
        </is>
      </c>
      <c r="CH775" s="17" t="n"/>
      <c r="CI775" s="16" t="n"/>
      <c r="CJ775" s="20" t="n"/>
      <c r="CK775" s="20" t="inlineStr">
        <is>
          <t>None</t>
        </is>
      </c>
      <c r="CL775" s="17" t="n"/>
      <c r="CM775" s="16" t="n"/>
      <c r="CN775" s="20" t="inlineStr">
        <is>
          <t>SOP 45-34</t>
        </is>
      </c>
      <c r="CO775" s="20" t="inlineStr">
        <is>
          <t>None</t>
        </is>
      </c>
      <c r="CP775" s="17" t="n"/>
      <c r="CQ775" s="16" t="n"/>
      <c r="CR775" s="20" t="n"/>
      <c r="CS775" s="20" t="inlineStr">
        <is>
          <t>None</t>
        </is>
      </c>
      <c r="CT775" s="17" t="n"/>
      <c r="CU775" s="16" t="n"/>
      <c r="CV775" s="20" t="n"/>
      <c r="CW775" s="20" t="inlineStr">
        <is>
          <t>None</t>
        </is>
      </c>
      <c r="CX775" s="17" t="n"/>
      <c r="CY775" s="16" t="n"/>
      <c r="CZ775" s="20" t="inlineStr">
        <is>
          <t>WTW Multimeter 3430 with FDO 925</t>
        </is>
      </c>
      <c r="DA775" s="20" t="inlineStr">
        <is>
          <t>None</t>
        </is>
      </c>
      <c r="DB775" s="17" t="n"/>
      <c r="DC775" s="16" t="n"/>
      <c r="DD775" s="20" t="n"/>
      <c r="DE775" s="20" t="inlineStr">
        <is>
          <t>None</t>
        </is>
      </c>
      <c r="DF775" s="17" t="n"/>
      <c r="DG775" s="16" t="n"/>
      <c r="DH775" s="20" t="inlineStr">
        <is>
          <t>SOP 45-09</t>
        </is>
      </c>
      <c r="DI775" s="20" t="inlineStr">
        <is>
          <t>None</t>
        </is>
      </c>
      <c r="DJ775" s="17" t="n"/>
      <c r="DK775" s="16" t="n"/>
      <c r="DL775" s="20" t="inlineStr">
        <is>
          <t>SOP 45-09 (SOP muss noch angepasst werden für VSS)</t>
        </is>
      </c>
      <c r="DM775" s="20" t="inlineStr">
        <is>
          <t>None</t>
        </is>
      </c>
      <c r="DN775" s="17" t="n"/>
      <c r="DO775" s="16" t="n"/>
      <c r="DP775" s="20" t="inlineStr">
        <is>
          <t>IC Organic Acids</t>
        </is>
      </c>
      <c r="DQ775" s="20" t="inlineStr">
        <is>
          <t>None</t>
        </is>
      </c>
      <c r="DR775" s="17" t="n"/>
      <c r="DS775" s="16" t="n"/>
      <c r="DT775" s="20" t="inlineStr">
        <is>
          <t>IC Organic Acids</t>
        </is>
      </c>
      <c r="DU775" s="20" t="inlineStr">
        <is>
          <t>None</t>
        </is>
      </c>
      <c r="DV775" s="17" t="n"/>
      <c r="DW775" s="16" t="n"/>
      <c r="DX775" s="20" t="inlineStr">
        <is>
          <t>IC Organic Acids</t>
        </is>
      </c>
      <c r="DY775" s="20" t="inlineStr">
        <is>
          <t>None</t>
        </is>
      </c>
      <c r="DZ775" s="17" t="n"/>
      <c r="EA775" s="16" t="n"/>
      <c r="EB775" s="20" t="inlineStr">
        <is>
          <t>IC Organic Acids</t>
        </is>
      </c>
      <c r="EC775" s="20" t="inlineStr">
        <is>
          <t>None</t>
        </is>
      </c>
      <c r="ED775" s="17" t="n"/>
      <c r="EE775" s="16" t="n"/>
      <c r="EF775" s="20" t="inlineStr">
        <is>
          <t>IC Organic Acids</t>
        </is>
      </c>
      <c r="EG775" s="20" t="inlineStr">
        <is>
          <t>None</t>
        </is>
      </c>
      <c r="EH775" s="17" t="n"/>
      <c r="EI775" s="16" t="n"/>
      <c r="EJ775" s="20" t="inlineStr">
        <is>
          <t>IC Organic Acids</t>
        </is>
      </c>
      <c r="EK775" s="20" t="inlineStr">
        <is>
          <t>None</t>
        </is>
      </c>
      <c r="EL775" s="17" t="n"/>
      <c r="EM775" s="16" t="n"/>
      <c r="EN775" s="20" t="inlineStr">
        <is>
          <t>IC Organic Acids</t>
        </is>
      </c>
      <c r="EO775" s="20" t="inlineStr">
        <is>
          <t>None</t>
        </is>
      </c>
      <c r="EP775" s="17" t="n"/>
      <c r="EQ775" s="16" t="n"/>
      <c r="ER775" s="20" t="inlineStr">
        <is>
          <t>IC Organic Acids</t>
        </is>
      </c>
      <c r="ES775" s="20" t="inlineStr">
        <is>
          <t>None</t>
        </is>
      </c>
      <c r="ET775" s="17" t="n"/>
      <c r="EU775" s="16" t="n"/>
      <c r="EV775" s="20" t="inlineStr">
        <is>
          <t>LC-MS</t>
        </is>
      </c>
      <c r="EW775" s="20" t="inlineStr">
        <is>
          <t>None</t>
        </is>
      </c>
      <c r="EX775" s="17" t="n"/>
      <c r="EY775" s="21" t="n"/>
      <c r="EZ775">
        <f>CONCATENATE(A775,B775)</f>
        <v/>
      </c>
      <c r="FA775">
        <f>CONCATENATE(SamplesX!A775,SamplesX!B775)</f>
        <v/>
      </c>
      <c r="FC775">
        <f>MATCH(EZ775,FA1:FA1008,0)</f>
        <v/>
      </c>
    </row>
    <row r="776">
      <c r="A776" s="16" t="n"/>
      <c r="B776" s="17" t="n"/>
      <c r="C776" s="10">
        <f>IF(ISNUMBER(FC776),INDIRECT("SamplesX!C"&amp;FC776),IF(ISNUMBER(FD776),INDIRECT("SamplesY!C"&amp;FD776),""))</f>
        <v/>
      </c>
      <c r="D776" s="12">
        <f>IF(ISNUMBER(FC776),INDIRECT("SamplesX!D"&amp;FC776),IF(ISNUMBER(FD776),INDIRECT("SamplesY!D"&amp;FD776),""))</f>
        <v/>
      </c>
      <c r="E776" s="12">
        <f>IF(ISNUMBER(FC776),INDIRECT("SamplesX!E"&amp;FC776),IF(ISNUMBER(FD776),INDIRECT("SamplesY!E"&amp;FD776),""))</f>
        <v/>
      </c>
      <c r="F776" s="11">
        <f>IF(ISNUMBER(FC776),INDIRECT("SamplesX!F"&amp;FC776),IF(ISNUMBER(FD776),INDIRECT("SamplesY!F"&amp;FD776),""))</f>
        <v/>
      </c>
      <c r="G776" s="18">
        <f>IF(ISNUMBER(FC776),INDIRECT("SamplesX!G"&amp;FC776),IF(ISNUMBER(FD776),INDIRECT("SamplesY!G"&amp;FD776),""))</f>
        <v/>
      </c>
      <c r="H776" s="19">
        <f>IF(ISNUMBER(FC776),INDIRECT("SamplesX!H"&amp;FC776),IF(ISNUMBER(FD776),INDIRECT("SamplesY!H"&amp;FD776),""))</f>
        <v/>
      </c>
      <c r="I776" s="16" t="n"/>
      <c r="J776" s="16" t="n"/>
      <c r="K776" s="16" t="n"/>
      <c r="L776" s="20" t="n"/>
      <c r="M776" s="20" t="inlineStr">
        <is>
          <t>None</t>
        </is>
      </c>
      <c r="N776" s="17" t="n"/>
      <c r="O776" s="16" t="n"/>
      <c r="P776" s="20" t="inlineStr">
        <is>
          <t>Shimadzu TOC-L</t>
        </is>
      </c>
      <c r="Q776" s="20" t="inlineStr">
        <is>
          <t>None</t>
        </is>
      </c>
      <c r="R776" s="17" t="n"/>
      <c r="S776" s="16" t="n"/>
      <c r="T776" s="20" t="inlineStr">
        <is>
          <t>Shimadzu TOC-L</t>
        </is>
      </c>
      <c r="U776" s="20" t="inlineStr">
        <is>
          <t>None</t>
        </is>
      </c>
      <c r="V776" s="17" t="n"/>
      <c r="W776" s="16" t="n"/>
      <c r="X776" s="20" t="n"/>
      <c r="Y776" s="20" t="inlineStr">
        <is>
          <t>None</t>
        </is>
      </c>
      <c r="Z776" s="17" t="n"/>
      <c r="AA776" s="16" t="n"/>
      <c r="AB776" s="20" t="n"/>
      <c r="AC776" s="20" t="inlineStr">
        <is>
          <t>None</t>
        </is>
      </c>
      <c r="AD776" s="17" t="n"/>
      <c r="AE776" s="16" t="n"/>
      <c r="AF776" s="20" t="inlineStr">
        <is>
          <t>IC Anionen</t>
        </is>
      </c>
      <c r="AG776" s="20" t="inlineStr">
        <is>
          <t>None</t>
        </is>
      </c>
      <c r="AH776" s="17" t="n"/>
      <c r="AI776" s="16" t="n"/>
      <c r="AJ776" s="20" t="n"/>
      <c r="AK776" s="20" t="inlineStr">
        <is>
          <t>None</t>
        </is>
      </c>
      <c r="AL776" s="17" t="n"/>
      <c r="AM776" s="16" t="n"/>
      <c r="AN776" s="20" t="inlineStr">
        <is>
          <t>IC Anionen</t>
        </is>
      </c>
      <c r="AO776" s="20" t="inlineStr">
        <is>
          <t>None</t>
        </is>
      </c>
      <c r="AP776" s="17" t="n"/>
      <c r="AQ776" s="16" t="n"/>
      <c r="AR776" s="20" t="n"/>
      <c r="AS776" s="20" t="inlineStr">
        <is>
          <t>None</t>
        </is>
      </c>
      <c r="AT776" s="17" t="n"/>
      <c r="AU776" s="16" t="n"/>
      <c r="AV776" s="20" t="n"/>
      <c r="AW776" s="20" t="inlineStr">
        <is>
          <t>None</t>
        </is>
      </c>
      <c r="AX776" s="17" t="n"/>
      <c r="AY776" s="16" t="n"/>
      <c r="AZ776" s="20" t="inlineStr">
        <is>
          <t>IC Anionen</t>
        </is>
      </c>
      <c r="BA776" s="20" t="inlineStr">
        <is>
          <t>None</t>
        </is>
      </c>
      <c r="BB776" s="17" t="n"/>
      <c r="BC776" s="16" t="n"/>
      <c r="BD776" s="20" t="inlineStr">
        <is>
          <t>IC Kationen</t>
        </is>
      </c>
      <c r="BE776" s="20" t="inlineStr">
        <is>
          <t>None</t>
        </is>
      </c>
      <c r="BF776" s="17" t="n"/>
      <c r="BG776" s="16" t="n"/>
      <c r="BH776" s="20" t="inlineStr">
        <is>
          <t>IC Kationen</t>
        </is>
      </c>
      <c r="BI776" s="20" t="inlineStr">
        <is>
          <t>None</t>
        </is>
      </c>
      <c r="BJ776" s="17" t="n"/>
      <c r="BK776" s="16" t="n"/>
      <c r="BL776" s="20" t="inlineStr">
        <is>
          <t>IC Kationen</t>
        </is>
      </c>
      <c r="BM776" s="20" t="inlineStr">
        <is>
          <t>None</t>
        </is>
      </c>
      <c r="BN776" s="17" t="n"/>
      <c r="BO776" s="16" t="n"/>
      <c r="BP776" s="20" t="inlineStr">
        <is>
          <t>IC Kationen</t>
        </is>
      </c>
      <c r="BQ776" s="20" t="inlineStr">
        <is>
          <t>None</t>
        </is>
      </c>
      <c r="BR776" s="17" t="n"/>
      <c r="BS776" s="16" t="n"/>
      <c r="BT776" s="20" t="inlineStr">
        <is>
          <t>IC Kationen</t>
        </is>
      </c>
      <c r="BU776" s="20" t="inlineStr">
        <is>
          <t>None</t>
        </is>
      </c>
      <c r="BV776" s="17" t="n"/>
      <c r="BW776" s="16" t="n"/>
      <c r="BX776" s="20" t="n"/>
      <c r="BY776" s="20" t="inlineStr">
        <is>
          <t>None</t>
        </is>
      </c>
      <c r="BZ776" s="17" t="n"/>
      <c r="CA776" s="16" t="n"/>
      <c r="CB776" s="20" t="n"/>
      <c r="CC776" s="20" t="inlineStr">
        <is>
          <t>None</t>
        </is>
      </c>
      <c r="CD776" s="17" t="n"/>
      <c r="CE776" s="16" t="n"/>
      <c r="CF776" s="20" t="n"/>
      <c r="CG776" s="20" t="inlineStr">
        <is>
          <t>None</t>
        </is>
      </c>
      <c r="CH776" s="17" t="n"/>
      <c r="CI776" s="16" t="n"/>
      <c r="CJ776" s="20" t="n"/>
      <c r="CK776" s="20" t="inlineStr">
        <is>
          <t>None</t>
        </is>
      </c>
      <c r="CL776" s="17" t="n"/>
      <c r="CM776" s="16" t="n"/>
      <c r="CN776" s="20" t="inlineStr">
        <is>
          <t>SOP 45-34</t>
        </is>
      </c>
      <c r="CO776" s="20" t="inlineStr">
        <is>
          <t>None</t>
        </is>
      </c>
      <c r="CP776" s="17" t="n"/>
      <c r="CQ776" s="16" t="n"/>
      <c r="CR776" s="20" t="n"/>
      <c r="CS776" s="20" t="inlineStr">
        <is>
          <t>None</t>
        </is>
      </c>
      <c r="CT776" s="17" t="n"/>
      <c r="CU776" s="16" t="n"/>
      <c r="CV776" s="20" t="n"/>
      <c r="CW776" s="20" t="inlineStr">
        <is>
          <t>None</t>
        </is>
      </c>
      <c r="CX776" s="17" t="n"/>
      <c r="CY776" s="16" t="n"/>
      <c r="CZ776" s="20" t="inlineStr">
        <is>
          <t>WTW Multimeter 3430 with FDO 925</t>
        </is>
      </c>
      <c r="DA776" s="20" t="inlineStr">
        <is>
          <t>None</t>
        </is>
      </c>
      <c r="DB776" s="17" t="n"/>
      <c r="DC776" s="16" t="n"/>
      <c r="DD776" s="20" t="n"/>
      <c r="DE776" s="20" t="inlineStr">
        <is>
          <t>None</t>
        </is>
      </c>
      <c r="DF776" s="17" t="n"/>
      <c r="DG776" s="16" t="n"/>
      <c r="DH776" s="20" t="inlineStr">
        <is>
          <t>SOP 45-09</t>
        </is>
      </c>
      <c r="DI776" s="20" t="inlineStr">
        <is>
          <t>None</t>
        </is>
      </c>
      <c r="DJ776" s="17" t="n"/>
      <c r="DK776" s="16" t="n"/>
      <c r="DL776" s="20" t="inlineStr">
        <is>
          <t>SOP 45-09 (SOP muss noch angepasst werden für VSS)</t>
        </is>
      </c>
      <c r="DM776" s="20" t="inlineStr">
        <is>
          <t>None</t>
        </is>
      </c>
      <c r="DN776" s="17" t="n"/>
      <c r="DO776" s="16" t="n"/>
      <c r="DP776" s="20" t="inlineStr">
        <is>
          <t>IC Organic Acids</t>
        </is>
      </c>
      <c r="DQ776" s="20" t="inlineStr">
        <is>
          <t>None</t>
        </is>
      </c>
      <c r="DR776" s="17" t="n"/>
      <c r="DS776" s="16" t="n"/>
      <c r="DT776" s="20" t="inlineStr">
        <is>
          <t>IC Organic Acids</t>
        </is>
      </c>
      <c r="DU776" s="20" t="inlineStr">
        <is>
          <t>None</t>
        </is>
      </c>
      <c r="DV776" s="17" t="n"/>
      <c r="DW776" s="16" t="n"/>
      <c r="DX776" s="20" t="inlineStr">
        <is>
          <t>IC Organic Acids</t>
        </is>
      </c>
      <c r="DY776" s="20" t="inlineStr">
        <is>
          <t>None</t>
        </is>
      </c>
      <c r="DZ776" s="17" t="n"/>
      <c r="EA776" s="16" t="n"/>
      <c r="EB776" s="20" t="inlineStr">
        <is>
          <t>IC Organic Acids</t>
        </is>
      </c>
      <c r="EC776" s="20" t="inlineStr">
        <is>
          <t>None</t>
        </is>
      </c>
      <c r="ED776" s="17" t="n"/>
      <c r="EE776" s="16" t="n"/>
      <c r="EF776" s="20" t="inlineStr">
        <is>
          <t>IC Organic Acids</t>
        </is>
      </c>
      <c r="EG776" s="20" t="inlineStr">
        <is>
          <t>None</t>
        </is>
      </c>
      <c r="EH776" s="17" t="n"/>
      <c r="EI776" s="16" t="n"/>
      <c r="EJ776" s="20" t="inlineStr">
        <is>
          <t>IC Organic Acids</t>
        </is>
      </c>
      <c r="EK776" s="20" t="inlineStr">
        <is>
          <t>None</t>
        </is>
      </c>
      <c r="EL776" s="17" t="n"/>
      <c r="EM776" s="16" t="n"/>
      <c r="EN776" s="20" t="inlineStr">
        <is>
          <t>IC Organic Acids</t>
        </is>
      </c>
      <c r="EO776" s="20" t="inlineStr">
        <is>
          <t>None</t>
        </is>
      </c>
      <c r="EP776" s="17" t="n"/>
      <c r="EQ776" s="16" t="n"/>
      <c r="ER776" s="20" t="inlineStr">
        <is>
          <t>IC Organic Acids</t>
        </is>
      </c>
      <c r="ES776" s="20" t="inlineStr">
        <is>
          <t>None</t>
        </is>
      </c>
      <c r="ET776" s="17" t="n"/>
      <c r="EU776" s="16" t="n"/>
      <c r="EV776" s="20" t="inlineStr">
        <is>
          <t>LC-MS</t>
        </is>
      </c>
      <c r="EW776" s="20" t="inlineStr">
        <is>
          <t>None</t>
        </is>
      </c>
      <c r="EX776" s="17" t="n"/>
      <c r="EY776" s="21" t="n"/>
      <c r="EZ776">
        <f>CONCATENATE(A776,B776)</f>
        <v/>
      </c>
      <c r="FA776">
        <f>CONCATENATE(SamplesX!A776,SamplesX!B776)</f>
        <v/>
      </c>
      <c r="FC776">
        <f>MATCH(EZ776,FA1:FA1008,0)</f>
        <v/>
      </c>
    </row>
    <row r="777">
      <c r="A777" s="16" t="n"/>
      <c r="B777" s="17" t="n"/>
      <c r="C777" s="10">
        <f>IF(ISNUMBER(FC777),INDIRECT("SamplesX!C"&amp;FC777),IF(ISNUMBER(FD777),INDIRECT("SamplesY!C"&amp;FD777),""))</f>
        <v/>
      </c>
      <c r="D777" s="12">
        <f>IF(ISNUMBER(FC777),INDIRECT("SamplesX!D"&amp;FC777),IF(ISNUMBER(FD777),INDIRECT("SamplesY!D"&amp;FD777),""))</f>
        <v/>
      </c>
      <c r="E777" s="12">
        <f>IF(ISNUMBER(FC777),INDIRECT("SamplesX!E"&amp;FC777),IF(ISNUMBER(FD777),INDIRECT("SamplesY!E"&amp;FD777),""))</f>
        <v/>
      </c>
      <c r="F777" s="11">
        <f>IF(ISNUMBER(FC777),INDIRECT("SamplesX!F"&amp;FC777),IF(ISNUMBER(FD777),INDIRECT("SamplesY!F"&amp;FD777),""))</f>
        <v/>
      </c>
      <c r="G777" s="18">
        <f>IF(ISNUMBER(FC777),INDIRECT("SamplesX!G"&amp;FC777),IF(ISNUMBER(FD777),INDIRECT("SamplesY!G"&amp;FD777),""))</f>
        <v/>
      </c>
      <c r="H777" s="19">
        <f>IF(ISNUMBER(FC777),INDIRECT("SamplesX!H"&amp;FC777),IF(ISNUMBER(FD777),INDIRECT("SamplesY!H"&amp;FD777),""))</f>
        <v/>
      </c>
      <c r="I777" s="16" t="n"/>
      <c r="J777" s="16" t="n"/>
      <c r="K777" s="16" t="n"/>
      <c r="L777" s="20" t="n"/>
      <c r="M777" s="20" t="inlineStr">
        <is>
          <t>None</t>
        </is>
      </c>
      <c r="N777" s="17" t="n"/>
      <c r="O777" s="16" t="n"/>
      <c r="P777" s="20" t="inlineStr">
        <is>
          <t>Shimadzu TOC-L</t>
        </is>
      </c>
      <c r="Q777" s="20" t="inlineStr">
        <is>
          <t>None</t>
        </is>
      </c>
      <c r="R777" s="17" t="n"/>
      <c r="S777" s="16" t="n"/>
      <c r="T777" s="20" t="inlineStr">
        <is>
          <t>Shimadzu TOC-L</t>
        </is>
      </c>
      <c r="U777" s="20" t="inlineStr">
        <is>
          <t>None</t>
        </is>
      </c>
      <c r="V777" s="17" t="n"/>
      <c r="W777" s="16" t="n"/>
      <c r="X777" s="20" t="n"/>
      <c r="Y777" s="20" t="inlineStr">
        <is>
          <t>None</t>
        </is>
      </c>
      <c r="Z777" s="17" t="n"/>
      <c r="AA777" s="16" t="n"/>
      <c r="AB777" s="20" t="n"/>
      <c r="AC777" s="20" t="inlineStr">
        <is>
          <t>None</t>
        </is>
      </c>
      <c r="AD777" s="17" t="n"/>
      <c r="AE777" s="16" t="n"/>
      <c r="AF777" s="20" t="inlineStr">
        <is>
          <t>IC Anionen</t>
        </is>
      </c>
      <c r="AG777" s="20" t="inlineStr">
        <is>
          <t>None</t>
        </is>
      </c>
      <c r="AH777" s="17" t="n"/>
      <c r="AI777" s="16" t="n"/>
      <c r="AJ777" s="20" t="n"/>
      <c r="AK777" s="20" t="inlineStr">
        <is>
          <t>None</t>
        </is>
      </c>
      <c r="AL777" s="17" t="n"/>
      <c r="AM777" s="16" t="n"/>
      <c r="AN777" s="20" t="inlineStr">
        <is>
          <t>IC Anionen</t>
        </is>
      </c>
      <c r="AO777" s="20" t="inlineStr">
        <is>
          <t>None</t>
        </is>
      </c>
      <c r="AP777" s="17" t="n"/>
      <c r="AQ777" s="16" t="n"/>
      <c r="AR777" s="20" t="n"/>
      <c r="AS777" s="20" t="inlineStr">
        <is>
          <t>None</t>
        </is>
      </c>
      <c r="AT777" s="17" t="n"/>
      <c r="AU777" s="16" t="n"/>
      <c r="AV777" s="20" t="n"/>
      <c r="AW777" s="20" t="inlineStr">
        <is>
          <t>None</t>
        </is>
      </c>
      <c r="AX777" s="17" t="n"/>
      <c r="AY777" s="16" t="n"/>
      <c r="AZ777" s="20" t="inlineStr">
        <is>
          <t>IC Anionen</t>
        </is>
      </c>
      <c r="BA777" s="20" t="inlineStr">
        <is>
          <t>None</t>
        </is>
      </c>
      <c r="BB777" s="17" t="n"/>
      <c r="BC777" s="16" t="n"/>
      <c r="BD777" s="20" t="inlineStr">
        <is>
          <t>IC Kationen</t>
        </is>
      </c>
      <c r="BE777" s="20" t="inlineStr">
        <is>
          <t>None</t>
        </is>
      </c>
      <c r="BF777" s="17" t="n"/>
      <c r="BG777" s="16" t="n"/>
      <c r="BH777" s="20" t="inlineStr">
        <is>
          <t>IC Kationen</t>
        </is>
      </c>
      <c r="BI777" s="20" t="inlineStr">
        <is>
          <t>None</t>
        </is>
      </c>
      <c r="BJ777" s="17" t="n"/>
      <c r="BK777" s="16" t="n"/>
      <c r="BL777" s="20" t="inlineStr">
        <is>
          <t>IC Kationen</t>
        </is>
      </c>
      <c r="BM777" s="20" t="inlineStr">
        <is>
          <t>None</t>
        </is>
      </c>
      <c r="BN777" s="17" t="n"/>
      <c r="BO777" s="16" t="n"/>
      <c r="BP777" s="20" t="inlineStr">
        <is>
          <t>IC Kationen</t>
        </is>
      </c>
      <c r="BQ777" s="20" t="inlineStr">
        <is>
          <t>None</t>
        </is>
      </c>
      <c r="BR777" s="17" t="n"/>
      <c r="BS777" s="16" t="n"/>
      <c r="BT777" s="20" t="inlineStr">
        <is>
          <t>IC Kationen</t>
        </is>
      </c>
      <c r="BU777" s="20" t="inlineStr">
        <is>
          <t>None</t>
        </is>
      </c>
      <c r="BV777" s="17" t="n"/>
      <c r="BW777" s="16" t="n"/>
      <c r="BX777" s="20" t="n"/>
      <c r="BY777" s="20" t="inlineStr">
        <is>
          <t>None</t>
        </is>
      </c>
      <c r="BZ777" s="17" t="n"/>
      <c r="CA777" s="16" t="n"/>
      <c r="CB777" s="20" t="n"/>
      <c r="CC777" s="20" t="inlineStr">
        <is>
          <t>None</t>
        </is>
      </c>
      <c r="CD777" s="17" t="n"/>
      <c r="CE777" s="16" t="n"/>
      <c r="CF777" s="20" t="n"/>
      <c r="CG777" s="20" t="inlineStr">
        <is>
          <t>None</t>
        </is>
      </c>
      <c r="CH777" s="17" t="n"/>
      <c r="CI777" s="16" t="n"/>
      <c r="CJ777" s="20" t="n"/>
      <c r="CK777" s="20" t="inlineStr">
        <is>
          <t>None</t>
        </is>
      </c>
      <c r="CL777" s="17" t="n"/>
      <c r="CM777" s="16" t="n"/>
      <c r="CN777" s="20" t="inlineStr">
        <is>
          <t>SOP 45-34</t>
        </is>
      </c>
      <c r="CO777" s="20" t="inlineStr">
        <is>
          <t>None</t>
        </is>
      </c>
      <c r="CP777" s="17" t="n"/>
      <c r="CQ777" s="16" t="n"/>
      <c r="CR777" s="20" t="n"/>
      <c r="CS777" s="20" t="inlineStr">
        <is>
          <t>None</t>
        </is>
      </c>
      <c r="CT777" s="17" t="n"/>
      <c r="CU777" s="16" t="n"/>
      <c r="CV777" s="20" t="n"/>
      <c r="CW777" s="20" t="inlineStr">
        <is>
          <t>None</t>
        </is>
      </c>
      <c r="CX777" s="17" t="n"/>
      <c r="CY777" s="16" t="n"/>
      <c r="CZ777" s="20" t="inlineStr">
        <is>
          <t>WTW Multimeter 3430 with FDO 925</t>
        </is>
      </c>
      <c r="DA777" s="20" t="inlineStr">
        <is>
          <t>None</t>
        </is>
      </c>
      <c r="DB777" s="17" t="n"/>
      <c r="DC777" s="16" t="n"/>
      <c r="DD777" s="20" t="n"/>
      <c r="DE777" s="20" t="inlineStr">
        <is>
          <t>None</t>
        </is>
      </c>
      <c r="DF777" s="17" t="n"/>
      <c r="DG777" s="16" t="n"/>
      <c r="DH777" s="20" t="inlineStr">
        <is>
          <t>SOP 45-09</t>
        </is>
      </c>
      <c r="DI777" s="20" t="inlineStr">
        <is>
          <t>None</t>
        </is>
      </c>
      <c r="DJ777" s="17" t="n"/>
      <c r="DK777" s="16" t="n"/>
      <c r="DL777" s="20" t="inlineStr">
        <is>
          <t>SOP 45-09 (SOP muss noch angepasst werden für VSS)</t>
        </is>
      </c>
      <c r="DM777" s="20" t="inlineStr">
        <is>
          <t>None</t>
        </is>
      </c>
      <c r="DN777" s="17" t="n"/>
      <c r="DO777" s="16" t="n"/>
      <c r="DP777" s="20" t="inlineStr">
        <is>
          <t>IC Organic Acids</t>
        </is>
      </c>
      <c r="DQ777" s="20" t="inlineStr">
        <is>
          <t>None</t>
        </is>
      </c>
      <c r="DR777" s="17" t="n"/>
      <c r="DS777" s="16" t="n"/>
      <c r="DT777" s="20" t="inlineStr">
        <is>
          <t>IC Organic Acids</t>
        </is>
      </c>
      <c r="DU777" s="20" t="inlineStr">
        <is>
          <t>None</t>
        </is>
      </c>
      <c r="DV777" s="17" t="n"/>
      <c r="DW777" s="16" t="n"/>
      <c r="DX777" s="20" t="inlineStr">
        <is>
          <t>IC Organic Acids</t>
        </is>
      </c>
      <c r="DY777" s="20" t="inlineStr">
        <is>
          <t>None</t>
        </is>
      </c>
      <c r="DZ777" s="17" t="n"/>
      <c r="EA777" s="16" t="n"/>
      <c r="EB777" s="20" t="inlineStr">
        <is>
          <t>IC Organic Acids</t>
        </is>
      </c>
      <c r="EC777" s="20" t="inlineStr">
        <is>
          <t>None</t>
        </is>
      </c>
      <c r="ED777" s="17" t="n"/>
      <c r="EE777" s="16" t="n"/>
      <c r="EF777" s="20" t="inlineStr">
        <is>
          <t>IC Organic Acids</t>
        </is>
      </c>
      <c r="EG777" s="20" t="inlineStr">
        <is>
          <t>None</t>
        </is>
      </c>
      <c r="EH777" s="17" t="n"/>
      <c r="EI777" s="16" t="n"/>
      <c r="EJ777" s="20" t="inlineStr">
        <is>
          <t>IC Organic Acids</t>
        </is>
      </c>
      <c r="EK777" s="20" t="inlineStr">
        <is>
          <t>None</t>
        </is>
      </c>
      <c r="EL777" s="17" t="n"/>
      <c r="EM777" s="16" t="n"/>
      <c r="EN777" s="20" t="inlineStr">
        <is>
          <t>IC Organic Acids</t>
        </is>
      </c>
      <c r="EO777" s="20" t="inlineStr">
        <is>
          <t>None</t>
        </is>
      </c>
      <c r="EP777" s="17" t="n"/>
      <c r="EQ777" s="16" t="n"/>
      <c r="ER777" s="20" t="inlineStr">
        <is>
          <t>IC Organic Acids</t>
        </is>
      </c>
      <c r="ES777" s="20" t="inlineStr">
        <is>
          <t>None</t>
        </is>
      </c>
      <c r="ET777" s="17" t="n"/>
      <c r="EU777" s="16" t="n"/>
      <c r="EV777" s="20" t="inlineStr">
        <is>
          <t>LC-MS</t>
        </is>
      </c>
      <c r="EW777" s="20" t="inlineStr">
        <is>
          <t>None</t>
        </is>
      </c>
      <c r="EX777" s="17" t="n"/>
      <c r="EY777" s="21" t="n"/>
      <c r="EZ777">
        <f>CONCATENATE(A777,B777)</f>
        <v/>
      </c>
      <c r="FA777">
        <f>CONCATENATE(SamplesX!A777,SamplesX!B777)</f>
        <v/>
      </c>
      <c r="FC777">
        <f>MATCH(EZ777,FA1:FA1008,0)</f>
        <v/>
      </c>
    </row>
    <row r="778">
      <c r="A778" s="16" t="n"/>
      <c r="B778" s="17" t="n"/>
      <c r="C778" s="10">
        <f>IF(ISNUMBER(FC778),INDIRECT("SamplesX!C"&amp;FC778),IF(ISNUMBER(FD778),INDIRECT("SamplesY!C"&amp;FD778),""))</f>
        <v/>
      </c>
      <c r="D778" s="12">
        <f>IF(ISNUMBER(FC778),INDIRECT("SamplesX!D"&amp;FC778),IF(ISNUMBER(FD778),INDIRECT("SamplesY!D"&amp;FD778),""))</f>
        <v/>
      </c>
      <c r="E778" s="12">
        <f>IF(ISNUMBER(FC778),INDIRECT("SamplesX!E"&amp;FC778),IF(ISNUMBER(FD778),INDIRECT("SamplesY!E"&amp;FD778),""))</f>
        <v/>
      </c>
      <c r="F778" s="11">
        <f>IF(ISNUMBER(FC778),INDIRECT("SamplesX!F"&amp;FC778),IF(ISNUMBER(FD778),INDIRECT("SamplesY!F"&amp;FD778),""))</f>
        <v/>
      </c>
      <c r="G778" s="18">
        <f>IF(ISNUMBER(FC778),INDIRECT("SamplesX!G"&amp;FC778),IF(ISNUMBER(FD778),INDIRECT("SamplesY!G"&amp;FD778),""))</f>
        <v/>
      </c>
      <c r="H778" s="19">
        <f>IF(ISNUMBER(FC778),INDIRECT("SamplesX!H"&amp;FC778),IF(ISNUMBER(FD778),INDIRECT("SamplesY!H"&amp;FD778),""))</f>
        <v/>
      </c>
      <c r="I778" s="16" t="n"/>
      <c r="J778" s="16" t="n"/>
      <c r="K778" s="16" t="n"/>
      <c r="L778" s="20" t="n"/>
      <c r="M778" s="20" t="inlineStr">
        <is>
          <t>None</t>
        </is>
      </c>
      <c r="N778" s="17" t="n"/>
      <c r="O778" s="16" t="n"/>
      <c r="P778" s="20" t="inlineStr">
        <is>
          <t>Shimadzu TOC-L</t>
        </is>
      </c>
      <c r="Q778" s="20" t="inlineStr">
        <is>
          <t>None</t>
        </is>
      </c>
      <c r="R778" s="17" t="n"/>
      <c r="S778" s="16" t="n"/>
      <c r="T778" s="20" t="inlineStr">
        <is>
          <t>Shimadzu TOC-L</t>
        </is>
      </c>
      <c r="U778" s="20" t="inlineStr">
        <is>
          <t>None</t>
        </is>
      </c>
      <c r="V778" s="17" t="n"/>
      <c r="W778" s="16" t="n"/>
      <c r="X778" s="20" t="n"/>
      <c r="Y778" s="20" t="inlineStr">
        <is>
          <t>None</t>
        </is>
      </c>
      <c r="Z778" s="17" t="n"/>
      <c r="AA778" s="16" t="n"/>
      <c r="AB778" s="20" t="n"/>
      <c r="AC778" s="20" t="inlineStr">
        <is>
          <t>None</t>
        </is>
      </c>
      <c r="AD778" s="17" t="n"/>
      <c r="AE778" s="16" t="n"/>
      <c r="AF778" s="20" t="inlineStr">
        <is>
          <t>IC Anionen</t>
        </is>
      </c>
      <c r="AG778" s="20" t="inlineStr">
        <is>
          <t>None</t>
        </is>
      </c>
      <c r="AH778" s="17" t="n"/>
      <c r="AI778" s="16" t="n"/>
      <c r="AJ778" s="20" t="n"/>
      <c r="AK778" s="20" t="inlineStr">
        <is>
          <t>None</t>
        </is>
      </c>
      <c r="AL778" s="17" t="n"/>
      <c r="AM778" s="16" t="n"/>
      <c r="AN778" s="20" t="inlineStr">
        <is>
          <t>IC Anionen</t>
        </is>
      </c>
      <c r="AO778" s="20" t="inlineStr">
        <is>
          <t>None</t>
        </is>
      </c>
      <c r="AP778" s="17" t="n"/>
      <c r="AQ778" s="16" t="n"/>
      <c r="AR778" s="20" t="n"/>
      <c r="AS778" s="20" t="inlineStr">
        <is>
          <t>None</t>
        </is>
      </c>
      <c r="AT778" s="17" t="n"/>
      <c r="AU778" s="16" t="n"/>
      <c r="AV778" s="20" t="n"/>
      <c r="AW778" s="20" t="inlineStr">
        <is>
          <t>None</t>
        </is>
      </c>
      <c r="AX778" s="17" t="n"/>
      <c r="AY778" s="16" t="n"/>
      <c r="AZ778" s="20" t="inlineStr">
        <is>
          <t>IC Anionen</t>
        </is>
      </c>
      <c r="BA778" s="20" t="inlineStr">
        <is>
          <t>None</t>
        </is>
      </c>
      <c r="BB778" s="17" t="n"/>
      <c r="BC778" s="16" t="n"/>
      <c r="BD778" s="20" t="inlineStr">
        <is>
          <t>IC Kationen</t>
        </is>
      </c>
      <c r="BE778" s="20" t="inlineStr">
        <is>
          <t>None</t>
        </is>
      </c>
      <c r="BF778" s="17" t="n"/>
      <c r="BG778" s="16" t="n"/>
      <c r="BH778" s="20" t="inlineStr">
        <is>
          <t>IC Kationen</t>
        </is>
      </c>
      <c r="BI778" s="20" t="inlineStr">
        <is>
          <t>None</t>
        </is>
      </c>
      <c r="BJ778" s="17" t="n"/>
      <c r="BK778" s="16" t="n"/>
      <c r="BL778" s="20" t="inlineStr">
        <is>
          <t>IC Kationen</t>
        </is>
      </c>
      <c r="BM778" s="20" t="inlineStr">
        <is>
          <t>None</t>
        </is>
      </c>
      <c r="BN778" s="17" t="n"/>
      <c r="BO778" s="16" t="n"/>
      <c r="BP778" s="20" t="inlineStr">
        <is>
          <t>IC Kationen</t>
        </is>
      </c>
      <c r="BQ778" s="20" t="inlineStr">
        <is>
          <t>None</t>
        </is>
      </c>
      <c r="BR778" s="17" t="n"/>
      <c r="BS778" s="16" t="n"/>
      <c r="BT778" s="20" t="inlineStr">
        <is>
          <t>IC Kationen</t>
        </is>
      </c>
      <c r="BU778" s="20" t="inlineStr">
        <is>
          <t>None</t>
        </is>
      </c>
      <c r="BV778" s="17" t="n"/>
      <c r="BW778" s="16" t="n"/>
      <c r="BX778" s="20" t="n"/>
      <c r="BY778" s="20" t="inlineStr">
        <is>
          <t>None</t>
        </is>
      </c>
      <c r="BZ778" s="17" t="n"/>
      <c r="CA778" s="16" t="n"/>
      <c r="CB778" s="20" t="n"/>
      <c r="CC778" s="20" t="inlineStr">
        <is>
          <t>None</t>
        </is>
      </c>
      <c r="CD778" s="17" t="n"/>
      <c r="CE778" s="16" t="n"/>
      <c r="CF778" s="20" t="n"/>
      <c r="CG778" s="20" t="inlineStr">
        <is>
          <t>None</t>
        </is>
      </c>
      <c r="CH778" s="17" t="n"/>
      <c r="CI778" s="16" t="n"/>
      <c r="CJ778" s="20" t="n"/>
      <c r="CK778" s="20" t="inlineStr">
        <is>
          <t>None</t>
        </is>
      </c>
      <c r="CL778" s="17" t="n"/>
      <c r="CM778" s="16" t="n"/>
      <c r="CN778" s="20" t="inlineStr">
        <is>
          <t>SOP 45-34</t>
        </is>
      </c>
      <c r="CO778" s="20" t="inlineStr">
        <is>
          <t>None</t>
        </is>
      </c>
      <c r="CP778" s="17" t="n"/>
      <c r="CQ778" s="16" t="n"/>
      <c r="CR778" s="20" t="n"/>
      <c r="CS778" s="20" t="inlineStr">
        <is>
          <t>None</t>
        </is>
      </c>
      <c r="CT778" s="17" t="n"/>
      <c r="CU778" s="16" t="n"/>
      <c r="CV778" s="20" t="n"/>
      <c r="CW778" s="20" t="inlineStr">
        <is>
          <t>None</t>
        </is>
      </c>
      <c r="CX778" s="17" t="n"/>
      <c r="CY778" s="16" t="n"/>
      <c r="CZ778" s="20" t="inlineStr">
        <is>
          <t>WTW Multimeter 3430 with FDO 925</t>
        </is>
      </c>
      <c r="DA778" s="20" t="inlineStr">
        <is>
          <t>None</t>
        </is>
      </c>
      <c r="DB778" s="17" t="n"/>
      <c r="DC778" s="16" t="n"/>
      <c r="DD778" s="20" t="n"/>
      <c r="DE778" s="20" t="inlineStr">
        <is>
          <t>None</t>
        </is>
      </c>
      <c r="DF778" s="17" t="n"/>
      <c r="DG778" s="16" t="n"/>
      <c r="DH778" s="20" t="inlineStr">
        <is>
          <t>SOP 45-09</t>
        </is>
      </c>
      <c r="DI778" s="20" t="inlineStr">
        <is>
          <t>None</t>
        </is>
      </c>
      <c r="DJ778" s="17" t="n"/>
      <c r="DK778" s="16" t="n"/>
      <c r="DL778" s="20" t="inlineStr">
        <is>
          <t>SOP 45-09 (SOP muss noch angepasst werden für VSS)</t>
        </is>
      </c>
      <c r="DM778" s="20" t="inlineStr">
        <is>
          <t>None</t>
        </is>
      </c>
      <c r="DN778" s="17" t="n"/>
      <c r="DO778" s="16" t="n"/>
      <c r="DP778" s="20" t="inlineStr">
        <is>
          <t>IC Organic Acids</t>
        </is>
      </c>
      <c r="DQ778" s="20" t="inlineStr">
        <is>
          <t>None</t>
        </is>
      </c>
      <c r="DR778" s="17" t="n"/>
      <c r="DS778" s="16" t="n"/>
      <c r="DT778" s="20" t="inlineStr">
        <is>
          <t>IC Organic Acids</t>
        </is>
      </c>
      <c r="DU778" s="20" t="inlineStr">
        <is>
          <t>None</t>
        </is>
      </c>
      <c r="DV778" s="17" t="n"/>
      <c r="DW778" s="16" t="n"/>
      <c r="DX778" s="20" t="inlineStr">
        <is>
          <t>IC Organic Acids</t>
        </is>
      </c>
      <c r="DY778" s="20" t="inlineStr">
        <is>
          <t>None</t>
        </is>
      </c>
      <c r="DZ778" s="17" t="n"/>
      <c r="EA778" s="16" t="n"/>
      <c r="EB778" s="20" t="inlineStr">
        <is>
          <t>IC Organic Acids</t>
        </is>
      </c>
      <c r="EC778" s="20" t="inlineStr">
        <is>
          <t>None</t>
        </is>
      </c>
      <c r="ED778" s="17" t="n"/>
      <c r="EE778" s="16" t="n"/>
      <c r="EF778" s="20" t="inlineStr">
        <is>
          <t>IC Organic Acids</t>
        </is>
      </c>
      <c r="EG778" s="20" t="inlineStr">
        <is>
          <t>None</t>
        </is>
      </c>
      <c r="EH778" s="17" t="n"/>
      <c r="EI778" s="16" t="n"/>
      <c r="EJ778" s="20" t="inlineStr">
        <is>
          <t>IC Organic Acids</t>
        </is>
      </c>
      <c r="EK778" s="20" t="inlineStr">
        <is>
          <t>None</t>
        </is>
      </c>
      <c r="EL778" s="17" t="n"/>
      <c r="EM778" s="16" t="n"/>
      <c r="EN778" s="20" t="inlineStr">
        <is>
          <t>IC Organic Acids</t>
        </is>
      </c>
      <c r="EO778" s="20" t="inlineStr">
        <is>
          <t>None</t>
        </is>
      </c>
      <c r="EP778" s="17" t="n"/>
      <c r="EQ778" s="16" t="n"/>
      <c r="ER778" s="20" t="inlineStr">
        <is>
          <t>IC Organic Acids</t>
        </is>
      </c>
      <c r="ES778" s="20" t="inlineStr">
        <is>
          <t>None</t>
        </is>
      </c>
      <c r="ET778" s="17" t="n"/>
      <c r="EU778" s="16" t="n"/>
      <c r="EV778" s="20" t="inlineStr">
        <is>
          <t>LC-MS</t>
        </is>
      </c>
      <c r="EW778" s="20" t="inlineStr">
        <is>
          <t>None</t>
        </is>
      </c>
      <c r="EX778" s="17" t="n"/>
      <c r="EY778" s="21" t="n"/>
      <c r="EZ778">
        <f>CONCATENATE(A778,B778)</f>
        <v/>
      </c>
      <c r="FA778">
        <f>CONCATENATE(SamplesX!A778,SamplesX!B778)</f>
        <v/>
      </c>
      <c r="FC778">
        <f>MATCH(EZ778,FA1:FA1008,0)</f>
        <v/>
      </c>
    </row>
    <row r="779">
      <c r="A779" s="16" t="n"/>
      <c r="B779" s="17" t="n"/>
      <c r="C779" s="10">
        <f>IF(ISNUMBER(FC779),INDIRECT("SamplesX!C"&amp;FC779),IF(ISNUMBER(FD779),INDIRECT("SamplesY!C"&amp;FD779),""))</f>
        <v/>
      </c>
      <c r="D779" s="12">
        <f>IF(ISNUMBER(FC779),INDIRECT("SamplesX!D"&amp;FC779),IF(ISNUMBER(FD779),INDIRECT("SamplesY!D"&amp;FD779),""))</f>
        <v/>
      </c>
      <c r="E779" s="12">
        <f>IF(ISNUMBER(FC779),INDIRECT("SamplesX!E"&amp;FC779),IF(ISNUMBER(FD779),INDIRECT("SamplesY!E"&amp;FD779),""))</f>
        <v/>
      </c>
      <c r="F779" s="11">
        <f>IF(ISNUMBER(FC779),INDIRECT("SamplesX!F"&amp;FC779),IF(ISNUMBER(FD779),INDIRECT("SamplesY!F"&amp;FD779),""))</f>
        <v/>
      </c>
      <c r="G779" s="18">
        <f>IF(ISNUMBER(FC779),INDIRECT("SamplesX!G"&amp;FC779),IF(ISNUMBER(FD779),INDIRECT("SamplesY!G"&amp;FD779),""))</f>
        <v/>
      </c>
      <c r="H779" s="19">
        <f>IF(ISNUMBER(FC779),INDIRECT("SamplesX!H"&amp;FC779),IF(ISNUMBER(FD779),INDIRECT("SamplesY!H"&amp;FD779),""))</f>
        <v/>
      </c>
      <c r="I779" s="16" t="n"/>
      <c r="J779" s="16" t="n"/>
      <c r="K779" s="16" t="n"/>
      <c r="L779" s="20" t="n"/>
      <c r="M779" s="20" t="inlineStr">
        <is>
          <t>None</t>
        </is>
      </c>
      <c r="N779" s="17" t="n"/>
      <c r="O779" s="16" t="n"/>
      <c r="P779" s="20" t="inlineStr">
        <is>
          <t>Shimadzu TOC-L</t>
        </is>
      </c>
      <c r="Q779" s="20" t="inlineStr">
        <is>
          <t>None</t>
        </is>
      </c>
      <c r="R779" s="17" t="n"/>
      <c r="S779" s="16" t="n"/>
      <c r="T779" s="20" t="inlineStr">
        <is>
          <t>Shimadzu TOC-L</t>
        </is>
      </c>
      <c r="U779" s="20" t="inlineStr">
        <is>
          <t>None</t>
        </is>
      </c>
      <c r="V779" s="17" t="n"/>
      <c r="W779" s="16" t="n"/>
      <c r="X779" s="20" t="n"/>
      <c r="Y779" s="20" t="inlineStr">
        <is>
          <t>None</t>
        </is>
      </c>
      <c r="Z779" s="17" t="n"/>
      <c r="AA779" s="16" t="n"/>
      <c r="AB779" s="20" t="n"/>
      <c r="AC779" s="20" t="inlineStr">
        <is>
          <t>None</t>
        </is>
      </c>
      <c r="AD779" s="17" t="n"/>
      <c r="AE779" s="16" t="n"/>
      <c r="AF779" s="20" t="inlineStr">
        <is>
          <t>IC Anionen</t>
        </is>
      </c>
      <c r="AG779" s="20" t="inlineStr">
        <is>
          <t>None</t>
        </is>
      </c>
      <c r="AH779" s="17" t="n"/>
      <c r="AI779" s="16" t="n"/>
      <c r="AJ779" s="20" t="n"/>
      <c r="AK779" s="20" t="inlineStr">
        <is>
          <t>None</t>
        </is>
      </c>
      <c r="AL779" s="17" t="n"/>
      <c r="AM779" s="16" t="n"/>
      <c r="AN779" s="20" t="inlineStr">
        <is>
          <t>IC Anionen</t>
        </is>
      </c>
      <c r="AO779" s="20" t="inlineStr">
        <is>
          <t>None</t>
        </is>
      </c>
      <c r="AP779" s="17" t="n"/>
      <c r="AQ779" s="16" t="n"/>
      <c r="AR779" s="20" t="n"/>
      <c r="AS779" s="20" t="inlineStr">
        <is>
          <t>None</t>
        </is>
      </c>
      <c r="AT779" s="17" t="n"/>
      <c r="AU779" s="16" t="n"/>
      <c r="AV779" s="20" t="n"/>
      <c r="AW779" s="20" t="inlineStr">
        <is>
          <t>None</t>
        </is>
      </c>
      <c r="AX779" s="17" t="n"/>
      <c r="AY779" s="16" t="n"/>
      <c r="AZ779" s="20" t="inlineStr">
        <is>
          <t>IC Anionen</t>
        </is>
      </c>
      <c r="BA779" s="20" t="inlineStr">
        <is>
          <t>None</t>
        </is>
      </c>
      <c r="BB779" s="17" t="n"/>
      <c r="BC779" s="16" t="n"/>
      <c r="BD779" s="20" t="inlineStr">
        <is>
          <t>IC Kationen</t>
        </is>
      </c>
      <c r="BE779" s="20" t="inlineStr">
        <is>
          <t>None</t>
        </is>
      </c>
      <c r="BF779" s="17" t="n"/>
      <c r="BG779" s="16" t="n"/>
      <c r="BH779" s="20" t="inlineStr">
        <is>
          <t>IC Kationen</t>
        </is>
      </c>
      <c r="BI779" s="20" t="inlineStr">
        <is>
          <t>None</t>
        </is>
      </c>
      <c r="BJ779" s="17" t="n"/>
      <c r="BK779" s="16" t="n"/>
      <c r="BL779" s="20" t="inlineStr">
        <is>
          <t>IC Kationen</t>
        </is>
      </c>
      <c r="BM779" s="20" t="inlineStr">
        <is>
          <t>None</t>
        </is>
      </c>
      <c r="BN779" s="17" t="n"/>
      <c r="BO779" s="16" t="n"/>
      <c r="BP779" s="20" t="inlineStr">
        <is>
          <t>IC Kationen</t>
        </is>
      </c>
      <c r="BQ779" s="20" t="inlineStr">
        <is>
          <t>None</t>
        </is>
      </c>
      <c r="BR779" s="17" t="n"/>
      <c r="BS779" s="16" t="n"/>
      <c r="BT779" s="20" t="inlineStr">
        <is>
          <t>IC Kationen</t>
        </is>
      </c>
      <c r="BU779" s="20" t="inlineStr">
        <is>
          <t>None</t>
        </is>
      </c>
      <c r="BV779" s="17" t="n"/>
      <c r="BW779" s="16" t="n"/>
      <c r="BX779" s="20" t="n"/>
      <c r="BY779" s="20" t="inlineStr">
        <is>
          <t>None</t>
        </is>
      </c>
      <c r="BZ779" s="17" t="n"/>
      <c r="CA779" s="16" t="n"/>
      <c r="CB779" s="20" t="n"/>
      <c r="CC779" s="20" t="inlineStr">
        <is>
          <t>None</t>
        </is>
      </c>
      <c r="CD779" s="17" t="n"/>
      <c r="CE779" s="16" t="n"/>
      <c r="CF779" s="20" t="n"/>
      <c r="CG779" s="20" t="inlineStr">
        <is>
          <t>None</t>
        </is>
      </c>
      <c r="CH779" s="17" t="n"/>
      <c r="CI779" s="16" t="n"/>
      <c r="CJ779" s="20" t="n"/>
      <c r="CK779" s="20" t="inlineStr">
        <is>
          <t>None</t>
        </is>
      </c>
      <c r="CL779" s="17" t="n"/>
      <c r="CM779" s="16" t="n"/>
      <c r="CN779" s="20" t="inlineStr">
        <is>
          <t>SOP 45-34</t>
        </is>
      </c>
      <c r="CO779" s="20" t="inlineStr">
        <is>
          <t>None</t>
        </is>
      </c>
      <c r="CP779" s="17" t="n"/>
      <c r="CQ779" s="16" t="n"/>
      <c r="CR779" s="20" t="n"/>
      <c r="CS779" s="20" t="inlineStr">
        <is>
          <t>None</t>
        </is>
      </c>
      <c r="CT779" s="17" t="n"/>
      <c r="CU779" s="16" t="n"/>
      <c r="CV779" s="20" t="n"/>
      <c r="CW779" s="20" t="inlineStr">
        <is>
          <t>None</t>
        </is>
      </c>
      <c r="CX779" s="17" t="n"/>
      <c r="CY779" s="16" t="n"/>
      <c r="CZ779" s="20" t="inlineStr">
        <is>
          <t>WTW Multimeter 3430 with FDO 925</t>
        </is>
      </c>
      <c r="DA779" s="20" t="inlineStr">
        <is>
          <t>None</t>
        </is>
      </c>
      <c r="DB779" s="17" t="n"/>
      <c r="DC779" s="16" t="n"/>
      <c r="DD779" s="20" t="n"/>
      <c r="DE779" s="20" t="inlineStr">
        <is>
          <t>None</t>
        </is>
      </c>
      <c r="DF779" s="17" t="n"/>
      <c r="DG779" s="16" t="n"/>
      <c r="DH779" s="20" t="inlineStr">
        <is>
          <t>SOP 45-09</t>
        </is>
      </c>
      <c r="DI779" s="20" t="inlineStr">
        <is>
          <t>None</t>
        </is>
      </c>
      <c r="DJ779" s="17" t="n"/>
      <c r="DK779" s="16" t="n"/>
      <c r="DL779" s="20" t="inlineStr">
        <is>
          <t>SOP 45-09 (SOP muss noch angepasst werden für VSS)</t>
        </is>
      </c>
      <c r="DM779" s="20" t="inlineStr">
        <is>
          <t>None</t>
        </is>
      </c>
      <c r="DN779" s="17" t="n"/>
      <c r="DO779" s="16" t="n"/>
      <c r="DP779" s="20" t="inlineStr">
        <is>
          <t>IC Organic Acids</t>
        </is>
      </c>
      <c r="DQ779" s="20" t="inlineStr">
        <is>
          <t>None</t>
        </is>
      </c>
      <c r="DR779" s="17" t="n"/>
      <c r="DS779" s="16" t="n"/>
      <c r="DT779" s="20" t="inlineStr">
        <is>
          <t>IC Organic Acids</t>
        </is>
      </c>
      <c r="DU779" s="20" t="inlineStr">
        <is>
          <t>None</t>
        </is>
      </c>
      <c r="DV779" s="17" t="n"/>
      <c r="DW779" s="16" t="n"/>
      <c r="DX779" s="20" t="inlineStr">
        <is>
          <t>IC Organic Acids</t>
        </is>
      </c>
      <c r="DY779" s="20" t="inlineStr">
        <is>
          <t>None</t>
        </is>
      </c>
      <c r="DZ779" s="17" t="n"/>
      <c r="EA779" s="16" t="n"/>
      <c r="EB779" s="20" t="inlineStr">
        <is>
          <t>IC Organic Acids</t>
        </is>
      </c>
      <c r="EC779" s="20" t="inlineStr">
        <is>
          <t>None</t>
        </is>
      </c>
      <c r="ED779" s="17" t="n"/>
      <c r="EE779" s="16" t="n"/>
      <c r="EF779" s="20" t="inlineStr">
        <is>
          <t>IC Organic Acids</t>
        </is>
      </c>
      <c r="EG779" s="20" t="inlineStr">
        <is>
          <t>None</t>
        </is>
      </c>
      <c r="EH779" s="17" t="n"/>
      <c r="EI779" s="16" t="n"/>
      <c r="EJ779" s="20" t="inlineStr">
        <is>
          <t>IC Organic Acids</t>
        </is>
      </c>
      <c r="EK779" s="20" t="inlineStr">
        <is>
          <t>None</t>
        </is>
      </c>
      <c r="EL779" s="17" t="n"/>
      <c r="EM779" s="16" t="n"/>
      <c r="EN779" s="20" t="inlineStr">
        <is>
          <t>IC Organic Acids</t>
        </is>
      </c>
      <c r="EO779" s="20" t="inlineStr">
        <is>
          <t>None</t>
        </is>
      </c>
      <c r="EP779" s="17" t="n"/>
      <c r="EQ779" s="16" t="n"/>
      <c r="ER779" s="20" t="inlineStr">
        <is>
          <t>IC Organic Acids</t>
        </is>
      </c>
      <c r="ES779" s="20" t="inlineStr">
        <is>
          <t>None</t>
        </is>
      </c>
      <c r="ET779" s="17" t="n"/>
      <c r="EU779" s="16" t="n"/>
      <c r="EV779" s="20" t="inlineStr">
        <is>
          <t>LC-MS</t>
        </is>
      </c>
      <c r="EW779" s="20" t="inlineStr">
        <is>
          <t>None</t>
        </is>
      </c>
      <c r="EX779" s="17" t="n"/>
      <c r="EY779" s="21" t="n"/>
      <c r="EZ779">
        <f>CONCATENATE(A779,B779)</f>
        <v/>
      </c>
      <c r="FA779">
        <f>CONCATENATE(SamplesX!A779,SamplesX!B779)</f>
        <v/>
      </c>
      <c r="FC779">
        <f>MATCH(EZ779,FA1:FA1008,0)</f>
        <v/>
      </c>
    </row>
    <row r="780">
      <c r="A780" s="16" t="n"/>
      <c r="B780" s="17" t="n"/>
      <c r="C780" s="10">
        <f>IF(ISNUMBER(FC780),INDIRECT("SamplesX!C"&amp;FC780),IF(ISNUMBER(FD780),INDIRECT("SamplesY!C"&amp;FD780),""))</f>
        <v/>
      </c>
      <c r="D780" s="12">
        <f>IF(ISNUMBER(FC780),INDIRECT("SamplesX!D"&amp;FC780),IF(ISNUMBER(FD780),INDIRECT("SamplesY!D"&amp;FD780),""))</f>
        <v/>
      </c>
      <c r="E780" s="12">
        <f>IF(ISNUMBER(FC780),INDIRECT("SamplesX!E"&amp;FC780),IF(ISNUMBER(FD780),INDIRECT("SamplesY!E"&amp;FD780),""))</f>
        <v/>
      </c>
      <c r="F780" s="11">
        <f>IF(ISNUMBER(FC780),INDIRECT("SamplesX!F"&amp;FC780),IF(ISNUMBER(FD780),INDIRECT("SamplesY!F"&amp;FD780),""))</f>
        <v/>
      </c>
      <c r="G780" s="18">
        <f>IF(ISNUMBER(FC780),INDIRECT("SamplesX!G"&amp;FC780),IF(ISNUMBER(FD780),INDIRECT("SamplesY!G"&amp;FD780),""))</f>
        <v/>
      </c>
      <c r="H780" s="19">
        <f>IF(ISNUMBER(FC780),INDIRECT("SamplesX!H"&amp;FC780),IF(ISNUMBER(FD780),INDIRECT("SamplesY!H"&amp;FD780),""))</f>
        <v/>
      </c>
      <c r="I780" s="16" t="n"/>
      <c r="J780" s="16" t="n"/>
      <c r="K780" s="16" t="n"/>
      <c r="L780" s="20" t="n"/>
      <c r="M780" s="20" t="inlineStr">
        <is>
          <t>None</t>
        </is>
      </c>
      <c r="N780" s="17" t="n"/>
      <c r="O780" s="16" t="n"/>
      <c r="P780" s="20" t="inlineStr">
        <is>
          <t>Shimadzu TOC-L</t>
        </is>
      </c>
      <c r="Q780" s="20" t="inlineStr">
        <is>
          <t>None</t>
        </is>
      </c>
      <c r="R780" s="17" t="n"/>
      <c r="S780" s="16" t="n"/>
      <c r="T780" s="20" t="inlineStr">
        <is>
          <t>Shimadzu TOC-L</t>
        </is>
      </c>
      <c r="U780" s="20" t="inlineStr">
        <is>
          <t>None</t>
        </is>
      </c>
      <c r="V780" s="17" t="n"/>
      <c r="W780" s="16" t="n"/>
      <c r="X780" s="20" t="n"/>
      <c r="Y780" s="20" t="inlineStr">
        <is>
          <t>None</t>
        </is>
      </c>
      <c r="Z780" s="17" t="n"/>
      <c r="AA780" s="16" t="n"/>
      <c r="AB780" s="20" t="n"/>
      <c r="AC780" s="20" t="inlineStr">
        <is>
          <t>None</t>
        </is>
      </c>
      <c r="AD780" s="17" t="n"/>
      <c r="AE780" s="16" t="n"/>
      <c r="AF780" s="20" t="inlineStr">
        <is>
          <t>IC Anionen</t>
        </is>
      </c>
      <c r="AG780" s="20" t="inlineStr">
        <is>
          <t>None</t>
        </is>
      </c>
      <c r="AH780" s="17" t="n"/>
      <c r="AI780" s="16" t="n"/>
      <c r="AJ780" s="20" t="n"/>
      <c r="AK780" s="20" t="inlineStr">
        <is>
          <t>None</t>
        </is>
      </c>
      <c r="AL780" s="17" t="n"/>
      <c r="AM780" s="16" t="n"/>
      <c r="AN780" s="20" t="inlineStr">
        <is>
          <t>IC Anionen</t>
        </is>
      </c>
      <c r="AO780" s="20" t="inlineStr">
        <is>
          <t>None</t>
        </is>
      </c>
      <c r="AP780" s="17" t="n"/>
      <c r="AQ780" s="16" t="n"/>
      <c r="AR780" s="20" t="n"/>
      <c r="AS780" s="20" t="inlineStr">
        <is>
          <t>None</t>
        </is>
      </c>
      <c r="AT780" s="17" t="n"/>
      <c r="AU780" s="16" t="n"/>
      <c r="AV780" s="20" t="n"/>
      <c r="AW780" s="20" t="inlineStr">
        <is>
          <t>None</t>
        </is>
      </c>
      <c r="AX780" s="17" t="n"/>
      <c r="AY780" s="16" t="n"/>
      <c r="AZ780" s="20" t="inlineStr">
        <is>
          <t>IC Anionen</t>
        </is>
      </c>
      <c r="BA780" s="20" t="inlineStr">
        <is>
          <t>None</t>
        </is>
      </c>
      <c r="BB780" s="17" t="n"/>
      <c r="BC780" s="16" t="n"/>
      <c r="BD780" s="20" t="inlineStr">
        <is>
          <t>IC Kationen</t>
        </is>
      </c>
      <c r="BE780" s="20" t="inlineStr">
        <is>
          <t>None</t>
        </is>
      </c>
      <c r="BF780" s="17" t="n"/>
      <c r="BG780" s="16" t="n"/>
      <c r="BH780" s="20" t="inlineStr">
        <is>
          <t>IC Kationen</t>
        </is>
      </c>
      <c r="BI780" s="20" t="inlineStr">
        <is>
          <t>None</t>
        </is>
      </c>
      <c r="BJ780" s="17" t="n"/>
      <c r="BK780" s="16" t="n"/>
      <c r="BL780" s="20" t="inlineStr">
        <is>
          <t>IC Kationen</t>
        </is>
      </c>
      <c r="BM780" s="20" t="inlineStr">
        <is>
          <t>None</t>
        </is>
      </c>
      <c r="BN780" s="17" t="n"/>
      <c r="BO780" s="16" t="n"/>
      <c r="BP780" s="20" t="inlineStr">
        <is>
          <t>IC Kationen</t>
        </is>
      </c>
      <c r="BQ780" s="20" t="inlineStr">
        <is>
          <t>None</t>
        </is>
      </c>
      <c r="BR780" s="17" t="n"/>
      <c r="BS780" s="16" t="n"/>
      <c r="BT780" s="20" t="inlineStr">
        <is>
          <t>IC Kationen</t>
        </is>
      </c>
      <c r="BU780" s="20" t="inlineStr">
        <is>
          <t>None</t>
        </is>
      </c>
      <c r="BV780" s="17" t="n"/>
      <c r="BW780" s="16" t="n"/>
      <c r="BX780" s="20" t="n"/>
      <c r="BY780" s="20" t="inlineStr">
        <is>
          <t>None</t>
        </is>
      </c>
      <c r="BZ780" s="17" t="n"/>
      <c r="CA780" s="16" t="n"/>
      <c r="CB780" s="20" t="n"/>
      <c r="CC780" s="20" t="inlineStr">
        <is>
          <t>None</t>
        </is>
      </c>
      <c r="CD780" s="17" t="n"/>
      <c r="CE780" s="16" t="n"/>
      <c r="CF780" s="20" t="n"/>
      <c r="CG780" s="20" t="inlineStr">
        <is>
          <t>None</t>
        </is>
      </c>
      <c r="CH780" s="17" t="n"/>
      <c r="CI780" s="16" t="n"/>
      <c r="CJ780" s="20" t="n"/>
      <c r="CK780" s="20" t="inlineStr">
        <is>
          <t>None</t>
        </is>
      </c>
      <c r="CL780" s="17" t="n"/>
      <c r="CM780" s="16" t="n"/>
      <c r="CN780" s="20" t="inlineStr">
        <is>
          <t>SOP 45-34</t>
        </is>
      </c>
      <c r="CO780" s="20" t="inlineStr">
        <is>
          <t>None</t>
        </is>
      </c>
      <c r="CP780" s="17" t="n"/>
      <c r="CQ780" s="16" t="n"/>
      <c r="CR780" s="20" t="n"/>
      <c r="CS780" s="20" t="inlineStr">
        <is>
          <t>None</t>
        </is>
      </c>
      <c r="CT780" s="17" t="n"/>
      <c r="CU780" s="16" t="n"/>
      <c r="CV780" s="20" t="n"/>
      <c r="CW780" s="20" t="inlineStr">
        <is>
          <t>None</t>
        </is>
      </c>
      <c r="CX780" s="17" t="n"/>
      <c r="CY780" s="16" t="n"/>
      <c r="CZ780" s="20" t="inlineStr">
        <is>
          <t>WTW Multimeter 3430 with FDO 925</t>
        </is>
      </c>
      <c r="DA780" s="20" t="inlineStr">
        <is>
          <t>None</t>
        </is>
      </c>
      <c r="DB780" s="17" t="n"/>
      <c r="DC780" s="16" t="n"/>
      <c r="DD780" s="20" t="n"/>
      <c r="DE780" s="20" t="inlineStr">
        <is>
          <t>None</t>
        </is>
      </c>
      <c r="DF780" s="17" t="n"/>
      <c r="DG780" s="16" t="n"/>
      <c r="DH780" s="20" t="inlineStr">
        <is>
          <t>SOP 45-09</t>
        </is>
      </c>
      <c r="DI780" s="20" t="inlineStr">
        <is>
          <t>None</t>
        </is>
      </c>
      <c r="DJ780" s="17" t="n"/>
      <c r="DK780" s="16" t="n"/>
      <c r="DL780" s="20" t="inlineStr">
        <is>
          <t>SOP 45-09 (SOP muss noch angepasst werden für VSS)</t>
        </is>
      </c>
      <c r="DM780" s="20" t="inlineStr">
        <is>
          <t>None</t>
        </is>
      </c>
      <c r="DN780" s="17" t="n"/>
      <c r="DO780" s="16" t="n"/>
      <c r="DP780" s="20" t="inlineStr">
        <is>
          <t>IC Organic Acids</t>
        </is>
      </c>
      <c r="DQ780" s="20" t="inlineStr">
        <is>
          <t>None</t>
        </is>
      </c>
      <c r="DR780" s="17" t="n"/>
      <c r="DS780" s="16" t="n"/>
      <c r="DT780" s="20" t="inlineStr">
        <is>
          <t>IC Organic Acids</t>
        </is>
      </c>
      <c r="DU780" s="20" t="inlineStr">
        <is>
          <t>None</t>
        </is>
      </c>
      <c r="DV780" s="17" t="n"/>
      <c r="DW780" s="16" t="n"/>
      <c r="DX780" s="20" t="inlineStr">
        <is>
          <t>IC Organic Acids</t>
        </is>
      </c>
      <c r="DY780" s="20" t="inlineStr">
        <is>
          <t>None</t>
        </is>
      </c>
      <c r="DZ780" s="17" t="n"/>
      <c r="EA780" s="16" t="n"/>
      <c r="EB780" s="20" t="inlineStr">
        <is>
          <t>IC Organic Acids</t>
        </is>
      </c>
      <c r="EC780" s="20" t="inlineStr">
        <is>
          <t>None</t>
        </is>
      </c>
      <c r="ED780" s="17" t="n"/>
      <c r="EE780" s="16" t="n"/>
      <c r="EF780" s="20" t="inlineStr">
        <is>
          <t>IC Organic Acids</t>
        </is>
      </c>
      <c r="EG780" s="20" t="inlineStr">
        <is>
          <t>None</t>
        </is>
      </c>
      <c r="EH780" s="17" t="n"/>
      <c r="EI780" s="16" t="n"/>
      <c r="EJ780" s="20" t="inlineStr">
        <is>
          <t>IC Organic Acids</t>
        </is>
      </c>
      <c r="EK780" s="20" t="inlineStr">
        <is>
          <t>None</t>
        </is>
      </c>
      <c r="EL780" s="17" t="n"/>
      <c r="EM780" s="16" t="n"/>
      <c r="EN780" s="20" t="inlineStr">
        <is>
          <t>IC Organic Acids</t>
        </is>
      </c>
      <c r="EO780" s="20" t="inlineStr">
        <is>
          <t>None</t>
        </is>
      </c>
      <c r="EP780" s="17" t="n"/>
      <c r="EQ780" s="16" t="n"/>
      <c r="ER780" s="20" t="inlineStr">
        <is>
          <t>IC Organic Acids</t>
        </is>
      </c>
      <c r="ES780" s="20" t="inlineStr">
        <is>
          <t>None</t>
        </is>
      </c>
      <c r="ET780" s="17" t="n"/>
      <c r="EU780" s="16" t="n"/>
      <c r="EV780" s="20" t="inlineStr">
        <is>
          <t>LC-MS</t>
        </is>
      </c>
      <c r="EW780" s="20" t="inlineStr">
        <is>
          <t>None</t>
        </is>
      </c>
      <c r="EX780" s="17" t="n"/>
      <c r="EY780" s="21" t="n"/>
      <c r="EZ780">
        <f>CONCATENATE(A780,B780)</f>
        <v/>
      </c>
      <c r="FA780">
        <f>CONCATENATE(SamplesX!A780,SamplesX!B780)</f>
        <v/>
      </c>
      <c r="FC780">
        <f>MATCH(EZ780,FA1:FA1008,0)</f>
        <v/>
      </c>
    </row>
    <row r="781">
      <c r="A781" s="16" t="n"/>
      <c r="B781" s="17" t="n"/>
      <c r="C781" s="10">
        <f>IF(ISNUMBER(FC781),INDIRECT("SamplesX!C"&amp;FC781),IF(ISNUMBER(FD781),INDIRECT("SamplesY!C"&amp;FD781),""))</f>
        <v/>
      </c>
      <c r="D781" s="12">
        <f>IF(ISNUMBER(FC781),INDIRECT("SamplesX!D"&amp;FC781),IF(ISNUMBER(FD781),INDIRECT("SamplesY!D"&amp;FD781),""))</f>
        <v/>
      </c>
      <c r="E781" s="12">
        <f>IF(ISNUMBER(FC781),INDIRECT("SamplesX!E"&amp;FC781),IF(ISNUMBER(FD781),INDIRECT("SamplesY!E"&amp;FD781),""))</f>
        <v/>
      </c>
      <c r="F781" s="11">
        <f>IF(ISNUMBER(FC781),INDIRECT("SamplesX!F"&amp;FC781),IF(ISNUMBER(FD781),INDIRECT("SamplesY!F"&amp;FD781),""))</f>
        <v/>
      </c>
      <c r="G781" s="18">
        <f>IF(ISNUMBER(FC781),INDIRECT("SamplesX!G"&amp;FC781),IF(ISNUMBER(FD781),INDIRECT("SamplesY!G"&amp;FD781),""))</f>
        <v/>
      </c>
      <c r="H781" s="19">
        <f>IF(ISNUMBER(FC781),INDIRECT("SamplesX!H"&amp;FC781),IF(ISNUMBER(FD781),INDIRECT("SamplesY!H"&amp;FD781),""))</f>
        <v/>
      </c>
      <c r="I781" s="16" t="n"/>
      <c r="J781" s="16" t="n"/>
      <c r="K781" s="16" t="n"/>
      <c r="L781" s="20" t="n"/>
      <c r="M781" s="20" t="inlineStr">
        <is>
          <t>None</t>
        </is>
      </c>
      <c r="N781" s="17" t="n"/>
      <c r="O781" s="16" t="n"/>
      <c r="P781" s="20" t="inlineStr">
        <is>
          <t>Shimadzu TOC-L</t>
        </is>
      </c>
      <c r="Q781" s="20" t="inlineStr">
        <is>
          <t>None</t>
        </is>
      </c>
      <c r="R781" s="17" t="n"/>
      <c r="S781" s="16" t="n"/>
      <c r="T781" s="20" t="inlineStr">
        <is>
          <t>Shimadzu TOC-L</t>
        </is>
      </c>
      <c r="U781" s="20" t="inlineStr">
        <is>
          <t>None</t>
        </is>
      </c>
      <c r="V781" s="17" t="n"/>
      <c r="W781" s="16" t="n"/>
      <c r="X781" s="20" t="n"/>
      <c r="Y781" s="20" t="inlineStr">
        <is>
          <t>None</t>
        </is>
      </c>
      <c r="Z781" s="17" t="n"/>
      <c r="AA781" s="16" t="n"/>
      <c r="AB781" s="20" t="n"/>
      <c r="AC781" s="20" t="inlineStr">
        <is>
          <t>None</t>
        </is>
      </c>
      <c r="AD781" s="17" t="n"/>
      <c r="AE781" s="16" t="n"/>
      <c r="AF781" s="20" t="inlineStr">
        <is>
          <t>IC Anionen</t>
        </is>
      </c>
      <c r="AG781" s="20" t="inlineStr">
        <is>
          <t>None</t>
        </is>
      </c>
      <c r="AH781" s="17" t="n"/>
      <c r="AI781" s="16" t="n"/>
      <c r="AJ781" s="20" t="n"/>
      <c r="AK781" s="20" t="inlineStr">
        <is>
          <t>None</t>
        </is>
      </c>
      <c r="AL781" s="17" t="n"/>
      <c r="AM781" s="16" t="n"/>
      <c r="AN781" s="20" t="inlineStr">
        <is>
          <t>IC Anionen</t>
        </is>
      </c>
      <c r="AO781" s="20" t="inlineStr">
        <is>
          <t>None</t>
        </is>
      </c>
      <c r="AP781" s="17" t="n"/>
      <c r="AQ781" s="16" t="n"/>
      <c r="AR781" s="20" t="n"/>
      <c r="AS781" s="20" t="inlineStr">
        <is>
          <t>None</t>
        </is>
      </c>
      <c r="AT781" s="17" t="n"/>
      <c r="AU781" s="16" t="n"/>
      <c r="AV781" s="20" t="n"/>
      <c r="AW781" s="20" t="inlineStr">
        <is>
          <t>None</t>
        </is>
      </c>
      <c r="AX781" s="17" t="n"/>
      <c r="AY781" s="16" t="n"/>
      <c r="AZ781" s="20" t="inlineStr">
        <is>
          <t>IC Anionen</t>
        </is>
      </c>
      <c r="BA781" s="20" t="inlineStr">
        <is>
          <t>None</t>
        </is>
      </c>
      <c r="BB781" s="17" t="n"/>
      <c r="BC781" s="16" t="n"/>
      <c r="BD781" s="20" t="inlineStr">
        <is>
          <t>IC Kationen</t>
        </is>
      </c>
      <c r="BE781" s="20" t="inlineStr">
        <is>
          <t>None</t>
        </is>
      </c>
      <c r="BF781" s="17" t="n"/>
      <c r="BG781" s="16" t="n"/>
      <c r="BH781" s="20" t="inlineStr">
        <is>
          <t>IC Kationen</t>
        </is>
      </c>
      <c r="BI781" s="20" t="inlineStr">
        <is>
          <t>None</t>
        </is>
      </c>
      <c r="BJ781" s="17" t="n"/>
      <c r="BK781" s="16" t="n"/>
      <c r="BL781" s="20" t="inlineStr">
        <is>
          <t>IC Kationen</t>
        </is>
      </c>
      <c r="BM781" s="20" t="inlineStr">
        <is>
          <t>None</t>
        </is>
      </c>
      <c r="BN781" s="17" t="n"/>
      <c r="BO781" s="16" t="n"/>
      <c r="BP781" s="20" t="inlineStr">
        <is>
          <t>IC Kationen</t>
        </is>
      </c>
      <c r="BQ781" s="20" t="inlineStr">
        <is>
          <t>None</t>
        </is>
      </c>
      <c r="BR781" s="17" t="n"/>
      <c r="BS781" s="16" t="n"/>
      <c r="BT781" s="20" t="inlineStr">
        <is>
          <t>IC Kationen</t>
        </is>
      </c>
      <c r="BU781" s="20" t="inlineStr">
        <is>
          <t>None</t>
        </is>
      </c>
      <c r="BV781" s="17" t="n"/>
      <c r="BW781" s="16" t="n"/>
      <c r="BX781" s="20" t="n"/>
      <c r="BY781" s="20" t="inlineStr">
        <is>
          <t>None</t>
        </is>
      </c>
      <c r="BZ781" s="17" t="n"/>
      <c r="CA781" s="16" t="n"/>
      <c r="CB781" s="20" t="n"/>
      <c r="CC781" s="20" t="inlineStr">
        <is>
          <t>None</t>
        </is>
      </c>
      <c r="CD781" s="17" t="n"/>
      <c r="CE781" s="16" t="n"/>
      <c r="CF781" s="20" t="n"/>
      <c r="CG781" s="20" t="inlineStr">
        <is>
          <t>None</t>
        </is>
      </c>
      <c r="CH781" s="17" t="n"/>
      <c r="CI781" s="16" t="n"/>
      <c r="CJ781" s="20" t="n"/>
      <c r="CK781" s="20" t="inlineStr">
        <is>
          <t>None</t>
        </is>
      </c>
      <c r="CL781" s="17" t="n"/>
      <c r="CM781" s="16" t="n"/>
      <c r="CN781" s="20" t="inlineStr">
        <is>
          <t>SOP 45-34</t>
        </is>
      </c>
      <c r="CO781" s="20" t="inlineStr">
        <is>
          <t>None</t>
        </is>
      </c>
      <c r="CP781" s="17" t="n"/>
      <c r="CQ781" s="16" t="n"/>
      <c r="CR781" s="20" t="n"/>
      <c r="CS781" s="20" t="inlineStr">
        <is>
          <t>None</t>
        </is>
      </c>
      <c r="CT781" s="17" t="n"/>
      <c r="CU781" s="16" t="n"/>
      <c r="CV781" s="20" t="n"/>
      <c r="CW781" s="20" t="inlineStr">
        <is>
          <t>None</t>
        </is>
      </c>
      <c r="CX781" s="17" t="n"/>
      <c r="CY781" s="16" t="n"/>
      <c r="CZ781" s="20" t="inlineStr">
        <is>
          <t>WTW Multimeter 3430 with FDO 925</t>
        </is>
      </c>
      <c r="DA781" s="20" t="inlineStr">
        <is>
          <t>None</t>
        </is>
      </c>
      <c r="DB781" s="17" t="n"/>
      <c r="DC781" s="16" t="n"/>
      <c r="DD781" s="20" t="n"/>
      <c r="DE781" s="20" t="inlineStr">
        <is>
          <t>None</t>
        </is>
      </c>
      <c r="DF781" s="17" t="n"/>
      <c r="DG781" s="16" t="n"/>
      <c r="DH781" s="20" t="inlineStr">
        <is>
          <t>SOP 45-09</t>
        </is>
      </c>
      <c r="DI781" s="20" t="inlineStr">
        <is>
          <t>None</t>
        </is>
      </c>
      <c r="DJ781" s="17" t="n"/>
      <c r="DK781" s="16" t="n"/>
      <c r="DL781" s="20" t="inlineStr">
        <is>
          <t>SOP 45-09 (SOP muss noch angepasst werden für VSS)</t>
        </is>
      </c>
      <c r="DM781" s="20" t="inlineStr">
        <is>
          <t>None</t>
        </is>
      </c>
      <c r="DN781" s="17" t="n"/>
      <c r="DO781" s="16" t="n"/>
      <c r="DP781" s="20" t="inlineStr">
        <is>
          <t>IC Organic Acids</t>
        </is>
      </c>
      <c r="DQ781" s="20" t="inlineStr">
        <is>
          <t>None</t>
        </is>
      </c>
      <c r="DR781" s="17" t="n"/>
      <c r="DS781" s="16" t="n"/>
      <c r="DT781" s="20" t="inlineStr">
        <is>
          <t>IC Organic Acids</t>
        </is>
      </c>
      <c r="DU781" s="20" t="inlineStr">
        <is>
          <t>None</t>
        </is>
      </c>
      <c r="DV781" s="17" t="n"/>
      <c r="DW781" s="16" t="n"/>
      <c r="DX781" s="20" t="inlineStr">
        <is>
          <t>IC Organic Acids</t>
        </is>
      </c>
      <c r="DY781" s="20" t="inlineStr">
        <is>
          <t>None</t>
        </is>
      </c>
      <c r="DZ781" s="17" t="n"/>
      <c r="EA781" s="16" t="n"/>
      <c r="EB781" s="20" t="inlineStr">
        <is>
          <t>IC Organic Acids</t>
        </is>
      </c>
      <c r="EC781" s="20" t="inlineStr">
        <is>
          <t>None</t>
        </is>
      </c>
      <c r="ED781" s="17" t="n"/>
      <c r="EE781" s="16" t="n"/>
      <c r="EF781" s="20" t="inlineStr">
        <is>
          <t>IC Organic Acids</t>
        </is>
      </c>
      <c r="EG781" s="20" t="inlineStr">
        <is>
          <t>None</t>
        </is>
      </c>
      <c r="EH781" s="17" t="n"/>
      <c r="EI781" s="16" t="n"/>
      <c r="EJ781" s="20" t="inlineStr">
        <is>
          <t>IC Organic Acids</t>
        </is>
      </c>
      <c r="EK781" s="20" t="inlineStr">
        <is>
          <t>None</t>
        </is>
      </c>
      <c r="EL781" s="17" t="n"/>
      <c r="EM781" s="16" t="n"/>
      <c r="EN781" s="20" t="inlineStr">
        <is>
          <t>IC Organic Acids</t>
        </is>
      </c>
      <c r="EO781" s="20" t="inlineStr">
        <is>
          <t>None</t>
        </is>
      </c>
      <c r="EP781" s="17" t="n"/>
      <c r="EQ781" s="16" t="n"/>
      <c r="ER781" s="20" t="inlineStr">
        <is>
          <t>IC Organic Acids</t>
        </is>
      </c>
      <c r="ES781" s="20" t="inlineStr">
        <is>
          <t>None</t>
        </is>
      </c>
      <c r="ET781" s="17" t="n"/>
      <c r="EU781" s="16" t="n"/>
      <c r="EV781" s="20" t="inlineStr">
        <is>
          <t>LC-MS</t>
        </is>
      </c>
      <c r="EW781" s="20" t="inlineStr">
        <is>
          <t>None</t>
        </is>
      </c>
      <c r="EX781" s="17" t="n"/>
      <c r="EY781" s="21" t="n"/>
      <c r="EZ781">
        <f>CONCATENATE(A781,B781)</f>
        <v/>
      </c>
      <c r="FA781">
        <f>CONCATENATE(SamplesX!A781,SamplesX!B781)</f>
        <v/>
      </c>
      <c r="FC781">
        <f>MATCH(EZ781,FA1:FA1008,0)</f>
        <v/>
      </c>
    </row>
    <row r="782">
      <c r="A782" s="16" t="n"/>
      <c r="B782" s="17" t="n"/>
      <c r="C782" s="10">
        <f>IF(ISNUMBER(FC782),INDIRECT("SamplesX!C"&amp;FC782),IF(ISNUMBER(FD782),INDIRECT("SamplesY!C"&amp;FD782),""))</f>
        <v/>
      </c>
      <c r="D782" s="12">
        <f>IF(ISNUMBER(FC782),INDIRECT("SamplesX!D"&amp;FC782),IF(ISNUMBER(FD782),INDIRECT("SamplesY!D"&amp;FD782),""))</f>
        <v/>
      </c>
      <c r="E782" s="12">
        <f>IF(ISNUMBER(FC782),INDIRECT("SamplesX!E"&amp;FC782),IF(ISNUMBER(FD782),INDIRECT("SamplesY!E"&amp;FD782),""))</f>
        <v/>
      </c>
      <c r="F782" s="11">
        <f>IF(ISNUMBER(FC782),INDIRECT("SamplesX!F"&amp;FC782),IF(ISNUMBER(FD782),INDIRECT("SamplesY!F"&amp;FD782),""))</f>
        <v/>
      </c>
      <c r="G782" s="18">
        <f>IF(ISNUMBER(FC782),INDIRECT("SamplesX!G"&amp;FC782),IF(ISNUMBER(FD782),INDIRECT("SamplesY!G"&amp;FD782),""))</f>
        <v/>
      </c>
      <c r="H782" s="19">
        <f>IF(ISNUMBER(FC782),INDIRECT("SamplesX!H"&amp;FC782),IF(ISNUMBER(FD782),INDIRECT("SamplesY!H"&amp;FD782),""))</f>
        <v/>
      </c>
      <c r="I782" s="16" t="n"/>
      <c r="J782" s="16" t="n"/>
      <c r="K782" s="16" t="n"/>
      <c r="L782" s="20" t="n"/>
      <c r="M782" s="20" t="inlineStr">
        <is>
          <t>None</t>
        </is>
      </c>
      <c r="N782" s="17" t="n"/>
      <c r="O782" s="16" t="n"/>
      <c r="P782" s="20" t="inlineStr">
        <is>
          <t>Shimadzu TOC-L</t>
        </is>
      </c>
      <c r="Q782" s="20" t="inlineStr">
        <is>
          <t>None</t>
        </is>
      </c>
      <c r="R782" s="17" t="n"/>
      <c r="S782" s="16" t="n"/>
      <c r="T782" s="20" t="inlineStr">
        <is>
          <t>Shimadzu TOC-L</t>
        </is>
      </c>
      <c r="U782" s="20" t="inlineStr">
        <is>
          <t>None</t>
        </is>
      </c>
      <c r="V782" s="17" t="n"/>
      <c r="W782" s="16" t="n"/>
      <c r="X782" s="20" t="n"/>
      <c r="Y782" s="20" t="inlineStr">
        <is>
          <t>None</t>
        </is>
      </c>
      <c r="Z782" s="17" t="n"/>
      <c r="AA782" s="16" t="n"/>
      <c r="AB782" s="20" t="n"/>
      <c r="AC782" s="20" t="inlineStr">
        <is>
          <t>None</t>
        </is>
      </c>
      <c r="AD782" s="17" t="n"/>
      <c r="AE782" s="16" t="n"/>
      <c r="AF782" s="20" t="inlineStr">
        <is>
          <t>IC Anionen</t>
        </is>
      </c>
      <c r="AG782" s="20" t="inlineStr">
        <is>
          <t>None</t>
        </is>
      </c>
      <c r="AH782" s="17" t="n"/>
      <c r="AI782" s="16" t="n"/>
      <c r="AJ782" s="20" t="n"/>
      <c r="AK782" s="20" t="inlineStr">
        <is>
          <t>None</t>
        </is>
      </c>
      <c r="AL782" s="17" t="n"/>
      <c r="AM782" s="16" t="n"/>
      <c r="AN782" s="20" t="inlineStr">
        <is>
          <t>IC Anionen</t>
        </is>
      </c>
      <c r="AO782" s="20" t="inlineStr">
        <is>
          <t>None</t>
        </is>
      </c>
      <c r="AP782" s="17" t="n"/>
      <c r="AQ782" s="16" t="n"/>
      <c r="AR782" s="20" t="n"/>
      <c r="AS782" s="20" t="inlineStr">
        <is>
          <t>None</t>
        </is>
      </c>
      <c r="AT782" s="17" t="n"/>
      <c r="AU782" s="16" t="n"/>
      <c r="AV782" s="20" t="n"/>
      <c r="AW782" s="20" t="inlineStr">
        <is>
          <t>None</t>
        </is>
      </c>
      <c r="AX782" s="17" t="n"/>
      <c r="AY782" s="16" t="n"/>
      <c r="AZ782" s="20" t="inlineStr">
        <is>
          <t>IC Anionen</t>
        </is>
      </c>
      <c r="BA782" s="20" t="inlineStr">
        <is>
          <t>None</t>
        </is>
      </c>
      <c r="BB782" s="17" t="n"/>
      <c r="BC782" s="16" t="n"/>
      <c r="BD782" s="20" t="inlineStr">
        <is>
          <t>IC Kationen</t>
        </is>
      </c>
      <c r="BE782" s="20" t="inlineStr">
        <is>
          <t>None</t>
        </is>
      </c>
      <c r="BF782" s="17" t="n"/>
      <c r="BG782" s="16" t="n"/>
      <c r="BH782" s="20" t="inlineStr">
        <is>
          <t>IC Kationen</t>
        </is>
      </c>
      <c r="BI782" s="20" t="inlineStr">
        <is>
          <t>None</t>
        </is>
      </c>
      <c r="BJ782" s="17" t="n"/>
      <c r="BK782" s="16" t="n"/>
      <c r="BL782" s="20" t="inlineStr">
        <is>
          <t>IC Kationen</t>
        </is>
      </c>
      <c r="BM782" s="20" t="inlineStr">
        <is>
          <t>None</t>
        </is>
      </c>
      <c r="BN782" s="17" t="n"/>
      <c r="BO782" s="16" t="n"/>
      <c r="BP782" s="20" t="inlineStr">
        <is>
          <t>IC Kationen</t>
        </is>
      </c>
      <c r="BQ782" s="20" t="inlineStr">
        <is>
          <t>None</t>
        </is>
      </c>
      <c r="BR782" s="17" t="n"/>
      <c r="BS782" s="16" t="n"/>
      <c r="BT782" s="20" t="inlineStr">
        <is>
          <t>IC Kationen</t>
        </is>
      </c>
      <c r="BU782" s="20" t="inlineStr">
        <is>
          <t>None</t>
        </is>
      </c>
      <c r="BV782" s="17" t="n"/>
      <c r="BW782" s="16" t="n"/>
      <c r="BX782" s="20" t="n"/>
      <c r="BY782" s="20" t="inlineStr">
        <is>
          <t>None</t>
        </is>
      </c>
      <c r="BZ782" s="17" t="n"/>
      <c r="CA782" s="16" t="n"/>
      <c r="CB782" s="20" t="n"/>
      <c r="CC782" s="20" t="inlineStr">
        <is>
          <t>None</t>
        </is>
      </c>
      <c r="CD782" s="17" t="n"/>
      <c r="CE782" s="16" t="n"/>
      <c r="CF782" s="20" t="n"/>
      <c r="CG782" s="20" t="inlineStr">
        <is>
          <t>None</t>
        </is>
      </c>
      <c r="CH782" s="17" t="n"/>
      <c r="CI782" s="16" t="n"/>
      <c r="CJ782" s="20" t="n"/>
      <c r="CK782" s="20" t="inlineStr">
        <is>
          <t>None</t>
        </is>
      </c>
      <c r="CL782" s="17" t="n"/>
      <c r="CM782" s="16" t="n"/>
      <c r="CN782" s="20" t="inlineStr">
        <is>
          <t>SOP 45-34</t>
        </is>
      </c>
      <c r="CO782" s="20" t="inlineStr">
        <is>
          <t>None</t>
        </is>
      </c>
      <c r="CP782" s="17" t="n"/>
      <c r="CQ782" s="16" t="n"/>
      <c r="CR782" s="20" t="n"/>
      <c r="CS782" s="20" t="inlineStr">
        <is>
          <t>None</t>
        </is>
      </c>
      <c r="CT782" s="17" t="n"/>
      <c r="CU782" s="16" t="n"/>
      <c r="CV782" s="20" t="n"/>
      <c r="CW782" s="20" t="inlineStr">
        <is>
          <t>None</t>
        </is>
      </c>
      <c r="CX782" s="17" t="n"/>
      <c r="CY782" s="16" t="n"/>
      <c r="CZ782" s="20" t="inlineStr">
        <is>
          <t>WTW Multimeter 3430 with FDO 925</t>
        </is>
      </c>
      <c r="DA782" s="20" t="inlineStr">
        <is>
          <t>None</t>
        </is>
      </c>
      <c r="DB782" s="17" t="n"/>
      <c r="DC782" s="16" t="n"/>
      <c r="DD782" s="20" t="n"/>
      <c r="DE782" s="20" t="inlineStr">
        <is>
          <t>None</t>
        </is>
      </c>
      <c r="DF782" s="17" t="n"/>
      <c r="DG782" s="16" t="n"/>
      <c r="DH782" s="20" t="inlineStr">
        <is>
          <t>SOP 45-09</t>
        </is>
      </c>
      <c r="DI782" s="20" t="inlineStr">
        <is>
          <t>None</t>
        </is>
      </c>
      <c r="DJ782" s="17" t="n"/>
      <c r="DK782" s="16" t="n"/>
      <c r="DL782" s="20" t="inlineStr">
        <is>
          <t>SOP 45-09 (SOP muss noch angepasst werden für VSS)</t>
        </is>
      </c>
      <c r="DM782" s="20" t="inlineStr">
        <is>
          <t>None</t>
        </is>
      </c>
      <c r="DN782" s="17" t="n"/>
      <c r="DO782" s="16" t="n"/>
      <c r="DP782" s="20" t="inlineStr">
        <is>
          <t>IC Organic Acids</t>
        </is>
      </c>
      <c r="DQ782" s="20" t="inlineStr">
        <is>
          <t>None</t>
        </is>
      </c>
      <c r="DR782" s="17" t="n"/>
      <c r="DS782" s="16" t="n"/>
      <c r="DT782" s="20" t="inlineStr">
        <is>
          <t>IC Organic Acids</t>
        </is>
      </c>
      <c r="DU782" s="20" t="inlineStr">
        <is>
          <t>None</t>
        </is>
      </c>
      <c r="DV782" s="17" t="n"/>
      <c r="DW782" s="16" t="n"/>
      <c r="DX782" s="20" t="inlineStr">
        <is>
          <t>IC Organic Acids</t>
        </is>
      </c>
      <c r="DY782" s="20" t="inlineStr">
        <is>
          <t>None</t>
        </is>
      </c>
      <c r="DZ782" s="17" t="n"/>
      <c r="EA782" s="16" t="n"/>
      <c r="EB782" s="20" t="inlineStr">
        <is>
          <t>IC Organic Acids</t>
        </is>
      </c>
      <c r="EC782" s="20" t="inlineStr">
        <is>
          <t>None</t>
        </is>
      </c>
      <c r="ED782" s="17" t="n"/>
      <c r="EE782" s="16" t="n"/>
      <c r="EF782" s="20" t="inlineStr">
        <is>
          <t>IC Organic Acids</t>
        </is>
      </c>
      <c r="EG782" s="20" t="inlineStr">
        <is>
          <t>None</t>
        </is>
      </c>
      <c r="EH782" s="17" t="n"/>
      <c r="EI782" s="16" t="n"/>
      <c r="EJ782" s="20" t="inlineStr">
        <is>
          <t>IC Organic Acids</t>
        </is>
      </c>
      <c r="EK782" s="20" t="inlineStr">
        <is>
          <t>None</t>
        </is>
      </c>
      <c r="EL782" s="17" t="n"/>
      <c r="EM782" s="16" t="n"/>
      <c r="EN782" s="20" t="inlineStr">
        <is>
          <t>IC Organic Acids</t>
        </is>
      </c>
      <c r="EO782" s="20" t="inlineStr">
        <is>
          <t>None</t>
        </is>
      </c>
      <c r="EP782" s="17" t="n"/>
      <c r="EQ782" s="16" t="n"/>
      <c r="ER782" s="20" t="inlineStr">
        <is>
          <t>IC Organic Acids</t>
        </is>
      </c>
      <c r="ES782" s="20" t="inlineStr">
        <is>
          <t>None</t>
        </is>
      </c>
      <c r="ET782" s="17" t="n"/>
      <c r="EU782" s="16" t="n"/>
      <c r="EV782" s="20" t="inlineStr">
        <is>
          <t>LC-MS</t>
        </is>
      </c>
      <c r="EW782" s="20" t="inlineStr">
        <is>
          <t>None</t>
        </is>
      </c>
      <c r="EX782" s="17" t="n"/>
      <c r="EY782" s="21" t="n"/>
      <c r="EZ782">
        <f>CONCATENATE(A782,B782)</f>
        <v/>
      </c>
      <c r="FA782">
        <f>CONCATENATE(SamplesX!A782,SamplesX!B782)</f>
        <v/>
      </c>
      <c r="FC782">
        <f>MATCH(EZ782,FA1:FA1008,0)</f>
        <v/>
      </c>
    </row>
    <row r="783">
      <c r="A783" s="16" t="n"/>
      <c r="B783" s="17" t="n"/>
      <c r="C783" s="10">
        <f>IF(ISNUMBER(FC783),INDIRECT("SamplesX!C"&amp;FC783),IF(ISNUMBER(FD783),INDIRECT("SamplesY!C"&amp;FD783),""))</f>
        <v/>
      </c>
      <c r="D783" s="12">
        <f>IF(ISNUMBER(FC783),INDIRECT("SamplesX!D"&amp;FC783),IF(ISNUMBER(FD783),INDIRECT("SamplesY!D"&amp;FD783),""))</f>
        <v/>
      </c>
      <c r="E783" s="12">
        <f>IF(ISNUMBER(FC783),INDIRECT("SamplesX!E"&amp;FC783),IF(ISNUMBER(FD783),INDIRECT("SamplesY!E"&amp;FD783),""))</f>
        <v/>
      </c>
      <c r="F783" s="11">
        <f>IF(ISNUMBER(FC783),INDIRECT("SamplesX!F"&amp;FC783),IF(ISNUMBER(FD783),INDIRECT("SamplesY!F"&amp;FD783),""))</f>
        <v/>
      </c>
      <c r="G783" s="18">
        <f>IF(ISNUMBER(FC783),INDIRECT("SamplesX!G"&amp;FC783),IF(ISNUMBER(FD783),INDIRECT("SamplesY!G"&amp;FD783),""))</f>
        <v/>
      </c>
      <c r="H783" s="19">
        <f>IF(ISNUMBER(FC783),INDIRECT("SamplesX!H"&amp;FC783),IF(ISNUMBER(FD783),INDIRECT("SamplesY!H"&amp;FD783),""))</f>
        <v/>
      </c>
      <c r="I783" s="16" t="n"/>
      <c r="J783" s="16" t="n"/>
      <c r="K783" s="16" t="n"/>
      <c r="L783" s="20" t="n"/>
      <c r="M783" s="20" t="inlineStr">
        <is>
          <t>None</t>
        </is>
      </c>
      <c r="N783" s="17" t="n"/>
      <c r="O783" s="16" t="n"/>
      <c r="P783" s="20" t="inlineStr">
        <is>
          <t>Shimadzu TOC-L</t>
        </is>
      </c>
      <c r="Q783" s="20" t="inlineStr">
        <is>
          <t>None</t>
        </is>
      </c>
      <c r="R783" s="17" t="n"/>
      <c r="S783" s="16" t="n"/>
      <c r="T783" s="20" t="inlineStr">
        <is>
          <t>Shimadzu TOC-L</t>
        </is>
      </c>
      <c r="U783" s="20" t="inlineStr">
        <is>
          <t>None</t>
        </is>
      </c>
      <c r="V783" s="17" t="n"/>
      <c r="W783" s="16" t="n"/>
      <c r="X783" s="20" t="n"/>
      <c r="Y783" s="20" t="inlineStr">
        <is>
          <t>None</t>
        </is>
      </c>
      <c r="Z783" s="17" t="n"/>
      <c r="AA783" s="16" t="n"/>
      <c r="AB783" s="20" t="n"/>
      <c r="AC783" s="20" t="inlineStr">
        <is>
          <t>None</t>
        </is>
      </c>
      <c r="AD783" s="17" t="n"/>
      <c r="AE783" s="16" t="n"/>
      <c r="AF783" s="20" t="inlineStr">
        <is>
          <t>IC Anionen</t>
        </is>
      </c>
      <c r="AG783" s="20" t="inlineStr">
        <is>
          <t>None</t>
        </is>
      </c>
      <c r="AH783" s="17" t="n"/>
      <c r="AI783" s="16" t="n"/>
      <c r="AJ783" s="20" t="n"/>
      <c r="AK783" s="20" t="inlineStr">
        <is>
          <t>None</t>
        </is>
      </c>
      <c r="AL783" s="17" t="n"/>
      <c r="AM783" s="16" t="n"/>
      <c r="AN783" s="20" t="inlineStr">
        <is>
          <t>IC Anionen</t>
        </is>
      </c>
      <c r="AO783" s="20" t="inlineStr">
        <is>
          <t>None</t>
        </is>
      </c>
      <c r="AP783" s="17" t="n"/>
      <c r="AQ783" s="16" t="n"/>
      <c r="AR783" s="20" t="n"/>
      <c r="AS783" s="20" t="inlineStr">
        <is>
          <t>None</t>
        </is>
      </c>
      <c r="AT783" s="17" t="n"/>
      <c r="AU783" s="16" t="n"/>
      <c r="AV783" s="20" t="n"/>
      <c r="AW783" s="20" t="inlineStr">
        <is>
          <t>None</t>
        </is>
      </c>
      <c r="AX783" s="17" t="n"/>
      <c r="AY783" s="16" t="n"/>
      <c r="AZ783" s="20" t="inlineStr">
        <is>
          <t>IC Anionen</t>
        </is>
      </c>
      <c r="BA783" s="20" t="inlineStr">
        <is>
          <t>None</t>
        </is>
      </c>
      <c r="BB783" s="17" t="n"/>
      <c r="BC783" s="16" t="n"/>
      <c r="BD783" s="20" t="inlineStr">
        <is>
          <t>IC Kationen</t>
        </is>
      </c>
      <c r="BE783" s="20" t="inlineStr">
        <is>
          <t>None</t>
        </is>
      </c>
      <c r="BF783" s="17" t="n"/>
      <c r="BG783" s="16" t="n"/>
      <c r="BH783" s="20" t="inlineStr">
        <is>
          <t>IC Kationen</t>
        </is>
      </c>
      <c r="BI783" s="20" t="inlineStr">
        <is>
          <t>None</t>
        </is>
      </c>
      <c r="BJ783" s="17" t="n"/>
      <c r="BK783" s="16" t="n"/>
      <c r="BL783" s="20" t="inlineStr">
        <is>
          <t>IC Kationen</t>
        </is>
      </c>
      <c r="BM783" s="20" t="inlineStr">
        <is>
          <t>None</t>
        </is>
      </c>
      <c r="BN783" s="17" t="n"/>
      <c r="BO783" s="16" t="n"/>
      <c r="BP783" s="20" t="inlineStr">
        <is>
          <t>IC Kationen</t>
        </is>
      </c>
      <c r="BQ783" s="20" t="inlineStr">
        <is>
          <t>None</t>
        </is>
      </c>
      <c r="BR783" s="17" t="n"/>
      <c r="BS783" s="16" t="n"/>
      <c r="BT783" s="20" t="inlineStr">
        <is>
          <t>IC Kationen</t>
        </is>
      </c>
      <c r="BU783" s="20" t="inlineStr">
        <is>
          <t>None</t>
        </is>
      </c>
      <c r="BV783" s="17" t="n"/>
      <c r="BW783" s="16" t="n"/>
      <c r="BX783" s="20" t="n"/>
      <c r="BY783" s="20" t="inlineStr">
        <is>
          <t>None</t>
        </is>
      </c>
      <c r="BZ783" s="17" t="n"/>
      <c r="CA783" s="16" t="n"/>
      <c r="CB783" s="20" t="n"/>
      <c r="CC783" s="20" t="inlineStr">
        <is>
          <t>None</t>
        </is>
      </c>
      <c r="CD783" s="17" t="n"/>
      <c r="CE783" s="16" t="n"/>
      <c r="CF783" s="20" t="n"/>
      <c r="CG783" s="20" t="inlineStr">
        <is>
          <t>None</t>
        </is>
      </c>
      <c r="CH783" s="17" t="n"/>
      <c r="CI783" s="16" t="n"/>
      <c r="CJ783" s="20" t="n"/>
      <c r="CK783" s="20" t="inlineStr">
        <is>
          <t>None</t>
        </is>
      </c>
      <c r="CL783" s="17" t="n"/>
      <c r="CM783" s="16" t="n"/>
      <c r="CN783" s="20" t="inlineStr">
        <is>
          <t>SOP 45-34</t>
        </is>
      </c>
      <c r="CO783" s="20" t="inlineStr">
        <is>
          <t>None</t>
        </is>
      </c>
      <c r="CP783" s="17" t="n"/>
      <c r="CQ783" s="16" t="n"/>
      <c r="CR783" s="20" t="n"/>
      <c r="CS783" s="20" t="inlineStr">
        <is>
          <t>None</t>
        </is>
      </c>
      <c r="CT783" s="17" t="n"/>
      <c r="CU783" s="16" t="n"/>
      <c r="CV783" s="20" t="n"/>
      <c r="CW783" s="20" t="inlineStr">
        <is>
          <t>None</t>
        </is>
      </c>
      <c r="CX783" s="17" t="n"/>
      <c r="CY783" s="16" t="n"/>
      <c r="CZ783" s="20" t="inlineStr">
        <is>
          <t>WTW Multimeter 3430 with FDO 925</t>
        </is>
      </c>
      <c r="DA783" s="20" t="inlineStr">
        <is>
          <t>None</t>
        </is>
      </c>
      <c r="DB783" s="17" t="n"/>
      <c r="DC783" s="16" t="n"/>
      <c r="DD783" s="20" t="n"/>
      <c r="DE783" s="20" t="inlineStr">
        <is>
          <t>None</t>
        </is>
      </c>
      <c r="DF783" s="17" t="n"/>
      <c r="DG783" s="16" t="n"/>
      <c r="DH783" s="20" t="inlineStr">
        <is>
          <t>SOP 45-09</t>
        </is>
      </c>
      <c r="DI783" s="20" t="inlineStr">
        <is>
          <t>None</t>
        </is>
      </c>
      <c r="DJ783" s="17" t="n"/>
      <c r="DK783" s="16" t="n"/>
      <c r="DL783" s="20" t="inlineStr">
        <is>
          <t>SOP 45-09 (SOP muss noch angepasst werden für VSS)</t>
        </is>
      </c>
      <c r="DM783" s="20" t="inlineStr">
        <is>
          <t>None</t>
        </is>
      </c>
      <c r="DN783" s="17" t="n"/>
      <c r="DO783" s="16" t="n"/>
      <c r="DP783" s="20" t="inlineStr">
        <is>
          <t>IC Organic Acids</t>
        </is>
      </c>
      <c r="DQ783" s="20" t="inlineStr">
        <is>
          <t>None</t>
        </is>
      </c>
      <c r="DR783" s="17" t="n"/>
      <c r="DS783" s="16" t="n"/>
      <c r="DT783" s="20" t="inlineStr">
        <is>
          <t>IC Organic Acids</t>
        </is>
      </c>
      <c r="DU783" s="20" t="inlineStr">
        <is>
          <t>None</t>
        </is>
      </c>
      <c r="DV783" s="17" t="n"/>
      <c r="DW783" s="16" t="n"/>
      <c r="DX783" s="20" t="inlineStr">
        <is>
          <t>IC Organic Acids</t>
        </is>
      </c>
      <c r="DY783" s="20" t="inlineStr">
        <is>
          <t>None</t>
        </is>
      </c>
      <c r="DZ783" s="17" t="n"/>
      <c r="EA783" s="16" t="n"/>
      <c r="EB783" s="20" t="inlineStr">
        <is>
          <t>IC Organic Acids</t>
        </is>
      </c>
      <c r="EC783" s="20" t="inlineStr">
        <is>
          <t>None</t>
        </is>
      </c>
      <c r="ED783" s="17" t="n"/>
      <c r="EE783" s="16" t="n"/>
      <c r="EF783" s="20" t="inlineStr">
        <is>
          <t>IC Organic Acids</t>
        </is>
      </c>
      <c r="EG783" s="20" t="inlineStr">
        <is>
          <t>None</t>
        </is>
      </c>
      <c r="EH783" s="17" t="n"/>
      <c r="EI783" s="16" t="n"/>
      <c r="EJ783" s="20" t="inlineStr">
        <is>
          <t>IC Organic Acids</t>
        </is>
      </c>
      <c r="EK783" s="20" t="inlineStr">
        <is>
          <t>None</t>
        </is>
      </c>
      <c r="EL783" s="17" t="n"/>
      <c r="EM783" s="16" t="n"/>
      <c r="EN783" s="20" t="inlineStr">
        <is>
          <t>IC Organic Acids</t>
        </is>
      </c>
      <c r="EO783" s="20" t="inlineStr">
        <is>
          <t>None</t>
        </is>
      </c>
      <c r="EP783" s="17" t="n"/>
      <c r="EQ783" s="16" t="n"/>
      <c r="ER783" s="20" t="inlineStr">
        <is>
          <t>IC Organic Acids</t>
        </is>
      </c>
      <c r="ES783" s="20" t="inlineStr">
        <is>
          <t>None</t>
        </is>
      </c>
      <c r="ET783" s="17" t="n"/>
      <c r="EU783" s="16" t="n"/>
      <c r="EV783" s="20" t="inlineStr">
        <is>
          <t>LC-MS</t>
        </is>
      </c>
      <c r="EW783" s="20" t="inlineStr">
        <is>
          <t>None</t>
        </is>
      </c>
      <c r="EX783" s="17" t="n"/>
      <c r="EY783" s="21" t="n"/>
      <c r="EZ783">
        <f>CONCATENATE(A783,B783)</f>
        <v/>
      </c>
      <c r="FA783">
        <f>CONCATENATE(SamplesX!A783,SamplesX!B783)</f>
        <v/>
      </c>
      <c r="FC783">
        <f>MATCH(EZ783,FA1:FA1008,0)</f>
        <v/>
      </c>
    </row>
    <row r="784">
      <c r="A784" s="16" t="n"/>
      <c r="B784" s="17" t="n"/>
      <c r="C784" s="10">
        <f>IF(ISNUMBER(FC784),INDIRECT("SamplesX!C"&amp;FC784),IF(ISNUMBER(FD784),INDIRECT("SamplesY!C"&amp;FD784),""))</f>
        <v/>
      </c>
      <c r="D784" s="12">
        <f>IF(ISNUMBER(FC784),INDIRECT("SamplesX!D"&amp;FC784),IF(ISNUMBER(FD784),INDIRECT("SamplesY!D"&amp;FD784),""))</f>
        <v/>
      </c>
      <c r="E784" s="12">
        <f>IF(ISNUMBER(FC784),INDIRECT("SamplesX!E"&amp;FC784),IF(ISNUMBER(FD784),INDIRECT("SamplesY!E"&amp;FD784),""))</f>
        <v/>
      </c>
      <c r="F784" s="11">
        <f>IF(ISNUMBER(FC784),INDIRECT("SamplesX!F"&amp;FC784),IF(ISNUMBER(FD784),INDIRECT("SamplesY!F"&amp;FD784),""))</f>
        <v/>
      </c>
      <c r="G784" s="18">
        <f>IF(ISNUMBER(FC784),INDIRECT("SamplesX!G"&amp;FC784),IF(ISNUMBER(FD784),INDIRECT("SamplesY!G"&amp;FD784),""))</f>
        <v/>
      </c>
      <c r="H784" s="19">
        <f>IF(ISNUMBER(FC784),INDIRECT("SamplesX!H"&amp;FC784),IF(ISNUMBER(FD784),INDIRECT("SamplesY!H"&amp;FD784),""))</f>
        <v/>
      </c>
      <c r="I784" s="16" t="n"/>
      <c r="J784" s="16" t="n"/>
      <c r="K784" s="16" t="n"/>
      <c r="L784" s="20" t="n"/>
      <c r="M784" s="20" t="inlineStr">
        <is>
          <t>None</t>
        </is>
      </c>
      <c r="N784" s="17" t="n"/>
      <c r="O784" s="16" t="n"/>
      <c r="P784" s="20" t="inlineStr">
        <is>
          <t>Shimadzu TOC-L</t>
        </is>
      </c>
      <c r="Q784" s="20" t="inlineStr">
        <is>
          <t>None</t>
        </is>
      </c>
      <c r="R784" s="17" t="n"/>
      <c r="S784" s="16" t="n"/>
      <c r="T784" s="20" t="inlineStr">
        <is>
          <t>Shimadzu TOC-L</t>
        </is>
      </c>
      <c r="U784" s="20" t="inlineStr">
        <is>
          <t>None</t>
        </is>
      </c>
      <c r="V784" s="17" t="n"/>
      <c r="W784" s="16" t="n"/>
      <c r="X784" s="20" t="n"/>
      <c r="Y784" s="20" t="inlineStr">
        <is>
          <t>None</t>
        </is>
      </c>
      <c r="Z784" s="17" t="n"/>
      <c r="AA784" s="16" t="n"/>
      <c r="AB784" s="20" t="n"/>
      <c r="AC784" s="20" t="inlineStr">
        <is>
          <t>None</t>
        </is>
      </c>
      <c r="AD784" s="17" t="n"/>
      <c r="AE784" s="16" t="n"/>
      <c r="AF784" s="20" t="inlineStr">
        <is>
          <t>IC Anionen</t>
        </is>
      </c>
      <c r="AG784" s="20" t="inlineStr">
        <is>
          <t>None</t>
        </is>
      </c>
      <c r="AH784" s="17" t="n"/>
      <c r="AI784" s="16" t="n"/>
      <c r="AJ784" s="20" t="n"/>
      <c r="AK784" s="20" t="inlineStr">
        <is>
          <t>None</t>
        </is>
      </c>
      <c r="AL784" s="17" t="n"/>
      <c r="AM784" s="16" t="n"/>
      <c r="AN784" s="20" t="inlineStr">
        <is>
          <t>IC Anionen</t>
        </is>
      </c>
      <c r="AO784" s="20" t="inlineStr">
        <is>
          <t>None</t>
        </is>
      </c>
      <c r="AP784" s="17" t="n"/>
      <c r="AQ784" s="16" t="n"/>
      <c r="AR784" s="20" t="n"/>
      <c r="AS784" s="20" t="inlineStr">
        <is>
          <t>None</t>
        </is>
      </c>
      <c r="AT784" s="17" t="n"/>
      <c r="AU784" s="16" t="n"/>
      <c r="AV784" s="20" t="n"/>
      <c r="AW784" s="20" t="inlineStr">
        <is>
          <t>None</t>
        </is>
      </c>
      <c r="AX784" s="17" t="n"/>
      <c r="AY784" s="16" t="n"/>
      <c r="AZ784" s="20" t="inlineStr">
        <is>
          <t>IC Anionen</t>
        </is>
      </c>
      <c r="BA784" s="20" t="inlineStr">
        <is>
          <t>None</t>
        </is>
      </c>
      <c r="BB784" s="17" t="n"/>
      <c r="BC784" s="16" t="n"/>
      <c r="BD784" s="20" t="inlineStr">
        <is>
          <t>IC Kationen</t>
        </is>
      </c>
      <c r="BE784" s="20" t="inlineStr">
        <is>
          <t>None</t>
        </is>
      </c>
      <c r="BF784" s="17" t="n"/>
      <c r="BG784" s="16" t="n"/>
      <c r="BH784" s="20" t="inlineStr">
        <is>
          <t>IC Kationen</t>
        </is>
      </c>
      <c r="BI784" s="20" t="inlineStr">
        <is>
          <t>None</t>
        </is>
      </c>
      <c r="BJ784" s="17" t="n"/>
      <c r="BK784" s="16" t="n"/>
      <c r="BL784" s="20" t="inlineStr">
        <is>
          <t>IC Kationen</t>
        </is>
      </c>
      <c r="BM784" s="20" t="inlineStr">
        <is>
          <t>None</t>
        </is>
      </c>
      <c r="BN784" s="17" t="n"/>
      <c r="BO784" s="16" t="n"/>
      <c r="BP784" s="20" t="inlineStr">
        <is>
          <t>IC Kationen</t>
        </is>
      </c>
      <c r="BQ784" s="20" t="inlineStr">
        <is>
          <t>None</t>
        </is>
      </c>
      <c r="BR784" s="17" t="n"/>
      <c r="BS784" s="16" t="n"/>
      <c r="BT784" s="20" t="inlineStr">
        <is>
          <t>IC Kationen</t>
        </is>
      </c>
      <c r="BU784" s="20" t="inlineStr">
        <is>
          <t>None</t>
        </is>
      </c>
      <c r="BV784" s="17" t="n"/>
      <c r="BW784" s="16" t="n"/>
      <c r="BX784" s="20" t="n"/>
      <c r="BY784" s="20" t="inlineStr">
        <is>
          <t>None</t>
        </is>
      </c>
      <c r="BZ784" s="17" t="n"/>
      <c r="CA784" s="16" t="n"/>
      <c r="CB784" s="20" t="n"/>
      <c r="CC784" s="20" t="inlineStr">
        <is>
          <t>None</t>
        </is>
      </c>
      <c r="CD784" s="17" t="n"/>
      <c r="CE784" s="16" t="n"/>
      <c r="CF784" s="20" t="n"/>
      <c r="CG784" s="20" t="inlineStr">
        <is>
          <t>None</t>
        </is>
      </c>
      <c r="CH784" s="17" t="n"/>
      <c r="CI784" s="16" t="n"/>
      <c r="CJ784" s="20" t="n"/>
      <c r="CK784" s="20" t="inlineStr">
        <is>
          <t>None</t>
        </is>
      </c>
      <c r="CL784" s="17" t="n"/>
      <c r="CM784" s="16" t="n"/>
      <c r="CN784" s="20" t="inlineStr">
        <is>
          <t>SOP 45-34</t>
        </is>
      </c>
      <c r="CO784" s="20" t="inlineStr">
        <is>
          <t>None</t>
        </is>
      </c>
      <c r="CP784" s="17" t="n"/>
      <c r="CQ784" s="16" t="n"/>
      <c r="CR784" s="20" t="n"/>
      <c r="CS784" s="20" t="inlineStr">
        <is>
          <t>None</t>
        </is>
      </c>
      <c r="CT784" s="17" t="n"/>
      <c r="CU784" s="16" t="n"/>
      <c r="CV784" s="20" t="n"/>
      <c r="CW784" s="20" t="inlineStr">
        <is>
          <t>None</t>
        </is>
      </c>
      <c r="CX784" s="17" t="n"/>
      <c r="CY784" s="16" t="n"/>
      <c r="CZ784" s="20" t="inlineStr">
        <is>
          <t>WTW Multimeter 3430 with FDO 925</t>
        </is>
      </c>
      <c r="DA784" s="20" t="inlineStr">
        <is>
          <t>None</t>
        </is>
      </c>
      <c r="DB784" s="17" t="n"/>
      <c r="DC784" s="16" t="n"/>
      <c r="DD784" s="20" t="n"/>
      <c r="DE784" s="20" t="inlineStr">
        <is>
          <t>None</t>
        </is>
      </c>
      <c r="DF784" s="17" t="n"/>
      <c r="DG784" s="16" t="n"/>
      <c r="DH784" s="20" t="inlineStr">
        <is>
          <t>SOP 45-09</t>
        </is>
      </c>
      <c r="DI784" s="20" t="inlineStr">
        <is>
          <t>None</t>
        </is>
      </c>
      <c r="DJ784" s="17" t="n"/>
      <c r="DK784" s="16" t="n"/>
      <c r="DL784" s="20" t="inlineStr">
        <is>
          <t>SOP 45-09 (SOP muss noch angepasst werden für VSS)</t>
        </is>
      </c>
      <c r="DM784" s="20" t="inlineStr">
        <is>
          <t>None</t>
        </is>
      </c>
      <c r="DN784" s="17" t="n"/>
      <c r="DO784" s="16" t="n"/>
      <c r="DP784" s="20" t="inlineStr">
        <is>
          <t>IC Organic Acids</t>
        </is>
      </c>
      <c r="DQ784" s="20" t="inlineStr">
        <is>
          <t>None</t>
        </is>
      </c>
      <c r="DR784" s="17" t="n"/>
      <c r="DS784" s="16" t="n"/>
      <c r="DT784" s="20" t="inlineStr">
        <is>
          <t>IC Organic Acids</t>
        </is>
      </c>
      <c r="DU784" s="20" t="inlineStr">
        <is>
          <t>None</t>
        </is>
      </c>
      <c r="DV784" s="17" t="n"/>
      <c r="DW784" s="16" t="n"/>
      <c r="DX784" s="20" t="inlineStr">
        <is>
          <t>IC Organic Acids</t>
        </is>
      </c>
      <c r="DY784" s="20" t="inlineStr">
        <is>
          <t>None</t>
        </is>
      </c>
      <c r="DZ784" s="17" t="n"/>
      <c r="EA784" s="16" t="n"/>
      <c r="EB784" s="20" t="inlineStr">
        <is>
          <t>IC Organic Acids</t>
        </is>
      </c>
      <c r="EC784" s="20" t="inlineStr">
        <is>
          <t>None</t>
        </is>
      </c>
      <c r="ED784" s="17" t="n"/>
      <c r="EE784" s="16" t="n"/>
      <c r="EF784" s="20" t="inlineStr">
        <is>
          <t>IC Organic Acids</t>
        </is>
      </c>
      <c r="EG784" s="20" t="inlineStr">
        <is>
          <t>None</t>
        </is>
      </c>
      <c r="EH784" s="17" t="n"/>
      <c r="EI784" s="16" t="n"/>
      <c r="EJ784" s="20" t="inlineStr">
        <is>
          <t>IC Organic Acids</t>
        </is>
      </c>
      <c r="EK784" s="20" t="inlineStr">
        <is>
          <t>None</t>
        </is>
      </c>
      <c r="EL784" s="17" t="n"/>
      <c r="EM784" s="16" t="n"/>
      <c r="EN784" s="20" t="inlineStr">
        <is>
          <t>IC Organic Acids</t>
        </is>
      </c>
      <c r="EO784" s="20" t="inlineStr">
        <is>
          <t>None</t>
        </is>
      </c>
      <c r="EP784" s="17" t="n"/>
      <c r="EQ784" s="16" t="n"/>
      <c r="ER784" s="20" t="inlineStr">
        <is>
          <t>IC Organic Acids</t>
        </is>
      </c>
      <c r="ES784" s="20" t="inlineStr">
        <is>
          <t>None</t>
        </is>
      </c>
      <c r="ET784" s="17" t="n"/>
      <c r="EU784" s="16" t="n"/>
      <c r="EV784" s="20" t="inlineStr">
        <is>
          <t>LC-MS</t>
        </is>
      </c>
      <c r="EW784" s="20" t="inlineStr">
        <is>
          <t>None</t>
        </is>
      </c>
      <c r="EX784" s="17" t="n"/>
      <c r="EY784" s="21" t="n"/>
      <c r="EZ784">
        <f>CONCATENATE(A784,B784)</f>
        <v/>
      </c>
      <c r="FA784">
        <f>CONCATENATE(SamplesX!A784,SamplesX!B784)</f>
        <v/>
      </c>
      <c r="FC784">
        <f>MATCH(EZ784,FA1:FA1008,0)</f>
        <v/>
      </c>
    </row>
    <row r="785">
      <c r="A785" s="16" t="n"/>
      <c r="B785" s="17" t="n"/>
      <c r="C785" s="10">
        <f>IF(ISNUMBER(FC785),INDIRECT("SamplesX!C"&amp;FC785),IF(ISNUMBER(FD785),INDIRECT("SamplesY!C"&amp;FD785),""))</f>
        <v/>
      </c>
      <c r="D785" s="12">
        <f>IF(ISNUMBER(FC785),INDIRECT("SamplesX!D"&amp;FC785),IF(ISNUMBER(FD785),INDIRECT("SamplesY!D"&amp;FD785),""))</f>
        <v/>
      </c>
      <c r="E785" s="12">
        <f>IF(ISNUMBER(FC785),INDIRECT("SamplesX!E"&amp;FC785),IF(ISNUMBER(FD785),INDIRECT("SamplesY!E"&amp;FD785),""))</f>
        <v/>
      </c>
      <c r="F785" s="11">
        <f>IF(ISNUMBER(FC785),INDIRECT("SamplesX!F"&amp;FC785),IF(ISNUMBER(FD785),INDIRECT("SamplesY!F"&amp;FD785),""))</f>
        <v/>
      </c>
      <c r="G785" s="18">
        <f>IF(ISNUMBER(FC785),INDIRECT("SamplesX!G"&amp;FC785),IF(ISNUMBER(FD785),INDIRECT("SamplesY!G"&amp;FD785),""))</f>
        <v/>
      </c>
      <c r="H785" s="19">
        <f>IF(ISNUMBER(FC785),INDIRECT("SamplesX!H"&amp;FC785),IF(ISNUMBER(FD785),INDIRECT("SamplesY!H"&amp;FD785),""))</f>
        <v/>
      </c>
      <c r="I785" s="16" t="n"/>
      <c r="J785" s="16" t="n"/>
      <c r="K785" s="16" t="n"/>
      <c r="L785" s="20" t="n"/>
      <c r="M785" s="20" t="inlineStr">
        <is>
          <t>None</t>
        </is>
      </c>
      <c r="N785" s="17" t="n"/>
      <c r="O785" s="16" t="n"/>
      <c r="P785" s="20" t="inlineStr">
        <is>
          <t>Shimadzu TOC-L</t>
        </is>
      </c>
      <c r="Q785" s="20" t="inlineStr">
        <is>
          <t>None</t>
        </is>
      </c>
      <c r="R785" s="17" t="n"/>
      <c r="S785" s="16" t="n"/>
      <c r="T785" s="20" t="inlineStr">
        <is>
          <t>Shimadzu TOC-L</t>
        </is>
      </c>
      <c r="U785" s="20" t="inlineStr">
        <is>
          <t>None</t>
        </is>
      </c>
      <c r="V785" s="17" t="n"/>
      <c r="W785" s="16" t="n"/>
      <c r="X785" s="20" t="n"/>
      <c r="Y785" s="20" t="inlineStr">
        <is>
          <t>None</t>
        </is>
      </c>
      <c r="Z785" s="17" t="n"/>
      <c r="AA785" s="16" t="n"/>
      <c r="AB785" s="20" t="n"/>
      <c r="AC785" s="20" t="inlineStr">
        <is>
          <t>None</t>
        </is>
      </c>
      <c r="AD785" s="17" t="n"/>
      <c r="AE785" s="16" t="n"/>
      <c r="AF785" s="20" t="inlineStr">
        <is>
          <t>IC Anionen</t>
        </is>
      </c>
      <c r="AG785" s="20" t="inlineStr">
        <is>
          <t>None</t>
        </is>
      </c>
      <c r="AH785" s="17" t="n"/>
      <c r="AI785" s="16" t="n"/>
      <c r="AJ785" s="20" t="n"/>
      <c r="AK785" s="20" t="inlineStr">
        <is>
          <t>None</t>
        </is>
      </c>
      <c r="AL785" s="17" t="n"/>
      <c r="AM785" s="16" t="n"/>
      <c r="AN785" s="20" t="inlineStr">
        <is>
          <t>IC Anionen</t>
        </is>
      </c>
      <c r="AO785" s="20" t="inlineStr">
        <is>
          <t>None</t>
        </is>
      </c>
      <c r="AP785" s="17" t="n"/>
      <c r="AQ785" s="16" t="n"/>
      <c r="AR785" s="20" t="n"/>
      <c r="AS785" s="20" t="inlineStr">
        <is>
          <t>None</t>
        </is>
      </c>
      <c r="AT785" s="17" t="n"/>
      <c r="AU785" s="16" t="n"/>
      <c r="AV785" s="20" t="n"/>
      <c r="AW785" s="20" t="inlineStr">
        <is>
          <t>None</t>
        </is>
      </c>
      <c r="AX785" s="17" t="n"/>
      <c r="AY785" s="16" t="n"/>
      <c r="AZ785" s="20" t="inlineStr">
        <is>
          <t>IC Anionen</t>
        </is>
      </c>
      <c r="BA785" s="20" t="inlineStr">
        <is>
          <t>None</t>
        </is>
      </c>
      <c r="BB785" s="17" t="n"/>
      <c r="BC785" s="16" t="n"/>
      <c r="BD785" s="20" t="inlineStr">
        <is>
          <t>IC Kationen</t>
        </is>
      </c>
      <c r="BE785" s="20" t="inlineStr">
        <is>
          <t>None</t>
        </is>
      </c>
      <c r="BF785" s="17" t="n"/>
      <c r="BG785" s="16" t="n"/>
      <c r="BH785" s="20" t="inlineStr">
        <is>
          <t>IC Kationen</t>
        </is>
      </c>
      <c r="BI785" s="20" t="inlineStr">
        <is>
          <t>None</t>
        </is>
      </c>
      <c r="BJ785" s="17" t="n"/>
      <c r="BK785" s="16" t="n"/>
      <c r="BL785" s="20" t="inlineStr">
        <is>
          <t>IC Kationen</t>
        </is>
      </c>
      <c r="BM785" s="20" t="inlineStr">
        <is>
          <t>None</t>
        </is>
      </c>
      <c r="BN785" s="17" t="n"/>
      <c r="BO785" s="16" t="n"/>
      <c r="BP785" s="20" t="inlineStr">
        <is>
          <t>IC Kationen</t>
        </is>
      </c>
      <c r="BQ785" s="20" t="inlineStr">
        <is>
          <t>None</t>
        </is>
      </c>
      <c r="BR785" s="17" t="n"/>
      <c r="BS785" s="16" t="n"/>
      <c r="BT785" s="20" t="inlineStr">
        <is>
          <t>IC Kationen</t>
        </is>
      </c>
      <c r="BU785" s="20" t="inlineStr">
        <is>
          <t>None</t>
        </is>
      </c>
      <c r="BV785" s="17" t="n"/>
      <c r="BW785" s="16" t="n"/>
      <c r="BX785" s="20" t="n"/>
      <c r="BY785" s="20" t="inlineStr">
        <is>
          <t>None</t>
        </is>
      </c>
      <c r="BZ785" s="17" t="n"/>
      <c r="CA785" s="16" t="n"/>
      <c r="CB785" s="20" t="n"/>
      <c r="CC785" s="20" t="inlineStr">
        <is>
          <t>None</t>
        </is>
      </c>
      <c r="CD785" s="17" t="n"/>
      <c r="CE785" s="16" t="n"/>
      <c r="CF785" s="20" t="n"/>
      <c r="CG785" s="20" t="inlineStr">
        <is>
          <t>None</t>
        </is>
      </c>
      <c r="CH785" s="17" t="n"/>
      <c r="CI785" s="16" t="n"/>
      <c r="CJ785" s="20" t="n"/>
      <c r="CK785" s="20" t="inlineStr">
        <is>
          <t>None</t>
        </is>
      </c>
      <c r="CL785" s="17" t="n"/>
      <c r="CM785" s="16" t="n"/>
      <c r="CN785" s="20" t="inlineStr">
        <is>
          <t>SOP 45-34</t>
        </is>
      </c>
      <c r="CO785" s="20" t="inlineStr">
        <is>
          <t>None</t>
        </is>
      </c>
      <c r="CP785" s="17" t="n"/>
      <c r="CQ785" s="16" t="n"/>
      <c r="CR785" s="20" t="n"/>
      <c r="CS785" s="20" t="inlineStr">
        <is>
          <t>None</t>
        </is>
      </c>
      <c r="CT785" s="17" t="n"/>
      <c r="CU785" s="16" t="n"/>
      <c r="CV785" s="20" t="n"/>
      <c r="CW785" s="20" t="inlineStr">
        <is>
          <t>None</t>
        </is>
      </c>
      <c r="CX785" s="17" t="n"/>
      <c r="CY785" s="16" t="n"/>
      <c r="CZ785" s="20" t="inlineStr">
        <is>
          <t>WTW Multimeter 3430 with FDO 925</t>
        </is>
      </c>
      <c r="DA785" s="20" t="inlineStr">
        <is>
          <t>None</t>
        </is>
      </c>
      <c r="DB785" s="17" t="n"/>
      <c r="DC785" s="16" t="n"/>
      <c r="DD785" s="20" t="n"/>
      <c r="DE785" s="20" t="inlineStr">
        <is>
          <t>None</t>
        </is>
      </c>
      <c r="DF785" s="17" t="n"/>
      <c r="DG785" s="16" t="n"/>
      <c r="DH785" s="20" t="inlineStr">
        <is>
          <t>SOP 45-09</t>
        </is>
      </c>
      <c r="DI785" s="20" t="inlineStr">
        <is>
          <t>None</t>
        </is>
      </c>
      <c r="DJ785" s="17" t="n"/>
      <c r="DK785" s="16" t="n"/>
      <c r="DL785" s="20" t="inlineStr">
        <is>
          <t>SOP 45-09 (SOP muss noch angepasst werden für VSS)</t>
        </is>
      </c>
      <c r="DM785" s="20" t="inlineStr">
        <is>
          <t>None</t>
        </is>
      </c>
      <c r="DN785" s="17" t="n"/>
      <c r="DO785" s="16" t="n"/>
      <c r="DP785" s="20" t="inlineStr">
        <is>
          <t>IC Organic Acids</t>
        </is>
      </c>
      <c r="DQ785" s="20" t="inlineStr">
        <is>
          <t>None</t>
        </is>
      </c>
      <c r="DR785" s="17" t="n"/>
      <c r="DS785" s="16" t="n"/>
      <c r="DT785" s="20" t="inlineStr">
        <is>
          <t>IC Organic Acids</t>
        </is>
      </c>
      <c r="DU785" s="20" t="inlineStr">
        <is>
          <t>None</t>
        </is>
      </c>
      <c r="DV785" s="17" t="n"/>
      <c r="DW785" s="16" t="n"/>
      <c r="DX785" s="20" t="inlineStr">
        <is>
          <t>IC Organic Acids</t>
        </is>
      </c>
      <c r="DY785" s="20" t="inlineStr">
        <is>
          <t>None</t>
        </is>
      </c>
      <c r="DZ785" s="17" t="n"/>
      <c r="EA785" s="16" t="n"/>
      <c r="EB785" s="20" t="inlineStr">
        <is>
          <t>IC Organic Acids</t>
        </is>
      </c>
      <c r="EC785" s="20" t="inlineStr">
        <is>
          <t>None</t>
        </is>
      </c>
      <c r="ED785" s="17" t="n"/>
      <c r="EE785" s="16" t="n"/>
      <c r="EF785" s="20" t="inlineStr">
        <is>
          <t>IC Organic Acids</t>
        </is>
      </c>
      <c r="EG785" s="20" t="inlineStr">
        <is>
          <t>None</t>
        </is>
      </c>
      <c r="EH785" s="17" t="n"/>
      <c r="EI785" s="16" t="n"/>
      <c r="EJ785" s="20" t="inlineStr">
        <is>
          <t>IC Organic Acids</t>
        </is>
      </c>
      <c r="EK785" s="20" t="inlineStr">
        <is>
          <t>None</t>
        </is>
      </c>
      <c r="EL785" s="17" t="n"/>
      <c r="EM785" s="16" t="n"/>
      <c r="EN785" s="20" t="inlineStr">
        <is>
          <t>IC Organic Acids</t>
        </is>
      </c>
      <c r="EO785" s="20" t="inlineStr">
        <is>
          <t>None</t>
        </is>
      </c>
      <c r="EP785" s="17" t="n"/>
      <c r="EQ785" s="16" t="n"/>
      <c r="ER785" s="20" t="inlineStr">
        <is>
          <t>IC Organic Acids</t>
        </is>
      </c>
      <c r="ES785" s="20" t="inlineStr">
        <is>
          <t>None</t>
        </is>
      </c>
      <c r="ET785" s="17" t="n"/>
      <c r="EU785" s="16" t="n"/>
      <c r="EV785" s="20" t="inlineStr">
        <is>
          <t>LC-MS</t>
        </is>
      </c>
      <c r="EW785" s="20" t="inlineStr">
        <is>
          <t>None</t>
        </is>
      </c>
      <c r="EX785" s="17" t="n"/>
      <c r="EY785" s="21" t="n"/>
      <c r="EZ785">
        <f>CONCATENATE(A785,B785)</f>
        <v/>
      </c>
      <c r="FA785">
        <f>CONCATENATE(SamplesX!A785,SamplesX!B785)</f>
        <v/>
      </c>
      <c r="FC785">
        <f>MATCH(EZ785,FA1:FA1008,0)</f>
        <v/>
      </c>
    </row>
    <row r="786">
      <c r="A786" s="16" t="n"/>
      <c r="B786" s="17" t="n"/>
      <c r="C786" s="10">
        <f>IF(ISNUMBER(FC786),INDIRECT("SamplesX!C"&amp;FC786),IF(ISNUMBER(FD786),INDIRECT("SamplesY!C"&amp;FD786),""))</f>
        <v/>
      </c>
      <c r="D786" s="12">
        <f>IF(ISNUMBER(FC786),INDIRECT("SamplesX!D"&amp;FC786),IF(ISNUMBER(FD786),INDIRECT("SamplesY!D"&amp;FD786),""))</f>
        <v/>
      </c>
      <c r="E786" s="12">
        <f>IF(ISNUMBER(FC786),INDIRECT("SamplesX!E"&amp;FC786),IF(ISNUMBER(FD786),INDIRECT("SamplesY!E"&amp;FD786),""))</f>
        <v/>
      </c>
      <c r="F786" s="11">
        <f>IF(ISNUMBER(FC786),INDIRECT("SamplesX!F"&amp;FC786),IF(ISNUMBER(FD786),INDIRECT("SamplesY!F"&amp;FD786),""))</f>
        <v/>
      </c>
      <c r="G786" s="18">
        <f>IF(ISNUMBER(FC786),INDIRECT("SamplesX!G"&amp;FC786),IF(ISNUMBER(FD786),INDIRECT("SamplesY!G"&amp;FD786),""))</f>
        <v/>
      </c>
      <c r="H786" s="19">
        <f>IF(ISNUMBER(FC786),INDIRECT("SamplesX!H"&amp;FC786),IF(ISNUMBER(FD786),INDIRECT("SamplesY!H"&amp;FD786),""))</f>
        <v/>
      </c>
      <c r="I786" s="16" t="n"/>
      <c r="J786" s="16" t="n"/>
      <c r="K786" s="16" t="n"/>
      <c r="L786" s="20" t="n"/>
      <c r="M786" s="20" t="inlineStr">
        <is>
          <t>None</t>
        </is>
      </c>
      <c r="N786" s="17" t="n"/>
      <c r="O786" s="16" t="n"/>
      <c r="P786" s="20" t="inlineStr">
        <is>
          <t>Shimadzu TOC-L</t>
        </is>
      </c>
      <c r="Q786" s="20" t="inlineStr">
        <is>
          <t>None</t>
        </is>
      </c>
      <c r="R786" s="17" t="n"/>
      <c r="S786" s="16" t="n"/>
      <c r="T786" s="20" t="inlineStr">
        <is>
          <t>Shimadzu TOC-L</t>
        </is>
      </c>
      <c r="U786" s="20" t="inlineStr">
        <is>
          <t>None</t>
        </is>
      </c>
      <c r="V786" s="17" t="n"/>
      <c r="W786" s="16" t="n"/>
      <c r="X786" s="20" t="n"/>
      <c r="Y786" s="20" t="inlineStr">
        <is>
          <t>None</t>
        </is>
      </c>
      <c r="Z786" s="17" t="n"/>
      <c r="AA786" s="16" t="n"/>
      <c r="AB786" s="20" t="n"/>
      <c r="AC786" s="20" t="inlineStr">
        <is>
          <t>None</t>
        </is>
      </c>
      <c r="AD786" s="17" t="n"/>
      <c r="AE786" s="16" t="n"/>
      <c r="AF786" s="20" t="inlineStr">
        <is>
          <t>IC Anionen</t>
        </is>
      </c>
      <c r="AG786" s="20" t="inlineStr">
        <is>
          <t>None</t>
        </is>
      </c>
      <c r="AH786" s="17" t="n"/>
      <c r="AI786" s="16" t="n"/>
      <c r="AJ786" s="20" t="n"/>
      <c r="AK786" s="20" t="inlineStr">
        <is>
          <t>None</t>
        </is>
      </c>
      <c r="AL786" s="17" t="n"/>
      <c r="AM786" s="16" t="n"/>
      <c r="AN786" s="20" t="inlineStr">
        <is>
          <t>IC Anionen</t>
        </is>
      </c>
      <c r="AO786" s="20" t="inlineStr">
        <is>
          <t>None</t>
        </is>
      </c>
      <c r="AP786" s="17" t="n"/>
      <c r="AQ786" s="16" t="n"/>
      <c r="AR786" s="20" t="n"/>
      <c r="AS786" s="20" t="inlineStr">
        <is>
          <t>None</t>
        </is>
      </c>
      <c r="AT786" s="17" t="n"/>
      <c r="AU786" s="16" t="n"/>
      <c r="AV786" s="20" t="n"/>
      <c r="AW786" s="20" t="inlineStr">
        <is>
          <t>None</t>
        </is>
      </c>
      <c r="AX786" s="17" t="n"/>
      <c r="AY786" s="16" t="n"/>
      <c r="AZ786" s="20" t="inlineStr">
        <is>
          <t>IC Anionen</t>
        </is>
      </c>
      <c r="BA786" s="20" t="inlineStr">
        <is>
          <t>None</t>
        </is>
      </c>
      <c r="BB786" s="17" t="n"/>
      <c r="BC786" s="16" t="n"/>
      <c r="BD786" s="20" t="inlineStr">
        <is>
          <t>IC Kationen</t>
        </is>
      </c>
      <c r="BE786" s="20" t="inlineStr">
        <is>
          <t>None</t>
        </is>
      </c>
      <c r="BF786" s="17" t="n"/>
      <c r="BG786" s="16" t="n"/>
      <c r="BH786" s="20" t="inlineStr">
        <is>
          <t>IC Kationen</t>
        </is>
      </c>
      <c r="BI786" s="20" t="inlineStr">
        <is>
          <t>None</t>
        </is>
      </c>
      <c r="BJ786" s="17" t="n"/>
      <c r="BK786" s="16" t="n"/>
      <c r="BL786" s="20" t="inlineStr">
        <is>
          <t>IC Kationen</t>
        </is>
      </c>
      <c r="BM786" s="20" t="inlineStr">
        <is>
          <t>None</t>
        </is>
      </c>
      <c r="BN786" s="17" t="n"/>
      <c r="BO786" s="16" t="n"/>
      <c r="BP786" s="20" t="inlineStr">
        <is>
          <t>IC Kationen</t>
        </is>
      </c>
      <c r="BQ786" s="20" t="inlineStr">
        <is>
          <t>None</t>
        </is>
      </c>
      <c r="BR786" s="17" t="n"/>
      <c r="BS786" s="16" t="n"/>
      <c r="BT786" s="20" t="inlineStr">
        <is>
          <t>IC Kationen</t>
        </is>
      </c>
      <c r="BU786" s="20" t="inlineStr">
        <is>
          <t>None</t>
        </is>
      </c>
      <c r="BV786" s="17" t="n"/>
      <c r="BW786" s="16" t="n"/>
      <c r="BX786" s="20" t="n"/>
      <c r="BY786" s="20" t="inlineStr">
        <is>
          <t>None</t>
        </is>
      </c>
      <c r="BZ786" s="17" t="n"/>
      <c r="CA786" s="16" t="n"/>
      <c r="CB786" s="20" t="n"/>
      <c r="CC786" s="20" t="inlineStr">
        <is>
          <t>None</t>
        </is>
      </c>
      <c r="CD786" s="17" t="n"/>
      <c r="CE786" s="16" t="n"/>
      <c r="CF786" s="20" t="n"/>
      <c r="CG786" s="20" t="inlineStr">
        <is>
          <t>None</t>
        </is>
      </c>
      <c r="CH786" s="17" t="n"/>
      <c r="CI786" s="16" t="n"/>
      <c r="CJ786" s="20" t="n"/>
      <c r="CK786" s="20" t="inlineStr">
        <is>
          <t>None</t>
        </is>
      </c>
      <c r="CL786" s="17" t="n"/>
      <c r="CM786" s="16" t="n"/>
      <c r="CN786" s="20" t="inlineStr">
        <is>
          <t>SOP 45-34</t>
        </is>
      </c>
      <c r="CO786" s="20" t="inlineStr">
        <is>
          <t>None</t>
        </is>
      </c>
      <c r="CP786" s="17" t="n"/>
      <c r="CQ786" s="16" t="n"/>
      <c r="CR786" s="20" t="n"/>
      <c r="CS786" s="20" t="inlineStr">
        <is>
          <t>None</t>
        </is>
      </c>
      <c r="CT786" s="17" t="n"/>
      <c r="CU786" s="16" t="n"/>
      <c r="CV786" s="20" t="n"/>
      <c r="CW786" s="20" t="inlineStr">
        <is>
          <t>None</t>
        </is>
      </c>
      <c r="CX786" s="17" t="n"/>
      <c r="CY786" s="16" t="n"/>
      <c r="CZ786" s="20" t="inlineStr">
        <is>
          <t>WTW Multimeter 3430 with FDO 925</t>
        </is>
      </c>
      <c r="DA786" s="20" t="inlineStr">
        <is>
          <t>None</t>
        </is>
      </c>
      <c r="DB786" s="17" t="n"/>
      <c r="DC786" s="16" t="n"/>
      <c r="DD786" s="20" t="n"/>
      <c r="DE786" s="20" t="inlineStr">
        <is>
          <t>None</t>
        </is>
      </c>
      <c r="DF786" s="17" t="n"/>
      <c r="DG786" s="16" t="n"/>
      <c r="DH786" s="20" t="inlineStr">
        <is>
          <t>SOP 45-09</t>
        </is>
      </c>
      <c r="DI786" s="20" t="inlineStr">
        <is>
          <t>None</t>
        </is>
      </c>
      <c r="DJ786" s="17" t="n"/>
      <c r="DK786" s="16" t="n"/>
      <c r="DL786" s="20" t="inlineStr">
        <is>
          <t>SOP 45-09 (SOP muss noch angepasst werden für VSS)</t>
        </is>
      </c>
      <c r="DM786" s="20" t="inlineStr">
        <is>
          <t>None</t>
        </is>
      </c>
      <c r="DN786" s="17" t="n"/>
      <c r="DO786" s="16" t="n"/>
      <c r="DP786" s="20" t="inlineStr">
        <is>
          <t>IC Organic Acids</t>
        </is>
      </c>
      <c r="DQ786" s="20" t="inlineStr">
        <is>
          <t>None</t>
        </is>
      </c>
      <c r="DR786" s="17" t="n"/>
      <c r="DS786" s="16" t="n"/>
      <c r="DT786" s="20" t="inlineStr">
        <is>
          <t>IC Organic Acids</t>
        </is>
      </c>
      <c r="DU786" s="20" t="inlineStr">
        <is>
          <t>None</t>
        </is>
      </c>
      <c r="DV786" s="17" t="n"/>
      <c r="DW786" s="16" t="n"/>
      <c r="DX786" s="20" t="inlineStr">
        <is>
          <t>IC Organic Acids</t>
        </is>
      </c>
      <c r="DY786" s="20" t="inlineStr">
        <is>
          <t>None</t>
        </is>
      </c>
      <c r="DZ786" s="17" t="n"/>
      <c r="EA786" s="16" t="n"/>
      <c r="EB786" s="20" t="inlineStr">
        <is>
          <t>IC Organic Acids</t>
        </is>
      </c>
      <c r="EC786" s="20" t="inlineStr">
        <is>
          <t>None</t>
        </is>
      </c>
      <c r="ED786" s="17" t="n"/>
      <c r="EE786" s="16" t="n"/>
      <c r="EF786" s="20" t="inlineStr">
        <is>
          <t>IC Organic Acids</t>
        </is>
      </c>
      <c r="EG786" s="20" t="inlineStr">
        <is>
          <t>None</t>
        </is>
      </c>
      <c r="EH786" s="17" t="n"/>
      <c r="EI786" s="16" t="n"/>
      <c r="EJ786" s="20" t="inlineStr">
        <is>
          <t>IC Organic Acids</t>
        </is>
      </c>
      <c r="EK786" s="20" t="inlineStr">
        <is>
          <t>None</t>
        </is>
      </c>
      <c r="EL786" s="17" t="n"/>
      <c r="EM786" s="16" t="n"/>
      <c r="EN786" s="20" t="inlineStr">
        <is>
          <t>IC Organic Acids</t>
        </is>
      </c>
      <c r="EO786" s="20" t="inlineStr">
        <is>
          <t>None</t>
        </is>
      </c>
      <c r="EP786" s="17" t="n"/>
      <c r="EQ786" s="16" t="n"/>
      <c r="ER786" s="20" t="inlineStr">
        <is>
          <t>IC Organic Acids</t>
        </is>
      </c>
      <c r="ES786" s="20" t="inlineStr">
        <is>
          <t>None</t>
        </is>
      </c>
      <c r="ET786" s="17" t="n"/>
      <c r="EU786" s="16" t="n"/>
      <c r="EV786" s="20" t="inlineStr">
        <is>
          <t>LC-MS</t>
        </is>
      </c>
      <c r="EW786" s="20" t="inlineStr">
        <is>
          <t>None</t>
        </is>
      </c>
      <c r="EX786" s="17" t="n"/>
      <c r="EY786" s="21" t="n"/>
      <c r="EZ786">
        <f>CONCATENATE(A786,B786)</f>
        <v/>
      </c>
      <c r="FA786">
        <f>CONCATENATE(SamplesX!A786,SamplesX!B786)</f>
        <v/>
      </c>
      <c r="FC786">
        <f>MATCH(EZ786,FA1:FA1008,0)</f>
        <v/>
      </c>
    </row>
    <row r="787">
      <c r="A787" s="16" t="n"/>
      <c r="B787" s="17" t="n"/>
      <c r="C787" s="10">
        <f>IF(ISNUMBER(FC787),INDIRECT("SamplesX!C"&amp;FC787),IF(ISNUMBER(FD787),INDIRECT("SamplesY!C"&amp;FD787),""))</f>
        <v/>
      </c>
      <c r="D787" s="12">
        <f>IF(ISNUMBER(FC787),INDIRECT("SamplesX!D"&amp;FC787),IF(ISNUMBER(FD787),INDIRECT("SamplesY!D"&amp;FD787),""))</f>
        <v/>
      </c>
      <c r="E787" s="12">
        <f>IF(ISNUMBER(FC787),INDIRECT("SamplesX!E"&amp;FC787),IF(ISNUMBER(FD787),INDIRECT("SamplesY!E"&amp;FD787),""))</f>
        <v/>
      </c>
      <c r="F787" s="11">
        <f>IF(ISNUMBER(FC787),INDIRECT("SamplesX!F"&amp;FC787),IF(ISNUMBER(FD787),INDIRECT("SamplesY!F"&amp;FD787),""))</f>
        <v/>
      </c>
      <c r="G787" s="18">
        <f>IF(ISNUMBER(FC787),INDIRECT("SamplesX!G"&amp;FC787),IF(ISNUMBER(FD787),INDIRECT("SamplesY!G"&amp;FD787),""))</f>
        <v/>
      </c>
      <c r="H787" s="19">
        <f>IF(ISNUMBER(FC787),INDIRECT("SamplesX!H"&amp;FC787),IF(ISNUMBER(FD787),INDIRECT("SamplesY!H"&amp;FD787),""))</f>
        <v/>
      </c>
      <c r="I787" s="16" t="n"/>
      <c r="J787" s="16" t="n"/>
      <c r="K787" s="16" t="n"/>
      <c r="L787" s="20" t="n"/>
      <c r="M787" s="20" t="inlineStr">
        <is>
          <t>None</t>
        </is>
      </c>
      <c r="N787" s="17" t="n"/>
      <c r="O787" s="16" t="n"/>
      <c r="P787" s="20" t="inlineStr">
        <is>
          <t>Shimadzu TOC-L</t>
        </is>
      </c>
      <c r="Q787" s="20" t="inlineStr">
        <is>
          <t>None</t>
        </is>
      </c>
      <c r="R787" s="17" t="n"/>
      <c r="S787" s="16" t="n"/>
      <c r="T787" s="20" t="inlineStr">
        <is>
          <t>Shimadzu TOC-L</t>
        </is>
      </c>
      <c r="U787" s="20" t="inlineStr">
        <is>
          <t>None</t>
        </is>
      </c>
      <c r="V787" s="17" t="n"/>
      <c r="W787" s="16" t="n"/>
      <c r="X787" s="20" t="n"/>
      <c r="Y787" s="20" t="inlineStr">
        <is>
          <t>None</t>
        </is>
      </c>
      <c r="Z787" s="17" t="n"/>
      <c r="AA787" s="16" t="n"/>
      <c r="AB787" s="20" t="n"/>
      <c r="AC787" s="20" t="inlineStr">
        <is>
          <t>None</t>
        </is>
      </c>
      <c r="AD787" s="17" t="n"/>
      <c r="AE787" s="16" t="n"/>
      <c r="AF787" s="20" t="inlineStr">
        <is>
          <t>IC Anionen</t>
        </is>
      </c>
      <c r="AG787" s="20" t="inlineStr">
        <is>
          <t>None</t>
        </is>
      </c>
      <c r="AH787" s="17" t="n"/>
      <c r="AI787" s="16" t="n"/>
      <c r="AJ787" s="20" t="n"/>
      <c r="AK787" s="20" t="inlineStr">
        <is>
          <t>None</t>
        </is>
      </c>
      <c r="AL787" s="17" t="n"/>
      <c r="AM787" s="16" t="n"/>
      <c r="AN787" s="20" t="inlineStr">
        <is>
          <t>IC Anionen</t>
        </is>
      </c>
      <c r="AO787" s="20" t="inlineStr">
        <is>
          <t>None</t>
        </is>
      </c>
      <c r="AP787" s="17" t="n"/>
      <c r="AQ787" s="16" t="n"/>
      <c r="AR787" s="20" t="n"/>
      <c r="AS787" s="20" t="inlineStr">
        <is>
          <t>None</t>
        </is>
      </c>
      <c r="AT787" s="17" t="n"/>
      <c r="AU787" s="16" t="n"/>
      <c r="AV787" s="20" t="n"/>
      <c r="AW787" s="20" t="inlineStr">
        <is>
          <t>None</t>
        </is>
      </c>
      <c r="AX787" s="17" t="n"/>
      <c r="AY787" s="16" t="n"/>
      <c r="AZ787" s="20" t="inlineStr">
        <is>
          <t>IC Anionen</t>
        </is>
      </c>
      <c r="BA787" s="20" t="inlineStr">
        <is>
          <t>None</t>
        </is>
      </c>
      <c r="BB787" s="17" t="n"/>
      <c r="BC787" s="16" t="n"/>
      <c r="BD787" s="20" t="inlineStr">
        <is>
          <t>IC Kationen</t>
        </is>
      </c>
      <c r="BE787" s="20" t="inlineStr">
        <is>
          <t>None</t>
        </is>
      </c>
      <c r="BF787" s="17" t="n"/>
      <c r="BG787" s="16" t="n"/>
      <c r="BH787" s="20" t="inlineStr">
        <is>
          <t>IC Kationen</t>
        </is>
      </c>
      <c r="BI787" s="20" t="inlineStr">
        <is>
          <t>None</t>
        </is>
      </c>
      <c r="BJ787" s="17" t="n"/>
      <c r="BK787" s="16" t="n"/>
      <c r="BL787" s="20" t="inlineStr">
        <is>
          <t>IC Kationen</t>
        </is>
      </c>
      <c r="BM787" s="20" t="inlineStr">
        <is>
          <t>None</t>
        </is>
      </c>
      <c r="BN787" s="17" t="n"/>
      <c r="BO787" s="16" t="n"/>
      <c r="BP787" s="20" t="inlineStr">
        <is>
          <t>IC Kationen</t>
        </is>
      </c>
      <c r="BQ787" s="20" t="inlineStr">
        <is>
          <t>None</t>
        </is>
      </c>
      <c r="BR787" s="17" t="n"/>
      <c r="BS787" s="16" t="n"/>
      <c r="BT787" s="20" t="inlineStr">
        <is>
          <t>IC Kationen</t>
        </is>
      </c>
      <c r="BU787" s="20" t="inlineStr">
        <is>
          <t>None</t>
        </is>
      </c>
      <c r="BV787" s="17" t="n"/>
      <c r="BW787" s="16" t="n"/>
      <c r="BX787" s="20" t="n"/>
      <c r="BY787" s="20" t="inlineStr">
        <is>
          <t>None</t>
        </is>
      </c>
      <c r="BZ787" s="17" t="n"/>
      <c r="CA787" s="16" t="n"/>
      <c r="CB787" s="20" t="n"/>
      <c r="CC787" s="20" t="inlineStr">
        <is>
          <t>None</t>
        </is>
      </c>
      <c r="CD787" s="17" t="n"/>
      <c r="CE787" s="16" t="n"/>
      <c r="CF787" s="20" t="n"/>
      <c r="CG787" s="20" t="inlineStr">
        <is>
          <t>None</t>
        </is>
      </c>
      <c r="CH787" s="17" t="n"/>
      <c r="CI787" s="16" t="n"/>
      <c r="CJ787" s="20" t="n"/>
      <c r="CK787" s="20" t="inlineStr">
        <is>
          <t>None</t>
        </is>
      </c>
      <c r="CL787" s="17" t="n"/>
      <c r="CM787" s="16" t="n"/>
      <c r="CN787" s="20" t="inlineStr">
        <is>
          <t>SOP 45-34</t>
        </is>
      </c>
      <c r="CO787" s="20" t="inlineStr">
        <is>
          <t>None</t>
        </is>
      </c>
      <c r="CP787" s="17" t="n"/>
      <c r="CQ787" s="16" t="n"/>
      <c r="CR787" s="20" t="n"/>
      <c r="CS787" s="20" t="inlineStr">
        <is>
          <t>None</t>
        </is>
      </c>
      <c r="CT787" s="17" t="n"/>
      <c r="CU787" s="16" t="n"/>
      <c r="CV787" s="20" t="n"/>
      <c r="CW787" s="20" t="inlineStr">
        <is>
          <t>None</t>
        </is>
      </c>
      <c r="CX787" s="17" t="n"/>
      <c r="CY787" s="16" t="n"/>
      <c r="CZ787" s="20" t="inlineStr">
        <is>
          <t>WTW Multimeter 3430 with FDO 925</t>
        </is>
      </c>
      <c r="DA787" s="20" t="inlineStr">
        <is>
          <t>None</t>
        </is>
      </c>
      <c r="DB787" s="17" t="n"/>
      <c r="DC787" s="16" t="n"/>
      <c r="DD787" s="20" t="n"/>
      <c r="DE787" s="20" t="inlineStr">
        <is>
          <t>None</t>
        </is>
      </c>
      <c r="DF787" s="17" t="n"/>
      <c r="DG787" s="16" t="n"/>
      <c r="DH787" s="20" t="inlineStr">
        <is>
          <t>SOP 45-09</t>
        </is>
      </c>
      <c r="DI787" s="20" t="inlineStr">
        <is>
          <t>None</t>
        </is>
      </c>
      <c r="DJ787" s="17" t="n"/>
      <c r="DK787" s="16" t="n"/>
      <c r="DL787" s="20" t="inlineStr">
        <is>
          <t>SOP 45-09 (SOP muss noch angepasst werden für VSS)</t>
        </is>
      </c>
      <c r="DM787" s="20" t="inlineStr">
        <is>
          <t>None</t>
        </is>
      </c>
      <c r="DN787" s="17" t="n"/>
      <c r="DO787" s="16" t="n"/>
      <c r="DP787" s="20" t="inlineStr">
        <is>
          <t>IC Organic Acids</t>
        </is>
      </c>
      <c r="DQ787" s="20" t="inlineStr">
        <is>
          <t>None</t>
        </is>
      </c>
      <c r="DR787" s="17" t="n"/>
      <c r="DS787" s="16" t="n"/>
      <c r="DT787" s="20" t="inlineStr">
        <is>
          <t>IC Organic Acids</t>
        </is>
      </c>
      <c r="DU787" s="20" t="inlineStr">
        <is>
          <t>None</t>
        </is>
      </c>
      <c r="DV787" s="17" t="n"/>
      <c r="DW787" s="16" t="n"/>
      <c r="DX787" s="20" t="inlineStr">
        <is>
          <t>IC Organic Acids</t>
        </is>
      </c>
      <c r="DY787" s="20" t="inlineStr">
        <is>
          <t>None</t>
        </is>
      </c>
      <c r="DZ787" s="17" t="n"/>
      <c r="EA787" s="16" t="n"/>
      <c r="EB787" s="20" t="inlineStr">
        <is>
          <t>IC Organic Acids</t>
        </is>
      </c>
      <c r="EC787" s="20" t="inlineStr">
        <is>
          <t>None</t>
        </is>
      </c>
      <c r="ED787" s="17" t="n"/>
      <c r="EE787" s="16" t="n"/>
      <c r="EF787" s="20" t="inlineStr">
        <is>
          <t>IC Organic Acids</t>
        </is>
      </c>
      <c r="EG787" s="20" t="inlineStr">
        <is>
          <t>None</t>
        </is>
      </c>
      <c r="EH787" s="17" t="n"/>
      <c r="EI787" s="16" t="n"/>
      <c r="EJ787" s="20" t="inlineStr">
        <is>
          <t>IC Organic Acids</t>
        </is>
      </c>
      <c r="EK787" s="20" t="inlineStr">
        <is>
          <t>None</t>
        </is>
      </c>
      <c r="EL787" s="17" t="n"/>
      <c r="EM787" s="16" t="n"/>
      <c r="EN787" s="20" t="inlineStr">
        <is>
          <t>IC Organic Acids</t>
        </is>
      </c>
      <c r="EO787" s="20" t="inlineStr">
        <is>
          <t>None</t>
        </is>
      </c>
      <c r="EP787" s="17" t="n"/>
      <c r="EQ787" s="16" t="n"/>
      <c r="ER787" s="20" t="inlineStr">
        <is>
          <t>IC Organic Acids</t>
        </is>
      </c>
      <c r="ES787" s="20" t="inlineStr">
        <is>
          <t>None</t>
        </is>
      </c>
      <c r="ET787" s="17" t="n"/>
      <c r="EU787" s="16" t="n"/>
      <c r="EV787" s="20" t="inlineStr">
        <is>
          <t>LC-MS</t>
        </is>
      </c>
      <c r="EW787" s="20" t="inlineStr">
        <is>
          <t>None</t>
        </is>
      </c>
      <c r="EX787" s="17" t="n"/>
      <c r="EY787" s="21" t="n"/>
      <c r="EZ787">
        <f>CONCATENATE(A787,B787)</f>
        <v/>
      </c>
      <c r="FA787">
        <f>CONCATENATE(SamplesX!A787,SamplesX!B787)</f>
        <v/>
      </c>
      <c r="FC787">
        <f>MATCH(EZ787,FA1:FA1008,0)</f>
        <v/>
      </c>
    </row>
    <row r="788">
      <c r="A788" s="16" t="n"/>
      <c r="B788" s="17" t="n"/>
      <c r="C788" s="10">
        <f>IF(ISNUMBER(FC788),INDIRECT("SamplesX!C"&amp;FC788),IF(ISNUMBER(FD788),INDIRECT("SamplesY!C"&amp;FD788),""))</f>
        <v/>
      </c>
      <c r="D788" s="12">
        <f>IF(ISNUMBER(FC788),INDIRECT("SamplesX!D"&amp;FC788),IF(ISNUMBER(FD788),INDIRECT("SamplesY!D"&amp;FD788),""))</f>
        <v/>
      </c>
      <c r="E788" s="12">
        <f>IF(ISNUMBER(FC788),INDIRECT("SamplesX!E"&amp;FC788),IF(ISNUMBER(FD788),INDIRECT("SamplesY!E"&amp;FD788),""))</f>
        <v/>
      </c>
      <c r="F788" s="11">
        <f>IF(ISNUMBER(FC788),INDIRECT("SamplesX!F"&amp;FC788),IF(ISNUMBER(FD788),INDIRECT("SamplesY!F"&amp;FD788),""))</f>
        <v/>
      </c>
      <c r="G788" s="18">
        <f>IF(ISNUMBER(FC788),INDIRECT("SamplesX!G"&amp;FC788),IF(ISNUMBER(FD788),INDIRECT("SamplesY!G"&amp;FD788),""))</f>
        <v/>
      </c>
      <c r="H788" s="19">
        <f>IF(ISNUMBER(FC788),INDIRECT("SamplesX!H"&amp;FC788),IF(ISNUMBER(FD788),INDIRECT("SamplesY!H"&amp;FD788),""))</f>
        <v/>
      </c>
      <c r="I788" s="16" t="n"/>
      <c r="J788" s="16" t="n"/>
      <c r="K788" s="16" t="n"/>
      <c r="L788" s="20" t="n"/>
      <c r="M788" s="20" t="inlineStr">
        <is>
          <t>None</t>
        </is>
      </c>
      <c r="N788" s="17" t="n"/>
      <c r="O788" s="16" t="n"/>
      <c r="P788" s="20" t="inlineStr">
        <is>
          <t>Shimadzu TOC-L</t>
        </is>
      </c>
      <c r="Q788" s="20" t="inlineStr">
        <is>
          <t>None</t>
        </is>
      </c>
      <c r="R788" s="17" t="n"/>
      <c r="S788" s="16" t="n"/>
      <c r="T788" s="20" t="inlineStr">
        <is>
          <t>Shimadzu TOC-L</t>
        </is>
      </c>
      <c r="U788" s="20" t="inlineStr">
        <is>
          <t>None</t>
        </is>
      </c>
      <c r="V788" s="17" t="n"/>
      <c r="W788" s="16" t="n"/>
      <c r="X788" s="20" t="n"/>
      <c r="Y788" s="20" t="inlineStr">
        <is>
          <t>None</t>
        </is>
      </c>
      <c r="Z788" s="17" t="n"/>
      <c r="AA788" s="16" t="n"/>
      <c r="AB788" s="20" t="n"/>
      <c r="AC788" s="20" t="inlineStr">
        <is>
          <t>None</t>
        </is>
      </c>
      <c r="AD788" s="17" t="n"/>
      <c r="AE788" s="16" t="n"/>
      <c r="AF788" s="20" t="inlineStr">
        <is>
          <t>IC Anionen</t>
        </is>
      </c>
      <c r="AG788" s="20" t="inlineStr">
        <is>
          <t>None</t>
        </is>
      </c>
      <c r="AH788" s="17" t="n"/>
      <c r="AI788" s="16" t="n"/>
      <c r="AJ788" s="20" t="n"/>
      <c r="AK788" s="20" t="inlineStr">
        <is>
          <t>None</t>
        </is>
      </c>
      <c r="AL788" s="17" t="n"/>
      <c r="AM788" s="16" t="n"/>
      <c r="AN788" s="20" t="inlineStr">
        <is>
          <t>IC Anionen</t>
        </is>
      </c>
      <c r="AO788" s="20" t="inlineStr">
        <is>
          <t>None</t>
        </is>
      </c>
      <c r="AP788" s="17" t="n"/>
      <c r="AQ788" s="16" t="n"/>
      <c r="AR788" s="20" t="n"/>
      <c r="AS788" s="20" t="inlineStr">
        <is>
          <t>None</t>
        </is>
      </c>
      <c r="AT788" s="17" t="n"/>
      <c r="AU788" s="16" t="n"/>
      <c r="AV788" s="20" t="n"/>
      <c r="AW788" s="20" t="inlineStr">
        <is>
          <t>None</t>
        </is>
      </c>
      <c r="AX788" s="17" t="n"/>
      <c r="AY788" s="16" t="n"/>
      <c r="AZ788" s="20" t="inlineStr">
        <is>
          <t>IC Anionen</t>
        </is>
      </c>
      <c r="BA788" s="20" t="inlineStr">
        <is>
          <t>None</t>
        </is>
      </c>
      <c r="BB788" s="17" t="n"/>
      <c r="BC788" s="16" t="n"/>
      <c r="BD788" s="20" t="inlineStr">
        <is>
          <t>IC Kationen</t>
        </is>
      </c>
      <c r="BE788" s="20" t="inlineStr">
        <is>
          <t>None</t>
        </is>
      </c>
      <c r="BF788" s="17" t="n"/>
      <c r="BG788" s="16" t="n"/>
      <c r="BH788" s="20" t="inlineStr">
        <is>
          <t>IC Kationen</t>
        </is>
      </c>
      <c r="BI788" s="20" t="inlineStr">
        <is>
          <t>None</t>
        </is>
      </c>
      <c r="BJ788" s="17" t="n"/>
      <c r="BK788" s="16" t="n"/>
      <c r="BL788" s="20" t="inlineStr">
        <is>
          <t>IC Kationen</t>
        </is>
      </c>
      <c r="BM788" s="20" t="inlineStr">
        <is>
          <t>None</t>
        </is>
      </c>
      <c r="BN788" s="17" t="n"/>
      <c r="BO788" s="16" t="n"/>
      <c r="BP788" s="20" t="inlineStr">
        <is>
          <t>IC Kationen</t>
        </is>
      </c>
      <c r="BQ788" s="20" t="inlineStr">
        <is>
          <t>None</t>
        </is>
      </c>
      <c r="BR788" s="17" t="n"/>
      <c r="BS788" s="16" t="n"/>
      <c r="BT788" s="20" t="inlineStr">
        <is>
          <t>IC Kationen</t>
        </is>
      </c>
      <c r="BU788" s="20" t="inlineStr">
        <is>
          <t>None</t>
        </is>
      </c>
      <c r="BV788" s="17" t="n"/>
      <c r="BW788" s="16" t="n"/>
      <c r="BX788" s="20" t="n"/>
      <c r="BY788" s="20" t="inlineStr">
        <is>
          <t>None</t>
        </is>
      </c>
      <c r="BZ788" s="17" t="n"/>
      <c r="CA788" s="16" t="n"/>
      <c r="CB788" s="20" t="n"/>
      <c r="CC788" s="20" t="inlineStr">
        <is>
          <t>None</t>
        </is>
      </c>
      <c r="CD788" s="17" t="n"/>
      <c r="CE788" s="16" t="n"/>
      <c r="CF788" s="20" t="n"/>
      <c r="CG788" s="20" t="inlineStr">
        <is>
          <t>None</t>
        </is>
      </c>
      <c r="CH788" s="17" t="n"/>
      <c r="CI788" s="16" t="n"/>
      <c r="CJ788" s="20" t="n"/>
      <c r="CK788" s="20" t="inlineStr">
        <is>
          <t>None</t>
        </is>
      </c>
      <c r="CL788" s="17" t="n"/>
      <c r="CM788" s="16" t="n"/>
      <c r="CN788" s="20" t="inlineStr">
        <is>
          <t>SOP 45-34</t>
        </is>
      </c>
      <c r="CO788" s="20" t="inlineStr">
        <is>
          <t>None</t>
        </is>
      </c>
      <c r="CP788" s="17" t="n"/>
      <c r="CQ788" s="16" t="n"/>
      <c r="CR788" s="20" t="n"/>
      <c r="CS788" s="20" t="inlineStr">
        <is>
          <t>None</t>
        </is>
      </c>
      <c r="CT788" s="17" t="n"/>
      <c r="CU788" s="16" t="n"/>
      <c r="CV788" s="20" t="n"/>
      <c r="CW788" s="20" t="inlineStr">
        <is>
          <t>None</t>
        </is>
      </c>
      <c r="CX788" s="17" t="n"/>
      <c r="CY788" s="16" t="n"/>
      <c r="CZ788" s="20" t="inlineStr">
        <is>
          <t>WTW Multimeter 3430 with FDO 925</t>
        </is>
      </c>
      <c r="DA788" s="20" t="inlineStr">
        <is>
          <t>None</t>
        </is>
      </c>
      <c r="DB788" s="17" t="n"/>
      <c r="DC788" s="16" t="n"/>
      <c r="DD788" s="20" t="n"/>
      <c r="DE788" s="20" t="inlineStr">
        <is>
          <t>None</t>
        </is>
      </c>
      <c r="DF788" s="17" t="n"/>
      <c r="DG788" s="16" t="n"/>
      <c r="DH788" s="20" t="inlineStr">
        <is>
          <t>SOP 45-09</t>
        </is>
      </c>
      <c r="DI788" s="20" t="inlineStr">
        <is>
          <t>None</t>
        </is>
      </c>
      <c r="DJ788" s="17" t="n"/>
      <c r="DK788" s="16" t="n"/>
      <c r="DL788" s="20" t="inlineStr">
        <is>
          <t>SOP 45-09 (SOP muss noch angepasst werden für VSS)</t>
        </is>
      </c>
      <c r="DM788" s="20" t="inlineStr">
        <is>
          <t>None</t>
        </is>
      </c>
      <c r="DN788" s="17" t="n"/>
      <c r="DO788" s="16" t="n"/>
      <c r="DP788" s="20" t="inlineStr">
        <is>
          <t>IC Organic Acids</t>
        </is>
      </c>
      <c r="DQ788" s="20" t="inlineStr">
        <is>
          <t>None</t>
        </is>
      </c>
      <c r="DR788" s="17" t="n"/>
      <c r="DS788" s="16" t="n"/>
      <c r="DT788" s="20" t="inlineStr">
        <is>
          <t>IC Organic Acids</t>
        </is>
      </c>
      <c r="DU788" s="20" t="inlineStr">
        <is>
          <t>None</t>
        </is>
      </c>
      <c r="DV788" s="17" t="n"/>
      <c r="DW788" s="16" t="n"/>
      <c r="DX788" s="20" t="inlineStr">
        <is>
          <t>IC Organic Acids</t>
        </is>
      </c>
      <c r="DY788" s="20" t="inlineStr">
        <is>
          <t>None</t>
        </is>
      </c>
      <c r="DZ788" s="17" t="n"/>
      <c r="EA788" s="16" t="n"/>
      <c r="EB788" s="20" t="inlineStr">
        <is>
          <t>IC Organic Acids</t>
        </is>
      </c>
      <c r="EC788" s="20" t="inlineStr">
        <is>
          <t>None</t>
        </is>
      </c>
      <c r="ED788" s="17" t="n"/>
      <c r="EE788" s="16" t="n"/>
      <c r="EF788" s="20" t="inlineStr">
        <is>
          <t>IC Organic Acids</t>
        </is>
      </c>
      <c r="EG788" s="20" t="inlineStr">
        <is>
          <t>None</t>
        </is>
      </c>
      <c r="EH788" s="17" t="n"/>
      <c r="EI788" s="16" t="n"/>
      <c r="EJ788" s="20" t="inlineStr">
        <is>
          <t>IC Organic Acids</t>
        </is>
      </c>
      <c r="EK788" s="20" t="inlineStr">
        <is>
          <t>None</t>
        </is>
      </c>
      <c r="EL788" s="17" t="n"/>
      <c r="EM788" s="16" t="n"/>
      <c r="EN788" s="20" t="inlineStr">
        <is>
          <t>IC Organic Acids</t>
        </is>
      </c>
      <c r="EO788" s="20" t="inlineStr">
        <is>
          <t>None</t>
        </is>
      </c>
      <c r="EP788" s="17" t="n"/>
      <c r="EQ788" s="16" t="n"/>
      <c r="ER788" s="20" t="inlineStr">
        <is>
          <t>IC Organic Acids</t>
        </is>
      </c>
      <c r="ES788" s="20" t="inlineStr">
        <is>
          <t>None</t>
        </is>
      </c>
      <c r="ET788" s="17" t="n"/>
      <c r="EU788" s="16" t="n"/>
      <c r="EV788" s="20" t="inlineStr">
        <is>
          <t>LC-MS</t>
        </is>
      </c>
      <c r="EW788" s="20" t="inlineStr">
        <is>
          <t>None</t>
        </is>
      </c>
      <c r="EX788" s="17" t="n"/>
      <c r="EY788" s="21" t="n"/>
      <c r="EZ788">
        <f>CONCATENATE(A788,B788)</f>
        <v/>
      </c>
      <c r="FA788">
        <f>CONCATENATE(SamplesX!A788,SamplesX!B788)</f>
        <v/>
      </c>
      <c r="FC788">
        <f>MATCH(EZ788,FA1:FA1008,0)</f>
        <v/>
      </c>
    </row>
    <row r="789">
      <c r="A789" s="16" t="n"/>
      <c r="B789" s="17" t="n"/>
      <c r="C789" s="10">
        <f>IF(ISNUMBER(FC789),INDIRECT("SamplesX!C"&amp;FC789),IF(ISNUMBER(FD789),INDIRECT("SamplesY!C"&amp;FD789),""))</f>
        <v/>
      </c>
      <c r="D789" s="12">
        <f>IF(ISNUMBER(FC789),INDIRECT("SamplesX!D"&amp;FC789),IF(ISNUMBER(FD789),INDIRECT("SamplesY!D"&amp;FD789),""))</f>
        <v/>
      </c>
      <c r="E789" s="12">
        <f>IF(ISNUMBER(FC789),INDIRECT("SamplesX!E"&amp;FC789),IF(ISNUMBER(FD789),INDIRECT("SamplesY!E"&amp;FD789),""))</f>
        <v/>
      </c>
      <c r="F789" s="11">
        <f>IF(ISNUMBER(FC789),INDIRECT("SamplesX!F"&amp;FC789),IF(ISNUMBER(FD789),INDIRECT("SamplesY!F"&amp;FD789),""))</f>
        <v/>
      </c>
      <c r="G789" s="18">
        <f>IF(ISNUMBER(FC789),INDIRECT("SamplesX!G"&amp;FC789),IF(ISNUMBER(FD789),INDIRECT("SamplesY!G"&amp;FD789),""))</f>
        <v/>
      </c>
      <c r="H789" s="19">
        <f>IF(ISNUMBER(FC789),INDIRECT("SamplesX!H"&amp;FC789),IF(ISNUMBER(FD789),INDIRECT("SamplesY!H"&amp;FD789),""))</f>
        <v/>
      </c>
      <c r="I789" s="16" t="n"/>
      <c r="J789" s="16" t="n"/>
      <c r="K789" s="16" t="n"/>
      <c r="L789" s="20" t="n"/>
      <c r="M789" s="20" t="inlineStr">
        <is>
          <t>None</t>
        </is>
      </c>
      <c r="N789" s="17" t="n"/>
      <c r="O789" s="16" t="n"/>
      <c r="P789" s="20" t="inlineStr">
        <is>
          <t>Shimadzu TOC-L</t>
        </is>
      </c>
      <c r="Q789" s="20" t="inlineStr">
        <is>
          <t>None</t>
        </is>
      </c>
      <c r="R789" s="17" t="n"/>
      <c r="S789" s="16" t="n"/>
      <c r="T789" s="20" t="inlineStr">
        <is>
          <t>Shimadzu TOC-L</t>
        </is>
      </c>
      <c r="U789" s="20" t="inlineStr">
        <is>
          <t>None</t>
        </is>
      </c>
      <c r="V789" s="17" t="n"/>
      <c r="W789" s="16" t="n"/>
      <c r="X789" s="20" t="n"/>
      <c r="Y789" s="20" t="inlineStr">
        <is>
          <t>None</t>
        </is>
      </c>
      <c r="Z789" s="17" t="n"/>
      <c r="AA789" s="16" t="n"/>
      <c r="AB789" s="20" t="n"/>
      <c r="AC789" s="20" t="inlineStr">
        <is>
          <t>None</t>
        </is>
      </c>
      <c r="AD789" s="17" t="n"/>
      <c r="AE789" s="16" t="n"/>
      <c r="AF789" s="20" t="inlineStr">
        <is>
          <t>IC Anionen</t>
        </is>
      </c>
      <c r="AG789" s="20" t="inlineStr">
        <is>
          <t>None</t>
        </is>
      </c>
      <c r="AH789" s="17" t="n"/>
      <c r="AI789" s="16" t="n"/>
      <c r="AJ789" s="20" t="n"/>
      <c r="AK789" s="20" t="inlineStr">
        <is>
          <t>None</t>
        </is>
      </c>
      <c r="AL789" s="17" t="n"/>
      <c r="AM789" s="16" t="n"/>
      <c r="AN789" s="20" t="inlineStr">
        <is>
          <t>IC Anionen</t>
        </is>
      </c>
      <c r="AO789" s="20" t="inlineStr">
        <is>
          <t>None</t>
        </is>
      </c>
      <c r="AP789" s="17" t="n"/>
      <c r="AQ789" s="16" t="n"/>
      <c r="AR789" s="20" t="n"/>
      <c r="AS789" s="20" t="inlineStr">
        <is>
          <t>None</t>
        </is>
      </c>
      <c r="AT789" s="17" t="n"/>
      <c r="AU789" s="16" t="n"/>
      <c r="AV789" s="20" t="n"/>
      <c r="AW789" s="20" t="inlineStr">
        <is>
          <t>None</t>
        </is>
      </c>
      <c r="AX789" s="17" t="n"/>
      <c r="AY789" s="16" t="n"/>
      <c r="AZ789" s="20" t="inlineStr">
        <is>
          <t>IC Anionen</t>
        </is>
      </c>
      <c r="BA789" s="20" t="inlineStr">
        <is>
          <t>None</t>
        </is>
      </c>
      <c r="BB789" s="17" t="n"/>
      <c r="BC789" s="16" t="n"/>
      <c r="BD789" s="20" t="inlineStr">
        <is>
          <t>IC Kationen</t>
        </is>
      </c>
      <c r="BE789" s="20" t="inlineStr">
        <is>
          <t>None</t>
        </is>
      </c>
      <c r="BF789" s="17" t="n"/>
      <c r="BG789" s="16" t="n"/>
      <c r="BH789" s="20" t="inlineStr">
        <is>
          <t>IC Kationen</t>
        </is>
      </c>
      <c r="BI789" s="20" t="inlineStr">
        <is>
          <t>None</t>
        </is>
      </c>
      <c r="BJ789" s="17" t="n"/>
      <c r="BK789" s="16" t="n"/>
      <c r="BL789" s="20" t="inlineStr">
        <is>
          <t>IC Kationen</t>
        </is>
      </c>
      <c r="BM789" s="20" t="inlineStr">
        <is>
          <t>None</t>
        </is>
      </c>
      <c r="BN789" s="17" t="n"/>
      <c r="BO789" s="16" t="n"/>
      <c r="BP789" s="20" t="inlineStr">
        <is>
          <t>IC Kationen</t>
        </is>
      </c>
      <c r="BQ789" s="20" t="inlineStr">
        <is>
          <t>None</t>
        </is>
      </c>
      <c r="BR789" s="17" t="n"/>
      <c r="BS789" s="16" t="n"/>
      <c r="BT789" s="20" t="inlineStr">
        <is>
          <t>IC Kationen</t>
        </is>
      </c>
      <c r="BU789" s="20" t="inlineStr">
        <is>
          <t>None</t>
        </is>
      </c>
      <c r="BV789" s="17" t="n"/>
      <c r="BW789" s="16" t="n"/>
      <c r="BX789" s="20" t="n"/>
      <c r="BY789" s="20" t="inlineStr">
        <is>
          <t>None</t>
        </is>
      </c>
      <c r="BZ789" s="17" t="n"/>
      <c r="CA789" s="16" t="n"/>
      <c r="CB789" s="20" t="n"/>
      <c r="CC789" s="20" t="inlineStr">
        <is>
          <t>None</t>
        </is>
      </c>
      <c r="CD789" s="17" t="n"/>
      <c r="CE789" s="16" t="n"/>
      <c r="CF789" s="20" t="n"/>
      <c r="CG789" s="20" t="inlineStr">
        <is>
          <t>None</t>
        </is>
      </c>
      <c r="CH789" s="17" t="n"/>
      <c r="CI789" s="16" t="n"/>
      <c r="CJ789" s="20" t="n"/>
      <c r="CK789" s="20" t="inlineStr">
        <is>
          <t>None</t>
        </is>
      </c>
      <c r="CL789" s="17" t="n"/>
      <c r="CM789" s="16" t="n"/>
      <c r="CN789" s="20" t="inlineStr">
        <is>
          <t>SOP 45-34</t>
        </is>
      </c>
      <c r="CO789" s="20" t="inlineStr">
        <is>
          <t>None</t>
        </is>
      </c>
      <c r="CP789" s="17" t="n"/>
      <c r="CQ789" s="16" t="n"/>
      <c r="CR789" s="20" t="n"/>
      <c r="CS789" s="20" t="inlineStr">
        <is>
          <t>None</t>
        </is>
      </c>
      <c r="CT789" s="17" t="n"/>
      <c r="CU789" s="16" t="n"/>
      <c r="CV789" s="20" t="n"/>
      <c r="CW789" s="20" t="inlineStr">
        <is>
          <t>None</t>
        </is>
      </c>
      <c r="CX789" s="17" t="n"/>
      <c r="CY789" s="16" t="n"/>
      <c r="CZ789" s="20" t="inlineStr">
        <is>
          <t>WTW Multimeter 3430 with FDO 925</t>
        </is>
      </c>
      <c r="DA789" s="20" t="inlineStr">
        <is>
          <t>None</t>
        </is>
      </c>
      <c r="DB789" s="17" t="n"/>
      <c r="DC789" s="16" t="n"/>
      <c r="DD789" s="20" t="n"/>
      <c r="DE789" s="20" t="inlineStr">
        <is>
          <t>None</t>
        </is>
      </c>
      <c r="DF789" s="17" t="n"/>
      <c r="DG789" s="16" t="n"/>
      <c r="DH789" s="20" t="inlineStr">
        <is>
          <t>SOP 45-09</t>
        </is>
      </c>
      <c r="DI789" s="20" t="inlineStr">
        <is>
          <t>None</t>
        </is>
      </c>
      <c r="DJ789" s="17" t="n"/>
      <c r="DK789" s="16" t="n"/>
      <c r="DL789" s="20" t="inlineStr">
        <is>
          <t>SOP 45-09 (SOP muss noch angepasst werden für VSS)</t>
        </is>
      </c>
      <c r="DM789" s="20" t="inlineStr">
        <is>
          <t>None</t>
        </is>
      </c>
      <c r="DN789" s="17" t="n"/>
      <c r="DO789" s="16" t="n"/>
      <c r="DP789" s="20" t="inlineStr">
        <is>
          <t>IC Organic Acids</t>
        </is>
      </c>
      <c r="DQ789" s="20" t="inlineStr">
        <is>
          <t>None</t>
        </is>
      </c>
      <c r="DR789" s="17" t="n"/>
      <c r="DS789" s="16" t="n"/>
      <c r="DT789" s="20" t="inlineStr">
        <is>
          <t>IC Organic Acids</t>
        </is>
      </c>
      <c r="DU789" s="20" t="inlineStr">
        <is>
          <t>None</t>
        </is>
      </c>
      <c r="DV789" s="17" t="n"/>
      <c r="DW789" s="16" t="n"/>
      <c r="DX789" s="20" t="inlineStr">
        <is>
          <t>IC Organic Acids</t>
        </is>
      </c>
      <c r="DY789" s="20" t="inlineStr">
        <is>
          <t>None</t>
        </is>
      </c>
      <c r="DZ789" s="17" t="n"/>
      <c r="EA789" s="16" t="n"/>
      <c r="EB789" s="20" t="inlineStr">
        <is>
          <t>IC Organic Acids</t>
        </is>
      </c>
      <c r="EC789" s="20" t="inlineStr">
        <is>
          <t>None</t>
        </is>
      </c>
      <c r="ED789" s="17" t="n"/>
      <c r="EE789" s="16" t="n"/>
      <c r="EF789" s="20" t="inlineStr">
        <is>
          <t>IC Organic Acids</t>
        </is>
      </c>
      <c r="EG789" s="20" t="inlineStr">
        <is>
          <t>None</t>
        </is>
      </c>
      <c r="EH789" s="17" t="n"/>
      <c r="EI789" s="16" t="n"/>
      <c r="EJ789" s="20" t="inlineStr">
        <is>
          <t>IC Organic Acids</t>
        </is>
      </c>
      <c r="EK789" s="20" t="inlineStr">
        <is>
          <t>None</t>
        </is>
      </c>
      <c r="EL789" s="17" t="n"/>
      <c r="EM789" s="16" t="n"/>
      <c r="EN789" s="20" t="inlineStr">
        <is>
          <t>IC Organic Acids</t>
        </is>
      </c>
      <c r="EO789" s="20" t="inlineStr">
        <is>
          <t>None</t>
        </is>
      </c>
      <c r="EP789" s="17" t="n"/>
      <c r="EQ789" s="16" t="n"/>
      <c r="ER789" s="20" t="inlineStr">
        <is>
          <t>IC Organic Acids</t>
        </is>
      </c>
      <c r="ES789" s="20" t="inlineStr">
        <is>
          <t>None</t>
        </is>
      </c>
      <c r="ET789" s="17" t="n"/>
      <c r="EU789" s="16" t="n"/>
      <c r="EV789" s="20" t="inlineStr">
        <is>
          <t>LC-MS</t>
        </is>
      </c>
      <c r="EW789" s="20" t="inlineStr">
        <is>
          <t>None</t>
        </is>
      </c>
      <c r="EX789" s="17" t="n"/>
      <c r="EY789" s="21" t="n"/>
      <c r="EZ789">
        <f>CONCATENATE(A789,B789)</f>
        <v/>
      </c>
      <c r="FA789">
        <f>CONCATENATE(SamplesX!A789,SamplesX!B789)</f>
        <v/>
      </c>
      <c r="FC789">
        <f>MATCH(EZ789,FA1:FA1008,0)</f>
        <v/>
      </c>
    </row>
    <row r="790">
      <c r="A790" s="16" t="n"/>
      <c r="B790" s="17" t="n"/>
      <c r="C790" s="10">
        <f>IF(ISNUMBER(FC790),INDIRECT("SamplesX!C"&amp;FC790),IF(ISNUMBER(FD790),INDIRECT("SamplesY!C"&amp;FD790),""))</f>
        <v/>
      </c>
      <c r="D790" s="12">
        <f>IF(ISNUMBER(FC790),INDIRECT("SamplesX!D"&amp;FC790),IF(ISNUMBER(FD790),INDIRECT("SamplesY!D"&amp;FD790),""))</f>
        <v/>
      </c>
      <c r="E790" s="12">
        <f>IF(ISNUMBER(FC790),INDIRECT("SamplesX!E"&amp;FC790),IF(ISNUMBER(FD790),INDIRECT("SamplesY!E"&amp;FD790),""))</f>
        <v/>
      </c>
      <c r="F790" s="11">
        <f>IF(ISNUMBER(FC790),INDIRECT("SamplesX!F"&amp;FC790),IF(ISNUMBER(FD790),INDIRECT("SamplesY!F"&amp;FD790),""))</f>
        <v/>
      </c>
      <c r="G790" s="18">
        <f>IF(ISNUMBER(FC790),INDIRECT("SamplesX!G"&amp;FC790),IF(ISNUMBER(FD790),INDIRECT("SamplesY!G"&amp;FD790),""))</f>
        <v/>
      </c>
      <c r="H790" s="19">
        <f>IF(ISNUMBER(FC790),INDIRECT("SamplesX!H"&amp;FC790),IF(ISNUMBER(FD790),INDIRECT("SamplesY!H"&amp;FD790),""))</f>
        <v/>
      </c>
      <c r="I790" s="16" t="n"/>
      <c r="J790" s="16" t="n"/>
      <c r="K790" s="16" t="n"/>
      <c r="L790" s="20" t="n"/>
      <c r="M790" s="20" t="inlineStr">
        <is>
          <t>None</t>
        </is>
      </c>
      <c r="N790" s="17" t="n"/>
      <c r="O790" s="16" t="n"/>
      <c r="P790" s="20" t="inlineStr">
        <is>
          <t>Shimadzu TOC-L</t>
        </is>
      </c>
      <c r="Q790" s="20" t="inlineStr">
        <is>
          <t>None</t>
        </is>
      </c>
      <c r="R790" s="17" t="n"/>
      <c r="S790" s="16" t="n"/>
      <c r="T790" s="20" t="inlineStr">
        <is>
          <t>Shimadzu TOC-L</t>
        </is>
      </c>
      <c r="U790" s="20" t="inlineStr">
        <is>
          <t>None</t>
        </is>
      </c>
      <c r="V790" s="17" t="n"/>
      <c r="W790" s="16" t="n"/>
      <c r="X790" s="20" t="n"/>
      <c r="Y790" s="20" t="inlineStr">
        <is>
          <t>None</t>
        </is>
      </c>
      <c r="Z790" s="17" t="n"/>
      <c r="AA790" s="16" t="n"/>
      <c r="AB790" s="20" t="n"/>
      <c r="AC790" s="20" t="inlineStr">
        <is>
          <t>None</t>
        </is>
      </c>
      <c r="AD790" s="17" t="n"/>
      <c r="AE790" s="16" t="n"/>
      <c r="AF790" s="20" t="inlineStr">
        <is>
          <t>IC Anionen</t>
        </is>
      </c>
      <c r="AG790" s="20" t="inlineStr">
        <is>
          <t>None</t>
        </is>
      </c>
      <c r="AH790" s="17" t="n"/>
      <c r="AI790" s="16" t="n"/>
      <c r="AJ790" s="20" t="n"/>
      <c r="AK790" s="20" t="inlineStr">
        <is>
          <t>None</t>
        </is>
      </c>
      <c r="AL790" s="17" t="n"/>
      <c r="AM790" s="16" t="n"/>
      <c r="AN790" s="20" t="inlineStr">
        <is>
          <t>IC Anionen</t>
        </is>
      </c>
      <c r="AO790" s="20" t="inlineStr">
        <is>
          <t>None</t>
        </is>
      </c>
      <c r="AP790" s="17" t="n"/>
      <c r="AQ790" s="16" t="n"/>
      <c r="AR790" s="20" t="n"/>
      <c r="AS790" s="20" t="inlineStr">
        <is>
          <t>None</t>
        </is>
      </c>
      <c r="AT790" s="17" t="n"/>
      <c r="AU790" s="16" t="n"/>
      <c r="AV790" s="20" t="n"/>
      <c r="AW790" s="20" t="inlineStr">
        <is>
          <t>None</t>
        </is>
      </c>
      <c r="AX790" s="17" t="n"/>
      <c r="AY790" s="16" t="n"/>
      <c r="AZ790" s="20" t="inlineStr">
        <is>
          <t>IC Anionen</t>
        </is>
      </c>
      <c r="BA790" s="20" t="inlineStr">
        <is>
          <t>None</t>
        </is>
      </c>
      <c r="BB790" s="17" t="n"/>
      <c r="BC790" s="16" t="n"/>
      <c r="BD790" s="20" t="inlineStr">
        <is>
          <t>IC Kationen</t>
        </is>
      </c>
      <c r="BE790" s="20" t="inlineStr">
        <is>
          <t>None</t>
        </is>
      </c>
      <c r="BF790" s="17" t="n"/>
      <c r="BG790" s="16" t="n"/>
      <c r="BH790" s="20" t="inlineStr">
        <is>
          <t>IC Kationen</t>
        </is>
      </c>
      <c r="BI790" s="20" t="inlineStr">
        <is>
          <t>None</t>
        </is>
      </c>
      <c r="BJ790" s="17" t="n"/>
      <c r="BK790" s="16" t="n"/>
      <c r="BL790" s="20" t="inlineStr">
        <is>
          <t>IC Kationen</t>
        </is>
      </c>
      <c r="BM790" s="20" t="inlineStr">
        <is>
          <t>None</t>
        </is>
      </c>
      <c r="BN790" s="17" t="n"/>
      <c r="BO790" s="16" t="n"/>
      <c r="BP790" s="20" t="inlineStr">
        <is>
          <t>IC Kationen</t>
        </is>
      </c>
      <c r="BQ790" s="20" t="inlineStr">
        <is>
          <t>None</t>
        </is>
      </c>
      <c r="BR790" s="17" t="n"/>
      <c r="BS790" s="16" t="n"/>
      <c r="BT790" s="20" t="inlineStr">
        <is>
          <t>IC Kationen</t>
        </is>
      </c>
      <c r="BU790" s="20" t="inlineStr">
        <is>
          <t>None</t>
        </is>
      </c>
      <c r="BV790" s="17" t="n"/>
      <c r="BW790" s="16" t="n"/>
      <c r="BX790" s="20" t="n"/>
      <c r="BY790" s="20" t="inlineStr">
        <is>
          <t>None</t>
        </is>
      </c>
      <c r="BZ790" s="17" t="n"/>
      <c r="CA790" s="16" t="n"/>
      <c r="CB790" s="20" t="n"/>
      <c r="CC790" s="20" t="inlineStr">
        <is>
          <t>None</t>
        </is>
      </c>
      <c r="CD790" s="17" t="n"/>
      <c r="CE790" s="16" t="n"/>
      <c r="CF790" s="20" t="n"/>
      <c r="CG790" s="20" t="inlineStr">
        <is>
          <t>None</t>
        </is>
      </c>
      <c r="CH790" s="17" t="n"/>
      <c r="CI790" s="16" t="n"/>
      <c r="CJ790" s="20" t="n"/>
      <c r="CK790" s="20" t="inlineStr">
        <is>
          <t>None</t>
        </is>
      </c>
      <c r="CL790" s="17" t="n"/>
      <c r="CM790" s="16" t="n"/>
      <c r="CN790" s="20" t="inlineStr">
        <is>
          <t>SOP 45-34</t>
        </is>
      </c>
      <c r="CO790" s="20" t="inlineStr">
        <is>
          <t>None</t>
        </is>
      </c>
      <c r="CP790" s="17" t="n"/>
      <c r="CQ790" s="16" t="n"/>
      <c r="CR790" s="20" t="n"/>
      <c r="CS790" s="20" t="inlineStr">
        <is>
          <t>None</t>
        </is>
      </c>
      <c r="CT790" s="17" t="n"/>
      <c r="CU790" s="16" t="n"/>
      <c r="CV790" s="20" t="n"/>
      <c r="CW790" s="20" t="inlineStr">
        <is>
          <t>None</t>
        </is>
      </c>
      <c r="CX790" s="17" t="n"/>
      <c r="CY790" s="16" t="n"/>
      <c r="CZ790" s="20" t="inlineStr">
        <is>
          <t>WTW Multimeter 3430 with FDO 925</t>
        </is>
      </c>
      <c r="DA790" s="20" t="inlineStr">
        <is>
          <t>None</t>
        </is>
      </c>
      <c r="DB790" s="17" t="n"/>
      <c r="DC790" s="16" t="n"/>
      <c r="DD790" s="20" t="n"/>
      <c r="DE790" s="20" t="inlineStr">
        <is>
          <t>None</t>
        </is>
      </c>
      <c r="DF790" s="17" t="n"/>
      <c r="DG790" s="16" t="n"/>
      <c r="DH790" s="20" t="inlineStr">
        <is>
          <t>SOP 45-09</t>
        </is>
      </c>
      <c r="DI790" s="20" t="inlineStr">
        <is>
          <t>None</t>
        </is>
      </c>
      <c r="DJ790" s="17" t="n"/>
      <c r="DK790" s="16" t="n"/>
      <c r="DL790" s="20" t="inlineStr">
        <is>
          <t>SOP 45-09 (SOP muss noch angepasst werden für VSS)</t>
        </is>
      </c>
      <c r="DM790" s="20" t="inlineStr">
        <is>
          <t>None</t>
        </is>
      </c>
      <c r="DN790" s="17" t="n"/>
      <c r="DO790" s="16" t="n"/>
      <c r="DP790" s="20" t="inlineStr">
        <is>
          <t>IC Organic Acids</t>
        </is>
      </c>
      <c r="DQ790" s="20" t="inlineStr">
        <is>
          <t>None</t>
        </is>
      </c>
      <c r="DR790" s="17" t="n"/>
      <c r="DS790" s="16" t="n"/>
      <c r="DT790" s="20" t="inlineStr">
        <is>
          <t>IC Organic Acids</t>
        </is>
      </c>
      <c r="DU790" s="20" t="inlineStr">
        <is>
          <t>None</t>
        </is>
      </c>
      <c r="DV790" s="17" t="n"/>
      <c r="DW790" s="16" t="n"/>
      <c r="DX790" s="20" t="inlineStr">
        <is>
          <t>IC Organic Acids</t>
        </is>
      </c>
      <c r="DY790" s="20" t="inlineStr">
        <is>
          <t>None</t>
        </is>
      </c>
      <c r="DZ790" s="17" t="n"/>
      <c r="EA790" s="16" t="n"/>
      <c r="EB790" s="20" t="inlineStr">
        <is>
          <t>IC Organic Acids</t>
        </is>
      </c>
      <c r="EC790" s="20" t="inlineStr">
        <is>
          <t>None</t>
        </is>
      </c>
      <c r="ED790" s="17" t="n"/>
      <c r="EE790" s="16" t="n"/>
      <c r="EF790" s="20" t="inlineStr">
        <is>
          <t>IC Organic Acids</t>
        </is>
      </c>
      <c r="EG790" s="20" t="inlineStr">
        <is>
          <t>None</t>
        </is>
      </c>
      <c r="EH790" s="17" t="n"/>
      <c r="EI790" s="16" t="n"/>
      <c r="EJ790" s="20" t="inlineStr">
        <is>
          <t>IC Organic Acids</t>
        </is>
      </c>
      <c r="EK790" s="20" t="inlineStr">
        <is>
          <t>None</t>
        </is>
      </c>
      <c r="EL790" s="17" t="n"/>
      <c r="EM790" s="16" t="n"/>
      <c r="EN790" s="20" t="inlineStr">
        <is>
          <t>IC Organic Acids</t>
        </is>
      </c>
      <c r="EO790" s="20" t="inlineStr">
        <is>
          <t>None</t>
        </is>
      </c>
      <c r="EP790" s="17" t="n"/>
      <c r="EQ790" s="16" t="n"/>
      <c r="ER790" s="20" t="inlineStr">
        <is>
          <t>IC Organic Acids</t>
        </is>
      </c>
      <c r="ES790" s="20" t="inlineStr">
        <is>
          <t>None</t>
        </is>
      </c>
      <c r="ET790" s="17" t="n"/>
      <c r="EU790" s="16" t="n"/>
      <c r="EV790" s="20" t="inlineStr">
        <is>
          <t>LC-MS</t>
        </is>
      </c>
      <c r="EW790" s="20" t="inlineStr">
        <is>
          <t>None</t>
        </is>
      </c>
      <c r="EX790" s="17" t="n"/>
      <c r="EY790" s="21" t="n"/>
      <c r="EZ790">
        <f>CONCATENATE(A790,B790)</f>
        <v/>
      </c>
      <c r="FA790">
        <f>CONCATENATE(SamplesX!A790,SamplesX!B790)</f>
        <v/>
      </c>
      <c r="FC790">
        <f>MATCH(EZ790,FA1:FA1008,0)</f>
        <v/>
      </c>
    </row>
    <row r="791">
      <c r="A791" s="16" t="n"/>
      <c r="B791" s="17" t="n"/>
      <c r="C791" s="10">
        <f>IF(ISNUMBER(FC791),INDIRECT("SamplesX!C"&amp;FC791),IF(ISNUMBER(FD791),INDIRECT("SamplesY!C"&amp;FD791),""))</f>
        <v/>
      </c>
      <c r="D791" s="12">
        <f>IF(ISNUMBER(FC791),INDIRECT("SamplesX!D"&amp;FC791),IF(ISNUMBER(FD791),INDIRECT("SamplesY!D"&amp;FD791),""))</f>
        <v/>
      </c>
      <c r="E791" s="12">
        <f>IF(ISNUMBER(FC791),INDIRECT("SamplesX!E"&amp;FC791),IF(ISNUMBER(FD791),INDIRECT("SamplesY!E"&amp;FD791),""))</f>
        <v/>
      </c>
      <c r="F791" s="11">
        <f>IF(ISNUMBER(FC791),INDIRECT("SamplesX!F"&amp;FC791),IF(ISNUMBER(FD791),INDIRECT("SamplesY!F"&amp;FD791),""))</f>
        <v/>
      </c>
      <c r="G791" s="18">
        <f>IF(ISNUMBER(FC791),INDIRECT("SamplesX!G"&amp;FC791),IF(ISNUMBER(FD791),INDIRECT("SamplesY!G"&amp;FD791),""))</f>
        <v/>
      </c>
      <c r="H791" s="19">
        <f>IF(ISNUMBER(FC791),INDIRECT("SamplesX!H"&amp;FC791),IF(ISNUMBER(FD791),INDIRECT("SamplesY!H"&amp;FD791),""))</f>
        <v/>
      </c>
      <c r="I791" s="16" t="n"/>
      <c r="J791" s="16" t="n"/>
      <c r="K791" s="16" t="n"/>
      <c r="L791" s="20" t="n"/>
      <c r="M791" s="20" t="inlineStr">
        <is>
          <t>None</t>
        </is>
      </c>
      <c r="N791" s="17" t="n"/>
      <c r="O791" s="16" t="n"/>
      <c r="P791" s="20" t="inlineStr">
        <is>
          <t>Shimadzu TOC-L</t>
        </is>
      </c>
      <c r="Q791" s="20" t="inlineStr">
        <is>
          <t>None</t>
        </is>
      </c>
      <c r="R791" s="17" t="n"/>
      <c r="S791" s="16" t="n"/>
      <c r="T791" s="20" t="inlineStr">
        <is>
          <t>Shimadzu TOC-L</t>
        </is>
      </c>
      <c r="U791" s="20" t="inlineStr">
        <is>
          <t>None</t>
        </is>
      </c>
      <c r="V791" s="17" t="n"/>
      <c r="W791" s="16" t="n"/>
      <c r="X791" s="20" t="n"/>
      <c r="Y791" s="20" t="inlineStr">
        <is>
          <t>None</t>
        </is>
      </c>
      <c r="Z791" s="17" t="n"/>
      <c r="AA791" s="16" t="n"/>
      <c r="AB791" s="20" t="n"/>
      <c r="AC791" s="20" t="inlineStr">
        <is>
          <t>None</t>
        </is>
      </c>
      <c r="AD791" s="17" t="n"/>
      <c r="AE791" s="16" t="n"/>
      <c r="AF791" s="20" t="inlineStr">
        <is>
          <t>IC Anionen</t>
        </is>
      </c>
      <c r="AG791" s="20" t="inlineStr">
        <is>
          <t>None</t>
        </is>
      </c>
      <c r="AH791" s="17" t="n"/>
      <c r="AI791" s="16" t="n"/>
      <c r="AJ791" s="20" t="n"/>
      <c r="AK791" s="20" t="inlineStr">
        <is>
          <t>None</t>
        </is>
      </c>
      <c r="AL791" s="17" t="n"/>
      <c r="AM791" s="16" t="n"/>
      <c r="AN791" s="20" t="inlineStr">
        <is>
          <t>IC Anionen</t>
        </is>
      </c>
      <c r="AO791" s="20" t="inlineStr">
        <is>
          <t>None</t>
        </is>
      </c>
      <c r="AP791" s="17" t="n"/>
      <c r="AQ791" s="16" t="n"/>
      <c r="AR791" s="20" t="n"/>
      <c r="AS791" s="20" t="inlineStr">
        <is>
          <t>None</t>
        </is>
      </c>
      <c r="AT791" s="17" t="n"/>
      <c r="AU791" s="16" t="n"/>
      <c r="AV791" s="20" t="n"/>
      <c r="AW791" s="20" t="inlineStr">
        <is>
          <t>None</t>
        </is>
      </c>
      <c r="AX791" s="17" t="n"/>
      <c r="AY791" s="16" t="n"/>
      <c r="AZ791" s="20" t="inlineStr">
        <is>
          <t>IC Anionen</t>
        </is>
      </c>
      <c r="BA791" s="20" t="inlineStr">
        <is>
          <t>None</t>
        </is>
      </c>
      <c r="BB791" s="17" t="n"/>
      <c r="BC791" s="16" t="n"/>
      <c r="BD791" s="20" t="inlineStr">
        <is>
          <t>IC Kationen</t>
        </is>
      </c>
      <c r="BE791" s="20" t="inlineStr">
        <is>
          <t>None</t>
        </is>
      </c>
      <c r="BF791" s="17" t="n"/>
      <c r="BG791" s="16" t="n"/>
      <c r="BH791" s="20" t="inlineStr">
        <is>
          <t>IC Kationen</t>
        </is>
      </c>
      <c r="BI791" s="20" t="inlineStr">
        <is>
          <t>None</t>
        </is>
      </c>
      <c r="BJ791" s="17" t="n"/>
      <c r="BK791" s="16" t="n"/>
      <c r="BL791" s="20" t="inlineStr">
        <is>
          <t>IC Kationen</t>
        </is>
      </c>
      <c r="BM791" s="20" t="inlineStr">
        <is>
          <t>None</t>
        </is>
      </c>
      <c r="BN791" s="17" t="n"/>
      <c r="BO791" s="16" t="n"/>
      <c r="BP791" s="20" t="inlineStr">
        <is>
          <t>IC Kationen</t>
        </is>
      </c>
      <c r="BQ791" s="20" t="inlineStr">
        <is>
          <t>None</t>
        </is>
      </c>
      <c r="BR791" s="17" t="n"/>
      <c r="BS791" s="16" t="n"/>
      <c r="BT791" s="20" t="inlineStr">
        <is>
          <t>IC Kationen</t>
        </is>
      </c>
      <c r="BU791" s="20" t="inlineStr">
        <is>
          <t>None</t>
        </is>
      </c>
      <c r="BV791" s="17" t="n"/>
      <c r="BW791" s="16" t="n"/>
      <c r="BX791" s="20" t="n"/>
      <c r="BY791" s="20" t="inlineStr">
        <is>
          <t>None</t>
        </is>
      </c>
      <c r="BZ791" s="17" t="n"/>
      <c r="CA791" s="16" t="n"/>
      <c r="CB791" s="20" t="n"/>
      <c r="CC791" s="20" t="inlineStr">
        <is>
          <t>None</t>
        </is>
      </c>
      <c r="CD791" s="17" t="n"/>
      <c r="CE791" s="16" t="n"/>
      <c r="CF791" s="20" t="n"/>
      <c r="CG791" s="20" t="inlineStr">
        <is>
          <t>None</t>
        </is>
      </c>
      <c r="CH791" s="17" t="n"/>
      <c r="CI791" s="16" t="n"/>
      <c r="CJ791" s="20" t="n"/>
      <c r="CK791" s="20" t="inlineStr">
        <is>
          <t>None</t>
        </is>
      </c>
      <c r="CL791" s="17" t="n"/>
      <c r="CM791" s="16" t="n"/>
      <c r="CN791" s="20" t="inlineStr">
        <is>
          <t>SOP 45-34</t>
        </is>
      </c>
      <c r="CO791" s="20" t="inlineStr">
        <is>
          <t>None</t>
        </is>
      </c>
      <c r="CP791" s="17" t="n"/>
      <c r="CQ791" s="16" t="n"/>
      <c r="CR791" s="20" t="n"/>
      <c r="CS791" s="20" t="inlineStr">
        <is>
          <t>None</t>
        </is>
      </c>
      <c r="CT791" s="17" t="n"/>
      <c r="CU791" s="16" t="n"/>
      <c r="CV791" s="20" t="n"/>
      <c r="CW791" s="20" t="inlineStr">
        <is>
          <t>None</t>
        </is>
      </c>
      <c r="CX791" s="17" t="n"/>
      <c r="CY791" s="16" t="n"/>
      <c r="CZ791" s="20" t="inlineStr">
        <is>
          <t>WTW Multimeter 3430 with FDO 925</t>
        </is>
      </c>
      <c r="DA791" s="20" t="inlineStr">
        <is>
          <t>None</t>
        </is>
      </c>
      <c r="DB791" s="17" t="n"/>
      <c r="DC791" s="16" t="n"/>
      <c r="DD791" s="20" t="n"/>
      <c r="DE791" s="20" t="inlineStr">
        <is>
          <t>None</t>
        </is>
      </c>
      <c r="DF791" s="17" t="n"/>
      <c r="DG791" s="16" t="n"/>
      <c r="DH791" s="20" t="inlineStr">
        <is>
          <t>SOP 45-09</t>
        </is>
      </c>
      <c r="DI791" s="20" t="inlineStr">
        <is>
          <t>None</t>
        </is>
      </c>
      <c r="DJ791" s="17" t="n"/>
      <c r="DK791" s="16" t="n"/>
      <c r="DL791" s="20" t="inlineStr">
        <is>
          <t>SOP 45-09 (SOP muss noch angepasst werden für VSS)</t>
        </is>
      </c>
      <c r="DM791" s="20" t="inlineStr">
        <is>
          <t>None</t>
        </is>
      </c>
      <c r="DN791" s="17" t="n"/>
      <c r="DO791" s="16" t="n"/>
      <c r="DP791" s="20" t="inlineStr">
        <is>
          <t>IC Organic Acids</t>
        </is>
      </c>
      <c r="DQ791" s="20" t="inlineStr">
        <is>
          <t>None</t>
        </is>
      </c>
      <c r="DR791" s="17" t="n"/>
      <c r="DS791" s="16" t="n"/>
      <c r="DT791" s="20" t="inlineStr">
        <is>
          <t>IC Organic Acids</t>
        </is>
      </c>
      <c r="DU791" s="20" t="inlineStr">
        <is>
          <t>None</t>
        </is>
      </c>
      <c r="DV791" s="17" t="n"/>
      <c r="DW791" s="16" t="n"/>
      <c r="DX791" s="20" t="inlineStr">
        <is>
          <t>IC Organic Acids</t>
        </is>
      </c>
      <c r="DY791" s="20" t="inlineStr">
        <is>
          <t>None</t>
        </is>
      </c>
      <c r="DZ791" s="17" t="n"/>
      <c r="EA791" s="16" t="n"/>
      <c r="EB791" s="20" t="inlineStr">
        <is>
          <t>IC Organic Acids</t>
        </is>
      </c>
      <c r="EC791" s="20" t="inlineStr">
        <is>
          <t>None</t>
        </is>
      </c>
      <c r="ED791" s="17" t="n"/>
      <c r="EE791" s="16" t="n"/>
      <c r="EF791" s="20" t="inlineStr">
        <is>
          <t>IC Organic Acids</t>
        </is>
      </c>
      <c r="EG791" s="20" t="inlineStr">
        <is>
          <t>None</t>
        </is>
      </c>
      <c r="EH791" s="17" t="n"/>
      <c r="EI791" s="16" t="n"/>
      <c r="EJ791" s="20" t="inlineStr">
        <is>
          <t>IC Organic Acids</t>
        </is>
      </c>
      <c r="EK791" s="20" t="inlineStr">
        <is>
          <t>None</t>
        </is>
      </c>
      <c r="EL791" s="17" t="n"/>
      <c r="EM791" s="16" t="n"/>
      <c r="EN791" s="20" t="inlineStr">
        <is>
          <t>IC Organic Acids</t>
        </is>
      </c>
      <c r="EO791" s="20" t="inlineStr">
        <is>
          <t>None</t>
        </is>
      </c>
      <c r="EP791" s="17" t="n"/>
      <c r="EQ791" s="16" t="n"/>
      <c r="ER791" s="20" t="inlineStr">
        <is>
          <t>IC Organic Acids</t>
        </is>
      </c>
      <c r="ES791" s="20" t="inlineStr">
        <is>
          <t>None</t>
        </is>
      </c>
      <c r="ET791" s="17" t="n"/>
      <c r="EU791" s="16" t="n"/>
      <c r="EV791" s="20" t="inlineStr">
        <is>
          <t>LC-MS</t>
        </is>
      </c>
      <c r="EW791" s="20" t="inlineStr">
        <is>
          <t>None</t>
        </is>
      </c>
      <c r="EX791" s="17" t="n"/>
      <c r="EY791" s="21" t="n"/>
      <c r="EZ791">
        <f>CONCATENATE(A791,B791)</f>
        <v/>
      </c>
      <c r="FA791">
        <f>CONCATENATE(SamplesX!A791,SamplesX!B791)</f>
        <v/>
      </c>
      <c r="FC791">
        <f>MATCH(EZ791,FA1:FA1008,0)</f>
        <v/>
      </c>
    </row>
    <row r="792">
      <c r="A792" s="16" t="n"/>
      <c r="B792" s="17" t="n"/>
      <c r="C792" s="10">
        <f>IF(ISNUMBER(FC792),INDIRECT("SamplesX!C"&amp;FC792),IF(ISNUMBER(FD792),INDIRECT("SamplesY!C"&amp;FD792),""))</f>
        <v/>
      </c>
      <c r="D792" s="12">
        <f>IF(ISNUMBER(FC792),INDIRECT("SamplesX!D"&amp;FC792),IF(ISNUMBER(FD792),INDIRECT("SamplesY!D"&amp;FD792),""))</f>
        <v/>
      </c>
      <c r="E792" s="12">
        <f>IF(ISNUMBER(FC792),INDIRECT("SamplesX!E"&amp;FC792),IF(ISNUMBER(FD792),INDIRECT("SamplesY!E"&amp;FD792),""))</f>
        <v/>
      </c>
      <c r="F792" s="11">
        <f>IF(ISNUMBER(FC792),INDIRECT("SamplesX!F"&amp;FC792),IF(ISNUMBER(FD792),INDIRECT("SamplesY!F"&amp;FD792),""))</f>
        <v/>
      </c>
      <c r="G792" s="18">
        <f>IF(ISNUMBER(FC792),INDIRECT("SamplesX!G"&amp;FC792),IF(ISNUMBER(FD792),INDIRECT("SamplesY!G"&amp;FD792),""))</f>
        <v/>
      </c>
      <c r="H792" s="19">
        <f>IF(ISNUMBER(FC792),INDIRECT("SamplesX!H"&amp;FC792),IF(ISNUMBER(FD792),INDIRECT("SamplesY!H"&amp;FD792),""))</f>
        <v/>
      </c>
      <c r="I792" s="16" t="n"/>
      <c r="J792" s="16" t="n"/>
      <c r="K792" s="16" t="n"/>
      <c r="L792" s="20" t="n"/>
      <c r="M792" s="20" t="inlineStr">
        <is>
          <t>None</t>
        </is>
      </c>
      <c r="N792" s="17" t="n"/>
      <c r="O792" s="16" t="n"/>
      <c r="P792" s="20" t="inlineStr">
        <is>
          <t>Shimadzu TOC-L</t>
        </is>
      </c>
      <c r="Q792" s="20" t="inlineStr">
        <is>
          <t>None</t>
        </is>
      </c>
      <c r="R792" s="17" t="n"/>
      <c r="S792" s="16" t="n"/>
      <c r="T792" s="20" t="inlineStr">
        <is>
          <t>Shimadzu TOC-L</t>
        </is>
      </c>
      <c r="U792" s="20" t="inlineStr">
        <is>
          <t>None</t>
        </is>
      </c>
      <c r="V792" s="17" t="n"/>
      <c r="W792" s="16" t="n"/>
      <c r="X792" s="20" t="n"/>
      <c r="Y792" s="20" t="inlineStr">
        <is>
          <t>None</t>
        </is>
      </c>
      <c r="Z792" s="17" t="n"/>
      <c r="AA792" s="16" t="n"/>
      <c r="AB792" s="20" t="n"/>
      <c r="AC792" s="20" t="inlineStr">
        <is>
          <t>None</t>
        </is>
      </c>
      <c r="AD792" s="17" t="n"/>
      <c r="AE792" s="16" t="n"/>
      <c r="AF792" s="20" t="inlineStr">
        <is>
          <t>IC Anionen</t>
        </is>
      </c>
      <c r="AG792" s="20" t="inlineStr">
        <is>
          <t>None</t>
        </is>
      </c>
      <c r="AH792" s="17" t="n"/>
      <c r="AI792" s="16" t="n"/>
      <c r="AJ792" s="20" t="n"/>
      <c r="AK792" s="20" t="inlineStr">
        <is>
          <t>None</t>
        </is>
      </c>
      <c r="AL792" s="17" t="n"/>
      <c r="AM792" s="16" t="n"/>
      <c r="AN792" s="20" t="inlineStr">
        <is>
          <t>IC Anionen</t>
        </is>
      </c>
      <c r="AO792" s="20" t="inlineStr">
        <is>
          <t>None</t>
        </is>
      </c>
      <c r="AP792" s="17" t="n"/>
      <c r="AQ792" s="16" t="n"/>
      <c r="AR792" s="20" t="n"/>
      <c r="AS792" s="20" t="inlineStr">
        <is>
          <t>None</t>
        </is>
      </c>
      <c r="AT792" s="17" t="n"/>
      <c r="AU792" s="16" t="n"/>
      <c r="AV792" s="20" t="n"/>
      <c r="AW792" s="20" t="inlineStr">
        <is>
          <t>None</t>
        </is>
      </c>
      <c r="AX792" s="17" t="n"/>
      <c r="AY792" s="16" t="n"/>
      <c r="AZ792" s="20" t="inlineStr">
        <is>
          <t>IC Anionen</t>
        </is>
      </c>
      <c r="BA792" s="20" t="inlineStr">
        <is>
          <t>None</t>
        </is>
      </c>
      <c r="BB792" s="17" t="n"/>
      <c r="BC792" s="16" t="n"/>
      <c r="BD792" s="20" t="inlineStr">
        <is>
          <t>IC Kationen</t>
        </is>
      </c>
      <c r="BE792" s="20" t="inlineStr">
        <is>
          <t>None</t>
        </is>
      </c>
      <c r="BF792" s="17" t="n"/>
      <c r="BG792" s="16" t="n"/>
      <c r="BH792" s="20" t="inlineStr">
        <is>
          <t>IC Kationen</t>
        </is>
      </c>
      <c r="BI792" s="20" t="inlineStr">
        <is>
          <t>None</t>
        </is>
      </c>
      <c r="BJ792" s="17" t="n"/>
      <c r="BK792" s="16" t="n"/>
      <c r="BL792" s="20" t="inlineStr">
        <is>
          <t>IC Kationen</t>
        </is>
      </c>
      <c r="BM792" s="20" t="inlineStr">
        <is>
          <t>None</t>
        </is>
      </c>
      <c r="BN792" s="17" t="n"/>
      <c r="BO792" s="16" t="n"/>
      <c r="BP792" s="20" t="inlineStr">
        <is>
          <t>IC Kationen</t>
        </is>
      </c>
      <c r="BQ792" s="20" t="inlineStr">
        <is>
          <t>None</t>
        </is>
      </c>
      <c r="BR792" s="17" t="n"/>
      <c r="BS792" s="16" t="n"/>
      <c r="BT792" s="20" t="inlineStr">
        <is>
          <t>IC Kationen</t>
        </is>
      </c>
      <c r="BU792" s="20" t="inlineStr">
        <is>
          <t>None</t>
        </is>
      </c>
      <c r="BV792" s="17" t="n"/>
      <c r="BW792" s="16" t="n"/>
      <c r="BX792" s="20" t="n"/>
      <c r="BY792" s="20" t="inlineStr">
        <is>
          <t>None</t>
        </is>
      </c>
      <c r="BZ792" s="17" t="n"/>
      <c r="CA792" s="16" t="n"/>
      <c r="CB792" s="20" t="n"/>
      <c r="CC792" s="20" t="inlineStr">
        <is>
          <t>None</t>
        </is>
      </c>
      <c r="CD792" s="17" t="n"/>
      <c r="CE792" s="16" t="n"/>
      <c r="CF792" s="20" t="n"/>
      <c r="CG792" s="20" t="inlineStr">
        <is>
          <t>None</t>
        </is>
      </c>
      <c r="CH792" s="17" t="n"/>
      <c r="CI792" s="16" t="n"/>
      <c r="CJ792" s="20" t="n"/>
      <c r="CK792" s="20" t="inlineStr">
        <is>
          <t>None</t>
        </is>
      </c>
      <c r="CL792" s="17" t="n"/>
      <c r="CM792" s="16" t="n"/>
      <c r="CN792" s="20" t="inlineStr">
        <is>
          <t>SOP 45-34</t>
        </is>
      </c>
      <c r="CO792" s="20" t="inlineStr">
        <is>
          <t>None</t>
        </is>
      </c>
      <c r="CP792" s="17" t="n"/>
      <c r="CQ792" s="16" t="n"/>
      <c r="CR792" s="20" t="n"/>
      <c r="CS792" s="20" t="inlineStr">
        <is>
          <t>None</t>
        </is>
      </c>
      <c r="CT792" s="17" t="n"/>
      <c r="CU792" s="16" t="n"/>
      <c r="CV792" s="20" t="n"/>
      <c r="CW792" s="20" t="inlineStr">
        <is>
          <t>None</t>
        </is>
      </c>
      <c r="CX792" s="17" t="n"/>
      <c r="CY792" s="16" t="n"/>
      <c r="CZ792" s="20" t="inlineStr">
        <is>
          <t>WTW Multimeter 3430 with FDO 925</t>
        </is>
      </c>
      <c r="DA792" s="20" t="inlineStr">
        <is>
          <t>None</t>
        </is>
      </c>
      <c r="DB792" s="17" t="n"/>
      <c r="DC792" s="16" t="n"/>
      <c r="DD792" s="20" t="n"/>
      <c r="DE792" s="20" t="inlineStr">
        <is>
          <t>None</t>
        </is>
      </c>
      <c r="DF792" s="17" t="n"/>
      <c r="DG792" s="16" t="n"/>
      <c r="DH792" s="20" t="inlineStr">
        <is>
          <t>SOP 45-09</t>
        </is>
      </c>
      <c r="DI792" s="20" t="inlineStr">
        <is>
          <t>None</t>
        </is>
      </c>
      <c r="DJ792" s="17" t="n"/>
      <c r="DK792" s="16" t="n"/>
      <c r="DL792" s="20" t="inlineStr">
        <is>
          <t>SOP 45-09 (SOP muss noch angepasst werden für VSS)</t>
        </is>
      </c>
      <c r="DM792" s="20" t="inlineStr">
        <is>
          <t>None</t>
        </is>
      </c>
      <c r="DN792" s="17" t="n"/>
      <c r="DO792" s="16" t="n"/>
      <c r="DP792" s="20" t="inlineStr">
        <is>
          <t>IC Organic Acids</t>
        </is>
      </c>
      <c r="DQ792" s="20" t="inlineStr">
        <is>
          <t>None</t>
        </is>
      </c>
      <c r="DR792" s="17" t="n"/>
      <c r="DS792" s="16" t="n"/>
      <c r="DT792" s="20" t="inlineStr">
        <is>
          <t>IC Organic Acids</t>
        </is>
      </c>
      <c r="DU792" s="20" t="inlineStr">
        <is>
          <t>None</t>
        </is>
      </c>
      <c r="DV792" s="17" t="n"/>
      <c r="DW792" s="16" t="n"/>
      <c r="DX792" s="20" t="inlineStr">
        <is>
          <t>IC Organic Acids</t>
        </is>
      </c>
      <c r="DY792" s="20" t="inlineStr">
        <is>
          <t>None</t>
        </is>
      </c>
      <c r="DZ792" s="17" t="n"/>
      <c r="EA792" s="16" t="n"/>
      <c r="EB792" s="20" t="inlineStr">
        <is>
          <t>IC Organic Acids</t>
        </is>
      </c>
      <c r="EC792" s="20" t="inlineStr">
        <is>
          <t>None</t>
        </is>
      </c>
      <c r="ED792" s="17" t="n"/>
      <c r="EE792" s="16" t="n"/>
      <c r="EF792" s="20" t="inlineStr">
        <is>
          <t>IC Organic Acids</t>
        </is>
      </c>
      <c r="EG792" s="20" t="inlineStr">
        <is>
          <t>None</t>
        </is>
      </c>
      <c r="EH792" s="17" t="n"/>
      <c r="EI792" s="16" t="n"/>
      <c r="EJ792" s="20" t="inlineStr">
        <is>
          <t>IC Organic Acids</t>
        </is>
      </c>
      <c r="EK792" s="20" t="inlineStr">
        <is>
          <t>None</t>
        </is>
      </c>
      <c r="EL792" s="17" t="n"/>
      <c r="EM792" s="16" t="n"/>
      <c r="EN792" s="20" t="inlineStr">
        <is>
          <t>IC Organic Acids</t>
        </is>
      </c>
      <c r="EO792" s="20" t="inlineStr">
        <is>
          <t>None</t>
        </is>
      </c>
      <c r="EP792" s="17" t="n"/>
      <c r="EQ792" s="16" t="n"/>
      <c r="ER792" s="20" t="inlineStr">
        <is>
          <t>IC Organic Acids</t>
        </is>
      </c>
      <c r="ES792" s="20" t="inlineStr">
        <is>
          <t>None</t>
        </is>
      </c>
      <c r="ET792" s="17" t="n"/>
      <c r="EU792" s="16" t="n"/>
      <c r="EV792" s="20" t="inlineStr">
        <is>
          <t>LC-MS</t>
        </is>
      </c>
      <c r="EW792" s="20" t="inlineStr">
        <is>
          <t>None</t>
        </is>
      </c>
      <c r="EX792" s="17" t="n"/>
      <c r="EY792" s="21" t="n"/>
      <c r="EZ792">
        <f>CONCATENATE(A792,B792)</f>
        <v/>
      </c>
      <c r="FA792">
        <f>CONCATENATE(SamplesX!A792,SamplesX!B792)</f>
        <v/>
      </c>
      <c r="FC792">
        <f>MATCH(EZ792,FA1:FA1008,0)</f>
        <v/>
      </c>
    </row>
    <row r="793">
      <c r="A793" s="16" t="n"/>
      <c r="B793" s="17" t="n"/>
      <c r="C793" s="10">
        <f>IF(ISNUMBER(FC793),INDIRECT("SamplesX!C"&amp;FC793),IF(ISNUMBER(FD793),INDIRECT("SamplesY!C"&amp;FD793),""))</f>
        <v/>
      </c>
      <c r="D793" s="12">
        <f>IF(ISNUMBER(FC793),INDIRECT("SamplesX!D"&amp;FC793),IF(ISNUMBER(FD793),INDIRECT("SamplesY!D"&amp;FD793),""))</f>
        <v/>
      </c>
      <c r="E793" s="12">
        <f>IF(ISNUMBER(FC793),INDIRECT("SamplesX!E"&amp;FC793),IF(ISNUMBER(FD793),INDIRECT("SamplesY!E"&amp;FD793),""))</f>
        <v/>
      </c>
      <c r="F793" s="11">
        <f>IF(ISNUMBER(FC793),INDIRECT("SamplesX!F"&amp;FC793),IF(ISNUMBER(FD793),INDIRECT("SamplesY!F"&amp;FD793),""))</f>
        <v/>
      </c>
      <c r="G793" s="18">
        <f>IF(ISNUMBER(FC793),INDIRECT("SamplesX!G"&amp;FC793),IF(ISNUMBER(FD793),INDIRECT("SamplesY!G"&amp;FD793),""))</f>
        <v/>
      </c>
      <c r="H793" s="19">
        <f>IF(ISNUMBER(FC793),INDIRECT("SamplesX!H"&amp;FC793),IF(ISNUMBER(FD793),INDIRECT("SamplesY!H"&amp;FD793),""))</f>
        <v/>
      </c>
      <c r="I793" s="16" t="n"/>
      <c r="J793" s="16" t="n"/>
      <c r="K793" s="16" t="n"/>
      <c r="L793" s="20" t="n"/>
      <c r="M793" s="20" t="inlineStr">
        <is>
          <t>None</t>
        </is>
      </c>
      <c r="N793" s="17" t="n"/>
      <c r="O793" s="16" t="n"/>
      <c r="P793" s="20" t="inlineStr">
        <is>
          <t>Shimadzu TOC-L</t>
        </is>
      </c>
      <c r="Q793" s="20" t="inlineStr">
        <is>
          <t>None</t>
        </is>
      </c>
      <c r="R793" s="17" t="n"/>
      <c r="S793" s="16" t="n"/>
      <c r="T793" s="20" t="inlineStr">
        <is>
          <t>Shimadzu TOC-L</t>
        </is>
      </c>
      <c r="U793" s="20" t="inlineStr">
        <is>
          <t>None</t>
        </is>
      </c>
      <c r="V793" s="17" t="n"/>
      <c r="W793" s="16" t="n"/>
      <c r="X793" s="20" t="n"/>
      <c r="Y793" s="20" t="inlineStr">
        <is>
          <t>None</t>
        </is>
      </c>
      <c r="Z793" s="17" t="n"/>
      <c r="AA793" s="16" t="n"/>
      <c r="AB793" s="20" t="n"/>
      <c r="AC793" s="20" t="inlineStr">
        <is>
          <t>None</t>
        </is>
      </c>
      <c r="AD793" s="17" t="n"/>
      <c r="AE793" s="16" t="n"/>
      <c r="AF793" s="20" t="inlineStr">
        <is>
          <t>IC Anionen</t>
        </is>
      </c>
      <c r="AG793" s="20" t="inlineStr">
        <is>
          <t>None</t>
        </is>
      </c>
      <c r="AH793" s="17" t="n"/>
      <c r="AI793" s="16" t="n"/>
      <c r="AJ793" s="20" t="n"/>
      <c r="AK793" s="20" t="inlineStr">
        <is>
          <t>None</t>
        </is>
      </c>
      <c r="AL793" s="17" t="n"/>
      <c r="AM793" s="16" t="n"/>
      <c r="AN793" s="20" t="inlineStr">
        <is>
          <t>IC Anionen</t>
        </is>
      </c>
      <c r="AO793" s="20" t="inlineStr">
        <is>
          <t>None</t>
        </is>
      </c>
      <c r="AP793" s="17" t="n"/>
      <c r="AQ793" s="16" t="n"/>
      <c r="AR793" s="20" t="n"/>
      <c r="AS793" s="20" t="inlineStr">
        <is>
          <t>None</t>
        </is>
      </c>
      <c r="AT793" s="17" t="n"/>
      <c r="AU793" s="16" t="n"/>
      <c r="AV793" s="20" t="n"/>
      <c r="AW793" s="20" t="inlineStr">
        <is>
          <t>None</t>
        </is>
      </c>
      <c r="AX793" s="17" t="n"/>
      <c r="AY793" s="16" t="n"/>
      <c r="AZ793" s="20" t="inlineStr">
        <is>
          <t>IC Anionen</t>
        </is>
      </c>
      <c r="BA793" s="20" t="inlineStr">
        <is>
          <t>None</t>
        </is>
      </c>
      <c r="BB793" s="17" t="n"/>
      <c r="BC793" s="16" t="n"/>
      <c r="BD793" s="20" t="inlineStr">
        <is>
          <t>IC Kationen</t>
        </is>
      </c>
      <c r="BE793" s="20" t="inlineStr">
        <is>
          <t>None</t>
        </is>
      </c>
      <c r="BF793" s="17" t="n"/>
      <c r="BG793" s="16" t="n"/>
      <c r="BH793" s="20" t="inlineStr">
        <is>
          <t>IC Kationen</t>
        </is>
      </c>
      <c r="BI793" s="20" t="inlineStr">
        <is>
          <t>None</t>
        </is>
      </c>
      <c r="BJ793" s="17" t="n"/>
      <c r="BK793" s="16" t="n"/>
      <c r="BL793" s="20" t="inlineStr">
        <is>
          <t>IC Kationen</t>
        </is>
      </c>
      <c r="BM793" s="20" t="inlineStr">
        <is>
          <t>None</t>
        </is>
      </c>
      <c r="BN793" s="17" t="n"/>
      <c r="BO793" s="16" t="n"/>
      <c r="BP793" s="20" t="inlineStr">
        <is>
          <t>IC Kationen</t>
        </is>
      </c>
      <c r="BQ793" s="20" t="inlineStr">
        <is>
          <t>None</t>
        </is>
      </c>
      <c r="BR793" s="17" t="n"/>
      <c r="BS793" s="16" t="n"/>
      <c r="BT793" s="20" t="inlineStr">
        <is>
          <t>IC Kationen</t>
        </is>
      </c>
      <c r="BU793" s="20" t="inlineStr">
        <is>
          <t>None</t>
        </is>
      </c>
      <c r="BV793" s="17" t="n"/>
      <c r="BW793" s="16" t="n"/>
      <c r="BX793" s="20" t="n"/>
      <c r="BY793" s="20" t="inlineStr">
        <is>
          <t>None</t>
        </is>
      </c>
      <c r="BZ793" s="17" t="n"/>
      <c r="CA793" s="16" t="n"/>
      <c r="CB793" s="20" t="n"/>
      <c r="CC793" s="20" t="inlineStr">
        <is>
          <t>None</t>
        </is>
      </c>
      <c r="CD793" s="17" t="n"/>
      <c r="CE793" s="16" t="n"/>
      <c r="CF793" s="20" t="n"/>
      <c r="CG793" s="20" t="inlineStr">
        <is>
          <t>None</t>
        </is>
      </c>
      <c r="CH793" s="17" t="n"/>
      <c r="CI793" s="16" t="n"/>
      <c r="CJ793" s="20" t="n"/>
      <c r="CK793" s="20" t="inlineStr">
        <is>
          <t>None</t>
        </is>
      </c>
      <c r="CL793" s="17" t="n"/>
      <c r="CM793" s="16" t="n"/>
      <c r="CN793" s="20" t="inlineStr">
        <is>
          <t>SOP 45-34</t>
        </is>
      </c>
      <c r="CO793" s="20" t="inlineStr">
        <is>
          <t>None</t>
        </is>
      </c>
      <c r="CP793" s="17" t="n"/>
      <c r="CQ793" s="16" t="n"/>
      <c r="CR793" s="20" t="n"/>
      <c r="CS793" s="20" t="inlineStr">
        <is>
          <t>None</t>
        </is>
      </c>
      <c r="CT793" s="17" t="n"/>
      <c r="CU793" s="16" t="n"/>
      <c r="CV793" s="20" t="n"/>
      <c r="CW793" s="20" t="inlineStr">
        <is>
          <t>None</t>
        </is>
      </c>
      <c r="CX793" s="17" t="n"/>
      <c r="CY793" s="16" t="n"/>
      <c r="CZ793" s="20" t="inlineStr">
        <is>
          <t>WTW Multimeter 3430 with FDO 925</t>
        </is>
      </c>
      <c r="DA793" s="20" t="inlineStr">
        <is>
          <t>None</t>
        </is>
      </c>
      <c r="DB793" s="17" t="n"/>
      <c r="DC793" s="16" t="n"/>
      <c r="DD793" s="20" t="n"/>
      <c r="DE793" s="20" t="inlineStr">
        <is>
          <t>None</t>
        </is>
      </c>
      <c r="DF793" s="17" t="n"/>
      <c r="DG793" s="16" t="n"/>
      <c r="DH793" s="20" t="inlineStr">
        <is>
          <t>SOP 45-09</t>
        </is>
      </c>
      <c r="DI793" s="20" t="inlineStr">
        <is>
          <t>None</t>
        </is>
      </c>
      <c r="DJ793" s="17" t="n"/>
      <c r="DK793" s="16" t="n"/>
      <c r="DL793" s="20" t="inlineStr">
        <is>
          <t>SOP 45-09 (SOP muss noch angepasst werden für VSS)</t>
        </is>
      </c>
      <c r="DM793" s="20" t="inlineStr">
        <is>
          <t>None</t>
        </is>
      </c>
      <c r="DN793" s="17" t="n"/>
      <c r="DO793" s="16" t="n"/>
      <c r="DP793" s="20" t="inlineStr">
        <is>
          <t>IC Organic Acids</t>
        </is>
      </c>
      <c r="DQ793" s="20" t="inlineStr">
        <is>
          <t>None</t>
        </is>
      </c>
      <c r="DR793" s="17" t="n"/>
      <c r="DS793" s="16" t="n"/>
      <c r="DT793" s="20" t="inlineStr">
        <is>
          <t>IC Organic Acids</t>
        </is>
      </c>
      <c r="DU793" s="20" t="inlineStr">
        <is>
          <t>None</t>
        </is>
      </c>
      <c r="DV793" s="17" t="n"/>
      <c r="DW793" s="16" t="n"/>
      <c r="DX793" s="20" t="inlineStr">
        <is>
          <t>IC Organic Acids</t>
        </is>
      </c>
      <c r="DY793" s="20" t="inlineStr">
        <is>
          <t>None</t>
        </is>
      </c>
      <c r="DZ793" s="17" t="n"/>
      <c r="EA793" s="16" t="n"/>
      <c r="EB793" s="20" t="inlineStr">
        <is>
          <t>IC Organic Acids</t>
        </is>
      </c>
      <c r="EC793" s="20" t="inlineStr">
        <is>
          <t>None</t>
        </is>
      </c>
      <c r="ED793" s="17" t="n"/>
      <c r="EE793" s="16" t="n"/>
      <c r="EF793" s="20" t="inlineStr">
        <is>
          <t>IC Organic Acids</t>
        </is>
      </c>
      <c r="EG793" s="20" t="inlineStr">
        <is>
          <t>None</t>
        </is>
      </c>
      <c r="EH793" s="17" t="n"/>
      <c r="EI793" s="16" t="n"/>
      <c r="EJ793" s="20" t="inlineStr">
        <is>
          <t>IC Organic Acids</t>
        </is>
      </c>
      <c r="EK793" s="20" t="inlineStr">
        <is>
          <t>None</t>
        </is>
      </c>
      <c r="EL793" s="17" t="n"/>
      <c r="EM793" s="16" t="n"/>
      <c r="EN793" s="20" t="inlineStr">
        <is>
          <t>IC Organic Acids</t>
        </is>
      </c>
      <c r="EO793" s="20" t="inlineStr">
        <is>
          <t>None</t>
        </is>
      </c>
      <c r="EP793" s="17" t="n"/>
      <c r="EQ793" s="16" t="n"/>
      <c r="ER793" s="20" t="inlineStr">
        <is>
          <t>IC Organic Acids</t>
        </is>
      </c>
      <c r="ES793" s="20" t="inlineStr">
        <is>
          <t>None</t>
        </is>
      </c>
      <c r="ET793" s="17" t="n"/>
      <c r="EU793" s="16" t="n"/>
      <c r="EV793" s="20" t="inlineStr">
        <is>
          <t>LC-MS</t>
        </is>
      </c>
      <c r="EW793" s="20" t="inlineStr">
        <is>
          <t>None</t>
        </is>
      </c>
      <c r="EX793" s="17" t="n"/>
      <c r="EY793" s="21" t="n"/>
      <c r="EZ793">
        <f>CONCATENATE(A793,B793)</f>
        <v/>
      </c>
      <c r="FA793">
        <f>CONCATENATE(SamplesX!A793,SamplesX!B793)</f>
        <v/>
      </c>
      <c r="FC793">
        <f>MATCH(EZ793,FA1:FA1008,0)</f>
        <v/>
      </c>
    </row>
    <row r="794">
      <c r="A794" s="16" t="n"/>
      <c r="B794" s="17" t="n"/>
      <c r="C794" s="10">
        <f>IF(ISNUMBER(FC794),INDIRECT("SamplesX!C"&amp;FC794),IF(ISNUMBER(FD794),INDIRECT("SamplesY!C"&amp;FD794),""))</f>
        <v/>
      </c>
      <c r="D794" s="12">
        <f>IF(ISNUMBER(FC794),INDIRECT("SamplesX!D"&amp;FC794),IF(ISNUMBER(FD794),INDIRECT("SamplesY!D"&amp;FD794),""))</f>
        <v/>
      </c>
      <c r="E794" s="12">
        <f>IF(ISNUMBER(FC794),INDIRECT("SamplesX!E"&amp;FC794),IF(ISNUMBER(FD794),INDIRECT("SamplesY!E"&amp;FD794),""))</f>
        <v/>
      </c>
      <c r="F794" s="11">
        <f>IF(ISNUMBER(FC794),INDIRECT("SamplesX!F"&amp;FC794),IF(ISNUMBER(FD794),INDIRECT("SamplesY!F"&amp;FD794),""))</f>
        <v/>
      </c>
      <c r="G794" s="18">
        <f>IF(ISNUMBER(FC794),INDIRECT("SamplesX!G"&amp;FC794),IF(ISNUMBER(FD794),INDIRECT("SamplesY!G"&amp;FD794),""))</f>
        <v/>
      </c>
      <c r="H794" s="19">
        <f>IF(ISNUMBER(FC794),INDIRECT("SamplesX!H"&amp;FC794),IF(ISNUMBER(FD794),INDIRECT("SamplesY!H"&amp;FD794),""))</f>
        <v/>
      </c>
      <c r="I794" s="16" t="n"/>
      <c r="J794" s="16" t="n"/>
      <c r="K794" s="16" t="n"/>
      <c r="L794" s="20" t="n"/>
      <c r="M794" s="20" t="inlineStr">
        <is>
          <t>None</t>
        </is>
      </c>
      <c r="N794" s="17" t="n"/>
      <c r="O794" s="16" t="n"/>
      <c r="P794" s="20" t="inlineStr">
        <is>
          <t>Shimadzu TOC-L</t>
        </is>
      </c>
      <c r="Q794" s="20" t="inlineStr">
        <is>
          <t>None</t>
        </is>
      </c>
      <c r="R794" s="17" t="n"/>
      <c r="S794" s="16" t="n"/>
      <c r="T794" s="20" t="inlineStr">
        <is>
          <t>Shimadzu TOC-L</t>
        </is>
      </c>
      <c r="U794" s="20" t="inlineStr">
        <is>
          <t>None</t>
        </is>
      </c>
      <c r="V794" s="17" t="n"/>
      <c r="W794" s="16" t="n"/>
      <c r="X794" s="20" t="n"/>
      <c r="Y794" s="20" t="inlineStr">
        <is>
          <t>None</t>
        </is>
      </c>
      <c r="Z794" s="17" t="n"/>
      <c r="AA794" s="16" t="n"/>
      <c r="AB794" s="20" t="n"/>
      <c r="AC794" s="20" t="inlineStr">
        <is>
          <t>None</t>
        </is>
      </c>
      <c r="AD794" s="17" t="n"/>
      <c r="AE794" s="16" t="n"/>
      <c r="AF794" s="20" t="inlineStr">
        <is>
          <t>IC Anionen</t>
        </is>
      </c>
      <c r="AG794" s="20" t="inlineStr">
        <is>
          <t>None</t>
        </is>
      </c>
      <c r="AH794" s="17" t="n"/>
      <c r="AI794" s="16" t="n"/>
      <c r="AJ794" s="20" t="n"/>
      <c r="AK794" s="20" t="inlineStr">
        <is>
          <t>None</t>
        </is>
      </c>
      <c r="AL794" s="17" t="n"/>
      <c r="AM794" s="16" t="n"/>
      <c r="AN794" s="20" t="inlineStr">
        <is>
          <t>IC Anionen</t>
        </is>
      </c>
      <c r="AO794" s="20" t="inlineStr">
        <is>
          <t>None</t>
        </is>
      </c>
      <c r="AP794" s="17" t="n"/>
      <c r="AQ794" s="16" t="n"/>
      <c r="AR794" s="20" t="n"/>
      <c r="AS794" s="20" t="inlineStr">
        <is>
          <t>None</t>
        </is>
      </c>
      <c r="AT794" s="17" t="n"/>
      <c r="AU794" s="16" t="n"/>
      <c r="AV794" s="20" t="n"/>
      <c r="AW794" s="20" t="inlineStr">
        <is>
          <t>None</t>
        </is>
      </c>
      <c r="AX794" s="17" t="n"/>
      <c r="AY794" s="16" t="n"/>
      <c r="AZ794" s="20" t="inlineStr">
        <is>
          <t>IC Anionen</t>
        </is>
      </c>
      <c r="BA794" s="20" t="inlineStr">
        <is>
          <t>None</t>
        </is>
      </c>
      <c r="BB794" s="17" t="n"/>
      <c r="BC794" s="16" t="n"/>
      <c r="BD794" s="20" t="inlineStr">
        <is>
          <t>IC Kationen</t>
        </is>
      </c>
      <c r="BE794" s="20" t="inlineStr">
        <is>
          <t>None</t>
        </is>
      </c>
      <c r="BF794" s="17" t="n"/>
      <c r="BG794" s="16" t="n"/>
      <c r="BH794" s="20" t="inlineStr">
        <is>
          <t>IC Kationen</t>
        </is>
      </c>
      <c r="BI794" s="20" t="inlineStr">
        <is>
          <t>None</t>
        </is>
      </c>
      <c r="BJ794" s="17" t="n"/>
      <c r="BK794" s="16" t="n"/>
      <c r="BL794" s="20" t="inlineStr">
        <is>
          <t>IC Kationen</t>
        </is>
      </c>
      <c r="BM794" s="20" t="inlineStr">
        <is>
          <t>None</t>
        </is>
      </c>
      <c r="BN794" s="17" t="n"/>
      <c r="BO794" s="16" t="n"/>
      <c r="BP794" s="20" t="inlineStr">
        <is>
          <t>IC Kationen</t>
        </is>
      </c>
      <c r="BQ794" s="20" t="inlineStr">
        <is>
          <t>None</t>
        </is>
      </c>
      <c r="BR794" s="17" t="n"/>
      <c r="BS794" s="16" t="n"/>
      <c r="BT794" s="20" t="inlineStr">
        <is>
          <t>IC Kationen</t>
        </is>
      </c>
      <c r="BU794" s="20" t="inlineStr">
        <is>
          <t>None</t>
        </is>
      </c>
      <c r="BV794" s="17" t="n"/>
      <c r="BW794" s="16" t="n"/>
      <c r="BX794" s="20" t="n"/>
      <c r="BY794" s="20" t="inlineStr">
        <is>
          <t>None</t>
        </is>
      </c>
      <c r="BZ794" s="17" t="n"/>
      <c r="CA794" s="16" t="n"/>
      <c r="CB794" s="20" t="n"/>
      <c r="CC794" s="20" t="inlineStr">
        <is>
          <t>None</t>
        </is>
      </c>
      <c r="CD794" s="17" t="n"/>
      <c r="CE794" s="16" t="n"/>
      <c r="CF794" s="20" t="n"/>
      <c r="CG794" s="20" t="inlineStr">
        <is>
          <t>None</t>
        </is>
      </c>
      <c r="CH794" s="17" t="n"/>
      <c r="CI794" s="16" t="n"/>
      <c r="CJ794" s="20" t="n"/>
      <c r="CK794" s="20" t="inlineStr">
        <is>
          <t>None</t>
        </is>
      </c>
      <c r="CL794" s="17" t="n"/>
      <c r="CM794" s="16" t="n"/>
      <c r="CN794" s="20" t="inlineStr">
        <is>
          <t>SOP 45-34</t>
        </is>
      </c>
      <c r="CO794" s="20" t="inlineStr">
        <is>
          <t>None</t>
        </is>
      </c>
      <c r="CP794" s="17" t="n"/>
      <c r="CQ794" s="16" t="n"/>
      <c r="CR794" s="20" t="n"/>
      <c r="CS794" s="20" t="inlineStr">
        <is>
          <t>None</t>
        </is>
      </c>
      <c r="CT794" s="17" t="n"/>
      <c r="CU794" s="16" t="n"/>
      <c r="CV794" s="20" t="n"/>
      <c r="CW794" s="20" t="inlineStr">
        <is>
          <t>None</t>
        </is>
      </c>
      <c r="CX794" s="17" t="n"/>
      <c r="CY794" s="16" t="n"/>
      <c r="CZ794" s="20" t="inlineStr">
        <is>
          <t>WTW Multimeter 3430 with FDO 925</t>
        </is>
      </c>
      <c r="DA794" s="20" t="inlineStr">
        <is>
          <t>None</t>
        </is>
      </c>
      <c r="DB794" s="17" t="n"/>
      <c r="DC794" s="16" t="n"/>
      <c r="DD794" s="20" t="n"/>
      <c r="DE794" s="20" t="inlineStr">
        <is>
          <t>None</t>
        </is>
      </c>
      <c r="DF794" s="17" t="n"/>
      <c r="DG794" s="16" t="n"/>
      <c r="DH794" s="20" t="inlineStr">
        <is>
          <t>SOP 45-09</t>
        </is>
      </c>
      <c r="DI794" s="20" t="inlineStr">
        <is>
          <t>None</t>
        </is>
      </c>
      <c r="DJ794" s="17" t="n"/>
      <c r="DK794" s="16" t="n"/>
      <c r="DL794" s="20" t="inlineStr">
        <is>
          <t>SOP 45-09 (SOP muss noch angepasst werden für VSS)</t>
        </is>
      </c>
      <c r="DM794" s="20" t="inlineStr">
        <is>
          <t>None</t>
        </is>
      </c>
      <c r="DN794" s="17" t="n"/>
      <c r="DO794" s="16" t="n"/>
      <c r="DP794" s="20" t="inlineStr">
        <is>
          <t>IC Organic Acids</t>
        </is>
      </c>
      <c r="DQ794" s="20" t="inlineStr">
        <is>
          <t>None</t>
        </is>
      </c>
      <c r="DR794" s="17" t="n"/>
      <c r="DS794" s="16" t="n"/>
      <c r="DT794" s="20" t="inlineStr">
        <is>
          <t>IC Organic Acids</t>
        </is>
      </c>
      <c r="DU794" s="20" t="inlineStr">
        <is>
          <t>None</t>
        </is>
      </c>
      <c r="DV794" s="17" t="n"/>
      <c r="DW794" s="16" t="n"/>
      <c r="DX794" s="20" t="inlineStr">
        <is>
          <t>IC Organic Acids</t>
        </is>
      </c>
      <c r="DY794" s="20" t="inlineStr">
        <is>
          <t>None</t>
        </is>
      </c>
      <c r="DZ794" s="17" t="n"/>
      <c r="EA794" s="16" t="n"/>
      <c r="EB794" s="20" t="inlineStr">
        <is>
          <t>IC Organic Acids</t>
        </is>
      </c>
      <c r="EC794" s="20" t="inlineStr">
        <is>
          <t>None</t>
        </is>
      </c>
      <c r="ED794" s="17" t="n"/>
      <c r="EE794" s="16" t="n"/>
      <c r="EF794" s="20" t="inlineStr">
        <is>
          <t>IC Organic Acids</t>
        </is>
      </c>
      <c r="EG794" s="20" t="inlineStr">
        <is>
          <t>None</t>
        </is>
      </c>
      <c r="EH794" s="17" t="n"/>
      <c r="EI794" s="16" t="n"/>
      <c r="EJ794" s="20" t="inlineStr">
        <is>
          <t>IC Organic Acids</t>
        </is>
      </c>
      <c r="EK794" s="20" t="inlineStr">
        <is>
          <t>None</t>
        </is>
      </c>
      <c r="EL794" s="17" t="n"/>
      <c r="EM794" s="16" t="n"/>
      <c r="EN794" s="20" t="inlineStr">
        <is>
          <t>IC Organic Acids</t>
        </is>
      </c>
      <c r="EO794" s="20" t="inlineStr">
        <is>
          <t>None</t>
        </is>
      </c>
      <c r="EP794" s="17" t="n"/>
      <c r="EQ794" s="16" t="n"/>
      <c r="ER794" s="20" t="inlineStr">
        <is>
          <t>IC Organic Acids</t>
        </is>
      </c>
      <c r="ES794" s="20" t="inlineStr">
        <is>
          <t>None</t>
        </is>
      </c>
      <c r="ET794" s="17" t="n"/>
      <c r="EU794" s="16" t="n"/>
      <c r="EV794" s="20" t="inlineStr">
        <is>
          <t>LC-MS</t>
        </is>
      </c>
      <c r="EW794" s="20" t="inlineStr">
        <is>
          <t>None</t>
        </is>
      </c>
      <c r="EX794" s="17" t="n"/>
      <c r="EY794" s="21" t="n"/>
      <c r="EZ794">
        <f>CONCATENATE(A794,B794)</f>
        <v/>
      </c>
      <c r="FA794">
        <f>CONCATENATE(SamplesX!A794,SamplesX!B794)</f>
        <v/>
      </c>
      <c r="FC794">
        <f>MATCH(EZ794,FA1:FA1008,0)</f>
        <v/>
      </c>
    </row>
    <row r="795">
      <c r="A795" s="16" t="n"/>
      <c r="B795" s="17" t="n"/>
      <c r="C795" s="10">
        <f>IF(ISNUMBER(FC795),INDIRECT("SamplesX!C"&amp;FC795),IF(ISNUMBER(FD795),INDIRECT("SamplesY!C"&amp;FD795),""))</f>
        <v/>
      </c>
      <c r="D795" s="12">
        <f>IF(ISNUMBER(FC795),INDIRECT("SamplesX!D"&amp;FC795),IF(ISNUMBER(FD795),INDIRECT("SamplesY!D"&amp;FD795),""))</f>
        <v/>
      </c>
      <c r="E795" s="12">
        <f>IF(ISNUMBER(FC795),INDIRECT("SamplesX!E"&amp;FC795),IF(ISNUMBER(FD795),INDIRECT("SamplesY!E"&amp;FD795),""))</f>
        <v/>
      </c>
      <c r="F795" s="11">
        <f>IF(ISNUMBER(FC795),INDIRECT("SamplesX!F"&amp;FC795),IF(ISNUMBER(FD795),INDIRECT("SamplesY!F"&amp;FD795),""))</f>
        <v/>
      </c>
      <c r="G795" s="18">
        <f>IF(ISNUMBER(FC795),INDIRECT("SamplesX!G"&amp;FC795),IF(ISNUMBER(FD795),INDIRECT("SamplesY!G"&amp;FD795),""))</f>
        <v/>
      </c>
      <c r="H795" s="19">
        <f>IF(ISNUMBER(FC795),INDIRECT("SamplesX!H"&amp;FC795),IF(ISNUMBER(FD795),INDIRECT("SamplesY!H"&amp;FD795),""))</f>
        <v/>
      </c>
      <c r="I795" s="16" t="n"/>
      <c r="J795" s="16" t="n"/>
      <c r="K795" s="16" t="n"/>
      <c r="L795" s="20" t="n"/>
      <c r="M795" s="20" t="inlineStr">
        <is>
          <t>None</t>
        </is>
      </c>
      <c r="N795" s="17" t="n"/>
      <c r="O795" s="16" t="n"/>
      <c r="P795" s="20" t="inlineStr">
        <is>
          <t>Shimadzu TOC-L</t>
        </is>
      </c>
      <c r="Q795" s="20" t="inlineStr">
        <is>
          <t>None</t>
        </is>
      </c>
      <c r="R795" s="17" t="n"/>
      <c r="S795" s="16" t="n"/>
      <c r="T795" s="20" t="inlineStr">
        <is>
          <t>Shimadzu TOC-L</t>
        </is>
      </c>
      <c r="U795" s="20" t="inlineStr">
        <is>
          <t>None</t>
        </is>
      </c>
      <c r="V795" s="17" t="n"/>
      <c r="W795" s="16" t="n"/>
      <c r="X795" s="20" t="n"/>
      <c r="Y795" s="20" t="inlineStr">
        <is>
          <t>None</t>
        </is>
      </c>
      <c r="Z795" s="17" t="n"/>
      <c r="AA795" s="16" t="n"/>
      <c r="AB795" s="20" t="n"/>
      <c r="AC795" s="20" t="inlineStr">
        <is>
          <t>None</t>
        </is>
      </c>
      <c r="AD795" s="17" t="n"/>
      <c r="AE795" s="16" t="n"/>
      <c r="AF795" s="20" t="inlineStr">
        <is>
          <t>IC Anionen</t>
        </is>
      </c>
      <c r="AG795" s="20" t="inlineStr">
        <is>
          <t>None</t>
        </is>
      </c>
      <c r="AH795" s="17" t="n"/>
      <c r="AI795" s="16" t="n"/>
      <c r="AJ795" s="20" t="n"/>
      <c r="AK795" s="20" t="inlineStr">
        <is>
          <t>None</t>
        </is>
      </c>
      <c r="AL795" s="17" t="n"/>
      <c r="AM795" s="16" t="n"/>
      <c r="AN795" s="20" t="inlineStr">
        <is>
          <t>IC Anionen</t>
        </is>
      </c>
      <c r="AO795" s="20" t="inlineStr">
        <is>
          <t>None</t>
        </is>
      </c>
      <c r="AP795" s="17" t="n"/>
      <c r="AQ795" s="16" t="n"/>
      <c r="AR795" s="20" t="n"/>
      <c r="AS795" s="20" t="inlineStr">
        <is>
          <t>None</t>
        </is>
      </c>
      <c r="AT795" s="17" t="n"/>
      <c r="AU795" s="16" t="n"/>
      <c r="AV795" s="20" t="n"/>
      <c r="AW795" s="20" t="inlineStr">
        <is>
          <t>None</t>
        </is>
      </c>
      <c r="AX795" s="17" t="n"/>
      <c r="AY795" s="16" t="n"/>
      <c r="AZ795" s="20" t="inlineStr">
        <is>
          <t>IC Anionen</t>
        </is>
      </c>
      <c r="BA795" s="20" t="inlineStr">
        <is>
          <t>None</t>
        </is>
      </c>
      <c r="BB795" s="17" t="n"/>
      <c r="BC795" s="16" t="n"/>
      <c r="BD795" s="20" t="inlineStr">
        <is>
          <t>IC Kationen</t>
        </is>
      </c>
      <c r="BE795" s="20" t="inlineStr">
        <is>
          <t>None</t>
        </is>
      </c>
      <c r="BF795" s="17" t="n"/>
      <c r="BG795" s="16" t="n"/>
      <c r="BH795" s="20" t="inlineStr">
        <is>
          <t>IC Kationen</t>
        </is>
      </c>
      <c r="BI795" s="20" t="inlineStr">
        <is>
          <t>None</t>
        </is>
      </c>
      <c r="BJ795" s="17" t="n"/>
      <c r="BK795" s="16" t="n"/>
      <c r="BL795" s="20" t="inlineStr">
        <is>
          <t>IC Kationen</t>
        </is>
      </c>
      <c r="BM795" s="20" t="inlineStr">
        <is>
          <t>None</t>
        </is>
      </c>
      <c r="BN795" s="17" t="n"/>
      <c r="BO795" s="16" t="n"/>
      <c r="BP795" s="20" t="inlineStr">
        <is>
          <t>IC Kationen</t>
        </is>
      </c>
      <c r="BQ795" s="20" t="inlineStr">
        <is>
          <t>None</t>
        </is>
      </c>
      <c r="BR795" s="17" t="n"/>
      <c r="BS795" s="16" t="n"/>
      <c r="BT795" s="20" t="inlineStr">
        <is>
          <t>IC Kationen</t>
        </is>
      </c>
      <c r="BU795" s="20" t="inlineStr">
        <is>
          <t>None</t>
        </is>
      </c>
      <c r="BV795" s="17" t="n"/>
      <c r="BW795" s="16" t="n"/>
      <c r="BX795" s="20" t="n"/>
      <c r="BY795" s="20" t="inlineStr">
        <is>
          <t>None</t>
        </is>
      </c>
      <c r="BZ795" s="17" t="n"/>
      <c r="CA795" s="16" t="n"/>
      <c r="CB795" s="20" t="n"/>
      <c r="CC795" s="20" t="inlineStr">
        <is>
          <t>None</t>
        </is>
      </c>
      <c r="CD795" s="17" t="n"/>
      <c r="CE795" s="16" t="n"/>
      <c r="CF795" s="20" t="n"/>
      <c r="CG795" s="20" t="inlineStr">
        <is>
          <t>None</t>
        </is>
      </c>
      <c r="CH795" s="17" t="n"/>
      <c r="CI795" s="16" t="n"/>
      <c r="CJ795" s="20" t="n"/>
      <c r="CK795" s="20" t="inlineStr">
        <is>
          <t>None</t>
        </is>
      </c>
      <c r="CL795" s="17" t="n"/>
      <c r="CM795" s="16" t="n"/>
      <c r="CN795" s="20" t="inlineStr">
        <is>
          <t>SOP 45-34</t>
        </is>
      </c>
      <c r="CO795" s="20" t="inlineStr">
        <is>
          <t>None</t>
        </is>
      </c>
      <c r="CP795" s="17" t="n"/>
      <c r="CQ795" s="16" t="n"/>
      <c r="CR795" s="20" t="n"/>
      <c r="CS795" s="20" t="inlineStr">
        <is>
          <t>None</t>
        </is>
      </c>
      <c r="CT795" s="17" t="n"/>
      <c r="CU795" s="16" t="n"/>
      <c r="CV795" s="20" t="n"/>
      <c r="CW795" s="20" t="inlineStr">
        <is>
          <t>None</t>
        </is>
      </c>
      <c r="CX795" s="17" t="n"/>
      <c r="CY795" s="16" t="n"/>
      <c r="CZ795" s="20" t="inlineStr">
        <is>
          <t>WTW Multimeter 3430 with FDO 925</t>
        </is>
      </c>
      <c r="DA795" s="20" t="inlineStr">
        <is>
          <t>None</t>
        </is>
      </c>
      <c r="DB795" s="17" t="n"/>
      <c r="DC795" s="16" t="n"/>
      <c r="DD795" s="20" t="n"/>
      <c r="DE795" s="20" t="inlineStr">
        <is>
          <t>None</t>
        </is>
      </c>
      <c r="DF795" s="17" t="n"/>
      <c r="DG795" s="16" t="n"/>
      <c r="DH795" s="20" t="inlineStr">
        <is>
          <t>SOP 45-09</t>
        </is>
      </c>
      <c r="DI795" s="20" t="inlineStr">
        <is>
          <t>None</t>
        </is>
      </c>
      <c r="DJ795" s="17" t="n"/>
      <c r="DK795" s="16" t="n"/>
      <c r="DL795" s="20" t="inlineStr">
        <is>
          <t>SOP 45-09 (SOP muss noch angepasst werden für VSS)</t>
        </is>
      </c>
      <c r="DM795" s="20" t="inlineStr">
        <is>
          <t>None</t>
        </is>
      </c>
      <c r="DN795" s="17" t="n"/>
      <c r="DO795" s="16" t="n"/>
      <c r="DP795" s="20" t="inlineStr">
        <is>
          <t>IC Organic Acids</t>
        </is>
      </c>
      <c r="DQ795" s="20" t="inlineStr">
        <is>
          <t>None</t>
        </is>
      </c>
      <c r="DR795" s="17" t="n"/>
      <c r="DS795" s="16" t="n"/>
      <c r="DT795" s="20" t="inlineStr">
        <is>
          <t>IC Organic Acids</t>
        </is>
      </c>
      <c r="DU795" s="20" t="inlineStr">
        <is>
          <t>None</t>
        </is>
      </c>
      <c r="DV795" s="17" t="n"/>
      <c r="DW795" s="16" t="n"/>
      <c r="DX795" s="20" t="inlineStr">
        <is>
          <t>IC Organic Acids</t>
        </is>
      </c>
      <c r="DY795" s="20" t="inlineStr">
        <is>
          <t>None</t>
        </is>
      </c>
      <c r="DZ795" s="17" t="n"/>
      <c r="EA795" s="16" t="n"/>
      <c r="EB795" s="20" t="inlineStr">
        <is>
          <t>IC Organic Acids</t>
        </is>
      </c>
      <c r="EC795" s="20" t="inlineStr">
        <is>
          <t>None</t>
        </is>
      </c>
      <c r="ED795" s="17" t="n"/>
      <c r="EE795" s="16" t="n"/>
      <c r="EF795" s="20" t="inlineStr">
        <is>
          <t>IC Organic Acids</t>
        </is>
      </c>
      <c r="EG795" s="20" t="inlineStr">
        <is>
          <t>None</t>
        </is>
      </c>
      <c r="EH795" s="17" t="n"/>
      <c r="EI795" s="16" t="n"/>
      <c r="EJ795" s="20" t="inlineStr">
        <is>
          <t>IC Organic Acids</t>
        </is>
      </c>
      <c r="EK795" s="20" t="inlineStr">
        <is>
          <t>None</t>
        </is>
      </c>
      <c r="EL795" s="17" t="n"/>
      <c r="EM795" s="16" t="n"/>
      <c r="EN795" s="20" t="inlineStr">
        <is>
          <t>IC Organic Acids</t>
        </is>
      </c>
      <c r="EO795" s="20" t="inlineStr">
        <is>
          <t>None</t>
        </is>
      </c>
      <c r="EP795" s="17" t="n"/>
      <c r="EQ795" s="16" t="n"/>
      <c r="ER795" s="20" t="inlineStr">
        <is>
          <t>IC Organic Acids</t>
        </is>
      </c>
      <c r="ES795" s="20" t="inlineStr">
        <is>
          <t>None</t>
        </is>
      </c>
      <c r="ET795" s="17" t="n"/>
      <c r="EU795" s="16" t="n"/>
      <c r="EV795" s="20" t="inlineStr">
        <is>
          <t>LC-MS</t>
        </is>
      </c>
      <c r="EW795" s="20" t="inlineStr">
        <is>
          <t>None</t>
        </is>
      </c>
      <c r="EX795" s="17" t="n"/>
      <c r="EY795" s="21" t="n"/>
      <c r="EZ795">
        <f>CONCATENATE(A795,B795)</f>
        <v/>
      </c>
      <c r="FA795">
        <f>CONCATENATE(SamplesX!A795,SamplesX!B795)</f>
        <v/>
      </c>
      <c r="FC795">
        <f>MATCH(EZ795,FA1:FA1008,0)</f>
        <v/>
      </c>
    </row>
    <row r="796">
      <c r="A796" s="16" t="n"/>
      <c r="B796" s="17" t="n"/>
      <c r="C796" s="10">
        <f>IF(ISNUMBER(FC796),INDIRECT("SamplesX!C"&amp;FC796),IF(ISNUMBER(FD796),INDIRECT("SamplesY!C"&amp;FD796),""))</f>
        <v/>
      </c>
      <c r="D796" s="12">
        <f>IF(ISNUMBER(FC796),INDIRECT("SamplesX!D"&amp;FC796),IF(ISNUMBER(FD796),INDIRECT("SamplesY!D"&amp;FD796),""))</f>
        <v/>
      </c>
      <c r="E796" s="12">
        <f>IF(ISNUMBER(FC796),INDIRECT("SamplesX!E"&amp;FC796),IF(ISNUMBER(FD796),INDIRECT("SamplesY!E"&amp;FD796),""))</f>
        <v/>
      </c>
      <c r="F796" s="11">
        <f>IF(ISNUMBER(FC796),INDIRECT("SamplesX!F"&amp;FC796),IF(ISNUMBER(FD796),INDIRECT("SamplesY!F"&amp;FD796),""))</f>
        <v/>
      </c>
      <c r="G796" s="18">
        <f>IF(ISNUMBER(FC796),INDIRECT("SamplesX!G"&amp;FC796),IF(ISNUMBER(FD796),INDIRECT("SamplesY!G"&amp;FD796),""))</f>
        <v/>
      </c>
      <c r="H796" s="19">
        <f>IF(ISNUMBER(FC796),INDIRECT("SamplesX!H"&amp;FC796),IF(ISNUMBER(FD796),INDIRECT("SamplesY!H"&amp;FD796),""))</f>
        <v/>
      </c>
      <c r="I796" s="16" t="n"/>
      <c r="J796" s="16" t="n"/>
      <c r="K796" s="16" t="n"/>
      <c r="L796" s="20" t="n"/>
      <c r="M796" s="20" t="inlineStr">
        <is>
          <t>None</t>
        </is>
      </c>
      <c r="N796" s="17" t="n"/>
      <c r="O796" s="16" t="n"/>
      <c r="P796" s="20" t="inlineStr">
        <is>
          <t>Shimadzu TOC-L</t>
        </is>
      </c>
      <c r="Q796" s="20" t="inlineStr">
        <is>
          <t>None</t>
        </is>
      </c>
      <c r="R796" s="17" t="n"/>
      <c r="S796" s="16" t="n"/>
      <c r="T796" s="20" t="inlineStr">
        <is>
          <t>Shimadzu TOC-L</t>
        </is>
      </c>
      <c r="U796" s="20" t="inlineStr">
        <is>
          <t>None</t>
        </is>
      </c>
      <c r="V796" s="17" t="n"/>
      <c r="W796" s="16" t="n"/>
      <c r="X796" s="20" t="n"/>
      <c r="Y796" s="20" t="inlineStr">
        <is>
          <t>None</t>
        </is>
      </c>
      <c r="Z796" s="17" t="n"/>
      <c r="AA796" s="16" t="n"/>
      <c r="AB796" s="20" t="n"/>
      <c r="AC796" s="20" t="inlineStr">
        <is>
          <t>None</t>
        </is>
      </c>
      <c r="AD796" s="17" t="n"/>
      <c r="AE796" s="16" t="n"/>
      <c r="AF796" s="20" t="inlineStr">
        <is>
          <t>IC Anionen</t>
        </is>
      </c>
      <c r="AG796" s="20" t="inlineStr">
        <is>
          <t>None</t>
        </is>
      </c>
      <c r="AH796" s="17" t="n"/>
      <c r="AI796" s="16" t="n"/>
      <c r="AJ796" s="20" t="n"/>
      <c r="AK796" s="20" t="inlineStr">
        <is>
          <t>None</t>
        </is>
      </c>
      <c r="AL796" s="17" t="n"/>
      <c r="AM796" s="16" t="n"/>
      <c r="AN796" s="20" t="inlineStr">
        <is>
          <t>IC Anionen</t>
        </is>
      </c>
      <c r="AO796" s="20" t="inlineStr">
        <is>
          <t>None</t>
        </is>
      </c>
      <c r="AP796" s="17" t="n"/>
      <c r="AQ796" s="16" t="n"/>
      <c r="AR796" s="20" t="n"/>
      <c r="AS796" s="20" t="inlineStr">
        <is>
          <t>None</t>
        </is>
      </c>
      <c r="AT796" s="17" t="n"/>
      <c r="AU796" s="16" t="n"/>
      <c r="AV796" s="20" t="n"/>
      <c r="AW796" s="20" t="inlineStr">
        <is>
          <t>None</t>
        </is>
      </c>
      <c r="AX796" s="17" t="n"/>
      <c r="AY796" s="16" t="n"/>
      <c r="AZ796" s="20" t="inlineStr">
        <is>
          <t>IC Anionen</t>
        </is>
      </c>
      <c r="BA796" s="20" t="inlineStr">
        <is>
          <t>None</t>
        </is>
      </c>
      <c r="BB796" s="17" t="n"/>
      <c r="BC796" s="16" t="n"/>
      <c r="BD796" s="20" t="inlineStr">
        <is>
          <t>IC Kationen</t>
        </is>
      </c>
      <c r="BE796" s="20" t="inlineStr">
        <is>
          <t>None</t>
        </is>
      </c>
      <c r="BF796" s="17" t="n"/>
      <c r="BG796" s="16" t="n"/>
      <c r="BH796" s="20" t="inlineStr">
        <is>
          <t>IC Kationen</t>
        </is>
      </c>
      <c r="BI796" s="20" t="inlineStr">
        <is>
          <t>None</t>
        </is>
      </c>
      <c r="BJ796" s="17" t="n"/>
      <c r="BK796" s="16" t="n"/>
      <c r="BL796" s="20" t="inlineStr">
        <is>
          <t>IC Kationen</t>
        </is>
      </c>
      <c r="BM796" s="20" t="inlineStr">
        <is>
          <t>None</t>
        </is>
      </c>
      <c r="BN796" s="17" t="n"/>
      <c r="BO796" s="16" t="n"/>
      <c r="BP796" s="20" t="inlineStr">
        <is>
          <t>IC Kationen</t>
        </is>
      </c>
      <c r="BQ796" s="20" t="inlineStr">
        <is>
          <t>None</t>
        </is>
      </c>
      <c r="BR796" s="17" t="n"/>
      <c r="BS796" s="16" t="n"/>
      <c r="BT796" s="20" t="inlineStr">
        <is>
          <t>IC Kationen</t>
        </is>
      </c>
      <c r="BU796" s="20" t="inlineStr">
        <is>
          <t>None</t>
        </is>
      </c>
      <c r="BV796" s="17" t="n"/>
      <c r="BW796" s="16" t="n"/>
      <c r="BX796" s="20" t="n"/>
      <c r="BY796" s="20" t="inlineStr">
        <is>
          <t>None</t>
        </is>
      </c>
      <c r="BZ796" s="17" t="n"/>
      <c r="CA796" s="16" t="n"/>
      <c r="CB796" s="20" t="n"/>
      <c r="CC796" s="20" t="inlineStr">
        <is>
          <t>None</t>
        </is>
      </c>
      <c r="CD796" s="17" t="n"/>
      <c r="CE796" s="16" t="n"/>
      <c r="CF796" s="20" t="n"/>
      <c r="CG796" s="20" t="inlineStr">
        <is>
          <t>None</t>
        </is>
      </c>
      <c r="CH796" s="17" t="n"/>
      <c r="CI796" s="16" t="n"/>
      <c r="CJ796" s="20" t="n"/>
      <c r="CK796" s="20" t="inlineStr">
        <is>
          <t>None</t>
        </is>
      </c>
      <c r="CL796" s="17" t="n"/>
      <c r="CM796" s="16" t="n"/>
      <c r="CN796" s="20" t="inlineStr">
        <is>
          <t>SOP 45-34</t>
        </is>
      </c>
      <c r="CO796" s="20" t="inlineStr">
        <is>
          <t>None</t>
        </is>
      </c>
      <c r="CP796" s="17" t="n"/>
      <c r="CQ796" s="16" t="n"/>
      <c r="CR796" s="20" t="n"/>
      <c r="CS796" s="20" t="inlineStr">
        <is>
          <t>None</t>
        </is>
      </c>
      <c r="CT796" s="17" t="n"/>
      <c r="CU796" s="16" t="n"/>
      <c r="CV796" s="20" t="n"/>
      <c r="CW796" s="20" t="inlineStr">
        <is>
          <t>None</t>
        </is>
      </c>
      <c r="CX796" s="17" t="n"/>
      <c r="CY796" s="16" t="n"/>
      <c r="CZ796" s="20" t="inlineStr">
        <is>
          <t>WTW Multimeter 3430 with FDO 925</t>
        </is>
      </c>
      <c r="DA796" s="20" t="inlineStr">
        <is>
          <t>None</t>
        </is>
      </c>
      <c r="DB796" s="17" t="n"/>
      <c r="DC796" s="16" t="n"/>
      <c r="DD796" s="20" t="n"/>
      <c r="DE796" s="20" t="inlineStr">
        <is>
          <t>None</t>
        </is>
      </c>
      <c r="DF796" s="17" t="n"/>
      <c r="DG796" s="16" t="n"/>
      <c r="DH796" s="20" t="inlineStr">
        <is>
          <t>SOP 45-09</t>
        </is>
      </c>
      <c r="DI796" s="20" t="inlineStr">
        <is>
          <t>None</t>
        </is>
      </c>
      <c r="DJ796" s="17" t="n"/>
      <c r="DK796" s="16" t="n"/>
      <c r="DL796" s="20" t="inlineStr">
        <is>
          <t>SOP 45-09 (SOP muss noch angepasst werden für VSS)</t>
        </is>
      </c>
      <c r="DM796" s="20" t="inlineStr">
        <is>
          <t>None</t>
        </is>
      </c>
      <c r="DN796" s="17" t="n"/>
      <c r="DO796" s="16" t="n"/>
      <c r="DP796" s="20" t="inlineStr">
        <is>
          <t>IC Organic Acids</t>
        </is>
      </c>
      <c r="DQ796" s="20" t="inlineStr">
        <is>
          <t>None</t>
        </is>
      </c>
      <c r="DR796" s="17" t="n"/>
      <c r="DS796" s="16" t="n"/>
      <c r="DT796" s="20" t="inlineStr">
        <is>
          <t>IC Organic Acids</t>
        </is>
      </c>
      <c r="DU796" s="20" t="inlineStr">
        <is>
          <t>None</t>
        </is>
      </c>
      <c r="DV796" s="17" t="n"/>
      <c r="DW796" s="16" t="n"/>
      <c r="DX796" s="20" t="inlineStr">
        <is>
          <t>IC Organic Acids</t>
        </is>
      </c>
      <c r="DY796" s="20" t="inlineStr">
        <is>
          <t>None</t>
        </is>
      </c>
      <c r="DZ796" s="17" t="n"/>
      <c r="EA796" s="16" t="n"/>
      <c r="EB796" s="20" t="inlineStr">
        <is>
          <t>IC Organic Acids</t>
        </is>
      </c>
      <c r="EC796" s="20" t="inlineStr">
        <is>
          <t>None</t>
        </is>
      </c>
      <c r="ED796" s="17" t="n"/>
      <c r="EE796" s="16" t="n"/>
      <c r="EF796" s="20" t="inlineStr">
        <is>
          <t>IC Organic Acids</t>
        </is>
      </c>
      <c r="EG796" s="20" t="inlineStr">
        <is>
          <t>None</t>
        </is>
      </c>
      <c r="EH796" s="17" t="n"/>
      <c r="EI796" s="16" t="n"/>
      <c r="EJ796" s="20" t="inlineStr">
        <is>
          <t>IC Organic Acids</t>
        </is>
      </c>
      <c r="EK796" s="20" t="inlineStr">
        <is>
          <t>None</t>
        </is>
      </c>
      <c r="EL796" s="17" t="n"/>
      <c r="EM796" s="16" t="n"/>
      <c r="EN796" s="20" t="inlineStr">
        <is>
          <t>IC Organic Acids</t>
        </is>
      </c>
      <c r="EO796" s="20" t="inlineStr">
        <is>
          <t>None</t>
        </is>
      </c>
      <c r="EP796" s="17" t="n"/>
      <c r="EQ796" s="16" t="n"/>
      <c r="ER796" s="20" t="inlineStr">
        <is>
          <t>IC Organic Acids</t>
        </is>
      </c>
      <c r="ES796" s="20" t="inlineStr">
        <is>
          <t>None</t>
        </is>
      </c>
      <c r="ET796" s="17" t="n"/>
      <c r="EU796" s="16" t="n"/>
      <c r="EV796" s="20" t="inlineStr">
        <is>
          <t>LC-MS</t>
        </is>
      </c>
      <c r="EW796" s="20" t="inlineStr">
        <is>
          <t>None</t>
        </is>
      </c>
      <c r="EX796" s="17" t="n"/>
      <c r="EY796" s="21" t="n"/>
      <c r="EZ796">
        <f>CONCATENATE(A796,B796)</f>
        <v/>
      </c>
      <c r="FA796">
        <f>CONCATENATE(SamplesX!A796,SamplesX!B796)</f>
        <v/>
      </c>
      <c r="FC796">
        <f>MATCH(EZ796,FA1:FA1008,0)</f>
        <v/>
      </c>
    </row>
    <row r="797">
      <c r="A797" s="16" t="n"/>
      <c r="B797" s="17" t="n"/>
      <c r="C797" s="10">
        <f>IF(ISNUMBER(FC797),INDIRECT("SamplesX!C"&amp;FC797),IF(ISNUMBER(FD797),INDIRECT("SamplesY!C"&amp;FD797),""))</f>
        <v/>
      </c>
      <c r="D797" s="12">
        <f>IF(ISNUMBER(FC797),INDIRECT("SamplesX!D"&amp;FC797),IF(ISNUMBER(FD797),INDIRECT("SamplesY!D"&amp;FD797),""))</f>
        <v/>
      </c>
      <c r="E797" s="12">
        <f>IF(ISNUMBER(FC797),INDIRECT("SamplesX!E"&amp;FC797),IF(ISNUMBER(FD797),INDIRECT("SamplesY!E"&amp;FD797),""))</f>
        <v/>
      </c>
      <c r="F797" s="11">
        <f>IF(ISNUMBER(FC797),INDIRECT("SamplesX!F"&amp;FC797),IF(ISNUMBER(FD797),INDIRECT("SamplesY!F"&amp;FD797),""))</f>
        <v/>
      </c>
      <c r="G797" s="18">
        <f>IF(ISNUMBER(FC797),INDIRECT("SamplesX!G"&amp;FC797),IF(ISNUMBER(FD797),INDIRECT("SamplesY!G"&amp;FD797),""))</f>
        <v/>
      </c>
      <c r="H797" s="19">
        <f>IF(ISNUMBER(FC797),INDIRECT("SamplesX!H"&amp;FC797),IF(ISNUMBER(FD797),INDIRECT("SamplesY!H"&amp;FD797),""))</f>
        <v/>
      </c>
      <c r="I797" s="16" t="n"/>
      <c r="J797" s="16" t="n"/>
      <c r="K797" s="16" t="n"/>
      <c r="L797" s="20" t="n"/>
      <c r="M797" s="20" t="inlineStr">
        <is>
          <t>None</t>
        </is>
      </c>
      <c r="N797" s="17" t="n"/>
      <c r="O797" s="16" t="n"/>
      <c r="P797" s="20" t="inlineStr">
        <is>
          <t>Shimadzu TOC-L</t>
        </is>
      </c>
      <c r="Q797" s="20" t="inlineStr">
        <is>
          <t>None</t>
        </is>
      </c>
      <c r="R797" s="17" t="n"/>
      <c r="S797" s="16" t="n"/>
      <c r="T797" s="20" t="inlineStr">
        <is>
          <t>Shimadzu TOC-L</t>
        </is>
      </c>
      <c r="U797" s="20" t="inlineStr">
        <is>
          <t>None</t>
        </is>
      </c>
      <c r="V797" s="17" t="n"/>
      <c r="W797" s="16" t="n"/>
      <c r="X797" s="20" t="n"/>
      <c r="Y797" s="20" t="inlineStr">
        <is>
          <t>None</t>
        </is>
      </c>
      <c r="Z797" s="17" t="n"/>
      <c r="AA797" s="16" t="n"/>
      <c r="AB797" s="20" t="n"/>
      <c r="AC797" s="20" t="inlineStr">
        <is>
          <t>None</t>
        </is>
      </c>
      <c r="AD797" s="17" t="n"/>
      <c r="AE797" s="16" t="n"/>
      <c r="AF797" s="20" t="inlineStr">
        <is>
          <t>IC Anionen</t>
        </is>
      </c>
      <c r="AG797" s="20" t="inlineStr">
        <is>
          <t>None</t>
        </is>
      </c>
      <c r="AH797" s="17" t="n"/>
      <c r="AI797" s="16" t="n"/>
      <c r="AJ797" s="20" t="n"/>
      <c r="AK797" s="20" t="inlineStr">
        <is>
          <t>None</t>
        </is>
      </c>
      <c r="AL797" s="17" t="n"/>
      <c r="AM797" s="16" t="n"/>
      <c r="AN797" s="20" t="inlineStr">
        <is>
          <t>IC Anionen</t>
        </is>
      </c>
      <c r="AO797" s="20" t="inlineStr">
        <is>
          <t>None</t>
        </is>
      </c>
      <c r="AP797" s="17" t="n"/>
      <c r="AQ797" s="16" t="n"/>
      <c r="AR797" s="20" t="n"/>
      <c r="AS797" s="20" t="inlineStr">
        <is>
          <t>None</t>
        </is>
      </c>
      <c r="AT797" s="17" t="n"/>
      <c r="AU797" s="16" t="n"/>
      <c r="AV797" s="20" t="n"/>
      <c r="AW797" s="20" t="inlineStr">
        <is>
          <t>None</t>
        </is>
      </c>
      <c r="AX797" s="17" t="n"/>
      <c r="AY797" s="16" t="n"/>
      <c r="AZ797" s="20" t="inlineStr">
        <is>
          <t>IC Anionen</t>
        </is>
      </c>
      <c r="BA797" s="20" t="inlineStr">
        <is>
          <t>None</t>
        </is>
      </c>
      <c r="BB797" s="17" t="n"/>
      <c r="BC797" s="16" t="n"/>
      <c r="BD797" s="20" t="inlineStr">
        <is>
          <t>IC Kationen</t>
        </is>
      </c>
      <c r="BE797" s="20" t="inlineStr">
        <is>
          <t>None</t>
        </is>
      </c>
      <c r="BF797" s="17" t="n"/>
      <c r="BG797" s="16" t="n"/>
      <c r="BH797" s="20" t="inlineStr">
        <is>
          <t>IC Kationen</t>
        </is>
      </c>
      <c r="BI797" s="20" t="inlineStr">
        <is>
          <t>None</t>
        </is>
      </c>
      <c r="BJ797" s="17" t="n"/>
      <c r="BK797" s="16" t="n"/>
      <c r="BL797" s="20" t="inlineStr">
        <is>
          <t>IC Kationen</t>
        </is>
      </c>
      <c r="BM797" s="20" t="inlineStr">
        <is>
          <t>None</t>
        </is>
      </c>
      <c r="BN797" s="17" t="n"/>
      <c r="BO797" s="16" t="n"/>
      <c r="BP797" s="20" t="inlineStr">
        <is>
          <t>IC Kationen</t>
        </is>
      </c>
      <c r="BQ797" s="20" t="inlineStr">
        <is>
          <t>None</t>
        </is>
      </c>
      <c r="BR797" s="17" t="n"/>
      <c r="BS797" s="16" t="n"/>
      <c r="BT797" s="20" t="inlineStr">
        <is>
          <t>IC Kationen</t>
        </is>
      </c>
      <c r="BU797" s="20" t="inlineStr">
        <is>
          <t>None</t>
        </is>
      </c>
      <c r="BV797" s="17" t="n"/>
      <c r="BW797" s="16" t="n"/>
      <c r="BX797" s="20" t="n"/>
      <c r="BY797" s="20" t="inlineStr">
        <is>
          <t>None</t>
        </is>
      </c>
      <c r="BZ797" s="17" t="n"/>
      <c r="CA797" s="16" t="n"/>
      <c r="CB797" s="20" t="n"/>
      <c r="CC797" s="20" t="inlineStr">
        <is>
          <t>None</t>
        </is>
      </c>
      <c r="CD797" s="17" t="n"/>
      <c r="CE797" s="16" t="n"/>
      <c r="CF797" s="20" t="n"/>
      <c r="CG797" s="20" t="inlineStr">
        <is>
          <t>None</t>
        </is>
      </c>
      <c r="CH797" s="17" t="n"/>
      <c r="CI797" s="16" t="n"/>
      <c r="CJ797" s="20" t="n"/>
      <c r="CK797" s="20" t="inlineStr">
        <is>
          <t>None</t>
        </is>
      </c>
      <c r="CL797" s="17" t="n"/>
      <c r="CM797" s="16" t="n"/>
      <c r="CN797" s="20" t="inlineStr">
        <is>
          <t>SOP 45-34</t>
        </is>
      </c>
      <c r="CO797" s="20" t="inlineStr">
        <is>
          <t>None</t>
        </is>
      </c>
      <c r="CP797" s="17" t="n"/>
      <c r="CQ797" s="16" t="n"/>
      <c r="CR797" s="20" t="n"/>
      <c r="CS797" s="20" t="inlineStr">
        <is>
          <t>None</t>
        </is>
      </c>
      <c r="CT797" s="17" t="n"/>
      <c r="CU797" s="16" t="n"/>
      <c r="CV797" s="20" t="n"/>
      <c r="CW797" s="20" t="inlineStr">
        <is>
          <t>None</t>
        </is>
      </c>
      <c r="CX797" s="17" t="n"/>
      <c r="CY797" s="16" t="n"/>
      <c r="CZ797" s="20" t="inlineStr">
        <is>
          <t>WTW Multimeter 3430 with FDO 925</t>
        </is>
      </c>
      <c r="DA797" s="20" t="inlineStr">
        <is>
          <t>None</t>
        </is>
      </c>
      <c r="DB797" s="17" t="n"/>
      <c r="DC797" s="16" t="n"/>
      <c r="DD797" s="20" t="n"/>
      <c r="DE797" s="20" t="inlineStr">
        <is>
          <t>None</t>
        </is>
      </c>
      <c r="DF797" s="17" t="n"/>
      <c r="DG797" s="16" t="n"/>
      <c r="DH797" s="20" t="inlineStr">
        <is>
          <t>SOP 45-09</t>
        </is>
      </c>
      <c r="DI797" s="20" t="inlineStr">
        <is>
          <t>None</t>
        </is>
      </c>
      <c r="DJ797" s="17" t="n"/>
      <c r="DK797" s="16" t="n"/>
      <c r="DL797" s="20" t="inlineStr">
        <is>
          <t>SOP 45-09 (SOP muss noch angepasst werden für VSS)</t>
        </is>
      </c>
      <c r="DM797" s="20" t="inlineStr">
        <is>
          <t>None</t>
        </is>
      </c>
      <c r="DN797" s="17" t="n"/>
      <c r="DO797" s="16" t="n"/>
      <c r="DP797" s="20" t="inlineStr">
        <is>
          <t>IC Organic Acids</t>
        </is>
      </c>
      <c r="DQ797" s="20" t="inlineStr">
        <is>
          <t>None</t>
        </is>
      </c>
      <c r="DR797" s="17" t="n"/>
      <c r="DS797" s="16" t="n"/>
      <c r="DT797" s="20" t="inlineStr">
        <is>
          <t>IC Organic Acids</t>
        </is>
      </c>
      <c r="DU797" s="20" t="inlineStr">
        <is>
          <t>None</t>
        </is>
      </c>
      <c r="DV797" s="17" t="n"/>
      <c r="DW797" s="16" t="n"/>
      <c r="DX797" s="20" t="inlineStr">
        <is>
          <t>IC Organic Acids</t>
        </is>
      </c>
      <c r="DY797" s="20" t="inlineStr">
        <is>
          <t>None</t>
        </is>
      </c>
      <c r="DZ797" s="17" t="n"/>
      <c r="EA797" s="16" t="n"/>
      <c r="EB797" s="20" t="inlineStr">
        <is>
          <t>IC Organic Acids</t>
        </is>
      </c>
      <c r="EC797" s="20" t="inlineStr">
        <is>
          <t>None</t>
        </is>
      </c>
      <c r="ED797" s="17" t="n"/>
      <c r="EE797" s="16" t="n"/>
      <c r="EF797" s="20" t="inlineStr">
        <is>
          <t>IC Organic Acids</t>
        </is>
      </c>
      <c r="EG797" s="20" t="inlineStr">
        <is>
          <t>None</t>
        </is>
      </c>
      <c r="EH797" s="17" t="n"/>
      <c r="EI797" s="16" t="n"/>
      <c r="EJ797" s="20" t="inlineStr">
        <is>
          <t>IC Organic Acids</t>
        </is>
      </c>
      <c r="EK797" s="20" t="inlineStr">
        <is>
          <t>None</t>
        </is>
      </c>
      <c r="EL797" s="17" t="n"/>
      <c r="EM797" s="16" t="n"/>
      <c r="EN797" s="20" t="inlineStr">
        <is>
          <t>IC Organic Acids</t>
        </is>
      </c>
      <c r="EO797" s="20" t="inlineStr">
        <is>
          <t>None</t>
        </is>
      </c>
      <c r="EP797" s="17" t="n"/>
      <c r="EQ797" s="16" t="n"/>
      <c r="ER797" s="20" t="inlineStr">
        <is>
          <t>IC Organic Acids</t>
        </is>
      </c>
      <c r="ES797" s="20" t="inlineStr">
        <is>
          <t>None</t>
        </is>
      </c>
      <c r="ET797" s="17" t="n"/>
      <c r="EU797" s="16" t="n"/>
      <c r="EV797" s="20" t="inlineStr">
        <is>
          <t>LC-MS</t>
        </is>
      </c>
      <c r="EW797" s="20" t="inlineStr">
        <is>
          <t>None</t>
        </is>
      </c>
      <c r="EX797" s="17" t="n"/>
      <c r="EY797" s="21" t="n"/>
      <c r="EZ797">
        <f>CONCATENATE(A797,B797)</f>
        <v/>
      </c>
      <c r="FA797">
        <f>CONCATENATE(SamplesX!A797,SamplesX!B797)</f>
        <v/>
      </c>
      <c r="FC797">
        <f>MATCH(EZ797,FA1:FA1008,0)</f>
        <v/>
      </c>
    </row>
    <row r="798">
      <c r="A798" s="16" t="n"/>
      <c r="B798" s="17" t="n"/>
      <c r="C798" s="10">
        <f>IF(ISNUMBER(FC798),INDIRECT("SamplesX!C"&amp;FC798),IF(ISNUMBER(FD798),INDIRECT("SamplesY!C"&amp;FD798),""))</f>
        <v/>
      </c>
      <c r="D798" s="12">
        <f>IF(ISNUMBER(FC798),INDIRECT("SamplesX!D"&amp;FC798),IF(ISNUMBER(FD798),INDIRECT("SamplesY!D"&amp;FD798),""))</f>
        <v/>
      </c>
      <c r="E798" s="12">
        <f>IF(ISNUMBER(FC798),INDIRECT("SamplesX!E"&amp;FC798),IF(ISNUMBER(FD798),INDIRECT("SamplesY!E"&amp;FD798),""))</f>
        <v/>
      </c>
      <c r="F798" s="11">
        <f>IF(ISNUMBER(FC798),INDIRECT("SamplesX!F"&amp;FC798),IF(ISNUMBER(FD798),INDIRECT("SamplesY!F"&amp;FD798),""))</f>
        <v/>
      </c>
      <c r="G798" s="18">
        <f>IF(ISNUMBER(FC798),INDIRECT("SamplesX!G"&amp;FC798),IF(ISNUMBER(FD798),INDIRECT("SamplesY!G"&amp;FD798),""))</f>
        <v/>
      </c>
      <c r="H798" s="19">
        <f>IF(ISNUMBER(FC798),INDIRECT("SamplesX!H"&amp;FC798),IF(ISNUMBER(FD798),INDIRECT("SamplesY!H"&amp;FD798),""))</f>
        <v/>
      </c>
      <c r="I798" s="16" t="n"/>
      <c r="J798" s="16" t="n"/>
      <c r="K798" s="16" t="n"/>
      <c r="L798" s="20" t="n"/>
      <c r="M798" s="20" t="inlineStr">
        <is>
          <t>None</t>
        </is>
      </c>
      <c r="N798" s="17" t="n"/>
      <c r="O798" s="16" t="n"/>
      <c r="P798" s="20" t="inlineStr">
        <is>
          <t>Shimadzu TOC-L</t>
        </is>
      </c>
      <c r="Q798" s="20" t="inlineStr">
        <is>
          <t>None</t>
        </is>
      </c>
      <c r="R798" s="17" t="n"/>
      <c r="S798" s="16" t="n"/>
      <c r="T798" s="20" t="inlineStr">
        <is>
          <t>Shimadzu TOC-L</t>
        </is>
      </c>
      <c r="U798" s="20" t="inlineStr">
        <is>
          <t>None</t>
        </is>
      </c>
      <c r="V798" s="17" t="n"/>
      <c r="W798" s="16" t="n"/>
      <c r="X798" s="20" t="n"/>
      <c r="Y798" s="20" t="inlineStr">
        <is>
          <t>None</t>
        </is>
      </c>
      <c r="Z798" s="17" t="n"/>
      <c r="AA798" s="16" t="n"/>
      <c r="AB798" s="20" t="n"/>
      <c r="AC798" s="20" t="inlineStr">
        <is>
          <t>None</t>
        </is>
      </c>
      <c r="AD798" s="17" t="n"/>
      <c r="AE798" s="16" t="n"/>
      <c r="AF798" s="20" t="inlineStr">
        <is>
          <t>IC Anionen</t>
        </is>
      </c>
      <c r="AG798" s="20" t="inlineStr">
        <is>
          <t>None</t>
        </is>
      </c>
      <c r="AH798" s="17" t="n"/>
      <c r="AI798" s="16" t="n"/>
      <c r="AJ798" s="20" t="n"/>
      <c r="AK798" s="20" t="inlineStr">
        <is>
          <t>None</t>
        </is>
      </c>
      <c r="AL798" s="17" t="n"/>
      <c r="AM798" s="16" t="n"/>
      <c r="AN798" s="20" t="inlineStr">
        <is>
          <t>IC Anionen</t>
        </is>
      </c>
      <c r="AO798" s="20" t="inlineStr">
        <is>
          <t>None</t>
        </is>
      </c>
      <c r="AP798" s="17" t="n"/>
      <c r="AQ798" s="16" t="n"/>
      <c r="AR798" s="20" t="n"/>
      <c r="AS798" s="20" t="inlineStr">
        <is>
          <t>None</t>
        </is>
      </c>
      <c r="AT798" s="17" t="n"/>
      <c r="AU798" s="16" t="n"/>
      <c r="AV798" s="20" t="n"/>
      <c r="AW798" s="20" t="inlineStr">
        <is>
          <t>None</t>
        </is>
      </c>
      <c r="AX798" s="17" t="n"/>
      <c r="AY798" s="16" t="n"/>
      <c r="AZ798" s="20" t="inlineStr">
        <is>
          <t>IC Anionen</t>
        </is>
      </c>
      <c r="BA798" s="20" t="inlineStr">
        <is>
          <t>None</t>
        </is>
      </c>
      <c r="BB798" s="17" t="n"/>
      <c r="BC798" s="16" t="n"/>
      <c r="BD798" s="20" t="inlineStr">
        <is>
          <t>IC Kationen</t>
        </is>
      </c>
      <c r="BE798" s="20" t="inlineStr">
        <is>
          <t>None</t>
        </is>
      </c>
      <c r="BF798" s="17" t="n"/>
      <c r="BG798" s="16" t="n"/>
      <c r="BH798" s="20" t="inlineStr">
        <is>
          <t>IC Kationen</t>
        </is>
      </c>
      <c r="BI798" s="20" t="inlineStr">
        <is>
          <t>None</t>
        </is>
      </c>
      <c r="BJ798" s="17" t="n"/>
      <c r="BK798" s="16" t="n"/>
      <c r="BL798" s="20" t="inlineStr">
        <is>
          <t>IC Kationen</t>
        </is>
      </c>
      <c r="BM798" s="20" t="inlineStr">
        <is>
          <t>None</t>
        </is>
      </c>
      <c r="BN798" s="17" t="n"/>
      <c r="BO798" s="16" t="n"/>
      <c r="BP798" s="20" t="inlineStr">
        <is>
          <t>IC Kationen</t>
        </is>
      </c>
      <c r="BQ798" s="20" t="inlineStr">
        <is>
          <t>None</t>
        </is>
      </c>
      <c r="BR798" s="17" t="n"/>
      <c r="BS798" s="16" t="n"/>
      <c r="BT798" s="20" t="inlineStr">
        <is>
          <t>IC Kationen</t>
        </is>
      </c>
      <c r="BU798" s="20" t="inlineStr">
        <is>
          <t>None</t>
        </is>
      </c>
      <c r="BV798" s="17" t="n"/>
      <c r="BW798" s="16" t="n"/>
      <c r="BX798" s="20" t="n"/>
      <c r="BY798" s="20" t="inlineStr">
        <is>
          <t>None</t>
        </is>
      </c>
      <c r="BZ798" s="17" t="n"/>
      <c r="CA798" s="16" t="n"/>
      <c r="CB798" s="20" t="n"/>
      <c r="CC798" s="20" t="inlineStr">
        <is>
          <t>None</t>
        </is>
      </c>
      <c r="CD798" s="17" t="n"/>
      <c r="CE798" s="16" t="n"/>
      <c r="CF798" s="20" t="n"/>
      <c r="CG798" s="20" t="inlineStr">
        <is>
          <t>None</t>
        </is>
      </c>
      <c r="CH798" s="17" t="n"/>
      <c r="CI798" s="16" t="n"/>
      <c r="CJ798" s="20" t="n"/>
      <c r="CK798" s="20" t="inlineStr">
        <is>
          <t>None</t>
        </is>
      </c>
      <c r="CL798" s="17" t="n"/>
      <c r="CM798" s="16" t="n"/>
      <c r="CN798" s="20" t="inlineStr">
        <is>
          <t>SOP 45-34</t>
        </is>
      </c>
      <c r="CO798" s="20" t="inlineStr">
        <is>
          <t>None</t>
        </is>
      </c>
      <c r="CP798" s="17" t="n"/>
      <c r="CQ798" s="16" t="n"/>
      <c r="CR798" s="20" t="n"/>
      <c r="CS798" s="20" t="inlineStr">
        <is>
          <t>None</t>
        </is>
      </c>
      <c r="CT798" s="17" t="n"/>
      <c r="CU798" s="16" t="n"/>
      <c r="CV798" s="20" t="n"/>
      <c r="CW798" s="20" t="inlineStr">
        <is>
          <t>None</t>
        </is>
      </c>
      <c r="CX798" s="17" t="n"/>
      <c r="CY798" s="16" t="n"/>
      <c r="CZ798" s="20" t="inlineStr">
        <is>
          <t>WTW Multimeter 3430 with FDO 925</t>
        </is>
      </c>
      <c r="DA798" s="20" t="inlineStr">
        <is>
          <t>None</t>
        </is>
      </c>
      <c r="DB798" s="17" t="n"/>
      <c r="DC798" s="16" t="n"/>
      <c r="DD798" s="20" t="n"/>
      <c r="DE798" s="20" t="inlineStr">
        <is>
          <t>None</t>
        </is>
      </c>
      <c r="DF798" s="17" t="n"/>
      <c r="DG798" s="16" t="n"/>
      <c r="DH798" s="20" t="inlineStr">
        <is>
          <t>SOP 45-09</t>
        </is>
      </c>
      <c r="DI798" s="20" t="inlineStr">
        <is>
          <t>None</t>
        </is>
      </c>
      <c r="DJ798" s="17" t="n"/>
      <c r="DK798" s="16" t="n"/>
      <c r="DL798" s="20" t="inlineStr">
        <is>
          <t>SOP 45-09 (SOP muss noch angepasst werden für VSS)</t>
        </is>
      </c>
      <c r="DM798" s="20" t="inlineStr">
        <is>
          <t>None</t>
        </is>
      </c>
      <c r="DN798" s="17" t="n"/>
      <c r="DO798" s="16" t="n"/>
      <c r="DP798" s="20" t="inlineStr">
        <is>
          <t>IC Organic Acids</t>
        </is>
      </c>
      <c r="DQ798" s="20" t="inlineStr">
        <is>
          <t>None</t>
        </is>
      </c>
      <c r="DR798" s="17" t="n"/>
      <c r="DS798" s="16" t="n"/>
      <c r="DT798" s="20" t="inlineStr">
        <is>
          <t>IC Organic Acids</t>
        </is>
      </c>
      <c r="DU798" s="20" t="inlineStr">
        <is>
          <t>None</t>
        </is>
      </c>
      <c r="DV798" s="17" t="n"/>
      <c r="DW798" s="16" t="n"/>
      <c r="DX798" s="20" t="inlineStr">
        <is>
          <t>IC Organic Acids</t>
        </is>
      </c>
      <c r="DY798" s="20" t="inlineStr">
        <is>
          <t>None</t>
        </is>
      </c>
      <c r="DZ798" s="17" t="n"/>
      <c r="EA798" s="16" t="n"/>
      <c r="EB798" s="20" t="inlineStr">
        <is>
          <t>IC Organic Acids</t>
        </is>
      </c>
      <c r="EC798" s="20" t="inlineStr">
        <is>
          <t>None</t>
        </is>
      </c>
      <c r="ED798" s="17" t="n"/>
      <c r="EE798" s="16" t="n"/>
      <c r="EF798" s="20" t="inlineStr">
        <is>
          <t>IC Organic Acids</t>
        </is>
      </c>
      <c r="EG798" s="20" t="inlineStr">
        <is>
          <t>None</t>
        </is>
      </c>
      <c r="EH798" s="17" t="n"/>
      <c r="EI798" s="16" t="n"/>
      <c r="EJ798" s="20" t="inlineStr">
        <is>
          <t>IC Organic Acids</t>
        </is>
      </c>
      <c r="EK798" s="20" t="inlineStr">
        <is>
          <t>None</t>
        </is>
      </c>
      <c r="EL798" s="17" t="n"/>
      <c r="EM798" s="16" t="n"/>
      <c r="EN798" s="20" t="inlineStr">
        <is>
          <t>IC Organic Acids</t>
        </is>
      </c>
      <c r="EO798" s="20" t="inlineStr">
        <is>
          <t>None</t>
        </is>
      </c>
      <c r="EP798" s="17" t="n"/>
      <c r="EQ798" s="16" t="n"/>
      <c r="ER798" s="20" t="inlineStr">
        <is>
          <t>IC Organic Acids</t>
        </is>
      </c>
      <c r="ES798" s="20" t="inlineStr">
        <is>
          <t>None</t>
        </is>
      </c>
      <c r="ET798" s="17" t="n"/>
      <c r="EU798" s="16" t="n"/>
      <c r="EV798" s="20" t="inlineStr">
        <is>
          <t>LC-MS</t>
        </is>
      </c>
      <c r="EW798" s="20" t="inlineStr">
        <is>
          <t>None</t>
        </is>
      </c>
      <c r="EX798" s="17" t="n"/>
      <c r="EY798" s="21" t="n"/>
      <c r="EZ798">
        <f>CONCATENATE(A798,B798)</f>
        <v/>
      </c>
      <c r="FA798">
        <f>CONCATENATE(SamplesX!A798,SamplesX!B798)</f>
        <v/>
      </c>
      <c r="FC798">
        <f>MATCH(EZ798,FA1:FA1008,0)</f>
        <v/>
      </c>
    </row>
    <row r="799">
      <c r="A799" s="16" t="n"/>
      <c r="B799" s="17" t="n"/>
      <c r="C799" s="10">
        <f>IF(ISNUMBER(FC799),INDIRECT("SamplesX!C"&amp;FC799),IF(ISNUMBER(FD799),INDIRECT("SamplesY!C"&amp;FD799),""))</f>
        <v/>
      </c>
      <c r="D799" s="12">
        <f>IF(ISNUMBER(FC799),INDIRECT("SamplesX!D"&amp;FC799),IF(ISNUMBER(FD799),INDIRECT("SamplesY!D"&amp;FD799),""))</f>
        <v/>
      </c>
      <c r="E799" s="12">
        <f>IF(ISNUMBER(FC799),INDIRECT("SamplesX!E"&amp;FC799),IF(ISNUMBER(FD799),INDIRECT("SamplesY!E"&amp;FD799),""))</f>
        <v/>
      </c>
      <c r="F799" s="11">
        <f>IF(ISNUMBER(FC799),INDIRECT("SamplesX!F"&amp;FC799),IF(ISNUMBER(FD799),INDIRECT("SamplesY!F"&amp;FD799),""))</f>
        <v/>
      </c>
      <c r="G799" s="18">
        <f>IF(ISNUMBER(FC799),INDIRECT("SamplesX!G"&amp;FC799),IF(ISNUMBER(FD799),INDIRECT("SamplesY!G"&amp;FD799),""))</f>
        <v/>
      </c>
      <c r="H799" s="19">
        <f>IF(ISNUMBER(FC799),INDIRECT("SamplesX!H"&amp;FC799),IF(ISNUMBER(FD799),INDIRECT("SamplesY!H"&amp;FD799),""))</f>
        <v/>
      </c>
      <c r="I799" s="16" t="n"/>
      <c r="J799" s="16" t="n"/>
      <c r="K799" s="16" t="n"/>
      <c r="L799" s="20" t="n"/>
      <c r="M799" s="20" t="inlineStr">
        <is>
          <t>None</t>
        </is>
      </c>
      <c r="N799" s="17" t="n"/>
      <c r="O799" s="16" t="n"/>
      <c r="P799" s="20" t="inlineStr">
        <is>
          <t>Shimadzu TOC-L</t>
        </is>
      </c>
      <c r="Q799" s="20" t="inlineStr">
        <is>
          <t>None</t>
        </is>
      </c>
      <c r="R799" s="17" t="n"/>
      <c r="S799" s="16" t="n"/>
      <c r="T799" s="20" t="inlineStr">
        <is>
          <t>Shimadzu TOC-L</t>
        </is>
      </c>
      <c r="U799" s="20" t="inlineStr">
        <is>
          <t>None</t>
        </is>
      </c>
      <c r="V799" s="17" t="n"/>
      <c r="W799" s="16" t="n"/>
      <c r="X799" s="20" t="n"/>
      <c r="Y799" s="20" t="inlineStr">
        <is>
          <t>None</t>
        </is>
      </c>
      <c r="Z799" s="17" t="n"/>
      <c r="AA799" s="16" t="n"/>
      <c r="AB799" s="20" t="n"/>
      <c r="AC799" s="20" t="inlineStr">
        <is>
          <t>None</t>
        </is>
      </c>
      <c r="AD799" s="17" t="n"/>
      <c r="AE799" s="16" t="n"/>
      <c r="AF799" s="20" t="inlineStr">
        <is>
          <t>IC Anionen</t>
        </is>
      </c>
      <c r="AG799" s="20" t="inlineStr">
        <is>
          <t>None</t>
        </is>
      </c>
      <c r="AH799" s="17" t="n"/>
      <c r="AI799" s="16" t="n"/>
      <c r="AJ799" s="20" t="n"/>
      <c r="AK799" s="20" t="inlineStr">
        <is>
          <t>None</t>
        </is>
      </c>
      <c r="AL799" s="17" t="n"/>
      <c r="AM799" s="16" t="n"/>
      <c r="AN799" s="20" t="inlineStr">
        <is>
          <t>IC Anionen</t>
        </is>
      </c>
      <c r="AO799" s="20" t="inlineStr">
        <is>
          <t>None</t>
        </is>
      </c>
      <c r="AP799" s="17" t="n"/>
      <c r="AQ799" s="16" t="n"/>
      <c r="AR799" s="20" t="n"/>
      <c r="AS799" s="20" t="inlineStr">
        <is>
          <t>None</t>
        </is>
      </c>
      <c r="AT799" s="17" t="n"/>
      <c r="AU799" s="16" t="n"/>
      <c r="AV799" s="20" t="n"/>
      <c r="AW799" s="20" t="inlineStr">
        <is>
          <t>None</t>
        </is>
      </c>
      <c r="AX799" s="17" t="n"/>
      <c r="AY799" s="16" t="n"/>
      <c r="AZ799" s="20" t="inlineStr">
        <is>
          <t>IC Anionen</t>
        </is>
      </c>
      <c r="BA799" s="20" t="inlineStr">
        <is>
          <t>None</t>
        </is>
      </c>
      <c r="BB799" s="17" t="n"/>
      <c r="BC799" s="16" t="n"/>
      <c r="BD799" s="20" t="inlineStr">
        <is>
          <t>IC Kationen</t>
        </is>
      </c>
      <c r="BE799" s="20" t="inlineStr">
        <is>
          <t>None</t>
        </is>
      </c>
      <c r="BF799" s="17" t="n"/>
      <c r="BG799" s="16" t="n"/>
      <c r="BH799" s="20" t="inlineStr">
        <is>
          <t>IC Kationen</t>
        </is>
      </c>
      <c r="BI799" s="20" t="inlineStr">
        <is>
          <t>None</t>
        </is>
      </c>
      <c r="BJ799" s="17" t="n"/>
      <c r="BK799" s="16" t="n"/>
      <c r="BL799" s="20" t="inlineStr">
        <is>
          <t>IC Kationen</t>
        </is>
      </c>
      <c r="BM799" s="20" t="inlineStr">
        <is>
          <t>None</t>
        </is>
      </c>
      <c r="BN799" s="17" t="n"/>
      <c r="BO799" s="16" t="n"/>
      <c r="BP799" s="20" t="inlineStr">
        <is>
          <t>IC Kationen</t>
        </is>
      </c>
      <c r="BQ799" s="20" t="inlineStr">
        <is>
          <t>None</t>
        </is>
      </c>
      <c r="BR799" s="17" t="n"/>
      <c r="BS799" s="16" t="n"/>
      <c r="BT799" s="20" t="inlineStr">
        <is>
          <t>IC Kationen</t>
        </is>
      </c>
      <c r="BU799" s="20" t="inlineStr">
        <is>
          <t>None</t>
        </is>
      </c>
      <c r="BV799" s="17" t="n"/>
      <c r="BW799" s="16" t="n"/>
      <c r="BX799" s="20" t="n"/>
      <c r="BY799" s="20" t="inlineStr">
        <is>
          <t>None</t>
        </is>
      </c>
      <c r="BZ799" s="17" t="n"/>
      <c r="CA799" s="16" t="n"/>
      <c r="CB799" s="20" t="n"/>
      <c r="CC799" s="20" t="inlineStr">
        <is>
          <t>None</t>
        </is>
      </c>
      <c r="CD799" s="17" t="n"/>
      <c r="CE799" s="16" t="n"/>
      <c r="CF799" s="20" t="n"/>
      <c r="CG799" s="20" t="inlineStr">
        <is>
          <t>None</t>
        </is>
      </c>
      <c r="CH799" s="17" t="n"/>
      <c r="CI799" s="16" t="n"/>
      <c r="CJ799" s="20" t="n"/>
      <c r="CK799" s="20" t="inlineStr">
        <is>
          <t>None</t>
        </is>
      </c>
      <c r="CL799" s="17" t="n"/>
      <c r="CM799" s="16" t="n"/>
      <c r="CN799" s="20" t="inlineStr">
        <is>
          <t>SOP 45-34</t>
        </is>
      </c>
      <c r="CO799" s="20" t="inlineStr">
        <is>
          <t>None</t>
        </is>
      </c>
      <c r="CP799" s="17" t="n"/>
      <c r="CQ799" s="16" t="n"/>
      <c r="CR799" s="20" t="n"/>
      <c r="CS799" s="20" t="inlineStr">
        <is>
          <t>None</t>
        </is>
      </c>
      <c r="CT799" s="17" t="n"/>
      <c r="CU799" s="16" t="n"/>
      <c r="CV799" s="20" t="n"/>
      <c r="CW799" s="20" t="inlineStr">
        <is>
          <t>None</t>
        </is>
      </c>
      <c r="CX799" s="17" t="n"/>
      <c r="CY799" s="16" t="n"/>
      <c r="CZ799" s="20" t="inlineStr">
        <is>
          <t>WTW Multimeter 3430 with FDO 925</t>
        </is>
      </c>
      <c r="DA799" s="20" t="inlineStr">
        <is>
          <t>None</t>
        </is>
      </c>
      <c r="DB799" s="17" t="n"/>
      <c r="DC799" s="16" t="n"/>
      <c r="DD799" s="20" t="n"/>
      <c r="DE799" s="20" t="inlineStr">
        <is>
          <t>None</t>
        </is>
      </c>
      <c r="DF799" s="17" t="n"/>
      <c r="DG799" s="16" t="n"/>
      <c r="DH799" s="20" t="inlineStr">
        <is>
          <t>SOP 45-09</t>
        </is>
      </c>
      <c r="DI799" s="20" t="inlineStr">
        <is>
          <t>None</t>
        </is>
      </c>
      <c r="DJ799" s="17" t="n"/>
      <c r="DK799" s="16" t="n"/>
      <c r="DL799" s="20" t="inlineStr">
        <is>
          <t>SOP 45-09 (SOP muss noch angepasst werden für VSS)</t>
        </is>
      </c>
      <c r="DM799" s="20" t="inlineStr">
        <is>
          <t>None</t>
        </is>
      </c>
      <c r="DN799" s="17" t="n"/>
      <c r="DO799" s="16" t="n"/>
      <c r="DP799" s="20" t="inlineStr">
        <is>
          <t>IC Organic Acids</t>
        </is>
      </c>
      <c r="DQ799" s="20" t="inlineStr">
        <is>
          <t>None</t>
        </is>
      </c>
      <c r="DR799" s="17" t="n"/>
      <c r="DS799" s="16" t="n"/>
      <c r="DT799" s="20" t="inlineStr">
        <is>
          <t>IC Organic Acids</t>
        </is>
      </c>
      <c r="DU799" s="20" t="inlineStr">
        <is>
          <t>None</t>
        </is>
      </c>
      <c r="DV799" s="17" t="n"/>
      <c r="DW799" s="16" t="n"/>
      <c r="DX799" s="20" t="inlineStr">
        <is>
          <t>IC Organic Acids</t>
        </is>
      </c>
      <c r="DY799" s="20" t="inlineStr">
        <is>
          <t>None</t>
        </is>
      </c>
      <c r="DZ799" s="17" t="n"/>
      <c r="EA799" s="16" t="n"/>
      <c r="EB799" s="20" t="inlineStr">
        <is>
          <t>IC Organic Acids</t>
        </is>
      </c>
      <c r="EC799" s="20" t="inlineStr">
        <is>
          <t>None</t>
        </is>
      </c>
      <c r="ED799" s="17" t="n"/>
      <c r="EE799" s="16" t="n"/>
      <c r="EF799" s="20" t="inlineStr">
        <is>
          <t>IC Organic Acids</t>
        </is>
      </c>
      <c r="EG799" s="20" t="inlineStr">
        <is>
          <t>None</t>
        </is>
      </c>
      <c r="EH799" s="17" t="n"/>
      <c r="EI799" s="16" t="n"/>
      <c r="EJ799" s="20" t="inlineStr">
        <is>
          <t>IC Organic Acids</t>
        </is>
      </c>
      <c r="EK799" s="20" t="inlineStr">
        <is>
          <t>None</t>
        </is>
      </c>
      <c r="EL799" s="17" t="n"/>
      <c r="EM799" s="16" t="n"/>
      <c r="EN799" s="20" t="inlineStr">
        <is>
          <t>IC Organic Acids</t>
        </is>
      </c>
      <c r="EO799" s="20" t="inlineStr">
        <is>
          <t>None</t>
        </is>
      </c>
      <c r="EP799" s="17" t="n"/>
      <c r="EQ799" s="16" t="n"/>
      <c r="ER799" s="20" t="inlineStr">
        <is>
          <t>IC Organic Acids</t>
        </is>
      </c>
      <c r="ES799" s="20" t="inlineStr">
        <is>
          <t>None</t>
        </is>
      </c>
      <c r="ET799" s="17" t="n"/>
      <c r="EU799" s="16" t="n"/>
      <c r="EV799" s="20" t="inlineStr">
        <is>
          <t>LC-MS</t>
        </is>
      </c>
      <c r="EW799" s="20" t="inlineStr">
        <is>
          <t>None</t>
        </is>
      </c>
      <c r="EX799" s="17" t="n"/>
      <c r="EY799" s="21" t="n"/>
      <c r="EZ799">
        <f>CONCATENATE(A799,B799)</f>
        <v/>
      </c>
      <c r="FA799">
        <f>CONCATENATE(SamplesX!A799,SamplesX!B799)</f>
        <v/>
      </c>
      <c r="FC799">
        <f>MATCH(EZ799,FA1:FA1008,0)</f>
        <v/>
      </c>
    </row>
    <row r="800">
      <c r="A800" s="16" t="n"/>
      <c r="B800" s="17" t="n"/>
      <c r="C800" s="10">
        <f>IF(ISNUMBER(FC800),INDIRECT("SamplesX!C"&amp;FC800),IF(ISNUMBER(FD800),INDIRECT("SamplesY!C"&amp;FD800),""))</f>
        <v/>
      </c>
      <c r="D800" s="12">
        <f>IF(ISNUMBER(FC800),INDIRECT("SamplesX!D"&amp;FC800),IF(ISNUMBER(FD800),INDIRECT("SamplesY!D"&amp;FD800),""))</f>
        <v/>
      </c>
      <c r="E800" s="12">
        <f>IF(ISNUMBER(FC800),INDIRECT("SamplesX!E"&amp;FC800),IF(ISNUMBER(FD800),INDIRECT("SamplesY!E"&amp;FD800),""))</f>
        <v/>
      </c>
      <c r="F800" s="11">
        <f>IF(ISNUMBER(FC800),INDIRECT("SamplesX!F"&amp;FC800),IF(ISNUMBER(FD800),INDIRECT("SamplesY!F"&amp;FD800),""))</f>
        <v/>
      </c>
      <c r="G800" s="18">
        <f>IF(ISNUMBER(FC800),INDIRECT("SamplesX!G"&amp;FC800),IF(ISNUMBER(FD800),INDIRECT("SamplesY!G"&amp;FD800),""))</f>
        <v/>
      </c>
      <c r="H800" s="19">
        <f>IF(ISNUMBER(FC800),INDIRECT("SamplesX!H"&amp;FC800),IF(ISNUMBER(FD800),INDIRECT("SamplesY!H"&amp;FD800),""))</f>
        <v/>
      </c>
      <c r="I800" s="16" t="n"/>
      <c r="J800" s="16" t="n"/>
      <c r="K800" s="16" t="n"/>
      <c r="L800" s="20" t="n"/>
      <c r="M800" s="20" t="inlineStr">
        <is>
          <t>None</t>
        </is>
      </c>
      <c r="N800" s="17" t="n"/>
      <c r="O800" s="16" t="n"/>
      <c r="P800" s="20" t="inlineStr">
        <is>
          <t>Shimadzu TOC-L</t>
        </is>
      </c>
      <c r="Q800" s="20" t="inlineStr">
        <is>
          <t>None</t>
        </is>
      </c>
      <c r="R800" s="17" t="n"/>
      <c r="S800" s="16" t="n"/>
      <c r="T800" s="20" t="inlineStr">
        <is>
          <t>Shimadzu TOC-L</t>
        </is>
      </c>
      <c r="U800" s="20" t="inlineStr">
        <is>
          <t>None</t>
        </is>
      </c>
      <c r="V800" s="17" t="n"/>
      <c r="W800" s="16" t="n"/>
      <c r="X800" s="20" t="n"/>
      <c r="Y800" s="20" t="inlineStr">
        <is>
          <t>None</t>
        </is>
      </c>
      <c r="Z800" s="17" t="n"/>
      <c r="AA800" s="16" t="n"/>
      <c r="AB800" s="20" t="n"/>
      <c r="AC800" s="20" t="inlineStr">
        <is>
          <t>None</t>
        </is>
      </c>
      <c r="AD800" s="17" t="n"/>
      <c r="AE800" s="16" t="n"/>
      <c r="AF800" s="20" t="inlineStr">
        <is>
          <t>IC Anionen</t>
        </is>
      </c>
      <c r="AG800" s="20" t="inlineStr">
        <is>
          <t>None</t>
        </is>
      </c>
      <c r="AH800" s="17" t="n"/>
      <c r="AI800" s="16" t="n"/>
      <c r="AJ800" s="20" t="n"/>
      <c r="AK800" s="20" t="inlineStr">
        <is>
          <t>None</t>
        </is>
      </c>
      <c r="AL800" s="17" t="n"/>
      <c r="AM800" s="16" t="n"/>
      <c r="AN800" s="20" t="inlineStr">
        <is>
          <t>IC Anionen</t>
        </is>
      </c>
      <c r="AO800" s="20" t="inlineStr">
        <is>
          <t>None</t>
        </is>
      </c>
      <c r="AP800" s="17" t="n"/>
      <c r="AQ800" s="16" t="n"/>
      <c r="AR800" s="20" t="n"/>
      <c r="AS800" s="20" t="inlineStr">
        <is>
          <t>None</t>
        </is>
      </c>
      <c r="AT800" s="17" t="n"/>
      <c r="AU800" s="16" t="n"/>
      <c r="AV800" s="20" t="n"/>
      <c r="AW800" s="20" t="inlineStr">
        <is>
          <t>None</t>
        </is>
      </c>
      <c r="AX800" s="17" t="n"/>
      <c r="AY800" s="16" t="n"/>
      <c r="AZ800" s="20" t="inlineStr">
        <is>
          <t>IC Anionen</t>
        </is>
      </c>
      <c r="BA800" s="20" t="inlineStr">
        <is>
          <t>None</t>
        </is>
      </c>
      <c r="BB800" s="17" t="n"/>
      <c r="BC800" s="16" t="n"/>
      <c r="BD800" s="20" t="inlineStr">
        <is>
          <t>IC Kationen</t>
        </is>
      </c>
      <c r="BE800" s="20" t="inlineStr">
        <is>
          <t>None</t>
        </is>
      </c>
      <c r="BF800" s="17" t="n"/>
      <c r="BG800" s="16" t="n"/>
      <c r="BH800" s="20" t="inlineStr">
        <is>
          <t>IC Kationen</t>
        </is>
      </c>
      <c r="BI800" s="20" t="inlineStr">
        <is>
          <t>None</t>
        </is>
      </c>
      <c r="BJ800" s="17" t="n"/>
      <c r="BK800" s="16" t="n"/>
      <c r="BL800" s="20" t="inlineStr">
        <is>
          <t>IC Kationen</t>
        </is>
      </c>
      <c r="BM800" s="20" t="inlineStr">
        <is>
          <t>None</t>
        </is>
      </c>
      <c r="BN800" s="17" t="n"/>
      <c r="BO800" s="16" t="n"/>
      <c r="BP800" s="20" t="inlineStr">
        <is>
          <t>IC Kationen</t>
        </is>
      </c>
      <c r="BQ800" s="20" t="inlineStr">
        <is>
          <t>None</t>
        </is>
      </c>
      <c r="BR800" s="17" t="n"/>
      <c r="BS800" s="16" t="n"/>
      <c r="BT800" s="20" t="inlineStr">
        <is>
          <t>IC Kationen</t>
        </is>
      </c>
      <c r="BU800" s="20" t="inlineStr">
        <is>
          <t>None</t>
        </is>
      </c>
      <c r="BV800" s="17" t="n"/>
      <c r="BW800" s="16" t="n"/>
      <c r="BX800" s="20" t="n"/>
      <c r="BY800" s="20" t="inlineStr">
        <is>
          <t>None</t>
        </is>
      </c>
      <c r="BZ800" s="17" t="n"/>
      <c r="CA800" s="16" t="n"/>
      <c r="CB800" s="20" t="n"/>
      <c r="CC800" s="20" t="inlineStr">
        <is>
          <t>None</t>
        </is>
      </c>
      <c r="CD800" s="17" t="n"/>
      <c r="CE800" s="16" t="n"/>
      <c r="CF800" s="20" t="n"/>
      <c r="CG800" s="20" t="inlineStr">
        <is>
          <t>None</t>
        </is>
      </c>
      <c r="CH800" s="17" t="n"/>
      <c r="CI800" s="16" t="n"/>
      <c r="CJ800" s="20" t="n"/>
      <c r="CK800" s="20" t="inlineStr">
        <is>
          <t>None</t>
        </is>
      </c>
      <c r="CL800" s="17" t="n"/>
      <c r="CM800" s="16" t="n"/>
      <c r="CN800" s="20" t="inlineStr">
        <is>
          <t>SOP 45-34</t>
        </is>
      </c>
      <c r="CO800" s="20" t="inlineStr">
        <is>
          <t>None</t>
        </is>
      </c>
      <c r="CP800" s="17" t="n"/>
      <c r="CQ800" s="16" t="n"/>
      <c r="CR800" s="20" t="n"/>
      <c r="CS800" s="20" t="inlineStr">
        <is>
          <t>None</t>
        </is>
      </c>
      <c r="CT800" s="17" t="n"/>
      <c r="CU800" s="16" t="n"/>
      <c r="CV800" s="20" t="n"/>
      <c r="CW800" s="20" t="inlineStr">
        <is>
          <t>None</t>
        </is>
      </c>
      <c r="CX800" s="17" t="n"/>
      <c r="CY800" s="16" t="n"/>
      <c r="CZ800" s="20" t="inlineStr">
        <is>
          <t>WTW Multimeter 3430 with FDO 925</t>
        </is>
      </c>
      <c r="DA800" s="20" t="inlineStr">
        <is>
          <t>None</t>
        </is>
      </c>
      <c r="DB800" s="17" t="n"/>
      <c r="DC800" s="16" t="n"/>
      <c r="DD800" s="20" t="n"/>
      <c r="DE800" s="20" t="inlineStr">
        <is>
          <t>None</t>
        </is>
      </c>
      <c r="DF800" s="17" t="n"/>
      <c r="DG800" s="16" t="n"/>
      <c r="DH800" s="20" t="inlineStr">
        <is>
          <t>SOP 45-09</t>
        </is>
      </c>
      <c r="DI800" s="20" t="inlineStr">
        <is>
          <t>None</t>
        </is>
      </c>
      <c r="DJ800" s="17" t="n"/>
      <c r="DK800" s="16" t="n"/>
      <c r="DL800" s="20" t="inlineStr">
        <is>
          <t>SOP 45-09 (SOP muss noch angepasst werden für VSS)</t>
        </is>
      </c>
      <c r="DM800" s="20" t="inlineStr">
        <is>
          <t>None</t>
        </is>
      </c>
      <c r="DN800" s="17" t="n"/>
      <c r="DO800" s="16" t="n"/>
      <c r="DP800" s="20" t="inlineStr">
        <is>
          <t>IC Organic Acids</t>
        </is>
      </c>
      <c r="DQ800" s="20" t="inlineStr">
        <is>
          <t>None</t>
        </is>
      </c>
      <c r="DR800" s="17" t="n"/>
      <c r="DS800" s="16" t="n"/>
      <c r="DT800" s="20" t="inlineStr">
        <is>
          <t>IC Organic Acids</t>
        </is>
      </c>
      <c r="DU800" s="20" t="inlineStr">
        <is>
          <t>None</t>
        </is>
      </c>
      <c r="DV800" s="17" t="n"/>
      <c r="DW800" s="16" t="n"/>
      <c r="DX800" s="20" t="inlineStr">
        <is>
          <t>IC Organic Acids</t>
        </is>
      </c>
      <c r="DY800" s="20" t="inlineStr">
        <is>
          <t>None</t>
        </is>
      </c>
      <c r="DZ800" s="17" t="n"/>
      <c r="EA800" s="16" t="n"/>
      <c r="EB800" s="20" t="inlineStr">
        <is>
          <t>IC Organic Acids</t>
        </is>
      </c>
      <c r="EC800" s="20" t="inlineStr">
        <is>
          <t>None</t>
        </is>
      </c>
      <c r="ED800" s="17" t="n"/>
      <c r="EE800" s="16" t="n"/>
      <c r="EF800" s="20" t="inlineStr">
        <is>
          <t>IC Organic Acids</t>
        </is>
      </c>
      <c r="EG800" s="20" t="inlineStr">
        <is>
          <t>None</t>
        </is>
      </c>
      <c r="EH800" s="17" t="n"/>
      <c r="EI800" s="16" t="n"/>
      <c r="EJ800" s="20" t="inlineStr">
        <is>
          <t>IC Organic Acids</t>
        </is>
      </c>
      <c r="EK800" s="20" t="inlineStr">
        <is>
          <t>None</t>
        </is>
      </c>
      <c r="EL800" s="17" t="n"/>
      <c r="EM800" s="16" t="n"/>
      <c r="EN800" s="20" t="inlineStr">
        <is>
          <t>IC Organic Acids</t>
        </is>
      </c>
      <c r="EO800" s="20" t="inlineStr">
        <is>
          <t>None</t>
        </is>
      </c>
      <c r="EP800" s="17" t="n"/>
      <c r="EQ800" s="16" t="n"/>
      <c r="ER800" s="20" t="inlineStr">
        <is>
          <t>IC Organic Acids</t>
        </is>
      </c>
      <c r="ES800" s="20" t="inlineStr">
        <is>
          <t>None</t>
        </is>
      </c>
      <c r="ET800" s="17" t="n"/>
      <c r="EU800" s="16" t="n"/>
      <c r="EV800" s="20" t="inlineStr">
        <is>
          <t>LC-MS</t>
        </is>
      </c>
      <c r="EW800" s="20" t="inlineStr">
        <is>
          <t>None</t>
        </is>
      </c>
      <c r="EX800" s="17" t="n"/>
      <c r="EY800" s="21" t="n"/>
      <c r="EZ800">
        <f>CONCATENATE(A800,B800)</f>
        <v/>
      </c>
      <c r="FA800">
        <f>CONCATENATE(SamplesX!A800,SamplesX!B800)</f>
        <v/>
      </c>
      <c r="FC800">
        <f>MATCH(EZ800,FA1:FA1008,0)</f>
        <v/>
      </c>
    </row>
    <row r="801">
      <c r="A801" s="16" t="n"/>
      <c r="B801" s="17" t="n"/>
      <c r="C801" s="10">
        <f>IF(ISNUMBER(FC801),INDIRECT("SamplesX!C"&amp;FC801),IF(ISNUMBER(FD801),INDIRECT("SamplesY!C"&amp;FD801),""))</f>
        <v/>
      </c>
      <c r="D801" s="12">
        <f>IF(ISNUMBER(FC801),INDIRECT("SamplesX!D"&amp;FC801),IF(ISNUMBER(FD801),INDIRECT("SamplesY!D"&amp;FD801),""))</f>
        <v/>
      </c>
      <c r="E801" s="12">
        <f>IF(ISNUMBER(FC801),INDIRECT("SamplesX!E"&amp;FC801),IF(ISNUMBER(FD801),INDIRECT("SamplesY!E"&amp;FD801),""))</f>
        <v/>
      </c>
      <c r="F801" s="11">
        <f>IF(ISNUMBER(FC801),INDIRECT("SamplesX!F"&amp;FC801),IF(ISNUMBER(FD801),INDIRECT("SamplesY!F"&amp;FD801),""))</f>
        <v/>
      </c>
      <c r="G801" s="18">
        <f>IF(ISNUMBER(FC801),INDIRECT("SamplesX!G"&amp;FC801),IF(ISNUMBER(FD801),INDIRECT("SamplesY!G"&amp;FD801),""))</f>
        <v/>
      </c>
      <c r="H801" s="19">
        <f>IF(ISNUMBER(FC801),INDIRECT("SamplesX!H"&amp;FC801),IF(ISNUMBER(FD801),INDIRECT("SamplesY!H"&amp;FD801),""))</f>
        <v/>
      </c>
      <c r="I801" s="16" t="n"/>
      <c r="J801" s="16" t="n"/>
      <c r="K801" s="16" t="n"/>
      <c r="L801" s="20" t="n"/>
      <c r="M801" s="20" t="inlineStr">
        <is>
          <t>None</t>
        </is>
      </c>
      <c r="N801" s="17" t="n"/>
      <c r="O801" s="16" t="n"/>
      <c r="P801" s="20" t="inlineStr">
        <is>
          <t>Shimadzu TOC-L</t>
        </is>
      </c>
      <c r="Q801" s="20" t="inlineStr">
        <is>
          <t>None</t>
        </is>
      </c>
      <c r="R801" s="17" t="n"/>
      <c r="S801" s="16" t="n"/>
      <c r="T801" s="20" t="inlineStr">
        <is>
          <t>Shimadzu TOC-L</t>
        </is>
      </c>
      <c r="U801" s="20" t="inlineStr">
        <is>
          <t>None</t>
        </is>
      </c>
      <c r="V801" s="17" t="n"/>
      <c r="W801" s="16" t="n"/>
      <c r="X801" s="20" t="n"/>
      <c r="Y801" s="20" t="inlineStr">
        <is>
          <t>None</t>
        </is>
      </c>
      <c r="Z801" s="17" t="n"/>
      <c r="AA801" s="16" t="n"/>
      <c r="AB801" s="20" t="n"/>
      <c r="AC801" s="20" t="inlineStr">
        <is>
          <t>None</t>
        </is>
      </c>
      <c r="AD801" s="17" t="n"/>
      <c r="AE801" s="16" t="n"/>
      <c r="AF801" s="20" t="inlineStr">
        <is>
          <t>IC Anionen</t>
        </is>
      </c>
      <c r="AG801" s="20" t="inlineStr">
        <is>
          <t>None</t>
        </is>
      </c>
      <c r="AH801" s="17" t="n"/>
      <c r="AI801" s="16" t="n"/>
      <c r="AJ801" s="20" t="n"/>
      <c r="AK801" s="20" t="inlineStr">
        <is>
          <t>None</t>
        </is>
      </c>
      <c r="AL801" s="17" t="n"/>
      <c r="AM801" s="16" t="n"/>
      <c r="AN801" s="20" t="inlineStr">
        <is>
          <t>IC Anionen</t>
        </is>
      </c>
      <c r="AO801" s="20" t="inlineStr">
        <is>
          <t>None</t>
        </is>
      </c>
      <c r="AP801" s="17" t="n"/>
      <c r="AQ801" s="16" t="n"/>
      <c r="AR801" s="20" t="n"/>
      <c r="AS801" s="20" t="inlineStr">
        <is>
          <t>None</t>
        </is>
      </c>
      <c r="AT801" s="17" t="n"/>
      <c r="AU801" s="16" t="n"/>
      <c r="AV801" s="20" t="n"/>
      <c r="AW801" s="20" t="inlineStr">
        <is>
          <t>None</t>
        </is>
      </c>
      <c r="AX801" s="17" t="n"/>
      <c r="AY801" s="16" t="n"/>
      <c r="AZ801" s="20" t="inlineStr">
        <is>
          <t>IC Anionen</t>
        </is>
      </c>
      <c r="BA801" s="20" t="inlineStr">
        <is>
          <t>None</t>
        </is>
      </c>
      <c r="BB801" s="17" t="n"/>
      <c r="BC801" s="16" t="n"/>
      <c r="BD801" s="20" t="inlineStr">
        <is>
          <t>IC Kationen</t>
        </is>
      </c>
      <c r="BE801" s="20" t="inlineStr">
        <is>
          <t>None</t>
        </is>
      </c>
      <c r="BF801" s="17" t="n"/>
      <c r="BG801" s="16" t="n"/>
      <c r="BH801" s="20" t="inlineStr">
        <is>
          <t>IC Kationen</t>
        </is>
      </c>
      <c r="BI801" s="20" t="inlineStr">
        <is>
          <t>None</t>
        </is>
      </c>
      <c r="BJ801" s="17" t="n"/>
      <c r="BK801" s="16" t="n"/>
      <c r="BL801" s="20" t="inlineStr">
        <is>
          <t>IC Kationen</t>
        </is>
      </c>
      <c r="BM801" s="20" t="inlineStr">
        <is>
          <t>None</t>
        </is>
      </c>
      <c r="BN801" s="17" t="n"/>
      <c r="BO801" s="16" t="n"/>
      <c r="BP801" s="20" t="inlineStr">
        <is>
          <t>IC Kationen</t>
        </is>
      </c>
      <c r="BQ801" s="20" t="inlineStr">
        <is>
          <t>None</t>
        </is>
      </c>
      <c r="BR801" s="17" t="n"/>
      <c r="BS801" s="16" t="n"/>
      <c r="BT801" s="20" t="inlineStr">
        <is>
          <t>IC Kationen</t>
        </is>
      </c>
      <c r="BU801" s="20" t="inlineStr">
        <is>
          <t>None</t>
        </is>
      </c>
      <c r="BV801" s="17" t="n"/>
      <c r="BW801" s="16" t="n"/>
      <c r="BX801" s="20" t="n"/>
      <c r="BY801" s="20" t="inlineStr">
        <is>
          <t>None</t>
        </is>
      </c>
      <c r="BZ801" s="17" t="n"/>
      <c r="CA801" s="16" t="n"/>
      <c r="CB801" s="20" t="n"/>
      <c r="CC801" s="20" t="inlineStr">
        <is>
          <t>None</t>
        </is>
      </c>
      <c r="CD801" s="17" t="n"/>
      <c r="CE801" s="16" t="n"/>
      <c r="CF801" s="20" t="n"/>
      <c r="CG801" s="20" t="inlineStr">
        <is>
          <t>None</t>
        </is>
      </c>
      <c r="CH801" s="17" t="n"/>
      <c r="CI801" s="16" t="n"/>
      <c r="CJ801" s="20" t="n"/>
      <c r="CK801" s="20" t="inlineStr">
        <is>
          <t>None</t>
        </is>
      </c>
      <c r="CL801" s="17" t="n"/>
      <c r="CM801" s="16" t="n"/>
      <c r="CN801" s="20" t="inlineStr">
        <is>
          <t>SOP 45-34</t>
        </is>
      </c>
      <c r="CO801" s="20" t="inlineStr">
        <is>
          <t>None</t>
        </is>
      </c>
      <c r="CP801" s="17" t="n"/>
      <c r="CQ801" s="16" t="n"/>
      <c r="CR801" s="20" t="n"/>
      <c r="CS801" s="20" t="inlineStr">
        <is>
          <t>None</t>
        </is>
      </c>
      <c r="CT801" s="17" t="n"/>
      <c r="CU801" s="16" t="n"/>
      <c r="CV801" s="20" t="n"/>
      <c r="CW801" s="20" t="inlineStr">
        <is>
          <t>None</t>
        </is>
      </c>
      <c r="CX801" s="17" t="n"/>
      <c r="CY801" s="16" t="n"/>
      <c r="CZ801" s="20" t="inlineStr">
        <is>
          <t>WTW Multimeter 3430 with FDO 925</t>
        </is>
      </c>
      <c r="DA801" s="20" t="inlineStr">
        <is>
          <t>None</t>
        </is>
      </c>
      <c r="DB801" s="17" t="n"/>
      <c r="DC801" s="16" t="n"/>
      <c r="DD801" s="20" t="n"/>
      <c r="DE801" s="20" t="inlineStr">
        <is>
          <t>None</t>
        </is>
      </c>
      <c r="DF801" s="17" t="n"/>
      <c r="DG801" s="16" t="n"/>
      <c r="DH801" s="20" t="inlineStr">
        <is>
          <t>SOP 45-09</t>
        </is>
      </c>
      <c r="DI801" s="20" t="inlineStr">
        <is>
          <t>None</t>
        </is>
      </c>
      <c r="DJ801" s="17" t="n"/>
      <c r="DK801" s="16" t="n"/>
      <c r="DL801" s="20" t="inlineStr">
        <is>
          <t>SOP 45-09 (SOP muss noch angepasst werden für VSS)</t>
        </is>
      </c>
      <c r="DM801" s="20" t="inlineStr">
        <is>
          <t>None</t>
        </is>
      </c>
      <c r="DN801" s="17" t="n"/>
      <c r="DO801" s="16" t="n"/>
      <c r="DP801" s="20" t="inlineStr">
        <is>
          <t>IC Organic Acids</t>
        </is>
      </c>
      <c r="DQ801" s="20" t="inlineStr">
        <is>
          <t>None</t>
        </is>
      </c>
      <c r="DR801" s="17" t="n"/>
      <c r="DS801" s="16" t="n"/>
      <c r="DT801" s="20" t="inlineStr">
        <is>
          <t>IC Organic Acids</t>
        </is>
      </c>
      <c r="DU801" s="20" t="inlineStr">
        <is>
          <t>None</t>
        </is>
      </c>
      <c r="DV801" s="17" t="n"/>
      <c r="DW801" s="16" t="n"/>
      <c r="DX801" s="20" t="inlineStr">
        <is>
          <t>IC Organic Acids</t>
        </is>
      </c>
      <c r="DY801" s="20" t="inlineStr">
        <is>
          <t>None</t>
        </is>
      </c>
      <c r="DZ801" s="17" t="n"/>
      <c r="EA801" s="16" t="n"/>
      <c r="EB801" s="20" t="inlineStr">
        <is>
          <t>IC Organic Acids</t>
        </is>
      </c>
      <c r="EC801" s="20" t="inlineStr">
        <is>
          <t>None</t>
        </is>
      </c>
      <c r="ED801" s="17" t="n"/>
      <c r="EE801" s="16" t="n"/>
      <c r="EF801" s="20" t="inlineStr">
        <is>
          <t>IC Organic Acids</t>
        </is>
      </c>
      <c r="EG801" s="20" t="inlineStr">
        <is>
          <t>None</t>
        </is>
      </c>
      <c r="EH801" s="17" t="n"/>
      <c r="EI801" s="16" t="n"/>
      <c r="EJ801" s="20" t="inlineStr">
        <is>
          <t>IC Organic Acids</t>
        </is>
      </c>
      <c r="EK801" s="20" t="inlineStr">
        <is>
          <t>None</t>
        </is>
      </c>
      <c r="EL801" s="17" t="n"/>
      <c r="EM801" s="16" t="n"/>
      <c r="EN801" s="20" t="inlineStr">
        <is>
          <t>IC Organic Acids</t>
        </is>
      </c>
      <c r="EO801" s="20" t="inlineStr">
        <is>
          <t>None</t>
        </is>
      </c>
      <c r="EP801" s="17" t="n"/>
      <c r="EQ801" s="16" t="n"/>
      <c r="ER801" s="20" t="inlineStr">
        <is>
          <t>IC Organic Acids</t>
        </is>
      </c>
      <c r="ES801" s="20" t="inlineStr">
        <is>
          <t>None</t>
        </is>
      </c>
      <c r="ET801" s="17" t="n"/>
      <c r="EU801" s="16" t="n"/>
      <c r="EV801" s="20" t="inlineStr">
        <is>
          <t>LC-MS</t>
        </is>
      </c>
      <c r="EW801" s="20" t="inlineStr">
        <is>
          <t>None</t>
        </is>
      </c>
      <c r="EX801" s="17" t="n"/>
      <c r="EY801" s="21" t="n"/>
      <c r="EZ801">
        <f>CONCATENATE(A801,B801)</f>
        <v/>
      </c>
      <c r="FA801">
        <f>CONCATENATE(SamplesX!A801,SamplesX!B801)</f>
        <v/>
      </c>
      <c r="FC801">
        <f>MATCH(EZ801,FA1:FA1008,0)</f>
        <v/>
      </c>
    </row>
    <row r="802">
      <c r="A802" s="16" t="n"/>
      <c r="B802" s="17" t="n"/>
      <c r="C802" s="10">
        <f>IF(ISNUMBER(FC802),INDIRECT("SamplesX!C"&amp;FC802),IF(ISNUMBER(FD802),INDIRECT("SamplesY!C"&amp;FD802),""))</f>
        <v/>
      </c>
      <c r="D802" s="12">
        <f>IF(ISNUMBER(FC802),INDIRECT("SamplesX!D"&amp;FC802),IF(ISNUMBER(FD802),INDIRECT("SamplesY!D"&amp;FD802),""))</f>
        <v/>
      </c>
      <c r="E802" s="12">
        <f>IF(ISNUMBER(FC802),INDIRECT("SamplesX!E"&amp;FC802),IF(ISNUMBER(FD802),INDIRECT("SamplesY!E"&amp;FD802),""))</f>
        <v/>
      </c>
      <c r="F802" s="11">
        <f>IF(ISNUMBER(FC802),INDIRECT("SamplesX!F"&amp;FC802),IF(ISNUMBER(FD802),INDIRECT("SamplesY!F"&amp;FD802),""))</f>
        <v/>
      </c>
      <c r="G802" s="18">
        <f>IF(ISNUMBER(FC802),INDIRECT("SamplesX!G"&amp;FC802),IF(ISNUMBER(FD802),INDIRECT("SamplesY!G"&amp;FD802),""))</f>
        <v/>
      </c>
      <c r="H802" s="19">
        <f>IF(ISNUMBER(FC802),INDIRECT("SamplesX!H"&amp;FC802),IF(ISNUMBER(FD802),INDIRECT("SamplesY!H"&amp;FD802),""))</f>
        <v/>
      </c>
      <c r="I802" s="16" t="n"/>
      <c r="J802" s="16" t="n"/>
      <c r="K802" s="16" t="n"/>
      <c r="L802" s="20" t="n"/>
      <c r="M802" s="20" t="inlineStr">
        <is>
          <t>None</t>
        </is>
      </c>
      <c r="N802" s="17" t="n"/>
      <c r="O802" s="16" t="n"/>
      <c r="P802" s="20" t="inlineStr">
        <is>
          <t>Shimadzu TOC-L</t>
        </is>
      </c>
      <c r="Q802" s="20" t="inlineStr">
        <is>
          <t>None</t>
        </is>
      </c>
      <c r="R802" s="17" t="n"/>
      <c r="S802" s="16" t="n"/>
      <c r="T802" s="20" t="inlineStr">
        <is>
          <t>Shimadzu TOC-L</t>
        </is>
      </c>
      <c r="U802" s="20" t="inlineStr">
        <is>
          <t>None</t>
        </is>
      </c>
      <c r="V802" s="17" t="n"/>
      <c r="W802" s="16" t="n"/>
      <c r="X802" s="20" t="n"/>
      <c r="Y802" s="20" t="inlineStr">
        <is>
          <t>None</t>
        </is>
      </c>
      <c r="Z802" s="17" t="n"/>
      <c r="AA802" s="16" t="n"/>
      <c r="AB802" s="20" t="n"/>
      <c r="AC802" s="20" t="inlineStr">
        <is>
          <t>None</t>
        </is>
      </c>
      <c r="AD802" s="17" t="n"/>
      <c r="AE802" s="16" t="n"/>
      <c r="AF802" s="20" t="inlineStr">
        <is>
          <t>IC Anionen</t>
        </is>
      </c>
      <c r="AG802" s="20" t="inlineStr">
        <is>
          <t>None</t>
        </is>
      </c>
      <c r="AH802" s="17" t="n"/>
      <c r="AI802" s="16" t="n"/>
      <c r="AJ802" s="20" t="n"/>
      <c r="AK802" s="20" t="inlineStr">
        <is>
          <t>None</t>
        </is>
      </c>
      <c r="AL802" s="17" t="n"/>
      <c r="AM802" s="16" t="n"/>
      <c r="AN802" s="20" t="inlineStr">
        <is>
          <t>IC Anionen</t>
        </is>
      </c>
      <c r="AO802" s="20" t="inlineStr">
        <is>
          <t>None</t>
        </is>
      </c>
      <c r="AP802" s="17" t="n"/>
      <c r="AQ802" s="16" t="n"/>
      <c r="AR802" s="20" t="n"/>
      <c r="AS802" s="20" t="inlineStr">
        <is>
          <t>None</t>
        </is>
      </c>
      <c r="AT802" s="17" t="n"/>
      <c r="AU802" s="16" t="n"/>
      <c r="AV802" s="20" t="n"/>
      <c r="AW802" s="20" t="inlineStr">
        <is>
          <t>None</t>
        </is>
      </c>
      <c r="AX802" s="17" t="n"/>
      <c r="AY802" s="16" t="n"/>
      <c r="AZ802" s="20" t="inlineStr">
        <is>
          <t>IC Anionen</t>
        </is>
      </c>
      <c r="BA802" s="20" t="inlineStr">
        <is>
          <t>None</t>
        </is>
      </c>
      <c r="BB802" s="17" t="n"/>
      <c r="BC802" s="16" t="n"/>
      <c r="BD802" s="20" t="inlineStr">
        <is>
          <t>IC Kationen</t>
        </is>
      </c>
      <c r="BE802" s="20" t="inlineStr">
        <is>
          <t>None</t>
        </is>
      </c>
      <c r="BF802" s="17" t="n"/>
      <c r="BG802" s="16" t="n"/>
      <c r="BH802" s="20" t="inlineStr">
        <is>
          <t>IC Kationen</t>
        </is>
      </c>
      <c r="BI802" s="20" t="inlineStr">
        <is>
          <t>None</t>
        </is>
      </c>
      <c r="BJ802" s="17" t="n"/>
      <c r="BK802" s="16" t="n"/>
      <c r="BL802" s="20" t="inlineStr">
        <is>
          <t>IC Kationen</t>
        </is>
      </c>
      <c r="BM802" s="20" t="inlineStr">
        <is>
          <t>None</t>
        </is>
      </c>
      <c r="BN802" s="17" t="n"/>
      <c r="BO802" s="16" t="n"/>
      <c r="BP802" s="20" t="inlineStr">
        <is>
          <t>IC Kationen</t>
        </is>
      </c>
      <c r="BQ802" s="20" t="inlineStr">
        <is>
          <t>None</t>
        </is>
      </c>
      <c r="BR802" s="17" t="n"/>
      <c r="BS802" s="16" t="n"/>
      <c r="BT802" s="20" t="inlineStr">
        <is>
          <t>IC Kationen</t>
        </is>
      </c>
      <c r="BU802" s="20" t="inlineStr">
        <is>
          <t>None</t>
        </is>
      </c>
      <c r="BV802" s="17" t="n"/>
      <c r="BW802" s="16" t="n"/>
      <c r="BX802" s="20" t="n"/>
      <c r="BY802" s="20" t="inlineStr">
        <is>
          <t>None</t>
        </is>
      </c>
      <c r="BZ802" s="17" t="n"/>
      <c r="CA802" s="16" t="n"/>
      <c r="CB802" s="20" t="n"/>
      <c r="CC802" s="20" t="inlineStr">
        <is>
          <t>None</t>
        </is>
      </c>
      <c r="CD802" s="17" t="n"/>
      <c r="CE802" s="16" t="n"/>
      <c r="CF802" s="20" t="n"/>
      <c r="CG802" s="20" t="inlineStr">
        <is>
          <t>None</t>
        </is>
      </c>
      <c r="CH802" s="17" t="n"/>
      <c r="CI802" s="16" t="n"/>
      <c r="CJ802" s="20" t="n"/>
      <c r="CK802" s="20" t="inlineStr">
        <is>
          <t>None</t>
        </is>
      </c>
      <c r="CL802" s="17" t="n"/>
      <c r="CM802" s="16" t="n"/>
      <c r="CN802" s="20" t="inlineStr">
        <is>
          <t>SOP 45-34</t>
        </is>
      </c>
      <c r="CO802" s="20" t="inlineStr">
        <is>
          <t>None</t>
        </is>
      </c>
      <c r="CP802" s="17" t="n"/>
      <c r="CQ802" s="16" t="n"/>
      <c r="CR802" s="20" t="n"/>
      <c r="CS802" s="20" t="inlineStr">
        <is>
          <t>None</t>
        </is>
      </c>
      <c r="CT802" s="17" t="n"/>
      <c r="CU802" s="16" t="n"/>
      <c r="CV802" s="20" t="n"/>
      <c r="CW802" s="20" t="inlineStr">
        <is>
          <t>None</t>
        </is>
      </c>
      <c r="CX802" s="17" t="n"/>
      <c r="CY802" s="16" t="n"/>
      <c r="CZ802" s="20" t="inlineStr">
        <is>
          <t>WTW Multimeter 3430 with FDO 925</t>
        </is>
      </c>
      <c r="DA802" s="20" t="inlineStr">
        <is>
          <t>None</t>
        </is>
      </c>
      <c r="DB802" s="17" t="n"/>
      <c r="DC802" s="16" t="n"/>
      <c r="DD802" s="20" t="n"/>
      <c r="DE802" s="20" t="inlineStr">
        <is>
          <t>None</t>
        </is>
      </c>
      <c r="DF802" s="17" t="n"/>
      <c r="DG802" s="16" t="n"/>
      <c r="DH802" s="20" t="inlineStr">
        <is>
          <t>SOP 45-09</t>
        </is>
      </c>
      <c r="DI802" s="20" t="inlineStr">
        <is>
          <t>None</t>
        </is>
      </c>
      <c r="DJ802" s="17" t="n"/>
      <c r="DK802" s="16" t="n"/>
      <c r="DL802" s="20" t="inlineStr">
        <is>
          <t>SOP 45-09 (SOP muss noch angepasst werden für VSS)</t>
        </is>
      </c>
      <c r="DM802" s="20" t="inlineStr">
        <is>
          <t>None</t>
        </is>
      </c>
      <c r="DN802" s="17" t="n"/>
      <c r="DO802" s="16" t="n"/>
      <c r="DP802" s="20" t="inlineStr">
        <is>
          <t>IC Organic Acids</t>
        </is>
      </c>
      <c r="DQ802" s="20" t="inlineStr">
        <is>
          <t>None</t>
        </is>
      </c>
      <c r="DR802" s="17" t="n"/>
      <c r="DS802" s="16" t="n"/>
      <c r="DT802" s="20" t="inlineStr">
        <is>
          <t>IC Organic Acids</t>
        </is>
      </c>
      <c r="DU802" s="20" t="inlineStr">
        <is>
          <t>None</t>
        </is>
      </c>
      <c r="DV802" s="17" t="n"/>
      <c r="DW802" s="16" t="n"/>
      <c r="DX802" s="20" t="inlineStr">
        <is>
          <t>IC Organic Acids</t>
        </is>
      </c>
      <c r="DY802" s="20" t="inlineStr">
        <is>
          <t>None</t>
        </is>
      </c>
      <c r="DZ802" s="17" t="n"/>
      <c r="EA802" s="16" t="n"/>
      <c r="EB802" s="20" t="inlineStr">
        <is>
          <t>IC Organic Acids</t>
        </is>
      </c>
      <c r="EC802" s="20" t="inlineStr">
        <is>
          <t>None</t>
        </is>
      </c>
      <c r="ED802" s="17" t="n"/>
      <c r="EE802" s="16" t="n"/>
      <c r="EF802" s="20" t="inlineStr">
        <is>
          <t>IC Organic Acids</t>
        </is>
      </c>
      <c r="EG802" s="20" t="inlineStr">
        <is>
          <t>None</t>
        </is>
      </c>
      <c r="EH802" s="17" t="n"/>
      <c r="EI802" s="16" t="n"/>
      <c r="EJ802" s="20" t="inlineStr">
        <is>
          <t>IC Organic Acids</t>
        </is>
      </c>
      <c r="EK802" s="20" t="inlineStr">
        <is>
          <t>None</t>
        </is>
      </c>
      <c r="EL802" s="17" t="n"/>
      <c r="EM802" s="16" t="n"/>
      <c r="EN802" s="20" t="inlineStr">
        <is>
          <t>IC Organic Acids</t>
        </is>
      </c>
      <c r="EO802" s="20" t="inlineStr">
        <is>
          <t>None</t>
        </is>
      </c>
      <c r="EP802" s="17" t="n"/>
      <c r="EQ802" s="16" t="n"/>
      <c r="ER802" s="20" t="inlineStr">
        <is>
          <t>IC Organic Acids</t>
        </is>
      </c>
      <c r="ES802" s="20" t="inlineStr">
        <is>
          <t>None</t>
        </is>
      </c>
      <c r="ET802" s="17" t="n"/>
      <c r="EU802" s="16" t="n"/>
      <c r="EV802" s="20" t="inlineStr">
        <is>
          <t>LC-MS</t>
        </is>
      </c>
      <c r="EW802" s="20" t="inlineStr">
        <is>
          <t>None</t>
        </is>
      </c>
      <c r="EX802" s="17" t="n"/>
      <c r="EY802" s="21" t="n"/>
      <c r="EZ802">
        <f>CONCATENATE(A802,B802)</f>
        <v/>
      </c>
      <c r="FA802">
        <f>CONCATENATE(SamplesX!A802,SamplesX!B802)</f>
        <v/>
      </c>
      <c r="FC802">
        <f>MATCH(EZ802,FA1:FA1008,0)</f>
        <v/>
      </c>
    </row>
    <row r="803">
      <c r="A803" s="16" t="n"/>
      <c r="B803" s="17" t="n"/>
      <c r="C803" s="10">
        <f>IF(ISNUMBER(FC803),INDIRECT("SamplesX!C"&amp;FC803),IF(ISNUMBER(FD803),INDIRECT("SamplesY!C"&amp;FD803),""))</f>
        <v/>
      </c>
      <c r="D803" s="12">
        <f>IF(ISNUMBER(FC803),INDIRECT("SamplesX!D"&amp;FC803),IF(ISNUMBER(FD803),INDIRECT("SamplesY!D"&amp;FD803),""))</f>
        <v/>
      </c>
      <c r="E803" s="12">
        <f>IF(ISNUMBER(FC803),INDIRECT("SamplesX!E"&amp;FC803),IF(ISNUMBER(FD803),INDIRECT("SamplesY!E"&amp;FD803),""))</f>
        <v/>
      </c>
      <c r="F803" s="11">
        <f>IF(ISNUMBER(FC803),INDIRECT("SamplesX!F"&amp;FC803),IF(ISNUMBER(FD803),INDIRECT("SamplesY!F"&amp;FD803),""))</f>
        <v/>
      </c>
      <c r="G803" s="18">
        <f>IF(ISNUMBER(FC803),INDIRECT("SamplesX!G"&amp;FC803),IF(ISNUMBER(FD803),INDIRECT("SamplesY!G"&amp;FD803),""))</f>
        <v/>
      </c>
      <c r="H803" s="19">
        <f>IF(ISNUMBER(FC803),INDIRECT("SamplesX!H"&amp;FC803),IF(ISNUMBER(FD803),INDIRECT("SamplesY!H"&amp;FD803),""))</f>
        <v/>
      </c>
      <c r="I803" s="16" t="n"/>
      <c r="J803" s="16" t="n"/>
      <c r="K803" s="16" t="n"/>
      <c r="L803" s="20" t="n"/>
      <c r="M803" s="20" t="inlineStr">
        <is>
          <t>None</t>
        </is>
      </c>
      <c r="N803" s="17" t="n"/>
      <c r="O803" s="16" t="n"/>
      <c r="P803" s="20" t="inlineStr">
        <is>
          <t>Shimadzu TOC-L</t>
        </is>
      </c>
      <c r="Q803" s="20" t="inlineStr">
        <is>
          <t>None</t>
        </is>
      </c>
      <c r="R803" s="17" t="n"/>
      <c r="S803" s="16" t="n"/>
      <c r="T803" s="20" t="inlineStr">
        <is>
          <t>Shimadzu TOC-L</t>
        </is>
      </c>
      <c r="U803" s="20" t="inlineStr">
        <is>
          <t>None</t>
        </is>
      </c>
      <c r="V803" s="17" t="n"/>
      <c r="W803" s="16" t="n"/>
      <c r="X803" s="20" t="n"/>
      <c r="Y803" s="20" t="inlineStr">
        <is>
          <t>None</t>
        </is>
      </c>
      <c r="Z803" s="17" t="n"/>
      <c r="AA803" s="16" t="n"/>
      <c r="AB803" s="20" t="n"/>
      <c r="AC803" s="20" t="inlineStr">
        <is>
          <t>None</t>
        </is>
      </c>
      <c r="AD803" s="17" t="n"/>
      <c r="AE803" s="16" t="n"/>
      <c r="AF803" s="20" t="inlineStr">
        <is>
          <t>IC Anionen</t>
        </is>
      </c>
      <c r="AG803" s="20" t="inlineStr">
        <is>
          <t>None</t>
        </is>
      </c>
      <c r="AH803" s="17" t="n"/>
      <c r="AI803" s="16" t="n"/>
      <c r="AJ803" s="20" t="n"/>
      <c r="AK803" s="20" t="inlineStr">
        <is>
          <t>None</t>
        </is>
      </c>
      <c r="AL803" s="17" t="n"/>
      <c r="AM803" s="16" t="n"/>
      <c r="AN803" s="20" t="inlineStr">
        <is>
          <t>IC Anionen</t>
        </is>
      </c>
      <c r="AO803" s="20" t="inlineStr">
        <is>
          <t>None</t>
        </is>
      </c>
      <c r="AP803" s="17" t="n"/>
      <c r="AQ803" s="16" t="n"/>
      <c r="AR803" s="20" t="n"/>
      <c r="AS803" s="20" t="inlineStr">
        <is>
          <t>None</t>
        </is>
      </c>
      <c r="AT803" s="17" t="n"/>
      <c r="AU803" s="16" t="n"/>
      <c r="AV803" s="20" t="n"/>
      <c r="AW803" s="20" t="inlineStr">
        <is>
          <t>None</t>
        </is>
      </c>
      <c r="AX803" s="17" t="n"/>
      <c r="AY803" s="16" t="n"/>
      <c r="AZ803" s="20" t="inlineStr">
        <is>
          <t>IC Anionen</t>
        </is>
      </c>
      <c r="BA803" s="20" t="inlineStr">
        <is>
          <t>None</t>
        </is>
      </c>
      <c r="BB803" s="17" t="n"/>
      <c r="BC803" s="16" t="n"/>
      <c r="BD803" s="20" t="inlineStr">
        <is>
          <t>IC Kationen</t>
        </is>
      </c>
      <c r="BE803" s="20" t="inlineStr">
        <is>
          <t>None</t>
        </is>
      </c>
      <c r="BF803" s="17" t="n"/>
      <c r="BG803" s="16" t="n"/>
      <c r="BH803" s="20" t="inlineStr">
        <is>
          <t>IC Kationen</t>
        </is>
      </c>
      <c r="BI803" s="20" t="inlineStr">
        <is>
          <t>None</t>
        </is>
      </c>
      <c r="BJ803" s="17" t="n"/>
      <c r="BK803" s="16" t="n"/>
      <c r="BL803" s="20" t="inlineStr">
        <is>
          <t>IC Kationen</t>
        </is>
      </c>
      <c r="BM803" s="20" t="inlineStr">
        <is>
          <t>None</t>
        </is>
      </c>
      <c r="BN803" s="17" t="n"/>
      <c r="BO803" s="16" t="n"/>
      <c r="BP803" s="20" t="inlineStr">
        <is>
          <t>IC Kationen</t>
        </is>
      </c>
      <c r="BQ803" s="20" t="inlineStr">
        <is>
          <t>None</t>
        </is>
      </c>
      <c r="BR803" s="17" t="n"/>
      <c r="BS803" s="16" t="n"/>
      <c r="BT803" s="20" t="inlineStr">
        <is>
          <t>IC Kationen</t>
        </is>
      </c>
      <c r="BU803" s="20" t="inlineStr">
        <is>
          <t>None</t>
        </is>
      </c>
      <c r="BV803" s="17" t="n"/>
      <c r="BW803" s="16" t="n"/>
      <c r="BX803" s="20" t="n"/>
      <c r="BY803" s="20" t="inlineStr">
        <is>
          <t>None</t>
        </is>
      </c>
      <c r="BZ803" s="17" t="n"/>
      <c r="CA803" s="16" t="n"/>
      <c r="CB803" s="20" t="n"/>
      <c r="CC803" s="20" t="inlineStr">
        <is>
          <t>None</t>
        </is>
      </c>
      <c r="CD803" s="17" t="n"/>
      <c r="CE803" s="16" t="n"/>
      <c r="CF803" s="20" t="n"/>
      <c r="CG803" s="20" t="inlineStr">
        <is>
          <t>None</t>
        </is>
      </c>
      <c r="CH803" s="17" t="n"/>
      <c r="CI803" s="16" t="n"/>
      <c r="CJ803" s="20" t="n"/>
      <c r="CK803" s="20" t="inlineStr">
        <is>
          <t>None</t>
        </is>
      </c>
      <c r="CL803" s="17" t="n"/>
      <c r="CM803" s="16" t="n"/>
      <c r="CN803" s="20" t="inlineStr">
        <is>
          <t>SOP 45-34</t>
        </is>
      </c>
      <c r="CO803" s="20" t="inlineStr">
        <is>
          <t>None</t>
        </is>
      </c>
      <c r="CP803" s="17" t="n"/>
      <c r="CQ803" s="16" t="n"/>
      <c r="CR803" s="20" t="n"/>
      <c r="CS803" s="20" t="inlineStr">
        <is>
          <t>None</t>
        </is>
      </c>
      <c r="CT803" s="17" t="n"/>
      <c r="CU803" s="16" t="n"/>
      <c r="CV803" s="20" t="n"/>
      <c r="CW803" s="20" t="inlineStr">
        <is>
          <t>None</t>
        </is>
      </c>
      <c r="CX803" s="17" t="n"/>
      <c r="CY803" s="16" t="n"/>
      <c r="CZ803" s="20" t="inlineStr">
        <is>
          <t>WTW Multimeter 3430 with FDO 925</t>
        </is>
      </c>
      <c r="DA803" s="20" t="inlineStr">
        <is>
          <t>None</t>
        </is>
      </c>
      <c r="DB803" s="17" t="n"/>
      <c r="DC803" s="16" t="n"/>
      <c r="DD803" s="20" t="n"/>
      <c r="DE803" s="20" t="inlineStr">
        <is>
          <t>None</t>
        </is>
      </c>
      <c r="DF803" s="17" t="n"/>
      <c r="DG803" s="16" t="n"/>
      <c r="DH803" s="20" t="inlineStr">
        <is>
          <t>SOP 45-09</t>
        </is>
      </c>
      <c r="DI803" s="20" t="inlineStr">
        <is>
          <t>None</t>
        </is>
      </c>
      <c r="DJ803" s="17" t="n"/>
      <c r="DK803" s="16" t="n"/>
      <c r="DL803" s="20" t="inlineStr">
        <is>
          <t>SOP 45-09 (SOP muss noch angepasst werden für VSS)</t>
        </is>
      </c>
      <c r="DM803" s="20" t="inlineStr">
        <is>
          <t>None</t>
        </is>
      </c>
      <c r="DN803" s="17" t="n"/>
      <c r="DO803" s="16" t="n"/>
      <c r="DP803" s="20" t="inlineStr">
        <is>
          <t>IC Organic Acids</t>
        </is>
      </c>
      <c r="DQ803" s="20" t="inlineStr">
        <is>
          <t>None</t>
        </is>
      </c>
      <c r="DR803" s="17" t="n"/>
      <c r="DS803" s="16" t="n"/>
      <c r="DT803" s="20" t="inlineStr">
        <is>
          <t>IC Organic Acids</t>
        </is>
      </c>
      <c r="DU803" s="20" t="inlineStr">
        <is>
          <t>None</t>
        </is>
      </c>
      <c r="DV803" s="17" t="n"/>
      <c r="DW803" s="16" t="n"/>
      <c r="DX803" s="20" t="inlineStr">
        <is>
          <t>IC Organic Acids</t>
        </is>
      </c>
      <c r="DY803" s="20" t="inlineStr">
        <is>
          <t>None</t>
        </is>
      </c>
      <c r="DZ803" s="17" t="n"/>
      <c r="EA803" s="16" t="n"/>
      <c r="EB803" s="20" t="inlineStr">
        <is>
          <t>IC Organic Acids</t>
        </is>
      </c>
      <c r="EC803" s="20" t="inlineStr">
        <is>
          <t>None</t>
        </is>
      </c>
      <c r="ED803" s="17" t="n"/>
      <c r="EE803" s="16" t="n"/>
      <c r="EF803" s="20" t="inlineStr">
        <is>
          <t>IC Organic Acids</t>
        </is>
      </c>
      <c r="EG803" s="20" t="inlineStr">
        <is>
          <t>None</t>
        </is>
      </c>
      <c r="EH803" s="17" t="n"/>
      <c r="EI803" s="16" t="n"/>
      <c r="EJ803" s="20" t="inlineStr">
        <is>
          <t>IC Organic Acids</t>
        </is>
      </c>
      <c r="EK803" s="20" t="inlineStr">
        <is>
          <t>None</t>
        </is>
      </c>
      <c r="EL803" s="17" t="n"/>
      <c r="EM803" s="16" t="n"/>
      <c r="EN803" s="20" t="inlineStr">
        <is>
          <t>IC Organic Acids</t>
        </is>
      </c>
      <c r="EO803" s="20" t="inlineStr">
        <is>
          <t>None</t>
        </is>
      </c>
      <c r="EP803" s="17" t="n"/>
      <c r="EQ803" s="16" t="n"/>
      <c r="ER803" s="20" t="inlineStr">
        <is>
          <t>IC Organic Acids</t>
        </is>
      </c>
      <c r="ES803" s="20" t="inlineStr">
        <is>
          <t>None</t>
        </is>
      </c>
      <c r="ET803" s="17" t="n"/>
      <c r="EU803" s="16" t="n"/>
      <c r="EV803" s="20" t="inlineStr">
        <is>
          <t>LC-MS</t>
        </is>
      </c>
      <c r="EW803" s="20" t="inlineStr">
        <is>
          <t>None</t>
        </is>
      </c>
      <c r="EX803" s="17" t="n"/>
      <c r="EY803" s="21" t="n"/>
      <c r="EZ803">
        <f>CONCATENATE(A803,B803)</f>
        <v/>
      </c>
      <c r="FA803">
        <f>CONCATENATE(SamplesX!A803,SamplesX!B803)</f>
        <v/>
      </c>
      <c r="FC803">
        <f>MATCH(EZ803,FA1:FA1008,0)</f>
        <v/>
      </c>
    </row>
    <row r="804">
      <c r="A804" s="16" t="n"/>
      <c r="B804" s="17" t="n"/>
      <c r="C804" s="10">
        <f>IF(ISNUMBER(FC804),INDIRECT("SamplesX!C"&amp;FC804),IF(ISNUMBER(FD804),INDIRECT("SamplesY!C"&amp;FD804),""))</f>
        <v/>
      </c>
      <c r="D804" s="12">
        <f>IF(ISNUMBER(FC804),INDIRECT("SamplesX!D"&amp;FC804),IF(ISNUMBER(FD804),INDIRECT("SamplesY!D"&amp;FD804),""))</f>
        <v/>
      </c>
      <c r="E804" s="12">
        <f>IF(ISNUMBER(FC804),INDIRECT("SamplesX!E"&amp;FC804),IF(ISNUMBER(FD804),INDIRECT("SamplesY!E"&amp;FD804),""))</f>
        <v/>
      </c>
      <c r="F804" s="11">
        <f>IF(ISNUMBER(FC804),INDIRECT("SamplesX!F"&amp;FC804),IF(ISNUMBER(FD804),INDIRECT("SamplesY!F"&amp;FD804),""))</f>
        <v/>
      </c>
      <c r="G804" s="18">
        <f>IF(ISNUMBER(FC804),INDIRECT("SamplesX!G"&amp;FC804),IF(ISNUMBER(FD804),INDIRECT("SamplesY!G"&amp;FD804),""))</f>
        <v/>
      </c>
      <c r="H804" s="19">
        <f>IF(ISNUMBER(FC804),INDIRECT("SamplesX!H"&amp;FC804),IF(ISNUMBER(FD804),INDIRECT("SamplesY!H"&amp;FD804),""))</f>
        <v/>
      </c>
      <c r="I804" s="16" t="n"/>
      <c r="J804" s="16" t="n"/>
      <c r="K804" s="16" t="n"/>
      <c r="L804" s="20" t="n"/>
      <c r="M804" s="20" t="inlineStr">
        <is>
          <t>None</t>
        </is>
      </c>
      <c r="N804" s="17" t="n"/>
      <c r="O804" s="16" t="n"/>
      <c r="P804" s="20" t="inlineStr">
        <is>
          <t>Shimadzu TOC-L</t>
        </is>
      </c>
      <c r="Q804" s="20" t="inlineStr">
        <is>
          <t>None</t>
        </is>
      </c>
      <c r="R804" s="17" t="n"/>
      <c r="S804" s="16" t="n"/>
      <c r="T804" s="20" t="inlineStr">
        <is>
          <t>Shimadzu TOC-L</t>
        </is>
      </c>
      <c r="U804" s="20" t="inlineStr">
        <is>
          <t>None</t>
        </is>
      </c>
      <c r="V804" s="17" t="n"/>
      <c r="W804" s="16" t="n"/>
      <c r="X804" s="20" t="n"/>
      <c r="Y804" s="20" t="inlineStr">
        <is>
          <t>None</t>
        </is>
      </c>
      <c r="Z804" s="17" t="n"/>
      <c r="AA804" s="16" t="n"/>
      <c r="AB804" s="20" t="n"/>
      <c r="AC804" s="20" t="inlineStr">
        <is>
          <t>None</t>
        </is>
      </c>
      <c r="AD804" s="17" t="n"/>
      <c r="AE804" s="16" t="n"/>
      <c r="AF804" s="20" t="inlineStr">
        <is>
          <t>IC Anionen</t>
        </is>
      </c>
      <c r="AG804" s="20" t="inlineStr">
        <is>
          <t>None</t>
        </is>
      </c>
      <c r="AH804" s="17" t="n"/>
      <c r="AI804" s="16" t="n"/>
      <c r="AJ804" s="20" t="n"/>
      <c r="AK804" s="20" t="inlineStr">
        <is>
          <t>None</t>
        </is>
      </c>
      <c r="AL804" s="17" t="n"/>
      <c r="AM804" s="16" t="n"/>
      <c r="AN804" s="20" t="inlineStr">
        <is>
          <t>IC Anionen</t>
        </is>
      </c>
      <c r="AO804" s="20" t="inlineStr">
        <is>
          <t>None</t>
        </is>
      </c>
      <c r="AP804" s="17" t="n"/>
      <c r="AQ804" s="16" t="n"/>
      <c r="AR804" s="20" t="n"/>
      <c r="AS804" s="20" t="inlineStr">
        <is>
          <t>None</t>
        </is>
      </c>
      <c r="AT804" s="17" t="n"/>
      <c r="AU804" s="16" t="n"/>
      <c r="AV804" s="20" t="n"/>
      <c r="AW804" s="20" t="inlineStr">
        <is>
          <t>None</t>
        </is>
      </c>
      <c r="AX804" s="17" t="n"/>
      <c r="AY804" s="16" t="n"/>
      <c r="AZ804" s="20" t="inlineStr">
        <is>
          <t>IC Anionen</t>
        </is>
      </c>
      <c r="BA804" s="20" t="inlineStr">
        <is>
          <t>None</t>
        </is>
      </c>
      <c r="BB804" s="17" t="n"/>
      <c r="BC804" s="16" t="n"/>
      <c r="BD804" s="20" t="inlineStr">
        <is>
          <t>IC Kationen</t>
        </is>
      </c>
      <c r="BE804" s="20" t="inlineStr">
        <is>
          <t>None</t>
        </is>
      </c>
      <c r="BF804" s="17" t="n"/>
      <c r="BG804" s="16" t="n"/>
      <c r="BH804" s="20" t="inlineStr">
        <is>
          <t>IC Kationen</t>
        </is>
      </c>
      <c r="BI804" s="20" t="inlineStr">
        <is>
          <t>None</t>
        </is>
      </c>
      <c r="BJ804" s="17" t="n"/>
      <c r="BK804" s="16" t="n"/>
      <c r="BL804" s="20" t="inlineStr">
        <is>
          <t>IC Kationen</t>
        </is>
      </c>
      <c r="BM804" s="20" t="inlineStr">
        <is>
          <t>None</t>
        </is>
      </c>
      <c r="BN804" s="17" t="n"/>
      <c r="BO804" s="16" t="n"/>
      <c r="BP804" s="20" t="inlineStr">
        <is>
          <t>IC Kationen</t>
        </is>
      </c>
      <c r="BQ804" s="20" t="inlineStr">
        <is>
          <t>None</t>
        </is>
      </c>
      <c r="BR804" s="17" t="n"/>
      <c r="BS804" s="16" t="n"/>
      <c r="BT804" s="20" t="inlineStr">
        <is>
          <t>IC Kationen</t>
        </is>
      </c>
      <c r="BU804" s="20" t="inlineStr">
        <is>
          <t>None</t>
        </is>
      </c>
      <c r="BV804" s="17" t="n"/>
      <c r="BW804" s="16" t="n"/>
      <c r="BX804" s="20" t="n"/>
      <c r="BY804" s="20" t="inlineStr">
        <is>
          <t>None</t>
        </is>
      </c>
      <c r="BZ804" s="17" t="n"/>
      <c r="CA804" s="16" t="n"/>
      <c r="CB804" s="20" t="n"/>
      <c r="CC804" s="20" t="inlineStr">
        <is>
          <t>None</t>
        </is>
      </c>
      <c r="CD804" s="17" t="n"/>
      <c r="CE804" s="16" t="n"/>
      <c r="CF804" s="20" t="n"/>
      <c r="CG804" s="20" t="inlineStr">
        <is>
          <t>None</t>
        </is>
      </c>
      <c r="CH804" s="17" t="n"/>
      <c r="CI804" s="16" t="n"/>
      <c r="CJ804" s="20" t="n"/>
      <c r="CK804" s="20" t="inlineStr">
        <is>
          <t>None</t>
        </is>
      </c>
      <c r="CL804" s="17" t="n"/>
      <c r="CM804" s="16" t="n"/>
      <c r="CN804" s="20" t="inlineStr">
        <is>
          <t>SOP 45-34</t>
        </is>
      </c>
      <c r="CO804" s="20" t="inlineStr">
        <is>
          <t>None</t>
        </is>
      </c>
      <c r="CP804" s="17" t="n"/>
      <c r="CQ804" s="16" t="n"/>
      <c r="CR804" s="20" t="n"/>
      <c r="CS804" s="20" t="inlineStr">
        <is>
          <t>None</t>
        </is>
      </c>
      <c r="CT804" s="17" t="n"/>
      <c r="CU804" s="16" t="n"/>
      <c r="CV804" s="20" t="n"/>
      <c r="CW804" s="20" t="inlineStr">
        <is>
          <t>None</t>
        </is>
      </c>
      <c r="CX804" s="17" t="n"/>
      <c r="CY804" s="16" t="n"/>
      <c r="CZ804" s="20" t="inlineStr">
        <is>
          <t>WTW Multimeter 3430 with FDO 925</t>
        </is>
      </c>
      <c r="DA804" s="20" t="inlineStr">
        <is>
          <t>None</t>
        </is>
      </c>
      <c r="DB804" s="17" t="n"/>
      <c r="DC804" s="16" t="n"/>
      <c r="DD804" s="20" t="n"/>
      <c r="DE804" s="20" t="inlineStr">
        <is>
          <t>None</t>
        </is>
      </c>
      <c r="DF804" s="17" t="n"/>
      <c r="DG804" s="16" t="n"/>
      <c r="DH804" s="20" t="inlineStr">
        <is>
          <t>SOP 45-09</t>
        </is>
      </c>
      <c r="DI804" s="20" t="inlineStr">
        <is>
          <t>None</t>
        </is>
      </c>
      <c r="DJ804" s="17" t="n"/>
      <c r="DK804" s="16" t="n"/>
      <c r="DL804" s="20" t="inlineStr">
        <is>
          <t>SOP 45-09 (SOP muss noch angepasst werden für VSS)</t>
        </is>
      </c>
      <c r="DM804" s="20" t="inlineStr">
        <is>
          <t>None</t>
        </is>
      </c>
      <c r="DN804" s="17" t="n"/>
      <c r="DO804" s="16" t="n"/>
      <c r="DP804" s="20" t="inlineStr">
        <is>
          <t>IC Organic Acids</t>
        </is>
      </c>
      <c r="DQ804" s="20" t="inlineStr">
        <is>
          <t>None</t>
        </is>
      </c>
      <c r="DR804" s="17" t="n"/>
      <c r="DS804" s="16" t="n"/>
      <c r="DT804" s="20" t="inlineStr">
        <is>
          <t>IC Organic Acids</t>
        </is>
      </c>
      <c r="DU804" s="20" t="inlineStr">
        <is>
          <t>None</t>
        </is>
      </c>
      <c r="DV804" s="17" t="n"/>
      <c r="DW804" s="16" t="n"/>
      <c r="DX804" s="20" t="inlineStr">
        <is>
          <t>IC Organic Acids</t>
        </is>
      </c>
      <c r="DY804" s="20" t="inlineStr">
        <is>
          <t>None</t>
        </is>
      </c>
      <c r="DZ804" s="17" t="n"/>
      <c r="EA804" s="16" t="n"/>
      <c r="EB804" s="20" t="inlineStr">
        <is>
          <t>IC Organic Acids</t>
        </is>
      </c>
      <c r="EC804" s="20" t="inlineStr">
        <is>
          <t>None</t>
        </is>
      </c>
      <c r="ED804" s="17" t="n"/>
      <c r="EE804" s="16" t="n"/>
      <c r="EF804" s="20" t="inlineStr">
        <is>
          <t>IC Organic Acids</t>
        </is>
      </c>
      <c r="EG804" s="20" t="inlineStr">
        <is>
          <t>None</t>
        </is>
      </c>
      <c r="EH804" s="17" t="n"/>
      <c r="EI804" s="16" t="n"/>
      <c r="EJ804" s="20" t="inlineStr">
        <is>
          <t>IC Organic Acids</t>
        </is>
      </c>
      <c r="EK804" s="20" t="inlineStr">
        <is>
          <t>None</t>
        </is>
      </c>
      <c r="EL804" s="17" t="n"/>
      <c r="EM804" s="16" t="n"/>
      <c r="EN804" s="20" t="inlineStr">
        <is>
          <t>IC Organic Acids</t>
        </is>
      </c>
      <c r="EO804" s="20" t="inlineStr">
        <is>
          <t>None</t>
        </is>
      </c>
      <c r="EP804" s="17" t="n"/>
      <c r="EQ804" s="16" t="n"/>
      <c r="ER804" s="20" t="inlineStr">
        <is>
          <t>IC Organic Acids</t>
        </is>
      </c>
      <c r="ES804" s="20" t="inlineStr">
        <is>
          <t>None</t>
        </is>
      </c>
      <c r="ET804" s="17" t="n"/>
      <c r="EU804" s="16" t="n"/>
      <c r="EV804" s="20" t="inlineStr">
        <is>
          <t>LC-MS</t>
        </is>
      </c>
      <c r="EW804" s="20" t="inlineStr">
        <is>
          <t>None</t>
        </is>
      </c>
      <c r="EX804" s="17" t="n"/>
      <c r="EY804" s="21" t="n"/>
      <c r="EZ804">
        <f>CONCATENATE(A804,B804)</f>
        <v/>
      </c>
      <c r="FA804">
        <f>CONCATENATE(SamplesX!A804,SamplesX!B804)</f>
        <v/>
      </c>
      <c r="FC804">
        <f>MATCH(EZ804,FA1:FA1008,0)</f>
        <v/>
      </c>
    </row>
    <row r="805">
      <c r="A805" s="16" t="n"/>
      <c r="B805" s="17" t="n"/>
      <c r="C805" s="10">
        <f>IF(ISNUMBER(FC805),INDIRECT("SamplesX!C"&amp;FC805),IF(ISNUMBER(FD805),INDIRECT("SamplesY!C"&amp;FD805),""))</f>
        <v/>
      </c>
      <c r="D805" s="12">
        <f>IF(ISNUMBER(FC805),INDIRECT("SamplesX!D"&amp;FC805),IF(ISNUMBER(FD805),INDIRECT("SamplesY!D"&amp;FD805),""))</f>
        <v/>
      </c>
      <c r="E805" s="12">
        <f>IF(ISNUMBER(FC805),INDIRECT("SamplesX!E"&amp;FC805),IF(ISNUMBER(FD805),INDIRECT("SamplesY!E"&amp;FD805),""))</f>
        <v/>
      </c>
      <c r="F805" s="11">
        <f>IF(ISNUMBER(FC805),INDIRECT("SamplesX!F"&amp;FC805),IF(ISNUMBER(FD805),INDIRECT("SamplesY!F"&amp;FD805),""))</f>
        <v/>
      </c>
      <c r="G805" s="18">
        <f>IF(ISNUMBER(FC805),INDIRECT("SamplesX!G"&amp;FC805),IF(ISNUMBER(FD805),INDIRECT("SamplesY!G"&amp;FD805),""))</f>
        <v/>
      </c>
      <c r="H805" s="19">
        <f>IF(ISNUMBER(FC805),INDIRECT("SamplesX!H"&amp;FC805),IF(ISNUMBER(FD805),INDIRECT("SamplesY!H"&amp;FD805),""))</f>
        <v/>
      </c>
      <c r="I805" s="16" t="n"/>
      <c r="J805" s="16" t="n"/>
      <c r="K805" s="16" t="n"/>
      <c r="L805" s="20" t="n"/>
      <c r="M805" s="20" t="inlineStr">
        <is>
          <t>None</t>
        </is>
      </c>
      <c r="N805" s="17" t="n"/>
      <c r="O805" s="16" t="n"/>
      <c r="P805" s="20" t="inlineStr">
        <is>
          <t>Shimadzu TOC-L</t>
        </is>
      </c>
      <c r="Q805" s="20" t="inlineStr">
        <is>
          <t>None</t>
        </is>
      </c>
      <c r="R805" s="17" t="n"/>
      <c r="S805" s="16" t="n"/>
      <c r="T805" s="20" t="inlineStr">
        <is>
          <t>Shimadzu TOC-L</t>
        </is>
      </c>
      <c r="U805" s="20" t="inlineStr">
        <is>
          <t>None</t>
        </is>
      </c>
      <c r="V805" s="17" t="n"/>
      <c r="W805" s="16" t="n"/>
      <c r="X805" s="20" t="n"/>
      <c r="Y805" s="20" t="inlineStr">
        <is>
          <t>None</t>
        </is>
      </c>
      <c r="Z805" s="17" t="n"/>
      <c r="AA805" s="16" t="n"/>
      <c r="AB805" s="20" t="n"/>
      <c r="AC805" s="20" t="inlineStr">
        <is>
          <t>None</t>
        </is>
      </c>
      <c r="AD805" s="17" t="n"/>
      <c r="AE805" s="16" t="n"/>
      <c r="AF805" s="20" t="inlineStr">
        <is>
          <t>IC Anionen</t>
        </is>
      </c>
      <c r="AG805" s="20" t="inlineStr">
        <is>
          <t>None</t>
        </is>
      </c>
      <c r="AH805" s="17" t="n"/>
      <c r="AI805" s="16" t="n"/>
      <c r="AJ805" s="20" t="n"/>
      <c r="AK805" s="20" t="inlineStr">
        <is>
          <t>None</t>
        </is>
      </c>
      <c r="AL805" s="17" t="n"/>
      <c r="AM805" s="16" t="n"/>
      <c r="AN805" s="20" t="inlineStr">
        <is>
          <t>IC Anionen</t>
        </is>
      </c>
      <c r="AO805" s="20" t="inlineStr">
        <is>
          <t>None</t>
        </is>
      </c>
      <c r="AP805" s="17" t="n"/>
      <c r="AQ805" s="16" t="n"/>
      <c r="AR805" s="20" t="n"/>
      <c r="AS805" s="20" t="inlineStr">
        <is>
          <t>None</t>
        </is>
      </c>
      <c r="AT805" s="17" t="n"/>
      <c r="AU805" s="16" t="n"/>
      <c r="AV805" s="20" t="n"/>
      <c r="AW805" s="20" t="inlineStr">
        <is>
          <t>None</t>
        </is>
      </c>
      <c r="AX805" s="17" t="n"/>
      <c r="AY805" s="16" t="n"/>
      <c r="AZ805" s="20" t="inlineStr">
        <is>
          <t>IC Anionen</t>
        </is>
      </c>
      <c r="BA805" s="20" t="inlineStr">
        <is>
          <t>None</t>
        </is>
      </c>
      <c r="BB805" s="17" t="n"/>
      <c r="BC805" s="16" t="n"/>
      <c r="BD805" s="20" t="inlineStr">
        <is>
          <t>IC Kationen</t>
        </is>
      </c>
      <c r="BE805" s="20" t="inlineStr">
        <is>
          <t>None</t>
        </is>
      </c>
      <c r="BF805" s="17" t="n"/>
      <c r="BG805" s="16" t="n"/>
      <c r="BH805" s="20" t="inlineStr">
        <is>
          <t>IC Kationen</t>
        </is>
      </c>
      <c r="BI805" s="20" t="inlineStr">
        <is>
          <t>None</t>
        </is>
      </c>
      <c r="BJ805" s="17" t="n"/>
      <c r="BK805" s="16" t="n"/>
      <c r="BL805" s="20" t="inlineStr">
        <is>
          <t>IC Kationen</t>
        </is>
      </c>
      <c r="BM805" s="20" t="inlineStr">
        <is>
          <t>None</t>
        </is>
      </c>
      <c r="BN805" s="17" t="n"/>
      <c r="BO805" s="16" t="n"/>
      <c r="BP805" s="20" t="inlineStr">
        <is>
          <t>IC Kationen</t>
        </is>
      </c>
      <c r="BQ805" s="20" t="inlineStr">
        <is>
          <t>None</t>
        </is>
      </c>
      <c r="BR805" s="17" t="n"/>
      <c r="BS805" s="16" t="n"/>
      <c r="BT805" s="20" t="inlineStr">
        <is>
          <t>IC Kationen</t>
        </is>
      </c>
      <c r="BU805" s="20" t="inlineStr">
        <is>
          <t>None</t>
        </is>
      </c>
      <c r="BV805" s="17" t="n"/>
      <c r="BW805" s="16" t="n"/>
      <c r="BX805" s="20" t="n"/>
      <c r="BY805" s="20" t="inlineStr">
        <is>
          <t>None</t>
        </is>
      </c>
      <c r="BZ805" s="17" t="n"/>
      <c r="CA805" s="16" t="n"/>
      <c r="CB805" s="20" t="n"/>
      <c r="CC805" s="20" t="inlineStr">
        <is>
          <t>None</t>
        </is>
      </c>
      <c r="CD805" s="17" t="n"/>
      <c r="CE805" s="16" t="n"/>
      <c r="CF805" s="20" t="n"/>
      <c r="CG805" s="20" t="inlineStr">
        <is>
          <t>None</t>
        </is>
      </c>
      <c r="CH805" s="17" t="n"/>
      <c r="CI805" s="16" t="n"/>
      <c r="CJ805" s="20" t="n"/>
      <c r="CK805" s="20" t="inlineStr">
        <is>
          <t>None</t>
        </is>
      </c>
      <c r="CL805" s="17" t="n"/>
      <c r="CM805" s="16" t="n"/>
      <c r="CN805" s="20" t="inlineStr">
        <is>
          <t>SOP 45-34</t>
        </is>
      </c>
      <c r="CO805" s="20" t="inlineStr">
        <is>
          <t>None</t>
        </is>
      </c>
      <c r="CP805" s="17" t="n"/>
      <c r="CQ805" s="16" t="n"/>
      <c r="CR805" s="20" t="n"/>
      <c r="CS805" s="20" t="inlineStr">
        <is>
          <t>None</t>
        </is>
      </c>
      <c r="CT805" s="17" t="n"/>
      <c r="CU805" s="16" t="n"/>
      <c r="CV805" s="20" t="n"/>
      <c r="CW805" s="20" t="inlineStr">
        <is>
          <t>None</t>
        </is>
      </c>
      <c r="CX805" s="17" t="n"/>
      <c r="CY805" s="16" t="n"/>
      <c r="CZ805" s="20" t="inlineStr">
        <is>
          <t>WTW Multimeter 3430 with FDO 925</t>
        </is>
      </c>
      <c r="DA805" s="20" t="inlineStr">
        <is>
          <t>None</t>
        </is>
      </c>
      <c r="DB805" s="17" t="n"/>
      <c r="DC805" s="16" t="n"/>
      <c r="DD805" s="20" t="n"/>
      <c r="DE805" s="20" t="inlineStr">
        <is>
          <t>None</t>
        </is>
      </c>
      <c r="DF805" s="17" t="n"/>
      <c r="DG805" s="16" t="n"/>
      <c r="DH805" s="20" t="inlineStr">
        <is>
          <t>SOP 45-09</t>
        </is>
      </c>
      <c r="DI805" s="20" t="inlineStr">
        <is>
          <t>None</t>
        </is>
      </c>
      <c r="DJ805" s="17" t="n"/>
      <c r="DK805" s="16" t="n"/>
      <c r="DL805" s="20" t="inlineStr">
        <is>
          <t>SOP 45-09 (SOP muss noch angepasst werden für VSS)</t>
        </is>
      </c>
      <c r="DM805" s="20" t="inlineStr">
        <is>
          <t>None</t>
        </is>
      </c>
      <c r="DN805" s="17" t="n"/>
      <c r="DO805" s="16" t="n"/>
      <c r="DP805" s="20" t="inlineStr">
        <is>
          <t>IC Organic Acids</t>
        </is>
      </c>
      <c r="DQ805" s="20" t="inlineStr">
        <is>
          <t>None</t>
        </is>
      </c>
      <c r="DR805" s="17" t="n"/>
      <c r="DS805" s="16" t="n"/>
      <c r="DT805" s="20" t="inlineStr">
        <is>
          <t>IC Organic Acids</t>
        </is>
      </c>
      <c r="DU805" s="20" t="inlineStr">
        <is>
          <t>None</t>
        </is>
      </c>
      <c r="DV805" s="17" t="n"/>
      <c r="DW805" s="16" t="n"/>
      <c r="DX805" s="20" t="inlineStr">
        <is>
          <t>IC Organic Acids</t>
        </is>
      </c>
      <c r="DY805" s="20" t="inlineStr">
        <is>
          <t>None</t>
        </is>
      </c>
      <c r="DZ805" s="17" t="n"/>
      <c r="EA805" s="16" t="n"/>
      <c r="EB805" s="20" t="inlineStr">
        <is>
          <t>IC Organic Acids</t>
        </is>
      </c>
      <c r="EC805" s="20" t="inlineStr">
        <is>
          <t>None</t>
        </is>
      </c>
      <c r="ED805" s="17" t="n"/>
      <c r="EE805" s="16" t="n"/>
      <c r="EF805" s="20" t="inlineStr">
        <is>
          <t>IC Organic Acids</t>
        </is>
      </c>
      <c r="EG805" s="20" t="inlineStr">
        <is>
          <t>None</t>
        </is>
      </c>
      <c r="EH805" s="17" t="n"/>
      <c r="EI805" s="16" t="n"/>
      <c r="EJ805" s="20" t="inlineStr">
        <is>
          <t>IC Organic Acids</t>
        </is>
      </c>
      <c r="EK805" s="20" t="inlineStr">
        <is>
          <t>None</t>
        </is>
      </c>
      <c r="EL805" s="17" t="n"/>
      <c r="EM805" s="16" t="n"/>
      <c r="EN805" s="20" t="inlineStr">
        <is>
          <t>IC Organic Acids</t>
        </is>
      </c>
      <c r="EO805" s="20" t="inlineStr">
        <is>
          <t>None</t>
        </is>
      </c>
      <c r="EP805" s="17" t="n"/>
      <c r="EQ805" s="16" t="n"/>
      <c r="ER805" s="20" t="inlineStr">
        <is>
          <t>IC Organic Acids</t>
        </is>
      </c>
      <c r="ES805" s="20" t="inlineStr">
        <is>
          <t>None</t>
        </is>
      </c>
      <c r="ET805" s="17" t="n"/>
      <c r="EU805" s="16" t="n"/>
      <c r="EV805" s="20" t="inlineStr">
        <is>
          <t>LC-MS</t>
        </is>
      </c>
      <c r="EW805" s="20" t="inlineStr">
        <is>
          <t>None</t>
        </is>
      </c>
      <c r="EX805" s="17" t="n"/>
      <c r="EY805" s="21" t="n"/>
      <c r="EZ805">
        <f>CONCATENATE(A805,B805)</f>
        <v/>
      </c>
      <c r="FA805">
        <f>CONCATENATE(SamplesX!A805,SamplesX!B805)</f>
        <v/>
      </c>
      <c r="FC805">
        <f>MATCH(EZ805,FA1:FA1008,0)</f>
        <v/>
      </c>
    </row>
    <row r="806">
      <c r="A806" s="16" t="n"/>
      <c r="B806" s="17" t="n"/>
      <c r="C806" s="10">
        <f>IF(ISNUMBER(FC806),INDIRECT("SamplesX!C"&amp;FC806),IF(ISNUMBER(FD806),INDIRECT("SamplesY!C"&amp;FD806),""))</f>
        <v/>
      </c>
      <c r="D806" s="12">
        <f>IF(ISNUMBER(FC806),INDIRECT("SamplesX!D"&amp;FC806),IF(ISNUMBER(FD806),INDIRECT("SamplesY!D"&amp;FD806),""))</f>
        <v/>
      </c>
      <c r="E806" s="12">
        <f>IF(ISNUMBER(FC806),INDIRECT("SamplesX!E"&amp;FC806),IF(ISNUMBER(FD806),INDIRECT("SamplesY!E"&amp;FD806),""))</f>
        <v/>
      </c>
      <c r="F806" s="11">
        <f>IF(ISNUMBER(FC806),INDIRECT("SamplesX!F"&amp;FC806),IF(ISNUMBER(FD806),INDIRECT("SamplesY!F"&amp;FD806),""))</f>
        <v/>
      </c>
      <c r="G806" s="18">
        <f>IF(ISNUMBER(FC806),INDIRECT("SamplesX!G"&amp;FC806),IF(ISNUMBER(FD806),INDIRECT("SamplesY!G"&amp;FD806),""))</f>
        <v/>
      </c>
      <c r="H806" s="19">
        <f>IF(ISNUMBER(FC806),INDIRECT("SamplesX!H"&amp;FC806),IF(ISNUMBER(FD806),INDIRECT("SamplesY!H"&amp;FD806),""))</f>
        <v/>
      </c>
      <c r="I806" s="16" t="n"/>
      <c r="J806" s="16" t="n"/>
      <c r="K806" s="16" t="n"/>
      <c r="L806" s="20" t="n"/>
      <c r="M806" s="20" t="inlineStr">
        <is>
          <t>None</t>
        </is>
      </c>
      <c r="N806" s="17" t="n"/>
      <c r="O806" s="16" t="n"/>
      <c r="P806" s="20" t="inlineStr">
        <is>
          <t>Shimadzu TOC-L</t>
        </is>
      </c>
      <c r="Q806" s="20" t="inlineStr">
        <is>
          <t>None</t>
        </is>
      </c>
      <c r="R806" s="17" t="n"/>
      <c r="S806" s="16" t="n"/>
      <c r="T806" s="20" t="inlineStr">
        <is>
          <t>Shimadzu TOC-L</t>
        </is>
      </c>
      <c r="U806" s="20" t="inlineStr">
        <is>
          <t>None</t>
        </is>
      </c>
      <c r="V806" s="17" t="n"/>
      <c r="W806" s="16" t="n"/>
      <c r="X806" s="20" t="n"/>
      <c r="Y806" s="20" t="inlineStr">
        <is>
          <t>None</t>
        </is>
      </c>
      <c r="Z806" s="17" t="n"/>
      <c r="AA806" s="16" t="n"/>
      <c r="AB806" s="20" t="n"/>
      <c r="AC806" s="20" t="inlineStr">
        <is>
          <t>None</t>
        </is>
      </c>
      <c r="AD806" s="17" t="n"/>
      <c r="AE806" s="16" t="n"/>
      <c r="AF806" s="20" t="inlineStr">
        <is>
          <t>IC Anionen</t>
        </is>
      </c>
      <c r="AG806" s="20" t="inlineStr">
        <is>
          <t>None</t>
        </is>
      </c>
      <c r="AH806" s="17" t="n"/>
      <c r="AI806" s="16" t="n"/>
      <c r="AJ806" s="20" t="n"/>
      <c r="AK806" s="20" t="inlineStr">
        <is>
          <t>None</t>
        </is>
      </c>
      <c r="AL806" s="17" t="n"/>
      <c r="AM806" s="16" t="n"/>
      <c r="AN806" s="20" t="inlineStr">
        <is>
          <t>IC Anionen</t>
        </is>
      </c>
      <c r="AO806" s="20" t="inlineStr">
        <is>
          <t>None</t>
        </is>
      </c>
      <c r="AP806" s="17" t="n"/>
      <c r="AQ806" s="16" t="n"/>
      <c r="AR806" s="20" t="n"/>
      <c r="AS806" s="20" t="inlineStr">
        <is>
          <t>None</t>
        </is>
      </c>
      <c r="AT806" s="17" t="n"/>
      <c r="AU806" s="16" t="n"/>
      <c r="AV806" s="20" t="n"/>
      <c r="AW806" s="20" t="inlineStr">
        <is>
          <t>None</t>
        </is>
      </c>
      <c r="AX806" s="17" t="n"/>
      <c r="AY806" s="16" t="n"/>
      <c r="AZ806" s="20" t="inlineStr">
        <is>
          <t>IC Anionen</t>
        </is>
      </c>
      <c r="BA806" s="20" t="inlineStr">
        <is>
          <t>None</t>
        </is>
      </c>
      <c r="BB806" s="17" t="n"/>
      <c r="BC806" s="16" t="n"/>
      <c r="BD806" s="20" t="inlineStr">
        <is>
          <t>IC Kationen</t>
        </is>
      </c>
      <c r="BE806" s="20" t="inlineStr">
        <is>
          <t>None</t>
        </is>
      </c>
      <c r="BF806" s="17" t="n"/>
      <c r="BG806" s="16" t="n"/>
      <c r="BH806" s="20" t="inlineStr">
        <is>
          <t>IC Kationen</t>
        </is>
      </c>
      <c r="BI806" s="20" t="inlineStr">
        <is>
          <t>None</t>
        </is>
      </c>
      <c r="BJ806" s="17" t="n"/>
      <c r="BK806" s="16" t="n"/>
      <c r="BL806" s="20" t="inlineStr">
        <is>
          <t>IC Kationen</t>
        </is>
      </c>
      <c r="BM806" s="20" t="inlineStr">
        <is>
          <t>None</t>
        </is>
      </c>
      <c r="BN806" s="17" t="n"/>
      <c r="BO806" s="16" t="n"/>
      <c r="BP806" s="20" t="inlineStr">
        <is>
          <t>IC Kationen</t>
        </is>
      </c>
      <c r="BQ806" s="20" t="inlineStr">
        <is>
          <t>None</t>
        </is>
      </c>
      <c r="BR806" s="17" t="n"/>
      <c r="BS806" s="16" t="n"/>
      <c r="BT806" s="20" t="inlineStr">
        <is>
          <t>IC Kationen</t>
        </is>
      </c>
      <c r="BU806" s="20" t="inlineStr">
        <is>
          <t>None</t>
        </is>
      </c>
      <c r="BV806" s="17" t="n"/>
      <c r="BW806" s="16" t="n"/>
      <c r="BX806" s="20" t="n"/>
      <c r="BY806" s="20" t="inlineStr">
        <is>
          <t>None</t>
        </is>
      </c>
      <c r="BZ806" s="17" t="n"/>
      <c r="CA806" s="16" t="n"/>
      <c r="CB806" s="20" t="n"/>
      <c r="CC806" s="20" t="inlineStr">
        <is>
          <t>None</t>
        </is>
      </c>
      <c r="CD806" s="17" t="n"/>
      <c r="CE806" s="16" t="n"/>
      <c r="CF806" s="20" t="n"/>
      <c r="CG806" s="20" t="inlineStr">
        <is>
          <t>None</t>
        </is>
      </c>
      <c r="CH806" s="17" t="n"/>
      <c r="CI806" s="16" t="n"/>
      <c r="CJ806" s="20" t="n"/>
      <c r="CK806" s="20" t="inlineStr">
        <is>
          <t>None</t>
        </is>
      </c>
      <c r="CL806" s="17" t="n"/>
      <c r="CM806" s="16" t="n"/>
      <c r="CN806" s="20" t="inlineStr">
        <is>
          <t>SOP 45-34</t>
        </is>
      </c>
      <c r="CO806" s="20" t="inlineStr">
        <is>
          <t>None</t>
        </is>
      </c>
      <c r="CP806" s="17" t="n"/>
      <c r="CQ806" s="16" t="n"/>
      <c r="CR806" s="20" t="n"/>
      <c r="CS806" s="20" t="inlineStr">
        <is>
          <t>None</t>
        </is>
      </c>
      <c r="CT806" s="17" t="n"/>
      <c r="CU806" s="16" t="n"/>
      <c r="CV806" s="20" t="n"/>
      <c r="CW806" s="20" t="inlineStr">
        <is>
          <t>None</t>
        </is>
      </c>
      <c r="CX806" s="17" t="n"/>
      <c r="CY806" s="16" t="n"/>
      <c r="CZ806" s="20" t="inlineStr">
        <is>
          <t>WTW Multimeter 3430 with FDO 925</t>
        </is>
      </c>
      <c r="DA806" s="20" t="inlineStr">
        <is>
          <t>None</t>
        </is>
      </c>
      <c r="DB806" s="17" t="n"/>
      <c r="DC806" s="16" t="n"/>
      <c r="DD806" s="20" t="n"/>
      <c r="DE806" s="20" t="inlineStr">
        <is>
          <t>None</t>
        </is>
      </c>
      <c r="DF806" s="17" t="n"/>
      <c r="DG806" s="16" t="n"/>
      <c r="DH806" s="20" t="inlineStr">
        <is>
          <t>SOP 45-09</t>
        </is>
      </c>
      <c r="DI806" s="20" t="inlineStr">
        <is>
          <t>None</t>
        </is>
      </c>
      <c r="DJ806" s="17" t="n"/>
      <c r="DK806" s="16" t="n"/>
      <c r="DL806" s="20" t="inlineStr">
        <is>
          <t>SOP 45-09 (SOP muss noch angepasst werden für VSS)</t>
        </is>
      </c>
      <c r="DM806" s="20" t="inlineStr">
        <is>
          <t>None</t>
        </is>
      </c>
      <c r="DN806" s="17" t="n"/>
      <c r="DO806" s="16" t="n"/>
      <c r="DP806" s="20" t="inlineStr">
        <is>
          <t>IC Organic Acids</t>
        </is>
      </c>
      <c r="DQ806" s="20" t="inlineStr">
        <is>
          <t>None</t>
        </is>
      </c>
      <c r="DR806" s="17" t="n"/>
      <c r="DS806" s="16" t="n"/>
      <c r="DT806" s="20" t="inlineStr">
        <is>
          <t>IC Organic Acids</t>
        </is>
      </c>
      <c r="DU806" s="20" t="inlineStr">
        <is>
          <t>None</t>
        </is>
      </c>
      <c r="DV806" s="17" t="n"/>
      <c r="DW806" s="16" t="n"/>
      <c r="DX806" s="20" t="inlineStr">
        <is>
          <t>IC Organic Acids</t>
        </is>
      </c>
      <c r="DY806" s="20" t="inlineStr">
        <is>
          <t>None</t>
        </is>
      </c>
      <c r="DZ806" s="17" t="n"/>
      <c r="EA806" s="16" t="n"/>
      <c r="EB806" s="20" t="inlineStr">
        <is>
          <t>IC Organic Acids</t>
        </is>
      </c>
      <c r="EC806" s="20" t="inlineStr">
        <is>
          <t>None</t>
        </is>
      </c>
      <c r="ED806" s="17" t="n"/>
      <c r="EE806" s="16" t="n"/>
      <c r="EF806" s="20" t="inlineStr">
        <is>
          <t>IC Organic Acids</t>
        </is>
      </c>
      <c r="EG806" s="20" t="inlineStr">
        <is>
          <t>None</t>
        </is>
      </c>
      <c r="EH806" s="17" t="n"/>
      <c r="EI806" s="16" t="n"/>
      <c r="EJ806" s="20" t="inlineStr">
        <is>
          <t>IC Organic Acids</t>
        </is>
      </c>
      <c r="EK806" s="20" t="inlineStr">
        <is>
          <t>None</t>
        </is>
      </c>
      <c r="EL806" s="17" t="n"/>
      <c r="EM806" s="16" t="n"/>
      <c r="EN806" s="20" t="inlineStr">
        <is>
          <t>IC Organic Acids</t>
        </is>
      </c>
      <c r="EO806" s="20" t="inlineStr">
        <is>
          <t>None</t>
        </is>
      </c>
      <c r="EP806" s="17" t="n"/>
      <c r="EQ806" s="16" t="n"/>
      <c r="ER806" s="20" t="inlineStr">
        <is>
          <t>IC Organic Acids</t>
        </is>
      </c>
      <c r="ES806" s="20" t="inlineStr">
        <is>
          <t>None</t>
        </is>
      </c>
      <c r="ET806" s="17" t="n"/>
      <c r="EU806" s="16" t="n"/>
      <c r="EV806" s="20" t="inlineStr">
        <is>
          <t>LC-MS</t>
        </is>
      </c>
      <c r="EW806" s="20" t="inlineStr">
        <is>
          <t>None</t>
        </is>
      </c>
      <c r="EX806" s="17" t="n"/>
      <c r="EY806" s="21" t="n"/>
      <c r="EZ806">
        <f>CONCATENATE(A806,B806)</f>
        <v/>
      </c>
      <c r="FA806">
        <f>CONCATENATE(SamplesX!A806,SamplesX!B806)</f>
        <v/>
      </c>
      <c r="FC806">
        <f>MATCH(EZ806,FA1:FA1008,0)</f>
        <v/>
      </c>
    </row>
    <row r="807">
      <c r="A807" s="16" t="n"/>
      <c r="B807" s="17" t="n"/>
      <c r="C807" s="10">
        <f>IF(ISNUMBER(FC807),INDIRECT("SamplesX!C"&amp;FC807),IF(ISNUMBER(FD807),INDIRECT("SamplesY!C"&amp;FD807),""))</f>
        <v/>
      </c>
      <c r="D807" s="12">
        <f>IF(ISNUMBER(FC807),INDIRECT("SamplesX!D"&amp;FC807),IF(ISNUMBER(FD807),INDIRECT("SamplesY!D"&amp;FD807),""))</f>
        <v/>
      </c>
      <c r="E807" s="12">
        <f>IF(ISNUMBER(FC807),INDIRECT("SamplesX!E"&amp;FC807),IF(ISNUMBER(FD807),INDIRECT("SamplesY!E"&amp;FD807),""))</f>
        <v/>
      </c>
      <c r="F807" s="11">
        <f>IF(ISNUMBER(FC807),INDIRECT("SamplesX!F"&amp;FC807),IF(ISNUMBER(FD807),INDIRECT("SamplesY!F"&amp;FD807),""))</f>
        <v/>
      </c>
      <c r="G807" s="18">
        <f>IF(ISNUMBER(FC807),INDIRECT("SamplesX!G"&amp;FC807),IF(ISNUMBER(FD807),INDIRECT("SamplesY!G"&amp;FD807),""))</f>
        <v/>
      </c>
      <c r="H807" s="19">
        <f>IF(ISNUMBER(FC807),INDIRECT("SamplesX!H"&amp;FC807),IF(ISNUMBER(FD807),INDIRECT("SamplesY!H"&amp;FD807),""))</f>
        <v/>
      </c>
      <c r="I807" s="16" t="n"/>
      <c r="J807" s="16" t="n"/>
      <c r="K807" s="16" t="n"/>
      <c r="L807" s="20" t="n"/>
      <c r="M807" s="20" t="inlineStr">
        <is>
          <t>None</t>
        </is>
      </c>
      <c r="N807" s="17" t="n"/>
      <c r="O807" s="16" t="n"/>
      <c r="P807" s="20" t="inlineStr">
        <is>
          <t>Shimadzu TOC-L</t>
        </is>
      </c>
      <c r="Q807" s="20" t="inlineStr">
        <is>
          <t>None</t>
        </is>
      </c>
      <c r="R807" s="17" t="n"/>
      <c r="S807" s="16" t="n"/>
      <c r="T807" s="20" t="inlineStr">
        <is>
          <t>Shimadzu TOC-L</t>
        </is>
      </c>
      <c r="U807" s="20" t="inlineStr">
        <is>
          <t>None</t>
        </is>
      </c>
      <c r="V807" s="17" t="n"/>
      <c r="W807" s="16" t="n"/>
      <c r="X807" s="20" t="n"/>
      <c r="Y807" s="20" t="inlineStr">
        <is>
          <t>None</t>
        </is>
      </c>
      <c r="Z807" s="17" t="n"/>
      <c r="AA807" s="16" t="n"/>
      <c r="AB807" s="20" t="n"/>
      <c r="AC807" s="20" t="inlineStr">
        <is>
          <t>None</t>
        </is>
      </c>
      <c r="AD807" s="17" t="n"/>
      <c r="AE807" s="16" t="n"/>
      <c r="AF807" s="20" t="inlineStr">
        <is>
          <t>IC Anionen</t>
        </is>
      </c>
      <c r="AG807" s="20" t="inlineStr">
        <is>
          <t>None</t>
        </is>
      </c>
      <c r="AH807" s="17" t="n"/>
      <c r="AI807" s="16" t="n"/>
      <c r="AJ807" s="20" t="n"/>
      <c r="AK807" s="20" t="inlineStr">
        <is>
          <t>None</t>
        </is>
      </c>
      <c r="AL807" s="17" t="n"/>
      <c r="AM807" s="16" t="n"/>
      <c r="AN807" s="20" t="inlineStr">
        <is>
          <t>IC Anionen</t>
        </is>
      </c>
      <c r="AO807" s="20" t="inlineStr">
        <is>
          <t>None</t>
        </is>
      </c>
      <c r="AP807" s="17" t="n"/>
      <c r="AQ807" s="16" t="n"/>
      <c r="AR807" s="20" t="n"/>
      <c r="AS807" s="20" t="inlineStr">
        <is>
          <t>None</t>
        </is>
      </c>
      <c r="AT807" s="17" t="n"/>
      <c r="AU807" s="16" t="n"/>
      <c r="AV807" s="20" t="n"/>
      <c r="AW807" s="20" t="inlineStr">
        <is>
          <t>None</t>
        </is>
      </c>
      <c r="AX807" s="17" t="n"/>
      <c r="AY807" s="16" t="n"/>
      <c r="AZ807" s="20" t="inlineStr">
        <is>
          <t>IC Anionen</t>
        </is>
      </c>
      <c r="BA807" s="20" t="inlineStr">
        <is>
          <t>None</t>
        </is>
      </c>
      <c r="BB807" s="17" t="n"/>
      <c r="BC807" s="16" t="n"/>
      <c r="BD807" s="20" t="inlineStr">
        <is>
          <t>IC Kationen</t>
        </is>
      </c>
      <c r="BE807" s="20" t="inlineStr">
        <is>
          <t>None</t>
        </is>
      </c>
      <c r="BF807" s="17" t="n"/>
      <c r="BG807" s="16" t="n"/>
      <c r="BH807" s="20" t="inlineStr">
        <is>
          <t>IC Kationen</t>
        </is>
      </c>
      <c r="BI807" s="20" t="inlineStr">
        <is>
          <t>None</t>
        </is>
      </c>
      <c r="BJ807" s="17" t="n"/>
      <c r="BK807" s="16" t="n"/>
      <c r="BL807" s="20" t="inlineStr">
        <is>
          <t>IC Kationen</t>
        </is>
      </c>
      <c r="BM807" s="20" t="inlineStr">
        <is>
          <t>None</t>
        </is>
      </c>
      <c r="BN807" s="17" t="n"/>
      <c r="BO807" s="16" t="n"/>
      <c r="BP807" s="20" t="inlineStr">
        <is>
          <t>IC Kationen</t>
        </is>
      </c>
      <c r="BQ807" s="20" t="inlineStr">
        <is>
          <t>None</t>
        </is>
      </c>
      <c r="BR807" s="17" t="n"/>
      <c r="BS807" s="16" t="n"/>
      <c r="BT807" s="20" t="inlineStr">
        <is>
          <t>IC Kationen</t>
        </is>
      </c>
      <c r="BU807" s="20" t="inlineStr">
        <is>
          <t>None</t>
        </is>
      </c>
      <c r="BV807" s="17" t="n"/>
      <c r="BW807" s="16" t="n"/>
      <c r="BX807" s="20" t="n"/>
      <c r="BY807" s="20" t="inlineStr">
        <is>
          <t>None</t>
        </is>
      </c>
      <c r="BZ807" s="17" t="n"/>
      <c r="CA807" s="16" t="n"/>
      <c r="CB807" s="20" t="n"/>
      <c r="CC807" s="20" t="inlineStr">
        <is>
          <t>None</t>
        </is>
      </c>
      <c r="CD807" s="17" t="n"/>
      <c r="CE807" s="16" t="n"/>
      <c r="CF807" s="20" t="n"/>
      <c r="CG807" s="20" t="inlineStr">
        <is>
          <t>None</t>
        </is>
      </c>
      <c r="CH807" s="17" t="n"/>
      <c r="CI807" s="16" t="n"/>
      <c r="CJ807" s="20" t="n"/>
      <c r="CK807" s="20" t="inlineStr">
        <is>
          <t>None</t>
        </is>
      </c>
      <c r="CL807" s="17" t="n"/>
      <c r="CM807" s="16" t="n"/>
      <c r="CN807" s="20" t="inlineStr">
        <is>
          <t>SOP 45-34</t>
        </is>
      </c>
      <c r="CO807" s="20" t="inlineStr">
        <is>
          <t>None</t>
        </is>
      </c>
      <c r="CP807" s="17" t="n"/>
      <c r="CQ807" s="16" t="n"/>
      <c r="CR807" s="20" t="n"/>
      <c r="CS807" s="20" t="inlineStr">
        <is>
          <t>None</t>
        </is>
      </c>
      <c r="CT807" s="17" t="n"/>
      <c r="CU807" s="16" t="n"/>
      <c r="CV807" s="20" t="n"/>
      <c r="CW807" s="20" t="inlineStr">
        <is>
          <t>None</t>
        </is>
      </c>
      <c r="CX807" s="17" t="n"/>
      <c r="CY807" s="16" t="n"/>
      <c r="CZ807" s="20" t="inlineStr">
        <is>
          <t>WTW Multimeter 3430 with FDO 925</t>
        </is>
      </c>
      <c r="DA807" s="20" t="inlineStr">
        <is>
          <t>None</t>
        </is>
      </c>
      <c r="DB807" s="17" t="n"/>
      <c r="DC807" s="16" t="n"/>
      <c r="DD807" s="20" t="n"/>
      <c r="DE807" s="20" t="inlineStr">
        <is>
          <t>None</t>
        </is>
      </c>
      <c r="DF807" s="17" t="n"/>
      <c r="DG807" s="16" t="n"/>
      <c r="DH807" s="20" t="inlineStr">
        <is>
          <t>SOP 45-09</t>
        </is>
      </c>
      <c r="DI807" s="20" t="inlineStr">
        <is>
          <t>None</t>
        </is>
      </c>
      <c r="DJ807" s="17" t="n"/>
      <c r="DK807" s="16" t="n"/>
      <c r="DL807" s="20" t="inlineStr">
        <is>
          <t>SOP 45-09 (SOP muss noch angepasst werden für VSS)</t>
        </is>
      </c>
      <c r="DM807" s="20" t="inlineStr">
        <is>
          <t>None</t>
        </is>
      </c>
      <c r="DN807" s="17" t="n"/>
      <c r="DO807" s="16" t="n"/>
      <c r="DP807" s="20" t="inlineStr">
        <is>
          <t>IC Organic Acids</t>
        </is>
      </c>
      <c r="DQ807" s="20" t="inlineStr">
        <is>
          <t>None</t>
        </is>
      </c>
      <c r="DR807" s="17" t="n"/>
      <c r="DS807" s="16" t="n"/>
      <c r="DT807" s="20" t="inlineStr">
        <is>
          <t>IC Organic Acids</t>
        </is>
      </c>
      <c r="DU807" s="20" t="inlineStr">
        <is>
          <t>None</t>
        </is>
      </c>
      <c r="DV807" s="17" t="n"/>
      <c r="DW807" s="16" t="n"/>
      <c r="DX807" s="20" t="inlineStr">
        <is>
          <t>IC Organic Acids</t>
        </is>
      </c>
      <c r="DY807" s="20" t="inlineStr">
        <is>
          <t>None</t>
        </is>
      </c>
      <c r="DZ807" s="17" t="n"/>
      <c r="EA807" s="16" t="n"/>
      <c r="EB807" s="20" t="inlineStr">
        <is>
          <t>IC Organic Acids</t>
        </is>
      </c>
      <c r="EC807" s="20" t="inlineStr">
        <is>
          <t>None</t>
        </is>
      </c>
      <c r="ED807" s="17" t="n"/>
      <c r="EE807" s="16" t="n"/>
      <c r="EF807" s="20" t="inlineStr">
        <is>
          <t>IC Organic Acids</t>
        </is>
      </c>
      <c r="EG807" s="20" t="inlineStr">
        <is>
          <t>None</t>
        </is>
      </c>
      <c r="EH807" s="17" t="n"/>
      <c r="EI807" s="16" t="n"/>
      <c r="EJ807" s="20" t="inlineStr">
        <is>
          <t>IC Organic Acids</t>
        </is>
      </c>
      <c r="EK807" s="20" t="inlineStr">
        <is>
          <t>None</t>
        </is>
      </c>
      <c r="EL807" s="17" t="n"/>
      <c r="EM807" s="16" t="n"/>
      <c r="EN807" s="20" t="inlineStr">
        <is>
          <t>IC Organic Acids</t>
        </is>
      </c>
      <c r="EO807" s="20" t="inlineStr">
        <is>
          <t>None</t>
        </is>
      </c>
      <c r="EP807" s="17" t="n"/>
      <c r="EQ807" s="16" t="n"/>
      <c r="ER807" s="20" t="inlineStr">
        <is>
          <t>IC Organic Acids</t>
        </is>
      </c>
      <c r="ES807" s="20" t="inlineStr">
        <is>
          <t>None</t>
        </is>
      </c>
      <c r="ET807" s="17" t="n"/>
      <c r="EU807" s="16" t="n"/>
      <c r="EV807" s="20" t="inlineStr">
        <is>
          <t>LC-MS</t>
        </is>
      </c>
      <c r="EW807" s="20" t="inlineStr">
        <is>
          <t>None</t>
        </is>
      </c>
      <c r="EX807" s="17" t="n"/>
      <c r="EY807" s="21" t="n"/>
      <c r="EZ807">
        <f>CONCATENATE(A807,B807)</f>
        <v/>
      </c>
      <c r="FA807">
        <f>CONCATENATE(SamplesX!A807,SamplesX!B807)</f>
        <v/>
      </c>
      <c r="FC807">
        <f>MATCH(EZ807,FA1:FA1008,0)</f>
        <v/>
      </c>
    </row>
    <row r="808">
      <c r="A808" s="16" t="n"/>
      <c r="B808" s="17" t="n"/>
      <c r="C808" s="10">
        <f>IF(ISNUMBER(FC808),INDIRECT("SamplesX!C"&amp;FC808),IF(ISNUMBER(FD808),INDIRECT("SamplesY!C"&amp;FD808),""))</f>
        <v/>
      </c>
      <c r="D808" s="12">
        <f>IF(ISNUMBER(FC808),INDIRECT("SamplesX!D"&amp;FC808),IF(ISNUMBER(FD808),INDIRECT("SamplesY!D"&amp;FD808),""))</f>
        <v/>
      </c>
      <c r="E808" s="12">
        <f>IF(ISNUMBER(FC808),INDIRECT("SamplesX!E"&amp;FC808),IF(ISNUMBER(FD808),INDIRECT("SamplesY!E"&amp;FD808),""))</f>
        <v/>
      </c>
      <c r="F808" s="11">
        <f>IF(ISNUMBER(FC808),INDIRECT("SamplesX!F"&amp;FC808),IF(ISNUMBER(FD808),INDIRECT("SamplesY!F"&amp;FD808),""))</f>
        <v/>
      </c>
      <c r="G808" s="18">
        <f>IF(ISNUMBER(FC808),INDIRECT("SamplesX!G"&amp;FC808),IF(ISNUMBER(FD808),INDIRECT("SamplesY!G"&amp;FD808),""))</f>
        <v/>
      </c>
      <c r="H808" s="19">
        <f>IF(ISNUMBER(FC808),INDIRECT("SamplesX!H"&amp;FC808),IF(ISNUMBER(FD808),INDIRECT("SamplesY!H"&amp;FD808),""))</f>
        <v/>
      </c>
      <c r="I808" s="16" t="n"/>
      <c r="J808" s="16" t="n"/>
      <c r="K808" s="16" t="n"/>
      <c r="L808" s="20" t="n"/>
      <c r="M808" s="20" t="inlineStr">
        <is>
          <t>None</t>
        </is>
      </c>
      <c r="N808" s="17" t="n"/>
      <c r="O808" s="16" t="n"/>
      <c r="P808" s="20" t="inlineStr">
        <is>
          <t>Shimadzu TOC-L</t>
        </is>
      </c>
      <c r="Q808" s="20" t="inlineStr">
        <is>
          <t>None</t>
        </is>
      </c>
      <c r="R808" s="17" t="n"/>
      <c r="S808" s="16" t="n"/>
      <c r="T808" s="20" t="inlineStr">
        <is>
          <t>Shimadzu TOC-L</t>
        </is>
      </c>
      <c r="U808" s="20" t="inlineStr">
        <is>
          <t>None</t>
        </is>
      </c>
      <c r="V808" s="17" t="n"/>
      <c r="W808" s="16" t="n"/>
      <c r="X808" s="20" t="n"/>
      <c r="Y808" s="20" t="inlineStr">
        <is>
          <t>None</t>
        </is>
      </c>
      <c r="Z808" s="17" t="n"/>
      <c r="AA808" s="16" t="n"/>
      <c r="AB808" s="20" t="n"/>
      <c r="AC808" s="20" t="inlineStr">
        <is>
          <t>None</t>
        </is>
      </c>
      <c r="AD808" s="17" t="n"/>
      <c r="AE808" s="16" t="n"/>
      <c r="AF808" s="20" t="inlineStr">
        <is>
          <t>IC Anionen</t>
        </is>
      </c>
      <c r="AG808" s="20" t="inlineStr">
        <is>
          <t>None</t>
        </is>
      </c>
      <c r="AH808" s="17" t="n"/>
      <c r="AI808" s="16" t="n"/>
      <c r="AJ808" s="20" t="n"/>
      <c r="AK808" s="20" t="inlineStr">
        <is>
          <t>None</t>
        </is>
      </c>
      <c r="AL808" s="17" t="n"/>
      <c r="AM808" s="16" t="n"/>
      <c r="AN808" s="20" t="inlineStr">
        <is>
          <t>IC Anionen</t>
        </is>
      </c>
      <c r="AO808" s="20" t="inlineStr">
        <is>
          <t>None</t>
        </is>
      </c>
      <c r="AP808" s="17" t="n"/>
      <c r="AQ808" s="16" t="n"/>
      <c r="AR808" s="20" t="n"/>
      <c r="AS808" s="20" t="inlineStr">
        <is>
          <t>None</t>
        </is>
      </c>
      <c r="AT808" s="17" t="n"/>
      <c r="AU808" s="16" t="n"/>
      <c r="AV808" s="20" t="n"/>
      <c r="AW808" s="20" t="inlineStr">
        <is>
          <t>None</t>
        </is>
      </c>
      <c r="AX808" s="17" t="n"/>
      <c r="AY808" s="16" t="n"/>
      <c r="AZ808" s="20" t="inlineStr">
        <is>
          <t>IC Anionen</t>
        </is>
      </c>
      <c r="BA808" s="20" t="inlineStr">
        <is>
          <t>None</t>
        </is>
      </c>
      <c r="BB808" s="17" t="n"/>
      <c r="BC808" s="16" t="n"/>
      <c r="BD808" s="20" t="inlineStr">
        <is>
          <t>IC Kationen</t>
        </is>
      </c>
      <c r="BE808" s="20" t="inlineStr">
        <is>
          <t>None</t>
        </is>
      </c>
      <c r="BF808" s="17" t="n"/>
      <c r="BG808" s="16" t="n"/>
      <c r="BH808" s="20" t="inlineStr">
        <is>
          <t>IC Kationen</t>
        </is>
      </c>
      <c r="BI808" s="20" t="inlineStr">
        <is>
          <t>None</t>
        </is>
      </c>
      <c r="BJ808" s="17" t="n"/>
      <c r="BK808" s="16" t="n"/>
      <c r="BL808" s="20" t="inlineStr">
        <is>
          <t>IC Kationen</t>
        </is>
      </c>
      <c r="BM808" s="20" t="inlineStr">
        <is>
          <t>None</t>
        </is>
      </c>
      <c r="BN808" s="17" t="n"/>
      <c r="BO808" s="16" t="n"/>
      <c r="BP808" s="20" t="inlineStr">
        <is>
          <t>IC Kationen</t>
        </is>
      </c>
      <c r="BQ808" s="20" t="inlineStr">
        <is>
          <t>None</t>
        </is>
      </c>
      <c r="BR808" s="17" t="n"/>
      <c r="BS808" s="16" t="n"/>
      <c r="BT808" s="20" t="inlineStr">
        <is>
          <t>IC Kationen</t>
        </is>
      </c>
      <c r="BU808" s="20" t="inlineStr">
        <is>
          <t>None</t>
        </is>
      </c>
      <c r="BV808" s="17" t="n"/>
      <c r="BW808" s="16" t="n"/>
      <c r="BX808" s="20" t="n"/>
      <c r="BY808" s="20" t="inlineStr">
        <is>
          <t>None</t>
        </is>
      </c>
      <c r="BZ808" s="17" t="n"/>
      <c r="CA808" s="16" t="n"/>
      <c r="CB808" s="20" t="n"/>
      <c r="CC808" s="20" t="inlineStr">
        <is>
          <t>None</t>
        </is>
      </c>
      <c r="CD808" s="17" t="n"/>
      <c r="CE808" s="16" t="n"/>
      <c r="CF808" s="20" t="n"/>
      <c r="CG808" s="20" t="inlineStr">
        <is>
          <t>None</t>
        </is>
      </c>
      <c r="CH808" s="17" t="n"/>
      <c r="CI808" s="16" t="n"/>
      <c r="CJ808" s="20" t="n"/>
      <c r="CK808" s="20" t="inlineStr">
        <is>
          <t>None</t>
        </is>
      </c>
      <c r="CL808" s="17" t="n"/>
      <c r="CM808" s="16" t="n"/>
      <c r="CN808" s="20" t="inlineStr">
        <is>
          <t>SOP 45-34</t>
        </is>
      </c>
      <c r="CO808" s="20" t="inlineStr">
        <is>
          <t>None</t>
        </is>
      </c>
      <c r="CP808" s="17" t="n"/>
      <c r="CQ808" s="16" t="n"/>
      <c r="CR808" s="20" t="n"/>
      <c r="CS808" s="20" t="inlineStr">
        <is>
          <t>None</t>
        </is>
      </c>
      <c r="CT808" s="17" t="n"/>
      <c r="CU808" s="16" t="n"/>
      <c r="CV808" s="20" t="n"/>
      <c r="CW808" s="20" t="inlineStr">
        <is>
          <t>None</t>
        </is>
      </c>
      <c r="CX808" s="17" t="n"/>
      <c r="CY808" s="16" t="n"/>
      <c r="CZ808" s="20" t="inlineStr">
        <is>
          <t>WTW Multimeter 3430 with FDO 925</t>
        </is>
      </c>
      <c r="DA808" s="20" t="inlineStr">
        <is>
          <t>None</t>
        </is>
      </c>
      <c r="DB808" s="17" t="n"/>
      <c r="DC808" s="16" t="n"/>
      <c r="DD808" s="20" t="n"/>
      <c r="DE808" s="20" t="inlineStr">
        <is>
          <t>None</t>
        </is>
      </c>
      <c r="DF808" s="17" t="n"/>
      <c r="DG808" s="16" t="n"/>
      <c r="DH808" s="20" t="inlineStr">
        <is>
          <t>SOP 45-09</t>
        </is>
      </c>
      <c r="DI808" s="20" t="inlineStr">
        <is>
          <t>None</t>
        </is>
      </c>
      <c r="DJ808" s="17" t="n"/>
      <c r="DK808" s="16" t="n"/>
      <c r="DL808" s="20" t="inlineStr">
        <is>
          <t>SOP 45-09 (SOP muss noch angepasst werden für VSS)</t>
        </is>
      </c>
      <c r="DM808" s="20" t="inlineStr">
        <is>
          <t>None</t>
        </is>
      </c>
      <c r="DN808" s="17" t="n"/>
      <c r="DO808" s="16" t="n"/>
      <c r="DP808" s="20" t="inlineStr">
        <is>
          <t>IC Organic Acids</t>
        </is>
      </c>
      <c r="DQ808" s="20" t="inlineStr">
        <is>
          <t>None</t>
        </is>
      </c>
      <c r="DR808" s="17" t="n"/>
      <c r="DS808" s="16" t="n"/>
      <c r="DT808" s="20" t="inlineStr">
        <is>
          <t>IC Organic Acids</t>
        </is>
      </c>
      <c r="DU808" s="20" t="inlineStr">
        <is>
          <t>None</t>
        </is>
      </c>
      <c r="DV808" s="17" t="n"/>
      <c r="DW808" s="16" t="n"/>
      <c r="DX808" s="20" t="inlineStr">
        <is>
          <t>IC Organic Acids</t>
        </is>
      </c>
      <c r="DY808" s="20" t="inlineStr">
        <is>
          <t>None</t>
        </is>
      </c>
      <c r="DZ808" s="17" t="n"/>
      <c r="EA808" s="16" t="n"/>
      <c r="EB808" s="20" t="inlineStr">
        <is>
          <t>IC Organic Acids</t>
        </is>
      </c>
      <c r="EC808" s="20" t="inlineStr">
        <is>
          <t>None</t>
        </is>
      </c>
      <c r="ED808" s="17" t="n"/>
      <c r="EE808" s="16" t="n"/>
      <c r="EF808" s="20" t="inlineStr">
        <is>
          <t>IC Organic Acids</t>
        </is>
      </c>
      <c r="EG808" s="20" t="inlineStr">
        <is>
          <t>None</t>
        </is>
      </c>
      <c r="EH808" s="17" t="n"/>
      <c r="EI808" s="16" t="n"/>
      <c r="EJ808" s="20" t="inlineStr">
        <is>
          <t>IC Organic Acids</t>
        </is>
      </c>
      <c r="EK808" s="20" t="inlineStr">
        <is>
          <t>None</t>
        </is>
      </c>
      <c r="EL808" s="17" t="n"/>
      <c r="EM808" s="16" t="n"/>
      <c r="EN808" s="20" t="inlineStr">
        <is>
          <t>IC Organic Acids</t>
        </is>
      </c>
      <c r="EO808" s="20" t="inlineStr">
        <is>
          <t>None</t>
        </is>
      </c>
      <c r="EP808" s="17" t="n"/>
      <c r="EQ808" s="16" t="n"/>
      <c r="ER808" s="20" t="inlineStr">
        <is>
          <t>IC Organic Acids</t>
        </is>
      </c>
      <c r="ES808" s="20" t="inlineStr">
        <is>
          <t>None</t>
        </is>
      </c>
      <c r="ET808" s="17" t="n"/>
      <c r="EU808" s="16" t="n"/>
      <c r="EV808" s="20" t="inlineStr">
        <is>
          <t>LC-MS</t>
        </is>
      </c>
      <c r="EW808" s="20" t="inlineStr">
        <is>
          <t>None</t>
        </is>
      </c>
      <c r="EX808" s="17" t="n"/>
      <c r="EY808" s="21" t="n"/>
      <c r="EZ808">
        <f>CONCATENATE(A808,B808)</f>
        <v/>
      </c>
      <c r="FA808">
        <f>CONCATENATE(SamplesX!A808,SamplesX!B808)</f>
        <v/>
      </c>
      <c r="FC808">
        <f>MATCH(EZ808,FA1:FA1008,0)</f>
        <v/>
      </c>
    </row>
    <row r="809">
      <c r="A809" s="16" t="n"/>
      <c r="B809" s="17" t="n"/>
      <c r="C809" s="10">
        <f>IF(ISNUMBER(FC809),INDIRECT("SamplesX!C"&amp;FC809),IF(ISNUMBER(FD809),INDIRECT("SamplesY!C"&amp;FD809),""))</f>
        <v/>
      </c>
      <c r="D809" s="12">
        <f>IF(ISNUMBER(FC809),INDIRECT("SamplesX!D"&amp;FC809),IF(ISNUMBER(FD809),INDIRECT("SamplesY!D"&amp;FD809),""))</f>
        <v/>
      </c>
      <c r="E809" s="12">
        <f>IF(ISNUMBER(FC809),INDIRECT("SamplesX!E"&amp;FC809),IF(ISNUMBER(FD809),INDIRECT("SamplesY!E"&amp;FD809),""))</f>
        <v/>
      </c>
      <c r="F809" s="11">
        <f>IF(ISNUMBER(FC809),INDIRECT("SamplesX!F"&amp;FC809),IF(ISNUMBER(FD809),INDIRECT("SamplesY!F"&amp;FD809),""))</f>
        <v/>
      </c>
      <c r="G809" s="18">
        <f>IF(ISNUMBER(FC809),INDIRECT("SamplesX!G"&amp;FC809),IF(ISNUMBER(FD809),INDIRECT("SamplesY!G"&amp;FD809),""))</f>
        <v/>
      </c>
      <c r="H809" s="19">
        <f>IF(ISNUMBER(FC809),INDIRECT("SamplesX!H"&amp;FC809),IF(ISNUMBER(FD809),INDIRECT("SamplesY!H"&amp;FD809),""))</f>
        <v/>
      </c>
      <c r="I809" s="16" t="n"/>
      <c r="J809" s="16" t="n"/>
      <c r="K809" s="16" t="n"/>
      <c r="L809" s="20" t="n"/>
      <c r="M809" s="20" t="inlineStr">
        <is>
          <t>None</t>
        </is>
      </c>
      <c r="N809" s="17" t="n"/>
      <c r="O809" s="16" t="n"/>
      <c r="P809" s="20" t="inlineStr">
        <is>
          <t>Shimadzu TOC-L</t>
        </is>
      </c>
      <c r="Q809" s="20" t="inlineStr">
        <is>
          <t>None</t>
        </is>
      </c>
      <c r="R809" s="17" t="n"/>
      <c r="S809" s="16" t="n"/>
      <c r="T809" s="20" t="inlineStr">
        <is>
          <t>Shimadzu TOC-L</t>
        </is>
      </c>
      <c r="U809" s="20" t="inlineStr">
        <is>
          <t>None</t>
        </is>
      </c>
      <c r="V809" s="17" t="n"/>
      <c r="W809" s="16" t="n"/>
      <c r="X809" s="20" t="n"/>
      <c r="Y809" s="20" t="inlineStr">
        <is>
          <t>None</t>
        </is>
      </c>
      <c r="Z809" s="17" t="n"/>
      <c r="AA809" s="16" t="n"/>
      <c r="AB809" s="20" t="n"/>
      <c r="AC809" s="20" t="inlineStr">
        <is>
          <t>None</t>
        </is>
      </c>
      <c r="AD809" s="17" t="n"/>
      <c r="AE809" s="16" t="n"/>
      <c r="AF809" s="20" t="inlineStr">
        <is>
          <t>IC Anionen</t>
        </is>
      </c>
      <c r="AG809" s="20" t="inlineStr">
        <is>
          <t>None</t>
        </is>
      </c>
      <c r="AH809" s="17" t="n"/>
      <c r="AI809" s="16" t="n"/>
      <c r="AJ809" s="20" t="n"/>
      <c r="AK809" s="20" t="inlineStr">
        <is>
          <t>None</t>
        </is>
      </c>
      <c r="AL809" s="17" t="n"/>
      <c r="AM809" s="16" t="n"/>
      <c r="AN809" s="20" t="inlineStr">
        <is>
          <t>IC Anionen</t>
        </is>
      </c>
      <c r="AO809" s="20" t="inlineStr">
        <is>
          <t>None</t>
        </is>
      </c>
      <c r="AP809" s="17" t="n"/>
      <c r="AQ809" s="16" t="n"/>
      <c r="AR809" s="20" t="n"/>
      <c r="AS809" s="20" t="inlineStr">
        <is>
          <t>None</t>
        </is>
      </c>
      <c r="AT809" s="17" t="n"/>
      <c r="AU809" s="16" t="n"/>
      <c r="AV809" s="20" t="n"/>
      <c r="AW809" s="20" t="inlineStr">
        <is>
          <t>None</t>
        </is>
      </c>
      <c r="AX809" s="17" t="n"/>
      <c r="AY809" s="16" t="n"/>
      <c r="AZ809" s="20" t="inlineStr">
        <is>
          <t>IC Anionen</t>
        </is>
      </c>
      <c r="BA809" s="20" t="inlineStr">
        <is>
          <t>None</t>
        </is>
      </c>
      <c r="BB809" s="17" t="n"/>
      <c r="BC809" s="16" t="n"/>
      <c r="BD809" s="20" t="inlineStr">
        <is>
          <t>IC Kationen</t>
        </is>
      </c>
      <c r="BE809" s="20" t="inlineStr">
        <is>
          <t>None</t>
        </is>
      </c>
      <c r="BF809" s="17" t="n"/>
      <c r="BG809" s="16" t="n"/>
      <c r="BH809" s="20" t="inlineStr">
        <is>
          <t>IC Kationen</t>
        </is>
      </c>
      <c r="BI809" s="20" t="inlineStr">
        <is>
          <t>None</t>
        </is>
      </c>
      <c r="BJ809" s="17" t="n"/>
      <c r="BK809" s="16" t="n"/>
      <c r="BL809" s="20" t="inlineStr">
        <is>
          <t>IC Kationen</t>
        </is>
      </c>
      <c r="BM809" s="20" t="inlineStr">
        <is>
          <t>None</t>
        </is>
      </c>
      <c r="BN809" s="17" t="n"/>
      <c r="BO809" s="16" t="n"/>
      <c r="BP809" s="20" t="inlineStr">
        <is>
          <t>IC Kationen</t>
        </is>
      </c>
      <c r="BQ809" s="20" t="inlineStr">
        <is>
          <t>None</t>
        </is>
      </c>
      <c r="BR809" s="17" t="n"/>
      <c r="BS809" s="16" t="n"/>
      <c r="BT809" s="20" t="inlineStr">
        <is>
          <t>IC Kationen</t>
        </is>
      </c>
      <c r="BU809" s="20" t="inlineStr">
        <is>
          <t>None</t>
        </is>
      </c>
      <c r="BV809" s="17" t="n"/>
      <c r="BW809" s="16" t="n"/>
      <c r="BX809" s="20" t="n"/>
      <c r="BY809" s="20" t="inlineStr">
        <is>
          <t>None</t>
        </is>
      </c>
      <c r="BZ809" s="17" t="n"/>
      <c r="CA809" s="16" t="n"/>
      <c r="CB809" s="20" t="n"/>
      <c r="CC809" s="20" t="inlineStr">
        <is>
          <t>None</t>
        </is>
      </c>
      <c r="CD809" s="17" t="n"/>
      <c r="CE809" s="16" t="n"/>
      <c r="CF809" s="20" t="n"/>
      <c r="CG809" s="20" t="inlineStr">
        <is>
          <t>None</t>
        </is>
      </c>
      <c r="CH809" s="17" t="n"/>
      <c r="CI809" s="16" t="n"/>
      <c r="CJ809" s="20" t="n"/>
      <c r="CK809" s="20" t="inlineStr">
        <is>
          <t>None</t>
        </is>
      </c>
      <c r="CL809" s="17" t="n"/>
      <c r="CM809" s="16" t="n"/>
      <c r="CN809" s="20" t="inlineStr">
        <is>
          <t>SOP 45-34</t>
        </is>
      </c>
      <c r="CO809" s="20" t="inlineStr">
        <is>
          <t>None</t>
        </is>
      </c>
      <c r="CP809" s="17" t="n"/>
      <c r="CQ809" s="16" t="n"/>
      <c r="CR809" s="20" t="n"/>
      <c r="CS809" s="20" t="inlineStr">
        <is>
          <t>None</t>
        </is>
      </c>
      <c r="CT809" s="17" t="n"/>
      <c r="CU809" s="16" t="n"/>
      <c r="CV809" s="20" t="n"/>
      <c r="CW809" s="20" t="inlineStr">
        <is>
          <t>None</t>
        </is>
      </c>
      <c r="CX809" s="17" t="n"/>
      <c r="CY809" s="16" t="n"/>
      <c r="CZ809" s="20" t="inlineStr">
        <is>
          <t>WTW Multimeter 3430 with FDO 925</t>
        </is>
      </c>
      <c r="DA809" s="20" t="inlineStr">
        <is>
          <t>None</t>
        </is>
      </c>
      <c r="DB809" s="17" t="n"/>
      <c r="DC809" s="16" t="n"/>
      <c r="DD809" s="20" t="n"/>
      <c r="DE809" s="20" t="inlineStr">
        <is>
          <t>None</t>
        </is>
      </c>
      <c r="DF809" s="17" t="n"/>
      <c r="DG809" s="16" t="n"/>
      <c r="DH809" s="20" t="inlineStr">
        <is>
          <t>SOP 45-09</t>
        </is>
      </c>
      <c r="DI809" s="20" t="inlineStr">
        <is>
          <t>None</t>
        </is>
      </c>
      <c r="DJ809" s="17" t="n"/>
      <c r="DK809" s="16" t="n"/>
      <c r="DL809" s="20" t="inlineStr">
        <is>
          <t>SOP 45-09 (SOP muss noch angepasst werden für VSS)</t>
        </is>
      </c>
      <c r="DM809" s="20" t="inlineStr">
        <is>
          <t>None</t>
        </is>
      </c>
      <c r="DN809" s="17" t="n"/>
      <c r="DO809" s="16" t="n"/>
      <c r="DP809" s="20" t="inlineStr">
        <is>
          <t>IC Organic Acids</t>
        </is>
      </c>
      <c r="DQ809" s="20" t="inlineStr">
        <is>
          <t>None</t>
        </is>
      </c>
      <c r="DR809" s="17" t="n"/>
      <c r="DS809" s="16" t="n"/>
      <c r="DT809" s="20" t="inlineStr">
        <is>
          <t>IC Organic Acids</t>
        </is>
      </c>
      <c r="DU809" s="20" t="inlineStr">
        <is>
          <t>None</t>
        </is>
      </c>
      <c r="DV809" s="17" t="n"/>
      <c r="DW809" s="16" t="n"/>
      <c r="DX809" s="20" t="inlineStr">
        <is>
          <t>IC Organic Acids</t>
        </is>
      </c>
      <c r="DY809" s="20" t="inlineStr">
        <is>
          <t>None</t>
        </is>
      </c>
      <c r="DZ809" s="17" t="n"/>
      <c r="EA809" s="16" t="n"/>
      <c r="EB809" s="20" t="inlineStr">
        <is>
          <t>IC Organic Acids</t>
        </is>
      </c>
      <c r="EC809" s="20" t="inlineStr">
        <is>
          <t>None</t>
        </is>
      </c>
      <c r="ED809" s="17" t="n"/>
      <c r="EE809" s="16" t="n"/>
      <c r="EF809" s="20" t="inlineStr">
        <is>
          <t>IC Organic Acids</t>
        </is>
      </c>
      <c r="EG809" s="20" t="inlineStr">
        <is>
          <t>None</t>
        </is>
      </c>
      <c r="EH809" s="17" t="n"/>
      <c r="EI809" s="16" t="n"/>
      <c r="EJ809" s="20" t="inlineStr">
        <is>
          <t>IC Organic Acids</t>
        </is>
      </c>
      <c r="EK809" s="20" t="inlineStr">
        <is>
          <t>None</t>
        </is>
      </c>
      <c r="EL809" s="17" t="n"/>
      <c r="EM809" s="16" t="n"/>
      <c r="EN809" s="20" t="inlineStr">
        <is>
          <t>IC Organic Acids</t>
        </is>
      </c>
      <c r="EO809" s="20" t="inlineStr">
        <is>
          <t>None</t>
        </is>
      </c>
      <c r="EP809" s="17" t="n"/>
      <c r="EQ809" s="16" t="n"/>
      <c r="ER809" s="20" t="inlineStr">
        <is>
          <t>IC Organic Acids</t>
        </is>
      </c>
      <c r="ES809" s="20" t="inlineStr">
        <is>
          <t>None</t>
        </is>
      </c>
      <c r="ET809" s="17" t="n"/>
      <c r="EU809" s="16" t="n"/>
      <c r="EV809" s="20" t="inlineStr">
        <is>
          <t>LC-MS</t>
        </is>
      </c>
      <c r="EW809" s="20" t="inlineStr">
        <is>
          <t>None</t>
        </is>
      </c>
      <c r="EX809" s="17" t="n"/>
      <c r="EY809" s="21" t="n"/>
      <c r="EZ809">
        <f>CONCATENATE(A809,B809)</f>
        <v/>
      </c>
      <c r="FA809">
        <f>CONCATENATE(SamplesX!A809,SamplesX!B809)</f>
        <v/>
      </c>
      <c r="FC809">
        <f>MATCH(EZ809,FA1:FA1008,0)</f>
        <v/>
      </c>
    </row>
    <row r="810">
      <c r="A810" s="16" t="n"/>
      <c r="B810" s="17" t="n"/>
      <c r="C810" s="10">
        <f>IF(ISNUMBER(FC810),INDIRECT("SamplesX!C"&amp;FC810),IF(ISNUMBER(FD810),INDIRECT("SamplesY!C"&amp;FD810),""))</f>
        <v/>
      </c>
      <c r="D810" s="12">
        <f>IF(ISNUMBER(FC810),INDIRECT("SamplesX!D"&amp;FC810),IF(ISNUMBER(FD810),INDIRECT("SamplesY!D"&amp;FD810),""))</f>
        <v/>
      </c>
      <c r="E810" s="12">
        <f>IF(ISNUMBER(FC810),INDIRECT("SamplesX!E"&amp;FC810),IF(ISNUMBER(FD810),INDIRECT("SamplesY!E"&amp;FD810),""))</f>
        <v/>
      </c>
      <c r="F810" s="11">
        <f>IF(ISNUMBER(FC810),INDIRECT("SamplesX!F"&amp;FC810),IF(ISNUMBER(FD810),INDIRECT("SamplesY!F"&amp;FD810),""))</f>
        <v/>
      </c>
      <c r="G810" s="18">
        <f>IF(ISNUMBER(FC810),INDIRECT("SamplesX!G"&amp;FC810),IF(ISNUMBER(FD810),INDIRECT("SamplesY!G"&amp;FD810),""))</f>
        <v/>
      </c>
      <c r="H810" s="19">
        <f>IF(ISNUMBER(FC810),INDIRECT("SamplesX!H"&amp;FC810),IF(ISNUMBER(FD810),INDIRECT("SamplesY!H"&amp;FD810),""))</f>
        <v/>
      </c>
      <c r="I810" s="16" t="n"/>
      <c r="J810" s="16" t="n"/>
      <c r="K810" s="16" t="n"/>
      <c r="L810" s="20" t="n"/>
      <c r="M810" s="20" t="inlineStr">
        <is>
          <t>None</t>
        </is>
      </c>
      <c r="N810" s="17" t="n"/>
      <c r="O810" s="16" t="n"/>
      <c r="P810" s="20" t="inlineStr">
        <is>
          <t>Shimadzu TOC-L</t>
        </is>
      </c>
      <c r="Q810" s="20" t="inlineStr">
        <is>
          <t>None</t>
        </is>
      </c>
      <c r="R810" s="17" t="n"/>
      <c r="S810" s="16" t="n"/>
      <c r="T810" s="20" t="inlineStr">
        <is>
          <t>Shimadzu TOC-L</t>
        </is>
      </c>
      <c r="U810" s="20" t="inlineStr">
        <is>
          <t>None</t>
        </is>
      </c>
      <c r="V810" s="17" t="n"/>
      <c r="W810" s="16" t="n"/>
      <c r="X810" s="20" t="n"/>
      <c r="Y810" s="20" t="inlineStr">
        <is>
          <t>None</t>
        </is>
      </c>
      <c r="Z810" s="17" t="n"/>
      <c r="AA810" s="16" t="n"/>
      <c r="AB810" s="20" t="n"/>
      <c r="AC810" s="20" t="inlineStr">
        <is>
          <t>None</t>
        </is>
      </c>
      <c r="AD810" s="17" t="n"/>
      <c r="AE810" s="16" t="n"/>
      <c r="AF810" s="20" t="inlineStr">
        <is>
          <t>IC Anionen</t>
        </is>
      </c>
      <c r="AG810" s="20" t="inlineStr">
        <is>
          <t>None</t>
        </is>
      </c>
      <c r="AH810" s="17" t="n"/>
      <c r="AI810" s="16" t="n"/>
      <c r="AJ810" s="20" t="n"/>
      <c r="AK810" s="20" t="inlineStr">
        <is>
          <t>None</t>
        </is>
      </c>
      <c r="AL810" s="17" t="n"/>
      <c r="AM810" s="16" t="n"/>
      <c r="AN810" s="20" t="inlineStr">
        <is>
          <t>IC Anionen</t>
        </is>
      </c>
      <c r="AO810" s="20" t="inlineStr">
        <is>
          <t>None</t>
        </is>
      </c>
      <c r="AP810" s="17" t="n"/>
      <c r="AQ810" s="16" t="n"/>
      <c r="AR810" s="20" t="n"/>
      <c r="AS810" s="20" t="inlineStr">
        <is>
          <t>None</t>
        </is>
      </c>
      <c r="AT810" s="17" t="n"/>
      <c r="AU810" s="16" t="n"/>
      <c r="AV810" s="20" t="n"/>
      <c r="AW810" s="20" t="inlineStr">
        <is>
          <t>None</t>
        </is>
      </c>
      <c r="AX810" s="17" t="n"/>
      <c r="AY810" s="16" t="n"/>
      <c r="AZ810" s="20" t="inlineStr">
        <is>
          <t>IC Anionen</t>
        </is>
      </c>
      <c r="BA810" s="20" t="inlineStr">
        <is>
          <t>None</t>
        </is>
      </c>
      <c r="BB810" s="17" t="n"/>
      <c r="BC810" s="16" t="n"/>
      <c r="BD810" s="20" t="inlineStr">
        <is>
          <t>IC Kationen</t>
        </is>
      </c>
      <c r="BE810" s="20" t="inlineStr">
        <is>
          <t>None</t>
        </is>
      </c>
      <c r="BF810" s="17" t="n"/>
      <c r="BG810" s="16" t="n"/>
      <c r="BH810" s="20" t="inlineStr">
        <is>
          <t>IC Kationen</t>
        </is>
      </c>
      <c r="BI810" s="20" t="inlineStr">
        <is>
          <t>None</t>
        </is>
      </c>
      <c r="BJ810" s="17" t="n"/>
      <c r="BK810" s="16" t="n"/>
      <c r="BL810" s="20" t="inlineStr">
        <is>
          <t>IC Kationen</t>
        </is>
      </c>
      <c r="BM810" s="20" t="inlineStr">
        <is>
          <t>None</t>
        </is>
      </c>
      <c r="BN810" s="17" t="n"/>
      <c r="BO810" s="16" t="n"/>
      <c r="BP810" s="20" t="inlineStr">
        <is>
          <t>IC Kationen</t>
        </is>
      </c>
      <c r="BQ810" s="20" t="inlineStr">
        <is>
          <t>None</t>
        </is>
      </c>
      <c r="BR810" s="17" t="n"/>
      <c r="BS810" s="16" t="n"/>
      <c r="BT810" s="20" t="inlineStr">
        <is>
          <t>IC Kationen</t>
        </is>
      </c>
      <c r="BU810" s="20" t="inlineStr">
        <is>
          <t>None</t>
        </is>
      </c>
      <c r="BV810" s="17" t="n"/>
      <c r="BW810" s="16" t="n"/>
      <c r="BX810" s="20" t="n"/>
      <c r="BY810" s="20" t="inlineStr">
        <is>
          <t>None</t>
        </is>
      </c>
      <c r="BZ810" s="17" t="n"/>
      <c r="CA810" s="16" t="n"/>
      <c r="CB810" s="20" t="n"/>
      <c r="CC810" s="20" t="inlineStr">
        <is>
          <t>None</t>
        </is>
      </c>
      <c r="CD810" s="17" t="n"/>
      <c r="CE810" s="16" t="n"/>
      <c r="CF810" s="20" t="n"/>
      <c r="CG810" s="20" t="inlineStr">
        <is>
          <t>None</t>
        </is>
      </c>
      <c r="CH810" s="17" t="n"/>
      <c r="CI810" s="16" t="n"/>
      <c r="CJ810" s="20" t="n"/>
      <c r="CK810" s="20" t="inlineStr">
        <is>
          <t>None</t>
        </is>
      </c>
      <c r="CL810" s="17" t="n"/>
      <c r="CM810" s="16" t="n"/>
      <c r="CN810" s="20" t="inlineStr">
        <is>
          <t>SOP 45-34</t>
        </is>
      </c>
      <c r="CO810" s="20" t="inlineStr">
        <is>
          <t>None</t>
        </is>
      </c>
      <c r="CP810" s="17" t="n"/>
      <c r="CQ810" s="16" t="n"/>
      <c r="CR810" s="20" t="n"/>
      <c r="CS810" s="20" t="inlineStr">
        <is>
          <t>None</t>
        </is>
      </c>
      <c r="CT810" s="17" t="n"/>
      <c r="CU810" s="16" t="n"/>
      <c r="CV810" s="20" t="n"/>
      <c r="CW810" s="20" t="inlineStr">
        <is>
          <t>None</t>
        </is>
      </c>
      <c r="CX810" s="17" t="n"/>
      <c r="CY810" s="16" t="n"/>
      <c r="CZ810" s="20" t="inlineStr">
        <is>
          <t>WTW Multimeter 3430 with FDO 925</t>
        </is>
      </c>
      <c r="DA810" s="20" t="inlineStr">
        <is>
          <t>None</t>
        </is>
      </c>
      <c r="DB810" s="17" t="n"/>
      <c r="DC810" s="16" t="n"/>
      <c r="DD810" s="20" t="n"/>
      <c r="DE810" s="20" t="inlineStr">
        <is>
          <t>None</t>
        </is>
      </c>
      <c r="DF810" s="17" t="n"/>
      <c r="DG810" s="16" t="n"/>
      <c r="DH810" s="20" t="inlineStr">
        <is>
          <t>SOP 45-09</t>
        </is>
      </c>
      <c r="DI810" s="20" t="inlineStr">
        <is>
          <t>None</t>
        </is>
      </c>
      <c r="DJ810" s="17" t="n"/>
      <c r="DK810" s="16" t="n"/>
      <c r="DL810" s="20" t="inlineStr">
        <is>
          <t>SOP 45-09 (SOP muss noch angepasst werden für VSS)</t>
        </is>
      </c>
      <c r="DM810" s="20" t="inlineStr">
        <is>
          <t>None</t>
        </is>
      </c>
      <c r="DN810" s="17" t="n"/>
      <c r="DO810" s="16" t="n"/>
      <c r="DP810" s="20" t="inlineStr">
        <is>
          <t>IC Organic Acids</t>
        </is>
      </c>
      <c r="DQ810" s="20" t="inlineStr">
        <is>
          <t>None</t>
        </is>
      </c>
      <c r="DR810" s="17" t="n"/>
      <c r="DS810" s="16" t="n"/>
      <c r="DT810" s="20" t="inlineStr">
        <is>
          <t>IC Organic Acids</t>
        </is>
      </c>
      <c r="DU810" s="20" t="inlineStr">
        <is>
          <t>None</t>
        </is>
      </c>
      <c r="DV810" s="17" t="n"/>
      <c r="DW810" s="16" t="n"/>
      <c r="DX810" s="20" t="inlineStr">
        <is>
          <t>IC Organic Acids</t>
        </is>
      </c>
      <c r="DY810" s="20" t="inlineStr">
        <is>
          <t>None</t>
        </is>
      </c>
      <c r="DZ810" s="17" t="n"/>
      <c r="EA810" s="16" t="n"/>
      <c r="EB810" s="20" t="inlineStr">
        <is>
          <t>IC Organic Acids</t>
        </is>
      </c>
      <c r="EC810" s="20" t="inlineStr">
        <is>
          <t>None</t>
        </is>
      </c>
      <c r="ED810" s="17" t="n"/>
      <c r="EE810" s="16" t="n"/>
      <c r="EF810" s="20" t="inlineStr">
        <is>
          <t>IC Organic Acids</t>
        </is>
      </c>
      <c r="EG810" s="20" t="inlineStr">
        <is>
          <t>None</t>
        </is>
      </c>
      <c r="EH810" s="17" t="n"/>
      <c r="EI810" s="16" t="n"/>
      <c r="EJ810" s="20" t="inlineStr">
        <is>
          <t>IC Organic Acids</t>
        </is>
      </c>
      <c r="EK810" s="20" t="inlineStr">
        <is>
          <t>None</t>
        </is>
      </c>
      <c r="EL810" s="17" t="n"/>
      <c r="EM810" s="16" t="n"/>
      <c r="EN810" s="20" t="inlineStr">
        <is>
          <t>IC Organic Acids</t>
        </is>
      </c>
      <c r="EO810" s="20" t="inlineStr">
        <is>
          <t>None</t>
        </is>
      </c>
      <c r="EP810" s="17" t="n"/>
      <c r="EQ810" s="16" t="n"/>
      <c r="ER810" s="20" t="inlineStr">
        <is>
          <t>IC Organic Acids</t>
        </is>
      </c>
      <c r="ES810" s="20" t="inlineStr">
        <is>
          <t>None</t>
        </is>
      </c>
      <c r="ET810" s="17" t="n"/>
      <c r="EU810" s="16" t="n"/>
      <c r="EV810" s="20" t="inlineStr">
        <is>
          <t>LC-MS</t>
        </is>
      </c>
      <c r="EW810" s="20" t="inlineStr">
        <is>
          <t>None</t>
        </is>
      </c>
      <c r="EX810" s="17" t="n"/>
      <c r="EY810" s="21" t="n"/>
      <c r="EZ810">
        <f>CONCATENATE(A810,B810)</f>
        <v/>
      </c>
      <c r="FA810">
        <f>CONCATENATE(SamplesX!A810,SamplesX!B810)</f>
        <v/>
      </c>
      <c r="FC810">
        <f>MATCH(EZ810,FA1:FA1008,0)</f>
        <v/>
      </c>
    </row>
    <row r="811">
      <c r="A811" s="16" t="n"/>
      <c r="B811" s="17" t="n"/>
      <c r="C811" s="10">
        <f>IF(ISNUMBER(FC811),INDIRECT("SamplesX!C"&amp;FC811),IF(ISNUMBER(FD811),INDIRECT("SamplesY!C"&amp;FD811),""))</f>
        <v/>
      </c>
      <c r="D811" s="12">
        <f>IF(ISNUMBER(FC811),INDIRECT("SamplesX!D"&amp;FC811),IF(ISNUMBER(FD811),INDIRECT("SamplesY!D"&amp;FD811),""))</f>
        <v/>
      </c>
      <c r="E811" s="12">
        <f>IF(ISNUMBER(FC811),INDIRECT("SamplesX!E"&amp;FC811),IF(ISNUMBER(FD811),INDIRECT("SamplesY!E"&amp;FD811),""))</f>
        <v/>
      </c>
      <c r="F811" s="11">
        <f>IF(ISNUMBER(FC811),INDIRECT("SamplesX!F"&amp;FC811),IF(ISNUMBER(FD811),INDIRECT("SamplesY!F"&amp;FD811),""))</f>
        <v/>
      </c>
      <c r="G811" s="18">
        <f>IF(ISNUMBER(FC811),INDIRECT("SamplesX!G"&amp;FC811),IF(ISNUMBER(FD811),INDIRECT("SamplesY!G"&amp;FD811),""))</f>
        <v/>
      </c>
      <c r="H811" s="19">
        <f>IF(ISNUMBER(FC811),INDIRECT("SamplesX!H"&amp;FC811),IF(ISNUMBER(FD811),INDIRECT("SamplesY!H"&amp;FD811),""))</f>
        <v/>
      </c>
      <c r="I811" s="16" t="n"/>
      <c r="J811" s="16" t="n"/>
      <c r="K811" s="16" t="n"/>
      <c r="L811" s="20" t="n"/>
      <c r="M811" s="20" t="inlineStr">
        <is>
          <t>None</t>
        </is>
      </c>
      <c r="N811" s="17" t="n"/>
      <c r="O811" s="16" t="n"/>
      <c r="P811" s="20" t="inlineStr">
        <is>
          <t>Shimadzu TOC-L</t>
        </is>
      </c>
      <c r="Q811" s="20" t="inlineStr">
        <is>
          <t>None</t>
        </is>
      </c>
      <c r="R811" s="17" t="n"/>
      <c r="S811" s="16" t="n"/>
      <c r="T811" s="20" t="inlineStr">
        <is>
          <t>Shimadzu TOC-L</t>
        </is>
      </c>
      <c r="U811" s="20" t="inlineStr">
        <is>
          <t>None</t>
        </is>
      </c>
      <c r="V811" s="17" t="n"/>
      <c r="W811" s="16" t="n"/>
      <c r="X811" s="20" t="n"/>
      <c r="Y811" s="20" t="inlineStr">
        <is>
          <t>None</t>
        </is>
      </c>
      <c r="Z811" s="17" t="n"/>
      <c r="AA811" s="16" t="n"/>
      <c r="AB811" s="20" t="n"/>
      <c r="AC811" s="20" t="inlineStr">
        <is>
          <t>None</t>
        </is>
      </c>
      <c r="AD811" s="17" t="n"/>
      <c r="AE811" s="16" t="n"/>
      <c r="AF811" s="20" t="inlineStr">
        <is>
          <t>IC Anionen</t>
        </is>
      </c>
      <c r="AG811" s="20" t="inlineStr">
        <is>
          <t>None</t>
        </is>
      </c>
      <c r="AH811" s="17" t="n"/>
      <c r="AI811" s="16" t="n"/>
      <c r="AJ811" s="20" t="n"/>
      <c r="AK811" s="20" t="inlineStr">
        <is>
          <t>None</t>
        </is>
      </c>
      <c r="AL811" s="17" t="n"/>
      <c r="AM811" s="16" t="n"/>
      <c r="AN811" s="20" t="inlineStr">
        <is>
          <t>IC Anionen</t>
        </is>
      </c>
      <c r="AO811" s="20" t="inlineStr">
        <is>
          <t>None</t>
        </is>
      </c>
      <c r="AP811" s="17" t="n"/>
      <c r="AQ811" s="16" t="n"/>
      <c r="AR811" s="20" t="n"/>
      <c r="AS811" s="20" t="inlineStr">
        <is>
          <t>None</t>
        </is>
      </c>
      <c r="AT811" s="17" t="n"/>
      <c r="AU811" s="16" t="n"/>
      <c r="AV811" s="20" t="n"/>
      <c r="AW811" s="20" t="inlineStr">
        <is>
          <t>None</t>
        </is>
      </c>
      <c r="AX811" s="17" t="n"/>
      <c r="AY811" s="16" t="n"/>
      <c r="AZ811" s="20" t="inlineStr">
        <is>
          <t>IC Anionen</t>
        </is>
      </c>
      <c r="BA811" s="20" t="inlineStr">
        <is>
          <t>None</t>
        </is>
      </c>
      <c r="BB811" s="17" t="n"/>
      <c r="BC811" s="16" t="n"/>
      <c r="BD811" s="20" t="inlineStr">
        <is>
          <t>IC Kationen</t>
        </is>
      </c>
      <c r="BE811" s="20" t="inlineStr">
        <is>
          <t>None</t>
        </is>
      </c>
      <c r="BF811" s="17" t="n"/>
      <c r="BG811" s="16" t="n"/>
      <c r="BH811" s="20" t="inlineStr">
        <is>
          <t>IC Kationen</t>
        </is>
      </c>
      <c r="BI811" s="20" t="inlineStr">
        <is>
          <t>None</t>
        </is>
      </c>
      <c r="BJ811" s="17" t="n"/>
      <c r="BK811" s="16" t="n"/>
      <c r="BL811" s="20" t="inlineStr">
        <is>
          <t>IC Kationen</t>
        </is>
      </c>
      <c r="BM811" s="20" t="inlineStr">
        <is>
          <t>None</t>
        </is>
      </c>
      <c r="BN811" s="17" t="n"/>
      <c r="BO811" s="16" t="n"/>
      <c r="BP811" s="20" t="inlineStr">
        <is>
          <t>IC Kationen</t>
        </is>
      </c>
      <c r="BQ811" s="20" t="inlineStr">
        <is>
          <t>None</t>
        </is>
      </c>
      <c r="BR811" s="17" t="n"/>
      <c r="BS811" s="16" t="n"/>
      <c r="BT811" s="20" t="inlineStr">
        <is>
          <t>IC Kationen</t>
        </is>
      </c>
      <c r="BU811" s="20" t="inlineStr">
        <is>
          <t>None</t>
        </is>
      </c>
      <c r="BV811" s="17" t="n"/>
      <c r="BW811" s="16" t="n"/>
      <c r="BX811" s="20" t="n"/>
      <c r="BY811" s="20" t="inlineStr">
        <is>
          <t>None</t>
        </is>
      </c>
      <c r="BZ811" s="17" t="n"/>
      <c r="CA811" s="16" t="n"/>
      <c r="CB811" s="20" t="n"/>
      <c r="CC811" s="20" t="inlineStr">
        <is>
          <t>None</t>
        </is>
      </c>
      <c r="CD811" s="17" t="n"/>
      <c r="CE811" s="16" t="n"/>
      <c r="CF811" s="20" t="n"/>
      <c r="CG811" s="20" t="inlineStr">
        <is>
          <t>None</t>
        </is>
      </c>
      <c r="CH811" s="17" t="n"/>
      <c r="CI811" s="16" t="n"/>
      <c r="CJ811" s="20" t="n"/>
      <c r="CK811" s="20" t="inlineStr">
        <is>
          <t>None</t>
        </is>
      </c>
      <c r="CL811" s="17" t="n"/>
      <c r="CM811" s="16" t="n"/>
      <c r="CN811" s="20" t="inlineStr">
        <is>
          <t>SOP 45-34</t>
        </is>
      </c>
      <c r="CO811" s="20" t="inlineStr">
        <is>
          <t>None</t>
        </is>
      </c>
      <c r="CP811" s="17" t="n"/>
      <c r="CQ811" s="16" t="n"/>
      <c r="CR811" s="20" t="n"/>
      <c r="CS811" s="20" t="inlineStr">
        <is>
          <t>None</t>
        </is>
      </c>
      <c r="CT811" s="17" t="n"/>
      <c r="CU811" s="16" t="n"/>
      <c r="CV811" s="20" t="n"/>
      <c r="CW811" s="20" t="inlineStr">
        <is>
          <t>None</t>
        </is>
      </c>
      <c r="CX811" s="17" t="n"/>
      <c r="CY811" s="16" t="n"/>
      <c r="CZ811" s="20" t="inlineStr">
        <is>
          <t>WTW Multimeter 3430 with FDO 925</t>
        </is>
      </c>
      <c r="DA811" s="20" t="inlineStr">
        <is>
          <t>None</t>
        </is>
      </c>
      <c r="DB811" s="17" t="n"/>
      <c r="DC811" s="16" t="n"/>
      <c r="DD811" s="20" t="n"/>
      <c r="DE811" s="20" t="inlineStr">
        <is>
          <t>None</t>
        </is>
      </c>
      <c r="DF811" s="17" t="n"/>
      <c r="DG811" s="16" t="n"/>
      <c r="DH811" s="20" t="inlineStr">
        <is>
          <t>SOP 45-09</t>
        </is>
      </c>
      <c r="DI811" s="20" t="inlineStr">
        <is>
          <t>None</t>
        </is>
      </c>
      <c r="DJ811" s="17" t="n"/>
      <c r="DK811" s="16" t="n"/>
      <c r="DL811" s="20" t="inlineStr">
        <is>
          <t>SOP 45-09 (SOP muss noch angepasst werden für VSS)</t>
        </is>
      </c>
      <c r="DM811" s="20" t="inlineStr">
        <is>
          <t>None</t>
        </is>
      </c>
      <c r="DN811" s="17" t="n"/>
      <c r="DO811" s="16" t="n"/>
      <c r="DP811" s="20" t="inlineStr">
        <is>
          <t>IC Organic Acids</t>
        </is>
      </c>
      <c r="DQ811" s="20" t="inlineStr">
        <is>
          <t>None</t>
        </is>
      </c>
      <c r="DR811" s="17" t="n"/>
      <c r="DS811" s="16" t="n"/>
      <c r="DT811" s="20" t="inlineStr">
        <is>
          <t>IC Organic Acids</t>
        </is>
      </c>
      <c r="DU811" s="20" t="inlineStr">
        <is>
          <t>None</t>
        </is>
      </c>
      <c r="DV811" s="17" t="n"/>
      <c r="DW811" s="16" t="n"/>
      <c r="DX811" s="20" t="inlineStr">
        <is>
          <t>IC Organic Acids</t>
        </is>
      </c>
      <c r="DY811" s="20" t="inlineStr">
        <is>
          <t>None</t>
        </is>
      </c>
      <c r="DZ811" s="17" t="n"/>
      <c r="EA811" s="16" t="n"/>
      <c r="EB811" s="20" t="inlineStr">
        <is>
          <t>IC Organic Acids</t>
        </is>
      </c>
      <c r="EC811" s="20" t="inlineStr">
        <is>
          <t>None</t>
        </is>
      </c>
      <c r="ED811" s="17" t="n"/>
      <c r="EE811" s="16" t="n"/>
      <c r="EF811" s="20" t="inlineStr">
        <is>
          <t>IC Organic Acids</t>
        </is>
      </c>
      <c r="EG811" s="20" t="inlineStr">
        <is>
          <t>None</t>
        </is>
      </c>
      <c r="EH811" s="17" t="n"/>
      <c r="EI811" s="16" t="n"/>
      <c r="EJ811" s="20" t="inlineStr">
        <is>
          <t>IC Organic Acids</t>
        </is>
      </c>
      <c r="EK811" s="20" t="inlineStr">
        <is>
          <t>None</t>
        </is>
      </c>
      <c r="EL811" s="17" t="n"/>
      <c r="EM811" s="16" t="n"/>
      <c r="EN811" s="20" t="inlineStr">
        <is>
          <t>IC Organic Acids</t>
        </is>
      </c>
      <c r="EO811" s="20" t="inlineStr">
        <is>
          <t>None</t>
        </is>
      </c>
      <c r="EP811" s="17" t="n"/>
      <c r="EQ811" s="16" t="n"/>
      <c r="ER811" s="20" t="inlineStr">
        <is>
          <t>IC Organic Acids</t>
        </is>
      </c>
      <c r="ES811" s="20" t="inlineStr">
        <is>
          <t>None</t>
        </is>
      </c>
      <c r="ET811" s="17" t="n"/>
      <c r="EU811" s="16" t="n"/>
      <c r="EV811" s="20" t="inlineStr">
        <is>
          <t>LC-MS</t>
        </is>
      </c>
      <c r="EW811" s="20" t="inlineStr">
        <is>
          <t>None</t>
        </is>
      </c>
      <c r="EX811" s="17" t="n"/>
      <c r="EY811" s="21" t="n"/>
      <c r="EZ811">
        <f>CONCATENATE(A811,B811)</f>
        <v/>
      </c>
      <c r="FA811">
        <f>CONCATENATE(SamplesX!A811,SamplesX!B811)</f>
        <v/>
      </c>
      <c r="FC811">
        <f>MATCH(EZ811,FA1:FA1008,0)</f>
        <v/>
      </c>
    </row>
    <row r="812">
      <c r="A812" s="16" t="n"/>
      <c r="B812" s="17" t="n"/>
      <c r="C812" s="10">
        <f>IF(ISNUMBER(FC812),INDIRECT("SamplesX!C"&amp;FC812),IF(ISNUMBER(FD812),INDIRECT("SamplesY!C"&amp;FD812),""))</f>
        <v/>
      </c>
      <c r="D812" s="12">
        <f>IF(ISNUMBER(FC812),INDIRECT("SamplesX!D"&amp;FC812),IF(ISNUMBER(FD812),INDIRECT("SamplesY!D"&amp;FD812),""))</f>
        <v/>
      </c>
      <c r="E812" s="12">
        <f>IF(ISNUMBER(FC812),INDIRECT("SamplesX!E"&amp;FC812),IF(ISNUMBER(FD812),INDIRECT("SamplesY!E"&amp;FD812),""))</f>
        <v/>
      </c>
      <c r="F812" s="11">
        <f>IF(ISNUMBER(FC812),INDIRECT("SamplesX!F"&amp;FC812),IF(ISNUMBER(FD812),INDIRECT("SamplesY!F"&amp;FD812),""))</f>
        <v/>
      </c>
      <c r="G812" s="18">
        <f>IF(ISNUMBER(FC812),INDIRECT("SamplesX!G"&amp;FC812),IF(ISNUMBER(FD812),INDIRECT("SamplesY!G"&amp;FD812),""))</f>
        <v/>
      </c>
      <c r="H812" s="19">
        <f>IF(ISNUMBER(FC812),INDIRECT("SamplesX!H"&amp;FC812),IF(ISNUMBER(FD812),INDIRECT("SamplesY!H"&amp;FD812),""))</f>
        <v/>
      </c>
      <c r="I812" s="16" t="n"/>
      <c r="J812" s="16" t="n"/>
      <c r="K812" s="16" t="n"/>
      <c r="L812" s="20" t="n"/>
      <c r="M812" s="20" t="inlineStr">
        <is>
          <t>None</t>
        </is>
      </c>
      <c r="N812" s="17" t="n"/>
      <c r="O812" s="16" t="n"/>
      <c r="P812" s="20" t="inlineStr">
        <is>
          <t>Shimadzu TOC-L</t>
        </is>
      </c>
      <c r="Q812" s="20" t="inlineStr">
        <is>
          <t>None</t>
        </is>
      </c>
      <c r="R812" s="17" t="n"/>
      <c r="S812" s="16" t="n"/>
      <c r="T812" s="20" t="inlineStr">
        <is>
          <t>Shimadzu TOC-L</t>
        </is>
      </c>
      <c r="U812" s="20" t="inlineStr">
        <is>
          <t>None</t>
        </is>
      </c>
      <c r="V812" s="17" t="n"/>
      <c r="W812" s="16" t="n"/>
      <c r="X812" s="20" t="n"/>
      <c r="Y812" s="20" t="inlineStr">
        <is>
          <t>None</t>
        </is>
      </c>
      <c r="Z812" s="17" t="n"/>
      <c r="AA812" s="16" t="n"/>
      <c r="AB812" s="20" t="n"/>
      <c r="AC812" s="20" t="inlineStr">
        <is>
          <t>None</t>
        </is>
      </c>
      <c r="AD812" s="17" t="n"/>
      <c r="AE812" s="16" t="n"/>
      <c r="AF812" s="20" t="inlineStr">
        <is>
          <t>IC Anionen</t>
        </is>
      </c>
      <c r="AG812" s="20" t="inlineStr">
        <is>
          <t>None</t>
        </is>
      </c>
      <c r="AH812" s="17" t="n"/>
      <c r="AI812" s="16" t="n"/>
      <c r="AJ812" s="20" t="n"/>
      <c r="AK812" s="20" t="inlineStr">
        <is>
          <t>None</t>
        </is>
      </c>
      <c r="AL812" s="17" t="n"/>
      <c r="AM812" s="16" t="n"/>
      <c r="AN812" s="20" t="inlineStr">
        <is>
          <t>IC Anionen</t>
        </is>
      </c>
      <c r="AO812" s="20" t="inlineStr">
        <is>
          <t>None</t>
        </is>
      </c>
      <c r="AP812" s="17" t="n"/>
      <c r="AQ812" s="16" t="n"/>
      <c r="AR812" s="20" t="n"/>
      <c r="AS812" s="20" t="inlineStr">
        <is>
          <t>None</t>
        </is>
      </c>
      <c r="AT812" s="17" t="n"/>
      <c r="AU812" s="16" t="n"/>
      <c r="AV812" s="20" t="n"/>
      <c r="AW812" s="20" t="inlineStr">
        <is>
          <t>None</t>
        </is>
      </c>
      <c r="AX812" s="17" t="n"/>
      <c r="AY812" s="16" t="n"/>
      <c r="AZ812" s="20" t="inlineStr">
        <is>
          <t>IC Anionen</t>
        </is>
      </c>
      <c r="BA812" s="20" t="inlineStr">
        <is>
          <t>None</t>
        </is>
      </c>
      <c r="BB812" s="17" t="n"/>
      <c r="BC812" s="16" t="n"/>
      <c r="BD812" s="20" t="inlineStr">
        <is>
          <t>IC Kationen</t>
        </is>
      </c>
      <c r="BE812" s="20" t="inlineStr">
        <is>
          <t>None</t>
        </is>
      </c>
      <c r="BF812" s="17" t="n"/>
      <c r="BG812" s="16" t="n"/>
      <c r="BH812" s="20" t="inlineStr">
        <is>
          <t>IC Kationen</t>
        </is>
      </c>
      <c r="BI812" s="20" t="inlineStr">
        <is>
          <t>None</t>
        </is>
      </c>
      <c r="BJ812" s="17" t="n"/>
      <c r="BK812" s="16" t="n"/>
      <c r="BL812" s="20" t="inlineStr">
        <is>
          <t>IC Kationen</t>
        </is>
      </c>
      <c r="BM812" s="20" t="inlineStr">
        <is>
          <t>None</t>
        </is>
      </c>
      <c r="BN812" s="17" t="n"/>
      <c r="BO812" s="16" t="n"/>
      <c r="BP812" s="20" t="inlineStr">
        <is>
          <t>IC Kationen</t>
        </is>
      </c>
      <c r="BQ812" s="20" t="inlineStr">
        <is>
          <t>None</t>
        </is>
      </c>
      <c r="BR812" s="17" t="n"/>
      <c r="BS812" s="16" t="n"/>
      <c r="BT812" s="20" t="inlineStr">
        <is>
          <t>IC Kationen</t>
        </is>
      </c>
      <c r="BU812" s="20" t="inlineStr">
        <is>
          <t>None</t>
        </is>
      </c>
      <c r="BV812" s="17" t="n"/>
      <c r="BW812" s="16" t="n"/>
      <c r="BX812" s="20" t="n"/>
      <c r="BY812" s="20" t="inlineStr">
        <is>
          <t>None</t>
        </is>
      </c>
      <c r="BZ812" s="17" t="n"/>
      <c r="CA812" s="16" t="n"/>
      <c r="CB812" s="20" t="n"/>
      <c r="CC812" s="20" t="inlineStr">
        <is>
          <t>None</t>
        </is>
      </c>
      <c r="CD812" s="17" t="n"/>
      <c r="CE812" s="16" t="n"/>
      <c r="CF812" s="20" t="n"/>
      <c r="CG812" s="20" t="inlineStr">
        <is>
          <t>None</t>
        </is>
      </c>
      <c r="CH812" s="17" t="n"/>
      <c r="CI812" s="16" t="n"/>
      <c r="CJ812" s="20" t="n"/>
      <c r="CK812" s="20" t="inlineStr">
        <is>
          <t>None</t>
        </is>
      </c>
      <c r="CL812" s="17" t="n"/>
      <c r="CM812" s="16" t="n"/>
      <c r="CN812" s="20" t="inlineStr">
        <is>
          <t>SOP 45-34</t>
        </is>
      </c>
      <c r="CO812" s="20" t="inlineStr">
        <is>
          <t>None</t>
        </is>
      </c>
      <c r="CP812" s="17" t="n"/>
      <c r="CQ812" s="16" t="n"/>
      <c r="CR812" s="20" t="n"/>
      <c r="CS812" s="20" t="inlineStr">
        <is>
          <t>None</t>
        </is>
      </c>
      <c r="CT812" s="17" t="n"/>
      <c r="CU812" s="16" t="n"/>
      <c r="CV812" s="20" t="n"/>
      <c r="CW812" s="20" t="inlineStr">
        <is>
          <t>None</t>
        </is>
      </c>
      <c r="CX812" s="17" t="n"/>
      <c r="CY812" s="16" t="n"/>
      <c r="CZ812" s="20" t="inlineStr">
        <is>
          <t>WTW Multimeter 3430 with FDO 925</t>
        </is>
      </c>
      <c r="DA812" s="20" t="inlineStr">
        <is>
          <t>None</t>
        </is>
      </c>
      <c r="DB812" s="17" t="n"/>
      <c r="DC812" s="16" t="n"/>
      <c r="DD812" s="20" t="n"/>
      <c r="DE812" s="20" t="inlineStr">
        <is>
          <t>None</t>
        </is>
      </c>
      <c r="DF812" s="17" t="n"/>
      <c r="DG812" s="16" t="n"/>
      <c r="DH812" s="20" t="inlineStr">
        <is>
          <t>SOP 45-09</t>
        </is>
      </c>
      <c r="DI812" s="20" t="inlineStr">
        <is>
          <t>None</t>
        </is>
      </c>
      <c r="DJ812" s="17" t="n"/>
      <c r="DK812" s="16" t="n"/>
      <c r="DL812" s="20" t="inlineStr">
        <is>
          <t>SOP 45-09 (SOP muss noch angepasst werden für VSS)</t>
        </is>
      </c>
      <c r="DM812" s="20" t="inlineStr">
        <is>
          <t>None</t>
        </is>
      </c>
      <c r="DN812" s="17" t="n"/>
      <c r="DO812" s="16" t="n"/>
      <c r="DP812" s="20" t="inlineStr">
        <is>
          <t>IC Organic Acids</t>
        </is>
      </c>
      <c r="DQ812" s="20" t="inlineStr">
        <is>
          <t>None</t>
        </is>
      </c>
      <c r="DR812" s="17" t="n"/>
      <c r="DS812" s="16" t="n"/>
      <c r="DT812" s="20" t="inlineStr">
        <is>
          <t>IC Organic Acids</t>
        </is>
      </c>
      <c r="DU812" s="20" t="inlineStr">
        <is>
          <t>None</t>
        </is>
      </c>
      <c r="DV812" s="17" t="n"/>
      <c r="DW812" s="16" t="n"/>
      <c r="DX812" s="20" t="inlineStr">
        <is>
          <t>IC Organic Acids</t>
        </is>
      </c>
      <c r="DY812" s="20" t="inlineStr">
        <is>
          <t>None</t>
        </is>
      </c>
      <c r="DZ812" s="17" t="n"/>
      <c r="EA812" s="16" t="n"/>
      <c r="EB812" s="20" t="inlineStr">
        <is>
          <t>IC Organic Acids</t>
        </is>
      </c>
      <c r="EC812" s="20" t="inlineStr">
        <is>
          <t>None</t>
        </is>
      </c>
      <c r="ED812" s="17" t="n"/>
      <c r="EE812" s="16" t="n"/>
      <c r="EF812" s="20" t="inlineStr">
        <is>
          <t>IC Organic Acids</t>
        </is>
      </c>
      <c r="EG812" s="20" t="inlineStr">
        <is>
          <t>None</t>
        </is>
      </c>
      <c r="EH812" s="17" t="n"/>
      <c r="EI812" s="16" t="n"/>
      <c r="EJ812" s="20" t="inlineStr">
        <is>
          <t>IC Organic Acids</t>
        </is>
      </c>
      <c r="EK812" s="20" t="inlineStr">
        <is>
          <t>None</t>
        </is>
      </c>
      <c r="EL812" s="17" t="n"/>
      <c r="EM812" s="16" t="n"/>
      <c r="EN812" s="20" t="inlineStr">
        <is>
          <t>IC Organic Acids</t>
        </is>
      </c>
      <c r="EO812" s="20" t="inlineStr">
        <is>
          <t>None</t>
        </is>
      </c>
      <c r="EP812" s="17" t="n"/>
      <c r="EQ812" s="16" t="n"/>
      <c r="ER812" s="20" t="inlineStr">
        <is>
          <t>IC Organic Acids</t>
        </is>
      </c>
      <c r="ES812" s="20" t="inlineStr">
        <is>
          <t>None</t>
        </is>
      </c>
      <c r="ET812" s="17" t="n"/>
      <c r="EU812" s="16" t="n"/>
      <c r="EV812" s="20" t="inlineStr">
        <is>
          <t>LC-MS</t>
        </is>
      </c>
      <c r="EW812" s="20" t="inlineStr">
        <is>
          <t>None</t>
        </is>
      </c>
      <c r="EX812" s="17" t="n"/>
      <c r="EY812" s="21" t="n"/>
      <c r="EZ812">
        <f>CONCATENATE(A812,B812)</f>
        <v/>
      </c>
      <c r="FA812">
        <f>CONCATENATE(SamplesX!A812,SamplesX!B812)</f>
        <v/>
      </c>
      <c r="FC812">
        <f>MATCH(EZ812,FA1:FA1008,0)</f>
        <v/>
      </c>
    </row>
    <row r="813">
      <c r="A813" s="16" t="n"/>
      <c r="B813" s="17" t="n"/>
      <c r="C813" s="10">
        <f>IF(ISNUMBER(FC813),INDIRECT("SamplesX!C"&amp;FC813),IF(ISNUMBER(FD813),INDIRECT("SamplesY!C"&amp;FD813),""))</f>
        <v/>
      </c>
      <c r="D813" s="12">
        <f>IF(ISNUMBER(FC813),INDIRECT("SamplesX!D"&amp;FC813),IF(ISNUMBER(FD813),INDIRECT("SamplesY!D"&amp;FD813),""))</f>
        <v/>
      </c>
      <c r="E813" s="12">
        <f>IF(ISNUMBER(FC813),INDIRECT("SamplesX!E"&amp;FC813),IF(ISNUMBER(FD813),INDIRECT("SamplesY!E"&amp;FD813),""))</f>
        <v/>
      </c>
      <c r="F813" s="11">
        <f>IF(ISNUMBER(FC813),INDIRECT("SamplesX!F"&amp;FC813),IF(ISNUMBER(FD813),INDIRECT("SamplesY!F"&amp;FD813),""))</f>
        <v/>
      </c>
      <c r="G813" s="18">
        <f>IF(ISNUMBER(FC813),INDIRECT("SamplesX!G"&amp;FC813),IF(ISNUMBER(FD813),INDIRECT("SamplesY!G"&amp;FD813),""))</f>
        <v/>
      </c>
      <c r="H813" s="19">
        <f>IF(ISNUMBER(FC813),INDIRECT("SamplesX!H"&amp;FC813),IF(ISNUMBER(FD813),INDIRECT("SamplesY!H"&amp;FD813),""))</f>
        <v/>
      </c>
      <c r="I813" s="16" t="n"/>
      <c r="J813" s="16" t="n"/>
      <c r="K813" s="16" t="n"/>
      <c r="L813" s="20" t="n"/>
      <c r="M813" s="20" t="inlineStr">
        <is>
          <t>None</t>
        </is>
      </c>
      <c r="N813" s="17" t="n"/>
      <c r="O813" s="16" t="n"/>
      <c r="P813" s="20" t="inlineStr">
        <is>
          <t>Shimadzu TOC-L</t>
        </is>
      </c>
      <c r="Q813" s="20" t="inlineStr">
        <is>
          <t>None</t>
        </is>
      </c>
      <c r="R813" s="17" t="n"/>
      <c r="S813" s="16" t="n"/>
      <c r="T813" s="20" t="inlineStr">
        <is>
          <t>Shimadzu TOC-L</t>
        </is>
      </c>
      <c r="U813" s="20" t="inlineStr">
        <is>
          <t>None</t>
        </is>
      </c>
      <c r="V813" s="17" t="n"/>
      <c r="W813" s="16" t="n"/>
      <c r="X813" s="20" t="n"/>
      <c r="Y813" s="20" t="inlineStr">
        <is>
          <t>None</t>
        </is>
      </c>
      <c r="Z813" s="17" t="n"/>
      <c r="AA813" s="16" t="n"/>
      <c r="AB813" s="20" t="n"/>
      <c r="AC813" s="20" t="inlineStr">
        <is>
          <t>None</t>
        </is>
      </c>
      <c r="AD813" s="17" t="n"/>
      <c r="AE813" s="16" t="n"/>
      <c r="AF813" s="20" t="inlineStr">
        <is>
          <t>IC Anionen</t>
        </is>
      </c>
      <c r="AG813" s="20" t="inlineStr">
        <is>
          <t>None</t>
        </is>
      </c>
      <c r="AH813" s="17" t="n"/>
      <c r="AI813" s="16" t="n"/>
      <c r="AJ813" s="20" t="n"/>
      <c r="AK813" s="20" t="inlineStr">
        <is>
          <t>None</t>
        </is>
      </c>
      <c r="AL813" s="17" t="n"/>
      <c r="AM813" s="16" t="n"/>
      <c r="AN813" s="20" t="inlineStr">
        <is>
          <t>IC Anionen</t>
        </is>
      </c>
      <c r="AO813" s="20" t="inlineStr">
        <is>
          <t>None</t>
        </is>
      </c>
      <c r="AP813" s="17" t="n"/>
      <c r="AQ813" s="16" t="n"/>
      <c r="AR813" s="20" t="n"/>
      <c r="AS813" s="20" t="inlineStr">
        <is>
          <t>None</t>
        </is>
      </c>
      <c r="AT813" s="17" t="n"/>
      <c r="AU813" s="16" t="n"/>
      <c r="AV813" s="20" t="n"/>
      <c r="AW813" s="20" t="inlineStr">
        <is>
          <t>None</t>
        </is>
      </c>
      <c r="AX813" s="17" t="n"/>
      <c r="AY813" s="16" t="n"/>
      <c r="AZ813" s="20" t="inlineStr">
        <is>
          <t>IC Anionen</t>
        </is>
      </c>
      <c r="BA813" s="20" t="inlineStr">
        <is>
          <t>None</t>
        </is>
      </c>
      <c r="BB813" s="17" t="n"/>
      <c r="BC813" s="16" t="n"/>
      <c r="BD813" s="20" t="inlineStr">
        <is>
          <t>IC Kationen</t>
        </is>
      </c>
      <c r="BE813" s="20" t="inlineStr">
        <is>
          <t>None</t>
        </is>
      </c>
      <c r="BF813" s="17" t="n"/>
      <c r="BG813" s="16" t="n"/>
      <c r="BH813" s="20" t="inlineStr">
        <is>
          <t>IC Kationen</t>
        </is>
      </c>
      <c r="BI813" s="20" t="inlineStr">
        <is>
          <t>None</t>
        </is>
      </c>
      <c r="BJ813" s="17" t="n"/>
      <c r="BK813" s="16" t="n"/>
      <c r="BL813" s="20" t="inlineStr">
        <is>
          <t>IC Kationen</t>
        </is>
      </c>
      <c r="BM813" s="20" t="inlineStr">
        <is>
          <t>None</t>
        </is>
      </c>
      <c r="BN813" s="17" t="n"/>
      <c r="BO813" s="16" t="n"/>
      <c r="BP813" s="20" t="inlineStr">
        <is>
          <t>IC Kationen</t>
        </is>
      </c>
      <c r="BQ813" s="20" t="inlineStr">
        <is>
          <t>None</t>
        </is>
      </c>
      <c r="BR813" s="17" t="n"/>
      <c r="BS813" s="16" t="n"/>
      <c r="BT813" s="20" t="inlineStr">
        <is>
          <t>IC Kationen</t>
        </is>
      </c>
      <c r="BU813" s="20" t="inlineStr">
        <is>
          <t>None</t>
        </is>
      </c>
      <c r="BV813" s="17" t="n"/>
      <c r="BW813" s="16" t="n"/>
      <c r="BX813" s="20" t="n"/>
      <c r="BY813" s="20" t="inlineStr">
        <is>
          <t>None</t>
        </is>
      </c>
      <c r="BZ813" s="17" t="n"/>
      <c r="CA813" s="16" t="n"/>
      <c r="CB813" s="20" t="n"/>
      <c r="CC813" s="20" t="inlineStr">
        <is>
          <t>None</t>
        </is>
      </c>
      <c r="CD813" s="17" t="n"/>
      <c r="CE813" s="16" t="n"/>
      <c r="CF813" s="20" t="n"/>
      <c r="CG813" s="20" t="inlineStr">
        <is>
          <t>None</t>
        </is>
      </c>
      <c r="CH813" s="17" t="n"/>
      <c r="CI813" s="16" t="n"/>
      <c r="CJ813" s="20" t="n"/>
      <c r="CK813" s="20" t="inlineStr">
        <is>
          <t>None</t>
        </is>
      </c>
      <c r="CL813" s="17" t="n"/>
      <c r="CM813" s="16" t="n"/>
      <c r="CN813" s="20" t="inlineStr">
        <is>
          <t>SOP 45-34</t>
        </is>
      </c>
      <c r="CO813" s="20" t="inlineStr">
        <is>
          <t>None</t>
        </is>
      </c>
      <c r="CP813" s="17" t="n"/>
      <c r="CQ813" s="16" t="n"/>
      <c r="CR813" s="20" t="n"/>
      <c r="CS813" s="20" t="inlineStr">
        <is>
          <t>None</t>
        </is>
      </c>
      <c r="CT813" s="17" t="n"/>
      <c r="CU813" s="16" t="n"/>
      <c r="CV813" s="20" t="n"/>
      <c r="CW813" s="20" t="inlineStr">
        <is>
          <t>None</t>
        </is>
      </c>
      <c r="CX813" s="17" t="n"/>
      <c r="CY813" s="16" t="n"/>
      <c r="CZ813" s="20" t="inlineStr">
        <is>
          <t>WTW Multimeter 3430 with FDO 925</t>
        </is>
      </c>
      <c r="DA813" s="20" t="inlineStr">
        <is>
          <t>None</t>
        </is>
      </c>
      <c r="DB813" s="17" t="n"/>
      <c r="DC813" s="16" t="n"/>
      <c r="DD813" s="20" t="n"/>
      <c r="DE813" s="20" t="inlineStr">
        <is>
          <t>None</t>
        </is>
      </c>
      <c r="DF813" s="17" t="n"/>
      <c r="DG813" s="16" t="n"/>
      <c r="DH813" s="20" t="inlineStr">
        <is>
          <t>SOP 45-09</t>
        </is>
      </c>
      <c r="DI813" s="20" t="inlineStr">
        <is>
          <t>None</t>
        </is>
      </c>
      <c r="DJ813" s="17" t="n"/>
      <c r="DK813" s="16" t="n"/>
      <c r="DL813" s="20" t="inlineStr">
        <is>
          <t>SOP 45-09 (SOP muss noch angepasst werden für VSS)</t>
        </is>
      </c>
      <c r="DM813" s="20" t="inlineStr">
        <is>
          <t>None</t>
        </is>
      </c>
      <c r="DN813" s="17" t="n"/>
      <c r="DO813" s="16" t="n"/>
      <c r="DP813" s="20" t="inlineStr">
        <is>
          <t>IC Organic Acids</t>
        </is>
      </c>
      <c r="DQ813" s="20" t="inlineStr">
        <is>
          <t>None</t>
        </is>
      </c>
      <c r="DR813" s="17" t="n"/>
      <c r="DS813" s="16" t="n"/>
      <c r="DT813" s="20" t="inlineStr">
        <is>
          <t>IC Organic Acids</t>
        </is>
      </c>
      <c r="DU813" s="20" t="inlineStr">
        <is>
          <t>None</t>
        </is>
      </c>
      <c r="DV813" s="17" t="n"/>
      <c r="DW813" s="16" t="n"/>
      <c r="DX813" s="20" t="inlineStr">
        <is>
          <t>IC Organic Acids</t>
        </is>
      </c>
      <c r="DY813" s="20" t="inlineStr">
        <is>
          <t>None</t>
        </is>
      </c>
      <c r="DZ813" s="17" t="n"/>
      <c r="EA813" s="16" t="n"/>
      <c r="EB813" s="20" t="inlineStr">
        <is>
          <t>IC Organic Acids</t>
        </is>
      </c>
      <c r="EC813" s="20" t="inlineStr">
        <is>
          <t>None</t>
        </is>
      </c>
      <c r="ED813" s="17" t="n"/>
      <c r="EE813" s="16" t="n"/>
      <c r="EF813" s="20" t="inlineStr">
        <is>
          <t>IC Organic Acids</t>
        </is>
      </c>
      <c r="EG813" s="20" t="inlineStr">
        <is>
          <t>None</t>
        </is>
      </c>
      <c r="EH813" s="17" t="n"/>
      <c r="EI813" s="16" t="n"/>
      <c r="EJ813" s="20" t="inlineStr">
        <is>
          <t>IC Organic Acids</t>
        </is>
      </c>
      <c r="EK813" s="20" t="inlineStr">
        <is>
          <t>None</t>
        </is>
      </c>
      <c r="EL813" s="17" t="n"/>
      <c r="EM813" s="16" t="n"/>
      <c r="EN813" s="20" t="inlineStr">
        <is>
          <t>IC Organic Acids</t>
        </is>
      </c>
      <c r="EO813" s="20" t="inlineStr">
        <is>
          <t>None</t>
        </is>
      </c>
      <c r="EP813" s="17" t="n"/>
      <c r="EQ813" s="16" t="n"/>
      <c r="ER813" s="20" t="inlineStr">
        <is>
          <t>IC Organic Acids</t>
        </is>
      </c>
      <c r="ES813" s="20" t="inlineStr">
        <is>
          <t>None</t>
        </is>
      </c>
      <c r="ET813" s="17" t="n"/>
      <c r="EU813" s="16" t="n"/>
      <c r="EV813" s="20" t="inlineStr">
        <is>
          <t>LC-MS</t>
        </is>
      </c>
      <c r="EW813" s="20" t="inlineStr">
        <is>
          <t>None</t>
        </is>
      </c>
      <c r="EX813" s="17" t="n"/>
      <c r="EY813" s="21" t="n"/>
      <c r="EZ813">
        <f>CONCATENATE(A813,B813)</f>
        <v/>
      </c>
      <c r="FA813">
        <f>CONCATENATE(SamplesX!A813,SamplesX!B813)</f>
        <v/>
      </c>
      <c r="FC813">
        <f>MATCH(EZ813,FA1:FA1008,0)</f>
        <v/>
      </c>
    </row>
    <row r="814">
      <c r="A814" s="16" t="n"/>
      <c r="B814" s="17" t="n"/>
      <c r="C814" s="10">
        <f>IF(ISNUMBER(FC814),INDIRECT("SamplesX!C"&amp;FC814),IF(ISNUMBER(FD814),INDIRECT("SamplesY!C"&amp;FD814),""))</f>
        <v/>
      </c>
      <c r="D814" s="12">
        <f>IF(ISNUMBER(FC814),INDIRECT("SamplesX!D"&amp;FC814),IF(ISNUMBER(FD814),INDIRECT("SamplesY!D"&amp;FD814),""))</f>
        <v/>
      </c>
      <c r="E814" s="12">
        <f>IF(ISNUMBER(FC814),INDIRECT("SamplesX!E"&amp;FC814),IF(ISNUMBER(FD814),INDIRECT("SamplesY!E"&amp;FD814),""))</f>
        <v/>
      </c>
      <c r="F814" s="11">
        <f>IF(ISNUMBER(FC814),INDIRECT("SamplesX!F"&amp;FC814),IF(ISNUMBER(FD814),INDIRECT("SamplesY!F"&amp;FD814),""))</f>
        <v/>
      </c>
      <c r="G814" s="18">
        <f>IF(ISNUMBER(FC814),INDIRECT("SamplesX!G"&amp;FC814),IF(ISNUMBER(FD814),INDIRECT("SamplesY!G"&amp;FD814),""))</f>
        <v/>
      </c>
      <c r="H814" s="19">
        <f>IF(ISNUMBER(FC814),INDIRECT("SamplesX!H"&amp;FC814),IF(ISNUMBER(FD814),INDIRECT("SamplesY!H"&amp;FD814),""))</f>
        <v/>
      </c>
      <c r="I814" s="16" t="n"/>
      <c r="J814" s="16" t="n"/>
      <c r="K814" s="16" t="n"/>
      <c r="L814" s="20" t="n"/>
      <c r="M814" s="20" t="inlineStr">
        <is>
          <t>None</t>
        </is>
      </c>
      <c r="N814" s="17" t="n"/>
      <c r="O814" s="16" t="n"/>
      <c r="P814" s="20" t="inlineStr">
        <is>
          <t>Shimadzu TOC-L</t>
        </is>
      </c>
      <c r="Q814" s="20" t="inlineStr">
        <is>
          <t>None</t>
        </is>
      </c>
      <c r="R814" s="17" t="n"/>
      <c r="S814" s="16" t="n"/>
      <c r="T814" s="20" t="inlineStr">
        <is>
          <t>Shimadzu TOC-L</t>
        </is>
      </c>
      <c r="U814" s="20" t="inlineStr">
        <is>
          <t>None</t>
        </is>
      </c>
      <c r="V814" s="17" t="n"/>
      <c r="W814" s="16" t="n"/>
      <c r="X814" s="20" t="n"/>
      <c r="Y814" s="20" t="inlineStr">
        <is>
          <t>None</t>
        </is>
      </c>
      <c r="Z814" s="17" t="n"/>
      <c r="AA814" s="16" t="n"/>
      <c r="AB814" s="20" t="n"/>
      <c r="AC814" s="20" t="inlineStr">
        <is>
          <t>None</t>
        </is>
      </c>
      <c r="AD814" s="17" t="n"/>
      <c r="AE814" s="16" t="n"/>
      <c r="AF814" s="20" t="inlineStr">
        <is>
          <t>IC Anionen</t>
        </is>
      </c>
      <c r="AG814" s="20" t="inlineStr">
        <is>
          <t>None</t>
        </is>
      </c>
      <c r="AH814" s="17" t="n"/>
      <c r="AI814" s="16" t="n"/>
      <c r="AJ814" s="20" t="n"/>
      <c r="AK814" s="20" t="inlineStr">
        <is>
          <t>None</t>
        </is>
      </c>
      <c r="AL814" s="17" t="n"/>
      <c r="AM814" s="16" t="n"/>
      <c r="AN814" s="20" t="inlineStr">
        <is>
          <t>IC Anionen</t>
        </is>
      </c>
      <c r="AO814" s="20" t="inlineStr">
        <is>
          <t>None</t>
        </is>
      </c>
      <c r="AP814" s="17" t="n"/>
      <c r="AQ814" s="16" t="n"/>
      <c r="AR814" s="20" t="n"/>
      <c r="AS814" s="20" t="inlineStr">
        <is>
          <t>None</t>
        </is>
      </c>
      <c r="AT814" s="17" t="n"/>
      <c r="AU814" s="16" t="n"/>
      <c r="AV814" s="20" t="n"/>
      <c r="AW814" s="20" t="inlineStr">
        <is>
          <t>None</t>
        </is>
      </c>
      <c r="AX814" s="17" t="n"/>
      <c r="AY814" s="16" t="n"/>
      <c r="AZ814" s="20" t="inlineStr">
        <is>
          <t>IC Anionen</t>
        </is>
      </c>
      <c r="BA814" s="20" t="inlineStr">
        <is>
          <t>None</t>
        </is>
      </c>
      <c r="BB814" s="17" t="n"/>
      <c r="BC814" s="16" t="n"/>
      <c r="BD814" s="20" t="inlineStr">
        <is>
          <t>IC Kationen</t>
        </is>
      </c>
      <c r="BE814" s="20" t="inlineStr">
        <is>
          <t>None</t>
        </is>
      </c>
      <c r="BF814" s="17" t="n"/>
      <c r="BG814" s="16" t="n"/>
      <c r="BH814" s="20" t="inlineStr">
        <is>
          <t>IC Kationen</t>
        </is>
      </c>
      <c r="BI814" s="20" t="inlineStr">
        <is>
          <t>None</t>
        </is>
      </c>
      <c r="BJ814" s="17" t="n"/>
      <c r="BK814" s="16" t="n"/>
      <c r="BL814" s="20" t="inlineStr">
        <is>
          <t>IC Kationen</t>
        </is>
      </c>
      <c r="BM814" s="20" t="inlineStr">
        <is>
          <t>None</t>
        </is>
      </c>
      <c r="BN814" s="17" t="n"/>
      <c r="BO814" s="16" t="n"/>
      <c r="BP814" s="20" t="inlineStr">
        <is>
          <t>IC Kationen</t>
        </is>
      </c>
      <c r="BQ814" s="20" t="inlineStr">
        <is>
          <t>None</t>
        </is>
      </c>
      <c r="BR814" s="17" t="n"/>
      <c r="BS814" s="16" t="n"/>
      <c r="BT814" s="20" t="inlineStr">
        <is>
          <t>IC Kationen</t>
        </is>
      </c>
      <c r="BU814" s="20" t="inlineStr">
        <is>
          <t>None</t>
        </is>
      </c>
      <c r="BV814" s="17" t="n"/>
      <c r="BW814" s="16" t="n"/>
      <c r="BX814" s="20" t="n"/>
      <c r="BY814" s="20" t="inlineStr">
        <is>
          <t>None</t>
        </is>
      </c>
      <c r="BZ814" s="17" t="n"/>
      <c r="CA814" s="16" t="n"/>
      <c r="CB814" s="20" t="n"/>
      <c r="CC814" s="20" t="inlineStr">
        <is>
          <t>None</t>
        </is>
      </c>
      <c r="CD814" s="17" t="n"/>
      <c r="CE814" s="16" t="n"/>
      <c r="CF814" s="20" t="n"/>
      <c r="CG814" s="20" t="inlineStr">
        <is>
          <t>None</t>
        </is>
      </c>
      <c r="CH814" s="17" t="n"/>
      <c r="CI814" s="16" t="n"/>
      <c r="CJ814" s="20" t="n"/>
      <c r="CK814" s="20" t="inlineStr">
        <is>
          <t>None</t>
        </is>
      </c>
      <c r="CL814" s="17" t="n"/>
      <c r="CM814" s="16" t="n"/>
      <c r="CN814" s="20" t="inlineStr">
        <is>
          <t>SOP 45-34</t>
        </is>
      </c>
      <c r="CO814" s="20" t="inlineStr">
        <is>
          <t>None</t>
        </is>
      </c>
      <c r="CP814" s="17" t="n"/>
      <c r="CQ814" s="16" t="n"/>
      <c r="CR814" s="20" t="n"/>
      <c r="CS814" s="20" t="inlineStr">
        <is>
          <t>None</t>
        </is>
      </c>
      <c r="CT814" s="17" t="n"/>
      <c r="CU814" s="16" t="n"/>
      <c r="CV814" s="20" t="n"/>
      <c r="CW814" s="20" t="inlineStr">
        <is>
          <t>None</t>
        </is>
      </c>
      <c r="CX814" s="17" t="n"/>
      <c r="CY814" s="16" t="n"/>
      <c r="CZ814" s="20" t="inlineStr">
        <is>
          <t>WTW Multimeter 3430 with FDO 925</t>
        </is>
      </c>
      <c r="DA814" s="20" t="inlineStr">
        <is>
          <t>None</t>
        </is>
      </c>
      <c r="DB814" s="17" t="n"/>
      <c r="DC814" s="16" t="n"/>
      <c r="DD814" s="20" t="n"/>
      <c r="DE814" s="20" t="inlineStr">
        <is>
          <t>None</t>
        </is>
      </c>
      <c r="DF814" s="17" t="n"/>
      <c r="DG814" s="16" t="n"/>
      <c r="DH814" s="20" t="inlineStr">
        <is>
          <t>SOP 45-09</t>
        </is>
      </c>
      <c r="DI814" s="20" t="inlineStr">
        <is>
          <t>None</t>
        </is>
      </c>
      <c r="DJ814" s="17" t="n"/>
      <c r="DK814" s="16" t="n"/>
      <c r="DL814" s="20" t="inlineStr">
        <is>
          <t>SOP 45-09 (SOP muss noch angepasst werden für VSS)</t>
        </is>
      </c>
      <c r="DM814" s="20" t="inlineStr">
        <is>
          <t>None</t>
        </is>
      </c>
      <c r="DN814" s="17" t="n"/>
      <c r="DO814" s="16" t="n"/>
      <c r="DP814" s="20" t="inlineStr">
        <is>
          <t>IC Organic Acids</t>
        </is>
      </c>
      <c r="DQ814" s="20" t="inlineStr">
        <is>
          <t>None</t>
        </is>
      </c>
      <c r="DR814" s="17" t="n"/>
      <c r="DS814" s="16" t="n"/>
      <c r="DT814" s="20" t="inlineStr">
        <is>
          <t>IC Organic Acids</t>
        </is>
      </c>
      <c r="DU814" s="20" t="inlineStr">
        <is>
          <t>None</t>
        </is>
      </c>
      <c r="DV814" s="17" t="n"/>
      <c r="DW814" s="16" t="n"/>
      <c r="DX814" s="20" t="inlineStr">
        <is>
          <t>IC Organic Acids</t>
        </is>
      </c>
      <c r="DY814" s="20" t="inlineStr">
        <is>
          <t>None</t>
        </is>
      </c>
      <c r="DZ814" s="17" t="n"/>
      <c r="EA814" s="16" t="n"/>
      <c r="EB814" s="20" t="inlineStr">
        <is>
          <t>IC Organic Acids</t>
        </is>
      </c>
      <c r="EC814" s="20" t="inlineStr">
        <is>
          <t>None</t>
        </is>
      </c>
      <c r="ED814" s="17" t="n"/>
      <c r="EE814" s="16" t="n"/>
      <c r="EF814" s="20" t="inlineStr">
        <is>
          <t>IC Organic Acids</t>
        </is>
      </c>
      <c r="EG814" s="20" t="inlineStr">
        <is>
          <t>None</t>
        </is>
      </c>
      <c r="EH814" s="17" t="n"/>
      <c r="EI814" s="16" t="n"/>
      <c r="EJ814" s="20" t="inlineStr">
        <is>
          <t>IC Organic Acids</t>
        </is>
      </c>
      <c r="EK814" s="20" t="inlineStr">
        <is>
          <t>None</t>
        </is>
      </c>
      <c r="EL814" s="17" t="n"/>
      <c r="EM814" s="16" t="n"/>
      <c r="EN814" s="20" t="inlineStr">
        <is>
          <t>IC Organic Acids</t>
        </is>
      </c>
      <c r="EO814" s="20" t="inlineStr">
        <is>
          <t>None</t>
        </is>
      </c>
      <c r="EP814" s="17" t="n"/>
      <c r="EQ814" s="16" t="n"/>
      <c r="ER814" s="20" t="inlineStr">
        <is>
          <t>IC Organic Acids</t>
        </is>
      </c>
      <c r="ES814" s="20" t="inlineStr">
        <is>
          <t>None</t>
        </is>
      </c>
      <c r="ET814" s="17" t="n"/>
      <c r="EU814" s="16" t="n"/>
      <c r="EV814" s="20" t="inlineStr">
        <is>
          <t>LC-MS</t>
        </is>
      </c>
      <c r="EW814" s="20" t="inlineStr">
        <is>
          <t>None</t>
        </is>
      </c>
      <c r="EX814" s="17" t="n"/>
      <c r="EY814" s="21" t="n"/>
      <c r="EZ814">
        <f>CONCATENATE(A814,B814)</f>
        <v/>
      </c>
      <c r="FA814">
        <f>CONCATENATE(SamplesX!A814,SamplesX!B814)</f>
        <v/>
      </c>
      <c r="FC814">
        <f>MATCH(EZ814,FA1:FA1008,0)</f>
        <v/>
      </c>
    </row>
    <row r="815">
      <c r="A815" s="16" t="n"/>
      <c r="B815" s="17" t="n"/>
      <c r="C815" s="10">
        <f>IF(ISNUMBER(FC815),INDIRECT("SamplesX!C"&amp;FC815),IF(ISNUMBER(FD815),INDIRECT("SamplesY!C"&amp;FD815),""))</f>
        <v/>
      </c>
      <c r="D815" s="12">
        <f>IF(ISNUMBER(FC815),INDIRECT("SamplesX!D"&amp;FC815),IF(ISNUMBER(FD815),INDIRECT("SamplesY!D"&amp;FD815),""))</f>
        <v/>
      </c>
      <c r="E815" s="12">
        <f>IF(ISNUMBER(FC815),INDIRECT("SamplesX!E"&amp;FC815),IF(ISNUMBER(FD815),INDIRECT("SamplesY!E"&amp;FD815),""))</f>
        <v/>
      </c>
      <c r="F815" s="11">
        <f>IF(ISNUMBER(FC815),INDIRECT("SamplesX!F"&amp;FC815),IF(ISNUMBER(FD815),INDIRECT("SamplesY!F"&amp;FD815),""))</f>
        <v/>
      </c>
      <c r="G815" s="18">
        <f>IF(ISNUMBER(FC815),INDIRECT("SamplesX!G"&amp;FC815),IF(ISNUMBER(FD815),INDIRECT("SamplesY!G"&amp;FD815),""))</f>
        <v/>
      </c>
      <c r="H815" s="19">
        <f>IF(ISNUMBER(FC815),INDIRECT("SamplesX!H"&amp;FC815),IF(ISNUMBER(FD815),INDIRECT("SamplesY!H"&amp;FD815),""))</f>
        <v/>
      </c>
      <c r="I815" s="16" t="n"/>
      <c r="J815" s="16" t="n"/>
      <c r="K815" s="16" t="n"/>
      <c r="L815" s="20" t="n"/>
      <c r="M815" s="20" t="inlineStr">
        <is>
          <t>None</t>
        </is>
      </c>
      <c r="N815" s="17" t="n"/>
      <c r="O815" s="16" t="n"/>
      <c r="P815" s="20" t="inlineStr">
        <is>
          <t>Shimadzu TOC-L</t>
        </is>
      </c>
      <c r="Q815" s="20" t="inlineStr">
        <is>
          <t>None</t>
        </is>
      </c>
      <c r="R815" s="17" t="n"/>
      <c r="S815" s="16" t="n"/>
      <c r="T815" s="20" t="inlineStr">
        <is>
          <t>Shimadzu TOC-L</t>
        </is>
      </c>
      <c r="U815" s="20" t="inlineStr">
        <is>
          <t>None</t>
        </is>
      </c>
      <c r="V815" s="17" t="n"/>
      <c r="W815" s="16" t="n"/>
      <c r="X815" s="20" t="n"/>
      <c r="Y815" s="20" t="inlineStr">
        <is>
          <t>None</t>
        </is>
      </c>
      <c r="Z815" s="17" t="n"/>
      <c r="AA815" s="16" t="n"/>
      <c r="AB815" s="20" t="n"/>
      <c r="AC815" s="20" t="inlineStr">
        <is>
          <t>None</t>
        </is>
      </c>
      <c r="AD815" s="17" t="n"/>
      <c r="AE815" s="16" t="n"/>
      <c r="AF815" s="20" t="inlineStr">
        <is>
          <t>IC Anionen</t>
        </is>
      </c>
      <c r="AG815" s="20" t="inlineStr">
        <is>
          <t>None</t>
        </is>
      </c>
      <c r="AH815" s="17" t="n"/>
      <c r="AI815" s="16" t="n"/>
      <c r="AJ815" s="20" t="n"/>
      <c r="AK815" s="20" t="inlineStr">
        <is>
          <t>None</t>
        </is>
      </c>
      <c r="AL815" s="17" t="n"/>
      <c r="AM815" s="16" t="n"/>
      <c r="AN815" s="20" t="inlineStr">
        <is>
          <t>IC Anionen</t>
        </is>
      </c>
      <c r="AO815" s="20" t="inlineStr">
        <is>
          <t>None</t>
        </is>
      </c>
      <c r="AP815" s="17" t="n"/>
      <c r="AQ815" s="16" t="n"/>
      <c r="AR815" s="20" t="n"/>
      <c r="AS815" s="20" t="inlineStr">
        <is>
          <t>None</t>
        </is>
      </c>
      <c r="AT815" s="17" t="n"/>
      <c r="AU815" s="16" t="n"/>
      <c r="AV815" s="20" t="n"/>
      <c r="AW815" s="20" t="inlineStr">
        <is>
          <t>None</t>
        </is>
      </c>
      <c r="AX815" s="17" t="n"/>
      <c r="AY815" s="16" t="n"/>
      <c r="AZ815" s="20" t="inlineStr">
        <is>
          <t>IC Anionen</t>
        </is>
      </c>
      <c r="BA815" s="20" t="inlineStr">
        <is>
          <t>None</t>
        </is>
      </c>
      <c r="BB815" s="17" t="n"/>
      <c r="BC815" s="16" t="n"/>
      <c r="BD815" s="20" t="inlineStr">
        <is>
          <t>IC Kationen</t>
        </is>
      </c>
      <c r="BE815" s="20" t="inlineStr">
        <is>
          <t>None</t>
        </is>
      </c>
      <c r="BF815" s="17" t="n"/>
      <c r="BG815" s="16" t="n"/>
      <c r="BH815" s="20" t="inlineStr">
        <is>
          <t>IC Kationen</t>
        </is>
      </c>
      <c r="BI815" s="20" t="inlineStr">
        <is>
          <t>None</t>
        </is>
      </c>
      <c r="BJ815" s="17" t="n"/>
      <c r="BK815" s="16" t="n"/>
      <c r="BL815" s="20" t="inlineStr">
        <is>
          <t>IC Kationen</t>
        </is>
      </c>
      <c r="BM815" s="20" t="inlineStr">
        <is>
          <t>None</t>
        </is>
      </c>
      <c r="BN815" s="17" t="n"/>
      <c r="BO815" s="16" t="n"/>
      <c r="BP815" s="20" t="inlineStr">
        <is>
          <t>IC Kationen</t>
        </is>
      </c>
      <c r="BQ815" s="20" t="inlineStr">
        <is>
          <t>None</t>
        </is>
      </c>
      <c r="BR815" s="17" t="n"/>
      <c r="BS815" s="16" t="n"/>
      <c r="BT815" s="20" t="inlineStr">
        <is>
          <t>IC Kationen</t>
        </is>
      </c>
      <c r="BU815" s="20" t="inlineStr">
        <is>
          <t>None</t>
        </is>
      </c>
      <c r="BV815" s="17" t="n"/>
      <c r="BW815" s="16" t="n"/>
      <c r="BX815" s="20" t="n"/>
      <c r="BY815" s="20" t="inlineStr">
        <is>
          <t>None</t>
        </is>
      </c>
      <c r="BZ815" s="17" t="n"/>
      <c r="CA815" s="16" t="n"/>
      <c r="CB815" s="20" t="n"/>
      <c r="CC815" s="20" t="inlineStr">
        <is>
          <t>None</t>
        </is>
      </c>
      <c r="CD815" s="17" t="n"/>
      <c r="CE815" s="16" t="n"/>
      <c r="CF815" s="20" t="n"/>
      <c r="CG815" s="20" t="inlineStr">
        <is>
          <t>None</t>
        </is>
      </c>
      <c r="CH815" s="17" t="n"/>
      <c r="CI815" s="16" t="n"/>
      <c r="CJ815" s="20" t="n"/>
      <c r="CK815" s="20" t="inlineStr">
        <is>
          <t>None</t>
        </is>
      </c>
      <c r="CL815" s="17" t="n"/>
      <c r="CM815" s="16" t="n"/>
      <c r="CN815" s="20" t="inlineStr">
        <is>
          <t>SOP 45-34</t>
        </is>
      </c>
      <c r="CO815" s="20" t="inlineStr">
        <is>
          <t>None</t>
        </is>
      </c>
      <c r="CP815" s="17" t="n"/>
      <c r="CQ815" s="16" t="n"/>
      <c r="CR815" s="20" t="n"/>
      <c r="CS815" s="20" t="inlineStr">
        <is>
          <t>None</t>
        </is>
      </c>
      <c r="CT815" s="17" t="n"/>
      <c r="CU815" s="16" t="n"/>
      <c r="CV815" s="20" t="n"/>
      <c r="CW815" s="20" t="inlineStr">
        <is>
          <t>None</t>
        </is>
      </c>
      <c r="CX815" s="17" t="n"/>
      <c r="CY815" s="16" t="n"/>
      <c r="CZ815" s="20" t="inlineStr">
        <is>
          <t>WTW Multimeter 3430 with FDO 925</t>
        </is>
      </c>
      <c r="DA815" s="20" t="inlineStr">
        <is>
          <t>None</t>
        </is>
      </c>
      <c r="DB815" s="17" t="n"/>
      <c r="DC815" s="16" t="n"/>
      <c r="DD815" s="20" t="n"/>
      <c r="DE815" s="20" t="inlineStr">
        <is>
          <t>None</t>
        </is>
      </c>
      <c r="DF815" s="17" t="n"/>
      <c r="DG815" s="16" t="n"/>
      <c r="DH815" s="20" t="inlineStr">
        <is>
          <t>SOP 45-09</t>
        </is>
      </c>
      <c r="DI815" s="20" t="inlineStr">
        <is>
          <t>None</t>
        </is>
      </c>
      <c r="DJ815" s="17" t="n"/>
      <c r="DK815" s="16" t="n"/>
      <c r="DL815" s="20" t="inlineStr">
        <is>
          <t>SOP 45-09 (SOP muss noch angepasst werden für VSS)</t>
        </is>
      </c>
      <c r="DM815" s="20" t="inlineStr">
        <is>
          <t>None</t>
        </is>
      </c>
      <c r="DN815" s="17" t="n"/>
      <c r="DO815" s="16" t="n"/>
      <c r="DP815" s="20" t="inlineStr">
        <is>
          <t>IC Organic Acids</t>
        </is>
      </c>
      <c r="DQ815" s="20" t="inlineStr">
        <is>
          <t>None</t>
        </is>
      </c>
      <c r="DR815" s="17" t="n"/>
      <c r="DS815" s="16" t="n"/>
      <c r="DT815" s="20" t="inlineStr">
        <is>
          <t>IC Organic Acids</t>
        </is>
      </c>
      <c r="DU815" s="20" t="inlineStr">
        <is>
          <t>None</t>
        </is>
      </c>
      <c r="DV815" s="17" t="n"/>
      <c r="DW815" s="16" t="n"/>
      <c r="DX815" s="20" t="inlineStr">
        <is>
          <t>IC Organic Acids</t>
        </is>
      </c>
      <c r="DY815" s="20" t="inlineStr">
        <is>
          <t>None</t>
        </is>
      </c>
      <c r="DZ815" s="17" t="n"/>
      <c r="EA815" s="16" t="n"/>
      <c r="EB815" s="20" t="inlineStr">
        <is>
          <t>IC Organic Acids</t>
        </is>
      </c>
      <c r="EC815" s="20" t="inlineStr">
        <is>
          <t>None</t>
        </is>
      </c>
      <c r="ED815" s="17" t="n"/>
      <c r="EE815" s="16" t="n"/>
      <c r="EF815" s="20" t="inlineStr">
        <is>
          <t>IC Organic Acids</t>
        </is>
      </c>
      <c r="EG815" s="20" t="inlineStr">
        <is>
          <t>None</t>
        </is>
      </c>
      <c r="EH815" s="17" t="n"/>
      <c r="EI815" s="16" t="n"/>
      <c r="EJ815" s="20" t="inlineStr">
        <is>
          <t>IC Organic Acids</t>
        </is>
      </c>
      <c r="EK815" s="20" t="inlineStr">
        <is>
          <t>None</t>
        </is>
      </c>
      <c r="EL815" s="17" t="n"/>
      <c r="EM815" s="16" t="n"/>
      <c r="EN815" s="20" t="inlineStr">
        <is>
          <t>IC Organic Acids</t>
        </is>
      </c>
      <c r="EO815" s="20" t="inlineStr">
        <is>
          <t>None</t>
        </is>
      </c>
      <c r="EP815" s="17" t="n"/>
      <c r="EQ815" s="16" t="n"/>
      <c r="ER815" s="20" t="inlineStr">
        <is>
          <t>IC Organic Acids</t>
        </is>
      </c>
      <c r="ES815" s="20" t="inlineStr">
        <is>
          <t>None</t>
        </is>
      </c>
      <c r="ET815" s="17" t="n"/>
      <c r="EU815" s="16" t="n"/>
      <c r="EV815" s="20" t="inlineStr">
        <is>
          <t>LC-MS</t>
        </is>
      </c>
      <c r="EW815" s="20" t="inlineStr">
        <is>
          <t>None</t>
        </is>
      </c>
      <c r="EX815" s="17" t="n"/>
      <c r="EY815" s="21" t="n"/>
      <c r="EZ815">
        <f>CONCATENATE(A815,B815)</f>
        <v/>
      </c>
      <c r="FA815">
        <f>CONCATENATE(SamplesX!A815,SamplesX!B815)</f>
        <v/>
      </c>
      <c r="FC815">
        <f>MATCH(EZ815,FA1:FA1008,0)</f>
        <v/>
      </c>
    </row>
    <row r="816">
      <c r="A816" s="16" t="n"/>
      <c r="B816" s="17" t="n"/>
      <c r="C816" s="10">
        <f>IF(ISNUMBER(FC816),INDIRECT("SamplesX!C"&amp;FC816),IF(ISNUMBER(FD816),INDIRECT("SamplesY!C"&amp;FD816),""))</f>
        <v/>
      </c>
      <c r="D816" s="12">
        <f>IF(ISNUMBER(FC816),INDIRECT("SamplesX!D"&amp;FC816),IF(ISNUMBER(FD816),INDIRECT("SamplesY!D"&amp;FD816),""))</f>
        <v/>
      </c>
      <c r="E816" s="12">
        <f>IF(ISNUMBER(FC816),INDIRECT("SamplesX!E"&amp;FC816),IF(ISNUMBER(FD816),INDIRECT("SamplesY!E"&amp;FD816),""))</f>
        <v/>
      </c>
      <c r="F816" s="11">
        <f>IF(ISNUMBER(FC816),INDIRECT("SamplesX!F"&amp;FC816),IF(ISNUMBER(FD816),INDIRECT("SamplesY!F"&amp;FD816),""))</f>
        <v/>
      </c>
      <c r="G816" s="18">
        <f>IF(ISNUMBER(FC816),INDIRECT("SamplesX!G"&amp;FC816),IF(ISNUMBER(FD816),INDIRECT("SamplesY!G"&amp;FD816),""))</f>
        <v/>
      </c>
      <c r="H816" s="19">
        <f>IF(ISNUMBER(FC816),INDIRECT("SamplesX!H"&amp;FC816),IF(ISNUMBER(FD816),INDIRECT("SamplesY!H"&amp;FD816),""))</f>
        <v/>
      </c>
      <c r="I816" s="16" t="n"/>
      <c r="J816" s="16" t="n"/>
      <c r="K816" s="16" t="n"/>
      <c r="L816" s="20" t="n"/>
      <c r="M816" s="20" t="inlineStr">
        <is>
          <t>None</t>
        </is>
      </c>
      <c r="N816" s="17" t="n"/>
      <c r="O816" s="16" t="n"/>
      <c r="P816" s="20" t="inlineStr">
        <is>
          <t>Shimadzu TOC-L</t>
        </is>
      </c>
      <c r="Q816" s="20" t="inlineStr">
        <is>
          <t>None</t>
        </is>
      </c>
      <c r="R816" s="17" t="n"/>
      <c r="S816" s="16" t="n"/>
      <c r="T816" s="20" t="inlineStr">
        <is>
          <t>Shimadzu TOC-L</t>
        </is>
      </c>
      <c r="U816" s="20" t="inlineStr">
        <is>
          <t>None</t>
        </is>
      </c>
      <c r="V816" s="17" t="n"/>
      <c r="W816" s="16" t="n"/>
      <c r="X816" s="20" t="n"/>
      <c r="Y816" s="20" t="inlineStr">
        <is>
          <t>None</t>
        </is>
      </c>
      <c r="Z816" s="17" t="n"/>
      <c r="AA816" s="16" t="n"/>
      <c r="AB816" s="20" t="n"/>
      <c r="AC816" s="20" t="inlineStr">
        <is>
          <t>None</t>
        </is>
      </c>
      <c r="AD816" s="17" t="n"/>
      <c r="AE816" s="16" t="n"/>
      <c r="AF816" s="20" t="inlineStr">
        <is>
          <t>IC Anionen</t>
        </is>
      </c>
      <c r="AG816" s="20" t="inlineStr">
        <is>
          <t>None</t>
        </is>
      </c>
      <c r="AH816" s="17" t="n"/>
      <c r="AI816" s="16" t="n"/>
      <c r="AJ816" s="20" t="n"/>
      <c r="AK816" s="20" t="inlineStr">
        <is>
          <t>None</t>
        </is>
      </c>
      <c r="AL816" s="17" t="n"/>
      <c r="AM816" s="16" t="n"/>
      <c r="AN816" s="20" t="inlineStr">
        <is>
          <t>IC Anionen</t>
        </is>
      </c>
      <c r="AO816" s="20" t="inlineStr">
        <is>
          <t>None</t>
        </is>
      </c>
      <c r="AP816" s="17" t="n"/>
      <c r="AQ816" s="16" t="n"/>
      <c r="AR816" s="20" t="n"/>
      <c r="AS816" s="20" t="inlineStr">
        <is>
          <t>None</t>
        </is>
      </c>
      <c r="AT816" s="17" t="n"/>
      <c r="AU816" s="16" t="n"/>
      <c r="AV816" s="20" t="n"/>
      <c r="AW816" s="20" t="inlineStr">
        <is>
          <t>None</t>
        </is>
      </c>
      <c r="AX816" s="17" t="n"/>
      <c r="AY816" s="16" t="n"/>
      <c r="AZ816" s="20" t="inlineStr">
        <is>
          <t>IC Anionen</t>
        </is>
      </c>
      <c r="BA816" s="20" t="inlineStr">
        <is>
          <t>None</t>
        </is>
      </c>
      <c r="BB816" s="17" t="n"/>
      <c r="BC816" s="16" t="n"/>
      <c r="BD816" s="20" t="inlineStr">
        <is>
          <t>IC Kationen</t>
        </is>
      </c>
      <c r="BE816" s="20" t="inlineStr">
        <is>
          <t>None</t>
        </is>
      </c>
      <c r="BF816" s="17" t="n"/>
      <c r="BG816" s="16" t="n"/>
      <c r="BH816" s="20" t="inlineStr">
        <is>
          <t>IC Kationen</t>
        </is>
      </c>
      <c r="BI816" s="20" t="inlineStr">
        <is>
          <t>None</t>
        </is>
      </c>
      <c r="BJ816" s="17" t="n"/>
      <c r="BK816" s="16" t="n"/>
      <c r="BL816" s="20" t="inlineStr">
        <is>
          <t>IC Kationen</t>
        </is>
      </c>
      <c r="BM816" s="20" t="inlineStr">
        <is>
          <t>None</t>
        </is>
      </c>
      <c r="BN816" s="17" t="n"/>
      <c r="BO816" s="16" t="n"/>
      <c r="BP816" s="20" t="inlineStr">
        <is>
          <t>IC Kationen</t>
        </is>
      </c>
      <c r="BQ816" s="20" t="inlineStr">
        <is>
          <t>None</t>
        </is>
      </c>
      <c r="BR816" s="17" t="n"/>
      <c r="BS816" s="16" t="n"/>
      <c r="BT816" s="20" t="inlineStr">
        <is>
          <t>IC Kationen</t>
        </is>
      </c>
      <c r="BU816" s="20" t="inlineStr">
        <is>
          <t>None</t>
        </is>
      </c>
      <c r="BV816" s="17" t="n"/>
      <c r="BW816" s="16" t="n"/>
      <c r="BX816" s="20" t="n"/>
      <c r="BY816" s="20" t="inlineStr">
        <is>
          <t>None</t>
        </is>
      </c>
      <c r="BZ816" s="17" t="n"/>
      <c r="CA816" s="16" t="n"/>
      <c r="CB816" s="20" t="n"/>
      <c r="CC816" s="20" t="inlineStr">
        <is>
          <t>None</t>
        </is>
      </c>
      <c r="CD816" s="17" t="n"/>
      <c r="CE816" s="16" t="n"/>
      <c r="CF816" s="20" t="n"/>
      <c r="CG816" s="20" t="inlineStr">
        <is>
          <t>None</t>
        </is>
      </c>
      <c r="CH816" s="17" t="n"/>
      <c r="CI816" s="16" t="n"/>
      <c r="CJ816" s="20" t="n"/>
      <c r="CK816" s="20" t="inlineStr">
        <is>
          <t>None</t>
        </is>
      </c>
      <c r="CL816" s="17" t="n"/>
      <c r="CM816" s="16" t="n"/>
      <c r="CN816" s="20" t="inlineStr">
        <is>
          <t>SOP 45-34</t>
        </is>
      </c>
      <c r="CO816" s="20" t="inlineStr">
        <is>
          <t>None</t>
        </is>
      </c>
      <c r="CP816" s="17" t="n"/>
      <c r="CQ816" s="16" t="n"/>
      <c r="CR816" s="20" t="n"/>
      <c r="CS816" s="20" t="inlineStr">
        <is>
          <t>None</t>
        </is>
      </c>
      <c r="CT816" s="17" t="n"/>
      <c r="CU816" s="16" t="n"/>
      <c r="CV816" s="20" t="n"/>
      <c r="CW816" s="20" t="inlineStr">
        <is>
          <t>None</t>
        </is>
      </c>
      <c r="CX816" s="17" t="n"/>
      <c r="CY816" s="16" t="n"/>
      <c r="CZ816" s="20" t="inlineStr">
        <is>
          <t>WTW Multimeter 3430 with FDO 925</t>
        </is>
      </c>
      <c r="DA816" s="20" t="inlineStr">
        <is>
          <t>None</t>
        </is>
      </c>
      <c r="DB816" s="17" t="n"/>
      <c r="DC816" s="16" t="n"/>
      <c r="DD816" s="20" t="n"/>
      <c r="DE816" s="20" t="inlineStr">
        <is>
          <t>None</t>
        </is>
      </c>
      <c r="DF816" s="17" t="n"/>
      <c r="DG816" s="16" t="n"/>
      <c r="DH816" s="20" t="inlineStr">
        <is>
          <t>SOP 45-09</t>
        </is>
      </c>
      <c r="DI816" s="20" t="inlineStr">
        <is>
          <t>None</t>
        </is>
      </c>
      <c r="DJ816" s="17" t="n"/>
      <c r="DK816" s="16" t="n"/>
      <c r="DL816" s="20" t="inlineStr">
        <is>
          <t>SOP 45-09 (SOP muss noch angepasst werden für VSS)</t>
        </is>
      </c>
      <c r="DM816" s="20" t="inlineStr">
        <is>
          <t>None</t>
        </is>
      </c>
      <c r="DN816" s="17" t="n"/>
      <c r="DO816" s="16" t="n"/>
      <c r="DP816" s="20" t="inlineStr">
        <is>
          <t>IC Organic Acids</t>
        </is>
      </c>
      <c r="DQ816" s="20" t="inlineStr">
        <is>
          <t>None</t>
        </is>
      </c>
      <c r="DR816" s="17" t="n"/>
      <c r="DS816" s="16" t="n"/>
      <c r="DT816" s="20" t="inlineStr">
        <is>
          <t>IC Organic Acids</t>
        </is>
      </c>
      <c r="DU816" s="20" t="inlineStr">
        <is>
          <t>None</t>
        </is>
      </c>
      <c r="DV816" s="17" t="n"/>
      <c r="DW816" s="16" t="n"/>
      <c r="DX816" s="20" t="inlineStr">
        <is>
          <t>IC Organic Acids</t>
        </is>
      </c>
      <c r="DY816" s="20" t="inlineStr">
        <is>
          <t>None</t>
        </is>
      </c>
      <c r="DZ816" s="17" t="n"/>
      <c r="EA816" s="16" t="n"/>
      <c r="EB816" s="20" t="inlineStr">
        <is>
          <t>IC Organic Acids</t>
        </is>
      </c>
      <c r="EC816" s="20" t="inlineStr">
        <is>
          <t>None</t>
        </is>
      </c>
      <c r="ED816" s="17" t="n"/>
      <c r="EE816" s="16" t="n"/>
      <c r="EF816" s="20" t="inlineStr">
        <is>
          <t>IC Organic Acids</t>
        </is>
      </c>
      <c r="EG816" s="20" t="inlineStr">
        <is>
          <t>None</t>
        </is>
      </c>
      <c r="EH816" s="17" t="n"/>
      <c r="EI816" s="16" t="n"/>
      <c r="EJ816" s="20" t="inlineStr">
        <is>
          <t>IC Organic Acids</t>
        </is>
      </c>
      <c r="EK816" s="20" t="inlineStr">
        <is>
          <t>None</t>
        </is>
      </c>
      <c r="EL816" s="17" t="n"/>
      <c r="EM816" s="16" t="n"/>
      <c r="EN816" s="20" t="inlineStr">
        <is>
          <t>IC Organic Acids</t>
        </is>
      </c>
      <c r="EO816" s="20" t="inlineStr">
        <is>
          <t>None</t>
        </is>
      </c>
      <c r="EP816" s="17" t="n"/>
      <c r="EQ816" s="16" t="n"/>
      <c r="ER816" s="20" t="inlineStr">
        <is>
          <t>IC Organic Acids</t>
        </is>
      </c>
      <c r="ES816" s="20" t="inlineStr">
        <is>
          <t>None</t>
        </is>
      </c>
      <c r="ET816" s="17" t="n"/>
      <c r="EU816" s="16" t="n"/>
      <c r="EV816" s="20" t="inlineStr">
        <is>
          <t>LC-MS</t>
        </is>
      </c>
      <c r="EW816" s="20" t="inlineStr">
        <is>
          <t>None</t>
        </is>
      </c>
      <c r="EX816" s="17" t="n"/>
      <c r="EY816" s="21" t="n"/>
      <c r="EZ816">
        <f>CONCATENATE(A816,B816)</f>
        <v/>
      </c>
      <c r="FA816">
        <f>CONCATENATE(SamplesX!A816,SamplesX!B816)</f>
        <v/>
      </c>
      <c r="FC816">
        <f>MATCH(EZ816,FA1:FA1008,0)</f>
        <v/>
      </c>
    </row>
    <row r="817">
      <c r="A817" s="16" t="n"/>
      <c r="B817" s="17" t="n"/>
      <c r="C817" s="10">
        <f>IF(ISNUMBER(FC817),INDIRECT("SamplesX!C"&amp;FC817),IF(ISNUMBER(FD817),INDIRECT("SamplesY!C"&amp;FD817),""))</f>
        <v/>
      </c>
      <c r="D817" s="12">
        <f>IF(ISNUMBER(FC817),INDIRECT("SamplesX!D"&amp;FC817),IF(ISNUMBER(FD817),INDIRECT("SamplesY!D"&amp;FD817),""))</f>
        <v/>
      </c>
      <c r="E817" s="12">
        <f>IF(ISNUMBER(FC817),INDIRECT("SamplesX!E"&amp;FC817),IF(ISNUMBER(FD817),INDIRECT("SamplesY!E"&amp;FD817),""))</f>
        <v/>
      </c>
      <c r="F817" s="11">
        <f>IF(ISNUMBER(FC817),INDIRECT("SamplesX!F"&amp;FC817),IF(ISNUMBER(FD817),INDIRECT("SamplesY!F"&amp;FD817),""))</f>
        <v/>
      </c>
      <c r="G817" s="18">
        <f>IF(ISNUMBER(FC817),INDIRECT("SamplesX!G"&amp;FC817),IF(ISNUMBER(FD817),INDIRECT("SamplesY!G"&amp;FD817),""))</f>
        <v/>
      </c>
      <c r="H817" s="19">
        <f>IF(ISNUMBER(FC817),INDIRECT("SamplesX!H"&amp;FC817),IF(ISNUMBER(FD817),INDIRECT("SamplesY!H"&amp;FD817),""))</f>
        <v/>
      </c>
      <c r="I817" s="16" t="n"/>
      <c r="J817" s="16" t="n"/>
      <c r="K817" s="16" t="n"/>
      <c r="L817" s="20" t="n"/>
      <c r="M817" s="20" t="inlineStr">
        <is>
          <t>None</t>
        </is>
      </c>
      <c r="N817" s="17" t="n"/>
      <c r="O817" s="16" t="n"/>
      <c r="P817" s="20" t="inlineStr">
        <is>
          <t>Shimadzu TOC-L</t>
        </is>
      </c>
      <c r="Q817" s="20" t="inlineStr">
        <is>
          <t>None</t>
        </is>
      </c>
      <c r="R817" s="17" t="n"/>
      <c r="S817" s="16" t="n"/>
      <c r="T817" s="20" t="inlineStr">
        <is>
          <t>Shimadzu TOC-L</t>
        </is>
      </c>
      <c r="U817" s="20" t="inlineStr">
        <is>
          <t>None</t>
        </is>
      </c>
      <c r="V817" s="17" t="n"/>
      <c r="W817" s="16" t="n"/>
      <c r="X817" s="20" t="n"/>
      <c r="Y817" s="20" t="inlineStr">
        <is>
          <t>None</t>
        </is>
      </c>
      <c r="Z817" s="17" t="n"/>
      <c r="AA817" s="16" t="n"/>
      <c r="AB817" s="20" t="n"/>
      <c r="AC817" s="20" t="inlineStr">
        <is>
          <t>None</t>
        </is>
      </c>
      <c r="AD817" s="17" t="n"/>
      <c r="AE817" s="16" t="n"/>
      <c r="AF817" s="20" t="inlineStr">
        <is>
          <t>IC Anionen</t>
        </is>
      </c>
      <c r="AG817" s="20" t="inlineStr">
        <is>
          <t>None</t>
        </is>
      </c>
      <c r="AH817" s="17" t="n"/>
      <c r="AI817" s="16" t="n"/>
      <c r="AJ817" s="20" t="n"/>
      <c r="AK817" s="20" t="inlineStr">
        <is>
          <t>None</t>
        </is>
      </c>
      <c r="AL817" s="17" t="n"/>
      <c r="AM817" s="16" t="n"/>
      <c r="AN817" s="20" t="inlineStr">
        <is>
          <t>IC Anionen</t>
        </is>
      </c>
      <c r="AO817" s="20" t="inlineStr">
        <is>
          <t>None</t>
        </is>
      </c>
      <c r="AP817" s="17" t="n"/>
      <c r="AQ817" s="16" t="n"/>
      <c r="AR817" s="20" t="n"/>
      <c r="AS817" s="20" t="inlineStr">
        <is>
          <t>None</t>
        </is>
      </c>
      <c r="AT817" s="17" t="n"/>
      <c r="AU817" s="16" t="n"/>
      <c r="AV817" s="20" t="n"/>
      <c r="AW817" s="20" t="inlineStr">
        <is>
          <t>None</t>
        </is>
      </c>
      <c r="AX817" s="17" t="n"/>
      <c r="AY817" s="16" t="n"/>
      <c r="AZ817" s="20" t="inlineStr">
        <is>
          <t>IC Anionen</t>
        </is>
      </c>
      <c r="BA817" s="20" t="inlineStr">
        <is>
          <t>None</t>
        </is>
      </c>
      <c r="BB817" s="17" t="n"/>
      <c r="BC817" s="16" t="n"/>
      <c r="BD817" s="20" t="inlineStr">
        <is>
          <t>IC Kationen</t>
        </is>
      </c>
      <c r="BE817" s="20" t="inlineStr">
        <is>
          <t>None</t>
        </is>
      </c>
      <c r="BF817" s="17" t="n"/>
      <c r="BG817" s="16" t="n"/>
      <c r="BH817" s="20" t="inlineStr">
        <is>
          <t>IC Kationen</t>
        </is>
      </c>
      <c r="BI817" s="20" t="inlineStr">
        <is>
          <t>None</t>
        </is>
      </c>
      <c r="BJ817" s="17" t="n"/>
      <c r="BK817" s="16" t="n"/>
      <c r="BL817" s="20" t="inlineStr">
        <is>
          <t>IC Kationen</t>
        </is>
      </c>
      <c r="BM817" s="20" t="inlineStr">
        <is>
          <t>None</t>
        </is>
      </c>
      <c r="BN817" s="17" t="n"/>
      <c r="BO817" s="16" t="n"/>
      <c r="BP817" s="20" t="inlineStr">
        <is>
          <t>IC Kationen</t>
        </is>
      </c>
      <c r="BQ817" s="20" t="inlineStr">
        <is>
          <t>None</t>
        </is>
      </c>
      <c r="BR817" s="17" t="n"/>
      <c r="BS817" s="16" t="n"/>
      <c r="BT817" s="20" t="inlineStr">
        <is>
          <t>IC Kationen</t>
        </is>
      </c>
      <c r="BU817" s="20" t="inlineStr">
        <is>
          <t>None</t>
        </is>
      </c>
      <c r="BV817" s="17" t="n"/>
      <c r="BW817" s="16" t="n"/>
      <c r="BX817" s="20" t="n"/>
      <c r="BY817" s="20" t="inlineStr">
        <is>
          <t>None</t>
        </is>
      </c>
      <c r="BZ817" s="17" t="n"/>
      <c r="CA817" s="16" t="n"/>
      <c r="CB817" s="20" t="n"/>
      <c r="CC817" s="20" t="inlineStr">
        <is>
          <t>None</t>
        </is>
      </c>
      <c r="CD817" s="17" t="n"/>
      <c r="CE817" s="16" t="n"/>
      <c r="CF817" s="20" t="n"/>
      <c r="CG817" s="20" t="inlineStr">
        <is>
          <t>None</t>
        </is>
      </c>
      <c r="CH817" s="17" t="n"/>
      <c r="CI817" s="16" t="n"/>
      <c r="CJ817" s="20" t="n"/>
      <c r="CK817" s="20" t="inlineStr">
        <is>
          <t>None</t>
        </is>
      </c>
      <c r="CL817" s="17" t="n"/>
      <c r="CM817" s="16" t="n"/>
      <c r="CN817" s="20" t="inlineStr">
        <is>
          <t>SOP 45-34</t>
        </is>
      </c>
      <c r="CO817" s="20" t="inlineStr">
        <is>
          <t>None</t>
        </is>
      </c>
      <c r="CP817" s="17" t="n"/>
      <c r="CQ817" s="16" t="n"/>
      <c r="CR817" s="20" t="n"/>
      <c r="CS817" s="20" t="inlineStr">
        <is>
          <t>None</t>
        </is>
      </c>
      <c r="CT817" s="17" t="n"/>
      <c r="CU817" s="16" t="n"/>
      <c r="CV817" s="20" t="n"/>
      <c r="CW817" s="20" t="inlineStr">
        <is>
          <t>None</t>
        </is>
      </c>
      <c r="CX817" s="17" t="n"/>
      <c r="CY817" s="16" t="n"/>
      <c r="CZ817" s="20" t="inlineStr">
        <is>
          <t>WTW Multimeter 3430 with FDO 925</t>
        </is>
      </c>
      <c r="DA817" s="20" t="inlineStr">
        <is>
          <t>None</t>
        </is>
      </c>
      <c r="DB817" s="17" t="n"/>
      <c r="DC817" s="16" t="n"/>
      <c r="DD817" s="20" t="n"/>
      <c r="DE817" s="20" t="inlineStr">
        <is>
          <t>None</t>
        </is>
      </c>
      <c r="DF817" s="17" t="n"/>
      <c r="DG817" s="16" t="n"/>
      <c r="DH817" s="20" t="inlineStr">
        <is>
          <t>SOP 45-09</t>
        </is>
      </c>
      <c r="DI817" s="20" t="inlineStr">
        <is>
          <t>None</t>
        </is>
      </c>
      <c r="DJ817" s="17" t="n"/>
      <c r="DK817" s="16" t="n"/>
      <c r="DL817" s="20" t="inlineStr">
        <is>
          <t>SOP 45-09 (SOP muss noch angepasst werden für VSS)</t>
        </is>
      </c>
      <c r="DM817" s="20" t="inlineStr">
        <is>
          <t>None</t>
        </is>
      </c>
      <c r="DN817" s="17" t="n"/>
      <c r="DO817" s="16" t="n"/>
      <c r="DP817" s="20" t="inlineStr">
        <is>
          <t>IC Organic Acids</t>
        </is>
      </c>
      <c r="DQ817" s="20" t="inlineStr">
        <is>
          <t>None</t>
        </is>
      </c>
      <c r="DR817" s="17" t="n"/>
      <c r="DS817" s="16" t="n"/>
      <c r="DT817" s="20" t="inlineStr">
        <is>
          <t>IC Organic Acids</t>
        </is>
      </c>
      <c r="DU817" s="20" t="inlineStr">
        <is>
          <t>None</t>
        </is>
      </c>
      <c r="DV817" s="17" t="n"/>
      <c r="DW817" s="16" t="n"/>
      <c r="DX817" s="20" t="inlineStr">
        <is>
          <t>IC Organic Acids</t>
        </is>
      </c>
      <c r="DY817" s="20" t="inlineStr">
        <is>
          <t>None</t>
        </is>
      </c>
      <c r="DZ817" s="17" t="n"/>
      <c r="EA817" s="16" t="n"/>
      <c r="EB817" s="20" t="inlineStr">
        <is>
          <t>IC Organic Acids</t>
        </is>
      </c>
      <c r="EC817" s="20" t="inlineStr">
        <is>
          <t>None</t>
        </is>
      </c>
      <c r="ED817" s="17" t="n"/>
      <c r="EE817" s="16" t="n"/>
      <c r="EF817" s="20" t="inlineStr">
        <is>
          <t>IC Organic Acids</t>
        </is>
      </c>
      <c r="EG817" s="20" t="inlineStr">
        <is>
          <t>None</t>
        </is>
      </c>
      <c r="EH817" s="17" t="n"/>
      <c r="EI817" s="16" t="n"/>
      <c r="EJ817" s="20" t="inlineStr">
        <is>
          <t>IC Organic Acids</t>
        </is>
      </c>
      <c r="EK817" s="20" t="inlineStr">
        <is>
          <t>None</t>
        </is>
      </c>
      <c r="EL817" s="17" t="n"/>
      <c r="EM817" s="16" t="n"/>
      <c r="EN817" s="20" t="inlineStr">
        <is>
          <t>IC Organic Acids</t>
        </is>
      </c>
      <c r="EO817" s="20" t="inlineStr">
        <is>
          <t>None</t>
        </is>
      </c>
      <c r="EP817" s="17" t="n"/>
      <c r="EQ817" s="16" t="n"/>
      <c r="ER817" s="20" t="inlineStr">
        <is>
          <t>IC Organic Acids</t>
        </is>
      </c>
      <c r="ES817" s="20" t="inlineStr">
        <is>
          <t>None</t>
        </is>
      </c>
      <c r="ET817" s="17" t="n"/>
      <c r="EU817" s="16" t="n"/>
      <c r="EV817" s="20" t="inlineStr">
        <is>
          <t>LC-MS</t>
        </is>
      </c>
      <c r="EW817" s="20" t="inlineStr">
        <is>
          <t>None</t>
        </is>
      </c>
      <c r="EX817" s="17" t="n"/>
      <c r="EY817" s="21" t="n"/>
      <c r="EZ817">
        <f>CONCATENATE(A817,B817)</f>
        <v/>
      </c>
      <c r="FA817">
        <f>CONCATENATE(SamplesX!A817,SamplesX!B817)</f>
        <v/>
      </c>
      <c r="FC817">
        <f>MATCH(EZ817,FA1:FA1008,0)</f>
        <v/>
      </c>
    </row>
    <row r="818">
      <c r="A818" s="16" t="n"/>
      <c r="B818" s="17" t="n"/>
      <c r="C818" s="10">
        <f>IF(ISNUMBER(FC818),INDIRECT("SamplesX!C"&amp;FC818),IF(ISNUMBER(FD818),INDIRECT("SamplesY!C"&amp;FD818),""))</f>
        <v/>
      </c>
      <c r="D818" s="12">
        <f>IF(ISNUMBER(FC818),INDIRECT("SamplesX!D"&amp;FC818),IF(ISNUMBER(FD818),INDIRECT("SamplesY!D"&amp;FD818),""))</f>
        <v/>
      </c>
      <c r="E818" s="12">
        <f>IF(ISNUMBER(FC818),INDIRECT("SamplesX!E"&amp;FC818),IF(ISNUMBER(FD818),INDIRECT("SamplesY!E"&amp;FD818),""))</f>
        <v/>
      </c>
      <c r="F818" s="11">
        <f>IF(ISNUMBER(FC818),INDIRECT("SamplesX!F"&amp;FC818),IF(ISNUMBER(FD818),INDIRECT("SamplesY!F"&amp;FD818),""))</f>
        <v/>
      </c>
      <c r="G818" s="18">
        <f>IF(ISNUMBER(FC818),INDIRECT("SamplesX!G"&amp;FC818),IF(ISNUMBER(FD818),INDIRECT("SamplesY!G"&amp;FD818),""))</f>
        <v/>
      </c>
      <c r="H818" s="19">
        <f>IF(ISNUMBER(FC818),INDIRECT("SamplesX!H"&amp;FC818),IF(ISNUMBER(FD818),INDIRECT("SamplesY!H"&amp;FD818),""))</f>
        <v/>
      </c>
      <c r="I818" s="16" t="n"/>
      <c r="J818" s="16" t="n"/>
      <c r="K818" s="16" t="n"/>
      <c r="L818" s="20" t="n"/>
      <c r="M818" s="20" t="inlineStr">
        <is>
          <t>None</t>
        </is>
      </c>
      <c r="N818" s="17" t="n"/>
      <c r="O818" s="16" t="n"/>
      <c r="P818" s="20" t="inlineStr">
        <is>
          <t>Shimadzu TOC-L</t>
        </is>
      </c>
      <c r="Q818" s="20" t="inlineStr">
        <is>
          <t>None</t>
        </is>
      </c>
      <c r="R818" s="17" t="n"/>
      <c r="S818" s="16" t="n"/>
      <c r="T818" s="20" t="inlineStr">
        <is>
          <t>Shimadzu TOC-L</t>
        </is>
      </c>
      <c r="U818" s="20" t="inlineStr">
        <is>
          <t>None</t>
        </is>
      </c>
      <c r="V818" s="17" t="n"/>
      <c r="W818" s="16" t="n"/>
      <c r="X818" s="20" t="n"/>
      <c r="Y818" s="20" t="inlineStr">
        <is>
          <t>None</t>
        </is>
      </c>
      <c r="Z818" s="17" t="n"/>
      <c r="AA818" s="16" t="n"/>
      <c r="AB818" s="20" t="n"/>
      <c r="AC818" s="20" t="inlineStr">
        <is>
          <t>None</t>
        </is>
      </c>
      <c r="AD818" s="17" t="n"/>
      <c r="AE818" s="16" t="n"/>
      <c r="AF818" s="20" t="inlineStr">
        <is>
          <t>IC Anionen</t>
        </is>
      </c>
      <c r="AG818" s="20" t="inlineStr">
        <is>
          <t>None</t>
        </is>
      </c>
      <c r="AH818" s="17" t="n"/>
      <c r="AI818" s="16" t="n"/>
      <c r="AJ818" s="20" t="n"/>
      <c r="AK818" s="20" t="inlineStr">
        <is>
          <t>None</t>
        </is>
      </c>
      <c r="AL818" s="17" t="n"/>
      <c r="AM818" s="16" t="n"/>
      <c r="AN818" s="20" t="inlineStr">
        <is>
          <t>IC Anionen</t>
        </is>
      </c>
      <c r="AO818" s="20" t="inlineStr">
        <is>
          <t>None</t>
        </is>
      </c>
      <c r="AP818" s="17" t="n"/>
      <c r="AQ818" s="16" t="n"/>
      <c r="AR818" s="20" t="n"/>
      <c r="AS818" s="20" t="inlineStr">
        <is>
          <t>None</t>
        </is>
      </c>
      <c r="AT818" s="17" t="n"/>
      <c r="AU818" s="16" t="n"/>
      <c r="AV818" s="20" t="n"/>
      <c r="AW818" s="20" t="inlineStr">
        <is>
          <t>None</t>
        </is>
      </c>
      <c r="AX818" s="17" t="n"/>
      <c r="AY818" s="16" t="n"/>
      <c r="AZ818" s="20" t="inlineStr">
        <is>
          <t>IC Anionen</t>
        </is>
      </c>
      <c r="BA818" s="20" t="inlineStr">
        <is>
          <t>None</t>
        </is>
      </c>
      <c r="BB818" s="17" t="n"/>
      <c r="BC818" s="16" t="n"/>
      <c r="BD818" s="20" t="inlineStr">
        <is>
          <t>IC Kationen</t>
        </is>
      </c>
      <c r="BE818" s="20" t="inlineStr">
        <is>
          <t>None</t>
        </is>
      </c>
      <c r="BF818" s="17" t="n"/>
      <c r="BG818" s="16" t="n"/>
      <c r="BH818" s="20" t="inlineStr">
        <is>
          <t>IC Kationen</t>
        </is>
      </c>
      <c r="BI818" s="20" t="inlineStr">
        <is>
          <t>None</t>
        </is>
      </c>
      <c r="BJ818" s="17" t="n"/>
      <c r="BK818" s="16" t="n"/>
      <c r="BL818" s="20" t="inlineStr">
        <is>
          <t>IC Kationen</t>
        </is>
      </c>
      <c r="BM818" s="20" t="inlineStr">
        <is>
          <t>None</t>
        </is>
      </c>
      <c r="BN818" s="17" t="n"/>
      <c r="BO818" s="16" t="n"/>
      <c r="BP818" s="20" t="inlineStr">
        <is>
          <t>IC Kationen</t>
        </is>
      </c>
      <c r="BQ818" s="20" t="inlineStr">
        <is>
          <t>None</t>
        </is>
      </c>
      <c r="BR818" s="17" t="n"/>
      <c r="BS818" s="16" t="n"/>
      <c r="BT818" s="20" t="inlineStr">
        <is>
          <t>IC Kationen</t>
        </is>
      </c>
      <c r="BU818" s="20" t="inlineStr">
        <is>
          <t>None</t>
        </is>
      </c>
      <c r="BV818" s="17" t="n"/>
      <c r="BW818" s="16" t="n"/>
      <c r="BX818" s="20" t="n"/>
      <c r="BY818" s="20" t="inlineStr">
        <is>
          <t>None</t>
        </is>
      </c>
      <c r="BZ818" s="17" t="n"/>
      <c r="CA818" s="16" t="n"/>
      <c r="CB818" s="20" t="n"/>
      <c r="CC818" s="20" t="inlineStr">
        <is>
          <t>None</t>
        </is>
      </c>
      <c r="CD818" s="17" t="n"/>
      <c r="CE818" s="16" t="n"/>
      <c r="CF818" s="20" t="n"/>
      <c r="CG818" s="20" t="inlineStr">
        <is>
          <t>None</t>
        </is>
      </c>
      <c r="CH818" s="17" t="n"/>
      <c r="CI818" s="16" t="n"/>
      <c r="CJ818" s="20" t="n"/>
      <c r="CK818" s="20" t="inlineStr">
        <is>
          <t>None</t>
        </is>
      </c>
      <c r="CL818" s="17" t="n"/>
      <c r="CM818" s="16" t="n"/>
      <c r="CN818" s="20" t="inlineStr">
        <is>
          <t>SOP 45-34</t>
        </is>
      </c>
      <c r="CO818" s="20" t="inlineStr">
        <is>
          <t>None</t>
        </is>
      </c>
      <c r="CP818" s="17" t="n"/>
      <c r="CQ818" s="16" t="n"/>
      <c r="CR818" s="20" t="n"/>
      <c r="CS818" s="20" t="inlineStr">
        <is>
          <t>None</t>
        </is>
      </c>
      <c r="CT818" s="17" t="n"/>
      <c r="CU818" s="16" t="n"/>
      <c r="CV818" s="20" t="n"/>
      <c r="CW818" s="20" t="inlineStr">
        <is>
          <t>None</t>
        </is>
      </c>
      <c r="CX818" s="17" t="n"/>
      <c r="CY818" s="16" t="n"/>
      <c r="CZ818" s="20" t="inlineStr">
        <is>
          <t>WTW Multimeter 3430 with FDO 925</t>
        </is>
      </c>
      <c r="DA818" s="20" t="inlineStr">
        <is>
          <t>None</t>
        </is>
      </c>
      <c r="DB818" s="17" t="n"/>
      <c r="DC818" s="16" t="n"/>
      <c r="DD818" s="20" t="n"/>
      <c r="DE818" s="20" t="inlineStr">
        <is>
          <t>None</t>
        </is>
      </c>
      <c r="DF818" s="17" t="n"/>
      <c r="DG818" s="16" t="n"/>
      <c r="DH818" s="20" t="inlineStr">
        <is>
          <t>SOP 45-09</t>
        </is>
      </c>
      <c r="DI818" s="20" t="inlineStr">
        <is>
          <t>None</t>
        </is>
      </c>
      <c r="DJ818" s="17" t="n"/>
      <c r="DK818" s="16" t="n"/>
      <c r="DL818" s="20" t="inlineStr">
        <is>
          <t>SOP 45-09 (SOP muss noch angepasst werden für VSS)</t>
        </is>
      </c>
      <c r="DM818" s="20" t="inlineStr">
        <is>
          <t>None</t>
        </is>
      </c>
      <c r="DN818" s="17" t="n"/>
      <c r="DO818" s="16" t="n"/>
      <c r="DP818" s="20" t="inlineStr">
        <is>
          <t>IC Organic Acids</t>
        </is>
      </c>
      <c r="DQ818" s="20" t="inlineStr">
        <is>
          <t>None</t>
        </is>
      </c>
      <c r="DR818" s="17" t="n"/>
      <c r="DS818" s="16" t="n"/>
      <c r="DT818" s="20" t="inlineStr">
        <is>
          <t>IC Organic Acids</t>
        </is>
      </c>
      <c r="DU818" s="20" t="inlineStr">
        <is>
          <t>None</t>
        </is>
      </c>
      <c r="DV818" s="17" t="n"/>
      <c r="DW818" s="16" t="n"/>
      <c r="DX818" s="20" t="inlineStr">
        <is>
          <t>IC Organic Acids</t>
        </is>
      </c>
      <c r="DY818" s="20" t="inlineStr">
        <is>
          <t>None</t>
        </is>
      </c>
      <c r="DZ818" s="17" t="n"/>
      <c r="EA818" s="16" t="n"/>
      <c r="EB818" s="20" t="inlineStr">
        <is>
          <t>IC Organic Acids</t>
        </is>
      </c>
      <c r="EC818" s="20" t="inlineStr">
        <is>
          <t>None</t>
        </is>
      </c>
      <c r="ED818" s="17" t="n"/>
      <c r="EE818" s="16" t="n"/>
      <c r="EF818" s="20" t="inlineStr">
        <is>
          <t>IC Organic Acids</t>
        </is>
      </c>
      <c r="EG818" s="20" t="inlineStr">
        <is>
          <t>None</t>
        </is>
      </c>
      <c r="EH818" s="17" t="n"/>
      <c r="EI818" s="16" t="n"/>
      <c r="EJ818" s="20" t="inlineStr">
        <is>
          <t>IC Organic Acids</t>
        </is>
      </c>
      <c r="EK818" s="20" t="inlineStr">
        <is>
          <t>None</t>
        </is>
      </c>
      <c r="EL818" s="17" t="n"/>
      <c r="EM818" s="16" t="n"/>
      <c r="EN818" s="20" t="inlineStr">
        <is>
          <t>IC Organic Acids</t>
        </is>
      </c>
      <c r="EO818" s="20" t="inlineStr">
        <is>
          <t>None</t>
        </is>
      </c>
      <c r="EP818" s="17" t="n"/>
      <c r="EQ818" s="16" t="n"/>
      <c r="ER818" s="20" t="inlineStr">
        <is>
          <t>IC Organic Acids</t>
        </is>
      </c>
      <c r="ES818" s="20" t="inlineStr">
        <is>
          <t>None</t>
        </is>
      </c>
      <c r="ET818" s="17" t="n"/>
      <c r="EU818" s="16" t="n"/>
      <c r="EV818" s="20" t="inlineStr">
        <is>
          <t>LC-MS</t>
        </is>
      </c>
      <c r="EW818" s="20" t="inlineStr">
        <is>
          <t>None</t>
        </is>
      </c>
      <c r="EX818" s="17" t="n"/>
      <c r="EY818" s="21" t="n"/>
      <c r="EZ818">
        <f>CONCATENATE(A818,B818)</f>
        <v/>
      </c>
      <c r="FA818">
        <f>CONCATENATE(SamplesX!A818,SamplesX!B818)</f>
        <v/>
      </c>
      <c r="FC818">
        <f>MATCH(EZ818,FA1:FA1008,0)</f>
        <v/>
      </c>
    </row>
    <row r="819">
      <c r="A819" s="16" t="n"/>
      <c r="B819" s="17" t="n"/>
      <c r="C819" s="10">
        <f>IF(ISNUMBER(FC819),INDIRECT("SamplesX!C"&amp;FC819),IF(ISNUMBER(FD819),INDIRECT("SamplesY!C"&amp;FD819),""))</f>
        <v/>
      </c>
      <c r="D819" s="12">
        <f>IF(ISNUMBER(FC819),INDIRECT("SamplesX!D"&amp;FC819),IF(ISNUMBER(FD819),INDIRECT("SamplesY!D"&amp;FD819),""))</f>
        <v/>
      </c>
      <c r="E819" s="12">
        <f>IF(ISNUMBER(FC819),INDIRECT("SamplesX!E"&amp;FC819),IF(ISNUMBER(FD819),INDIRECT("SamplesY!E"&amp;FD819),""))</f>
        <v/>
      </c>
      <c r="F819" s="11">
        <f>IF(ISNUMBER(FC819),INDIRECT("SamplesX!F"&amp;FC819),IF(ISNUMBER(FD819),INDIRECT("SamplesY!F"&amp;FD819),""))</f>
        <v/>
      </c>
      <c r="G819" s="18">
        <f>IF(ISNUMBER(FC819),INDIRECT("SamplesX!G"&amp;FC819),IF(ISNUMBER(FD819),INDIRECT("SamplesY!G"&amp;FD819),""))</f>
        <v/>
      </c>
      <c r="H819" s="19">
        <f>IF(ISNUMBER(FC819),INDIRECT("SamplesX!H"&amp;FC819),IF(ISNUMBER(FD819),INDIRECT("SamplesY!H"&amp;FD819),""))</f>
        <v/>
      </c>
      <c r="I819" s="16" t="n"/>
      <c r="J819" s="16" t="n"/>
      <c r="K819" s="16" t="n"/>
      <c r="L819" s="20" t="n"/>
      <c r="M819" s="20" t="inlineStr">
        <is>
          <t>None</t>
        </is>
      </c>
      <c r="N819" s="17" t="n"/>
      <c r="O819" s="16" t="n"/>
      <c r="P819" s="20" t="inlineStr">
        <is>
          <t>Shimadzu TOC-L</t>
        </is>
      </c>
      <c r="Q819" s="20" t="inlineStr">
        <is>
          <t>None</t>
        </is>
      </c>
      <c r="R819" s="17" t="n"/>
      <c r="S819" s="16" t="n"/>
      <c r="T819" s="20" t="inlineStr">
        <is>
          <t>Shimadzu TOC-L</t>
        </is>
      </c>
      <c r="U819" s="20" t="inlineStr">
        <is>
          <t>None</t>
        </is>
      </c>
      <c r="V819" s="17" t="n"/>
      <c r="W819" s="16" t="n"/>
      <c r="X819" s="20" t="n"/>
      <c r="Y819" s="20" t="inlineStr">
        <is>
          <t>None</t>
        </is>
      </c>
      <c r="Z819" s="17" t="n"/>
      <c r="AA819" s="16" t="n"/>
      <c r="AB819" s="20" t="n"/>
      <c r="AC819" s="20" t="inlineStr">
        <is>
          <t>None</t>
        </is>
      </c>
      <c r="AD819" s="17" t="n"/>
      <c r="AE819" s="16" t="n"/>
      <c r="AF819" s="20" t="inlineStr">
        <is>
          <t>IC Anionen</t>
        </is>
      </c>
      <c r="AG819" s="20" t="inlineStr">
        <is>
          <t>None</t>
        </is>
      </c>
      <c r="AH819" s="17" t="n"/>
      <c r="AI819" s="16" t="n"/>
      <c r="AJ819" s="20" t="n"/>
      <c r="AK819" s="20" t="inlineStr">
        <is>
          <t>None</t>
        </is>
      </c>
      <c r="AL819" s="17" t="n"/>
      <c r="AM819" s="16" t="n"/>
      <c r="AN819" s="20" t="inlineStr">
        <is>
          <t>IC Anionen</t>
        </is>
      </c>
      <c r="AO819" s="20" t="inlineStr">
        <is>
          <t>None</t>
        </is>
      </c>
      <c r="AP819" s="17" t="n"/>
      <c r="AQ819" s="16" t="n"/>
      <c r="AR819" s="20" t="n"/>
      <c r="AS819" s="20" t="inlineStr">
        <is>
          <t>None</t>
        </is>
      </c>
      <c r="AT819" s="17" t="n"/>
      <c r="AU819" s="16" t="n"/>
      <c r="AV819" s="20" t="n"/>
      <c r="AW819" s="20" t="inlineStr">
        <is>
          <t>None</t>
        </is>
      </c>
      <c r="AX819" s="17" t="n"/>
      <c r="AY819" s="16" t="n"/>
      <c r="AZ819" s="20" t="inlineStr">
        <is>
          <t>IC Anionen</t>
        </is>
      </c>
      <c r="BA819" s="20" t="inlineStr">
        <is>
          <t>None</t>
        </is>
      </c>
      <c r="BB819" s="17" t="n"/>
      <c r="BC819" s="16" t="n"/>
      <c r="BD819" s="20" t="inlineStr">
        <is>
          <t>IC Kationen</t>
        </is>
      </c>
      <c r="BE819" s="20" t="inlineStr">
        <is>
          <t>None</t>
        </is>
      </c>
      <c r="BF819" s="17" t="n"/>
      <c r="BG819" s="16" t="n"/>
      <c r="BH819" s="20" t="inlineStr">
        <is>
          <t>IC Kationen</t>
        </is>
      </c>
      <c r="BI819" s="20" t="inlineStr">
        <is>
          <t>None</t>
        </is>
      </c>
      <c r="BJ819" s="17" t="n"/>
      <c r="BK819" s="16" t="n"/>
      <c r="BL819" s="20" t="inlineStr">
        <is>
          <t>IC Kationen</t>
        </is>
      </c>
      <c r="BM819" s="20" t="inlineStr">
        <is>
          <t>None</t>
        </is>
      </c>
      <c r="BN819" s="17" t="n"/>
      <c r="BO819" s="16" t="n"/>
      <c r="BP819" s="20" t="inlineStr">
        <is>
          <t>IC Kationen</t>
        </is>
      </c>
      <c r="BQ819" s="20" t="inlineStr">
        <is>
          <t>None</t>
        </is>
      </c>
      <c r="BR819" s="17" t="n"/>
      <c r="BS819" s="16" t="n"/>
      <c r="BT819" s="20" t="inlineStr">
        <is>
          <t>IC Kationen</t>
        </is>
      </c>
      <c r="BU819" s="20" t="inlineStr">
        <is>
          <t>None</t>
        </is>
      </c>
      <c r="BV819" s="17" t="n"/>
      <c r="BW819" s="16" t="n"/>
      <c r="BX819" s="20" t="n"/>
      <c r="BY819" s="20" t="inlineStr">
        <is>
          <t>None</t>
        </is>
      </c>
      <c r="BZ819" s="17" t="n"/>
      <c r="CA819" s="16" t="n"/>
      <c r="CB819" s="20" t="n"/>
      <c r="CC819" s="20" t="inlineStr">
        <is>
          <t>None</t>
        </is>
      </c>
      <c r="CD819" s="17" t="n"/>
      <c r="CE819" s="16" t="n"/>
      <c r="CF819" s="20" t="n"/>
      <c r="CG819" s="20" t="inlineStr">
        <is>
          <t>None</t>
        </is>
      </c>
      <c r="CH819" s="17" t="n"/>
      <c r="CI819" s="16" t="n"/>
      <c r="CJ819" s="20" t="n"/>
      <c r="CK819" s="20" t="inlineStr">
        <is>
          <t>None</t>
        </is>
      </c>
      <c r="CL819" s="17" t="n"/>
      <c r="CM819" s="16" t="n"/>
      <c r="CN819" s="20" t="inlineStr">
        <is>
          <t>SOP 45-34</t>
        </is>
      </c>
      <c r="CO819" s="20" t="inlineStr">
        <is>
          <t>None</t>
        </is>
      </c>
      <c r="CP819" s="17" t="n"/>
      <c r="CQ819" s="16" t="n"/>
      <c r="CR819" s="20" t="n"/>
      <c r="CS819" s="20" t="inlineStr">
        <is>
          <t>None</t>
        </is>
      </c>
      <c r="CT819" s="17" t="n"/>
      <c r="CU819" s="16" t="n"/>
      <c r="CV819" s="20" t="n"/>
      <c r="CW819" s="20" t="inlineStr">
        <is>
          <t>None</t>
        </is>
      </c>
      <c r="CX819" s="17" t="n"/>
      <c r="CY819" s="16" t="n"/>
      <c r="CZ819" s="20" t="inlineStr">
        <is>
          <t>WTW Multimeter 3430 with FDO 925</t>
        </is>
      </c>
      <c r="DA819" s="20" t="inlineStr">
        <is>
          <t>None</t>
        </is>
      </c>
      <c r="DB819" s="17" t="n"/>
      <c r="DC819" s="16" t="n"/>
      <c r="DD819" s="20" t="n"/>
      <c r="DE819" s="20" t="inlineStr">
        <is>
          <t>None</t>
        </is>
      </c>
      <c r="DF819" s="17" t="n"/>
      <c r="DG819" s="16" t="n"/>
      <c r="DH819" s="20" t="inlineStr">
        <is>
          <t>SOP 45-09</t>
        </is>
      </c>
      <c r="DI819" s="20" t="inlineStr">
        <is>
          <t>None</t>
        </is>
      </c>
      <c r="DJ819" s="17" t="n"/>
      <c r="DK819" s="16" t="n"/>
      <c r="DL819" s="20" t="inlineStr">
        <is>
          <t>SOP 45-09 (SOP muss noch angepasst werden für VSS)</t>
        </is>
      </c>
      <c r="DM819" s="20" t="inlineStr">
        <is>
          <t>None</t>
        </is>
      </c>
      <c r="DN819" s="17" t="n"/>
      <c r="DO819" s="16" t="n"/>
      <c r="DP819" s="20" t="inlineStr">
        <is>
          <t>IC Organic Acids</t>
        </is>
      </c>
      <c r="DQ819" s="20" t="inlineStr">
        <is>
          <t>None</t>
        </is>
      </c>
      <c r="DR819" s="17" t="n"/>
      <c r="DS819" s="16" t="n"/>
      <c r="DT819" s="20" t="inlineStr">
        <is>
          <t>IC Organic Acids</t>
        </is>
      </c>
      <c r="DU819" s="20" t="inlineStr">
        <is>
          <t>None</t>
        </is>
      </c>
      <c r="DV819" s="17" t="n"/>
      <c r="DW819" s="16" t="n"/>
      <c r="DX819" s="20" t="inlineStr">
        <is>
          <t>IC Organic Acids</t>
        </is>
      </c>
      <c r="DY819" s="20" t="inlineStr">
        <is>
          <t>None</t>
        </is>
      </c>
      <c r="DZ819" s="17" t="n"/>
      <c r="EA819" s="16" t="n"/>
      <c r="EB819" s="20" t="inlineStr">
        <is>
          <t>IC Organic Acids</t>
        </is>
      </c>
      <c r="EC819" s="20" t="inlineStr">
        <is>
          <t>None</t>
        </is>
      </c>
      <c r="ED819" s="17" t="n"/>
      <c r="EE819" s="16" t="n"/>
      <c r="EF819" s="20" t="inlineStr">
        <is>
          <t>IC Organic Acids</t>
        </is>
      </c>
      <c r="EG819" s="20" t="inlineStr">
        <is>
          <t>None</t>
        </is>
      </c>
      <c r="EH819" s="17" t="n"/>
      <c r="EI819" s="16" t="n"/>
      <c r="EJ819" s="20" t="inlineStr">
        <is>
          <t>IC Organic Acids</t>
        </is>
      </c>
      <c r="EK819" s="20" t="inlineStr">
        <is>
          <t>None</t>
        </is>
      </c>
      <c r="EL819" s="17" t="n"/>
      <c r="EM819" s="16" t="n"/>
      <c r="EN819" s="20" t="inlineStr">
        <is>
          <t>IC Organic Acids</t>
        </is>
      </c>
      <c r="EO819" s="20" t="inlineStr">
        <is>
          <t>None</t>
        </is>
      </c>
      <c r="EP819" s="17" t="n"/>
      <c r="EQ819" s="16" t="n"/>
      <c r="ER819" s="20" t="inlineStr">
        <is>
          <t>IC Organic Acids</t>
        </is>
      </c>
      <c r="ES819" s="20" t="inlineStr">
        <is>
          <t>None</t>
        </is>
      </c>
      <c r="ET819" s="17" t="n"/>
      <c r="EU819" s="16" t="n"/>
      <c r="EV819" s="20" t="inlineStr">
        <is>
          <t>LC-MS</t>
        </is>
      </c>
      <c r="EW819" s="20" t="inlineStr">
        <is>
          <t>None</t>
        </is>
      </c>
      <c r="EX819" s="17" t="n"/>
      <c r="EY819" s="21" t="n"/>
      <c r="EZ819">
        <f>CONCATENATE(A819,B819)</f>
        <v/>
      </c>
      <c r="FA819">
        <f>CONCATENATE(SamplesX!A819,SamplesX!B819)</f>
        <v/>
      </c>
      <c r="FC819">
        <f>MATCH(EZ819,FA1:FA1008,0)</f>
        <v/>
      </c>
    </row>
    <row r="820">
      <c r="A820" s="16" t="n"/>
      <c r="B820" s="17" t="n"/>
      <c r="C820" s="10">
        <f>IF(ISNUMBER(FC820),INDIRECT("SamplesX!C"&amp;FC820),IF(ISNUMBER(FD820),INDIRECT("SamplesY!C"&amp;FD820),""))</f>
        <v/>
      </c>
      <c r="D820" s="12">
        <f>IF(ISNUMBER(FC820),INDIRECT("SamplesX!D"&amp;FC820),IF(ISNUMBER(FD820),INDIRECT("SamplesY!D"&amp;FD820),""))</f>
        <v/>
      </c>
      <c r="E820" s="12">
        <f>IF(ISNUMBER(FC820),INDIRECT("SamplesX!E"&amp;FC820),IF(ISNUMBER(FD820),INDIRECT("SamplesY!E"&amp;FD820),""))</f>
        <v/>
      </c>
      <c r="F820" s="11">
        <f>IF(ISNUMBER(FC820),INDIRECT("SamplesX!F"&amp;FC820),IF(ISNUMBER(FD820),INDIRECT("SamplesY!F"&amp;FD820),""))</f>
        <v/>
      </c>
      <c r="G820" s="18">
        <f>IF(ISNUMBER(FC820),INDIRECT("SamplesX!G"&amp;FC820),IF(ISNUMBER(FD820),INDIRECT("SamplesY!G"&amp;FD820),""))</f>
        <v/>
      </c>
      <c r="H820" s="19">
        <f>IF(ISNUMBER(FC820),INDIRECT("SamplesX!H"&amp;FC820),IF(ISNUMBER(FD820),INDIRECT("SamplesY!H"&amp;FD820),""))</f>
        <v/>
      </c>
      <c r="I820" s="16" t="n"/>
      <c r="J820" s="16" t="n"/>
      <c r="K820" s="16" t="n"/>
      <c r="L820" s="20" t="n"/>
      <c r="M820" s="20" t="inlineStr">
        <is>
          <t>None</t>
        </is>
      </c>
      <c r="N820" s="17" t="n"/>
      <c r="O820" s="16" t="n"/>
      <c r="P820" s="20" t="inlineStr">
        <is>
          <t>Shimadzu TOC-L</t>
        </is>
      </c>
      <c r="Q820" s="20" t="inlineStr">
        <is>
          <t>None</t>
        </is>
      </c>
      <c r="R820" s="17" t="n"/>
      <c r="S820" s="16" t="n"/>
      <c r="T820" s="20" t="inlineStr">
        <is>
          <t>Shimadzu TOC-L</t>
        </is>
      </c>
      <c r="U820" s="20" t="inlineStr">
        <is>
          <t>None</t>
        </is>
      </c>
      <c r="V820" s="17" t="n"/>
      <c r="W820" s="16" t="n"/>
      <c r="X820" s="20" t="n"/>
      <c r="Y820" s="20" t="inlineStr">
        <is>
          <t>None</t>
        </is>
      </c>
      <c r="Z820" s="17" t="n"/>
      <c r="AA820" s="16" t="n"/>
      <c r="AB820" s="20" t="n"/>
      <c r="AC820" s="20" t="inlineStr">
        <is>
          <t>None</t>
        </is>
      </c>
      <c r="AD820" s="17" t="n"/>
      <c r="AE820" s="16" t="n"/>
      <c r="AF820" s="20" t="inlineStr">
        <is>
          <t>IC Anionen</t>
        </is>
      </c>
      <c r="AG820" s="20" t="inlineStr">
        <is>
          <t>None</t>
        </is>
      </c>
      <c r="AH820" s="17" t="n"/>
      <c r="AI820" s="16" t="n"/>
      <c r="AJ820" s="20" t="n"/>
      <c r="AK820" s="20" t="inlineStr">
        <is>
          <t>None</t>
        </is>
      </c>
      <c r="AL820" s="17" t="n"/>
      <c r="AM820" s="16" t="n"/>
      <c r="AN820" s="20" t="inlineStr">
        <is>
          <t>IC Anionen</t>
        </is>
      </c>
      <c r="AO820" s="20" t="inlineStr">
        <is>
          <t>None</t>
        </is>
      </c>
      <c r="AP820" s="17" t="n"/>
      <c r="AQ820" s="16" t="n"/>
      <c r="AR820" s="20" t="n"/>
      <c r="AS820" s="20" t="inlineStr">
        <is>
          <t>None</t>
        </is>
      </c>
      <c r="AT820" s="17" t="n"/>
      <c r="AU820" s="16" t="n"/>
      <c r="AV820" s="20" t="n"/>
      <c r="AW820" s="20" t="inlineStr">
        <is>
          <t>None</t>
        </is>
      </c>
      <c r="AX820" s="17" t="n"/>
      <c r="AY820" s="16" t="n"/>
      <c r="AZ820" s="20" t="inlineStr">
        <is>
          <t>IC Anionen</t>
        </is>
      </c>
      <c r="BA820" s="20" t="inlineStr">
        <is>
          <t>None</t>
        </is>
      </c>
      <c r="BB820" s="17" t="n"/>
      <c r="BC820" s="16" t="n"/>
      <c r="BD820" s="20" t="inlineStr">
        <is>
          <t>IC Kationen</t>
        </is>
      </c>
      <c r="BE820" s="20" t="inlineStr">
        <is>
          <t>None</t>
        </is>
      </c>
      <c r="BF820" s="17" t="n"/>
      <c r="BG820" s="16" t="n"/>
      <c r="BH820" s="20" t="inlineStr">
        <is>
          <t>IC Kationen</t>
        </is>
      </c>
      <c r="BI820" s="20" t="inlineStr">
        <is>
          <t>None</t>
        </is>
      </c>
      <c r="BJ820" s="17" t="n"/>
      <c r="BK820" s="16" t="n"/>
      <c r="BL820" s="20" t="inlineStr">
        <is>
          <t>IC Kationen</t>
        </is>
      </c>
      <c r="BM820" s="20" t="inlineStr">
        <is>
          <t>None</t>
        </is>
      </c>
      <c r="BN820" s="17" t="n"/>
      <c r="BO820" s="16" t="n"/>
      <c r="BP820" s="20" t="inlineStr">
        <is>
          <t>IC Kationen</t>
        </is>
      </c>
      <c r="BQ820" s="20" t="inlineStr">
        <is>
          <t>None</t>
        </is>
      </c>
      <c r="BR820" s="17" t="n"/>
      <c r="BS820" s="16" t="n"/>
      <c r="BT820" s="20" t="inlineStr">
        <is>
          <t>IC Kationen</t>
        </is>
      </c>
      <c r="BU820" s="20" t="inlineStr">
        <is>
          <t>None</t>
        </is>
      </c>
      <c r="BV820" s="17" t="n"/>
      <c r="BW820" s="16" t="n"/>
      <c r="BX820" s="20" t="n"/>
      <c r="BY820" s="20" t="inlineStr">
        <is>
          <t>None</t>
        </is>
      </c>
      <c r="BZ820" s="17" t="n"/>
      <c r="CA820" s="16" t="n"/>
      <c r="CB820" s="20" t="n"/>
      <c r="CC820" s="20" t="inlineStr">
        <is>
          <t>None</t>
        </is>
      </c>
      <c r="CD820" s="17" t="n"/>
      <c r="CE820" s="16" t="n"/>
      <c r="CF820" s="20" t="n"/>
      <c r="CG820" s="20" t="inlineStr">
        <is>
          <t>None</t>
        </is>
      </c>
      <c r="CH820" s="17" t="n"/>
      <c r="CI820" s="16" t="n"/>
      <c r="CJ820" s="20" t="n"/>
      <c r="CK820" s="20" t="inlineStr">
        <is>
          <t>None</t>
        </is>
      </c>
      <c r="CL820" s="17" t="n"/>
      <c r="CM820" s="16" t="n"/>
      <c r="CN820" s="20" t="inlineStr">
        <is>
          <t>SOP 45-34</t>
        </is>
      </c>
      <c r="CO820" s="20" t="inlineStr">
        <is>
          <t>None</t>
        </is>
      </c>
      <c r="CP820" s="17" t="n"/>
      <c r="CQ820" s="16" t="n"/>
      <c r="CR820" s="20" t="n"/>
      <c r="CS820" s="20" t="inlineStr">
        <is>
          <t>None</t>
        </is>
      </c>
      <c r="CT820" s="17" t="n"/>
      <c r="CU820" s="16" t="n"/>
      <c r="CV820" s="20" t="n"/>
      <c r="CW820" s="20" t="inlineStr">
        <is>
          <t>None</t>
        </is>
      </c>
      <c r="CX820" s="17" t="n"/>
      <c r="CY820" s="16" t="n"/>
      <c r="CZ820" s="20" t="inlineStr">
        <is>
          <t>WTW Multimeter 3430 with FDO 925</t>
        </is>
      </c>
      <c r="DA820" s="20" t="inlineStr">
        <is>
          <t>None</t>
        </is>
      </c>
      <c r="DB820" s="17" t="n"/>
      <c r="DC820" s="16" t="n"/>
      <c r="DD820" s="20" t="n"/>
      <c r="DE820" s="20" t="inlineStr">
        <is>
          <t>None</t>
        </is>
      </c>
      <c r="DF820" s="17" t="n"/>
      <c r="DG820" s="16" t="n"/>
      <c r="DH820" s="20" t="inlineStr">
        <is>
          <t>SOP 45-09</t>
        </is>
      </c>
      <c r="DI820" s="20" t="inlineStr">
        <is>
          <t>None</t>
        </is>
      </c>
      <c r="DJ820" s="17" t="n"/>
      <c r="DK820" s="16" t="n"/>
      <c r="DL820" s="20" t="inlineStr">
        <is>
          <t>SOP 45-09 (SOP muss noch angepasst werden für VSS)</t>
        </is>
      </c>
      <c r="DM820" s="20" t="inlineStr">
        <is>
          <t>None</t>
        </is>
      </c>
      <c r="DN820" s="17" t="n"/>
      <c r="DO820" s="16" t="n"/>
      <c r="DP820" s="20" t="inlineStr">
        <is>
          <t>IC Organic Acids</t>
        </is>
      </c>
      <c r="DQ820" s="20" t="inlineStr">
        <is>
          <t>None</t>
        </is>
      </c>
      <c r="DR820" s="17" t="n"/>
      <c r="DS820" s="16" t="n"/>
      <c r="DT820" s="20" t="inlineStr">
        <is>
          <t>IC Organic Acids</t>
        </is>
      </c>
      <c r="DU820" s="20" t="inlineStr">
        <is>
          <t>None</t>
        </is>
      </c>
      <c r="DV820" s="17" t="n"/>
      <c r="DW820" s="16" t="n"/>
      <c r="DX820" s="20" t="inlineStr">
        <is>
          <t>IC Organic Acids</t>
        </is>
      </c>
      <c r="DY820" s="20" t="inlineStr">
        <is>
          <t>None</t>
        </is>
      </c>
      <c r="DZ820" s="17" t="n"/>
      <c r="EA820" s="16" t="n"/>
      <c r="EB820" s="20" t="inlineStr">
        <is>
          <t>IC Organic Acids</t>
        </is>
      </c>
      <c r="EC820" s="20" t="inlineStr">
        <is>
          <t>None</t>
        </is>
      </c>
      <c r="ED820" s="17" t="n"/>
      <c r="EE820" s="16" t="n"/>
      <c r="EF820" s="20" t="inlineStr">
        <is>
          <t>IC Organic Acids</t>
        </is>
      </c>
      <c r="EG820" s="20" t="inlineStr">
        <is>
          <t>None</t>
        </is>
      </c>
      <c r="EH820" s="17" t="n"/>
      <c r="EI820" s="16" t="n"/>
      <c r="EJ820" s="20" t="inlineStr">
        <is>
          <t>IC Organic Acids</t>
        </is>
      </c>
      <c r="EK820" s="20" t="inlineStr">
        <is>
          <t>None</t>
        </is>
      </c>
      <c r="EL820" s="17" t="n"/>
      <c r="EM820" s="16" t="n"/>
      <c r="EN820" s="20" t="inlineStr">
        <is>
          <t>IC Organic Acids</t>
        </is>
      </c>
      <c r="EO820" s="20" t="inlineStr">
        <is>
          <t>None</t>
        </is>
      </c>
      <c r="EP820" s="17" t="n"/>
      <c r="EQ820" s="16" t="n"/>
      <c r="ER820" s="20" t="inlineStr">
        <is>
          <t>IC Organic Acids</t>
        </is>
      </c>
      <c r="ES820" s="20" t="inlineStr">
        <is>
          <t>None</t>
        </is>
      </c>
      <c r="ET820" s="17" t="n"/>
      <c r="EU820" s="16" t="n"/>
      <c r="EV820" s="20" t="inlineStr">
        <is>
          <t>LC-MS</t>
        </is>
      </c>
      <c r="EW820" s="20" t="inlineStr">
        <is>
          <t>None</t>
        </is>
      </c>
      <c r="EX820" s="17" t="n"/>
      <c r="EY820" s="21" t="n"/>
      <c r="EZ820">
        <f>CONCATENATE(A820,B820)</f>
        <v/>
      </c>
      <c r="FA820">
        <f>CONCATENATE(SamplesX!A820,SamplesX!B820)</f>
        <v/>
      </c>
      <c r="FC820">
        <f>MATCH(EZ820,FA1:FA1008,0)</f>
        <v/>
      </c>
    </row>
    <row r="821">
      <c r="A821" s="16" t="n"/>
      <c r="B821" s="17" t="n"/>
      <c r="C821" s="10">
        <f>IF(ISNUMBER(FC821),INDIRECT("SamplesX!C"&amp;FC821),IF(ISNUMBER(FD821),INDIRECT("SamplesY!C"&amp;FD821),""))</f>
        <v/>
      </c>
      <c r="D821" s="12">
        <f>IF(ISNUMBER(FC821),INDIRECT("SamplesX!D"&amp;FC821),IF(ISNUMBER(FD821),INDIRECT("SamplesY!D"&amp;FD821),""))</f>
        <v/>
      </c>
      <c r="E821" s="12">
        <f>IF(ISNUMBER(FC821),INDIRECT("SamplesX!E"&amp;FC821),IF(ISNUMBER(FD821),INDIRECT("SamplesY!E"&amp;FD821),""))</f>
        <v/>
      </c>
      <c r="F821" s="11">
        <f>IF(ISNUMBER(FC821),INDIRECT("SamplesX!F"&amp;FC821),IF(ISNUMBER(FD821),INDIRECT("SamplesY!F"&amp;FD821),""))</f>
        <v/>
      </c>
      <c r="G821" s="18">
        <f>IF(ISNUMBER(FC821),INDIRECT("SamplesX!G"&amp;FC821),IF(ISNUMBER(FD821),INDIRECT("SamplesY!G"&amp;FD821),""))</f>
        <v/>
      </c>
      <c r="H821" s="19">
        <f>IF(ISNUMBER(FC821),INDIRECT("SamplesX!H"&amp;FC821),IF(ISNUMBER(FD821),INDIRECT("SamplesY!H"&amp;FD821),""))</f>
        <v/>
      </c>
      <c r="I821" s="16" t="n"/>
      <c r="J821" s="16" t="n"/>
      <c r="K821" s="16" t="n"/>
      <c r="L821" s="20" t="n"/>
      <c r="M821" s="20" t="inlineStr">
        <is>
          <t>None</t>
        </is>
      </c>
      <c r="N821" s="17" t="n"/>
      <c r="O821" s="16" t="n"/>
      <c r="P821" s="20" t="inlineStr">
        <is>
          <t>Shimadzu TOC-L</t>
        </is>
      </c>
      <c r="Q821" s="20" t="inlineStr">
        <is>
          <t>None</t>
        </is>
      </c>
      <c r="R821" s="17" t="n"/>
      <c r="S821" s="16" t="n"/>
      <c r="T821" s="20" t="inlineStr">
        <is>
          <t>Shimadzu TOC-L</t>
        </is>
      </c>
      <c r="U821" s="20" t="inlineStr">
        <is>
          <t>None</t>
        </is>
      </c>
      <c r="V821" s="17" t="n"/>
      <c r="W821" s="16" t="n"/>
      <c r="X821" s="20" t="n"/>
      <c r="Y821" s="20" t="inlineStr">
        <is>
          <t>None</t>
        </is>
      </c>
      <c r="Z821" s="17" t="n"/>
      <c r="AA821" s="16" t="n"/>
      <c r="AB821" s="20" t="n"/>
      <c r="AC821" s="20" t="inlineStr">
        <is>
          <t>None</t>
        </is>
      </c>
      <c r="AD821" s="17" t="n"/>
      <c r="AE821" s="16" t="n"/>
      <c r="AF821" s="20" t="inlineStr">
        <is>
          <t>IC Anionen</t>
        </is>
      </c>
      <c r="AG821" s="20" t="inlineStr">
        <is>
          <t>None</t>
        </is>
      </c>
      <c r="AH821" s="17" t="n"/>
      <c r="AI821" s="16" t="n"/>
      <c r="AJ821" s="20" t="n"/>
      <c r="AK821" s="20" t="inlineStr">
        <is>
          <t>None</t>
        </is>
      </c>
      <c r="AL821" s="17" t="n"/>
      <c r="AM821" s="16" t="n"/>
      <c r="AN821" s="20" t="inlineStr">
        <is>
          <t>IC Anionen</t>
        </is>
      </c>
      <c r="AO821" s="20" t="inlineStr">
        <is>
          <t>None</t>
        </is>
      </c>
      <c r="AP821" s="17" t="n"/>
      <c r="AQ821" s="16" t="n"/>
      <c r="AR821" s="20" t="n"/>
      <c r="AS821" s="20" t="inlineStr">
        <is>
          <t>None</t>
        </is>
      </c>
      <c r="AT821" s="17" t="n"/>
      <c r="AU821" s="16" t="n"/>
      <c r="AV821" s="20" t="n"/>
      <c r="AW821" s="20" t="inlineStr">
        <is>
          <t>None</t>
        </is>
      </c>
      <c r="AX821" s="17" t="n"/>
      <c r="AY821" s="16" t="n"/>
      <c r="AZ821" s="20" t="inlineStr">
        <is>
          <t>IC Anionen</t>
        </is>
      </c>
      <c r="BA821" s="20" t="inlineStr">
        <is>
          <t>None</t>
        </is>
      </c>
      <c r="BB821" s="17" t="n"/>
      <c r="BC821" s="16" t="n"/>
      <c r="BD821" s="20" t="inlineStr">
        <is>
          <t>IC Kationen</t>
        </is>
      </c>
      <c r="BE821" s="20" t="inlineStr">
        <is>
          <t>None</t>
        </is>
      </c>
      <c r="BF821" s="17" t="n"/>
      <c r="BG821" s="16" t="n"/>
      <c r="BH821" s="20" t="inlineStr">
        <is>
          <t>IC Kationen</t>
        </is>
      </c>
      <c r="BI821" s="20" t="inlineStr">
        <is>
          <t>None</t>
        </is>
      </c>
      <c r="BJ821" s="17" t="n"/>
      <c r="BK821" s="16" t="n"/>
      <c r="BL821" s="20" t="inlineStr">
        <is>
          <t>IC Kationen</t>
        </is>
      </c>
      <c r="BM821" s="20" t="inlineStr">
        <is>
          <t>None</t>
        </is>
      </c>
      <c r="BN821" s="17" t="n"/>
      <c r="BO821" s="16" t="n"/>
      <c r="BP821" s="20" t="inlineStr">
        <is>
          <t>IC Kationen</t>
        </is>
      </c>
      <c r="BQ821" s="20" t="inlineStr">
        <is>
          <t>None</t>
        </is>
      </c>
      <c r="BR821" s="17" t="n"/>
      <c r="BS821" s="16" t="n"/>
      <c r="BT821" s="20" t="inlineStr">
        <is>
          <t>IC Kationen</t>
        </is>
      </c>
      <c r="BU821" s="20" t="inlineStr">
        <is>
          <t>None</t>
        </is>
      </c>
      <c r="BV821" s="17" t="n"/>
      <c r="BW821" s="16" t="n"/>
      <c r="BX821" s="20" t="n"/>
      <c r="BY821" s="20" t="inlineStr">
        <is>
          <t>None</t>
        </is>
      </c>
      <c r="BZ821" s="17" t="n"/>
      <c r="CA821" s="16" t="n"/>
      <c r="CB821" s="20" t="n"/>
      <c r="CC821" s="20" t="inlineStr">
        <is>
          <t>None</t>
        </is>
      </c>
      <c r="CD821" s="17" t="n"/>
      <c r="CE821" s="16" t="n"/>
      <c r="CF821" s="20" t="n"/>
      <c r="CG821" s="20" t="inlineStr">
        <is>
          <t>None</t>
        </is>
      </c>
      <c r="CH821" s="17" t="n"/>
      <c r="CI821" s="16" t="n"/>
      <c r="CJ821" s="20" t="n"/>
      <c r="CK821" s="20" t="inlineStr">
        <is>
          <t>None</t>
        </is>
      </c>
      <c r="CL821" s="17" t="n"/>
      <c r="CM821" s="16" t="n"/>
      <c r="CN821" s="20" t="inlineStr">
        <is>
          <t>SOP 45-34</t>
        </is>
      </c>
      <c r="CO821" s="20" t="inlineStr">
        <is>
          <t>None</t>
        </is>
      </c>
      <c r="CP821" s="17" t="n"/>
      <c r="CQ821" s="16" t="n"/>
      <c r="CR821" s="20" t="n"/>
      <c r="CS821" s="20" t="inlineStr">
        <is>
          <t>None</t>
        </is>
      </c>
      <c r="CT821" s="17" t="n"/>
      <c r="CU821" s="16" t="n"/>
      <c r="CV821" s="20" t="n"/>
      <c r="CW821" s="20" t="inlineStr">
        <is>
          <t>None</t>
        </is>
      </c>
      <c r="CX821" s="17" t="n"/>
      <c r="CY821" s="16" t="n"/>
      <c r="CZ821" s="20" t="inlineStr">
        <is>
          <t>WTW Multimeter 3430 with FDO 925</t>
        </is>
      </c>
      <c r="DA821" s="20" t="inlineStr">
        <is>
          <t>None</t>
        </is>
      </c>
      <c r="DB821" s="17" t="n"/>
      <c r="DC821" s="16" t="n"/>
      <c r="DD821" s="20" t="n"/>
      <c r="DE821" s="20" t="inlineStr">
        <is>
          <t>None</t>
        </is>
      </c>
      <c r="DF821" s="17" t="n"/>
      <c r="DG821" s="16" t="n"/>
      <c r="DH821" s="20" t="inlineStr">
        <is>
          <t>SOP 45-09</t>
        </is>
      </c>
      <c r="DI821" s="20" t="inlineStr">
        <is>
          <t>None</t>
        </is>
      </c>
      <c r="DJ821" s="17" t="n"/>
      <c r="DK821" s="16" t="n"/>
      <c r="DL821" s="20" t="inlineStr">
        <is>
          <t>SOP 45-09 (SOP muss noch angepasst werden für VSS)</t>
        </is>
      </c>
      <c r="DM821" s="20" t="inlineStr">
        <is>
          <t>None</t>
        </is>
      </c>
      <c r="DN821" s="17" t="n"/>
      <c r="DO821" s="16" t="n"/>
      <c r="DP821" s="20" t="inlineStr">
        <is>
          <t>IC Organic Acids</t>
        </is>
      </c>
      <c r="DQ821" s="20" t="inlineStr">
        <is>
          <t>None</t>
        </is>
      </c>
      <c r="DR821" s="17" t="n"/>
      <c r="DS821" s="16" t="n"/>
      <c r="DT821" s="20" t="inlineStr">
        <is>
          <t>IC Organic Acids</t>
        </is>
      </c>
      <c r="DU821" s="20" t="inlineStr">
        <is>
          <t>None</t>
        </is>
      </c>
      <c r="DV821" s="17" t="n"/>
      <c r="DW821" s="16" t="n"/>
      <c r="DX821" s="20" t="inlineStr">
        <is>
          <t>IC Organic Acids</t>
        </is>
      </c>
      <c r="DY821" s="20" t="inlineStr">
        <is>
          <t>None</t>
        </is>
      </c>
      <c r="DZ821" s="17" t="n"/>
      <c r="EA821" s="16" t="n"/>
      <c r="EB821" s="20" t="inlineStr">
        <is>
          <t>IC Organic Acids</t>
        </is>
      </c>
      <c r="EC821" s="20" t="inlineStr">
        <is>
          <t>None</t>
        </is>
      </c>
      <c r="ED821" s="17" t="n"/>
      <c r="EE821" s="16" t="n"/>
      <c r="EF821" s="20" t="inlineStr">
        <is>
          <t>IC Organic Acids</t>
        </is>
      </c>
      <c r="EG821" s="20" t="inlineStr">
        <is>
          <t>None</t>
        </is>
      </c>
      <c r="EH821" s="17" t="n"/>
      <c r="EI821" s="16" t="n"/>
      <c r="EJ821" s="20" t="inlineStr">
        <is>
          <t>IC Organic Acids</t>
        </is>
      </c>
      <c r="EK821" s="20" t="inlineStr">
        <is>
          <t>None</t>
        </is>
      </c>
      <c r="EL821" s="17" t="n"/>
      <c r="EM821" s="16" t="n"/>
      <c r="EN821" s="20" t="inlineStr">
        <is>
          <t>IC Organic Acids</t>
        </is>
      </c>
      <c r="EO821" s="20" t="inlineStr">
        <is>
          <t>None</t>
        </is>
      </c>
      <c r="EP821" s="17" t="n"/>
      <c r="EQ821" s="16" t="n"/>
      <c r="ER821" s="20" t="inlineStr">
        <is>
          <t>IC Organic Acids</t>
        </is>
      </c>
      <c r="ES821" s="20" t="inlineStr">
        <is>
          <t>None</t>
        </is>
      </c>
      <c r="ET821" s="17" t="n"/>
      <c r="EU821" s="16" t="n"/>
      <c r="EV821" s="20" t="inlineStr">
        <is>
          <t>LC-MS</t>
        </is>
      </c>
      <c r="EW821" s="20" t="inlineStr">
        <is>
          <t>None</t>
        </is>
      </c>
      <c r="EX821" s="17" t="n"/>
      <c r="EY821" s="21" t="n"/>
      <c r="EZ821">
        <f>CONCATENATE(A821,B821)</f>
        <v/>
      </c>
      <c r="FA821">
        <f>CONCATENATE(SamplesX!A821,SamplesX!B821)</f>
        <v/>
      </c>
      <c r="FC821">
        <f>MATCH(EZ821,FA1:FA1008,0)</f>
        <v/>
      </c>
    </row>
    <row r="822">
      <c r="A822" s="16" t="n"/>
      <c r="B822" s="17" t="n"/>
      <c r="C822" s="10">
        <f>IF(ISNUMBER(FC822),INDIRECT("SamplesX!C"&amp;FC822),IF(ISNUMBER(FD822),INDIRECT("SamplesY!C"&amp;FD822),""))</f>
        <v/>
      </c>
      <c r="D822" s="12">
        <f>IF(ISNUMBER(FC822),INDIRECT("SamplesX!D"&amp;FC822),IF(ISNUMBER(FD822),INDIRECT("SamplesY!D"&amp;FD822),""))</f>
        <v/>
      </c>
      <c r="E822" s="12">
        <f>IF(ISNUMBER(FC822),INDIRECT("SamplesX!E"&amp;FC822),IF(ISNUMBER(FD822),INDIRECT("SamplesY!E"&amp;FD822),""))</f>
        <v/>
      </c>
      <c r="F822" s="11">
        <f>IF(ISNUMBER(FC822),INDIRECT("SamplesX!F"&amp;FC822),IF(ISNUMBER(FD822),INDIRECT("SamplesY!F"&amp;FD822),""))</f>
        <v/>
      </c>
      <c r="G822" s="18">
        <f>IF(ISNUMBER(FC822),INDIRECT("SamplesX!G"&amp;FC822),IF(ISNUMBER(FD822),INDIRECT("SamplesY!G"&amp;FD822),""))</f>
        <v/>
      </c>
      <c r="H822" s="19">
        <f>IF(ISNUMBER(FC822),INDIRECT("SamplesX!H"&amp;FC822),IF(ISNUMBER(FD822),INDIRECT("SamplesY!H"&amp;FD822),""))</f>
        <v/>
      </c>
      <c r="I822" s="16" t="n"/>
      <c r="J822" s="16" t="n"/>
      <c r="K822" s="16" t="n"/>
      <c r="L822" s="20" t="n"/>
      <c r="M822" s="20" t="inlineStr">
        <is>
          <t>None</t>
        </is>
      </c>
      <c r="N822" s="17" t="n"/>
      <c r="O822" s="16" t="n"/>
      <c r="P822" s="20" t="inlineStr">
        <is>
          <t>Shimadzu TOC-L</t>
        </is>
      </c>
      <c r="Q822" s="20" t="inlineStr">
        <is>
          <t>None</t>
        </is>
      </c>
      <c r="R822" s="17" t="n"/>
      <c r="S822" s="16" t="n"/>
      <c r="T822" s="20" t="inlineStr">
        <is>
          <t>Shimadzu TOC-L</t>
        </is>
      </c>
      <c r="U822" s="20" t="inlineStr">
        <is>
          <t>None</t>
        </is>
      </c>
      <c r="V822" s="17" t="n"/>
      <c r="W822" s="16" t="n"/>
      <c r="X822" s="20" t="n"/>
      <c r="Y822" s="20" t="inlineStr">
        <is>
          <t>None</t>
        </is>
      </c>
      <c r="Z822" s="17" t="n"/>
      <c r="AA822" s="16" t="n"/>
      <c r="AB822" s="20" t="n"/>
      <c r="AC822" s="20" t="inlineStr">
        <is>
          <t>None</t>
        </is>
      </c>
      <c r="AD822" s="17" t="n"/>
      <c r="AE822" s="16" t="n"/>
      <c r="AF822" s="20" t="inlineStr">
        <is>
          <t>IC Anionen</t>
        </is>
      </c>
      <c r="AG822" s="20" t="inlineStr">
        <is>
          <t>None</t>
        </is>
      </c>
      <c r="AH822" s="17" t="n"/>
      <c r="AI822" s="16" t="n"/>
      <c r="AJ822" s="20" t="n"/>
      <c r="AK822" s="20" t="inlineStr">
        <is>
          <t>None</t>
        </is>
      </c>
      <c r="AL822" s="17" t="n"/>
      <c r="AM822" s="16" t="n"/>
      <c r="AN822" s="20" t="inlineStr">
        <is>
          <t>IC Anionen</t>
        </is>
      </c>
      <c r="AO822" s="20" t="inlineStr">
        <is>
          <t>None</t>
        </is>
      </c>
      <c r="AP822" s="17" t="n"/>
      <c r="AQ822" s="16" t="n"/>
      <c r="AR822" s="20" t="n"/>
      <c r="AS822" s="20" t="inlineStr">
        <is>
          <t>None</t>
        </is>
      </c>
      <c r="AT822" s="17" t="n"/>
      <c r="AU822" s="16" t="n"/>
      <c r="AV822" s="20" t="n"/>
      <c r="AW822" s="20" t="inlineStr">
        <is>
          <t>None</t>
        </is>
      </c>
      <c r="AX822" s="17" t="n"/>
      <c r="AY822" s="16" t="n"/>
      <c r="AZ822" s="20" t="inlineStr">
        <is>
          <t>IC Anionen</t>
        </is>
      </c>
      <c r="BA822" s="20" t="inlineStr">
        <is>
          <t>None</t>
        </is>
      </c>
      <c r="BB822" s="17" t="n"/>
      <c r="BC822" s="16" t="n"/>
      <c r="BD822" s="20" t="inlineStr">
        <is>
          <t>IC Kationen</t>
        </is>
      </c>
      <c r="BE822" s="20" t="inlineStr">
        <is>
          <t>None</t>
        </is>
      </c>
      <c r="BF822" s="17" t="n"/>
      <c r="BG822" s="16" t="n"/>
      <c r="BH822" s="20" t="inlineStr">
        <is>
          <t>IC Kationen</t>
        </is>
      </c>
      <c r="BI822" s="20" t="inlineStr">
        <is>
          <t>None</t>
        </is>
      </c>
      <c r="BJ822" s="17" t="n"/>
      <c r="BK822" s="16" t="n"/>
      <c r="BL822" s="20" t="inlineStr">
        <is>
          <t>IC Kationen</t>
        </is>
      </c>
      <c r="BM822" s="20" t="inlineStr">
        <is>
          <t>None</t>
        </is>
      </c>
      <c r="BN822" s="17" t="n"/>
      <c r="BO822" s="16" t="n"/>
      <c r="BP822" s="20" t="inlineStr">
        <is>
          <t>IC Kationen</t>
        </is>
      </c>
      <c r="BQ822" s="20" t="inlineStr">
        <is>
          <t>None</t>
        </is>
      </c>
      <c r="BR822" s="17" t="n"/>
      <c r="BS822" s="16" t="n"/>
      <c r="BT822" s="20" t="inlineStr">
        <is>
          <t>IC Kationen</t>
        </is>
      </c>
      <c r="BU822" s="20" t="inlineStr">
        <is>
          <t>None</t>
        </is>
      </c>
      <c r="BV822" s="17" t="n"/>
      <c r="BW822" s="16" t="n"/>
      <c r="BX822" s="20" t="n"/>
      <c r="BY822" s="20" t="inlineStr">
        <is>
          <t>None</t>
        </is>
      </c>
      <c r="BZ822" s="17" t="n"/>
      <c r="CA822" s="16" t="n"/>
      <c r="CB822" s="20" t="n"/>
      <c r="CC822" s="20" t="inlineStr">
        <is>
          <t>None</t>
        </is>
      </c>
      <c r="CD822" s="17" t="n"/>
      <c r="CE822" s="16" t="n"/>
      <c r="CF822" s="20" t="n"/>
      <c r="CG822" s="20" t="inlineStr">
        <is>
          <t>None</t>
        </is>
      </c>
      <c r="CH822" s="17" t="n"/>
      <c r="CI822" s="16" t="n"/>
      <c r="CJ822" s="20" t="n"/>
      <c r="CK822" s="20" t="inlineStr">
        <is>
          <t>None</t>
        </is>
      </c>
      <c r="CL822" s="17" t="n"/>
      <c r="CM822" s="16" t="n"/>
      <c r="CN822" s="20" t="inlineStr">
        <is>
          <t>SOP 45-34</t>
        </is>
      </c>
      <c r="CO822" s="20" t="inlineStr">
        <is>
          <t>None</t>
        </is>
      </c>
      <c r="CP822" s="17" t="n"/>
      <c r="CQ822" s="16" t="n"/>
      <c r="CR822" s="20" t="n"/>
      <c r="CS822" s="20" t="inlineStr">
        <is>
          <t>None</t>
        </is>
      </c>
      <c r="CT822" s="17" t="n"/>
      <c r="CU822" s="16" t="n"/>
      <c r="CV822" s="20" t="n"/>
      <c r="CW822" s="20" t="inlineStr">
        <is>
          <t>None</t>
        </is>
      </c>
      <c r="CX822" s="17" t="n"/>
      <c r="CY822" s="16" t="n"/>
      <c r="CZ822" s="20" t="inlineStr">
        <is>
          <t>WTW Multimeter 3430 with FDO 925</t>
        </is>
      </c>
      <c r="DA822" s="20" t="inlineStr">
        <is>
          <t>None</t>
        </is>
      </c>
      <c r="DB822" s="17" t="n"/>
      <c r="DC822" s="16" t="n"/>
      <c r="DD822" s="20" t="n"/>
      <c r="DE822" s="20" t="inlineStr">
        <is>
          <t>None</t>
        </is>
      </c>
      <c r="DF822" s="17" t="n"/>
      <c r="DG822" s="16" t="n"/>
      <c r="DH822" s="20" t="inlineStr">
        <is>
          <t>SOP 45-09</t>
        </is>
      </c>
      <c r="DI822" s="20" t="inlineStr">
        <is>
          <t>None</t>
        </is>
      </c>
      <c r="DJ822" s="17" t="n"/>
      <c r="DK822" s="16" t="n"/>
      <c r="DL822" s="20" t="inlineStr">
        <is>
          <t>SOP 45-09 (SOP muss noch angepasst werden für VSS)</t>
        </is>
      </c>
      <c r="DM822" s="20" t="inlineStr">
        <is>
          <t>None</t>
        </is>
      </c>
      <c r="DN822" s="17" t="n"/>
      <c r="DO822" s="16" t="n"/>
      <c r="DP822" s="20" t="inlineStr">
        <is>
          <t>IC Organic Acids</t>
        </is>
      </c>
      <c r="DQ822" s="20" t="inlineStr">
        <is>
          <t>None</t>
        </is>
      </c>
      <c r="DR822" s="17" t="n"/>
      <c r="DS822" s="16" t="n"/>
      <c r="DT822" s="20" t="inlineStr">
        <is>
          <t>IC Organic Acids</t>
        </is>
      </c>
      <c r="DU822" s="20" t="inlineStr">
        <is>
          <t>None</t>
        </is>
      </c>
      <c r="DV822" s="17" t="n"/>
      <c r="DW822" s="16" t="n"/>
      <c r="DX822" s="20" t="inlineStr">
        <is>
          <t>IC Organic Acids</t>
        </is>
      </c>
      <c r="DY822" s="20" t="inlineStr">
        <is>
          <t>None</t>
        </is>
      </c>
      <c r="DZ822" s="17" t="n"/>
      <c r="EA822" s="16" t="n"/>
      <c r="EB822" s="20" t="inlineStr">
        <is>
          <t>IC Organic Acids</t>
        </is>
      </c>
      <c r="EC822" s="20" t="inlineStr">
        <is>
          <t>None</t>
        </is>
      </c>
      <c r="ED822" s="17" t="n"/>
      <c r="EE822" s="16" t="n"/>
      <c r="EF822" s="20" t="inlineStr">
        <is>
          <t>IC Organic Acids</t>
        </is>
      </c>
      <c r="EG822" s="20" t="inlineStr">
        <is>
          <t>None</t>
        </is>
      </c>
      <c r="EH822" s="17" t="n"/>
      <c r="EI822" s="16" t="n"/>
      <c r="EJ822" s="20" t="inlineStr">
        <is>
          <t>IC Organic Acids</t>
        </is>
      </c>
      <c r="EK822" s="20" t="inlineStr">
        <is>
          <t>None</t>
        </is>
      </c>
      <c r="EL822" s="17" t="n"/>
      <c r="EM822" s="16" t="n"/>
      <c r="EN822" s="20" t="inlineStr">
        <is>
          <t>IC Organic Acids</t>
        </is>
      </c>
      <c r="EO822" s="20" t="inlineStr">
        <is>
          <t>None</t>
        </is>
      </c>
      <c r="EP822" s="17" t="n"/>
      <c r="EQ822" s="16" t="n"/>
      <c r="ER822" s="20" t="inlineStr">
        <is>
          <t>IC Organic Acids</t>
        </is>
      </c>
      <c r="ES822" s="20" t="inlineStr">
        <is>
          <t>None</t>
        </is>
      </c>
      <c r="ET822" s="17" t="n"/>
      <c r="EU822" s="16" t="n"/>
      <c r="EV822" s="20" t="inlineStr">
        <is>
          <t>LC-MS</t>
        </is>
      </c>
      <c r="EW822" s="20" t="inlineStr">
        <is>
          <t>None</t>
        </is>
      </c>
      <c r="EX822" s="17" t="n"/>
      <c r="EY822" s="21" t="n"/>
      <c r="EZ822">
        <f>CONCATENATE(A822,B822)</f>
        <v/>
      </c>
      <c r="FA822">
        <f>CONCATENATE(SamplesX!A822,SamplesX!B822)</f>
        <v/>
      </c>
      <c r="FC822">
        <f>MATCH(EZ822,FA1:FA1008,0)</f>
        <v/>
      </c>
    </row>
    <row r="823">
      <c r="A823" s="16" t="n"/>
      <c r="B823" s="17" t="n"/>
      <c r="C823" s="10">
        <f>IF(ISNUMBER(FC823),INDIRECT("SamplesX!C"&amp;FC823),IF(ISNUMBER(FD823),INDIRECT("SamplesY!C"&amp;FD823),""))</f>
        <v/>
      </c>
      <c r="D823" s="12">
        <f>IF(ISNUMBER(FC823),INDIRECT("SamplesX!D"&amp;FC823),IF(ISNUMBER(FD823),INDIRECT("SamplesY!D"&amp;FD823),""))</f>
        <v/>
      </c>
      <c r="E823" s="12">
        <f>IF(ISNUMBER(FC823),INDIRECT("SamplesX!E"&amp;FC823),IF(ISNUMBER(FD823),INDIRECT("SamplesY!E"&amp;FD823),""))</f>
        <v/>
      </c>
      <c r="F823" s="11">
        <f>IF(ISNUMBER(FC823),INDIRECT("SamplesX!F"&amp;FC823),IF(ISNUMBER(FD823),INDIRECT("SamplesY!F"&amp;FD823),""))</f>
        <v/>
      </c>
      <c r="G823" s="18">
        <f>IF(ISNUMBER(FC823),INDIRECT("SamplesX!G"&amp;FC823),IF(ISNUMBER(FD823),INDIRECT("SamplesY!G"&amp;FD823),""))</f>
        <v/>
      </c>
      <c r="H823" s="19">
        <f>IF(ISNUMBER(FC823),INDIRECT("SamplesX!H"&amp;FC823),IF(ISNUMBER(FD823),INDIRECT("SamplesY!H"&amp;FD823),""))</f>
        <v/>
      </c>
      <c r="I823" s="16" t="n"/>
      <c r="J823" s="16" t="n"/>
      <c r="K823" s="16" t="n"/>
      <c r="L823" s="20" t="n"/>
      <c r="M823" s="20" t="inlineStr">
        <is>
          <t>None</t>
        </is>
      </c>
      <c r="N823" s="17" t="n"/>
      <c r="O823" s="16" t="n"/>
      <c r="P823" s="20" t="inlineStr">
        <is>
          <t>Shimadzu TOC-L</t>
        </is>
      </c>
      <c r="Q823" s="20" t="inlineStr">
        <is>
          <t>None</t>
        </is>
      </c>
      <c r="R823" s="17" t="n"/>
      <c r="S823" s="16" t="n"/>
      <c r="T823" s="20" t="inlineStr">
        <is>
          <t>Shimadzu TOC-L</t>
        </is>
      </c>
      <c r="U823" s="20" t="inlineStr">
        <is>
          <t>None</t>
        </is>
      </c>
      <c r="V823" s="17" t="n"/>
      <c r="W823" s="16" t="n"/>
      <c r="X823" s="20" t="n"/>
      <c r="Y823" s="20" t="inlineStr">
        <is>
          <t>None</t>
        </is>
      </c>
      <c r="Z823" s="17" t="n"/>
      <c r="AA823" s="16" t="n"/>
      <c r="AB823" s="20" t="n"/>
      <c r="AC823" s="20" t="inlineStr">
        <is>
          <t>None</t>
        </is>
      </c>
      <c r="AD823" s="17" t="n"/>
      <c r="AE823" s="16" t="n"/>
      <c r="AF823" s="20" t="inlineStr">
        <is>
          <t>IC Anionen</t>
        </is>
      </c>
      <c r="AG823" s="20" t="inlineStr">
        <is>
          <t>None</t>
        </is>
      </c>
      <c r="AH823" s="17" t="n"/>
      <c r="AI823" s="16" t="n"/>
      <c r="AJ823" s="20" t="n"/>
      <c r="AK823" s="20" t="inlineStr">
        <is>
          <t>None</t>
        </is>
      </c>
      <c r="AL823" s="17" t="n"/>
      <c r="AM823" s="16" t="n"/>
      <c r="AN823" s="20" t="inlineStr">
        <is>
          <t>IC Anionen</t>
        </is>
      </c>
      <c r="AO823" s="20" t="inlineStr">
        <is>
          <t>None</t>
        </is>
      </c>
      <c r="AP823" s="17" t="n"/>
      <c r="AQ823" s="16" t="n"/>
      <c r="AR823" s="20" t="n"/>
      <c r="AS823" s="20" t="inlineStr">
        <is>
          <t>None</t>
        </is>
      </c>
      <c r="AT823" s="17" t="n"/>
      <c r="AU823" s="16" t="n"/>
      <c r="AV823" s="20" t="n"/>
      <c r="AW823" s="20" t="inlineStr">
        <is>
          <t>None</t>
        </is>
      </c>
      <c r="AX823" s="17" t="n"/>
      <c r="AY823" s="16" t="n"/>
      <c r="AZ823" s="20" t="inlineStr">
        <is>
          <t>IC Anionen</t>
        </is>
      </c>
      <c r="BA823" s="20" t="inlineStr">
        <is>
          <t>None</t>
        </is>
      </c>
      <c r="BB823" s="17" t="n"/>
      <c r="BC823" s="16" t="n"/>
      <c r="BD823" s="20" t="inlineStr">
        <is>
          <t>IC Kationen</t>
        </is>
      </c>
      <c r="BE823" s="20" t="inlineStr">
        <is>
          <t>None</t>
        </is>
      </c>
      <c r="BF823" s="17" t="n"/>
      <c r="BG823" s="16" t="n"/>
      <c r="BH823" s="20" t="inlineStr">
        <is>
          <t>IC Kationen</t>
        </is>
      </c>
      <c r="BI823" s="20" t="inlineStr">
        <is>
          <t>None</t>
        </is>
      </c>
      <c r="BJ823" s="17" t="n"/>
      <c r="BK823" s="16" t="n"/>
      <c r="BL823" s="20" t="inlineStr">
        <is>
          <t>IC Kationen</t>
        </is>
      </c>
      <c r="BM823" s="20" t="inlineStr">
        <is>
          <t>None</t>
        </is>
      </c>
      <c r="BN823" s="17" t="n"/>
      <c r="BO823" s="16" t="n"/>
      <c r="BP823" s="20" t="inlineStr">
        <is>
          <t>IC Kationen</t>
        </is>
      </c>
      <c r="BQ823" s="20" t="inlineStr">
        <is>
          <t>None</t>
        </is>
      </c>
      <c r="BR823" s="17" t="n"/>
      <c r="BS823" s="16" t="n"/>
      <c r="BT823" s="20" t="inlineStr">
        <is>
          <t>IC Kationen</t>
        </is>
      </c>
      <c r="BU823" s="20" t="inlineStr">
        <is>
          <t>None</t>
        </is>
      </c>
      <c r="BV823" s="17" t="n"/>
      <c r="BW823" s="16" t="n"/>
      <c r="BX823" s="20" t="n"/>
      <c r="BY823" s="20" t="inlineStr">
        <is>
          <t>None</t>
        </is>
      </c>
      <c r="BZ823" s="17" t="n"/>
      <c r="CA823" s="16" t="n"/>
      <c r="CB823" s="20" t="n"/>
      <c r="CC823" s="20" t="inlineStr">
        <is>
          <t>None</t>
        </is>
      </c>
      <c r="CD823" s="17" t="n"/>
      <c r="CE823" s="16" t="n"/>
      <c r="CF823" s="20" t="n"/>
      <c r="CG823" s="20" t="inlineStr">
        <is>
          <t>None</t>
        </is>
      </c>
      <c r="CH823" s="17" t="n"/>
      <c r="CI823" s="16" t="n"/>
      <c r="CJ823" s="20" t="n"/>
      <c r="CK823" s="20" t="inlineStr">
        <is>
          <t>None</t>
        </is>
      </c>
      <c r="CL823" s="17" t="n"/>
      <c r="CM823" s="16" t="n"/>
      <c r="CN823" s="20" t="inlineStr">
        <is>
          <t>SOP 45-34</t>
        </is>
      </c>
      <c r="CO823" s="20" t="inlineStr">
        <is>
          <t>None</t>
        </is>
      </c>
      <c r="CP823" s="17" t="n"/>
      <c r="CQ823" s="16" t="n"/>
      <c r="CR823" s="20" t="n"/>
      <c r="CS823" s="20" t="inlineStr">
        <is>
          <t>None</t>
        </is>
      </c>
      <c r="CT823" s="17" t="n"/>
      <c r="CU823" s="16" t="n"/>
      <c r="CV823" s="20" t="n"/>
      <c r="CW823" s="20" t="inlineStr">
        <is>
          <t>None</t>
        </is>
      </c>
      <c r="CX823" s="17" t="n"/>
      <c r="CY823" s="16" t="n"/>
      <c r="CZ823" s="20" t="inlineStr">
        <is>
          <t>WTW Multimeter 3430 with FDO 925</t>
        </is>
      </c>
      <c r="DA823" s="20" t="inlineStr">
        <is>
          <t>None</t>
        </is>
      </c>
      <c r="DB823" s="17" t="n"/>
      <c r="DC823" s="16" t="n"/>
      <c r="DD823" s="20" t="n"/>
      <c r="DE823" s="20" t="inlineStr">
        <is>
          <t>None</t>
        </is>
      </c>
      <c r="DF823" s="17" t="n"/>
      <c r="DG823" s="16" t="n"/>
      <c r="DH823" s="20" t="inlineStr">
        <is>
          <t>SOP 45-09</t>
        </is>
      </c>
      <c r="DI823" s="20" t="inlineStr">
        <is>
          <t>None</t>
        </is>
      </c>
      <c r="DJ823" s="17" t="n"/>
      <c r="DK823" s="16" t="n"/>
      <c r="DL823" s="20" t="inlineStr">
        <is>
          <t>SOP 45-09 (SOP muss noch angepasst werden für VSS)</t>
        </is>
      </c>
      <c r="DM823" s="20" t="inlineStr">
        <is>
          <t>None</t>
        </is>
      </c>
      <c r="DN823" s="17" t="n"/>
      <c r="DO823" s="16" t="n"/>
      <c r="DP823" s="20" t="inlineStr">
        <is>
          <t>IC Organic Acids</t>
        </is>
      </c>
      <c r="DQ823" s="20" t="inlineStr">
        <is>
          <t>None</t>
        </is>
      </c>
      <c r="DR823" s="17" t="n"/>
      <c r="DS823" s="16" t="n"/>
      <c r="DT823" s="20" t="inlineStr">
        <is>
          <t>IC Organic Acids</t>
        </is>
      </c>
      <c r="DU823" s="20" t="inlineStr">
        <is>
          <t>None</t>
        </is>
      </c>
      <c r="DV823" s="17" t="n"/>
      <c r="DW823" s="16" t="n"/>
      <c r="DX823" s="20" t="inlineStr">
        <is>
          <t>IC Organic Acids</t>
        </is>
      </c>
      <c r="DY823" s="20" t="inlineStr">
        <is>
          <t>None</t>
        </is>
      </c>
      <c r="DZ823" s="17" t="n"/>
      <c r="EA823" s="16" t="n"/>
      <c r="EB823" s="20" t="inlineStr">
        <is>
          <t>IC Organic Acids</t>
        </is>
      </c>
      <c r="EC823" s="20" t="inlineStr">
        <is>
          <t>None</t>
        </is>
      </c>
      <c r="ED823" s="17" t="n"/>
      <c r="EE823" s="16" t="n"/>
      <c r="EF823" s="20" t="inlineStr">
        <is>
          <t>IC Organic Acids</t>
        </is>
      </c>
      <c r="EG823" s="20" t="inlineStr">
        <is>
          <t>None</t>
        </is>
      </c>
      <c r="EH823" s="17" t="n"/>
      <c r="EI823" s="16" t="n"/>
      <c r="EJ823" s="20" t="inlineStr">
        <is>
          <t>IC Organic Acids</t>
        </is>
      </c>
      <c r="EK823" s="20" t="inlineStr">
        <is>
          <t>None</t>
        </is>
      </c>
      <c r="EL823" s="17" t="n"/>
      <c r="EM823" s="16" t="n"/>
      <c r="EN823" s="20" t="inlineStr">
        <is>
          <t>IC Organic Acids</t>
        </is>
      </c>
      <c r="EO823" s="20" t="inlineStr">
        <is>
          <t>None</t>
        </is>
      </c>
      <c r="EP823" s="17" t="n"/>
      <c r="EQ823" s="16" t="n"/>
      <c r="ER823" s="20" t="inlineStr">
        <is>
          <t>IC Organic Acids</t>
        </is>
      </c>
      <c r="ES823" s="20" t="inlineStr">
        <is>
          <t>None</t>
        </is>
      </c>
      <c r="ET823" s="17" t="n"/>
      <c r="EU823" s="16" t="n"/>
      <c r="EV823" s="20" t="inlineStr">
        <is>
          <t>LC-MS</t>
        </is>
      </c>
      <c r="EW823" s="20" t="inlineStr">
        <is>
          <t>None</t>
        </is>
      </c>
      <c r="EX823" s="17" t="n"/>
      <c r="EY823" s="21" t="n"/>
      <c r="EZ823">
        <f>CONCATENATE(A823,B823)</f>
        <v/>
      </c>
      <c r="FA823">
        <f>CONCATENATE(SamplesX!A823,SamplesX!B823)</f>
        <v/>
      </c>
      <c r="FC823">
        <f>MATCH(EZ823,FA1:FA1008,0)</f>
        <v/>
      </c>
    </row>
    <row r="824">
      <c r="A824" s="16" t="n"/>
      <c r="B824" s="17" t="n"/>
      <c r="C824" s="10">
        <f>IF(ISNUMBER(FC824),INDIRECT("SamplesX!C"&amp;FC824),IF(ISNUMBER(FD824),INDIRECT("SamplesY!C"&amp;FD824),""))</f>
        <v/>
      </c>
      <c r="D824" s="12">
        <f>IF(ISNUMBER(FC824),INDIRECT("SamplesX!D"&amp;FC824),IF(ISNUMBER(FD824),INDIRECT("SamplesY!D"&amp;FD824),""))</f>
        <v/>
      </c>
      <c r="E824" s="12">
        <f>IF(ISNUMBER(FC824),INDIRECT("SamplesX!E"&amp;FC824),IF(ISNUMBER(FD824),INDIRECT("SamplesY!E"&amp;FD824),""))</f>
        <v/>
      </c>
      <c r="F824" s="11">
        <f>IF(ISNUMBER(FC824),INDIRECT("SamplesX!F"&amp;FC824),IF(ISNUMBER(FD824),INDIRECT("SamplesY!F"&amp;FD824),""))</f>
        <v/>
      </c>
      <c r="G824" s="18">
        <f>IF(ISNUMBER(FC824),INDIRECT("SamplesX!G"&amp;FC824),IF(ISNUMBER(FD824),INDIRECT("SamplesY!G"&amp;FD824),""))</f>
        <v/>
      </c>
      <c r="H824" s="19">
        <f>IF(ISNUMBER(FC824),INDIRECT("SamplesX!H"&amp;FC824),IF(ISNUMBER(FD824),INDIRECT("SamplesY!H"&amp;FD824),""))</f>
        <v/>
      </c>
      <c r="I824" s="16" t="n"/>
      <c r="J824" s="16" t="n"/>
      <c r="K824" s="16" t="n"/>
      <c r="L824" s="20" t="n"/>
      <c r="M824" s="20" t="inlineStr">
        <is>
          <t>None</t>
        </is>
      </c>
      <c r="N824" s="17" t="n"/>
      <c r="O824" s="16" t="n"/>
      <c r="P824" s="20" t="inlineStr">
        <is>
          <t>Shimadzu TOC-L</t>
        </is>
      </c>
      <c r="Q824" s="20" t="inlineStr">
        <is>
          <t>None</t>
        </is>
      </c>
      <c r="R824" s="17" t="n"/>
      <c r="S824" s="16" t="n"/>
      <c r="T824" s="20" t="inlineStr">
        <is>
          <t>Shimadzu TOC-L</t>
        </is>
      </c>
      <c r="U824" s="20" t="inlineStr">
        <is>
          <t>None</t>
        </is>
      </c>
      <c r="V824" s="17" t="n"/>
      <c r="W824" s="16" t="n"/>
      <c r="X824" s="20" t="n"/>
      <c r="Y824" s="20" t="inlineStr">
        <is>
          <t>None</t>
        </is>
      </c>
      <c r="Z824" s="17" t="n"/>
      <c r="AA824" s="16" t="n"/>
      <c r="AB824" s="20" t="n"/>
      <c r="AC824" s="20" t="inlineStr">
        <is>
          <t>None</t>
        </is>
      </c>
      <c r="AD824" s="17" t="n"/>
      <c r="AE824" s="16" t="n"/>
      <c r="AF824" s="20" t="inlineStr">
        <is>
          <t>IC Anionen</t>
        </is>
      </c>
      <c r="AG824" s="20" t="inlineStr">
        <is>
          <t>None</t>
        </is>
      </c>
      <c r="AH824" s="17" t="n"/>
      <c r="AI824" s="16" t="n"/>
      <c r="AJ824" s="20" t="n"/>
      <c r="AK824" s="20" t="inlineStr">
        <is>
          <t>None</t>
        </is>
      </c>
      <c r="AL824" s="17" t="n"/>
      <c r="AM824" s="16" t="n"/>
      <c r="AN824" s="20" t="inlineStr">
        <is>
          <t>IC Anionen</t>
        </is>
      </c>
      <c r="AO824" s="20" t="inlineStr">
        <is>
          <t>None</t>
        </is>
      </c>
      <c r="AP824" s="17" t="n"/>
      <c r="AQ824" s="16" t="n"/>
      <c r="AR824" s="20" t="n"/>
      <c r="AS824" s="20" t="inlineStr">
        <is>
          <t>None</t>
        </is>
      </c>
      <c r="AT824" s="17" t="n"/>
      <c r="AU824" s="16" t="n"/>
      <c r="AV824" s="20" t="n"/>
      <c r="AW824" s="20" t="inlineStr">
        <is>
          <t>None</t>
        </is>
      </c>
      <c r="AX824" s="17" t="n"/>
      <c r="AY824" s="16" t="n"/>
      <c r="AZ824" s="20" t="inlineStr">
        <is>
          <t>IC Anionen</t>
        </is>
      </c>
      <c r="BA824" s="20" t="inlineStr">
        <is>
          <t>None</t>
        </is>
      </c>
      <c r="BB824" s="17" t="n"/>
      <c r="BC824" s="16" t="n"/>
      <c r="BD824" s="20" t="inlineStr">
        <is>
          <t>IC Kationen</t>
        </is>
      </c>
      <c r="BE824" s="20" t="inlineStr">
        <is>
          <t>None</t>
        </is>
      </c>
      <c r="BF824" s="17" t="n"/>
      <c r="BG824" s="16" t="n"/>
      <c r="BH824" s="20" t="inlineStr">
        <is>
          <t>IC Kationen</t>
        </is>
      </c>
      <c r="BI824" s="20" t="inlineStr">
        <is>
          <t>None</t>
        </is>
      </c>
      <c r="BJ824" s="17" t="n"/>
      <c r="BK824" s="16" t="n"/>
      <c r="BL824" s="20" t="inlineStr">
        <is>
          <t>IC Kationen</t>
        </is>
      </c>
      <c r="BM824" s="20" t="inlineStr">
        <is>
          <t>None</t>
        </is>
      </c>
      <c r="BN824" s="17" t="n"/>
      <c r="BO824" s="16" t="n"/>
      <c r="BP824" s="20" t="inlineStr">
        <is>
          <t>IC Kationen</t>
        </is>
      </c>
      <c r="BQ824" s="20" t="inlineStr">
        <is>
          <t>None</t>
        </is>
      </c>
      <c r="BR824" s="17" t="n"/>
      <c r="BS824" s="16" t="n"/>
      <c r="BT824" s="20" t="inlineStr">
        <is>
          <t>IC Kationen</t>
        </is>
      </c>
      <c r="BU824" s="20" t="inlineStr">
        <is>
          <t>None</t>
        </is>
      </c>
      <c r="BV824" s="17" t="n"/>
      <c r="BW824" s="16" t="n"/>
      <c r="BX824" s="20" t="n"/>
      <c r="BY824" s="20" t="inlineStr">
        <is>
          <t>None</t>
        </is>
      </c>
      <c r="BZ824" s="17" t="n"/>
      <c r="CA824" s="16" t="n"/>
      <c r="CB824" s="20" t="n"/>
      <c r="CC824" s="20" t="inlineStr">
        <is>
          <t>None</t>
        </is>
      </c>
      <c r="CD824" s="17" t="n"/>
      <c r="CE824" s="16" t="n"/>
      <c r="CF824" s="20" t="n"/>
      <c r="CG824" s="20" t="inlineStr">
        <is>
          <t>None</t>
        </is>
      </c>
      <c r="CH824" s="17" t="n"/>
      <c r="CI824" s="16" t="n"/>
      <c r="CJ824" s="20" t="n"/>
      <c r="CK824" s="20" t="inlineStr">
        <is>
          <t>None</t>
        </is>
      </c>
      <c r="CL824" s="17" t="n"/>
      <c r="CM824" s="16" t="n"/>
      <c r="CN824" s="20" t="inlineStr">
        <is>
          <t>SOP 45-34</t>
        </is>
      </c>
      <c r="CO824" s="20" t="inlineStr">
        <is>
          <t>None</t>
        </is>
      </c>
      <c r="CP824" s="17" t="n"/>
      <c r="CQ824" s="16" t="n"/>
      <c r="CR824" s="20" t="n"/>
      <c r="CS824" s="20" t="inlineStr">
        <is>
          <t>None</t>
        </is>
      </c>
      <c r="CT824" s="17" t="n"/>
      <c r="CU824" s="16" t="n"/>
      <c r="CV824" s="20" t="n"/>
      <c r="CW824" s="20" t="inlineStr">
        <is>
          <t>None</t>
        </is>
      </c>
      <c r="CX824" s="17" t="n"/>
      <c r="CY824" s="16" t="n"/>
      <c r="CZ824" s="20" t="inlineStr">
        <is>
          <t>WTW Multimeter 3430 with FDO 925</t>
        </is>
      </c>
      <c r="DA824" s="20" t="inlineStr">
        <is>
          <t>None</t>
        </is>
      </c>
      <c r="DB824" s="17" t="n"/>
      <c r="DC824" s="16" t="n"/>
      <c r="DD824" s="20" t="n"/>
      <c r="DE824" s="20" t="inlineStr">
        <is>
          <t>None</t>
        </is>
      </c>
      <c r="DF824" s="17" t="n"/>
      <c r="DG824" s="16" t="n"/>
      <c r="DH824" s="20" t="inlineStr">
        <is>
          <t>SOP 45-09</t>
        </is>
      </c>
      <c r="DI824" s="20" t="inlineStr">
        <is>
          <t>None</t>
        </is>
      </c>
      <c r="DJ824" s="17" t="n"/>
      <c r="DK824" s="16" t="n"/>
      <c r="DL824" s="20" t="inlineStr">
        <is>
          <t>SOP 45-09 (SOP muss noch angepasst werden für VSS)</t>
        </is>
      </c>
      <c r="DM824" s="20" t="inlineStr">
        <is>
          <t>None</t>
        </is>
      </c>
      <c r="DN824" s="17" t="n"/>
      <c r="DO824" s="16" t="n"/>
      <c r="DP824" s="20" t="inlineStr">
        <is>
          <t>IC Organic Acids</t>
        </is>
      </c>
      <c r="DQ824" s="20" t="inlineStr">
        <is>
          <t>None</t>
        </is>
      </c>
      <c r="DR824" s="17" t="n"/>
      <c r="DS824" s="16" t="n"/>
      <c r="DT824" s="20" t="inlineStr">
        <is>
          <t>IC Organic Acids</t>
        </is>
      </c>
      <c r="DU824" s="20" t="inlineStr">
        <is>
          <t>None</t>
        </is>
      </c>
      <c r="DV824" s="17" t="n"/>
      <c r="DW824" s="16" t="n"/>
      <c r="DX824" s="20" t="inlineStr">
        <is>
          <t>IC Organic Acids</t>
        </is>
      </c>
      <c r="DY824" s="20" t="inlineStr">
        <is>
          <t>None</t>
        </is>
      </c>
      <c r="DZ824" s="17" t="n"/>
      <c r="EA824" s="16" t="n"/>
      <c r="EB824" s="20" t="inlineStr">
        <is>
          <t>IC Organic Acids</t>
        </is>
      </c>
      <c r="EC824" s="20" t="inlineStr">
        <is>
          <t>None</t>
        </is>
      </c>
      <c r="ED824" s="17" t="n"/>
      <c r="EE824" s="16" t="n"/>
      <c r="EF824" s="20" t="inlineStr">
        <is>
          <t>IC Organic Acids</t>
        </is>
      </c>
      <c r="EG824" s="20" t="inlineStr">
        <is>
          <t>None</t>
        </is>
      </c>
      <c r="EH824" s="17" t="n"/>
      <c r="EI824" s="16" t="n"/>
      <c r="EJ824" s="20" t="inlineStr">
        <is>
          <t>IC Organic Acids</t>
        </is>
      </c>
      <c r="EK824" s="20" t="inlineStr">
        <is>
          <t>None</t>
        </is>
      </c>
      <c r="EL824" s="17" t="n"/>
      <c r="EM824" s="16" t="n"/>
      <c r="EN824" s="20" t="inlineStr">
        <is>
          <t>IC Organic Acids</t>
        </is>
      </c>
      <c r="EO824" s="20" t="inlineStr">
        <is>
          <t>None</t>
        </is>
      </c>
      <c r="EP824" s="17" t="n"/>
      <c r="EQ824" s="16" t="n"/>
      <c r="ER824" s="20" t="inlineStr">
        <is>
          <t>IC Organic Acids</t>
        </is>
      </c>
      <c r="ES824" s="20" t="inlineStr">
        <is>
          <t>None</t>
        </is>
      </c>
      <c r="ET824" s="17" t="n"/>
      <c r="EU824" s="16" t="n"/>
      <c r="EV824" s="20" t="inlineStr">
        <is>
          <t>LC-MS</t>
        </is>
      </c>
      <c r="EW824" s="20" t="inlineStr">
        <is>
          <t>None</t>
        </is>
      </c>
      <c r="EX824" s="17" t="n"/>
      <c r="EY824" s="21" t="n"/>
      <c r="EZ824">
        <f>CONCATENATE(A824,B824)</f>
        <v/>
      </c>
      <c r="FA824">
        <f>CONCATENATE(SamplesX!A824,SamplesX!B824)</f>
        <v/>
      </c>
      <c r="FC824">
        <f>MATCH(EZ824,FA1:FA1008,0)</f>
        <v/>
      </c>
    </row>
    <row r="825">
      <c r="A825" s="16" t="n"/>
      <c r="B825" s="17" t="n"/>
      <c r="C825" s="10">
        <f>IF(ISNUMBER(FC825),INDIRECT("SamplesX!C"&amp;FC825),IF(ISNUMBER(FD825),INDIRECT("SamplesY!C"&amp;FD825),""))</f>
        <v/>
      </c>
      <c r="D825" s="12">
        <f>IF(ISNUMBER(FC825),INDIRECT("SamplesX!D"&amp;FC825),IF(ISNUMBER(FD825),INDIRECT("SamplesY!D"&amp;FD825),""))</f>
        <v/>
      </c>
      <c r="E825" s="12">
        <f>IF(ISNUMBER(FC825),INDIRECT("SamplesX!E"&amp;FC825),IF(ISNUMBER(FD825),INDIRECT("SamplesY!E"&amp;FD825),""))</f>
        <v/>
      </c>
      <c r="F825" s="11">
        <f>IF(ISNUMBER(FC825),INDIRECT("SamplesX!F"&amp;FC825),IF(ISNUMBER(FD825),INDIRECT("SamplesY!F"&amp;FD825),""))</f>
        <v/>
      </c>
      <c r="G825" s="18">
        <f>IF(ISNUMBER(FC825),INDIRECT("SamplesX!G"&amp;FC825),IF(ISNUMBER(FD825),INDIRECT("SamplesY!G"&amp;FD825),""))</f>
        <v/>
      </c>
      <c r="H825" s="19">
        <f>IF(ISNUMBER(FC825),INDIRECT("SamplesX!H"&amp;FC825),IF(ISNUMBER(FD825),INDIRECT("SamplesY!H"&amp;FD825),""))</f>
        <v/>
      </c>
      <c r="I825" s="16" t="n"/>
      <c r="J825" s="16" t="n"/>
      <c r="K825" s="16" t="n"/>
      <c r="L825" s="20" t="n"/>
      <c r="M825" s="20" t="inlineStr">
        <is>
          <t>None</t>
        </is>
      </c>
      <c r="N825" s="17" t="n"/>
      <c r="O825" s="16" t="n"/>
      <c r="P825" s="20" t="inlineStr">
        <is>
          <t>Shimadzu TOC-L</t>
        </is>
      </c>
      <c r="Q825" s="20" t="inlineStr">
        <is>
          <t>None</t>
        </is>
      </c>
      <c r="R825" s="17" t="n"/>
      <c r="S825" s="16" t="n"/>
      <c r="T825" s="20" t="inlineStr">
        <is>
          <t>Shimadzu TOC-L</t>
        </is>
      </c>
      <c r="U825" s="20" t="inlineStr">
        <is>
          <t>None</t>
        </is>
      </c>
      <c r="V825" s="17" t="n"/>
      <c r="W825" s="16" t="n"/>
      <c r="X825" s="20" t="n"/>
      <c r="Y825" s="20" t="inlineStr">
        <is>
          <t>None</t>
        </is>
      </c>
      <c r="Z825" s="17" t="n"/>
      <c r="AA825" s="16" t="n"/>
      <c r="AB825" s="20" t="n"/>
      <c r="AC825" s="20" t="inlineStr">
        <is>
          <t>None</t>
        </is>
      </c>
      <c r="AD825" s="17" t="n"/>
      <c r="AE825" s="16" t="n"/>
      <c r="AF825" s="20" t="inlineStr">
        <is>
          <t>IC Anionen</t>
        </is>
      </c>
      <c r="AG825" s="20" t="inlineStr">
        <is>
          <t>None</t>
        </is>
      </c>
      <c r="AH825" s="17" t="n"/>
      <c r="AI825" s="16" t="n"/>
      <c r="AJ825" s="20" t="n"/>
      <c r="AK825" s="20" t="inlineStr">
        <is>
          <t>None</t>
        </is>
      </c>
      <c r="AL825" s="17" t="n"/>
      <c r="AM825" s="16" t="n"/>
      <c r="AN825" s="20" t="inlineStr">
        <is>
          <t>IC Anionen</t>
        </is>
      </c>
      <c r="AO825" s="20" t="inlineStr">
        <is>
          <t>None</t>
        </is>
      </c>
      <c r="AP825" s="17" t="n"/>
      <c r="AQ825" s="16" t="n"/>
      <c r="AR825" s="20" t="n"/>
      <c r="AS825" s="20" t="inlineStr">
        <is>
          <t>None</t>
        </is>
      </c>
      <c r="AT825" s="17" t="n"/>
      <c r="AU825" s="16" t="n"/>
      <c r="AV825" s="20" t="n"/>
      <c r="AW825" s="20" t="inlineStr">
        <is>
          <t>None</t>
        </is>
      </c>
      <c r="AX825" s="17" t="n"/>
      <c r="AY825" s="16" t="n"/>
      <c r="AZ825" s="20" t="inlineStr">
        <is>
          <t>IC Anionen</t>
        </is>
      </c>
      <c r="BA825" s="20" t="inlineStr">
        <is>
          <t>None</t>
        </is>
      </c>
      <c r="BB825" s="17" t="n"/>
      <c r="BC825" s="16" t="n"/>
      <c r="BD825" s="20" t="inlineStr">
        <is>
          <t>IC Kationen</t>
        </is>
      </c>
      <c r="BE825" s="20" t="inlineStr">
        <is>
          <t>None</t>
        </is>
      </c>
      <c r="BF825" s="17" t="n"/>
      <c r="BG825" s="16" t="n"/>
      <c r="BH825" s="20" t="inlineStr">
        <is>
          <t>IC Kationen</t>
        </is>
      </c>
      <c r="BI825" s="20" t="inlineStr">
        <is>
          <t>None</t>
        </is>
      </c>
      <c r="BJ825" s="17" t="n"/>
      <c r="BK825" s="16" t="n"/>
      <c r="BL825" s="20" t="inlineStr">
        <is>
          <t>IC Kationen</t>
        </is>
      </c>
      <c r="BM825" s="20" t="inlineStr">
        <is>
          <t>None</t>
        </is>
      </c>
      <c r="BN825" s="17" t="n"/>
      <c r="BO825" s="16" t="n"/>
      <c r="BP825" s="20" t="inlineStr">
        <is>
          <t>IC Kationen</t>
        </is>
      </c>
      <c r="BQ825" s="20" t="inlineStr">
        <is>
          <t>None</t>
        </is>
      </c>
      <c r="BR825" s="17" t="n"/>
      <c r="BS825" s="16" t="n"/>
      <c r="BT825" s="20" t="inlineStr">
        <is>
          <t>IC Kationen</t>
        </is>
      </c>
      <c r="BU825" s="20" t="inlineStr">
        <is>
          <t>None</t>
        </is>
      </c>
      <c r="BV825" s="17" t="n"/>
      <c r="BW825" s="16" t="n"/>
      <c r="BX825" s="20" t="n"/>
      <c r="BY825" s="20" t="inlineStr">
        <is>
          <t>None</t>
        </is>
      </c>
      <c r="BZ825" s="17" t="n"/>
      <c r="CA825" s="16" t="n"/>
      <c r="CB825" s="20" t="n"/>
      <c r="CC825" s="20" t="inlineStr">
        <is>
          <t>None</t>
        </is>
      </c>
      <c r="CD825" s="17" t="n"/>
      <c r="CE825" s="16" t="n"/>
      <c r="CF825" s="20" t="n"/>
      <c r="CG825" s="20" t="inlineStr">
        <is>
          <t>None</t>
        </is>
      </c>
      <c r="CH825" s="17" t="n"/>
      <c r="CI825" s="16" t="n"/>
      <c r="CJ825" s="20" t="n"/>
      <c r="CK825" s="20" t="inlineStr">
        <is>
          <t>None</t>
        </is>
      </c>
      <c r="CL825" s="17" t="n"/>
      <c r="CM825" s="16" t="n"/>
      <c r="CN825" s="20" t="inlineStr">
        <is>
          <t>SOP 45-34</t>
        </is>
      </c>
      <c r="CO825" s="20" t="inlineStr">
        <is>
          <t>None</t>
        </is>
      </c>
      <c r="CP825" s="17" t="n"/>
      <c r="CQ825" s="16" t="n"/>
      <c r="CR825" s="20" t="n"/>
      <c r="CS825" s="20" t="inlineStr">
        <is>
          <t>None</t>
        </is>
      </c>
      <c r="CT825" s="17" t="n"/>
      <c r="CU825" s="16" t="n"/>
      <c r="CV825" s="20" t="n"/>
      <c r="CW825" s="20" t="inlineStr">
        <is>
          <t>None</t>
        </is>
      </c>
      <c r="CX825" s="17" t="n"/>
      <c r="CY825" s="16" t="n"/>
      <c r="CZ825" s="20" t="inlineStr">
        <is>
          <t>WTW Multimeter 3430 with FDO 925</t>
        </is>
      </c>
      <c r="DA825" s="20" t="inlineStr">
        <is>
          <t>None</t>
        </is>
      </c>
      <c r="DB825" s="17" t="n"/>
      <c r="DC825" s="16" t="n"/>
      <c r="DD825" s="20" t="n"/>
      <c r="DE825" s="20" t="inlineStr">
        <is>
          <t>None</t>
        </is>
      </c>
      <c r="DF825" s="17" t="n"/>
      <c r="DG825" s="16" t="n"/>
      <c r="DH825" s="20" t="inlineStr">
        <is>
          <t>SOP 45-09</t>
        </is>
      </c>
      <c r="DI825" s="20" t="inlineStr">
        <is>
          <t>None</t>
        </is>
      </c>
      <c r="DJ825" s="17" t="n"/>
      <c r="DK825" s="16" t="n"/>
      <c r="DL825" s="20" t="inlineStr">
        <is>
          <t>SOP 45-09 (SOP muss noch angepasst werden für VSS)</t>
        </is>
      </c>
      <c r="DM825" s="20" t="inlineStr">
        <is>
          <t>None</t>
        </is>
      </c>
      <c r="DN825" s="17" t="n"/>
      <c r="DO825" s="16" t="n"/>
      <c r="DP825" s="20" t="inlineStr">
        <is>
          <t>IC Organic Acids</t>
        </is>
      </c>
      <c r="DQ825" s="20" t="inlineStr">
        <is>
          <t>None</t>
        </is>
      </c>
      <c r="DR825" s="17" t="n"/>
      <c r="DS825" s="16" t="n"/>
      <c r="DT825" s="20" t="inlineStr">
        <is>
          <t>IC Organic Acids</t>
        </is>
      </c>
      <c r="DU825" s="20" t="inlineStr">
        <is>
          <t>None</t>
        </is>
      </c>
      <c r="DV825" s="17" t="n"/>
      <c r="DW825" s="16" t="n"/>
      <c r="DX825" s="20" t="inlineStr">
        <is>
          <t>IC Organic Acids</t>
        </is>
      </c>
      <c r="DY825" s="20" t="inlineStr">
        <is>
          <t>None</t>
        </is>
      </c>
      <c r="DZ825" s="17" t="n"/>
      <c r="EA825" s="16" t="n"/>
      <c r="EB825" s="20" t="inlineStr">
        <is>
          <t>IC Organic Acids</t>
        </is>
      </c>
      <c r="EC825" s="20" t="inlineStr">
        <is>
          <t>None</t>
        </is>
      </c>
      <c r="ED825" s="17" t="n"/>
      <c r="EE825" s="16" t="n"/>
      <c r="EF825" s="20" t="inlineStr">
        <is>
          <t>IC Organic Acids</t>
        </is>
      </c>
      <c r="EG825" s="20" t="inlineStr">
        <is>
          <t>None</t>
        </is>
      </c>
      <c r="EH825" s="17" t="n"/>
      <c r="EI825" s="16" t="n"/>
      <c r="EJ825" s="20" t="inlineStr">
        <is>
          <t>IC Organic Acids</t>
        </is>
      </c>
      <c r="EK825" s="20" t="inlineStr">
        <is>
          <t>None</t>
        </is>
      </c>
      <c r="EL825" s="17" t="n"/>
      <c r="EM825" s="16" t="n"/>
      <c r="EN825" s="20" t="inlineStr">
        <is>
          <t>IC Organic Acids</t>
        </is>
      </c>
      <c r="EO825" s="20" t="inlineStr">
        <is>
          <t>None</t>
        </is>
      </c>
      <c r="EP825" s="17" t="n"/>
      <c r="EQ825" s="16" t="n"/>
      <c r="ER825" s="20" t="inlineStr">
        <is>
          <t>IC Organic Acids</t>
        </is>
      </c>
      <c r="ES825" s="20" t="inlineStr">
        <is>
          <t>None</t>
        </is>
      </c>
      <c r="ET825" s="17" t="n"/>
      <c r="EU825" s="16" t="n"/>
      <c r="EV825" s="20" t="inlineStr">
        <is>
          <t>LC-MS</t>
        </is>
      </c>
      <c r="EW825" s="20" t="inlineStr">
        <is>
          <t>None</t>
        </is>
      </c>
      <c r="EX825" s="17" t="n"/>
      <c r="EY825" s="21" t="n"/>
      <c r="EZ825">
        <f>CONCATENATE(A825,B825)</f>
        <v/>
      </c>
      <c r="FA825">
        <f>CONCATENATE(SamplesX!A825,SamplesX!B825)</f>
        <v/>
      </c>
      <c r="FC825">
        <f>MATCH(EZ825,FA1:FA1008,0)</f>
        <v/>
      </c>
    </row>
    <row r="826">
      <c r="A826" s="16" t="n"/>
      <c r="B826" s="17" t="n"/>
      <c r="C826" s="10">
        <f>IF(ISNUMBER(FC826),INDIRECT("SamplesX!C"&amp;FC826),IF(ISNUMBER(FD826),INDIRECT("SamplesY!C"&amp;FD826),""))</f>
        <v/>
      </c>
      <c r="D826" s="12">
        <f>IF(ISNUMBER(FC826),INDIRECT("SamplesX!D"&amp;FC826),IF(ISNUMBER(FD826),INDIRECT("SamplesY!D"&amp;FD826),""))</f>
        <v/>
      </c>
      <c r="E826" s="12">
        <f>IF(ISNUMBER(FC826),INDIRECT("SamplesX!E"&amp;FC826),IF(ISNUMBER(FD826),INDIRECT("SamplesY!E"&amp;FD826),""))</f>
        <v/>
      </c>
      <c r="F826" s="11">
        <f>IF(ISNUMBER(FC826),INDIRECT("SamplesX!F"&amp;FC826),IF(ISNUMBER(FD826),INDIRECT("SamplesY!F"&amp;FD826),""))</f>
        <v/>
      </c>
      <c r="G826" s="18">
        <f>IF(ISNUMBER(FC826),INDIRECT("SamplesX!G"&amp;FC826),IF(ISNUMBER(FD826),INDIRECT("SamplesY!G"&amp;FD826),""))</f>
        <v/>
      </c>
      <c r="H826" s="19">
        <f>IF(ISNUMBER(FC826),INDIRECT("SamplesX!H"&amp;FC826),IF(ISNUMBER(FD826),INDIRECT("SamplesY!H"&amp;FD826),""))</f>
        <v/>
      </c>
      <c r="I826" s="16" t="n"/>
      <c r="J826" s="16" t="n"/>
      <c r="K826" s="16" t="n"/>
      <c r="L826" s="20" t="n"/>
      <c r="M826" s="20" t="inlineStr">
        <is>
          <t>None</t>
        </is>
      </c>
      <c r="N826" s="17" t="n"/>
      <c r="O826" s="16" t="n"/>
      <c r="P826" s="20" t="inlineStr">
        <is>
          <t>Shimadzu TOC-L</t>
        </is>
      </c>
      <c r="Q826" s="20" t="inlineStr">
        <is>
          <t>None</t>
        </is>
      </c>
      <c r="R826" s="17" t="n"/>
      <c r="S826" s="16" t="n"/>
      <c r="T826" s="20" t="inlineStr">
        <is>
          <t>Shimadzu TOC-L</t>
        </is>
      </c>
      <c r="U826" s="20" t="inlineStr">
        <is>
          <t>None</t>
        </is>
      </c>
      <c r="V826" s="17" t="n"/>
      <c r="W826" s="16" t="n"/>
      <c r="X826" s="20" t="n"/>
      <c r="Y826" s="20" t="inlineStr">
        <is>
          <t>None</t>
        </is>
      </c>
      <c r="Z826" s="17" t="n"/>
      <c r="AA826" s="16" t="n"/>
      <c r="AB826" s="20" t="n"/>
      <c r="AC826" s="20" t="inlineStr">
        <is>
          <t>None</t>
        </is>
      </c>
      <c r="AD826" s="17" t="n"/>
      <c r="AE826" s="16" t="n"/>
      <c r="AF826" s="20" t="inlineStr">
        <is>
          <t>IC Anionen</t>
        </is>
      </c>
      <c r="AG826" s="20" t="inlineStr">
        <is>
          <t>None</t>
        </is>
      </c>
      <c r="AH826" s="17" t="n"/>
      <c r="AI826" s="16" t="n"/>
      <c r="AJ826" s="20" t="n"/>
      <c r="AK826" s="20" t="inlineStr">
        <is>
          <t>None</t>
        </is>
      </c>
      <c r="AL826" s="17" t="n"/>
      <c r="AM826" s="16" t="n"/>
      <c r="AN826" s="20" t="inlineStr">
        <is>
          <t>IC Anionen</t>
        </is>
      </c>
      <c r="AO826" s="20" t="inlineStr">
        <is>
          <t>None</t>
        </is>
      </c>
      <c r="AP826" s="17" t="n"/>
      <c r="AQ826" s="16" t="n"/>
      <c r="AR826" s="20" t="n"/>
      <c r="AS826" s="20" t="inlineStr">
        <is>
          <t>None</t>
        </is>
      </c>
      <c r="AT826" s="17" t="n"/>
      <c r="AU826" s="16" t="n"/>
      <c r="AV826" s="20" t="n"/>
      <c r="AW826" s="20" t="inlineStr">
        <is>
          <t>None</t>
        </is>
      </c>
      <c r="AX826" s="17" t="n"/>
      <c r="AY826" s="16" t="n"/>
      <c r="AZ826" s="20" t="inlineStr">
        <is>
          <t>IC Anionen</t>
        </is>
      </c>
      <c r="BA826" s="20" t="inlineStr">
        <is>
          <t>None</t>
        </is>
      </c>
      <c r="BB826" s="17" t="n"/>
      <c r="BC826" s="16" t="n"/>
      <c r="BD826" s="20" t="inlineStr">
        <is>
          <t>IC Kationen</t>
        </is>
      </c>
      <c r="BE826" s="20" t="inlineStr">
        <is>
          <t>None</t>
        </is>
      </c>
      <c r="BF826" s="17" t="n"/>
      <c r="BG826" s="16" t="n"/>
      <c r="BH826" s="20" t="inlineStr">
        <is>
          <t>IC Kationen</t>
        </is>
      </c>
      <c r="BI826" s="20" t="inlineStr">
        <is>
          <t>None</t>
        </is>
      </c>
      <c r="BJ826" s="17" t="n"/>
      <c r="BK826" s="16" t="n"/>
      <c r="BL826" s="20" t="inlineStr">
        <is>
          <t>IC Kationen</t>
        </is>
      </c>
      <c r="BM826" s="20" t="inlineStr">
        <is>
          <t>None</t>
        </is>
      </c>
      <c r="BN826" s="17" t="n"/>
      <c r="BO826" s="16" t="n"/>
      <c r="BP826" s="20" t="inlineStr">
        <is>
          <t>IC Kationen</t>
        </is>
      </c>
      <c r="BQ826" s="20" t="inlineStr">
        <is>
          <t>None</t>
        </is>
      </c>
      <c r="BR826" s="17" t="n"/>
      <c r="BS826" s="16" t="n"/>
      <c r="BT826" s="20" t="inlineStr">
        <is>
          <t>IC Kationen</t>
        </is>
      </c>
      <c r="BU826" s="20" t="inlineStr">
        <is>
          <t>None</t>
        </is>
      </c>
      <c r="BV826" s="17" t="n"/>
      <c r="BW826" s="16" t="n"/>
      <c r="BX826" s="20" t="n"/>
      <c r="BY826" s="20" t="inlineStr">
        <is>
          <t>None</t>
        </is>
      </c>
      <c r="BZ826" s="17" t="n"/>
      <c r="CA826" s="16" t="n"/>
      <c r="CB826" s="20" t="n"/>
      <c r="CC826" s="20" t="inlineStr">
        <is>
          <t>None</t>
        </is>
      </c>
      <c r="CD826" s="17" t="n"/>
      <c r="CE826" s="16" t="n"/>
      <c r="CF826" s="20" t="n"/>
      <c r="CG826" s="20" t="inlineStr">
        <is>
          <t>None</t>
        </is>
      </c>
      <c r="CH826" s="17" t="n"/>
      <c r="CI826" s="16" t="n"/>
      <c r="CJ826" s="20" t="n"/>
      <c r="CK826" s="20" t="inlineStr">
        <is>
          <t>None</t>
        </is>
      </c>
      <c r="CL826" s="17" t="n"/>
      <c r="CM826" s="16" t="n"/>
      <c r="CN826" s="20" t="inlineStr">
        <is>
          <t>SOP 45-34</t>
        </is>
      </c>
      <c r="CO826" s="20" t="inlineStr">
        <is>
          <t>None</t>
        </is>
      </c>
      <c r="CP826" s="17" t="n"/>
      <c r="CQ826" s="16" t="n"/>
      <c r="CR826" s="20" t="n"/>
      <c r="CS826" s="20" t="inlineStr">
        <is>
          <t>None</t>
        </is>
      </c>
      <c r="CT826" s="17" t="n"/>
      <c r="CU826" s="16" t="n"/>
      <c r="CV826" s="20" t="n"/>
      <c r="CW826" s="20" t="inlineStr">
        <is>
          <t>None</t>
        </is>
      </c>
      <c r="CX826" s="17" t="n"/>
      <c r="CY826" s="16" t="n"/>
      <c r="CZ826" s="20" t="inlineStr">
        <is>
          <t>WTW Multimeter 3430 with FDO 925</t>
        </is>
      </c>
      <c r="DA826" s="20" t="inlineStr">
        <is>
          <t>None</t>
        </is>
      </c>
      <c r="DB826" s="17" t="n"/>
      <c r="DC826" s="16" t="n"/>
      <c r="DD826" s="20" t="n"/>
      <c r="DE826" s="20" t="inlineStr">
        <is>
          <t>None</t>
        </is>
      </c>
      <c r="DF826" s="17" t="n"/>
      <c r="DG826" s="16" t="n"/>
      <c r="DH826" s="20" t="inlineStr">
        <is>
          <t>SOP 45-09</t>
        </is>
      </c>
      <c r="DI826" s="20" t="inlineStr">
        <is>
          <t>None</t>
        </is>
      </c>
      <c r="DJ826" s="17" t="n"/>
      <c r="DK826" s="16" t="n"/>
      <c r="DL826" s="20" t="inlineStr">
        <is>
          <t>SOP 45-09 (SOP muss noch angepasst werden für VSS)</t>
        </is>
      </c>
      <c r="DM826" s="20" t="inlineStr">
        <is>
          <t>None</t>
        </is>
      </c>
      <c r="DN826" s="17" t="n"/>
      <c r="DO826" s="16" t="n"/>
      <c r="DP826" s="20" t="inlineStr">
        <is>
          <t>IC Organic Acids</t>
        </is>
      </c>
      <c r="DQ826" s="20" t="inlineStr">
        <is>
          <t>None</t>
        </is>
      </c>
      <c r="DR826" s="17" t="n"/>
      <c r="DS826" s="16" t="n"/>
      <c r="DT826" s="20" t="inlineStr">
        <is>
          <t>IC Organic Acids</t>
        </is>
      </c>
      <c r="DU826" s="20" t="inlineStr">
        <is>
          <t>None</t>
        </is>
      </c>
      <c r="DV826" s="17" t="n"/>
      <c r="DW826" s="16" t="n"/>
      <c r="DX826" s="20" t="inlineStr">
        <is>
          <t>IC Organic Acids</t>
        </is>
      </c>
      <c r="DY826" s="20" t="inlineStr">
        <is>
          <t>None</t>
        </is>
      </c>
      <c r="DZ826" s="17" t="n"/>
      <c r="EA826" s="16" t="n"/>
      <c r="EB826" s="20" t="inlineStr">
        <is>
          <t>IC Organic Acids</t>
        </is>
      </c>
      <c r="EC826" s="20" t="inlineStr">
        <is>
          <t>None</t>
        </is>
      </c>
      <c r="ED826" s="17" t="n"/>
      <c r="EE826" s="16" t="n"/>
      <c r="EF826" s="20" t="inlineStr">
        <is>
          <t>IC Organic Acids</t>
        </is>
      </c>
      <c r="EG826" s="20" t="inlineStr">
        <is>
          <t>None</t>
        </is>
      </c>
      <c r="EH826" s="17" t="n"/>
      <c r="EI826" s="16" t="n"/>
      <c r="EJ826" s="20" t="inlineStr">
        <is>
          <t>IC Organic Acids</t>
        </is>
      </c>
      <c r="EK826" s="20" t="inlineStr">
        <is>
          <t>None</t>
        </is>
      </c>
      <c r="EL826" s="17" t="n"/>
      <c r="EM826" s="16" t="n"/>
      <c r="EN826" s="20" t="inlineStr">
        <is>
          <t>IC Organic Acids</t>
        </is>
      </c>
      <c r="EO826" s="20" t="inlineStr">
        <is>
          <t>None</t>
        </is>
      </c>
      <c r="EP826" s="17" t="n"/>
      <c r="EQ826" s="16" t="n"/>
      <c r="ER826" s="20" t="inlineStr">
        <is>
          <t>IC Organic Acids</t>
        </is>
      </c>
      <c r="ES826" s="20" t="inlineStr">
        <is>
          <t>None</t>
        </is>
      </c>
      <c r="ET826" s="17" t="n"/>
      <c r="EU826" s="16" t="n"/>
      <c r="EV826" s="20" t="inlineStr">
        <is>
          <t>LC-MS</t>
        </is>
      </c>
      <c r="EW826" s="20" t="inlineStr">
        <is>
          <t>None</t>
        </is>
      </c>
      <c r="EX826" s="17" t="n"/>
      <c r="EY826" s="21" t="n"/>
      <c r="EZ826">
        <f>CONCATENATE(A826,B826)</f>
        <v/>
      </c>
      <c r="FA826">
        <f>CONCATENATE(SamplesX!A826,SamplesX!B826)</f>
        <v/>
      </c>
      <c r="FC826">
        <f>MATCH(EZ826,FA1:FA1008,0)</f>
        <v/>
      </c>
    </row>
    <row r="827">
      <c r="A827" s="16" t="n"/>
      <c r="B827" s="17" t="n"/>
      <c r="C827" s="10">
        <f>IF(ISNUMBER(FC827),INDIRECT("SamplesX!C"&amp;FC827),IF(ISNUMBER(FD827),INDIRECT("SamplesY!C"&amp;FD827),""))</f>
        <v/>
      </c>
      <c r="D827" s="12">
        <f>IF(ISNUMBER(FC827),INDIRECT("SamplesX!D"&amp;FC827),IF(ISNUMBER(FD827),INDIRECT("SamplesY!D"&amp;FD827),""))</f>
        <v/>
      </c>
      <c r="E827" s="12">
        <f>IF(ISNUMBER(FC827),INDIRECT("SamplesX!E"&amp;FC827),IF(ISNUMBER(FD827),INDIRECT("SamplesY!E"&amp;FD827),""))</f>
        <v/>
      </c>
      <c r="F827" s="11">
        <f>IF(ISNUMBER(FC827),INDIRECT("SamplesX!F"&amp;FC827),IF(ISNUMBER(FD827),INDIRECT("SamplesY!F"&amp;FD827),""))</f>
        <v/>
      </c>
      <c r="G827" s="18">
        <f>IF(ISNUMBER(FC827),INDIRECT("SamplesX!G"&amp;FC827),IF(ISNUMBER(FD827),INDIRECT("SamplesY!G"&amp;FD827),""))</f>
        <v/>
      </c>
      <c r="H827" s="19">
        <f>IF(ISNUMBER(FC827),INDIRECT("SamplesX!H"&amp;FC827),IF(ISNUMBER(FD827),INDIRECT("SamplesY!H"&amp;FD827),""))</f>
        <v/>
      </c>
      <c r="I827" s="16" t="n"/>
      <c r="J827" s="16" t="n"/>
      <c r="K827" s="16" t="n"/>
      <c r="L827" s="20" t="n"/>
      <c r="M827" s="20" t="inlineStr">
        <is>
          <t>None</t>
        </is>
      </c>
      <c r="N827" s="17" t="n"/>
      <c r="O827" s="16" t="n"/>
      <c r="P827" s="20" t="inlineStr">
        <is>
          <t>Shimadzu TOC-L</t>
        </is>
      </c>
      <c r="Q827" s="20" t="inlineStr">
        <is>
          <t>None</t>
        </is>
      </c>
      <c r="R827" s="17" t="n"/>
      <c r="S827" s="16" t="n"/>
      <c r="T827" s="20" t="inlineStr">
        <is>
          <t>Shimadzu TOC-L</t>
        </is>
      </c>
      <c r="U827" s="20" t="inlineStr">
        <is>
          <t>None</t>
        </is>
      </c>
      <c r="V827" s="17" t="n"/>
      <c r="W827" s="16" t="n"/>
      <c r="X827" s="20" t="n"/>
      <c r="Y827" s="20" t="inlineStr">
        <is>
          <t>None</t>
        </is>
      </c>
      <c r="Z827" s="17" t="n"/>
      <c r="AA827" s="16" t="n"/>
      <c r="AB827" s="20" t="n"/>
      <c r="AC827" s="20" t="inlineStr">
        <is>
          <t>None</t>
        </is>
      </c>
      <c r="AD827" s="17" t="n"/>
      <c r="AE827" s="16" t="n"/>
      <c r="AF827" s="20" t="inlineStr">
        <is>
          <t>IC Anionen</t>
        </is>
      </c>
      <c r="AG827" s="20" t="inlineStr">
        <is>
          <t>None</t>
        </is>
      </c>
      <c r="AH827" s="17" t="n"/>
      <c r="AI827" s="16" t="n"/>
      <c r="AJ827" s="20" t="n"/>
      <c r="AK827" s="20" t="inlineStr">
        <is>
          <t>None</t>
        </is>
      </c>
      <c r="AL827" s="17" t="n"/>
      <c r="AM827" s="16" t="n"/>
      <c r="AN827" s="20" t="inlineStr">
        <is>
          <t>IC Anionen</t>
        </is>
      </c>
      <c r="AO827" s="20" t="inlineStr">
        <is>
          <t>None</t>
        </is>
      </c>
      <c r="AP827" s="17" t="n"/>
      <c r="AQ827" s="16" t="n"/>
      <c r="AR827" s="20" t="n"/>
      <c r="AS827" s="20" t="inlineStr">
        <is>
          <t>None</t>
        </is>
      </c>
      <c r="AT827" s="17" t="n"/>
      <c r="AU827" s="16" t="n"/>
      <c r="AV827" s="20" t="n"/>
      <c r="AW827" s="20" t="inlineStr">
        <is>
          <t>None</t>
        </is>
      </c>
      <c r="AX827" s="17" t="n"/>
      <c r="AY827" s="16" t="n"/>
      <c r="AZ827" s="20" t="inlineStr">
        <is>
          <t>IC Anionen</t>
        </is>
      </c>
      <c r="BA827" s="20" t="inlineStr">
        <is>
          <t>None</t>
        </is>
      </c>
      <c r="BB827" s="17" t="n"/>
      <c r="BC827" s="16" t="n"/>
      <c r="BD827" s="20" t="inlineStr">
        <is>
          <t>IC Kationen</t>
        </is>
      </c>
      <c r="BE827" s="20" t="inlineStr">
        <is>
          <t>None</t>
        </is>
      </c>
      <c r="BF827" s="17" t="n"/>
      <c r="BG827" s="16" t="n"/>
      <c r="BH827" s="20" t="inlineStr">
        <is>
          <t>IC Kationen</t>
        </is>
      </c>
      <c r="BI827" s="20" t="inlineStr">
        <is>
          <t>None</t>
        </is>
      </c>
      <c r="BJ827" s="17" t="n"/>
      <c r="BK827" s="16" t="n"/>
      <c r="BL827" s="20" t="inlineStr">
        <is>
          <t>IC Kationen</t>
        </is>
      </c>
      <c r="BM827" s="20" t="inlineStr">
        <is>
          <t>None</t>
        </is>
      </c>
      <c r="BN827" s="17" t="n"/>
      <c r="BO827" s="16" t="n"/>
      <c r="BP827" s="20" t="inlineStr">
        <is>
          <t>IC Kationen</t>
        </is>
      </c>
      <c r="BQ827" s="20" t="inlineStr">
        <is>
          <t>None</t>
        </is>
      </c>
      <c r="BR827" s="17" t="n"/>
      <c r="BS827" s="16" t="n"/>
      <c r="BT827" s="20" t="inlineStr">
        <is>
          <t>IC Kationen</t>
        </is>
      </c>
      <c r="BU827" s="20" t="inlineStr">
        <is>
          <t>None</t>
        </is>
      </c>
      <c r="BV827" s="17" t="n"/>
      <c r="BW827" s="16" t="n"/>
      <c r="BX827" s="20" t="n"/>
      <c r="BY827" s="20" t="inlineStr">
        <is>
          <t>None</t>
        </is>
      </c>
      <c r="BZ827" s="17" t="n"/>
      <c r="CA827" s="16" t="n"/>
      <c r="CB827" s="20" t="n"/>
      <c r="CC827" s="20" t="inlineStr">
        <is>
          <t>None</t>
        </is>
      </c>
      <c r="CD827" s="17" t="n"/>
      <c r="CE827" s="16" t="n"/>
      <c r="CF827" s="20" t="n"/>
      <c r="CG827" s="20" t="inlineStr">
        <is>
          <t>None</t>
        </is>
      </c>
      <c r="CH827" s="17" t="n"/>
      <c r="CI827" s="16" t="n"/>
      <c r="CJ827" s="20" t="n"/>
      <c r="CK827" s="20" t="inlineStr">
        <is>
          <t>None</t>
        </is>
      </c>
      <c r="CL827" s="17" t="n"/>
      <c r="CM827" s="16" t="n"/>
      <c r="CN827" s="20" t="inlineStr">
        <is>
          <t>SOP 45-34</t>
        </is>
      </c>
      <c r="CO827" s="20" t="inlineStr">
        <is>
          <t>None</t>
        </is>
      </c>
      <c r="CP827" s="17" t="n"/>
      <c r="CQ827" s="16" t="n"/>
      <c r="CR827" s="20" t="n"/>
      <c r="CS827" s="20" t="inlineStr">
        <is>
          <t>None</t>
        </is>
      </c>
      <c r="CT827" s="17" t="n"/>
      <c r="CU827" s="16" t="n"/>
      <c r="CV827" s="20" t="n"/>
      <c r="CW827" s="20" t="inlineStr">
        <is>
          <t>None</t>
        </is>
      </c>
      <c r="CX827" s="17" t="n"/>
      <c r="CY827" s="16" t="n"/>
      <c r="CZ827" s="20" t="inlineStr">
        <is>
          <t>WTW Multimeter 3430 with FDO 925</t>
        </is>
      </c>
      <c r="DA827" s="20" t="inlineStr">
        <is>
          <t>None</t>
        </is>
      </c>
      <c r="DB827" s="17" t="n"/>
      <c r="DC827" s="16" t="n"/>
      <c r="DD827" s="20" t="n"/>
      <c r="DE827" s="20" t="inlineStr">
        <is>
          <t>None</t>
        </is>
      </c>
      <c r="DF827" s="17" t="n"/>
      <c r="DG827" s="16" t="n"/>
      <c r="DH827" s="20" t="inlineStr">
        <is>
          <t>SOP 45-09</t>
        </is>
      </c>
      <c r="DI827" s="20" t="inlineStr">
        <is>
          <t>None</t>
        </is>
      </c>
      <c r="DJ827" s="17" t="n"/>
      <c r="DK827" s="16" t="n"/>
      <c r="DL827" s="20" t="inlineStr">
        <is>
          <t>SOP 45-09 (SOP muss noch angepasst werden für VSS)</t>
        </is>
      </c>
      <c r="DM827" s="20" t="inlineStr">
        <is>
          <t>None</t>
        </is>
      </c>
      <c r="DN827" s="17" t="n"/>
      <c r="DO827" s="16" t="n"/>
      <c r="DP827" s="20" t="inlineStr">
        <is>
          <t>IC Organic Acids</t>
        </is>
      </c>
      <c r="DQ827" s="20" t="inlineStr">
        <is>
          <t>None</t>
        </is>
      </c>
      <c r="DR827" s="17" t="n"/>
      <c r="DS827" s="16" t="n"/>
      <c r="DT827" s="20" t="inlineStr">
        <is>
          <t>IC Organic Acids</t>
        </is>
      </c>
      <c r="DU827" s="20" t="inlineStr">
        <is>
          <t>None</t>
        </is>
      </c>
      <c r="DV827" s="17" t="n"/>
      <c r="DW827" s="16" t="n"/>
      <c r="DX827" s="20" t="inlineStr">
        <is>
          <t>IC Organic Acids</t>
        </is>
      </c>
      <c r="DY827" s="20" t="inlineStr">
        <is>
          <t>None</t>
        </is>
      </c>
      <c r="DZ827" s="17" t="n"/>
      <c r="EA827" s="16" t="n"/>
      <c r="EB827" s="20" t="inlineStr">
        <is>
          <t>IC Organic Acids</t>
        </is>
      </c>
      <c r="EC827" s="20" t="inlineStr">
        <is>
          <t>None</t>
        </is>
      </c>
      <c r="ED827" s="17" t="n"/>
      <c r="EE827" s="16" t="n"/>
      <c r="EF827" s="20" t="inlineStr">
        <is>
          <t>IC Organic Acids</t>
        </is>
      </c>
      <c r="EG827" s="20" t="inlineStr">
        <is>
          <t>None</t>
        </is>
      </c>
      <c r="EH827" s="17" t="n"/>
      <c r="EI827" s="16" t="n"/>
      <c r="EJ827" s="20" t="inlineStr">
        <is>
          <t>IC Organic Acids</t>
        </is>
      </c>
      <c r="EK827" s="20" t="inlineStr">
        <is>
          <t>None</t>
        </is>
      </c>
      <c r="EL827" s="17" t="n"/>
      <c r="EM827" s="16" t="n"/>
      <c r="EN827" s="20" t="inlineStr">
        <is>
          <t>IC Organic Acids</t>
        </is>
      </c>
      <c r="EO827" s="20" t="inlineStr">
        <is>
          <t>None</t>
        </is>
      </c>
      <c r="EP827" s="17" t="n"/>
      <c r="EQ827" s="16" t="n"/>
      <c r="ER827" s="20" t="inlineStr">
        <is>
          <t>IC Organic Acids</t>
        </is>
      </c>
      <c r="ES827" s="20" t="inlineStr">
        <is>
          <t>None</t>
        </is>
      </c>
      <c r="ET827" s="17" t="n"/>
      <c r="EU827" s="16" t="n"/>
      <c r="EV827" s="20" t="inlineStr">
        <is>
          <t>LC-MS</t>
        </is>
      </c>
      <c r="EW827" s="20" t="inlineStr">
        <is>
          <t>None</t>
        </is>
      </c>
      <c r="EX827" s="17" t="n"/>
      <c r="EY827" s="21" t="n"/>
      <c r="EZ827">
        <f>CONCATENATE(A827,B827)</f>
        <v/>
      </c>
      <c r="FA827">
        <f>CONCATENATE(SamplesX!A827,SamplesX!B827)</f>
        <v/>
      </c>
      <c r="FC827">
        <f>MATCH(EZ827,FA1:FA1008,0)</f>
        <v/>
      </c>
    </row>
    <row r="828">
      <c r="A828" s="16" t="n"/>
      <c r="B828" s="17" t="n"/>
      <c r="C828" s="10">
        <f>IF(ISNUMBER(FC828),INDIRECT("SamplesX!C"&amp;FC828),IF(ISNUMBER(FD828),INDIRECT("SamplesY!C"&amp;FD828),""))</f>
        <v/>
      </c>
      <c r="D828" s="12">
        <f>IF(ISNUMBER(FC828),INDIRECT("SamplesX!D"&amp;FC828),IF(ISNUMBER(FD828),INDIRECT("SamplesY!D"&amp;FD828),""))</f>
        <v/>
      </c>
      <c r="E828" s="12">
        <f>IF(ISNUMBER(FC828),INDIRECT("SamplesX!E"&amp;FC828),IF(ISNUMBER(FD828),INDIRECT("SamplesY!E"&amp;FD828),""))</f>
        <v/>
      </c>
      <c r="F828" s="11">
        <f>IF(ISNUMBER(FC828),INDIRECT("SamplesX!F"&amp;FC828),IF(ISNUMBER(FD828),INDIRECT("SamplesY!F"&amp;FD828),""))</f>
        <v/>
      </c>
      <c r="G828" s="18">
        <f>IF(ISNUMBER(FC828),INDIRECT("SamplesX!G"&amp;FC828),IF(ISNUMBER(FD828),INDIRECT("SamplesY!G"&amp;FD828),""))</f>
        <v/>
      </c>
      <c r="H828" s="19">
        <f>IF(ISNUMBER(FC828),INDIRECT("SamplesX!H"&amp;FC828),IF(ISNUMBER(FD828),INDIRECT("SamplesY!H"&amp;FD828),""))</f>
        <v/>
      </c>
      <c r="I828" s="16" t="n"/>
      <c r="J828" s="16" t="n"/>
      <c r="K828" s="16" t="n"/>
      <c r="L828" s="20" t="n"/>
      <c r="M828" s="20" t="inlineStr">
        <is>
          <t>None</t>
        </is>
      </c>
      <c r="N828" s="17" t="n"/>
      <c r="O828" s="16" t="n"/>
      <c r="P828" s="20" t="inlineStr">
        <is>
          <t>Shimadzu TOC-L</t>
        </is>
      </c>
      <c r="Q828" s="20" t="inlineStr">
        <is>
          <t>None</t>
        </is>
      </c>
      <c r="R828" s="17" t="n"/>
      <c r="S828" s="16" t="n"/>
      <c r="T828" s="20" t="inlineStr">
        <is>
          <t>Shimadzu TOC-L</t>
        </is>
      </c>
      <c r="U828" s="20" t="inlineStr">
        <is>
          <t>None</t>
        </is>
      </c>
      <c r="V828" s="17" t="n"/>
      <c r="W828" s="16" t="n"/>
      <c r="X828" s="20" t="n"/>
      <c r="Y828" s="20" t="inlineStr">
        <is>
          <t>None</t>
        </is>
      </c>
      <c r="Z828" s="17" t="n"/>
      <c r="AA828" s="16" t="n"/>
      <c r="AB828" s="20" t="n"/>
      <c r="AC828" s="20" t="inlineStr">
        <is>
          <t>None</t>
        </is>
      </c>
      <c r="AD828" s="17" t="n"/>
      <c r="AE828" s="16" t="n"/>
      <c r="AF828" s="20" t="inlineStr">
        <is>
          <t>IC Anionen</t>
        </is>
      </c>
      <c r="AG828" s="20" t="inlineStr">
        <is>
          <t>None</t>
        </is>
      </c>
      <c r="AH828" s="17" t="n"/>
      <c r="AI828" s="16" t="n"/>
      <c r="AJ828" s="20" t="n"/>
      <c r="AK828" s="20" t="inlineStr">
        <is>
          <t>None</t>
        </is>
      </c>
      <c r="AL828" s="17" t="n"/>
      <c r="AM828" s="16" t="n"/>
      <c r="AN828" s="20" t="inlineStr">
        <is>
          <t>IC Anionen</t>
        </is>
      </c>
      <c r="AO828" s="20" t="inlineStr">
        <is>
          <t>None</t>
        </is>
      </c>
      <c r="AP828" s="17" t="n"/>
      <c r="AQ828" s="16" t="n"/>
      <c r="AR828" s="20" t="n"/>
      <c r="AS828" s="20" t="inlineStr">
        <is>
          <t>None</t>
        </is>
      </c>
      <c r="AT828" s="17" t="n"/>
      <c r="AU828" s="16" t="n"/>
      <c r="AV828" s="20" t="n"/>
      <c r="AW828" s="20" t="inlineStr">
        <is>
          <t>None</t>
        </is>
      </c>
      <c r="AX828" s="17" t="n"/>
      <c r="AY828" s="16" t="n"/>
      <c r="AZ828" s="20" t="inlineStr">
        <is>
          <t>IC Anionen</t>
        </is>
      </c>
      <c r="BA828" s="20" t="inlineStr">
        <is>
          <t>None</t>
        </is>
      </c>
      <c r="BB828" s="17" t="n"/>
      <c r="BC828" s="16" t="n"/>
      <c r="BD828" s="20" t="inlineStr">
        <is>
          <t>IC Kationen</t>
        </is>
      </c>
      <c r="BE828" s="20" t="inlineStr">
        <is>
          <t>None</t>
        </is>
      </c>
      <c r="BF828" s="17" t="n"/>
      <c r="BG828" s="16" t="n"/>
      <c r="BH828" s="20" t="inlineStr">
        <is>
          <t>IC Kationen</t>
        </is>
      </c>
      <c r="BI828" s="20" t="inlineStr">
        <is>
          <t>None</t>
        </is>
      </c>
      <c r="BJ828" s="17" t="n"/>
      <c r="BK828" s="16" t="n"/>
      <c r="BL828" s="20" t="inlineStr">
        <is>
          <t>IC Kationen</t>
        </is>
      </c>
      <c r="BM828" s="20" t="inlineStr">
        <is>
          <t>None</t>
        </is>
      </c>
      <c r="BN828" s="17" t="n"/>
      <c r="BO828" s="16" t="n"/>
      <c r="BP828" s="20" t="inlineStr">
        <is>
          <t>IC Kationen</t>
        </is>
      </c>
      <c r="BQ828" s="20" t="inlineStr">
        <is>
          <t>None</t>
        </is>
      </c>
      <c r="BR828" s="17" t="n"/>
      <c r="BS828" s="16" t="n"/>
      <c r="BT828" s="20" t="inlineStr">
        <is>
          <t>IC Kationen</t>
        </is>
      </c>
      <c r="BU828" s="20" t="inlineStr">
        <is>
          <t>None</t>
        </is>
      </c>
      <c r="BV828" s="17" t="n"/>
      <c r="BW828" s="16" t="n"/>
      <c r="BX828" s="20" t="n"/>
      <c r="BY828" s="20" t="inlineStr">
        <is>
          <t>None</t>
        </is>
      </c>
      <c r="BZ828" s="17" t="n"/>
      <c r="CA828" s="16" t="n"/>
      <c r="CB828" s="20" t="n"/>
      <c r="CC828" s="20" t="inlineStr">
        <is>
          <t>None</t>
        </is>
      </c>
      <c r="CD828" s="17" t="n"/>
      <c r="CE828" s="16" t="n"/>
      <c r="CF828" s="20" t="n"/>
      <c r="CG828" s="20" t="inlineStr">
        <is>
          <t>None</t>
        </is>
      </c>
      <c r="CH828" s="17" t="n"/>
      <c r="CI828" s="16" t="n"/>
      <c r="CJ828" s="20" t="n"/>
      <c r="CK828" s="20" t="inlineStr">
        <is>
          <t>None</t>
        </is>
      </c>
      <c r="CL828" s="17" t="n"/>
      <c r="CM828" s="16" t="n"/>
      <c r="CN828" s="20" t="inlineStr">
        <is>
          <t>SOP 45-34</t>
        </is>
      </c>
      <c r="CO828" s="20" t="inlineStr">
        <is>
          <t>None</t>
        </is>
      </c>
      <c r="CP828" s="17" t="n"/>
      <c r="CQ828" s="16" t="n"/>
      <c r="CR828" s="20" t="n"/>
      <c r="CS828" s="20" t="inlineStr">
        <is>
          <t>None</t>
        </is>
      </c>
      <c r="CT828" s="17" t="n"/>
      <c r="CU828" s="16" t="n"/>
      <c r="CV828" s="20" t="n"/>
      <c r="CW828" s="20" t="inlineStr">
        <is>
          <t>None</t>
        </is>
      </c>
      <c r="CX828" s="17" t="n"/>
      <c r="CY828" s="16" t="n"/>
      <c r="CZ828" s="20" t="inlineStr">
        <is>
          <t>WTW Multimeter 3430 with FDO 925</t>
        </is>
      </c>
      <c r="DA828" s="20" t="inlineStr">
        <is>
          <t>None</t>
        </is>
      </c>
      <c r="DB828" s="17" t="n"/>
      <c r="DC828" s="16" t="n"/>
      <c r="DD828" s="20" t="n"/>
      <c r="DE828" s="20" t="inlineStr">
        <is>
          <t>None</t>
        </is>
      </c>
      <c r="DF828" s="17" t="n"/>
      <c r="DG828" s="16" t="n"/>
      <c r="DH828" s="20" t="inlineStr">
        <is>
          <t>SOP 45-09</t>
        </is>
      </c>
      <c r="DI828" s="20" t="inlineStr">
        <is>
          <t>None</t>
        </is>
      </c>
      <c r="DJ828" s="17" t="n"/>
      <c r="DK828" s="16" t="n"/>
      <c r="DL828" s="20" t="inlineStr">
        <is>
          <t>SOP 45-09 (SOP muss noch angepasst werden für VSS)</t>
        </is>
      </c>
      <c r="DM828" s="20" t="inlineStr">
        <is>
          <t>None</t>
        </is>
      </c>
      <c r="DN828" s="17" t="n"/>
      <c r="DO828" s="16" t="n"/>
      <c r="DP828" s="20" t="inlineStr">
        <is>
          <t>IC Organic Acids</t>
        </is>
      </c>
      <c r="DQ828" s="20" t="inlineStr">
        <is>
          <t>None</t>
        </is>
      </c>
      <c r="DR828" s="17" t="n"/>
      <c r="DS828" s="16" t="n"/>
      <c r="DT828" s="20" t="inlineStr">
        <is>
          <t>IC Organic Acids</t>
        </is>
      </c>
      <c r="DU828" s="20" t="inlineStr">
        <is>
          <t>None</t>
        </is>
      </c>
      <c r="DV828" s="17" t="n"/>
      <c r="DW828" s="16" t="n"/>
      <c r="DX828" s="20" t="inlineStr">
        <is>
          <t>IC Organic Acids</t>
        </is>
      </c>
      <c r="DY828" s="20" t="inlineStr">
        <is>
          <t>None</t>
        </is>
      </c>
      <c r="DZ828" s="17" t="n"/>
      <c r="EA828" s="16" t="n"/>
      <c r="EB828" s="20" t="inlineStr">
        <is>
          <t>IC Organic Acids</t>
        </is>
      </c>
      <c r="EC828" s="20" t="inlineStr">
        <is>
          <t>None</t>
        </is>
      </c>
      <c r="ED828" s="17" t="n"/>
      <c r="EE828" s="16" t="n"/>
      <c r="EF828" s="20" t="inlineStr">
        <is>
          <t>IC Organic Acids</t>
        </is>
      </c>
      <c r="EG828" s="20" t="inlineStr">
        <is>
          <t>None</t>
        </is>
      </c>
      <c r="EH828" s="17" t="n"/>
      <c r="EI828" s="16" t="n"/>
      <c r="EJ828" s="20" t="inlineStr">
        <is>
          <t>IC Organic Acids</t>
        </is>
      </c>
      <c r="EK828" s="20" t="inlineStr">
        <is>
          <t>None</t>
        </is>
      </c>
      <c r="EL828" s="17" t="n"/>
      <c r="EM828" s="16" t="n"/>
      <c r="EN828" s="20" t="inlineStr">
        <is>
          <t>IC Organic Acids</t>
        </is>
      </c>
      <c r="EO828" s="20" t="inlineStr">
        <is>
          <t>None</t>
        </is>
      </c>
      <c r="EP828" s="17" t="n"/>
      <c r="EQ828" s="16" t="n"/>
      <c r="ER828" s="20" t="inlineStr">
        <is>
          <t>IC Organic Acids</t>
        </is>
      </c>
      <c r="ES828" s="20" t="inlineStr">
        <is>
          <t>None</t>
        </is>
      </c>
      <c r="ET828" s="17" t="n"/>
      <c r="EU828" s="16" t="n"/>
      <c r="EV828" s="20" t="inlineStr">
        <is>
          <t>LC-MS</t>
        </is>
      </c>
      <c r="EW828" s="20" t="inlineStr">
        <is>
          <t>None</t>
        </is>
      </c>
      <c r="EX828" s="17" t="n"/>
      <c r="EY828" s="21" t="n"/>
      <c r="EZ828">
        <f>CONCATENATE(A828,B828)</f>
        <v/>
      </c>
      <c r="FA828">
        <f>CONCATENATE(SamplesX!A828,SamplesX!B828)</f>
        <v/>
      </c>
      <c r="FC828">
        <f>MATCH(EZ828,FA1:FA1008,0)</f>
        <v/>
      </c>
    </row>
    <row r="829">
      <c r="A829" s="16" t="n"/>
      <c r="B829" s="17" t="n"/>
      <c r="C829" s="10">
        <f>IF(ISNUMBER(FC829),INDIRECT("SamplesX!C"&amp;FC829),IF(ISNUMBER(FD829),INDIRECT("SamplesY!C"&amp;FD829),""))</f>
        <v/>
      </c>
      <c r="D829" s="12">
        <f>IF(ISNUMBER(FC829),INDIRECT("SamplesX!D"&amp;FC829),IF(ISNUMBER(FD829),INDIRECT("SamplesY!D"&amp;FD829),""))</f>
        <v/>
      </c>
      <c r="E829" s="12">
        <f>IF(ISNUMBER(FC829),INDIRECT("SamplesX!E"&amp;FC829),IF(ISNUMBER(FD829),INDIRECT("SamplesY!E"&amp;FD829),""))</f>
        <v/>
      </c>
      <c r="F829" s="11">
        <f>IF(ISNUMBER(FC829),INDIRECT("SamplesX!F"&amp;FC829),IF(ISNUMBER(FD829),INDIRECT("SamplesY!F"&amp;FD829),""))</f>
        <v/>
      </c>
      <c r="G829" s="18">
        <f>IF(ISNUMBER(FC829),INDIRECT("SamplesX!G"&amp;FC829),IF(ISNUMBER(FD829),INDIRECT("SamplesY!G"&amp;FD829),""))</f>
        <v/>
      </c>
      <c r="H829" s="19">
        <f>IF(ISNUMBER(FC829),INDIRECT("SamplesX!H"&amp;FC829),IF(ISNUMBER(FD829),INDIRECT("SamplesY!H"&amp;FD829),""))</f>
        <v/>
      </c>
      <c r="I829" s="16" t="n"/>
      <c r="J829" s="16" t="n"/>
      <c r="K829" s="16" t="n"/>
      <c r="L829" s="20" t="n"/>
      <c r="M829" s="20" t="inlineStr">
        <is>
          <t>None</t>
        </is>
      </c>
      <c r="N829" s="17" t="n"/>
      <c r="O829" s="16" t="n"/>
      <c r="P829" s="20" t="inlineStr">
        <is>
          <t>Shimadzu TOC-L</t>
        </is>
      </c>
      <c r="Q829" s="20" t="inlineStr">
        <is>
          <t>None</t>
        </is>
      </c>
      <c r="R829" s="17" t="n"/>
      <c r="S829" s="16" t="n"/>
      <c r="T829" s="20" t="inlineStr">
        <is>
          <t>Shimadzu TOC-L</t>
        </is>
      </c>
      <c r="U829" s="20" t="inlineStr">
        <is>
          <t>None</t>
        </is>
      </c>
      <c r="V829" s="17" t="n"/>
      <c r="W829" s="16" t="n"/>
      <c r="X829" s="20" t="n"/>
      <c r="Y829" s="20" t="inlineStr">
        <is>
          <t>None</t>
        </is>
      </c>
      <c r="Z829" s="17" t="n"/>
      <c r="AA829" s="16" t="n"/>
      <c r="AB829" s="20" t="n"/>
      <c r="AC829" s="20" t="inlineStr">
        <is>
          <t>None</t>
        </is>
      </c>
      <c r="AD829" s="17" t="n"/>
      <c r="AE829" s="16" t="n"/>
      <c r="AF829" s="20" t="inlineStr">
        <is>
          <t>IC Anionen</t>
        </is>
      </c>
      <c r="AG829" s="20" t="inlineStr">
        <is>
          <t>None</t>
        </is>
      </c>
      <c r="AH829" s="17" t="n"/>
      <c r="AI829" s="16" t="n"/>
      <c r="AJ829" s="20" t="n"/>
      <c r="AK829" s="20" t="inlineStr">
        <is>
          <t>None</t>
        </is>
      </c>
      <c r="AL829" s="17" t="n"/>
      <c r="AM829" s="16" t="n"/>
      <c r="AN829" s="20" t="inlineStr">
        <is>
          <t>IC Anionen</t>
        </is>
      </c>
      <c r="AO829" s="20" t="inlineStr">
        <is>
          <t>None</t>
        </is>
      </c>
      <c r="AP829" s="17" t="n"/>
      <c r="AQ829" s="16" t="n"/>
      <c r="AR829" s="20" t="n"/>
      <c r="AS829" s="20" t="inlineStr">
        <is>
          <t>None</t>
        </is>
      </c>
      <c r="AT829" s="17" t="n"/>
      <c r="AU829" s="16" t="n"/>
      <c r="AV829" s="20" t="n"/>
      <c r="AW829" s="20" t="inlineStr">
        <is>
          <t>None</t>
        </is>
      </c>
      <c r="AX829" s="17" t="n"/>
      <c r="AY829" s="16" t="n"/>
      <c r="AZ829" s="20" t="inlineStr">
        <is>
          <t>IC Anionen</t>
        </is>
      </c>
      <c r="BA829" s="20" t="inlineStr">
        <is>
          <t>None</t>
        </is>
      </c>
      <c r="BB829" s="17" t="n"/>
      <c r="BC829" s="16" t="n"/>
      <c r="BD829" s="20" t="inlineStr">
        <is>
          <t>IC Kationen</t>
        </is>
      </c>
      <c r="BE829" s="20" t="inlineStr">
        <is>
          <t>None</t>
        </is>
      </c>
      <c r="BF829" s="17" t="n"/>
      <c r="BG829" s="16" t="n"/>
      <c r="BH829" s="20" t="inlineStr">
        <is>
          <t>IC Kationen</t>
        </is>
      </c>
      <c r="BI829" s="20" t="inlineStr">
        <is>
          <t>None</t>
        </is>
      </c>
      <c r="BJ829" s="17" t="n"/>
      <c r="BK829" s="16" t="n"/>
      <c r="BL829" s="20" t="inlineStr">
        <is>
          <t>IC Kationen</t>
        </is>
      </c>
      <c r="BM829" s="20" t="inlineStr">
        <is>
          <t>None</t>
        </is>
      </c>
      <c r="BN829" s="17" t="n"/>
      <c r="BO829" s="16" t="n"/>
      <c r="BP829" s="20" t="inlineStr">
        <is>
          <t>IC Kationen</t>
        </is>
      </c>
      <c r="BQ829" s="20" t="inlineStr">
        <is>
          <t>None</t>
        </is>
      </c>
      <c r="BR829" s="17" t="n"/>
      <c r="BS829" s="16" t="n"/>
      <c r="BT829" s="20" t="inlineStr">
        <is>
          <t>IC Kationen</t>
        </is>
      </c>
      <c r="BU829" s="20" t="inlineStr">
        <is>
          <t>None</t>
        </is>
      </c>
      <c r="BV829" s="17" t="n"/>
      <c r="BW829" s="16" t="n"/>
      <c r="BX829" s="20" t="n"/>
      <c r="BY829" s="20" t="inlineStr">
        <is>
          <t>None</t>
        </is>
      </c>
      <c r="BZ829" s="17" t="n"/>
      <c r="CA829" s="16" t="n"/>
      <c r="CB829" s="20" t="n"/>
      <c r="CC829" s="20" t="inlineStr">
        <is>
          <t>None</t>
        </is>
      </c>
      <c r="CD829" s="17" t="n"/>
      <c r="CE829" s="16" t="n"/>
      <c r="CF829" s="20" t="n"/>
      <c r="CG829" s="20" t="inlineStr">
        <is>
          <t>None</t>
        </is>
      </c>
      <c r="CH829" s="17" t="n"/>
      <c r="CI829" s="16" t="n"/>
      <c r="CJ829" s="20" t="n"/>
      <c r="CK829" s="20" t="inlineStr">
        <is>
          <t>None</t>
        </is>
      </c>
      <c r="CL829" s="17" t="n"/>
      <c r="CM829" s="16" t="n"/>
      <c r="CN829" s="20" t="inlineStr">
        <is>
          <t>SOP 45-34</t>
        </is>
      </c>
      <c r="CO829" s="20" t="inlineStr">
        <is>
          <t>None</t>
        </is>
      </c>
      <c r="CP829" s="17" t="n"/>
      <c r="CQ829" s="16" t="n"/>
      <c r="CR829" s="20" t="n"/>
      <c r="CS829" s="20" t="inlineStr">
        <is>
          <t>None</t>
        </is>
      </c>
      <c r="CT829" s="17" t="n"/>
      <c r="CU829" s="16" t="n"/>
      <c r="CV829" s="20" t="n"/>
      <c r="CW829" s="20" t="inlineStr">
        <is>
          <t>None</t>
        </is>
      </c>
      <c r="CX829" s="17" t="n"/>
      <c r="CY829" s="16" t="n"/>
      <c r="CZ829" s="20" t="inlineStr">
        <is>
          <t>WTW Multimeter 3430 with FDO 925</t>
        </is>
      </c>
      <c r="DA829" s="20" t="inlineStr">
        <is>
          <t>None</t>
        </is>
      </c>
      <c r="DB829" s="17" t="n"/>
      <c r="DC829" s="16" t="n"/>
      <c r="DD829" s="20" t="n"/>
      <c r="DE829" s="20" t="inlineStr">
        <is>
          <t>None</t>
        </is>
      </c>
      <c r="DF829" s="17" t="n"/>
      <c r="DG829" s="16" t="n"/>
      <c r="DH829" s="20" t="inlineStr">
        <is>
          <t>SOP 45-09</t>
        </is>
      </c>
      <c r="DI829" s="20" t="inlineStr">
        <is>
          <t>None</t>
        </is>
      </c>
      <c r="DJ829" s="17" t="n"/>
      <c r="DK829" s="16" t="n"/>
      <c r="DL829" s="20" t="inlineStr">
        <is>
          <t>SOP 45-09 (SOP muss noch angepasst werden für VSS)</t>
        </is>
      </c>
      <c r="DM829" s="20" t="inlineStr">
        <is>
          <t>None</t>
        </is>
      </c>
      <c r="DN829" s="17" t="n"/>
      <c r="DO829" s="16" t="n"/>
      <c r="DP829" s="20" t="inlineStr">
        <is>
          <t>IC Organic Acids</t>
        </is>
      </c>
      <c r="DQ829" s="20" t="inlineStr">
        <is>
          <t>None</t>
        </is>
      </c>
      <c r="DR829" s="17" t="n"/>
      <c r="DS829" s="16" t="n"/>
      <c r="DT829" s="20" t="inlineStr">
        <is>
          <t>IC Organic Acids</t>
        </is>
      </c>
      <c r="DU829" s="20" t="inlineStr">
        <is>
          <t>None</t>
        </is>
      </c>
      <c r="DV829" s="17" t="n"/>
      <c r="DW829" s="16" t="n"/>
      <c r="DX829" s="20" t="inlineStr">
        <is>
          <t>IC Organic Acids</t>
        </is>
      </c>
      <c r="DY829" s="20" t="inlineStr">
        <is>
          <t>None</t>
        </is>
      </c>
      <c r="DZ829" s="17" t="n"/>
      <c r="EA829" s="16" t="n"/>
      <c r="EB829" s="20" t="inlineStr">
        <is>
          <t>IC Organic Acids</t>
        </is>
      </c>
      <c r="EC829" s="20" t="inlineStr">
        <is>
          <t>None</t>
        </is>
      </c>
      <c r="ED829" s="17" t="n"/>
      <c r="EE829" s="16" t="n"/>
      <c r="EF829" s="20" t="inlineStr">
        <is>
          <t>IC Organic Acids</t>
        </is>
      </c>
      <c r="EG829" s="20" t="inlineStr">
        <is>
          <t>None</t>
        </is>
      </c>
      <c r="EH829" s="17" t="n"/>
      <c r="EI829" s="16" t="n"/>
      <c r="EJ829" s="20" t="inlineStr">
        <is>
          <t>IC Organic Acids</t>
        </is>
      </c>
      <c r="EK829" s="20" t="inlineStr">
        <is>
          <t>None</t>
        </is>
      </c>
      <c r="EL829" s="17" t="n"/>
      <c r="EM829" s="16" t="n"/>
      <c r="EN829" s="20" t="inlineStr">
        <is>
          <t>IC Organic Acids</t>
        </is>
      </c>
      <c r="EO829" s="20" t="inlineStr">
        <is>
          <t>None</t>
        </is>
      </c>
      <c r="EP829" s="17" t="n"/>
      <c r="EQ829" s="16" t="n"/>
      <c r="ER829" s="20" t="inlineStr">
        <is>
          <t>IC Organic Acids</t>
        </is>
      </c>
      <c r="ES829" s="20" t="inlineStr">
        <is>
          <t>None</t>
        </is>
      </c>
      <c r="ET829" s="17" t="n"/>
      <c r="EU829" s="16" t="n"/>
      <c r="EV829" s="20" t="inlineStr">
        <is>
          <t>LC-MS</t>
        </is>
      </c>
      <c r="EW829" s="20" t="inlineStr">
        <is>
          <t>None</t>
        </is>
      </c>
      <c r="EX829" s="17" t="n"/>
      <c r="EY829" s="21" t="n"/>
      <c r="EZ829">
        <f>CONCATENATE(A829,B829)</f>
        <v/>
      </c>
      <c r="FA829">
        <f>CONCATENATE(SamplesX!A829,SamplesX!B829)</f>
        <v/>
      </c>
      <c r="FC829">
        <f>MATCH(EZ829,FA1:FA1008,0)</f>
        <v/>
      </c>
    </row>
    <row r="830">
      <c r="A830" s="16" t="n"/>
      <c r="B830" s="17" t="n"/>
      <c r="C830" s="10">
        <f>IF(ISNUMBER(FC830),INDIRECT("SamplesX!C"&amp;FC830),IF(ISNUMBER(FD830),INDIRECT("SamplesY!C"&amp;FD830),""))</f>
        <v/>
      </c>
      <c r="D830" s="12">
        <f>IF(ISNUMBER(FC830),INDIRECT("SamplesX!D"&amp;FC830),IF(ISNUMBER(FD830),INDIRECT("SamplesY!D"&amp;FD830),""))</f>
        <v/>
      </c>
      <c r="E830" s="12">
        <f>IF(ISNUMBER(FC830),INDIRECT("SamplesX!E"&amp;FC830),IF(ISNUMBER(FD830),INDIRECT("SamplesY!E"&amp;FD830),""))</f>
        <v/>
      </c>
      <c r="F830" s="11">
        <f>IF(ISNUMBER(FC830),INDIRECT("SamplesX!F"&amp;FC830),IF(ISNUMBER(FD830),INDIRECT("SamplesY!F"&amp;FD830),""))</f>
        <v/>
      </c>
      <c r="G830" s="18">
        <f>IF(ISNUMBER(FC830),INDIRECT("SamplesX!G"&amp;FC830),IF(ISNUMBER(FD830),INDIRECT("SamplesY!G"&amp;FD830),""))</f>
        <v/>
      </c>
      <c r="H830" s="19">
        <f>IF(ISNUMBER(FC830),INDIRECT("SamplesX!H"&amp;FC830),IF(ISNUMBER(FD830),INDIRECT("SamplesY!H"&amp;FD830),""))</f>
        <v/>
      </c>
      <c r="I830" s="16" t="n"/>
      <c r="J830" s="16" t="n"/>
      <c r="K830" s="16" t="n"/>
      <c r="L830" s="20" t="n"/>
      <c r="M830" s="20" t="inlineStr">
        <is>
          <t>None</t>
        </is>
      </c>
      <c r="N830" s="17" t="n"/>
      <c r="O830" s="16" t="n"/>
      <c r="P830" s="20" t="inlineStr">
        <is>
          <t>Shimadzu TOC-L</t>
        </is>
      </c>
      <c r="Q830" s="20" t="inlineStr">
        <is>
          <t>None</t>
        </is>
      </c>
      <c r="R830" s="17" t="n"/>
      <c r="S830" s="16" t="n"/>
      <c r="T830" s="20" t="inlineStr">
        <is>
          <t>Shimadzu TOC-L</t>
        </is>
      </c>
      <c r="U830" s="20" t="inlineStr">
        <is>
          <t>None</t>
        </is>
      </c>
      <c r="V830" s="17" t="n"/>
      <c r="W830" s="16" t="n"/>
      <c r="X830" s="20" t="n"/>
      <c r="Y830" s="20" t="inlineStr">
        <is>
          <t>None</t>
        </is>
      </c>
      <c r="Z830" s="17" t="n"/>
      <c r="AA830" s="16" t="n"/>
      <c r="AB830" s="20" t="n"/>
      <c r="AC830" s="20" t="inlineStr">
        <is>
          <t>None</t>
        </is>
      </c>
      <c r="AD830" s="17" t="n"/>
      <c r="AE830" s="16" t="n"/>
      <c r="AF830" s="20" t="inlineStr">
        <is>
          <t>IC Anionen</t>
        </is>
      </c>
      <c r="AG830" s="20" t="inlineStr">
        <is>
          <t>None</t>
        </is>
      </c>
      <c r="AH830" s="17" t="n"/>
      <c r="AI830" s="16" t="n"/>
      <c r="AJ830" s="20" t="n"/>
      <c r="AK830" s="20" t="inlineStr">
        <is>
          <t>None</t>
        </is>
      </c>
      <c r="AL830" s="17" t="n"/>
      <c r="AM830" s="16" t="n"/>
      <c r="AN830" s="20" t="inlineStr">
        <is>
          <t>IC Anionen</t>
        </is>
      </c>
      <c r="AO830" s="20" t="inlineStr">
        <is>
          <t>None</t>
        </is>
      </c>
      <c r="AP830" s="17" t="n"/>
      <c r="AQ830" s="16" t="n"/>
      <c r="AR830" s="20" t="n"/>
      <c r="AS830" s="20" t="inlineStr">
        <is>
          <t>None</t>
        </is>
      </c>
      <c r="AT830" s="17" t="n"/>
      <c r="AU830" s="16" t="n"/>
      <c r="AV830" s="20" t="n"/>
      <c r="AW830" s="20" t="inlineStr">
        <is>
          <t>None</t>
        </is>
      </c>
      <c r="AX830" s="17" t="n"/>
      <c r="AY830" s="16" t="n"/>
      <c r="AZ830" s="20" t="inlineStr">
        <is>
          <t>IC Anionen</t>
        </is>
      </c>
      <c r="BA830" s="20" t="inlineStr">
        <is>
          <t>None</t>
        </is>
      </c>
      <c r="BB830" s="17" t="n"/>
      <c r="BC830" s="16" t="n"/>
      <c r="BD830" s="20" t="inlineStr">
        <is>
          <t>IC Kationen</t>
        </is>
      </c>
      <c r="BE830" s="20" t="inlineStr">
        <is>
          <t>None</t>
        </is>
      </c>
      <c r="BF830" s="17" t="n"/>
      <c r="BG830" s="16" t="n"/>
      <c r="BH830" s="20" t="inlineStr">
        <is>
          <t>IC Kationen</t>
        </is>
      </c>
      <c r="BI830" s="20" t="inlineStr">
        <is>
          <t>None</t>
        </is>
      </c>
      <c r="BJ830" s="17" t="n"/>
      <c r="BK830" s="16" t="n"/>
      <c r="BL830" s="20" t="inlineStr">
        <is>
          <t>IC Kationen</t>
        </is>
      </c>
      <c r="BM830" s="20" t="inlineStr">
        <is>
          <t>None</t>
        </is>
      </c>
      <c r="BN830" s="17" t="n"/>
      <c r="BO830" s="16" t="n"/>
      <c r="BP830" s="20" t="inlineStr">
        <is>
          <t>IC Kationen</t>
        </is>
      </c>
      <c r="BQ830" s="20" t="inlineStr">
        <is>
          <t>None</t>
        </is>
      </c>
      <c r="BR830" s="17" t="n"/>
      <c r="BS830" s="16" t="n"/>
      <c r="BT830" s="20" t="inlineStr">
        <is>
          <t>IC Kationen</t>
        </is>
      </c>
      <c r="BU830" s="20" t="inlineStr">
        <is>
          <t>None</t>
        </is>
      </c>
      <c r="BV830" s="17" t="n"/>
      <c r="BW830" s="16" t="n"/>
      <c r="BX830" s="20" t="n"/>
      <c r="BY830" s="20" t="inlineStr">
        <is>
          <t>None</t>
        </is>
      </c>
      <c r="BZ830" s="17" t="n"/>
      <c r="CA830" s="16" t="n"/>
      <c r="CB830" s="20" t="n"/>
      <c r="CC830" s="20" t="inlineStr">
        <is>
          <t>None</t>
        </is>
      </c>
      <c r="CD830" s="17" t="n"/>
      <c r="CE830" s="16" t="n"/>
      <c r="CF830" s="20" t="n"/>
      <c r="CG830" s="20" t="inlineStr">
        <is>
          <t>None</t>
        </is>
      </c>
      <c r="CH830" s="17" t="n"/>
      <c r="CI830" s="16" t="n"/>
      <c r="CJ830" s="20" t="n"/>
      <c r="CK830" s="20" t="inlineStr">
        <is>
          <t>None</t>
        </is>
      </c>
      <c r="CL830" s="17" t="n"/>
      <c r="CM830" s="16" t="n"/>
      <c r="CN830" s="20" t="inlineStr">
        <is>
          <t>SOP 45-34</t>
        </is>
      </c>
      <c r="CO830" s="20" t="inlineStr">
        <is>
          <t>None</t>
        </is>
      </c>
      <c r="CP830" s="17" t="n"/>
      <c r="CQ830" s="16" t="n"/>
      <c r="CR830" s="20" t="n"/>
      <c r="CS830" s="20" t="inlineStr">
        <is>
          <t>None</t>
        </is>
      </c>
      <c r="CT830" s="17" t="n"/>
      <c r="CU830" s="16" t="n"/>
      <c r="CV830" s="20" t="n"/>
      <c r="CW830" s="20" t="inlineStr">
        <is>
          <t>None</t>
        </is>
      </c>
      <c r="CX830" s="17" t="n"/>
      <c r="CY830" s="16" t="n"/>
      <c r="CZ830" s="20" t="inlineStr">
        <is>
          <t>WTW Multimeter 3430 with FDO 925</t>
        </is>
      </c>
      <c r="DA830" s="20" t="inlineStr">
        <is>
          <t>None</t>
        </is>
      </c>
      <c r="DB830" s="17" t="n"/>
      <c r="DC830" s="16" t="n"/>
      <c r="DD830" s="20" t="n"/>
      <c r="DE830" s="20" t="inlineStr">
        <is>
          <t>None</t>
        </is>
      </c>
      <c r="DF830" s="17" t="n"/>
      <c r="DG830" s="16" t="n"/>
      <c r="DH830" s="20" t="inlineStr">
        <is>
          <t>SOP 45-09</t>
        </is>
      </c>
      <c r="DI830" s="20" t="inlineStr">
        <is>
          <t>None</t>
        </is>
      </c>
      <c r="DJ830" s="17" t="n"/>
      <c r="DK830" s="16" t="n"/>
      <c r="DL830" s="20" t="inlineStr">
        <is>
          <t>SOP 45-09 (SOP muss noch angepasst werden für VSS)</t>
        </is>
      </c>
      <c r="DM830" s="20" t="inlineStr">
        <is>
          <t>None</t>
        </is>
      </c>
      <c r="DN830" s="17" t="n"/>
      <c r="DO830" s="16" t="n"/>
      <c r="DP830" s="20" t="inlineStr">
        <is>
          <t>IC Organic Acids</t>
        </is>
      </c>
      <c r="DQ830" s="20" t="inlineStr">
        <is>
          <t>None</t>
        </is>
      </c>
      <c r="DR830" s="17" t="n"/>
      <c r="DS830" s="16" t="n"/>
      <c r="DT830" s="20" t="inlineStr">
        <is>
          <t>IC Organic Acids</t>
        </is>
      </c>
      <c r="DU830" s="20" t="inlineStr">
        <is>
          <t>None</t>
        </is>
      </c>
      <c r="DV830" s="17" t="n"/>
      <c r="DW830" s="16" t="n"/>
      <c r="DX830" s="20" t="inlineStr">
        <is>
          <t>IC Organic Acids</t>
        </is>
      </c>
      <c r="DY830" s="20" t="inlineStr">
        <is>
          <t>None</t>
        </is>
      </c>
      <c r="DZ830" s="17" t="n"/>
      <c r="EA830" s="16" t="n"/>
      <c r="EB830" s="20" t="inlineStr">
        <is>
          <t>IC Organic Acids</t>
        </is>
      </c>
      <c r="EC830" s="20" t="inlineStr">
        <is>
          <t>None</t>
        </is>
      </c>
      <c r="ED830" s="17" t="n"/>
      <c r="EE830" s="16" t="n"/>
      <c r="EF830" s="20" t="inlineStr">
        <is>
          <t>IC Organic Acids</t>
        </is>
      </c>
      <c r="EG830" s="20" t="inlineStr">
        <is>
          <t>None</t>
        </is>
      </c>
      <c r="EH830" s="17" t="n"/>
      <c r="EI830" s="16" t="n"/>
      <c r="EJ830" s="20" t="inlineStr">
        <is>
          <t>IC Organic Acids</t>
        </is>
      </c>
      <c r="EK830" s="20" t="inlineStr">
        <is>
          <t>None</t>
        </is>
      </c>
      <c r="EL830" s="17" t="n"/>
      <c r="EM830" s="16" t="n"/>
      <c r="EN830" s="20" t="inlineStr">
        <is>
          <t>IC Organic Acids</t>
        </is>
      </c>
      <c r="EO830" s="20" t="inlineStr">
        <is>
          <t>None</t>
        </is>
      </c>
      <c r="EP830" s="17" t="n"/>
      <c r="EQ830" s="16" t="n"/>
      <c r="ER830" s="20" t="inlineStr">
        <is>
          <t>IC Organic Acids</t>
        </is>
      </c>
      <c r="ES830" s="20" t="inlineStr">
        <is>
          <t>None</t>
        </is>
      </c>
      <c r="ET830" s="17" t="n"/>
      <c r="EU830" s="16" t="n"/>
      <c r="EV830" s="20" t="inlineStr">
        <is>
          <t>LC-MS</t>
        </is>
      </c>
      <c r="EW830" s="20" t="inlineStr">
        <is>
          <t>None</t>
        </is>
      </c>
      <c r="EX830" s="17" t="n"/>
      <c r="EY830" s="21" t="n"/>
      <c r="EZ830">
        <f>CONCATENATE(A830,B830)</f>
        <v/>
      </c>
      <c r="FA830">
        <f>CONCATENATE(SamplesX!A830,SamplesX!B830)</f>
        <v/>
      </c>
      <c r="FC830">
        <f>MATCH(EZ830,FA1:FA1008,0)</f>
        <v/>
      </c>
    </row>
    <row r="831">
      <c r="A831" s="16" t="n"/>
      <c r="B831" s="17" t="n"/>
      <c r="C831" s="10">
        <f>IF(ISNUMBER(FC831),INDIRECT("SamplesX!C"&amp;FC831),IF(ISNUMBER(FD831),INDIRECT("SamplesY!C"&amp;FD831),""))</f>
        <v/>
      </c>
      <c r="D831" s="12">
        <f>IF(ISNUMBER(FC831),INDIRECT("SamplesX!D"&amp;FC831),IF(ISNUMBER(FD831),INDIRECT("SamplesY!D"&amp;FD831),""))</f>
        <v/>
      </c>
      <c r="E831" s="12">
        <f>IF(ISNUMBER(FC831),INDIRECT("SamplesX!E"&amp;FC831),IF(ISNUMBER(FD831),INDIRECT("SamplesY!E"&amp;FD831),""))</f>
        <v/>
      </c>
      <c r="F831" s="11">
        <f>IF(ISNUMBER(FC831),INDIRECT("SamplesX!F"&amp;FC831),IF(ISNUMBER(FD831),INDIRECT("SamplesY!F"&amp;FD831),""))</f>
        <v/>
      </c>
      <c r="G831" s="18">
        <f>IF(ISNUMBER(FC831),INDIRECT("SamplesX!G"&amp;FC831),IF(ISNUMBER(FD831),INDIRECT("SamplesY!G"&amp;FD831),""))</f>
        <v/>
      </c>
      <c r="H831" s="19">
        <f>IF(ISNUMBER(FC831),INDIRECT("SamplesX!H"&amp;FC831),IF(ISNUMBER(FD831),INDIRECT("SamplesY!H"&amp;FD831),""))</f>
        <v/>
      </c>
      <c r="I831" s="16" t="n"/>
      <c r="J831" s="16" t="n"/>
      <c r="K831" s="16" t="n"/>
      <c r="L831" s="20" t="n"/>
      <c r="M831" s="20" t="inlineStr">
        <is>
          <t>None</t>
        </is>
      </c>
      <c r="N831" s="17" t="n"/>
      <c r="O831" s="16" t="n"/>
      <c r="P831" s="20" t="inlineStr">
        <is>
          <t>Shimadzu TOC-L</t>
        </is>
      </c>
      <c r="Q831" s="20" t="inlineStr">
        <is>
          <t>None</t>
        </is>
      </c>
      <c r="R831" s="17" t="n"/>
      <c r="S831" s="16" t="n"/>
      <c r="T831" s="20" t="inlineStr">
        <is>
          <t>Shimadzu TOC-L</t>
        </is>
      </c>
      <c r="U831" s="20" t="inlineStr">
        <is>
          <t>None</t>
        </is>
      </c>
      <c r="V831" s="17" t="n"/>
      <c r="W831" s="16" t="n"/>
      <c r="X831" s="20" t="n"/>
      <c r="Y831" s="20" t="inlineStr">
        <is>
          <t>None</t>
        </is>
      </c>
      <c r="Z831" s="17" t="n"/>
      <c r="AA831" s="16" t="n"/>
      <c r="AB831" s="20" t="n"/>
      <c r="AC831" s="20" t="inlineStr">
        <is>
          <t>None</t>
        </is>
      </c>
      <c r="AD831" s="17" t="n"/>
      <c r="AE831" s="16" t="n"/>
      <c r="AF831" s="20" t="inlineStr">
        <is>
          <t>IC Anionen</t>
        </is>
      </c>
      <c r="AG831" s="20" t="inlineStr">
        <is>
          <t>None</t>
        </is>
      </c>
      <c r="AH831" s="17" t="n"/>
      <c r="AI831" s="16" t="n"/>
      <c r="AJ831" s="20" t="n"/>
      <c r="AK831" s="20" t="inlineStr">
        <is>
          <t>None</t>
        </is>
      </c>
      <c r="AL831" s="17" t="n"/>
      <c r="AM831" s="16" t="n"/>
      <c r="AN831" s="20" t="inlineStr">
        <is>
          <t>IC Anionen</t>
        </is>
      </c>
      <c r="AO831" s="20" t="inlineStr">
        <is>
          <t>None</t>
        </is>
      </c>
      <c r="AP831" s="17" t="n"/>
      <c r="AQ831" s="16" t="n"/>
      <c r="AR831" s="20" t="n"/>
      <c r="AS831" s="20" t="inlineStr">
        <is>
          <t>None</t>
        </is>
      </c>
      <c r="AT831" s="17" t="n"/>
      <c r="AU831" s="16" t="n"/>
      <c r="AV831" s="20" t="n"/>
      <c r="AW831" s="20" t="inlineStr">
        <is>
          <t>None</t>
        </is>
      </c>
      <c r="AX831" s="17" t="n"/>
      <c r="AY831" s="16" t="n"/>
      <c r="AZ831" s="20" t="inlineStr">
        <is>
          <t>IC Anionen</t>
        </is>
      </c>
      <c r="BA831" s="20" t="inlineStr">
        <is>
          <t>None</t>
        </is>
      </c>
      <c r="BB831" s="17" t="n"/>
      <c r="BC831" s="16" t="n"/>
      <c r="BD831" s="20" t="inlineStr">
        <is>
          <t>IC Kationen</t>
        </is>
      </c>
      <c r="BE831" s="20" t="inlineStr">
        <is>
          <t>None</t>
        </is>
      </c>
      <c r="BF831" s="17" t="n"/>
      <c r="BG831" s="16" t="n"/>
      <c r="BH831" s="20" t="inlineStr">
        <is>
          <t>IC Kationen</t>
        </is>
      </c>
      <c r="BI831" s="20" t="inlineStr">
        <is>
          <t>None</t>
        </is>
      </c>
      <c r="BJ831" s="17" t="n"/>
      <c r="BK831" s="16" t="n"/>
      <c r="BL831" s="20" t="inlineStr">
        <is>
          <t>IC Kationen</t>
        </is>
      </c>
      <c r="BM831" s="20" t="inlineStr">
        <is>
          <t>None</t>
        </is>
      </c>
      <c r="BN831" s="17" t="n"/>
      <c r="BO831" s="16" t="n"/>
      <c r="BP831" s="20" t="inlineStr">
        <is>
          <t>IC Kationen</t>
        </is>
      </c>
      <c r="BQ831" s="20" t="inlineStr">
        <is>
          <t>None</t>
        </is>
      </c>
      <c r="BR831" s="17" t="n"/>
      <c r="BS831" s="16" t="n"/>
      <c r="BT831" s="20" t="inlineStr">
        <is>
          <t>IC Kationen</t>
        </is>
      </c>
      <c r="BU831" s="20" t="inlineStr">
        <is>
          <t>None</t>
        </is>
      </c>
      <c r="BV831" s="17" t="n"/>
      <c r="BW831" s="16" t="n"/>
      <c r="BX831" s="20" t="n"/>
      <c r="BY831" s="20" t="inlineStr">
        <is>
          <t>None</t>
        </is>
      </c>
      <c r="BZ831" s="17" t="n"/>
      <c r="CA831" s="16" t="n"/>
      <c r="CB831" s="20" t="n"/>
      <c r="CC831" s="20" t="inlineStr">
        <is>
          <t>None</t>
        </is>
      </c>
      <c r="CD831" s="17" t="n"/>
      <c r="CE831" s="16" t="n"/>
      <c r="CF831" s="20" t="n"/>
      <c r="CG831" s="20" t="inlineStr">
        <is>
          <t>None</t>
        </is>
      </c>
      <c r="CH831" s="17" t="n"/>
      <c r="CI831" s="16" t="n"/>
      <c r="CJ831" s="20" t="n"/>
      <c r="CK831" s="20" t="inlineStr">
        <is>
          <t>None</t>
        </is>
      </c>
      <c r="CL831" s="17" t="n"/>
      <c r="CM831" s="16" t="n"/>
      <c r="CN831" s="20" t="inlineStr">
        <is>
          <t>SOP 45-34</t>
        </is>
      </c>
      <c r="CO831" s="20" t="inlineStr">
        <is>
          <t>None</t>
        </is>
      </c>
      <c r="CP831" s="17" t="n"/>
      <c r="CQ831" s="16" t="n"/>
      <c r="CR831" s="20" t="n"/>
      <c r="CS831" s="20" t="inlineStr">
        <is>
          <t>None</t>
        </is>
      </c>
      <c r="CT831" s="17" t="n"/>
      <c r="CU831" s="16" t="n"/>
      <c r="CV831" s="20" t="n"/>
      <c r="CW831" s="20" t="inlineStr">
        <is>
          <t>None</t>
        </is>
      </c>
      <c r="CX831" s="17" t="n"/>
      <c r="CY831" s="16" t="n"/>
      <c r="CZ831" s="20" t="inlineStr">
        <is>
          <t>WTW Multimeter 3430 with FDO 925</t>
        </is>
      </c>
      <c r="DA831" s="20" t="inlineStr">
        <is>
          <t>None</t>
        </is>
      </c>
      <c r="DB831" s="17" t="n"/>
      <c r="DC831" s="16" t="n"/>
      <c r="DD831" s="20" t="n"/>
      <c r="DE831" s="20" t="inlineStr">
        <is>
          <t>None</t>
        </is>
      </c>
      <c r="DF831" s="17" t="n"/>
      <c r="DG831" s="16" t="n"/>
      <c r="DH831" s="20" t="inlineStr">
        <is>
          <t>SOP 45-09</t>
        </is>
      </c>
      <c r="DI831" s="20" t="inlineStr">
        <is>
          <t>None</t>
        </is>
      </c>
      <c r="DJ831" s="17" t="n"/>
      <c r="DK831" s="16" t="n"/>
      <c r="DL831" s="20" t="inlineStr">
        <is>
          <t>SOP 45-09 (SOP muss noch angepasst werden für VSS)</t>
        </is>
      </c>
      <c r="DM831" s="20" t="inlineStr">
        <is>
          <t>None</t>
        </is>
      </c>
      <c r="DN831" s="17" t="n"/>
      <c r="DO831" s="16" t="n"/>
      <c r="DP831" s="20" t="inlineStr">
        <is>
          <t>IC Organic Acids</t>
        </is>
      </c>
      <c r="DQ831" s="20" t="inlineStr">
        <is>
          <t>None</t>
        </is>
      </c>
      <c r="DR831" s="17" t="n"/>
      <c r="DS831" s="16" t="n"/>
      <c r="DT831" s="20" t="inlineStr">
        <is>
          <t>IC Organic Acids</t>
        </is>
      </c>
      <c r="DU831" s="20" t="inlineStr">
        <is>
          <t>None</t>
        </is>
      </c>
      <c r="DV831" s="17" t="n"/>
      <c r="DW831" s="16" t="n"/>
      <c r="DX831" s="20" t="inlineStr">
        <is>
          <t>IC Organic Acids</t>
        </is>
      </c>
      <c r="DY831" s="20" t="inlineStr">
        <is>
          <t>None</t>
        </is>
      </c>
      <c r="DZ831" s="17" t="n"/>
      <c r="EA831" s="16" t="n"/>
      <c r="EB831" s="20" t="inlineStr">
        <is>
          <t>IC Organic Acids</t>
        </is>
      </c>
      <c r="EC831" s="20" t="inlineStr">
        <is>
          <t>None</t>
        </is>
      </c>
      <c r="ED831" s="17" t="n"/>
      <c r="EE831" s="16" t="n"/>
      <c r="EF831" s="20" t="inlineStr">
        <is>
          <t>IC Organic Acids</t>
        </is>
      </c>
      <c r="EG831" s="20" t="inlineStr">
        <is>
          <t>None</t>
        </is>
      </c>
      <c r="EH831" s="17" t="n"/>
      <c r="EI831" s="16" t="n"/>
      <c r="EJ831" s="20" t="inlineStr">
        <is>
          <t>IC Organic Acids</t>
        </is>
      </c>
      <c r="EK831" s="20" t="inlineStr">
        <is>
          <t>None</t>
        </is>
      </c>
      <c r="EL831" s="17" t="n"/>
      <c r="EM831" s="16" t="n"/>
      <c r="EN831" s="20" t="inlineStr">
        <is>
          <t>IC Organic Acids</t>
        </is>
      </c>
      <c r="EO831" s="20" t="inlineStr">
        <is>
          <t>None</t>
        </is>
      </c>
      <c r="EP831" s="17" t="n"/>
      <c r="EQ831" s="16" t="n"/>
      <c r="ER831" s="20" t="inlineStr">
        <is>
          <t>IC Organic Acids</t>
        </is>
      </c>
      <c r="ES831" s="20" t="inlineStr">
        <is>
          <t>None</t>
        </is>
      </c>
      <c r="ET831" s="17" t="n"/>
      <c r="EU831" s="16" t="n"/>
      <c r="EV831" s="20" t="inlineStr">
        <is>
          <t>LC-MS</t>
        </is>
      </c>
      <c r="EW831" s="20" t="inlineStr">
        <is>
          <t>None</t>
        </is>
      </c>
      <c r="EX831" s="17" t="n"/>
      <c r="EY831" s="21" t="n"/>
      <c r="EZ831">
        <f>CONCATENATE(A831,B831)</f>
        <v/>
      </c>
      <c r="FA831">
        <f>CONCATENATE(SamplesX!A831,SamplesX!B831)</f>
        <v/>
      </c>
      <c r="FC831">
        <f>MATCH(EZ831,FA1:FA1008,0)</f>
        <v/>
      </c>
    </row>
    <row r="832">
      <c r="A832" s="16" t="n"/>
      <c r="B832" s="17" t="n"/>
      <c r="C832" s="10">
        <f>IF(ISNUMBER(FC832),INDIRECT("SamplesX!C"&amp;FC832),IF(ISNUMBER(FD832),INDIRECT("SamplesY!C"&amp;FD832),""))</f>
        <v/>
      </c>
      <c r="D832" s="12">
        <f>IF(ISNUMBER(FC832),INDIRECT("SamplesX!D"&amp;FC832),IF(ISNUMBER(FD832),INDIRECT("SamplesY!D"&amp;FD832),""))</f>
        <v/>
      </c>
      <c r="E832" s="12">
        <f>IF(ISNUMBER(FC832),INDIRECT("SamplesX!E"&amp;FC832),IF(ISNUMBER(FD832),INDIRECT("SamplesY!E"&amp;FD832),""))</f>
        <v/>
      </c>
      <c r="F832" s="11">
        <f>IF(ISNUMBER(FC832),INDIRECT("SamplesX!F"&amp;FC832),IF(ISNUMBER(FD832),INDIRECT("SamplesY!F"&amp;FD832),""))</f>
        <v/>
      </c>
      <c r="G832" s="18">
        <f>IF(ISNUMBER(FC832),INDIRECT("SamplesX!G"&amp;FC832),IF(ISNUMBER(FD832),INDIRECT("SamplesY!G"&amp;FD832),""))</f>
        <v/>
      </c>
      <c r="H832" s="19">
        <f>IF(ISNUMBER(FC832),INDIRECT("SamplesX!H"&amp;FC832),IF(ISNUMBER(FD832),INDIRECT("SamplesY!H"&amp;FD832),""))</f>
        <v/>
      </c>
      <c r="I832" s="16" t="n"/>
      <c r="J832" s="16" t="n"/>
      <c r="K832" s="16" t="n"/>
      <c r="L832" s="20" t="n"/>
      <c r="M832" s="20" t="inlineStr">
        <is>
          <t>None</t>
        </is>
      </c>
      <c r="N832" s="17" t="n"/>
      <c r="O832" s="16" t="n"/>
      <c r="P832" s="20" t="inlineStr">
        <is>
          <t>Shimadzu TOC-L</t>
        </is>
      </c>
      <c r="Q832" s="20" t="inlineStr">
        <is>
          <t>None</t>
        </is>
      </c>
      <c r="R832" s="17" t="n"/>
      <c r="S832" s="16" t="n"/>
      <c r="T832" s="20" t="inlineStr">
        <is>
          <t>Shimadzu TOC-L</t>
        </is>
      </c>
      <c r="U832" s="20" t="inlineStr">
        <is>
          <t>None</t>
        </is>
      </c>
      <c r="V832" s="17" t="n"/>
      <c r="W832" s="16" t="n"/>
      <c r="X832" s="20" t="n"/>
      <c r="Y832" s="20" t="inlineStr">
        <is>
          <t>None</t>
        </is>
      </c>
      <c r="Z832" s="17" t="n"/>
      <c r="AA832" s="16" t="n"/>
      <c r="AB832" s="20" t="n"/>
      <c r="AC832" s="20" t="inlineStr">
        <is>
          <t>None</t>
        </is>
      </c>
      <c r="AD832" s="17" t="n"/>
      <c r="AE832" s="16" t="n"/>
      <c r="AF832" s="20" t="inlineStr">
        <is>
          <t>IC Anionen</t>
        </is>
      </c>
      <c r="AG832" s="20" t="inlineStr">
        <is>
          <t>None</t>
        </is>
      </c>
      <c r="AH832" s="17" t="n"/>
      <c r="AI832" s="16" t="n"/>
      <c r="AJ832" s="20" t="n"/>
      <c r="AK832" s="20" t="inlineStr">
        <is>
          <t>None</t>
        </is>
      </c>
      <c r="AL832" s="17" t="n"/>
      <c r="AM832" s="16" t="n"/>
      <c r="AN832" s="20" t="inlineStr">
        <is>
          <t>IC Anionen</t>
        </is>
      </c>
      <c r="AO832" s="20" t="inlineStr">
        <is>
          <t>None</t>
        </is>
      </c>
      <c r="AP832" s="17" t="n"/>
      <c r="AQ832" s="16" t="n"/>
      <c r="AR832" s="20" t="n"/>
      <c r="AS832" s="20" t="inlineStr">
        <is>
          <t>None</t>
        </is>
      </c>
      <c r="AT832" s="17" t="n"/>
      <c r="AU832" s="16" t="n"/>
      <c r="AV832" s="20" t="n"/>
      <c r="AW832" s="20" t="inlineStr">
        <is>
          <t>None</t>
        </is>
      </c>
      <c r="AX832" s="17" t="n"/>
      <c r="AY832" s="16" t="n"/>
      <c r="AZ832" s="20" t="inlineStr">
        <is>
          <t>IC Anionen</t>
        </is>
      </c>
      <c r="BA832" s="20" t="inlineStr">
        <is>
          <t>None</t>
        </is>
      </c>
      <c r="BB832" s="17" t="n"/>
      <c r="BC832" s="16" t="n"/>
      <c r="BD832" s="20" t="inlineStr">
        <is>
          <t>IC Kationen</t>
        </is>
      </c>
      <c r="BE832" s="20" t="inlineStr">
        <is>
          <t>None</t>
        </is>
      </c>
      <c r="BF832" s="17" t="n"/>
      <c r="BG832" s="16" t="n"/>
      <c r="BH832" s="20" t="inlineStr">
        <is>
          <t>IC Kationen</t>
        </is>
      </c>
      <c r="BI832" s="20" t="inlineStr">
        <is>
          <t>None</t>
        </is>
      </c>
      <c r="BJ832" s="17" t="n"/>
      <c r="BK832" s="16" t="n"/>
      <c r="BL832" s="20" t="inlineStr">
        <is>
          <t>IC Kationen</t>
        </is>
      </c>
      <c r="BM832" s="20" t="inlineStr">
        <is>
          <t>None</t>
        </is>
      </c>
      <c r="BN832" s="17" t="n"/>
      <c r="BO832" s="16" t="n"/>
      <c r="BP832" s="20" t="inlineStr">
        <is>
          <t>IC Kationen</t>
        </is>
      </c>
      <c r="BQ832" s="20" t="inlineStr">
        <is>
          <t>None</t>
        </is>
      </c>
      <c r="BR832" s="17" t="n"/>
      <c r="BS832" s="16" t="n"/>
      <c r="BT832" s="20" t="inlineStr">
        <is>
          <t>IC Kationen</t>
        </is>
      </c>
      <c r="BU832" s="20" t="inlineStr">
        <is>
          <t>None</t>
        </is>
      </c>
      <c r="BV832" s="17" t="n"/>
      <c r="BW832" s="16" t="n"/>
      <c r="BX832" s="20" t="n"/>
      <c r="BY832" s="20" t="inlineStr">
        <is>
          <t>None</t>
        </is>
      </c>
      <c r="BZ832" s="17" t="n"/>
      <c r="CA832" s="16" t="n"/>
      <c r="CB832" s="20" t="n"/>
      <c r="CC832" s="20" t="inlineStr">
        <is>
          <t>None</t>
        </is>
      </c>
      <c r="CD832" s="17" t="n"/>
      <c r="CE832" s="16" t="n"/>
      <c r="CF832" s="20" t="n"/>
      <c r="CG832" s="20" t="inlineStr">
        <is>
          <t>None</t>
        </is>
      </c>
      <c r="CH832" s="17" t="n"/>
      <c r="CI832" s="16" t="n"/>
      <c r="CJ832" s="20" t="n"/>
      <c r="CK832" s="20" t="inlineStr">
        <is>
          <t>None</t>
        </is>
      </c>
      <c r="CL832" s="17" t="n"/>
      <c r="CM832" s="16" t="n"/>
      <c r="CN832" s="20" t="inlineStr">
        <is>
          <t>SOP 45-34</t>
        </is>
      </c>
      <c r="CO832" s="20" t="inlineStr">
        <is>
          <t>None</t>
        </is>
      </c>
      <c r="CP832" s="17" t="n"/>
      <c r="CQ832" s="16" t="n"/>
      <c r="CR832" s="20" t="n"/>
      <c r="CS832" s="20" t="inlineStr">
        <is>
          <t>None</t>
        </is>
      </c>
      <c r="CT832" s="17" t="n"/>
      <c r="CU832" s="16" t="n"/>
      <c r="CV832" s="20" t="n"/>
      <c r="CW832" s="20" t="inlineStr">
        <is>
          <t>None</t>
        </is>
      </c>
      <c r="CX832" s="17" t="n"/>
      <c r="CY832" s="16" t="n"/>
      <c r="CZ832" s="20" t="inlineStr">
        <is>
          <t>WTW Multimeter 3430 with FDO 925</t>
        </is>
      </c>
      <c r="DA832" s="20" t="inlineStr">
        <is>
          <t>None</t>
        </is>
      </c>
      <c r="DB832" s="17" t="n"/>
      <c r="DC832" s="16" t="n"/>
      <c r="DD832" s="20" t="n"/>
      <c r="DE832" s="20" t="inlineStr">
        <is>
          <t>None</t>
        </is>
      </c>
      <c r="DF832" s="17" t="n"/>
      <c r="DG832" s="16" t="n"/>
      <c r="DH832" s="20" t="inlineStr">
        <is>
          <t>SOP 45-09</t>
        </is>
      </c>
      <c r="DI832" s="20" t="inlineStr">
        <is>
          <t>None</t>
        </is>
      </c>
      <c r="DJ832" s="17" t="n"/>
      <c r="DK832" s="16" t="n"/>
      <c r="DL832" s="20" t="inlineStr">
        <is>
          <t>SOP 45-09 (SOP muss noch angepasst werden für VSS)</t>
        </is>
      </c>
      <c r="DM832" s="20" t="inlineStr">
        <is>
          <t>None</t>
        </is>
      </c>
      <c r="DN832" s="17" t="n"/>
      <c r="DO832" s="16" t="n"/>
      <c r="DP832" s="20" t="inlineStr">
        <is>
          <t>IC Organic Acids</t>
        </is>
      </c>
      <c r="DQ832" s="20" t="inlineStr">
        <is>
          <t>None</t>
        </is>
      </c>
      <c r="DR832" s="17" t="n"/>
      <c r="DS832" s="16" t="n"/>
      <c r="DT832" s="20" t="inlineStr">
        <is>
          <t>IC Organic Acids</t>
        </is>
      </c>
      <c r="DU832" s="20" t="inlineStr">
        <is>
          <t>None</t>
        </is>
      </c>
      <c r="DV832" s="17" t="n"/>
      <c r="DW832" s="16" t="n"/>
      <c r="DX832" s="20" t="inlineStr">
        <is>
          <t>IC Organic Acids</t>
        </is>
      </c>
      <c r="DY832" s="20" t="inlineStr">
        <is>
          <t>None</t>
        </is>
      </c>
      <c r="DZ832" s="17" t="n"/>
      <c r="EA832" s="16" t="n"/>
      <c r="EB832" s="20" t="inlineStr">
        <is>
          <t>IC Organic Acids</t>
        </is>
      </c>
      <c r="EC832" s="20" t="inlineStr">
        <is>
          <t>None</t>
        </is>
      </c>
      <c r="ED832" s="17" t="n"/>
      <c r="EE832" s="16" t="n"/>
      <c r="EF832" s="20" t="inlineStr">
        <is>
          <t>IC Organic Acids</t>
        </is>
      </c>
      <c r="EG832" s="20" t="inlineStr">
        <is>
          <t>None</t>
        </is>
      </c>
      <c r="EH832" s="17" t="n"/>
      <c r="EI832" s="16" t="n"/>
      <c r="EJ832" s="20" t="inlineStr">
        <is>
          <t>IC Organic Acids</t>
        </is>
      </c>
      <c r="EK832" s="20" t="inlineStr">
        <is>
          <t>None</t>
        </is>
      </c>
      <c r="EL832" s="17" t="n"/>
      <c r="EM832" s="16" t="n"/>
      <c r="EN832" s="20" t="inlineStr">
        <is>
          <t>IC Organic Acids</t>
        </is>
      </c>
      <c r="EO832" s="20" t="inlineStr">
        <is>
          <t>None</t>
        </is>
      </c>
      <c r="EP832" s="17" t="n"/>
      <c r="EQ832" s="16" t="n"/>
      <c r="ER832" s="20" t="inlineStr">
        <is>
          <t>IC Organic Acids</t>
        </is>
      </c>
      <c r="ES832" s="20" t="inlineStr">
        <is>
          <t>None</t>
        </is>
      </c>
      <c r="ET832" s="17" t="n"/>
      <c r="EU832" s="16" t="n"/>
      <c r="EV832" s="20" t="inlineStr">
        <is>
          <t>LC-MS</t>
        </is>
      </c>
      <c r="EW832" s="20" t="inlineStr">
        <is>
          <t>None</t>
        </is>
      </c>
      <c r="EX832" s="17" t="n"/>
      <c r="EY832" s="21" t="n"/>
      <c r="EZ832">
        <f>CONCATENATE(A832,B832)</f>
        <v/>
      </c>
      <c r="FA832">
        <f>CONCATENATE(SamplesX!A832,SamplesX!B832)</f>
        <v/>
      </c>
      <c r="FC832">
        <f>MATCH(EZ832,FA1:FA1008,0)</f>
        <v/>
      </c>
    </row>
    <row r="833">
      <c r="A833" s="16" t="n"/>
      <c r="B833" s="17" t="n"/>
      <c r="C833" s="10">
        <f>IF(ISNUMBER(FC833),INDIRECT("SamplesX!C"&amp;FC833),IF(ISNUMBER(FD833),INDIRECT("SamplesY!C"&amp;FD833),""))</f>
        <v/>
      </c>
      <c r="D833" s="12">
        <f>IF(ISNUMBER(FC833),INDIRECT("SamplesX!D"&amp;FC833),IF(ISNUMBER(FD833),INDIRECT("SamplesY!D"&amp;FD833),""))</f>
        <v/>
      </c>
      <c r="E833" s="12">
        <f>IF(ISNUMBER(FC833),INDIRECT("SamplesX!E"&amp;FC833),IF(ISNUMBER(FD833),INDIRECT("SamplesY!E"&amp;FD833),""))</f>
        <v/>
      </c>
      <c r="F833" s="11">
        <f>IF(ISNUMBER(FC833),INDIRECT("SamplesX!F"&amp;FC833),IF(ISNUMBER(FD833),INDIRECT("SamplesY!F"&amp;FD833),""))</f>
        <v/>
      </c>
      <c r="G833" s="18">
        <f>IF(ISNUMBER(FC833),INDIRECT("SamplesX!G"&amp;FC833),IF(ISNUMBER(FD833),INDIRECT("SamplesY!G"&amp;FD833),""))</f>
        <v/>
      </c>
      <c r="H833" s="19">
        <f>IF(ISNUMBER(FC833),INDIRECT("SamplesX!H"&amp;FC833),IF(ISNUMBER(FD833),INDIRECT("SamplesY!H"&amp;FD833),""))</f>
        <v/>
      </c>
      <c r="I833" s="16" t="n"/>
      <c r="J833" s="16" t="n"/>
      <c r="K833" s="16" t="n"/>
      <c r="L833" s="20" t="n"/>
      <c r="M833" s="20" t="inlineStr">
        <is>
          <t>None</t>
        </is>
      </c>
      <c r="N833" s="17" t="n"/>
      <c r="O833" s="16" t="n"/>
      <c r="P833" s="20" t="inlineStr">
        <is>
          <t>Shimadzu TOC-L</t>
        </is>
      </c>
      <c r="Q833" s="20" t="inlineStr">
        <is>
          <t>None</t>
        </is>
      </c>
      <c r="R833" s="17" t="n"/>
      <c r="S833" s="16" t="n"/>
      <c r="T833" s="20" t="inlineStr">
        <is>
          <t>Shimadzu TOC-L</t>
        </is>
      </c>
      <c r="U833" s="20" t="inlineStr">
        <is>
          <t>None</t>
        </is>
      </c>
      <c r="V833" s="17" t="n"/>
      <c r="W833" s="16" t="n"/>
      <c r="X833" s="20" t="n"/>
      <c r="Y833" s="20" t="inlineStr">
        <is>
          <t>None</t>
        </is>
      </c>
      <c r="Z833" s="17" t="n"/>
      <c r="AA833" s="16" t="n"/>
      <c r="AB833" s="20" t="n"/>
      <c r="AC833" s="20" t="inlineStr">
        <is>
          <t>None</t>
        </is>
      </c>
      <c r="AD833" s="17" t="n"/>
      <c r="AE833" s="16" t="n"/>
      <c r="AF833" s="20" t="inlineStr">
        <is>
          <t>IC Anionen</t>
        </is>
      </c>
      <c r="AG833" s="20" t="inlineStr">
        <is>
          <t>None</t>
        </is>
      </c>
      <c r="AH833" s="17" t="n"/>
      <c r="AI833" s="16" t="n"/>
      <c r="AJ833" s="20" t="n"/>
      <c r="AK833" s="20" t="inlineStr">
        <is>
          <t>None</t>
        </is>
      </c>
      <c r="AL833" s="17" t="n"/>
      <c r="AM833" s="16" t="n"/>
      <c r="AN833" s="20" t="inlineStr">
        <is>
          <t>IC Anionen</t>
        </is>
      </c>
      <c r="AO833" s="20" t="inlineStr">
        <is>
          <t>None</t>
        </is>
      </c>
      <c r="AP833" s="17" t="n"/>
      <c r="AQ833" s="16" t="n"/>
      <c r="AR833" s="20" t="n"/>
      <c r="AS833" s="20" t="inlineStr">
        <is>
          <t>None</t>
        </is>
      </c>
      <c r="AT833" s="17" t="n"/>
      <c r="AU833" s="16" t="n"/>
      <c r="AV833" s="20" t="n"/>
      <c r="AW833" s="20" t="inlineStr">
        <is>
          <t>None</t>
        </is>
      </c>
      <c r="AX833" s="17" t="n"/>
      <c r="AY833" s="16" t="n"/>
      <c r="AZ833" s="20" t="inlineStr">
        <is>
          <t>IC Anionen</t>
        </is>
      </c>
      <c r="BA833" s="20" t="inlineStr">
        <is>
          <t>None</t>
        </is>
      </c>
      <c r="BB833" s="17" t="n"/>
      <c r="BC833" s="16" t="n"/>
      <c r="BD833" s="20" t="inlineStr">
        <is>
          <t>IC Kationen</t>
        </is>
      </c>
      <c r="BE833" s="20" t="inlineStr">
        <is>
          <t>None</t>
        </is>
      </c>
      <c r="BF833" s="17" t="n"/>
      <c r="BG833" s="16" t="n"/>
      <c r="BH833" s="20" t="inlineStr">
        <is>
          <t>IC Kationen</t>
        </is>
      </c>
      <c r="BI833" s="20" t="inlineStr">
        <is>
          <t>None</t>
        </is>
      </c>
      <c r="BJ833" s="17" t="n"/>
      <c r="BK833" s="16" t="n"/>
      <c r="BL833" s="20" t="inlineStr">
        <is>
          <t>IC Kationen</t>
        </is>
      </c>
      <c r="BM833" s="20" t="inlineStr">
        <is>
          <t>None</t>
        </is>
      </c>
      <c r="BN833" s="17" t="n"/>
      <c r="BO833" s="16" t="n"/>
      <c r="BP833" s="20" t="inlineStr">
        <is>
          <t>IC Kationen</t>
        </is>
      </c>
      <c r="BQ833" s="20" t="inlineStr">
        <is>
          <t>None</t>
        </is>
      </c>
      <c r="BR833" s="17" t="n"/>
      <c r="BS833" s="16" t="n"/>
      <c r="BT833" s="20" t="inlineStr">
        <is>
          <t>IC Kationen</t>
        </is>
      </c>
      <c r="BU833" s="20" t="inlineStr">
        <is>
          <t>None</t>
        </is>
      </c>
      <c r="BV833" s="17" t="n"/>
      <c r="BW833" s="16" t="n"/>
      <c r="BX833" s="20" t="n"/>
      <c r="BY833" s="20" t="inlineStr">
        <is>
          <t>None</t>
        </is>
      </c>
      <c r="BZ833" s="17" t="n"/>
      <c r="CA833" s="16" t="n"/>
      <c r="CB833" s="20" t="n"/>
      <c r="CC833" s="20" t="inlineStr">
        <is>
          <t>None</t>
        </is>
      </c>
      <c r="CD833" s="17" t="n"/>
      <c r="CE833" s="16" t="n"/>
      <c r="CF833" s="20" t="n"/>
      <c r="CG833" s="20" t="inlineStr">
        <is>
          <t>None</t>
        </is>
      </c>
      <c r="CH833" s="17" t="n"/>
      <c r="CI833" s="16" t="n"/>
      <c r="CJ833" s="20" t="n"/>
      <c r="CK833" s="20" t="inlineStr">
        <is>
          <t>None</t>
        </is>
      </c>
      <c r="CL833" s="17" t="n"/>
      <c r="CM833" s="16" t="n"/>
      <c r="CN833" s="20" t="inlineStr">
        <is>
          <t>SOP 45-34</t>
        </is>
      </c>
      <c r="CO833" s="20" t="inlineStr">
        <is>
          <t>None</t>
        </is>
      </c>
      <c r="CP833" s="17" t="n"/>
      <c r="CQ833" s="16" t="n"/>
      <c r="CR833" s="20" t="n"/>
      <c r="CS833" s="20" t="inlineStr">
        <is>
          <t>None</t>
        </is>
      </c>
      <c r="CT833" s="17" t="n"/>
      <c r="CU833" s="16" t="n"/>
      <c r="CV833" s="20" t="n"/>
      <c r="CW833" s="20" t="inlineStr">
        <is>
          <t>None</t>
        </is>
      </c>
      <c r="CX833" s="17" t="n"/>
      <c r="CY833" s="16" t="n"/>
      <c r="CZ833" s="20" t="inlineStr">
        <is>
          <t>WTW Multimeter 3430 with FDO 925</t>
        </is>
      </c>
      <c r="DA833" s="20" t="inlineStr">
        <is>
          <t>None</t>
        </is>
      </c>
      <c r="DB833" s="17" t="n"/>
      <c r="DC833" s="16" t="n"/>
      <c r="DD833" s="20" t="n"/>
      <c r="DE833" s="20" t="inlineStr">
        <is>
          <t>None</t>
        </is>
      </c>
      <c r="DF833" s="17" t="n"/>
      <c r="DG833" s="16" t="n"/>
      <c r="DH833" s="20" t="inlineStr">
        <is>
          <t>SOP 45-09</t>
        </is>
      </c>
      <c r="DI833" s="20" t="inlineStr">
        <is>
          <t>None</t>
        </is>
      </c>
      <c r="DJ833" s="17" t="n"/>
      <c r="DK833" s="16" t="n"/>
      <c r="DL833" s="20" t="inlineStr">
        <is>
          <t>SOP 45-09 (SOP muss noch angepasst werden für VSS)</t>
        </is>
      </c>
      <c r="DM833" s="20" t="inlineStr">
        <is>
          <t>None</t>
        </is>
      </c>
      <c r="DN833" s="17" t="n"/>
      <c r="DO833" s="16" t="n"/>
      <c r="DP833" s="20" t="inlineStr">
        <is>
          <t>IC Organic Acids</t>
        </is>
      </c>
      <c r="DQ833" s="20" t="inlineStr">
        <is>
          <t>None</t>
        </is>
      </c>
      <c r="DR833" s="17" t="n"/>
      <c r="DS833" s="16" t="n"/>
      <c r="DT833" s="20" t="inlineStr">
        <is>
          <t>IC Organic Acids</t>
        </is>
      </c>
      <c r="DU833" s="20" t="inlineStr">
        <is>
          <t>None</t>
        </is>
      </c>
      <c r="DV833" s="17" t="n"/>
      <c r="DW833" s="16" t="n"/>
      <c r="DX833" s="20" t="inlineStr">
        <is>
          <t>IC Organic Acids</t>
        </is>
      </c>
      <c r="DY833" s="20" t="inlineStr">
        <is>
          <t>None</t>
        </is>
      </c>
      <c r="DZ833" s="17" t="n"/>
      <c r="EA833" s="16" t="n"/>
      <c r="EB833" s="20" t="inlineStr">
        <is>
          <t>IC Organic Acids</t>
        </is>
      </c>
      <c r="EC833" s="20" t="inlineStr">
        <is>
          <t>None</t>
        </is>
      </c>
      <c r="ED833" s="17" t="n"/>
      <c r="EE833" s="16" t="n"/>
      <c r="EF833" s="20" t="inlineStr">
        <is>
          <t>IC Organic Acids</t>
        </is>
      </c>
      <c r="EG833" s="20" t="inlineStr">
        <is>
          <t>None</t>
        </is>
      </c>
      <c r="EH833" s="17" t="n"/>
      <c r="EI833" s="16" t="n"/>
      <c r="EJ833" s="20" t="inlineStr">
        <is>
          <t>IC Organic Acids</t>
        </is>
      </c>
      <c r="EK833" s="20" t="inlineStr">
        <is>
          <t>None</t>
        </is>
      </c>
      <c r="EL833" s="17" t="n"/>
      <c r="EM833" s="16" t="n"/>
      <c r="EN833" s="20" t="inlineStr">
        <is>
          <t>IC Organic Acids</t>
        </is>
      </c>
      <c r="EO833" s="20" t="inlineStr">
        <is>
          <t>None</t>
        </is>
      </c>
      <c r="EP833" s="17" t="n"/>
      <c r="EQ833" s="16" t="n"/>
      <c r="ER833" s="20" t="inlineStr">
        <is>
          <t>IC Organic Acids</t>
        </is>
      </c>
      <c r="ES833" s="20" t="inlineStr">
        <is>
          <t>None</t>
        </is>
      </c>
      <c r="ET833" s="17" t="n"/>
      <c r="EU833" s="16" t="n"/>
      <c r="EV833" s="20" t="inlineStr">
        <is>
          <t>LC-MS</t>
        </is>
      </c>
      <c r="EW833" s="20" t="inlineStr">
        <is>
          <t>None</t>
        </is>
      </c>
      <c r="EX833" s="17" t="n"/>
      <c r="EY833" s="21" t="n"/>
      <c r="EZ833">
        <f>CONCATENATE(A833,B833)</f>
        <v/>
      </c>
      <c r="FA833">
        <f>CONCATENATE(SamplesX!A833,SamplesX!B833)</f>
        <v/>
      </c>
      <c r="FC833">
        <f>MATCH(EZ833,FA1:FA1008,0)</f>
        <v/>
      </c>
    </row>
    <row r="834">
      <c r="A834" s="16" t="n"/>
      <c r="B834" s="17" t="n"/>
      <c r="C834" s="10">
        <f>IF(ISNUMBER(FC834),INDIRECT("SamplesX!C"&amp;FC834),IF(ISNUMBER(FD834),INDIRECT("SamplesY!C"&amp;FD834),""))</f>
        <v/>
      </c>
      <c r="D834" s="12">
        <f>IF(ISNUMBER(FC834),INDIRECT("SamplesX!D"&amp;FC834),IF(ISNUMBER(FD834),INDIRECT("SamplesY!D"&amp;FD834),""))</f>
        <v/>
      </c>
      <c r="E834" s="12">
        <f>IF(ISNUMBER(FC834),INDIRECT("SamplesX!E"&amp;FC834),IF(ISNUMBER(FD834),INDIRECT("SamplesY!E"&amp;FD834),""))</f>
        <v/>
      </c>
      <c r="F834" s="11">
        <f>IF(ISNUMBER(FC834),INDIRECT("SamplesX!F"&amp;FC834),IF(ISNUMBER(FD834),INDIRECT("SamplesY!F"&amp;FD834),""))</f>
        <v/>
      </c>
      <c r="G834" s="18">
        <f>IF(ISNUMBER(FC834),INDIRECT("SamplesX!G"&amp;FC834),IF(ISNUMBER(FD834),INDIRECT("SamplesY!G"&amp;FD834),""))</f>
        <v/>
      </c>
      <c r="H834" s="19">
        <f>IF(ISNUMBER(FC834),INDIRECT("SamplesX!H"&amp;FC834),IF(ISNUMBER(FD834),INDIRECT("SamplesY!H"&amp;FD834),""))</f>
        <v/>
      </c>
      <c r="I834" s="16" t="n"/>
      <c r="J834" s="16" t="n"/>
      <c r="K834" s="16" t="n"/>
      <c r="L834" s="20" t="n"/>
      <c r="M834" s="20" t="inlineStr">
        <is>
          <t>None</t>
        </is>
      </c>
      <c r="N834" s="17" t="n"/>
      <c r="O834" s="16" t="n"/>
      <c r="P834" s="20" t="inlineStr">
        <is>
          <t>Shimadzu TOC-L</t>
        </is>
      </c>
      <c r="Q834" s="20" t="inlineStr">
        <is>
          <t>None</t>
        </is>
      </c>
      <c r="R834" s="17" t="n"/>
      <c r="S834" s="16" t="n"/>
      <c r="T834" s="20" t="inlineStr">
        <is>
          <t>Shimadzu TOC-L</t>
        </is>
      </c>
      <c r="U834" s="20" t="inlineStr">
        <is>
          <t>None</t>
        </is>
      </c>
      <c r="V834" s="17" t="n"/>
      <c r="W834" s="16" t="n"/>
      <c r="X834" s="20" t="n"/>
      <c r="Y834" s="20" t="inlineStr">
        <is>
          <t>None</t>
        </is>
      </c>
      <c r="Z834" s="17" t="n"/>
      <c r="AA834" s="16" t="n"/>
      <c r="AB834" s="20" t="n"/>
      <c r="AC834" s="20" t="inlineStr">
        <is>
          <t>None</t>
        </is>
      </c>
      <c r="AD834" s="17" t="n"/>
      <c r="AE834" s="16" t="n"/>
      <c r="AF834" s="20" t="inlineStr">
        <is>
          <t>IC Anionen</t>
        </is>
      </c>
      <c r="AG834" s="20" t="inlineStr">
        <is>
          <t>None</t>
        </is>
      </c>
      <c r="AH834" s="17" t="n"/>
      <c r="AI834" s="16" t="n"/>
      <c r="AJ834" s="20" t="n"/>
      <c r="AK834" s="20" t="inlineStr">
        <is>
          <t>None</t>
        </is>
      </c>
      <c r="AL834" s="17" t="n"/>
      <c r="AM834" s="16" t="n"/>
      <c r="AN834" s="20" t="inlineStr">
        <is>
          <t>IC Anionen</t>
        </is>
      </c>
      <c r="AO834" s="20" t="inlineStr">
        <is>
          <t>None</t>
        </is>
      </c>
      <c r="AP834" s="17" t="n"/>
      <c r="AQ834" s="16" t="n"/>
      <c r="AR834" s="20" t="n"/>
      <c r="AS834" s="20" t="inlineStr">
        <is>
          <t>None</t>
        </is>
      </c>
      <c r="AT834" s="17" t="n"/>
      <c r="AU834" s="16" t="n"/>
      <c r="AV834" s="20" t="n"/>
      <c r="AW834" s="20" t="inlineStr">
        <is>
          <t>None</t>
        </is>
      </c>
      <c r="AX834" s="17" t="n"/>
      <c r="AY834" s="16" t="n"/>
      <c r="AZ834" s="20" t="inlineStr">
        <is>
          <t>IC Anionen</t>
        </is>
      </c>
      <c r="BA834" s="20" t="inlineStr">
        <is>
          <t>None</t>
        </is>
      </c>
      <c r="BB834" s="17" t="n"/>
      <c r="BC834" s="16" t="n"/>
      <c r="BD834" s="20" t="inlineStr">
        <is>
          <t>IC Kationen</t>
        </is>
      </c>
      <c r="BE834" s="20" t="inlineStr">
        <is>
          <t>None</t>
        </is>
      </c>
      <c r="BF834" s="17" t="n"/>
      <c r="BG834" s="16" t="n"/>
      <c r="BH834" s="20" t="inlineStr">
        <is>
          <t>IC Kationen</t>
        </is>
      </c>
      <c r="BI834" s="20" t="inlineStr">
        <is>
          <t>None</t>
        </is>
      </c>
      <c r="BJ834" s="17" t="n"/>
      <c r="BK834" s="16" t="n"/>
      <c r="BL834" s="20" t="inlineStr">
        <is>
          <t>IC Kationen</t>
        </is>
      </c>
      <c r="BM834" s="20" t="inlineStr">
        <is>
          <t>None</t>
        </is>
      </c>
      <c r="BN834" s="17" t="n"/>
      <c r="BO834" s="16" t="n"/>
      <c r="BP834" s="20" t="inlineStr">
        <is>
          <t>IC Kationen</t>
        </is>
      </c>
      <c r="BQ834" s="20" t="inlineStr">
        <is>
          <t>None</t>
        </is>
      </c>
      <c r="BR834" s="17" t="n"/>
      <c r="BS834" s="16" t="n"/>
      <c r="BT834" s="20" t="inlineStr">
        <is>
          <t>IC Kationen</t>
        </is>
      </c>
      <c r="BU834" s="20" t="inlineStr">
        <is>
          <t>None</t>
        </is>
      </c>
      <c r="BV834" s="17" t="n"/>
      <c r="BW834" s="16" t="n"/>
      <c r="BX834" s="20" t="n"/>
      <c r="BY834" s="20" t="inlineStr">
        <is>
          <t>None</t>
        </is>
      </c>
      <c r="BZ834" s="17" t="n"/>
      <c r="CA834" s="16" t="n"/>
      <c r="CB834" s="20" t="n"/>
      <c r="CC834" s="20" t="inlineStr">
        <is>
          <t>None</t>
        </is>
      </c>
      <c r="CD834" s="17" t="n"/>
      <c r="CE834" s="16" t="n"/>
      <c r="CF834" s="20" t="n"/>
      <c r="CG834" s="20" t="inlineStr">
        <is>
          <t>None</t>
        </is>
      </c>
      <c r="CH834" s="17" t="n"/>
      <c r="CI834" s="16" t="n"/>
      <c r="CJ834" s="20" t="n"/>
      <c r="CK834" s="20" t="inlineStr">
        <is>
          <t>None</t>
        </is>
      </c>
      <c r="CL834" s="17" t="n"/>
      <c r="CM834" s="16" t="n"/>
      <c r="CN834" s="20" t="inlineStr">
        <is>
          <t>SOP 45-34</t>
        </is>
      </c>
      <c r="CO834" s="20" t="inlineStr">
        <is>
          <t>None</t>
        </is>
      </c>
      <c r="CP834" s="17" t="n"/>
      <c r="CQ834" s="16" t="n"/>
      <c r="CR834" s="20" t="n"/>
      <c r="CS834" s="20" t="inlineStr">
        <is>
          <t>None</t>
        </is>
      </c>
      <c r="CT834" s="17" t="n"/>
      <c r="CU834" s="16" t="n"/>
      <c r="CV834" s="20" t="n"/>
      <c r="CW834" s="20" t="inlineStr">
        <is>
          <t>None</t>
        </is>
      </c>
      <c r="CX834" s="17" t="n"/>
      <c r="CY834" s="16" t="n"/>
      <c r="CZ834" s="20" t="inlineStr">
        <is>
          <t>WTW Multimeter 3430 with FDO 925</t>
        </is>
      </c>
      <c r="DA834" s="20" t="inlineStr">
        <is>
          <t>None</t>
        </is>
      </c>
      <c r="DB834" s="17" t="n"/>
      <c r="DC834" s="16" t="n"/>
      <c r="DD834" s="20" t="n"/>
      <c r="DE834" s="20" t="inlineStr">
        <is>
          <t>None</t>
        </is>
      </c>
      <c r="DF834" s="17" t="n"/>
      <c r="DG834" s="16" t="n"/>
      <c r="DH834" s="20" t="inlineStr">
        <is>
          <t>SOP 45-09</t>
        </is>
      </c>
      <c r="DI834" s="20" t="inlineStr">
        <is>
          <t>None</t>
        </is>
      </c>
      <c r="DJ834" s="17" t="n"/>
      <c r="DK834" s="16" t="n"/>
      <c r="DL834" s="20" t="inlineStr">
        <is>
          <t>SOP 45-09 (SOP muss noch angepasst werden für VSS)</t>
        </is>
      </c>
      <c r="DM834" s="20" t="inlineStr">
        <is>
          <t>None</t>
        </is>
      </c>
      <c r="DN834" s="17" t="n"/>
      <c r="DO834" s="16" t="n"/>
      <c r="DP834" s="20" t="inlineStr">
        <is>
          <t>IC Organic Acids</t>
        </is>
      </c>
      <c r="DQ834" s="20" t="inlineStr">
        <is>
          <t>None</t>
        </is>
      </c>
      <c r="DR834" s="17" t="n"/>
      <c r="DS834" s="16" t="n"/>
      <c r="DT834" s="20" t="inlineStr">
        <is>
          <t>IC Organic Acids</t>
        </is>
      </c>
      <c r="DU834" s="20" t="inlineStr">
        <is>
          <t>None</t>
        </is>
      </c>
      <c r="DV834" s="17" t="n"/>
      <c r="DW834" s="16" t="n"/>
      <c r="DX834" s="20" t="inlineStr">
        <is>
          <t>IC Organic Acids</t>
        </is>
      </c>
      <c r="DY834" s="20" t="inlineStr">
        <is>
          <t>None</t>
        </is>
      </c>
      <c r="DZ834" s="17" t="n"/>
      <c r="EA834" s="16" t="n"/>
      <c r="EB834" s="20" t="inlineStr">
        <is>
          <t>IC Organic Acids</t>
        </is>
      </c>
      <c r="EC834" s="20" t="inlineStr">
        <is>
          <t>None</t>
        </is>
      </c>
      <c r="ED834" s="17" t="n"/>
      <c r="EE834" s="16" t="n"/>
      <c r="EF834" s="20" t="inlineStr">
        <is>
          <t>IC Organic Acids</t>
        </is>
      </c>
      <c r="EG834" s="20" t="inlineStr">
        <is>
          <t>None</t>
        </is>
      </c>
      <c r="EH834" s="17" t="n"/>
      <c r="EI834" s="16" t="n"/>
      <c r="EJ834" s="20" t="inlineStr">
        <is>
          <t>IC Organic Acids</t>
        </is>
      </c>
      <c r="EK834" s="20" t="inlineStr">
        <is>
          <t>None</t>
        </is>
      </c>
      <c r="EL834" s="17" t="n"/>
      <c r="EM834" s="16" t="n"/>
      <c r="EN834" s="20" t="inlineStr">
        <is>
          <t>IC Organic Acids</t>
        </is>
      </c>
      <c r="EO834" s="20" t="inlineStr">
        <is>
          <t>None</t>
        </is>
      </c>
      <c r="EP834" s="17" t="n"/>
      <c r="EQ834" s="16" t="n"/>
      <c r="ER834" s="20" t="inlineStr">
        <is>
          <t>IC Organic Acids</t>
        </is>
      </c>
      <c r="ES834" s="20" t="inlineStr">
        <is>
          <t>None</t>
        </is>
      </c>
      <c r="ET834" s="17" t="n"/>
      <c r="EU834" s="16" t="n"/>
      <c r="EV834" s="20" t="inlineStr">
        <is>
          <t>LC-MS</t>
        </is>
      </c>
      <c r="EW834" s="20" t="inlineStr">
        <is>
          <t>None</t>
        </is>
      </c>
      <c r="EX834" s="17" t="n"/>
      <c r="EY834" s="21" t="n"/>
      <c r="EZ834">
        <f>CONCATENATE(A834,B834)</f>
        <v/>
      </c>
      <c r="FA834">
        <f>CONCATENATE(SamplesX!A834,SamplesX!B834)</f>
        <v/>
      </c>
      <c r="FC834">
        <f>MATCH(EZ834,FA1:FA1008,0)</f>
        <v/>
      </c>
    </row>
    <row r="835">
      <c r="A835" s="16" t="n"/>
      <c r="B835" s="17" t="n"/>
      <c r="C835" s="10">
        <f>IF(ISNUMBER(FC835),INDIRECT("SamplesX!C"&amp;FC835),IF(ISNUMBER(FD835),INDIRECT("SamplesY!C"&amp;FD835),""))</f>
        <v/>
      </c>
      <c r="D835" s="12">
        <f>IF(ISNUMBER(FC835),INDIRECT("SamplesX!D"&amp;FC835),IF(ISNUMBER(FD835),INDIRECT("SamplesY!D"&amp;FD835),""))</f>
        <v/>
      </c>
      <c r="E835" s="12">
        <f>IF(ISNUMBER(FC835),INDIRECT("SamplesX!E"&amp;FC835),IF(ISNUMBER(FD835),INDIRECT("SamplesY!E"&amp;FD835),""))</f>
        <v/>
      </c>
      <c r="F835" s="11">
        <f>IF(ISNUMBER(FC835),INDIRECT("SamplesX!F"&amp;FC835),IF(ISNUMBER(FD835),INDIRECT("SamplesY!F"&amp;FD835),""))</f>
        <v/>
      </c>
      <c r="G835" s="18">
        <f>IF(ISNUMBER(FC835),INDIRECT("SamplesX!G"&amp;FC835),IF(ISNUMBER(FD835),INDIRECT("SamplesY!G"&amp;FD835),""))</f>
        <v/>
      </c>
      <c r="H835" s="19">
        <f>IF(ISNUMBER(FC835),INDIRECT("SamplesX!H"&amp;FC835),IF(ISNUMBER(FD835),INDIRECT("SamplesY!H"&amp;FD835),""))</f>
        <v/>
      </c>
      <c r="I835" s="16" t="n"/>
      <c r="J835" s="16" t="n"/>
      <c r="K835" s="16" t="n"/>
      <c r="L835" s="20" t="n"/>
      <c r="M835" s="20" t="inlineStr">
        <is>
          <t>None</t>
        </is>
      </c>
      <c r="N835" s="17" t="n"/>
      <c r="O835" s="16" t="n"/>
      <c r="P835" s="20" t="inlineStr">
        <is>
          <t>Shimadzu TOC-L</t>
        </is>
      </c>
      <c r="Q835" s="20" t="inlineStr">
        <is>
          <t>None</t>
        </is>
      </c>
      <c r="R835" s="17" t="n"/>
      <c r="S835" s="16" t="n"/>
      <c r="T835" s="20" t="inlineStr">
        <is>
          <t>Shimadzu TOC-L</t>
        </is>
      </c>
      <c r="U835" s="20" t="inlineStr">
        <is>
          <t>None</t>
        </is>
      </c>
      <c r="V835" s="17" t="n"/>
      <c r="W835" s="16" t="n"/>
      <c r="X835" s="20" t="n"/>
      <c r="Y835" s="20" t="inlineStr">
        <is>
          <t>None</t>
        </is>
      </c>
      <c r="Z835" s="17" t="n"/>
      <c r="AA835" s="16" t="n"/>
      <c r="AB835" s="20" t="n"/>
      <c r="AC835" s="20" t="inlineStr">
        <is>
          <t>None</t>
        </is>
      </c>
      <c r="AD835" s="17" t="n"/>
      <c r="AE835" s="16" t="n"/>
      <c r="AF835" s="20" t="inlineStr">
        <is>
          <t>IC Anionen</t>
        </is>
      </c>
      <c r="AG835" s="20" t="inlineStr">
        <is>
          <t>None</t>
        </is>
      </c>
      <c r="AH835" s="17" t="n"/>
      <c r="AI835" s="16" t="n"/>
      <c r="AJ835" s="20" t="n"/>
      <c r="AK835" s="20" t="inlineStr">
        <is>
          <t>None</t>
        </is>
      </c>
      <c r="AL835" s="17" t="n"/>
      <c r="AM835" s="16" t="n"/>
      <c r="AN835" s="20" t="inlineStr">
        <is>
          <t>IC Anionen</t>
        </is>
      </c>
      <c r="AO835" s="20" t="inlineStr">
        <is>
          <t>None</t>
        </is>
      </c>
      <c r="AP835" s="17" t="n"/>
      <c r="AQ835" s="16" t="n"/>
      <c r="AR835" s="20" t="n"/>
      <c r="AS835" s="20" t="inlineStr">
        <is>
          <t>None</t>
        </is>
      </c>
      <c r="AT835" s="17" t="n"/>
      <c r="AU835" s="16" t="n"/>
      <c r="AV835" s="20" t="n"/>
      <c r="AW835" s="20" t="inlineStr">
        <is>
          <t>None</t>
        </is>
      </c>
      <c r="AX835" s="17" t="n"/>
      <c r="AY835" s="16" t="n"/>
      <c r="AZ835" s="20" t="inlineStr">
        <is>
          <t>IC Anionen</t>
        </is>
      </c>
      <c r="BA835" s="20" t="inlineStr">
        <is>
          <t>None</t>
        </is>
      </c>
      <c r="BB835" s="17" t="n"/>
      <c r="BC835" s="16" t="n"/>
      <c r="BD835" s="20" t="inlineStr">
        <is>
          <t>IC Kationen</t>
        </is>
      </c>
      <c r="BE835" s="20" t="inlineStr">
        <is>
          <t>None</t>
        </is>
      </c>
      <c r="BF835" s="17" t="n"/>
      <c r="BG835" s="16" t="n"/>
      <c r="BH835" s="20" t="inlineStr">
        <is>
          <t>IC Kationen</t>
        </is>
      </c>
      <c r="BI835" s="20" t="inlineStr">
        <is>
          <t>None</t>
        </is>
      </c>
      <c r="BJ835" s="17" t="n"/>
      <c r="BK835" s="16" t="n"/>
      <c r="BL835" s="20" t="inlineStr">
        <is>
          <t>IC Kationen</t>
        </is>
      </c>
      <c r="BM835" s="20" t="inlineStr">
        <is>
          <t>None</t>
        </is>
      </c>
      <c r="BN835" s="17" t="n"/>
      <c r="BO835" s="16" t="n"/>
      <c r="BP835" s="20" t="inlineStr">
        <is>
          <t>IC Kationen</t>
        </is>
      </c>
      <c r="BQ835" s="20" t="inlineStr">
        <is>
          <t>None</t>
        </is>
      </c>
      <c r="BR835" s="17" t="n"/>
      <c r="BS835" s="16" t="n"/>
      <c r="BT835" s="20" t="inlineStr">
        <is>
          <t>IC Kationen</t>
        </is>
      </c>
      <c r="BU835" s="20" t="inlineStr">
        <is>
          <t>None</t>
        </is>
      </c>
      <c r="BV835" s="17" t="n"/>
      <c r="BW835" s="16" t="n"/>
      <c r="BX835" s="20" t="n"/>
      <c r="BY835" s="20" t="inlineStr">
        <is>
          <t>None</t>
        </is>
      </c>
      <c r="BZ835" s="17" t="n"/>
      <c r="CA835" s="16" t="n"/>
      <c r="CB835" s="20" t="n"/>
      <c r="CC835" s="20" t="inlineStr">
        <is>
          <t>None</t>
        </is>
      </c>
      <c r="CD835" s="17" t="n"/>
      <c r="CE835" s="16" t="n"/>
      <c r="CF835" s="20" t="n"/>
      <c r="CG835" s="20" t="inlineStr">
        <is>
          <t>None</t>
        </is>
      </c>
      <c r="CH835" s="17" t="n"/>
      <c r="CI835" s="16" t="n"/>
      <c r="CJ835" s="20" t="n"/>
      <c r="CK835" s="20" t="inlineStr">
        <is>
          <t>None</t>
        </is>
      </c>
      <c r="CL835" s="17" t="n"/>
      <c r="CM835" s="16" t="n"/>
      <c r="CN835" s="20" t="inlineStr">
        <is>
          <t>SOP 45-34</t>
        </is>
      </c>
      <c r="CO835" s="20" t="inlineStr">
        <is>
          <t>None</t>
        </is>
      </c>
      <c r="CP835" s="17" t="n"/>
      <c r="CQ835" s="16" t="n"/>
      <c r="CR835" s="20" t="n"/>
      <c r="CS835" s="20" t="inlineStr">
        <is>
          <t>None</t>
        </is>
      </c>
      <c r="CT835" s="17" t="n"/>
      <c r="CU835" s="16" t="n"/>
      <c r="CV835" s="20" t="n"/>
      <c r="CW835" s="20" t="inlineStr">
        <is>
          <t>None</t>
        </is>
      </c>
      <c r="CX835" s="17" t="n"/>
      <c r="CY835" s="16" t="n"/>
      <c r="CZ835" s="20" t="inlineStr">
        <is>
          <t>WTW Multimeter 3430 with FDO 925</t>
        </is>
      </c>
      <c r="DA835" s="20" t="inlineStr">
        <is>
          <t>None</t>
        </is>
      </c>
      <c r="DB835" s="17" t="n"/>
      <c r="DC835" s="16" t="n"/>
      <c r="DD835" s="20" t="n"/>
      <c r="DE835" s="20" t="inlineStr">
        <is>
          <t>None</t>
        </is>
      </c>
      <c r="DF835" s="17" t="n"/>
      <c r="DG835" s="16" t="n"/>
      <c r="DH835" s="20" t="inlineStr">
        <is>
          <t>SOP 45-09</t>
        </is>
      </c>
      <c r="DI835" s="20" t="inlineStr">
        <is>
          <t>None</t>
        </is>
      </c>
      <c r="DJ835" s="17" t="n"/>
      <c r="DK835" s="16" t="n"/>
      <c r="DL835" s="20" t="inlineStr">
        <is>
          <t>SOP 45-09 (SOP muss noch angepasst werden für VSS)</t>
        </is>
      </c>
      <c r="DM835" s="20" t="inlineStr">
        <is>
          <t>None</t>
        </is>
      </c>
      <c r="DN835" s="17" t="n"/>
      <c r="DO835" s="16" t="n"/>
      <c r="DP835" s="20" t="inlineStr">
        <is>
          <t>IC Organic Acids</t>
        </is>
      </c>
      <c r="DQ835" s="20" t="inlineStr">
        <is>
          <t>None</t>
        </is>
      </c>
      <c r="DR835" s="17" t="n"/>
      <c r="DS835" s="16" t="n"/>
      <c r="DT835" s="20" t="inlineStr">
        <is>
          <t>IC Organic Acids</t>
        </is>
      </c>
      <c r="DU835" s="20" t="inlineStr">
        <is>
          <t>None</t>
        </is>
      </c>
      <c r="DV835" s="17" t="n"/>
      <c r="DW835" s="16" t="n"/>
      <c r="DX835" s="20" t="inlineStr">
        <is>
          <t>IC Organic Acids</t>
        </is>
      </c>
      <c r="DY835" s="20" t="inlineStr">
        <is>
          <t>None</t>
        </is>
      </c>
      <c r="DZ835" s="17" t="n"/>
      <c r="EA835" s="16" t="n"/>
      <c r="EB835" s="20" t="inlineStr">
        <is>
          <t>IC Organic Acids</t>
        </is>
      </c>
      <c r="EC835" s="20" t="inlineStr">
        <is>
          <t>None</t>
        </is>
      </c>
      <c r="ED835" s="17" t="n"/>
      <c r="EE835" s="16" t="n"/>
      <c r="EF835" s="20" t="inlineStr">
        <is>
          <t>IC Organic Acids</t>
        </is>
      </c>
      <c r="EG835" s="20" t="inlineStr">
        <is>
          <t>None</t>
        </is>
      </c>
      <c r="EH835" s="17" t="n"/>
      <c r="EI835" s="16" t="n"/>
      <c r="EJ835" s="20" t="inlineStr">
        <is>
          <t>IC Organic Acids</t>
        </is>
      </c>
      <c r="EK835" s="20" t="inlineStr">
        <is>
          <t>None</t>
        </is>
      </c>
      <c r="EL835" s="17" t="n"/>
      <c r="EM835" s="16" t="n"/>
      <c r="EN835" s="20" t="inlineStr">
        <is>
          <t>IC Organic Acids</t>
        </is>
      </c>
      <c r="EO835" s="20" t="inlineStr">
        <is>
          <t>None</t>
        </is>
      </c>
      <c r="EP835" s="17" t="n"/>
      <c r="EQ835" s="16" t="n"/>
      <c r="ER835" s="20" t="inlineStr">
        <is>
          <t>IC Organic Acids</t>
        </is>
      </c>
      <c r="ES835" s="20" t="inlineStr">
        <is>
          <t>None</t>
        </is>
      </c>
      <c r="ET835" s="17" t="n"/>
      <c r="EU835" s="16" t="n"/>
      <c r="EV835" s="20" t="inlineStr">
        <is>
          <t>LC-MS</t>
        </is>
      </c>
      <c r="EW835" s="20" t="inlineStr">
        <is>
          <t>None</t>
        </is>
      </c>
      <c r="EX835" s="17" t="n"/>
      <c r="EY835" s="21" t="n"/>
      <c r="EZ835">
        <f>CONCATENATE(A835,B835)</f>
        <v/>
      </c>
      <c r="FA835">
        <f>CONCATENATE(SamplesX!A835,SamplesX!B835)</f>
        <v/>
      </c>
      <c r="FC835">
        <f>MATCH(EZ835,FA1:FA1008,0)</f>
        <v/>
      </c>
    </row>
    <row r="836">
      <c r="A836" s="16" t="n"/>
      <c r="B836" s="17" t="n"/>
      <c r="C836" s="10">
        <f>IF(ISNUMBER(FC836),INDIRECT("SamplesX!C"&amp;FC836),IF(ISNUMBER(FD836),INDIRECT("SamplesY!C"&amp;FD836),""))</f>
        <v/>
      </c>
      <c r="D836" s="12">
        <f>IF(ISNUMBER(FC836),INDIRECT("SamplesX!D"&amp;FC836),IF(ISNUMBER(FD836),INDIRECT("SamplesY!D"&amp;FD836),""))</f>
        <v/>
      </c>
      <c r="E836" s="12">
        <f>IF(ISNUMBER(FC836),INDIRECT("SamplesX!E"&amp;FC836),IF(ISNUMBER(FD836),INDIRECT("SamplesY!E"&amp;FD836),""))</f>
        <v/>
      </c>
      <c r="F836" s="11">
        <f>IF(ISNUMBER(FC836),INDIRECT("SamplesX!F"&amp;FC836),IF(ISNUMBER(FD836),INDIRECT("SamplesY!F"&amp;FD836),""))</f>
        <v/>
      </c>
      <c r="G836" s="18">
        <f>IF(ISNUMBER(FC836),INDIRECT("SamplesX!G"&amp;FC836),IF(ISNUMBER(FD836),INDIRECT("SamplesY!G"&amp;FD836),""))</f>
        <v/>
      </c>
      <c r="H836" s="19">
        <f>IF(ISNUMBER(FC836),INDIRECT("SamplesX!H"&amp;FC836),IF(ISNUMBER(FD836),INDIRECT("SamplesY!H"&amp;FD836),""))</f>
        <v/>
      </c>
      <c r="I836" s="16" t="n"/>
      <c r="J836" s="16" t="n"/>
      <c r="K836" s="16" t="n"/>
      <c r="L836" s="20" t="n"/>
      <c r="M836" s="20" t="inlineStr">
        <is>
          <t>None</t>
        </is>
      </c>
      <c r="N836" s="17" t="n"/>
      <c r="O836" s="16" t="n"/>
      <c r="P836" s="20" t="inlineStr">
        <is>
          <t>Shimadzu TOC-L</t>
        </is>
      </c>
      <c r="Q836" s="20" t="inlineStr">
        <is>
          <t>None</t>
        </is>
      </c>
      <c r="R836" s="17" t="n"/>
      <c r="S836" s="16" t="n"/>
      <c r="T836" s="20" t="inlineStr">
        <is>
          <t>Shimadzu TOC-L</t>
        </is>
      </c>
      <c r="U836" s="20" t="inlineStr">
        <is>
          <t>None</t>
        </is>
      </c>
      <c r="V836" s="17" t="n"/>
      <c r="W836" s="16" t="n"/>
      <c r="X836" s="20" t="n"/>
      <c r="Y836" s="20" t="inlineStr">
        <is>
          <t>None</t>
        </is>
      </c>
      <c r="Z836" s="17" t="n"/>
      <c r="AA836" s="16" t="n"/>
      <c r="AB836" s="20" t="n"/>
      <c r="AC836" s="20" t="inlineStr">
        <is>
          <t>None</t>
        </is>
      </c>
      <c r="AD836" s="17" t="n"/>
      <c r="AE836" s="16" t="n"/>
      <c r="AF836" s="20" t="inlineStr">
        <is>
          <t>IC Anionen</t>
        </is>
      </c>
      <c r="AG836" s="20" t="inlineStr">
        <is>
          <t>None</t>
        </is>
      </c>
      <c r="AH836" s="17" t="n"/>
      <c r="AI836" s="16" t="n"/>
      <c r="AJ836" s="20" t="n"/>
      <c r="AK836" s="20" t="inlineStr">
        <is>
          <t>None</t>
        </is>
      </c>
      <c r="AL836" s="17" t="n"/>
      <c r="AM836" s="16" t="n"/>
      <c r="AN836" s="20" t="inlineStr">
        <is>
          <t>IC Anionen</t>
        </is>
      </c>
      <c r="AO836" s="20" t="inlineStr">
        <is>
          <t>None</t>
        </is>
      </c>
      <c r="AP836" s="17" t="n"/>
      <c r="AQ836" s="16" t="n"/>
      <c r="AR836" s="20" t="n"/>
      <c r="AS836" s="20" t="inlineStr">
        <is>
          <t>None</t>
        </is>
      </c>
      <c r="AT836" s="17" t="n"/>
      <c r="AU836" s="16" t="n"/>
      <c r="AV836" s="20" t="n"/>
      <c r="AW836" s="20" t="inlineStr">
        <is>
          <t>None</t>
        </is>
      </c>
      <c r="AX836" s="17" t="n"/>
      <c r="AY836" s="16" t="n"/>
      <c r="AZ836" s="20" t="inlineStr">
        <is>
          <t>IC Anionen</t>
        </is>
      </c>
      <c r="BA836" s="20" t="inlineStr">
        <is>
          <t>None</t>
        </is>
      </c>
      <c r="BB836" s="17" t="n"/>
      <c r="BC836" s="16" t="n"/>
      <c r="BD836" s="20" t="inlineStr">
        <is>
          <t>IC Kationen</t>
        </is>
      </c>
      <c r="BE836" s="20" t="inlineStr">
        <is>
          <t>None</t>
        </is>
      </c>
      <c r="BF836" s="17" t="n"/>
      <c r="BG836" s="16" t="n"/>
      <c r="BH836" s="20" t="inlineStr">
        <is>
          <t>IC Kationen</t>
        </is>
      </c>
      <c r="BI836" s="20" t="inlineStr">
        <is>
          <t>None</t>
        </is>
      </c>
      <c r="BJ836" s="17" t="n"/>
      <c r="BK836" s="16" t="n"/>
      <c r="BL836" s="20" t="inlineStr">
        <is>
          <t>IC Kationen</t>
        </is>
      </c>
      <c r="BM836" s="20" t="inlineStr">
        <is>
          <t>None</t>
        </is>
      </c>
      <c r="BN836" s="17" t="n"/>
      <c r="BO836" s="16" t="n"/>
      <c r="BP836" s="20" t="inlineStr">
        <is>
          <t>IC Kationen</t>
        </is>
      </c>
      <c r="BQ836" s="20" t="inlineStr">
        <is>
          <t>None</t>
        </is>
      </c>
      <c r="BR836" s="17" t="n"/>
      <c r="BS836" s="16" t="n"/>
      <c r="BT836" s="20" t="inlineStr">
        <is>
          <t>IC Kationen</t>
        </is>
      </c>
      <c r="BU836" s="20" t="inlineStr">
        <is>
          <t>None</t>
        </is>
      </c>
      <c r="BV836" s="17" t="n"/>
      <c r="BW836" s="16" t="n"/>
      <c r="BX836" s="20" t="n"/>
      <c r="BY836" s="20" t="inlineStr">
        <is>
          <t>None</t>
        </is>
      </c>
      <c r="BZ836" s="17" t="n"/>
      <c r="CA836" s="16" t="n"/>
      <c r="CB836" s="20" t="n"/>
      <c r="CC836" s="20" t="inlineStr">
        <is>
          <t>None</t>
        </is>
      </c>
      <c r="CD836" s="17" t="n"/>
      <c r="CE836" s="16" t="n"/>
      <c r="CF836" s="20" t="n"/>
      <c r="CG836" s="20" t="inlineStr">
        <is>
          <t>None</t>
        </is>
      </c>
      <c r="CH836" s="17" t="n"/>
      <c r="CI836" s="16" t="n"/>
      <c r="CJ836" s="20" t="n"/>
      <c r="CK836" s="20" t="inlineStr">
        <is>
          <t>None</t>
        </is>
      </c>
      <c r="CL836" s="17" t="n"/>
      <c r="CM836" s="16" t="n"/>
      <c r="CN836" s="20" t="inlineStr">
        <is>
          <t>SOP 45-34</t>
        </is>
      </c>
      <c r="CO836" s="20" t="inlineStr">
        <is>
          <t>None</t>
        </is>
      </c>
      <c r="CP836" s="17" t="n"/>
      <c r="CQ836" s="16" t="n"/>
      <c r="CR836" s="20" t="n"/>
      <c r="CS836" s="20" t="inlineStr">
        <is>
          <t>None</t>
        </is>
      </c>
      <c r="CT836" s="17" t="n"/>
      <c r="CU836" s="16" t="n"/>
      <c r="CV836" s="20" t="n"/>
      <c r="CW836" s="20" t="inlineStr">
        <is>
          <t>None</t>
        </is>
      </c>
      <c r="CX836" s="17" t="n"/>
      <c r="CY836" s="16" t="n"/>
      <c r="CZ836" s="20" t="inlineStr">
        <is>
          <t>WTW Multimeter 3430 with FDO 925</t>
        </is>
      </c>
      <c r="DA836" s="20" t="inlineStr">
        <is>
          <t>None</t>
        </is>
      </c>
      <c r="DB836" s="17" t="n"/>
      <c r="DC836" s="16" t="n"/>
      <c r="DD836" s="20" t="n"/>
      <c r="DE836" s="20" t="inlineStr">
        <is>
          <t>None</t>
        </is>
      </c>
      <c r="DF836" s="17" t="n"/>
      <c r="DG836" s="16" t="n"/>
      <c r="DH836" s="20" t="inlineStr">
        <is>
          <t>SOP 45-09</t>
        </is>
      </c>
      <c r="DI836" s="20" t="inlineStr">
        <is>
          <t>None</t>
        </is>
      </c>
      <c r="DJ836" s="17" t="n"/>
      <c r="DK836" s="16" t="n"/>
      <c r="DL836" s="20" t="inlineStr">
        <is>
          <t>SOP 45-09 (SOP muss noch angepasst werden für VSS)</t>
        </is>
      </c>
      <c r="DM836" s="20" t="inlineStr">
        <is>
          <t>None</t>
        </is>
      </c>
      <c r="DN836" s="17" t="n"/>
      <c r="DO836" s="16" t="n"/>
      <c r="DP836" s="20" t="inlineStr">
        <is>
          <t>IC Organic Acids</t>
        </is>
      </c>
      <c r="DQ836" s="20" t="inlineStr">
        <is>
          <t>None</t>
        </is>
      </c>
      <c r="DR836" s="17" t="n"/>
      <c r="DS836" s="16" t="n"/>
      <c r="DT836" s="20" t="inlineStr">
        <is>
          <t>IC Organic Acids</t>
        </is>
      </c>
      <c r="DU836" s="20" t="inlineStr">
        <is>
          <t>None</t>
        </is>
      </c>
      <c r="DV836" s="17" t="n"/>
      <c r="DW836" s="16" t="n"/>
      <c r="DX836" s="20" t="inlineStr">
        <is>
          <t>IC Organic Acids</t>
        </is>
      </c>
      <c r="DY836" s="20" t="inlineStr">
        <is>
          <t>None</t>
        </is>
      </c>
      <c r="DZ836" s="17" t="n"/>
      <c r="EA836" s="16" t="n"/>
      <c r="EB836" s="20" t="inlineStr">
        <is>
          <t>IC Organic Acids</t>
        </is>
      </c>
      <c r="EC836" s="20" t="inlineStr">
        <is>
          <t>None</t>
        </is>
      </c>
      <c r="ED836" s="17" t="n"/>
      <c r="EE836" s="16" t="n"/>
      <c r="EF836" s="20" t="inlineStr">
        <is>
          <t>IC Organic Acids</t>
        </is>
      </c>
      <c r="EG836" s="20" t="inlineStr">
        <is>
          <t>None</t>
        </is>
      </c>
      <c r="EH836" s="17" t="n"/>
      <c r="EI836" s="16" t="n"/>
      <c r="EJ836" s="20" t="inlineStr">
        <is>
          <t>IC Organic Acids</t>
        </is>
      </c>
      <c r="EK836" s="20" t="inlineStr">
        <is>
          <t>None</t>
        </is>
      </c>
      <c r="EL836" s="17" t="n"/>
      <c r="EM836" s="16" t="n"/>
      <c r="EN836" s="20" t="inlineStr">
        <is>
          <t>IC Organic Acids</t>
        </is>
      </c>
      <c r="EO836" s="20" t="inlineStr">
        <is>
          <t>None</t>
        </is>
      </c>
      <c r="EP836" s="17" t="n"/>
      <c r="EQ836" s="16" t="n"/>
      <c r="ER836" s="20" t="inlineStr">
        <is>
          <t>IC Organic Acids</t>
        </is>
      </c>
      <c r="ES836" s="20" t="inlineStr">
        <is>
          <t>None</t>
        </is>
      </c>
      <c r="ET836" s="17" t="n"/>
      <c r="EU836" s="16" t="n"/>
      <c r="EV836" s="20" t="inlineStr">
        <is>
          <t>LC-MS</t>
        </is>
      </c>
      <c r="EW836" s="20" t="inlineStr">
        <is>
          <t>None</t>
        </is>
      </c>
      <c r="EX836" s="17" t="n"/>
      <c r="EY836" s="21" t="n"/>
      <c r="EZ836">
        <f>CONCATENATE(A836,B836)</f>
        <v/>
      </c>
      <c r="FA836">
        <f>CONCATENATE(SamplesX!A836,SamplesX!B836)</f>
        <v/>
      </c>
      <c r="FC836">
        <f>MATCH(EZ836,FA1:FA1008,0)</f>
        <v/>
      </c>
    </row>
    <row r="837">
      <c r="A837" s="16" t="n"/>
      <c r="B837" s="17" t="n"/>
      <c r="C837" s="10">
        <f>IF(ISNUMBER(FC837),INDIRECT("SamplesX!C"&amp;FC837),IF(ISNUMBER(FD837),INDIRECT("SamplesY!C"&amp;FD837),""))</f>
        <v/>
      </c>
      <c r="D837" s="12">
        <f>IF(ISNUMBER(FC837),INDIRECT("SamplesX!D"&amp;FC837),IF(ISNUMBER(FD837),INDIRECT("SamplesY!D"&amp;FD837),""))</f>
        <v/>
      </c>
      <c r="E837" s="12">
        <f>IF(ISNUMBER(FC837),INDIRECT("SamplesX!E"&amp;FC837),IF(ISNUMBER(FD837),INDIRECT("SamplesY!E"&amp;FD837),""))</f>
        <v/>
      </c>
      <c r="F837" s="11">
        <f>IF(ISNUMBER(FC837),INDIRECT("SamplesX!F"&amp;FC837),IF(ISNUMBER(FD837),INDIRECT("SamplesY!F"&amp;FD837),""))</f>
        <v/>
      </c>
      <c r="G837" s="18">
        <f>IF(ISNUMBER(FC837),INDIRECT("SamplesX!G"&amp;FC837),IF(ISNUMBER(FD837),INDIRECT("SamplesY!G"&amp;FD837),""))</f>
        <v/>
      </c>
      <c r="H837" s="19">
        <f>IF(ISNUMBER(FC837),INDIRECT("SamplesX!H"&amp;FC837),IF(ISNUMBER(FD837),INDIRECT("SamplesY!H"&amp;FD837),""))</f>
        <v/>
      </c>
      <c r="I837" s="16" t="n"/>
      <c r="J837" s="16" t="n"/>
      <c r="K837" s="16" t="n"/>
      <c r="L837" s="20" t="n"/>
      <c r="M837" s="20" t="inlineStr">
        <is>
          <t>None</t>
        </is>
      </c>
      <c r="N837" s="17" t="n"/>
      <c r="O837" s="16" t="n"/>
      <c r="P837" s="20" t="inlineStr">
        <is>
          <t>Shimadzu TOC-L</t>
        </is>
      </c>
      <c r="Q837" s="20" t="inlineStr">
        <is>
          <t>None</t>
        </is>
      </c>
      <c r="R837" s="17" t="n"/>
      <c r="S837" s="16" t="n"/>
      <c r="T837" s="20" t="inlineStr">
        <is>
          <t>Shimadzu TOC-L</t>
        </is>
      </c>
      <c r="U837" s="20" t="inlineStr">
        <is>
          <t>None</t>
        </is>
      </c>
      <c r="V837" s="17" t="n"/>
      <c r="W837" s="16" t="n"/>
      <c r="X837" s="20" t="n"/>
      <c r="Y837" s="20" t="inlineStr">
        <is>
          <t>None</t>
        </is>
      </c>
      <c r="Z837" s="17" t="n"/>
      <c r="AA837" s="16" t="n"/>
      <c r="AB837" s="20" t="n"/>
      <c r="AC837" s="20" t="inlineStr">
        <is>
          <t>None</t>
        </is>
      </c>
      <c r="AD837" s="17" t="n"/>
      <c r="AE837" s="16" t="n"/>
      <c r="AF837" s="20" t="inlineStr">
        <is>
          <t>IC Anionen</t>
        </is>
      </c>
      <c r="AG837" s="20" t="inlineStr">
        <is>
          <t>None</t>
        </is>
      </c>
      <c r="AH837" s="17" t="n"/>
      <c r="AI837" s="16" t="n"/>
      <c r="AJ837" s="20" t="n"/>
      <c r="AK837" s="20" t="inlineStr">
        <is>
          <t>None</t>
        </is>
      </c>
      <c r="AL837" s="17" t="n"/>
      <c r="AM837" s="16" t="n"/>
      <c r="AN837" s="20" t="inlineStr">
        <is>
          <t>IC Anionen</t>
        </is>
      </c>
      <c r="AO837" s="20" t="inlineStr">
        <is>
          <t>None</t>
        </is>
      </c>
      <c r="AP837" s="17" t="n"/>
      <c r="AQ837" s="16" t="n"/>
      <c r="AR837" s="20" t="n"/>
      <c r="AS837" s="20" t="inlineStr">
        <is>
          <t>None</t>
        </is>
      </c>
      <c r="AT837" s="17" t="n"/>
      <c r="AU837" s="16" t="n"/>
      <c r="AV837" s="20" t="n"/>
      <c r="AW837" s="20" t="inlineStr">
        <is>
          <t>None</t>
        </is>
      </c>
      <c r="AX837" s="17" t="n"/>
      <c r="AY837" s="16" t="n"/>
      <c r="AZ837" s="20" t="inlineStr">
        <is>
          <t>IC Anionen</t>
        </is>
      </c>
      <c r="BA837" s="20" t="inlineStr">
        <is>
          <t>None</t>
        </is>
      </c>
      <c r="BB837" s="17" t="n"/>
      <c r="BC837" s="16" t="n"/>
      <c r="BD837" s="20" t="inlineStr">
        <is>
          <t>IC Kationen</t>
        </is>
      </c>
      <c r="BE837" s="20" t="inlineStr">
        <is>
          <t>None</t>
        </is>
      </c>
      <c r="BF837" s="17" t="n"/>
      <c r="BG837" s="16" t="n"/>
      <c r="BH837" s="20" t="inlineStr">
        <is>
          <t>IC Kationen</t>
        </is>
      </c>
      <c r="BI837" s="20" t="inlineStr">
        <is>
          <t>None</t>
        </is>
      </c>
      <c r="BJ837" s="17" t="n"/>
      <c r="BK837" s="16" t="n"/>
      <c r="BL837" s="20" t="inlineStr">
        <is>
          <t>IC Kationen</t>
        </is>
      </c>
      <c r="BM837" s="20" t="inlineStr">
        <is>
          <t>None</t>
        </is>
      </c>
      <c r="BN837" s="17" t="n"/>
      <c r="BO837" s="16" t="n"/>
      <c r="BP837" s="20" t="inlineStr">
        <is>
          <t>IC Kationen</t>
        </is>
      </c>
      <c r="BQ837" s="20" t="inlineStr">
        <is>
          <t>None</t>
        </is>
      </c>
      <c r="BR837" s="17" t="n"/>
      <c r="BS837" s="16" t="n"/>
      <c r="BT837" s="20" t="inlineStr">
        <is>
          <t>IC Kationen</t>
        </is>
      </c>
      <c r="BU837" s="20" t="inlineStr">
        <is>
          <t>None</t>
        </is>
      </c>
      <c r="BV837" s="17" t="n"/>
      <c r="BW837" s="16" t="n"/>
      <c r="BX837" s="20" t="n"/>
      <c r="BY837" s="20" t="inlineStr">
        <is>
          <t>None</t>
        </is>
      </c>
      <c r="BZ837" s="17" t="n"/>
      <c r="CA837" s="16" t="n"/>
      <c r="CB837" s="20" t="n"/>
      <c r="CC837" s="20" t="inlineStr">
        <is>
          <t>None</t>
        </is>
      </c>
      <c r="CD837" s="17" t="n"/>
      <c r="CE837" s="16" t="n"/>
      <c r="CF837" s="20" t="n"/>
      <c r="CG837" s="20" t="inlineStr">
        <is>
          <t>None</t>
        </is>
      </c>
      <c r="CH837" s="17" t="n"/>
      <c r="CI837" s="16" t="n"/>
      <c r="CJ837" s="20" t="n"/>
      <c r="CK837" s="20" t="inlineStr">
        <is>
          <t>None</t>
        </is>
      </c>
      <c r="CL837" s="17" t="n"/>
      <c r="CM837" s="16" t="n"/>
      <c r="CN837" s="20" t="inlineStr">
        <is>
          <t>SOP 45-34</t>
        </is>
      </c>
      <c r="CO837" s="20" t="inlineStr">
        <is>
          <t>None</t>
        </is>
      </c>
      <c r="CP837" s="17" t="n"/>
      <c r="CQ837" s="16" t="n"/>
      <c r="CR837" s="20" t="n"/>
      <c r="CS837" s="20" t="inlineStr">
        <is>
          <t>None</t>
        </is>
      </c>
      <c r="CT837" s="17" t="n"/>
      <c r="CU837" s="16" t="n"/>
      <c r="CV837" s="20" t="n"/>
      <c r="CW837" s="20" t="inlineStr">
        <is>
          <t>None</t>
        </is>
      </c>
      <c r="CX837" s="17" t="n"/>
      <c r="CY837" s="16" t="n"/>
      <c r="CZ837" s="20" t="inlineStr">
        <is>
          <t>WTW Multimeter 3430 with FDO 925</t>
        </is>
      </c>
      <c r="DA837" s="20" t="inlineStr">
        <is>
          <t>None</t>
        </is>
      </c>
      <c r="DB837" s="17" t="n"/>
      <c r="DC837" s="16" t="n"/>
      <c r="DD837" s="20" t="n"/>
      <c r="DE837" s="20" t="inlineStr">
        <is>
          <t>None</t>
        </is>
      </c>
      <c r="DF837" s="17" t="n"/>
      <c r="DG837" s="16" t="n"/>
      <c r="DH837" s="20" t="inlineStr">
        <is>
          <t>SOP 45-09</t>
        </is>
      </c>
      <c r="DI837" s="20" t="inlineStr">
        <is>
          <t>None</t>
        </is>
      </c>
      <c r="DJ837" s="17" t="n"/>
      <c r="DK837" s="16" t="n"/>
      <c r="DL837" s="20" t="inlineStr">
        <is>
          <t>SOP 45-09 (SOP muss noch angepasst werden für VSS)</t>
        </is>
      </c>
      <c r="DM837" s="20" t="inlineStr">
        <is>
          <t>None</t>
        </is>
      </c>
      <c r="DN837" s="17" t="n"/>
      <c r="DO837" s="16" t="n"/>
      <c r="DP837" s="20" t="inlineStr">
        <is>
          <t>IC Organic Acids</t>
        </is>
      </c>
      <c r="DQ837" s="20" t="inlineStr">
        <is>
          <t>None</t>
        </is>
      </c>
      <c r="DR837" s="17" t="n"/>
      <c r="DS837" s="16" t="n"/>
      <c r="DT837" s="20" t="inlineStr">
        <is>
          <t>IC Organic Acids</t>
        </is>
      </c>
      <c r="DU837" s="20" t="inlineStr">
        <is>
          <t>None</t>
        </is>
      </c>
      <c r="DV837" s="17" t="n"/>
      <c r="DW837" s="16" t="n"/>
      <c r="DX837" s="20" t="inlineStr">
        <is>
          <t>IC Organic Acids</t>
        </is>
      </c>
      <c r="DY837" s="20" t="inlineStr">
        <is>
          <t>None</t>
        </is>
      </c>
      <c r="DZ837" s="17" t="n"/>
      <c r="EA837" s="16" t="n"/>
      <c r="EB837" s="20" t="inlineStr">
        <is>
          <t>IC Organic Acids</t>
        </is>
      </c>
      <c r="EC837" s="20" t="inlineStr">
        <is>
          <t>None</t>
        </is>
      </c>
      <c r="ED837" s="17" t="n"/>
      <c r="EE837" s="16" t="n"/>
      <c r="EF837" s="20" t="inlineStr">
        <is>
          <t>IC Organic Acids</t>
        </is>
      </c>
      <c r="EG837" s="20" t="inlineStr">
        <is>
          <t>None</t>
        </is>
      </c>
      <c r="EH837" s="17" t="n"/>
      <c r="EI837" s="16" t="n"/>
      <c r="EJ837" s="20" t="inlineStr">
        <is>
          <t>IC Organic Acids</t>
        </is>
      </c>
      <c r="EK837" s="20" t="inlineStr">
        <is>
          <t>None</t>
        </is>
      </c>
      <c r="EL837" s="17" t="n"/>
      <c r="EM837" s="16" t="n"/>
      <c r="EN837" s="20" t="inlineStr">
        <is>
          <t>IC Organic Acids</t>
        </is>
      </c>
      <c r="EO837" s="20" t="inlineStr">
        <is>
          <t>None</t>
        </is>
      </c>
      <c r="EP837" s="17" t="n"/>
      <c r="EQ837" s="16" t="n"/>
      <c r="ER837" s="20" t="inlineStr">
        <is>
          <t>IC Organic Acids</t>
        </is>
      </c>
      <c r="ES837" s="20" t="inlineStr">
        <is>
          <t>None</t>
        </is>
      </c>
      <c r="ET837" s="17" t="n"/>
      <c r="EU837" s="16" t="n"/>
      <c r="EV837" s="20" t="inlineStr">
        <is>
          <t>LC-MS</t>
        </is>
      </c>
      <c r="EW837" s="20" t="inlineStr">
        <is>
          <t>None</t>
        </is>
      </c>
      <c r="EX837" s="17" t="n"/>
      <c r="EY837" s="21" t="n"/>
      <c r="EZ837">
        <f>CONCATENATE(A837,B837)</f>
        <v/>
      </c>
      <c r="FA837">
        <f>CONCATENATE(SamplesX!A837,SamplesX!B837)</f>
        <v/>
      </c>
      <c r="FC837">
        <f>MATCH(EZ837,FA1:FA1008,0)</f>
        <v/>
      </c>
    </row>
    <row r="838">
      <c r="A838" s="16" t="n"/>
      <c r="B838" s="17" t="n"/>
      <c r="C838" s="10">
        <f>IF(ISNUMBER(FC838),INDIRECT("SamplesX!C"&amp;FC838),IF(ISNUMBER(FD838),INDIRECT("SamplesY!C"&amp;FD838),""))</f>
        <v/>
      </c>
      <c r="D838" s="12">
        <f>IF(ISNUMBER(FC838),INDIRECT("SamplesX!D"&amp;FC838),IF(ISNUMBER(FD838),INDIRECT("SamplesY!D"&amp;FD838),""))</f>
        <v/>
      </c>
      <c r="E838" s="12">
        <f>IF(ISNUMBER(FC838),INDIRECT("SamplesX!E"&amp;FC838),IF(ISNUMBER(FD838),INDIRECT("SamplesY!E"&amp;FD838),""))</f>
        <v/>
      </c>
      <c r="F838" s="11">
        <f>IF(ISNUMBER(FC838),INDIRECT("SamplesX!F"&amp;FC838),IF(ISNUMBER(FD838),INDIRECT("SamplesY!F"&amp;FD838),""))</f>
        <v/>
      </c>
      <c r="G838" s="18">
        <f>IF(ISNUMBER(FC838),INDIRECT("SamplesX!G"&amp;FC838),IF(ISNUMBER(FD838),INDIRECT("SamplesY!G"&amp;FD838),""))</f>
        <v/>
      </c>
      <c r="H838" s="19">
        <f>IF(ISNUMBER(FC838),INDIRECT("SamplesX!H"&amp;FC838),IF(ISNUMBER(FD838),INDIRECT("SamplesY!H"&amp;FD838),""))</f>
        <v/>
      </c>
      <c r="I838" s="16" t="n"/>
      <c r="J838" s="16" t="n"/>
      <c r="K838" s="16" t="n"/>
      <c r="L838" s="20" t="n"/>
      <c r="M838" s="20" t="inlineStr">
        <is>
          <t>None</t>
        </is>
      </c>
      <c r="N838" s="17" t="n"/>
      <c r="O838" s="16" t="n"/>
      <c r="P838" s="20" t="inlineStr">
        <is>
          <t>Shimadzu TOC-L</t>
        </is>
      </c>
      <c r="Q838" s="20" t="inlineStr">
        <is>
          <t>None</t>
        </is>
      </c>
      <c r="R838" s="17" t="n"/>
      <c r="S838" s="16" t="n"/>
      <c r="T838" s="20" t="inlineStr">
        <is>
          <t>Shimadzu TOC-L</t>
        </is>
      </c>
      <c r="U838" s="20" t="inlineStr">
        <is>
          <t>None</t>
        </is>
      </c>
      <c r="V838" s="17" t="n"/>
      <c r="W838" s="16" t="n"/>
      <c r="X838" s="20" t="n"/>
      <c r="Y838" s="20" t="inlineStr">
        <is>
          <t>None</t>
        </is>
      </c>
      <c r="Z838" s="17" t="n"/>
      <c r="AA838" s="16" t="n"/>
      <c r="AB838" s="20" t="n"/>
      <c r="AC838" s="20" t="inlineStr">
        <is>
          <t>None</t>
        </is>
      </c>
      <c r="AD838" s="17" t="n"/>
      <c r="AE838" s="16" t="n"/>
      <c r="AF838" s="20" t="inlineStr">
        <is>
          <t>IC Anionen</t>
        </is>
      </c>
      <c r="AG838" s="20" t="inlineStr">
        <is>
          <t>None</t>
        </is>
      </c>
      <c r="AH838" s="17" t="n"/>
      <c r="AI838" s="16" t="n"/>
      <c r="AJ838" s="20" t="n"/>
      <c r="AK838" s="20" t="inlineStr">
        <is>
          <t>None</t>
        </is>
      </c>
      <c r="AL838" s="17" t="n"/>
      <c r="AM838" s="16" t="n"/>
      <c r="AN838" s="20" t="inlineStr">
        <is>
          <t>IC Anionen</t>
        </is>
      </c>
      <c r="AO838" s="20" t="inlineStr">
        <is>
          <t>None</t>
        </is>
      </c>
      <c r="AP838" s="17" t="n"/>
      <c r="AQ838" s="16" t="n"/>
      <c r="AR838" s="20" t="n"/>
      <c r="AS838" s="20" t="inlineStr">
        <is>
          <t>None</t>
        </is>
      </c>
      <c r="AT838" s="17" t="n"/>
      <c r="AU838" s="16" t="n"/>
      <c r="AV838" s="20" t="n"/>
      <c r="AW838" s="20" t="inlineStr">
        <is>
          <t>None</t>
        </is>
      </c>
      <c r="AX838" s="17" t="n"/>
      <c r="AY838" s="16" t="n"/>
      <c r="AZ838" s="20" t="inlineStr">
        <is>
          <t>IC Anionen</t>
        </is>
      </c>
      <c r="BA838" s="20" t="inlineStr">
        <is>
          <t>None</t>
        </is>
      </c>
      <c r="BB838" s="17" t="n"/>
      <c r="BC838" s="16" t="n"/>
      <c r="BD838" s="20" t="inlineStr">
        <is>
          <t>IC Kationen</t>
        </is>
      </c>
      <c r="BE838" s="20" t="inlineStr">
        <is>
          <t>None</t>
        </is>
      </c>
      <c r="BF838" s="17" t="n"/>
      <c r="BG838" s="16" t="n"/>
      <c r="BH838" s="20" t="inlineStr">
        <is>
          <t>IC Kationen</t>
        </is>
      </c>
      <c r="BI838" s="20" t="inlineStr">
        <is>
          <t>None</t>
        </is>
      </c>
      <c r="BJ838" s="17" t="n"/>
      <c r="BK838" s="16" t="n"/>
      <c r="BL838" s="20" t="inlineStr">
        <is>
          <t>IC Kationen</t>
        </is>
      </c>
      <c r="BM838" s="20" t="inlineStr">
        <is>
          <t>None</t>
        </is>
      </c>
      <c r="BN838" s="17" t="n"/>
      <c r="BO838" s="16" t="n"/>
      <c r="BP838" s="20" t="inlineStr">
        <is>
          <t>IC Kationen</t>
        </is>
      </c>
      <c r="BQ838" s="20" t="inlineStr">
        <is>
          <t>None</t>
        </is>
      </c>
      <c r="BR838" s="17" t="n"/>
      <c r="BS838" s="16" t="n"/>
      <c r="BT838" s="20" t="inlineStr">
        <is>
          <t>IC Kationen</t>
        </is>
      </c>
      <c r="BU838" s="20" t="inlineStr">
        <is>
          <t>None</t>
        </is>
      </c>
      <c r="BV838" s="17" t="n"/>
      <c r="BW838" s="16" t="n"/>
      <c r="BX838" s="20" t="n"/>
      <c r="BY838" s="20" t="inlineStr">
        <is>
          <t>None</t>
        </is>
      </c>
      <c r="BZ838" s="17" t="n"/>
      <c r="CA838" s="16" t="n"/>
      <c r="CB838" s="20" t="n"/>
      <c r="CC838" s="20" t="inlineStr">
        <is>
          <t>None</t>
        </is>
      </c>
      <c r="CD838" s="17" t="n"/>
      <c r="CE838" s="16" t="n"/>
      <c r="CF838" s="20" t="n"/>
      <c r="CG838" s="20" t="inlineStr">
        <is>
          <t>None</t>
        </is>
      </c>
      <c r="CH838" s="17" t="n"/>
      <c r="CI838" s="16" t="n"/>
      <c r="CJ838" s="20" t="n"/>
      <c r="CK838" s="20" t="inlineStr">
        <is>
          <t>None</t>
        </is>
      </c>
      <c r="CL838" s="17" t="n"/>
      <c r="CM838" s="16" t="n"/>
      <c r="CN838" s="20" t="inlineStr">
        <is>
          <t>SOP 45-34</t>
        </is>
      </c>
      <c r="CO838" s="20" t="inlineStr">
        <is>
          <t>None</t>
        </is>
      </c>
      <c r="CP838" s="17" t="n"/>
      <c r="CQ838" s="16" t="n"/>
      <c r="CR838" s="20" t="n"/>
      <c r="CS838" s="20" t="inlineStr">
        <is>
          <t>None</t>
        </is>
      </c>
      <c r="CT838" s="17" t="n"/>
      <c r="CU838" s="16" t="n"/>
      <c r="CV838" s="20" t="n"/>
      <c r="CW838" s="20" t="inlineStr">
        <is>
          <t>None</t>
        </is>
      </c>
      <c r="CX838" s="17" t="n"/>
      <c r="CY838" s="16" t="n"/>
      <c r="CZ838" s="20" t="inlineStr">
        <is>
          <t>WTW Multimeter 3430 with FDO 925</t>
        </is>
      </c>
      <c r="DA838" s="20" t="inlineStr">
        <is>
          <t>None</t>
        </is>
      </c>
      <c r="DB838" s="17" t="n"/>
      <c r="DC838" s="16" t="n"/>
      <c r="DD838" s="20" t="n"/>
      <c r="DE838" s="20" t="inlineStr">
        <is>
          <t>None</t>
        </is>
      </c>
      <c r="DF838" s="17" t="n"/>
      <c r="DG838" s="16" t="n"/>
      <c r="DH838" s="20" t="inlineStr">
        <is>
          <t>SOP 45-09</t>
        </is>
      </c>
      <c r="DI838" s="20" t="inlineStr">
        <is>
          <t>None</t>
        </is>
      </c>
      <c r="DJ838" s="17" t="n"/>
      <c r="DK838" s="16" t="n"/>
      <c r="DL838" s="20" t="inlineStr">
        <is>
          <t>SOP 45-09 (SOP muss noch angepasst werden für VSS)</t>
        </is>
      </c>
      <c r="DM838" s="20" t="inlineStr">
        <is>
          <t>None</t>
        </is>
      </c>
      <c r="DN838" s="17" t="n"/>
      <c r="DO838" s="16" t="n"/>
      <c r="DP838" s="20" t="inlineStr">
        <is>
          <t>IC Organic Acids</t>
        </is>
      </c>
      <c r="DQ838" s="20" t="inlineStr">
        <is>
          <t>None</t>
        </is>
      </c>
      <c r="DR838" s="17" t="n"/>
      <c r="DS838" s="16" t="n"/>
      <c r="DT838" s="20" t="inlineStr">
        <is>
          <t>IC Organic Acids</t>
        </is>
      </c>
      <c r="DU838" s="20" t="inlineStr">
        <is>
          <t>None</t>
        </is>
      </c>
      <c r="DV838" s="17" t="n"/>
      <c r="DW838" s="16" t="n"/>
      <c r="DX838" s="20" t="inlineStr">
        <is>
          <t>IC Organic Acids</t>
        </is>
      </c>
      <c r="DY838" s="20" t="inlineStr">
        <is>
          <t>None</t>
        </is>
      </c>
      <c r="DZ838" s="17" t="n"/>
      <c r="EA838" s="16" t="n"/>
      <c r="EB838" s="20" t="inlineStr">
        <is>
          <t>IC Organic Acids</t>
        </is>
      </c>
      <c r="EC838" s="20" t="inlineStr">
        <is>
          <t>None</t>
        </is>
      </c>
      <c r="ED838" s="17" t="n"/>
      <c r="EE838" s="16" t="n"/>
      <c r="EF838" s="20" t="inlineStr">
        <is>
          <t>IC Organic Acids</t>
        </is>
      </c>
      <c r="EG838" s="20" t="inlineStr">
        <is>
          <t>None</t>
        </is>
      </c>
      <c r="EH838" s="17" t="n"/>
      <c r="EI838" s="16" t="n"/>
      <c r="EJ838" s="20" t="inlineStr">
        <is>
          <t>IC Organic Acids</t>
        </is>
      </c>
      <c r="EK838" s="20" t="inlineStr">
        <is>
          <t>None</t>
        </is>
      </c>
      <c r="EL838" s="17" t="n"/>
      <c r="EM838" s="16" t="n"/>
      <c r="EN838" s="20" t="inlineStr">
        <is>
          <t>IC Organic Acids</t>
        </is>
      </c>
      <c r="EO838" s="20" t="inlineStr">
        <is>
          <t>None</t>
        </is>
      </c>
      <c r="EP838" s="17" t="n"/>
      <c r="EQ838" s="16" t="n"/>
      <c r="ER838" s="20" t="inlineStr">
        <is>
          <t>IC Organic Acids</t>
        </is>
      </c>
      <c r="ES838" s="20" t="inlineStr">
        <is>
          <t>None</t>
        </is>
      </c>
      <c r="ET838" s="17" t="n"/>
      <c r="EU838" s="16" t="n"/>
      <c r="EV838" s="20" t="inlineStr">
        <is>
          <t>LC-MS</t>
        </is>
      </c>
      <c r="EW838" s="20" t="inlineStr">
        <is>
          <t>None</t>
        </is>
      </c>
      <c r="EX838" s="17" t="n"/>
      <c r="EY838" s="21" t="n"/>
      <c r="EZ838">
        <f>CONCATENATE(A838,B838)</f>
        <v/>
      </c>
      <c r="FA838">
        <f>CONCATENATE(SamplesX!A838,SamplesX!B838)</f>
        <v/>
      </c>
      <c r="FC838">
        <f>MATCH(EZ838,FA1:FA1008,0)</f>
        <v/>
      </c>
    </row>
    <row r="839">
      <c r="A839" s="16" t="n"/>
      <c r="B839" s="17" t="n"/>
      <c r="C839" s="10">
        <f>IF(ISNUMBER(FC839),INDIRECT("SamplesX!C"&amp;FC839),IF(ISNUMBER(FD839),INDIRECT("SamplesY!C"&amp;FD839),""))</f>
        <v/>
      </c>
      <c r="D839" s="12">
        <f>IF(ISNUMBER(FC839),INDIRECT("SamplesX!D"&amp;FC839),IF(ISNUMBER(FD839),INDIRECT("SamplesY!D"&amp;FD839),""))</f>
        <v/>
      </c>
      <c r="E839" s="12">
        <f>IF(ISNUMBER(FC839),INDIRECT("SamplesX!E"&amp;FC839),IF(ISNUMBER(FD839),INDIRECT("SamplesY!E"&amp;FD839),""))</f>
        <v/>
      </c>
      <c r="F839" s="11">
        <f>IF(ISNUMBER(FC839),INDIRECT("SamplesX!F"&amp;FC839),IF(ISNUMBER(FD839),INDIRECT("SamplesY!F"&amp;FD839),""))</f>
        <v/>
      </c>
      <c r="G839" s="18">
        <f>IF(ISNUMBER(FC839),INDIRECT("SamplesX!G"&amp;FC839),IF(ISNUMBER(FD839),INDIRECT("SamplesY!G"&amp;FD839),""))</f>
        <v/>
      </c>
      <c r="H839" s="19">
        <f>IF(ISNUMBER(FC839),INDIRECT("SamplesX!H"&amp;FC839),IF(ISNUMBER(FD839),INDIRECT("SamplesY!H"&amp;FD839),""))</f>
        <v/>
      </c>
      <c r="I839" s="16" t="n"/>
      <c r="J839" s="16" t="n"/>
      <c r="K839" s="16" t="n"/>
      <c r="L839" s="20" t="n"/>
      <c r="M839" s="20" t="inlineStr">
        <is>
          <t>None</t>
        </is>
      </c>
      <c r="N839" s="17" t="n"/>
      <c r="O839" s="16" t="n"/>
      <c r="P839" s="20" t="inlineStr">
        <is>
          <t>Shimadzu TOC-L</t>
        </is>
      </c>
      <c r="Q839" s="20" t="inlineStr">
        <is>
          <t>None</t>
        </is>
      </c>
      <c r="R839" s="17" t="n"/>
      <c r="S839" s="16" t="n"/>
      <c r="T839" s="20" t="inlineStr">
        <is>
          <t>Shimadzu TOC-L</t>
        </is>
      </c>
      <c r="U839" s="20" t="inlineStr">
        <is>
          <t>None</t>
        </is>
      </c>
      <c r="V839" s="17" t="n"/>
      <c r="W839" s="16" t="n"/>
      <c r="X839" s="20" t="n"/>
      <c r="Y839" s="20" t="inlineStr">
        <is>
          <t>None</t>
        </is>
      </c>
      <c r="Z839" s="17" t="n"/>
      <c r="AA839" s="16" t="n"/>
      <c r="AB839" s="20" t="n"/>
      <c r="AC839" s="20" t="inlineStr">
        <is>
          <t>None</t>
        </is>
      </c>
      <c r="AD839" s="17" t="n"/>
      <c r="AE839" s="16" t="n"/>
      <c r="AF839" s="20" t="inlineStr">
        <is>
          <t>IC Anionen</t>
        </is>
      </c>
      <c r="AG839" s="20" t="inlineStr">
        <is>
          <t>None</t>
        </is>
      </c>
      <c r="AH839" s="17" t="n"/>
      <c r="AI839" s="16" t="n"/>
      <c r="AJ839" s="20" t="n"/>
      <c r="AK839" s="20" t="inlineStr">
        <is>
          <t>None</t>
        </is>
      </c>
      <c r="AL839" s="17" t="n"/>
      <c r="AM839" s="16" t="n"/>
      <c r="AN839" s="20" t="inlineStr">
        <is>
          <t>IC Anionen</t>
        </is>
      </c>
      <c r="AO839" s="20" t="inlineStr">
        <is>
          <t>None</t>
        </is>
      </c>
      <c r="AP839" s="17" t="n"/>
      <c r="AQ839" s="16" t="n"/>
      <c r="AR839" s="20" t="n"/>
      <c r="AS839" s="20" t="inlineStr">
        <is>
          <t>None</t>
        </is>
      </c>
      <c r="AT839" s="17" t="n"/>
      <c r="AU839" s="16" t="n"/>
      <c r="AV839" s="20" t="n"/>
      <c r="AW839" s="20" t="inlineStr">
        <is>
          <t>None</t>
        </is>
      </c>
      <c r="AX839" s="17" t="n"/>
      <c r="AY839" s="16" t="n"/>
      <c r="AZ839" s="20" t="inlineStr">
        <is>
          <t>IC Anionen</t>
        </is>
      </c>
      <c r="BA839" s="20" t="inlineStr">
        <is>
          <t>None</t>
        </is>
      </c>
      <c r="BB839" s="17" t="n"/>
      <c r="BC839" s="16" t="n"/>
      <c r="BD839" s="20" t="inlineStr">
        <is>
          <t>IC Kationen</t>
        </is>
      </c>
      <c r="BE839" s="20" t="inlineStr">
        <is>
          <t>None</t>
        </is>
      </c>
      <c r="BF839" s="17" t="n"/>
      <c r="BG839" s="16" t="n"/>
      <c r="BH839" s="20" t="inlineStr">
        <is>
          <t>IC Kationen</t>
        </is>
      </c>
      <c r="BI839" s="20" t="inlineStr">
        <is>
          <t>None</t>
        </is>
      </c>
      <c r="BJ839" s="17" t="n"/>
      <c r="BK839" s="16" t="n"/>
      <c r="BL839" s="20" t="inlineStr">
        <is>
          <t>IC Kationen</t>
        </is>
      </c>
      <c r="BM839" s="20" t="inlineStr">
        <is>
          <t>None</t>
        </is>
      </c>
      <c r="BN839" s="17" t="n"/>
      <c r="BO839" s="16" t="n"/>
      <c r="BP839" s="20" t="inlineStr">
        <is>
          <t>IC Kationen</t>
        </is>
      </c>
      <c r="BQ839" s="20" t="inlineStr">
        <is>
          <t>None</t>
        </is>
      </c>
      <c r="BR839" s="17" t="n"/>
      <c r="BS839" s="16" t="n"/>
      <c r="BT839" s="20" t="inlineStr">
        <is>
          <t>IC Kationen</t>
        </is>
      </c>
      <c r="BU839" s="20" t="inlineStr">
        <is>
          <t>None</t>
        </is>
      </c>
      <c r="BV839" s="17" t="n"/>
      <c r="BW839" s="16" t="n"/>
      <c r="BX839" s="20" t="n"/>
      <c r="BY839" s="20" t="inlineStr">
        <is>
          <t>None</t>
        </is>
      </c>
      <c r="BZ839" s="17" t="n"/>
      <c r="CA839" s="16" t="n"/>
      <c r="CB839" s="20" t="n"/>
      <c r="CC839" s="20" t="inlineStr">
        <is>
          <t>None</t>
        </is>
      </c>
      <c r="CD839" s="17" t="n"/>
      <c r="CE839" s="16" t="n"/>
      <c r="CF839" s="20" t="n"/>
      <c r="CG839" s="20" t="inlineStr">
        <is>
          <t>None</t>
        </is>
      </c>
      <c r="CH839" s="17" t="n"/>
      <c r="CI839" s="16" t="n"/>
      <c r="CJ839" s="20" t="n"/>
      <c r="CK839" s="20" t="inlineStr">
        <is>
          <t>None</t>
        </is>
      </c>
      <c r="CL839" s="17" t="n"/>
      <c r="CM839" s="16" t="n"/>
      <c r="CN839" s="20" t="inlineStr">
        <is>
          <t>SOP 45-34</t>
        </is>
      </c>
      <c r="CO839" s="20" t="inlineStr">
        <is>
          <t>None</t>
        </is>
      </c>
      <c r="CP839" s="17" t="n"/>
      <c r="CQ839" s="16" t="n"/>
      <c r="CR839" s="20" t="n"/>
      <c r="CS839" s="20" t="inlineStr">
        <is>
          <t>None</t>
        </is>
      </c>
      <c r="CT839" s="17" t="n"/>
      <c r="CU839" s="16" t="n"/>
      <c r="CV839" s="20" t="n"/>
      <c r="CW839" s="20" t="inlineStr">
        <is>
          <t>None</t>
        </is>
      </c>
      <c r="CX839" s="17" t="n"/>
      <c r="CY839" s="16" t="n"/>
      <c r="CZ839" s="20" t="inlineStr">
        <is>
          <t>WTW Multimeter 3430 with FDO 925</t>
        </is>
      </c>
      <c r="DA839" s="20" t="inlineStr">
        <is>
          <t>None</t>
        </is>
      </c>
      <c r="DB839" s="17" t="n"/>
      <c r="DC839" s="16" t="n"/>
      <c r="DD839" s="20" t="n"/>
      <c r="DE839" s="20" t="inlineStr">
        <is>
          <t>None</t>
        </is>
      </c>
      <c r="DF839" s="17" t="n"/>
      <c r="DG839" s="16" t="n"/>
      <c r="DH839" s="20" t="inlineStr">
        <is>
          <t>SOP 45-09</t>
        </is>
      </c>
      <c r="DI839" s="20" t="inlineStr">
        <is>
          <t>None</t>
        </is>
      </c>
      <c r="DJ839" s="17" t="n"/>
      <c r="DK839" s="16" t="n"/>
      <c r="DL839" s="20" t="inlineStr">
        <is>
          <t>SOP 45-09 (SOP muss noch angepasst werden für VSS)</t>
        </is>
      </c>
      <c r="DM839" s="20" t="inlineStr">
        <is>
          <t>None</t>
        </is>
      </c>
      <c r="DN839" s="17" t="n"/>
      <c r="DO839" s="16" t="n"/>
      <c r="DP839" s="20" t="inlineStr">
        <is>
          <t>IC Organic Acids</t>
        </is>
      </c>
      <c r="DQ839" s="20" t="inlineStr">
        <is>
          <t>None</t>
        </is>
      </c>
      <c r="DR839" s="17" t="n"/>
      <c r="DS839" s="16" t="n"/>
      <c r="DT839" s="20" t="inlineStr">
        <is>
          <t>IC Organic Acids</t>
        </is>
      </c>
      <c r="DU839" s="20" t="inlineStr">
        <is>
          <t>None</t>
        </is>
      </c>
      <c r="DV839" s="17" t="n"/>
      <c r="DW839" s="16" t="n"/>
      <c r="DX839" s="20" t="inlineStr">
        <is>
          <t>IC Organic Acids</t>
        </is>
      </c>
      <c r="DY839" s="20" t="inlineStr">
        <is>
          <t>None</t>
        </is>
      </c>
      <c r="DZ839" s="17" t="n"/>
      <c r="EA839" s="16" t="n"/>
      <c r="EB839" s="20" t="inlineStr">
        <is>
          <t>IC Organic Acids</t>
        </is>
      </c>
      <c r="EC839" s="20" t="inlineStr">
        <is>
          <t>None</t>
        </is>
      </c>
      <c r="ED839" s="17" t="n"/>
      <c r="EE839" s="16" t="n"/>
      <c r="EF839" s="20" t="inlineStr">
        <is>
          <t>IC Organic Acids</t>
        </is>
      </c>
      <c r="EG839" s="20" t="inlineStr">
        <is>
          <t>None</t>
        </is>
      </c>
      <c r="EH839" s="17" t="n"/>
      <c r="EI839" s="16" t="n"/>
      <c r="EJ839" s="20" t="inlineStr">
        <is>
          <t>IC Organic Acids</t>
        </is>
      </c>
      <c r="EK839" s="20" t="inlineStr">
        <is>
          <t>None</t>
        </is>
      </c>
      <c r="EL839" s="17" t="n"/>
      <c r="EM839" s="16" t="n"/>
      <c r="EN839" s="20" t="inlineStr">
        <is>
          <t>IC Organic Acids</t>
        </is>
      </c>
      <c r="EO839" s="20" t="inlineStr">
        <is>
          <t>None</t>
        </is>
      </c>
      <c r="EP839" s="17" t="n"/>
      <c r="EQ839" s="16" t="n"/>
      <c r="ER839" s="20" t="inlineStr">
        <is>
          <t>IC Organic Acids</t>
        </is>
      </c>
      <c r="ES839" s="20" t="inlineStr">
        <is>
          <t>None</t>
        </is>
      </c>
      <c r="ET839" s="17" t="n"/>
      <c r="EU839" s="16" t="n"/>
      <c r="EV839" s="20" t="inlineStr">
        <is>
          <t>LC-MS</t>
        </is>
      </c>
      <c r="EW839" s="20" t="inlineStr">
        <is>
          <t>None</t>
        </is>
      </c>
      <c r="EX839" s="17" t="n"/>
      <c r="EY839" s="21" t="n"/>
      <c r="EZ839">
        <f>CONCATENATE(A839,B839)</f>
        <v/>
      </c>
      <c r="FA839">
        <f>CONCATENATE(SamplesX!A839,SamplesX!B839)</f>
        <v/>
      </c>
      <c r="FC839">
        <f>MATCH(EZ839,FA1:FA1008,0)</f>
        <v/>
      </c>
    </row>
    <row r="840">
      <c r="A840" s="16" t="n"/>
      <c r="B840" s="17" t="n"/>
      <c r="C840" s="10">
        <f>IF(ISNUMBER(FC840),INDIRECT("SamplesX!C"&amp;FC840),IF(ISNUMBER(FD840),INDIRECT("SamplesY!C"&amp;FD840),""))</f>
        <v/>
      </c>
      <c r="D840" s="12">
        <f>IF(ISNUMBER(FC840),INDIRECT("SamplesX!D"&amp;FC840),IF(ISNUMBER(FD840),INDIRECT("SamplesY!D"&amp;FD840),""))</f>
        <v/>
      </c>
      <c r="E840" s="12">
        <f>IF(ISNUMBER(FC840),INDIRECT("SamplesX!E"&amp;FC840),IF(ISNUMBER(FD840),INDIRECT("SamplesY!E"&amp;FD840),""))</f>
        <v/>
      </c>
      <c r="F840" s="11">
        <f>IF(ISNUMBER(FC840),INDIRECT("SamplesX!F"&amp;FC840),IF(ISNUMBER(FD840),INDIRECT("SamplesY!F"&amp;FD840),""))</f>
        <v/>
      </c>
      <c r="G840" s="18">
        <f>IF(ISNUMBER(FC840),INDIRECT("SamplesX!G"&amp;FC840),IF(ISNUMBER(FD840),INDIRECT("SamplesY!G"&amp;FD840),""))</f>
        <v/>
      </c>
      <c r="H840" s="19">
        <f>IF(ISNUMBER(FC840),INDIRECT("SamplesX!H"&amp;FC840),IF(ISNUMBER(FD840),INDIRECT("SamplesY!H"&amp;FD840),""))</f>
        <v/>
      </c>
      <c r="I840" s="16" t="n"/>
      <c r="J840" s="16" t="n"/>
      <c r="K840" s="16" t="n"/>
      <c r="L840" s="20" t="n"/>
      <c r="M840" s="20" t="inlineStr">
        <is>
          <t>None</t>
        </is>
      </c>
      <c r="N840" s="17" t="n"/>
      <c r="O840" s="16" t="n"/>
      <c r="P840" s="20" t="inlineStr">
        <is>
          <t>Shimadzu TOC-L</t>
        </is>
      </c>
      <c r="Q840" s="20" t="inlineStr">
        <is>
          <t>None</t>
        </is>
      </c>
      <c r="R840" s="17" t="n"/>
      <c r="S840" s="16" t="n"/>
      <c r="T840" s="20" t="inlineStr">
        <is>
          <t>Shimadzu TOC-L</t>
        </is>
      </c>
      <c r="U840" s="20" t="inlineStr">
        <is>
          <t>None</t>
        </is>
      </c>
      <c r="V840" s="17" t="n"/>
      <c r="W840" s="16" t="n"/>
      <c r="X840" s="20" t="n"/>
      <c r="Y840" s="20" t="inlineStr">
        <is>
          <t>None</t>
        </is>
      </c>
      <c r="Z840" s="17" t="n"/>
      <c r="AA840" s="16" t="n"/>
      <c r="AB840" s="20" t="n"/>
      <c r="AC840" s="20" t="inlineStr">
        <is>
          <t>None</t>
        </is>
      </c>
      <c r="AD840" s="17" t="n"/>
      <c r="AE840" s="16" t="n"/>
      <c r="AF840" s="20" t="inlineStr">
        <is>
          <t>IC Anionen</t>
        </is>
      </c>
      <c r="AG840" s="20" t="inlineStr">
        <is>
          <t>None</t>
        </is>
      </c>
      <c r="AH840" s="17" t="n"/>
      <c r="AI840" s="16" t="n"/>
      <c r="AJ840" s="20" t="n"/>
      <c r="AK840" s="20" t="inlineStr">
        <is>
          <t>None</t>
        </is>
      </c>
      <c r="AL840" s="17" t="n"/>
      <c r="AM840" s="16" t="n"/>
      <c r="AN840" s="20" t="inlineStr">
        <is>
          <t>IC Anionen</t>
        </is>
      </c>
      <c r="AO840" s="20" t="inlineStr">
        <is>
          <t>None</t>
        </is>
      </c>
      <c r="AP840" s="17" t="n"/>
      <c r="AQ840" s="16" t="n"/>
      <c r="AR840" s="20" t="n"/>
      <c r="AS840" s="20" t="inlineStr">
        <is>
          <t>None</t>
        </is>
      </c>
      <c r="AT840" s="17" t="n"/>
      <c r="AU840" s="16" t="n"/>
      <c r="AV840" s="20" t="n"/>
      <c r="AW840" s="20" t="inlineStr">
        <is>
          <t>None</t>
        </is>
      </c>
      <c r="AX840" s="17" t="n"/>
      <c r="AY840" s="16" t="n"/>
      <c r="AZ840" s="20" t="inlineStr">
        <is>
          <t>IC Anionen</t>
        </is>
      </c>
      <c r="BA840" s="20" t="inlineStr">
        <is>
          <t>None</t>
        </is>
      </c>
      <c r="BB840" s="17" t="n"/>
      <c r="BC840" s="16" t="n"/>
      <c r="BD840" s="20" t="inlineStr">
        <is>
          <t>IC Kationen</t>
        </is>
      </c>
      <c r="BE840" s="20" t="inlineStr">
        <is>
          <t>None</t>
        </is>
      </c>
      <c r="BF840" s="17" t="n"/>
      <c r="BG840" s="16" t="n"/>
      <c r="BH840" s="20" t="inlineStr">
        <is>
          <t>IC Kationen</t>
        </is>
      </c>
      <c r="BI840" s="20" t="inlineStr">
        <is>
          <t>None</t>
        </is>
      </c>
      <c r="BJ840" s="17" t="n"/>
      <c r="BK840" s="16" t="n"/>
      <c r="BL840" s="20" t="inlineStr">
        <is>
          <t>IC Kationen</t>
        </is>
      </c>
      <c r="BM840" s="20" t="inlineStr">
        <is>
          <t>None</t>
        </is>
      </c>
      <c r="BN840" s="17" t="n"/>
      <c r="BO840" s="16" t="n"/>
      <c r="BP840" s="20" t="inlineStr">
        <is>
          <t>IC Kationen</t>
        </is>
      </c>
      <c r="BQ840" s="20" t="inlineStr">
        <is>
          <t>None</t>
        </is>
      </c>
      <c r="BR840" s="17" t="n"/>
      <c r="BS840" s="16" t="n"/>
      <c r="BT840" s="20" t="inlineStr">
        <is>
          <t>IC Kationen</t>
        </is>
      </c>
      <c r="BU840" s="20" t="inlineStr">
        <is>
          <t>None</t>
        </is>
      </c>
      <c r="BV840" s="17" t="n"/>
      <c r="BW840" s="16" t="n"/>
      <c r="BX840" s="20" t="n"/>
      <c r="BY840" s="20" t="inlineStr">
        <is>
          <t>None</t>
        </is>
      </c>
      <c r="BZ840" s="17" t="n"/>
      <c r="CA840" s="16" t="n"/>
      <c r="CB840" s="20" t="n"/>
      <c r="CC840" s="20" t="inlineStr">
        <is>
          <t>None</t>
        </is>
      </c>
      <c r="CD840" s="17" t="n"/>
      <c r="CE840" s="16" t="n"/>
      <c r="CF840" s="20" t="n"/>
      <c r="CG840" s="20" t="inlineStr">
        <is>
          <t>None</t>
        </is>
      </c>
      <c r="CH840" s="17" t="n"/>
      <c r="CI840" s="16" t="n"/>
      <c r="CJ840" s="20" t="n"/>
      <c r="CK840" s="20" t="inlineStr">
        <is>
          <t>None</t>
        </is>
      </c>
      <c r="CL840" s="17" t="n"/>
      <c r="CM840" s="16" t="n"/>
      <c r="CN840" s="20" t="inlineStr">
        <is>
          <t>SOP 45-34</t>
        </is>
      </c>
      <c r="CO840" s="20" t="inlineStr">
        <is>
          <t>None</t>
        </is>
      </c>
      <c r="CP840" s="17" t="n"/>
      <c r="CQ840" s="16" t="n"/>
      <c r="CR840" s="20" t="n"/>
      <c r="CS840" s="20" t="inlineStr">
        <is>
          <t>None</t>
        </is>
      </c>
      <c r="CT840" s="17" t="n"/>
      <c r="CU840" s="16" t="n"/>
      <c r="CV840" s="20" t="n"/>
      <c r="CW840" s="20" t="inlineStr">
        <is>
          <t>None</t>
        </is>
      </c>
      <c r="CX840" s="17" t="n"/>
      <c r="CY840" s="16" t="n"/>
      <c r="CZ840" s="20" t="inlineStr">
        <is>
          <t>WTW Multimeter 3430 with FDO 925</t>
        </is>
      </c>
      <c r="DA840" s="20" t="inlineStr">
        <is>
          <t>None</t>
        </is>
      </c>
      <c r="DB840" s="17" t="n"/>
      <c r="DC840" s="16" t="n"/>
      <c r="DD840" s="20" t="n"/>
      <c r="DE840" s="20" t="inlineStr">
        <is>
          <t>None</t>
        </is>
      </c>
      <c r="DF840" s="17" t="n"/>
      <c r="DG840" s="16" t="n"/>
      <c r="DH840" s="20" t="inlineStr">
        <is>
          <t>SOP 45-09</t>
        </is>
      </c>
      <c r="DI840" s="20" t="inlineStr">
        <is>
          <t>None</t>
        </is>
      </c>
      <c r="DJ840" s="17" t="n"/>
      <c r="DK840" s="16" t="n"/>
      <c r="DL840" s="20" t="inlineStr">
        <is>
          <t>SOP 45-09 (SOP muss noch angepasst werden für VSS)</t>
        </is>
      </c>
      <c r="DM840" s="20" t="inlineStr">
        <is>
          <t>None</t>
        </is>
      </c>
      <c r="DN840" s="17" t="n"/>
      <c r="DO840" s="16" t="n"/>
      <c r="DP840" s="20" t="inlineStr">
        <is>
          <t>IC Organic Acids</t>
        </is>
      </c>
      <c r="DQ840" s="20" t="inlineStr">
        <is>
          <t>None</t>
        </is>
      </c>
      <c r="DR840" s="17" t="n"/>
      <c r="DS840" s="16" t="n"/>
      <c r="DT840" s="20" t="inlineStr">
        <is>
          <t>IC Organic Acids</t>
        </is>
      </c>
      <c r="DU840" s="20" t="inlineStr">
        <is>
          <t>None</t>
        </is>
      </c>
      <c r="DV840" s="17" t="n"/>
      <c r="DW840" s="16" t="n"/>
      <c r="DX840" s="20" t="inlineStr">
        <is>
          <t>IC Organic Acids</t>
        </is>
      </c>
      <c r="DY840" s="20" t="inlineStr">
        <is>
          <t>None</t>
        </is>
      </c>
      <c r="DZ840" s="17" t="n"/>
      <c r="EA840" s="16" t="n"/>
      <c r="EB840" s="20" t="inlineStr">
        <is>
          <t>IC Organic Acids</t>
        </is>
      </c>
      <c r="EC840" s="20" t="inlineStr">
        <is>
          <t>None</t>
        </is>
      </c>
      <c r="ED840" s="17" t="n"/>
      <c r="EE840" s="16" t="n"/>
      <c r="EF840" s="20" t="inlineStr">
        <is>
          <t>IC Organic Acids</t>
        </is>
      </c>
      <c r="EG840" s="20" t="inlineStr">
        <is>
          <t>None</t>
        </is>
      </c>
      <c r="EH840" s="17" t="n"/>
      <c r="EI840" s="16" t="n"/>
      <c r="EJ840" s="20" t="inlineStr">
        <is>
          <t>IC Organic Acids</t>
        </is>
      </c>
      <c r="EK840" s="20" t="inlineStr">
        <is>
          <t>None</t>
        </is>
      </c>
      <c r="EL840" s="17" t="n"/>
      <c r="EM840" s="16" t="n"/>
      <c r="EN840" s="20" t="inlineStr">
        <is>
          <t>IC Organic Acids</t>
        </is>
      </c>
      <c r="EO840" s="20" t="inlineStr">
        <is>
          <t>None</t>
        </is>
      </c>
      <c r="EP840" s="17" t="n"/>
      <c r="EQ840" s="16" t="n"/>
      <c r="ER840" s="20" t="inlineStr">
        <is>
          <t>IC Organic Acids</t>
        </is>
      </c>
      <c r="ES840" s="20" t="inlineStr">
        <is>
          <t>None</t>
        </is>
      </c>
      <c r="ET840" s="17" t="n"/>
      <c r="EU840" s="16" t="n"/>
      <c r="EV840" s="20" t="inlineStr">
        <is>
          <t>LC-MS</t>
        </is>
      </c>
      <c r="EW840" s="20" t="inlineStr">
        <is>
          <t>None</t>
        </is>
      </c>
      <c r="EX840" s="17" t="n"/>
      <c r="EY840" s="21" t="n"/>
      <c r="EZ840">
        <f>CONCATENATE(A840,B840)</f>
        <v/>
      </c>
      <c r="FA840">
        <f>CONCATENATE(SamplesX!A840,SamplesX!B840)</f>
        <v/>
      </c>
      <c r="FC840">
        <f>MATCH(EZ840,FA1:FA1008,0)</f>
        <v/>
      </c>
    </row>
    <row r="841">
      <c r="A841" s="16" t="n"/>
      <c r="B841" s="17" t="n"/>
      <c r="C841" s="10">
        <f>IF(ISNUMBER(FC841),INDIRECT("SamplesX!C"&amp;FC841),IF(ISNUMBER(FD841),INDIRECT("SamplesY!C"&amp;FD841),""))</f>
        <v/>
      </c>
      <c r="D841" s="12">
        <f>IF(ISNUMBER(FC841),INDIRECT("SamplesX!D"&amp;FC841),IF(ISNUMBER(FD841),INDIRECT("SamplesY!D"&amp;FD841),""))</f>
        <v/>
      </c>
      <c r="E841" s="12">
        <f>IF(ISNUMBER(FC841),INDIRECT("SamplesX!E"&amp;FC841),IF(ISNUMBER(FD841),INDIRECT("SamplesY!E"&amp;FD841),""))</f>
        <v/>
      </c>
      <c r="F841" s="11">
        <f>IF(ISNUMBER(FC841),INDIRECT("SamplesX!F"&amp;FC841),IF(ISNUMBER(FD841),INDIRECT("SamplesY!F"&amp;FD841),""))</f>
        <v/>
      </c>
      <c r="G841" s="18">
        <f>IF(ISNUMBER(FC841),INDIRECT("SamplesX!G"&amp;FC841),IF(ISNUMBER(FD841),INDIRECT("SamplesY!G"&amp;FD841),""))</f>
        <v/>
      </c>
      <c r="H841" s="19">
        <f>IF(ISNUMBER(FC841),INDIRECT("SamplesX!H"&amp;FC841),IF(ISNUMBER(FD841),INDIRECT("SamplesY!H"&amp;FD841),""))</f>
        <v/>
      </c>
      <c r="I841" s="16" t="n"/>
      <c r="J841" s="16" t="n"/>
      <c r="K841" s="16" t="n"/>
      <c r="L841" s="20" t="n"/>
      <c r="M841" s="20" t="inlineStr">
        <is>
          <t>None</t>
        </is>
      </c>
      <c r="N841" s="17" t="n"/>
      <c r="O841" s="16" t="n"/>
      <c r="P841" s="20" t="inlineStr">
        <is>
          <t>Shimadzu TOC-L</t>
        </is>
      </c>
      <c r="Q841" s="20" t="inlineStr">
        <is>
          <t>None</t>
        </is>
      </c>
      <c r="R841" s="17" t="n"/>
      <c r="S841" s="16" t="n"/>
      <c r="T841" s="20" t="inlineStr">
        <is>
          <t>Shimadzu TOC-L</t>
        </is>
      </c>
      <c r="U841" s="20" t="inlineStr">
        <is>
          <t>None</t>
        </is>
      </c>
      <c r="V841" s="17" t="n"/>
      <c r="W841" s="16" t="n"/>
      <c r="X841" s="20" t="n"/>
      <c r="Y841" s="20" t="inlineStr">
        <is>
          <t>None</t>
        </is>
      </c>
      <c r="Z841" s="17" t="n"/>
      <c r="AA841" s="16" t="n"/>
      <c r="AB841" s="20" t="n"/>
      <c r="AC841" s="20" t="inlineStr">
        <is>
          <t>None</t>
        </is>
      </c>
      <c r="AD841" s="17" t="n"/>
      <c r="AE841" s="16" t="n"/>
      <c r="AF841" s="20" t="inlineStr">
        <is>
          <t>IC Anionen</t>
        </is>
      </c>
      <c r="AG841" s="20" t="inlineStr">
        <is>
          <t>None</t>
        </is>
      </c>
      <c r="AH841" s="17" t="n"/>
      <c r="AI841" s="16" t="n"/>
      <c r="AJ841" s="20" t="n"/>
      <c r="AK841" s="20" t="inlineStr">
        <is>
          <t>None</t>
        </is>
      </c>
      <c r="AL841" s="17" t="n"/>
      <c r="AM841" s="16" t="n"/>
      <c r="AN841" s="20" t="inlineStr">
        <is>
          <t>IC Anionen</t>
        </is>
      </c>
      <c r="AO841" s="20" t="inlineStr">
        <is>
          <t>None</t>
        </is>
      </c>
      <c r="AP841" s="17" t="n"/>
      <c r="AQ841" s="16" t="n"/>
      <c r="AR841" s="20" t="n"/>
      <c r="AS841" s="20" t="inlineStr">
        <is>
          <t>None</t>
        </is>
      </c>
      <c r="AT841" s="17" t="n"/>
      <c r="AU841" s="16" t="n"/>
      <c r="AV841" s="20" t="n"/>
      <c r="AW841" s="20" t="inlineStr">
        <is>
          <t>None</t>
        </is>
      </c>
      <c r="AX841" s="17" t="n"/>
      <c r="AY841" s="16" t="n"/>
      <c r="AZ841" s="20" t="inlineStr">
        <is>
          <t>IC Anionen</t>
        </is>
      </c>
      <c r="BA841" s="20" t="inlineStr">
        <is>
          <t>None</t>
        </is>
      </c>
      <c r="BB841" s="17" t="n"/>
      <c r="BC841" s="16" t="n"/>
      <c r="BD841" s="20" t="inlineStr">
        <is>
          <t>IC Kationen</t>
        </is>
      </c>
      <c r="BE841" s="20" t="inlineStr">
        <is>
          <t>None</t>
        </is>
      </c>
      <c r="BF841" s="17" t="n"/>
      <c r="BG841" s="16" t="n"/>
      <c r="BH841" s="20" t="inlineStr">
        <is>
          <t>IC Kationen</t>
        </is>
      </c>
      <c r="BI841" s="20" t="inlineStr">
        <is>
          <t>None</t>
        </is>
      </c>
      <c r="BJ841" s="17" t="n"/>
      <c r="BK841" s="16" t="n"/>
      <c r="BL841" s="20" t="inlineStr">
        <is>
          <t>IC Kationen</t>
        </is>
      </c>
      <c r="BM841" s="20" t="inlineStr">
        <is>
          <t>None</t>
        </is>
      </c>
      <c r="BN841" s="17" t="n"/>
      <c r="BO841" s="16" t="n"/>
      <c r="BP841" s="20" t="inlineStr">
        <is>
          <t>IC Kationen</t>
        </is>
      </c>
      <c r="BQ841" s="20" t="inlineStr">
        <is>
          <t>None</t>
        </is>
      </c>
      <c r="BR841" s="17" t="n"/>
      <c r="BS841" s="16" t="n"/>
      <c r="BT841" s="20" t="inlineStr">
        <is>
          <t>IC Kationen</t>
        </is>
      </c>
      <c r="BU841" s="20" t="inlineStr">
        <is>
          <t>None</t>
        </is>
      </c>
      <c r="BV841" s="17" t="n"/>
      <c r="BW841" s="16" t="n"/>
      <c r="BX841" s="20" t="n"/>
      <c r="BY841" s="20" t="inlineStr">
        <is>
          <t>None</t>
        </is>
      </c>
      <c r="BZ841" s="17" t="n"/>
      <c r="CA841" s="16" t="n"/>
      <c r="CB841" s="20" t="n"/>
      <c r="CC841" s="20" t="inlineStr">
        <is>
          <t>None</t>
        </is>
      </c>
      <c r="CD841" s="17" t="n"/>
      <c r="CE841" s="16" t="n"/>
      <c r="CF841" s="20" t="n"/>
      <c r="CG841" s="20" t="inlineStr">
        <is>
          <t>None</t>
        </is>
      </c>
      <c r="CH841" s="17" t="n"/>
      <c r="CI841" s="16" t="n"/>
      <c r="CJ841" s="20" t="n"/>
      <c r="CK841" s="20" t="inlineStr">
        <is>
          <t>None</t>
        </is>
      </c>
      <c r="CL841" s="17" t="n"/>
      <c r="CM841" s="16" t="n"/>
      <c r="CN841" s="20" t="inlineStr">
        <is>
          <t>SOP 45-34</t>
        </is>
      </c>
      <c r="CO841" s="20" t="inlineStr">
        <is>
          <t>None</t>
        </is>
      </c>
      <c r="CP841" s="17" t="n"/>
      <c r="CQ841" s="16" t="n"/>
      <c r="CR841" s="20" t="n"/>
      <c r="CS841" s="20" t="inlineStr">
        <is>
          <t>None</t>
        </is>
      </c>
      <c r="CT841" s="17" t="n"/>
      <c r="CU841" s="16" t="n"/>
      <c r="CV841" s="20" t="n"/>
      <c r="CW841" s="20" t="inlineStr">
        <is>
          <t>None</t>
        </is>
      </c>
      <c r="CX841" s="17" t="n"/>
      <c r="CY841" s="16" t="n"/>
      <c r="CZ841" s="20" t="inlineStr">
        <is>
          <t>WTW Multimeter 3430 with FDO 925</t>
        </is>
      </c>
      <c r="DA841" s="20" t="inlineStr">
        <is>
          <t>None</t>
        </is>
      </c>
      <c r="DB841" s="17" t="n"/>
      <c r="DC841" s="16" t="n"/>
      <c r="DD841" s="20" t="n"/>
      <c r="DE841" s="20" t="inlineStr">
        <is>
          <t>None</t>
        </is>
      </c>
      <c r="DF841" s="17" t="n"/>
      <c r="DG841" s="16" t="n"/>
      <c r="DH841" s="20" t="inlineStr">
        <is>
          <t>SOP 45-09</t>
        </is>
      </c>
      <c r="DI841" s="20" t="inlineStr">
        <is>
          <t>None</t>
        </is>
      </c>
      <c r="DJ841" s="17" t="n"/>
      <c r="DK841" s="16" t="n"/>
      <c r="DL841" s="20" t="inlineStr">
        <is>
          <t>SOP 45-09 (SOP muss noch angepasst werden für VSS)</t>
        </is>
      </c>
      <c r="DM841" s="20" t="inlineStr">
        <is>
          <t>None</t>
        </is>
      </c>
      <c r="DN841" s="17" t="n"/>
      <c r="DO841" s="16" t="n"/>
      <c r="DP841" s="20" t="inlineStr">
        <is>
          <t>IC Organic Acids</t>
        </is>
      </c>
      <c r="DQ841" s="20" t="inlineStr">
        <is>
          <t>None</t>
        </is>
      </c>
      <c r="DR841" s="17" t="n"/>
      <c r="DS841" s="16" t="n"/>
      <c r="DT841" s="20" t="inlineStr">
        <is>
          <t>IC Organic Acids</t>
        </is>
      </c>
      <c r="DU841" s="20" t="inlineStr">
        <is>
          <t>None</t>
        </is>
      </c>
      <c r="DV841" s="17" t="n"/>
      <c r="DW841" s="16" t="n"/>
      <c r="DX841" s="20" t="inlineStr">
        <is>
          <t>IC Organic Acids</t>
        </is>
      </c>
      <c r="DY841" s="20" t="inlineStr">
        <is>
          <t>None</t>
        </is>
      </c>
      <c r="DZ841" s="17" t="n"/>
      <c r="EA841" s="16" t="n"/>
      <c r="EB841" s="20" t="inlineStr">
        <is>
          <t>IC Organic Acids</t>
        </is>
      </c>
      <c r="EC841" s="20" t="inlineStr">
        <is>
          <t>None</t>
        </is>
      </c>
      <c r="ED841" s="17" t="n"/>
      <c r="EE841" s="16" t="n"/>
      <c r="EF841" s="20" t="inlineStr">
        <is>
          <t>IC Organic Acids</t>
        </is>
      </c>
      <c r="EG841" s="20" t="inlineStr">
        <is>
          <t>None</t>
        </is>
      </c>
      <c r="EH841" s="17" t="n"/>
      <c r="EI841" s="16" t="n"/>
      <c r="EJ841" s="20" t="inlineStr">
        <is>
          <t>IC Organic Acids</t>
        </is>
      </c>
      <c r="EK841" s="20" t="inlineStr">
        <is>
          <t>None</t>
        </is>
      </c>
      <c r="EL841" s="17" t="n"/>
      <c r="EM841" s="16" t="n"/>
      <c r="EN841" s="20" t="inlineStr">
        <is>
          <t>IC Organic Acids</t>
        </is>
      </c>
      <c r="EO841" s="20" t="inlineStr">
        <is>
          <t>None</t>
        </is>
      </c>
      <c r="EP841" s="17" t="n"/>
      <c r="EQ841" s="16" t="n"/>
      <c r="ER841" s="20" t="inlineStr">
        <is>
          <t>IC Organic Acids</t>
        </is>
      </c>
      <c r="ES841" s="20" t="inlineStr">
        <is>
          <t>None</t>
        </is>
      </c>
      <c r="ET841" s="17" t="n"/>
      <c r="EU841" s="16" t="n"/>
      <c r="EV841" s="20" t="inlineStr">
        <is>
          <t>LC-MS</t>
        </is>
      </c>
      <c r="EW841" s="20" t="inlineStr">
        <is>
          <t>None</t>
        </is>
      </c>
      <c r="EX841" s="17" t="n"/>
      <c r="EY841" s="21" t="n"/>
      <c r="EZ841">
        <f>CONCATENATE(A841,B841)</f>
        <v/>
      </c>
      <c r="FA841">
        <f>CONCATENATE(SamplesX!A841,SamplesX!B841)</f>
        <v/>
      </c>
      <c r="FC841">
        <f>MATCH(EZ841,FA1:FA1008,0)</f>
        <v/>
      </c>
    </row>
    <row r="842">
      <c r="A842" s="16" t="n"/>
      <c r="B842" s="17" t="n"/>
      <c r="C842" s="10">
        <f>IF(ISNUMBER(FC842),INDIRECT("SamplesX!C"&amp;FC842),IF(ISNUMBER(FD842),INDIRECT("SamplesY!C"&amp;FD842),""))</f>
        <v/>
      </c>
      <c r="D842" s="12">
        <f>IF(ISNUMBER(FC842),INDIRECT("SamplesX!D"&amp;FC842),IF(ISNUMBER(FD842),INDIRECT("SamplesY!D"&amp;FD842),""))</f>
        <v/>
      </c>
      <c r="E842" s="12">
        <f>IF(ISNUMBER(FC842),INDIRECT("SamplesX!E"&amp;FC842),IF(ISNUMBER(FD842),INDIRECT("SamplesY!E"&amp;FD842),""))</f>
        <v/>
      </c>
      <c r="F842" s="11">
        <f>IF(ISNUMBER(FC842),INDIRECT("SamplesX!F"&amp;FC842),IF(ISNUMBER(FD842),INDIRECT("SamplesY!F"&amp;FD842),""))</f>
        <v/>
      </c>
      <c r="G842" s="18">
        <f>IF(ISNUMBER(FC842),INDIRECT("SamplesX!G"&amp;FC842),IF(ISNUMBER(FD842),INDIRECT("SamplesY!G"&amp;FD842),""))</f>
        <v/>
      </c>
      <c r="H842" s="19">
        <f>IF(ISNUMBER(FC842),INDIRECT("SamplesX!H"&amp;FC842),IF(ISNUMBER(FD842),INDIRECT("SamplesY!H"&amp;FD842),""))</f>
        <v/>
      </c>
      <c r="I842" s="16" t="n"/>
      <c r="J842" s="16" t="n"/>
      <c r="K842" s="16" t="n"/>
      <c r="L842" s="20" t="n"/>
      <c r="M842" s="20" t="inlineStr">
        <is>
          <t>None</t>
        </is>
      </c>
      <c r="N842" s="17" t="n"/>
      <c r="O842" s="16" t="n"/>
      <c r="P842" s="20" t="inlineStr">
        <is>
          <t>Shimadzu TOC-L</t>
        </is>
      </c>
      <c r="Q842" s="20" t="inlineStr">
        <is>
          <t>None</t>
        </is>
      </c>
      <c r="R842" s="17" t="n"/>
      <c r="S842" s="16" t="n"/>
      <c r="T842" s="20" t="inlineStr">
        <is>
          <t>Shimadzu TOC-L</t>
        </is>
      </c>
      <c r="U842" s="20" t="inlineStr">
        <is>
          <t>None</t>
        </is>
      </c>
      <c r="V842" s="17" t="n"/>
      <c r="W842" s="16" t="n"/>
      <c r="X842" s="20" t="n"/>
      <c r="Y842" s="20" t="inlineStr">
        <is>
          <t>None</t>
        </is>
      </c>
      <c r="Z842" s="17" t="n"/>
      <c r="AA842" s="16" t="n"/>
      <c r="AB842" s="20" t="n"/>
      <c r="AC842" s="20" t="inlineStr">
        <is>
          <t>None</t>
        </is>
      </c>
      <c r="AD842" s="17" t="n"/>
      <c r="AE842" s="16" t="n"/>
      <c r="AF842" s="20" t="inlineStr">
        <is>
          <t>IC Anionen</t>
        </is>
      </c>
      <c r="AG842" s="20" t="inlineStr">
        <is>
          <t>None</t>
        </is>
      </c>
      <c r="AH842" s="17" t="n"/>
      <c r="AI842" s="16" t="n"/>
      <c r="AJ842" s="20" t="n"/>
      <c r="AK842" s="20" t="inlineStr">
        <is>
          <t>None</t>
        </is>
      </c>
      <c r="AL842" s="17" t="n"/>
      <c r="AM842" s="16" t="n"/>
      <c r="AN842" s="20" t="inlineStr">
        <is>
          <t>IC Anionen</t>
        </is>
      </c>
      <c r="AO842" s="20" t="inlineStr">
        <is>
          <t>None</t>
        </is>
      </c>
      <c r="AP842" s="17" t="n"/>
      <c r="AQ842" s="16" t="n"/>
      <c r="AR842" s="20" t="n"/>
      <c r="AS842" s="20" t="inlineStr">
        <is>
          <t>None</t>
        </is>
      </c>
      <c r="AT842" s="17" t="n"/>
      <c r="AU842" s="16" t="n"/>
      <c r="AV842" s="20" t="n"/>
      <c r="AW842" s="20" t="inlineStr">
        <is>
          <t>None</t>
        </is>
      </c>
      <c r="AX842" s="17" t="n"/>
      <c r="AY842" s="16" t="n"/>
      <c r="AZ842" s="20" t="inlineStr">
        <is>
          <t>IC Anionen</t>
        </is>
      </c>
      <c r="BA842" s="20" t="inlineStr">
        <is>
          <t>None</t>
        </is>
      </c>
      <c r="BB842" s="17" t="n"/>
      <c r="BC842" s="16" t="n"/>
      <c r="BD842" s="20" t="inlineStr">
        <is>
          <t>IC Kationen</t>
        </is>
      </c>
      <c r="BE842" s="20" t="inlineStr">
        <is>
          <t>None</t>
        </is>
      </c>
      <c r="BF842" s="17" t="n"/>
      <c r="BG842" s="16" t="n"/>
      <c r="BH842" s="20" t="inlineStr">
        <is>
          <t>IC Kationen</t>
        </is>
      </c>
      <c r="BI842" s="20" t="inlineStr">
        <is>
          <t>None</t>
        </is>
      </c>
      <c r="BJ842" s="17" t="n"/>
      <c r="BK842" s="16" t="n"/>
      <c r="BL842" s="20" t="inlineStr">
        <is>
          <t>IC Kationen</t>
        </is>
      </c>
      <c r="BM842" s="20" t="inlineStr">
        <is>
          <t>None</t>
        </is>
      </c>
      <c r="BN842" s="17" t="n"/>
      <c r="BO842" s="16" t="n"/>
      <c r="BP842" s="20" t="inlineStr">
        <is>
          <t>IC Kationen</t>
        </is>
      </c>
      <c r="BQ842" s="20" t="inlineStr">
        <is>
          <t>None</t>
        </is>
      </c>
      <c r="BR842" s="17" t="n"/>
      <c r="BS842" s="16" t="n"/>
      <c r="BT842" s="20" t="inlineStr">
        <is>
          <t>IC Kationen</t>
        </is>
      </c>
      <c r="BU842" s="20" t="inlineStr">
        <is>
          <t>None</t>
        </is>
      </c>
      <c r="BV842" s="17" t="n"/>
      <c r="BW842" s="16" t="n"/>
      <c r="BX842" s="20" t="n"/>
      <c r="BY842" s="20" t="inlineStr">
        <is>
          <t>None</t>
        </is>
      </c>
      <c r="BZ842" s="17" t="n"/>
      <c r="CA842" s="16" t="n"/>
      <c r="CB842" s="20" t="n"/>
      <c r="CC842" s="20" t="inlineStr">
        <is>
          <t>None</t>
        </is>
      </c>
      <c r="CD842" s="17" t="n"/>
      <c r="CE842" s="16" t="n"/>
      <c r="CF842" s="20" t="n"/>
      <c r="CG842" s="20" t="inlineStr">
        <is>
          <t>None</t>
        </is>
      </c>
      <c r="CH842" s="17" t="n"/>
      <c r="CI842" s="16" t="n"/>
      <c r="CJ842" s="20" t="n"/>
      <c r="CK842" s="20" t="inlineStr">
        <is>
          <t>None</t>
        </is>
      </c>
      <c r="CL842" s="17" t="n"/>
      <c r="CM842" s="16" t="n"/>
      <c r="CN842" s="20" t="inlineStr">
        <is>
          <t>SOP 45-34</t>
        </is>
      </c>
      <c r="CO842" s="20" t="inlineStr">
        <is>
          <t>None</t>
        </is>
      </c>
      <c r="CP842" s="17" t="n"/>
      <c r="CQ842" s="16" t="n"/>
      <c r="CR842" s="20" t="n"/>
      <c r="CS842" s="20" t="inlineStr">
        <is>
          <t>None</t>
        </is>
      </c>
      <c r="CT842" s="17" t="n"/>
      <c r="CU842" s="16" t="n"/>
      <c r="CV842" s="20" t="n"/>
      <c r="CW842" s="20" t="inlineStr">
        <is>
          <t>None</t>
        </is>
      </c>
      <c r="CX842" s="17" t="n"/>
      <c r="CY842" s="16" t="n"/>
      <c r="CZ842" s="20" t="inlineStr">
        <is>
          <t>WTW Multimeter 3430 with FDO 925</t>
        </is>
      </c>
      <c r="DA842" s="20" t="inlineStr">
        <is>
          <t>None</t>
        </is>
      </c>
      <c r="DB842" s="17" t="n"/>
      <c r="DC842" s="16" t="n"/>
      <c r="DD842" s="20" t="n"/>
      <c r="DE842" s="20" t="inlineStr">
        <is>
          <t>None</t>
        </is>
      </c>
      <c r="DF842" s="17" t="n"/>
      <c r="DG842" s="16" t="n"/>
      <c r="DH842" s="20" t="inlineStr">
        <is>
          <t>SOP 45-09</t>
        </is>
      </c>
      <c r="DI842" s="20" t="inlineStr">
        <is>
          <t>None</t>
        </is>
      </c>
      <c r="DJ842" s="17" t="n"/>
      <c r="DK842" s="16" t="n"/>
      <c r="DL842" s="20" t="inlineStr">
        <is>
          <t>SOP 45-09 (SOP muss noch angepasst werden für VSS)</t>
        </is>
      </c>
      <c r="DM842" s="20" t="inlineStr">
        <is>
          <t>None</t>
        </is>
      </c>
      <c r="DN842" s="17" t="n"/>
      <c r="DO842" s="16" t="n"/>
      <c r="DP842" s="20" t="inlineStr">
        <is>
          <t>IC Organic Acids</t>
        </is>
      </c>
      <c r="DQ842" s="20" t="inlineStr">
        <is>
          <t>None</t>
        </is>
      </c>
      <c r="DR842" s="17" t="n"/>
      <c r="DS842" s="16" t="n"/>
      <c r="DT842" s="20" t="inlineStr">
        <is>
          <t>IC Organic Acids</t>
        </is>
      </c>
      <c r="DU842" s="20" t="inlineStr">
        <is>
          <t>None</t>
        </is>
      </c>
      <c r="DV842" s="17" t="n"/>
      <c r="DW842" s="16" t="n"/>
      <c r="DX842" s="20" t="inlineStr">
        <is>
          <t>IC Organic Acids</t>
        </is>
      </c>
      <c r="DY842" s="20" t="inlineStr">
        <is>
          <t>None</t>
        </is>
      </c>
      <c r="DZ842" s="17" t="n"/>
      <c r="EA842" s="16" t="n"/>
      <c r="EB842" s="20" t="inlineStr">
        <is>
          <t>IC Organic Acids</t>
        </is>
      </c>
      <c r="EC842" s="20" t="inlineStr">
        <is>
          <t>None</t>
        </is>
      </c>
      <c r="ED842" s="17" t="n"/>
      <c r="EE842" s="16" t="n"/>
      <c r="EF842" s="20" t="inlineStr">
        <is>
          <t>IC Organic Acids</t>
        </is>
      </c>
      <c r="EG842" s="20" t="inlineStr">
        <is>
          <t>None</t>
        </is>
      </c>
      <c r="EH842" s="17" t="n"/>
      <c r="EI842" s="16" t="n"/>
      <c r="EJ842" s="20" t="inlineStr">
        <is>
          <t>IC Organic Acids</t>
        </is>
      </c>
      <c r="EK842" s="20" t="inlineStr">
        <is>
          <t>None</t>
        </is>
      </c>
      <c r="EL842" s="17" t="n"/>
      <c r="EM842" s="16" t="n"/>
      <c r="EN842" s="20" t="inlineStr">
        <is>
          <t>IC Organic Acids</t>
        </is>
      </c>
      <c r="EO842" s="20" t="inlineStr">
        <is>
          <t>None</t>
        </is>
      </c>
      <c r="EP842" s="17" t="n"/>
      <c r="EQ842" s="16" t="n"/>
      <c r="ER842" s="20" t="inlineStr">
        <is>
          <t>IC Organic Acids</t>
        </is>
      </c>
      <c r="ES842" s="20" t="inlineStr">
        <is>
          <t>None</t>
        </is>
      </c>
      <c r="ET842" s="17" t="n"/>
      <c r="EU842" s="16" t="n"/>
      <c r="EV842" s="20" t="inlineStr">
        <is>
          <t>LC-MS</t>
        </is>
      </c>
      <c r="EW842" s="20" t="inlineStr">
        <is>
          <t>None</t>
        </is>
      </c>
      <c r="EX842" s="17" t="n"/>
      <c r="EY842" s="21" t="n"/>
      <c r="EZ842">
        <f>CONCATENATE(A842,B842)</f>
        <v/>
      </c>
      <c r="FA842">
        <f>CONCATENATE(SamplesX!A842,SamplesX!B842)</f>
        <v/>
      </c>
      <c r="FC842">
        <f>MATCH(EZ842,FA1:FA1008,0)</f>
        <v/>
      </c>
    </row>
    <row r="843">
      <c r="A843" s="16" t="n"/>
      <c r="B843" s="17" t="n"/>
      <c r="C843" s="10">
        <f>IF(ISNUMBER(FC843),INDIRECT("SamplesX!C"&amp;FC843),IF(ISNUMBER(FD843),INDIRECT("SamplesY!C"&amp;FD843),""))</f>
        <v/>
      </c>
      <c r="D843" s="12">
        <f>IF(ISNUMBER(FC843),INDIRECT("SamplesX!D"&amp;FC843),IF(ISNUMBER(FD843),INDIRECT("SamplesY!D"&amp;FD843),""))</f>
        <v/>
      </c>
      <c r="E843" s="12">
        <f>IF(ISNUMBER(FC843),INDIRECT("SamplesX!E"&amp;FC843),IF(ISNUMBER(FD843),INDIRECT("SamplesY!E"&amp;FD843),""))</f>
        <v/>
      </c>
      <c r="F843" s="11">
        <f>IF(ISNUMBER(FC843),INDIRECT("SamplesX!F"&amp;FC843),IF(ISNUMBER(FD843),INDIRECT("SamplesY!F"&amp;FD843),""))</f>
        <v/>
      </c>
      <c r="G843" s="18">
        <f>IF(ISNUMBER(FC843),INDIRECT("SamplesX!G"&amp;FC843),IF(ISNUMBER(FD843),INDIRECT("SamplesY!G"&amp;FD843),""))</f>
        <v/>
      </c>
      <c r="H843" s="19">
        <f>IF(ISNUMBER(FC843),INDIRECT("SamplesX!H"&amp;FC843),IF(ISNUMBER(FD843),INDIRECT("SamplesY!H"&amp;FD843),""))</f>
        <v/>
      </c>
      <c r="I843" s="16" t="n"/>
      <c r="J843" s="16" t="n"/>
      <c r="K843" s="16" t="n"/>
      <c r="L843" s="20" t="n"/>
      <c r="M843" s="20" t="inlineStr">
        <is>
          <t>None</t>
        </is>
      </c>
      <c r="N843" s="17" t="n"/>
      <c r="O843" s="16" t="n"/>
      <c r="P843" s="20" t="inlineStr">
        <is>
          <t>Shimadzu TOC-L</t>
        </is>
      </c>
      <c r="Q843" s="20" t="inlineStr">
        <is>
          <t>None</t>
        </is>
      </c>
      <c r="R843" s="17" t="n"/>
      <c r="S843" s="16" t="n"/>
      <c r="T843" s="20" t="inlineStr">
        <is>
          <t>Shimadzu TOC-L</t>
        </is>
      </c>
      <c r="U843" s="20" t="inlineStr">
        <is>
          <t>None</t>
        </is>
      </c>
      <c r="V843" s="17" t="n"/>
      <c r="W843" s="16" t="n"/>
      <c r="X843" s="20" t="n"/>
      <c r="Y843" s="20" t="inlineStr">
        <is>
          <t>None</t>
        </is>
      </c>
      <c r="Z843" s="17" t="n"/>
      <c r="AA843" s="16" t="n"/>
      <c r="AB843" s="20" t="n"/>
      <c r="AC843" s="20" t="inlineStr">
        <is>
          <t>None</t>
        </is>
      </c>
      <c r="AD843" s="17" t="n"/>
      <c r="AE843" s="16" t="n"/>
      <c r="AF843" s="20" t="inlineStr">
        <is>
          <t>IC Anionen</t>
        </is>
      </c>
      <c r="AG843" s="20" t="inlineStr">
        <is>
          <t>None</t>
        </is>
      </c>
      <c r="AH843" s="17" t="n"/>
      <c r="AI843" s="16" t="n"/>
      <c r="AJ843" s="20" t="n"/>
      <c r="AK843" s="20" t="inlineStr">
        <is>
          <t>None</t>
        </is>
      </c>
      <c r="AL843" s="17" t="n"/>
      <c r="AM843" s="16" t="n"/>
      <c r="AN843" s="20" t="inlineStr">
        <is>
          <t>IC Anionen</t>
        </is>
      </c>
      <c r="AO843" s="20" t="inlineStr">
        <is>
          <t>None</t>
        </is>
      </c>
      <c r="AP843" s="17" t="n"/>
      <c r="AQ843" s="16" t="n"/>
      <c r="AR843" s="20" t="n"/>
      <c r="AS843" s="20" t="inlineStr">
        <is>
          <t>None</t>
        </is>
      </c>
      <c r="AT843" s="17" t="n"/>
      <c r="AU843" s="16" t="n"/>
      <c r="AV843" s="20" t="n"/>
      <c r="AW843" s="20" t="inlineStr">
        <is>
          <t>None</t>
        </is>
      </c>
      <c r="AX843" s="17" t="n"/>
      <c r="AY843" s="16" t="n"/>
      <c r="AZ843" s="20" t="inlineStr">
        <is>
          <t>IC Anionen</t>
        </is>
      </c>
      <c r="BA843" s="20" t="inlineStr">
        <is>
          <t>None</t>
        </is>
      </c>
      <c r="BB843" s="17" t="n"/>
      <c r="BC843" s="16" t="n"/>
      <c r="BD843" s="20" t="inlineStr">
        <is>
          <t>IC Kationen</t>
        </is>
      </c>
      <c r="BE843" s="20" t="inlineStr">
        <is>
          <t>None</t>
        </is>
      </c>
      <c r="BF843" s="17" t="n"/>
      <c r="BG843" s="16" t="n"/>
      <c r="BH843" s="20" t="inlineStr">
        <is>
          <t>IC Kationen</t>
        </is>
      </c>
      <c r="BI843" s="20" t="inlineStr">
        <is>
          <t>None</t>
        </is>
      </c>
      <c r="BJ843" s="17" t="n"/>
      <c r="BK843" s="16" t="n"/>
      <c r="BL843" s="20" t="inlineStr">
        <is>
          <t>IC Kationen</t>
        </is>
      </c>
      <c r="BM843" s="20" t="inlineStr">
        <is>
          <t>None</t>
        </is>
      </c>
      <c r="BN843" s="17" t="n"/>
      <c r="BO843" s="16" t="n"/>
      <c r="BP843" s="20" t="inlineStr">
        <is>
          <t>IC Kationen</t>
        </is>
      </c>
      <c r="BQ843" s="20" t="inlineStr">
        <is>
          <t>None</t>
        </is>
      </c>
      <c r="BR843" s="17" t="n"/>
      <c r="BS843" s="16" t="n"/>
      <c r="BT843" s="20" t="inlineStr">
        <is>
          <t>IC Kationen</t>
        </is>
      </c>
      <c r="BU843" s="20" t="inlineStr">
        <is>
          <t>None</t>
        </is>
      </c>
      <c r="BV843" s="17" t="n"/>
      <c r="BW843" s="16" t="n"/>
      <c r="BX843" s="20" t="n"/>
      <c r="BY843" s="20" t="inlineStr">
        <is>
          <t>None</t>
        </is>
      </c>
      <c r="BZ843" s="17" t="n"/>
      <c r="CA843" s="16" t="n"/>
      <c r="CB843" s="20" t="n"/>
      <c r="CC843" s="20" t="inlineStr">
        <is>
          <t>None</t>
        </is>
      </c>
      <c r="CD843" s="17" t="n"/>
      <c r="CE843" s="16" t="n"/>
      <c r="CF843" s="20" t="n"/>
      <c r="CG843" s="20" t="inlineStr">
        <is>
          <t>None</t>
        </is>
      </c>
      <c r="CH843" s="17" t="n"/>
      <c r="CI843" s="16" t="n"/>
      <c r="CJ843" s="20" t="n"/>
      <c r="CK843" s="20" t="inlineStr">
        <is>
          <t>None</t>
        </is>
      </c>
      <c r="CL843" s="17" t="n"/>
      <c r="CM843" s="16" t="n"/>
      <c r="CN843" s="20" t="inlineStr">
        <is>
          <t>SOP 45-34</t>
        </is>
      </c>
      <c r="CO843" s="20" t="inlineStr">
        <is>
          <t>None</t>
        </is>
      </c>
      <c r="CP843" s="17" t="n"/>
      <c r="CQ843" s="16" t="n"/>
      <c r="CR843" s="20" t="n"/>
      <c r="CS843" s="20" t="inlineStr">
        <is>
          <t>None</t>
        </is>
      </c>
      <c r="CT843" s="17" t="n"/>
      <c r="CU843" s="16" t="n"/>
      <c r="CV843" s="20" t="n"/>
      <c r="CW843" s="20" t="inlineStr">
        <is>
          <t>None</t>
        </is>
      </c>
      <c r="CX843" s="17" t="n"/>
      <c r="CY843" s="16" t="n"/>
      <c r="CZ843" s="20" t="inlineStr">
        <is>
          <t>WTW Multimeter 3430 with FDO 925</t>
        </is>
      </c>
      <c r="DA843" s="20" t="inlineStr">
        <is>
          <t>None</t>
        </is>
      </c>
      <c r="DB843" s="17" t="n"/>
      <c r="DC843" s="16" t="n"/>
      <c r="DD843" s="20" t="n"/>
      <c r="DE843" s="20" t="inlineStr">
        <is>
          <t>None</t>
        </is>
      </c>
      <c r="DF843" s="17" t="n"/>
      <c r="DG843" s="16" t="n"/>
      <c r="DH843" s="20" t="inlineStr">
        <is>
          <t>SOP 45-09</t>
        </is>
      </c>
      <c r="DI843" s="20" t="inlineStr">
        <is>
          <t>None</t>
        </is>
      </c>
      <c r="DJ843" s="17" t="n"/>
      <c r="DK843" s="16" t="n"/>
      <c r="DL843" s="20" t="inlineStr">
        <is>
          <t>SOP 45-09 (SOP muss noch angepasst werden für VSS)</t>
        </is>
      </c>
      <c r="DM843" s="20" t="inlineStr">
        <is>
          <t>None</t>
        </is>
      </c>
      <c r="DN843" s="17" t="n"/>
      <c r="DO843" s="16" t="n"/>
      <c r="DP843" s="20" t="inlineStr">
        <is>
          <t>IC Organic Acids</t>
        </is>
      </c>
      <c r="DQ843" s="20" t="inlineStr">
        <is>
          <t>None</t>
        </is>
      </c>
      <c r="DR843" s="17" t="n"/>
      <c r="DS843" s="16" t="n"/>
      <c r="DT843" s="20" t="inlineStr">
        <is>
          <t>IC Organic Acids</t>
        </is>
      </c>
      <c r="DU843" s="20" t="inlineStr">
        <is>
          <t>None</t>
        </is>
      </c>
      <c r="DV843" s="17" t="n"/>
      <c r="DW843" s="16" t="n"/>
      <c r="DX843" s="20" t="inlineStr">
        <is>
          <t>IC Organic Acids</t>
        </is>
      </c>
      <c r="DY843" s="20" t="inlineStr">
        <is>
          <t>None</t>
        </is>
      </c>
      <c r="DZ843" s="17" t="n"/>
      <c r="EA843" s="16" t="n"/>
      <c r="EB843" s="20" t="inlineStr">
        <is>
          <t>IC Organic Acids</t>
        </is>
      </c>
      <c r="EC843" s="20" t="inlineStr">
        <is>
          <t>None</t>
        </is>
      </c>
      <c r="ED843" s="17" t="n"/>
      <c r="EE843" s="16" t="n"/>
      <c r="EF843" s="20" t="inlineStr">
        <is>
          <t>IC Organic Acids</t>
        </is>
      </c>
      <c r="EG843" s="20" t="inlineStr">
        <is>
          <t>None</t>
        </is>
      </c>
      <c r="EH843" s="17" t="n"/>
      <c r="EI843" s="16" t="n"/>
      <c r="EJ843" s="20" t="inlineStr">
        <is>
          <t>IC Organic Acids</t>
        </is>
      </c>
      <c r="EK843" s="20" t="inlineStr">
        <is>
          <t>None</t>
        </is>
      </c>
      <c r="EL843" s="17" t="n"/>
      <c r="EM843" s="16" t="n"/>
      <c r="EN843" s="20" t="inlineStr">
        <is>
          <t>IC Organic Acids</t>
        </is>
      </c>
      <c r="EO843" s="20" t="inlineStr">
        <is>
          <t>None</t>
        </is>
      </c>
      <c r="EP843" s="17" t="n"/>
      <c r="EQ843" s="16" t="n"/>
      <c r="ER843" s="20" t="inlineStr">
        <is>
          <t>IC Organic Acids</t>
        </is>
      </c>
      <c r="ES843" s="20" t="inlineStr">
        <is>
          <t>None</t>
        </is>
      </c>
      <c r="ET843" s="17" t="n"/>
      <c r="EU843" s="16" t="n"/>
      <c r="EV843" s="20" t="inlineStr">
        <is>
          <t>LC-MS</t>
        </is>
      </c>
      <c r="EW843" s="20" t="inlineStr">
        <is>
          <t>None</t>
        </is>
      </c>
      <c r="EX843" s="17" t="n"/>
      <c r="EY843" s="21" t="n"/>
      <c r="EZ843">
        <f>CONCATENATE(A843,B843)</f>
        <v/>
      </c>
      <c r="FA843">
        <f>CONCATENATE(SamplesX!A843,SamplesX!B843)</f>
        <v/>
      </c>
      <c r="FC843">
        <f>MATCH(EZ843,FA1:FA1008,0)</f>
        <v/>
      </c>
    </row>
    <row r="844">
      <c r="A844" s="16" t="n"/>
      <c r="B844" s="17" t="n"/>
      <c r="C844" s="10">
        <f>IF(ISNUMBER(FC844),INDIRECT("SamplesX!C"&amp;FC844),IF(ISNUMBER(FD844),INDIRECT("SamplesY!C"&amp;FD844),""))</f>
        <v/>
      </c>
      <c r="D844" s="12">
        <f>IF(ISNUMBER(FC844),INDIRECT("SamplesX!D"&amp;FC844),IF(ISNUMBER(FD844),INDIRECT("SamplesY!D"&amp;FD844),""))</f>
        <v/>
      </c>
      <c r="E844" s="12">
        <f>IF(ISNUMBER(FC844),INDIRECT("SamplesX!E"&amp;FC844),IF(ISNUMBER(FD844),INDIRECT("SamplesY!E"&amp;FD844),""))</f>
        <v/>
      </c>
      <c r="F844" s="11">
        <f>IF(ISNUMBER(FC844),INDIRECT("SamplesX!F"&amp;FC844),IF(ISNUMBER(FD844),INDIRECT("SamplesY!F"&amp;FD844),""))</f>
        <v/>
      </c>
      <c r="G844" s="18">
        <f>IF(ISNUMBER(FC844),INDIRECT("SamplesX!G"&amp;FC844),IF(ISNUMBER(FD844),INDIRECT("SamplesY!G"&amp;FD844),""))</f>
        <v/>
      </c>
      <c r="H844" s="19">
        <f>IF(ISNUMBER(FC844),INDIRECT("SamplesX!H"&amp;FC844),IF(ISNUMBER(FD844),INDIRECT("SamplesY!H"&amp;FD844),""))</f>
        <v/>
      </c>
      <c r="I844" s="16" t="n"/>
      <c r="J844" s="16" t="n"/>
      <c r="K844" s="16" t="n"/>
      <c r="L844" s="20" t="n"/>
      <c r="M844" s="20" t="inlineStr">
        <is>
          <t>None</t>
        </is>
      </c>
      <c r="N844" s="17" t="n"/>
      <c r="O844" s="16" t="n"/>
      <c r="P844" s="20" t="inlineStr">
        <is>
          <t>Shimadzu TOC-L</t>
        </is>
      </c>
      <c r="Q844" s="20" t="inlineStr">
        <is>
          <t>None</t>
        </is>
      </c>
      <c r="R844" s="17" t="n"/>
      <c r="S844" s="16" t="n"/>
      <c r="T844" s="20" t="inlineStr">
        <is>
          <t>Shimadzu TOC-L</t>
        </is>
      </c>
      <c r="U844" s="20" t="inlineStr">
        <is>
          <t>None</t>
        </is>
      </c>
      <c r="V844" s="17" t="n"/>
      <c r="W844" s="16" t="n"/>
      <c r="X844" s="20" t="n"/>
      <c r="Y844" s="20" t="inlineStr">
        <is>
          <t>None</t>
        </is>
      </c>
      <c r="Z844" s="17" t="n"/>
      <c r="AA844" s="16" t="n"/>
      <c r="AB844" s="20" t="n"/>
      <c r="AC844" s="20" t="inlineStr">
        <is>
          <t>None</t>
        </is>
      </c>
      <c r="AD844" s="17" t="n"/>
      <c r="AE844" s="16" t="n"/>
      <c r="AF844" s="20" t="inlineStr">
        <is>
          <t>IC Anionen</t>
        </is>
      </c>
      <c r="AG844" s="20" t="inlineStr">
        <is>
          <t>None</t>
        </is>
      </c>
      <c r="AH844" s="17" t="n"/>
      <c r="AI844" s="16" t="n"/>
      <c r="AJ844" s="20" t="n"/>
      <c r="AK844" s="20" t="inlineStr">
        <is>
          <t>None</t>
        </is>
      </c>
      <c r="AL844" s="17" t="n"/>
      <c r="AM844" s="16" t="n"/>
      <c r="AN844" s="20" t="inlineStr">
        <is>
          <t>IC Anionen</t>
        </is>
      </c>
      <c r="AO844" s="20" t="inlineStr">
        <is>
          <t>None</t>
        </is>
      </c>
      <c r="AP844" s="17" t="n"/>
      <c r="AQ844" s="16" t="n"/>
      <c r="AR844" s="20" t="n"/>
      <c r="AS844" s="20" t="inlineStr">
        <is>
          <t>None</t>
        </is>
      </c>
      <c r="AT844" s="17" t="n"/>
      <c r="AU844" s="16" t="n"/>
      <c r="AV844" s="20" t="n"/>
      <c r="AW844" s="20" t="inlineStr">
        <is>
          <t>None</t>
        </is>
      </c>
      <c r="AX844" s="17" t="n"/>
      <c r="AY844" s="16" t="n"/>
      <c r="AZ844" s="20" t="inlineStr">
        <is>
          <t>IC Anionen</t>
        </is>
      </c>
      <c r="BA844" s="20" t="inlineStr">
        <is>
          <t>None</t>
        </is>
      </c>
      <c r="BB844" s="17" t="n"/>
      <c r="BC844" s="16" t="n"/>
      <c r="BD844" s="20" t="inlineStr">
        <is>
          <t>IC Kationen</t>
        </is>
      </c>
      <c r="BE844" s="20" t="inlineStr">
        <is>
          <t>None</t>
        </is>
      </c>
      <c r="BF844" s="17" t="n"/>
      <c r="BG844" s="16" t="n"/>
      <c r="BH844" s="20" t="inlineStr">
        <is>
          <t>IC Kationen</t>
        </is>
      </c>
      <c r="BI844" s="20" t="inlineStr">
        <is>
          <t>None</t>
        </is>
      </c>
      <c r="BJ844" s="17" t="n"/>
      <c r="BK844" s="16" t="n"/>
      <c r="BL844" s="20" t="inlineStr">
        <is>
          <t>IC Kationen</t>
        </is>
      </c>
      <c r="BM844" s="20" t="inlineStr">
        <is>
          <t>None</t>
        </is>
      </c>
      <c r="BN844" s="17" t="n"/>
      <c r="BO844" s="16" t="n"/>
      <c r="BP844" s="20" t="inlineStr">
        <is>
          <t>IC Kationen</t>
        </is>
      </c>
      <c r="BQ844" s="20" t="inlineStr">
        <is>
          <t>None</t>
        </is>
      </c>
      <c r="BR844" s="17" t="n"/>
      <c r="BS844" s="16" t="n"/>
      <c r="BT844" s="20" t="inlineStr">
        <is>
          <t>IC Kationen</t>
        </is>
      </c>
      <c r="BU844" s="20" t="inlineStr">
        <is>
          <t>None</t>
        </is>
      </c>
      <c r="BV844" s="17" t="n"/>
      <c r="BW844" s="16" t="n"/>
      <c r="BX844" s="20" t="n"/>
      <c r="BY844" s="20" t="inlineStr">
        <is>
          <t>None</t>
        </is>
      </c>
      <c r="BZ844" s="17" t="n"/>
      <c r="CA844" s="16" t="n"/>
      <c r="CB844" s="20" t="n"/>
      <c r="CC844" s="20" t="inlineStr">
        <is>
          <t>None</t>
        </is>
      </c>
      <c r="CD844" s="17" t="n"/>
      <c r="CE844" s="16" t="n"/>
      <c r="CF844" s="20" t="n"/>
      <c r="CG844" s="20" t="inlineStr">
        <is>
          <t>None</t>
        </is>
      </c>
      <c r="CH844" s="17" t="n"/>
      <c r="CI844" s="16" t="n"/>
      <c r="CJ844" s="20" t="n"/>
      <c r="CK844" s="20" t="inlineStr">
        <is>
          <t>None</t>
        </is>
      </c>
      <c r="CL844" s="17" t="n"/>
      <c r="CM844" s="16" t="n"/>
      <c r="CN844" s="20" t="inlineStr">
        <is>
          <t>SOP 45-34</t>
        </is>
      </c>
      <c r="CO844" s="20" t="inlineStr">
        <is>
          <t>None</t>
        </is>
      </c>
      <c r="CP844" s="17" t="n"/>
      <c r="CQ844" s="16" t="n"/>
      <c r="CR844" s="20" t="n"/>
      <c r="CS844" s="20" t="inlineStr">
        <is>
          <t>None</t>
        </is>
      </c>
      <c r="CT844" s="17" t="n"/>
      <c r="CU844" s="16" t="n"/>
      <c r="CV844" s="20" t="n"/>
      <c r="CW844" s="20" t="inlineStr">
        <is>
          <t>None</t>
        </is>
      </c>
      <c r="CX844" s="17" t="n"/>
      <c r="CY844" s="16" t="n"/>
      <c r="CZ844" s="20" t="inlineStr">
        <is>
          <t>WTW Multimeter 3430 with FDO 925</t>
        </is>
      </c>
      <c r="DA844" s="20" t="inlineStr">
        <is>
          <t>None</t>
        </is>
      </c>
      <c r="DB844" s="17" t="n"/>
      <c r="DC844" s="16" t="n"/>
      <c r="DD844" s="20" t="n"/>
      <c r="DE844" s="20" t="inlineStr">
        <is>
          <t>None</t>
        </is>
      </c>
      <c r="DF844" s="17" t="n"/>
      <c r="DG844" s="16" t="n"/>
      <c r="DH844" s="20" t="inlineStr">
        <is>
          <t>SOP 45-09</t>
        </is>
      </c>
      <c r="DI844" s="20" t="inlineStr">
        <is>
          <t>None</t>
        </is>
      </c>
      <c r="DJ844" s="17" t="n"/>
      <c r="DK844" s="16" t="n"/>
      <c r="DL844" s="20" t="inlineStr">
        <is>
          <t>SOP 45-09 (SOP muss noch angepasst werden für VSS)</t>
        </is>
      </c>
      <c r="DM844" s="20" t="inlineStr">
        <is>
          <t>None</t>
        </is>
      </c>
      <c r="DN844" s="17" t="n"/>
      <c r="DO844" s="16" t="n"/>
      <c r="DP844" s="20" t="inlineStr">
        <is>
          <t>IC Organic Acids</t>
        </is>
      </c>
      <c r="DQ844" s="20" t="inlineStr">
        <is>
          <t>None</t>
        </is>
      </c>
      <c r="DR844" s="17" t="n"/>
      <c r="DS844" s="16" t="n"/>
      <c r="DT844" s="20" t="inlineStr">
        <is>
          <t>IC Organic Acids</t>
        </is>
      </c>
      <c r="DU844" s="20" t="inlineStr">
        <is>
          <t>None</t>
        </is>
      </c>
      <c r="DV844" s="17" t="n"/>
      <c r="DW844" s="16" t="n"/>
      <c r="DX844" s="20" t="inlineStr">
        <is>
          <t>IC Organic Acids</t>
        </is>
      </c>
      <c r="DY844" s="20" t="inlineStr">
        <is>
          <t>None</t>
        </is>
      </c>
      <c r="DZ844" s="17" t="n"/>
      <c r="EA844" s="16" t="n"/>
      <c r="EB844" s="20" t="inlineStr">
        <is>
          <t>IC Organic Acids</t>
        </is>
      </c>
      <c r="EC844" s="20" t="inlineStr">
        <is>
          <t>None</t>
        </is>
      </c>
      <c r="ED844" s="17" t="n"/>
      <c r="EE844" s="16" t="n"/>
      <c r="EF844" s="20" t="inlineStr">
        <is>
          <t>IC Organic Acids</t>
        </is>
      </c>
      <c r="EG844" s="20" t="inlineStr">
        <is>
          <t>None</t>
        </is>
      </c>
      <c r="EH844" s="17" t="n"/>
      <c r="EI844" s="16" t="n"/>
      <c r="EJ844" s="20" t="inlineStr">
        <is>
          <t>IC Organic Acids</t>
        </is>
      </c>
      <c r="EK844" s="20" t="inlineStr">
        <is>
          <t>None</t>
        </is>
      </c>
      <c r="EL844" s="17" t="n"/>
      <c r="EM844" s="16" t="n"/>
      <c r="EN844" s="20" t="inlineStr">
        <is>
          <t>IC Organic Acids</t>
        </is>
      </c>
      <c r="EO844" s="20" t="inlineStr">
        <is>
          <t>None</t>
        </is>
      </c>
      <c r="EP844" s="17" t="n"/>
      <c r="EQ844" s="16" t="n"/>
      <c r="ER844" s="20" t="inlineStr">
        <is>
          <t>IC Organic Acids</t>
        </is>
      </c>
      <c r="ES844" s="20" t="inlineStr">
        <is>
          <t>None</t>
        </is>
      </c>
      <c r="ET844" s="17" t="n"/>
      <c r="EU844" s="16" t="n"/>
      <c r="EV844" s="20" t="inlineStr">
        <is>
          <t>LC-MS</t>
        </is>
      </c>
      <c r="EW844" s="20" t="inlineStr">
        <is>
          <t>None</t>
        </is>
      </c>
      <c r="EX844" s="17" t="n"/>
      <c r="EY844" s="21" t="n"/>
      <c r="EZ844">
        <f>CONCATENATE(A844,B844)</f>
        <v/>
      </c>
      <c r="FA844">
        <f>CONCATENATE(SamplesX!A844,SamplesX!B844)</f>
        <v/>
      </c>
      <c r="FC844">
        <f>MATCH(EZ844,FA1:FA1008,0)</f>
        <v/>
      </c>
    </row>
    <row r="845">
      <c r="A845" s="16" t="n"/>
      <c r="B845" s="17" t="n"/>
      <c r="C845" s="10">
        <f>IF(ISNUMBER(FC845),INDIRECT("SamplesX!C"&amp;FC845),IF(ISNUMBER(FD845),INDIRECT("SamplesY!C"&amp;FD845),""))</f>
        <v/>
      </c>
      <c r="D845" s="12">
        <f>IF(ISNUMBER(FC845),INDIRECT("SamplesX!D"&amp;FC845),IF(ISNUMBER(FD845),INDIRECT("SamplesY!D"&amp;FD845),""))</f>
        <v/>
      </c>
      <c r="E845" s="12">
        <f>IF(ISNUMBER(FC845),INDIRECT("SamplesX!E"&amp;FC845),IF(ISNUMBER(FD845),INDIRECT("SamplesY!E"&amp;FD845),""))</f>
        <v/>
      </c>
      <c r="F845" s="11">
        <f>IF(ISNUMBER(FC845),INDIRECT("SamplesX!F"&amp;FC845),IF(ISNUMBER(FD845),INDIRECT("SamplesY!F"&amp;FD845),""))</f>
        <v/>
      </c>
      <c r="G845" s="18">
        <f>IF(ISNUMBER(FC845),INDIRECT("SamplesX!G"&amp;FC845),IF(ISNUMBER(FD845),INDIRECT("SamplesY!G"&amp;FD845),""))</f>
        <v/>
      </c>
      <c r="H845" s="19">
        <f>IF(ISNUMBER(FC845),INDIRECT("SamplesX!H"&amp;FC845),IF(ISNUMBER(FD845),INDIRECT("SamplesY!H"&amp;FD845),""))</f>
        <v/>
      </c>
      <c r="I845" s="16" t="n"/>
      <c r="J845" s="16" t="n"/>
      <c r="K845" s="16" t="n"/>
      <c r="L845" s="20" t="n"/>
      <c r="M845" s="20" t="inlineStr">
        <is>
          <t>None</t>
        </is>
      </c>
      <c r="N845" s="17" t="n"/>
      <c r="O845" s="16" t="n"/>
      <c r="P845" s="20" t="inlineStr">
        <is>
          <t>Shimadzu TOC-L</t>
        </is>
      </c>
      <c r="Q845" s="20" t="inlineStr">
        <is>
          <t>None</t>
        </is>
      </c>
      <c r="R845" s="17" t="n"/>
      <c r="S845" s="16" t="n"/>
      <c r="T845" s="20" t="inlineStr">
        <is>
          <t>Shimadzu TOC-L</t>
        </is>
      </c>
      <c r="U845" s="20" t="inlineStr">
        <is>
          <t>None</t>
        </is>
      </c>
      <c r="V845" s="17" t="n"/>
      <c r="W845" s="16" t="n"/>
      <c r="X845" s="20" t="n"/>
      <c r="Y845" s="20" t="inlineStr">
        <is>
          <t>None</t>
        </is>
      </c>
      <c r="Z845" s="17" t="n"/>
      <c r="AA845" s="16" t="n"/>
      <c r="AB845" s="20" t="n"/>
      <c r="AC845" s="20" t="inlineStr">
        <is>
          <t>None</t>
        </is>
      </c>
      <c r="AD845" s="17" t="n"/>
      <c r="AE845" s="16" t="n"/>
      <c r="AF845" s="20" t="inlineStr">
        <is>
          <t>IC Anionen</t>
        </is>
      </c>
      <c r="AG845" s="20" t="inlineStr">
        <is>
          <t>None</t>
        </is>
      </c>
      <c r="AH845" s="17" t="n"/>
      <c r="AI845" s="16" t="n"/>
      <c r="AJ845" s="20" t="n"/>
      <c r="AK845" s="20" t="inlineStr">
        <is>
          <t>None</t>
        </is>
      </c>
      <c r="AL845" s="17" t="n"/>
      <c r="AM845" s="16" t="n"/>
      <c r="AN845" s="20" t="inlineStr">
        <is>
          <t>IC Anionen</t>
        </is>
      </c>
      <c r="AO845" s="20" t="inlineStr">
        <is>
          <t>None</t>
        </is>
      </c>
      <c r="AP845" s="17" t="n"/>
      <c r="AQ845" s="16" t="n"/>
      <c r="AR845" s="20" t="n"/>
      <c r="AS845" s="20" t="inlineStr">
        <is>
          <t>None</t>
        </is>
      </c>
      <c r="AT845" s="17" t="n"/>
      <c r="AU845" s="16" t="n"/>
      <c r="AV845" s="20" t="n"/>
      <c r="AW845" s="20" t="inlineStr">
        <is>
          <t>None</t>
        </is>
      </c>
      <c r="AX845" s="17" t="n"/>
      <c r="AY845" s="16" t="n"/>
      <c r="AZ845" s="20" t="inlineStr">
        <is>
          <t>IC Anionen</t>
        </is>
      </c>
      <c r="BA845" s="20" t="inlineStr">
        <is>
          <t>None</t>
        </is>
      </c>
      <c r="BB845" s="17" t="n"/>
      <c r="BC845" s="16" t="n"/>
      <c r="BD845" s="20" t="inlineStr">
        <is>
          <t>IC Kationen</t>
        </is>
      </c>
      <c r="BE845" s="20" t="inlineStr">
        <is>
          <t>None</t>
        </is>
      </c>
      <c r="BF845" s="17" t="n"/>
      <c r="BG845" s="16" t="n"/>
      <c r="BH845" s="20" t="inlineStr">
        <is>
          <t>IC Kationen</t>
        </is>
      </c>
      <c r="BI845" s="20" t="inlineStr">
        <is>
          <t>None</t>
        </is>
      </c>
      <c r="BJ845" s="17" t="n"/>
      <c r="BK845" s="16" t="n"/>
      <c r="BL845" s="20" t="inlineStr">
        <is>
          <t>IC Kationen</t>
        </is>
      </c>
      <c r="BM845" s="20" t="inlineStr">
        <is>
          <t>None</t>
        </is>
      </c>
      <c r="BN845" s="17" t="n"/>
      <c r="BO845" s="16" t="n"/>
      <c r="BP845" s="20" t="inlineStr">
        <is>
          <t>IC Kationen</t>
        </is>
      </c>
      <c r="BQ845" s="20" t="inlineStr">
        <is>
          <t>None</t>
        </is>
      </c>
      <c r="BR845" s="17" t="n"/>
      <c r="BS845" s="16" t="n"/>
      <c r="BT845" s="20" t="inlineStr">
        <is>
          <t>IC Kationen</t>
        </is>
      </c>
      <c r="BU845" s="20" t="inlineStr">
        <is>
          <t>None</t>
        </is>
      </c>
      <c r="BV845" s="17" t="n"/>
      <c r="BW845" s="16" t="n"/>
      <c r="BX845" s="20" t="n"/>
      <c r="BY845" s="20" t="inlineStr">
        <is>
          <t>None</t>
        </is>
      </c>
      <c r="BZ845" s="17" t="n"/>
      <c r="CA845" s="16" t="n"/>
      <c r="CB845" s="20" t="n"/>
      <c r="CC845" s="20" t="inlineStr">
        <is>
          <t>None</t>
        </is>
      </c>
      <c r="CD845" s="17" t="n"/>
      <c r="CE845" s="16" t="n"/>
      <c r="CF845" s="20" t="n"/>
      <c r="CG845" s="20" t="inlineStr">
        <is>
          <t>None</t>
        </is>
      </c>
      <c r="CH845" s="17" t="n"/>
      <c r="CI845" s="16" t="n"/>
      <c r="CJ845" s="20" t="n"/>
      <c r="CK845" s="20" t="inlineStr">
        <is>
          <t>None</t>
        </is>
      </c>
      <c r="CL845" s="17" t="n"/>
      <c r="CM845" s="16" t="n"/>
      <c r="CN845" s="20" t="inlineStr">
        <is>
          <t>SOP 45-34</t>
        </is>
      </c>
      <c r="CO845" s="20" t="inlineStr">
        <is>
          <t>None</t>
        </is>
      </c>
      <c r="CP845" s="17" t="n"/>
      <c r="CQ845" s="16" t="n"/>
      <c r="CR845" s="20" t="n"/>
      <c r="CS845" s="20" t="inlineStr">
        <is>
          <t>None</t>
        </is>
      </c>
      <c r="CT845" s="17" t="n"/>
      <c r="CU845" s="16" t="n"/>
      <c r="CV845" s="20" t="n"/>
      <c r="CW845" s="20" t="inlineStr">
        <is>
          <t>None</t>
        </is>
      </c>
      <c r="CX845" s="17" t="n"/>
      <c r="CY845" s="16" t="n"/>
      <c r="CZ845" s="20" t="inlineStr">
        <is>
          <t>WTW Multimeter 3430 with FDO 925</t>
        </is>
      </c>
      <c r="DA845" s="20" t="inlineStr">
        <is>
          <t>None</t>
        </is>
      </c>
      <c r="DB845" s="17" t="n"/>
      <c r="DC845" s="16" t="n"/>
      <c r="DD845" s="20" t="n"/>
      <c r="DE845" s="20" t="inlineStr">
        <is>
          <t>None</t>
        </is>
      </c>
      <c r="DF845" s="17" t="n"/>
      <c r="DG845" s="16" t="n"/>
      <c r="DH845" s="20" t="inlineStr">
        <is>
          <t>SOP 45-09</t>
        </is>
      </c>
      <c r="DI845" s="20" t="inlineStr">
        <is>
          <t>None</t>
        </is>
      </c>
      <c r="DJ845" s="17" t="n"/>
      <c r="DK845" s="16" t="n"/>
      <c r="DL845" s="20" t="inlineStr">
        <is>
          <t>SOP 45-09 (SOP muss noch angepasst werden für VSS)</t>
        </is>
      </c>
      <c r="DM845" s="20" t="inlineStr">
        <is>
          <t>None</t>
        </is>
      </c>
      <c r="DN845" s="17" t="n"/>
      <c r="DO845" s="16" t="n"/>
      <c r="DP845" s="20" t="inlineStr">
        <is>
          <t>IC Organic Acids</t>
        </is>
      </c>
      <c r="DQ845" s="20" t="inlineStr">
        <is>
          <t>None</t>
        </is>
      </c>
      <c r="DR845" s="17" t="n"/>
      <c r="DS845" s="16" t="n"/>
      <c r="DT845" s="20" t="inlineStr">
        <is>
          <t>IC Organic Acids</t>
        </is>
      </c>
      <c r="DU845" s="20" t="inlineStr">
        <is>
          <t>None</t>
        </is>
      </c>
      <c r="DV845" s="17" t="n"/>
      <c r="DW845" s="16" t="n"/>
      <c r="DX845" s="20" t="inlineStr">
        <is>
          <t>IC Organic Acids</t>
        </is>
      </c>
      <c r="DY845" s="20" t="inlineStr">
        <is>
          <t>None</t>
        </is>
      </c>
      <c r="DZ845" s="17" t="n"/>
      <c r="EA845" s="16" t="n"/>
      <c r="EB845" s="20" t="inlineStr">
        <is>
          <t>IC Organic Acids</t>
        </is>
      </c>
      <c r="EC845" s="20" t="inlineStr">
        <is>
          <t>None</t>
        </is>
      </c>
      <c r="ED845" s="17" t="n"/>
      <c r="EE845" s="16" t="n"/>
      <c r="EF845" s="20" t="inlineStr">
        <is>
          <t>IC Organic Acids</t>
        </is>
      </c>
      <c r="EG845" s="20" t="inlineStr">
        <is>
          <t>None</t>
        </is>
      </c>
      <c r="EH845" s="17" t="n"/>
      <c r="EI845" s="16" t="n"/>
      <c r="EJ845" s="20" t="inlineStr">
        <is>
          <t>IC Organic Acids</t>
        </is>
      </c>
      <c r="EK845" s="20" t="inlineStr">
        <is>
          <t>None</t>
        </is>
      </c>
      <c r="EL845" s="17" t="n"/>
      <c r="EM845" s="16" t="n"/>
      <c r="EN845" s="20" t="inlineStr">
        <is>
          <t>IC Organic Acids</t>
        </is>
      </c>
      <c r="EO845" s="20" t="inlineStr">
        <is>
          <t>None</t>
        </is>
      </c>
      <c r="EP845" s="17" t="n"/>
      <c r="EQ845" s="16" t="n"/>
      <c r="ER845" s="20" t="inlineStr">
        <is>
          <t>IC Organic Acids</t>
        </is>
      </c>
      <c r="ES845" s="20" t="inlineStr">
        <is>
          <t>None</t>
        </is>
      </c>
      <c r="ET845" s="17" t="n"/>
      <c r="EU845" s="16" t="n"/>
      <c r="EV845" s="20" t="inlineStr">
        <is>
          <t>LC-MS</t>
        </is>
      </c>
      <c r="EW845" s="20" t="inlineStr">
        <is>
          <t>None</t>
        </is>
      </c>
      <c r="EX845" s="17" t="n"/>
      <c r="EY845" s="21" t="n"/>
      <c r="EZ845">
        <f>CONCATENATE(A845,B845)</f>
        <v/>
      </c>
      <c r="FA845">
        <f>CONCATENATE(SamplesX!A845,SamplesX!B845)</f>
        <v/>
      </c>
      <c r="FC845">
        <f>MATCH(EZ845,FA1:FA1008,0)</f>
        <v/>
      </c>
    </row>
    <row r="846">
      <c r="A846" s="16" t="n"/>
      <c r="B846" s="17" t="n"/>
      <c r="C846" s="10">
        <f>IF(ISNUMBER(FC846),INDIRECT("SamplesX!C"&amp;FC846),IF(ISNUMBER(FD846),INDIRECT("SamplesY!C"&amp;FD846),""))</f>
        <v/>
      </c>
      <c r="D846" s="12">
        <f>IF(ISNUMBER(FC846),INDIRECT("SamplesX!D"&amp;FC846),IF(ISNUMBER(FD846),INDIRECT("SamplesY!D"&amp;FD846),""))</f>
        <v/>
      </c>
      <c r="E846" s="12">
        <f>IF(ISNUMBER(FC846),INDIRECT("SamplesX!E"&amp;FC846),IF(ISNUMBER(FD846),INDIRECT("SamplesY!E"&amp;FD846),""))</f>
        <v/>
      </c>
      <c r="F846" s="11">
        <f>IF(ISNUMBER(FC846),INDIRECT("SamplesX!F"&amp;FC846),IF(ISNUMBER(FD846),INDIRECT("SamplesY!F"&amp;FD846),""))</f>
        <v/>
      </c>
      <c r="G846" s="18">
        <f>IF(ISNUMBER(FC846),INDIRECT("SamplesX!G"&amp;FC846),IF(ISNUMBER(FD846),INDIRECT("SamplesY!G"&amp;FD846),""))</f>
        <v/>
      </c>
      <c r="H846" s="19">
        <f>IF(ISNUMBER(FC846),INDIRECT("SamplesX!H"&amp;FC846),IF(ISNUMBER(FD846),INDIRECT("SamplesY!H"&amp;FD846),""))</f>
        <v/>
      </c>
      <c r="I846" s="16" t="n"/>
      <c r="J846" s="16" t="n"/>
      <c r="K846" s="16" t="n"/>
      <c r="L846" s="20" t="n"/>
      <c r="M846" s="20" t="inlineStr">
        <is>
          <t>None</t>
        </is>
      </c>
      <c r="N846" s="17" t="n"/>
      <c r="O846" s="16" t="n"/>
      <c r="P846" s="20" t="inlineStr">
        <is>
          <t>Shimadzu TOC-L</t>
        </is>
      </c>
      <c r="Q846" s="20" t="inlineStr">
        <is>
          <t>None</t>
        </is>
      </c>
      <c r="R846" s="17" t="n"/>
      <c r="S846" s="16" t="n"/>
      <c r="T846" s="20" t="inlineStr">
        <is>
          <t>Shimadzu TOC-L</t>
        </is>
      </c>
      <c r="U846" s="20" t="inlineStr">
        <is>
          <t>None</t>
        </is>
      </c>
      <c r="V846" s="17" t="n"/>
      <c r="W846" s="16" t="n"/>
      <c r="X846" s="20" t="n"/>
      <c r="Y846" s="20" t="inlineStr">
        <is>
          <t>None</t>
        </is>
      </c>
      <c r="Z846" s="17" t="n"/>
      <c r="AA846" s="16" t="n"/>
      <c r="AB846" s="20" t="n"/>
      <c r="AC846" s="20" t="inlineStr">
        <is>
          <t>None</t>
        </is>
      </c>
      <c r="AD846" s="17" t="n"/>
      <c r="AE846" s="16" t="n"/>
      <c r="AF846" s="20" t="inlineStr">
        <is>
          <t>IC Anionen</t>
        </is>
      </c>
      <c r="AG846" s="20" t="inlineStr">
        <is>
          <t>None</t>
        </is>
      </c>
      <c r="AH846" s="17" t="n"/>
      <c r="AI846" s="16" t="n"/>
      <c r="AJ846" s="20" t="n"/>
      <c r="AK846" s="20" t="inlineStr">
        <is>
          <t>None</t>
        </is>
      </c>
      <c r="AL846" s="17" t="n"/>
      <c r="AM846" s="16" t="n"/>
      <c r="AN846" s="20" t="inlineStr">
        <is>
          <t>IC Anionen</t>
        </is>
      </c>
      <c r="AO846" s="20" t="inlineStr">
        <is>
          <t>None</t>
        </is>
      </c>
      <c r="AP846" s="17" t="n"/>
      <c r="AQ846" s="16" t="n"/>
      <c r="AR846" s="20" t="n"/>
      <c r="AS846" s="20" t="inlineStr">
        <is>
          <t>None</t>
        </is>
      </c>
      <c r="AT846" s="17" t="n"/>
      <c r="AU846" s="16" t="n"/>
      <c r="AV846" s="20" t="n"/>
      <c r="AW846" s="20" t="inlineStr">
        <is>
          <t>None</t>
        </is>
      </c>
      <c r="AX846" s="17" t="n"/>
      <c r="AY846" s="16" t="n"/>
      <c r="AZ846" s="20" t="inlineStr">
        <is>
          <t>IC Anionen</t>
        </is>
      </c>
      <c r="BA846" s="20" t="inlineStr">
        <is>
          <t>None</t>
        </is>
      </c>
      <c r="BB846" s="17" t="n"/>
      <c r="BC846" s="16" t="n"/>
      <c r="BD846" s="20" t="inlineStr">
        <is>
          <t>IC Kationen</t>
        </is>
      </c>
      <c r="BE846" s="20" t="inlineStr">
        <is>
          <t>None</t>
        </is>
      </c>
      <c r="BF846" s="17" t="n"/>
      <c r="BG846" s="16" t="n"/>
      <c r="BH846" s="20" t="inlineStr">
        <is>
          <t>IC Kationen</t>
        </is>
      </c>
      <c r="BI846" s="20" t="inlineStr">
        <is>
          <t>None</t>
        </is>
      </c>
      <c r="BJ846" s="17" t="n"/>
      <c r="BK846" s="16" t="n"/>
      <c r="BL846" s="20" t="inlineStr">
        <is>
          <t>IC Kationen</t>
        </is>
      </c>
      <c r="BM846" s="20" t="inlineStr">
        <is>
          <t>None</t>
        </is>
      </c>
      <c r="BN846" s="17" t="n"/>
      <c r="BO846" s="16" t="n"/>
      <c r="BP846" s="20" t="inlineStr">
        <is>
          <t>IC Kationen</t>
        </is>
      </c>
      <c r="BQ846" s="20" t="inlineStr">
        <is>
          <t>None</t>
        </is>
      </c>
      <c r="BR846" s="17" t="n"/>
      <c r="BS846" s="16" t="n"/>
      <c r="BT846" s="20" t="inlineStr">
        <is>
          <t>IC Kationen</t>
        </is>
      </c>
      <c r="BU846" s="20" t="inlineStr">
        <is>
          <t>None</t>
        </is>
      </c>
      <c r="BV846" s="17" t="n"/>
      <c r="BW846" s="16" t="n"/>
      <c r="BX846" s="20" t="n"/>
      <c r="BY846" s="20" t="inlineStr">
        <is>
          <t>None</t>
        </is>
      </c>
      <c r="BZ846" s="17" t="n"/>
      <c r="CA846" s="16" t="n"/>
      <c r="CB846" s="20" t="n"/>
      <c r="CC846" s="20" t="inlineStr">
        <is>
          <t>None</t>
        </is>
      </c>
      <c r="CD846" s="17" t="n"/>
      <c r="CE846" s="16" t="n"/>
      <c r="CF846" s="20" t="n"/>
      <c r="CG846" s="20" t="inlineStr">
        <is>
          <t>None</t>
        </is>
      </c>
      <c r="CH846" s="17" t="n"/>
      <c r="CI846" s="16" t="n"/>
      <c r="CJ846" s="20" t="n"/>
      <c r="CK846" s="20" t="inlineStr">
        <is>
          <t>None</t>
        </is>
      </c>
      <c r="CL846" s="17" t="n"/>
      <c r="CM846" s="16" t="n"/>
      <c r="CN846" s="20" t="inlineStr">
        <is>
          <t>SOP 45-34</t>
        </is>
      </c>
      <c r="CO846" s="20" t="inlineStr">
        <is>
          <t>None</t>
        </is>
      </c>
      <c r="CP846" s="17" t="n"/>
      <c r="CQ846" s="16" t="n"/>
      <c r="CR846" s="20" t="n"/>
      <c r="CS846" s="20" t="inlineStr">
        <is>
          <t>None</t>
        </is>
      </c>
      <c r="CT846" s="17" t="n"/>
      <c r="CU846" s="16" t="n"/>
      <c r="CV846" s="20" t="n"/>
      <c r="CW846" s="20" t="inlineStr">
        <is>
          <t>None</t>
        </is>
      </c>
      <c r="CX846" s="17" t="n"/>
      <c r="CY846" s="16" t="n"/>
      <c r="CZ846" s="20" t="inlineStr">
        <is>
          <t>WTW Multimeter 3430 with FDO 925</t>
        </is>
      </c>
      <c r="DA846" s="20" t="inlineStr">
        <is>
          <t>None</t>
        </is>
      </c>
      <c r="DB846" s="17" t="n"/>
      <c r="DC846" s="16" t="n"/>
      <c r="DD846" s="20" t="n"/>
      <c r="DE846" s="20" t="inlineStr">
        <is>
          <t>None</t>
        </is>
      </c>
      <c r="DF846" s="17" t="n"/>
      <c r="DG846" s="16" t="n"/>
      <c r="DH846" s="20" t="inlineStr">
        <is>
          <t>SOP 45-09</t>
        </is>
      </c>
      <c r="DI846" s="20" t="inlineStr">
        <is>
          <t>None</t>
        </is>
      </c>
      <c r="DJ846" s="17" t="n"/>
      <c r="DK846" s="16" t="n"/>
      <c r="DL846" s="20" t="inlineStr">
        <is>
          <t>SOP 45-09 (SOP muss noch angepasst werden für VSS)</t>
        </is>
      </c>
      <c r="DM846" s="20" t="inlineStr">
        <is>
          <t>None</t>
        </is>
      </c>
      <c r="DN846" s="17" t="n"/>
      <c r="DO846" s="16" t="n"/>
      <c r="DP846" s="20" t="inlineStr">
        <is>
          <t>IC Organic Acids</t>
        </is>
      </c>
      <c r="DQ846" s="20" t="inlineStr">
        <is>
          <t>None</t>
        </is>
      </c>
      <c r="DR846" s="17" t="n"/>
      <c r="DS846" s="16" t="n"/>
      <c r="DT846" s="20" t="inlineStr">
        <is>
          <t>IC Organic Acids</t>
        </is>
      </c>
      <c r="DU846" s="20" t="inlineStr">
        <is>
          <t>None</t>
        </is>
      </c>
      <c r="DV846" s="17" t="n"/>
      <c r="DW846" s="16" t="n"/>
      <c r="DX846" s="20" t="inlineStr">
        <is>
          <t>IC Organic Acids</t>
        </is>
      </c>
      <c r="DY846" s="20" t="inlineStr">
        <is>
          <t>None</t>
        </is>
      </c>
      <c r="DZ846" s="17" t="n"/>
      <c r="EA846" s="16" t="n"/>
      <c r="EB846" s="20" t="inlineStr">
        <is>
          <t>IC Organic Acids</t>
        </is>
      </c>
      <c r="EC846" s="20" t="inlineStr">
        <is>
          <t>None</t>
        </is>
      </c>
      <c r="ED846" s="17" t="n"/>
      <c r="EE846" s="16" t="n"/>
      <c r="EF846" s="20" t="inlineStr">
        <is>
          <t>IC Organic Acids</t>
        </is>
      </c>
      <c r="EG846" s="20" t="inlineStr">
        <is>
          <t>None</t>
        </is>
      </c>
      <c r="EH846" s="17" t="n"/>
      <c r="EI846" s="16" t="n"/>
      <c r="EJ846" s="20" t="inlineStr">
        <is>
          <t>IC Organic Acids</t>
        </is>
      </c>
      <c r="EK846" s="20" t="inlineStr">
        <is>
          <t>None</t>
        </is>
      </c>
      <c r="EL846" s="17" t="n"/>
      <c r="EM846" s="16" t="n"/>
      <c r="EN846" s="20" t="inlineStr">
        <is>
          <t>IC Organic Acids</t>
        </is>
      </c>
      <c r="EO846" s="20" t="inlineStr">
        <is>
          <t>None</t>
        </is>
      </c>
      <c r="EP846" s="17" t="n"/>
      <c r="EQ846" s="16" t="n"/>
      <c r="ER846" s="20" t="inlineStr">
        <is>
          <t>IC Organic Acids</t>
        </is>
      </c>
      <c r="ES846" s="20" t="inlineStr">
        <is>
          <t>None</t>
        </is>
      </c>
      <c r="ET846" s="17" t="n"/>
      <c r="EU846" s="16" t="n"/>
      <c r="EV846" s="20" t="inlineStr">
        <is>
          <t>LC-MS</t>
        </is>
      </c>
      <c r="EW846" s="20" t="inlineStr">
        <is>
          <t>None</t>
        </is>
      </c>
      <c r="EX846" s="17" t="n"/>
      <c r="EY846" s="21" t="n"/>
      <c r="EZ846">
        <f>CONCATENATE(A846,B846)</f>
        <v/>
      </c>
      <c r="FA846">
        <f>CONCATENATE(SamplesX!A846,SamplesX!B846)</f>
        <v/>
      </c>
      <c r="FC846">
        <f>MATCH(EZ846,FA1:FA1008,0)</f>
        <v/>
      </c>
    </row>
    <row r="847">
      <c r="A847" s="16" t="n"/>
      <c r="B847" s="17" t="n"/>
      <c r="C847" s="10">
        <f>IF(ISNUMBER(FC847),INDIRECT("SamplesX!C"&amp;FC847),IF(ISNUMBER(FD847),INDIRECT("SamplesY!C"&amp;FD847),""))</f>
        <v/>
      </c>
      <c r="D847" s="12">
        <f>IF(ISNUMBER(FC847),INDIRECT("SamplesX!D"&amp;FC847),IF(ISNUMBER(FD847),INDIRECT("SamplesY!D"&amp;FD847),""))</f>
        <v/>
      </c>
      <c r="E847" s="12">
        <f>IF(ISNUMBER(FC847),INDIRECT("SamplesX!E"&amp;FC847),IF(ISNUMBER(FD847),INDIRECT("SamplesY!E"&amp;FD847),""))</f>
        <v/>
      </c>
      <c r="F847" s="11">
        <f>IF(ISNUMBER(FC847),INDIRECT("SamplesX!F"&amp;FC847),IF(ISNUMBER(FD847),INDIRECT("SamplesY!F"&amp;FD847),""))</f>
        <v/>
      </c>
      <c r="G847" s="18">
        <f>IF(ISNUMBER(FC847),INDIRECT("SamplesX!G"&amp;FC847),IF(ISNUMBER(FD847),INDIRECT("SamplesY!G"&amp;FD847),""))</f>
        <v/>
      </c>
      <c r="H847" s="19">
        <f>IF(ISNUMBER(FC847),INDIRECT("SamplesX!H"&amp;FC847),IF(ISNUMBER(FD847),INDIRECT("SamplesY!H"&amp;FD847),""))</f>
        <v/>
      </c>
      <c r="I847" s="16" t="n"/>
      <c r="J847" s="16" t="n"/>
      <c r="K847" s="16" t="n"/>
      <c r="L847" s="20" t="n"/>
      <c r="M847" s="20" t="inlineStr">
        <is>
          <t>None</t>
        </is>
      </c>
      <c r="N847" s="17" t="n"/>
      <c r="O847" s="16" t="n"/>
      <c r="P847" s="20" t="inlineStr">
        <is>
          <t>Shimadzu TOC-L</t>
        </is>
      </c>
      <c r="Q847" s="20" t="inlineStr">
        <is>
          <t>None</t>
        </is>
      </c>
      <c r="R847" s="17" t="n"/>
      <c r="S847" s="16" t="n"/>
      <c r="T847" s="20" t="inlineStr">
        <is>
          <t>Shimadzu TOC-L</t>
        </is>
      </c>
      <c r="U847" s="20" t="inlineStr">
        <is>
          <t>None</t>
        </is>
      </c>
      <c r="V847" s="17" t="n"/>
      <c r="W847" s="16" t="n"/>
      <c r="X847" s="20" t="n"/>
      <c r="Y847" s="20" t="inlineStr">
        <is>
          <t>None</t>
        </is>
      </c>
      <c r="Z847" s="17" t="n"/>
      <c r="AA847" s="16" t="n"/>
      <c r="AB847" s="20" t="n"/>
      <c r="AC847" s="20" t="inlineStr">
        <is>
          <t>None</t>
        </is>
      </c>
      <c r="AD847" s="17" t="n"/>
      <c r="AE847" s="16" t="n"/>
      <c r="AF847" s="20" t="inlineStr">
        <is>
          <t>IC Anionen</t>
        </is>
      </c>
      <c r="AG847" s="20" t="inlineStr">
        <is>
          <t>None</t>
        </is>
      </c>
      <c r="AH847" s="17" t="n"/>
      <c r="AI847" s="16" t="n"/>
      <c r="AJ847" s="20" t="n"/>
      <c r="AK847" s="20" t="inlineStr">
        <is>
          <t>None</t>
        </is>
      </c>
      <c r="AL847" s="17" t="n"/>
      <c r="AM847" s="16" t="n"/>
      <c r="AN847" s="20" t="inlineStr">
        <is>
          <t>IC Anionen</t>
        </is>
      </c>
      <c r="AO847" s="20" t="inlineStr">
        <is>
          <t>None</t>
        </is>
      </c>
      <c r="AP847" s="17" t="n"/>
      <c r="AQ847" s="16" t="n"/>
      <c r="AR847" s="20" t="n"/>
      <c r="AS847" s="20" t="inlineStr">
        <is>
          <t>None</t>
        </is>
      </c>
      <c r="AT847" s="17" t="n"/>
      <c r="AU847" s="16" t="n"/>
      <c r="AV847" s="20" t="n"/>
      <c r="AW847" s="20" t="inlineStr">
        <is>
          <t>None</t>
        </is>
      </c>
      <c r="AX847" s="17" t="n"/>
      <c r="AY847" s="16" t="n"/>
      <c r="AZ847" s="20" t="inlineStr">
        <is>
          <t>IC Anionen</t>
        </is>
      </c>
      <c r="BA847" s="20" t="inlineStr">
        <is>
          <t>None</t>
        </is>
      </c>
      <c r="BB847" s="17" t="n"/>
      <c r="BC847" s="16" t="n"/>
      <c r="BD847" s="20" t="inlineStr">
        <is>
          <t>IC Kationen</t>
        </is>
      </c>
      <c r="BE847" s="20" t="inlineStr">
        <is>
          <t>None</t>
        </is>
      </c>
      <c r="BF847" s="17" t="n"/>
      <c r="BG847" s="16" t="n"/>
      <c r="BH847" s="20" t="inlineStr">
        <is>
          <t>IC Kationen</t>
        </is>
      </c>
      <c r="BI847" s="20" t="inlineStr">
        <is>
          <t>None</t>
        </is>
      </c>
      <c r="BJ847" s="17" t="n"/>
      <c r="BK847" s="16" t="n"/>
      <c r="BL847" s="20" t="inlineStr">
        <is>
          <t>IC Kationen</t>
        </is>
      </c>
      <c r="BM847" s="20" t="inlineStr">
        <is>
          <t>None</t>
        </is>
      </c>
      <c r="BN847" s="17" t="n"/>
      <c r="BO847" s="16" t="n"/>
      <c r="BP847" s="20" t="inlineStr">
        <is>
          <t>IC Kationen</t>
        </is>
      </c>
      <c r="BQ847" s="20" t="inlineStr">
        <is>
          <t>None</t>
        </is>
      </c>
      <c r="BR847" s="17" t="n"/>
      <c r="BS847" s="16" t="n"/>
      <c r="BT847" s="20" t="inlineStr">
        <is>
          <t>IC Kationen</t>
        </is>
      </c>
      <c r="BU847" s="20" t="inlineStr">
        <is>
          <t>None</t>
        </is>
      </c>
      <c r="BV847" s="17" t="n"/>
      <c r="BW847" s="16" t="n"/>
      <c r="BX847" s="20" t="n"/>
      <c r="BY847" s="20" t="inlineStr">
        <is>
          <t>None</t>
        </is>
      </c>
      <c r="BZ847" s="17" t="n"/>
      <c r="CA847" s="16" t="n"/>
      <c r="CB847" s="20" t="n"/>
      <c r="CC847" s="20" t="inlineStr">
        <is>
          <t>None</t>
        </is>
      </c>
      <c r="CD847" s="17" t="n"/>
      <c r="CE847" s="16" t="n"/>
      <c r="CF847" s="20" t="n"/>
      <c r="CG847" s="20" t="inlineStr">
        <is>
          <t>None</t>
        </is>
      </c>
      <c r="CH847" s="17" t="n"/>
      <c r="CI847" s="16" t="n"/>
      <c r="CJ847" s="20" t="n"/>
      <c r="CK847" s="20" t="inlineStr">
        <is>
          <t>None</t>
        </is>
      </c>
      <c r="CL847" s="17" t="n"/>
      <c r="CM847" s="16" t="n"/>
      <c r="CN847" s="20" t="inlineStr">
        <is>
          <t>SOP 45-34</t>
        </is>
      </c>
      <c r="CO847" s="20" t="inlineStr">
        <is>
          <t>None</t>
        </is>
      </c>
      <c r="CP847" s="17" t="n"/>
      <c r="CQ847" s="16" t="n"/>
      <c r="CR847" s="20" t="n"/>
      <c r="CS847" s="20" t="inlineStr">
        <is>
          <t>None</t>
        </is>
      </c>
      <c r="CT847" s="17" t="n"/>
      <c r="CU847" s="16" t="n"/>
      <c r="CV847" s="20" t="n"/>
      <c r="CW847" s="20" t="inlineStr">
        <is>
          <t>None</t>
        </is>
      </c>
      <c r="CX847" s="17" t="n"/>
      <c r="CY847" s="16" t="n"/>
      <c r="CZ847" s="20" t="inlineStr">
        <is>
          <t>WTW Multimeter 3430 with FDO 925</t>
        </is>
      </c>
      <c r="DA847" s="20" t="inlineStr">
        <is>
          <t>None</t>
        </is>
      </c>
      <c r="DB847" s="17" t="n"/>
      <c r="DC847" s="16" t="n"/>
      <c r="DD847" s="20" t="n"/>
      <c r="DE847" s="20" t="inlineStr">
        <is>
          <t>None</t>
        </is>
      </c>
      <c r="DF847" s="17" t="n"/>
      <c r="DG847" s="16" t="n"/>
      <c r="DH847" s="20" t="inlineStr">
        <is>
          <t>SOP 45-09</t>
        </is>
      </c>
      <c r="DI847" s="20" t="inlineStr">
        <is>
          <t>None</t>
        </is>
      </c>
      <c r="DJ847" s="17" t="n"/>
      <c r="DK847" s="16" t="n"/>
      <c r="DL847" s="20" t="inlineStr">
        <is>
          <t>SOP 45-09 (SOP muss noch angepasst werden für VSS)</t>
        </is>
      </c>
      <c r="DM847" s="20" t="inlineStr">
        <is>
          <t>None</t>
        </is>
      </c>
      <c r="DN847" s="17" t="n"/>
      <c r="DO847" s="16" t="n"/>
      <c r="DP847" s="20" t="inlineStr">
        <is>
          <t>IC Organic Acids</t>
        </is>
      </c>
      <c r="DQ847" s="20" t="inlineStr">
        <is>
          <t>None</t>
        </is>
      </c>
      <c r="DR847" s="17" t="n"/>
      <c r="DS847" s="16" t="n"/>
      <c r="DT847" s="20" t="inlineStr">
        <is>
          <t>IC Organic Acids</t>
        </is>
      </c>
      <c r="DU847" s="20" t="inlineStr">
        <is>
          <t>None</t>
        </is>
      </c>
      <c r="DV847" s="17" t="n"/>
      <c r="DW847" s="16" t="n"/>
      <c r="DX847" s="20" t="inlineStr">
        <is>
          <t>IC Organic Acids</t>
        </is>
      </c>
      <c r="DY847" s="20" t="inlineStr">
        <is>
          <t>None</t>
        </is>
      </c>
      <c r="DZ847" s="17" t="n"/>
      <c r="EA847" s="16" t="n"/>
      <c r="EB847" s="20" t="inlineStr">
        <is>
          <t>IC Organic Acids</t>
        </is>
      </c>
      <c r="EC847" s="20" t="inlineStr">
        <is>
          <t>None</t>
        </is>
      </c>
      <c r="ED847" s="17" t="n"/>
      <c r="EE847" s="16" t="n"/>
      <c r="EF847" s="20" t="inlineStr">
        <is>
          <t>IC Organic Acids</t>
        </is>
      </c>
      <c r="EG847" s="20" t="inlineStr">
        <is>
          <t>None</t>
        </is>
      </c>
      <c r="EH847" s="17" t="n"/>
      <c r="EI847" s="16" t="n"/>
      <c r="EJ847" s="20" t="inlineStr">
        <is>
          <t>IC Organic Acids</t>
        </is>
      </c>
      <c r="EK847" s="20" t="inlineStr">
        <is>
          <t>None</t>
        </is>
      </c>
      <c r="EL847" s="17" t="n"/>
      <c r="EM847" s="16" t="n"/>
      <c r="EN847" s="20" t="inlineStr">
        <is>
          <t>IC Organic Acids</t>
        </is>
      </c>
      <c r="EO847" s="20" t="inlineStr">
        <is>
          <t>None</t>
        </is>
      </c>
      <c r="EP847" s="17" t="n"/>
      <c r="EQ847" s="16" t="n"/>
      <c r="ER847" s="20" t="inlineStr">
        <is>
          <t>IC Organic Acids</t>
        </is>
      </c>
      <c r="ES847" s="20" t="inlineStr">
        <is>
          <t>None</t>
        </is>
      </c>
      <c r="ET847" s="17" t="n"/>
      <c r="EU847" s="16" t="n"/>
      <c r="EV847" s="20" t="inlineStr">
        <is>
          <t>LC-MS</t>
        </is>
      </c>
      <c r="EW847" s="20" t="inlineStr">
        <is>
          <t>None</t>
        </is>
      </c>
      <c r="EX847" s="17" t="n"/>
      <c r="EY847" s="21" t="n"/>
      <c r="EZ847">
        <f>CONCATENATE(A847,B847)</f>
        <v/>
      </c>
      <c r="FA847">
        <f>CONCATENATE(SamplesX!A847,SamplesX!B847)</f>
        <v/>
      </c>
      <c r="FC847">
        <f>MATCH(EZ847,FA1:FA1008,0)</f>
        <v/>
      </c>
    </row>
    <row r="848">
      <c r="A848" s="16" t="n"/>
      <c r="B848" s="17" t="n"/>
      <c r="C848" s="10">
        <f>IF(ISNUMBER(FC848),INDIRECT("SamplesX!C"&amp;FC848),IF(ISNUMBER(FD848),INDIRECT("SamplesY!C"&amp;FD848),""))</f>
        <v/>
      </c>
      <c r="D848" s="12">
        <f>IF(ISNUMBER(FC848),INDIRECT("SamplesX!D"&amp;FC848),IF(ISNUMBER(FD848),INDIRECT("SamplesY!D"&amp;FD848),""))</f>
        <v/>
      </c>
      <c r="E848" s="12">
        <f>IF(ISNUMBER(FC848),INDIRECT("SamplesX!E"&amp;FC848),IF(ISNUMBER(FD848),INDIRECT("SamplesY!E"&amp;FD848),""))</f>
        <v/>
      </c>
      <c r="F848" s="11">
        <f>IF(ISNUMBER(FC848),INDIRECT("SamplesX!F"&amp;FC848),IF(ISNUMBER(FD848),INDIRECT("SamplesY!F"&amp;FD848),""))</f>
        <v/>
      </c>
      <c r="G848" s="18">
        <f>IF(ISNUMBER(FC848),INDIRECT("SamplesX!G"&amp;FC848),IF(ISNUMBER(FD848),INDIRECT("SamplesY!G"&amp;FD848),""))</f>
        <v/>
      </c>
      <c r="H848" s="19">
        <f>IF(ISNUMBER(FC848),INDIRECT("SamplesX!H"&amp;FC848),IF(ISNUMBER(FD848),INDIRECT("SamplesY!H"&amp;FD848),""))</f>
        <v/>
      </c>
      <c r="I848" s="16" t="n"/>
      <c r="J848" s="16" t="n"/>
      <c r="K848" s="16" t="n"/>
      <c r="L848" s="20" t="n"/>
      <c r="M848" s="20" t="inlineStr">
        <is>
          <t>None</t>
        </is>
      </c>
      <c r="N848" s="17" t="n"/>
      <c r="O848" s="16" t="n"/>
      <c r="P848" s="20" t="inlineStr">
        <is>
          <t>Shimadzu TOC-L</t>
        </is>
      </c>
      <c r="Q848" s="20" t="inlineStr">
        <is>
          <t>None</t>
        </is>
      </c>
      <c r="R848" s="17" t="n"/>
      <c r="S848" s="16" t="n"/>
      <c r="T848" s="20" t="inlineStr">
        <is>
          <t>Shimadzu TOC-L</t>
        </is>
      </c>
      <c r="U848" s="20" t="inlineStr">
        <is>
          <t>None</t>
        </is>
      </c>
      <c r="V848" s="17" t="n"/>
      <c r="W848" s="16" t="n"/>
      <c r="X848" s="20" t="n"/>
      <c r="Y848" s="20" t="inlineStr">
        <is>
          <t>None</t>
        </is>
      </c>
      <c r="Z848" s="17" t="n"/>
      <c r="AA848" s="16" t="n"/>
      <c r="AB848" s="20" t="n"/>
      <c r="AC848" s="20" t="inlineStr">
        <is>
          <t>None</t>
        </is>
      </c>
      <c r="AD848" s="17" t="n"/>
      <c r="AE848" s="16" t="n"/>
      <c r="AF848" s="20" t="inlineStr">
        <is>
          <t>IC Anionen</t>
        </is>
      </c>
      <c r="AG848" s="20" t="inlineStr">
        <is>
          <t>None</t>
        </is>
      </c>
      <c r="AH848" s="17" t="n"/>
      <c r="AI848" s="16" t="n"/>
      <c r="AJ848" s="20" t="n"/>
      <c r="AK848" s="20" t="inlineStr">
        <is>
          <t>None</t>
        </is>
      </c>
      <c r="AL848" s="17" t="n"/>
      <c r="AM848" s="16" t="n"/>
      <c r="AN848" s="20" t="inlineStr">
        <is>
          <t>IC Anionen</t>
        </is>
      </c>
      <c r="AO848" s="20" t="inlineStr">
        <is>
          <t>None</t>
        </is>
      </c>
      <c r="AP848" s="17" t="n"/>
      <c r="AQ848" s="16" t="n"/>
      <c r="AR848" s="20" t="n"/>
      <c r="AS848" s="20" t="inlineStr">
        <is>
          <t>None</t>
        </is>
      </c>
      <c r="AT848" s="17" t="n"/>
      <c r="AU848" s="16" t="n"/>
      <c r="AV848" s="20" t="n"/>
      <c r="AW848" s="20" t="inlineStr">
        <is>
          <t>None</t>
        </is>
      </c>
      <c r="AX848" s="17" t="n"/>
      <c r="AY848" s="16" t="n"/>
      <c r="AZ848" s="20" t="inlineStr">
        <is>
          <t>IC Anionen</t>
        </is>
      </c>
      <c r="BA848" s="20" t="inlineStr">
        <is>
          <t>None</t>
        </is>
      </c>
      <c r="BB848" s="17" t="n"/>
      <c r="BC848" s="16" t="n"/>
      <c r="BD848" s="20" t="inlineStr">
        <is>
          <t>IC Kationen</t>
        </is>
      </c>
      <c r="BE848" s="20" t="inlineStr">
        <is>
          <t>None</t>
        </is>
      </c>
      <c r="BF848" s="17" t="n"/>
      <c r="BG848" s="16" t="n"/>
      <c r="BH848" s="20" t="inlineStr">
        <is>
          <t>IC Kationen</t>
        </is>
      </c>
      <c r="BI848" s="20" t="inlineStr">
        <is>
          <t>None</t>
        </is>
      </c>
      <c r="BJ848" s="17" t="n"/>
      <c r="BK848" s="16" t="n"/>
      <c r="BL848" s="20" t="inlineStr">
        <is>
          <t>IC Kationen</t>
        </is>
      </c>
      <c r="BM848" s="20" t="inlineStr">
        <is>
          <t>None</t>
        </is>
      </c>
      <c r="BN848" s="17" t="n"/>
      <c r="BO848" s="16" t="n"/>
      <c r="BP848" s="20" t="inlineStr">
        <is>
          <t>IC Kationen</t>
        </is>
      </c>
      <c r="BQ848" s="20" t="inlineStr">
        <is>
          <t>None</t>
        </is>
      </c>
      <c r="BR848" s="17" t="n"/>
      <c r="BS848" s="16" t="n"/>
      <c r="BT848" s="20" t="inlineStr">
        <is>
          <t>IC Kationen</t>
        </is>
      </c>
      <c r="BU848" s="20" t="inlineStr">
        <is>
          <t>None</t>
        </is>
      </c>
      <c r="BV848" s="17" t="n"/>
      <c r="BW848" s="16" t="n"/>
      <c r="BX848" s="20" t="n"/>
      <c r="BY848" s="20" t="inlineStr">
        <is>
          <t>None</t>
        </is>
      </c>
      <c r="BZ848" s="17" t="n"/>
      <c r="CA848" s="16" t="n"/>
      <c r="CB848" s="20" t="n"/>
      <c r="CC848" s="20" t="inlineStr">
        <is>
          <t>None</t>
        </is>
      </c>
      <c r="CD848" s="17" t="n"/>
      <c r="CE848" s="16" t="n"/>
      <c r="CF848" s="20" t="n"/>
      <c r="CG848" s="20" t="inlineStr">
        <is>
          <t>None</t>
        </is>
      </c>
      <c r="CH848" s="17" t="n"/>
      <c r="CI848" s="16" t="n"/>
      <c r="CJ848" s="20" t="n"/>
      <c r="CK848" s="20" t="inlineStr">
        <is>
          <t>None</t>
        </is>
      </c>
      <c r="CL848" s="17" t="n"/>
      <c r="CM848" s="16" t="n"/>
      <c r="CN848" s="20" t="inlineStr">
        <is>
          <t>SOP 45-34</t>
        </is>
      </c>
      <c r="CO848" s="20" t="inlineStr">
        <is>
          <t>None</t>
        </is>
      </c>
      <c r="CP848" s="17" t="n"/>
      <c r="CQ848" s="16" t="n"/>
      <c r="CR848" s="20" t="n"/>
      <c r="CS848" s="20" t="inlineStr">
        <is>
          <t>None</t>
        </is>
      </c>
      <c r="CT848" s="17" t="n"/>
      <c r="CU848" s="16" t="n"/>
      <c r="CV848" s="20" t="n"/>
      <c r="CW848" s="20" t="inlineStr">
        <is>
          <t>None</t>
        </is>
      </c>
      <c r="CX848" s="17" t="n"/>
      <c r="CY848" s="16" t="n"/>
      <c r="CZ848" s="20" t="inlineStr">
        <is>
          <t>WTW Multimeter 3430 with FDO 925</t>
        </is>
      </c>
      <c r="DA848" s="20" t="inlineStr">
        <is>
          <t>None</t>
        </is>
      </c>
      <c r="DB848" s="17" t="n"/>
      <c r="DC848" s="16" t="n"/>
      <c r="DD848" s="20" t="n"/>
      <c r="DE848" s="20" t="inlineStr">
        <is>
          <t>None</t>
        </is>
      </c>
      <c r="DF848" s="17" t="n"/>
      <c r="DG848" s="16" t="n"/>
      <c r="DH848" s="20" t="inlineStr">
        <is>
          <t>SOP 45-09</t>
        </is>
      </c>
      <c r="DI848" s="20" t="inlineStr">
        <is>
          <t>None</t>
        </is>
      </c>
      <c r="DJ848" s="17" t="n"/>
      <c r="DK848" s="16" t="n"/>
      <c r="DL848" s="20" t="inlineStr">
        <is>
          <t>SOP 45-09 (SOP muss noch angepasst werden für VSS)</t>
        </is>
      </c>
      <c r="DM848" s="20" t="inlineStr">
        <is>
          <t>None</t>
        </is>
      </c>
      <c r="DN848" s="17" t="n"/>
      <c r="DO848" s="16" t="n"/>
      <c r="DP848" s="20" t="inlineStr">
        <is>
          <t>IC Organic Acids</t>
        </is>
      </c>
      <c r="DQ848" s="20" t="inlineStr">
        <is>
          <t>None</t>
        </is>
      </c>
      <c r="DR848" s="17" t="n"/>
      <c r="DS848" s="16" t="n"/>
      <c r="DT848" s="20" t="inlineStr">
        <is>
          <t>IC Organic Acids</t>
        </is>
      </c>
      <c r="DU848" s="20" t="inlineStr">
        <is>
          <t>None</t>
        </is>
      </c>
      <c r="DV848" s="17" t="n"/>
      <c r="DW848" s="16" t="n"/>
      <c r="DX848" s="20" t="inlineStr">
        <is>
          <t>IC Organic Acids</t>
        </is>
      </c>
      <c r="DY848" s="20" t="inlineStr">
        <is>
          <t>None</t>
        </is>
      </c>
      <c r="DZ848" s="17" t="n"/>
      <c r="EA848" s="16" t="n"/>
      <c r="EB848" s="20" t="inlineStr">
        <is>
          <t>IC Organic Acids</t>
        </is>
      </c>
      <c r="EC848" s="20" t="inlineStr">
        <is>
          <t>None</t>
        </is>
      </c>
      <c r="ED848" s="17" t="n"/>
      <c r="EE848" s="16" t="n"/>
      <c r="EF848" s="20" t="inlineStr">
        <is>
          <t>IC Organic Acids</t>
        </is>
      </c>
      <c r="EG848" s="20" t="inlineStr">
        <is>
          <t>None</t>
        </is>
      </c>
      <c r="EH848" s="17" t="n"/>
      <c r="EI848" s="16" t="n"/>
      <c r="EJ848" s="20" t="inlineStr">
        <is>
          <t>IC Organic Acids</t>
        </is>
      </c>
      <c r="EK848" s="20" t="inlineStr">
        <is>
          <t>None</t>
        </is>
      </c>
      <c r="EL848" s="17" t="n"/>
      <c r="EM848" s="16" t="n"/>
      <c r="EN848" s="20" t="inlineStr">
        <is>
          <t>IC Organic Acids</t>
        </is>
      </c>
      <c r="EO848" s="20" t="inlineStr">
        <is>
          <t>None</t>
        </is>
      </c>
      <c r="EP848" s="17" t="n"/>
      <c r="EQ848" s="16" t="n"/>
      <c r="ER848" s="20" t="inlineStr">
        <is>
          <t>IC Organic Acids</t>
        </is>
      </c>
      <c r="ES848" s="20" t="inlineStr">
        <is>
          <t>None</t>
        </is>
      </c>
      <c r="ET848" s="17" t="n"/>
      <c r="EU848" s="16" t="n"/>
      <c r="EV848" s="20" t="inlineStr">
        <is>
          <t>LC-MS</t>
        </is>
      </c>
      <c r="EW848" s="20" t="inlineStr">
        <is>
          <t>None</t>
        </is>
      </c>
      <c r="EX848" s="17" t="n"/>
      <c r="EY848" s="21" t="n"/>
      <c r="EZ848">
        <f>CONCATENATE(A848,B848)</f>
        <v/>
      </c>
      <c r="FA848">
        <f>CONCATENATE(SamplesX!A848,SamplesX!B848)</f>
        <v/>
      </c>
      <c r="FC848">
        <f>MATCH(EZ848,FA1:FA1008,0)</f>
        <v/>
      </c>
    </row>
    <row r="849">
      <c r="A849" s="16" t="n"/>
      <c r="B849" s="17" t="n"/>
      <c r="C849" s="10">
        <f>IF(ISNUMBER(FC849),INDIRECT("SamplesX!C"&amp;FC849),IF(ISNUMBER(FD849),INDIRECT("SamplesY!C"&amp;FD849),""))</f>
        <v/>
      </c>
      <c r="D849" s="12">
        <f>IF(ISNUMBER(FC849),INDIRECT("SamplesX!D"&amp;FC849),IF(ISNUMBER(FD849),INDIRECT("SamplesY!D"&amp;FD849),""))</f>
        <v/>
      </c>
      <c r="E849" s="12">
        <f>IF(ISNUMBER(FC849),INDIRECT("SamplesX!E"&amp;FC849),IF(ISNUMBER(FD849),INDIRECT("SamplesY!E"&amp;FD849),""))</f>
        <v/>
      </c>
      <c r="F849" s="11">
        <f>IF(ISNUMBER(FC849),INDIRECT("SamplesX!F"&amp;FC849),IF(ISNUMBER(FD849),INDIRECT("SamplesY!F"&amp;FD849),""))</f>
        <v/>
      </c>
      <c r="G849" s="18">
        <f>IF(ISNUMBER(FC849),INDIRECT("SamplesX!G"&amp;FC849),IF(ISNUMBER(FD849),INDIRECT("SamplesY!G"&amp;FD849),""))</f>
        <v/>
      </c>
      <c r="H849" s="19">
        <f>IF(ISNUMBER(FC849),INDIRECT("SamplesX!H"&amp;FC849),IF(ISNUMBER(FD849),INDIRECT("SamplesY!H"&amp;FD849),""))</f>
        <v/>
      </c>
      <c r="I849" s="16" t="n"/>
      <c r="J849" s="16" t="n"/>
      <c r="K849" s="16" t="n"/>
      <c r="L849" s="20" t="n"/>
      <c r="M849" s="20" t="inlineStr">
        <is>
          <t>None</t>
        </is>
      </c>
      <c r="N849" s="17" t="n"/>
      <c r="O849" s="16" t="n"/>
      <c r="P849" s="20" t="inlineStr">
        <is>
          <t>Shimadzu TOC-L</t>
        </is>
      </c>
      <c r="Q849" s="20" t="inlineStr">
        <is>
          <t>None</t>
        </is>
      </c>
      <c r="R849" s="17" t="n"/>
      <c r="S849" s="16" t="n"/>
      <c r="T849" s="20" t="inlineStr">
        <is>
          <t>Shimadzu TOC-L</t>
        </is>
      </c>
      <c r="U849" s="20" t="inlineStr">
        <is>
          <t>None</t>
        </is>
      </c>
      <c r="V849" s="17" t="n"/>
      <c r="W849" s="16" t="n"/>
      <c r="X849" s="20" t="n"/>
      <c r="Y849" s="20" t="inlineStr">
        <is>
          <t>None</t>
        </is>
      </c>
      <c r="Z849" s="17" t="n"/>
      <c r="AA849" s="16" t="n"/>
      <c r="AB849" s="20" t="n"/>
      <c r="AC849" s="20" t="inlineStr">
        <is>
          <t>None</t>
        </is>
      </c>
      <c r="AD849" s="17" t="n"/>
      <c r="AE849" s="16" t="n"/>
      <c r="AF849" s="20" t="inlineStr">
        <is>
          <t>IC Anionen</t>
        </is>
      </c>
      <c r="AG849" s="20" t="inlineStr">
        <is>
          <t>None</t>
        </is>
      </c>
      <c r="AH849" s="17" t="n"/>
      <c r="AI849" s="16" t="n"/>
      <c r="AJ849" s="20" t="n"/>
      <c r="AK849" s="20" t="inlineStr">
        <is>
          <t>None</t>
        </is>
      </c>
      <c r="AL849" s="17" t="n"/>
      <c r="AM849" s="16" t="n"/>
      <c r="AN849" s="20" t="inlineStr">
        <is>
          <t>IC Anionen</t>
        </is>
      </c>
      <c r="AO849" s="20" t="inlineStr">
        <is>
          <t>None</t>
        </is>
      </c>
      <c r="AP849" s="17" t="n"/>
      <c r="AQ849" s="16" t="n"/>
      <c r="AR849" s="20" t="n"/>
      <c r="AS849" s="20" t="inlineStr">
        <is>
          <t>None</t>
        </is>
      </c>
      <c r="AT849" s="17" t="n"/>
      <c r="AU849" s="16" t="n"/>
      <c r="AV849" s="20" t="n"/>
      <c r="AW849" s="20" t="inlineStr">
        <is>
          <t>None</t>
        </is>
      </c>
      <c r="AX849" s="17" t="n"/>
      <c r="AY849" s="16" t="n"/>
      <c r="AZ849" s="20" t="inlineStr">
        <is>
          <t>IC Anionen</t>
        </is>
      </c>
      <c r="BA849" s="20" t="inlineStr">
        <is>
          <t>None</t>
        </is>
      </c>
      <c r="BB849" s="17" t="n"/>
      <c r="BC849" s="16" t="n"/>
      <c r="BD849" s="20" t="inlineStr">
        <is>
          <t>IC Kationen</t>
        </is>
      </c>
      <c r="BE849" s="20" t="inlineStr">
        <is>
          <t>None</t>
        </is>
      </c>
      <c r="BF849" s="17" t="n"/>
      <c r="BG849" s="16" t="n"/>
      <c r="BH849" s="20" t="inlineStr">
        <is>
          <t>IC Kationen</t>
        </is>
      </c>
      <c r="BI849" s="20" t="inlineStr">
        <is>
          <t>None</t>
        </is>
      </c>
      <c r="BJ849" s="17" t="n"/>
      <c r="BK849" s="16" t="n"/>
      <c r="BL849" s="20" t="inlineStr">
        <is>
          <t>IC Kationen</t>
        </is>
      </c>
      <c r="BM849" s="20" t="inlineStr">
        <is>
          <t>None</t>
        </is>
      </c>
      <c r="BN849" s="17" t="n"/>
      <c r="BO849" s="16" t="n"/>
      <c r="BP849" s="20" t="inlineStr">
        <is>
          <t>IC Kationen</t>
        </is>
      </c>
      <c r="BQ849" s="20" t="inlineStr">
        <is>
          <t>None</t>
        </is>
      </c>
      <c r="BR849" s="17" t="n"/>
      <c r="BS849" s="16" t="n"/>
      <c r="BT849" s="20" t="inlineStr">
        <is>
          <t>IC Kationen</t>
        </is>
      </c>
      <c r="BU849" s="20" t="inlineStr">
        <is>
          <t>None</t>
        </is>
      </c>
      <c r="BV849" s="17" t="n"/>
      <c r="BW849" s="16" t="n"/>
      <c r="BX849" s="20" t="n"/>
      <c r="BY849" s="20" t="inlineStr">
        <is>
          <t>None</t>
        </is>
      </c>
      <c r="BZ849" s="17" t="n"/>
      <c r="CA849" s="16" t="n"/>
      <c r="CB849" s="20" t="n"/>
      <c r="CC849" s="20" t="inlineStr">
        <is>
          <t>None</t>
        </is>
      </c>
      <c r="CD849" s="17" t="n"/>
      <c r="CE849" s="16" t="n"/>
      <c r="CF849" s="20" t="n"/>
      <c r="CG849" s="20" t="inlineStr">
        <is>
          <t>None</t>
        </is>
      </c>
      <c r="CH849" s="17" t="n"/>
      <c r="CI849" s="16" t="n"/>
      <c r="CJ849" s="20" t="n"/>
      <c r="CK849" s="20" t="inlineStr">
        <is>
          <t>None</t>
        </is>
      </c>
      <c r="CL849" s="17" t="n"/>
      <c r="CM849" s="16" t="n"/>
      <c r="CN849" s="20" t="inlineStr">
        <is>
          <t>SOP 45-34</t>
        </is>
      </c>
      <c r="CO849" s="20" t="inlineStr">
        <is>
          <t>None</t>
        </is>
      </c>
      <c r="CP849" s="17" t="n"/>
      <c r="CQ849" s="16" t="n"/>
      <c r="CR849" s="20" t="n"/>
      <c r="CS849" s="20" t="inlineStr">
        <is>
          <t>None</t>
        </is>
      </c>
      <c r="CT849" s="17" t="n"/>
      <c r="CU849" s="16" t="n"/>
      <c r="CV849" s="20" t="n"/>
      <c r="CW849" s="20" t="inlineStr">
        <is>
          <t>None</t>
        </is>
      </c>
      <c r="CX849" s="17" t="n"/>
      <c r="CY849" s="16" t="n"/>
      <c r="CZ849" s="20" t="inlineStr">
        <is>
          <t>WTW Multimeter 3430 with FDO 925</t>
        </is>
      </c>
      <c r="DA849" s="20" t="inlineStr">
        <is>
          <t>None</t>
        </is>
      </c>
      <c r="DB849" s="17" t="n"/>
      <c r="DC849" s="16" t="n"/>
      <c r="DD849" s="20" t="n"/>
      <c r="DE849" s="20" t="inlineStr">
        <is>
          <t>None</t>
        </is>
      </c>
      <c r="DF849" s="17" t="n"/>
      <c r="DG849" s="16" t="n"/>
      <c r="DH849" s="20" t="inlineStr">
        <is>
          <t>SOP 45-09</t>
        </is>
      </c>
      <c r="DI849" s="20" t="inlineStr">
        <is>
          <t>None</t>
        </is>
      </c>
      <c r="DJ849" s="17" t="n"/>
      <c r="DK849" s="16" t="n"/>
      <c r="DL849" s="20" t="inlineStr">
        <is>
          <t>SOP 45-09 (SOP muss noch angepasst werden für VSS)</t>
        </is>
      </c>
      <c r="DM849" s="20" t="inlineStr">
        <is>
          <t>None</t>
        </is>
      </c>
      <c r="DN849" s="17" t="n"/>
      <c r="DO849" s="16" t="n"/>
      <c r="DP849" s="20" t="inlineStr">
        <is>
          <t>IC Organic Acids</t>
        </is>
      </c>
      <c r="DQ849" s="20" t="inlineStr">
        <is>
          <t>None</t>
        </is>
      </c>
      <c r="DR849" s="17" t="n"/>
      <c r="DS849" s="16" t="n"/>
      <c r="DT849" s="20" t="inlineStr">
        <is>
          <t>IC Organic Acids</t>
        </is>
      </c>
      <c r="DU849" s="20" t="inlineStr">
        <is>
          <t>None</t>
        </is>
      </c>
      <c r="DV849" s="17" t="n"/>
      <c r="DW849" s="16" t="n"/>
      <c r="DX849" s="20" t="inlineStr">
        <is>
          <t>IC Organic Acids</t>
        </is>
      </c>
      <c r="DY849" s="20" t="inlineStr">
        <is>
          <t>None</t>
        </is>
      </c>
      <c r="DZ849" s="17" t="n"/>
      <c r="EA849" s="16" t="n"/>
      <c r="EB849" s="20" t="inlineStr">
        <is>
          <t>IC Organic Acids</t>
        </is>
      </c>
      <c r="EC849" s="20" t="inlineStr">
        <is>
          <t>None</t>
        </is>
      </c>
      <c r="ED849" s="17" t="n"/>
      <c r="EE849" s="16" t="n"/>
      <c r="EF849" s="20" t="inlineStr">
        <is>
          <t>IC Organic Acids</t>
        </is>
      </c>
      <c r="EG849" s="20" t="inlineStr">
        <is>
          <t>None</t>
        </is>
      </c>
      <c r="EH849" s="17" t="n"/>
      <c r="EI849" s="16" t="n"/>
      <c r="EJ849" s="20" t="inlineStr">
        <is>
          <t>IC Organic Acids</t>
        </is>
      </c>
      <c r="EK849" s="20" t="inlineStr">
        <is>
          <t>None</t>
        </is>
      </c>
      <c r="EL849" s="17" t="n"/>
      <c r="EM849" s="16" t="n"/>
      <c r="EN849" s="20" t="inlineStr">
        <is>
          <t>IC Organic Acids</t>
        </is>
      </c>
      <c r="EO849" s="20" t="inlineStr">
        <is>
          <t>None</t>
        </is>
      </c>
      <c r="EP849" s="17" t="n"/>
      <c r="EQ849" s="16" t="n"/>
      <c r="ER849" s="20" t="inlineStr">
        <is>
          <t>IC Organic Acids</t>
        </is>
      </c>
      <c r="ES849" s="20" t="inlineStr">
        <is>
          <t>None</t>
        </is>
      </c>
      <c r="ET849" s="17" t="n"/>
      <c r="EU849" s="16" t="n"/>
      <c r="EV849" s="20" t="inlineStr">
        <is>
          <t>LC-MS</t>
        </is>
      </c>
      <c r="EW849" s="20" t="inlineStr">
        <is>
          <t>None</t>
        </is>
      </c>
      <c r="EX849" s="17" t="n"/>
      <c r="EY849" s="21" t="n"/>
      <c r="EZ849">
        <f>CONCATENATE(A849,B849)</f>
        <v/>
      </c>
      <c r="FA849">
        <f>CONCATENATE(SamplesX!A849,SamplesX!B849)</f>
        <v/>
      </c>
      <c r="FC849">
        <f>MATCH(EZ849,FA1:FA1008,0)</f>
        <v/>
      </c>
    </row>
    <row r="850">
      <c r="A850" s="16" t="n"/>
      <c r="B850" s="17" t="n"/>
      <c r="C850" s="10">
        <f>IF(ISNUMBER(FC850),INDIRECT("SamplesX!C"&amp;FC850),IF(ISNUMBER(FD850),INDIRECT("SamplesY!C"&amp;FD850),""))</f>
        <v/>
      </c>
      <c r="D850" s="12">
        <f>IF(ISNUMBER(FC850),INDIRECT("SamplesX!D"&amp;FC850),IF(ISNUMBER(FD850),INDIRECT("SamplesY!D"&amp;FD850),""))</f>
        <v/>
      </c>
      <c r="E850" s="12">
        <f>IF(ISNUMBER(FC850),INDIRECT("SamplesX!E"&amp;FC850),IF(ISNUMBER(FD850),INDIRECT("SamplesY!E"&amp;FD850),""))</f>
        <v/>
      </c>
      <c r="F850" s="11">
        <f>IF(ISNUMBER(FC850),INDIRECT("SamplesX!F"&amp;FC850),IF(ISNUMBER(FD850),INDIRECT("SamplesY!F"&amp;FD850),""))</f>
        <v/>
      </c>
      <c r="G850" s="18">
        <f>IF(ISNUMBER(FC850),INDIRECT("SamplesX!G"&amp;FC850),IF(ISNUMBER(FD850),INDIRECT("SamplesY!G"&amp;FD850),""))</f>
        <v/>
      </c>
      <c r="H850" s="19">
        <f>IF(ISNUMBER(FC850),INDIRECT("SamplesX!H"&amp;FC850),IF(ISNUMBER(FD850),INDIRECT("SamplesY!H"&amp;FD850),""))</f>
        <v/>
      </c>
      <c r="I850" s="16" t="n"/>
      <c r="J850" s="16" t="n"/>
      <c r="K850" s="16" t="n"/>
      <c r="L850" s="20" t="n"/>
      <c r="M850" s="20" t="inlineStr">
        <is>
          <t>None</t>
        </is>
      </c>
      <c r="N850" s="17" t="n"/>
      <c r="O850" s="16" t="n"/>
      <c r="P850" s="20" t="inlineStr">
        <is>
          <t>Shimadzu TOC-L</t>
        </is>
      </c>
      <c r="Q850" s="20" t="inlineStr">
        <is>
          <t>None</t>
        </is>
      </c>
      <c r="R850" s="17" t="n"/>
      <c r="S850" s="16" t="n"/>
      <c r="T850" s="20" t="inlineStr">
        <is>
          <t>Shimadzu TOC-L</t>
        </is>
      </c>
      <c r="U850" s="20" t="inlineStr">
        <is>
          <t>None</t>
        </is>
      </c>
      <c r="V850" s="17" t="n"/>
      <c r="W850" s="16" t="n"/>
      <c r="X850" s="20" t="n"/>
      <c r="Y850" s="20" t="inlineStr">
        <is>
          <t>None</t>
        </is>
      </c>
      <c r="Z850" s="17" t="n"/>
      <c r="AA850" s="16" t="n"/>
      <c r="AB850" s="20" t="n"/>
      <c r="AC850" s="20" t="inlineStr">
        <is>
          <t>None</t>
        </is>
      </c>
      <c r="AD850" s="17" t="n"/>
      <c r="AE850" s="16" t="n"/>
      <c r="AF850" s="20" t="inlineStr">
        <is>
          <t>IC Anionen</t>
        </is>
      </c>
      <c r="AG850" s="20" t="inlineStr">
        <is>
          <t>None</t>
        </is>
      </c>
      <c r="AH850" s="17" t="n"/>
      <c r="AI850" s="16" t="n"/>
      <c r="AJ850" s="20" t="n"/>
      <c r="AK850" s="20" t="inlineStr">
        <is>
          <t>None</t>
        </is>
      </c>
      <c r="AL850" s="17" t="n"/>
      <c r="AM850" s="16" t="n"/>
      <c r="AN850" s="20" t="inlineStr">
        <is>
          <t>IC Anionen</t>
        </is>
      </c>
      <c r="AO850" s="20" t="inlineStr">
        <is>
          <t>None</t>
        </is>
      </c>
      <c r="AP850" s="17" t="n"/>
      <c r="AQ850" s="16" t="n"/>
      <c r="AR850" s="20" t="n"/>
      <c r="AS850" s="20" t="inlineStr">
        <is>
          <t>None</t>
        </is>
      </c>
      <c r="AT850" s="17" t="n"/>
      <c r="AU850" s="16" t="n"/>
      <c r="AV850" s="20" t="n"/>
      <c r="AW850" s="20" t="inlineStr">
        <is>
          <t>None</t>
        </is>
      </c>
      <c r="AX850" s="17" t="n"/>
      <c r="AY850" s="16" t="n"/>
      <c r="AZ850" s="20" t="inlineStr">
        <is>
          <t>IC Anionen</t>
        </is>
      </c>
      <c r="BA850" s="20" t="inlineStr">
        <is>
          <t>None</t>
        </is>
      </c>
      <c r="BB850" s="17" t="n"/>
      <c r="BC850" s="16" t="n"/>
      <c r="BD850" s="20" t="inlineStr">
        <is>
          <t>IC Kationen</t>
        </is>
      </c>
      <c r="BE850" s="20" t="inlineStr">
        <is>
          <t>None</t>
        </is>
      </c>
      <c r="BF850" s="17" t="n"/>
      <c r="BG850" s="16" t="n"/>
      <c r="BH850" s="20" t="inlineStr">
        <is>
          <t>IC Kationen</t>
        </is>
      </c>
      <c r="BI850" s="20" t="inlineStr">
        <is>
          <t>None</t>
        </is>
      </c>
      <c r="BJ850" s="17" t="n"/>
      <c r="BK850" s="16" t="n"/>
      <c r="BL850" s="20" t="inlineStr">
        <is>
          <t>IC Kationen</t>
        </is>
      </c>
      <c r="BM850" s="20" t="inlineStr">
        <is>
          <t>None</t>
        </is>
      </c>
      <c r="BN850" s="17" t="n"/>
      <c r="BO850" s="16" t="n"/>
      <c r="BP850" s="20" t="inlineStr">
        <is>
          <t>IC Kationen</t>
        </is>
      </c>
      <c r="BQ850" s="20" t="inlineStr">
        <is>
          <t>None</t>
        </is>
      </c>
      <c r="BR850" s="17" t="n"/>
      <c r="BS850" s="16" t="n"/>
      <c r="BT850" s="20" t="inlineStr">
        <is>
          <t>IC Kationen</t>
        </is>
      </c>
      <c r="BU850" s="20" t="inlineStr">
        <is>
          <t>None</t>
        </is>
      </c>
      <c r="BV850" s="17" t="n"/>
      <c r="BW850" s="16" t="n"/>
      <c r="BX850" s="20" t="n"/>
      <c r="BY850" s="20" t="inlineStr">
        <is>
          <t>None</t>
        </is>
      </c>
      <c r="BZ850" s="17" t="n"/>
      <c r="CA850" s="16" t="n"/>
      <c r="CB850" s="20" t="n"/>
      <c r="CC850" s="20" t="inlineStr">
        <is>
          <t>None</t>
        </is>
      </c>
      <c r="CD850" s="17" t="n"/>
      <c r="CE850" s="16" t="n"/>
      <c r="CF850" s="20" t="n"/>
      <c r="CG850" s="20" t="inlineStr">
        <is>
          <t>None</t>
        </is>
      </c>
      <c r="CH850" s="17" t="n"/>
      <c r="CI850" s="16" t="n"/>
      <c r="CJ850" s="20" t="n"/>
      <c r="CK850" s="20" t="inlineStr">
        <is>
          <t>None</t>
        </is>
      </c>
      <c r="CL850" s="17" t="n"/>
      <c r="CM850" s="16" t="n"/>
      <c r="CN850" s="20" t="inlineStr">
        <is>
          <t>SOP 45-34</t>
        </is>
      </c>
      <c r="CO850" s="20" t="inlineStr">
        <is>
          <t>None</t>
        </is>
      </c>
      <c r="CP850" s="17" t="n"/>
      <c r="CQ850" s="16" t="n"/>
      <c r="CR850" s="20" t="n"/>
      <c r="CS850" s="20" t="inlineStr">
        <is>
          <t>None</t>
        </is>
      </c>
      <c r="CT850" s="17" t="n"/>
      <c r="CU850" s="16" t="n"/>
      <c r="CV850" s="20" t="n"/>
      <c r="CW850" s="20" t="inlineStr">
        <is>
          <t>None</t>
        </is>
      </c>
      <c r="CX850" s="17" t="n"/>
      <c r="CY850" s="16" t="n"/>
      <c r="CZ850" s="20" t="inlineStr">
        <is>
          <t>WTW Multimeter 3430 with FDO 925</t>
        </is>
      </c>
      <c r="DA850" s="20" t="inlineStr">
        <is>
          <t>None</t>
        </is>
      </c>
      <c r="DB850" s="17" t="n"/>
      <c r="DC850" s="16" t="n"/>
      <c r="DD850" s="20" t="n"/>
      <c r="DE850" s="20" t="inlineStr">
        <is>
          <t>None</t>
        </is>
      </c>
      <c r="DF850" s="17" t="n"/>
      <c r="DG850" s="16" t="n"/>
      <c r="DH850" s="20" t="inlineStr">
        <is>
          <t>SOP 45-09</t>
        </is>
      </c>
      <c r="DI850" s="20" t="inlineStr">
        <is>
          <t>None</t>
        </is>
      </c>
      <c r="DJ850" s="17" t="n"/>
      <c r="DK850" s="16" t="n"/>
      <c r="DL850" s="20" t="inlineStr">
        <is>
          <t>SOP 45-09 (SOP muss noch angepasst werden für VSS)</t>
        </is>
      </c>
      <c r="DM850" s="20" t="inlineStr">
        <is>
          <t>None</t>
        </is>
      </c>
      <c r="DN850" s="17" t="n"/>
      <c r="DO850" s="16" t="n"/>
      <c r="DP850" s="20" t="inlineStr">
        <is>
          <t>IC Organic Acids</t>
        </is>
      </c>
      <c r="DQ850" s="20" t="inlineStr">
        <is>
          <t>None</t>
        </is>
      </c>
      <c r="DR850" s="17" t="n"/>
      <c r="DS850" s="16" t="n"/>
      <c r="DT850" s="20" t="inlineStr">
        <is>
          <t>IC Organic Acids</t>
        </is>
      </c>
      <c r="DU850" s="20" t="inlineStr">
        <is>
          <t>None</t>
        </is>
      </c>
      <c r="DV850" s="17" t="n"/>
      <c r="DW850" s="16" t="n"/>
      <c r="DX850" s="20" t="inlineStr">
        <is>
          <t>IC Organic Acids</t>
        </is>
      </c>
      <c r="DY850" s="20" t="inlineStr">
        <is>
          <t>None</t>
        </is>
      </c>
      <c r="DZ850" s="17" t="n"/>
      <c r="EA850" s="16" t="n"/>
      <c r="EB850" s="20" t="inlineStr">
        <is>
          <t>IC Organic Acids</t>
        </is>
      </c>
      <c r="EC850" s="20" t="inlineStr">
        <is>
          <t>None</t>
        </is>
      </c>
      <c r="ED850" s="17" t="n"/>
      <c r="EE850" s="16" t="n"/>
      <c r="EF850" s="20" t="inlineStr">
        <is>
          <t>IC Organic Acids</t>
        </is>
      </c>
      <c r="EG850" s="20" t="inlineStr">
        <is>
          <t>None</t>
        </is>
      </c>
      <c r="EH850" s="17" t="n"/>
      <c r="EI850" s="16" t="n"/>
      <c r="EJ850" s="20" t="inlineStr">
        <is>
          <t>IC Organic Acids</t>
        </is>
      </c>
      <c r="EK850" s="20" t="inlineStr">
        <is>
          <t>None</t>
        </is>
      </c>
      <c r="EL850" s="17" t="n"/>
      <c r="EM850" s="16" t="n"/>
      <c r="EN850" s="20" t="inlineStr">
        <is>
          <t>IC Organic Acids</t>
        </is>
      </c>
      <c r="EO850" s="20" t="inlineStr">
        <is>
          <t>None</t>
        </is>
      </c>
      <c r="EP850" s="17" t="n"/>
      <c r="EQ850" s="16" t="n"/>
      <c r="ER850" s="20" t="inlineStr">
        <is>
          <t>IC Organic Acids</t>
        </is>
      </c>
      <c r="ES850" s="20" t="inlineStr">
        <is>
          <t>None</t>
        </is>
      </c>
      <c r="ET850" s="17" t="n"/>
      <c r="EU850" s="16" t="n"/>
      <c r="EV850" s="20" t="inlineStr">
        <is>
          <t>LC-MS</t>
        </is>
      </c>
      <c r="EW850" s="20" t="inlineStr">
        <is>
          <t>None</t>
        </is>
      </c>
      <c r="EX850" s="17" t="n"/>
      <c r="EY850" s="21" t="n"/>
      <c r="EZ850">
        <f>CONCATENATE(A850,B850)</f>
        <v/>
      </c>
      <c r="FA850">
        <f>CONCATENATE(SamplesX!A850,SamplesX!B850)</f>
        <v/>
      </c>
      <c r="FC850">
        <f>MATCH(EZ850,FA1:FA1008,0)</f>
        <v/>
      </c>
    </row>
    <row r="851">
      <c r="A851" s="16" t="n"/>
      <c r="B851" s="17" t="n"/>
      <c r="C851" s="10">
        <f>IF(ISNUMBER(FC851),INDIRECT("SamplesX!C"&amp;FC851),IF(ISNUMBER(FD851),INDIRECT("SamplesY!C"&amp;FD851),""))</f>
        <v/>
      </c>
      <c r="D851" s="12">
        <f>IF(ISNUMBER(FC851),INDIRECT("SamplesX!D"&amp;FC851),IF(ISNUMBER(FD851),INDIRECT("SamplesY!D"&amp;FD851),""))</f>
        <v/>
      </c>
      <c r="E851" s="12">
        <f>IF(ISNUMBER(FC851),INDIRECT("SamplesX!E"&amp;FC851),IF(ISNUMBER(FD851),INDIRECT("SamplesY!E"&amp;FD851),""))</f>
        <v/>
      </c>
      <c r="F851" s="11">
        <f>IF(ISNUMBER(FC851),INDIRECT("SamplesX!F"&amp;FC851),IF(ISNUMBER(FD851),INDIRECT("SamplesY!F"&amp;FD851),""))</f>
        <v/>
      </c>
      <c r="G851" s="18">
        <f>IF(ISNUMBER(FC851),INDIRECT("SamplesX!G"&amp;FC851),IF(ISNUMBER(FD851),INDIRECT("SamplesY!G"&amp;FD851),""))</f>
        <v/>
      </c>
      <c r="H851" s="19">
        <f>IF(ISNUMBER(FC851),INDIRECT("SamplesX!H"&amp;FC851),IF(ISNUMBER(FD851),INDIRECT("SamplesY!H"&amp;FD851),""))</f>
        <v/>
      </c>
      <c r="I851" s="16" t="n"/>
      <c r="J851" s="16" t="n"/>
      <c r="K851" s="16" t="n"/>
      <c r="L851" s="20" t="n"/>
      <c r="M851" s="20" t="inlineStr">
        <is>
          <t>None</t>
        </is>
      </c>
      <c r="N851" s="17" t="n"/>
      <c r="O851" s="16" t="n"/>
      <c r="P851" s="20" t="inlineStr">
        <is>
          <t>Shimadzu TOC-L</t>
        </is>
      </c>
      <c r="Q851" s="20" t="inlineStr">
        <is>
          <t>None</t>
        </is>
      </c>
      <c r="R851" s="17" t="n"/>
      <c r="S851" s="16" t="n"/>
      <c r="T851" s="20" t="inlineStr">
        <is>
          <t>Shimadzu TOC-L</t>
        </is>
      </c>
      <c r="U851" s="20" t="inlineStr">
        <is>
          <t>None</t>
        </is>
      </c>
      <c r="V851" s="17" t="n"/>
      <c r="W851" s="16" t="n"/>
      <c r="X851" s="20" t="n"/>
      <c r="Y851" s="20" t="inlineStr">
        <is>
          <t>None</t>
        </is>
      </c>
      <c r="Z851" s="17" t="n"/>
      <c r="AA851" s="16" t="n"/>
      <c r="AB851" s="20" t="n"/>
      <c r="AC851" s="20" t="inlineStr">
        <is>
          <t>None</t>
        </is>
      </c>
      <c r="AD851" s="17" t="n"/>
      <c r="AE851" s="16" t="n"/>
      <c r="AF851" s="20" t="inlineStr">
        <is>
          <t>IC Anionen</t>
        </is>
      </c>
      <c r="AG851" s="20" t="inlineStr">
        <is>
          <t>None</t>
        </is>
      </c>
      <c r="AH851" s="17" t="n"/>
      <c r="AI851" s="16" t="n"/>
      <c r="AJ851" s="20" t="n"/>
      <c r="AK851" s="20" t="inlineStr">
        <is>
          <t>None</t>
        </is>
      </c>
      <c r="AL851" s="17" t="n"/>
      <c r="AM851" s="16" t="n"/>
      <c r="AN851" s="20" t="inlineStr">
        <is>
          <t>IC Anionen</t>
        </is>
      </c>
      <c r="AO851" s="20" t="inlineStr">
        <is>
          <t>None</t>
        </is>
      </c>
      <c r="AP851" s="17" t="n"/>
      <c r="AQ851" s="16" t="n"/>
      <c r="AR851" s="20" t="n"/>
      <c r="AS851" s="20" t="inlineStr">
        <is>
          <t>None</t>
        </is>
      </c>
      <c r="AT851" s="17" t="n"/>
      <c r="AU851" s="16" t="n"/>
      <c r="AV851" s="20" t="n"/>
      <c r="AW851" s="20" t="inlineStr">
        <is>
          <t>None</t>
        </is>
      </c>
      <c r="AX851" s="17" t="n"/>
      <c r="AY851" s="16" t="n"/>
      <c r="AZ851" s="20" t="inlineStr">
        <is>
          <t>IC Anionen</t>
        </is>
      </c>
      <c r="BA851" s="20" t="inlineStr">
        <is>
          <t>None</t>
        </is>
      </c>
      <c r="BB851" s="17" t="n"/>
      <c r="BC851" s="16" t="n"/>
      <c r="BD851" s="20" t="inlineStr">
        <is>
          <t>IC Kationen</t>
        </is>
      </c>
      <c r="BE851" s="20" t="inlineStr">
        <is>
          <t>None</t>
        </is>
      </c>
      <c r="BF851" s="17" t="n"/>
      <c r="BG851" s="16" t="n"/>
      <c r="BH851" s="20" t="inlineStr">
        <is>
          <t>IC Kationen</t>
        </is>
      </c>
      <c r="BI851" s="20" t="inlineStr">
        <is>
          <t>None</t>
        </is>
      </c>
      <c r="BJ851" s="17" t="n"/>
      <c r="BK851" s="16" t="n"/>
      <c r="BL851" s="20" t="inlineStr">
        <is>
          <t>IC Kationen</t>
        </is>
      </c>
      <c r="BM851" s="20" t="inlineStr">
        <is>
          <t>None</t>
        </is>
      </c>
      <c r="BN851" s="17" t="n"/>
      <c r="BO851" s="16" t="n"/>
      <c r="BP851" s="20" t="inlineStr">
        <is>
          <t>IC Kationen</t>
        </is>
      </c>
      <c r="BQ851" s="20" t="inlineStr">
        <is>
          <t>None</t>
        </is>
      </c>
      <c r="BR851" s="17" t="n"/>
      <c r="BS851" s="16" t="n"/>
      <c r="BT851" s="20" t="inlineStr">
        <is>
          <t>IC Kationen</t>
        </is>
      </c>
      <c r="BU851" s="20" t="inlineStr">
        <is>
          <t>None</t>
        </is>
      </c>
      <c r="BV851" s="17" t="n"/>
      <c r="BW851" s="16" t="n"/>
      <c r="BX851" s="20" t="n"/>
      <c r="BY851" s="20" t="inlineStr">
        <is>
          <t>None</t>
        </is>
      </c>
      <c r="BZ851" s="17" t="n"/>
      <c r="CA851" s="16" t="n"/>
      <c r="CB851" s="20" t="n"/>
      <c r="CC851" s="20" t="inlineStr">
        <is>
          <t>None</t>
        </is>
      </c>
      <c r="CD851" s="17" t="n"/>
      <c r="CE851" s="16" t="n"/>
      <c r="CF851" s="20" t="n"/>
      <c r="CG851" s="20" t="inlineStr">
        <is>
          <t>None</t>
        </is>
      </c>
      <c r="CH851" s="17" t="n"/>
      <c r="CI851" s="16" t="n"/>
      <c r="CJ851" s="20" t="n"/>
      <c r="CK851" s="20" t="inlineStr">
        <is>
          <t>None</t>
        </is>
      </c>
      <c r="CL851" s="17" t="n"/>
      <c r="CM851" s="16" t="n"/>
      <c r="CN851" s="20" t="inlineStr">
        <is>
          <t>SOP 45-34</t>
        </is>
      </c>
      <c r="CO851" s="20" t="inlineStr">
        <is>
          <t>None</t>
        </is>
      </c>
      <c r="CP851" s="17" t="n"/>
      <c r="CQ851" s="16" t="n"/>
      <c r="CR851" s="20" t="n"/>
      <c r="CS851" s="20" t="inlineStr">
        <is>
          <t>None</t>
        </is>
      </c>
      <c r="CT851" s="17" t="n"/>
      <c r="CU851" s="16" t="n"/>
      <c r="CV851" s="20" t="n"/>
      <c r="CW851" s="20" t="inlineStr">
        <is>
          <t>None</t>
        </is>
      </c>
      <c r="CX851" s="17" t="n"/>
      <c r="CY851" s="16" t="n"/>
      <c r="CZ851" s="20" t="inlineStr">
        <is>
          <t>WTW Multimeter 3430 with FDO 925</t>
        </is>
      </c>
      <c r="DA851" s="20" t="inlineStr">
        <is>
          <t>None</t>
        </is>
      </c>
      <c r="DB851" s="17" t="n"/>
      <c r="DC851" s="16" t="n"/>
      <c r="DD851" s="20" t="n"/>
      <c r="DE851" s="20" t="inlineStr">
        <is>
          <t>None</t>
        </is>
      </c>
      <c r="DF851" s="17" t="n"/>
      <c r="DG851" s="16" t="n"/>
      <c r="DH851" s="20" t="inlineStr">
        <is>
          <t>SOP 45-09</t>
        </is>
      </c>
      <c r="DI851" s="20" t="inlineStr">
        <is>
          <t>None</t>
        </is>
      </c>
      <c r="DJ851" s="17" t="n"/>
      <c r="DK851" s="16" t="n"/>
      <c r="DL851" s="20" t="inlineStr">
        <is>
          <t>SOP 45-09 (SOP muss noch angepasst werden für VSS)</t>
        </is>
      </c>
      <c r="DM851" s="20" t="inlineStr">
        <is>
          <t>None</t>
        </is>
      </c>
      <c r="DN851" s="17" t="n"/>
      <c r="DO851" s="16" t="n"/>
      <c r="DP851" s="20" t="inlineStr">
        <is>
          <t>IC Organic Acids</t>
        </is>
      </c>
      <c r="DQ851" s="20" t="inlineStr">
        <is>
          <t>None</t>
        </is>
      </c>
      <c r="DR851" s="17" t="n"/>
      <c r="DS851" s="16" t="n"/>
      <c r="DT851" s="20" t="inlineStr">
        <is>
          <t>IC Organic Acids</t>
        </is>
      </c>
      <c r="DU851" s="20" t="inlineStr">
        <is>
          <t>None</t>
        </is>
      </c>
      <c r="DV851" s="17" t="n"/>
      <c r="DW851" s="16" t="n"/>
      <c r="DX851" s="20" t="inlineStr">
        <is>
          <t>IC Organic Acids</t>
        </is>
      </c>
      <c r="DY851" s="20" t="inlineStr">
        <is>
          <t>None</t>
        </is>
      </c>
      <c r="DZ851" s="17" t="n"/>
      <c r="EA851" s="16" t="n"/>
      <c r="EB851" s="20" t="inlineStr">
        <is>
          <t>IC Organic Acids</t>
        </is>
      </c>
      <c r="EC851" s="20" t="inlineStr">
        <is>
          <t>None</t>
        </is>
      </c>
      <c r="ED851" s="17" t="n"/>
      <c r="EE851" s="16" t="n"/>
      <c r="EF851" s="20" t="inlineStr">
        <is>
          <t>IC Organic Acids</t>
        </is>
      </c>
      <c r="EG851" s="20" t="inlineStr">
        <is>
          <t>None</t>
        </is>
      </c>
      <c r="EH851" s="17" t="n"/>
      <c r="EI851" s="16" t="n"/>
      <c r="EJ851" s="20" t="inlineStr">
        <is>
          <t>IC Organic Acids</t>
        </is>
      </c>
      <c r="EK851" s="20" t="inlineStr">
        <is>
          <t>None</t>
        </is>
      </c>
      <c r="EL851" s="17" t="n"/>
      <c r="EM851" s="16" t="n"/>
      <c r="EN851" s="20" t="inlineStr">
        <is>
          <t>IC Organic Acids</t>
        </is>
      </c>
      <c r="EO851" s="20" t="inlineStr">
        <is>
          <t>None</t>
        </is>
      </c>
      <c r="EP851" s="17" t="n"/>
      <c r="EQ851" s="16" t="n"/>
      <c r="ER851" s="20" t="inlineStr">
        <is>
          <t>IC Organic Acids</t>
        </is>
      </c>
      <c r="ES851" s="20" t="inlineStr">
        <is>
          <t>None</t>
        </is>
      </c>
      <c r="ET851" s="17" t="n"/>
      <c r="EU851" s="16" t="n"/>
      <c r="EV851" s="20" t="inlineStr">
        <is>
          <t>LC-MS</t>
        </is>
      </c>
      <c r="EW851" s="20" t="inlineStr">
        <is>
          <t>None</t>
        </is>
      </c>
      <c r="EX851" s="17" t="n"/>
      <c r="EY851" s="21" t="n"/>
      <c r="EZ851">
        <f>CONCATENATE(A851,B851)</f>
        <v/>
      </c>
      <c r="FA851">
        <f>CONCATENATE(SamplesX!A851,SamplesX!B851)</f>
        <v/>
      </c>
      <c r="FC851">
        <f>MATCH(EZ851,FA1:FA1008,0)</f>
        <v/>
      </c>
    </row>
    <row r="852">
      <c r="A852" s="16" t="n"/>
      <c r="B852" s="17" t="n"/>
      <c r="C852" s="10">
        <f>IF(ISNUMBER(FC852),INDIRECT("SamplesX!C"&amp;FC852),IF(ISNUMBER(FD852),INDIRECT("SamplesY!C"&amp;FD852),""))</f>
        <v/>
      </c>
      <c r="D852" s="12">
        <f>IF(ISNUMBER(FC852),INDIRECT("SamplesX!D"&amp;FC852),IF(ISNUMBER(FD852),INDIRECT("SamplesY!D"&amp;FD852),""))</f>
        <v/>
      </c>
      <c r="E852" s="12">
        <f>IF(ISNUMBER(FC852),INDIRECT("SamplesX!E"&amp;FC852),IF(ISNUMBER(FD852),INDIRECT("SamplesY!E"&amp;FD852),""))</f>
        <v/>
      </c>
      <c r="F852" s="11">
        <f>IF(ISNUMBER(FC852),INDIRECT("SamplesX!F"&amp;FC852),IF(ISNUMBER(FD852),INDIRECT("SamplesY!F"&amp;FD852),""))</f>
        <v/>
      </c>
      <c r="G852" s="18">
        <f>IF(ISNUMBER(FC852),INDIRECT("SamplesX!G"&amp;FC852),IF(ISNUMBER(FD852),INDIRECT("SamplesY!G"&amp;FD852),""))</f>
        <v/>
      </c>
      <c r="H852" s="19">
        <f>IF(ISNUMBER(FC852),INDIRECT("SamplesX!H"&amp;FC852),IF(ISNUMBER(FD852),INDIRECT("SamplesY!H"&amp;FD852),""))</f>
        <v/>
      </c>
      <c r="I852" s="16" t="n"/>
      <c r="J852" s="16" t="n"/>
      <c r="K852" s="16" t="n"/>
      <c r="L852" s="20" t="n"/>
      <c r="M852" s="20" t="inlineStr">
        <is>
          <t>None</t>
        </is>
      </c>
      <c r="N852" s="17" t="n"/>
      <c r="O852" s="16" t="n"/>
      <c r="P852" s="20" t="inlineStr">
        <is>
          <t>Shimadzu TOC-L</t>
        </is>
      </c>
      <c r="Q852" s="20" t="inlineStr">
        <is>
          <t>None</t>
        </is>
      </c>
      <c r="R852" s="17" t="n"/>
      <c r="S852" s="16" t="n"/>
      <c r="T852" s="20" t="inlineStr">
        <is>
          <t>Shimadzu TOC-L</t>
        </is>
      </c>
      <c r="U852" s="20" t="inlineStr">
        <is>
          <t>None</t>
        </is>
      </c>
      <c r="V852" s="17" t="n"/>
      <c r="W852" s="16" t="n"/>
      <c r="X852" s="20" t="n"/>
      <c r="Y852" s="20" t="inlineStr">
        <is>
          <t>None</t>
        </is>
      </c>
      <c r="Z852" s="17" t="n"/>
      <c r="AA852" s="16" t="n"/>
      <c r="AB852" s="20" t="n"/>
      <c r="AC852" s="20" t="inlineStr">
        <is>
          <t>None</t>
        </is>
      </c>
      <c r="AD852" s="17" t="n"/>
      <c r="AE852" s="16" t="n"/>
      <c r="AF852" s="20" t="inlineStr">
        <is>
          <t>IC Anionen</t>
        </is>
      </c>
      <c r="AG852" s="20" t="inlineStr">
        <is>
          <t>None</t>
        </is>
      </c>
      <c r="AH852" s="17" t="n"/>
      <c r="AI852" s="16" t="n"/>
      <c r="AJ852" s="20" t="n"/>
      <c r="AK852" s="20" t="inlineStr">
        <is>
          <t>None</t>
        </is>
      </c>
      <c r="AL852" s="17" t="n"/>
      <c r="AM852" s="16" t="n"/>
      <c r="AN852" s="20" t="inlineStr">
        <is>
          <t>IC Anionen</t>
        </is>
      </c>
      <c r="AO852" s="20" t="inlineStr">
        <is>
          <t>None</t>
        </is>
      </c>
      <c r="AP852" s="17" t="n"/>
      <c r="AQ852" s="16" t="n"/>
      <c r="AR852" s="20" t="n"/>
      <c r="AS852" s="20" t="inlineStr">
        <is>
          <t>None</t>
        </is>
      </c>
      <c r="AT852" s="17" t="n"/>
      <c r="AU852" s="16" t="n"/>
      <c r="AV852" s="20" t="n"/>
      <c r="AW852" s="20" t="inlineStr">
        <is>
          <t>None</t>
        </is>
      </c>
      <c r="AX852" s="17" t="n"/>
      <c r="AY852" s="16" t="n"/>
      <c r="AZ852" s="20" t="inlineStr">
        <is>
          <t>IC Anionen</t>
        </is>
      </c>
      <c r="BA852" s="20" t="inlineStr">
        <is>
          <t>None</t>
        </is>
      </c>
      <c r="BB852" s="17" t="n"/>
      <c r="BC852" s="16" t="n"/>
      <c r="BD852" s="20" t="inlineStr">
        <is>
          <t>IC Kationen</t>
        </is>
      </c>
      <c r="BE852" s="20" t="inlineStr">
        <is>
          <t>None</t>
        </is>
      </c>
      <c r="BF852" s="17" t="n"/>
      <c r="BG852" s="16" t="n"/>
      <c r="BH852" s="20" t="inlineStr">
        <is>
          <t>IC Kationen</t>
        </is>
      </c>
      <c r="BI852" s="20" t="inlineStr">
        <is>
          <t>None</t>
        </is>
      </c>
      <c r="BJ852" s="17" t="n"/>
      <c r="BK852" s="16" t="n"/>
      <c r="BL852" s="20" t="inlineStr">
        <is>
          <t>IC Kationen</t>
        </is>
      </c>
      <c r="BM852" s="20" t="inlineStr">
        <is>
          <t>None</t>
        </is>
      </c>
      <c r="BN852" s="17" t="n"/>
      <c r="BO852" s="16" t="n"/>
      <c r="BP852" s="20" t="inlineStr">
        <is>
          <t>IC Kationen</t>
        </is>
      </c>
      <c r="BQ852" s="20" t="inlineStr">
        <is>
          <t>None</t>
        </is>
      </c>
      <c r="BR852" s="17" t="n"/>
      <c r="BS852" s="16" t="n"/>
      <c r="BT852" s="20" t="inlineStr">
        <is>
          <t>IC Kationen</t>
        </is>
      </c>
      <c r="BU852" s="20" t="inlineStr">
        <is>
          <t>None</t>
        </is>
      </c>
      <c r="BV852" s="17" t="n"/>
      <c r="BW852" s="16" t="n"/>
      <c r="BX852" s="20" t="n"/>
      <c r="BY852" s="20" t="inlineStr">
        <is>
          <t>None</t>
        </is>
      </c>
      <c r="BZ852" s="17" t="n"/>
      <c r="CA852" s="16" t="n"/>
      <c r="CB852" s="20" t="n"/>
      <c r="CC852" s="20" t="inlineStr">
        <is>
          <t>None</t>
        </is>
      </c>
      <c r="CD852" s="17" t="n"/>
      <c r="CE852" s="16" t="n"/>
      <c r="CF852" s="20" t="n"/>
      <c r="CG852" s="20" t="inlineStr">
        <is>
          <t>None</t>
        </is>
      </c>
      <c r="CH852" s="17" t="n"/>
      <c r="CI852" s="16" t="n"/>
      <c r="CJ852" s="20" t="n"/>
      <c r="CK852" s="20" t="inlineStr">
        <is>
          <t>None</t>
        </is>
      </c>
      <c r="CL852" s="17" t="n"/>
      <c r="CM852" s="16" t="n"/>
      <c r="CN852" s="20" t="inlineStr">
        <is>
          <t>SOP 45-34</t>
        </is>
      </c>
      <c r="CO852" s="20" t="inlineStr">
        <is>
          <t>None</t>
        </is>
      </c>
      <c r="CP852" s="17" t="n"/>
      <c r="CQ852" s="16" t="n"/>
      <c r="CR852" s="20" t="n"/>
      <c r="CS852" s="20" t="inlineStr">
        <is>
          <t>None</t>
        </is>
      </c>
      <c r="CT852" s="17" t="n"/>
      <c r="CU852" s="16" t="n"/>
      <c r="CV852" s="20" t="n"/>
      <c r="CW852" s="20" t="inlineStr">
        <is>
          <t>None</t>
        </is>
      </c>
      <c r="CX852" s="17" t="n"/>
      <c r="CY852" s="16" t="n"/>
      <c r="CZ852" s="20" t="inlineStr">
        <is>
          <t>WTW Multimeter 3430 with FDO 925</t>
        </is>
      </c>
      <c r="DA852" s="20" t="inlineStr">
        <is>
          <t>None</t>
        </is>
      </c>
      <c r="DB852" s="17" t="n"/>
      <c r="DC852" s="16" t="n"/>
      <c r="DD852" s="20" t="n"/>
      <c r="DE852" s="20" t="inlineStr">
        <is>
          <t>None</t>
        </is>
      </c>
      <c r="DF852" s="17" t="n"/>
      <c r="DG852" s="16" t="n"/>
      <c r="DH852" s="20" t="inlineStr">
        <is>
          <t>SOP 45-09</t>
        </is>
      </c>
      <c r="DI852" s="20" t="inlineStr">
        <is>
          <t>None</t>
        </is>
      </c>
      <c r="DJ852" s="17" t="n"/>
      <c r="DK852" s="16" t="n"/>
      <c r="DL852" s="20" t="inlineStr">
        <is>
          <t>SOP 45-09 (SOP muss noch angepasst werden für VSS)</t>
        </is>
      </c>
      <c r="DM852" s="20" t="inlineStr">
        <is>
          <t>None</t>
        </is>
      </c>
      <c r="DN852" s="17" t="n"/>
      <c r="DO852" s="16" t="n"/>
      <c r="DP852" s="20" t="inlineStr">
        <is>
          <t>IC Organic Acids</t>
        </is>
      </c>
      <c r="DQ852" s="20" t="inlineStr">
        <is>
          <t>None</t>
        </is>
      </c>
      <c r="DR852" s="17" t="n"/>
      <c r="DS852" s="16" t="n"/>
      <c r="DT852" s="20" t="inlineStr">
        <is>
          <t>IC Organic Acids</t>
        </is>
      </c>
      <c r="DU852" s="20" t="inlineStr">
        <is>
          <t>None</t>
        </is>
      </c>
      <c r="DV852" s="17" t="n"/>
      <c r="DW852" s="16" t="n"/>
      <c r="DX852" s="20" t="inlineStr">
        <is>
          <t>IC Organic Acids</t>
        </is>
      </c>
      <c r="DY852" s="20" t="inlineStr">
        <is>
          <t>None</t>
        </is>
      </c>
      <c r="DZ852" s="17" t="n"/>
      <c r="EA852" s="16" t="n"/>
      <c r="EB852" s="20" t="inlineStr">
        <is>
          <t>IC Organic Acids</t>
        </is>
      </c>
      <c r="EC852" s="20" t="inlineStr">
        <is>
          <t>None</t>
        </is>
      </c>
      <c r="ED852" s="17" t="n"/>
      <c r="EE852" s="16" t="n"/>
      <c r="EF852" s="20" t="inlineStr">
        <is>
          <t>IC Organic Acids</t>
        </is>
      </c>
      <c r="EG852" s="20" t="inlineStr">
        <is>
          <t>None</t>
        </is>
      </c>
      <c r="EH852" s="17" t="n"/>
      <c r="EI852" s="16" t="n"/>
      <c r="EJ852" s="20" t="inlineStr">
        <is>
          <t>IC Organic Acids</t>
        </is>
      </c>
      <c r="EK852" s="20" t="inlineStr">
        <is>
          <t>None</t>
        </is>
      </c>
      <c r="EL852" s="17" t="n"/>
      <c r="EM852" s="16" t="n"/>
      <c r="EN852" s="20" t="inlineStr">
        <is>
          <t>IC Organic Acids</t>
        </is>
      </c>
      <c r="EO852" s="20" t="inlineStr">
        <is>
          <t>None</t>
        </is>
      </c>
      <c r="EP852" s="17" t="n"/>
      <c r="EQ852" s="16" t="n"/>
      <c r="ER852" s="20" t="inlineStr">
        <is>
          <t>IC Organic Acids</t>
        </is>
      </c>
      <c r="ES852" s="20" t="inlineStr">
        <is>
          <t>None</t>
        </is>
      </c>
      <c r="ET852" s="17" t="n"/>
      <c r="EU852" s="16" t="n"/>
      <c r="EV852" s="20" t="inlineStr">
        <is>
          <t>LC-MS</t>
        </is>
      </c>
      <c r="EW852" s="20" t="inlineStr">
        <is>
          <t>None</t>
        </is>
      </c>
      <c r="EX852" s="17" t="n"/>
      <c r="EY852" s="21" t="n"/>
      <c r="EZ852">
        <f>CONCATENATE(A852,B852)</f>
        <v/>
      </c>
      <c r="FA852">
        <f>CONCATENATE(SamplesX!A852,SamplesX!B852)</f>
        <v/>
      </c>
      <c r="FC852">
        <f>MATCH(EZ852,FA1:FA1008,0)</f>
        <v/>
      </c>
    </row>
    <row r="853">
      <c r="A853" s="16" t="n"/>
      <c r="B853" s="17" t="n"/>
      <c r="C853" s="10">
        <f>IF(ISNUMBER(FC853),INDIRECT("SamplesX!C"&amp;FC853),IF(ISNUMBER(FD853),INDIRECT("SamplesY!C"&amp;FD853),""))</f>
        <v/>
      </c>
      <c r="D853" s="12">
        <f>IF(ISNUMBER(FC853),INDIRECT("SamplesX!D"&amp;FC853),IF(ISNUMBER(FD853),INDIRECT("SamplesY!D"&amp;FD853),""))</f>
        <v/>
      </c>
      <c r="E853" s="12">
        <f>IF(ISNUMBER(FC853),INDIRECT("SamplesX!E"&amp;FC853),IF(ISNUMBER(FD853),INDIRECT("SamplesY!E"&amp;FD853),""))</f>
        <v/>
      </c>
      <c r="F853" s="11">
        <f>IF(ISNUMBER(FC853),INDIRECT("SamplesX!F"&amp;FC853),IF(ISNUMBER(FD853),INDIRECT("SamplesY!F"&amp;FD853),""))</f>
        <v/>
      </c>
      <c r="G853" s="18">
        <f>IF(ISNUMBER(FC853),INDIRECT("SamplesX!G"&amp;FC853),IF(ISNUMBER(FD853),INDIRECT("SamplesY!G"&amp;FD853),""))</f>
        <v/>
      </c>
      <c r="H853" s="19">
        <f>IF(ISNUMBER(FC853),INDIRECT("SamplesX!H"&amp;FC853),IF(ISNUMBER(FD853),INDIRECT("SamplesY!H"&amp;FD853),""))</f>
        <v/>
      </c>
      <c r="I853" s="16" t="n"/>
      <c r="J853" s="16" t="n"/>
      <c r="K853" s="16" t="n"/>
      <c r="L853" s="20" t="n"/>
      <c r="M853" s="20" t="inlineStr">
        <is>
          <t>None</t>
        </is>
      </c>
      <c r="N853" s="17" t="n"/>
      <c r="O853" s="16" t="n"/>
      <c r="P853" s="20" t="inlineStr">
        <is>
          <t>Shimadzu TOC-L</t>
        </is>
      </c>
      <c r="Q853" s="20" t="inlineStr">
        <is>
          <t>None</t>
        </is>
      </c>
      <c r="R853" s="17" t="n"/>
      <c r="S853" s="16" t="n"/>
      <c r="T853" s="20" t="inlineStr">
        <is>
          <t>Shimadzu TOC-L</t>
        </is>
      </c>
      <c r="U853" s="20" t="inlineStr">
        <is>
          <t>None</t>
        </is>
      </c>
      <c r="V853" s="17" t="n"/>
      <c r="W853" s="16" t="n"/>
      <c r="X853" s="20" t="n"/>
      <c r="Y853" s="20" t="inlineStr">
        <is>
          <t>None</t>
        </is>
      </c>
      <c r="Z853" s="17" t="n"/>
      <c r="AA853" s="16" t="n"/>
      <c r="AB853" s="20" t="n"/>
      <c r="AC853" s="20" t="inlineStr">
        <is>
          <t>None</t>
        </is>
      </c>
      <c r="AD853" s="17" t="n"/>
      <c r="AE853" s="16" t="n"/>
      <c r="AF853" s="20" t="inlineStr">
        <is>
          <t>IC Anionen</t>
        </is>
      </c>
      <c r="AG853" s="20" t="inlineStr">
        <is>
          <t>None</t>
        </is>
      </c>
      <c r="AH853" s="17" t="n"/>
      <c r="AI853" s="16" t="n"/>
      <c r="AJ853" s="20" t="n"/>
      <c r="AK853" s="20" t="inlineStr">
        <is>
          <t>None</t>
        </is>
      </c>
      <c r="AL853" s="17" t="n"/>
      <c r="AM853" s="16" t="n"/>
      <c r="AN853" s="20" t="inlineStr">
        <is>
          <t>IC Anionen</t>
        </is>
      </c>
      <c r="AO853" s="20" t="inlineStr">
        <is>
          <t>None</t>
        </is>
      </c>
      <c r="AP853" s="17" t="n"/>
      <c r="AQ853" s="16" t="n"/>
      <c r="AR853" s="20" t="n"/>
      <c r="AS853" s="20" t="inlineStr">
        <is>
          <t>None</t>
        </is>
      </c>
      <c r="AT853" s="17" t="n"/>
      <c r="AU853" s="16" t="n"/>
      <c r="AV853" s="20" t="n"/>
      <c r="AW853" s="20" t="inlineStr">
        <is>
          <t>None</t>
        </is>
      </c>
      <c r="AX853" s="17" t="n"/>
      <c r="AY853" s="16" t="n"/>
      <c r="AZ853" s="20" t="inlineStr">
        <is>
          <t>IC Anionen</t>
        </is>
      </c>
      <c r="BA853" s="20" t="inlineStr">
        <is>
          <t>None</t>
        </is>
      </c>
      <c r="BB853" s="17" t="n"/>
      <c r="BC853" s="16" t="n"/>
      <c r="BD853" s="20" t="inlineStr">
        <is>
          <t>IC Kationen</t>
        </is>
      </c>
      <c r="BE853" s="20" t="inlineStr">
        <is>
          <t>None</t>
        </is>
      </c>
      <c r="BF853" s="17" t="n"/>
      <c r="BG853" s="16" t="n"/>
      <c r="BH853" s="20" t="inlineStr">
        <is>
          <t>IC Kationen</t>
        </is>
      </c>
      <c r="BI853" s="20" t="inlineStr">
        <is>
          <t>None</t>
        </is>
      </c>
      <c r="BJ853" s="17" t="n"/>
      <c r="BK853" s="16" t="n"/>
      <c r="BL853" s="20" t="inlineStr">
        <is>
          <t>IC Kationen</t>
        </is>
      </c>
      <c r="BM853" s="20" t="inlineStr">
        <is>
          <t>None</t>
        </is>
      </c>
      <c r="BN853" s="17" t="n"/>
      <c r="BO853" s="16" t="n"/>
      <c r="BP853" s="20" t="inlineStr">
        <is>
          <t>IC Kationen</t>
        </is>
      </c>
      <c r="BQ853" s="20" t="inlineStr">
        <is>
          <t>None</t>
        </is>
      </c>
      <c r="BR853" s="17" t="n"/>
      <c r="BS853" s="16" t="n"/>
      <c r="BT853" s="20" t="inlineStr">
        <is>
          <t>IC Kationen</t>
        </is>
      </c>
      <c r="BU853" s="20" t="inlineStr">
        <is>
          <t>None</t>
        </is>
      </c>
      <c r="BV853" s="17" t="n"/>
      <c r="BW853" s="16" t="n"/>
      <c r="BX853" s="20" t="n"/>
      <c r="BY853" s="20" t="inlineStr">
        <is>
          <t>None</t>
        </is>
      </c>
      <c r="BZ853" s="17" t="n"/>
      <c r="CA853" s="16" t="n"/>
      <c r="CB853" s="20" t="n"/>
      <c r="CC853" s="20" t="inlineStr">
        <is>
          <t>None</t>
        </is>
      </c>
      <c r="CD853" s="17" t="n"/>
      <c r="CE853" s="16" t="n"/>
      <c r="CF853" s="20" t="n"/>
      <c r="CG853" s="20" t="inlineStr">
        <is>
          <t>None</t>
        </is>
      </c>
      <c r="CH853" s="17" t="n"/>
      <c r="CI853" s="16" t="n"/>
      <c r="CJ853" s="20" t="n"/>
      <c r="CK853" s="20" t="inlineStr">
        <is>
          <t>None</t>
        </is>
      </c>
      <c r="CL853" s="17" t="n"/>
      <c r="CM853" s="16" t="n"/>
      <c r="CN853" s="20" t="inlineStr">
        <is>
          <t>SOP 45-34</t>
        </is>
      </c>
      <c r="CO853" s="20" t="inlineStr">
        <is>
          <t>None</t>
        </is>
      </c>
      <c r="CP853" s="17" t="n"/>
      <c r="CQ853" s="16" t="n"/>
      <c r="CR853" s="20" t="n"/>
      <c r="CS853" s="20" t="inlineStr">
        <is>
          <t>None</t>
        </is>
      </c>
      <c r="CT853" s="17" t="n"/>
      <c r="CU853" s="16" t="n"/>
      <c r="CV853" s="20" t="n"/>
      <c r="CW853" s="20" t="inlineStr">
        <is>
          <t>None</t>
        </is>
      </c>
      <c r="CX853" s="17" t="n"/>
      <c r="CY853" s="16" t="n"/>
      <c r="CZ853" s="20" t="inlineStr">
        <is>
          <t>WTW Multimeter 3430 with FDO 925</t>
        </is>
      </c>
      <c r="DA853" s="20" t="inlineStr">
        <is>
          <t>None</t>
        </is>
      </c>
      <c r="DB853" s="17" t="n"/>
      <c r="DC853" s="16" t="n"/>
      <c r="DD853" s="20" t="n"/>
      <c r="DE853" s="20" t="inlineStr">
        <is>
          <t>None</t>
        </is>
      </c>
      <c r="DF853" s="17" t="n"/>
      <c r="DG853" s="16" t="n"/>
      <c r="DH853" s="20" t="inlineStr">
        <is>
          <t>SOP 45-09</t>
        </is>
      </c>
      <c r="DI853" s="20" t="inlineStr">
        <is>
          <t>None</t>
        </is>
      </c>
      <c r="DJ853" s="17" t="n"/>
      <c r="DK853" s="16" t="n"/>
      <c r="DL853" s="20" t="inlineStr">
        <is>
          <t>SOP 45-09 (SOP muss noch angepasst werden für VSS)</t>
        </is>
      </c>
      <c r="DM853" s="20" t="inlineStr">
        <is>
          <t>None</t>
        </is>
      </c>
      <c r="DN853" s="17" t="n"/>
      <c r="DO853" s="16" t="n"/>
      <c r="DP853" s="20" t="inlineStr">
        <is>
          <t>IC Organic Acids</t>
        </is>
      </c>
      <c r="DQ853" s="20" t="inlineStr">
        <is>
          <t>None</t>
        </is>
      </c>
      <c r="DR853" s="17" t="n"/>
      <c r="DS853" s="16" t="n"/>
      <c r="DT853" s="20" t="inlineStr">
        <is>
          <t>IC Organic Acids</t>
        </is>
      </c>
      <c r="DU853" s="20" t="inlineStr">
        <is>
          <t>None</t>
        </is>
      </c>
      <c r="DV853" s="17" t="n"/>
      <c r="DW853" s="16" t="n"/>
      <c r="DX853" s="20" t="inlineStr">
        <is>
          <t>IC Organic Acids</t>
        </is>
      </c>
      <c r="DY853" s="20" t="inlineStr">
        <is>
          <t>None</t>
        </is>
      </c>
      <c r="DZ853" s="17" t="n"/>
      <c r="EA853" s="16" t="n"/>
      <c r="EB853" s="20" t="inlineStr">
        <is>
          <t>IC Organic Acids</t>
        </is>
      </c>
      <c r="EC853" s="20" t="inlineStr">
        <is>
          <t>None</t>
        </is>
      </c>
      <c r="ED853" s="17" t="n"/>
      <c r="EE853" s="16" t="n"/>
      <c r="EF853" s="20" t="inlineStr">
        <is>
          <t>IC Organic Acids</t>
        </is>
      </c>
      <c r="EG853" s="20" t="inlineStr">
        <is>
          <t>None</t>
        </is>
      </c>
      <c r="EH853" s="17" t="n"/>
      <c r="EI853" s="16" t="n"/>
      <c r="EJ853" s="20" t="inlineStr">
        <is>
          <t>IC Organic Acids</t>
        </is>
      </c>
      <c r="EK853" s="20" t="inlineStr">
        <is>
          <t>None</t>
        </is>
      </c>
      <c r="EL853" s="17" t="n"/>
      <c r="EM853" s="16" t="n"/>
      <c r="EN853" s="20" t="inlineStr">
        <is>
          <t>IC Organic Acids</t>
        </is>
      </c>
      <c r="EO853" s="20" t="inlineStr">
        <is>
          <t>None</t>
        </is>
      </c>
      <c r="EP853" s="17" t="n"/>
      <c r="EQ853" s="16" t="n"/>
      <c r="ER853" s="20" t="inlineStr">
        <is>
          <t>IC Organic Acids</t>
        </is>
      </c>
      <c r="ES853" s="20" t="inlineStr">
        <is>
          <t>None</t>
        </is>
      </c>
      <c r="ET853" s="17" t="n"/>
      <c r="EU853" s="16" t="n"/>
      <c r="EV853" s="20" t="inlineStr">
        <is>
          <t>LC-MS</t>
        </is>
      </c>
      <c r="EW853" s="20" t="inlineStr">
        <is>
          <t>None</t>
        </is>
      </c>
      <c r="EX853" s="17" t="n"/>
      <c r="EY853" s="21" t="n"/>
      <c r="EZ853">
        <f>CONCATENATE(A853,B853)</f>
        <v/>
      </c>
      <c r="FA853">
        <f>CONCATENATE(SamplesX!A853,SamplesX!B853)</f>
        <v/>
      </c>
      <c r="FC853">
        <f>MATCH(EZ853,FA1:FA1008,0)</f>
        <v/>
      </c>
    </row>
    <row r="854">
      <c r="A854" s="16" t="n"/>
      <c r="B854" s="17" t="n"/>
      <c r="C854" s="10">
        <f>IF(ISNUMBER(FC854),INDIRECT("SamplesX!C"&amp;FC854),IF(ISNUMBER(FD854),INDIRECT("SamplesY!C"&amp;FD854),""))</f>
        <v/>
      </c>
      <c r="D854" s="12">
        <f>IF(ISNUMBER(FC854),INDIRECT("SamplesX!D"&amp;FC854),IF(ISNUMBER(FD854),INDIRECT("SamplesY!D"&amp;FD854),""))</f>
        <v/>
      </c>
      <c r="E854" s="12">
        <f>IF(ISNUMBER(FC854),INDIRECT("SamplesX!E"&amp;FC854),IF(ISNUMBER(FD854),INDIRECT("SamplesY!E"&amp;FD854),""))</f>
        <v/>
      </c>
      <c r="F854" s="11">
        <f>IF(ISNUMBER(FC854),INDIRECT("SamplesX!F"&amp;FC854),IF(ISNUMBER(FD854),INDIRECT("SamplesY!F"&amp;FD854),""))</f>
        <v/>
      </c>
      <c r="G854" s="18">
        <f>IF(ISNUMBER(FC854),INDIRECT("SamplesX!G"&amp;FC854),IF(ISNUMBER(FD854),INDIRECT("SamplesY!G"&amp;FD854),""))</f>
        <v/>
      </c>
      <c r="H854" s="19">
        <f>IF(ISNUMBER(FC854),INDIRECT("SamplesX!H"&amp;FC854),IF(ISNUMBER(FD854),INDIRECT("SamplesY!H"&amp;FD854),""))</f>
        <v/>
      </c>
      <c r="I854" s="16" t="n"/>
      <c r="J854" s="16" t="n"/>
      <c r="K854" s="16" t="n"/>
      <c r="L854" s="20" t="n"/>
      <c r="M854" s="20" t="inlineStr">
        <is>
          <t>None</t>
        </is>
      </c>
      <c r="N854" s="17" t="n"/>
      <c r="O854" s="16" t="n"/>
      <c r="P854" s="20" t="inlineStr">
        <is>
          <t>Shimadzu TOC-L</t>
        </is>
      </c>
      <c r="Q854" s="20" t="inlineStr">
        <is>
          <t>None</t>
        </is>
      </c>
      <c r="R854" s="17" t="n"/>
      <c r="S854" s="16" t="n"/>
      <c r="T854" s="20" t="inlineStr">
        <is>
          <t>Shimadzu TOC-L</t>
        </is>
      </c>
      <c r="U854" s="20" t="inlineStr">
        <is>
          <t>None</t>
        </is>
      </c>
      <c r="V854" s="17" t="n"/>
      <c r="W854" s="16" t="n"/>
      <c r="X854" s="20" t="n"/>
      <c r="Y854" s="20" t="inlineStr">
        <is>
          <t>None</t>
        </is>
      </c>
      <c r="Z854" s="17" t="n"/>
      <c r="AA854" s="16" t="n"/>
      <c r="AB854" s="20" t="n"/>
      <c r="AC854" s="20" t="inlineStr">
        <is>
          <t>None</t>
        </is>
      </c>
      <c r="AD854" s="17" t="n"/>
      <c r="AE854" s="16" t="n"/>
      <c r="AF854" s="20" t="inlineStr">
        <is>
          <t>IC Anionen</t>
        </is>
      </c>
      <c r="AG854" s="20" t="inlineStr">
        <is>
          <t>None</t>
        </is>
      </c>
      <c r="AH854" s="17" t="n"/>
      <c r="AI854" s="16" t="n"/>
      <c r="AJ854" s="20" t="n"/>
      <c r="AK854" s="20" t="inlineStr">
        <is>
          <t>None</t>
        </is>
      </c>
      <c r="AL854" s="17" t="n"/>
      <c r="AM854" s="16" t="n"/>
      <c r="AN854" s="20" t="inlineStr">
        <is>
          <t>IC Anionen</t>
        </is>
      </c>
      <c r="AO854" s="20" t="inlineStr">
        <is>
          <t>None</t>
        </is>
      </c>
      <c r="AP854" s="17" t="n"/>
      <c r="AQ854" s="16" t="n"/>
      <c r="AR854" s="20" t="n"/>
      <c r="AS854" s="20" t="inlineStr">
        <is>
          <t>None</t>
        </is>
      </c>
      <c r="AT854" s="17" t="n"/>
      <c r="AU854" s="16" t="n"/>
      <c r="AV854" s="20" t="n"/>
      <c r="AW854" s="20" t="inlineStr">
        <is>
          <t>None</t>
        </is>
      </c>
      <c r="AX854" s="17" t="n"/>
      <c r="AY854" s="16" t="n"/>
      <c r="AZ854" s="20" t="inlineStr">
        <is>
          <t>IC Anionen</t>
        </is>
      </c>
      <c r="BA854" s="20" t="inlineStr">
        <is>
          <t>None</t>
        </is>
      </c>
      <c r="BB854" s="17" t="n"/>
      <c r="BC854" s="16" t="n"/>
      <c r="BD854" s="20" t="inlineStr">
        <is>
          <t>IC Kationen</t>
        </is>
      </c>
      <c r="BE854" s="20" t="inlineStr">
        <is>
          <t>None</t>
        </is>
      </c>
      <c r="BF854" s="17" t="n"/>
      <c r="BG854" s="16" t="n"/>
      <c r="BH854" s="20" t="inlineStr">
        <is>
          <t>IC Kationen</t>
        </is>
      </c>
      <c r="BI854" s="20" t="inlineStr">
        <is>
          <t>None</t>
        </is>
      </c>
      <c r="BJ854" s="17" t="n"/>
      <c r="BK854" s="16" t="n"/>
      <c r="BL854" s="20" t="inlineStr">
        <is>
          <t>IC Kationen</t>
        </is>
      </c>
      <c r="BM854" s="20" t="inlineStr">
        <is>
          <t>None</t>
        </is>
      </c>
      <c r="BN854" s="17" t="n"/>
      <c r="BO854" s="16" t="n"/>
      <c r="BP854" s="20" t="inlineStr">
        <is>
          <t>IC Kationen</t>
        </is>
      </c>
      <c r="BQ854" s="20" t="inlineStr">
        <is>
          <t>None</t>
        </is>
      </c>
      <c r="BR854" s="17" t="n"/>
      <c r="BS854" s="16" t="n"/>
      <c r="BT854" s="20" t="inlineStr">
        <is>
          <t>IC Kationen</t>
        </is>
      </c>
      <c r="BU854" s="20" t="inlineStr">
        <is>
          <t>None</t>
        </is>
      </c>
      <c r="BV854" s="17" t="n"/>
      <c r="BW854" s="16" t="n"/>
      <c r="BX854" s="20" t="n"/>
      <c r="BY854" s="20" t="inlineStr">
        <is>
          <t>None</t>
        </is>
      </c>
      <c r="BZ854" s="17" t="n"/>
      <c r="CA854" s="16" t="n"/>
      <c r="CB854" s="20" t="n"/>
      <c r="CC854" s="20" t="inlineStr">
        <is>
          <t>None</t>
        </is>
      </c>
      <c r="CD854" s="17" t="n"/>
      <c r="CE854" s="16" t="n"/>
      <c r="CF854" s="20" t="n"/>
      <c r="CG854" s="20" t="inlineStr">
        <is>
          <t>None</t>
        </is>
      </c>
      <c r="CH854" s="17" t="n"/>
      <c r="CI854" s="16" t="n"/>
      <c r="CJ854" s="20" t="n"/>
      <c r="CK854" s="20" t="inlineStr">
        <is>
          <t>None</t>
        </is>
      </c>
      <c r="CL854" s="17" t="n"/>
      <c r="CM854" s="16" t="n"/>
      <c r="CN854" s="20" t="inlineStr">
        <is>
          <t>SOP 45-34</t>
        </is>
      </c>
      <c r="CO854" s="20" t="inlineStr">
        <is>
          <t>None</t>
        </is>
      </c>
      <c r="CP854" s="17" t="n"/>
      <c r="CQ854" s="16" t="n"/>
      <c r="CR854" s="20" t="n"/>
      <c r="CS854" s="20" t="inlineStr">
        <is>
          <t>None</t>
        </is>
      </c>
      <c r="CT854" s="17" t="n"/>
      <c r="CU854" s="16" t="n"/>
      <c r="CV854" s="20" t="n"/>
      <c r="CW854" s="20" t="inlineStr">
        <is>
          <t>None</t>
        </is>
      </c>
      <c r="CX854" s="17" t="n"/>
      <c r="CY854" s="16" t="n"/>
      <c r="CZ854" s="20" t="inlineStr">
        <is>
          <t>WTW Multimeter 3430 with FDO 925</t>
        </is>
      </c>
      <c r="DA854" s="20" t="inlineStr">
        <is>
          <t>None</t>
        </is>
      </c>
      <c r="DB854" s="17" t="n"/>
      <c r="DC854" s="16" t="n"/>
      <c r="DD854" s="20" t="n"/>
      <c r="DE854" s="20" t="inlineStr">
        <is>
          <t>None</t>
        </is>
      </c>
      <c r="DF854" s="17" t="n"/>
      <c r="DG854" s="16" t="n"/>
      <c r="DH854" s="20" t="inlineStr">
        <is>
          <t>SOP 45-09</t>
        </is>
      </c>
      <c r="DI854" s="20" t="inlineStr">
        <is>
          <t>None</t>
        </is>
      </c>
      <c r="DJ854" s="17" t="n"/>
      <c r="DK854" s="16" t="n"/>
      <c r="DL854" s="20" t="inlineStr">
        <is>
          <t>SOP 45-09 (SOP muss noch angepasst werden für VSS)</t>
        </is>
      </c>
      <c r="DM854" s="20" t="inlineStr">
        <is>
          <t>None</t>
        </is>
      </c>
      <c r="DN854" s="17" t="n"/>
      <c r="DO854" s="16" t="n"/>
      <c r="DP854" s="20" t="inlineStr">
        <is>
          <t>IC Organic Acids</t>
        </is>
      </c>
      <c r="DQ854" s="20" t="inlineStr">
        <is>
          <t>None</t>
        </is>
      </c>
      <c r="DR854" s="17" t="n"/>
      <c r="DS854" s="16" t="n"/>
      <c r="DT854" s="20" t="inlineStr">
        <is>
          <t>IC Organic Acids</t>
        </is>
      </c>
      <c r="DU854" s="20" t="inlineStr">
        <is>
          <t>None</t>
        </is>
      </c>
      <c r="DV854" s="17" t="n"/>
      <c r="DW854" s="16" t="n"/>
      <c r="DX854" s="20" t="inlineStr">
        <is>
          <t>IC Organic Acids</t>
        </is>
      </c>
      <c r="DY854" s="20" t="inlineStr">
        <is>
          <t>None</t>
        </is>
      </c>
      <c r="DZ854" s="17" t="n"/>
      <c r="EA854" s="16" t="n"/>
      <c r="EB854" s="20" t="inlineStr">
        <is>
          <t>IC Organic Acids</t>
        </is>
      </c>
      <c r="EC854" s="20" t="inlineStr">
        <is>
          <t>None</t>
        </is>
      </c>
      <c r="ED854" s="17" t="n"/>
      <c r="EE854" s="16" t="n"/>
      <c r="EF854" s="20" t="inlineStr">
        <is>
          <t>IC Organic Acids</t>
        </is>
      </c>
      <c r="EG854" s="20" t="inlineStr">
        <is>
          <t>None</t>
        </is>
      </c>
      <c r="EH854" s="17" t="n"/>
      <c r="EI854" s="16" t="n"/>
      <c r="EJ854" s="20" t="inlineStr">
        <is>
          <t>IC Organic Acids</t>
        </is>
      </c>
      <c r="EK854" s="20" t="inlineStr">
        <is>
          <t>None</t>
        </is>
      </c>
      <c r="EL854" s="17" t="n"/>
      <c r="EM854" s="16" t="n"/>
      <c r="EN854" s="20" t="inlineStr">
        <is>
          <t>IC Organic Acids</t>
        </is>
      </c>
      <c r="EO854" s="20" t="inlineStr">
        <is>
          <t>None</t>
        </is>
      </c>
      <c r="EP854" s="17" t="n"/>
      <c r="EQ854" s="16" t="n"/>
      <c r="ER854" s="20" t="inlineStr">
        <is>
          <t>IC Organic Acids</t>
        </is>
      </c>
      <c r="ES854" s="20" t="inlineStr">
        <is>
          <t>None</t>
        </is>
      </c>
      <c r="ET854" s="17" t="n"/>
      <c r="EU854" s="16" t="n"/>
      <c r="EV854" s="20" t="inlineStr">
        <is>
          <t>LC-MS</t>
        </is>
      </c>
      <c r="EW854" s="20" t="inlineStr">
        <is>
          <t>None</t>
        </is>
      </c>
      <c r="EX854" s="17" t="n"/>
      <c r="EY854" s="21" t="n"/>
      <c r="EZ854">
        <f>CONCATENATE(A854,B854)</f>
        <v/>
      </c>
      <c r="FA854">
        <f>CONCATENATE(SamplesX!A854,SamplesX!B854)</f>
        <v/>
      </c>
      <c r="FC854">
        <f>MATCH(EZ854,FA1:FA1008,0)</f>
        <v/>
      </c>
    </row>
    <row r="855">
      <c r="A855" s="16" t="n"/>
      <c r="B855" s="17" t="n"/>
      <c r="C855" s="10">
        <f>IF(ISNUMBER(FC855),INDIRECT("SamplesX!C"&amp;FC855),IF(ISNUMBER(FD855),INDIRECT("SamplesY!C"&amp;FD855),""))</f>
        <v/>
      </c>
      <c r="D855" s="12">
        <f>IF(ISNUMBER(FC855),INDIRECT("SamplesX!D"&amp;FC855),IF(ISNUMBER(FD855),INDIRECT("SamplesY!D"&amp;FD855),""))</f>
        <v/>
      </c>
      <c r="E855" s="12">
        <f>IF(ISNUMBER(FC855),INDIRECT("SamplesX!E"&amp;FC855),IF(ISNUMBER(FD855),INDIRECT("SamplesY!E"&amp;FD855),""))</f>
        <v/>
      </c>
      <c r="F855" s="11">
        <f>IF(ISNUMBER(FC855),INDIRECT("SamplesX!F"&amp;FC855),IF(ISNUMBER(FD855),INDIRECT("SamplesY!F"&amp;FD855),""))</f>
        <v/>
      </c>
      <c r="G855" s="18">
        <f>IF(ISNUMBER(FC855),INDIRECT("SamplesX!G"&amp;FC855),IF(ISNUMBER(FD855),INDIRECT("SamplesY!G"&amp;FD855),""))</f>
        <v/>
      </c>
      <c r="H855" s="19">
        <f>IF(ISNUMBER(FC855),INDIRECT("SamplesX!H"&amp;FC855),IF(ISNUMBER(FD855),INDIRECT("SamplesY!H"&amp;FD855),""))</f>
        <v/>
      </c>
      <c r="I855" s="16" t="n"/>
      <c r="J855" s="16" t="n"/>
      <c r="K855" s="16" t="n"/>
      <c r="L855" s="20" t="n"/>
      <c r="M855" s="20" t="inlineStr">
        <is>
          <t>None</t>
        </is>
      </c>
      <c r="N855" s="17" t="n"/>
      <c r="O855" s="16" t="n"/>
      <c r="P855" s="20" t="inlineStr">
        <is>
          <t>Shimadzu TOC-L</t>
        </is>
      </c>
      <c r="Q855" s="20" t="inlineStr">
        <is>
          <t>None</t>
        </is>
      </c>
      <c r="R855" s="17" t="n"/>
      <c r="S855" s="16" t="n"/>
      <c r="T855" s="20" t="inlineStr">
        <is>
          <t>Shimadzu TOC-L</t>
        </is>
      </c>
      <c r="U855" s="20" t="inlineStr">
        <is>
          <t>None</t>
        </is>
      </c>
      <c r="V855" s="17" t="n"/>
      <c r="W855" s="16" t="n"/>
      <c r="X855" s="20" t="n"/>
      <c r="Y855" s="20" t="inlineStr">
        <is>
          <t>None</t>
        </is>
      </c>
      <c r="Z855" s="17" t="n"/>
      <c r="AA855" s="16" t="n"/>
      <c r="AB855" s="20" t="n"/>
      <c r="AC855" s="20" t="inlineStr">
        <is>
          <t>None</t>
        </is>
      </c>
      <c r="AD855" s="17" t="n"/>
      <c r="AE855" s="16" t="n"/>
      <c r="AF855" s="20" t="inlineStr">
        <is>
          <t>IC Anionen</t>
        </is>
      </c>
      <c r="AG855" s="20" t="inlineStr">
        <is>
          <t>None</t>
        </is>
      </c>
      <c r="AH855" s="17" t="n"/>
      <c r="AI855" s="16" t="n"/>
      <c r="AJ855" s="20" t="n"/>
      <c r="AK855" s="20" t="inlineStr">
        <is>
          <t>None</t>
        </is>
      </c>
      <c r="AL855" s="17" t="n"/>
      <c r="AM855" s="16" t="n"/>
      <c r="AN855" s="20" t="inlineStr">
        <is>
          <t>IC Anionen</t>
        </is>
      </c>
      <c r="AO855" s="20" t="inlineStr">
        <is>
          <t>None</t>
        </is>
      </c>
      <c r="AP855" s="17" t="n"/>
      <c r="AQ855" s="16" t="n"/>
      <c r="AR855" s="20" t="n"/>
      <c r="AS855" s="20" t="inlineStr">
        <is>
          <t>None</t>
        </is>
      </c>
      <c r="AT855" s="17" t="n"/>
      <c r="AU855" s="16" t="n"/>
      <c r="AV855" s="20" t="n"/>
      <c r="AW855" s="20" t="inlineStr">
        <is>
          <t>None</t>
        </is>
      </c>
      <c r="AX855" s="17" t="n"/>
      <c r="AY855" s="16" t="n"/>
      <c r="AZ855" s="20" t="inlineStr">
        <is>
          <t>IC Anionen</t>
        </is>
      </c>
      <c r="BA855" s="20" t="inlineStr">
        <is>
          <t>None</t>
        </is>
      </c>
      <c r="BB855" s="17" t="n"/>
      <c r="BC855" s="16" t="n"/>
      <c r="BD855" s="20" t="inlineStr">
        <is>
          <t>IC Kationen</t>
        </is>
      </c>
      <c r="BE855" s="20" t="inlineStr">
        <is>
          <t>None</t>
        </is>
      </c>
      <c r="BF855" s="17" t="n"/>
      <c r="BG855" s="16" t="n"/>
      <c r="BH855" s="20" t="inlineStr">
        <is>
          <t>IC Kationen</t>
        </is>
      </c>
      <c r="BI855" s="20" t="inlineStr">
        <is>
          <t>None</t>
        </is>
      </c>
      <c r="BJ855" s="17" t="n"/>
      <c r="BK855" s="16" t="n"/>
      <c r="BL855" s="20" t="inlineStr">
        <is>
          <t>IC Kationen</t>
        </is>
      </c>
      <c r="BM855" s="20" t="inlineStr">
        <is>
          <t>None</t>
        </is>
      </c>
      <c r="BN855" s="17" t="n"/>
      <c r="BO855" s="16" t="n"/>
      <c r="BP855" s="20" t="inlineStr">
        <is>
          <t>IC Kationen</t>
        </is>
      </c>
      <c r="BQ855" s="20" t="inlineStr">
        <is>
          <t>None</t>
        </is>
      </c>
      <c r="BR855" s="17" t="n"/>
      <c r="BS855" s="16" t="n"/>
      <c r="BT855" s="20" t="inlineStr">
        <is>
          <t>IC Kationen</t>
        </is>
      </c>
      <c r="BU855" s="20" t="inlineStr">
        <is>
          <t>None</t>
        </is>
      </c>
      <c r="BV855" s="17" t="n"/>
      <c r="BW855" s="16" t="n"/>
      <c r="BX855" s="20" t="n"/>
      <c r="BY855" s="20" t="inlineStr">
        <is>
          <t>None</t>
        </is>
      </c>
      <c r="BZ855" s="17" t="n"/>
      <c r="CA855" s="16" t="n"/>
      <c r="CB855" s="20" t="n"/>
      <c r="CC855" s="20" t="inlineStr">
        <is>
          <t>None</t>
        </is>
      </c>
      <c r="CD855" s="17" t="n"/>
      <c r="CE855" s="16" t="n"/>
      <c r="CF855" s="20" t="n"/>
      <c r="CG855" s="20" t="inlineStr">
        <is>
          <t>None</t>
        </is>
      </c>
      <c r="CH855" s="17" t="n"/>
      <c r="CI855" s="16" t="n"/>
      <c r="CJ855" s="20" t="n"/>
      <c r="CK855" s="20" t="inlineStr">
        <is>
          <t>None</t>
        </is>
      </c>
      <c r="CL855" s="17" t="n"/>
      <c r="CM855" s="16" t="n"/>
      <c r="CN855" s="20" t="inlineStr">
        <is>
          <t>SOP 45-34</t>
        </is>
      </c>
      <c r="CO855" s="20" t="inlineStr">
        <is>
          <t>None</t>
        </is>
      </c>
      <c r="CP855" s="17" t="n"/>
      <c r="CQ855" s="16" t="n"/>
      <c r="CR855" s="20" t="n"/>
      <c r="CS855" s="20" t="inlineStr">
        <is>
          <t>None</t>
        </is>
      </c>
      <c r="CT855" s="17" t="n"/>
      <c r="CU855" s="16" t="n"/>
      <c r="CV855" s="20" t="n"/>
      <c r="CW855" s="20" t="inlineStr">
        <is>
          <t>None</t>
        </is>
      </c>
      <c r="CX855" s="17" t="n"/>
      <c r="CY855" s="16" t="n"/>
      <c r="CZ855" s="20" t="inlineStr">
        <is>
          <t>WTW Multimeter 3430 with FDO 925</t>
        </is>
      </c>
      <c r="DA855" s="20" t="inlineStr">
        <is>
          <t>None</t>
        </is>
      </c>
      <c r="DB855" s="17" t="n"/>
      <c r="DC855" s="16" t="n"/>
      <c r="DD855" s="20" t="n"/>
      <c r="DE855" s="20" t="inlineStr">
        <is>
          <t>None</t>
        </is>
      </c>
      <c r="DF855" s="17" t="n"/>
      <c r="DG855" s="16" t="n"/>
      <c r="DH855" s="20" t="inlineStr">
        <is>
          <t>SOP 45-09</t>
        </is>
      </c>
      <c r="DI855" s="20" t="inlineStr">
        <is>
          <t>None</t>
        </is>
      </c>
      <c r="DJ855" s="17" t="n"/>
      <c r="DK855" s="16" t="n"/>
      <c r="DL855" s="20" t="inlineStr">
        <is>
          <t>SOP 45-09 (SOP muss noch angepasst werden für VSS)</t>
        </is>
      </c>
      <c r="DM855" s="20" t="inlineStr">
        <is>
          <t>None</t>
        </is>
      </c>
      <c r="DN855" s="17" t="n"/>
      <c r="DO855" s="16" t="n"/>
      <c r="DP855" s="20" t="inlineStr">
        <is>
          <t>IC Organic Acids</t>
        </is>
      </c>
      <c r="DQ855" s="20" t="inlineStr">
        <is>
          <t>None</t>
        </is>
      </c>
      <c r="DR855" s="17" t="n"/>
      <c r="DS855" s="16" t="n"/>
      <c r="DT855" s="20" t="inlineStr">
        <is>
          <t>IC Organic Acids</t>
        </is>
      </c>
      <c r="DU855" s="20" t="inlineStr">
        <is>
          <t>None</t>
        </is>
      </c>
      <c r="DV855" s="17" t="n"/>
      <c r="DW855" s="16" t="n"/>
      <c r="DX855" s="20" t="inlineStr">
        <is>
          <t>IC Organic Acids</t>
        </is>
      </c>
      <c r="DY855" s="20" t="inlineStr">
        <is>
          <t>None</t>
        </is>
      </c>
      <c r="DZ855" s="17" t="n"/>
      <c r="EA855" s="16" t="n"/>
      <c r="EB855" s="20" t="inlineStr">
        <is>
          <t>IC Organic Acids</t>
        </is>
      </c>
      <c r="EC855" s="20" t="inlineStr">
        <is>
          <t>None</t>
        </is>
      </c>
      <c r="ED855" s="17" t="n"/>
      <c r="EE855" s="16" t="n"/>
      <c r="EF855" s="20" t="inlineStr">
        <is>
          <t>IC Organic Acids</t>
        </is>
      </c>
      <c r="EG855" s="20" t="inlineStr">
        <is>
          <t>None</t>
        </is>
      </c>
      <c r="EH855" s="17" t="n"/>
      <c r="EI855" s="16" t="n"/>
      <c r="EJ855" s="20" t="inlineStr">
        <is>
          <t>IC Organic Acids</t>
        </is>
      </c>
      <c r="EK855" s="20" t="inlineStr">
        <is>
          <t>None</t>
        </is>
      </c>
      <c r="EL855" s="17" t="n"/>
      <c r="EM855" s="16" t="n"/>
      <c r="EN855" s="20" t="inlineStr">
        <is>
          <t>IC Organic Acids</t>
        </is>
      </c>
      <c r="EO855" s="20" t="inlineStr">
        <is>
          <t>None</t>
        </is>
      </c>
      <c r="EP855" s="17" t="n"/>
      <c r="EQ855" s="16" t="n"/>
      <c r="ER855" s="20" t="inlineStr">
        <is>
          <t>IC Organic Acids</t>
        </is>
      </c>
      <c r="ES855" s="20" t="inlineStr">
        <is>
          <t>None</t>
        </is>
      </c>
      <c r="ET855" s="17" t="n"/>
      <c r="EU855" s="16" t="n"/>
      <c r="EV855" s="20" t="inlineStr">
        <is>
          <t>LC-MS</t>
        </is>
      </c>
      <c r="EW855" s="20" t="inlineStr">
        <is>
          <t>None</t>
        </is>
      </c>
      <c r="EX855" s="17" t="n"/>
      <c r="EY855" s="21" t="n"/>
      <c r="EZ855">
        <f>CONCATENATE(A855,B855)</f>
        <v/>
      </c>
      <c r="FA855">
        <f>CONCATENATE(SamplesX!A855,SamplesX!B855)</f>
        <v/>
      </c>
      <c r="FC855">
        <f>MATCH(EZ855,FA1:FA1008,0)</f>
        <v/>
      </c>
    </row>
    <row r="856">
      <c r="A856" s="16" t="n"/>
      <c r="B856" s="17" t="n"/>
      <c r="C856" s="10">
        <f>IF(ISNUMBER(FC856),INDIRECT("SamplesX!C"&amp;FC856),IF(ISNUMBER(FD856),INDIRECT("SamplesY!C"&amp;FD856),""))</f>
        <v/>
      </c>
      <c r="D856" s="12">
        <f>IF(ISNUMBER(FC856),INDIRECT("SamplesX!D"&amp;FC856),IF(ISNUMBER(FD856),INDIRECT("SamplesY!D"&amp;FD856),""))</f>
        <v/>
      </c>
      <c r="E856" s="12">
        <f>IF(ISNUMBER(FC856),INDIRECT("SamplesX!E"&amp;FC856),IF(ISNUMBER(FD856),INDIRECT("SamplesY!E"&amp;FD856),""))</f>
        <v/>
      </c>
      <c r="F856" s="11">
        <f>IF(ISNUMBER(FC856),INDIRECT("SamplesX!F"&amp;FC856),IF(ISNUMBER(FD856),INDIRECT("SamplesY!F"&amp;FD856),""))</f>
        <v/>
      </c>
      <c r="G856" s="18">
        <f>IF(ISNUMBER(FC856),INDIRECT("SamplesX!G"&amp;FC856),IF(ISNUMBER(FD856),INDIRECT("SamplesY!G"&amp;FD856),""))</f>
        <v/>
      </c>
      <c r="H856" s="19">
        <f>IF(ISNUMBER(FC856),INDIRECT("SamplesX!H"&amp;FC856),IF(ISNUMBER(FD856),INDIRECT("SamplesY!H"&amp;FD856),""))</f>
        <v/>
      </c>
      <c r="I856" s="16" t="n"/>
      <c r="J856" s="16" t="n"/>
      <c r="K856" s="16" t="n"/>
      <c r="L856" s="20" t="n"/>
      <c r="M856" s="20" t="inlineStr">
        <is>
          <t>None</t>
        </is>
      </c>
      <c r="N856" s="17" t="n"/>
      <c r="O856" s="16" t="n"/>
      <c r="P856" s="20" t="inlineStr">
        <is>
          <t>Shimadzu TOC-L</t>
        </is>
      </c>
      <c r="Q856" s="20" t="inlineStr">
        <is>
          <t>None</t>
        </is>
      </c>
      <c r="R856" s="17" t="n"/>
      <c r="S856" s="16" t="n"/>
      <c r="T856" s="20" t="inlineStr">
        <is>
          <t>Shimadzu TOC-L</t>
        </is>
      </c>
      <c r="U856" s="20" t="inlineStr">
        <is>
          <t>None</t>
        </is>
      </c>
      <c r="V856" s="17" t="n"/>
      <c r="W856" s="16" t="n"/>
      <c r="X856" s="20" t="n"/>
      <c r="Y856" s="20" t="inlineStr">
        <is>
          <t>None</t>
        </is>
      </c>
      <c r="Z856" s="17" t="n"/>
      <c r="AA856" s="16" t="n"/>
      <c r="AB856" s="20" t="n"/>
      <c r="AC856" s="20" t="inlineStr">
        <is>
          <t>None</t>
        </is>
      </c>
      <c r="AD856" s="17" t="n"/>
      <c r="AE856" s="16" t="n"/>
      <c r="AF856" s="20" t="inlineStr">
        <is>
          <t>IC Anionen</t>
        </is>
      </c>
      <c r="AG856" s="20" t="inlineStr">
        <is>
          <t>None</t>
        </is>
      </c>
      <c r="AH856" s="17" t="n"/>
      <c r="AI856" s="16" t="n"/>
      <c r="AJ856" s="20" t="n"/>
      <c r="AK856" s="20" t="inlineStr">
        <is>
          <t>None</t>
        </is>
      </c>
      <c r="AL856" s="17" t="n"/>
      <c r="AM856" s="16" t="n"/>
      <c r="AN856" s="20" t="inlineStr">
        <is>
          <t>IC Anionen</t>
        </is>
      </c>
      <c r="AO856" s="20" t="inlineStr">
        <is>
          <t>None</t>
        </is>
      </c>
      <c r="AP856" s="17" t="n"/>
      <c r="AQ856" s="16" t="n"/>
      <c r="AR856" s="20" t="n"/>
      <c r="AS856" s="20" t="inlineStr">
        <is>
          <t>None</t>
        </is>
      </c>
      <c r="AT856" s="17" t="n"/>
      <c r="AU856" s="16" t="n"/>
      <c r="AV856" s="20" t="n"/>
      <c r="AW856" s="20" t="inlineStr">
        <is>
          <t>None</t>
        </is>
      </c>
      <c r="AX856" s="17" t="n"/>
      <c r="AY856" s="16" t="n"/>
      <c r="AZ856" s="20" t="inlineStr">
        <is>
          <t>IC Anionen</t>
        </is>
      </c>
      <c r="BA856" s="20" t="inlineStr">
        <is>
          <t>None</t>
        </is>
      </c>
      <c r="BB856" s="17" t="n"/>
      <c r="BC856" s="16" t="n"/>
      <c r="BD856" s="20" t="inlineStr">
        <is>
          <t>IC Kationen</t>
        </is>
      </c>
      <c r="BE856" s="20" t="inlineStr">
        <is>
          <t>None</t>
        </is>
      </c>
      <c r="BF856" s="17" t="n"/>
      <c r="BG856" s="16" t="n"/>
      <c r="BH856" s="20" t="inlineStr">
        <is>
          <t>IC Kationen</t>
        </is>
      </c>
      <c r="BI856" s="20" t="inlineStr">
        <is>
          <t>None</t>
        </is>
      </c>
      <c r="BJ856" s="17" t="n"/>
      <c r="BK856" s="16" t="n"/>
      <c r="BL856" s="20" t="inlineStr">
        <is>
          <t>IC Kationen</t>
        </is>
      </c>
      <c r="BM856" s="20" t="inlineStr">
        <is>
          <t>None</t>
        </is>
      </c>
      <c r="BN856" s="17" t="n"/>
      <c r="BO856" s="16" t="n"/>
      <c r="BP856" s="20" t="inlineStr">
        <is>
          <t>IC Kationen</t>
        </is>
      </c>
      <c r="BQ856" s="20" t="inlineStr">
        <is>
          <t>None</t>
        </is>
      </c>
      <c r="BR856" s="17" t="n"/>
      <c r="BS856" s="16" t="n"/>
      <c r="BT856" s="20" t="inlineStr">
        <is>
          <t>IC Kationen</t>
        </is>
      </c>
      <c r="BU856" s="20" t="inlineStr">
        <is>
          <t>None</t>
        </is>
      </c>
      <c r="BV856" s="17" t="n"/>
      <c r="BW856" s="16" t="n"/>
      <c r="BX856" s="20" t="n"/>
      <c r="BY856" s="20" t="inlineStr">
        <is>
          <t>None</t>
        </is>
      </c>
      <c r="BZ856" s="17" t="n"/>
      <c r="CA856" s="16" t="n"/>
      <c r="CB856" s="20" t="n"/>
      <c r="CC856" s="20" t="inlineStr">
        <is>
          <t>None</t>
        </is>
      </c>
      <c r="CD856" s="17" t="n"/>
      <c r="CE856" s="16" t="n"/>
      <c r="CF856" s="20" t="n"/>
      <c r="CG856" s="20" t="inlineStr">
        <is>
          <t>None</t>
        </is>
      </c>
      <c r="CH856" s="17" t="n"/>
      <c r="CI856" s="16" t="n"/>
      <c r="CJ856" s="20" t="n"/>
      <c r="CK856" s="20" t="inlineStr">
        <is>
          <t>None</t>
        </is>
      </c>
      <c r="CL856" s="17" t="n"/>
      <c r="CM856" s="16" t="n"/>
      <c r="CN856" s="20" t="inlineStr">
        <is>
          <t>SOP 45-34</t>
        </is>
      </c>
      <c r="CO856" s="20" t="inlineStr">
        <is>
          <t>None</t>
        </is>
      </c>
      <c r="CP856" s="17" t="n"/>
      <c r="CQ856" s="16" t="n"/>
      <c r="CR856" s="20" t="n"/>
      <c r="CS856" s="20" t="inlineStr">
        <is>
          <t>None</t>
        </is>
      </c>
      <c r="CT856" s="17" t="n"/>
      <c r="CU856" s="16" t="n"/>
      <c r="CV856" s="20" t="n"/>
      <c r="CW856" s="20" t="inlineStr">
        <is>
          <t>None</t>
        </is>
      </c>
      <c r="CX856" s="17" t="n"/>
      <c r="CY856" s="16" t="n"/>
      <c r="CZ856" s="20" t="inlineStr">
        <is>
          <t>WTW Multimeter 3430 with FDO 925</t>
        </is>
      </c>
      <c r="DA856" s="20" t="inlineStr">
        <is>
          <t>None</t>
        </is>
      </c>
      <c r="DB856" s="17" t="n"/>
      <c r="DC856" s="16" t="n"/>
      <c r="DD856" s="20" t="n"/>
      <c r="DE856" s="20" t="inlineStr">
        <is>
          <t>None</t>
        </is>
      </c>
      <c r="DF856" s="17" t="n"/>
      <c r="DG856" s="16" t="n"/>
      <c r="DH856" s="20" t="inlineStr">
        <is>
          <t>SOP 45-09</t>
        </is>
      </c>
      <c r="DI856" s="20" t="inlineStr">
        <is>
          <t>None</t>
        </is>
      </c>
      <c r="DJ856" s="17" t="n"/>
      <c r="DK856" s="16" t="n"/>
      <c r="DL856" s="20" t="inlineStr">
        <is>
          <t>SOP 45-09 (SOP muss noch angepasst werden für VSS)</t>
        </is>
      </c>
      <c r="DM856" s="20" t="inlineStr">
        <is>
          <t>None</t>
        </is>
      </c>
      <c r="DN856" s="17" t="n"/>
      <c r="DO856" s="16" t="n"/>
      <c r="DP856" s="20" t="inlineStr">
        <is>
          <t>IC Organic Acids</t>
        </is>
      </c>
      <c r="DQ856" s="20" t="inlineStr">
        <is>
          <t>None</t>
        </is>
      </c>
      <c r="DR856" s="17" t="n"/>
      <c r="DS856" s="16" t="n"/>
      <c r="DT856" s="20" t="inlineStr">
        <is>
          <t>IC Organic Acids</t>
        </is>
      </c>
      <c r="DU856" s="20" t="inlineStr">
        <is>
          <t>None</t>
        </is>
      </c>
      <c r="DV856" s="17" t="n"/>
      <c r="DW856" s="16" t="n"/>
      <c r="DX856" s="20" t="inlineStr">
        <is>
          <t>IC Organic Acids</t>
        </is>
      </c>
      <c r="DY856" s="20" t="inlineStr">
        <is>
          <t>None</t>
        </is>
      </c>
      <c r="DZ856" s="17" t="n"/>
      <c r="EA856" s="16" t="n"/>
      <c r="EB856" s="20" t="inlineStr">
        <is>
          <t>IC Organic Acids</t>
        </is>
      </c>
      <c r="EC856" s="20" t="inlineStr">
        <is>
          <t>None</t>
        </is>
      </c>
      <c r="ED856" s="17" t="n"/>
      <c r="EE856" s="16" t="n"/>
      <c r="EF856" s="20" t="inlineStr">
        <is>
          <t>IC Organic Acids</t>
        </is>
      </c>
      <c r="EG856" s="20" t="inlineStr">
        <is>
          <t>None</t>
        </is>
      </c>
      <c r="EH856" s="17" t="n"/>
      <c r="EI856" s="16" t="n"/>
      <c r="EJ856" s="20" t="inlineStr">
        <is>
          <t>IC Organic Acids</t>
        </is>
      </c>
      <c r="EK856" s="20" t="inlineStr">
        <is>
          <t>None</t>
        </is>
      </c>
      <c r="EL856" s="17" t="n"/>
      <c r="EM856" s="16" t="n"/>
      <c r="EN856" s="20" t="inlineStr">
        <is>
          <t>IC Organic Acids</t>
        </is>
      </c>
      <c r="EO856" s="20" t="inlineStr">
        <is>
          <t>None</t>
        </is>
      </c>
      <c r="EP856" s="17" t="n"/>
      <c r="EQ856" s="16" t="n"/>
      <c r="ER856" s="20" t="inlineStr">
        <is>
          <t>IC Organic Acids</t>
        </is>
      </c>
      <c r="ES856" s="20" t="inlineStr">
        <is>
          <t>None</t>
        </is>
      </c>
      <c r="ET856" s="17" t="n"/>
      <c r="EU856" s="16" t="n"/>
      <c r="EV856" s="20" t="inlineStr">
        <is>
          <t>LC-MS</t>
        </is>
      </c>
      <c r="EW856" s="20" t="inlineStr">
        <is>
          <t>None</t>
        </is>
      </c>
      <c r="EX856" s="17" t="n"/>
      <c r="EY856" s="21" t="n"/>
      <c r="EZ856">
        <f>CONCATENATE(A856,B856)</f>
        <v/>
      </c>
      <c r="FA856">
        <f>CONCATENATE(SamplesX!A856,SamplesX!B856)</f>
        <v/>
      </c>
      <c r="FC856">
        <f>MATCH(EZ856,FA1:FA1008,0)</f>
        <v/>
      </c>
    </row>
    <row r="857">
      <c r="A857" s="16" t="n"/>
      <c r="B857" s="17" t="n"/>
      <c r="C857" s="10">
        <f>IF(ISNUMBER(FC857),INDIRECT("SamplesX!C"&amp;FC857),IF(ISNUMBER(FD857),INDIRECT("SamplesY!C"&amp;FD857),""))</f>
        <v/>
      </c>
      <c r="D857" s="12">
        <f>IF(ISNUMBER(FC857),INDIRECT("SamplesX!D"&amp;FC857),IF(ISNUMBER(FD857),INDIRECT("SamplesY!D"&amp;FD857),""))</f>
        <v/>
      </c>
      <c r="E857" s="12">
        <f>IF(ISNUMBER(FC857),INDIRECT("SamplesX!E"&amp;FC857),IF(ISNUMBER(FD857),INDIRECT("SamplesY!E"&amp;FD857),""))</f>
        <v/>
      </c>
      <c r="F857" s="11">
        <f>IF(ISNUMBER(FC857),INDIRECT("SamplesX!F"&amp;FC857),IF(ISNUMBER(FD857),INDIRECT("SamplesY!F"&amp;FD857),""))</f>
        <v/>
      </c>
      <c r="G857" s="18">
        <f>IF(ISNUMBER(FC857),INDIRECT("SamplesX!G"&amp;FC857),IF(ISNUMBER(FD857),INDIRECT("SamplesY!G"&amp;FD857),""))</f>
        <v/>
      </c>
      <c r="H857" s="19">
        <f>IF(ISNUMBER(FC857),INDIRECT("SamplesX!H"&amp;FC857),IF(ISNUMBER(FD857),INDIRECT("SamplesY!H"&amp;FD857),""))</f>
        <v/>
      </c>
      <c r="I857" s="16" t="n"/>
      <c r="J857" s="16" t="n"/>
      <c r="K857" s="16" t="n"/>
      <c r="L857" s="20" t="n"/>
      <c r="M857" s="20" t="inlineStr">
        <is>
          <t>None</t>
        </is>
      </c>
      <c r="N857" s="17" t="n"/>
      <c r="O857" s="16" t="n"/>
      <c r="P857" s="20" t="inlineStr">
        <is>
          <t>Shimadzu TOC-L</t>
        </is>
      </c>
      <c r="Q857" s="20" t="inlineStr">
        <is>
          <t>None</t>
        </is>
      </c>
      <c r="R857" s="17" t="n"/>
      <c r="S857" s="16" t="n"/>
      <c r="T857" s="20" t="inlineStr">
        <is>
          <t>Shimadzu TOC-L</t>
        </is>
      </c>
      <c r="U857" s="20" t="inlineStr">
        <is>
          <t>None</t>
        </is>
      </c>
      <c r="V857" s="17" t="n"/>
      <c r="W857" s="16" t="n"/>
      <c r="X857" s="20" t="n"/>
      <c r="Y857" s="20" t="inlineStr">
        <is>
          <t>None</t>
        </is>
      </c>
      <c r="Z857" s="17" t="n"/>
      <c r="AA857" s="16" t="n"/>
      <c r="AB857" s="20" t="n"/>
      <c r="AC857" s="20" t="inlineStr">
        <is>
          <t>None</t>
        </is>
      </c>
      <c r="AD857" s="17" t="n"/>
      <c r="AE857" s="16" t="n"/>
      <c r="AF857" s="20" t="inlineStr">
        <is>
          <t>IC Anionen</t>
        </is>
      </c>
      <c r="AG857" s="20" t="inlineStr">
        <is>
          <t>None</t>
        </is>
      </c>
      <c r="AH857" s="17" t="n"/>
      <c r="AI857" s="16" t="n"/>
      <c r="AJ857" s="20" t="n"/>
      <c r="AK857" s="20" t="inlineStr">
        <is>
          <t>None</t>
        </is>
      </c>
      <c r="AL857" s="17" t="n"/>
      <c r="AM857" s="16" t="n"/>
      <c r="AN857" s="20" t="inlineStr">
        <is>
          <t>IC Anionen</t>
        </is>
      </c>
      <c r="AO857" s="20" t="inlineStr">
        <is>
          <t>None</t>
        </is>
      </c>
      <c r="AP857" s="17" t="n"/>
      <c r="AQ857" s="16" t="n"/>
      <c r="AR857" s="20" t="n"/>
      <c r="AS857" s="20" t="inlineStr">
        <is>
          <t>None</t>
        </is>
      </c>
      <c r="AT857" s="17" t="n"/>
      <c r="AU857" s="16" t="n"/>
      <c r="AV857" s="20" t="n"/>
      <c r="AW857" s="20" t="inlineStr">
        <is>
          <t>None</t>
        </is>
      </c>
      <c r="AX857" s="17" t="n"/>
      <c r="AY857" s="16" t="n"/>
      <c r="AZ857" s="20" t="inlineStr">
        <is>
          <t>IC Anionen</t>
        </is>
      </c>
      <c r="BA857" s="20" t="inlineStr">
        <is>
          <t>None</t>
        </is>
      </c>
      <c r="BB857" s="17" t="n"/>
      <c r="BC857" s="16" t="n"/>
      <c r="BD857" s="20" t="inlineStr">
        <is>
          <t>IC Kationen</t>
        </is>
      </c>
      <c r="BE857" s="20" t="inlineStr">
        <is>
          <t>None</t>
        </is>
      </c>
      <c r="BF857" s="17" t="n"/>
      <c r="BG857" s="16" t="n"/>
      <c r="BH857" s="20" t="inlineStr">
        <is>
          <t>IC Kationen</t>
        </is>
      </c>
      <c r="BI857" s="20" t="inlineStr">
        <is>
          <t>None</t>
        </is>
      </c>
      <c r="BJ857" s="17" t="n"/>
      <c r="BK857" s="16" t="n"/>
      <c r="BL857" s="20" t="inlineStr">
        <is>
          <t>IC Kationen</t>
        </is>
      </c>
      <c r="BM857" s="20" t="inlineStr">
        <is>
          <t>None</t>
        </is>
      </c>
      <c r="BN857" s="17" t="n"/>
      <c r="BO857" s="16" t="n"/>
      <c r="BP857" s="20" t="inlineStr">
        <is>
          <t>IC Kationen</t>
        </is>
      </c>
      <c r="BQ857" s="20" t="inlineStr">
        <is>
          <t>None</t>
        </is>
      </c>
      <c r="BR857" s="17" t="n"/>
      <c r="BS857" s="16" t="n"/>
      <c r="BT857" s="20" t="inlineStr">
        <is>
          <t>IC Kationen</t>
        </is>
      </c>
      <c r="BU857" s="20" t="inlineStr">
        <is>
          <t>None</t>
        </is>
      </c>
      <c r="BV857" s="17" t="n"/>
      <c r="BW857" s="16" t="n"/>
      <c r="BX857" s="20" t="n"/>
      <c r="BY857" s="20" t="inlineStr">
        <is>
          <t>None</t>
        </is>
      </c>
      <c r="BZ857" s="17" t="n"/>
      <c r="CA857" s="16" t="n"/>
      <c r="CB857" s="20" t="n"/>
      <c r="CC857" s="20" t="inlineStr">
        <is>
          <t>None</t>
        </is>
      </c>
      <c r="CD857" s="17" t="n"/>
      <c r="CE857" s="16" t="n"/>
      <c r="CF857" s="20" t="n"/>
      <c r="CG857" s="20" t="inlineStr">
        <is>
          <t>None</t>
        </is>
      </c>
      <c r="CH857" s="17" t="n"/>
      <c r="CI857" s="16" t="n"/>
      <c r="CJ857" s="20" t="n"/>
      <c r="CK857" s="20" t="inlineStr">
        <is>
          <t>None</t>
        </is>
      </c>
      <c r="CL857" s="17" t="n"/>
      <c r="CM857" s="16" t="n"/>
      <c r="CN857" s="20" t="inlineStr">
        <is>
          <t>SOP 45-34</t>
        </is>
      </c>
      <c r="CO857" s="20" t="inlineStr">
        <is>
          <t>None</t>
        </is>
      </c>
      <c r="CP857" s="17" t="n"/>
      <c r="CQ857" s="16" t="n"/>
      <c r="CR857" s="20" t="n"/>
      <c r="CS857" s="20" t="inlineStr">
        <is>
          <t>None</t>
        </is>
      </c>
      <c r="CT857" s="17" t="n"/>
      <c r="CU857" s="16" t="n"/>
      <c r="CV857" s="20" t="n"/>
      <c r="CW857" s="20" t="inlineStr">
        <is>
          <t>None</t>
        </is>
      </c>
      <c r="CX857" s="17" t="n"/>
      <c r="CY857" s="16" t="n"/>
      <c r="CZ857" s="20" t="inlineStr">
        <is>
          <t>WTW Multimeter 3430 with FDO 925</t>
        </is>
      </c>
      <c r="DA857" s="20" t="inlineStr">
        <is>
          <t>None</t>
        </is>
      </c>
      <c r="DB857" s="17" t="n"/>
      <c r="DC857" s="16" t="n"/>
      <c r="DD857" s="20" t="n"/>
      <c r="DE857" s="20" t="inlineStr">
        <is>
          <t>None</t>
        </is>
      </c>
      <c r="DF857" s="17" t="n"/>
      <c r="DG857" s="16" t="n"/>
      <c r="DH857" s="20" t="inlineStr">
        <is>
          <t>SOP 45-09</t>
        </is>
      </c>
      <c r="DI857" s="20" t="inlineStr">
        <is>
          <t>None</t>
        </is>
      </c>
      <c r="DJ857" s="17" t="n"/>
      <c r="DK857" s="16" t="n"/>
      <c r="DL857" s="20" t="inlineStr">
        <is>
          <t>SOP 45-09 (SOP muss noch angepasst werden für VSS)</t>
        </is>
      </c>
      <c r="DM857" s="20" t="inlineStr">
        <is>
          <t>None</t>
        </is>
      </c>
      <c r="DN857" s="17" t="n"/>
      <c r="DO857" s="16" t="n"/>
      <c r="DP857" s="20" t="inlineStr">
        <is>
          <t>IC Organic Acids</t>
        </is>
      </c>
      <c r="DQ857" s="20" t="inlineStr">
        <is>
          <t>None</t>
        </is>
      </c>
      <c r="DR857" s="17" t="n"/>
      <c r="DS857" s="16" t="n"/>
      <c r="DT857" s="20" t="inlineStr">
        <is>
          <t>IC Organic Acids</t>
        </is>
      </c>
      <c r="DU857" s="20" t="inlineStr">
        <is>
          <t>None</t>
        </is>
      </c>
      <c r="DV857" s="17" t="n"/>
      <c r="DW857" s="16" t="n"/>
      <c r="DX857" s="20" t="inlineStr">
        <is>
          <t>IC Organic Acids</t>
        </is>
      </c>
      <c r="DY857" s="20" t="inlineStr">
        <is>
          <t>None</t>
        </is>
      </c>
      <c r="DZ857" s="17" t="n"/>
      <c r="EA857" s="16" t="n"/>
      <c r="EB857" s="20" t="inlineStr">
        <is>
          <t>IC Organic Acids</t>
        </is>
      </c>
      <c r="EC857" s="20" t="inlineStr">
        <is>
          <t>None</t>
        </is>
      </c>
      <c r="ED857" s="17" t="n"/>
      <c r="EE857" s="16" t="n"/>
      <c r="EF857" s="20" t="inlineStr">
        <is>
          <t>IC Organic Acids</t>
        </is>
      </c>
      <c r="EG857" s="20" t="inlineStr">
        <is>
          <t>None</t>
        </is>
      </c>
      <c r="EH857" s="17" t="n"/>
      <c r="EI857" s="16" t="n"/>
      <c r="EJ857" s="20" t="inlineStr">
        <is>
          <t>IC Organic Acids</t>
        </is>
      </c>
      <c r="EK857" s="20" t="inlineStr">
        <is>
          <t>None</t>
        </is>
      </c>
      <c r="EL857" s="17" t="n"/>
      <c r="EM857" s="16" t="n"/>
      <c r="EN857" s="20" t="inlineStr">
        <is>
          <t>IC Organic Acids</t>
        </is>
      </c>
      <c r="EO857" s="20" t="inlineStr">
        <is>
          <t>None</t>
        </is>
      </c>
      <c r="EP857" s="17" t="n"/>
      <c r="EQ857" s="16" t="n"/>
      <c r="ER857" s="20" t="inlineStr">
        <is>
          <t>IC Organic Acids</t>
        </is>
      </c>
      <c r="ES857" s="20" t="inlineStr">
        <is>
          <t>None</t>
        </is>
      </c>
      <c r="ET857" s="17" t="n"/>
      <c r="EU857" s="16" t="n"/>
      <c r="EV857" s="20" t="inlineStr">
        <is>
          <t>LC-MS</t>
        </is>
      </c>
      <c r="EW857" s="20" t="inlineStr">
        <is>
          <t>None</t>
        </is>
      </c>
      <c r="EX857" s="17" t="n"/>
      <c r="EY857" s="21" t="n"/>
      <c r="EZ857">
        <f>CONCATENATE(A857,B857)</f>
        <v/>
      </c>
      <c r="FA857">
        <f>CONCATENATE(SamplesX!A857,SamplesX!B857)</f>
        <v/>
      </c>
      <c r="FC857">
        <f>MATCH(EZ857,FA1:FA1008,0)</f>
        <v/>
      </c>
    </row>
    <row r="858">
      <c r="A858" s="16" t="n"/>
      <c r="B858" s="17" t="n"/>
      <c r="C858" s="10">
        <f>IF(ISNUMBER(FC858),INDIRECT("SamplesX!C"&amp;FC858),IF(ISNUMBER(FD858),INDIRECT("SamplesY!C"&amp;FD858),""))</f>
        <v/>
      </c>
      <c r="D858" s="12">
        <f>IF(ISNUMBER(FC858),INDIRECT("SamplesX!D"&amp;FC858),IF(ISNUMBER(FD858),INDIRECT("SamplesY!D"&amp;FD858),""))</f>
        <v/>
      </c>
      <c r="E858" s="12">
        <f>IF(ISNUMBER(FC858),INDIRECT("SamplesX!E"&amp;FC858),IF(ISNUMBER(FD858),INDIRECT("SamplesY!E"&amp;FD858),""))</f>
        <v/>
      </c>
      <c r="F858" s="11">
        <f>IF(ISNUMBER(FC858),INDIRECT("SamplesX!F"&amp;FC858),IF(ISNUMBER(FD858),INDIRECT("SamplesY!F"&amp;FD858),""))</f>
        <v/>
      </c>
      <c r="G858" s="18">
        <f>IF(ISNUMBER(FC858),INDIRECT("SamplesX!G"&amp;FC858),IF(ISNUMBER(FD858),INDIRECT("SamplesY!G"&amp;FD858),""))</f>
        <v/>
      </c>
      <c r="H858" s="19">
        <f>IF(ISNUMBER(FC858),INDIRECT("SamplesX!H"&amp;FC858),IF(ISNUMBER(FD858),INDIRECT("SamplesY!H"&amp;FD858),""))</f>
        <v/>
      </c>
      <c r="I858" s="16" t="n"/>
      <c r="J858" s="16" t="n"/>
      <c r="K858" s="16" t="n"/>
      <c r="L858" s="20" t="n"/>
      <c r="M858" s="20" t="inlineStr">
        <is>
          <t>None</t>
        </is>
      </c>
      <c r="N858" s="17" t="n"/>
      <c r="O858" s="16" t="n"/>
      <c r="P858" s="20" t="inlineStr">
        <is>
          <t>Shimadzu TOC-L</t>
        </is>
      </c>
      <c r="Q858" s="20" t="inlineStr">
        <is>
          <t>None</t>
        </is>
      </c>
      <c r="R858" s="17" t="n"/>
      <c r="S858" s="16" t="n"/>
      <c r="T858" s="20" t="inlineStr">
        <is>
          <t>Shimadzu TOC-L</t>
        </is>
      </c>
      <c r="U858" s="20" t="inlineStr">
        <is>
          <t>None</t>
        </is>
      </c>
      <c r="V858" s="17" t="n"/>
      <c r="W858" s="16" t="n"/>
      <c r="X858" s="20" t="n"/>
      <c r="Y858" s="20" t="inlineStr">
        <is>
          <t>None</t>
        </is>
      </c>
      <c r="Z858" s="17" t="n"/>
      <c r="AA858" s="16" t="n"/>
      <c r="AB858" s="20" t="n"/>
      <c r="AC858" s="20" t="inlineStr">
        <is>
          <t>None</t>
        </is>
      </c>
      <c r="AD858" s="17" t="n"/>
      <c r="AE858" s="16" t="n"/>
      <c r="AF858" s="20" t="inlineStr">
        <is>
          <t>IC Anionen</t>
        </is>
      </c>
      <c r="AG858" s="20" t="inlineStr">
        <is>
          <t>None</t>
        </is>
      </c>
      <c r="AH858" s="17" t="n"/>
      <c r="AI858" s="16" t="n"/>
      <c r="AJ858" s="20" t="n"/>
      <c r="AK858" s="20" t="inlineStr">
        <is>
          <t>None</t>
        </is>
      </c>
      <c r="AL858" s="17" t="n"/>
      <c r="AM858" s="16" t="n"/>
      <c r="AN858" s="20" t="inlineStr">
        <is>
          <t>IC Anionen</t>
        </is>
      </c>
      <c r="AO858" s="20" t="inlineStr">
        <is>
          <t>None</t>
        </is>
      </c>
      <c r="AP858" s="17" t="n"/>
      <c r="AQ858" s="16" t="n"/>
      <c r="AR858" s="20" t="n"/>
      <c r="AS858" s="20" t="inlineStr">
        <is>
          <t>None</t>
        </is>
      </c>
      <c r="AT858" s="17" t="n"/>
      <c r="AU858" s="16" t="n"/>
      <c r="AV858" s="20" t="n"/>
      <c r="AW858" s="20" t="inlineStr">
        <is>
          <t>None</t>
        </is>
      </c>
      <c r="AX858" s="17" t="n"/>
      <c r="AY858" s="16" t="n"/>
      <c r="AZ858" s="20" t="inlineStr">
        <is>
          <t>IC Anionen</t>
        </is>
      </c>
      <c r="BA858" s="20" t="inlineStr">
        <is>
          <t>None</t>
        </is>
      </c>
      <c r="BB858" s="17" t="n"/>
      <c r="BC858" s="16" t="n"/>
      <c r="BD858" s="20" t="inlineStr">
        <is>
          <t>IC Kationen</t>
        </is>
      </c>
      <c r="BE858" s="20" t="inlineStr">
        <is>
          <t>None</t>
        </is>
      </c>
      <c r="BF858" s="17" t="n"/>
      <c r="BG858" s="16" t="n"/>
      <c r="BH858" s="20" t="inlineStr">
        <is>
          <t>IC Kationen</t>
        </is>
      </c>
      <c r="BI858" s="20" t="inlineStr">
        <is>
          <t>None</t>
        </is>
      </c>
      <c r="BJ858" s="17" t="n"/>
      <c r="BK858" s="16" t="n"/>
      <c r="BL858" s="20" t="inlineStr">
        <is>
          <t>IC Kationen</t>
        </is>
      </c>
      <c r="BM858" s="20" t="inlineStr">
        <is>
          <t>None</t>
        </is>
      </c>
      <c r="BN858" s="17" t="n"/>
      <c r="BO858" s="16" t="n"/>
      <c r="BP858" s="20" t="inlineStr">
        <is>
          <t>IC Kationen</t>
        </is>
      </c>
      <c r="BQ858" s="20" t="inlineStr">
        <is>
          <t>None</t>
        </is>
      </c>
      <c r="BR858" s="17" t="n"/>
      <c r="BS858" s="16" t="n"/>
      <c r="BT858" s="20" t="inlineStr">
        <is>
          <t>IC Kationen</t>
        </is>
      </c>
      <c r="BU858" s="20" t="inlineStr">
        <is>
          <t>None</t>
        </is>
      </c>
      <c r="BV858" s="17" t="n"/>
      <c r="BW858" s="16" t="n"/>
      <c r="BX858" s="20" t="n"/>
      <c r="BY858" s="20" t="inlineStr">
        <is>
          <t>None</t>
        </is>
      </c>
      <c r="BZ858" s="17" t="n"/>
      <c r="CA858" s="16" t="n"/>
      <c r="CB858" s="20" t="n"/>
      <c r="CC858" s="20" t="inlineStr">
        <is>
          <t>None</t>
        </is>
      </c>
      <c r="CD858" s="17" t="n"/>
      <c r="CE858" s="16" t="n"/>
      <c r="CF858" s="20" t="n"/>
      <c r="CG858" s="20" t="inlineStr">
        <is>
          <t>None</t>
        </is>
      </c>
      <c r="CH858" s="17" t="n"/>
      <c r="CI858" s="16" t="n"/>
      <c r="CJ858" s="20" t="n"/>
      <c r="CK858" s="20" t="inlineStr">
        <is>
          <t>None</t>
        </is>
      </c>
      <c r="CL858" s="17" t="n"/>
      <c r="CM858" s="16" t="n"/>
      <c r="CN858" s="20" t="inlineStr">
        <is>
          <t>SOP 45-34</t>
        </is>
      </c>
      <c r="CO858" s="20" t="inlineStr">
        <is>
          <t>None</t>
        </is>
      </c>
      <c r="CP858" s="17" t="n"/>
      <c r="CQ858" s="16" t="n"/>
      <c r="CR858" s="20" t="n"/>
      <c r="CS858" s="20" t="inlineStr">
        <is>
          <t>None</t>
        </is>
      </c>
      <c r="CT858" s="17" t="n"/>
      <c r="CU858" s="16" t="n"/>
      <c r="CV858" s="20" t="n"/>
      <c r="CW858" s="20" t="inlineStr">
        <is>
          <t>None</t>
        </is>
      </c>
      <c r="CX858" s="17" t="n"/>
      <c r="CY858" s="16" t="n"/>
      <c r="CZ858" s="20" t="inlineStr">
        <is>
          <t>WTW Multimeter 3430 with FDO 925</t>
        </is>
      </c>
      <c r="DA858" s="20" t="inlineStr">
        <is>
          <t>None</t>
        </is>
      </c>
      <c r="DB858" s="17" t="n"/>
      <c r="DC858" s="16" t="n"/>
      <c r="DD858" s="20" t="n"/>
      <c r="DE858" s="20" t="inlineStr">
        <is>
          <t>None</t>
        </is>
      </c>
      <c r="DF858" s="17" t="n"/>
      <c r="DG858" s="16" t="n"/>
      <c r="DH858" s="20" t="inlineStr">
        <is>
          <t>SOP 45-09</t>
        </is>
      </c>
      <c r="DI858" s="20" t="inlineStr">
        <is>
          <t>None</t>
        </is>
      </c>
      <c r="DJ858" s="17" t="n"/>
      <c r="DK858" s="16" t="n"/>
      <c r="DL858" s="20" t="inlineStr">
        <is>
          <t>SOP 45-09 (SOP muss noch angepasst werden für VSS)</t>
        </is>
      </c>
      <c r="DM858" s="20" t="inlineStr">
        <is>
          <t>None</t>
        </is>
      </c>
      <c r="DN858" s="17" t="n"/>
      <c r="DO858" s="16" t="n"/>
      <c r="DP858" s="20" t="inlineStr">
        <is>
          <t>IC Organic Acids</t>
        </is>
      </c>
      <c r="DQ858" s="20" t="inlineStr">
        <is>
          <t>None</t>
        </is>
      </c>
      <c r="DR858" s="17" t="n"/>
      <c r="DS858" s="16" t="n"/>
      <c r="DT858" s="20" t="inlineStr">
        <is>
          <t>IC Organic Acids</t>
        </is>
      </c>
      <c r="DU858" s="20" t="inlineStr">
        <is>
          <t>None</t>
        </is>
      </c>
      <c r="DV858" s="17" t="n"/>
      <c r="DW858" s="16" t="n"/>
      <c r="DX858" s="20" t="inlineStr">
        <is>
          <t>IC Organic Acids</t>
        </is>
      </c>
      <c r="DY858" s="20" t="inlineStr">
        <is>
          <t>None</t>
        </is>
      </c>
      <c r="DZ858" s="17" t="n"/>
      <c r="EA858" s="16" t="n"/>
      <c r="EB858" s="20" t="inlineStr">
        <is>
          <t>IC Organic Acids</t>
        </is>
      </c>
      <c r="EC858" s="20" t="inlineStr">
        <is>
          <t>None</t>
        </is>
      </c>
      <c r="ED858" s="17" t="n"/>
      <c r="EE858" s="16" t="n"/>
      <c r="EF858" s="20" t="inlineStr">
        <is>
          <t>IC Organic Acids</t>
        </is>
      </c>
      <c r="EG858" s="20" t="inlineStr">
        <is>
          <t>None</t>
        </is>
      </c>
      <c r="EH858" s="17" t="n"/>
      <c r="EI858" s="16" t="n"/>
      <c r="EJ858" s="20" t="inlineStr">
        <is>
          <t>IC Organic Acids</t>
        </is>
      </c>
      <c r="EK858" s="20" t="inlineStr">
        <is>
          <t>None</t>
        </is>
      </c>
      <c r="EL858" s="17" t="n"/>
      <c r="EM858" s="16" t="n"/>
      <c r="EN858" s="20" t="inlineStr">
        <is>
          <t>IC Organic Acids</t>
        </is>
      </c>
      <c r="EO858" s="20" t="inlineStr">
        <is>
          <t>None</t>
        </is>
      </c>
      <c r="EP858" s="17" t="n"/>
      <c r="EQ858" s="16" t="n"/>
      <c r="ER858" s="20" t="inlineStr">
        <is>
          <t>IC Organic Acids</t>
        </is>
      </c>
      <c r="ES858" s="20" t="inlineStr">
        <is>
          <t>None</t>
        </is>
      </c>
      <c r="ET858" s="17" t="n"/>
      <c r="EU858" s="16" t="n"/>
      <c r="EV858" s="20" t="inlineStr">
        <is>
          <t>LC-MS</t>
        </is>
      </c>
      <c r="EW858" s="20" t="inlineStr">
        <is>
          <t>None</t>
        </is>
      </c>
      <c r="EX858" s="17" t="n"/>
      <c r="EY858" s="21" t="n"/>
      <c r="EZ858">
        <f>CONCATENATE(A858,B858)</f>
        <v/>
      </c>
      <c r="FA858">
        <f>CONCATENATE(SamplesX!A858,SamplesX!B858)</f>
        <v/>
      </c>
      <c r="FC858">
        <f>MATCH(EZ858,FA1:FA1008,0)</f>
        <v/>
      </c>
    </row>
    <row r="859">
      <c r="A859" s="16" t="n"/>
      <c r="B859" s="17" t="n"/>
      <c r="C859" s="10">
        <f>IF(ISNUMBER(FC859),INDIRECT("SamplesX!C"&amp;FC859),IF(ISNUMBER(FD859),INDIRECT("SamplesY!C"&amp;FD859),""))</f>
        <v/>
      </c>
      <c r="D859" s="12">
        <f>IF(ISNUMBER(FC859),INDIRECT("SamplesX!D"&amp;FC859),IF(ISNUMBER(FD859),INDIRECT("SamplesY!D"&amp;FD859),""))</f>
        <v/>
      </c>
      <c r="E859" s="12">
        <f>IF(ISNUMBER(FC859),INDIRECT("SamplesX!E"&amp;FC859),IF(ISNUMBER(FD859),INDIRECT("SamplesY!E"&amp;FD859),""))</f>
        <v/>
      </c>
      <c r="F859" s="11">
        <f>IF(ISNUMBER(FC859),INDIRECT("SamplesX!F"&amp;FC859),IF(ISNUMBER(FD859),INDIRECT("SamplesY!F"&amp;FD859),""))</f>
        <v/>
      </c>
      <c r="G859" s="18">
        <f>IF(ISNUMBER(FC859),INDIRECT("SamplesX!G"&amp;FC859),IF(ISNUMBER(FD859),INDIRECT("SamplesY!G"&amp;FD859),""))</f>
        <v/>
      </c>
      <c r="H859" s="19">
        <f>IF(ISNUMBER(FC859),INDIRECT("SamplesX!H"&amp;FC859),IF(ISNUMBER(FD859),INDIRECT("SamplesY!H"&amp;FD859),""))</f>
        <v/>
      </c>
      <c r="I859" s="16" t="n"/>
      <c r="J859" s="16" t="n"/>
      <c r="K859" s="16" t="n"/>
      <c r="L859" s="20" t="n"/>
      <c r="M859" s="20" t="inlineStr">
        <is>
          <t>None</t>
        </is>
      </c>
      <c r="N859" s="17" t="n"/>
      <c r="O859" s="16" t="n"/>
      <c r="P859" s="20" t="inlineStr">
        <is>
          <t>Shimadzu TOC-L</t>
        </is>
      </c>
      <c r="Q859" s="20" t="inlineStr">
        <is>
          <t>None</t>
        </is>
      </c>
      <c r="R859" s="17" t="n"/>
      <c r="S859" s="16" t="n"/>
      <c r="T859" s="20" t="inlineStr">
        <is>
          <t>Shimadzu TOC-L</t>
        </is>
      </c>
      <c r="U859" s="20" t="inlineStr">
        <is>
          <t>None</t>
        </is>
      </c>
      <c r="V859" s="17" t="n"/>
      <c r="W859" s="16" t="n"/>
      <c r="X859" s="20" t="n"/>
      <c r="Y859" s="20" t="inlineStr">
        <is>
          <t>None</t>
        </is>
      </c>
      <c r="Z859" s="17" t="n"/>
      <c r="AA859" s="16" t="n"/>
      <c r="AB859" s="20" t="n"/>
      <c r="AC859" s="20" t="inlineStr">
        <is>
          <t>None</t>
        </is>
      </c>
      <c r="AD859" s="17" t="n"/>
      <c r="AE859" s="16" t="n"/>
      <c r="AF859" s="20" t="inlineStr">
        <is>
          <t>IC Anionen</t>
        </is>
      </c>
      <c r="AG859" s="20" t="inlineStr">
        <is>
          <t>None</t>
        </is>
      </c>
      <c r="AH859" s="17" t="n"/>
      <c r="AI859" s="16" t="n"/>
      <c r="AJ859" s="20" t="n"/>
      <c r="AK859" s="20" t="inlineStr">
        <is>
          <t>None</t>
        </is>
      </c>
      <c r="AL859" s="17" t="n"/>
      <c r="AM859" s="16" t="n"/>
      <c r="AN859" s="20" t="inlineStr">
        <is>
          <t>IC Anionen</t>
        </is>
      </c>
      <c r="AO859" s="20" t="inlineStr">
        <is>
          <t>None</t>
        </is>
      </c>
      <c r="AP859" s="17" t="n"/>
      <c r="AQ859" s="16" t="n"/>
      <c r="AR859" s="20" t="n"/>
      <c r="AS859" s="20" t="inlineStr">
        <is>
          <t>None</t>
        </is>
      </c>
      <c r="AT859" s="17" t="n"/>
      <c r="AU859" s="16" t="n"/>
      <c r="AV859" s="20" t="n"/>
      <c r="AW859" s="20" t="inlineStr">
        <is>
          <t>None</t>
        </is>
      </c>
      <c r="AX859" s="17" t="n"/>
      <c r="AY859" s="16" t="n"/>
      <c r="AZ859" s="20" t="inlineStr">
        <is>
          <t>IC Anionen</t>
        </is>
      </c>
      <c r="BA859" s="20" t="inlineStr">
        <is>
          <t>None</t>
        </is>
      </c>
      <c r="BB859" s="17" t="n"/>
      <c r="BC859" s="16" t="n"/>
      <c r="BD859" s="20" t="inlineStr">
        <is>
          <t>IC Kationen</t>
        </is>
      </c>
      <c r="BE859" s="20" t="inlineStr">
        <is>
          <t>None</t>
        </is>
      </c>
      <c r="BF859" s="17" t="n"/>
      <c r="BG859" s="16" t="n"/>
      <c r="BH859" s="20" t="inlineStr">
        <is>
          <t>IC Kationen</t>
        </is>
      </c>
      <c r="BI859" s="20" t="inlineStr">
        <is>
          <t>None</t>
        </is>
      </c>
      <c r="BJ859" s="17" t="n"/>
      <c r="BK859" s="16" t="n"/>
      <c r="BL859" s="20" t="inlineStr">
        <is>
          <t>IC Kationen</t>
        </is>
      </c>
      <c r="BM859" s="20" t="inlineStr">
        <is>
          <t>None</t>
        </is>
      </c>
      <c r="BN859" s="17" t="n"/>
      <c r="BO859" s="16" t="n"/>
      <c r="BP859" s="20" t="inlineStr">
        <is>
          <t>IC Kationen</t>
        </is>
      </c>
      <c r="BQ859" s="20" t="inlineStr">
        <is>
          <t>None</t>
        </is>
      </c>
      <c r="BR859" s="17" t="n"/>
      <c r="BS859" s="16" t="n"/>
      <c r="BT859" s="20" t="inlineStr">
        <is>
          <t>IC Kationen</t>
        </is>
      </c>
      <c r="BU859" s="20" t="inlineStr">
        <is>
          <t>None</t>
        </is>
      </c>
      <c r="BV859" s="17" t="n"/>
      <c r="BW859" s="16" t="n"/>
      <c r="BX859" s="20" t="n"/>
      <c r="BY859" s="20" t="inlineStr">
        <is>
          <t>None</t>
        </is>
      </c>
      <c r="BZ859" s="17" t="n"/>
      <c r="CA859" s="16" t="n"/>
      <c r="CB859" s="20" t="n"/>
      <c r="CC859" s="20" t="inlineStr">
        <is>
          <t>None</t>
        </is>
      </c>
      <c r="CD859" s="17" t="n"/>
      <c r="CE859" s="16" t="n"/>
      <c r="CF859" s="20" t="n"/>
      <c r="CG859" s="20" t="inlineStr">
        <is>
          <t>None</t>
        </is>
      </c>
      <c r="CH859" s="17" t="n"/>
      <c r="CI859" s="16" t="n"/>
      <c r="CJ859" s="20" t="n"/>
      <c r="CK859" s="20" t="inlineStr">
        <is>
          <t>None</t>
        </is>
      </c>
      <c r="CL859" s="17" t="n"/>
      <c r="CM859" s="16" t="n"/>
      <c r="CN859" s="20" t="inlineStr">
        <is>
          <t>SOP 45-34</t>
        </is>
      </c>
      <c r="CO859" s="20" t="inlineStr">
        <is>
          <t>None</t>
        </is>
      </c>
      <c r="CP859" s="17" t="n"/>
      <c r="CQ859" s="16" t="n"/>
      <c r="CR859" s="20" t="n"/>
      <c r="CS859" s="20" t="inlineStr">
        <is>
          <t>None</t>
        </is>
      </c>
      <c r="CT859" s="17" t="n"/>
      <c r="CU859" s="16" t="n"/>
      <c r="CV859" s="20" t="n"/>
      <c r="CW859" s="20" t="inlineStr">
        <is>
          <t>None</t>
        </is>
      </c>
      <c r="CX859" s="17" t="n"/>
      <c r="CY859" s="16" t="n"/>
      <c r="CZ859" s="20" t="inlineStr">
        <is>
          <t>WTW Multimeter 3430 with FDO 925</t>
        </is>
      </c>
      <c r="DA859" s="20" t="inlineStr">
        <is>
          <t>None</t>
        </is>
      </c>
      <c r="DB859" s="17" t="n"/>
      <c r="DC859" s="16" t="n"/>
      <c r="DD859" s="20" t="n"/>
      <c r="DE859" s="20" t="inlineStr">
        <is>
          <t>None</t>
        </is>
      </c>
      <c r="DF859" s="17" t="n"/>
      <c r="DG859" s="16" t="n"/>
      <c r="DH859" s="20" t="inlineStr">
        <is>
          <t>SOP 45-09</t>
        </is>
      </c>
      <c r="DI859" s="20" t="inlineStr">
        <is>
          <t>None</t>
        </is>
      </c>
      <c r="DJ859" s="17" t="n"/>
      <c r="DK859" s="16" t="n"/>
      <c r="DL859" s="20" t="inlineStr">
        <is>
          <t>SOP 45-09 (SOP muss noch angepasst werden für VSS)</t>
        </is>
      </c>
      <c r="DM859" s="20" t="inlineStr">
        <is>
          <t>None</t>
        </is>
      </c>
      <c r="DN859" s="17" t="n"/>
      <c r="DO859" s="16" t="n"/>
      <c r="DP859" s="20" t="inlineStr">
        <is>
          <t>IC Organic Acids</t>
        </is>
      </c>
      <c r="DQ859" s="20" t="inlineStr">
        <is>
          <t>None</t>
        </is>
      </c>
      <c r="DR859" s="17" t="n"/>
      <c r="DS859" s="16" t="n"/>
      <c r="DT859" s="20" t="inlineStr">
        <is>
          <t>IC Organic Acids</t>
        </is>
      </c>
      <c r="DU859" s="20" t="inlineStr">
        <is>
          <t>None</t>
        </is>
      </c>
      <c r="DV859" s="17" t="n"/>
      <c r="DW859" s="16" t="n"/>
      <c r="DX859" s="20" t="inlineStr">
        <is>
          <t>IC Organic Acids</t>
        </is>
      </c>
      <c r="DY859" s="20" t="inlineStr">
        <is>
          <t>None</t>
        </is>
      </c>
      <c r="DZ859" s="17" t="n"/>
      <c r="EA859" s="16" t="n"/>
      <c r="EB859" s="20" t="inlineStr">
        <is>
          <t>IC Organic Acids</t>
        </is>
      </c>
      <c r="EC859" s="20" t="inlineStr">
        <is>
          <t>None</t>
        </is>
      </c>
      <c r="ED859" s="17" t="n"/>
      <c r="EE859" s="16" t="n"/>
      <c r="EF859" s="20" t="inlineStr">
        <is>
          <t>IC Organic Acids</t>
        </is>
      </c>
      <c r="EG859" s="20" t="inlineStr">
        <is>
          <t>None</t>
        </is>
      </c>
      <c r="EH859" s="17" t="n"/>
      <c r="EI859" s="16" t="n"/>
      <c r="EJ859" s="20" t="inlineStr">
        <is>
          <t>IC Organic Acids</t>
        </is>
      </c>
      <c r="EK859" s="20" t="inlineStr">
        <is>
          <t>None</t>
        </is>
      </c>
      <c r="EL859" s="17" t="n"/>
      <c r="EM859" s="16" t="n"/>
      <c r="EN859" s="20" t="inlineStr">
        <is>
          <t>IC Organic Acids</t>
        </is>
      </c>
      <c r="EO859" s="20" t="inlineStr">
        <is>
          <t>None</t>
        </is>
      </c>
      <c r="EP859" s="17" t="n"/>
      <c r="EQ859" s="16" t="n"/>
      <c r="ER859" s="20" t="inlineStr">
        <is>
          <t>IC Organic Acids</t>
        </is>
      </c>
      <c r="ES859" s="20" t="inlineStr">
        <is>
          <t>None</t>
        </is>
      </c>
      <c r="ET859" s="17" t="n"/>
      <c r="EU859" s="16" t="n"/>
      <c r="EV859" s="20" t="inlineStr">
        <is>
          <t>LC-MS</t>
        </is>
      </c>
      <c r="EW859" s="20" t="inlineStr">
        <is>
          <t>None</t>
        </is>
      </c>
      <c r="EX859" s="17" t="n"/>
      <c r="EY859" s="21" t="n"/>
      <c r="EZ859">
        <f>CONCATENATE(A859,B859)</f>
        <v/>
      </c>
      <c r="FA859">
        <f>CONCATENATE(SamplesX!A859,SamplesX!B859)</f>
        <v/>
      </c>
      <c r="FC859">
        <f>MATCH(EZ859,FA1:FA1008,0)</f>
        <v/>
      </c>
    </row>
    <row r="860">
      <c r="A860" s="16" t="n"/>
      <c r="B860" s="17" t="n"/>
      <c r="C860" s="10">
        <f>IF(ISNUMBER(FC860),INDIRECT("SamplesX!C"&amp;FC860),IF(ISNUMBER(FD860),INDIRECT("SamplesY!C"&amp;FD860),""))</f>
        <v/>
      </c>
      <c r="D860" s="12">
        <f>IF(ISNUMBER(FC860),INDIRECT("SamplesX!D"&amp;FC860),IF(ISNUMBER(FD860),INDIRECT("SamplesY!D"&amp;FD860),""))</f>
        <v/>
      </c>
      <c r="E860" s="12">
        <f>IF(ISNUMBER(FC860),INDIRECT("SamplesX!E"&amp;FC860),IF(ISNUMBER(FD860),INDIRECT("SamplesY!E"&amp;FD860),""))</f>
        <v/>
      </c>
      <c r="F860" s="11">
        <f>IF(ISNUMBER(FC860),INDIRECT("SamplesX!F"&amp;FC860),IF(ISNUMBER(FD860),INDIRECT("SamplesY!F"&amp;FD860),""))</f>
        <v/>
      </c>
      <c r="G860" s="18">
        <f>IF(ISNUMBER(FC860),INDIRECT("SamplesX!G"&amp;FC860),IF(ISNUMBER(FD860),INDIRECT("SamplesY!G"&amp;FD860),""))</f>
        <v/>
      </c>
      <c r="H860" s="19">
        <f>IF(ISNUMBER(FC860),INDIRECT("SamplesX!H"&amp;FC860),IF(ISNUMBER(FD860),INDIRECT("SamplesY!H"&amp;FD860),""))</f>
        <v/>
      </c>
      <c r="I860" s="16" t="n"/>
      <c r="J860" s="16" t="n"/>
      <c r="K860" s="16" t="n"/>
      <c r="L860" s="20" t="n"/>
      <c r="M860" s="20" t="inlineStr">
        <is>
          <t>None</t>
        </is>
      </c>
      <c r="N860" s="17" t="n"/>
      <c r="O860" s="16" t="n"/>
      <c r="P860" s="20" t="inlineStr">
        <is>
          <t>Shimadzu TOC-L</t>
        </is>
      </c>
      <c r="Q860" s="20" t="inlineStr">
        <is>
          <t>None</t>
        </is>
      </c>
      <c r="R860" s="17" t="n"/>
      <c r="S860" s="16" t="n"/>
      <c r="T860" s="20" t="inlineStr">
        <is>
          <t>Shimadzu TOC-L</t>
        </is>
      </c>
      <c r="U860" s="20" t="inlineStr">
        <is>
          <t>None</t>
        </is>
      </c>
      <c r="V860" s="17" t="n"/>
      <c r="W860" s="16" t="n"/>
      <c r="X860" s="20" t="n"/>
      <c r="Y860" s="20" t="inlineStr">
        <is>
          <t>None</t>
        </is>
      </c>
      <c r="Z860" s="17" t="n"/>
      <c r="AA860" s="16" t="n"/>
      <c r="AB860" s="20" t="n"/>
      <c r="AC860" s="20" t="inlineStr">
        <is>
          <t>None</t>
        </is>
      </c>
      <c r="AD860" s="17" t="n"/>
      <c r="AE860" s="16" t="n"/>
      <c r="AF860" s="20" t="inlineStr">
        <is>
          <t>IC Anionen</t>
        </is>
      </c>
      <c r="AG860" s="20" t="inlineStr">
        <is>
          <t>None</t>
        </is>
      </c>
      <c r="AH860" s="17" t="n"/>
      <c r="AI860" s="16" t="n"/>
      <c r="AJ860" s="20" t="n"/>
      <c r="AK860" s="20" t="inlineStr">
        <is>
          <t>None</t>
        </is>
      </c>
      <c r="AL860" s="17" t="n"/>
      <c r="AM860" s="16" t="n"/>
      <c r="AN860" s="20" t="inlineStr">
        <is>
          <t>IC Anionen</t>
        </is>
      </c>
      <c r="AO860" s="20" t="inlineStr">
        <is>
          <t>None</t>
        </is>
      </c>
      <c r="AP860" s="17" t="n"/>
      <c r="AQ860" s="16" t="n"/>
      <c r="AR860" s="20" t="n"/>
      <c r="AS860" s="20" t="inlineStr">
        <is>
          <t>None</t>
        </is>
      </c>
      <c r="AT860" s="17" t="n"/>
      <c r="AU860" s="16" t="n"/>
      <c r="AV860" s="20" t="n"/>
      <c r="AW860" s="20" t="inlineStr">
        <is>
          <t>None</t>
        </is>
      </c>
      <c r="AX860" s="17" t="n"/>
      <c r="AY860" s="16" t="n"/>
      <c r="AZ860" s="20" t="inlineStr">
        <is>
          <t>IC Anionen</t>
        </is>
      </c>
      <c r="BA860" s="20" t="inlineStr">
        <is>
          <t>None</t>
        </is>
      </c>
      <c r="BB860" s="17" t="n"/>
      <c r="BC860" s="16" t="n"/>
      <c r="BD860" s="20" t="inlineStr">
        <is>
          <t>IC Kationen</t>
        </is>
      </c>
      <c r="BE860" s="20" t="inlineStr">
        <is>
          <t>None</t>
        </is>
      </c>
      <c r="BF860" s="17" t="n"/>
      <c r="BG860" s="16" t="n"/>
      <c r="BH860" s="20" t="inlineStr">
        <is>
          <t>IC Kationen</t>
        </is>
      </c>
      <c r="BI860" s="20" t="inlineStr">
        <is>
          <t>None</t>
        </is>
      </c>
      <c r="BJ860" s="17" t="n"/>
      <c r="BK860" s="16" t="n"/>
      <c r="BL860" s="20" t="inlineStr">
        <is>
          <t>IC Kationen</t>
        </is>
      </c>
      <c r="BM860" s="20" t="inlineStr">
        <is>
          <t>None</t>
        </is>
      </c>
      <c r="BN860" s="17" t="n"/>
      <c r="BO860" s="16" t="n"/>
      <c r="BP860" s="20" t="inlineStr">
        <is>
          <t>IC Kationen</t>
        </is>
      </c>
      <c r="BQ860" s="20" t="inlineStr">
        <is>
          <t>None</t>
        </is>
      </c>
      <c r="BR860" s="17" t="n"/>
      <c r="BS860" s="16" t="n"/>
      <c r="BT860" s="20" t="inlineStr">
        <is>
          <t>IC Kationen</t>
        </is>
      </c>
      <c r="BU860" s="20" t="inlineStr">
        <is>
          <t>None</t>
        </is>
      </c>
      <c r="BV860" s="17" t="n"/>
      <c r="BW860" s="16" t="n"/>
      <c r="BX860" s="20" t="n"/>
      <c r="BY860" s="20" t="inlineStr">
        <is>
          <t>None</t>
        </is>
      </c>
      <c r="BZ860" s="17" t="n"/>
      <c r="CA860" s="16" t="n"/>
      <c r="CB860" s="20" t="n"/>
      <c r="CC860" s="20" t="inlineStr">
        <is>
          <t>None</t>
        </is>
      </c>
      <c r="CD860" s="17" t="n"/>
      <c r="CE860" s="16" t="n"/>
      <c r="CF860" s="20" t="n"/>
      <c r="CG860" s="20" t="inlineStr">
        <is>
          <t>None</t>
        </is>
      </c>
      <c r="CH860" s="17" t="n"/>
      <c r="CI860" s="16" t="n"/>
      <c r="CJ860" s="20" t="n"/>
      <c r="CK860" s="20" t="inlineStr">
        <is>
          <t>None</t>
        </is>
      </c>
      <c r="CL860" s="17" t="n"/>
      <c r="CM860" s="16" t="n"/>
      <c r="CN860" s="20" t="inlineStr">
        <is>
          <t>SOP 45-34</t>
        </is>
      </c>
      <c r="CO860" s="20" t="inlineStr">
        <is>
          <t>None</t>
        </is>
      </c>
      <c r="CP860" s="17" t="n"/>
      <c r="CQ860" s="16" t="n"/>
      <c r="CR860" s="20" t="n"/>
      <c r="CS860" s="20" t="inlineStr">
        <is>
          <t>None</t>
        </is>
      </c>
      <c r="CT860" s="17" t="n"/>
      <c r="CU860" s="16" t="n"/>
      <c r="CV860" s="20" t="n"/>
      <c r="CW860" s="20" t="inlineStr">
        <is>
          <t>None</t>
        </is>
      </c>
      <c r="CX860" s="17" t="n"/>
      <c r="CY860" s="16" t="n"/>
      <c r="CZ860" s="20" t="inlineStr">
        <is>
          <t>WTW Multimeter 3430 with FDO 925</t>
        </is>
      </c>
      <c r="DA860" s="20" t="inlineStr">
        <is>
          <t>None</t>
        </is>
      </c>
      <c r="DB860" s="17" t="n"/>
      <c r="DC860" s="16" t="n"/>
      <c r="DD860" s="20" t="n"/>
      <c r="DE860" s="20" t="inlineStr">
        <is>
          <t>None</t>
        </is>
      </c>
      <c r="DF860" s="17" t="n"/>
      <c r="DG860" s="16" t="n"/>
      <c r="DH860" s="20" t="inlineStr">
        <is>
          <t>SOP 45-09</t>
        </is>
      </c>
      <c r="DI860" s="20" t="inlineStr">
        <is>
          <t>None</t>
        </is>
      </c>
      <c r="DJ860" s="17" t="n"/>
      <c r="DK860" s="16" t="n"/>
      <c r="DL860" s="20" t="inlineStr">
        <is>
          <t>SOP 45-09 (SOP muss noch angepasst werden für VSS)</t>
        </is>
      </c>
      <c r="DM860" s="20" t="inlineStr">
        <is>
          <t>None</t>
        </is>
      </c>
      <c r="DN860" s="17" t="n"/>
      <c r="DO860" s="16" t="n"/>
      <c r="DP860" s="20" t="inlineStr">
        <is>
          <t>IC Organic Acids</t>
        </is>
      </c>
      <c r="DQ860" s="20" t="inlineStr">
        <is>
          <t>None</t>
        </is>
      </c>
      <c r="DR860" s="17" t="n"/>
      <c r="DS860" s="16" t="n"/>
      <c r="DT860" s="20" t="inlineStr">
        <is>
          <t>IC Organic Acids</t>
        </is>
      </c>
      <c r="DU860" s="20" t="inlineStr">
        <is>
          <t>None</t>
        </is>
      </c>
      <c r="DV860" s="17" t="n"/>
      <c r="DW860" s="16" t="n"/>
      <c r="DX860" s="20" t="inlineStr">
        <is>
          <t>IC Organic Acids</t>
        </is>
      </c>
      <c r="DY860" s="20" t="inlineStr">
        <is>
          <t>None</t>
        </is>
      </c>
      <c r="DZ860" s="17" t="n"/>
      <c r="EA860" s="16" t="n"/>
      <c r="EB860" s="20" t="inlineStr">
        <is>
          <t>IC Organic Acids</t>
        </is>
      </c>
      <c r="EC860" s="20" t="inlineStr">
        <is>
          <t>None</t>
        </is>
      </c>
      <c r="ED860" s="17" t="n"/>
      <c r="EE860" s="16" t="n"/>
      <c r="EF860" s="20" t="inlineStr">
        <is>
          <t>IC Organic Acids</t>
        </is>
      </c>
      <c r="EG860" s="20" t="inlineStr">
        <is>
          <t>None</t>
        </is>
      </c>
      <c r="EH860" s="17" t="n"/>
      <c r="EI860" s="16" t="n"/>
      <c r="EJ860" s="20" t="inlineStr">
        <is>
          <t>IC Organic Acids</t>
        </is>
      </c>
      <c r="EK860" s="20" t="inlineStr">
        <is>
          <t>None</t>
        </is>
      </c>
      <c r="EL860" s="17" t="n"/>
      <c r="EM860" s="16" t="n"/>
      <c r="EN860" s="20" t="inlineStr">
        <is>
          <t>IC Organic Acids</t>
        </is>
      </c>
      <c r="EO860" s="20" t="inlineStr">
        <is>
          <t>None</t>
        </is>
      </c>
      <c r="EP860" s="17" t="n"/>
      <c r="EQ860" s="16" t="n"/>
      <c r="ER860" s="20" t="inlineStr">
        <is>
          <t>IC Organic Acids</t>
        </is>
      </c>
      <c r="ES860" s="20" t="inlineStr">
        <is>
          <t>None</t>
        </is>
      </c>
      <c r="ET860" s="17" t="n"/>
      <c r="EU860" s="16" t="n"/>
      <c r="EV860" s="20" t="inlineStr">
        <is>
          <t>LC-MS</t>
        </is>
      </c>
      <c r="EW860" s="20" t="inlineStr">
        <is>
          <t>None</t>
        </is>
      </c>
      <c r="EX860" s="17" t="n"/>
      <c r="EY860" s="21" t="n"/>
      <c r="EZ860">
        <f>CONCATENATE(A860,B860)</f>
        <v/>
      </c>
      <c r="FA860">
        <f>CONCATENATE(SamplesX!A860,SamplesX!B860)</f>
        <v/>
      </c>
      <c r="FC860">
        <f>MATCH(EZ860,FA1:FA1008,0)</f>
        <v/>
      </c>
    </row>
    <row r="861">
      <c r="A861" s="16" t="n"/>
      <c r="B861" s="17" t="n"/>
      <c r="C861" s="10">
        <f>IF(ISNUMBER(FC861),INDIRECT("SamplesX!C"&amp;FC861),IF(ISNUMBER(FD861),INDIRECT("SamplesY!C"&amp;FD861),""))</f>
        <v/>
      </c>
      <c r="D861" s="12">
        <f>IF(ISNUMBER(FC861),INDIRECT("SamplesX!D"&amp;FC861),IF(ISNUMBER(FD861),INDIRECT("SamplesY!D"&amp;FD861),""))</f>
        <v/>
      </c>
      <c r="E861" s="12">
        <f>IF(ISNUMBER(FC861),INDIRECT("SamplesX!E"&amp;FC861),IF(ISNUMBER(FD861),INDIRECT("SamplesY!E"&amp;FD861),""))</f>
        <v/>
      </c>
      <c r="F861" s="11">
        <f>IF(ISNUMBER(FC861),INDIRECT("SamplesX!F"&amp;FC861),IF(ISNUMBER(FD861),INDIRECT("SamplesY!F"&amp;FD861),""))</f>
        <v/>
      </c>
      <c r="G861" s="18">
        <f>IF(ISNUMBER(FC861),INDIRECT("SamplesX!G"&amp;FC861),IF(ISNUMBER(FD861),INDIRECT("SamplesY!G"&amp;FD861),""))</f>
        <v/>
      </c>
      <c r="H861" s="19">
        <f>IF(ISNUMBER(FC861),INDIRECT("SamplesX!H"&amp;FC861),IF(ISNUMBER(FD861),INDIRECT("SamplesY!H"&amp;FD861),""))</f>
        <v/>
      </c>
      <c r="I861" s="16" t="n"/>
      <c r="J861" s="16" t="n"/>
      <c r="K861" s="16" t="n"/>
      <c r="L861" s="20" t="n"/>
      <c r="M861" s="20" t="inlineStr">
        <is>
          <t>None</t>
        </is>
      </c>
      <c r="N861" s="17" t="n"/>
      <c r="O861" s="16" t="n"/>
      <c r="P861" s="20" t="inlineStr">
        <is>
          <t>Shimadzu TOC-L</t>
        </is>
      </c>
      <c r="Q861" s="20" t="inlineStr">
        <is>
          <t>None</t>
        </is>
      </c>
      <c r="R861" s="17" t="n"/>
      <c r="S861" s="16" t="n"/>
      <c r="T861" s="20" t="inlineStr">
        <is>
          <t>Shimadzu TOC-L</t>
        </is>
      </c>
      <c r="U861" s="20" t="inlineStr">
        <is>
          <t>None</t>
        </is>
      </c>
      <c r="V861" s="17" t="n"/>
      <c r="W861" s="16" t="n"/>
      <c r="X861" s="20" t="n"/>
      <c r="Y861" s="20" t="inlineStr">
        <is>
          <t>None</t>
        </is>
      </c>
      <c r="Z861" s="17" t="n"/>
      <c r="AA861" s="16" t="n"/>
      <c r="AB861" s="20" t="n"/>
      <c r="AC861" s="20" t="inlineStr">
        <is>
          <t>None</t>
        </is>
      </c>
      <c r="AD861" s="17" t="n"/>
      <c r="AE861" s="16" t="n"/>
      <c r="AF861" s="20" t="inlineStr">
        <is>
          <t>IC Anionen</t>
        </is>
      </c>
      <c r="AG861" s="20" t="inlineStr">
        <is>
          <t>None</t>
        </is>
      </c>
      <c r="AH861" s="17" t="n"/>
      <c r="AI861" s="16" t="n"/>
      <c r="AJ861" s="20" t="n"/>
      <c r="AK861" s="20" t="inlineStr">
        <is>
          <t>None</t>
        </is>
      </c>
      <c r="AL861" s="17" t="n"/>
      <c r="AM861" s="16" t="n"/>
      <c r="AN861" s="20" t="inlineStr">
        <is>
          <t>IC Anionen</t>
        </is>
      </c>
      <c r="AO861" s="20" t="inlineStr">
        <is>
          <t>None</t>
        </is>
      </c>
      <c r="AP861" s="17" t="n"/>
      <c r="AQ861" s="16" t="n"/>
      <c r="AR861" s="20" t="n"/>
      <c r="AS861" s="20" t="inlineStr">
        <is>
          <t>None</t>
        </is>
      </c>
      <c r="AT861" s="17" t="n"/>
      <c r="AU861" s="16" t="n"/>
      <c r="AV861" s="20" t="n"/>
      <c r="AW861" s="20" t="inlineStr">
        <is>
          <t>None</t>
        </is>
      </c>
      <c r="AX861" s="17" t="n"/>
      <c r="AY861" s="16" t="n"/>
      <c r="AZ861" s="20" t="inlineStr">
        <is>
          <t>IC Anionen</t>
        </is>
      </c>
      <c r="BA861" s="20" t="inlineStr">
        <is>
          <t>None</t>
        </is>
      </c>
      <c r="BB861" s="17" t="n"/>
      <c r="BC861" s="16" t="n"/>
      <c r="BD861" s="20" t="inlineStr">
        <is>
          <t>IC Kationen</t>
        </is>
      </c>
      <c r="BE861" s="20" t="inlineStr">
        <is>
          <t>None</t>
        </is>
      </c>
      <c r="BF861" s="17" t="n"/>
      <c r="BG861" s="16" t="n"/>
      <c r="BH861" s="20" t="inlineStr">
        <is>
          <t>IC Kationen</t>
        </is>
      </c>
      <c r="BI861" s="20" t="inlineStr">
        <is>
          <t>None</t>
        </is>
      </c>
      <c r="BJ861" s="17" t="n"/>
      <c r="BK861" s="16" t="n"/>
      <c r="BL861" s="20" t="inlineStr">
        <is>
          <t>IC Kationen</t>
        </is>
      </c>
      <c r="BM861" s="20" t="inlineStr">
        <is>
          <t>None</t>
        </is>
      </c>
      <c r="BN861" s="17" t="n"/>
      <c r="BO861" s="16" t="n"/>
      <c r="BP861" s="20" t="inlineStr">
        <is>
          <t>IC Kationen</t>
        </is>
      </c>
      <c r="BQ861" s="20" t="inlineStr">
        <is>
          <t>None</t>
        </is>
      </c>
      <c r="BR861" s="17" t="n"/>
      <c r="BS861" s="16" t="n"/>
      <c r="BT861" s="20" t="inlineStr">
        <is>
          <t>IC Kationen</t>
        </is>
      </c>
      <c r="BU861" s="20" t="inlineStr">
        <is>
          <t>None</t>
        </is>
      </c>
      <c r="BV861" s="17" t="n"/>
      <c r="BW861" s="16" t="n"/>
      <c r="BX861" s="20" t="n"/>
      <c r="BY861" s="20" t="inlineStr">
        <is>
          <t>None</t>
        </is>
      </c>
      <c r="BZ861" s="17" t="n"/>
      <c r="CA861" s="16" t="n"/>
      <c r="CB861" s="20" t="n"/>
      <c r="CC861" s="20" t="inlineStr">
        <is>
          <t>None</t>
        </is>
      </c>
      <c r="CD861" s="17" t="n"/>
      <c r="CE861" s="16" t="n"/>
      <c r="CF861" s="20" t="n"/>
      <c r="CG861" s="20" t="inlineStr">
        <is>
          <t>None</t>
        </is>
      </c>
      <c r="CH861" s="17" t="n"/>
      <c r="CI861" s="16" t="n"/>
      <c r="CJ861" s="20" t="n"/>
      <c r="CK861" s="20" t="inlineStr">
        <is>
          <t>None</t>
        </is>
      </c>
      <c r="CL861" s="17" t="n"/>
      <c r="CM861" s="16" t="n"/>
      <c r="CN861" s="20" t="inlineStr">
        <is>
          <t>SOP 45-34</t>
        </is>
      </c>
      <c r="CO861" s="20" t="inlineStr">
        <is>
          <t>None</t>
        </is>
      </c>
      <c r="CP861" s="17" t="n"/>
      <c r="CQ861" s="16" t="n"/>
      <c r="CR861" s="20" t="n"/>
      <c r="CS861" s="20" t="inlineStr">
        <is>
          <t>None</t>
        </is>
      </c>
      <c r="CT861" s="17" t="n"/>
      <c r="CU861" s="16" t="n"/>
      <c r="CV861" s="20" t="n"/>
      <c r="CW861" s="20" t="inlineStr">
        <is>
          <t>None</t>
        </is>
      </c>
      <c r="CX861" s="17" t="n"/>
      <c r="CY861" s="16" t="n"/>
      <c r="CZ861" s="20" t="inlineStr">
        <is>
          <t>WTW Multimeter 3430 with FDO 925</t>
        </is>
      </c>
      <c r="DA861" s="20" t="inlineStr">
        <is>
          <t>None</t>
        </is>
      </c>
      <c r="DB861" s="17" t="n"/>
      <c r="DC861" s="16" t="n"/>
      <c r="DD861" s="20" t="n"/>
      <c r="DE861" s="20" t="inlineStr">
        <is>
          <t>None</t>
        </is>
      </c>
      <c r="DF861" s="17" t="n"/>
      <c r="DG861" s="16" t="n"/>
      <c r="DH861" s="20" t="inlineStr">
        <is>
          <t>SOP 45-09</t>
        </is>
      </c>
      <c r="DI861" s="20" t="inlineStr">
        <is>
          <t>None</t>
        </is>
      </c>
      <c r="DJ861" s="17" t="n"/>
      <c r="DK861" s="16" t="n"/>
      <c r="DL861" s="20" t="inlineStr">
        <is>
          <t>SOP 45-09 (SOP muss noch angepasst werden für VSS)</t>
        </is>
      </c>
      <c r="DM861" s="20" t="inlineStr">
        <is>
          <t>None</t>
        </is>
      </c>
      <c r="DN861" s="17" t="n"/>
      <c r="DO861" s="16" t="n"/>
      <c r="DP861" s="20" t="inlineStr">
        <is>
          <t>IC Organic Acids</t>
        </is>
      </c>
      <c r="DQ861" s="20" t="inlineStr">
        <is>
          <t>None</t>
        </is>
      </c>
      <c r="DR861" s="17" t="n"/>
      <c r="DS861" s="16" t="n"/>
      <c r="DT861" s="20" t="inlineStr">
        <is>
          <t>IC Organic Acids</t>
        </is>
      </c>
      <c r="DU861" s="20" t="inlineStr">
        <is>
          <t>None</t>
        </is>
      </c>
      <c r="DV861" s="17" t="n"/>
      <c r="DW861" s="16" t="n"/>
      <c r="DX861" s="20" t="inlineStr">
        <is>
          <t>IC Organic Acids</t>
        </is>
      </c>
      <c r="DY861" s="20" t="inlineStr">
        <is>
          <t>None</t>
        </is>
      </c>
      <c r="DZ861" s="17" t="n"/>
      <c r="EA861" s="16" t="n"/>
      <c r="EB861" s="20" t="inlineStr">
        <is>
          <t>IC Organic Acids</t>
        </is>
      </c>
      <c r="EC861" s="20" t="inlineStr">
        <is>
          <t>None</t>
        </is>
      </c>
      <c r="ED861" s="17" t="n"/>
      <c r="EE861" s="16" t="n"/>
      <c r="EF861" s="20" t="inlineStr">
        <is>
          <t>IC Organic Acids</t>
        </is>
      </c>
      <c r="EG861" s="20" t="inlineStr">
        <is>
          <t>None</t>
        </is>
      </c>
      <c r="EH861" s="17" t="n"/>
      <c r="EI861" s="16" t="n"/>
      <c r="EJ861" s="20" t="inlineStr">
        <is>
          <t>IC Organic Acids</t>
        </is>
      </c>
      <c r="EK861" s="20" t="inlineStr">
        <is>
          <t>None</t>
        </is>
      </c>
      <c r="EL861" s="17" t="n"/>
      <c r="EM861" s="16" t="n"/>
      <c r="EN861" s="20" t="inlineStr">
        <is>
          <t>IC Organic Acids</t>
        </is>
      </c>
      <c r="EO861" s="20" t="inlineStr">
        <is>
          <t>None</t>
        </is>
      </c>
      <c r="EP861" s="17" t="n"/>
      <c r="EQ861" s="16" t="n"/>
      <c r="ER861" s="20" t="inlineStr">
        <is>
          <t>IC Organic Acids</t>
        </is>
      </c>
      <c r="ES861" s="20" t="inlineStr">
        <is>
          <t>None</t>
        </is>
      </c>
      <c r="ET861" s="17" t="n"/>
      <c r="EU861" s="16" t="n"/>
      <c r="EV861" s="20" t="inlineStr">
        <is>
          <t>LC-MS</t>
        </is>
      </c>
      <c r="EW861" s="20" t="inlineStr">
        <is>
          <t>None</t>
        </is>
      </c>
      <c r="EX861" s="17" t="n"/>
      <c r="EY861" s="21" t="n"/>
      <c r="EZ861">
        <f>CONCATENATE(A861,B861)</f>
        <v/>
      </c>
      <c r="FA861">
        <f>CONCATENATE(SamplesX!A861,SamplesX!B861)</f>
        <v/>
      </c>
      <c r="FC861">
        <f>MATCH(EZ861,FA1:FA1008,0)</f>
        <v/>
      </c>
    </row>
    <row r="862">
      <c r="A862" s="16" t="n"/>
      <c r="B862" s="17" t="n"/>
      <c r="C862" s="10">
        <f>IF(ISNUMBER(FC862),INDIRECT("SamplesX!C"&amp;FC862),IF(ISNUMBER(FD862),INDIRECT("SamplesY!C"&amp;FD862),""))</f>
        <v/>
      </c>
      <c r="D862" s="12">
        <f>IF(ISNUMBER(FC862),INDIRECT("SamplesX!D"&amp;FC862),IF(ISNUMBER(FD862),INDIRECT("SamplesY!D"&amp;FD862),""))</f>
        <v/>
      </c>
      <c r="E862" s="12">
        <f>IF(ISNUMBER(FC862),INDIRECT("SamplesX!E"&amp;FC862),IF(ISNUMBER(FD862),INDIRECT("SamplesY!E"&amp;FD862),""))</f>
        <v/>
      </c>
      <c r="F862" s="11">
        <f>IF(ISNUMBER(FC862),INDIRECT("SamplesX!F"&amp;FC862),IF(ISNUMBER(FD862),INDIRECT("SamplesY!F"&amp;FD862),""))</f>
        <v/>
      </c>
      <c r="G862" s="18">
        <f>IF(ISNUMBER(FC862),INDIRECT("SamplesX!G"&amp;FC862),IF(ISNUMBER(FD862),INDIRECT("SamplesY!G"&amp;FD862),""))</f>
        <v/>
      </c>
      <c r="H862" s="19">
        <f>IF(ISNUMBER(FC862),INDIRECT("SamplesX!H"&amp;FC862),IF(ISNUMBER(FD862),INDIRECT("SamplesY!H"&amp;FD862),""))</f>
        <v/>
      </c>
      <c r="I862" s="16" t="n"/>
      <c r="J862" s="16" t="n"/>
      <c r="K862" s="16" t="n"/>
      <c r="L862" s="20" t="n"/>
      <c r="M862" s="20" t="inlineStr">
        <is>
          <t>None</t>
        </is>
      </c>
      <c r="N862" s="17" t="n"/>
      <c r="O862" s="16" t="n"/>
      <c r="P862" s="20" t="inlineStr">
        <is>
          <t>Shimadzu TOC-L</t>
        </is>
      </c>
      <c r="Q862" s="20" t="inlineStr">
        <is>
          <t>None</t>
        </is>
      </c>
      <c r="R862" s="17" t="n"/>
      <c r="S862" s="16" t="n"/>
      <c r="T862" s="20" t="inlineStr">
        <is>
          <t>Shimadzu TOC-L</t>
        </is>
      </c>
      <c r="U862" s="20" t="inlineStr">
        <is>
          <t>None</t>
        </is>
      </c>
      <c r="V862" s="17" t="n"/>
      <c r="W862" s="16" t="n"/>
      <c r="X862" s="20" t="n"/>
      <c r="Y862" s="20" t="inlineStr">
        <is>
          <t>None</t>
        </is>
      </c>
      <c r="Z862" s="17" t="n"/>
      <c r="AA862" s="16" t="n"/>
      <c r="AB862" s="20" t="n"/>
      <c r="AC862" s="20" t="inlineStr">
        <is>
          <t>None</t>
        </is>
      </c>
      <c r="AD862" s="17" t="n"/>
      <c r="AE862" s="16" t="n"/>
      <c r="AF862" s="20" t="inlineStr">
        <is>
          <t>IC Anionen</t>
        </is>
      </c>
      <c r="AG862" s="20" t="inlineStr">
        <is>
          <t>None</t>
        </is>
      </c>
      <c r="AH862" s="17" t="n"/>
      <c r="AI862" s="16" t="n"/>
      <c r="AJ862" s="20" t="n"/>
      <c r="AK862" s="20" t="inlineStr">
        <is>
          <t>None</t>
        </is>
      </c>
      <c r="AL862" s="17" t="n"/>
      <c r="AM862" s="16" t="n"/>
      <c r="AN862" s="20" t="inlineStr">
        <is>
          <t>IC Anionen</t>
        </is>
      </c>
      <c r="AO862" s="20" t="inlineStr">
        <is>
          <t>None</t>
        </is>
      </c>
      <c r="AP862" s="17" t="n"/>
      <c r="AQ862" s="16" t="n"/>
      <c r="AR862" s="20" t="n"/>
      <c r="AS862" s="20" t="inlineStr">
        <is>
          <t>None</t>
        </is>
      </c>
      <c r="AT862" s="17" t="n"/>
      <c r="AU862" s="16" t="n"/>
      <c r="AV862" s="20" t="n"/>
      <c r="AW862" s="20" t="inlineStr">
        <is>
          <t>None</t>
        </is>
      </c>
      <c r="AX862" s="17" t="n"/>
      <c r="AY862" s="16" t="n"/>
      <c r="AZ862" s="20" t="inlineStr">
        <is>
          <t>IC Anionen</t>
        </is>
      </c>
      <c r="BA862" s="20" t="inlineStr">
        <is>
          <t>None</t>
        </is>
      </c>
      <c r="BB862" s="17" t="n"/>
      <c r="BC862" s="16" t="n"/>
      <c r="BD862" s="20" t="inlineStr">
        <is>
          <t>IC Kationen</t>
        </is>
      </c>
      <c r="BE862" s="20" t="inlineStr">
        <is>
          <t>None</t>
        </is>
      </c>
      <c r="BF862" s="17" t="n"/>
      <c r="BG862" s="16" t="n"/>
      <c r="BH862" s="20" t="inlineStr">
        <is>
          <t>IC Kationen</t>
        </is>
      </c>
      <c r="BI862" s="20" t="inlineStr">
        <is>
          <t>None</t>
        </is>
      </c>
      <c r="BJ862" s="17" t="n"/>
      <c r="BK862" s="16" t="n"/>
      <c r="BL862" s="20" t="inlineStr">
        <is>
          <t>IC Kationen</t>
        </is>
      </c>
      <c r="BM862" s="20" t="inlineStr">
        <is>
          <t>None</t>
        </is>
      </c>
      <c r="BN862" s="17" t="n"/>
      <c r="BO862" s="16" t="n"/>
      <c r="BP862" s="20" t="inlineStr">
        <is>
          <t>IC Kationen</t>
        </is>
      </c>
      <c r="BQ862" s="20" t="inlineStr">
        <is>
          <t>None</t>
        </is>
      </c>
      <c r="BR862" s="17" t="n"/>
      <c r="BS862" s="16" t="n"/>
      <c r="BT862" s="20" t="inlineStr">
        <is>
          <t>IC Kationen</t>
        </is>
      </c>
      <c r="BU862" s="20" t="inlineStr">
        <is>
          <t>None</t>
        </is>
      </c>
      <c r="BV862" s="17" t="n"/>
      <c r="BW862" s="16" t="n"/>
      <c r="BX862" s="20" t="n"/>
      <c r="BY862" s="20" t="inlineStr">
        <is>
          <t>None</t>
        </is>
      </c>
      <c r="BZ862" s="17" t="n"/>
      <c r="CA862" s="16" t="n"/>
      <c r="CB862" s="20" t="n"/>
      <c r="CC862" s="20" t="inlineStr">
        <is>
          <t>None</t>
        </is>
      </c>
      <c r="CD862" s="17" t="n"/>
      <c r="CE862" s="16" t="n"/>
      <c r="CF862" s="20" t="n"/>
      <c r="CG862" s="20" t="inlineStr">
        <is>
          <t>None</t>
        </is>
      </c>
      <c r="CH862" s="17" t="n"/>
      <c r="CI862" s="16" t="n"/>
      <c r="CJ862" s="20" t="n"/>
      <c r="CK862" s="20" t="inlineStr">
        <is>
          <t>None</t>
        </is>
      </c>
      <c r="CL862" s="17" t="n"/>
      <c r="CM862" s="16" t="n"/>
      <c r="CN862" s="20" t="inlineStr">
        <is>
          <t>SOP 45-34</t>
        </is>
      </c>
      <c r="CO862" s="20" t="inlineStr">
        <is>
          <t>None</t>
        </is>
      </c>
      <c r="CP862" s="17" t="n"/>
      <c r="CQ862" s="16" t="n"/>
      <c r="CR862" s="20" t="n"/>
      <c r="CS862" s="20" t="inlineStr">
        <is>
          <t>None</t>
        </is>
      </c>
      <c r="CT862" s="17" t="n"/>
      <c r="CU862" s="16" t="n"/>
      <c r="CV862" s="20" t="n"/>
      <c r="CW862" s="20" t="inlineStr">
        <is>
          <t>None</t>
        </is>
      </c>
      <c r="CX862" s="17" t="n"/>
      <c r="CY862" s="16" t="n"/>
      <c r="CZ862" s="20" t="inlineStr">
        <is>
          <t>WTW Multimeter 3430 with FDO 925</t>
        </is>
      </c>
      <c r="DA862" s="20" t="inlineStr">
        <is>
          <t>None</t>
        </is>
      </c>
      <c r="DB862" s="17" t="n"/>
      <c r="DC862" s="16" t="n"/>
      <c r="DD862" s="20" t="n"/>
      <c r="DE862" s="20" t="inlineStr">
        <is>
          <t>None</t>
        </is>
      </c>
      <c r="DF862" s="17" t="n"/>
      <c r="DG862" s="16" t="n"/>
      <c r="DH862" s="20" t="inlineStr">
        <is>
          <t>SOP 45-09</t>
        </is>
      </c>
      <c r="DI862" s="20" t="inlineStr">
        <is>
          <t>None</t>
        </is>
      </c>
      <c r="DJ862" s="17" t="n"/>
      <c r="DK862" s="16" t="n"/>
      <c r="DL862" s="20" t="inlineStr">
        <is>
          <t>SOP 45-09 (SOP muss noch angepasst werden für VSS)</t>
        </is>
      </c>
      <c r="DM862" s="20" t="inlineStr">
        <is>
          <t>None</t>
        </is>
      </c>
      <c r="DN862" s="17" t="n"/>
      <c r="DO862" s="16" t="n"/>
      <c r="DP862" s="20" t="inlineStr">
        <is>
          <t>IC Organic Acids</t>
        </is>
      </c>
      <c r="DQ862" s="20" t="inlineStr">
        <is>
          <t>None</t>
        </is>
      </c>
      <c r="DR862" s="17" t="n"/>
      <c r="DS862" s="16" t="n"/>
      <c r="DT862" s="20" t="inlineStr">
        <is>
          <t>IC Organic Acids</t>
        </is>
      </c>
      <c r="DU862" s="20" t="inlineStr">
        <is>
          <t>None</t>
        </is>
      </c>
      <c r="DV862" s="17" t="n"/>
      <c r="DW862" s="16" t="n"/>
      <c r="DX862" s="20" t="inlineStr">
        <is>
          <t>IC Organic Acids</t>
        </is>
      </c>
      <c r="DY862" s="20" t="inlineStr">
        <is>
          <t>None</t>
        </is>
      </c>
      <c r="DZ862" s="17" t="n"/>
      <c r="EA862" s="16" t="n"/>
      <c r="EB862" s="20" t="inlineStr">
        <is>
          <t>IC Organic Acids</t>
        </is>
      </c>
      <c r="EC862" s="20" t="inlineStr">
        <is>
          <t>None</t>
        </is>
      </c>
      <c r="ED862" s="17" t="n"/>
      <c r="EE862" s="16" t="n"/>
      <c r="EF862" s="20" t="inlineStr">
        <is>
          <t>IC Organic Acids</t>
        </is>
      </c>
      <c r="EG862" s="20" t="inlineStr">
        <is>
          <t>None</t>
        </is>
      </c>
      <c r="EH862" s="17" t="n"/>
      <c r="EI862" s="16" t="n"/>
      <c r="EJ862" s="20" t="inlineStr">
        <is>
          <t>IC Organic Acids</t>
        </is>
      </c>
      <c r="EK862" s="20" t="inlineStr">
        <is>
          <t>None</t>
        </is>
      </c>
      <c r="EL862" s="17" t="n"/>
      <c r="EM862" s="16" t="n"/>
      <c r="EN862" s="20" t="inlineStr">
        <is>
          <t>IC Organic Acids</t>
        </is>
      </c>
      <c r="EO862" s="20" t="inlineStr">
        <is>
          <t>None</t>
        </is>
      </c>
      <c r="EP862" s="17" t="n"/>
      <c r="EQ862" s="16" t="n"/>
      <c r="ER862" s="20" t="inlineStr">
        <is>
          <t>IC Organic Acids</t>
        </is>
      </c>
      <c r="ES862" s="20" t="inlineStr">
        <is>
          <t>None</t>
        </is>
      </c>
      <c r="ET862" s="17" t="n"/>
      <c r="EU862" s="16" t="n"/>
      <c r="EV862" s="20" t="inlineStr">
        <is>
          <t>LC-MS</t>
        </is>
      </c>
      <c r="EW862" s="20" t="inlineStr">
        <is>
          <t>None</t>
        </is>
      </c>
      <c r="EX862" s="17" t="n"/>
      <c r="EY862" s="21" t="n"/>
      <c r="EZ862">
        <f>CONCATENATE(A862,B862)</f>
        <v/>
      </c>
      <c r="FA862">
        <f>CONCATENATE(SamplesX!A862,SamplesX!B862)</f>
        <v/>
      </c>
      <c r="FC862">
        <f>MATCH(EZ862,FA1:FA1008,0)</f>
        <v/>
      </c>
    </row>
    <row r="863">
      <c r="A863" s="16" t="n"/>
      <c r="B863" s="17" t="n"/>
      <c r="C863" s="10">
        <f>IF(ISNUMBER(FC863),INDIRECT("SamplesX!C"&amp;FC863),IF(ISNUMBER(FD863),INDIRECT("SamplesY!C"&amp;FD863),""))</f>
        <v/>
      </c>
      <c r="D863" s="12">
        <f>IF(ISNUMBER(FC863),INDIRECT("SamplesX!D"&amp;FC863),IF(ISNUMBER(FD863),INDIRECT("SamplesY!D"&amp;FD863),""))</f>
        <v/>
      </c>
      <c r="E863" s="12">
        <f>IF(ISNUMBER(FC863),INDIRECT("SamplesX!E"&amp;FC863),IF(ISNUMBER(FD863),INDIRECT("SamplesY!E"&amp;FD863),""))</f>
        <v/>
      </c>
      <c r="F863" s="11">
        <f>IF(ISNUMBER(FC863),INDIRECT("SamplesX!F"&amp;FC863),IF(ISNUMBER(FD863),INDIRECT("SamplesY!F"&amp;FD863),""))</f>
        <v/>
      </c>
      <c r="G863" s="18">
        <f>IF(ISNUMBER(FC863),INDIRECT("SamplesX!G"&amp;FC863),IF(ISNUMBER(FD863),INDIRECT("SamplesY!G"&amp;FD863),""))</f>
        <v/>
      </c>
      <c r="H863" s="19">
        <f>IF(ISNUMBER(FC863),INDIRECT("SamplesX!H"&amp;FC863),IF(ISNUMBER(FD863),INDIRECT("SamplesY!H"&amp;FD863),""))</f>
        <v/>
      </c>
      <c r="I863" s="16" t="n"/>
      <c r="J863" s="16" t="n"/>
      <c r="K863" s="16" t="n"/>
      <c r="L863" s="20" t="n"/>
      <c r="M863" s="20" t="inlineStr">
        <is>
          <t>None</t>
        </is>
      </c>
      <c r="N863" s="17" t="n"/>
      <c r="O863" s="16" t="n"/>
      <c r="P863" s="20" t="inlineStr">
        <is>
          <t>Shimadzu TOC-L</t>
        </is>
      </c>
      <c r="Q863" s="20" t="inlineStr">
        <is>
          <t>None</t>
        </is>
      </c>
      <c r="R863" s="17" t="n"/>
      <c r="S863" s="16" t="n"/>
      <c r="T863" s="20" t="inlineStr">
        <is>
          <t>Shimadzu TOC-L</t>
        </is>
      </c>
      <c r="U863" s="20" t="inlineStr">
        <is>
          <t>None</t>
        </is>
      </c>
      <c r="V863" s="17" t="n"/>
      <c r="W863" s="16" t="n"/>
      <c r="X863" s="20" t="n"/>
      <c r="Y863" s="20" t="inlineStr">
        <is>
          <t>None</t>
        </is>
      </c>
      <c r="Z863" s="17" t="n"/>
      <c r="AA863" s="16" t="n"/>
      <c r="AB863" s="20" t="n"/>
      <c r="AC863" s="20" t="inlineStr">
        <is>
          <t>None</t>
        </is>
      </c>
      <c r="AD863" s="17" t="n"/>
      <c r="AE863" s="16" t="n"/>
      <c r="AF863" s="20" t="inlineStr">
        <is>
          <t>IC Anionen</t>
        </is>
      </c>
      <c r="AG863" s="20" t="inlineStr">
        <is>
          <t>None</t>
        </is>
      </c>
      <c r="AH863" s="17" t="n"/>
      <c r="AI863" s="16" t="n"/>
      <c r="AJ863" s="20" t="n"/>
      <c r="AK863" s="20" t="inlineStr">
        <is>
          <t>None</t>
        </is>
      </c>
      <c r="AL863" s="17" t="n"/>
      <c r="AM863" s="16" t="n"/>
      <c r="AN863" s="20" t="inlineStr">
        <is>
          <t>IC Anionen</t>
        </is>
      </c>
      <c r="AO863" s="20" t="inlineStr">
        <is>
          <t>None</t>
        </is>
      </c>
      <c r="AP863" s="17" t="n"/>
      <c r="AQ863" s="16" t="n"/>
      <c r="AR863" s="20" t="n"/>
      <c r="AS863" s="20" t="inlineStr">
        <is>
          <t>None</t>
        </is>
      </c>
      <c r="AT863" s="17" t="n"/>
      <c r="AU863" s="16" t="n"/>
      <c r="AV863" s="20" t="n"/>
      <c r="AW863" s="20" t="inlineStr">
        <is>
          <t>None</t>
        </is>
      </c>
      <c r="AX863" s="17" t="n"/>
      <c r="AY863" s="16" t="n"/>
      <c r="AZ863" s="20" t="inlineStr">
        <is>
          <t>IC Anionen</t>
        </is>
      </c>
      <c r="BA863" s="20" t="inlineStr">
        <is>
          <t>None</t>
        </is>
      </c>
      <c r="BB863" s="17" t="n"/>
      <c r="BC863" s="16" t="n"/>
      <c r="BD863" s="20" t="inlineStr">
        <is>
          <t>IC Kationen</t>
        </is>
      </c>
      <c r="BE863" s="20" t="inlineStr">
        <is>
          <t>None</t>
        </is>
      </c>
      <c r="BF863" s="17" t="n"/>
      <c r="BG863" s="16" t="n"/>
      <c r="BH863" s="20" t="inlineStr">
        <is>
          <t>IC Kationen</t>
        </is>
      </c>
      <c r="BI863" s="20" t="inlineStr">
        <is>
          <t>None</t>
        </is>
      </c>
      <c r="BJ863" s="17" t="n"/>
      <c r="BK863" s="16" t="n"/>
      <c r="BL863" s="20" t="inlineStr">
        <is>
          <t>IC Kationen</t>
        </is>
      </c>
      <c r="BM863" s="20" t="inlineStr">
        <is>
          <t>None</t>
        </is>
      </c>
      <c r="BN863" s="17" t="n"/>
      <c r="BO863" s="16" t="n"/>
      <c r="BP863" s="20" t="inlineStr">
        <is>
          <t>IC Kationen</t>
        </is>
      </c>
      <c r="BQ863" s="20" t="inlineStr">
        <is>
          <t>None</t>
        </is>
      </c>
      <c r="BR863" s="17" t="n"/>
      <c r="BS863" s="16" t="n"/>
      <c r="BT863" s="20" t="inlineStr">
        <is>
          <t>IC Kationen</t>
        </is>
      </c>
      <c r="BU863" s="20" t="inlineStr">
        <is>
          <t>None</t>
        </is>
      </c>
      <c r="BV863" s="17" t="n"/>
      <c r="BW863" s="16" t="n"/>
      <c r="BX863" s="20" t="n"/>
      <c r="BY863" s="20" t="inlineStr">
        <is>
          <t>None</t>
        </is>
      </c>
      <c r="BZ863" s="17" t="n"/>
      <c r="CA863" s="16" t="n"/>
      <c r="CB863" s="20" t="n"/>
      <c r="CC863" s="20" t="inlineStr">
        <is>
          <t>None</t>
        </is>
      </c>
      <c r="CD863" s="17" t="n"/>
      <c r="CE863" s="16" t="n"/>
      <c r="CF863" s="20" t="n"/>
      <c r="CG863" s="20" t="inlineStr">
        <is>
          <t>None</t>
        </is>
      </c>
      <c r="CH863" s="17" t="n"/>
      <c r="CI863" s="16" t="n"/>
      <c r="CJ863" s="20" t="n"/>
      <c r="CK863" s="20" t="inlineStr">
        <is>
          <t>None</t>
        </is>
      </c>
      <c r="CL863" s="17" t="n"/>
      <c r="CM863" s="16" t="n"/>
      <c r="CN863" s="20" t="inlineStr">
        <is>
          <t>SOP 45-34</t>
        </is>
      </c>
      <c r="CO863" s="20" t="inlineStr">
        <is>
          <t>None</t>
        </is>
      </c>
      <c r="CP863" s="17" t="n"/>
      <c r="CQ863" s="16" t="n"/>
      <c r="CR863" s="20" t="n"/>
      <c r="CS863" s="20" t="inlineStr">
        <is>
          <t>None</t>
        </is>
      </c>
      <c r="CT863" s="17" t="n"/>
      <c r="CU863" s="16" t="n"/>
      <c r="CV863" s="20" t="n"/>
      <c r="CW863" s="20" t="inlineStr">
        <is>
          <t>None</t>
        </is>
      </c>
      <c r="CX863" s="17" t="n"/>
      <c r="CY863" s="16" t="n"/>
      <c r="CZ863" s="20" t="inlineStr">
        <is>
          <t>WTW Multimeter 3430 with FDO 925</t>
        </is>
      </c>
      <c r="DA863" s="20" t="inlineStr">
        <is>
          <t>None</t>
        </is>
      </c>
      <c r="DB863" s="17" t="n"/>
      <c r="DC863" s="16" t="n"/>
      <c r="DD863" s="20" t="n"/>
      <c r="DE863" s="20" t="inlineStr">
        <is>
          <t>None</t>
        </is>
      </c>
      <c r="DF863" s="17" t="n"/>
      <c r="DG863" s="16" t="n"/>
      <c r="DH863" s="20" t="inlineStr">
        <is>
          <t>SOP 45-09</t>
        </is>
      </c>
      <c r="DI863" s="20" t="inlineStr">
        <is>
          <t>None</t>
        </is>
      </c>
      <c r="DJ863" s="17" t="n"/>
      <c r="DK863" s="16" t="n"/>
      <c r="DL863" s="20" t="inlineStr">
        <is>
          <t>SOP 45-09 (SOP muss noch angepasst werden für VSS)</t>
        </is>
      </c>
      <c r="DM863" s="20" t="inlineStr">
        <is>
          <t>None</t>
        </is>
      </c>
      <c r="DN863" s="17" t="n"/>
      <c r="DO863" s="16" t="n"/>
      <c r="DP863" s="20" t="inlineStr">
        <is>
          <t>IC Organic Acids</t>
        </is>
      </c>
      <c r="DQ863" s="20" t="inlineStr">
        <is>
          <t>None</t>
        </is>
      </c>
      <c r="DR863" s="17" t="n"/>
      <c r="DS863" s="16" t="n"/>
      <c r="DT863" s="20" t="inlineStr">
        <is>
          <t>IC Organic Acids</t>
        </is>
      </c>
      <c r="DU863" s="20" t="inlineStr">
        <is>
          <t>None</t>
        </is>
      </c>
      <c r="DV863" s="17" t="n"/>
      <c r="DW863" s="16" t="n"/>
      <c r="DX863" s="20" t="inlineStr">
        <is>
          <t>IC Organic Acids</t>
        </is>
      </c>
      <c r="DY863" s="20" t="inlineStr">
        <is>
          <t>None</t>
        </is>
      </c>
      <c r="DZ863" s="17" t="n"/>
      <c r="EA863" s="16" t="n"/>
      <c r="EB863" s="20" t="inlineStr">
        <is>
          <t>IC Organic Acids</t>
        </is>
      </c>
      <c r="EC863" s="20" t="inlineStr">
        <is>
          <t>None</t>
        </is>
      </c>
      <c r="ED863" s="17" t="n"/>
      <c r="EE863" s="16" t="n"/>
      <c r="EF863" s="20" t="inlineStr">
        <is>
          <t>IC Organic Acids</t>
        </is>
      </c>
      <c r="EG863" s="20" t="inlineStr">
        <is>
          <t>None</t>
        </is>
      </c>
      <c r="EH863" s="17" t="n"/>
      <c r="EI863" s="16" t="n"/>
      <c r="EJ863" s="20" t="inlineStr">
        <is>
          <t>IC Organic Acids</t>
        </is>
      </c>
      <c r="EK863" s="20" t="inlineStr">
        <is>
          <t>None</t>
        </is>
      </c>
      <c r="EL863" s="17" t="n"/>
      <c r="EM863" s="16" t="n"/>
      <c r="EN863" s="20" t="inlineStr">
        <is>
          <t>IC Organic Acids</t>
        </is>
      </c>
      <c r="EO863" s="20" t="inlineStr">
        <is>
          <t>None</t>
        </is>
      </c>
      <c r="EP863" s="17" t="n"/>
      <c r="EQ863" s="16" t="n"/>
      <c r="ER863" s="20" t="inlineStr">
        <is>
          <t>IC Organic Acids</t>
        </is>
      </c>
      <c r="ES863" s="20" t="inlineStr">
        <is>
          <t>None</t>
        </is>
      </c>
      <c r="ET863" s="17" t="n"/>
      <c r="EU863" s="16" t="n"/>
      <c r="EV863" s="20" t="inlineStr">
        <is>
          <t>LC-MS</t>
        </is>
      </c>
      <c r="EW863" s="20" t="inlineStr">
        <is>
          <t>None</t>
        </is>
      </c>
      <c r="EX863" s="17" t="n"/>
      <c r="EY863" s="21" t="n"/>
      <c r="EZ863">
        <f>CONCATENATE(A863,B863)</f>
        <v/>
      </c>
      <c r="FA863">
        <f>CONCATENATE(SamplesX!A863,SamplesX!B863)</f>
        <v/>
      </c>
      <c r="FC863">
        <f>MATCH(EZ863,FA1:FA1008,0)</f>
        <v/>
      </c>
    </row>
    <row r="864">
      <c r="A864" s="16" t="n"/>
      <c r="B864" s="17" t="n"/>
      <c r="C864" s="10">
        <f>IF(ISNUMBER(FC864),INDIRECT("SamplesX!C"&amp;FC864),IF(ISNUMBER(FD864),INDIRECT("SamplesY!C"&amp;FD864),""))</f>
        <v/>
      </c>
      <c r="D864" s="12">
        <f>IF(ISNUMBER(FC864),INDIRECT("SamplesX!D"&amp;FC864),IF(ISNUMBER(FD864),INDIRECT("SamplesY!D"&amp;FD864),""))</f>
        <v/>
      </c>
      <c r="E864" s="12">
        <f>IF(ISNUMBER(FC864),INDIRECT("SamplesX!E"&amp;FC864),IF(ISNUMBER(FD864),INDIRECT("SamplesY!E"&amp;FD864),""))</f>
        <v/>
      </c>
      <c r="F864" s="11">
        <f>IF(ISNUMBER(FC864),INDIRECT("SamplesX!F"&amp;FC864),IF(ISNUMBER(FD864),INDIRECT("SamplesY!F"&amp;FD864),""))</f>
        <v/>
      </c>
      <c r="G864" s="18">
        <f>IF(ISNUMBER(FC864),INDIRECT("SamplesX!G"&amp;FC864),IF(ISNUMBER(FD864),INDIRECT("SamplesY!G"&amp;FD864),""))</f>
        <v/>
      </c>
      <c r="H864" s="19">
        <f>IF(ISNUMBER(FC864),INDIRECT("SamplesX!H"&amp;FC864),IF(ISNUMBER(FD864),INDIRECT("SamplesY!H"&amp;FD864),""))</f>
        <v/>
      </c>
      <c r="I864" s="16" t="n"/>
      <c r="J864" s="16" t="n"/>
      <c r="K864" s="16" t="n"/>
      <c r="L864" s="20" t="n"/>
      <c r="M864" s="20" t="inlineStr">
        <is>
          <t>None</t>
        </is>
      </c>
      <c r="N864" s="17" t="n"/>
      <c r="O864" s="16" t="n"/>
      <c r="P864" s="20" t="inlineStr">
        <is>
          <t>Shimadzu TOC-L</t>
        </is>
      </c>
      <c r="Q864" s="20" t="inlineStr">
        <is>
          <t>None</t>
        </is>
      </c>
      <c r="R864" s="17" t="n"/>
      <c r="S864" s="16" t="n"/>
      <c r="T864" s="20" t="inlineStr">
        <is>
          <t>Shimadzu TOC-L</t>
        </is>
      </c>
      <c r="U864" s="20" t="inlineStr">
        <is>
          <t>None</t>
        </is>
      </c>
      <c r="V864" s="17" t="n"/>
      <c r="W864" s="16" t="n"/>
      <c r="X864" s="20" t="n"/>
      <c r="Y864" s="20" t="inlineStr">
        <is>
          <t>None</t>
        </is>
      </c>
      <c r="Z864" s="17" t="n"/>
      <c r="AA864" s="16" t="n"/>
      <c r="AB864" s="20" t="n"/>
      <c r="AC864" s="20" t="inlineStr">
        <is>
          <t>None</t>
        </is>
      </c>
      <c r="AD864" s="17" t="n"/>
      <c r="AE864" s="16" t="n"/>
      <c r="AF864" s="20" t="inlineStr">
        <is>
          <t>IC Anionen</t>
        </is>
      </c>
      <c r="AG864" s="20" t="inlineStr">
        <is>
          <t>None</t>
        </is>
      </c>
      <c r="AH864" s="17" t="n"/>
      <c r="AI864" s="16" t="n"/>
      <c r="AJ864" s="20" t="n"/>
      <c r="AK864" s="20" t="inlineStr">
        <is>
          <t>None</t>
        </is>
      </c>
      <c r="AL864" s="17" t="n"/>
      <c r="AM864" s="16" t="n"/>
      <c r="AN864" s="20" t="inlineStr">
        <is>
          <t>IC Anionen</t>
        </is>
      </c>
      <c r="AO864" s="20" t="inlineStr">
        <is>
          <t>None</t>
        </is>
      </c>
      <c r="AP864" s="17" t="n"/>
      <c r="AQ864" s="16" t="n"/>
      <c r="AR864" s="20" t="n"/>
      <c r="AS864" s="20" t="inlineStr">
        <is>
          <t>None</t>
        </is>
      </c>
      <c r="AT864" s="17" t="n"/>
      <c r="AU864" s="16" t="n"/>
      <c r="AV864" s="20" t="n"/>
      <c r="AW864" s="20" t="inlineStr">
        <is>
          <t>None</t>
        </is>
      </c>
      <c r="AX864" s="17" t="n"/>
      <c r="AY864" s="16" t="n"/>
      <c r="AZ864" s="20" t="inlineStr">
        <is>
          <t>IC Anionen</t>
        </is>
      </c>
      <c r="BA864" s="20" t="inlineStr">
        <is>
          <t>None</t>
        </is>
      </c>
      <c r="BB864" s="17" t="n"/>
      <c r="BC864" s="16" t="n"/>
      <c r="BD864" s="20" t="inlineStr">
        <is>
          <t>IC Kationen</t>
        </is>
      </c>
      <c r="BE864" s="20" t="inlineStr">
        <is>
          <t>None</t>
        </is>
      </c>
      <c r="BF864" s="17" t="n"/>
      <c r="BG864" s="16" t="n"/>
      <c r="BH864" s="20" t="inlineStr">
        <is>
          <t>IC Kationen</t>
        </is>
      </c>
      <c r="BI864" s="20" t="inlineStr">
        <is>
          <t>None</t>
        </is>
      </c>
      <c r="BJ864" s="17" t="n"/>
      <c r="BK864" s="16" t="n"/>
      <c r="BL864" s="20" t="inlineStr">
        <is>
          <t>IC Kationen</t>
        </is>
      </c>
      <c r="BM864" s="20" t="inlineStr">
        <is>
          <t>None</t>
        </is>
      </c>
      <c r="BN864" s="17" t="n"/>
      <c r="BO864" s="16" t="n"/>
      <c r="BP864" s="20" t="inlineStr">
        <is>
          <t>IC Kationen</t>
        </is>
      </c>
      <c r="BQ864" s="20" t="inlineStr">
        <is>
          <t>None</t>
        </is>
      </c>
      <c r="BR864" s="17" t="n"/>
      <c r="BS864" s="16" t="n"/>
      <c r="BT864" s="20" t="inlineStr">
        <is>
          <t>IC Kationen</t>
        </is>
      </c>
      <c r="BU864" s="20" t="inlineStr">
        <is>
          <t>None</t>
        </is>
      </c>
      <c r="BV864" s="17" t="n"/>
      <c r="BW864" s="16" t="n"/>
      <c r="BX864" s="20" t="n"/>
      <c r="BY864" s="20" t="inlineStr">
        <is>
          <t>None</t>
        </is>
      </c>
      <c r="BZ864" s="17" t="n"/>
      <c r="CA864" s="16" t="n"/>
      <c r="CB864" s="20" t="n"/>
      <c r="CC864" s="20" t="inlineStr">
        <is>
          <t>None</t>
        </is>
      </c>
      <c r="CD864" s="17" t="n"/>
      <c r="CE864" s="16" t="n"/>
      <c r="CF864" s="20" t="n"/>
      <c r="CG864" s="20" t="inlineStr">
        <is>
          <t>None</t>
        </is>
      </c>
      <c r="CH864" s="17" t="n"/>
      <c r="CI864" s="16" t="n"/>
      <c r="CJ864" s="20" t="n"/>
      <c r="CK864" s="20" t="inlineStr">
        <is>
          <t>None</t>
        </is>
      </c>
      <c r="CL864" s="17" t="n"/>
      <c r="CM864" s="16" t="n"/>
      <c r="CN864" s="20" t="inlineStr">
        <is>
          <t>SOP 45-34</t>
        </is>
      </c>
      <c r="CO864" s="20" t="inlineStr">
        <is>
          <t>None</t>
        </is>
      </c>
      <c r="CP864" s="17" t="n"/>
      <c r="CQ864" s="16" t="n"/>
      <c r="CR864" s="20" t="n"/>
      <c r="CS864" s="20" t="inlineStr">
        <is>
          <t>None</t>
        </is>
      </c>
      <c r="CT864" s="17" t="n"/>
      <c r="CU864" s="16" t="n"/>
      <c r="CV864" s="20" t="n"/>
      <c r="CW864" s="20" t="inlineStr">
        <is>
          <t>None</t>
        </is>
      </c>
      <c r="CX864" s="17" t="n"/>
      <c r="CY864" s="16" t="n"/>
      <c r="CZ864" s="20" t="inlineStr">
        <is>
          <t>WTW Multimeter 3430 with FDO 925</t>
        </is>
      </c>
      <c r="DA864" s="20" t="inlineStr">
        <is>
          <t>None</t>
        </is>
      </c>
      <c r="DB864" s="17" t="n"/>
      <c r="DC864" s="16" t="n"/>
      <c r="DD864" s="20" t="n"/>
      <c r="DE864" s="20" t="inlineStr">
        <is>
          <t>None</t>
        </is>
      </c>
      <c r="DF864" s="17" t="n"/>
      <c r="DG864" s="16" t="n"/>
      <c r="DH864" s="20" t="inlineStr">
        <is>
          <t>SOP 45-09</t>
        </is>
      </c>
      <c r="DI864" s="20" t="inlineStr">
        <is>
          <t>None</t>
        </is>
      </c>
      <c r="DJ864" s="17" t="n"/>
      <c r="DK864" s="16" t="n"/>
      <c r="DL864" s="20" t="inlineStr">
        <is>
          <t>SOP 45-09 (SOP muss noch angepasst werden für VSS)</t>
        </is>
      </c>
      <c r="DM864" s="20" t="inlineStr">
        <is>
          <t>None</t>
        </is>
      </c>
      <c r="DN864" s="17" t="n"/>
      <c r="DO864" s="16" t="n"/>
      <c r="DP864" s="20" t="inlineStr">
        <is>
          <t>IC Organic Acids</t>
        </is>
      </c>
      <c r="DQ864" s="20" t="inlineStr">
        <is>
          <t>None</t>
        </is>
      </c>
      <c r="DR864" s="17" t="n"/>
      <c r="DS864" s="16" t="n"/>
      <c r="DT864" s="20" t="inlineStr">
        <is>
          <t>IC Organic Acids</t>
        </is>
      </c>
      <c r="DU864" s="20" t="inlineStr">
        <is>
          <t>None</t>
        </is>
      </c>
      <c r="DV864" s="17" t="n"/>
      <c r="DW864" s="16" t="n"/>
      <c r="DX864" s="20" t="inlineStr">
        <is>
          <t>IC Organic Acids</t>
        </is>
      </c>
      <c r="DY864" s="20" t="inlineStr">
        <is>
          <t>None</t>
        </is>
      </c>
      <c r="DZ864" s="17" t="n"/>
      <c r="EA864" s="16" t="n"/>
      <c r="EB864" s="20" t="inlineStr">
        <is>
          <t>IC Organic Acids</t>
        </is>
      </c>
      <c r="EC864" s="20" t="inlineStr">
        <is>
          <t>None</t>
        </is>
      </c>
      <c r="ED864" s="17" t="n"/>
      <c r="EE864" s="16" t="n"/>
      <c r="EF864" s="20" t="inlineStr">
        <is>
          <t>IC Organic Acids</t>
        </is>
      </c>
      <c r="EG864" s="20" t="inlineStr">
        <is>
          <t>None</t>
        </is>
      </c>
      <c r="EH864" s="17" t="n"/>
      <c r="EI864" s="16" t="n"/>
      <c r="EJ864" s="20" t="inlineStr">
        <is>
          <t>IC Organic Acids</t>
        </is>
      </c>
      <c r="EK864" s="20" t="inlineStr">
        <is>
          <t>None</t>
        </is>
      </c>
      <c r="EL864" s="17" t="n"/>
      <c r="EM864" s="16" t="n"/>
      <c r="EN864" s="20" t="inlineStr">
        <is>
          <t>IC Organic Acids</t>
        </is>
      </c>
      <c r="EO864" s="20" t="inlineStr">
        <is>
          <t>None</t>
        </is>
      </c>
      <c r="EP864" s="17" t="n"/>
      <c r="EQ864" s="16" t="n"/>
      <c r="ER864" s="20" t="inlineStr">
        <is>
          <t>IC Organic Acids</t>
        </is>
      </c>
      <c r="ES864" s="20" t="inlineStr">
        <is>
          <t>None</t>
        </is>
      </c>
      <c r="ET864" s="17" t="n"/>
      <c r="EU864" s="16" t="n"/>
      <c r="EV864" s="20" t="inlineStr">
        <is>
          <t>LC-MS</t>
        </is>
      </c>
      <c r="EW864" s="20" t="inlineStr">
        <is>
          <t>None</t>
        </is>
      </c>
      <c r="EX864" s="17" t="n"/>
      <c r="EY864" s="21" t="n"/>
      <c r="EZ864">
        <f>CONCATENATE(A864,B864)</f>
        <v/>
      </c>
      <c r="FA864">
        <f>CONCATENATE(SamplesX!A864,SamplesX!B864)</f>
        <v/>
      </c>
      <c r="FC864">
        <f>MATCH(EZ864,FA1:FA1008,0)</f>
        <v/>
      </c>
    </row>
    <row r="865">
      <c r="A865" s="16" t="n"/>
      <c r="B865" s="17" t="n"/>
      <c r="C865" s="10">
        <f>IF(ISNUMBER(FC865),INDIRECT("SamplesX!C"&amp;FC865),IF(ISNUMBER(FD865),INDIRECT("SamplesY!C"&amp;FD865),""))</f>
        <v/>
      </c>
      <c r="D865" s="12">
        <f>IF(ISNUMBER(FC865),INDIRECT("SamplesX!D"&amp;FC865),IF(ISNUMBER(FD865),INDIRECT("SamplesY!D"&amp;FD865),""))</f>
        <v/>
      </c>
      <c r="E865" s="12">
        <f>IF(ISNUMBER(FC865),INDIRECT("SamplesX!E"&amp;FC865),IF(ISNUMBER(FD865),INDIRECT("SamplesY!E"&amp;FD865),""))</f>
        <v/>
      </c>
      <c r="F865" s="11">
        <f>IF(ISNUMBER(FC865),INDIRECT("SamplesX!F"&amp;FC865),IF(ISNUMBER(FD865),INDIRECT("SamplesY!F"&amp;FD865),""))</f>
        <v/>
      </c>
      <c r="G865" s="18">
        <f>IF(ISNUMBER(FC865),INDIRECT("SamplesX!G"&amp;FC865),IF(ISNUMBER(FD865),INDIRECT("SamplesY!G"&amp;FD865),""))</f>
        <v/>
      </c>
      <c r="H865" s="19">
        <f>IF(ISNUMBER(FC865),INDIRECT("SamplesX!H"&amp;FC865),IF(ISNUMBER(FD865),INDIRECT("SamplesY!H"&amp;FD865),""))</f>
        <v/>
      </c>
      <c r="I865" s="16" t="n"/>
      <c r="J865" s="16" t="n"/>
      <c r="K865" s="16" t="n"/>
      <c r="L865" s="20" t="n"/>
      <c r="M865" s="20" t="inlineStr">
        <is>
          <t>None</t>
        </is>
      </c>
      <c r="N865" s="17" t="n"/>
      <c r="O865" s="16" t="n"/>
      <c r="P865" s="20" t="inlineStr">
        <is>
          <t>Shimadzu TOC-L</t>
        </is>
      </c>
      <c r="Q865" s="20" t="inlineStr">
        <is>
          <t>None</t>
        </is>
      </c>
      <c r="R865" s="17" t="n"/>
      <c r="S865" s="16" t="n"/>
      <c r="T865" s="20" t="inlineStr">
        <is>
          <t>Shimadzu TOC-L</t>
        </is>
      </c>
      <c r="U865" s="20" t="inlineStr">
        <is>
          <t>None</t>
        </is>
      </c>
      <c r="V865" s="17" t="n"/>
      <c r="W865" s="16" t="n"/>
      <c r="X865" s="20" t="n"/>
      <c r="Y865" s="20" t="inlineStr">
        <is>
          <t>None</t>
        </is>
      </c>
      <c r="Z865" s="17" t="n"/>
      <c r="AA865" s="16" t="n"/>
      <c r="AB865" s="20" t="n"/>
      <c r="AC865" s="20" t="inlineStr">
        <is>
          <t>None</t>
        </is>
      </c>
      <c r="AD865" s="17" t="n"/>
      <c r="AE865" s="16" t="n"/>
      <c r="AF865" s="20" t="inlineStr">
        <is>
          <t>IC Anionen</t>
        </is>
      </c>
      <c r="AG865" s="20" t="inlineStr">
        <is>
          <t>None</t>
        </is>
      </c>
      <c r="AH865" s="17" t="n"/>
      <c r="AI865" s="16" t="n"/>
      <c r="AJ865" s="20" t="n"/>
      <c r="AK865" s="20" t="inlineStr">
        <is>
          <t>None</t>
        </is>
      </c>
      <c r="AL865" s="17" t="n"/>
      <c r="AM865" s="16" t="n"/>
      <c r="AN865" s="20" t="inlineStr">
        <is>
          <t>IC Anionen</t>
        </is>
      </c>
      <c r="AO865" s="20" t="inlineStr">
        <is>
          <t>None</t>
        </is>
      </c>
      <c r="AP865" s="17" t="n"/>
      <c r="AQ865" s="16" t="n"/>
      <c r="AR865" s="20" t="n"/>
      <c r="AS865" s="20" t="inlineStr">
        <is>
          <t>None</t>
        </is>
      </c>
      <c r="AT865" s="17" t="n"/>
      <c r="AU865" s="16" t="n"/>
      <c r="AV865" s="20" t="n"/>
      <c r="AW865" s="20" t="inlineStr">
        <is>
          <t>None</t>
        </is>
      </c>
      <c r="AX865" s="17" t="n"/>
      <c r="AY865" s="16" t="n"/>
      <c r="AZ865" s="20" t="inlineStr">
        <is>
          <t>IC Anionen</t>
        </is>
      </c>
      <c r="BA865" s="20" t="inlineStr">
        <is>
          <t>None</t>
        </is>
      </c>
      <c r="BB865" s="17" t="n"/>
      <c r="BC865" s="16" t="n"/>
      <c r="BD865" s="20" t="inlineStr">
        <is>
          <t>IC Kationen</t>
        </is>
      </c>
      <c r="BE865" s="20" t="inlineStr">
        <is>
          <t>None</t>
        </is>
      </c>
      <c r="BF865" s="17" t="n"/>
      <c r="BG865" s="16" t="n"/>
      <c r="BH865" s="20" t="inlineStr">
        <is>
          <t>IC Kationen</t>
        </is>
      </c>
      <c r="BI865" s="20" t="inlineStr">
        <is>
          <t>None</t>
        </is>
      </c>
      <c r="BJ865" s="17" t="n"/>
      <c r="BK865" s="16" t="n"/>
      <c r="BL865" s="20" t="inlineStr">
        <is>
          <t>IC Kationen</t>
        </is>
      </c>
      <c r="BM865" s="20" t="inlineStr">
        <is>
          <t>None</t>
        </is>
      </c>
      <c r="BN865" s="17" t="n"/>
      <c r="BO865" s="16" t="n"/>
      <c r="BP865" s="20" t="inlineStr">
        <is>
          <t>IC Kationen</t>
        </is>
      </c>
      <c r="BQ865" s="20" t="inlineStr">
        <is>
          <t>None</t>
        </is>
      </c>
      <c r="BR865" s="17" t="n"/>
      <c r="BS865" s="16" t="n"/>
      <c r="BT865" s="20" t="inlineStr">
        <is>
          <t>IC Kationen</t>
        </is>
      </c>
      <c r="BU865" s="20" t="inlineStr">
        <is>
          <t>None</t>
        </is>
      </c>
      <c r="BV865" s="17" t="n"/>
      <c r="BW865" s="16" t="n"/>
      <c r="BX865" s="20" t="n"/>
      <c r="BY865" s="20" t="inlineStr">
        <is>
          <t>None</t>
        </is>
      </c>
      <c r="BZ865" s="17" t="n"/>
      <c r="CA865" s="16" t="n"/>
      <c r="CB865" s="20" t="n"/>
      <c r="CC865" s="20" t="inlineStr">
        <is>
          <t>None</t>
        </is>
      </c>
      <c r="CD865" s="17" t="n"/>
      <c r="CE865" s="16" t="n"/>
      <c r="CF865" s="20" t="n"/>
      <c r="CG865" s="20" t="inlineStr">
        <is>
          <t>None</t>
        </is>
      </c>
      <c r="CH865" s="17" t="n"/>
      <c r="CI865" s="16" t="n"/>
      <c r="CJ865" s="20" t="n"/>
      <c r="CK865" s="20" t="inlineStr">
        <is>
          <t>None</t>
        </is>
      </c>
      <c r="CL865" s="17" t="n"/>
      <c r="CM865" s="16" t="n"/>
      <c r="CN865" s="20" t="inlineStr">
        <is>
          <t>SOP 45-34</t>
        </is>
      </c>
      <c r="CO865" s="20" t="inlineStr">
        <is>
          <t>None</t>
        </is>
      </c>
      <c r="CP865" s="17" t="n"/>
      <c r="CQ865" s="16" t="n"/>
      <c r="CR865" s="20" t="n"/>
      <c r="CS865" s="20" t="inlineStr">
        <is>
          <t>None</t>
        </is>
      </c>
      <c r="CT865" s="17" t="n"/>
      <c r="CU865" s="16" t="n"/>
      <c r="CV865" s="20" t="n"/>
      <c r="CW865" s="20" t="inlineStr">
        <is>
          <t>None</t>
        </is>
      </c>
      <c r="CX865" s="17" t="n"/>
      <c r="CY865" s="16" t="n"/>
      <c r="CZ865" s="20" t="inlineStr">
        <is>
          <t>WTW Multimeter 3430 with FDO 925</t>
        </is>
      </c>
      <c r="DA865" s="20" t="inlineStr">
        <is>
          <t>None</t>
        </is>
      </c>
      <c r="DB865" s="17" t="n"/>
      <c r="DC865" s="16" t="n"/>
      <c r="DD865" s="20" t="n"/>
      <c r="DE865" s="20" t="inlineStr">
        <is>
          <t>None</t>
        </is>
      </c>
      <c r="DF865" s="17" t="n"/>
      <c r="DG865" s="16" t="n"/>
      <c r="DH865" s="20" t="inlineStr">
        <is>
          <t>SOP 45-09</t>
        </is>
      </c>
      <c r="DI865" s="20" t="inlineStr">
        <is>
          <t>None</t>
        </is>
      </c>
      <c r="DJ865" s="17" t="n"/>
      <c r="DK865" s="16" t="n"/>
      <c r="DL865" s="20" t="inlineStr">
        <is>
          <t>SOP 45-09 (SOP muss noch angepasst werden für VSS)</t>
        </is>
      </c>
      <c r="DM865" s="20" t="inlineStr">
        <is>
          <t>None</t>
        </is>
      </c>
      <c r="DN865" s="17" t="n"/>
      <c r="DO865" s="16" t="n"/>
      <c r="DP865" s="20" t="inlineStr">
        <is>
          <t>IC Organic Acids</t>
        </is>
      </c>
      <c r="DQ865" s="20" t="inlineStr">
        <is>
          <t>None</t>
        </is>
      </c>
      <c r="DR865" s="17" t="n"/>
      <c r="DS865" s="16" t="n"/>
      <c r="DT865" s="20" t="inlineStr">
        <is>
          <t>IC Organic Acids</t>
        </is>
      </c>
      <c r="DU865" s="20" t="inlineStr">
        <is>
          <t>None</t>
        </is>
      </c>
      <c r="DV865" s="17" t="n"/>
      <c r="DW865" s="16" t="n"/>
      <c r="DX865" s="20" t="inlineStr">
        <is>
          <t>IC Organic Acids</t>
        </is>
      </c>
      <c r="DY865" s="20" t="inlineStr">
        <is>
          <t>None</t>
        </is>
      </c>
      <c r="DZ865" s="17" t="n"/>
      <c r="EA865" s="16" t="n"/>
      <c r="EB865" s="20" t="inlineStr">
        <is>
          <t>IC Organic Acids</t>
        </is>
      </c>
      <c r="EC865" s="20" t="inlineStr">
        <is>
          <t>None</t>
        </is>
      </c>
      <c r="ED865" s="17" t="n"/>
      <c r="EE865" s="16" t="n"/>
      <c r="EF865" s="20" t="inlineStr">
        <is>
          <t>IC Organic Acids</t>
        </is>
      </c>
      <c r="EG865" s="20" t="inlineStr">
        <is>
          <t>None</t>
        </is>
      </c>
      <c r="EH865" s="17" t="n"/>
      <c r="EI865" s="16" t="n"/>
      <c r="EJ865" s="20" t="inlineStr">
        <is>
          <t>IC Organic Acids</t>
        </is>
      </c>
      <c r="EK865" s="20" t="inlineStr">
        <is>
          <t>None</t>
        </is>
      </c>
      <c r="EL865" s="17" t="n"/>
      <c r="EM865" s="16" t="n"/>
      <c r="EN865" s="20" t="inlineStr">
        <is>
          <t>IC Organic Acids</t>
        </is>
      </c>
      <c r="EO865" s="20" t="inlineStr">
        <is>
          <t>None</t>
        </is>
      </c>
      <c r="EP865" s="17" t="n"/>
      <c r="EQ865" s="16" t="n"/>
      <c r="ER865" s="20" t="inlineStr">
        <is>
          <t>IC Organic Acids</t>
        </is>
      </c>
      <c r="ES865" s="20" t="inlineStr">
        <is>
          <t>None</t>
        </is>
      </c>
      <c r="ET865" s="17" t="n"/>
      <c r="EU865" s="16" t="n"/>
      <c r="EV865" s="20" t="inlineStr">
        <is>
          <t>LC-MS</t>
        </is>
      </c>
      <c r="EW865" s="20" t="inlineStr">
        <is>
          <t>None</t>
        </is>
      </c>
      <c r="EX865" s="17" t="n"/>
      <c r="EY865" s="21" t="n"/>
      <c r="EZ865">
        <f>CONCATENATE(A865,B865)</f>
        <v/>
      </c>
      <c r="FA865">
        <f>CONCATENATE(SamplesX!A865,SamplesX!B865)</f>
        <v/>
      </c>
      <c r="FC865">
        <f>MATCH(EZ865,FA1:FA1008,0)</f>
        <v/>
      </c>
    </row>
    <row r="866">
      <c r="A866" s="16" t="n"/>
      <c r="B866" s="17" t="n"/>
      <c r="C866" s="10">
        <f>IF(ISNUMBER(FC866),INDIRECT("SamplesX!C"&amp;FC866),IF(ISNUMBER(FD866),INDIRECT("SamplesY!C"&amp;FD866),""))</f>
        <v/>
      </c>
      <c r="D866" s="12">
        <f>IF(ISNUMBER(FC866),INDIRECT("SamplesX!D"&amp;FC866),IF(ISNUMBER(FD866),INDIRECT("SamplesY!D"&amp;FD866),""))</f>
        <v/>
      </c>
      <c r="E866" s="12">
        <f>IF(ISNUMBER(FC866),INDIRECT("SamplesX!E"&amp;FC866),IF(ISNUMBER(FD866),INDIRECT("SamplesY!E"&amp;FD866),""))</f>
        <v/>
      </c>
      <c r="F866" s="11">
        <f>IF(ISNUMBER(FC866),INDIRECT("SamplesX!F"&amp;FC866),IF(ISNUMBER(FD866),INDIRECT("SamplesY!F"&amp;FD866),""))</f>
        <v/>
      </c>
      <c r="G866" s="18">
        <f>IF(ISNUMBER(FC866),INDIRECT("SamplesX!G"&amp;FC866),IF(ISNUMBER(FD866),INDIRECT("SamplesY!G"&amp;FD866),""))</f>
        <v/>
      </c>
      <c r="H866" s="19">
        <f>IF(ISNUMBER(FC866),INDIRECT("SamplesX!H"&amp;FC866),IF(ISNUMBER(FD866),INDIRECT("SamplesY!H"&amp;FD866),""))</f>
        <v/>
      </c>
      <c r="I866" s="16" t="n"/>
      <c r="J866" s="16" t="n"/>
      <c r="K866" s="16" t="n"/>
      <c r="L866" s="20" t="n"/>
      <c r="M866" s="20" t="inlineStr">
        <is>
          <t>None</t>
        </is>
      </c>
      <c r="N866" s="17" t="n"/>
      <c r="O866" s="16" t="n"/>
      <c r="P866" s="20" t="inlineStr">
        <is>
          <t>Shimadzu TOC-L</t>
        </is>
      </c>
      <c r="Q866" s="20" t="inlineStr">
        <is>
          <t>None</t>
        </is>
      </c>
      <c r="R866" s="17" t="n"/>
      <c r="S866" s="16" t="n"/>
      <c r="T866" s="20" t="inlineStr">
        <is>
          <t>Shimadzu TOC-L</t>
        </is>
      </c>
      <c r="U866" s="20" t="inlineStr">
        <is>
          <t>None</t>
        </is>
      </c>
      <c r="V866" s="17" t="n"/>
      <c r="W866" s="16" t="n"/>
      <c r="X866" s="20" t="n"/>
      <c r="Y866" s="20" t="inlineStr">
        <is>
          <t>None</t>
        </is>
      </c>
      <c r="Z866" s="17" t="n"/>
      <c r="AA866" s="16" t="n"/>
      <c r="AB866" s="20" t="n"/>
      <c r="AC866" s="20" t="inlineStr">
        <is>
          <t>None</t>
        </is>
      </c>
      <c r="AD866" s="17" t="n"/>
      <c r="AE866" s="16" t="n"/>
      <c r="AF866" s="20" t="inlineStr">
        <is>
          <t>IC Anionen</t>
        </is>
      </c>
      <c r="AG866" s="20" t="inlineStr">
        <is>
          <t>None</t>
        </is>
      </c>
      <c r="AH866" s="17" t="n"/>
      <c r="AI866" s="16" t="n"/>
      <c r="AJ866" s="20" t="n"/>
      <c r="AK866" s="20" t="inlineStr">
        <is>
          <t>None</t>
        </is>
      </c>
      <c r="AL866" s="17" t="n"/>
      <c r="AM866" s="16" t="n"/>
      <c r="AN866" s="20" t="inlineStr">
        <is>
          <t>IC Anionen</t>
        </is>
      </c>
      <c r="AO866" s="20" t="inlineStr">
        <is>
          <t>None</t>
        </is>
      </c>
      <c r="AP866" s="17" t="n"/>
      <c r="AQ866" s="16" t="n"/>
      <c r="AR866" s="20" t="n"/>
      <c r="AS866" s="20" t="inlineStr">
        <is>
          <t>None</t>
        </is>
      </c>
      <c r="AT866" s="17" t="n"/>
      <c r="AU866" s="16" t="n"/>
      <c r="AV866" s="20" t="n"/>
      <c r="AW866" s="20" t="inlineStr">
        <is>
          <t>None</t>
        </is>
      </c>
      <c r="AX866" s="17" t="n"/>
      <c r="AY866" s="16" t="n"/>
      <c r="AZ866" s="20" t="inlineStr">
        <is>
          <t>IC Anionen</t>
        </is>
      </c>
      <c r="BA866" s="20" t="inlineStr">
        <is>
          <t>None</t>
        </is>
      </c>
      <c r="BB866" s="17" t="n"/>
      <c r="BC866" s="16" t="n"/>
      <c r="BD866" s="20" t="inlineStr">
        <is>
          <t>IC Kationen</t>
        </is>
      </c>
      <c r="BE866" s="20" t="inlineStr">
        <is>
          <t>None</t>
        </is>
      </c>
      <c r="BF866" s="17" t="n"/>
      <c r="BG866" s="16" t="n"/>
      <c r="BH866" s="20" t="inlineStr">
        <is>
          <t>IC Kationen</t>
        </is>
      </c>
      <c r="BI866" s="20" t="inlineStr">
        <is>
          <t>None</t>
        </is>
      </c>
      <c r="BJ866" s="17" t="n"/>
      <c r="BK866" s="16" t="n"/>
      <c r="BL866" s="20" t="inlineStr">
        <is>
          <t>IC Kationen</t>
        </is>
      </c>
      <c r="BM866" s="20" t="inlineStr">
        <is>
          <t>None</t>
        </is>
      </c>
      <c r="BN866" s="17" t="n"/>
      <c r="BO866" s="16" t="n"/>
      <c r="BP866" s="20" t="inlineStr">
        <is>
          <t>IC Kationen</t>
        </is>
      </c>
      <c r="BQ866" s="20" t="inlineStr">
        <is>
          <t>None</t>
        </is>
      </c>
      <c r="BR866" s="17" t="n"/>
      <c r="BS866" s="16" t="n"/>
      <c r="BT866" s="20" t="inlineStr">
        <is>
          <t>IC Kationen</t>
        </is>
      </c>
      <c r="BU866" s="20" t="inlineStr">
        <is>
          <t>None</t>
        </is>
      </c>
      <c r="BV866" s="17" t="n"/>
      <c r="BW866" s="16" t="n"/>
      <c r="BX866" s="20" t="n"/>
      <c r="BY866" s="20" t="inlineStr">
        <is>
          <t>None</t>
        </is>
      </c>
      <c r="BZ866" s="17" t="n"/>
      <c r="CA866" s="16" t="n"/>
      <c r="CB866" s="20" t="n"/>
      <c r="CC866" s="20" t="inlineStr">
        <is>
          <t>None</t>
        </is>
      </c>
      <c r="CD866" s="17" t="n"/>
      <c r="CE866" s="16" t="n"/>
      <c r="CF866" s="20" t="n"/>
      <c r="CG866" s="20" t="inlineStr">
        <is>
          <t>None</t>
        </is>
      </c>
      <c r="CH866" s="17" t="n"/>
      <c r="CI866" s="16" t="n"/>
      <c r="CJ866" s="20" t="n"/>
      <c r="CK866" s="20" t="inlineStr">
        <is>
          <t>None</t>
        </is>
      </c>
      <c r="CL866" s="17" t="n"/>
      <c r="CM866" s="16" t="n"/>
      <c r="CN866" s="20" t="inlineStr">
        <is>
          <t>SOP 45-34</t>
        </is>
      </c>
      <c r="CO866" s="20" t="inlineStr">
        <is>
          <t>None</t>
        </is>
      </c>
      <c r="CP866" s="17" t="n"/>
      <c r="CQ866" s="16" t="n"/>
      <c r="CR866" s="20" t="n"/>
      <c r="CS866" s="20" t="inlineStr">
        <is>
          <t>None</t>
        </is>
      </c>
      <c r="CT866" s="17" t="n"/>
      <c r="CU866" s="16" t="n"/>
      <c r="CV866" s="20" t="n"/>
      <c r="CW866" s="20" t="inlineStr">
        <is>
          <t>None</t>
        </is>
      </c>
      <c r="CX866" s="17" t="n"/>
      <c r="CY866" s="16" t="n"/>
      <c r="CZ866" s="20" t="inlineStr">
        <is>
          <t>WTW Multimeter 3430 with FDO 925</t>
        </is>
      </c>
      <c r="DA866" s="20" t="inlineStr">
        <is>
          <t>None</t>
        </is>
      </c>
      <c r="DB866" s="17" t="n"/>
      <c r="DC866" s="16" t="n"/>
      <c r="DD866" s="20" t="n"/>
      <c r="DE866" s="20" t="inlineStr">
        <is>
          <t>None</t>
        </is>
      </c>
      <c r="DF866" s="17" t="n"/>
      <c r="DG866" s="16" t="n"/>
      <c r="DH866" s="20" t="inlineStr">
        <is>
          <t>SOP 45-09</t>
        </is>
      </c>
      <c r="DI866" s="20" t="inlineStr">
        <is>
          <t>None</t>
        </is>
      </c>
      <c r="DJ866" s="17" t="n"/>
      <c r="DK866" s="16" t="n"/>
      <c r="DL866" s="20" t="inlineStr">
        <is>
          <t>SOP 45-09 (SOP muss noch angepasst werden für VSS)</t>
        </is>
      </c>
      <c r="DM866" s="20" t="inlineStr">
        <is>
          <t>None</t>
        </is>
      </c>
      <c r="DN866" s="17" t="n"/>
      <c r="DO866" s="16" t="n"/>
      <c r="DP866" s="20" t="inlineStr">
        <is>
          <t>IC Organic Acids</t>
        </is>
      </c>
      <c r="DQ866" s="20" t="inlineStr">
        <is>
          <t>None</t>
        </is>
      </c>
      <c r="DR866" s="17" t="n"/>
      <c r="DS866" s="16" t="n"/>
      <c r="DT866" s="20" t="inlineStr">
        <is>
          <t>IC Organic Acids</t>
        </is>
      </c>
      <c r="DU866" s="20" t="inlineStr">
        <is>
          <t>None</t>
        </is>
      </c>
      <c r="DV866" s="17" t="n"/>
      <c r="DW866" s="16" t="n"/>
      <c r="DX866" s="20" t="inlineStr">
        <is>
          <t>IC Organic Acids</t>
        </is>
      </c>
      <c r="DY866" s="20" t="inlineStr">
        <is>
          <t>None</t>
        </is>
      </c>
      <c r="DZ866" s="17" t="n"/>
      <c r="EA866" s="16" t="n"/>
      <c r="EB866" s="20" t="inlineStr">
        <is>
          <t>IC Organic Acids</t>
        </is>
      </c>
      <c r="EC866" s="20" t="inlineStr">
        <is>
          <t>None</t>
        </is>
      </c>
      <c r="ED866" s="17" t="n"/>
      <c r="EE866" s="16" t="n"/>
      <c r="EF866" s="20" t="inlineStr">
        <is>
          <t>IC Organic Acids</t>
        </is>
      </c>
      <c r="EG866" s="20" t="inlineStr">
        <is>
          <t>None</t>
        </is>
      </c>
      <c r="EH866" s="17" t="n"/>
      <c r="EI866" s="16" t="n"/>
      <c r="EJ866" s="20" t="inlineStr">
        <is>
          <t>IC Organic Acids</t>
        </is>
      </c>
      <c r="EK866" s="20" t="inlineStr">
        <is>
          <t>None</t>
        </is>
      </c>
      <c r="EL866" s="17" t="n"/>
      <c r="EM866" s="16" t="n"/>
      <c r="EN866" s="20" t="inlineStr">
        <is>
          <t>IC Organic Acids</t>
        </is>
      </c>
      <c r="EO866" s="20" t="inlineStr">
        <is>
          <t>None</t>
        </is>
      </c>
      <c r="EP866" s="17" t="n"/>
      <c r="EQ866" s="16" t="n"/>
      <c r="ER866" s="20" t="inlineStr">
        <is>
          <t>IC Organic Acids</t>
        </is>
      </c>
      <c r="ES866" s="20" t="inlineStr">
        <is>
          <t>None</t>
        </is>
      </c>
      <c r="ET866" s="17" t="n"/>
      <c r="EU866" s="16" t="n"/>
      <c r="EV866" s="20" t="inlineStr">
        <is>
          <t>LC-MS</t>
        </is>
      </c>
      <c r="EW866" s="20" t="inlineStr">
        <is>
          <t>None</t>
        </is>
      </c>
      <c r="EX866" s="17" t="n"/>
      <c r="EY866" s="21" t="n"/>
      <c r="EZ866">
        <f>CONCATENATE(A866,B866)</f>
        <v/>
      </c>
      <c r="FA866">
        <f>CONCATENATE(SamplesX!A866,SamplesX!B866)</f>
        <v/>
      </c>
      <c r="FC866">
        <f>MATCH(EZ866,FA1:FA1008,0)</f>
        <v/>
      </c>
    </row>
    <row r="867">
      <c r="A867" s="16" t="n"/>
      <c r="B867" s="17" t="n"/>
      <c r="C867" s="10">
        <f>IF(ISNUMBER(FC867),INDIRECT("SamplesX!C"&amp;FC867),IF(ISNUMBER(FD867),INDIRECT("SamplesY!C"&amp;FD867),""))</f>
        <v/>
      </c>
      <c r="D867" s="12">
        <f>IF(ISNUMBER(FC867),INDIRECT("SamplesX!D"&amp;FC867),IF(ISNUMBER(FD867),INDIRECT("SamplesY!D"&amp;FD867),""))</f>
        <v/>
      </c>
      <c r="E867" s="12">
        <f>IF(ISNUMBER(FC867),INDIRECT("SamplesX!E"&amp;FC867),IF(ISNUMBER(FD867),INDIRECT("SamplesY!E"&amp;FD867),""))</f>
        <v/>
      </c>
      <c r="F867" s="11">
        <f>IF(ISNUMBER(FC867),INDIRECT("SamplesX!F"&amp;FC867),IF(ISNUMBER(FD867),INDIRECT("SamplesY!F"&amp;FD867),""))</f>
        <v/>
      </c>
      <c r="G867" s="18">
        <f>IF(ISNUMBER(FC867),INDIRECT("SamplesX!G"&amp;FC867),IF(ISNUMBER(FD867),INDIRECT("SamplesY!G"&amp;FD867),""))</f>
        <v/>
      </c>
      <c r="H867" s="19">
        <f>IF(ISNUMBER(FC867),INDIRECT("SamplesX!H"&amp;FC867),IF(ISNUMBER(FD867),INDIRECT("SamplesY!H"&amp;FD867),""))</f>
        <v/>
      </c>
      <c r="I867" s="16" t="n"/>
      <c r="J867" s="16" t="n"/>
      <c r="K867" s="16" t="n"/>
      <c r="L867" s="20" t="n"/>
      <c r="M867" s="20" t="inlineStr">
        <is>
          <t>None</t>
        </is>
      </c>
      <c r="N867" s="17" t="n"/>
      <c r="O867" s="16" t="n"/>
      <c r="P867" s="20" t="inlineStr">
        <is>
          <t>Shimadzu TOC-L</t>
        </is>
      </c>
      <c r="Q867" s="20" t="inlineStr">
        <is>
          <t>None</t>
        </is>
      </c>
      <c r="R867" s="17" t="n"/>
      <c r="S867" s="16" t="n"/>
      <c r="T867" s="20" t="inlineStr">
        <is>
          <t>Shimadzu TOC-L</t>
        </is>
      </c>
      <c r="U867" s="20" t="inlineStr">
        <is>
          <t>None</t>
        </is>
      </c>
      <c r="V867" s="17" t="n"/>
      <c r="W867" s="16" t="n"/>
      <c r="X867" s="20" t="n"/>
      <c r="Y867" s="20" t="inlineStr">
        <is>
          <t>None</t>
        </is>
      </c>
      <c r="Z867" s="17" t="n"/>
      <c r="AA867" s="16" t="n"/>
      <c r="AB867" s="20" t="n"/>
      <c r="AC867" s="20" t="inlineStr">
        <is>
          <t>None</t>
        </is>
      </c>
      <c r="AD867" s="17" t="n"/>
      <c r="AE867" s="16" t="n"/>
      <c r="AF867" s="20" t="inlineStr">
        <is>
          <t>IC Anionen</t>
        </is>
      </c>
      <c r="AG867" s="20" t="inlineStr">
        <is>
          <t>None</t>
        </is>
      </c>
      <c r="AH867" s="17" t="n"/>
      <c r="AI867" s="16" t="n"/>
      <c r="AJ867" s="20" t="n"/>
      <c r="AK867" s="20" t="inlineStr">
        <is>
          <t>None</t>
        </is>
      </c>
      <c r="AL867" s="17" t="n"/>
      <c r="AM867" s="16" t="n"/>
      <c r="AN867" s="20" t="inlineStr">
        <is>
          <t>IC Anionen</t>
        </is>
      </c>
      <c r="AO867" s="20" t="inlineStr">
        <is>
          <t>None</t>
        </is>
      </c>
      <c r="AP867" s="17" t="n"/>
      <c r="AQ867" s="16" t="n"/>
      <c r="AR867" s="20" t="n"/>
      <c r="AS867" s="20" t="inlineStr">
        <is>
          <t>None</t>
        </is>
      </c>
      <c r="AT867" s="17" t="n"/>
      <c r="AU867" s="16" t="n"/>
      <c r="AV867" s="20" t="n"/>
      <c r="AW867" s="20" t="inlineStr">
        <is>
          <t>None</t>
        </is>
      </c>
      <c r="AX867" s="17" t="n"/>
      <c r="AY867" s="16" t="n"/>
      <c r="AZ867" s="20" t="inlineStr">
        <is>
          <t>IC Anionen</t>
        </is>
      </c>
      <c r="BA867" s="20" t="inlineStr">
        <is>
          <t>None</t>
        </is>
      </c>
      <c r="BB867" s="17" t="n"/>
      <c r="BC867" s="16" t="n"/>
      <c r="BD867" s="20" t="inlineStr">
        <is>
          <t>IC Kationen</t>
        </is>
      </c>
      <c r="BE867" s="20" t="inlineStr">
        <is>
          <t>None</t>
        </is>
      </c>
      <c r="BF867" s="17" t="n"/>
      <c r="BG867" s="16" t="n"/>
      <c r="BH867" s="20" t="inlineStr">
        <is>
          <t>IC Kationen</t>
        </is>
      </c>
      <c r="BI867" s="20" t="inlineStr">
        <is>
          <t>None</t>
        </is>
      </c>
      <c r="BJ867" s="17" t="n"/>
      <c r="BK867" s="16" t="n"/>
      <c r="BL867" s="20" t="inlineStr">
        <is>
          <t>IC Kationen</t>
        </is>
      </c>
      <c r="BM867" s="20" t="inlineStr">
        <is>
          <t>None</t>
        </is>
      </c>
      <c r="BN867" s="17" t="n"/>
      <c r="BO867" s="16" t="n"/>
      <c r="BP867" s="20" t="inlineStr">
        <is>
          <t>IC Kationen</t>
        </is>
      </c>
      <c r="BQ867" s="20" t="inlineStr">
        <is>
          <t>None</t>
        </is>
      </c>
      <c r="BR867" s="17" t="n"/>
      <c r="BS867" s="16" t="n"/>
      <c r="BT867" s="20" t="inlineStr">
        <is>
          <t>IC Kationen</t>
        </is>
      </c>
      <c r="BU867" s="20" t="inlineStr">
        <is>
          <t>None</t>
        </is>
      </c>
      <c r="BV867" s="17" t="n"/>
      <c r="BW867" s="16" t="n"/>
      <c r="BX867" s="20" t="n"/>
      <c r="BY867" s="20" t="inlineStr">
        <is>
          <t>None</t>
        </is>
      </c>
      <c r="BZ867" s="17" t="n"/>
      <c r="CA867" s="16" t="n"/>
      <c r="CB867" s="20" t="n"/>
      <c r="CC867" s="20" t="inlineStr">
        <is>
          <t>None</t>
        </is>
      </c>
      <c r="CD867" s="17" t="n"/>
      <c r="CE867" s="16" t="n"/>
      <c r="CF867" s="20" t="n"/>
      <c r="CG867" s="20" t="inlineStr">
        <is>
          <t>None</t>
        </is>
      </c>
      <c r="CH867" s="17" t="n"/>
      <c r="CI867" s="16" t="n"/>
      <c r="CJ867" s="20" t="n"/>
      <c r="CK867" s="20" t="inlineStr">
        <is>
          <t>None</t>
        </is>
      </c>
      <c r="CL867" s="17" t="n"/>
      <c r="CM867" s="16" t="n"/>
      <c r="CN867" s="20" t="inlineStr">
        <is>
          <t>SOP 45-34</t>
        </is>
      </c>
      <c r="CO867" s="20" t="inlineStr">
        <is>
          <t>None</t>
        </is>
      </c>
      <c r="CP867" s="17" t="n"/>
      <c r="CQ867" s="16" t="n"/>
      <c r="CR867" s="20" t="n"/>
      <c r="CS867" s="20" t="inlineStr">
        <is>
          <t>None</t>
        </is>
      </c>
      <c r="CT867" s="17" t="n"/>
      <c r="CU867" s="16" t="n"/>
      <c r="CV867" s="20" t="n"/>
      <c r="CW867" s="20" t="inlineStr">
        <is>
          <t>None</t>
        </is>
      </c>
      <c r="CX867" s="17" t="n"/>
      <c r="CY867" s="16" t="n"/>
      <c r="CZ867" s="20" t="inlineStr">
        <is>
          <t>WTW Multimeter 3430 with FDO 925</t>
        </is>
      </c>
      <c r="DA867" s="20" t="inlineStr">
        <is>
          <t>None</t>
        </is>
      </c>
      <c r="DB867" s="17" t="n"/>
      <c r="DC867" s="16" t="n"/>
      <c r="DD867" s="20" t="n"/>
      <c r="DE867" s="20" t="inlineStr">
        <is>
          <t>None</t>
        </is>
      </c>
      <c r="DF867" s="17" t="n"/>
      <c r="DG867" s="16" t="n"/>
      <c r="DH867" s="20" t="inlineStr">
        <is>
          <t>SOP 45-09</t>
        </is>
      </c>
      <c r="DI867" s="20" t="inlineStr">
        <is>
          <t>None</t>
        </is>
      </c>
      <c r="DJ867" s="17" t="n"/>
      <c r="DK867" s="16" t="n"/>
      <c r="DL867" s="20" t="inlineStr">
        <is>
          <t>SOP 45-09 (SOP muss noch angepasst werden für VSS)</t>
        </is>
      </c>
      <c r="DM867" s="20" t="inlineStr">
        <is>
          <t>None</t>
        </is>
      </c>
      <c r="DN867" s="17" t="n"/>
      <c r="DO867" s="16" t="n"/>
      <c r="DP867" s="20" t="inlineStr">
        <is>
          <t>IC Organic Acids</t>
        </is>
      </c>
      <c r="DQ867" s="20" t="inlineStr">
        <is>
          <t>None</t>
        </is>
      </c>
      <c r="DR867" s="17" t="n"/>
      <c r="DS867" s="16" t="n"/>
      <c r="DT867" s="20" t="inlineStr">
        <is>
          <t>IC Organic Acids</t>
        </is>
      </c>
      <c r="DU867" s="20" t="inlineStr">
        <is>
          <t>None</t>
        </is>
      </c>
      <c r="DV867" s="17" t="n"/>
      <c r="DW867" s="16" t="n"/>
      <c r="DX867" s="20" t="inlineStr">
        <is>
          <t>IC Organic Acids</t>
        </is>
      </c>
      <c r="DY867" s="20" t="inlineStr">
        <is>
          <t>None</t>
        </is>
      </c>
      <c r="DZ867" s="17" t="n"/>
      <c r="EA867" s="16" t="n"/>
      <c r="EB867" s="20" t="inlineStr">
        <is>
          <t>IC Organic Acids</t>
        </is>
      </c>
      <c r="EC867" s="20" t="inlineStr">
        <is>
          <t>None</t>
        </is>
      </c>
      <c r="ED867" s="17" t="n"/>
      <c r="EE867" s="16" t="n"/>
      <c r="EF867" s="20" t="inlineStr">
        <is>
          <t>IC Organic Acids</t>
        </is>
      </c>
      <c r="EG867" s="20" t="inlineStr">
        <is>
          <t>None</t>
        </is>
      </c>
      <c r="EH867" s="17" t="n"/>
      <c r="EI867" s="16" t="n"/>
      <c r="EJ867" s="20" t="inlineStr">
        <is>
          <t>IC Organic Acids</t>
        </is>
      </c>
      <c r="EK867" s="20" t="inlineStr">
        <is>
          <t>None</t>
        </is>
      </c>
      <c r="EL867" s="17" t="n"/>
      <c r="EM867" s="16" t="n"/>
      <c r="EN867" s="20" t="inlineStr">
        <is>
          <t>IC Organic Acids</t>
        </is>
      </c>
      <c r="EO867" s="20" t="inlineStr">
        <is>
          <t>None</t>
        </is>
      </c>
      <c r="EP867" s="17" t="n"/>
      <c r="EQ867" s="16" t="n"/>
      <c r="ER867" s="20" t="inlineStr">
        <is>
          <t>IC Organic Acids</t>
        </is>
      </c>
      <c r="ES867" s="20" t="inlineStr">
        <is>
          <t>None</t>
        </is>
      </c>
      <c r="ET867" s="17" t="n"/>
      <c r="EU867" s="16" t="n"/>
      <c r="EV867" s="20" t="inlineStr">
        <is>
          <t>LC-MS</t>
        </is>
      </c>
      <c r="EW867" s="20" t="inlineStr">
        <is>
          <t>None</t>
        </is>
      </c>
      <c r="EX867" s="17" t="n"/>
      <c r="EY867" s="21" t="n"/>
      <c r="EZ867">
        <f>CONCATENATE(A867,B867)</f>
        <v/>
      </c>
      <c r="FA867">
        <f>CONCATENATE(SamplesX!A867,SamplesX!B867)</f>
        <v/>
      </c>
      <c r="FC867">
        <f>MATCH(EZ867,FA1:FA1008,0)</f>
        <v/>
      </c>
    </row>
    <row r="868">
      <c r="A868" s="16" t="n"/>
      <c r="B868" s="17" t="n"/>
      <c r="C868" s="10">
        <f>IF(ISNUMBER(FC868),INDIRECT("SamplesX!C"&amp;FC868),IF(ISNUMBER(FD868),INDIRECT("SamplesY!C"&amp;FD868),""))</f>
        <v/>
      </c>
      <c r="D868" s="12">
        <f>IF(ISNUMBER(FC868),INDIRECT("SamplesX!D"&amp;FC868),IF(ISNUMBER(FD868),INDIRECT("SamplesY!D"&amp;FD868),""))</f>
        <v/>
      </c>
      <c r="E868" s="12">
        <f>IF(ISNUMBER(FC868),INDIRECT("SamplesX!E"&amp;FC868),IF(ISNUMBER(FD868),INDIRECT("SamplesY!E"&amp;FD868),""))</f>
        <v/>
      </c>
      <c r="F868" s="11">
        <f>IF(ISNUMBER(FC868),INDIRECT("SamplesX!F"&amp;FC868),IF(ISNUMBER(FD868),INDIRECT("SamplesY!F"&amp;FD868),""))</f>
        <v/>
      </c>
      <c r="G868" s="18">
        <f>IF(ISNUMBER(FC868),INDIRECT("SamplesX!G"&amp;FC868),IF(ISNUMBER(FD868),INDIRECT("SamplesY!G"&amp;FD868),""))</f>
        <v/>
      </c>
      <c r="H868" s="19">
        <f>IF(ISNUMBER(FC868),INDIRECT("SamplesX!H"&amp;FC868),IF(ISNUMBER(FD868),INDIRECT("SamplesY!H"&amp;FD868),""))</f>
        <v/>
      </c>
      <c r="I868" s="16" t="n"/>
      <c r="J868" s="16" t="n"/>
      <c r="K868" s="16" t="n"/>
      <c r="L868" s="20" t="n"/>
      <c r="M868" s="20" t="inlineStr">
        <is>
          <t>None</t>
        </is>
      </c>
      <c r="N868" s="17" t="n"/>
      <c r="O868" s="16" t="n"/>
      <c r="P868" s="20" t="inlineStr">
        <is>
          <t>Shimadzu TOC-L</t>
        </is>
      </c>
      <c r="Q868" s="20" t="inlineStr">
        <is>
          <t>None</t>
        </is>
      </c>
      <c r="R868" s="17" t="n"/>
      <c r="S868" s="16" t="n"/>
      <c r="T868" s="20" t="inlineStr">
        <is>
          <t>Shimadzu TOC-L</t>
        </is>
      </c>
      <c r="U868" s="20" t="inlineStr">
        <is>
          <t>None</t>
        </is>
      </c>
      <c r="V868" s="17" t="n"/>
      <c r="W868" s="16" t="n"/>
      <c r="X868" s="20" t="n"/>
      <c r="Y868" s="20" t="inlineStr">
        <is>
          <t>None</t>
        </is>
      </c>
      <c r="Z868" s="17" t="n"/>
      <c r="AA868" s="16" t="n"/>
      <c r="AB868" s="20" t="n"/>
      <c r="AC868" s="20" t="inlineStr">
        <is>
          <t>None</t>
        </is>
      </c>
      <c r="AD868" s="17" t="n"/>
      <c r="AE868" s="16" t="n"/>
      <c r="AF868" s="20" t="inlineStr">
        <is>
          <t>IC Anionen</t>
        </is>
      </c>
      <c r="AG868" s="20" t="inlineStr">
        <is>
          <t>None</t>
        </is>
      </c>
      <c r="AH868" s="17" t="n"/>
      <c r="AI868" s="16" t="n"/>
      <c r="AJ868" s="20" t="n"/>
      <c r="AK868" s="20" t="inlineStr">
        <is>
          <t>None</t>
        </is>
      </c>
      <c r="AL868" s="17" t="n"/>
      <c r="AM868" s="16" t="n"/>
      <c r="AN868" s="20" t="inlineStr">
        <is>
          <t>IC Anionen</t>
        </is>
      </c>
      <c r="AO868" s="20" t="inlineStr">
        <is>
          <t>None</t>
        </is>
      </c>
      <c r="AP868" s="17" t="n"/>
      <c r="AQ868" s="16" t="n"/>
      <c r="AR868" s="20" t="n"/>
      <c r="AS868" s="20" t="inlineStr">
        <is>
          <t>None</t>
        </is>
      </c>
      <c r="AT868" s="17" t="n"/>
      <c r="AU868" s="16" t="n"/>
      <c r="AV868" s="20" t="n"/>
      <c r="AW868" s="20" t="inlineStr">
        <is>
          <t>None</t>
        </is>
      </c>
      <c r="AX868" s="17" t="n"/>
      <c r="AY868" s="16" t="n"/>
      <c r="AZ868" s="20" t="inlineStr">
        <is>
          <t>IC Anionen</t>
        </is>
      </c>
      <c r="BA868" s="20" t="inlineStr">
        <is>
          <t>None</t>
        </is>
      </c>
      <c r="BB868" s="17" t="n"/>
      <c r="BC868" s="16" t="n"/>
      <c r="BD868" s="20" t="inlineStr">
        <is>
          <t>IC Kationen</t>
        </is>
      </c>
      <c r="BE868" s="20" t="inlineStr">
        <is>
          <t>None</t>
        </is>
      </c>
      <c r="BF868" s="17" t="n"/>
      <c r="BG868" s="16" t="n"/>
      <c r="BH868" s="20" t="inlineStr">
        <is>
          <t>IC Kationen</t>
        </is>
      </c>
      <c r="BI868" s="20" t="inlineStr">
        <is>
          <t>None</t>
        </is>
      </c>
      <c r="BJ868" s="17" t="n"/>
      <c r="BK868" s="16" t="n"/>
      <c r="BL868" s="20" t="inlineStr">
        <is>
          <t>IC Kationen</t>
        </is>
      </c>
      <c r="BM868" s="20" t="inlineStr">
        <is>
          <t>None</t>
        </is>
      </c>
      <c r="BN868" s="17" t="n"/>
      <c r="BO868" s="16" t="n"/>
      <c r="BP868" s="20" t="inlineStr">
        <is>
          <t>IC Kationen</t>
        </is>
      </c>
      <c r="BQ868" s="20" t="inlineStr">
        <is>
          <t>None</t>
        </is>
      </c>
      <c r="BR868" s="17" t="n"/>
      <c r="BS868" s="16" t="n"/>
      <c r="BT868" s="20" t="inlineStr">
        <is>
          <t>IC Kationen</t>
        </is>
      </c>
      <c r="BU868" s="20" t="inlineStr">
        <is>
          <t>None</t>
        </is>
      </c>
      <c r="BV868" s="17" t="n"/>
      <c r="BW868" s="16" t="n"/>
      <c r="BX868" s="20" t="n"/>
      <c r="BY868" s="20" t="inlineStr">
        <is>
          <t>None</t>
        </is>
      </c>
      <c r="BZ868" s="17" t="n"/>
      <c r="CA868" s="16" t="n"/>
      <c r="CB868" s="20" t="n"/>
      <c r="CC868" s="20" t="inlineStr">
        <is>
          <t>None</t>
        </is>
      </c>
      <c r="CD868" s="17" t="n"/>
      <c r="CE868" s="16" t="n"/>
      <c r="CF868" s="20" t="n"/>
      <c r="CG868" s="20" t="inlineStr">
        <is>
          <t>None</t>
        </is>
      </c>
      <c r="CH868" s="17" t="n"/>
      <c r="CI868" s="16" t="n"/>
      <c r="CJ868" s="20" t="n"/>
      <c r="CK868" s="20" t="inlineStr">
        <is>
          <t>None</t>
        </is>
      </c>
      <c r="CL868" s="17" t="n"/>
      <c r="CM868" s="16" t="n"/>
      <c r="CN868" s="20" t="inlineStr">
        <is>
          <t>SOP 45-34</t>
        </is>
      </c>
      <c r="CO868" s="20" t="inlineStr">
        <is>
          <t>None</t>
        </is>
      </c>
      <c r="CP868" s="17" t="n"/>
      <c r="CQ868" s="16" t="n"/>
      <c r="CR868" s="20" t="n"/>
      <c r="CS868" s="20" t="inlineStr">
        <is>
          <t>None</t>
        </is>
      </c>
      <c r="CT868" s="17" t="n"/>
      <c r="CU868" s="16" t="n"/>
      <c r="CV868" s="20" t="n"/>
      <c r="CW868" s="20" t="inlineStr">
        <is>
          <t>None</t>
        </is>
      </c>
      <c r="CX868" s="17" t="n"/>
      <c r="CY868" s="16" t="n"/>
      <c r="CZ868" s="20" t="inlineStr">
        <is>
          <t>WTW Multimeter 3430 with FDO 925</t>
        </is>
      </c>
      <c r="DA868" s="20" t="inlineStr">
        <is>
          <t>None</t>
        </is>
      </c>
      <c r="DB868" s="17" t="n"/>
      <c r="DC868" s="16" t="n"/>
      <c r="DD868" s="20" t="n"/>
      <c r="DE868" s="20" t="inlineStr">
        <is>
          <t>None</t>
        </is>
      </c>
      <c r="DF868" s="17" t="n"/>
      <c r="DG868" s="16" t="n"/>
      <c r="DH868" s="20" t="inlineStr">
        <is>
          <t>SOP 45-09</t>
        </is>
      </c>
      <c r="DI868" s="20" t="inlineStr">
        <is>
          <t>None</t>
        </is>
      </c>
      <c r="DJ868" s="17" t="n"/>
      <c r="DK868" s="16" t="n"/>
      <c r="DL868" s="20" t="inlineStr">
        <is>
          <t>SOP 45-09 (SOP muss noch angepasst werden für VSS)</t>
        </is>
      </c>
      <c r="DM868" s="20" t="inlineStr">
        <is>
          <t>None</t>
        </is>
      </c>
      <c r="DN868" s="17" t="n"/>
      <c r="DO868" s="16" t="n"/>
      <c r="DP868" s="20" t="inlineStr">
        <is>
          <t>IC Organic Acids</t>
        </is>
      </c>
      <c r="DQ868" s="20" t="inlineStr">
        <is>
          <t>None</t>
        </is>
      </c>
      <c r="DR868" s="17" t="n"/>
      <c r="DS868" s="16" t="n"/>
      <c r="DT868" s="20" t="inlineStr">
        <is>
          <t>IC Organic Acids</t>
        </is>
      </c>
      <c r="DU868" s="20" t="inlineStr">
        <is>
          <t>None</t>
        </is>
      </c>
      <c r="DV868" s="17" t="n"/>
      <c r="DW868" s="16" t="n"/>
      <c r="DX868" s="20" t="inlineStr">
        <is>
          <t>IC Organic Acids</t>
        </is>
      </c>
      <c r="DY868" s="20" t="inlineStr">
        <is>
          <t>None</t>
        </is>
      </c>
      <c r="DZ868" s="17" t="n"/>
      <c r="EA868" s="16" t="n"/>
      <c r="EB868" s="20" t="inlineStr">
        <is>
          <t>IC Organic Acids</t>
        </is>
      </c>
      <c r="EC868" s="20" t="inlineStr">
        <is>
          <t>None</t>
        </is>
      </c>
      <c r="ED868" s="17" t="n"/>
      <c r="EE868" s="16" t="n"/>
      <c r="EF868" s="20" t="inlineStr">
        <is>
          <t>IC Organic Acids</t>
        </is>
      </c>
      <c r="EG868" s="20" t="inlineStr">
        <is>
          <t>None</t>
        </is>
      </c>
      <c r="EH868" s="17" t="n"/>
      <c r="EI868" s="16" t="n"/>
      <c r="EJ868" s="20" t="inlineStr">
        <is>
          <t>IC Organic Acids</t>
        </is>
      </c>
      <c r="EK868" s="20" t="inlineStr">
        <is>
          <t>None</t>
        </is>
      </c>
      <c r="EL868" s="17" t="n"/>
      <c r="EM868" s="16" t="n"/>
      <c r="EN868" s="20" t="inlineStr">
        <is>
          <t>IC Organic Acids</t>
        </is>
      </c>
      <c r="EO868" s="20" t="inlineStr">
        <is>
          <t>None</t>
        </is>
      </c>
      <c r="EP868" s="17" t="n"/>
      <c r="EQ868" s="16" t="n"/>
      <c r="ER868" s="20" t="inlineStr">
        <is>
          <t>IC Organic Acids</t>
        </is>
      </c>
      <c r="ES868" s="20" t="inlineStr">
        <is>
          <t>None</t>
        </is>
      </c>
      <c r="ET868" s="17" t="n"/>
      <c r="EU868" s="16" t="n"/>
      <c r="EV868" s="20" t="inlineStr">
        <is>
          <t>LC-MS</t>
        </is>
      </c>
      <c r="EW868" s="20" t="inlineStr">
        <is>
          <t>None</t>
        </is>
      </c>
      <c r="EX868" s="17" t="n"/>
      <c r="EY868" s="21" t="n"/>
      <c r="EZ868">
        <f>CONCATENATE(A868,B868)</f>
        <v/>
      </c>
      <c r="FA868">
        <f>CONCATENATE(SamplesX!A868,SamplesX!B868)</f>
        <v/>
      </c>
      <c r="FC868">
        <f>MATCH(EZ868,FA1:FA1008,0)</f>
        <v/>
      </c>
    </row>
    <row r="869">
      <c r="A869" s="16" t="n"/>
      <c r="B869" s="17" t="n"/>
      <c r="C869" s="10">
        <f>IF(ISNUMBER(FC869),INDIRECT("SamplesX!C"&amp;FC869),IF(ISNUMBER(FD869),INDIRECT("SamplesY!C"&amp;FD869),""))</f>
        <v/>
      </c>
      <c r="D869" s="12">
        <f>IF(ISNUMBER(FC869),INDIRECT("SamplesX!D"&amp;FC869),IF(ISNUMBER(FD869),INDIRECT("SamplesY!D"&amp;FD869),""))</f>
        <v/>
      </c>
      <c r="E869" s="12">
        <f>IF(ISNUMBER(FC869),INDIRECT("SamplesX!E"&amp;FC869),IF(ISNUMBER(FD869),INDIRECT("SamplesY!E"&amp;FD869),""))</f>
        <v/>
      </c>
      <c r="F869" s="11">
        <f>IF(ISNUMBER(FC869),INDIRECT("SamplesX!F"&amp;FC869),IF(ISNUMBER(FD869),INDIRECT("SamplesY!F"&amp;FD869),""))</f>
        <v/>
      </c>
      <c r="G869" s="18">
        <f>IF(ISNUMBER(FC869),INDIRECT("SamplesX!G"&amp;FC869),IF(ISNUMBER(FD869),INDIRECT("SamplesY!G"&amp;FD869),""))</f>
        <v/>
      </c>
      <c r="H869" s="19">
        <f>IF(ISNUMBER(FC869),INDIRECT("SamplesX!H"&amp;FC869),IF(ISNUMBER(FD869),INDIRECT("SamplesY!H"&amp;FD869),""))</f>
        <v/>
      </c>
      <c r="I869" s="16" t="n"/>
      <c r="J869" s="16" t="n"/>
      <c r="K869" s="16" t="n"/>
      <c r="L869" s="20" t="n"/>
      <c r="M869" s="20" t="inlineStr">
        <is>
          <t>None</t>
        </is>
      </c>
      <c r="N869" s="17" t="n"/>
      <c r="O869" s="16" t="n"/>
      <c r="P869" s="20" t="inlineStr">
        <is>
          <t>Shimadzu TOC-L</t>
        </is>
      </c>
      <c r="Q869" s="20" t="inlineStr">
        <is>
          <t>None</t>
        </is>
      </c>
      <c r="R869" s="17" t="n"/>
      <c r="S869" s="16" t="n"/>
      <c r="T869" s="20" t="inlineStr">
        <is>
          <t>Shimadzu TOC-L</t>
        </is>
      </c>
      <c r="U869" s="20" t="inlineStr">
        <is>
          <t>None</t>
        </is>
      </c>
      <c r="V869" s="17" t="n"/>
      <c r="W869" s="16" t="n"/>
      <c r="X869" s="20" t="n"/>
      <c r="Y869" s="20" t="inlineStr">
        <is>
          <t>None</t>
        </is>
      </c>
      <c r="Z869" s="17" t="n"/>
      <c r="AA869" s="16" t="n"/>
      <c r="AB869" s="20" t="n"/>
      <c r="AC869" s="20" t="inlineStr">
        <is>
          <t>None</t>
        </is>
      </c>
      <c r="AD869" s="17" t="n"/>
      <c r="AE869" s="16" t="n"/>
      <c r="AF869" s="20" t="inlineStr">
        <is>
          <t>IC Anionen</t>
        </is>
      </c>
      <c r="AG869" s="20" t="inlineStr">
        <is>
          <t>None</t>
        </is>
      </c>
      <c r="AH869" s="17" t="n"/>
      <c r="AI869" s="16" t="n"/>
      <c r="AJ869" s="20" t="n"/>
      <c r="AK869" s="20" t="inlineStr">
        <is>
          <t>None</t>
        </is>
      </c>
      <c r="AL869" s="17" t="n"/>
      <c r="AM869" s="16" t="n"/>
      <c r="AN869" s="20" t="inlineStr">
        <is>
          <t>IC Anionen</t>
        </is>
      </c>
      <c r="AO869" s="20" t="inlineStr">
        <is>
          <t>None</t>
        </is>
      </c>
      <c r="AP869" s="17" t="n"/>
      <c r="AQ869" s="16" t="n"/>
      <c r="AR869" s="20" t="n"/>
      <c r="AS869" s="20" t="inlineStr">
        <is>
          <t>None</t>
        </is>
      </c>
      <c r="AT869" s="17" t="n"/>
      <c r="AU869" s="16" t="n"/>
      <c r="AV869" s="20" t="n"/>
      <c r="AW869" s="20" t="inlineStr">
        <is>
          <t>None</t>
        </is>
      </c>
      <c r="AX869" s="17" t="n"/>
      <c r="AY869" s="16" t="n"/>
      <c r="AZ869" s="20" t="inlineStr">
        <is>
          <t>IC Anionen</t>
        </is>
      </c>
      <c r="BA869" s="20" t="inlineStr">
        <is>
          <t>None</t>
        </is>
      </c>
      <c r="BB869" s="17" t="n"/>
      <c r="BC869" s="16" t="n"/>
      <c r="BD869" s="20" t="inlineStr">
        <is>
          <t>IC Kationen</t>
        </is>
      </c>
      <c r="BE869" s="20" t="inlineStr">
        <is>
          <t>None</t>
        </is>
      </c>
      <c r="BF869" s="17" t="n"/>
      <c r="BG869" s="16" t="n"/>
      <c r="BH869" s="20" t="inlineStr">
        <is>
          <t>IC Kationen</t>
        </is>
      </c>
      <c r="BI869" s="20" t="inlineStr">
        <is>
          <t>None</t>
        </is>
      </c>
      <c r="BJ869" s="17" t="n"/>
      <c r="BK869" s="16" t="n"/>
      <c r="BL869" s="20" t="inlineStr">
        <is>
          <t>IC Kationen</t>
        </is>
      </c>
      <c r="BM869" s="20" t="inlineStr">
        <is>
          <t>None</t>
        </is>
      </c>
      <c r="BN869" s="17" t="n"/>
      <c r="BO869" s="16" t="n"/>
      <c r="BP869" s="20" t="inlineStr">
        <is>
          <t>IC Kationen</t>
        </is>
      </c>
      <c r="BQ869" s="20" t="inlineStr">
        <is>
          <t>None</t>
        </is>
      </c>
      <c r="BR869" s="17" t="n"/>
      <c r="BS869" s="16" t="n"/>
      <c r="BT869" s="20" t="inlineStr">
        <is>
          <t>IC Kationen</t>
        </is>
      </c>
      <c r="BU869" s="20" t="inlineStr">
        <is>
          <t>None</t>
        </is>
      </c>
      <c r="BV869" s="17" t="n"/>
      <c r="BW869" s="16" t="n"/>
      <c r="BX869" s="20" t="n"/>
      <c r="BY869" s="20" t="inlineStr">
        <is>
          <t>None</t>
        </is>
      </c>
      <c r="BZ869" s="17" t="n"/>
      <c r="CA869" s="16" t="n"/>
      <c r="CB869" s="20" t="n"/>
      <c r="CC869" s="20" t="inlineStr">
        <is>
          <t>None</t>
        </is>
      </c>
      <c r="CD869" s="17" t="n"/>
      <c r="CE869" s="16" t="n"/>
      <c r="CF869" s="20" t="n"/>
      <c r="CG869" s="20" t="inlineStr">
        <is>
          <t>None</t>
        </is>
      </c>
      <c r="CH869" s="17" t="n"/>
      <c r="CI869" s="16" t="n"/>
      <c r="CJ869" s="20" t="n"/>
      <c r="CK869" s="20" t="inlineStr">
        <is>
          <t>None</t>
        </is>
      </c>
      <c r="CL869" s="17" t="n"/>
      <c r="CM869" s="16" t="n"/>
      <c r="CN869" s="20" t="inlineStr">
        <is>
          <t>SOP 45-34</t>
        </is>
      </c>
      <c r="CO869" s="20" t="inlineStr">
        <is>
          <t>None</t>
        </is>
      </c>
      <c r="CP869" s="17" t="n"/>
      <c r="CQ869" s="16" t="n"/>
      <c r="CR869" s="20" t="n"/>
      <c r="CS869" s="20" t="inlineStr">
        <is>
          <t>None</t>
        </is>
      </c>
      <c r="CT869" s="17" t="n"/>
      <c r="CU869" s="16" t="n"/>
      <c r="CV869" s="20" t="n"/>
      <c r="CW869" s="20" t="inlineStr">
        <is>
          <t>None</t>
        </is>
      </c>
      <c r="CX869" s="17" t="n"/>
      <c r="CY869" s="16" t="n"/>
      <c r="CZ869" s="20" t="inlineStr">
        <is>
          <t>WTW Multimeter 3430 with FDO 925</t>
        </is>
      </c>
      <c r="DA869" s="20" t="inlineStr">
        <is>
          <t>None</t>
        </is>
      </c>
      <c r="DB869" s="17" t="n"/>
      <c r="DC869" s="16" t="n"/>
      <c r="DD869" s="20" t="n"/>
      <c r="DE869" s="20" t="inlineStr">
        <is>
          <t>None</t>
        </is>
      </c>
      <c r="DF869" s="17" t="n"/>
      <c r="DG869" s="16" t="n"/>
      <c r="DH869" s="20" t="inlineStr">
        <is>
          <t>SOP 45-09</t>
        </is>
      </c>
      <c r="DI869" s="20" t="inlineStr">
        <is>
          <t>None</t>
        </is>
      </c>
      <c r="DJ869" s="17" t="n"/>
      <c r="DK869" s="16" t="n"/>
      <c r="DL869" s="20" t="inlineStr">
        <is>
          <t>SOP 45-09 (SOP muss noch angepasst werden für VSS)</t>
        </is>
      </c>
      <c r="DM869" s="20" t="inlineStr">
        <is>
          <t>None</t>
        </is>
      </c>
      <c r="DN869" s="17" t="n"/>
      <c r="DO869" s="16" t="n"/>
      <c r="DP869" s="20" t="inlineStr">
        <is>
          <t>IC Organic Acids</t>
        </is>
      </c>
      <c r="DQ869" s="20" t="inlineStr">
        <is>
          <t>None</t>
        </is>
      </c>
      <c r="DR869" s="17" t="n"/>
      <c r="DS869" s="16" t="n"/>
      <c r="DT869" s="20" t="inlineStr">
        <is>
          <t>IC Organic Acids</t>
        </is>
      </c>
      <c r="DU869" s="20" t="inlineStr">
        <is>
          <t>None</t>
        </is>
      </c>
      <c r="DV869" s="17" t="n"/>
      <c r="DW869" s="16" t="n"/>
      <c r="DX869" s="20" t="inlineStr">
        <is>
          <t>IC Organic Acids</t>
        </is>
      </c>
      <c r="DY869" s="20" t="inlineStr">
        <is>
          <t>None</t>
        </is>
      </c>
      <c r="DZ869" s="17" t="n"/>
      <c r="EA869" s="16" t="n"/>
      <c r="EB869" s="20" t="inlineStr">
        <is>
          <t>IC Organic Acids</t>
        </is>
      </c>
      <c r="EC869" s="20" t="inlineStr">
        <is>
          <t>None</t>
        </is>
      </c>
      <c r="ED869" s="17" t="n"/>
      <c r="EE869" s="16" t="n"/>
      <c r="EF869" s="20" t="inlineStr">
        <is>
          <t>IC Organic Acids</t>
        </is>
      </c>
      <c r="EG869" s="20" t="inlineStr">
        <is>
          <t>None</t>
        </is>
      </c>
      <c r="EH869" s="17" t="n"/>
      <c r="EI869" s="16" t="n"/>
      <c r="EJ869" s="20" t="inlineStr">
        <is>
          <t>IC Organic Acids</t>
        </is>
      </c>
      <c r="EK869" s="20" t="inlineStr">
        <is>
          <t>None</t>
        </is>
      </c>
      <c r="EL869" s="17" t="n"/>
      <c r="EM869" s="16" t="n"/>
      <c r="EN869" s="20" t="inlineStr">
        <is>
          <t>IC Organic Acids</t>
        </is>
      </c>
      <c r="EO869" s="20" t="inlineStr">
        <is>
          <t>None</t>
        </is>
      </c>
      <c r="EP869" s="17" t="n"/>
      <c r="EQ869" s="16" t="n"/>
      <c r="ER869" s="20" t="inlineStr">
        <is>
          <t>IC Organic Acids</t>
        </is>
      </c>
      <c r="ES869" s="20" t="inlineStr">
        <is>
          <t>None</t>
        </is>
      </c>
      <c r="ET869" s="17" t="n"/>
      <c r="EU869" s="16" t="n"/>
      <c r="EV869" s="20" t="inlineStr">
        <is>
          <t>LC-MS</t>
        </is>
      </c>
      <c r="EW869" s="20" t="inlineStr">
        <is>
          <t>None</t>
        </is>
      </c>
      <c r="EX869" s="17" t="n"/>
      <c r="EY869" s="21" t="n"/>
      <c r="EZ869">
        <f>CONCATENATE(A869,B869)</f>
        <v/>
      </c>
      <c r="FA869">
        <f>CONCATENATE(SamplesX!A869,SamplesX!B869)</f>
        <v/>
      </c>
      <c r="FC869">
        <f>MATCH(EZ869,FA1:FA1008,0)</f>
        <v/>
      </c>
    </row>
    <row r="870">
      <c r="A870" s="16" t="n"/>
      <c r="B870" s="17" t="n"/>
      <c r="C870" s="10">
        <f>IF(ISNUMBER(FC870),INDIRECT("SamplesX!C"&amp;FC870),IF(ISNUMBER(FD870),INDIRECT("SamplesY!C"&amp;FD870),""))</f>
        <v/>
      </c>
      <c r="D870" s="12">
        <f>IF(ISNUMBER(FC870),INDIRECT("SamplesX!D"&amp;FC870),IF(ISNUMBER(FD870),INDIRECT("SamplesY!D"&amp;FD870),""))</f>
        <v/>
      </c>
      <c r="E870" s="12">
        <f>IF(ISNUMBER(FC870),INDIRECT("SamplesX!E"&amp;FC870),IF(ISNUMBER(FD870),INDIRECT("SamplesY!E"&amp;FD870),""))</f>
        <v/>
      </c>
      <c r="F870" s="11">
        <f>IF(ISNUMBER(FC870),INDIRECT("SamplesX!F"&amp;FC870),IF(ISNUMBER(FD870),INDIRECT("SamplesY!F"&amp;FD870),""))</f>
        <v/>
      </c>
      <c r="G870" s="18">
        <f>IF(ISNUMBER(FC870),INDIRECT("SamplesX!G"&amp;FC870),IF(ISNUMBER(FD870),INDIRECT("SamplesY!G"&amp;FD870),""))</f>
        <v/>
      </c>
      <c r="H870" s="19">
        <f>IF(ISNUMBER(FC870),INDIRECT("SamplesX!H"&amp;FC870),IF(ISNUMBER(FD870),INDIRECT("SamplesY!H"&amp;FD870),""))</f>
        <v/>
      </c>
      <c r="I870" s="16" t="n"/>
      <c r="J870" s="16" t="n"/>
      <c r="K870" s="16" t="n"/>
      <c r="L870" s="20" t="n"/>
      <c r="M870" s="20" t="inlineStr">
        <is>
          <t>None</t>
        </is>
      </c>
      <c r="N870" s="17" t="n"/>
      <c r="O870" s="16" t="n"/>
      <c r="P870" s="20" t="inlineStr">
        <is>
          <t>Shimadzu TOC-L</t>
        </is>
      </c>
      <c r="Q870" s="20" t="inlineStr">
        <is>
          <t>None</t>
        </is>
      </c>
      <c r="R870" s="17" t="n"/>
      <c r="S870" s="16" t="n"/>
      <c r="T870" s="20" t="inlineStr">
        <is>
          <t>Shimadzu TOC-L</t>
        </is>
      </c>
      <c r="U870" s="20" t="inlineStr">
        <is>
          <t>None</t>
        </is>
      </c>
      <c r="V870" s="17" t="n"/>
      <c r="W870" s="16" t="n"/>
      <c r="X870" s="20" t="n"/>
      <c r="Y870" s="20" t="inlineStr">
        <is>
          <t>None</t>
        </is>
      </c>
      <c r="Z870" s="17" t="n"/>
      <c r="AA870" s="16" t="n"/>
      <c r="AB870" s="20" t="n"/>
      <c r="AC870" s="20" t="inlineStr">
        <is>
          <t>None</t>
        </is>
      </c>
      <c r="AD870" s="17" t="n"/>
      <c r="AE870" s="16" t="n"/>
      <c r="AF870" s="20" t="inlineStr">
        <is>
          <t>IC Anionen</t>
        </is>
      </c>
      <c r="AG870" s="20" t="inlineStr">
        <is>
          <t>None</t>
        </is>
      </c>
      <c r="AH870" s="17" t="n"/>
      <c r="AI870" s="16" t="n"/>
      <c r="AJ870" s="20" t="n"/>
      <c r="AK870" s="20" t="inlineStr">
        <is>
          <t>None</t>
        </is>
      </c>
      <c r="AL870" s="17" t="n"/>
      <c r="AM870" s="16" t="n"/>
      <c r="AN870" s="20" t="inlineStr">
        <is>
          <t>IC Anionen</t>
        </is>
      </c>
      <c r="AO870" s="20" t="inlineStr">
        <is>
          <t>None</t>
        </is>
      </c>
      <c r="AP870" s="17" t="n"/>
      <c r="AQ870" s="16" t="n"/>
      <c r="AR870" s="20" t="n"/>
      <c r="AS870" s="20" t="inlineStr">
        <is>
          <t>None</t>
        </is>
      </c>
      <c r="AT870" s="17" t="n"/>
      <c r="AU870" s="16" t="n"/>
      <c r="AV870" s="20" t="n"/>
      <c r="AW870" s="20" t="inlineStr">
        <is>
          <t>None</t>
        </is>
      </c>
      <c r="AX870" s="17" t="n"/>
      <c r="AY870" s="16" t="n"/>
      <c r="AZ870" s="20" t="inlineStr">
        <is>
          <t>IC Anionen</t>
        </is>
      </c>
      <c r="BA870" s="20" t="inlineStr">
        <is>
          <t>None</t>
        </is>
      </c>
      <c r="BB870" s="17" t="n"/>
      <c r="BC870" s="16" t="n"/>
      <c r="BD870" s="20" t="inlineStr">
        <is>
          <t>IC Kationen</t>
        </is>
      </c>
      <c r="BE870" s="20" t="inlineStr">
        <is>
          <t>None</t>
        </is>
      </c>
      <c r="BF870" s="17" t="n"/>
      <c r="BG870" s="16" t="n"/>
      <c r="BH870" s="20" t="inlineStr">
        <is>
          <t>IC Kationen</t>
        </is>
      </c>
      <c r="BI870" s="20" t="inlineStr">
        <is>
          <t>None</t>
        </is>
      </c>
      <c r="BJ870" s="17" t="n"/>
      <c r="BK870" s="16" t="n"/>
      <c r="BL870" s="20" t="inlineStr">
        <is>
          <t>IC Kationen</t>
        </is>
      </c>
      <c r="BM870" s="20" t="inlineStr">
        <is>
          <t>None</t>
        </is>
      </c>
      <c r="BN870" s="17" t="n"/>
      <c r="BO870" s="16" t="n"/>
      <c r="BP870" s="20" t="inlineStr">
        <is>
          <t>IC Kationen</t>
        </is>
      </c>
      <c r="BQ870" s="20" t="inlineStr">
        <is>
          <t>None</t>
        </is>
      </c>
      <c r="BR870" s="17" t="n"/>
      <c r="BS870" s="16" t="n"/>
      <c r="BT870" s="20" t="inlineStr">
        <is>
          <t>IC Kationen</t>
        </is>
      </c>
      <c r="BU870" s="20" t="inlineStr">
        <is>
          <t>None</t>
        </is>
      </c>
      <c r="BV870" s="17" t="n"/>
      <c r="BW870" s="16" t="n"/>
      <c r="BX870" s="20" t="n"/>
      <c r="BY870" s="20" t="inlineStr">
        <is>
          <t>None</t>
        </is>
      </c>
      <c r="BZ870" s="17" t="n"/>
      <c r="CA870" s="16" t="n"/>
      <c r="CB870" s="20" t="n"/>
      <c r="CC870" s="20" t="inlineStr">
        <is>
          <t>None</t>
        </is>
      </c>
      <c r="CD870" s="17" t="n"/>
      <c r="CE870" s="16" t="n"/>
      <c r="CF870" s="20" t="n"/>
      <c r="CG870" s="20" t="inlineStr">
        <is>
          <t>None</t>
        </is>
      </c>
      <c r="CH870" s="17" t="n"/>
      <c r="CI870" s="16" t="n"/>
      <c r="CJ870" s="20" t="n"/>
      <c r="CK870" s="20" t="inlineStr">
        <is>
          <t>None</t>
        </is>
      </c>
      <c r="CL870" s="17" t="n"/>
      <c r="CM870" s="16" t="n"/>
      <c r="CN870" s="20" t="inlineStr">
        <is>
          <t>SOP 45-34</t>
        </is>
      </c>
      <c r="CO870" s="20" t="inlineStr">
        <is>
          <t>None</t>
        </is>
      </c>
      <c r="CP870" s="17" t="n"/>
      <c r="CQ870" s="16" t="n"/>
      <c r="CR870" s="20" t="n"/>
      <c r="CS870" s="20" t="inlineStr">
        <is>
          <t>None</t>
        </is>
      </c>
      <c r="CT870" s="17" t="n"/>
      <c r="CU870" s="16" t="n"/>
      <c r="CV870" s="20" t="n"/>
      <c r="CW870" s="20" t="inlineStr">
        <is>
          <t>None</t>
        </is>
      </c>
      <c r="CX870" s="17" t="n"/>
      <c r="CY870" s="16" t="n"/>
      <c r="CZ870" s="20" t="inlineStr">
        <is>
          <t>WTW Multimeter 3430 with FDO 925</t>
        </is>
      </c>
      <c r="DA870" s="20" t="inlineStr">
        <is>
          <t>None</t>
        </is>
      </c>
      <c r="DB870" s="17" t="n"/>
      <c r="DC870" s="16" t="n"/>
      <c r="DD870" s="20" t="n"/>
      <c r="DE870" s="20" t="inlineStr">
        <is>
          <t>None</t>
        </is>
      </c>
      <c r="DF870" s="17" t="n"/>
      <c r="DG870" s="16" t="n"/>
      <c r="DH870" s="20" t="inlineStr">
        <is>
          <t>SOP 45-09</t>
        </is>
      </c>
      <c r="DI870" s="20" t="inlineStr">
        <is>
          <t>None</t>
        </is>
      </c>
      <c r="DJ870" s="17" t="n"/>
      <c r="DK870" s="16" t="n"/>
      <c r="DL870" s="20" t="inlineStr">
        <is>
          <t>SOP 45-09 (SOP muss noch angepasst werden für VSS)</t>
        </is>
      </c>
      <c r="DM870" s="20" t="inlineStr">
        <is>
          <t>None</t>
        </is>
      </c>
      <c r="DN870" s="17" t="n"/>
      <c r="DO870" s="16" t="n"/>
      <c r="DP870" s="20" t="inlineStr">
        <is>
          <t>IC Organic Acids</t>
        </is>
      </c>
      <c r="DQ870" s="20" t="inlineStr">
        <is>
          <t>None</t>
        </is>
      </c>
      <c r="DR870" s="17" t="n"/>
      <c r="DS870" s="16" t="n"/>
      <c r="DT870" s="20" t="inlineStr">
        <is>
          <t>IC Organic Acids</t>
        </is>
      </c>
      <c r="DU870" s="20" t="inlineStr">
        <is>
          <t>None</t>
        </is>
      </c>
      <c r="DV870" s="17" t="n"/>
      <c r="DW870" s="16" t="n"/>
      <c r="DX870" s="20" t="inlineStr">
        <is>
          <t>IC Organic Acids</t>
        </is>
      </c>
      <c r="DY870" s="20" t="inlineStr">
        <is>
          <t>None</t>
        </is>
      </c>
      <c r="DZ870" s="17" t="n"/>
      <c r="EA870" s="16" t="n"/>
      <c r="EB870" s="20" t="inlineStr">
        <is>
          <t>IC Organic Acids</t>
        </is>
      </c>
      <c r="EC870" s="20" t="inlineStr">
        <is>
          <t>None</t>
        </is>
      </c>
      <c r="ED870" s="17" t="n"/>
      <c r="EE870" s="16" t="n"/>
      <c r="EF870" s="20" t="inlineStr">
        <is>
          <t>IC Organic Acids</t>
        </is>
      </c>
      <c r="EG870" s="20" t="inlineStr">
        <is>
          <t>None</t>
        </is>
      </c>
      <c r="EH870" s="17" t="n"/>
      <c r="EI870" s="16" t="n"/>
      <c r="EJ870" s="20" t="inlineStr">
        <is>
          <t>IC Organic Acids</t>
        </is>
      </c>
      <c r="EK870" s="20" t="inlineStr">
        <is>
          <t>None</t>
        </is>
      </c>
      <c r="EL870" s="17" t="n"/>
      <c r="EM870" s="16" t="n"/>
      <c r="EN870" s="20" t="inlineStr">
        <is>
          <t>IC Organic Acids</t>
        </is>
      </c>
      <c r="EO870" s="20" t="inlineStr">
        <is>
          <t>None</t>
        </is>
      </c>
      <c r="EP870" s="17" t="n"/>
      <c r="EQ870" s="16" t="n"/>
      <c r="ER870" s="20" t="inlineStr">
        <is>
          <t>IC Organic Acids</t>
        </is>
      </c>
      <c r="ES870" s="20" t="inlineStr">
        <is>
          <t>None</t>
        </is>
      </c>
      <c r="ET870" s="17" t="n"/>
      <c r="EU870" s="16" t="n"/>
      <c r="EV870" s="20" t="inlineStr">
        <is>
          <t>LC-MS</t>
        </is>
      </c>
      <c r="EW870" s="20" t="inlineStr">
        <is>
          <t>None</t>
        </is>
      </c>
      <c r="EX870" s="17" t="n"/>
      <c r="EY870" s="21" t="n"/>
      <c r="EZ870">
        <f>CONCATENATE(A870,B870)</f>
        <v/>
      </c>
      <c r="FA870">
        <f>CONCATENATE(SamplesX!A870,SamplesX!B870)</f>
        <v/>
      </c>
      <c r="FC870">
        <f>MATCH(EZ870,FA1:FA1008,0)</f>
        <v/>
      </c>
    </row>
    <row r="871">
      <c r="A871" s="16" t="n"/>
      <c r="B871" s="17" t="n"/>
      <c r="C871" s="10">
        <f>IF(ISNUMBER(FC871),INDIRECT("SamplesX!C"&amp;FC871),IF(ISNUMBER(FD871),INDIRECT("SamplesY!C"&amp;FD871),""))</f>
        <v/>
      </c>
      <c r="D871" s="12">
        <f>IF(ISNUMBER(FC871),INDIRECT("SamplesX!D"&amp;FC871),IF(ISNUMBER(FD871),INDIRECT("SamplesY!D"&amp;FD871),""))</f>
        <v/>
      </c>
      <c r="E871" s="12">
        <f>IF(ISNUMBER(FC871),INDIRECT("SamplesX!E"&amp;FC871),IF(ISNUMBER(FD871),INDIRECT("SamplesY!E"&amp;FD871),""))</f>
        <v/>
      </c>
      <c r="F871" s="11">
        <f>IF(ISNUMBER(FC871),INDIRECT("SamplesX!F"&amp;FC871),IF(ISNUMBER(FD871),INDIRECT("SamplesY!F"&amp;FD871),""))</f>
        <v/>
      </c>
      <c r="G871" s="18">
        <f>IF(ISNUMBER(FC871),INDIRECT("SamplesX!G"&amp;FC871),IF(ISNUMBER(FD871),INDIRECT("SamplesY!G"&amp;FD871),""))</f>
        <v/>
      </c>
      <c r="H871" s="19">
        <f>IF(ISNUMBER(FC871),INDIRECT("SamplesX!H"&amp;FC871),IF(ISNUMBER(FD871),INDIRECT("SamplesY!H"&amp;FD871),""))</f>
        <v/>
      </c>
      <c r="I871" s="16" t="n"/>
      <c r="J871" s="16" t="n"/>
      <c r="K871" s="16" t="n"/>
      <c r="L871" s="20" t="n"/>
      <c r="M871" s="20" t="inlineStr">
        <is>
          <t>None</t>
        </is>
      </c>
      <c r="N871" s="17" t="n"/>
      <c r="O871" s="16" t="n"/>
      <c r="P871" s="20" t="inlineStr">
        <is>
          <t>Shimadzu TOC-L</t>
        </is>
      </c>
      <c r="Q871" s="20" t="inlineStr">
        <is>
          <t>None</t>
        </is>
      </c>
      <c r="R871" s="17" t="n"/>
      <c r="S871" s="16" t="n"/>
      <c r="T871" s="20" t="inlineStr">
        <is>
          <t>Shimadzu TOC-L</t>
        </is>
      </c>
      <c r="U871" s="20" t="inlineStr">
        <is>
          <t>None</t>
        </is>
      </c>
      <c r="V871" s="17" t="n"/>
      <c r="W871" s="16" t="n"/>
      <c r="X871" s="20" t="n"/>
      <c r="Y871" s="20" t="inlineStr">
        <is>
          <t>None</t>
        </is>
      </c>
      <c r="Z871" s="17" t="n"/>
      <c r="AA871" s="16" t="n"/>
      <c r="AB871" s="20" t="n"/>
      <c r="AC871" s="20" t="inlineStr">
        <is>
          <t>None</t>
        </is>
      </c>
      <c r="AD871" s="17" t="n"/>
      <c r="AE871" s="16" t="n"/>
      <c r="AF871" s="20" t="inlineStr">
        <is>
          <t>IC Anionen</t>
        </is>
      </c>
      <c r="AG871" s="20" t="inlineStr">
        <is>
          <t>None</t>
        </is>
      </c>
      <c r="AH871" s="17" t="n"/>
      <c r="AI871" s="16" t="n"/>
      <c r="AJ871" s="20" t="n"/>
      <c r="AK871" s="20" t="inlineStr">
        <is>
          <t>None</t>
        </is>
      </c>
      <c r="AL871" s="17" t="n"/>
      <c r="AM871" s="16" t="n"/>
      <c r="AN871" s="20" t="inlineStr">
        <is>
          <t>IC Anionen</t>
        </is>
      </c>
      <c r="AO871" s="20" t="inlineStr">
        <is>
          <t>None</t>
        </is>
      </c>
      <c r="AP871" s="17" t="n"/>
      <c r="AQ871" s="16" t="n"/>
      <c r="AR871" s="20" t="n"/>
      <c r="AS871" s="20" t="inlineStr">
        <is>
          <t>None</t>
        </is>
      </c>
      <c r="AT871" s="17" t="n"/>
      <c r="AU871" s="16" t="n"/>
      <c r="AV871" s="20" t="n"/>
      <c r="AW871" s="20" t="inlineStr">
        <is>
          <t>None</t>
        </is>
      </c>
      <c r="AX871" s="17" t="n"/>
      <c r="AY871" s="16" t="n"/>
      <c r="AZ871" s="20" t="inlineStr">
        <is>
          <t>IC Anionen</t>
        </is>
      </c>
      <c r="BA871" s="20" t="inlineStr">
        <is>
          <t>None</t>
        </is>
      </c>
      <c r="BB871" s="17" t="n"/>
      <c r="BC871" s="16" t="n"/>
      <c r="BD871" s="20" t="inlineStr">
        <is>
          <t>IC Kationen</t>
        </is>
      </c>
      <c r="BE871" s="20" t="inlineStr">
        <is>
          <t>None</t>
        </is>
      </c>
      <c r="BF871" s="17" t="n"/>
      <c r="BG871" s="16" t="n"/>
      <c r="BH871" s="20" t="inlineStr">
        <is>
          <t>IC Kationen</t>
        </is>
      </c>
      <c r="BI871" s="20" t="inlineStr">
        <is>
          <t>None</t>
        </is>
      </c>
      <c r="BJ871" s="17" t="n"/>
      <c r="BK871" s="16" t="n"/>
      <c r="BL871" s="20" t="inlineStr">
        <is>
          <t>IC Kationen</t>
        </is>
      </c>
      <c r="BM871" s="20" t="inlineStr">
        <is>
          <t>None</t>
        </is>
      </c>
      <c r="BN871" s="17" t="n"/>
      <c r="BO871" s="16" t="n"/>
      <c r="BP871" s="20" t="inlineStr">
        <is>
          <t>IC Kationen</t>
        </is>
      </c>
      <c r="BQ871" s="20" t="inlineStr">
        <is>
          <t>None</t>
        </is>
      </c>
      <c r="BR871" s="17" t="n"/>
      <c r="BS871" s="16" t="n"/>
      <c r="BT871" s="20" t="inlineStr">
        <is>
          <t>IC Kationen</t>
        </is>
      </c>
      <c r="BU871" s="20" t="inlineStr">
        <is>
          <t>None</t>
        </is>
      </c>
      <c r="BV871" s="17" t="n"/>
      <c r="BW871" s="16" t="n"/>
      <c r="BX871" s="20" t="n"/>
      <c r="BY871" s="20" t="inlineStr">
        <is>
          <t>None</t>
        </is>
      </c>
      <c r="BZ871" s="17" t="n"/>
      <c r="CA871" s="16" t="n"/>
      <c r="CB871" s="20" t="n"/>
      <c r="CC871" s="20" t="inlineStr">
        <is>
          <t>None</t>
        </is>
      </c>
      <c r="CD871" s="17" t="n"/>
      <c r="CE871" s="16" t="n"/>
      <c r="CF871" s="20" t="n"/>
      <c r="CG871" s="20" t="inlineStr">
        <is>
          <t>None</t>
        </is>
      </c>
      <c r="CH871" s="17" t="n"/>
      <c r="CI871" s="16" t="n"/>
      <c r="CJ871" s="20" t="n"/>
      <c r="CK871" s="20" t="inlineStr">
        <is>
          <t>None</t>
        </is>
      </c>
      <c r="CL871" s="17" t="n"/>
      <c r="CM871" s="16" t="n"/>
      <c r="CN871" s="20" t="inlineStr">
        <is>
          <t>SOP 45-34</t>
        </is>
      </c>
      <c r="CO871" s="20" t="inlineStr">
        <is>
          <t>None</t>
        </is>
      </c>
      <c r="CP871" s="17" t="n"/>
      <c r="CQ871" s="16" t="n"/>
      <c r="CR871" s="20" t="n"/>
      <c r="CS871" s="20" t="inlineStr">
        <is>
          <t>None</t>
        </is>
      </c>
      <c r="CT871" s="17" t="n"/>
      <c r="CU871" s="16" t="n"/>
      <c r="CV871" s="20" t="n"/>
      <c r="CW871" s="20" t="inlineStr">
        <is>
          <t>None</t>
        </is>
      </c>
      <c r="CX871" s="17" t="n"/>
      <c r="CY871" s="16" t="n"/>
      <c r="CZ871" s="20" t="inlineStr">
        <is>
          <t>WTW Multimeter 3430 with FDO 925</t>
        </is>
      </c>
      <c r="DA871" s="20" t="inlineStr">
        <is>
          <t>None</t>
        </is>
      </c>
      <c r="DB871" s="17" t="n"/>
      <c r="DC871" s="16" t="n"/>
      <c r="DD871" s="20" t="n"/>
      <c r="DE871" s="20" t="inlineStr">
        <is>
          <t>None</t>
        </is>
      </c>
      <c r="DF871" s="17" t="n"/>
      <c r="DG871" s="16" t="n"/>
      <c r="DH871" s="20" t="inlineStr">
        <is>
          <t>SOP 45-09</t>
        </is>
      </c>
      <c r="DI871" s="20" t="inlineStr">
        <is>
          <t>None</t>
        </is>
      </c>
      <c r="DJ871" s="17" t="n"/>
      <c r="DK871" s="16" t="n"/>
      <c r="DL871" s="20" t="inlineStr">
        <is>
          <t>SOP 45-09 (SOP muss noch angepasst werden für VSS)</t>
        </is>
      </c>
      <c r="DM871" s="20" t="inlineStr">
        <is>
          <t>None</t>
        </is>
      </c>
      <c r="DN871" s="17" t="n"/>
      <c r="DO871" s="16" t="n"/>
      <c r="DP871" s="20" t="inlineStr">
        <is>
          <t>IC Organic Acids</t>
        </is>
      </c>
      <c r="DQ871" s="20" t="inlineStr">
        <is>
          <t>None</t>
        </is>
      </c>
      <c r="DR871" s="17" t="n"/>
      <c r="DS871" s="16" t="n"/>
      <c r="DT871" s="20" t="inlineStr">
        <is>
          <t>IC Organic Acids</t>
        </is>
      </c>
      <c r="DU871" s="20" t="inlineStr">
        <is>
          <t>None</t>
        </is>
      </c>
      <c r="DV871" s="17" t="n"/>
      <c r="DW871" s="16" t="n"/>
      <c r="DX871" s="20" t="inlineStr">
        <is>
          <t>IC Organic Acids</t>
        </is>
      </c>
      <c r="DY871" s="20" t="inlineStr">
        <is>
          <t>None</t>
        </is>
      </c>
      <c r="DZ871" s="17" t="n"/>
      <c r="EA871" s="16" t="n"/>
      <c r="EB871" s="20" t="inlineStr">
        <is>
          <t>IC Organic Acids</t>
        </is>
      </c>
      <c r="EC871" s="20" t="inlineStr">
        <is>
          <t>None</t>
        </is>
      </c>
      <c r="ED871" s="17" t="n"/>
      <c r="EE871" s="16" t="n"/>
      <c r="EF871" s="20" t="inlineStr">
        <is>
          <t>IC Organic Acids</t>
        </is>
      </c>
      <c r="EG871" s="20" t="inlineStr">
        <is>
          <t>None</t>
        </is>
      </c>
      <c r="EH871" s="17" t="n"/>
      <c r="EI871" s="16" t="n"/>
      <c r="EJ871" s="20" t="inlineStr">
        <is>
          <t>IC Organic Acids</t>
        </is>
      </c>
      <c r="EK871" s="20" t="inlineStr">
        <is>
          <t>None</t>
        </is>
      </c>
      <c r="EL871" s="17" t="n"/>
      <c r="EM871" s="16" t="n"/>
      <c r="EN871" s="20" t="inlineStr">
        <is>
          <t>IC Organic Acids</t>
        </is>
      </c>
      <c r="EO871" s="20" t="inlineStr">
        <is>
          <t>None</t>
        </is>
      </c>
      <c r="EP871" s="17" t="n"/>
      <c r="EQ871" s="16" t="n"/>
      <c r="ER871" s="20" t="inlineStr">
        <is>
          <t>IC Organic Acids</t>
        </is>
      </c>
      <c r="ES871" s="20" t="inlineStr">
        <is>
          <t>None</t>
        </is>
      </c>
      <c r="ET871" s="17" t="n"/>
      <c r="EU871" s="16" t="n"/>
      <c r="EV871" s="20" t="inlineStr">
        <is>
          <t>LC-MS</t>
        </is>
      </c>
      <c r="EW871" s="20" t="inlineStr">
        <is>
          <t>None</t>
        </is>
      </c>
      <c r="EX871" s="17" t="n"/>
      <c r="EY871" s="21" t="n"/>
      <c r="EZ871">
        <f>CONCATENATE(A871,B871)</f>
        <v/>
      </c>
      <c r="FA871">
        <f>CONCATENATE(SamplesX!A871,SamplesX!B871)</f>
        <v/>
      </c>
      <c r="FC871">
        <f>MATCH(EZ871,FA1:FA1008,0)</f>
        <v/>
      </c>
    </row>
    <row r="872">
      <c r="A872" s="16" t="n"/>
      <c r="B872" s="17" t="n"/>
      <c r="C872" s="10">
        <f>IF(ISNUMBER(FC872),INDIRECT("SamplesX!C"&amp;FC872),IF(ISNUMBER(FD872),INDIRECT("SamplesY!C"&amp;FD872),""))</f>
        <v/>
      </c>
      <c r="D872" s="12">
        <f>IF(ISNUMBER(FC872),INDIRECT("SamplesX!D"&amp;FC872),IF(ISNUMBER(FD872),INDIRECT("SamplesY!D"&amp;FD872),""))</f>
        <v/>
      </c>
      <c r="E872" s="12">
        <f>IF(ISNUMBER(FC872),INDIRECT("SamplesX!E"&amp;FC872),IF(ISNUMBER(FD872),INDIRECT("SamplesY!E"&amp;FD872),""))</f>
        <v/>
      </c>
      <c r="F872" s="11">
        <f>IF(ISNUMBER(FC872),INDIRECT("SamplesX!F"&amp;FC872),IF(ISNUMBER(FD872),INDIRECT("SamplesY!F"&amp;FD872),""))</f>
        <v/>
      </c>
      <c r="G872" s="18">
        <f>IF(ISNUMBER(FC872),INDIRECT("SamplesX!G"&amp;FC872),IF(ISNUMBER(FD872),INDIRECT("SamplesY!G"&amp;FD872),""))</f>
        <v/>
      </c>
      <c r="H872" s="19">
        <f>IF(ISNUMBER(FC872),INDIRECT("SamplesX!H"&amp;FC872),IF(ISNUMBER(FD872),INDIRECT("SamplesY!H"&amp;FD872),""))</f>
        <v/>
      </c>
      <c r="I872" s="16" t="n"/>
      <c r="J872" s="16" t="n"/>
      <c r="K872" s="16" t="n"/>
      <c r="L872" s="20" t="n"/>
      <c r="M872" s="20" t="inlineStr">
        <is>
          <t>None</t>
        </is>
      </c>
      <c r="N872" s="17" t="n"/>
      <c r="O872" s="16" t="n"/>
      <c r="P872" s="20" t="inlineStr">
        <is>
          <t>Shimadzu TOC-L</t>
        </is>
      </c>
      <c r="Q872" s="20" t="inlineStr">
        <is>
          <t>None</t>
        </is>
      </c>
      <c r="R872" s="17" t="n"/>
      <c r="S872" s="16" t="n"/>
      <c r="T872" s="20" t="inlineStr">
        <is>
          <t>Shimadzu TOC-L</t>
        </is>
      </c>
      <c r="U872" s="20" t="inlineStr">
        <is>
          <t>None</t>
        </is>
      </c>
      <c r="V872" s="17" t="n"/>
      <c r="W872" s="16" t="n"/>
      <c r="X872" s="20" t="n"/>
      <c r="Y872" s="20" t="inlineStr">
        <is>
          <t>None</t>
        </is>
      </c>
      <c r="Z872" s="17" t="n"/>
      <c r="AA872" s="16" t="n"/>
      <c r="AB872" s="20" t="n"/>
      <c r="AC872" s="20" t="inlineStr">
        <is>
          <t>None</t>
        </is>
      </c>
      <c r="AD872" s="17" t="n"/>
      <c r="AE872" s="16" t="n"/>
      <c r="AF872" s="20" t="inlineStr">
        <is>
          <t>IC Anionen</t>
        </is>
      </c>
      <c r="AG872" s="20" t="inlineStr">
        <is>
          <t>None</t>
        </is>
      </c>
      <c r="AH872" s="17" t="n"/>
      <c r="AI872" s="16" t="n"/>
      <c r="AJ872" s="20" t="n"/>
      <c r="AK872" s="20" t="inlineStr">
        <is>
          <t>None</t>
        </is>
      </c>
      <c r="AL872" s="17" t="n"/>
      <c r="AM872" s="16" t="n"/>
      <c r="AN872" s="20" t="inlineStr">
        <is>
          <t>IC Anionen</t>
        </is>
      </c>
      <c r="AO872" s="20" t="inlineStr">
        <is>
          <t>None</t>
        </is>
      </c>
      <c r="AP872" s="17" t="n"/>
      <c r="AQ872" s="16" t="n"/>
      <c r="AR872" s="20" t="n"/>
      <c r="AS872" s="20" t="inlineStr">
        <is>
          <t>None</t>
        </is>
      </c>
      <c r="AT872" s="17" t="n"/>
      <c r="AU872" s="16" t="n"/>
      <c r="AV872" s="20" t="n"/>
      <c r="AW872" s="20" t="inlineStr">
        <is>
          <t>None</t>
        </is>
      </c>
      <c r="AX872" s="17" t="n"/>
      <c r="AY872" s="16" t="n"/>
      <c r="AZ872" s="20" t="inlineStr">
        <is>
          <t>IC Anionen</t>
        </is>
      </c>
      <c r="BA872" s="20" t="inlineStr">
        <is>
          <t>None</t>
        </is>
      </c>
      <c r="BB872" s="17" t="n"/>
      <c r="BC872" s="16" t="n"/>
      <c r="BD872" s="20" t="inlineStr">
        <is>
          <t>IC Kationen</t>
        </is>
      </c>
      <c r="BE872" s="20" t="inlineStr">
        <is>
          <t>None</t>
        </is>
      </c>
      <c r="BF872" s="17" t="n"/>
      <c r="BG872" s="16" t="n"/>
      <c r="BH872" s="20" t="inlineStr">
        <is>
          <t>IC Kationen</t>
        </is>
      </c>
      <c r="BI872" s="20" t="inlineStr">
        <is>
          <t>None</t>
        </is>
      </c>
      <c r="BJ872" s="17" t="n"/>
      <c r="BK872" s="16" t="n"/>
      <c r="BL872" s="20" t="inlineStr">
        <is>
          <t>IC Kationen</t>
        </is>
      </c>
      <c r="BM872" s="20" t="inlineStr">
        <is>
          <t>None</t>
        </is>
      </c>
      <c r="BN872" s="17" t="n"/>
      <c r="BO872" s="16" t="n"/>
      <c r="BP872" s="20" t="inlineStr">
        <is>
          <t>IC Kationen</t>
        </is>
      </c>
      <c r="BQ872" s="20" t="inlineStr">
        <is>
          <t>None</t>
        </is>
      </c>
      <c r="BR872" s="17" t="n"/>
      <c r="BS872" s="16" t="n"/>
      <c r="BT872" s="20" t="inlineStr">
        <is>
          <t>IC Kationen</t>
        </is>
      </c>
      <c r="BU872" s="20" t="inlineStr">
        <is>
          <t>None</t>
        </is>
      </c>
      <c r="BV872" s="17" t="n"/>
      <c r="BW872" s="16" t="n"/>
      <c r="BX872" s="20" t="n"/>
      <c r="BY872" s="20" t="inlineStr">
        <is>
          <t>None</t>
        </is>
      </c>
      <c r="BZ872" s="17" t="n"/>
      <c r="CA872" s="16" t="n"/>
      <c r="CB872" s="20" t="n"/>
      <c r="CC872" s="20" t="inlineStr">
        <is>
          <t>None</t>
        </is>
      </c>
      <c r="CD872" s="17" t="n"/>
      <c r="CE872" s="16" t="n"/>
      <c r="CF872" s="20" t="n"/>
      <c r="CG872" s="20" t="inlineStr">
        <is>
          <t>None</t>
        </is>
      </c>
      <c r="CH872" s="17" t="n"/>
      <c r="CI872" s="16" t="n"/>
      <c r="CJ872" s="20" t="n"/>
      <c r="CK872" s="20" t="inlineStr">
        <is>
          <t>None</t>
        </is>
      </c>
      <c r="CL872" s="17" t="n"/>
      <c r="CM872" s="16" t="n"/>
      <c r="CN872" s="20" t="inlineStr">
        <is>
          <t>SOP 45-34</t>
        </is>
      </c>
      <c r="CO872" s="20" t="inlineStr">
        <is>
          <t>None</t>
        </is>
      </c>
      <c r="CP872" s="17" t="n"/>
      <c r="CQ872" s="16" t="n"/>
      <c r="CR872" s="20" t="n"/>
      <c r="CS872" s="20" t="inlineStr">
        <is>
          <t>None</t>
        </is>
      </c>
      <c r="CT872" s="17" t="n"/>
      <c r="CU872" s="16" t="n"/>
      <c r="CV872" s="20" t="n"/>
      <c r="CW872" s="20" t="inlineStr">
        <is>
          <t>None</t>
        </is>
      </c>
      <c r="CX872" s="17" t="n"/>
      <c r="CY872" s="16" t="n"/>
      <c r="CZ872" s="20" t="inlineStr">
        <is>
          <t>WTW Multimeter 3430 with FDO 925</t>
        </is>
      </c>
      <c r="DA872" s="20" t="inlineStr">
        <is>
          <t>None</t>
        </is>
      </c>
      <c r="DB872" s="17" t="n"/>
      <c r="DC872" s="16" t="n"/>
      <c r="DD872" s="20" t="n"/>
      <c r="DE872" s="20" t="inlineStr">
        <is>
          <t>None</t>
        </is>
      </c>
      <c r="DF872" s="17" t="n"/>
      <c r="DG872" s="16" t="n"/>
      <c r="DH872" s="20" t="inlineStr">
        <is>
          <t>SOP 45-09</t>
        </is>
      </c>
      <c r="DI872" s="20" t="inlineStr">
        <is>
          <t>None</t>
        </is>
      </c>
      <c r="DJ872" s="17" t="n"/>
      <c r="DK872" s="16" t="n"/>
      <c r="DL872" s="20" t="inlineStr">
        <is>
          <t>SOP 45-09 (SOP muss noch angepasst werden für VSS)</t>
        </is>
      </c>
      <c r="DM872" s="20" t="inlineStr">
        <is>
          <t>None</t>
        </is>
      </c>
      <c r="DN872" s="17" t="n"/>
      <c r="DO872" s="16" t="n"/>
      <c r="DP872" s="20" t="inlineStr">
        <is>
          <t>IC Organic Acids</t>
        </is>
      </c>
      <c r="DQ872" s="20" t="inlineStr">
        <is>
          <t>None</t>
        </is>
      </c>
      <c r="DR872" s="17" t="n"/>
      <c r="DS872" s="16" t="n"/>
      <c r="DT872" s="20" t="inlineStr">
        <is>
          <t>IC Organic Acids</t>
        </is>
      </c>
      <c r="DU872" s="20" t="inlineStr">
        <is>
          <t>None</t>
        </is>
      </c>
      <c r="DV872" s="17" t="n"/>
      <c r="DW872" s="16" t="n"/>
      <c r="DX872" s="20" t="inlineStr">
        <is>
          <t>IC Organic Acids</t>
        </is>
      </c>
      <c r="DY872" s="20" t="inlineStr">
        <is>
          <t>None</t>
        </is>
      </c>
      <c r="DZ872" s="17" t="n"/>
      <c r="EA872" s="16" t="n"/>
      <c r="EB872" s="20" t="inlineStr">
        <is>
          <t>IC Organic Acids</t>
        </is>
      </c>
      <c r="EC872" s="20" t="inlineStr">
        <is>
          <t>None</t>
        </is>
      </c>
      <c r="ED872" s="17" t="n"/>
      <c r="EE872" s="16" t="n"/>
      <c r="EF872" s="20" t="inlineStr">
        <is>
          <t>IC Organic Acids</t>
        </is>
      </c>
      <c r="EG872" s="20" t="inlineStr">
        <is>
          <t>None</t>
        </is>
      </c>
      <c r="EH872" s="17" t="n"/>
      <c r="EI872" s="16" t="n"/>
      <c r="EJ872" s="20" t="inlineStr">
        <is>
          <t>IC Organic Acids</t>
        </is>
      </c>
      <c r="EK872" s="20" t="inlineStr">
        <is>
          <t>None</t>
        </is>
      </c>
      <c r="EL872" s="17" t="n"/>
      <c r="EM872" s="16" t="n"/>
      <c r="EN872" s="20" t="inlineStr">
        <is>
          <t>IC Organic Acids</t>
        </is>
      </c>
      <c r="EO872" s="20" t="inlineStr">
        <is>
          <t>None</t>
        </is>
      </c>
      <c r="EP872" s="17" t="n"/>
      <c r="EQ872" s="16" t="n"/>
      <c r="ER872" s="20" t="inlineStr">
        <is>
          <t>IC Organic Acids</t>
        </is>
      </c>
      <c r="ES872" s="20" t="inlineStr">
        <is>
          <t>None</t>
        </is>
      </c>
      <c r="ET872" s="17" t="n"/>
      <c r="EU872" s="16" t="n"/>
      <c r="EV872" s="20" t="inlineStr">
        <is>
          <t>LC-MS</t>
        </is>
      </c>
      <c r="EW872" s="20" t="inlineStr">
        <is>
          <t>None</t>
        </is>
      </c>
      <c r="EX872" s="17" t="n"/>
      <c r="EY872" s="21" t="n"/>
      <c r="EZ872">
        <f>CONCATENATE(A872,B872)</f>
        <v/>
      </c>
      <c r="FA872">
        <f>CONCATENATE(SamplesX!A872,SamplesX!B872)</f>
        <v/>
      </c>
      <c r="FC872">
        <f>MATCH(EZ872,FA1:FA1008,0)</f>
        <v/>
      </c>
    </row>
    <row r="873">
      <c r="A873" s="16" t="n"/>
      <c r="B873" s="17" t="n"/>
      <c r="C873" s="10">
        <f>IF(ISNUMBER(FC873),INDIRECT("SamplesX!C"&amp;FC873),IF(ISNUMBER(FD873),INDIRECT("SamplesY!C"&amp;FD873),""))</f>
        <v/>
      </c>
      <c r="D873" s="12">
        <f>IF(ISNUMBER(FC873),INDIRECT("SamplesX!D"&amp;FC873),IF(ISNUMBER(FD873),INDIRECT("SamplesY!D"&amp;FD873),""))</f>
        <v/>
      </c>
      <c r="E873" s="12">
        <f>IF(ISNUMBER(FC873),INDIRECT("SamplesX!E"&amp;FC873),IF(ISNUMBER(FD873),INDIRECT("SamplesY!E"&amp;FD873),""))</f>
        <v/>
      </c>
      <c r="F873" s="11">
        <f>IF(ISNUMBER(FC873),INDIRECT("SamplesX!F"&amp;FC873),IF(ISNUMBER(FD873),INDIRECT("SamplesY!F"&amp;FD873),""))</f>
        <v/>
      </c>
      <c r="G873" s="18">
        <f>IF(ISNUMBER(FC873),INDIRECT("SamplesX!G"&amp;FC873),IF(ISNUMBER(FD873),INDIRECT("SamplesY!G"&amp;FD873),""))</f>
        <v/>
      </c>
      <c r="H873" s="19">
        <f>IF(ISNUMBER(FC873),INDIRECT("SamplesX!H"&amp;FC873),IF(ISNUMBER(FD873),INDIRECT("SamplesY!H"&amp;FD873),""))</f>
        <v/>
      </c>
      <c r="I873" s="16" t="n"/>
      <c r="J873" s="16" t="n"/>
      <c r="K873" s="16" t="n"/>
      <c r="L873" s="20" t="n"/>
      <c r="M873" s="20" t="inlineStr">
        <is>
          <t>None</t>
        </is>
      </c>
      <c r="N873" s="17" t="n"/>
      <c r="O873" s="16" t="n"/>
      <c r="P873" s="20" t="inlineStr">
        <is>
          <t>Shimadzu TOC-L</t>
        </is>
      </c>
      <c r="Q873" s="20" t="inlineStr">
        <is>
          <t>None</t>
        </is>
      </c>
      <c r="R873" s="17" t="n"/>
      <c r="S873" s="16" t="n"/>
      <c r="T873" s="20" t="inlineStr">
        <is>
          <t>Shimadzu TOC-L</t>
        </is>
      </c>
      <c r="U873" s="20" t="inlineStr">
        <is>
          <t>None</t>
        </is>
      </c>
      <c r="V873" s="17" t="n"/>
      <c r="W873" s="16" t="n"/>
      <c r="X873" s="20" t="n"/>
      <c r="Y873" s="20" t="inlineStr">
        <is>
          <t>None</t>
        </is>
      </c>
      <c r="Z873" s="17" t="n"/>
      <c r="AA873" s="16" t="n"/>
      <c r="AB873" s="20" t="n"/>
      <c r="AC873" s="20" t="inlineStr">
        <is>
          <t>None</t>
        </is>
      </c>
      <c r="AD873" s="17" t="n"/>
      <c r="AE873" s="16" t="n"/>
      <c r="AF873" s="20" t="inlineStr">
        <is>
          <t>IC Anionen</t>
        </is>
      </c>
      <c r="AG873" s="20" t="inlineStr">
        <is>
          <t>None</t>
        </is>
      </c>
      <c r="AH873" s="17" t="n"/>
      <c r="AI873" s="16" t="n"/>
      <c r="AJ873" s="20" t="n"/>
      <c r="AK873" s="20" t="inlineStr">
        <is>
          <t>None</t>
        </is>
      </c>
      <c r="AL873" s="17" t="n"/>
      <c r="AM873" s="16" t="n"/>
      <c r="AN873" s="20" t="inlineStr">
        <is>
          <t>IC Anionen</t>
        </is>
      </c>
      <c r="AO873" s="20" t="inlineStr">
        <is>
          <t>None</t>
        </is>
      </c>
      <c r="AP873" s="17" t="n"/>
      <c r="AQ873" s="16" t="n"/>
      <c r="AR873" s="20" t="n"/>
      <c r="AS873" s="20" t="inlineStr">
        <is>
          <t>None</t>
        </is>
      </c>
      <c r="AT873" s="17" t="n"/>
      <c r="AU873" s="16" t="n"/>
      <c r="AV873" s="20" t="n"/>
      <c r="AW873" s="20" t="inlineStr">
        <is>
          <t>None</t>
        </is>
      </c>
      <c r="AX873" s="17" t="n"/>
      <c r="AY873" s="16" t="n"/>
      <c r="AZ873" s="20" t="inlineStr">
        <is>
          <t>IC Anionen</t>
        </is>
      </c>
      <c r="BA873" s="20" t="inlineStr">
        <is>
          <t>None</t>
        </is>
      </c>
      <c r="BB873" s="17" t="n"/>
      <c r="BC873" s="16" t="n"/>
      <c r="BD873" s="20" t="inlineStr">
        <is>
          <t>IC Kationen</t>
        </is>
      </c>
      <c r="BE873" s="20" t="inlineStr">
        <is>
          <t>None</t>
        </is>
      </c>
      <c r="BF873" s="17" t="n"/>
      <c r="BG873" s="16" t="n"/>
      <c r="BH873" s="20" t="inlineStr">
        <is>
          <t>IC Kationen</t>
        </is>
      </c>
      <c r="BI873" s="20" t="inlineStr">
        <is>
          <t>None</t>
        </is>
      </c>
      <c r="BJ873" s="17" t="n"/>
      <c r="BK873" s="16" t="n"/>
      <c r="BL873" s="20" t="inlineStr">
        <is>
          <t>IC Kationen</t>
        </is>
      </c>
      <c r="BM873" s="20" t="inlineStr">
        <is>
          <t>None</t>
        </is>
      </c>
      <c r="BN873" s="17" t="n"/>
      <c r="BO873" s="16" t="n"/>
      <c r="BP873" s="20" t="inlineStr">
        <is>
          <t>IC Kationen</t>
        </is>
      </c>
      <c r="BQ873" s="20" t="inlineStr">
        <is>
          <t>None</t>
        </is>
      </c>
      <c r="BR873" s="17" t="n"/>
      <c r="BS873" s="16" t="n"/>
      <c r="BT873" s="20" t="inlineStr">
        <is>
          <t>IC Kationen</t>
        </is>
      </c>
      <c r="BU873" s="20" t="inlineStr">
        <is>
          <t>None</t>
        </is>
      </c>
      <c r="BV873" s="17" t="n"/>
      <c r="BW873" s="16" t="n"/>
      <c r="BX873" s="20" t="n"/>
      <c r="BY873" s="20" t="inlineStr">
        <is>
          <t>None</t>
        </is>
      </c>
      <c r="BZ873" s="17" t="n"/>
      <c r="CA873" s="16" t="n"/>
      <c r="CB873" s="20" t="n"/>
      <c r="CC873" s="20" t="inlineStr">
        <is>
          <t>None</t>
        </is>
      </c>
      <c r="CD873" s="17" t="n"/>
      <c r="CE873" s="16" t="n"/>
      <c r="CF873" s="20" t="n"/>
      <c r="CG873" s="20" t="inlineStr">
        <is>
          <t>None</t>
        </is>
      </c>
      <c r="CH873" s="17" t="n"/>
      <c r="CI873" s="16" t="n"/>
      <c r="CJ873" s="20" t="n"/>
      <c r="CK873" s="20" t="inlineStr">
        <is>
          <t>None</t>
        </is>
      </c>
      <c r="CL873" s="17" t="n"/>
      <c r="CM873" s="16" t="n"/>
      <c r="CN873" s="20" t="inlineStr">
        <is>
          <t>SOP 45-34</t>
        </is>
      </c>
      <c r="CO873" s="20" t="inlineStr">
        <is>
          <t>None</t>
        </is>
      </c>
      <c r="CP873" s="17" t="n"/>
      <c r="CQ873" s="16" t="n"/>
      <c r="CR873" s="20" t="n"/>
      <c r="CS873" s="20" t="inlineStr">
        <is>
          <t>None</t>
        </is>
      </c>
      <c r="CT873" s="17" t="n"/>
      <c r="CU873" s="16" t="n"/>
      <c r="CV873" s="20" t="n"/>
      <c r="CW873" s="20" t="inlineStr">
        <is>
          <t>None</t>
        </is>
      </c>
      <c r="CX873" s="17" t="n"/>
      <c r="CY873" s="16" t="n"/>
      <c r="CZ873" s="20" t="inlineStr">
        <is>
          <t>WTW Multimeter 3430 with FDO 925</t>
        </is>
      </c>
      <c r="DA873" s="20" t="inlineStr">
        <is>
          <t>None</t>
        </is>
      </c>
      <c r="DB873" s="17" t="n"/>
      <c r="DC873" s="16" t="n"/>
      <c r="DD873" s="20" t="n"/>
      <c r="DE873" s="20" t="inlineStr">
        <is>
          <t>None</t>
        </is>
      </c>
      <c r="DF873" s="17" t="n"/>
      <c r="DG873" s="16" t="n"/>
      <c r="DH873" s="20" t="inlineStr">
        <is>
          <t>SOP 45-09</t>
        </is>
      </c>
      <c r="DI873" s="20" t="inlineStr">
        <is>
          <t>None</t>
        </is>
      </c>
      <c r="DJ873" s="17" t="n"/>
      <c r="DK873" s="16" t="n"/>
      <c r="DL873" s="20" t="inlineStr">
        <is>
          <t>SOP 45-09 (SOP muss noch angepasst werden für VSS)</t>
        </is>
      </c>
      <c r="DM873" s="20" t="inlineStr">
        <is>
          <t>None</t>
        </is>
      </c>
      <c r="DN873" s="17" t="n"/>
      <c r="DO873" s="16" t="n"/>
      <c r="DP873" s="20" t="inlineStr">
        <is>
          <t>IC Organic Acids</t>
        </is>
      </c>
      <c r="DQ873" s="20" t="inlineStr">
        <is>
          <t>None</t>
        </is>
      </c>
      <c r="DR873" s="17" t="n"/>
      <c r="DS873" s="16" t="n"/>
      <c r="DT873" s="20" t="inlineStr">
        <is>
          <t>IC Organic Acids</t>
        </is>
      </c>
      <c r="DU873" s="20" t="inlineStr">
        <is>
          <t>None</t>
        </is>
      </c>
      <c r="DV873" s="17" t="n"/>
      <c r="DW873" s="16" t="n"/>
      <c r="DX873" s="20" t="inlineStr">
        <is>
          <t>IC Organic Acids</t>
        </is>
      </c>
      <c r="DY873" s="20" t="inlineStr">
        <is>
          <t>None</t>
        </is>
      </c>
      <c r="DZ873" s="17" t="n"/>
      <c r="EA873" s="16" t="n"/>
      <c r="EB873" s="20" t="inlineStr">
        <is>
          <t>IC Organic Acids</t>
        </is>
      </c>
      <c r="EC873" s="20" t="inlineStr">
        <is>
          <t>None</t>
        </is>
      </c>
      <c r="ED873" s="17" t="n"/>
      <c r="EE873" s="16" t="n"/>
      <c r="EF873" s="20" t="inlineStr">
        <is>
          <t>IC Organic Acids</t>
        </is>
      </c>
      <c r="EG873" s="20" t="inlineStr">
        <is>
          <t>None</t>
        </is>
      </c>
      <c r="EH873" s="17" t="n"/>
      <c r="EI873" s="16" t="n"/>
      <c r="EJ873" s="20" t="inlineStr">
        <is>
          <t>IC Organic Acids</t>
        </is>
      </c>
      <c r="EK873" s="20" t="inlineStr">
        <is>
          <t>None</t>
        </is>
      </c>
      <c r="EL873" s="17" t="n"/>
      <c r="EM873" s="16" t="n"/>
      <c r="EN873" s="20" t="inlineStr">
        <is>
          <t>IC Organic Acids</t>
        </is>
      </c>
      <c r="EO873" s="20" t="inlineStr">
        <is>
          <t>None</t>
        </is>
      </c>
      <c r="EP873" s="17" t="n"/>
      <c r="EQ873" s="16" t="n"/>
      <c r="ER873" s="20" t="inlineStr">
        <is>
          <t>IC Organic Acids</t>
        </is>
      </c>
      <c r="ES873" s="20" t="inlineStr">
        <is>
          <t>None</t>
        </is>
      </c>
      <c r="ET873" s="17" t="n"/>
      <c r="EU873" s="16" t="n"/>
      <c r="EV873" s="20" t="inlineStr">
        <is>
          <t>LC-MS</t>
        </is>
      </c>
      <c r="EW873" s="20" t="inlineStr">
        <is>
          <t>None</t>
        </is>
      </c>
      <c r="EX873" s="17" t="n"/>
      <c r="EY873" s="21" t="n"/>
      <c r="EZ873">
        <f>CONCATENATE(A873,B873)</f>
        <v/>
      </c>
      <c r="FA873">
        <f>CONCATENATE(SamplesX!A873,SamplesX!B873)</f>
        <v/>
      </c>
      <c r="FC873">
        <f>MATCH(EZ873,FA1:FA1008,0)</f>
        <v/>
      </c>
    </row>
    <row r="874">
      <c r="A874" s="16" t="n"/>
      <c r="B874" s="17" t="n"/>
      <c r="C874" s="10">
        <f>IF(ISNUMBER(FC874),INDIRECT("SamplesX!C"&amp;FC874),IF(ISNUMBER(FD874),INDIRECT("SamplesY!C"&amp;FD874),""))</f>
        <v/>
      </c>
      <c r="D874" s="12">
        <f>IF(ISNUMBER(FC874),INDIRECT("SamplesX!D"&amp;FC874),IF(ISNUMBER(FD874),INDIRECT("SamplesY!D"&amp;FD874),""))</f>
        <v/>
      </c>
      <c r="E874" s="12">
        <f>IF(ISNUMBER(FC874),INDIRECT("SamplesX!E"&amp;FC874),IF(ISNUMBER(FD874),INDIRECT("SamplesY!E"&amp;FD874),""))</f>
        <v/>
      </c>
      <c r="F874" s="11">
        <f>IF(ISNUMBER(FC874),INDIRECT("SamplesX!F"&amp;FC874),IF(ISNUMBER(FD874),INDIRECT("SamplesY!F"&amp;FD874),""))</f>
        <v/>
      </c>
      <c r="G874" s="18">
        <f>IF(ISNUMBER(FC874),INDIRECT("SamplesX!G"&amp;FC874),IF(ISNUMBER(FD874),INDIRECT("SamplesY!G"&amp;FD874),""))</f>
        <v/>
      </c>
      <c r="H874" s="19">
        <f>IF(ISNUMBER(FC874),INDIRECT("SamplesX!H"&amp;FC874),IF(ISNUMBER(FD874),INDIRECT("SamplesY!H"&amp;FD874),""))</f>
        <v/>
      </c>
      <c r="I874" s="16" t="n"/>
      <c r="J874" s="16" t="n"/>
      <c r="K874" s="16" t="n"/>
      <c r="L874" s="20" t="n"/>
      <c r="M874" s="20" t="inlineStr">
        <is>
          <t>None</t>
        </is>
      </c>
      <c r="N874" s="17" t="n"/>
      <c r="O874" s="16" t="n"/>
      <c r="P874" s="20" t="inlineStr">
        <is>
          <t>Shimadzu TOC-L</t>
        </is>
      </c>
      <c r="Q874" s="20" t="inlineStr">
        <is>
          <t>None</t>
        </is>
      </c>
      <c r="R874" s="17" t="n"/>
      <c r="S874" s="16" t="n"/>
      <c r="T874" s="20" t="inlineStr">
        <is>
          <t>Shimadzu TOC-L</t>
        </is>
      </c>
      <c r="U874" s="20" t="inlineStr">
        <is>
          <t>None</t>
        </is>
      </c>
      <c r="V874" s="17" t="n"/>
      <c r="W874" s="16" t="n"/>
      <c r="X874" s="20" t="n"/>
      <c r="Y874" s="20" t="inlineStr">
        <is>
          <t>None</t>
        </is>
      </c>
      <c r="Z874" s="17" t="n"/>
      <c r="AA874" s="16" t="n"/>
      <c r="AB874" s="20" t="n"/>
      <c r="AC874" s="20" t="inlineStr">
        <is>
          <t>None</t>
        </is>
      </c>
      <c r="AD874" s="17" t="n"/>
      <c r="AE874" s="16" t="n"/>
      <c r="AF874" s="20" t="inlineStr">
        <is>
          <t>IC Anionen</t>
        </is>
      </c>
      <c r="AG874" s="20" t="inlineStr">
        <is>
          <t>None</t>
        </is>
      </c>
      <c r="AH874" s="17" t="n"/>
      <c r="AI874" s="16" t="n"/>
      <c r="AJ874" s="20" t="n"/>
      <c r="AK874" s="20" t="inlineStr">
        <is>
          <t>None</t>
        </is>
      </c>
      <c r="AL874" s="17" t="n"/>
      <c r="AM874" s="16" t="n"/>
      <c r="AN874" s="20" t="inlineStr">
        <is>
          <t>IC Anionen</t>
        </is>
      </c>
      <c r="AO874" s="20" t="inlineStr">
        <is>
          <t>None</t>
        </is>
      </c>
      <c r="AP874" s="17" t="n"/>
      <c r="AQ874" s="16" t="n"/>
      <c r="AR874" s="20" t="n"/>
      <c r="AS874" s="20" t="inlineStr">
        <is>
          <t>None</t>
        </is>
      </c>
      <c r="AT874" s="17" t="n"/>
      <c r="AU874" s="16" t="n"/>
      <c r="AV874" s="20" t="n"/>
      <c r="AW874" s="20" t="inlineStr">
        <is>
          <t>None</t>
        </is>
      </c>
      <c r="AX874" s="17" t="n"/>
      <c r="AY874" s="16" t="n"/>
      <c r="AZ874" s="20" t="inlineStr">
        <is>
          <t>IC Anionen</t>
        </is>
      </c>
      <c r="BA874" s="20" t="inlineStr">
        <is>
          <t>None</t>
        </is>
      </c>
      <c r="BB874" s="17" t="n"/>
      <c r="BC874" s="16" t="n"/>
      <c r="BD874" s="20" t="inlineStr">
        <is>
          <t>IC Kationen</t>
        </is>
      </c>
      <c r="BE874" s="20" t="inlineStr">
        <is>
          <t>None</t>
        </is>
      </c>
      <c r="BF874" s="17" t="n"/>
      <c r="BG874" s="16" t="n"/>
      <c r="BH874" s="20" t="inlineStr">
        <is>
          <t>IC Kationen</t>
        </is>
      </c>
      <c r="BI874" s="20" t="inlineStr">
        <is>
          <t>None</t>
        </is>
      </c>
      <c r="BJ874" s="17" t="n"/>
      <c r="BK874" s="16" t="n"/>
      <c r="BL874" s="20" t="inlineStr">
        <is>
          <t>IC Kationen</t>
        </is>
      </c>
      <c r="BM874" s="20" t="inlineStr">
        <is>
          <t>None</t>
        </is>
      </c>
      <c r="BN874" s="17" t="n"/>
      <c r="BO874" s="16" t="n"/>
      <c r="BP874" s="20" t="inlineStr">
        <is>
          <t>IC Kationen</t>
        </is>
      </c>
      <c r="BQ874" s="20" t="inlineStr">
        <is>
          <t>None</t>
        </is>
      </c>
      <c r="BR874" s="17" t="n"/>
      <c r="BS874" s="16" t="n"/>
      <c r="BT874" s="20" t="inlineStr">
        <is>
          <t>IC Kationen</t>
        </is>
      </c>
      <c r="BU874" s="20" t="inlineStr">
        <is>
          <t>None</t>
        </is>
      </c>
      <c r="BV874" s="17" t="n"/>
      <c r="BW874" s="16" t="n"/>
      <c r="BX874" s="20" t="n"/>
      <c r="BY874" s="20" t="inlineStr">
        <is>
          <t>None</t>
        </is>
      </c>
      <c r="BZ874" s="17" t="n"/>
      <c r="CA874" s="16" t="n"/>
      <c r="CB874" s="20" t="n"/>
      <c r="CC874" s="20" t="inlineStr">
        <is>
          <t>None</t>
        </is>
      </c>
      <c r="CD874" s="17" t="n"/>
      <c r="CE874" s="16" t="n"/>
      <c r="CF874" s="20" t="n"/>
      <c r="CG874" s="20" t="inlineStr">
        <is>
          <t>None</t>
        </is>
      </c>
      <c r="CH874" s="17" t="n"/>
      <c r="CI874" s="16" t="n"/>
      <c r="CJ874" s="20" t="n"/>
      <c r="CK874" s="20" t="inlineStr">
        <is>
          <t>None</t>
        </is>
      </c>
      <c r="CL874" s="17" t="n"/>
      <c r="CM874" s="16" t="n"/>
      <c r="CN874" s="20" t="inlineStr">
        <is>
          <t>SOP 45-34</t>
        </is>
      </c>
      <c r="CO874" s="20" t="inlineStr">
        <is>
          <t>None</t>
        </is>
      </c>
      <c r="CP874" s="17" t="n"/>
      <c r="CQ874" s="16" t="n"/>
      <c r="CR874" s="20" t="n"/>
      <c r="CS874" s="20" t="inlineStr">
        <is>
          <t>None</t>
        </is>
      </c>
      <c r="CT874" s="17" t="n"/>
      <c r="CU874" s="16" t="n"/>
      <c r="CV874" s="20" t="n"/>
      <c r="CW874" s="20" t="inlineStr">
        <is>
          <t>None</t>
        </is>
      </c>
      <c r="CX874" s="17" t="n"/>
      <c r="CY874" s="16" t="n"/>
      <c r="CZ874" s="20" t="inlineStr">
        <is>
          <t>WTW Multimeter 3430 with FDO 925</t>
        </is>
      </c>
      <c r="DA874" s="20" t="inlineStr">
        <is>
          <t>None</t>
        </is>
      </c>
      <c r="DB874" s="17" t="n"/>
      <c r="DC874" s="16" t="n"/>
      <c r="DD874" s="20" t="n"/>
      <c r="DE874" s="20" t="inlineStr">
        <is>
          <t>None</t>
        </is>
      </c>
      <c r="DF874" s="17" t="n"/>
      <c r="DG874" s="16" t="n"/>
      <c r="DH874" s="20" t="inlineStr">
        <is>
          <t>SOP 45-09</t>
        </is>
      </c>
      <c r="DI874" s="20" t="inlineStr">
        <is>
          <t>None</t>
        </is>
      </c>
      <c r="DJ874" s="17" t="n"/>
      <c r="DK874" s="16" t="n"/>
      <c r="DL874" s="20" t="inlineStr">
        <is>
          <t>SOP 45-09 (SOP muss noch angepasst werden für VSS)</t>
        </is>
      </c>
      <c r="DM874" s="20" t="inlineStr">
        <is>
          <t>None</t>
        </is>
      </c>
      <c r="DN874" s="17" t="n"/>
      <c r="DO874" s="16" t="n"/>
      <c r="DP874" s="20" t="inlineStr">
        <is>
          <t>IC Organic Acids</t>
        </is>
      </c>
      <c r="DQ874" s="20" t="inlineStr">
        <is>
          <t>None</t>
        </is>
      </c>
      <c r="DR874" s="17" t="n"/>
      <c r="DS874" s="16" t="n"/>
      <c r="DT874" s="20" t="inlineStr">
        <is>
          <t>IC Organic Acids</t>
        </is>
      </c>
      <c r="DU874" s="20" t="inlineStr">
        <is>
          <t>None</t>
        </is>
      </c>
      <c r="DV874" s="17" t="n"/>
      <c r="DW874" s="16" t="n"/>
      <c r="DX874" s="20" t="inlineStr">
        <is>
          <t>IC Organic Acids</t>
        </is>
      </c>
      <c r="DY874" s="20" t="inlineStr">
        <is>
          <t>None</t>
        </is>
      </c>
      <c r="DZ874" s="17" t="n"/>
      <c r="EA874" s="16" t="n"/>
      <c r="EB874" s="20" t="inlineStr">
        <is>
          <t>IC Organic Acids</t>
        </is>
      </c>
      <c r="EC874" s="20" t="inlineStr">
        <is>
          <t>None</t>
        </is>
      </c>
      <c r="ED874" s="17" t="n"/>
      <c r="EE874" s="16" t="n"/>
      <c r="EF874" s="20" t="inlineStr">
        <is>
          <t>IC Organic Acids</t>
        </is>
      </c>
      <c r="EG874" s="20" t="inlineStr">
        <is>
          <t>None</t>
        </is>
      </c>
      <c r="EH874" s="17" t="n"/>
      <c r="EI874" s="16" t="n"/>
      <c r="EJ874" s="20" t="inlineStr">
        <is>
          <t>IC Organic Acids</t>
        </is>
      </c>
      <c r="EK874" s="20" t="inlineStr">
        <is>
          <t>None</t>
        </is>
      </c>
      <c r="EL874" s="17" t="n"/>
      <c r="EM874" s="16" t="n"/>
      <c r="EN874" s="20" t="inlineStr">
        <is>
          <t>IC Organic Acids</t>
        </is>
      </c>
      <c r="EO874" s="20" t="inlineStr">
        <is>
          <t>None</t>
        </is>
      </c>
      <c r="EP874" s="17" t="n"/>
      <c r="EQ874" s="16" t="n"/>
      <c r="ER874" s="20" t="inlineStr">
        <is>
          <t>IC Organic Acids</t>
        </is>
      </c>
      <c r="ES874" s="20" t="inlineStr">
        <is>
          <t>None</t>
        </is>
      </c>
      <c r="ET874" s="17" t="n"/>
      <c r="EU874" s="16" t="n"/>
      <c r="EV874" s="20" t="inlineStr">
        <is>
          <t>LC-MS</t>
        </is>
      </c>
      <c r="EW874" s="20" t="inlineStr">
        <is>
          <t>None</t>
        </is>
      </c>
      <c r="EX874" s="17" t="n"/>
      <c r="EY874" s="21" t="n"/>
      <c r="EZ874">
        <f>CONCATENATE(A874,B874)</f>
        <v/>
      </c>
      <c r="FA874">
        <f>CONCATENATE(SamplesX!A874,SamplesX!B874)</f>
        <v/>
      </c>
      <c r="FC874">
        <f>MATCH(EZ874,FA1:FA1008,0)</f>
        <v/>
      </c>
    </row>
    <row r="875">
      <c r="A875" s="16" t="n"/>
      <c r="B875" s="17" t="n"/>
      <c r="C875" s="10">
        <f>IF(ISNUMBER(FC875),INDIRECT("SamplesX!C"&amp;FC875),IF(ISNUMBER(FD875),INDIRECT("SamplesY!C"&amp;FD875),""))</f>
        <v/>
      </c>
      <c r="D875" s="12">
        <f>IF(ISNUMBER(FC875),INDIRECT("SamplesX!D"&amp;FC875),IF(ISNUMBER(FD875),INDIRECT("SamplesY!D"&amp;FD875),""))</f>
        <v/>
      </c>
      <c r="E875" s="12">
        <f>IF(ISNUMBER(FC875),INDIRECT("SamplesX!E"&amp;FC875),IF(ISNUMBER(FD875),INDIRECT("SamplesY!E"&amp;FD875),""))</f>
        <v/>
      </c>
      <c r="F875" s="11">
        <f>IF(ISNUMBER(FC875),INDIRECT("SamplesX!F"&amp;FC875),IF(ISNUMBER(FD875),INDIRECT("SamplesY!F"&amp;FD875),""))</f>
        <v/>
      </c>
      <c r="G875" s="18">
        <f>IF(ISNUMBER(FC875),INDIRECT("SamplesX!G"&amp;FC875),IF(ISNUMBER(FD875),INDIRECT("SamplesY!G"&amp;FD875),""))</f>
        <v/>
      </c>
      <c r="H875" s="19">
        <f>IF(ISNUMBER(FC875),INDIRECT("SamplesX!H"&amp;FC875),IF(ISNUMBER(FD875),INDIRECT("SamplesY!H"&amp;FD875),""))</f>
        <v/>
      </c>
      <c r="I875" s="16" t="n"/>
      <c r="J875" s="16" t="n"/>
      <c r="K875" s="16" t="n"/>
      <c r="L875" s="20" t="n"/>
      <c r="M875" s="20" t="inlineStr">
        <is>
          <t>None</t>
        </is>
      </c>
      <c r="N875" s="17" t="n"/>
      <c r="O875" s="16" t="n"/>
      <c r="P875" s="20" t="inlineStr">
        <is>
          <t>Shimadzu TOC-L</t>
        </is>
      </c>
      <c r="Q875" s="20" t="inlineStr">
        <is>
          <t>None</t>
        </is>
      </c>
      <c r="R875" s="17" t="n"/>
      <c r="S875" s="16" t="n"/>
      <c r="T875" s="20" t="inlineStr">
        <is>
          <t>Shimadzu TOC-L</t>
        </is>
      </c>
      <c r="U875" s="20" t="inlineStr">
        <is>
          <t>None</t>
        </is>
      </c>
      <c r="V875" s="17" t="n"/>
      <c r="W875" s="16" t="n"/>
      <c r="X875" s="20" t="n"/>
      <c r="Y875" s="20" t="inlineStr">
        <is>
          <t>None</t>
        </is>
      </c>
      <c r="Z875" s="17" t="n"/>
      <c r="AA875" s="16" t="n"/>
      <c r="AB875" s="20" t="n"/>
      <c r="AC875" s="20" t="inlineStr">
        <is>
          <t>None</t>
        </is>
      </c>
      <c r="AD875" s="17" t="n"/>
      <c r="AE875" s="16" t="n"/>
      <c r="AF875" s="20" t="inlineStr">
        <is>
          <t>IC Anionen</t>
        </is>
      </c>
      <c r="AG875" s="20" t="inlineStr">
        <is>
          <t>None</t>
        </is>
      </c>
      <c r="AH875" s="17" t="n"/>
      <c r="AI875" s="16" t="n"/>
      <c r="AJ875" s="20" t="n"/>
      <c r="AK875" s="20" t="inlineStr">
        <is>
          <t>None</t>
        </is>
      </c>
      <c r="AL875" s="17" t="n"/>
      <c r="AM875" s="16" t="n"/>
      <c r="AN875" s="20" t="inlineStr">
        <is>
          <t>IC Anionen</t>
        </is>
      </c>
      <c r="AO875" s="20" t="inlineStr">
        <is>
          <t>None</t>
        </is>
      </c>
      <c r="AP875" s="17" t="n"/>
      <c r="AQ875" s="16" t="n"/>
      <c r="AR875" s="20" t="n"/>
      <c r="AS875" s="20" t="inlineStr">
        <is>
          <t>None</t>
        </is>
      </c>
      <c r="AT875" s="17" t="n"/>
      <c r="AU875" s="16" t="n"/>
      <c r="AV875" s="20" t="n"/>
      <c r="AW875" s="20" t="inlineStr">
        <is>
          <t>None</t>
        </is>
      </c>
      <c r="AX875" s="17" t="n"/>
      <c r="AY875" s="16" t="n"/>
      <c r="AZ875" s="20" t="inlineStr">
        <is>
          <t>IC Anionen</t>
        </is>
      </c>
      <c r="BA875" s="20" t="inlineStr">
        <is>
          <t>None</t>
        </is>
      </c>
      <c r="BB875" s="17" t="n"/>
      <c r="BC875" s="16" t="n"/>
      <c r="BD875" s="20" t="inlineStr">
        <is>
          <t>IC Kationen</t>
        </is>
      </c>
      <c r="BE875" s="20" t="inlineStr">
        <is>
          <t>None</t>
        </is>
      </c>
      <c r="BF875" s="17" t="n"/>
      <c r="BG875" s="16" t="n"/>
      <c r="BH875" s="20" t="inlineStr">
        <is>
          <t>IC Kationen</t>
        </is>
      </c>
      <c r="BI875" s="20" t="inlineStr">
        <is>
          <t>None</t>
        </is>
      </c>
      <c r="BJ875" s="17" t="n"/>
      <c r="BK875" s="16" t="n"/>
      <c r="BL875" s="20" t="inlineStr">
        <is>
          <t>IC Kationen</t>
        </is>
      </c>
      <c r="BM875" s="20" t="inlineStr">
        <is>
          <t>None</t>
        </is>
      </c>
      <c r="BN875" s="17" t="n"/>
      <c r="BO875" s="16" t="n"/>
      <c r="BP875" s="20" t="inlineStr">
        <is>
          <t>IC Kationen</t>
        </is>
      </c>
      <c r="BQ875" s="20" t="inlineStr">
        <is>
          <t>None</t>
        </is>
      </c>
      <c r="BR875" s="17" t="n"/>
      <c r="BS875" s="16" t="n"/>
      <c r="BT875" s="20" t="inlineStr">
        <is>
          <t>IC Kationen</t>
        </is>
      </c>
      <c r="BU875" s="20" t="inlineStr">
        <is>
          <t>None</t>
        </is>
      </c>
      <c r="BV875" s="17" t="n"/>
      <c r="BW875" s="16" t="n"/>
      <c r="BX875" s="20" t="n"/>
      <c r="BY875" s="20" t="inlineStr">
        <is>
          <t>None</t>
        </is>
      </c>
      <c r="BZ875" s="17" t="n"/>
      <c r="CA875" s="16" t="n"/>
      <c r="CB875" s="20" t="n"/>
      <c r="CC875" s="20" t="inlineStr">
        <is>
          <t>None</t>
        </is>
      </c>
      <c r="CD875" s="17" t="n"/>
      <c r="CE875" s="16" t="n"/>
      <c r="CF875" s="20" t="n"/>
      <c r="CG875" s="20" t="inlineStr">
        <is>
          <t>None</t>
        </is>
      </c>
      <c r="CH875" s="17" t="n"/>
      <c r="CI875" s="16" t="n"/>
      <c r="CJ875" s="20" t="n"/>
      <c r="CK875" s="20" t="inlineStr">
        <is>
          <t>None</t>
        </is>
      </c>
      <c r="CL875" s="17" t="n"/>
      <c r="CM875" s="16" t="n"/>
      <c r="CN875" s="20" t="inlineStr">
        <is>
          <t>SOP 45-34</t>
        </is>
      </c>
      <c r="CO875" s="20" t="inlineStr">
        <is>
          <t>None</t>
        </is>
      </c>
      <c r="CP875" s="17" t="n"/>
      <c r="CQ875" s="16" t="n"/>
      <c r="CR875" s="20" t="n"/>
      <c r="CS875" s="20" t="inlineStr">
        <is>
          <t>None</t>
        </is>
      </c>
      <c r="CT875" s="17" t="n"/>
      <c r="CU875" s="16" t="n"/>
      <c r="CV875" s="20" t="n"/>
      <c r="CW875" s="20" t="inlineStr">
        <is>
          <t>None</t>
        </is>
      </c>
      <c r="CX875" s="17" t="n"/>
      <c r="CY875" s="16" t="n"/>
      <c r="CZ875" s="20" t="inlineStr">
        <is>
          <t>WTW Multimeter 3430 with FDO 925</t>
        </is>
      </c>
      <c r="DA875" s="20" t="inlineStr">
        <is>
          <t>None</t>
        </is>
      </c>
      <c r="DB875" s="17" t="n"/>
      <c r="DC875" s="16" t="n"/>
      <c r="DD875" s="20" t="n"/>
      <c r="DE875" s="20" t="inlineStr">
        <is>
          <t>None</t>
        </is>
      </c>
      <c r="DF875" s="17" t="n"/>
      <c r="DG875" s="16" t="n"/>
      <c r="DH875" s="20" t="inlineStr">
        <is>
          <t>SOP 45-09</t>
        </is>
      </c>
      <c r="DI875" s="20" t="inlineStr">
        <is>
          <t>None</t>
        </is>
      </c>
      <c r="DJ875" s="17" t="n"/>
      <c r="DK875" s="16" t="n"/>
      <c r="DL875" s="20" t="inlineStr">
        <is>
          <t>SOP 45-09 (SOP muss noch angepasst werden für VSS)</t>
        </is>
      </c>
      <c r="DM875" s="20" t="inlineStr">
        <is>
          <t>None</t>
        </is>
      </c>
      <c r="DN875" s="17" t="n"/>
      <c r="DO875" s="16" t="n"/>
      <c r="DP875" s="20" t="inlineStr">
        <is>
          <t>IC Organic Acids</t>
        </is>
      </c>
      <c r="DQ875" s="20" t="inlineStr">
        <is>
          <t>None</t>
        </is>
      </c>
      <c r="DR875" s="17" t="n"/>
      <c r="DS875" s="16" t="n"/>
      <c r="DT875" s="20" t="inlineStr">
        <is>
          <t>IC Organic Acids</t>
        </is>
      </c>
      <c r="DU875" s="20" t="inlineStr">
        <is>
          <t>None</t>
        </is>
      </c>
      <c r="DV875" s="17" t="n"/>
      <c r="DW875" s="16" t="n"/>
      <c r="DX875" s="20" t="inlineStr">
        <is>
          <t>IC Organic Acids</t>
        </is>
      </c>
      <c r="DY875" s="20" t="inlineStr">
        <is>
          <t>None</t>
        </is>
      </c>
      <c r="DZ875" s="17" t="n"/>
      <c r="EA875" s="16" t="n"/>
      <c r="EB875" s="20" t="inlineStr">
        <is>
          <t>IC Organic Acids</t>
        </is>
      </c>
      <c r="EC875" s="20" t="inlineStr">
        <is>
          <t>None</t>
        </is>
      </c>
      <c r="ED875" s="17" t="n"/>
      <c r="EE875" s="16" t="n"/>
      <c r="EF875" s="20" t="inlineStr">
        <is>
          <t>IC Organic Acids</t>
        </is>
      </c>
      <c r="EG875" s="20" t="inlineStr">
        <is>
          <t>None</t>
        </is>
      </c>
      <c r="EH875" s="17" t="n"/>
      <c r="EI875" s="16" t="n"/>
      <c r="EJ875" s="20" t="inlineStr">
        <is>
          <t>IC Organic Acids</t>
        </is>
      </c>
      <c r="EK875" s="20" t="inlineStr">
        <is>
          <t>None</t>
        </is>
      </c>
      <c r="EL875" s="17" t="n"/>
      <c r="EM875" s="16" t="n"/>
      <c r="EN875" s="20" t="inlineStr">
        <is>
          <t>IC Organic Acids</t>
        </is>
      </c>
      <c r="EO875" s="20" t="inlineStr">
        <is>
          <t>None</t>
        </is>
      </c>
      <c r="EP875" s="17" t="n"/>
      <c r="EQ875" s="16" t="n"/>
      <c r="ER875" s="20" t="inlineStr">
        <is>
          <t>IC Organic Acids</t>
        </is>
      </c>
      <c r="ES875" s="20" t="inlineStr">
        <is>
          <t>None</t>
        </is>
      </c>
      <c r="ET875" s="17" t="n"/>
      <c r="EU875" s="16" t="n"/>
      <c r="EV875" s="20" t="inlineStr">
        <is>
          <t>LC-MS</t>
        </is>
      </c>
      <c r="EW875" s="20" t="inlineStr">
        <is>
          <t>None</t>
        </is>
      </c>
      <c r="EX875" s="17" t="n"/>
      <c r="EY875" s="21" t="n"/>
      <c r="EZ875">
        <f>CONCATENATE(A875,B875)</f>
        <v/>
      </c>
      <c r="FA875">
        <f>CONCATENATE(SamplesX!A875,SamplesX!B875)</f>
        <v/>
      </c>
      <c r="FC875">
        <f>MATCH(EZ875,FA1:FA1008,0)</f>
        <v/>
      </c>
    </row>
    <row r="876">
      <c r="A876" s="16" t="n"/>
      <c r="B876" s="17" t="n"/>
      <c r="C876" s="10">
        <f>IF(ISNUMBER(FC876),INDIRECT("SamplesX!C"&amp;FC876),IF(ISNUMBER(FD876),INDIRECT("SamplesY!C"&amp;FD876),""))</f>
        <v/>
      </c>
      <c r="D876" s="12">
        <f>IF(ISNUMBER(FC876),INDIRECT("SamplesX!D"&amp;FC876),IF(ISNUMBER(FD876),INDIRECT("SamplesY!D"&amp;FD876),""))</f>
        <v/>
      </c>
      <c r="E876" s="12">
        <f>IF(ISNUMBER(FC876),INDIRECT("SamplesX!E"&amp;FC876),IF(ISNUMBER(FD876),INDIRECT("SamplesY!E"&amp;FD876),""))</f>
        <v/>
      </c>
      <c r="F876" s="11">
        <f>IF(ISNUMBER(FC876),INDIRECT("SamplesX!F"&amp;FC876),IF(ISNUMBER(FD876),INDIRECT("SamplesY!F"&amp;FD876),""))</f>
        <v/>
      </c>
      <c r="G876" s="18">
        <f>IF(ISNUMBER(FC876),INDIRECT("SamplesX!G"&amp;FC876),IF(ISNUMBER(FD876),INDIRECT("SamplesY!G"&amp;FD876),""))</f>
        <v/>
      </c>
      <c r="H876" s="19">
        <f>IF(ISNUMBER(FC876),INDIRECT("SamplesX!H"&amp;FC876),IF(ISNUMBER(FD876),INDIRECT("SamplesY!H"&amp;FD876),""))</f>
        <v/>
      </c>
      <c r="I876" s="16" t="n"/>
      <c r="J876" s="16" t="n"/>
      <c r="K876" s="16" t="n"/>
      <c r="L876" s="20" t="n"/>
      <c r="M876" s="20" t="inlineStr">
        <is>
          <t>None</t>
        </is>
      </c>
      <c r="N876" s="17" t="n"/>
      <c r="O876" s="16" t="n"/>
      <c r="P876" s="20" t="inlineStr">
        <is>
          <t>Shimadzu TOC-L</t>
        </is>
      </c>
      <c r="Q876" s="20" t="inlineStr">
        <is>
          <t>None</t>
        </is>
      </c>
      <c r="R876" s="17" t="n"/>
      <c r="S876" s="16" t="n"/>
      <c r="T876" s="20" t="inlineStr">
        <is>
          <t>Shimadzu TOC-L</t>
        </is>
      </c>
      <c r="U876" s="20" t="inlineStr">
        <is>
          <t>None</t>
        </is>
      </c>
      <c r="V876" s="17" t="n"/>
      <c r="W876" s="16" t="n"/>
      <c r="X876" s="20" t="n"/>
      <c r="Y876" s="20" t="inlineStr">
        <is>
          <t>None</t>
        </is>
      </c>
      <c r="Z876" s="17" t="n"/>
      <c r="AA876" s="16" t="n"/>
      <c r="AB876" s="20" t="n"/>
      <c r="AC876" s="20" t="inlineStr">
        <is>
          <t>None</t>
        </is>
      </c>
      <c r="AD876" s="17" t="n"/>
      <c r="AE876" s="16" t="n"/>
      <c r="AF876" s="20" t="inlineStr">
        <is>
          <t>IC Anionen</t>
        </is>
      </c>
      <c r="AG876" s="20" t="inlineStr">
        <is>
          <t>None</t>
        </is>
      </c>
      <c r="AH876" s="17" t="n"/>
      <c r="AI876" s="16" t="n"/>
      <c r="AJ876" s="20" t="n"/>
      <c r="AK876" s="20" t="inlineStr">
        <is>
          <t>None</t>
        </is>
      </c>
      <c r="AL876" s="17" t="n"/>
      <c r="AM876" s="16" t="n"/>
      <c r="AN876" s="20" t="inlineStr">
        <is>
          <t>IC Anionen</t>
        </is>
      </c>
      <c r="AO876" s="20" t="inlineStr">
        <is>
          <t>None</t>
        </is>
      </c>
      <c r="AP876" s="17" t="n"/>
      <c r="AQ876" s="16" t="n"/>
      <c r="AR876" s="20" t="n"/>
      <c r="AS876" s="20" t="inlineStr">
        <is>
          <t>None</t>
        </is>
      </c>
      <c r="AT876" s="17" t="n"/>
      <c r="AU876" s="16" t="n"/>
      <c r="AV876" s="20" t="n"/>
      <c r="AW876" s="20" t="inlineStr">
        <is>
          <t>None</t>
        </is>
      </c>
      <c r="AX876" s="17" t="n"/>
      <c r="AY876" s="16" t="n"/>
      <c r="AZ876" s="20" t="inlineStr">
        <is>
          <t>IC Anionen</t>
        </is>
      </c>
      <c r="BA876" s="20" t="inlineStr">
        <is>
          <t>None</t>
        </is>
      </c>
      <c r="BB876" s="17" t="n"/>
      <c r="BC876" s="16" t="n"/>
      <c r="BD876" s="20" t="inlineStr">
        <is>
          <t>IC Kationen</t>
        </is>
      </c>
      <c r="BE876" s="20" t="inlineStr">
        <is>
          <t>None</t>
        </is>
      </c>
      <c r="BF876" s="17" t="n"/>
      <c r="BG876" s="16" t="n"/>
      <c r="BH876" s="20" t="inlineStr">
        <is>
          <t>IC Kationen</t>
        </is>
      </c>
      <c r="BI876" s="20" t="inlineStr">
        <is>
          <t>None</t>
        </is>
      </c>
      <c r="BJ876" s="17" t="n"/>
      <c r="BK876" s="16" t="n"/>
      <c r="BL876" s="20" t="inlineStr">
        <is>
          <t>IC Kationen</t>
        </is>
      </c>
      <c r="BM876" s="20" t="inlineStr">
        <is>
          <t>None</t>
        </is>
      </c>
      <c r="BN876" s="17" t="n"/>
      <c r="BO876" s="16" t="n"/>
      <c r="BP876" s="20" t="inlineStr">
        <is>
          <t>IC Kationen</t>
        </is>
      </c>
      <c r="BQ876" s="20" t="inlineStr">
        <is>
          <t>None</t>
        </is>
      </c>
      <c r="BR876" s="17" t="n"/>
      <c r="BS876" s="16" t="n"/>
      <c r="BT876" s="20" t="inlineStr">
        <is>
          <t>IC Kationen</t>
        </is>
      </c>
      <c r="BU876" s="20" t="inlineStr">
        <is>
          <t>None</t>
        </is>
      </c>
      <c r="BV876" s="17" t="n"/>
      <c r="BW876" s="16" t="n"/>
      <c r="BX876" s="20" t="n"/>
      <c r="BY876" s="20" t="inlineStr">
        <is>
          <t>None</t>
        </is>
      </c>
      <c r="BZ876" s="17" t="n"/>
      <c r="CA876" s="16" t="n"/>
      <c r="CB876" s="20" t="n"/>
      <c r="CC876" s="20" t="inlineStr">
        <is>
          <t>None</t>
        </is>
      </c>
      <c r="CD876" s="17" t="n"/>
      <c r="CE876" s="16" t="n"/>
      <c r="CF876" s="20" t="n"/>
      <c r="CG876" s="20" t="inlineStr">
        <is>
          <t>None</t>
        </is>
      </c>
      <c r="CH876" s="17" t="n"/>
      <c r="CI876" s="16" t="n"/>
      <c r="CJ876" s="20" t="n"/>
      <c r="CK876" s="20" t="inlineStr">
        <is>
          <t>None</t>
        </is>
      </c>
      <c r="CL876" s="17" t="n"/>
      <c r="CM876" s="16" t="n"/>
      <c r="CN876" s="20" t="inlineStr">
        <is>
          <t>SOP 45-34</t>
        </is>
      </c>
      <c r="CO876" s="20" t="inlineStr">
        <is>
          <t>None</t>
        </is>
      </c>
      <c r="CP876" s="17" t="n"/>
      <c r="CQ876" s="16" t="n"/>
      <c r="CR876" s="20" t="n"/>
      <c r="CS876" s="20" t="inlineStr">
        <is>
          <t>None</t>
        </is>
      </c>
      <c r="CT876" s="17" t="n"/>
      <c r="CU876" s="16" t="n"/>
      <c r="CV876" s="20" t="n"/>
      <c r="CW876" s="20" t="inlineStr">
        <is>
          <t>None</t>
        </is>
      </c>
      <c r="CX876" s="17" t="n"/>
      <c r="CY876" s="16" t="n"/>
      <c r="CZ876" s="20" t="inlineStr">
        <is>
          <t>WTW Multimeter 3430 with FDO 925</t>
        </is>
      </c>
      <c r="DA876" s="20" t="inlineStr">
        <is>
          <t>None</t>
        </is>
      </c>
      <c r="DB876" s="17" t="n"/>
      <c r="DC876" s="16" t="n"/>
      <c r="DD876" s="20" t="n"/>
      <c r="DE876" s="20" t="inlineStr">
        <is>
          <t>None</t>
        </is>
      </c>
      <c r="DF876" s="17" t="n"/>
      <c r="DG876" s="16" t="n"/>
      <c r="DH876" s="20" t="inlineStr">
        <is>
          <t>SOP 45-09</t>
        </is>
      </c>
      <c r="DI876" s="20" t="inlineStr">
        <is>
          <t>None</t>
        </is>
      </c>
      <c r="DJ876" s="17" t="n"/>
      <c r="DK876" s="16" t="n"/>
      <c r="DL876" s="20" t="inlineStr">
        <is>
          <t>SOP 45-09 (SOP muss noch angepasst werden für VSS)</t>
        </is>
      </c>
      <c r="DM876" s="20" t="inlineStr">
        <is>
          <t>None</t>
        </is>
      </c>
      <c r="DN876" s="17" t="n"/>
      <c r="DO876" s="16" t="n"/>
      <c r="DP876" s="20" t="inlineStr">
        <is>
          <t>IC Organic Acids</t>
        </is>
      </c>
      <c r="DQ876" s="20" t="inlineStr">
        <is>
          <t>None</t>
        </is>
      </c>
      <c r="DR876" s="17" t="n"/>
      <c r="DS876" s="16" t="n"/>
      <c r="DT876" s="20" t="inlineStr">
        <is>
          <t>IC Organic Acids</t>
        </is>
      </c>
      <c r="DU876" s="20" t="inlineStr">
        <is>
          <t>None</t>
        </is>
      </c>
      <c r="DV876" s="17" t="n"/>
      <c r="DW876" s="16" t="n"/>
      <c r="DX876" s="20" t="inlineStr">
        <is>
          <t>IC Organic Acids</t>
        </is>
      </c>
      <c r="DY876" s="20" t="inlineStr">
        <is>
          <t>None</t>
        </is>
      </c>
      <c r="DZ876" s="17" t="n"/>
      <c r="EA876" s="16" t="n"/>
      <c r="EB876" s="20" t="inlineStr">
        <is>
          <t>IC Organic Acids</t>
        </is>
      </c>
      <c r="EC876" s="20" t="inlineStr">
        <is>
          <t>None</t>
        </is>
      </c>
      <c r="ED876" s="17" t="n"/>
      <c r="EE876" s="16" t="n"/>
      <c r="EF876" s="20" t="inlineStr">
        <is>
          <t>IC Organic Acids</t>
        </is>
      </c>
      <c r="EG876" s="20" t="inlineStr">
        <is>
          <t>None</t>
        </is>
      </c>
      <c r="EH876" s="17" t="n"/>
      <c r="EI876" s="16" t="n"/>
      <c r="EJ876" s="20" t="inlineStr">
        <is>
          <t>IC Organic Acids</t>
        </is>
      </c>
      <c r="EK876" s="20" t="inlineStr">
        <is>
          <t>None</t>
        </is>
      </c>
      <c r="EL876" s="17" t="n"/>
      <c r="EM876" s="16" t="n"/>
      <c r="EN876" s="20" t="inlineStr">
        <is>
          <t>IC Organic Acids</t>
        </is>
      </c>
      <c r="EO876" s="20" t="inlineStr">
        <is>
          <t>None</t>
        </is>
      </c>
      <c r="EP876" s="17" t="n"/>
      <c r="EQ876" s="16" t="n"/>
      <c r="ER876" s="20" t="inlineStr">
        <is>
          <t>IC Organic Acids</t>
        </is>
      </c>
      <c r="ES876" s="20" t="inlineStr">
        <is>
          <t>None</t>
        </is>
      </c>
      <c r="ET876" s="17" t="n"/>
      <c r="EU876" s="16" t="n"/>
      <c r="EV876" s="20" t="inlineStr">
        <is>
          <t>LC-MS</t>
        </is>
      </c>
      <c r="EW876" s="20" t="inlineStr">
        <is>
          <t>None</t>
        </is>
      </c>
      <c r="EX876" s="17" t="n"/>
      <c r="EY876" s="21" t="n"/>
      <c r="EZ876">
        <f>CONCATENATE(A876,B876)</f>
        <v/>
      </c>
      <c r="FA876">
        <f>CONCATENATE(SamplesX!A876,SamplesX!B876)</f>
        <v/>
      </c>
      <c r="FC876">
        <f>MATCH(EZ876,FA1:FA1008,0)</f>
        <v/>
      </c>
    </row>
    <row r="877">
      <c r="A877" s="16" t="n"/>
      <c r="B877" s="17" t="n"/>
      <c r="C877" s="10">
        <f>IF(ISNUMBER(FC877),INDIRECT("SamplesX!C"&amp;FC877),IF(ISNUMBER(FD877),INDIRECT("SamplesY!C"&amp;FD877),""))</f>
        <v/>
      </c>
      <c r="D877" s="12">
        <f>IF(ISNUMBER(FC877),INDIRECT("SamplesX!D"&amp;FC877),IF(ISNUMBER(FD877),INDIRECT("SamplesY!D"&amp;FD877),""))</f>
        <v/>
      </c>
      <c r="E877" s="12">
        <f>IF(ISNUMBER(FC877),INDIRECT("SamplesX!E"&amp;FC877),IF(ISNUMBER(FD877),INDIRECT("SamplesY!E"&amp;FD877),""))</f>
        <v/>
      </c>
      <c r="F877" s="11">
        <f>IF(ISNUMBER(FC877),INDIRECT("SamplesX!F"&amp;FC877),IF(ISNUMBER(FD877),INDIRECT("SamplesY!F"&amp;FD877),""))</f>
        <v/>
      </c>
      <c r="G877" s="18">
        <f>IF(ISNUMBER(FC877),INDIRECT("SamplesX!G"&amp;FC877),IF(ISNUMBER(FD877),INDIRECT("SamplesY!G"&amp;FD877),""))</f>
        <v/>
      </c>
      <c r="H877" s="19">
        <f>IF(ISNUMBER(FC877),INDIRECT("SamplesX!H"&amp;FC877),IF(ISNUMBER(FD877),INDIRECT("SamplesY!H"&amp;FD877),""))</f>
        <v/>
      </c>
      <c r="I877" s="16" t="n"/>
      <c r="J877" s="16" t="n"/>
      <c r="K877" s="16" t="n"/>
      <c r="L877" s="20" t="n"/>
      <c r="M877" s="20" t="inlineStr">
        <is>
          <t>None</t>
        </is>
      </c>
      <c r="N877" s="17" t="n"/>
      <c r="O877" s="16" t="n"/>
      <c r="P877" s="20" t="inlineStr">
        <is>
          <t>Shimadzu TOC-L</t>
        </is>
      </c>
      <c r="Q877" s="20" t="inlineStr">
        <is>
          <t>None</t>
        </is>
      </c>
      <c r="R877" s="17" t="n"/>
      <c r="S877" s="16" t="n"/>
      <c r="T877" s="20" t="inlineStr">
        <is>
          <t>Shimadzu TOC-L</t>
        </is>
      </c>
      <c r="U877" s="20" t="inlineStr">
        <is>
          <t>None</t>
        </is>
      </c>
      <c r="V877" s="17" t="n"/>
      <c r="W877" s="16" t="n"/>
      <c r="X877" s="20" t="n"/>
      <c r="Y877" s="20" t="inlineStr">
        <is>
          <t>None</t>
        </is>
      </c>
      <c r="Z877" s="17" t="n"/>
      <c r="AA877" s="16" t="n"/>
      <c r="AB877" s="20" t="n"/>
      <c r="AC877" s="20" t="inlineStr">
        <is>
          <t>None</t>
        </is>
      </c>
      <c r="AD877" s="17" t="n"/>
      <c r="AE877" s="16" t="n"/>
      <c r="AF877" s="20" t="inlineStr">
        <is>
          <t>IC Anionen</t>
        </is>
      </c>
      <c r="AG877" s="20" t="inlineStr">
        <is>
          <t>None</t>
        </is>
      </c>
      <c r="AH877" s="17" t="n"/>
      <c r="AI877" s="16" t="n"/>
      <c r="AJ877" s="20" t="n"/>
      <c r="AK877" s="20" t="inlineStr">
        <is>
          <t>None</t>
        </is>
      </c>
      <c r="AL877" s="17" t="n"/>
      <c r="AM877" s="16" t="n"/>
      <c r="AN877" s="20" t="inlineStr">
        <is>
          <t>IC Anionen</t>
        </is>
      </c>
      <c r="AO877" s="20" t="inlineStr">
        <is>
          <t>None</t>
        </is>
      </c>
      <c r="AP877" s="17" t="n"/>
      <c r="AQ877" s="16" t="n"/>
      <c r="AR877" s="20" t="n"/>
      <c r="AS877" s="20" t="inlineStr">
        <is>
          <t>None</t>
        </is>
      </c>
      <c r="AT877" s="17" t="n"/>
      <c r="AU877" s="16" t="n"/>
      <c r="AV877" s="20" t="n"/>
      <c r="AW877" s="20" t="inlineStr">
        <is>
          <t>None</t>
        </is>
      </c>
      <c r="AX877" s="17" t="n"/>
      <c r="AY877" s="16" t="n"/>
      <c r="AZ877" s="20" t="inlineStr">
        <is>
          <t>IC Anionen</t>
        </is>
      </c>
      <c r="BA877" s="20" t="inlineStr">
        <is>
          <t>None</t>
        </is>
      </c>
      <c r="BB877" s="17" t="n"/>
      <c r="BC877" s="16" t="n"/>
      <c r="BD877" s="20" t="inlineStr">
        <is>
          <t>IC Kationen</t>
        </is>
      </c>
      <c r="BE877" s="20" t="inlineStr">
        <is>
          <t>None</t>
        </is>
      </c>
      <c r="BF877" s="17" t="n"/>
      <c r="BG877" s="16" t="n"/>
      <c r="BH877" s="20" t="inlineStr">
        <is>
          <t>IC Kationen</t>
        </is>
      </c>
      <c r="BI877" s="20" t="inlineStr">
        <is>
          <t>None</t>
        </is>
      </c>
      <c r="BJ877" s="17" t="n"/>
      <c r="BK877" s="16" t="n"/>
      <c r="BL877" s="20" t="inlineStr">
        <is>
          <t>IC Kationen</t>
        </is>
      </c>
      <c r="BM877" s="20" t="inlineStr">
        <is>
          <t>None</t>
        </is>
      </c>
      <c r="BN877" s="17" t="n"/>
      <c r="BO877" s="16" t="n"/>
      <c r="BP877" s="20" t="inlineStr">
        <is>
          <t>IC Kationen</t>
        </is>
      </c>
      <c r="BQ877" s="20" t="inlineStr">
        <is>
          <t>None</t>
        </is>
      </c>
      <c r="BR877" s="17" t="n"/>
      <c r="BS877" s="16" t="n"/>
      <c r="BT877" s="20" t="inlineStr">
        <is>
          <t>IC Kationen</t>
        </is>
      </c>
      <c r="BU877" s="20" t="inlineStr">
        <is>
          <t>None</t>
        </is>
      </c>
      <c r="BV877" s="17" t="n"/>
      <c r="BW877" s="16" t="n"/>
      <c r="BX877" s="20" t="n"/>
      <c r="BY877" s="20" t="inlineStr">
        <is>
          <t>None</t>
        </is>
      </c>
      <c r="BZ877" s="17" t="n"/>
      <c r="CA877" s="16" t="n"/>
      <c r="CB877" s="20" t="n"/>
      <c r="CC877" s="20" t="inlineStr">
        <is>
          <t>None</t>
        </is>
      </c>
      <c r="CD877" s="17" t="n"/>
      <c r="CE877" s="16" t="n"/>
      <c r="CF877" s="20" t="n"/>
      <c r="CG877" s="20" t="inlineStr">
        <is>
          <t>None</t>
        </is>
      </c>
      <c r="CH877" s="17" t="n"/>
      <c r="CI877" s="16" t="n"/>
      <c r="CJ877" s="20" t="n"/>
      <c r="CK877" s="20" t="inlineStr">
        <is>
          <t>None</t>
        </is>
      </c>
      <c r="CL877" s="17" t="n"/>
      <c r="CM877" s="16" t="n"/>
      <c r="CN877" s="20" t="inlineStr">
        <is>
          <t>SOP 45-34</t>
        </is>
      </c>
      <c r="CO877" s="20" t="inlineStr">
        <is>
          <t>None</t>
        </is>
      </c>
      <c r="CP877" s="17" t="n"/>
      <c r="CQ877" s="16" t="n"/>
      <c r="CR877" s="20" t="n"/>
      <c r="CS877" s="20" t="inlineStr">
        <is>
          <t>None</t>
        </is>
      </c>
      <c r="CT877" s="17" t="n"/>
      <c r="CU877" s="16" t="n"/>
      <c r="CV877" s="20" t="n"/>
      <c r="CW877" s="20" t="inlineStr">
        <is>
          <t>None</t>
        </is>
      </c>
      <c r="CX877" s="17" t="n"/>
      <c r="CY877" s="16" t="n"/>
      <c r="CZ877" s="20" t="inlineStr">
        <is>
          <t>WTW Multimeter 3430 with FDO 925</t>
        </is>
      </c>
      <c r="DA877" s="20" t="inlineStr">
        <is>
          <t>None</t>
        </is>
      </c>
      <c r="DB877" s="17" t="n"/>
      <c r="DC877" s="16" t="n"/>
      <c r="DD877" s="20" t="n"/>
      <c r="DE877" s="20" t="inlineStr">
        <is>
          <t>None</t>
        </is>
      </c>
      <c r="DF877" s="17" t="n"/>
      <c r="DG877" s="16" t="n"/>
      <c r="DH877" s="20" t="inlineStr">
        <is>
          <t>SOP 45-09</t>
        </is>
      </c>
      <c r="DI877" s="20" t="inlineStr">
        <is>
          <t>None</t>
        </is>
      </c>
      <c r="DJ877" s="17" t="n"/>
      <c r="DK877" s="16" t="n"/>
      <c r="DL877" s="20" t="inlineStr">
        <is>
          <t>SOP 45-09 (SOP muss noch angepasst werden für VSS)</t>
        </is>
      </c>
      <c r="DM877" s="20" t="inlineStr">
        <is>
          <t>None</t>
        </is>
      </c>
      <c r="DN877" s="17" t="n"/>
      <c r="DO877" s="16" t="n"/>
      <c r="DP877" s="20" t="inlineStr">
        <is>
          <t>IC Organic Acids</t>
        </is>
      </c>
      <c r="DQ877" s="20" t="inlineStr">
        <is>
          <t>None</t>
        </is>
      </c>
      <c r="DR877" s="17" t="n"/>
      <c r="DS877" s="16" t="n"/>
      <c r="DT877" s="20" t="inlineStr">
        <is>
          <t>IC Organic Acids</t>
        </is>
      </c>
      <c r="DU877" s="20" t="inlineStr">
        <is>
          <t>None</t>
        </is>
      </c>
      <c r="DV877" s="17" t="n"/>
      <c r="DW877" s="16" t="n"/>
      <c r="DX877" s="20" t="inlineStr">
        <is>
          <t>IC Organic Acids</t>
        </is>
      </c>
      <c r="DY877" s="20" t="inlineStr">
        <is>
          <t>None</t>
        </is>
      </c>
      <c r="DZ877" s="17" t="n"/>
      <c r="EA877" s="16" t="n"/>
      <c r="EB877" s="20" t="inlineStr">
        <is>
          <t>IC Organic Acids</t>
        </is>
      </c>
      <c r="EC877" s="20" t="inlineStr">
        <is>
          <t>None</t>
        </is>
      </c>
      <c r="ED877" s="17" t="n"/>
      <c r="EE877" s="16" t="n"/>
      <c r="EF877" s="20" t="inlineStr">
        <is>
          <t>IC Organic Acids</t>
        </is>
      </c>
      <c r="EG877" s="20" t="inlineStr">
        <is>
          <t>None</t>
        </is>
      </c>
      <c r="EH877" s="17" t="n"/>
      <c r="EI877" s="16" t="n"/>
      <c r="EJ877" s="20" t="inlineStr">
        <is>
          <t>IC Organic Acids</t>
        </is>
      </c>
      <c r="EK877" s="20" t="inlineStr">
        <is>
          <t>None</t>
        </is>
      </c>
      <c r="EL877" s="17" t="n"/>
      <c r="EM877" s="16" t="n"/>
      <c r="EN877" s="20" t="inlineStr">
        <is>
          <t>IC Organic Acids</t>
        </is>
      </c>
      <c r="EO877" s="20" t="inlineStr">
        <is>
          <t>None</t>
        </is>
      </c>
      <c r="EP877" s="17" t="n"/>
      <c r="EQ877" s="16" t="n"/>
      <c r="ER877" s="20" t="inlineStr">
        <is>
          <t>IC Organic Acids</t>
        </is>
      </c>
      <c r="ES877" s="20" t="inlineStr">
        <is>
          <t>None</t>
        </is>
      </c>
      <c r="ET877" s="17" t="n"/>
      <c r="EU877" s="16" t="n"/>
      <c r="EV877" s="20" t="inlineStr">
        <is>
          <t>LC-MS</t>
        </is>
      </c>
      <c r="EW877" s="20" t="inlineStr">
        <is>
          <t>None</t>
        </is>
      </c>
      <c r="EX877" s="17" t="n"/>
      <c r="EY877" s="21" t="n"/>
      <c r="EZ877">
        <f>CONCATENATE(A877,B877)</f>
        <v/>
      </c>
      <c r="FA877">
        <f>CONCATENATE(SamplesX!A877,SamplesX!B877)</f>
        <v/>
      </c>
      <c r="FC877">
        <f>MATCH(EZ877,FA1:FA1008,0)</f>
        <v/>
      </c>
    </row>
    <row r="878">
      <c r="A878" s="16" t="n"/>
      <c r="B878" s="17" t="n"/>
      <c r="C878" s="10">
        <f>IF(ISNUMBER(FC878),INDIRECT("SamplesX!C"&amp;FC878),IF(ISNUMBER(FD878),INDIRECT("SamplesY!C"&amp;FD878),""))</f>
        <v/>
      </c>
      <c r="D878" s="12">
        <f>IF(ISNUMBER(FC878),INDIRECT("SamplesX!D"&amp;FC878),IF(ISNUMBER(FD878),INDIRECT("SamplesY!D"&amp;FD878),""))</f>
        <v/>
      </c>
      <c r="E878" s="12">
        <f>IF(ISNUMBER(FC878),INDIRECT("SamplesX!E"&amp;FC878),IF(ISNUMBER(FD878),INDIRECT("SamplesY!E"&amp;FD878),""))</f>
        <v/>
      </c>
      <c r="F878" s="11">
        <f>IF(ISNUMBER(FC878),INDIRECT("SamplesX!F"&amp;FC878),IF(ISNUMBER(FD878),INDIRECT("SamplesY!F"&amp;FD878),""))</f>
        <v/>
      </c>
      <c r="G878" s="18">
        <f>IF(ISNUMBER(FC878),INDIRECT("SamplesX!G"&amp;FC878),IF(ISNUMBER(FD878),INDIRECT("SamplesY!G"&amp;FD878),""))</f>
        <v/>
      </c>
      <c r="H878" s="19">
        <f>IF(ISNUMBER(FC878),INDIRECT("SamplesX!H"&amp;FC878),IF(ISNUMBER(FD878),INDIRECT("SamplesY!H"&amp;FD878),""))</f>
        <v/>
      </c>
      <c r="I878" s="16" t="n"/>
      <c r="J878" s="16" t="n"/>
      <c r="K878" s="16" t="n"/>
      <c r="L878" s="20" t="n"/>
      <c r="M878" s="20" t="inlineStr">
        <is>
          <t>None</t>
        </is>
      </c>
      <c r="N878" s="17" t="n"/>
      <c r="O878" s="16" t="n"/>
      <c r="P878" s="20" t="inlineStr">
        <is>
          <t>Shimadzu TOC-L</t>
        </is>
      </c>
      <c r="Q878" s="20" t="inlineStr">
        <is>
          <t>None</t>
        </is>
      </c>
      <c r="R878" s="17" t="n"/>
      <c r="S878" s="16" t="n"/>
      <c r="T878" s="20" t="inlineStr">
        <is>
          <t>Shimadzu TOC-L</t>
        </is>
      </c>
      <c r="U878" s="20" t="inlineStr">
        <is>
          <t>None</t>
        </is>
      </c>
      <c r="V878" s="17" t="n"/>
      <c r="W878" s="16" t="n"/>
      <c r="X878" s="20" t="n"/>
      <c r="Y878" s="20" t="inlineStr">
        <is>
          <t>None</t>
        </is>
      </c>
      <c r="Z878" s="17" t="n"/>
      <c r="AA878" s="16" t="n"/>
      <c r="AB878" s="20" t="n"/>
      <c r="AC878" s="20" t="inlineStr">
        <is>
          <t>None</t>
        </is>
      </c>
      <c r="AD878" s="17" t="n"/>
      <c r="AE878" s="16" t="n"/>
      <c r="AF878" s="20" t="inlineStr">
        <is>
          <t>IC Anionen</t>
        </is>
      </c>
      <c r="AG878" s="20" t="inlineStr">
        <is>
          <t>None</t>
        </is>
      </c>
      <c r="AH878" s="17" t="n"/>
      <c r="AI878" s="16" t="n"/>
      <c r="AJ878" s="20" t="n"/>
      <c r="AK878" s="20" t="inlineStr">
        <is>
          <t>None</t>
        </is>
      </c>
      <c r="AL878" s="17" t="n"/>
      <c r="AM878" s="16" t="n"/>
      <c r="AN878" s="20" t="inlineStr">
        <is>
          <t>IC Anionen</t>
        </is>
      </c>
      <c r="AO878" s="20" t="inlineStr">
        <is>
          <t>None</t>
        </is>
      </c>
      <c r="AP878" s="17" t="n"/>
      <c r="AQ878" s="16" t="n"/>
      <c r="AR878" s="20" t="n"/>
      <c r="AS878" s="20" t="inlineStr">
        <is>
          <t>None</t>
        </is>
      </c>
      <c r="AT878" s="17" t="n"/>
      <c r="AU878" s="16" t="n"/>
      <c r="AV878" s="20" t="n"/>
      <c r="AW878" s="20" t="inlineStr">
        <is>
          <t>None</t>
        </is>
      </c>
      <c r="AX878" s="17" t="n"/>
      <c r="AY878" s="16" t="n"/>
      <c r="AZ878" s="20" t="inlineStr">
        <is>
          <t>IC Anionen</t>
        </is>
      </c>
      <c r="BA878" s="20" t="inlineStr">
        <is>
          <t>None</t>
        </is>
      </c>
      <c r="BB878" s="17" t="n"/>
      <c r="BC878" s="16" t="n"/>
      <c r="BD878" s="20" t="inlineStr">
        <is>
          <t>IC Kationen</t>
        </is>
      </c>
      <c r="BE878" s="20" t="inlineStr">
        <is>
          <t>None</t>
        </is>
      </c>
      <c r="BF878" s="17" t="n"/>
      <c r="BG878" s="16" t="n"/>
      <c r="BH878" s="20" t="inlineStr">
        <is>
          <t>IC Kationen</t>
        </is>
      </c>
      <c r="BI878" s="20" t="inlineStr">
        <is>
          <t>None</t>
        </is>
      </c>
      <c r="BJ878" s="17" t="n"/>
      <c r="BK878" s="16" t="n"/>
      <c r="BL878" s="20" t="inlineStr">
        <is>
          <t>IC Kationen</t>
        </is>
      </c>
      <c r="BM878" s="20" t="inlineStr">
        <is>
          <t>None</t>
        </is>
      </c>
      <c r="BN878" s="17" t="n"/>
      <c r="BO878" s="16" t="n"/>
      <c r="BP878" s="20" t="inlineStr">
        <is>
          <t>IC Kationen</t>
        </is>
      </c>
      <c r="BQ878" s="20" t="inlineStr">
        <is>
          <t>None</t>
        </is>
      </c>
      <c r="BR878" s="17" t="n"/>
      <c r="BS878" s="16" t="n"/>
      <c r="BT878" s="20" t="inlineStr">
        <is>
          <t>IC Kationen</t>
        </is>
      </c>
      <c r="BU878" s="20" t="inlineStr">
        <is>
          <t>None</t>
        </is>
      </c>
      <c r="BV878" s="17" t="n"/>
      <c r="BW878" s="16" t="n"/>
      <c r="BX878" s="20" t="n"/>
      <c r="BY878" s="20" t="inlineStr">
        <is>
          <t>None</t>
        </is>
      </c>
      <c r="BZ878" s="17" t="n"/>
      <c r="CA878" s="16" t="n"/>
      <c r="CB878" s="20" t="n"/>
      <c r="CC878" s="20" t="inlineStr">
        <is>
          <t>None</t>
        </is>
      </c>
      <c r="CD878" s="17" t="n"/>
      <c r="CE878" s="16" t="n"/>
      <c r="CF878" s="20" t="n"/>
      <c r="CG878" s="20" t="inlineStr">
        <is>
          <t>None</t>
        </is>
      </c>
      <c r="CH878" s="17" t="n"/>
      <c r="CI878" s="16" t="n"/>
      <c r="CJ878" s="20" t="n"/>
      <c r="CK878" s="20" t="inlineStr">
        <is>
          <t>None</t>
        </is>
      </c>
      <c r="CL878" s="17" t="n"/>
      <c r="CM878" s="16" t="n"/>
      <c r="CN878" s="20" t="inlineStr">
        <is>
          <t>SOP 45-34</t>
        </is>
      </c>
      <c r="CO878" s="20" t="inlineStr">
        <is>
          <t>None</t>
        </is>
      </c>
      <c r="CP878" s="17" t="n"/>
      <c r="CQ878" s="16" t="n"/>
      <c r="CR878" s="20" t="n"/>
      <c r="CS878" s="20" t="inlineStr">
        <is>
          <t>None</t>
        </is>
      </c>
      <c r="CT878" s="17" t="n"/>
      <c r="CU878" s="16" t="n"/>
      <c r="CV878" s="20" t="n"/>
      <c r="CW878" s="20" t="inlineStr">
        <is>
          <t>None</t>
        </is>
      </c>
      <c r="CX878" s="17" t="n"/>
      <c r="CY878" s="16" t="n"/>
      <c r="CZ878" s="20" t="inlineStr">
        <is>
          <t>WTW Multimeter 3430 with FDO 925</t>
        </is>
      </c>
      <c r="DA878" s="20" t="inlineStr">
        <is>
          <t>None</t>
        </is>
      </c>
      <c r="DB878" s="17" t="n"/>
      <c r="DC878" s="16" t="n"/>
      <c r="DD878" s="20" t="n"/>
      <c r="DE878" s="20" t="inlineStr">
        <is>
          <t>None</t>
        </is>
      </c>
      <c r="DF878" s="17" t="n"/>
      <c r="DG878" s="16" t="n"/>
      <c r="DH878" s="20" t="inlineStr">
        <is>
          <t>SOP 45-09</t>
        </is>
      </c>
      <c r="DI878" s="20" t="inlineStr">
        <is>
          <t>None</t>
        </is>
      </c>
      <c r="DJ878" s="17" t="n"/>
      <c r="DK878" s="16" t="n"/>
      <c r="DL878" s="20" t="inlineStr">
        <is>
          <t>SOP 45-09 (SOP muss noch angepasst werden für VSS)</t>
        </is>
      </c>
      <c r="DM878" s="20" t="inlineStr">
        <is>
          <t>None</t>
        </is>
      </c>
      <c r="DN878" s="17" t="n"/>
      <c r="DO878" s="16" t="n"/>
      <c r="DP878" s="20" t="inlineStr">
        <is>
          <t>IC Organic Acids</t>
        </is>
      </c>
      <c r="DQ878" s="20" t="inlineStr">
        <is>
          <t>None</t>
        </is>
      </c>
      <c r="DR878" s="17" t="n"/>
      <c r="DS878" s="16" t="n"/>
      <c r="DT878" s="20" t="inlineStr">
        <is>
          <t>IC Organic Acids</t>
        </is>
      </c>
      <c r="DU878" s="20" t="inlineStr">
        <is>
          <t>None</t>
        </is>
      </c>
      <c r="DV878" s="17" t="n"/>
      <c r="DW878" s="16" t="n"/>
      <c r="DX878" s="20" t="inlineStr">
        <is>
          <t>IC Organic Acids</t>
        </is>
      </c>
      <c r="DY878" s="20" t="inlineStr">
        <is>
          <t>None</t>
        </is>
      </c>
      <c r="DZ878" s="17" t="n"/>
      <c r="EA878" s="16" t="n"/>
      <c r="EB878" s="20" t="inlineStr">
        <is>
          <t>IC Organic Acids</t>
        </is>
      </c>
      <c r="EC878" s="20" t="inlineStr">
        <is>
          <t>None</t>
        </is>
      </c>
      <c r="ED878" s="17" t="n"/>
      <c r="EE878" s="16" t="n"/>
      <c r="EF878" s="20" t="inlineStr">
        <is>
          <t>IC Organic Acids</t>
        </is>
      </c>
      <c r="EG878" s="20" t="inlineStr">
        <is>
          <t>None</t>
        </is>
      </c>
      <c r="EH878" s="17" t="n"/>
      <c r="EI878" s="16" t="n"/>
      <c r="EJ878" s="20" t="inlineStr">
        <is>
          <t>IC Organic Acids</t>
        </is>
      </c>
      <c r="EK878" s="20" t="inlineStr">
        <is>
          <t>None</t>
        </is>
      </c>
      <c r="EL878" s="17" t="n"/>
      <c r="EM878" s="16" t="n"/>
      <c r="EN878" s="20" t="inlineStr">
        <is>
          <t>IC Organic Acids</t>
        </is>
      </c>
      <c r="EO878" s="20" t="inlineStr">
        <is>
          <t>None</t>
        </is>
      </c>
      <c r="EP878" s="17" t="n"/>
      <c r="EQ878" s="16" t="n"/>
      <c r="ER878" s="20" t="inlineStr">
        <is>
          <t>IC Organic Acids</t>
        </is>
      </c>
      <c r="ES878" s="20" t="inlineStr">
        <is>
          <t>None</t>
        </is>
      </c>
      <c r="ET878" s="17" t="n"/>
      <c r="EU878" s="16" t="n"/>
      <c r="EV878" s="20" t="inlineStr">
        <is>
          <t>LC-MS</t>
        </is>
      </c>
      <c r="EW878" s="20" t="inlineStr">
        <is>
          <t>None</t>
        </is>
      </c>
      <c r="EX878" s="17" t="n"/>
      <c r="EY878" s="21" t="n"/>
      <c r="EZ878">
        <f>CONCATENATE(A878,B878)</f>
        <v/>
      </c>
      <c r="FA878">
        <f>CONCATENATE(SamplesX!A878,SamplesX!B878)</f>
        <v/>
      </c>
      <c r="FC878">
        <f>MATCH(EZ878,FA1:FA1008,0)</f>
        <v/>
      </c>
    </row>
    <row r="879">
      <c r="A879" s="16" t="n"/>
      <c r="B879" s="17" t="n"/>
      <c r="C879" s="10">
        <f>IF(ISNUMBER(FC879),INDIRECT("SamplesX!C"&amp;FC879),IF(ISNUMBER(FD879),INDIRECT("SamplesY!C"&amp;FD879),""))</f>
        <v/>
      </c>
      <c r="D879" s="12">
        <f>IF(ISNUMBER(FC879),INDIRECT("SamplesX!D"&amp;FC879),IF(ISNUMBER(FD879),INDIRECT("SamplesY!D"&amp;FD879),""))</f>
        <v/>
      </c>
      <c r="E879" s="12">
        <f>IF(ISNUMBER(FC879),INDIRECT("SamplesX!E"&amp;FC879),IF(ISNUMBER(FD879),INDIRECT("SamplesY!E"&amp;FD879),""))</f>
        <v/>
      </c>
      <c r="F879" s="11">
        <f>IF(ISNUMBER(FC879),INDIRECT("SamplesX!F"&amp;FC879),IF(ISNUMBER(FD879),INDIRECT("SamplesY!F"&amp;FD879),""))</f>
        <v/>
      </c>
      <c r="G879" s="18">
        <f>IF(ISNUMBER(FC879),INDIRECT("SamplesX!G"&amp;FC879),IF(ISNUMBER(FD879),INDIRECT("SamplesY!G"&amp;FD879),""))</f>
        <v/>
      </c>
      <c r="H879" s="19">
        <f>IF(ISNUMBER(FC879),INDIRECT("SamplesX!H"&amp;FC879),IF(ISNUMBER(FD879),INDIRECT("SamplesY!H"&amp;FD879),""))</f>
        <v/>
      </c>
      <c r="I879" s="16" t="n"/>
      <c r="J879" s="16" t="n"/>
      <c r="K879" s="16" t="n"/>
      <c r="L879" s="20" t="n"/>
      <c r="M879" s="20" t="inlineStr">
        <is>
          <t>None</t>
        </is>
      </c>
      <c r="N879" s="17" t="n"/>
      <c r="O879" s="16" t="n"/>
      <c r="P879" s="20" t="inlineStr">
        <is>
          <t>Shimadzu TOC-L</t>
        </is>
      </c>
      <c r="Q879" s="20" t="inlineStr">
        <is>
          <t>None</t>
        </is>
      </c>
      <c r="R879" s="17" t="n"/>
      <c r="S879" s="16" t="n"/>
      <c r="T879" s="20" t="inlineStr">
        <is>
          <t>Shimadzu TOC-L</t>
        </is>
      </c>
      <c r="U879" s="20" t="inlineStr">
        <is>
          <t>None</t>
        </is>
      </c>
      <c r="V879" s="17" t="n"/>
      <c r="W879" s="16" t="n"/>
      <c r="X879" s="20" t="n"/>
      <c r="Y879" s="20" t="inlineStr">
        <is>
          <t>None</t>
        </is>
      </c>
      <c r="Z879" s="17" t="n"/>
      <c r="AA879" s="16" t="n"/>
      <c r="AB879" s="20" t="n"/>
      <c r="AC879" s="20" t="inlineStr">
        <is>
          <t>None</t>
        </is>
      </c>
      <c r="AD879" s="17" t="n"/>
      <c r="AE879" s="16" t="n"/>
      <c r="AF879" s="20" t="inlineStr">
        <is>
          <t>IC Anionen</t>
        </is>
      </c>
      <c r="AG879" s="20" t="inlineStr">
        <is>
          <t>None</t>
        </is>
      </c>
      <c r="AH879" s="17" t="n"/>
      <c r="AI879" s="16" t="n"/>
      <c r="AJ879" s="20" t="n"/>
      <c r="AK879" s="20" t="inlineStr">
        <is>
          <t>None</t>
        </is>
      </c>
      <c r="AL879" s="17" t="n"/>
      <c r="AM879" s="16" t="n"/>
      <c r="AN879" s="20" t="inlineStr">
        <is>
          <t>IC Anionen</t>
        </is>
      </c>
      <c r="AO879" s="20" t="inlineStr">
        <is>
          <t>None</t>
        </is>
      </c>
      <c r="AP879" s="17" t="n"/>
      <c r="AQ879" s="16" t="n"/>
      <c r="AR879" s="20" t="n"/>
      <c r="AS879" s="20" t="inlineStr">
        <is>
          <t>None</t>
        </is>
      </c>
      <c r="AT879" s="17" t="n"/>
      <c r="AU879" s="16" t="n"/>
      <c r="AV879" s="20" t="n"/>
      <c r="AW879" s="20" t="inlineStr">
        <is>
          <t>None</t>
        </is>
      </c>
      <c r="AX879" s="17" t="n"/>
      <c r="AY879" s="16" t="n"/>
      <c r="AZ879" s="20" t="inlineStr">
        <is>
          <t>IC Anionen</t>
        </is>
      </c>
      <c r="BA879" s="20" t="inlineStr">
        <is>
          <t>None</t>
        </is>
      </c>
      <c r="BB879" s="17" t="n"/>
      <c r="BC879" s="16" t="n"/>
      <c r="BD879" s="20" t="inlineStr">
        <is>
          <t>IC Kationen</t>
        </is>
      </c>
      <c r="BE879" s="20" t="inlineStr">
        <is>
          <t>None</t>
        </is>
      </c>
      <c r="BF879" s="17" t="n"/>
      <c r="BG879" s="16" t="n"/>
      <c r="BH879" s="20" t="inlineStr">
        <is>
          <t>IC Kationen</t>
        </is>
      </c>
      <c r="BI879" s="20" t="inlineStr">
        <is>
          <t>None</t>
        </is>
      </c>
      <c r="BJ879" s="17" t="n"/>
      <c r="BK879" s="16" t="n"/>
      <c r="BL879" s="20" t="inlineStr">
        <is>
          <t>IC Kationen</t>
        </is>
      </c>
      <c r="BM879" s="20" t="inlineStr">
        <is>
          <t>None</t>
        </is>
      </c>
      <c r="BN879" s="17" t="n"/>
      <c r="BO879" s="16" t="n"/>
      <c r="BP879" s="20" t="inlineStr">
        <is>
          <t>IC Kationen</t>
        </is>
      </c>
      <c r="BQ879" s="20" t="inlineStr">
        <is>
          <t>None</t>
        </is>
      </c>
      <c r="BR879" s="17" t="n"/>
      <c r="BS879" s="16" t="n"/>
      <c r="BT879" s="20" t="inlineStr">
        <is>
          <t>IC Kationen</t>
        </is>
      </c>
      <c r="BU879" s="20" t="inlineStr">
        <is>
          <t>None</t>
        </is>
      </c>
      <c r="BV879" s="17" t="n"/>
      <c r="BW879" s="16" t="n"/>
      <c r="BX879" s="20" t="n"/>
      <c r="BY879" s="20" t="inlineStr">
        <is>
          <t>None</t>
        </is>
      </c>
      <c r="BZ879" s="17" t="n"/>
      <c r="CA879" s="16" t="n"/>
      <c r="CB879" s="20" t="n"/>
      <c r="CC879" s="20" t="inlineStr">
        <is>
          <t>None</t>
        </is>
      </c>
      <c r="CD879" s="17" t="n"/>
      <c r="CE879" s="16" t="n"/>
      <c r="CF879" s="20" t="n"/>
      <c r="CG879" s="20" t="inlineStr">
        <is>
          <t>None</t>
        </is>
      </c>
      <c r="CH879" s="17" t="n"/>
      <c r="CI879" s="16" t="n"/>
      <c r="CJ879" s="20" t="n"/>
      <c r="CK879" s="20" t="inlineStr">
        <is>
          <t>None</t>
        </is>
      </c>
      <c r="CL879" s="17" t="n"/>
      <c r="CM879" s="16" t="n"/>
      <c r="CN879" s="20" t="inlineStr">
        <is>
          <t>SOP 45-34</t>
        </is>
      </c>
      <c r="CO879" s="20" t="inlineStr">
        <is>
          <t>None</t>
        </is>
      </c>
      <c r="CP879" s="17" t="n"/>
      <c r="CQ879" s="16" t="n"/>
      <c r="CR879" s="20" t="n"/>
      <c r="CS879" s="20" t="inlineStr">
        <is>
          <t>None</t>
        </is>
      </c>
      <c r="CT879" s="17" t="n"/>
      <c r="CU879" s="16" t="n"/>
      <c r="CV879" s="20" t="n"/>
      <c r="CW879" s="20" t="inlineStr">
        <is>
          <t>None</t>
        </is>
      </c>
      <c r="CX879" s="17" t="n"/>
      <c r="CY879" s="16" t="n"/>
      <c r="CZ879" s="20" t="inlineStr">
        <is>
          <t>WTW Multimeter 3430 with FDO 925</t>
        </is>
      </c>
      <c r="DA879" s="20" t="inlineStr">
        <is>
          <t>None</t>
        </is>
      </c>
      <c r="DB879" s="17" t="n"/>
      <c r="DC879" s="16" t="n"/>
      <c r="DD879" s="20" t="n"/>
      <c r="DE879" s="20" t="inlineStr">
        <is>
          <t>None</t>
        </is>
      </c>
      <c r="DF879" s="17" t="n"/>
      <c r="DG879" s="16" t="n"/>
      <c r="DH879" s="20" t="inlineStr">
        <is>
          <t>SOP 45-09</t>
        </is>
      </c>
      <c r="DI879" s="20" t="inlineStr">
        <is>
          <t>None</t>
        </is>
      </c>
      <c r="DJ879" s="17" t="n"/>
      <c r="DK879" s="16" t="n"/>
      <c r="DL879" s="20" t="inlineStr">
        <is>
          <t>SOP 45-09 (SOP muss noch angepasst werden für VSS)</t>
        </is>
      </c>
      <c r="DM879" s="20" t="inlineStr">
        <is>
          <t>None</t>
        </is>
      </c>
      <c r="DN879" s="17" t="n"/>
      <c r="DO879" s="16" t="n"/>
      <c r="DP879" s="20" t="inlineStr">
        <is>
          <t>IC Organic Acids</t>
        </is>
      </c>
      <c r="DQ879" s="20" t="inlineStr">
        <is>
          <t>None</t>
        </is>
      </c>
      <c r="DR879" s="17" t="n"/>
      <c r="DS879" s="16" t="n"/>
      <c r="DT879" s="20" t="inlineStr">
        <is>
          <t>IC Organic Acids</t>
        </is>
      </c>
      <c r="DU879" s="20" t="inlineStr">
        <is>
          <t>None</t>
        </is>
      </c>
      <c r="DV879" s="17" t="n"/>
      <c r="DW879" s="16" t="n"/>
      <c r="DX879" s="20" t="inlineStr">
        <is>
          <t>IC Organic Acids</t>
        </is>
      </c>
      <c r="DY879" s="20" t="inlineStr">
        <is>
          <t>None</t>
        </is>
      </c>
      <c r="DZ879" s="17" t="n"/>
      <c r="EA879" s="16" t="n"/>
      <c r="EB879" s="20" t="inlineStr">
        <is>
          <t>IC Organic Acids</t>
        </is>
      </c>
      <c r="EC879" s="20" t="inlineStr">
        <is>
          <t>None</t>
        </is>
      </c>
      <c r="ED879" s="17" t="n"/>
      <c r="EE879" s="16" t="n"/>
      <c r="EF879" s="20" t="inlineStr">
        <is>
          <t>IC Organic Acids</t>
        </is>
      </c>
      <c r="EG879" s="20" t="inlineStr">
        <is>
          <t>None</t>
        </is>
      </c>
      <c r="EH879" s="17" t="n"/>
      <c r="EI879" s="16" t="n"/>
      <c r="EJ879" s="20" t="inlineStr">
        <is>
          <t>IC Organic Acids</t>
        </is>
      </c>
      <c r="EK879" s="20" t="inlineStr">
        <is>
          <t>None</t>
        </is>
      </c>
      <c r="EL879" s="17" t="n"/>
      <c r="EM879" s="16" t="n"/>
      <c r="EN879" s="20" t="inlineStr">
        <is>
          <t>IC Organic Acids</t>
        </is>
      </c>
      <c r="EO879" s="20" t="inlineStr">
        <is>
          <t>None</t>
        </is>
      </c>
      <c r="EP879" s="17" t="n"/>
      <c r="EQ879" s="16" t="n"/>
      <c r="ER879" s="20" t="inlineStr">
        <is>
          <t>IC Organic Acids</t>
        </is>
      </c>
      <c r="ES879" s="20" t="inlineStr">
        <is>
          <t>None</t>
        </is>
      </c>
      <c r="ET879" s="17" t="n"/>
      <c r="EU879" s="16" t="n"/>
      <c r="EV879" s="20" t="inlineStr">
        <is>
          <t>LC-MS</t>
        </is>
      </c>
      <c r="EW879" s="20" t="inlineStr">
        <is>
          <t>None</t>
        </is>
      </c>
      <c r="EX879" s="17" t="n"/>
      <c r="EY879" s="21" t="n"/>
      <c r="EZ879">
        <f>CONCATENATE(A879,B879)</f>
        <v/>
      </c>
      <c r="FA879">
        <f>CONCATENATE(SamplesX!A879,SamplesX!B879)</f>
        <v/>
      </c>
      <c r="FC879">
        <f>MATCH(EZ879,FA1:FA1008,0)</f>
        <v/>
      </c>
    </row>
    <row r="880">
      <c r="A880" s="16" t="n"/>
      <c r="B880" s="17" t="n"/>
      <c r="C880" s="10">
        <f>IF(ISNUMBER(FC880),INDIRECT("SamplesX!C"&amp;FC880),IF(ISNUMBER(FD880),INDIRECT("SamplesY!C"&amp;FD880),""))</f>
        <v/>
      </c>
      <c r="D880" s="12">
        <f>IF(ISNUMBER(FC880),INDIRECT("SamplesX!D"&amp;FC880),IF(ISNUMBER(FD880),INDIRECT("SamplesY!D"&amp;FD880),""))</f>
        <v/>
      </c>
      <c r="E880" s="12">
        <f>IF(ISNUMBER(FC880),INDIRECT("SamplesX!E"&amp;FC880),IF(ISNUMBER(FD880),INDIRECT("SamplesY!E"&amp;FD880),""))</f>
        <v/>
      </c>
      <c r="F880" s="11">
        <f>IF(ISNUMBER(FC880),INDIRECT("SamplesX!F"&amp;FC880),IF(ISNUMBER(FD880),INDIRECT("SamplesY!F"&amp;FD880),""))</f>
        <v/>
      </c>
      <c r="G880" s="18">
        <f>IF(ISNUMBER(FC880),INDIRECT("SamplesX!G"&amp;FC880),IF(ISNUMBER(FD880),INDIRECT("SamplesY!G"&amp;FD880),""))</f>
        <v/>
      </c>
      <c r="H880" s="19">
        <f>IF(ISNUMBER(FC880),INDIRECT("SamplesX!H"&amp;FC880),IF(ISNUMBER(FD880),INDIRECT("SamplesY!H"&amp;FD880),""))</f>
        <v/>
      </c>
      <c r="I880" s="16" t="n"/>
      <c r="J880" s="16" t="n"/>
      <c r="K880" s="16" t="n"/>
      <c r="L880" s="20" t="n"/>
      <c r="M880" s="20" t="inlineStr">
        <is>
          <t>None</t>
        </is>
      </c>
      <c r="N880" s="17" t="n"/>
      <c r="O880" s="16" t="n"/>
      <c r="P880" s="20" t="inlineStr">
        <is>
          <t>Shimadzu TOC-L</t>
        </is>
      </c>
      <c r="Q880" s="20" t="inlineStr">
        <is>
          <t>None</t>
        </is>
      </c>
      <c r="R880" s="17" t="n"/>
      <c r="S880" s="16" t="n"/>
      <c r="T880" s="20" t="inlineStr">
        <is>
          <t>Shimadzu TOC-L</t>
        </is>
      </c>
      <c r="U880" s="20" t="inlineStr">
        <is>
          <t>None</t>
        </is>
      </c>
      <c r="V880" s="17" t="n"/>
      <c r="W880" s="16" t="n"/>
      <c r="X880" s="20" t="n"/>
      <c r="Y880" s="20" t="inlineStr">
        <is>
          <t>None</t>
        </is>
      </c>
      <c r="Z880" s="17" t="n"/>
      <c r="AA880" s="16" t="n"/>
      <c r="AB880" s="20" t="n"/>
      <c r="AC880" s="20" t="inlineStr">
        <is>
          <t>None</t>
        </is>
      </c>
      <c r="AD880" s="17" t="n"/>
      <c r="AE880" s="16" t="n"/>
      <c r="AF880" s="20" t="inlineStr">
        <is>
          <t>IC Anionen</t>
        </is>
      </c>
      <c r="AG880" s="20" t="inlineStr">
        <is>
          <t>None</t>
        </is>
      </c>
      <c r="AH880" s="17" t="n"/>
      <c r="AI880" s="16" t="n"/>
      <c r="AJ880" s="20" t="n"/>
      <c r="AK880" s="20" t="inlineStr">
        <is>
          <t>None</t>
        </is>
      </c>
      <c r="AL880" s="17" t="n"/>
      <c r="AM880" s="16" t="n"/>
      <c r="AN880" s="20" t="inlineStr">
        <is>
          <t>IC Anionen</t>
        </is>
      </c>
      <c r="AO880" s="20" t="inlineStr">
        <is>
          <t>None</t>
        </is>
      </c>
      <c r="AP880" s="17" t="n"/>
      <c r="AQ880" s="16" t="n"/>
      <c r="AR880" s="20" t="n"/>
      <c r="AS880" s="20" t="inlineStr">
        <is>
          <t>None</t>
        </is>
      </c>
      <c r="AT880" s="17" t="n"/>
      <c r="AU880" s="16" t="n"/>
      <c r="AV880" s="20" t="n"/>
      <c r="AW880" s="20" t="inlineStr">
        <is>
          <t>None</t>
        </is>
      </c>
      <c r="AX880" s="17" t="n"/>
      <c r="AY880" s="16" t="n"/>
      <c r="AZ880" s="20" t="inlineStr">
        <is>
          <t>IC Anionen</t>
        </is>
      </c>
      <c r="BA880" s="20" t="inlineStr">
        <is>
          <t>None</t>
        </is>
      </c>
      <c r="BB880" s="17" t="n"/>
      <c r="BC880" s="16" t="n"/>
      <c r="BD880" s="20" t="inlineStr">
        <is>
          <t>IC Kationen</t>
        </is>
      </c>
      <c r="BE880" s="20" t="inlineStr">
        <is>
          <t>None</t>
        </is>
      </c>
      <c r="BF880" s="17" t="n"/>
      <c r="BG880" s="16" t="n"/>
      <c r="BH880" s="20" t="inlineStr">
        <is>
          <t>IC Kationen</t>
        </is>
      </c>
      <c r="BI880" s="20" t="inlineStr">
        <is>
          <t>None</t>
        </is>
      </c>
      <c r="BJ880" s="17" t="n"/>
      <c r="BK880" s="16" t="n"/>
      <c r="BL880" s="20" t="inlineStr">
        <is>
          <t>IC Kationen</t>
        </is>
      </c>
      <c r="BM880" s="20" t="inlineStr">
        <is>
          <t>None</t>
        </is>
      </c>
      <c r="BN880" s="17" t="n"/>
      <c r="BO880" s="16" t="n"/>
      <c r="BP880" s="20" t="inlineStr">
        <is>
          <t>IC Kationen</t>
        </is>
      </c>
      <c r="BQ880" s="20" t="inlineStr">
        <is>
          <t>None</t>
        </is>
      </c>
      <c r="BR880" s="17" t="n"/>
      <c r="BS880" s="16" t="n"/>
      <c r="BT880" s="20" t="inlineStr">
        <is>
          <t>IC Kationen</t>
        </is>
      </c>
      <c r="BU880" s="20" t="inlineStr">
        <is>
          <t>None</t>
        </is>
      </c>
      <c r="BV880" s="17" t="n"/>
      <c r="BW880" s="16" t="n"/>
      <c r="BX880" s="20" t="n"/>
      <c r="BY880" s="20" t="inlineStr">
        <is>
          <t>None</t>
        </is>
      </c>
      <c r="BZ880" s="17" t="n"/>
      <c r="CA880" s="16" t="n"/>
      <c r="CB880" s="20" t="n"/>
      <c r="CC880" s="20" t="inlineStr">
        <is>
          <t>None</t>
        </is>
      </c>
      <c r="CD880" s="17" t="n"/>
      <c r="CE880" s="16" t="n"/>
      <c r="CF880" s="20" t="n"/>
      <c r="CG880" s="20" t="inlineStr">
        <is>
          <t>None</t>
        </is>
      </c>
      <c r="CH880" s="17" t="n"/>
      <c r="CI880" s="16" t="n"/>
      <c r="CJ880" s="20" t="n"/>
      <c r="CK880" s="20" t="inlineStr">
        <is>
          <t>None</t>
        </is>
      </c>
      <c r="CL880" s="17" t="n"/>
      <c r="CM880" s="16" t="n"/>
      <c r="CN880" s="20" t="inlineStr">
        <is>
          <t>SOP 45-34</t>
        </is>
      </c>
      <c r="CO880" s="20" t="inlineStr">
        <is>
          <t>None</t>
        </is>
      </c>
      <c r="CP880" s="17" t="n"/>
      <c r="CQ880" s="16" t="n"/>
      <c r="CR880" s="20" t="n"/>
      <c r="CS880" s="20" t="inlineStr">
        <is>
          <t>None</t>
        </is>
      </c>
      <c r="CT880" s="17" t="n"/>
      <c r="CU880" s="16" t="n"/>
      <c r="CV880" s="20" t="n"/>
      <c r="CW880" s="20" t="inlineStr">
        <is>
          <t>None</t>
        </is>
      </c>
      <c r="CX880" s="17" t="n"/>
      <c r="CY880" s="16" t="n"/>
      <c r="CZ880" s="20" t="inlineStr">
        <is>
          <t>WTW Multimeter 3430 with FDO 925</t>
        </is>
      </c>
      <c r="DA880" s="20" t="inlineStr">
        <is>
          <t>None</t>
        </is>
      </c>
      <c r="DB880" s="17" t="n"/>
      <c r="DC880" s="16" t="n"/>
      <c r="DD880" s="20" t="n"/>
      <c r="DE880" s="20" t="inlineStr">
        <is>
          <t>None</t>
        </is>
      </c>
      <c r="DF880" s="17" t="n"/>
      <c r="DG880" s="16" t="n"/>
      <c r="DH880" s="20" t="inlineStr">
        <is>
          <t>SOP 45-09</t>
        </is>
      </c>
      <c r="DI880" s="20" t="inlineStr">
        <is>
          <t>None</t>
        </is>
      </c>
      <c r="DJ880" s="17" t="n"/>
      <c r="DK880" s="16" t="n"/>
      <c r="DL880" s="20" t="inlineStr">
        <is>
          <t>SOP 45-09 (SOP muss noch angepasst werden für VSS)</t>
        </is>
      </c>
      <c r="DM880" s="20" t="inlineStr">
        <is>
          <t>None</t>
        </is>
      </c>
      <c r="DN880" s="17" t="n"/>
      <c r="DO880" s="16" t="n"/>
      <c r="DP880" s="20" t="inlineStr">
        <is>
          <t>IC Organic Acids</t>
        </is>
      </c>
      <c r="DQ880" s="20" t="inlineStr">
        <is>
          <t>None</t>
        </is>
      </c>
      <c r="DR880" s="17" t="n"/>
      <c r="DS880" s="16" t="n"/>
      <c r="DT880" s="20" t="inlineStr">
        <is>
          <t>IC Organic Acids</t>
        </is>
      </c>
      <c r="DU880" s="20" t="inlineStr">
        <is>
          <t>None</t>
        </is>
      </c>
      <c r="DV880" s="17" t="n"/>
      <c r="DW880" s="16" t="n"/>
      <c r="DX880" s="20" t="inlineStr">
        <is>
          <t>IC Organic Acids</t>
        </is>
      </c>
      <c r="DY880" s="20" t="inlineStr">
        <is>
          <t>None</t>
        </is>
      </c>
      <c r="DZ880" s="17" t="n"/>
      <c r="EA880" s="16" t="n"/>
      <c r="EB880" s="20" t="inlineStr">
        <is>
          <t>IC Organic Acids</t>
        </is>
      </c>
      <c r="EC880" s="20" t="inlineStr">
        <is>
          <t>None</t>
        </is>
      </c>
      <c r="ED880" s="17" t="n"/>
      <c r="EE880" s="16" t="n"/>
      <c r="EF880" s="20" t="inlineStr">
        <is>
          <t>IC Organic Acids</t>
        </is>
      </c>
      <c r="EG880" s="20" t="inlineStr">
        <is>
          <t>None</t>
        </is>
      </c>
      <c r="EH880" s="17" t="n"/>
      <c r="EI880" s="16" t="n"/>
      <c r="EJ880" s="20" t="inlineStr">
        <is>
          <t>IC Organic Acids</t>
        </is>
      </c>
      <c r="EK880" s="20" t="inlineStr">
        <is>
          <t>None</t>
        </is>
      </c>
      <c r="EL880" s="17" t="n"/>
      <c r="EM880" s="16" t="n"/>
      <c r="EN880" s="20" t="inlineStr">
        <is>
          <t>IC Organic Acids</t>
        </is>
      </c>
      <c r="EO880" s="20" t="inlineStr">
        <is>
          <t>None</t>
        </is>
      </c>
      <c r="EP880" s="17" t="n"/>
      <c r="EQ880" s="16" t="n"/>
      <c r="ER880" s="20" t="inlineStr">
        <is>
          <t>IC Organic Acids</t>
        </is>
      </c>
      <c r="ES880" s="20" t="inlineStr">
        <is>
          <t>None</t>
        </is>
      </c>
      <c r="ET880" s="17" t="n"/>
      <c r="EU880" s="16" t="n"/>
      <c r="EV880" s="20" t="inlineStr">
        <is>
          <t>LC-MS</t>
        </is>
      </c>
      <c r="EW880" s="20" t="inlineStr">
        <is>
          <t>None</t>
        </is>
      </c>
      <c r="EX880" s="17" t="n"/>
      <c r="EY880" s="21" t="n"/>
      <c r="EZ880">
        <f>CONCATENATE(A880,B880)</f>
        <v/>
      </c>
      <c r="FA880">
        <f>CONCATENATE(SamplesX!A880,SamplesX!B880)</f>
        <v/>
      </c>
      <c r="FC880">
        <f>MATCH(EZ880,FA1:FA1008,0)</f>
        <v/>
      </c>
    </row>
    <row r="881">
      <c r="A881" s="16" t="n"/>
      <c r="B881" s="17" t="n"/>
      <c r="C881" s="10">
        <f>IF(ISNUMBER(FC881),INDIRECT("SamplesX!C"&amp;FC881),IF(ISNUMBER(FD881),INDIRECT("SamplesY!C"&amp;FD881),""))</f>
        <v/>
      </c>
      <c r="D881" s="12">
        <f>IF(ISNUMBER(FC881),INDIRECT("SamplesX!D"&amp;FC881),IF(ISNUMBER(FD881),INDIRECT("SamplesY!D"&amp;FD881),""))</f>
        <v/>
      </c>
      <c r="E881" s="12">
        <f>IF(ISNUMBER(FC881),INDIRECT("SamplesX!E"&amp;FC881),IF(ISNUMBER(FD881),INDIRECT("SamplesY!E"&amp;FD881),""))</f>
        <v/>
      </c>
      <c r="F881" s="11">
        <f>IF(ISNUMBER(FC881),INDIRECT("SamplesX!F"&amp;FC881),IF(ISNUMBER(FD881),INDIRECT("SamplesY!F"&amp;FD881),""))</f>
        <v/>
      </c>
      <c r="G881" s="18">
        <f>IF(ISNUMBER(FC881),INDIRECT("SamplesX!G"&amp;FC881),IF(ISNUMBER(FD881),INDIRECT("SamplesY!G"&amp;FD881),""))</f>
        <v/>
      </c>
      <c r="H881" s="19">
        <f>IF(ISNUMBER(FC881),INDIRECT("SamplesX!H"&amp;FC881),IF(ISNUMBER(FD881),INDIRECT("SamplesY!H"&amp;FD881),""))</f>
        <v/>
      </c>
      <c r="I881" s="16" t="n"/>
      <c r="J881" s="16" t="n"/>
      <c r="K881" s="16" t="n"/>
      <c r="L881" s="20" t="n"/>
      <c r="M881" s="20" t="inlineStr">
        <is>
          <t>None</t>
        </is>
      </c>
      <c r="N881" s="17" t="n"/>
      <c r="O881" s="16" t="n"/>
      <c r="P881" s="20" t="inlineStr">
        <is>
          <t>Shimadzu TOC-L</t>
        </is>
      </c>
      <c r="Q881" s="20" t="inlineStr">
        <is>
          <t>None</t>
        </is>
      </c>
      <c r="R881" s="17" t="n"/>
      <c r="S881" s="16" t="n"/>
      <c r="T881" s="20" t="inlineStr">
        <is>
          <t>Shimadzu TOC-L</t>
        </is>
      </c>
      <c r="U881" s="20" t="inlineStr">
        <is>
          <t>None</t>
        </is>
      </c>
      <c r="V881" s="17" t="n"/>
      <c r="W881" s="16" t="n"/>
      <c r="X881" s="20" t="n"/>
      <c r="Y881" s="20" t="inlineStr">
        <is>
          <t>None</t>
        </is>
      </c>
      <c r="Z881" s="17" t="n"/>
      <c r="AA881" s="16" t="n"/>
      <c r="AB881" s="20" t="n"/>
      <c r="AC881" s="20" t="inlineStr">
        <is>
          <t>None</t>
        </is>
      </c>
      <c r="AD881" s="17" t="n"/>
      <c r="AE881" s="16" t="n"/>
      <c r="AF881" s="20" t="inlineStr">
        <is>
          <t>IC Anionen</t>
        </is>
      </c>
      <c r="AG881" s="20" t="inlineStr">
        <is>
          <t>None</t>
        </is>
      </c>
      <c r="AH881" s="17" t="n"/>
      <c r="AI881" s="16" t="n"/>
      <c r="AJ881" s="20" t="n"/>
      <c r="AK881" s="20" t="inlineStr">
        <is>
          <t>None</t>
        </is>
      </c>
      <c r="AL881" s="17" t="n"/>
      <c r="AM881" s="16" t="n"/>
      <c r="AN881" s="20" t="inlineStr">
        <is>
          <t>IC Anionen</t>
        </is>
      </c>
      <c r="AO881" s="20" t="inlineStr">
        <is>
          <t>None</t>
        </is>
      </c>
      <c r="AP881" s="17" t="n"/>
      <c r="AQ881" s="16" t="n"/>
      <c r="AR881" s="20" t="n"/>
      <c r="AS881" s="20" t="inlineStr">
        <is>
          <t>None</t>
        </is>
      </c>
      <c r="AT881" s="17" t="n"/>
      <c r="AU881" s="16" t="n"/>
      <c r="AV881" s="20" t="n"/>
      <c r="AW881" s="20" t="inlineStr">
        <is>
          <t>None</t>
        </is>
      </c>
      <c r="AX881" s="17" t="n"/>
      <c r="AY881" s="16" t="n"/>
      <c r="AZ881" s="20" t="inlineStr">
        <is>
          <t>IC Anionen</t>
        </is>
      </c>
      <c r="BA881" s="20" t="inlineStr">
        <is>
          <t>None</t>
        </is>
      </c>
      <c r="BB881" s="17" t="n"/>
      <c r="BC881" s="16" t="n"/>
      <c r="BD881" s="20" t="inlineStr">
        <is>
          <t>IC Kationen</t>
        </is>
      </c>
      <c r="BE881" s="20" t="inlineStr">
        <is>
          <t>None</t>
        </is>
      </c>
      <c r="BF881" s="17" t="n"/>
      <c r="BG881" s="16" t="n"/>
      <c r="BH881" s="20" t="inlineStr">
        <is>
          <t>IC Kationen</t>
        </is>
      </c>
      <c r="BI881" s="20" t="inlineStr">
        <is>
          <t>None</t>
        </is>
      </c>
      <c r="BJ881" s="17" t="n"/>
      <c r="BK881" s="16" t="n"/>
      <c r="BL881" s="20" t="inlineStr">
        <is>
          <t>IC Kationen</t>
        </is>
      </c>
      <c r="BM881" s="20" t="inlineStr">
        <is>
          <t>None</t>
        </is>
      </c>
      <c r="BN881" s="17" t="n"/>
      <c r="BO881" s="16" t="n"/>
      <c r="BP881" s="20" t="inlineStr">
        <is>
          <t>IC Kationen</t>
        </is>
      </c>
      <c r="BQ881" s="20" t="inlineStr">
        <is>
          <t>None</t>
        </is>
      </c>
      <c r="BR881" s="17" t="n"/>
      <c r="BS881" s="16" t="n"/>
      <c r="BT881" s="20" t="inlineStr">
        <is>
          <t>IC Kationen</t>
        </is>
      </c>
      <c r="BU881" s="20" t="inlineStr">
        <is>
          <t>None</t>
        </is>
      </c>
      <c r="BV881" s="17" t="n"/>
      <c r="BW881" s="16" t="n"/>
      <c r="BX881" s="20" t="n"/>
      <c r="BY881" s="20" t="inlineStr">
        <is>
          <t>None</t>
        </is>
      </c>
      <c r="BZ881" s="17" t="n"/>
      <c r="CA881" s="16" t="n"/>
      <c r="CB881" s="20" t="n"/>
      <c r="CC881" s="20" t="inlineStr">
        <is>
          <t>None</t>
        </is>
      </c>
      <c r="CD881" s="17" t="n"/>
      <c r="CE881" s="16" t="n"/>
      <c r="CF881" s="20" t="n"/>
      <c r="CG881" s="20" t="inlineStr">
        <is>
          <t>None</t>
        </is>
      </c>
      <c r="CH881" s="17" t="n"/>
      <c r="CI881" s="16" t="n"/>
      <c r="CJ881" s="20" t="n"/>
      <c r="CK881" s="20" t="inlineStr">
        <is>
          <t>None</t>
        </is>
      </c>
      <c r="CL881" s="17" t="n"/>
      <c r="CM881" s="16" t="n"/>
      <c r="CN881" s="20" t="inlineStr">
        <is>
          <t>SOP 45-34</t>
        </is>
      </c>
      <c r="CO881" s="20" t="inlineStr">
        <is>
          <t>None</t>
        </is>
      </c>
      <c r="CP881" s="17" t="n"/>
      <c r="CQ881" s="16" t="n"/>
      <c r="CR881" s="20" t="n"/>
      <c r="CS881" s="20" t="inlineStr">
        <is>
          <t>None</t>
        </is>
      </c>
      <c r="CT881" s="17" t="n"/>
      <c r="CU881" s="16" t="n"/>
      <c r="CV881" s="20" t="n"/>
      <c r="CW881" s="20" t="inlineStr">
        <is>
          <t>None</t>
        </is>
      </c>
      <c r="CX881" s="17" t="n"/>
      <c r="CY881" s="16" t="n"/>
      <c r="CZ881" s="20" t="inlineStr">
        <is>
          <t>WTW Multimeter 3430 with FDO 925</t>
        </is>
      </c>
      <c r="DA881" s="20" t="inlineStr">
        <is>
          <t>None</t>
        </is>
      </c>
      <c r="DB881" s="17" t="n"/>
      <c r="DC881" s="16" t="n"/>
      <c r="DD881" s="20" t="n"/>
      <c r="DE881" s="20" t="inlineStr">
        <is>
          <t>None</t>
        </is>
      </c>
      <c r="DF881" s="17" t="n"/>
      <c r="DG881" s="16" t="n"/>
      <c r="DH881" s="20" t="inlineStr">
        <is>
          <t>SOP 45-09</t>
        </is>
      </c>
      <c r="DI881" s="20" t="inlineStr">
        <is>
          <t>None</t>
        </is>
      </c>
      <c r="DJ881" s="17" t="n"/>
      <c r="DK881" s="16" t="n"/>
      <c r="DL881" s="20" t="inlineStr">
        <is>
          <t>SOP 45-09 (SOP muss noch angepasst werden für VSS)</t>
        </is>
      </c>
      <c r="DM881" s="20" t="inlineStr">
        <is>
          <t>None</t>
        </is>
      </c>
      <c r="DN881" s="17" t="n"/>
      <c r="DO881" s="16" t="n"/>
      <c r="DP881" s="20" t="inlineStr">
        <is>
          <t>IC Organic Acids</t>
        </is>
      </c>
      <c r="DQ881" s="20" t="inlineStr">
        <is>
          <t>None</t>
        </is>
      </c>
      <c r="DR881" s="17" t="n"/>
      <c r="DS881" s="16" t="n"/>
      <c r="DT881" s="20" t="inlineStr">
        <is>
          <t>IC Organic Acids</t>
        </is>
      </c>
      <c r="DU881" s="20" t="inlineStr">
        <is>
          <t>None</t>
        </is>
      </c>
      <c r="DV881" s="17" t="n"/>
      <c r="DW881" s="16" t="n"/>
      <c r="DX881" s="20" t="inlineStr">
        <is>
          <t>IC Organic Acids</t>
        </is>
      </c>
      <c r="DY881" s="20" t="inlineStr">
        <is>
          <t>None</t>
        </is>
      </c>
      <c r="DZ881" s="17" t="n"/>
      <c r="EA881" s="16" t="n"/>
      <c r="EB881" s="20" t="inlineStr">
        <is>
          <t>IC Organic Acids</t>
        </is>
      </c>
      <c r="EC881" s="20" t="inlineStr">
        <is>
          <t>None</t>
        </is>
      </c>
      <c r="ED881" s="17" t="n"/>
      <c r="EE881" s="16" t="n"/>
      <c r="EF881" s="20" t="inlineStr">
        <is>
          <t>IC Organic Acids</t>
        </is>
      </c>
      <c r="EG881" s="20" t="inlineStr">
        <is>
          <t>None</t>
        </is>
      </c>
      <c r="EH881" s="17" t="n"/>
      <c r="EI881" s="16" t="n"/>
      <c r="EJ881" s="20" t="inlineStr">
        <is>
          <t>IC Organic Acids</t>
        </is>
      </c>
      <c r="EK881" s="20" t="inlineStr">
        <is>
          <t>None</t>
        </is>
      </c>
      <c r="EL881" s="17" t="n"/>
      <c r="EM881" s="16" t="n"/>
      <c r="EN881" s="20" t="inlineStr">
        <is>
          <t>IC Organic Acids</t>
        </is>
      </c>
      <c r="EO881" s="20" t="inlineStr">
        <is>
          <t>None</t>
        </is>
      </c>
      <c r="EP881" s="17" t="n"/>
      <c r="EQ881" s="16" t="n"/>
      <c r="ER881" s="20" t="inlineStr">
        <is>
          <t>IC Organic Acids</t>
        </is>
      </c>
      <c r="ES881" s="20" t="inlineStr">
        <is>
          <t>None</t>
        </is>
      </c>
      <c r="ET881" s="17" t="n"/>
      <c r="EU881" s="16" t="n"/>
      <c r="EV881" s="20" t="inlineStr">
        <is>
          <t>LC-MS</t>
        </is>
      </c>
      <c r="EW881" s="20" t="inlineStr">
        <is>
          <t>None</t>
        </is>
      </c>
      <c r="EX881" s="17" t="n"/>
      <c r="EY881" s="21" t="n"/>
      <c r="EZ881">
        <f>CONCATENATE(A881,B881)</f>
        <v/>
      </c>
      <c r="FA881">
        <f>CONCATENATE(SamplesX!A881,SamplesX!B881)</f>
        <v/>
      </c>
      <c r="FC881">
        <f>MATCH(EZ881,FA1:FA1008,0)</f>
        <v/>
      </c>
    </row>
    <row r="882">
      <c r="A882" s="16" t="n"/>
      <c r="B882" s="17" t="n"/>
      <c r="C882" s="10">
        <f>IF(ISNUMBER(FC882),INDIRECT("SamplesX!C"&amp;FC882),IF(ISNUMBER(FD882),INDIRECT("SamplesY!C"&amp;FD882),""))</f>
        <v/>
      </c>
      <c r="D882" s="12">
        <f>IF(ISNUMBER(FC882),INDIRECT("SamplesX!D"&amp;FC882),IF(ISNUMBER(FD882),INDIRECT("SamplesY!D"&amp;FD882),""))</f>
        <v/>
      </c>
      <c r="E882" s="12">
        <f>IF(ISNUMBER(FC882),INDIRECT("SamplesX!E"&amp;FC882),IF(ISNUMBER(FD882),INDIRECT("SamplesY!E"&amp;FD882),""))</f>
        <v/>
      </c>
      <c r="F882" s="11">
        <f>IF(ISNUMBER(FC882),INDIRECT("SamplesX!F"&amp;FC882),IF(ISNUMBER(FD882),INDIRECT("SamplesY!F"&amp;FD882),""))</f>
        <v/>
      </c>
      <c r="G882" s="18">
        <f>IF(ISNUMBER(FC882),INDIRECT("SamplesX!G"&amp;FC882),IF(ISNUMBER(FD882),INDIRECT("SamplesY!G"&amp;FD882),""))</f>
        <v/>
      </c>
      <c r="H882" s="19">
        <f>IF(ISNUMBER(FC882),INDIRECT("SamplesX!H"&amp;FC882),IF(ISNUMBER(FD882),INDIRECT("SamplesY!H"&amp;FD882),""))</f>
        <v/>
      </c>
      <c r="I882" s="16" t="n"/>
      <c r="J882" s="16" t="n"/>
      <c r="K882" s="16" t="n"/>
      <c r="L882" s="20" t="n"/>
      <c r="M882" s="20" t="inlineStr">
        <is>
          <t>None</t>
        </is>
      </c>
      <c r="N882" s="17" t="n"/>
      <c r="O882" s="16" t="n"/>
      <c r="P882" s="20" t="inlineStr">
        <is>
          <t>Shimadzu TOC-L</t>
        </is>
      </c>
      <c r="Q882" s="20" t="inlineStr">
        <is>
          <t>None</t>
        </is>
      </c>
      <c r="R882" s="17" t="n"/>
      <c r="S882" s="16" t="n"/>
      <c r="T882" s="20" t="inlineStr">
        <is>
          <t>Shimadzu TOC-L</t>
        </is>
      </c>
      <c r="U882" s="20" t="inlineStr">
        <is>
          <t>None</t>
        </is>
      </c>
      <c r="V882" s="17" t="n"/>
      <c r="W882" s="16" t="n"/>
      <c r="X882" s="20" t="n"/>
      <c r="Y882" s="20" t="inlineStr">
        <is>
          <t>None</t>
        </is>
      </c>
      <c r="Z882" s="17" t="n"/>
      <c r="AA882" s="16" t="n"/>
      <c r="AB882" s="20" t="n"/>
      <c r="AC882" s="20" t="inlineStr">
        <is>
          <t>None</t>
        </is>
      </c>
      <c r="AD882" s="17" t="n"/>
      <c r="AE882" s="16" t="n"/>
      <c r="AF882" s="20" t="inlineStr">
        <is>
          <t>IC Anionen</t>
        </is>
      </c>
      <c r="AG882" s="20" t="inlineStr">
        <is>
          <t>None</t>
        </is>
      </c>
      <c r="AH882" s="17" t="n"/>
      <c r="AI882" s="16" t="n"/>
      <c r="AJ882" s="20" t="n"/>
      <c r="AK882" s="20" t="inlineStr">
        <is>
          <t>None</t>
        </is>
      </c>
      <c r="AL882" s="17" t="n"/>
      <c r="AM882" s="16" t="n"/>
      <c r="AN882" s="20" t="inlineStr">
        <is>
          <t>IC Anionen</t>
        </is>
      </c>
      <c r="AO882" s="20" t="inlineStr">
        <is>
          <t>None</t>
        </is>
      </c>
      <c r="AP882" s="17" t="n"/>
      <c r="AQ882" s="16" t="n"/>
      <c r="AR882" s="20" t="n"/>
      <c r="AS882" s="20" t="inlineStr">
        <is>
          <t>None</t>
        </is>
      </c>
      <c r="AT882" s="17" t="n"/>
      <c r="AU882" s="16" t="n"/>
      <c r="AV882" s="20" t="n"/>
      <c r="AW882" s="20" t="inlineStr">
        <is>
          <t>None</t>
        </is>
      </c>
      <c r="AX882" s="17" t="n"/>
      <c r="AY882" s="16" t="n"/>
      <c r="AZ882" s="20" t="inlineStr">
        <is>
          <t>IC Anionen</t>
        </is>
      </c>
      <c r="BA882" s="20" t="inlineStr">
        <is>
          <t>None</t>
        </is>
      </c>
      <c r="BB882" s="17" t="n"/>
      <c r="BC882" s="16" t="n"/>
      <c r="BD882" s="20" t="inlineStr">
        <is>
          <t>IC Kationen</t>
        </is>
      </c>
      <c r="BE882" s="20" t="inlineStr">
        <is>
          <t>None</t>
        </is>
      </c>
      <c r="BF882" s="17" t="n"/>
      <c r="BG882" s="16" t="n"/>
      <c r="BH882" s="20" t="inlineStr">
        <is>
          <t>IC Kationen</t>
        </is>
      </c>
      <c r="BI882" s="20" t="inlineStr">
        <is>
          <t>None</t>
        </is>
      </c>
      <c r="BJ882" s="17" t="n"/>
      <c r="BK882" s="16" t="n"/>
      <c r="BL882" s="20" t="inlineStr">
        <is>
          <t>IC Kationen</t>
        </is>
      </c>
      <c r="BM882" s="20" t="inlineStr">
        <is>
          <t>None</t>
        </is>
      </c>
      <c r="BN882" s="17" t="n"/>
      <c r="BO882" s="16" t="n"/>
      <c r="BP882" s="20" t="inlineStr">
        <is>
          <t>IC Kationen</t>
        </is>
      </c>
      <c r="BQ882" s="20" t="inlineStr">
        <is>
          <t>None</t>
        </is>
      </c>
      <c r="BR882" s="17" t="n"/>
      <c r="BS882" s="16" t="n"/>
      <c r="BT882" s="20" t="inlineStr">
        <is>
          <t>IC Kationen</t>
        </is>
      </c>
      <c r="BU882" s="20" t="inlineStr">
        <is>
          <t>None</t>
        </is>
      </c>
      <c r="BV882" s="17" t="n"/>
      <c r="BW882" s="16" t="n"/>
      <c r="BX882" s="20" t="n"/>
      <c r="BY882" s="20" t="inlineStr">
        <is>
          <t>None</t>
        </is>
      </c>
      <c r="BZ882" s="17" t="n"/>
      <c r="CA882" s="16" t="n"/>
      <c r="CB882" s="20" t="n"/>
      <c r="CC882" s="20" t="inlineStr">
        <is>
          <t>None</t>
        </is>
      </c>
      <c r="CD882" s="17" t="n"/>
      <c r="CE882" s="16" t="n"/>
      <c r="CF882" s="20" t="n"/>
      <c r="CG882" s="20" t="inlineStr">
        <is>
          <t>None</t>
        </is>
      </c>
      <c r="CH882" s="17" t="n"/>
      <c r="CI882" s="16" t="n"/>
      <c r="CJ882" s="20" t="n"/>
      <c r="CK882" s="20" t="inlineStr">
        <is>
          <t>None</t>
        </is>
      </c>
      <c r="CL882" s="17" t="n"/>
      <c r="CM882" s="16" t="n"/>
      <c r="CN882" s="20" t="inlineStr">
        <is>
          <t>SOP 45-34</t>
        </is>
      </c>
      <c r="CO882" s="20" t="inlineStr">
        <is>
          <t>None</t>
        </is>
      </c>
      <c r="CP882" s="17" t="n"/>
      <c r="CQ882" s="16" t="n"/>
      <c r="CR882" s="20" t="n"/>
      <c r="CS882" s="20" t="inlineStr">
        <is>
          <t>None</t>
        </is>
      </c>
      <c r="CT882" s="17" t="n"/>
      <c r="CU882" s="16" t="n"/>
      <c r="CV882" s="20" t="n"/>
      <c r="CW882" s="20" t="inlineStr">
        <is>
          <t>None</t>
        </is>
      </c>
      <c r="CX882" s="17" t="n"/>
      <c r="CY882" s="16" t="n"/>
      <c r="CZ882" s="20" t="inlineStr">
        <is>
          <t>WTW Multimeter 3430 with FDO 925</t>
        </is>
      </c>
      <c r="DA882" s="20" t="inlineStr">
        <is>
          <t>None</t>
        </is>
      </c>
      <c r="DB882" s="17" t="n"/>
      <c r="DC882" s="16" t="n"/>
      <c r="DD882" s="20" t="n"/>
      <c r="DE882" s="20" t="inlineStr">
        <is>
          <t>None</t>
        </is>
      </c>
      <c r="DF882" s="17" t="n"/>
      <c r="DG882" s="16" t="n"/>
      <c r="DH882" s="20" t="inlineStr">
        <is>
          <t>SOP 45-09</t>
        </is>
      </c>
      <c r="DI882" s="20" t="inlineStr">
        <is>
          <t>None</t>
        </is>
      </c>
      <c r="DJ882" s="17" t="n"/>
      <c r="DK882" s="16" t="n"/>
      <c r="DL882" s="20" t="inlineStr">
        <is>
          <t>SOP 45-09 (SOP muss noch angepasst werden für VSS)</t>
        </is>
      </c>
      <c r="DM882" s="20" t="inlineStr">
        <is>
          <t>None</t>
        </is>
      </c>
      <c r="DN882" s="17" t="n"/>
      <c r="DO882" s="16" t="n"/>
      <c r="DP882" s="20" t="inlineStr">
        <is>
          <t>IC Organic Acids</t>
        </is>
      </c>
      <c r="DQ882" s="20" t="inlineStr">
        <is>
          <t>None</t>
        </is>
      </c>
      <c r="DR882" s="17" t="n"/>
      <c r="DS882" s="16" t="n"/>
      <c r="DT882" s="20" t="inlineStr">
        <is>
          <t>IC Organic Acids</t>
        </is>
      </c>
      <c r="DU882" s="20" t="inlineStr">
        <is>
          <t>None</t>
        </is>
      </c>
      <c r="DV882" s="17" t="n"/>
      <c r="DW882" s="16" t="n"/>
      <c r="DX882" s="20" t="inlineStr">
        <is>
          <t>IC Organic Acids</t>
        </is>
      </c>
      <c r="DY882" s="20" t="inlineStr">
        <is>
          <t>None</t>
        </is>
      </c>
      <c r="DZ882" s="17" t="n"/>
      <c r="EA882" s="16" t="n"/>
      <c r="EB882" s="20" t="inlineStr">
        <is>
          <t>IC Organic Acids</t>
        </is>
      </c>
      <c r="EC882" s="20" t="inlineStr">
        <is>
          <t>None</t>
        </is>
      </c>
      <c r="ED882" s="17" t="n"/>
      <c r="EE882" s="16" t="n"/>
      <c r="EF882" s="20" t="inlineStr">
        <is>
          <t>IC Organic Acids</t>
        </is>
      </c>
      <c r="EG882" s="20" t="inlineStr">
        <is>
          <t>None</t>
        </is>
      </c>
      <c r="EH882" s="17" t="n"/>
      <c r="EI882" s="16" t="n"/>
      <c r="EJ882" s="20" t="inlineStr">
        <is>
          <t>IC Organic Acids</t>
        </is>
      </c>
      <c r="EK882" s="20" t="inlineStr">
        <is>
          <t>None</t>
        </is>
      </c>
      <c r="EL882" s="17" t="n"/>
      <c r="EM882" s="16" t="n"/>
      <c r="EN882" s="20" t="inlineStr">
        <is>
          <t>IC Organic Acids</t>
        </is>
      </c>
      <c r="EO882" s="20" t="inlineStr">
        <is>
          <t>None</t>
        </is>
      </c>
      <c r="EP882" s="17" t="n"/>
      <c r="EQ882" s="16" t="n"/>
      <c r="ER882" s="20" t="inlineStr">
        <is>
          <t>IC Organic Acids</t>
        </is>
      </c>
      <c r="ES882" s="20" t="inlineStr">
        <is>
          <t>None</t>
        </is>
      </c>
      <c r="ET882" s="17" t="n"/>
      <c r="EU882" s="16" t="n"/>
      <c r="EV882" s="20" t="inlineStr">
        <is>
          <t>LC-MS</t>
        </is>
      </c>
      <c r="EW882" s="20" t="inlineStr">
        <is>
          <t>None</t>
        </is>
      </c>
      <c r="EX882" s="17" t="n"/>
      <c r="EY882" s="21" t="n"/>
      <c r="EZ882">
        <f>CONCATENATE(A882,B882)</f>
        <v/>
      </c>
      <c r="FA882">
        <f>CONCATENATE(SamplesX!A882,SamplesX!B882)</f>
        <v/>
      </c>
      <c r="FC882">
        <f>MATCH(EZ882,FA1:FA1008,0)</f>
        <v/>
      </c>
    </row>
    <row r="883">
      <c r="A883" s="16" t="n"/>
      <c r="B883" s="17" t="n"/>
      <c r="C883" s="10">
        <f>IF(ISNUMBER(FC883),INDIRECT("SamplesX!C"&amp;FC883),IF(ISNUMBER(FD883),INDIRECT("SamplesY!C"&amp;FD883),""))</f>
        <v/>
      </c>
      <c r="D883" s="12">
        <f>IF(ISNUMBER(FC883),INDIRECT("SamplesX!D"&amp;FC883),IF(ISNUMBER(FD883),INDIRECT("SamplesY!D"&amp;FD883),""))</f>
        <v/>
      </c>
      <c r="E883" s="12">
        <f>IF(ISNUMBER(FC883),INDIRECT("SamplesX!E"&amp;FC883),IF(ISNUMBER(FD883),INDIRECT("SamplesY!E"&amp;FD883),""))</f>
        <v/>
      </c>
      <c r="F883" s="11">
        <f>IF(ISNUMBER(FC883),INDIRECT("SamplesX!F"&amp;FC883),IF(ISNUMBER(FD883),INDIRECT("SamplesY!F"&amp;FD883),""))</f>
        <v/>
      </c>
      <c r="G883" s="18">
        <f>IF(ISNUMBER(FC883),INDIRECT("SamplesX!G"&amp;FC883),IF(ISNUMBER(FD883),INDIRECT("SamplesY!G"&amp;FD883),""))</f>
        <v/>
      </c>
      <c r="H883" s="19">
        <f>IF(ISNUMBER(FC883),INDIRECT("SamplesX!H"&amp;FC883),IF(ISNUMBER(FD883),INDIRECT("SamplesY!H"&amp;FD883),""))</f>
        <v/>
      </c>
      <c r="I883" s="16" t="n"/>
      <c r="J883" s="16" t="n"/>
      <c r="K883" s="16" t="n"/>
      <c r="L883" s="20" t="n"/>
      <c r="M883" s="20" t="inlineStr">
        <is>
          <t>None</t>
        </is>
      </c>
      <c r="N883" s="17" t="n"/>
      <c r="O883" s="16" t="n"/>
      <c r="P883" s="20" t="inlineStr">
        <is>
          <t>Shimadzu TOC-L</t>
        </is>
      </c>
      <c r="Q883" s="20" t="inlineStr">
        <is>
          <t>None</t>
        </is>
      </c>
      <c r="R883" s="17" t="n"/>
      <c r="S883" s="16" t="n"/>
      <c r="T883" s="20" t="inlineStr">
        <is>
          <t>Shimadzu TOC-L</t>
        </is>
      </c>
      <c r="U883" s="20" t="inlineStr">
        <is>
          <t>None</t>
        </is>
      </c>
      <c r="V883" s="17" t="n"/>
      <c r="W883" s="16" t="n"/>
      <c r="X883" s="20" t="n"/>
      <c r="Y883" s="20" t="inlineStr">
        <is>
          <t>None</t>
        </is>
      </c>
      <c r="Z883" s="17" t="n"/>
      <c r="AA883" s="16" t="n"/>
      <c r="AB883" s="20" t="n"/>
      <c r="AC883" s="20" t="inlineStr">
        <is>
          <t>None</t>
        </is>
      </c>
      <c r="AD883" s="17" t="n"/>
      <c r="AE883" s="16" t="n"/>
      <c r="AF883" s="20" t="inlineStr">
        <is>
          <t>IC Anionen</t>
        </is>
      </c>
      <c r="AG883" s="20" t="inlineStr">
        <is>
          <t>None</t>
        </is>
      </c>
      <c r="AH883" s="17" t="n"/>
      <c r="AI883" s="16" t="n"/>
      <c r="AJ883" s="20" t="n"/>
      <c r="AK883" s="20" t="inlineStr">
        <is>
          <t>None</t>
        </is>
      </c>
      <c r="AL883" s="17" t="n"/>
      <c r="AM883" s="16" t="n"/>
      <c r="AN883" s="20" t="inlineStr">
        <is>
          <t>IC Anionen</t>
        </is>
      </c>
      <c r="AO883" s="20" t="inlineStr">
        <is>
          <t>None</t>
        </is>
      </c>
      <c r="AP883" s="17" t="n"/>
      <c r="AQ883" s="16" t="n"/>
      <c r="AR883" s="20" t="n"/>
      <c r="AS883" s="20" t="inlineStr">
        <is>
          <t>None</t>
        </is>
      </c>
      <c r="AT883" s="17" t="n"/>
      <c r="AU883" s="16" t="n"/>
      <c r="AV883" s="20" t="n"/>
      <c r="AW883" s="20" t="inlineStr">
        <is>
          <t>None</t>
        </is>
      </c>
      <c r="AX883" s="17" t="n"/>
      <c r="AY883" s="16" t="n"/>
      <c r="AZ883" s="20" t="inlineStr">
        <is>
          <t>IC Anionen</t>
        </is>
      </c>
      <c r="BA883" s="20" t="inlineStr">
        <is>
          <t>None</t>
        </is>
      </c>
      <c r="BB883" s="17" t="n"/>
      <c r="BC883" s="16" t="n"/>
      <c r="BD883" s="20" t="inlineStr">
        <is>
          <t>IC Kationen</t>
        </is>
      </c>
      <c r="BE883" s="20" t="inlineStr">
        <is>
          <t>None</t>
        </is>
      </c>
      <c r="BF883" s="17" t="n"/>
      <c r="BG883" s="16" t="n"/>
      <c r="BH883" s="20" t="inlineStr">
        <is>
          <t>IC Kationen</t>
        </is>
      </c>
      <c r="BI883" s="20" t="inlineStr">
        <is>
          <t>None</t>
        </is>
      </c>
      <c r="BJ883" s="17" t="n"/>
      <c r="BK883" s="16" t="n"/>
      <c r="BL883" s="20" t="inlineStr">
        <is>
          <t>IC Kationen</t>
        </is>
      </c>
      <c r="BM883" s="20" t="inlineStr">
        <is>
          <t>None</t>
        </is>
      </c>
      <c r="BN883" s="17" t="n"/>
      <c r="BO883" s="16" t="n"/>
      <c r="BP883" s="20" t="inlineStr">
        <is>
          <t>IC Kationen</t>
        </is>
      </c>
      <c r="BQ883" s="20" t="inlineStr">
        <is>
          <t>None</t>
        </is>
      </c>
      <c r="BR883" s="17" t="n"/>
      <c r="BS883" s="16" t="n"/>
      <c r="BT883" s="20" t="inlineStr">
        <is>
          <t>IC Kationen</t>
        </is>
      </c>
      <c r="BU883" s="20" t="inlineStr">
        <is>
          <t>None</t>
        </is>
      </c>
      <c r="BV883" s="17" t="n"/>
      <c r="BW883" s="16" t="n"/>
      <c r="BX883" s="20" t="n"/>
      <c r="BY883" s="20" t="inlineStr">
        <is>
          <t>None</t>
        </is>
      </c>
      <c r="BZ883" s="17" t="n"/>
      <c r="CA883" s="16" t="n"/>
      <c r="CB883" s="20" t="n"/>
      <c r="CC883" s="20" t="inlineStr">
        <is>
          <t>None</t>
        </is>
      </c>
      <c r="CD883" s="17" t="n"/>
      <c r="CE883" s="16" t="n"/>
      <c r="CF883" s="20" t="n"/>
      <c r="CG883" s="20" t="inlineStr">
        <is>
          <t>None</t>
        </is>
      </c>
      <c r="CH883" s="17" t="n"/>
      <c r="CI883" s="16" t="n"/>
      <c r="CJ883" s="20" t="n"/>
      <c r="CK883" s="20" t="inlineStr">
        <is>
          <t>None</t>
        </is>
      </c>
      <c r="CL883" s="17" t="n"/>
      <c r="CM883" s="16" t="n"/>
      <c r="CN883" s="20" t="inlineStr">
        <is>
          <t>SOP 45-34</t>
        </is>
      </c>
      <c r="CO883" s="20" t="inlineStr">
        <is>
          <t>None</t>
        </is>
      </c>
      <c r="CP883" s="17" t="n"/>
      <c r="CQ883" s="16" t="n"/>
      <c r="CR883" s="20" t="n"/>
      <c r="CS883" s="20" t="inlineStr">
        <is>
          <t>None</t>
        </is>
      </c>
      <c r="CT883" s="17" t="n"/>
      <c r="CU883" s="16" t="n"/>
      <c r="CV883" s="20" t="n"/>
      <c r="CW883" s="20" t="inlineStr">
        <is>
          <t>None</t>
        </is>
      </c>
      <c r="CX883" s="17" t="n"/>
      <c r="CY883" s="16" t="n"/>
      <c r="CZ883" s="20" t="inlineStr">
        <is>
          <t>WTW Multimeter 3430 with FDO 925</t>
        </is>
      </c>
      <c r="DA883" s="20" t="inlineStr">
        <is>
          <t>None</t>
        </is>
      </c>
      <c r="DB883" s="17" t="n"/>
      <c r="DC883" s="16" t="n"/>
      <c r="DD883" s="20" t="n"/>
      <c r="DE883" s="20" t="inlineStr">
        <is>
          <t>None</t>
        </is>
      </c>
      <c r="DF883" s="17" t="n"/>
      <c r="DG883" s="16" t="n"/>
      <c r="DH883" s="20" t="inlineStr">
        <is>
          <t>SOP 45-09</t>
        </is>
      </c>
      <c r="DI883" s="20" t="inlineStr">
        <is>
          <t>None</t>
        </is>
      </c>
      <c r="DJ883" s="17" t="n"/>
      <c r="DK883" s="16" t="n"/>
      <c r="DL883" s="20" t="inlineStr">
        <is>
          <t>SOP 45-09 (SOP muss noch angepasst werden für VSS)</t>
        </is>
      </c>
      <c r="DM883" s="20" t="inlineStr">
        <is>
          <t>None</t>
        </is>
      </c>
      <c r="DN883" s="17" t="n"/>
      <c r="DO883" s="16" t="n"/>
      <c r="DP883" s="20" t="inlineStr">
        <is>
          <t>IC Organic Acids</t>
        </is>
      </c>
      <c r="DQ883" s="20" t="inlineStr">
        <is>
          <t>None</t>
        </is>
      </c>
      <c r="DR883" s="17" t="n"/>
      <c r="DS883" s="16" t="n"/>
      <c r="DT883" s="20" t="inlineStr">
        <is>
          <t>IC Organic Acids</t>
        </is>
      </c>
      <c r="DU883" s="20" t="inlineStr">
        <is>
          <t>None</t>
        </is>
      </c>
      <c r="DV883" s="17" t="n"/>
      <c r="DW883" s="16" t="n"/>
      <c r="DX883" s="20" t="inlineStr">
        <is>
          <t>IC Organic Acids</t>
        </is>
      </c>
      <c r="DY883" s="20" t="inlineStr">
        <is>
          <t>None</t>
        </is>
      </c>
      <c r="DZ883" s="17" t="n"/>
      <c r="EA883" s="16" t="n"/>
      <c r="EB883" s="20" t="inlineStr">
        <is>
          <t>IC Organic Acids</t>
        </is>
      </c>
      <c r="EC883" s="20" t="inlineStr">
        <is>
          <t>None</t>
        </is>
      </c>
      <c r="ED883" s="17" t="n"/>
      <c r="EE883" s="16" t="n"/>
      <c r="EF883" s="20" t="inlineStr">
        <is>
          <t>IC Organic Acids</t>
        </is>
      </c>
      <c r="EG883" s="20" t="inlineStr">
        <is>
          <t>None</t>
        </is>
      </c>
      <c r="EH883" s="17" t="n"/>
      <c r="EI883" s="16" t="n"/>
      <c r="EJ883" s="20" t="inlineStr">
        <is>
          <t>IC Organic Acids</t>
        </is>
      </c>
      <c r="EK883" s="20" t="inlineStr">
        <is>
          <t>None</t>
        </is>
      </c>
      <c r="EL883" s="17" t="n"/>
      <c r="EM883" s="16" t="n"/>
      <c r="EN883" s="20" t="inlineStr">
        <is>
          <t>IC Organic Acids</t>
        </is>
      </c>
      <c r="EO883" s="20" t="inlineStr">
        <is>
          <t>None</t>
        </is>
      </c>
      <c r="EP883" s="17" t="n"/>
      <c r="EQ883" s="16" t="n"/>
      <c r="ER883" s="20" t="inlineStr">
        <is>
          <t>IC Organic Acids</t>
        </is>
      </c>
      <c r="ES883" s="20" t="inlineStr">
        <is>
          <t>None</t>
        </is>
      </c>
      <c r="ET883" s="17" t="n"/>
      <c r="EU883" s="16" t="n"/>
      <c r="EV883" s="20" t="inlineStr">
        <is>
          <t>LC-MS</t>
        </is>
      </c>
      <c r="EW883" s="20" t="inlineStr">
        <is>
          <t>None</t>
        </is>
      </c>
      <c r="EX883" s="17" t="n"/>
      <c r="EY883" s="21" t="n"/>
      <c r="EZ883">
        <f>CONCATENATE(A883,B883)</f>
        <v/>
      </c>
      <c r="FA883">
        <f>CONCATENATE(SamplesX!A883,SamplesX!B883)</f>
        <v/>
      </c>
      <c r="FC883">
        <f>MATCH(EZ883,FA1:FA1008,0)</f>
        <v/>
      </c>
    </row>
    <row r="884">
      <c r="A884" s="16" t="n"/>
      <c r="B884" s="17" t="n"/>
      <c r="C884" s="10">
        <f>IF(ISNUMBER(FC884),INDIRECT("SamplesX!C"&amp;FC884),IF(ISNUMBER(FD884),INDIRECT("SamplesY!C"&amp;FD884),""))</f>
        <v/>
      </c>
      <c r="D884" s="12">
        <f>IF(ISNUMBER(FC884),INDIRECT("SamplesX!D"&amp;FC884),IF(ISNUMBER(FD884),INDIRECT("SamplesY!D"&amp;FD884),""))</f>
        <v/>
      </c>
      <c r="E884" s="12">
        <f>IF(ISNUMBER(FC884),INDIRECT("SamplesX!E"&amp;FC884),IF(ISNUMBER(FD884),INDIRECT("SamplesY!E"&amp;FD884),""))</f>
        <v/>
      </c>
      <c r="F884" s="11">
        <f>IF(ISNUMBER(FC884),INDIRECT("SamplesX!F"&amp;FC884),IF(ISNUMBER(FD884),INDIRECT("SamplesY!F"&amp;FD884),""))</f>
        <v/>
      </c>
      <c r="G884" s="18">
        <f>IF(ISNUMBER(FC884),INDIRECT("SamplesX!G"&amp;FC884),IF(ISNUMBER(FD884),INDIRECT("SamplesY!G"&amp;FD884),""))</f>
        <v/>
      </c>
      <c r="H884" s="19">
        <f>IF(ISNUMBER(FC884),INDIRECT("SamplesX!H"&amp;FC884),IF(ISNUMBER(FD884),INDIRECT("SamplesY!H"&amp;FD884),""))</f>
        <v/>
      </c>
      <c r="I884" s="16" t="n"/>
      <c r="J884" s="16" t="n"/>
      <c r="K884" s="16" t="n"/>
      <c r="L884" s="20" t="n"/>
      <c r="M884" s="20" t="inlineStr">
        <is>
          <t>None</t>
        </is>
      </c>
      <c r="N884" s="17" t="n"/>
      <c r="O884" s="16" t="n"/>
      <c r="P884" s="20" t="inlineStr">
        <is>
          <t>Shimadzu TOC-L</t>
        </is>
      </c>
      <c r="Q884" s="20" t="inlineStr">
        <is>
          <t>None</t>
        </is>
      </c>
      <c r="R884" s="17" t="n"/>
      <c r="S884" s="16" t="n"/>
      <c r="T884" s="20" t="inlineStr">
        <is>
          <t>Shimadzu TOC-L</t>
        </is>
      </c>
      <c r="U884" s="20" t="inlineStr">
        <is>
          <t>None</t>
        </is>
      </c>
      <c r="V884" s="17" t="n"/>
      <c r="W884" s="16" t="n"/>
      <c r="X884" s="20" t="n"/>
      <c r="Y884" s="20" t="inlineStr">
        <is>
          <t>None</t>
        </is>
      </c>
      <c r="Z884" s="17" t="n"/>
      <c r="AA884" s="16" t="n"/>
      <c r="AB884" s="20" t="n"/>
      <c r="AC884" s="20" t="inlineStr">
        <is>
          <t>None</t>
        </is>
      </c>
      <c r="AD884" s="17" t="n"/>
      <c r="AE884" s="16" t="n"/>
      <c r="AF884" s="20" t="inlineStr">
        <is>
          <t>IC Anionen</t>
        </is>
      </c>
      <c r="AG884" s="20" t="inlineStr">
        <is>
          <t>None</t>
        </is>
      </c>
      <c r="AH884" s="17" t="n"/>
      <c r="AI884" s="16" t="n"/>
      <c r="AJ884" s="20" t="n"/>
      <c r="AK884" s="20" t="inlineStr">
        <is>
          <t>None</t>
        </is>
      </c>
      <c r="AL884" s="17" t="n"/>
      <c r="AM884" s="16" t="n"/>
      <c r="AN884" s="20" t="inlineStr">
        <is>
          <t>IC Anionen</t>
        </is>
      </c>
      <c r="AO884" s="20" t="inlineStr">
        <is>
          <t>None</t>
        </is>
      </c>
      <c r="AP884" s="17" t="n"/>
      <c r="AQ884" s="16" t="n"/>
      <c r="AR884" s="20" t="n"/>
      <c r="AS884" s="20" t="inlineStr">
        <is>
          <t>None</t>
        </is>
      </c>
      <c r="AT884" s="17" t="n"/>
      <c r="AU884" s="16" t="n"/>
      <c r="AV884" s="20" t="n"/>
      <c r="AW884" s="20" t="inlineStr">
        <is>
          <t>None</t>
        </is>
      </c>
      <c r="AX884" s="17" t="n"/>
      <c r="AY884" s="16" t="n"/>
      <c r="AZ884" s="20" t="inlineStr">
        <is>
          <t>IC Anionen</t>
        </is>
      </c>
      <c r="BA884" s="20" t="inlineStr">
        <is>
          <t>None</t>
        </is>
      </c>
      <c r="BB884" s="17" t="n"/>
      <c r="BC884" s="16" t="n"/>
      <c r="BD884" s="20" t="inlineStr">
        <is>
          <t>IC Kationen</t>
        </is>
      </c>
      <c r="BE884" s="20" t="inlineStr">
        <is>
          <t>None</t>
        </is>
      </c>
      <c r="BF884" s="17" t="n"/>
      <c r="BG884" s="16" t="n"/>
      <c r="BH884" s="20" t="inlineStr">
        <is>
          <t>IC Kationen</t>
        </is>
      </c>
      <c r="BI884" s="20" t="inlineStr">
        <is>
          <t>None</t>
        </is>
      </c>
      <c r="BJ884" s="17" t="n"/>
      <c r="BK884" s="16" t="n"/>
      <c r="BL884" s="20" t="inlineStr">
        <is>
          <t>IC Kationen</t>
        </is>
      </c>
      <c r="BM884" s="20" t="inlineStr">
        <is>
          <t>None</t>
        </is>
      </c>
      <c r="BN884" s="17" t="n"/>
      <c r="BO884" s="16" t="n"/>
      <c r="BP884" s="20" t="inlineStr">
        <is>
          <t>IC Kationen</t>
        </is>
      </c>
      <c r="BQ884" s="20" t="inlineStr">
        <is>
          <t>None</t>
        </is>
      </c>
      <c r="BR884" s="17" t="n"/>
      <c r="BS884" s="16" t="n"/>
      <c r="BT884" s="20" t="inlineStr">
        <is>
          <t>IC Kationen</t>
        </is>
      </c>
      <c r="BU884" s="20" t="inlineStr">
        <is>
          <t>None</t>
        </is>
      </c>
      <c r="BV884" s="17" t="n"/>
      <c r="BW884" s="16" t="n"/>
      <c r="BX884" s="20" t="n"/>
      <c r="BY884" s="20" t="inlineStr">
        <is>
          <t>None</t>
        </is>
      </c>
      <c r="BZ884" s="17" t="n"/>
      <c r="CA884" s="16" t="n"/>
      <c r="CB884" s="20" t="n"/>
      <c r="CC884" s="20" t="inlineStr">
        <is>
          <t>None</t>
        </is>
      </c>
      <c r="CD884" s="17" t="n"/>
      <c r="CE884" s="16" t="n"/>
      <c r="CF884" s="20" t="n"/>
      <c r="CG884" s="20" t="inlineStr">
        <is>
          <t>None</t>
        </is>
      </c>
      <c r="CH884" s="17" t="n"/>
      <c r="CI884" s="16" t="n"/>
      <c r="CJ884" s="20" t="n"/>
      <c r="CK884" s="20" t="inlineStr">
        <is>
          <t>None</t>
        </is>
      </c>
      <c r="CL884" s="17" t="n"/>
      <c r="CM884" s="16" t="n"/>
      <c r="CN884" s="20" t="inlineStr">
        <is>
          <t>SOP 45-34</t>
        </is>
      </c>
      <c r="CO884" s="20" t="inlineStr">
        <is>
          <t>None</t>
        </is>
      </c>
      <c r="CP884" s="17" t="n"/>
      <c r="CQ884" s="16" t="n"/>
      <c r="CR884" s="20" t="n"/>
      <c r="CS884" s="20" t="inlineStr">
        <is>
          <t>None</t>
        </is>
      </c>
      <c r="CT884" s="17" t="n"/>
      <c r="CU884" s="16" t="n"/>
      <c r="CV884" s="20" t="n"/>
      <c r="CW884" s="20" t="inlineStr">
        <is>
          <t>None</t>
        </is>
      </c>
      <c r="CX884" s="17" t="n"/>
      <c r="CY884" s="16" t="n"/>
      <c r="CZ884" s="20" t="inlineStr">
        <is>
          <t>WTW Multimeter 3430 with FDO 925</t>
        </is>
      </c>
      <c r="DA884" s="20" t="inlineStr">
        <is>
          <t>None</t>
        </is>
      </c>
      <c r="DB884" s="17" t="n"/>
      <c r="DC884" s="16" t="n"/>
      <c r="DD884" s="20" t="n"/>
      <c r="DE884" s="20" t="inlineStr">
        <is>
          <t>None</t>
        </is>
      </c>
      <c r="DF884" s="17" t="n"/>
      <c r="DG884" s="16" t="n"/>
      <c r="DH884" s="20" t="inlineStr">
        <is>
          <t>SOP 45-09</t>
        </is>
      </c>
      <c r="DI884" s="20" t="inlineStr">
        <is>
          <t>None</t>
        </is>
      </c>
      <c r="DJ884" s="17" t="n"/>
      <c r="DK884" s="16" t="n"/>
      <c r="DL884" s="20" t="inlineStr">
        <is>
          <t>SOP 45-09 (SOP muss noch angepasst werden für VSS)</t>
        </is>
      </c>
      <c r="DM884" s="20" t="inlineStr">
        <is>
          <t>None</t>
        </is>
      </c>
      <c r="DN884" s="17" t="n"/>
      <c r="DO884" s="16" t="n"/>
      <c r="DP884" s="20" t="inlineStr">
        <is>
          <t>IC Organic Acids</t>
        </is>
      </c>
      <c r="DQ884" s="20" t="inlineStr">
        <is>
          <t>None</t>
        </is>
      </c>
      <c r="DR884" s="17" t="n"/>
      <c r="DS884" s="16" t="n"/>
      <c r="DT884" s="20" t="inlineStr">
        <is>
          <t>IC Organic Acids</t>
        </is>
      </c>
      <c r="DU884" s="20" t="inlineStr">
        <is>
          <t>None</t>
        </is>
      </c>
      <c r="DV884" s="17" t="n"/>
      <c r="DW884" s="16" t="n"/>
      <c r="DX884" s="20" t="inlineStr">
        <is>
          <t>IC Organic Acids</t>
        </is>
      </c>
      <c r="DY884" s="20" t="inlineStr">
        <is>
          <t>None</t>
        </is>
      </c>
      <c r="DZ884" s="17" t="n"/>
      <c r="EA884" s="16" t="n"/>
      <c r="EB884" s="20" t="inlineStr">
        <is>
          <t>IC Organic Acids</t>
        </is>
      </c>
      <c r="EC884" s="20" t="inlineStr">
        <is>
          <t>None</t>
        </is>
      </c>
      <c r="ED884" s="17" t="n"/>
      <c r="EE884" s="16" t="n"/>
      <c r="EF884" s="20" t="inlineStr">
        <is>
          <t>IC Organic Acids</t>
        </is>
      </c>
      <c r="EG884" s="20" t="inlineStr">
        <is>
          <t>None</t>
        </is>
      </c>
      <c r="EH884" s="17" t="n"/>
      <c r="EI884" s="16" t="n"/>
      <c r="EJ884" s="20" t="inlineStr">
        <is>
          <t>IC Organic Acids</t>
        </is>
      </c>
      <c r="EK884" s="20" t="inlineStr">
        <is>
          <t>None</t>
        </is>
      </c>
      <c r="EL884" s="17" t="n"/>
      <c r="EM884" s="16" t="n"/>
      <c r="EN884" s="20" t="inlineStr">
        <is>
          <t>IC Organic Acids</t>
        </is>
      </c>
      <c r="EO884" s="20" t="inlineStr">
        <is>
          <t>None</t>
        </is>
      </c>
      <c r="EP884" s="17" t="n"/>
      <c r="EQ884" s="16" t="n"/>
      <c r="ER884" s="20" t="inlineStr">
        <is>
          <t>IC Organic Acids</t>
        </is>
      </c>
      <c r="ES884" s="20" t="inlineStr">
        <is>
          <t>None</t>
        </is>
      </c>
      <c r="ET884" s="17" t="n"/>
      <c r="EU884" s="16" t="n"/>
      <c r="EV884" s="20" t="inlineStr">
        <is>
          <t>LC-MS</t>
        </is>
      </c>
      <c r="EW884" s="20" t="inlineStr">
        <is>
          <t>None</t>
        </is>
      </c>
      <c r="EX884" s="17" t="n"/>
      <c r="EY884" s="21" t="n"/>
      <c r="EZ884">
        <f>CONCATENATE(A884,B884)</f>
        <v/>
      </c>
      <c r="FA884">
        <f>CONCATENATE(SamplesX!A884,SamplesX!B884)</f>
        <v/>
      </c>
      <c r="FC884">
        <f>MATCH(EZ884,FA1:FA1008,0)</f>
        <v/>
      </c>
    </row>
    <row r="885">
      <c r="A885" s="16" t="n"/>
      <c r="B885" s="17" t="n"/>
      <c r="C885" s="10">
        <f>IF(ISNUMBER(FC885),INDIRECT("SamplesX!C"&amp;FC885),IF(ISNUMBER(FD885),INDIRECT("SamplesY!C"&amp;FD885),""))</f>
        <v/>
      </c>
      <c r="D885" s="12">
        <f>IF(ISNUMBER(FC885),INDIRECT("SamplesX!D"&amp;FC885),IF(ISNUMBER(FD885),INDIRECT("SamplesY!D"&amp;FD885),""))</f>
        <v/>
      </c>
      <c r="E885" s="12">
        <f>IF(ISNUMBER(FC885),INDIRECT("SamplesX!E"&amp;FC885),IF(ISNUMBER(FD885),INDIRECT("SamplesY!E"&amp;FD885),""))</f>
        <v/>
      </c>
      <c r="F885" s="11">
        <f>IF(ISNUMBER(FC885),INDIRECT("SamplesX!F"&amp;FC885),IF(ISNUMBER(FD885),INDIRECT("SamplesY!F"&amp;FD885),""))</f>
        <v/>
      </c>
      <c r="G885" s="18">
        <f>IF(ISNUMBER(FC885),INDIRECT("SamplesX!G"&amp;FC885),IF(ISNUMBER(FD885),INDIRECT("SamplesY!G"&amp;FD885),""))</f>
        <v/>
      </c>
      <c r="H885" s="19">
        <f>IF(ISNUMBER(FC885),INDIRECT("SamplesX!H"&amp;FC885),IF(ISNUMBER(FD885),INDIRECT("SamplesY!H"&amp;FD885),""))</f>
        <v/>
      </c>
      <c r="I885" s="16" t="n"/>
      <c r="J885" s="16" t="n"/>
      <c r="K885" s="16" t="n"/>
      <c r="L885" s="20" t="n"/>
      <c r="M885" s="20" t="inlineStr">
        <is>
          <t>None</t>
        </is>
      </c>
      <c r="N885" s="17" t="n"/>
      <c r="O885" s="16" t="n"/>
      <c r="P885" s="20" t="inlineStr">
        <is>
          <t>Shimadzu TOC-L</t>
        </is>
      </c>
      <c r="Q885" s="20" t="inlineStr">
        <is>
          <t>None</t>
        </is>
      </c>
      <c r="R885" s="17" t="n"/>
      <c r="S885" s="16" t="n"/>
      <c r="T885" s="20" t="inlineStr">
        <is>
          <t>Shimadzu TOC-L</t>
        </is>
      </c>
      <c r="U885" s="20" t="inlineStr">
        <is>
          <t>None</t>
        </is>
      </c>
      <c r="V885" s="17" t="n"/>
      <c r="W885" s="16" t="n"/>
      <c r="X885" s="20" t="n"/>
      <c r="Y885" s="20" t="inlineStr">
        <is>
          <t>None</t>
        </is>
      </c>
      <c r="Z885" s="17" t="n"/>
      <c r="AA885" s="16" t="n"/>
      <c r="AB885" s="20" t="n"/>
      <c r="AC885" s="20" t="inlineStr">
        <is>
          <t>None</t>
        </is>
      </c>
      <c r="AD885" s="17" t="n"/>
      <c r="AE885" s="16" t="n"/>
      <c r="AF885" s="20" t="inlineStr">
        <is>
          <t>IC Anionen</t>
        </is>
      </c>
      <c r="AG885" s="20" t="inlineStr">
        <is>
          <t>None</t>
        </is>
      </c>
      <c r="AH885" s="17" t="n"/>
      <c r="AI885" s="16" t="n"/>
      <c r="AJ885" s="20" t="n"/>
      <c r="AK885" s="20" t="inlineStr">
        <is>
          <t>None</t>
        </is>
      </c>
      <c r="AL885" s="17" t="n"/>
      <c r="AM885" s="16" t="n"/>
      <c r="AN885" s="20" t="inlineStr">
        <is>
          <t>IC Anionen</t>
        </is>
      </c>
      <c r="AO885" s="20" t="inlineStr">
        <is>
          <t>None</t>
        </is>
      </c>
      <c r="AP885" s="17" t="n"/>
      <c r="AQ885" s="16" t="n"/>
      <c r="AR885" s="20" t="n"/>
      <c r="AS885" s="20" t="inlineStr">
        <is>
          <t>None</t>
        </is>
      </c>
      <c r="AT885" s="17" t="n"/>
      <c r="AU885" s="16" t="n"/>
      <c r="AV885" s="20" t="n"/>
      <c r="AW885" s="20" t="inlineStr">
        <is>
          <t>None</t>
        </is>
      </c>
      <c r="AX885" s="17" t="n"/>
      <c r="AY885" s="16" t="n"/>
      <c r="AZ885" s="20" t="inlineStr">
        <is>
          <t>IC Anionen</t>
        </is>
      </c>
      <c r="BA885" s="20" t="inlineStr">
        <is>
          <t>None</t>
        </is>
      </c>
      <c r="BB885" s="17" t="n"/>
      <c r="BC885" s="16" t="n"/>
      <c r="BD885" s="20" t="inlineStr">
        <is>
          <t>IC Kationen</t>
        </is>
      </c>
      <c r="BE885" s="20" t="inlineStr">
        <is>
          <t>None</t>
        </is>
      </c>
      <c r="BF885" s="17" t="n"/>
      <c r="BG885" s="16" t="n"/>
      <c r="BH885" s="20" t="inlineStr">
        <is>
          <t>IC Kationen</t>
        </is>
      </c>
      <c r="BI885" s="20" t="inlineStr">
        <is>
          <t>None</t>
        </is>
      </c>
      <c r="BJ885" s="17" t="n"/>
      <c r="BK885" s="16" t="n"/>
      <c r="BL885" s="20" t="inlineStr">
        <is>
          <t>IC Kationen</t>
        </is>
      </c>
      <c r="BM885" s="20" t="inlineStr">
        <is>
          <t>None</t>
        </is>
      </c>
      <c r="BN885" s="17" t="n"/>
      <c r="BO885" s="16" t="n"/>
      <c r="BP885" s="20" t="inlineStr">
        <is>
          <t>IC Kationen</t>
        </is>
      </c>
      <c r="BQ885" s="20" t="inlineStr">
        <is>
          <t>None</t>
        </is>
      </c>
      <c r="BR885" s="17" t="n"/>
      <c r="BS885" s="16" t="n"/>
      <c r="BT885" s="20" t="inlineStr">
        <is>
          <t>IC Kationen</t>
        </is>
      </c>
      <c r="BU885" s="20" t="inlineStr">
        <is>
          <t>None</t>
        </is>
      </c>
      <c r="BV885" s="17" t="n"/>
      <c r="BW885" s="16" t="n"/>
      <c r="BX885" s="20" t="n"/>
      <c r="BY885" s="20" t="inlineStr">
        <is>
          <t>None</t>
        </is>
      </c>
      <c r="BZ885" s="17" t="n"/>
      <c r="CA885" s="16" t="n"/>
      <c r="CB885" s="20" t="n"/>
      <c r="CC885" s="20" t="inlineStr">
        <is>
          <t>None</t>
        </is>
      </c>
      <c r="CD885" s="17" t="n"/>
      <c r="CE885" s="16" t="n"/>
      <c r="CF885" s="20" t="n"/>
      <c r="CG885" s="20" t="inlineStr">
        <is>
          <t>None</t>
        </is>
      </c>
      <c r="CH885" s="17" t="n"/>
      <c r="CI885" s="16" t="n"/>
      <c r="CJ885" s="20" t="n"/>
      <c r="CK885" s="20" t="inlineStr">
        <is>
          <t>None</t>
        </is>
      </c>
      <c r="CL885" s="17" t="n"/>
      <c r="CM885" s="16" t="n"/>
      <c r="CN885" s="20" t="inlineStr">
        <is>
          <t>SOP 45-34</t>
        </is>
      </c>
      <c r="CO885" s="20" t="inlineStr">
        <is>
          <t>None</t>
        </is>
      </c>
      <c r="CP885" s="17" t="n"/>
      <c r="CQ885" s="16" t="n"/>
      <c r="CR885" s="20" t="n"/>
      <c r="CS885" s="20" t="inlineStr">
        <is>
          <t>None</t>
        </is>
      </c>
      <c r="CT885" s="17" t="n"/>
      <c r="CU885" s="16" t="n"/>
      <c r="CV885" s="20" t="n"/>
      <c r="CW885" s="20" t="inlineStr">
        <is>
          <t>None</t>
        </is>
      </c>
      <c r="CX885" s="17" t="n"/>
      <c r="CY885" s="16" t="n"/>
      <c r="CZ885" s="20" t="inlineStr">
        <is>
          <t>WTW Multimeter 3430 with FDO 925</t>
        </is>
      </c>
      <c r="DA885" s="20" t="inlineStr">
        <is>
          <t>None</t>
        </is>
      </c>
      <c r="DB885" s="17" t="n"/>
      <c r="DC885" s="16" t="n"/>
      <c r="DD885" s="20" t="n"/>
      <c r="DE885" s="20" t="inlineStr">
        <is>
          <t>None</t>
        </is>
      </c>
      <c r="DF885" s="17" t="n"/>
      <c r="DG885" s="16" t="n"/>
      <c r="DH885" s="20" t="inlineStr">
        <is>
          <t>SOP 45-09</t>
        </is>
      </c>
      <c r="DI885" s="20" t="inlineStr">
        <is>
          <t>None</t>
        </is>
      </c>
      <c r="DJ885" s="17" t="n"/>
      <c r="DK885" s="16" t="n"/>
      <c r="DL885" s="20" t="inlineStr">
        <is>
          <t>SOP 45-09 (SOP muss noch angepasst werden für VSS)</t>
        </is>
      </c>
      <c r="DM885" s="20" t="inlineStr">
        <is>
          <t>None</t>
        </is>
      </c>
      <c r="DN885" s="17" t="n"/>
      <c r="DO885" s="16" t="n"/>
      <c r="DP885" s="20" t="inlineStr">
        <is>
          <t>IC Organic Acids</t>
        </is>
      </c>
      <c r="DQ885" s="20" t="inlineStr">
        <is>
          <t>None</t>
        </is>
      </c>
      <c r="DR885" s="17" t="n"/>
      <c r="DS885" s="16" t="n"/>
      <c r="DT885" s="20" t="inlineStr">
        <is>
          <t>IC Organic Acids</t>
        </is>
      </c>
      <c r="DU885" s="20" t="inlineStr">
        <is>
          <t>None</t>
        </is>
      </c>
      <c r="DV885" s="17" t="n"/>
      <c r="DW885" s="16" t="n"/>
      <c r="DX885" s="20" t="inlineStr">
        <is>
          <t>IC Organic Acids</t>
        </is>
      </c>
      <c r="DY885" s="20" t="inlineStr">
        <is>
          <t>None</t>
        </is>
      </c>
      <c r="DZ885" s="17" t="n"/>
      <c r="EA885" s="16" t="n"/>
      <c r="EB885" s="20" t="inlineStr">
        <is>
          <t>IC Organic Acids</t>
        </is>
      </c>
      <c r="EC885" s="20" t="inlineStr">
        <is>
          <t>None</t>
        </is>
      </c>
      <c r="ED885" s="17" t="n"/>
      <c r="EE885" s="16" t="n"/>
      <c r="EF885" s="20" t="inlineStr">
        <is>
          <t>IC Organic Acids</t>
        </is>
      </c>
      <c r="EG885" s="20" t="inlineStr">
        <is>
          <t>None</t>
        </is>
      </c>
      <c r="EH885" s="17" t="n"/>
      <c r="EI885" s="16" t="n"/>
      <c r="EJ885" s="20" t="inlineStr">
        <is>
          <t>IC Organic Acids</t>
        </is>
      </c>
      <c r="EK885" s="20" t="inlineStr">
        <is>
          <t>None</t>
        </is>
      </c>
      <c r="EL885" s="17" t="n"/>
      <c r="EM885" s="16" t="n"/>
      <c r="EN885" s="20" t="inlineStr">
        <is>
          <t>IC Organic Acids</t>
        </is>
      </c>
      <c r="EO885" s="20" t="inlineStr">
        <is>
          <t>None</t>
        </is>
      </c>
      <c r="EP885" s="17" t="n"/>
      <c r="EQ885" s="16" t="n"/>
      <c r="ER885" s="20" t="inlineStr">
        <is>
          <t>IC Organic Acids</t>
        </is>
      </c>
      <c r="ES885" s="20" t="inlineStr">
        <is>
          <t>None</t>
        </is>
      </c>
      <c r="ET885" s="17" t="n"/>
      <c r="EU885" s="16" t="n"/>
      <c r="EV885" s="20" t="inlineStr">
        <is>
          <t>LC-MS</t>
        </is>
      </c>
      <c r="EW885" s="20" t="inlineStr">
        <is>
          <t>None</t>
        </is>
      </c>
      <c r="EX885" s="17" t="n"/>
      <c r="EY885" s="21" t="n"/>
      <c r="EZ885">
        <f>CONCATENATE(A885,B885)</f>
        <v/>
      </c>
      <c r="FA885">
        <f>CONCATENATE(SamplesX!A885,SamplesX!B885)</f>
        <v/>
      </c>
      <c r="FC885">
        <f>MATCH(EZ885,FA1:FA1008,0)</f>
        <v/>
      </c>
    </row>
    <row r="886">
      <c r="A886" s="16" t="n"/>
      <c r="B886" s="17" t="n"/>
      <c r="C886" s="10">
        <f>IF(ISNUMBER(FC886),INDIRECT("SamplesX!C"&amp;FC886),IF(ISNUMBER(FD886),INDIRECT("SamplesY!C"&amp;FD886),""))</f>
        <v/>
      </c>
      <c r="D886" s="12">
        <f>IF(ISNUMBER(FC886),INDIRECT("SamplesX!D"&amp;FC886),IF(ISNUMBER(FD886),INDIRECT("SamplesY!D"&amp;FD886),""))</f>
        <v/>
      </c>
      <c r="E886" s="12">
        <f>IF(ISNUMBER(FC886),INDIRECT("SamplesX!E"&amp;FC886),IF(ISNUMBER(FD886),INDIRECT("SamplesY!E"&amp;FD886),""))</f>
        <v/>
      </c>
      <c r="F886" s="11">
        <f>IF(ISNUMBER(FC886),INDIRECT("SamplesX!F"&amp;FC886),IF(ISNUMBER(FD886),INDIRECT("SamplesY!F"&amp;FD886),""))</f>
        <v/>
      </c>
      <c r="G886" s="18">
        <f>IF(ISNUMBER(FC886),INDIRECT("SamplesX!G"&amp;FC886),IF(ISNUMBER(FD886),INDIRECT("SamplesY!G"&amp;FD886),""))</f>
        <v/>
      </c>
      <c r="H886" s="19">
        <f>IF(ISNUMBER(FC886),INDIRECT("SamplesX!H"&amp;FC886),IF(ISNUMBER(FD886),INDIRECT("SamplesY!H"&amp;FD886),""))</f>
        <v/>
      </c>
      <c r="I886" s="16" t="n"/>
      <c r="J886" s="16" t="n"/>
      <c r="K886" s="16" t="n"/>
      <c r="L886" s="20" t="n"/>
      <c r="M886" s="20" t="inlineStr">
        <is>
          <t>None</t>
        </is>
      </c>
      <c r="N886" s="17" t="n"/>
      <c r="O886" s="16" t="n"/>
      <c r="P886" s="20" t="inlineStr">
        <is>
          <t>Shimadzu TOC-L</t>
        </is>
      </c>
      <c r="Q886" s="20" t="inlineStr">
        <is>
          <t>None</t>
        </is>
      </c>
      <c r="R886" s="17" t="n"/>
      <c r="S886" s="16" t="n"/>
      <c r="T886" s="20" t="inlineStr">
        <is>
          <t>Shimadzu TOC-L</t>
        </is>
      </c>
      <c r="U886" s="20" t="inlineStr">
        <is>
          <t>None</t>
        </is>
      </c>
      <c r="V886" s="17" t="n"/>
      <c r="W886" s="16" t="n"/>
      <c r="X886" s="20" t="n"/>
      <c r="Y886" s="20" t="inlineStr">
        <is>
          <t>None</t>
        </is>
      </c>
      <c r="Z886" s="17" t="n"/>
      <c r="AA886" s="16" t="n"/>
      <c r="AB886" s="20" t="n"/>
      <c r="AC886" s="20" t="inlineStr">
        <is>
          <t>None</t>
        </is>
      </c>
      <c r="AD886" s="17" t="n"/>
      <c r="AE886" s="16" t="n"/>
      <c r="AF886" s="20" t="inlineStr">
        <is>
          <t>IC Anionen</t>
        </is>
      </c>
      <c r="AG886" s="20" t="inlineStr">
        <is>
          <t>None</t>
        </is>
      </c>
      <c r="AH886" s="17" t="n"/>
      <c r="AI886" s="16" t="n"/>
      <c r="AJ886" s="20" t="n"/>
      <c r="AK886" s="20" t="inlineStr">
        <is>
          <t>None</t>
        </is>
      </c>
      <c r="AL886" s="17" t="n"/>
      <c r="AM886" s="16" t="n"/>
      <c r="AN886" s="20" t="inlineStr">
        <is>
          <t>IC Anionen</t>
        </is>
      </c>
      <c r="AO886" s="20" t="inlineStr">
        <is>
          <t>None</t>
        </is>
      </c>
      <c r="AP886" s="17" t="n"/>
      <c r="AQ886" s="16" t="n"/>
      <c r="AR886" s="20" t="n"/>
      <c r="AS886" s="20" t="inlineStr">
        <is>
          <t>None</t>
        </is>
      </c>
      <c r="AT886" s="17" t="n"/>
      <c r="AU886" s="16" t="n"/>
      <c r="AV886" s="20" t="n"/>
      <c r="AW886" s="20" t="inlineStr">
        <is>
          <t>None</t>
        </is>
      </c>
      <c r="AX886" s="17" t="n"/>
      <c r="AY886" s="16" t="n"/>
      <c r="AZ886" s="20" t="inlineStr">
        <is>
          <t>IC Anionen</t>
        </is>
      </c>
      <c r="BA886" s="20" t="inlineStr">
        <is>
          <t>None</t>
        </is>
      </c>
      <c r="BB886" s="17" t="n"/>
      <c r="BC886" s="16" t="n"/>
      <c r="BD886" s="20" t="inlineStr">
        <is>
          <t>IC Kationen</t>
        </is>
      </c>
      <c r="BE886" s="20" t="inlineStr">
        <is>
          <t>None</t>
        </is>
      </c>
      <c r="BF886" s="17" t="n"/>
      <c r="BG886" s="16" t="n"/>
      <c r="BH886" s="20" t="inlineStr">
        <is>
          <t>IC Kationen</t>
        </is>
      </c>
      <c r="BI886" s="20" t="inlineStr">
        <is>
          <t>None</t>
        </is>
      </c>
      <c r="BJ886" s="17" t="n"/>
      <c r="BK886" s="16" t="n"/>
      <c r="BL886" s="20" t="inlineStr">
        <is>
          <t>IC Kationen</t>
        </is>
      </c>
      <c r="BM886" s="20" t="inlineStr">
        <is>
          <t>None</t>
        </is>
      </c>
      <c r="BN886" s="17" t="n"/>
      <c r="BO886" s="16" t="n"/>
      <c r="BP886" s="20" t="inlineStr">
        <is>
          <t>IC Kationen</t>
        </is>
      </c>
      <c r="BQ886" s="20" t="inlineStr">
        <is>
          <t>None</t>
        </is>
      </c>
      <c r="BR886" s="17" t="n"/>
      <c r="BS886" s="16" t="n"/>
      <c r="BT886" s="20" t="inlineStr">
        <is>
          <t>IC Kationen</t>
        </is>
      </c>
      <c r="BU886" s="20" t="inlineStr">
        <is>
          <t>None</t>
        </is>
      </c>
      <c r="BV886" s="17" t="n"/>
      <c r="BW886" s="16" t="n"/>
      <c r="BX886" s="20" t="n"/>
      <c r="BY886" s="20" t="inlineStr">
        <is>
          <t>None</t>
        </is>
      </c>
      <c r="BZ886" s="17" t="n"/>
      <c r="CA886" s="16" t="n"/>
      <c r="CB886" s="20" t="n"/>
      <c r="CC886" s="20" t="inlineStr">
        <is>
          <t>None</t>
        </is>
      </c>
      <c r="CD886" s="17" t="n"/>
      <c r="CE886" s="16" t="n"/>
      <c r="CF886" s="20" t="n"/>
      <c r="CG886" s="20" t="inlineStr">
        <is>
          <t>None</t>
        </is>
      </c>
      <c r="CH886" s="17" t="n"/>
      <c r="CI886" s="16" t="n"/>
      <c r="CJ886" s="20" t="n"/>
      <c r="CK886" s="20" t="inlineStr">
        <is>
          <t>None</t>
        </is>
      </c>
      <c r="CL886" s="17" t="n"/>
      <c r="CM886" s="16" t="n"/>
      <c r="CN886" s="20" t="inlineStr">
        <is>
          <t>SOP 45-34</t>
        </is>
      </c>
      <c r="CO886" s="20" t="inlineStr">
        <is>
          <t>None</t>
        </is>
      </c>
      <c r="CP886" s="17" t="n"/>
      <c r="CQ886" s="16" t="n"/>
      <c r="CR886" s="20" t="n"/>
      <c r="CS886" s="20" t="inlineStr">
        <is>
          <t>None</t>
        </is>
      </c>
      <c r="CT886" s="17" t="n"/>
      <c r="CU886" s="16" t="n"/>
      <c r="CV886" s="20" t="n"/>
      <c r="CW886" s="20" t="inlineStr">
        <is>
          <t>None</t>
        </is>
      </c>
      <c r="CX886" s="17" t="n"/>
      <c r="CY886" s="16" t="n"/>
      <c r="CZ886" s="20" t="inlineStr">
        <is>
          <t>WTW Multimeter 3430 with FDO 925</t>
        </is>
      </c>
      <c r="DA886" s="20" t="inlineStr">
        <is>
          <t>None</t>
        </is>
      </c>
      <c r="DB886" s="17" t="n"/>
      <c r="DC886" s="16" t="n"/>
      <c r="DD886" s="20" t="n"/>
      <c r="DE886" s="20" t="inlineStr">
        <is>
          <t>None</t>
        </is>
      </c>
      <c r="DF886" s="17" t="n"/>
      <c r="DG886" s="16" t="n"/>
      <c r="DH886" s="20" t="inlineStr">
        <is>
          <t>SOP 45-09</t>
        </is>
      </c>
      <c r="DI886" s="20" t="inlineStr">
        <is>
          <t>None</t>
        </is>
      </c>
      <c r="DJ886" s="17" t="n"/>
      <c r="DK886" s="16" t="n"/>
      <c r="DL886" s="20" t="inlineStr">
        <is>
          <t>SOP 45-09 (SOP muss noch angepasst werden für VSS)</t>
        </is>
      </c>
      <c r="DM886" s="20" t="inlineStr">
        <is>
          <t>None</t>
        </is>
      </c>
      <c r="DN886" s="17" t="n"/>
      <c r="DO886" s="16" t="n"/>
      <c r="DP886" s="20" t="inlineStr">
        <is>
          <t>IC Organic Acids</t>
        </is>
      </c>
      <c r="DQ886" s="20" t="inlineStr">
        <is>
          <t>None</t>
        </is>
      </c>
      <c r="DR886" s="17" t="n"/>
      <c r="DS886" s="16" t="n"/>
      <c r="DT886" s="20" t="inlineStr">
        <is>
          <t>IC Organic Acids</t>
        </is>
      </c>
      <c r="DU886" s="20" t="inlineStr">
        <is>
          <t>None</t>
        </is>
      </c>
      <c r="DV886" s="17" t="n"/>
      <c r="DW886" s="16" t="n"/>
      <c r="DX886" s="20" t="inlineStr">
        <is>
          <t>IC Organic Acids</t>
        </is>
      </c>
      <c r="DY886" s="20" t="inlineStr">
        <is>
          <t>None</t>
        </is>
      </c>
      <c r="DZ886" s="17" t="n"/>
      <c r="EA886" s="16" t="n"/>
      <c r="EB886" s="20" t="inlineStr">
        <is>
          <t>IC Organic Acids</t>
        </is>
      </c>
      <c r="EC886" s="20" t="inlineStr">
        <is>
          <t>None</t>
        </is>
      </c>
      <c r="ED886" s="17" t="n"/>
      <c r="EE886" s="16" t="n"/>
      <c r="EF886" s="20" t="inlineStr">
        <is>
          <t>IC Organic Acids</t>
        </is>
      </c>
      <c r="EG886" s="20" t="inlineStr">
        <is>
          <t>None</t>
        </is>
      </c>
      <c r="EH886" s="17" t="n"/>
      <c r="EI886" s="16" t="n"/>
      <c r="EJ886" s="20" t="inlineStr">
        <is>
          <t>IC Organic Acids</t>
        </is>
      </c>
      <c r="EK886" s="20" t="inlineStr">
        <is>
          <t>None</t>
        </is>
      </c>
      <c r="EL886" s="17" t="n"/>
      <c r="EM886" s="16" t="n"/>
      <c r="EN886" s="20" t="inlineStr">
        <is>
          <t>IC Organic Acids</t>
        </is>
      </c>
      <c r="EO886" s="20" t="inlineStr">
        <is>
          <t>None</t>
        </is>
      </c>
      <c r="EP886" s="17" t="n"/>
      <c r="EQ886" s="16" t="n"/>
      <c r="ER886" s="20" t="inlineStr">
        <is>
          <t>IC Organic Acids</t>
        </is>
      </c>
      <c r="ES886" s="20" t="inlineStr">
        <is>
          <t>None</t>
        </is>
      </c>
      <c r="ET886" s="17" t="n"/>
      <c r="EU886" s="16" t="n"/>
      <c r="EV886" s="20" t="inlineStr">
        <is>
          <t>LC-MS</t>
        </is>
      </c>
      <c r="EW886" s="20" t="inlineStr">
        <is>
          <t>None</t>
        </is>
      </c>
      <c r="EX886" s="17" t="n"/>
      <c r="EY886" s="21" t="n"/>
      <c r="EZ886">
        <f>CONCATENATE(A886,B886)</f>
        <v/>
      </c>
      <c r="FA886">
        <f>CONCATENATE(SamplesX!A886,SamplesX!B886)</f>
        <v/>
      </c>
      <c r="FC886">
        <f>MATCH(EZ886,FA1:FA1008,0)</f>
        <v/>
      </c>
    </row>
    <row r="887">
      <c r="A887" s="16" t="n"/>
      <c r="B887" s="17" t="n"/>
      <c r="C887" s="10">
        <f>IF(ISNUMBER(FC887),INDIRECT("SamplesX!C"&amp;FC887),IF(ISNUMBER(FD887),INDIRECT("SamplesY!C"&amp;FD887),""))</f>
        <v/>
      </c>
      <c r="D887" s="12">
        <f>IF(ISNUMBER(FC887),INDIRECT("SamplesX!D"&amp;FC887),IF(ISNUMBER(FD887),INDIRECT("SamplesY!D"&amp;FD887),""))</f>
        <v/>
      </c>
      <c r="E887" s="12">
        <f>IF(ISNUMBER(FC887),INDIRECT("SamplesX!E"&amp;FC887),IF(ISNUMBER(FD887),INDIRECT("SamplesY!E"&amp;FD887),""))</f>
        <v/>
      </c>
      <c r="F887" s="11">
        <f>IF(ISNUMBER(FC887),INDIRECT("SamplesX!F"&amp;FC887),IF(ISNUMBER(FD887),INDIRECT("SamplesY!F"&amp;FD887),""))</f>
        <v/>
      </c>
      <c r="G887" s="18">
        <f>IF(ISNUMBER(FC887),INDIRECT("SamplesX!G"&amp;FC887),IF(ISNUMBER(FD887),INDIRECT("SamplesY!G"&amp;FD887),""))</f>
        <v/>
      </c>
      <c r="H887" s="19">
        <f>IF(ISNUMBER(FC887),INDIRECT("SamplesX!H"&amp;FC887),IF(ISNUMBER(FD887),INDIRECT("SamplesY!H"&amp;FD887),""))</f>
        <v/>
      </c>
      <c r="I887" s="16" t="n"/>
      <c r="J887" s="16" t="n"/>
      <c r="K887" s="16" t="n"/>
      <c r="L887" s="20" t="n"/>
      <c r="M887" s="20" t="inlineStr">
        <is>
          <t>None</t>
        </is>
      </c>
      <c r="N887" s="17" t="n"/>
      <c r="O887" s="16" t="n"/>
      <c r="P887" s="20" t="inlineStr">
        <is>
          <t>Shimadzu TOC-L</t>
        </is>
      </c>
      <c r="Q887" s="20" t="inlineStr">
        <is>
          <t>None</t>
        </is>
      </c>
      <c r="R887" s="17" t="n"/>
      <c r="S887" s="16" t="n"/>
      <c r="T887" s="20" t="inlineStr">
        <is>
          <t>Shimadzu TOC-L</t>
        </is>
      </c>
      <c r="U887" s="20" t="inlineStr">
        <is>
          <t>None</t>
        </is>
      </c>
      <c r="V887" s="17" t="n"/>
      <c r="W887" s="16" t="n"/>
      <c r="X887" s="20" t="n"/>
      <c r="Y887" s="20" t="inlineStr">
        <is>
          <t>None</t>
        </is>
      </c>
      <c r="Z887" s="17" t="n"/>
      <c r="AA887" s="16" t="n"/>
      <c r="AB887" s="20" t="n"/>
      <c r="AC887" s="20" t="inlineStr">
        <is>
          <t>None</t>
        </is>
      </c>
      <c r="AD887" s="17" t="n"/>
      <c r="AE887" s="16" t="n"/>
      <c r="AF887" s="20" t="inlineStr">
        <is>
          <t>IC Anionen</t>
        </is>
      </c>
      <c r="AG887" s="20" t="inlineStr">
        <is>
          <t>None</t>
        </is>
      </c>
      <c r="AH887" s="17" t="n"/>
      <c r="AI887" s="16" t="n"/>
      <c r="AJ887" s="20" t="n"/>
      <c r="AK887" s="20" t="inlineStr">
        <is>
          <t>None</t>
        </is>
      </c>
      <c r="AL887" s="17" t="n"/>
      <c r="AM887" s="16" t="n"/>
      <c r="AN887" s="20" t="inlineStr">
        <is>
          <t>IC Anionen</t>
        </is>
      </c>
      <c r="AO887" s="20" t="inlineStr">
        <is>
          <t>None</t>
        </is>
      </c>
      <c r="AP887" s="17" t="n"/>
      <c r="AQ887" s="16" t="n"/>
      <c r="AR887" s="20" t="n"/>
      <c r="AS887" s="20" t="inlineStr">
        <is>
          <t>None</t>
        </is>
      </c>
      <c r="AT887" s="17" t="n"/>
      <c r="AU887" s="16" t="n"/>
      <c r="AV887" s="20" t="n"/>
      <c r="AW887" s="20" t="inlineStr">
        <is>
          <t>None</t>
        </is>
      </c>
      <c r="AX887" s="17" t="n"/>
      <c r="AY887" s="16" t="n"/>
      <c r="AZ887" s="20" t="inlineStr">
        <is>
          <t>IC Anionen</t>
        </is>
      </c>
      <c r="BA887" s="20" t="inlineStr">
        <is>
          <t>None</t>
        </is>
      </c>
      <c r="BB887" s="17" t="n"/>
      <c r="BC887" s="16" t="n"/>
      <c r="BD887" s="20" t="inlineStr">
        <is>
          <t>IC Kationen</t>
        </is>
      </c>
      <c r="BE887" s="20" t="inlineStr">
        <is>
          <t>None</t>
        </is>
      </c>
      <c r="BF887" s="17" t="n"/>
      <c r="BG887" s="16" t="n"/>
      <c r="BH887" s="20" t="inlineStr">
        <is>
          <t>IC Kationen</t>
        </is>
      </c>
      <c r="BI887" s="20" t="inlineStr">
        <is>
          <t>None</t>
        </is>
      </c>
      <c r="BJ887" s="17" t="n"/>
      <c r="BK887" s="16" t="n"/>
      <c r="BL887" s="20" t="inlineStr">
        <is>
          <t>IC Kationen</t>
        </is>
      </c>
      <c r="BM887" s="20" t="inlineStr">
        <is>
          <t>None</t>
        </is>
      </c>
      <c r="BN887" s="17" t="n"/>
      <c r="BO887" s="16" t="n"/>
      <c r="BP887" s="20" t="inlineStr">
        <is>
          <t>IC Kationen</t>
        </is>
      </c>
      <c r="BQ887" s="20" t="inlineStr">
        <is>
          <t>None</t>
        </is>
      </c>
      <c r="BR887" s="17" t="n"/>
      <c r="BS887" s="16" t="n"/>
      <c r="BT887" s="20" t="inlineStr">
        <is>
          <t>IC Kationen</t>
        </is>
      </c>
      <c r="BU887" s="20" t="inlineStr">
        <is>
          <t>None</t>
        </is>
      </c>
      <c r="BV887" s="17" t="n"/>
      <c r="BW887" s="16" t="n"/>
      <c r="BX887" s="20" t="n"/>
      <c r="BY887" s="20" t="inlineStr">
        <is>
          <t>None</t>
        </is>
      </c>
      <c r="BZ887" s="17" t="n"/>
      <c r="CA887" s="16" t="n"/>
      <c r="CB887" s="20" t="n"/>
      <c r="CC887" s="20" t="inlineStr">
        <is>
          <t>None</t>
        </is>
      </c>
      <c r="CD887" s="17" t="n"/>
      <c r="CE887" s="16" t="n"/>
      <c r="CF887" s="20" t="n"/>
      <c r="CG887" s="20" t="inlineStr">
        <is>
          <t>None</t>
        </is>
      </c>
      <c r="CH887" s="17" t="n"/>
      <c r="CI887" s="16" t="n"/>
      <c r="CJ887" s="20" t="n"/>
      <c r="CK887" s="20" t="inlineStr">
        <is>
          <t>None</t>
        </is>
      </c>
      <c r="CL887" s="17" t="n"/>
      <c r="CM887" s="16" t="n"/>
      <c r="CN887" s="20" t="inlineStr">
        <is>
          <t>SOP 45-34</t>
        </is>
      </c>
      <c r="CO887" s="20" t="inlineStr">
        <is>
          <t>None</t>
        </is>
      </c>
      <c r="CP887" s="17" t="n"/>
      <c r="CQ887" s="16" t="n"/>
      <c r="CR887" s="20" t="n"/>
      <c r="CS887" s="20" t="inlineStr">
        <is>
          <t>None</t>
        </is>
      </c>
      <c r="CT887" s="17" t="n"/>
      <c r="CU887" s="16" t="n"/>
      <c r="CV887" s="20" t="n"/>
      <c r="CW887" s="20" t="inlineStr">
        <is>
          <t>None</t>
        </is>
      </c>
      <c r="CX887" s="17" t="n"/>
      <c r="CY887" s="16" t="n"/>
      <c r="CZ887" s="20" t="inlineStr">
        <is>
          <t>WTW Multimeter 3430 with FDO 925</t>
        </is>
      </c>
      <c r="DA887" s="20" t="inlineStr">
        <is>
          <t>None</t>
        </is>
      </c>
      <c r="DB887" s="17" t="n"/>
      <c r="DC887" s="16" t="n"/>
      <c r="DD887" s="20" t="n"/>
      <c r="DE887" s="20" t="inlineStr">
        <is>
          <t>None</t>
        </is>
      </c>
      <c r="DF887" s="17" t="n"/>
      <c r="DG887" s="16" t="n"/>
      <c r="DH887" s="20" t="inlineStr">
        <is>
          <t>SOP 45-09</t>
        </is>
      </c>
      <c r="DI887" s="20" t="inlineStr">
        <is>
          <t>None</t>
        </is>
      </c>
      <c r="DJ887" s="17" t="n"/>
      <c r="DK887" s="16" t="n"/>
      <c r="DL887" s="20" t="inlineStr">
        <is>
          <t>SOP 45-09 (SOP muss noch angepasst werden für VSS)</t>
        </is>
      </c>
      <c r="DM887" s="20" t="inlineStr">
        <is>
          <t>None</t>
        </is>
      </c>
      <c r="DN887" s="17" t="n"/>
      <c r="DO887" s="16" t="n"/>
      <c r="DP887" s="20" t="inlineStr">
        <is>
          <t>IC Organic Acids</t>
        </is>
      </c>
      <c r="DQ887" s="20" t="inlineStr">
        <is>
          <t>None</t>
        </is>
      </c>
      <c r="DR887" s="17" t="n"/>
      <c r="DS887" s="16" t="n"/>
      <c r="DT887" s="20" t="inlineStr">
        <is>
          <t>IC Organic Acids</t>
        </is>
      </c>
      <c r="DU887" s="20" t="inlineStr">
        <is>
          <t>None</t>
        </is>
      </c>
      <c r="DV887" s="17" t="n"/>
      <c r="DW887" s="16" t="n"/>
      <c r="DX887" s="20" t="inlineStr">
        <is>
          <t>IC Organic Acids</t>
        </is>
      </c>
      <c r="DY887" s="20" t="inlineStr">
        <is>
          <t>None</t>
        </is>
      </c>
      <c r="DZ887" s="17" t="n"/>
      <c r="EA887" s="16" t="n"/>
      <c r="EB887" s="20" t="inlineStr">
        <is>
          <t>IC Organic Acids</t>
        </is>
      </c>
      <c r="EC887" s="20" t="inlineStr">
        <is>
          <t>None</t>
        </is>
      </c>
      <c r="ED887" s="17" t="n"/>
      <c r="EE887" s="16" t="n"/>
      <c r="EF887" s="20" t="inlineStr">
        <is>
          <t>IC Organic Acids</t>
        </is>
      </c>
      <c r="EG887" s="20" t="inlineStr">
        <is>
          <t>None</t>
        </is>
      </c>
      <c r="EH887" s="17" t="n"/>
      <c r="EI887" s="16" t="n"/>
      <c r="EJ887" s="20" t="inlineStr">
        <is>
          <t>IC Organic Acids</t>
        </is>
      </c>
      <c r="EK887" s="20" t="inlineStr">
        <is>
          <t>None</t>
        </is>
      </c>
      <c r="EL887" s="17" t="n"/>
      <c r="EM887" s="16" t="n"/>
      <c r="EN887" s="20" t="inlineStr">
        <is>
          <t>IC Organic Acids</t>
        </is>
      </c>
      <c r="EO887" s="20" t="inlineStr">
        <is>
          <t>None</t>
        </is>
      </c>
      <c r="EP887" s="17" t="n"/>
      <c r="EQ887" s="16" t="n"/>
      <c r="ER887" s="20" t="inlineStr">
        <is>
          <t>IC Organic Acids</t>
        </is>
      </c>
      <c r="ES887" s="20" t="inlineStr">
        <is>
          <t>None</t>
        </is>
      </c>
      <c r="ET887" s="17" t="n"/>
      <c r="EU887" s="16" t="n"/>
      <c r="EV887" s="20" t="inlineStr">
        <is>
          <t>LC-MS</t>
        </is>
      </c>
      <c r="EW887" s="20" t="inlineStr">
        <is>
          <t>None</t>
        </is>
      </c>
      <c r="EX887" s="17" t="n"/>
      <c r="EY887" s="21" t="n"/>
      <c r="EZ887">
        <f>CONCATENATE(A887,B887)</f>
        <v/>
      </c>
      <c r="FA887">
        <f>CONCATENATE(SamplesX!A887,SamplesX!B887)</f>
        <v/>
      </c>
      <c r="FC887">
        <f>MATCH(EZ887,FA1:FA1008,0)</f>
        <v/>
      </c>
    </row>
    <row r="888">
      <c r="A888" s="16" t="n"/>
      <c r="B888" s="17" t="n"/>
      <c r="C888" s="10">
        <f>IF(ISNUMBER(FC888),INDIRECT("SamplesX!C"&amp;FC888),IF(ISNUMBER(FD888),INDIRECT("SamplesY!C"&amp;FD888),""))</f>
        <v/>
      </c>
      <c r="D888" s="12">
        <f>IF(ISNUMBER(FC888),INDIRECT("SamplesX!D"&amp;FC888),IF(ISNUMBER(FD888),INDIRECT("SamplesY!D"&amp;FD888),""))</f>
        <v/>
      </c>
      <c r="E888" s="12">
        <f>IF(ISNUMBER(FC888),INDIRECT("SamplesX!E"&amp;FC888),IF(ISNUMBER(FD888),INDIRECT("SamplesY!E"&amp;FD888),""))</f>
        <v/>
      </c>
      <c r="F888" s="11">
        <f>IF(ISNUMBER(FC888),INDIRECT("SamplesX!F"&amp;FC888),IF(ISNUMBER(FD888),INDIRECT("SamplesY!F"&amp;FD888),""))</f>
        <v/>
      </c>
      <c r="G888" s="18">
        <f>IF(ISNUMBER(FC888),INDIRECT("SamplesX!G"&amp;FC888),IF(ISNUMBER(FD888),INDIRECT("SamplesY!G"&amp;FD888),""))</f>
        <v/>
      </c>
      <c r="H888" s="19">
        <f>IF(ISNUMBER(FC888),INDIRECT("SamplesX!H"&amp;FC888),IF(ISNUMBER(FD888),INDIRECT("SamplesY!H"&amp;FD888),""))</f>
        <v/>
      </c>
      <c r="I888" s="16" t="n"/>
      <c r="J888" s="16" t="n"/>
      <c r="K888" s="16" t="n"/>
      <c r="L888" s="20" t="n"/>
      <c r="M888" s="20" t="inlineStr">
        <is>
          <t>None</t>
        </is>
      </c>
      <c r="N888" s="17" t="n"/>
      <c r="O888" s="16" t="n"/>
      <c r="P888" s="20" t="inlineStr">
        <is>
          <t>Shimadzu TOC-L</t>
        </is>
      </c>
      <c r="Q888" s="20" t="inlineStr">
        <is>
          <t>None</t>
        </is>
      </c>
      <c r="R888" s="17" t="n"/>
      <c r="S888" s="16" t="n"/>
      <c r="T888" s="20" t="inlineStr">
        <is>
          <t>Shimadzu TOC-L</t>
        </is>
      </c>
      <c r="U888" s="20" t="inlineStr">
        <is>
          <t>None</t>
        </is>
      </c>
      <c r="V888" s="17" t="n"/>
      <c r="W888" s="16" t="n"/>
      <c r="X888" s="20" t="n"/>
      <c r="Y888" s="20" t="inlineStr">
        <is>
          <t>None</t>
        </is>
      </c>
      <c r="Z888" s="17" t="n"/>
      <c r="AA888" s="16" t="n"/>
      <c r="AB888" s="20" t="n"/>
      <c r="AC888" s="20" t="inlineStr">
        <is>
          <t>None</t>
        </is>
      </c>
      <c r="AD888" s="17" t="n"/>
      <c r="AE888" s="16" t="n"/>
      <c r="AF888" s="20" t="inlineStr">
        <is>
          <t>IC Anionen</t>
        </is>
      </c>
      <c r="AG888" s="20" t="inlineStr">
        <is>
          <t>None</t>
        </is>
      </c>
      <c r="AH888" s="17" t="n"/>
      <c r="AI888" s="16" t="n"/>
      <c r="AJ888" s="20" t="n"/>
      <c r="AK888" s="20" t="inlineStr">
        <is>
          <t>None</t>
        </is>
      </c>
      <c r="AL888" s="17" t="n"/>
      <c r="AM888" s="16" t="n"/>
      <c r="AN888" s="20" t="inlineStr">
        <is>
          <t>IC Anionen</t>
        </is>
      </c>
      <c r="AO888" s="20" t="inlineStr">
        <is>
          <t>None</t>
        </is>
      </c>
      <c r="AP888" s="17" t="n"/>
      <c r="AQ888" s="16" t="n"/>
      <c r="AR888" s="20" t="n"/>
      <c r="AS888" s="20" t="inlineStr">
        <is>
          <t>None</t>
        </is>
      </c>
      <c r="AT888" s="17" t="n"/>
      <c r="AU888" s="16" t="n"/>
      <c r="AV888" s="20" t="n"/>
      <c r="AW888" s="20" t="inlineStr">
        <is>
          <t>None</t>
        </is>
      </c>
      <c r="AX888" s="17" t="n"/>
      <c r="AY888" s="16" t="n"/>
      <c r="AZ888" s="20" t="inlineStr">
        <is>
          <t>IC Anionen</t>
        </is>
      </c>
      <c r="BA888" s="20" t="inlineStr">
        <is>
          <t>None</t>
        </is>
      </c>
      <c r="BB888" s="17" t="n"/>
      <c r="BC888" s="16" t="n"/>
      <c r="BD888" s="20" t="inlineStr">
        <is>
          <t>IC Kationen</t>
        </is>
      </c>
      <c r="BE888" s="20" t="inlineStr">
        <is>
          <t>None</t>
        </is>
      </c>
      <c r="BF888" s="17" t="n"/>
      <c r="BG888" s="16" t="n"/>
      <c r="BH888" s="20" t="inlineStr">
        <is>
          <t>IC Kationen</t>
        </is>
      </c>
      <c r="BI888" s="20" t="inlineStr">
        <is>
          <t>None</t>
        </is>
      </c>
      <c r="BJ888" s="17" t="n"/>
      <c r="BK888" s="16" t="n"/>
      <c r="BL888" s="20" t="inlineStr">
        <is>
          <t>IC Kationen</t>
        </is>
      </c>
      <c r="BM888" s="20" t="inlineStr">
        <is>
          <t>None</t>
        </is>
      </c>
      <c r="BN888" s="17" t="n"/>
      <c r="BO888" s="16" t="n"/>
      <c r="BP888" s="20" t="inlineStr">
        <is>
          <t>IC Kationen</t>
        </is>
      </c>
      <c r="BQ888" s="20" t="inlineStr">
        <is>
          <t>None</t>
        </is>
      </c>
      <c r="BR888" s="17" t="n"/>
      <c r="BS888" s="16" t="n"/>
      <c r="BT888" s="20" t="inlineStr">
        <is>
          <t>IC Kationen</t>
        </is>
      </c>
      <c r="BU888" s="20" t="inlineStr">
        <is>
          <t>None</t>
        </is>
      </c>
      <c r="BV888" s="17" t="n"/>
      <c r="BW888" s="16" t="n"/>
      <c r="BX888" s="20" t="n"/>
      <c r="BY888" s="20" t="inlineStr">
        <is>
          <t>None</t>
        </is>
      </c>
      <c r="BZ888" s="17" t="n"/>
      <c r="CA888" s="16" t="n"/>
      <c r="CB888" s="20" t="n"/>
      <c r="CC888" s="20" t="inlineStr">
        <is>
          <t>None</t>
        </is>
      </c>
      <c r="CD888" s="17" t="n"/>
      <c r="CE888" s="16" t="n"/>
      <c r="CF888" s="20" t="n"/>
      <c r="CG888" s="20" t="inlineStr">
        <is>
          <t>None</t>
        </is>
      </c>
      <c r="CH888" s="17" t="n"/>
      <c r="CI888" s="16" t="n"/>
      <c r="CJ888" s="20" t="n"/>
      <c r="CK888" s="20" t="inlineStr">
        <is>
          <t>None</t>
        </is>
      </c>
      <c r="CL888" s="17" t="n"/>
      <c r="CM888" s="16" t="n"/>
      <c r="CN888" s="20" t="inlineStr">
        <is>
          <t>SOP 45-34</t>
        </is>
      </c>
      <c r="CO888" s="20" t="inlineStr">
        <is>
          <t>None</t>
        </is>
      </c>
      <c r="CP888" s="17" t="n"/>
      <c r="CQ888" s="16" t="n"/>
      <c r="CR888" s="20" t="n"/>
      <c r="CS888" s="20" t="inlineStr">
        <is>
          <t>None</t>
        </is>
      </c>
      <c r="CT888" s="17" t="n"/>
      <c r="CU888" s="16" t="n"/>
      <c r="CV888" s="20" t="n"/>
      <c r="CW888" s="20" t="inlineStr">
        <is>
          <t>None</t>
        </is>
      </c>
      <c r="CX888" s="17" t="n"/>
      <c r="CY888" s="16" t="n"/>
      <c r="CZ888" s="20" t="inlineStr">
        <is>
          <t>WTW Multimeter 3430 with FDO 925</t>
        </is>
      </c>
      <c r="DA888" s="20" t="inlineStr">
        <is>
          <t>None</t>
        </is>
      </c>
      <c r="DB888" s="17" t="n"/>
      <c r="DC888" s="16" t="n"/>
      <c r="DD888" s="20" t="n"/>
      <c r="DE888" s="20" t="inlineStr">
        <is>
          <t>None</t>
        </is>
      </c>
      <c r="DF888" s="17" t="n"/>
      <c r="DG888" s="16" t="n"/>
      <c r="DH888" s="20" t="inlineStr">
        <is>
          <t>SOP 45-09</t>
        </is>
      </c>
      <c r="DI888" s="20" t="inlineStr">
        <is>
          <t>None</t>
        </is>
      </c>
      <c r="DJ888" s="17" t="n"/>
      <c r="DK888" s="16" t="n"/>
      <c r="DL888" s="20" t="inlineStr">
        <is>
          <t>SOP 45-09 (SOP muss noch angepasst werden für VSS)</t>
        </is>
      </c>
      <c r="DM888" s="20" t="inlineStr">
        <is>
          <t>None</t>
        </is>
      </c>
      <c r="DN888" s="17" t="n"/>
      <c r="DO888" s="16" t="n"/>
      <c r="DP888" s="20" t="inlineStr">
        <is>
          <t>IC Organic Acids</t>
        </is>
      </c>
      <c r="DQ888" s="20" t="inlineStr">
        <is>
          <t>None</t>
        </is>
      </c>
      <c r="DR888" s="17" t="n"/>
      <c r="DS888" s="16" t="n"/>
      <c r="DT888" s="20" t="inlineStr">
        <is>
          <t>IC Organic Acids</t>
        </is>
      </c>
      <c r="DU888" s="20" t="inlineStr">
        <is>
          <t>None</t>
        </is>
      </c>
      <c r="DV888" s="17" t="n"/>
      <c r="DW888" s="16" t="n"/>
      <c r="DX888" s="20" t="inlineStr">
        <is>
          <t>IC Organic Acids</t>
        </is>
      </c>
      <c r="DY888" s="20" t="inlineStr">
        <is>
          <t>None</t>
        </is>
      </c>
      <c r="DZ888" s="17" t="n"/>
      <c r="EA888" s="16" t="n"/>
      <c r="EB888" s="20" t="inlineStr">
        <is>
          <t>IC Organic Acids</t>
        </is>
      </c>
      <c r="EC888" s="20" t="inlineStr">
        <is>
          <t>None</t>
        </is>
      </c>
      <c r="ED888" s="17" t="n"/>
      <c r="EE888" s="16" t="n"/>
      <c r="EF888" s="20" t="inlineStr">
        <is>
          <t>IC Organic Acids</t>
        </is>
      </c>
      <c r="EG888" s="20" t="inlineStr">
        <is>
          <t>None</t>
        </is>
      </c>
      <c r="EH888" s="17" t="n"/>
      <c r="EI888" s="16" t="n"/>
      <c r="EJ888" s="20" t="inlineStr">
        <is>
          <t>IC Organic Acids</t>
        </is>
      </c>
      <c r="EK888" s="20" t="inlineStr">
        <is>
          <t>None</t>
        </is>
      </c>
      <c r="EL888" s="17" t="n"/>
      <c r="EM888" s="16" t="n"/>
      <c r="EN888" s="20" t="inlineStr">
        <is>
          <t>IC Organic Acids</t>
        </is>
      </c>
      <c r="EO888" s="20" t="inlineStr">
        <is>
          <t>None</t>
        </is>
      </c>
      <c r="EP888" s="17" t="n"/>
      <c r="EQ888" s="16" t="n"/>
      <c r="ER888" s="20" t="inlineStr">
        <is>
          <t>IC Organic Acids</t>
        </is>
      </c>
      <c r="ES888" s="20" t="inlineStr">
        <is>
          <t>None</t>
        </is>
      </c>
      <c r="ET888" s="17" t="n"/>
      <c r="EU888" s="16" t="n"/>
      <c r="EV888" s="20" t="inlineStr">
        <is>
          <t>LC-MS</t>
        </is>
      </c>
      <c r="EW888" s="20" t="inlineStr">
        <is>
          <t>None</t>
        </is>
      </c>
      <c r="EX888" s="17" t="n"/>
      <c r="EY888" s="21" t="n"/>
      <c r="EZ888">
        <f>CONCATENATE(A888,B888)</f>
        <v/>
      </c>
      <c r="FA888">
        <f>CONCATENATE(SamplesX!A888,SamplesX!B888)</f>
        <v/>
      </c>
      <c r="FC888">
        <f>MATCH(EZ888,FA1:FA1008,0)</f>
        <v/>
      </c>
    </row>
    <row r="889">
      <c r="A889" s="16" t="n"/>
      <c r="B889" s="17" t="n"/>
      <c r="C889" s="10">
        <f>IF(ISNUMBER(FC889),INDIRECT("SamplesX!C"&amp;FC889),IF(ISNUMBER(FD889),INDIRECT("SamplesY!C"&amp;FD889),""))</f>
        <v/>
      </c>
      <c r="D889" s="12">
        <f>IF(ISNUMBER(FC889),INDIRECT("SamplesX!D"&amp;FC889),IF(ISNUMBER(FD889),INDIRECT("SamplesY!D"&amp;FD889),""))</f>
        <v/>
      </c>
      <c r="E889" s="12">
        <f>IF(ISNUMBER(FC889),INDIRECT("SamplesX!E"&amp;FC889),IF(ISNUMBER(FD889),INDIRECT("SamplesY!E"&amp;FD889),""))</f>
        <v/>
      </c>
      <c r="F889" s="11">
        <f>IF(ISNUMBER(FC889),INDIRECT("SamplesX!F"&amp;FC889),IF(ISNUMBER(FD889),INDIRECT("SamplesY!F"&amp;FD889),""))</f>
        <v/>
      </c>
      <c r="G889" s="18">
        <f>IF(ISNUMBER(FC889),INDIRECT("SamplesX!G"&amp;FC889),IF(ISNUMBER(FD889),INDIRECT("SamplesY!G"&amp;FD889),""))</f>
        <v/>
      </c>
      <c r="H889" s="19">
        <f>IF(ISNUMBER(FC889),INDIRECT("SamplesX!H"&amp;FC889),IF(ISNUMBER(FD889),INDIRECT("SamplesY!H"&amp;FD889),""))</f>
        <v/>
      </c>
      <c r="I889" s="16" t="n"/>
      <c r="J889" s="16" t="n"/>
      <c r="K889" s="16" t="n"/>
      <c r="L889" s="20" t="n"/>
      <c r="M889" s="20" t="inlineStr">
        <is>
          <t>None</t>
        </is>
      </c>
      <c r="N889" s="17" t="n"/>
      <c r="O889" s="16" t="n"/>
      <c r="P889" s="20" t="inlineStr">
        <is>
          <t>Shimadzu TOC-L</t>
        </is>
      </c>
      <c r="Q889" s="20" t="inlineStr">
        <is>
          <t>None</t>
        </is>
      </c>
      <c r="R889" s="17" t="n"/>
      <c r="S889" s="16" t="n"/>
      <c r="T889" s="20" t="inlineStr">
        <is>
          <t>Shimadzu TOC-L</t>
        </is>
      </c>
      <c r="U889" s="20" t="inlineStr">
        <is>
          <t>None</t>
        </is>
      </c>
      <c r="V889" s="17" t="n"/>
      <c r="W889" s="16" t="n"/>
      <c r="X889" s="20" t="n"/>
      <c r="Y889" s="20" t="inlineStr">
        <is>
          <t>None</t>
        </is>
      </c>
      <c r="Z889" s="17" t="n"/>
      <c r="AA889" s="16" t="n"/>
      <c r="AB889" s="20" t="n"/>
      <c r="AC889" s="20" t="inlineStr">
        <is>
          <t>None</t>
        </is>
      </c>
      <c r="AD889" s="17" t="n"/>
      <c r="AE889" s="16" t="n"/>
      <c r="AF889" s="20" t="inlineStr">
        <is>
          <t>IC Anionen</t>
        </is>
      </c>
      <c r="AG889" s="20" t="inlineStr">
        <is>
          <t>None</t>
        </is>
      </c>
      <c r="AH889" s="17" t="n"/>
      <c r="AI889" s="16" t="n"/>
      <c r="AJ889" s="20" t="n"/>
      <c r="AK889" s="20" t="inlineStr">
        <is>
          <t>None</t>
        </is>
      </c>
      <c r="AL889" s="17" t="n"/>
      <c r="AM889" s="16" t="n"/>
      <c r="AN889" s="20" t="inlineStr">
        <is>
          <t>IC Anionen</t>
        </is>
      </c>
      <c r="AO889" s="20" t="inlineStr">
        <is>
          <t>None</t>
        </is>
      </c>
      <c r="AP889" s="17" t="n"/>
      <c r="AQ889" s="16" t="n"/>
      <c r="AR889" s="20" t="n"/>
      <c r="AS889" s="20" t="inlineStr">
        <is>
          <t>None</t>
        </is>
      </c>
      <c r="AT889" s="17" t="n"/>
      <c r="AU889" s="16" t="n"/>
      <c r="AV889" s="20" t="n"/>
      <c r="AW889" s="20" t="inlineStr">
        <is>
          <t>None</t>
        </is>
      </c>
      <c r="AX889" s="17" t="n"/>
      <c r="AY889" s="16" t="n"/>
      <c r="AZ889" s="20" t="inlineStr">
        <is>
          <t>IC Anionen</t>
        </is>
      </c>
      <c r="BA889" s="20" t="inlineStr">
        <is>
          <t>None</t>
        </is>
      </c>
      <c r="BB889" s="17" t="n"/>
      <c r="BC889" s="16" t="n"/>
      <c r="BD889" s="20" t="inlineStr">
        <is>
          <t>IC Kationen</t>
        </is>
      </c>
      <c r="BE889" s="20" t="inlineStr">
        <is>
          <t>None</t>
        </is>
      </c>
      <c r="BF889" s="17" t="n"/>
      <c r="BG889" s="16" t="n"/>
      <c r="BH889" s="20" t="inlineStr">
        <is>
          <t>IC Kationen</t>
        </is>
      </c>
      <c r="BI889" s="20" t="inlineStr">
        <is>
          <t>None</t>
        </is>
      </c>
      <c r="BJ889" s="17" t="n"/>
      <c r="BK889" s="16" t="n"/>
      <c r="BL889" s="20" t="inlineStr">
        <is>
          <t>IC Kationen</t>
        </is>
      </c>
      <c r="BM889" s="20" t="inlineStr">
        <is>
          <t>None</t>
        </is>
      </c>
      <c r="BN889" s="17" t="n"/>
      <c r="BO889" s="16" t="n"/>
      <c r="BP889" s="20" t="inlineStr">
        <is>
          <t>IC Kationen</t>
        </is>
      </c>
      <c r="BQ889" s="20" t="inlineStr">
        <is>
          <t>None</t>
        </is>
      </c>
      <c r="BR889" s="17" t="n"/>
      <c r="BS889" s="16" t="n"/>
      <c r="BT889" s="20" t="inlineStr">
        <is>
          <t>IC Kationen</t>
        </is>
      </c>
      <c r="BU889" s="20" t="inlineStr">
        <is>
          <t>None</t>
        </is>
      </c>
      <c r="BV889" s="17" t="n"/>
      <c r="BW889" s="16" t="n"/>
      <c r="BX889" s="20" t="n"/>
      <c r="BY889" s="20" t="inlineStr">
        <is>
          <t>None</t>
        </is>
      </c>
      <c r="BZ889" s="17" t="n"/>
      <c r="CA889" s="16" t="n"/>
      <c r="CB889" s="20" t="n"/>
      <c r="CC889" s="20" t="inlineStr">
        <is>
          <t>None</t>
        </is>
      </c>
      <c r="CD889" s="17" t="n"/>
      <c r="CE889" s="16" t="n"/>
      <c r="CF889" s="20" t="n"/>
      <c r="CG889" s="20" t="inlineStr">
        <is>
          <t>None</t>
        </is>
      </c>
      <c r="CH889" s="17" t="n"/>
      <c r="CI889" s="16" t="n"/>
      <c r="CJ889" s="20" t="n"/>
      <c r="CK889" s="20" t="inlineStr">
        <is>
          <t>None</t>
        </is>
      </c>
      <c r="CL889" s="17" t="n"/>
      <c r="CM889" s="16" t="n"/>
      <c r="CN889" s="20" t="inlineStr">
        <is>
          <t>SOP 45-34</t>
        </is>
      </c>
      <c r="CO889" s="20" t="inlineStr">
        <is>
          <t>None</t>
        </is>
      </c>
      <c r="CP889" s="17" t="n"/>
      <c r="CQ889" s="16" t="n"/>
      <c r="CR889" s="20" t="n"/>
      <c r="CS889" s="20" t="inlineStr">
        <is>
          <t>None</t>
        </is>
      </c>
      <c r="CT889" s="17" t="n"/>
      <c r="CU889" s="16" t="n"/>
      <c r="CV889" s="20" t="n"/>
      <c r="CW889" s="20" t="inlineStr">
        <is>
          <t>None</t>
        </is>
      </c>
      <c r="CX889" s="17" t="n"/>
      <c r="CY889" s="16" t="n"/>
      <c r="CZ889" s="20" t="inlineStr">
        <is>
          <t>WTW Multimeter 3430 with FDO 925</t>
        </is>
      </c>
      <c r="DA889" s="20" t="inlineStr">
        <is>
          <t>None</t>
        </is>
      </c>
      <c r="DB889" s="17" t="n"/>
      <c r="DC889" s="16" t="n"/>
      <c r="DD889" s="20" t="n"/>
      <c r="DE889" s="20" t="inlineStr">
        <is>
          <t>None</t>
        </is>
      </c>
      <c r="DF889" s="17" t="n"/>
      <c r="DG889" s="16" t="n"/>
      <c r="DH889" s="20" t="inlineStr">
        <is>
          <t>SOP 45-09</t>
        </is>
      </c>
      <c r="DI889" s="20" t="inlineStr">
        <is>
          <t>None</t>
        </is>
      </c>
      <c r="DJ889" s="17" t="n"/>
      <c r="DK889" s="16" t="n"/>
      <c r="DL889" s="20" t="inlineStr">
        <is>
          <t>SOP 45-09 (SOP muss noch angepasst werden für VSS)</t>
        </is>
      </c>
      <c r="DM889" s="20" t="inlineStr">
        <is>
          <t>None</t>
        </is>
      </c>
      <c r="DN889" s="17" t="n"/>
      <c r="DO889" s="16" t="n"/>
      <c r="DP889" s="20" t="inlineStr">
        <is>
          <t>IC Organic Acids</t>
        </is>
      </c>
      <c r="DQ889" s="20" t="inlineStr">
        <is>
          <t>None</t>
        </is>
      </c>
      <c r="DR889" s="17" t="n"/>
      <c r="DS889" s="16" t="n"/>
      <c r="DT889" s="20" t="inlineStr">
        <is>
          <t>IC Organic Acids</t>
        </is>
      </c>
      <c r="DU889" s="20" t="inlineStr">
        <is>
          <t>None</t>
        </is>
      </c>
      <c r="DV889" s="17" t="n"/>
      <c r="DW889" s="16" t="n"/>
      <c r="DX889" s="20" t="inlineStr">
        <is>
          <t>IC Organic Acids</t>
        </is>
      </c>
      <c r="DY889" s="20" t="inlineStr">
        <is>
          <t>None</t>
        </is>
      </c>
      <c r="DZ889" s="17" t="n"/>
      <c r="EA889" s="16" t="n"/>
      <c r="EB889" s="20" t="inlineStr">
        <is>
          <t>IC Organic Acids</t>
        </is>
      </c>
      <c r="EC889" s="20" t="inlineStr">
        <is>
          <t>None</t>
        </is>
      </c>
      <c r="ED889" s="17" t="n"/>
      <c r="EE889" s="16" t="n"/>
      <c r="EF889" s="20" t="inlineStr">
        <is>
          <t>IC Organic Acids</t>
        </is>
      </c>
      <c r="EG889" s="20" t="inlineStr">
        <is>
          <t>None</t>
        </is>
      </c>
      <c r="EH889" s="17" t="n"/>
      <c r="EI889" s="16" t="n"/>
      <c r="EJ889" s="20" t="inlineStr">
        <is>
          <t>IC Organic Acids</t>
        </is>
      </c>
      <c r="EK889" s="20" t="inlineStr">
        <is>
          <t>None</t>
        </is>
      </c>
      <c r="EL889" s="17" t="n"/>
      <c r="EM889" s="16" t="n"/>
      <c r="EN889" s="20" t="inlineStr">
        <is>
          <t>IC Organic Acids</t>
        </is>
      </c>
      <c r="EO889" s="20" t="inlineStr">
        <is>
          <t>None</t>
        </is>
      </c>
      <c r="EP889" s="17" t="n"/>
      <c r="EQ889" s="16" t="n"/>
      <c r="ER889" s="20" t="inlineStr">
        <is>
          <t>IC Organic Acids</t>
        </is>
      </c>
      <c r="ES889" s="20" t="inlineStr">
        <is>
          <t>None</t>
        </is>
      </c>
      <c r="ET889" s="17" t="n"/>
      <c r="EU889" s="16" t="n"/>
      <c r="EV889" s="20" t="inlineStr">
        <is>
          <t>LC-MS</t>
        </is>
      </c>
      <c r="EW889" s="20" t="inlineStr">
        <is>
          <t>None</t>
        </is>
      </c>
      <c r="EX889" s="17" t="n"/>
      <c r="EY889" s="21" t="n"/>
      <c r="EZ889">
        <f>CONCATENATE(A889,B889)</f>
        <v/>
      </c>
      <c r="FA889">
        <f>CONCATENATE(SamplesX!A889,SamplesX!B889)</f>
        <v/>
      </c>
      <c r="FC889">
        <f>MATCH(EZ889,FA1:FA1008,0)</f>
        <v/>
      </c>
    </row>
    <row r="890">
      <c r="A890" s="16" t="n"/>
      <c r="B890" s="17" t="n"/>
      <c r="C890" s="10">
        <f>IF(ISNUMBER(FC890),INDIRECT("SamplesX!C"&amp;FC890),IF(ISNUMBER(FD890),INDIRECT("SamplesY!C"&amp;FD890),""))</f>
        <v/>
      </c>
      <c r="D890" s="12">
        <f>IF(ISNUMBER(FC890),INDIRECT("SamplesX!D"&amp;FC890),IF(ISNUMBER(FD890),INDIRECT("SamplesY!D"&amp;FD890),""))</f>
        <v/>
      </c>
      <c r="E890" s="12">
        <f>IF(ISNUMBER(FC890),INDIRECT("SamplesX!E"&amp;FC890),IF(ISNUMBER(FD890),INDIRECT("SamplesY!E"&amp;FD890),""))</f>
        <v/>
      </c>
      <c r="F890" s="11">
        <f>IF(ISNUMBER(FC890),INDIRECT("SamplesX!F"&amp;FC890),IF(ISNUMBER(FD890),INDIRECT("SamplesY!F"&amp;FD890),""))</f>
        <v/>
      </c>
      <c r="G890" s="18">
        <f>IF(ISNUMBER(FC890),INDIRECT("SamplesX!G"&amp;FC890),IF(ISNUMBER(FD890),INDIRECT("SamplesY!G"&amp;FD890),""))</f>
        <v/>
      </c>
      <c r="H890" s="19">
        <f>IF(ISNUMBER(FC890),INDIRECT("SamplesX!H"&amp;FC890),IF(ISNUMBER(FD890),INDIRECT("SamplesY!H"&amp;FD890),""))</f>
        <v/>
      </c>
      <c r="I890" s="16" t="n"/>
      <c r="J890" s="16" t="n"/>
      <c r="K890" s="16" t="n"/>
      <c r="L890" s="20" t="n"/>
      <c r="M890" s="20" t="inlineStr">
        <is>
          <t>None</t>
        </is>
      </c>
      <c r="N890" s="17" t="n"/>
      <c r="O890" s="16" t="n"/>
      <c r="P890" s="20" t="inlineStr">
        <is>
          <t>Shimadzu TOC-L</t>
        </is>
      </c>
      <c r="Q890" s="20" t="inlineStr">
        <is>
          <t>None</t>
        </is>
      </c>
      <c r="R890" s="17" t="n"/>
      <c r="S890" s="16" t="n"/>
      <c r="T890" s="20" t="inlineStr">
        <is>
          <t>Shimadzu TOC-L</t>
        </is>
      </c>
      <c r="U890" s="20" t="inlineStr">
        <is>
          <t>None</t>
        </is>
      </c>
      <c r="V890" s="17" t="n"/>
      <c r="W890" s="16" t="n"/>
      <c r="X890" s="20" t="n"/>
      <c r="Y890" s="20" t="inlineStr">
        <is>
          <t>None</t>
        </is>
      </c>
      <c r="Z890" s="17" t="n"/>
      <c r="AA890" s="16" t="n"/>
      <c r="AB890" s="20" t="n"/>
      <c r="AC890" s="20" t="inlineStr">
        <is>
          <t>None</t>
        </is>
      </c>
      <c r="AD890" s="17" t="n"/>
      <c r="AE890" s="16" t="n"/>
      <c r="AF890" s="20" t="inlineStr">
        <is>
          <t>IC Anionen</t>
        </is>
      </c>
      <c r="AG890" s="20" t="inlineStr">
        <is>
          <t>None</t>
        </is>
      </c>
      <c r="AH890" s="17" t="n"/>
      <c r="AI890" s="16" t="n"/>
      <c r="AJ890" s="20" t="n"/>
      <c r="AK890" s="20" t="inlineStr">
        <is>
          <t>None</t>
        </is>
      </c>
      <c r="AL890" s="17" t="n"/>
      <c r="AM890" s="16" t="n"/>
      <c r="AN890" s="20" t="inlineStr">
        <is>
          <t>IC Anionen</t>
        </is>
      </c>
      <c r="AO890" s="20" t="inlineStr">
        <is>
          <t>None</t>
        </is>
      </c>
      <c r="AP890" s="17" t="n"/>
      <c r="AQ890" s="16" t="n"/>
      <c r="AR890" s="20" t="n"/>
      <c r="AS890" s="20" t="inlineStr">
        <is>
          <t>None</t>
        </is>
      </c>
      <c r="AT890" s="17" t="n"/>
      <c r="AU890" s="16" t="n"/>
      <c r="AV890" s="20" t="n"/>
      <c r="AW890" s="20" t="inlineStr">
        <is>
          <t>None</t>
        </is>
      </c>
      <c r="AX890" s="17" t="n"/>
      <c r="AY890" s="16" t="n"/>
      <c r="AZ890" s="20" t="inlineStr">
        <is>
          <t>IC Anionen</t>
        </is>
      </c>
      <c r="BA890" s="20" t="inlineStr">
        <is>
          <t>None</t>
        </is>
      </c>
      <c r="BB890" s="17" t="n"/>
      <c r="BC890" s="16" t="n"/>
      <c r="BD890" s="20" t="inlineStr">
        <is>
          <t>IC Kationen</t>
        </is>
      </c>
      <c r="BE890" s="20" t="inlineStr">
        <is>
          <t>None</t>
        </is>
      </c>
      <c r="BF890" s="17" t="n"/>
      <c r="BG890" s="16" t="n"/>
      <c r="BH890" s="20" t="inlineStr">
        <is>
          <t>IC Kationen</t>
        </is>
      </c>
      <c r="BI890" s="20" t="inlineStr">
        <is>
          <t>None</t>
        </is>
      </c>
      <c r="BJ890" s="17" t="n"/>
      <c r="BK890" s="16" t="n"/>
      <c r="BL890" s="20" t="inlineStr">
        <is>
          <t>IC Kationen</t>
        </is>
      </c>
      <c r="BM890" s="20" t="inlineStr">
        <is>
          <t>None</t>
        </is>
      </c>
      <c r="BN890" s="17" t="n"/>
      <c r="BO890" s="16" t="n"/>
      <c r="BP890" s="20" t="inlineStr">
        <is>
          <t>IC Kationen</t>
        </is>
      </c>
      <c r="BQ890" s="20" t="inlineStr">
        <is>
          <t>None</t>
        </is>
      </c>
      <c r="BR890" s="17" t="n"/>
      <c r="BS890" s="16" t="n"/>
      <c r="BT890" s="20" t="inlineStr">
        <is>
          <t>IC Kationen</t>
        </is>
      </c>
      <c r="BU890" s="20" t="inlineStr">
        <is>
          <t>None</t>
        </is>
      </c>
      <c r="BV890" s="17" t="n"/>
      <c r="BW890" s="16" t="n"/>
      <c r="BX890" s="20" t="n"/>
      <c r="BY890" s="20" t="inlineStr">
        <is>
          <t>None</t>
        </is>
      </c>
      <c r="BZ890" s="17" t="n"/>
      <c r="CA890" s="16" t="n"/>
      <c r="CB890" s="20" t="n"/>
      <c r="CC890" s="20" t="inlineStr">
        <is>
          <t>None</t>
        </is>
      </c>
      <c r="CD890" s="17" t="n"/>
      <c r="CE890" s="16" t="n"/>
      <c r="CF890" s="20" t="n"/>
      <c r="CG890" s="20" t="inlineStr">
        <is>
          <t>None</t>
        </is>
      </c>
      <c r="CH890" s="17" t="n"/>
      <c r="CI890" s="16" t="n"/>
      <c r="CJ890" s="20" t="n"/>
      <c r="CK890" s="20" t="inlineStr">
        <is>
          <t>None</t>
        </is>
      </c>
      <c r="CL890" s="17" t="n"/>
      <c r="CM890" s="16" t="n"/>
      <c r="CN890" s="20" t="inlineStr">
        <is>
          <t>SOP 45-34</t>
        </is>
      </c>
      <c r="CO890" s="20" t="inlineStr">
        <is>
          <t>None</t>
        </is>
      </c>
      <c r="CP890" s="17" t="n"/>
      <c r="CQ890" s="16" t="n"/>
      <c r="CR890" s="20" t="n"/>
      <c r="CS890" s="20" t="inlineStr">
        <is>
          <t>None</t>
        </is>
      </c>
      <c r="CT890" s="17" t="n"/>
      <c r="CU890" s="16" t="n"/>
      <c r="CV890" s="20" t="n"/>
      <c r="CW890" s="20" t="inlineStr">
        <is>
          <t>None</t>
        </is>
      </c>
      <c r="CX890" s="17" t="n"/>
      <c r="CY890" s="16" t="n"/>
      <c r="CZ890" s="20" t="inlineStr">
        <is>
          <t>WTW Multimeter 3430 with FDO 925</t>
        </is>
      </c>
      <c r="DA890" s="20" t="inlineStr">
        <is>
          <t>None</t>
        </is>
      </c>
      <c r="DB890" s="17" t="n"/>
      <c r="DC890" s="16" t="n"/>
      <c r="DD890" s="20" t="n"/>
      <c r="DE890" s="20" t="inlineStr">
        <is>
          <t>None</t>
        </is>
      </c>
      <c r="DF890" s="17" t="n"/>
      <c r="DG890" s="16" t="n"/>
      <c r="DH890" s="20" t="inlineStr">
        <is>
          <t>SOP 45-09</t>
        </is>
      </c>
      <c r="DI890" s="20" t="inlineStr">
        <is>
          <t>None</t>
        </is>
      </c>
      <c r="DJ890" s="17" t="n"/>
      <c r="DK890" s="16" t="n"/>
      <c r="DL890" s="20" t="inlineStr">
        <is>
          <t>SOP 45-09 (SOP muss noch angepasst werden für VSS)</t>
        </is>
      </c>
      <c r="DM890" s="20" t="inlineStr">
        <is>
          <t>None</t>
        </is>
      </c>
      <c r="DN890" s="17" t="n"/>
      <c r="DO890" s="16" t="n"/>
      <c r="DP890" s="20" t="inlineStr">
        <is>
          <t>IC Organic Acids</t>
        </is>
      </c>
      <c r="DQ890" s="20" t="inlineStr">
        <is>
          <t>None</t>
        </is>
      </c>
      <c r="DR890" s="17" t="n"/>
      <c r="DS890" s="16" t="n"/>
      <c r="DT890" s="20" t="inlineStr">
        <is>
          <t>IC Organic Acids</t>
        </is>
      </c>
      <c r="DU890" s="20" t="inlineStr">
        <is>
          <t>None</t>
        </is>
      </c>
      <c r="DV890" s="17" t="n"/>
      <c r="DW890" s="16" t="n"/>
      <c r="DX890" s="20" t="inlineStr">
        <is>
          <t>IC Organic Acids</t>
        </is>
      </c>
      <c r="DY890" s="20" t="inlineStr">
        <is>
          <t>None</t>
        </is>
      </c>
      <c r="DZ890" s="17" t="n"/>
      <c r="EA890" s="16" t="n"/>
      <c r="EB890" s="20" t="inlineStr">
        <is>
          <t>IC Organic Acids</t>
        </is>
      </c>
      <c r="EC890" s="20" t="inlineStr">
        <is>
          <t>None</t>
        </is>
      </c>
      <c r="ED890" s="17" t="n"/>
      <c r="EE890" s="16" t="n"/>
      <c r="EF890" s="20" t="inlineStr">
        <is>
          <t>IC Organic Acids</t>
        </is>
      </c>
      <c r="EG890" s="20" t="inlineStr">
        <is>
          <t>None</t>
        </is>
      </c>
      <c r="EH890" s="17" t="n"/>
      <c r="EI890" s="16" t="n"/>
      <c r="EJ890" s="20" t="inlineStr">
        <is>
          <t>IC Organic Acids</t>
        </is>
      </c>
      <c r="EK890" s="20" t="inlineStr">
        <is>
          <t>None</t>
        </is>
      </c>
      <c r="EL890" s="17" t="n"/>
      <c r="EM890" s="16" t="n"/>
      <c r="EN890" s="20" t="inlineStr">
        <is>
          <t>IC Organic Acids</t>
        </is>
      </c>
      <c r="EO890" s="20" t="inlineStr">
        <is>
          <t>None</t>
        </is>
      </c>
      <c r="EP890" s="17" t="n"/>
      <c r="EQ890" s="16" t="n"/>
      <c r="ER890" s="20" t="inlineStr">
        <is>
          <t>IC Organic Acids</t>
        </is>
      </c>
      <c r="ES890" s="20" t="inlineStr">
        <is>
          <t>None</t>
        </is>
      </c>
      <c r="ET890" s="17" t="n"/>
      <c r="EU890" s="16" t="n"/>
      <c r="EV890" s="20" t="inlineStr">
        <is>
          <t>LC-MS</t>
        </is>
      </c>
      <c r="EW890" s="20" t="inlineStr">
        <is>
          <t>None</t>
        </is>
      </c>
      <c r="EX890" s="17" t="n"/>
      <c r="EY890" s="21" t="n"/>
      <c r="EZ890">
        <f>CONCATENATE(A890,B890)</f>
        <v/>
      </c>
      <c r="FA890">
        <f>CONCATENATE(SamplesX!A890,SamplesX!B890)</f>
        <v/>
      </c>
      <c r="FC890">
        <f>MATCH(EZ890,FA1:FA1008,0)</f>
        <v/>
      </c>
    </row>
    <row r="891">
      <c r="A891" s="16" t="n"/>
      <c r="B891" s="17" t="n"/>
      <c r="C891" s="10">
        <f>IF(ISNUMBER(FC891),INDIRECT("SamplesX!C"&amp;FC891),IF(ISNUMBER(FD891),INDIRECT("SamplesY!C"&amp;FD891),""))</f>
        <v/>
      </c>
      <c r="D891" s="12">
        <f>IF(ISNUMBER(FC891),INDIRECT("SamplesX!D"&amp;FC891),IF(ISNUMBER(FD891),INDIRECT("SamplesY!D"&amp;FD891),""))</f>
        <v/>
      </c>
      <c r="E891" s="12">
        <f>IF(ISNUMBER(FC891),INDIRECT("SamplesX!E"&amp;FC891),IF(ISNUMBER(FD891),INDIRECT("SamplesY!E"&amp;FD891),""))</f>
        <v/>
      </c>
      <c r="F891" s="11">
        <f>IF(ISNUMBER(FC891),INDIRECT("SamplesX!F"&amp;FC891),IF(ISNUMBER(FD891),INDIRECT("SamplesY!F"&amp;FD891),""))</f>
        <v/>
      </c>
      <c r="G891" s="18">
        <f>IF(ISNUMBER(FC891),INDIRECT("SamplesX!G"&amp;FC891),IF(ISNUMBER(FD891),INDIRECT("SamplesY!G"&amp;FD891),""))</f>
        <v/>
      </c>
      <c r="H891" s="19">
        <f>IF(ISNUMBER(FC891),INDIRECT("SamplesX!H"&amp;FC891),IF(ISNUMBER(FD891),INDIRECT("SamplesY!H"&amp;FD891),""))</f>
        <v/>
      </c>
      <c r="I891" s="16" t="n"/>
      <c r="J891" s="16" t="n"/>
      <c r="K891" s="16" t="n"/>
      <c r="L891" s="20" t="n"/>
      <c r="M891" s="20" t="inlineStr">
        <is>
          <t>None</t>
        </is>
      </c>
      <c r="N891" s="17" t="n"/>
      <c r="O891" s="16" t="n"/>
      <c r="P891" s="20" t="inlineStr">
        <is>
          <t>Shimadzu TOC-L</t>
        </is>
      </c>
      <c r="Q891" s="20" t="inlineStr">
        <is>
          <t>None</t>
        </is>
      </c>
      <c r="R891" s="17" t="n"/>
      <c r="S891" s="16" t="n"/>
      <c r="T891" s="20" t="inlineStr">
        <is>
          <t>Shimadzu TOC-L</t>
        </is>
      </c>
      <c r="U891" s="20" t="inlineStr">
        <is>
          <t>None</t>
        </is>
      </c>
      <c r="V891" s="17" t="n"/>
      <c r="W891" s="16" t="n"/>
      <c r="X891" s="20" t="n"/>
      <c r="Y891" s="20" t="inlineStr">
        <is>
          <t>None</t>
        </is>
      </c>
      <c r="Z891" s="17" t="n"/>
      <c r="AA891" s="16" t="n"/>
      <c r="AB891" s="20" t="n"/>
      <c r="AC891" s="20" t="inlineStr">
        <is>
          <t>None</t>
        </is>
      </c>
      <c r="AD891" s="17" t="n"/>
      <c r="AE891" s="16" t="n"/>
      <c r="AF891" s="20" t="inlineStr">
        <is>
          <t>IC Anionen</t>
        </is>
      </c>
      <c r="AG891" s="20" t="inlineStr">
        <is>
          <t>None</t>
        </is>
      </c>
      <c r="AH891" s="17" t="n"/>
      <c r="AI891" s="16" t="n"/>
      <c r="AJ891" s="20" t="n"/>
      <c r="AK891" s="20" t="inlineStr">
        <is>
          <t>None</t>
        </is>
      </c>
      <c r="AL891" s="17" t="n"/>
      <c r="AM891" s="16" t="n"/>
      <c r="AN891" s="20" t="inlineStr">
        <is>
          <t>IC Anionen</t>
        </is>
      </c>
      <c r="AO891" s="20" t="inlineStr">
        <is>
          <t>None</t>
        </is>
      </c>
      <c r="AP891" s="17" t="n"/>
      <c r="AQ891" s="16" t="n"/>
      <c r="AR891" s="20" t="n"/>
      <c r="AS891" s="20" t="inlineStr">
        <is>
          <t>None</t>
        </is>
      </c>
      <c r="AT891" s="17" t="n"/>
      <c r="AU891" s="16" t="n"/>
      <c r="AV891" s="20" t="n"/>
      <c r="AW891" s="20" t="inlineStr">
        <is>
          <t>None</t>
        </is>
      </c>
      <c r="AX891" s="17" t="n"/>
      <c r="AY891" s="16" t="n"/>
      <c r="AZ891" s="20" t="inlineStr">
        <is>
          <t>IC Anionen</t>
        </is>
      </c>
      <c r="BA891" s="20" t="inlineStr">
        <is>
          <t>None</t>
        </is>
      </c>
      <c r="BB891" s="17" t="n"/>
      <c r="BC891" s="16" t="n"/>
      <c r="BD891" s="20" t="inlineStr">
        <is>
          <t>IC Kationen</t>
        </is>
      </c>
      <c r="BE891" s="20" t="inlineStr">
        <is>
          <t>None</t>
        </is>
      </c>
      <c r="BF891" s="17" t="n"/>
      <c r="BG891" s="16" t="n"/>
      <c r="BH891" s="20" t="inlineStr">
        <is>
          <t>IC Kationen</t>
        </is>
      </c>
      <c r="BI891" s="20" t="inlineStr">
        <is>
          <t>None</t>
        </is>
      </c>
      <c r="BJ891" s="17" t="n"/>
      <c r="BK891" s="16" t="n"/>
      <c r="BL891" s="20" t="inlineStr">
        <is>
          <t>IC Kationen</t>
        </is>
      </c>
      <c r="BM891" s="20" t="inlineStr">
        <is>
          <t>None</t>
        </is>
      </c>
      <c r="BN891" s="17" t="n"/>
      <c r="BO891" s="16" t="n"/>
      <c r="BP891" s="20" t="inlineStr">
        <is>
          <t>IC Kationen</t>
        </is>
      </c>
      <c r="BQ891" s="20" t="inlineStr">
        <is>
          <t>None</t>
        </is>
      </c>
      <c r="BR891" s="17" t="n"/>
      <c r="BS891" s="16" t="n"/>
      <c r="BT891" s="20" t="inlineStr">
        <is>
          <t>IC Kationen</t>
        </is>
      </c>
      <c r="BU891" s="20" t="inlineStr">
        <is>
          <t>None</t>
        </is>
      </c>
      <c r="BV891" s="17" t="n"/>
      <c r="BW891" s="16" t="n"/>
      <c r="BX891" s="20" t="n"/>
      <c r="BY891" s="20" t="inlineStr">
        <is>
          <t>None</t>
        </is>
      </c>
      <c r="BZ891" s="17" t="n"/>
      <c r="CA891" s="16" t="n"/>
      <c r="CB891" s="20" t="n"/>
      <c r="CC891" s="20" t="inlineStr">
        <is>
          <t>None</t>
        </is>
      </c>
      <c r="CD891" s="17" t="n"/>
      <c r="CE891" s="16" t="n"/>
      <c r="CF891" s="20" t="n"/>
      <c r="CG891" s="20" t="inlineStr">
        <is>
          <t>None</t>
        </is>
      </c>
      <c r="CH891" s="17" t="n"/>
      <c r="CI891" s="16" t="n"/>
      <c r="CJ891" s="20" t="n"/>
      <c r="CK891" s="20" t="inlineStr">
        <is>
          <t>None</t>
        </is>
      </c>
      <c r="CL891" s="17" t="n"/>
      <c r="CM891" s="16" t="n"/>
      <c r="CN891" s="20" t="inlineStr">
        <is>
          <t>SOP 45-34</t>
        </is>
      </c>
      <c r="CO891" s="20" t="inlineStr">
        <is>
          <t>None</t>
        </is>
      </c>
      <c r="CP891" s="17" t="n"/>
      <c r="CQ891" s="16" t="n"/>
      <c r="CR891" s="20" t="n"/>
      <c r="CS891" s="20" t="inlineStr">
        <is>
          <t>None</t>
        </is>
      </c>
      <c r="CT891" s="17" t="n"/>
      <c r="CU891" s="16" t="n"/>
      <c r="CV891" s="20" t="n"/>
      <c r="CW891" s="20" t="inlineStr">
        <is>
          <t>None</t>
        </is>
      </c>
      <c r="CX891" s="17" t="n"/>
      <c r="CY891" s="16" t="n"/>
      <c r="CZ891" s="20" t="inlineStr">
        <is>
          <t>WTW Multimeter 3430 with FDO 925</t>
        </is>
      </c>
      <c r="DA891" s="20" t="inlineStr">
        <is>
          <t>None</t>
        </is>
      </c>
      <c r="DB891" s="17" t="n"/>
      <c r="DC891" s="16" t="n"/>
      <c r="DD891" s="20" t="n"/>
      <c r="DE891" s="20" t="inlineStr">
        <is>
          <t>None</t>
        </is>
      </c>
      <c r="DF891" s="17" t="n"/>
      <c r="DG891" s="16" t="n"/>
      <c r="DH891" s="20" t="inlineStr">
        <is>
          <t>SOP 45-09</t>
        </is>
      </c>
      <c r="DI891" s="20" t="inlineStr">
        <is>
          <t>None</t>
        </is>
      </c>
      <c r="DJ891" s="17" t="n"/>
      <c r="DK891" s="16" t="n"/>
      <c r="DL891" s="20" t="inlineStr">
        <is>
          <t>SOP 45-09 (SOP muss noch angepasst werden für VSS)</t>
        </is>
      </c>
      <c r="DM891" s="20" t="inlineStr">
        <is>
          <t>None</t>
        </is>
      </c>
      <c r="DN891" s="17" t="n"/>
      <c r="DO891" s="16" t="n"/>
      <c r="DP891" s="20" t="inlineStr">
        <is>
          <t>IC Organic Acids</t>
        </is>
      </c>
      <c r="DQ891" s="20" t="inlineStr">
        <is>
          <t>None</t>
        </is>
      </c>
      <c r="DR891" s="17" t="n"/>
      <c r="DS891" s="16" t="n"/>
      <c r="DT891" s="20" t="inlineStr">
        <is>
          <t>IC Organic Acids</t>
        </is>
      </c>
      <c r="DU891" s="20" t="inlineStr">
        <is>
          <t>None</t>
        </is>
      </c>
      <c r="DV891" s="17" t="n"/>
      <c r="DW891" s="16" t="n"/>
      <c r="DX891" s="20" t="inlineStr">
        <is>
          <t>IC Organic Acids</t>
        </is>
      </c>
      <c r="DY891" s="20" t="inlineStr">
        <is>
          <t>None</t>
        </is>
      </c>
      <c r="DZ891" s="17" t="n"/>
      <c r="EA891" s="16" t="n"/>
      <c r="EB891" s="20" t="inlineStr">
        <is>
          <t>IC Organic Acids</t>
        </is>
      </c>
      <c r="EC891" s="20" t="inlineStr">
        <is>
          <t>None</t>
        </is>
      </c>
      <c r="ED891" s="17" t="n"/>
      <c r="EE891" s="16" t="n"/>
      <c r="EF891" s="20" t="inlineStr">
        <is>
          <t>IC Organic Acids</t>
        </is>
      </c>
      <c r="EG891" s="20" t="inlineStr">
        <is>
          <t>None</t>
        </is>
      </c>
      <c r="EH891" s="17" t="n"/>
      <c r="EI891" s="16" t="n"/>
      <c r="EJ891" s="20" t="inlineStr">
        <is>
          <t>IC Organic Acids</t>
        </is>
      </c>
      <c r="EK891" s="20" t="inlineStr">
        <is>
          <t>None</t>
        </is>
      </c>
      <c r="EL891" s="17" t="n"/>
      <c r="EM891" s="16" t="n"/>
      <c r="EN891" s="20" t="inlineStr">
        <is>
          <t>IC Organic Acids</t>
        </is>
      </c>
      <c r="EO891" s="20" t="inlineStr">
        <is>
          <t>None</t>
        </is>
      </c>
      <c r="EP891" s="17" t="n"/>
      <c r="EQ891" s="16" t="n"/>
      <c r="ER891" s="20" t="inlineStr">
        <is>
          <t>IC Organic Acids</t>
        </is>
      </c>
      <c r="ES891" s="20" t="inlineStr">
        <is>
          <t>None</t>
        </is>
      </c>
      <c r="ET891" s="17" t="n"/>
      <c r="EU891" s="16" t="n"/>
      <c r="EV891" s="20" t="inlineStr">
        <is>
          <t>LC-MS</t>
        </is>
      </c>
      <c r="EW891" s="20" t="inlineStr">
        <is>
          <t>None</t>
        </is>
      </c>
      <c r="EX891" s="17" t="n"/>
      <c r="EY891" s="21" t="n"/>
      <c r="EZ891">
        <f>CONCATENATE(A891,B891)</f>
        <v/>
      </c>
      <c r="FA891">
        <f>CONCATENATE(SamplesX!A891,SamplesX!B891)</f>
        <v/>
      </c>
      <c r="FC891">
        <f>MATCH(EZ891,FA1:FA1008,0)</f>
        <v/>
      </c>
    </row>
    <row r="892">
      <c r="A892" s="16" t="n"/>
      <c r="B892" s="17" t="n"/>
      <c r="C892" s="10">
        <f>IF(ISNUMBER(FC892),INDIRECT("SamplesX!C"&amp;FC892),IF(ISNUMBER(FD892),INDIRECT("SamplesY!C"&amp;FD892),""))</f>
        <v/>
      </c>
      <c r="D892" s="12">
        <f>IF(ISNUMBER(FC892),INDIRECT("SamplesX!D"&amp;FC892),IF(ISNUMBER(FD892),INDIRECT("SamplesY!D"&amp;FD892),""))</f>
        <v/>
      </c>
      <c r="E892" s="12">
        <f>IF(ISNUMBER(FC892),INDIRECT("SamplesX!E"&amp;FC892),IF(ISNUMBER(FD892),INDIRECT("SamplesY!E"&amp;FD892),""))</f>
        <v/>
      </c>
      <c r="F892" s="11">
        <f>IF(ISNUMBER(FC892),INDIRECT("SamplesX!F"&amp;FC892),IF(ISNUMBER(FD892),INDIRECT("SamplesY!F"&amp;FD892),""))</f>
        <v/>
      </c>
      <c r="G892" s="18">
        <f>IF(ISNUMBER(FC892),INDIRECT("SamplesX!G"&amp;FC892),IF(ISNUMBER(FD892),INDIRECT("SamplesY!G"&amp;FD892),""))</f>
        <v/>
      </c>
      <c r="H892" s="19">
        <f>IF(ISNUMBER(FC892),INDIRECT("SamplesX!H"&amp;FC892),IF(ISNUMBER(FD892),INDIRECT("SamplesY!H"&amp;FD892),""))</f>
        <v/>
      </c>
      <c r="I892" s="16" t="n"/>
      <c r="J892" s="16" t="n"/>
      <c r="K892" s="16" t="n"/>
      <c r="L892" s="20" t="n"/>
      <c r="M892" s="20" t="inlineStr">
        <is>
          <t>None</t>
        </is>
      </c>
      <c r="N892" s="17" t="n"/>
      <c r="O892" s="16" t="n"/>
      <c r="P892" s="20" t="inlineStr">
        <is>
          <t>Shimadzu TOC-L</t>
        </is>
      </c>
      <c r="Q892" s="20" t="inlineStr">
        <is>
          <t>None</t>
        </is>
      </c>
      <c r="R892" s="17" t="n"/>
      <c r="S892" s="16" t="n"/>
      <c r="T892" s="20" t="inlineStr">
        <is>
          <t>Shimadzu TOC-L</t>
        </is>
      </c>
      <c r="U892" s="20" t="inlineStr">
        <is>
          <t>None</t>
        </is>
      </c>
      <c r="V892" s="17" t="n"/>
      <c r="W892" s="16" t="n"/>
      <c r="X892" s="20" t="n"/>
      <c r="Y892" s="20" t="inlineStr">
        <is>
          <t>None</t>
        </is>
      </c>
      <c r="Z892" s="17" t="n"/>
      <c r="AA892" s="16" t="n"/>
      <c r="AB892" s="20" t="n"/>
      <c r="AC892" s="20" t="inlineStr">
        <is>
          <t>None</t>
        </is>
      </c>
      <c r="AD892" s="17" t="n"/>
      <c r="AE892" s="16" t="n"/>
      <c r="AF892" s="20" t="inlineStr">
        <is>
          <t>IC Anionen</t>
        </is>
      </c>
      <c r="AG892" s="20" t="inlineStr">
        <is>
          <t>None</t>
        </is>
      </c>
      <c r="AH892" s="17" t="n"/>
      <c r="AI892" s="16" t="n"/>
      <c r="AJ892" s="20" t="n"/>
      <c r="AK892" s="20" t="inlineStr">
        <is>
          <t>None</t>
        </is>
      </c>
      <c r="AL892" s="17" t="n"/>
      <c r="AM892" s="16" t="n"/>
      <c r="AN892" s="20" t="inlineStr">
        <is>
          <t>IC Anionen</t>
        </is>
      </c>
      <c r="AO892" s="20" t="inlineStr">
        <is>
          <t>None</t>
        </is>
      </c>
      <c r="AP892" s="17" t="n"/>
      <c r="AQ892" s="16" t="n"/>
      <c r="AR892" s="20" t="n"/>
      <c r="AS892" s="20" t="inlineStr">
        <is>
          <t>None</t>
        </is>
      </c>
      <c r="AT892" s="17" t="n"/>
      <c r="AU892" s="16" t="n"/>
      <c r="AV892" s="20" t="n"/>
      <c r="AW892" s="20" t="inlineStr">
        <is>
          <t>None</t>
        </is>
      </c>
      <c r="AX892" s="17" t="n"/>
      <c r="AY892" s="16" t="n"/>
      <c r="AZ892" s="20" t="inlineStr">
        <is>
          <t>IC Anionen</t>
        </is>
      </c>
      <c r="BA892" s="20" t="inlineStr">
        <is>
          <t>None</t>
        </is>
      </c>
      <c r="BB892" s="17" t="n"/>
      <c r="BC892" s="16" t="n"/>
      <c r="BD892" s="20" t="inlineStr">
        <is>
          <t>IC Kationen</t>
        </is>
      </c>
      <c r="BE892" s="20" t="inlineStr">
        <is>
          <t>None</t>
        </is>
      </c>
      <c r="BF892" s="17" t="n"/>
      <c r="BG892" s="16" t="n"/>
      <c r="BH892" s="20" t="inlineStr">
        <is>
          <t>IC Kationen</t>
        </is>
      </c>
      <c r="BI892" s="20" t="inlineStr">
        <is>
          <t>None</t>
        </is>
      </c>
      <c r="BJ892" s="17" t="n"/>
      <c r="BK892" s="16" t="n"/>
      <c r="BL892" s="20" t="inlineStr">
        <is>
          <t>IC Kationen</t>
        </is>
      </c>
      <c r="BM892" s="20" t="inlineStr">
        <is>
          <t>None</t>
        </is>
      </c>
      <c r="BN892" s="17" t="n"/>
      <c r="BO892" s="16" t="n"/>
      <c r="BP892" s="20" t="inlineStr">
        <is>
          <t>IC Kationen</t>
        </is>
      </c>
      <c r="BQ892" s="20" t="inlineStr">
        <is>
          <t>None</t>
        </is>
      </c>
      <c r="BR892" s="17" t="n"/>
      <c r="BS892" s="16" t="n"/>
      <c r="BT892" s="20" t="inlineStr">
        <is>
          <t>IC Kationen</t>
        </is>
      </c>
      <c r="BU892" s="20" t="inlineStr">
        <is>
          <t>None</t>
        </is>
      </c>
      <c r="BV892" s="17" t="n"/>
      <c r="BW892" s="16" t="n"/>
      <c r="BX892" s="20" t="n"/>
      <c r="BY892" s="20" t="inlineStr">
        <is>
          <t>None</t>
        </is>
      </c>
      <c r="BZ892" s="17" t="n"/>
      <c r="CA892" s="16" t="n"/>
      <c r="CB892" s="20" t="n"/>
      <c r="CC892" s="20" t="inlineStr">
        <is>
          <t>None</t>
        </is>
      </c>
      <c r="CD892" s="17" t="n"/>
      <c r="CE892" s="16" t="n"/>
      <c r="CF892" s="20" t="n"/>
      <c r="CG892" s="20" t="inlineStr">
        <is>
          <t>None</t>
        </is>
      </c>
      <c r="CH892" s="17" t="n"/>
      <c r="CI892" s="16" t="n"/>
      <c r="CJ892" s="20" t="n"/>
      <c r="CK892" s="20" t="inlineStr">
        <is>
          <t>None</t>
        </is>
      </c>
      <c r="CL892" s="17" t="n"/>
      <c r="CM892" s="16" t="n"/>
      <c r="CN892" s="20" t="inlineStr">
        <is>
          <t>SOP 45-34</t>
        </is>
      </c>
      <c r="CO892" s="20" t="inlineStr">
        <is>
          <t>None</t>
        </is>
      </c>
      <c r="CP892" s="17" t="n"/>
      <c r="CQ892" s="16" t="n"/>
      <c r="CR892" s="20" t="n"/>
      <c r="CS892" s="20" t="inlineStr">
        <is>
          <t>None</t>
        </is>
      </c>
      <c r="CT892" s="17" t="n"/>
      <c r="CU892" s="16" t="n"/>
      <c r="CV892" s="20" t="n"/>
      <c r="CW892" s="20" t="inlineStr">
        <is>
          <t>None</t>
        </is>
      </c>
      <c r="CX892" s="17" t="n"/>
      <c r="CY892" s="16" t="n"/>
      <c r="CZ892" s="20" t="inlineStr">
        <is>
          <t>WTW Multimeter 3430 with FDO 925</t>
        </is>
      </c>
      <c r="DA892" s="20" t="inlineStr">
        <is>
          <t>None</t>
        </is>
      </c>
      <c r="DB892" s="17" t="n"/>
      <c r="DC892" s="16" t="n"/>
      <c r="DD892" s="20" t="n"/>
      <c r="DE892" s="20" t="inlineStr">
        <is>
          <t>None</t>
        </is>
      </c>
      <c r="DF892" s="17" t="n"/>
      <c r="DG892" s="16" t="n"/>
      <c r="DH892" s="20" t="inlineStr">
        <is>
          <t>SOP 45-09</t>
        </is>
      </c>
      <c r="DI892" s="20" t="inlineStr">
        <is>
          <t>None</t>
        </is>
      </c>
      <c r="DJ892" s="17" t="n"/>
      <c r="DK892" s="16" t="n"/>
      <c r="DL892" s="20" t="inlineStr">
        <is>
          <t>SOP 45-09 (SOP muss noch angepasst werden für VSS)</t>
        </is>
      </c>
      <c r="DM892" s="20" t="inlineStr">
        <is>
          <t>None</t>
        </is>
      </c>
      <c r="DN892" s="17" t="n"/>
      <c r="DO892" s="16" t="n"/>
      <c r="DP892" s="20" t="inlineStr">
        <is>
          <t>IC Organic Acids</t>
        </is>
      </c>
      <c r="DQ892" s="20" t="inlineStr">
        <is>
          <t>None</t>
        </is>
      </c>
      <c r="DR892" s="17" t="n"/>
      <c r="DS892" s="16" t="n"/>
      <c r="DT892" s="20" t="inlineStr">
        <is>
          <t>IC Organic Acids</t>
        </is>
      </c>
      <c r="DU892" s="20" t="inlineStr">
        <is>
          <t>None</t>
        </is>
      </c>
      <c r="DV892" s="17" t="n"/>
      <c r="DW892" s="16" t="n"/>
      <c r="DX892" s="20" t="inlineStr">
        <is>
          <t>IC Organic Acids</t>
        </is>
      </c>
      <c r="DY892" s="20" t="inlineStr">
        <is>
          <t>None</t>
        </is>
      </c>
      <c r="DZ892" s="17" t="n"/>
      <c r="EA892" s="16" t="n"/>
      <c r="EB892" s="20" t="inlineStr">
        <is>
          <t>IC Organic Acids</t>
        </is>
      </c>
      <c r="EC892" s="20" t="inlineStr">
        <is>
          <t>None</t>
        </is>
      </c>
      <c r="ED892" s="17" t="n"/>
      <c r="EE892" s="16" t="n"/>
      <c r="EF892" s="20" t="inlineStr">
        <is>
          <t>IC Organic Acids</t>
        </is>
      </c>
      <c r="EG892" s="20" t="inlineStr">
        <is>
          <t>None</t>
        </is>
      </c>
      <c r="EH892" s="17" t="n"/>
      <c r="EI892" s="16" t="n"/>
      <c r="EJ892" s="20" t="inlineStr">
        <is>
          <t>IC Organic Acids</t>
        </is>
      </c>
      <c r="EK892" s="20" t="inlineStr">
        <is>
          <t>None</t>
        </is>
      </c>
      <c r="EL892" s="17" t="n"/>
      <c r="EM892" s="16" t="n"/>
      <c r="EN892" s="20" t="inlineStr">
        <is>
          <t>IC Organic Acids</t>
        </is>
      </c>
      <c r="EO892" s="20" t="inlineStr">
        <is>
          <t>None</t>
        </is>
      </c>
      <c r="EP892" s="17" t="n"/>
      <c r="EQ892" s="16" t="n"/>
      <c r="ER892" s="20" t="inlineStr">
        <is>
          <t>IC Organic Acids</t>
        </is>
      </c>
      <c r="ES892" s="20" t="inlineStr">
        <is>
          <t>None</t>
        </is>
      </c>
      <c r="ET892" s="17" t="n"/>
      <c r="EU892" s="16" t="n"/>
      <c r="EV892" s="20" t="inlineStr">
        <is>
          <t>LC-MS</t>
        </is>
      </c>
      <c r="EW892" s="20" t="inlineStr">
        <is>
          <t>None</t>
        </is>
      </c>
      <c r="EX892" s="17" t="n"/>
      <c r="EY892" s="21" t="n"/>
      <c r="EZ892">
        <f>CONCATENATE(A892,B892)</f>
        <v/>
      </c>
      <c r="FA892">
        <f>CONCATENATE(SamplesX!A892,SamplesX!B892)</f>
        <v/>
      </c>
      <c r="FC892">
        <f>MATCH(EZ892,FA1:FA1008,0)</f>
        <v/>
      </c>
    </row>
    <row r="893">
      <c r="A893" s="16" t="n"/>
      <c r="B893" s="17" t="n"/>
      <c r="C893" s="10">
        <f>IF(ISNUMBER(FC893),INDIRECT("SamplesX!C"&amp;FC893),IF(ISNUMBER(FD893),INDIRECT("SamplesY!C"&amp;FD893),""))</f>
        <v/>
      </c>
      <c r="D893" s="12">
        <f>IF(ISNUMBER(FC893),INDIRECT("SamplesX!D"&amp;FC893),IF(ISNUMBER(FD893),INDIRECT("SamplesY!D"&amp;FD893),""))</f>
        <v/>
      </c>
      <c r="E893" s="12">
        <f>IF(ISNUMBER(FC893),INDIRECT("SamplesX!E"&amp;FC893),IF(ISNUMBER(FD893),INDIRECT("SamplesY!E"&amp;FD893),""))</f>
        <v/>
      </c>
      <c r="F893" s="11">
        <f>IF(ISNUMBER(FC893),INDIRECT("SamplesX!F"&amp;FC893),IF(ISNUMBER(FD893),INDIRECT("SamplesY!F"&amp;FD893),""))</f>
        <v/>
      </c>
      <c r="G893" s="18">
        <f>IF(ISNUMBER(FC893),INDIRECT("SamplesX!G"&amp;FC893),IF(ISNUMBER(FD893),INDIRECT("SamplesY!G"&amp;FD893),""))</f>
        <v/>
      </c>
      <c r="H893" s="19">
        <f>IF(ISNUMBER(FC893),INDIRECT("SamplesX!H"&amp;FC893),IF(ISNUMBER(FD893),INDIRECT("SamplesY!H"&amp;FD893),""))</f>
        <v/>
      </c>
      <c r="I893" s="16" t="n"/>
      <c r="J893" s="16" t="n"/>
      <c r="K893" s="16" t="n"/>
      <c r="L893" s="20" t="n"/>
      <c r="M893" s="20" t="inlineStr">
        <is>
          <t>None</t>
        </is>
      </c>
      <c r="N893" s="17" t="n"/>
      <c r="O893" s="16" t="n"/>
      <c r="P893" s="20" t="inlineStr">
        <is>
          <t>Shimadzu TOC-L</t>
        </is>
      </c>
      <c r="Q893" s="20" t="inlineStr">
        <is>
          <t>None</t>
        </is>
      </c>
      <c r="R893" s="17" t="n"/>
      <c r="S893" s="16" t="n"/>
      <c r="T893" s="20" t="inlineStr">
        <is>
          <t>Shimadzu TOC-L</t>
        </is>
      </c>
      <c r="U893" s="20" t="inlineStr">
        <is>
          <t>None</t>
        </is>
      </c>
      <c r="V893" s="17" t="n"/>
      <c r="W893" s="16" t="n"/>
      <c r="X893" s="20" t="n"/>
      <c r="Y893" s="20" t="inlineStr">
        <is>
          <t>None</t>
        </is>
      </c>
      <c r="Z893" s="17" t="n"/>
      <c r="AA893" s="16" t="n"/>
      <c r="AB893" s="20" t="n"/>
      <c r="AC893" s="20" t="inlineStr">
        <is>
          <t>None</t>
        </is>
      </c>
      <c r="AD893" s="17" t="n"/>
      <c r="AE893" s="16" t="n"/>
      <c r="AF893" s="20" t="inlineStr">
        <is>
          <t>IC Anionen</t>
        </is>
      </c>
      <c r="AG893" s="20" t="inlineStr">
        <is>
          <t>None</t>
        </is>
      </c>
      <c r="AH893" s="17" t="n"/>
      <c r="AI893" s="16" t="n"/>
      <c r="AJ893" s="20" t="n"/>
      <c r="AK893" s="20" t="inlineStr">
        <is>
          <t>None</t>
        </is>
      </c>
      <c r="AL893" s="17" t="n"/>
      <c r="AM893" s="16" t="n"/>
      <c r="AN893" s="20" t="inlineStr">
        <is>
          <t>IC Anionen</t>
        </is>
      </c>
      <c r="AO893" s="20" t="inlineStr">
        <is>
          <t>None</t>
        </is>
      </c>
      <c r="AP893" s="17" t="n"/>
      <c r="AQ893" s="16" t="n"/>
      <c r="AR893" s="20" t="n"/>
      <c r="AS893" s="20" t="inlineStr">
        <is>
          <t>None</t>
        </is>
      </c>
      <c r="AT893" s="17" t="n"/>
      <c r="AU893" s="16" t="n"/>
      <c r="AV893" s="20" t="n"/>
      <c r="AW893" s="20" t="inlineStr">
        <is>
          <t>None</t>
        </is>
      </c>
      <c r="AX893" s="17" t="n"/>
      <c r="AY893" s="16" t="n"/>
      <c r="AZ893" s="20" t="inlineStr">
        <is>
          <t>IC Anionen</t>
        </is>
      </c>
      <c r="BA893" s="20" t="inlineStr">
        <is>
          <t>None</t>
        </is>
      </c>
      <c r="BB893" s="17" t="n"/>
      <c r="BC893" s="16" t="n"/>
      <c r="BD893" s="20" t="inlineStr">
        <is>
          <t>IC Kationen</t>
        </is>
      </c>
      <c r="BE893" s="20" t="inlineStr">
        <is>
          <t>None</t>
        </is>
      </c>
      <c r="BF893" s="17" t="n"/>
      <c r="BG893" s="16" t="n"/>
      <c r="BH893" s="20" t="inlineStr">
        <is>
          <t>IC Kationen</t>
        </is>
      </c>
      <c r="BI893" s="20" t="inlineStr">
        <is>
          <t>None</t>
        </is>
      </c>
      <c r="BJ893" s="17" t="n"/>
      <c r="BK893" s="16" t="n"/>
      <c r="BL893" s="20" t="inlineStr">
        <is>
          <t>IC Kationen</t>
        </is>
      </c>
      <c r="BM893" s="20" t="inlineStr">
        <is>
          <t>None</t>
        </is>
      </c>
      <c r="BN893" s="17" t="n"/>
      <c r="BO893" s="16" t="n"/>
      <c r="BP893" s="20" t="inlineStr">
        <is>
          <t>IC Kationen</t>
        </is>
      </c>
      <c r="BQ893" s="20" t="inlineStr">
        <is>
          <t>None</t>
        </is>
      </c>
      <c r="BR893" s="17" t="n"/>
      <c r="BS893" s="16" t="n"/>
      <c r="BT893" s="20" t="inlineStr">
        <is>
          <t>IC Kationen</t>
        </is>
      </c>
      <c r="BU893" s="20" t="inlineStr">
        <is>
          <t>None</t>
        </is>
      </c>
      <c r="BV893" s="17" t="n"/>
      <c r="BW893" s="16" t="n"/>
      <c r="BX893" s="20" t="n"/>
      <c r="BY893" s="20" t="inlineStr">
        <is>
          <t>None</t>
        </is>
      </c>
      <c r="BZ893" s="17" t="n"/>
      <c r="CA893" s="16" t="n"/>
      <c r="CB893" s="20" t="n"/>
      <c r="CC893" s="20" t="inlineStr">
        <is>
          <t>None</t>
        </is>
      </c>
      <c r="CD893" s="17" t="n"/>
      <c r="CE893" s="16" t="n"/>
      <c r="CF893" s="20" t="n"/>
      <c r="CG893" s="20" t="inlineStr">
        <is>
          <t>None</t>
        </is>
      </c>
      <c r="CH893" s="17" t="n"/>
      <c r="CI893" s="16" t="n"/>
      <c r="CJ893" s="20" t="n"/>
      <c r="CK893" s="20" t="inlineStr">
        <is>
          <t>None</t>
        </is>
      </c>
      <c r="CL893" s="17" t="n"/>
      <c r="CM893" s="16" t="n"/>
      <c r="CN893" s="20" t="inlineStr">
        <is>
          <t>SOP 45-34</t>
        </is>
      </c>
      <c r="CO893" s="20" t="inlineStr">
        <is>
          <t>None</t>
        </is>
      </c>
      <c r="CP893" s="17" t="n"/>
      <c r="CQ893" s="16" t="n"/>
      <c r="CR893" s="20" t="n"/>
      <c r="CS893" s="20" t="inlineStr">
        <is>
          <t>None</t>
        </is>
      </c>
      <c r="CT893" s="17" t="n"/>
      <c r="CU893" s="16" t="n"/>
      <c r="CV893" s="20" t="n"/>
      <c r="CW893" s="20" t="inlineStr">
        <is>
          <t>None</t>
        </is>
      </c>
      <c r="CX893" s="17" t="n"/>
      <c r="CY893" s="16" t="n"/>
      <c r="CZ893" s="20" t="inlineStr">
        <is>
          <t>WTW Multimeter 3430 with FDO 925</t>
        </is>
      </c>
      <c r="DA893" s="20" t="inlineStr">
        <is>
          <t>None</t>
        </is>
      </c>
      <c r="DB893" s="17" t="n"/>
      <c r="DC893" s="16" t="n"/>
      <c r="DD893" s="20" t="n"/>
      <c r="DE893" s="20" t="inlineStr">
        <is>
          <t>None</t>
        </is>
      </c>
      <c r="DF893" s="17" t="n"/>
      <c r="DG893" s="16" t="n"/>
      <c r="DH893" s="20" t="inlineStr">
        <is>
          <t>SOP 45-09</t>
        </is>
      </c>
      <c r="DI893" s="20" t="inlineStr">
        <is>
          <t>None</t>
        </is>
      </c>
      <c r="DJ893" s="17" t="n"/>
      <c r="DK893" s="16" t="n"/>
      <c r="DL893" s="20" t="inlineStr">
        <is>
          <t>SOP 45-09 (SOP muss noch angepasst werden für VSS)</t>
        </is>
      </c>
      <c r="DM893" s="20" t="inlineStr">
        <is>
          <t>None</t>
        </is>
      </c>
      <c r="DN893" s="17" t="n"/>
      <c r="DO893" s="16" t="n"/>
      <c r="DP893" s="20" t="inlineStr">
        <is>
          <t>IC Organic Acids</t>
        </is>
      </c>
      <c r="DQ893" s="20" t="inlineStr">
        <is>
          <t>None</t>
        </is>
      </c>
      <c r="DR893" s="17" t="n"/>
      <c r="DS893" s="16" t="n"/>
      <c r="DT893" s="20" t="inlineStr">
        <is>
          <t>IC Organic Acids</t>
        </is>
      </c>
      <c r="DU893" s="20" t="inlineStr">
        <is>
          <t>None</t>
        </is>
      </c>
      <c r="DV893" s="17" t="n"/>
      <c r="DW893" s="16" t="n"/>
      <c r="DX893" s="20" t="inlineStr">
        <is>
          <t>IC Organic Acids</t>
        </is>
      </c>
      <c r="DY893" s="20" t="inlineStr">
        <is>
          <t>None</t>
        </is>
      </c>
      <c r="DZ893" s="17" t="n"/>
      <c r="EA893" s="16" t="n"/>
      <c r="EB893" s="20" t="inlineStr">
        <is>
          <t>IC Organic Acids</t>
        </is>
      </c>
      <c r="EC893" s="20" t="inlineStr">
        <is>
          <t>None</t>
        </is>
      </c>
      <c r="ED893" s="17" t="n"/>
      <c r="EE893" s="16" t="n"/>
      <c r="EF893" s="20" t="inlineStr">
        <is>
          <t>IC Organic Acids</t>
        </is>
      </c>
      <c r="EG893" s="20" t="inlineStr">
        <is>
          <t>None</t>
        </is>
      </c>
      <c r="EH893" s="17" t="n"/>
      <c r="EI893" s="16" t="n"/>
      <c r="EJ893" s="20" t="inlineStr">
        <is>
          <t>IC Organic Acids</t>
        </is>
      </c>
      <c r="EK893" s="20" t="inlineStr">
        <is>
          <t>None</t>
        </is>
      </c>
      <c r="EL893" s="17" t="n"/>
      <c r="EM893" s="16" t="n"/>
      <c r="EN893" s="20" t="inlineStr">
        <is>
          <t>IC Organic Acids</t>
        </is>
      </c>
      <c r="EO893" s="20" t="inlineStr">
        <is>
          <t>None</t>
        </is>
      </c>
      <c r="EP893" s="17" t="n"/>
      <c r="EQ893" s="16" t="n"/>
      <c r="ER893" s="20" t="inlineStr">
        <is>
          <t>IC Organic Acids</t>
        </is>
      </c>
      <c r="ES893" s="20" t="inlineStr">
        <is>
          <t>None</t>
        </is>
      </c>
      <c r="ET893" s="17" t="n"/>
      <c r="EU893" s="16" t="n"/>
      <c r="EV893" s="20" t="inlineStr">
        <is>
          <t>LC-MS</t>
        </is>
      </c>
      <c r="EW893" s="20" t="inlineStr">
        <is>
          <t>None</t>
        </is>
      </c>
      <c r="EX893" s="17" t="n"/>
      <c r="EY893" s="21" t="n"/>
      <c r="EZ893">
        <f>CONCATENATE(A893,B893)</f>
        <v/>
      </c>
      <c r="FA893">
        <f>CONCATENATE(SamplesX!A893,SamplesX!B893)</f>
        <v/>
      </c>
      <c r="FC893">
        <f>MATCH(EZ893,FA1:FA1008,0)</f>
        <v/>
      </c>
    </row>
    <row r="894">
      <c r="A894" s="16" t="n"/>
      <c r="B894" s="17" t="n"/>
      <c r="C894" s="10">
        <f>IF(ISNUMBER(FC894),INDIRECT("SamplesX!C"&amp;FC894),IF(ISNUMBER(FD894),INDIRECT("SamplesY!C"&amp;FD894),""))</f>
        <v/>
      </c>
      <c r="D894" s="12">
        <f>IF(ISNUMBER(FC894),INDIRECT("SamplesX!D"&amp;FC894),IF(ISNUMBER(FD894),INDIRECT("SamplesY!D"&amp;FD894),""))</f>
        <v/>
      </c>
      <c r="E894" s="12">
        <f>IF(ISNUMBER(FC894),INDIRECT("SamplesX!E"&amp;FC894),IF(ISNUMBER(FD894),INDIRECT("SamplesY!E"&amp;FD894),""))</f>
        <v/>
      </c>
      <c r="F894" s="11">
        <f>IF(ISNUMBER(FC894),INDIRECT("SamplesX!F"&amp;FC894),IF(ISNUMBER(FD894),INDIRECT("SamplesY!F"&amp;FD894),""))</f>
        <v/>
      </c>
      <c r="G894" s="18">
        <f>IF(ISNUMBER(FC894),INDIRECT("SamplesX!G"&amp;FC894),IF(ISNUMBER(FD894),INDIRECT("SamplesY!G"&amp;FD894),""))</f>
        <v/>
      </c>
      <c r="H894" s="19">
        <f>IF(ISNUMBER(FC894),INDIRECT("SamplesX!H"&amp;FC894),IF(ISNUMBER(FD894),INDIRECT("SamplesY!H"&amp;FD894),""))</f>
        <v/>
      </c>
      <c r="I894" s="16" t="n"/>
      <c r="J894" s="16" t="n"/>
      <c r="K894" s="16" t="n"/>
      <c r="L894" s="20" t="n"/>
      <c r="M894" s="20" t="inlineStr">
        <is>
          <t>None</t>
        </is>
      </c>
      <c r="N894" s="17" t="n"/>
      <c r="O894" s="16" t="n"/>
      <c r="P894" s="20" t="inlineStr">
        <is>
          <t>Shimadzu TOC-L</t>
        </is>
      </c>
      <c r="Q894" s="20" t="inlineStr">
        <is>
          <t>None</t>
        </is>
      </c>
      <c r="R894" s="17" t="n"/>
      <c r="S894" s="16" t="n"/>
      <c r="T894" s="20" t="inlineStr">
        <is>
          <t>Shimadzu TOC-L</t>
        </is>
      </c>
      <c r="U894" s="20" t="inlineStr">
        <is>
          <t>None</t>
        </is>
      </c>
      <c r="V894" s="17" t="n"/>
      <c r="W894" s="16" t="n"/>
      <c r="X894" s="20" t="n"/>
      <c r="Y894" s="20" t="inlineStr">
        <is>
          <t>None</t>
        </is>
      </c>
      <c r="Z894" s="17" t="n"/>
      <c r="AA894" s="16" t="n"/>
      <c r="AB894" s="20" t="n"/>
      <c r="AC894" s="20" t="inlineStr">
        <is>
          <t>None</t>
        </is>
      </c>
      <c r="AD894" s="17" t="n"/>
      <c r="AE894" s="16" t="n"/>
      <c r="AF894" s="20" t="inlineStr">
        <is>
          <t>IC Anionen</t>
        </is>
      </c>
      <c r="AG894" s="20" t="inlineStr">
        <is>
          <t>None</t>
        </is>
      </c>
      <c r="AH894" s="17" t="n"/>
      <c r="AI894" s="16" t="n"/>
      <c r="AJ894" s="20" t="n"/>
      <c r="AK894" s="20" t="inlineStr">
        <is>
          <t>None</t>
        </is>
      </c>
      <c r="AL894" s="17" t="n"/>
      <c r="AM894" s="16" t="n"/>
      <c r="AN894" s="20" t="inlineStr">
        <is>
          <t>IC Anionen</t>
        </is>
      </c>
      <c r="AO894" s="20" t="inlineStr">
        <is>
          <t>None</t>
        </is>
      </c>
      <c r="AP894" s="17" t="n"/>
      <c r="AQ894" s="16" t="n"/>
      <c r="AR894" s="20" t="n"/>
      <c r="AS894" s="20" t="inlineStr">
        <is>
          <t>None</t>
        </is>
      </c>
      <c r="AT894" s="17" t="n"/>
      <c r="AU894" s="16" t="n"/>
      <c r="AV894" s="20" t="n"/>
      <c r="AW894" s="20" t="inlineStr">
        <is>
          <t>None</t>
        </is>
      </c>
      <c r="AX894" s="17" t="n"/>
      <c r="AY894" s="16" t="n"/>
      <c r="AZ894" s="20" t="inlineStr">
        <is>
          <t>IC Anionen</t>
        </is>
      </c>
      <c r="BA894" s="20" t="inlineStr">
        <is>
          <t>None</t>
        </is>
      </c>
      <c r="BB894" s="17" t="n"/>
      <c r="BC894" s="16" t="n"/>
      <c r="BD894" s="20" t="inlineStr">
        <is>
          <t>IC Kationen</t>
        </is>
      </c>
      <c r="BE894" s="20" t="inlineStr">
        <is>
          <t>None</t>
        </is>
      </c>
      <c r="BF894" s="17" t="n"/>
      <c r="BG894" s="16" t="n"/>
      <c r="BH894" s="20" t="inlineStr">
        <is>
          <t>IC Kationen</t>
        </is>
      </c>
      <c r="BI894" s="20" t="inlineStr">
        <is>
          <t>None</t>
        </is>
      </c>
      <c r="BJ894" s="17" t="n"/>
      <c r="BK894" s="16" t="n"/>
      <c r="BL894" s="20" t="inlineStr">
        <is>
          <t>IC Kationen</t>
        </is>
      </c>
      <c r="BM894" s="20" t="inlineStr">
        <is>
          <t>None</t>
        </is>
      </c>
      <c r="BN894" s="17" t="n"/>
      <c r="BO894" s="16" t="n"/>
      <c r="BP894" s="20" t="inlineStr">
        <is>
          <t>IC Kationen</t>
        </is>
      </c>
      <c r="BQ894" s="20" t="inlineStr">
        <is>
          <t>None</t>
        </is>
      </c>
      <c r="BR894" s="17" t="n"/>
      <c r="BS894" s="16" t="n"/>
      <c r="BT894" s="20" t="inlineStr">
        <is>
          <t>IC Kationen</t>
        </is>
      </c>
      <c r="BU894" s="20" t="inlineStr">
        <is>
          <t>None</t>
        </is>
      </c>
      <c r="BV894" s="17" t="n"/>
      <c r="BW894" s="16" t="n"/>
      <c r="BX894" s="20" t="n"/>
      <c r="BY894" s="20" t="inlineStr">
        <is>
          <t>None</t>
        </is>
      </c>
      <c r="BZ894" s="17" t="n"/>
      <c r="CA894" s="16" t="n"/>
      <c r="CB894" s="20" t="n"/>
      <c r="CC894" s="20" t="inlineStr">
        <is>
          <t>None</t>
        </is>
      </c>
      <c r="CD894" s="17" t="n"/>
      <c r="CE894" s="16" t="n"/>
      <c r="CF894" s="20" t="n"/>
      <c r="CG894" s="20" t="inlineStr">
        <is>
          <t>None</t>
        </is>
      </c>
      <c r="CH894" s="17" t="n"/>
      <c r="CI894" s="16" t="n"/>
      <c r="CJ894" s="20" t="n"/>
      <c r="CK894" s="20" t="inlineStr">
        <is>
          <t>None</t>
        </is>
      </c>
      <c r="CL894" s="17" t="n"/>
      <c r="CM894" s="16" t="n"/>
      <c r="CN894" s="20" t="inlineStr">
        <is>
          <t>SOP 45-34</t>
        </is>
      </c>
      <c r="CO894" s="20" t="inlineStr">
        <is>
          <t>None</t>
        </is>
      </c>
      <c r="CP894" s="17" t="n"/>
      <c r="CQ894" s="16" t="n"/>
      <c r="CR894" s="20" t="n"/>
      <c r="CS894" s="20" t="inlineStr">
        <is>
          <t>None</t>
        </is>
      </c>
      <c r="CT894" s="17" t="n"/>
      <c r="CU894" s="16" t="n"/>
      <c r="CV894" s="20" t="n"/>
      <c r="CW894" s="20" t="inlineStr">
        <is>
          <t>None</t>
        </is>
      </c>
      <c r="CX894" s="17" t="n"/>
      <c r="CY894" s="16" t="n"/>
      <c r="CZ894" s="20" t="inlineStr">
        <is>
          <t>WTW Multimeter 3430 with FDO 925</t>
        </is>
      </c>
      <c r="DA894" s="20" t="inlineStr">
        <is>
          <t>None</t>
        </is>
      </c>
      <c r="DB894" s="17" t="n"/>
      <c r="DC894" s="16" t="n"/>
      <c r="DD894" s="20" t="n"/>
      <c r="DE894" s="20" t="inlineStr">
        <is>
          <t>None</t>
        </is>
      </c>
      <c r="DF894" s="17" t="n"/>
      <c r="DG894" s="16" t="n"/>
      <c r="DH894" s="20" t="inlineStr">
        <is>
          <t>SOP 45-09</t>
        </is>
      </c>
      <c r="DI894" s="20" t="inlineStr">
        <is>
          <t>None</t>
        </is>
      </c>
      <c r="DJ894" s="17" t="n"/>
      <c r="DK894" s="16" t="n"/>
      <c r="DL894" s="20" t="inlineStr">
        <is>
          <t>SOP 45-09 (SOP muss noch angepasst werden für VSS)</t>
        </is>
      </c>
      <c r="DM894" s="20" t="inlineStr">
        <is>
          <t>None</t>
        </is>
      </c>
      <c r="DN894" s="17" t="n"/>
      <c r="DO894" s="16" t="n"/>
      <c r="DP894" s="20" t="inlineStr">
        <is>
          <t>IC Organic Acids</t>
        </is>
      </c>
      <c r="DQ894" s="20" t="inlineStr">
        <is>
          <t>None</t>
        </is>
      </c>
      <c r="DR894" s="17" t="n"/>
      <c r="DS894" s="16" t="n"/>
      <c r="DT894" s="20" t="inlineStr">
        <is>
          <t>IC Organic Acids</t>
        </is>
      </c>
      <c r="DU894" s="20" t="inlineStr">
        <is>
          <t>None</t>
        </is>
      </c>
      <c r="DV894" s="17" t="n"/>
      <c r="DW894" s="16" t="n"/>
      <c r="DX894" s="20" t="inlineStr">
        <is>
          <t>IC Organic Acids</t>
        </is>
      </c>
      <c r="DY894" s="20" t="inlineStr">
        <is>
          <t>None</t>
        </is>
      </c>
      <c r="DZ894" s="17" t="n"/>
      <c r="EA894" s="16" t="n"/>
      <c r="EB894" s="20" t="inlineStr">
        <is>
          <t>IC Organic Acids</t>
        </is>
      </c>
      <c r="EC894" s="20" t="inlineStr">
        <is>
          <t>None</t>
        </is>
      </c>
      <c r="ED894" s="17" t="n"/>
      <c r="EE894" s="16" t="n"/>
      <c r="EF894" s="20" t="inlineStr">
        <is>
          <t>IC Organic Acids</t>
        </is>
      </c>
      <c r="EG894" s="20" t="inlineStr">
        <is>
          <t>None</t>
        </is>
      </c>
      <c r="EH894" s="17" t="n"/>
      <c r="EI894" s="16" t="n"/>
      <c r="EJ894" s="20" t="inlineStr">
        <is>
          <t>IC Organic Acids</t>
        </is>
      </c>
      <c r="EK894" s="20" t="inlineStr">
        <is>
          <t>None</t>
        </is>
      </c>
      <c r="EL894" s="17" t="n"/>
      <c r="EM894" s="16" t="n"/>
      <c r="EN894" s="20" t="inlineStr">
        <is>
          <t>IC Organic Acids</t>
        </is>
      </c>
      <c r="EO894" s="20" t="inlineStr">
        <is>
          <t>None</t>
        </is>
      </c>
      <c r="EP894" s="17" t="n"/>
      <c r="EQ894" s="16" t="n"/>
      <c r="ER894" s="20" t="inlineStr">
        <is>
          <t>IC Organic Acids</t>
        </is>
      </c>
      <c r="ES894" s="20" t="inlineStr">
        <is>
          <t>None</t>
        </is>
      </c>
      <c r="ET894" s="17" t="n"/>
      <c r="EU894" s="16" t="n"/>
      <c r="EV894" s="20" t="inlineStr">
        <is>
          <t>LC-MS</t>
        </is>
      </c>
      <c r="EW894" s="20" t="inlineStr">
        <is>
          <t>None</t>
        </is>
      </c>
      <c r="EX894" s="17" t="n"/>
      <c r="EY894" s="21" t="n"/>
      <c r="EZ894">
        <f>CONCATENATE(A894,B894)</f>
        <v/>
      </c>
      <c r="FA894">
        <f>CONCATENATE(SamplesX!A894,SamplesX!B894)</f>
        <v/>
      </c>
      <c r="FC894">
        <f>MATCH(EZ894,FA1:FA1008,0)</f>
        <v/>
      </c>
    </row>
    <row r="895">
      <c r="A895" s="16" t="n"/>
      <c r="B895" s="17" t="n"/>
      <c r="C895" s="10">
        <f>IF(ISNUMBER(FC895),INDIRECT("SamplesX!C"&amp;FC895),IF(ISNUMBER(FD895),INDIRECT("SamplesY!C"&amp;FD895),""))</f>
        <v/>
      </c>
      <c r="D895" s="12">
        <f>IF(ISNUMBER(FC895),INDIRECT("SamplesX!D"&amp;FC895),IF(ISNUMBER(FD895),INDIRECT("SamplesY!D"&amp;FD895),""))</f>
        <v/>
      </c>
      <c r="E895" s="12">
        <f>IF(ISNUMBER(FC895),INDIRECT("SamplesX!E"&amp;FC895),IF(ISNUMBER(FD895),INDIRECT("SamplesY!E"&amp;FD895),""))</f>
        <v/>
      </c>
      <c r="F895" s="11">
        <f>IF(ISNUMBER(FC895),INDIRECT("SamplesX!F"&amp;FC895),IF(ISNUMBER(FD895),INDIRECT("SamplesY!F"&amp;FD895),""))</f>
        <v/>
      </c>
      <c r="G895" s="18">
        <f>IF(ISNUMBER(FC895),INDIRECT("SamplesX!G"&amp;FC895),IF(ISNUMBER(FD895),INDIRECT("SamplesY!G"&amp;FD895),""))</f>
        <v/>
      </c>
      <c r="H895" s="19">
        <f>IF(ISNUMBER(FC895),INDIRECT("SamplesX!H"&amp;FC895),IF(ISNUMBER(FD895),INDIRECT("SamplesY!H"&amp;FD895),""))</f>
        <v/>
      </c>
      <c r="I895" s="16" t="n"/>
      <c r="J895" s="16" t="n"/>
      <c r="K895" s="16" t="n"/>
      <c r="L895" s="20" t="n"/>
      <c r="M895" s="20" t="inlineStr">
        <is>
          <t>None</t>
        </is>
      </c>
      <c r="N895" s="17" t="n"/>
      <c r="O895" s="16" t="n"/>
      <c r="P895" s="20" t="inlineStr">
        <is>
          <t>Shimadzu TOC-L</t>
        </is>
      </c>
      <c r="Q895" s="20" t="inlineStr">
        <is>
          <t>None</t>
        </is>
      </c>
      <c r="R895" s="17" t="n"/>
      <c r="S895" s="16" t="n"/>
      <c r="T895" s="20" t="inlineStr">
        <is>
          <t>Shimadzu TOC-L</t>
        </is>
      </c>
      <c r="U895" s="20" t="inlineStr">
        <is>
          <t>None</t>
        </is>
      </c>
      <c r="V895" s="17" t="n"/>
      <c r="W895" s="16" t="n"/>
      <c r="X895" s="20" t="n"/>
      <c r="Y895" s="20" t="inlineStr">
        <is>
          <t>None</t>
        </is>
      </c>
      <c r="Z895" s="17" t="n"/>
      <c r="AA895" s="16" t="n"/>
      <c r="AB895" s="20" t="n"/>
      <c r="AC895" s="20" t="inlineStr">
        <is>
          <t>None</t>
        </is>
      </c>
      <c r="AD895" s="17" t="n"/>
      <c r="AE895" s="16" t="n"/>
      <c r="AF895" s="20" t="inlineStr">
        <is>
          <t>IC Anionen</t>
        </is>
      </c>
      <c r="AG895" s="20" t="inlineStr">
        <is>
          <t>None</t>
        </is>
      </c>
      <c r="AH895" s="17" t="n"/>
      <c r="AI895" s="16" t="n"/>
      <c r="AJ895" s="20" t="n"/>
      <c r="AK895" s="20" t="inlineStr">
        <is>
          <t>None</t>
        </is>
      </c>
      <c r="AL895" s="17" t="n"/>
      <c r="AM895" s="16" t="n"/>
      <c r="AN895" s="20" t="inlineStr">
        <is>
          <t>IC Anionen</t>
        </is>
      </c>
      <c r="AO895" s="20" t="inlineStr">
        <is>
          <t>None</t>
        </is>
      </c>
      <c r="AP895" s="17" t="n"/>
      <c r="AQ895" s="16" t="n"/>
      <c r="AR895" s="20" t="n"/>
      <c r="AS895" s="20" t="inlineStr">
        <is>
          <t>None</t>
        </is>
      </c>
      <c r="AT895" s="17" t="n"/>
      <c r="AU895" s="16" t="n"/>
      <c r="AV895" s="20" t="n"/>
      <c r="AW895" s="20" t="inlineStr">
        <is>
          <t>None</t>
        </is>
      </c>
      <c r="AX895" s="17" t="n"/>
      <c r="AY895" s="16" t="n"/>
      <c r="AZ895" s="20" t="inlineStr">
        <is>
          <t>IC Anionen</t>
        </is>
      </c>
      <c r="BA895" s="20" t="inlineStr">
        <is>
          <t>None</t>
        </is>
      </c>
      <c r="BB895" s="17" t="n"/>
      <c r="BC895" s="16" t="n"/>
      <c r="BD895" s="20" t="inlineStr">
        <is>
          <t>IC Kationen</t>
        </is>
      </c>
      <c r="BE895" s="20" t="inlineStr">
        <is>
          <t>None</t>
        </is>
      </c>
      <c r="BF895" s="17" t="n"/>
      <c r="BG895" s="16" t="n"/>
      <c r="BH895" s="20" t="inlineStr">
        <is>
          <t>IC Kationen</t>
        </is>
      </c>
      <c r="BI895" s="20" t="inlineStr">
        <is>
          <t>None</t>
        </is>
      </c>
      <c r="BJ895" s="17" t="n"/>
      <c r="BK895" s="16" t="n"/>
      <c r="BL895" s="20" t="inlineStr">
        <is>
          <t>IC Kationen</t>
        </is>
      </c>
      <c r="BM895" s="20" t="inlineStr">
        <is>
          <t>None</t>
        </is>
      </c>
      <c r="BN895" s="17" t="n"/>
      <c r="BO895" s="16" t="n"/>
      <c r="BP895" s="20" t="inlineStr">
        <is>
          <t>IC Kationen</t>
        </is>
      </c>
      <c r="BQ895" s="20" t="inlineStr">
        <is>
          <t>None</t>
        </is>
      </c>
      <c r="BR895" s="17" t="n"/>
      <c r="BS895" s="16" t="n"/>
      <c r="BT895" s="20" t="inlineStr">
        <is>
          <t>IC Kationen</t>
        </is>
      </c>
      <c r="BU895" s="20" t="inlineStr">
        <is>
          <t>None</t>
        </is>
      </c>
      <c r="BV895" s="17" t="n"/>
      <c r="BW895" s="16" t="n"/>
      <c r="BX895" s="20" t="n"/>
      <c r="BY895" s="20" t="inlineStr">
        <is>
          <t>None</t>
        </is>
      </c>
      <c r="BZ895" s="17" t="n"/>
      <c r="CA895" s="16" t="n"/>
      <c r="CB895" s="20" t="n"/>
      <c r="CC895" s="20" t="inlineStr">
        <is>
          <t>None</t>
        </is>
      </c>
      <c r="CD895" s="17" t="n"/>
      <c r="CE895" s="16" t="n"/>
      <c r="CF895" s="20" t="n"/>
      <c r="CG895" s="20" t="inlineStr">
        <is>
          <t>None</t>
        </is>
      </c>
      <c r="CH895" s="17" t="n"/>
      <c r="CI895" s="16" t="n"/>
      <c r="CJ895" s="20" t="n"/>
      <c r="CK895" s="20" t="inlineStr">
        <is>
          <t>None</t>
        </is>
      </c>
      <c r="CL895" s="17" t="n"/>
      <c r="CM895" s="16" t="n"/>
      <c r="CN895" s="20" t="inlineStr">
        <is>
          <t>SOP 45-34</t>
        </is>
      </c>
      <c r="CO895" s="20" t="inlineStr">
        <is>
          <t>None</t>
        </is>
      </c>
      <c r="CP895" s="17" t="n"/>
      <c r="CQ895" s="16" t="n"/>
      <c r="CR895" s="20" t="n"/>
      <c r="CS895" s="20" t="inlineStr">
        <is>
          <t>None</t>
        </is>
      </c>
      <c r="CT895" s="17" t="n"/>
      <c r="CU895" s="16" t="n"/>
      <c r="CV895" s="20" t="n"/>
      <c r="CW895" s="20" t="inlineStr">
        <is>
          <t>None</t>
        </is>
      </c>
      <c r="CX895" s="17" t="n"/>
      <c r="CY895" s="16" t="n"/>
      <c r="CZ895" s="20" t="inlineStr">
        <is>
          <t>WTW Multimeter 3430 with FDO 925</t>
        </is>
      </c>
      <c r="DA895" s="20" t="inlineStr">
        <is>
          <t>None</t>
        </is>
      </c>
      <c r="DB895" s="17" t="n"/>
      <c r="DC895" s="16" t="n"/>
      <c r="DD895" s="20" t="n"/>
      <c r="DE895" s="20" t="inlineStr">
        <is>
          <t>None</t>
        </is>
      </c>
      <c r="DF895" s="17" t="n"/>
      <c r="DG895" s="16" t="n"/>
      <c r="DH895" s="20" t="inlineStr">
        <is>
          <t>SOP 45-09</t>
        </is>
      </c>
      <c r="DI895" s="20" t="inlineStr">
        <is>
          <t>None</t>
        </is>
      </c>
      <c r="DJ895" s="17" t="n"/>
      <c r="DK895" s="16" t="n"/>
      <c r="DL895" s="20" t="inlineStr">
        <is>
          <t>SOP 45-09 (SOP muss noch angepasst werden für VSS)</t>
        </is>
      </c>
      <c r="DM895" s="20" t="inlineStr">
        <is>
          <t>None</t>
        </is>
      </c>
      <c r="DN895" s="17" t="n"/>
      <c r="DO895" s="16" t="n"/>
      <c r="DP895" s="20" t="inlineStr">
        <is>
          <t>IC Organic Acids</t>
        </is>
      </c>
      <c r="DQ895" s="20" t="inlineStr">
        <is>
          <t>None</t>
        </is>
      </c>
      <c r="DR895" s="17" t="n"/>
      <c r="DS895" s="16" t="n"/>
      <c r="DT895" s="20" t="inlineStr">
        <is>
          <t>IC Organic Acids</t>
        </is>
      </c>
      <c r="DU895" s="20" t="inlineStr">
        <is>
          <t>None</t>
        </is>
      </c>
      <c r="DV895" s="17" t="n"/>
      <c r="DW895" s="16" t="n"/>
      <c r="DX895" s="20" t="inlineStr">
        <is>
          <t>IC Organic Acids</t>
        </is>
      </c>
      <c r="DY895" s="20" t="inlineStr">
        <is>
          <t>None</t>
        </is>
      </c>
      <c r="DZ895" s="17" t="n"/>
      <c r="EA895" s="16" t="n"/>
      <c r="EB895" s="20" t="inlineStr">
        <is>
          <t>IC Organic Acids</t>
        </is>
      </c>
      <c r="EC895" s="20" t="inlineStr">
        <is>
          <t>None</t>
        </is>
      </c>
      <c r="ED895" s="17" t="n"/>
      <c r="EE895" s="16" t="n"/>
      <c r="EF895" s="20" t="inlineStr">
        <is>
          <t>IC Organic Acids</t>
        </is>
      </c>
      <c r="EG895" s="20" t="inlineStr">
        <is>
          <t>None</t>
        </is>
      </c>
      <c r="EH895" s="17" t="n"/>
      <c r="EI895" s="16" t="n"/>
      <c r="EJ895" s="20" t="inlineStr">
        <is>
          <t>IC Organic Acids</t>
        </is>
      </c>
      <c r="EK895" s="20" t="inlineStr">
        <is>
          <t>None</t>
        </is>
      </c>
      <c r="EL895" s="17" t="n"/>
      <c r="EM895" s="16" t="n"/>
      <c r="EN895" s="20" t="inlineStr">
        <is>
          <t>IC Organic Acids</t>
        </is>
      </c>
      <c r="EO895" s="20" t="inlineStr">
        <is>
          <t>None</t>
        </is>
      </c>
      <c r="EP895" s="17" t="n"/>
      <c r="EQ895" s="16" t="n"/>
      <c r="ER895" s="20" t="inlineStr">
        <is>
          <t>IC Organic Acids</t>
        </is>
      </c>
      <c r="ES895" s="20" t="inlineStr">
        <is>
          <t>None</t>
        </is>
      </c>
      <c r="ET895" s="17" t="n"/>
      <c r="EU895" s="16" t="n"/>
      <c r="EV895" s="20" t="inlineStr">
        <is>
          <t>LC-MS</t>
        </is>
      </c>
      <c r="EW895" s="20" t="inlineStr">
        <is>
          <t>None</t>
        </is>
      </c>
      <c r="EX895" s="17" t="n"/>
      <c r="EY895" s="21" t="n"/>
      <c r="EZ895">
        <f>CONCATENATE(A895,B895)</f>
        <v/>
      </c>
      <c r="FA895">
        <f>CONCATENATE(SamplesX!A895,SamplesX!B895)</f>
        <v/>
      </c>
      <c r="FC895">
        <f>MATCH(EZ895,FA1:FA1008,0)</f>
        <v/>
      </c>
    </row>
    <row r="896">
      <c r="A896" s="16" t="n"/>
      <c r="B896" s="17" t="n"/>
      <c r="C896" s="10">
        <f>IF(ISNUMBER(FC896),INDIRECT("SamplesX!C"&amp;FC896),IF(ISNUMBER(FD896),INDIRECT("SamplesY!C"&amp;FD896),""))</f>
        <v/>
      </c>
      <c r="D896" s="12">
        <f>IF(ISNUMBER(FC896),INDIRECT("SamplesX!D"&amp;FC896),IF(ISNUMBER(FD896),INDIRECT("SamplesY!D"&amp;FD896),""))</f>
        <v/>
      </c>
      <c r="E896" s="12">
        <f>IF(ISNUMBER(FC896),INDIRECT("SamplesX!E"&amp;FC896),IF(ISNUMBER(FD896),INDIRECT("SamplesY!E"&amp;FD896),""))</f>
        <v/>
      </c>
      <c r="F896" s="11">
        <f>IF(ISNUMBER(FC896),INDIRECT("SamplesX!F"&amp;FC896),IF(ISNUMBER(FD896),INDIRECT("SamplesY!F"&amp;FD896),""))</f>
        <v/>
      </c>
      <c r="G896" s="18">
        <f>IF(ISNUMBER(FC896),INDIRECT("SamplesX!G"&amp;FC896),IF(ISNUMBER(FD896),INDIRECT("SamplesY!G"&amp;FD896),""))</f>
        <v/>
      </c>
      <c r="H896" s="19">
        <f>IF(ISNUMBER(FC896),INDIRECT("SamplesX!H"&amp;FC896),IF(ISNUMBER(FD896),INDIRECT("SamplesY!H"&amp;FD896),""))</f>
        <v/>
      </c>
      <c r="I896" s="16" t="n"/>
      <c r="J896" s="16" t="n"/>
      <c r="K896" s="16" t="n"/>
      <c r="L896" s="20" t="n"/>
      <c r="M896" s="20" t="inlineStr">
        <is>
          <t>None</t>
        </is>
      </c>
      <c r="N896" s="17" t="n"/>
      <c r="O896" s="16" t="n"/>
      <c r="P896" s="20" t="inlineStr">
        <is>
          <t>Shimadzu TOC-L</t>
        </is>
      </c>
      <c r="Q896" s="20" t="inlineStr">
        <is>
          <t>None</t>
        </is>
      </c>
      <c r="R896" s="17" t="n"/>
      <c r="S896" s="16" t="n"/>
      <c r="T896" s="20" t="inlineStr">
        <is>
          <t>Shimadzu TOC-L</t>
        </is>
      </c>
      <c r="U896" s="20" t="inlineStr">
        <is>
          <t>None</t>
        </is>
      </c>
      <c r="V896" s="17" t="n"/>
      <c r="W896" s="16" t="n"/>
      <c r="X896" s="20" t="n"/>
      <c r="Y896" s="20" t="inlineStr">
        <is>
          <t>None</t>
        </is>
      </c>
      <c r="Z896" s="17" t="n"/>
      <c r="AA896" s="16" t="n"/>
      <c r="AB896" s="20" t="n"/>
      <c r="AC896" s="20" t="inlineStr">
        <is>
          <t>None</t>
        </is>
      </c>
      <c r="AD896" s="17" t="n"/>
      <c r="AE896" s="16" t="n"/>
      <c r="AF896" s="20" t="inlineStr">
        <is>
          <t>IC Anionen</t>
        </is>
      </c>
      <c r="AG896" s="20" t="inlineStr">
        <is>
          <t>None</t>
        </is>
      </c>
      <c r="AH896" s="17" t="n"/>
      <c r="AI896" s="16" t="n"/>
      <c r="AJ896" s="20" t="n"/>
      <c r="AK896" s="20" t="inlineStr">
        <is>
          <t>None</t>
        </is>
      </c>
      <c r="AL896" s="17" t="n"/>
      <c r="AM896" s="16" t="n"/>
      <c r="AN896" s="20" t="inlineStr">
        <is>
          <t>IC Anionen</t>
        </is>
      </c>
      <c r="AO896" s="20" t="inlineStr">
        <is>
          <t>None</t>
        </is>
      </c>
      <c r="AP896" s="17" t="n"/>
      <c r="AQ896" s="16" t="n"/>
      <c r="AR896" s="20" t="n"/>
      <c r="AS896" s="20" t="inlineStr">
        <is>
          <t>None</t>
        </is>
      </c>
      <c r="AT896" s="17" t="n"/>
      <c r="AU896" s="16" t="n"/>
      <c r="AV896" s="20" t="n"/>
      <c r="AW896" s="20" t="inlineStr">
        <is>
          <t>None</t>
        </is>
      </c>
      <c r="AX896" s="17" t="n"/>
      <c r="AY896" s="16" t="n"/>
      <c r="AZ896" s="20" t="inlineStr">
        <is>
          <t>IC Anionen</t>
        </is>
      </c>
      <c r="BA896" s="20" t="inlineStr">
        <is>
          <t>None</t>
        </is>
      </c>
      <c r="BB896" s="17" t="n"/>
      <c r="BC896" s="16" t="n"/>
      <c r="BD896" s="20" t="inlineStr">
        <is>
          <t>IC Kationen</t>
        </is>
      </c>
      <c r="BE896" s="20" t="inlineStr">
        <is>
          <t>None</t>
        </is>
      </c>
      <c r="BF896" s="17" t="n"/>
      <c r="BG896" s="16" t="n"/>
      <c r="BH896" s="20" t="inlineStr">
        <is>
          <t>IC Kationen</t>
        </is>
      </c>
      <c r="BI896" s="20" t="inlineStr">
        <is>
          <t>None</t>
        </is>
      </c>
      <c r="BJ896" s="17" t="n"/>
      <c r="BK896" s="16" t="n"/>
      <c r="BL896" s="20" t="inlineStr">
        <is>
          <t>IC Kationen</t>
        </is>
      </c>
      <c r="BM896" s="20" t="inlineStr">
        <is>
          <t>None</t>
        </is>
      </c>
      <c r="BN896" s="17" t="n"/>
      <c r="BO896" s="16" t="n"/>
      <c r="BP896" s="20" t="inlineStr">
        <is>
          <t>IC Kationen</t>
        </is>
      </c>
      <c r="BQ896" s="20" t="inlineStr">
        <is>
          <t>None</t>
        </is>
      </c>
      <c r="BR896" s="17" t="n"/>
      <c r="BS896" s="16" t="n"/>
      <c r="BT896" s="20" t="inlineStr">
        <is>
          <t>IC Kationen</t>
        </is>
      </c>
      <c r="BU896" s="20" t="inlineStr">
        <is>
          <t>None</t>
        </is>
      </c>
      <c r="BV896" s="17" t="n"/>
      <c r="BW896" s="16" t="n"/>
      <c r="BX896" s="20" t="n"/>
      <c r="BY896" s="20" t="inlineStr">
        <is>
          <t>None</t>
        </is>
      </c>
      <c r="BZ896" s="17" t="n"/>
      <c r="CA896" s="16" t="n"/>
      <c r="CB896" s="20" t="n"/>
      <c r="CC896" s="20" t="inlineStr">
        <is>
          <t>None</t>
        </is>
      </c>
      <c r="CD896" s="17" t="n"/>
      <c r="CE896" s="16" t="n"/>
      <c r="CF896" s="20" t="n"/>
      <c r="CG896" s="20" t="inlineStr">
        <is>
          <t>None</t>
        </is>
      </c>
      <c r="CH896" s="17" t="n"/>
      <c r="CI896" s="16" t="n"/>
      <c r="CJ896" s="20" t="n"/>
      <c r="CK896" s="20" t="inlineStr">
        <is>
          <t>None</t>
        </is>
      </c>
      <c r="CL896" s="17" t="n"/>
      <c r="CM896" s="16" t="n"/>
      <c r="CN896" s="20" t="inlineStr">
        <is>
          <t>SOP 45-34</t>
        </is>
      </c>
      <c r="CO896" s="20" t="inlineStr">
        <is>
          <t>None</t>
        </is>
      </c>
      <c r="CP896" s="17" t="n"/>
      <c r="CQ896" s="16" t="n"/>
      <c r="CR896" s="20" t="n"/>
      <c r="CS896" s="20" t="inlineStr">
        <is>
          <t>None</t>
        </is>
      </c>
      <c r="CT896" s="17" t="n"/>
      <c r="CU896" s="16" t="n"/>
      <c r="CV896" s="20" t="n"/>
      <c r="CW896" s="20" t="inlineStr">
        <is>
          <t>None</t>
        </is>
      </c>
      <c r="CX896" s="17" t="n"/>
      <c r="CY896" s="16" t="n"/>
      <c r="CZ896" s="20" t="inlineStr">
        <is>
          <t>WTW Multimeter 3430 with FDO 925</t>
        </is>
      </c>
      <c r="DA896" s="20" t="inlineStr">
        <is>
          <t>None</t>
        </is>
      </c>
      <c r="DB896" s="17" t="n"/>
      <c r="DC896" s="16" t="n"/>
      <c r="DD896" s="20" t="n"/>
      <c r="DE896" s="20" t="inlineStr">
        <is>
          <t>None</t>
        </is>
      </c>
      <c r="DF896" s="17" t="n"/>
      <c r="DG896" s="16" t="n"/>
      <c r="DH896" s="20" t="inlineStr">
        <is>
          <t>SOP 45-09</t>
        </is>
      </c>
      <c r="DI896" s="20" t="inlineStr">
        <is>
          <t>None</t>
        </is>
      </c>
      <c r="DJ896" s="17" t="n"/>
      <c r="DK896" s="16" t="n"/>
      <c r="DL896" s="20" t="inlineStr">
        <is>
          <t>SOP 45-09 (SOP muss noch angepasst werden für VSS)</t>
        </is>
      </c>
      <c r="DM896" s="20" t="inlineStr">
        <is>
          <t>None</t>
        </is>
      </c>
      <c r="DN896" s="17" t="n"/>
      <c r="DO896" s="16" t="n"/>
      <c r="DP896" s="20" t="inlineStr">
        <is>
          <t>IC Organic Acids</t>
        </is>
      </c>
      <c r="DQ896" s="20" t="inlineStr">
        <is>
          <t>None</t>
        </is>
      </c>
      <c r="DR896" s="17" t="n"/>
      <c r="DS896" s="16" t="n"/>
      <c r="DT896" s="20" t="inlineStr">
        <is>
          <t>IC Organic Acids</t>
        </is>
      </c>
      <c r="DU896" s="20" t="inlineStr">
        <is>
          <t>None</t>
        </is>
      </c>
      <c r="DV896" s="17" t="n"/>
      <c r="DW896" s="16" t="n"/>
      <c r="DX896" s="20" t="inlineStr">
        <is>
          <t>IC Organic Acids</t>
        </is>
      </c>
      <c r="DY896" s="20" t="inlineStr">
        <is>
          <t>None</t>
        </is>
      </c>
      <c r="DZ896" s="17" t="n"/>
      <c r="EA896" s="16" t="n"/>
      <c r="EB896" s="20" t="inlineStr">
        <is>
          <t>IC Organic Acids</t>
        </is>
      </c>
      <c r="EC896" s="20" t="inlineStr">
        <is>
          <t>None</t>
        </is>
      </c>
      <c r="ED896" s="17" t="n"/>
      <c r="EE896" s="16" t="n"/>
      <c r="EF896" s="20" t="inlineStr">
        <is>
          <t>IC Organic Acids</t>
        </is>
      </c>
      <c r="EG896" s="20" t="inlineStr">
        <is>
          <t>None</t>
        </is>
      </c>
      <c r="EH896" s="17" t="n"/>
      <c r="EI896" s="16" t="n"/>
      <c r="EJ896" s="20" t="inlineStr">
        <is>
          <t>IC Organic Acids</t>
        </is>
      </c>
      <c r="EK896" s="20" t="inlineStr">
        <is>
          <t>None</t>
        </is>
      </c>
      <c r="EL896" s="17" t="n"/>
      <c r="EM896" s="16" t="n"/>
      <c r="EN896" s="20" t="inlineStr">
        <is>
          <t>IC Organic Acids</t>
        </is>
      </c>
      <c r="EO896" s="20" t="inlineStr">
        <is>
          <t>None</t>
        </is>
      </c>
      <c r="EP896" s="17" t="n"/>
      <c r="EQ896" s="16" t="n"/>
      <c r="ER896" s="20" t="inlineStr">
        <is>
          <t>IC Organic Acids</t>
        </is>
      </c>
      <c r="ES896" s="20" t="inlineStr">
        <is>
          <t>None</t>
        </is>
      </c>
      <c r="ET896" s="17" t="n"/>
      <c r="EU896" s="16" t="n"/>
      <c r="EV896" s="20" t="inlineStr">
        <is>
          <t>LC-MS</t>
        </is>
      </c>
      <c r="EW896" s="20" t="inlineStr">
        <is>
          <t>None</t>
        </is>
      </c>
      <c r="EX896" s="17" t="n"/>
      <c r="EY896" s="21" t="n"/>
      <c r="EZ896">
        <f>CONCATENATE(A896,B896)</f>
        <v/>
      </c>
      <c r="FA896">
        <f>CONCATENATE(SamplesX!A896,SamplesX!B896)</f>
        <v/>
      </c>
      <c r="FC896">
        <f>MATCH(EZ896,FA1:FA1008,0)</f>
        <v/>
      </c>
    </row>
    <row r="897">
      <c r="A897" s="16" t="n"/>
      <c r="B897" s="17" t="n"/>
      <c r="C897" s="10">
        <f>IF(ISNUMBER(FC897),INDIRECT("SamplesX!C"&amp;FC897),IF(ISNUMBER(FD897),INDIRECT("SamplesY!C"&amp;FD897),""))</f>
        <v/>
      </c>
      <c r="D897" s="12">
        <f>IF(ISNUMBER(FC897),INDIRECT("SamplesX!D"&amp;FC897),IF(ISNUMBER(FD897),INDIRECT("SamplesY!D"&amp;FD897),""))</f>
        <v/>
      </c>
      <c r="E897" s="12">
        <f>IF(ISNUMBER(FC897),INDIRECT("SamplesX!E"&amp;FC897),IF(ISNUMBER(FD897),INDIRECT("SamplesY!E"&amp;FD897),""))</f>
        <v/>
      </c>
      <c r="F897" s="11">
        <f>IF(ISNUMBER(FC897),INDIRECT("SamplesX!F"&amp;FC897),IF(ISNUMBER(FD897),INDIRECT("SamplesY!F"&amp;FD897),""))</f>
        <v/>
      </c>
      <c r="G897" s="18">
        <f>IF(ISNUMBER(FC897),INDIRECT("SamplesX!G"&amp;FC897),IF(ISNUMBER(FD897),INDIRECT("SamplesY!G"&amp;FD897),""))</f>
        <v/>
      </c>
      <c r="H897" s="19">
        <f>IF(ISNUMBER(FC897),INDIRECT("SamplesX!H"&amp;FC897),IF(ISNUMBER(FD897),INDIRECT("SamplesY!H"&amp;FD897),""))</f>
        <v/>
      </c>
      <c r="I897" s="16" t="n"/>
      <c r="J897" s="16" t="n"/>
      <c r="K897" s="16" t="n"/>
      <c r="L897" s="20" t="n"/>
      <c r="M897" s="20" t="inlineStr">
        <is>
          <t>None</t>
        </is>
      </c>
      <c r="N897" s="17" t="n"/>
      <c r="O897" s="16" t="n"/>
      <c r="P897" s="20" t="inlineStr">
        <is>
          <t>Shimadzu TOC-L</t>
        </is>
      </c>
      <c r="Q897" s="20" t="inlineStr">
        <is>
          <t>None</t>
        </is>
      </c>
      <c r="R897" s="17" t="n"/>
      <c r="S897" s="16" t="n"/>
      <c r="T897" s="20" t="inlineStr">
        <is>
          <t>Shimadzu TOC-L</t>
        </is>
      </c>
      <c r="U897" s="20" t="inlineStr">
        <is>
          <t>None</t>
        </is>
      </c>
      <c r="V897" s="17" t="n"/>
      <c r="W897" s="16" t="n"/>
      <c r="X897" s="20" t="n"/>
      <c r="Y897" s="20" t="inlineStr">
        <is>
          <t>None</t>
        </is>
      </c>
      <c r="Z897" s="17" t="n"/>
      <c r="AA897" s="16" t="n"/>
      <c r="AB897" s="20" t="n"/>
      <c r="AC897" s="20" t="inlineStr">
        <is>
          <t>None</t>
        </is>
      </c>
      <c r="AD897" s="17" t="n"/>
      <c r="AE897" s="16" t="n"/>
      <c r="AF897" s="20" t="inlineStr">
        <is>
          <t>IC Anionen</t>
        </is>
      </c>
      <c r="AG897" s="20" t="inlineStr">
        <is>
          <t>None</t>
        </is>
      </c>
      <c r="AH897" s="17" t="n"/>
      <c r="AI897" s="16" t="n"/>
      <c r="AJ897" s="20" t="n"/>
      <c r="AK897" s="20" t="inlineStr">
        <is>
          <t>None</t>
        </is>
      </c>
      <c r="AL897" s="17" t="n"/>
      <c r="AM897" s="16" t="n"/>
      <c r="AN897" s="20" t="inlineStr">
        <is>
          <t>IC Anionen</t>
        </is>
      </c>
      <c r="AO897" s="20" t="inlineStr">
        <is>
          <t>None</t>
        </is>
      </c>
      <c r="AP897" s="17" t="n"/>
      <c r="AQ897" s="16" t="n"/>
      <c r="AR897" s="20" t="n"/>
      <c r="AS897" s="20" t="inlineStr">
        <is>
          <t>None</t>
        </is>
      </c>
      <c r="AT897" s="17" t="n"/>
      <c r="AU897" s="16" t="n"/>
      <c r="AV897" s="20" t="n"/>
      <c r="AW897" s="20" t="inlineStr">
        <is>
          <t>None</t>
        </is>
      </c>
      <c r="AX897" s="17" t="n"/>
      <c r="AY897" s="16" t="n"/>
      <c r="AZ897" s="20" t="inlineStr">
        <is>
          <t>IC Anionen</t>
        </is>
      </c>
      <c r="BA897" s="20" t="inlineStr">
        <is>
          <t>None</t>
        </is>
      </c>
      <c r="BB897" s="17" t="n"/>
      <c r="BC897" s="16" t="n"/>
      <c r="BD897" s="20" t="inlineStr">
        <is>
          <t>IC Kationen</t>
        </is>
      </c>
      <c r="BE897" s="20" t="inlineStr">
        <is>
          <t>None</t>
        </is>
      </c>
      <c r="BF897" s="17" t="n"/>
      <c r="BG897" s="16" t="n"/>
      <c r="BH897" s="20" t="inlineStr">
        <is>
          <t>IC Kationen</t>
        </is>
      </c>
      <c r="BI897" s="20" t="inlineStr">
        <is>
          <t>None</t>
        </is>
      </c>
      <c r="BJ897" s="17" t="n"/>
      <c r="BK897" s="16" t="n"/>
      <c r="BL897" s="20" t="inlineStr">
        <is>
          <t>IC Kationen</t>
        </is>
      </c>
      <c r="BM897" s="20" t="inlineStr">
        <is>
          <t>None</t>
        </is>
      </c>
      <c r="BN897" s="17" t="n"/>
      <c r="BO897" s="16" t="n"/>
      <c r="BP897" s="20" t="inlineStr">
        <is>
          <t>IC Kationen</t>
        </is>
      </c>
      <c r="BQ897" s="20" t="inlineStr">
        <is>
          <t>None</t>
        </is>
      </c>
      <c r="BR897" s="17" t="n"/>
      <c r="BS897" s="16" t="n"/>
      <c r="BT897" s="20" t="inlineStr">
        <is>
          <t>IC Kationen</t>
        </is>
      </c>
      <c r="BU897" s="20" t="inlineStr">
        <is>
          <t>None</t>
        </is>
      </c>
      <c r="BV897" s="17" t="n"/>
      <c r="BW897" s="16" t="n"/>
      <c r="BX897" s="20" t="n"/>
      <c r="BY897" s="20" t="inlineStr">
        <is>
          <t>None</t>
        </is>
      </c>
      <c r="BZ897" s="17" t="n"/>
      <c r="CA897" s="16" t="n"/>
      <c r="CB897" s="20" t="n"/>
      <c r="CC897" s="20" t="inlineStr">
        <is>
          <t>None</t>
        </is>
      </c>
      <c r="CD897" s="17" t="n"/>
      <c r="CE897" s="16" t="n"/>
      <c r="CF897" s="20" t="n"/>
      <c r="CG897" s="20" t="inlineStr">
        <is>
          <t>None</t>
        </is>
      </c>
      <c r="CH897" s="17" t="n"/>
      <c r="CI897" s="16" t="n"/>
      <c r="CJ897" s="20" t="n"/>
      <c r="CK897" s="20" t="inlineStr">
        <is>
          <t>None</t>
        </is>
      </c>
      <c r="CL897" s="17" t="n"/>
      <c r="CM897" s="16" t="n"/>
      <c r="CN897" s="20" t="inlineStr">
        <is>
          <t>SOP 45-34</t>
        </is>
      </c>
      <c r="CO897" s="20" t="inlineStr">
        <is>
          <t>None</t>
        </is>
      </c>
      <c r="CP897" s="17" t="n"/>
      <c r="CQ897" s="16" t="n"/>
      <c r="CR897" s="20" t="n"/>
      <c r="CS897" s="20" t="inlineStr">
        <is>
          <t>None</t>
        </is>
      </c>
      <c r="CT897" s="17" t="n"/>
      <c r="CU897" s="16" t="n"/>
      <c r="CV897" s="20" t="n"/>
      <c r="CW897" s="20" t="inlineStr">
        <is>
          <t>None</t>
        </is>
      </c>
      <c r="CX897" s="17" t="n"/>
      <c r="CY897" s="16" t="n"/>
      <c r="CZ897" s="20" t="inlineStr">
        <is>
          <t>WTW Multimeter 3430 with FDO 925</t>
        </is>
      </c>
      <c r="DA897" s="20" t="inlineStr">
        <is>
          <t>None</t>
        </is>
      </c>
      <c r="DB897" s="17" t="n"/>
      <c r="DC897" s="16" t="n"/>
      <c r="DD897" s="20" t="n"/>
      <c r="DE897" s="20" t="inlineStr">
        <is>
          <t>None</t>
        </is>
      </c>
      <c r="DF897" s="17" t="n"/>
      <c r="DG897" s="16" t="n"/>
      <c r="DH897" s="20" t="inlineStr">
        <is>
          <t>SOP 45-09</t>
        </is>
      </c>
      <c r="DI897" s="20" t="inlineStr">
        <is>
          <t>None</t>
        </is>
      </c>
      <c r="DJ897" s="17" t="n"/>
      <c r="DK897" s="16" t="n"/>
      <c r="DL897" s="20" t="inlineStr">
        <is>
          <t>SOP 45-09 (SOP muss noch angepasst werden für VSS)</t>
        </is>
      </c>
      <c r="DM897" s="20" t="inlineStr">
        <is>
          <t>None</t>
        </is>
      </c>
      <c r="DN897" s="17" t="n"/>
      <c r="DO897" s="16" t="n"/>
      <c r="DP897" s="20" t="inlineStr">
        <is>
          <t>IC Organic Acids</t>
        </is>
      </c>
      <c r="DQ897" s="20" t="inlineStr">
        <is>
          <t>None</t>
        </is>
      </c>
      <c r="DR897" s="17" t="n"/>
      <c r="DS897" s="16" t="n"/>
      <c r="DT897" s="20" t="inlineStr">
        <is>
          <t>IC Organic Acids</t>
        </is>
      </c>
      <c r="DU897" s="20" t="inlineStr">
        <is>
          <t>None</t>
        </is>
      </c>
      <c r="DV897" s="17" t="n"/>
      <c r="DW897" s="16" t="n"/>
      <c r="DX897" s="20" t="inlineStr">
        <is>
          <t>IC Organic Acids</t>
        </is>
      </c>
      <c r="DY897" s="20" t="inlineStr">
        <is>
          <t>None</t>
        </is>
      </c>
      <c r="DZ897" s="17" t="n"/>
      <c r="EA897" s="16" t="n"/>
      <c r="EB897" s="20" t="inlineStr">
        <is>
          <t>IC Organic Acids</t>
        </is>
      </c>
      <c r="EC897" s="20" t="inlineStr">
        <is>
          <t>None</t>
        </is>
      </c>
      <c r="ED897" s="17" t="n"/>
      <c r="EE897" s="16" t="n"/>
      <c r="EF897" s="20" t="inlineStr">
        <is>
          <t>IC Organic Acids</t>
        </is>
      </c>
      <c r="EG897" s="20" t="inlineStr">
        <is>
          <t>None</t>
        </is>
      </c>
      <c r="EH897" s="17" t="n"/>
      <c r="EI897" s="16" t="n"/>
      <c r="EJ897" s="20" t="inlineStr">
        <is>
          <t>IC Organic Acids</t>
        </is>
      </c>
      <c r="EK897" s="20" t="inlineStr">
        <is>
          <t>None</t>
        </is>
      </c>
      <c r="EL897" s="17" t="n"/>
      <c r="EM897" s="16" t="n"/>
      <c r="EN897" s="20" t="inlineStr">
        <is>
          <t>IC Organic Acids</t>
        </is>
      </c>
      <c r="EO897" s="20" t="inlineStr">
        <is>
          <t>None</t>
        </is>
      </c>
      <c r="EP897" s="17" t="n"/>
      <c r="EQ897" s="16" t="n"/>
      <c r="ER897" s="20" t="inlineStr">
        <is>
          <t>IC Organic Acids</t>
        </is>
      </c>
      <c r="ES897" s="20" t="inlineStr">
        <is>
          <t>None</t>
        </is>
      </c>
      <c r="ET897" s="17" t="n"/>
      <c r="EU897" s="16" t="n"/>
      <c r="EV897" s="20" t="inlineStr">
        <is>
          <t>LC-MS</t>
        </is>
      </c>
      <c r="EW897" s="20" t="inlineStr">
        <is>
          <t>None</t>
        </is>
      </c>
      <c r="EX897" s="17" t="n"/>
      <c r="EY897" s="21" t="n"/>
      <c r="EZ897">
        <f>CONCATENATE(A897,B897)</f>
        <v/>
      </c>
      <c r="FA897">
        <f>CONCATENATE(SamplesX!A897,SamplesX!B897)</f>
        <v/>
      </c>
      <c r="FC897">
        <f>MATCH(EZ897,FA1:FA1008,0)</f>
        <v/>
      </c>
    </row>
    <row r="898">
      <c r="A898" s="16" t="n"/>
      <c r="B898" s="17" t="n"/>
      <c r="C898" s="10">
        <f>IF(ISNUMBER(FC898),INDIRECT("SamplesX!C"&amp;FC898),IF(ISNUMBER(FD898),INDIRECT("SamplesY!C"&amp;FD898),""))</f>
        <v/>
      </c>
      <c r="D898" s="12">
        <f>IF(ISNUMBER(FC898),INDIRECT("SamplesX!D"&amp;FC898),IF(ISNUMBER(FD898),INDIRECT("SamplesY!D"&amp;FD898),""))</f>
        <v/>
      </c>
      <c r="E898" s="12">
        <f>IF(ISNUMBER(FC898),INDIRECT("SamplesX!E"&amp;FC898),IF(ISNUMBER(FD898),INDIRECT("SamplesY!E"&amp;FD898),""))</f>
        <v/>
      </c>
      <c r="F898" s="11">
        <f>IF(ISNUMBER(FC898),INDIRECT("SamplesX!F"&amp;FC898),IF(ISNUMBER(FD898),INDIRECT("SamplesY!F"&amp;FD898),""))</f>
        <v/>
      </c>
      <c r="G898" s="18">
        <f>IF(ISNUMBER(FC898),INDIRECT("SamplesX!G"&amp;FC898),IF(ISNUMBER(FD898),INDIRECT("SamplesY!G"&amp;FD898),""))</f>
        <v/>
      </c>
      <c r="H898" s="19">
        <f>IF(ISNUMBER(FC898),INDIRECT("SamplesX!H"&amp;FC898),IF(ISNUMBER(FD898),INDIRECT("SamplesY!H"&amp;FD898),""))</f>
        <v/>
      </c>
      <c r="I898" s="16" t="n"/>
      <c r="J898" s="16" t="n"/>
      <c r="K898" s="16" t="n"/>
      <c r="L898" s="20" t="n"/>
      <c r="M898" s="20" t="inlineStr">
        <is>
          <t>None</t>
        </is>
      </c>
      <c r="N898" s="17" t="n"/>
      <c r="O898" s="16" t="n"/>
      <c r="P898" s="20" t="inlineStr">
        <is>
          <t>Shimadzu TOC-L</t>
        </is>
      </c>
      <c r="Q898" s="20" t="inlineStr">
        <is>
          <t>None</t>
        </is>
      </c>
      <c r="R898" s="17" t="n"/>
      <c r="S898" s="16" t="n"/>
      <c r="T898" s="20" t="inlineStr">
        <is>
          <t>Shimadzu TOC-L</t>
        </is>
      </c>
      <c r="U898" s="20" t="inlineStr">
        <is>
          <t>None</t>
        </is>
      </c>
      <c r="V898" s="17" t="n"/>
      <c r="W898" s="16" t="n"/>
      <c r="X898" s="20" t="n"/>
      <c r="Y898" s="20" t="inlineStr">
        <is>
          <t>None</t>
        </is>
      </c>
      <c r="Z898" s="17" t="n"/>
      <c r="AA898" s="16" t="n"/>
      <c r="AB898" s="20" t="n"/>
      <c r="AC898" s="20" t="inlineStr">
        <is>
          <t>None</t>
        </is>
      </c>
      <c r="AD898" s="17" t="n"/>
      <c r="AE898" s="16" t="n"/>
      <c r="AF898" s="20" t="inlineStr">
        <is>
          <t>IC Anionen</t>
        </is>
      </c>
      <c r="AG898" s="20" t="inlineStr">
        <is>
          <t>None</t>
        </is>
      </c>
      <c r="AH898" s="17" t="n"/>
      <c r="AI898" s="16" t="n"/>
      <c r="AJ898" s="20" t="n"/>
      <c r="AK898" s="20" t="inlineStr">
        <is>
          <t>None</t>
        </is>
      </c>
      <c r="AL898" s="17" t="n"/>
      <c r="AM898" s="16" t="n"/>
      <c r="AN898" s="20" t="inlineStr">
        <is>
          <t>IC Anionen</t>
        </is>
      </c>
      <c r="AO898" s="20" t="inlineStr">
        <is>
          <t>None</t>
        </is>
      </c>
      <c r="AP898" s="17" t="n"/>
      <c r="AQ898" s="16" t="n"/>
      <c r="AR898" s="20" t="n"/>
      <c r="AS898" s="20" t="inlineStr">
        <is>
          <t>None</t>
        </is>
      </c>
      <c r="AT898" s="17" t="n"/>
      <c r="AU898" s="16" t="n"/>
      <c r="AV898" s="20" t="n"/>
      <c r="AW898" s="20" t="inlineStr">
        <is>
          <t>None</t>
        </is>
      </c>
      <c r="AX898" s="17" t="n"/>
      <c r="AY898" s="16" t="n"/>
      <c r="AZ898" s="20" t="inlineStr">
        <is>
          <t>IC Anionen</t>
        </is>
      </c>
      <c r="BA898" s="20" t="inlineStr">
        <is>
          <t>None</t>
        </is>
      </c>
      <c r="BB898" s="17" t="n"/>
      <c r="BC898" s="16" t="n"/>
      <c r="BD898" s="20" t="inlineStr">
        <is>
          <t>IC Kationen</t>
        </is>
      </c>
      <c r="BE898" s="20" t="inlineStr">
        <is>
          <t>None</t>
        </is>
      </c>
      <c r="BF898" s="17" t="n"/>
      <c r="BG898" s="16" t="n"/>
      <c r="BH898" s="20" t="inlineStr">
        <is>
          <t>IC Kationen</t>
        </is>
      </c>
      <c r="BI898" s="20" t="inlineStr">
        <is>
          <t>None</t>
        </is>
      </c>
      <c r="BJ898" s="17" t="n"/>
      <c r="BK898" s="16" t="n"/>
      <c r="BL898" s="20" t="inlineStr">
        <is>
          <t>IC Kationen</t>
        </is>
      </c>
      <c r="BM898" s="20" t="inlineStr">
        <is>
          <t>None</t>
        </is>
      </c>
      <c r="BN898" s="17" t="n"/>
      <c r="BO898" s="16" t="n"/>
      <c r="BP898" s="20" t="inlineStr">
        <is>
          <t>IC Kationen</t>
        </is>
      </c>
      <c r="BQ898" s="20" t="inlineStr">
        <is>
          <t>None</t>
        </is>
      </c>
      <c r="BR898" s="17" t="n"/>
      <c r="BS898" s="16" t="n"/>
      <c r="BT898" s="20" t="inlineStr">
        <is>
          <t>IC Kationen</t>
        </is>
      </c>
      <c r="BU898" s="20" t="inlineStr">
        <is>
          <t>None</t>
        </is>
      </c>
      <c r="BV898" s="17" t="n"/>
      <c r="BW898" s="16" t="n"/>
      <c r="BX898" s="20" t="n"/>
      <c r="BY898" s="20" t="inlineStr">
        <is>
          <t>None</t>
        </is>
      </c>
      <c r="BZ898" s="17" t="n"/>
      <c r="CA898" s="16" t="n"/>
      <c r="CB898" s="20" t="n"/>
      <c r="CC898" s="20" t="inlineStr">
        <is>
          <t>None</t>
        </is>
      </c>
      <c r="CD898" s="17" t="n"/>
      <c r="CE898" s="16" t="n"/>
      <c r="CF898" s="20" t="n"/>
      <c r="CG898" s="20" t="inlineStr">
        <is>
          <t>None</t>
        </is>
      </c>
      <c r="CH898" s="17" t="n"/>
      <c r="CI898" s="16" t="n"/>
      <c r="CJ898" s="20" t="n"/>
      <c r="CK898" s="20" t="inlineStr">
        <is>
          <t>None</t>
        </is>
      </c>
      <c r="CL898" s="17" t="n"/>
      <c r="CM898" s="16" t="n"/>
      <c r="CN898" s="20" t="inlineStr">
        <is>
          <t>SOP 45-34</t>
        </is>
      </c>
      <c r="CO898" s="20" t="inlineStr">
        <is>
          <t>None</t>
        </is>
      </c>
      <c r="CP898" s="17" t="n"/>
      <c r="CQ898" s="16" t="n"/>
      <c r="CR898" s="20" t="n"/>
      <c r="CS898" s="20" t="inlineStr">
        <is>
          <t>None</t>
        </is>
      </c>
      <c r="CT898" s="17" t="n"/>
      <c r="CU898" s="16" t="n"/>
      <c r="CV898" s="20" t="n"/>
      <c r="CW898" s="20" t="inlineStr">
        <is>
          <t>None</t>
        </is>
      </c>
      <c r="CX898" s="17" t="n"/>
      <c r="CY898" s="16" t="n"/>
      <c r="CZ898" s="20" t="inlineStr">
        <is>
          <t>WTW Multimeter 3430 with FDO 925</t>
        </is>
      </c>
      <c r="DA898" s="20" t="inlineStr">
        <is>
          <t>None</t>
        </is>
      </c>
      <c r="DB898" s="17" t="n"/>
      <c r="DC898" s="16" t="n"/>
      <c r="DD898" s="20" t="n"/>
      <c r="DE898" s="20" t="inlineStr">
        <is>
          <t>None</t>
        </is>
      </c>
      <c r="DF898" s="17" t="n"/>
      <c r="DG898" s="16" t="n"/>
      <c r="DH898" s="20" t="inlineStr">
        <is>
          <t>SOP 45-09</t>
        </is>
      </c>
      <c r="DI898" s="20" t="inlineStr">
        <is>
          <t>None</t>
        </is>
      </c>
      <c r="DJ898" s="17" t="n"/>
      <c r="DK898" s="16" t="n"/>
      <c r="DL898" s="20" t="inlineStr">
        <is>
          <t>SOP 45-09 (SOP muss noch angepasst werden für VSS)</t>
        </is>
      </c>
      <c r="DM898" s="20" t="inlineStr">
        <is>
          <t>None</t>
        </is>
      </c>
      <c r="DN898" s="17" t="n"/>
      <c r="DO898" s="16" t="n"/>
      <c r="DP898" s="20" t="inlineStr">
        <is>
          <t>IC Organic Acids</t>
        </is>
      </c>
      <c r="DQ898" s="20" t="inlineStr">
        <is>
          <t>None</t>
        </is>
      </c>
      <c r="DR898" s="17" t="n"/>
      <c r="DS898" s="16" t="n"/>
      <c r="DT898" s="20" t="inlineStr">
        <is>
          <t>IC Organic Acids</t>
        </is>
      </c>
      <c r="DU898" s="20" t="inlineStr">
        <is>
          <t>None</t>
        </is>
      </c>
      <c r="DV898" s="17" t="n"/>
      <c r="DW898" s="16" t="n"/>
      <c r="DX898" s="20" t="inlineStr">
        <is>
          <t>IC Organic Acids</t>
        </is>
      </c>
      <c r="DY898" s="20" t="inlineStr">
        <is>
          <t>None</t>
        </is>
      </c>
      <c r="DZ898" s="17" t="n"/>
      <c r="EA898" s="16" t="n"/>
      <c r="EB898" s="20" t="inlineStr">
        <is>
          <t>IC Organic Acids</t>
        </is>
      </c>
      <c r="EC898" s="20" t="inlineStr">
        <is>
          <t>None</t>
        </is>
      </c>
      <c r="ED898" s="17" t="n"/>
      <c r="EE898" s="16" t="n"/>
      <c r="EF898" s="20" t="inlineStr">
        <is>
          <t>IC Organic Acids</t>
        </is>
      </c>
      <c r="EG898" s="20" t="inlineStr">
        <is>
          <t>None</t>
        </is>
      </c>
      <c r="EH898" s="17" t="n"/>
      <c r="EI898" s="16" t="n"/>
      <c r="EJ898" s="20" t="inlineStr">
        <is>
          <t>IC Organic Acids</t>
        </is>
      </c>
      <c r="EK898" s="20" t="inlineStr">
        <is>
          <t>None</t>
        </is>
      </c>
      <c r="EL898" s="17" t="n"/>
      <c r="EM898" s="16" t="n"/>
      <c r="EN898" s="20" t="inlineStr">
        <is>
          <t>IC Organic Acids</t>
        </is>
      </c>
      <c r="EO898" s="20" t="inlineStr">
        <is>
          <t>None</t>
        </is>
      </c>
      <c r="EP898" s="17" t="n"/>
      <c r="EQ898" s="16" t="n"/>
      <c r="ER898" s="20" t="inlineStr">
        <is>
          <t>IC Organic Acids</t>
        </is>
      </c>
      <c r="ES898" s="20" t="inlineStr">
        <is>
          <t>None</t>
        </is>
      </c>
      <c r="ET898" s="17" t="n"/>
      <c r="EU898" s="16" t="n"/>
      <c r="EV898" s="20" t="inlineStr">
        <is>
          <t>LC-MS</t>
        </is>
      </c>
      <c r="EW898" s="20" t="inlineStr">
        <is>
          <t>None</t>
        </is>
      </c>
      <c r="EX898" s="17" t="n"/>
      <c r="EY898" s="21" t="n"/>
      <c r="EZ898">
        <f>CONCATENATE(A898,B898)</f>
        <v/>
      </c>
      <c r="FA898">
        <f>CONCATENATE(SamplesX!A898,SamplesX!B898)</f>
        <v/>
      </c>
      <c r="FC898">
        <f>MATCH(EZ898,FA1:FA1008,0)</f>
        <v/>
      </c>
    </row>
    <row r="899">
      <c r="A899" s="16" t="n"/>
      <c r="B899" s="17" t="n"/>
      <c r="C899" s="10">
        <f>IF(ISNUMBER(FC899),INDIRECT("SamplesX!C"&amp;FC899),IF(ISNUMBER(FD899),INDIRECT("SamplesY!C"&amp;FD899),""))</f>
        <v/>
      </c>
      <c r="D899" s="12">
        <f>IF(ISNUMBER(FC899),INDIRECT("SamplesX!D"&amp;FC899),IF(ISNUMBER(FD899),INDIRECT("SamplesY!D"&amp;FD899),""))</f>
        <v/>
      </c>
      <c r="E899" s="12">
        <f>IF(ISNUMBER(FC899),INDIRECT("SamplesX!E"&amp;FC899),IF(ISNUMBER(FD899),INDIRECT("SamplesY!E"&amp;FD899),""))</f>
        <v/>
      </c>
      <c r="F899" s="11">
        <f>IF(ISNUMBER(FC899),INDIRECT("SamplesX!F"&amp;FC899),IF(ISNUMBER(FD899),INDIRECT("SamplesY!F"&amp;FD899),""))</f>
        <v/>
      </c>
      <c r="G899" s="18">
        <f>IF(ISNUMBER(FC899),INDIRECT("SamplesX!G"&amp;FC899),IF(ISNUMBER(FD899),INDIRECT("SamplesY!G"&amp;FD899),""))</f>
        <v/>
      </c>
      <c r="H899" s="19">
        <f>IF(ISNUMBER(FC899),INDIRECT("SamplesX!H"&amp;FC899),IF(ISNUMBER(FD899),INDIRECT("SamplesY!H"&amp;FD899),""))</f>
        <v/>
      </c>
      <c r="I899" s="16" t="n"/>
      <c r="J899" s="16" t="n"/>
      <c r="K899" s="16" t="n"/>
      <c r="L899" s="20" t="n"/>
      <c r="M899" s="20" t="inlineStr">
        <is>
          <t>None</t>
        </is>
      </c>
      <c r="N899" s="17" t="n"/>
      <c r="O899" s="16" t="n"/>
      <c r="P899" s="20" t="inlineStr">
        <is>
          <t>Shimadzu TOC-L</t>
        </is>
      </c>
      <c r="Q899" s="20" t="inlineStr">
        <is>
          <t>None</t>
        </is>
      </c>
      <c r="R899" s="17" t="n"/>
      <c r="S899" s="16" t="n"/>
      <c r="T899" s="20" t="inlineStr">
        <is>
          <t>Shimadzu TOC-L</t>
        </is>
      </c>
      <c r="U899" s="20" t="inlineStr">
        <is>
          <t>None</t>
        </is>
      </c>
      <c r="V899" s="17" t="n"/>
      <c r="W899" s="16" t="n"/>
      <c r="X899" s="20" t="n"/>
      <c r="Y899" s="20" t="inlineStr">
        <is>
          <t>None</t>
        </is>
      </c>
      <c r="Z899" s="17" t="n"/>
      <c r="AA899" s="16" t="n"/>
      <c r="AB899" s="20" t="n"/>
      <c r="AC899" s="20" t="inlineStr">
        <is>
          <t>None</t>
        </is>
      </c>
      <c r="AD899" s="17" t="n"/>
      <c r="AE899" s="16" t="n"/>
      <c r="AF899" s="20" t="inlineStr">
        <is>
          <t>IC Anionen</t>
        </is>
      </c>
      <c r="AG899" s="20" t="inlineStr">
        <is>
          <t>None</t>
        </is>
      </c>
      <c r="AH899" s="17" t="n"/>
      <c r="AI899" s="16" t="n"/>
      <c r="AJ899" s="20" t="n"/>
      <c r="AK899" s="20" t="inlineStr">
        <is>
          <t>None</t>
        </is>
      </c>
      <c r="AL899" s="17" t="n"/>
      <c r="AM899" s="16" t="n"/>
      <c r="AN899" s="20" t="inlineStr">
        <is>
          <t>IC Anionen</t>
        </is>
      </c>
      <c r="AO899" s="20" t="inlineStr">
        <is>
          <t>None</t>
        </is>
      </c>
      <c r="AP899" s="17" t="n"/>
      <c r="AQ899" s="16" t="n"/>
      <c r="AR899" s="20" t="n"/>
      <c r="AS899" s="20" t="inlineStr">
        <is>
          <t>None</t>
        </is>
      </c>
      <c r="AT899" s="17" t="n"/>
      <c r="AU899" s="16" t="n"/>
      <c r="AV899" s="20" t="n"/>
      <c r="AW899" s="20" t="inlineStr">
        <is>
          <t>None</t>
        </is>
      </c>
      <c r="AX899" s="17" t="n"/>
      <c r="AY899" s="16" t="n"/>
      <c r="AZ899" s="20" t="inlineStr">
        <is>
          <t>IC Anionen</t>
        </is>
      </c>
      <c r="BA899" s="20" t="inlineStr">
        <is>
          <t>None</t>
        </is>
      </c>
      <c r="BB899" s="17" t="n"/>
      <c r="BC899" s="16" t="n"/>
      <c r="BD899" s="20" t="inlineStr">
        <is>
          <t>IC Kationen</t>
        </is>
      </c>
      <c r="BE899" s="20" t="inlineStr">
        <is>
          <t>None</t>
        </is>
      </c>
      <c r="BF899" s="17" t="n"/>
      <c r="BG899" s="16" t="n"/>
      <c r="BH899" s="20" t="inlineStr">
        <is>
          <t>IC Kationen</t>
        </is>
      </c>
      <c r="BI899" s="20" t="inlineStr">
        <is>
          <t>None</t>
        </is>
      </c>
      <c r="BJ899" s="17" t="n"/>
      <c r="BK899" s="16" t="n"/>
      <c r="BL899" s="20" t="inlineStr">
        <is>
          <t>IC Kationen</t>
        </is>
      </c>
      <c r="BM899" s="20" t="inlineStr">
        <is>
          <t>None</t>
        </is>
      </c>
      <c r="BN899" s="17" t="n"/>
      <c r="BO899" s="16" t="n"/>
      <c r="BP899" s="20" t="inlineStr">
        <is>
          <t>IC Kationen</t>
        </is>
      </c>
      <c r="BQ899" s="20" t="inlineStr">
        <is>
          <t>None</t>
        </is>
      </c>
      <c r="BR899" s="17" t="n"/>
      <c r="BS899" s="16" t="n"/>
      <c r="BT899" s="20" t="inlineStr">
        <is>
          <t>IC Kationen</t>
        </is>
      </c>
      <c r="BU899" s="20" t="inlineStr">
        <is>
          <t>None</t>
        </is>
      </c>
      <c r="BV899" s="17" t="n"/>
      <c r="BW899" s="16" t="n"/>
      <c r="BX899" s="20" t="n"/>
      <c r="BY899" s="20" t="inlineStr">
        <is>
          <t>None</t>
        </is>
      </c>
      <c r="BZ899" s="17" t="n"/>
      <c r="CA899" s="16" t="n"/>
      <c r="CB899" s="20" t="n"/>
      <c r="CC899" s="20" t="inlineStr">
        <is>
          <t>None</t>
        </is>
      </c>
      <c r="CD899" s="17" t="n"/>
      <c r="CE899" s="16" t="n"/>
      <c r="CF899" s="20" t="n"/>
      <c r="CG899" s="20" t="inlineStr">
        <is>
          <t>None</t>
        </is>
      </c>
      <c r="CH899" s="17" t="n"/>
      <c r="CI899" s="16" t="n"/>
      <c r="CJ899" s="20" t="n"/>
      <c r="CK899" s="20" t="inlineStr">
        <is>
          <t>None</t>
        </is>
      </c>
      <c r="CL899" s="17" t="n"/>
      <c r="CM899" s="16" t="n"/>
      <c r="CN899" s="20" t="inlineStr">
        <is>
          <t>SOP 45-34</t>
        </is>
      </c>
      <c r="CO899" s="20" t="inlineStr">
        <is>
          <t>None</t>
        </is>
      </c>
      <c r="CP899" s="17" t="n"/>
      <c r="CQ899" s="16" t="n"/>
      <c r="CR899" s="20" t="n"/>
      <c r="CS899" s="20" t="inlineStr">
        <is>
          <t>None</t>
        </is>
      </c>
      <c r="CT899" s="17" t="n"/>
      <c r="CU899" s="16" t="n"/>
      <c r="CV899" s="20" t="n"/>
      <c r="CW899" s="20" t="inlineStr">
        <is>
          <t>None</t>
        </is>
      </c>
      <c r="CX899" s="17" t="n"/>
      <c r="CY899" s="16" t="n"/>
      <c r="CZ899" s="20" t="inlineStr">
        <is>
          <t>WTW Multimeter 3430 with FDO 925</t>
        </is>
      </c>
      <c r="DA899" s="20" t="inlineStr">
        <is>
          <t>None</t>
        </is>
      </c>
      <c r="DB899" s="17" t="n"/>
      <c r="DC899" s="16" t="n"/>
      <c r="DD899" s="20" t="n"/>
      <c r="DE899" s="20" t="inlineStr">
        <is>
          <t>None</t>
        </is>
      </c>
      <c r="DF899" s="17" t="n"/>
      <c r="DG899" s="16" t="n"/>
      <c r="DH899" s="20" t="inlineStr">
        <is>
          <t>SOP 45-09</t>
        </is>
      </c>
      <c r="DI899" s="20" t="inlineStr">
        <is>
          <t>None</t>
        </is>
      </c>
      <c r="DJ899" s="17" t="n"/>
      <c r="DK899" s="16" t="n"/>
      <c r="DL899" s="20" t="inlineStr">
        <is>
          <t>SOP 45-09 (SOP muss noch angepasst werden für VSS)</t>
        </is>
      </c>
      <c r="DM899" s="20" t="inlineStr">
        <is>
          <t>None</t>
        </is>
      </c>
      <c r="DN899" s="17" t="n"/>
      <c r="DO899" s="16" t="n"/>
      <c r="DP899" s="20" t="inlineStr">
        <is>
          <t>IC Organic Acids</t>
        </is>
      </c>
      <c r="DQ899" s="20" t="inlineStr">
        <is>
          <t>None</t>
        </is>
      </c>
      <c r="DR899" s="17" t="n"/>
      <c r="DS899" s="16" t="n"/>
      <c r="DT899" s="20" t="inlineStr">
        <is>
          <t>IC Organic Acids</t>
        </is>
      </c>
      <c r="DU899" s="20" t="inlineStr">
        <is>
          <t>None</t>
        </is>
      </c>
      <c r="DV899" s="17" t="n"/>
      <c r="DW899" s="16" t="n"/>
      <c r="DX899" s="20" t="inlineStr">
        <is>
          <t>IC Organic Acids</t>
        </is>
      </c>
      <c r="DY899" s="20" t="inlineStr">
        <is>
          <t>None</t>
        </is>
      </c>
      <c r="DZ899" s="17" t="n"/>
      <c r="EA899" s="16" t="n"/>
      <c r="EB899" s="20" t="inlineStr">
        <is>
          <t>IC Organic Acids</t>
        </is>
      </c>
      <c r="EC899" s="20" t="inlineStr">
        <is>
          <t>None</t>
        </is>
      </c>
      <c r="ED899" s="17" t="n"/>
      <c r="EE899" s="16" t="n"/>
      <c r="EF899" s="20" t="inlineStr">
        <is>
          <t>IC Organic Acids</t>
        </is>
      </c>
      <c r="EG899" s="20" t="inlineStr">
        <is>
          <t>None</t>
        </is>
      </c>
      <c r="EH899" s="17" t="n"/>
      <c r="EI899" s="16" t="n"/>
      <c r="EJ899" s="20" t="inlineStr">
        <is>
          <t>IC Organic Acids</t>
        </is>
      </c>
      <c r="EK899" s="20" t="inlineStr">
        <is>
          <t>None</t>
        </is>
      </c>
      <c r="EL899" s="17" t="n"/>
      <c r="EM899" s="16" t="n"/>
      <c r="EN899" s="20" t="inlineStr">
        <is>
          <t>IC Organic Acids</t>
        </is>
      </c>
      <c r="EO899" s="20" t="inlineStr">
        <is>
          <t>None</t>
        </is>
      </c>
      <c r="EP899" s="17" t="n"/>
      <c r="EQ899" s="16" t="n"/>
      <c r="ER899" s="20" t="inlineStr">
        <is>
          <t>IC Organic Acids</t>
        </is>
      </c>
      <c r="ES899" s="20" t="inlineStr">
        <is>
          <t>None</t>
        </is>
      </c>
      <c r="ET899" s="17" t="n"/>
      <c r="EU899" s="16" t="n"/>
      <c r="EV899" s="20" t="inlineStr">
        <is>
          <t>LC-MS</t>
        </is>
      </c>
      <c r="EW899" s="20" t="inlineStr">
        <is>
          <t>None</t>
        </is>
      </c>
      <c r="EX899" s="17" t="n"/>
      <c r="EY899" s="21" t="n"/>
      <c r="EZ899">
        <f>CONCATENATE(A899,B899)</f>
        <v/>
      </c>
      <c r="FA899">
        <f>CONCATENATE(SamplesX!A899,SamplesX!B899)</f>
        <v/>
      </c>
      <c r="FC899">
        <f>MATCH(EZ899,FA1:FA1008,0)</f>
        <v/>
      </c>
    </row>
    <row r="900">
      <c r="A900" s="16" t="n"/>
      <c r="B900" s="17" t="n"/>
      <c r="C900" s="10">
        <f>IF(ISNUMBER(FC900),INDIRECT("SamplesX!C"&amp;FC900),IF(ISNUMBER(FD900),INDIRECT("SamplesY!C"&amp;FD900),""))</f>
        <v/>
      </c>
      <c r="D900" s="12">
        <f>IF(ISNUMBER(FC900),INDIRECT("SamplesX!D"&amp;FC900),IF(ISNUMBER(FD900),INDIRECT("SamplesY!D"&amp;FD900),""))</f>
        <v/>
      </c>
      <c r="E900" s="12">
        <f>IF(ISNUMBER(FC900),INDIRECT("SamplesX!E"&amp;FC900),IF(ISNUMBER(FD900),INDIRECT("SamplesY!E"&amp;FD900),""))</f>
        <v/>
      </c>
      <c r="F900" s="11">
        <f>IF(ISNUMBER(FC900),INDIRECT("SamplesX!F"&amp;FC900),IF(ISNUMBER(FD900),INDIRECT("SamplesY!F"&amp;FD900),""))</f>
        <v/>
      </c>
      <c r="G900" s="18">
        <f>IF(ISNUMBER(FC900),INDIRECT("SamplesX!G"&amp;FC900),IF(ISNUMBER(FD900),INDIRECT("SamplesY!G"&amp;FD900),""))</f>
        <v/>
      </c>
      <c r="H900" s="19">
        <f>IF(ISNUMBER(FC900),INDIRECT("SamplesX!H"&amp;FC900),IF(ISNUMBER(FD900),INDIRECT("SamplesY!H"&amp;FD900),""))</f>
        <v/>
      </c>
      <c r="I900" s="16" t="n"/>
      <c r="J900" s="16" t="n"/>
      <c r="K900" s="16" t="n"/>
      <c r="L900" s="20" t="n"/>
      <c r="M900" s="20" t="inlineStr">
        <is>
          <t>None</t>
        </is>
      </c>
      <c r="N900" s="17" t="n"/>
      <c r="O900" s="16" t="n"/>
      <c r="P900" s="20" t="inlineStr">
        <is>
          <t>Shimadzu TOC-L</t>
        </is>
      </c>
      <c r="Q900" s="20" t="inlineStr">
        <is>
          <t>None</t>
        </is>
      </c>
      <c r="R900" s="17" t="n"/>
      <c r="S900" s="16" t="n"/>
      <c r="T900" s="20" t="inlineStr">
        <is>
          <t>Shimadzu TOC-L</t>
        </is>
      </c>
      <c r="U900" s="20" t="inlineStr">
        <is>
          <t>None</t>
        </is>
      </c>
      <c r="V900" s="17" t="n"/>
      <c r="W900" s="16" t="n"/>
      <c r="X900" s="20" t="n"/>
      <c r="Y900" s="20" t="inlineStr">
        <is>
          <t>None</t>
        </is>
      </c>
      <c r="Z900" s="17" t="n"/>
      <c r="AA900" s="16" t="n"/>
      <c r="AB900" s="20" t="n"/>
      <c r="AC900" s="20" t="inlineStr">
        <is>
          <t>None</t>
        </is>
      </c>
      <c r="AD900" s="17" t="n"/>
      <c r="AE900" s="16" t="n"/>
      <c r="AF900" s="20" t="inlineStr">
        <is>
          <t>IC Anionen</t>
        </is>
      </c>
      <c r="AG900" s="20" t="inlineStr">
        <is>
          <t>None</t>
        </is>
      </c>
      <c r="AH900" s="17" t="n"/>
      <c r="AI900" s="16" t="n"/>
      <c r="AJ900" s="20" t="n"/>
      <c r="AK900" s="20" t="inlineStr">
        <is>
          <t>None</t>
        </is>
      </c>
      <c r="AL900" s="17" t="n"/>
      <c r="AM900" s="16" t="n"/>
      <c r="AN900" s="20" t="inlineStr">
        <is>
          <t>IC Anionen</t>
        </is>
      </c>
      <c r="AO900" s="20" t="inlineStr">
        <is>
          <t>None</t>
        </is>
      </c>
      <c r="AP900" s="17" t="n"/>
      <c r="AQ900" s="16" t="n"/>
      <c r="AR900" s="20" t="n"/>
      <c r="AS900" s="20" t="inlineStr">
        <is>
          <t>None</t>
        </is>
      </c>
      <c r="AT900" s="17" t="n"/>
      <c r="AU900" s="16" t="n"/>
      <c r="AV900" s="20" t="n"/>
      <c r="AW900" s="20" t="inlineStr">
        <is>
          <t>None</t>
        </is>
      </c>
      <c r="AX900" s="17" t="n"/>
      <c r="AY900" s="16" t="n"/>
      <c r="AZ900" s="20" t="inlineStr">
        <is>
          <t>IC Anionen</t>
        </is>
      </c>
      <c r="BA900" s="20" t="inlineStr">
        <is>
          <t>None</t>
        </is>
      </c>
      <c r="BB900" s="17" t="n"/>
      <c r="BC900" s="16" t="n"/>
      <c r="BD900" s="20" t="inlineStr">
        <is>
          <t>IC Kationen</t>
        </is>
      </c>
      <c r="BE900" s="20" t="inlineStr">
        <is>
          <t>None</t>
        </is>
      </c>
      <c r="BF900" s="17" t="n"/>
      <c r="BG900" s="16" t="n"/>
      <c r="BH900" s="20" t="inlineStr">
        <is>
          <t>IC Kationen</t>
        </is>
      </c>
      <c r="BI900" s="20" t="inlineStr">
        <is>
          <t>None</t>
        </is>
      </c>
      <c r="BJ900" s="17" t="n"/>
      <c r="BK900" s="16" t="n"/>
      <c r="BL900" s="20" t="inlineStr">
        <is>
          <t>IC Kationen</t>
        </is>
      </c>
      <c r="BM900" s="20" t="inlineStr">
        <is>
          <t>None</t>
        </is>
      </c>
      <c r="BN900" s="17" t="n"/>
      <c r="BO900" s="16" t="n"/>
      <c r="BP900" s="20" t="inlineStr">
        <is>
          <t>IC Kationen</t>
        </is>
      </c>
      <c r="BQ900" s="20" t="inlineStr">
        <is>
          <t>None</t>
        </is>
      </c>
      <c r="BR900" s="17" t="n"/>
      <c r="BS900" s="16" t="n"/>
      <c r="BT900" s="20" t="inlineStr">
        <is>
          <t>IC Kationen</t>
        </is>
      </c>
      <c r="BU900" s="20" t="inlineStr">
        <is>
          <t>None</t>
        </is>
      </c>
      <c r="BV900" s="17" t="n"/>
      <c r="BW900" s="16" t="n"/>
      <c r="BX900" s="20" t="n"/>
      <c r="BY900" s="20" t="inlineStr">
        <is>
          <t>None</t>
        </is>
      </c>
      <c r="BZ900" s="17" t="n"/>
      <c r="CA900" s="16" t="n"/>
      <c r="CB900" s="20" t="n"/>
      <c r="CC900" s="20" t="inlineStr">
        <is>
          <t>None</t>
        </is>
      </c>
      <c r="CD900" s="17" t="n"/>
      <c r="CE900" s="16" t="n"/>
      <c r="CF900" s="20" t="n"/>
      <c r="CG900" s="20" t="inlineStr">
        <is>
          <t>None</t>
        </is>
      </c>
      <c r="CH900" s="17" t="n"/>
      <c r="CI900" s="16" t="n"/>
      <c r="CJ900" s="20" t="n"/>
      <c r="CK900" s="20" t="inlineStr">
        <is>
          <t>None</t>
        </is>
      </c>
      <c r="CL900" s="17" t="n"/>
      <c r="CM900" s="16" t="n"/>
      <c r="CN900" s="20" t="inlineStr">
        <is>
          <t>SOP 45-34</t>
        </is>
      </c>
      <c r="CO900" s="20" t="inlineStr">
        <is>
          <t>None</t>
        </is>
      </c>
      <c r="CP900" s="17" t="n"/>
      <c r="CQ900" s="16" t="n"/>
      <c r="CR900" s="20" t="n"/>
      <c r="CS900" s="20" t="inlineStr">
        <is>
          <t>None</t>
        </is>
      </c>
      <c r="CT900" s="17" t="n"/>
      <c r="CU900" s="16" t="n"/>
      <c r="CV900" s="20" t="n"/>
      <c r="CW900" s="20" t="inlineStr">
        <is>
          <t>None</t>
        </is>
      </c>
      <c r="CX900" s="17" t="n"/>
      <c r="CY900" s="16" t="n"/>
      <c r="CZ900" s="20" t="inlineStr">
        <is>
          <t>WTW Multimeter 3430 with FDO 925</t>
        </is>
      </c>
      <c r="DA900" s="20" t="inlineStr">
        <is>
          <t>None</t>
        </is>
      </c>
      <c r="DB900" s="17" t="n"/>
      <c r="DC900" s="16" t="n"/>
      <c r="DD900" s="20" t="n"/>
      <c r="DE900" s="20" t="inlineStr">
        <is>
          <t>None</t>
        </is>
      </c>
      <c r="DF900" s="17" t="n"/>
      <c r="DG900" s="16" t="n"/>
      <c r="DH900" s="20" t="inlineStr">
        <is>
          <t>SOP 45-09</t>
        </is>
      </c>
      <c r="DI900" s="20" t="inlineStr">
        <is>
          <t>None</t>
        </is>
      </c>
      <c r="DJ900" s="17" t="n"/>
      <c r="DK900" s="16" t="n"/>
      <c r="DL900" s="20" t="inlineStr">
        <is>
          <t>SOP 45-09 (SOP muss noch angepasst werden für VSS)</t>
        </is>
      </c>
      <c r="DM900" s="20" t="inlineStr">
        <is>
          <t>None</t>
        </is>
      </c>
      <c r="DN900" s="17" t="n"/>
      <c r="DO900" s="16" t="n"/>
      <c r="DP900" s="20" t="inlineStr">
        <is>
          <t>IC Organic Acids</t>
        </is>
      </c>
      <c r="DQ900" s="20" t="inlineStr">
        <is>
          <t>None</t>
        </is>
      </c>
      <c r="DR900" s="17" t="n"/>
      <c r="DS900" s="16" t="n"/>
      <c r="DT900" s="20" t="inlineStr">
        <is>
          <t>IC Organic Acids</t>
        </is>
      </c>
      <c r="DU900" s="20" t="inlineStr">
        <is>
          <t>None</t>
        </is>
      </c>
      <c r="DV900" s="17" t="n"/>
      <c r="DW900" s="16" t="n"/>
      <c r="DX900" s="20" t="inlineStr">
        <is>
          <t>IC Organic Acids</t>
        </is>
      </c>
      <c r="DY900" s="20" t="inlineStr">
        <is>
          <t>None</t>
        </is>
      </c>
      <c r="DZ900" s="17" t="n"/>
      <c r="EA900" s="16" t="n"/>
      <c r="EB900" s="20" t="inlineStr">
        <is>
          <t>IC Organic Acids</t>
        </is>
      </c>
      <c r="EC900" s="20" t="inlineStr">
        <is>
          <t>None</t>
        </is>
      </c>
      <c r="ED900" s="17" t="n"/>
      <c r="EE900" s="16" t="n"/>
      <c r="EF900" s="20" t="inlineStr">
        <is>
          <t>IC Organic Acids</t>
        </is>
      </c>
      <c r="EG900" s="20" t="inlineStr">
        <is>
          <t>None</t>
        </is>
      </c>
      <c r="EH900" s="17" t="n"/>
      <c r="EI900" s="16" t="n"/>
      <c r="EJ900" s="20" t="inlineStr">
        <is>
          <t>IC Organic Acids</t>
        </is>
      </c>
      <c r="EK900" s="20" t="inlineStr">
        <is>
          <t>None</t>
        </is>
      </c>
      <c r="EL900" s="17" t="n"/>
      <c r="EM900" s="16" t="n"/>
      <c r="EN900" s="20" t="inlineStr">
        <is>
          <t>IC Organic Acids</t>
        </is>
      </c>
      <c r="EO900" s="20" t="inlineStr">
        <is>
          <t>None</t>
        </is>
      </c>
      <c r="EP900" s="17" t="n"/>
      <c r="EQ900" s="16" t="n"/>
      <c r="ER900" s="20" t="inlineStr">
        <is>
          <t>IC Organic Acids</t>
        </is>
      </c>
      <c r="ES900" s="20" t="inlineStr">
        <is>
          <t>None</t>
        </is>
      </c>
      <c r="ET900" s="17" t="n"/>
      <c r="EU900" s="16" t="n"/>
      <c r="EV900" s="20" t="inlineStr">
        <is>
          <t>LC-MS</t>
        </is>
      </c>
      <c r="EW900" s="20" t="inlineStr">
        <is>
          <t>None</t>
        </is>
      </c>
      <c r="EX900" s="17" t="n"/>
      <c r="EY900" s="21" t="n"/>
      <c r="EZ900">
        <f>CONCATENATE(A900,B900)</f>
        <v/>
      </c>
      <c r="FA900">
        <f>CONCATENATE(SamplesX!A900,SamplesX!B900)</f>
        <v/>
      </c>
      <c r="FC900">
        <f>MATCH(EZ900,FA1:FA1008,0)</f>
        <v/>
      </c>
    </row>
    <row r="901">
      <c r="A901" s="16" t="n"/>
      <c r="B901" s="17" t="n"/>
      <c r="C901" s="10">
        <f>IF(ISNUMBER(FC901),INDIRECT("SamplesX!C"&amp;FC901),IF(ISNUMBER(FD901),INDIRECT("SamplesY!C"&amp;FD901),""))</f>
        <v/>
      </c>
      <c r="D901" s="12">
        <f>IF(ISNUMBER(FC901),INDIRECT("SamplesX!D"&amp;FC901),IF(ISNUMBER(FD901),INDIRECT("SamplesY!D"&amp;FD901),""))</f>
        <v/>
      </c>
      <c r="E901" s="12">
        <f>IF(ISNUMBER(FC901),INDIRECT("SamplesX!E"&amp;FC901),IF(ISNUMBER(FD901),INDIRECT("SamplesY!E"&amp;FD901),""))</f>
        <v/>
      </c>
      <c r="F901" s="11">
        <f>IF(ISNUMBER(FC901),INDIRECT("SamplesX!F"&amp;FC901),IF(ISNUMBER(FD901),INDIRECT("SamplesY!F"&amp;FD901),""))</f>
        <v/>
      </c>
      <c r="G901" s="18">
        <f>IF(ISNUMBER(FC901),INDIRECT("SamplesX!G"&amp;FC901),IF(ISNUMBER(FD901),INDIRECT("SamplesY!G"&amp;FD901),""))</f>
        <v/>
      </c>
      <c r="H901" s="19">
        <f>IF(ISNUMBER(FC901),INDIRECT("SamplesX!H"&amp;FC901),IF(ISNUMBER(FD901),INDIRECT("SamplesY!H"&amp;FD901),""))</f>
        <v/>
      </c>
      <c r="I901" s="16" t="n"/>
      <c r="J901" s="16" t="n"/>
      <c r="K901" s="16" t="n"/>
      <c r="L901" s="20" t="n"/>
      <c r="M901" s="20" t="inlineStr">
        <is>
          <t>None</t>
        </is>
      </c>
      <c r="N901" s="17" t="n"/>
      <c r="O901" s="16" t="n"/>
      <c r="P901" s="20" t="inlineStr">
        <is>
          <t>Shimadzu TOC-L</t>
        </is>
      </c>
      <c r="Q901" s="20" t="inlineStr">
        <is>
          <t>None</t>
        </is>
      </c>
      <c r="R901" s="17" t="n"/>
      <c r="S901" s="16" t="n"/>
      <c r="T901" s="20" t="inlineStr">
        <is>
          <t>Shimadzu TOC-L</t>
        </is>
      </c>
      <c r="U901" s="20" t="inlineStr">
        <is>
          <t>None</t>
        </is>
      </c>
      <c r="V901" s="17" t="n"/>
      <c r="W901" s="16" t="n"/>
      <c r="X901" s="20" t="n"/>
      <c r="Y901" s="20" t="inlineStr">
        <is>
          <t>None</t>
        </is>
      </c>
      <c r="Z901" s="17" t="n"/>
      <c r="AA901" s="16" t="n"/>
      <c r="AB901" s="20" t="n"/>
      <c r="AC901" s="20" t="inlineStr">
        <is>
          <t>None</t>
        </is>
      </c>
      <c r="AD901" s="17" t="n"/>
      <c r="AE901" s="16" t="n"/>
      <c r="AF901" s="20" t="inlineStr">
        <is>
          <t>IC Anionen</t>
        </is>
      </c>
      <c r="AG901" s="20" t="inlineStr">
        <is>
          <t>None</t>
        </is>
      </c>
      <c r="AH901" s="17" t="n"/>
      <c r="AI901" s="16" t="n"/>
      <c r="AJ901" s="20" t="n"/>
      <c r="AK901" s="20" t="inlineStr">
        <is>
          <t>None</t>
        </is>
      </c>
      <c r="AL901" s="17" t="n"/>
      <c r="AM901" s="16" t="n"/>
      <c r="AN901" s="20" t="inlineStr">
        <is>
          <t>IC Anionen</t>
        </is>
      </c>
      <c r="AO901" s="20" t="inlineStr">
        <is>
          <t>None</t>
        </is>
      </c>
      <c r="AP901" s="17" t="n"/>
      <c r="AQ901" s="16" t="n"/>
      <c r="AR901" s="20" t="n"/>
      <c r="AS901" s="20" t="inlineStr">
        <is>
          <t>None</t>
        </is>
      </c>
      <c r="AT901" s="17" t="n"/>
      <c r="AU901" s="16" t="n"/>
      <c r="AV901" s="20" t="n"/>
      <c r="AW901" s="20" t="inlineStr">
        <is>
          <t>None</t>
        </is>
      </c>
      <c r="AX901" s="17" t="n"/>
      <c r="AY901" s="16" t="n"/>
      <c r="AZ901" s="20" t="inlineStr">
        <is>
          <t>IC Anionen</t>
        </is>
      </c>
      <c r="BA901" s="20" t="inlineStr">
        <is>
          <t>None</t>
        </is>
      </c>
      <c r="BB901" s="17" t="n"/>
      <c r="BC901" s="16" t="n"/>
      <c r="BD901" s="20" t="inlineStr">
        <is>
          <t>IC Kationen</t>
        </is>
      </c>
      <c r="BE901" s="20" t="inlineStr">
        <is>
          <t>None</t>
        </is>
      </c>
      <c r="BF901" s="17" t="n"/>
      <c r="BG901" s="16" t="n"/>
      <c r="BH901" s="20" t="inlineStr">
        <is>
          <t>IC Kationen</t>
        </is>
      </c>
      <c r="BI901" s="20" t="inlineStr">
        <is>
          <t>None</t>
        </is>
      </c>
      <c r="BJ901" s="17" t="n"/>
      <c r="BK901" s="16" t="n"/>
      <c r="BL901" s="20" t="inlineStr">
        <is>
          <t>IC Kationen</t>
        </is>
      </c>
      <c r="BM901" s="20" t="inlineStr">
        <is>
          <t>None</t>
        </is>
      </c>
      <c r="BN901" s="17" t="n"/>
      <c r="BO901" s="16" t="n"/>
      <c r="BP901" s="20" t="inlineStr">
        <is>
          <t>IC Kationen</t>
        </is>
      </c>
      <c r="BQ901" s="20" t="inlineStr">
        <is>
          <t>None</t>
        </is>
      </c>
      <c r="BR901" s="17" t="n"/>
      <c r="BS901" s="16" t="n"/>
      <c r="BT901" s="20" t="inlineStr">
        <is>
          <t>IC Kationen</t>
        </is>
      </c>
      <c r="BU901" s="20" t="inlineStr">
        <is>
          <t>None</t>
        </is>
      </c>
      <c r="BV901" s="17" t="n"/>
      <c r="BW901" s="16" t="n"/>
      <c r="BX901" s="20" t="n"/>
      <c r="BY901" s="20" t="inlineStr">
        <is>
          <t>None</t>
        </is>
      </c>
      <c r="BZ901" s="17" t="n"/>
      <c r="CA901" s="16" t="n"/>
      <c r="CB901" s="20" t="n"/>
      <c r="CC901" s="20" t="inlineStr">
        <is>
          <t>None</t>
        </is>
      </c>
      <c r="CD901" s="17" t="n"/>
      <c r="CE901" s="16" t="n"/>
      <c r="CF901" s="20" t="n"/>
      <c r="CG901" s="20" t="inlineStr">
        <is>
          <t>None</t>
        </is>
      </c>
      <c r="CH901" s="17" t="n"/>
      <c r="CI901" s="16" t="n"/>
      <c r="CJ901" s="20" t="n"/>
      <c r="CK901" s="20" t="inlineStr">
        <is>
          <t>None</t>
        </is>
      </c>
      <c r="CL901" s="17" t="n"/>
      <c r="CM901" s="16" t="n"/>
      <c r="CN901" s="20" t="inlineStr">
        <is>
          <t>SOP 45-34</t>
        </is>
      </c>
      <c r="CO901" s="20" t="inlineStr">
        <is>
          <t>None</t>
        </is>
      </c>
      <c r="CP901" s="17" t="n"/>
      <c r="CQ901" s="16" t="n"/>
      <c r="CR901" s="20" t="n"/>
      <c r="CS901" s="20" t="inlineStr">
        <is>
          <t>None</t>
        </is>
      </c>
      <c r="CT901" s="17" t="n"/>
      <c r="CU901" s="16" t="n"/>
      <c r="CV901" s="20" t="n"/>
      <c r="CW901" s="20" t="inlineStr">
        <is>
          <t>None</t>
        </is>
      </c>
      <c r="CX901" s="17" t="n"/>
      <c r="CY901" s="16" t="n"/>
      <c r="CZ901" s="20" t="inlineStr">
        <is>
          <t>WTW Multimeter 3430 with FDO 925</t>
        </is>
      </c>
      <c r="DA901" s="20" t="inlineStr">
        <is>
          <t>None</t>
        </is>
      </c>
      <c r="DB901" s="17" t="n"/>
      <c r="DC901" s="16" t="n"/>
      <c r="DD901" s="20" t="n"/>
      <c r="DE901" s="20" t="inlineStr">
        <is>
          <t>None</t>
        </is>
      </c>
      <c r="DF901" s="17" t="n"/>
      <c r="DG901" s="16" t="n"/>
      <c r="DH901" s="20" t="inlineStr">
        <is>
          <t>SOP 45-09</t>
        </is>
      </c>
      <c r="DI901" s="20" t="inlineStr">
        <is>
          <t>None</t>
        </is>
      </c>
      <c r="DJ901" s="17" t="n"/>
      <c r="DK901" s="16" t="n"/>
      <c r="DL901" s="20" t="inlineStr">
        <is>
          <t>SOP 45-09 (SOP muss noch angepasst werden für VSS)</t>
        </is>
      </c>
      <c r="DM901" s="20" t="inlineStr">
        <is>
          <t>None</t>
        </is>
      </c>
      <c r="DN901" s="17" t="n"/>
      <c r="DO901" s="16" t="n"/>
      <c r="DP901" s="20" t="inlineStr">
        <is>
          <t>IC Organic Acids</t>
        </is>
      </c>
      <c r="DQ901" s="20" t="inlineStr">
        <is>
          <t>None</t>
        </is>
      </c>
      <c r="DR901" s="17" t="n"/>
      <c r="DS901" s="16" t="n"/>
      <c r="DT901" s="20" t="inlineStr">
        <is>
          <t>IC Organic Acids</t>
        </is>
      </c>
      <c r="DU901" s="20" t="inlineStr">
        <is>
          <t>None</t>
        </is>
      </c>
      <c r="DV901" s="17" t="n"/>
      <c r="DW901" s="16" t="n"/>
      <c r="DX901" s="20" t="inlineStr">
        <is>
          <t>IC Organic Acids</t>
        </is>
      </c>
      <c r="DY901" s="20" t="inlineStr">
        <is>
          <t>None</t>
        </is>
      </c>
      <c r="DZ901" s="17" t="n"/>
      <c r="EA901" s="16" t="n"/>
      <c r="EB901" s="20" t="inlineStr">
        <is>
          <t>IC Organic Acids</t>
        </is>
      </c>
      <c r="EC901" s="20" t="inlineStr">
        <is>
          <t>None</t>
        </is>
      </c>
      <c r="ED901" s="17" t="n"/>
      <c r="EE901" s="16" t="n"/>
      <c r="EF901" s="20" t="inlineStr">
        <is>
          <t>IC Organic Acids</t>
        </is>
      </c>
      <c r="EG901" s="20" t="inlineStr">
        <is>
          <t>None</t>
        </is>
      </c>
      <c r="EH901" s="17" t="n"/>
      <c r="EI901" s="16" t="n"/>
      <c r="EJ901" s="20" t="inlineStr">
        <is>
          <t>IC Organic Acids</t>
        </is>
      </c>
      <c r="EK901" s="20" t="inlineStr">
        <is>
          <t>None</t>
        </is>
      </c>
      <c r="EL901" s="17" t="n"/>
      <c r="EM901" s="16" t="n"/>
      <c r="EN901" s="20" t="inlineStr">
        <is>
          <t>IC Organic Acids</t>
        </is>
      </c>
      <c r="EO901" s="20" t="inlineStr">
        <is>
          <t>None</t>
        </is>
      </c>
      <c r="EP901" s="17" t="n"/>
      <c r="EQ901" s="16" t="n"/>
      <c r="ER901" s="20" t="inlineStr">
        <is>
          <t>IC Organic Acids</t>
        </is>
      </c>
      <c r="ES901" s="20" t="inlineStr">
        <is>
          <t>None</t>
        </is>
      </c>
      <c r="ET901" s="17" t="n"/>
      <c r="EU901" s="16" t="n"/>
      <c r="EV901" s="20" t="inlineStr">
        <is>
          <t>LC-MS</t>
        </is>
      </c>
      <c r="EW901" s="20" t="inlineStr">
        <is>
          <t>None</t>
        </is>
      </c>
      <c r="EX901" s="17" t="n"/>
      <c r="EY901" s="21" t="n"/>
      <c r="EZ901">
        <f>CONCATENATE(A901,B901)</f>
        <v/>
      </c>
      <c r="FA901">
        <f>CONCATENATE(SamplesX!A901,SamplesX!B901)</f>
        <v/>
      </c>
      <c r="FC901">
        <f>MATCH(EZ901,FA1:FA1008,0)</f>
        <v/>
      </c>
    </row>
    <row r="902">
      <c r="A902" s="16" t="n"/>
      <c r="B902" s="17" t="n"/>
      <c r="C902" s="10">
        <f>IF(ISNUMBER(FC902),INDIRECT("SamplesX!C"&amp;FC902),IF(ISNUMBER(FD902),INDIRECT("SamplesY!C"&amp;FD902),""))</f>
        <v/>
      </c>
      <c r="D902" s="12">
        <f>IF(ISNUMBER(FC902),INDIRECT("SamplesX!D"&amp;FC902),IF(ISNUMBER(FD902),INDIRECT("SamplesY!D"&amp;FD902),""))</f>
        <v/>
      </c>
      <c r="E902" s="12">
        <f>IF(ISNUMBER(FC902),INDIRECT("SamplesX!E"&amp;FC902),IF(ISNUMBER(FD902),INDIRECT("SamplesY!E"&amp;FD902),""))</f>
        <v/>
      </c>
      <c r="F902" s="11">
        <f>IF(ISNUMBER(FC902),INDIRECT("SamplesX!F"&amp;FC902),IF(ISNUMBER(FD902),INDIRECT("SamplesY!F"&amp;FD902),""))</f>
        <v/>
      </c>
      <c r="G902" s="18">
        <f>IF(ISNUMBER(FC902),INDIRECT("SamplesX!G"&amp;FC902),IF(ISNUMBER(FD902),INDIRECT("SamplesY!G"&amp;FD902),""))</f>
        <v/>
      </c>
      <c r="H902" s="19">
        <f>IF(ISNUMBER(FC902),INDIRECT("SamplesX!H"&amp;FC902),IF(ISNUMBER(FD902),INDIRECT("SamplesY!H"&amp;FD902),""))</f>
        <v/>
      </c>
      <c r="I902" s="16" t="n"/>
      <c r="J902" s="16" t="n"/>
      <c r="K902" s="16" t="n"/>
      <c r="L902" s="20" t="n"/>
      <c r="M902" s="20" t="inlineStr">
        <is>
          <t>None</t>
        </is>
      </c>
      <c r="N902" s="17" t="n"/>
      <c r="O902" s="16" t="n"/>
      <c r="P902" s="20" t="inlineStr">
        <is>
          <t>Shimadzu TOC-L</t>
        </is>
      </c>
      <c r="Q902" s="20" t="inlineStr">
        <is>
          <t>None</t>
        </is>
      </c>
      <c r="R902" s="17" t="n"/>
      <c r="S902" s="16" t="n"/>
      <c r="T902" s="20" t="inlineStr">
        <is>
          <t>Shimadzu TOC-L</t>
        </is>
      </c>
      <c r="U902" s="20" t="inlineStr">
        <is>
          <t>None</t>
        </is>
      </c>
      <c r="V902" s="17" t="n"/>
      <c r="W902" s="16" t="n"/>
      <c r="X902" s="20" t="n"/>
      <c r="Y902" s="20" t="inlineStr">
        <is>
          <t>None</t>
        </is>
      </c>
      <c r="Z902" s="17" t="n"/>
      <c r="AA902" s="16" t="n"/>
      <c r="AB902" s="20" t="n"/>
      <c r="AC902" s="20" t="inlineStr">
        <is>
          <t>None</t>
        </is>
      </c>
      <c r="AD902" s="17" t="n"/>
      <c r="AE902" s="16" t="n"/>
      <c r="AF902" s="20" t="inlineStr">
        <is>
          <t>IC Anionen</t>
        </is>
      </c>
      <c r="AG902" s="20" t="inlineStr">
        <is>
          <t>None</t>
        </is>
      </c>
      <c r="AH902" s="17" t="n"/>
      <c r="AI902" s="16" t="n"/>
      <c r="AJ902" s="20" t="n"/>
      <c r="AK902" s="20" t="inlineStr">
        <is>
          <t>None</t>
        </is>
      </c>
      <c r="AL902" s="17" t="n"/>
      <c r="AM902" s="16" t="n"/>
      <c r="AN902" s="20" t="inlineStr">
        <is>
          <t>IC Anionen</t>
        </is>
      </c>
      <c r="AO902" s="20" t="inlineStr">
        <is>
          <t>None</t>
        </is>
      </c>
      <c r="AP902" s="17" t="n"/>
      <c r="AQ902" s="16" t="n"/>
      <c r="AR902" s="20" t="n"/>
      <c r="AS902" s="20" t="inlineStr">
        <is>
          <t>None</t>
        </is>
      </c>
      <c r="AT902" s="17" t="n"/>
      <c r="AU902" s="16" t="n"/>
      <c r="AV902" s="20" t="n"/>
      <c r="AW902" s="20" t="inlineStr">
        <is>
          <t>None</t>
        </is>
      </c>
      <c r="AX902" s="17" t="n"/>
      <c r="AY902" s="16" t="n"/>
      <c r="AZ902" s="20" t="inlineStr">
        <is>
          <t>IC Anionen</t>
        </is>
      </c>
      <c r="BA902" s="20" t="inlineStr">
        <is>
          <t>None</t>
        </is>
      </c>
      <c r="BB902" s="17" t="n"/>
      <c r="BC902" s="16" t="n"/>
      <c r="BD902" s="20" t="inlineStr">
        <is>
          <t>IC Kationen</t>
        </is>
      </c>
      <c r="BE902" s="20" t="inlineStr">
        <is>
          <t>None</t>
        </is>
      </c>
      <c r="BF902" s="17" t="n"/>
      <c r="BG902" s="16" t="n"/>
      <c r="BH902" s="20" t="inlineStr">
        <is>
          <t>IC Kationen</t>
        </is>
      </c>
      <c r="BI902" s="20" t="inlineStr">
        <is>
          <t>None</t>
        </is>
      </c>
      <c r="BJ902" s="17" t="n"/>
      <c r="BK902" s="16" t="n"/>
      <c r="BL902" s="20" t="inlineStr">
        <is>
          <t>IC Kationen</t>
        </is>
      </c>
      <c r="BM902" s="20" t="inlineStr">
        <is>
          <t>None</t>
        </is>
      </c>
      <c r="BN902" s="17" t="n"/>
      <c r="BO902" s="16" t="n"/>
      <c r="BP902" s="20" t="inlineStr">
        <is>
          <t>IC Kationen</t>
        </is>
      </c>
      <c r="BQ902" s="20" t="inlineStr">
        <is>
          <t>None</t>
        </is>
      </c>
      <c r="BR902" s="17" t="n"/>
      <c r="BS902" s="16" t="n"/>
      <c r="BT902" s="20" t="inlineStr">
        <is>
          <t>IC Kationen</t>
        </is>
      </c>
      <c r="BU902" s="20" t="inlineStr">
        <is>
          <t>None</t>
        </is>
      </c>
      <c r="BV902" s="17" t="n"/>
      <c r="BW902" s="16" t="n"/>
      <c r="BX902" s="20" t="n"/>
      <c r="BY902" s="20" t="inlineStr">
        <is>
          <t>None</t>
        </is>
      </c>
      <c r="BZ902" s="17" t="n"/>
      <c r="CA902" s="16" t="n"/>
      <c r="CB902" s="20" t="n"/>
      <c r="CC902" s="20" t="inlineStr">
        <is>
          <t>None</t>
        </is>
      </c>
      <c r="CD902" s="17" t="n"/>
      <c r="CE902" s="16" t="n"/>
      <c r="CF902" s="20" t="n"/>
      <c r="CG902" s="20" t="inlineStr">
        <is>
          <t>None</t>
        </is>
      </c>
      <c r="CH902" s="17" t="n"/>
      <c r="CI902" s="16" t="n"/>
      <c r="CJ902" s="20" t="n"/>
      <c r="CK902" s="20" t="inlineStr">
        <is>
          <t>None</t>
        </is>
      </c>
      <c r="CL902" s="17" t="n"/>
      <c r="CM902" s="16" t="n"/>
      <c r="CN902" s="20" t="inlineStr">
        <is>
          <t>SOP 45-34</t>
        </is>
      </c>
      <c r="CO902" s="20" t="inlineStr">
        <is>
          <t>None</t>
        </is>
      </c>
      <c r="CP902" s="17" t="n"/>
      <c r="CQ902" s="16" t="n"/>
      <c r="CR902" s="20" t="n"/>
      <c r="CS902" s="20" t="inlineStr">
        <is>
          <t>None</t>
        </is>
      </c>
      <c r="CT902" s="17" t="n"/>
      <c r="CU902" s="16" t="n"/>
      <c r="CV902" s="20" t="n"/>
      <c r="CW902" s="20" t="inlineStr">
        <is>
          <t>None</t>
        </is>
      </c>
      <c r="CX902" s="17" t="n"/>
      <c r="CY902" s="16" t="n"/>
      <c r="CZ902" s="20" t="inlineStr">
        <is>
          <t>WTW Multimeter 3430 with FDO 925</t>
        </is>
      </c>
      <c r="DA902" s="20" t="inlineStr">
        <is>
          <t>None</t>
        </is>
      </c>
      <c r="DB902" s="17" t="n"/>
      <c r="DC902" s="16" t="n"/>
      <c r="DD902" s="20" t="n"/>
      <c r="DE902" s="20" t="inlineStr">
        <is>
          <t>None</t>
        </is>
      </c>
      <c r="DF902" s="17" t="n"/>
      <c r="DG902" s="16" t="n"/>
      <c r="DH902" s="20" t="inlineStr">
        <is>
          <t>SOP 45-09</t>
        </is>
      </c>
      <c r="DI902" s="20" t="inlineStr">
        <is>
          <t>None</t>
        </is>
      </c>
      <c r="DJ902" s="17" t="n"/>
      <c r="DK902" s="16" t="n"/>
      <c r="DL902" s="20" t="inlineStr">
        <is>
          <t>SOP 45-09 (SOP muss noch angepasst werden für VSS)</t>
        </is>
      </c>
      <c r="DM902" s="20" t="inlineStr">
        <is>
          <t>None</t>
        </is>
      </c>
      <c r="DN902" s="17" t="n"/>
      <c r="DO902" s="16" t="n"/>
      <c r="DP902" s="20" t="inlineStr">
        <is>
          <t>IC Organic Acids</t>
        </is>
      </c>
      <c r="DQ902" s="20" t="inlineStr">
        <is>
          <t>None</t>
        </is>
      </c>
      <c r="DR902" s="17" t="n"/>
      <c r="DS902" s="16" t="n"/>
      <c r="DT902" s="20" t="inlineStr">
        <is>
          <t>IC Organic Acids</t>
        </is>
      </c>
      <c r="DU902" s="20" t="inlineStr">
        <is>
          <t>None</t>
        </is>
      </c>
      <c r="DV902" s="17" t="n"/>
      <c r="DW902" s="16" t="n"/>
      <c r="DX902" s="20" t="inlineStr">
        <is>
          <t>IC Organic Acids</t>
        </is>
      </c>
      <c r="DY902" s="20" t="inlineStr">
        <is>
          <t>None</t>
        </is>
      </c>
      <c r="DZ902" s="17" t="n"/>
      <c r="EA902" s="16" t="n"/>
      <c r="EB902" s="20" t="inlineStr">
        <is>
          <t>IC Organic Acids</t>
        </is>
      </c>
      <c r="EC902" s="20" t="inlineStr">
        <is>
          <t>None</t>
        </is>
      </c>
      <c r="ED902" s="17" t="n"/>
      <c r="EE902" s="16" t="n"/>
      <c r="EF902" s="20" t="inlineStr">
        <is>
          <t>IC Organic Acids</t>
        </is>
      </c>
      <c r="EG902" s="20" t="inlineStr">
        <is>
          <t>None</t>
        </is>
      </c>
      <c r="EH902" s="17" t="n"/>
      <c r="EI902" s="16" t="n"/>
      <c r="EJ902" s="20" t="inlineStr">
        <is>
          <t>IC Organic Acids</t>
        </is>
      </c>
      <c r="EK902" s="20" t="inlineStr">
        <is>
          <t>None</t>
        </is>
      </c>
      <c r="EL902" s="17" t="n"/>
      <c r="EM902" s="16" t="n"/>
      <c r="EN902" s="20" t="inlineStr">
        <is>
          <t>IC Organic Acids</t>
        </is>
      </c>
      <c r="EO902" s="20" t="inlineStr">
        <is>
          <t>None</t>
        </is>
      </c>
      <c r="EP902" s="17" t="n"/>
      <c r="EQ902" s="16" t="n"/>
      <c r="ER902" s="20" t="inlineStr">
        <is>
          <t>IC Organic Acids</t>
        </is>
      </c>
      <c r="ES902" s="20" t="inlineStr">
        <is>
          <t>None</t>
        </is>
      </c>
      <c r="ET902" s="17" t="n"/>
      <c r="EU902" s="16" t="n"/>
      <c r="EV902" s="20" t="inlineStr">
        <is>
          <t>LC-MS</t>
        </is>
      </c>
      <c r="EW902" s="20" t="inlineStr">
        <is>
          <t>None</t>
        </is>
      </c>
      <c r="EX902" s="17" t="n"/>
      <c r="EY902" s="21" t="n"/>
      <c r="EZ902">
        <f>CONCATENATE(A902,B902)</f>
        <v/>
      </c>
      <c r="FA902">
        <f>CONCATENATE(SamplesX!A902,SamplesX!B902)</f>
        <v/>
      </c>
      <c r="FC902">
        <f>MATCH(EZ902,FA1:FA1008,0)</f>
        <v/>
      </c>
    </row>
    <row r="903">
      <c r="A903" s="16" t="n"/>
      <c r="B903" s="17" t="n"/>
      <c r="C903" s="10">
        <f>IF(ISNUMBER(FC903),INDIRECT("SamplesX!C"&amp;FC903),IF(ISNUMBER(FD903),INDIRECT("SamplesY!C"&amp;FD903),""))</f>
        <v/>
      </c>
      <c r="D903" s="12">
        <f>IF(ISNUMBER(FC903),INDIRECT("SamplesX!D"&amp;FC903),IF(ISNUMBER(FD903),INDIRECT("SamplesY!D"&amp;FD903),""))</f>
        <v/>
      </c>
      <c r="E903" s="12">
        <f>IF(ISNUMBER(FC903),INDIRECT("SamplesX!E"&amp;FC903),IF(ISNUMBER(FD903),INDIRECT("SamplesY!E"&amp;FD903),""))</f>
        <v/>
      </c>
      <c r="F903" s="11">
        <f>IF(ISNUMBER(FC903),INDIRECT("SamplesX!F"&amp;FC903),IF(ISNUMBER(FD903),INDIRECT("SamplesY!F"&amp;FD903),""))</f>
        <v/>
      </c>
      <c r="G903" s="18">
        <f>IF(ISNUMBER(FC903),INDIRECT("SamplesX!G"&amp;FC903),IF(ISNUMBER(FD903),INDIRECT("SamplesY!G"&amp;FD903),""))</f>
        <v/>
      </c>
      <c r="H903" s="19">
        <f>IF(ISNUMBER(FC903),INDIRECT("SamplesX!H"&amp;FC903),IF(ISNUMBER(FD903),INDIRECT("SamplesY!H"&amp;FD903),""))</f>
        <v/>
      </c>
      <c r="I903" s="16" t="n"/>
      <c r="J903" s="16" t="n"/>
      <c r="K903" s="16" t="n"/>
      <c r="L903" s="20" t="n"/>
      <c r="M903" s="20" t="inlineStr">
        <is>
          <t>None</t>
        </is>
      </c>
      <c r="N903" s="17" t="n"/>
      <c r="O903" s="16" t="n"/>
      <c r="P903" s="20" t="inlineStr">
        <is>
          <t>Shimadzu TOC-L</t>
        </is>
      </c>
      <c r="Q903" s="20" t="inlineStr">
        <is>
          <t>None</t>
        </is>
      </c>
      <c r="R903" s="17" t="n"/>
      <c r="S903" s="16" t="n"/>
      <c r="T903" s="20" t="inlineStr">
        <is>
          <t>Shimadzu TOC-L</t>
        </is>
      </c>
      <c r="U903" s="20" t="inlineStr">
        <is>
          <t>None</t>
        </is>
      </c>
      <c r="V903" s="17" t="n"/>
      <c r="W903" s="16" t="n"/>
      <c r="X903" s="20" t="n"/>
      <c r="Y903" s="20" t="inlineStr">
        <is>
          <t>None</t>
        </is>
      </c>
      <c r="Z903" s="17" t="n"/>
      <c r="AA903" s="16" t="n"/>
      <c r="AB903" s="20" t="n"/>
      <c r="AC903" s="20" t="inlineStr">
        <is>
          <t>None</t>
        </is>
      </c>
      <c r="AD903" s="17" t="n"/>
      <c r="AE903" s="16" t="n"/>
      <c r="AF903" s="20" t="inlineStr">
        <is>
          <t>IC Anionen</t>
        </is>
      </c>
      <c r="AG903" s="20" t="inlineStr">
        <is>
          <t>None</t>
        </is>
      </c>
      <c r="AH903" s="17" t="n"/>
      <c r="AI903" s="16" t="n"/>
      <c r="AJ903" s="20" t="n"/>
      <c r="AK903" s="20" t="inlineStr">
        <is>
          <t>None</t>
        </is>
      </c>
      <c r="AL903" s="17" t="n"/>
      <c r="AM903" s="16" t="n"/>
      <c r="AN903" s="20" t="inlineStr">
        <is>
          <t>IC Anionen</t>
        </is>
      </c>
      <c r="AO903" s="20" t="inlineStr">
        <is>
          <t>None</t>
        </is>
      </c>
      <c r="AP903" s="17" t="n"/>
      <c r="AQ903" s="16" t="n"/>
      <c r="AR903" s="20" t="n"/>
      <c r="AS903" s="20" t="inlineStr">
        <is>
          <t>None</t>
        </is>
      </c>
      <c r="AT903" s="17" t="n"/>
      <c r="AU903" s="16" t="n"/>
      <c r="AV903" s="20" t="n"/>
      <c r="AW903" s="20" t="inlineStr">
        <is>
          <t>None</t>
        </is>
      </c>
      <c r="AX903" s="17" t="n"/>
      <c r="AY903" s="16" t="n"/>
      <c r="AZ903" s="20" t="inlineStr">
        <is>
          <t>IC Anionen</t>
        </is>
      </c>
      <c r="BA903" s="20" t="inlineStr">
        <is>
          <t>None</t>
        </is>
      </c>
      <c r="BB903" s="17" t="n"/>
      <c r="BC903" s="16" t="n"/>
      <c r="BD903" s="20" t="inlineStr">
        <is>
          <t>IC Kationen</t>
        </is>
      </c>
      <c r="BE903" s="20" t="inlineStr">
        <is>
          <t>None</t>
        </is>
      </c>
      <c r="BF903" s="17" t="n"/>
      <c r="BG903" s="16" t="n"/>
      <c r="BH903" s="20" t="inlineStr">
        <is>
          <t>IC Kationen</t>
        </is>
      </c>
      <c r="BI903" s="20" t="inlineStr">
        <is>
          <t>None</t>
        </is>
      </c>
      <c r="BJ903" s="17" t="n"/>
      <c r="BK903" s="16" t="n"/>
      <c r="BL903" s="20" t="inlineStr">
        <is>
          <t>IC Kationen</t>
        </is>
      </c>
      <c r="BM903" s="20" t="inlineStr">
        <is>
          <t>None</t>
        </is>
      </c>
      <c r="BN903" s="17" t="n"/>
      <c r="BO903" s="16" t="n"/>
      <c r="BP903" s="20" t="inlineStr">
        <is>
          <t>IC Kationen</t>
        </is>
      </c>
      <c r="BQ903" s="20" t="inlineStr">
        <is>
          <t>None</t>
        </is>
      </c>
      <c r="BR903" s="17" t="n"/>
      <c r="BS903" s="16" t="n"/>
      <c r="BT903" s="20" t="inlineStr">
        <is>
          <t>IC Kationen</t>
        </is>
      </c>
      <c r="BU903" s="20" t="inlineStr">
        <is>
          <t>None</t>
        </is>
      </c>
      <c r="BV903" s="17" t="n"/>
      <c r="BW903" s="16" t="n"/>
      <c r="BX903" s="20" t="n"/>
      <c r="BY903" s="20" t="inlineStr">
        <is>
          <t>None</t>
        </is>
      </c>
      <c r="BZ903" s="17" t="n"/>
      <c r="CA903" s="16" t="n"/>
      <c r="CB903" s="20" t="n"/>
      <c r="CC903" s="20" t="inlineStr">
        <is>
          <t>None</t>
        </is>
      </c>
      <c r="CD903" s="17" t="n"/>
      <c r="CE903" s="16" t="n"/>
      <c r="CF903" s="20" t="n"/>
      <c r="CG903" s="20" t="inlineStr">
        <is>
          <t>None</t>
        </is>
      </c>
      <c r="CH903" s="17" t="n"/>
      <c r="CI903" s="16" t="n"/>
      <c r="CJ903" s="20" t="n"/>
      <c r="CK903" s="20" t="inlineStr">
        <is>
          <t>None</t>
        </is>
      </c>
      <c r="CL903" s="17" t="n"/>
      <c r="CM903" s="16" t="n"/>
      <c r="CN903" s="20" t="inlineStr">
        <is>
          <t>SOP 45-34</t>
        </is>
      </c>
      <c r="CO903" s="20" t="inlineStr">
        <is>
          <t>None</t>
        </is>
      </c>
      <c r="CP903" s="17" t="n"/>
      <c r="CQ903" s="16" t="n"/>
      <c r="CR903" s="20" t="n"/>
      <c r="CS903" s="20" t="inlineStr">
        <is>
          <t>None</t>
        </is>
      </c>
      <c r="CT903" s="17" t="n"/>
      <c r="CU903" s="16" t="n"/>
      <c r="CV903" s="20" t="n"/>
      <c r="CW903" s="20" t="inlineStr">
        <is>
          <t>None</t>
        </is>
      </c>
      <c r="CX903" s="17" t="n"/>
      <c r="CY903" s="16" t="n"/>
      <c r="CZ903" s="20" t="inlineStr">
        <is>
          <t>WTW Multimeter 3430 with FDO 925</t>
        </is>
      </c>
      <c r="DA903" s="20" t="inlineStr">
        <is>
          <t>None</t>
        </is>
      </c>
      <c r="DB903" s="17" t="n"/>
      <c r="DC903" s="16" t="n"/>
      <c r="DD903" s="20" t="n"/>
      <c r="DE903" s="20" t="inlineStr">
        <is>
          <t>None</t>
        </is>
      </c>
      <c r="DF903" s="17" t="n"/>
      <c r="DG903" s="16" t="n"/>
      <c r="DH903" s="20" t="inlineStr">
        <is>
          <t>SOP 45-09</t>
        </is>
      </c>
      <c r="DI903" s="20" t="inlineStr">
        <is>
          <t>None</t>
        </is>
      </c>
      <c r="DJ903" s="17" t="n"/>
      <c r="DK903" s="16" t="n"/>
      <c r="DL903" s="20" t="inlineStr">
        <is>
          <t>SOP 45-09 (SOP muss noch angepasst werden für VSS)</t>
        </is>
      </c>
      <c r="DM903" s="20" t="inlineStr">
        <is>
          <t>None</t>
        </is>
      </c>
      <c r="DN903" s="17" t="n"/>
      <c r="DO903" s="16" t="n"/>
      <c r="DP903" s="20" t="inlineStr">
        <is>
          <t>IC Organic Acids</t>
        </is>
      </c>
      <c r="DQ903" s="20" t="inlineStr">
        <is>
          <t>None</t>
        </is>
      </c>
      <c r="DR903" s="17" t="n"/>
      <c r="DS903" s="16" t="n"/>
      <c r="DT903" s="20" t="inlineStr">
        <is>
          <t>IC Organic Acids</t>
        </is>
      </c>
      <c r="DU903" s="20" t="inlineStr">
        <is>
          <t>None</t>
        </is>
      </c>
      <c r="DV903" s="17" t="n"/>
      <c r="DW903" s="16" t="n"/>
      <c r="DX903" s="20" t="inlineStr">
        <is>
          <t>IC Organic Acids</t>
        </is>
      </c>
      <c r="DY903" s="20" t="inlineStr">
        <is>
          <t>None</t>
        </is>
      </c>
      <c r="DZ903" s="17" t="n"/>
      <c r="EA903" s="16" t="n"/>
      <c r="EB903" s="20" t="inlineStr">
        <is>
          <t>IC Organic Acids</t>
        </is>
      </c>
      <c r="EC903" s="20" t="inlineStr">
        <is>
          <t>None</t>
        </is>
      </c>
      <c r="ED903" s="17" t="n"/>
      <c r="EE903" s="16" t="n"/>
      <c r="EF903" s="20" t="inlineStr">
        <is>
          <t>IC Organic Acids</t>
        </is>
      </c>
      <c r="EG903" s="20" t="inlineStr">
        <is>
          <t>None</t>
        </is>
      </c>
      <c r="EH903" s="17" t="n"/>
      <c r="EI903" s="16" t="n"/>
      <c r="EJ903" s="20" t="inlineStr">
        <is>
          <t>IC Organic Acids</t>
        </is>
      </c>
      <c r="EK903" s="20" t="inlineStr">
        <is>
          <t>None</t>
        </is>
      </c>
      <c r="EL903" s="17" t="n"/>
      <c r="EM903" s="16" t="n"/>
      <c r="EN903" s="20" t="inlineStr">
        <is>
          <t>IC Organic Acids</t>
        </is>
      </c>
      <c r="EO903" s="20" t="inlineStr">
        <is>
          <t>None</t>
        </is>
      </c>
      <c r="EP903" s="17" t="n"/>
      <c r="EQ903" s="16" t="n"/>
      <c r="ER903" s="20" t="inlineStr">
        <is>
          <t>IC Organic Acids</t>
        </is>
      </c>
      <c r="ES903" s="20" t="inlineStr">
        <is>
          <t>None</t>
        </is>
      </c>
      <c r="ET903" s="17" t="n"/>
      <c r="EU903" s="16" t="n"/>
      <c r="EV903" s="20" t="inlineStr">
        <is>
          <t>LC-MS</t>
        </is>
      </c>
      <c r="EW903" s="20" t="inlineStr">
        <is>
          <t>None</t>
        </is>
      </c>
      <c r="EX903" s="17" t="n"/>
      <c r="EY903" s="21" t="n"/>
      <c r="EZ903">
        <f>CONCATENATE(A903,B903)</f>
        <v/>
      </c>
      <c r="FA903">
        <f>CONCATENATE(SamplesX!A903,SamplesX!B903)</f>
        <v/>
      </c>
      <c r="FC903">
        <f>MATCH(EZ903,FA1:FA1008,0)</f>
        <v/>
      </c>
    </row>
    <row r="904">
      <c r="A904" s="16" t="n"/>
      <c r="B904" s="17" t="n"/>
      <c r="C904" s="10">
        <f>IF(ISNUMBER(FC904),INDIRECT("SamplesX!C"&amp;FC904),IF(ISNUMBER(FD904),INDIRECT("SamplesY!C"&amp;FD904),""))</f>
        <v/>
      </c>
      <c r="D904" s="12">
        <f>IF(ISNUMBER(FC904),INDIRECT("SamplesX!D"&amp;FC904),IF(ISNUMBER(FD904),INDIRECT("SamplesY!D"&amp;FD904),""))</f>
        <v/>
      </c>
      <c r="E904" s="12">
        <f>IF(ISNUMBER(FC904),INDIRECT("SamplesX!E"&amp;FC904),IF(ISNUMBER(FD904),INDIRECT("SamplesY!E"&amp;FD904),""))</f>
        <v/>
      </c>
      <c r="F904" s="11">
        <f>IF(ISNUMBER(FC904),INDIRECT("SamplesX!F"&amp;FC904),IF(ISNUMBER(FD904),INDIRECT("SamplesY!F"&amp;FD904),""))</f>
        <v/>
      </c>
      <c r="G904" s="18">
        <f>IF(ISNUMBER(FC904),INDIRECT("SamplesX!G"&amp;FC904),IF(ISNUMBER(FD904),INDIRECT("SamplesY!G"&amp;FD904),""))</f>
        <v/>
      </c>
      <c r="H904" s="19">
        <f>IF(ISNUMBER(FC904),INDIRECT("SamplesX!H"&amp;FC904),IF(ISNUMBER(FD904),INDIRECT("SamplesY!H"&amp;FD904),""))</f>
        <v/>
      </c>
      <c r="I904" s="16" t="n"/>
      <c r="J904" s="16" t="n"/>
      <c r="K904" s="16" t="n"/>
      <c r="L904" s="20" t="n"/>
      <c r="M904" s="20" t="inlineStr">
        <is>
          <t>None</t>
        </is>
      </c>
      <c r="N904" s="17" t="n"/>
      <c r="O904" s="16" t="n"/>
      <c r="P904" s="20" t="inlineStr">
        <is>
          <t>Shimadzu TOC-L</t>
        </is>
      </c>
      <c r="Q904" s="20" t="inlineStr">
        <is>
          <t>None</t>
        </is>
      </c>
      <c r="R904" s="17" t="n"/>
      <c r="S904" s="16" t="n"/>
      <c r="T904" s="20" t="inlineStr">
        <is>
          <t>Shimadzu TOC-L</t>
        </is>
      </c>
      <c r="U904" s="20" t="inlineStr">
        <is>
          <t>None</t>
        </is>
      </c>
      <c r="V904" s="17" t="n"/>
      <c r="W904" s="16" t="n"/>
      <c r="X904" s="20" t="n"/>
      <c r="Y904" s="20" t="inlineStr">
        <is>
          <t>None</t>
        </is>
      </c>
      <c r="Z904" s="17" t="n"/>
      <c r="AA904" s="16" t="n"/>
      <c r="AB904" s="20" t="n"/>
      <c r="AC904" s="20" t="inlineStr">
        <is>
          <t>None</t>
        </is>
      </c>
      <c r="AD904" s="17" t="n"/>
      <c r="AE904" s="16" t="n"/>
      <c r="AF904" s="20" t="inlineStr">
        <is>
          <t>IC Anionen</t>
        </is>
      </c>
      <c r="AG904" s="20" t="inlineStr">
        <is>
          <t>None</t>
        </is>
      </c>
      <c r="AH904" s="17" t="n"/>
      <c r="AI904" s="16" t="n"/>
      <c r="AJ904" s="20" t="n"/>
      <c r="AK904" s="20" t="inlineStr">
        <is>
          <t>None</t>
        </is>
      </c>
      <c r="AL904" s="17" t="n"/>
      <c r="AM904" s="16" t="n"/>
      <c r="AN904" s="20" t="inlineStr">
        <is>
          <t>IC Anionen</t>
        </is>
      </c>
      <c r="AO904" s="20" t="inlineStr">
        <is>
          <t>None</t>
        </is>
      </c>
      <c r="AP904" s="17" t="n"/>
      <c r="AQ904" s="16" t="n"/>
      <c r="AR904" s="20" t="n"/>
      <c r="AS904" s="20" t="inlineStr">
        <is>
          <t>None</t>
        </is>
      </c>
      <c r="AT904" s="17" t="n"/>
      <c r="AU904" s="16" t="n"/>
      <c r="AV904" s="20" t="n"/>
      <c r="AW904" s="20" t="inlineStr">
        <is>
          <t>None</t>
        </is>
      </c>
      <c r="AX904" s="17" t="n"/>
      <c r="AY904" s="16" t="n"/>
      <c r="AZ904" s="20" t="inlineStr">
        <is>
          <t>IC Anionen</t>
        </is>
      </c>
      <c r="BA904" s="20" t="inlineStr">
        <is>
          <t>None</t>
        </is>
      </c>
      <c r="BB904" s="17" t="n"/>
      <c r="BC904" s="16" t="n"/>
      <c r="BD904" s="20" t="inlineStr">
        <is>
          <t>IC Kationen</t>
        </is>
      </c>
      <c r="BE904" s="20" t="inlineStr">
        <is>
          <t>None</t>
        </is>
      </c>
      <c r="BF904" s="17" t="n"/>
      <c r="BG904" s="16" t="n"/>
      <c r="BH904" s="20" t="inlineStr">
        <is>
          <t>IC Kationen</t>
        </is>
      </c>
      <c r="BI904" s="20" t="inlineStr">
        <is>
          <t>None</t>
        </is>
      </c>
      <c r="BJ904" s="17" t="n"/>
      <c r="BK904" s="16" t="n"/>
      <c r="BL904" s="20" t="inlineStr">
        <is>
          <t>IC Kationen</t>
        </is>
      </c>
      <c r="BM904" s="20" t="inlineStr">
        <is>
          <t>None</t>
        </is>
      </c>
      <c r="BN904" s="17" t="n"/>
      <c r="BO904" s="16" t="n"/>
      <c r="BP904" s="20" t="inlineStr">
        <is>
          <t>IC Kationen</t>
        </is>
      </c>
      <c r="BQ904" s="20" t="inlineStr">
        <is>
          <t>None</t>
        </is>
      </c>
      <c r="BR904" s="17" t="n"/>
      <c r="BS904" s="16" t="n"/>
      <c r="BT904" s="20" t="inlineStr">
        <is>
          <t>IC Kationen</t>
        </is>
      </c>
      <c r="BU904" s="20" t="inlineStr">
        <is>
          <t>None</t>
        </is>
      </c>
      <c r="BV904" s="17" t="n"/>
      <c r="BW904" s="16" t="n"/>
      <c r="BX904" s="20" t="n"/>
      <c r="BY904" s="20" t="inlineStr">
        <is>
          <t>None</t>
        </is>
      </c>
      <c r="BZ904" s="17" t="n"/>
      <c r="CA904" s="16" t="n"/>
      <c r="CB904" s="20" t="n"/>
      <c r="CC904" s="20" t="inlineStr">
        <is>
          <t>None</t>
        </is>
      </c>
      <c r="CD904" s="17" t="n"/>
      <c r="CE904" s="16" t="n"/>
      <c r="CF904" s="20" t="n"/>
      <c r="CG904" s="20" t="inlineStr">
        <is>
          <t>None</t>
        </is>
      </c>
      <c r="CH904" s="17" t="n"/>
      <c r="CI904" s="16" t="n"/>
      <c r="CJ904" s="20" t="n"/>
      <c r="CK904" s="20" t="inlineStr">
        <is>
          <t>None</t>
        </is>
      </c>
      <c r="CL904" s="17" t="n"/>
      <c r="CM904" s="16" t="n"/>
      <c r="CN904" s="20" t="inlineStr">
        <is>
          <t>SOP 45-34</t>
        </is>
      </c>
      <c r="CO904" s="20" t="inlineStr">
        <is>
          <t>None</t>
        </is>
      </c>
      <c r="CP904" s="17" t="n"/>
      <c r="CQ904" s="16" t="n"/>
      <c r="CR904" s="20" t="n"/>
      <c r="CS904" s="20" t="inlineStr">
        <is>
          <t>None</t>
        </is>
      </c>
      <c r="CT904" s="17" t="n"/>
      <c r="CU904" s="16" t="n"/>
      <c r="CV904" s="20" t="n"/>
      <c r="CW904" s="20" t="inlineStr">
        <is>
          <t>None</t>
        </is>
      </c>
      <c r="CX904" s="17" t="n"/>
      <c r="CY904" s="16" t="n"/>
      <c r="CZ904" s="20" t="inlineStr">
        <is>
          <t>WTW Multimeter 3430 with FDO 925</t>
        </is>
      </c>
      <c r="DA904" s="20" t="inlineStr">
        <is>
          <t>None</t>
        </is>
      </c>
      <c r="DB904" s="17" t="n"/>
      <c r="DC904" s="16" t="n"/>
      <c r="DD904" s="20" t="n"/>
      <c r="DE904" s="20" t="inlineStr">
        <is>
          <t>None</t>
        </is>
      </c>
      <c r="DF904" s="17" t="n"/>
      <c r="DG904" s="16" t="n"/>
      <c r="DH904" s="20" t="inlineStr">
        <is>
          <t>SOP 45-09</t>
        </is>
      </c>
      <c r="DI904" s="20" t="inlineStr">
        <is>
          <t>None</t>
        </is>
      </c>
      <c r="DJ904" s="17" t="n"/>
      <c r="DK904" s="16" t="n"/>
      <c r="DL904" s="20" t="inlineStr">
        <is>
          <t>SOP 45-09 (SOP muss noch angepasst werden für VSS)</t>
        </is>
      </c>
      <c r="DM904" s="20" t="inlineStr">
        <is>
          <t>None</t>
        </is>
      </c>
      <c r="DN904" s="17" t="n"/>
      <c r="DO904" s="16" t="n"/>
      <c r="DP904" s="20" t="inlineStr">
        <is>
          <t>IC Organic Acids</t>
        </is>
      </c>
      <c r="DQ904" s="20" t="inlineStr">
        <is>
          <t>None</t>
        </is>
      </c>
      <c r="DR904" s="17" t="n"/>
      <c r="DS904" s="16" t="n"/>
      <c r="DT904" s="20" t="inlineStr">
        <is>
          <t>IC Organic Acids</t>
        </is>
      </c>
      <c r="DU904" s="20" t="inlineStr">
        <is>
          <t>None</t>
        </is>
      </c>
      <c r="DV904" s="17" t="n"/>
      <c r="DW904" s="16" t="n"/>
      <c r="DX904" s="20" t="inlineStr">
        <is>
          <t>IC Organic Acids</t>
        </is>
      </c>
      <c r="DY904" s="20" t="inlineStr">
        <is>
          <t>None</t>
        </is>
      </c>
      <c r="DZ904" s="17" t="n"/>
      <c r="EA904" s="16" t="n"/>
      <c r="EB904" s="20" t="inlineStr">
        <is>
          <t>IC Organic Acids</t>
        </is>
      </c>
      <c r="EC904" s="20" t="inlineStr">
        <is>
          <t>None</t>
        </is>
      </c>
      <c r="ED904" s="17" t="n"/>
      <c r="EE904" s="16" t="n"/>
      <c r="EF904" s="20" t="inlineStr">
        <is>
          <t>IC Organic Acids</t>
        </is>
      </c>
      <c r="EG904" s="20" t="inlineStr">
        <is>
          <t>None</t>
        </is>
      </c>
      <c r="EH904" s="17" t="n"/>
      <c r="EI904" s="16" t="n"/>
      <c r="EJ904" s="20" t="inlineStr">
        <is>
          <t>IC Organic Acids</t>
        </is>
      </c>
      <c r="EK904" s="20" t="inlineStr">
        <is>
          <t>None</t>
        </is>
      </c>
      <c r="EL904" s="17" t="n"/>
      <c r="EM904" s="16" t="n"/>
      <c r="EN904" s="20" t="inlineStr">
        <is>
          <t>IC Organic Acids</t>
        </is>
      </c>
      <c r="EO904" s="20" t="inlineStr">
        <is>
          <t>None</t>
        </is>
      </c>
      <c r="EP904" s="17" t="n"/>
      <c r="EQ904" s="16" t="n"/>
      <c r="ER904" s="20" t="inlineStr">
        <is>
          <t>IC Organic Acids</t>
        </is>
      </c>
      <c r="ES904" s="20" t="inlineStr">
        <is>
          <t>None</t>
        </is>
      </c>
      <c r="ET904" s="17" t="n"/>
      <c r="EU904" s="16" t="n"/>
      <c r="EV904" s="20" t="inlineStr">
        <is>
          <t>LC-MS</t>
        </is>
      </c>
      <c r="EW904" s="20" t="inlineStr">
        <is>
          <t>None</t>
        </is>
      </c>
      <c r="EX904" s="17" t="n"/>
      <c r="EY904" s="21" t="n"/>
      <c r="EZ904">
        <f>CONCATENATE(A904,B904)</f>
        <v/>
      </c>
      <c r="FA904">
        <f>CONCATENATE(SamplesX!A904,SamplesX!B904)</f>
        <v/>
      </c>
      <c r="FC904">
        <f>MATCH(EZ904,FA1:FA1008,0)</f>
        <v/>
      </c>
    </row>
    <row r="905">
      <c r="A905" s="16" t="n"/>
      <c r="B905" s="17" t="n"/>
      <c r="C905" s="10">
        <f>IF(ISNUMBER(FC905),INDIRECT("SamplesX!C"&amp;FC905),IF(ISNUMBER(FD905),INDIRECT("SamplesY!C"&amp;FD905),""))</f>
        <v/>
      </c>
      <c r="D905" s="12">
        <f>IF(ISNUMBER(FC905),INDIRECT("SamplesX!D"&amp;FC905),IF(ISNUMBER(FD905),INDIRECT("SamplesY!D"&amp;FD905),""))</f>
        <v/>
      </c>
      <c r="E905" s="12">
        <f>IF(ISNUMBER(FC905),INDIRECT("SamplesX!E"&amp;FC905),IF(ISNUMBER(FD905),INDIRECT("SamplesY!E"&amp;FD905),""))</f>
        <v/>
      </c>
      <c r="F905" s="11">
        <f>IF(ISNUMBER(FC905),INDIRECT("SamplesX!F"&amp;FC905),IF(ISNUMBER(FD905),INDIRECT("SamplesY!F"&amp;FD905),""))</f>
        <v/>
      </c>
      <c r="G905" s="18">
        <f>IF(ISNUMBER(FC905),INDIRECT("SamplesX!G"&amp;FC905),IF(ISNUMBER(FD905),INDIRECT("SamplesY!G"&amp;FD905),""))</f>
        <v/>
      </c>
      <c r="H905" s="19">
        <f>IF(ISNUMBER(FC905),INDIRECT("SamplesX!H"&amp;FC905),IF(ISNUMBER(FD905),INDIRECT("SamplesY!H"&amp;FD905),""))</f>
        <v/>
      </c>
      <c r="I905" s="16" t="n"/>
      <c r="J905" s="16" t="n"/>
      <c r="K905" s="16" t="n"/>
      <c r="L905" s="20" t="n"/>
      <c r="M905" s="20" t="inlineStr">
        <is>
          <t>None</t>
        </is>
      </c>
      <c r="N905" s="17" t="n"/>
      <c r="O905" s="16" t="n"/>
      <c r="P905" s="20" t="inlineStr">
        <is>
          <t>Shimadzu TOC-L</t>
        </is>
      </c>
      <c r="Q905" s="20" t="inlineStr">
        <is>
          <t>None</t>
        </is>
      </c>
      <c r="R905" s="17" t="n"/>
      <c r="S905" s="16" t="n"/>
      <c r="T905" s="20" t="inlineStr">
        <is>
          <t>Shimadzu TOC-L</t>
        </is>
      </c>
      <c r="U905" s="20" t="inlineStr">
        <is>
          <t>None</t>
        </is>
      </c>
      <c r="V905" s="17" t="n"/>
      <c r="W905" s="16" t="n"/>
      <c r="X905" s="20" t="n"/>
      <c r="Y905" s="20" t="inlineStr">
        <is>
          <t>None</t>
        </is>
      </c>
      <c r="Z905" s="17" t="n"/>
      <c r="AA905" s="16" t="n"/>
      <c r="AB905" s="20" t="n"/>
      <c r="AC905" s="20" t="inlineStr">
        <is>
          <t>None</t>
        </is>
      </c>
      <c r="AD905" s="17" t="n"/>
      <c r="AE905" s="16" t="n"/>
      <c r="AF905" s="20" t="inlineStr">
        <is>
          <t>IC Anionen</t>
        </is>
      </c>
      <c r="AG905" s="20" t="inlineStr">
        <is>
          <t>None</t>
        </is>
      </c>
      <c r="AH905" s="17" t="n"/>
      <c r="AI905" s="16" t="n"/>
      <c r="AJ905" s="20" t="n"/>
      <c r="AK905" s="20" t="inlineStr">
        <is>
          <t>None</t>
        </is>
      </c>
      <c r="AL905" s="17" t="n"/>
      <c r="AM905" s="16" t="n"/>
      <c r="AN905" s="20" t="inlineStr">
        <is>
          <t>IC Anionen</t>
        </is>
      </c>
      <c r="AO905" s="20" t="inlineStr">
        <is>
          <t>None</t>
        </is>
      </c>
      <c r="AP905" s="17" t="n"/>
      <c r="AQ905" s="16" t="n"/>
      <c r="AR905" s="20" t="n"/>
      <c r="AS905" s="20" t="inlineStr">
        <is>
          <t>None</t>
        </is>
      </c>
      <c r="AT905" s="17" t="n"/>
      <c r="AU905" s="16" t="n"/>
      <c r="AV905" s="20" t="n"/>
      <c r="AW905" s="20" t="inlineStr">
        <is>
          <t>None</t>
        </is>
      </c>
      <c r="AX905" s="17" t="n"/>
      <c r="AY905" s="16" t="n"/>
      <c r="AZ905" s="20" t="inlineStr">
        <is>
          <t>IC Anionen</t>
        </is>
      </c>
      <c r="BA905" s="20" t="inlineStr">
        <is>
          <t>None</t>
        </is>
      </c>
      <c r="BB905" s="17" t="n"/>
      <c r="BC905" s="16" t="n"/>
      <c r="BD905" s="20" t="inlineStr">
        <is>
          <t>IC Kationen</t>
        </is>
      </c>
      <c r="BE905" s="20" t="inlineStr">
        <is>
          <t>None</t>
        </is>
      </c>
      <c r="BF905" s="17" t="n"/>
      <c r="BG905" s="16" t="n"/>
      <c r="BH905" s="20" t="inlineStr">
        <is>
          <t>IC Kationen</t>
        </is>
      </c>
      <c r="BI905" s="20" t="inlineStr">
        <is>
          <t>None</t>
        </is>
      </c>
      <c r="BJ905" s="17" t="n"/>
      <c r="BK905" s="16" t="n"/>
      <c r="BL905" s="20" t="inlineStr">
        <is>
          <t>IC Kationen</t>
        </is>
      </c>
      <c r="BM905" s="20" t="inlineStr">
        <is>
          <t>None</t>
        </is>
      </c>
      <c r="BN905" s="17" t="n"/>
      <c r="BO905" s="16" t="n"/>
      <c r="BP905" s="20" t="inlineStr">
        <is>
          <t>IC Kationen</t>
        </is>
      </c>
      <c r="BQ905" s="20" t="inlineStr">
        <is>
          <t>None</t>
        </is>
      </c>
      <c r="BR905" s="17" t="n"/>
      <c r="BS905" s="16" t="n"/>
      <c r="BT905" s="20" t="inlineStr">
        <is>
          <t>IC Kationen</t>
        </is>
      </c>
      <c r="BU905" s="20" t="inlineStr">
        <is>
          <t>None</t>
        </is>
      </c>
      <c r="BV905" s="17" t="n"/>
      <c r="BW905" s="16" t="n"/>
      <c r="BX905" s="20" t="n"/>
      <c r="BY905" s="20" t="inlineStr">
        <is>
          <t>None</t>
        </is>
      </c>
      <c r="BZ905" s="17" t="n"/>
      <c r="CA905" s="16" t="n"/>
      <c r="CB905" s="20" t="n"/>
      <c r="CC905" s="20" t="inlineStr">
        <is>
          <t>None</t>
        </is>
      </c>
      <c r="CD905" s="17" t="n"/>
      <c r="CE905" s="16" t="n"/>
      <c r="CF905" s="20" t="n"/>
      <c r="CG905" s="20" t="inlineStr">
        <is>
          <t>None</t>
        </is>
      </c>
      <c r="CH905" s="17" t="n"/>
      <c r="CI905" s="16" t="n"/>
      <c r="CJ905" s="20" t="n"/>
      <c r="CK905" s="20" t="inlineStr">
        <is>
          <t>None</t>
        </is>
      </c>
      <c r="CL905" s="17" t="n"/>
      <c r="CM905" s="16" t="n"/>
      <c r="CN905" s="20" t="inlineStr">
        <is>
          <t>SOP 45-34</t>
        </is>
      </c>
      <c r="CO905" s="20" t="inlineStr">
        <is>
          <t>None</t>
        </is>
      </c>
      <c r="CP905" s="17" t="n"/>
      <c r="CQ905" s="16" t="n"/>
      <c r="CR905" s="20" t="n"/>
      <c r="CS905" s="20" t="inlineStr">
        <is>
          <t>None</t>
        </is>
      </c>
      <c r="CT905" s="17" t="n"/>
      <c r="CU905" s="16" t="n"/>
      <c r="CV905" s="20" t="n"/>
      <c r="CW905" s="20" t="inlineStr">
        <is>
          <t>None</t>
        </is>
      </c>
      <c r="CX905" s="17" t="n"/>
      <c r="CY905" s="16" t="n"/>
      <c r="CZ905" s="20" t="inlineStr">
        <is>
          <t>WTW Multimeter 3430 with FDO 925</t>
        </is>
      </c>
      <c r="DA905" s="20" t="inlineStr">
        <is>
          <t>None</t>
        </is>
      </c>
      <c r="DB905" s="17" t="n"/>
      <c r="DC905" s="16" t="n"/>
      <c r="DD905" s="20" t="n"/>
      <c r="DE905" s="20" t="inlineStr">
        <is>
          <t>None</t>
        </is>
      </c>
      <c r="DF905" s="17" t="n"/>
      <c r="DG905" s="16" t="n"/>
      <c r="DH905" s="20" t="inlineStr">
        <is>
          <t>SOP 45-09</t>
        </is>
      </c>
      <c r="DI905" s="20" t="inlineStr">
        <is>
          <t>None</t>
        </is>
      </c>
      <c r="DJ905" s="17" t="n"/>
      <c r="DK905" s="16" t="n"/>
      <c r="DL905" s="20" t="inlineStr">
        <is>
          <t>SOP 45-09 (SOP muss noch angepasst werden für VSS)</t>
        </is>
      </c>
      <c r="DM905" s="20" t="inlineStr">
        <is>
          <t>None</t>
        </is>
      </c>
      <c r="DN905" s="17" t="n"/>
      <c r="DO905" s="16" t="n"/>
      <c r="DP905" s="20" t="inlineStr">
        <is>
          <t>IC Organic Acids</t>
        </is>
      </c>
      <c r="DQ905" s="20" t="inlineStr">
        <is>
          <t>None</t>
        </is>
      </c>
      <c r="DR905" s="17" t="n"/>
      <c r="DS905" s="16" t="n"/>
      <c r="DT905" s="20" t="inlineStr">
        <is>
          <t>IC Organic Acids</t>
        </is>
      </c>
      <c r="DU905" s="20" t="inlineStr">
        <is>
          <t>None</t>
        </is>
      </c>
      <c r="DV905" s="17" t="n"/>
      <c r="DW905" s="16" t="n"/>
      <c r="DX905" s="20" t="inlineStr">
        <is>
          <t>IC Organic Acids</t>
        </is>
      </c>
      <c r="DY905" s="20" t="inlineStr">
        <is>
          <t>None</t>
        </is>
      </c>
      <c r="DZ905" s="17" t="n"/>
      <c r="EA905" s="16" t="n"/>
      <c r="EB905" s="20" t="inlineStr">
        <is>
          <t>IC Organic Acids</t>
        </is>
      </c>
      <c r="EC905" s="20" t="inlineStr">
        <is>
          <t>None</t>
        </is>
      </c>
      <c r="ED905" s="17" t="n"/>
      <c r="EE905" s="16" t="n"/>
      <c r="EF905" s="20" t="inlineStr">
        <is>
          <t>IC Organic Acids</t>
        </is>
      </c>
      <c r="EG905" s="20" t="inlineStr">
        <is>
          <t>None</t>
        </is>
      </c>
      <c r="EH905" s="17" t="n"/>
      <c r="EI905" s="16" t="n"/>
      <c r="EJ905" s="20" t="inlineStr">
        <is>
          <t>IC Organic Acids</t>
        </is>
      </c>
      <c r="EK905" s="20" t="inlineStr">
        <is>
          <t>None</t>
        </is>
      </c>
      <c r="EL905" s="17" t="n"/>
      <c r="EM905" s="16" t="n"/>
      <c r="EN905" s="20" t="inlineStr">
        <is>
          <t>IC Organic Acids</t>
        </is>
      </c>
      <c r="EO905" s="20" t="inlineStr">
        <is>
          <t>None</t>
        </is>
      </c>
      <c r="EP905" s="17" t="n"/>
      <c r="EQ905" s="16" t="n"/>
      <c r="ER905" s="20" t="inlineStr">
        <is>
          <t>IC Organic Acids</t>
        </is>
      </c>
      <c r="ES905" s="20" t="inlineStr">
        <is>
          <t>None</t>
        </is>
      </c>
      <c r="ET905" s="17" t="n"/>
      <c r="EU905" s="16" t="n"/>
      <c r="EV905" s="20" t="inlineStr">
        <is>
          <t>LC-MS</t>
        </is>
      </c>
      <c r="EW905" s="20" t="inlineStr">
        <is>
          <t>None</t>
        </is>
      </c>
      <c r="EX905" s="17" t="n"/>
      <c r="EY905" s="21" t="n"/>
      <c r="EZ905">
        <f>CONCATENATE(A905,B905)</f>
        <v/>
      </c>
      <c r="FA905">
        <f>CONCATENATE(SamplesX!A905,SamplesX!B905)</f>
        <v/>
      </c>
      <c r="FC905">
        <f>MATCH(EZ905,FA1:FA1008,0)</f>
        <v/>
      </c>
    </row>
    <row r="906">
      <c r="A906" s="16" t="n"/>
      <c r="B906" s="17" t="n"/>
      <c r="C906" s="10">
        <f>IF(ISNUMBER(FC906),INDIRECT("SamplesX!C"&amp;FC906),IF(ISNUMBER(FD906),INDIRECT("SamplesY!C"&amp;FD906),""))</f>
        <v/>
      </c>
      <c r="D906" s="12">
        <f>IF(ISNUMBER(FC906),INDIRECT("SamplesX!D"&amp;FC906),IF(ISNUMBER(FD906),INDIRECT("SamplesY!D"&amp;FD906),""))</f>
        <v/>
      </c>
      <c r="E906" s="12">
        <f>IF(ISNUMBER(FC906),INDIRECT("SamplesX!E"&amp;FC906),IF(ISNUMBER(FD906),INDIRECT("SamplesY!E"&amp;FD906),""))</f>
        <v/>
      </c>
      <c r="F906" s="11">
        <f>IF(ISNUMBER(FC906),INDIRECT("SamplesX!F"&amp;FC906),IF(ISNUMBER(FD906),INDIRECT("SamplesY!F"&amp;FD906),""))</f>
        <v/>
      </c>
      <c r="G906" s="18">
        <f>IF(ISNUMBER(FC906),INDIRECT("SamplesX!G"&amp;FC906),IF(ISNUMBER(FD906),INDIRECT("SamplesY!G"&amp;FD906),""))</f>
        <v/>
      </c>
      <c r="H906" s="19">
        <f>IF(ISNUMBER(FC906),INDIRECT("SamplesX!H"&amp;FC906),IF(ISNUMBER(FD906),INDIRECT("SamplesY!H"&amp;FD906),""))</f>
        <v/>
      </c>
      <c r="I906" s="16" t="n"/>
      <c r="J906" s="16" t="n"/>
      <c r="K906" s="16" t="n"/>
      <c r="L906" s="20" t="n"/>
      <c r="M906" s="20" t="inlineStr">
        <is>
          <t>None</t>
        </is>
      </c>
      <c r="N906" s="17" t="n"/>
      <c r="O906" s="16" t="n"/>
      <c r="P906" s="20" t="inlineStr">
        <is>
          <t>Shimadzu TOC-L</t>
        </is>
      </c>
      <c r="Q906" s="20" t="inlineStr">
        <is>
          <t>None</t>
        </is>
      </c>
      <c r="R906" s="17" t="n"/>
      <c r="S906" s="16" t="n"/>
      <c r="T906" s="20" t="inlineStr">
        <is>
          <t>Shimadzu TOC-L</t>
        </is>
      </c>
      <c r="U906" s="20" t="inlineStr">
        <is>
          <t>None</t>
        </is>
      </c>
      <c r="V906" s="17" t="n"/>
      <c r="W906" s="16" t="n"/>
      <c r="X906" s="20" t="n"/>
      <c r="Y906" s="20" t="inlineStr">
        <is>
          <t>None</t>
        </is>
      </c>
      <c r="Z906" s="17" t="n"/>
      <c r="AA906" s="16" t="n"/>
      <c r="AB906" s="20" t="n"/>
      <c r="AC906" s="20" t="inlineStr">
        <is>
          <t>None</t>
        </is>
      </c>
      <c r="AD906" s="17" t="n"/>
      <c r="AE906" s="16" t="n"/>
      <c r="AF906" s="20" t="inlineStr">
        <is>
          <t>IC Anionen</t>
        </is>
      </c>
      <c r="AG906" s="20" t="inlineStr">
        <is>
          <t>None</t>
        </is>
      </c>
      <c r="AH906" s="17" t="n"/>
      <c r="AI906" s="16" t="n"/>
      <c r="AJ906" s="20" t="n"/>
      <c r="AK906" s="20" t="inlineStr">
        <is>
          <t>None</t>
        </is>
      </c>
      <c r="AL906" s="17" t="n"/>
      <c r="AM906" s="16" t="n"/>
      <c r="AN906" s="20" t="inlineStr">
        <is>
          <t>IC Anionen</t>
        </is>
      </c>
      <c r="AO906" s="20" t="inlineStr">
        <is>
          <t>None</t>
        </is>
      </c>
      <c r="AP906" s="17" t="n"/>
      <c r="AQ906" s="16" t="n"/>
      <c r="AR906" s="20" t="n"/>
      <c r="AS906" s="20" t="inlineStr">
        <is>
          <t>None</t>
        </is>
      </c>
      <c r="AT906" s="17" t="n"/>
      <c r="AU906" s="16" t="n"/>
      <c r="AV906" s="20" t="n"/>
      <c r="AW906" s="20" t="inlineStr">
        <is>
          <t>None</t>
        </is>
      </c>
      <c r="AX906" s="17" t="n"/>
      <c r="AY906" s="16" t="n"/>
      <c r="AZ906" s="20" t="inlineStr">
        <is>
          <t>IC Anionen</t>
        </is>
      </c>
      <c r="BA906" s="20" t="inlineStr">
        <is>
          <t>None</t>
        </is>
      </c>
      <c r="BB906" s="17" t="n"/>
      <c r="BC906" s="16" t="n"/>
      <c r="BD906" s="20" t="inlineStr">
        <is>
          <t>IC Kationen</t>
        </is>
      </c>
      <c r="BE906" s="20" t="inlineStr">
        <is>
          <t>None</t>
        </is>
      </c>
      <c r="BF906" s="17" t="n"/>
      <c r="BG906" s="16" t="n"/>
      <c r="BH906" s="20" t="inlineStr">
        <is>
          <t>IC Kationen</t>
        </is>
      </c>
      <c r="BI906" s="20" t="inlineStr">
        <is>
          <t>None</t>
        </is>
      </c>
      <c r="BJ906" s="17" t="n"/>
      <c r="BK906" s="16" t="n"/>
      <c r="BL906" s="20" t="inlineStr">
        <is>
          <t>IC Kationen</t>
        </is>
      </c>
      <c r="BM906" s="20" t="inlineStr">
        <is>
          <t>None</t>
        </is>
      </c>
      <c r="BN906" s="17" t="n"/>
      <c r="BO906" s="16" t="n"/>
      <c r="BP906" s="20" t="inlineStr">
        <is>
          <t>IC Kationen</t>
        </is>
      </c>
      <c r="BQ906" s="20" t="inlineStr">
        <is>
          <t>None</t>
        </is>
      </c>
      <c r="BR906" s="17" t="n"/>
      <c r="BS906" s="16" t="n"/>
      <c r="BT906" s="20" t="inlineStr">
        <is>
          <t>IC Kationen</t>
        </is>
      </c>
      <c r="BU906" s="20" t="inlineStr">
        <is>
          <t>None</t>
        </is>
      </c>
      <c r="BV906" s="17" t="n"/>
      <c r="BW906" s="16" t="n"/>
      <c r="BX906" s="20" t="n"/>
      <c r="BY906" s="20" t="inlineStr">
        <is>
          <t>None</t>
        </is>
      </c>
      <c r="BZ906" s="17" t="n"/>
      <c r="CA906" s="16" t="n"/>
      <c r="CB906" s="20" t="n"/>
      <c r="CC906" s="20" t="inlineStr">
        <is>
          <t>None</t>
        </is>
      </c>
      <c r="CD906" s="17" t="n"/>
      <c r="CE906" s="16" t="n"/>
      <c r="CF906" s="20" t="n"/>
      <c r="CG906" s="20" t="inlineStr">
        <is>
          <t>None</t>
        </is>
      </c>
      <c r="CH906" s="17" t="n"/>
      <c r="CI906" s="16" t="n"/>
      <c r="CJ906" s="20" t="n"/>
      <c r="CK906" s="20" t="inlineStr">
        <is>
          <t>None</t>
        </is>
      </c>
      <c r="CL906" s="17" t="n"/>
      <c r="CM906" s="16" t="n"/>
      <c r="CN906" s="20" t="inlineStr">
        <is>
          <t>SOP 45-34</t>
        </is>
      </c>
      <c r="CO906" s="20" t="inlineStr">
        <is>
          <t>None</t>
        </is>
      </c>
      <c r="CP906" s="17" t="n"/>
      <c r="CQ906" s="16" t="n"/>
      <c r="CR906" s="20" t="n"/>
      <c r="CS906" s="20" t="inlineStr">
        <is>
          <t>None</t>
        </is>
      </c>
      <c r="CT906" s="17" t="n"/>
      <c r="CU906" s="16" t="n"/>
      <c r="CV906" s="20" t="n"/>
      <c r="CW906" s="20" t="inlineStr">
        <is>
          <t>None</t>
        </is>
      </c>
      <c r="CX906" s="17" t="n"/>
      <c r="CY906" s="16" t="n"/>
      <c r="CZ906" s="20" t="inlineStr">
        <is>
          <t>WTW Multimeter 3430 with FDO 925</t>
        </is>
      </c>
      <c r="DA906" s="20" t="inlineStr">
        <is>
          <t>None</t>
        </is>
      </c>
      <c r="DB906" s="17" t="n"/>
      <c r="DC906" s="16" t="n"/>
      <c r="DD906" s="20" t="n"/>
      <c r="DE906" s="20" t="inlineStr">
        <is>
          <t>None</t>
        </is>
      </c>
      <c r="DF906" s="17" t="n"/>
      <c r="DG906" s="16" t="n"/>
      <c r="DH906" s="20" t="inlineStr">
        <is>
          <t>SOP 45-09</t>
        </is>
      </c>
      <c r="DI906" s="20" t="inlineStr">
        <is>
          <t>None</t>
        </is>
      </c>
      <c r="DJ906" s="17" t="n"/>
      <c r="DK906" s="16" t="n"/>
      <c r="DL906" s="20" t="inlineStr">
        <is>
          <t>SOP 45-09 (SOP muss noch angepasst werden für VSS)</t>
        </is>
      </c>
      <c r="DM906" s="20" t="inlineStr">
        <is>
          <t>None</t>
        </is>
      </c>
      <c r="DN906" s="17" t="n"/>
      <c r="DO906" s="16" t="n"/>
      <c r="DP906" s="20" t="inlineStr">
        <is>
          <t>IC Organic Acids</t>
        </is>
      </c>
      <c r="DQ906" s="20" t="inlineStr">
        <is>
          <t>None</t>
        </is>
      </c>
      <c r="DR906" s="17" t="n"/>
      <c r="DS906" s="16" t="n"/>
      <c r="DT906" s="20" t="inlineStr">
        <is>
          <t>IC Organic Acids</t>
        </is>
      </c>
      <c r="DU906" s="20" t="inlineStr">
        <is>
          <t>None</t>
        </is>
      </c>
      <c r="DV906" s="17" t="n"/>
      <c r="DW906" s="16" t="n"/>
      <c r="DX906" s="20" t="inlineStr">
        <is>
          <t>IC Organic Acids</t>
        </is>
      </c>
      <c r="DY906" s="20" t="inlineStr">
        <is>
          <t>None</t>
        </is>
      </c>
      <c r="DZ906" s="17" t="n"/>
      <c r="EA906" s="16" t="n"/>
      <c r="EB906" s="20" t="inlineStr">
        <is>
          <t>IC Organic Acids</t>
        </is>
      </c>
      <c r="EC906" s="20" t="inlineStr">
        <is>
          <t>None</t>
        </is>
      </c>
      <c r="ED906" s="17" t="n"/>
      <c r="EE906" s="16" t="n"/>
      <c r="EF906" s="20" t="inlineStr">
        <is>
          <t>IC Organic Acids</t>
        </is>
      </c>
      <c r="EG906" s="20" t="inlineStr">
        <is>
          <t>None</t>
        </is>
      </c>
      <c r="EH906" s="17" t="n"/>
      <c r="EI906" s="16" t="n"/>
      <c r="EJ906" s="20" t="inlineStr">
        <is>
          <t>IC Organic Acids</t>
        </is>
      </c>
      <c r="EK906" s="20" t="inlineStr">
        <is>
          <t>None</t>
        </is>
      </c>
      <c r="EL906" s="17" t="n"/>
      <c r="EM906" s="16" t="n"/>
      <c r="EN906" s="20" t="inlineStr">
        <is>
          <t>IC Organic Acids</t>
        </is>
      </c>
      <c r="EO906" s="20" t="inlineStr">
        <is>
          <t>None</t>
        </is>
      </c>
      <c r="EP906" s="17" t="n"/>
      <c r="EQ906" s="16" t="n"/>
      <c r="ER906" s="20" t="inlineStr">
        <is>
          <t>IC Organic Acids</t>
        </is>
      </c>
      <c r="ES906" s="20" t="inlineStr">
        <is>
          <t>None</t>
        </is>
      </c>
      <c r="ET906" s="17" t="n"/>
      <c r="EU906" s="16" t="n"/>
      <c r="EV906" s="20" t="inlineStr">
        <is>
          <t>LC-MS</t>
        </is>
      </c>
      <c r="EW906" s="20" t="inlineStr">
        <is>
          <t>None</t>
        </is>
      </c>
      <c r="EX906" s="17" t="n"/>
      <c r="EY906" s="21" t="n"/>
      <c r="EZ906">
        <f>CONCATENATE(A906,B906)</f>
        <v/>
      </c>
      <c r="FA906">
        <f>CONCATENATE(SamplesX!A906,SamplesX!B906)</f>
        <v/>
      </c>
      <c r="FC906">
        <f>MATCH(EZ906,FA1:FA1008,0)</f>
        <v/>
      </c>
    </row>
    <row r="907">
      <c r="A907" s="16" t="n"/>
      <c r="B907" s="17" t="n"/>
      <c r="C907" s="10">
        <f>IF(ISNUMBER(FC907),INDIRECT("SamplesX!C"&amp;FC907),IF(ISNUMBER(FD907),INDIRECT("SamplesY!C"&amp;FD907),""))</f>
        <v/>
      </c>
      <c r="D907" s="12">
        <f>IF(ISNUMBER(FC907),INDIRECT("SamplesX!D"&amp;FC907),IF(ISNUMBER(FD907),INDIRECT("SamplesY!D"&amp;FD907),""))</f>
        <v/>
      </c>
      <c r="E907" s="12">
        <f>IF(ISNUMBER(FC907),INDIRECT("SamplesX!E"&amp;FC907),IF(ISNUMBER(FD907),INDIRECT("SamplesY!E"&amp;FD907),""))</f>
        <v/>
      </c>
      <c r="F907" s="11">
        <f>IF(ISNUMBER(FC907),INDIRECT("SamplesX!F"&amp;FC907),IF(ISNUMBER(FD907),INDIRECT("SamplesY!F"&amp;FD907),""))</f>
        <v/>
      </c>
      <c r="G907" s="18">
        <f>IF(ISNUMBER(FC907),INDIRECT("SamplesX!G"&amp;FC907),IF(ISNUMBER(FD907),INDIRECT("SamplesY!G"&amp;FD907),""))</f>
        <v/>
      </c>
      <c r="H907" s="19">
        <f>IF(ISNUMBER(FC907),INDIRECT("SamplesX!H"&amp;FC907),IF(ISNUMBER(FD907),INDIRECT("SamplesY!H"&amp;FD907),""))</f>
        <v/>
      </c>
      <c r="I907" s="16" t="n"/>
      <c r="J907" s="16" t="n"/>
      <c r="K907" s="16" t="n"/>
      <c r="L907" s="20" t="n"/>
      <c r="M907" s="20" t="inlineStr">
        <is>
          <t>None</t>
        </is>
      </c>
      <c r="N907" s="17" t="n"/>
      <c r="O907" s="16" t="n"/>
      <c r="P907" s="20" t="inlineStr">
        <is>
          <t>Shimadzu TOC-L</t>
        </is>
      </c>
      <c r="Q907" s="20" t="inlineStr">
        <is>
          <t>None</t>
        </is>
      </c>
      <c r="R907" s="17" t="n"/>
      <c r="S907" s="16" t="n"/>
      <c r="T907" s="20" t="inlineStr">
        <is>
          <t>Shimadzu TOC-L</t>
        </is>
      </c>
      <c r="U907" s="20" t="inlineStr">
        <is>
          <t>None</t>
        </is>
      </c>
      <c r="V907" s="17" t="n"/>
      <c r="W907" s="16" t="n"/>
      <c r="X907" s="20" t="n"/>
      <c r="Y907" s="20" t="inlineStr">
        <is>
          <t>None</t>
        </is>
      </c>
      <c r="Z907" s="17" t="n"/>
      <c r="AA907" s="16" t="n"/>
      <c r="AB907" s="20" t="n"/>
      <c r="AC907" s="20" t="inlineStr">
        <is>
          <t>None</t>
        </is>
      </c>
      <c r="AD907" s="17" t="n"/>
      <c r="AE907" s="16" t="n"/>
      <c r="AF907" s="20" t="inlineStr">
        <is>
          <t>IC Anionen</t>
        </is>
      </c>
      <c r="AG907" s="20" t="inlineStr">
        <is>
          <t>None</t>
        </is>
      </c>
      <c r="AH907" s="17" t="n"/>
      <c r="AI907" s="16" t="n"/>
      <c r="AJ907" s="20" t="n"/>
      <c r="AK907" s="20" t="inlineStr">
        <is>
          <t>None</t>
        </is>
      </c>
      <c r="AL907" s="17" t="n"/>
      <c r="AM907" s="16" t="n"/>
      <c r="AN907" s="20" t="inlineStr">
        <is>
          <t>IC Anionen</t>
        </is>
      </c>
      <c r="AO907" s="20" t="inlineStr">
        <is>
          <t>None</t>
        </is>
      </c>
      <c r="AP907" s="17" t="n"/>
      <c r="AQ907" s="16" t="n"/>
      <c r="AR907" s="20" t="n"/>
      <c r="AS907" s="20" t="inlineStr">
        <is>
          <t>None</t>
        </is>
      </c>
      <c r="AT907" s="17" t="n"/>
      <c r="AU907" s="16" t="n"/>
      <c r="AV907" s="20" t="n"/>
      <c r="AW907" s="20" t="inlineStr">
        <is>
          <t>None</t>
        </is>
      </c>
      <c r="AX907" s="17" t="n"/>
      <c r="AY907" s="16" t="n"/>
      <c r="AZ907" s="20" t="inlineStr">
        <is>
          <t>IC Anionen</t>
        </is>
      </c>
      <c r="BA907" s="20" t="inlineStr">
        <is>
          <t>None</t>
        </is>
      </c>
      <c r="BB907" s="17" t="n"/>
      <c r="BC907" s="16" t="n"/>
      <c r="BD907" s="20" t="inlineStr">
        <is>
          <t>IC Kationen</t>
        </is>
      </c>
      <c r="BE907" s="20" t="inlineStr">
        <is>
          <t>None</t>
        </is>
      </c>
      <c r="BF907" s="17" t="n"/>
      <c r="BG907" s="16" t="n"/>
      <c r="BH907" s="20" t="inlineStr">
        <is>
          <t>IC Kationen</t>
        </is>
      </c>
      <c r="BI907" s="20" t="inlineStr">
        <is>
          <t>None</t>
        </is>
      </c>
      <c r="BJ907" s="17" t="n"/>
      <c r="BK907" s="16" t="n"/>
      <c r="BL907" s="20" t="inlineStr">
        <is>
          <t>IC Kationen</t>
        </is>
      </c>
      <c r="BM907" s="20" t="inlineStr">
        <is>
          <t>None</t>
        </is>
      </c>
      <c r="BN907" s="17" t="n"/>
      <c r="BO907" s="16" t="n"/>
      <c r="BP907" s="20" t="inlineStr">
        <is>
          <t>IC Kationen</t>
        </is>
      </c>
      <c r="BQ907" s="20" t="inlineStr">
        <is>
          <t>None</t>
        </is>
      </c>
      <c r="BR907" s="17" t="n"/>
      <c r="BS907" s="16" t="n"/>
      <c r="BT907" s="20" t="inlineStr">
        <is>
          <t>IC Kationen</t>
        </is>
      </c>
      <c r="BU907" s="20" t="inlineStr">
        <is>
          <t>None</t>
        </is>
      </c>
      <c r="BV907" s="17" t="n"/>
      <c r="BW907" s="16" t="n"/>
      <c r="BX907" s="20" t="n"/>
      <c r="BY907" s="20" t="inlineStr">
        <is>
          <t>None</t>
        </is>
      </c>
      <c r="BZ907" s="17" t="n"/>
      <c r="CA907" s="16" t="n"/>
      <c r="CB907" s="20" t="n"/>
      <c r="CC907" s="20" t="inlineStr">
        <is>
          <t>None</t>
        </is>
      </c>
      <c r="CD907" s="17" t="n"/>
      <c r="CE907" s="16" t="n"/>
      <c r="CF907" s="20" t="n"/>
      <c r="CG907" s="20" t="inlineStr">
        <is>
          <t>None</t>
        </is>
      </c>
      <c r="CH907" s="17" t="n"/>
      <c r="CI907" s="16" t="n"/>
      <c r="CJ907" s="20" t="n"/>
      <c r="CK907" s="20" t="inlineStr">
        <is>
          <t>None</t>
        </is>
      </c>
      <c r="CL907" s="17" t="n"/>
      <c r="CM907" s="16" t="n"/>
      <c r="CN907" s="20" t="inlineStr">
        <is>
          <t>SOP 45-34</t>
        </is>
      </c>
      <c r="CO907" s="20" t="inlineStr">
        <is>
          <t>None</t>
        </is>
      </c>
      <c r="CP907" s="17" t="n"/>
      <c r="CQ907" s="16" t="n"/>
      <c r="CR907" s="20" t="n"/>
      <c r="CS907" s="20" t="inlineStr">
        <is>
          <t>None</t>
        </is>
      </c>
      <c r="CT907" s="17" t="n"/>
      <c r="CU907" s="16" t="n"/>
      <c r="CV907" s="20" t="n"/>
      <c r="CW907" s="20" t="inlineStr">
        <is>
          <t>None</t>
        </is>
      </c>
      <c r="CX907" s="17" t="n"/>
      <c r="CY907" s="16" t="n"/>
      <c r="CZ907" s="20" t="inlineStr">
        <is>
          <t>WTW Multimeter 3430 with FDO 925</t>
        </is>
      </c>
      <c r="DA907" s="20" t="inlineStr">
        <is>
          <t>None</t>
        </is>
      </c>
      <c r="DB907" s="17" t="n"/>
      <c r="DC907" s="16" t="n"/>
      <c r="DD907" s="20" t="n"/>
      <c r="DE907" s="20" t="inlineStr">
        <is>
          <t>None</t>
        </is>
      </c>
      <c r="DF907" s="17" t="n"/>
      <c r="DG907" s="16" t="n"/>
      <c r="DH907" s="20" t="inlineStr">
        <is>
          <t>SOP 45-09</t>
        </is>
      </c>
      <c r="DI907" s="20" t="inlineStr">
        <is>
          <t>None</t>
        </is>
      </c>
      <c r="DJ907" s="17" t="n"/>
      <c r="DK907" s="16" t="n"/>
      <c r="DL907" s="20" t="inlineStr">
        <is>
          <t>SOP 45-09 (SOP muss noch angepasst werden für VSS)</t>
        </is>
      </c>
      <c r="DM907" s="20" t="inlineStr">
        <is>
          <t>None</t>
        </is>
      </c>
      <c r="DN907" s="17" t="n"/>
      <c r="DO907" s="16" t="n"/>
      <c r="DP907" s="20" t="inlineStr">
        <is>
          <t>IC Organic Acids</t>
        </is>
      </c>
      <c r="DQ907" s="20" t="inlineStr">
        <is>
          <t>None</t>
        </is>
      </c>
      <c r="DR907" s="17" t="n"/>
      <c r="DS907" s="16" t="n"/>
      <c r="DT907" s="20" t="inlineStr">
        <is>
          <t>IC Organic Acids</t>
        </is>
      </c>
      <c r="DU907" s="20" t="inlineStr">
        <is>
          <t>None</t>
        </is>
      </c>
      <c r="DV907" s="17" t="n"/>
      <c r="DW907" s="16" t="n"/>
      <c r="DX907" s="20" t="inlineStr">
        <is>
          <t>IC Organic Acids</t>
        </is>
      </c>
      <c r="DY907" s="20" t="inlineStr">
        <is>
          <t>None</t>
        </is>
      </c>
      <c r="DZ907" s="17" t="n"/>
      <c r="EA907" s="16" t="n"/>
      <c r="EB907" s="20" t="inlineStr">
        <is>
          <t>IC Organic Acids</t>
        </is>
      </c>
      <c r="EC907" s="20" t="inlineStr">
        <is>
          <t>None</t>
        </is>
      </c>
      <c r="ED907" s="17" t="n"/>
      <c r="EE907" s="16" t="n"/>
      <c r="EF907" s="20" t="inlineStr">
        <is>
          <t>IC Organic Acids</t>
        </is>
      </c>
      <c r="EG907" s="20" t="inlineStr">
        <is>
          <t>None</t>
        </is>
      </c>
      <c r="EH907" s="17" t="n"/>
      <c r="EI907" s="16" t="n"/>
      <c r="EJ907" s="20" t="inlineStr">
        <is>
          <t>IC Organic Acids</t>
        </is>
      </c>
      <c r="EK907" s="20" t="inlineStr">
        <is>
          <t>None</t>
        </is>
      </c>
      <c r="EL907" s="17" t="n"/>
      <c r="EM907" s="16" t="n"/>
      <c r="EN907" s="20" t="inlineStr">
        <is>
          <t>IC Organic Acids</t>
        </is>
      </c>
      <c r="EO907" s="20" t="inlineStr">
        <is>
          <t>None</t>
        </is>
      </c>
      <c r="EP907" s="17" t="n"/>
      <c r="EQ907" s="16" t="n"/>
      <c r="ER907" s="20" t="inlineStr">
        <is>
          <t>IC Organic Acids</t>
        </is>
      </c>
      <c r="ES907" s="20" t="inlineStr">
        <is>
          <t>None</t>
        </is>
      </c>
      <c r="ET907" s="17" t="n"/>
      <c r="EU907" s="16" t="n"/>
      <c r="EV907" s="20" t="inlineStr">
        <is>
          <t>LC-MS</t>
        </is>
      </c>
      <c r="EW907" s="20" t="inlineStr">
        <is>
          <t>None</t>
        </is>
      </c>
      <c r="EX907" s="17" t="n"/>
      <c r="EY907" s="21" t="n"/>
      <c r="EZ907">
        <f>CONCATENATE(A907,B907)</f>
        <v/>
      </c>
      <c r="FA907">
        <f>CONCATENATE(SamplesX!A907,SamplesX!B907)</f>
        <v/>
      </c>
      <c r="FC907">
        <f>MATCH(EZ907,FA1:FA1008,0)</f>
        <v/>
      </c>
    </row>
    <row r="908">
      <c r="A908" s="16" t="n"/>
      <c r="B908" s="17" t="n"/>
      <c r="C908" s="10">
        <f>IF(ISNUMBER(FC908),INDIRECT("SamplesX!C"&amp;FC908),IF(ISNUMBER(FD908),INDIRECT("SamplesY!C"&amp;FD908),""))</f>
        <v/>
      </c>
      <c r="D908" s="12">
        <f>IF(ISNUMBER(FC908),INDIRECT("SamplesX!D"&amp;FC908),IF(ISNUMBER(FD908),INDIRECT("SamplesY!D"&amp;FD908),""))</f>
        <v/>
      </c>
      <c r="E908" s="12">
        <f>IF(ISNUMBER(FC908),INDIRECT("SamplesX!E"&amp;FC908),IF(ISNUMBER(FD908),INDIRECT("SamplesY!E"&amp;FD908),""))</f>
        <v/>
      </c>
      <c r="F908" s="11">
        <f>IF(ISNUMBER(FC908),INDIRECT("SamplesX!F"&amp;FC908),IF(ISNUMBER(FD908),INDIRECT("SamplesY!F"&amp;FD908),""))</f>
        <v/>
      </c>
      <c r="G908" s="18">
        <f>IF(ISNUMBER(FC908),INDIRECT("SamplesX!G"&amp;FC908),IF(ISNUMBER(FD908),INDIRECT("SamplesY!G"&amp;FD908),""))</f>
        <v/>
      </c>
      <c r="H908" s="19">
        <f>IF(ISNUMBER(FC908),INDIRECT("SamplesX!H"&amp;FC908),IF(ISNUMBER(FD908),INDIRECT("SamplesY!H"&amp;FD908),""))</f>
        <v/>
      </c>
      <c r="I908" s="16" t="n"/>
      <c r="J908" s="16" t="n"/>
      <c r="K908" s="16" t="n"/>
      <c r="L908" s="20" t="n"/>
      <c r="M908" s="20" t="inlineStr">
        <is>
          <t>None</t>
        </is>
      </c>
      <c r="N908" s="17" t="n"/>
      <c r="O908" s="16" t="n"/>
      <c r="P908" s="20" t="inlineStr">
        <is>
          <t>Shimadzu TOC-L</t>
        </is>
      </c>
      <c r="Q908" s="20" t="inlineStr">
        <is>
          <t>None</t>
        </is>
      </c>
      <c r="R908" s="17" t="n"/>
      <c r="S908" s="16" t="n"/>
      <c r="T908" s="20" t="inlineStr">
        <is>
          <t>Shimadzu TOC-L</t>
        </is>
      </c>
      <c r="U908" s="20" t="inlineStr">
        <is>
          <t>None</t>
        </is>
      </c>
      <c r="V908" s="17" t="n"/>
      <c r="W908" s="16" t="n"/>
      <c r="X908" s="20" t="n"/>
      <c r="Y908" s="20" t="inlineStr">
        <is>
          <t>None</t>
        </is>
      </c>
      <c r="Z908" s="17" t="n"/>
      <c r="AA908" s="16" t="n"/>
      <c r="AB908" s="20" t="n"/>
      <c r="AC908" s="20" t="inlineStr">
        <is>
          <t>None</t>
        </is>
      </c>
      <c r="AD908" s="17" t="n"/>
      <c r="AE908" s="16" t="n"/>
      <c r="AF908" s="20" t="inlineStr">
        <is>
          <t>IC Anionen</t>
        </is>
      </c>
      <c r="AG908" s="20" t="inlineStr">
        <is>
          <t>None</t>
        </is>
      </c>
      <c r="AH908" s="17" t="n"/>
      <c r="AI908" s="16" t="n"/>
      <c r="AJ908" s="20" t="n"/>
      <c r="AK908" s="20" t="inlineStr">
        <is>
          <t>None</t>
        </is>
      </c>
      <c r="AL908" s="17" t="n"/>
      <c r="AM908" s="16" t="n"/>
      <c r="AN908" s="20" t="inlineStr">
        <is>
          <t>IC Anionen</t>
        </is>
      </c>
      <c r="AO908" s="20" t="inlineStr">
        <is>
          <t>None</t>
        </is>
      </c>
      <c r="AP908" s="17" t="n"/>
      <c r="AQ908" s="16" t="n"/>
      <c r="AR908" s="20" t="n"/>
      <c r="AS908" s="20" t="inlineStr">
        <is>
          <t>None</t>
        </is>
      </c>
      <c r="AT908" s="17" t="n"/>
      <c r="AU908" s="16" t="n"/>
      <c r="AV908" s="20" t="n"/>
      <c r="AW908" s="20" t="inlineStr">
        <is>
          <t>None</t>
        </is>
      </c>
      <c r="AX908" s="17" t="n"/>
      <c r="AY908" s="16" t="n"/>
      <c r="AZ908" s="20" t="inlineStr">
        <is>
          <t>IC Anionen</t>
        </is>
      </c>
      <c r="BA908" s="20" t="inlineStr">
        <is>
          <t>None</t>
        </is>
      </c>
      <c r="BB908" s="17" t="n"/>
      <c r="BC908" s="16" t="n"/>
      <c r="BD908" s="20" t="inlineStr">
        <is>
          <t>IC Kationen</t>
        </is>
      </c>
      <c r="BE908" s="20" t="inlineStr">
        <is>
          <t>None</t>
        </is>
      </c>
      <c r="BF908" s="17" t="n"/>
      <c r="BG908" s="16" t="n"/>
      <c r="BH908" s="20" t="inlineStr">
        <is>
          <t>IC Kationen</t>
        </is>
      </c>
      <c r="BI908" s="20" t="inlineStr">
        <is>
          <t>None</t>
        </is>
      </c>
      <c r="BJ908" s="17" t="n"/>
      <c r="BK908" s="16" t="n"/>
      <c r="BL908" s="20" t="inlineStr">
        <is>
          <t>IC Kationen</t>
        </is>
      </c>
      <c r="BM908" s="20" t="inlineStr">
        <is>
          <t>None</t>
        </is>
      </c>
      <c r="BN908" s="17" t="n"/>
      <c r="BO908" s="16" t="n"/>
      <c r="BP908" s="20" t="inlineStr">
        <is>
          <t>IC Kationen</t>
        </is>
      </c>
      <c r="BQ908" s="20" t="inlineStr">
        <is>
          <t>None</t>
        </is>
      </c>
      <c r="BR908" s="17" t="n"/>
      <c r="BS908" s="16" t="n"/>
      <c r="BT908" s="20" t="inlineStr">
        <is>
          <t>IC Kationen</t>
        </is>
      </c>
      <c r="BU908" s="20" t="inlineStr">
        <is>
          <t>None</t>
        </is>
      </c>
      <c r="BV908" s="17" t="n"/>
      <c r="BW908" s="16" t="n"/>
      <c r="BX908" s="20" t="n"/>
      <c r="BY908" s="20" t="inlineStr">
        <is>
          <t>None</t>
        </is>
      </c>
      <c r="BZ908" s="17" t="n"/>
      <c r="CA908" s="16" t="n"/>
      <c r="CB908" s="20" t="n"/>
      <c r="CC908" s="20" t="inlineStr">
        <is>
          <t>None</t>
        </is>
      </c>
      <c r="CD908" s="17" t="n"/>
      <c r="CE908" s="16" t="n"/>
      <c r="CF908" s="20" t="n"/>
      <c r="CG908" s="20" t="inlineStr">
        <is>
          <t>None</t>
        </is>
      </c>
      <c r="CH908" s="17" t="n"/>
      <c r="CI908" s="16" t="n"/>
      <c r="CJ908" s="20" t="n"/>
      <c r="CK908" s="20" t="inlineStr">
        <is>
          <t>None</t>
        </is>
      </c>
      <c r="CL908" s="17" t="n"/>
      <c r="CM908" s="16" t="n"/>
      <c r="CN908" s="20" t="inlineStr">
        <is>
          <t>SOP 45-34</t>
        </is>
      </c>
      <c r="CO908" s="20" t="inlineStr">
        <is>
          <t>None</t>
        </is>
      </c>
      <c r="CP908" s="17" t="n"/>
      <c r="CQ908" s="16" t="n"/>
      <c r="CR908" s="20" t="n"/>
      <c r="CS908" s="20" t="inlineStr">
        <is>
          <t>None</t>
        </is>
      </c>
      <c r="CT908" s="17" t="n"/>
      <c r="CU908" s="16" t="n"/>
      <c r="CV908" s="20" t="n"/>
      <c r="CW908" s="20" t="inlineStr">
        <is>
          <t>None</t>
        </is>
      </c>
      <c r="CX908" s="17" t="n"/>
      <c r="CY908" s="16" t="n"/>
      <c r="CZ908" s="20" t="inlineStr">
        <is>
          <t>WTW Multimeter 3430 with FDO 925</t>
        </is>
      </c>
      <c r="DA908" s="20" t="inlineStr">
        <is>
          <t>None</t>
        </is>
      </c>
      <c r="DB908" s="17" t="n"/>
      <c r="DC908" s="16" t="n"/>
      <c r="DD908" s="20" t="n"/>
      <c r="DE908" s="20" t="inlineStr">
        <is>
          <t>None</t>
        </is>
      </c>
      <c r="DF908" s="17" t="n"/>
      <c r="DG908" s="16" t="n"/>
      <c r="DH908" s="20" t="inlineStr">
        <is>
          <t>SOP 45-09</t>
        </is>
      </c>
      <c r="DI908" s="20" t="inlineStr">
        <is>
          <t>None</t>
        </is>
      </c>
      <c r="DJ908" s="17" t="n"/>
      <c r="DK908" s="16" t="n"/>
      <c r="DL908" s="20" t="inlineStr">
        <is>
          <t>SOP 45-09 (SOP muss noch angepasst werden für VSS)</t>
        </is>
      </c>
      <c r="DM908" s="20" t="inlineStr">
        <is>
          <t>None</t>
        </is>
      </c>
      <c r="DN908" s="17" t="n"/>
      <c r="DO908" s="16" t="n"/>
      <c r="DP908" s="20" t="inlineStr">
        <is>
          <t>IC Organic Acids</t>
        </is>
      </c>
      <c r="DQ908" s="20" t="inlineStr">
        <is>
          <t>None</t>
        </is>
      </c>
      <c r="DR908" s="17" t="n"/>
      <c r="DS908" s="16" t="n"/>
      <c r="DT908" s="20" t="inlineStr">
        <is>
          <t>IC Organic Acids</t>
        </is>
      </c>
      <c r="DU908" s="20" t="inlineStr">
        <is>
          <t>None</t>
        </is>
      </c>
      <c r="DV908" s="17" t="n"/>
      <c r="DW908" s="16" t="n"/>
      <c r="DX908" s="20" t="inlineStr">
        <is>
          <t>IC Organic Acids</t>
        </is>
      </c>
      <c r="DY908" s="20" t="inlineStr">
        <is>
          <t>None</t>
        </is>
      </c>
      <c r="DZ908" s="17" t="n"/>
      <c r="EA908" s="16" t="n"/>
      <c r="EB908" s="20" t="inlineStr">
        <is>
          <t>IC Organic Acids</t>
        </is>
      </c>
      <c r="EC908" s="20" t="inlineStr">
        <is>
          <t>None</t>
        </is>
      </c>
      <c r="ED908" s="17" t="n"/>
      <c r="EE908" s="16" t="n"/>
      <c r="EF908" s="20" t="inlineStr">
        <is>
          <t>IC Organic Acids</t>
        </is>
      </c>
      <c r="EG908" s="20" t="inlineStr">
        <is>
          <t>None</t>
        </is>
      </c>
      <c r="EH908" s="17" t="n"/>
      <c r="EI908" s="16" t="n"/>
      <c r="EJ908" s="20" t="inlineStr">
        <is>
          <t>IC Organic Acids</t>
        </is>
      </c>
      <c r="EK908" s="20" t="inlineStr">
        <is>
          <t>None</t>
        </is>
      </c>
      <c r="EL908" s="17" t="n"/>
      <c r="EM908" s="16" t="n"/>
      <c r="EN908" s="20" t="inlineStr">
        <is>
          <t>IC Organic Acids</t>
        </is>
      </c>
      <c r="EO908" s="20" t="inlineStr">
        <is>
          <t>None</t>
        </is>
      </c>
      <c r="EP908" s="17" t="n"/>
      <c r="EQ908" s="16" t="n"/>
      <c r="ER908" s="20" t="inlineStr">
        <is>
          <t>IC Organic Acids</t>
        </is>
      </c>
      <c r="ES908" s="20" t="inlineStr">
        <is>
          <t>None</t>
        </is>
      </c>
      <c r="ET908" s="17" t="n"/>
      <c r="EU908" s="16" t="n"/>
      <c r="EV908" s="20" t="inlineStr">
        <is>
          <t>LC-MS</t>
        </is>
      </c>
      <c r="EW908" s="20" t="inlineStr">
        <is>
          <t>None</t>
        </is>
      </c>
      <c r="EX908" s="17" t="n"/>
      <c r="EY908" s="21" t="n"/>
      <c r="EZ908">
        <f>CONCATENATE(A908,B908)</f>
        <v/>
      </c>
      <c r="FA908">
        <f>CONCATENATE(SamplesX!A908,SamplesX!B908)</f>
        <v/>
      </c>
      <c r="FC908">
        <f>MATCH(EZ908,FA1:FA1008,0)</f>
        <v/>
      </c>
    </row>
    <row r="909">
      <c r="A909" s="16" t="n"/>
      <c r="B909" s="17" t="n"/>
      <c r="C909" s="10">
        <f>IF(ISNUMBER(FC909),INDIRECT("SamplesX!C"&amp;FC909),IF(ISNUMBER(FD909),INDIRECT("SamplesY!C"&amp;FD909),""))</f>
        <v/>
      </c>
      <c r="D909" s="12">
        <f>IF(ISNUMBER(FC909),INDIRECT("SamplesX!D"&amp;FC909),IF(ISNUMBER(FD909),INDIRECT("SamplesY!D"&amp;FD909),""))</f>
        <v/>
      </c>
      <c r="E909" s="12">
        <f>IF(ISNUMBER(FC909),INDIRECT("SamplesX!E"&amp;FC909),IF(ISNUMBER(FD909),INDIRECT("SamplesY!E"&amp;FD909),""))</f>
        <v/>
      </c>
      <c r="F909" s="11">
        <f>IF(ISNUMBER(FC909),INDIRECT("SamplesX!F"&amp;FC909),IF(ISNUMBER(FD909),INDIRECT("SamplesY!F"&amp;FD909),""))</f>
        <v/>
      </c>
      <c r="G909" s="18">
        <f>IF(ISNUMBER(FC909),INDIRECT("SamplesX!G"&amp;FC909),IF(ISNUMBER(FD909),INDIRECT("SamplesY!G"&amp;FD909),""))</f>
        <v/>
      </c>
      <c r="H909" s="19">
        <f>IF(ISNUMBER(FC909),INDIRECT("SamplesX!H"&amp;FC909),IF(ISNUMBER(FD909),INDIRECT("SamplesY!H"&amp;FD909),""))</f>
        <v/>
      </c>
      <c r="I909" s="16" t="n"/>
      <c r="J909" s="16" t="n"/>
      <c r="K909" s="16" t="n"/>
      <c r="L909" s="20" t="n"/>
      <c r="M909" s="20" t="inlineStr">
        <is>
          <t>None</t>
        </is>
      </c>
      <c r="N909" s="17" t="n"/>
      <c r="O909" s="16" t="n"/>
      <c r="P909" s="20" t="inlineStr">
        <is>
          <t>Shimadzu TOC-L</t>
        </is>
      </c>
      <c r="Q909" s="20" t="inlineStr">
        <is>
          <t>None</t>
        </is>
      </c>
      <c r="R909" s="17" t="n"/>
      <c r="S909" s="16" t="n"/>
      <c r="T909" s="20" t="inlineStr">
        <is>
          <t>Shimadzu TOC-L</t>
        </is>
      </c>
      <c r="U909" s="20" t="inlineStr">
        <is>
          <t>None</t>
        </is>
      </c>
      <c r="V909" s="17" t="n"/>
      <c r="W909" s="16" t="n"/>
      <c r="X909" s="20" t="n"/>
      <c r="Y909" s="20" t="inlineStr">
        <is>
          <t>None</t>
        </is>
      </c>
      <c r="Z909" s="17" t="n"/>
      <c r="AA909" s="16" t="n"/>
      <c r="AB909" s="20" t="n"/>
      <c r="AC909" s="20" t="inlineStr">
        <is>
          <t>None</t>
        </is>
      </c>
      <c r="AD909" s="17" t="n"/>
      <c r="AE909" s="16" t="n"/>
      <c r="AF909" s="20" t="inlineStr">
        <is>
          <t>IC Anionen</t>
        </is>
      </c>
      <c r="AG909" s="20" t="inlineStr">
        <is>
          <t>None</t>
        </is>
      </c>
      <c r="AH909" s="17" t="n"/>
      <c r="AI909" s="16" t="n"/>
      <c r="AJ909" s="20" t="n"/>
      <c r="AK909" s="20" t="inlineStr">
        <is>
          <t>None</t>
        </is>
      </c>
      <c r="AL909" s="17" t="n"/>
      <c r="AM909" s="16" t="n"/>
      <c r="AN909" s="20" t="inlineStr">
        <is>
          <t>IC Anionen</t>
        </is>
      </c>
      <c r="AO909" s="20" t="inlineStr">
        <is>
          <t>None</t>
        </is>
      </c>
      <c r="AP909" s="17" t="n"/>
      <c r="AQ909" s="16" t="n"/>
      <c r="AR909" s="20" t="n"/>
      <c r="AS909" s="20" t="inlineStr">
        <is>
          <t>None</t>
        </is>
      </c>
      <c r="AT909" s="17" t="n"/>
      <c r="AU909" s="16" t="n"/>
      <c r="AV909" s="20" t="n"/>
      <c r="AW909" s="20" t="inlineStr">
        <is>
          <t>None</t>
        </is>
      </c>
      <c r="AX909" s="17" t="n"/>
      <c r="AY909" s="16" t="n"/>
      <c r="AZ909" s="20" t="inlineStr">
        <is>
          <t>IC Anionen</t>
        </is>
      </c>
      <c r="BA909" s="20" t="inlineStr">
        <is>
          <t>None</t>
        </is>
      </c>
      <c r="BB909" s="17" t="n"/>
      <c r="BC909" s="16" t="n"/>
      <c r="BD909" s="20" t="inlineStr">
        <is>
          <t>IC Kationen</t>
        </is>
      </c>
      <c r="BE909" s="20" t="inlineStr">
        <is>
          <t>None</t>
        </is>
      </c>
      <c r="BF909" s="17" t="n"/>
      <c r="BG909" s="16" t="n"/>
      <c r="BH909" s="20" t="inlineStr">
        <is>
          <t>IC Kationen</t>
        </is>
      </c>
      <c r="BI909" s="20" t="inlineStr">
        <is>
          <t>None</t>
        </is>
      </c>
      <c r="BJ909" s="17" t="n"/>
      <c r="BK909" s="16" t="n"/>
      <c r="BL909" s="20" t="inlineStr">
        <is>
          <t>IC Kationen</t>
        </is>
      </c>
      <c r="BM909" s="20" t="inlineStr">
        <is>
          <t>None</t>
        </is>
      </c>
      <c r="BN909" s="17" t="n"/>
      <c r="BO909" s="16" t="n"/>
      <c r="BP909" s="20" t="inlineStr">
        <is>
          <t>IC Kationen</t>
        </is>
      </c>
      <c r="BQ909" s="20" t="inlineStr">
        <is>
          <t>None</t>
        </is>
      </c>
      <c r="BR909" s="17" t="n"/>
      <c r="BS909" s="16" t="n"/>
      <c r="BT909" s="20" t="inlineStr">
        <is>
          <t>IC Kationen</t>
        </is>
      </c>
      <c r="BU909" s="20" t="inlineStr">
        <is>
          <t>None</t>
        </is>
      </c>
      <c r="BV909" s="17" t="n"/>
      <c r="BW909" s="16" t="n"/>
      <c r="BX909" s="20" t="n"/>
      <c r="BY909" s="20" t="inlineStr">
        <is>
          <t>None</t>
        </is>
      </c>
      <c r="BZ909" s="17" t="n"/>
      <c r="CA909" s="16" t="n"/>
      <c r="CB909" s="20" t="n"/>
      <c r="CC909" s="20" t="inlineStr">
        <is>
          <t>None</t>
        </is>
      </c>
      <c r="CD909" s="17" t="n"/>
      <c r="CE909" s="16" t="n"/>
      <c r="CF909" s="20" t="n"/>
      <c r="CG909" s="20" t="inlineStr">
        <is>
          <t>None</t>
        </is>
      </c>
      <c r="CH909" s="17" t="n"/>
      <c r="CI909" s="16" t="n"/>
      <c r="CJ909" s="20" t="n"/>
      <c r="CK909" s="20" t="inlineStr">
        <is>
          <t>None</t>
        </is>
      </c>
      <c r="CL909" s="17" t="n"/>
      <c r="CM909" s="16" t="n"/>
      <c r="CN909" s="20" t="inlineStr">
        <is>
          <t>SOP 45-34</t>
        </is>
      </c>
      <c r="CO909" s="20" t="inlineStr">
        <is>
          <t>None</t>
        </is>
      </c>
      <c r="CP909" s="17" t="n"/>
      <c r="CQ909" s="16" t="n"/>
      <c r="CR909" s="20" t="n"/>
      <c r="CS909" s="20" t="inlineStr">
        <is>
          <t>None</t>
        </is>
      </c>
      <c r="CT909" s="17" t="n"/>
      <c r="CU909" s="16" t="n"/>
      <c r="CV909" s="20" t="n"/>
      <c r="CW909" s="20" t="inlineStr">
        <is>
          <t>None</t>
        </is>
      </c>
      <c r="CX909" s="17" t="n"/>
      <c r="CY909" s="16" t="n"/>
      <c r="CZ909" s="20" t="inlineStr">
        <is>
          <t>WTW Multimeter 3430 with FDO 925</t>
        </is>
      </c>
      <c r="DA909" s="20" t="inlineStr">
        <is>
          <t>None</t>
        </is>
      </c>
      <c r="DB909" s="17" t="n"/>
      <c r="DC909" s="16" t="n"/>
      <c r="DD909" s="20" t="n"/>
      <c r="DE909" s="20" t="inlineStr">
        <is>
          <t>None</t>
        </is>
      </c>
      <c r="DF909" s="17" t="n"/>
      <c r="DG909" s="16" t="n"/>
      <c r="DH909" s="20" t="inlineStr">
        <is>
          <t>SOP 45-09</t>
        </is>
      </c>
      <c r="DI909" s="20" t="inlineStr">
        <is>
          <t>None</t>
        </is>
      </c>
      <c r="DJ909" s="17" t="n"/>
      <c r="DK909" s="16" t="n"/>
      <c r="DL909" s="20" t="inlineStr">
        <is>
          <t>SOP 45-09 (SOP muss noch angepasst werden für VSS)</t>
        </is>
      </c>
      <c r="DM909" s="20" t="inlineStr">
        <is>
          <t>None</t>
        </is>
      </c>
      <c r="DN909" s="17" t="n"/>
      <c r="DO909" s="16" t="n"/>
      <c r="DP909" s="20" t="inlineStr">
        <is>
          <t>IC Organic Acids</t>
        </is>
      </c>
      <c r="DQ909" s="20" t="inlineStr">
        <is>
          <t>None</t>
        </is>
      </c>
      <c r="DR909" s="17" t="n"/>
      <c r="DS909" s="16" t="n"/>
      <c r="DT909" s="20" t="inlineStr">
        <is>
          <t>IC Organic Acids</t>
        </is>
      </c>
      <c r="DU909" s="20" t="inlineStr">
        <is>
          <t>None</t>
        </is>
      </c>
      <c r="DV909" s="17" t="n"/>
      <c r="DW909" s="16" t="n"/>
      <c r="DX909" s="20" t="inlineStr">
        <is>
          <t>IC Organic Acids</t>
        </is>
      </c>
      <c r="DY909" s="20" t="inlineStr">
        <is>
          <t>None</t>
        </is>
      </c>
      <c r="DZ909" s="17" t="n"/>
      <c r="EA909" s="16" t="n"/>
      <c r="EB909" s="20" t="inlineStr">
        <is>
          <t>IC Organic Acids</t>
        </is>
      </c>
      <c r="EC909" s="20" t="inlineStr">
        <is>
          <t>None</t>
        </is>
      </c>
      <c r="ED909" s="17" t="n"/>
      <c r="EE909" s="16" t="n"/>
      <c r="EF909" s="20" t="inlineStr">
        <is>
          <t>IC Organic Acids</t>
        </is>
      </c>
      <c r="EG909" s="20" t="inlineStr">
        <is>
          <t>None</t>
        </is>
      </c>
      <c r="EH909" s="17" t="n"/>
      <c r="EI909" s="16" t="n"/>
      <c r="EJ909" s="20" t="inlineStr">
        <is>
          <t>IC Organic Acids</t>
        </is>
      </c>
      <c r="EK909" s="20" t="inlineStr">
        <is>
          <t>None</t>
        </is>
      </c>
      <c r="EL909" s="17" t="n"/>
      <c r="EM909" s="16" t="n"/>
      <c r="EN909" s="20" t="inlineStr">
        <is>
          <t>IC Organic Acids</t>
        </is>
      </c>
      <c r="EO909" s="20" t="inlineStr">
        <is>
          <t>None</t>
        </is>
      </c>
      <c r="EP909" s="17" t="n"/>
      <c r="EQ909" s="16" t="n"/>
      <c r="ER909" s="20" t="inlineStr">
        <is>
          <t>IC Organic Acids</t>
        </is>
      </c>
      <c r="ES909" s="20" t="inlineStr">
        <is>
          <t>None</t>
        </is>
      </c>
      <c r="ET909" s="17" t="n"/>
      <c r="EU909" s="16" t="n"/>
      <c r="EV909" s="20" t="inlineStr">
        <is>
          <t>LC-MS</t>
        </is>
      </c>
      <c r="EW909" s="20" t="inlineStr">
        <is>
          <t>None</t>
        </is>
      </c>
      <c r="EX909" s="17" t="n"/>
      <c r="EY909" s="21" t="n"/>
      <c r="EZ909">
        <f>CONCATENATE(A909,B909)</f>
        <v/>
      </c>
      <c r="FA909">
        <f>CONCATENATE(SamplesX!A909,SamplesX!B909)</f>
        <v/>
      </c>
      <c r="FC909">
        <f>MATCH(EZ909,FA1:FA1008,0)</f>
        <v/>
      </c>
    </row>
    <row r="910">
      <c r="A910" s="16" t="n"/>
      <c r="B910" s="17" t="n"/>
      <c r="C910" s="10">
        <f>IF(ISNUMBER(FC910),INDIRECT("SamplesX!C"&amp;FC910),IF(ISNUMBER(FD910),INDIRECT("SamplesY!C"&amp;FD910),""))</f>
        <v/>
      </c>
      <c r="D910" s="12">
        <f>IF(ISNUMBER(FC910),INDIRECT("SamplesX!D"&amp;FC910),IF(ISNUMBER(FD910),INDIRECT("SamplesY!D"&amp;FD910),""))</f>
        <v/>
      </c>
      <c r="E910" s="12">
        <f>IF(ISNUMBER(FC910),INDIRECT("SamplesX!E"&amp;FC910),IF(ISNUMBER(FD910),INDIRECT("SamplesY!E"&amp;FD910),""))</f>
        <v/>
      </c>
      <c r="F910" s="11">
        <f>IF(ISNUMBER(FC910),INDIRECT("SamplesX!F"&amp;FC910),IF(ISNUMBER(FD910),INDIRECT("SamplesY!F"&amp;FD910),""))</f>
        <v/>
      </c>
      <c r="G910" s="18">
        <f>IF(ISNUMBER(FC910),INDIRECT("SamplesX!G"&amp;FC910),IF(ISNUMBER(FD910),INDIRECT("SamplesY!G"&amp;FD910),""))</f>
        <v/>
      </c>
      <c r="H910" s="19">
        <f>IF(ISNUMBER(FC910),INDIRECT("SamplesX!H"&amp;FC910),IF(ISNUMBER(FD910),INDIRECT("SamplesY!H"&amp;FD910),""))</f>
        <v/>
      </c>
      <c r="I910" s="16" t="n"/>
      <c r="J910" s="16" t="n"/>
      <c r="K910" s="16" t="n"/>
      <c r="L910" s="20" t="n"/>
      <c r="M910" s="20" t="inlineStr">
        <is>
          <t>None</t>
        </is>
      </c>
      <c r="N910" s="17" t="n"/>
      <c r="O910" s="16" t="n"/>
      <c r="P910" s="20" t="inlineStr">
        <is>
          <t>Shimadzu TOC-L</t>
        </is>
      </c>
      <c r="Q910" s="20" t="inlineStr">
        <is>
          <t>None</t>
        </is>
      </c>
      <c r="R910" s="17" t="n"/>
      <c r="S910" s="16" t="n"/>
      <c r="T910" s="20" t="inlineStr">
        <is>
          <t>Shimadzu TOC-L</t>
        </is>
      </c>
      <c r="U910" s="20" t="inlineStr">
        <is>
          <t>None</t>
        </is>
      </c>
      <c r="V910" s="17" t="n"/>
      <c r="W910" s="16" t="n"/>
      <c r="X910" s="20" t="n"/>
      <c r="Y910" s="20" t="inlineStr">
        <is>
          <t>None</t>
        </is>
      </c>
      <c r="Z910" s="17" t="n"/>
      <c r="AA910" s="16" t="n"/>
      <c r="AB910" s="20" t="n"/>
      <c r="AC910" s="20" t="inlineStr">
        <is>
          <t>None</t>
        </is>
      </c>
      <c r="AD910" s="17" t="n"/>
      <c r="AE910" s="16" t="n"/>
      <c r="AF910" s="20" t="inlineStr">
        <is>
          <t>IC Anionen</t>
        </is>
      </c>
      <c r="AG910" s="20" t="inlineStr">
        <is>
          <t>None</t>
        </is>
      </c>
      <c r="AH910" s="17" t="n"/>
      <c r="AI910" s="16" t="n"/>
      <c r="AJ910" s="20" t="n"/>
      <c r="AK910" s="20" t="inlineStr">
        <is>
          <t>None</t>
        </is>
      </c>
      <c r="AL910" s="17" t="n"/>
      <c r="AM910" s="16" t="n"/>
      <c r="AN910" s="20" t="inlineStr">
        <is>
          <t>IC Anionen</t>
        </is>
      </c>
      <c r="AO910" s="20" t="inlineStr">
        <is>
          <t>None</t>
        </is>
      </c>
      <c r="AP910" s="17" t="n"/>
      <c r="AQ910" s="16" t="n"/>
      <c r="AR910" s="20" t="n"/>
      <c r="AS910" s="20" t="inlineStr">
        <is>
          <t>None</t>
        </is>
      </c>
      <c r="AT910" s="17" t="n"/>
      <c r="AU910" s="16" t="n"/>
      <c r="AV910" s="20" t="n"/>
      <c r="AW910" s="20" t="inlineStr">
        <is>
          <t>None</t>
        </is>
      </c>
      <c r="AX910" s="17" t="n"/>
      <c r="AY910" s="16" t="n"/>
      <c r="AZ910" s="20" t="inlineStr">
        <is>
          <t>IC Anionen</t>
        </is>
      </c>
      <c r="BA910" s="20" t="inlineStr">
        <is>
          <t>None</t>
        </is>
      </c>
      <c r="BB910" s="17" t="n"/>
      <c r="BC910" s="16" t="n"/>
      <c r="BD910" s="20" t="inlineStr">
        <is>
          <t>IC Kationen</t>
        </is>
      </c>
      <c r="BE910" s="20" t="inlineStr">
        <is>
          <t>None</t>
        </is>
      </c>
      <c r="BF910" s="17" t="n"/>
      <c r="BG910" s="16" t="n"/>
      <c r="BH910" s="20" t="inlineStr">
        <is>
          <t>IC Kationen</t>
        </is>
      </c>
      <c r="BI910" s="20" t="inlineStr">
        <is>
          <t>None</t>
        </is>
      </c>
      <c r="BJ910" s="17" t="n"/>
      <c r="BK910" s="16" t="n"/>
      <c r="BL910" s="20" t="inlineStr">
        <is>
          <t>IC Kationen</t>
        </is>
      </c>
      <c r="BM910" s="20" t="inlineStr">
        <is>
          <t>None</t>
        </is>
      </c>
      <c r="BN910" s="17" t="n"/>
      <c r="BO910" s="16" t="n"/>
      <c r="BP910" s="20" t="inlineStr">
        <is>
          <t>IC Kationen</t>
        </is>
      </c>
      <c r="BQ910" s="20" t="inlineStr">
        <is>
          <t>None</t>
        </is>
      </c>
      <c r="BR910" s="17" t="n"/>
      <c r="BS910" s="16" t="n"/>
      <c r="BT910" s="20" t="inlineStr">
        <is>
          <t>IC Kationen</t>
        </is>
      </c>
      <c r="BU910" s="20" t="inlineStr">
        <is>
          <t>None</t>
        </is>
      </c>
      <c r="BV910" s="17" t="n"/>
      <c r="BW910" s="16" t="n"/>
      <c r="BX910" s="20" t="n"/>
      <c r="BY910" s="20" t="inlineStr">
        <is>
          <t>None</t>
        </is>
      </c>
      <c r="BZ910" s="17" t="n"/>
      <c r="CA910" s="16" t="n"/>
      <c r="CB910" s="20" t="n"/>
      <c r="CC910" s="20" t="inlineStr">
        <is>
          <t>None</t>
        </is>
      </c>
      <c r="CD910" s="17" t="n"/>
      <c r="CE910" s="16" t="n"/>
      <c r="CF910" s="20" t="n"/>
      <c r="CG910" s="20" t="inlineStr">
        <is>
          <t>None</t>
        </is>
      </c>
      <c r="CH910" s="17" t="n"/>
      <c r="CI910" s="16" t="n"/>
      <c r="CJ910" s="20" t="n"/>
      <c r="CK910" s="20" t="inlineStr">
        <is>
          <t>None</t>
        </is>
      </c>
      <c r="CL910" s="17" t="n"/>
      <c r="CM910" s="16" t="n"/>
      <c r="CN910" s="20" t="inlineStr">
        <is>
          <t>SOP 45-34</t>
        </is>
      </c>
      <c r="CO910" s="20" t="inlineStr">
        <is>
          <t>None</t>
        </is>
      </c>
      <c r="CP910" s="17" t="n"/>
      <c r="CQ910" s="16" t="n"/>
      <c r="CR910" s="20" t="n"/>
      <c r="CS910" s="20" t="inlineStr">
        <is>
          <t>None</t>
        </is>
      </c>
      <c r="CT910" s="17" t="n"/>
      <c r="CU910" s="16" t="n"/>
      <c r="CV910" s="20" t="n"/>
      <c r="CW910" s="20" t="inlineStr">
        <is>
          <t>None</t>
        </is>
      </c>
      <c r="CX910" s="17" t="n"/>
      <c r="CY910" s="16" t="n"/>
      <c r="CZ910" s="20" t="inlineStr">
        <is>
          <t>WTW Multimeter 3430 with FDO 925</t>
        </is>
      </c>
      <c r="DA910" s="20" t="inlineStr">
        <is>
          <t>None</t>
        </is>
      </c>
      <c r="DB910" s="17" t="n"/>
      <c r="DC910" s="16" t="n"/>
      <c r="DD910" s="20" t="n"/>
      <c r="DE910" s="20" t="inlineStr">
        <is>
          <t>None</t>
        </is>
      </c>
      <c r="DF910" s="17" t="n"/>
      <c r="DG910" s="16" t="n"/>
      <c r="DH910" s="20" t="inlineStr">
        <is>
          <t>SOP 45-09</t>
        </is>
      </c>
      <c r="DI910" s="20" t="inlineStr">
        <is>
          <t>None</t>
        </is>
      </c>
      <c r="DJ910" s="17" t="n"/>
      <c r="DK910" s="16" t="n"/>
      <c r="DL910" s="20" t="inlineStr">
        <is>
          <t>SOP 45-09 (SOP muss noch angepasst werden für VSS)</t>
        </is>
      </c>
      <c r="DM910" s="20" t="inlineStr">
        <is>
          <t>None</t>
        </is>
      </c>
      <c r="DN910" s="17" t="n"/>
      <c r="DO910" s="16" t="n"/>
      <c r="DP910" s="20" t="inlineStr">
        <is>
          <t>IC Organic Acids</t>
        </is>
      </c>
      <c r="DQ910" s="20" t="inlineStr">
        <is>
          <t>None</t>
        </is>
      </c>
      <c r="DR910" s="17" t="n"/>
      <c r="DS910" s="16" t="n"/>
      <c r="DT910" s="20" t="inlineStr">
        <is>
          <t>IC Organic Acids</t>
        </is>
      </c>
      <c r="DU910" s="20" t="inlineStr">
        <is>
          <t>None</t>
        </is>
      </c>
      <c r="DV910" s="17" t="n"/>
      <c r="DW910" s="16" t="n"/>
      <c r="DX910" s="20" t="inlineStr">
        <is>
          <t>IC Organic Acids</t>
        </is>
      </c>
      <c r="DY910" s="20" t="inlineStr">
        <is>
          <t>None</t>
        </is>
      </c>
      <c r="DZ910" s="17" t="n"/>
      <c r="EA910" s="16" t="n"/>
      <c r="EB910" s="20" t="inlineStr">
        <is>
          <t>IC Organic Acids</t>
        </is>
      </c>
      <c r="EC910" s="20" t="inlineStr">
        <is>
          <t>None</t>
        </is>
      </c>
      <c r="ED910" s="17" t="n"/>
      <c r="EE910" s="16" t="n"/>
      <c r="EF910" s="20" t="inlineStr">
        <is>
          <t>IC Organic Acids</t>
        </is>
      </c>
      <c r="EG910" s="20" t="inlineStr">
        <is>
          <t>None</t>
        </is>
      </c>
      <c r="EH910" s="17" t="n"/>
      <c r="EI910" s="16" t="n"/>
      <c r="EJ910" s="20" t="inlineStr">
        <is>
          <t>IC Organic Acids</t>
        </is>
      </c>
      <c r="EK910" s="20" t="inlineStr">
        <is>
          <t>None</t>
        </is>
      </c>
      <c r="EL910" s="17" t="n"/>
      <c r="EM910" s="16" t="n"/>
      <c r="EN910" s="20" t="inlineStr">
        <is>
          <t>IC Organic Acids</t>
        </is>
      </c>
      <c r="EO910" s="20" t="inlineStr">
        <is>
          <t>None</t>
        </is>
      </c>
      <c r="EP910" s="17" t="n"/>
      <c r="EQ910" s="16" t="n"/>
      <c r="ER910" s="20" t="inlineStr">
        <is>
          <t>IC Organic Acids</t>
        </is>
      </c>
      <c r="ES910" s="20" t="inlineStr">
        <is>
          <t>None</t>
        </is>
      </c>
      <c r="ET910" s="17" t="n"/>
      <c r="EU910" s="16" t="n"/>
      <c r="EV910" s="20" t="inlineStr">
        <is>
          <t>LC-MS</t>
        </is>
      </c>
      <c r="EW910" s="20" t="inlineStr">
        <is>
          <t>None</t>
        </is>
      </c>
      <c r="EX910" s="17" t="n"/>
      <c r="EY910" s="21" t="n"/>
      <c r="EZ910">
        <f>CONCATENATE(A910,B910)</f>
        <v/>
      </c>
      <c r="FA910">
        <f>CONCATENATE(SamplesX!A910,SamplesX!B910)</f>
        <v/>
      </c>
      <c r="FC910">
        <f>MATCH(EZ910,FA1:FA1008,0)</f>
        <v/>
      </c>
    </row>
    <row r="911">
      <c r="A911" s="16" t="n"/>
      <c r="B911" s="17" t="n"/>
      <c r="C911" s="10">
        <f>IF(ISNUMBER(FC911),INDIRECT("SamplesX!C"&amp;FC911),IF(ISNUMBER(FD911),INDIRECT("SamplesY!C"&amp;FD911),""))</f>
        <v/>
      </c>
      <c r="D911" s="12">
        <f>IF(ISNUMBER(FC911),INDIRECT("SamplesX!D"&amp;FC911),IF(ISNUMBER(FD911),INDIRECT("SamplesY!D"&amp;FD911),""))</f>
        <v/>
      </c>
      <c r="E911" s="12">
        <f>IF(ISNUMBER(FC911),INDIRECT("SamplesX!E"&amp;FC911),IF(ISNUMBER(FD911),INDIRECT("SamplesY!E"&amp;FD911),""))</f>
        <v/>
      </c>
      <c r="F911" s="11">
        <f>IF(ISNUMBER(FC911),INDIRECT("SamplesX!F"&amp;FC911),IF(ISNUMBER(FD911),INDIRECT("SamplesY!F"&amp;FD911),""))</f>
        <v/>
      </c>
      <c r="G911" s="18">
        <f>IF(ISNUMBER(FC911),INDIRECT("SamplesX!G"&amp;FC911),IF(ISNUMBER(FD911),INDIRECT("SamplesY!G"&amp;FD911),""))</f>
        <v/>
      </c>
      <c r="H911" s="19">
        <f>IF(ISNUMBER(FC911),INDIRECT("SamplesX!H"&amp;FC911),IF(ISNUMBER(FD911),INDIRECT("SamplesY!H"&amp;FD911),""))</f>
        <v/>
      </c>
      <c r="I911" s="16" t="n"/>
      <c r="J911" s="16" t="n"/>
      <c r="K911" s="16" t="n"/>
      <c r="L911" s="20" t="n"/>
      <c r="M911" s="20" t="inlineStr">
        <is>
          <t>None</t>
        </is>
      </c>
      <c r="N911" s="17" t="n"/>
      <c r="O911" s="16" t="n"/>
      <c r="P911" s="20" t="inlineStr">
        <is>
          <t>Shimadzu TOC-L</t>
        </is>
      </c>
      <c r="Q911" s="20" t="inlineStr">
        <is>
          <t>None</t>
        </is>
      </c>
      <c r="R911" s="17" t="n"/>
      <c r="S911" s="16" t="n"/>
      <c r="T911" s="20" t="inlineStr">
        <is>
          <t>Shimadzu TOC-L</t>
        </is>
      </c>
      <c r="U911" s="20" t="inlineStr">
        <is>
          <t>None</t>
        </is>
      </c>
      <c r="V911" s="17" t="n"/>
      <c r="W911" s="16" t="n"/>
      <c r="X911" s="20" t="n"/>
      <c r="Y911" s="20" t="inlineStr">
        <is>
          <t>None</t>
        </is>
      </c>
      <c r="Z911" s="17" t="n"/>
      <c r="AA911" s="16" t="n"/>
      <c r="AB911" s="20" t="n"/>
      <c r="AC911" s="20" t="inlineStr">
        <is>
          <t>None</t>
        </is>
      </c>
      <c r="AD911" s="17" t="n"/>
      <c r="AE911" s="16" t="n"/>
      <c r="AF911" s="20" t="inlineStr">
        <is>
          <t>IC Anionen</t>
        </is>
      </c>
      <c r="AG911" s="20" t="inlineStr">
        <is>
          <t>None</t>
        </is>
      </c>
      <c r="AH911" s="17" t="n"/>
      <c r="AI911" s="16" t="n"/>
      <c r="AJ911" s="20" t="n"/>
      <c r="AK911" s="20" t="inlineStr">
        <is>
          <t>None</t>
        </is>
      </c>
      <c r="AL911" s="17" t="n"/>
      <c r="AM911" s="16" t="n"/>
      <c r="AN911" s="20" t="inlineStr">
        <is>
          <t>IC Anionen</t>
        </is>
      </c>
      <c r="AO911" s="20" t="inlineStr">
        <is>
          <t>None</t>
        </is>
      </c>
      <c r="AP911" s="17" t="n"/>
      <c r="AQ911" s="16" t="n"/>
      <c r="AR911" s="20" t="n"/>
      <c r="AS911" s="20" t="inlineStr">
        <is>
          <t>None</t>
        </is>
      </c>
      <c r="AT911" s="17" t="n"/>
      <c r="AU911" s="16" t="n"/>
      <c r="AV911" s="20" t="n"/>
      <c r="AW911" s="20" t="inlineStr">
        <is>
          <t>None</t>
        </is>
      </c>
      <c r="AX911" s="17" t="n"/>
      <c r="AY911" s="16" t="n"/>
      <c r="AZ911" s="20" t="inlineStr">
        <is>
          <t>IC Anionen</t>
        </is>
      </c>
      <c r="BA911" s="20" t="inlineStr">
        <is>
          <t>None</t>
        </is>
      </c>
      <c r="BB911" s="17" t="n"/>
      <c r="BC911" s="16" t="n"/>
      <c r="BD911" s="20" t="inlineStr">
        <is>
          <t>IC Kationen</t>
        </is>
      </c>
      <c r="BE911" s="20" t="inlineStr">
        <is>
          <t>None</t>
        </is>
      </c>
      <c r="BF911" s="17" t="n"/>
      <c r="BG911" s="16" t="n"/>
      <c r="BH911" s="20" t="inlineStr">
        <is>
          <t>IC Kationen</t>
        </is>
      </c>
      <c r="BI911" s="20" t="inlineStr">
        <is>
          <t>None</t>
        </is>
      </c>
      <c r="BJ911" s="17" t="n"/>
      <c r="BK911" s="16" t="n"/>
      <c r="BL911" s="20" t="inlineStr">
        <is>
          <t>IC Kationen</t>
        </is>
      </c>
      <c r="BM911" s="20" t="inlineStr">
        <is>
          <t>None</t>
        </is>
      </c>
      <c r="BN911" s="17" t="n"/>
      <c r="BO911" s="16" t="n"/>
      <c r="BP911" s="20" t="inlineStr">
        <is>
          <t>IC Kationen</t>
        </is>
      </c>
      <c r="BQ911" s="20" t="inlineStr">
        <is>
          <t>None</t>
        </is>
      </c>
      <c r="BR911" s="17" t="n"/>
      <c r="BS911" s="16" t="n"/>
      <c r="BT911" s="20" t="inlineStr">
        <is>
          <t>IC Kationen</t>
        </is>
      </c>
      <c r="BU911" s="20" t="inlineStr">
        <is>
          <t>None</t>
        </is>
      </c>
      <c r="BV911" s="17" t="n"/>
      <c r="BW911" s="16" t="n"/>
      <c r="BX911" s="20" t="n"/>
      <c r="BY911" s="20" t="inlineStr">
        <is>
          <t>None</t>
        </is>
      </c>
      <c r="BZ911" s="17" t="n"/>
      <c r="CA911" s="16" t="n"/>
      <c r="CB911" s="20" t="n"/>
      <c r="CC911" s="20" t="inlineStr">
        <is>
          <t>None</t>
        </is>
      </c>
      <c r="CD911" s="17" t="n"/>
      <c r="CE911" s="16" t="n"/>
      <c r="CF911" s="20" t="n"/>
      <c r="CG911" s="20" t="inlineStr">
        <is>
          <t>None</t>
        </is>
      </c>
      <c r="CH911" s="17" t="n"/>
      <c r="CI911" s="16" t="n"/>
      <c r="CJ911" s="20" t="n"/>
      <c r="CK911" s="20" t="inlineStr">
        <is>
          <t>None</t>
        </is>
      </c>
      <c r="CL911" s="17" t="n"/>
      <c r="CM911" s="16" t="n"/>
      <c r="CN911" s="20" t="inlineStr">
        <is>
          <t>SOP 45-34</t>
        </is>
      </c>
      <c r="CO911" s="20" t="inlineStr">
        <is>
          <t>None</t>
        </is>
      </c>
      <c r="CP911" s="17" t="n"/>
      <c r="CQ911" s="16" t="n"/>
      <c r="CR911" s="20" t="n"/>
      <c r="CS911" s="20" t="inlineStr">
        <is>
          <t>None</t>
        </is>
      </c>
      <c r="CT911" s="17" t="n"/>
      <c r="CU911" s="16" t="n"/>
      <c r="CV911" s="20" t="n"/>
      <c r="CW911" s="20" t="inlineStr">
        <is>
          <t>None</t>
        </is>
      </c>
      <c r="CX911" s="17" t="n"/>
      <c r="CY911" s="16" t="n"/>
      <c r="CZ911" s="20" t="inlineStr">
        <is>
          <t>WTW Multimeter 3430 with FDO 925</t>
        </is>
      </c>
      <c r="DA911" s="20" t="inlineStr">
        <is>
          <t>None</t>
        </is>
      </c>
      <c r="DB911" s="17" t="n"/>
      <c r="DC911" s="16" t="n"/>
      <c r="DD911" s="20" t="n"/>
      <c r="DE911" s="20" t="inlineStr">
        <is>
          <t>None</t>
        </is>
      </c>
      <c r="DF911" s="17" t="n"/>
      <c r="DG911" s="16" t="n"/>
      <c r="DH911" s="20" t="inlineStr">
        <is>
          <t>SOP 45-09</t>
        </is>
      </c>
      <c r="DI911" s="20" t="inlineStr">
        <is>
          <t>None</t>
        </is>
      </c>
      <c r="DJ911" s="17" t="n"/>
      <c r="DK911" s="16" t="n"/>
      <c r="DL911" s="20" t="inlineStr">
        <is>
          <t>SOP 45-09 (SOP muss noch angepasst werden für VSS)</t>
        </is>
      </c>
      <c r="DM911" s="20" t="inlineStr">
        <is>
          <t>None</t>
        </is>
      </c>
      <c r="DN911" s="17" t="n"/>
      <c r="DO911" s="16" t="n"/>
      <c r="DP911" s="20" t="inlineStr">
        <is>
          <t>IC Organic Acids</t>
        </is>
      </c>
      <c r="DQ911" s="20" t="inlineStr">
        <is>
          <t>None</t>
        </is>
      </c>
      <c r="DR911" s="17" t="n"/>
      <c r="DS911" s="16" t="n"/>
      <c r="DT911" s="20" t="inlineStr">
        <is>
          <t>IC Organic Acids</t>
        </is>
      </c>
      <c r="DU911" s="20" t="inlineStr">
        <is>
          <t>None</t>
        </is>
      </c>
      <c r="DV911" s="17" t="n"/>
      <c r="DW911" s="16" t="n"/>
      <c r="DX911" s="20" t="inlineStr">
        <is>
          <t>IC Organic Acids</t>
        </is>
      </c>
      <c r="DY911" s="20" t="inlineStr">
        <is>
          <t>None</t>
        </is>
      </c>
      <c r="DZ911" s="17" t="n"/>
      <c r="EA911" s="16" t="n"/>
      <c r="EB911" s="20" t="inlineStr">
        <is>
          <t>IC Organic Acids</t>
        </is>
      </c>
      <c r="EC911" s="20" t="inlineStr">
        <is>
          <t>None</t>
        </is>
      </c>
      <c r="ED911" s="17" t="n"/>
      <c r="EE911" s="16" t="n"/>
      <c r="EF911" s="20" t="inlineStr">
        <is>
          <t>IC Organic Acids</t>
        </is>
      </c>
      <c r="EG911" s="20" t="inlineStr">
        <is>
          <t>None</t>
        </is>
      </c>
      <c r="EH911" s="17" t="n"/>
      <c r="EI911" s="16" t="n"/>
      <c r="EJ911" s="20" t="inlineStr">
        <is>
          <t>IC Organic Acids</t>
        </is>
      </c>
      <c r="EK911" s="20" t="inlineStr">
        <is>
          <t>None</t>
        </is>
      </c>
      <c r="EL911" s="17" t="n"/>
      <c r="EM911" s="16" t="n"/>
      <c r="EN911" s="20" t="inlineStr">
        <is>
          <t>IC Organic Acids</t>
        </is>
      </c>
      <c r="EO911" s="20" t="inlineStr">
        <is>
          <t>None</t>
        </is>
      </c>
      <c r="EP911" s="17" t="n"/>
      <c r="EQ911" s="16" t="n"/>
      <c r="ER911" s="20" t="inlineStr">
        <is>
          <t>IC Organic Acids</t>
        </is>
      </c>
      <c r="ES911" s="20" t="inlineStr">
        <is>
          <t>None</t>
        </is>
      </c>
      <c r="ET911" s="17" t="n"/>
      <c r="EU911" s="16" t="n"/>
      <c r="EV911" s="20" t="inlineStr">
        <is>
          <t>LC-MS</t>
        </is>
      </c>
      <c r="EW911" s="20" t="inlineStr">
        <is>
          <t>None</t>
        </is>
      </c>
      <c r="EX911" s="17" t="n"/>
      <c r="EY911" s="21" t="n"/>
      <c r="EZ911">
        <f>CONCATENATE(A911,B911)</f>
        <v/>
      </c>
      <c r="FA911">
        <f>CONCATENATE(SamplesX!A911,SamplesX!B911)</f>
        <v/>
      </c>
      <c r="FC911">
        <f>MATCH(EZ911,FA1:FA1008,0)</f>
        <v/>
      </c>
    </row>
    <row r="912">
      <c r="A912" s="16" t="n"/>
      <c r="B912" s="17" t="n"/>
      <c r="C912" s="10">
        <f>IF(ISNUMBER(FC912),INDIRECT("SamplesX!C"&amp;FC912),IF(ISNUMBER(FD912),INDIRECT("SamplesY!C"&amp;FD912),""))</f>
        <v/>
      </c>
      <c r="D912" s="12">
        <f>IF(ISNUMBER(FC912),INDIRECT("SamplesX!D"&amp;FC912),IF(ISNUMBER(FD912),INDIRECT("SamplesY!D"&amp;FD912),""))</f>
        <v/>
      </c>
      <c r="E912" s="12">
        <f>IF(ISNUMBER(FC912),INDIRECT("SamplesX!E"&amp;FC912),IF(ISNUMBER(FD912),INDIRECT("SamplesY!E"&amp;FD912),""))</f>
        <v/>
      </c>
      <c r="F912" s="11">
        <f>IF(ISNUMBER(FC912),INDIRECT("SamplesX!F"&amp;FC912),IF(ISNUMBER(FD912),INDIRECT("SamplesY!F"&amp;FD912),""))</f>
        <v/>
      </c>
      <c r="G912" s="18">
        <f>IF(ISNUMBER(FC912),INDIRECT("SamplesX!G"&amp;FC912),IF(ISNUMBER(FD912),INDIRECT("SamplesY!G"&amp;FD912),""))</f>
        <v/>
      </c>
      <c r="H912" s="19">
        <f>IF(ISNUMBER(FC912),INDIRECT("SamplesX!H"&amp;FC912),IF(ISNUMBER(FD912),INDIRECT("SamplesY!H"&amp;FD912),""))</f>
        <v/>
      </c>
      <c r="I912" s="16" t="n"/>
      <c r="J912" s="16" t="n"/>
      <c r="K912" s="16" t="n"/>
      <c r="L912" s="20" t="n"/>
      <c r="M912" s="20" t="inlineStr">
        <is>
          <t>None</t>
        </is>
      </c>
      <c r="N912" s="17" t="n"/>
      <c r="O912" s="16" t="n"/>
      <c r="P912" s="20" t="inlineStr">
        <is>
          <t>Shimadzu TOC-L</t>
        </is>
      </c>
      <c r="Q912" s="20" t="inlineStr">
        <is>
          <t>None</t>
        </is>
      </c>
      <c r="R912" s="17" t="n"/>
      <c r="S912" s="16" t="n"/>
      <c r="T912" s="20" t="inlineStr">
        <is>
          <t>Shimadzu TOC-L</t>
        </is>
      </c>
      <c r="U912" s="20" t="inlineStr">
        <is>
          <t>None</t>
        </is>
      </c>
      <c r="V912" s="17" t="n"/>
      <c r="W912" s="16" t="n"/>
      <c r="X912" s="20" t="n"/>
      <c r="Y912" s="20" t="inlineStr">
        <is>
          <t>None</t>
        </is>
      </c>
      <c r="Z912" s="17" t="n"/>
      <c r="AA912" s="16" t="n"/>
      <c r="AB912" s="20" t="n"/>
      <c r="AC912" s="20" t="inlineStr">
        <is>
          <t>None</t>
        </is>
      </c>
      <c r="AD912" s="17" t="n"/>
      <c r="AE912" s="16" t="n"/>
      <c r="AF912" s="20" t="inlineStr">
        <is>
          <t>IC Anionen</t>
        </is>
      </c>
      <c r="AG912" s="20" t="inlineStr">
        <is>
          <t>None</t>
        </is>
      </c>
      <c r="AH912" s="17" t="n"/>
      <c r="AI912" s="16" t="n"/>
      <c r="AJ912" s="20" t="n"/>
      <c r="AK912" s="20" t="inlineStr">
        <is>
          <t>None</t>
        </is>
      </c>
      <c r="AL912" s="17" t="n"/>
      <c r="AM912" s="16" t="n"/>
      <c r="AN912" s="20" t="inlineStr">
        <is>
          <t>IC Anionen</t>
        </is>
      </c>
      <c r="AO912" s="20" t="inlineStr">
        <is>
          <t>None</t>
        </is>
      </c>
      <c r="AP912" s="17" t="n"/>
      <c r="AQ912" s="16" t="n"/>
      <c r="AR912" s="20" t="n"/>
      <c r="AS912" s="20" t="inlineStr">
        <is>
          <t>None</t>
        </is>
      </c>
      <c r="AT912" s="17" t="n"/>
      <c r="AU912" s="16" t="n"/>
      <c r="AV912" s="20" t="n"/>
      <c r="AW912" s="20" t="inlineStr">
        <is>
          <t>None</t>
        </is>
      </c>
      <c r="AX912" s="17" t="n"/>
      <c r="AY912" s="16" t="n"/>
      <c r="AZ912" s="20" t="inlineStr">
        <is>
          <t>IC Anionen</t>
        </is>
      </c>
      <c r="BA912" s="20" t="inlineStr">
        <is>
          <t>None</t>
        </is>
      </c>
      <c r="BB912" s="17" t="n"/>
      <c r="BC912" s="16" t="n"/>
      <c r="BD912" s="20" t="inlineStr">
        <is>
          <t>IC Kationen</t>
        </is>
      </c>
      <c r="BE912" s="20" t="inlineStr">
        <is>
          <t>None</t>
        </is>
      </c>
      <c r="BF912" s="17" t="n"/>
      <c r="BG912" s="16" t="n"/>
      <c r="BH912" s="20" t="inlineStr">
        <is>
          <t>IC Kationen</t>
        </is>
      </c>
      <c r="BI912" s="20" t="inlineStr">
        <is>
          <t>None</t>
        </is>
      </c>
      <c r="BJ912" s="17" t="n"/>
      <c r="BK912" s="16" t="n"/>
      <c r="BL912" s="20" t="inlineStr">
        <is>
          <t>IC Kationen</t>
        </is>
      </c>
      <c r="BM912" s="20" t="inlineStr">
        <is>
          <t>None</t>
        </is>
      </c>
      <c r="BN912" s="17" t="n"/>
      <c r="BO912" s="16" t="n"/>
      <c r="BP912" s="20" t="inlineStr">
        <is>
          <t>IC Kationen</t>
        </is>
      </c>
      <c r="BQ912" s="20" t="inlineStr">
        <is>
          <t>None</t>
        </is>
      </c>
      <c r="BR912" s="17" t="n"/>
      <c r="BS912" s="16" t="n"/>
      <c r="BT912" s="20" t="inlineStr">
        <is>
          <t>IC Kationen</t>
        </is>
      </c>
      <c r="BU912" s="20" t="inlineStr">
        <is>
          <t>None</t>
        </is>
      </c>
      <c r="BV912" s="17" t="n"/>
      <c r="BW912" s="16" t="n"/>
      <c r="BX912" s="20" t="n"/>
      <c r="BY912" s="20" t="inlineStr">
        <is>
          <t>None</t>
        </is>
      </c>
      <c r="BZ912" s="17" t="n"/>
      <c r="CA912" s="16" t="n"/>
      <c r="CB912" s="20" t="n"/>
      <c r="CC912" s="20" t="inlineStr">
        <is>
          <t>None</t>
        </is>
      </c>
      <c r="CD912" s="17" t="n"/>
      <c r="CE912" s="16" t="n"/>
      <c r="CF912" s="20" t="n"/>
      <c r="CG912" s="20" t="inlineStr">
        <is>
          <t>None</t>
        </is>
      </c>
      <c r="CH912" s="17" t="n"/>
      <c r="CI912" s="16" t="n"/>
      <c r="CJ912" s="20" t="n"/>
      <c r="CK912" s="20" t="inlineStr">
        <is>
          <t>None</t>
        </is>
      </c>
      <c r="CL912" s="17" t="n"/>
      <c r="CM912" s="16" t="n"/>
      <c r="CN912" s="20" t="inlineStr">
        <is>
          <t>SOP 45-34</t>
        </is>
      </c>
      <c r="CO912" s="20" t="inlineStr">
        <is>
          <t>None</t>
        </is>
      </c>
      <c r="CP912" s="17" t="n"/>
      <c r="CQ912" s="16" t="n"/>
      <c r="CR912" s="20" t="n"/>
      <c r="CS912" s="20" t="inlineStr">
        <is>
          <t>None</t>
        </is>
      </c>
      <c r="CT912" s="17" t="n"/>
      <c r="CU912" s="16" t="n"/>
      <c r="CV912" s="20" t="n"/>
      <c r="CW912" s="20" t="inlineStr">
        <is>
          <t>None</t>
        </is>
      </c>
      <c r="CX912" s="17" t="n"/>
      <c r="CY912" s="16" t="n"/>
      <c r="CZ912" s="20" t="inlineStr">
        <is>
          <t>WTW Multimeter 3430 with FDO 925</t>
        </is>
      </c>
      <c r="DA912" s="20" t="inlineStr">
        <is>
          <t>None</t>
        </is>
      </c>
      <c r="DB912" s="17" t="n"/>
      <c r="DC912" s="16" t="n"/>
      <c r="DD912" s="20" t="n"/>
      <c r="DE912" s="20" t="inlineStr">
        <is>
          <t>None</t>
        </is>
      </c>
      <c r="DF912" s="17" t="n"/>
      <c r="DG912" s="16" t="n"/>
      <c r="DH912" s="20" t="inlineStr">
        <is>
          <t>SOP 45-09</t>
        </is>
      </c>
      <c r="DI912" s="20" t="inlineStr">
        <is>
          <t>None</t>
        </is>
      </c>
      <c r="DJ912" s="17" t="n"/>
      <c r="DK912" s="16" t="n"/>
      <c r="DL912" s="20" t="inlineStr">
        <is>
          <t>SOP 45-09 (SOP muss noch angepasst werden für VSS)</t>
        </is>
      </c>
      <c r="DM912" s="20" t="inlineStr">
        <is>
          <t>None</t>
        </is>
      </c>
      <c r="DN912" s="17" t="n"/>
      <c r="DO912" s="16" t="n"/>
      <c r="DP912" s="20" t="inlineStr">
        <is>
          <t>IC Organic Acids</t>
        </is>
      </c>
      <c r="DQ912" s="20" t="inlineStr">
        <is>
          <t>None</t>
        </is>
      </c>
      <c r="DR912" s="17" t="n"/>
      <c r="DS912" s="16" t="n"/>
      <c r="DT912" s="20" t="inlineStr">
        <is>
          <t>IC Organic Acids</t>
        </is>
      </c>
      <c r="DU912" s="20" t="inlineStr">
        <is>
          <t>None</t>
        </is>
      </c>
      <c r="DV912" s="17" t="n"/>
      <c r="DW912" s="16" t="n"/>
      <c r="DX912" s="20" t="inlineStr">
        <is>
          <t>IC Organic Acids</t>
        </is>
      </c>
      <c r="DY912" s="20" t="inlineStr">
        <is>
          <t>None</t>
        </is>
      </c>
      <c r="DZ912" s="17" t="n"/>
      <c r="EA912" s="16" t="n"/>
      <c r="EB912" s="20" t="inlineStr">
        <is>
          <t>IC Organic Acids</t>
        </is>
      </c>
      <c r="EC912" s="20" t="inlineStr">
        <is>
          <t>None</t>
        </is>
      </c>
      <c r="ED912" s="17" t="n"/>
      <c r="EE912" s="16" t="n"/>
      <c r="EF912" s="20" t="inlineStr">
        <is>
          <t>IC Organic Acids</t>
        </is>
      </c>
      <c r="EG912" s="20" t="inlineStr">
        <is>
          <t>None</t>
        </is>
      </c>
      <c r="EH912" s="17" t="n"/>
      <c r="EI912" s="16" t="n"/>
      <c r="EJ912" s="20" t="inlineStr">
        <is>
          <t>IC Organic Acids</t>
        </is>
      </c>
      <c r="EK912" s="20" t="inlineStr">
        <is>
          <t>None</t>
        </is>
      </c>
      <c r="EL912" s="17" t="n"/>
      <c r="EM912" s="16" t="n"/>
      <c r="EN912" s="20" t="inlineStr">
        <is>
          <t>IC Organic Acids</t>
        </is>
      </c>
      <c r="EO912" s="20" t="inlineStr">
        <is>
          <t>None</t>
        </is>
      </c>
      <c r="EP912" s="17" t="n"/>
      <c r="EQ912" s="16" t="n"/>
      <c r="ER912" s="20" t="inlineStr">
        <is>
          <t>IC Organic Acids</t>
        </is>
      </c>
      <c r="ES912" s="20" t="inlineStr">
        <is>
          <t>None</t>
        </is>
      </c>
      <c r="ET912" s="17" t="n"/>
      <c r="EU912" s="16" t="n"/>
      <c r="EV912" s="20" t="inlineStr">
        <is>
          <t>LC-MS</t>
        </is>
      </c>
      <c r="EW912" s="20" t="inlineStr">
        <is>
          <t>None</t>
        </is>
      </c>
      <c r="EX912" s="17" t="n"/>
      <c r="EY912" s="21" t="n"/>
      <c r="EZ912">
        <f>CONCATENATE(A912,B912)</f>
        <v/>
      </c>
      <c r="FA912">
        <f>CONCATENATE(SamplesX!A912,SamplesX!B912)</f>
        <v/>
      </c>
      <c r="FC912">
        <f>MATCH(EZ912,FA1:FA1008,0)</f>
        <v/>
      </c>
    </row>
    <row r="913">
      <c r="A913" s="16" t="n"/>
      <c r="B913" s="17" t="n"/>
      <c r="C913" s="10">
        <f>IF(ISNUMBER(FC913),INDIRECT("SamplesX!C"&amp;FC913),IF(ISNUMBER(FD913),INDIRECT("SamplesY!C"&amp;FD913),""))</f>
        <v/>
      </c>
      <c r="D913" s="12">
        <f>IF(ISNUMBER(FC913),INDIRECT("SamplesX!D"&amp;FC913),IF(ISNUMBER(FD913),INDIRECT("SamplesY!D"&amp;FD913),""))</f>
        <v/>
      </c>
      <c r="E913" s="12">
        <f>IF(ISNUMBER(FC913),INDIRECT("SamplesX!E"&amp;FC913),IF(ISNUMBER(FD913),INDIRECT("SamplesY!E"&amp;FD913),""))</f>
        <v/>
      </c>
      <c r="F913" s="11">
        <f>IF(ISNUMBER(FC913),INDIRECT("SamplesX!F"&amp;FC913),IF(ISNUMBER(FD913),INDIRECT("SamplesY!F"&amp;FD913),""))</f>
        <v/>
      </c>
      <c r="G913" s="18">
        <f>IF(ISNUMBER(FC913),INDIRECT("SamplesX!G"&amp;FC913),IF(ISNUMBER(FD913),INDIRECT("SamplesY!G"&amp;FD913),""))</f>
        <v/>
      </c>
      <c r="H913" s="19">
        <f>IF(ISNUMBER(FC913),INDIRECT("SamplesX!H"&amp;FC913),IF(ISNUMBER(FD913),INDIRECT("SamplesY!H"&amp;FD913),""))</f>
        <v/>
      </c>
      <c r="I913" s="16" t="n"/>
      <c r="J913" s="16" t="n"/>
      <c r="K913" s="16" t="n"/>
      <c r="L913" s="20" t="n"/>
      <c r="M913" s="20" t="inlineStr">
        <is>
          <t>None</t>
        </is>
      </c>
      <c r="N913" s="17" t="n"/>
      <c r="O913" s="16" t="n"/>
      <c r="P913" s="20" t="inlineStr">
        <is>
          <t>Shimadzu TOC-L</t>
        </is>
      </c>
      <c r="Q913" s="20" t="inlineStr">
        <is>
          <t>None</t>
        </is>
      </c>
      <c r="R913" s="17" t="n"/>
      <c r="S913" s="16" t="n"/>
      <c r="T913" s="20" t="inlineStr">
        <is>
          <t>Shimadzu TOC-L</t>
        </is>
      </c>
      <c r="U913" s="20" t="inlineStr">
        <is>
          <t>None</t>
        </is>
      </c>
      <c r="V913" s="17" t="n"/>
      <c r="W913" s="16" t="n"/>
      <c r="X913" s="20" t="n"/>
      <c r="Y913" s="20" t="inlineStr">
        <is>
          <t>None</t>
        </is>
      </c>
      <c r="Z913" s="17" t="n"/>
      <c r="AA913" s="16" t="n"/>
      <c r="AB913" s="20" t="n"/>
      <c r="AC913" s="20" t="inlineStr">
        <is>
          <t>None</t>
        </is>
      </c>
      <c r="AD913" s="17" t="n"/>
      <c r="AE913" s="16" t="n"/>
      <c r="AF913" s="20" t="inlineStr">
        <is>
          <t>IC Anionen</t>
        </is>
      </c>
      <c r="AG913" s="20" t="inlineStr">
        <is>
          <t>None</t>
        </is>
      </c>
      <c r="AH913" s="17" t="n"/>
      <c r="AI913" s="16" t="n"/>
      <c r="AJ913" s="20" t="n"/>
      <c r="AK913" s="20" t="inlineStr">
        <is>
          <t>None</t>
        </is>
      </c>
      <c r="AL913" s="17" t="n"/>
      <c r="AM913" s="16" t="n"/>
      <c r="AN913" s="20" t="inlineStr">
        <is>
          <t>IC Anionen</t>
        </is>
      </c>
      <c r="AO913" s="20" t="inlineStr">
        <is>
          <t>None</t>
        </is>
      </c>
      <c r="AP913" s="17" t="n"/>
      <c r="AQ913" s="16" t="n"/>
      <c r="AR913" s="20" t="n"/>
      <c r="AS913" s="20" t="inlineStr">
        <is>
          <t>None</t>
        </is>
      </c>
      <c r="AT913" s="17" t="n"/>
      <c r="AU913" s="16" t="n"/>
      <c r="AV913" s="20" t="n"/>
      <c r="AW913" s="20" t="inlineStr">
        <is>
          <t>None</t>
        </is>
      </c>
      <c r="AX913" s="17" t="n"/>
      <c r="AY913" s="16" t="n"/>
      <c r="AZ913" s="20" t="inlineStr">
        <is>
          <t>IC Anionen</t>
        </is>
      </c>
      <c r="BA913" s="20" t="inlineStr">
        <is>
          <t>None</t>
        </is>
      </c>
      <c r="BB913" s="17" t="n"/>
      <c r="BC913" s="16" t="n"/>
      <c r="BD913" s="20" t="inlineStr">
        <is>
          <t>IC Kationen</t>
        </is>
      </c>
      <c r="BE913" s="20" t="inlineStr">
        <is>
          <t>None</t>
        </is>
      </c>
      <c r="BF913" s="17" t="n"/>
      <c r="BG913" s="16" t="n"/>
      <c r="BH913" s="20" t="inlineStr">
        <is>
          <t>IC Kationen</t>
        </is>
      </c>
      <c r="BI913" s="20" t="inlineStr">
        <is>
          <t>None</t>
        </is>
      </c>
      <c r="BJ913" s="17" t="n"/>
      <c r="BK913" s="16" t="n"/>
      <c r="BL913" s="20" t="inlineStr">
        <is>
          <t>IC Kationen</t>
        </is>
      </c>
      <c r="BM913" s="20" t="inlineStr">
        <is>
          <t>None</t>
        </is>
      </c>
      <c r="BN913" s="17" t="n"/>
      <c r="BO913" s="16" t="n"/>
      <c r="BP913" s="20" t="inlineStr">
        <is>
          <t>IC Kationen</t>
        </is>
      </c>
      <c r="BQ913" s="20" t="inlineStr">
        <is>
          <t>None</t>
        </is>
      </c>
      <c r="BR913" s="17" t="n"/>
      <c r="BS913" s="16" t="n"/>
      <c r="BT913" s="20" t="inlineStr">
        <is>
          <t>IC Kationen</t>
        </is>
      </c>
      <c r="BU913" s="20" t="inlineStr">
        <is>
          <t>None</t>
        </is>
      </c>
      <c r="BV913" s="17" t="n"/>
      <c r="BW913" s="16" t="n"/>
      <c r="BX913" s="20" t="n"/>
      <c r="BY913" s="20" t="inlineStr">
        <is>
          <t>None</t>
        </is>
      </c>
      <c r="BZ913" s="17" t="n"/>
      <c r="CA913" s="16" t="n"/>
      <c r="CB913" s="20" t="n"/>
      <c r="CC913" s="20" t="inlineStr">
        <is>
          <t>None</t>
        </is>
      </c>
      <c r="CD913" s="17" t="n"/>
      <c r="CE913" s="16" t="n"/>
      <c r="CF913" s="20" t="n"/>
      <c r="CG913" s="20" t="inlineStr">
        <is>
          <t>None</t>
        </is>
      </c>
      <c r="CH913" s="17" t="n"/>
      <c r="CI913" s="16" t="n"/>
      <c r="CJ913" s="20" t="n"/>
      <c r="CK913" s="20" t="inlineStr">
        <is>
          <t>None</t>
        </is>
      </c>
      <c r="CL913" s="17" t="n"/>
      <c r="CM913" s="16" t="n"/>
      <c r="CN913" s="20" t="inlineStr">
        <is>
          <t>SOP 45-34</t>
        </is>
      </c>
      <c r="CO913" s="20" t="inlineStr">
        <is>
          <t>None</t>
        </is>
      </c>
      <c r="CP913" s="17" t="n"/>
      <c r="CQ913" s="16" t="n"/>
      <c r="CR913" s="20" t="n"/>
      <c r="CS913" s="20" t="inlineStr">
        <is>
          <t>None</t>
        </is>
      </c>
      <c r="CT913" s="17" t="n"/>
      <c r="CU913" s="16" t="n"/>
      <c r="CV913" s="20" t="n"/>
      <c r="CW913" s="20" t="inlineStr">
        <is>
          <t>None</t>
        </is>
      </c>
      <c r="CX913" s="17" t="n"/>
      <c r="CY913" s="16" t="n"/>
      <c r="CZ913" s="20" t="inlineStr">
        <is>
          <t>WTW Multimeter 3430 with FDO 925</t>
        </is>
      </c>
      <c r="DA913" s="20" t="inlineStr">
        <is>
          <t>None</t>
        </is>
      </c>
      <c r="DB913" s="17" t="n"/>
      <c r="DC913" s="16" t="n"/>
      <c r="DD913" s="20" t="n"/>
      <c r="DE913" s="20" t="inlineStr">
        <is>
          <t>None</t>
        </is>
      </c>
      <c r="DF913" s="17" t="n"/>
      <c r="DG913" s="16" t="n"/>
      <c r="DH913" s="20" t="inlineStr">
        <is>
          <t>SOP 45-09</t>
        </is>
      </c>
      <c r="DI913" s="20" t="inlineStr">
        <is>
          <t>None</t>
        </is>
      </c>
      <c r="DJ913" s="17" t="n"/>
      <c r="DK913" s="16" t="n"/>
      <c r="DL913" s="20" t="inlineStr">
        <is>
          <t>SOP 45-09 (SOP muss noch angepasst werden für VSS)</t>
        </is>
      </c>
      <c r="DM913" s="20" t="inlineStr">
        <is>
          <t>None</t>
        </is>
      </c>
      <c r="DN913" s="17" t="n"/>
      <c r="DO913" s="16" t="n"/>
      <c r="DP913" s="20" t="inlineStr">
        <is>
          <t>IC Organic Acids</t>
        </is>
      </c>
      <c r="DQ913" s="20" t="inlineStr">
        <is>
          <t>None</t>
        </is>
      </c>
      <c r="DR913" s="17" t="n"/>
      <c r="DS913" s="16" t="n"/>
      <c r="DT913" s="20" t="inlineStr">
        <is>
          <t>IC Organic Acids</t>
        </is>
      </c>
      <c r="DU913" s="20" t="inlineStr">
        <is>
          <t>None</t>
        </is>
      </c>
      <c r="DV913" s="17" t="n"/>
      <c r="DW913" s="16" t="n"/>
      <c r="DX913" s="20" t="inlineStr">
        <is>
          <t>IC Organic Acids</t>
        </is>
      </c>
      <c r="DY913" s="20" t="inlineStr">
        <is>
          <t>None</t>
        </is>
      </c>
      <c r="DZ913" s="17" t="n"/>
      <c r="EA913" s="16" t="n"/>
      <c r="EB913" s="20" t="inlineStr">
        <is>
          <t>IC Organic Acids</t>
        </is>
      </c>
      <c r="EC913" s="20" t="inlineStr">
        <is>
          <t>None</t>
        </is>
      </c>
      <c r="ED913" s="17" t="n"/>
      <c r="EE913" s="16" t="n"/>
      <c r="EF913" s="20" t="inlineStr">
        <is>
          <t>IC Organic Acids</t>
        </is>
      </c>
      <c r="EG913" s="20" t="inlineStr">
        <is>
          <t>None</t>
        </is>
      </c>
      <c r="EH913" s="17" t="n"/>
      <c r="EI913" s="16" t="n"/>
      <c r="EJ913" s="20" t="inlineStr">
        <is>
          <t>IC Organic Acids</t>
        </is>
      </c>
      <c r="EK913" s="20" t="inlineStr">
        <is>
          <t>None</t>
        </is>
      </c>
      <c r="EL913" s="17" t="n"/>
      <c r="EM913" s="16" t="n"/>
      <c r="EN913" s="20" t="inlineStr">
        <is>
          <t>IC Organic Acids</t>
        </is>
      </c>
      <c r="EO913" s="20" t="inlineStr">
        <is>
          <t>None</t>
        </is>
      </c>
      <c r="EP913" s="17" t="n"/>
      <c r="EQ913" s="16" t="n"/>
      <c r="ER913" s="20" t="inlineStr">
        <is>
          <t>IC Organic Acids</t>
        </is>
      </c>
      <c r="ES913" s="20" t="inlineStr">
        <is>
          <t>None</t>
        </is>
      </c>
      <c r="ET913" s="17" t="n"/>
      <c r="EU913" s="16" t="n"/>
      <c r="EV913" s="20" t="inlineStr">
        <is>
          <t>LC-MS</t>
        </is>
      </c>
      <c r="EW913" s="20" t="inlineStr">
        <is>
          <t>None</t>
        </is>
      </c>
      <c r="EX913" s="17" t="n"/>
      <c r="EY913" s="21" t="n"/>
      <c r="EZ913">
        <f>CONCATENATE(A913,B913)</f>
        <v/>
      </c>
      <c r="FA913">
        <f>CONCATENATE(SamplesX!A913,SamplesX!B913)</f>
        <v/>
      </c>
      <c r="FC913">
        <f>MATCH(EZ913,FA1:FA1008,0)</f>
        <v/>
      </c>
    </row>
    <row r="914">
      <c r="A914" s="16" t="n"/>
      <c r="B914" s="17" t="n"/>
      <c r="C914" s="10">
        <f>IF(ISNUMBER(FC914),INDIRECT("SamplesX!C"&amp;FC914),IF(ISNUMBER(FD914),INDIRECT("SamplesY!C"&amp;FD914),""))</f>
        <v/>
      </c>
      <c r="D914" s="12">
        <f>IF(ISNUMBER(FC914),INDIRECT("SamplesX!D"&amp;FC914),IF(ISNUMBER(FD914),INDIRECT("SamplesY!D"&amp;FD914),""))</f>
        <v/>
      </c>
      <c r="E914" s="12">
        <f>IF(ISNUMBER(FC914),INDIRECT("SamplesX!E"&amp;FC914),IF(ISNUMBER(FD914),INDIRECT("SamplesY!E"&amp;FD914),""))</f>
        <v/>
      </c>
      <c r="F914" s="11">
        <f>IF(ISNUMBER(FC914),INDIRECT("SamplesX!F"&amp;FC914),IF(ISNUMBER(FD914),INDIRECT("SamplesY!F"&amp;FD914),""))</f>
        <v/>
      </c>
      <c r="G914" s="18">
        <f>IF(ISNUMBER(FC914),INDIRECT("SamplesX!G"&amp;FC914),IF(ISNUMBER(FD914),INDIRECT("SamplesY!G"&amp;FD914),""))</f>
        <v/>
      </c>
      <c r="H914" s="19">
        <f>IF(ISNUMBER(FC914),INDIRECT("SamplesX!H"&amp;FC914),IF(ISNUMBER(FD914),INDIRECT("SamplesY!H"&amp;FD914),""))</f>
        <v/>
      </c>
      <c r="I914" s="16" t="n"/>
      <c r="J914" s="16" t="n"/>
      <c r="K914" s="16" t="n"/>
      <c r="L914" s="20" t="n"/>
      <c r="M914" s="20" t="inlineStr">
        <is>
          <t>None</t>
        </is>
      </c>
      <c r="N914" s="17" t="n"/>
      <c r="O914" s="16" t="n"/>
      <c r="P914" s="20" t="inlineStr">
        <is>
          <t>Shimadzu TOC-L</t>
        </is>
      </c>
      <c r="Q914" s="20" t="inlineStr">
        <is>
          <t>None</t>
        </is>
      </c>
      <c r="R914" s="17" t="n"/>
      <c r="S914" s="16" t="n"/>
      <c r="T914" s="20" t="inlineStr">
        <is>
          <t>Shimadzu TOC-L</t>
        </is>
      </c>
      <c r="U914" s="20" t="inlineStr">
        <is>
          <t>None</t>
        </is>
      </c>
      <c r="V914" s="17" t="n"/>
      <c r="W914" s="16" t="n"/>
      <c r="X914" s="20" t="n"/>
      <c r="Y914" s="20" t="inlineStr">
        <is>
          <t>None</t>
        </is>
      </c>
      <c r="Z914" s="17" t="n"/>
      <c r="AA914" s="16" t="n"/>
      <c r="AB914" s="20" t="n"/>
      <c r="AC914" s="20" t="inlineStr">
        <is>
          <t>None</t>
        </is>
      </c>
      <c r="AD914" s="17" t="n"/>
      <c r="AE914" s="16" t="n"/>
      <c r="AF914" s="20" t="inlineStr">
        <is>
          <t>IC Anionen</t>
        </is>
      </c>
      <c r="AG914" s="20" t="inlineStr">
        <is>
          <t>None</t>
        </is>
      </c>
      <c r="AH914" s="17" t="n"/>
      <c r="AI914" s="16" t="n"/>
      <c r="AJ914" s="20" t="n"/>
      <c r="AK914" s="20" t="inlineStr">
        <is>
          <t>None</t>
        </is>
      </c>
      <c r="AL914" s="17" t="n"/>
      <c r="AM914" s="16" t="n"/>
      <c r="AN914" s="20" t="inlineStr">
        <is>
          <t>IC Anionen</t>
        </is>
      </c>
      <c r="AO914" s="20" t="inlineStr">
        <is>
          <t>None</t>
        </is>
      </c>
      <c r="AP914" s="17" t="n"/>
      <c r="AQ914" s="16" t="n"/>
      <c r="AR914" s="20" t="n"/>
      <c r="AS914" s="20" t="inlineStr">
        <is>
          <t>None</t>
        </is>
      </c>
      <c r="AT914" s="17" t="n"/>
      <c r="AU914" s="16" t="n"/>
      <c r="AV914" s="20" t="n"/>
      <c r="AW914" s="20" t="inlineStr">
        <is>
          <t>None</t>
        </is>
      </c>
      <c r="AX914" s="17" t="n"/>
      <c r="AY914" s="16" t="n"/>
      <c r="AZ914" s="20" t="inlineStr">
        <is>
          <t>IC Anionen</t>
        </is>
      </c>
      <c r="BA914" s="20" t="inlineStr">
        <is>
          <t>None</t>
        </is>
      </c>
      <c r="BB914" s="17" t="n"/>
      <c r="BC914" s="16" t="n"/>
      <c r="BD914" s="20" t="inlineStr">
        <is>
          <t>IC Kationen</t>
        </is>
      </c>
      <c r="BE914" s="20" t="inlineStr">
        <is>
          <t>None</t>
        </is>
      </c>
      <c r="BF914" s="17" t="n"/>
      <c r="BG914" s="16" t="n"/>
      <c r="BH914" s="20" t="inlineStr">
        <is>
          <t>IC Kationen</t>
        </is>
      </c>
      <c r="BI914" s="20" t="inlineStr">
        <is>
          <t>None</t>
        </is>
      </c>
      <c r="BJ914" s="17" t="n"/>
      <c r="BK914" s="16" t="n"/>
      <c r="BL914" s="20" t="inlineStr">
        <is>
          <t>IC Kationen</t>
        </is>
      </c>
      <c r="BM914" s="20" t="inlineStr">
        <is>
          <t>None</t>
        </is>
      </c>
      <c r="BN914" s="17" t="n"/>
      <c r="BO914" s="16" t="n"/>
      <c r="BP914" s="20" t="inlineStr">
        <is>
          <t>IC Kationen</t>
        </is>
      </c>
      <c r="BQ914" s="20" t="inlineStr">
        <is>
          <t>None</t>
        </is>
      </c>
      <c r="BR914" s="17" t="n"/>
      <c r="BS914" s="16" t="n"/>
      <c r="BT914" s="20" t="inlineStr">
        <is>
          <t>IC Kationen</t>
        </is>
      </c>
      <c r="BU914" s="20" t="inlineStr">
        <is>
          <t>None</t>
        </is>
      </c>
      <c r="BV914" s="17" t="n"/>
      <c r="BW914" s="16" t="n"/>
      <c r="BX914" s="20" t="n"/>
      <c r="BY914" s="20" t="inlineStr">
        <is>
          <t>None</t>
        </is>
      </c>
      <c r="BZ914" s="17" t="n"/>
      <c r="CA914" s="16" t="n"/>
      <c r="CB914" s="20" t="n"/>
      <c r="CC914" s="20" t="inlineStr">
        <is>
          <t>None</t>
        </is>
      </c>
      <c r="CD914" s="17" t="n"/>
      <c r="CE914" s="16" t="n"/>
      <c r="CF914" s="20" t="n"/>
      <c r="CG914" s="20" t="inlineStr">
        <is>
          <t>None</t>
        </is>
      </c>
      <c r="CH914" s="17" t="n"/>
      <c r="CI914" s="16" t="n"/>
      <c r="CJ914" s="20" t="n"/>
      <c r="CK914" s="20" t="inlineStr">
        <is>
          <t>None</t>
        </is>
      </c>
      <c r="CL914" s="17" t="n"/>
      <c r="CM914" s="16" t="n"/>
      <c r="CN914" s="20" t="inlineStr">
        <is>
          <t>SOP 45-34</t>
        </is>
      </c>
      <c r="CO914" s="20" t="inlineStr">
        <is>
          <t>None</t>
        </is>
      </c>
      <c r="CP914" s="17" t="n"/>
      <c r="CQ914" s="16" t="n"/>
      <c r="CR914" s="20" t="n"/>
      <c r="CS914" s="20" t="inlineStr">
        <is>
          <t>None</t>
        </is>
      </c>
      <c r="CT914" s="17" t="n"/>
      <c r="CU914" s="16" t="n"/>
      <c r="CV914" s="20" t="n"/>
      <c r="CW914" s="20" t="inlineStr">
        <is>
          <t>None</t>
        </is>
      </c>
      <c r="CX914" s="17" t="n"/>
      <c r="CY914" s="16" t="n"/>
      <c r="CZ914" s="20" t="inlineStr">
        <is>
          <t>WTW Multimeter 3430 with FDO 925</t>
        </is>
      </c>
      <c r="DA914" s="20" t="inlineStr">
        <is>
          <t>None</t>
        </is>
      </c>
      <c r="DB914" s="17" t="n"/>
      <c r="DC914" s="16" t="n"/>
      <c r="DD914" s="20" t="n"/>
      <c r="DE914" s="20" t="inlineStr">
        <is>
          <t>None</t>
        </is>
      </c>
      <c r="DF914" s="17" t="n"/>
      <c r="DG914" s="16" t="n"/>
      <c r="DH914" s="20" t="inlineStr">
        <is>
          <t>SOP 45-09</t>
        </is>
      </c>
      <c r="DI914" s="20" t="inlineStr">
        <is>
          <t>None</t>
        </is>
      </c>
      <c r="DJ914" s="17" t="n"/>
      <c r="DK914" s="16" t="n"/>
      <c r="DL914" s="20" t="inlineStr">
        <is>
          <t>SOP 45-09 (SOP muss noch angepasst werden für VSS)</t>
        </is>
      </c>
      <c r="DM914" s="20" t="inlineStr">
        <is>
          <t>None</t>
        </is>
      </c>
      <c r="DN914" s="17" t="n"/>
      <c r="DO914" s="16" t="n"/>
      <c r="DP914" s="20" t="inlineStr">
        <is>
          <t>IC Organic Acids</t>
        </is>
      </c>
      <c r="DQ914" s="20" t="inlineStr">
        <is>
          <t>None</t>
        </is>
      </c>
      <c r="DR914" s="17" t="n"/>
      <c r="DS914" s="16" t="n"/>
      <c r="DT914" s="20" t="inlineStr">
        <is>
          <t>IC Organic Acids</t>
        </is>
      </c>
      <c r="DU914" s="20" t="inlineStr">
        <is>
          <t>None</t>
        </is>
      </c>
      <c r="DV914" s="17" t="n"/>
      <c r="DW914" s="16" t="n"/>
      <c r="DX914" s="20" t="inlineStr">
        <is>
          <t>IC Organic Acids</t>
        </is>
      </c>
      <c r="DY914" s="20" t="inlineStr">
        <is>
          <t>None</t>
        </is>
      </c>
      <c r="DZ914" s="17" t="n"/>
      <c r="EA914" s="16" t="n"/>
      <c r="EB914" s="20" t="inlineStr">
        <is>
          <t>IC Organic Acids</t>
        </is>
      </c>
      <c r="EC914" s="20" t="inlineStr">
        <is>
          <t>None</t>
        </is>
      </c>
      <c r="ED914" s="17" t="n"/>
      <c r="EE914" s="16" t="n"/>
      <c r="EF914" s="20" t="inlineStr">
        <is>
          <t>IC Organic Acids</t>
        </is>
      </c>
      <c r="EG914" s="20" t="inlineStr">
        <is>
          <t>None</t>
        </is>
      </c>
      <c r="EH914" s="17" t="n"/>
      <c r="EI914" s="16" t="n"/>
      <c r="EJ914" s="20" t="inlineStr">
        <is>
          <t>IC Organic Acids</t>
        </is>
      </c>
      <c r="EK914" s="20" t="inlineStr">
        <is>
          <t>None</t>
        </is>
      </c>
      <c r="EL914" s="17" t="n"/>
      <c r="EM914" s="16" t="n"/>
      <c r="EN914" s="20" t="inlineStr">
        <is>
          <t>IC Organic Acids</t>
        </is>
      </c>
      <c r="EO914" s="20" t="inlineStr">
        <is>
          <t>None</t>
        </is>
      </c>
      <c r="EP914" s="17" t="n"/>
      <c r="EQ914" s="16" t="n"/>
      <c r="ER914" s="20" t="inlineStr">
        <is>
          <t>IC Organic Acids</t>
        </is>
      </c>
      <c r="ES914" s="20" t="inlineStr">
        <is>
          <t>None</t>
        </is>
      </c>
      <c r="ET914" s="17" t="n"/>
      <c r="EU914" s="16" t="n"/>
      <c r="EV914" s="20" t="inlineStr">
        <is>
          <t>LC-MS</t>
        </is>
      </c>
      <c r="EW914" s="20" t="inlineStr">
        <is>
          <t>None</t>
        </is>
      </c>
      <c r="EX914" s="17" t="n"/>
      <c r="EY914" s="21" t="n"/>
      <c r="EZ914">
        <f>CONCATENATE(A914,B914)</f>
        <v/>
      </c>
      <c r="FA914">
        <f>CONCATENATE(SamplesX!A914,SamplesX!B914)</f>
        <v/>
      </c>
      <c r="FC914">
        <f>MATCH(EZ914,FA1:FA1008,0)</f>
        <v/>
      </c>
    </row>
    <row r="915">
      <c r="A915" s="16" t="n"/>
      <c r="B915" s="17" t="n"/>
      <c r="C915" s="10">
        <f>IF(ISNUMBER(FC915),INDIRECT("SamplesX!C"&amp;FC915),IF(ISNUMBER(FD915),INDIRECT("SamplesY!C"&amp;FD915),""))</f>
        <v/>
      </c>
      <c r="D915" s="12">
        <f>IF(ISNUMBER(FC915),INDIRECT("SamplesX!D"&amp;FC915),IF(ISNUMBER(FD915),INDIRECT("SamplesY!D"&amp;FD915),""))</f>
        <v/>
      </c>
      <c r="E915" s="12">
        <f>IF(ISNUMBER(FC915),INDIRECT("SamplesX!E"&amp;FC915),IF(ISNUMBER(FD915),INDIRECT("SamplesY!E"&amp;FD915),""))</f>
        <v/>
      </c>
      <c r="F915" s="11">
        <f>IF(ISNUMBER(FC915),INDIRECT("SamplesX!F"&amp;FC915),IF(ISNUMBER(FD915),INDIRECT("SamplesY!F"&amp;FD915),""))</f>
        <v/>
      </c>
      <c r="G915" s="18">
        <f>IF(ISNUMBER(FC915),INDIRECT("SamplesX!G"&amp;FC915),IF(ISNUMBER(FD915),INDIRECT("SamplesY!G"&amp;FD915),""))</f>
        <v/>
      </c>
      <c r="H915" s="19">
        <f>IF(ISNUMBER(FC915),INDIRECT("SamplesX!H"&amp;FC915),IF(ISNUMBER(FD915),INDIRECT("SamplesY!H"&amp;FD915),""))</f>
        <v/>
      </c>
      <c r="I915" s="16" t="n"/>
      <c r="J915" s="16" t="n"/>
      <c r="K915" s="16" t="n"/>
      <c r="L915" s="20" t="n"/>
      <c r="M915" s="20" t="inlineStr">
        <is>
          <t>None</t>
        </is>
      </c>
      <c r="N915" s="17" t="n"/>
      <c r="O915" s="16" t="n"/>
      <c r="P915" s="20" t="inlineStr">
        <is>
          <t>Shimadzu TOC-L</t>
        </is>
      </c>
      <c r="Q915" s="20" t="inlineStr">
        <is>
          <t>None</t>
        </is>
      </c>
      <c r="R915" s="17" t="n"/>
      <c r="S915" s="16" t="n"/>
      <c r="T915" s="20" t="inlineStr">
        <is>
          <t>Shimadzu TOC-L</t>
        </is>
      </c>
      <c r="U915" s="20" t="inlineStr">
        <is>
          <t>None</t>
        </is>
      </c>
      <c r="V915" s="17" t="n"/>
      <c r="W915" s="16" t="n"/>
      <c r="X915" s="20" t="n"/>
      <c r="Y915" s="20" t="inlineStr">
        <is>
          <t>None</t>
        </is>
      </c>
      <c r="Z915" s="17" t="n"/>
      <c r="AA915" s="16" t="n"/>
      <c r="AB915" s="20" t="n"/>
      <c r="AC915" s="20" t="inlineStr">
        <is>
          <t>None</t>
        </is>
      </c>
      <c r="AD915" s="17" t="n"/>
      <c r="AE915" s="16" t="n"/>
      <c r="AF915" s="20" t="inlineStr">
        <is>
          <t>IC Anionen</t>
        </is>
      </c>
      <c r="AG915" s="20" t="inlineStr">
        <is>
          <t>None</t>
        </is>
      </c>
      <c r="AH915" s="17" t="n"/>
      <c r="AI915" s="16" t="n"/>
      <c r="AJ915" s="20" t="n"/>
      <c r="AK915" s="20" t="inlineStr">
        <is>
          <t>None</t>
        </is>
      </c>
      <c r="AL915" s="17" t="n"/>
      <c r="AM915" s="16" t="n"/>
      <c r="AN915" s="20" t="inlineStr">
        <is>
          <t>IC Anionen</t>
        </is>
      </c>
      <c r="AO915" s="20" t="inlineStr">
        <is>
          <t>None</t>
        </is>
      </c>
      <c r="AP915" s="17" t="n"/>
      <c r="AQ915" s="16" t="n"/>
      <c r="AR915" s="20" t="n"/>
      <c r="AS915" s="20" t="inlineStr">
        <is>
          <t>None</t>
        </is>
      </c>
      <c r="AT915" s="17" t="n"/>
      <c r="AU915" s="16" t="n"/>
      <c r="AV915" s="20" t="n"/>
      <c r="AW915" s="20" t="inlineStr">
        <is>
          <t>None</t>
        </is>
      </c>
      <c r="AX915" s="17" t="n"/>
      <c r="AY915" s="16" t="n"/>
      <c r="AZ915" s="20" t="inlineStr">
        <is>
          <t>IC Anionen</t>
        </is>
      </c>
      <c r="BA915" s="20" t="inlineStr">
        <is>
          <t>None</t>
        </is>
      </c>
      <c r="BB915" s="17" t="n"/>
      <c r="BC915" s="16" t="n"/>
      <c r="BD915" s="20" t="inlineStr">
        <is>
          <t>IC Kationen</t>
        </is>
      </c>
      <c r="BE915" s="20" t="inlineStr">
        <is>
          <t>None</t>
        </is>
      </c>
      <c r="BF915" s="17" t="n"/>
      <c r="BG915" s="16" t="n"/>
      <c r="BH915" s="20" t="inlineStr">
        <is>
          <t>IC Kationen</t>
        </is>
      </c>
      <c r="BI915" s="20" t="inlineStr">
        <is>
          <t>None</t>
        </is>
      </c>
      <c r="BJ915" s="17" t="n"/>
      <c r="BK915" s="16" t="n"/>
      <c r="BL915" s="20" t="inlineStr">
        <is>
          <t>IC Kationen</t>
        </is>
      </c>
      <c r="BM915" s="20" t="inlineStr">
        <is>
          <t>None</t>
        </is>
      </c>
      <c r="BN915" s="17" t="n"/>
      <c r="BO915" s="16" t="n"/>
      <c r="BP915" s="20" t="inlineStr">
        <is>
          <t>IC Kationen</t>
        </is>
      </c>
      <c r="BQ915" s="20" t="inlineStr">
        <is>
          <t>None</t>
        </is>
      </c>
      <c r="BR915" s="17" t="n"/>
      <c r="BS915" s="16" t="n"/>
      <c r="BT915" s="20" t="inlineStr">
        <is>
          <t>IC Kationen</t>
        </is>
      </c>
      <c r="BU915" s="20" t="inlineStr">
        <is>
          <t>None</t>
        </is>
      </c>
      <c r="BV915" s="17" t="n"/>
      <c r="BW915" s="16" t="n"/>
      <c r="BX915" s="20" t="n"/>
      <c r="BY915" s="20" t="inlineStr">
        <is>
          <t>None</t>
        </is>
      </c>
      <c r="BZ915" s="17" t="n"/>
      <c r="CA915" s="16" t="n"/>
      <c r="CB915" s="20" t="n"/>
      <c r="CC915" s="20" t="inlineStr">
        <is>
          <t>None</t>
        </is>
      </c>
      <c r="CD915" s="17" t="n"/>
      <c r="CE915" s="16" t="n"/>
      <c r="CF915" s="20" t="n"/>
      <c r="CG915" s="20" t="inlineStr">
        <is>
          <t>None</t>
        </is>
      </c>
      <c r="CH915" s="17" t="n"/>
      <c r="CI915" s="16" t="n"/>
      <c r="CJ915" s="20" t="n"/>
      <c r="CK915" s="20" t="inlineStr">
        <is>
          <t>None</t>
        </is>
      </c>
      <c r="CL915" s="17" t="n"/>
      <c r="CM915" s="16" t="n"/>
      <c r="CN915" s="20" t="inlineStr">
        <is>
          <t>SOP 45-34</t>
        </is>
      </c>
      <c r="CO915" s="20" t="inlineStr">
        <is>
          <t>None</t>
        </is>
      </c>
      <c r="CP915" s="17" t="n"/>
      <c r="CQ915" s="16" t="n"/>
      <c r="CR915" s="20" t="n"/>
      <c r="CS915" s="20" t="inlineStr">
        <is>
          <t>None</t>
        </is>
      </c>
      <c r="CT915" s="17" t="n"/>
      <c r="CU915" s="16" t="n"/>
      <c r="CV915" s="20" t="n"/>
      <c r="CW915" s="20" t="inlineStr">
        <is>
          <t>None</t>
        </is>
      </c>
      <c r="CX915" s="17" t="n"/>
      <c r="CY915" s="16" t="n"/>
      <c r="CZ915" s="20" t="inlineStr">
        <is>
          <t>WTW Multimeter 3430 with FDO 925</t>
        </is>
      </c>
      <c r="DA915" s="20" t="inlineStr">
        <is>
          <t>None</t>
        </is>
      </c>
      <c r="DB915" s="17" t="n"/>
      <c r="DC915" s="16" t="n"/>
      <c r="DD915" s="20" t="n"/>
      <c r="DE915" s="20" t="inlineStr">
        <is>
          <t>None</t>
        </is>
      </c>
      <c r="DF915" s="17" t="n"/>
      <c r="DG915" s="16" t="n"/>
      <c r="DH915" s="20" t="inlineStr">
        <is>
          <t>SOP 45-09</t>
        </is>
      </c>
      <c r="DI915" s="20" t="inlineStr">
        <is>
          <t>None</t>
        </is>
      </c>
      <c r="DJ915" s="17" t="n"/>
      <c r="DK915" s="16" t="n"/>
      <c r="DL915" s="20" t="inlineStr">
        <is>
          <t>SOP 45-09 (SOP muss noch angepasst werden für VSS)</t>
        </is>
      </c>
      <c r="DM915" s="20" t="inlineStr">
        <is>
          <t>None</t>
        </is>
      </c>
      <c r="DN915" s="17" t="n"/>
      <c r="DO915" s="16" t="n"/>
      <c r="DP915" s="20" t="inlineStr">
        <is>
          <t>IC Organic Acids</t>
        </is>
      </c>
      <c r="DQ915" s="20" t="inlineStr">
        <is>
          <t>None</t>
        </is>
      </c>
      <c r="DR915" s="17" t="n"/>
      <c r="DS915" s="16" t="n"/>
      <c r="DT915" s="20" t="inlineStr">
        <is>
          <t>IC Organic Acids</t>
        </is>
      </c>
      <c r="DU915" s="20" t="inlineStr">
        <is>
          <t>None</t>
        </is>
      </c>
      <c r="DV915" s="17" t="n"/>
      <c r="DW915" s="16" t="n"/>
      <c r="DX915" s="20" t="inlineStr">
        <is>
          <t>IC Organic Acids</t>
        </is>
      </c>
      <c r="DY915" s="20" t="inlineStr">
        <is>
          <t>None</t>
        </is>
      </c>
      <c r="DZ915" s="17" t="n"/>
      <c r="EA915" s="16" t="n"/>
      <c r="EB915" s="20" t="inlineStr">
        <is>
          <t>IC Organic Acids</t>
        </is>
      </c>
      <c r="EC915" s="20" t="inlineStr">
        <is>
          <t>None</t>
        </is>
      </c>
      <c r="ED915" s="17" t="n"/>
      <c r="EE915" s="16" t="n"/>
      <c r="EF915" s="20" t="inlineStr">
        <is>
          <t>IC Organic Acids</t>
        </is>
      </c>
      <c r="EG915" s="20" t="inlineStr">
        <is>
          <t>None</t>
        </is>
      </c>
      <c r="EH915" s="17" t="n"/>
      <c r="EI915" s="16" t="n"/>
      <c r="EJ915" s="20" t="inlineStr">
        <is>
          <t>IC Organic Acids</t>
        </is>
      </c>
      <c r="EK915" s="20" t="inlineStr">
        <is>
          <t>None</t>
        </is>
      </c>
      <c r="EL915" s="17" t="n"/>
      <c r="EM915" s="16" t="n"/>
      <c r="EN915" s="20" t="inlineStr">
        <is>
          <t>IC Organic Acids</t>
        </is>
      </c>
      <c r="EO915" s="20" t="inlineStr">
        <is>
          <t>None</t>
        </is>
      </c>
      <c r="EP915" s="17" t="n"/>
      <c r="EQ915" s="16" t="n"/>
      <c r="ER915" s="20" t="inlineStr">
        <is>
          <t>IC Organic Acids</t>
        </is>
      </c>
      <c r="ES915" s="20" t="inlineStr">
        <is>
          <t>None</t>
        </is>
      </c>
      <c r="ET915" s="17" t="n"/>
      <c r="EU915" s="16" t="n"/>
      <c r="EV915" s="20" t="inlineStr">
        <is>
          <t>LC-MS</t>
        </is>
      </c>
      <c r="EW915" s="20" t="inlineStr">
        <is>
          <t>None</t>
        </is>
      </c>
      <c r="EX915" s="17" t="n"/>
      <c r="EY915" s="21" t="n"/>
      <c r="EZ915">
        <f>CONCATENATE(A915,B915)</f>
        <v/>
      </c>
      <c r="FA915">
        <f>CONCATENATE(SamplesX!A915,SamplesX!B915)</f>
        <v/>
      </c>
      <c r="FC915">
        <f>MATCH(EZ915,FA1:FA1008,0)</f>
        <v/>
      </c>
    </row>
    <row r="916">
      <c r="A916" s="16" t="n"/>
      <c r="B916" s="17" t="n"/>
      <c r="C916" s="10">
        <f>IF(ISNUMBER(FC916),INDIRECT("SamplesX!C"&amp;FC916),IF(ISNUMBER(FD916),INDIRECT("SamplesY!C"&amp;FD916),""))</f>
        <v/>
      </c>
      <c r="D916" s="12">
        <f>IF(ISNUMBER(FC916),INDIRECT("SamplesX!D"&amp;FC916),IF(ISNUMBER(FD916),INDIRECT("SamplesY!D"&amp;FD916),""))</f>
        <v/>
      </c>
      <c r="E916" s="12">
        <f>IF(ISNUMBER(FC916),INDIRECT("SamplesX!E"&amp;FC916),IF(ISNUMBER(FD916),INDIRECT("SamplesY!E"&amp;FD916),""))</f>
        <v/>
      </c>
      <c r="F916" s="11">
        <f>IF(ISNUMBER(FC916),INDIRECT("SamplesX!F"&amp;FC916),IF(ISNUMBER(FD916),INDIRECT("SamplesY!F"&amp;FD916),""))</f>
        <v/>
      </c>
      <c r="G916" s="18">
        <f>IF(ISNUMBER(FC916),INDIRECT("SamplesX!G"&amp;FC916),IF(ISNUMBER(FD916),INDIRECT("SamplesY!G"&amp;FD916),""))</f>
        <v/>
      </c>
      <c r="H916" s="19">
        <f>IF(ISNUMBER(FC916),INDIRECT("SamplesX!H"&amp;FC916),IF(ISNUMBER(FD916),INDIRECT("SamplesY!H"&amp;FD916),""))</f>
        <v/>
      </c>
      <c r="I916" s="16" t="n"/>
      <c r="J916" s="16" t="n"/>
      <c r="K916" s="16" t="n"/>
      <c r="L916" s="20" t="n"/>
      <c r="M916" s="20" t="inlineStr">
        <is>
          <t>None</t>
        </is>
      </c>
      <c r="N916" s="17" t="n"/>
      <c r="O916" s="16" t="n"/>
      <c r="P916" s="20" t="inlineStr">
        <is>
          <t>Shimadzu TOC-L</t>
        </is>
      </c>
      <c r="Q916" s="20" t="inlineStr">
        <is>
          <t>None</t>
        </is>
      </c>
      <c r="R916" s="17" t="n"/>
      <c r="S916" s="16" t="n"/>
      <c r="T916" s="20" t="inlineStr">
        <is>
          <t>Shimadzu TOC-L</t>
        </is>
      </c>
      <c r="U916" s="20" t="inlineStr">
        <is>
          <t>None</t>
        </is>
      </c>
      <c r="V916" s="17" t="n"/>
      <c r="W916" s="16" t="n"/>
      <c r="X916" s="20" t="n"/>
      <c r="Y916" s="20" t="inlineStr">
        <is>
          <t>None</t>
        </is>
      </c>
      <c r="Z916" s="17" t="n"/>
      <c r="AA916" s="16" t="n"/>
      <c r="AB916" s="20" t="n"/>
      <c r="AC916" s="20" t="inlineStr">
        <is>
          <t>None</t>
        </is>
      </c>
      <c r="AD916" s="17" t="n"/>
      <c r="AE916" s="16" t="n"/>
      <c r="AF916" s="20" t="inlineStr">
        <is>
          <t>IC Anionen</t>
        </is>
      </c>
      <c r="AG916" s="20" t="inlineStr">
        <is>
          <t>None</t>
        </is>
      </c>
      <c r="AH916" s="17" t="n"/>
      <c r="AI916" s="16" t="n"/>
      <c r="AJ916" s="20" t="n"/>
      <c r="AK916" s="20" t="inlineStr">
        <is>
          <t>None</t>
        </is>
      </c>
      <c r="AL916" s="17" t="n"/>
      <c r="AM916" s="16" t="n"/>
      <c r="AN916" s="20" t="inlineStr">
        <is>
          <t>IC Anionen</t>
        </is>
      </c>
      <c r="AO916" s="20" t="inlineStr">
        <is>
          <t>None</t>
        </is>
      </c>
      <c r="AP916" s="17" t="n"/>
      <c r="AQ916" s="16" t="n"/>
      <c r="AR916" s="20" t="n"/>
      <c r="AS916" s="20" t="inlineStr">
        <is>
          <t>None</t>
        </is>
      </c>
      <c r="AT916" s="17" t="n"/>
      <c r="AU916" s="16" t="n"/>
      <c r="AV916" s="20" t="n"/>
      <c r="AW916" s="20" t="inlineStr">
        <is>
          <t>None</t>
        </is>
      </c>
      <c r="AX916" s="17" t="n"/>
      <c r="AY916" s="16" t="n"/>
      <c r="AZ916" s="20" t="inlineStr">
        <is>
          <t>IC Anionen</t>
        </is>
      </c>
      <c r="BA916" s="20" t="inlineStr">
        <is>
          <t>None</t>
        </is>
      </c>
      <c r="BB916" s="17" t="n"/>
      <c r="BC916" s="16" t="n"/>
      <c r="BD916" s="20" t="inlineStr">
        <is>
          <t>IC Kationen</t>
        </is>
      </c>
      <c r="BE916" s="20" t="inlineStr">
        <is>
          <t>None</t>
        </is>
      </c>
      <c r="BF916" s="17" t="n"/>
      <c r="BG916" s="16" t="n"/>
      <c r="BH916" s="20" t="inlineStr">
        <is>
          <t>IC Kationen</t>
        </is>
      </c>
      <c r="BI916" s="20" t="inlineStr">
        <is>
          <t>None</t>
        </is>
      </c>
      <c r="BJ916" s="17" t="n"/>
      <c r="BK916" s="16" t="n"/>
      <c r="BL916" s="20" t="inlineStr">
        <is>
          <t>IC Kationen</t>
        </is>
      </c>
      <c r="BM916" s="20" t="inlineStr">
        <is>
          <t>None</t>
        </is>
      </c>
      <c r="BN916" s="17" t="n"/>
      <c r="BO916" s="16" t="n"/>
      <c r="BP916" s="20" t="inlineStr">
        <is>
          <t>IC Kationen</t>
        </is>
      </c>
      <c r="BQ916" s="20" t="inlineStr">
        <is>
          <t>None</t>
        </is>
      </c>
      <c r="BR916" s="17" t="n"/>
      <c r="BS916" s="16" t="n"/>
      <c r="BT916" s="20" t="inlineStr">
        <is>
          <t>IC Kationen</t>
        </is>
      </c>
      <c r="BU916" s="20" t="inlineStr">
        <is>
          <t>None</t>
        </is>
      </c>
      <c r="BV916" s="17" t="n"/>
      <c r="BW916" s="16" t="n"/>
      <c r="BX916" s="20" t="n"/>
      <c r="BY916" s="20" t="inlineStr">
        <is>
          <t>None</t>
        </is>
      </c>
      <c r="BZ916" s="17" t="n"/>
      <c r="CA916" s="16" t="n"/>
      <c r="CB916" s="20" t="n"/>
      <c r="CC916" s="20" t="inlineStr">
        <is>
          <t>None</t>
        </is>
      </c>
      <c r="CD916" s="17" t="n"/>
      <c r="CE916" s="16" t="n"/>
      <c r="CF916" s="20" t="n"/>
      <c r="CG916" s="20" t="inlineStr">
        <is>
          <t>None</t>
        </is>
      </c>
      <c r="CH916" s="17" t="n"/>
      <c r="CI916" s="16" t="n"/>
      <c r="CJ916" s="20" t="n"/>
      <c r="CK916" s="20" t="inlineStr">
        <is>
          <t>None</t>
        </is>
      </c>
      <c r="CL916" s="17" t="n"/>
      <c r="CM916" s="16" t="n"/>
      <c r="CN916" s="20" t="inlineStr">
        <is>
          <t>SOP 45-34</t>
        </is>
      </c>
      <c r="CO916" s="20" t="inlineStr">
        <is>
          <t>None</t>
        </is>
      </c>
      <c r="CP916" s="17" t="n"/>
      <c r="CQ916" s="16" t="n"/>
      <c r="CR916" s="20" t="n"/>
      <c r="CS916" s="20" t="inlineStr">
        <is>
          <t>None</t>
        </is>
      </c>
      <c r="CT916" s="17" t="n"/>
      <c r="CU916" s="16" t="n"/>
      <c r="CV916" s="20" t="n"/>
      <c r="CW916" s="20" t="inlineStr">
        <is>
          <t>None</t>
        </is>
      </c>
      <c r="CX916" s="17" t="n"/>
      <c r="CY916" s="16" t="n"/>
      <c r="CZ916" s="20" t="inlineStr">
        <is>
          <t>WTW Multimeter 3430 with FDO 925</t>
        </is>
      </c>
      <c r="DA916" s="20" t="inlineStr">
        <is>
          <t>None</t>
        </is>
      </c>
      <c r="DB916" s="17" t="n"/>
      <c r="DC916" s="16" t="n"/>
      <c r="DD916" s="20" t="n"/>
      <c r="DE916" s="20" t="inlineStr">
        <is>
          <t>None</t>
        </is>
      </c>
      <c r="DF916" s="17" t="n"/>
      <c r="DG916" s="16" t="n"/>
      <c r="DH916" s="20" t="inlineStr">
        <is>
          <t>SOP 45-09</t>
        </is>
      </c>
      <c r="DI916" s="20" t="inlineStr">
        <is>
          <t>None</t>
        </is>
      </c>
      <c r="DJ916" s="17" t="n"/>
      <c r="DK916" s="16" t="n"/>
      <c r="DL916" s="20" t="inlineStr">
        <is>
          <t>SOP 45-09 (SOP muss noch angepasst werden für VSS)</t>
        </is>
      </c>
      <c r="DM916" s="20" t="inlineStr">
        <is>
          <t>None</t>
        </is>
      </c>
      <c r="DN916" s="17" t="n"/>
      <c r="DO916" s="16" t="n"/>
      <c r="DP916" s="20" t="inlineStr">
        <is>
          <t>IC Organic Acids</t>
        </is>
      </c>
      <c r="DQ916" s="20" t="inlineStr">
        <is>
          <t>None</t>
        </is>
      </c>
      <c r="DR916" s="17" t="n"/>
      <c r="DS916" s="16" t="n"/>
      <c r="DT916" s="20" t="inlineStr">
        <is>
          <t>IC Organic Acids</t>
        </is>
      </c>
      <c r="DU916" s="20" t="inlineStr">
        <is>
          <t>None</t>
        </is>
      </c>
      <c r="DV916" s="17" t="n"/>
      <c r="DW916" s="16" t="n"/>
      <c r="DX916" s="20" t="inlineStr">
        <is>
          <t>IC Organic Acids</t>
        </is>
      </c>
      <c r="DY916" s="20" t="inlineStr">
        <is>
          <t>None</t>
        </is>
      </c>
      <c r="DZ916" s="17" t="n"/>
      <c r="EA916" s="16" t="n"/>
      <c r="EB916" s="20" t="inlineStr">
        <is>
          <t>IC Organic Acids</t>
        </is>
      </c>
      <c r="EC916" s="20" t="inlineStr">
        <is>
          <t>None</t>
        </is>
      </c>
      <c r="ED916" s="17" t="n"/>
      <c r="EE916" s="16" t="n"/>
      <c r="EF916" s="20" t="inlineStr">
        <is>
          <t>IC Organic Acids</t>
        </is>
      </c>
      <c r="EG916" s="20" t="inlineStr">
        <is>
          <t>None</t>
        </is>
      </c>
      <c r="EH916" s="17" t="n"/>
      <c r="EI916" s="16" t="n"/>
      <c r="EJ916" s="20" t="inlineStr">
        <is>
          <t>IC Organic Acids</t>
        </is>
      </c>
      <c r="EK916" s="20" t="inlineStr">
        <is>
          <t>None</t>
        </is>
      </c>
      <c r="EL916" s="17" t="n"/>
      <c r="EM916" s="16" t="n"/>
      <c r="EN916" s="20" t="inlineStr">
        <is>
          <t>IC Organic Acids</t>
        </is>
      </c>
      <c r="EO916" s="20" t="inlineStr">
        <is>
          <t>None</t>
        </is>
      </c>
      <c r="EP916" s="17" t="n"/>
      <c r="EQ916" s="16" t="n"/>
      <c r="ER916" s="20" t="inlineStr">
        <is>
          <t>IC Organic Acids</t>
        </is>
      </c>
      <c r="ES916" s="20" t="inlineStr">
        <is>
          <t>None</t>
        </is>
      </c>
      <c r="ET916" s="17" t="n"/>
      <c r="EU916" s="16" t="n"/>
      <c r="EV916" s="20" t="inlineStr">
        <is>
          <t>LC-MS</t>
        </is>
      </c>
      <c r="EW916" s="20" t="inlineStr">
        <is>
          <t>None</t>
        </is>
      </c>
      <c r="EX916" s="17" t="n"/>
      <c r="EY916" s="21" t="n"/>
      <c r="EZ916">
        <f>CONCATENATE(A916,B916)</f>
        <v/>
      </c>
      <c r="FA916">
        <f>CONCATENATE(SamplesX!A916,SamplesX!B916)</f>
        <v/>
      </c>
      <c r="FC916">
        <f>MATCH(EZ916,FA1:FA1008,0)</f>
        <v/>
      </c>
    </row>
    <row r="917">
      <c r="A917" s="16" t="n"/>
      <c r="B917" s="17" t="n"/>
      <c r="C917" s="10">
        <f>IF(ISNUMBER(FC917),INDIRECT("SamplesX!C"&amp;FC917),IF(ISNUMBER(FD917),INDIRECT("SamplesY!C"&amp;FD917),""))</f>
        <v/>
      </c>
      <c r="D917" s="12">
        <f>IF(ISNUMBER(FC917),INDIRECT("SamplesX!D"&amp;FC917),IF(ISNUMBER(FD917),INDIRECT("SamplesY!D"&amp;FD917),""))</f>
        <v/>
      </c>
      <c r="E917" s="12">
        <f>IF(ISNUMBER(FC917),INDIRECT("SamplesX!E"&amp;FC917),IF(ISNUMBER(FD917),INDIRECT("SamplesY!E"&amp;FD917),""))</f>
        <v/>
      </c>
      <c r="F917" s="11">
        <f>IF(ISNUMBER(FC917),INDIRECT("SamplesX!F"&amp;FC917),IF(ISNUMBER(FD917),INDIRECT("SamplesY!F"&amp;FD917),""))</f>
        <v/>
      </c>
      <c r="G917" s="18">
        <f>IF(ISNUMBER(FC917),INDIRECT("SamplesX!G"&amp;FC917),IF(ISNUMBER(FD917),INDIRECT("SamplesY!G"&amp;FD917),""))</f>
        <v/>
      </c>
      <c r="H917" s="19">
        <f>IF(ISNUMBER(FC917),INDIRECT("SamplesX!H"&amp;FC917),IF(ISNUMBER(FD917),INDIRECT("SamplesY!H"&amp;FD917),""))</f>
        <v/>
      </c>
      <c r="I917" s="16" t="n"/>
      <c r="J917" s="16" t="n"/>
      <c r="K917" s="16" t="n"/>
      <c r="L917" s="20" t="n"/>
      <c r="M917" s="20" t="inlineStr">
        <is>
          <t>None</t>
        </is>
      </c>
      <c r="N917" s="17" t="n"/>
      <c r="O917" s="16" t="n"/>
      <c r="P917" s="20" t="inlineStr">
        <is>
          <t>Shimadzu TOC-L</t>
        </is>
      </c>
      <c r="Q917" s="20" t="inlineStr">
        <is>
          <t>None</t>
        </is>
      </c>
      <c r="R917" s="17" t="n"/>
      <c r="S917" s="16" t="n"/>
      <c r="T917" s="20" t="inlineStr">
        <is>
          <t>Shimadzu TOC-L</t>
        </is>
      </c>
      <c r="U917" s="20" t="inlineStr">
        <is>
          <t>None</t>
        </is>
      </c>
      <c r="V917" s="17" t="n"/>
      <c r="W917" s="16" t="n"/>
      <c r="X917" s="20" t="n"/>
      <c r="Y917" s="20" t="inlineStr">
        <is>
          <t>None</t>
        </is>
      </c>
      <c r="Z917" s="17" t="n"/>
      <c r="AA917" s="16" t="n"/>
      <c r="AB917" s="20" t="n"/>
      <c r="AC917" s="20" t="inlineStr">
        <is>
          <t>None</t>
        </is>
      </c>
      <c r="AD917" s="17" t="n"/>
      <c r="AE917" s="16" t="n"/>
      <c r="AF917" s="20" t="inlineStr">
        <is>
          <t>IC Anionen</t>
        </is>
      </c>
      <c r="AG917" s="20" t="inlineStr">
        <is>
          <t>None</t>
        </is>
      </c>
      <c r="AH917" s="17" t="n"/>
      <c r="AI917" s="16" t="n"/>
      <c r="AJ917" s="20" t="n"/>
      <c r="AK917" s="20" t="inlineStr">
        <is>
          <t>None</t>
        </is>
      </c>
      <c r="AL917" s="17" t="n"/>
      <c r="AM917" s="16" t="n"/>
      <c r="AN917" s="20" t="inlineStr">
        <is>
          <t>IC Anionen</t>
        </is>
      </c>
      <c r="AO917" s="20" t="inlineStr">
        <is>
          <t>None</t>
        </is>
      </c>
      <c r="AP917" s="17" t="n"/>
      <c r="AQ917" s="16" t="n"/>
      <c r="AR917" s="20" t="n"/>
      <c r="AS917" s="20" t="inlineStr">
        <is>
          <t>None</t>
        </is>
      </c>
      <c r="AT917" s="17" t="n"/>
      <c r="AU917" s="16" t="n"/>
      <c r="AV917" s="20" t="n"/>
      <c r="AW917" s="20" t="inlineStr">
        <is>
          <t>None</t>
        </is>
      </c>
      <c r="AX917" s="17" t="n"/>
      <c r="AY917" s="16" t="n"/>
      <c r="AZ917" s="20" t="inlineStr">
        <is>
          <t>IC Anionen</t>
        </is>
      </c>
      <c r="BA917" s="20" t="inlineStr">
        <is>
          <t>None</t>
        </is>
      </c>
      <c r="BB917" s="17" t="n"/>
      <c r="BC917" s="16" t="n"/>
      <c r="BD917" s="20" t="inlineStr">
        <is>
          <t>IC Kationen</t>
        </is>
      </c>
      <c r="BE917" s="20" t="inlineStr">
        <is>
          <t>None</t>
        </is>
      </c>
      <c r="BF917" s="17" t="n"/>
      <c r="BG917" s="16" t="n"/>
      <c r="BH917" s="20" t="inlineStr">
        <is>
          <t>IC Kationen</t>
        </is>
      </c>
      <c r="BI917" s="20" t="inlineStr">
        <is>
          <t>None</t>
        </is>
      </c>
      <c r="BJ917" s="17" t="n"/>
      <c r="BK917" s="16" t="n"/>
      <c r="BL917" s="20" t="inlineStr">
        <is>
          <t>IC Kationen</t>
        </is>
      </c>
      <c r="BM917" s="20" t="inlineStr">
        <is>
          <t>None</t>
        </is>
      </c>
      <c r="BN917" s="17" t="n"/>
      <c r="BO917" s="16" t="n"/>
      <c r="BP917" s="20" t="inlineStr">
        <is>
          <t>IC Kationen</t>
        </is>
      </c>
      <c r="BQ917" s="20" t="inlineStr">
        <is>
          <t>None</t>
        </is>
      </c>
      <c r="BR917" s="17" t="n"/>
      <c r="BS917" s="16" t="n"/>
      <c r="BT917" s="20" t="inlineStr">
        <is>
          <t>IC Kationen</t>
        </is>
      </c>
      <c r="BU917" s="20" t="inlineStr">
        <is>
          <t>None</t>
        </is>
      </c>
      <c r="BV917" s="17" t="n"/>
      <c r="BW917" s="16" t="n"/>
      <c r="BX917" s="20" t="n"/>
      <c r="BY917" s="20" t="inlineStr">
        <is>
          <t>None</t>
        </is>
      </c>
      <c r="BZ917" s="17" t="n"/>
      <c r="CA917" s="16" t="n"/>
      <c r="CB917" s="20" t="n"/>
      <c r="CC917" s="20" t="inlineStr">
        <is>
          <t>None</t>
        </is>
      </c>
      <c r="CD917" s="17" t="n"/>
      <c r="CE917" s="16" t="n"/>
      <c r="CF917" s="20" t="n"/>
      <c r="CG917" s="20" t="inlineStr">
        <is>
          <t>None</t>
        </is>
      </c>
      <c r="CH917" s="17" t="n"/>
      <c r="CI917" s="16" t="n"/>
      <c r="CJ917" s="20" t="n"/>
      <c r="CK917" s="20" t="inlineStr">
        <is>
          <t>None</t>
        </is>
      </c>
      <c r="CL917" s="17" t="n"/>
      <c r="CM917" s="16" t="n"/>
      <c r="CN917" s="20" t="inlineStr">
        <is>
          <t>SOP 45-34</t>
        </is>
      </c>
      <c r="CO917" s="20" t="inlineStr">
        <is>
          <t>None</t>
        </is>
      </c>
      <c r="CP917" s="17" t="n"/>
      <c r="CQ917" s="16" t="n"/>
      <c r="CR917" s="20" t="n"/>
      <c r="CS917" s="20" t="inlineStr">
        <is>
          <t>None</t>
        </is>
      </c>
      <c r="CT917" s="17" t="n"/>
      <c r="CU917" s="16" t="n"/>
      <c r="CV917" s="20" t="n"/>
      <c r="CW917" s="20" t="inlineStr">
        <is>
          <t>None</t>
        </is>
      </c>
      <c r="CX917" s="17" t="n"/>
      <c r="CY917" s="16" t="n"/>
      <c r="CZ917" s="20" t="inlineStr">
        <is>
          <t>WTW Multimeter 3430 with FDO 925</t>
        </is>
      </c>
      <c r="DA917" s="20" t="inlineStr">
        <is>
          <t>None</t>
        </is>
      </c>
      <c r="DB917" s="17" t="n"/>
      <c r="DC917" s="16" t="n"/>
      <c r="DD917" s="20" t="n"/>
      <c r="DE917" s="20" t="inlineStr">
        <is>
          <t>None</t>
        </is>
      </c>
      <c r="DF917" s="17" t="n"/>
      <c r="DG917" s="16" t="n"/>
      <c r="DH917" s="20" t="inlineStr">
        <is>
          <t>SOP 45-09</t>
        </is>
      </c>
      <c r="DI917" s="20" t="inlineStr">
        <is>
          <t>None</t>
        </is>
      </c>
      <c r="DJ917" s="17" t="n"/>
      <c r="DK917" s="16" t="n"/>
      <c r="DL917" s="20" t="inlineStr">
        <is>
          <t>SOP 45-09 (SOP muss noch angepasst werden für VSS)</t>
        </is>
      </c>
      <c r="DM917" s="20" t="inlineStr">
        <is>
          <t>None</t>
        </is>
      </c>
      <c r="DN917" s="17" t="n"/>
      <c r="DO917" s="16" t="n"/>
      <c r="DP917" s="20" t="inlineStr">
        <is>
          <t>IC Organic Acids</t>
        </is>
      </c>
      <c r="DQ917" s="20" t="inlineStr">
        <is>
          <t>None</t>
        </is>
      </c>
      <c r="DR917" s="17" t="n"/>
      <c r="DS917" s="16" t="n"/>
      <c r="DT917" s="20" t="inlineStr">
        <is>
          <t>IC Organic Acids</t>
        </is>
      </c>
      <c r="DU917" s="20" t="inlineStr">
        <is>
          <t>None</t>
        </is>
      </c>
      <c r="DV917" s="17" t="n"/>
      <c r="DW917" s="16" t="n"/>
      <c r="DX917" s="20" t="inlineStr">
        <is>
          <t>IC Organic Acids</t>
        </is>
      </c>
      <c r="DY917" s="20" t="inlineStr">
        <is>
          <t>None</t>
        </is>
      </c>
      <c r="DZ917" s="17" t="n"/>
      <c r="EA917" s="16" t="n"/>
      <c r="EB917" s="20" t="inlineStr">
        <is>
          <t>IC Organic Acids</t>
        </is>
      </c>
      <c r="EC917" s="20" t="inlineStr">
        <is>
          <t>None</t>
        </is>
      </c>
      <c r="ED917" s="17" t="n"/>
      <c r="EE917" s="16" t="n"/>
      <c r="EF917" s="20" t="inlineStr">
        <is>
          <t>IC Organic Acids</t>
        </is>
      </c>
      <c r="EG917" s="20" t="inlineStr">
        <is>
          <t>None</t>
        </is>
      </c>
      <c r="EH917" s="17" t="n"/>
      <c r="EI917" s="16" t="n"/>
      <c r="EJ917" s="20" t="inlineStr">
        <is>
          <t>IC Organic Acids</t>
        </is>
      </c>
      <c r="EK917" s="20" t="inlineStr">
        <is>
          <t>None</t>
        </is>
      </c>
      <c r="EL917" s="17" t="n"/>
      <c r="EM917" s="16" t="n"/>
      <c r="EN917" s="20" t="inlineStr">
        <is>
          <t>IC Organic Acids</t>
        </is>
      </c>
      <c r="EO917" s="20" t="inlineStr">
        <is>
          <t>None</t>
        </is>
      </c>
      <c r="EP917" s="17" t="n"/>
      <c r="EQ917" s="16" t="n"/>
      <c r="ER917" s="20" t="inlineStr">
        <is>
          <t>IC Organic Acids</t>
        </is>
      </c>
      <c r="ES917" s="20" t="inlineStr">
        <is>
          <t>None</t>
        </is>
      </c>
      <c r="ET917" s="17" t="n"/>
      <c r="EU917" s="16" t="n"/>
      <c r="EV917" s="20" t="inlineStr">
        <is>
          <t>LC-MS</t>
        </is>
      </c>
      <c r="EW917" s="20" t="inlineStr">
        <is>
          <t>None</t>
        </is>
      </c>
      <c r="EX917" s="17" t="n"/>
      <c r="EY917" s="21" t="n"/>
      <c r="EZ917">
        <f>CONCATENATE(A917,B917)</f>
        <v/>
      </c>
      <c r="FA917">
        <f>CONCATENATE(SamplesX!A917,SamplesX!B917)</f>
        <v/>
      </c>
      <c r="FC917">
        <f>MATCH(EZ917,FA1:FA1008,0)</f>
        <v/>
      </c>
    </row>
    <row r="918">
      <c r="A918" s="16" t="n"/>
      <c r="B918" s="17" t="n"/>
      <c r="C918" s="10">
        <f>IF(ISNUMBER(FC918),INDIRECT("SamplesX!C"&amp;FC918),IF(ISNUMBER(FD918),INDIRECT("SamplesY!C"&amp;FD918),""))</f>
        <v/>
      </c>
      <c r="D918" s="12">
        <f>IF(ISNUMBER(FC918),INDIRECT("SamplesX!D"&amp;FC918),IF(ISNUMBER(FD918),INDIRECT("SamplesY!D"&amp;FD918),""))</f>
        <v/>
      </c>
      <c r="E918" s="12">
        <f>IF(ISNUMBER(FC918),INDIRECT("SamplesX!E"&amp;FC918),IF(ISNUMBER(FD918),INDIRECT("SamplesY!E"&amp;FD918),""))</f>
        <v/>
      </c>
      <c r="F918" s="11">
        <f>IF(ISNUMBER(FC918),INDIRECT("SamplesX!F"&amp;FC918),IF(ISNUMBER(FD918),INDIRECT("SamplesY!F"&amp;FD918),""))</f>
        <v/>
      </c>
      <c r="G918" s="18">
        <f>IF(ISNUMBER(FC918),INDIRECT("SamplesX!G"&amp;FC918),IF(ISNUMBER(FD918),INDIRECT("SamplesY!G"&amp;FD918),""))</f>
        <v/>
      </c>
      <c r="H918" s="19">
        <f>IF(ISNUMBER(FC918),INDIRECT("SamplesX!H"&amp;FC918),IF(ISNUMBER(FD918),INDIRECT("SamplesY!H"&amp;FD918),""))</f>
        <v/>
      </c>
      <c r="I918" s="16" t="n"/>
      <c r="J918" s="16" t="n"/>
      <c r="K918" s="16" t="n"/>
      <c r="L918" s="20" t="n"/>
      <c r="M918" s="20" t="inlineStr">
        <is>
          <t>None</t>
        </is>
      </c>
      <c r="N918" s="17" t="n"/>
      <c r="O918" s="16" t="n"/>
      <c r="P918" s="20" t="inlineStr">
        <is>
          <t>Shimadzu TOC-L</t>
        </is>
      </c>
      <c r="Q918" s="20" t="inlineStr">
        <is>
          <t>None</t>
        </is>
      </c>
      <c r="R918" s="17" t="n"/>
      <c r="S918" s="16" t="n"/>
      <c r="T918" s="20" t="inlineStr">
        <is>
          <t>Shimadzu TOC-L</t>
        </is>
      </c>
      <c r="U918" s="20" t="inlineStr">
        <is>
          <t>None</t>
        </is>
      </c>
      <c r="V918" s="17" t="n"/>
      <c r="W918" s="16" t="n"/>
      <c r="X918" s="20" t="n"/>
      <c r="Y918" s="20" t="inlineStr">
        <is>
          <t>None</t>
        </is>
      </c>
      <c r="Z918" s="17" t="n"/>
      <c r="AA918" s="16" t="n"/>
      <c r="AB918" s="20" t="n"/>
      <c r="AC918" s="20" t="inlineStr">
        <is>
          <t>None</t>
        </is>
      </c>
      <c r="AD918" s="17" t="n"/>
      <c r="AE918" s="16" t="n"/>
      <c r="AF918" s="20" t="inlineStr">
        <is>
          <t>IC Anionen</t>
        </is>
      </c>
      <c r="AG918" s="20" t="inlineStr">
        <is>
          <t>None</t>
        </is>
      </c>
      <c r="AH918" s="17" t="n"/>
      <c r="AI918" s="16" t="n"/>
      <c r="AJ918" s="20" t="n"/>
      <c r="AK918" s="20" t="inlineStr">
        <is>
          <t>None</t>
        </is>
      </c>
      <c r="AL918" s="17" t="n"/>
      <c r="AM918" s="16" t="n"/>
      <c r="AN918" s="20" t="inlineStr">
        <is>
          <t>IC Anionen</t>
        </is>
      </c>
      <c r="AO918" s="20" t="inlineStr">
        <is>
          <t>None</t>
        </is>
      </c>
      <c r="AP918" s="17" t="n"/>
      <c r="AQ918" s="16" t="n"/>
      <c r="AR918" s="20" t="n"/>
      <c r="AS918" s="20" t="inlineStr">
        <is>
          <t>None</t>
        </is>
      </c>
      <c r="AT918" s="17" t="n"/>
      <c r="AU918" s="16" t="n"/>
      <c r="AV918" s="20" t="n"/>
      <c r="AW918" s="20" t="inlineStr">
        <is>
          <t>None</t>
        </is>
      </c>
      <c r="AX918" s="17" t="n"/>
      <c r="AY918" s="16" t="n"/>
      <c r="AZ918" s="20" t="inlineStr">
        <is>
          <t>IC Anionen</t>
        </is>
      </c>
      <c r="BA918" s="20" t="inlineStr">
        <is>
          <t>None</t>
        </is>
      </c>
      <c r="BB918" s="17" t="n"/>
      <c r="BC918" s="16" t="n"/>
      <c r="BD918" s="20" t="inlineStr">
        <is>
          <t>IC Kationen</t>
        </is>
      </c>
      <c r="BE918" s="20" t="inlineStr">
        <is>
          <t>None</t>
        </is>
      </c>
      <c r="BF918" s="17" t="n"/>
      <c r="BG918" s="16" t="n"/>
      <c r="BH918" s="20" t="inlineStr">
        <is>
          <t>IC Kationen</t>
        </is>
      </c>
      <c r="BI918" s="20" t="inlineStr">
        <is>
          <t>None</t>
        </is>
      </c>
      <c r="BJ918" s="17" t="n"/>
      <c r="BK918" s="16" t="n"/>
      <c r="BL918" s="20" t="inlineStr">
        <is>
          <t>IC Kationen</t>
        </is>
      </c>
      <c r="BM918" s="20" t="inlineStr">
        <is>
          <t>None</t>
        </is>
      </c>
      <c r="BN918" s="17" t="n"/>
      <c r="BO918" s="16" t="n"/>
      <c r="BP918" s="20" t="inlineStr">
        <is>
          <t>IC Kationen</t>
        </is>
      </c>
      <c r="BQ918" s="20" t="inlineStr">
        <is>
          <t>None</t>
        </is>
      </c>
      <c r="BR918" s="17" t="n"/>
      <c r="BS918" s="16" t="n"/>
      <c r="BT918" s="20" t="inlineStr">
        <is>
          <t>IC Kationen</t>
        </is>
      </c>
      <c r="BU918" s="20" t="inlineStr">
        <is>
          <t>None</t>
        </is>
      </c>
      <c r="BV918" s="17" t="n"/>
      <c r="BW918" s="16" t="n"/>
      <c r="BX918" s="20" t="n"/>
      <c r="BY918" s="20" t="inlineStr">
        <is>
          <t>None</t>
        </is>
      </c>
      <c r="BZ918" s="17" t="n"/>
      <c r="CA918" s="16" t="n"/>
      <c r="CB918" s="20" t="n"/>
      <c r="CC918" s="20" t="inlineStr">
        <is>
          <t>None</t>
        </is>
      </c>
      <c r="CD918" s="17" t="n"/>
      <c r="CE918" s="16" t="n"/>
      <c r="CF918" s="20" t="n"/>
      <c r="CG918" s="20" t="inlineStr">
        <is>
          <t>None</t>
        </is>
      </c>
      <c r="CH918" s="17" t="n"/>
      <c r="CI918" s="16" t="n"/>
      <c r="CJ918" s="20" t="n"/>
      <c r="CK918" s="20" t="inlineStr">
        <is>
          <t>None</t>
        </is>
      </c>
      <c r="CL918" s="17" t="n"/>
      <c r="CM918" s="16" t="n"/>
      <c r="CN918" s="20" t="inlineStr">
        <is>
          <t>SOP 45-34</t>
        </is>
      </c>
      <c r="CO918" s="20" t="inlineStr">
        <is>
          <t>None</t>
        </is>
      </c>
      <c r="CP918" s="17" t="n"/>
      <c r="CQ918" s="16" t="n"/>
      <c r="CR918" s="20" t="n"/>
      <c r="CS918" s="20" t="inlineStr">
        <is>
          <t>None</t>
        </is>
      </c>
      <c r="CT918" s="17" t="n"/>
      <c r="CU918" s="16" t="n"/>
      <c r="CV918" s="20" t="n"/>
      <c r="CW918" s="20" t="inlineStr">
        <is>
          <t>None</t>
        </is>
      </c>
      <c r="CX918" s="17" t="n"/>
      <c r="CY918" s="16" t="n"/>
      <c r="CZ918" s="20" t="inlineStr">
        <is>
          <t>WTW Multimeter 3430 with FDO 925</t>
        </is>
      </c>
      <c r="DA918" s="20" t="inlineStr">
        <is>
          <t>None</t>
        </is>
      </c>
      <c r="DB918" s="17" t="n"/>
      <c r="DC918" s="16" t="n"/>
      <c r="DD918" s="20" t="n"/>
      <c r="DE918" s="20" t="inlineStr">
        <is>
          <t>None</t>
        </is>
      </c>
      <c r="DF918" s="17" t="n"/>
      <c r="DG918" s="16" t="n"/>
      <c r="DH918" s="20" t="inlineStr">
        <is>
          <t>SOP 45-09</t>
        </is>
      </c>
      <c r="DI918" s="20" t="inlineStr">
        <is>
          <t>None</t>
        </is>
      </c>
      <c r="DJ918" s="17" t="n"/>
      <c r="DK918" s="16" t="n"/>
      <c r="DL918" s="20" t="inlineStr">
        <is>
          <t>SOP 45-09 (SOP muss noch angepasst werden für VSS)</t>
        </is>
      </c>
      <c r="DM918" s="20" t="inlineStr">
        <is>
          <t>None</t>
        </is>
      </c>
      <c r="DN918" s="17" t="n"/>
      <c r="DO918" s="16" t="n"/>
      <c r="DP918" s="20" t="inlineStr">
        <is>
          <t>IC Organic Acids</t>
        </is>
      </c>
      <c r="DQ918" s="20" t="inlineStr">
        <is>
          <t>None</t>
        </is>
      </c>
      <c r="DR918" s="17" t="n"/>
      <c r="DS918" s="16" t="n"/>
      <c r="DT918" s="20" t="inlineStr">
        <is>
          <t>IC Organic Acids</t>
        </is>
      </c>
      <c r="DU918" s="20" t="inlineStr">
        <is>
          <t>None</t>
        </is>
      </c>
      <c r="DV918" s="17" t="n"/>
      <c r="DW918" s="16" t="n"/>
      <c r="DX918" s="20" t="inlineStr">
        <is>
          <t>IC Organic Acids</t>
        </is>
      </c>
      <c r="DY918" s="20" t="inlineStr">
        <is>
          <t>None</t>
        </is>
      </c>
      <c r="DZ918" s="17" t="n"/>
      <c r="EA918" s="16" t="n"/>
      <c r="EB918" s="20" t="inlineStr">
        <is>
          <t>IC Organic Acids</t>
        </is>
      </c>
      <c r="EC918" s="20" t="inlineStr">
        <is>
          <t>None</t>
        </is>
      </c>
      <c r="ED918" s="17" t="n"/>
      <c r="EE918" s="16" t="n"/>
      <c r="EF918" s="20" t="inlineStr">
        <is>
          <t>IC Organic Acids</t>
        </is>
      </c>
      <c r="EG918" s="20" t="inlineStr">
        <is>
          <t>None</t>
        </is>
      </c>
      <c r="EH918" s="17" t="n"/>
      <c r="EI918" s="16" t="n"/>
      <c r="EJ918" s="20" t="inlineStr">
        <is>
          <t>IC Organic Acids</t>
        </is>
      </c>
      <c r="EK918" s="20" t="inlineStr">
        <is>
          <t>None</t>
        </is>
      </c>
      <c r="EL918" s="17" t="n"/>
      <c r="EM918" s="16" t="n"/>
      <c r="EN918" s="20" t="inlineStr">
        <is>
          <t>IC Organic Acids</t>
        </is>
      </c>
      <c r="EO918" s="20" t="inlineStr">
        <is>
          <t>None</t>
        </is>
      </c>
      <c r="EP918" s="17" t="n"/>
      <c r="EQ918" s="16" t="n"/>
      <c r="ER918" s="20" t="inlineStr">
        <is>
          <t>IC Organic Acids</t>
        </is>
      </c>
      <c r="ES918" s="20" t="inlineStr">
        <is>
          <t>None</t>
        </is>
      </c>
      <c r="ET918" s="17" t="n"/>
      <c r="EU918" s="16" t="n"/>
      <c r="EV918" s="20" t="inlineStr">
        <is>
          <t>LC-MS</t>
        </is>
      </c>
      <c r="EW918" s="20" t="inlineStr">
        <is>
          <t>None</t>
        </is>
      </c>
      <c r="EX918" s="17" t="n"/>
      <c r="EY918" s="21" t="n"/>
      <c r="EZ918">
        <f>CONCATENATE(A918,B918)</f>
        <v/>
      </c>
      <c r="FA918">
        <f>CONCATENATE(SamplesX!A918,SamplesX!B918)</f>
        <v/>
      </c>
      <c r="FC918">
        <f>MATCH(EZ918,FA1:FA1008,0)</f>
        <v/>
      </c>
    </row>
    <row r="919">
      <c r="A919" s="16" t="n"/>
      <c r="B919" s="17" t="n"/>
      <c r="C919" s="10">
        <f>IF(ISNUMBER(FC919),INDIRECT("SamplesX!C"&amp;FC919),IF(ISNUMBER(FD919),INDIRECT("SamplesY!C"&amp;FD919),""))</f>
        <v/>
      </c>
      <c r="D919" s="12">
        <f>IF(ISNUMBER(FC919),INDIRECT("SamplesX!D"&amp;FC919),IF(ISNUMBER(FD919),INDIRECT("SamplesY!D"&amp;FD919),""))</f>
        <v/>
      </c>
      <c r="E919" s="12">
        <f>IF(ISNUMBER(FC919),INDIRECT("SamplesX!E"&amp;FC919),IF(ISNUMBER(FD919),INDIRECT("SamplesY!E"&amp;FD919),""))</f>
        <v/>
      </c>
      <c r="F919" s="11">
        <f>IF(ISNUMBER(FC919),INDIRECT("SamplesX!F"&amp;FC919),IF(ISNUMBER(FD919),INDIRECT("SamplesY!F"&amp;FD919),""))</f>
        <v/>
      </c>
      <c r="G919" s="18">
        <f>IF(ISNUMBER(FC919),INDIRECT("SamplesX!G"&amp;FC919),IF(ISNUMBER(FD919),INDIRECT("SamplesY!G"&amp;FD919),""))</f>
        <v/>
      </c>
      <c r="H919" s="19">
        <f>IF(ISNUMBER(FC919),INDIRECT("SamplesX!H"&amp;FC919),IF(ISNUMBER(FD919),INDIRECT("SamplesY!H"&amp;FD919),""))</f>
        <v/>
      </c>
      <c r="I919" s="16" t="n"/>
      <c r="J919" s="16" t="n"/>
      <c r="K919" s="16" t="n"/>
      <c r="L919" s="20" t="n"/>
      <c r="M919" s="20" t="inlineStr">
        <is>
          <t>None</t>
        </is>
      </c>
      <c r="N919" s="17" t="n"/>
      <c r="O919" s="16" t="n"/>
      <c r="P919" s="20" t="inlineStr">
        <is>
          <t>Shimadzu TOC-L</t>
        </is>
      </c>
      <c r="Q919" s="20" t="inlineStr">
        <is>
          <t>None</t>
        </is>
      </c>
      <c r="R919" s="17" t="n"/>
      <c r="S919" s="16" t="n"/>
      <c r="T919" s="20" t="inlineStr">
        <is>
          <t>Shimadzu TOC-L</t>
        </is>
      </c>
      <c r="U919" s="20" t="inlineStr">
        <is>
          <t>None</t>
        </is>
      </c>
      <c r="V919" s="17" t="n"/>
      <c r="W919" s="16" t="n"/>
      <c r="X919" s="20" t="n"/>
      <c r="Y919" s="20" t="inlineStr">
        <is>
          <t>None</t>
        </is>
      </c>
      <c r="Z919" s="17" t="n"/>
      <c r="AA919" s="16" t="n"/>
      <c r="AB919" s="20" t="n"/>
      <c r="AC919" s="20" t="inlineStr">
        <is>
          <t>None</t>
        </is>
      </c>
      <c r="AD919" s="17" t="n"/>
      <c r="AE919" s="16" t="n"/>
      <c r="AF919" s="20" t="inlineStr">
        <is>
          <t>IC Anionen</t>
        </is>
      </c>
      <c r="AG919" s="20" t="inlineStr">
        <is>
          <t>None</t>
        </is>
      </c>
      <c r="AH919" s="17" t="n"/>
      <c r="AI919" s="16" t="n"/>
      <c r="AJ919" s="20" t="n"/>
      <c r="AK919" s="20" t="inlineStr">
        <is>
          <t>None</t>
        </is>
      </c>
      <c r="AL919" s="17" t="n"/>
      <c r="AM919" s="16" t="n"/>
      <c r="AN919" s="20" t="inlineStr">
        <is>
          <t>IC Anionen</t>
        </is>
      </c>
      <c r="AO919" s="20" t="inlineStr">
        <is>
          <t>None</t>
        </is>
      </c>
      <c r="AP919" s="17" t="n"/>
      <c r="AQ919" s="16" t="n"/>
      <c r="AR919" s="20" t="n"/>
      <c r="AS919" s="20" t="inlineStr">
        <is>
          <t>None</t>
        </is>
      </c>
      <c r="AT919" s="17" t="n"/>
      <c r="AU919" s="16" t="n"/>
      <c r="AV919" s="20" t="n"/>
      <c r="AW919" s="20" t="inlineStr">
        <is>
          <t>None</t>
        </is>
      </c>
      <c r="AX919" s="17" t="n"/>
      <c r="AY919" s="16" t="n"/>
      <c r="AZ919" s="20" t="inlineStr">
        <is>
          <t>IC Anionen</t>
        </is>
      </c>
      <c r="BA919" s="20" t="inlineStr">
        <is>
          <t>None</t>
        </is>
      </c>
      <c r="BB919" s="17" t="n"/>
      <c r="BC919" s="16" t="n"/>
      <c r="BD919" s="20" t="inlineStr">
        <is>
          <t>IC Kationen</t>
        </is>
      </c>
      <c r="BE919" s="20" t="inlineStr">
        <is>
          <t>None</t>
        </is>
      </c>
      <c r="BF919" s="17" t="n"/>
      <c r="BG919" s="16" t="n"/>
      <c r="BH919" s="20" t="inlineStr">
        <is>
          <t>IC Kationen</t>
        </is>
      </c>
      <c r="BI919" s="20" t="inlineStr">
        <is>
          <t>None</t>
        </is>
      </c>
      <c r="BJ919" s="17" t="n"/>
      <c r="BK919" s="16" t="n"/>
      <c r="BL919" s="20" t="inlineStr">
        <is>
          <t>IC Kationen</t>
        </is>
      </c>
      <c r="BM919" s="20" t="inlineStr">
        <is>
          <t>None</t>
        </is>
      </c>
      <c r="BN919" s="17" t="n"/>
      <c r="BO919" s="16" t="n"/>
      <c r="BP919" s="20" t="inlineStr">
        <is>
          <t>IC Kationen</t>
        </is>
      </c>
      <c r="BQ919" s="20" t="inlineStr">
        <is>
          <t>None</t>
        </is>
      </c>
      <c r="BR919" s="17" t="n"/>
      <c r="BS919" s="16" t="n"/>
      <c r="BT919" s="20" t="inlineStr">
        <is>
          <t>IC Kationen</t>
        </is>
      </c>
      <c r="BU919" s="20" t="inlineStr">
        <is>
          <t>None</t>
        </is>
      </c>
      <c r="BV919" s="17" t="n"/>
      <c r="BW919" s="16" t="n"/>
      <c r="BX919" s="20" t="n"/>
      <c r="BY919" s="20" t="inlineStr">
        <is>
          <t>None</t>
        </is>
      </c>
      <c r="BZ919" s="17" t="n"/>
      <c r="CA919" s="16" t="n"/>
      <c r="CB919" s="20" t="n"/>
      <c r="CC919" s="20" t="inlineStr">
        <is>
          <t>None</t>
        </is>
      </c>
      <c r="CD919" s="17" t="n"/>
      <c r="CE919" s="16" t="n"/>
      <c r="CF919" s="20" t="n"/>
      <c r="CG919" s="20" t="inlineStr">
        <is>
          <t>None</t>
        </is>
      </c>
      <c r="CH919" s="17" t="n"/>
      <c r="CI919" s="16" t="n"/>
      <c r="CJ919" s="20" t="n"/>
      <c r="CK919" s="20" t="inlineStr">
        <is>
          <t>None</t>
        </is>
      </c>
      <c r="CL919" s="17" t="n"/>
      <c r="CM919" s="16" t="n"/>
      <c r="CN919" s="20" t="inlineStr">
        <is>
          <t>SOP 45-34</t>
        </is>
      </c>
      <c r="CO919" s="20" t="inlineStr">
        <is>
          <t>None</t>
        </is>
      </c>
      <c r="CP919" s="17" t="n"/>
      <c r="CQ919" s="16" t="n"/>
      <c r="CR919" s="20" t="n"/>
      <c r="CS919" s="20" t="inlineStr">
        <is>
          <t>None</t>
        </is>
      </c>
      <c r="CT919" s="17" t="n"/>
      <c r="CU919" s="16" t="n"/>
      <c r="CV919" s="20" t="n"/>
      <c r="CW919" s="20" t="inlineStr">
        <is>
          <t>None</t>
        </is>
      </c>
      <c r="CX919" s="17" t="n"/>
      <c r="CY919" s="16" t="n"/>
      <c r="CZ919" s="20" t="inlineStr">
        <is>
          <t>WTW Multimeter 3430 with FDO 925</t>
        </is>
      </c>
      <c r="DA919" s="20" t="inlineStr">
        <is>
          <t>None</t>
        </is>
      </c>
      <c r="DB919" s="17" t="n"/>
      <c r="DC919" s="16" t="n"/>
      <c r="DD919" s="20" t="n"/>
      <c r="DE919" s="20" t="inlineStr">
        <is>
          <t>None</t>
        </is>
      </c>
      <c r="DF919" s="17" t="n"/>
      <c r="DG919" s="16" t="n"/>
      <c r="DH919" s="20" t="inlineStr">
        <is>
          <t>SOP 45-09</t>
        </is>
      </c>
      <c r="DI919" s="20" t="inlineStr">
        <is>
          <t>None</t>
        </is>
      </c>
      <c r="DJ919" s="17" t="n"/>
      <c r="DK919" s="16" t="n"/>
      <c r="DL919" s="20" t="inlineStr">
        <is>
          <t>SOP 45-09 (SOP muss noch angepasst werden für VSS)</t>
        </is>
      </c>
      <c r="DM919" s="20" t="inlineStr">
        <is>
          <t>None</t>
        </is>
      </c>
      <c r="DN919" s="17" t="n"/>
      <c r="DO919" s="16" t="n"/>
      <c r="DP919" s="20" t="inlineStr">
        <is>
          <t>IC Organic Acids</t>
        </is>
      </c>
      <c r="DQ919" s="20" t="inlineStr">
        <is>
          <t>None</t>
        </is>
      </c>
      <c r="DR919" s="17" t="n"/>
      <c r="DS919" s="16" t="n"/>
      <c r="DT919" s="20" t="inlineStr">
        <is>
          <t>IC Organic Acids</t>
        </is>
      </c>
      <c r="DU919" s="20" t="inlineStr">
        <is>
          <t>None</t>
        </is>
      </c>
      <c r="DV919" s="17" t="n"/>
      <c r="DW919" s="16" t="n"/>
      <c r="DX919" s="20" t="inlineStr">
        <is>
          <t>IC Organic Acids</t>
        </is>
      </c>
      <c r="DY919" s="20" t="inlineStr">
        <is>
          <t>None</t>
        </is>
      </c>
      <c r="DZ919" s="17" t="n"/>
      <c r="EA919" s="16" t="n"/>
      <c r="EB919" s="20" t="inlineStr">
        <is>
          <t>IC Organic Acids</t>
        </is>
      </c>
      <c r="EC919" s="20" t="inlineStr">
        <is>
          <t>None</t>
        </is>
      </c>
      <c r="ED919" s="17" t="n"/>
      <c r="EE919" s="16" t="n"/>
      <c r="EF919" s="20" t="inlineStr">
        <is>
          <t>IC Organic Acids</t>
        </is>
      </c>
      <c r="EG919" s="20" t="inlineStr">
        <is>
          <t>None</t>
        </is>
      </c>
      <c r="EH919" s="17" t="n"/>
      <c r="EI919" s="16" t="n"/>
      <c r="EJ919" s="20" t="inlineStr">
        <is>
          <t>IC Organic Acids</t>
        </is>
      </c>
      <c r="EK919" s="20" t="inlineStr">
        <is>
          <t>None</t>
        </is>
      </c>
      <c r="EL919" s="17" t="n"/>
      <c r="EM919" s="16" t="n"/>
      <c r="EN919" s="20" t="inlineStr">
        <is>
          <t>IC Organic Acids</t>
        </is>
      </c>
      <c r="EO919" s="20" t="inlineStr">
        <is>
          <t>None</t>
        </is>
      </c>
      <c r="EP919" s="17" t="n"/>
      <c r="EQ919" s="16" t="n"/>
      <c r="ER919" s="20" t="inlineStr">
        <is>
          <t>IC Organic Acids</t>
        </is>
      </c>
      <c r="ES919" s="20" t="inlineStr">
        <is>
          <t>None</t>
        </is>
      </c>
      <c r="ET919" s="17" t="n"/>
      <c r="EU919" s="16" t="n"/>
      <c r="EV919" s="20" t="inlineStr">
        <is>
          <t>LC-MS</t>
        </is>
      </c>
      <c r="EW919" s="20" t="inlineStr">
        <is>
          <t>None</t>
        </is>
      </c>
      <c r="EX919" s="17" t="n"/>
      <c r="EY919" s="21" t="n"/>
      <c r="EZ919">
        <f>CONCATENATE(A919,B919)</f>
        <v/>
      </c>
      <c r="FA919">
        <f>CONCATENATE(SamplesX!A919,SamplesX!B919)</f>
        <v/>
      </c>
      <c r="FC919">
        <f>MATCH(EZ919,FA1:FA1008,0)</f>
        <v/>
      </c>
    </row>
    <row r="920">
      <c r="A920" s="16" t="n"/>
      <c r="B920" s="17" t="n"/>
      <c r="C920" s="10">
        <f>IF(ISNUMBER(FC920),INDIRECT("SamplesX!C"&amp;FC920),IF(ISNUMBER(FD920),INDIRECT("SamplesY!C"&amp;FD920),""))</f>
        <v/>
      </c>
      <c r="D920" s="12">
        <f>IF(ISNUMBER(FC920),INDIRECT("SamplesX!D"&amp;FC920),IF(ISNUMBER(FD920),INDIRECT("SamplesY!D"&amp;FD920),""))</f>
        <v/>
      </c>
      <c r="E920" s="12">
        <f>IF(ISNUMBER(FC920),INDIRECT("SamplesX!E"&amp;FC920),IF(ISNUMBER(FD920),INDIRECT("SamplesY!E"&amp;FD920),""))</f>
        <v/>
      </c>
      <c r="F920" s="11">
        <f>IF(ISNUMBER(FC920),INDIRECT("SamplesX!F"&amp;FC920),IF(ISNUMBER(FD920),INDIRECT("SamplesY!F"&amp;FD920),""))</f>
        <v/>
      </c>
      <c r="G920" s="18">
        <f>IF(ISNUMBER(FC920),INDIRECT("SamplesX!G"&amp;FC920),IF(ISNUMBER(FD920),INDIRECT("SamplesY!G"&amp;FD920),""))</f>
        <v/>
      </c>
      <c r="H920" s="19">
        <f>IF(ISNUMBER(FC920),INDIRECT("SamplesX!H"&amp;FC920),IF(ISNUMBER(FD920),INDIRECT("SamplesY!H"&amp;FD920),""))</f>
        <v/>
      </c>
      <c r="I920" s="16" t="n"/>
      <c r="J920" s="16" t="n"/>
      <c r="K920" s="16" t="n"/>
      <c r="L920" s="20" t="n"/>
      <c r="M920" s="20" t="inlineStr">
        <is>
          <t>None</t>
        </is>
      </c>
      <c r="N920" s="17" t="n"/>
      <c r="O920" s="16" t="n"/>
      <c r="P920" s="20" t="inlineStr">
        <is>
          <t>Shimadzu TOC-L</t>
        </is>
      </c>
      <c r="Q920" s="20" t="inlineStr">
        <is>
          <t>None</t>
        </is>
      </c>
      <c r="R920" s="17" t="n"/>
      <c r="S920" s="16" t="n"/>
      <c r="T920" s="20" t="inlineStr">
        <is>
          <t>Shimadzu TOC-L</t>
        </is>
      </c>
      <c r="U920" s="20" t="inlineStr">
        <is>
          <t>None</t>
        </is>
      </c>
      <c r="V920" s="17" t="n"/>
      <c r="W920" s="16" t="n"/>
      <c r="X920" s="20" t="n"/>
      <c r="Y920" s="20" t="inlineStr">
        <is>
          <t>None</t>
        </is>
      </c>
      <c r="Z920" s="17" t="n"/>
      <c r="AA920" s="16" t="n"/>
      <c r="AB920" s="20" t="n"/>
      <c r="AC920" s="20" t="inlineStr">
        <is>
          <t>None</t>
        </is>
      </c>
      <c r="AD920" s="17" t="n"/>
      <c r="AE920" s="16" t="n"/>
      <c r="AF920" s="20" t="inlineStr">
        <is>
          <t>IC Anionen</t>
        </is>
      </c>
      <c r="AG920" s="20" t="inlineStr">
        <is>
          <t>None</t>
        </is>
      </c>
      <c r="AH920" s="17" t="n"/>
      <c r="AI920" s="16" t="n"/>
      <c r="AJ920" s="20" t="n"/>
      <c r="AK920" s="20" t="inlineStr">
        <is>
          <t>None</t>
        </is>
      </c>
      <c r="AL920" s="17" t="n"/>
      <c r="AM920" s="16" t="n"/>
      <c r="AN920" s="20" t="inlineStr">
        <is>
          <t>IC Anionen</t>
        </is>
      </c>
      <c r="AO920" s="20" t="inlineStr">
        <is>
          <t>None</t>
        </is>
      </c>
      <c r="AP920" s="17" t="n"/>
      <c r="AQ920" s="16" t="n"/>
      <c r="AR920" s="20" t="n"/>
      <c r="AS920" s="20" t="inlineStr">
        <is>
          <t>None</t>
        </is>
      </c>
      <c r="AT920" s="17" t="n"/>
      <c r="AU920" s="16" t="n"/>
      <c r="AV920" s="20" t="n"/>
      <c r="AW920" s="20" t="inlineStr">
        <is>
          <t>None</t>
        </is>
      </c>
      <c r="AX920" s="17" t="n"/>
      <c r="AY920" s="16" t="n"/>
      <c r="AZ920" s="20" t="inlineStr">
        <is>
          <t>IC Anionen</t>
        </is>
      </c>
      <c r="BA920" s="20" t="inlineStr">
        <is>
          <t>None</t>
        </is>
      </c>
      <c r="BB920" s="17" t="n"/>
      <c r="BC920" s="16" t="n"/>
      <c r="BD920" s="20" t="inlineStr">
        <is>
          <t>IC Kationen</t>
        </is>
      </c>
      <c r="BE920" s="20" t="inlineStr">
        <is>
          <t>None</t>
        </is>
      </c>
      <c r="BF920" s="17" t="n"/>
      <c r="BG920" s="16" t="n"/>
      <c r="BH920" s="20" t="inlineStr">
        <is>
          <t>IC Kationen</t>
        </is>
      </c>
      <c r="BI920" s="20" t="inlineStr">
        <is>
          <t>None</t>
        </is>
      </c>
      <c r="BJ920" s="17" t="n"/>
      <c r="BK920" s="16" t="n"/>
      <c r="BL920" s="20" t="inlineStr">
        <is>
          <t>IC Kationen</t>
        </is>
      </c>
      <c r="BM920" s="20" t="inlineStr">
        <is>
          <t>None</t>
        </is>
      </c>
      <c r="BN920" s="17" t="n"/>
      <c r="BO920" s="16" t="n"/>
      <c r="BP920" s="20" t="inlineStr">
        <is>
          <t>IC Kationen</t>
        </is>
      </c>
      <c r="BQ920" s="20" t="inlineStr">
        <is>
          <t>None</t>
        </is>
      </c>
      <c r="BR920" s="17" t="n"/>
      <c r="BS920" s="16" t="n"/>
      <c r="BT920" s="20" t="inlineStr">
        <is>
          <t>IC Kationen</t>
        </is>
      </c>
      <c r="BU920" s="20" t="inlineStr">
        <is>
          <t>None</t>
        </is>
      </c>
      <c r="BV920" s="17" t="n"/>
      <c r="BW920" s="16" t="n"/>
      <c r="BX920" s="20" t="n"/>
      <c r="BY920" s="20" t="inlineStr">
        <is>
          <t>None</t>
        </is>
      </c>
      <c r="BZ920" s="17" t="n"/>
      <c r="CA920" s="16" t="n"/>
      <c r="CB920" s="20" t="n"/>
      <c r="CC920" s="20" t="inlineStr">
        <is>
          <t>None</t>
        </is>
      </c>
      <c r="CD920" s="17" t="n"/>
      <c r="CE920" s="16" t="n"/>
      <c r="CF920" s="20" t="n"/>
      <c r="CG920" s="20" t="inlineStr">
        <is>
          <t>None</t>
        </is>
      </c>
      <c r="CH920" s="17" t="n"/>
      <c r="CI920" s="16" t="n"/>
      <c r="CJ920" s="20" t="n"/>
      <c r="CK920" s="20" t="inlineStr">
        <is>
          <t>None</t>
        </is>
      </c>
      <c r="CL920" s="17" t="n"/>
      <c r="CM920" s="16" t="n"/>
      <c r="CN920" s="20" t="inlineStr">
        <is>
          <t>SOP 45-34</t>
        </is>
      </c>
      <c r="CO920" s="20" t="inlineStr">
        <is>
          <t>None</t>
        </is>
      </c>
      <c r="CP920" s="17" t="n"/>
      <c r="CQ920" s="16" t="n"/>
      <c r="CR920" s="20" t="n"/>
      <c r="CS920" s="20" t="inlineStr">
        <is>
          <t>None</t>
        </is>
      </c>
      <c r="CT920" s="17" t="n"/>
      <c r="CU920" s="16" t="n"/>
      <c r="CV920" s="20" t="n"/>
      <c r="CW920" s="20" t="inlineStr">
        <is>
          <t>None</t>
        </is>
      </c>
      <c r="CX920" s="17" t="n"/>
      <c r="CY920" s="16" t="n"/>
      <c r="CZ920" s="20" t="inlineStr">
        <is>
          <t>WTW Multimeter 3430 with FDO 925</t>
        </is>
      </c>
      <c r="DA920" s="20" t="inlineStr">
        <is>
          <t>None</t>
        </is>
      </c>
      <c r="DB920" s="17" t="n"/>
      <c r="DC920" s="16" t="n"/>
      <c r="DD920" s="20" t="n"/>
      <c r="DE920" s="20" t="inlineStr">
        <is>
          <t>None</t>
        </is>
      </c>
      <c r="DF920" s="17" t="n"/>
      <c r="DG920" s="16" t="n"/>
      <c r="DH920" s="20" t="inlineStr">
        <is>
          <t>SOP 45-09</t>
        </is>
      </c>
      <c r="DI920" s="20" t="inlineStr">
        <is>
          <t>None</t>
        </is>
      </c>
      <c r="DJ920" s="17" t="n"/>
      <c r="DK920" s="16" t="n"/>
      <c r="DL920" s="20" t="inlineStr">
        <is>
          <t>SOP 45-09 (SOP muss noch angepasst werden für VSS)</t>
        </is>
      </c>
      <c r="DM920" s="20" t="inlineStr">
        <is>
          <t>None</t>
        </is>
      </c>
      <c r="DN920" s="17" t="n"/>
      <c r="DO920" s="16" t="n"/>
      <c r="DP920" s="20" t="inlineStr">
        <is>
          <t>IC Organic Acids</t>
        </is>
      </c>
      <c r="DQ920" s="20" t="inlineStr">
        <is>
          <t>None</t>
        </is>
      </c>
      <c r="DR920" s="17" t="n"/>
      <c r="DS920" s="16" t="n"/>
      <c r="DT920" s="20" t="inlineStr">
        <is>
          <t>IC Organic Acids</t>
        </is>
      </c>
      <c r="DU920" s="20" t="inlineStr">
        <is>
          <t>None</t>
        </is>
      </c>
      <c r="DV920" s="17" t="n"/>
      <c r="DW920" s="16" t="n"/>
      <c r="DX920" s="20" t="inlineStr">
        <is>
          <t>IC Organic Acids</t>
        </is>
      </c>
      <c r="DY920" s="20" t="inlineStr">
        <is>
          <t>None</t>
        </is>
      </c>
      <c r="DZ920" s="17" t="n"/>
      <c r="EA920" s="16" t="n"/>
      <c r="EB920" s="20" t="inlineStr">
        <is>
          <t>IC Organic Acids</t>
        </is>
      </c>
      <c r="EC920" s="20" t="inlineStr">
        <is>
          <t>None</t>
        </is>
      </c>
      <c r="ED920" s="17" t="n"/>
      <c r="EE920" s="16" t="n"/>
      <c r="EF920" s="20" t="inlineStr">
        <is>
          <t>IC Organic Acids</t>
        </is>
      </c>
      <c r="EG920" s="20" t="inlineStr">
        <is>
          <t>None</t>
        </is>
      </c>
      <c r="EH920" s="17" t="n"/>
      <c r="EI920" s="16" t="n"/>
      <c r="EJ920" s="20" t="inlineStr">
        <is>
          <t>IC Organic Acids</t>
        </is>
      </c>
      <c r="EK920" s="20" t="inlineStr">
        <is>
          <t>None</t>
        </is>
      </c>
      <c r="EL920" s="17" t="n"/>
      <c r="EM920" s="16" t="n"/>
      <c r="EN920" s="20" t="inlineStr">
        <is>
          <t>IC Organic Acids</t>
        </is>
      </c>
      <c r="EO920" s="20" t="inlineStr">
        <is>
          <t>None</t>
        </is>
      </c>
      <c r="EP920" s="17" t="n"/>
      <c r="EQ920" s="16" t="n"/>
      <c r="ER920" s="20" t="inlineStr">
        <is>
          <t>IC Organic Acids</t>
        </is>
      </c>
      <c r="ES920" s="20" t="inlineStr">
        <is>
          <t>None</t>
        </is>
      </c>
      <c r="ET920" s="17" t="n"/>
      <c r="EU920" s="16" t="n"/>
      <c r="EV920" s="20" t="inlineStr">
        <is>
          <t>LC-MS</t>
        </is>
      </c>
      <c r="EW920" s="20" t="inlineStr">
        <is>
          <t>None</t>
        </is>
      </c>
      <c r="EX920" s="17" t="n"/>
      <c r="EY920" s="21" t="n"/>
      <c r="EZ920">
        <f>CONCATENATE(A920,B920)</f>
        <v/>
      </c>
      <c r="FA920">
        <f>CONCATENATE(SamplesX!A920,SamplesX!B920)</f>
        <v/>
      </c>
      <c r="FC920">
        <f>MATCH(EZ920,FA1:FA1008,0)</f>
        <v/>
      </c>
    </row>
    <row r="921">
      <c r="A921" s="16" t="n"/>
      <c r="B921" s="17" t="n"/>
      <c r="C921" s="10">
        <f>IF(ISNUMBER(FC921),INDIRECT("SamplesX!C"&amp;FC921),IF(ISNUMBER(FD921),INDIRECT("SamplesY!C"&amp;FD921),""))</f>
        <v/>
      </c>
      <c r="D921" s="12">
        <f>IF(ISNUMBER(FC921),INDIRECT("SamplesX!D"&amp;FC921),IF(ISNUMBER(FD921),INDIRECT("SamplesY!D"&amp;FD921),""))</f>
        <v/>
      </c>
      <c r="E921" s="12">
        <f>IF(ISNUMBER(FC921),INDIRECT("SamplesX!E"&amp;FC921),IF(ISNUMBER(FD921),INDIRECT("SamplesY!E"&amp;FD921),""))</f>
        <v/>
      </c>
      <c r="F921" s="11">
        <f>IF(ISNUMBER(FC921),INDIRECT("SamplesX!F"&amp;FC921),IF(ISNUMBER(FD921),INDIRECT("SamplesY!F"&amp;FD921),""))</f>
        <v/>
      </c>
      <c r="G921" s="18">
        <f>IF(ISNUMBER(FC921),INDIRECT("SamplesX!G"&amp;FC921),IF(ISNUMBER(FD921),INDIRECT("SamplesY!G"&amp;FD921),""))</f>
        <v/>
      </c>
      <c r="H921" s="19">
        <f>IF(ISNUMBER(FC921),INDIRECT("SamplesX!H"&amp;FC921),IF(ISNUMBER(FD921),INDIRECT("SamplesY!H"&amp;FD921),""))</f>
        <v/>
      </c>
      <c r="I921" s="16" t="n"/>
      <c r="J921" s="16" t="n"/>
      <c r="K921" s="16" t="n"/>
      <c r="L921" s="20" t="n"/>
      <c r="M921" s="20" t="inlineStr">
        <is>
          <t>None</t>
        </is>
      </c>
      <c r="N921" s="17" t="n"/>
      <c r="O921" s="16" t="n"/>
      <c r="P921" s="20" t="inlineStr">
        <is>
          <t>Shimadzu TOC-L</t>
        </is>
      </c>
      <c r="Q921" s="20" t="inlineStr">
        <is>
          <t>None</t>
        </is>
      </c>
      <c r="R921" s="17" t="n"/>
      <c r="S921" s="16" t="n"/>
      <c r="T921" s="20" t="inlineStr">
        <is>
          <t>Shimadzu TOC-L</t>
        </is>
      </c>
      <c r="U921" s="20" t="inlineStr">
        <is>
          <t>None</t>
        </is>
      </c>
      <c r="V921" s="17" t="n"/>
      <c r="W921" s="16" t="n"/>
      <c r="X921" s="20" t="n"/>
      <c r="Y921" s="20" t="inlineStr">
        <is>
          <t>None</t>
        </is>
      </c>
      <c r="Z921" s="17" t="n"/>
      <c r="AA921" s="16" t="n"/>
      <c r="AB921" s="20" t="n"/>
      <c r="AC921" s="20" t="inlineStr">
        <is>
          <t>None</t>
        </is>
      </c>
      <c r="AD921" s="17" t="n"/>
      <c r="AE921" s="16" t="n"/>
      <c r="AF921" s="20" t="inlineStr">
        <is>
          <t>IC Anionen</t>
        </is>
      </c>
      <c r="AG921" s="20" t="inlineStr">
        <is>
          <t>None</t>
        </is>
      </c>
      <c r="AH921" s="17" t="n"/>
      <c r="AI921" s="16" t="n"/>
      <c r="AJ921" s="20" t="n"/>
      <c r="AK921" s="20" t="inlineStr">
        <is>
          <t>None</t>
        </is>
      </c>
      <c r="AL921" s="17" t="n"/>
      <c r="AM921" s="16" t="n"/>
      <c r="AN921" s="20" t="inlineStr">
        <is>
          <t>IC Anionen</t>
        </is>
      </c>
      <c r="AO921" s="20" t="inlineStr">
        <is>
          <t>None</t>
        </is>
      </c>
      <c r="AP921" s="17" t="n"/>
      <c r="AQ921" s="16" t="n"/>
      <c r="AR921" s="20" t="n"/>
      <c r="AS921" s="20" t="inlineStr">
        <is>
          <t>None</t>
        </is>
      </c>
      <c r="AT921" s="17" t="n"/>
      <c r="AU921" s="16" t="n"/>
      <c r="AV921" s="20" t="n"/>
      <c r="AW921" s="20" t="inlineStr">
        <is>
          <t>None</t>
        </is>
      </c>
      <c r="AX921" s="17" t="n"/>
      <c r="AY921" s="16" t="n"/>
      <c r="AZ921" s="20" t="inlineStr">
        <is>
          <t>IC Anionen</t>
        </is>
      </c>
      <c r="BA921" s="20" t="inlineStr">
        <is>
          <t>None</t>
        </is>
      </c>
      <c r="BB921" s="17" t="n"/>
      <c r="BC921" s="16" t="n"/>
      <c r="BD921" s="20" t="inlineStr">
        <is>
          <t>IC Kationen</t>
        </is>
      </c>
      <c r="BE921" s="20" t="inlineStr">
        <is>
          <t>None</t>
        </is>
      </c>
      <c r="BF921" s="17" t="n"/>
      <c r="BG921" s="16" t="n"/>
      <c r="BH921" s="20" t="inlineStr">
        <is>
          <t>IC Kationen</t>
        </is>
      </c>
      <c r="BI921" s="20" t="inlineStr">
        <is>
          <t>None</t>
        </is>
      </c>
      <c r="BJ921" s="17" t="n"/>
      <c r="BK921" s="16" t="n"/>
      <c r="BL921" s="20" t="inlineStr">
        <is>
          <t>IC Kationen</t>
        </is>
      </c>
      <c r="BM921" s="20" t="inlineStr">
        <is>
          <t>None</t>
        </is>
      </c>
      <c r="BN921" s="17" t="n"/>
      <c r="BO921" s="16" t="n"/>
      <c r="BP921" s="20" t="inlineStr">
        <is>
          <t>IC Kationen</t>
        </is>
      </c>
      <c r="BQ921" s="20" t="inlineStr">
        <is>
          <t>None</t>
        </is>
      </c>
      <c r="BR921" s="17" t="n"/>
      <c r="BS921" s="16" t="n"/>
      <c r="BT921" s="20" t="inlineStr">
        <is>
          <t>IC Kationen</t>
        </is>
      </c>
      <c r="BU921" s="20" t="inlineStr">
        <is>
          <t>None</t>
        </is>
      </c>
      <c r="BV921" s="17" t="n"/>
      <c r="BW921" s="16" t="n"/>
      <c r="BX921" s="20" t="n"/>
      <c r="BY921" s="20" t="inlineStr">
        <is>
          <t>None</t>
        </is>
      </c>
      <c r="BZ921" s="17" t="n"/>
      <c r="CA921" s="16" t="n"/>
      <c r="CB921" s="20" t="n"/>
      <c r="CC921" s="20" t="inlineStr">
        <is>
          <t>None</t>
        </is>
      </c>
      <c r="CD921" s="17" t="n"/>
      <c r="CE921" s="16" t="n"/>
      <c r="CF921" s="20" t="n"/>
      <c r="CG921" s="20" t="inlineStr">
        <is>
          <t>None</t>
        </is>
      </c>
      <c r="CH921" s="17" t="n"/>
      <c r="CI921" s="16" t="n"/>
      <c r="CJ921" s="20" t="n"/>
      <c r="CK921" s="20" t="inlineStr">
        <is>
          <t>None</t>
        </is>
      </c>
      <c r="CL921" s="17" t="n"/>
      <c r="CM921" s="16" t="n"/>
      <c r="CN921" s="20" t="inlineStr">
        <is>
          <t>SOP 45-34</t>
        </is>
      </c>
      <c r="CO921" s="20" t="inlineStr">
        <is>
          <t>None</t>
        </is>
      </c>
      <c r="CP921" s="17" t="n"/>
      <c r="CQ921" s="16" t="n"/>
      <c r="CR921" s="20" t="n"/>
      <c r="CS921" s="20" t="inlineStr">
        <is>
          <t>None</t>
        </is>
      </c>
      <c r="CT921" s="17" t="n"/>
      <c r="CU921" s="16" t="n"/>
      <c r="CV921" s="20" t="n"/>
      <c r="CW921" s="20" t="inlineStr">
        <is>
          <t>None</t>
        </is>
      </c>
      <c r="CX921" s="17" t="n"/>
      <c r="CY921" s="16" t="n"/>
      <c r="CZ921" s="20" t="inlineStr">
        <is>
          <t>WTW Multimeter 3430 with FDO 925</t>
        </is>
      </c>
      <c r="DA921" s="20" t="inlineStr">
        <is>
          <t>None</t>
        </is>
      </c>
      <c r="DB921" s="17" t="n"/>
      <c r="DC921" s="16" t="n"/>
      <c r="DD921" s="20" t="n"/>
      <c r="DE921" s="20" t="inlineStr">
        <is>
          <t>None</t>
        </is>
      </c>
      <c r="DF921" s="17" t="n"/>
      <c r="DG921" s="16" t="n"/>
      <c r="DH921" s="20" t="inlineStr">
        <is>
          <t>SOP 45-09</t>
        </is>
      </c>
      <c r="DI921" s="20" t="inlineStr">
        <is>
          <t>None</t>
        </is>
      </c>
      <c r="DJ921" s="17" t="n"/>
      <c r="DK921" s="16" t="n"/>
      <c r="DL921" s="20" t="inlineStr">
        <is>
          <t>SOP 45-09 (SOP muss noch angepasst werden für VSS)</t>
        </is>
      </c>
      <c r="DM921" s="20" t="inlineStr">
        <is>
          <t>None</t>
        </is>
      </c>
      <c r="DN921" s="17" t="n"/>
      <c r="DO921" s="16" t="n"/>
      <c r="DP921" s="20" t="inlineStr">
        <is>
          <t>IC Organic Acids</t>
        </is>
      </c>
      <c r="DQ921" s="20" t="inlineStr">
        <is>
          <t>None</t>
        </is>
      </c>
      <c r="DR921" s="17" t="n"/>
      <c r="DS921" s="16" t="n"/>
      <c r="DT921" s="20" t="inlineStr">
        <is>
          <t>IC Organic Acids</t>
        </is>
      </c>
      <c r="DU921" s="20" t="inlineStr">
        <is>
          <t>None</t>
        </is>
      </c>
      <c r="DV921" s="17" t="n"/>
      <c r="DW921" s="16" t="n"/>
      <c r="DX921" s="20" t="inlineStr">
        <is>
          <t>IC Organic Acids</t>
        </is>
      </c>
      <c r="DY921" s="20" t="inlineStr">
        <is>
          <t>None</t>
        </is>
      </c>
      <c r="DZ921" s="17" t="n"/>
      <c r="EA921" s="16" t="n"/>
      <c r="EB921" s="20" t="inlineStr">
        <is>
          <t>IC Organic Acids</t>
        </is>
      </c>
      <c r="EC921" s="20" t="inlineStr">
        <is>
          <t>None</t>
        </is>
      </c>
      <c r="ED921" s="17" t="n"/>
      <c r="EE921" s="16" t="n"/>
      <c r="EF921" s="20" t="inlineStr">
        <is>
          <t>IC Organic Acids</t>
        </is>
      </c>
      <c r="EG921" s="20" t="inlineStr">
        <is>
          <t>None</t>
        </is>
      </c>
      <c r="EH921" s="17" t="n"/>
      <c r="EI921" s="16" t="n"/>
      <c r="EJ921" s="20" t="inlineStr">
        <is>
          <t>IC Organic Acids</t>
        </is>
      </c>
      <c r="EK921" s="20" t="inlineStr">
        <is>
          <t>None</t>
        </is>
      </c>
      <c r="EL921" s="17" t="n"/>
      <c r="EM921" s="16" t="n"/>
      <c r="EN921" s="20" t="inlineStr">
        <is>
          <t>IC Organic Acids</t>
        </is>
      </c>
      <c r="EO921" s="20" t="inlineStr">
        <is>
          <t>None</t>
        </is>
      </c>
      <c r="EP921" s="17" t="n"/>
      <c r="EQ921" s="16" t="n"/>
      <c r="ER921" s="20" t="inlineStr">
        <is>
          <t>IC Organic Acids</t>
        </is>
      </c>
      <c r="ES921" s="20" t="inlineStr">
        <is>
          <t>None</t>
        </is>
      </c>
      <c r="ET921" s="17" t="n"/>
      <c r="EU921" s="16" t="n"/>
      <c r="EV921" s="20" t="inlineStr">
        <is>
          <t>LC-MS</t>
        </is>
      </c>
      <c r="EW921" s="20" t="inlineStr">
        <is>
          <t>None</t>
        </is>
      </c>
      <c r="EX921" s="17" t="n"/>
      <c r="EY921" s="21" t="n"/>
      <c r="EZ921">
        <f>CONCATENATE(A921,B921)</f>
        <v/>
      </c>
      <c r="FA921">
        <f>CONCATENATE(SamplesX!A921,SamplesX!B921)</f>
        <v/>
      </c>
      <c r="FC921">
        <f>MATCH(EZ921,FA1:FA1008,0)</f>
        <v/>
      </c>
    </row>
    <row r="922">
      <c r="A922" s="16" t="n"/>
      <c r="B922" s="17" t="n"/>
      <c r="C922" s="10">
        <f>IF(ISNUMBER(FC922),INDIRECT("SamplesX!C"&amp;FC922),IF(ISNUMBER(FD922),INDIRECT("SamplesY!C"&amp;FD922),""))</f>
        <v/>
      </c>
      <c r="D922" s="12">
        <f>IF(ISNUMBER(FC922),INDIRECT("SamplesX!D"&amp;FC922),IF(ISNUMBER(FD922),INDIRECT("SamplesY!D"&amp;FD922),""))</f>
        <v/>
      </c>
      <c r="E922" s="12">
        <f>IF(ISNUMBER(FC922),INDIRECT("SamplesX!E"&amp;FC922),IF(ISNUMBER(FD922),INDIRECT("SamplesY!E"&amp;FD922),""))</f>
        <v/>
      </c>
      <c r="F922" s="11">
        <f>IF(ISNUMBER(FC922),INDIRECT("SamplesX!F"&amp;FC922),IF(ISNUMBER(FD922),INDIRECT("SamplesY!F"&amp;FD922),""))</f>
        <v/>
      </c>
      <c r="G922" s="18">
        <f>IF(ISNUMBER(FC922),INDIRECT("SamplesX!G"&amp;FC922),IF(ISNUMBER(FD922),INDIRECT("SamplesY!G"&amp;FD922),""))</f>
        <v/>
      </c>
      <c r="H922" s="19">
        <f>IF(ISNUMBER(FC922),INDIRECT("SamplesX!H"&amp;FC922),IF(ISNUMBER(FD922),INDIRECT("SamplesY!H"&amp;FD922),""))</f>
        <v/>
      </c>
      <c r="I922" s="16" t="n"/>
      <c r="J922" s="16" t="n"/>
      <c r="K922" s="16" t="n"/>
      <c r="L922" s="20" t="n"/>
      <c r="M922" s="20" t="inlineStr">
        <is>
          <t>None</t>
        </is>
      </c>
      <c r="N922" s="17" t="n"/>
      <c r="O922" s="16" t="n"/>
      <c r="P922" s="20" t="inlineStr">
        <is>
          <t>Shimadzu TOC-L</t>
        </is>
      </c>
      <c r="Q922" s="20" t="inlineStr">
        <is>
          <t>None</t>
        </is>
      </c>
      <c r="R922" s="17" t="n"/>
      <c r="S922" s="16" t="n"/>
      <c r="T922" s="20" t="inlineStr">
        <is>
          <t>Shimadzu TOC-L</t>
        </is>
      </c>
      <c r="U922" s="20" t="inlineStr">
        <is>
          <t>None</t>
        </is>
      </c>
      <c r="V922" s="17" t="n"/>
      <c r="W922" s="16" t="n"/>
      <c r="X922" s="20" t="n"/>
      <c r="Y922" s="20" t="inlineStr">
        <is>
          <t>None</t>
        </is>
      </c>
      <c r="Z922" s="17" t="n"/>
      <c r="AA922" s="16" t="n"/>
      <c r="AB922" s="20" t="n"/>
      <c r="AC922" s="20" t="inlineStr">
        <is>
          <t>None</t>
        </is>
      </c>
      <c r="AD922" s="17" t="n"/>
      <c r="AE922" s="16" t="n"/>
      <c r="AF922" s="20" t="inlineStr">
        <is>
          <t>IC Anionen</t>
        </is>
      </c>
      <c r="AG922" s="20" t="inlineStr">
        <is>
          <t>None</t>
        </is>
      </c>
      <c r="AH922" s="17" t="n"/>
      <c r="AI922" s="16" t="n"/>
      <c r="AJ922" s="20" t="n"/>
      <c r="AK922" s="20" t="inlineStr">
        <is>
          <t>None</t>
        </is>
      </c>
      <c r="AL922" s="17" t="n"/>
      <c r="AM922" s="16" t="n"/>
      <c r="AN922" s="20" t="inlineStr">
        <is>
          <t>IC Anionen</t>
        </is>
      </c>
      <c r="AO922" s="20" t="inlineStr">
        <is>
          <t>None</t>
        </is>
      </c>
      <c r="AP922" s="17" t="n"/>
      <c r="AQ922" s="16" t="n"/>
      <c r="AR922" s="20" t="n"/>
      <c r="AS922" s="20" t="inlineStr">
        <is>
          <t>None</t>
        </is>
      </c>
      <c r="AT922" s="17" t="n"/>
      <c r="AU922" s="16" t="n"/>
      <c r="AV922" s="20" t="n"/>
      <c r="AW922" s="20" t="inlineStr">
        <is>
          <t>None</t>
        </is>
      </c>
      <c r="AX922" s="17" t="n"/>
      <c r="AY922" s="16" t="n"/>
      <c r="AZ922" s="20" t="inlineStr">
        <is>
          <t>IC Anionen</t>
        </is>
      </c>
      <c r="BA922" s="20" t="inlineStr">
        <is>
          <t>None</t>
        </is>
      </c>
      <c r="BB922" s="17" t="n"/>
      <c r="BC922" s="16" t="n"/>
      <c r="BD922" s="20" t="inlineStr">
        <is>
          <t>IC Kationen</t>
        </is>
      </c>
      <c r="BE922" s="20" t="inlineStr">
        <is>
          <t>None</t>
        </is>
      </c>
      <c r="BF922" s="17" t="n"/>
      <c r="BG922" s="16" t="n"/>
      <c r="BH922" s="20" t="inlineStr">
        <is>
          <t>IC Kationen</t>
        </is>
      </c>
      <c r="BI922" s="20" t="inlineStr">
        <is>
          <t>None</t>
        </is>
      </c>
      <c r="BJ922" s="17" t="n"/>
      <c r="BK922" s="16" t="n"/>
      <c r="BL922" s="20" t="inlineStr">
        <is>
          <t>IC Kationen</t>
        </is>
      </c>
      <c r="BM922" s="20" t="inlineStr">
        <is>
          <t>None</t>
        </is>
      </c>
      <c r="BN922" s="17" t="n"/>
      <c r="BO922" s="16" t="n"/>
      <c r="BP922" s="20" t="inlineStr">
        <is>
          <t>IC Kationen</t>
        </is>
      </c>
      <c r="BQ922" s="20" t="inlineStr">
        <is>
          <t>None</t>
        </is>
      </c>
      <c r="BR922" s="17" t="n"/>
      <c r="BS922" s="16" t="n"/>
      <c r="BT922" s="20" t="inlineStr">
        <is>
          <t>IC Kationen</t>
        </is>
      </c>
      <c r="BU922" s="20" t="inlineStr">
        <is>
          <t>None</t>
        </is>
      </c>
      <c r="BV922" s="17" t="n"/>
      <c r="BW922" s="16" t="n"/>
      <c r="BX922" s="20" t="n"/>
      <c r="BY922" s="20" t="inlineStr">
        <is>
          <t>None</t>
        </is>
      </c>
      <c r="BZ922" s="17" t="n"/>
      <c r="CA922" s="16" t="n"/>
      <c r="CB922" s="20" t="n"/>
      <c r="CC922" s="20" t="inlineStr">
        <is>
          <t>None</t>
        </is>
      </c>
      <c r="CD922" s="17" t="n"/>
      <c r="CE922" s="16" t="n"/>
      <c r="CF922" s="20" t="n"/>
      <c r="CG922" s="20" t="inlineStr">
        <is>
          <t>None</t>
        </is>
      </c>
      <c r="CH922" s="17" t="n"/>
      <c r="CI922" s="16" t="n"/>
      <c r="CJ922" s="20" t="n"/>
      <c r="CK922" s="20" t="inlineStr">
        <is>
          <t>None</t>
        </is>
      </c>
      <c r="CL922" s="17" t="n"/>
      <c r="CM922" s="16" t="n"/>
      <c r="CN922" s="20" t="inlineStr">
        <is>
          <t>SOP 45-34</t>
        </is>
      </c>
      <c r="CO922" s="20" t="inlineStr">
        <is>
          <t>None</t>
        </is>
      </c>
      <c r="CP922" s="17" t="n"/>
      <c r="CQ922" s="16" t="n"/>
      <c r="CR922" s="20" t="n"/>
      <c r="CS922" s="20" t="inlineStr">
        <is>
          <t>None</t>
        </is>
      </c>
      <c r="CT922" s="17" t="n"/>
      <c r="CU922" s="16" t="n"/>
      <c r="CV922" s="20" t="n"/>
      <c r="CW922" s="20" t="inlineStr">
        <is>
          <t>None</t>
        </is>
      </c>
      <c r="CX922" s="17" t="n"/>
      <c r="CY922" s="16" t="n"/>
      <c r="CZ922" s="20" t="inlineStr">
        <is>
          <t>WTW Multimeter 3430 with FDO 925</t>
        </is>
      </c>
      <c r="DA922" s="20" t="inlineStr">
        <is>
          <t>None</t>
        </is>
      </c>
      <c r="DB922" s="17" t="n"/>
      <c r="DC922" s="16" t="n"/>
      <c r="DD922" s="20" t="n"/>
      <c r="DE922" s="20" t="inlineStr">
        <is>
          <t>None</t>
        </is>
      </c>
      <c r="DF922" s="17" t="n"/>
      <c r="DG922" s="16" t="n"/>
      <c r="DH922" s="20" t="inlineStr">
        <is>
          <t>SOP 45-09</t>
        </is>
      </c>
      <c r="DI922" s="20" t="inlineStr">
        <is>
          <t>None</t>
        </is>
      </c>
      <c r="DJ922" s="17" t="n"/>
      <c r="DK922" s="16" t="n"/>
      <c r="DL922" s="20" t="inlineStr">
        <is>
          <t>SOP 45-09 (SOP muss noch angepasst werden für VSS)</t>
        </is>
      </c>
      <c r="DM922" s="20" t="inlineStr">
        <is>
          <t>None</t>
        </is>
      </c>
      <c r="DN922" s="17" t="n"/>
      <c r="DO922" s="16" t="n"/>
      <c r="DP922" s="20" t="inlineStr">
        <is>
          <t>IC Organic Acids</t>
        </is>
      </c>
      <c r="DQ922" s="20" t="inlineStr">
        <is>
          <t>None</t>
        </is>
      </c>
      <c r="DR922" s="17" t="n"/>
      <c r="DS922" s="16" t="n"/>
      <c r="DT922" s="20" t="inlineStr">
        <is>
          <t>IC Organic Acids</t>
        </is>
      </c>
      <c r="DU922" s="20" t="inlineStr">
        <is>
          <t>None</t>
        </is>
      </c>
      <c r="DV922" s="17" t="n"/>
      <c r="DW922" s="16" t="n"/>
      <c r="DX922" s="20" t="inlineStr">
        <is>
          <t>IC Organic Acids</t>
        </is>
      </c>
      <c r="DY922" s="20" t="inlineStr">
        <is>
          <t>None</t>
        </is>
      </c>
      <c r="DZ922" s="17" t="n"/>
      <c r="EA922" s="16" t="n"/>
      <c r="EB922" s="20" t="inlineStr">
        <is>
          <t>IC Organic Acids</t>
        </is>
      </c>
      <c r="EC922" s="20" t="inlineStr">
        <is>
          <t>None</t>
        </is>
      </c>
      <c r="ED922" s="17" t="n"/>
      <c r="EE922" s="16" t="n"/>
      <c r="EF922" s="20" t="inlineStr">
        <is>
          <t>IC Organic Acids</t>
        </is>
      </c>
      <c r="EG922" s="20" t="inlineStr">
        <is>
          <t>None</t>
        </is>
      </c>
      <c r="EH922" s="17" t="n"/>
      <c r="EI922" s="16" t="n"/>
      <c r="EJ922" s="20" t="inlineStr">
        <is>
          <t>IC Organic Acids</t>
        </is>
      </c>
      <c r="EK922" s="20" t="inlineStr">
        <is>
          <t>None</t>
        </is>
      </c>
      <c r="EL922" s="17" t="n"/>
      <c r="EM922" s="16" t="n"/>
      <c r="EN922" s="20" t="inlineStr">
        <is>
          <t>IC Organic Acids</t>
        </is>
      </c>
      <c r="EO922" s="20" t="inlineStr">
        <is>
          <t>None</t>
        </is>
      </c>
      <c r="EP922" s="17" t="n"/>
      <c r="EQ922" s="16" t="n"/>
      <c r="ER922" s="20" t="inlineStr">
        <is>
          <t>IC Organic Acids</t>
        </is>
      </c>
      <c r="ES922" s="20" t="inlineStr">
        <is>
          <t>None</t>
        </is>
      </c>
      <c r="ET922" s="17" t="n"/>
      <c r="EU922" s="16" t="n"/>
      <c r="EV922" s="20" t="inlineStr">
        <is>
          <t>LC-MS</t>
        </is>
      </c>
      <c r="EW922" s="20" t="inlineStr">
        <is>
          <t>None</t>
        </is>
      </c>
      <c r="EX922" s="17" t="n"/>
      <c r="EY922" s="21" t="n"/>
      <c r="EZ922">
        <f>CONCATENATE(A922,B922)</f>
        <v/>
      </c>
      <c r="FA922">
        <f>CONCATENATE(SamplesX!A922,SamplesX!B922)</f>
        <v/>
      </c>
      <c r="FC922">
        <f>MATCH(EZ922,FA1:FA1008,0)</f>
        <v/>
      </c>
    </row>
    <row r="923">
      <c r="A923" s="16" t="n"/>
      <c r="B923" s="17" t="n"/>
      <c r="C923" s="10">
        <f>IF(ISNUMBER(FC923),INDIRECT("SamplesX!C"&amp;FC923),IF(ISNUMBER(FD923),INDIRECT("SamplesY!C"&amp;FD923),""))</f>
        <v/>
      </c>
      <c r="D923" s="12">
        <f>IF(ISNUMBER(FC923),INDIRECT("SamplesX!D"&amp;FC923),IF(ISNUMBER(FD923),INDIRECT("SamplesY!D"&amp;FD923),""))</f>
        <v/>
      </c>
      <c r="E923" s="12">
        <f>IF(ISNUMBER(FC923),INDIRECT("SamplesX!E"&amp;FC923),IF(ISNUMBER(FD923),INDIRECT("SamplesY!E"&amp;FD923),""))</f>
        <v/>
      </c>
      <c r="F923" s="11">
        <f>IF(ISNUMBER(FC923),INDIRECT("SamplesX!F"&amp;FC923),IF(ISNUMBER(FD923),INDIRECT("SamplesY!F"&amp;FD923),""))</f>
        <v/>
      </c>
      <c r="G923" s="18">
        <f>IF(ISNUMBER(FC923),INDIRECT("SamplesX!G"&amp;FC923),IF(ISNUMBER(FD923),INDIRECT("SamplesY!G"&amp;FD923),""))</f>
        <v/>
      </c>
      <c r="H923" s="19">
        <f>IF(ISNUMBER(FC923),INDIRECT("SamplesX!H"&amp;FC923),IF(ISNUMBER(FD923),INDIRECT("SamplesY!H"&amp;FD923),""))</f>
        <v/>
      </c>
      <c r="I923" s="16" t="n"/>
      <c r="J923" s="16" t="n"/>
      <c r="K923" s="16" t="n"/>
      <c r="L923" s="20" t="n"/>
      <c r="M923" s="20" t="inlineStr">
        <is>
          <t>None</t>
        </is>
      </c>
      <c r="N923" s="17" t="n"/>
      <c r="O923" s="16" t="n"/>
      <c r="P923" s="20" t="inlineStr">
        <is>
          <t>Shimadzu TOC-L</t>
        </is>
      </c>
      <c r="Q923" s="20" t="inlineStr">
        <is>
          <t>None</t>
        </is>
      </c>
      <c r="R923" s="17" t="n"/>
      <c r="S923" s="16" t="n"/>
      <c r="T923" s="20" t="inlineStr">
        <is>
          <t>Shimadzu TOC-L</t>
        </is>
      </c>
      <c r="U923" s="20" t="inlineStr">
        <is>
          <t>None</t>
        </is>
      </c>
      <c r="V923" s="17" t="n"/>
      <c r="W923" s="16" t="n"/>
      <c r="X923" s="20" t="n"/>
      <c r="Y923" s="20" t="inlineStr">
        <is>
          <t>None</t>
        </is>
      </c>
      <c r="Z923" s="17" t="n"/>
      <c r="AA923" s="16" t="n"/>
      <c r="AB923" s="20" t="n"/>
      <c r="AC923" s="20" t="inlineStr">
        <is>
          <t>None</t>
        </is>
      </c>
      <c r="AD923" s="17" t="n"/>
      <c r="AE923" s="16" t="n"/>
      <c r="AF923" s="20" t="inlineStr">
        <is>
          <t>IC Anionen</t>
        </is>
      </c>
      <c r="AG923" s="20" t="inlineStr">
        <is>
          <t>None</t>
        </is>
      </c>
      <c r="AH923" s="17" t="n"/>
      <c r="AI923" s="16" t="n"/>
      <c r="AJ923" s="20" t="n"/>
      <c r="AK923" s="20" t="inlineStr">
        <is>
          <t>None</t>
        </is>
      </c>
      <c r="AL923" s="17" t="n"/>
      <c r="AM923" s="16" t="n"/>
      <c r="AN923" s="20" t="inlineStr">
        <is>
          <t>IC Anionen</t>
        </is>
      </c>
      <c r="AO923" s="20" t="inlineStr">
        <is>
          <t>None</t>
        </is>
      </c>
      <c r="AP923" s="17" t="n"/>
      <c r="AQ923" s="16" t="n"/>
      <c r="AR923" s="20" t="n"/>
      <c r="AS923" s="20" t="inlineStr">
        <is>
          <t>None</t>
        </is>
      </c>
      <c r="AT923" s="17" t="n"/>
      <c r="AU923" s="16" t="n"/>
      <c r="AV923" s="20" t="n"/>
      <c r="AW923" s="20" t="inlineStr">
        <is>
          <t>None</t>
        </is>
      </c>
      <c r="AX923" s="17" t="n"/>
      <c r="AY923" s="16" t="n"/>
      <c r="AZ923" s="20" t="inlineStr">
        <is>
          <t>IC Anionen</t>
        </is>
      </c>
      <c r="BA923" s="20" t="inlineStr">
        <is>
          <t>None</t>
        </is>
      </c>
      <c r="BB923" s="17" t="n"/>
      <c r="BC923" s="16" t="n"/>
      <c r="BD923" s="20" t="inlineStr">
        <is>
          <t>IC Kationen</t>
        </is>
      </c>
      <c r="BE923" s="20" t="inlineStr">
        <is>
          <t>None</t>
        </is>
      </c>
      <c r="BF923" s="17" t="n"/>
      <c r="BG923" s="16" t="n"/>
      <c r="BH923" s="20" t="inlineStr">
        <is>
          <t>IC Kationen</t>
        </is>
      </c>
      <c r="BI923" s="20" t="inlineStr">
        <is>
          <t>None</t>
        </is>
      </c>
      <c r="BJ923" s="17" t="n"/>
      <c r="BK923" s="16" t="n"/>
      <c r="BL923" s="20" t="inlineStr">
        <is>
          <t>IC Kationen</t>
        </is>
      </c>
      <c r="BM923" s="20" t="inlineStr">
        <is>
          <t>None</t>
        </is>
      </c>
      <c r="BN923" s="17" t="n"/>
      <c r="BO923" s="16" t="n"/>
      <c r="BP923" s="20" t="inlineStr">
        <is>
          <t>IC Kationen</t>
        </is>
      </c>
      <c r="BQ923" s="20" t="inlineStr">
        <is>
          <t>None</t>
        </is>
      </c>
      <c r="BR923" s="17" t="n"/>
      <c r="BS923" s="16" t="n"/>
      <c r="BT923" s="20" t="inlineStr">
        <is>
          <t>IC Kationen</t>
        </is>
      </c>
      <c r="BU923" s="20" t="inlineStr">
        <is>
          <t>None</t>
        </is>
      </c>
      <c r="BV923" s="17" t="n"/>
      <c r="BW923" s="16" t="n"/>
      <c r="BX923" s="20" t="n"/>
      <c r="BY923" s="20" t="inlineStr">
        <is>
          <t>None</t>
        </is>
      </c>
      <c r="BZ923" s="17" t="n"/>
      <c r="CA923" s="16" t="n"/>
      <c r="CB923" s="20" t="n"/>
      <c r="CC923" s="20" t="inlineStr">
        <is>
          <t>None</t>
        </is>
      </c>
      <c r="CD923" s="17" t="n"/>
      <c r="CE923" s="16" t="n"/>
      <c r="CF923" s="20" t="n"/>
      <c r="CG923" s="20" t="inlineStr">
        <is>
          <t>None</t>
        </is>
      </c>
      <c r="CH923" s="17" t="n"/>
      <c r="CI923" s="16" t="n"/>
      <c r="CJ923" s="20" t="n"/>
      <c r="CK923" s="20" t="inlineStr">
        <is>
          <t>None</t>
        </is>
      </c>
      <c r="CL923" s="17" t="n"/>
      <c r="CM923" s="16" t="n"/>
      <c r="CN923" s="20" t="inlineStr">
        <is>
          <t>SOP 45-34</t>
        </is>
      </c>
      <c r="CO923" s="20" t="inlineStr">
        <is>
          <t>None</t>
        </is>
      </c>
      <c r="CP923" s="17" t="n"/>
      <c r="CQ923" s="16" t="n"/>
      <c r="CR923" s="20" t="n"/>
      <c r="CS923" s="20" t="inlineStr">
        <is>
          <t>None</t>
        </is>
      </c>
      <c r="CT923" s="17" t="n"/>
      <c r="CU923" s="16" t="n"/>
      <c r="CV923" s="20" t="n"/>
      <c r="CW923" s="20" t="inlineStr">
        <is>
          <t>None</t>
        </is>
      </c>
      <c r="CX923" s="17" t="n"/>
      <c r="CY923" s="16" t="n"/>
      <c r="CZ923" s="20" t="inlineStr">
        <is>
          <t>WTW Multimeter 3430 with FDO 925</t>
        </is>
      </c>
      <c r="DA923" s="20" t="inlineStr">
        <is>
          <t>None</t>
        </is>
      </c>
      <c r="DB923" s="17" t="n"/>
      <c r="DC923" s="16" t="n"/>
      <c r="DD923" s="20" t="n"/>
      <c r="DE923" s="20" t="inlineStr">
        <is>
          <t>None</t>
        </is>
      </c>
      <c r="DF923" s="17" t="n"/>
      <c r="DG923" s="16" t="n"/>
      <c r="DH923" s="20" t="inlineStr">
        <is>
          <t>SOP 45-09</t>
        </is>
      </c>
      <c r="DI923" s="20" t="inlineStr">
        <is>
          <t>None</t>
        </is>
      </c>
      <c r="DJ923" s="17" t="n"/>
      <c r="DK923" s="16" t="n"/>
      <c r="DL923" s="20" t="inlineStr">
        <is>
          <t>SOP 45-09 (SOP muss noch angepasst werden für VSS)</t>
        </is>
      </c>
      <c r="DM923" s="20" t="inlineStr">
        <is>
          <t>None</t>
        </is>
      </c>
      <c r="DN923" s="17" t="n"/>
      <c r="DO923" s="16" t="n"/>
      <c r="DP923" s="20" t="inlineStr">
        <is>
          <t>IC Organic Acids</t>
        </is>
      </c>
      <c r="DQ923" s="20" t="inlineStr">
        <is>
          <t>None</t>
        </is>
      </c>
      <c r="DR923" s="17" t="n"/>
      <c r="DS923" s="16" t="n"/>
      <c r="DT923" s="20" t="inlineStr">
        <is>
          <t>IC Organic Acids</t>
        </is>
      </c>
      <c r="DU923" s="20" t="inlineStr">
        <is>
          <t>None</t>
        </is>
      </c>
      <c r="DV923" s="17" t="n"/>
      <c r="DW923" s="16" t="n"/>
      <c r="DX923" s="20" t="inlineStr">
        <is>
          <t>IC Organic Acids</t>
        </is>
      </c>
      <c r="DY923" s="20" t="inlineStr">
        <is>
          <t>None</t>
        </is>
      </c>
      <c r="DZ923" s="17" t="n"/>
      <c r="EA923" s="16" t="n"/>
      <c r="EB923" s="20" t="inlineStr">
        <is>
          <t>IC Organic Acids</t>
        </is>
      </c>
      <c r="EC923" s="20" t="inlineStr">
        <is>
          <t>None</t>
        </is>
      </c>
      <c r="ED923" s="17" t="n"/>
      <c r="EE923" s="16" t="n"/>
      <c r="EF923" s="20" t="inlineStr">
        <is>
          <t>IC Organic Acids</t>
        </is>
      </c>
      <c r="EG923" s="20" t="inlineStr">
        <is>
          <t>None</t>
        </is>
      </c>
      <c r="EH923" s="17" t="n"/>
      <c r="EI923" s="16" t="n"/>
      <c r="EJ923" s="20" t="inlineStr">
        <is>
          <t>IC Organic Acids</t>
        </is>
      </c>
      <c r="EK923" s="20" t="inlineStr">
        <is>
          <t>None</t>
        </is>
      </c>
      <c r="EL923" s="17" t="n"/>
      <c r="EM923" s="16" t="n"/>
      <c r="EN923" s="20" t="inlineStr">
        <is>
          <t>IC Organic Acids</t>
        </is>
      </c>
      <c r="EO923" s="20" t="inlineStr">
        <is>
          <t>None</t>
        </is>
      </c>
      <c r="EP923" s="17" t="n"/>
      <c r="EQ923" s="16" t="n"/>
      <c r="ER923" s="20" t="inlineStr">
        <is>
          <t>IC Organic Acids</t>
        </is>
      </c>
      <c r="ES923" s="20" t="inlineStr">
        <is>
          <t>None</t>
        </is>
      </c>
      <c r="ET923" s="17" t="n"/>
      <c r="EU923" s="16" t="n"/>
      <c r="EV923" s="20" t="inlineStr">
        <is>
          <t>LC-MS</t>
        </is>
      </c>
      <c r="EW923" s="20" t="inlineStr">
        <is>
          <t>None</t>
        </is>
      </c>
      <c r="EX923" s="17" t="n"/>
      <c r="EY923" s="21" t="n"/>
      <c r="EZ923">
        <f>CONCATENATE(A923,B923)</f>
        <v/>
      </c>
      <c r="FA923">
        <f>CONCATENATE(SamplesX!A923,SamplesX!B923)</f>
        <v/>
      </c>
      <c r="FC923">
        <f>MATCH(EZ923,FA1:FA1008,0)</f>
        <v/>
      </c>
    </row>
    <row r="924">
      <c r="A924" s="16" t="n"/>
      <c r="B924" s="17" t="n"/>
      <c r="C924" s="10">
        <f>IF(ISNUMBER(FC924),INDIRECT("SamplesX!C"&amp;FC924),IF(ISNUMBER(FD924),INDIRECT("SamplesY!C"&amp;FD924),""))</f>
        <v/>
      </c>
      <c r="D924" s="12">
        <f>IF(ISNUMBER(FC924),INDIRECT("SamplesX!D"&amp;FC924),IF(ISNUMBER(FD924),INDIRECT("SamplesY!D"&amp;FD924),""))</f>
        <v/>
      </c>
      <c r="E924" s="12">
        <f>IF(ISNUMBER(FC924),INDIRECT("SamplesX!E"&amp;FC924),IF(ISNUMBER(FD924),INDIRECT("SamplesY!E"&amp;FD924),""))</f>
        <v/>
      </c>
      <c r="F924" s="11">
        <f>IF(ISNUMBER(FC924),INDIRECT("SamplesX!F"&amp;FC924),IF(ISNUMBER(FD924),INDIRECT("SamplesY!F"&amp;FD924),""))</f>
        <v/>
      </c>
      <c r="G924" s="18">
        <f>IF(ISNUMBER(FC924),INDIRECT("SamplesX!G"&amp;FC924),IF(ISNUMBER(FD924),INDIRECT("SamplesY!G"&amp;FD924),""))</f>
        <v/>
      </c>
      <c r="H924" s="19">
        <f>IF(ISNUMBER(FC924),INDIRECT("SamplesX!H"&amp;FC924),IF(ISNUMBER(FD924),INDIRECT("SamplesY!H"&amp;FD924),""))</f>
        <v/>
      </c>
      <c r="I924" s="16" t="n"/>
      <c r="J924" s="16" t="n"/>
      <c r="K924" s="16" t="n"/>
      <c r="L924" s="20" t="n"/>
      <c r="M924" s="20" t="inlineStr">
        <is>
          <t>None</t>
        </is>
      </c>
      <c r="N924" s="17" t="n"/>
      <c r="O924" s="16" t="n"/>
      <c r="P924" s="20" t="inlineStr">
        <is>
          <t>Shimadzu TOC-L</t>
        </is>
      </c>
      <c r="Q924" s="20" t="inlineStr">
        <is>
          <t>None</t>
        </is>
      </c>
      <c r="R924" s="17" t="n"/>
      <c r="S924" s="16" t="n"/>
      <c r="T924" s="20" t="inlineStr">
        <is>
          <t>Shimadzu TOC-L</t>
        </is>
      </c>
      <c r="U924" s="20" t="inlineStr">
        <is>
          <t>None</t>
        </is>
      </c>
      <c r="V924" s="17" t="n"/>
      <c r="W924" s="16" t="n"/>
      <c r="X924" s="20" t="n"/>
      <c r="Y924" s="20" t="inlineStr">
        <is>
          <t>None</t>
        </is>
      </c>
      <c r="Z924" s="17" t="n"/>
      <c r="AA924" s="16" t="n"/>
      <c r="AB924" s="20" t="n"/>
      <c r="AC924" s="20" t="inlineStr">
        <is>
          <t>None</t>
        </is>
      </c>
      <c r="AD924" s="17" t="n"/>
      <c r="AE924" s="16" t="n"/>
      <c r="AF924" s="20" t="inlineStr">
        <is>
          <t>IC Anionen</t>
        </is>
      </c>
      <c r="AG924" s="20" t="inlineStr">
        <is>
          <t>None</t>
        </is>
      </c>
      <c r="AH924" s="17" t="n"/>
      <c r="AI924" s="16" t="n"/>
      <c r="AJ924" s="20" t="n"/>
      <c r="AK924" s="20" t="inlineStr">
        <is>
          <t>None</t>
        </is>
      </c>
      <c r="AL924" s="17" t="n"/>
      <c r="AM924" s="16" t="n"/>
      <c r="AN924" s="20" t="inlineStr">
        <is>
          <t>IC Anionen</t>
        </is>
      </c>
      <c r="AO924" s="20" t="inlineStr">
        <is>
          <t>None</t>
        </is>
      </c>
      <c r="AP924" s="17" t="n"/>
      <c r="AQ924" s="16" t="n"/>
      <c r="AR924" s="20" t="n"/>
      <c r="AS924" s="20" t="inlineStr">
        <is>
          <t>None</t>
        </is>
      </c>
      <c r="AT924" s="17" t="n"/>
      <c r="AU924" s="16" t="n"/>
      <c r="AV924" s="20" t="n"/>
      <c r="AW924" s="20" t="inlineStr">
        <is>
          <t>None</t>
        </is>
      </c>
      <c r="AX924" s="17" t="n"/>
      <c r="AY924" s="16" t="n"/>
      <c r="AZ924" s="20" t="inlineStr">
        <is>
          <t>IC Anionen</t>
        </is>
      </c>
      <c r="BA924" s="20" t="inlineStr">
        <is>
          <t>None</t>
        </is>
      </c>
      <c r="BB924" s="17" t="n"/>
      <c r="BC924" s="16" t="n"/>
      <c r="BD924" s="20" t="inlineStr">
        <is>
          <t>IC Kationen</t>
        </is>
      </c>
      <c r="BE924" s="20" t="inlineStr">
        <is>
          <t>None</t>
        </is>
      </c>
      <c r="BF924" s="17" t="n"/>
      <c r="BG924" s="16" t="n"/>
      <c r="BH924" s="20" t="inlineStr">
        <is>
          <t>IC Kationen</t>
        </is>
      </c>
      <c r="BI924" s="20" t="inlineStr">
        <is>
          <t>None</t>
        </is>
      </c>
      <c r="BJ924" s="17" t="n"/>
      <c r="BK924" s="16" t="n"/>
      <c r="BL924" s="20" t="inlineStr">
        <is>
          <t>IC Kationen</t>
        </is>
      </c>
      <c r="BM924" s="20" t="inlineStr">
        <is>
          <t>None</t>
        </is>
      </c>
      <c r="BN924" s="17" t="n"/>
      <c r="BO924" s="16" t="n"/>
      <c r="BP924" s="20" t="inlineStr">
        <is>
          <t>IC Kationen</t>
        </is>
      </c>
      <c r="BQ924" s="20" t="inlineStr">
        <is>
          <t>None</t>
        </is>
      </c>
      <c r="BR924" s="17" t="n"/>
      <c r="BS924" s="16" t="n"/>
      <c r="BT924" s="20" t="inlineStr">
        <is>
          <t>IC Kationen</t>
        </is>
      </c>
      <c r="BU924" s="20" t="inlineStr">
        <is>
          <t>None</t>
        </is>
      </c>
      <c r="BV924" s="17" t="n"/>
      <c r="BW924" s="16" t="n"/>
      <c r="BX924" s="20" t="n"/>
      <c r="BY924" s="20" t="inlineStr">
        <is>
          <t>None</t>
        </is>
      </c>
      <c r="BZ924" s="17" t="n"/>
      <c r="CA924" s="16" t="n"/>
      <c r="CB924" s="20" t="n"/>
      <c r="CC924" s="20" t="inlineStr">
        <is>
          <t>None</t>
        </is>
      </c>
      <c r="CD924" s="17" t="n"/>
      <c r="CE924" s="16" t="n"/>
      <c r="CF924" s="20" t="n"/>
      <c r="CG924" s="20" t="inlineStr">
        <is>
          <t>None</t>
        </is>
      </c>
      <c r="CH924" s="17" t="n"/>
      <c r="CI924" s="16" t="n"/>
      <c r="CJ924" s="20" t="n"/>
      <c r="CK924" s="20" t="inlineStr">
        <is>
          <t>None</t>
        </is>
      </c>
      <c r="CL924" s="17" t="n"/>
      <c r="CM924" s="16" t="n"/>
      <c r="CN924" s="20" t="inlineStr">
        <is>
          <t>SOP 45-34</t>
        </is>
      </c>
      <c r="CO924" s="20" t="inlineStr">
        <is>
          <t>None</t>
        </is>
      </c>
      <c r="CP924" s="17" t="n"/>
      <c r="CQ924" s="16" t="n"/>
      <c r="CR924" s="20" t="n"/>
      <c r="CS924" s="20" t="inlineStr">
        <is>
          <t>None</t>
        </is>
      </c>
      <c r="CT924" s="17" t="n"/>
      <c r="CU924" s="16" t="n"/>
      <c r="CV924" s="20" t="n"/>
      <c r="CW924" s="20" t="inlineStr">
        <is>
          <t>None</t>
        </is>
      </c>
      <c r="CX924" s="17" t="n"/>
      <c r="CY924" s="16" t="n"/>
      <c r="CZ924" s="20" t="inlineStr">
        <is>
          <t>WTW Multimeter 3430 with FDO 925</t>
        </is>
      </c>
      <c r="DA924" s="20" t="inlineStr">
        <is>
          <t>None</t>
        </is>
      </c>
      <c r="DB924" s="17" t="n"/>
      <c r="DC924" s="16" t="n"/>
      <c r="DD924" s="20" t="n"/>
      <c r="DE924" s="20" t="inlineStr">
        <is>
          <t>None</t>
        </is>
      </c>
      <c r="DF924" s="17" t="n"/>
      <c r="DG924" s="16" t="n"/>
      <c r="DH924" s="20" t="inlineStr">
        <is>
          <t>SOP 45-09</t>
        </is>
      </c>
      <c r="DI924" s="20" t="inlineStr">
        <is>
          <t>None</t>
        </is>
      </c>
      <c r="DJ924" s="17" t="n"/>
      <c r="DK924" s="16" t="n"/>
      <c r="DL924" s="20" t="inlineStr">
        <is>
          <t>SOP 45-09 (SOP muss noch angepasst werden für VSS)</t>
        </is>
      </c>
      <c r="DM924" s="20" t="inlineStr">
        <is>
          <t>None</t>
        </is>
      </c>
      <c r="DN924" s="17" t="n"/>
      <c r="DO924" s="16" t="n"/>
      <c r="DP924" s="20" t="inlineStr">
        <is>
          <t>IC Organic Acids</t>
        </is>
      </c>
      <c r="DQ924" s="20" t="inlineStr">
        <is>
          <t>None</t>
        </is>
      </c>
      <c r="DR924" s="17" t="n"/>
      <c r="DS924" s="16" t="n"/>
      <c r="DT924" s="20" t="inlineStr">
        <is>
          <t>IC Organic Acids</t>
        </is>
      </c>
      <c r="DU924" s="20" t="inlineStr">
        <is>
          <t>None</t>
        </is>
      </c>
      <c r="DV924" s="17" t="n"/>
      <c r="DW924" s="16" t="n"/>
      <c r="DX924" s="20" t="inlineStr">
        <is>
          <t>IC Organic Acids</t>
        </is>
      </c>
      <c r="DY924" s="20" t="inlineStr">
        <is>
          <t>None</t>
        </is>
      </c>
      <c r="DZ924" s="17" t="n"/>
      <c r="EA924" s="16" t="n"/>
      <c r="EB924" s="20" t="inlineStr">
        <is>
          <t>IC Organic Acids</t>
        </is>
      </c>
      <c r="EC924" s="20" t="inlineStr">
        <is>
          <t>None</t>
        </is>
      </c>
      <c r="ED924" s="17" t="n"/>
      <c r="EE924" s="16" t="n"/>
      <c r="EF924" s="20" t="inlineStr">
        <is>
          <t>IC Organic Acids</t>
        </is>
      </c>
      <c r="EG924" s="20" t="inlineStr">
        <is>
          <t>None</t>
        </is>
      </c>
      <c r="EH924" s="17" t="n"/>
      <c r="EI924" s="16" t="n"/>
      <c r="EJ924" s="20" t="inlineStr">
        <is>
          <t>IC Organic Acids</t>
        </is>
      </c>
      <c r="EK924" s="20" t="inlineStr">
        <is>
          <t>None</t>
        </is>
      </c>
      <c r="EL924" s="17" t="n"/>
      <c r="EM924" s="16" t="n"/>
      <c r="EN924" s="20" t="inlineStr">
        <is>
          <t>IC Organic Acids</t>
        </is>
      </c>
      <c r="EO924" s="20" t="inlineStr">
        <is>
          <t>None</t>
        </is>
      </c>
      <c r="EP924" s="17" t="n"/>
      <c r="EQ924" s="16" t="n"/>
      <c r="ER924" s="20" t="inlineStr">
        <is>
          <t>IC Organic Acids</t>
        </is>
      </c>
      <c r="ES924" s="20" t="inlineStr">
        <is>
          <t>None</t>
        </is>
      </c>
      <c r="ET924" s="17" t="n"/>
      <c r="EU924" s="16" t="n"/>
      <c r="EV924" s="20" t="inlineStr">
        <is>
          <t>LC-MS</t>
        </is>
      </c>
      <c r="EW924" s="20" t="inlineStr">
        <is>
          <t>None</t>
        </is>
      </c>
      <c r="EX924" s="17" t="n"/>
      <c r="EY924" s="21" t="n"/>
      <c r="EZ924">
        <f>CONCATENATE(A924,B924)</f>
        <v/>
      </c>
      <c r="FA924">
        <f>CONCATENATE(SamplesX!A924,SamplesX!B924)</f>
        <v/>
      </c>
      <c r="FC924">
        <f>MATCH(EZ924,FA1:FA1008,0)</f>
        <v/>
      </c>
    </row>
    <row r="925">
      <c r="A925" s="16" t="n"/>
      <c r="B925" s="17" t="n"/>
      <c r="C925" s="10">
        <f>IF(ISNUMBER(FC925),INDIRECT("SamplesX!C"&amp;FC925),IF(ISNUMBER(FD925),INDIRECT("SamplesY!C"&amp;FD925),""))</f>
        <v/>
      </c>
      <c r="D925" s="12">
        <f>IF(ISNUMBER(FC925),INDIRECT("SamplesX!D"&amp;FC925),IF(ISNUMBER(FD925),INDIRECT("SamplesY!D"&amp;FD925),""))</f>
        <v/>
      </c>
      <c r="E925" s="12">
        <f>IF(ISNUMBER(FC925),INDIRECT("SamplesX!E"&amp;FC925),IF(ISNUMBER(FD925),INDIRECT("SamplesY!E"&amp;FD925),""))</f>
        <v/>
      </c>
      <c r="F925" s="11">
        <f>IF(ISNUMBER(FC925),INDIRECT("SamplesX!F"&amp;FC925),IF(ISNUMBER(FD925),INDIRECT("SamplesY!F"&amp;FD925),""))</f>
        <v/>
      </c>
      <c r="G925" s="18">
        <f>IF(ISNUMBER(FC925),INDIRECT("SamplesX!G"&amp;FC925),IF(ISNUMBER(FD925),INDIRECT("SamplesY!G"&amp;FD925),""))</f>
        <v/>
      </c>
      <c r="H925" s="19">
        <f>IF(ISNUMBER(FC925),INDIRECT("SamplesX!H"&amp;FC925),IF(ISNUMBER(FD925),INDIRECT("SamplesY!H"&amp;FD925),""))</f>
        <v/>
      </c>
      <c r="I925" s="16" t="n"/>
      <c r="J925" s="16" t="n"/>
      <c r="K925" s="16" t="n"/>
      <c r="L925" s="20" t="n"/>
      <c r="M925" s="20" t="inlineStr">
        <is>
          <t>None</t>
        </is>
      </c>
      <c r="N925" s="17" t="n"/>
      <c r="O925" s="16" t="n"/>
      <c r="P925" s="20" t="inlineStr">
        <is>
          <t>Shimadzu TOC-L</t>
        </is>
      </c>
      <c r="Q925" s="20" t="inlineStr">
        <is>
          <t>None</t>
        </is>
      </c>
      <c r="R925" s="17" t="n"/>
      <c r="S925" s="16" t="n"/>
      <c r="T925" s="20" t="inlineStr">
        <is>
          <t>Shimadzu TOC-L</t>
        </is>
      </c>
      <c r="U925" s="20" t="inlineStr">
        <is>
          <t>None</t>
        </is>
      </c>
      <c r="V925" s="17" t="n"/>
      <c r="W925" s="16" t="n"/>
      <c r="X925" s="20" t="n"/>
      <c r="Y925" s="20" t="inlineStr">
        <is>
          <t>None</t>
        </is>
      </c>
      <c r="Z925" s="17" t="n"/>
      <c r="AA925" s="16" t="n"/>
      <c r="AB925" s="20" t="n"/>
      <c r="AC925" s="20" t="inlineStr">
        <is>
          <t>None</t>
        </is>
      </c>
      <c r="AD925" s="17" t="n"/>
      <c r="AE925" s="16" t="n"/>
      <c r="AF925" s="20" t="inlineStr">
        <is>
          <t>IC Anionen</t>
        </is>
      </c>
      <c r="AG925" s="20" t="inlineStr">
        <is>
          <t>None</t>
        </is>
      </c>
      <c r="AH925" s="17" t="n"/>
      <c r="AI925" s="16" t="n"/>
      <c r="AJ925" s="20" t="n"/>
      <c r="AK925" s="20" t="inlineStr">
        <is>
          <t>None</t>
        </is>
      </c>
      <c r="AL925" s="17" t="n"/>
      <c r="AM925" s="16" t="n"/>
      <c r="AN925" s="20" t="inlineStr">
        <is>
          <t>IC Anionen</t>
        </is>
      </c>
      <c r="AO925" s="20" t="inlineStr">
        <is>
          <t>None</t>
        </is>
      </c>
      <c r="AP925" s="17" t="n"/>
      <c r="AQ925" s="16" t="n"/>
      <c r="AR925" s="20" t="n"/>
      <c r="AS925" s="20" t="inlineStr">
        <is>
          <t>None</t>
        </is>
      </c>
      <c r="AT925" s="17" t="n"/>
      <c r="AU925" s="16" t="n"/>
      <c r="AV925" s="20" t="n"/>
      <c r="AW925" s="20" t="inlineStr">
        <is>
          <t>None</t>
        </is>
      </c>
      <c r="AX925" s="17" t="n"/>
      <c r="AY925" s="16" t="n"/>
      <c r="AZ925" s="20" t="inlineStr">
        <is>
          <t>IC Anionen</t>
        </is>
      </c>
      <c r="BA925" s="20" t="inlineStr">
        <is>
          <t>None</t>
        </is>
      </c>
      <c r="BB925" s="17" t="n"/>
      <c r="BC925" s="16" t="n"/>
      <c r="BD925" s="20" t="inlineStr">
        <is>
          <t>IC Kationen</t>
        </is>
      </c>
      <c r="BE925" s="20" t="inlineStr">
        <is>
          <t>None</t>
        </is>
      </c>
      <c r="BF925" s="17" t="n"/>
      <c r="BG925" s="16" t="n"/>
      <c r="BH925" s="20" t="inlineStr">
        <is>
          <t>IC Kationen</t>
        </is>
      </c>
      <c r="BI925" s="20" t="inlineStr">
        <is>
          <t>None</t>
        </is>
      </c>
      <c r="BJ925" s="17" t="n"/>
      <c r="BK925" s="16" t="n"/>
      <c r="BL925" s="20" t="inlineStr">
        <is>
          <t>IC Kationen</t>
        </is>
      </c>
      <c r="BM925" s="20" t="inlineStr">
        <is>
          <t>None</t>
        </is>
      </c>
      <c r="BN925" s="17" t="n"/>
      <c r="BO925" s="16" t="n"/>
      <c r="BP925" s="20" t="inlineStr">
        <is>
          <t>IC Kationen</t>
        </is>
      </c>
      <c r="BQ925" s="20" t="inlineStr">
        <is>
          <t>None</t>
        </is>
      </c>
      <c r="BR925" s="17" t="n"/>
      <c r="BS925" s="16" t="n"/>
      <c r="BT925" s="20" t="inlineStr">
        <is>
          <t>IC Kationen</t>
        </is>
      </c>
      <c r="BU925" s="20" t="inlineStr">
        <is>
          <t>None</t>
        </is>
      </c>
      <c r="BV925" s="17" t="n"/>
      <c r="BW925" s="16" t="n"/>
      <c r="BX925" s="20" t="n"/>
      <c r="BY925" s="20" t="inlineStr">
        <is>
          <t>None</t>
        </is>
      </c>
      <c r="BZ925" s="17" t="n"/>
      <c r="CA925" s="16" t="n"/>
      <c r="CB925" s="20" t="n"/>
      <c r="CC925" s="20" t="inlineStr">
        <is>
          <t>None</t>
        </is>
      </c>
      <c r="CD925" s="17" t="n"/>
      <c r="CE925" s="16" t="n"/>
      <c r="CF925" s="20" t="n"/>
      <c r="CG925" s="20" t="inlineStr">
        <is>
          <t>None</t>
        </is>
      </c>
      <c r="CH925" s="17" t="n"/>
      <c r="CI925" s="16" t="n"/>
      <c r="CJ925" s="20" t="n"/>
      <c r="CK925" s="20" t="inlineStr">
        <is>
          <t>None</t>
        </is>
      </c>
      <c r="CL925" s="17" t="n"/>
      <c r="CM925" s="16" t="n"/>
      <c r="CN925" s="20" t="inlineStr">
        <is>
          <t>SOP 45-34</t>
        </is>
      </c>
      <c r="CO925" s="20" t="inlineStr">
        <is>
          <t>None</t>
        </is>
      </c>
      <c r="CP925" s="17" t="n"/>
      <c r="CQ925" s="16" t="n"/>
      <c r="CR925" s="20" t="n"/>
      <c r="CS925" s="20" t="inlineStr">
        <is>
          <t>None</t>
        </is>
      </c>
      <c r="CT925" s="17" t="n"/>
      <c r="CU925" s="16" t="n"/>
      <c r="CV925" s="20" t="n"/>
      <c r="CW925" s="20" t="inlineStr">
        <is>
          <t>None</t>
        </is>
      </c>
      <c r="CX925" s="17" t="n"/>
      <c r="CY925" s="16" t="n"/>
      <c r="CZ925" s="20" t="inlineStr">
        <is>
          <t>WTW Multimeter 3430 with FDO 925</t>
        </is>
      </c>
      <c r="DA925" s="20" t="inlineStr">
        <is>
          <t>None</t>
        </is>
      </c>
      <c r="DB925" s="17" t="n"/>
      <c r="DC925" s="16" t="n"/>
      <c r="DD925" s="20" t="n"/>
      <c r="DE925" s="20" t="inlineStr">
        <is>
          <t>None</t>
        </is>
      </c>
      <c r="DF925" s="17" t="n"/>
      <c r="DG925" s="16" t="n"/>
      <c r="DH925" s="20" t="inlineStr">
        <is>
          <t>SOP 45-09</t>
        </is>
      </c>
      <c r="DI925" s="20" t="inlineStr">
        <is>
          <t>None</t>
        </is>
      </c>
      <c r="DJ925" s="17" t="n"/>
      <c r="DK925" s="16" t="n"/>
      <c r="DL925" s="20" t="inlineStr">
        <is>
          <t>SOP 45-09 (SOP muss noch angepasst werden für VSS)</t>
        </is>
      </c>
      <c r="DM925" s="20" t="inlineStr">
        <is>
          <t>None</t>
        </is>
      </c>
      <c r="DN925" s="17" t="n"/>
      <c r="DO925" s="16" t="n"/>
      <c r="DP925" s="20" t="inlineStr">
        <is>
          <t>IC Organic Acids</t>
        </is>
      </c>
      <c r="DQ925" s="20" t="inlineStr">
        <is>
          <t>None</t>
        </is>
      </c>
      <c r="DR925" s="17" t="n"/>
      <c r="DS925" s="16" t="n"/>
      <c r="DT925" s="20" t="inlineStr">
        <is>
          <t>IC Organic Acids</t>
        </is>
      </c>
      <c r="DU925" s="20" t="inlineStr">
        <is>
          <t>None</t>
        </is>
      </c>
      <c r="DV925" s="17" t="n"/>
      <c r="DW925" s="16" t="n"/>
      <c r="DX925" s="20" t="inlineStr">
        <is>
          <t>IC Organic Acids</t>
        </is>
      </c>
      <c r="DY925" s="20" t="inlineStr">
        <is>
          <t>None</t>
        </is>
      </c>
      <c r="DZ925" s="17" t="n"/>
      <c r="EA925" s="16" t="n"/>
      <c r="EB925" s="20" t="inlineStr">
        <is>
          <t>IC Organic Acids</t>
        </is>
      </c>
      <c r="EC925" s="20" t="inlineStr">
        <is>
          <t>None</t>
        </is>
      </c>
      <c r="ED925" s="17" t="n"/>
      <c r="EE925" s="16" t="n"/>
      <c r="EF925" s="20" t="inlineStr">
        <is>
          <t>IC Organic Acids</t>
        </is>
      </c>
      <c r="EG925" s="20" t="inlineStr">
        <is>
          <t>None</t>
        </is>
      </c>
      <c r="EH925" s="17" t="n"/>
      <c r="EI925" s="16" t="n"/>
      <c r="EJ925" s="20" t="inlineStr">
        <is>
          <t>IC Organic Acids</t>
        </is>
      </c>
      <c r="EK925" s="20" t="inlineStr">
        <is>
          <t>None</t>
        </is>
      </c>
      <c r="EL925" s="17" t="n"/>
      <c r="EM925" s="16" t="n"/>
      <c r="EN925" s="20" t="inlineStr">
        <is>
          <t>IC Organic Acids</t>
        </is>
      </c>
      <c r="EO925" s="20" t="inlineStr">
        <is>
          <t>None</t>
        </is>
      </c>
      <c r="EP925" s="17" t="n"/>
      <c r="EQ925" s="16" t="n"/>
      <c r="ER925" s="20" t="inlineStr">
        <is>
          <t>IC Organic Acids</t>
        </is>
      </c>
      <c r="ES925" s="20" t="inlineStr">
        <is>
          <t>None</t>
        </is>
      </c>
      <c r="ET925" s="17" t="n"/>
      <c r="EU925" s="16" t="n"/>
      <c r="EV925" s="20" t="inlineStr">
        <is>
          <t>LC-MS</t>
        </is>
      </c>
      <c r="EW925" s="20" t="inlineStr">
        <is>
          <t>None</t>
        </is>
      </c>
      <c r="EX925" s="17" t="n"/>
      <c r="EY925" s="21" t="n"/>
      <c r="EZ925">
        <f>CONCATENATE(A925,B925)</f>
        <v/>
      </c>
      <c r="FA925">
        <f>CONCATENATE(SamplesX!A925,SamplesX!B925)</f>
        <v/>
      </c>
      <c r="FC925">
        <f>MATCH(EZ925,FA1:FA1008,0)</f>
        <v/>
      </c>
    </row>
    <row r="926">
      <c r="A926" s="16" t="n"/>
      <c r="B926" s="17" t="n"/>
      <c r="C926" s="10">
        <f>IF(ISNUMBER(FC926),INDIRECT("SamplesX!C"&amp;FC926),IF(ISNUMBER(FD926),INDIRECT("SamplesY!C"&amp;FD926),""))</f>
        <v/>
      </c>
      <c r="D926" s="12">
        <f>IF(ISNUMBER(FC926),INDIRECT("SamplesX!D"&amp;FC926),IF(ISNUMBER(FD926),INDIRECT("SamplesY!D"&amp;FD926),""))</f>
        <v/>
      </c>
      <c r="E926" s="12">
        <f>IF(ISNUMBER(FC926),INDIRECT("SamplesX!E"&amp;FC926),IF(ISNUMBER(FD926),INDIRECT("SamplesY!E"&amp;FD926),""))</f>
        <v/>
      </c>
      <c r="F926" s="11">
        <f>IF(ISNUMBER(FC926),INDIRECT("SamplesX!F"&amp;FC926),IF(ISNUMBER(FD926),INDIRECT("SamplesY!F"&amp;FD926),""))</f>
        <v/>
      </c>
      <c r="G926" s="18">
        <f>IF(ISNUMBER(FC926),INDIRECT("SamplesX!G"&amp;FC926),IF(ISNUMBER(FD926),INDIRECT("SamplesY!G"&amp;FD926),""))</f>
        <v/>
      </c>
      <c r="H926" s="19">
        <f>IF(ISNUMBER(FC926),INDIRECT("SamplesX!H"&amp;FC926),IF(ISNUMBER(FD926),INDIRECT("SamplesY!H"&amp;FD926),""))</f>
        <v/>
      </c>
      <c r="I926" s="16" t="n"/>
      <c r="J926" s="16" t="n"/>
      <c r="K926" s="16" t="n"/>
      <c r="L926" s="20" t="n"/>
      <c r="M926" s="20" t="inlineStr">
        <is>
          <t>None</t>
        </is>
      </c>
      <c r="N926" s="17" t="n"/>
      <c r="O926" s="16" t="n"/>
      <c r="P926" s="20" t="inlineStr">
        <is>
          <t>Shimadzu TOC-L</t>
        </is>
      </c>
      <c r="Q926" s="20" t="inlineStr">
        <is>
          <t>None</t>
        </is>
      </c>
      <c r="R926" s="17" t="n"/>
      <c r="S926" s="16" t="n"/>
      <c r="T926" s="20" t="inlineStr">
        <is>
          <t>Shimadzu TOC-L</t>
        </is>
      </c>
      <c r="U926" s="20" t="inlineStr">
        <is>
          <t>None</t>
        </is>
      </c>
      <c r="V926" s="17" t="n"/>
      <c r="W926" s="16" t="n"/>
      <c r="X926" s="20" t="n"/>
      <c r="Y926" s="20" t="inlineStr">
        <is>
          <t>None</t>
        </is>
      </c>
      <c r="Z926" s="17" t="n"/>
      <c r="AA926" s="16" t="n"/>
      <c r="AB926" s="20" t="n"/>
      <c r="AC926" s="20" t="inlineStr">
        <is>
          <t>None</t>
        </is>
      </c>
      <c r="AD926" s="17" t="n"/>
      <c r="AE926" s="16" t="n"/>
      <c r="AF926" s="20" t="inlineStr">
        <is>
          <t>IC Anionen</t>
        </is>
      </c>
      <c r="AG926" s="20" t="inlineStr">
        <is>
          <t>None</t>
        </is>
      </c>
      <c r="AH926" s="17" t="n"/>
      <c r="AI926" s="16" t="n"/>
      <c r="AJ926" s="20" t="n"/>
      <c r="AK926" s="20" t="inlineStr">
        <is>
          <t>None</t>
        </is>
      </c>
      <c r="AL926" s="17" t="n"/>
      <c r="AM926" s="16" t="n"/>
      <c r="AN926" s="20" t="inlineStr">
        <is>
          <t>IC Anionen</t>
        </is>
      </c>
      <c r="AO926" s="20" t="inlineStr">
        <is>
          <t>None</t>
        </is>
      </c>
      <c r="AP926" s="17" t="n"/>
      <c r="AQ926" s="16" t="n"/>
      <c r="AR926" s="20" t="n"/>
      <c r="AS926" s="20" t="inlineStr">
        <is>
          <t>None</t>
        </is>
      </c>
      <c r="AT926" s="17" t="n"/>
      <c r="AU926" s="16" t="n"/>
      <c r="AV926" s="20" t="n"/>
      <c r="AW926" s="20" t="inlineStr">
        <is>
          <t>None</t>
        </is>
      </c>
      <c r="AX926" s="17" t="n"/>
      <c r="AY926" s="16" t="n"/>
      <c r="AZ926" s="20" t="inlineStr">
        <is>
          <t>IC Anionen</t>
        </is>
      </c>
      <c r="BA926" s="20" t="inlineStr">
        <is>
          <t>None</t>
        </is>
      </c>
      <c r="BB926" s="17" t="n"/>
      <c r="BC926" s="16" t="n"/>
      <c r="BD926" s="20" t="inlineStr">
        <is>
          <t>IC Kationen</t>
        </is>
      </c>
      <c r="BE926" s="20" t="inlineStr">
        <is>
          <t>None</t>
        </is>
      </c>
      <c r="BF926" s="17" t="n"/>
      <c r="BG926" s="16" t="n"/>
      <c r="BH926" s="20" t="inlineStr">
        <is>
          <t>IC Kationen</t>
        </is>
      </c>
      <c r="BI926" s="20" t="inlineStr">
        <is>
          <t>None</t>
        </is>
      </c>
      <c r="BJ926" s="17" t="n"/>
      <c r="BK926" s="16" t="n"/>
      <c r="BL926" s="20" t="inlineStr">
        <is>
          <t>IC Kationen</t>
        </is>
      </c>
      <c r="BM926" s="20" t="inlineStr">
        <is>
          <t>None</t>
        </is>
      </c>
      <c r="BN926" s="17" t="n"/>
      <c r="BO926" s="16" t="n"/>
      <c r="BP926" s="20" t="inlineStr">
        <is>
          <t>IC Kationen</t>
        </is>
      </c>
      <c r="BQ926" s="20" t="inlineStr">
        <is>
          <t>None</t>
        </is>
      </c>
      <c r="BR926" s="17" t="n"/>
      <c r="BS926" s="16" t="n"/>
      <c r="BT926" s="20" t="inlineStr">
        <is>
          <t>IC Kationen</t>
        </is>
      </c>
      <c r="BU926" s="20" t="inlineStr">
        <is>
          <t>None</t>
        </is>
      </c>
      <c r="BV926" s="17" t="n"/>
      <c r="BW926" s="16" t="n"/>
      <c r="BX926" s="20" t="n"/>
      <c r="BY926" s="20" t="inlineStr">
        <is>
          <t>None</t>
        </is>
      </c>
      <c r="BZ926" s="17" t="n"/>
      <c r="CA926" s="16" t="n"/>
      <c r="CB926" s="20" t="n"/>
      <c r="CC926" s="20" t="inlineStr">
        <is>
          <t>None</t>
        </is>
      </c>
      <c r="CD926" s="17" t="n"/>
      <c r="CE926" s="16" t="n"/>
      <c r="CF926" s="20" t="n"/>
      <c r="CG926" s="20" t="inlineStr">
        <is>
          <t>None</t>
        </is>
      </c>
      <c r="CH926" s="17" t="n"/>
      <c r="CI926" s="16" t="n"/>
      <c r="CJ926" s="20" t="n"/>
      <c r="CK926" s="20" t="inlineStr">
        <is>
          <t>None</t>
        </is>
      </c>
      <c r="CL926" s="17" t="n"/>
      <c r="CM926" s="16" t="n"/>
      <c r="CN926" s="20" t="inlineStr">
        <is>
          <t>SOP 45-34</t>
        </is>
      </c>
      <c r="CO926" s="20" t="inlineStr">
        <is>
          <t>None</t>
        </is>
      </c>
      <c r="CP926" s="17" t="n"/>
      <c r="CQ926" s="16" t="n"/>
      <c r="CR926" s="20" t="n"/>
      <c r="CS926" s="20" t="inlineStr">
        <is>
          <t>None</t>
        </is>
      </c>
      <c r="CT926" s="17" t="n"/>
      <c r="CU926" s="16" t="n"/>
      <c r="CV926" s="20" t="n"/>
      <c r="CW926" s="20" t="inlineStr">
        <is>
          <t>None</t>
        </is>
      </c>
      <c r="CX926" s="17" t="n"/>
      <c r="CY926" s="16" t="n"/>
      <c r="CZ926" s="20" t="inlineStr">
        <is>
          <t>WTW Multimeter 3430 with FDO 925</t>
        </is>
      </c>
      <c r="DA926" s="20" t="inlineStr">
        <is>
          <t>None</t>
        </is>
      </c>
      <c r="DB926" s="17" t="n"/>
      <c r="DC926" s="16" t="n"/>
      <c r="DD926" s="20" t="n"/>
      <c r="DE926" s="20" t="inlineStr">
        <is>
          <t>None</t>
        </is>
      </c>
      <c r="DF926" s="17" t="n"/>
      <c r="DG926" s="16" t="n"/>
      <c r="DH926" s="20" t="inlineStr">
        <is>
          <t>SOP 45-09</t>
        </is>
      </c>
      <c r="DI926" s="20" t="inlineStr">
        <is>
          <t>None</t>
        </is>
      </c>
      <c r="DJ926" s="17" t="n"/>
      <c r="DK926" s="16" t="n"/>
      <c r="DL926" s="20" t="inlineStr">
        <is>
          <t>SOP 45-09 (SOP muss noch angepasst werden für VSS)</t>
        </is>
      </c>
      <c r="DM926" s="20" t="inlineStr">
        <is>
          <t>None</t>
        </is>
      </c>
      <c r="DN926" s="17" t="n"/>
      <c r="DO926" s="16" t="n"/>
      <c r="DP926" s="20" t="inlineStr">
        <is>
          <t>IC Organic Acids</t>
        </is>
      </c>
      <c r="DQ926" s="20" t="inlineStr">
        <is>
          <t>None</t>
        </is>
      </c>
      <c r="DR926" s="17" t="n"/>
      <c r="DS926" s="16" t="n"/>
      <c r="DT926" s="20" t="inlineStr">
        <is>
          <t>IC Organic Acids</t>
        </is>
      </c>
      <c r="DU926" s="20" t="inlineStr">
        <is>
          <t>None</t>
        </is>
      </c>
      <c r="DV926" s="17" t="n"/>
      <c r="DW926" s="16" t="n"/>
      <c r="DX926" s="20" t="inlineStr">
        <is>
          <t>IC Organic Acids</t>
        </is>
      </c>
      <c r="DY926" s="20" t="inlineStr">
        <is>
          <t>None</t>
        </is>
      </c>
      <c r="DZ926" s="17" t="n"/>
      <c r="EA926" s="16" t="n"/>
      <c r="EB926" s="20" t="inlineStr">
        <is>
          <t>IC Organic Acids</t>
        </is>
      </c>
      <c r="EC926" s="20" t="inlineStr">
        <is>
          <t>None</t>
        </is>
      </c>
      <c r="ED926" s="17" t="n"/>
      <c r="EE926" s="16" t="n"/>
      <c r="EF926" s="20" t="inlineStr">
        <is>
          <t>IC Organic Acids</t>
        </is>
      </c>
      <c r="EG926" s="20" t="inlineStr">
        <is>
          <t>None</t>
        </is>
      </c>
      <c r="EH926" s="17" t="n"/>
      <c r="EI926" s="16" t="n"/>
      <c r="EJ926" s="20" t="inlineStr">
        <is>
          <t>IC Organic Acids</t>
        </is>
      </c>
      <c r="EK926" s="20" t="inlineStr">
        <is>
          <t>None</t>
        </is>
      </c>
      <c r="EL926" s="17" t="n"/>
      <c r="EM926" s="16" t="n"/>
      <c r="EN926" s="20" t="inlineStr">
        <is>
          <t>IC Organic Acids</t>
        </is>
      </c>
      <c r="EO926" s="20" t="inlineStr">
        <is>
          <t>None</t>
        </is>
      </c>
      <c r="EP926" s="17" t="n"/>
      <c r="EQ926" s="16" t="n"/>
      <c r="ER926" s="20" t="inlineStr">
        <is>
          <t>IC Organic Acids</t>
        </is>
      </c>
      <c r="ES926" s="20" t="inlineStr">
        <is>
          <t>None</t>
        </is>
      </c>
      <c r="ET926" s="17" t="n"/>
      <c r="EU926" s="16" t="n"/>
      <c r="EV926" s="20" t="inlineStr">
        <is>
          <t>LC-MS</t>
        </is>
      </c>
      <c r="EW926" s="20" t="inlineStr">
        <is>
          <t>None</t>
        </is>
      </c>
      <c r="EX926" s="17" t="n"/>
      <c r="EY926" s="21" t="n"/>
      <c r="EZ926">
        <f>CONCATENATE(A926,B926)</f>
        <v/>
      </c>
      <c r="FA926">
        <f>CONCATENATE(SamplesX!A926,SamplesX!B926)</f>
        <v/>
      </c>
      <c r="FC926">
        <f>MATCH(EZ926,FA1:FA1008,0)</f>
        <v/>
      </c>
    </row>
    <row r="927">
      <c r="A927" s="16" t="n"/>
      <c r="B927" s="17" t="n"/>
      <c r="C927" s="10">
        <f>IF(ISNUMBER(FC927),INDIRECT("SamplesX!C"&amp;FC927),IF(ISNUMBER(FD927),INDIRECT("SamplesY!C"&amp;FD927),""))</f>
        <v/>
      </c>
      <c r="D927" s="12">
        <f>IF(ISNUMBER(FC927),INDIRECT("SamplesX!D"&amp;FC927),IF(ISNUMBER(FD927),INDIRECT("SamplesY!D"&amp;FD927),""))</f>
        <v/>
      </c>
      <c r="E927" s="12">
        <f>IF(ISNUMBER(FC927),INDIRECT("SamplesX!E"&amp;FC927),IF(ISNUMBER(FD927),INDIRECT("SamplesY!E"&amp;FD927),""))</f>
        <v/>
      </c>
      <c r="F927" s="11">
        <f>IF(ISNUMBER(FC927),INDIRECT("SamplesX!F"&amp;FC927),IF(ISNUMBER(FD927),INDIRECT("SamplesY!F"&amp;FD927),""))</f>
        <v/>
      </c>
      <c r="G927" s="18">
        <f>IF(ISNUMBER(FC927),INDIRECT("SamplesX!G"&amp;FC927),IF(ISNUMBER(FD927),INDIRECT("SamplesY!G"&amp;FD927),""))</f>
        <v/>
      </c>
      <c r="H927" s="19">
        <f>IF(ISNUMBER(FC927),INDIRECT("SamplesX!H"&amp;FC927),IF(ISNUMBER(FD927),INDIRECT("SamplesY!H"&amp;FD927),""))</f>
        <v/>
      </c>
      <c r="I927" s="16" t="n"/>
      <c r="J927" s="16" t="n"/>
      <c r="K927" s="16" t="n"/>
      <c r="L927" s="20" t="n"/>
      <c r="M927" s="20" t="inlineStr">
        <is>
          <t>None</t>
        </is>
      </c>
      <c r="N927" s="17" t="n"/>
      <c r="O927" s="16" t="n"/>
      <c r="P927" s="20" t="inlineStr">
        <is>
          <t>Shimadzu TOC-L</t>
        </is>
      </c>
      <c r="Q927" s="20" t="inlineStr">
        <is>
          <t>None</t>
        </is>
      </c>
      <c r="R927" s="17" t="n"/>
      <c r="S927" s="16" t="n"/>
      <c r="T927" s="20" t="inlineStr">
        <is>
          <t>Shimadzu TOC-L</t>
        </is>
      </c>
      <c r="U927" s="20" t="inlineStr">
        <is>
          <t>None</t>
        </is>
      </c>
      <c r="V927" s="17" t="n"/>
      <c r="W927" s="16" t="n"/>
      <c r="X927" s="20" t="n"/>
      <c r="Y927" s="20" t="inlineStr">
        <is>
          <t>None</t>
        </is>
      </c>
      <c r="Z927" s="17" t="n"/>
      <c r="AA927" s="16" t="n"/>
      <c r="AB927" s="20" t="n"/>
      <c r="AC927" s="20" t="inlineStr">
        <is>
          <t>None</t>
        </is>
      </c>
      <c r="AD927" s="17" t="n"/>
      <c r="AE927" s="16" t="n"/>
      <c r="AF927" s="20" t="inlineStr">
        <is>
          <t>IC Anionen</t>
        </is>
      </c>
      <c r="AG927" s="20" t="inlineStr">
        <is>
          <t>None</t>
        </is>
      </c>
      <c r="AH927" s="17" t="n"/>
      <c r="AI927" s="16" t="n"/>
      <c r="AJ927" s="20" t="n"/>
      <c r="AK927" s="20" t="inlineStr">
        <is>
          <t>None</t>
        </is>
      </c>
      <c r="AL927" s="17" t="n"/>
      <c r="AM927" s="16" t="n"/>
      <c r="AN927" s="20" t="inlineStr">
        <is>
          <t>IC Anionen</t>
        </is>
      </c>
      <c r="AO927" s="20" t="inlineStr">
        <is>
          <t>None</t>
        </is>
      </c>
      <c r="AP927" s="17" t="n"/>
      <c r="AQ927" s="16" t="n"/>
      <c r="AR927" s="20" t="n"/>
      <c r="AS927" s="20" t="inlineStr">
        <is>
          <t>None</t>
        </is>
      </c>
      <c r="AT927" s="17" t="n"/>
      <c r="AU927" s="16" t="n"/>
      <c r="AV927" s="20" t="n"/>
      <c r="AW927" s="20" t="inlineStr">
        <is>
          <t>None</t>
        </is>
      </c>
      <c r="AX927" s="17" t="n"/>
      <c r="AY927" s="16" t="n"/>
      <c r="AZ927" s="20" t="inlineStr">
        <is>
          <t>IC Anionen</t>
        </is>
      </c>
      <c r="BA927" s="20" t="inlineStr">
        <is>
          <t>None</t>
        </is>
      </c>
      <c r="BB927" s="17" t="n"/>
      <c r="BC927" s="16" t="n"/>
      <c r="BD927" s="20" t="inlineStr">
        <is>
          <t>IC Kationen</t>
        </is>
      </c>
      <c r="BE927" s="20" t="inlineStr">
        <is>
          <t>None</t>
        </is>
      </c>
      <c r="BF927" s="17" t="n"/>
      <c r="BG927" s="16" t="n"/>
      <c r="BH927" s="20" t="inlineStr">
        <is>
          <t>IC Kationen</t>
        </is>
      </c>
      <c r="BI927" s="20" t="inlineStr">
        <is>
          <t>None</t>
        </is>
      </c>
      <c r="BJ927" s="17" t="n"/>
      <c r="BK927" s="16" t="n"/>
      <c r="BL927" s="20" t="inlineStr">
        <is>
          <t>IC Kationen</t>
        </is>
      </c>
      <c r="BM927" s="20" t="inlineStr">
        <is>
          <t>None</t>
        </is>
      </c>
      <c r="BN927" s="17" t="n"/>
      <c r="BO927" s="16" t="n"/>
      <c r="BP927" s="20" t="inlineStr">
        <is>
          <t>IC Kationen</t>
        </is>
      </c>
      <c r="BQ927" s="20" t="inlineStr">
        <is>
          <t>None</t>
        </is>
      </c>
      <c r="BR927" s="17" t="n"/>
      <c r="BS927" s="16" t="n"/>
      <c r="BT927" s="20" t="inlineStr">
        <is>
          <t>IC Kationen</t>
        </is>
      </c>
      <c r="BU927" s="20" t="inlineStr">
        <is>
          <t>None</t>
        </is>
      </c>
      <c r="BV927" s="17" t="n"/>
      <c r="BW927" s="16" t="n"/>
      <c r="BX927" s="20" t="n"/>
      <c r="BY927" s="20" t="inlineStr">
        <is>
          <t>None</t>
        </is>
      </c>
      <c r="BZ927" s="17" t="n"/>
      <c r="CA927" s="16" t="n"/>
      <c r="CB927" s="20" t="n"/>
      <c r="CC927" s="20" t="inlineStr">
        <is>
          <t>None</t>
        </is>
      </c>
      <c r="CD927" s="17" t="n"/>
      <c r="CE927" s="16" t="n"/>
      <c r="CF927" s="20" t="n"/>
      <c r="CG927" s="20" t="inlineStr">
        <is>
          <t>None</t>
        </is>
      </c>
      <c r="CH927" s="17" t="n"/>
      <c r="CI927" s="16" t="n"/>
      <c r="CJ927" s="20" t="n"/>
      <c r="CK927" s="20" t="inlineStr">
        <is>
          <t>None</t>
        </is>
      </c>
      <c r="CL927" s="17" t="n"/>
      <c r="CM927" s="16" t="n"/>
      <c r="CN927" s="20" t="inlineStr">
        <is>
          <t>SOP 45-34</t>
        </is>
      </c>
      <c r="CO927" s="20" t="inlineStr">
        <is>
          <t>None</t>
        </is>
      </c>
      <c r="CP927" s="17" t="n"/>
      <c r="CQ927" s="16" t="n"/>
      <c r="CR927" s="20" t="n"/>
      <c r="CS927" s="20" t="inlineStr">
        <is>
          <t>None</t>
        </is>
      </c>
      <c r="CT927" s="17" t="n"/>
      <c r="CU927" s="16" t="n"/>
      <c r="CV927" s="20" t="n"/>
      <c r="CW927" s="20" t="inlineStr">
        <is>
          <t>None</t>
        </is>
      </c>
      <c r="CX927" s="17" t="n"/>
      <c r="CY927" s="16" t="n"/>
      <c r="CZ927" s="20" t="inlineStr">
        <is>
          <t>WTW Multimeter 3430 with FDO 925</t>
        </is>
      </c>
      <c r="DA927" s="20" t="inlineStr">
        <is>
          <t>None</t>
        </is>
      </c>
      <c r="DB927" s="17" t="n"/>
      <c r="DC927" s="16" t="n"/>
      <c r="DD927" s="20" t="n"/>
      <c r="DE927" s="20" t="inlineStr">
        <is>
          <t>None</t>
        </is>
      </c>
      <c r="DF927" s="17" t="n"/>
      <c r="DG927" s="16" t="n"/>
      <c r="DH927" s="20" t="inlineStr">
        <is>
          <t>SOP 45-09</t>
        </is>
      </c>
      <c r="DI927" s="20" t="inlineStr">
        <is>
          <t>None</t>
        </is>
      </c>
      <c r="DJ927" s="17" t="n"/>
      <c r="DK927" s="16" t="n"/>
      <c r="DL927" s="20" t="inlineStr">
        <is>
          <t>SOP 45-09 (SOP muss noch angepasst werden für VSS)</t>
        </is>
      </c>
      <c r="DM927" s="20" t="inlineStr">
        <is>
          <t>None</t>
        </is>
      </c>
      <c r="DN927" s="17" t="n"/>
      <c r="DO927" s="16" t="n"/>
      <c r="DP927" s="20" t="inlineStr">
        <is>
          <t>IC Organic Acids</t>
        </is>
      </c>
      <c r="DQ927" s="20" t="inlineStr">
        <is>
          <t>None</t>
        </is>
      </c>
      <c r="DR927" s="17" t="n"/>
      <c r="DS927" s="16" t="n"/>
      <c r="DT927" s="20" t="inlineStr">
        <is>
          <t>IC Organic Acids</t>
        </is>
      </c>
      <c r="DU927" s="20" t="inlineStr">
        <is>
          <t>None</t>
        </is>
      </c>
      <c r="DV927" s="17" t="n"/>
      <c r="DW927" s="16" t="n"/>
      <c r="DX927" s="20" t="inlineStr">
        <is>
          <t>IC Organic Acids</t>
        </is>
      </c>
      <c r="DY927" s="20" t="inlineStr">
        <is>
          <t>None</t>
        </is>
      </c>
      <c r="DZ927" s="17" t="n"/>
      <c r="EA927" s="16" t="n"/>
      <c r="EB927" s="20" t="inlineStr">
        <is>
          <t>IC Organic Acids</t>
        </is>
      </c>
      <c r="EC927" s="20" t="inlineStr">
        <is>
          <t>None</t>
        </is>
      </c>
      <c r="ED927" s="17" t="n"/>
      <c r="EE927" s="16" t="n"/>
      <c r="EF927" s="20" t="inlineStr">
        <is>
          <t>IC Organic Acids</t>
        </is>
      </c>
      <c r="EG927" s="20" t="inlineStr">
        <is>
          <t>None</t>
        </is>
      </c>
      <c r="EH927" s="17" t="n"/>
      <c r="EI927" s="16" t="n"/>
      <c r="EJ927" s="20" t="inlineStr">
        <is>
          <t>IC Organic Acids</t>
        </is>
      </c>
      <c r="EK927" s="20" t="inlineStr">
        <is>
          <t>None</t>
        </is>
      </c>
      <c r="EL927" s="17" t="n"/>
      <c r="EM927" s="16" t="n"/>
      <c r="EN927" s="20" t="inlineStr">
        <is>
          <t>IC Organic Acids</t>
        </is>
      </c>
      <c r="EO927" s="20" t="inlineStr">
        <is>
          <t>None</t>
        </is>
      </c>
      <c r="EP927" s="17" t="n"/>
      <c r="EQ927" s="16" t="n"/>
      <c r="ER927" s="20" t="inlineStr">
        <is>
          <t>IC Organic Acids</t>
        </is>
      </c>
      <c r="ES927" s="20" t="inlineStr">
        <is>
          <t>None</t>
        </is>
      </c>
      <c r="ET927" s="17" t="n"/>
      <c r="EU927" s="16" t="n"/>
      <c r="EV927" s="20" t="inlineStr">
        <is>
          <t>LC-MS</t>
        </is>
      </c>
      <c r="EW927" s="20" t="inlineStr">
        <is>
          <t>None</t>
        </is>
      </c>
      <c r="EX927" s="17" t="n"/>
      <c r="EY927" s="21" t="n"/>
      <c r="EZ927">
        <f>CONCATENATE(A927,B927)</f>
        <v/>
      </c>
      <c r="FA927">
        <f>CONCATENATE(SamplesX!A927,SamplesX!B927)</f>
        <v/>
      </c>
      <c r="FC927">
        <f>MATCH(EZ927,FA1:FA1008,0)</f>
        <v/>
      </c>
    </row>
    <row r="928">
      <c r="A928" s="16" t="n"/>
      <c r="B928" s="17" t="n"/>
      <c r="C928" s="10">
        <f>IF(ISNUMBER(FC928),INDIRECT("SamplesX!C"&amp;FC928),IF(ISNUMBER(FD928),INDIRECT("SamplesY!C"&amp;FD928),""))</f>
        <v/>
      </c>
      <c r="D928" s="12">
        <f>IF(ISNUMBER(FC928),INDIRECT("SamplesX!D"&amp;FC928),IF(ISNUMBER(FD928),INDIRECT("SamplesY!D"&amp;FD928),""))</f>
        <v/>
      </c>
      <c r="E928" s="12">
        <f>IF(ISNUMBER(FC928),INDIRECT("SamplesX!E"&amp;FC928),IF(ISNUMBER(FD928),INDIRECT("SamplesY!E"&amp;FD928),""))</f>
        <v/>
      </c>
      <c r="F928" s="11">
        <f>IF(ISNUMBER(FC928),INDIRECT("SamplesX!F"&amp;FC928),IF(ISNUMBER(FD928),INDIRECT("SamplesY!F"&amp;FD928),""))</f>
        <v/>
      </c>
      <c r="G928" s="18">
        <f>IF(ISNUMBER(FC928),INDIRECT("SamplesX!G"&amp;FC928),IF(ISNUMBER(FD928),INDIRECT("SamplesY!G"&amp;FD928),""))</f>
        <v/>
      </c>
      <c r="H928" s="19">
        <f>IF(ISNUMBER(FC928),INDIRECT("SamplesX!H"&amp;FC928),IF(ISNUMBER(FD928),INDIRECT("SamplesY!H"&amp;FD928),""))</f>
        <v/>
      </c>
      <c r="I928" s="16" t="n"/>
      <c r="J928" s="16" t="n"/>
      <c r="K928" s="16" t="n"/>
      <c r="L928" s="20" t="n"/>
      <c r="M928" s="20" t="inlineStr">
        <is>
          <t>None</t>
        </is>
      </c>
      <c r="N928" s="17" t="n"/>
      <c r="O928" s="16" t="n"/>
      <c r="P928" s="20" t="inlineStr">
        <is>
          <t>Shimadzu TOC-L</t>
        </is>
      </c>
      <c r="Q928" s="20" t="inlineStr">
        <is>
          <t>None</t>
        </is>
      </c>
      <c r="R928" s="17" t="n"/>
      <c r="S928" s="16" t="n"/>
      <c r="T928" s="20" t="inlineStr">
        <is>
          <t>Shimadzu TOC-L</t>
        </is>
      </c>
      <c r="U928" s="20" t="inlineStr">
        <is>
          <t>None</t>
        </is>
      </c>
      <c r="V928" s="17" t="n"/>
      <c r="W928" s="16" t="n"/>
      <c r="X928" s="20" t="n"/>
      <c r="Y928" s="20" t="inlineStr">
        <is>
          <t>None</t>
        </is>
      </c>
      <c r="Z928" s="17" t="n"/>
      <c r="AA928" s="16" t="n"/>
      <c r="AB928" s="20" t="n"/>
      <c r="AC928" s="20" t="inlineStr">
        <is>
          <t>None</t>
        </is>
      </c>
      <c r="AD928" s="17" t="n"/>
      <c r="AE928" s="16" t="n"/>
      <c r="AF928" s="20" t="inlineStr">
        <is>
          <t>IC Anionen</t>
        </is>
      </c>
      <c r="AG928" s="20" t="inlineStr">
        <is>
          <t>None</t>
        </is>
      </c>
      <c r="AH928" s="17" t="n"/>
      <c r="AI928" s="16" t="n"/>
      <c r="AJ928" s="20" t="n"/>
      <c r="AK928" s="20" t="inlineStr">
        <is>
          <t>None</t>
        </is>
      </c>
      <c r="AL928" s="17" t="n"/>
      <c r="AM928" s="16" t="n"/>
      <c r="AN928" s="20" t="inlineStr">
        <is>
          <t>IC Anionen</t>
        </is>
      </c>
      <c r="AO928" s="20" t="inlineStr">
        <is>
          <t>None</t>
        </is>
      </c>
      <c r="AP928" s="17" t="n"/>
      <c r="AQ928" s="16" t="n"/>
      <c r="AR928" s="20" t="n"/>
      <c r="AS928" s="20" t="inlineStr">
        <is>
          <t>None</t>
        </is>
      </c>
      <c r="AT928" s="17" t="n"/>
      <c r="AU928" s="16" t="n"/>
      <c r="AV928" s="20" t="n"/>
      <c r="AW928" s="20" t="inlineStr">
        <is>
          <t>None</t>
        </is>
      </c>
      <c r="AX928" s="17" t="n"/>
      <c r="AY928" s="16" t="n"/>
      <c r="AZ928" s="20" t="inlineStr">
        <is>
          <t>IC Anionen</t>
        </is>
      </c>
      <c r="BA928" s="20" t="inlineStr">
        <is>
          <t>None</t>
        </is>
      </c>
      <c r="BB928" s="17" t="n"/>
      <c r="BC928" s="16" t="n"/>
      <c r="BD928" s="20" t="inlineStr">
        <is>
          <t>IC Kationen</t>
        </is>
      </c>
      <c r="BE928" s="20" t="inlineStr">
        <is>
          <t>None</t>
        </is>
      </c>
      <c r="BF928" s="17" t="n"/>
      <c r="BG928" s="16" t="n"/>
      <c r="BH928" s="20" t="inlineStr">
        <is>
          <t>IC Kationen</t>
        </is>
      </c>
      <c r="BI928" s="20" t="inlineStr">
        <is>
          <t>None</t>
        </is>
      </c>
      <c r="BJ928" s="17" t="n"/>
      <c r="BK928" s="16" t="n"/>
      <c r="BL928" s="20" t="inlineStr">
        <is>
          <t>IC Kationen</t>
        </is>
      </c>
      <c r="BM928" s="20" t="inlineStr">
        <is>
          <t>None</t>
        </is>
      </c>
      <c r="BN928" s="17" t="n"/>
      <c r="BO928" s="16" t="n"/>
      <c r="BP928" s="20" t="inlineStr">
        <is>
          <t>IC Kationen</t>
        </is>
      </c>
      <c r="BQ928" s="20" t="inlineStr">
        <is>
          <t>None</t>
        </is>
      </c>
      <c r="BR928" s="17" t="n"/>
      <c r="BS928" s="16" t="n"/>
      <c r="BT928" s="20" t="inlineStr">
        <is>
          <t>IC Kationen</t>
        </is>
      </c>
      <c r="BU928" s="20" t="inlineStr">
        <is>
          <t>None</t>
        </is>
      </c>
      <c r="BV928" s="17" t="n"/>
      <c r="BW928" s="16" t="n"/>
      <c r="BX928" s="20" t="n"/>
      <c r="BY928" s="20" t="inlineStr">
        <is>
          <t>None</t>
        </is>
      </c>
      <c r="BZ928" s="17" t="n"/>
      <c r="CA928" s="16" t="n"/>
      <c r="CB928" s="20" t="n"/>
      <c r="CC928" s="20" t="inlineStr">
        <is>
          <t>None</t>
        </is>
      </c>
      <c r="CD928" s="17" t="n"/>
      <c r="CE928" s="16" t="n"/>
      <c r="CF928" s="20" t="n"/>
      <c r="CG928" s="20" t="inlineStr">
        <is>
          <t>None</t>
        </is>
      </c>
      <c r="CH928" s="17" t="n"/>
      <c r="CI928" s="16" t="n"/>
      <c r="CJ928" s="20" t="n"/>
      <c r="CK928" s="20" t="inlineStr">
        <is>
          <t>None</t>
        </is>
      </c>
      <c r="CL928" s="17" t="n"/>
      <c r="CM928" s="16" t="n"/>
      <c r="CN928" s="20" t="inlineStr">
        <is>
          <t>SOP 45-34</t>
        </is>
      </c>
      <c r="CO928" s="20" t="inlineStr">
        <is>
          <t>None</t>
        </is>
      </c>
      <c r="CP928" s="17" t="n"/>
      <c r="CQ928" s="16" t="n"/>
      <c r="CR928" s="20" t="n"/>
      <c r="CS928" s="20" t="inlineStr">
        <is>
          <t>None</t>
        </is>
      </c>
      <c r="CT928" s="17" t="n"/>
      <c r="CU928" s="16" t="n"/>
      <c r="CV928" s="20" t="n"/>
      <c r="CW928" s="20" t="inlineStr">
        <is>
          <t>None</t>
        </is>
      </c>
      <c r="CX928" s="17" t="n"/>
      <c r="CY928" s="16" t="n"/>
      <c r="CZ928" s="20" t="inlineStr">
        <is>
          <t>WTW Multimeter 3430 with FDO 925</t>
        </is>
      </c>
      <c r="DA928" s="20" t="inlineStr">
        <is>
          <t>None</t>
        </is>
      </c>
      <c r="DB928" s="17" t="n"/>
      <c r="DC928" s="16" t="n"/>
      <c r="DD928" s="20" t="n"/>
      <c r="DE928" s="20" t="inlineStr">
        <is>
          <t>None</t>
        </is>
      </c>
      <c r="DF928" s="17" t="n"/>
      <c r="DG928" s="16" t="n"/>
      <c r="DH928" s="20" t="inlineStr">
        <is>
          <t>SOP 45-09</t>
        </is>
      </c>
      <c r="DI928" s="20" t="inlineStr">
        <is>
          <t>None</t>
        </is>
      </c>
      <c r="DJ928" s="17" t="n"/>
      <c r="DK928" s="16" t="n"/>
      <c r="DL928" s="20" t="inlineStr">
        <is>
          <t>SOP 45-09 (SOP muss noch angepasst werden für VSS)</t>
        </is>
      </c>
      <c r="DM928" s="20" t="inlineStr">
        <is>
          <t>None</t>
        </is>
      </c>
      <c r="DN928" s="17" t="n"/>
      <c r="DO928" s="16" t="n"/>
      <c r="DP928" s="20" t="inlineStr">
        <is>
          <t>IC Organic Acids</t>
        </is>
      </c>
      <c r="DQ928" s="20" t="inlineStr">
        <is>
          <t>None</t>
        </is>
      </c>
      <c r="DR928" s="17" t="n"/>
      <c r="DS928" s="16" t="n"/>
      <c r="DT928" s="20" t="inlineStr">
        <is>
          <t>IC Organic Acids</t>
        </is>
      </c>
      <c r="DU928" s="20" t="inlineStr">
        <is>
          <t>None</t>
        </is>
      </c>
      <c r="DV928" s="17" t="n"/>
      <c r="DW928" s="16" t="n"/>
      <c r="DX928" s="20" t="inlineStr">
        <is>
          <t>IC Organic Acids</t>
        </is>
      </c>
      <c r="DY928" s="20" t="inlineStr">
        <is>
          <t>None</t>
        </is>
      </c>
      <c r="DZ928" s="17" t="n"/>
      <c r="EA928" s="16" t="n"/>
      <c r="EB928" s="20" t="inlineStr">
        <is>
          <t>IC Organic Acids</t>
        </is>
      </c>
      <c r="EC928" s="20" t="inlineStr">
        <is>
          <t>None</t>
        </is>
      </c>
      <c r="ED928" s="17" t="n"/>
      <c r="EE928" s="16" t="n"/>
      <c r="EF928" s="20" t="inlineStr">
        <is>
          <t>IC Organic Acids</t>
        </is>
      </c>
      <c r="EG928" s="20" t="inlineStr">
        <is>
          <t>None</t>
        </is>
      </c>
      <c r="EH928" s="17" t="n"/>
      <c r="EI928" s="16" t="n"/>
      <c r="EJ928" s="20" t="inlineStr">
        <is>
          <t>IC Organic Acids</t>
        </is>
      </c>
      <c r="EK928" s="20" t="inlineStr">
        <is>
          <t>None</t>
        </is>
      </c>
      <c r="EL928" s="17" t="n"/>
      <c r="EM928" s="16" t="n"/>
      <c r="EN928" s="20" t="inlineStr">
        <is>
          <t>IC Organic Acids</t>
        </is>
      </c>
      <c r="EO928" s="20" t="inlineStr">
        <is>
          <t>None</t>
        </is>
      </c>
      <c r="EP928" s="17" t="n"/>
      <c r="EQ928" s="16" t="n"/>
      <c r="ER928" s="20" t="inlineStr">
        <is>
          <t>IC Organic Acids</t>
        </is>
      </c>
      <c r="ES928" s="20" t="inlineStr">
        <is>
          <t>None</t>
        </is>
      </c>
      <c r="ET928" s="17" t="n"/>
      <c r="EU928" s="16" t="n"/>
      <c r="EV928" s="20" t="inlineStr">
        <is>
          <t>LC-MS</t>
        </is>
      </c>
      <c r="EW928" s="20" t="inlineStr">
        <is>
          <t>None</t>
        </is>
      </c>
      <c r="EX928" s="17" t="n"/>
      <c r="EY928" s="21" t="n"/>
      <c r="EZ928">
        <f>CONCATENATE(A928,B928)</f>
        <v/>
      </c>
      <c r="FA928">
        <f>CONCATENATE(SamplesX!A928,SamplesX!B928)</f>
        <v/>
      </c>
      <c r="FC928">
        <f>MATCH(EZ928,FA1:FA1008,0)</f>
        <v/>
      </c>
    </row>
    <row r="929">
      <c r="A929" s="16" t="n"/>
      <c r="B929" s="17" t="n"/>
      <c r="C929" s="10">
        <f>IF(ISNUMBER(FC929),INDIRECT("SamplesX!C"&amp;FC929),IF(ISNUMBER(FD929),INDIRECT("SamplesY!C"&amp;FD929),""))</f>
        <v/>
      </c>
      <c r="D929" s="12">
        <f>IF(ISNUMBER(FC929),INDIRECT("SamplesX!D"&amp;FC929),IF(ISNUMBER(FD929),INDIRECT("SamplesY!D"&amp;FD929),""))</f>
        <v/>
      </c>
      <c r="E929" s="12">
        <f>IF(ISNUMBER(FC929),INDIRECT("SamplesX!E"&amp;FC929),IF(ISNUMBER(FD929),INDIRECT("SamplesY!E"&amp;FD929),""))</f>
        <v/>
      </c>
      <c r="F929" s="11">
        <f>IF(ISNUMBER(FC929),INDIRECT("SamplesX!F"&amp;FC929),IF(ISNUMBER(FD929),INDIRECT("SamplesY!F"&amp;FD929),""))</f>
        <v/>
      </c>
      <c r="G929" s="18">
        <f>IF(ISNUMBER(FC929),INDIRECT("SamplesX!G"&amp;FC929),IF(ISNUMBER(FD929),INDIRECT("SamplesY!G"&amp;FD929),""))</f>
        <v/>
      </c>
      <c r="H929" s="19">
        <f>IF(ISNUMBER(FC929),INDIRECT("SamplesX!H"&amp;FC929),IF(ISNUMBER(FD929),INDIRECT("SamplesY!H"&amp;FD929),""))</f>
        <v/>
      </c>
      <c r="I929" s="16" t="n"/>
      <c r="J929" s="16" t="n"/>
      <c r="K929" s="16" t="n"/>
      <c r="L929" s="20" t="n"/>
      <c r="M929" s="20" t="inlineStr">
        <is>
          <t>None</t>
        </is>
      </c>
      <c r="N929" s="17" t="n"/>
      <c r="O929" s="16" t="n"/>
      <c r="P929" s="20" t="inlineStr">
        <is>
          <t>Shimadzu TOC-L</t>
        </is>
      </c>
      <c r="Q929" s="20" t="inlineStr">
        <is>
          <t>None</t>
        </is>
      </c>
      <c r="R929" s="17" t="n"/>
      <c r="S929" s="16" t="n"/>
      <c r="T929" s="20" t="inlineStr">
        <is>
          <t>Shimadzu TOC-L</t>
        </is>
      </c>
      <c r="U929" s="20" t="inlineStr">
        <is>
          <t>None</t>
        </is>
      </c>
      <c r="V929" s="17" t="n"/>
      <c r="W929" s="16" t="n"/>
      <c r="X929" s="20" t="n"/>
      <c r="Y929" s="20" t="inlineStr">
        <is>
          <t>None</t>
        </is>
      </c>
      <c r="Z929" s="17" t="n"/>
      <c r="AA929" s="16" t="n"/>
      <c r="AB929" s="20" t="n"/>
      <c r="AC929" s="20" t="inlineStr">
        <is>
          <t>None</t>
        </is>
      </c>
      <c r="AD929" s="17" t="n"/>
      <c r="AE929" s="16" t="n"/>
      <c r="AF929" s="20" t="inlineStr">
        <is>
          <t>IC Anionen</t>
        </is>
      </c>
      <c r="AG929" s="20" t="inlineStr">
        <is>
          <t>None</t>
        </is>
      </c>
      <c r="AH929" s="17" t="n"/>
      <c r="AI929" s="16" t="n"/>
      <c r="AJ929" s="20" t="n"/>
      <c r="AK929" s="20" t="inlineStr">
        <is>
          <t>None</t>
        </is>
      </c>
      <c r="AL929" s="17" t="n"/>
      <c r="AM929" s="16" t="n"/>
      <c r="AN929" s="20" t="inlineStr">
        <is>
          <t>IC Anionen</t>
        </is>
      </c>
      <c r="AO929" s="20" t="inlineStr">
        <is>
          <t>None</t>
        </is>
      </c>
      <c r="AP929" s="17" t="n"/>
      <c r="AQ929" s="16" t="n"/>
      <c r="AR929" s="20" t="n"/>
      <c r="AS929" s="20" t="inlineStr">
        <is>
          <t>None</t>
        </is>
      </c>
      <c r="AT929" s="17" t="n"/>
      <c r="AU929" s="16" t="n"/>
      <c r="AV929" s="20" t="n"/>
      <c r="AW929" s="20" t="inlineStr">
        <is>
          <t>None</t>
        </is>
      </c>
      <c r="AX929" s="17" t="n"/>
      <c r="AY929" s="16" t="n"/>
      <c r="AZ929" s="20" t="inlineStr">
        <is>
          <t>IC Anionen</t>
        </is>
      </c>
      <c r="BA929" s="20" t="inlineStr">
        <is>
          <t>None</t>
        </is>
      </c>
      <c r="BB929" s="17" t="n"/>
      <c r="BC929" s="16" t="n"/>
      <c r="BD929" s="20" t="inlineStr">
        <is>
          <t>IC Kationen</t>
        </is>
      </c>
      <c r="BE929" s="20" t="inlineStr">
        <is>
          <t>None</t>
        </is>
      </c>
      <c r="BF929" s="17" t="n"/>
      <c r="BG929" s="16" t="n"/>
      <c r="BH929" s="20" t="inlineStr">
        <is>
          <t>IC Kationen</t>
        </is>
      </c>
      <c r="BI929" s="20" t="inlineStr">
        <is>
          <t>None</t>
        </is>
      </c>
      <c r="BJ929" s="17" t="n"/>
      <c r="BK929" s="16" t="n"/>
      <c r="BL929" s="20" t="inlineStr">
        <is>
          <t>IC Kationen</t>
        </is>
      </c>
      <c r="BM929" s="20" t="inlineStr">
        <is>
          <t>None</t>
        </is>
      </c>
      <c r="BN929" s="17" t="n"/>
      <c r="BO929" s="16" t="n"/>
      <c r="BP929" s="20" t="inlineStr">
        <is>
          <t>IC Kationen</t>
        </is>
      </c>
      <c r="BQ929" s="20" t="inlineStr">
        <is>
          <t>None</t>
        </is>
      </c>
      <c r="BR929" s="17" t="n"/>
      <c r="BS929" s="16" t="n"/>
      <c r="BT929" s="20" t="inlineStr">
        <is>
          <t>IC Kationen</t>
        </is>
      </c>
      <c r="BU929" s="20" t="inlineStr">
        <is>
          <t>None</t>
        </is>
      </c>
      <c r="BV929" s="17" t="n"/>
      <c r="BW929" s="16" t="n"/>
      <c r="BX929" s="20" t="n"/>
      <c r="BY929" s="20" t="inlineStr">
        <is>
          <t>None</t>
        </is>
      </c>
      <c r="BZ929" s="17" t="n"/>
      <c r="CA929" s="16" t="n"/>
      <c r="CB929" s="20" t="n"/>
      <c r="CC929" s="20" t="inlineStr">
        <is>
          <t>None</t>
        </is>
      </c>
      <c r="CD929" s="17" t="n"/>
      <c r="CE929" s="16" t="n"/>
      <c r="CF929" s="20" t="n"/>
      <c r="CG929" s="20" t="inlineStr">
        <is>
          <t>None</t>
        </is>
      </c>
      <c r="CH929" s="17" t="n"/>
      <c r="CI929" s="16" t="n"/>
      <c r="CJ929" s="20" t="n"/>
      <c r="CK929" s="20" t="inlineStr">
        <is>
          <t>None</t>
        </is>
      </c>
      <c r="CL929" s="17" t="n"/>
      <c r="CM929" s="16" t="n"/>
      <c r="CN929" s="20" t="inlineStr">
        <is>
          <t>SOP 45-34</t>
        </is>
      </c>
      <c r="CO929" s="20" t="inlineStr">
        <is>
          <t>None</t>
        </is>
      </c>
      <c r="CP929" s="17" t="n"/>
      <c r="CQ929" s="16" t="n"/>
      <c r="CR929" s="20" t="n"/>
      <c r="CS929" s="20" t="inlineStr">
        <is>
          <t>None</t>
        </is>
      </c>
      <c r="CT929" s="17" t="n"/>
      <c r="CU929" s="16" t="n"/>
      <c r="CV929" s="20" t="n"/>
      <c r="CW929" s="20" t="inlineStr">
        <is>
          <t>None</t>
        </is>
      </c>
      <c r="CX929" s="17" t="n"/>
      <c r="CY929" s="16" t="n"/>
      <c r="CZ929" s="20" t="inlineStr">
        <is>
          <t>WTW Multimeter 3430 with FDO 925</t>
        </is>
      </c>
      <c r="DA929" s="20" t="inlineStr">
        <is>
          <t>None</t>
        </is>
      </c>
      <c r="DB929" s="17" t="n"/>
      <c r="DC929" s="16" t="n"/>
      <c r="DD929" s="20" t="n"/>
      <c r="DE929" s="20" t="inlineStr">
        <is>
          <t>None</t>
        </is>
      </c>
      <c r="DF929" s="17" t="n"/>
      <c r="DG929" s="16" t="n"/>
      <c r="DH929" s="20" t="inlineStr">
        <is>
          <t>SOP 45-09</t>
        </is>
      </c>
      <c r="DI929" s="20" t="inlineStr">
        <is>
          <t>None</t>
        </is>
      </c>
      <c r="DJ929" s="17" t="n"/>
      <c r="DK929" s="16" t="n"/>
      <c r="DL929" s="20" t="inlineStr">
        <is>
          <t>SOP 45-09 (SOP muss noch angepasst werden für VSS)</t>
        </is>
      </c>
      <c r="DM929" s="20" t="inlineStr">
        <is>
          <t>None</t>
        </is>
      </c>
      <c r="DN929" s="17" t="n"/>
      <c r="DO929" s="16" t="n"/>
      <c r="DP929" s="20" t="inlineStr">
        <is>
          <t>IC Organic Acids</t>
        </is>
      </c>
      <c r="DQ929" s="20" t="inlineStr">
        <is>
          <t>None</t>
        </is>
      </c>
      <c r="DR929" s="17" t="n"/>
      <c r="DS929" s="16" t="n"/>
      <c r="DT929" s="20" t="inlineStr">
        <is>
          <t>IC Organic Acids</t>
        </is>
      </c>
      <c r="DU929" s="20" t="inlineStr">
        <is>
          <t>None</t>
        </is>
      </c>
      <c r="DV929" s="17" t="n"/>
      <c r="DW929" s="16" t="n"/>
      <c r="DX929" s="20" t="inlineStr">
        <is>
          <t>IC Organic Acids</t>
        </is>
      </c>
      <c r="DY929" s="20" t="inlineStr">
        <is>
          <t>None</t>
        </is>
      </c>
      <c r="DZ929" s="17" t="n"/>
      <c r="EA929" s="16" t="n"/>
      <c r="EB929" s="20" t="inlineStr">
        <is>
          <t>IC Organic Acids</t>
        </is>
      </c>
      <c r="EC929" s="20" t="inlineStr">
        <is>
          <t>None</t>
        </is>
      </c>
      <c r="ED929" s="17" t="n"/>
      <c r="EE929" s="16" t="n"/>
      <c r="EF929" s="20" t="inlineStr">
        <is>
          <t>IC Organic Acids</t>
        </is>
      </c>
      <c r="EG929" s="20" t="inlineStr">
        <is>
          <t>None</t>
        </is>
      </c>
      <c r="EH929" s="17" t="n"/>
      <c r="EI929" s="16" t="n"/>
      <c r="EJ929" s="20" t="inlineStr">
        <is>
          <t>IC Organic Acids</t>
        </is>
      </c>
      <c r="EK929" s="20" t="inlineStr">
        <is>
          <t>None</t>
        </is>
      </c>
      <c r="EL929" s="17" t="n"/>
      <c r="EM929" s="16" t="n"/>
      <c r="EN929" s="20" t="inlineStr">
        <is>
          <t>IC Organic Acids</t>
        </is>
      </c>
      <c r="EO929" s="20" t="inlineStr">
        <is>
          <t>None</t>
        </is>
      </c>
      <c r="EP929" s="17" t="n"/>
      <c r="EQ929" s="16" t="n"/>
      <c r="ER929" s="20" t="inlineStr">
        <is>
          <t>IC Organic Acids</t>
        </is>
      </c>
      <c r="ES929" s="20" t="inlineStr">
        <is>
          <t>None</t>
        </is>
      </c>
      <c r="ET929" s="17" t="n"/>
      <c r="EU929" s="16" t="n"/>
      <c r="EV929" s="20" t="inlineStr">
        <is>
          <t>LC-MS</t>
        </is>
      </c>
      <c r="EW929" s="20" t="inlineStr">
        <is>
          <t>None</t>
        </is>
      </c>
      <c r="EX929" s="17" t="n"/>
      <c r="EY929" s="21" t="n"/>
      <c r="EZ929">
        <f>CONCATENATE(A929,B929)</f>
        <v/>
      </c>
      <c r="FA929">
        <f>CONCATENATE(SamplesX!A929,SamplesX!B929)</f>
        <v/>
      </c>
      <c r="FC929">
        <f>MATCH(EZ929,FA1:FA1008,0)</f>
        <v/>
      </c>
    </row>
    <row r="930">
      <c r="A930" s="16" t="n"/>
      <c r="B930" s="17" t="n"/>
      <c r="C930" s="10">
        <f>IF(ISNUMBER(FC930),INDIRECT("SamplesX!C"&amp;FC930),IF(ISNUMBER(FD930),INDIRECT("SamplesY!C"&amp;FD930),""))</f>
        <v/>
      </c>
      <c r="D930" s="12">
        <f>IF(ISNUMBER(FC930),INDIRECT("SamplesX!D"&amp;FC930),IF(ISNUMBER(FD930),INDIRECT("SamplesY!D"&amp;FD930),""))</f>
        <v/>
      </c>
      <c r="E930" s="12">
        <f>IF(ISNUMBER(FC930),INDIRECT("SamplesX!E"&amp;FC930),IF(ISNUMBER(FD930),INDIRECT("SamplesY!E"&amp;FD930),""))</f>
        <v/>
      </c>
      <c r="F930" s="11">
        <f>IF(ISNUMBER(FC930),INDIRECT("SamplesX!F"&amp;FC930),IF(ISNUMBER(FD930),INDIRECT("SamplesY!F"&amp;FD930),""))</f>
        <v/>
      </c>
      <c r="G930" s="18">
        <f>IF(ISNUMBER(FC930),INDIRECT("SamplesX!G"&amp;FC930),IF(ISNUMBER(FD930),INDIRECT("SamplesY!G"&amp;FD930),""))</f>
        <v/>
      </c>
      <c r="H930" s="19">
        <f>IF(ISNUMBER(FC930),INDIRECT("SamplesX!H"&amp;FC930),IF(ISNUMBER(FD930),INDIRECT("SamplesY!H"&amp;FD930),""))</f>
        <v/>
      </c>
      <c r="I930" s="16" t="n"/>
      <c r="J930" s="16" t="n"/>
      <c r="K930" s="16" t="n"/>
      <c r="L930" s="20" t="n"/>
      <c r="M930" s="20" t="inlineStr">
        <is>
          <t>None</t>
        </is>
      </c>
      <c r="N930" s="17" t="n"/>
      <c r="O930" s="16" t="n"/>
      <c r="P930" s="20" t="inlineStr">
        <is>
          <t>Shimadzu TOC-L</t>
        </is>
      </c>
      <c r="Q930" s="20" t="inlineStr">
        <is>
          <t>None</t>
        </is>
      </c>
      <c r="R930" s="17" t="n"/>
      <c r="S930" s="16" t="n"/>
      <c r="T930" s="20" t="inlineStr">
        <is>
          <t>Shimadzu TOC-L</t>
        </is>
      </c>
      <c r="U930" s="20" t="inlineStr">
        <is>
          <t>None</t>
        </is>
      </c>
      <c r="V930" s="17" t="n"/>
      <c r="W930" s="16" t="n"/>
      <c r="X930" s="20" t="n"/>
      <c r="Y930" s="20" t="inlineStr">
        <is>
          <t>None</t>
        </is>
      </c>
      <c r="Z930" s="17" t="n"/>
      <c r="AA930" s="16" t="n"/>
      <c r="AB930" s="20" t="n"/>
      <c r="AC930" s="20" t="inlineStr">
        <is>
          <t>None</t>
        </is>
      </c>
      <c r="AD930" s="17" t="n"/>
      <c r="AE930" s="16" t="n"/>
      <c r="AF930" s="20" t="inlineStr">
        <is>
          <t>IC Anionen</t>
        </is>
      </c>
      <c r="AG930" s="20" t="inlineStr">
        <is>
          <t>None</t>
        </is>
      </c>
      <c r="AH930" s="17" t="n"/>
      <c r="AI930" s="16" t="n"/>
      <c r="AJ930" s="20" t="n"/>
      <c r="AK930" s="20" t="inlineStr">
        <is>
          <t>None</t>
        </is>
      </c>
      <c r="AL930" s="17" t="n"/>
      <c r="AM930" s="16" t="n"/>
      <c r="AN930" s="20" t="inlineStr">
        <is>
          <t>IC Anionen</t>
        </is>
      </c>
      <c r="AO930" s="20" t="inlineStr">
        <is>
          <t>None</t>
        </is>
      </c>
      <c r="AP930" s="17" t="n"/>
      <c r="AQ930" s="16" t="n"/>
      <c r="AR930" s="20" t="n"/>
      <c r="AS930" s="20" t="inlineStr">
        <is>
          <t>None</t>
        </is>
      </c>
      <c r="AT930" s="17" t="n"/>
      <c r="AU930" s="16" t="n"/>
      <c r="AV930" s="20" t="n"/>
      <c r="AW930" s="20" t="inlineStr">
        <is>
          <t>None</t>
        </is>
      </c>
      <c r="AX930" s="17" t="n"/>
      <c r="AY930" s="16" t="n"/>
      <c r="AZ930" s="20" t="inlineStr">
        <is>
          <t>IC Anionen</t>
        </is>
      </c>
      <c r="BA930" s="20" t="inlineStr">
        <is>
          <t>None</t>
        </is>
      </c>
      <c r="BB930" s="17" t="n"/>
      <c r="BC930" s="16" t="n"/>
      <c r="BD930" s="20" t="inlineStr">
        <is>
          <t>IC Kationen</t>
        </is>
      </c>
      <c r="BE930" s="20" t="inlineStr">
        <is>
          <t>None</t>
        </is>
      </c>
      <c r="BF930" s="17" t="n"/>
      <c r="BG930" s="16" t="n"/>
      <c r="BH930" s="20" t="inlineStr">
        <is>
          <t>IC Kationen</t>
        </is>
      </c>
      <c r="BI930" s="20" t="inlineStr">
        <is>
          <t>None</t>
        </is>
      </c>
      <c r="BJ930" s="17" t="n"/>
      <c r="BK930" s="16" t="n"/>
      <c r="BL930" s="20" t="inlineStr">
        <is>
          <t>IC Kationen</t>
        </is>
      </c>
      <c r="BM930" s="20" t="inlineStr">
        <is>
          <t>None</t>
        </is>
      </c>
      <c r="BN930" s="17" t="n"/>
      <c r="BO930" s="16" t="n"/>
      <c r="BP930" s="20" t="inlineStr">
        <is>
          <t>IC Kationen</t>
        </is>
      </c>
      <c r="BQ930" s="20" t="inlineStr">
        <is>
          <t>None</t>
        </is>
      </c>
      <c r="BR930" s="17" t="n"/>
      <c r="BS930" s="16" t="n"/>
      <c r="BT930" s="20" t="inlineStr">
        <is>
          <t>IC Kationen</t>
        </is>
      </c>
      <c r="BU930" s="20" t="inlineStr">
        <is>
          <t>None</t>
        </is>
      </c>
      <c r="BV930" s="17" t="n"/>
      <c r="BW930" s="16" t="n"/>
      <c r="BX930" s="20" t="n"/>
      <c r="BY930" s="20" t="inlineStr">
        <is>
          <t>None</t>
        </is>
      </c>
      <c r="BZ930" s="17" t="n"/>
      <c r="CA930" s="16" t="n"/>
      <c r="CB930" s="20" t="n"/>
      <c r="CC930" s="20" t="inlineStr">
        <is>
          <t>None</t>
        </is>
      </c>
      <c r="CD930" s="17" t="n"/>
      <c r="CE930" s="16" t="n"/>
      <c r="CF930" s="20" t="n"/>
      <c r="CG930" s="20" t="inlineStr">
        <is>
          <t>None</t>
        </is>
      </c>
      <c r="CH930" s="17" t="n"/>
      <c r="CI930" s="16" t="n"/>
      <c r="CJ930" s="20" t="n"/>
      <c r="CK930" s="20" t="inlineStr">
        <is>
          <t>None</t>
        </is>
      </c>
      <c r="CL930" s="17" t="n"/>
      <c r="CM930" s="16" t="n"/>
      <c r="CN930" s="20" t="inlineStr">
        <is>
          <t>SOP 45-34</t>
        </is>
      </c>
      <c r="CO930" s="20" t="inlineStr">
        <is>
          <t>None</t>
        </is>
      </c>
      <c r="CP930" s="17" t="n"/>
      <c r="CQ930" s="16" t="n"/>
      <c r="CR930" s="20" t="n"/>
      <c r="CS930" s="20" t="inlineStr">
        <is>
          <t>None</t>
        </is>
      </c>
      <c r="CT930" s="17" t="n"/>
      <c r="CU930" s="16" t="n"/>
      <c r="CV930" s="20" t="n"/>
      <c r="CW930" s="20" t="inlineStr">
        <is>
          <t>None</t>
        </is>
      </c>
      <c r="CX930" s="17" t="n"/>
      <c r="CY930" s="16" t="n"/>
      <c r="CZ930" s="20" t="inlineStr">
        <is>
          <t>WTW Multimeter 3430 with FDO 925</t>
        </is>
      </c>
      <c r="DA930" s="20" t="inlineStr">
        <is>
          <t>None</t>
        </is>
      </c>
      <c r="DB930" s="17" t="n"/>
      <c r="DC930" s="16" t="n"/>
      <c r="DD930" s="20" t="n"/>
      <c r="DE930" s="20" t="inlineStr">
        <is>
          <t>None</t>
        </is>
      </c>
      <c r="DF930" s="17" t="n"/>
      <c r="DG930" s="16" t="n"/>
      <c r="DH930" s="20" t="inlineStr">
        <is>
          <t>SOP 45-09</t>
        </is>
      </c>
      <c r="DI930" s="20" t="inlineStr">
        <is>
          <t>None</t>
        </is>
      </c>
      <c r="DJ930" s="17" t="n"/>
      <c r="DK930" s="16" t="n"/>
      <c r="DL930" s="20" t="inlineStr">
        <is>
          <t>SOP 45-09 (SOP muss noch angepasst werden für VSS)</t>
        </is>
      </c>
      <c r="DM930" s="20" t="inlineStr">
        <is>
          <t>None</t>
        </is>
      </c>
      <c r="DN930" s="17" t="n"/>
      <c r="DO930" s="16" t="n"/>
      <c r="DP930" s="20" t="inlineStr">
        <is>
          <t>IC Organic Acids</t>
        </is>
      </c>
      <c r="DQ930" s="20" t="inlineStr">
        <is>
          <t>None</t>
        </is>
      </c>
      <c r="DR930" s="17" t="n"/>
      <c r="DS930" s="16" t="n"/>
      <c r="DT930" s="20" t="inlineStr">
        <is>
          <t>IC Organic Acids</t>
        </is>
      </c>
      <c r="DU930" s="20" t="inlineStr">
        <is>
          <t>None</t>
        </is>
      </c>
      <c r="DV930" s="17" t="n"/>
      <c r="DW930" s="16" t="n"/>
      <c r="DX930" s="20" t="inlineStr">
        <is>
          <t>IC Organic Acids</t>
        </is>
      </c>
      <c r="DY930" s="20" t="inlineStr">
        <is>
          <t>None</t>
        </is>
      </c>
      <c r="DZ930" s="17" t="n"/>
      <c r="EA930" s="16" t="n"/>
      <c r="EB930" s="20" t="inlineStr">
        <is>
          <t>IC Organic Acids</t>
        </is>
      </c>
      <c r="EC930" s="20" t="inlineStr">
        <is>
          <t>None</t>
        </is>
      </c>
      <c r="ED930" s="17" t="n"/>
      <c r="EE930" s="16" t="n"/>
      <c r="EF930" s="20" t="inlineStr">
        <is>
          <t>IC Organic Acids</t>
        </is>
      </c>
      <c r="EG930" s="20" t="inlineStr">
        <is>
          <t>None</t>
        </is>
      </c>
      <c r="EH930" s="17" t="n"/>
      <c r="EI930" s="16" t="n"/>
      <c r="EJ930" s="20" t="inlineStr">
        <is>
          <t>IC Organic Acids</t>
        </is>
      </c>
      <c r="EK930" s="20" t="inlineStr">
        <is>
          <t>None</t>
        </is>
      </c>
      <c r="EL930" s="17" t="n"/>
      <c r="EM930" s="16" t="n"/>
      <c r="EN930" s="20" t="inlineStr">
        <is>
          <t>IC Organic Acids</t>
        </is>
      </c>
      <c r="EO930" s="20" t="inlineStr">
        <is>
          <t>None</t>
        </is>
      </c>
      <c r="EP930" s="17" t="n"/>
      <c r="EQ930" s="16" t="n"/>
      <c r="ER930" s="20" t="inlineStr">
        <is>
          <t>IC Organic Acids</t>
        </is>
      </c>
      <c r="ES930" s="20" t="inlineStr">
        <is>
          <t>None</t>
        </is>
      </c>
      <c r="ET930" s="17" t="n"/>
      <c r="EU930" s="16" t="n"/>
      <c r="EV930" s="20" t="inlineStr">
        <is>
          <t>LC-MS</t>
        </is>
      </c>
      <c r="EW930" s="20" t="inlineStr">
        <is>
          <t>None</t>
        </is>
      </c>
      <c r="EX930" s="17" t="n"/>
      <c r="EY930" s="21" t="n"/>
      <c r="EZ930">
        <f>CONCATENATE(A930,B930)</f>
        <v/>
      </c>
      <c r="FA930">
        <f>CONCATENATE(SamplesX!A930,SamplesX!B930)</f>
        <v/>
      </c>
      <c r="FC930">
        <f>MATCH(EZ930,FA1:FA1008,0)</f>
        <v/>
      </c>
    </row>
    <row r="931">
      <c r="A931" s="16" t="n"/>
      <c r="B931" s="17" t="n"/>
      <c r="C931" s="10">
        <f>IF(ISNUMBER(FC931),INDIRECT("SamplesX!C"&amp;FC931),IF(ISNUMBER(FD931),INDIRECT("SamplesY!C"&amp;FD931),""))</f>
        <v/>
      </c>
      <c r="D931" s="12">
        <f>IF(ISNUMBER(FC931),INDIRECT("SamplesX!D"&amp;FC931),IF(ISNUMBER(FD931),INDIRECT("SamplesY!D"&amp;FD931),""))</f>
        <v/>
      </c>
      <c r="E931" s="12">
        <f>IF(ISNUMBER(FC931),INDIRECT("SamplesX!E"&amp;FC931),IF(ISNUMBER(FD931),INDIRECT("SamplesY!E"&amp;FD931),""))</f>
        <v/>
      </c>
      <c r="F931" s="11">
        <f>IF(ISNUMBER(FC931),INDIRECT("SamplesX!F"&amp;FC931),IF(ISNUMBER(FD931),INDIRECT("SamplesY!F"&amp;FD931),""))</f>
        <v/>
      </c>
      <c r="G931" s="18">
        <f>IF(ISNUMBER(FC931),INDIRECT("SamplesX!G"&amp;FC931),IF(ISNUMBER(FD931),INDIRECT("SamplesY!G"&amp;FD931),""))</f>
        <v/>
      </c>
      <c r="H931" s="19">
        <f>IF(ISNUMBER(FC931),INDIRECT("SamplesX!H"&amp;FC931),IF(ISNUMBER(FD931),INDIRECT("SamplesY!H"&amp;FD931),""))</f>
        <v/>
      </c>
      <c r="I931" s="16" t="n"/>
      <c r="J931" s="16" t="n"/>
      <c r="K931" s="16" t="n"/>
      <c r="L931" s="20" t="n"/>
      <c r="M931" s="20" t="inlineStr">
        <is>
          <t>None</t>
        </is>
      </c>
      <c r="N931" s="17" t="n"/>
      <c r="O931" s="16" t="n"/>
      <c r="P931" s="20" t="inlineStr">
        <is>
          <t>Shimadzu TOC-L</t>
        </is>
      </c>
      <c r="Q931" s="20" t="inlineStr">
        <is>
          <t>None</t>
        </is>
      </c>
      <c r="R931" s="17" t="n"/>
      <c r="S931" s="16" t="n"/>
      <c r="T931" s="20" t="inlineStr">
        <is>
          <t>Shimadzu TOC-L</t>
        </is>
      </c>
      <c r="U931" s="20" t="inlineStr">
        <is>
          <t>None</t>
        </is>
      </c>
      <c r="V931" s="17" t="n"/>
      <c r="W931" s="16" t="n"/>
      <c r="X931" s="20" t="n"/>
      <c r="Y931" s="20" t="inlineStr">
        <is>
          <t>None</t>
        </is>
      </c>
      <c r="Z931" s="17" t="n"/>
      <c r="AA931" s="16" t="n"/>
      <c r="AB931" s="20" t="n"/>
      <c r="AC931" s="20" t="inlineStr">
        <is>
          <t>None</t>
        </is>
      </c>
      <c r="AD931" s="17" t="n"/>
      <c r="AE931" s="16" t="n"/>
      <c r="AF931" s="20" t="inlineStr">
        <is>
          <t>IC Anionen</t>
        </is>
      </c>
      <c r="AG931" s="20" t="inlineStr">
        <is>
          <t>None</t>
        </is>
      </c>
      <c r="AH931" s="17" t="n"/>
      <c r="AI931" s="16" t="n"/>
      <c r="AJ931" s="20" t="n"/>
      <c r="AK931" s="20" t="inlineStr">
        <is>
          <t>None</t>
        </is>
      </c>
      <c r="AL931" s="17" t="n"/>
      <c r="AM931" s="16" t="n"/>
      <c r="AN931" s="20" t="inlineStr">
        <is>
          <t>IC Anionen</t>
        </is>
      </c>
      <c r="AO931" s="20" t="inlineStr">
        <is>
          <t>None</t>
        </is>
      </c>
      <c r="AP931" s="17" t="n"/>
      <c r="AQ931" s="16" t="n"/>
      <c r="AR931" s="20" t="n"/>
      <c r="AS931" s="20" t="inlineStr">
        <is>
          <t>None</t>
        </is>
      </c>
      <c r="AT931" s="17" t="n"/>
      <c r="AU931" s="16" t="n"/>
      <c r="AV931" s="20" t="n"/>
      <c r="AW931" s="20" t="inlineStr">
        <is>
          <t>None</t>
        </is>
      </c>
      <c r="AX931" s="17" t="n"/>
      <c r="AY931" s="16" t="n"/>
      <c r="AZ931" s="20" t="inlineStr">
        <is>
          <t>IC Anionen</t>
        </is>
      </c>
      <c r="BA931" s="20" t="inlineStr">
        <is>
          <t>None</t>
        </is>
      </c>
      <c r="BB931" s="17" t="n"/>
      <c r="BC931" s="16" t="n"/>
      <c r="BD931" s="20" t="inlineStr">
        <is>
          <t>IC Kationen</t>
        </is>
      </c>
      <c r="BE931" s="20" t="inlineStr">
        <is>
          <t>None</t>
        </is>
      </c>
      <c r="BF931" s="17" t="n"/>
      <c r="BG931" s="16" t="n"/>
      <c r="BH931" s="20" t="inlineStr">
        <is>
          <t>IC Kationen</t>
        </is>
      </c>
      <c r="BI931" s="20" t="inlineStr">
        <is>
          <t>None</t>
        </is>
      </c>
      <c r="BJ931" s="17" t="n"/>
      <c r="BK931" s="16" t="n"/>
      <c r="BL931" s="20" t="inlineStr">
        <is>
          <t>IC Kationen</t>
        </is>
      </c>
      <c r="BM931" s="20" t="inlineStr">
        <is>
          <t>None</t>
        </is>
      </c>
      <c r="BN931" s="17" t="n"/>
      <c r="BO931" s="16" t="n"/>
      <c r="BP931" s="20" t="inlineStr">
        <is>
          <t>IC Kationen</t>
        </is>
      </c>
      <c r="BQ931" s="20" t="inlineStr">
        <is>
          <t>None</t>
        </is>
      </c>
      <c r="BR931" s="17" t="n"/>
      <c r="BS931" s="16" t="n"/>
      <c r="BT931" s="20" t="inlineStr">
        <is>
          <t>IC Kationen</t>
        </is>
      </c>
      <c r="BU931" s="20" t="inlineStr">
        <is>
          <t>None</t>
        </is>
      </c>
      <c r="BV931" s="17" t="n"/>
      <c r="BW931" s="16" t="n"/>
      <c r="BX931" s="20" t="n"/>
      <c r="BY931" s="20" t="inlineStr">
        <is>
          <t>None</t>
        </is>
      </c>
      <c r="BZ931" s="17" t="n"/>
      <c r="CA931" s="16" t="n"/>
      <c r="CB931" s="20" t="n"/>
      <c r="CC931" s="20" t="inlineStr">
        <is>
          <t>None</t>
        </is>
      </c>
      <c r="CD931" s="17" t="n"/>
      <c r="CE931" s="16" t="n"/>
      <c r="CF931" s="20" t="n"/>
      <c r="CG931" s="20" t="inlineStr">
        <is>
          <t>None</t>
        </is>
      </c>
      <c r="CH931" s="17" t="n"/>
      <c r="CI931" s="16" t="n"/>
      <c r="CJ931" s="20" t="n"/>
      <c r="CK931" s="20" t="inlineStr">
        <is>
          <t>None</t>
        </is>
      </c>
      <c r="CL931" s="17" t="n"/>
      <c r="CM931" s="16" t="n"/>
      <c r="CN931" s="20" t="inlineStr">
        <is>
          <t>SOP 45-34</t>
        </is>
      </c>
      <c r="CO931" s="20" t="inlineStr">
        <is>
          <t>None</t>
        </is>
      </c>
      <c r="CP931" s="17" t="n"/>
      <c r="CQ931" s="16" t="n"/>
      <c r="CR931" s="20" t="n"/>
      <c r="CS931" s="20" t="inlineStr">
        <is>
          <t>None</t>
        </is>
      </c>
      <c r="CT931" s="17" t="n"/>
      <c r="CU931" s="16" t="n"/>
      <c r="CV931" s="20" t="n"/>
      <c r="CW931" s="20" t="inlineStr">
        <is>
          <t>None</t>
        </is>
      </c>
      <c r="CX931" s="17" t="n"/>
      <c r="CY931" s="16" t="n"/>
      <c r="CZ931" s="20" t="inlineStr">
        <is>
          <t>WTW Multimeter 3430 with FDO 925</t>
        </is>
      </c>
      <c r="DA931" s="20" t="inlineStr">
        <is>
          <t>None</t>
        </is>
      </c>
      <c r="DB931" s="17" t="n"/>
      <c r="DC931" s="16" t="n"/>
      <c r="DD931" s="20" t="n"/>
      <c r="DE931" s="20" t="inlineStr">
        <is>
          <t>None</t>
        </is>
      </c>
      <c r="DF931" s="17" t="n"/>
      <c r="DG931" s="16" t="n"/>
      <c r="DH931" s="20" t="inlineStr">
        <is>
          <t>SOP 45-09</t>
        </is>
      </c>
      <c r="DI931" s="20" t="inlineStr">
        <is>
          <t>None</t>
        </is>
      </c>
      <c r="DJ931" s="17" t="n"/>
      <c r="DK931" s="16" t="n"/>
      <c r="DL931" s="20" t="inlineStr">
        <is>
          <t>SOP 45-09 (SOP muss noch angepasst werden für VSS)</t>
        </is>
      </c>
      <c r="DM931" s="20" t="inlineStr">
        <is>
          <t>None</t>
        </is>
      </c>
      <c r="DN931" s="17" t="n"/>
      <c r="DO931" s="16" t="n"/>
      <c r="DP931" s="20" t="inlineStr">
        <is>
          <t>IC Organic Acids</t>
        </is>
      </c>
      <c r="DQ931" s="20" t="inlineStr">
        <is>
          <t>None</t>
        </is>
      </c>
      <c r="DR931" s="17" t="n"/>
      <c r="DS931" s="16" t="n"/>
      <c r="DT931" s="20" t="inlineStr">
        <is>
          <t>IC Organic Acids</t>
        </is>
      </c>
      <c r="DU931" s="20" t="inlineStr">
        <is>
          <t>None</t>
        </is>
      </c>
      <c r="DV931" s="17" t="n"/>
      <c r="DW931" s="16" t="n"/>
      <c r="DX931" s="20" t="inlineStr">
        <is>
          <t>IC Organic Acids</t>
        </is>
      </c>
      <c r="DY931" s="20" t="inlineStr">
        <is>
          <t>None</t>
        </is>
      </c>
      <c r="DZ931" s="17" t="n"/>
      <c r="EA931" s="16" t="n"/>
      <c r="EB931" s="20" t="inlineStr">
        <is>
          <t>IC Organic Acids</t>
        </is>
      </c>
      <c r="EC931" s="20" t="inlineStr">
        <is>
          <t>None</t>
        </is>
      </c>
      <c r="ED931" s="17" t="n"/>
      <c r="EE931" s="16" t="n"/>
      <c r="EF931" s="20" t="inlineStr">
        <is>
          <t>IC Organic Acids</t>
        </is>
      </c>
      <c r="EG931" s="20" t="inlineStr">
        <is>
          <t>None</t>
        </is>
      </c>
      <c r="EH931" s="17" t="n"/>
      <c r="EI931" s="16" t="n"/>
      <c r="EJ931" s="20" t="inlineStr">
        <is>
          <t>IC Organic Acids</t>
        </is>
      </c>
      <c r="EK931" s="20" t="inlineStr">
        <is>
          <t>None</t>
        </is>
      </c>
      <c r="EL931" s="17" t="n"/>
      <c r="EM931" s="16" t="n"/>
      <c r="EN931" s="20" t="inlineStr">
        <is>
          <t>IC Organic Acids</t>
        </is>
      </c>
      <c r="EO931" s="20" t="inlineStr">
        <is>
          <t>None</t>
        </is>
      </c>
      <c r="EP931" s="17" t="n"/>
      <c r="EQ931" s="16" t="n"/>
      <c r="ER931" s="20" t="inlineStr">
        <is>
          <t>IC Organic Acids</t>
        </is>
      </c>
      <c r="ES931" s="20" t="inlineStr">
        <is>
          <t>None</t>
        </is>
      </c>
      <c r="ET931" s="17" t="n"/>
      <c r="EU931" s="16" t="n"/>
      <c r="EV931" s="20" t="inlineStr">
        <is>
          <t>LC-MS</t>
        </is>
      </c>
      <c r="EW931" s="20" t="inlineStr">
        <is>
          <t>None</t>
        </is>
      </c>
      <c r="EX931" s="17" t="n"/>
      <c r="EY931" s="21" t="n"/>
      <c r="EZ931">
        <f>CONCATENATE(A931,B931)</f>
        <v/>
      </c>
      <c r="FA931">
        <f>CONCATENATE(SamplesX!A931,SamplesX!B931)</f>
        <v/>
      </c>
      <c r="FC931">
        <f>MATCH(EZ931,FA1:FA1008,0)</f>
        <v/>
      </c>
    </row>
    <row r="932">
      <c r="A932" s="16" t="n"/>
      <c r="B932" s="17" t="n"/>
      <c r="C932" s="10">
        <f>IF(ISNUMBER(FC932),INDIRECT("SamplesX!C"&amp;FC932),IF(ISNUMBER(FD932),INDIRECT("SamplesY!C"&amp;FD932),""))</f>
        <v/>
      </c>
      <c r="D932" s="12">
        <f>IF(ISNUMBER(FC932),INDIRECT("SamplesX!D"&amp;FC932),IF(ISNUMBER(FD932),INDIRECT("SamplesY!D"&amp;FD932),""))</f>
        <v/>
      </c>
      <c r="E932" s="12">
        <f>IF(ISNUMBER(FC932),INDIRECT("SamplesX!E"&amp;FC932),IF(ISNUMBER(FD932),INDIRECT("SamplesY!E"&amp;FD932),""))</f>
        <v/>
      </c>
      <c r="F932" s="11">
        <f>IF(ISNUMBER(FC932),INDIRECT("SamplesX!F"&amp;FC932),IF(ISNUMBER(FD932),INDIRECT("SamplesY!F"&amp;FD932),""))</f>
        <v/>
      </c>
      <c r="G932" s="18">
        <f>IF(ISNUMBER(FC932),INDIRECT("SamplesX!G"&amp;FC932),IF(ISNUMBER(FD932),INDIRECT("SamplesY!G"&amp;FD932),""))</f>
        <v/>
      </c>
      <c r="H932" s="19">
        <f>IF(ISNUMBER(FC932),INDIRECT("SamplesX!H"&amp;FC932),IF(ISNUMBER(FD932),INDIRECT("SamplesY!H"&amp;FD932),""))</f>
        <v/>
      </c>
      <c r="I932" s="16" t="n"/>
      <c r="J932" s="16" t="n"/>
      <c r="K932" s="16" t="n"/>
      <c r="L932" s="20" t="n"/>
      <c r="M932" s="20" t="inlineStr">
        <is>
          <t>None</t>
        </is>
      </c>
      <c r="N932" s="17" t="n"/>
      <c r="O932" s="16" t="n"/>
      <c r="P932" s="20" t="inlineStr">
        <is>
          <t>Shimadzu TOC-L</t>
        </is>
      </c>
      <c r="Q932" s="20" t="inlineStr">
        <is>
          <t>None</t>
        </is>
      </c>
      <c r="R932" s="17" t="n"/>
      <c r="S932" s="16" t="n"/>
      <c r="T932" s="20" t="inlineStr">
        <is>
          <t>Shimadzu TOC-L</t>
        </is>
      </c>
      <c r="U932" s="20" t="inlineStr">
        <is>
          <t>None</t>
        </is>
      </c>
      <c r="V932" s="17" t="n"/>
      <c r="W932" s="16" t="n"/>
      <c r="X932" s="20" t="n"/>
      <c r="Y932" s="20" t="inlineStr">
        <is>
          <t>None</t>
        </is>
      </c>
      <c r="Z932" s="17" t="n"/>
      <c r="AA932" s="16" t="n"/>
      <c r="AB932" s="20" t="n"/>
      <c r="AC932" s="20" t="inlineStr">
        <is>
          <t>None</t>
        </is>
      </c>
      <c r="AD932" s="17" t="n"/>
      <c r="AE932" s="16" t="n"/>
      <c r="AF932" s="20" t="inlineStr">
        <is>
          <t>IC Anionen</t>
        </is>
      </c>
      <c r="AG932" s="20" t="inlineStr">
        <is>
          <t>None</t>
        </is>
      </c>
      <c r="AH932" s="17" t="n"/>
      <c r="AI932" s="16" t="n"/>
      <c r="AJ932" s="20" t="n"/>
      <c r="AK932" s="20" t="inlineStr">
        <is>
          <t>None</t>
        </is>
      </c>
      <c r="AL932" s="17" t="n"/>
      <c r="AM932" s="16" t="n"/>
      <c r="AN932" s="20" t="inlineStr">
        <is>
          <t>IC Anionen</t>
        </is>
      </c>
      <c r="AO932" s="20" t="inlineStr">
        <is>
          <t>None</t>
        </is>
      </c>
      <c r="AP932" s="17" t="n"/>
      <c r="AQ932" s="16" t="n"/>
      <c r="AR932" s="20" t="n"/>
      <c r="AS932" s="20" t="inlineStr">
        <is>
          <t>None</t>
        </is>
      </c>
      <c r="AT932" s="17" t="n"/>
      <c r="AU932" s="16" t="n"/>
      <c r="AV932" s="20" t="n"/>
      <c r="AW932" s="20" t="inlineStr">
        <is>
          <t>None</t>
        </is>
      </c>
      <c r="AX932" s="17" t="n"/>
      <c r="AY932" s="16" t="n"/>
      <c r="AZ932" s="20" t="inlineStr">
        <is>
          <t>IC Anionen</t>
        </is>
      </c>
      <c r="BA932" s="20" t="inlineStr">
        <is>
          <t>None</t>
        </is>
      </c>
      <c r="BB932" s="17" t="n"/>
      <c r="BC932" s="16" t="n"/>
      <c r="BD932" s="20" t="inlineStr">
        <is>
          <t>IC Kationen</t>
        </is>
      </c>
      <c r="BE932" s="20" t="inlineStr">
        <is>
          <t>None</t>
        </is>
      </c>
      <c r="BF932" s="17" t="n"/>
      <c r="BG932" s="16" t="n"/>
      <c r="BH932" s="20" t="inlineStr">
        <is>
          <t>IC Kationen</t>
        </is>
      </c>
      <c r="BI932" s="20" t="inlineStr">
        <is>
          <t>None</t>
        </is>
      </c>
      <c r="BJ932" s="17" t="n"/>
      <c r="BK932" s="16" t="n"/>
      <c r="BL932" s="20" t="inlineStr">
        <is>
          <t>IC Kationen</t>
        </is>
      </c>
      <c r="BM932" s="20" t="inlineStr">
        <is>
          <t>None</t>
        </is>
      </c>
      <c r="BN932" s="17" t="n"/>
      <c r="BO932" s="16" t="n"/>
      <c r="BP932" s="20" t="inlineStr">
        <is>
          <t>IC Kationen</t>
        </is>
      </c>
      <c r="BQ932" s="20" t="inlineStr">
        <is>
          <t>None</t>
        </is>
      </c>
      <c r="BR932" s="17" t="n"/>
      <c r="BS932" s="16" t="n"/>
      <c r="BT932" s="20" t="inlineStr">
        <is>
          <t>IC Kationen</t>
        </is>
      </c>
      <c r="BU932" s="20" t="inlineStr">
        <is>
          <t>None</t>
        </is>
      </c>
      <c r="BV932" s="17" t="n"/>
      <c r="BW932" s="16" t="n"/>
      <c r="BX932" s="20" t="n"/>
      <c r="BY932" s="20" t="inlineStr">
        <is>
          <t>None</t>
        </is>
      </c>
      <c r="BZ932" s="17" t="n"/>
      <c r="CA932" s="16" t="n"/>
      <c r="CB932" s="20" t="n"/>
      <c r="CC932" s="20" t="inlineStr">
        <is>
          <t>None</t>
        </is>
      </c>
      <c r="CD932" s="17" t="n"/>
      <c r="CE932" s="16" t="n"/>
      <c r="CF932" s="20" t="n"/>
      <c r="CG932" s="20" t="inlineStr">
        <is>
          <t>None</t>
        </is>
      </c>
      <c r="CH932" s="17" t="n"/>
      <c r="CI932" s="16" t="n"/>
      <c r="CJ932" s="20" t="n"/>
      <c r="CK932" s="20" t="inlineStr">
        <is>
          <t>None</t>
        </is>
      </c>
      <c r="CL932" s="17" t="n"/>
      <c r="CM932" s="16" t="n"/>
      <c r="CN932" s="20" t="inlineStr">
        <is>
          <t>SOP 45-34</t>
        </is>
      </c>
      <c r="CO932" s="20" t="inlineStr">
        <is>
          <t>None</t>
        </is>
      </c>
      <c r="CP932" s="17" t="n"/>
      <c r="CQ932" s="16" t="n"/>
      <c r="CR932" s="20" t="n"/>
      <c r="CS932" s="20" t="inlineStr">
        <is>
          <t>None</t>
        </is>
      </c>
      <c r="CT932" s="17" t="n"/>
      <c r="CU932" s="16" t="n"/>
      <c r="CV932" s="20" t="n"/>
      <c r="CW932" s="20" t="inlineStr">
        <is>
          <t>None</t>
        </is>
      </c>
      <c r="CX932" s="17" t="n"/>
      <c r="CY932" s="16" t="n"/>
      <c r="CZ932" s="20" t="inlineStr">
        <is>
          <t>WTW Multimeter 3430 with FDO 925</t>
        </is>
      </c>
      <c r="DA932" s="20" t="inlineStr">
        <is>
          <t>None</t>
        </is>
      </c>
      <c r="DB932" s="17" t="n"/>
      <c r="DC932" s="16" t="n"/>
      <c r="DD932" s="20" t="n"/>
      <c r="DE932" s="20" t="inlineStr">
        <is>
          <t>None</t>
        </is>
      </c>
      <c r="DF932" s="17" t="n"/>
      <c r="DG932" s="16" t="n"/>
      <c r="DH932" s="20" t="inlineStr">
        <is>
          <t>SOP 45-09</t>
        </is>
      </c>
      <c r="DI932" s="20" t="inlineStr">
        <is>
          <t>None</t>
        </is>
      </c>
      <c r="DJ932" s="17" t="n"/>
      <c r="DK932" s="16" t="n"/>
      <c r="DL932" s="20" t="inlineStr">
        <is>
          <t>SOP 45-09 (SOP muss noch angepasst werden für VSS)</t>
        </is>
      </c>
      <c r="DM932" s="20" t="inlineStr">
        <is>
          <t>None</t>
        </is>
      </c>
      <c r="DN932" s="17" t="n"/>
      <c r="DO932" s="16" t="n"/>
      <c r="DP932" s="20" t="inlineStr">
        <is>
          <t>IC Organic Acids</t>
        </is>
      </c>
      <c r="DQ932" s="20" t="inlineStr">
        <is>
          <t>None</t>
        </is>
      </c>
      <c r="DR932" s="17" t="n"/>
      <c r="DS932" s="16" t="n"/>
      <c r="DT932" s="20" t="inlineStr">
        <is>
          <t>IC Organic Acids</t>
        </is>
      </c>
      <c r="DU932" s="20" t="inlineStr">
        <is>
          <t>None</t>
        </is>
      </c>
      <c r="DV932" s="17" t="n"/>
      <c r="DW932" s="16" t="n"/>
      <c r="DX932" s="20" t="inlineStr">
        <is>
          <t>IC Organic Acids</t>
        </is>
      </c>
      <c r="DY932" s="20" t="inlineStr">
        <is>
          <t>None</t>
        </is>
      </c>
      <c r="DZ932" s="17" t="n"/>
      <c r="EA932" s="16" t="n"/>
      <c r="EB932" s="20" t="inlineStr">
        <is>
          <t>IC Organic Acids</t>
        </is>
      </c>
      <c r="EC932" s="20" t="inlineStr">
        <is>
          <t>None</t>
        </is>
      </c>
      <c r="ED932" s="17" t="n"/>
      <c r="EE932" s="16" t="n"/>
      <c r="EF932" s="20" t="inlineStr">
        <is>
          <t>IC Organic Acids</t>
        </is>
      </c>
      <c r="EG932" s="20" t="inlineStr">
        <is>
          <t>None</t>
        </is>
      </c>
      <c r="EH932" s="17" t="n"/>
      <c r="EI932" s="16" t="n"/>
      <c r="EJ932" s="20" t="inlineStr">
        <is>
          <t>IC Organic Acids</t>
        </is>
      </c>
      <c r="EK932" s="20" t="inlineStr">
        <is>
          <t>None</t>
        </is>
      </c>
      <c r="EL932" s="17" t="n"/>
      <c r="EM932" s="16" t="n"/>
      <c r="EN932" s="20" t="inlineStr">
        <is>
          <t>IC Organic Acids</t>
        </is>
      </c>
      <c r="EO932" s="20" t="inlineStr">
        <is>
          <t>None</t>
        </is>
      </c>
      <c r="EP932" s="17" t="n"/>
      <c r="EQ932" s="16" t="n"/>
      <c r="ER932" s="20" t="inlineStr">
        <is>
          <t>IC Organic Acids</t>
        </is>
      </c>
      <c r="ES932" s="20" t="inlineStr">
        <is>
          <t>None</t>
        </is>
      </c>
      <c r="ET932" s="17" t="n"/>
      <c r="EU932" s="16" t="n"/>
      <c r="EV932" s="20" t="inlineStr">
        <is>
          <t>LC-MS</t>
        </is>
      </c>
      <c r="EW932" s="20" t="inlineStr">
        <is>
          <t>None</t>
        </is>
      </c>
      <c r="EX932" s="17" t="n"/>
      <c r="EY932" s="21" t="n"/>
      <c r="EZ932">
        <f>CONCATENATE(A932,B932)</f>
        <v/>
      </c>
      <c r="FA932">
        <f>CONCATENATE(SamplesX!A932,SamplesX!B932)</f>
        <v/>
      </c>
      <c r="FC932">
        <f>MATCH(EZ932,FA1:FA1008,0)</f>
        <v/>
      </c>
    </row>
    <row r="933">
      <c r="A933" s="16" t="n"/>
      <c r="B933" s="17" t="n"/>
      <c r="C933" s="10">
        <f>IF(ISNUMBER(FC933),INDIRECT("SamplesX!C"&amp;FC933),IF(ISNUMBER(FD933),INDIRECT("SamplesY!C"&amp;FD933),""))</f>
        <v/>
      </c>
      <c r="D933" s="12">
        <f>IF(ISNUMBER(FC933),INDIRECT("SamplesX!D"&amp;FC933),IF(ISNUMBER(FD933),INDIRECT("SamplesY!D"&amp;FD933),""))</f>
        <v/>
      </c>
      <c r="E933" s="12">
        <f>IF(ISNUMBER(FC933),INDIRECT("SamplesX!E"&amp;FC933),IF(ISNUMBER(FD933),INDIRECT("SamplesY!E"&amp;FD933),""))</f>
        <v/>
      </c>
      <c r="F933" s="11">
        <f>IF(ISNUMBER(FC933),INDIRECT("SamplesX!F"&amp;FC933),IF(ISNUMBER(FD933),INDIRECT("SamplesY!F"&amp;FD933),""))</f>
        <v/>
      </c>
      <c r="G933" s="18">
        <f>IF(ISNUMBER(FC933),INDIRECT("SamplesX!G"&amp;FC933),IF(ISNUMBER(FD933),INDIRECT("SamplesY!G"&amp;FD933),""))</f>
        <v/>
      </c>
      <c r="H933" s="19">
        <f>IF(ISNUMBER(FC933),INDIRECT("SamplesX!H"&amp;FC933),IF(ISNUMBER(FD933),INDIRECT("SamplesY!H"&amp;FD933),""))</f>
        <v/>
      </c>
      <c r="I933" s="16" t="n"/>
      <c r="J933" s="16" t="n"/>
      <c r="K933" s="16" t="n"/>
      <c r="L933" s="20" t="n"/>
      <c r="M933" s="20" t="inlineStr">
        <is>
          <t>None</t>
        </is>
      </c>
      <c r="N933" s="17" t="n"/>
      <c r="O933" s="16" t="n"/>
      <c r="P933" s="20" t="inlineStr">
        <is>
          <t>Shimadzu TOC-L</t>
        </is>
      </c>
      <c r="Q933" s="20" t="inlineStr">
        <is>
          <t>None</t>
        </is>
      </c>
      <c r="R933" s="17" t="n"/>
      <c r="S933" s="16" t="n"/>
      <c r="T933" s="20" t="inlineStr">
        <is>
          <t>Shimadzu TOC-L</t>
        </is>
      </c>
      <c r="U933" s="20" t="inlineStr">
        <is>
          <t>None</t>
        </is>
      </c>
      <c r="V933" s="17" t="n"/>
      <c r="W933" s="16" t="n"/>
      <c r="X933" s="20" t="n"/>
      <c r="Y933" s="20" t="inlineStr">
        <is>
          <t>None</t>
        </is>
      </c>
      <c r="Z933" s="17" t="n"/>
      <c r="AA933" s="16" t="n"/>
      <c r="AB933" s="20" t="n"/>
      <c r="AC933" s="20" t="inlineStr">
        <is>
          <t>None</t>
        </is>
      </c>
      <c r="AD933" s="17" t="n"/>
      <c r="AE933" s="16" t="n"/>
      <c r="AF933" s="20" t="inlineStr">
        <is>
          <t>IC Anionen</t>
        </is>
      </c>
      <c r="AG933" s="20" t="inlineStr">
        <is>
          <t>None</t>
        </is>
      </c>
      <c r="AH933" s="17" t="n"/>
      <c r="AI933" s="16" t="n"/>
      <c r="AJ933" s="20" t="n"/>
      <c r="AK933" s="20" t="inlineStr">
        <is>
          <t>None</t>
        </is>
      </c>
      <c r="AL933" s="17" t="n"/>
      <c r="AM933" s="16" t="n"/>
      <c r="AN933" s="20" t="inlineStr">
        <is>
          <t>IC Anionen</t>
        </is>
      </c>
      <c r="AO933" s="20" t="inlineStr">
        <is>
          <t>None</t>
        </is>
      </c>
      <c r="AP933" s="17" t="n"/>
      <c r="AQ933" s="16" t="n"/>
      <c r="AR933" s="20" t="n"/>
      <c r="AS933" s="20" t="inlineStr">
        <is>
          <t>None</t>
        </is>
      </c>
      <c r="AT933" s="17" t="n"/>
      <c r="AU933" s="16" t="n"/>
      <c r="AV933" s="20" t="n"/>
      <c r="AW933" s="20" t="inlineStr">
        <is>
          <t>None</t>
        </is>
      </c>
      <c r="AX933" s="17" t="n"/>
      <c r="AY933" s="16" t="n"/>
      <c r="AZ933" s="20" t="inlineStr">
        <is>
          <t>IC Anionen</t>
        </is>
      </c>
      <c r="BA933" s="20" t="inlineStr">
        <is>
          <t>None</t>
        </is>
      </c>
      <c r="BB933" s="17" t="n"/>
      <c r="BC933" s="16" t="n"/>
      <c r="BD933" s="20" t="inlineStr">
        <is>
          <t>IC Kationen</t>
        </is>
      </c>
      <c r="BE933" s="20" t="inlineStr">
        <is>
          <t>None</t>
        </is>
      </c>
      <c r="BF933" s="17" t="n"/>
      <c r="BG933" s="16" t="n"/>
      <c r="BH933" s="20" t="inlineStr">
        <is>
          <t>IC Kationen</t>
        </is>
      </c>
      <c r="BI933" s="20" t="inlineStr">
        <is>
          <t>None</t>
        </is>
      </c>
      <c r="BJ933" s="17" t="n"/>
      <c r="BK933" s="16" t="n"/>
      <c r="BL933" s="20" t="inlineStr">
        <is>
          <t>IC Kationen</t>
        </is>
      </c>
      <c r="BM933" s="20" t="inlineStr">
        <is>
          <t>None</t>
        </is>
      </c>
      <c r="BN933" s="17" t="n"/>
      <c r="BO933" s="16" t="n"/>
      <c r="BP933" s="20" t="inlineStr">
        <is>
          <t>IC Kationen</t>
        </is>
      </c>
      <c r="BQ933" s="20" t="inlineStr">
        <is>
          <t>None</t>
        </is>
      </c>
      <c r="BR933" s="17" t="n"/>
      <c r="BS933" s="16" t="n"/>
      <c r="BT933" s="20" t="inlineStr">
        <is>
          <t>IC Kationen</t>
        </is>
      </c>
      <c r="BU933" s="20" t="inlineStr">
        <is>
          <t>None</t>
        </is>
      </c>
      <c r="BV933" s="17" t="n"/>
      <c r="BW933" s="16" t="n"/>
      <c r="BX933" s="20" t="n"/>
      <c r="BY933" s="20" t="inlineStr">
        <is>
          <t>None</t>
        </is>
      </c>
      <c r="BZ933" s="17" t="n"/>
      <c r="CA933" s="16" t="n"/>
      <c r="CB933" s="20" t="n"/>
      <c r="CC933" s="20" t="inlineStr">
        <is>
          <t>None</t>
        </is>
      </c>
      <c r="CD933" s="17" t="n"/>
      <c r="CE933" s="16" t="n"/>
      <c r="CF933" s="20" t="n"/>
      <c r="CG933" s="20" t="inlineStr">
        <is>
          <t>None</t>
        </is>
      </c>
      <c r="CH933" s="17" t="n"/>
      <c r="CI933" s="16" t="n"/>
      <c r="CJ933" s="20" t="n"/>
      <c r="CK933" s="20" t="inlineStr">
        <is>
          <t>None</t>
        </is>
      </c>
      <c r="CL933" s="17" t="n"/>
      <c r="CM933" s="16" t="n"/>
      <c r="CN933" s="20" t="inlineStr">
        <is>
          <t>SOP 45-34</t>
        </is>
      </c>
      <c r="CO933" s="20" t="inlineStr">
        <is>
          <t>None</t>
        </is>
      </c>
      <c r="CP933" s="17" t="n"/>
      <c r="CQ933" s="16" t="n"/>
      <c r="CR933" s="20" t="n"/>
      <c r="CS933" s="20" t="inlineStr">
        <is>
          <t>None</t>
        </is>
      </c>
      <c r="CT933" s="17" t="n"/>
      <c r="CU933" s="16" t="n"/>
      <c r="CV933" s="20" t="n"/>
      <c r="CW933" s="20" t="inlineStr">
        <is>
          <t>None</t>
        </is>
      </c>
      <c r="CX933" s="17" t="n"/>
      <c r="CY933" s="16" t="n"/>
      <c r="CZ933" s="20" t="inlineStr">
        <is>
          <t>WTW Multimeter 3430 with FDO 925</t>
        </is>
      </c>
      <c r="DA933" s="20" t="inlineStr">
        <is>
          <t>None</t>
        </is>
      </c>
      <c r="DB933" s="17" t="n"/>
      <c r="DC933" s="16" t="n"/>
      <c r="DD933" s="20" t="n"/>
      <c r="DE933" s="20" t="inlineStr">
        <is>
          <t>None</t>
        </is>
      </c>
      <c r="DF933" s="17" t="n"/>
      <c r="DG933" s="16" t="n"/>
      <c r="DH933" s="20" t="inlineStr">
        <is>
          <t>SOP 45-09</t>
        </is>
      </c>
      <c r="DI933" s="20" t="inlineStr">
        <is>
          <t>None</t>
        </is>
      </c>
      <c r="DJ933" s="17" t="n"/>
      <c r="DK933" s="16" t="n"/>
      <c r="DL933" s="20" t="inlineStr">
        <is>
          <t>SOP 45-09 (SOP muss noch angepasst werden für VSS)</t>
        </is>
      </c>
      <c r="DM933" s="20" t="inlineStr">
        <is>
          <t>None</t>
        </is>
      </c>
      <c r="DN933" s="17" t="n"/>
      <c r="DO933" s="16" t="n"/>
      <c r="DP933" s="20" t="inlineStr">
        <is>
          <t>IC Organic Acids</t>
        </is>
      </c>
      <c r="DQ933" s="20" t="inlineStr">
        <is>
          <t>None</t>
        </is>
      </c>
      <c r="DR933" s="17" t="n"/>
      <c r="DS933" s="16" t="n"/>
      <c r="DT933" s="20" t="inlineStr">
        <is>
          <t>IC Organic Acids</t>
        </is>
      </c>
      <c r="DU933" s="20" t="inlineStr">
        <is>
          <t>None</t>
        </is>
      </c>
      <c r="DV933" s="17" t="n"/>
      <c r="DW933" s="16" t="n"/>
      <c r="DX933" s="20" t="inlineStr">
        <is>
          <t>IC Organic Acids</t>
        </is>
      </c>
      <c r="DY933" s="20" t="inlineStr">
        <is>
          <t>None</t>
        </is>
      </c>
      <c r="DZ933" s="17" t="n"/>
      <c r="EA933" s="16" t="n"/>
      <c r="EB933" s="20" t="inlineStr">
        <is>
          <t>IC Organic Acids</t>
        </is>
      </c>
      <c r="EC933" s="20" t="inlineStr">
        <is>
          <t>None</t>
        </is>
      </c>
      <c r="ED933" s="17" t="n"/>
      <c r="EE933" s="16" t="n"/>
      <c r="EF933" s="20" t="inlineStr">
        <is>
          <t>IC Organic Acids</t>
        </is>
      </c>
      <c r="EG933" s="20" t="inlineStr">
        <is>
          <t>None</t>
        </is>
      </c>
      <c r="EH933" s="17" t="n"/>
      <c r="EI933" s="16" t="n"/>
      <c r="EJ933" s="20" t="inlineStr">
        <is>
          <t>IC Organic Acids</t>
        </is>
      </c>
      <c r="EK933" s="20" t="inlineStr">
        <is>
          <t>None</t>
        </is>
      </c>
      <c r="EL933" s="17" t="n"/>
      <c r="EM933" s="16" t="n"/>
      <c r="EN933" s="20" t="inlineStr">
        <is>
          <t>IC Organic Acids</t>
        </is>
      </c>
      <c r="EO933" s="20" t="inlineStr">
        <is>
          <t>None</t>
        </is>
      </c>
      <c r="EP933" s="17" t="n"/>
      <c r="EQ933" s="16" t="n"/>
      <c r="ER933" s="20" t="inlineStr">
        <is>
          <t>IC Organic Acids</t>
        </is>
      </c>
      <c r="ES933" s="20" t="inlineStr">
        <is>
          <t>None</t>
        </is>
      </c>
      <c r="ET933" s="17" t="n"/>
      <c r="EU933" s="16" t="n"/>
      <c r="EV933" s="20" t="inlineStr">
        <is>
          <t>LC-MS</t>
        </is>
      </c>
      <c r="EW933" s="20" t="inlineStr">
        <is>
          <t>None</t>
        </is>
      </c>
      <c r="EX933" s="17" t="n"/>
      <c r="EY933" s="21" t="n"/>
      <c r="EZ933">
        <f>CONCATENATE(A933,B933)</f>
        <v/>
      </c>
      <c r="FA933">
        <f>CONCATENATE(SamplesX!A933,SamplesX!B933)</f>
        <v/>
      </c>
      <c r="FC933">
        <f>MATCH(EZ933,FA1:FA1008,0)</f>
        <v/>
      </c>
    </row>
    <row r="934">
      <c r="A934" s="16" t="n"/>
      <c r="B934" s="17" t="n"/>
      <c r="C934" s="10">
        <f>IF(ISNUMBER(FC934),INDIRECT("SamplesX!C"&amp;FC934),IF(ISNUMBER(FD934),INDIRECT("SamplesY!C"&amp;FD934),""))</f>
        <v/>
      </c>
      <c r="D934" s="12">
        <f>IF(ISNUMBER(FC934),INDIRECT("SamplesX!D"&amp;FC934),IF(ISNUMBER(FD934),INDIRECT("SamplesY!D"&amp;FD934),""))</f>
        <v/>
      </c>
      <c r="E934" s="12">
        <f>IF(ISNUMBER(FC934),INDIRECT("SamplesX!E"&amp;FC934),IF(ISNUMBER(FD934),INDIRECT("SamplesY!E"&amp;FD934),""))</f>
        <v/>
      </c>
      <c r="F934" s="11">
        <f>IF(ISNUMBER(FC934),INDIRECT("SamplesX!F"&amp;FC934),IF(ISNUMBER(FD934),INDIRECT("SamplesY!F"&amp;FD934),""))</f>
        <v/>
      </c>
      <c r="G934" s="18">
        <f>IF(ISNUMBER(FC934),INDIRECT("SamplesX!G"&amp;FC934),IF(ISNUMBER(FD934),INDIRECT("SamplesY!G"&amp;FD934),""))</f>
        <v/>
      </c>
      <c r="H934" s="19">
        <f>IF(ISNUMBER(FC934),INDIRECT("SamplesX!H"&amp;FC934),IF(ISNUMBER(FD934),INDIRECT("SamplesY!H"&amp;FD934),""))</f>
        <v/>
      </c>
      <c r="I934" s="16" t="n"/>
      <c r="J934" s="16" t="n"/>
      <c r="K934" s="16" t="n"/>
      <c r="L934" s="20" t="n"/>
      <c r="M934" s="20" t="inlineStr">
        <is>
          <t>None</t>
        </is>
      </c>
      <c r="N934" s="17" t="n"/>
      <c r="O934" s="16" t="n"/>
      <c r="P934" s="20" t="inlineStr">
        <is>
          <t>Shimadzu TOC-L</t>
        </is>
      </c>
      <c r="Q934" s="20" t="inlineStr">
        <is>
          <t>None</t>
        </is>
      </c>
      <c r="R934" s="17" t="n"/>
      <c r="S934" s="16" t="n"/>
      <c r="T934" s="20" t="inlineStr">
        <is>
          <t>Shimadzu TOC-L</t>
        </is>
      </c>
      <c r="U934" s="20" t="inlineStr">
        <is>
          <t>None</t>
        </is>
      </c>
      <c r="V934" s="17" t="n"/>
      <c r="W934" s="16" t="n"/>
      <c r="X934" s="20" t="n"/>
      <c r="Y934" s="20" t="inlineStr">
        <is>
          <t>None</t>
        </is>
      </c>
      <c r="Z934" s="17" t="n"/>
      <c r="AA934" s="16" t="n"/>
      <c r="AB934" s="20" t="n"/>
      <c r="AC934" s="20" t="inlineStr">
        <is>
          <t>None</t>
        </is>
      </c>
      <c r="AD934" s="17" t="n"/>
      <c r="AE934" s="16" t="n"/>
      <c r="AF934" s="20" t="inlineStr">
        <is>
          <t>IC Anionen</t>
        </is>
      </c>
      <c r="AG934" s="20" t="inlineStr">
        <is>
          <t>None</t>
        </is>
      </c>
      <c r="AH934" s="17" t="n"/>
      <c r="AI934" s="16" t="n"/>
      <c r="AJ934" s="20" t="n"/>
      <c r="AK934" s="20" t="inlineStr">
        <is>
          <t>None</t>
        </is>
      </c>
      <c r="AL934" s="17" t="n"/>
      <c r="AM934" s="16" t="n"/>
      <c r="AN934" s="20" t="inlineStr">
        <is>
          <t>IC Anionen</t>
        </is>
      </c>
      <c r="AO934" s="20" t="inlineStr">
        <is>
          <t>None</t>
        </is>
      </c>
      <c r="AP934" s="17" t="n"/>
      <c r="AQ934" s="16" t="n"/>
      <c r="AR934" s="20" t="n"/>
      <c r="AS934" s="20" t="inlineStr">
        <is>
          <t>None</t>
        </is>
      </c>
      <c r="AT934" s="17" t="n"/>
      <c r="AU934" s="16" t="n"/>
      <c r="AV934" s="20" t="n"/>
      <c r="AW934" s="20" t="inlineStr">
        <is>
          <t>None</t>
        </is>
      </c>
      <c r="AX934" s="17" t="n"/>
      <c r="AY934" s="16" t="n"/>
      <c r="AZ934" s="20" t="inlineStr">
        <is>
          <t>IC Anionen</t>
        </is>
      </c>
      <c r="BA934" s="20" t="inlineStr">
        <is>
          <t>None</t>
        </is>
      </c>
      <c r="BB934" s="17" t="n"/>
      <c r="BC934" s="16" t="n"/>
      <c r="BD934" s="20" t="inlineStr">
        <is>
          <t>IC Kationen</t>
        </is>
      </c>
      <c r="BE934" s="20" t="inlineStr">
        <is>
          <t>None</t>
        </is>
      </c>
      <c r="BF934" s="17" t="n"/>
      <c r="BG934" s="16" t="n"/>
      <c r="BH934" s="20" t="inlineStr">
        <is>
          <t>IC Kationen</t>
        </is>
      </c>
      <c r="BI934" s="20" t="inlineStr">
        <is>
          <t>None</t>
        </is>
      </c>
      <c r="BJ934" s="17" t="n"/>
      <c r="BK934" s="16" t="n"/>
      <c r="BL934" s="20" t="inlineStr">
        <is>
          <t>IC Kationen</t>
        </is>
      </c>
      <c r="BM934" s="20" t="inlineStr">
        <is>
          <t>None</t>
        </is>
      </c>
      <c r="BN934" s="17" t="n"/>
      <c r="BO934" s="16" t="n"/>
      <c r="BP934" s="20" t="inlineStr">
        <is>
          <t>IC Kationen</t>
        </is>
      </c>
      <c r="BQ934" s="20" t="inlineStr">
        <is>
          <t>None</t>
        </is>
      </c>
      <c r="BR934" s="17" t="n"/>
      <c r="BS934" s="16" t="n"/>
      <c r="BT934" s="20" t="inlineStr">
        <is>
          <t>IC Kationen</t>
        </is>
      </c>
      <c r="BU934" s="20" t="inlineStr">
        <is>
          <t>None</t>
        </is>
      </c>
      <c r="BV934" s="17" t="n"/>
      <c r="BW934" s="16" t="n"/>
      <c r="BX934" s="20" t="n"/>
      <c r="BY934" s="20" t="inlineStr">
        <is>
          <t>None</t>
        </is>
      </c>
      <c r="BZ934" s="17" t="n"/>
      <c r="CA934" s="16" t="n"/>
      <c r="CB934" s="20" t="n"/>
      <c r="CC934" s="20" t="inlineStr">
        <is>
          <t>None</t>
        </is>
      </c>
      <c r="CD934" s="17" t="n"/>
      <c r="CE934" s="16" t="n"/>
      <c r="CF934" s="20" t="n"/>
      <c r="CG934" s="20" t="inlineStr">
        <is>
          <t>None</t>
        </is>
      </c>
      <c r="CH934" s="17" t="n"/>
      <c r="CI934" s="16" t="n"/>
      <c r="CJ934" s="20" t="n"/>
      <c r="CK934" s="20" t="inlineStr">
        <is>
          <t>None</t>
        </is>
      </c>
      <c r="CL934" s="17" t="n"/>
      <c r="CM934" s="16" t="n"/>
      <c r="CN934" s="20" t="inlineStr">
        <is>
          <t>SOP 45-34</t>
        </is>
      </c>
      <c r="CO934" s="20" t="inlineStr">
        <is>
          <t>None</t>
        </is>
      </c>
      <c r="CP934" s="17" t="n"/>
      <c r="CQ934" s="16" t="n"/>
      <c r="CR934" s="20" t="n"/>
      <c r="CS934" s="20" t="inlineStr">
        <is>
          <t>None</t>
        </is>
      </c>
      <c r="CT934" s="17" t="n"/>
      <c r="CU934" s="16" t="n"/>
      <c r="CV934" s="20" t="n"/>
      <c r="CW934" s="20" t="inlineStr">
        <is>
          <t>None</t>
        </is>
      </c>
      <c r="CX934" s="17" t="n"/>
      <c r="CY934" s="16" t="n"/>
      <c r="CZ934" s="20" t="inlineStr">
        <is>
          <t>WTW Multimeter 3430 with FDO 925</t>
        </is>
      </c>
      <c r="DA934" s="20" t="inlineStr">
        <is>
          <t>None</t>
        </is>
      </c>
      <c r="DB934" s="17" t="n"/>
      <c r="DC934" s="16" t="n"/>
      <c r="DD934" s="20" t="n"/>
      <c r="DE934" s="20" t="inlineStr">
        <is>
          <t>None</t>
        </is>
      </c>
      <c r="DF934" s="17" t="n"/>
      <c r="DG934" s="16" t="n"/>
      <c r="DH934" s="20" t="inlineStr">
        <is>
          <t>SOP 45-09</t>
        </is>
      </c>
      <c r="DI934" s="20" t="inlineStr">
        <is>
          <t>None</t>
        </is>
      </c>
      <c r="DJ934" s="17" t="n"/>
      <c r="DK934" s="16" t="n"/>
      <c r="DL934" s="20" t="inlineStr">
        <is>
          <t>SOP 45-09 (SOP muss noch angepasst werden für VSS)</t>
        </is>
      </c>
      <c r="DM934" s="20" t="inlineStr">
        <is>
          <t>None</t>
        </is>
      </c>
      <c r="DN934" s="17" t="n"/>
      <c r="DO934" s="16" t="n"/>
      <c r="DP934" s="20" t="inlineStr">
        <is>
          <t>IC Organic Acids</t>
        </is>
      </c>
      <c r="DQ934" s="20" t="inlineStr">
        <is>
          <t>None</t>
        </is>
      </c>
      <c r="DR934" s="17" t="n"/>
      <c r="DS934" s="16" t="n"/>
      <c r="DT934" s="20" t="inlineStr">
        <is>
          <t>IC Organic Acids</t>
        </is>
      </c>
      <c r="DU934" s="20" t="inlineStr">
        <is>
          <t>None</t>
        </is>
      </c>
      <c r="DV934" s="17" t="n"/>
      <c r="DW934" s="16" t="n"/>
      <c r="DX934" s="20" t="inlineStr">
        <is>
          <t>IC Organic Acids</t>
        </is>
      </c>
      <c r="DY934" s="20" t="inlineStr">
        <is>
          <t>None</t>
        </is>
      </c>
      <c r="DZ934" s="17" t="n"/>
      <c r="EA934" s="16" t="n"/>
      <c r="EB934" s="20" t="inlineStr">
        <is>
          <t>IC Organic Acids</t>
        </is>
      </c>
      <c r="EC934" s="20" t="inlineStr">
        <is>
          <t>None</t>
        </is>
      </c>
      <c r="ED934" s="17" t="n"/>
      <c r="EE934" s="16" t="n"/>
      <c r="EF934" s="20" t="inlineStr">
        <is>
          <t>IC Organic Acids</t>
        </is>
      </c>
      <c r="EG934" s="20" t="inlineStr">
        <is>
          <t>None</t>
        </is>
      </c>
      <c r="EH934" s="17" t="n"/>
      <c r="EI934" s="16" t="n"/>
      <c r="EJ934" s="20" t="inlineStr">
        <is>
          <t>IC Organic Acids</t>
        </is>
      </c>
      <c r="EK934" s="20" t="inlineStr">
        <is>
          <t>None</t>
        </is>
      </c>
      <c r="EL934" s="17" t="n"/>
      <c r="EM934" s="16" t="n"/>
      <c r="EN934" s="20" t="inlineStr">
        <is>
          <t>IC Organic Acids</t>
        </is>
      </c>
      <c r="EO934" s="20" t="inlineStr">
        <is>
          <t>None</t>
        </is>
      </c>
      <c r="EP934" s="17" t="n"/>
      <c r="EQ934" s="16" t="n"/>
      <c r="ER934" s="20" t="inlineStr">
        <is>
          <t>IC Organic Acids</t>
        </is>
      </c>
      <c r="ES934" s="20" t="inlineStr">
        <is>
          <t>None</t>
        </is>
      </c>
      <c r="ET934" s="17" t="n"/>
      <c r="EU934" s="16" t="n"/>
      <c r="EV934" s="20" t="inlineStr">
        <is>
          <t>LC-MS</t>
        </is>
      </c>
      <c r="EW934" s="20" t="inlineStr">
        <is>
          <t>None</t>
        </is>
      </c>
      <c r="EX934" s="17" t="n"/>
      <c r="EY934" s="21" t="n"/>
      <c r="EZ934">
        <f>CONCATENATE(A934,B934)</f>
        <v/>
      </c>
      <c r="FA934">
        <f>CONCATENATE(SamplesX!A934,SamplesX!B934)</f>
        <v/>
      </c>
      <c r="FC934">
        <f>MATCH(EZ934,FA1:FA1008,0)</f>
        <v/>
      </c>
    </row>
    <row r="935">
      <c r="A935" s="16" t="n"/>
      <c r="B935" s="17" t="n"/>
      <c r="C935" s="10">
        <f>IF(ISNUMBER(FC935),INDIRECT("SamplesX!C"&amp;FC935),IF(ISNUMBER(FD935),INDIRECT("SamplesY!C"&amp;FD935),""))</f>
        <v/>
      </c>
      <c r="D935" s="12">
        <f>IF(ISNUMBER(FC935),INDIRECT("SamplesX!D"&amp;FC935),IF(ISNUMBER(FD935),INDIRECT("SamplesY!D"&amp;FD935),""))</f>
        <v/>
      </c>
      <c r="E935" s="12">
        <f>IF(ISNUMBER(FC935),INDIRECT("SamplesX!E"&amp;FC935),IF(ISNUMBER(FD935),INDIRECT("SamplesY!E"&amp;FD935),""))</f>
        <v/>
      </c>
      <c r="F935" s="11">
        <f>IF(ISNUMBER(FC935),INDIRECT("SamplesX!F"&amp;FC935),IF(ISNUMBER(FD935),INDIRECT("SamplesY!F"&amp;FD935),""))</f>
        <v/>
      </c>
      <c r="G935" s="18">
        <f>IF(ISNUMBER(FC935),INDIRECT("SamplesX!G"&amp;FC935),IF(ISNUMBER(FD935),INDIRECT("SamplesY!G"&amp;FD935),""))</f>
        <v/>
      </c>
      <c r="H935" s="19">
        <f>IF(ISNUMBER(FC935),INDIRECT("SamplesX!H"&amp;FC935),IF(ISNUMBER(FD935),INDIRECT("SamplesY!H"&amp;FD935),""))</f>
        <v/>
      </c>
      <c r="I935" s="16" t="n"/>
      <c r="J935" s="16" t="n"/>
      <c r="K935" s="16" t="n"/>
      <c r="L935" s="20" t="n"/>
      <c r="M935" s="20" t="inlineStr">
        <is>
          <t>None</t>
        </is>
      </c>
      <c r="N935" s="17" t="n"/>
      <c r="O935" s="16" t="n"/>
      <c r="P935" s="20" t="inlineStr">
        <is>
          <t>Shimadzu TOC-L</t>
        </is>
      </c>
      <c r="Q935" s="20" t="inlineStr">
        <is>
          <t>None</t>
        </is>
      </c>
      <c r="R935" s="17" t="n"/>
      <c r="S935" s="16" t="n"/>
      <c r="T935" s="20" t="inlineStr">
        <is>
          <t>Shimadzu TOC-L</t>
        </is>
      </c>
      <c r="U935" s="20" t="inlineStr">
        <is>
          <t>None</t>
        </is>
      </c>
      <c r="V935" s="17" t="n"/>
      <c r="W935" s="16" t="n"/>
      <c r="X935" s="20" t="n"/>
      <c r="Y935" s="20" t="inlineStr">
        <is>
          <t>None</t>
        </is>
      </c>
      <c r="Z935" s="17" t="n"/>
      <c r="AA935" s="16" t="n"/>
      <c r="AB935" s="20" t="n"/>
      <c r="AC935" s="20" t="inlineStr">
        <is>
          <t>None</t>
        </is>
      </c>
      <c r="AD935" s="17" t="n"/>
      <c r="AE935" s="16" t="n"/>
      <c r="AF935" s="20" t="inlineStr">
        <is>
          <t>IC Anionen</t>
        </is>
      </c>
      <c r="AG935" s="20" t="inlineStr">
        <is>
          <t>None</t>
        </is>
      </c>
      <c r="AH935" s="17" t="n"/>
      <c r="AI935" s="16" t="n"/>
      <c r="AJ935" s="20" t="n"/>
      <c r="AK935" s="20" t="inlineStr">
        <is>
          <t>None</t>
        </is>
      </c>
      <c r="AL935" s="17" t="n"/>
      <c r="AM935" s="16" t="n"/>
      <c r="AN935" s="20" t="inlineStr">
        <is>
          <t>IC Anionen</t>
        </is>
      </c>
      <c r="AO935" s="20" t="inlineStr">
        <is>
          <t>None</t>
        </is>
      </c>
      <c r="AP935" s="17" t="n"/>
      <c r="AQ935" s="16" t="n"/>
      <c r="AR935" s="20" t="n"/>
      <c r="AS935" s="20" t="inlineStr">
        <is>
          <t>None</t>
        </is>
      </c>
      <c r="AT935" s="17" t="n"/>
      <c r="AU935" s="16" t="n"/>
      <c r="AV935" s="20" t="n"/>
      <c r="AW935" s="20" t="inlineStr">
        <is>
          <t>None</t>
        </is>
      </c>
      <c r="AX935" s="17" t="n"/>
      <c r="AY935" s="16" t="n"/>
      <c r="AZ935" s="20" t="inlineStr">
        <is>
          <t>IC Anionen</t>
        </is>
      </c>
      <c r="BA935" s="20" t="inlineStr">
        <is>
          <t>None</t>
        </is>
      </c>
      <c r="BB935" s="17" t="n"/>
      <c r="BC935" s="16" t="n"/>
      <c r="BD935" s="20" t="inlineStr">
        <is>
          <t>IC Kationen</t>
        </is>
      </c>
      <c r="BE935" s="20" t="inlineStr">
        <is>
          <t>None</t>
        </is>
      </c>
      <c r="BF935" s="17" t="n"/>
      <c r="BG935" s="16" t="n"/>
      <c r="BH935" s="20" t="inlineStr">
        <is>
          <t>IC Kationen</t>
        </is>
      </c>
      <c r="BI935" s="20" t="inlineStr">
        <is>
          <t>None</t>
        </is>
      </c>
      <c r="BJ935" s="17" t="n"/>
      <c r="BK935" s="16" t="n"/>
      <c r="BL935" s="20" t="inlineStr">
        <is>
          <t>IC Kationen</t>
        </is>
      </c>
      <c r="BM935" s="20" t="inlineStr">
        <is>
          <t>None</t>
        </is>
      </c>
      <c r="BN935" s="17" t="n"/>
      <c r="BO935" s="16" t="n"/>
      <c r="BP935" s="20" t="inlineStr">
        <is>
          <t>IC Kationen</t>
        </is>
      </c>
      <c r="BQ935" s="20" t="inlineStr">
        <is>
          <t>None</t>
        </is>
      </c>
      <c r="BR935" s="17" t="n"/>
      <c r="BS935" s="16" t="n"/>
      <c r="BT935" s="20" t="inlineStr">
        <is>
          <t>IC Kationen</t>
        </is>
      </c>
      <c r="BU935" s="20" t="inlineStr">
        <is>
          <t>None</t>
        </is>
      </c>
      <c r="BV935" s="17" t="n"/>
      <c r="BW935" s="16" t="n"/>
      <c r="BX935" s="20" t="n"/>
      <c r="BY935" s="20" t="inlineStr">
        <is>
          <t>None</t>
        </is>
      </c>
      <c r="BZ935" s="17" t="n"/>
      <c r="CA935" s="16" t="n"/>
      <c r="CB935" s="20" t="n"/>
      <c r="CC935" s="20" t="inlineStr">
        <is>
          <t>None</t>
        </is>
      </c>
      <c r="CD935" s="17" t="n"/>
      <c r="CE935" s="16" t="n"/>
      <c r="CF935" s="20" t="n"/>
      <c r="CG935" s="20" t="inlineStr">
        <is>
          <t>None</t>
        </is>
      </c>
      <c r="CH935" s="17" t="n"/>
      <c r="CI935" s="16" t="n"/>
      <c r="CJ935" s="20" t="n"/>
      <c r="CK935" s="20" t="inlineStr">
        <is>
          <t>None</t>
        </is>
      </c>
      <c r="CL935" s="17" t="n"/>
      <c r="CM935" s="16" t="n"/>
      <c r="CN935" s="20" t="inlineStr">
        <is>
          <t>SOP 45-34</t>
        </is>
      </c>
      <c r="CO935" s="20" t="inlineStr">
        <is>
          <t>None</t>
        </is>
      </c>
      <c r="CP935" s="17" t="n"/>
      <c r="CQ935" s="16" t="n"/>
      <c r="CR935" s="20" t="n"/>
      <c r="CS935" s="20" t="inlineStr">
        <is>
          <t>None</t>
        </is>
      </c>
      <c r="CT935" s="17" t="n"/>
      <c r="CU935" s="16" t="n"/>
      <c r="CV935" s="20" t="n"/>
      <c r="CW935" s="20" t="inlineStr">
        <is>
          <t>None</t>
        </is>
      </c>
      <c r="CX935" s="17" t="n"/>
      <c r="CY935" s="16" t="n"/>
      <c r="CZ935" s="20" t="inlineStr">
        <is>
          <t>WTW Multimeter 3430 with FDO 925</t>
        </is>
      </c>
      <c r="DA935" s="20" t="inlineStr">
        <is>
          <t>None</t>
        </is>
      </c>
      <c r="DB935" s="17" t="n"/>
      <c r="DC935" s="16" t="n"/>
      <c r="DD935" s="20" t="n"/>
      <c r="DE935" s="20" t="inlineStr">
        <is>
          <t>None</t>
        </is>
      </c>
      <c r="DF935" s="17" t="n"/>
      <c r="DG935" s="16" t="n"/>
      <c r="DH935" s="20" t="inlineStr">
        <is>
          <t>SOP 45-09</t>
        </is>
      </c>
      <c r="DI935" s="20" t="inlineStr">
        <is>
          <t>None</t>
        </is>
      </c>
      <c r="DJ935" s="17" t="n"/>
      <c r="DK935" s="16" t="n"/>
      <c r="DL935" s="20" t="inlineStr">
        <is>
          <t>SOP 45-09 (SOP muss noch angepasst werden für VSS)</t>
        </is>
      </c>
      <c r="DM935" s="20" t="inlineStr">
        <is>
          <t>None</t>
        </is>
      </c>
      <c r="DN935" s="17" t="n"/>
      <c r="DO935" s="16" t="n"/>
      <c r="DP935" s="20" t="inlineStr">
        <is>
          <t>IC Organic Acids</t>
        </is>
      </c>
      <c r="DQ935" s="20" t="inlineStr">
        <is>
          <t>None</t>
        </is>
      </c>
      <c r="DR935" s="17" t="n"/>
      <c r="DS935" s="16" t="n"/>
      <c r="DT935" s="20" t="inlineStr">
        <is>
          <t>IC Organic Acids</t>
        </is>
      </c>
      <c r="DU935" s="20" t="inlineStr">
        <is>
          <t>None</t>
        </is>
      </c>
      <c r="DV935" s="17" t="n"/>
      <c r="DW935" s="16" t="n"/>
      <c r="DX935" s="20" t="inlineStr">
        <is>
          <t>IC Organic Acids</t>
        </is>
      </c>
      <c r="DY935" s="20" t="inlineStr">
        <is>
          <t>None</t>
        </is>
      </c>
      <c r="DZ935" s="17" t="n"/>
      <c r="EA935" s="16" t="n"/>
      <c r="EB935" s="20" t="inlineStr">
        <is>
          <t>IC Organic Acids</t>
        </is>
      </c>
      <c r="EC935" s="20" t="inlineStr">
        <is>
          <t>None</t>
        </is>
      </c>
      <c r="ED935" s="17" t="n"/>
      <c r="EE935" s="16" t="n"/>
      <c r="EF935" s="20" t="inlineStr">
        <is>
          <t>IC Organic Acids</t>
        </is>
      </c>
      <c r="EG935" s="20" t="inlineStr">
        <is>
          <t>None</t>
        </is>
      </c>
      <c r="EH935" s="17" t="n"/>
      <c r="EI935" s="16" t="n"/>
      <c r="EJ935" s="20" t="inlineStr">
        <is>
          <t>IC Organic Acids</t>
        </is>
      </c>
      <c r="EK935" s="20" t="inlineStr">
        <is>
          <t>None</t>
        </is>
      </c>
      <c r="EL935" s="17" t="n"/>
      <c r="EM935" s="16" t="n"/>
      <c r="EN935" s="20" t="inlineStr">
        <is>
          <t>IC Organic Acids</t>
        </is>
      </c>
      <c r="EO935" s="20" t="inlineStr">
        <is>
          <t>None</t>
        </is>
      </c>
      <c r="EP935" s="17" t="n"/>
      <c r="EQ935" s="16" t="n"/>
      <c r="ER935" s="20" t="inlineStr">
        <is>
          <t>IC Organic Acids</t>
        </is>
      </c>
      <c r="ES935" s="20" t="inlineStr">
        <is>
          <t>None</t>
        </is>
      </c>
      <c r="ET935" s="17" t="n"/>
      <c r="EU935" s="16" t="n"/>
      <c r="EV935" s="20" t="inlineStr">
        <is>
          <t>LC-MS</t>
        </is>
      </c>
      <c r="EW935" s="20" t="inlineStr">
        <is>
          <t>None</t>
        </is>
      </c>
      <c r="EX935" s="17" t="n"/>
      <c r="EY935" s="21" t="n"/>
      <c r="EZ935">
        <f>CONCATENATE(A935,B935)</f>
        <v/>
      </c>
      <c r="FA935">
        <f>CONCATENATE(SamplesX!A935,SamplesX!B935)</f>
        <v/>
      </c>
      <c r="FC935">
        <f>MATCH(EZ935,FA1:FA1008,0)</f>
        <v/>
      </c>
    </row>
    <row r="936">
      <c r="A936" s="16" t="n"/>
      <c r="B936" s="17" t="n"/>
      <c r="C936" s="10">
        <f>IF(ISNUMBER(FC936),INDIRECT("SamplesX!C"&amp;FC936),IF(ISNUMBER(FD936),INDIRECT("SamplesY!C"&amp;FD936),""))</f>
        <v/>
      </c>
      <c r="D936" s="12">
        <f>IF(ISNUMBER(FC936),INDIRECT("SamplesX!D"&amp;FC936),IF(ISNUMBER(FD936),INDIRECT("SamplesY!D"&amp;FD936),""))</f>
        <v/>
      </c>
      <c r="E936" s="12">
        <f>IF(ISNUMBER(FC936),INDIRECT("SamplesX!E"&amp;FC936),IF(ISNUMBER(FD936),INDIRECT("SamplesY!E"&amp;FD936),""))</f>
        <v/>
      </c>
      <c r="F936" s="11">
        <f>IF(ISNUMBER(FC936),INDIRECT("SamplesX!F"&amp;FC936),IF(ISNUMBER(FD936),INDIRECT("SamplesY!F"&amp;FD936),""))</f>
        <v/>
      </c>
      <c r="G936" s="18">
        <f>IF(ISNUMBER(FC936),INDIRECT("SamplesX!G"&amp;FC936),IF(ISNUMBER(FD936),INDIRECT("SamplesY!G"&amp;FD936),""))</f>
        <v/>
      </c>
      <c r="H936" s="19">
        <f>IF(ISNUMBER(FC936),INDIRECT("SamplesX!H"&amp;FC936),IF(ISNUMBER(FD936),INDIRECT("SamplesY!H"&amp;FD936),""))</f>
        <v/>
      </c>
      <c r="I936" s="16" t="n"/>
      <c r="J936" s="16" t="n"/>
      <c r="K936" s="16" t="n"/>
      <c r="L936" s="20" t="n"/>
      <c r="M936" s="20" t="inlineStr">
        <is>
          <t>None</t>
        </is>
      </c>
      <c r="N936" s="17" t="n"/>
      <c r="O936" s="16" t="n"/>
      <c r="P936" s="20" t="inlineStr">
        <is>
          <t>Shimadzu TOC-L</t>
        </is>
      </c>
      <c r="Q936" s="20" t="inlineStr">
        <is>
          <t>None</t>
        </is>
      </c>
      <c r="R936" s="17" t="n"/>
      <c r="S936" s="16" t="n"/>
      <c r="T936" s="20" t="inlineStr">
        <is>
          <t>Shimadzu TOC-L</t>
        </is>
      </c>
      <c r="U936" s="20" t="inlineStr">
        <is>
          <t>None</t>
        </is>
      </c>
      <c r="V936" s="17" t="n"/>
      <c r="W936" s="16" t="n"/>
      <c r="X936" s="20" t="n"/>
      <c r="Y936" s="20" t="inlineStr">
        <is>
          <t>None</t>
        </is>
      </c>
      <c r="Z936" s="17" t="n"/>
      <c r="AA936" s="16" t="n"/>
      <c r="AB936" s="20" t="n"/>
      <c r="AC936" s="20" t="inlineStr">
        <is>
          <t>None</t>
        </is>
      </c>
      <c r="AD936" s="17" t="n"/>
      <c r="AE936" s="16" t="n"/>
      <c r="AF936" s="20" t="inlineStr">
        <is>
          <t>IC Anionen</t>
        </is>
      </c>
      <c r="AG936" s="20" t="inlineStr">
        <is>
          <t>None</t>
        </is>
      </c>
      <c r="AH936" s="17" t="n"/>
      <c r="AI936" s="16" t="n"/>
      <c r="AJ936" s="20" t="n"/>
      <c r="AK936" s="20" t="inlineStr">
        <is>
          <t>None</t>
        </is>
      </c>
      <c r="AL936" s="17" t="n"/>
      <c r="AM936" s="16" t="n"/>
      <c r="AN936" s="20" t="inlineStr">
        <is>
          <t>IC Anionen</t>
        </is>
      </c>
      <c r="AO936" s="20" t="inlineStr">
        <is>
          <t>None</t>
        </is>
      </c>
      <c r="AP936" s="17" t="n"/>
      <c r="AQ936" s="16" t="n"/>
      <c r="AR936" s="20" t="n"/>
      <c r="AS936" s="20" t="inlineStr">
        <is>
          <t>None</t>
        </is>
      </c>
      <c r="AT936" s="17" t="n"/>
      <c r="AU936" s="16" t="n"/>
      <c r="AV936" s="20" t="n"/>
      <c r="AW936" s="20" t="inlineStr">
        <is>
          <t>None</t>
        </is>
      </c>
      <c r="AX936" s="17" t="n"/>
      <c r="AY936" s="16" t="n"/>
      <c r="AZ936" s="20" t="inlineStr">
        <is>
          <t>IC Anionen</t>
        </is>
      </c>
      <c r="BA936" s="20" t="inlineStr">
        <is>
          <t>None</t>
        </is>
      </c>
      <c r="BB936" s="17" t="n"/>
      <c r="BC936" s="16" t="n"/>
      <c r="BD936" s="20" t="inlineStr">
        <is>
          <t>IC Kationen</t>
        </is>
      </c>
      <c r="BE936" s="20" t="inlineStr">
        <is>
          <t>None</t>
        </is>
      </c>
      <c r="BF936" s="17" t="n"/>
      <c r="BG936" s="16" t="n"/>
      <c r="BH936" s="20" t="inlineStr">
        <is>
          <t>IC Kationen</t>
        </is>
      </c>
      <c r="BI936" s="20" t="inlineStr">
        <is>
          <t>None</t>
        </is>
      </c>
      <c r="BJ936" s="17" t="n"/>
      <c r="BK936" s="16" t="n"/>
      <c r="BL936" s="20" t="inlineStr">
        <is>
          <t>IC Kationen</t>
        </is>
      </c>
      <c r="BM936" s="20" t="inlineStr">
        <is>
          <t>None</t>
        </is>
      </c>
      <c r="BN936" s="17" t="n"/>
      <c r="BO936" s="16" t="n"/>
      <c r="BP936" s="20" t="inlineStr">
        <is>
          <t>IC Kationen</t>
        </is>
      </c>
      <c r="BQ936" s="20" t="inlineStr">
        <is>
          <t>None</t>
        </is>
      </c>
      <c r="BR936" s="17" t="n"/>
      <c r="BS936" s="16" t="n"/>
      <c r="BT936" s="20" t="inlineStr">
        <is>
          <t>IC Kationen</t>
        </is>
      </c>
      <c r="BU936" s="20" t="inlineStr">
        <is>
          <t>None</t>
        </is>
      </c>
      <c r="BV936" s="17" t="n"/>
      <c r="BW936" s="16" t="n"/>
      <c r="BX936" s="20" t="n"/>
      <c r="BY936" s="20" t="inlineStr">
        <is>
          <t>None</t>
        </is>
      </c>
      <c r="BZ936" s="17" t="n"/>
      <c r="CA936" s="16" t="n"/>
      <c r="CB936" s="20" t="n"/>
      <c r="CC936" s="20" t="inlineStr">
        <is>
          <t>None</t>
        </is>
      </c>
      <c r="CD936" s="17" t="n"/>
      <c r="CE936" s="16" t="n"/>
      <c r="CF936" s="20" t="n"/>
      <c r="CG936" s="20" t="inlineStr">
        <is>
          <t>None</t>
        </is>
      </c>
      <c r="CH936" s="17" t="n"/>
      <c r="CI936" s="16" t="n"/>
      <c r="CJ936" s="20" t="n"/>
      <c r="CK936" s="20" t="inlineStr">
        <is>
          <t>None</t>
        </is>
      </c>
      <c r="CL936" s="17" t="n"/>
      <c r="CM936" s="16" t="n"/>
      <c r="CN936" s="20" t="inlineStr">
        <is>
          <t>SOP 45-34</t>
        </is>
      </c>
      <c r="CO936" s="20" t="inlineStr">
        <is>
          <t>None</t>
        </is>
      </c>
      <c r="CP936" s="17" t="n"/>
      <c r="CQ936" s="16" t="n"/>
      <c r="CR936" s="20" t="n"/>
      <c r="CS936" s="20" t="inlineStr">
        <is>
          <t>None</t>
        </is>
      </c>
      <c r="CT936" s="17" t="n"/>
      <c r="CU936" s="16" t="n"/>
      <c r="CV936" s="20" t="n"/>
      <c r="CW936" s="20" t="inlineStr">
        <is>
          <t>None</t>
        </is>
      </c>
      <c r="CX936" s="17" t="n"/>
      <c r="CY936" s="16" t="n"/>
      <c r="CZ936" s="20" t="inlineStr">
        <is>
          <t>WTW Multimeter 3430 with FDO 925</t>
        </is>
      </c>
      <c r="DA936" s="20" t="inlineStr">
        <is>
          <t>None</t>
        </is>
      </c>
      <c r="DB936" s="17" t="n"/>
      <c r="DC936" s="16" t="n"/>
      <c r="DD936" s="20" t="n"/>
      <c r="DE936" s="20" t="inlineStr">
        <is>
          <t>None</t>
        </is>
      </c>
      <c r="DF936" s="17" t="n"/>
      <c r="DG936" s="16" t="n"/>
      <c r="DH936" s="20" t="inlineStr">
        <is>
          <t>SOP 45-09</t>
        </is>
      </c>
      <c r="DI936" s="20" t="inlineStr">
        <is>
          <t>None</t>
        </is>
      </c>
      <c r="DJ936" s="17" t="n"/>
      <c r="DK936" s="16" t="n"/>
      <c r="DL936" s="20" t="inlineStr">
        <is>
          <t>SOP 45-09 (SOP muss noch angepasst werden für VSS)</t>
        </is>
      </c>
      <c r="DM936" s="20" t="inlineStr">
        <is>
          <t>None</t>
        </is>
      </c>
      <c r="DN936" s="17" t="n"/>
      <c r="DO936" s="16" t="n"/>
      <c r="DP936" s="20" t="inlineStr">
        <is>
          <t>IC Organic Acids</t>
        </is>
      </c>
      <c r="DQ936" s="20" t="inlineStr">
        <is>
          <t>None</t>
        </is>
      </c>
      <c r="DR936" s="17" t="n"/>
      <c r="DS936" s="16" t="n"/>
      <c r="DT936" s="20" t="inlineStr">
        <is>
          <t>IC Organic Acids</t>
        </is>
      </c>
      <c r="DU936" s="20" t="inlineStr">
        <is>
          <t>None</t>
        </is>
      </c>
      <c r="DV936" s="17" t="n"/>
      <c r="DW936" s="16" t="n"/>
      <c r="DX936" s="20" t="inlineStr">
        <is>
          <t>IC Organic Acids</t>
        </is>
      </c>
      <c r="DY936" s="20" t="inlineStr">
        <is>
          <t>None</t>
        </is>
      </c>
      <c r="DZ936" s="17" t="n"/>
      <c r="EA936" s="16" t="n"/>
      <c r="EB936" s="20" t="inlineStr">
        <is>
          <t>IC Organic Acids</t>
        </is>
      </c>
      <c r="EC936" s="20" t="inlineStr">
        <is>
          <t>None</t>
        </is>
      </c>
      <c r="ED936" s="17" t="n"/>
      <c r="EE936" s="16" t="n"/>
      <c r="EF936" s="20" t="inlineStr">
        <is>
          <t>IC Organic Acids</t>
        </is>
      </c>
      <c r="EG936" s="20" t="inlineStr">
        <is>
          <t>None</t>
        </is>
      </c>
      <c r="EH936" s="17" t="n"/>
      <c r="EI936" s="16" t="n"/>
      <c r="EJ936" s="20" t="inlineStr">
        <is>
          <t>IC Organic Acids</t>
        </is>
      </c>
      <c r="EK936" s="20" t="inlineStr">
        <is>
          <t>None</t>
        </is>
      </c>
      <c r="EL936" s="17" t="n"/>
      <c r="EM936" s="16" t="n"/>
      <c r="EN936" s="20" t="inlineStr">
        <is>
          <t>IC Organic Acids</t>
        </is>
      </c>
      <c r="EO936" s="20" t="inlineStr">
        <is>
          <t>None</t>
        </is>
      </c>
      <c r="EP936" s="17" t="n"/>
      <c r="EQ936" s="16" t="n"/>
      <c r="ER936" s="20" t="inlineStr">
        <is>
          <t>IC Organic Acids</t>
        </is>
      </c>
      <c r="ES936" s="20" t="inlineStr">
        <is>
          <t>None</t>
        </is>
      </c>
      <c r="ET936" s="17" t="n"/>
      <c r="EU936" s="16" t="n"/>
      <c r="EV936" s="20" t="inlineStr">
        <is>
          <t>LC-MS</t>
        </is>
      </c>
      <c r="EW936" s="20" t="inlineStr">
        <is>
          <t>None</t>
        </is>
      </c>
      <c r="EX936" s="17" t="n"/>
      <c r="EY936" s="21" t="n"/>
      <c r="EZ936">
        <f>CONCATENATE(A936,B936)</f>
        <v/>
      </c>
      <c r="FA936">
        <f>CONCATENATE(SamplesX!A936,SamplesX!B936)</f>
        <v/>
      </c>
      <c r="FC936">
        <f>MATCH(EZ936,FA1:FA1008,0)</f>
        <v/>
      </c>
    </row>
    <row r="937">
      <c r="A937" s="16" t="n"/>
      <c r="B937" s="17" t="n"/>
      <c r="C937" s="10">
        <f>IF(ISNUMBER(FC937),INDIRECT("SamplesX!C"&amp;FC937),IF(ISNUMBER(FD937),INDIRECT("SamplesY!C"&amp;FD937),""))</f>
        <v/>
      </c>
      <c r="D937" s="12">
        <f>IF(ISNUMBER(FC937),INDIRECT("SamplesX!D"&amp;FC937),IF(ISNUMBER(FD937),INDIRECT("SamplesY!D"&amp;FD937),""))</f>
        <v/>
      </c>
      <c r="E937" s="12">
        <f>IF(ISNUMBER(FC937),INDIRECT("SamplesX!E"&amp;FC937),IF(ISNUMBER(FD937),INDIRECT("SamplesY!E"&amp;FD937),""))</f>
        <v/>
      </c>
      <c r="F937" s="11">
        <f>IF(ISNUMBER(FC937),INDIRECT("SamplesX!F"&amp;FC937),IF(ISNUMBER(FD937),INDIRECT("SamplesY!F"&amp;FD937),""))</f>
        <v/>
      </c>
      <c r="G937" s="18">
        <f>IF(ISNUMBER(FC937),INDIRECT("SamplesX!G"&amp;FC937),IF(ISNUMBER(FD937),INDIRECT("SamplesY!G"&amp;FD937),""))</f>
        <v/>
      </c>
      <c r="H937" s="19">
        <f>IF(ISNUMBER(FC937),INDIRECT("SamplesX!H"&amp;FC937),IF(ISNUMBER(FD937),INDIRECT("SamplesY!H"&amp;FD937),""))</f>
        <v/>
      </c>
      <c r="I937" s="16" t="n"/>
      <c r="J937" s="16" t="n"/>
      <c r="K937" s="16" t="n"/>
      <c r="L937" s="20" t="n"/>
      <c r="M937" s="20" t="inlineStr">
        <is>
          <t>None</t>
        </is>
      </c>
      <c r="N937" s="17" t="n"/>
      <c r="O937" s="16" t="n"/>
      <c r="P937" s="20" t="inlineStr">
        <is>
          <t>Shimadzu TOC-L</t>
        </is>
      </c>
      <c r="Q937" s="20" t="inlineStr">
        <is>
          <t>None</t>
        </is>
      </c>
      <c r="R937" s="17" t="n"/>
      <c r="S937" s="16" t="n"/>
      <c r="T937" s="20" t="inlineStr">
        <is>
          <t>Shimadzu TOC-L</t>
        </is>
      </c>
      <c r="U937" s="20" t="inlineStr">
        <is>
          <t>None</t>
        </is>
      </c>
      <c r="V937" s="17" t="n"/>
      <c r="W937" s="16" t="n"/>
      <c r="X937" s="20" t="n"/>
      <c r="Y937" s="20" t="inlineStr">
        <is>
          <t>None</t>
        </is>
      </c>
      <c r="Z937" s="17" t="n"/>
      <c r="AA937" s="16" t="n"/>
      <c r="AB937" s="20" t="n"/>
      <c r="AC937" s="20" t="inlineStr">
        <is>
          <t>None</t>
        </is>
      </c>
      <c r="AD937" s="17" t="n"/>
      <c r="AE937" s="16" t="n"/>
      <c r="AF937" s="20" t="inlineStr">
        <is>
          <t>IC Anionen</t>
        </is>
      </c>
      <c r="AG937" s="20" t="inlineStr">
        <is>
          <t>None</t>
        </is>
      </c>
      <c r="AH937" s="17" t="n"/>
      <c r="AI937" s="16" t="n"/>
      <c r="AJ937" s="20" t="n"/>
      <c r="AK937" s="20" t="inlineStr">
        <is>
          <t>None</t>
        </is>
      </c>
      <c r="AL937" s="17" t="n"/>
      <c r="AM937" s="16" t="n"/>
      <c r="AN937" s="20" t="inlineStr">
        <is>
          <t>IC Anionen</t>
        </is>
      </c>
      <c r="AO937" s="20" t="inlineStr">
        <is>
          <t>None</t>
        </is>
      </c>
      <c r="AP937" s="17" t="n"/>
      <c r="AQ937" s="16" t="n"/>
      <c r="AR937" s="20" t="n"/>
      <c r="AS937" s="20" t="inlineStr">
        <is>
          <t>None</t>
        </is>
      </c>
      <c r="AT937" s="17" t="n"/>
      <c r="AU937" s="16" t="n"/>
      <c r="AV937" s="20" t="n"/>
      <c r="AW937" s="20" t="inlineStr">
        <is>
          <t>None</t>
        </is>
      </c>
      <c r="AX937" s="17" t="n"/>
      <c r="AY937" s="16" t="n"/>
      <c r="AZ937" s="20" t="inlineStr">
        <is>
          <t>IC Anionen</t>
        </is>
      </c>
      <c r="BA937" s="20" t="inlineStr">
        <is>
          <t>None</t>
        </is>
      </c>
      <c r="BB937" s="17" t="n"/>
      <c r="BC937" s="16" t="n"/>
      <c r="BD937" s="20" t="inlineStr">
        <is>
          <t>IC Kationen</t>
        </is>
      </c>
      <c r="BE937" s="20" t="inlineStr">
        <is>
          <t>None</t>
        </is>
      </c>
      <c r="BF937" s="17" t="n"/>
      <c r="BG937" s="16" t="n"/>
      <c r="BH937" s="20" t="inlineStr">
        <is>
          <t>IC Kationen</t>
        </is>
      </c>
      <c r="BI937" s="20" t="inlineStr">
        <is>
          <t>None</t>
        </is>
      </c>
      <c r="BJ937" s="17" t="n"/>
      <c r="BK937" s="16" t="n"/>
      <c r="BL937" s="20" t="inlineStr">
        <is>
          <t>IC Kationen</t>
        </is>
      </c>
      <c r="BM937" s="20" t="inlineStr">
        <is>
          <t>None</t>
        </is>
      </c>
      <c r="BN937" s="17" t="n"/>
      <c r="BO937" s="16" t="n"/>
      <c r="BP937" s="20" t="inlineStr">
        <is>
          <t>IC Kationen</t>
        </is>
      </c>
      <c r="BQ937" s="20" t="inlineStr">
        <is>
          <t>None</t>
        </is>
      </c>
      <c r="BR937" s="17" t="n"/>
      <c r="BS937" s="16" t="n"/>
      <c r="BT937" s="20" t="inlineStr">
        <is>
          <t>IC Kationen</t>
        </is>
      </c>
      <c r="BU937" s="20" t="inlineStr">
        <is>
          <t>None</t>
        </is>
      </c>
      <c r="BV937" s="17" t="n"/>
      <c r="BW937" s="16" t="n"/>
      <c r="BX937" s="20" t="n"/>
      <c r="BY937" s="20" t="inlineStr">
        <is>
          <t>None</t>
        </is>
      </c>
      <c r="BZ937" s="17" t="n"/>
      <c r="CA937" s="16" t="n"/>
      <c r="CB937" s="20" t="n"/>
      <c r="CC937" s="20" t="inlineStr">
        <is>
          <t>None</t>
        </is>
      </c>
      <c r="CD937" s="17" t="n"/>
      <c r="CE937" s="16" t="n"/>
      <c r="CF937" s="20" t="n"/>
      <c r="CG937" s="20" t="inlineStr">
        <is>
          <t>None</t>
        </is>
      </c>
      <c r="CH937" s="17" t="n"/>
      <c r="CI937" s="16" t="n"/>
      <c r="CJ937" s="20" t="n"/>
      <c r="CK937" s="20" t="inlineStr">
        <is>
          <t>None</t>
        </is>
      </c>
      <c r="CL937" s="17" t="n"/>
      <c r="CM937" s="16" t="n"/>
      <c r="CN937" s="20" t="inlineStr">
        <is>
          <t>SOP 45-34</t>
        </is>
      </c>
      <c r="CO937" s="20" t="inlineStr">
        <is>
          <t>None</t>
        </is>
      </c>
      <c r="CP937" s="17" t="n"/>
      <c r="CQ937" s="16" t="n"/>
      <c r="CR937" s="20" t="n"/>
      <c r="CS937" s="20" t="inlineStr">
        <is>
          <t>None</t>
        </is>
      </c>
      <c r="CT937" s="17" t="n"/>
      <c r="CU937" s="16" t="n"/>
      <c r="CV937" s="20" t="n"/>
      <c r="CW937" s="20" t="inlineStr">
        <is>
          <t>None</t>
        </is>
      </c>
      <c r="CX937" s="17" t="n"/>
      <c r="CY937" s="16" t="n"/>
      <c r="CZ937" s="20" t="inlineStr">
        <is>
          <t>WTW Multimeter 3430 with FDO 925</t>
        </is>
      </c>
      <c r="DA937" s="20" t="inlineStr">
        <is>
          <t>None</t>
        </is>
      </c>
      <c r="DB937" s="17" t="n"/>
      <c r="DC937" s="16" t="n"/>
      <c r="DD937" s="20" t="n"/>
      <c r="DE937" s="20" t="inlineStr">
        <is>
          <t>None</t>
        </is>
      </c>
      <c r="DF937" s="17" t="n"/>
      <c r="DG937" s="16" t="n"/>
      <c r="DH937" s="20" t="inlineStr">
        <is>
          <t>SOP 45-09</t>
        </is>
      </c>
      <c r="DI937" s="20" t="inlineStr">
        <is>
          <t>None</t>
        </is>
      </c>
      <c r="DJ937" s="17" t="n"/>
      <c r="DK937" s="16" t="n"/>
      <c r="DL937" s="20" t="inlineStr">
        <is>
          <t>SOP 45-09 (SOP muss noch angepasst werden für VSS)</t>
        </is>
      </c>
      <c r="DM937" s="20" t="inlineStr">
        <is>
          <t>None</t>
        </is>
      </c>
      <c r="DN937" s="17" t="n"/>
      <c r="DO937" s="16" t="n"/>
      <c r="DP937" s="20" t="inlineStr">
        <is>
          <t>IC Organic Acids</t>
        </is>
      </c>
      <c r="DQ937" s="20" t="inlineStr">
        <is>
          <t>None</t>
        </is>
      </c>
      <c r="DR937" s="17" t="n"/>
      <c r="DS937" s="16" t="n"/>
      <c r="DT937" s="20" t="inlineStr">
        <is>
          <t>IC Organic Acids</t>
        </is>
      </c>
      <c r="DU937" s="20" t="inlineStr">
        <is>
          <t>None</t>
        </is>
      </c>
      <c r="DV937" s="17" t="n"/>
      <c r="DW937" s="16" t="n"/>
      <c r="DX937" s="20" t="inlineStr">
        <is>
          <t>IC Organic Acids</t>
        </is>
      </c>
      <c r="DY937" s="20" t="inlineStr">
        <is>
          <t>None</t>
        </is>
      </c>
      <c r="DZ937" s="17" t="n"/>
      <c r="EA937" s="16" t="n"/>
      <c r="EB937" s="20" t="inlineStr">
        <is>
          <t>IC Organic Acids</t>
        </is>
      </c>
      <c r="EC937" s="20" t="inlineStr">
        <is>
          <t>None</t>
        </is>
      </c>
      <c r="ED937" s="17" t="n"/>
      <c r="EE937" s="16" t="n"/>
      <c r="EF937" s="20" t="inlineStr">
        <is>
          <t>IC Organic Acids</t>
        </is>
      </c>
      <c r="EG937" s="20" t="inlineStr">
        <is>
          <t>None</t>
        </is>
      </c>
      <c r="EH937" s="17" t="n"/>
      <c r="EI937" s="16" t="n"/>
      <c r="EJ937" s="20" t="inlineStr">
        <is>
          <t>IC Organic Acids</t>
        </is>
      </c>
      <c r="EK937" s="20" t="inlineStr">
        <is>
          <t>None</t>
        </is>
      </c>
      <c r="EL937" s="17" t="n"/>
      <c r="EM937" s="16" t="n"/>
      <c r="EN937" s="20" t="inlineStr">
        <is>
          <t>IC Organic Acids</t>
        </is>
      </c>
      <c r="EO937" s="20" t="inlineStr">
        <is>
          <t>None</t>
        </is>
      </c>
      <c r="EP937" s="17" t="n"/>
      <c r="EQ937" s="16" t="n"/>
      <c r="ER937" s="20" t="inlineStr">
        <is>
          <t>IC Organic Acids</t>
        </is>
      </c>
      <c r="ES937" s="20" t="inlineStr">
        <is>
          <t>None</t>
        </is>
      </c>
      <c r="ET937" s="17" t="n"/>
      <c r="EU937" s="16" t="n"/>
      <c r="EV937" s="20" t="inlineStr">
        <is>
          <t>LC-MS</t>
        </is>
      </c>
      <c r="EW937" s="20" t="inlineStr">
        <is>
          <t>None</t>
        </is>
      </c>
      <c r="EX937" s="17" t="n"/>
      <c r="EY937" s="21" t="n"/>
      <c r="EZ937">
        <f>CONCATENATE(A937,B937)</f>
        <v/>
      </c>
      <c r="FA937">
        <f>CONCATENATE(SamplesX!A937,SamplesX!B937)</f>
        <v/>
      </c>
      <c r="FC937">
        <f>MATCH(EZ937,FA1:FA1008,0)</f>
        <v/>
      </c>
    </row>
    <row r="938">
      <c r="A938" s="16" t="n"/>
      <c r="B938" s="17" t="n"/>
      <c r="C938" s="10">
        <f>IF(ISNUMBER(FC938),INDIRECT("SamplesX!C"&amp;FC938),IF(ISNUMBER(FD938),INDIRECT("SamplesY!C"&amp;FD938),""))</f>
        <v/>
      </c>
      <c r="D938" s="12">
        <f>IF(ISNUMBER(FC938),INDIRECT("SamplesX!D"&amp;FC938),IF(ISNUMBER(FD938),INDIRECT("SamplesY!D"&amp;FD938),""))</f>
        <v/>
      </c>
      <c r="E938" s="12">
        <f>IF(ISNUMBER(FC938),INDIRECT("SamplesX!E"&amp;FC938),IF(ISNUMBER(FD938),INDIRECT("SamplesY!E"&amp;FD938),""))</f>
        <v/>
      </c>
      <c r="F938" s="11">
        <f>IF(ISNUMBER(FC938),INDIRECT("SamplesX!F"&amp;FC938),IF(ISNUMBER(FD938),INDIRECT("SamplesY!F"&amp;FD938),""))</f>
        <v/>
      </c>
      <c r="G938" s="18">
        <f>IF(ISNUMBER(FC938),INDIRECT("SamplesX!G"&amp;FC938),IF(ISNUMBER(FD938),INDIRECT("SamplesY!G"&amp;FD938),""))</f>
        <v/>
      </c>
      <c r="H938" s="19">
        <f>IF(ISNUMBER(FC938),INDIRECT("SamplesX!H"&amp;FC938),IF(ISNUMBER(FD938),INDIRECT("SamplesY!H"&amp;FD938),""))</f>
        <v/>
      </c>
      <c r="I938" s="16" t="n"/>
      <c r="J938" s="16" t="n"/>
      <c r="K938" s="16" t="n"/>
      <c r="L938" s="20" t="n"/>
      <c r="M938" s="20" t="inlineStr">
        <is>
          <t>None</t>
        </is>
      </c>
      <c r="N938" s="17" t="n"/>
      <c r="O938" s="16" t="n"/>
      <c r="P938" s="20" t="inlineStr">
        <is>
          <t>Shimadzu TOC-L</t>
        </is>
      </c>
      <c r="Q938" s="20" t="inlineStr">
        <is>
          <t>None</t>
        </is>
      </c>
      <c r="R938" s="17" t="n"/>
      <c r="S938" s="16" t="n"/>
      <c r="T938" s="20" t="inlineStr">
        <is>
          <t>Shimadzu TOC-L</t>
        </is>
      </c>
      <c r="U938" s="20" t="inlineStr">
        <is>
          <t>None</t>
        </is>
      </c>
      <c r="V938" s="17" t="n"/>
      <c r="W938" s="16" t="n"/>
      <c r="X938" s="20" t="n"/>
      <c r="Y938" s="20" t="inlineStr">
        <is>
          <t>None</t>
        </is>
      </c>
      <c r="Z938" s="17" t="n"/>
      <c r="AA938" s="16" t="n"/>
      <c r="AB938" s="20" t="n"/>
      <c r="AC938" s="20" t="inlineStr">
        <is>
          <t>None</t>
        </is>
      </c>
      <c r="AD938" s="17" t="n"/>
      <c r="AE938" s="16" t="n"/>
      <c r="AF938" s="20" t="inlineStr">
        <is>
          <t>IC Anionen</t>
        </is>
      </c>
      <c r="AG938" s="20" t="inlineStr">
        <is>
          <t>None</t>
        </is>
      </c>
      <c r="AH938" s="17" t="n"/>
      <c r="AI938" s="16" t="n"/>
      <c r="AJ938" s="20" t="n"/>
      <c r="AK938" s="20" t="inlineStr">
        <is>
          <t>None</t>
        </is>
      </c>
      <c r="AL938" s="17" t="n"/>
      <c r="AM938" s="16" t="n"/>
      <c r="AN938" s="20" t="inlineStr">
        <is>
          <t>IC Anionen</t>
        </is>
      </c>
      <c r="AO938" s="20" t="inlineStr">
        <is>
          <t>None</t>
        </is>
      </c>
      <c r="AP938" s="17" t="n"/>
      <c r="AQ938" s="16" t="n"/>
      <c r="AR938" s="20" t="n"/>
      <c r="AS938" s="20" t="inlineStr">
        <is>
          <t>None</t>
        </is>
      </c>
      <c r="AT938" s="17" t="n"/>
      <c r="AU938" s="16" t="n"/>
      <c r="AV938" s="20" t="n"/>
      <c r="AW938" s="20" t="inlineStr">
        <is>
          <t>None</t>
        </is>
      </c>
      <c r="AX938" s="17" t="n"/>
      <c r="AY938" s="16" t="n"/>
      <c r="AZ938" s="20" t="inlineStr">
        <is>
          <t>IC Anionen</t>
        </is>
      </c>
      <c r="BA938" s="20" t="inlineStr">
        <is>
          <t>None</t>
        </is>
      </c>
      <c r="BB938" s="17" t="n"/>
      <c r="BC938" s="16" t="n"/>
      <c r="BD938" s="20" t="inlineStr">
        <is>
          <t>IC Kationen</t>
        </is>
      </c>
      <c r="BE938" s="20" t="inlineStr">
        <is>
          <t>None</t>
        </is>
      </c>
      <c r="BF938" s="17" t="n"/>
      <c r="BG938" s="16" t="n"/>
      <c r="BH938" s="20" t="inlineStr">
        <is>
          <t>IC Kationen</t>
        </is>
      </c>
      <c r="BI938" s="20" t="inlineStr">
        <is>
          <t>None</t>
        </is>
      </c>
      <c r="BJ938" s="17" t="n"/>
      <c r="BK938" s="16" t="n"/>
      <c r="BL938" s="20" t="inlineStr">
        <is>
          <t>IC Kationen</t>
        </is>
      </c>
      <c r="BM938" s="20" t="inlineStr">
        <is>
          <t>None</t>
        </is>
      </c>
      <c r="BN938" s="17" t="n"/>
      <c r="BO938" s="16" t="n"/>
      <c r="BP938" s="20" t="inlineStr">
        <is>
          <t>IC Kationen</t>
        </is>
      </c>
      <c r="BQ938" s="20" t="inlineStr">
        <is>
          <t>None</t>
        </is>
      </c>
      <c r="BR938" s="17" t="n"/>
      <c r="BS938" s="16" t="n"/>
      <c r="BT938" s="20" t="inlineStr">
        <is>
          <t>IC Kationen</t>
        </is>
      </c>
      <c r="BU938" s="20" t="inlineStr">
        <is>
          <t>None</t>
        </is>
      </c>
      <c r="BV938" s="17" t="n"/>
      <c r="BW938" s="16" t="n"/>
      <c r="BX938" s="20" t="n"/>
      <c r="BY938" s="20" t="inlineStr">
        <is>
          <t>None</t>
        </is>
      </c>
      <c r="BZ938" s="17" t="n"/>
      <c r="CA938" s="16" t="n"/>
      <c r="CB938" s="20" t="n"/>
      <c r="CC938" s="20" t="inlineStr">
        <is>
          <t>None</t>
        </is>
      </c>
      <c r="CD938" s="17" t="n"/>
      <c r="CE938" s="16" t="n"/>
      <c r="CF938" s="20" t="n"/>
      <c r="CG938" s="20" t="inlineStr">
        <is>
          <t>None</t>
        </is>
      </c>
      <c r="CH938" s="17" t="n"/>
      <c r="CI938" s="16" t="n"/>
      <c r="CJ938" s="20" t="n"/>
      <c r="CK938" s="20" t="inlineStr">
        <is>
          <t>None</t>
        </is>
      </c>
      <c r="CL938" s="17" t="n"/>
      <c r="CM938" s="16" t="n"/>
      <c r="CN938" s="20" t="inlineStr">
        <is>
          <t>SOP 45-34</t>
        </is>
      </c>
      <c r="CO938" s="20" t="inlineStr">
        <is>
          <t>None</t>
        </is>
      </c>
      <c r="CP938" s="17" t="n"/>
      <c r="CQ938" s="16" t="n"/>
      <c r="CR938" s="20" t="n"/>
      <c r="CS938" s="20" t="inlineStr">
        <is>
          <t>None</t>
        </is>
      </c>
      <c r="CT938" s="17" t="n"/>
      <c r="CU938" s="16" t="n"/>
      <c r="CV938" s="20" t="n"/>
      <c r="CW938" s="20" t="inlineStr">
        <is>
          <t>None</t>
        </is>
      </c>
      <c r="CX938" s="17" t="n"/>
      <c r="CY938" s="16" t="n"/>
      <c r="CZ938" s="20" t="inlineStr">
        <is>
          <t>WTW Multimeter 3430 with FDO 925</t>
        </is>
      </c>
      <c r="DA938" s="20" t="inlineStr">
        <is>
          <t>None</t>
        </is>
      </c>
      <c r="DB938" s="17" t="n"/>
      <c r="DC938" s="16" t="n"/>
      <c r="DD938" s="20" t="n"/>
      <c r="DE938" s="20" t="inlineStr">
        <is>
          <t>None</t>
        </is>
      </c>
      <c r="DF938" s="17" t="n"/>
      <c r="DG938" s="16" t="n"/>
      <c r="DH938" s="20" t="inlineStr">
        <is>
          <t>SOP 45-09</t>
        </is>
      </c>
      <c r="DI938" s="20" t="inlineStr">
        <is>
          <t>None</t>
        </is>
      </c>
      <c r="DJ938" s="17" t="n"/>
      <c r="DK938" s="16" t="n"/>
      <c r="DL938" s="20" t="inlineStr">
        <is>
          <t>SOP 45-09 (SOP muss noch angepasst werden für VSS)</t>
        </is>
      </c>
      <c r="DM938" s="20" t="inlineStr">
        <is>
          <t>None</t>
        </is>
      </c>
      <c r="DN938" s="17" t="n"/>
      <c r="DO938" s="16" t="n"/>
      <c r="DP938" s="20" t="inlineStr">
        <is>
          <t>IC Organic Acids</t>
        </is>
      </c>
      <c r="DQ938" s="20" t="inlineStr">
        <is>
          <t>None</t>
        </is>
      </c>
      <c r="DR938" s="17" t="n"/>
      <c r="DS938" s="16" t="n"/>
      <c r="DT938" s="20" t="inlineStr">
        <is>
          <t>IC Organic Acids</t>
        </is>
      </c>
      <c r="DU938" s="20" t="inlineStr">
        <is>
          <t>None</t>
        </is>
      </c>
      <c r="DV938" s="17" t="n"/>
      <c r="DW938" s="16" t="n"/>
      <c r="DX938" s="20" t="inlineStr">
        <is>
          <t>IC Organic Acids</t>
        </is>
      </c>
      <c r="DY938" s="20" t="inlineStr">
        <is>
          <t>None</t>
        </is>
      </c>
      <c r="DZ938" s="17" t="n"/>
      <c r="EA938" s="16" t="n"/>
      <c r="EB938" s="20" t="inlineStr">
        <is>
          <t>IC Organic Acids</t>
        </is>
      </c>
      <c r="EC938" s="20" t="inlineStr">
        <is>
          <t>None</t>
        </is>
      </c>
      <c r="ED938" s="17" t="n"/>
      <c r="EE938" s="16" t="n"/>
      <c r="EF938" s="20" t="inlineStr">
        <is>
          <t>IC Organic Acids</t>
        </is>
      </c>
      <c r="EG938" s="20" t="inlineStr">
        <is>
          <t>None</t>
        </is>
      </c>
      <c r="EH938" s="17" t="n"/>
      <c r="EI938" s="16" t="n"/>
      <c r="EJ938" s="20" t="inlineStr">
        <is>
          <t>IC Organic Acids</t>
        </is>
      </c>
      <c r="EK938" s="20" t="inlineStr">
        <is>
          <t>None</t>
        </is>
      </c>
      <c r="EL938" s="17" t="n"/>
      <c r="EM938" s="16" t="n"/>
      <c r="EN938" s="20" t="inlineStr">
        <is>
          <t>IC Organic Acids</t>
        </is>
      </c>
      <c r="EO938" s="20" t="inlineStr">
        <is>
          <t>None</t>
        </is>
      </c>
      <c r="EP938" s="17" t="n"/>
      <c r="EQ938" s="16" t="n"/>
      <c r="ER938" s="20" t="inlineStr">
        <is>
          <t>IC Organic Acids</t>
        </is>
      </c>
      <c r="ES938" s="20" t="inlineStr">
        <is>
          <t>None</t>
        </is>
      </c>
      <c r="ET938" s="17" t="n"/>
      <c r="EU938" s="16" t="n"/>
      <c r="EV938" s="20" t="inlineStr">
        <is>
          <t>LC-MS</t>
        </is>
      </c>
      <c r="EW938" s="20" t="inlineStr">
        <is>
          <t>None</t>
        </is>
      </c>
      <c r="EX938" s="17" t="n"/>
      <c r="EY938" s="21" t="n"/>
      <c r="EZ938">
        <f>CONCATENATE(A938,B938)</f>
        <v/>
      </c>
      <c r="FA938">
        <f>CONCATENATE(SamplesX!A938,SamplesX!B938)</f>
        <v/>
      </c>
      <c r="FC938">
        <f>MATCH(EZ938,FA1:FA1008,0)</f>
        <v/>
      </c>
    </row>
    <row r="939">
      <c r="A939" s="16" t="n"/>
      <c r="B939" s="17" t="n"/>
      <c r="C939" s="10">
        <f>IF(ISNUMBER(FC939),INDIRECT("SamplesX!C"&amp;FC939),IF(ISNUMBER(FD939),INDIRECT("SamplesY!C"&amp;FD939),""))</f>
        <v/>
      </c>
      <c r="D939" s="12">
        <f>IF(ISNUMBER(FC939),INDIRECT("SamplesX!D"&amp;FC939),IF(ISNUMBER(FD939),INDIRECT("SamplesY!D"&amp;FD939),""))</f>
        <v/>
      </c>
      <c r="E939" s="12">
        <f>IF(ISNUMBER(FC939),INDIRECT("SamplesX!E"&amp;FC939),IF(ISNUMBER(FD939),INDIRECT("SamplesY!E"&amp;FD939),""))</f>
        <v/>
      </c>
      <c r="F939" s="11">
        <f>IF(ISNUMBER(FC939),INDIRECT("SamplesX!F"&amp;FC939),IF(ISNUMBER(FD939),INDIRECT("SamplesY!F"&amp;FD939),""))</f>
        <v/>
      </c>
      <c r="G939" s="18">
        <f>IF(ISNUMBER(FC939),INDIRECT("SamplesX!G"&amp;FC939),IF(ISNUMBER(FD939),INDIRECT("SamplesY!G"&amp;FD939),""))</f>
        <v/>
      </c>
      <c r="H939" s="19">
        <f>IF(ISNUMBER(FC939),INDIRECT("SamplesX!H"&amp;FC939),IF(ISNUMBER(FD939),INDIRECT("SamplesY!H"&amp;FD939),""))</f>
        <v/>
      </c>
      <c r="I939" s="16" t="n"/>
      <c r="J939" s="16" t="n"/>
      <c r="K939" s="16" t="n"/>
      <c r="L939" s="20" t="n"/>
      <c r="M939" s="20" t="inlineStr">
        <is>
          <t>None</t>
        </is>
      </c>
      <c r="N939" s="17" t="n"/>
      <c r="O939" s="16" t="n"/>
      <c r="P939" s="20" t="inlineStr">
        <is>
          <t>Shimadzu TOC-L</t>
        </is>
      </c>
      <c r="Q939" s="20" t="inlineStr">
        <is>
          <t>None</t>
        </is>
      </c>
      <c r="R939" s="17" t="n"/>
      <c r="S939" s="16" t="n"/>
      <c r="T939" s="20" t="inlineStr">
        <is>
          <t>Shimadzu TOC-L</t>
        </is>
      </c>
      <c r="U939" s="20" t="inlineStr">
        <is>
          <t>None</t>
        </is>
      </c>
      <c r="V939" s="17" t="n"/>
      <c r="W939" s="16" t="n"/>
      <c r="X939" s="20" t="n"/>
      <c r="Y939" s="20" t="inlineStr">
        <is>
          <t>None</t>
        </is>
      </c>
      <c r="Z939" s="17" t="n"/>
      <c r="AA939" s="16" t="n"/>
      <c r="AB939" s="20" t="n"/>
      <c r="AC939" s="20" t="inlineStr">
        <is>
          <t>None</t>
        </is>
      </c>
      <c r="AD939" s="17" t="n"/>
      <c r="AE939" s="16" t="n"/>
      <c r="AF939" s="20" t="inlineStr">
        <is>
          <t>IC Anionen</t>
        </is>
      </c>
      <c r="AG939" s="20" t="inlineStr">
        <is>
          <t>None</t>
        </is>
      </c>
      <c r="AH939" s="17" t="n"/>
      <c r="AI939" s="16" t="n"/>
      <c r="AJ939" s="20" t="n"/>
      <c r="AK939" s="20" t="inlineStr">
        <is>
          <t>None</t>
        </is>
      </c>
      <c r="AL939" s="17" t="n"/>
      <c r="AM939" s="16" t="n"/>
      <c r="AN939" s="20" t="inlineStr">
        <is>
          <t>IC Anionen</t>
        </is>
      </c>
      <c r="AO939" s="20" t="inlineStr">
        <is>
          <t>None</t>
        </is>
      </c>
      <c r="AP939" s="17" t="n"/>
      <c r="AQ939" s="16" t="n"/>
      <c r="AR939" s="20" t="n"/>
      <c r="AS939" s="20" t="inlineStr">
        <is>
          <t>None</t>
        </is>
      </c>
      <c r="AT939" s="17" t="n"/>
      <c r="AU939" s="16" t="n"/>
      <c r="AV939" s="20" t="n"/>
      <c r="AW939" s="20" t="inlineStr">
        <is>
          <t>None</t>
        </is>
      </c>
      <c r="AX939" s="17" t="n"/>
      <c r="AY939" s="16" t="n"/>
      <c r="AZ939" s="20" t="inlineStr">
        <is>
          <t>IC Anionen</t>
        </is>
      </c>
      <c r="BA939" s="20" t="inlineStr">
        <is>
          <t>None</t>
        </is>
      </c>
      <c r="BB939" s="17" t="n"/>
      <c r="BC939" s="16" t="n"/>
      <c r="BD939" s="20" t="inlineStr">
        <is>
          <t>IC Kationen</t>
        </is>
      </c>
      <c r="BE939" s="20" t="inlineStr">
        <is>
          <t>None</t>
        </is>
      </c>
      <c r="BF939" s="17" t="n"/>
      <c r="BG939" s="16" t="n"/>
      <c r="BH939" s="20" t="inlineStr">
        <is>
          <t>IC Kationen</t>
        </is>
      </c>
      <c r="BI939" s="20" t="inlineStr">
        <is>
          <t>None</t>
        </is>
      </c>
      <c r="BJ939" s="17" t="n"/>
      <c r="BK939" s="16" t="n"/>
      <c r="BL939" s="20" t="inlineStr">
        <is>
          <t>IC Kationen</t>
        </is>
      </c>
      <c r="BM939" s="20" t="inlineStr">
        <is>
          <t>None</t>
        </is>
      </c>
      <c r="BN939" s="17" t="n"/>
      <c r="BO939" s="16" t="n"/>
      <c r="BP939" s="20" t="inlineStr">
        <is>
          <t>IC Kationen</t>
        </is>
      </c>
      <c r="BQ939" s="20" t="inlineStr">
        <is>
          <t>None</t>
        </is>
      </c>
      <c r="BR939" s="17" t="n"/>
      <c r="BS939" s="16" t="n"/>
      <c r="BT939" s="20" t="inlineStr">
        <is>
          <t>IC Kationen</t>
        </is>
      </c>
      <c r="BU939" s="20" t="inlineStr">
        <is>
          <t>None</t>
        </is>
      </c>
      <c r="BV939" s="17" t="n"/>
      <c r="BW939" s="16" t="n"/>
      <c r="BX939" s="20" t="n"/>
      <c r="BY939" s="20" t="inlineStr">
        <is>
          <t>None</t>
        </is>
      </c>
      <c r="BZ939" s="17" t="n"/>
      <c r="CA939" s="16" t="n"/>
      <c r="CB939" s="20" t="n"/>
      <c r="CC939" s="20" t="inlineStr">
        <is>
          <t>None</t>
        </is>
      </c>
      <c r="CD939" s="17" t="n"/>
      <c r="CE939" s="16" t="n"/>
      <c r="CF939" s="20" t="n"/>
      <c r="CG939" s="20" t="inlineStr">
        <is>
          <t>None</t>
        </is>
      </c>
      <c r="CH939" s="17" t="n"/>
      <c r="CI939" s="16" t="n"/>
      <c r="CJ939" s="20" t="n"/>
      <c r="CK939" s="20" t="inlineStr">
        <is>
          <t>None</t>
        </is>
      </c>
      <c r="CL939" s="17" t="n"/>
      <c r="CM939" s="16" t="n"/>
      <c r="CN939" s="20" t="inlineStr">
        <is>
          <t>SOP 45-34</t>
        </is>
      </c>
      <c r="CO939" s="20" t="inlineStr">
        <is>
          <t>None</t>
        </is>
      </c>
      <c r="CP939" s="17" t="n"/>
      <c r="CQ939" s="16" t="n"/>
      <c r="CR939" s="20" t="n"/>
      <c r="CS939" s="20" t="inlineStr">
        <is>
          <t>None</t>
        </is>
      </c>
      <c r="CT939" s="17" t="n"/>
      <c r="CU939" s="16" t="n"/>
      <c r="CV939" s="20" t="n"/>
      <c r="CW939" s="20" t="inlineStr">
        <is>
          <t>None</t>
        </is>
      </c>
      <c r="CX939" s="17" t="n"/>
      <c r="CY939" s="16" t="n"/>
      <c r="CZ939" s="20" t="inlineStr">
        <is>
          <t>WTW Multimeter 3430 with FDO 925</t>
        </is>
      </c>
      <c r="DA939" s="20" t="inlineStr">
        <is>
          <t>None</t>
        </is>
      </c>
      <c r="DB939" s="17" t="n"/>
      <c r="DC939" s="16" t="n"/>
      <c r="DD939" s="20" t="n"/>
      <c r="DE939" s="20" t="inlineStr">
        <is>
          <t>None</t>
        </is>
      </c>
      <c r="DF939" s="17" t="n"/>
      <c r="DG939" s="16" t="n"/>
      <c r="DH939" s="20" t="inlineStr">
        <is>
          <t>SOP 45-09</t>
        </is>
      </c>
      <c r="DI939" s="20" t="inlineStr">
        <is>
          <t>None</t>
        </is>
      </c>
      <c r="DJ939" s="17" t="n"/>
      <c r="DK939" s="16" t="n"/>
      <c r="DL939" s="20" t="inlineStr">
        <is>
          <t>SOP 45-09 (SOP muss noch angepasst werden für VSS)</t>
        </is>
      </c>
      <c r="DM939" s="20" t="inlineStr">
        <is>
          <t>None</t>
        </is>
      </c>
      <c r="DN939" s="17" t="n"/>
      <c r="DO939" s="16" t="n"/>
      <c r="DP939" s="20" t="inlineStr">
        <is>
          <t>IC Organic Acids</t>
        </is>
      </c>
      <c r="DQ939" s="20" t="inlineStr">
        <is>
          <t>None</t>
        </is>
      </c>
      <c r="DR939" s="17" t="n"/>
      <c r="DS939" s="16" t="n"/>
      <c r="DT939" s="20" t="inlineStr">
        <is>
          <t>IC Organic Acids</t>
        </is>
      </c>
      <c r="DU939" s="20" t="inlineStr">
        <is>
          <t>None</t>
        </is>
      </c>
      <c r="DV939" s="17" t="n"/>
      <c r="DW939" s="16" t="n"/>
      <c r="DX939" s="20" t="inlineStr">
        <is>
          <t>IC Organic Acids</t>
        </is>
      </c>
      <c r="DY939" s="20" t="inlineStr">
        <is>
          <t>None</t>
        </is>
      </c>
      <c r="DZ939" s="17" t="n"/>
      <c r="EA939" s="16" t="n"/>
      <c r="EB939" s="20" t="inlineStr">
        <is>
          <t>IC Organic Acids</t>
        </is>
      </c>
      <c r="EC939" s="20" t="inlineStr">
        <is>
          <t>None</t>
        </is>
      </c>
      <c r="ED939" s="17" t="n"/>
      <c r="EE939" s="16" t="n"/>
      <c r="EF939" s="20" t="inlineStr">
        <is>
          <t>IC Organic Acids</t>
        </is>
      </c>
      <c r="EG939" s="20" t="inlineStr">
        <is>
          <t>None</t>
        </is>
      </c>
      <c r="EH939" s="17" t="n"/>
      <c r="EI939" s="16" t="n"/>
      <c r="EJ939" s="20" t="inlineStr">
        <is>
          <t>IC Organic Acids</t>
        </is>
      </c>
      <c r="EK939" s="20" t="inlineStr">
        <is>
          <t>None</t>
        </is>
      </c>
      <c r="EL939" s="17" t="n"/>
      <c r="EM939" s="16" t="n"/>
      <c r="EN939" s="20" t="inlineStr">
        <is>
          <t>IC Organic Acids</t>
        </is>
      </c>
      <c r="EO939" s="20" t="inlineStr">
        <is>
          <t>None</t>
        </is>
      </c>
      <c r="EP939" s="17" t="n"/>
      <c r="EQ939" s="16" t="n"/>
      <c r="ER939" s="20" t="inlineStr">
        <is>
          <t>IC Organic Acids</t>
        </is>
      </c>
      <c r="ES939" s="20" t="inlineStr">
        <is>
          <t>None</t>
        </is>
      </c>
      <c r="ET939" s="17" t="n"/>
      <c r="EU939" s="16" t="n"/>
      <c r="EV939" s="20" t="inlineStr">
        <is>
          <t>LC-MS</t>
        </is>
      </c>
      <c r="EW939" s="20" t="inlineStr">
        <is>
          <t>None</t>
        </is>
      </c>
      <c r="EX939" s="17" t="n"/>
      <c r="EY939" s="21" t="n"/>
      <c r="EZ939">
        <f>CONCATENATE(A939,B939)</f>
        <v/>
      </c>
      <c r="FA939">
        <f>CONCATENATE(SamplesX!A939,SamplesX!B939)</f>
        <v/>
      </c>
      <c r="FC939">
        <f>MATCH(EZ939,FA1:FA1008,0)</f>
        <v/>
      </c>
    </row>
    <row r="940">
      <c r="A940" s="16" t="n"/>
      <c r="B940" s="17" t="n"/>
      <c r="C940" s="10">
        <f>IF(ISNUMBER(FC940),INDIRECT("SamplesX!C"&amp;FC940),IF(ISNUMBER(FD940),INDIRECT("SamplesY!C"&amp;FD940),""))</f>
        <v/>
      </c>
      <c r="D940" s="12">
        <f>IF(ISNUMBER(FC940),INDIRECT("SamplesX!D"&amp;FC940),IF(ISNUMBER(FD940),INDIRECT("SamplesY!D"&amp;FD940),""))</f>
        <v/>
      </c>
      <c r="E940" s="12">
        <f>IF(ISNUMBER(FC940),INDIRECT("SamplesX!E"&amp;FC940),IF(ISNUMBER(FD940),INDIRECT("SamplesY!E"&amp;FD940),""))</f>
        <v/>
      </c>
      <c r="F940" s="11">
        <f>IF(ISNUMBER(FC940),INDIRECT("SamplesX!F"&amp;FC940),IF(ISNUMBER(FD940),INDIRECT("SamplesY!F"&amp;FD940),""))</f>
        <v/>
      </c>
      <c r="G940" s="18">
        <f>IF(ISNUMBER(FC940),INDIRECT("SamplesX!G"&amp;FC940),IF(ISNUMBER(FD940),INDIRECT("SamplesY!G"&amp;FD940),""))</f>
        <v/>
      </c>
      <c r="H940" s="19">
        <f>IF(ISNUMBER(FC940),INDIRECT("SamplesX!H"&amp;FC940),IF(ISNUMBER(FD940),INDIRECT("SamplesY!H"&amp;FD940),""))</f>
        <v/>
      </c>
      <c r="I940" s="16" t="n"/>
      <c r="J940" s="16" t="n"/>
      <c r="K940" s="16" t="n"/>
      <c r="L940" s="20" t="n"/>
      <c r="M940" s="20" t="inlineStr">
        <is>
          <t>None</t>
        </is>
      </c>
      <c r="N940" s="17" t="n"/>
      <c r="O940" s="16" t="n"/>
      <c r="P940" s="20" t="inlineStr">
        <is>
          <t>Shimadzu TOC-L</t>
        </is>
      </c>
      <c r="Q940" s="20" t="inlineStr">
        <is>
          <t>None</t>
        </is>
      </c>
      <c r="R940" s="17" t="n"/>
      <c r="S940" s="16" t="n"/>
      <c r="T940" s="20" t="inlineStr">
        <is>
          <t>Shimadzu TOC-L</t>
        </is>
      </c>
      <c r="U940" s="20" t="inlineStr">
        <is>
          <t>None</t>
        </is>
      </c>
      <c r="V940" s="17" t="n"/>
      <c r="W940" s="16" t="n"/>
      <c r="X940" s="20" t="n"/>
      <c r="Y940" s="20" t="inlineStr">
        <is>
          <t>None</t>
        </is>
      </c>
      <c r="Z940" s="17" t="n"/>
      <c r="AA940" s="16" t="n"/>
      <c r="AB940" s="20" t="n"/>
      <c r="AC940" s="20" t="inlineStr">
        <is>
          <t>None</t>
        </is>
      </c>
      <c r="AD940" s="17" t="n"/>
      <c r="AE940" s="16" t="n"/>
      <c r="AF940" s="20" t="inlineStr">
        <is>
          <t>IC Anionen</t>
        </is>
      </c>
      <c r="AG940" s="20" t="inlineStr">
        <is>
          <t>None</t>
        </is>
      </c>
      <c r="AH940" s="17" t="n"/>
      <c r="AI940" s="16" t="n"/>
      <c r="AJ940" s="20" t="n"/>
      <c r="AK940" s="20" t="inlineStr">
        <is>
          <t>None</t>
        </is>
      </c>
      <c r="AL940" s="17" t="n"/>
      <c r="AM940" s="16" t="n"/>
      <c r="AN940" s="20" t="inlineStr">
        <is>
          <t>IC Anionen</t>
        </is>
      </c>
      <c r="AO940" s="20" t="inlineStr">
        <is>
          <t>None</t>
        </is>
      </c>
      <c r="AP940" s="17" t="n"/>
      <c r="AQ940" s="16" t="n"/>
      <c r="AR940" s="20" t="n"/>
      <c r="AS940" s="20" t="inlineStr">
        <is>
          <t>None</t>
        </is>
      </c>
      <c r="AT940" s="17" t="n"/>
      <c r="AU940" s="16" t="n"/>
      <c r="AV940" s="20" t="n"/>
      <c r="AW940" s="20" t="inlineStr">
        <is>
          <t>None</t>
        </is>
      </c>
      <c r="AX940" s="17" t="n"/>
      <c r="AY940" s="16" t="n"/>
      <c r="AZ940" s="20" t="inlineStr">
        <is>
          <t>IC Anionen</t>
        </is>
      </c>
      <c r="BA940" s="20" t="inlineStr">
        <is>
          <t>None</t>
        </is>
      </c>
      <c r="BB940" s="17" t="n"/>
      <c r="BC940" s="16" t="n"/>
      <c r="BD940" s="20" t="inlineStr">
        <is>
          <t>IC Kationen</t>
        </is>
      </c>
      <c r="BE940" s="20" t="inlineStr">
        <is>
          <t>None</t>
        </is>
      </c>
      <c r="BF940" s="17" t="n"/>
      <c r="BG940" s="16" t="n"/>
      <c r="BH940" s="20" t="inlineStr">
        <is>
          <t>IC Kationen</t>
        </is>
      </c>
      <c r="BI940" s="20" t="inlineStr">
        <is>
          <t>None</t>
        </is>
      </c>
      <c r="BJ940" s="17" t="n"/>
      <c r="BK940" s="16" t="n"/>
      <c r="BL940" s="20" t="inlineStr">
        <is>
          <t>IC Kationen</t>
        </is>
      </c>
      <c r="BM940" s="20" t="inlineStr">
        <is>
          <t>None</t>
        </is>
      </c>
      <c r="BN940" s="17" t="n"/>
      <c r="BO940" s="16" t="n"/>
      <c r="BP940" s="20" t="inlineStr">
        <is>
          <t>IC Kationen</t>
        </is>
      </c>
      <c r="BQ940" s="20" t="inlineStr">
        <is>
          <t>None</t>
        </is>
      </c>
      <c r="BR940" s="17" t="n"/>
      <c r="BS940" s="16" t="n"/>
      <c r="BT940" s="20" t="inlineStr">
        <is>
          <t>IC Kationen</t>
        </is>
      </c>
      <c r="BU940" s="20" t="inlineStr">
        <is>
          <t>None</t>
        </is>
      </c>
      <c r="BV940" s="17" t="n"/>
      <c r="BW940" s="16" t="n"/>
      <c r="BX940" s="20" t="n"/>
      <c r="BY940" s="20" t="inlineStr">
        <is>
          <t>None</t>
        </is>
      </c>
      <c r="BZ940" s="17" t="n"/>
      <c r="CA940" s="16" t="n"/>
      <c r="CB940" s="20" t="n"/>
      <c r="CC940" s="20" t="inlineStr">
        <is>
          <t>None</t>
        </is>
      </c>
      <c r="CD940" s="17" t="n"/>
      <c r="CE940" s="16" t="n"/>
      <c r="CF940" s="20" t="n"/>
      <c r="CG940" s="20" t="inlineStr">
        <is>
          <t>None</t>
        </is>
      </c>
      <c r="CH940" s="17" t="n"/>
      <c r="CI940" s="16" t="n"/>
      <c r="CJ940" s="20" t="n"/>
      <c r="CK940" s="20" t="inlineStr">
        <is>
          <t>None</t>
        </is>
      </c>
      <c r="CL940" s="17" t="n"/>
      <c r="CM940" s="16" t="n"/>
      <c r="CN940" s="20" t="inlineStr">
        <is>
          <t>SOP 45-34</t>
        </is>
      </c>
      <c r="CO940" s="20" t="inlineStr">
        <is>
          <t>None</t>
        </is>
      </c>
      <c r="CP940" s="17" t="n"/>
      <c r="CQ940" s="16" t="n"/>
      <c r="CR940" s="20" t="n"/>
      <c r="CS940" s="20" t="inlineStr">
        <is>
          <t>None</t>
        </is>
      </c>
      <c r="CT940" s="17" t="n"/>
      <c r="CU940" s="16" t="n"/>
      <c r="CV940" s="20" t="n"/>
      <c r="CW940" s="20" t="inlineStr">
        <is>
          <t>None</t>
        </is>
      </c>
      <c r="CX940" s="17" t="n"/>
      <c r="CY940" s="16" t="n"/>
      <c r="CZ940" s="20" t="inlineStr">
        <is>
          <t>WTW Multimeter 3430 with FDO 925</t>
        </is>
      </c>
      <c r="DA940" s="20" t="inlineStr">
        <is>
          <t>None</t>
        </is>
      </c>
      <c r="DB940" s="17" t="n"/>
      <c r="DC940" s="16" t="n"/>
      <c r="DD940" s="20" t="n"/>
      <c r="DE940" s="20" t="inlineStr">
        <is>
          <t>None</t>
        </is>
      </c>
      <c r="DF940" s="17" t="n"/>
      <c r="DG940" s="16" t="n"/>
      <c r="DH940" s="20" t="inlineStr">
        <is>
          <t>SOP 45-09</t>
        </is>
      </c>
      <c r="DI940" s="20" t="inlineStr">
        <is>
          <t>None</t>
        </is>
      </c>
      <c r="DJ940" s="17" t="n"/>
      <c r="DK940" s="16" t="n"/>
      <c r="DL940" s="20" t="inlineStr">
        <is>
          <t>SOP 45-09 (SOP muss noch angepasst werden für VSS)</t>
        </is>
      </c>
      <c r="DM940" s="20" t="inlineStr">
        <is>
          <t>None</t>
        </is>
      </c>
      <c r="DN940" s="17" t="n"/>
      <c r="DO940" s="16" t="n"/>
      <c r="DP940" s="20" t="inlineStr">
        <is>
          <t>IC Organic Acids</t>
        </is>
      </c>
      <c r="DQ940" s="20" t="inlineStr">
        <is>
          <t>None</t>
        </is>
      </c>
      <c r="DR940" s="17" t="n"/>
      <c r="DS940" s="16" t="n"/>
      <c r="DT940" s="20" t="inlineStr">
        <is>
          <t>IC Organic Acids</t>
        </is>
      </c>
      <c r="DU940" s="20" t="inlineStr">
        <is>
          <t>None</t>
        </is>
      </c>
      <c r="DV940" s="17" t="n"/>
      <c r="DW940" s="16" t="n"/>
      <c r="DX940" s="20" t="inlineStr">
        <is>
          <t>IC Organic Acids</t>
        </is>
      </c>
      <c r="DY940" s="20" t="inlineStr">
        <is>
          <t>None</t>
        </is>
      </c>
      <c r="DZ940" s="17" t="n"/>
      <c r="EA940" s="16" t="n"/>
      <c r="EB940" s="20" t="inlineStr">
        <is>
          <t>IC Organic Acids</t>
        </is>
      </c>
      <c r="EC940" s="20" t="inlineStr">
        <is>
          <t>None</t>
        </is>
      </c>
      <c r="ED940" s="17" t="n"/>
      <c r="EE940" s="16" t="n"/>
      <c r="EF940" s="20" t="inlineStr">
        <is>
          <t>IC Organic Acids</t>
        </is>
      </c>
      <c r="EG940" s="20" t="inlineStr">
        <is>
          <t>None</t>
        </is>
      </c>
      <c r="EH940" s="17" t="n"/>
      <c r="EI940" s="16" t="n"/>
      <c r="EJ940" s="20" t="inlineStr">
        <is>
          <t>IC Organic Acids</t>
        </is>
      </c>
      <c r="EK940" s="20" t="inlineStr">
        <is>
          <t>None</t>
        </is>
      </c>
      <c r="EL940" s="17" t="n"/>
      <c r="EM940" s="16" t="n"/>
      <c r="EN940" s="20" t="inlineStr">
        <is>
          <t>IC Organic Acids</t>
        </is>
      </c>
      <c r="EO940" s="20" t="inlineStr">
        <is>
          <t>None</t>
        </is>
      </c>
      <c r="EP940" s="17" t="n"/>
      <c r="EQ940" s="16" t="n"/>
      <c r="ER940" s="20" t="inlineStr">
        <is>
          <t>IC Organic Acids</t>
        </is>
      </c>
      <c r="ES940" s="20" t="inlineStr">
        <is>
          <t>None</t>
        </is>
      </c>
      <c r="ET940" s="17" t="n"/>
      <c r="EU940" s="16" t="n"/>
      <c r="EV940" s="20" t="inlineStr">
        <is>
          <t>LC-MS</t>
        </is>
      </c>
      <c r="EW940" s="20" t="inlineStr">
        <is>
          <t>None</t>
        </is>
      </c>
      <c r="EX940" s="17" t="n"/>
      <c r="EY940" s="21" t="n"/>
      <c r="EZ940">
        <f>CONCATENATE(A940,B940)</f>
        <v/>
      </c>
      <c r="FA940">
        <f>CONCATENATE(SamplesX!A940,SamplesX!B940)</f>
        <v/>
      </c>
      <c r="FC940">
        <f>MATCH(EZ940,FA1:FA1008,0)</f>
        <v/>
      </c>
    </row>
    <row r="941">
      <c r="A941" s="16" t="n"/>
      <c r="B941" s="17" t="n"/>
      <c r="C941" s="10">
        <f>IF(ISNUMBER(FC941),INDIRECT("SamplesX!C"&amp;FC941),IF(ISNUMBER(FD941),INDIRECT("SamplesY!C"&amp;FD941),""))</f>
        <v/>
      </c>
      <c r="D941" s="12">
        <f>IF(ISNUMBER(FC941),INDIRECT("SamplesX!D"&amp;FC941),IF(ISNUMBER(FD941),INDIRECT("SamplesY!D"&amp;FD941),""))</f>
        <v/>
      </c>
      <c r="E941" s="12">
        <f>IF(ISNUMBER(FC941),INDIRECT("SamplesX!E"&amp;FC941),IF(ISNUMBER(FD941),INDIRECT("SamplesY!E"&amp;FD941),""))</f>
        <v/>
      </c>
      <c r="F941" s="11">
        <f>IF(ISNUMBER(FC941),INDIRECT("SamplesX!F"&amp;FC941),IF(ISNUMBER(FD941),INDIRECT("SamplesY!F"&amp;FD941),""))</f>
        <v/>
      </c>
      <c r="G941" s="18">
        <f>IF(ISNUMBER(FC941),INDIRECT("SamplesX!G"&amp;FC941),IF(ISNUMBER(FD941),INDIRECT("SamplesY!G"&amp;FD941),""))</f>
        <v/>
      </c>
      <c r="H941" s="19">
        <f>IF(ISNUMBER(FC941),INDIRECT("SamplesX!H"&amp;FC941),IF(ISNUMBER(FD941),INDIRECT("SamplesY!H"&amp;FD941),""))</f>
        <v/>
      </c>
      <c r="I941" s="16" t="n"/>
      <c r="J941" s="16" t="n"/>
      <c r="K941" s="16" t="n"/>
      <c r="L941" s="20" t="n"/>
      <c r="M941" s="20" t="inlineStr">
        <is>
          <t>None</t>
        </is>
      </c>
      <c r="N941" s="17" t="n"/>
      <c r="O941" s="16" t="n"/>
      <c r="P941" s="20" t="inlineStr">
        <is>
          <t>Shimadzu TOC-L</t>
        </is>
      </c>
      <c r="Q941" s="20" t="inlineStr">
        <is>
          <t>None</t>
        </is>
      </c>
      <c r="R941" s="17" t="n"/>
      <c r="S941" s="16" t="n"/>
      <c r="T941" s="20" t="inlineStr">
        <is>
          <t>Shimadzu TOC-L</t>
        </is>
      </c>
      <c r="U941" s="20" t="inlineStr">
        <is>
          <t>None</t>
        </is>
      </c>
      <c r="V941" s="17" t="n"/>
      <c r="W941" s="16" t="n"/>
      <c r="X941" s="20" t="n"/>
      <c r="Y941" s="20" t="inlineStr">
        <is>
          <t>None</t>
        </is>
      </c>
      <c r="Z941" s="17" t="n"/>
      <c r="AA941" s="16" t="n"/>
      <c r="AB941" s="20" t="n"/>
      <c r="AC941" s="20" t="inlineStr">
        <is>
          <t>None</t>
        </is>
      </c>
      <c r="AD941" s="17" t="n"/>
      <c r="AE941" s="16" t="n"/>
      <c r="AF941" s="20" t="inlineStr">
        <is>
          <t>IC Anionen</t>
        </is>
      </c>
      <c r="AG941" s="20" t="inlineStr">
        <is>
          <t>None</t>
        </is>
      </c>
      <c r="AH941" s="17" t="n"/>
      <c r="AI941" s="16" t="n"/>
      <c r="AJ941" s="20" t="n"/>
      <c r="AK941" s="20" t="inlineStr">
        <is>
          <t>None</t>
        </is>
      </c>
      <c r="AL941" s="17" t="n"/>
      <c r="AM941" s="16" t="n"/>
      <c r="AN941" s="20" t="inlineStr">
        <is>
          <t>IC Anionen</t>
        </is>
      </c>
      <c r="AO941" s="20" t="inlineStr">
        <is>
          <t>None</t>
        </is>
      </c>
      <c r="AP941" s="17" t="n"/>
      <c r="AQ941" s="16" t="n"/>
      <c r="AR941" s="20" t="n"/>
      <c r="AS941" s="20" t="inlineStr">
        <is>
          <t>None</t>
        </is>
      </c>
      <c r="AT941" s="17" t="n"/>
      <c r="AU941" s="16" t="n"/>
      <c r="AV941" s="20" t="n"/>
      <c r="AW941" s="20" t="inlineStr">
        <is>
          <t>None</t>
        </is>
      </c>
      <c r="AX941" s="17" t="n"/>
      <c r="AY941" s="16" t="n"/>
      <c r="AZ941" s="20" t="inlineStr">
        <is>
          <t>IC Anionen</t>
        </is>
      </c>
      <c r="BA941" s="20" t="inlineStr">
        <is>
          <t>None</t>
        </is>
      </c>
      <c r="BB941" s="17" t="n"/>
      <c r="BC941" s="16" t="n"/>
      <c r="BD941" s="20" t="inlineStr">
        <is>
          <t>IC Kationen</t>
        </is>
      </c>
      <c r="BE941" s="20" t="inlineStr">
        <is>
          <t>None</t>
        </is>
      </c>
      <c r="BF941" s="17" t="n"/>
      <c r="BG941" s="16" t="n"/>
      <c r="BH941" s="20" t="inlineStr">
        <is>
          <t>IC Kationen</t>
        </is>
      </c>
      <c r="BI941" s="20" t="inlineStr">
        <is>
          <t>None</t>
        </is>
      </c>
      <c r="BJ941" s="17" t="n"/>
      <c r="BK941" s="16" t="n"/>
      <c r="BL941" s="20" t="inlineStr">
        <is>
          <t>IC Kationen</t>
        </is>
      </c>
      <c r="BM941" s="20" t="inlineStr">
        <is>
          <t>None</t>
        </is>
      </c>
      <c r="BN941" s="17" t="n"/>
      <c r="BO941" s="16" t="n"/>
      <c r="BP941" s="20" t="inlineStr">
        <is>
          <t>IC Kationen</t>
        </is>
      </c>
      <c r="BQ941" s="20" t="inlineStr">
        <is>
          <t>None</t>
        </is>
      </c>
      <c r="BR941" s="17" t="n"/>
      <c r="BS941" s="16" t="n"/>
      <c r="BT941" s="20" t="inlineStr">
        <is>
          <t>IC Kationen</t>
        </is>
      </c>
      <c r="BU941" s="20" t="inlineStr">
        <is>
          <t>None</t>
        </is>
      </c>
      <c r="BV941" s="17" t="n"/>
      <c r="BW941" s="16" t="n"/>
      <c r="BX941" s="20" t="n"/>
      <c r="BY941" s="20" t="inlineStr">
        <is>
          <t>None</t>
        </is>
      </c>
      <c r="BZ941" s="17" t="n"/>
      <c r="CA941" s="16" t="n"/>
      <c r="CB941" s="20" t="n"/>
      <c r="CC941" s="20" t="inlineStr">
        <is>
          <t>None</t>
        </is>
      </c>
      <c r="CD941" s="17" t="n"/>
      <c r="CE941" s="16" t="n"/>
      <c r="CF941" s="20" t="n"/>
      <c r="CG941" s="20" t="inlineStr">
        <is>
          <t>None</t>
        </is>
      </c>
      <c r="CH941" s="17" t="n"/>
      <c r="CI941" s="16" t="n"/>
      <c r="CJ941" s="20" t="n"/>
      <c r="CK941" s="20" t="inlineStr">
        <is>
          <t>None</t>
        </is>
      </c>
      <c r="CL941" s="17" t="n"/>
      <c r="CM941" s="16" t="n"/>
      <c r="CN941" s="20" t="inlineStr">
        <is>
          <t>SOP 45-34</t>
        </is>
      </c>
      <c r="CO941" s="20" t="inlineStr">
        <is>
          <t>None</t>
        </is>
      </c>
      <c r="CP941" s="17" t="n"/>
      <c r="CQ941" s="16" t="n"/>
      <c r="CR941" s="20" t="n"/>
      <c r="CS941" s="20" t="inlineStr">
        <is>
          <t>None</t>
        </is>
      </c>
      <c r="CT941" s="17" t="n"/>
      <c r="CU941" s="16" t="n"/>
      <c r="CV941" s="20" t="n"/>
      <c r="CW941" s="20" t="inlineStr">
        <is>
          <t>None</t>
        </is>
      </c>
      <c r="CX941" s="17" t="n"/>
      <c r="CY941" s="16" t="n"/>
      <c r="CZ941" s="20" t="inlineStr">
        <is>
          <t>WTW Multimeter 3430 with FDO 925</t>
        </is>
      </c>
      <c r="DA941" s="20" t="inlineStr">
        <is>
          <t>None</t>
        </is>
      </c>
      <c r="DB941" s="17" t="n"/>
      <c r="DC941" s="16" t="n"/>
      <c r="DD941" s="20" t="n"/>
      <c r="DE941" s="20" t="inlineStr">
        <is>
          <t>None</t>
        </is>
      </c>
      <c r="DF941" s="17" t="n"/>
      <c r="DG941" s="16" t="n"/>
      <c r="DH941" s="20" t="inlineStr">
        <is>
          <t>SOP 45-09</t>
        </is>
      </c>
      <c r="DI941" s="20" t="inlineStr">
        <is>
          <t>None</t>
        </is>
      </c>
      <c r="DJ941" s="17" t="n"/>
      <c r="DK941" s="16" t="n"/>
      <c r="DL941" s="20" t="inlineStr">
        <is>
          <t>SOP 45-09 (SOP muss noch angepasst werden für VSS)</t>
        </is>
      </c>
      <c r="DM941" s="20" t="inlineStr">
        <is>
          <t>None</t>
        </is>
      </c>
      <c r="DN941" s="17" t="n"/>
      <c r="DO941" s="16" t="n"/>
      <c r="DP941" s="20" t="inlineStr">
        <is>
          <t>IC Organic Acids</t>
        </is>
      </c>
      <c r="DQ941" s="20" t="inlineStr">
        <is>
          <t>None</t>
        </is>
      </c>
      <c r="DR941" s="17" t="n"/>
      <c r="DS941" s="16" t="n"/>
      <c r="DT941" s="20" t="inlineStr">
        <is>
          <t>IC Organic Acids</t>
        </is>
      </c>
      <c r="DU941" s="20" t="inlineStr">
        <is>
          <t>None</t>
        </is>
      </c>
      <c r="DV941" s="17" t="n"/>
      <c r="DW941" s="16" t="n"/>
      <c r="DX941" s="20" t="inlineStr">
        <is>
          <t>IC Organic Acids</t>
        </is>
      </c>
      <c r="DY941" s="20" t="inlineStr">
        <is>
          <t>None</t>
        </is>
      </c>
      <c r="DZ941" s="17" t="n"/>
      <c r="EA941" s="16" t="n"/>
      <c r="EB941" s="20" t="inlineStr">
        <is>
          <t>IC Organic Acids</t>
        </is>
      </c>
      <c r="EC941" s="20" t="inlineStr">
        <is>
          <t>None</t>
        </is>
      </c>
      <c r="ED941" s="17" t="n"/>
      <c r="EE941" s="16" t="n"/>
      <c r="EF941" s="20" t="inlineStr">
        <is>
          <t>IC Organic Acids</t>
        </is>
      </c>
      <c r="EG941" s="20" t="inlineStr">
        <is>
          <t>None</t>
        </is>
      </c>
      <c r="EH941" s="17" t="n"/>
      <c r="EI941" s="16" t="n"/>
      <c r="EJ941" s="20" t="inlineStr">
        <is>
          <t>IC Organic Acids</t>
        </is>
      </c>
      <c r="EK941" s="20" t="inlineStr">
        <is>
          <t>None</t>
        </is>
      </c>
      <c r="EL941" s="17" t="n"/>
      <c r="EM941" s="16" t="n"/>
      <c r="EN941" s="20" t="inlineStr">
        <is>
          <t>IC Organic Acids</t>
        </is>
      </c>
      <c r="EO941" s="20" t="inlineStr">
        <is>
          <t>None</t>
        </is>
      </c>
      <c r="EP941" s="17" t="n"/>
      <c r="EQ941" s="16" t="n"/>
      <c r="ER941" s="20" t="inlineStr">
        <is>
          <t>IC Organic Acids</t>
        </is>
      </c>
      <c r="ES941" s="20" t="inlineStr">
        <is>
          <t>None</t>
        </is>
      </c>
      <c r="ET941" s="17" t="n"/>
      <c r="EU941" s="16" t="n"/>
      <c r="EV941" s="20" t="inlineStr">
        <is>
          <t>LC-MS</t>
        </is>
      </c>
      <c r="EW941" s="20" t="inlineStr">
        <is>
          <t>None</t>
        </is>
      </c>
      <c r="EX941" s="17" t="n"/>
      <c r="EY941" s="21" t="n"/>
      <c r="EZ941">
        <f>CONCATENATE(A941,B941)</f>
        <v/>
      </c>
      <c r="FA941">
        <f>CONCATENATE(SamplesX!A941,SamplesX!B941)</f>
        <v/>
      </c>
      <c r="FC941">
        <f>MATCH(EZ941,FA1:FA1008,0)</f>
        <v/>
      </c>
    </row>
    <row r="942">
      <c r="A942" s="16" t="n"/>
      <c r="B942" s="17" t="n"/>
      <c r="C942" s="10">
        <f>IF(ISNUMBER(FC942),INDIRECT("SamplesX!C"&amp;FC942),IF(ISNUMBER(FD942),INDIRECT("SamplesY!C"&amp;FD942),""))</f>
        <v/>
      </c>
      <c r="D942" s="12">
        <f>IF(ISNUMBER(FC942),INDIRECT("SamplesX!D"&amp;FC942),IF(ISNUMBER(FD942),INDIRECT("SamplesY!D"&amp;FD942),""))</f>
        <v/>
      </c>
      <c r="E942" s="12">
        <f>IF(ISNUMBER(FC942),INDIRECT("SamplesX!E"&amp;FC942),IF(ISNUMBER(FD942),INDIRECT("SamplesY!E"&amp;FD942),""))</f>
        <v/>
      </c>
      <c r="F942" s="11">
        <f>IF(ISNUMBER(FC942),INDIRECT("SamplesX!F"&amp;FC942),IF(ISNUMBER(FD942),INDIRECT("SamplesY!F"&amp;FD942),""))</f>
        <v/>
      </c>
      <c r="G942" s="18">
        <f>IF(ISNUMBER(FC942),INDIRECT("SamplesX!G"&amp;FC942),IF(ISNUMBER(FD942),INDIRECT("SamplesY!G"&amp;FD942),""))</f>
        <v/>
      </c>
      <c r="H942" s="19">
        <f>IF(ISNUMBER(FC942),INDIRECT("SamplesX!H"&amp;FC942),IF(ISNUMBER(FD942),INDIRECT("SamplesY!H"&amp;FD942),""))</f>
        <v/>
      </c>
      <c r="I942" s="16" t="n"/>
      <c r="J942" s="16" t="n"/>
      <c r="K942" s="16" t="n"/>
      <c r="L942" s="20" t="n"/>
      <c r="M942" s="20" t="inlineStr">
        <is>
          <t>None</t>
        </is>
      </c>
      <c r="N942" s="17" t="n"/>
      <c r="O942" s="16" t="n"/>
      <c r="P942" s="20" t="inlineStr">
        <is>
          <t>Shimadzu TOC-L</t>
        </is>
      </c>
      <c r="Q942" s="20" t="inlineStr">
        <is>
          <t>None</t>
        </is>
      </c>
      <c r="R942" s="17" t="n"/>
      <c r="S942" s="16" t="n"/>
      <c r="T942" s="20" t="inlineStr">
        <is>
          <t>Shimadzu TOC-L</t>
        </is>
      </c>
      <c r="U942" s="20" t="inlineStr">
        <is>
          <t>None</t>
        </is>
      </c>
      <c r="V942" s="17" t="n"/>
      <c r="W942" s="16" t="n"/>
      <c r="X942" s="20" t="n"/>
      <c r="Y942" s="20" t="inlineStr">
        <is>
          <t>None</t>
        </is>
      </c>
      <c r="Z942" s="17" t="n"/>
      <c r="AA942" s="16" t="n"/>
      <c r="AB942" s="20" t="n"/>
      <c r="AC942" s="20" t="inlineStr">
        <is>
          <t>None</t>
        </is>
      </c>
      <c r="AD942" s="17" t="n"/>
      <c r="AE942" s="16" t="n"/>
      <c r="AF942" s="20" t="inlineStr">
        <is>
          <t>IC Anionen</t>
        </is>
      </c>
      <c r="AG942" s="20" t="inlineStr">
        <is>
          <t>None</t>
        </is>
      </c>
      <c r="AH942" s="17" t="n"/>
      <c r="AI942" s="16" t="n"/>
      <c r="AJ942" s="20" t="n"/>
      <c r="AK942" s="20" t="inlineStr">
        <is>
          <t>None</t>
        </is>
      </c>
      <c r="AL942" s="17" t="n"/>
      <c r="AM942" s="16" t="n"/>
      <c r="AN942" s="20" t="inlineStr">
        <is>
          <t>IC Anionen</t>
        </is>
      </c>
      <c r="AO942" s="20" t="inlineStr">
        <is>
          <t>None</t>
        </is>
      </c>
      <c r="AP942" s="17" t="n"/>
      <c r="AQ942" s="16" t="n"/>
      <c r="AR942" s="20" t="n"/>
      <c r="AS942" s="20" t="inlineStr">
        <is>
          <t>None</t>
        </is>
      </c>
      <c r="AT942" s="17" t="n"/>
      <c r="AU942" s="16" t="n"/>
      <c r="AV942" s="20" t="n"/>
      <c r="AW942" s="20" t="inlineStr">
        <is>
          <t>None</t>
        </is>
      </c>
      <c r="AX942" s="17" t="n"/>
      <c r="AY942" s="16" t="n"/>
      <c r="AZ942" s="20" t="inlineStr">
        <is>
          <t>IC Anionen</t>
        </is>
      </c>
      <c r="BA942" s="20" t="inlineStr">
        <is>
          <t>None</t>
        </is>
      </c>
      <c r="BB942" s="17" t="n"/>
      <c r="BC942" s="16" t="n"/>
      <c r="BD942" s="20" t="inlineStr">
        <is>
          <t>IC Kationen</t>
        </is>
      </c>
      <c r="BE942" s="20" t="inlineStr">
        <is>
          <t>None</t>
        </is>
      </c>
      <c r="BF942" s="17" t="n"/>
      <c r="BG942" s="16" t="n"/>
      <c r="BH942" s="20" t="inlineStr">
        <is>
          <t>IC Kationen</t>
        </is>
      </c>
      <c r="BI942" s="20" t="inlineStr">
        <is>
          <t>None</t>
        </is>
      </c>
      <c r="BJ942" s="17" t="n"/>
      <c r="BK942" s="16" t="n"/>
      <c r="BL942" s="20" t="inlineStr">
        <is>
          <t>IC Kationen</t>
        </is>
      </c>
      <c r="BM942" s="20" t="inlineStr">
        <is>
          <t>None</t>
        </is>
      </c>
      <c r="BN942" s="17" t="n"/>
      <c r="BO942" s="16" t="n"/>
      <c r="BP942" s="20" t="inlineStr">
        <is>
          <t>IC Kationen</t>
        </is>
      </c>
      <c r="BQ942" s="20" t="inlineStr">
        <is>
          <t>None</t>
        </is>
      </c>
      <c r="BR942" s="17" t="n"/>
      <c r="BS942" s="16" t="n"/>
      <c r="BT942" s="20" t="inlineStr">
        <is>
          <t>IC Kationen</t>
        </is>
      </c>
      <c r="BU942" s="20" t="inlineStr">
        <is>
          <t>None</t>
        </is>
      </c>
      <c r="BV942" s="17" t="n"/>
      <c r="BW942" s="16" t="n"/>
      <c r="BX942" s="20" t="n"/>
      <c r="BY942" s="20" t="inlineStr">
        <is>
          <t>None</t>
        </is>
      </c>
      <c r="BZ942" s="17" t="n"/>
      <c r="CA942" s="16" t="n"/>
      <c r="CB942" s="20" t="n"/>
      <c r="CC942" s="20" t="inlineStr">
        <is>
          <t>None</t>
        </is>
      </c>
      <c r="CD942" s="17" t="n"/>
      <c r="CE942" s="16" t="n"/>
      <c r="CF942" s="20" t="n"/>
      <c r="CG942" s="20" t="inlineStr">
        <is>
          <t>None</t>
        </is>
      </c>
      <c r="CH942" s="17" t="n"/>
      <c r="CI942" s="16" t="n"/>
      <c r="CJ942" s="20" t="n"/>
      <c r="CK942" s="20" t="inlineStr">
        <is>
          <t>None</t>
        </is>
      </c>
      <c r="CL942" s="17" t="n"/>
      <c r="CM942" s="16" t="n"/>
      <c r="CN942" s="20" t="inlineStr">
        <is>
          <t>SOP 45-34</t>
        </is>
      </c>
      <c r="CO942" s="20" t="inlineStr">
        <is>
          <t>None</t>
        </is>
      </c>
      <c r="CP942" s="17" t="n"/>
      <c r="CQ942" s="16" t="n"/>
      <c r="CR942" s="20" t="n"/>
      <c r="CS942" s="20" t="inlineStr">
        <is>
          <t>None</t>
        </is>
      </c>
      <c r="CT942" s="17" t="n"/>
      <c r="CU942" s="16" t="n"/>
      <c r="CV942" s="20" t="n"/>
      <c r="CW942" s="20" t="inlineStr">
        <is>
          <t>None</t>
        </is>
      </c>
      <c r="CX942" s="17" t="n"/>
      <c r="CY942" s="16" t="n"/>
      <c r="CZ942" s="20" t="inlineStr">
        <is>
          <t>WTW Multimeter 3430 with FDO 925</t>
        </is>
      </c>
      <c r="DA942" s="20" t="inlineStr">
        <is>
          <t>None</t>
        </is>
      </c>
      <c r="DB942" s="17" t="n"/>
      <c r="DC942" s="16" t="n"/>
      <c r="DD942" s="20" t="n"/>
      <c r="DE942" s="20" t="inlineStr">
        <is>
          <t>None</t>
        </is>
      </c>
      <c r="DF942" s="17" t="n"/>
      <c r="DG942" s="16" t="n"/>
      <c r="DH942" s="20" t="inlineStr">
        <is>
          <t>SOP 45-09</t>
        </is>
      </c>
      <c r="DI942" s="20" t="inlineStr">
        <is>
          <t>None</t>
        </is>
      </c>
      <c r="DJ942" s="17" t="n"/>
      <c r="DK942" s="16" t="n"/>
      <c r="DL942" s="20" t="inlineStr">
        <is>
          <t>SOP 45-09 (SOP muss noch angepasst werden für VSS)</t>
        </is>
      </c>
      <c r="DM942" s="20" t="inlineStr">
        <is>
          <t>None</t>
        </is>
      </c>
      <c r="DN942" s="17" t="n"/>
      <c r="DO942" s="16" t="n"/>
      <c r="DP942" s="20" t="inlineStr">
        <is>
          <t>IC Organic Acids</t>
        </is>
      </c>
      <c r="DQ942" s="20" t="inlineStr">
        <is>
          <t>None</t>
        </is>
      </c>
      <c r="DR942" s="17" t="n"/>
      <c r="DS942" s="16" t="n"/>
      <c r="DT942" s="20" t="inlineStr">
        <is>
          <t>IC Organic Acids</t>
        </is>
      </c>
      <c r="DU942" s="20" t="inlineStr">
        <is>
          <t>None</t>
        </is>
      </c>
      <c r="DV942" s="17" t="n"/>
      <c r="DW942" s="16" t="n"/>
      <c r="DX942" s="20" t="inlineStr">
        <is>
          <t>IC Organic Acids</t>
        </is>
      </c>
      <c r="DY942" s="20" t="inlineStr">
        <is>
          <t>None</t>
        </is>
      </c>
      <c r="DZ942" s="17" t="n"/>
      <c r="EA942" s="16" t="n"/>
      <c r="EB942" s="20" t="inlineStr">
        <is>
          <t>IC Organic Acids</t>
        </is>
      </c>
      <c r="EC942" s="20" t="inlineStr">
        <is>
          <t>None</t>
        </is>
      </c>
      <c r="ED942" s="17" t="n"/>
      <c r="EE942" s="16" t="n"/>
      <c r="EF942" s="20" t="inlineStr">
        <is>
          <t>IC Organic Acids</t>
        </is>
      </c>
      <c r="EG942" s="20" t="inlineStr">
        <is>
          <t>None</t>
        </is>
      </c>
      <c r="EH942" s="17" t="n"/>
      <c r="EI942" s="16" t="n"/>
      <c r="EJ942" s="20" t="inlineStr">
        <is>
          <t>IC Organic Acids</t>
        </is>
      </c>
      <c r="EK942" s="20" t="inlineStr">
        <is>
          <t>None</t>
        </is>
      </c>
      <c r="EL942" s="17" t="n"/>
      <c r="EM942" s="16" t="n"/>
      <c r="EN942" s="20" t="inlineStr">
        <is>
          <t>IC Organic Acids</t>
        </is>
      </c>
      <c r="EO942" s="20" t="inlineStr">
        <is>
          <t>None</t>
        </is>
      </c>
      <c r="EP942" s="17" t="n"/>
      <c r="EQ942" s="16" t="n"/>
      <c r="ER942" s="20" t="inlineStr">
        <is>
          <t>IC Organic Acids</t>
        </is>
      </c>
      <c r="ES942" s="20" t="inlineStr">
        <is>
          <t>None</t>
        </is>
      </c>
      <c r="ET942" s="17" t="n"/>
      <c r="EU942" s="16" t="n"/>
      <c r="EV942" s="20" t="inlineStr">
        <is>
          <t>LC-MS</t>
        </is>
      </c>
      <c r="EW942" s="20" t="inlineStr">
        <is>
          <t>None</t>
        </is>
      </c>
      <c r="EX942" s="17" t="n"/>
      <c r="EY942" s="21" t="n"/>
      <c r="EZ942">
        <f>CONCATENATE(A942,B942)</f>
        <v/>
      </c>
      <c r="FA942">
        <f>CONCATENATE(SamplesX!A942,SamplesX!B942)</f>
        <v/>
      </c>
      <c r="FC942">
        <f>MATCH(EZ942,FA1:FA1008,0)</f>
        <v/>
      </c>
    </row>
    <row r="943">
      <c r="A943" s="16" t="n"/>
      <c r="B943" s="17" t="n"/>
      <c r="C943" s="10">
        <f>IF(ISNUMBER(FC943),INDIRECT("SamplesX!C"&amp;FC943),IF(ISNUMBER(FD943),INDIRECT("SamplesY!C"&amp;FD943),""))</f>
        <v/>
      </c>
      <c r="D943" s="12">
        <f>IF(ISNUMBER(FC943),INDIRECT("SamplesX!D"&amp;FC943),IF(ISNUMBER(FD943),INDIRECT("SamplesY!D"&amp;FD943),""))</f>
        <v/>
      </c>
      <c r="E943" s="12">
        <f>IF(ISNUMBER(FC943),INDIRECT("SamplesX!E"&amp;FC943),IF(ISNUMBER(FD943),INDIRECT("SamplesY!E"&amp;FD943),""))</f>
        <v/>
      </c>
      <c r="F943" s="11">
        <f>IF(ISNUMBER(FC943),INDIRECT("SamplesX!F"&amp;FC943),IF(ISNUMBER(FD943),INDIRECT("SamplesY!F"&amp;FD943),""))</f>
        <v/>
      </c>
      <c r="G943" s="18">
        <f>IF(ISNUMBER(FC943),INDIRECT("SamplesX!G"&amp;FC943),IF(ISNUMBER(FD943),INDIRECT("SamplesY!G"&amp;FD943),""))</f>
        <v/>
      </c>
      <c r="H943" s="19">
        <f>IF(ISNUMBER(FC943),INDIRECT("SamplesX!H"&amp;FC943),IF(ISNUMBER(FD943),INDIRECT("SamplesY!H"&amp;FD943),""))</f>
        <v/>
      </c>
      <c r="I943" s="16" t="n"/>
      <c r="J943" s="16" t="n"/>
      <c r="K943" s="16" t="n"/>
      <c r="L943" s="20" t="n"/>
      <c r="M943" s="20" t="inlineStr">
        <is>
          <t>None</t>
        </is>
      </c>
      <c r="N943" s="17" t="n"/>
      <c r="O943" s="16" t="n"/>
      <c r="P943" s="20" t="inlineStr">
        <is>
          <t>Shimadzu TOC-L</t>
        </is>
      </c>
      <c r="Q943" s="20" t="inlineStr">
        <is>
          <t>None</t>
        </is>
      </c>
      <c r="R943" s="17" t="n"/>
      <c r="S943" s="16" t="n"/>
      <c r="T943" s="20" t="inlineStr">
        <is>
          <t>Shimadzu TOC-L</t>
        </is>
      </c>
      <c r="U943" s="20" t="inlineStr">
        <is>
          <t>None</t>
        </is>
      </c>
      <c r="V943" s="17" t="n"/>
      <c r="W943" s="16" t="n"/>
      <c r="X943" s="20" t="n"/>
      <c r="Y943" s="20" t="inlineStr">
        <is>
          <t>None</t>
        </is>
      </c>
      <c r="Z943" s="17" t="n"/>
      <c r="AA943" s="16" t="n"/>
      <c r="AB943" s="20" t="n"/>
      <c r="AC943" s="20" t="inlineStr">
        <is>
          <t>None</t>
        </is>
      </c>
      <c r="AD943" s="17" t="n"/>
      <c r="AE943" s="16" t="n"/>
      <c r="AF943" s="20" t="inlineStr">
        <is>
          <t>IC Anionen</t>
        </is>
      </c>
      <c r="AG943" s="20" t="inlineStr">
        <is>
          <t>None</t>
        </is>
      </c>
      <c r="AH943" s="17" t="n"/>
      <c r="AI943" s="16" t="n"/>
      <c r="AJ943" s="20" t="n"/>
      <c r="AK943" s="20" t="inlineStr">
        <is>
          <t>None</t>
        </is>
      </c>
      <c r="AL943" s="17" t="n"/>
      <c r="AM943" s="16" t="n"/>
      <c r="AN943" s="20" t="inlineStr">
        <is>
          <t>IC Anionen</t>
        </is>
      </c>
      <c r="AO943" s="20" t="inlineStr">
        <is>
          <t>None</t>
        </is>
      </c>
      <c r="AP943" s="17" t="n"/>
      <c r="AQ943" s="16" t="n"/>
      <c r="AR943" s="20" t="n"/>
      <c r="AS943" s="20" t="inlineStr">
        <is>
          <t>None</t>
        </is>
      </c>
      <c r="AT943" s="17" t="n"/>
      <c r="AU943" s="16" t="n"/>
      <c r="AV943" s="20" t="n"/>
      <c r="AW943" s="20" t="inlineStr">
        <is>
          <t>None</t>
        </is>
      </c>
      <c r="AX943" s="17" t="n"/>
      <c r="AY943" s="16" t="n"/>
      <c r="AZ943" s="20" t="inlineStr">
        <is>
          <t>IC Anionen</t>
        </is>
      </c>
      <c r="BA943" s="20" t="inlineStr">
        <is>
          <t>None</t>
        </is>
      </c>
      <c r="BB943" s="17" t="n"/>
      <c r="BC943" s="16" t="n"/>
      <c r="BD943" s="20" t="inlineStr">
        <is>
          <t>IC Kationen</t>
        </is>
      </c>
      <c r="BE943" s="20" t="inlineStr">
        <is>
          <t>None</t>
        </is>
      </c>
      <c r="BF943" s="17" t="n"/>
      <c r="BG943" s="16" t="n"/>
      <c r="BH943" s="20" t="inlineStr">
        <is>
          <t>IC Kationen</t>
        </is>
      </c>
      <c r="BI943" s="20" t="inlineStr">
        <is>
          <t>None</t>
        </is>
      </c>
      <c r="BJ943" s="17" t="n"/>
      <c r="BK943" s="16" t="n"/>
      <c r="BL943" s="20" t="inlineStr">
        <is>
          <t>IC Kationen</t>
        </is>
      </c>
      <c r="BM943" s="20" t="inlineStr">
        <is>
          <t>None</t>
        </is>
      </c>
      <c r="BN943" s="17" t="n"/>
      <c r="BO943" s="16" t="n"/>
      <c r="BP943" s="20" t="inlineStr">
        <is>
          <t>IC Kationen</t>
        </is>
      </c>
      <c r="BQ943" s="20" t="inlineStr">
        <is>
          <t>None</t>
        </is>
      </c>
      <c r="BR943" s="17" t="n"/>
      <c r="BS943" s="16" t="n"/>
      <c r="BT943" s="20" t="inlineStr">
        <is>
          <t>IC Kationen</t>
        </is>
      </c>
      <c r="BU943" s="20" t="inlineStr">
        <is>
          <t>None</t>
        </is>
      </c>
      <c r="BV943" s="17" t="n"/>
      <c r="BW943" s="16" t="n"/>
      <c r="BX943" s="20" t="n"/>
      <c r="BY943" s="20" t="inlineStr">
        <is>
          <t>None</t>
        </is>
      </c>
      <c r="BZ943" s="17" t="n"/>
      <c r="CA943" s="16" t="n"/>
      <c r="CB943" s="20" t="n"/>
      <c r="CC943" s="20" t="inlineStr">
        <is>
          <t>None</t>
        </is>
      </c>
      <c r="CD943" s="17" t="n"/>
      <c r="CE943" s="16" t="n"/>
      <c r="CF943" s="20" t="n"/>
      <c r="CG943" s="20" t="inlineStr">
        <is>
          <t>None</t>
        </is>
      </c>
      <c r="CH943" s="17" t="n"/>
      <c r="CI943" s="16" t="n"/>
      <c r="CJ943" s="20" t="n"/>
      <c r="CK943" s="20" t="inlineStr">
        <is>
          <t>None</t>
        </is>
      </c>
      <c r="CL943" s="17" t="n"/>
      <c r="CM943" s="16" t="n"/>
      <c r="CN943" s="20" t="inlineStr">
        <is>
          <t>SOP 45-34</t>
        </is>
      </c>
      <c r="CO943" s="20" t="inlineStr">
        <is>
          <t>None</t>
        </is>
      </c>
      <c r="CP943" s="17" t="n"/>
      <c r="CQ943" s="16" t="n"/>
      <c r="CR943" s="20" t="n"/>
      <c r="CS943" s="20" t="inlineStr">
        <is>
          <t>None</t>
        </is>
      </c>
      <c r="CT943" s="17" t="n"/>
      <c r="CU943" s="16" t="n"/>
      <c r="CV943" s="20" t="n"/>
      <c r="CW943" s="20" t="inlineStr">
        <is>
          <t>None</t>
        </is>
      </c>
      <c r="CX943" s="17" t="n"/>
      <c r="CY943" s="16" t="n"/>
      <c r="CZ943" s="20" t="inlineStr">
        <is>
          <t>WTW Multimeter 3430 with FDO 925</t>
        </is>
      </c>
      <c r="DA943" s="20" t="inlineStr">
        <is>
          <t>None</t>
        </is>
      </c>
      <c r="DB943" s="17" t="n"/>
      <c r="DC943" s="16" t="n"/>
      <c r="DD943" s="20" t="n"/>
      <c r="DE943" s="20" t="inlineStr">
        <is>
          <t>None</t>
        </is>
      </c>
      <c r="DF943" s="17" t="n"/>
      <c r="DG943" s="16" t="n"/>
      <c r="DH943" s="20" t="inlineStr">
        <is>
          <t>SOP 45-09</t>
        </is>
      </c>
      <c r="DI943" s="20" t="inlineStr">
        <is>
          <t>None</t>
        </is>
      </c>
      <c r="DJ943" s="17" t="n"/>
      <c r="DK943" s="16" t="n"/>
      <c r="DL943" s="20" t="inlineStr">
        <is>
          <t>SOP 45-09 (SOP muss noch angepasst werden für VSS)</t>
        </is>
      </c>
      <c r="DM943" s="20" t="inlineStr">
        <is>
          <t>None</t>
        </is>
      </c>
      <c r="DN943" s="17" t="n"/>
      <c r="DO943" s="16" t="n"/>
      <c r="DP943" s="20" t="inlineStr">
        <is>
          <t>IC Organic Acids</t>
        </is>
      </c>
      <c r="DQ943" s="20" t="inlineStr">
        <is>
          <t>None</t>
        </is>
      </c>
      <c r="DR943" s="17" t="n"/>
      <c r="DS943" s="16" t="n"/>
      <c r="DT943" s="20" t="inlineStr">
        <is>
          <t>IC Organic Acids</t>
        </is>
      </c>
      <c r="DU943" s="20" t="inlineStr">
        <is>
          <t>None</t>
        </is>
      </c>
      <c r="DV943" s="17" t="n"/>
      <c r="DW943" s="16" t="n"/>
      <c r="DX943" s="20" t="inlineStr">
        <is>
          <t>IC Organic Acids</t>
        </is>
      </c>
      <c r="DY943" s="20" t="inlineStr">
        <is>
          <t>None</t>
        </is>
      </c>
      <c r="DZ943" s="17" t="n"/>
      <c r="EA943" s="16" t="n"/>
      <c r="EB943" s="20" t="inlineStr">
        <is>
          <t>IC Organic Acids</t>
        </is>
      </c>
      <c r="EC943" s="20" t="inlineStr">
        <is>
          <t>None</t>
        </is>
      </c>
      <c r="ED943" s="17" t="n"/>
      <c r="EE943" s="16" t="n"/>
      <c r="EF943" s="20" t="inlineStr">
        <is>
          <t>IC Organic Acids</t>
        </is>
      </c>
      <c r="EG943" s="20" t="inlineStr">
        <is>
          <t>None</t>
        </is>
      </c>
      <c r="EH943" s="17" t="n"/>
      <c r="EI943" s="16" t="n"/>
      <c r="EJ943" s="20" t="inlineStr">
        <is>
          <t>IC Organic Acids</t>
        </is>
      </c>
      <c r="EK943" s="20" t="inlineStr">
        <is>
          <t>None</t>
        </is>
      </c>
      <c r="EL943" s="17" t="n"/>
      <c r="EM943" s="16" t="n"/>
      <c r="EN943" s="20" t="inlineStr">
        <is>
          <t>IC Organic Acids</t>
        </is>
      </c>
      <c r="EO943" s="20" t="inlineStr">
        <is>
          <t>None</t>
        </is>
      </c>
      <c r="EP943" s="17" t="n"/>
      <c r="EQ943" s="16" t="n"/>
      <c r="ER943" s="20" t="inlineStr">
        <is>
          <t>IC Organic Acids</t>
        </is>
      </c>
      <c r="ES943" s="20" t="inlineStr">
        <is>
          <t>None</t>
        </is>
      </c>
      <c r="ET943" s="17" t="n"/>
      <c r="EU943" s="16" t="n"/>
      <c r="EV943" s="20" t="inlineStr">
        <is>
          <t>LC-MS</t>
        </is>
      </c>
      <c r="EW943" s="20" t="inlineStr">
        <is>
          <t>None</t>
        </is>
      </c>
      <c r="EX943" s="17" t="n"/>
      <c r="EY943" s="21" t="n"/>
      <c r="EZ943">
        <f>CONCATENATE(A943,B943)</f>
        <v/>
      </c>
      <c r="FA943">
        <f>CONCATENATE(SamplesX!A943,SamplesX!B943)</f>
        <v/>
      </c>
      <c r="FC943">
        <f>MATCH(EZ943,FA1:FA1008,0)</f>
        <v/>
      </c>
    </row>
    <row r="944">
      <c r="A944" s="16" t="n"/>
      <c r="B944" s="17" t="n"/>
      <c r="C944" s="10">
        <f>IF(ISNUMBER(FC944),INDIRECT("SamplesX!C"&amp;FC944),IF(ISNUMBER(FD944),INDIRECT("SamplesY!C"&amp;FD944),""))</f>
        <v/>
      </c>
      <c r="D944" s="12">
        <f>IF(ISNUMBER(FC944),INDIRECT("SamplesX!D"&amp;FC944),IF(ISNUMBER(FD944),INDIRECT("SamplesY!D"&amp;FD944),""))</f>
        <v/>
      </c>
      <c r="E944" s="12">
        <f>IF(ISNUMBER(FC944),INDIRECT("SamplesX!E"&amp;FC944),IF(ISNUMBER(FD944),INDIRECT("SamplesY!E"&amp;FD944),""))</f>
        <v/>
      </c>
      <c r="F944" s="11">
        <f>IF(ISNUMBER(FC944),INDIRECT("SamplesX!F"&amp;FC944),IF(ISNUMBER(FD944),INDIRECT("SamplesY!F"&amp;FD944),""))</f>
        <v/>
      </c>
      <c r="G944" s="18">
        <f>IF(ISNUMBER(FC944),INDIRECT("SamplesX!G"&amp;FC944),IF(ISNUMBER(FD944),INDIRECT("SamplesY!G"&amp;FD944),""))</f>
        <v/>
      </c>
      <c r="H944" s="19">
        <f>IF(ISNUMBER(FC944),INDIRECT("SamplesX!H"&amp;FC944),IF(ISNUMBER(FD944),INDIRECT("SamplesY!H"&amp;FD944),""))</f>
        <v/>
      </c>
      <c r="I944" s="16" t="n"/>
      <c r="J944" s="16" t="n"/>
      <c r="K944" s="16" t="n"/>
      <c r="L944" s="20" t="n"/>
      <c r="M944" s="20" t="inlineStr">
        <is>
          <t>None</t>
        </is>
      </c>
      <c r="N944" s="17" t="n"/>
      <c r="O944" s="16" t="n"/>
      <c r="P944" s="20" t="inlineStr">
        <is>
          <t>Shimadzu TOC-L</t>
        </is>
      </c>
      <c r="Q944" s="20" t="inlineStr">
        <is>
          <t>None</t>
        </is>
      </c>
      <c r="R944" s="17" t="n"/>
      <c r="S944" s="16" t="n"/>
      <c r="T944" s="20" t="inlineStr">
        <is>
          <t>Shimadzu TOC-L</t>
        </is>
      </c>
      <c r="U944" s="20" t="inlineStr">
        <is>
          <t>None</t>
        </is>
      </c>
      <c r="V944" s="17" t="n"/>
      <c r="W944" s="16" t="n"/>
      <c r="X944" s="20" t="n"/>
      <c r="Y944" s="20" t="inlineStr">
        <is>
          <t>None</t>
        </is>
      </c>
      <c r="Z944" s="17" t="n"/>
      <c r="AA944" s="16" t="n"/>
      <c r="AB944" s="20" t="n"/>
      <c r="AC944" s="20" t="inlineStr">
        <is>
          <t>None</t>
        </is>
      </c>
      <c r="AD944" s="17" t="n"/>
      <c r="AE944" s="16" t="n"/>
      <c r="AF944" s="20" t="inlineStr">
        <is>
          <t>IC Anionen</t>
        </is>
      </c>
      <c r="AG944" s="20" t="inlineStr">
        <is>
          <t>None</t>
        </is>
      </c>
      <c r="AH944" s="17" t="n"/>
      <c r="AI944" s="16" t="n"/>
      <c r="AJ944" s="20" t="n"/>
      <c r="AK944" s="20" t="inlineStr">
        <is>
          <t>None</t>
        </is>
      </c>
      <c r="AL944" s="17" t="n"/>
      <c r="AM944" s="16" t="n"/>
      <c r="AN944" s="20" t="inlineStr">
        <is>
          <t>IC Anionen</t>
        </is>
      </c>
      <c r="AO944" s="20" t="inlineStr">
        <is>
          <t>None</t>
        </is>
      </c>
      <c r="AP944" s="17" t="n"/>
      <c r="AQ944" s="16" t="n"/>
      <c r="AR944" s="20" t="n"/>
      <c r="AS944" s="20" t="inlineStr">
        <is>
          <t>None</t>
        </is>
      </c>
      <c r="AT944" s="17" t="n"/>
      <c r="AU944" s="16" t="n"/>
      <c r="AV944" s="20" t="n"/>
      <c r="AW944" s="20" t="inlineStr">
        <is>
          <t>None</t>
        </is>
      </c>
      <c r="AX944" s="17" t="n"/>
      <c r="AY944" s="16" t="n"/>
      <c r="AZ944" s="20" t="inlineStr">
        <is>
          <t>IC Anionen</t>
        </is>
      </c>
      <c r="BA944" s="20" t="inlineStr">
        <is>
          <t>None</t>
        </is>
      </c>
      <c r="BB944" s="17" t="n"/>
      <c r="BC944" s="16" t="n"/>
      <c r="BD944" s="20" t="inlineStr">
        <is>
          <t>IC Kationen</t>
        </is>
      </c>
      <c r="BE944" s="20" t="inlineStr">
        <is>
          <t>None</t>
        </is>
      </c>
      <c r="BF944" s="17" t="n"/>
      <c r="BG944" s="16" t="n"/>
      <c r="BH944" s="20" t="inlineStr">
        <is>
          <t>IC Kationen</t>
        </is>
      </c>
      <c r="BI944" s="20" t="inlineStr">
        <is>
          <t>None</t>
        </is>
      </c>
      <c r="BJ944" s="17" t="n"/>
      <c r="BK944" s="16" t="n"/>
      <c r="BL944" s="20" t="inlineStr">
        <is>
          <t>IC Kationen</t>
        </is>
      </c>
      <c r="BM944" s="20" t="inlineStr">
        <is>
          <t>None</t>
        </is>
      </c>
      <c r="BN944" s="17" t="n"/>
      <c r="BO944" s="16" t="n"/>
      <c r="BP944" s="20" t="inlineStr">
        <is>
          <t>IC Kationen</t>
        </is>
      </c>
      <c r="BQ944" s="20" t="inlineStr">
        <is>
          <t>None</t>
        </is>
      </c>
      <c r="BR944" s="17" t="n"/>
      <c r="BS944" s="16" t="n"/>
      <c r="BT944" s="20" t="inlineStr">
        <is>
          <t>IC Kationen</t>
        </is>
      </c>
      <c r="BU944" s="20" t="inlineStr">
        <is>
          <t>None</t>
        </is>
      </c>
      <c r="BV944" s="17" t="n"/>
      <c r="BW944" s="16" t="n"/>
      <c r="BX944" s="20" t="n"/>
      <c r="BY944" s="20" t="inlineStr">
        <is>
          <t>None</t>
        </is>
      </c>
      <c r="BZ944" s="17" t="n"/>
      <c r="CA944" s="16" t="n"/>
      <c r="CB944" s="20" t="n"/>
      <c r="CC944" s="20" t="inlineStr">
        <is>
          <t>None</t>
        </is>
      </c>
      <c r="CD944" s="17" t="n"/>
      <c r="CE944" s="16" t="n"/>
      <c r="CF944" s="20" t="n"/>
      <c r="CG944" s="20" t="inlineStr">
        <is>
          <t>None</t>
        </is>
      </c>
      <c r="CH944" s="17" t="n"/>
      <c r="CI944" s="16" t="n"/>
      <c r="CJ944" s="20" t="n"/>
      <c r="CK944" s="20" t="inlineStr">
        <is>
          <t>None</t>
        </is>
      </c>
      <c r="CL944" s="17" t="n"/>
      <c r="CM944" s="16" t="n"/>
      <c r="CN944" s="20" t="inlineStr">
        <is>
          <t>SOP 45-34</t>
        </is>
      </c>
      <c r="CO944" s="20" t="inlineStr">
        <is>
          <t>None</t>
        </is>
      </c>
      <c r="CP944" s="17" t="n"/>
      <c r="CQ944" s="16" t="n"/>
      <c r="CR944" s="20" t="n"/>
      <c r="CS944" s="20" t="inlineStr">
        <is>
          <t>None</t>
        </is>
      </c>
      <c r="CT944" s="17" t="n"/>
      <c r="CU944" s="16" t="n"/>
      <c r="CV944" s="20" t="n"/>
      <c r="CW944" s="20" t="inlineStr">
        <is>
          <t>None</t>
        </is>
      </c>
      <c r="CX944" s="17" t="n"/>
      <c r="CY944" s="16" t="n"/>
      <c r="CZ944" s="20" t="inlineStr">
        <is>
          <t>WTW Multimeter 3430 with FDO 925</t>
        </is>
      </c>
      <c r="DA944" s="20" t="inlineStr">
        <is>
          <t>None</t>
        </is>
      </c>
      <c r="DB944" s="17" t="n"/>
      <c r="DC944" s="16" t="n"/>
      <c r="DD944" s="20" t="n"/>
      <c r="DE944" s="20" t="inlineStr">
        <is>
          <t>None</t>
        </is>
      </c>
      <c r="DF944" s="17" t="n"/>
      <c r="DG944" s="16" t="n"/>
      <c r="DH944" s="20" t="inlineStr">
        <is>
          <t>SOP 45-09</t>
        </is>
      </c>
      <c r="DI944" s="20" t="inlineStr">
        <is>
          <t>None</t>
        </is>
      </c>
      <c r="DJ944" s="17" t="n"/>
      <c r="DK944" s="16" t="n"/>
      <c r="DL944" s="20" t="inlineStr">
        <is>
          <t>SOP 45-09 (SOP muss noch angepasst werden für VSS)</t>
        </is>
      </c>
      <c r="DM944" s="20" t="inlineStr">
        <is>
          <t>None</t>
        </is>
      </c>
      <c r="DN944" s="17" t="n"/>
      <c r="DO944" s="16" t="n"/>
      <c r="DP944" s="20" t="inlineStr">
        <is>
          <t>IC Organic Acids</t>
        </is>
      </c>
      <c r="DQ944" s="20" t="inlineStr">
        <is>
          <t>None</t>
        </is>
      </c>
      <c r="DR944" s="17" t="n"/>
      <c r="DS944" s="16" t="n"/>
      <c r="DT944" s="20" t="inlineStr">
        <is>
          <t>IC Organic Acids</t>
        </is>
      </c>
      <c r="DU944" s="20" t="inlineStr">
        <is>
          <t>None</t>
        </is>
      </c>
      <c r="DV944" s="17" t="n"/>
      <c r="DW944" s="16" t="n"/>
      <c r="DX944" s="20" t="inlineStr">
        <is>
          <t>IC Organic Acids</t>
        </is>
      </c>
      <c r="DY944" s="20" t="inlineStr">
        <is>
          <t>None</t>
        </is>
      </c>
      <c r="DZ944" s="17" t="n"/>
      <c r="EA944" s="16" t="n"/>
      <c r="EB944" s="20" t="inlineStr">
        <is>
          <t>IC Organic Acids</t>
        </is>
      </c>
      <c r="EC944" s="20" t="inlineStr">
        <is>
          <t>None</t>
        </is>
      </c>
      <c r="ED944" s="17" t="n"/>
      <c r="EE944" s="16" t="n"/>
      <c r="EF944" s="20" t="inlineStr">
        <is>
          <t>IC Organic Acids</t>
        </is>
      </c>
      <c r="EG944" s="20" t="inlineStr">
        <is>
          <t>None</t>
        </is>
      </c>
      <c r="EH944" s="17" t="n"/>
      <c r="EI944" s="16" t="n"/>
      <c r="EJ944" s="20" t="inlineStr">
        <is>
          <t>IC Organic Acids</t>
        </is>
      </c>
      <c r="EK944" s="20" t="inlineStr">
        <is>
          <t>None</t>
        </is>
      </c>
      <c r="EL944" s="17" t="n"/>
      <c r="EM944" s="16" t="n"/>
      <c r="EN944" s="20" t="inlineStr">
        <is>
          <t>IC Organic Acids</t>
        </is>
      </c>
      <c r="EO944" s="20" t="inlineStr">
        <is>
          <t>None</t>
        </is>
      </c>
      <c r="EP944" s="17" t="n"/>
      <c r="EQ944" s="16" t="n"/>
      <c r="ER944" s="20" t="inlineStr">
        <is>
          <t>IC Organic Acids</t>
        </is>
      </c>
      <c r="ES944" s="20" t="inlineStr">
        <is>
          <t>None</t>
        </is>
      </c>
      <c r="ET944" s="17" t="n"/>
      <c r="EU944" s="16" t="n"/>
      <c r="EV944" s="20" t="inlineStr">
        <is>
          <t>LC-MS</t>
        </is>
      </c>
      <c r="EW944" s="20" t="inlineStr">
        <is>
          <t>None</t>
        </is>
      </c>
      <c r="EX944" s="17" t="n"/>
      <c r="EY944" s="21" t="n"/>
      <c r="EZ944">
        <f>CONCATENATE(A944,B944)</f>
        <v/>
      </c>
      <c r="FA944">
        <f>CONCATENATE(SamplesX!A944,SamplesX!B944)</f>
        <v/>
      </c>
      <c r="FC944">
        <f>MATCH(EZ944,FA1:FA1008,0)</f>
        <v/>
      </c>
    </row>
    <row r="945">
      <c r="A945" s="16" t="n"/>
      <c r="B945" s="17" t="n"/>
      <c r="C945" s="10">
        <f>IF(ISNUMBER(FC945),INDIRECT("SamplesX!C"&amp;FC945),IF(ISNUMBER(FD945),INDIRECT("SamplesY!C"&amp;FD945),""))</f>
        <v/>
      </c>
      <c r="D945" s="12">
        <f>IF(ISNUMBER(FC945),INDIRECT("SamplesX!D"&amp;FC945),IF(ISNUMBER(FD945),INDIRECT("SamplesY!D"&amp;FD945),""))</f>
        <v/>
      </c>
      <c r="E945" s="12">
        <f>IF(ISNUMBER(FC945),INDIRECT("SamplesX!E"&amp;FC945),IF(ISNUMBER(FD945),INDIRECT("SamplesY!E"&amp;FD945),""))</f>
        <v/>
      </c>
      <c r="F945" s="11">
        <f>IF(ISNUMBER(FC945),INDIRECT("SamplesX!F"&amp;FC945),IF(ISNUMBER(FD945),INDIRECT("SamplesY!F"&amp;FD945),""))</f>
        <v/>
      </c>
      <c r="G945" s="18">
        <f>IF(ISNUMBER(FC945),INDIRECT("SamplesX!G"&amp;FC945),IF(ISNUMBER(FD945),INDIRECT("SamplesY!G"&amp;FD945),""))</f>
        <v/>
      </c>
      <c r="H945" s="19">
        <f>IF(ISNUMBER(FC945),INDIRECT("SamplesX!H"&amp;FC945),IF(ISNUMBER(FD945),INDIRECT("SamplesY!H"&amp;FD945),""))</f>
        <v/>
      </c>
      <c r="I945" s="16" t="n"/>
      <c r="J945" s="16" t="n"/>
      <c r="K945" s="16" t="n"/>
      <c r="L945" s="20" t="n"/>
      <c r="M945" s="20" t="inlineStr">
        <is>
          <t>None</t>
        </is>
      </c>
      <c r="N945" s="17" t="n"/>
      <c r="O945" s="16" t="n"/>
      <c r="P945" s="20" t="inlineStr">
        <is>
          <t>Shimadzu TOC-L</t>
        </is>
      </c>
      <c r="Q945" s="20" t="inlineStr">
        <is>
          <t>None</t>
        </is>
      </c>
      <c r="R945" s="17" t="n"/>
      <c r="S945" s="16" t="n"/>
      <c r="T945" s="20" t="inlineStr">
        <is>
          <t>Shimadzu TOC-L</t>
        </is>
      </c>
      <c r="U945" s="20" t="inlineStr">
        <is>
          <t>None</t>
        </is>
      </c>
      <c r="V945" s="17" t="n"/>
      <c r="W945" s="16" t="n"/>
      <c r="X945" s="20" t="n"/>
      <c r="Y945" s="20" t="inlineStr">
        <is>
          <t>None</t>
        </is>
      </c>
      <c r="Z945" s="17" t="n"/>
      <c r="AA945" s="16" t="n"/>
      <c r="AB945" s="20" t="n"/>
      <c r="AC945" s="20" t="inlineStr">
        <is>
          <t>None</t>
        </is>
      </c>
      <c r="AD945" s="17" t="n"/>
      <c r="AE945" s="16" t="n"/>
      <c r="AF945" s="20" t="inlineStr">
        <is>
          <t>IC Anionen</t>
        </is>
      </c>
      <c r="AG945" s="20" t="inlineStr">
        <is>
          <t>None</t>
        </is>
      </c>
      <c r="AH945" s="17" t="n"/>
      <c r="AI945" s="16" t="n"/>
      <c r="AJ945" s="20" t="n"/>
      <c r="AK945" s="20" t="inlineStr">
        <is>
          <t>None</t>
        </is>
      </c>
      <c r="AL945" s="17" t="n"/>
      <c r="AM945" s="16" t="n"/>
      <c r="AN945" s="20" t="inlineStr">
        <is>
          <t>IC Anionen</t>
        </is>
      </c>
      <c r="AO945" s="20" t="inlineStr">
        <is>
          <t>None</t>
        </is>
      </c>
      <c r="AP945" s="17" t="n"/>
      <c r="AQ945" s="16" t="n"/>
      <c r="AR945" s="20" t="n"/>
      <c r="AS945" s="20" t="inlineStr">
        <is>
          <t>None</t>
        </is>
      </c>
      <c r="AT945" s="17" t="n"/>
      <c r="AU945" s="16" t="n"/>
      <c r="AV945" s="20" t="n"/>
      <c r="AW945" s="20" t="inlineStr">
        <is>
          <t>None</t>
        </is>
      </c>
      <c r="AX945" s="17" t="n"/>
      <c r="AY945" s="16" t="n"/>
      <c r="AZ945" s="20" t="inlineStr">
        <is>
          <t>IC Anionen</t>
        </is>
      </c>
      <c r="BA945" s="20" t="inlineStr">
        <is>
          <t>None</t>
        </is>
      </c>
      <c r="BB945" s="17" t="n"/>
      <c r="BC945" s="16" t="n"/>
      <c r="BD945" s="20" t="inlineStr">
        <is>
          <t>IC Kationen</t>
        </is>
      </c>
      <c r="BE945" s="20" t="inlineStr">
        <is>
          <t>None</t>
        </is>
      </c>
      <c r="BF945" s="17" t="n"/>
      <c r="BG945" s="16" t="n"/>
      <c r="BH945" s="20" t="inlineStr">
        <is>
          <t>IC Kationen</t>
        </is>
      </c>
      <c r="BI945" s="20" t="inlineStr">
        <is>
          <t>None</t>
        </is>
      </c>
      <c r="BJ945" s="17" t="n"/>
      <c r="BK945" s="16" t="n"/>
      <c r="BL945" s="20" t="inlineStr">
        <is>
          <t>IC Kationen</t>
        </is>
      </c>
      <c r="BM945" s="20" t="inlineStr">
        <is>
          <t>None</t>
        </is>
      </c>
      <c r="BN945" s="17" t="n"/>
      <c r="BO945" s="16" t="n"/>
      <c r="BP945" s="20" t="inlineStr">
        <is>
          <t>IC Kationen</t>
        </is>
      </c>
      <c r="BQ945" s="20" t="inlineStr">
        <is>
          <t>None</t>
        </is>
      </c>
      <c r="BR945" s="17" t="n"/>
      <c r="BS945" s="16" t="n"/>
      <c r="BT945" s="20" t="inlineStr">
        <is>
          <t>IC Kationen</t>
        </is>
      </c>
      <c r="BU945" s="20" t="inlineStr">
        <is>
          <t>None</t>
        </is>
      </c>
      <c r="BV945" s="17" t="n"/>
      <c r="BW945" s="16" t="n"/>
      <c r="BX945" s="20" t="n"/>
      <c r="BY945" s="20" t="inlineStr">
        <is>
          <t>None</t>
        </is>
      </c>
      <c r="BZ945" s="17" t="n"/>
      <c r="CA945" s="16" t="n"/>
      <c r="CB945" s="20" t="n"/>
      <c r="CC945" s="20" t="inlineStr">
        <is>
          <t>None</t>
        </is>
      </c>
      <c r="CD945" s="17" t="n"/>
      <c r="CE945" s="16" t="n"/>
      <c r="CF945" s="20" t="n"/>
      <c r="CG945" s="20" t="inlineStr">
        <is>
          <t>None</t>
        </is>
      </c>
      <c r="CH945" s="17" t="n"/>
      <c r="CI945" s="16" t="n"/>
      <c r="CJ945" s="20" t="n"/>
      <c r="CK945" s="20" t="inlineStr">
        <is>
          <t>None</t>
        </is>
      </c>
      <c r="CL945" s="17" t="n"/>
      <c r="CM945" s="16" t="n"/>
      <c r="CN945" s="20" t="inlineStr">
        <is>
          <t>SOP 45-34</t>
        </is>
      </c>
      <c r="CO945" s="20" t="inlineStr">
        <is>
          <t>None</t>
        </is>
      </c>
      <c r="CP945" s="17" t="n"/>
      <c r="CQ945" s="16" t="n"/>
      <c r="CR945" s="20" t="n"/>
      <c r="CS945" s="20" t="inlineStr">
        <is>
          <t>None</t>
        </is>
      </c>
      <c r="CT945" s="17" t="n"/>
      <c r="CU945" s="16" t="n"/>
      <c r="CV945" s="20" t="n"/>
      <c r="CW945" s="20" t="inlineStr">
        <is>
          <t>None</t>
        </is>
      </c>
      <c r="CX945" s="17" t="n"/>
      <c r="CY945" s="16" t="n"/>
      <c r="CZ945" s="20" t="inlineStr">
        <is>
          <t>WTW Multimeter 3430 with FDO 925</t>
        </is>
      </c>
      <c r="DA945" s="20" t="inlineStr">
        <is>
          <t>None</t>
        </is>
      </c>
      <c r="DB945" s="17" t="n"/>
      <c r="DC945" s="16" t="n"/>
      <c r="DD945" s="20" t="n"/>
      <c r="DE945" s="20" t="inlineStr">
        <is>
          <t>None</t>
        </is>
      </c>
      <c r="DF945" s="17" t="n"/>
      <c r="DG945" s="16" t="n"/>
      <c r="DH945" s="20" t="inlineStr">
        <is>
          <t>SOP 45-09</t>
        </is>
      </c>
      <c r="DI945" s="20" t="inlineStr">
        <is>
          <t>None</t>
        </is>
      </c>
      <c r="DJ945" s="17" t="n"/>
      <c r="DK945" s="16" t="n"/>
      <c r="DL945" s="20" t="inlineStr">
        <is>
          <t>SOP 45-09 (SOP muss noch angepasst werden für VSS)</t>
        </is>
      </c>
      <c r="DM945" s="20" t="inlineStr">
        <is>
          <t>None</t>
        </is>
      </c>
      <c r="DN945" s="17" t="n"/>
      <c r="DO945" s="16" t="n"/>
      <c r="DP945" s="20" t="inlineStr">
        <is>
          <t>IC Organic Acids</t>
        </is>
      </c>
      <c r="DQ945" s="20" t="inlineStr">
        <is>
          <t>None</t>
        </is>
      </c>
      <c r="DR945" s="17" t="n"/>
      <c r="DS945" s="16" t="n"/>
      <c r="DT945" s="20" t="inlineStr">
        <is>
          <t>IC Organic Acids</t>
        </is>
      </c>
      <c r="DU945" s="20" t="inlineStr">
        <is>
          <t>None</t>
        </is>
      </c>
      <c r="DV945" s="17" t="n"/>
      <c r="DW945" s="16" t="n"/>
      <c r="DX945" s="20" t="inlineStr">
        <is>
          <t>IC Organic Acids</t>
        </is>
      </c>
      <c r="DY945" s="20" t="inlineStr">
        <is>
          <t>None</t>
        </is>
      </c>
      <c r="DZ945" s="17" t="n"/>
      <c r="EA945" s="16" t="n"/>
      <c r="EB945" s="20" t="inlineStr">
        <is>
          <t>IC Organic Acids</t>
        </is>
      </c>
      <c r="EC945" s="20" t="inlineStr">
        <is>
          <t>None</t>
        </is>
      </c>
      <c r="ED945" s="17" t="n"/>
      <c r="EE945" s="16" t="n"/>
      <c r="EF945" s="20" t="inlineStr">
        <is>
          <t>IC Organic Acids</t>
        </is>
      </c>
      <c r="EG945" s="20" t="inlineStr">
        <is>
          <t>None</t>
        </is>
      </c>
      <c r="EH945" s="17" t="n"/>
      <c r="EI945" s="16" t="n"/>
      <c r="EJ945" s="20" t="inlineStr">
        <is>
          <t>IC Organic Acids</t>
        </is>
      </c>
      <c r="EK945" s="20" t="inlineStr">
        <is>
          <t>None</t>
        </is>
      </c>
      <c r="EL945" s="17" t="n"/>
      <c r="EM945" s="16" t="n"/>
      <c r="EN945" s="20" t="inlineStr">
        <is>
          <t>IC Organic Acids</t>
        </is>
      </c>
      <c r="EO945" s="20" t="inlineStr">
        <is>
          <t>None</t>
        </is>
      </c>
      <c r="EP945" s="17" t="n"/>
      <c r="EQ945" s="16" t="n"/>
      <c r="ER945" s="20" t="inlineStr">
        <is>
          <t>IC Organic Acids</t>
        </is>
      </c>
      <c r="ES945" s="20" t="inlineStr">
        <is>
          <t>None</t>
        </is>
      </c>
      <c r="ET945" s="17" t="n"/>
      <c r="EU945" s="16" t="n"/>
      <c r="EV945" s="20" t="inlineStr">
        <is>
          <t>LC-MS</t>
        </is>
      </c>
      <c r="EW945" s="20" t="inlineStr">
        <is>
          <t>None</t>
        </is>
      </c>
      <c r="EX945" s="17" t="n"/>
      <c r="EY945" s="21" t="n"/>
      <c r="EZ945">
        <f>CONCATENATE(A945,B945)</f>
        <v/>
      </c>
      <c r="FA945">
        <f>CONCATENATE(SamplesX!A945,SamplesX!B945)</f>
        <v/>
      </c>
      <c r="FC945">
        <f>MATCH(EZ945,FA1:FA1008,0)</f>
        <v/>
      </c>
    </row>
    <row r="946">
      <c r="A946" s="16" t="n"/>
      <c r="B946" s="17" t="n"/>
      <c r="C946" s="10">
        <f>IF(ISNUMBER(FC946),INDIRECT("SamplesX!C"&amp;FC946),IF(ISNUMBER(FD946),INDIRECT("SamplesY!C"&amp;FD946),""))</f>
        <v/>
      </c>
      <c r="D946" s="12">
        <f>IF(ISNUMBER(FC946),INDIRECT("SamplesX!D"&amp;FC946),IF(ISNUMBER(FD946),INDIRECT("SamplesY!D"&amp;FD946),""))</f>
        <v/>
      </c>
      <c r="E946" s="12">
        <f>IF(ISNUMBER(FC946),INDIRECT("SamplesX!E"&amp;FC946),IF(ISNUMBER(FD946),INDIRECT("SamplesY!E"&amp;FD946),""))</f>
        <v/>
      </c>
      <c r="F946" s="11">
        <f>IF(ISNUMBER(FC946),INDIRECT("SamplesX!F"&amp;FC946),IF(ISNUMBER(FD946),INDIRECT("SamplesY!F"&amp;FD946),""))</f>
        <v/>
      </c>
      <c r="G946" s="18">
        <f>IF(ISNUMBER(FC946),INDIRECT("SamplesX!G"&amp;FC946),IF(ISNUMBER(FD946),INDIRECT("SamplesY!G"&amp;FD946),""))</f>
        <v/>
      </c>
      <c r="H946" s="19">
        <f>IF(ISNUMBER(FC946),INDIRECT("SamplesX!H"&amp;FC946),IF(ISNUMBER(FD946),INDIRECT("SamplesY!H"&amp;FD946),""))</f>
        <v/>
      </c>
      <c r="I946" s="16" t="n"/>
      <c r="J946" s="16" t="n"/>
      <c r="K946" s="16" t="n"/>
      <c r="L946" s="20" t="n"/>
      <c r="M946" s="20" t="inlineStr">
        <is>
          <t>None</t>
        </is>
      </c>
      <c r="N946" s="17" t="n"/>
      <c r="O946" s="16" t="n"/>
      <c r="P946" s="20" t="inlineStr">
        <is>
          <t>Shimadzu TOC-L</t>
        </is>
      </c>
      <c r="Q946" s="20" t="inlineStr">
        <is>
          <t>None</t>
        </is>
      </c>
      <c r="R946" s="17" t="n"/>
      <c r="S946" s="16" t="n"/>
      <c r="T946" s="20" t="inlineStr">
        <is>
          <t>Shimadzu TOC-L</t>
        </is>
      </c>
      <c r="U946" s="20" t="inlineStr">
        <is>
          <t>None</t>
        </is>
      </c>
      <c r="V946" s="17" t="n"/>
      <c r="W946" s="16" t="n"/>
      <c r="X946" s="20" t="n"/>
      <c r="Y946" s="20" t="inlineStr">
        <is>
          <t>None</t>
        </is>
      </c>
      <c r="Z946" s="17" t="n"/>
      <c r="AA946" s="16" t="n"/>
      <c r="AB946" s="20" t="n"/>
      <c r="AC946" s="20" t="inlineStr">
        <is>
          <t>None</t>
        </is>
      </c>
      <c r="AD946" s="17" t="n"/>
      <c r="AE946" s="16" t="n"/>
      <c r="AF946" s="20" t="inlineStr">
        <is>
          <t>IC Anionen</t>
        </is>
      </c>
      <c r="AG946" s="20" t="inlineStr">
        <is>
          <t>None</t>
        </is>
      </c>
      <c r="AH946" s="17" t="n"/>
      <c r="AI946" s="16" t="n"/>
      <c r="AJ946" s="20" t="n"/>
      <c r="AK946" s="20" t="inlineStr">
        <is>
          <t>None</t>
        </is>
      </c>
      <c r="AL946" s="17" t="n"/>
      <c r="AM946" s="16" t="n"/>
      <c r="AN946" s="20" t="inlineStr">
        <is>
          <t>IC Anionen</t>
        </is>
      </c>
      <c r="AO946" s="20" t="inlineStr">
        <is>
          <t>None</t>
        </is>
      </c>
      <c r="AP946" s="17" t="n"/>
      <c r="AQ946" s="16" t="n"/>
      <c r="AR946" s="20" t="n"/>
      <c r="AS946" s="20" t="inlineStr">
        <is>
          <t>None</t>
        </is>
      </c>
      <c r="AT946" s="17" t="n"/>
      <c r="AU946" s="16" t="n"/>
      <c r="AV946" s="20" t="n"/>
      <c r="AW946" s="20" t="inlineStr">
        <is>
          <t>None</t>
        </is>
      </c>
      <c r="AX946" s="17" t="n"/>
      <c r="AY946" s="16" t="n"/>
      <c r="AZ946" s="20" t="inlineStr">
        <is>
          <t>IC Anionen</t>
        </is>
      </c>
      <c r="BA946" s="20" t="inlineStr">
        <is>
          <t>None</t>
        </is>
      </c>
      <c r="BB946" s="17" t="n"/>
      <c r="BC946" s="16" t="n"/>
      <c r="BD946" s="20" t="inlineStr">
        <is>
          <t>IC Kationen</t>
        </is>
      </c>
      <c r="BE946" s="20" t="inlineStr">
        <is>
          <t>None</t>
        </is>
      </c>
      <c r="BF946" s="17" t="n"/>
      <c r="BG946" s="16" t="n"/>
      <c r="BH946" s="20" t="inlineStr">
        <is>
          <t>IC Kationen</t>
        </is>
      </c>
      <c r="BI946" s="20" t="inlineStr">
        <is>
          <t>None</t>
        </is>
      </c>
      <c r="BJ946" s="17" t="n"/>
      <c r="BK946" s="16" t="n"/>
      <c r="BL946" s="20" t="inlineStr">
        <is>
          <t>IC Kationen</t>
        </is>
      </c>
      <c r="BM946" s="20" t="inlineStr">
        <is>
          <t>None</t>
        </is>
      </c>
      <c r="BN946" s="17" t="n"/>
      <c r="BO946" s="16" t="n"/>
      <c r="BP946" s="20" t="inlineStr">
        <is>
          <t>IC Kationen</t>
        </is>
      </c>
      <c r="BQ946" s="20" t="inlineStr">
        <is>
          <t>None</t>
        </is>
      </c>
      <c r="BR946" s="17" t="n"/>
      <c r="BS946" s="16" t="n"/>
      <c r="BT946" s="20" t="inlineStr">
        <is>
          <t>IC Kationen</t>
        </is>
      </c>
      <c r="BU946" s="20" t="inlineStr">
        <is>
          <t>None</t>
        </is>
      </c>
      <c r="BV946" s="17" t="n"/>
      <c r="BW946" s="16" t="n"/>
      <c r="BX946" s="20" t="n"/>
      <c r="BY946" s="20" t="inlineStr">
        <is>
          <t>None</t>
        </is>
      </c>
      <c r="BZ946" s="17" t="n"/>
      <c r="CA946" s="16" t="n"/>
      <c r="CB946" s="20" t="n"/>
      <c r="CC946" s="20" t="inlineStr">
        <is>
          <t>None</t>
        </is>
      </c>
      <c r="CD946" s="17" t="n"/>
      <c r="CE946" s="16" t="n"/>
      <c r="CF946" s="20" t="n"/>
      <c r="CG946" s="20" t="inlineStr">
        <is>
          <t>None</t>
        </is>
      </c>
      <c r="CH946" s="17" t="n"/>
      <c r="CI946" s="16" t="n"/>
      <c r="CJ946" s="20" t="n"/>
      <c r="CK946" s="20" t="inlineStr">
        <is>
          <t>None</t>
        </is>
      </c>
      <c r="CL946" s="17" t="n"/>
      <c r="CM946" s="16" t="n"/>
      <c r="CN946" s="20" t="inlineStr">
        <is>
          <t>SOP 45-34</t>
        </is>
      </c>
      <c r="CO946" s="20" t="inlineStr">
        <is>
          <t>None</t>
        </is>
      </c>
      <c r="CP946" s="17" t="n"/>
      <c r="CQ946" s="16" t="n"/>
      <c r="CR946" s="20" t="n"/>
      <c r="CS946" s="20" t="inlineStr">
        <is>
          <t>None</t>
        </is>
      </c>
      <c r="CT946" s="17" t="n"/>
      <c r="CU946" s="16" t="n"/>
      <c r="CV946" s="20" t="n"/>
      <c r="CW946" s="20" t="inlineStr">
        <is>
          <t>None</t>
        </is>
      </c>
      <c r="CX946" s="17" t="n"/>
      <c r="CY946" s="16" t="n"/>
      <c r="CZ946" s="20" t="inlineStr">
        <is>
          <t>WTW Multimeter 3430 with FDO 925</t>
        </is>
      </c>
      <c r="DA946" s="20" t="inlineStr">
        <is>
          <t>None</t>
        </is>
      </c>
      <c r="DB946" s="17" t="n"/>
      <c r="DC946" s="16" t="n"/>
      <c r="DD946" s="20" t="n"/>
      <c r="DE946" s="20" t="inlineStr">
        <is>
          <t>None</t>
        </is>
      </c>
      <c r="DF946" s="17" t="n"/>
      <c r="DG946" s="16" t="n"/>
      <c r="DH946" s="20" t="inlineStr">
        <is>
          <t>SOP 45-09</t>
        </is>
      </c>
      <c r="DI946" s="20" t="inlineStr">
        <is>
          <t>None</t>
        </is>
      </c>
      <c r="DJ946" s="17" t="n"/>
      <c r="DK946" s="16" t="n"/>
      <c r="DL946" s="20" t="inlineStr">
        <is>
          <t>SOP 45-09 (SOP muss noch angepasst werden für VSS)</t>
        </is>
      </c>
      <c r="DM946" s="20" t="inlineStr">
        <is>
          <t>None</t>
        </is>
      </c>
      <c r="DN946" s="17" t="n"/>
      <c r="DO946" s="16" t="n"/>
      <c r="DP946" s="20" t="inlineStr">
        <is>
          <t>IC Organic Acids</t>
        </is>
      </c>
      <c r="DQ946" s="20" t="inlineStr">
        <is>
          <t>None</t>
        </is>
      </c>
      <c r="DR946" s="17" t="n"/>
      <c r="DS946" s="16" t="n"/>
      <c r="DT946" s="20" t="inlineStr">
        <is>
          <t>IC Organic Acids</t>
        </is>
      </c>
      <c r="DU946" s="20" t="inlineStr">
        <is>
          <t>None</t>
        </is>
      </c>
      <c r="DV946" s="17" t="n"/>
      <c r="DW946" s="16" t="n"/>
      <c r="DX946" s="20" t="inlineStr">
        <is>
          <t>IC Organic Acids</t>
        </is>
      </c>
      <c r="DY946" s="20" t="inlineStr">
        <is>
          <t>None</t>
        </is>
      </c>
      <c r="DZ946" s="17" t="n"/>
      <c r="EA946" s="16" t="n"/>
      <c r="EB946" s="20" t="inlineStr">
        <is>
          <t>IC Organic Acids</t>
        </is>
      </c>
      <c r="EC946" s="20" t="inlineStr">
        <is>
          <t>None</t>
        </is>
      </c>
      <c r="ED946" s="17" t="n"/>
      <c r="EE946" s="16" t="n"/>
      <c r="EF946" s="20" t="inlineStr">
        <is>
          <t>IC Organic Acids</t>
        </is>
      </c>
      <c r="EG946" s="20" t="inlineStr">
        <is>
          <t>None</t>
        </is>
      </c>
      <c r="EH946" s="17" t="n"/>
      <c r="EI946" s="16" t="n"/>
      <c r="EJ946" s="20" t="inlineStr">
        <is>
          <t>IC Organic Acids</t>
        </is>
      </c>
      <c r="EK946" s="20" t="inlineStr">
        <is>
          <t>None</t>
        </is>
      </c>
      <c r="EL946" s="17" t="n"/>
      <c r="EM946" s="16" t="n"/>
      <c r="EN946" s="20" t="inlineStr">
        <is>
          <t>IC Organic Acids</t>
        </is>
      </c>
      <c r="EO946" s="20" t="inlineStr">
        <is>
          <t>None</t>
        </is>
      </c>
      <c r="EP946" s="17" t="n"/>
      <c r="EQ946" s="16" t="n"/>
      <c r="ER946" s="20" t="inlineStr">
        <is>
          <t>IC Organic Acids</t>
        </is>
      </c>
      <c r="ES946" s="20" t="inlineStr">
        <is>
          <t>None</t>
        </is>
      </c>
      <c r="ET946" s="17" t="n"/>
      <c r="EU946" s="16" t="n"/>
      <c r="EV946" s="20" t="inlineStr">
        <is>
          <t>LC-MS</t>
        </is>
      </c>
      <c r="EW946" s="20" t="inlineStr">
        <is>
          <t>None</t>
        </is>
      </c>
      <c r="EX946" s="17" t="n"/>
      <c r="EY946" s="21" t="n"/>
      <c r="EZ946">
        <f>CONCATENATE(A946,B946)</f>
        <v/>
      </c>
      <c r="FA946">
        <f>CONCATENATE(SamplesX!A946,SamplesX!B946)</f>
        <v/>
      </c>
      <c r="FC946">
        <f>MATCH(EZ946,FA1:FA1008,0)</f>
        <v/>
      </c>
    </row>
    <row r="947">
      <c r="A947" s="16" t="n"/>
      <c r="B947" s="17" t="n"/>
      <c r="C947" s="10">
        <f>IF(ISNUMBER(FC947),INDIRECT("SamplesX!C"&amp;FC947),IF(ISNUMBER(FD947),INDIRECT("SamplesY!C"&amp;FD947),""))</f>
        <v/>
      </c>
      <c r="D947" s="12">
        <f>IF(ISNUMBER(FC947),INDIRECT("SamplesX!D"&amp;FC947),IF(ISNUMBER(FD947),INDIRECT("SamplesY!D"&amp;FD947),""))</f>
        <v/>
      </c>
      <c r="E947" s="12">
        <f>IF(ISNUMBER(FC947),INDIRECT("SamplesX!E"&amp;FC947),IF(ISNUMBER(FD947),INDIRECT("SamplesY!E"&amp;FD947),""))</f>
        <v/>
      </c>
      <c r="F947" s="11">
        <f>IF(ISNUMBER(FC947),INDIRECT("SamplesX!F"&amp;FC947),IF(ISNUMBER(FD947),INDIRECT("SamplesY!F"&amp;FD947),""))</f>
        <v/>
      </c>
      <c r="G947" s="18">
        <f>IF(ISNUMBER(FC947),INDIRECT("SamplesX!G"&amp;FC947),IF(ISNUMBER(FD947),INDIRECT("SamplesY!G"&amp;FD947),""))</f>
        <v/>
      </c>
      <c r="H947" s="19">
        <f>IF(ISNUMBER(FC947),INDIRECT("SamplesX!H"&amp;FC947),IF(ISNUMBER(FD947),INDIRECT("SamplesY!H"&amp;FD947),""))</f>
        <v/>
      </c>
      <c r="I947" s="16" t="n"/>
      <c r="J947" s="16" t="n"/>
      <c r="K947" s="16" t="n"/>
      <c r="L947" s="20" t="n"/>
      <c r="M947" s="20" t="inlineStr">
        <is>
          <t>None</t>
        </is>
      </c>
      <c r="N947" s="17" t="n"/>
      <c r="O947" s="16" t="n"/>
      <c r="P947" s="20" t="inlineStr">
        <is>
          <t>Shimadzu TOC-L</t>
        </is>
      </c>
      <c r="Q947" s="20" t="inlineStr">
        <is>
          <t>None</t>
        </is>
      </c>
      <c r="R947" s="17" t="n"/>
      <c r="S947" s="16" t="n"/>
      <c r="T947" s="20" t="inlineStr">
        <is>
          <t>Shimadzu TOC-L</t>
        </is>
      </c>
      <c r="U947" s="20" t="inlineStr">
        <is>
          <t>None</t>
        </is>
      </c>
      <c r="V947" s="17" t="n"/>
      <c r="W947" s="16" t="n"/>
      <c r="X947" s="20" t="n"/>
      <c r="Y947" s="20" t="inlineStr">
        <is>
          <t>None</t>
        </is>
      </c>
      <c r="Z947" s="17" t="n"/>
      <c r="AA947" s="16" t="n"/>
      <c r="AB947" s="20" t="n"/>
      <c r="AC947" s="20" t="inlineStr">
        <is>
          <t>None</t>
        </is>
      </c>
      <c r="AD947" s="17" t="n"/>
      <c r="AE947" s="16" t="n"/>
      <c r="AF947" s="20" t="inlineStr">
        <is>
          <t>IC Anionen</t>
        </is>
      </c>
      <c r="AG947" s="20" t="inlineStr">
        <is>
          <t>None</t>
        </is>
      </c>
      <c r="AH947" s="17" t="n"/>
      <c r="AI947" s="16" t="n"/>
      <c r="AJ947" s="20" t="n"/>
      <c r="AK947" s="20" t="inlineStr">
        <is>
          <t>None</t>
        </is>
      </c>
      <c r="AL947" s="17" t="n"/>
      <c r="AM947" s="16" t="n"/>
      <c r="AN947" s="20" t="inlineStr">
        <is>
          <t>IC Anionen</t>
        </is>
      </c>
      <c r="AO947" s="20" t="inlineStr">
        <is>
          <t>None</t>
        </is>
      </c>
      <c r="AP947" s="17" t="n"/>
      <c r="AQ947" s="16" t="n"/>
      <c r="AR947" s="20" t="n"/>
      <c r="AS947" s="20" t="inlineStr">
        <is>
          <t>None</t>
        </is>
      </c>
      <c r="AT947" s="17" t="n"/>
      <c r="AU947" s="16" t="n"/>
      <c r="AV947" s="20" t="n"/>
      <c r="AW947" s="20" t="inlineStr">
        <is>
          <t>None</t>
        </is>
      </c>
      <c r="AX947" s="17" t="n"/>
      <c r="AY947" s="16" t="n"/>
      <c r="AZ947" s="20" t="inlineStr">
        <is>
          <t>IC Anionen</t>
        </is>
      </c>
      <c r="BA947" s="20" t="inlineStr">
        <is>
          <t>None</t>
        </is>
      </c>
      <c r="BB947" s="17" t="n"/>
      <c r="BC947" s="16" t="n"/>
      <c r="BD947" s="20" t="inlineStr">
        <is>
          <t>IC Kationen</t>
        </is>
      </c>
      <c r="BE947" s="20" t="inlineStr">
        <is>
          <t>None</t>
        </is>
      </c>
      <c r="BF947" s="17" t="n"/>
      <c r="BG947" s="16" t="n"/>
      <c r="BH947" s="20" t="inlineStr">
        <is>
          <t>IC Kationen</t>
        </is>
      </c>
      <c r="BI947" s="20" t="inlineStr">
        <is>
          <t>None</t>
        </is>
      </c>
      <c r="BJ947" s="17" t="n"/>
      <c r="BK947" s="16" t="n"/>
      <c r="BL947" s="20" t="inlineStr">
        <is>
          <t>IC Kationen</t>
        </is>
      </c>
      <c r="BM947" s="20" t="inlineStr">
        <is>
          <t>None</t>
        </is>
      </c>
      <c r="BN947" s="17" t="n"/>
      <c r="BO947" s="16" t="n"/>
      <c r="BP947" s="20" t="inlineStr">
        <is>
          <t>IC Kationen</t>
        </is>
      </c>
      <c r="BQ947" s="20" t="inlineStr">
        <is>
          <t>None</t>
        </is>
      </c>
      <c r="BR947" s="17" t="n"/>
      <c r="BS947" s="16" t="n"/>
      <c r="BT947" s="20" t="inlineStr">
        <is>
          <t>IC Kationen</t>
        </is>
      </c>
      <c r="BU947" s="20" t="inlineStr">
        <is>
          <t>None</t>
        </is>
      </c>
      <c r="BV947" s="17" t="n"/>
      <c r="BW947" s="16" t="n"/>
      <c r="BX947" s="20" t="n"/>
      <c r="BY947" s="20" t="inlineStr">
        <is>
          <t>None</t>
        </is>
      </c>
      <c r="BZ947" s="17" t="n"/>
      <c r="CA947" s="16" t="n"/>
      <c r="CB947" s="20" t="n"/>
      <c r="CC947" s="20" t="inlineStr">
        <is>
          <t>None</t>
        </is>
      </c>
      <c r="CD947" s="17" t="n"/>
      <c r="CE947" s="16" t="n"/>
      <c r="CF947" s="20" t="n"/>
      <c r="CG947" s="20" t="inlineStr">
        <is>
          <t>None</t>
        </is>
      </c>
      <c r="CH947" s="17" t="n"/>
      <c r="CI947" s="16" t="n"/>
      <c r="CJ947" s="20" t="n"/>
      <c r="CK947" s="20" t="inlineStr">
        <is>
          <t>None</t>
        </is>
      </c>
      <c r="CL947" s="17" t="n"/>
      <c r="CM947" s="16" t="n"/>
      <c r="CN947" s="20" t="inlineStr">
        <is>
          <t>SOP 45-34</t>
        </is>
      </c>
      <c r="CO947" s="20" t="inlineStr">
        <is>
          <t>None</t>
        </is>
      </c>
      <c r="CP947" s="17" t="n"/>
      <c r="CQ947" s="16" t="n"/>
      <c r="CR947" s="20" t="n"/>
      <c r="CS947" s="20" t="inlineStr">
        <is>
          <t>None</t>
        </is>
      </c>
      <c r="CT947" s="17" t="n"/>
      <c r="CU947" s="16" t="n"/>
      <c r="CV947" s="20" t="n"/>
      <c r="CW947" s="20" t="inlineStr">
        <is>
          <t>None</t>
        </is>
      </c>
      <c r="CX947" s="17" t="n"/>
      <c r="CY947" s="16" t="n"/>
      <c r="CZ947" s="20" t="inlineStr">
        <is>
          <t>WTW Multimeter 3430 with FDO 925</t>
        </is>
      </c>
      <c r="DA947" s="20" t="inlineStr">
        <is>
          <t>None</t>
        </is>
      </c>
      <c r="DB947" s="17" t="n"/>
      <c r="DC947" s="16" t="n"/>
      <c r="DD947" s="20" t="n"/>
      <c r="DE947" s="20" t="inlineStr">
        <is>
          <t>None</t>
        </is>
      </c>
      <c r="DF947" s="17" t="n"/>
      <c r="DG947" s="16" t="n"/>
      <c r="DH947" s="20" t="inlineStr">
        <is>
          <t>SOP 45-09</t>
        </is>
      </c>
      <c r="DI947" s="20" t="inlineStr">
        <is>
          <t>None</t>
        </is>
      </c>
      <c r="DJ947" s="17" t="n"/>
      <c r="DK947" s="16" t="n"/>
      <c r="DL947" s="20" t="inlineStr">
        <is>
          <t>SOP 45-09 (SOP muss noch angepasst werden für VSS)</t>
        </is>
      </c>
      <c r="DM947" s="20" t="inlineStr">
        <is>
          <t>None</t>
        </is>
      </c>
      <c r="DN947" s="17" t="n"/>
      <c r="DO947" s="16" t="n"/>
      <c r="DP947" s="20" t="inlineStr">
        <is>
          <t>IC Organic Acids</t>
        </is>
      </c>
      <c r="DQ947" s="20" t="inlineStr">
        <is>
          <t>None</t>
        </is>
      </c>
      <c r="DR947" s="17" t="n"/>
      <c r="DS947" s="16" t="n"/>
      <c r="DT947" s="20" t="inlineStr">
        <is>
          <t>IC Organic Acids</t>
        </is>
      </c>
      <c r="DU947" s="20" t="inlineStr">
        <is>
          <t>None</t>
        </is>
      </c>
      <c r="DV947" s="17" t="n"/>
      <c r="DW947" s="16" t="n"/>
      <c r="DX947" s="20" t="inlineStr">
        <is>
          <t>IC Organic Acids</t>
        </is>
      </c>
      <c r="DY947" s="20" t="inlineStr">
        <is>
          <t>None</t>
        </is>
      </c>
      <c r="DZ947" s="17" t="n"/>
      <c r="EA947" s="16" t="n"/>
      <c r="EB947" s="20" t="inlineStr">
        <is>
          <t>IC Organic Acids</t>
        </is>
      </c>
      <c r="EC947" s="20" t="inlineStr">
        <is>
          <t>None</t>
        </is>
      </c>
      <c r="ED947" s="17" t="n"/>
      <c r="EE947" s="16" t="n"/>
      <c r="EF947" s="20" t="inlineStr">
        <is>
          <t>IC Organic Acids</t>
        </is>
      </c>
      <c r="EG947" s="20" t="inlineStr">
        <is>
          <t>None</t>
        </is>
      </c>
      <c r="EH947" s="17" t="n"/>
      <c r="EI947" s="16" t="n"/>
      <c r="EJ947" s="20" t="inlineStr">
        <is>
          <t>IC Organic Acids</t>
        </is>
      </c>
      <c r="EK947" s="20" t="inlineStr">
        <is>
          <t>None</t>
        </is>
      </c>
      <c r="EL947" s="17" t="n"/>
      <c r="EM947" s="16" t="n"/>
      <c r="EN947" s="20" t="inlineStr">
        <is>
          <t>IC Organic Acids</t>
        </is>
      </c>
      <c r="EO947" s="20" t="inlineStr">
        <is>
          <t>None</t>
        </is>
      </c>
      <c r="EP947" s="17" t="n"/>
      <c r="EQ947" s="16" t="n"/>
      <c r="ER947" s="20" t="inlineStr">
        <is>
          <t>IC Organic Acids</t>
        </is>
      </c>
      <c r="ES947" s="20" t="inlineStr">
        <is>
          <t>None</t>
        </is>
      </c>
      <c r="ET947" s="17" t="n"/>
      <c r="EU947" s="16" t="n"/>
      <c r="EV947" s="20" t="inlineStr">
        <is>
          <t>LC-MS</t>
        </is>
      </c>
      <c r="EW947" s="20" t="inlineStr">
        <is>
          <t>None</t>
        </is>
      </c>
      <c r="EX947" s="17" t="n"/>
      <c r="EY947" s="21" t="n"/>
      <c r="EZ947">
        <f>CONCATENATE(A947,B947)</f>
        <v/>
      </c>
      <c r="FA947">
        <f>CONCATENATE(SamplesX!A947,SamplesX!B947)</f>
        <v/>
      </c>
      <c r="FC947">
        <f>MATCH(EZ947,FA1:FA1008,0)</f>
        <v/>
      </c>
    </row>
    <row r="948">
      <c r="A948" s="16" t="n"/>
      <c r="B948" s="17" t="n"/>
      <c r="C948" s="10">
        <f>IF(ISNUMBER(FC948),INDIRECT("SamplesX!C"&amp;FC948),IF(ISNUMBER(FD948),INDIRECT("SamplesY!C"&amp;FD948),""))</f>
        <v/>
      </c>
      <c r="D948" s="12">
        <f>IF(ISNUMBER(FC948),INDIRECT("SamplesX!D"&amp;FC948),IF(ISNUMBER(FD948),INDIRECT("SamplesY!D"&amp;FD948),""))</f>
        <v/>
      </c>
      <c r="E948" s="12">
        <f>IF(ISNUMBER(FC948),INDIRECT("SamplesX!E"&amp;FC948),IF(ISNUMBER(FD948),INDIRECT("SamplesY!E"&amp;FD948),""))</f>
        <v/>
      </c>
      <c r="F948" s="11">
        <f>IF(ISNUMBER(FC948),INDIRECT("SamplesX!F"&amp;FC948),IF(ISNUMBER(FD948),INDIRECT("SamplesY!F"&amp;FD948),""))</f>
        <v/>
      </c>
      <c r="G948" s="18">
        <f>IF(ISNUMBER(FC948),INDIRECT("SamplesX!G"&amp;FC948),IF(ISNUMBER(FD948),INDIRECT("SamplesY!G"&amp;FD948),""))</f>
        <v/>
      </c>
      <c r="H948" s="19">
        <f>IF(ISNUMBER(FC948),INDIRECT("SamplesX!H"&amp;FC948),IF(ISNUMBER(FD948),INDIRECT("SamplesY!H"&amp;FD948),""))</f>
        <v/>
      </c>
      <c r="I948" s="16" t="n"/>
      <c r="J948" s="16" t="n"/>
      <c r="K948" s="16" t="n"/>
      <c r="L948" s="20" t="n"/>
      <c r="M948" s="20" t="inlineStr">
        <is>
          <t>None</t>
        </is>
      </c>
      <c r="N948" s="17" t="n"/>
      <c r="O948" s="16" t="n"/>
      <c r="P948" s="20" t="inlineStr">
        <is>
          <t>Shimadzu TOC-L</t>
        </is>
      </c>
      <c r="Q948" s="20" t="inlineStr">
        <is>
          <t>None</t>
        </is>
      </c>
      <c r="R948" s="17" t="n"/>
      <c r="S948" s="16" t="n"/>
      <c r="T948" s="20" t="inlineStr">
        <is>
          <t>Shimadzu TOC-L</t>
        </is>
      </c>
      <c r="U948" s="20" t="inlineStr">
        <is>
          <t>None</t>
        </is>
      </c>
      <c r="V948" s="17" t="n"/>
      <c r="W948" s="16" t="n"/>
      <c r="X948" s="20" t="n"/>
      <c r="Y948" s="20" t="inlineStr">
        <is>
          <t>None</t>
        </is>
      </c>
      <c r="Z948" s="17" t="n"/>
      <c r="AA948" s="16" t="n"/>
      <c r="AB948" s="20" t="n"/>
      <c r="AC948" s="20" t="inlineStr">
        <is>
          <t>None</t>
        </is>
      </c>
      <c r="AD948" s="17" t="n"/>
      <c r="AE948" s="16" t="n"/>
      <c r="AF948" s="20" t="inlineStr">
        <is>
          <t>IC Anionen</t>
        </is>
      </c>
      <c r="AG948" s="20" t="inlineStr">
        <is>
          <t>None</t>
        </is>
      </c>
      <c r="AH948" s="17" t="n"/>
      <c r="AI948" s="16" t="n"/>
      <c r="AJ948" s="20" t="n"/>
      <c r="AK948" s="20" t="inlineStr">
        <is>
          <t>None</t>
        </is>
      </c>
      <c r="AL948" s="17" t="n"/>
      <c r="AM948" s="16" t="n"/>
      <c r="AN948" s="20" t="inlineStr">
        <is>
          <t>IC Anionen</t>
        </is>
      </c>
      <c r="AO948" s="20" t="inlineStr">
        <is>
          <t>None</t>
        </is>
      </c>
      <c r="AP948" s="17" t="n"/>
      <c r="AQ948" s="16" t="n"/>
      <c r="AR948" s="20" t="n"/>
      <c r="AS948" s="20" t="inlineStr">
        <is>
          <t>None</t>
        </is>
      </c>
      <c r="AT948" s="17" t="n"/>
      <c r="AU948" s="16" t="n"/>
      <c r="AV948" s="20" t="n"/>
      <c r="AW948" s="20" t="inlineStr">
        <is>
          <t>None</t>
        </is>
      </c>
      <c r="AX948" s="17" t="n"/>
      <c r="AY948" s="16" t="n"/>
      <c r="AZ948" s="20" t="inlineStr">
        <is>
          <t>IC Anionen</t>
        </is>
      </c>
      <c r="BA948" s="20" t="inlineStr">
        <is>
          <t>None</t>
        </is>
      </c>
      <c r="BB948" s="17" t="n"/>
      <c r="BC948" s="16" t="n"/>
      <c r="BD948" s="20" t="inlineStr">
        <is>
          <t>IC Kationen</t>
        </is>
      </c>
      <c r="BE948" s="20" t="inlineStr">
        <is>
          <t>None</t>
        </is>
      </c>
      <c r="BF948" s="17" t="n"/>
      <c r="BG948" s="16" t="n"/>
      <c r="BH948" s="20" t="inlineStr">
        <is>
          <t>IC Kationen</t>
        </is>
      </c>
      <c r="BI948" s="20" t="inlineStr">
        <is>
          <t>None</t>
        </is>
      </c>
      <c r="BJ948" s="17" t="n"/>
      <c r="BK948" s="16" t="n"/>
      <c r="BL948" s="20" t="inlineStr">
        <is>
          <t>IC Kationen</t>
        </is>
      </c>
      <c r="BM948" s="20" t="inlineStr">
        <is>
          <t>None</t>
        </is>
      </c>
      <c r="BN948" s="17" t="n"/>
      <c r="BO948" s="16" t="n"/>
      <c r="BP948" s="20" t="inlineStr">
        <is>
          <t>IC Kationen</t>
        </is>
      </c>
      <c r="BQ948" s="20" t="inlineStr">
        <is>
          <t>None</t>
        </is>
      </c>
      <c r="BR948" s="17" t="n"/>
      <c r="BS948" s="16" t="n"/>
      <c r="BT948" s="20" t="inlineStr">
        <is>
          <t>IC Kationen</t>
        </is>
      </c>
      <c r="BU948" s="20" t="inlineStr">
        <is>
          <t>None</t>
        </is>
      </c>
      <c r="BV948" s="17" t="n"/>
      <c r="BW948" s="16" t="n"/>
      <c r="BX948" s="20" t="n"/>
      <c r="BY948" s="20" t="inlineStr">
        <is>
          <t>None</t>
        </is>
      </c>
      <c r="BZ948" s="17" t="n"/>
      <c r="CA948" s="16" t="n"/>
      <c r="CB948" s="20" t="n"/>
      <c r="CC948" s="20" t="inlineStr">
        <is>
          <t>None</t>
        </is>
      </c>
      <c r="CD948" s="17" t="n"/>
      <c r="CE948" s="16" t="n"/>
      <c r="CF948" s="20" t="n"/>
      <c r="CG948" s="20" t="inlineStr">
        <is>
          <t>None</t>
        </is>
      </c>
      <c r="CH948" s="17" t="n"/>
      <c r="CI948" s="16" t="n"/>
      <c r="CJ948" s="20" t="n"/>
      <c r="CK948" s="20" t="inlineStr">
        <is>
          <t>None</t>
        </is>
      </c>
      <c r="CL948" s="17" t="n"/>
      <c r="CM948" s="16" t="n"/>
      <c r="CN948" s="20" t="inlineStr">
        <is>
          <t>SOP 45-34</t>
        </is>
      </c>
      <c r="CO948" s="20" t="inlineStr">
        <is>
          <t>None</t>
        </is>
      </c>
      <c r="CP948" s="17" t="n"/>
      <c r="CQ948" s="16" t="n"/>
      <c r="CR948" s="20" t="n"/>
      <c r="CS948" s="20" t="inlineStr">
        <is>
          <t>None</t>
        </is>
      </c>
      <c r="CT948" s="17" t="n"/>
      <c r="CU948" s="16" t="n"/>
      <c r="CV948" s="20" t="n"/>
      <c r="CW948" s="20" t="inlineStr">
        <is>
          <t>None</t>
        </is>
      </c>
      <c r="CX948" s="17" t="n"/>
      <c r="CY948" s="16" t="n"/>
      <c r="CZ948" s="20" t="inlineStr">
        <is>
          <t>WTW Multimeter 3430 with FDO 925</t>
        </is>
      </c>
      <c r="DA948" s="20" t="inlineStr">
        <is>
          <t>None</t>
        </is>
      </c>
      <c r="DB948" s="17" t="n"/>
      <c r="DC948" s="16" t="n"/>
      <c r="DD948" s="20" t="n"/>
      <c r="DE948" s="20" t="inlineStr">
        <is>
          <t>None</t>
        </is>
      </c>
      <c r="DF948" s="17" t="n"/>
      <c r="DG948" s="16" t="n"/>
      <c r="DH948" s="20" t="inlineStr">
        <is>
          <t>SOP 45-09</t>
        </is>
      </c>
      <c r="DI948" s="20" t="inlineStr">
        <is>
          <t>None</t>
        </is>
      </c>
      <c r="DJ948" s="17" t="n"/>
      <c r="DK948" s="16" t="n"/>
      <c r="DL948" s="20" t="inlineStr">
        <is>
          <t>SOP 45-09 (SOP muss noch angepasst werden für VSS)</t>
        </is>
      </c>
      <c r="DM948" s="20" t="inlineStr">
        <is>
          <t>None</t>
        </is>
      </c>
      <c r="DN948" s="17" t="n"/>
      <c r="DO948" s="16" t="n"/>
      <c r="DP948" s="20" t="inlineStr">
        <is>
          <t>IC Organic Acids</t>
        </is>
      </c>
      <c r="DQ948" s="20" t="inlineStr">
        <is>
          <t>None</t>
        </is>
      </c>
      <c r="DR948" s="17" t="n"/>
      <c r="DS948" s="16" t="n"/>
      <c r="DT948" s="20" t="inlineStr">
        <is>
          <t>IC Organic Acids</t>
        </is>
      </c>
      <c r="DU948" s="20" t="inlineStr">
        <is>
          <t>None</t>
        </is>
      </c>
      <c r="DV948" s="17" t="n"/>
      <c r="DW948" s="16" t="n"/>
      <c r="DX948" s="20" t="inlineStr">
        <is>
          <t>IC Organic Acids</t>
        </is>
      </c>
      <c r="DY948" s="20" t="inlineStr">
        <is>
          <t>None</t>
        </is>
      </c>
      <c r="DZ948" s="17" t="n"/>
      <c r="EA948" s="16" t="n"/>
      <c r="EB948" s="20" t="inlineStr">
        <is>
          <t>IC Organic Acids</t>
        </is>
      </c>
      <c r="EC948" s="20" t="inlineStr">
        <is>
          <t>None</t>
        </is>
      </c>
      <c r="ED948" s="17" t="n"/>
      <c r="EE948" s="16" t="n"/>
      <c r="EF948" s="20" t="inlineStr">
        <is>
          <t>IC Organic Acids</t>
        </is>
      </c>
      <c r="EG948" s="20" t="inlineStr">
        <is>
          <t>None</t>
        </is>
      </c>
      <c r="EH948" s="17" t="n"/>
      <c r="EI948" s="16" t="n"/>
      <c r="EJ948" s="20" t="inlineStr">
        <is>
          <t>IC Organic Acids</t>
        </is>
      </c>
      <c r="EK948" s="20" t="inlineStr">
        <is>
          <t>None</t>
        </is>
      </c>
      <c r="EL948" s="17" t="n"/>
      <c r="EM948" s="16" t="n"/>
      <c r="EN948" s="20" t="inlineStr">
        <is>
          <t>IC Organic Acids</t>
        </is>
      </c>
      <c r="EO948" s="20" t="inlineStr">
        <is>
          <t>None</t>
        </is>
      </c>
      <c r="EP948" s="17" t="n"/>
      <c r="EQ948" s="16" t="n"/>
      <c r="ER948" s="20" t="inlineStr">
        <is>
          <t>IC Organic Acids</t>
        </is>
      </c>
      <c r="ES948" s="20" t="inlineStr">
        <is>
          <t>None</t>
        </is>
      </c>
      <c r="ET948" s="17" t="n"/>
      <c r="EU948" s="16" t="n"/>
      <c r="EV948" s="20" t="inlineStr">
        <is>
          <t>LC-MS</t>
        </is>
      </c>
      <c r="EW948" s="20" t="inlineStr">
        <is>
          <t>None</t>
        </is>
      </c>
      <c r="EX948" s="17" t="n"/>
      <c r="EY948" s="21" t="n"/>
      <c r="EZ948">
        <f>CONCATENATE(A948,B948)</f>
        <v/>
      </c>
      <c r="FA948">
        <f>CONCATENATE(SamplesX!A948,SamplesX!B948)</f>
        <v/>
      </c>
      <c r="FC948">
        <f>MATCH(EZ948,FA1:FA1008,0)</f>
        <v/>
      </c>
    </row>
    <row r="949">
      <c r="A949" s="16" t="n"/>
      <c r="B949" s="17" t="n"/>
      <c r="C949" s="10">
        <f>IF(ISNUMBER(FC949),INDIRECT("SamplesX!C"&amp;FC949),IF(ISNUMBER(FD949),INDIRECT("SamplesY!C"&amp;FD949),""))</f>
        <v/>
      </c>
      <c r="D949" s="12">
        <f>IF(ISNUMBER(FC949),INDIRECT("SamplesX!D"&amp;FC949),IF(ISNUMBER(FD949),INDIRECT("SamplesY!D"&amp;FD949),""))</f>
        <v/>
      </c>
      <c r="E949" s="12">
        <f>IF(ISNUMBER(FC949),INDIRECT("SamplesX!E"&amp;FC949),IF(ISNUMBER(FD949),INDIRECT("SamplesY!E"&amp;FD949),""))</f>
        <v/>
      </c>
      <c r="F949" s="11">
        <f>IF(ISNUMBER(FC949),INDIRECT("SamplesX!F"&amp;FC949),IF(ISNUMBER(FD949),INDIRECT("SamplesY!F"&amp;FD949),""))</f>
        <v/>
      </c>
      <c r="G949" s="18">
        <f>IF(ISNUMBER(FC949),INDIRECT("SamplesX!G"&amp;FC949),IF(ISNUMBER(FD949),INDIRECT("SamplesY!G"&amp;FD949),""))</f>
        <v/>
      </c>
      <c r="H949" s="19">
        <f>IF(ISNUMBER(FC949),INDIRECT("SamplesX!H"&amp;FC949),IF(ISNUMBER(FD949),INDIRECT("SamplesY!H"&amp;FD949),""))</f>
        <v/>
      </c>
      <c r="I949" s="16" t="n"/>
      <c r="J949" s="16" t="n"/>
      <c r="K949" s="16" t="n"/>
      <c r="L949" s="20" t="n"/>
      <c r="M949" s="20" t="inlineStr">
        <is>
          <t>None</t>
        </is>
      </c>
      <c r="N949" s="17" t="n"/>
      <c r="O949" s="16" t="n"/>
      <c r="P949" s="20" t="inlineStr">
        <is>
          <t>Shimadzu TOC-L</t>
        </is>
      </c>
      <c r="Q949" s="20" t="inlineStr">
        <is>
          <t>None</t>
        </is>
      </c>
      <c r="R949" s="17" t="n"/>
      <c r="S949" s="16" t="n"/>
      <c r="T949" s="20" t="inlineStr">
        <is>
          <t>Shimadzu TOC-L</t>
        </is>
      </c>
      <c r="U949" s="20" t="inlineStr">
        <is>
          <t>None</t>
        </is>
      </c>
      <c r="V949" s="17" t="n"/>
      <c r="W949" s="16" t="n"/>
      <c r="X949" s="20" t="n"/>
      <c r="Y949" s="20" t="inlineStr">
        <is>
          <t>None</t>
        </is>
      </c>
      <c r="Z949" s="17" t="n"/>
      <c r="AA949" s="16" t="n"/>
      <c r="AB949" s="20" t="n"/>
      <c r="AC949" s="20" t="inlineStr">
        <is>
          <t>None</t>
        </is>
      </c>
      <c r="AD949" s="17" t="n"/>
      <c r="AE949" s="16" t="n"/>
      <c r="AF949" s="20" t="inlineStr">
        <is>
          <t>IC Anionen</t>
        </is>
      </c>
      <c r="AG949" s="20" t="inlineStr">
        <is>
          <t>None</t>
        </is>
      </c>
      <c r="AH949" s="17" t="n"/>
      <c r="AI949" s="16" t="n"/>
      <c r="AJ949" s="20" t="n"/>
      <c r="AK949" s="20" t="inlineStr">
        <is>
          <t>None</t>
        </is>
      </c>
      <c r="AL949" s="17" t="n"/>
      <c r="AM949" s="16" t="n"/>
      <c r="AN949" s="20" t="inlineStr">
        <is>
          <t>IC Anionen</t>
        </is>
      </c>
      <c r="AO949" s="20" t="inlineStr">
        <is>
          <t>None</t>
        </is>
      </c>
      <c r="AP949" s="17" t="n"/>
      <c r="AQ949" s="16" t="n"/>
      <c r="AR949" s="20" t="n"/>
      <c r="AS949" s="20" t="inlineStr">
        <is>
          <t>None</t>
        </is>
      </c>
      <c r="AT949" s="17" t="n"/>
      <c r="AU949" s="16" t="n"/>
      <c r="AV949" s="20" t="n"/>
      <c r="AW949" s="20" t="inlineStr">
        <is>
          <t>None</t>
        </is>
      </c>
      <c r="AX949" s="17" t="n"/>
      <c r="AY949" s="16" t="n"/>
      <c r="AZ949" s="20" t="inlineStr">
        <is>
          <t>IC Anionen</t>
        </is>
      </c>
      <c r="BA949" s="20" t="inlineStr">
        <is>
          <t>None</t>
        </is>
      </c>
      <c r="BB949" s="17" t="n"/>
      <c r="BC949" s="16" t="n"/>
      <c r="BD949" s="20" t="inlineStr">
        <is>
          <t>IC Kationen</t>
        </is>
      </c>
      <c r="BE949" s="20" t="inlineStr">
        <is>
          <t>None</t>
        </is>
      </c>
      <c r="BF949" s="17" t="n"/>
      <c r="BG949" s="16" t="n"/>
      <c r="BH949" s="20" t="inlineStr">
        <is>
          <t>IC Kationen</t>
        </is>
      </c>
      <c r="BI949" s="20" t="inlineStr">
        <is>
          <t>None</t>
        </is>
      </c>
      <c r="BJ949" s="17" t="n"/>
      <c r="BK949" s="16" t="n"/>
      <c r="BL949" s="20" t="inlineStr">
        <is>
          <t>IC Kationen</t>
        </is>
      </c>
      <c r="BM949" s="20" t="inlineStr">
        <is>
          <t>None</t>
        </is>
      </c>
      <c r="BN949" s="17" t="n"/>
      <c r="BO949" s="16" t="n"/>
      <c r="BP949" s="20" t="inlineStr">
        <is>
          <t>IC Kationen</t>
        </is>
      </c>
      <c r="BQ949" s="20" t="inlineStr">
        <is>
          <t>None</t>
        </is>
      </c>
      <c r="BR949" s="17" t="n"/>
      <c r="BS949" s="16" t="n"/>
      <c r="BT949" s="20" t="inlineStr">
        <is>
          <t>IC Kationen</t>
        </is>
      </c>
      <c r="BU949" s="20" t="inlineStr">
        <is>
          <t>None</t>
        </is>
      </c>
      <c r="BV949" s="17" t="n"/>
      <c r="BW949" s="16" t="n"/>
      <c r="BX949" s="20" t="n"/>
      <c r="BY949" s="20" t="inlineStr">
        <is>
          <t>None</t>
        </is>
      </c>
      <c r="BZ949" s="17" t="n"/>
      <c r="CA949" s="16" t="n"/>
      <c r="CB949" s="20" t="n"/>
      <c r="CC949" s="20" t="inlineStr">
        <is>
          <t>None</t>
        </is>
      </c>
      <c r="CD949" s="17" t="n"/>
      <c r="CE949" s="16" t="n"/>
      <c r="CF949" s="20" t="n"/>
      <c r="CG949" s="20" t="inlineStr">
        <is>
          <t>None</t>
        </is>
      </c>
      <c r="CH949" s="17" t="n"/>
      <c r="CI949" s="16" t="n"/>
      <c r="CJ949" s="20" t="n"/>
      <c r="CK949" s="20" t="inlineStr">
        <is>
          <t>None</t>
        </is>
      </c>
      <c r="CL949" s="17" t="n"/>
      <c r="CM949" s="16" t="n"/>
      <c r="CN949" s="20" t="inlineStr">
        <is>
          <t>SOP 45-34</t>
        </is>
      </c>
      <c r="CO949" s="20" t="inlineStr">
        <is>
          <t>None</t>
        </is>
      </c>
      <c r="CP949" s="17" t="n"/>
      <c r="CQ949" s="16" t="n"/>
      <c r="CR949" s="20" t="n"/>
      <c r="CS949" s="20" t="inlineStr">
        <is>
          <t>None</t>
        </is>
      </c>
      <c r="CT949" s="17" t="n"/>
      <c r="CU949" s="16" t="n"/>
      <c r="CV949" s="20" t="n"/>
      <c r="CW949" s="20" t="inlineStr">
        <is>
          <t>None</t>
        </is>
      </c>
      <c r="CX949" s="17" t="n"/>
      <c r="CY949" s="16" t="n"/>
      <c r="CZ949" s="20" t="inlineStr">
        <is>
          <t>WTW Multimeter 3430 with FDO 925</t>
        </is>
      </c>
      <c r="DA949" s="20" t="inlineStr">
        <is>
          <t>None</t>
        </is>
      </c>
      <c r="DB949" s="17" t="n"/>
      <c r="DC949" s="16" t="n"/>
      <c r="DD949" s="20" t="n"/>
      <c r="DE949" s="20" t="inlineStr">
        <is>
          <t>None</t>
        </is>
      </c>
      <c r="DF949" s="17" t="n"/>
      <c r="DG949" s="16" t="n"/>
      <c r="DH949" s="20" t="inlineStr">
        <is>
          <t>SOP 45-09</t>
        </is>
      </c>
      <c r="DI949" s="20" t="inlineStr">
        <is>
          <t>None</t>
        </is>
      </c>
      <c r="DJ949" s="17" t="n"/>
      <c r="DK949" s="16" t="n"/>
      <c r="DL949" s="20" t="inlineStr">
        <is>
          <t>SOP 45-09 (SOP muss noch angepasst werden für VSS)</t>
        </is>
      </c>
      <c r="DM949" s="20" t="inlineStr">
        <is>
          <t>None</t>
        </is>
      </c>
      <c r="DN949" s="17" t="n"/>
      <c r="DO949" s="16" t="n"/>
      <c r="DP949" s="20" t="inlineStr">
        <is>
          <t>IC Organic Acids</t>
        </is>
      </c>
      <c r="DQ949" s="20" t="inlineStr">
        <is>
          <t>None</t>
        </is>
      </c>
      <c r="DR949" s="17" t="n"/>
      <c r="DS949" s="16" t="n"/>
      <c r="DT949" s="20" t="inlineStr">
        <is>
          <t>IC Organic Acids</t>
        </is>
      </c>
      <c r="DU949" s="20" t="inlineStr">
        <is>
          <t>None</t>
        </is>
      </c>
      <c r="DV949" s="17" t="n"/>
      <c r="DW949" s="16" t="n"/>
      <c r="DX949" s="20" t="inlineStr">
        <is>
          <t>IC Organic Acids</t>
        </is>
      </c>
      <c r="DY949" s="20" t="inlineStr">
        <is>
          <t>None</t>
        </is>
      </c>
      <c r="DZ949" s="17" t="n"/>
      <c r="EA949" s="16" t="n"/>
      <c r="EB949" s="20" t="inlineStr">
        <is>
          <t>IC Organic Acids</t>
        </is>
      </c>
      <c r="EC949" s="20" t="inlineStr">
        <is>
          <t>None</t>
        </is>
      </c>
      <c r="ED949" s="17" t="n"/>
      <c r="EE949" s="16" t="n"/>
      <c r="EF949" s="20" t="inlineStr">
        <is>
          <t>IC Organic Acids</t>
        </is>
      </c>
      <c r="EG949" s="20" t="inlineStr">
        <is>
          <t>None</t>
        </is>
      </c>
      <c r="EH949" s="17" t="n"/>
      <c r="EI949" s="16" t="n"/>
      <c r="EJ949" s="20" t="inlineStr">
        <is>
          <t>IC Organic Acids</t>
        </is>
      </c>
      <c r="EK949" s="20" t="inlineStr">
        <is>
          <t>None</t>
        </is>
      </c>
      <c r="EL949" s="17" t="n"/>
      <c r="EM949" s="16" t="n"/>
      <c r="EN949" s="20" t="inlineStr">
        <is>
          <t>IC Organic Acids</t>
        </is>
      </c>
      <c r="EO949" s="20" t="inlineStr">
        <is>
          <t>None</t>
        </is>
      </c>
      <c r="EP949" s="17" t="n"/>
      <c r="EQ949" s="16" t="n"/>
      <c r="ER949" s="20" t="inlineStr">
        <is>
          <t>IC Organic Acids</t>
        </is>
      </c>
      <c r="ES949" s="20" t="inlineStr">
        <is>
          <t>None</t>
        </is>
      </c>
      <c r="ET949" s="17" t="n"/>
      <c r="EU949" s="16" t="n"/>
      <c r="EV949" s="20" t="inlineStr">
        <is>
          <t>LC-MS</t>
        </is>
      </c>
      <c r="EW949" s="20" t="inlineStr">
        <is>
          <t>None</t>
        </is>
      </c>
      <c r="EX949" s="17" t="n"/>
      <c r="EY949" s="21" t="n"/>
      <c r="EZ949">
        <f>CONCATENATE(A949,B949)</f>
        <v/>
      </c>
      <c r="FA949">
        <f>CONCATENATE(SamplesX!A949,SamplesX!B949)</f>
        <v/>
      </c>
      <c r="FC949">
        <f>MATCH(EZ949,FA1:FA1008,0)</f>
        <v/>
      </c>
    </row>
    <row r="950">
      <c r="A950" s="16" t="n"/>
      <c r="B950" s="17" t="n"/>
      <c r="C950" s="10">
        <f>IF(ISNUMBER(FC950),INDIRECT("SamplesX!C"&amp;FC950),IF(ISNUMBER(FD950),INDIRECT("SamplesY!C"&amp;FD950),""))</f>
        <v/>
      </c>
      <c r="D950" s="12">
        <f>IF(ISNUMBER(FC950),INDIRECT("SamplesX!D"&amp;FC950),IF(ISNUMBER(FD950),INDIRECT("SamplesY!D"&amp;FD950),""))</f>
        <v/>
      </c>
      <c r="E950" s="12">
        <f>IF(ISNUMBER(FC950),INDIRECT("SamplesX!E"&amp;FC950),IF(ISNUMBER(FD950),INDIRECT("SamplesY!E"&amp;FD950),""))</f>
        <v/>
      </c>
      <c r="F950" s="11">
        <f>IF(ISNUMBER(FC950),INDIRECT("SamplesX!F"&amp;FC950),IF(ISNUMBER(FD950),INDIRECT("SamplesY!F"&amp;FD950),""))</f>
        <v/>
      </c>
      <c r="G950" s="18">
        <f>IF(ISNUMBER(FC950),INDIRECT("SamplesX!G"&amp;FC950),IF(ISNUMBER(FD950),INDIRECT("SamplesY!G"&amp;FD950),""))</f>
        <v/>
      </c>
      <c r="H950" s="19">
        <f>IF(ISNUMBER(FC950),INDIRECT("SamplesX!H"&amp;FC950),IF(ISNUMBER(FD950),INDIRECT("SamplesY!H"&amp;FD950),""))</f>
        <v/>
      </c>
      <c r="I950" s="16" t="n"/>
      <c r="J950" s="16" t="n"/>
      <c r="K950" s="16" t="n"/>
      <c r="L950" s="20" t="n"/>
      <c r="M950" s="20" t="inlineStr">
        <is>
          <t>None</t>
        </is>
      </c>
      <c r="N950" s="17" t="n"/>
      <c r="O950" s="16" t="n"/>
      <c r="P950" s="20" t="inlineStr">
        <is>
          <t>Shimadzu TOC-L</t>
        </is>
      </c>
      <c r="Q950" s="20" t="inlineStr">
        <is>
          <t>None</t>
        </is>
      </c>
      <c r="R950" s="17" t="n"/>
      <c r="S950" s="16" t="n"/>
      <c r="T950" s="20" t="inlineStr">
        <is>
          <t>Shimadzu TOC-L</t>
        </is>
      </c>
      <c r="U950" s="20" t="inlineStr">
        <is>
          <t>None</t>
        </is>
      </c>
      <c r="V950" s="17" t="n"/>
      <c r="W950" s="16" t="n"/>
      <c r="X950" s="20" t="n"/>
      <c r="Y950" s="20" t="inlineStr">
        <is>
          <t>None</t>
        </is>
      </c>
      <c r="Z950" s="17" t="n"/>
      <c r="AA950" s="16" t="n"/>
      <c r="AB950" s="20" t="n"/>
      <c r="AC950" s="20" t="inlineStr">
        <is>
          <t>None</t>
        </is>
      </c>
      <c r="AD950" s="17" t="n"/>
      <c r="AE950" s="16" t="n"/>
      <c r="AF950" s="20" t="inlineStr">
        <is>
          <t>IC Anionen</t>
        </is>
      </c>
      <c r="AG950" s="20" t="inlineStr">
        <is>
          <t>None</t>
        </is>
      </c>
      <c r="AH950" s="17" t="n"/>
      <c r="AI950" s="16" t="n"/>
      <c r="AJ950" s="20" t="n"/>
      <c r="AK950" s="20" t="inlineStr">
        <is>
          <t>None</t>
        </is>
      </c>
      <c r="AL950" s="17" t="n"/>
      <c r="AM950" s="16" t="n"/>
      <c r="AN950" s="20" t="inlineStr">
        <is>
          <t>IC Anionen</t>
        </is>
      </c>
      <c r="AO950" s="20" t="inlineStr">
        <is>
          <t>None</t>
        </is>
      </c>
      <c r="AP950" s="17" t="n"/>
      <c r="AQ950" s="16" t="n"/>
      <c r="AR950" s="20" t="n"/>
      <c r="AS950" s="20" t="inlineStr">
        <is>
          <t>None</t>
        </is>
      </c>
      <c r="AT950" s="17" t="n"/>
      <c r="AU950" s="16" t="n"/>
      <c r="AV950" s="20" t="n"/>
      <c r="AW950" s="20" t="inlineStr">
        <is>
          <t>None</t>
        </is>
      </c>
      <c r="AX950" s="17" t="n"/>
      <c r="AY950" s="16" t="n"/>
      <c r="AZ950" s="20" t="inlineStr">
        <is>
          <t>IC Anionen</t>
        </is>
      </c>
      <c r="BA950" s="20" t="inlineStr">
        <is>
          <t>None</t>
        </is>
      </c>
      <c r="BB950" s="17" t="n"/>
      <c r="BC950" s="16" t="n"/>
      <c r="BD950" s="20" t="inlineStr">
        <is>
          <t>IC Kationen</t>
        </is>
      </c>
      <c r="BE950" s="20" t="inlineStr">
        <is>
          <t>None</t>
        </is>
      </c>
      <c r="BF950" s="17" t="n"/>
      <c r="BG950" s="16" t="n"/>
      <c r="BH950" s="20" t="inlineStr">
        <is>
          <t>IC Kationen</t>
        </is>
      </c>
      <c r="BI950" s="20" t="inlineStr">
        <is>
          <t>None</t>
        </is>
      </c>
      <c r="BJ950" s="17" t="n"/>
      <c r="BK950" s="16" t="n"/>
      <c r="BL950" s="20" t="inlineStr">
        <is>
          <t>IC Kationen</t>
        </is>
      </c>
      <c r="BM950" s="20" t="inlineStr">
        <is>
          <t>None</t>
        </is>
      </c>
      <c r="BN950" s="17" t="n"/>
      <c r="BO950" s="16" t="n"/>
      <c r="BP950" s="20" t="inlineStr">
        <is>
          <t>IC Kationen</t>
        </is>
      </c>
      <c r="BQ950" s="20" t="inlineStr">
        <is>
          <t>None</t>
        </is>
      </c>
      <c r="BR950" s="17" t="n"/>
      <c r="BS950" s="16" t="n"/>
      <c r="BT950" s="20" t="inlineStr">
        <is>
          <t>IC Kationen</t>
        </is>
      </c>
      <c r="BU950" s="20" t="inlineStr">
        <is>
          <t>None</t>
        </is>
      </c>
      <c r="BV950" s="17" t="n"/>
      <c r="BW950" s="16" t="n"/>
      <c r="BX950" s="20" t="n"/>
      <c r="BY950" s="20" t="inlineStr">
        <is>
          <t>None</t>
        </is>
      </c>
      <c r="BZ950" s="17" t="n"/>
      <c r="CA950" s="16" t="n"/>
      <c r="CB950" s="20" t="n"/>
      <c r="CC950" s="20" t="inlineStr">
        <is>
          <t>None</t>
        </is>
      </c>
      <c r="CD950" s="17" t="n"/>
      <c r="CE950" s="16" t="n"/>
      <c r="CF950" s="20" t="n"/>
      <c r="CG950" s="20" t="inlineStr">
        <is>
          <t>None</t>
        </is>
      </c>
      <c r="CH950" s="17" t="n"/>
      <c r="CI950" s="16" t="n"/>
      <c r="CJ950" s="20" t="n"/>
      <c r="CK950" s="20" t="inlineStr">
        <is>
          <t>None</t>
        </is>
      </c>
      <c r="CL950" s="17" t="n"/>
      <c r="CM950" s="16" t="n"/>
      <c r="CN950" s="20" t="inlineStr">
        <is>
          <t>SOP 45-34</t>
        </is>
      </c>
      <c r="CO950" s="20" t="inlineStr">
        <is>
          <t>None</t>
        </is>
      </c>
      <c r="CP950" s="17" t="n"/>
      <c r="CQ950" s="16" t="n"/>
      <c r="CR950" s="20" t="n"/>
      <c r="CS950" s="20" t="inlineStr">
        <is>
          <t>None</t>
        </is>
      </c>
      <c r="CT950" s="17" t="n"/>
      <c r="CU950" s="16" t="n"/>
      <c r="CV950" s="20" t="n"/>
      <c r="CW950" s="20" t="inlineStr">
        <is>
          <t>None</t>
        </is>
      </c>
      <c r="CX950" s="17" t="n"/>
      <c r="CY950" s="16" t="n"/>
      <c r="CZ950" s="20" t="inlineStr">
        <is>
          <t>WTW Multimeter 3430 with FDO 925</t>
        </is>
      </c>
      <c r="DA950" s="20" t="inlineStr">
        <is>
          <t>None</t>
        </is>
      </c>
      <c r="DB950" s="17" t="n"/>
      <c r="DC950" s="16" t="n"/>
      <c r="DD950" s="20" t="n"/>
      <c r="DE950" s="20" t="inlineStr">
        <is>
          <t>None</t>
        </is>
      </c>
      <c r="DF950" s="17" t="n"/>
      <c r="DG950" s="16" t="n"/>
      <c r="DH950" s="20" t="inlineStr">
        <is>
          <t>SOP 45-09</t>
        </is>
      </c>
      <c r="DI950" s="20" t="inlineStr">
        <is>
          <t>None</t>
        </is>
      </c>
      <c r="DJ950" s="17" t="n"/>
      <c r="DK950" s="16" t="n"/>
      <c r="DL950" s="20" t="inlineStr">
        <is>
          <t>SOP 45-09 (SOP muss noch angepasst werden für VSS)</t>
        </is>
      </c>
      <c r="DM950" s="20" t="inlineStr">
        <is>
          <t>None</t>
        </is>
      </c>
      <c r="DN950" s="17" t="n"/>
      <c r="DO950" s="16" t="n"/>
      <c r="DP950" s="20" t="inlineStr">
        <is>
          <t>IC Organic Acids</t>
        </is>
      </c>
      <c r="DQ950" s="20" t="inlineStr">
        <is>
          <t>None</t>
        </is>
      </c>
      <c r="DR950" s="17" t="n"/>
      <c r="DS950" s="16" t="n"/>
      <c r="DT950" s="20" t="inlineStr">
        <is>
          <t>IC Organic Acids</t>
        </is>
      </c>
      <c r="DU950" s="20" t="inlineStr">
        <is>
          <t>None</t>
        </is>
      </c>
      <c r="DV950" s="17" t="n"/>
      <c r="DW950" s="16" t="n"/>
      <c r="DX950" s="20" t="inlineStr">
        <is>
          <t>IC Organic Acids</t>
        </is>
      </c>
      <c r="DY950" s="20" t="inlineStr">
        <is>
          <t>None</t>
        </is>
      </c>
      <c r="DZ950" s="17" t="n"/>
      <c r="EA950" s="16" t="n"/>
      <c r="EB950" s="20" t="inlineStr">
        <is>
          <t>IC Organic Acids</t>
        </is>
      </c>
      <c r="EC950" s="20" t="inlineStr">
        <is>
          <t>None</t>
        </is>
      </c>
      <c r="ED950" s="17" t="n"/>
      <c r="EE950" s="16" t="n"/>
      <c r="EF950" s="20" t="inlineStr">
        <is>
          <t>IC Organic Acids</t>
        </is>
      </c>
      <c r="EG950" s="20" t="inlineStr">
        <is>
          <t>None</t>
        </is>
      </c>
      <c r="EH950" s="17" t="n"/>
      <c r="EI950" s="16" t="n"/>
      <c r="EJ950" s="20" t="inlineStr">
        <is>
          <t>IC Organic Acids</t>
        </is>
      </c>
      <c r="EK950" s="20" t="inlineStr">
        <is>
          <t>None</t>
        </is>
      </c>
      <c r="EL950" s="17" t="n"/>
      <c r="EM950" s="16" t="n"/>
      <c r="EN950" s="20" t="inlineStr">
        <is>
          <t>IC Organic Acids</t>
        </is>
      </c>
      <c r="EO950" s="20" t="inlineStr">
        <is>
          <t>None</t>
        </is>
      </c>
      <c r="EP950" s="17" t="n"/>
      <c r="EQ950" s="16" t="n"/>
      <c r="ER950" s="20" t="inlineStr">
        <is>
          <t>IC Organic Acids</t>
        </is>
      </c>
      <c r="ES950" s="20" t="inlineStr">
        <is>
          <t>None</t>
        </is>
      </c>
      <c r="ET950" s="17" t="n"/>
      <c r="EU950" s="16" t="n"/>
      <c r="EV950" s="20" t="inlineStr">
        <is>
          <t>LC-MS</t>
        </is>
      </c>
      <c r="EW950" s="20" t="inlineStr">
        <is>
          <t>None</t>
        </is>
      </c>
      <c r="EX950" s="17" t="n"/>
      <c r="EY950" s="21" t="n"/>
      <c r="EZ950">
        <f>CONCATENATE(A950,B950)</f>
        <v/>
      </c>
      <c r="FA950">
        <f>CONCATENATE(SamplesX!A950,SamplesX!B950)</f>
        <v/>
      </c>
      <c r="FC950">
        <f>MATCH(EZ950,FA1:FA1008,0)</f>
        <v/>
      </c>
    </row>
    <row r="951">
      <c r="A951" s="16" t="n"/>
      <c r="B951" s="17" t="n"/>
      <c r="C951" s="10">
        <f>IF(ISNUMBER(FC951),INDIRECT("SamplesX!C"&amp;FC951),IF(ISNUMBER(FD951),INDIRECT("SamplesY!C"&amp;FD951),""))</f>
        <v/>
      </c>
      <c r="D951" s="12">
        <f>IF(ISNUMBER(FC951),INDIRECT("SamplesX!D"&amp;FC951),IF(ISNUMBER(FD951),INDIRECT("SamplesY!D"&amp;FD951),""))</f>
        <v/>
      </c>
      <c r="E951" s="12">
        <f>IF(ISNUMBER(FC951),INDIRECT("SamplesX!E"&amp;FC951),IF(ISNUMBER(FD951),INDIRECT("SamplesY!E"&amp;FD951),""))</f>
        <v/>
      </c>
      <c r="F951" s="11">
        <f>IF(ISNUMBER(FC951),INDIRECT("SamplesX!F"&amp;FC951),IF(ISNUMBER(FD951),INDIRECT("SamplesY!F"&amp;FD951),""))</f>
        <v/>
      </c>
      <c r="G951" s="18">
        <f>IF(ISNUMBER(FC951),INDIRECT("SamplesX!G"&amp;FC951),IF(ISNUMBER(FD951),INDIRECT("SamplesY!G"&amp;FD951),""))</f>
        <v/>
      </c>
      <c r="H951" s="19">
        <f>IF(ISNUMBER(FC951),INDIRECT("SamplesX!H"&amp;FC951),IF(ISNUMBER(FD951),INDIRECT("SamplesY!H"&amp;FD951),""))</f>
        <v/>
      </c>
      <c r="I951" s="16" t="n"/>
      <c r="J951" s="16" t="n"/>
      <c r="K951" s="16" t="n"/>
      <c r="L951" s="20" t="n"/>
      <c r="M951" s="20" t="inlineStr">
        <is>
          <t>None</t>
        </is>
      </c>
      <c r="N951" s="17" t="n"/>
      <c r="O951" s="16" t="n"/>
      <c r="P951" s="20" t="inlineStr">
        <is>
          <t>Shimadzu TOC-L</t>
        </is>
      </c>
      <c r="Q951" s="20" t="inlineStr">
        <is>
          <t>None</t>
        </is>
      </c>
      <c r="R951" s="17" t="n"/>
      <c r="S951" s="16" t="n"/>
      <c r="T951" s="20" t="inlineStr">
        <is>
          <t>Shimadzu TOC-L</t>
        </is>
      </c>
      <c r="U951" s="20" t="inlineStr">
        <is>
          <t>None</t>
        </is>
      </c>
      <c r="V951" s="17" t="n"/>
      <c r="W951" s="16" t="n"/>
      <c r="X951" s="20" t="n"/>
      <c r="Y951" s="20" t="inlineStr">
        <is>
          <t>None</t>
        </is>
      </c>
      <c r="Z951" s="17" t="n"/>
      <c r="AA951" s="16" t="n"/>
      <c r="AB951" s="20" t="n"/>
      <c r="AC951" s="20" t="inlineStr">
        <is>
          <t>None</t>
        </is>
      </c>
      <c r="AD951" s="17" t="n"/>
      <c r="AE951" s="16" t="n"/>
      <c r="AF951" s="20" t="inlineStr">
        <is>
          <t>IC Anionen</t>
        </is>
      </c>
      <c r="AG951" s="20" t="inlineStr">
        <is>
          <t>None</t>
        </is>
      </c>
      <c r="AH951" s="17" t="n"/>
      <c r="AI951" s="16" t="n"/>
      <c r="AJ951" s="20" t="n"/>
      <c r="AK951" s="20" t="inlineStr">
        <is>
          <t>None</t>
        </is>
      </c>
      <c r="AL951" s="17" t="n"/>
      <c r="AM951" s="16" t="n"/>
      <c r="AN951" s="20" t="inlineStr">
        <is>
          <t>IC Anionen</t>
        </is>
      </c>
      <c r="AO951" s="20" t="inlineStr">
        <is>
          <t>None</t>
        </is>
      </c>
      <c r="AP951" s="17" t="n"/>
      <c r="AQ951" s="16" t="n"/>
      <c r="AR951" s="20" t="n"/>
      <c r="AS951" s="20" t="inlineStr">
        <is>
          <t>None</t>
        </is>
      </c>
      <c r="AT951" s="17" t="n"/>
      <c r="AU951" s="16" t="n"/>
      <c r="AV951" s="20" t="n"/>
      <c r="AW951" s="20" t="inlineStr">
        <is>
          <t>None</t>
        </is>
      </c>
      <c r="AX951" s="17" t="n"/>
      <c r="AY951" s="16" t="n"/>
      <c r="AZ951" s="20" t="inlineStr">
        <is>
          <t>IC Anionen</t>
        </is>
      </c>
      <c r="BA951" s="20" t="inlineStr">
        <is>
          <t>None</t>
        </is>
      </c>
      <c r="BB951" s="17" t="n"/>
      <c r="BC951" s="16" t="n"/>
      <c r="BD951" s="20" t="inlineStr">
        <is>
          <t>IC Kationen</t>
        </is>
      </c>
      <c r="BE951" s="20" t="inlineStr">
        <is>
          <t>None</t>
        </is>
      </c>
      <c r="BF951" s="17" t="n"/>
      <c r="BG951" s="16" t="n"/>
      <c r="BH951" s="20" t="inlineStr">
        <is>
          <t>IC Kationen</t>
        </is>
      </c>
      <c r="BI951" s="20" t="inlineStr">
        <is>
          <t>None</t>
        </is>
      </c>
      <c r="BJ951" s="17" t="n"/>
      <c r="BK951" s="16" t="n"/>
      <c r="BL951" s="20" t="inlineStr">
        <is>
          <t>IC Kationen</t>
        </is>
      </c>
      <c r="BM951" s="20" t="inlineStr">
        <is>
          <t>None</t>
        </is>
      </c>
      <c r="BN951" s="17" t="n"/>
      <c r="BO951" s="16" t="n"/>
      <c r="BP951" s="20" t="inlineStr">
        <is>
          <t>IC Kationen</t>
        </is>
      </c>
      <c r="BQ951" s="20" t="inlineStr">
        <is>
          <t>None</t>
        </is>
      </c>
      <c r="BR951" s="17" t="n"/>
      <c r="BS951" s="16" t="n"/>
      <c r="BT951" s="20" t="inlineStr">
        <is>
          <t>IC Kationen</t>
        </is>
      </c>
      <c r="BU951" s="20" t="inlineStr">
        <is>
          <t>None</t>
        </is>
      </c>
      <c r="BV951" s="17" t="n"/>
      <c r="BW951" s="16" t="n"/>
      <c r="BX951" s="20" t="n"/>
      <c r="BY951" s="20" t="inlineStr">
        <is>
          <t>None</t>
        </is>
      </c>
      <c r="BZ951" s="17" t="n"/>
      <c r="CA951" s="16" t="n"/>
      <c r="CB951" s="20" t="n"/>
      <c r="CC951" s="20" t="inlineStr">
        <is>
          <t>None</t>
        </is>
      </c>
      <c r="CD951" s="17" t="n"/>
      <c r="CE951" s="16" t="n"/>
      <c r="CF951" s="20" t="n"/>
      <c r="CG951" s="20" t="inlineStr">
        <is>
          <t>None</t>
        </is>
      </c>
      <c r="CH951" s="17" t="n"/>
      <c r="CI951" s="16" t="n"/>
      <c r="CJ951" s="20" t="n"/>
      <c r="CK951" s="20" t="inlineStr">
        <is>
          <t>None</t>
        </is>
      </c>
      <c r="CL951" s="17" t="n"/>
      <c r="CM951" s="16" t="n"/>
      <c r="CN951" s="20" t="inlineStr">
        <is>
          <t>SOP 45-34</t>
        </is>
      </c>
      <c r="CO951" s="20" t="inlineStr">
        <is>
          <t>None</t>
        </is>
      </c>
      <c r="CP951" s="17" t="n"/>
      <c r="CQ951" s="16" t="n"/>
      <c r="CR951" s="20" t="n"/>
      <c r="CS951" s="20" t="inlineStr">
        <is>
          <t>None</t>
        </is>
      </c>
      <c r="CT951" s="17" t="n"/>
      <c r="CU951" s="16" t="n"/>
      <c r="CV951" s="20" t="n"/>
      <c r="CW951" s="20" t="inlineStr">
        <is>
          <t>None</t>
        </is>
      </c>
      <c r="CX951" s="17" t="n"/>
      <c r="CY951" s="16" t="n"/>
      <c r="CZ951" s="20" t="inlineStr">
        <is>
          <t>WTW Multimeter 3430 with FDO 925</t>
        </is>
      </c>
      <c r="DA951" s="20" t="inlineStr">
        <is>
          <t>None</t>
        </is>
      </c>
      <c r="DB951" s="17" t="n"/>
      <c r="DC951" s="16" t="n"/>
      <c r="DD951" s="20" t="n"/>
      <c r="DE951" s="20" t="inlineStr">
        <is>
          <t>None</t>
        </is>
      </c>
      <c r="DF951" s="17" t="n"/>
      <c r="DG951" s="16" t="n"/>
      <c r="DH951" s="20" t="inlineStr">
        <is>
          <t>SOP 45-09</t>
        </is>
      </c>
      <c r="DI951" s="20" t="inlineStr">
        <is>
          <t>None</t>
        </is>
      </c>
      <c r="DJ951" s="17" t="n"/>
      <c r="DK951" s="16" t="n"/>
      <c r="DL951" s="20" t="inlineStr">
        <is>
          <t>SOP 45-09 (SOP muss noch angepasst werden für VSS)</t>
        </is>
      </c>
      <c r="DM951" s="20" t="inlineStr">
        <is>
          <t>None</t>
        </is>
      </c>
      <c r="DN951" s="17" t="n"/>
      <c r="DO951" s="16" t="n"/>
      <c r="DP951" s="20" t="inlineStr">
        <is>
          <t>IC Organic Acids</t>
        </is>
      </c>
      <c r="DQ951" s="20" t="inlineStr">
        <is>
          <t>None</t>
        </is>
      </c>
      <c r="DR951" s="17" t="n"/>
      <c r="DS951" s="16" t="n"/>
      <c r="DT951" s="20" t="inlineStr">
        <is>
          <t>IC Organic Acids</t>
        </is>
      </c>
      <c r="DU951" s="20" t="inlineStr">
        <is>
          <t>None</t>
        </is>
      </c>
      <c r="DV951" s="17" t="n"/>
      <c r="DW951" s="16" t="n"/>
      <c r="DX951" s="20" t="inlineStr">
        <is>
          <t>IC Organic Acids</t>
        </is>
      </c>
      <c r="DY951" s="20" t="inlineStr">
        <is>
          <t>None</t>
        </is>
      </c>
      <c r="DZ951" s="17" t="n"/>
      <c r="EA951" s="16" t="n"/>
      <c r="EB951" s="20" t="inlineStr">
        <is>
          <t>IC Organic Acids</t>
        </is>
      </c>
      <c r="EC951" s="20" t="inlineStr">
        <is>
          <t>None</t>
        </is>
      </c>
      <c r="ED951" s="17" t="n"/>
      <c r="EE951" s="16" t="n"/>
      <c r="EF951" s="20" t="inlineStr">
        <is>
          <t>IC Organic Acids</t>
        </is>
      </c>
      <c r="EG951" s="20" t="inlineStr">
        <is>
          <t>None</t>
        </is>
      </c>
      <c r="EH951" s="17" t="n"/>
      <c r="EI951" s="16" t="n"/>
      <c r="EJ951" s="20" t="inlineStr">
        <is>
          <t>IC Organic Acids</t>
        </is>
      </c>
      <c r="EK951" s="20" t="inlineStr">
        <is>
          <t>None</t>
        </is>
      </c>
      <c r="EL951" s="17" t="n"/>
      <c r="EM951" s="16" t="n"/>
      <c r="EN951" s="20" t="inlineStr">
        <is>
          <t>IC Organic Acids</t>
        </is>
      </c>
      <c r="EO951" s="20" t="inlineStr">
        <is>
          <t>None</t>
        </is>
      </c>
      <c r="EP951" s="17" t="n"/>
      <c r="EQ951" s="16" t="n"/>
      <c r="ER951" s="20" t="inlineStr">
        <is>
          <t>IC Organic Acids</t>
        </is>
      </c>
      <c r="ES951" s="20" t="inlineStr">
        <is>
          <t>None</t>
        </is>
      </c>
      <c r="ET951" s="17" t="n"/>
      <c r="EU951" s="16" t="n"/>
      <c r="EV951" s="20" t="inlineStr">
        <is>
          <t>LC-MS</t>
        </is>
      </c>
      <c r="EW951" s="20" t="inlineStr">
        <is>
          <t>None</t>
        </is>
      </c>
      <c r="EX951" s="17" t="n"/>
      <c r="EY951" s="21" t="n"/>
      <c r="EZ951">
        <f>CONCATENATE(A951,B951)</f>
        <v/>
      </c>
      <c r="FA951">
        <f>CONCATENATE(SamplesX!A951,SamplesX!B951)</f>
        <v/>
      </c>
      <c r="FC951">
        <f>MATCH(EZ951,FA1:FA1008,0)</f>
        <v/>
      </c>
    </row>
    <row r="952">
      <c r="A952" s="16" t="n"/>
      <c r="B952" s="17" t="n"/>
      <c r="C952" s="10">
        <f>IF(ISNUMBER(FC952),INDIRECT("SamplesX!C"&amp;FC952),IF(ISNUMBER(FD952),INDIRECT("SamplesY!C"&amp;FD952),""))</f>
        <v/>
      </c>
      <c r="D952" s="12">
        <f>IF(ISNUMBER(FC952),INDIRECT("SamplesX!D"&amp;FC952),IF(ISNUMBER(FD952),INDIRECT("SamplesY!D"&amp;FD952),""))</f>
        <v/>
      </c>
      <c r="E952" s="12">
        <f>IF(ISNUMBER(FC952),INDIRECT("SamplesX!E"&amp;FC952),IF(ISNUMBER(FD952),INDIRECT("SamplesY!E"&amp;FD952),""))</f>
        <v/>
      </c>
      <c r="F952" s="11">
        <f>IF(ISNUMBER(FC952),INDIRECT("SamplesX!F"&amp;FC952),IF(ISNUMBER(FD952),INDIRECT("SamplesY!F"&amp;FD952),""))</f>
        <v/>
      </c>
      <c r="G952" s="18">
        <f>IF(ISNUMBER(FC952),INDIRECT("SamplesX!G"&amp;FC952),IF(ISNUMBER(FD952),INDIRECT("SamplesY!G"&amp;FD952),""))</f>
        <v/>
      </c>
      <c r="H952" s="19">
        <f>IF(ISNUMBER(FC952),INDIRECT("SamplesX!H"&amp;FC952),IF(ISNUMBER(FD952),INDIRECT("SamplesY!H"&amp;FD952),""))</f>
        <v/>
      </c>
      <c r="I952" s="16" t="n"/>
      <c r="J952" s="16" t="n"/>
      <c r="K952" s="16" t="n"/>
      <c r="L952" s="20" t="n"/>
      <c r="M952" s="20" t="inlineStr">
        <is>
          <t>None</t>
        </is>
      </c>
      <c r="N952" s="17" t="n"/>
      <c r="O952" s="16" t="n"/>
      <c r="P952" s="20" t="inlineStr">
        <is>
          <t>Shimadzu TOC-L</t>
        </is>
      </c>
      <c r="Q952" s="20" t="inlineStr">
        <is>
          <t>None</t>
        </is>
      </c>
      <c r="R952" s="17" t="n"/>
      <c r="S952" s="16" t="n"/>
      <c r="T952" s="20" t="inlineStr">
        <is>
          <t>Shimadzu TOC-L</t>
        </is>
      </c>
      <c r="U952" s="20" t="inlineStr">
        <is>
          <t>None</t>
        </is>
      </c>
      <c r="V952" s="17" t="n"/>
      <c r="W952" s="16" t="n"/>
      <c r="X952" s="20" t="n"/>
      <c r="Y952" s="20" t="inlineStr">
        <is>
          <t>None</t>
        </is>
      </c>
      <c r="Z952" s="17" t="n"/>
      <c r="AA952" s="16" t="n"/>
      <c r="AB952" s="20" t="n"/>
      <c r="AC952" s="20" t="inlineStr">
        <is>
          <t>None</t>
        </is>
      </c>
      <c r="AD952" s="17" t="n"/>
      <c r="AE952" s="16" t="n"/>
      <c r="AF952" s="20" t="inlineStr">
        <is>
          <t>IC Anionen</t>
        </is>
      </c>
      <c r="AG952" s="20" t="inlineStr">
        <is>
          <t>None</t>
        </is>
      </c>
      <c r="AH952" s="17" t="n"/>
      <c r="AI952" s="16" t="n"/>
      <c r="AJ952" s="20" t="n"/>
      <c r="AK952" s="20" t="inlineStr">
        <is>
          <t>None</t>
        </is>
      </c>
      <c r="AL952" s="17" t="n"/>
      <c r="AM952" s="16" t="n"/>
      <c r="AN952" s="20" t="inlineStr">
        <is>
          <t>IC Anionen</t>
        </is>
      </c>
      <c r="AO952" s="20" t="inlineStr">
        <is>
          <t>None</t>
        </is>
      </c>
      <c r="AP952" s="17" t="n"/>
      <c r="AQ952" s="16" t="n"/>
      <c r="AR952" s="20" t="n"/>
      <c r="AS952" s="20" t="inlineStr">
        <is>
          <t>None</t>
        </is>
      </c>
      <c r="AT952" s="17" t="n"/>
      <c r="AU952" s="16" t="n"/>
      <c r="AV952" s="20" t="n"/>
      <c r="AW952" s="20" t="inlineStr">
        <is>
          <t>None</t>
        </is>
      </c>
      <c r="AX952" s="17" t="n"/>
      <c r="AY952" s="16" t="n"/>
      <c r="AZ952" s="20" t="inlineStr">
        <is>
          <t>IC Anionen</t>
        </is>
      </c>
      <c r="BA952" s="20" t="inlineStr">
        <is>
          <t>None</t>
        </is>
      </c>
      <c r="BB952" s="17" t="n"/>
      <c r="BC952" s="16" t="n"/>
      <c r="BD952" s="20" t="inlineStr">
        <is>
          <t>IC Kationen</t>
        </is>
      </c>
      <c r="BE952" s="20" t="inlineStr">
        <is>
          <t>None</t>
        </is>
      </c>
      <c r="BF952" s="17" t="n"/>
      <c r="BG952" s="16" t="n"/>
      <c r="BH952" s="20" t="inlineStr">
        <is>
          <t>IC Kationen</t>
        </is>
      </c>
      <c r="BI952" s="20" t="inlineStr">
        <is>
          <t>None</t>
        </is>
      </c>
      <c r="BJ952" s="17" t="n"/>
      <c r="BK952" s="16" t="n"/>
      <c r="BL952" s="20" t="inlineStr">
        <is>
          <t>IC Kationen</t>
        </is>
      </c>
      <c r="BM952" s="20" t="inlineStr">
        <is>
          <t>None</t>
        </is>
      </c>
      <c r="BN952" s="17" t="n"/>
      <c r="BO952" s="16" t="n"/>
      <c r="BP952" s="20" t="inlineStr">
        <is>
          <t>IC Kationen</t>
        </is>
      </c>
      <c r="BQ952" s="20" t="inlineStr">
        <is>
          <t>None</t>
        </is>
      </c>
      <c r="BR952" s="17" t="n"/>
      <c r="BS952" s="16" t="n"/>
      <c r="BT952" s="20" t="inlineStr">
        <is>
          <t>IC Kationen</t>
        </is>
      </c>
      <c r="BU952" s="20" t="inlineStr">
        <is>
          <t>None</t>
        </is>
      </c>
      <c r="BV952" s="17" t="n"/>
      <c r="BW952" s="16" t="n"/>
      <c r="BX952" s="20" t="n"/>
      <c r="BY952" s="20" t="inlineStr">
        <is>
          <t>None</t>
        </is>
      </c>
      <c r="BZ952" s="17" t="n"/>
      <c r="CA952" s="16" t="n"/>
      <c r="CB952" s="20" t="n"/>
      <c r="CC952" s="20" t="inlineStr">
        <is>
          <t>None</t>
        </is>
      </c>
      <c r="CD952" s="17" t="n"/>
      <c r="CE952" s="16" t="n"/>
      <c r="CF952" s="20" t="n"/>
      <c r="CG952" s="20" t="inlineStr">
        <is>
          <t>None</t>
        </is>
      </c>
      <c r="CH952" s="17" t="n"/>
      <c r="CI952" s="16" t="n"/>
      <c r="CJ952" s="20" t="n"/>
      <c r="CK952" s="20" t="inlineStr">
        <is>
          <t>None</t>
        </is>
      </c>
      <c r="CL952" s="17" t="n"/>
      <c r="CM952" s="16" t="n"/>
      <c r="CN952" s="20" t="inlineStr">
        <is>
          <t>SOP 45-34</t>
        </is>
      </c>
      <c r="CO952" s="20" t="inlineStr">
        <is>
          <t>None</t>
        </is>
      </c>
      <c r="CP952" s="17" t="n"/>
      <c r="CQ952" s="16" t="n"/>
      <c r="CR952" s="20" t="n"/>
      <c r="CS952" s="20" t="inlineStr">
        <is>
          <t>None</t>
        </is>
      </c>
      <c r="CT952" s="17" t="n"/>
      <c r="CU952" s="16" t="n"/>
      <c r="CV952" s="20" t="n"/>
      <c r="CW952" s="20" t="inlineStr">
        <is>
          <t>None</t>
        </is>
      </c>
      <c r="CX952" s="17" t="n"/>
      <c r="CY952" s="16" t="n"/>
      <c r="CZ952" s="20" t="inlineStr">
        <is>
          <t>WTW Multimeter 3430 with FDO 925</t>
        </is>
      </c>
      <c r="DA952" s="20" t="inlineStr">
        <is>
          <t>None</t>
        </is>
      </c>
      <c r="DB952" s="17" t="n"/>
      <c r="DC952" s="16" t="n"/>
      <c r="DD952" s="20" t="n"/>
      <c r="DE952" s="20" t="inlineStr">
        <is>
          <t>None</t>
        </is>
      </c>
      <c r="DF952" s="17" t="n"/>
      <c r="DG952" s="16" t="n"/>
      <c r="DH952" s="20" t="inlineStr">
        <is>
          <t>SOP 45-09</t>
        </is>
      </c>
      <c r="DI952" s="20" t="inlineStr">
        <is>
          <t>None</t>
        </is>
      </c>
      <c r="DJ952" s="17" t="n"/>
      <c r="DK952" s="16" t="n"/>
      <c r="DL952" s="20" t="inlineStr">
        <is>
          <t>SOP 45-09 (SOP muss noch angepasst werden für VSS)</t>
        </is>
      </c>
      <c r="DM952" s="20" t="inlineStr">
        <is>
          <t>None</t>
        </is>
      </c>
      <c r="DN952" s="17" t="n"/>
      <c r="DO952" s="16" t="n"/>
      <c r="DP952" s="20" t="inlineStr">
        <is>
          <t>IC Organic Acids</t>
        </is>
      </c>
      <c r="DQ952" s="20" t="inlineStr">
        <is>
          <t>None</t>
        </is>
      </c>
      <c r="DR952" s="17" t="n"/>
      <c r="DS952" s="16" t="n"/>
      <c r="DT952" s="20" t="inlineStr">
        <is>
          <t>IC Organic Acids</t>
        </is>
      </c>
      <c r="DU952" s="20" t="inlineStr">
        <is>
          <t>None</t>
        </is>
      </c>
      <c r="DV952" s="17" t="n"/>
      <c r="DW952" s="16" t="n"/>
      <c r="DX952" s="20" t="inlineStr">
        <is>
          <t>IC Organic Acids</t>
        </is>
      </c>
      <c r="DY952" s="20" t="inlineStr">
        <is>
          <t>None</t>
        </is>
      </c>
      <c r="DZ952" s="17" t="n"/>
      <c r="EA952" s="16" t="n"/>
      <c r="EB952" s="20" t="inlineStr">
        <is>
          <t>IC Organic Acids</t>
        </is>
      </c>
      <c r="EC952" s="20" t="inlineStr">
        <is>
          <t>None</t>
        </is>
      </c>
      <c r="ED952" s="17" t="n"/>
      <c r="EE952" s="16" t="n"/>
      <c r="EF952" s="20" t="inlineStr">
        <is>
          <t>IC Organic Acids</t>
        </is>
      </c>
      <c r="EG952" s="20" t="inlineStr">
        <is>
          <t>None</t>
        </is>
      </c>
      <c r="EH952" s="17" t="n"/>
      <c r="EI952" s="16" t="n"/>
      <c r="EJ952" s="20" t="inlineStr">
        <is>
          <t>IC Organic Acids</t>
        </is>
      </c>
      <c r="EK952" s="20" t="inlineStr">
        <is>
          <t>None</t>
        </is>
      </c>
      <c r="EL952" s="17" t="n"/>
      <c r="EM952" s="16" t="n"/>
      <c r="EN952" s="20" t="inlineStr">
        <is>
          <t>IC Organic Acids</t>
        </is>
      </c>
      <c r="EO952" s="20" t="inlineStr">
        <is>
          <t>None</t>
        </is>
      </c>
      <c r="EP952" s="17" t="n"/>
      <c r="EQ952" s="16" t="n"/>
      <c r="ER952" s="20" t="inlineStr">
        <is>
          <t>IC Organic Acids</t>
        </is>
      </c>
      <c r="ES952" s="20" t="inlineStr">
        <is>
          <t>None</t>
        </is>
      </c>
      <c r="ET952" s="17" t="n"/>
      <c r="EU952" s="16" t="n"/>
      <c r="EV952" s="20" t="inlineStr">
        <is>
          <t>LC-MS</t>
        </is>
      </c>
      <c r="EW952" s="20" t="inlineStr">
        <is>
          <t>None</t>
        </is>
      </c>
      <c r="EX952" s="17" t="n"/>
      <c r="EY952" s="21" t="n"/>
      <c r="EZ952">
        <f>CONCATENATE(A952,B952)</f>
        <v/>
      </c>
      <c r="FA952">
        <f>CONCATENATE(SamplesX!A952,SamplesX!B952)</f>
        <v/>
      </c>
      <c r="FC952">
        <f>MATCH(EZ952,FA1:FA1008,0)</f>
        <v/>
      </c>
    </row>
    <row r="953">
      <c r="A953" s="16" t="n"/>
      <c r="B953" s="17" t="n"/>
      <c r="C953" s="10">
        <f>IF(ISNUMBER(FC953),INDIRECT("SamplesX!C"&amp;FC953),IF(ISNUMBER(FD953),INDIRECT("SamplesY!C"&amp;FD953),""))</f>
        <v/>
      </c>
      <c r="D953" s="12">
        <f>IF(ISNUMBER(FC953),INDIRECT("SamplesX!D"&amp;FC953),IF(ISNUMBER(FD953),INDIRECT("SamplesY!D"&amp;FD953),""))</f>
        <v/>
      </c>
      <c r="E953" s="12">
        <f>IF(ISNUMBER(FC953),INDIRECT("SamplesX!E"&amp;FC953),IF(ISNUMBER(FD953),INDIRECT("SamplesY!E"&amp;FD953),""))</f>
        <v/>
      </c>
      <c r="F953" s="11">
        <f>IF(ISNUMBER(FC953),INDIRECT("SamplesX!F"&amp;FC953),IF(ISNUMBER(FD953),INDIRECT("SamplesY!F"&amp;FD953),""))</f>
        <v/>
      </c>
      <c r="G953" s="18">
        <f>IF(ISNUMBER(FC953),INDIRECT("SamplesX!G"&amp;FC953),IF(ISNUMBER(FD953),INDIRECT("SamplesY!G"&amp;FD953),""))</f>
        <v/>
      </c>
      <c r="H953" s="19">
        <f>IF(ISNUMBER(FC953),INDIRECT("SamplesX!H"&amp;FC953),IF(ISNUMBER(FD953),INDIRECT("SamplesY!H"&amp;FD953),""))</f>
        <v/>
      </c>
      <c r="I953" s="16" t="n"/>
      <c r="J953" s="16" t="n"/>
      <c r="K953" s="16" t="n"/>
      <c r="L953" s="20" t="n"/>
      <c r="M953" s="20" t="inlineStr">
        <is>
          <t>None</t>
        </is>
      </c>
      <c r="N953" s="17" t="n"/>
      <c r="O953" s="16" t="n"/>
      <c r="P953" s="20" t="inlineStr">
        <is>
          <t>Shimadzu TOC-L</t>
        </is>
      </c>
      <c r="Q953" s="20" t="inlineStr">
        <is>
          <t>None</t>
        </is>
      </c>
      <c r="R953" s="17" t="n"/>
      <c r="S953" s="16" t="n"/>
      <c r="T953" s="20" t="inlineStr">
        <is>
          <t>Shimadzu TOC-L</t>
        </is>
      </c>
      <c r="U953" s="20" t="inlineStr">
        <is>
          <t>None</t>
        </is>
      </c>
      <c r="V953" s="17" t="n"/>
      <c r="W953" s="16" t="n"/>
      <c r="X953" s="20" t="n"/>
      <c r="Y953" s="20" t="inlineStr">
        <is>
          <t>None</t>
        </is>
      </c>
      <c r="Z953" s="17" t="n"/>
      <c r="AA953" s="16" t="n"/>
      <c r="AB953" s="20" t="n"/>
      <c r="AC953" s="20" t="inlineStr">
        <is>
          <t>None</t>
        </is>
      </c>
      <c r="AD953" s="17" t="n"/>
      <c r="AE953" s="16" t="n"/>
      <c r="AF953" s="20" t="inlineStr">
        <is>
          <t>IC Anionen</t>
        </is>
      </c>
      <c r="AG953" s="20" t="inlineStr">
        <is>
          <t>None</t>
        </is>
      </c>
      <c r="AH953" s="17" t="n"/>
      <c r="AI953" s="16" t="n"/>
      <c r="AJ953" s="20" t="n"/>
      <c r="AK953" s="20" t="inlineStr">
        <is>
          <t>None</t>
        </is>
      </c>
      <c r="AL953" s="17" t="n"/>
      <c r="AM953" s="16" t="n"/>
      <c r="AN953" s="20" t="inlineStr">
        <is>
          <t>IC Anionen</t>
        </is>
      </c>
      <c r="AO953" s="20" t="inlineStr">
        <is>
          <t>None</t>
        </is>
      </c>
      <c r="AP953" s="17" t="n"/>
      <c r="AQ953" s="16" t="n"/>
      <c r="AR953" s="20" t="n"/>
      <c r="AS953" s="20" t="inlineStr">
        <is>
          <t>None</t>
        </is>
      </c>
      <c r="AT953" s="17" t="n"/>
      <c r="AU953" s="16" t="n"/>
      <c r="AV953" s="20" t="n"/>
      <c r="AW953" s="20" t="inlineStr">
        <is>
          <t>None</t>
        </is>
      </c>
      <c r="AX953" s="17" t="n"/>
      <c r="AY953" s="16" t="n"/>
      <c r="AZ953" s="20" t="inlineStr">
        <is>
          <t>IC Anionen</t>
        </is>
      </c>
      <c r="BA953" s="20" t="inlineStr">
        <is>
          <t>None</t>
        </is>
      </c>
      <c r="BB953" s="17" t="n"/>
      <c r="BC953" s="16" t="n"/>
      <c r="BD953" s="20" t="inlineStr">
        <is>
          <t>IC Kationen</t>
        </is>
      </c>
      <c r="BE953" s="20" t="inlineStr">
        <is>
          <t>None</t>
        </is>
      </c>
      <c r="BF953" s="17" t="n"/>
      <c r="BG953" s="16" t="n"/>
      <c r="BH953" s="20" t="inlineStr">
        <is>
          <t>IC Kationen</t>
        </is>
      </c>
      <c r="BI953" s="20" t="inlineStr">
        <is>
          <t>None</t>
        </is>
      </c>
      <c r="BJ953" s="17" t="n"/>
      <c r="BK953" s="16" t="n"/>
      <c r="BL953" s="20" t="inlineStr">
        <is>
          <t>IC Kationen</t>
        </is>
      </c>
      <c r="BM953" s="20" t="inlineStr">
        <is>
          <t>None</t>
        </is>
      </c>
      <c r="BN953" s="17" t="n"/>
      <c r="BO953" s="16" t="n"/>
      <c r="BP953" s="20" t="inlineStr">
        <is>
          <t>IC Kationen</t>
        </is>
      </c>
      <c r="BQ953" s="20" t="inlineStr">
        <is>
          <t>None</t>
        </is>
      </c>
      <c r="BR953" s="17" t="n"/>
      <c r="BS953" s="16" t="n"/>
      <c r="BT953" s="20" t="inlineStr">
        <is>
          <t>IC Kationen</t>
        </is>
      </c>
      <c r="BU953" s="20" t="inlineStr">
        <is>
          <t>None</t>
        </is>
      </c>
      <c r="BV953" s="17" t="n"/>
      <c r="BW953" s="16" t="n"/>
      <c r="BX953" s="20" t="n"/>
      <c r="BY953" s="20" t="inlineStr">
        <is>
          <t>None</t>
        </is>
      </c>
      <c r="BZ953" s="17" t="n"/>
      <c r="CA953" s="16" t="n"/>
      <c r="CB953" s="20" t="n"/>
      <c r="CC953" s="20" t="inlineStr">
        <is>
          <t>None</t>
        </is>
      </c>
      <c r="CD953" s="17" t="n"/>
      <c r="CE953" s="16" t="n"/>
      <c r="CF953" s="20" t="n"/>
      <c r="CG953" s="20" t="inlineStr">
        <is>
          <t>None</t>
        </is>
      </c>
      <c r="CH953" s="17" t="n"/>
      <c r="CI953" s="16" t="n"/>
      <c r="CJ953" s="20" t="n"/>
      <c r="CK953" s="20" t="inlineStr">
        <is>
          <t>None</t>
        </is>
      </c>
      <c r="CL953" s="17" t="n"/>
      <c r="CM953" s="16" t="n"/>
      <c r="CN953" s="20" t="inlineStr">
        <is>
          <t>SOP 45-34</t>
        </is>
      </c>
      <c r="CO953" s="20" t="inlineStr">
        <is>
          <t>None</t>
        </is>
      </c>
      <c r="CP953" s="17" t="n"/>
      <c r="CQ953" s="16" t="n"/>
      <c r="CR953" s="20" t="n"/>
      <c r="CS953" s="20" t="inlineStr">
        <is>
          <t>None</t>
        </is>
      </c>
      <c r="CT953" s="17" t="n"/>
      <c r="CU953" s="16" t="n"/>
      <c r="CV953" s="20" t="n"/>
      <c r="CW953" s="20" t="inlineStr">
        <is>
          <t>None</t>
        </is>
      </c>
      <c r="CX953" s="17" t="n"/>
      <c r="CY953" s="16" t="n"/>
      <c r="CZ953" s="20" t="inlineStr">
        <is>
          <t>WTW Multimeter 3430 with FDO 925</t>
        </is>
      </c>
      <c r="DA953" s="20" t="inlineStr">
        <is>
          <t>None</t>
        </is>
      </c>
      <c r="DB953" s="17" t="n"/>
      <c r="DC953" s="16" t="n"/>
      <c r="DD953" s="20" t="n"/>
      <c r="DE953" s="20" t="inlineStr">
        <is>
          <t>None</t>
        </is>
      </c>
      <c r="DF953" s="17" t="n"/>
      <c r="DG953" s="16" t="n"/>
      <c r="DH953" s="20" t="inlineStr">
        <is>
          <t>SOP 45-09</t>
        </is>
      </c>
      <c r="DI953" s="20" t="inlineStr">
        <is>
          <t>None</t>
        </is>
      </c>
      <c r="DJ953" s="17" t="n"/>
      <c r="DK953" s="16" t="n"/>
      <c r="DL953" s="20" t="inlineStr">
        <is>
          <t>SOP 45-09 (SOP muss noch angepasst werden für VSS)</t>
        </is>
      </c>
      <c r="DM953" s="20" t="inlineStr">
        <is>
          <t>None</t>
        </is>
      </c>
      <c r="DN953" s="17" t="n"/>
      <c r="DO953" s="16" t="n"/>
      <c r="DP953" s="20" t="inlineStr">
        <is>
          <t>IC Organic Acids</t>
        </is>
      </c>
      <c r="DQ953" s="20" t="inlineStr">
        <is>
          <t>None</t>
        </is>
      </c>
      <c r="DR953" s="17" t="n"/>
      <c r="DS953" s="16" t="n"/>
      <c r="DT953" s="20" t="inlineStr">
        <is>
          <t>IC Organic Acids</t>
        </is>
      </c>
      <c r="DU953" s="20" t="inlineStr">
        <is>
          <t>None</t>
        </is>
      </c>
      <c r="DV953" s="17" t="n"/>
      <c r="DW953" s="16" t="n"/>
      <c r="DX953" s="20" t="inlineStr">
        <is>
          <t>IC Organic Acids</t>
        </is>
      </c>
      <c r="DY953" s="20" t="inlineStr">
        <is>
          <t>None</t>
        </is>
      </c>
      <c r="DZ953" s="17" t="n"/>
      <c r="EA953" s="16" t="n"/>
      <c r="EB953" s="20" t="inlineStr">
        <is>
          <t>IC Organic Acids</t>
        </is>
      </c>
      <c r="EC953" s="20" t="inlineStr">
        <is>
          <t>None</t>
        </is>
      </c>
      <c r="ED953" s="17" t="n"/>
      <c r="EE953" s="16" t="n"/>
      <c r="EF953" s="20" t="inlineStr">
        <is>
          <t>IC Organic Acids</t>
        </is>
      </c>
      <c r="EG953" s="20" t="inlineStr">
        <is>
          <t>None</t>
        </is>
      </c>
      <c r="EH953" s="17" t="n"/>
      <c r="EI953" s="16" t="n"/>
      <c r="EJ953" s="20" t="inlineStr">
        <is>
          <t>IC Organic Acids</t>
        </is>
      </c>
      <c r="EK953" s="20" t="inlineStr">
        <is>
          <t>None</t>
        </is>
      </c>
      <c r="EL953" s="17" t="n"/>
      <c r="EM953" s="16" t="n"/>
      <c r="EN953" s="20" t="inlineStr">
        <is>
          <t>IC Organic Acids</t>
        </is>
      </c>
      <c r="EO953" s="20" t="inlineStr">
        <is>
          <t>None</t>
        </is>
      </c>
      <c r="EP953" s="17" t="n"/>
      <c r="EQ953" s="16" t="n"/>
      <c r="ER953" s="20" t="inlineStr">
        <is>
          <t>IC Organic Acids</t>
        </is>
      </c>
      <c r="ES953" s="20" t="inlineStr">
        <is>
          <t>None</t>
        </is>
      </c>
      <c r="ET953" s="17" t="n"/>
      <c r="EU953" s="16" t="n"/>
      <c r="EV953" s="20" t="inlineStr">
        <is>
          <t>LC-MS</t>
        </is>
      </c>
      <c r="EW953" s="20" t="inlineStr">
        <is>
          <t>None</t>
        </is>
      </c>
      <c r="EX953" s="17" t="n"/>
      <c r="EY953" s="21" t="n"/>
      <c r="EZ953">
        <f>CONCATENATE(A953,B953)</f>
        <v/>
      </c>
      <c r="FA953">
        <f>CONCATENATE(SamplesX!A953,SamplesX!B953)</f>
        <v/>
      </c>
      <c r="FC953">
        <f>MATCH(EZ953,FA1:FA1008,0)</f>
        <v/>
      </c>
    </row>
    <row r="954">
      <c r="A954" s="16" t="n"/>
      <c r="B954" s="17" t="n"/>
      <c r="C954" s="10">
        <f>IF(ISNUMBER(FC954),INDIRECT("SamplesX!C"&amp;FC954),IF(ISNUMBER(FD954),INDIRECT("SamplesY!C"&amp;FD954),""))</f>
        <v/>
      </c>
      <c r="D954" s="12">
        <f>IF(ISNUMBER(FC954),INDIRECT("SamplesX!D"&amp;FC954),IF(ISNUMBER(FD954),INDIRECT("SamplesY!D"&amp;FD954),""))</f>
        <v/>
      </c>
      <c r="E954" s="12">
        <f>IF(ISNUMBER(FC954),INDIRECT("SamplesX!E"&amp;FC954),IF(ISNUMBER(FD954),INDIRECT("SamplesY!E"&amp;FD954),""))</f>
        <v/>
      </c>
      <c r="F954" s="11">
        <f>IF(ISNUMBER(FC954),INDIRECT("SamplesX!F"&amp;FC954),IF(ISNUMBER(FD954),INDIRECT("SamplesY!F"&amp;FD954),""))</f>
        <v/>
      </c>
      <c r="G954" s="18">
        <f>IF(ISNUMBER(FC954),INDIRECT("SamplesX!G"&amp;FC954),IF(ISNUMBER(FD954),INDIRECT("SamplesY!G"&amp;FD954),""))</f>
        <v/>
      </c>
      <c r="H954" s="19">
        <f>IF(ISNUMBER(FC954),INDIRECT("SamplesX!H"&amp;FC954),IF(ISNUMBER(FD954),INDIRECT("SamplesY!H"&amp;FD954),""))</f>
        <v/>
      </c>
      <c r="I954" s="16" t="n"/>
      <c r="J954" s="16" t="n"/>
      <c r="K954" s="16" t="n"/>
      <c r="L954" s="20" t="n"/>
      <c r="M954" s="20" t="inlineStr">
        <is>
          <t>None</t>
        </is>
      </c>
      <c r="N954" s="17" t="n"/>
      <c r="O954" s="16" t="n"/>
      <c r="P954" s="20" t="inlineStr">
        <is>
          <t>Shimadzu TOC-L</t>
        </is>
      </c>
      <c r="Q954" s="20" t="inlineStr">
        <is>
          <t>None</t>
        </is>
      </c>
      <c r="R954" s="17" t="n"/>
      <c r="S954" s="16" t="n"/>
      <c r="T954" s="20" t="inlineStr">
        <is>
          <t>Shimadzu TOC-L</t>
        </is>
      </c>
      <c r="U954" s="20" t="inlineStr">
        <is>
          <t>None</t>
        </is>
      </c>
      <c r="V954" s="17" t="n"/>
      <c r="W954" s="16" t="n"/>
      <c r="X954" s="20" t="n"/>
      <c r="Y954" s="20" t="inlineStr">
        <is>
          <t>None</t>
        </is>
      </c>
      <c r="Z954" s="17" t="n"/>
      <c r="AA954" s="16" t="n"/>
      <c r="AB954" s="20" t="n"/>
      <c r="AC954" s="20" t="inlineStr">
        <is>
          <t>None</t>
        </is>
      </c>
      <c r="AD954" s="17" t="n"/>
      <c r="AE954" s="16" t="n"/>
      <c r="AF954" s="20" t="inlineStr">
        <is>
          <t>IC Anionen</t>
        </is>
      </c>
      <c r="AG954" s="20" t="inlineStr">
        <is>
          <t>None</t>
        </is>
      </c>
      <c r="AH954" s="17" t="n"/>
      <c r="AI954" s="16" t="n"/>
      <c r="AJ954" s="20" t="n"/>
      <c r="AK954" s="20" t="inlineStr">
        <is>
          <t>None</t>
        </is>
      </c>
      <c r="AL954" s="17" t="n"/>
      <c r="AM954" s="16" t="n"/>
      <c r="AN954" s="20" t="inlineStr">
        <is>
          <t>IC Anionen</t>
        </is>
      </c>
      <c r="AO954" s="20" t="inlineStr">
        <is>
          <t>None</t>
        </is>
      </c>
      <c r="AP954" s="17" t="n"/>
      <c r="AQ954" s="16" t="n"/>
      <c r="AR954" s="20" t="n"/>
      <c r="AS954" s="20" t="inlineStr">
        <is>
          <t>None</t>
        </is>
      </c>
      <c r="AT954" s="17" t="n"/>
      <c r="AU954" s="16" t="n"/>
      <c r="AV954" s="20" t="n"/>
      <c r="AW954" s="20" t="inlineStr">
        <is>
          <t>None</t>
        </is>
      </c>
      <c r="AX954" s="17" t="n"/>
      <c r="AY954" s="16" t="n"/>
      <c r="AZ954" s="20" t="inlineStr">
        <is>
          <t>IC Anionen</t>
        </is>
      </c>
      <c r="BA954" s="20" t="inlineStr">
        <is>
          <t>None</t>
        </is>
      </c>
      <c r="BB954" s="17" t="n"/>
      <c r="BC954" s="16" t="n"/>
      <c r="BD954" s="20" t="inlineStr">
        <is>
          <t>IC Kationen</t>
        </is>
      </c>
      <c r="BE954" s="20" t="inlineStr">
        <is>
          <t>None</t>
        </is>
      </c>
      <c r="BF954" s="17" t="n"/>
      <c r="BG954" s="16" t="n"/>
      <c r="BH954" s="20" t="inlineStr">
        <is>
          <t>IC Kationen</t>
        </is>
      </c>
      <c r="BI954" s="20" t="inlineStr">
        <is>
          <t>None</t>
        </is>
      </c>
      <c r="BJ954" s="17" t="n"/>
      <c r="BK954" s="16" t="n"/>
      <c r="BL954" s="20" t="inlineStr">
        <is>
          <t>IC Kationen</t>
        </is>
      </c>
      <c r="BM954" s="20" t="inlineStr">
        <is>
          <t>None</t>
        </is>
      </c>
      <c r="BN954" s="17" t="n"/>
      <c r="BO954" s="16" t="n"/>
      <c r="BP954" s="20" t="inlineStr">
        <is>
          <t>IC Kationen</t>
        </is>
      </c>
      <c r="BQ954" s="20" t="inlineStr">
        <is>
          <t>None</t>
        </is>
      </c>
      <c r="BR954" s="17" t="n"/>
      <c r="BS954" s="16" t="n"/>
      <c r="BT954" s="20" t="inlineStr">
        <is>
          <t>IC Kationen</t>
        </is>
      </c>
      <c r="BU954" s="20" t="inlineStr">
        <is>
          <t>None</t>
        </is>
      </c>
      <c r="BV954" s="17" t="n"/>
      <c r="BW954" s="16" t="n"/>
      <c r="BX954" s="20" t="n"/>
      <c r="BY954" s="20" t="inlineStr">
        <is>
          <t>None</t>
        </is>
      </c>
      <c r="BZ954" s="17" t="n"/>
      <c r="CA954" s="16" t="n"/>
      <c r="CB954" s="20" t="n"/>
      <c r="CC954" s="20" t="inlineStr">
        <is>
          <t>None</t>
        </is>
      </c>
      <c r="CD954" s="17" t="n"/>
      <c r="CE954" s="16" t="n"/>
      <c r="CF954" s="20" t="n"/>
      <c r="CG954" s="20" t="inlineStr">
        <is>
          <t>None</t>
        </is>
      </c>
      <c r="CH954" s="17" t="n"/>
      <c r="CI954" s="16" t="n"/>
      <c r="CJ954" s="20" t="n"/>
      <c r="CK954" s="20" t="inlineStr">
        <is>
          <t>None</t>
        </is>
      </c>
      <c r="CL954" s="17" t="n"/>
      <c r="CM954" s="16" t="n"/>
      <c r="CN954" s="20" t="inlineStr">
        <is>
          <t>SOP 45-34</t>
        </is>
      </c>
      <c r="CO954" s="20" t="inlineStr">
        <is>
          <t>None</t>
        </is>
      </c>
      <c r="CP954" s="17" t="n"/>
      <c r="CQ954" s="16" t="n"/>
      <c r="CR954" s="20" t="n"/>
      <c r="CS954" s="20" t="inlineStr">
        <is>
          <t>None</t>
        </is>
      </c>
      <c r="CT954" s="17" t="n"/>
      <c r="CU954" s="16" t="n"/>
      <c r="CV954" s="20" t="n"/>
      <c r="CW954" s="20" t="inlineStr">
        <is>
          <t>None</t>
        </is>
      </c>
      <c r="CX954" s="17" t="n"/>
      <c r="CY954" s="16" t="n"/>
      <c r="CZ954" s="20" t="inlineStr">
        <is>
          <t>WTW Multimeter 3430 with FDO 925</t>
        </is>
      </c>
      <c r="DA954" s="20" t="inlineStr">
        <is>
          <t>None</t>
        </is>
      </c>
      <c r="DB954" s="17" t="n"/>
      <c r="DC954" s="16" t="n"/>
      <c r="DD954" s="20" t="n"/>
      <c r="DE954" s="20" t="inlineStr">
        <is>
          <t>None</t>
        </is>
      </c>
      <c r="DF954" s="17" t="n"/>
      <c r="DG954" s="16" t="n"/>
      <c r="DH954" s="20" t="inlineStr">
        <is>
          <t>SOP 45-09</t>
        </is>
      </c>
      <c r="DI954" s="20" t="inlineStr">
        <is>
          <t>None</t>
        </is>
      </c>
      <c r="DJ954" s="17" t="n"/>
      <c r="DK954" s="16" t="n"/>
      <c r="DL954" s="20" t="inlineStr">
        <is>
          <t>SOP 45-09 (SOP muss noch angepasst werden für VSS)</t>
        </is>
      </c>
      <c r="DM954" s="20" t="inlineStr">
        <is>
          <t>None</t>
        </is>
      </c>
      <c r="DN954" s="17" t="n"/>
      <c r="DO954" s="16" t="n"/>
      <c r="DP954" s="20" t="inlineStr">
        <is>
          <t>IC Organic Acids</t>
        </is>
      </c>
      <c r="DQ954" s="20" t="inlineStr">
        <is>
          <t>None</t>
        </is>
      </c>
      <c r="DR954" s="17" t="n"/>
      <c r="DS954" s="16" t="n"/>
      <c r="DT954" s="20" t="inlineStr">
        <is>
          <t>IC Organic Acids</t>
        </is>
      </c>
      <c r="DU954" s="20" t="inlineStr">
        <is>
          <t>None</t>
        </is>
      </c>
      <c r="DV954" s="17" t="n"/>
      <c r="DW954" s="16" t="n"/>
      <c r="DX954" s="20" t="inlineStr">
        <is>
          <t>IC Organic Acids</t>
        </is>
      </c>
      <c r="DY954" s="20" t="inlineStr">
        <is>
          <t>None</t>
        </is>
      </c>
      <c r="DZ954" s="17" t="n"/>
      <c r="EA954" s="16" t="n"/>
      <c r="EB954" s="20" t="inlineStr">
        <is>
          <t>IC Organic Acids</t>
        </is>
      </c>
      <c r="EC954" s="20" t="inlineStr">
        <is>
          <t>None</t>
        </is>
      </c>
      <c r="ED954" s="17" t="n"/>
      <c r="EE954" s="16" t="n"/>
      <c r="EF954" s="20" t="inlineStr">
        <is>
          <t>IC Organic Acids</t>
        </is>
      </c>
      <c r="EG954" s="20" t="inlineStr">
        <is>
          <t>None</t>
        </is>
      </c>
      <c r="EH954" s="17" t="n"/>
      <c r="EI954" s="16" t="n"/>
      <c r="EJ954" s="20" t="inlineStr">
        <is>
          <t>IC Organic Acids</t>
        </is>
      </c>
      <c r="EK954" s="20" t="inlineStr">
        <is>
          <t>None</t>
        </is>
      </c>
      <c r="EL954" s="17" t="n"/>
      <c r="EM954" s="16" t="n"/>
      <c r="EN954" s="20" t="inlineStr">
        <is>
          <t>IC Organic Acids</t>
        </is>
      </c>
      <c r="EO954" s="20" t="inlineStr">
        <is>
          <t>None</t>
        </is>
      </c>
      <c r="EP954" s="17" t="n"/>
      <c r="EQ954" s="16" t="n"/>
      <c r="ER954" s="20" t="inlineStr">
        <is>
          <t>IC Organic Acids</t>
        </is>
      </c>
      <c r="ES954" s="20" t="inlineStr">
        <is>
          <t>None</t>
        </is>
      </c>
      <c r="ET954" s="17" t="n"/>
      <c r="EU954" s="16" t="n"/>
      <c r="EV954" s="20" t="inlineStr">
        <is>
          <t>LC-MS</t>
        </is>
      </c>
      <c r="EW954" s="20" t="inlineStr">
        <is>
          <t>None</t>
        </is>
      </c>
      <c r="EX954" s="17" t="n"/>
      <c r="EY954" s="21" t="n"/>
      <c r="EZ954">
        <f>CONCATENATE(A954,B954)</f>
        <v/>
      </c>
      <c r="FA954">
        <f>CONCATENATE(SamplesX!A954,SamplesX!B954)</f>
        <v/>
      </c>
      <c r="FC954">
        <f>MATCH(EZ954,FA1:FA1008,0)</f>
        <v/>
      </c>
    </row>
    <row r="955">
      <c r="A955" s="16" t="n"/>
      <c r="B955" s="17" t="n"/>
      <c r="C955" s="10">
        <f>IF(ISNUMBER(FC955),INDIRECT("SamplesX!C"&amp;FC955),IF(ISNUMBER(FD955),INDIRECT("SamplesY!C"&amp;FD955),""))</f>
        <v/>
      </c>
      <c r="D955" s="12">
        <f>IF(ISNUMBER(FC955),INDIRECT("SamplesX!D"&amp;FC955),IF(ISNUMBER(FD955),INDIRECT("SamplesY!D"&amp;FD955),""))</f>
        <v/>
      </c>
      <c r="E955" s="12">
        <f>IF(ISNUMBER(FC955),INDIRECT("SamplesX!E"&amp;FC955),IF(ISNUMBER(FD955),INDIRECT("SamplesY!E"&amp;FD955),""))</f>
        <v/>
      </c>
      <c r="F955" s="11">
        <f>IF(ISNUMBER(FC955),INDIRECT("SamplesX!F"&amp;FC955),IF(ISNUMBER(FD955),INDIRECT("SamplesY!F"&amp;FD955),""))</f>
        <v/>
      </c>
      <c r="G955" s="18">
        <f>IF(ISNUMBER(FC955),INDIRECT("SamplesX!G"&amp;FC955),IF(ISNUMBER(FD955),INDIRECT("SamplesY!G"&amp;FD955),""))</f>
        <v/>
      </c>
      <c r="H955" s="19">
        <f>IF(ISNUMBER(FC955),INDIRECT("SamplesX!H"&amp;FC955),IF(ISNUMBER(FD955),INDIRECT("SamplesY!H"&amp;FD955),""))</f>
        <v/>
      </c>
      <c r="I955" s="16" t="n"/>
      <c r="J955" s="16" t="n"/>
      <c r="K955" s="16" t="n"/>
      <c r="L955" s="20" t="n"/>
      <c r="M955" s="20" t="inlineStr">
        <is>
          <t>None</t>
        </is>
      </c>
      <c r="N955" s="17" t="n"/>
      <c r="O955" s="16" t="n"/>
      <c r="P955" s="20" t="inlineStr">
        <is>
          <t>Shimadzu TOC-L</t>
        </is>
      </c>
      <c r="Q955" s="20" t="inlineStr">
        <is>
          <t>None</t>
        </is>
      </c>
      <c r="R955" s="17" t="n"/>
      <c r="S955" s="16" t="n"/>
      <c r="T955" s="20" t="inlineStr">
        <is>
          <t>Shimadzu TOC-L</t>
        </is>
      </c>
      <c r="U955" s="20" t="inlineStr">
        <is>
          <t>None</t>
        </is>
      </c>
      <c r="V955" s="17" t="n"/>
      <c r="W955" s="16" t="n"/>
      <c r="X955" s="20" t="n"/>
      <c r="Y955" s="20" t="inlineStr">
        <is>
          <t>None</t>
        </is>
      </c>
      <c r="Z955" s="17" t="n"/>
      <c r="AA955" s="16" t="n"/>
      <c r="AB955" s="20" t="n"/>
      <c r="AC955" s="20" t="inlineStr">
        <is>
          <t>None</t>
        </is>
      </c>
      <c r="AD955" s="17" t="n"/>
      <c r="AE955" s="16" t="n"/>
      <c r="AF955" s="20" t="inlineStr">
        <is>
          <t>IC Anionen</t>
        </is>
      </c>
      <c r="AG955" s="20" t="inlineStr">
        <is>
          <t>None</t>
        </is>
      </c>
      <c r="AH955" s="17" t="n"/>
      <c r="AI955" s="16" t="n"/>
      <c r="AJ955" s="20" t="n"/>
      <c r="AK955" s="20" t="inlineStr">
        <is>
          <t>None</t>
        </is>
      </c>
      <c r="AL955" s="17" t="n"/>
      <c r="AM955" s="16" t="n"/>
      <c r="AN955" s="20" t="inlineStr">
        <is>
          <t>IC Anionen</t>
        </is>
      </c>
      <c r="AO955" s="20" t="inlineStr">
        <is>
          <t>None</t>
        </is>
      </c>
      <c r="AP955" s="17" t="n"/>
      <c r="AQ955" s="16" t="n"/>
      <c r="AR955" s="20" t="n"/>
      <c r="AS955" s="20" t="inlineStr">
        <is>
          <t>None</t>
        </is>
      </c>
      <c r="AT955" s="17" t="n"/>
      <c r="AU955" s="16" t="n"/>
      <c r="AV955" s="20" t="n"/>
      <c r="AW955" s="20" t="inlineStr">
        <is>
          <t>None</t>
        </is>
      </c>
      <c r="AX955" s="17" t="n"/>
      <c r="AY955" s="16" t="n"/>
      <c r="AZ955" s="20" t="inlineStr">
        <is>
          <t>IC Anionen</t>
        </is>
      </c>
      <c r="BA955" s="20" t="inlineStr">
        <is>
          <t>None</t>
        </is>
      </c>
      <c r="BB955" s="17" t="n"/>
      <c r="BC955" s="16" t="n"/>
      <c r="BD955" s="20" t="inlineStr">
        <is>
          <t>IC Kationen</t>
        </is>
      </c>
      <c r="BE955" s="20" t="inlineStr">
        <is>
          <t>None</t>
        </is>
      </c>
      <c r="BF955" s="17" t="n"/>
      <c r="BG955" s="16" t="n"/>
      <c r="BH955" s="20" t="inlineStr">
        <is>
          <t>IC Kationen</t>
        </is>
      </c>
      <c r="BI955" s="20" t="inlineStr">
        <is>
          <t>None</t>
        </is>
      </c>
      <c r="BJ955" s="17" t="n"/>
      <c r="BK955" s="16" t="n"/>
      <c r="BL955" s="20" t="inlineStr">
        <is>
          <t>IC Kationen</t>
        </is>
      </c>
      <c r="BM955" s="20" t="inlineStr">
        <is>
          <t>None</t>
        </is>
      </c>
      <c r="BN955" s="17" t="n"/>
      <c r="BO955" s="16" t="n"/>
      <c r="BP955" s="20" t="inlineStr">
        <is>
          <t>IC Kationen</t>
        </is>
      </c>
      <c r="BQ955" s="20" t="inlineStr">
        <is>
          <t>None</t>
        </is>
      </c>
      <c r="BR955" s="17" t="n"/>
      <c r="BS955" s="16" t="n"/>
      <c r="BT955" s="20" t="inlineStr">
        <is>
          <t>IC Kationen</t>
        </is>
      </c>
      <c r="BU955" s="20" t="inlineStr">
        <is>
          <t>None</t>
        </is>
      </c>
      <c r="BV955" s="17" t="n"/>
      <c r="BW955" s="16" t="n"/>
      <c r="BX955" s="20" t="n"/>
      <c r="BY955" s="20" t="inlineStr">
        <is>
          <t>None</t>
        </is>
      </c>
      <c r="BZ955" s="17" t="n"/>
      <c r="CA955" s="16" t="n"/>
      <c r="CB955" s="20" t="n"/>
      <c r="CC955" s="20" t="inlineStr">
        <is>
          <t>None</t>
        </is>
      </c>
      <c r="CD955" s="17" t="n"/>
      <c r="CE955" s="16" t="n"/>
      <c r="CF955" s="20" t="n"/>
      <c r="CG955" s="20" t="inlineStr">
        <is>
          <t>None</t>
        </is>
      </c>
      <c r="CH955" s="17" t="n"/>
      <c r="CI955" s="16" t="n"/>
      <c r="CJ955" s="20" t="n"/>
      <c r="CK955" s="20" t="inlineStr">
        <is>
          <t>None</t>
        </is>
      </c>
      <c r="CL955" s="17" t="n"/>
      <c r="CM955" s="16" t="n"/>
      <c r="CN955" s="20" t="inlineStr">
        <is>
          <t>SOP 45-34</t>
        </is>
      </c>
      <c r="CO955" s="20" t="inlineStr">
        <is>
          <t>None</t>
        </is>
      </c>
      <c r="CP955" s="17" t="n"/>
      <c r="CQ955" s="16" t="n"/>
      <c r="CR955" s="20" t="n"/>
      <c r="CS955" s="20" t="inlineStr">
        <is>
          <t>None</t>
        </is>
      </c>
      <c r="CT955" s="17" t="n"/>
      <c r="CU955" s="16" t="n"/>
      <c r="CV955" s="20" t="n"/>
      <c r="CW955" s="20" t="inlineStr">
        <is>
          <t>None</t>
        </is>
      </c>
      <c r="CX955" s="17" t="n"/>
      <c r="CY955" s="16" t="n"/>
      <c r="CZ955" s="20" t="inlineStr">
        <is>
          <t>WTW Multimeter 3430 with FDO 925</t>
        </is>
      </c>
      <c r="DA955" s="20" t="inlineStr">
        <is>
          <t>None</t>
        </is>
      </c>
      <c r="DB955" s="17" t="n"/>
      <c r="DC955" s="16" t="n"/>
      <c r="DD955" s="20" t="n"/>
      <c r="DE955" s="20" t="inlineStr">
        <is>
          <t>None</t>
        </is>
      </c>
      <c r="DF955" s="17" t="n"/>
      <c r="DG955" s="16" t="n"/>
      <c r="DH955" s="20" t="inlineStr">
        <is>
          <t>SOP 45-09</t>
        </is>
      </c>
      <c r="DI955" s="20" t="inlineStr">
        <is>
          <t>None</t>
        </is>
      </c>
      <c r="DJ955" s="17" t="n"/>
      <c r="DK955" s="16" t="n"/>
      <c r="DL955" s="20" t="inlineStr">
        <is>
          <t>SOP 45-09 (SOP muss noch angepasst werden für VSS)</t>
        </is>
      </c>
      <c r="DM955" s="20" t="inlineStr">
        <is>
          <t>None</t>
        </is>
      </c>
      <c r="DN955" s="17" t="n"/>
      <c r="DO955" s="16" t="n"/>
      <c r="DP955" s="20" t="inlineStr">
        <is>
          <t>IC Organic Acids</t>
        </is>
      </c>
      <c r="DQ955" s="20" t="inlineStr">
        <is>
          <t>None</t>
        </is>
      </c>
      <c r="DR955" s="17" t="n"/>
      <c r="DS955" s="16" t="n"/>
      <c r="DT955" s="20" t="inlineStr">
        <is>
          <t>IC Organic Acids</t>
        </is>
      </c>
      <c r="DU955" s="20" t="inlineStr">
        <is>
          <t>None</t>
        </is>
      </c>
      <c r="DV955" s="17" t="n"/>
      <c r="DW955" s="16" t="n"/>
      <c r="DX955" s="20" t="inlineStr">
        <is>
          <t>IC Organic Acids</t>
        </is>
      </c>
      <c r="DY955" s="20" t="inlineStr">
        <is>
          <t>None</t>
        </is>
      </c>
      <c r="DZ955" s="17" t="n"/>
      <c r="EA955" s="16" t="n"/>
      <c r="EB955" s="20" t="inlineStr">
        <is>
          <t>IC Organic Acids</t>
        </is>
      </c>
      <c r="EC955" s="20" t="inlineStr">
        <is>
          <t>None</t>
        </is>
      </c>
      <c r="ED955" s="17" t="n"/>
      <c r="EE955" s="16" t="n"/>
      <c r="EF955" s="20" t="inlineStr">
        <is>
          <t>IC Organic Acids</t>
        </is>
      </c>
      <c r="EG955" s="20" t="inlineStr">
        <is>
          <t>None</t>
        </is>
      </c>
      <c r="EH955" s="17" t="n"/>
      <c r="EI955" s="16" t="n"/>
      <c r="EJ955" s="20" t="inlineStr">
        <is>
          <t>IC Organic Acids</t>
        </is>
      </c>
      <c r="EK955" s="20" t="inlineStr">
        <is>
          <t>None</t>
        </is>
      </c>
      <c r="EL955" s="17" t="n"/>
      <c r="EM955" s="16" t="n"/>
      <c r="EN955" s="20" t="inlineStr">
        <is>
          <t>IC Organic Acids</t>
        </is>
      </c>
      <c r="EO955" s="20" t="inlineStr">
        <is>
          <t>None</t>
        </is>
      </c>
      <c r="EP955" s="17" t="n"/>
      <c r="EQ955" s="16" t="n"/>
      <c r="ER955" s="20" t="inlineStr">
        <is>
          <t>IC Organic Acids</t>
        </is>
      </c>
      <c r="ES955" s="20" t="inlineStr">
        <is>
          <t>None</t>
        </is>
      </c>
      <c r="ET955" s="17" t="n"/>
      <c r="EU955" s="16" t="n"/>
      <c r="EV955" s="20" t="inlineStr">
        <is>
          <t>LC-MS</t>
        </is>
      </c>
      <c r="EW955" s="20" t="inlineStr">
        <is>
          <t>None</t>
        </is>
      </c>
      <c r="EX955" s="17" t="n"/>
      <c r="EY955" s="21" t="n"/>
      <c r="EZ955">
        <f>CONCATENATE(A955,B955)</f>
        <v/>
      </c>
      <c r="FA955">
        <f>CONCATENATE(SamplesX!A955,SamplesX!B955)</f>
        <v/>
      </c>
      <c r="FC955">
        <f>MATCH(EZ955,FA1:FA1008,0)</f>
        <v/>
      </c>
    </row>
    <row r="956">
      <c r="A956" s="16" t="n"/>
      <c r="B956" s="17" t="n"/>
      <c r="C956" s="10">
        <f>IF(ISNUMBER(FC956),INDIRECT("SamplesX!C"&amp;FC956),IF(ISNUMBER(FD956),INDIRECT("SamplesY!C"&amp;FD956),""))</f>
        <v/>
      </c>
      <c r="D956" s="12">
        <f>IF(ISNUMBER(FC956),INDIRECT("SamplesX!D"&amp;FC956),IF(ISNUMBER(FD956),INDIRECT("SamplesY!D"&amp;FD956),""))</f>
        <v/>
      </c>
      <c r="E956" s="12">
        <f>IF(ISNUMBER(FC956),INDIRECT("SamplesX!E"&amp;FC956),IF(ISNUMBER(FD956),INDIRECT("SamplesY!E"&amp;FD956),""))</f>
        <v/>
      </c>
      <c r="F956" s="11">
        <f>IF(ISNUMBER(FC956),INDIRECT("SamplesX!F"&amp;FC956),IF(ISNUMBER(FD956),INDIRECT("SamplesY!F"&amp;FD956),""))</f>
        <v/>
      </c>
      <c r="G956" s="18">
        <f>IF(ISNUMBER(FC956),INDIRECT("SamplesX!G"&amp;FC956),IF(ISNUMBER(FD956),INDIRECT("SamplesY!G"&amp;FD956),""))</f>
        <v/>
      </c>
      <c r="H956" s="19">
        <f>IF(ISNUMBER(FC956),INDIRECT("SamplesX!H"&amp;FC956),IF(ISNUMBER(FD956),INDIRECT("SamplesY!H"&amp;FD956),""))</f>
        <v/>
      </c>
      <c r="I956" s="16" t="n"/>
      <c r="J956" s="16" t="n"/>
      <c r="K956" s="16" t="n"/>
      <c r="L956" s="20" t="n"/>
      <c r="M956" s="20" t="inlineStr">
        <is>
          <t>None</t>
        </is>
      </c>
      <c r="N956" s="17" t="n"/>
      <c r="O956" s="16" t="n"/>
      <c r="P956" s="20" t="inlineStr">
        <is>
          <t>Shimadzu TOC-L</t>
        </is>
      </c>
      <c r="Q956" s="20" t="inlineStr">
        <is>
          <t>None</t>
        </is>
      </c>
      <c r="R956" s="17" t="n"/>
      <c r="S956" s="16" t="n"/>
      <c r="T956" s="20" t="inlineStr">
        <is>
          <t>Shimadzu TOC-L</t>
        </is>
      </c>
      <c r="U956" s="20" t="inlineStr">
        <is>
          <t>None</t>
        </is>
      </c>
      <c r="V956" s="17" t="n"/>
      <c r="W956" s="16" t="n"/>
      <c r="X956" s="20" t="n"/>
      <c r="Y956" s="20" t="inlineStr">
        <is>
          <t>None</t>
        </is>
      </c>
      <c r="Z956" s="17" t="n"/>
      <c r="AA956" s="16" t="n"/>
      <c r="AB956" s="20" t="n"/>
      <c r="AC956" s="20" t="inlineStr">
        <is>
          <t>None</t>
        </is>
      </c>
      <c r="AD956" s="17" t="n"/>
      <c r="AE956" s="16" t="n"/>
      <c r="AF956" s="20" t="inlineStr">
        <is>
          <t>IC Anionen</t>
        </is>
      </c>
      <c r="AG956" s="20" t="inlineStr">
        <is>
          <t>None</t>
        </is>
      </c>
      <c r="AH956" s="17" t="n"/>
      <c r="AI956" s="16" t="n"/>
      <c r="AJ956" s="20" t="n"/>
      <c r="AK956" s="20" t="inlineStr">
        <is>
          <t>None</t>
        </is>
      </c>
      <c r="AL956" s="17" t="n"/>
      <c r="AM956" s="16" t="n"/>
      <c r="AN956" s="20" t="inlineStr">
        <is>
          <t>IC Anionen</t>
        </is>
      </c>
      <c r="AO956" s="20" t="inlineStr">
        <is>
          <t>None</t>
        </is>
      </c>
      <c r="AP956" s="17" t="n"/>
      <c r="AQ956" s="16" t="n"/>
      <c r="AR956" s="20" t="n"/>
      <c r="AS956" s="20" t="inlineStr">
        <is>
          <t>None</t>
        </is>
      </c>
      <c r="AT956" s="17" t="n"/>
      <c r="AU956" s="16" t="n"/>
      <c r="AV956" s="20" t="n"/>
      <c r="AW956" s="20" t="inlineStr">
        <is>
          <t>None</t>
        </is>
      </c>
      <c r="AX956" s="17" t="n"/>
      <c r="AY956" s="16" t="n"/>
      <c r="AZ956" s="20" t="inlineStr">
        <is>
          <t>IC Anionen</t>
        </is>
      </c>
      <c r="BA956" s="20" t="inlineStr">
        <is>
          <t>None</t>
        </is>
      </c>
      <c r="BB956" s="17" t="n"/>
      <c r="BC956" s="16" t="n"/>
      <c r="BD956" s="20" t="inlineStr">
        <is>
          <t>IC Kationen</t>
        </is>
      </c>
      <c r="BE956" s="20" t="inlineStr">
        <is>
          <t>None</t>
        </is>
      </c>
      <c r="BF956" s="17" t="n"/>
      <c r="BG956" s="16" t="n"/>
      <c r="BH956" s="20" t="inlineStr">
        <is>
          <t>IC Kationen</t>
        </is>
      </c>
      <c r="BI956" s="20" t="inlineStr">
        <is>
          <t>None</t>
        </is>
      </c>
      <c r="BJ956" s="17" t="n"/>
      <c r="BK956" s="16" t="n"/>
      <c r="BL956" s="20" t="inlineStr">
        <is>
          <t>IC Kationen</t>
        </is>
      </c>
      <c r="BM956" s="20" t="inlineStr">
        <is>
          <t>None</t>
        </is>
      </c>
      <c r="BN956" s="17" t="n"/>
      <c r="BO956" s="16" t="n"/>
      <c r="BP956" s="20" t="inlineStr">
        <is>
          <t>IC Kationen</t>
        </is>
      </c>
      <c r="BQ956" s="20" t="inlineStr">
        <is>
          <t>None</t>
        </is>
      </c>
      <c r="BR956" s="17" t="n"/>
      <c r="BS956" s="16" t="n"/>
      <c r="BT956" s="20" t="inlineStr">
        <is>
          <t>IC Kationen</t>
        </is>
      </c>
      <c r="BU956" s="20" t="inlineStr">
        <is>
          <t>None</t>
        </is>
      </c>
      <c r="BV956" s="17" t="n"/>
      <c r="BW956" s="16" t="n"/>
      <c r="BX956" s="20" t="n"/>
      <c r="BY956" s="20" t="inlineStr">
        <is>
          <t>None</t>
        </is>
      </c>
      <c r="BZ956" s="17" t="n"/>
      <c r="CA956" s="16" t="n"/>
      <c r="CB956" s="20" t="n"/>
      <c r="CC956" s="20" t="inlineStr">
        <is>
          <t>None</t>
        </is>
      </c>
      <c r="CD956" s="17" t="n"/>
      <c r="CE956" s="16" t="n"/>
      <c r="CF956" s="20" t="n"/>
      <c r="CG956" s="20" t="inlineStr">
        <is>
          <t>None</t>
        </is>
      </c>
      <c r="CH956" s="17" t="n"/>
      <c r="CI956" s="16" t="n"/>
      <c r="CJ956" s="20" t="n"/>
      <c r="CK956" s="20" t="inlineStr">
        <is>
          <t>None</t>
        </is>
      </c>
      <c r="CL956" s="17" t="n"/>
      <c r="CM956" s="16" t="n"/>
      <c r="CN956" s="20" t="inlineStr">
        <is>
          <t>SOP 45-34</t>
        </is>
      </c>
      <c r="CO956" s="20" t="inlineStr">
        <is>
          <t>None</t>
        </is>
      </c>
      <c r="CP956" s="17" t="n"/>
      <c r="CQ956" s="16" t="n"/>
      <c r="CR956" s="20" t="n"/>
      <c r="CS956" s="20" t="inlineStr">
        <is>
          <t>None</t>
        </is>
      </c>
      <c r="CT956" s="17" t="n"/>
      <c r="CU956" s="16" t="n"/>
      <c r="CV956" s="20" t="n"/>
      <c r="CW956" s="20" t="inlineStr">
        <is>
          <t>None</t>
        </is>
      </c>
      <c r="CX956" s="17" t="n"/>
      <c r="CY956" s="16" t="n"/>
      <c r="CZ956" s="20" t="inlineStr">
        <is>
          <t>WTW Multimeter 3430 with FDO 925</t>
        </is>
      </c>
      <c r="DA956" s="20" t="inlineStr">
        <is>
          <t>None</t>
        </is>
      </c>
      <c r="DB956" s="17" t="n"/>
      <c r="DC956" s="16" t="n"/>
      <c r="DD956" s="20" t="n"/>
      <c r="DE956" s="20" t="inlineStr">
        <is>
          <t>None</t>
        </is>
      </c>
      <c r="DF956" s="17" t="n"/>
      <c r="DG956" s="16" t="n"/>
      <c r="DH956" s="20" t="inlineStr">
        <is>
          <t>SOP 45-09</t>
        </is>
      </c>
      <c r="DI956" s="20" t="inlineStr">
        <is>
          <t>None</t>
        </is>
      </c>
      <c r="DJ956" s="17" t="n"/>
      <c r="DK956" s="16" t="n"/>
      <c r="DL956" s="20" t="inlineStr">
        <is>
          <t>SOP 45-09 (SOP muss noch angepasst werden für VSS)</t>
        </is>
      </c>
      <c r="DM956" s="20" t="inlineStr">
        <is>
          <t>None</t>
        </is>
      </c>
      <c r="DN956" s="17" t="n"/>
      <c r="DO956" s="16" t="n"/>
      <c r="DP956" s="20" t="inlineStr">
        <is>
          <t>IC Organic Acids</t>
        </is>
      </c>
      <c r="DQ956" s="20" t="inlineStr">
        <is>
          <t>None</t>
        </is>
      </c>
      <c r="DR956" s="17" t="n"/>
      <c r="DS956" s="16" t="n"/>
      <c r="DT956" s="20" t="inlineStr">
        <is>
          <t>IC Organic Acids</t>
        </is>
      </c>
      <c r="DU956" s="20" t="inlineStr">
        <is>
          <t>None</t>
        </is>
      </c>
      <c r="DV956" s="17" t="n"/>
      <c r="DW956" s="16" t="n"/>
      <c r="DX956" s="20" t="inlineStr">
        <is>
          <t>IC Organic Acids</t>
        </is>
      </c>
      <c r="DY956" s="20" t="inlineStr">
        <is>
          <t>None</t>
        </is>
      </c>
      <c r="DZ956" s="17" t="n"/>
      <c r="EA956" s="16" t="n"/>
      <c r="EB956" s="20" t="inlineStr">
        <is>
          <t>IC Organic Acids</t>
        </is>
      </c>
      <c r="EC956" s="20" t="inlineStr">
        <is>
          <t>None</t>
        </is>
      </c>
      <c r="ED956" s="17" t="n"/>
      <c r="EE956" s="16" t="n"/>
      <c r="EF956" s="20" t="inlineStr">
        <is>
          <t>IC Organic Acids</t>
        </is>
      </c>
      <c r="EG956" s="20" t="inlineStr">
        <is>
          <t>None</t>
        </is>
      </c>
      <c r="EH956" s="17" t="n"/>
      <c r="EI956" s="16" t="n"/>
      <c r="EJ956" s="20" t="inlineStr">
        <is>
          <t>IC Organic Acids</t>
        </is>
      </c>
      <c r="EK956" s="20" t="inlineStr">
        <is>
          <t>None</t>
        </is>
      </c>
      <c r="EL956" s="17" t="n"/>
      <c r="EM956" s="16" t="n"/>
      <c r="EN956" s="20" t="inlineStr">
        <is>
          <t>IC Organic Acids</t>
        </is>
      </c>
      <c r="EO956" s="20" t="inlineStr">
        <is>
          <t>None</t>
        </is>
      </c>
      <c r="EP956" s="17" t="n"/>
      <c r="EQ956" s="16" t="n"/>
      <c r="ER956" s="20" t="inlineStr">
        <is>
          <t>IC Organic Acids</t>
        </is>
      </c>
      <c r="ES956" s="20" t="inlineStr">
        <is>
          <t>None</t>
        </is>
      </c>
      <c r="ET956" s="17" t="n"/>
      <c r="EU956" s="16" t="n"/>
      <c r="EV956" s="20" t="inlineStr">
        <is>
          <t>LC-MS</t>
        </is>
      </c>
      <c r="EW956" s="20" t="inlineStr">
        <is>
          <t>None</t>
        </is>
      </c>
      <c r="EX956" s="17" t="n"/>
      <c r="EY956" s="21" t="n"/>
      <c r="EZ956">
        <f>CONCATENATE(A956,B956)</f>
        <v/>
      </c>
      <c r="FA956">
        <f>CONCATENATE(SamplesX!A956,SamplesX!B956)</f>
        <v/>
      </c>
      <c r="FC956">
        <f>MATCH(EZ956,FA1:FA1008,0)</f>
        <v/>
      </c>
    </row>
    <row r="957">
      <c r="A957" s="16" t="n"/>
      <c r="B957" s="17" t="n"/>
      <c r="C957" s="10">
        <f>IF(ISNUMBER(FC957),INDIRECT("SamplesX!C"&amp;FC957),IF(ISNUMBER(FD957),INDIRECT("SamplesY!C"&amp;FD957),""))</f>
        <v/>
      </c>
      <c r="D957" s="12">
        <f>IF(ISNUMBER(FC957),INDIRECT("SamplesX!D"&amp;FC957),IF(ISNUMBER(FD957),INDIRECT("SamplesY!D"&amp;FD957),""))</f>
        <v/>
      </c>
      <c r="E957" s="12">
        <f>IF(ISNUMBER(FC957),INDIRECT("SamplesX!E"&amp;FC957),IF(ISNUMBER(FD957),INDIRECT("SamplesY!E"&amp;FD957),""))</f>
        <v/>
      </c>
      <c r="F957" s="11">
        <f>IF(ISNUMBER(FC957),INDIRECT("SamplesX!F"&amp;FC957),IF(ISNUMBER(FD957),INDIRECT("SamplesY!F"&amp;FD957),""))</f>
        <v/>
      </c>
      <c r="G957" s="18">
        <f>IF(ISNUMBER(FC957),INDIRECT("SamplesX!G"&amp;FC957),IF(ISNUMBER(FD957),INDIRECT("SamplesY!G"&amp;FD957),""))</f>
        <v/>
      </c>
      <c r="H957" s="19">
        <f>IF(ISNUMBER(FC957),INDIRECT("SamplesX!H"&amp;FC957),IF(ISNUMBER(FD957),INDIRECT("SamplesY!H"&amp;FD957),""))</f>
        <v/>
      </c>
      <c r="I957" s="16" t="n"/>
      <c r="J957" s="16" t="n"/>
      <c r="K957" s="16" t="n"/>
      <c r="L957" s="20" t="n"/>
      <c r="M957" s="20" t="inlineStr">
        <is>
          <t>None</t>
        </is>
      </c>
      <c r="N957" s="17" t="n"/>
      <c r="O957" s="16" t="n"/>
      <c r="P957" s="20" t="inlineStr">
        <is>
          <t>Shimadzu TOC-L</t>
        </is>
      </c>
      <c r="Q957" s="20" t="inlineStr">
        <is>
          <t>None</t>
        </is>
      </c>
      <c r="R957" s="17" t="n"/>
      <c r="S957" s="16" t="n"/>
      <c r="T957" s="20" t="inlineStr">
        <is>
          <t>Shimadzu TOC-L</t>
        </is>
      </c>
      <c r="U957" s="20" t="inlineStr">
        <is>
          <t>None</t>
        </is>
      </c>
      <c r="V957" s="17" t="n"/>
      <c r="W957" s="16" t="n"/>
      <c r="X957" s="20" t="n"/>
      <c r="Y957" s="20" t="inlineStr">
        <is>
          <t>None</t>
        </is>
      </c>
      <c r="Z957" s="17" t="n"/>
      <c r="AA957" s="16" t="n"/>
      <c r="AB957" s="20" t="n"/>
      <c r="AC957" s="20" t="inlineStr">
        <is>
          <t>None</t>
        </is>
      </c>
      <c r="AD957" s="17" t="n"/>
      <c r="AE957" s="16" t="n"/>
      <c r="AF957" s="20" t="inlineStr">
        <is>
          <t>IC Anionen</t>
        </is>
      </c>
      <c r="AG957" s="20" t="inlineStr">
        <is>
          <t>None</t>
        </is>
      </c>
      <c r="AH957" s="17" t="n"/>
      <c r="AI957" s="16" t="n"/>
      <c r="AJ957" s="20" t="n"/>
      <c r="AK957" s="20" t="inlineStr">
        <is>
          <t>None</t>
        </is>
      </c>
      <c r="AL957" s="17" t="n"/>
      <c r="AM957" s="16" t="n"/>
      <c r="AN957" s="20" t="inlineStr">
        <is>
          <t>IC Anionen</t>
        </is>
      </c>
      <c r="AO957" s="20" t="inlineStr">
        <is>
          <t>None</t>
        </is>
      </c>
      <c r="AP957" s="17" t="n"/>
      <c r="AQ957" s="16" t="n"/>
      <c r="AR957" s="20" t="n"/>
      <c r="AS957" s="20" t="inlineStr">
        <is>
          <t>None</t>
        </is>
      </c>
      <c r="AT957" s="17" t="n"/>
      <c r="AU957" s="16" t="n"/>
      <c r="AV957" s="20" t="n"/>
      <c r="AW957" s="20" t="inlineStr">
        <is>
          <t>None</t>
        </is>
      </c>
      <c r="AX957" s="17" t="n"/>
      <c r="AY957" s="16" t="n"/>
      <c r="AZ957" s="20" t="inlineStr">
        <is>
          <t>IC Anionen</t>
        </is>
      </c>
      <c r="BA957" s="20" t="inlineStr">
        <is>
          <t>None</t>
        </is>
      </c>
      <c r="BB957" s="17" t="n"/>
      <c r="BC957" s="16" t="n"/>
      <c r="BD957" s="20" t="inlineStr">
        <is>
          <t>IC Kationen</t>
        </is>
      </c>
      <c r="BE957" s="20" t="inlineStr">
        <is>
          <t>None</t>
        </is>
      </c>
      <c r="BF957" s="17" t="n"/>
      <c r="BG957" s="16" t="n"/>
      <c r="BH957" s="20" t="inlineStr">
        <is>
          <t>IC Kationen</t>
        </is>
      </c>
      <c r="BI957" s="20" t="inlineStr">
        <is>
          <t>None</t>
        </is>
      </c>
      <c r="BJ957" s="17" t="n"/>
      <c r="BK957" s="16" t="n"/>
      <c r="BL957" s="20" t="inlineStr">
        <is>
          <t>IC Kationen</t>
        </is>
      </c>
      <c r="BM957" s="20" t="inlineStr">
        <is>
          <t>None</t>
        </is>
      </c>
      <c r="BN957" s="17" t="n"/>
      <c r="BO957" s="16" t="n"/>
      <c r="BP957" s="20" t="inlineStr">
        <is>
          <t>IC Kationen</t>
        </is>
      </c>
      <c r="BQ957" s="20" t="inlineStr">
        <is>
          <t>None</t>
        </is>
      </c>
      <c r="BR957" s="17" t="n"/>
      <c r="BS957" s="16" t="n"/>
      <c r="BT957" s="20" t="inlineStr">
        <is>
          <t>IC Kationen</t>
        </is>
      </c>
      <c r="BU957" s="20" t="inlineStr">
        <is>
          <t>None</t>
        </is>
      </c>
      <c r="BV957" s="17" t="n"/>
      <c r="BW957" s="16" t="n"/>
      <c r="BX957" s="20" t="n"/>
      <c r="BY957" s="20" t="inlineStr">
        <is>
          <t>None</t>
        </is>
      </c>
      <c r="BZ957" s="17" t="n"/>
      <c r="CA957" s="16" t="n"/>
      <c r="CB957" s="20" t="n"/>
      <c r="CC957" s="20" t="inlineStr">
        <is>
          <t>None</t>
        </is>
      </c>
      <c r="CD957" s="17" t="n"/>
      <c r="CE957" s="16" t="n"/>
      <c r="CF957" s="20" t="n"/>
      <c r="CG957" s="20" t="inlineStr">
        <is>
          <t>None</t>
        </is>
      </c>
      <c r="CH957" s="17" t="n"/>
      <c r="CI957" s="16" t="n"/>
      <c r="CJ957" s="20" t="n"/>
      <c r="CK957" s="20" t="inlineStr">
        <is>
          <t>None</t>
        </is>
      </c>
      <c r="CL957" s="17" t="n"/>
      <c r="CM957" s="16" t="n"/>
      <c r="CN957" s="20" t="inlineStr">
        <is>
          <t>SOP 45-34</t>
        </is>
      </c>
      <c r="CO957" s="20" t="inlineStr">
        <is>
          <t>None</t>
        </is>
      </c>
      <c r="CP957" s="17" t="n"/>
      <c r="CQ957" s="16" t="n"/>
      <c r="CR957" s="20" t="n"/>
      <c r="CS957" s="20" t="inlineStr">
        <is>
          <t>None</t>
        </is>
      </c>
      <c r="CT957" s="17" t="n"/>
      <c r="CU957" s="16" t="n"/>
      <c r="CV957" s="20" t="n"/>
      <c r="CW957" s="20" t="inlineStr">
        <is>
          <t>None</t>
        </is>
      </c>
      <c r="CX957" s="17" t="n"/>
      <c r="CY957" s="16" t="n"/>
      <c r="CZ957" s="20" t="inlineStr">
        <is>
          <t>WTW Multimeter 3430 with FDO 925</t>
        </is>
      </c>
      <c r="DA957" s="20" t="inlineStr">
        <is>
          <t>None</t>
        </is>
      </c>
      <c r="DB957" s="17" t="n"/>
      <c r="DC957" s="16" t="n"/>
      <c r="DD957" s="20" t="n"/>
      <c r="DE957" s="20" t="inlineStr">
        <is>
          <t>None</t>
        </is>
      </c>
      <c r="DF957" s="17" t="n"/>
      <c r="DG957" s="16" t="n"/>
      <c r="DH957" s="20" t="inlineStr">
        <is>
          <t>SOP 45-09</t>
        </is>
      </c>
      <c r="DI957" s="20" t="inlineStr">
        <is>
          <t>None</t>
        </is>
      </c>
      <c r="DJ957" s="17" t="n"/>
      <c r="DK957" s="16" t="n"/>
      <c r="DL957" s="20" t="inlineStr">
        <is>
          <t>SOP 45-09 (SOP muss noch angepasst werden für VSS)</t>
        </is>
      </c>
      <c r="DM957" s="20" t="inlineStr">
        <is>
          <t>None</t>
        </is>
      </c>
      <c r="DN957" s="17" t="n"/>
      <c r="DO957" s="16" t="n"/>
      <c r="DP957" s="20" t="inlineStr">
        <is>
          <t>IC Organic Acids</t>
        </is>
      </c>
      <c r="DQ957" s="20" t="inlineStr">
        <is>
          <t>None</t>
        </is>
      </c>
      <c r="DR957" s="17" t="n"/>
      <c r="DS957" s="16" t="n"/>
      <c r="DT957" s="20" t="inlineStr">
        <is>
          <t>IC Organic Acids</t>
        </is>
      </c>
      <c r="DU957" s="20" t="inlineStr">
        <is>
          <t>None</t>
        </is>
      </c>
      <c r="DV957" s="17" t="n"/>
      <c r="DW957" s="16" t="n"/>
      <c r="DX957" s="20" t="inlineStr">
        <is>
          <t>IC Organic Acids</t>
        </is>
      </c>
      <c r="DY957" s="20" t="inlineStr">
        <is>
          <t>None</t>
        </is>
      </c>
      <c r="DZ957" s="17" t="n"/>
      <c r="EA957" s="16" t="n"/>
      <c r="EB957" s="20" t="inlineStr">
        <is>
          <t>IC Organic Acids</t>
        </is>
      </c>
      <c r="EC957" s="20" t="inlineStr">
        <is>
          <t>None</t>
        </is>
      </c>
      <c r="ED957" s="17" t="n"/>
      <c r="EE957" s="16" t="n"/>
      <c r="EF957" s="20" t="inlineStr">
        <is>
          <t>IC Organic Acids</t>
        </is>
      </c>
      <c r="EG957" s="20" t="inlineStr">
        <is>
          <t>None</t>
        </is>
      </c>
      <c r="EH957" s="17" t="n"/>
      <c r="EI957" s="16" t="n"/>
      <c r="EJ957" s="20" t="inlineStr">
        <is>
          <t>IC Organic Acids</t>
        </is>
      </c>
      <c r="EK957" s="20" t="inlineStr">
        <is>
          <t>None</t>
        </is>
      </c>
      <c r="EL957" s="17" t="n"/>
      <c r="EM957" s="16" t="n"/>
      <c r="EN957" s="20" t="inlineStr">
        <is>
          <t>IC Organic Acids</t>
        </is>
      </c>
      <c r="EO957" s="20" t="inlineStr">
        <is>
          <t>None</t>
        </is>
      </c>
      <c r="EP957" s="17" t="n"/>
      <c r="EQ957" s="16" t="n"/>
      <c r="ER957" s="20" t="inlineStr">
        <is>
          <t>IC Organic Acids</t>
        </is>
      </c>
      <c r="ES957" s="20" t="inlineStr">
        <is>
          <t>None</t>
        </is>
      </c>
      <c r="ET957" s="17" t="n"/>
      <c r="EU957" s="16" t="n"/>
      <c r="EV957" s="20" t="inlineStr">
        <is>
          <t>LC-MS</t>
        </is>
      </c>
      <c r="EW957" s="20" t="inlineStr">
        <is>
          <t>None</t>
        </is>
      </c>
      <c r="EX957" s="17" t="n"/>
      <c r="EY957" s="21" t="n"/>
      <c r="EZ957">
        <f>CONCATENATE(A957,B957)</f>
        <v/>
      </c>
      <c r="FA957">
        <f>CONCATENATE(SamplesX!A957,SamplesX!B957)</f>
        <v/>
      </c>
      <c r="FC957">
        <f>MATCH(EZ957,FA1:FA1008,0)</f>
        <v/>
      </c>
    </row>
    <row r="958">
      <c r="A958" s="16" t="n"/>
      <c r="B958" s="17" t="n"/>
      <c r="C958" s="10">
        <f>IF(ISNUMBER(FC958),INDIRECT("SamplesX!C"&amp;FC958),IF(ISNUMBER(FD958),INDIRECT("SamplesY!C"&amp;FD958),""))</f>
        <v/>
      </c>
      <c r="D958" s="12">
        <f>IF(ISNUMBER(FC958),INDIRECT("SamplesX!D"&amp;FC958),IF(ISNUMBER(FD958),INDIRECT("SamplesY!D"&amp;FD958),""))</f>
        <v/>
      </c>
      <c r="E958" s="12">
        <f>IF(ISNUMBER(FC958),INDIRECT("SamplesX!E"&amp;FC958),IF(ISNUMBER(FD958),INDIRECT("SamplesY!E"&amp;FD958),""))</f>
        <v/>
      </c>
      <c r="F958" s="11">
        <f>IF(ISNUMBER(FC958),INDIRECT("SamplesX!F"&amp;FC958),IF(ISNUMBER(FD958),INDIRECT("SamplesY!F"&amp;FD958),""))</f>
        <v/>
      </c>
      <c r="G958" s="18">
        <f>IF(ISNUMBER(FC958),INDIRECT("SamplesX!G"&amp;FC958),IF(ISNUMBER(FD958),INDIRECT("SamplesY!G"&amp;FD958),""))</f>
        <v/>
      </c>
      <c r="H958" s="19">
        <f>IF(ISNUMBER(FC958),INDIRECT("SamplesX!H"&amp;FC958),IF(ISNUMBER(FD958),INDIRECT("SamplesY!H"&amp;FD958),""))</f>
        <v/>
      </c>
      <c r="I958" s="16" t="n"/>
      <c r="J958" s="16" t="n"/>
      <c r="K958" s="16" t="n"/>
      <c r="L958" s="20" t="n"/>
      <c r="M958" s="20" t="inlineStr">
        <is>
          <t>None</t>
        </is>
      </c>
      <c r="N958" s="17" t="n"/>
      <c r="O958" s="16" t="n"/>
      <c r="P958" s="20" t="inlineStr">
        <is>
          <t>Shimadzu TOC-L</t>
        </is>
      </c>
      <c r="Q958" s="20" t="inlineStr">
        <is>
          <t>None</t>
        </is>
      </c>
      <c r="R958" s="17" t="n"/>
      <c r="S958" s="16" t="n"/>
      <c r="T958" s="20" t="inlineStr">
        <is>
          <t>Shimadzu TOC-L</t>
        </is>
      </c>
      <c r="U958" s="20" t="inlineStr">
        <is>
          <t>None</t>
        </is>
      </c>
      <c r="V958" s="17" t="n"/>
      <c r="W958" s="16" t="n"/>
      <c r="X958" s="20" t="n"/>
      <c r="Y958" s="20" t="inlineStr">
        <is>
          <t>None</t>
        </is>
      </c>
      <c r="Z958" s="17" t="n"/>
      <c r="AA958" s="16" t="n"/>
      <c r="AB958" s="20" t="n"/>
      <c r="AC958" s="20" t="inlineStr">
        <is>
          <t>None</t>
        </is>
      </c>
      <c r="AD958" s="17" t="n"/>
      <c r="AE958" s="16" t="n"/>
      <c r="AF958" s="20" t="inlineStr">
        <is>
          <t>IC Anionen</t>
        </is>
      </c>
      <c r="AG958" s="20" t="inlineStr">
        <is>
          <t>None</t>
        </is>
      </c>
      <c r="AH958" s="17" t="n"/>
      <c r="AI958" s="16" t="n"/>
      <c r="AJ958" s="20" t="n"/>
      <c r="AK958" s="20" t="inlineStr">
        <is>
          <t>None</t>
        </is>
      </c>
      <c r="AL958" s="17" t="n"/>
      <c r="AM958" s="16" t="n"/>
      <c r="AN958" s="20" t="inlineStr">
        <is>
          <t>IC Anionen</t>
        </is>
      </c>
      <c r="AO958" s="20" t="inlineStr">
        <is>
          <t>None</t>
        </is>
      </c>
      <c r="AP958" s="17" t="n"/>
      <c r="AQ958" s="16" t="n"/>
      <c r="AR958" s="20" t="n"/>
      <c r="AS958" s="20" t="inlineStr">
        <is>
          <t>None</t>
        </is>
      </c>
      <c r="AT958" s="17" t="n"/>
      <c r="AU958" s="16" t="n"/>
      <c r="AV958" s="20" t="n"/>
      <c r="AW958" s="20" t="inlineStr">
        <is>
          <t>None</t>
        </is>
      </c>
      <c r="AX958" s="17" t="n"/>
      <c r="AY958" s="16" t="n"/>
      <c r="AZ958" s="20" t="inlineStr">
        <is>
          <t>IC Anionen</t>
        </is>
      </c>
      <c r="BA958" s="20" t="inlineStr">
        <is>
          <t>None</t>
        </is>
      </c>
      <c r="BB958" s="17" t="n"/>
      <c r="BC958" s="16" t="n"/>
      <c r="BD958" s="20" t="inlineStr">
        <is>
          <t>IC Kationen</t>
        </is>
      </c>
      <c r="BE958" s="20" t="inlineStr">
        <is>
          <t>None</t>
        </is>
      </c>
      <c r="BF958" s="17" t="n"/>
      <c r="BG958" s="16" t="n"/>
      <c r="BH958" s="20" t="inlineStr">
        <is>
          <t>IC Kationen</t>
        </is>
      </c>
      <c r="BI958" s="20" t="inlineStr">
        <is>
          <t>None</t>
        </is>
      </c>
      <c r="BJ958" s="17" t="n"/>
      <c r="BK958" s="16" t="n"/>
      <c r="BL958" s="20" t="inlineStr">
        <is>
          <t>IC Kationen</t>
        </is>
      </c>
      <c r="BM958" s="20" t="inlineStr">
        <is>
          <t>None</t>
        </is>
      </c>
      <c r="BN958" s="17" t="n"/>
      <c r="BO958" s="16" t="n"/>
      <c r="BP958" s="20" t="inlineStr">
        <is>
          <t>IC Kationen</t>
        </is>
      </c>
      <c r="BQ958" s="20" t="inlineStr">
        <is>
          <t>None</t>
        </is>
      </c>
      <c r="BR958" s="17" t="n"/>
      <c r="BS958" s="16" t="n"/>
      <c r="BT958" s="20" t="inlineStr">
        <is>
          <t>IC Kationen</t>
        </is>
      </c>
      <c r="BU958" s="20" t="inlineStr">
        <is>
          <t>None</t>
        </is>
      </c>
      <c r="BV958" s="17" t="n"/>
      <c r="BW958" s="16" t="n"/>
      <c r="BX958" s="20" t="n"/>
      <c r="BY958" s="20" t="inlineStr">
        <is>
          <t>None</t>
        </is>
      </c>
      <c r="BZ958" s="17" t="n"/>
      <c r="CA958" s="16" t="n"/>
      <c r="CB958" s="20" t="n"/>
      <c r="CC958" s="20" t="inlineStr">
        <is>
          <t>None</t>
        </is>
      </c>
      <c r="CD958" s="17" t="n"/>
      <c r="CE958" s="16" t="n"/>
      <c r="CF958" s="20" t="n"/>
      <c r="CG958" s="20" t="inlineStr">
        <is>
          <t>None</t>
        </is>
      </c>
      <c r="CH958" s="17" t="n"/>
      <c r="CI958" s="16" t="n"/>
      <c r="CJ958" s="20" t="n"/>
      <c r="CK958" s="20" t="inlineStr">
        <is>
          <t>None</t>
        </is>
      </c>
      <c r="CL958" s="17" t="n"/>
      <c r="CM958" s="16" t="n"/>
      <c r="CN958" s="20" t="inlineStr">
        <is>
          <t>SOP 45-34</t>
        </is>
      </c>
      <c r="CO958" s="20" t="inlineStr">
        <is>
          <t>None</t>
        </is>
      </c>
      <c r="CP958" s="17" t="n"/>
      <c r="CQ958" s="16" t="n"/>
      <c r="CR958" s="20" t="n"/>
      <c r="CS958" s="20" t="inlineStr">
        <is>
          <t>None</t>
        </is>
      </c>
      <c r="CT958" s="17" t="n"/>
      <c r="CU958" s="16" t="n"/>
      <c r="CV958" s="20" t="n"/>
      <c r="CW958" s="20" t="inlineStr">
        <is>
          <t>None</t>
        </is>
      </c>
      <c r="CX958" s="17" t="n"/>
      <c r="CY958" s="16" t="n"/>
      <c r="CZ958" s="20" t="inlineStr">
        <is>
          <t>WTW Multimeter 3430 with FDO 925</t>
        </is>
      </c>
      <c r="DA958" s="20" t="inlineStr">
        <is>
          <t>None</t>
        </is>
      </c>
      <c r="DB958" s="17" t="n"/>
      <c r="DC958" s="16" t="n"/>
      <c r="DD958" s="20" t="n"/>
      <c r="DE958" s="20" t="inlineStr">
        <is>
          <t>None</t>
        </is>
      </c>
      <c r="DF958" s="17" t="n"/>
      <c r="DG958" s="16" t="n"/>
      <c r="DH958" s="20" t="inlineStr">
        <is>
          <t>SOP 45-09</t>
        </is>
      </c>
      <c r="DI958" s="20" t="inlineStr">
        <is>
          <t>None</t>
        </is>
      </c>
      <c r="DJ958" s="17" t="n"/>
      <c r="DK958" s="16" t="n"/>
      <c r="DL958" s="20" t="inlineStr">
        <is>
          <t>SOP 45-09 (SOP muss noch angepasst werden für VSS)</t>
        </is>
      </c>
      <c r="DM958" s="20" t="inlineStr">
        <is>
          <t>None</t>
        </is>
      </c>
      <c r="DN958" s="17" t="n"/>
      <c r="DO958" s="16" t="n"/>
      <c r="DP958" s="20" t="inlineStr">
        <is>
          <t>IC Organic Acids</t>
        </is>
      </c>
      <c r="DQ958" s="20" t="inlineStr">
        <is>
          <t>None</t>
        </is>
      </c>
      <c r="DR958" s="17" t="n"/>
      <c r="DS958" s="16" t="n"/>
      <c r="DT958" s="20" t="inlineStr">
        <is>
          <t>IC Organic Acids</t>
        </is>
      </c>
      <c r="DU958" s="20" t="inlineStr">
        <is>
          <t>None</t>
        </is>
      </c>
      <c r="DV958" s="17" t="n"/>
      <c r="DW958" s="16" t="n"/>
      <c r="DX958" s="20" t="inlineStr">
        <is>
          <t>IC Organic Acids</t>
        </is>
      </c>
      <c r="DY958" s="20" t="inlineStr">
        <is>
          <t>None</t>
        </is>
      </c>
      <c r="DZ958" s="17" t="n"/>
      <c r="EA958" s="16" t="n"/>
      <c r="EB958" s="20" t="inlineStr">
        <is>
          <t>IC Organic Acids</t>
        </is>
      </c>
      <c r="EC958" s="20" t="inlineStr">
        <is>
          <t>None</t>
        </is>
      </c>
      <c r="ED958" s="17" t="n"/>
      <c r="EE958" s="16" t="n"/>
      <c r="EF958" s="20" t="inlineStr">
        <is>
          <t>IC Organic Acids</t>
        </is>
      </c>
      <c r="EG958" s="20" t="inlineStr">
        <is>
          <t>None</t>
        </is>
      </c>
      <c r="EH958" s="17" t="n"/>
      <c r="EI958" s="16" t="n"/>
      <c r="EJ958" s="20" t="inlineStr">
        <is>
          <t>IC Organic Acids</t>
        </is>
      </c>
      <c r="EK958" s="20" t="inlineStr">
        <is>
          <t>None</t>
        </is>
      </c>
      <c r="EL958" s="17" t="n"/>
      <c r="EM958" s="16" t="n"/>
      <c r="EN958" s="20" t="inlineStr">
        <is>
          <t>IC Organic Acids</t>
        </is>
      </c>
      <c r="EO958" s="20" t="inlineStr">
        <is>
          <t>None</t>
        </is>
      </c>
      <c r="EP958" s="17" t="n"/>
      <c r="EQ958" s="16" t="n"/>
      <c r="ER958" s="20" t="inlineStr">
        <is>
          <t>IC Organic Acids</t>
        </is>
      </c>
      <c r="ES958" s="20" t="inlineStr">
        <is>
          <t>None</t>
        </is>
      </c>
      <c r="ET958" s="17" t="n"/>
      <c r="EU958" s="16" t="n"/>
      <c r="EV958" s="20" t="inlineStr">
        <is>
          <t>LC-MS</t>
        </is>
      </c>
      <c r="EW958" s="20" t="inlineStr">
        <is>
          <t>None</t>
        </is>
      </c>
      <c r="EX958" s="17" t="n"/>
      <c r="EY958" s="21" t="n"/>
      <c r="EZ958">
        <f>CONCATENATE(A958,B958)</f>
        <v/>
      </c>
      <c r="FA958">
        <f>CONCATENATE(SamplesX!A958,SamplesX!B958)</f>
        <v/>
      </c>
      <c r="FC958">
        <f>MATCH(EZ958,FA1:FA1008,0)</f>
        <v/>
      </c>
    </row>
    <row r="959">
      <c r="A959" s="16" t="n"/>
      <c r="B959" s="17" t="n"/>
      <c r="C959" s="10">
        <f>IF(ISNUMBER(FC959),INDIRECT("SamplesX!C"&amp;FC959),IF(ISNUMBER(FD959),INDIRECT("SamplesY!C"&amp;FD959),""))</f>
        <v/>
      </c>
      <c r="D959" s="12">
        <f>IF(ISNUMBER(FC959),INDIRECT("SamplesX!D"&amp;FC959),IF(ISNUMBER(FD959),INDIRECT("SamplesY!D"&amp;FD959),""))</f>
        <v/>
      </c>
      <c r="E959" s="12">
        <f>IF(ISNUMBER(FC959),INDIRECT("SamplesX!E"&amp;FC959),IF(ISNUMBER(FD959),INDIRECT("SamplesY!E"&amp;FD959),""))</f>
        <v/>
      </c>
      <c r="F959" s="11">
        <f>IF(ISNUMBER(FC959),INDIRECT("SamplesX!F"&amp;FC959),IF(ISNUMBER(FD959),INDIRECT("SamplesY!F"&amp;FD959),""))</f>
        <v/>
      </c>
      <c r="G959" s="18">
        <f>IF(ISNUMBER(FC959),INDIRECT("SamplesX!G"&amp;FC959),IF(ISNUMBER(FD959),INDIRECT("SamplesY!G"&amp;FD959),""))</f>
        <v/>
      </c>
      <c r="H959" s="19">
        <f>IF(ISNUMBER(FC959),INDIRECT("SamplesX!H"&amp;FC959),IF(ISNUMBER(FD959),INDIRECT("SamplesY!H"&amp;FD959),""))</f>
        <v/>
      </c>
      <c r="I959" s="16" t="n"/>
      <c r="J959" s="16" t="n"/>
      <c r="K959" s="16" t="n"/>
      <c r="L959" s="20" t="n"/>
      <c r="M959" s="20" t="inlineStr">
        <is>
          <t>None</t>
        </is>
      </c>
      <c r="N959" s="17" t="n"/>
      <c r="O959" s="16" t="n"/>
      <c r="P959" s="20" t="inlineStr">
        <is>
          <t>Shimadzu TOC-L</t>
        </is>
      </c>
      <c r="Q959" s="20" t="inlineStr">
        <is>
          <t>None</t>
        </is>
      </c>
      <c r="R959" s="17" t="n"/>
      <c r="S959" s="16" t="n"/>
      <c r="T959" s="20" t="inlineStr">
        <is>
          <t>Shimadzu TOC-L</t>
        </is>
      </c>
      <c r="U959" s="20" t="inlineStr">
        <is>
          <t>None</t>
        </is>
      </c>
      <c r="V959" s="17" t="n"/>
      <c r="W959" s="16" t="n"/>
      <c r="X959" s="20" t="n"/>
      <c r="Y959" s="20" t="inlineStr">
        <is>
          <t>None</t>
        </is>
      </c>
      <c r="Z959" s="17" t="n"/>
      <c r="AA959" s="16" t="n"/>
      <c r="AB959" s="20" t="n"/>
      <c r="AC959" s="20" t="inlineStr">
        <is>
          <t>None</t>
        </is>
      </c>
      <c r="AD959" s="17" t="n"/>
      <c r="AE959" s="16" t="n"/>
      <c r="AF959" s="20" t="inlineStr">
        <is>
          <t>IC Anionen</t>
        </is>
      </c>
      <c r="AG959" s="20" t="inlineStr">
        <is>
          <t>None</t>
        </is>
      </c>
      <c r="AH959" s="17" t="n"/>
      <c r="AI959" s="16" t="n"/>
      <c r="AJ959" s="20" t="n"/>
      <c r="AK959" s="20" t="inlineStr">
        <is>
          <t>None</t>
        </is>
      </c>
      <c r="AL959" s="17" t="n"/>
      <c r="AM959" s="16" t="n"/>
      <c r="AN959" s="20" t="inlineStr">
        <is>
          <t>IC Anionen</t>
        </is>
      </c>
      <c r="AO959" s="20" t="inlineStr">
        <is>
          <t>None</t>
        </is>
      </c>
      <c r="AP959" s="17" t="n"/>
      <c r="AQ959" s="16" t="n"/>
      <c r="AR959" s="20" t="n"/>
      <c r="AS959" s="20" t="inlineStr">
        <is>
          <t>None</t>
        </is>
      </c>
      <c r="AT959" s="17" t="n"/>
      <c r="AU959" s="16" t="n"/>
      <c r="AV959" s="20" t="n"/>
      <c r="AW959" s="20" t="inlineStr">
        <is>
          <t>None</t>
        </is>
      </c>
      <c r="AX959" s="17" t="n"/>
      <c r="AY959" s="16" t="n"/>
      <c r="AZ959" s="20" t="inlineStr">
        <is>
          <t>IC Anionen</t>
        </is>
      </c>
      <c r="BA959" s="20" t="inlineStr">
        <is>
          <t>None</t>
        </is>
      </c>
      <c r="BB959" s="17" t="n"/>
      <c r="BC959" s="16" t="n"/>
      <c r="BD959" s="20" t="inlineStr">
        <is>
          <t>IC Kationen</t>
        </is>
      </c>
      <c r="BE959" s="20" t="inlineStr">
        <is>
          <t>None</t>
        </is>
      </c>
      <c r="BF959" s="17" t="n"/>
      <c r="BG959" s="16" t="n"/>
      <c r="BH959" s="20" t="inlineStr">
        <is>
          <t>IC Kationen</t>
        </is>
      </c>
      <c r="BI959" s="20" t="inlineStr">
        <is>
          <t>None</t>
        </is>
      </c>
      <c r="BJ959" s="17" t="n"/>
      <c r="BK959" s="16" t="n"/>
      <c r="BL959" s="20" t="inlineStr">
        <is>
          <t>IC Kationen</t>
        </is>
      </c>
      <c r="BM959" s="20" t="inlineStr">
        <is>
          <t>None</t>
        </is>
      </c>
      <c r="BN959" s="17" t="n"/>
      <c r="BO959" s="16" t="n"/>
      <c r="BP959" s="20" t="inlineStr">
        <is>
          <t>IC Kationen</t>
        </is>
      </c>
      <c r="BQ959" s="20" t="inlineStr">
        <is>
          <t>None</t>
        </is>
      </c>
      <c r="BR959" s="17" t="n"/>
      <c r="BS959" s="16" t="n"/>
      <c r="BT959" s="20" t="inlineStr">
        <is>
          <t>IC Kationen</t>
        </is>
      </c>
      <c r="BU959" s="20" t="inlineStr">
        <is>
          <t>None</t>
        </is>
      </c>
      <c r="BV959" s="17" t="n"/>
      <c r="BW959" s="16" t="n"/>
      <c r="BX959" s="20" t="n"/>
      <c r="BY959" s="20" t="inlineStr">
        <is>
          <t>None</t>
        </is>
      </c>
      <c r="BZ959" s="17" t="n"/>
      <c r="CA959" s="16" t="n"/>
      <c r="CB959" s="20" t="n"/>
      <c r="CC959" s="20" t="inlineStr">
        <is>
          <t>None</t>
        </is>
      </c>
      <c r="CD959" s="17" t="n"/>
      <c r="CE959" s="16" t="n"/>
      <c r="CF959" s="20" t="n"/>
      <c r="CG959" s="20" t="inlineStr">
        <is>
          <t>None</t>
        </is>
      </c>
      <c r="CH959" s="17" t="n"/>
      <c r="CI959" s="16" t="n"/>
      <c r="CJ959" s="20" t="n"/>
      <c r="CK959" s="20" t="inlineStr">
        <is>
          <t>None</t>
        </is>
      </c>
      <c r="CL959" s="17" t="n"/>
      <c r="CM959" s="16" t="n"/>
      <c r="CN959" s="20" t="inlineStr">
        <is>
          <t>SOP 45-34</t>
        </is>
      </c>
      <c r="CO959" s="20" t="inlineStr">
        <is>
          <t>None</t>
        </is>
      </c>
      <c r="CP959" s="17" t="n"/>
      <c r="CQ959" s="16" t="n"/>
      <c r="CR959" s="20" t="n"/>
      <c r="CS959" s="20" t="inlineStr">
        <is>
          <t>None</t>
        </is>
      </c>
      <c r="CT959" s="17" t="n"/>
      <c r="CU959" s="16" t="n"/>
      <c r="CV959" s="20" t="n"/>
      <c r="CW959" s="20" t="inlineStr">
        <is>
          <t>None</t>
        </is>
      </c>
      <c r="CX959" s="17" t="n"/>
      <c r="CY959" s="16" t="n"/>
      <c r="CZ959" s="20" t="inlineStr">
        <is>
          <t>WTW Multimeter 3430 with FDO 925</t>
        </is>
      </c>
      <c r="DA959" s="20" t="inlineStr">
        <is>
          <t>None</t>
        </is>
      </c>
      <c r="DB959" s="17" t="n"/>
      <c r="DC959" s="16" t="n"/>
      <c r="DD959" s="20" t="n"/>
      <c r="DE959" s="20" t="inlineStr">
        <is>
          <t>None</t>
        </is>
      </c>
      <c r="DF959" s="17" t="n"/>
      <c r="DG959" s="16" t="n"/>
      <c r="DH959" s="20" t="inlineStr">
        <is>
          <t>SOP 45-09</t>
        </is>
      </c>
      <c r="DI959" s="20" t="inlineStr">
        <is>
          <t>None</t>
        </is>
      </c>
      <c r="DJ959" s="17" t="n"/>
      <c r="DK959" s="16" t="n"/>
      <c r="DL959" s="20" t="inlineStr">
        <is>
          <t>SOP 45-09 (SOP muss noch angepasst werden für VSS)</t>
        </is>
      </c>
      <c r="DM959" s="20" t="inlineStr">
        <is>
          <t>None</t>
        </is>
      </c>
      <c r="DN959" s="17" t="n"/>
      <c r="DO959" s="16" t="n"/>
      <c r="DP959" s="20" t="inlineStr">
        <is>
          <t>IC Organic Acids</t>
        </is>
      </c>
      <c r="DQ959" s="20" t="inlineStr">
        <is>
          <t>None</t>
        </is>
      </c>
      <c r="DR959" s="17" t="n"/>
      <c r="DS959" s="16" t="n"/>
      <c r="DT959" s="20" t="inlineStr">
        <is>
          <t>IC Organic Acids</t>
        </is>
      </c>
      <c r="DU959" s="20" t="inlineStr">
        <is>
          <t>None</t>
        </is>
      </c>
      <c r="DV959" s="17" t="n"/>
      <c r="DW959" s="16" t="n"/>
      <c r="DX959" s="20" t="inlineStr">
        <is>
          <t>IC Organic Acids</t>
        </is>
      </c>
      <c r="DY959" s="20" t="inlineStr">
        <is>
          <t>None</t>
        </is>
      </c>
      <c r="DZ959" s="17" t="n"/>
      <c r="EA959" s="16" t="n"/>
      <c r="EB959" s="20" t="inlineStr">
        <is>
          <t>IC Organic Acids</t>
        </is>
      </c>
      <c r="EC959" s="20" t="inlineStr">
        <is>
          <t>None</t>
        </is>
      </c>
      <c r="ED959" s="17" t="n"/>
      <c r="EE959" s="16" t="n"/>
      <c r="EF959" s="20" t="inlineStr">
        <is>
          <t>IC Organic Acids</t>
        </is>
      </c>
      <c r="EG959" s="20" t="inlineStr">
        <is>
          <t>None</t>
        </is>
      </c>
      <c r="EH959" s="17" t="n"/>
      <c r="EI959" s="16" t="n"/>
      <c r="EJ959" s="20" t="inlineStr">
        <is>
          <t>IC Organic Acids</t>
        </is>
      </c>
      <c r="EK959" s="20" t="inlineStr">
        <is>
          <t>None</t>
        </is>
      </c>
      <c r="EL959" s="17" t="n"/>
      <c r="EM959" s="16" t="n"/>
      <c r="EN959" s="20" t="inlineStr">
        <is>
          <t>IC Organic Acids</t>
        </is>
      </c>
      <c r="EO959" s="20" t="inlineStr">
        <is>
          <t>None</t>
        </is>
      </c>
      <c r="EP959" s="17" t="n"/>
      <c r="EQ959" s="16" t="n"/>
      <c r="ER959" s="20" t="inlineStr">
        <is>
          <t>IC Organic Acids</t>
        </is>
      </c>
      <c r="ES959" s="20" t="inlineStr">
        <is>
          <t>None</t>
        </is>
      </c>
      <c r="ET959" s="17" t="n"/>
      <c r="EU959" s="16" t="n"/>
      <c r="EV959" s="20" t="inlineStr">
        <is>
          <t>LC-MS</t>
        </is>
      </c>
      <c r="EW959" s="20" t="inlineStr">
        <is>
          <t>None</t>
        </is>
      </c>
      <c r="EX959" s="17" t="n"/>
      <c r="EY959" s="21" t="n"/>
      <c r="EZ959">
        <f>CONCATENATE(A959,B959)</f>
        <v/>
      </c>
      <c r="FA959">
        <f>CONCATENATE(SamplesX!A959,SamplesX!B959)</f>
        <v/>
      </c>
      <c r="FC959">
        <f>MATCH(EZ959,FA1:FA1008,0)</f>
        <v/>
      </c>
    </row>
    <row r="960">
      <c r="A960" s="16" t="n"/>
      <c r="B960" s="17" t="n"/>
      <c r="C960" s="10">
        <f>IF(ISNUMBER(FC960),INDIRECT("SamplesX!C"&amp;FC960),IF(ISNUMBER(FD960),INDIRECT("SamplesY!C"&amp;FD960),""))</f>
        <v/>
      </c>
      <c r="D960" s="12">
        <f>IF(ISNUMBER(FC960),INDIRECT("SamplesX!D"&amp;FC960),IF(ISNUMBER(FD960),INDIRECT("SamplesY!D"&amp;FD960),""))</f>
        <v/>
      </c>
      <c r="E960" s="12">
        <f>IF(ISNUMBER(FC960),INDIRECT("SamplesX!E"&amp;FC960),IF(ISNUMBER(FD960),INDIRECT("SamplesY!E"&amp;FD960),""))</f>
        <v/>
      </c>
      <c r="F960" s="11">
        <f>IF(ISNUMBER(FC960),INDIRECT("SamplesX!F"&amp;FC960),IF(ISNUMBER(FD960),INDIRECT("SamplesY!F"&amp;FD960),""))</f>
        <v/>
      </c>
      <c r="G960" s="18">
        <f>IF(ISNUMBER(FC960),INDIRECT("SamplesX!G"&amp;FC960),IF(ISNUMBER(FD960),INDIRECT("SamplesY!G"&amp;FD960),""))</f>
        <v/>
      </c>
      <c r="H960" s="19">
        <f>IF(ISNUMBER(FC960),INDIRECT("SamplesX!H"&amp;FC960),IF(ISNUMBER(FD960),INDIRECT("SamplesY!H"&amp;FD960),""))</f>
        <v/>
      </c>
      <c r="I960" s="16" t="n"/>
      <c r="J960" s="16" t="n"/>
      <c r="K960" s="16" t="n"/>
      <c r="L960" s="20" t="n"/>
      <c r="M960" s="20" t="inlineStr">
        <is>
          <t>None</t>
        </is>
      </c>
      <c r="N960" s="17" t="n"/>
      <c r="O960" s="16" t="n"/>
      <c r="P960" s="20" t="inlineStr">
        <is>
          <t>Shimadzu TOC-L</t>
        </is>
      </c>
      <c r="Q960" s="20" t="inlineStr">
        <is>
          <t>None</t>
        </is>
      </c>
      <c r="R960" s="17" t="n"/>
      <c r="S960" s="16" t="n"/>
      <c r="T960" s="20" t="inlineStr">
        <is>
          <t>Shimadzu TOC-L</t>
        </is>
      </c>
      <c r="U960" s="20" t="inlineStr">
        <is>
          <t>None</t>
        </is>
      </c>
      <c r="V960" s="17" t="n"/>
      <c r="W960" s="16" t="n"/>
      <c r="X960" s="20" t="n"/>
      <c r="Y960" s="20" t="inlineStr">
        <is>
          <t>None</t>
        </is>
      </c>
      <c r="Z960" s="17" t="n"/>
      <c r="AA960" s="16" t="n"/>
      <c r="AB960" s="20" t="n"/>
      <c r="AC960" s="20" t="inlineStr">
        <is>
          <t>None</t>
        </is>
      </c>
      <c r="AD960" s="17" t="n"/>
      <c r="AE960" s="16" t="n"/>
      <c r="AF960" s="20" t="inlineStr">
        <is>
          <t>IC Anionen</t>
        </is>
      </c>
      <c r="AG960" s="20" t="inlineStr">
        <is>
          <t>None</t>
        </is>
      </c>
      <c r="AH960" s="17" t="n"/>
      <c r="AI960" s="16" t="n"/>
      <c r="AJ960" s="20" t="n"/>
      <c r="AK960" s="20" t="inlineStr">
        <is>
          <t>None</t>
        </is>
      </c>
      <c r="AL960" s="17" t="n"/>
      <c r="AM960" s="16" t="n"/>
      <c r="AN960" s="20" t="inlineStr">
        <is>
          <t>IC Anionen</t>
        </is>
      </c>
      <c r="AO960" s="20" t="inlineStr">
        <is>
          <t>None</t>
        </is>
      </c>
      <c r="AP960" s="17" t="n"/>
      <c r="AQ960" s="16" t="n"/>
      <c r="AR960" s="20" t="n"/>
      <c r="AS960" s="20" t="inlineStr">
        <is>
          <t>None</t>
        </is>
      </c>
      <c r="AT960" s="17" t="n"/>
      <c r="AU960" s="16" t="n"/>
      <c r="AV960" s="20" t="n"/>
      <c r="AW960" s="20" t="inlineStr">
        <is>
          <t>None</t>
        </is>
      </c>
      <c r="AX960" s="17" t="n"/>
      <c r="AY960" s="16" t="n"/>
      <c r="AZ960" s="20" t="inlineStr">
        <is>
          <t>IC Anionen</t>
        </is>
      </c>
      <c r="BA960" s="20" t="inlineStr">
        <is>
          <t>None</t>
        </is>
      </c>
      <c r="BB960" s="17" t="n"/>
      <c r="BC960" s="16" t="n"/>
      <c r="BD960" s="20" t="inlineStr">
        <is>
          <t>IC Kationen</t>
        </is>
      </c>
      <c r="BE960" s="20" t="inlineStr">
        <is>
          <t>None</t>
        </is>
      </c>
      <c r="BF960" s="17" t="n"/>
      <c r="BG960" s="16" t="n"/>
      <c r="BH960" s="20" t="inlineStr">
        <is>
          <t>IC Kationen</t>
        </is>
      </c>
      <c r="BI960" s="20" t="inlineStr">
        <is>
          <t>None</t>
        </is>
      </c>
      <c r="BJ960" s="17" t="n"/>
      <c r="BK960" s="16" t="n"/>
      <c r="BL960" s="20" t="inlineStr">
        <is>
          <t>IC Kationen</t>
        </is>
      </c>
      <c r="BM960" s="20" t="inlineStr">
        <is>
          <t>None</t>
        </is>
      </c>
      <c r="BN960" s="17" t="n"/>
      <c r="BO960" s="16" t="n"/>
      <c r="BP960" s="20" t="inlineStr">
        <is>
          <t>IC Kationen</t>
        </is>
      </c>
      <c r="BQ960" s="20" t="inlineStr">
        <is>
          <t>None</t>
        </is>
      </c>
      <c r="BR960" s="17" t="n"/>
      <c r="BS960" s="16" t="n"/>
      <c r="BT960" s="20" t="inlineStr">
        <is>
          <t>IC Kationen</t>
        </is>
      </c>
      <c r="BU960" s="20" t="inlineStr">
        <is>
          <t>None</t>
        </is>
      </c>
      <c r="BV960" s="17" t="n"/>
      <c r="BW960" s="16" t="n"/>
      <c r="BX960" s="20" t="n"/>
      <c r="BY960" s="20" t="inlineStr">
        <is>
          <t>None</t>
        </is>
      </c>
      <c r="BZ960" s="17" t="n"/>
      <c r="CA960" s="16" t="n"/>
      <c r="CB960" s="20" t="n"/>
      <c r="CC960" s="20" t="inlineStr">
        <is>
          <t>None</t>
        </is>
      </c>
      <c r="CD960" s="17" t="n"/>
      <c r="CE960" s="16" t="n"/>
      <c r="CF960" s="20" t="n"/>
      <c r="CG960" s="20" t="inlineStr">
        <is>
          <t>None</t>
        </is>
      </c>
      <c r="CH960" s="17" t="n"/>
      <c r="CI960" s="16" t="n"/>
      <c r="CJ960" s="20" t="n"/>
      <c r="CK960" s="20" t="inlineStr">
        <is>
          <t>None</t>
        </is>
      </c>
      <c r="CL960" s="17" t="n"/>
      <c r="CM960" s="16" t="n"/>
      <c r="CN960" s="20" t="inlineStr">
        <is>
          <t>SOP 45-34</t>
        </is>
      </c>
      <c r="CO960" s="20" t="inlineStr">
        <is>
          <t>None</t>
        </is>
      </c>
      <c r="CP960" s="17" t="n"/>
      <c r="CQ960" s="16" t="n"/>
      <c r="CR960" s="20" t="n"/>
      <c r="CS960" s="20" t="inlineStr">
        <is>
          <t>None</t>
        </is>
      </c>
      <c r="CT960" s="17" t="n"/>
      <c r="CU960" s="16" t="n"/>
      <c r="CV960" s="20" t="n"/>
      <c r="CW960" s="20" t="inlineStr">
        <is>
          <t>None</t>
        </is>
      </c>
      <c r="CX960" s="17" t="n"/>
      <c r="CY960" s="16" t="n"/>
      <c r="CZ960" s="20" t="inlineStr">
        <is>
          <t>WTW Multimeter 3430 with FDO 925</t>
        </is>
      </c>
      <c r="DA960" s="20" t="inlineStr">
        <is>
          <t>None</t>
        </is>
      </c>
      <c r="DB960" s="17" t="n"/>
      <c r="DC960" s="16" t="n"/>
      <c r="DD960" s="20" t="n"/>
      <c r="DE960" s="20" t="inlineStr">
        <is>
          <t>None</t>
        </is>
      </c>
      <c r="DF960" s="17" t="n"/>
      <c r="DG960" s="16" t="n"/>
      <c r="DH960" s="20" t="inlineStr">
        <is>
          <t>SOP 45-09</t>
        </is>
      </c>
      <c r="DI960" s="20" t="inlineStr">
        <is>
          <t>None</t>
        </is>
      </c>
      <c r="DJ960" s="17" t="n"/>
      <c r="DK960" s="16" t="n"/>
      <c r="DL960" s="20" t="inlineStr">
        <is>
          <t>SOP 45-09 (SOP muss noch angepasst werden für VSS)</t>
        </is>
      </c>
      <c r="DM960" s="20" t="inlineStr">
        <is>
          <t>None</t>
        </is>
      </c>
      <c r="DN960" s="17" t="n"/>
      <c r="DO960" s="16" t="n"/>
      <c r="DP960" s="20" t="inlineStr">
        <is>
          <t>IC Organic Acids</t>
        </is>
      </c>
      <c r="DQ960" s="20" t="inlineStr">
        <is>
          <t>None</t>
        </is>
      </c>
      <c r="DR960" s="17" t="n"/>
      <c r="DS960" s="16" t="n"/>
      <c r="DT960" s="20" t="inlineStr">
        <is>
          <t>IC Organic Acids</t>
        </is>
      </c>
      <c r="DU960" s="20" t="inlineStr">
        <is>
          <t>None</t>
        </is>
      </c>
      <c r="DV960" s="17" t="n"/>
      <c r="DW960" s="16" t="n"/>
      <c r="DX960" s="20" t="inlineStr">
        <is>
          <t>IC Organic Acids</t>
        </is>
      </c>
      <c r="DY960" s="20" t="inlineStr">
        <is>
          <t>None</t>
        </is>
      </c>
      <c r="DZ960" s="17" t="n"/>
      <c r="EA960" s="16" t="n"/>
      <c r="EB960" s="20" t="inlineStr">
        <is>
          <t>IC Organic Acids</t>
        </is>
      </c>
      <c r="EC960" s="20" t="inlineStr">
        <is>
          <t>None</t>
        </is>
      </c>
      <c r="ED960" s="17" t="n"/>
      <c r="EE960" s="16" t="n"/>
      <c r="EF960" s="20" t="inlineStr">
        <is>
          <t>IC Organic Acids</t>
        </is>
      </c>
      <c r="EG960" s="20" t="inlineStr">
        <is>
          <t>None</t>
        </is>
      </c>
      <c r="EH960" s="17" t="n"/>
      <c r="EI960" s="16" t="n"/>
      <c r="EJ960" s="20" t="inlineStr">
        <is>
          <t>IC Organic Acids</t>
        </is>
      </c>
      <c r="EK960" s="20" t="inlineStr">
        <is>
          <t>None</t>
        </is>
      </c>
      <c r="EL960" s="17" t="n"/>
      <c r="EM960" s="16" t="n"/>
      <c r="EN960" s="20" t="inlineStr">
        <is>
          <t>IC Organic Acids</t>
        </is>
      </c>
      <c r="EO960" s="20" t="inlineStr">
        <is>
          <t>None</t>
        </is>
      </c>
      <c r="EP960" s="17" t="n"/>
      <c r="EQ960" s="16" t="n"/>
      <c r="ER960" s="20" t="inlineStr">
        <is>
          <t>IC Organic Acids</t>
        </is>
      </c>
      <c r="ES960" s="20" t="inlineStr">
        <is>
          <t>None</t>
        </is>
      </c>
      <c r="ET960" s="17" t="n"/>
      <c r="EU960" s="16" t="n"/>
      <c r="EV960" s="20" t="inlineStr">
        <is>
          <t>LC-MS</t>
        </is>
      </c>
      <c r="EW960" s="20" t="inlineStr">
        <is>
          <t>None</t>
        </is>
      </c>
      <c r="EX960" s="17" t="n"/>
      <c r="EY960" s="21" t="n"/>
      <c r="EZ960">
        <f>CONCATENATE(A960,B960)</f>
        <v/>
      </c>
      <c r="FA960">
        <f>CONCATENATE(SamplesX!A960,SamplesX!B960)</f>
        <v/>
      </c>
      <c r="FC960">
        <f>MATCH(EZ960,FA1:FA1008,0)</f>
        <v/>
      </c>
    </row>
    <row r="961">
      <c r="A961" s="16" t="n"/>
      <c r="B961" s="17" t="n"/>
      <c r="C961" s="10">
        <f>IF(ISNUMBER(FC961),INDIRECT("SamplesX!C"&amp;FC961),IF(ISNUMBER(FD961),INDIRECT("SamplesY!C"&amp;FD961),""))</f>
        <v/>
      </c>
      <c r="D961" s="12">
        <f>IF(ISNUMBER(FC961),INDIRECT("SamplesX!D"&amp;FC961),IF(ISNUMBER(FD961),INDIRECT("SamplesY!D"&amp;FD961),""))</f>
        <v/>
      </c>
      <c r="E961" s="12">
        <f>IF(ISNUMBER(FC961),INDIRECT("SamplesX!E"&amp;FC961),IF(ISNUMBER(FD961),INDIRECT("SamplesY!E"&amp;FD961),""))</f>
        <v/>
      </c>
      <c r="F961" s="11">
        <f>IF(ISNUMBER(FC961),INDIRECT("SamplesX!F"&amp;FC961),IF(ISNUMBER(FD961),INDIRECT("SamplesY!F"&amp;FD961),""))</f>
        <v/>
      </c>
      <c r="G961" s="18">
        <f>IF(ISNUMBER(FC961),INDIRECT("SamplesX!G"&amp;FC961),IF(ISNUMBER(FD961),INDIRECT("SamplesY!G"&amp;FD961),""))</f>
        <v/>
      </c>
      <c r="H961" s="19">
        <f>IF(ISNUMBER(FC961),INDIRECT("SamplesX!H"&amp;FC961),IF(ISNUMBER(FD961),INDIRECT("SamplesY!H"&amp;FD961),""))</f>
        <v/>
      </c>
      <c r="I961" s="16" t="n"/>
      <c r="J961" s="16" t="n"/>
      <c r="K961" s="16" t="n"/>
      <c r="L961" s="20" t="n"/>
      <c r="M961" s="20" t="inlineStr">
        <is>
          <t>None</t>
        </is>
      </c>
      <c r="N961" s="17" t="n"/>
      <c r="O961" s="16" t="n"/>
      <c r="P961" s="20" t="inlineStr">
        <is>
          <t>Shimadzu TOC-L</t>
        </is>
      </c>
      <c r="Q961" s="20" t="inlineStr">
        <is>
          <t>None</t>
        </is>
      </c>
      <c r="R961" s="17" t="n"/>
      <c r="S961" s="16" t="n"/>
      <c r="T961" s="20" t="inlineStr">
        <is>
          <t>Shimadzu TOC-L</t>
        </is>
      </c>
      <c r="U961" s="20" t="inlineStr">
        <is>
          <t>None</t>
        </is>
      </c>
      <c r="V961" s="17" t="n"/>
      <c r="W961" s="16" t="n"/>
      <c r="X961" s="20" t="n"/>
      <c r="Y961" s="20" t="inlineStr">
        <is>
          <t>None</t>
        </is>
      </c>
      <c r="Z961" s="17" t="n"/>
      <c r="AA961" s="16" t="n"/>
      <c r="AB961" s="20" t="n"/>
      <c r="AC961" s="20" t="inlineStr">
        <is>
          <t>None</t>
        </is>
      </c>
      <c r="AD961" s="17" t="n"/>
      <c r="AE961" s="16" t="n"/>
      <c r="AF961" s="20" t="inlineStr">
        <is>
          <t>IC Anionen</t>
        </is>
      </c>
      <c r="AG961" s="20" t="inlineStr">
        <is>
          <t>None</t>
        </is>
      </c>
      <c r="AH961" s="17" t="n"/>
      <c r="AI961" s="16" t="n"/>
      <c r="AJ961" s="20" t="n"/>
      <c r="AK961" s="20" t="inlineStr">
        <is>
          <t>None</t>
        </is>
      </c>
      <c r="AL961" s="17" t="n"/>
      <c r="AM961" s="16" t="n"/>
      <c r="AN961" s="20" t="inlineStr">
        <is>
          <t>IC Anionen</t>
        </is>
      </c>
      <c r="AO961" s="20" t="inlineStr">
        <is>
          <t>None</t>
        </is>
      </c>
      <c r="AP961" s="17" t="n"/>
      <c r="AQ961" s="16" t="n"/>
      <c r="AR961" s="20" t="n"/>
      <c r="AS961" s="20" t="inlineStr">
        <is>
          <t>None</t>
        </is>
      </c>
      <c r="AT961" s="17" t="n"/>
      <c r="AU961" s="16" t="n"/>
      <c r="AV961" s="20" t="n"/>
      <c r="AW961" s="20" t="inlineStr">
        <is>
          <t>None</t>
        </is>
      </c>
      <c r="AX961" s="17" t="n"/>
      <c r="AY961" s="16" t="n"/>
      <c r="AZ961" s="20" t="inlineStr">
        <is>
          <t>IC Anionen</t>
        </is>
      </c>
      <c r="BA961" s="20" t="inlineStr">
        <is>
          <t>None</t>
        </is>
      </c>
      <c r="BB961" s="17" t="n"/>
      <c r="BC961" s="16" t="n"/>
      <c r="BD961" s="20" t="inlineStr">
        <is>
          <t>IC Kationen</t>
        </is>
      </c>
      <c r="BE961" s="20" t="inlineStr">
        <is>
          <t>None</t>
        </is>
      </c>
      <c r="BF961" s="17" t="n"/>
      <c r="BG961" s="16" t="n"/>
      <c r="BH961" s="20" t="inlineStr">
        <is>
          <t>IC Kationen</t>
        </is>
      </c>
      <c r="BI961" s="20" t="inlineStr">
        <is>
          <t>None</t>
        </is>
      </c>
      <c r="BJ961" s="17" t="n"/>
      <c r="BK961" s="16" t="n"/>
      <c r="BL961" s="20" t="inlineStr">
        <is>
          <t>IC Kationen</t>
        </is>
      </c>
      <c r="BM961" s="20" t="inlineStr">
        <is>
          <t>None</t>
        </is>
      </c>
      <c r="BN961" s="17" t="n"/>
      <c r="BO961" s="16" t="n"/>
      <c r="BP961" s="20" t="inlineStr">
        <is>
          <t>IC Kationen</t>
        </is>
      </c>
      <c r="BQ961" s="20" t="inlineStr">
        <is>
          <t>None</t>
        </is>
      </c>
      <c r="BR961" s="17" t="n"/>
      <c r="BS961" s="16" t="n"/>
      <c r="BT961" s="20" t="inlineStr">
        <is>
          <t>IC Kationen</t>
        </is>
      </c>
      <c r="BU961" s="20" t="inlineStr">
        <is>
          <t>None</t>
        </is>
      </c>
      <c r="BV961" s="17" t="n"/>
      <c r="BW961" s="16" t="n"/>
      <c r="BX961" s="20" t="n"/>
      <c r="BY961" s="20" t="inlineStr">
        <is>
          <t>None</t>
        </is>
      </c>
      <c r="BZ961" s="17" t="n"/>
      <c r="CA961" s="16" t="n"/>
      <c r="CB961" s="20" t="n"/>
      <c r="CC961" s="20" t="inlineStr">
        <is>
          <t>None</t>
        </is>
      </c>
      <c r="CD961" s="17" t="n"/>
      <c r="CE961" s="16" t="n"/>
      <c r="CF961" s="20" t="n"/>
      <c r="CG961" s="20" t="inlineStr">
        <is>
          <t>None</t>
        </is>
      </c>
      <c r="CH961" s="17" t="n"/>
      <c r="CI961" s="16" t="n"/>
      <c r="CJ961" s="20" t="n"/>
      <c r="CK961" s="20" t="inlineStr">
        <is>
          <t>None</t>
        </is>
      </c>
      <c r="CL961" s="17" t="n"/>
      <c r="CM961" s="16" t="n"/>
      <c r="CN961" s="20" t="inlineStr">
        <is>
          <t>SOP 45-34</t>
        </is>
      </c>
      <c r="CO961" s="20" t="inlineStr">
        <is>
          <t>None</t>
        </is>
      </c>
      <c r="CP961" s="17" t="n"/>
      <c r="CQ961" s="16" t="n"/>
      <c r="CR961" s="20" t="n"/>
      <c r="CS961" s="20" t="inlineStr">
        <is>
          <t>None</t>
        </is>
      </c>
      <c r="CT961" s="17" t="n"/>
      <c r="CU961" s="16" t="n"/>
      <c r="CV961" s="20" t="n"/>
      <c r="CW961" s="20" t="inlineStr">
        <is>
          <t>None</t>
        </is>
      </c>
      <c r="CX961" s="17" t="n"/>
      <c r="CY961" s="16" t="n"/>
      <c r="CZ961" s="20" t="inlineStr">
        <is>
          <t>WTW Multimeter 3430 with FDO 925</t>
        </is>
      </c>
      <c r="DA961" s="20" t="inlineStr">
        <is>
          <t>None</t>
        </is>
      </c>
      <c r="DB961" s="17" t="n"/>
      <c r="DC961" s="16" t="n"/>
      <c r="DD961" s="20" t="n"/>
      <c r="DE961" s="20" t="inlineStr">
        <is>
          <t>None</t>
        </is>
      </c>
      <c r="DF961" s="17" t="n"/>
      <c r="DG961" s="16" t="n"/>
      <c r="DH961" s="20" t="inlineStr">
        <is>
          <t>SOP 45-09</t>
        </is>
      </c>
      <c r="DI961" s="20" t="inlineStr">
        <is>
          <t>None</t>
        </is>
      </c>
      <c r="DJ961" s="17" t="n"/>
      <c r="DK961" s="16" t="n"/>
      <c r="DL961" s="20" t="inlineStr">
        <is>
          <t>SOP 45-09 (SOP muss noch angepasst werden für VSS)</t>
        </is>
      </c>
      <c r="DM961" s="20" t="inlineStr">
        <is>
          <t>None</t>
        </is>
      </c>
      <c r="DN961" s="17" t="n"/>
      <c r="DO961" s="16" t="n"/>
      <c r="DP961" s="20" t="inlineStr">
        <is>
          <t>IC Organic Acids</t>
        </is>
      </c>
      <c r="DQ961" s="20" t="inlineStr">
        <is>
          <t>None</t>
        </is>
      </c>
      <c r="DR961" s="17" t="n"/>
      <c r="DS961" s="16" t="n"/>
      <c r="DT961" s="20" t="inlineStr">
        <is>
          <t>IC Organic Acids</t>
        </is>
      </c>
      <c r="DU961" s="20" t="inlineStr">
        <is>
          <t>None</t>
        </is>
      </c>
      <c r="DV961" s="17" t="n"/>
      <c r="DW961" s="16" t="n"/>
      <c r="DX961" s="20" t="inlineStr">
        <is>
          <t>IC Organic Acids</t>
        </is>
      </c>
      <c r="DY961" s="20" t="inlineStr">
        <is>
          <t>None</t>
        </is>
      </c>
      <c r="DZ961" s="17" t="n"/>
      <c r="EA961" s="16" t="n"/>
      <c r="EB961" s="20" t="inlineStr">
        <is>
          <t>IC Organic Acids</t>
        </is>
      </c>
      <c r="EC961" s="20" t="inlineStr">
        <is>
          <t>None</t>
        </is>
      </c>
      <c r="ED961" s="17" t="n"/>
      <c r="EE961" s="16" t="n"/>
      <c r="EF961" s="20" t="inlineStr">
        <is>
          <t>IC Organic Acids</t>
        </is>
      </c>
      <c r="EG961" s="20" t="inlineStr">
        <is>
          <t>None</t>
        </is>
      </c>
      <c r="EH961" s="17" t="n"/>
      <c r="EI961" s="16" t="n"/>
      <c r="EJ961" s="20" t="inlineStr">
        <is>
          <t>IC Organic Acids</t>
        </is>
      </c>
      <c r="EK961" s="20" t="inlineStr">
        <is>
          <t>None</t>
        </is>
      </c>
      <c r="EL961" s="17" t="n"/>
      <c r="EM961" s="16" t="n"/>
      <c r="EN961" s="20" t="inlineStr">
        <is>
          <t>IC Organic Acids</t>
        </is>
      </c>
      <c r="EO961" s="20" t="inlineStr">
        <is>
          <t>None</t>
        </is>
      </c>
      <c r="EP961" s="17" t="n"/>
      <c r="EQ961" s="16" t="n"/>
      <c r="ER961" s="20" t="inlineStr">
        <is>
          <t>IC Organic Acids</t>
        </is>
      </c>
      <c r="ES961" s="20" t="inlineStr">
        <is>
          <t>None</t>
        </is>
      </c>
      <c r="ET961" s="17" t="n"/>
      <c r="EU961" s="16" t="n"/>
      <c r="EV961" s="20" t="inlineStr">
        <is>
          <t>LC-MS</t>
        </is>
      </c>
      <c r="EW961" s="20" t="inlineStr">
        <is>
          <t>None</t>
        </is>
      </c>
      <c r="EX961" s="17" t="n"/>
      <c r="EY961" s="21" t="n"/>
      <c r="EZ961">
        <f>CONCATENATE(A961,B961)</f>
        <v/>
      </c>
      <c r="FA961">
        <f>CONCATENATE(SamplesX!A961,SamplesX!B961)</f>
        <v/>
      </c>
      <c r="FC961">
        <f>MATCH(EZ961,FA1:FA1008,0)</f>
        <v/>
      </c>
    </row>
    <row r="962">
      <c r="A962" s="16" t="n"/>
      <c r="B962" s="17" t="n"/>
      <c r="C962" s="10">
        <f>IF(ISNUMBER(FC962),INDIRECT("SamplesX!C"&amp;FC962),IF(ISNUMBER(FD962),INDIRECT("SamplesY!C"&amp;FD962),""))</f>
        <v/>
      </c>
      <c r="D962" s="12">
        <f>IF(ISNUMBER(FC962),INDIRECT("SamplesX!D"&amp;FC962),IF(ISNUMBER(FD962),INDIRECT("SamplesY!D"&amp;FD962),""))</f>
        <v/>
      </c>
      <c r="E962" s="12">
        <f>IF(ISNUMBER(FC962),INDIRECT("SamplesX!E"&amp;FC962),IF(ISNUMBER(FD962),INDIRECT("SamplesY!E"&amp;FD962),""))</f>
        <v/>
      </c>
      <c r="F962" s="11">
        <f>IF(ISNUMBER(FC962),INDIRECT("SamplesX!F"&amp;FC962),IF(ISNUMBER(FD962),INDIRECT("SamplesY!F"&amp;FD962),""))</f>
        <v/>
      </c>
      <c r="G962" s="18">
        <f>IF(ISNUMBER(FC962),INDIRECT("SamplesX!G"&amp;FC962),IF(ISNUMBER(FD962),INDIRECT("SamplesY!G"&amp;FD962),""))</f>
        <v/>
      </c>
      <c r="H962" s="19">
        <f>IF(ISNUMBER(FC962),INDIRECT("SamplesX!H"&amp;FC962),IF(ISNUMBER(FD962),INDIRECT("SamplesY!H"&amp;FD962),""))</f>
        <v/>
      </c>
      <c r="I962" s="16" t="n"/>
      <c r="J962" s="16" t="n"/>
      <c r="K962" s="16" t="n"/>
      <c r="L962" s="20" t="n"/>
      <c r="M962" s="20" t="inlineStr">
        <is>
          <t>None</t>
        </is>
      </c>
      <c r="N962" s="17" t="n"/>
      <c r="O962" s="16" t="n"/>
      <c r="P962" s="20" t="inlineStr">
        <is>
          <t>Shimadzu TOC-L</t>
        </is>
      </c>
      <c r="Q962" s="20" t="inlineStr">
        <is>
          <t>None</t>
        </is>
      </c>
      <c r="R962" s="17" t="n"/>
      <c r="S962" s="16" t="n"/>
      <c r="T962" s="20" t="inlineStr">
        <is>
          <t>Shimadzu TOC-L</t>
        </is>
      </c>
      <c r="U962" s="20" t="inlineStr">
        <is>
          <t>None</t>
        </is>
      </c>
      <c r="V962" s="17" t="n"/>
      <c r="W962" s="16" t="n"/>
      <c r="X962" s="20" t="n"/>
      <c r="Y962" s="20" t="inlineStr">
        <is>
          <t>None</t>
        </is>
      </c>
      <c r="Z962" s="17" t="n"/>
      <c r="AA962" s="16" t="n"/>
      <c r="AB962" s="20" t="n"/>
      <c r="AC962" s="20" t="inlineStr">
        <is>
          <t>None</t>
        </is>
      </c>
      <c r="AD962" s="17" t="n"/>
      <c r="AE962" s="16" t="n"/>
      <c r="AF962" s="20" t="inlineStr">
        <is>
          <t>IC Anionen</t>
        </is>
      </c>
      <c r="AG962" s="20" t="inlineStr">
        <is>
          <t>None</t>
        </is>
      </c>
      <c r="AH962" s="17" t="n"/>
      <c r="AI962" s="16" t="n"/>
      <c r="AJ962" s="20" t="n"/>
      <c r="AK962" s="20" t="inlineStr">
        <is>
          <t>None</t>
        </is>
      </c>
      <c r="AL962" s="17" t="n"/>
      <c r="AM962" s="16" t="n"/>
      <c r="AN962" s="20" t="inlineStr">
        <is>
          <t>IC Anionen</t>
        </is>
      </c>
      <c r="AO962" s="20" t="inlineStr">
        <is>
          <t>None</t>
        </is>
      </c>
      <c r="AP962" s="17" t="n"/>
      <c r="AQ962" s="16" t="n"/>
      <c r="AR962" s="20" t="n"/>
      <c r="AS962" s="20" t="inlineStr">
        <is>
          <t>None</t>
        </is>
      </c>
      <c r="AT962" s="17" t="n"/>
      <c r="AU962" s="16" t="n"/>
      <c r="AV962" s="20" t="n"/>
      <c r="AW962" s="20" t="inlineStr">
        <is>
          <t>None</t>
        </is>
      </c>
      <c r="AX962" s="17" t="n"/>
      <c r="AY962" s="16" t="n"/>
      <c r="AZ962" s="20" t="inlineStr">
        <is>
          <t>IC Anionen</t>
        </is>
      </c>
      <c r="BA962" s="20" t="inlineStr">
        <is>
          <t>None</t>
        </is>
      </c>
      <c r="BB962" s="17" t="n"/>
      <c r="BC962" s="16" t="n"/>
      <c r="BD962" s="20" t="inlineStr">
        <is>
          <t>IC Kationen</t>
        </is>
      </c>
      <c r="BE962" s="20" t="inlineStr">
        <is>
          <t>None</t>
        </is>
      </c>
      <c r="BF962" s="17" t="n"/>
      <c r="BG962" s="16" t="n"/>
      <c r="BH962" s="20" t="inlineStr">
        <is>
          <t>IC Kationen</t>
        </is>
      </c>
      <c r="BI962" s="20" t="inlineStr">
        <is>
          <t>None</t>
        </is>
      </c>
      <c r="BJ962" s="17" t="n"/>
      <c r="BK962" s="16" t="n"/>
      <c r="BL962" s="20" t="inlineStr">
        <is>
          <t>IC Kationen</t>
        </is>
      </c>
      <c r="BM962" s="20" t="inlineStr">
        <is>
          <t>None</t>
        </is>
      </c>
      <c r="BN962" s="17" t="n"/>
      <c r="BO962" s="16" t="n"/>
      <c r="BP962" s="20" t="inlineStr">
        <is>
          <t>IC Kationen</t>
        </is>
      </c>
      <c r="BQ962" s="20" t="inlineStr">
        <is>
          <t>None</t>
        </is>
      </c>
      <c r="BR962" s="17" t="n"/>
      <c r="BS962" s="16" t="n"/>
      <c r="BT962" s="20" t="inlineStr">
        <is>
          <t>IC Kationen</t>
        </is>
      </c>
      <c r="BU962" s="20" t="inlineStr">
        <is>
          <t>None</t>
        </is>
      </c>
      <c r="BV962" s="17" t="n"/>
      <c r="BW962" s="16" t="n"/>
      <c r="BX962" s="20" t="n"/>
      <c r="BY962" s="20" t="inlineStr">
        <is>
          <t>None</t>
        </is>
      </c>
      <c r="BZ962" s="17" t="n"/>
      <c r="CA962" s="16" t="n"/>
      <c r="CB962" s="20" t="n"/>
      <c r="CC962" s="20" t="inlineStr">
        <is>
          <t>None</t>
        </is>
      </c>
      <c r="CD962" s="17" t="n"/>
      <c r="CE962" s="16" t="n"/>
      <c r="CF962" s="20" t="n"/>
      <c r="CG962" s="20" t="inlineStr">
        <is>
          <t>None</t>
        </is>
      </c>
      <c r="CH962" s="17" t="n"/>
      <c r="CI962" s="16" t="n"/>
      <c r="CJ962" s="20" t="n"/>
      <c r="CK962" s="20" t="inlineStr">
        <is>
          <t>None</t>
        </is>
      </c>
      <c r="CL962" s="17" t="n"/>
      <c r="CM962" s="16" t="n"/>
      <c r="CN962" s="20" t="inlineStr">
        <is>
          <t>SOP 45-34</t>
        </is>
      </c>
      <c r="CO962" s="20" t="inlineStr">
        <is>
          <t>None</t>
        </is>
      </c>
      <c r="CP962" s="17" t="n"/>
      <c r="CQ962" s="16" t="n"/>
      <c r="CR962" s="20" t="n"/>
      <c r="CS962" s="20" t="inlineStr">
        <is>
          <t>None</t>
        </is>
      </c>
      <c r="CT962" s="17" t="n"/>
      <c r="CU962" s="16" t="n"/>
      <c r="CV962" s="20" t="n"/>
      <c r="CW962" s="20" t="inlineStr">
        <is>
          <t>None</t>
        </is>
      </c>
      <c r="CX962" s="17" t="n"/>
      <c r="CY962" s="16" t="n"/>
      <c r="CZ962" s="20" t="inlineStr">
        <is>
          <t>WTW Multimeter 3430 with FDO 925</t>
        </is>
      </c>
      <c r="DA962" s="20" t="inlineStr">
        <is>
          <t>None</t>
        </is>
      </c>
      <c r="DB962" s="17" t="n"/>
      <c r="DC962" s="16" t="n"/>
      <c r="DD962" s="20" t="n"/>
      <c r="DE962" s="20" t="inlineStr">
        <is>
          <t>None</t>
        </is>
      </c>
      <c r="DF962" s="17" t="n"/>
      <c r="DG962" s="16" t="n"/>
      <c r="DH962" s="20" t="inlineStr">
        <is>
          <t>SOP 45-09</t>
        </is>
      </c>
      <c r="DI962" s="20" t="inlineStr">
        <is>
          <t>None</t>
        </is>
      </c>
      <c r="DJ962" s="17" t="n"/>
      <c r="DK962" s="16" t="n"/>
      <c r="DL962" s="20" t="inlineStr">
        <is>
          <t>SOP 45-09 (SOP muss noch angepasst werden für VSS)</t>
        </is>
      </c>
      <c r="DM962" s="20" t="inlineStr">
        <is>
          <t>None</t>
        </is>
      </c>
      <c r="DN962" s="17" t="n"/>
      <c r="DO962" s="16" t="n"/>
      <c r="DP962" s="20" t="inlineStr">
        <is>
          <t>IC Organic Acids</t>
        </is>
      </c>
      <c r="DQ962" s="20" t="inlineStr">
        <is>
          <t>None</t>
        </is>
      </c>
      <c r="DR962" s="17" t="n"/>
      <c r="DS962" s="16" t="n"/>
      <c r="DT962" s="20" t="inlineStr">
        <is>
          <t>IC Organic Acids</t>
        </is>
      </c>
      <c r="DU962" s="20" t="inlineStr">
        <is>
          <t>None</t>
        </is>
      </c>
      <c r="DV962" s="17" t="n"/>
      <c r="DW962" s="16" t="n"/>
      <c r="DX962" s="20" t="inlineStr">
        <is>
          <t>IC Organic Acids</t>
        </is>
      </c>
      <c r="DY962" s="20" t="inlineStr">
        <is>
          <t>None</t>
        </is>
      </c>
      <c r="DZ962" s="17" t="n"/>
      <c r="EA962" s="16" t="n"/>
      <c r="EB962" s="20" t="inlineStr">
        <is>
          <t>IC Organic Acids</t>
        </is>
      </c>
      <c r="EC962" s="20" t="inlineStr">
        <is>
          <t>None</t>
        </is>
      </c>
      <c r="ED962" s="17" t="n"/>
      <c r="EE962" s="16" t="n"/>
      <c r="EF962" s="20" t="inlineStr">
        <is>
          <t>IC Organic Acids</t>
        </is>
      </c>
      <c r="EG962" s="20" t="inlineStr">
        <is>
          <t>None</t>
        </is>
      </c>
      <c r="EH962" s="17" t="n"/>
      <c r="EI962" s="16" t="n"/>
      <c r="EJ962" s="20" t="inlineStr">
        <is>
          <t>IC Organic Acids</t>
        </is>
      </c>
      <c r="EK962" s="20" t="inlineStr">
        <is>
          <t>None</t>
        </is>
      </c>
      <c r="EL962" s="17" t="n"/>
      <c r="EM962" s="16" t="n"/>
      <c r="EN962" s="20" t="inlineStr">
        <is>
          <t>IC Organic Acids</t>
        </is>
      </c>
      <c r="EO962" s="20" t="inlineStr">
        <is>
          <t>None</t>
        </is>
      </c>
      <c r="EP962" s="17" t="n"/>
      <c r="EQ962" s="16" t="n"/>
      <c r="ER962" s="20" t="inlineStr">
        <is>
          <t>IC Organic Acids</t>
        </is>
      </c>
      <c r="ES962" s="20" t="inlineStr">
        <is>
          <t>None</t>
        </is>
      </c>
      <c r="ET962" s="17" t="n"/>
      <c r="EU962" s="16" t="n"/>
      <c r="EV962" s="20" t="inlineStr">
        <is>
          <t>LC-MS</t>
        </is>
      </c>
      <c r="EW962" s="20" t="inlineStr">
        <is>
          <t>None</t>
        </is>
      </c>
      <c r="EX962" s="17" t="n"/>
      <c r="EY962" s="21" t="n"/>
      <c r="EZ962">
        <f>CONCATENATE(A962,B962)</f>
        <v/>
      </c>
      <c r="FA962">
        <f>CONCATENATE(SamplesX!A962,SamplesX!B962)</f>
        <v/>
      </c>
      <c r="FC962">
        <f>MATCH(EZ962,FA1:FA1008,0)</f>
        <v/>
      </c>
    </row>
    <row r="963">
      <c r="A963" s="16" t="n"/>
      <c r="B963" s="17" t="n"/>
      <c r="C963" s="10">
        <f>IF(ISNUMBER(FC963),INDIRECT("SamplesX!C"&amp;FC963),IF(ISNUMBER(FD963),INDIRECT("SamplesY!C"&amp;FD963),""))</f>
        <v/>
      </c>
      <c r="D963" s="12">
        <f>IF(ISNUMBER(FC963),INDIRECT("SamplesX!D"&amp;FC963),IF(ISNUMBER(FD963),INDIRECT("SamplesY!D"&amp;FD963),""))</f>
        <v/>
      </c>
      <c r="E963" s="12">
        <f>IF(ISNUMBER(FC963),INDIRECT("SamplesX!E"&amp;FC963),IF(ISNUMBER(FD963),INDIRECT("SamplesY!E"&amp;FD963),""))</f>
        <v/>
      </c>
      <c r="F963" s="11">
        <f>IF(ISNUMBER(FC963),INDIRECT("SamplesX!F"&amp;FC963),IF(ISNUMBER(FD963),INDIRECT("SamplesY!F"&amp;FD963),""))</f>
        <v/>
      </c>
      <c r="G963" s="18">
        <f>IF(ISNUMBER(FC963),INDIRECT("SamplesX!G"&amp;FC963),IF(ISNUMBER(FD963),INDIRECT("SamplesY!G"&amp;FD963),""))</f>
        <v/>
      </c>
      <c r="H963" s="19">
        <f>IF(ISNUMBER(FC963),INDIRECT("SamplesX!H"&amp;FC963),IF(ISNUMBER(FD963),INDIRECT("SamplesY!H"&amp;FD963),""))</f>
        <v/>
      </c>
      <c r="I963" s="16" t="n"/>
      <c r="J963" s="16" t="n"/>
      <c r="K963" s="16" t="n"/>
      <c r="L963" s="20" t="n"/>
      <c r="M963" s="20" t="inlineStr">
        <is>
          <t>None</t>
        </is>
      </c>
      <c r="N963" s="17" t="n"/>
      <c r="O963" s="16" t="n"/>
      <c r="P963" s="20" t="inlineStr">
        <is>
          <t>Shimadzu TOC-L</t>
        </is>
      </c>
      <c r="Q963" s="20" t="inlineStr">
        <is>
          <t>None</t>
        </is>
      </c>
      <c r="R963" s="17" t="n"/>
      <c r="S963" s="16" t="n"/>
      <c r="T963" s="20" t="inlineStr">
        <is>
          <t>Shimadzu TOC-L</t>
        </is>
      </c>
      <c r="U963" s="20" t="inlineStr">
        <is>
          <t>None</t>
        </is>
      </c>
      <c r="V963" s="17" t="n"/>
      <c r="W963" s="16" t="n"/>
      <c r="X963" s="20" t="n"/>
      <c r="Y963" s="20" t="inlineStr">
        <is>
          <t>None</t>
        </is>
      </c>
      <c r="Z963" s="17" t="n"/>
      <c r="AA963" s="16" t="n"/>
      <c r="AB963" s="20" t="n"/>
      <c r="AC963" s="20" t="inlineStr">
        <is>
          <t>None</t>
        </is>
      </c>
      <c r="AD963" s="17" t="n"/>
      <c r="AE963" s="16" t="n"/>
      <c r="AF963" s="20" t="inlineStr">
        <is>
          <t>IC Anionen</t>
        </is>
      </c>
      <c r="AG963" s="20" t="inlineStr">
        <is>
          <t>None</t>
        </is>
      </c>
      <c r="AH963" s="17" t="n"/>
      <c r="AI963" s="16" t="n"/>
      <c r="AJ963" s="20" t="n"/>
      <c r="AK963" s="20" t="inlineStr">
        <is>
          <t>None</t>
        </is>
      </c>
      <c r="AL963" s="17" t="n"/>
      <c r="AM963" s="16" t="n"/>
      <c r="AN963" s="20" t="inlineStr">
        <is>
          <t>IC Anionen</t>
        </is>
      </c>
      <c r="AO963" s="20" t="inlineStr">
        <is>
          <t>None</t>
        </is>
      </c>
      <c r="AP963" s="17" t="n"/>
      <c r="AQ963" s="16" t="n"/>
      <c r="AR963" s="20" t="n"/>
      <c r="AS963" s="20" t="inlineStr">
        <is>
          <t>None</t>
        </is>
      </c>
      <c r="AT963" s="17" t="n"/>
      <c r="AU963" s="16" t="n"/>
      <c r="AV963" s="20" t="n"/>
      <c r="AW963" s="20" t="inlineStr">
        <is>
          <t>None</t>
        </is>
      </c>
      <c r="AX963" s="17" t="n"/>
      <c r="AY963" s="16" t="n"/>
      <c r="AZ963" s="20" t="inlineStr">
        <is>
          <t>IC Anionen</t>
        </is>
      </c>
      <c r="BA963" s="20" t="inlineStr">
        <is>
          <t>None</t>
        </is>
      </c>
      <c r="BB963" s="17" t="n"/>
      <c r="BC963" s="16" t="n"/>
      <c r="BD963" s="20" t="inlineStr">
        <is>
          <t>IC Kationen</t>
        </is>
      </c>
      <c r="BE963" s="20" t="inlineStr">
        <is>
          <t>None</t>
        </is>
      </c>
      <c r="BF963" s="17" t="n"/>
      <c r="BG963" s="16" t="n"/>
      <c r="BH963" s="20" t="inlineStr">
        <is>
          <t>IC Kationen</t>
        </is>
      </c>
      <c r="BI963" s="20" t="inlineStr">
        <is>
          <t>None</t>
        </is>
      </c>
      <c r="BJ963" s="17" t="n"/>
      <c r="BK963" s="16" t="n"/>
      <c r="BL963" s="20" t="inlineStr">
        <is>
          <t>IC Kationen</t>
        </is>
      </c>
      <c r="BM963" s="20" t="inlineStr">
        <is>
          <t>None</t>
        </is>
      </c>
      <c r="BN963" s="17" t="n"/>
      <c r="BO963" s="16" t="n"/>
      <c r="BP963" s="20" t="inlineStr">
        <is>
          <t>IC Kationen</t>
        </is>
      </c>
      <c r="BQ963" s="20" t="inlineStr">
        <is>
          <t>None</t>
        </is>
      </c>
      <c r="BR963" s="17" t="n"/>
      <c r="BS963" s="16" t="n"/>
      <c r="BT963" s="20" t="inlineStr">
        <is>
          <t>IC Kationen</t>
        </is>
      </c>
      <c r="BU963" s="20" t="inlineStr">
        <is>
          <t>None</t>
        </is>
      </c>
      <c r="BV963" s="17" t="n"/>
      <c r="BW963" s="16" t="n"/>
      <c r="BX963" s="20" t="n"/>
      <c r="BY963" s="20" t="inlineStr">
        <is>
          <t>None</t>
        </is>
      </c>
      <c r="BZ963" s="17" t="n"/>
      <c r="CA963" s="16" t="n"/>
      <c r="CB963" s="20" t="n"/>
      <c r="CC963" s="20" t="inlineStr">
        <is>
          <t>None</t>
        </is>
      </c>
      <c r="CD963" s="17" t="n"/>
      <c r="CE963" s="16" t="n"/>
      <c r="CF963" s="20" t="n"/>
      <c r="CG963" s="20" t="inlineStr">
        <is>
          <t>None</t>
        </is>
      </c>
      <c r="CH963" s="17" t="n"/>
      <c r="CI963" s="16" t="n"/>
      <c r="CJ963" s="20" t="n"/>
      <c r="CK963" s="20" t="inlineStr">
        <is>
          <t>None</t>
        </is>
      </c>
      <c r="CL963" s="17" t="n"/>
      <c r="CM963" s="16" t="n"/>
      <c r="CN963" s="20" t="inlineStr">
        <is>
          <t>SOP 45-34</t>
        </is>
      </c>
      <c r="CO963" s="20" t="inlineStr">
        <is>
          <t>None</t>
        </is>
      </c>
      <c r="CP963" s="17" t="n"/>
      <c r="CQ963" s="16" t="n"/>
      <c r="CR963" s="20" t="n"/>
      <c r="CS963" s="20" t="inlineStr">
        <is>
          <t>None</t>
        </is>
      </c>
      <c r="CT963" s="17" t="n"/>
      <c r="CU963" s="16" t="n"/>
      <c r="CV963" s="20" t="n"/>
      <c r="CW963" s="20" t="inlineStr">
        <is>
          <t>None</t>
        </is>
      </c>
      <c r="CX963" s="17" t="n"/>
      <c r="CY963" s="16" t="n"/>
      <c r="CZ963" s="20" t="inlineStr">
        <is>
          <t>WTW Multimeter 3430 with FDO 925</t>
        </is>
      </c>
      <c r="DA963" s="20" t="inlineStr">
        <is>
          <t>None</t>
        </is>
      </c>
      <c r="DB963" s="17" t="n"/>
      <c r="DC963" s="16" t="n"/>
      <c r="DD963" s="20" t="n"/>
      <c r="DE963" s="20" t="inlineStr">
        <is>
          <t>None</t>
        </is>
      </c>
      <c r="DF963" s="17" t="n"/>
      <c r="DG963" s="16" t="n"/>
      <c r="DH963" s="20" t="inlineStr">
        <is>
          <t>SOP 45-09</t>
        </is>
      </c>
      <c r="DI963" s="20" t="inlineStr">
        <is>
          <t>None</t>
        </is>
      </c>
      <c r="DJ963" s="17" t="n"/>
      <c r="DK963" s="16" t="n"/>
      <c r="DL963" s="20" t="inlineStr">
        <is>
          <t>SOP 45-09 (SOP muss noch angepasst werden für VSS)</t>
        </is>
      </c>
      <c r="DM963" s="20" t="inlineStr">
        <is>
          <t>None</t>
        </is>
      </c>
      <c r="DN963" s="17" t="n"/>
      <c r="DO963" s="16" t="n"/>
      <c r="DP963" s="20" t="inlineStr">
        <is>
          <t>IC Organic Acids</t>
        </is>
      </c>
      <c r="DQ963" s="20" t="inlineStr">
        <is>
          <t>None</t>
        </is>
      </c>
      <c r="DR963" s="17" t="n"/>
      <c r="DS963" s="16" t="n"/>
      <c r="DT963" s="20" t="inlineStr">
        <is>
          <t>IC Organic Acids</t>
        </is>
      </c>
      <c r="DU963" s="20" t="inlineStr">
        <is>
          <t>None</t>
        </is>
      </c>
      <c r="DV963" s="17" t="n"/>
      <c r="DW963" s="16" t="n"/>
      <c r="DX963" s="20" t="inlineStr">
        <is>
          <t>IC Organic Acids</t>
        </is>
      </c>
      <c r="DY963" s="20" t="inlineStr">
        <is>
          <t>None</t>
        </is>
      </c>
      <c r="DZ963" s="17" t="n"/>
      <c r="EA963" s="16" t="n"/>
      <c r="EB963" s="20" t="inlineStr">
        <is>
          <t>IC Organic Acids</t>
        </is>
      </c>
      <c r="EC963" s="20" t="inlineStr">
        <is>
          <t>None</t>
        </is>
      </c>
      <c r="ED963" s="17" t="n"/>
      <c r="EE963" s="16" t="n"/>
      <c r="EF963" s="20" t="inlineStr">
        <is>
          <t>IC Organic Acids</t>
        </is>
      </c>
      <c r="EG963" s="20" t="inlineStr">
        <is>
          <t>None</t>
        </is>
      </c>
      <c r="EH963" s="17" t="n"/>
      <c r="EI963" s="16" t="n"/>
      <c r="EJ963" s="20" t="inlineStr">
        <is>
          <t>IC Organic Acids</t>
        </is>
      </c>
      <c r="EK963" s="20" t="inlineStr">
        <is>
          <t>None</t>
        </is>
      </c>
      <c r="EL963" s="17" t="n"/>
      <c r="EM963" s="16" t="n"/>
      <c r="EN963" s="20" t="inlineStr">
        <is>
          <t>IC Organic Acids</t>
        </is>
      </c>
      <c r="EO963" s="20" t="inlineStr">
        <is>
          <t>None</t>
        </is>
      </c>
      <c r="EP963" s="17" t="n"/>
      <c r="EQ963" s="16" t="n"/>
      <c r="ER963" s="20" t="inlineStr">
        <is>
          <t>IC Organic Acids</t>
        </is>
      </c>
      <c r="ES963" s="20" t="inlineStr">
        <is>
          <t>None</t>
        </is>
      </c>
      <c r="ET963" s="17" t="n"/>
      <c r="EU963" s="16" t="n"/>
      <c r="EV963" s="20" t="inlineStr">
        <is>
          <t>LC-MS</t>
        </is>
      </c>
      <c r="EW963" s="20" t="inlineStr">
        <is>
          <t>None</t>
        </is>
      </c>
      <c r="EX963" s="17" t="n"/>
      <c r="EY963" s="21" t="n"/>
      <c r="EZ963">
        <f>CONCATENATE(A963,B963)</f>
        <v/>
      </c>
      <c r="FA963">
        <f>CONCATENATE(SamplesX!A963,SamplesX!B963)</f>
        <v/>
      </c>
      <c r="FC963">
        <f>MATCH(EZ963,FA1:FA1008,0)</f>
        <v/>
      </c>
    </row>
    <row r="964">
      <c r="A964" s="16" t="n"/>
      <c r="B964" s="17" t="n"/>
      <c r="C964" s="10">
        <f>IF(ISNUMBER(FC964),INDIRECT("SamplesX!C"&amp;FC964),IF(ISNUMBER(FD964),INDIRECT("SamplesY!C"&amp;FD964),""))</f>
        <v/>
      </c>
      <c r="D964" s="12">
        <f>IF(ISNUMBER(FC964),INDIRECT("SamplesX!D"&amp;FC964),IF(ISNUMBER(FD964),INDIRECT("SamplesY!D"&amp;FD964),""))</f>
        <v/>
      </c>
      <c r="E964" s="12">
        <f>IF(ISNUMBER(FC964),INDIRECT("SamplesX!E"&amp;FC964),IF(ISNUMBER(FD964),INDIRECT("SamplesY!E"&amp;FD964),""))</f>
        <v/>
      </c>
      <c r="F964" s="11">
        <f>IF(ISNUMBER(FC964),INDIRECT("SamplesX!F"&amp;FC964),IF(ISNUMBER(FD964),INDIRECT("SamplesY!F"&amp;FD964),""))</f>
        <v/>
      </c>
      <c r="G964" s="18">
        <f>IF(ISNUMBER(FC964),INDIRECT("SamplesX!G"&amp;FC964),IF(ISNUMBER(FD964),INDIRECT("SamplesY!G"&amp;FD964),""))</f>
        <v/>
      </c>
      <c r="H964" s="19">
        <f>IF(ISNUMBER(FC964),INDIRECT("SamplesX!H"&amp;FC964),IF(ISNUMBER(FD964),INDIRECT("SamplesY!H"&amp;FD964),""))</f>
        <v/>
      </c>
      <c r="I964" s="16" t="n"/>
      <c r="J964" s="16" t="n"/>
      <c r="K964" s="16" t="n"/>
      <c r="L964" s="20" t="n"/>
      <c r="M964" s="20" t="inlineStr">
        <is>
          <t>None</t>
        </is>
      </c>
      <c r="N964" s="17" t="n"/>
      <c r="O964" s="16" t="n"/>
      <c r="P964" s="20" t="inlineStr">
        <is>
          <t>Shimadzu TOC-L</t>
        </is>
      </c>
      <c r="Q964" s="20" t="inlineStr">
        <is>
          <t>None</t>
        </is>
      </c>
      <c r="R964" s="17" t="n"/>
      <c r="S964" s="16" t="n"/>
      <c r="T964" s="20" t="inlineStr">
        <is>
          <t>Shimadzu TOC-L</t>
        </is>
      </c>
      <c r="U964" s="20" t="inlineStr">
        <is>
          <t>None</t>
        </is>
      </c>
      <c r="V964" s="17" t="n"/>
      <c r="W964" s="16" t="n"/>
      <c r="X964" s="20" t="n"/>
      <c r="Y964" s="20" t="inlineStr">
        <is>
          <t>None</t>
        </is>
      </c>
      <c r="Z964" s="17" t="n"/>
      <c r="AA964" s="16" t="n"/>
      <c r="AB964" s="20" t="n"/>
      <c r="AC964" s="20" t="inlineStr">
        <is>
          <t>None</t>
        </is>
      </c>
      <c r="AD964" s="17" t="n"/>
      <c r="AE964" s="16" t="n"/>
      <c r="AF964" s="20" t="inlineStr">
        <is>
          <t>IC Anionen</t>
        </is>
      </c>
      <c r="AG964" s="20" t="inlineStr">
        <is>
          <t>None</t>
        </is>
      </c>
      <c r="AH964" s="17" t="n"/>
      <c r="AI964" s="16" t="n"/>
      <c r="AJ964" s="20" t="n"/>
      <c r="AK964" s="20" t="inlineStr">
        <is>
          <t>None</t>
        </is>
      </c>
      <c r="AL964" s="17" t="n"/>
      <c r="AM964" s="16" t="n"/>
      <c r="AN964" s="20" t="inlineStr">
        <is>
          <t>IC Anionen</t>
        </is>
      </c>
      <c r="AO964" s="20" t="inlineStr">
        <is>
          <t>None</t>
        </is>
      </c>
      <c r="AP964" s="17" t="n"/>
      <c r="AQ964" s="16" t="n"/>
      <c r="AR964" s="20" t="n"/>
      <c r="AS964" s="20" t="inlineStr">
        <is>
          <t>None</t>
        </is>
      </c>
      <c r="AT964" s="17" t="n"/>
      <c r="AU964" s="16" t="n"/>
      <c r="AV964" s="20" t="n"/>
      <c r="AW964" s="20" t="inlineStr">
        <is>
          <t>None</t>
        </is>
      </c>
      <c r="AX964" s="17" t="n"/>
      <c r="AY964" s="16" t="n"/>
      <c r="AZ964" s="20" t="inlineStr">
        <is>
          <t>IC Anionen</t>
        </is>
      </c>
      <c r="BA964" s="20" t="inlineStr">
        <is>
          <t>None</t>
        </is>
      </c>
      <c r="BB964" s="17" t="n"/>
      <c r="BC964" s="16" t="n"/>
      <c r="BD964" s="20" t="inlineStr">
        <is>
          <t>IC Kationen</t>
        </is>
      </c>
      <c r="BE964" s="20" t="inlineStr">
        <is>
          <t>None</t>
        </is>
      </c>
      <c r="BF964" s="17" t="n"/>
      <c r="BG964" s="16" t="n"/>
      <c r="BH964" s="20" t="inlineStr">
        <is>
          <t>IC Kationen</t>
        </is>
      </c>
      <c r="BI964" s="20" t="inlineStr">
        <is>
          <t>None</t>
        </is>
      </c>
      <c r="BJ964" s="17" t="n"/>
      <c r="BK964" s="16" t="n"/>
      <c r="BL964" s="20" t="inlineStr">
        <is>
          <t>IC Kationen</t>
        </is>
      </c>
      <c r="BM964" s="20" t="inlineStr">
        <is>
          <t>None</t>
        </is>
      </c>
      <c r="BN964" s="17" t="n"/>
      <c r="BO964" s="16" t="n"/>
      <c r="BP964" s="20" t="inlineStr">
        <is>
          <t>IC Kationen</t>
        </is>
      </c>
      <c r="BQ964" s="20" t="inlineStr">
        <is>
          <t>None</t>
        </is>
      </c>
      <c r="BR964" s="17" t="n"/>
      <c r="BS964" s="16" t="n"/>
      <c r="BT964" s="20" t="inlineStr">
        <is>
          <t>IC Kationen</t>
        </is>
      </c>
      <c r="BU964" s="20" t="inlineStr">
        <is>
          <t>None</t>
        </is>
      </c>
      <c r="BV964" s="17" t="n"/>
      <c r="BW964" s="16" t="n"/>
      <c r="BX964" s="20" t="n"/>
      <c r="BY964" s="20" t="inlineStr">
        <is>
          <t>None</t>
        </is>
      </c>
      <c r="BZ964" s="17" t="n"/>
      <c r="CA964" s="16" t="n"/>
      <c r="CB964" s="20" t="n"/>
      <c r="CC964" s="20" t="inlineStr">
        <is>
          <t>None</t>
        </is>
      </c>
      <c r="CD964" s="17" t="n"/>
      <c r="CE964" s="16" t="n"/>
      <c r="CF964" s="20" t="n"/>
      <c r="CG964" s="20" t="inlineStr">
        <is>
          <t>None</t>
        </is>
      </c>
      <c r="CH964" s="17" t="n"/>
      <c r="CI964" s="16" t="n"/>
      <c r="CJ964" s="20" t="n"/>
      <c r="CK964" s="20" t="inlineStr">
        <is>
          <t>None</t>
        </is>
      </c>
      <c r="CL964" s="17" t="n"/>
      <c r="CM964" s="16" t="n"/>
      <c r="CN964" s="20" t="inlineStr">
        <is>
          <t>SOP 45-34</t>
        </is>
      </c>
      <c r="CO964" s="20" t="inlineStr">
        <is>
          <t>None</t>
        </is>
      </c>
      <c r="CP964" s="17" t="n"/>
      <c r="CQ964" s="16" t="n"/>
      <c r="CR964" s="20" t="n"/>
      <c r="CS964" s="20" t="inlineStr">
        <is>
          <t>None</t>
        </is>
      </c>
      <c r="CT964" s="17" t="n"/>
      <c r="CU964" s="16" t="n"/>
      <c r="CV964" s="20" t="n"/>
      <c r="CW964" s="20" t="inlineStr">
        <is>
          <t>None</t>
        </is>
      </c>
      <c r="CX964" s="17" t="n"/>
      <c r="CY964" s="16" t="n"/>
      <c r="CZ964" s="20" t="inlineStr">
        <is>
          <t>WTW Multimeter 3430 with FDO 925</t>
        </is>
      </c>
      <c r="DA964" s="20" t="inlineStr">
        <is>
          <t>None</t>
        </is>
      </c>
      <c r="DB964" s="17" t="n"/>
      <c r="DC964" s="16" t="n"/>
      <c r="DD964" s="20" t="n"/>
      <c r="DE964" s="20" t="inlineStr">
        <is>
          <t>None</t>
        </is>
      </c>
      <c r="DF964" s="17" t="n"/>
      <c r="DG964" s="16" t="n"/>
      <c r="DH964" s="20" t="inlineStr">
        <is>
          <t>SOP 45-09</t>
        </is>
      </c>
      <c r="DI964" s="20" t="inlineStr">
        <is>
          <t>None</t>
        </is>
      </c>
      <c r="DJ964" s="17" t="n"/>
      <c r="DK964" s="16" t="n"/>
      <c r="DL964" s="20" t="inlineStr">
        <is>
          <t>SOP 45-09 (SOP muss noch angepasst werden für VSS)</t>
        </is>
      </c>
      <c r="DM964" s="20" t="inlineStr">
        <is>
          <t>None</t>
        </is>
      </c>
      <c r="DN964" s="17" t="n"/>
      <c r="DO964" s="16" t="n"/>
      <c r="DP964" s="20" t="inlineStr">
        <is>
          <t>IC Organic Acids</t>
        </is>
      </c>
      <c r="DQ964" s="20" t="inlineStr">
        <is>
          <t>None</t>
        </is>
      </c>
      <c r="DR964" s="17" t="n"/>
      <c r="DS964" s="16" t="n"/>
      <c r="DT964" s="20" t="inlineStr">
        <is>
          <t>IC Organic Acids</t>
        </is>
      </c>
      <c r="DU964" s="20" t="inlineStr">
        <is>
          <t>None</t>
        </is>
      </c>
      <c r="DV964" s="17" t="n"/>
      <c r="DW964" s="16" t="n"/>
      <c r="DX964" s="20" t="inlineStr">
        <is>
          <t>IC Organic Acids</t>
        </is>
      </c>
      <c r="DY964" s="20" t="inlineStr">
        <is>
          <t>None</t>
        </is>
      </c>
      <c r="DZ964" s="17" t="n"/>
      <c r="EA964" s="16" t="n"/>
      <c r="EB964" s="20" t="inlineStr">
        <is>
          <t>IC Organic Acids</t>
        </is>
      </c>
      <c r="EC964" s="20" t="inlineStr">
        <is>
          <t>None</t>
        </is>
      </c>
      <c r="ED964" s="17" t="n"/>
      <c r="EE964" s="16" t="n"/>
      <c r="EF964" s="20" t="inlineStr">
        <is>
          <t>IC Organic Acids</t>
        </is>
      </c>
      <c r="EG964" s="20" t="inlineStr">
        <is>
          <t>None</t>
        </is>
      </c>
      <c r="EH964" s="17" t="n"/>
      <c r="EI964" s="16" t="n"/>
      <c r="EJ964" s="20" t="inlineStr">
        <is>
          <t>IC Organic Acids</t>
        </is>
      </c>
      <c r="EK964" s="20" t="inlineStr">
        <is>
          <t>None</t>
        </is>
      </c>
      <c r="EL964" s="17" t="n"/>
      <c r="EM964" s="16" t="n"/>
      <c r="EN964" s="20" t="inlineStr">
        <is>
          <t>IC Organic Acids</t>
        </is>
      </c>
      <c r="EO964" s="20" t="inlineStr">
        <is>
          <t>None</t>
        </is>
      </c>
      <c r="EP964" s="17" t="n"/>
      <c r="EQ964" s="16" t="n"/>
      <c r="ER964" s="20" t="inlineStr">
        <is>
          <t>IC Organic Acids</t>
        </is>
      </c>
      <c r="ES964" s="20" t="inlineStr">
        <is>
          <t>None</t>
        </is>
      </c>
      <c r="ET964" s="17" t="n"/>
      <c r="EU964" s="16" t="n"/>
      <c r="EV964" s="20" t="inlineStr">
        <is>
          <t>LC-MS</t>
        </is>
      </c>
      <c r="EW964" s="20" t="inlineStr">
        <is>
          <t>None</t>
        </is>
      </c>
      <c r="EX964" s="17" t="n"/>
      <c r="EY964" s="21" t="n"/>
      <c r="EZ964">
        <f>CONCATENATE(A964,B964)</f>
        <v/>
      </c>
      <c r="FA964">
        <f>CONCATENATE(SamplesX!A964,SamplesX!B964)</f>
        <v/>
      </c>
      <c r="FC964">
        <f>MATCH(EZ964,FA1:FA1008,0)</f>
        <v/>
      </c>
    </row>
    <row r="965">
      <c r="A965" s="16" t="n"/>
      <c r="B965" s="17" t="n"/>
      <c r="C965" s="10">
        <f>IF(ISNUMBER(FC965),INDIRECT("SamplesX!C"&amp;FC965),IF(ISNUMBER(FD965),INDIRECT("SamplesY!C"&amp;FD965),""))</f>
        <v/>
      </c>
      <c r="D965" s="12">
        <f>IF(ISNUMBER(FC965),INDIRECT("SamplesX!D"&amp;FC965),IF(ISNUMBER(FD965),INDIRECT("SamplesY!D"&amp;FD965),""))</f>
        <v/>
      </c>
      <c r="E965" s="12">
        <f>IF(ISNUMBER(FC965),INDIRECT("SamplesX!E"&amp;FC965),IF(ISNUMBER(FD965),INDIRECT("SamplesY!E"&amp;FD965),""))</f>
        <v/>
      </c>
      <c r="F965" s="11">
        <f>IF(ISNUMBER(FC965),INDIRECT("SamplesX!F"&amp;FC965),IF(ISNUMBER(FD965),INDIRECT("SamplesY!F"&amp;FD965),""))</f>
        <v/>
      </c>
      <c r="G965" s="18">
        <f>IF(ISNUMBER(FC965),INDIRECT("SamplesX!G"&amp;FC965),IF(ISNUMBER(FD965),INDIRECT("SamplesY!G"&amp;FD965),""))</f>
        <v/>
      </c>
      <c r="H965" s="19">
        <f>IF(ISNUMBER(FC965),INDIRECT("SamplesX!H"&amp;FC965),IF(ISNUMBER(FD965),INDIRECT("SamplesY!H"&amp;FD965),""))</f>
        <v/>
      </c>
      <c r="I965" s="16" t="n"/>
      <c r="J965" s="16" t="n"/>
      <c r="K965" s="16" t="n"/>
      <c r="L965" s="20" t="n"/>
      <c r="M965" s="20" t="inlineStr">
        <is>
          <t>None</t>
        </is>
      </c>
      <c r="N965" s="17" t="n"/>
      <c r="O965" s="16" t="n"/>
      <c r="P965" s="20" t="inlineStr">
        <is>
          <t>Shimadzu TOC-L</t>
        </is>
      </c>
      <c r="Q965" s="20" t="inlineStr">
        <is>
          <t>None</t>
        </is>
      </c>
      <c r="R965" s="17" t="n"/>
      <c r="S965" s="16" t="n"/>
      <c r="T965" s="20" t="inlineStr">
        <is>
          <t>Shimadzu TOC-L</t>
        </is>
      </c>
      <c r="U965" s="20" t="inlineStr">
        <is>
          <t>None</t>
        </is>
      </c>
      <c r="V965" s="17" t="n"/>
      <c r="W965" s="16" t="n"/>
      <c r="X965" s="20" t="n"/>
      <c r="Y965" s="20" t="inlineStr">
        <is>
          <t>None</t>
        </is>
      </c>
      <c r="Z965" s="17" t="n"/>
      <c r="AA965" s="16" t="n"/>
      <c r="AB965" s="20" t="n"/>
      <c r="AC965" s="20" t="inlineStr">
        <is>
          <t>None</t>
        </is>
      </c>
      <c r="AD965" s="17" t="n"/>
      <c r="AE965" s="16" t="n"/>
      <c r="AF965" s="20" t="inlineStr">
        <is>
          <t>IC Anionen</t>
        </is>
      </c>
      <c r="AG965" s="20" t="inlineStr">
        <is>
          <t>None</t>
        </is>
      </c>
      <c r="AH965" s="17" t="n"/>
      <c r="AI965" s="16" t="n"/>
      <c r="AJ965" s="20" t="n"/>
      <c r="AK965" s="20" t="inlineStr">
        <is>
          <t>None</t>
        </is>
      </c>
      <c r="AL965" s="17" t="n"/>
      <c r="AM965" s="16" t="n"/>
      <c r="AN965" s="20" t="inlineStr">
        <is>
          <t>IC Anionen</t>
        </is>
      </c>
      <c r="AO965" s="20" t="inlineStr">
        <is>
          <t>None</t>
        </is>
      </c>
      <c r="AP965" s="17" t="n"/>
      <c r="AQ965" s="16" t="n"/>
      <c r="AR965" s="20" t="n"/>
      <c r="AS965" s="20" t="inlineStr">
        <is>
          <t>None</t>
        </is>
      </c>
      <c r="AT965" s="17" t="n"/>
      <c r="AU965" s="16" t="n"/>
      <c r="AV965" s="20" t="n"/>
      <c r="AW965" s="20" t="inlineStr">
        <is>
          <t>None</t>
        </is>
      </c>
      <c r="AX965" s="17" t="n"/>
      <c r="AY965" s="16" t="n"/>
      <c r="AZ965" s="20" t="inlineStr">
        <is>
          <t>IC Anionen</t>
        </is>
      </c>
      <c r="BA965" s="20" t="inlineStr">
        <is>
          <t>None</t>
        </is>
      </c>
      <c r="BB965" s="17" t="n"/>
      <c r="BC965" s="16" t="n"/>
      <c r="BD965" s="20" t="inlineStr">
        <is>
          <t>IC Kationen</t>
        </is>
      </c>
      <c r="BE965" s="20" t="inlineStr">
        <is>
          <t>None</t>
        </is>
      </c>
      <c r="BF965" s="17" t="n"/>
      <c r="BG965" s="16" t="n"/>
      <c r="BH965" s="20" t="inlineStr">
        <is>
          <t>IC Kationen</t>
        </is>
      </c>
      <c r="BI965" s="20" t="inlineStr">
        <is>
          <t>None</t>
        </is>
      </c>
      <c r="BJ965" s="17" t="n"/>
      <c r="BK965" s="16" t="n"/>
      <c r="BL965" s="20" t="inlineStr">
        <is>
          <t>IC Kationen</t>
        </is>
      </c>
      <c r="BM965" s="20" t="inlineStr">
        <is>
          <t>None</t>
        </is>
      </c>
      <c r="BN965" s="17" t="n"/>
      <c r="BO965" s="16" t="n"/>
      <c r="BP965" s="20" t="inlineStr">
        <is>
          <t>IC Kationen</t>
        </is>
      </c>
      <c r="BQ965" s="20" t="inlineStr">
        <is>
          <t>None</t>
        </is>
      </c>
      <c r="BR965" s="17" t="n"/>
      <c r="BS965" s="16" t="n"/>
      <c r="BT965" s="20" t="inlineStr">
        <is>
          <t>IC Kationen</t>
        </is>
      </c>
      <c r="BU965" s="20" t="inlineStr">
        <is>
          <t>None</t>
        </is>
      </c>
      <c r="BV965" s="17" t="n"/>
      <c r="BW965" s="16" t="n"/>
      <c r="BX965" s="20" t="n"/>
      <c r="BY965" s="20" t="inlineStr">
        <is>
          <t>None</t>
        </is>
      </c>
      <c r="BZ965" s="17" t="n"/>
      <c r="CA965" s="16" t="n"/>
      <c r="CB965" s="20" t="n"/>
      <c r="CC965" s="20" t="inlineStr">
        <is>
          <t>None</t>
        </is>
      </c>
      <c r="CD965" s="17" t="n"/>
      <c r="CE965" s="16" t="n"/>
      <c r="CF965" s="20" t="n"/>
      <c r="CG965" s="20" t="inlineStr">
        <is>
          <t>None</t>
        </is>
      </c>
      <c r="CH965" s="17" t="n"/>
      <c r="CI965" s="16" t="n"/>
      <c r="CJ965" s="20" t="n"/>
      <c r="CK965" s="20" t="inlineStr">
        <is>
          <t>None</t>
        </is>
      </c>
      <c r="CL965" s="17" t="n"/>
      <c r="CM965" s="16" t="n"/>
      <c r="CN965" s="20" t="inlineStr">
        <is>
          <t>SOP 45-34</t>
        </is>
      </c>
      <c r="CO965" s="20" t="inlineStr">
        <is>
          <t>None</t>
        </is>
      </c>
      <c r="CP965" s="17" t="n"/>
      <c r="CQ965" s="16" t="n"/>
      <c r="CR965" s="20" t="n"/>
      <c r="CS965" s="20" t="inlineStr">
        <is>
          <t>None</t>
        </is>
      </c>
      <c r="CT965" s="17" t="n"/>
      <c r="CU965" s="16" t="n"/>
      <c r="CV965" s="20" t="n"/>
      <c r="CW965" s="20" t="inlineStr">
        <is>
          <t>None</t>
        </is>
      </c>
      <c r="CX965" s="17" t="n"/>
      <c r="CY965" s="16" t="n"/>
      <c r="CZ965" s="20" t="inlineStr">
        <is>
          <t>WTW Multimeter 3430 with FDO 925</t>
        </is>
      </c>
      <c r="DA965" s="20" t="inlineStr">
        <is>
          <t>None</t>
        </is>
      </c>
      <c r="DB965" s="17" t="n"/>
      <c r="DC965" s="16" t="n"/>
      <c r="DD965" s="20" t="n"/>
      <c r="DE965" s="20" t="inlineStr">
        <is>
          <t>None</t>
        </is>
      </c>
      <c r="DF965" s="17" t="n"/>
      <c r="DG965" s="16" t="n"/>
      <c r="DH965" s="20" t="inlineStr">
        <is>
          <t>SOP 45-09</t>
        </is>
      </c>
      <c r="DI965" s="20" t="inlineStr">
        <is>
          <t>None</t>
        </is>
      </c>
      <c r="DJ965" s="17" t="n"/>
      <c r="DK965" s="16" t="n"/>
      <c r="DL965" s="20" t="inlineStr">
        <is>
          <t>SOP 45-09 (SOP muss noch angepasst werden für VSS)</t>
        </is>
      </c>
      <c r="DM965" s="20" t="inlineStr">
        <is>
          <t>None</t>
        </is>
      </c>
      <c r="DN965" s="17" t="n"/>
      <c r="DO965" s="16" t="n"/>
      <c r="DP965" s="20" t="inlineStr">
        <is>
          <t>IC Organic Acids</t>
        </is>
      </c>
      <c r="DQ965" s="20" t="inlineStr">
        <is>
          <t>None</t>
        </is>
      </c>
      <c r="DR965" s="17" t="n"/>
      <c r="DS965" s="16" t="n"/>
      <c r="DT965" s="20" t="inlineStr">
        <is>
          <t>IC Organic Acids</t>
        </is>
      </c>
      <c r="DU965" s="20" t="inlineStr">
        <is>
          <t>None</t>
        </is>
      </c>
      <c r="DV965" s="17" t="n"/>
      <c r="DW965" s="16" t="n"/>
      <c r="DX965" s="20" t="inlineStr">
        <is>
          <t>IC Organic Acids</t>
        </is>
      </c>
      <c r="DY965" s="20" t="inlineStr">
        <is>
          <t>None</t>
        </is>
      </c>
      <c r="DZ965" s="17" t="n"/>
      <c r="EA965" s="16" t="n"/>
      <c r="EB965" s="20" t="inlineStr">
        <is>
          <t>IC Organic Acids</t>
        </is>
      </c>
      <c r="EC965" s="20" t="inlineStr">
        <is>
          <t>None</t>
        </is>
      </c>
      <c r="ED965" s="17" t="n"/>
      <c r="EE965" s="16" t="n"/>
      <c r="EF965" s="20" t="inlineStr">
        <is>
          <t>IC Organic Acids</t>
        </is>
      </c>
      <c r="EG965" s="20" t="inlineStr">
        <is>
          <t>None</t>
        </is>
      </c>
      <c r="EH965" s="17" t="n"/>
      <c r="EI965" s="16" t="n"/>
      <c r="EJ965" s="20" t="inlineStr">
        <is>
          <t>IC Organic Acids</t>
        </is>
      </c>
      <c r="EK965" s="20" t="inlineStr">
        <is>
          <t>None</t>
        </is>
      </c>
      <c r="EL965" s="17" t="n"/>
      <c r="EM965" s="16" t="n"/>
      <c r="EN965" s="20" t="inlineStr">
        <is>
          <t>IC Organic Acids</t>
        </is>
      </c>
      <c r="EO965" s="20" t="inlineStr">
        <is>
          <t>None</t>
        </is>
      </c>
      <c r="EP965" s="17" t="n"/>
      <c r="EQ965" s="16" t="n"/>
      <c r="ER965" s="20" t="inlineStr">
        <is>
          <t>IC Organic Acids</t>
        </is>
      </c>
      <c r="ES965" s="20" t="inlineStr">
        <is>
          <t>None</t>
        </is>
      </c>
      <c r="ET965" s="17" t="n"/>
      <c r="EU965" s="16" t="n"/>
      <c r="EV965" s="20" t="inlineStr">
        <is>
          <t>LC-MS</t>
        </is>
      </c>
      <c r="EW965" s="20" t="inlineStr">
        <is>
          <t>None</t>
        </is>
      </c>
      <c r="EX965" s="17" t="n"/>
      <c r="EY965" s="21" t="n"/>
      <c r="EZ965">
        <f>CONCATENATE(A965,B965)</f>
        <v/>
      </c>
      <c r="FA965">
        <f>CONCATENATE(SamplesX!A965,SamplesX!B965)</f>
        <v/>
      </c>
      <c r="FC965">
        <f>MATCH(EZ965,FA1:FA1008,0)</f>
        <v/>
      </c>
    </row>
    <row r="966">
      <c r="A966" s="16" t="n"/>
      <c r="B966" s="17" t="n"/>
      <c r="C966" s="10">
        <f>IF(ISNUMBER(FC966),INDIRECT("SamplesX!C"&amp;FC966),IF(ISNUMBER(FD966),INDIRECT("SamplesY!C"&amp;FD966),""))</f>
        <v/>
      </c>
      <c r="D966" s="12">
        <f>IF(ISNUMBER(FC966),INDIRECT("SamplesX!D"&amp;FC966),IF(ISNUMBER(FD966),INDIRECT("SamplesY!D"&amp;FD966),""))</f>
        <v/>
      </c>
      <c r="E966" s="12">
        <f>IF(ISNUMBER(FC966),INDIRECT("SamplesX!E"&amp;FC966),IF(ISNUMBER(FD966),INDIRECT("SamplesY!E"&amp;FD966),""))</f>
        <v/>
      </c>
      <c r="F966" s="11">
        <f>IF(ISNUMBER(FC966),INDIRECT("SamplesX!F"&amp;FC966),IF(ISNUMBER(FD966),INDIRECT("SamplesY!F"&amp;FD966),""))</f>
        <v/>
      </c>
      <c r="G966" s="18">
        <f>IF(ISNUMBER(FC966),INDIRECT("SamplesX!G"&amp;FC966),IF(ISNUMBER(FD966),INDIRECT("SamplesY!G"&amp;FD966),""))</f>
        <v/>
      </c>
      <c r="H966" s="19">
        <f>IF(ISNUMBER(FC966),INDIRECT("SamplesX!H"&amp;FC966),IF(ISNUMBER(FD966),INDIRECT("SamplesY!H"&amp;FD966),""))</f>
        <v/>
      </c>
      <c r="I966" s="16" t="n"/>
      <c r="J966" s="16" t="n"/>
      <c r="K966" s="16" t="n"/>
      <c r="L966" s="20" t="n"/>
      <c r="M966" s="20" t="inlineStr">
        <is>
          <t>None</t>
        </is>
      </c>
      <c r="N966" s="17" t="n"/>
      <c r="O966" s="16" t="n"/>
      <c r="P966" s="20" t="inlineStr">
        <is>
          <t>Shimadzu TOC-L</t>
        </is>
      </c>
      <c r="Q966" s="20" t="inlineStr">
        <is>
          <t>None</t>
        </is>
      </c>
      <c r="R966" s="17" t="n"/>
      <c r="S966" s="16" t="n"/>
      <c r="T966" s="20" t="inlineStr">
        <is>
          <t>Shimadzu TOC-L</t>
        </is>
      </c>
      <c r="U966" s="20" t="inlineStr">
        <is>
          <t>None</t>
        </is>
      </c>
      <c r="V966" s="17" t="n"/>
      <c r="W966" s="16" t="n"/>
      <c r="X966" s="20" t="n"/>
      <c r="Y966" s="20" t="inlineStr">
        <is>
          <t>None</t>
        </is>
      </c>
      <c r="Z966" s="17" t="n"/>
      <c r="AA966" s="16" t="n"/>
      <c r="AB966" s="20" t="n"/>
      <c r="AC966" s="20" t="inlineStr">
        <is>
          <t>None</t>
        </is>
      </c>
      <c r="AD966" s="17" t="n"/>
      <c r="AE966" s="16" t="n"/>
      <c r="AF966" s="20" t="inlineStr">
        <is>
          <t>IC Anionen</t>
        </is>
      </c>
      <c r="AG966" s="20" t="inlineStr">
        <is>
          <t>None</t>
        </is>
      </c>
      <c r="AH966" s="17" t="n"/>
      <c r="AI966" s="16" t="n"/>
      <c r="AJ966" s="20" t="n"/>
      <c r="AK966" s="20" t="inlineStr">
        <is>
          <t>None</t>
        </is>
      </c>
      <c r="AL966" s="17" t="n"/>
      <c r="AM966" s="16" t="n"/>
      <c r="AN966" s="20" t="inlineStr">
        <is>
          <t>IC Anionen</t>
        </is>
      </c>
      <c r="AO966" s="20" t="inlineStr">
        <is>
          <t>None</t>
        </is>
      </c>
      <c r="AP966" s="17" t="n"/>
      <c r="AQ966" s="16" t="n"/>
      <c r="AR966" s="20" t="n"/>
      <c r="AS966" s="20" t="inlineStr">
        <is>
          <t>None</t>
        </is>
      </c>
      <c r="AT966" s="17" t="n"/>
      <c r="AU966" s="16" t="n"/>
      <c r="AV966" s="20" t="n"/>
      <c r="AW966" s="20" t="inlineStr">
        <is>
          <t>None</t>
        </is>
      </c>
      <c r="AX966" s="17" t="n"/>
      <c r="AY966" s="16" t="n"/>
      <c r="AZ966" s="20" t="inlineStr">
        <is>
          <t>IC Anionen</t>
        </is>
      </c>
      <c r="BA966" s="20" t="inlineStr">
        <is>
          <t>None</t>
        </is>
      </c>
      <c r="BB966" s="17" t="n"/>
      <c r="BC966" s="16" t="n"/>
      <c r="BD966" s="20" t="inlineStr">
        <is>
          <t>IC Kationen</t>
        </is>
      </c>
      <c r="BE966" s="20" t="inlineStr">
        <is>
          <t>None</t>
        </is>
      </c>
      <c r="BF966" s="17" t="n"/>
      <c r="BG966" s="16" t="n"/>
      <c r="BH966" s="20" t="inlineStr">
        <is>
          <t>IC Kationen</t>
        </is>
      </c>
      <c r="BI966" s="20" t="inlineStr">
        <is>
          <t>None</t>
        </is>
      </c>
      <c r="BJ966" s="17" t="n"/>
      <c r="BK966" s="16" t="n"/>
      <c r="BL966" s="20" t="inlineStr">
        <is>
          <t>IC Kationen</t>
        </is>
      </c>
      <c r="BM966" s="20" t="inlineStr">
        <is>
          <t>None</t>
        </is>
      </c>
      <c r="BN966" s="17" t="n"/>
      <c r="BO966" s="16" t="n"/>
      <c r="BP966" s="20" t="inlineStr">
        <is>
          <t>IC Kationen</t>
        </is>
      </c>
      <c r="BQ966" s="20" t="inlineStr">
        <is>
          <t>None</t>
        </is>
      </c>
      <c r="BR966" s="17" t="n"/>
      <c r="BS966" s="16" t="n"/>
      <c r="BT966" s="20" t="inlineStr">
        <is>
          <t>IC Kationen</t>
        </is>
      </c>
      <c r="BU966" s="20" t="inlineStr">
        <is>
          <t>None</t>
        </is>
      </c>
      <c r="BV966" s="17" t="n"/>
      <c r="BW966" s="16" t="n"/>
      <c r="BX966" s="20" t="n"/>
      <c r="BY966" s="20" t="inlineStr">
        <is>
          <t>None</t>
        </is>
      </c>
      <c r="BZ966" s="17" t="n"/>
      <c r="CA966" s="16" t="n"/>
      <c r="CB966" s="20" t="n"/>
      <c r="CC966" s="20" t="inlineStr">
        <is>
          <t>None</t>
        </is>
      </c>
      <c r="CD966" s="17" t="n"/>
      <c r="CE966" s="16" t="n"/>
      <c r="CF966" s="20" t="n"/>
      <c r="CG966" s="20" t="inlineStr">
        <is>
          <t>None</t>
        </is>
      </c>
      <c r="CH966" s="17" t="n"/>
      <c r="CI966" s="16" t="n"/>
      <c r="CJ966" s="20" t="n"/>
      <c r="CK966" s="20" t="inlineStr">
        <is>
          <t>None</t>
        </is>
      </c>
      <c r="CL966" s="17" t="n"/>
      <c r="CM966" s="16" t="n"/>
      <c r="CN966" s="20" t="inlineStr">
        <is>
          <t>SOP 45-34</t>
        </is>
      </c>
      <c r="CO966" s="20" t="inlineStr">
        <is>
          <t>None</t>
        </is>
      </c>
      <c r="CP966" s="17" t="n"/>
      <c r="CQ966" s="16" t="n"/>
      <c r="CR966" s="20" t="n"/>
      <c r="CS966" s="20" t="inlineStr">
        <is>
          <t>None</t>
        </is>
      </c>
      <c r="CT966" s="17" t="n"/>
      <c r="CU966" s="16" t="n"/>
      <c r="CV966" s="20" t="n"/>
      <c r="CW966" s="20" t="inlineStr">
        <is>
          <t>None</t>
        </is>
      </c>
      <c r="CX966" s="17" t="n"/>
      <c r="CY966" s="16" t="n"/>
      <c r="CZ966" s="20" t="inlineStr">
        <is>
          <t>WTW Multimeter 3430 with FDO 925</t>
        </is>
      </c>
      <c r="DA966" s="20" t="inlineStr">
        <is>
          <t>None</t>
        </is>
      </c>
      <c r="DB966" s="17" t="n"/>
      <c r="DC966" s="16" t="n"/>
      <c r="DD966" s="20" t="n"/>
      <c r="DE966" s="20" t="inlineStr">
        <is>
          <t>None</t>
        </is>
      </c>
      <c r="DF966" s="17" t="n"/>
      <c r="DG966" s="16" t="n"/>
      <c r="DH966" s="20" t="inlineStr">
        <is>
          <t>SOP 45-09</t>
        </is>
      </c>
      <c r="DI966" s="20" t="inlineStr">
        <is>
          <t>None</t>
        </is>
      </c>
      <c r="DJ966" s="17" t="n"/>
      <c r="DK966" s="16" t="n"/>
      <c r="DL966" s="20" t="inlineStr">
        <is>
          <t>SOP 45-09 (SOP muss noch angepasst werden für VSS)</t>
        </is>
      </c>
      <c r="DM966" s="20" t="inlineStr">
        <is>
          <t>None</t>
        </is>
      </c>
      <c r="DN966" s="17" t="n"/>
      <c r="DO966" s="16" t="n"/>
      <c r="DP966" s="20" t="inlineStr">
        <is>
          <t>IC Organic Acids</t>
        </is>
      </c>
      <c r="DQ966" s="20" t="inlineStr">
        <is>
          <t>None</t>
        </is>
      </c>
      <c r="DR966" s="17" t="n"/>
      <c r="DS966" s="16" t="n"/>
      <c r="DT966" s="20" t="inlineStr">
        <is>
          <t>IC Organic Acids</t>
        </is>
      </c>
      <c r="DU966" s="20" t="inlineStr">
        <is>
          <t>None</t>
        </is>
      </c>
      <c r="DV966" s="17" t="n"/>
      <c r="DW966" s="16" t="n"/>
      <c r="DX966" s="20" t="inlineStr">
        <is>
          <t>IC Organic Acids</t>
        </is>
      </c>
      <c r="DY966" s="20" t="inlineStr">
        <is>
          <t>None</t>
        </is>
      </c>
      <c r="DZ966" s="17" t="n"/>
      <c r="EA966" s="16" t="n"/>
      <c r="EB966" s="20" t="inlineStr">
        <is>
          <t>IC Organic Acids</t>
        </is>
      </c>
      <c r="EC966" s="20" t="inlineStr">
        <is>
          <t>None</t>
        </is>
      </c>
      <c r="ED966" s="17" t="n"/>
      <c r="EE966" s="16" t="n"/>
      <c r="EF966" s="20" t="inlineStr">
        <is>
          <t>IC Organic Acids</t>
        </is>
      </c>
      <c r="EG966" s="20" t="inlineStr">
        <is>
          <t>None</t>
        </is>
      </c>
      <c r="EH966" s="17" t="n"/>
      <c r="EI966" s="16" t="n"/>
      <c r="EJ966" s="20" t="inlineStr">
        <is>
          <t>IC Organic Acids</t>
        </is>
      </c>
      <c r="EK966" s="20" t="inlineStr">
        <is>
          <t>None</t>
        </is>
      </c>
      <c r="EL966" s="17" t="n"/>
      <c r="EM966" s="16" t="n"/>
      <c r="EN966" s="20" t="inlineStr">
        <is>
          <t>IC Organic Acids</t>
        </is>
      </c>
      <c r="EO966" s="20" t="inlineStr">
        <is>
          <t>None</t>
        </is>
      </c>
      <c r="EP966" s="17" t="n"/>
      <c r="EQ966" s="16" t="n"/>
      <c r="ER966" s="20" t="inlineStr">
        <is>
          <t>IC Organic Acids</t>
        </is>
      </c>
      <c r="ES966" s="20" t="inlineStr">
        <is>
          <t>None</t>
        </is>
      </c>
      <c r="ET966" s="17" t="n"/>
      <c r="EU966" s="16" t="n"/>
      <c r="EV966" s="20" t="inlineStr">
        <is>
          <t>LC-MS</t>
        </is>
      </c>
      <c r="EW966" s="20" t="inlineStr">
        <is>
          <t>None</t>
        </is>
      </c>
      <c r="EX966" s="17" t="n"/>
      <c r="EY966" s="21" t="n"/>
      <c r="EZ966">
        <f>CONCATENATE(A966,B966)</f>
        <v/>
      </c>
      <c r="FA966">
        <f>CONCATENATE(SamplesX!A966,SamplesX!B966)</f>
        <v/>
      </c>
      <c r="FC966">
        <f>MATCH(EZ966,FA1:FA1008,0)</f>
        <v/>
      </c>
    </row>
    <row r="967">
      <c r="A967" s="16" t="n"/>
      <c r="B967" s="17" t="n"/>
      <c r="C967" s="10">
        <f>IF(ISNUMBER(FC967),INDIRECT("SamplesX!C"&amp;FC967),IF(ISNUMBER(FD967),INDIRECT("SamplesY!C"&amp;FD967),""))</f>
        <v/>
      </c>
      <c r="D967" s="12">
        <f>IF(ISNUMBER(FC967),INDIRECT("SamplesX!D"&amp;FC967),IF(ISNUMBER(FD967),INDIRECT("SamplesY!D"&amp;FD967),""))</f>
        <v/>
      </c>
      <c r="E967" s="12">
        <f>IF(ISNUMBER(FC967),INDIRECT("SamplesX!E"&amp;FC967),IF(ISNUMBER(FD967),INDIRECT("SamplesY!E"&amp;FD967),""))</f>
        <v/>
      </c>
      <c r="F967" s="11">
        <f>IF(ISNUMBER(FC967),INDIRECT("SamplesX!F"&amp;FC967),IF(ISNUMBER(FD967),INDIRECT("SamplesY!F"&amp;FD967),""))</f>
        <v/>
      </c>
      <c r="G967" s="18">
        <f>IF(ISNUMBER(FC967),INDIRECT("SamplesX!G"&amp;FC967),IF(ISNUMBER(FD967),INDIRECT("SamplesY!G"&amp;FD967),""))</f>
        <v/>
      </c>
      <c r="H967" s="19">
        <f>IF(ISNUMBER(FC967),INDIRECT("SamplesX!H"&amp;FC967),IF(ISNUMBER(FD967),INDIRECT("SamplesY!H"&amp;FD967),""))</f>
        <v/>
      </c>
      <c r="I967" s="16" t="n"/>
      <c r="J967" s="16" t="n"/>
      <c r="K967" s="16" t="n"/>
      <c r="L967" s="20" t="n"/>
      <c r="M967" s="20" t="inlineStr">
        <is>
          <t>None</t>
        </is>
      </c>
      <c r="N967" s="17" t="n"/>
      <c r="O967" s="16" t="n"/>
      <c r="P967" s="20" t="inlineStr">
        <is>
          <t>Shimadzu TOC-L</t>
        </is>
      </c>
      <c r="Q967" s="20" t="inlineStr">
        <is>
          <t>None</t>
        </is>
      </c>
      <c r="R967" s="17" t="n"/>
      <c r="S967" s="16" t="n"/>
      <c r="T967" s="20" t="inlineStr">
        <is>
          <t>Shimadzu TOC-L</t>
        </is>
      </c>
      <c r="U967" s="20" t="inlineStr">
        <is>
          <t>None</t>
        </is>
      </c>
      <c r="V967" s="17" t="n"/>
      <c r="W967" s="16" t="n"/>
      <c r="X967" s="20" t="n"/>
      <c r="Y967" s="20" t="inlineStr">
        <is>
          <t>None</t>
        </is>
      </c>
      <c r="Z967" s="17" t="n"/>
      <c r="AA967" s="16" t="n"/>
      <c r="AB967" s="20" t="n"/>
      <c r="AC967" s="20" t="inlineStr">
        <is>
          <t>None</t>
        </is>
      </c>
      <c r="AD967" s="17" t="n"/>
      <c r="AE967" s="16" t="n"/>
      <c r="AF967" s="20" t="inlineStr">
        <is>
          <t>IC Anionen</t>
        </is>
      </c>
      <c r="AG967" s="20" t="inlineStr">
        <is>
          <t>None</t>
        </is>
      </c>
      <c r="AH967" s="17" t="n"/>
      <c r="AI967" s="16" t="n"/>
      <c r="AJ967" s="20" t="n"/>
      <c r="AK967" s="20" t="inlineStr">
        <is>
          <t>None</t>
        </is>
      </c>
      <c r="AL967" s="17" t="n"/>
      <c r="AM967" s="16" t="n"/>
      <c r="AN967" s="20" t="inlineStr">
        <is>
          <t>IC Anionen</t>
        </is>
      </c>
      <c r="AO967" s="20" t="inlineStr">
        <is>
          <t>None</t>
        </is>
      </c>
      <c r="AP967" s="17" t="n"/>
      <c r="AQ967" s="16" t="n"/>
      <c r="AR967" s="20" t="n"/>
      <c r="AS967" s="20" t="inlineStr">
        <is>
          <t>None</t>
        </is>
      </c>
      <c r="AT967" s="17" t="n"/>
      <c r="AU967" s="16" t="n"/>
      <c r="AV967" s="20" t="n"/>
      <c r="AW967" s="20" t="inlineStr">
        <is>
          <t>None</t>
        </is>
      </c>
      <c r="AX967" s="17" t="n"/>
      <c r="AY967" s="16" t="n"/>
      <c r="AZ967" s="20" t="inlineStr">
        <is>
          <t>IC Anionen</t>
        </is>
      </c>
      <c r="BA967" s="20" t="inlineStr">
        <is>
          <t>None</t>
        </is>
      </c>
      <c r="BB967" s="17" t="n"/>
      <c r="BC967" s="16" t="n"/>
      <c r="BD967" s="20" t="inlineStr">
        <is>
          <t>IC Kationen</t>
        </is>
      </c>
      <c r="BE967" s="20" t="inlineStr">
        <is>
          <t>None</t>
        </is>
      </c>
      <c r="BF967" s="17" t="n"/>
      <c r="BG967" s="16" t="n"/>
      <c r="BH967" s="20" t="inlineStr">
        <is>
          <t>IC Kationen</t>
        </is>
      </c>
      <c r="BI967" s="20" t="inlineStr">
        <is>
          <t>None</t>
        </is>
      </c>
      <c r="BJ967" s="17" t="n"/>
      <c r="BK967" s="16" t="n"/>
      <c r="BL967" s="20" t="inlineStr">
        <is>
          <t>IC Kationen</t>
        </is>
      </c>
      <c r="BM967" s="20" t="inlineStr">
        <is>
          <t>None</t>
        </is>
      </c>
      <c r="BN967" s="17" t="n"/>
      <c r="BO967" s="16" t="n"/>
      <c r="BP967" s="20" t="inlineStr">
        <is>
          <t>IC Kationen</t>
        </is>
      </c>
      <c r="BQ967" s="20" t="inlineStr">
        <is>
          <t>None</t>
        </is>
      </c>
      <c r="BR967" s="17" t="n"/>
      <c r="BS967" s="16" t="n"/>
      <c r="BT967" s="20" t="inlineStr">
        <is>
          <t>IC Kationen</t>
        </is>
      </c>
      <c r="BU967" s="20" t="inlineStr">
        <is>
          <t>None</t>
        </is>
      </c>
      <c r="BV967" s="17" t="n"/>
      <c r="BW967" s="16" t="n"/>
      <c r="BX967" s="20" t="n"/>
      <c r="BY967" s="20" t="inlineStr">
        <is>
          <t>None</t>
        </is>
      </c>
      <c r="BZ967" s="17" t="n"/>
      <c r="CA967" s="16" t="n"/>
      <c r="CB967" s="20" t="n"/>
      <c r="CC967" s="20" t="inlineStr">
        <is>
          <t>None</t>
        </is>
      </c>
      <c r="CD967" s="17" t="n"/>
      <c r="CE967" s="16" t="n"/>
      <c r="CF967" s="20" t="n"/>
      <c r="CG967" s="20" t="inlineStr">
        <is>
          <t>None</t>
        </is>
      </c>
      <c r="CH967" s="17" t="n"/>
      <c r="CI967" s="16" t="n"/>
      <c r="CJ967" s="20" t="n"/>
      <c r="CK967" s="20" t="inlineStr">
        <is>
          <t>None</t>
        </is>
      </c>
      <c r="CL967" s="17" t="n"/>
      <c r="CM967" s="16" t="n"/>
      <c r="CN967" s="20" t="inlineStr">
        <is>
          <t>SOP 45-34</t>
        </is>
      </c>
      <c r="CO967" s="20" t="inlineStr">
        <is>
          <t>None</t>
        </is>
      </c>
      <c r="CP967" s="17" t="n"/>
      <c r="CQ967" s="16" t="n"/>
      <c r="CR967" s="20" t="n"/>
      <c r="CS967" s="20" t="inlineStr">
        <is>
          <t>None</t>
        </is>
      </c>
      <c r="CT967" s="17" t="n"/>
      <c r="CU967" s="16" t="n"/>
      <c r="CV967" s="20" t="n"/>
      <c r="CW967" s="20" t="inlineStr">
        <is>
          <t>None</t>
        </is>
      </c>
      <c r="CX967" s="17" t="n"/>
      <c r="CY967" s="16" t="n"/>
      <c r="CZ967" s="20" t="inlineStr">
        <is>
          <t>WTW Multimeter 3430 with FDO 925</t>
        </is>
      </c>
      <c r="DA967" s="20" t="inlineStr">
        <is>
          <t>None</t>
        </is>
      </c>
      <c r="DB967" s="17" t="n"/>
      <c r="DC967" s="16" t="n"/>
      <c r="DD967" s="20" t="n"/>
      <c r="DE967" s="20" t="inlineStr">
        <is>
          <t>None</t>
        </is>
      </c>
      <c r="DF967" s="17" t="n"/>
      <c r="DG967" s="16" t="n"/>
      <c r="DH967" s="20" t="inlineStr">
        <is>
          <t>SOP 45-09</t>
        </is>
      </c>
      <c r="DI967" s="20" t="inlineStr">
        <is>
          <t>None</t>
        </is>
      </c>
      <c r="DJ967" s="17" t="n"/>
      <c r="DK967" s="16" t="n"/>
      <c r="DL967" s="20" t="inlineStr">
        <is>
          <t>SOP 45-09 (SOP muss noch angepasst werden für VSS)</t>
        </is>
      </c>
      <c r="DM967" s="20" t="inlineStr">
        <is>
          <t>None</t>
        </is>
      </c>
      <c r="DN967" s="17" t="n"/>
      <c r="DO967" s="16" t="n"/>
      <c r="DP967" s="20" t="inlineStr">
        <is>
          <t>IC Organic Acids</t>
        </is>
      </c>
      <c r="DQ967" s="20" t="inlineStr">
        <is>
          <t>None</t>
        </is>
      </c>
      <c r="DR967" s="17" t="n"/>
      <c r="DS967" s="16" t="n"/>
      <c r="DT967" s="20" t="inlineStr">
        <is>
          <t>IC Organic Acids</t>
        </is>
      </c>
      <c r="DU967" s="20" t="inlineStr">
        <is>
          <t>None</t>
        </is>
      </c>
      <c r="DV967" s="17" t="n"/>
      <c r="DW967" s="16" t="n"/>
      <c r="DX967" s="20" t="inlineStr">
        <is>
          <t>IC Organic Acids</t>
        </is>
      </c>
      <c r="DY967" s="20" t="inlineStr">
        <is>
          <t>None</t>
        </is>
      </c>
      <c r="DZ967" s="17" t="n"/>
      <c r="EA967" s="16" t="n"/>
      <c r="EB967" s="20" t="inlineStr">
        <is>
          <t>IC Organic Acids</t>
        </is>
      </c>
      <c r="EC967" s="20" t="inlineStr">
        <is>
          <t>None</t>
        </is>
      </c>
      <c r="ED967" s="17" t="n"/>
      <c r="EE967" s="16" t="n"/>
      <c r="EF967" s="20" t="inlineStr">
        <is>
          <t>IC Organic Acids</t>
        </is>
      </c>
      <c r="EG967" s="20" t="inlineStr">
        <is>
          <t>None</t>
        </is>
      </c>
      <c r="EH967" s="17" t="n"/>
      <c r="EI967" s="16" t="n"/>
      <c r="EJ967" s="20" t="inlineStr">
        <is>
          <t>IC Organic Acids</t>
        </is>
      </c>
      <c r="EK967" s="20" t="inlineStr">
        <is>
          <t>None</t>
        </is>
      </c>
      <c r="EL967" s="17" t="n"/>
      <c r="EM967" s="16" t="n"/>
      <c r="EN967" s="20" t="inlineStr">
        <is>
          <t>IC Organic Acids</t>
        </is>
      </c>
      <c r="EO967" s="20" t="inlineStr">
        <is>
          <t>None</t>
        </is>
      </c>
      <c r="EP967" s="17" t="n"/>
      <c r="EQ967" s="16" t="n"/>
      <c r="ER967" s="20" t="inlineStr">
        <is>
          <t>IC Organic Acids</t>
        </is>
      </c>
      <c r="ES967" s="20" t="inlineStr">
        <is>
          <t>None</t>
        </is>
      </c>
      <c r="ET967" s="17" t="n"/>
      <c r="EU967" s="16" t="n"/>
      <c r="EV967" s="20" t="inlineStr">
        <is>
          <t>LC-MS</t>
        </is>
      </c>
      <c r="EW967" s="20" t="inlineStr">
        <is>
          <t>None</t>
        </is>
      </c>
      <c r="EX967" s="17" t="n"/>
      <c r="EY967" s="21" t="n"/>
      <c r="EZ967">
        <f>CONCATENATE(A967,B967)</f>
        <v/>
      </c>
      <c r="FA967">
        <f>CONCATENATE(SamplesX!A967,SamplesX!B967)</f>
        <v/>
      </c>
      <c r="FC967">
        <f>MATCH(EZ967,FA1:FA1008,0)</f>
        <v/>
      </c>
    </row>
    <row r="968">
      <c r="A968" s="16" t="n"/>
      <c r="B968" s="17" t="n"/>
      <c r="C968" s="10">
        <f>IF(ISNUMBER(FC968),INDIRECT("SamplesX!C"&amp;FC968),IF(ISNUMBER(FD968),INDIRECT("SamplesY!C"&amp;FD968),""))</f>
        <v/>
      </c>
      <c r="D968" s="12">
        <f>IF(ISNUMBER(FC968),INDIRECT("SamplesX!D"&amp;FC968),IF(ISNUMBER(FD968),INDIRECT("SamplesY!D"&amp;FD968),""))</f>
        <v/>
      </c>
      <c r="E968" s="12">
        <f>IF(ISNUMBER(FC968),INDIRECT("SamplesX!E"&amp;FC968),IF(ISNUMBER(FD968),INDIRECT("SamplesY!E"&amp;FD968),""))</f>
        <v/>
      </c>
      <c r="F968" s="11">
        <f>IF(ISNUMBER(FC968),INDIRECT("SamplesX!F"&amp;FC968),IF(ISNUMBER(FD968),INDIRECT("SamplesY!F"&amp;FD968),""))</f>
        <v/>
      </c>
      <c r="G968" s="18">
        <f>IF(ISNUMBER(FC968),INDIRECT("SamplesX!G"&amp;FC968),IF(ISNUMBER(FD968),INDIRECT("SamplesY!G"&amp;FD968),""))</f>
        <v/>
      </c>
      <c r="H968" s="19">
        <f>IF(ISNUMBER(FC968),INDIRECT("SamplesX!H"&amp;FC968),IF(ISNUMBER(FD968),INDIRECT("SamplesY!H"&amp;FD968),""))</f>
        <v/>
      </c>
      <c r="I968" s="16" t="n"/>
      <c r="J968" s="16" t="n"/>
      <c r="K968" s="16" t="n"/>
      <c r="L968" s="20" t="n"/>
      <c r="M968" s="20" t="inlineStr">
        <is>
          <t>None</t>
        </is>
      </c>
      <c r="N968" s="17" t="n"/>
      <c r="O968" s="16" t="n"/>
      <c r="P968" s="20" t="inlineStr">
        <is>
          <t>Shimadzu TOC-L</t>
        </is>
      </c>
      <c r="Q968" s="20" t="inlineStr">
        <is>
          <t>None</t>
        </is>
      </c>
      <c r="R968" s="17" t="n"/>
      <c r="S968" s="16" t="n"/>
      <c r="T968" s="20" t="inlineStr">
        <is>
          <t>Shimadzu TOC-L</t>
        </is>
      </c>
      <c r="U968" s="20" t="inlineStr">
        <is>
          <t>None</t>
        </is>
      </c>
      <c r="V968" s="17" t="n"/>
      <c r="W968" s="16" t="n"/>
      <c r="X968" s="20" t="n"/>
      <c r="Y968" s="20" t="inlineStr">
        <is>
          <t>None</t>
        </is>
      </c>
      <c r="Z968" s="17" t="n"/>
      <c r="AA968" s="16" t="n"/>
      <c r="AB968" s="20" t="n"/>
      <c r="AC968" s="20" t="inlineStr">
        <is>
          <t>None</t>
        </is>
      </c>
      <c r="AD968" s="17" t="n"/>
      <c r="AE968" s="16" t="n"/>
      <c r="AF968" s="20" t="inlineStr">
        <is>
          <t>IC Anionen</t>
        </is>
      </c>
      <c r="AG968" s="20" t="inlineStr">
        <is>
          <t>None</t>
        </is>
      </c>
      <c r="AH968" s="17" t="n"/>
      <c r="AI968" s="16" t="n"/>
      <c r="AJ968" s="20" t="n"/>
      <c r="AK968" s="20" t="inlineStr">
        <is>
          <t>None</t>
        </is>
      </c>
      <c r="AL968" s="17" t="n"/>
      <c r="AM968" s="16" t="n"/>
      <c r="AN968" s="20" t="inlineStr">
        <is>
          <t>IC Anionen</t>
        </is>
      </c>
      <c r="AO968" s="20" t="inlineStr">
        <is>
          <t>None</t>
        </is>
      </c>
      <c r="AP968" s="17" t="n"/>
      <c r="AQ968" s="16" t="n"/>
      <c r="AR968" s="20" t="n"/>
      <c r="AS968" s="20" t="inlineStr">
        <is>
          <t>None</t>
        </is>
      </c>
      <c r="AT968" s="17" t="n"/>
      <c r="AU968" s="16" t="n"/>
      <c r="AV968" s="20" t="n"/>
      <c r="AW968" s="20" t="inlineStr">
        <is>
          <t>None</t>
        </is>
      </c>
      <c r="AX968" s="17" t="n"/>
      <c r="AY968" s="16" t="n"/>
      <c r="AZ968" s="20" t="inlineStr">
        <is>
          <t>IC Anionen</t>
        </is>
      </c>
      <c r="BA968" s="20" t="inlineStr">
        <is>
          <t>None</t>
        </is>
      </c>
      <c r="BB968" s="17" t="n"/>
      <c r="BC968" s="16" t="n"/>
      <c r="BD968" s="20" t="inlineStr">
        <is>
          <t>IC Kationen</t>
        </is>
      </c>
      <c r="BE968" s="20" t="inlineStr">
        <is>
          <t>None</t>
        </is>
      </c>
      <c r="BF968" s="17" t="n"/>
      <c r="BG968" s="16" t="n"/>
      <c r="BH968" s="20" t="inlineStr">
        <is>
          <t>IC Kationen</t>
        </is>
      </c>
      <c r="BI968" s="20" t="inlineStr">
        <is>
          <t>None</t>
        </is>
      </c>
      <c r="BJ968" s="17" t="n"/>
      <c r="BK968" s="16" t="n"/>
      <c r="BL968" s="20" t="inlineStr">
        <is>
          <t>IC Kationen</t>
        </is>
      </c>
      <c r="BM968" s="20" t="inlineStr">
        <is>
          <t>None</t>
        </is>
      </c>
      <c r="BN968" s="17" t="n"/>
      <c r="BO968" s="16" t="n"/>
      <c r="BP968" s="20" t="inlineStr">
        <is>
          <t>IC Kationen</t>
        </is>
      </c>
      <c r="BQ968" s="20" t="inlineStr">
        <is>
          <t>None</t>
        </is>
      </c>
      <c r="BR968" s="17" t="n"/>
      <c r="BS968" s="16" t="n"/>
      <c r="BT968" s="20" t="inlineStr">
        <is>
          <t>IC Kationen</t>
        </is>
      </c>
      <c r="BU968" s="20" t="inlineStr">
        <is>
          <t>None</t>
        </is>
      </c>
      <c r="BV968" s="17" t="n"/>
      <c r="BW968" s="16" t="n"/>
      <c r="BX968" s="20" t="n"/>
      <c r="BY968" s="20" t="inlineStr">
        <is>
          <t>None</t>
        </is>
      </c>
      <c r="BZ968" s="17" t="n"/>
      <c r="CA968" s="16" t="n"/>
      <c r="CB968" s="20" t="n"/>
      <c r="CC968" s="20" t="inlineStr">
        <is>
          <t>None</t>
        </is>
      </c>
      <c r="CD968" s="17" t="n"/>
      <c r="CE968" s="16" t="n"/>
      <c r="CF968" s="20" t="n"/>
      <c r="CG968" s="20" t="inlineStr">
        <is>
          <t>None</t>
        </is>
      </c>
      <c r="CH968" s="17" t="n"/>
      <c r="CI968" s="16" t="n"/>
      <c r="CJ968" s="20" t="n"/>
      <c r="CK968" s="20" t="inlineStr">
        <is>
          <t>None</t>
        </is>
      </c>
      <c r="CL968" s="17" t="n"/>
      <c r="CM968" s="16" t="n"/>
      <c r="CN968" s="20" t="inlineStr">
        <is>
          <t>SOP 45-34</t>
        </is>
      </c>
      <c r="CO968" s="20" t="inlineStr">
        <is>
          <t>None</t>
        </is>
      </c>
      <c r="CP968" s="17" t="n"/>
      <c r="CQ968" s="16" t="n"/>
      <c r="CR968" s="20" t="n"/>
      <c r="CS968" s="20" t="inlineStr">
        <is>
          <t>None</t>
        </is>
      </c>
      <c r="CT968" s="17" t="n"/>
      <c r="CU968" s="16" t="n"/>
      <c r="CV968" s="20" t="n"/>
      <c r="CW968" s="20" t="inlineStr">
        <is>
          <t>None</t>
        </is>
      </c>
      <c r="CX968" s="17" t="n"/>
      <c r="CY968" s="16" t="n"/>
      <c r="CZ968" s="20" t="inlineStr">
        <is>
          <t>WTW Multimeter 3430 with FDO 925</t>
        </is>
      </c>
      <c r="DA968" s="20" t="inlineStr">
        <is>
          <t>None</t>
        </is>
      </c>
      <c r="DB968" s="17" t="n"/>
      <c r="DC968" s="16" t="n"/>
      <c r="DD968" s="20" t="n"/>
      <c r="DE968" s="20" t="inlineStr">
        <is>
          <t>None</t>
        </is>
      </c>
      <c r="DF968" s="17" t="n"/>
      <c r="DG968" s="16" t="n"/>
      <c r="DH968" s="20" t="inlineStr">
        <is>
          <t>SOP 45-09</t>
        </is>
      </c>
      <c r="DI968" s="20" t="inlineStr">
        <is>
          <t>None</t>
        </is>
      </c>
      <c r="DJ968" s="17" t="n"/>
      <c r="DK968" s="16" t="n"/>
      <c r="DL968" s="20" t="inlineStr">
        <is>
          <t>SOP 45-09 (SOP muss noch angepasst werden für VSS)</t>
        </is>
      </c>
      <c r="DM968" s="20" t="inlineStr">
        <is>
          <t>None</t>
        </is>
      </c>
      <c r="DN968" s="17" t="n"/>
      <c r="DO968" s="16" t="n"/>
      <c r="DP968" s="20" t="inlineStr">
        <is>
          <t>IC Organic Acids</t>
        </is>
      </c>
      <c r="DQ968" s="20" t="inlineStr">
        <is>
          <t>None</t>
        </is>
      </c>
      <c r="DR968" s="17" t="n"/>
      <c r="DS968" s="16" t="n"/>
      <c r="DT968" s="20" t="inlineStr">
        <is>
          <t>IC Organic Acids</t>
        </is>
      </c>
      <c r="DU968" s="20" t="inlineStr">
        <is>
          <t>None</t>
        </is>
      </c>
      <c r="DV968" s="17" t="n"/>
      <c r="DW968" s="16" t="n"/>
      <c r="DX968" s="20" t="inlineStr">
        <is>
          <t>IC Organic Acids</t>
        </is>
      </c>
      <c r="DY968" s="20" t="inlineStr">
        <is>
          <t>None</t>
        </is>
      </c>
      <c r="DZ968" s="17" t="n"/>
      <c r="EA968" s="16" t="n"/>
      <c r="EB968" s="20" t="inlineStr">
        <is>
          <t>IC Organic Acids</t>
        </is>
      </c>
      <c r="EC968" s="20" t="inlineStr">
        <is>
          <t>None</t>
        </is>
      </c>
      <c r="ED968" s="17" t="n"/>
      <c r="EE968" s="16" t="n"/>
      <c r="EF968" s="20" t="inlineStr">
        <is>
          <t>IC Organic Acids</t>
        </is>
      </c>
      <c r="EG968" s="20" t="inlineStr">
        <is>
          <t>None</t>
        </is>
      </c>
      <c r="EH968" s="17" t="n"/>
      <c r="EI968" s="16" t="n"/>
      <c r="EJ968" s="20" t="inlineStr">
        <is>
          <t>IC Organic Acids</t>
        </is>
      </c>
      <c r="EK968" s="20" t="inlineStr">
        <is>
          <t>None</t>
        </is>
      </c>
      <c r="EL968" s="17" t="n"/>
      <c r="EM968" s="16" t="n"/>
      <c r="EN968" s="20" t="inlineStr">
        <is>
          <t>IC Organic Acids</t>
        </is>
      </c>
      <c r="EO968" s="20" t="inlineStr">
        <is>
          <t>None</t>
        </is>
      </c>
      <c r="EP968" s="17" t="n"/>
      <c r="EQ968" s="16" t="n"/>
      <c r="ER968" s="20" t="inlineStr">
        <is>
          <t>IC Organic Acids</t>
        </is>
      </c>
      <c r="ES968" s="20" t="inlineStr">
        <is>
          <t>None</t>
        </is>
      </c>
      <c r="ET968" s="17" t="n"/>
      <c r="EU968" s="16" t="n"/>
      <c r="EV968" s="20" t="inlineStr">
        <is>
          <t>LC-MS</t>
        </is>
      </c>
      <c r="EW968" s="20" t="inlineStr">
        <is>
          <t>None</t>
        </is>
      </c>
      <c r="EX968" s="17" t="n"/>
      <c r="EY968" s="21" t="n"/>
      <c r="EZ968">
        <f>CONCATENATE(A968,B968)</f>
        <v/>
      </c>
      <c r="FA968">
        <f>CONCATENATE(SamplesX!A968,SamplesX!B968)</f>
        <v/>
      </c>
      <c r="FC968">
        <f>MATCH(EZ968,FA1:FA1008,0)</f>
        <v/>
      </c>
    </row>
    <row r="969">
      <c r="A969" s="16" t="n"/>
      <c r="B969" s="17" t="n"/>
      <c r="C969" s="10">
        <f>IF(ISNUMBER(FC969),INDIRECT("SamplesX!C"&amp;FC969),IF(ISNUMBER(FD969),INDIRECT("SamplesY!C"&amp;FD969),""))</f>
        <v/>
      </c>
      <c r="D969" s="12">
        <f>IF(ISNUMBER(FC969),INDIRECT("SamplesX!D"&amp;FC969),IF(ISNUMBER(FD969),INDIRECT("SamplesY!D"&amp;FD969),""))</f>
        <v/>
      </c>
      <c r="E969" s="12">
        <f>IF(ISNUMBER(FC969),INDIRECT("SamplesX!E"&amp;FC969),IF(ISNUMBER(FD969),INDIRECT("SamplesY!E"&amp;FD969),""))</f>
        <v/>
      </c>
      <c r="F969" s="11">
        <f>IF(ISNUMBER(FC969),INDIRECT("SamplesX!F"&amp;FC969),IF(ISNUMBER(FD969),INDIRECT("SamplesY!F"&amp;FD969),""))</f>
        <v/>
      </c>
      <c r="G969" s="18">
        <f>IF(ISNUMBER(FC969),INDIRECT("SamplesX!G"&amp;FC969),IF(ISNUMBER(FD969),INDIRECT("SamplesY!G"&amp;FD969),""))</f>
        <v/>
      </c>
      <c r="H969" s="19">
        <f>IF(ISNUMBER(FC969),INDIRECT("SamplesX!H"&amp;FC969),IF(ISNUMBER(FD969),INDIRECT("SamplesY!H"&amp;FD969),""))</f>
        <v/>
      </c>
      <c r="I969" s="16" t="n"/>
      <c r="J969" s="16" t="n"/>
      <c r="K969" s="16" t="n"/>
      <c r="L969" s="20" t="n"/>
      <c r="M969" s="20" t="inlineStr">
        <is>
          <t>None</t>
        </is>
      </c>
      <c r="N969" s="17" t="n"/>
      <c r="O969" s="16" t="n"/>
      <c r="P969" s="20" t="inlineStr">
        <is>
          <t>Shimadzu TOC-L</t>
        </is>
      </c>
      <c r="Q969" s="20" t="inlineStr">
        <is>
          <t>None</t>
        </is>
      </c>
      <c r="R969" s="17" t="n"/>
      <c r="S969" s="16" t="n"/>
      <c r="T969" s="20" t="inlineStr">
        <is>
          <t>Shimadzu TOC-L</t>
        </is>
      </c>
      <c r="U969" s="20" t="inlineStr">
        <is>
          <t>None</t>
        </is>
      </c>
      <c r="V969" s="17" t="n"/>
      <c r="W969" s="16" t="n"/>
      <c r="X969" s="20" t="n"/>
      <c r="Y969" s="20" t="inlineStr">
        <is>
          <t>None</t>
        </is>
      </c>
      <c r="Z969" s="17" t="n"/>
      <c r="AA969" s="16" t="n"/>
      <c r="AB969" s="20" t="n"/>
      <c r="AC969" s="20" t="inlineStr">
        <is>
          <t>None</t>
        </is>
      </c>
      <c r="AD969" s="17" t="n"/>
      <c r="AE969" s="16" t="n"/>
      <c r="AF969" s="20" t="inlineStr">
        <is>
          <t>IC Anionen</t>
        </is>
      </c>
      <c r="AG969" s="20" t="inlineStr">
        <is>
          <t>None</t>
        </is>
      </c>
      <c r="AH969" s="17" t="n"/>
      <c r="AI969" s="16" t="n"/>
      <c r="AJ969" s="20" t="n"/>
      <c r="AK969" s="20" t="inlineStr">
        <is>
          <t>None</t>
        </is>
      </c>
      <c r="AL969" s="17" t="n"/>
      <c r="AM969" s="16" t="n"/>
      <c r="AN969" s="20" t="inlineStr">
        <is>
          <t>IC Anionen</t>
        </is>
      </c>
      <c r="AO969" s="20" t="inlineStr">
        <is>
          <t>None</t>
        </is>
      </c>
      <c r="AP969" s="17" t="n"/>
      <c r="AQ969" s="16" t="n"/>
      <c r="AR969" s="20" t="n"/>
      <c r="AS969" s="20" t="inlineStr">
        <is>
          <t>None</t>
        </is>
      </c>
      <c r="AT969" s="17" t="n"/>
      <c r="AU969" s="16" t="n"/>
      <c r="AV969" s="20" t="n"/>
      <c r="AW969" s="20" t="inlineStr">
        <is>
          <t>None</t>
        </is>
      </c>
      <c r="AX969" s="17" t="n"/>
      <c r="AY969" s="16" t="n"/>
      <c r="AZ969" s="20" t="inlineStr">
        <is>
          <t>IC Anionen</t>
        </is>
      </c>
      <c r="BA969" s="20" t="inlineStr">
        <is>
          <t>None</t>
        </is>
      </c>
      <c r="BB969" s="17" t="n"/>
      <c r="BC969" s="16" t="n"/>
      <c r="BD969" s="20" t="inlineStr">
        <is>
          <t>IC Kationen</t>
        </is>
      </c>
      <c r="BE969" s="20" t="inlineStr">
        <is>
          <t>None</t>
        </is>
      </c>
      <c r="BF969" s="17" t="n"/>
      <c r="BG969" s="16" t="n"/>
      <c r="BH969" s="20" t="inlineStr">
        <is>
          <t>IC Kationen</t>
        </is>
      </c>
      <c r="BI969" s="20" t="inlineStr">
        <is>
          <t>None</t>
        </is>
      </c>
      <c r="BJ969" s="17" t="n"/>
      <c r="BK969" s="16" t="n"/>
      <c r="BL969" s="20" t="inlineStr">
        <is>
          <t>IC Kationen</t>
        </is>
      </c>
      <c r="BM969" s="20" t="inlineStr">
        <is>
          <t>None</t>
        </is>
      </c>
      <c r="BN969" s="17" t="n"/>
      <c r="BO969" s="16" t="n"/>
      <c r="BP969" s="20" t="inlineStr">
        <is>
          <t>IC Kationen</t>
        </is>
      </c>
      <c r="BQ969" s="20" t="inlineStr">
        <is>
          <t>None</t>
        </is>
      </c>
      <c r="BR969" s="17" t="n"/>
      <c r="BS969" s="16" t="n"/>
      <c r="BT969" s="20" t="inlineStr">
        <is>
          <t>IC Kationen</t>
        </is>
      </c>
      <c r="BU969" s="20" t="inlineStr">
        <is>
          <t>None</t>
        </is>
      </c>
      <c r="BV969" s="17" t="n"/>
      <c r="BW969" s="16" t="n"/>
      <c r="BX969" s="20" t="n"/>
      <c r="BY969" s="20" t="inlineStr">
        <is>
          <t>None</t>
        </is>
      </c>
      <c r="BZ969" s="17" t="n"/>
      <c r="CA969" s="16" t="n"/>
      <c r="CB969" s="20" t="n"/>
      <c r="CC969" s="20" t="inlineStr">
        <is>
          <t>None</t>
        </is>
      </c>
      <c r="CD969" s="17" t="n"/>
      <c r="CE969" s="16" t="n"/>
      <c r="CF969" s="20" t="n"/>
      <c r="CG969" s="20" t="inlineStr">
        <is>
          <t>None</t>
        </is>
      </c>
      <c r="CH969" s="17" t="n"/>
      <c r="CI969" s="16" t="n"/>
      <c r="CJ969" s="20" t="n"/>
      <c r="CK969" s="20" t="inlineStr">
        <is>
          <t>None</t>
        </is>
      </c>
      <c r="CL969" s="17" t="n"/>
      <c r="CM969" s="16" t="n"/>
      <c r="CN969" s="20" t="inlineStr">
        <is>
          <t>SOP 45-34</t>
        </is>
      </c>
      <c r="CO969" s="20" t="inlineStr">
        <is>
          <t>None</t>
        </is>
      </c>
      <c r="CP969" s="17" t="n"/>
      <c r="CQ969" s="16" t="n"/>
      <c r="CR969" s="20" t="n"/>
      <c r="CS969" s="20" t="inlineStr">
        <is>
          <t>None</t>
        </is>
      </c>
      <c r="CT969" s="17" t="n"/>
      <c r="CU969" s="16" t="n"/>
      <c r="CV969" s="20" t="n"/>
      <c r="CW969" s="20" t="inlineStr">
        <is>
          <t>None</t>
        </is>
      </c>
      <c r="CX969" s="17" t="n"/>
      <c r="CY969" s="16" t="n"/>
      <c r="CZ969" s="20" t="inlineStr">
        <is>
          <t>WTW Multimeter 3430 with FDO 925</t>
        </is>
      </c>
      <c r="DA969" s="20" t="inlineStr">
        <is>
          <t>None</t>
        </is>
      </c>
      <c r="DB969" s="17" t="n"/>
      <c r="DC969" s="16" t="n"/>
      <c r="DD969" s="20" t="n"/>
      <c r="DE969" s="20" t="inlineStr">
        <is>
          <t>None</t>
        </is>
      </c>
      <c r="DF969" s="17" t="n"/>
      <c r="DG969" s="16" t="n"/>
      <c r="DH969" s="20" t="inlineStr">
        <is>
          <t>SOP 45-09</t>
        </is>
      </c>
      <c r="DI969" s="20" t="inlineStr">
        <is>
          <t>None</t>
        </is>
      </c>
      <c r="DJ969" s="17" t="n"/>
      <c r="DK969" s="16" t="n"/>
      <c r="DL969" s="20" t="inlineStr">
        <is>
          <t>SOP 45-09 (SOP muss noch angepasst werden für VSS)</t>
        </is>
      </c>
      <c r="DM969" s="20" t="inlineStr">
        <is>
          <t>None</t>
        </is>
      </c>
      <c r="DN969" s="17" t="n"/>
      <c r="DO969" s="16" t="n"/>
      <c r="DP969" s="20" t="inlineStr">
        <is>
          <t>IC Organic Acids</t>
        </is>
      </c>
      <c r="DQ969" s="20" t="inlineStr">
        <is>
          <t>None</t>
        </is>
      </c>
      <c r="DR969" s="17" t="n"/>
      <c r="DS969" s="16" t="n"/>
      <c r="DT969" s="20" t="inlineStr">
        <is>
          <t>IC Organic Acids</t>
        </is>
      </c>
      <c r="DU969" s="20" t="inlineStr">
        <is>
          <t>None</t>
        </is>
      </c>
      <c r="DV969" s="17" t="n"/>
      <c r="DW969" s="16" t="n"/>
      <c r="DX969" s="20" t="inlineStr">
        <is>
          <t>IC Organic Acids</t>
        </is>
      </c>
      <c r="DY969" s="20" t="inlineStr">
        <is>
          <t>None</t>
        </is>
      </c>
      <c r="DZ969" s="17" t="n"/>
      <c r="EA969" s="16" t="n"/>
      <c r="EB969" s="20" t="inlineStr">
        <is>
          <t>IC Organic Acids</t>
        </is>
      </c>
      <c r="EC969" s="20" t="inlineStr">
        <is>
          <t>None</t>
        </is>
      </c>
      <c r="ED969" s="17" t="n"/>
      <c r="EE969" s="16" t="n"/>
      <c r="EF969" s="20" t="inlineStr">
        <is>
          <t>IC Organic Acids</t>
        </is>
      </c>
      <c r="EG969" s="20" t="inlineStr">
        <is>
          <t>None</t>
        </is>
      </c>
      <c r="EH969" s="17" t="n"/>
      <c r="EI969" s="16" t="n"/>
      <c r="EJ969" s="20" t="inlineStr">
        <is>
          <t>IC Organic Acids</t>
        </is>
      </c>
      <c r="EK969" s="20" t="inlineStr">
        <is>
          <t>None</t>
        </is>
      </c>
      <c r="EL969" s="17" t="n"/>
      <c r="EM969" s="16" t="n"/>
      <c r="EN969" s="20" t="inlineStr">
        <is>
          <t>IC Organic Acids</t>
        </is>
      </c>
      <c r="EO969" s="20" t="inlineStr">
        <is>
          <t>None</t>
        </is>
      </c>
      <c r="EP969" s="17" t="n"/>
      <c r="EQ969" s="16" t="n"/>
      <c r="ER969" s="20" t="inlineStr">
        <is>
          <t>IC Organic Acids</t>
        </is>
      </c>
      <c r="ES969" s="20" t="inlineStr">
        <is>
          <t>None</t>
        </is>
      </c>
      <c r="ET969" s="17" t="n"/>
      <c r="EU969" s="16" t="n"/>
      <c r="EV969" s="20" t="inlineStr">
        <is>
          <t>LC-MS</t>
        </is>
      </c>
      <c r="EW969" s="20" t="inlineStr">
        <is>
          <t>None</t>
        </is>
      </c>
      <c r="EX969" s="17" t="n"/>
      <c r="EY969" s="21" t="n"/>
      <c r="EZ969">
        <f>CONCATENATE(A969,B969)</f>
        <v/>
      </c>
      <c r="FA969">
        <f>CONCATENATE(SamplesX!A969,SamplesX!B969)</f>
        <v/>
      </c>
      <c r="FC969">
        <f>MATCH(EZ969,FA1:FA1008,0)</f>
        <v/>
      </c>
    </row>
    <row r="970">
      <c r="A970" s="16" t="n"/>
      <c r="B970" s="17" t="n"/>
      <c r="C970" s="10">
        <f>IF(ISNUMBER(FC970),INDIRECT("SamplesX!C"&amp;FC970),IF(ISNUMBER(FD970),INDIRECT("SamplesY!C"&amp;FD970),""))</f>
        <v/>
      </c>
      <c r="D970" s="12">
        <f>IF(ISNUMBER(FC970),INDIRECT("SamplesX!D"&amp;FC970),IF(ISNUMBER(FD970),INDIRECT("SamplesY!D"&amp;FD970),""))</f>
        <v/>
      </c>
      <c r="E970" s="12">
        <f>IF(ISNUMBER(FC970),INDIRECT("SamplesX!E"&amp;FC970),IF(ISNUMBER(FD970),INDIRECT("SamplesY!E"&amp;FD970),""))</f>
        <v/>
      </c>
      <c r="F970" s="11">
        <f>IF(ISNUMBER(FC970),INDIRECT("SamplesX!F"&amp;FC970),IF(ISNUMBER(FD970),INDIRECT("SamplesY!F"&amp;FD970),""))</f>
        <v/>
      </c>
      <c r="G970" s="18">
        <f>IF(ISNUMBER(FC970),INDIRECT("SamplesX!G"&amp;FC970),IF(ISNUMBER(FD970),INDIRECT("SamplesY!G"&amp;FD970),""))</f>
        <v/>
      </c>
      <c r="H970" s="19">
        <f>IF(ISNUMBER(FC970),INDIRECT("SamplesX!H"&amp;FC970),IF(ISNUMBER(FD970),INDIRECT("SamplesY!H"&amp;FD970),""))</f>
        <v/>
      </c>
      <c r="I970" s="16" t="n"/>
      <c r="J970" s="16" t="n"/>
      <c r="K970" s="16" t="n"/>
      <c r="L970" s="20" t="n"/>
      <c r="M970" s="20" t="inlineStr">
        <is>
          <t>None</t>
        </is>
      </c>
      <c r="N970" s="17" t="n"/>
      <c r="O970" s="16" t="n"/>
      <c r="P970" s="20" t="inlineStr">
        <is>
          <t>Shimadzu TOC-L</t>
        </is>
      </c>
      <c r="Q970" s="20" t="inlineStr">
        <is>
          <t>None</t>
        </is>
      </c>
      <c r="R970" s="17" t="n"/>
      <c r="S970" s="16" t="n"/>
      <c r="T970" s="20" t="inlineStr">
        <is>
          <t>Shimadzu TOC-L</t>
        </is>
      </c>
      <c r="U970" s="20" t="inlineStr">
        <is>
          <t>None</t>
        </is>
      </c>
      <c r="V970" s="17" t="n"/>
      <c r="W970" s="16" t="n"/>
      <c r="X970" s="20" t="n"/>
      <c r="Y970" s="20" t="inlineStr">
        <is>
          <t>None</t>
        </is>
      </c>
      <c r="Z970" s="17" t="n"/>
      <c r="AA970" s="16" t="n"/>
      <c r="AB970" s="20" t="n"/>
      <c r="AC970" s="20" t="inlineStr">
        <is>
          <t>None</t>
        </is>
      </c>
      <c r="AD970" s="17" t="n"/>
      <c r="AE970" s="16" t="n"/>
      <c r="AF970" s="20" t="inlineStr">
        <is>
          <t>IC Anionen</t>
        </is>
      </c>
      <c r="AG970" s="20" t="inlineStr">
        <is>
          <t>None</t>
        </is>
      </c>
      <c r="AH970" s="17" t="n"/>
      <c r="AI970" s="16" t="n"/>
      <c r="AJ970" s="20" t="n"/>
      <c r="AK970" s="20" t="inlineStr">
        <is>
          <t>None</t>
        </is>
      </c>
      <c r="AL970" s="17" t="n"/>
      <c r="AM970" s="16" t="n"/>
      <c r="AN970" s="20" t="inlineStr">
        <is>
          <t>IC Anionen</t>
        </is>
      </c>
      <c r="AO970" s="20" t="inlineStr">
        <is>
          <t>None</t>
        </is>
      </c>
      <c r="AP970" s="17" t="n"/>
      <c r="AQ970" s="16" t="n"/>
      <c r="AR970" s="20" t="n"/>
      <c r="AS970" s="20" t="inlineStr">
        <is>
          <t>None</t>
        </is>
      </c>
      <c r="AT970" s="17" t="n"/>
      <c r="AU970" s="16" t="n"/>
      <c r="AV970" s="20" t="n"/>
      <c r="AW970" s="20" t="inlineStr">
        <is>
          <t>None</t>
        </is>
      </c>
      <c r="AX970" s="17" t="n"/>
      <c r="AY970" s="16" t="n"/>
      <c r="AZ970" s="20" t="inlineStr">
        <is>
          <t>IC Anionen</t>
        </is>
      </c>
      <c r="BA970" s="20" t="inlineStr">
        <is>
          <t>None</t>
        </is>
      </c>
      <c r="BB970" s="17" t="n"/>
      <c r="BC970" s="16" t="n"/>
      <c r="BD970" s="20" t="inlineStr">
        <is>
          <t>IC Kationen</t>
        </is>
      </c>
      <c r="BE970" s="20" t="inlineStr">
        <is>
          <t>None</t>
        </is>
      </c>
      <c r="BF970" s="17" t="n"/>
      <c r="BG970" s="16" t="n"/>
      <c r="BH970" s="20" t="inlineStr">
        <is>
          <t>IC Kationen</t>
        </is>
      </c>
      <c r="BI970" s="20" t="inlineStr">
        <is>
          <t>None</t>
        </is>
      </c>
      <c r="BJ970" s="17" t="n"/>
      <c r="BK970" s="16" t="n"/>
      <c r="BL970" s="20" t="inlineStr">
        <is>
          <t>IC Kationen</t>
        </is>
      </c>
      <c r="BM970" s="20" t="inlineStr">
        <is>
          <t>None</t>
        </is>
      </c>
      <c r="BN970" s="17" t="n"/>
      <c r="BO970" s="16" t="n"/>
      <c r="BP970" s="20" t="inlineStr">
        <is>
          <t>IC Kationen</t>
        </is>
      </c>
      <c r="BQ970" s="20" t="inlineStr">
        <is>
          <t>None</t>
        </is>
      </c>
      <c r="BR970" s="17" t="n"/>
      <c r="BS970" s="16" t="n"/>
      <c r="BT970" s="20" t="inlineStr">
        <is>
          <t>IC Kationen</t>
        </is>
      </c>
      <c r="BU970" s="20" t="inlineStr">
        <is>
          <t>None</t>
        </is>
      </c>
      <c r="BV970" s="17" t="n"/>
      <c r="BW970" s="16" t="n"/>
      <c r="BX970" s="20" t="n"/>
      <c r="BY970" s="20" t="inlineStr">
        <is>
          <t>None</t>
        </is>
      </c>
      <c r="BZ970" s="17" t="n"/>
      <c r="CA970" s="16" t="n"/>
      <c r="CB970" s="20" t="n"/>
      <c r="CC970" s="20" t="inlineStr">
        <is>
          <t>None</t>
        </is>
      </c>
      <c r="CD970" s="17" t="n"/>
      <c r="CE970" s="16" t="n"/>
      <c r="CF970" s="20" t="n"/>
      <c r="CG970" s="20" t="inlineStr">
        <is>
          <t>None</t>
        </is>
      </c>
      <c r="CH970" s="17" t="n"/>
      <c r="CI970" s="16" t="n"/>
      <c r="CJ970" s="20" t="n"/>
      <c r="CK970" s="20" t="inlineStr">
        <is>
          <t>None</t>
        </is>
      </c>
      <c r="CL970" s="17" t="n"/>
      <c r="CM970" s="16" t="n"/>
      <c r="CN970" s="20" t="inlineStr">
        <is>
          <t>SOP 45-34</t>
        </is>
      </c>
      <c r="CO970" s="20" t="inlineStr">
        <is>
          <t>None</t>
        </is>
      </c>
      <c r="CP970" s="17" t="n"/>
      <c r="CQ970" s="16" t="n"/>
      <c r="CR970" s="20" t="n"/>
      <c r="CS970" s="20" t="inlineStr">
        <is>
          <t>None</t>
        </is>
      </c>
      <c r="CT970" s="17" t="n"/>
      <c r="CU970" s="16" t="n"/>
      <c r="CV970" s="20" t="n"/>
      <c r="CW970" s="20" t="inlineStr">
        <is>
          <t>None</t>
        </is>
      </c>
      <c r="CX970" s="17" t="n"/>
      <c r="CY970" s="16" t="n"/>
      <c r="CZ970" s="20" t="inlineStr">
        <is>
          <t>WTW Multimeter 3430 with FDO 925</t>
        </is>
      </c>
      <c r="DA970" s="20" t="inlineStr">
        <is>
          <t>None</t>
        </is>
      </c>
      <c r="DB970" s="17" t="n"/>
      <c r="DC970" s="16" t="n"/>
      <c r="DD970" s="20" t="n"/>
      <c r="DE970" s="20" t="inlineStr">
        <is>
          <t>None</t>
        </is>
      </c>
      <c r="DF970" s="17" t="n"/>
      <c r="DG970" s="16" t="n"/>
      <c r="DH970" s="20" t="inlineStr">
        <is>
          <t>SOP 45-09</t>
        </is>
      </c>
      <c r="DI970" s="20" t="inlineStr">
        <is>
          <t>None</t>
        </is>
      </c>
      <c r="DJ970" s="17" t="n"/>
      <c r="DK970" s="16" t="n"/>
      <c r="DL970" s="20" t="inlineStr">
        <is>
          <t>SOP 45-09 (SOP muss noch angepasst werden für VSS)</t>
        </is>
      </c>
      <c r="DM970" s="20" t="inlineStr">
        <is>
          <t>None</t>
        </is>
      </c>
      <c r="DN970" s="17" t="n"/>
      <c r="DO970" s="16" t="n"/>
      <c r="DP970" s="20" t="inlineStr">
        <is>
          <t>IC Organic Acids</t>
        </is>
      </c>
      <c r="DQ970" s="20" t="inlineStr">
        <is>
          <t>None</t>
        </is>
      </c>
      <c r="DR970" s="17" t="n"/>
      <c r="DS970" s="16" t="n"/>
      <c r="DT970" s="20" t="inlineStr">
        <is>
          <t>IC Organic Acids</t>
        </is>
      </c>
      <c r="DU970" s="20" t="inlineStr">
        <is>
          <t>None</t>
        </is>
      </c>
      <c r="DV970" s="17" t="n"/>
      <c r="DW970" s="16" t="n"/>
      <c r="DX970" s="20" t="inlineStr">
        <is>
          <t>IC Organic Acids</t>
        </is>
      </c>
      <c r="DY970" s="20" t="inlineStr">
        <is>
          <t>None</t>
        </is>
      </c>
      <c r="DZ970" s="17" t="n"/>
      <c r="EA970" s="16" t="n"/>
      <c r="EB970" s="20" t="inlineStr">
        <is>
          <t>IC Organic Acids</t>
        </is>
      </c>
      <c r="EC970" s="20" t="inlineStr">
        <is>
          <t>None</t>
        </is>
      </c>
      <c r="ED970" s="17" t="n"/>
      <c r="EE970" s="16" t="n"/>
      <c r="EF970" s="20" t="inlineStr">
        <is>
          <t>IC Organic Acids</t>
        </is>
      </c>
      <c r="EG970" s="20" t="inlineStr">
        <is>
          <t>None</t>
        </is>
      </c>
      <c r="EH970" s="17" t="n"/>
      <c r="EI970" s="16" t="n"/>
      <c r="EJ970" s="20" t="inlineStr">
        <is>
          <t>IC Organic Acids</t>
        </is>
      </c>
      <c r="EK970" s="20" t="inlineStr">
        <is>
          <t>None</t>
        </is>
      </c>
      <c r="EL970" s="17" t="n"/>
      <c r="EM970" s="16" t="n"/>
      <c r="EN970" s="20" t="inlineStr">
        <is>
          <t>IC Organic Acids</t>
        </is>
      </c>
      <c r="EO970" s="20" t="inlineStr">
        <is>
          <t>None</t>
        </is>
      </c>
      <c r="EP970" s="17" t="n"/>
      <c r="EQ970" s="16" t="n"/>
      <c r="ER970" s="20" t="inlineStr">
        <is>
          <t>IC Organic Acids</t>
        </is>
      </c>
      <c r="ES970" s="20" t="inlineStr">
        <is>
          <t>None</t>
        </is>
      </c>
      <c r="ET970" s="17" t="n"/>
      <c r="EU970" s="16" t="n"/>
      <c r="EV970" s="20" t="inlineStr">
        <is>
          <t>LC-MS</t>
        </is>
      </c>
      <c r="EW970" s="20" t="inlineStr">
        <is>
          <t>None</t>
        </is>
      </c>
      <c r="EX970" s="17" t="n"/>
      <c r="EY970" s="21" t="n"/>
      <c r="EZ970">
        <f>CONCATENATE(A970,B970)</f>
        <v/>
      </c>
      <c r="FA970">
        <f>CONCATENATE(SamplesX!A970,SamplesX!B970)</f>
        <v/>
      </c>
      <c r="FC970">
        <f>MATCH(EZ970,FA1:FA1008,0)</f>
        <v/>
      </c>
    </row>
    <row r="971">
      <c r="A971" s="16" t="n"/>
      <c r="B971" s="17" t="n"/>
      <c r="C971" s="10">
        <f>IF(ISNUMBER(FC971),INDIRECT("SamplesX!C"&amp;FC971),IF(ISNUMBER(FD971),INDIRECT("SamplesY!C"&amp;FD971),""))</f>
        <v/>
      </c>
      <c r="D971" s="12">
        <f>IF(ISNUMBER(FC971),INDIRECT("SamplesX!D"&amp;FC971),IF(ISNUMBER(FD971),INDIRECT("SamplesY!D"&amp;FD971),""))</f>
        <v/>
      </c>
      <c r="E971" s="12">
        <f>IF(ISNUMBER(FC971),INDIRECT("SamplesX!E"&amp;FC971),IF(ISNUMBER(FD971),INDIRECT("SamplesY!E"&amp;FD971),""))</f>
        <v/>
      </c>
      <c r="F971" s="11">
        <f>IF(ISNUMBER(FC971),INDIRECT("SamplesX!F"&amp;FC971),IF(ISNUMBER(FD971),INDIRECT("SamplesY!F"&amp;FD971),""))</f>
        <v/>
      </c>
      <c r="G971" s="18">
        <f>IF(ISNUMBER(FC971),INDIRECT("SamplesX!G"&amp;FC971),IF(ISNUMBER(FD971),INDIRECT("SamplesY!G"&amp;FD971),""))</f>
        <v/>
      </c>
      <c r="H971" s="19">
        <f>IF(ISNUMBER(FC971),INDIRECT("SamplesX!H"&amp;FC971),IF(ISNUMBER(FD971),INDIRECT("SamplesY!H"&amp;FD971),""))</f>
        <v/>
      </c>
      <c r="I971" s="16" t="n"/>
      <c r="J971" s="16" t="n"/>
      <c r="K971" s="16" t="n"/>
      <c r="L971" s="20" t="n"/>
      <c r="M971" s="20" t="inlineStr">
        <is>
          <t>None</t>
        </is>
      </c>
      <c r="N971" s="17" t="n"/>
      <c r="O971" s="16" t="n"/>
      <c r="P971" s="20" t="inlineStr">
        <is>
          <t>Shimadzu TOC-L</t>
        </is>
      </c>
      <c r="Q971" s="20" t="inlineStr">
        <is>
          <t>None</t>
        </is>
      </c>
      <c r="R971" s="17" t="n"/>
      <c r="S971" s="16" t="n"/>
      <c r="T971" s="20" t="inlineStr">
        <is>
          <t>Shimadzu TOC-L</t>
        </is>
      </c>
      <c r="U971" s="20" t="inlineStr">
        <is>
          <t>None</t>
        </is>
      </c>
      <c r="V971" s="17" t="n"/>
      <c r="W971" s="16" t="n"/>
      <c r="X971" s="20" t="n"/>
      <c r="Y971" s="20" t="inlineStr">
        <is>
          <t>None</t>
        </is>
      </c>
      <c r="Z971" s="17" t="n"/>
      <c r="AA971" s="16" t="n"/>
      <c r="AB971" s="20" t="n"/>
      <c r="AC971" s="20" t="inlineStr">
        <is>
          <t>None</t>
        </is>
      </c>
      <c r="AD971" s="17" t="n"/>
      <c r="AE971" s="16" t="n"/>
      <c r="AF971" s="20" t="inlineStr">
        <is>
          <t>IC Anionen</t>
        </is>
      </c>
      <c r="AG971" s="20" t="inlineStr">
        <is>
          <t>None</t>
        </is>
      </c>
      <c r="AH971" s="17" t="n"/>
      <c r="AI971" s="16" t="n"/>
      <c r="AJ971" s="20" t="n"/>
      <c r="AK971" s="20" t="inlineStr">
        <is>
          <t>None</t>
        </is>
      </c>
      <c r="AL971" s="17" t="n"/>
      <c r="AM971" s="16" t="n"/>
      <c r="AN971" s="20" t="inlineStr">
        <is>
          <t>IC Anionen</t>
        </is>
      </c>
      <c r="AO971" s="20" t="inlineStr">
        <is>
          <t>None</t>
        </is>
      </c>
      <c r="AP971" s="17" t="n"/>
      <c r="AQ971" s="16" t="n"/>
      <c r="AR971" s="20" t="n"/>
      <c r="AS971" s="20" t="inlineStr">
        <is>
          <t>None</t>
        </is>
      </c>
      <c r="AT971" s="17" t="n"/>
      <c r="AU971" s="16" t="n"/>
      <c r="AV971" s="20" t="n"/>
      <c r="AW971" s="20" t="inlineStr">
        <is>
          <t>None</t>
        </is>
      </c>
      <c r="AX971" s="17" t="n"/>
      <c r="AY971" s="16" t="n"/>
      <c r="AZ971" s="20" t="inlineStr">
        <is>
          <t>IC Anionen</t>
        </is>
      </c>
      <c r="BA971" s="20" t="inlineStr">
        <is>
          <t>None</t>
        </is>
      </c>
      <c r="BB971" s="17" t="n"/>
      <c r="BC971" s="16" t="n"/>
      <c r="BD971" s="20" t="inlineStr">
        <is>
          <t>IC Kationen</t>
        </is>
      </c>
      <c r="BE971" s="20" t="inlineStr">
        <is>
          <t>None</t>
        </is>
      </c>
      <c r="BF971" s="17" t="n"/>
      <c r="BG971" s="16" t="n"/>
      <c r="BH971" s="20" t="inlineStr">
        <is>
          <t>IC Kationen</t>
        </is>
      </c>
      <c r="BI971" s="20" t="inlineStr">
        <is>
          <t>None</t>
        </is>
      </c>
      <c r="BJ971" s="17" t="n"/>
      <c r="BK971" s="16" t="n"/>
      <c r="BL971" s="20" t="inlineStr">
        <is>
          <t>IC Kationen</t>
        </is>
      </c>
      <c r="BM971" s="20" t="inlineStr">
        <is>
          <t>None</t>
        </is>
      </c>
      <c r="BN971" s="17" t="n"/>
      <c r="BO971" s="16" t="n"/>
      <c r="BP971" s="20" t="inlineStr">
        <is>
          <t>IC Kationen</t>
        </is>
      </c>
      <c r="BQ971" s="20" t="inlineStr">
        <is>
          <t>None</t>
        </is>
      </c>
      <c r="BR971" s="17" t="n"/>
      <c r="BS971" s="16" t="n"/>
      <c r="BT971" s="20" t="inlineStr">
        <is>
          <t>IC Kationen</t>
        </is>
      </c>
      <c r="BU971" s="20" t="inlineStr">
        <is>
          <t>None</t>
        </is>
      </c>
      <c r="BV971" s="17" t="n"/>
      <c r="BW971" s="16" t="n"/>
      <c r="BX971" s="20" t="n"/>
      <c r="BY971" s="20" t="inlineStr">
        <is>
          <t>None</t>
        </is>
      </c>
      <c r="BZ971" s="17" t="n"/>
      <c r="CA971" s="16" t="n"/>
      <c r="CB971" s="20" t="n"/>
      <c r="CC971" s="20" t="inlineStr">
        <is>
          <t>None</t>
        </is>
      </c>
      <c r="CD971" s="17" t="n"/>
      <c r="CE971" s="16" t="n"/>
      <c r="CF971" s="20" t="n"/>
      <c r="CG971" s="20" t="inlineStr">
        <is>
          <t>None</t>
        </is>
      </c>
      <c r="CH971" s="17" t="n"/>
      <c r="CI971" s="16" t="n"/>
      <c r="CJ971" s="20" t="n"/>
      <c r="CK971" s="20" t="inlineStr">
        <is>
          <t>None</t>
        </is>
      </c>
      <c r="CL971" s="17" t="n"/>
      <c r="CM971" s="16" t="n"/>
      <c r="CN971" s="20" t="inlineStr">
        <is>
          <t>SOP 45-34</t>
        </is>
      </c>
      <c r="CO971" s="20" t="inlineStr">
        <is>
          <t>None</t>
        </is>
      </c>
      <c r="CP971" s="17" t="n"/>
      <c r="CQ971" s="16" t="n"/>
      <c r="CR971" s="20" t="n"/>
      <c r="CS971" s="20" t="inlineStr">
        <is>
          <t>None</t>
        </is>
      </c>
      <c r="CT971" s="17" t="n"/>
      <c r="CU971" s="16" t="n"/>
      <c r="CV971" s="20" t="n"/>
      <c r="CW971" s="20" t="inlineStr">
        <is>
          <t>None</t>
        </is>
      </c>
      <c r="CX971" s="17" t="n"/>
      <c r="CY971" s="16" t="n"/>
      <c r="CZ971" s="20" t="inlineStr">
        <is>
          <t>WTW Multimeter 3430 with FDO 925</t>
        </is>
      </c>
      <c r="DA971" s="20" t="inlineStr">
        <is>
          <t>None</t>
        </is>
      </c>
      <c r="DB971" s="17" t="n"/>
      <c r="DC971" s="16" t="n"/>
      <c r="DD971" s="20" t="n"/>
      <c r="DE971" s="20" t="inlineStr">
        <is>
          <t>None</t>
        </is>
      </c>
      <c r="DF971" s="17" t="n"/>
      <c r="DG971" s="16" t="n"/>
      <c r="DH971" s="20" t="inlineStr">
        <is>
          <t>SOP 45-09</t>
        </is>
      </c>
      <c r="DI971" s="20" t="inlineStr">
        <is>
          <t>None</t>
        </is>
      </c>
      <c r="DJ971" s="17" t="n"/>
      <c r="DK971" s="16" t="n"/>
      <c r="DL971" s="20" t="inlineStr">
        <is>
          <t>SOP 45-09 (SOP muss noch angepasst werden für VSS)</t>
        </is>
      </c>
      <c r="DM971" s="20" t="inlineStr">
        <is>
          <t>None</t>
        </is>
      </c>
      <c r="DN971" s="17" t="n"/>
      <c r="DO971" s="16" t="n"/>
      <c r="DP971" s="20" t="inlineStr">
        <is>
          <t>IC Organic Acids</t>
        </is>
      </c>
      <c r="DQ971" s="20" t="inlineStr">
        <is>
          <t>None</t>
        </is>
      </c>
      <c r="DR971" s="17" t="n"/>
      <c r="DS971" s="16" t="n"/>
      <c r="DT971" s="20" t="inlineStr">
        <is>
          <t>IC Organic Acids</t>
        </is>
      </c>
      <c r="DU971" s="20" t="inlineStr">
        <is>
          <t>None</t>
        </is>
      </c>
      <c r="DV971" s="17" t="n"/>
      <c r="DW971" s="16" t="n"/>
      <c r="DX971" s="20" t="inlineStr">
        <is>
          <t>IC Organic Acids</t>
        </is>
      </c>
      <c r="DY971" s="20" t="inlineStr">
        <is>
          <t>None</t>
        </is>
      </c>
      <c r="DZ971" s="17" t="n"/>
      <c r="EA971" s="16" t="n"/>
      <c r="EB971" s="20" t="inlineStr">
        <is>
          <t>IC Organic Acids</t>
        </is>
      </c>
      <c r="EC971" s="20" t="inlineStr">
        <is>
          <t>None</t>
        </is>
      </c>
      <c r="ED971" s="17" t="n"/>
      <c r="EE971" s="16" t="n"/>
      <c r="EF971" s="20" t="inlineStr">
        <is>
          <t>IC Organic Acids</t>
        </is>
      </c>
      <c r="EG971" s="20" t="inlineStr">
        <is>
          <t>None</t>
        </is>
      </c>
      <c r="EH971" s="17" t="n"/>
      <c r="EI971" s="16" t="n"/>
      <c r="EJ971" s="20" t="inlineStr">
        <is>
          <t>IC Organic Acids</t>
        </is>
      </c>
      <c r="EK971" s="20" t="inlineStr">
        <is>
          <t>None</t>
        </is>
      </c>
      <c r="EL971" s="17" t="n"/>
      <c r="EM971" s="16" t="n"/>
      <c r="EN971" s="20" t="inlineStr">
        <is>
          <t>IC Organic Acids</t>
        </is>
      </c>
      <c r="EO971" s="20" t="inlineStr">
        <is>
          <t>None</t>
        </is>
      </c>
      <c r="EP971" s="17" t="n"/>
      <c r="EQ971" s="16" t="n"/>
      <c r="ER971" s="20" t="inlineStr">
        <is>
          <t>IC Organic Acids</t>
        </is>
      </c>
      <c r="ES971" s="20" t="inlineStr">
        <is>
          <t>None</t>
        </is>
      </c>
      <c r="ET971" s="17" t="n"/>
      <c r="EU971" s="16" t="n"/>
      <c r="EV971" s="20" t="inlineStr">
        <is>
          <t>LC-MS</t>
        </is>
      </c>
      <c r="EW971" s="20" t="inlineStr">
        <is>
          <t>None</t>
        </is>
      </c>
      <c r="EX971" s="17" t="n"/>
      <c r="EY971" s="21" t="n"/>
      <c r="EZ971">
        <f>CONCATENATE(A971,B971)</f>
        <v/>
      </c>
      <c r="FA971">
        <f>CONCATENATE(SamplesX!A971,SamplesX!B971)</f>
        <v/>
      </c>
      <c r="FC971">
        <f>MATCH(EZ971,FA1:FA1008,0)</f>
        <v/>
      </c>
    </row>
    <row r="972">
      <c r="A972" s="16" t="n"/>
      <c r="B972" s="17" t="n"/>
      <c r="C972" s="10">
        <f>IF(ISNUMBER(FC972),INDIRECT("SamplesX!C"&amp;FC972),IF(ISNUMBER(FD972),INDIRECT("SamplesY!C"&amp;FD972),""))</f>
        <v/>
      </c>
      <c r="D972" s="12">
        <f>IF(ISNUMBER(FC972),INDIRECT("SamplesX!D"&amp;FC972),IF(ISNUMBER(FD972),INDIRECT("SamplesY!D"&amp;FD972),""))</f>
        <v/>
      </c>
      <c r="E972" s="12">
        <f>IF(ISNUMBER(FC972),INDIRECT("SamplesX!E"&amp;FC972),IF(ISNUMBER(FD972),INDIRECT("SamplesY!E"&amp;FD972),""))</f>
        <v/>
      </c>
      <c r="F972" s="11">
        <f>IF(ISNUMBER(FC972),INDIRECT("SamplesX!F"&amp;FC972),IF(ISNUMBER(FD972),INDIRECT("SamplesY!F"&amp;FD972),""))</f>
        <v/>
      </c>
      <c r="G972" s="18">
        <f>IF(ISNUMBER(FC972),INDIRECT("SamplesX!G"&amp;FC972),IF(ISNUMBER(FD972),INDIRECT("SamplesY!G"&amp;FD972),""))</f>
        <v/>
      </c>
      <c r="H972" s="19">
        <f>IF(ISNUMBER(FC972),INDIRECT("SamplesX!H"&amp;FC972),IF(ISNUMBER(FD972),INDIRECT("SamplesY!H"&amp;FD972),""))</f>
        <v/>
      </c>
      <c r="I972" s="16" t="n"/>
      <c r="J972" s="16" t="n"/>
      <c r="K972" s="16" t="n"/>
      <c r="L972" s="20" t="n"/>
      <c r="M972" s="20" t="inlineStr">
        <is>
          <t>None</t>
        </is>
      </c>
      <c r="N972" s="17" t="n"/>
      <c r="O972" s="16" t="n"/>
      <c r="P972" s="20" t="inlineStr">
        <is>
          <t>Shimadzu TOC-L</t>
        </is>
      </c>
      <c r="Q972" s="20" t="inlineStr">
        <is>
          <t>None</t>
        </is>
      </c>
      <c r="R972" s="17" t="n"/>
      <c r="S972" s="16" t="n"/>
      <c r="T972" s="20" t="inlineStr">
        <is>
          <t>Shimadzu TOC-L</t>
        </is>
      </c>
      <c r="U972" s="20" t="inlineStr">
        <is>
          <t>None</t>
        </is>
      </c>
      <c r="V972" s="17" t="n"/>
      <c r="W972" s="16" t="n"/>
      <c r="X972" s="20" t="n"/>
      <c r="Y972" s="20" t="inlineStr">
        <is>
          <t>None</t>
        </is>
      </c>
      <c r="Z972" s="17" t="n"/>
      <c r="AA972" s="16" t="n"/>
      <c r="AB972" s="20" t="n"/>
      <c r="AC972" s="20" t="inlineStr">
        <is>
          <t>None</t>
        </is>
      </c>
      <c r="AD972" s="17" t="n"/>
      <c r="AE972" s="16" t="n"/>
      <c r="AF972" s="20" t="inlineStr">
        <is>
          <t>IC Anionen</t>
        </is>
      </c>
      <c r="AG972" s="20" t="inlineStr">
        <is>
          <t>None</t>
        </is>
      </c>
      <c r="AH972" s="17" t="n"/>
      <c r="AI972" s="16" t="n"/>
      <c r="AJ972" s="20" t="n"/>
      <c r="AK972" s="20" t="inlineStr">
        <is>
          <t>None</t>
        </is>
      </c>
      <c r="AL972" s="17" t="n"/>
      <c r="AM972" s="16" t="n"/>
      <c r="AN972" s="20" t="inlineStr">
        <is>
          <t>IC Anionen</t>
        </is>
      </c>
      <c r="AO972" s="20" t="inlineStr">
        <is>
          <t>None</t>
        </is>
      </c>
      <c r="AP972" s="17" t="n"/>
      <c r="AQ972" s="16" t="n"/>
      <c r="AR972" s="20" t="n"/>
      <c r="AS972" s="20" t="inlineStr">
        <is>
          <t>None</t>
        </is>
      </c>
      <c r="AT972" s="17" t="n"/>
      <c r="AU972" s="16" t="n"/>
      <c r="AV972" s="20" t="n"/>
      <c r="AW972" s="20" t="inlineStr">
        <is>
          <t>None</t>
        </is>
      </c>
      <c r="AX972" s="17" t="n"/>
      <c r="AY972" s="16" t="n"/>
      <c r="AZ972" s="20" t="inlineStr">
        <is>
          <t>IC Anionen</t>
        </is>
      </c>
      <c r="BA972" s="20" t="inlineStr">
        <is>
          <t>None</t>
        </is>
      </c>
      <c r="BB972" s="17" t="n"/>
      <c r="BC972" s="16" t="n"/>
      <c r="BD972" s="20" t="inlineStr">
        <is>
          <t>IC Kationen</t>
        </is>
      </c>
      <c r="BE972" s="20" t="inlineStr">
        <is>
          <t>None</t>
        </is>
      </c>
      <c r="BF972" s="17" t="n"/>
      <c r="BG972" s="16" t="n"/>
      <c r="BH972" s="20" t="inlineStr">
        <is>
          <t>IC Kationen</t>
        </is>
      </c>
      <c r="BI972" s="20" t="inlineStr">
        <is>
          <t>None</t>
        </is>
      </c>
      <c r="BJ972" s="17" t="n"/>
      <c r="BK972" s="16" t="n"/>
      <c r="BL972" s="20" t="inlineStr">
        <is>
          <t>IC Kationen</t>
        </is>
      </c>
      <c r="BM972" s="20" t="inlineStr">
        <is>
          <t>None</t>
        </is>
      </c>
      <c r="BN972" s="17" t="n"/>
      <c r="BO972" s="16" t="n"/>
      <c r="BP972" s="20" t="inlineStr">
        <is>
          <t>IC Kationen</t>
        </is>
      </c>
      <c r="BQ972" s="20" t="inlineStr">
        <is>
          <t>None</t>
        </is>
      </c>
      <c r="BR972" s="17" t="n"/>
      <c r="BS972" s="16" t="n"/>
      <c r="BT972" s="20" t="inlineStr">
        <is>
          <t>IC Kationen</t>
        </is>
      </c>
      <c r="BU972" s="20" t="inlineStr">
        <is>
          <t>None</t>
        </is>
      </c>
      <c r="BV972" s="17" t="n"/>
      <c r="BW972" s="16" t="n"/>
      <c r="BX972" s="20" t="n"/>
      <c r="BY972" s="20" t="inlineStr">
        <is>
          <t>None</t>
        </is>
      </c>
      <c r="BZ972" s="17" t="n"/>
      <c r="CA972" s="16" t="n"/>
      <c r="CB972" s="20" t="n"/>
      <c r="CC972" s="20" t="inlineStr">
        <is>
          <t>None</t>
        </is>
      </c>
      <c r="CD972" s="17" t="n"/>
      <c r="CE972" s="16" t="n"/>
      <c r="CF972" s="20" t="n"/>
      <c r="CG972" s="20" t="inlineStr">
        <is>
          <t>None</t>
        </is>
      </c>
      <c r="CH972" s="17" t="n"/>
      <c r="CI972" s="16" t="n"/>
      <c r="CJ972" s="20" t="n"/>
      <c r="CK972" s="20" t="inlineStr">
        <is>
          <t>None</t>
        </is>
      </c>
      <c r="CL972" s="17" t="n"/>
      <c r="CM972" s="16" t="n"/>
      <c r="CN972" s="20" t="inlineStr">
        <is>
          <t>SOP 45-34</t>
        </is>
      </c>
      <c r="CO972" s="20" t="inlineStr">
        <is>
          <t>None</t>
        </is>
      </c>
      <c r="CP972" s="17" t="n"/>
      <c r="CQ972" s="16" t="n"/>
      <c r="CR972" s="20" t="n"/>
      <c r="CS972" s="20" t="inlineStr">
        <is>
          <t>None</t>
        </is>
      </c>
      <c r="CT972" s="17" t="n"/>
      <c r="CU972" s="16" t="n"/>
      <c r="CV972" s="20" t="n"/>
      <c r="CW972" s="20" t="inlineStr">
        <is>
          <t>None</t>
        </is>
      </c>
      <c r="CX972" s="17" t="n"/>
      <c r="CY972" s="16" t="n"/>
      <c r="CZ972" s="20" t="inlineStr">
        <is>
          <t>WTW Multimeter 3430 with FDO 925</t>
        </is>
      </c>
      <c r="DA972" s="20" t="inlineStr">
        <is>
          <t>None</t>
        </is>
      </c>
      <c r="DB972" s="17" t="n"/>
      <c r="DC972" s="16" t="n"/>
      <c r="DD972" s="20" t="n"/>
      <c r="DE972" s="20" t="inlineStr">
        <is>
          <t>None</t>
        </is>
      </c>
      <c r="DF972" s="17" t="n"/>
      <c r="DG972" s="16" t="n"/>
      <c r="DH972" s="20" t="inlineStr">
        <is>
          <t>SOP 45-09</t>
        </is>
      </c>
      <c r="DI972" s="20" t="inlineStr">
        <is>
          <t>None</t>
        </is>
      </c>
      <c r="DJ972" s="17" t="n"/>
      <c r="DK972" s="16" t="n"/>
      <c r="DL972" s="20" t="inlineStr">
        <is>
          <t>SOP 45-09 (SOP muss noch angepasst werden für VSS)</t>
        </is>
      </c>
      <c r="DM972" s="20" t="inlineStr">
        <is>
          <t>None</t>
        </is>
      </c>
      <c r="DN972" s="17" t="n"/>
      <c r="DO972" s="16" t="n"/>
      <c r="DP972" s="20" t="inlineStr">
        <is>
          <t>IC Organic Acids</t>
        </is>
      </c>
      <c r="DQ972" s="20" t="inlineStr">
        <is>
          <t>None</t>
        </is>
      </c>
      <c r="DR972" s="17" t="n"/>
      <c r="DS972" s="16" t="n"/>
      <c r="DT972" s="20" t="inlineStr">
        <is>
          <t>IC Organic Acids</t>
        </is>
      </c>
      <c r="DU972" s="20" t="inlineStr">
        <is>
          <t>None</t>
        </is>
      </c>
      <c r="DV972" s="17" t="n"/>
      <c r="DW972" s="16" t="n"/>
      <c r="DX972" s="20" t="inlineStr">
        <is>
          <t>IC Organic Acids</t>
        </is>
      </c>
      <c r="DY972" s="20" t="inlineStr">
        <is>
          <t>None</t>
        </is>
      </c>
      <c r="DZ972" s="17" t="n"/>
      <c r="EA972" s="16" t="n"/>
      <c r="EB972" s="20" t="inlineStr">
        <is>
          <t>IC Organic Acids</t>
        </is>
      </c>
      <c r="EC972" s="20" t="inlineStr">
        <is>
          <t>None</t>
        </is>
      </c>
      <c r="ED972" s="17" t="n"/>
      <c r="EE972" s="16" t="n"/>
      <c r="EF972" s="20" t="inlineStr">
        <is>
          <t>IC Organic Acids</t>
        </is>
      </c>
      <c r="EG972" s="20" t="inlineStr">
        <is>
          <t>None</t>
        </is>
      </c>
      <c r="EH972" s="17" t="n"/>
      <c r="EI972" s="16" t="n"/>
      <c r="EJ972" s="20" t="inlineStr">
        <is>
          <t>IC Organic Acids</t>
        </is>
      </c>
      <c r="EK972" s="20" t="inlineStr">
        <is>
          <t>None</t>
        </is>
      </c>
      <c r="EL972" s="17" t="n"/>
      <c r="EM972" s="16" t="n"/>
      <c r="EN972" s="20" t="inlineStr">
        <is>
          <t>IC Organic Acids</t>
        </is>
      </c>
      <c r="EO972" s="20" t="inlineStr">
        <is>
          <t>None</t>
        </is>
      </c>
      <c r="EP972" s="17" t="n"/>
      <c r="EQ972" s="16" t="n"/>
      <c r="ER972" s="20" t="inlineStr">
        <is>
          <t>IC Organic Acids</t>
        </is>
      </c>
      <c r="ES972" s="20" t="inlineStr">
        <is>
          <t>None</t>
        </is>
      </c>
      <c r="ET972" s="17" t="n"/>
      <c r="EU972" s="16" t="n"/>
      <c r="EV972" s="20" t="inlineStr">
        <is>
          <t>LC-MS</t>
        </is>
      </c>
      <c r="EW972" s="20" t="inlineStr">
        <is>
          <t>None</t>
        </is>
      </c>
      <c r="EX972" s="17" t="n"/>
      <c r="EY972" s="21" t="n"/>
      <c r="EZ972">
        <f>CONCATENATE(A972,B972)</f>
        <v/>
      </c>
      <c r="FA972">
        <f>CONCATENATE(SamplesX!A972,SamplesX!B972)</f>
        <v/>
      </c>
      <c r="FC972">
        <f>MATCH(EZ972,FA1:FA1008,0)</f>
        <v/>
      </c>
    </row>
    <row r="973">
      <c r="A973" s="16" t="n"/>
      <c r="B973" s="17" t="n"/>
      <c r="C973" s="10">
        <f>IF(ISNUMBER(FC973),INDIRECT("SamplesX!C"&amp;FC973),IF(ISNUMBER(FD973),INDIRECT("SamplesY!C"&amp;FD973),""))</f>
        <v/>
      </c>
      <c r="D973" s="12">
        <f>IF(ISNUMBER(FC973),INDIRECT("SamplesX!D"&amp;FC973),IF(ISNUMBER(FD973),INDIRECT("SamplesY!D"&amp;FD973),""))</f>
        <v/>
      </c>
      <c r="E973" s="12">
        <f>IF(ISNUMBER(FC973),INDIRECT("SamplesX!E"&amp;FC973),IF(ISNUMBER(FD973),INDIRECT("SamplesY!E"&amp;FD973),""))</f>
        <v/>
      </c>
      <c r="F973" s="11">
        <f>IF(ISNUMBER(FC973),INDIRECT("SamplesX!F"&amp;FC973),IF(ISNUMBER(FD973),INDIRECT("SamplesY!F"&amp;FD973),""))</f>
        <v/>
      </c>
      <c r="G973" s="18">
        <f>IF(ISNUMBER(FC973),INDIRECT("SamplesX!G"&amp;FC973),IF(ISNUMBER(FD973),INDIRECT("SamplesY!G"&amp;FD973),""))</f>
        <v/>
      </c>
      <c r="H973" s="19">
        <f>IF(ISNUMBER(FC973),INDIRECT("SamplesX!H"&amp;FC973),IF(ISNUMBER(FD973),INDIRECT("SamplesY!H"&amp;FD973),""))</f>
        <v/>
      </c>
      <c r="I973" s="16" t="n"/>
      <c r="J973" s="16" t="n"/>
      <c r="K973" s="16" t="n"/>
      <c r="L973" s="20" t="n"/>
      <c r="M973" s="20" t="inlineStr">
        <is>
          <t>None</t>
        </is>
      </c>
      <c r="N973" s="17" t="n"/>
      <c r="O973" s="16" t="n"/>
      <c r="P973" s="20" t="inlineStr">
        <is>
          <t>Shimadzu TOC-L</t>
        </is>
      </c>
      <c r="Q973" s="20" t="inlineStr">
        <is>
          <t>None</t>
        </is>
      </c>
      <c r="R973" s="17" t="n"/>
      <c r="S973" s="16" t="n"/>
      <c r="T973" s="20" t="inlineStr">
        <is>
          <t>Shimadzu TOC-L</t>
        </is>
      </c>
      <c r="U973" s="20" t="inlineStr">
        <is>
          <t>None</t>
        </is>
      </c>
      <c r="V973" s="17" t="n"/>
      <c r="W973" s="16" t="n"/>
      <c r="X973" s="20" t="n"/>
      <c r="Y973" s="20" t="inlineStr">
        <is>
          <t>None</t>
        </is>
      </c>
      <c r="Z973" s="17" t="n"/>
      <c r="AA973" s="16" t="n"/>
      <c r="AB973" s="20" t="n"/>
      <c r="AC973" s="20" t="inlineStr">
        <is>
          <t>None</t>
        </is>
      </c>
      <c r="AD973" s="17" t="n"/>
      <c r="AE973" s="16" t="n"/>
      <c r="AF973" s="20" t="inlineStr">
        <is>
          <t>IC Anionen</t>
        </is>
      </c>
      <c r="AG973" s="20" t="inlineStr">
        <is>
          <t>None</t>
        </is>
      </c>
      <c r="AH973" s="17" t="n"/>
      <c r="AI973" s="16" t="n"/>
      <c r="AJ973" s="20" t="n"/>
      <c r="AK973" s="20" t="inlineStr">
        <is>
          <t>None</t>
        </is>
      </c>
      <c r="AL973" s="17" t="n"/>
      <c r="AM973" s="16" t="n"/>
      <c r="AN973" s="20" t="inlineStr">
        <is>
          <t>IC Anionen</t>
        </is>
      </c>
      <c r="AO973" s="20" t="inlineStr">
        <is>
          <t>None</t>
        </is>
      </c>
      <c r="AP973" s="17" t="n"/>
      <c r="AQ973" s="16" t="n"/>
      <c r="AR973" s="20" t="n"/>
      <c r="AS973" s="20" t="inlineStr">
        <is>
          <t>None</t>
        </is>
      </c>
      <c r="AT973" s="17" t="n"/>
      <c r="AU973" s="16" t="n"/>
      <c r="AV973" s="20" t="n"/>
      <c r="AW973" s="20" t="inlineStr">
        <is>
          <t>None</t>
        </is>
      </c>
      <c r="AX973" s="17" t="n"/>
      <c r="AY973" s="16" t="n"/>
      <c r="AZ973" s="20" t="inlineStr">
        <is>
          <t>IC Anionen</t>
        </is>
      </c>
      <c r="BA973" s="20" t="inlineStr">
        <is>
          <t>None</t>
        </is>
      </c>
      <c r="BB973" s="17" t="n"/>
      <c r="BC973" s="16" t="n"/>
      <c r="BD973" s="20" t="inlineStr">
        <is>
          <t>IC Kationen</t>
        </is>
      </c>
      <c r="BE973" s="20" t="inlineStr">
        <is>
          <t>None</t>
        </is>
      </c>
      <c r="BF973" s="17" t="n"/>
      <c r="BG973" s="16" t="n"/>
      <c r="BH973" s="20" t="inlineStr">
        <is>
          <t>IC Kationen</t>
        </is>
      </c>
      <c r="BI973" s="20" t="inlineStr">
        <is>
          <t>None</t>
        </is>
      </c>
      <c r="BJ973" s="17" t="n"/>
      <c r="BK973" s="16" t="n"/>
      <c r="BL973" s="20" t="inlineStr">
        <is>
          <t>IC Kationen</t>
        </is>
      </c>
      <c r="BM973" s="20" t="inlineStr">
        <is>
          <t>None</t>
        </is>
      </c>
      <c r="BN973" s="17" t="n"/>
      <c r="BO973" s="16" t="n"/>
      <c r="BP973" s="20" t="inlineStr">
        <is>
          <t>IC Kationen</t>
        </is>
      </c>
      <c r="BQ973" s="20" t="inlineStr">
        <is>
          <t>None</t>
        </is>
      </c>
      <c r="BR973" s="17" t="n"/>
      <c r="BS973" s="16" t="n"/>
      <c r="BT973" s="20" t="inlineStr">
        <is>
          <t>IC Kationen</t>
        </is>
      </c>
      <c r="BU973" s="20" t="inlineStr">
        <is>
          <t>None</t>
        </is>
      </c>
      <c r="BV973" s="17" t="n"/>
      <c r="BW973" s="16" t="n"/>
      <c r="BX973" s="20" t="n"/>
      <c r="BY973" s="20" t="inlineStr">
        <is>
          <t>None</t>
        </is>
      </c>
      <c r="BZ973" s="17" t="n"/>
      <c r="CA973" s="16" t="n"/>
      <c r="CB973" s="20" t="n"/>
      <c r="CC973" s="20" t="inlineStr">
        <is>
          <t>None</t>
        </is>
      </c>
      <c r="CD973" s="17" t="n"/>
      <c r="CE973" s="16" t="n"/>
      <c r="CF973" s="20" t="n"/>
      <c r="CG973" s="20" t="inlineStr">
        <is>
          <t>None</t>
        </is>
      </c>
      <c r="CH973" s="17" t="n"/>
      <c r="CI973" s="16" t="n"/>
      <c r="CJ973" s="20" t="n"/>
      <c r="CK973" s="20" t="inlineStr">
        <is>
          <t>None</t>
        </is>
      </c>
      <c r="CL973" s="17" t="n"/>
      <c r="CM973" s="16" t="n"/>
      <c r="CN973" s="20" t="inlineStr">
        <is>
          <t>SOP 45-34</t>
        </is>
      </c>
      <c r="CO973" s="20" t="inlineStr">
        <is>
          <t>None</t>
        </is>
      </c>
      <c r="CP973" s="17" t="n"/>
      <c r="CQ973" s="16" t="n"/>
      <c r="CR973" s="20" t="n"/>
      <c r="CS973" s="20" t="inlineStr">
        <is>
          <t>None</t>
        </is>
      </c>
      <c r="CT973" s="17" t="n"/>
      <c r="CU973" s="16" t="n"/>
      <c r="CV973" s="20" t="n"/>
      <c r="CW973" s="20" t="inlineStr">
        <is>
          <t>None</t>
        </is>
      </c>
      <c r="CX973" s="17" t="n"/>
      <c r="CY973" s="16" t="n"/>
      <c r="CZ973" s="20" t="inlineStr">
        <is>
          <t>WTW Multimeter 3430 with FDO 925</t>
        </is>
      </c>
      <c r="DA973" s="20" t="inlineStr">
        <is>
          <t>None</t>
        </is>
      </c>
      <c r="DB973" s="17" t="n"/>
      <c r="DC973" s="16" t="n"/>
      <c r="DD973" s="20" t="n"/>
      <c r="DE973" s="20" t="inlineStr">
        <is>
          <t>None</t>
        </is>
      </c>
      <c r="DF973" s="17" t="n"/>
      <c r="DG973" s="16" t="n"/>
      <c r="DH973" s="20" t="inlineStr">
        <is>
          <t>SOP 45-09</t>
        </is>
      </c>
      <c r="DI973" s="20" t="inlineStr">
        <is>
          <t>None</t>
        </is>
      </c>
      <c r="DJ973" s="17" t="n"/>
      <c r="DK973" s="16" t="n"/>
      <c r="DL973" s="20" t="inlineStr">
        <is>
          <t>SOP 45-09 (SOP muss noch angepasst werden für VSS)</t>
        </is>
      </c>
      <c r="DM973" s="20" t="inlineStr">
        <is>
          <t>None</t>
        </is>
      </c>
      <c r="DN973" s="17" t="n"/>
      <c r="DO973" s="16" t="n"/>
      <c r="DP973" s="20" t="inlineStr">
        <is>
          <t>IC Organic Acids</t>
        </is>
      </c>
      <c r="DQ973" s="20" t="inlineStr">
        <is>
          <t>None</t>
        </is>
      </c>
      <c r="DR973" s="17" t="n"/>
      <c r="DS973" s="16" t="n"/>
      <c r="DT973" s="20" t="inlineStr">
        <is>
          <t>IC Organic Acids</t>
        </is>
      </c>
      <c r="DU973" s="20" t="inlineStr">
        <is>
          <t>None</t>
        </is>
      </c>
      <c r="DV973" s="17" t="n"/>
      <c r="DW973" s="16" t="n"/>
      <c r="DX973" s="20" t="inlineStr">
        <is>
          <t>IC Organic Acids</t>
        </is>
      </c>
      <c r="DY973" s="20" t="inlineStr">
        <is>
          <t>None</t>
        </is>
      </c>
      <c r="DZ973" s="17" t="n"/>
      <c r="EA973" s="16" t="n"/>
      <c r="EB973" s="20" t="inlineStr">
        <is>
          <t>IC Organic Acids</t>
        </is>
      </c>
      <c r="EC973" s="20" t="inlineStr">
        <is>
          <t>None</t>
        </is>
      </c>
      <c r="ED973" s="17" t="n"/>
      <c r="EE973" s="16" t="n"/>
      <c r="EF973" s="20" t="inlineStr">
        <is>
          <t>IC Organic Acids</t>
        </is>
      </c>
      <c r="EG973" s="20" t="inlineStr">
        <is>
          <t>None</t>
        </is>
      </c>
      <c r="EH973" s="17" t="n"/>
      <c r="EI973" s="16" t="n"/>
      <c r="EJ973" s="20" t="inlineStr">
        <is>
          <t>IC Organic Acids</t>
        </is>
      </c>
      <c r="EK973" s="20" t="inlineStr">
        <is>
          <t>None</t>
        </is>
      </c>
      <c r="EL973" s="17" t="n"/>
      <c r="EM973" s="16" t="n"/>
      <c r="EN973" s="20" t="inlineStr">
        <is>
          <t>IC Organic Acids</t>
        </is>
      </c>
      <c r="EO973" s="20" t="inlineStr">
        <is>
          <t>None</t>
        </is>
      </c>
      <c r="EP973" s="17" t="n"/>
      <c r="EQ973" s="16" t="n"/>
      <c r="ER973" s="20" t="inlineStr">
        <is>
          <t>IC Organic Acids</t>
        </is>
      </c>
      <c r="ES973" s="20" t="inlineStr">
        <is>
          <t>None</t>
        </is>
      </c>
      <c r="ET973" s="17" t="n"/>
      <c r="EU973" s="16" t="n"/>
      <c r="EV973" s="20" t="inlineStr">
        <is>
          <t>LC-MS</t>
        </is>
      </c>
      <c r="EW973" s="20" t="inlineStr">
        <is>
          <t>None</t>
        </is>
      </c>
      <c r="EX973" s="17" t="n"/>
      <c r="EY973" s="21" t="n"/>
      <c r="EZ973">
        <f>CONCATENATE(A973,B973)</f>
        <v/>
      </c>
      <c r="FA973">
        <f>CONCATENATE(SamplesX!A973,SamplesX!B973)</f>
        <v/>
      </c>
      <c r="FC973">
        <f>MATCH(EZ973,FA1:FA1008,0)</f>
        <v/>
      </c>
    </row>
    <row r="974">
      <c r="A974" s="16" t="n"/>
      <c r="B974" s="17" t="n"/>
      <c r="C974" s="10">
        <f>IF(ISNUMBER(FC974),INDIRECT("SamplesX!C"&amp;FC974),IF(ISNUMBER(FD974),INDIRECT("SamplesY!C"&amp;FD974),""))</f>
        <v/>
      </c>
      <c r="D974" s="12">
        <f>IF(ISNUMBER(FC974),INDIRECT("SamplesX!D"&amp;FC974),IF(ISNUMBER(FD974),INDIRECT("SamplesY!D"&amp;FD974),""))</f>
        <v/>
      </c>
      <c r="E974" s="12">
        <f>IF(ISNUMBER(FC974),INDIRECT("SamplesX!E"&amp;FC974),IF(ISNUMBER(FD974),INDIRECT("SamplesY!E"&amp;FD974),""))</f>
        <v/>
      </c>
      <c r="F974" s="11">
        <f>IF(ISNUMBER(FC974),INDIRECT("SamplesX!F"&amp;FC974),IF(ISNUMBER(FD974),INDIRECT("SamplesY!F"&amp;FD974),""))</f>
        <v/>
      </c>
      <c r="G974" s="18">
        <f>IF(ISNUMBER(FC974),INDIRECT("SamplesX!G"&amp;FC974),IF(ISNUMBER(FD974),INDIRECT("SamplesY!G"&amp;FD974),""))</f>
        <v/>
      </c>
      <c r="H974" s="19">
        <f>IF(ISNUMBER(FC974),INDIRECT("SamplesX!H"&amp;FC974),IF(ISNUMBER(FD974),INDIRECT("SamplesY!H"&amp;FD974),""))</f>
        <v/>
      </c>
      <c r="I974" s="16" t="n"/>
      <c r="J974" s="16" t="n"/>
      <c r="K974" s="16" t="n"/>
      <c r="L974" s="20" t="n"/>
      <c r="M974" s="20" t="inlineStr">
        <is>
          <t>None</t>
        </is>
      </c>
      <c r="N974" s="17" t="n"/>
      <c r="O974" s="16" t="n"/>
      <c r="P974" s="20" t="inlineStr">
        <is>
          <t>Shimadzu TOC-L</t>
        </is>
      </c>
      <c r="Q974" s="20" t="inlineStr">
        <is>
          <t>None</t>
        </is>
      </c>
      <c r="R974" s="17" t="n"/>
      <c r="S974" s="16" t="n"/>
      <c r="T974" s="20" t="inlineStr">
        <is>
          <t>Shimadzu TOC-L</t>
        </is>
      </c>
      <c r="U974" s="20" t="inlineStr">
        <is>
          <t>None</t>
        </is>
      </c>
      <c r="V974" s="17" t="n"/>
      <c r="W974" s="16" t="n"/>
      <c r="X974" s="20" t="n"/>
      <c r="Y974" s="20" t="inlineStr">
        <is>
          <t>None</t>
        </is>
      </c>
      <c r="Z974" s="17" t="n"/>
      <c r="AA974" s="16" t="n"/>
      <c r="AB974" s="20" t="n"/>
      <c r="AC974" s="20" t="inlineStr">
        <is>
          <t>None</t>
        </is>
      </c>
      <c r="AD974" s="17" t="n"/>
      <c r="AE974" s="16" t="n"/>
      <c r="AF974" s="20" t="inlineStr">
        <is>
          <t>IC Anionen</t>
        </is>
      </c>
      <c r="AG974" s="20" t="inlineStr">
        <is>
          <t>None</t>
        </is>
      </c>
      <c r="AH974" s="17" t="n"/>
      <c r="AI974" s="16" t="n"/>
      <c r="AJ974" s="20" t="n"/>
      <c r="AK974" s="20" t="inlineStr">
        <is>
          <t>None</t>
        </is>
      </c>
      <c r="AL974" s="17" t="n"/>
      <c r="AM974" s="16" t="n"/>
      <c r="AN974" s="20" t="inlineStr">
        <is>
          <t>IC Anionen</t>
        </is>
      </c>
      <c r="AO974" s="20" t="inlineStr">
        <is>
          <t>None</t>
        </is>
      </c>
      <c r="AP974" s="17" t="n"/>
      <c r="AQ974" s="16" t="n"/>
      <c r="AR974" s="20" t="n"/>
      <c r="AS974" s="20" t="inlineStr">
        <is>
          <t>None</t>
        </is>
      </c>
      <c r="AT974" s="17" t="n"/>
      <c r="AU974" s="16" t="n"/>
      <c r="AV974" s="20" t="n"/>
      <c r="AW974" s="20" t="inlineStr">
        <is>
          <t>None</t>
        </is>
      </c>
      <c r="AX974" s="17" t="n"/>
      <c r="AY974" s="16" t="n"/>
      <c r="AZ974" s="20" t="inlineStr">
        <is>
          <t>IC Anionen</t>
        </is>
      </c>
      <c r="BA974" s="20" t="inlineStr">
        <is>
          <t>None</t>
        </is>
      </c>
      <c r="BB974" s="17" t="n"/>
      <c r="BC974" s="16" t="n"/>
      <c r="BD974" s="20" t="inlineStr">
        <is>
          <t>IC Kationen</t>
        </is>
      </c>
      <c r="BE974" s="20" t="inlineStr">
        <is>
          <t>None</t>
        </is>
      </c>
      <c r="BF974" s="17" t="n"/>
      <c r="BG974" s="16" t="n"/>
      <c r="BH974" s="20" t="inlineStr">
        <is>
          <t>IC Kationen</t>
        </is>
      </c>
      <c r="BI974" s="20" t="inlineStr">
        <is>
          <t>None</t>
        </is>
      </c>
      <c r="BJ974" s="17" t="n"/>
      <c r="BK974" s="16" t="n"/>
      <c r="BL974" s="20" t="inlineStr">
        <is>
          <t>IC Kationen</t>
        </is>
      </c>
      <c r="BM974" s="20" t="inlineStr">
        <is>
          <t>None</t>
        </is>
      </c>
      <c r="BN974" s="17" t="n"/>
      <c r="BO974" s="16" t="n"/>
      <c r="BP974" s="20" t="inlineStr">
        <is>
          <t>IC Kationen</t>
        </is>
      </c>
      <c r="BQ974" s="20" t="inlineStr">
        <is>
          <t>None</t>
        </is>
      </c>
      <c r="BR974" s="17" t="n"/>
      <c r="BS974" s="16" t="n"/>
      <c r="BT974" s="20" t="inlineStr">
        <is>
          <t>IC Kationen</t>
        </is>
      </c>
      <c r="BU974" s="20" t="inlineStr">
        <is>
          <t>None</t>
        </is>
      </c>
      <c r="BV974" s="17" t="n"/>
      <c r="BW974" s="16" t="n"/>
      <c r="BX974" s="20" t="n"/>
      <c r="BY974" s="20" t="inlineStr">
        <is>
          <t>None</t>
        </is>
      </c>
      <c r="BZ974" s="17" t="n"/>
      <c r="CA974" s="16" t="n"/>
      <c r="CB974" s="20" t="n"/>
      <c r="CC974" s="20" t="inlineStr">
        <is>
          <t>None</t>
        </is>
      </c>
      <c r="CD974" s="17" t="n"/>
      <c r="CE974" s="16" t="n"/>
      <c r="CF974" s="20" t="n"/>
      <c r="CG974" s="20" t="inlineStr">
        <is>
          <t>None</t>
        </is>
      </c>
      <c r="CH974" s="17" t="n"/>
      <c r="CI974" s="16" t="n"/>
      <c r="CJ974" s="20" t="n"/>
      <c r="CK974" s="20" t="inlineStr">
        <is>
          <t>None</t>
        </is>
      </c>
      <c r="CL974" s="17" t="n"/>
      <c r="CM974" s="16" t="n"/>
      <c r="CN974" s="20" t="inlineStr">
        <is>
          <t>SOP 45-34</t>
        </is>
      </c>
      <c r="CO974" s="20" t="inlineStr">
        <is>
          <t>None</t>
        </is>
      </c>
      <c r="CP974" s="17" t="n"/>
      <c r="CQ974" s="16" t="n"/>
      <c r="CR974" s="20" t="n"/>
      <c r="CS974" s="20" t="inlineStr">
        <is>
          <t>None</t>
        </is>
      </c>
      <c r="CT974" s="17" t="n"/>
      <c r="CU974" s="16" t="n"/>
      <c r="CV974" s="20" t="n"/>
      <c r="CW974" s="20" t="inlineStr">
        <is>
          <t>None</t>
        </is>
      </c>
      <c r="CX974" s="17" t="n"/>
      <c r="CY974" s="16" t="n"/>
      <c r="CZ974" s="20" t="inlineStr">
        <is>
          <t>WTW Multimeter 3430 with FDO 925</t>
        </is>
      </c>
      <c r="DA974" s="20" t="inlineStr">
        <is>
          <t>None</t>
        </is>
      </c>
      <c r="DB974" s="17" t="n"/>
      <c r="DC974" s="16" t="n"/>
      <c r="DD974" s="20" t="n"/>
      <c r="DE974" s="20" t="inlineStr">
        <is>
          <t>None</t>
        </is>
      </c>
      <c r="DF974" s="17" t="n"/>
      <c r="DG974" s="16" t="n"/>
      <c r="DH974" s="20" t="inlineStr">
        <is>
          <t>SOP 45-09</t>
        </is>
      </c>
      <c r="DI974" s="20" t="inlineStr">
        <is>
          <t>None</t>
        </is>
      </c>
      <c r="DJ974" s="17" t="n"/>
      <c r="DK974" s="16" t="n"/>
      <c r="DL974" s="20" t="inlineStr">
        <is>
          <t>SOP 45-09 (SOP muss noch angepasst werden für VSS)</t>
        </is>
      </c>
      <c r="DM974" s="20" t="inlineStr">
        <is>
          <t>None</t>
        </is>
      </c>
      <c r="DN974" s="17" t="n"/>
      <c r="DO974" s="16" t="n"/>
      <c r="DP974" s="20" t="inlineStr">
        <is>
          <t>IC Organic Acids</t>
        </is>
      </c>
      <c r="DQ974" s="20" t="inlineStr">
        <is>
          <t>None</t>
        </is>
      </c>
      <c r="DR974" s="17" t="n"/>
      <c r="DS974" s="16" t="n"/>
      <c r="DT974" s="20" t="inlineStr">
        <is>
          <t>IC Organic Acids</t>
        </is>
      </c>
      <c r="DU974" s="20" t="inlineStr">
        <is>
          <t>None</t>
        </is>
      </c>
      <c r="DV974" s="17" t="n"/>
      <c r="DW974" s="16" t="n"/>
      <c r="DX974" s="20" t="inlineStr">
        <is>
          <t>IC Organic Acids</t>
        </is>
      </c>
      <c r="DY974" s="20" t="inlineStr">
        <is>
          <t>None</t>
        </is>
      </c>
      <c r="DZ974" s="17" t="n"/>
      <c r="EA974" s="16" t="n"/>
      <c r="EB974" s="20" t="inlineStr">
        <is>
          <t>IC Organic Acids</t>
        </is>
      </c>
      <c r="EC974" s="20" t="inlineStr">
        <is>
          <t>None</t>
        </is>
      </c>
      <c r="ED974" s="17" t="n"/>
      <c r="EE974" s="16" t="n"/>
      <c r="EF974" s="20" t="inlineStr">
        <is>
          <t>IC Organic Acids</t>
        </is>
      </c>
      <c r="EG974" s="20" t="inlineStr">
        <is>
          <t>None</t>
        </is>
      </c>
      <c r="EH974" s="17" t="n"/>
      <c r="EI974" s="16" t="n"/>
      <c r="EJ974" s="20" t="inlineStr">
        <is>
          <t>IC Organic Acids</t>
        </is>
      </c>
      <c r="EK974" s="20" t="inlineStr">
        <is>
          <t>None</t>
        </is>
      </c>
      <c r="EL974" s="17" t="n"/>
      <c r="EM974" s="16" t="n"/>
      <c r="EN974" s="20" t="inlineStr">
        <is>
          <t>IC Organic Acids</t>
        </is>
      </c>
      <c r="EO974" s="20" t="inlineStr">
        <is>
          <t>None</t>
        </is>
      </c>
      <c r="EP974" s="17" t="n"/>
      <c r="EQ974" s="16" t="n"/>
      <c r="ER974" s="20" t="inlineStr">
        <is>
          <t>IC Organic Acids</t>
        </is>
      </c>
      <c r="ES974" s="20" t="inlineStr">
        <is>
          <t>None</t>
        </is>
      </c>
      <c r="ET974" s="17" t="n"/>
      <c r="EU974" s="16" t="n"/>
      <c r="EV974" s="20" t="inlineStr">
        <is>
          <t>LC-MS</t>
        </is>
      </c>
      <c r="EW974" s="20" t="inlineStr">
        <is>
          <t>None</t>
        </is>
      </c>
      <c r="EX974" s="17" t="n"/>
      <c r="EY974" s="21" t="n"/>
      <c r="EZ974">
        <f>CONCATENATE(A974,B974)</f>
        <v/>
      </c>
      <c r="FA974">
        <f>CONCATENATE(SamplesX!A974,SamplesX!B974)</f>
        <v/>
      </c>
      <c r="FC974">
        <f>MATCH(EZ974,FA1:FA1008,0)</f>
        <v/>
      </c>
    </row>
    <row r="975">
      <c r="A975" s="16" t="n"/>
      <c r="B975" s="17" t="n"/>
      <c r="C975" s="10">
        <f>IF(ISNUMBER(FC975),INDIRECT("SamplesX!C"&amp;FC975),IF(ISNUMBER(FD975),INDIRECT("SamplesY!C"&amp;FD975),""))</f>
        <v/>
      </c>
      <c r="D975" s="12">
        <f>IF(ISNUMBER(FC975),INDIRECT("SamplesX!D"&amp;FC975),IF(ISNUMBER(FD975),INDIRECT("SamplesY!D"&amp;FD975),""))</f>
        <v/>
      </c>
      <c r="E975" s="12">
        <f>IF(ISNUMBER(FC975),INDIRECT("SamplesX!E"&amp;FC975),IF(ISNUMBER(FD975),INDIRECT("SamplesY!E"&amp;FD975),""))</f>
        <v/>
      </c>
      <c r="F975" s="11">
        <f>IF(ISNUMBER(FC975),INDIRECT("SamplesX!F"&amp;FC975),IF(ISNUMBER(FD975),INDIRECT("SamplesY!F"&amp;FD975),""))</f>
        <v/>
      </c>
      <c r="G975" s="18">
        <f>IF(ISNUMBER(FC975),INDIRECT("SamplesX!G"&amp;FC975),IF(ISNUMBER(FD975),INDIRECT("SamplesY!G"&amp;FD975),""))</f>
        <v/>
      </c>
      <c r="H975" s="19">
        <f>IF(ISNUMBER(FC975),INDIRECT("SamplesX!H"&amp;FC975),IF(ISNUMBER(FD975),INDIRECT("SamplesY!H"&amp;FD975),""))</f>
        <v/>
      </c>
      <c r="I975" s="16" t="n"/>
      <c r="J975" s="16" t="n"/>
      <c r="K975" s="16" t="n"/>
      <c r="L975" s="20" t="n"/>
      <c r="M975" s="20" t="inlineStr">
        <is>
          <t>None</t>
        </is>
      </c>
      <c r="N975" s="17" t="n"/>
      <c r="O975" s="16" t="n"/>
      <c r="P975" s="20" t="inlineStr">
        <is>
          <t>Shimadzu TOC-L</t>
        </is>
      </c>
      <c r="Q975" s="20" t="inlineStr">
        <is>
          <t>None</t>
        </is>
      </c>
      <c r="R975" s="17" t="n"/>
      <c r="S975" s="16" t="n"/>
      <c r="T975" s="20" t="inlineStr">
        <is>
          <t>Shimadzu TOC-L</t>
        </is>
      </c>
      <c r="U975" s="20" t="inlineStr">
        <is>
          <t>None</t>
        </is>
      </c>
      <c r="V975" s="17" t="n"/>
      <c r="W975" s="16" t="n"/>
      <c r="X975" s="20" t="n"/>
      <c r="Y975" s="20" t="inlineStr">
        <is>
          <t>None</t>
        </is>
      </c>
      <c r="Z975" s="17" t="n"/>
      <c r="AA975" s="16" t="n"/>
      <c r="AB975" s="20" t="n"/>
      <c r="AC975" s="20" t="inlineStr">
        <is>
          <t>None</t>
        </is>
      </c>
      <c r="AD975" s="17" t="n"/>
      <c r="AE975" s="16" t="n"/>
      <c r="AF975" s="20" t="inlineStr">
        <is>
          <t>IC Anionen</t>
        </is>
      </c>
      <c r="AG975" s="20" t="inlineStr">
        <is>
          <t>None</t>
        </is>
      </c>
      <c r="AH975" s="17" t="n"/>
      <c r="AI975" s="16" t="n"/>
      <c r="AJ975" s="20" t="n"/>
      <c r="AK975" s="20" t="inlineStr">
        <is>
          <t>None</t>
        </is>
      </c>
      <c r="AL975" s="17" t="n"/>
      <c r="AM975" s="16" t="n"/>
      <c r="AN975" s="20" t="inlineStr">
        <is>
          <t>IC Anionen</t>
        </is>
      </c>
      <c r="AO975" s="20" t="inlineStr">
        <is>
          <t>None</t>
        </is>
      </c>
      <c r="AP975" s="17" t="n"/>
      <c r="AQ975" s="16" t="n"/>
      <c r="AR975" s="20" t="n"/>
      <c r="AS975" s="20" t="inlineStr">
        <is>
          <t>None</t>
        </is>
      </c>
      <c r="AT975" s="17" t="n"/>
      <c r="AU975" s="16" t="n"/>
      <c r="AV975" s="20" t="n"/>
      <c r="AW975" s="20" t="inlineStr">
        <is>
          <t>None</t>
        </is>
      </c>
      <c r="AX975" s="17" t="n"/>
      <c r="AY975" s="16" t="n"/>
      <c r="AZ975" s="20" t="inlineStr">
        <is>
          <t>IC Anionen</t>
        </is>
      </c>
      <c r="BA975" s="20" t="inlineStr">
        <is>
          <t>None</t>
        </is>
      </c>
      <c r="BB975" s="17" t="n"/>
      <c r="BC975" s="16" t="n"/>
      <c r="BD975" s="20" t="inlineStr">
        <is>
          <t>IC Kationen</t>
        </is>
      </c>
      <c r="BE975" s="20" t="inlineStr">
        <is>
          <t>None</t>
        </is>
      </c>
      <c r="BF975" s="17" t="n"/>
      <c r="BG975" s="16" t="n"/>
      <c r="BH975" s="20" t="inlineStr">
        <is>
          <t>IC Kationen</t>
        </is>
      </c>
      <c r="BI975" s="20" t="inlineStr">
        <is>
          <t>None</t>
        </is>
      </c>
      <c r="BJ975" s="17" t="n"/>
      <c r="BK975" s="16" t="n"/>
      <c r="BL975" s="20" t="inlineStr">
        <is>
          <t>IC Kationen</t>
        </is>
      </c>
      <c r="BM975" s="20" t="inlineStr">
        <is>
          <t>None</t>
        </is>
      </c>
      <c r="BN975" s="17" t="n"/>
      <c r="BO975" s="16" t="n"/>
      <c r="BP975" s="20" t="inlineStr">
        <is>
          <t>IC Kationen</t>
        </is>
      </c>
      <c r="BQ975" s="20" t="inlineStr">
        <is>
          <t>None</t>
        </is>
      </c>
      <c r="BR975" s="17" t="n"/>
      <c r="BS975" s="16" t="n"/>
      <c r="BT975" s="20" t="inlineStr">
        <is>
          <t>IC Kationen</t>
        </is>
      </c>
      <c r="BU975" s="20" t="inlineStr">
        <is>
          <t>None</t>
        </is>
      </c>
      <c r="BV975" s="17" t="n"/>
      <c r="BW975" s="16" t="n"/>
      <c r="BX975" s="20" t="n"/>
      <c r="BY975" s="20" t="inlineStr">
        <is>
          <t>None</t>
        </is>
      </c>
      <c r="BZ975" s="17" t="n"/>
      <c r="CA975" s="16" t="n"/>
      <c r="CB975" s="20" t="n"/>
      <c r="CC975" s="20" t="inlineStr">
        <is>
          <t>None</t>
        </is>
      </c>
      <c r="CD975" s="17" t="n"/>
      <c r="CE975" s="16" t="n"/>
      <c r="CF975" s="20" t="n"/>
      <c r="CG975" s="20" t="inlineStr">
        <is>
          <t>None</t>
        </is>
      </c>
      <c r="CH975" s="17" t="n"/>
      <c r="CI975" s="16" t="n"/>
      <c r="CJ975" s="20" t="n"/>
      <c r="CK975" s="20" t="inlineStr">
        <is>
          <t>None</t>
        </is>
      </c>
      <c r="CL975" s="17" t="n"/>
      <c r="CM975" s="16" t="n"/>
      <c r="CN975" s="20" t="inlineStr">
        <is>
          <t>SOP 45-34</t>
        </is>
      </c>
      <c r="CO975" s="20" t="inlineStr">
        <is>
          <t>None</t>
        </is>
      </c>
      <c r="CP975" s="17" t="n"/>
      <c r="CQ975" s="16" t="n"/>
      <c r="CR975" s="20" t="n"/>
      <c r="CS975" s="20" t="inlineStr">
        <is>
          <t>None</t>
        </is>
      </c>
      <c r="CT975" s="17" t="n"/>
      <c r="CU975" s="16" t="n"/>
      <c r="CV975" s="20" t="n"/>
      <c r="CW975" s="20" t="inlineStr">
        <is>
          <t>None</t>
        </is>
      </c>
      <c r="CX975" s="17" t="n"/>
      <c r="CY975" s="16" t="n"/>
      <c r="CZ975" s="20" t="inlineStr">
        <is>
          <t>WTW Multimeter 3430 with FDO 925</t>
        </is>
      </c>
      <c r="DA975" s="20" t="inlineStr">
        <is>
          <t>None</t>
        </is>
      </c>
      <c r="DB975" s="17" t="n"/>
      <c r="DC975" s="16" t="n"/>
      <c r="DD975" s="20" t="n"/>
      <c r="DE975" s="20" t="inlineStr">
        <is>
          <t>None</t>
        </is>
      </c>
      <c r="DF975" s="17" t="n"/>
      <c r="DG975" s="16" t="n"/>
      <c r="DH975" s="20" t="inlineStr">
        <is>
          <t>SOP 45-09</t>
        </is>
      </c>
      <c r="DI975" s="20" t="inlineStr">
        <is>
          <t>None</t>
        </is>
      </c>
      <c r="DJ975" s="17" t="n"/>
      <c r="DK975" s="16" t="n"/>
      <c r="DL975" s="20" t="inlineStr">
        <is>
          <t>SOP 45-09 (SOP muss noch angepasst werden für VSS)</t>
        </is>
      </c>
      <c r="DM975" s="20" t="inlineStr">
        <is>
          <t>None</t>
        </is>
      </c>
      <c r="DN975" s="17" t="n"/>
      <c r="DO975" s="16" t="n"/>
      <c r="DP975" s="20" t="inlineStr">
        <is>
          <t>IC Organic Acids</t>
        </is>
      </c>
      <c r="DQ975" s="20" t="inlineStr">
        <is>
          <t>None</t>
        </is>
      </c>
      <c r="DR975" s="17" t="n"/>
      <c r="DS975" s="16" t="n"/>
      <c r="DT975" s="20" t="inlineStr">
        <is>
          <t>IC Organic Acids</t>
        </is>
      </c>
      <c r="DU975" s="20" t="inlineStr">
        <is>
          <t>None</t>
        </is>
      </c>
      <c r="DV975" s="17" t="n"/>
      <c r="DW975" s="16" t="n"/>
      <c r="DX975" s="20" t="inlineStr">
        <is>
          <t>IC Organic Acids</t>
        </is>
      </c>
      <c r="DY975" s="20" t="inlineStr">
        <is>
          <t>None</t>
        </is>
      </c>
      <c r="DZ975" s="17" t="n"/>
      <c r="EA975" s="16" t="n"/>
      <c r="EB975" s="20" t="inlineStr">
        <is>
          <t>IC Organic Acids</t>
        </is>
      </c>
      <c r="EC975" s="20" t="inlineStr">
        <is>
          <t>None</t>
        </is>
      </c>
      <c r="ED975" s="17" t="n"/>
      <c r="EE975" s="16" t="n"/>
      <c r="EF975" s="20" t="inlineStr">
        <is>
          <t>IC Organic Acids</t>
        </is>
      </c>
      <c r="EG975" s="20" t="inlineStr">
        <is>
          <t>None</t>
        </is>
      </c>
      <c r="EH975" s="17" t="n"/>
      <c r="EI975" s="16" t="n"/>
      <c r="EJ975" s="20" t="inlineStr">
        <is>
          <t>IC Organic Acids</t>
        </is>
      </c>
      <c r="EK975" s="20" t="inlineStr">
        <is>
          <t>None</t>
        </is>
      </c>
      <c r="EL975" s="17" t="n"/>
      <c r="EM975" s="16" t="n"/>
      <c r="EN975" s="20" t="inlineStr">
        <is>
          <t>IC Organic Acids</t>
        </is>
      </c>
      <c r="EO975" s="20" t="inlineStr">
        <is>
          <t>None</t>
        </is>
      </c>
      <c r="EP975" s="17" t="n"/>
      <c r="EQ975" s="16" t="n"/>
      <c r="ER975" s="20" t="inlineStr">
        <is>
          <t>IC Organic Acids</t>
        </is>
      </c>
      <c r="ES975" s="20" t="inlineStr">
        <is>
          <t>None</t>
        </is>
      </c>
      <c r="ET975" s="17" t="n"/>
      <c r="EU975" s="16" t="n"/>
      <c r="EV975" s="20" t="inlineStr">
        <is>
          <t>LC-MS</t>
        </is>
      </c>
      <c r="EW975" s="20" t="inlineStr">
        <is>
          <t>None</t>
        </is>
      </c>
      <c r="EX975" s="17" t="n"/>
      <c r="EY975" s="21" t="n"/>
      <c r="EZ975">
        <f>CONCATENATE(A975,B975)</f>
        <v/>
      </c>
      <c r="FA975">
        <f>CONCATENATE(SamplesX!A975,SamplesX!B975)</f>
        <v/>
      </c>
      <c r="FC975">
        <f>MATCH(EZ975,FA1:FA1008,0)</f>
        <v/>
      </c>
    </row>
    <row r="976">
      <c r="A976" s="16" t="n"/>
      <c r="B976" s="17" t="n"/>
      <c r="C976" s="10">
        <f>IF(ISNUMBER(FC976),INDIRECT("SamplesX!C"&amp;FC976),IF(ISNUMBER(FD976),INDIRECT("SamplesY!C"&amp;FD976),""))</f>
        <v/>
      </c>
      <c r="D976" s="12">
        <f>IF(ISNUMBER(FC976),INDIRECT("SamplesX!D"&amp;FC976),IF(ISNUMBER(FD976),INDIRECT("SamplesY!D"&amp;FD976),""))</f>
        <v/>
      </c>
      <c r="E976" s="12">
        <f>IF(ISNUMBER(FC976),INDIRECT("SamplesX!E"&amp;FC976),IF(ISNUMBER(FD976),INDIRECT("SamplesY!E"&amp;FD976),""))</f>
        <v/>
      </c>
      <c r="F976" s="11">
        <f>IF(ISNUMBER(FC976),INDIRECT("SamplesX!F"&amp;FC976),IF(ISNUMBER(FD976),INDIRECT("SamplesY!F"&amp;FD976),""))</f>
        <v/>
      </c>
      <c r="G976" s="18">
        <f>IF(ISNUMBER(FC976),INDIRECT("SamplesX!G"&amp;FC976),IF(ISNUMBER(FD976),INDIRECT("SamplesY!G"&amp;FD976),""))</f>
        <v/>
      </c>
      <c r="H976" s="19">
        <f>IF(ISNUMBER(FC976),INDIRECT("SamplesX!H"&amp;FC976),IF(ISNUMBER(FD976),INDIRECT("SamplesY!H"&amp;FD976),""))</f>
        <v/>
      </c>
      <c r="I976" s="16" t="n"/>
      <c r="J976" s="16" t="n"/>
      <c r="K976" s="16" t="n"/>
      <c r="L976" s="20" t="n"/>
      <c r="M976" s="20" t="inlineStr">
        <is>
          <t>None</t>
        </is>
      </c>
      <c r="N976" s="17" t="n"/>
      <c r="O976" s="16" t="n"/>
      <c r="P976" s="20" t="inlineStr">
        <is>
          <t>Shimadzu TOC-L</t>
        </is>
      </c>
      <c r="Q976" s="20" t="inlineStr">
        <is>
          <t>None</t>
        </is>
      </c>
      <c r="R976" s="17" t="n"/>
      <c r="S976" s="16" t="n"/>
      <c r="T976" s="20" t="inlineStr">
        <is>
          <t>Shimadzu TOC-L</t>
        </is>
      </c>
      <c r="U976" s="20" t="inlineStr">
        <is>
          <t>None</t>
        </is>
      </c>
      <c r="V976" s="17" t="n"/>
      <c r="W976" s="16" t="n"/>
      <c r="X976" s="20" t="n"/>
      <c r="Y976" s="20" t="inlineStr">
        <is>
          <t>None</t>
        </is>
      </c>
      <c r="Z976" s="17" t="n"/>
      <c r="AA976" s="16" t="n"/>
      <c r="AB976" s="20" t="n"/>
      <c r="AC976" s="20" t="inlineStr">
        <is>
          <t>None</t>
        </is>
      </c>
      <c r="AD976" s="17" t="n"/>
      <c r="AE976" s="16" t="n"/>
      <c r="AF976" s="20" t="inlineStr">
        <is>
          <t>IC Anionen</t>
        </is>
      </c>
      <c r="AG976" s="20" t="inlineStr">
        <is>
          <t>None</t>
        </is>
      </c>
      <c r="AH976" s="17" t="n"/>
      <c r="AI976" s="16" t="n"/>
      <c r="AJ976" s="20" t="n"/>
      <c r="AK976" s="20" t="inlineStr">
        <is>
          <t>None</t>
        </is>
      </c>
      <c r="AL976" s="17" t="n"/>
      <c r="AM976" s="16" t="n"/>
      <c r="AN976" s="20" t="inlineStr">
        <is>
          <t>IC Anionen</t>
        </is>
      </c>
      <c r="AO976" s="20" t="inlineStr">
        <is>
          <t>None</t>
        </is>
      </c>
      <c r="AP976" s="17" t="n"/>
      <c r="AQ976" s="16" t="n"/>
      <c r="AR976" s="20" t="n"/>
      <c r="AS976" s="20" t="inlineStr">
        <is>
          <t>None</t>
        </is>
      </c>
      <c r="AT976" s="17" t="n"/>
      <c r="AU976" s="16" t="n"/>
      <c r="AV976" s="20" t="n"/>
      <c r="AW976" s="20" t="inlineStr">
        <is>
          <t>None</t>
        </is>
      </c>
      <c r="AX976" s="17" t="n"/>
      <c r="AY976" s="16" t="n"/>
      <c r="AZ976" s="20" t="inlineStr">
        <is>
          <t>IC Anionen</t>
        </is>
      </c>
      <c r="BA976" s="20" t="inlineStr">
        <is>
          <t>None</t>
        </is>
      </c>
      <c r="BB976" s="17" t="n"/>
      <c r="BC976" s="16" t="n"/>
      <c r="BD976" s="20" t="inlineStr">
        <is>
          <t>IC Kationen</t>
        </is>
      </c>
      <c r="BE976" s="20" t="inlineStr">
        <is>
          <t>None</t>
        </is>
      </c>
      <c r="BF976" s="17" t="n"/>
      <c r="BG976" s="16" t="n"/>
      <c r="BH976" s="20" t="inlineStr">
        <is>
          <t>IC Kationen</t>
        </is>
      </c>
      <c r="BI976" s="20" t="inlineStr">
        <is>
          <t>None</t>
        </is>
      </c>
      <c r="BJ976" s="17" t="n"/>
      <c r="BK976" s="16" t="n"/>
      <c r="BL976" s="20" t="inlineStr">
        <is>
          <t>IC Kationen</t>
        </is>
      </c>
      <c r="BM976" s="20" t="inlineStr">
        <is>
          <t>None</t>
        </is>
      </c>
      <c r="BN976" s="17" t="n"/>
      <c r="BO976" s="16" t="n"/>
      <c r="BP976" s="20" t="inlineStr">
        <is>
          <t>IC Kationen</t>
        </is>
      </c>
      <c r="BQ976" s="20" t="inlineStr">
        <is>
          <t>None</t>
        </is>
      </c>
      <c r="BR976" s="17" t="n"/>
      <c r="BS976" s="16" t="n"/>
      <c r="BT976" s="20" t="inlineStr">
        <is>
          <t>IC Kationen</t>
        </is>
      </c>
      <c r="BU976" s="20" t="inlineStr">
        <is>
          <t>None</t>
        </is>
      </c>
      <c r="BV976" s="17" t="n"/>
      <c r="BW976" s="16" t="n"/>
      <c r="BX976" s="20" t="n"/>
      <c r="BY976" s="20" t="inlineStr">
        <is>
          <t>None</t>
        </is>
      </c>
      <c r="BZ976" s="17" t="n"/>
      <c r="CA976" s="16" t="n"/>
      <c r="CB976" s="20" t="n"/>
      <c r="CC976" s="20" t="inlineStr">
        <is>
          <t>None</t>
        </is>
      </c>
      <c r="CD976" s="17" t="n"/>
      <c r="CE976" s="16" t="n"/>
      <c r="CF976" s="20" t="n"/>
      <c r="CG976" s="20" t="inlineStr">
        <is>
          <t>None</t>
        </is>
      </c>
      <c r="CH976" s="17" t="n"/>
      <c r="CI976" s="16" t="n"/>
      <c r="CJ976" s="20" t="n"/>
      <c r="CK976" s="20" t="inlineStr">
        <is>
          <t>None</t>
        </is>
      </c>
      <c r="CL976" s="17" t="n"/>
      <c r="CM976" s="16" t="n"/>
      <c r="CN976" s="20" t="inlineStr">
        <is>
          <t>SOP 45-34</t>
        </is>
      </c>
      <c r="CO976" s="20" t="inlineStr">
        <is>
          <t>None</t>
        </is>
      </c>
      <c r="CP976" s="17" t="n"/>
      <c r="CQ976" s="16" t="n"/>
      <c r="CR976" s="20" t="n"/>
      <c r="CS976" s="20" t="inlineStr">
        <is>
          <t>None</t>
        </is>
      </c>
      <c r="CT976" s="17" t="n"/>
      <c r="CU976" s="16" t="n"/>
      <c r="CV976" s="20" t="n"/>
      <c r="CW976" s="20" t="inlineStr">
        <is>
          <t>None</t>
        </is>
      </c>
      <c r="CX976" s="17" t="n"/>
      <c r="CY976" s="16" t="n"/>
      <c r="CZ976" s="20" t="inlineStr">
        <is>
          <t>WTW Multimeter 3430 with FDO 925</t>
        </is>
      </c>
      <c r="DA976" s="20" t="inlineStr">
        <is>
          <t>None</t>
        </is>
      </c>
      <c r="DB976" s="17" t="n"/>
      <c r="DC976" s="16" t="n"/>
      <c r="DD976" s="20" t="n"/>
      <c r="DE976" s="20" t="inlineStr">
        <is>
          <t>None</t>
        </is>
      </c>
      <c r="DF976" s="17" t="n"/>
      <c r="DG976" s="16" t="n"/>
      <c r="DH976" s="20" t="inlineStr">
        <is>
          <t>SOP 45-09</t>
        </is>
      </c>
      <c r="DI976" s="20" t="inlineStr">
        <is>
          <t>None</t>
        </is>
      </c>
      <c r="DJ976" s="17" t="n"/>
      <c r="DK976" s="16" t="n"/>
      <c r="DL976" s="20" t="inlineStr">
        <is>
          <t>SOP 45-09 (SOP muss noch angepasst werden für VSS)</t>
        </is>
      </c>
      <c r="DM976" s="20" t="inlineStr">
        <is>
          <t>None</t>
        </is>
      </c>
      <c r="DN976" s="17" t="n"/>
      <c r="DO976" s="16" t="n"/>
      <c r="DP976" s="20" t="inlineStr">
        <is>
          <t>IC Organic Acids</t>
        </is>
      </c>
      <c r="DQ976" s="20" t="inlineStr">
        <is>
          <t>None</t>
        </is>
      </c>
      <c r="DR976" s="17" t="n"/>
      <c r="DS976" s="16" t="n"/>
      <c r="DT976" s="20" t="inlineStr">
        <is>
          <t>IC Organic Acids</t>
        </is>
      </c>
      <c r="DU976" s="20" t="inlineStr">
        <is>
          <t>None</t>
        </is>
      </c>
      <c r="DV976" s="17" t="n"/>
      <c r="DW976" s="16" t="n"/>
      <c r="DX976" s="20" t="inlineStr">
        <is>
          <t>IC Organic Acids</t>
        </is>
      </c>
      <c r="DY976" s="20" t="inlineStr">
        <is>
          <t>None</t>
        </is>
      </c>
      <c r="DZ976" s="17" t="n"/>
      <c r="EA976" s="16" t="n"/>
      <c r="EB976" s="20" t="inlineStr">
        <is>
          <t>IC Organic Acids</t>
        </is>
      </c>
      <c r="EC976" s="20" t="inlineStr">
        <is>
          <t>None</t>
        </is>
      </c>
      <c r="ED976" s="17" t="n"/>
      <c r="EE976" s="16" t="n"/>
      <c r="EF976" s="20" t="inlineStr">
        <is>
          <t>IC Organic Acids</t>
        </is>
      </c>
      <c r="EG976" s="20" t="inlineStr">
        <is>
          <t>None</t>
        </is>
      </c>
      <c r="EH976" s="17" t="n"/>
      <c r="EI976" s="16" t="n"/>
      <c r="EJ976" s="20" t="inlineStr">
        <is>
          <t>IC Organic Acids</t>
        </is>
      </c>
      <c r="EK976" s="20" t="inlineStr">
        <is>
          <t>None</t>
        </is>
      </c>
      <c r="EL976" s="17" t="n"/>
      <c r="EM976" s="16" t="n"/>
      <c r="EN976" s="20" t="inlineStr">
        <is>
          <t>IC Organic Acids</t>
        </is>
      </c>
      <c r="EO976" s="20" t="inlineStr">
        <is>
          <t>None</t>
        </is>
      </c>
      <c r="EP976" s="17" t="n"/>
      <c r="EQ976" s="16" t="n"/>
      <c r="ER976" s="20" t="inlineStr">
        <is>
          <t>IC Organic Acids</t>
        </is>
      </c>
      <c r="ES976" s="20" t="inlineStr">
        <is>
          <t>None</t>
        </is>
      </c>
      <c r="ET976" s="17" t="n"/>
      <c r="EU976" s="16" t="n"/>
      <c r="EV976" s="20" t="inlineStr">
        <is>
          <t>LC-MS</t>
        </is>
      </c>
      <c r="EW976" s="20" t="inlineStr">
        <is>
          <t>None</t>
        </is>
      </c>
      <c r="EX976" s="17" t="n"/>
      <c r="EY976" s="21" t="n"/>
      <c r="EZ976">
        <f>CONCATENATE(A976,B976)</f>
        <v/>
      </c>
      <c r="FA976">
        <f>CONCATENATE(SamplesX!A976,SamplesX!B976)</f>
        <v/>
      </c>
      <c r="FC976">
        <f>MATCH(EZ976,FA1:FA1008,0)</f>
        <v/>
      </c>
    </row>
    <row r="977">
      <c r="A977" s="16" t="n"/>
      <c r="B977" s="17" t="n"/>
      <c r="C977" s="10">
        <f>IF(ISNUMBER(FC977),INDIRECT("SamplesX!C"&amp;FC977),IF(ISNUMBER(FD977),INDIRECT("SamplesY!C"&amp;FD977),""))</f>
        <v/>
      </c>
      <c r="D977" s="12">
        <f>IF(ISNUMBER(FC977),INDIRECT("SamplesX!D"&amp;FC977),IF(ISNUMBER(FD977),INDIRECT("SamplesY!D"&amp;FD977),""))</f>
        <v/>
      </c>
      <c r="E977" s="12">
        <f>IF(ISNUMBER(FC977),INDIRECT("SamplesX!E"&amp;FC977),IF(ISNUMBER(FD977),INDIRECT("SamplesY!E"&amp;FD977),""))</f>
        <v/>
      </c>
      <c r="F977" s="11">
        <f>IF(ISNUMBER(FC977),INDIRECT("SamplesX!F"&amp;FC977),IF(ISNUMBER(FD977),INDIRECT("SamplesY!F"&amp;FD977),""))</f>
        <v/>
      </c>
      <c r="G977" s="18">
        <f>IF(ISNUMBER(FC977),INDIRECT("SamplesX!G"&amp;FC977),IF(ISNUMBER(FD977),INDIRECT("SamplesY!G"&amp;FD977),""))</f>
        <v/>
      </c>
      <c r="H977" s="19">
        <f>IF(ISNUMBER(FC977),INDIRECT("SamplesX!H"&amp;FC977),IF(ISNUMBER(FD977),INDIRECT("SamplesY!H"&amp;FD977),""))</f>
        <v/>
      </c>
      <c r="I977" s="16" t="n"/>
      <c r="J977" s="16" t="n"/>
      <c r="K977" s="16" t="n"/>
      <c r="L977" s="20" t="n"/>
      <c r="M977" s="20" t="inlineStr">
        <is>
          <t>None</t>
        </is>
      </c>
      <c r="N977" s="17" t="n"/>
      <c r="O977" s="16" t="n"/>
      <c r="P977" s="20" t="inlineStr">
        <is>
          <t>Shimadzu TOC-L</t>
        </is>
      </c>
      <c r="Q977" s="20" t="inlineStr">
        <is>
          <t>None</t>
        </is>
      </c>
      <c r="R977" s="17" t="n"/>
      <c r="S977" s="16" t="n"/>
      <c r="T977" s="20" t="inlineStr">
        <is>
          <t>Shimadzu TOC-L</t>
        </is>
      </c>
      <c r="U977" s="20" t="inlineStr">
        <is>
          <t>None</t>
        </is>
      </c>
      <c r="V977" s="17" t="n"/>
      <c r="W977" s="16" t="n"/>
      <c r="X977" s="20" t="n"/>
      <c r="Y977" s="20" t="inlineStr">
        <is>
          <t>None</t>
        </is>
      </c>
      <c r="Z977" s="17" t="n"/>
      <c r="AA977" s="16" t="n"/>
      <c r="AB977" s="20" t="n"/>
      <c r="AC977" s="20" t="inlineStr">
        <is>
          <t>None</t>
        </is>
      </c>
      <c r="AD977" s="17" t="n"/>
      <c r="AE977" s="16" t="n"/>
      <c r="AF977" s="20" t="inlineStr">
        <is>
          <t>IC Anionen</t>
        </is>
      </c>
      <c r="AG977" s="20" t="inlineStr">
        <is>
          <t>None</t>
        </is>
      </c>
      <c r="AH977" s="17" t="n"/>
      <c r="AI977" s="16" t="n"/>
      <c r="AJ977" s="20" t="n"/>
      <c r="AK977" s="20" t="inlineStr">
        <is>
          <t>None</t>
        </is>
      </c>
      <c r="AL977" s="17" t="n"/>
      <c r="AM977" s="16" t="n"/>
      <c r="AN977" s="20" t="inlineStr">
        <is>
          <t>IC Anionen</t>
        </is>
      </c>
      <c r="AO977" s="20" t="inlineStr">
        <is>
          <t>None</t>
        </is>
      </c>
      <c r="AP977" s="17" t="n"/>
      <c r="AQ977" s="16" t="n"/>
      <c r="AR977" s="20" t="n"/>
      <c r="AS977" s="20" t="inlineStr">
        <is>
          <t>None</t>
        </is>
      </c>
      <c r="AT977" s="17" t="n"/>
      <c r="AU977" s="16" t="n"/>
      <c r="AV977" s="20" t="n"/>
      <c r="AW977" s="20" t="inlineStr">
        <is>
          <t>None</t>
        </is>
      </c>
      <c r="AX977" s="17" t="n"/>
      <c r="AY977" s="16" t="n"/>
      <c r="AZ977" s="20" t="inlineStr">
        <is>
          <t>IC Anionen</t>
        </is>
      </c>
      <c r="BA977" s="20" t="inlineStr">
        <is>
          <t>None</t>
        </is>
      </c>
      <c r="BB977" s="17" t="n"/>
      <c r="BC977" s="16" t="n"/>
      <c r="BD977" s="20" t="inlineStr">
        <is>
          <t>IC Kationen</t>
        </is>
      </c>
      <c r="BE977" s="20" t="inlineStr">
        <is>
          <t>None</t>
        </is>
      </c>
      <c r="BF977" s="17" t="n"/>
      <c r="BG977" s="16" t="n"/>
      <c r="BH977" s="20" t="inlineStr">
        <is>
          <t>IC Kationen</t>
        </is>
      </c>
      <c r="BI977" s="20" t="inlineStr">
        <is>
          <t>None</t>
        </is>
      </c>
      <c r="BJ977" s="17" t="n"/>
      <c r="BK977" s="16" t="n"/>
      <c r="BL977" s="20" t="inlineStr">
        <is>
          <t>IC Kationen</t>
        </is>
      </c>
      <c r="BM977" s="20" t="inlineStr">
        <is>
          <t>None</t>
        </is>
      </c>
      <c r="BN977" s="17" t="n"/>
      <c r="BO977" s="16" t="n"/>
      <c r="BP977" s="20" t="inlineStr">
        <is>
          <t>IC Kationen</t>
        </is>
      </c>
      <c r="BQ977" s="20" t="inlineStr">
        <is>
          <t>None</t>
        </is>
      </c>
      <c r="BR977" s="17" t="n"/>
      <c r="BS977" s="16" t="n"/>
      <c r="BT977" s="20" t="inlineStr">
        <is>
          <t>IC Kationen</t>
        </is>
      </c>
      <c r="BU977" s="20" t="inlineStr">
        <is>
          <t>None</t>
        </is>
      </c>
      <c r="BV977" s="17" t="n"/>
      <c r="BW977" s="16" t="n"/>
      <c r="BX977" s="20" t="n"/>
      <c r="BY977" s="20" t="inlineStr">
        <is>
          <t>None</t>
        </is>
      </c>
      <c r="BZ977" s="17" t="n"/>
      <c r="CA977" s="16" t="n"/>
      <c r="CB977" s="20" t="n"/>
      <c r="CC977" s="20" t="inlineStr">
        <is>
          <t>None</t>
        </is>
      </c>
      <c r="CD977" s="17" t="n"/>
      <c r="CE977" s="16" t="n"/>
      <c r="CF977" s="20" t="n"/>
      <c r="CG977" s="20" t="inlineStr">
        <is>
          <t>None</t>
        </is>
      </c>
      <c r="CH977" s="17" t="n"/>
      <c r="CI977" s="16" t="n"/>
      <c r="CJ977" s="20" t="n"/>
      <c r="CK977" s="20" t="inlineStr">
        <is>
          <t>None</t>
        </is>
      </c>
      <c r="CL977" s="17" t="n"/>
      <c r="CM977" s="16" t="n"/>
      <c r="CN977" s="20" t="inlineStr">
        <is>
          <t>SOP 45-34</t>
        </is>
      </c>
      <c r="CO977" s="20" t="inlineStr">
        <is>
          <t>None</t>
        </is>
      </c>
      <c r="CP977" s="17" t="n"/>
      <c r="CQ977" s="16" t="n"/>
      <c r="CR977" s="20" t="n"/>
      <c r="CS977" s="20" t="inlineStr">
        <is>
          <t>None</t>
        </is>
      </c>
      <c r="CT977" s="17" t="n"/>
      <c r="CU977" s="16" t="n"/>
      <c r="CV977" s="20" t="n"/>
      <c r="CW977" s="20" t="inlineStr">
        <is>
          <t>None</t>
        </is>
      </c>
      <c r="CX977" s="17" t="n"/>
      <c r="CY977" s="16" t="n"/>
      <c r="CZ977" s="20" t="inlineStr">
        <is>
          <t>WTW Multimeter 3430 with FDO 925</t>
        </is>
      </c>
      <c r="DA977" s="20" t="inlineStr">
        <is>
          <t>None</t>
        </is>
      </c>
      <c r="DB977" s="17" t="n"/>
      <c r="DC977" s="16" t="n"/>
      <c r="DD977" s="20" t="n"/>
      <c r="DE977" s="20" t="inlineStr">
        <is>
          <t>None</t>
        </is>
      </c>
      <c r="DF977" s="17" t="n"/>
      <c r="DG977" s="16" t="n"/>
      <c r="DH977" s="20" t="inlineStr">
        <is>
          <t>SOP 45-09</t>
        </is>
      </c>
      <c r="DI977" s="20" t="inlineStr">
        <is>
          <t>None</t>
        </is>
      </c>
      <c r="DJ977" s="17" t="n"/>
      <c r="DK977" s="16" t="n"/>
      <c r="DL977" s="20" t="inlineStr">
        <is>
          <t>SOP 45-09 (SOP muss noch angepasst werden für VSS)</t>
        </is>
      </c>
      <c r="DM977" s="20" t="inlineStr">
        <is>
          <t>None</t>
        </is>
      </c>
      <c r="DN977" s="17" t="n"/>
      <c r="DO977" s="16" t="n"/>
      <c r="DP977" s="20" t="inlineStr">
        <is>
          <t>IC Organic Acids</t>
        </is>
      </c>
      <c r="DQ977" s="20" t="inlineStr">
        <is>
          <t>None</t>
        </is>
      </c>
      <c r="DR977" s="17" t="n"/>
      <c r="DS977" s="16" t="n"/>
      <c r="DT977" s="20" t="inlineStr">
        <is>
          <t>IC Organic Acids</t>
        </is>
      </c>
      <c r="DU977" s="20" t="inlineStr">
        <is>
          <t>None</t>
        </is>
      </c>
      <c r="DV977" s="17" t="n"/>
      <c r="DW977" s="16" t="n"/>
      <c r="DX977" s="20" t="inlineStr">
        <is>
          <t>IC Organic Acids</t>
        </is>
      </c>
      <c r="DY977" s="20" t="inlineStr">
        <is>
          <t>None</t>
        </is>
      </c>
      <c r="DZ977" s="17" t="n"/>
      <c r="EA977" s="16" t="n"/>
      <c r="EB977" s="20" t="inlineStr">
        <is>
          <t>IC Organic Acids</t>
        </is>
      </c>
      <c r="EC977" s="20" t="inlineStr">
        <is>
          <t>None</t>
        </is>
      </c>
      <c r="ED977" s="17" t="n"/>
      <c r="EE977" s="16" t="n"/>
      <c r="EF977" s="20" t="inlineStr">
        <is>
          <t>IC Organic Acids</t>
        </is>
      </c>
      <c r="EG977" s="20" t="inlineStr">
        <is>
          <t>None</t>
        </is>
      </c>
      <c r="EH977" s="17" t="n"/>
      <c r="EI977" s="16" t="n"/>
      <c r="EJ977" s="20" t="inlineStr">
        <is>
          <t>IC Organic Acids</t>
        </is>
      </c>
      <c r="EK977" s="20" t="inlineStr">
        <is>
          <t>None</t>
        </is>
      </c>
      <c r="EL977" s="17" t="n"/>
      <c r="EM977" s="16" t="n"/>
      <c r="EN977" s="20" t="inlineStr">
        <is>
          <t>IC Organic Acids</t>
        </is>
      </c>
      <c r="EO977" s="20" t="inlineStr">
        <is>
          <t>None</t>
        </is>
      </c>
      <c r="EP977" s="17" t="n"/>
      <c r="EQ977" s="16" t="n"/>
      <c r="ER977" s="20" t="inlineStr">
        <is>
          <t>IC Organic Acids</t>
        </is>
      </c>
      <c r="ES977" s="20" t="inlineStr">
        <is>
          <t>None</t>
        </is>
      </c>
      <c r="ET977" s="17" t="n"/>
      <c r="EU977" s="16" t="n"/>
      <c r="EV977" s="20" t="inlineStr">
        <is>
          <t>LC-MS</t>
        </is>
      </c>
      <c r="EW977" s="20" t="inlineStr">
        <is>
          <t>None</t>
        </is>
      </c>
      <c r="EX977" s="17" t="n"/>
      <c r="EY977" s="21" t="n"/>
      <c r="EZ977">
        <f>CONCATENATE(A977,B977)</f>
        <v/>
      </c>
      <c r="FA977">
        <f>CONCATENATE(SamplesX!A977,SamplesX!B977)</f>
        <v/>
      </c>
      <c r="FC977">
        <f>MATCH(EZ977,FA1:FA1008,0)</f>
        <v/>
      </c>
    </row>
    <row r="978">
      <c r="A978" s="16" t="n"/>
      <c r="B978" s="17" t="n"/>
      <c r="C978" s="10">
        <f>IF(ISNUMBER(FC978),INDIRECT("SamplesX!C"&amp;FC978),IF(ISNUMBER(FD978),INDIRECT("SamplesY!C"&amp;FD978),""))</f>
        <v/>
      </c>
      <c r="D978" s="12">
        <f>IF(ISNUMBER(FC978),INDIRECT("SamplesX!D"&amp;FC978),IF(ISNUMBER(FD978),INDIRECT("SamplesY!D"&amp;FD978),""))</f>
        <v/>
      </c>
      <c r="E978" s="12">
        <f>IF(ISNUMBER(FC978),INDIRECT("SamplesX!E"&amp;FC978),IF(ISNUMBER(FD978),INDIRECT("SamplesY!E"&amp;FD978),""))</f>
        <v/>
      </c>
      <c r="F978" s="11">
        <f>IF(ISNUMBER(FC978),INDIRECT("SamplesX!F"&amp;FC978),IF(ISNUMBER(FD978),INDIRECT("SamplesY!F"&amp;FD978),""))</f>
        <v/>
      </c>
      <c r="G978" s="18">
        <f>IF(ISNUMBER(FC978),INDIRECT("SamplesX!G"&amp;FC978),IF(ISNUMBER(FD978),INDIRECT("SamplesY!G"&amp;FD978),""))</f>
        <v/>
      </c>
      <c r="H978" s="19">
        <f>IF(ISNUMBER(FC978),INDIRECT("SamplesX!H"&amp;FC978),IF(ISNUMBER(FD978),INDIRECT("SamplesY!H"&amp;FD978),""))</f>
        <v/>
      </c>
      <c r="I978" s="16" t="n"/>
      <c r="J978" s="16" t="n"/>
      <c r="K978" s="16" t="n"/>
      <c r="L978" s="20" t="n"/>
      <c r="M978" s="20" t="inlineStr">
        <is>
          <t>None</t>
        </is>
      </c>
      <c r="N978" s="17" t="n"/>
      <c r="O978" s="16" t="n"/>
      <c r="P978" s="20" t="inlineStr">
        <is>
          <t>Shimadzu TOC-L</t>
        </is>
      </c>
      <c r="Q978" s="20" t="inlineStr">
        <is>
          <t>None</t>
        </is>
      </c>
      <c r="R978" s="17" t="n"/>
      <c r="S978" s="16" t="n"/>
      <c r="T978" s="20" t="inlineStr">
        <is>
          <t>Shimadzu TOC-L</t>
        </is>
      </c>
      <c r="U978" s="20" t="inlineStr">
        <is>
          <t>None</t>
        </is>
      </c>
      <c r="V978" s="17" t="n"/>
      <c r="W978" s="16" t="n"/>
      <c r="X978" s="20" t="n"/>
      <c r="Y978" s="20" t="inlineStr">
        <is>
          <t>None</t>
        </is>
      </c>
      <c r="Z978" s="17" t="n"/>
      <c r="AA978" s="16" t="n"/>
      <c r="AB978" s="20" t="n"/>
      <c r="AC978" s="20" t="inlineStr">
        <is>
          <t>None</t>
        </is>
      </c>
      <c r="AD978" s="17" t="n"/>
      <c r="AE978" s="16" t="n"/>
      <c r="AF978" s="20" t="inlineStr">
        <is>
          <t>IC Anionen</t>
        </is>
      </c>
      <c r="AG978" s="20" t="inlineStr">
        <is>
          <t>None</t>
        </is>
      </c>
      <c r="AH978" s="17" t="n"/>
      <c r="AI978" s="16" t="n"/>
      <c r="AJ978" s="20" t="n"/>
      <c r="AK978" s="20" t="inlineStr">
        <is>
          <t>None</t>
        </is>
      </c>
      <c r="AL978" s="17" t="n"/>
      <c r="AM978" s="16" t="n"/>
      <c r="AN978" s="20" t="inlineStr">
        <is>
          <t>IC Anionen</t>
        </is>
      </c>
      <c r="AO978" s="20" t="inlineStr">
        <is>
          <t>None</t>
        </is>
      </c>
      <c r="AP978" s="17" t="n"/>
      <c r="AQ978" s="16" t="n"/>
      <c r="AR978" s="20" t="n"/>
      <c r="AS978" s="20" t="inlineStr">
        <is>
          <t>None</t>
        </is>
      </c>
      <c r="AT978" s="17" t="n"/>
      <c r="AU978" s="16" t="n"/>
      <c r="AV978" s="20" t="n"/>
      <c r="AW978" s="20" t="inlineStr">
        <is>
          <t>None</t>
        </is>
      </c>
      <c r="AX978" s="17" t="n"/>
      <c r="AY978" s="16" t="n"/>
      <c r="AZ978" s="20" t="inlineStr">
        <is>
          <t>IC Anionen</t>
        </is>
      </c>
      <c r="BA978" s="20" t="inlineStr">
        <is>
          <t>None</t>
        </is>
      </c>
      <c r="BB978" s="17" t="n"/>
      <c r="BC978" s="16" t="n"/>
      <c r="BD978" s="20" t="inlineStr">
        <is>
          <t>IC Kationen</t>
        </is>
      </c>
      <c r="BE978" s="20" t="inlineStr">
        <is>
          <t>None</t>
        </is>
      </c>
      <c r="BF978" s="17" t="n"/>
      <c r="BG978" s="16" t="n"/>
      <c r="BH978" s="20" t="inlineStr">
        <is>
          <t>IC Kationen</t>
        </is>
      </c>
      <c r="BI978" s="20" t="inlineStr">
        <is>
          <t>None</t>
        </is>
      </c>
      <c r="BJ978" s="17" t="n"/>
      <c r="BK978" s="16" t="n"/>
      <c r="BL978" s="20" t="inlineStr">
        <is>
          <t>IC Kationen</t>
        </is>
      </c>
      <c r="BM978" s="20" t="inlineStr">
        <is>
          <t>None</t>
        </is>
      </c>
      <c r="BN978" s="17" t="n"/>
      <c r="BO978" s="16" t="n"/>
      <c r="BP978" s="20" t="inlineStr">
        <is>
          <t>IC Kationen</t>
        </is>
      </c>
      <c r="BQ978" s="20" t="inlineStr">
        <is>
          <t>None</t>
        </is>
      </c>
      <c r="BR978" s="17" t="n"/>
      <c r="BS978" s="16" t="n"/>
      <c r="BT978" s="20" t="inlineStr">
        <is>
          <t>IC Kationen</t>
        </is>
      </c>
      <c r="BU978" s="20" t="inlineStr">
        <is>
          <t>None</t>
        </is>
      </c>
      <c r="BV978" s="17" t="n"/>
      <c r="BW978" s="16" t="n"/>
      <c r="BX978" s="20" t="n"/>
      <c r="BY978" s="20" t="inlineStr">
        <is>
          <t>None</t>
        </is>
      </c>
      <c r="BZ978" s="17" t="n"/>
      <c r="CA978" s="16" t="n"/>
      <c r="CB978" s="20" t="n"/>
      <c r="CC978" s="20" t="inlineStr">
        <is>
          <t>None</t>
        </is>
      </c>
      <c r="CD978" s="17" t="n"/>
      <c r="CE978" s="16" t="n"/>
      <c r="CF978" s="20" t="n"/>
      <c r="CG978" s="20" t="inlineStr">
        <is>
          <t>None</t>
        </is>
      </c>
      <c r="CH978" s="17" t="n"/>
      <c r="CI978" s="16" t="n"/>
      <c r="CJ978" s="20" t="n"/>
      <c r="CK978" s="20" t="inlineStr">
        <is>
          <t>None</t>
        </is>
      </c>
      <c r="CL978" s="17" t="n"/>
      <c r="CM978" s="16" t="n"/>
      <c r="CN978" s="20" t="inlineStr">
        <is>
          <t>SOP 45-34</t>
        </is>
      </c>
      <c r="CO978" s="20" t="inlineStr">
        <is>
          <t>None</t>
        </is>
      </c>
      <c r="CP978" s="17" t="n"/>
      <c r="CQ978" s="16" t="n"/>
      <c r="CR978" s="20" t="n"/>
      <c r="CS978" s="20" t="inlineStr">
        <is>
          <t>None</t>
        </is>
      </c>
      <c r="CT978" s="17" t="n"/>
      <c r="CU978" s="16" t="n"/>
      <c r="CV978" s="20" t="n"/>
      <c r="CW978" s="20" t="inlineStr">
        <is>
          <t>None</t>
        </is>
      </c>
      <c r="CX978" s="17" t="n"/>
      <c r="CY978" s="16" t="n"/>
      <c r="CZ978" s="20" t="inlineStr">
        <is>
          <t>WTW Multimeter 3430 with FDO 925</t>
        </is>
      </c>
      <c r="DA978" s="20" t="inlineStr">
        <is>
          <t>None</t>
        </is>
      </c>
      <c r="DB978" s="17" t="n"/>
      <c r="DC978" s="16" t="n"/>
      <c r="DD978" s="20" t="n"/>
      <c r="DE978" s="20" t="inlineStr">
        <is>
          <t>None</t>
        </is>
      </c>
      <c r="DF978" s="17" t="n"/>
      <c r="DG978" s="16" t="n"/>
      <c r="DH978" s="20" t="inlineStr">
        <is>
          <t>SOP 45-09</t>
        </is>
      </c>
      <c r="DI978" s="20" t="inlineStr">
        <is>
          <t>None</t>
        </is>
      </c>
      <c r="DJ978" s="17" t="n"/>
      <c r="DK978" s="16" t="n"/>
      <c r="DL978" s="20" t="inlineStr">
        <is>
          <t>SOP 45-09 (SOP muss noch angepasst werden für VSS)</t>
        </is>
      </c>
      <c r="DM978" s="20" t="inlineStr">
        <is>
          <t>None</t>
        </is>
      </c>
      <c r="DN978" s="17" t="n"/>
      <c r="DO978" s="16" t="n"/>
      <c r="DP978" s="20" t="inlineStr">
        <is>
          <t>IC Organic Acids</t>
        </is>
      </c>
      <c r="DQ978" s="20" t="inlineStr">
        <is>
          <t>None</t>
        </is>
      </c>
      <c r="DR978" s="17" t="n"/>
      <c r="DS978" s="16" t="n"/>
      <c r="DT978" s="20" t="inlineStr">
        <is>
          <t>IC Organic Acids</t>
        </is>
      </c>
      <c r="DU978" s="20" t="inlineStr">
        <is>
          <t>None</t>
        </is>
      </c>
      <c r="DV978" s="17" t="n"/>
      <c r="DW978" s="16" t="n"/>
      <c r="DX978" s="20" t="inlineStr">
        <is>
          <t>IC Organic Acids</t>
        </is>
      </c>
      <c r="DY978" s="20" t="inlineStr">
        <is>
          <t>None</t>
        </is>
      </c>
      <c r="DZ978" s="17" t="n"/>
      <c r="EA978" s="16" t="n"/>
      <c r="EB978" s="20" t="inlineStr">
        <is>
          <t>IC Organic Acids</t>
        </is>
      </c>
      <c r="EC978" s="20" t="inlineStr">
        <is>
          <t>None</t>
        </is>
      </c>
      <c r="ED978" s="17" t="n"/>
      <c r="EE978" s="16" t="n"/>
      <c r="EF978" s="20" t="inlineStr">
        <is>
          <t>IC Organic Acids</t>
        </is>
      </c>
      <c r="EG978" s="20" t="inlineStr">
        <is>
          <t>None</t>
        </is>
      </c>
      <c r="EH978" s="17" t="n"/>
      <c r="EI978" s="16" t="n"/>
      <c r="EJ978" s="20" t="inlineStr">
        <is>
          <t>IC Organic Acids</t>
        </is>
      </c>
      <c r="EK978" s="20" t="inlineStr">
        <is>
          <t>None</t>
        </is>
      </c>
      <c r="EL978" s="17" t="n"/>
      <c r="EM978" s="16" t="n"/>
      <c r="EN978" s="20" t="inlineStr">
        <is>
          <t>IC Organic Acids</t>
        </is>
      </c>
      <c r="EO978" s="20" t="inlineStr">
        <is>
          <t>None</t>
        </is>
      </c>
      <c r="EP978" s="17" t="n"/>
      <c r="EQ978" s="16" t="n"/>
      <c r="ER978" s="20" t="inlineStr">
        <is>
          <t>IC Organic Acids</t>
        </is>
      </c>
      <c r="ES978" s="20" t="inlineStr">
        <is>
          <t>None</t>
        </is>
      </c>
      <c r="ET978" s="17" t="n"/>
      <c r="EU978" s="16" t="n"/>
      <c r="EV978" s="20" t="inlineStr">
        <is>
          <t>LC-MS</t>
        </is>
      </c>
      <c r="EW978" s="20" t="inlineStr">
        <is>
          <t>None</t>
        </is>
      </c>
      <c r="EX978" s="17" t="n"/>
      <c r="EY978" s="21" t="n"/>
      <c r="EZ978">
        <f>CONCATENATE(A978,B978)</f>
        <v/>
      </c>
      <c r="FA978">
        <f>CONCATENATE(SamplesX!A978,SamplesX!B978)</f>
        <v/>
      </c>
      <c r="FC978">
        <f>MATCH(EZ978,FA1:FA1008,0)</f>
        <v/>
      </c>
    </row>
    <row r="979">
      <c r="A979" s="16" t="n"/>
      <c r="B979" s="17" t="n"/>
      <c r="C979" s="10">
        <f>IF(ISNUMBER(FC979),INDIRECT("SamplesX!C"&amp;FC979),IF(ISNUMBER(FD979),INDIRECT("SamplesY!C"&amp;FD979),""))</f>
        <v/>
      </c>
      <c r="D979" s="12">
        <f>IF(ISNUMBER(FC979),INDIRECT("SamplesX!D"&amp;FC979),IF(ISNUMBER(FD979),INDIRECT("SamplesY!D"&amp;FD979),""))</f>
        <v/>
      </c>
      <c r="E979" s="12">
        <f>IF(ISNUMBER(FC979),INDIRECT("SamplesX!E"&amp;FC979),IF(ISNUMBER(FD979),INDIRECT("SamplesY!E"&amp;FD979),""))</f>
        <v/>
      </c>
      <c r="F979" s="11">
        <f>IF(ISNUMBER(FC979),INDIRECT("SamplesX!F"&amp;FC979),IF(ISNUMBER(FD979),INDIRECT("SamplesY!F"&amp;FD979),""))</f>
        <v/>
      </c>
      <c r="G979" s="18">
        <f>IF(ISNUMBER(FC979),INDIRECT("SamplesX!G"&amp;FC979),IF(ISNUMBER(FD979),INDIRECT("SamplesY!G"&amp;FD979),""))</f>
        <v/>
      </c>
      <c r="H979" s="19">
        <f>IF(ISNUMBER(FC979),INDIRECT("SamplesX!H"&amp;FC979),IF(ISNUMBER(FD979),INDIRECT("SamplesY!H"&amp;FD979),""))</f>
        <v/>
      </c>
      <c r="I979" s="16" t="n"/>
      <c r="J979" s="16" t="n"/>
      <c r="K979" s="16" t="n"/>
      <c r="L979" s="20" t="n"/>
      <c r="M979" s="20" t="inlineStr">
        <is>
          <t>None</t>
        </is>
      </c>
      <c r="N979" s="17" t="n"/>
      <c r="O979" s="16" t="n"/>
      <c r="P979" s="20" t="inlineStr">
        <is>
          <t>Shimadzu TOC-L</t>
        </is>
      </c>
      <c r="Q979" s="20" t="inlineStr">
        <is>
          <t>None</t>
        </is>
      </c>
      <c r="R979" s="17" t="n"/>
      <c r="S979" s="16" t="n"/>
      <c r="T979" s="20" t="inlineStr">
        <is>
          <t>Shimadzu TOC-L</t>
        </is>
      </c>
      <c r="U979" s="20" t="inlineStr">
        <is>
          <t>None</t>
        </is>
      </c>
      <c r="V979" s="17" t="n"/>
      <c r="W979" s="16" t="n"/>
      <c r="X979" s="20" t="n"/>
      <c r="Y979" s="20" t="inlineStr">
        <is>
          <t>None</t>
        </is>
      </c>
      <c r="Z979" s="17" t="n"/>
      <c r="AA979" s="16" t="n"/>
      <c r="AB979" s="20" t="n"/>
      <c r="AC979" s="20" t="inlineStr">
        <is>
          <t>None</t>
        </is>
      </c>
      <c r="AD979" s="17" t="n"/>
      <c r="AE979" s="16" t="n"/>
      <c r="AF979" s="20" t="inlineStr">
        <is>
          <t>IC Anionen</t>
        </is>
      </c>
      <c r="AG979" s="20" t="inlineStr">
        <is>
          <t>None</t>
        </is>
      </c>
      <c r="AH979" s="17" t="n"/>
      <c r="AI979" s="16" t="n"/>
      <c r="AJ979" s="20" t="n"/>
      <c r="AK979" s="20" t="inlineStr">
        <is>
          <t>None</t>
        </is>
      </c>
      <c r="AL979" s="17" t="n"/>
      <c r="AM979" s="16" t="n"/>
      <c r="AN979" s="20" t="inlineStr">
        <is>
          <t>IC Anionen</t>
        </is>
      </c>
      <c r="AO979" s="20" t="inlineStr">
        <is>
          <t>None</t>
        </is>
      </c>
      <c r="AP979" s="17" t="n"/>
      <c r="AQ979" s="16" t="n"/>
      <c r="AR979" s="20" t="n"/>
      <c r="AS979" s="20" t="inlineStr">
        <is>
          <t>None</t>
        </is>
      </c>
      <c r="AT979" s="17" t="n"/>
      <c r="AU979" s="16" t="n"/>
      <c r="AV979" s="20" t="n"/>
      <c r="AW979" s="20" t="inlineStr">
        <is>
          <t>None</t>
        </is>
      </c>
      <c r="AX979" s="17" t="n"/>
      <c r="AY979" s="16" t="n"/>
      <c r="AZ979" s="20" t="inlineStr">
        <is>
          <t>IC Anionen</t>
        </is>
      </c>
      <c r="BA979" s="20" t="inlineStr">
        <is>
          <t>None</t>
        </is>
      </c>
      <c r="BB979" s="17" t="n"/>
      <c r="BC979" s="16" t="n"/>
      <c r="BD979" s="20" t="inlineStr">
        <is>
          <t>IC Kationen</t>
        </is>
      </c>
      <c r="BE979" s="20" t="inlineStr">
        <is>
          <t>None</t>
        </is>
      </c>
      <c r="BF979" s="17" t="n"/>
      <c r="BG979" s="16" t="n"/>
      <c r="BH979" s="20" t="inlineStr">
        <is>
          <t>IC Kationen</t>
        </is>
      </c>
      <c r="BI979" s="20" t="inlineStr">
        <is>
          <t>None</t>
        </is>
      </c>
      <c r="BJ979" s="17" t="n"/>
      <c r="BK979" s="16" t="n"/>
      <c r="BL979" s="20" t="inlineStr">
        <is>
          <t>IC Kationen</t>
        </is>
      </c>
      <c r="BM979" s="20" t="inlineStr">
        <is>
          <t>None</t>
        </is>
      </c>
      <c r="BN979" s="17" t="n"/>
      <c r="BO979" s="16" t="n"/>
      <c r="BP979" s="20" t="inlineStr">
        <is>
          <t>IC Kationen</t>
        </is>
      </c>
      <c r="BQ979" s="20" t="inlineStr">
        <is>
          <t>None</t>
        </is>
      </c>
      <c r="BR979" s="17" t="n"/>
      <c r="BS979" s="16" t="n"/>
      <c r="BT979" s="20" t="inlineStr">
        <is>
          <t>IC Kationen</t>
        </is>
      </c>
      <c r="BU979" s="20" t="inlineStr">
        <is>
          <t>None</t>
        </is>
      </c>
      <c r="BV979" s="17" t="n"/>
      <c r="BW979" s="16" t="n"/>
      <c r="BX979" s="20" t="n"/>
      <c r="BY979" s="20" t="inlineStr">
        <is>
          <t>None</t>
        </is>
      </c>
      <c r="BZ979" s="17" t="n"/>
      <c r="CA979" s="16" t="n"/>
      <c r="CB979" s="20" t="n"/>
      <c r="CC979" s="20" t="inlineStr">
        <is>
          <t>None</t>
        </is>
      </c>
      <c r="CD979" s="17" t="n"/>
      <c r="CE979" s="16" t="n"/>
      <c r="CF979" s="20" t="n"/>
      <c r="CG979" s="20" t="inlineStr">
        <is>
          <t>None</t>
        </is>
      </c>
      <c r="CH979" s="17" t="n"/>
      <c r="CI979" s="16" t="n"/>
      <c r="CJ979" s="20" t="n"/>
      <c r="CK979" s="20" t="inlineStr">
        <is>
          <t>None</t>
        </is>
      </c>
      <c r="CL979" s="17" t="n"/>
      <c r="CM979" s="16" t="n"/>
      <c r="CN979" s="20" t="inlineStr">
        <is>
          <t>SOP 45-34</t>
        </is>
      </c>
      <c r="CO979" s="20" t="inlineStr">
        <is>
          <t>None</t>
        </is>
      </c>
      <c r="CP979" s="17" t="n"/>
      <c r="CQ979" s="16" t="n"/>
      <c r="CR979" s="20" t="n"/>
      <c r="CS979" s="20" t="inlineStr">
        <is>
          <t>None</t>
        </is>
      </c>
      <c r="CT979" s="17" t="n"/>
      <c r="CU979" s="16" t="n"/>
      <c r="CV979" s="20" t="n"/>
      <c r="CW979" s="20" t="inlineStr">
        <is>
          <t>None</t>
        </is>
      </c>
      <c r="CX979" s="17" t="n"/>
      <c r="CY979" s="16" t="n"/>
      <c r="CZ979" s="20" t="inlineStr">
        <is>
          <t>WTW Multimeter 3430 with FDO 925</t>
        </is>
      </c>
      <c r="DA979" s="20" t="inlineStr">
        <is>
          <t>None</t>
        </is>
      </c>
      <c r="DB979" s="17" t="n"/>
      <c r="DC979" s="16" t="n"/>
      <c r="DD979" s="20" t="n"/>
      <c r="DE979" s="20" t="inlineStr">
        <is>
          <t>None</t>
        </is>
      </c>
      <c r="DF979" s="17" t="n"/>
      <c r="DG979" s="16" t="n"/>
      <c r="DH979" s="20" t="inlineStr">
        <is>
          <t>SOP 45-09</t>
        </is>
      </c>
      <c r="DI979" s="20" t="inlineStr">
        <is>
          <t>None</t>
        </is>
      </c>
      <c r="DJ979" s="17" t="n"/>
      <c r="DK979" s="16" t="n"/>
      <c r="DL979" s="20" t="inlineStr">
        <is>
          <t>SOP 45-09 (SOP muss noch angepasst werden für VSS)</t>
        </is>
      </c>
      <c r="DM979" s="20" t="inlineStr">
        <is>
          <t>None</t>
        </is>
      </c>
      <c r="DN979" s="17" t="n"/>
      <c r="DO979" s="16" t="n"/>
      <c r="DP979" s="20" t="inlineStr">
        <is>
          <t>IC Organic Acids</t>
        </is>
      </c>
      <c r="DQ979" s="20" t="inlineStr">
        <is>
          <t>None</t>
        </is>
      </c>
      <c r="DR979" s="17" t="n"/>
      <c r="DS979" s="16" t="n"/>
      <c r="DT979" s="20" t="inlineStr">
        <is>
          <t>IC Organic Acids</t>
        </is>
      </c>
      <c r="DU979" s="20" t="inlineStr">
        <is>
          <t>None</t>
        </is>
      </c>
      <c r="DV979" s="17" t="n"/>
      <c r="DW979" s="16" t="n"/>
      <c r="DX979" s="20" t="inlineStr">
        <is>
          <t>IC Organic Acids</t>
        </is>
      </c>
      <c r="DY979" s="20" t="inlineStr">
        <is>
          <t>None</t>
        </is>
      </c>
      <c r="DZ979" s="17" t="n"/>
      <c r="EA979" s="16" t="n"/>
      <c r="EB979" s="20" t="inlineStr">
        <is>
          <t>IC Organic Acids</t>
        </is>
      </c>
      <c r="EC979" s="20" t="inlineStr">
        <is>
          <t>None</t>
        </is>
      </c>
      <c r="ED979" s="17" t="n"/>
      <c r="EE979" s="16" t="n"/>
      <c r="EF979" s="20" t="inlineStr">
        <is>
          <t>IC Organic Acids</t>
        </is>
      </c>
      <c r="EG979" s="20" t="inlineStr">
        <is>
          <t>None</t>
        </is>
      </c>
      <c r="EH979" s="17" t="n"/>
      <c r="EI979" s="16" t="n"/>
      <c r="EJ979" s="20" t="inlineStr">
        <is>
          <t>IC Organic Acids</t>
        </is>
      </c>
      <c r="EK979" s="20" t="inlineStr">
        <is>
          <t>None</t>
        </is>
      </c>
      <c r="EL979" s="17" t="n"/>
      <c r="EM979" s="16" t="n"/>
      <c r="EN979" s="20" t="inlineStr">
        <is>
          <t>IC Organic Acids</t>
        </is>
      </c>
      <c r="EO979" s="20" t="inlineStr">
        <is>
          <t>None</t>
        </is>
      </c>
      <c r="EP979" s="17" t="n"/>
      <c r="EQ979" s="16" t="n"/>
      <c r="ER979" s="20" t="inlineStr">
        <is>
          <t>IC Organic Acids</t>
        </is>
      </c>
      <c r="ES979" s="20" t="inlineStr">
        <is>
          <t>None</t>
        </is>
      </c>
      <c r="ET979" s="17" t="n"/>
      <c r="EU979" s="16" t="n"/>
      <c r="EV979" s="20" t="inlineStr">
        <is>
          <t>LC-MS</t>
        </is>
      </c>
      <c r="EW979" s="20" t="inlineStr">
        <is>
          <t>None</t>
        </is>
      </c>
      <c r="EX979" s="17" t="n"/>
      <c r="EY979" s="21" t="n"/>
      <c r="EZ979">
        <f>CONCATENATE(A979,B979)</f>
        <v/>
      </c>
      <c r="FA979">
        <f>CONCATENATE(SamplesX!A979,SamplesX!B979)</f>
        <v/>
      </c>
      <c r="FC979">
        <f>MATCH(EZ979,FA1:FA1008,0)</f>
        <v/>
      </c>
    </row>
    <row r="980">
      <c r="A980" s="16" t="n"/>
      <c r="B980" s="17" t="n"/>
      <c r="C980" s="10">
        <f>IF(ISNUMBER(FC980),INDIRECT("SamplesX!C"&amp;FC980),IF(ISNUMBER(FD980),INDIRECT("SamplesY!C"&amp;FD980),""))</f>
        <v/>
      </c>
      <c r="D980" s="12">
        <f>IF(ISNUMBER(FC980),INDIRECT("SamplesX!D"&amp;FC980),IF(ISNUMBER(FD980),INDIRECT("SamplesY!D"&amp;FD980),""))</f>
        <v/>
      </c>
      <c r="E980" s="12">
        <f>IF(ISNUMBER(FC980),INDIRECT("SamplesX!E"&amp;FC980),IF(ISNUMBER(FD980),INDIRECT("SamplesY!E"&amp;FD980),""))</f>
        <v/>
      </c>
      <c r="F980" s="11">
        <f>IF(ISNUMBER(FC980),INDIRECT("SamplesX!F"&amp;FC980),IF(ISNUMBER(FD980),INDIRECT("SamplesY!F"&amp;FD980),""))</f>
        <v/>
      </c>
      <c r="G980" s="18">
        <f>IF(ISNUMBER(FC980),INDIRECT("SamplesX!G"&amp;FC980),IF(ISNUMBER(FD980),INDIRECT("SamplesY!G"&amp;FD980),""))</f>
        <v/>
      </c>
      <c r="H980" s="19">
        <f>IF(ISNUMBER(FC980),INDIRECT("SamplesX!H"&amp;FC980),IF(ISNUMBER(FD980),INDIRECT("SamplesY!H"&amp;FD980),""))</f>
        <v/>
      </c>
      <c r="I980" s="16" t="n"/>
      <c r="J980" s="16" t="n"/>
      <c r="K980" s="16" t="n"/>
      <c r="L980" s="20" t="n"/>
      <c r="M980" s="20" t="inlineStr">
        <is>
          <t>None</t>
        </is>
      </c>
      <c r="N980" s="17" t="n"/>
      <c r="O980" s="16" t="n"/>
      <c r="P980" s="20" t="inlineStr">
        <is>
          <t>Shimadzu TOC-L</t>
        </is>
      </c>
      <c r="Q980" s="20" t="inlineStr">
        <is>
          <t>None</t>
        </is>
      </c>
      <c r="R980" s="17" t="n"/>
      <c r="S980" s="16" t="n"/>
      <c r="T980" s="20" t="inlineStr">
        <is>
          <t>Shimadzu TOC-L</t>
        </is>
      </c>
      <c r="U980" s="20" t="inlineStr">
        <is>
          <t>None</t>
        </is>
      </c>
      <c r="V980" s="17" t="n"/>
      <c r="W980" s="16" t="n"/>
      <c r="X980" s="20" t="n"/>
      <c r="Y980" s="20" t="inlineStr">
        <is>
          <t>None</t>
        </is>
      </c>
      <c r="Z980" s="17" t="n"/>
      <c r="AA980" s="16" t="n"/>
      <c r="AB980" s="20" t="n"/>
      <c r="AC980" s="20" t="inlineStr">
        <is>
          <t>None</t>
        </is>
      </c>
      <c r="AD980" s="17" t="n"/>
      <c r="AE980" s="16" t="n"/>
      <c r="AF980" s="20" t="inlineStr">
        <is>
          <t>IC Anionen</t>
        </is>
      </c>
      <c r="AG980" s="20" t="inlineStr">
        <is>
          <t>None</t>
        </is>
      </c>
      <c r="AH980" s="17" t="n"/>
      <c r="AI980" s="16" t="n"/>
      <c r="AJ980" s="20" t="n"/>
      <c r="AK980" s="20" t="inlineStr">
        <is>
          <t>None</t>
        </is>
      </c>
      <c r="AL980" s="17" t="n"/>
      <c r="AM980" s="16" t="n"/>
      <c r="AN980" s="20" t="inlineStr">
        <is>
          <t>IC Anionen</t>
        </is>
      </c>
      <c r="AO980" s="20" t="inlineStr">
        <is>
          <t>None</t>
        </is>
      </c>
      <c r="AP980" s="17" t="n"/>
      <c r="AQ980" s="16" t="n"/>
      <c r="AR980" s="20" t="n"/>
      <c r="AS980" s="20" t="inlineStr">
        <is>
          <t>None</t>
        </is>
      </c>
      <c r="AT980" s="17" t="n"/>
      <c r="AU980" s="16" t="n"/>
      <c r="AV980" s="20" t="n"/>
      <c r="AW980" s="20" t="inlineStr">
        <is>
          <t>None</t>
        </is>
      </c>
      <c r="AX980" s="17" t="n"/>
      <c r="AY980" s="16" t="n"/>
      <c r="AZ980" s="20" t="inlineStr">
        <is>
          <t>IC Anionen</t>
        </is>
      </c>
      <c r="BA980" s="20" t="inlineStr">
        <is>
          <t>None</t>
        </is>
      </c>
      <c r="BB980" s="17" t="n"/>
      <c r="BC980" s="16" t="n"/>
      <c r="BD980" s="20" t="inlineStr">
        <is>
          <t>IC Kationen</t>
        </is>
      </c>
      <c r="BE980" s="20" t="inlineStr">
        <is>
          <t>None</t>
        </is>
      </c>
      <c r="BF980" s="17" t="n"/>
      <c r="BG980" s="16" t="n"/>
      <c r="BH980" s="20" t="inlineStr">
        <is>
          <t>IC Kationen</t>
        </is>
      </c>
      <c r="BI980" s="20" t="inlineStr">
        <is>
          <t>None</t>
        </is>
      </c>
      <c r="BJ980" s="17" t="n"/>
      <c r="BK980" s="16" t="n"/>
      <c r="BL980" s="20" t="inlineStr">
        <is>
          <t>IC Kationen</t>
        </is>
      </c>
      <c r="BM980" s="20" t="inlineStr">
        <is>
          <t>None</t>
        </is>
      </c>
      <c r="BN980" s="17" t="n"/>
      <c r="BO980" s="16" t="n"/>
      <c r="BP980" s="20" t="inlineStr">
        <is>
          <t>IC Kationen</t>
        </is>
      </c>
      <c r="BQ980" s="20" t="inlineStr">
        <is>
          <t>None</t>
        </is>
      </c>
      <c r="BR980" s="17" t="n"/>
      <c r="BS980" s="16" t="n"/>
      <c r="BT980" s="20" t="inlineStr">
        <is>
          <t>IC Kationen</t>
        </is>
      </c>
      <c r="BU980" s="20" t="inlineStr">
        <is>
          <t>None</t>
        </is>
      </c>
      <c r="BV980" s="17" t="n"/>
      <c r="BW980" s="16" t="n"/>
      <c r="BX980" s="20" t="n"/>
      <c r="BY980" s="20" t="inlineStr">
        <is>
          <t>None</t>
        </is>
      </c>
      <c r="BZ980" s="17" t="n"/>
      <c r="CA980" s="16" t="n"/>
      <c r="CB980" s="20" t="n"/>
      <c r="CC980" s="20" t="inlineStr">
        <is>
          <t>None</t>
        </is>
      </c>
      <c r="CD980" s="17" t="n"/>
      <c r="CE980" s="16" t="n"/>
      <c r="CF980" s="20" t="n"/>
      <c r="CG980" s="20" t="inlineStr">
        <is>
          <t>None</t>
        </is>
      </c>
      <c r="CH980" s="17" t="n"/>
      <c r="CI980" s="16" t="n"/>
      <c r="CJ980" s="20" t="n"/>
      <c r="CK980" s="20" t="inlineStr">
        <is>
          <t>None</t>
        </is>
      </c>
      <c r="CL980" s="17" t="n"/>
      <c r="CM980" s="16" t="n"/>
      <c r="CN980" s="20" t="inlineStr">
        <is>
          <t>SOP 45-34</t>
        </is>
      </c>
      <c r="CO980" s="20" t="inlineStr">
        <is>
          <t>None</t>
        </is>
      </c>
      <c r="CP980" s="17" t="n"/>
      <c r="CQ980" s="16" t="n"/>
      <c r="CR980" s="20" t="n"/>
      <c r="CS980" s="20" t="inlineStr">
        <is>
          <t>None</t>
        </is>
      </c>
      <c r="CT980" s="17" t="n"/>
      <c r="CU980" s="16" t="n"/>
      <c r="CV980" s="20" t="n"/>
      <c r="CW980" s="20" t="inlineStr">
        <is>
          <t>None</t>
        </is>
      </c>
      <c r="CX980" s="17" t="n"/>
      <c r="CY980" s="16" t="n"/>
      <c r="CZ980" s="20" t="inlineStr">
        <is>
          <t>WTW Multimeter 3430 with FDO 925</t>
        </is>
      </c>
      <c r="DA980" s="20" t="inlineStr">
        <is>
          <t>None</t>
        </is>
      </c>
      <c r="DB980" s="17" t="n"/>
      <c r="DC980" s="16" t="n"/>
      <c r="DD980" s="20" t="n"/>
      <c r="DE980" s="20" t="inlineStr">
        <is>
          <t>None</t>
        </is>
      </c>
      <c r="DF980" s="17" t="n"/>
      <c r="DG980" s="16" t="n"/>
      <c r="DH980" s="20" t="inlineStr">
        <is>
          <t>SOP 45-09</t>
        </is>
      </c>
      <c r="DI980" s="20" t="inlineStr">
        <is>
          <t>None</t>
        </is>
      </c>
      <c r="DJ980" s="17" t="n"/>
      <c r="DK980" s="16" t="n"/>
      <c r="DL980" s="20" t="inlineStr">
        <is>
          <t>SOP 45-09 (SOP muss noch angepasst werden für VSS)</t>
        </is>
      </c>
      <c r="DM980" s="20" t="inlineStr">
        <is>
          <t>None</t>
        </is>
      </c>
      <c r="DN980" s="17" t="n"/>
      <c r="DO980" s="16" t="n"/>
      <c r="DP980" s="20" t="inlineStr">
        <is>
          <t>IC Organic Acids</t>
        </is>
      </c>
      <c r="DQ980" s="20" t="inlineStr">
        <is>
          <t>None</t>
        </is>
      </c>
      <c r="DR980" s="17" t="n"/>
      <c r="DS980" s="16" t="n"/>
      <c r="DT980" s="20" t="inlineStr">
        <is>
          <t>IC Organic Acids</t>
        </is>
      </c>
      <c r="DU980" s="20" t="inlineStr">
        <is>
          <t>None</t>
        </is>
      </c>
      <c r="DV980" s="17" t="n"/>
      <c r="DW980" s="16" t="n"/>
      <c r="DX980" s="20" t="inlineStr">
        <is>
          <t>IC Organic Acids</t>
        </is>
      </c>
      <c r="DY980" s="20" t="inlineStr">
        <is>
          <t>None</t>
        </is>
      </c>
      <c r="DZ980" s="17" t="n"/>
      <c r="EA980" s="16" t="n"/>
      <c r="EB980" s="20" t="inlineStr">
        <is>
          <t>IC Organic Acids</t>
        </is>
      </c>
      <c r="EC980" s="20" t="inlineStr">
        <is>
          <t>None</t>
        </is>
      </c>
      <c r="ED980" s="17" t="n"/>
      <c r="EE980" s="16" t="n"/>
      <c r="EF980" s="20" t="inlineStr">
        <is>
          <t>IC Organic Acids</t>
        </is>
      </c>
      <c r="EG980" s="20" t="inlineStr">
        <is>
          <t>None</t>
        </is>
      </c>
      <c r="EH980" s="17" t="n"/>
      <c r="EI980" s="16" t="n"/>
      <c r="EJ980" s="20" t="inlineStr">
        <is>
          <t>IC Organic Acids</t>
        </is>
      </c>
      <c r="EK980" s="20" t="inlineStr">
        <is>
          <t>None</t>
        </is>
      </c>
      <c r="EL980" s="17" t="n"/>
      <c r="EM980" s="16" t="n"/>
      <c r="EN980" s="20" t="inlineStr">
        <is>
          <t>IC Organic Acids</t>
        </is>
      </c>
      <c r="EO980" s="20" t="inlineStr">
        <is>
          <t>None</t>
        </is>
      </c>
      <c r="EP980" s="17" t="n"/>
      <c r="EQ980" s="16" t="n"/>
      <c r="ER980" s="20" t="inlineStr">
        <is>
          <t>IC Organic Acids</t>
        </is>
      </c>
      <c r="ES980" s="20" t="inlineStr">
        <is>
          <t>None</t>
        </is>
      </c>
      <c r="ET980" s="17" t="n"/>
      <c r="EU980" s="16" t="n"/>
      <c r="EV980" s="20" t="inlineStr">
        <is>
          <t>LC-MS</t>
        </is>
      </c>
      <c r="EW980" s="20" t="inlineStr">
        <is>
          <t>None</t>
        </is>
      </c>
      <c r="EX980" s="17" t="n"/>
      <c r="EY980" s="21" t="n"/>
      <c r="EZ980">
        <f>CONCATENATE(A980,B980)</f>
        <v/>
      </c>
      <c r="FA980">
        <f>CONCATENATE(SamplesX!A980,SamplesX!B980)</f>
        <v/>
      </c>
      <c r="FC980">
        <f>MATCH(EZ980,FA1:FA1008,0)</f>
        <v/>
      </c>
    </row>
    <row r="981">
      <c r="A981" s="16" t="n"/>
      <c r="B981" s="17" t="n"/>
      <c r="C981" s="10">
        <f>IF(ISNUMBER(FC981),INDIRECT("SamplesX!C"&amp;FC981),IF(ISNUMBER(FD981),INDIRECT("SamplesY!C"&amp;FD981),""))</f>
        <v/>
      </c>
      <c r="D981" s="12">
        <f>IF(ISNUMBER(FC981),INDIRECT("SamplesX!D"&amp;FC981),IF(ISNUMBER(FD981),INDIRECT("SamplesY!D"&amp;FD981),""))</f>
        <v/>
      </c>
      <c r="E981" s="12">
        <f>IF(ISNUMBER(FC981),INDIRECT("SamplesX!E"&amp;FC981),IF(ISNUMBER(FD981),INDIRECT("SamplesY!E"&amp;FD981),""))</f>
        <v/>
      </c>
      <c r="F981" s="11">
        <f>IF(ISNUMBER(FC981),INDIRECT("SamplesX!F"&amp;FC981),IF(ISNUMBER(FD981),INDIRECT("SamplesY!F"&amp;FD981),""))</f>
        <v/>
      </c>
      <c r="G981" s="18">
        <f>IF(ISNUMBER(FC981),INDIRECT("SamplesX!G"&amp;FC981),IF(ISNUMBER(FD981),INDIRECT("SamplesY!G"&amp;FD981),""))</f>
        <v/>
      </c>
      <c r="H981" s="19">
        <f>IF(ISNUMBER(FC981),INDIRECT("SamplesX!H"&amp;FC981),IF(ISNUMBER(FD981),INDIRECT("SamplesY!H"&amp;FD981),""))</f>
        <v/>
      </c>
      <c r="I981" s="16" t="n"/>
      <c r="J981" s="16" t="n"/>
      <c r="K981" s="16" t="n"/>
      <c r="L981" s="20" t="n"/>
      <c r="M981" s="20" t="inlineStr">
        <is>
          <t>None</t>
        </is>
      </c>
      <c r="N981" s="17" t="n"/>
      <c r="O981" s="16" t="n"/>
      <c r="P981" s="20" t="inlineStr">
        <is>
          <t>Shimadzu TOC-L</t>
        </is>
      </c>
      <c r="Q981" s="20" t="inlineStr">
        <is>
          <t>None</t>
        </is>
      </c>
      <c r="R981" s="17" t="n"/>
      <c r="S981" s="16" t="n"/>
      <c r="T981" s="20" t="inlineStr">
        <is>
          <t>Shimadzu TOC-L</t>
        </is>
      </c>
      <c r="U981" s="20" t="inlineStr">
        <is>
          <t>None</t>
        </is>
      </c>
      <c r="V981" s="17" t="n"/>
      <c r="W981" s="16" t="n"/>
      <c r="X981" s="20" t="n"/>
      <c r="Y981" s="20" t="inlineStr">
        <is>
          <t>None</t>
        </is>
      </c>
      <c r="Z981" s="17" t="n"/>
      <c r="AA981" s="16" t="n"/>
      <c r="AB981" s="20" t="n"/>
      <c r="AC981" s="20" t="inlineStr">
        <is>
          <t>None</t>
        </is>
      </c>
      <c r="AD981" s="17" t="n"/>
      <c r="AE981" s="16" t="n"/>
      <c r="AF981" s="20" t="inlineStr">
        <is>
          <t>IC Anionen</t>
        </is>
      </c>
      <c r="AG981" s="20" t="inlineStr">
        <is>
          <t>None</t>
        </is>
      </c>
      <c r="AH981" s="17" t="n"/>
      <c r="AI981" s="16" t="n"/>
      <c r="AJ981" s="20" t="n"/>
      <c r="AK981" s="20" t="inlineStr">
        <is>
          <t>None</t>
        </is>
      </c>
      <c r="AL981" s="17" t="n"/>
      <c r="AM981" s="16" t="n"/>
      <c r="AN981" s="20" t="inlineStr">
        <is>
          <t>IC Anionen</t>
        </is>
      </c>
      <c r="AO981" s="20" t="inlineStr">
        <is>
          <t>None</t>
        </is>
      </c>
      <c r="AP981" s="17" t="n"/>
      <c r="AQ981" s="16" t="n"/>
      <c r="AR981" s="20" t="n"/>
      <c r="AS981" s="20" t="inlineStr">
        <is>
          <t>None</t>
        </is>
      </c>
      <c r="AT981" s="17" t="n"/>
      <c r="AU981" s="16" t="n"/>
      <c r="AV981" s="20" t="n"/>
      <c r="AW981" s="20" t="inlineStr">
        <is>
          <t>None</t>
        </is>
      </c>
      <c r="AX981" s="17" t="n"/>
      <c r="AY981" s="16" t="n"/>
      <c r="AZ981" s="20" t="inlineStr">
        <is>
          <t>IC Anionen</t>
        </is>
      </c>
      <c r="BA981" s="20" t="inlineStr">
        <is>
          <t>None</t>
        </is>
      </c>
      <c r="BB981" s="17" t="n"/>
      <c r="BC981" s="16" t="n"/>
      <c r="BD981" s="20" t="inlineStr">
        <is>
          <t>IC Kationen</t>
        </is>
      </c>
      <c r="BE981" s="20" t="inlineStr">
        <is>
          <t>None</t>
        </is>
      </c>
      <c r="BF981" s="17" t="n"/>
      <c r="BG981" s="16" t="n"/>
      <c r="BH981" s="20" t="inlineStr">
        <is>
          <t>IC Kationen</t>
        </is>
      </c>
      <c r="BI981" s="20" t="inlineStr">
        <is>
          <t>None</t>
        </is>
      </c>
      <c r="BJ981" s="17" t="n"/>
      <c r="BK981" s="16" t="n"/>
      <c r="BL981" s="20" t="inlineStr">
        <is>
          <t>IC Kationen</t>
        </is>
      </c>
      <c r="BM981" s="20" t="inlineStr">
        <is>
          <t>None</t>
        </is>
      </c>
      <c r="BN981" s="17" t="n"/>
      <c r="BO981" s="16" t="n"/>
      <c r="BP981" s="20" t="inlineStr">
        <is>
          <t>IC Kationen</t>
        </is>
      </c>
      <c r="BQ981" s="20" t="inlineStr">
        <is>
          <t>None</t>
        </is>
      </c>
      <c r="BR981" s="17" t="n"/>
      <c r="BS981" s="16" t="n"/>
      <c r="BT981" s="20" t="inlineStr">
        <is>
          <t>IC Kationen</t>
        </is>
      </c>
      <c r="BU981" s="20" t="inlineStr">
        <is>
          <t>None</t>
        </is>
      </c>
      <c r="BV981" s="17" t="n"/>
      <c r="BW981" s="16" t="n"/>
      <c r="BX981" s="20" t="n"/>
      <c r="BY981" s="20" t="inlineStr">
        <is>
          <t>None</t>
        </is>
      </c>
      <c r="BZ981" s="17" t="n"/>
      <c r="CA981" s="16" t="n"/>
      <c r="CB981" s="20" t="n"/>
      <c r="CC981" s="20" t="inlineStr">
        <is>
          <t>None</t>
        </is>
      </c>
      <c r="CD981" s="17" t="n"/>
      <c r="CE981" s="16" t="n"/>
      <c r="CF981" s="20" t="n"/>
      <c r="CG981" s="20" t="inlineStr">
        <is>
          <t>None</t>
        </is>
      </c>
      <c r="CH981" s="17" t="n"/>
      <c r="CI981" s="16" t="n"/>
      <c r="CJ981" s="20" t="n"/>
      <c r="CK981" s="20" t="inlineStr">
        <is>
          <t>None</t>
        </is>
      </c>
      <c r="CL981" s="17" t="n"/>
      <c r="CM981" s="16" t="n"/>
      <c r="CN981" s="20" t="inlineStr">
        <is>
          <t>SOP 45-34</t>
        </is>
      </c>
      <c r="CO981" s="20" t="inlineStr">
        <is>
          <t>None</t>
        </is>
      </c>
      <c r="CP981" s="17" t="n"/>
      <c r="CQ981" s="16" t="n"/>
      <c r="CR981" s="20" t="n"/>
      <c r="CS981" s="20" t="inlineStr">
        <is>
          <t>None</t>
        </is>
      </c>
      <c r="CT981" s="17" t="n"/>
      <c r="CU981" s="16" t="n"/>
      <c r="CV981" s="20" t="n"/>
      <c r="CW981" s="20" t="inlineStr">
        <is>
          <t>None</t>
        </is>
      </c>
      <c r="CX981" s="17" t="n"/>
      <c r="CY981" s="16" t="n"/>
      <c r="CZ981" s="20" t="inlineStr">
        <is>
          <t>WTW Multimeter 3430 with FDO 925</t>
        </is>
      </c>
      <c r="DA981" s="20" t="inlineStr">
        <is>
          <t>None</t>
        </is>
      </c>
      <c r="DB981" s="17" t="n"/>
      <c r="DC981" s="16" t="n"/>
      <c r="DD981" s="20" t="n"/>
      <c r="DE981" s="20" t="inlineStr">
        <is>
          <t>None</t>
        </is>
      </c>
      <c r="DF981" s="17" t="n"/>
      <c r="DG981" s="16" t="n"/>
      <c r="DH981" s="20" t="inlineStr">
        <is>
          <t>SOP 45-09</t>
        </is>
      </c>
      <c r="DI981" s="20" t="inlineStr">
        <is>
          <t>None</t>
        </is>
      </c>
      <c r="DJ981" s="17" t="n"/>
      <c r="DK981" s="16" t="n"/>
      <c r="DL981" s="20" t="inlineStr">
        <is>
          <t>SOP 45-09 (SOP muss noch angepasst werden für VSS)</t>
        </is>
      </c>
      <c r="DM981" s="20" t="inlineStr">
        <is>
          <t>None</t>
        </is>
      </c>
      <c r="DN981" s="17" t="n"/>
      <c r="DO981" s="16" t="n"/>
      <c r="DP981" s="20" t="inlineStr">
        <is>
          <t>IC Organic Acids</t>
        </is>
      </c>
      <c r="DQ981" s="20" t="inlineStr">
        <is>
          <t>None</t>
        </is>
      </c>
      <c r="DR981" s="17" t="n"/>
      <c r="DS981" s="16" t="n"/>
      <c r="DT981" s="20" t="inlineStr">
        <is>
          <t>IC Organic Acids</t>
        </is>
      </c>
      <c r="DU981" s="20" t="inlineStr">
        <is>
          <t>None</t>
        </is>
      </c>
      <c r="DV981" s="17" t="n"/>
      <c r="DW981" s="16" t="n"/>
      <c r="DX981" s="20" t="inlineStr">
        <is>
          <t>IC Organic Acids</t>
        </is>
      </c>
      <c r="DY981" s="20" t="inlineStr">
        <is>
          <t>None</t>
        </is>
      </c>
      <c r="DZ981" s="17" t="n"/>
      <c r="EA981" s="16" t="n"/>
      <c r="EB981" s="20" t="inlineStr">
        <is>
          <t>IC Organic Acids</t>
        </is>
      </c>
      <c r="EC981" s="20" t="inlineStr">
        <is>
          <t>None</t>
        </is>
      </c>
      <c r="ED981" s="17" t="n"/>
      <c r="EE981" s="16" t="n"/>
      <c r="EF981" s="20" t="inlineStr">
        <is>
          <t>IC Organic Acids</t>
        </is>
      </c>
      <c r="EG981" s="20" t="inlineStr">
        <is>
          <t>None</t>
        </is>
      </c>
      <c r="EH981" s="17" t="n"/>
      <c r="EI981" s="16" t="n"/>
      <c r="EJ981" s="20" t="inlineStr">
        <is>
          <t>IC Organic Acids</t>
        </is>
      </c>
      <c r="EK981" s="20" t="inlineStr">
        <is>
          <t>None</t>
        </is>
      </c>
      <c r="EL981" s="17" t="n"/>
      <c r="EM981" s="16" t="n"/>
      <c r="EN981" s="20" t="inlineStr">
        <is>
          <t>IC Organic Acids</t>
        </is>
      </c>
      <c r="EO981" s="20" t="inlineStr">
        <is>
          <t>None</t>
        </is>
      </c>
      <c r="EP981" s="17" t="n"/>
      <c r="EQ981" s="16" t="n"/>
      <c r="ER981" s="20" t="inlineStr">
        <is>
          <t>IC Organic Acids</t>
        </is>
      </c>
      <c r="ES981" s="20" t="inlineStr">
        <is>
          <t>None</t>
        </is>
      </c>
      <c r="ET981" s="17" t="n"/>
      <c r="EU981" s="16" t="n"/>
      <c r="EV981" s="20" t="inlineStr">
        <is>
          <t>LC-MS</t>
        </is>
      </c>
      <c r="EW981" s="20" t="inlineStr">
        <is>
          <t>None</t>
        </is>
      </c>
      <c r="EX981" s="17" t="n"/>
      <c r="EY981" s="21" t="n"/>
      <c r="EZ981">
        <f>CONCATENATE(A981,B981)</f>
        <v/>
      </c>
      <c r="FA981">
        <f>CONCATENATE(SamplesX!A981,SamplesX!B981)</f>
        <v/>
      </c>
      <c r="FC981">
        <f>MATCH(EZ981,FA1:FA1008,0)</f>
        <v/>
      </c>
    </row>
    <row r="982">
      <c r="A982" s="16" t="n"/>
      <c r="B982" s="17" t="n"/>
      <c r="C982" s="10">
        <f>IF(ISNUMBER(FC982),INDIRECT("SamplesX!C"&amp;FC982),IF(ISNUMBER(FD982),INDIRECT("SamplesY!C"&amp;FD982),""))</f>
        <v/>
      </c>
      <c r="D982" s="12">
        <f>IF(ISNUMBER(FC982),INDIRECT("SamplesX!D"&amp;FC982),IF(ISNUMBER(FD982),INDIRECT("SamplesY!D"&amp;FD982),""))</f>
        <v/>
      </c>
      <c r="E982" s="12">
        <f>IF(ISNUMBER(FC982),INDIRECT("SamplesX!E"&amp;FC982),IF(ISNUMBER(FD982),INDIRECT("SamplesY!E"&amp;FD982),""))</f>
        <v/>
      </c>
      <c r="F982" s="11">
        <f>IF(ISNUMBER(FC982),INDIRECT("SamplesX!F"&amp;FC982),IF(ISNUMBER(FD982),INDIRECT("SamplesY!F"&amp;FD982),""))</f>
        <v/>
      </c>
      <c r="G982" s="18">
        <f>IF(ISNUMBER(FC982),INDIRECT("SamplesX!G"&amp;FC982),IF(ISNUMBER(FD982),INDIRECT("SamplesY!G"&amp;FD982),""))</f>
        <v/>
      </c>
      <c r="H982" s="19">
        <f>IF(ISNUMBER(FC982),INDIRECT("SamplesX!H"&amp;FC982),IF(ISNUMBER(FD982),INDIRECT("SamplesY!H"&amp;FD982),""))</f>
        <v/>
      </c>
      <c r="I982" s="16" t="n"/>
      <c r="J982" s="16" t="n"/>
      <c r="K982" s="16" t="n"/>
      <c r="L982" s="20" t="n"/>
      <c r="M982" s="20" t="inlineStr">
        <is>
          <t>None</t>
        </is>
      </c>
      <c r="N982" s="17" t="n"/>
      <c r="O982" s="16" t="n"/>
      <c r="P982" s="20" t="inlineStr">
        <is>
          <t>Shimadzu TOC-L</t>
        </is>
      </c>
      <c r="Q982" s="20" t="inlineStr">
        <is>
          <t>None</t>
        </is>
      </c>
      <c r="R982" s="17" t="n"/>
      <c r="S982" s="16" t="n"/>
      <c r="T982" s="20" t="inlineStr">
        <is>
          <t>Shimadzu TOC-L</t>
        </is>
      </c>
      <c r="U982" s="20" t="inlineStr">
        <is>
          <t>None</t>
        </is>
      </c>
      <c r="V982" s="17" t="n"/>
      <c r="W982" s="16" t="n"/>
      <c r="X982" s="20" t="n"/>
      <c r="Y982" s="20" t="inlineStr">
        <is>
          <t>None</t>
        </is>
      </c>
      <c r="Z982" s="17" t="n"/>
      <c r="AA982" s="16" t="n"/>
      <c r="AB982" s="20" t="n"/>
      <c r="AC982" s="20" t="inlineStr">
        <is>
          <t>None</t>
        </is>
      </c>
      <c r="AD982" s="17" t="n"/>
      <c r="AE982" s="16" t="n"/>
      <c r="AF982" s="20" t="inlineStr">
        <is>
          <t>IC Anionen</t>
        </is>
      </c>
      <c r="AG982" s="20" t="inlineStr">
        <is>
          <t>None</t>
        </is>
      </c>
      <c r="AH982" s="17" t="n"/>
      <c r="AI982" s="16" t="n"/>
      <c r="AJ982" s="20" t="n"/>
      <c r="AK982" s="20" t="inlineStr">
        <is>
          <t>None</t>
        </is>
      </c>
      <c r="AL982" s="17" t="n"/>
      <c r="AM982" s="16" t="n"/>
      <c r="AN982" s="20" t="inlineStr">
        <is>
          <t>IC Anionen</t>
        </is>
      </c>
      <c r="AO982" s="20" t="inlineStr">
        <is>
          <t>None</t>
        </is>
      </c>
      <c r="AP982" s="17" t="n"/>
      <c r="AQ982" s="16" t="n"/>
      <c r="AR982" s="20" t="n"/>
      <c r="AS982" s="20" t="inlineStr">
        <is>
          <t>None</t>
        </is>
      </c>
      <c r="AT982" s="17" t="n"/>
      <c r="AU982" s="16" t="n"/>
      <c r="AV982" s="20" t="n"/>
      <c r="AW982" s="20" t="inlineStr">
        <is>
          <t>None</t>
        </is>
      </c>
      <c r="AX982" s="17" t="n"/>
      <c r="AY982" s="16" t="n"/>
      <c r="AZ982" s="20" t="inlineStr">
        <is>
          <t>IC Anionen</t>
        </is>
      </c>
      <c r="BA982" s="20" t="inlineStr">
        <is>
          <t>None</t>
        </is>
      </c>
      <c r="BB982" s="17" t="n"/>
      <c r="BC982" s="16" t="n"/>
      <c r="BD982" s="20" t="inlineStr">
        <is>
          <t>IC Kationen</t>
        </is>
      </c>
      <c r="BE982" s="20" t="inlineStr">
        <is>
          <t>None</t>
        </is>
      </c>
      <c r="BF982" s="17" t="n"/>
      <c r="BG982" s="16" t="n"/>
      <c r="BH982" s="20" t="inlineStr">
        <is>
          <t>IC Kationen</t>
        </is>
      </c>
      <c r="BI982" s="20" t="inlineStr">
        <is>
          <t>None</t>
        </is>
      </c>
      <c r="BJ982" s="17" t="n"/>
      <c r="BK982" s="16" t="n"/>
      <c r="BL982" s="20" t="inlineStr">
        <is>
          <t>IC Kationen</t>
        </is>
      </c>
      <c r="BM982" s="20" t="inlineStr">
        <is>
          <t>None</t>
        </is>
      </c>
      <c r="BN982" s="17" t="n"/>
      <c r="BO982" s="16" t="n"/>
      <c r="BP982" s="20" t="inlineStr">
        <is>
          <t>IC Kationen</t>
        </is>
      </c>
      <c r="BQ982" s="20" t="inlineStr">
        <is>
          <t>None</t>
        </is>
      </c>
      <c r="BR982" s="17" t="n"/>
      <c r="BS982" s="16" t="n"/>
      <c r="BT982" s="20" t="inlineStr">
        <is>
          <t>IC Kationen</t>
        </is>
      </c>
      <c r="BU982" s="20" t="inlineStr">
        <is>
          <t>None</t>
        </is>
      </c>
      <c r="BV982" s="17" t="n"/>
      <c r="BW982" s="16" t="n"/>
      <c r="BX982" s="20" t="n"/>
      <c r="BY982" s="20" t="inlineStr">
        <is>
          <t>None</t>
        </is>
      </c>
      <c r="BZ982" s="17" t="n"/>
      <c r="CA982" s="16" t="n"/>
      <c r="CB982" s="20" t="n"/>
      <c r="CC982" s="20" t="inlineStr">
        <is>
          <t>None</t>
        </is>
      </c>
      <c r="CD982" s="17" t="n"/>
      <c r="CE982" s="16" t="n"/>
      <c r="CF982" s="20" t="n"/>
      <c r="CG982" s="20" t="inlineStr">
        <is>
          <t>None</t>
        </is>
      </c>
      <c r="CH982" s="17" t="n"/>
      <c r="CI982" s="16" t="n"/>
      <c r="CJ982" s="20" t="n"/>
      <c r="CK982" s="20" t="inlineStr">
        <is>
          <t>None</t>
        </is>
      </c>
      <c r="CL982" s="17" t="n"/>
      <c r="CM982" s="16" t="n"/>
      <c r="CN982" s="20" t="inlineStr">
        <is>
          <t>SOP 45-34</t>
        </is>
      </c>
      <c r="CO982" s="20" t="inlineStr">
        <is>
          <t>None</t>
        </is>
      </c>
      <c r="CP982" s="17" t="n"/>
      <c r="CQ982" s="16" t="n"/>
      <c r="CR982" s="20" t="n"/>
      <c r="CS982" s="20" t="inlineStr">
        <is>
          <t>None</t>
        </is>
      </c>
      <c r="CT982" s="17" t="n"/>
      <c r="CU982" s="16" t="n"/>
      <c r="CV982" s="20" t="n"/>
      <c r="CW982" s="20" t="inlineStr">
        <is>
          <t>None</t>
        </is>
      </c>
      <c r="CX982" s="17" t="n"/>
      <c r="CY982" s="16" t="n"/>
      <c r="CZ982" s="20" t="inlineStr">
        <is>
          <t>WTW Multimeter 3430 with FDO 925</t>
        </is>
      </c>
      <c r="DA982" s="20" t="inlineStr">
        <is>
          <t>None</t>
        </is>
      </c>
      <c r="DB982" s="17" t="n"/>
      <c r="DC982" s="16" t="n"/>
      <c r="DD982" s="20" t="n"/>
      <c r="DE982" s="20" t="inlineStr">
        <is>
          <t>None</t>
        </is>
      </c>
      <c r="DF982" s="17" t="n"/>
      <c r="DG982" s="16" t="n"/>
      <c r="DH982" s="20" t="inlineStr">
        <is>
          <t>SOP 45-09</t>
        </is>
      </c>
      <c r="DI982" s="20" t="inlineStr">
        <is>
          <t>None</t>
        </is>
      </c>
      <c r="DJ982" s="17" t="n"/>
      <c r="DK982" s="16" t="n"/>
      <c r="DL982" s="20" t="inlineStr">
        <is>
          <t>SOP 45-09 (SOP muss noch angepasst werden für VSS)</t>
        </is>
      </c>
      <c r="DM982" s="20" t="inlineStr">
        <is>
          <t>None</t>
        </is>
      </c>
      <c r="DN982" s="17" t="n"/>
      <c r="DO982" s="16" t="n"/>
      <c r="DP982" s="20" t="inlineStr">
        <is>
          <t>IC Organic Acids</t>
        </is>
      </c>
      <c r="DQ982" s="20" t="inlineStr">
        <is>
          <t>None</t>
        </is>
      </c>
      <c r="DR982" s="17" t="n"/>
      <c r="DS982" s="16" t="n"/>
      <c r="DT982" s="20" t="inlineStr">
        <is>
          <t>IC Organic Acids</t>
        </is>
      </c>
      <c r="DU982" s="20" t="inlineStr">
        <is>
          <t>None</t>
        </is>
      </c>
      <c r="DV982" s="17" t="n"/>
      <c r="DW982" s="16" t="n"/>
      <c r="DX982" s="20" t="inlineStr">
        <is>
          <t>IC Organic Acids</t>
        </is>
      </c>
      <c r="DY982" s="20" t="inlineStr">
        <is>
          <t>None</t>
        </is>
      </c>
      <c r="DZ982" s="17" t="n"/>
      <c r="EA982" s="16" t="n"/>
      <c r="EB982" s="20" t="inlineStr">
        <is>
          <t>IC Organic Acids</t>
        </is>
      </c>
      <c r="EC982" s="20" t="inlineStr">
        <is>
          <t>None</t>
        </is>
      </c>
      <c r="ED982" s="17" t="n"/>
      <c r="EE982" s="16" t="n"/>
      <c r="EF982" s="20" t="inlineStr">
        <is>
          <t>IC Organic Acids</t>
        </is>
      </c>
      <c r="EG982" s="20" t="inlineStr">
        <is>
          <t>None</t>
        </is>
      </c>
      <c r="EH982" s="17" t="n"/>
      <c r="EI982" s="16" t="n"/>
      <c r="EJ982" s="20" t="inlineStr">
        <is>
          <t>IC Organic Acids</t>
        </is>
      </c>
      <c r="EK982" s="20" t="inlineStr">
        <is>
          <t>None</t>
        </is>
      </c>
      <c r="EL982" s="17" t="n"/>
      <c r="EM982" s="16" t="n"/>
      <c r="EN982" s="20" t="inlineStr">
        <is>
          <t>IC Organic Acids</t>
        </is>
      </c>
      <c r="EO982" s="20" t="inlineStr">
        <is>
          <t>None</t>
        </is>
      </c>
      <c r="EP982" s="17" t="n"/>
      <c r="EQ982" s="16" t="n"/>
      <c r="ER982" s="20" t="inlineStr">
        <is>
          <t>IC Organic Acids</t>
        </is>
      </c>
      <c r="ES982" s="20" t="inlineStr">
        <is>
          <t>None</t>
        </is>
      </c>
      <c r="ET982" s="17" t="n"/>
      <c r="EU982" s="16" t="n"/>
      <c r="EV982" s="20" t="inlineStr">
        <is>
          <t>LC-MS</t>
        </is>
      </c>
      <c r="EW982" s="20" t="inlineStr">
        <is>
          <t>None</t>
        </is>
      </c>
      <c r="EX982" s="17" t="n"/>
      <c r="EY982" s="21" t="n"/>
      <c r="EZ982">
        <f>CONCATENATE(A982,B982)</f>
        <v/>
      </c>
      <c r="FA982">
        <f>CONCATENATE(SamplesX!A982,SamplesX!B982)</f>
        <v/>
      </c>
      <c r="FC982">
        <f>MATCH(EZ982,FA1:FA1008,0)</f>
        <v/>
      </c>
    </row>
    <row r="983">
      <c r="A983" s="16" t="n"/>
      <c r="B983" s="17" t="n"/>
      <c r="C983" s="10">
        <f>IF(ISNUMBER(FC983),INDIRECT("SamplesX!C"&amp;FC983),IF(ISNUMBER(FD983),INDIRECT("SamplesY!C"&amp;FD983),""))</f>
        <v/>
      </c>
      <c r="D983" s="12">
        <f>IF(ISNUMBER(FC983),INDIRECT("SamplesX!D"&amp;FC983),IF(ISNUMBER(FD983),INDIRECT("SamplesY!D"&amp;FD983),""))</f>
        <v/>
      </c>
      <c r="E983" s="12">
        <f>IF(ISNUMBER(FC983),INDIRECT("SamplesX!E"&amp;FC983),IF(ISNUMBER(FD983),INDIRECT("SamplesY!E"&amp;FD983),""))</f>
        <v/>
      </c>
      <c r="F983" s="11">
        <f>IF(ISNUMBER(FC983),INDIRECT("SamplesX!F"&amp;FC983),IF(ISNUMBER(FD983),INDIRECT("SamplesY!F"&amp;FD983),""))</f>
        <v/>
      </c>
      <c r="G983" s="18">
        <f>IF(ISNUMBER(FC983),INDIRECT("SamplesX!G"&amp;FC983),IF(ISNUMBER(FD983),INDIRECT("SamplesY!G"&amp;FD983),""))</f>
        <v/>
      </c>
      <c r="H983" s="19">
        <f>IF(ISNUMBER(FC983),INDIRECT("SamplesX!H"&amp;FC983),IF(ISNUMBER(FD983),INDIRECT("SamplesY!H"&amp;FD983),""))</f>
        <v/>
      </c>
      <c r="I983" s="16" t="n"/>
      <c r="J983" s="16" t="n"/>
      <c r="K983" s="16" t="n"/>
      <c r="L983" s="20" t="n"/>
      <c r="M983" s="20" t="inlineStr">
        <is>
          <t>None</t>
        </is>
      </c>
      <c r="N983" s="17" t="n"/>
      <c r="O983" s="16" t="n"/>
      <c r="P983" s="20" t="inlineStr">
        <is>
          <t>Shimadzu TOC-L</t>
        </is>
      </c>
      <c r="Q983" s="20" t="inlineStr">
        <is>
          <t>None</t>
        </is>
      </c>
      <c r="R983" s="17" t="n"/>
      <c r="S983" s="16" t="n"/>
      <c r="T983" s="20" t="inlineStr">
        <is>
          <t>Shimadzu TOC-L</t>
        </is>
      </c>
      <c r="U983" s="20" t="inlineStr">
        <is>
          <t>None</t>
        </is>
      </c>
      <c r="V983" s="17" t="n"/>
      <c r="W983" s="16" t="n"/>
      <c r="X983" s="20" t="n"/>
      <c r="Y983" s="20" t="inlineStr">
        <is>
          <t>None</t>
        </is>
      </c>
      <c r="Z983" s="17" t="n"/>
      <c r="AA983" s="16" t="n"/>
      <c r="AB983" s="20" t="n"/>
      <c r="AC983" s="20" t="inlineStr">
        <is>
          <t>None</t>
        </is>
      </c>
      <c r="AD983" s="17" t="n"/>
      <c r="AE983" s="16" t="n"/>
      <c r="AF983" s="20" t="inlineStr">
        <is>
          <t>IC Anionen</t>
        </is>
      </c>
      <c r="AG983" s="20" t="inlineStr">
        <is>
          <t>None</t>
        </is>
      </c>
      <c r="AH983" s="17" t="n"/>
      <c r="AI983" s="16" t="n"/>
      <c r="AJ983" s="20" t="n"/>
      <c r="AK983" s="20" t="inlineStr">
        <is>
          <t>None</t>
        </is>
      </c>
      <c r="AL983" s="17" t="n"/>
      <c r="AM983" s="16" t="n"/>
      <c r="AN983" s="20" t="inlineStr">
        <is>
          <t>IC Anionen</t>
        </is>
      </c>
      <c r="AO983" s="20" t="inlineStr">
        <is>
          <t>None</t>
        </is>
      </c>
      <c r="AP983" s="17" t="n"/>
      <c r="AQ983" s="16" t="n"/>
      <c r="AR983" s="20" t="n"/>
      <c r="AS983" s="20" t="inlineStr">
        <is>
          <t>None</t>
        </is>
      </c>
      <c r="AT983" s="17" t="n"/>
      <c r="AU983" s="16" t="n"/>
      <c r="AV983" s="20" t="n"/>
      <c r="AW983" s="20" t="inlineStr">
        <is>
          <t>None</t>
        </is>
      </c>
      <c r="AX983" s="17" t="n"/>
      <c r="AY983" s="16" t="n"/>
      <c r="AZ983" s="20" t="inlineStr">
        <is>
          <t>IC Anionen</t>
        </is>
      </c>
      <c r="BA983" s="20" t="inlineStr">
        <is>
          <t>None</t>
        </is>
      </c>
      <c r="BB983" s="17" t="n"/>
      <c r="BC983" s="16" t="n"/>
      <c r="BD983" s="20" t="inlineStr">
        <is>
          <t>IC Kationen</t>
        </is>
      </c>
      <c r="BE983" s="20" t="inlineStr">
        <is>
          <t>None</t>
        </is>
      </c>
      <c r="BF983" s="17" t="n"/>
      <c r="BG983" s="16" t="n"/>
      <c r="BH983" s="20" t="inlineStr">
        <is>
          <t>IC Kationen</t>
        </is>
      </c>
      <c r="BI983" s="20" t="inlineStr">
        <is>
          <t>None</t>
        </is>
      </c>
      <c r="BJ983" s="17" t="n"/>
      <c r="BK983" s="16" t="n"/>
      <c r="BL983" s="20" t="inlineStr">
        <is>
          <t>IC Kationen</t>
        </is>
      </c>
      <c r="BM983" s="20" t="inlineStr">
        <is>
          <t>None</t>
        </is>
      </c>
      <c r="BN983" s="17" t="n"/>
      <c r="BO983" s="16" t="n"/>
      <c r="BP983" s="20" t="inlineStr">
        <is>
          <t>IC Kationen</t>
        </is>
      </c>
      <c r="BQ983" s="20" t="inlineStr">
        <is>
          <t>None</t>
        </is>
      </c>
      <c r="BR983" s="17" t="n"/>
      <c r="BS983" s="16" t="n"/>
      <c r="BT983" s="20" t="inlineStr">
        <is>
          <t>IC Kationen</t>
        </is>
      </c>
      <c r="BU983" s="20" t="inlineStr">
        <is>
          <t>None</t>
        </is>
      </c>
      <c r="BV983" s="17" t="n"/>
      <c r="BW983" s="16" t="n"/>
      <c r="BX983" s="20" t="n"/>
      <c r="BY983" s="20" t="inlineStr">
        <is>
          <t>None</t>
        </is>
      </c>
      <c r="BZ983" s="17" t="n"/>
      <c r="CA983" s="16" t="n"/>
      <c r="CB983" s="20" t="n"/>
      <c r="CC983" s="20" t="inlineStr">
        <is>
          <t>None</t>
        </is>
      </c>
      <c r="CD983" s="17" t="n"/>
      <c r="CE983" s="16" t="n"/>
      <c r="CF983" s="20" t="n"/>
      <c r="CG983" s="20" t="inlineStr">
        <is>
          <t>None</t>
        </is>
      </c>
      <c r="CH983" s="17" t="n"/>
      <c r="CI983" s="16" t="n"/>
      <c r="CJ983" s="20" t="n"/>
      <c r="CK983" s="20" t="inlineStr">
        <is>
          <t>None</t>
        </is>
      </c>
      <c r="CL983" s="17" t="n"/>
      <c r="CM983" s="16" t="n"/>
      <c r="CN983" s="20" t="inlineStr">
        <is>
          <t>SOP 45-34</t>
        </is>
      </c>
      <c r="CO983" s="20" t="inlineStr">
        <is>
          <t>None</t>
        </is>
      </c>
      <c r="CP983" s="17" t="n"/>
      <c r="CQ983" s="16" t="n"/>
      <c r="CR983" s="20" t="n"/>
      <c r="CS983" s="20" t="inlineStr">
        <is>
          <t>None</t>
        </is>
      </c>
      <c r="CT983" s="17" t="n"/>
      <c r="CU983" s="16" t="n"/>
      <c r="CV983" s="20" t="n"/>
      <c r="CW983" s="20" t="inlineStr">
        <is>
          <t>None</t>
        </is>
      </c>
      <c r="CX983" s="17" t="n"/>
      <c r="CY983" s="16" t="n"/>
      <c r="CZ983" s="20" t="inlineStr">
        <is>
          <t>WTW Multimeter 3430 with FDO 925</t>
        </is>
      </c>
      <c r="DA983" s="20" t="inlineStr">
        <is>
          <t>None</t>
        </is>
      </c>
      <c r="DB983" s="17" t="n"/>
      <c r="DC983" s="16" t="n"/>
      <c r="DD983" s="20" t="n"/>
      <c r="DE983" s="20" t="inlineStr">
        <is>
          <t>None</t>
        </is>
      </c>
      <c r="DF983" s="17" t="n"/>
      <c r="DG983" s="16" t="n"/>
      <c r="DH983" s="20" t="inlineStr">
        <is>
          <t>SOP 45-09</t>
        </is>
      </c>
      <c r="DI983" s="20" t="inlineStr">
        <is>
          <t>None</t>
        </is>
      </c>
      <c r="DJ983" s="17" t="n"/>
      <c r="DK983" s="16" t="n"/>
      <c r="DL983" s="20" t="inlineStr">
        <is>
          <t>SOP 45-09 (SOP muss noch angepasst werden für VSS)</t>
        </is>
      </c>
      <c r="DM983" s="20" t="inlineStr">
        <is>
          <t>None</t>
        </is>
      </c>
      <c r="DN983" s="17" t="n"/>
      <c r="DO983" s="16" t="n"/>
      <c r="DP983" s="20" t="inlineStr">
        <is>
          <t>IC Organic Acids</t>
        </is>
      </c>
      <c r="DQ983" s="20" t="inlineStr">
        <is>
          <t>None</t>
        </is>
      </c>
      <c r="DR983" s="17" t="n"/>
      <c r="DS983" s="16" t="n"/>
      <c r="DT983" s="20" t="inlineStr">
        <is>
          <t>IC Organic Acids</t>
        </is>
      </c>
      <c r="DU983" s="20" t="inlineStr">
        <is>
          <t>None</t>
        </is>
      </c>
      <c r="DV983" s="17" t="n"/>
      <c r="DW983" s="16" t="n"/>
      <c r="DX983" s="20" t="inlineStr">
        <is>
          <t>IC Organic Acids</t>
        </is>
      </c>
      <c r="DY983" s="20" t="inlineStr">
        <is>
          <t>None</t>
        </is>
      </c>
      <c r="DZ983" s="17" t="n"/>
      <c r="EA983" s="16" t="n"/>
      <c r="EB983" s="20" t="inlineStr">
        <is>
          <t>IC Organic Acids</t>
        </is>
      </c>
      <c r="EC983" s="20" t="inlineStr">
        <is>
          <t>None</t>
        </is>
      </c>
      <c r="ED983" s="17" t="n"/>
      <c r="EE983" s="16" t="n"/>
      <c r="EF983" s="20" t="inlineStr">
        <is>
          <t>IC Organic Acids</t>
        </is>
      </c>
      <c r="EG983" s="20" t="inlineStr">
        <is>
          <t>None</t>
        </is>
      </c>
      <c r="EH983" s="17" t="n"/>
      <c r="EI983" s="16" t="n"/>
      <c r="EJ983" s="20" t="inlineStr">
        <is>
          <t>IC Organic Acids</t>
        </is>
      </c>
      <c r="EK983" s="20" t="inlineStr">
        <is>
          <t>None</t>
        </is>
      </c>
      <c r="EL983" s="17" t="n"/>
      <c r="EM983" s="16" t="n"/>
      <c r="EN983" s="20" t="inlineStr">
        <is>
          <t>IC Organic Acids</t>
        </is>
      </c>
      <c r="EO983" s="20" t="inlineStr">
        <is>
          <t>None</t>
        </is>
      </c>
      <c r="EP983" s="17" t="n"/>
      <c r="EQ983" s="16" t="n"/>
      <c r="ER983" s="20" t="inlineStr">
        <is>
          <t>IC Organic Acids</t>
        </is>
      </c>
      <c r="ES983" s="20" t="inlineStr">
        <is>
          <t>None</t>
        </is>
      </c>
      <c r="ET983" s="17" t="n"/>
      <c r="EU983" s="16" t="n"/>
      <c r="EV983" s="20" t="inlineStr">
        <is>
          <t>LC-MS</t>
        </is>
      </c>
      <c r="EW983" s="20" t="inlineStr">
        <is>
          <t>None</t>
        </is>
      </c>
      <c r="EX983" s="17" t="n"/>
      <c r="EY983" s="21" t="n"/>
      <c r="EZ983">
        <f>CONCATENATE(A983,B983)</f>
        <v/>
      </c>
      <c r="FA983">
        <f>CONCATENATE(SamplesX!A983,SamplesX!B983)</f>
        <v/>
      </c>
      <c r="FC983">
        <f>MATCH(EZ983,FA1:FA1008,0)</f>
        <v/>
      </c>
    </row>
    <row r="984">
      <c r="A984" s="16" t="n"/>
      <c r="B984" s="17" t="n"/>
      <c r="C984" s="10">
        <f>IF(ISNUMBER(FC984),INDIRECT("SamplesX!C"&amp;FC984),IF(ISNUMBER(FD984),INDIRECT("SamplesY!C"&amp;FD984),""))</f>
        <v/>
      </c>
      <c r="D984" s="12">
        <f>IF(ISNUMBER(FC984),INDIRECT("SamplesX!D"&amp;FC984),IF(ISNUMBER(FD984),INDIRECT("SamplesY!D"&amp;FD984),""))</f>
        <v/>
      </c>
      <c r="E984" s="12">
        <f>IF(ISNUMBER(FC984),INDIRECT("SamplesX!E"&amp;FC984),IF(ISNUMBER(FD984),INDIRECT("SamplesY!E"&amp;FD984),""))</f>
        <v/>
      </c>
      <c r="F984" s="11">
        <f>IF(ISNUMBER(FC984),INDIRECT("SamplesX!F"&amp;FC984),IF(ISNUMBER(FD984),INDIRECT("SamplesY!F"&amp;FD984),""))</f>
        <v/>
      </c>
      <c r="G984" s="18">
        <f>IF(ISNUMBER(FC984),INDIRECT("SamplesX!G"&amp;FC984),IF(ISNUMBER(FD984),INDIRECT("SamplesY!G"&amp;FD984),""))</f>
        <v/>
      </c>
      <c r="H984" s="19">
        <f>IF(ISNUMBER(FC984),INDIRECT("SamplesX!H"&amp;FC984),IF(ISNUMBER(FD984),INDIRECT("SamplesY!H"&amp;FD984),""))</f>
        <v/>
      </c>
      <c r="I984" s="16" t="n"/>
      <c r="J984" s="16" t="n"/>
      <c r="K984" s="16" t="n"/>
      <c r="L984" s="20" t="n"/>
      <c r="M984" s="20" t="inlineStr">
        <is>
          <t>None</t>
        </is>
      </c>
      <c r="N984" s="17" t="n"/>
      <c r="O984" s="16" t="n"/>
      <c r="P984" s="20" t="inlineStr">
        <is>
          <t>Shimadzu TOC-L</t>
        </is>
      </c>
      <c r="Q984" s="20" t="inlineStr">
        <is>
          <t>None</t>
        </is>
      </c>
      <c r="R984" s="17" t="n"/>
      <c r="S984" s="16" t="n"/>
      <c r="T984" s="20" t="inlineStr">
        <is>
          <t>Shimadzu TOC-L</t>
        </is>
      </c>
      <c r="U984" s="20" t="inlineStr">
        <is>
          <t>None</t>
        </is>
      </c>
      <c r="V984" s="17" t="n"/>
      <c r="W984" s="16" t="n"/>
      <c r="X984" s="20" t="n"/>
      <c r="Y984" s="20" t="inlineStr">
        <is>
          <t>None</t>
        </is>
      </c>
      <c r="Z984" s="17" t="n"/>
      <c r="AA984" s="16" t="n"/>
      <c r="AB984" s="20" t="n"/>
      <c r="AC984" s="20" t="inlineStr">
        <is>
          <t>None</t>
        </is>
      </c>
      <c r="AD984" s="17" t="n"/>
      <c r="AE984" s="16" t="n"/>
      <c r="AF984" s="20" t="inlineStr">
        <is>
          <t>IC Anionen</t>
        </is>
      </c>
      <c r="AG984" s="20" t="inlineStr">
        <is>
          <t>None</t>
        </is>
      </c>
      <c r="AH984" s="17" t="n"/>
      <c r="AI984" s="16" t="n"/>
      <c r="AJ984" s="20" t="n"/>
      <c r="AK984" s="20" t="inlineStr">
        <is>
          <t>None</t>
        </is>
      </c>
      <c r="AL984" s="17" t="n"/>
      <c r="AM984" s="16" t="n"/>
      <c r="AN984" s="20" t="inlineStr">
        <is>
          <t>IC Anionen</t>
        </is>
      </c>
      <c r="AO984" s="20" t="inlineStr">
        <is>
          <t>None</t>
        </is>
      </c>
      <c r="AP984" s="17" t="n"/>
      <c r="AQ984" s="16" t="n"/>
      <c r="AR984" s="20" t="n"/>
      <c r="AS984" s="20" t="inlineStr">
        <is>
          <t>None</t>
        </is>
      </c>
      <c r="AT984" s="17" t="n"/>
      <c r="AU984" s="16" t="n"/>
      <c r="AV984" s="20" t="n"/>
      <c r="AW984" s="20" t="inlineStr">
        <is>
          <t>None</t>
        </is>
      </c>
      <c r="AX984" s="17" t="n"/>
      <c r="AY984" s="16" t="n"/>
      <c r="AZ984" s="20" t="inlineStr">
        <is>
          <t>IC Anionen</t>
        </is>
      </c>
      <c r="BA984" s="20" t="inlineStr">
        <is>
          <t>None</t>
        </is>
      </c>
      <c r="BB984" s="17" t="n"/>
      <c r="BC984" s="16" t="n"/>
      <c r="BD984" s="20" t="inlineStr">
        <is>
          <t>IC Kationen</t>
        </is>
      </c>
      <c r="BE984" s="20" t="inlineStr">
        <is>
          <t>None</t>
        </is>
      </c>
      <c r="BF984" s="17" t="n"/>
      <c r="BG984" s="16" t="n"/>
      <c r="BH984" s="20" t="inlineStr">
        <is>
          <t>IC Kationen</t>
        </is>
      </c>
      <c r="BI984" s="20" t="inlineStr">
        <is>
          <t>None</t>
        </is>
      </c>
      <c r="BJ984" s="17" t="n"/>
      <c r="BK984" s="16" t="n"/>
      <c r="BL984" s="20" t="inlineStr">
        <is>
          <t>IC Kationen</t>
        </is>
      </c>
      <c r="BM984" s="20" t="inlineStr">
        <is>
          <t>None</t>
        </is>
      </c>
      <c r="BN984" s="17" t="n"/>
      <c r="BO984" s="16" t="n"/>
      <c r="BP984" s="20" t="inlineStr">
        <is>
          <t>IC Kationen</t>
        </is>
      </c>
      <c r="BQ984" s="20" t="inlineStr">
        <is>
          <t>None</t>
        </is>
      </c>
      <c r="BR984" s="17" t="n"/>
      <c r="BS984" s="16" t="n"/>
      <c r="BT984" s="20" t="inlineStr">
        <is>
          <t>IC Kationen</t>
        </is>
      </c>
      <c r="BU984" s="20" t="inlineStr">
        <is>
          <t>None</t>
        </is>
      </c>
      <c r="BV984" s="17" t="n"/>
      <c r="BW984" s="16" t="n"/>
      <c r="BX984" s="20" t="n"/>
      <c r="BY984" s="20" t="inlineStr">
        <is>
          <t>None</t>
        </is>
      </c>
      <c r="BZ984" s="17" t="n"/>
      <c r="CA984" s="16" t="n"/>
      <c r="CB984" s="20" t="n"/>
      <c r="CC984" s="20" t="inlineStr">
        <is>
          <t>None</t>
        </is>
      </c>
      <c r="CD984" s="17" t="n"/>
      <c r="CE984" s="16" t="n"/>
      <c r="CF984" s="20" t="n"/>
      <c r="CG984" s="20" t="inlineStr">
        <is>
          <t>None</t>
        </is>
      </c>
      <c r="CH984" s="17" t="n"/>
      <c r="CI984" s="16" t="n"/>
      <c r="CJ984" s="20" t="n"/>
      <c r="CK984" s="20" t="inlineStr">
        <is>
          <t>None</t>
        </is>
      </c>
      <c r="CL984" s="17" t="n"/>
      <c r="CM984" s="16" t="n"/>
      <c r="CN984" s="20" t="inlineStr">
        <is>
          <t>SOP 45-34</t>
        </is>
      </c>
      <c r="CO984" s="20" t="inlineStr">
        <is>
          <t>None</t>
        </is>
      </c>
      <c r="CP984" s="17" t="n"/>
      <c r="CQ984" s="16" t="n"/>
      <c r="CR984" s="20" t="n"/>
      <c r="CS984" s="20" t="inlineStr">
        <is>
          <t>None</t>
        </is>
      </c>
      <c r="CT984" s="17" t="n"/>
      <c r="CU984" s="16" t="n"/>
      <c r="CV984" s="20" t="n"/>
      <c r="CW984" s="20" t="inlineStr">
        <is>
          <t>None</t>
        </is>
      </c>
      <c r="CX984" s="17" t="n"/>
      <c r="CY984" s="16" t="n"/>
      <c r="CZ984" s="20" t="inlineStr">
        <is>
          <t>WTW Multimeter 3430 with FDO 925</t>
        </is>
      </c>
      <c r="DA984" s="20" t="inlineStr">
        <is>
          <t>None</t>
        </is>
      </c>
      <c r="DB984" s="17" t="n"/>
      <c r="DC984" s="16" t="n"/>
      <c r="DD984" s="20" t="n"/>
      <c r="DE984" s="20" t="inlineStr">
        <is>
          <t>None</t>
        </is>
      </c>
      <c r="DF984" s="17" t="n"/>
      <c r="DG984" s="16" t="n"/>
      <c r="DH984" s="20" t="inlineStr">
        <is>
          <t>SOP 45-09</t>
        </is>
      </c>
      <c r="DI984" s="20" t="inlineStr">
        <is>
          <t>None</t>
        </is>
      </c>
      <c r="DJ984" s="17" t="n"/>
      <c r="DK984" s="16" t="n"/>
      <c r="DL984" s="20" t="inlineStr">
        <is>
          <t>SOP 45-09 (SOP muss noch angepasst werden für VSS)</t>
        </is>
      </c>
      <c r="DM984" s="20" t="inlineStr">
        <is>
          <t>None</t>
        </is>
      </c>
      <c r="DN984" s="17" t="n"/>
      <c r="DO984" s="16" t="n"/>
      <c r="DP984" s="20" t="inlineStr">
        <is>
          <t>IC Organic Acids</t>
        </is>
      </c>
      <c r="DQ984" s="20" t="inlineStr">
        <is>
          <t>None</t>
        </is>
      </c>
      <c r="DR984" s="17" t="n"/>
      <c r="DS984" s="16" t="n"/>
      <c r="DT984" s="20" t="inlineStr">
        <is>
          <t>IC Organic Acids</t>
        </is>
      </c>
      <c r="DU984" s="20" t="inlineStr">
        <is>
          <t>None</t>
        </is>
      </c>
      <c r="DV984" s="17" t="n"/>
      <c r="DW984" s="16" t="n"/>
      <c r="DX984" s="20" t="inlineStr">
        <is>
          <t>IC Organic Acids</t>
        </is>
      </c>
      <c r="DY984" s="20" t="inlineStr">
        <is>
          <t>None</t>
        </is>
      </c>
      <c r="DZ984" s="17" t="n"/>
      <c r="EA984" s="16" t="n"/>
      <c r="EB984" s="20" t="inlineStr">
        <is>
          <t>IC Organic Acids</t>
        </is>
      </c>
      <c r="EC984" s="20" t="inlineStr">
        <is>
          <t>None</t>
        </is>
      </c>
      <c r="ED984" s="17" t="n"/>
      <c r="EE984" s="16" t="n"/>
      <c r="EF984" s="20" t="inlineStr">
        <is>
          <t>IC Organic Acids</t>
        </is>
      </c>
      <c r="EG984" s="20" t="inlineStr">
        <is>
          <t>None</t>
        </is>
      </c>
      <c r="EH984" s="17" t="n"/>
      <c r="EI984" s="16" t="n"/>
      <c r="EJ984" s="20" t="inlineStr">
        <is>
          <t>IC Organic Acids</t>
        </is>
      </c>
      <c r="EK984" s="20" t="inlineStr">
        <is>
          <t>None</t>
        </is>
      </c>
      <c r="EL984" s="17" t="n"/>
      <c r="EM984" s="16" t="n"/>
      <c r="EN984" s="20" t="inlineStr">
        <is>
          <t>IC Organic Acids</t>
        </is>
      </c>
      <c r="EO984" s="20" t="inlineStr">
        <is>
          <t>None</t>
        </is>
      </c>
      <c r="EP984" s="17" t="n"/>
      <c r="EQ984" s="16" t="n"/>
      <c r="ER984" s="20" t="inlineStr">
        <is>
          <t>IC Organic Acids</t>
        </is>
      </c>
      <c r="ES984" s="20" t="inlineStr">
        <is>
          <t>None</t>
        </is>
      </c>
      <c r="ET984" s="17" t="n"/>
      <c r="EU984" s="16" t="n"/>
      <c r="EV984" s="20" t="inlineStr">
        <is>
          <t>LC-MS</t>
        </is>
      </c>
      <c r="EW984" s="20" t="inlineStr">
        <is>
          <t>None</t>
        </is>
      </c>
      <c r="EX984" s="17" t="n"/>
      <c r="EY984" s="21" t="n"/>
      <c r="EZ984">
        <f>CONCATENATE(A984,B984)</f>
        <v/>
      </c>
      <c r="FA984">
        <f>CONCATENATE(SamplesX!A984,SamplesX!B984)</f>
        <v/>
      </c>
      <c r="FC984">
        <f>MATCH(EZ984,FA1:FA1008,0)</f>
        <v/>
      </c>
    </row>
    <row r="985">
      <c r="A985" s="16" t="n"/>
      <c r="B985" s="17" t="n"/>
      <c r="C985" s="10">
        <f>IF(ISNUMBER(FC985),INDIRECT("SamplesX!C"&amp;FC985),IF(ISNUMBER(FD985),INDIRECT("SamplesY!C"&amp;FD985),""))</f>
        <v/>
      </c>
      <c r="D985" s="12">
        <f>IF(ISNUMBER(FC985),INDIRECT("SamplesX!D"&amp;FC985),IF(ISNUMBER(FD985),INDIRECT("SamplesY!D"&amp;FD985),""))</f>
        <v/>
      </c>
      <c r="E985" s="12">
        <f>IF(ISNUMBER(FC985),INDIRECT("SamplesX!E"&amp;FC985),IF(ISNUMBER(FD985),INDIRECT("SamplesY!E"&amp;FD985),""))</f>
        <v/>
      </c>
      <c r="F985" s="11">
        <f>IF(ISNUMBER(FC985),INDIRECT("SamplesX!F"&amp;FC985),IF(ISNUMBER(FD985),INDIRECT("SamplesY!F"&amp;FD985),""))</f>
        <v/>
      </c>
      <c r="G985" s="18">
        <f>IF(ISNUMBER(FC985),INDIRECT("SamplesX!G"&amp;FC985),IF(ISNUMBER(FD985),INDIRECT("SamplesY!G"&amp;FD985),""))</f>
        <v/>
      </c>
      <c r="H985" s="19">
        <f>IF(ISNUMBER(FC985),INDIRECT("SamplesX!H"&amp;FC985),IF(ISNUMBER(FD985),INDIRECT("SamplesY!H"&amp;FD985),""))</f>
        <v/>
      </c>
      <c r="I985" s="16" t="n"/>
      <c r="J985" s="16" t="n"/>
      <c r="K985" s="16" t="n"/>
      <c r="L985" s="20" t="n"/>
      <c r="M985" s="20" t="inlineStr">
        <is>
          <t>None</t>
        </is>
      </c>
      <c r="N985" s="17" t="n"/>
      <c r="O985" s="16" t="n"/>
      <c r="P985" s="20" t="inlineStr">
        <is>
          <t>Shimadzu TOC-L</t>
        </is>
      </c>
      <c r="Q985" s="20" t="inlineStr">
        <is>
          <t>None</t>
        </is>
      </c>
      <c r="R985" s="17" t="n"/>
      <c r="S985" s="16" t="n"/>
      <c r="T985" s="20" t="inlineStr">
        <is>
          <t>Shimadzu TOC-L</t>
        </is>
      </c>
      <c r="U985" s="20" t="inlineStr">
        <is>
          <t>None</t>
        </is>
      </c>
      <c r="V985" s="17" t="n"/>
      <c r="W985" s="16" t="n"/>
      <c r="X985" s="20" t="n"/>
      <c r="Y985" s="20" t="inlineStr">
        <is>
          <t>None</t>
        </is>
      </c>
      <c r="Z985" s="17" t="n"/>
      <c r="AA985" s="16" t="n"/>
      <c r="AB985" s="20" t="n"/>
      <c r="AC985" s="20" t="inlineStr">
        <is>
          <t>None</t>
        </is>
      </c>
      <c r="AD985" s="17" t="n"/>
      <c r="AE985" s="16" t="n"/>
      <c r="AF985" s="20" t="inlineStr">
        <is>
          <t>IC Anionen</t>
        </is>
      </c>
      <c r="AG985" s="20" t="inlineStr">
        <is>
          <t>None</t>
        </is>
      </c>
      <c r="AH985" s="17" t="n"/>
      <c r="AI985" s="16" t="n"/>
      <c r="AJ985" s="20" t="n"/>
      <c r="AK985" s="20" t="inlineStr">
        <is>
          <t>None</t>
        </is>
      </c>
      <c r="AL985" s="17" t="n"/>
      <c r="AM985" s="16" t="n"/>
      <c r="AN985" s="20" t="inlineStr">
        <is>
          <t>IC Anionen</t>
        </is>
      </c>
      <c r="AO985" s="20" t="inlineStr">
        <is>
          <t>None</t>
        </is>
      </c>
      <c r="AP985" s="17" t="n"/>
      <c r="AQ985" s="16" t="n"/>
      <c r="AR985" s="20" t="n"/>
      <c r="AS985" s="20" t="inlineStr">
        <is>
          <t>None</t>
        </is>
      </c>
      <c r="AT985" s="17" t="n"/>
      <c r="AU985" s="16" t="n"/>
      <c r="AV985" s="20" t="n"/>
      <c r="AW985" s="20" t="inlineStr">
        <is>
          <t>None</t>
        </is>
      </c>
      <c r="AX985" s="17" t="n"/>
      <c r="AY985" s="16" t="n"/>
      <c r="AZ985" s="20" t="inlineStr">
        <is>
          <t>IC Anionen</t>
        </is>
      </c>
      <c r="BA985" s="20" t="inlineStr">
        <is>
          <t>None</t>
        </is>
      </c>
      <c r="BB985" s="17" t="n"/>
      <c r="BC985" s="16" t="n"/>
      <c r="BD985" s="20" t="inlineStr">
        <is>
          <t>IC Kationen</t>
        </is>
      </c>
      <c r="BE985" s="20" t="inlineStr">
        <is>
          <t>None</t>
        </is>
      </c>
      <c r="BF985" s="17" t="n"/>
      <c r="BG985" s="16" t="n"/>
      <c r="BH985" s="20" t="inlineStr">
        <is>
          <t>IC Kationen</t>
        </is>
      </c>
      <c r="BI985" s="20" t="inlineStr">
        <is>
          <t>None</t>
        </is>
      </c>
      <c r="BJ985" s="17" t="n"/>
      <c r="BK985" s="16" t="n"/>
      <c r="BL985" s="20" t="inlineStr">
        <is>
          <t>IC Kationen</t>
        </is>
      </c>
      <c r="BM985" s="20" t="inlineStr">
        <is>
          <t>None</t>
        </is>
      </c>
      <c r="BN985" s="17" t="n"/>
      <c r="BO985" s="16" t="n"/>
      <c r="BP985" s="20" t="inlineStr">
        <is>
          <t>IC Kationen</t>
        </is>
      </c>
      <c r="BQ985" s="20" t="inlineStr">
        <is>
          <t>None</t>
        </is>
      </c>
      <c r="BR985" s="17" t="n"/>
      <c r="BS985" s="16" t="n"/>
      <c r="BT985" s="20" t="inlineStr">
        <is>
          <t>IC Kationen</t>
        </is>
      </c>
      <c r="BU985" s="20" t="inlineStr">
        <is>
          <t>None</t>
        </is>
      </c>
      <c r="BV985" s="17" t="n"/>
      <c r="BW985" s="16" t="n"/>
      <c r="BX985" s="20" t="n"/>
      <c r="BY985" s="20" t="inlineStr">
        <is>
          <t>None</t>
        </is>
      </c>
      <c r="BZ985" s="17" t="n"/>
      <c r="CA985" s="16" t="n"/>
      <c r="CB985" s="20" t="n"/>
      <c r="CC985" s="20" t="inlineStr">
        <is>
          <t>None</t>
        </is>
      </c>
      <c r="CD985" s="17" t="n"/>
      <c r="CE985" s="16" t="n"/>
      <c r="CF985" s="20" t="n"/>
      <c r="CG985" s="20" t="inlineStr">
        <is>
          <t>None</t>
        </is>
      </c>
      <c r="CH985" s="17" t="n"/>
      <c r="CI985" s="16" t="n"/>
      <c r="CJ985" s="20" t="n"/>
      <c r="CK985" s="20" t="inlineStr">
        <is>
          <t>None</t>
        </is>
      </c>
      <c r="CL985" s="17" t="n"/>
      <c r="CM985" s="16" t="n"/>
      <c r="CN985" s="20" t="inlineStr">
        <is>
          <t>SOP 45-34</t>
        </is>
      </c>
      <c r="CO985" s="20" t="inlineStr">
        <is>
          <t>None</t>
        </is>
      </c>
      <c r="CP985" s="17" t="n"/>
      <c r="CQ985" s="16" t="n"/>
      <c r="CR985" s="20" t="n"/>
      <c r="CS985" s="20" t="inlineStr">
        <is>
          <t>None</t>
        </is>
      </c>
      <c r="CT985" s="17" t="n"/>
      <c r="CU985" s="16" t="n"/>
      <c r="CV985" s="20" t="n"/>
      <c r="CW985" s="20" t="inlineStr">
        <is>
          <t>None</t>
        </is>
      </c>
      <c r="CX985" s="17" t="n"/>
      <c r="CY985" s="16" t="n"/>
      <c r="CZ985" s="20" t="inlineStr">
        <is>
          <t>WTW Multimeter 3430 with FDO 925</t>
        </is>
      </c>
      <c r="DA985" s="20" t="inlineStr">
        <is>
          <t>None</t>
        </is>
      </c>
      <c r="DB985" s="17" t="n"/>
      <c r="DC985" s="16" t="n"/>
      <c r="DD985" s="20" t="n"/>
      <c r="DE985" s="20" t="inlineStr">
        <is>
          <t>None</t>
        </is>
      </c>
      <c r="DF985" s="17" t="n"/>
      <c r="DG985" s="16" t="n"/>
      <c r="DH985" s="20" t="inlineStr">
        <is>
          <t>SOP 45-09</t>
        </is>
      </c>
      <c r="DI985" s="20" t="inlineStr">
        <is>
          <t>None</t>
        </is>
      </c>
      <c r="DJ985" s="17" t="n"/>
      <c r="DK985" s="16" t="n"/>
      <c r="DL985" s="20" t="inlineStr">
        <is>
          <t>SOP 45-09 (SOP muss noch angepasst werden für VSS)</t>
        </is>
      </c>
      <c r="DM985" s="20" t="inlineStr">
        <is>
          <t>None</t>
        </is>
      </c>
      <c r="DN985" s="17" t="n"/>
      <c r="DO985" s="16" t="n"/>
      <c r="DP985" s="20" t="inlineStr">
        <is>
          <t>IC Organic Acids</t>
        </is>
      </c>
      <c r="DQ985" s="20" t="inlineStr">
        <is>
          <t>None</t>
        </is>
      </c>
      <c r="DR985" s="17" t="n"/>
      <c r="DS985" s="16" t="n"/>
      <c r="DT985" s="20" t="inlineStr">
        <is>
          <t>IC Organic Acids</t>
        </is>
      </c>
      <c r="DU985" s="20" t="inlineStr">
        <is>
          <t>None</t>
        </is>
      </c>
      <c r="DV985" s="17" t="n"/>
      <c r="DW985" s="16" t="n"/>
      <c r="DX985" s="20" t="inlineStr">
        <is>
          <t>IC Organic Acids</t>
        </is>
      </c>
      <c r="DY985" s="20" t="inlineStr">
        <is>
          <t>None</t>
        </is>
      </c>
      <c r="DZ985" s="17" t="n"/>
      <c r="EA985" s="16" t="n"/>
      <c r="EB985" s="20" t="inlineStr">
        <is>
          <t>IC Organic Acids</t>
        </is>
      </c>
      <c r="EC985" s="20" t="inlineStr">
        <is>
          <t>None</t>
        </is>
      </c>
      <c r="ED985" s="17" t="n"/>
      <c r="EE985" s="16" t="n"/>
      <c r="EF985" s="20" t="inlineStr">
        <is>
          <t>IC Organic Acids</t>
        </is>
      </c>
      <c r="EG985" s="20" t="inlineStr">
        <is>
          <t>None</t>
        </is>
      </c>
      <c r="EH985" s="17" t="n"/>
      <c r="EI985" s="16" t="n"/>
      <c r="EJ985" s="20" t="inlineStr">
        <is>
          <t>IC Organic Acids</t>
        </is>
      </c>
      <c r="EK985" s="20" t="inlineStr">
        <is>
          <t>None</t>
        </is>
      </c>
      <c r="EL985" s="17" t="n"/>
      <c r="EM985" s="16" t="n"/>
      <c r="EN985" s="20" t="inlineStr">
        <is>
          <t>IC Organic Acids</t>
        </is>
      </c>
      <c r="EO985" s="20" t="inlineStr">
        <is>
          <t>None</t>
        </is>
      </c>
      <c r="EP985" s="17" t="n"/>
      <c r="EQ985" s="16" t="n"/>
      <c r="ER985" s="20" t="inlineStr">
        <is>
          <t>IC Organic Acids</t>
        </is>
      </c>
      <c r="ES985" s="20" t="inlineStr">
        <is>
          <t>None</t>
        </is>
      </c>
      <c r="ET985" s="17" t="n"/>
      <c r="EU985" s="16" t="n"/>
      <c r="EV985" s="20" t="inlineStr">
        <is>
          <t>LC-MS</t>
        </is>
      </c>
      <c r="EW985" s="20" t="inlineStr">
        <is>
          <t>None</t>
        </is>
      </c>
      <c r="EX985" s="17" t="n"/>
      <c r="EY985" s="21" t="n"/>
      <c r="EZ985">
        <f>CONCATENATE(A985,B985)</f>
        <v/>
      </c>
      <c r="FA985">
        <f>CONCATENATE(SamplesX!A985,SamplesX!B985)</f>
        <v/>
      </c>
      <c r="FC985">
        <f>MATCH(EZ985,FA1:FA1008,0)</f>
        <v/>
      </c>
    </row>
    <row r="986">
      <c r="A986" s="16" t="n"/>
      <c r="B986" s="17" t="n"/>
      <c r="C986" s="10">
        <f>IF(ISNUMBER(FC986),INDIRECT("SamplesX!C"&amp;FC986),IF(ISNUMBER(FD986),INDIRECT("SamplesY!C"&amp;FD986),""))</f>
        <v/>
      </c>
      <c r="D986" s="12">
        <f>IF(ISNUMBER(FC986),INDIRECT("SamplesX!D"&amp;FC986),IF(ISNUMBER(FD986),INDIRECT("SamplesY!D"&amp;FD986),""))</f>
        <v/>
      </c>
      <c r="E986" s="12">
        <f>IF(ISNUMBER(FC986),INDIRECT("SamplesX!E"&amp;FC986),IF(ISNUMBER(FD986),INDIRECT("SamplesY!E"&amp;FD986),""))</f>
        <v/>
      </c>
      <c r="F986" s="11">
        <f>IF(ISNUMBER(FC986),INDIRECT("SamplesX!F"&amp;FC986),IF(ISNUMBER(FD986),INDIRECT("SamplesY!F"&amp;FD986),""))</f>
        <v/>
      </c>
      <c r="G986" s="18">
        <f>IF(ISNUMBER(FC986),INDIRECT("SamplesX!G"&amp;FC986),IF(ISNUMBER(FD986),INDIRECT("SamplesY!G"&amp;FD986),""))</f>
        <v/>
      </c>
      <c r="H986" s="19">
        <f>IF(ISNUMBER(FC986),INDIRECT("SamplesX!H"&amp;FC986),IF(ISNUMBER(FD986),INDIRECT("SamplesY!H"&amp;FD986),""))</f>
        <v/>
      </c>
      <c r="I986" s="16" t="n"/>
      <c r="J986" s="16" t="n"/>
      <c r="K986" s="16" t="n"/>
      <c r="L986" s="20" t="n"/>
      <c r="M986" s="20" t="inlineStr">
        <is>
          <t>None</t>
        </is>
      </c>
      <c r="N986" s="17" t="n"/>
      <c r="O986" s="16" t="n"/>
      <c r="P986" s="20" t="inlineStr">
        <is>
          <t>Shimadzu TOC-L</t>
        </is>
      </c>
      <c r="Q986" s="20" t="inlineStr">
        <is>
          <t>None</t>
        </is>
      </c>
      <c r="R986" s="17" t="n"/>
      <c r="S986" s="16" t="n"/>
      <c r="T986" s="20" t="inlineStr">
        <is>
          <t>Shimadzu TOC-L</t>
        </is>
      </c>
      <c r="U986" s="20" t="inlineStr">
        <is>
          <t>None</t>
        </is>
      </c>
      <c r="V986" s="17" t="n"/>
      <c r="W986" s="16" t="n"/>
      <c r="X986" s="20" t="n"/>
      <c r="Y986" s="20" t="inlineStr">
        <is>
          <t>None</t>
        </is>
      </c>
      <c r="Z986" s="17" t="n"/>
      <c r="AA986" s="16" t="n"/>
      <c r="AB986" s="20" t="n"/>
      <c r="AC986" s="20" t="inlineStr">
        <is>
          <t>None</t>
        </is>
      </c>
      <c r="AD986" s="17" t="n"/>
      <c r="AE986" s="16" t="n"/>
      <c r="AF986" s="20" t="inlineStr">
        <is>
          <t>IC Anionen</t>
        </is>
      </c>
      <c r="AG986" s="20" t="inlineStr">
        <is>
          <t>None</t>
        </is>
      </c>
      <c r="AH986" s="17" t="n"/>
      <c r="AI986" s="16" t="n"/>
      <c r="AJ986" s="20" t="n"/>
      <c r="AK986" s="20" t="inlineStr">
        <is>
          <t>None</t>
        </is>
      </c>
      <c r="AL986" s="17" t="n"/>
      <c r="AM986" s="16" t="n"/>
      <c r="AN986" s="20" t="inlineStr">
        <is>
          <t>IC Anionen</t>
        </is>
      </c>
      <c r="AO986" s="20" t="inlineStr">
        <is>
          <t>None</t>
        </is>
      </c>
      <c r="AP986" s="17" t="n"/>
      <c r="AQ986" s="16" t="n"/>
      <c r="AR986" s="20" t="n"/>
      <c r="AS986" s="20" t="inlineStr">
        <is>
          <t>None</t>
        </is>
      </c>
      <c r="AT986" s="17" t="n"/>
      <c r="AU986" s="16" t="n"/>
      <c r="AV986" s="20" t="n"/>
      <c r="AW986" s="20" t="inlineStr">
        <is>
          <t>None</t>
        </is>
      </c>
      <c r="AX986" s="17" t="n"/>
      <c r="AY986" s="16" t="n"/>
      <c r="AZ986" s="20" t="inlineStr">
        <is>
          <t>IC Anionen</t>
        </is>
      </c>
      <c r="BA986" s="20" t="inlineStr">
        <is>
          <t>None</t>
        </is>
      </c>
      <c r="BB986" s="17" t="n"/>
      <c r="BC986" s="16" t="n"/>
      <c r="BD986" s="20" t="inlineStr">
        <is>
          <t>IC Kationen</t>
        </is>
      </c>
      <c r="BE986" s="20" t="inlineStr">
        <is>
          <t>None</t>
        </is>
      </c>
      <c r="BF986" s="17" t="n"/>
      <c r="BG986" s="16" t="n"/>
      <c r="BH986" s="20" t="inlineStr">
        <is>
          <t>IC Kationen</t>
        </is>
      </c>
      <c r="BI986" s="20" t="inlineStr">
        <is>
          <t>None</t>
        </is>
      </c>
      <c r="BJ986" s="17" t="n"/>
      <c r="BK986" s="16" t="n"/>
      <c r="BL986" s="20" t="inlineStr">
        <is>
          <t>IC Kationen</t>
        </is>
      </c>
      <c r="BM986" s="20" t="inlineStr">
        <is>
          <t>None</t>
        </is>
      </c>
      <c r="BN986" s="17" t="n"/>
      <c r="BO986" s="16" t="n"/>
      <c r="BP986" s="20" t="inlineStr">
        <is>
          <t>IC Kationen</t>
        </is>
      </c>
      <c r="BQ986" s="20" t="inlineStr">
        <is>
          <t>None</t>
        </is>
      </c>
      <c r="BR986" s="17" t="n"/>
      <c r="BS986" s="16" t="n"/>
      <c r="BT986" s="20" t="inlineStr">
        <is>
          <t>IC Kationen</t>
        </is>
      </c>
      <c r="BU986" s="20" t="inlineStr">
        <is>
          <t>None</t>
        </is>
      </c>
      <c r="BV986" s="17" t="n"/>
      <c r="BW986" s="16" t="n"/>
      <c r="BX986" s="20" t="n"/>
      <c r="BY986" s="20" t="inlineStr">
        <is>
          <t>None</t>
        </is>
      </c>
      <c r="BZ986" s="17" t="n"/>
      <c r="CA986" s="16" t="n"/>
      <c r="CB986" s="20" t="n"/>
      <c r="CC986" s="20" t="inlineStr">
        <is>
          <t>None</t>
        </is>
      </c>
      <c r="CD986" s="17" t="n"/>
      <c r="CE986" s="16" t="n"/>
      <c r="CF986" s="20" t="n"/>
      <c r="CG986" s="20" t="inlineStr">
        <is>
          <t>None</t>
        </is>
      </c>
      <c r="CH986" s="17" t="n"/>
      <c r="CI986" s="16" t="n"/>
      <c r="CJ986" s="20" t="n"/>
      <c r="CK986" s="20" t="inlineStr">
        <is>
          <t>None</t>
        </is>
      </c>
      <c r="CL986" s="17" t="n"/>
      <c r="CM986" s="16" t="n"/>
      <c r="CN986" s="20" t="inlineStr">
        <is>
          <t>SOP 45-34</t>
        </is>
      </c>
      <c r="CO986" s="20" t="inlineStr">
        <is>
          <t>None</t>
        </is>
      </c>
      <c r="CP986" s="17" t="n"/>
      <c r="CQ986" s="16" t="n"/>
      <c r="CR986" s="20" t="n"/>
      <c r="CS986" s="20" t="inlineStr">
        <is>
          <t>None</t>
        </is>
      </c>
      <c r="CT986" s="17" t="n"/>
      <c r="CU986" s="16" t="n"/>
      <c r="CV986" s="20" t="n"/>
      <c r="CW986" s="20" t="inlineStr">
        <is>
          <t>None</t>
        </is>
      </c>
      <c r="CX986" s="17" t="n"/>
      <c r="CY986" s="16" t="n"/>
      <c r="CZ986" s="20" t="inlineStr">
        <is>
          <t>WTW Multimeter 3430 with FDO 925</t>
        </is>
      </c>
      <c r="DA986" s="20" t="inlineStr">
        <is>
          <t>None</t>
        </is>
      </c>
      <c r="DB986" s="17" t="n"/>
      <c r="DC986" s="16" t="n"/>
      <c r="DD986" s="20" t="n"/>
      <c r="DE986" s="20" t="inlineStr">
        <is>
          <t>None</t>
        </is>
      </c>
      <c r="DF986" s="17" t="n"/>
      <c r="DG986" s="16" t="n"/>
      <c r="DH986" s="20" t="inlineStr">
        <is>
          <t>SOP 45-09</t>
        </is>
      </c>
      <c r="DI986" s="20" t="inlineStr">
        <is>
          <t>None</t>
        </is>
      </c>
      <c r="DJ986" s="17" t="n"/>
      <c r="DK986" s="16" t="n"/>
      <c r="DL986" s="20" t="inlineStr">
        <is>
          <t>SOP 45-09 (SOP muss noch angepasst werden für VSS)</t>
        </is>
      </c>
      <c r="DM986" s="20" t="inlineStr">
        <is>
          <t>None</t>
        </is>
      </c>
      <c r="DN986" s="17" t="n"/>
      <c r="DO986" s="16" t="n"/>
      <c r="DP986" s="20" t="inlineStr">
        <is>
          <t>IC Organic Acids</t>
        </is>
      </c>
      <c r="DQ986" s="20" t="inlineStr">
        <is>
          <t>None</t>
        </is>
      </c>
      <c r="DR986" s="17" t="n"/>
      <c r="DS986" s="16" t="n"/>
      <c r="DT986" s="20" t="inlineStr">
        <is>
          <t>IC Organic Acids</t>
        </is>
      </c>
      <c r="DU986" s="20" t="inlineStr">
        <is>
          <t>None</t>
        </is>
      </c>
      <c r="DV986" s="17" t="n"/>
      <c r="DW986" s="16" t="n"/>
      <c r="DX986" s="20" t="inlineStr">
        <is>
          <t>IC Organic Acids</t>
        </is>
      </c>
      <c r="DY986" s="20" t="inlineStr">
        <is>
          <t>None</t>
        </is>
      </c>
      <c r="DZ986" s="17" t="n"/>
      <c r="EA986" s="16" t="n"/>
      <c r="EB986" s="20" t="inlineStr">
        <is>
          <t>IC Organic Acids</t>
        </is>
      </c>
      <c r="EC986" s="20" t="inlineStr">
        <is>
          <t>None</t>
        </is>
      </c>
      <c r="ED986" s="17" t="n"/>
      <c r="EE986" s="16" t="n"/>
      <c r="EF986" s="20" t="inlineStr">
        <is>
          <t>IC Organic Acids</t>
        </is>
      </c>
      <c r="EG986" s="20" t="inlineStr">
        <is>
          <t>None</t>
        </is>
      </c>
      <c r="EH986" s="17" t="n"/>
      <c r="EI986" s="16" t="n"/>
      <c r="EJ986" s="20" t="inlineStr">
        <is>
          <t>IC Organic Acids</t>
        </is>
      </c>
      <c r="EK986" s="20" t="inlineStr">
        <is>
          <t>None</t>
        </is>
      </c>
      <c r="EL986" s="17" t="n"/>
      <c r="EM986" s="16" t="n"/>
      <c r="EN986" s="20" t="inlineStr">
        <is>
          <t>IC Organic Acids</t>
        </is>
      </c>
      <c r="EO986" s="20" t="inlineStr">
        <is>
          <t>None</t>
        </is>
      </c>
      <c r="EP986" s="17" t="n"/>
      <c r="EQ986" s="16" t="n"/>
      <c r="ER986" s="20" t="inlineStr">
        <is>
          <t>IC Organic Acids</t>
        </is>
      </c>
      <c r="ES986" s="20" t="inlineStr">
        <is>
          <t>None</t>
        </is>
      </c>
      <c r="ET986" s="17" t="n"/>
      <c r="EU986" s="16" t="n"/>
      <c r="EV986" s="20" t="inlineStr">
        <is>
          <t>LC-MS</t>
        </is>
      </c>
      <c r="EW986" s="20" t="inlineStr">
        <is>
          <t>None</t>
        </is>
      </c>
      <c r="EX986" s="17" t="n"/>
      <c r="EY986" s="21" t="n"/>
      <c r="EZ986">
        <f>CONCATENATE(A986,B986)</f>
        <v/>
      </c>
      <c r="FA986">
        <f>CONCATENATE(SamplesX!A986,SamplesX!B986)</f>
        <v/>
      </c>
      <c r="FC986">
        <f>MATCH(EZ986,FA1:FA1008,0)</f>
        <v/>
      </c>
    </row>
    <row r="987">
      <c r="A987" s="16" t="n"/>
      <c r="B987" s="17" t="n"/>
      <c r="C987" s="10">
        <f>IF(ISNUMBER(FC987),INDIRECT("SamplesX!C"&amp;FC987),IF(ISNUMBER(FD987),INDIRECT("SamplesY!C"&amp;FD987),""))</f>
        <v/>
      </c>
      <c r="D987" s="12">
        <f>IF(ISNUMBER(FC987),INDIRECT("SamplesX!D"&amp;FC987),IF(ISNUMBER(FD987),INDIRECT("SamplesY!D"&amp;FD987),""))</f>
        <v/>
      </c>
      <c r="E987" s="12">
        <f>IF(ISNUMBER(FC987),INDIRECT("SamplesX!E"&amp;FC987),IF(ISNUMBER(FD987),INDIRECT("SamplesY!E"&amp;FD987),""))</f>
        <v/>
      </c>
      <c r="F987" s="11">
        <f>IF(ISNUMBER(FC987),INDIRECT("SamplesX!F"&amp;FC987),IF(ISNUMBER(FD987),INDIRECT("SamplesY!F"&amp;FD987),""))</f>
        <v/>
      </c>
      <c r="G987" s="18">
        <f>IF(ISNUMBER(FC987),INDIRECT("SamplesX!G"&amp;FC987),IF(ISNUMBER(FD987),INDIRECT("SamplesY!G"&amp;FD987),""))</f>
        <v/>
      </c>
      <c r="H987" s="19">
        <f>IF(ISNUMBER(FC987),INDIRECT("SamplesX!H"&amp;FC987),IF(ISNUMBER(FD987),INDIRECT("SamplesY!H"&amp;FD987),""))</f>
        <v/>
      </c>
      <c r="I987" s="16" t="n"/>
      <c r="J987" s="16" t="n"/>
      <c r="K987" s="16" t="n"/>
      <c r="L987" s="20" t="n"/>
      <c r="M987" s="20" t="inlineStr">
        <is>
          <t>None</t>
        </is>
      </c>
      <c r="N987" s="17" t="n"/>
      <c r="O987" s="16" t="n"/>
      <c r="P987" s="20" t="inlineStr">
        <is>
          <t>Shimadzu TOC-L</t>
        </is>
      </c>
      <c r="Q987" s="20" t="inlineStr">
        <is>
          <t>None</t>
        </is>
      </c>
      <c r="R987" s="17" t="n"/>
      <c r="S987" s="16" t="n"/>
      <c r="T987" s="20" t="inlineStr">
        <is>
          <t>Shimadzu TOC-L</t>
        </is>
      </c>
      <c r="U987" s="20" t="inlineStr">
        <is>
          <t>None</t>
        </is>
      </c>
      <c r="V987" s="17" t="n"/>
      <c r="W987" s="16" t="n"/>
      <c r="X987" s="20" t="n"/>
      <c r="Y987" s="20" t="inlineStr">
        <is>
          <t>None</t>
        </is>
      </c>
      <c r="Z987" s="17" t="n"/>
      <c r="AA987" s="16" t="n"/>
      <c r="AB987" s="20" t="n"/>
      <c r="AC987" s="20" t="inlineStr">
        <is>
          <t>None</t>
        </is>
      </c>
      <c r="AD987" s="17" t="n"/>
      <c r="AE987" s="16" t="n"/>
      <c r="AF987" s="20" t="inlineStr">
        <is>
          <t>IC Anionen</t>
        </is>
      </c>
      <c r="AG987" s="20" t="inlineStr">
        <is>
          <t>None</t>
        </is>
      </c>
      <c r="AH987" s="17" t="n"/>
      <c r="AI987" s="16" t="n"/>
      <c r="AJ987" s="20" t="n"/>
      <c r="AK987" s="20" t="inlineStr">
        <is>
          <t>None</t>
        </is>
      </c>
      <c r="AL987" s="17" t="n"/>
      <c r="AM987" s="16" t="n"/>
      <c r="AN987" s="20" t="inlineStr">
        <is>
          <t>IC Anionen</t>
        </is>
      </c>
      <c r="AO987" s="20" t="inlineStr">
        <is>
          <t>None</t>
        </is>
      </c>
      <c r="AP987" s="17" t="n"/>
      <c r="AQ987" s="16" t="n"/>
      <c r="AR987" s="20" t="n"/>
      <c r="AS987" s="20" t="inlineStr">
        <is>
          <t>None</t>
        </is>
      </c>
      <c r="AT987" s="17" t="n"/>
      <c r="AU987" s="16" t="n"/>
      <c r="AV987" s="20" t="n"/>
      <c r="AW987" s="20" t="inlineStr">
        <is>
          <t>None</t>
        </is>
      </c>
      <c r="AX987" s="17" t="n"/>
      <c r="AY987" s="16" t="n"/>
      <c r="AZ987" s="20" t="inlineStr">
        <is>
          <t>IC Anionen</t>
        </is>
      </c>
      <c r="BA987" s="20" t="inlineStr">
        <is>
          <t>None</t>
        </is>
      </c>
      <c r="BB987" s="17" t="n"/>
      <c r="BC987" s="16" t="n"/>
      <c r="BD987" s="20" t="inlineStr">
        <is>
          <t>IC Kationen</t>
        </is>
      </c>
      <c r="BE987" s="20" t="inlineStr">
        <is>
          <t>None</t>
        </is>
      </c>
      <c r="BF987" s="17" t="n"/>
      <c r="BG987" s="16" t="n"/>
      <c r="BH987" s="20" t="inlineStr">
        <is>
          <t>IC Kationen</t>
        </is>
      </c>
      <c r="BI987" s="20" t="inlineStr">
        <is>
          <t>None</t>
        </is>
      </c>
      <c r="BJ987" s="17" t="n"/>
      <c r="BK987" s="16" t="n"/>
      <c r="BL987" s="20" t="inlineStr">
        <is>
          <t>IC Kationen</t>
        </is>
      </c>
      <c r="BM987" s="20" t="inlineStr">
        <is>
          <t>None</t>
        </is>
      </c>
      <c r="BN987" s="17" t="n"/>
      <c r="BO987" s="16" t="n"/>
      <c r="BP987" s="20" t="inlineStr">
        <is>
          <t>IC Kationen</t>
        </is>
      </c>
      <c r="BQ987" s="20" t="inlineStr">
        <is>
          <t>None</t>
        </is>
      </c>
      <c r="BR987" s="17" t="n"/>
      <c r="BS987" s="16" t="n"/>
      <c r="BT987" s="20" t="inlineStr">
        <is>
          <t>IC Kationen</t>
        </is>
      </c>
      <c r="BU987" s="20" t="inlineStr">
        <is>
          <t>None</t>
        </is>
      </c>
      <c r="BV987" s="17" t="n"/>
      <c r="BW987" s="16" t="n"/>
      <c r="BX987" s="20" t="n"/>
      <c r="BY987" s="20" t="inlineStr">
        <is>
          <t>None</t>
        </is>
      </c>
      <c r="BZ987" s="17" t="n"/>
      <c r="CA987" s="16" t="n"/>
      <c r="CB987" s="20" t="n"/>
      <c r="CC987" s="20" t="inlineStr">
        <is>
          <t>None</t>
        </is>
      </c>
      <c r="CD987" s="17" t="n"/>
      <c r="CE987" s="16" t="n"/>
      <c r="CF987" s="20" t="n"/>
      <c r="CG987" s="20" t="inlineStr">
        <is>
          <t>None</t>
        </is>
      </c>
      <c r="CH987" s="17" t="n"/>
      <c r="CI987" s="16" t="n"/>
      <c r="CJ987" s="20" t="n"/>
      <c r="CK987" s="20" t="inlineStr">
        <is>
          <t>None</t>
        </is>
      </c>
      <c r="CL987" s="17" t="n"/>
      <c r="CM987" s="16" t="n"/>
      <c r="CN987" s="20" t="inlineStr">
        <is>
          <t>SOP 45-34</t>
        </is>
      </c>
      <c r="CO987" s="20" t="inlineStr">
        <is>
          <t>None</t>
        </is>
      </c>
      <c r="CP987" s="17" t="n"/>
      <c r="CQ987" s="16" t="n"/>
      <c r="CR987" s="20" t="n"/>
      <c r="CS987" s="20" t="inlineStr">
        <is>
          <t>None</t>
        </is>
      </c>
      <c r="CT987" s="17" t="n"/>
      <c r="CU987" s="16" t="n"/>
      <c r="CV987" s="20" t="n"/>
      <c r="CW987" s="20" t="inlineStr">
        <is>
          <t>None</t>
        </is>
      </c>
      <c r="CX987" s="17" t="n"/>
      <c r="CY987" s="16" t="n"/>
      <c r="CZ987" s="20" t="inlineStr">
        <is>
          <t>WTW Multimeter 3430 with FDO 925</t>
        </is>
      </c>
      <c r="DA987" s="20" t="inlineStr">
        <is>
          <t>None</t>
        </is>
      </c>
      <c r="DB987" s="17" t="n"/>
      <c r="DC987" s="16" t="n"/>
      <c r="DD987" s="20" t="n"/>
      <c r="DE987" s="20" t="inlineStr">
        <is>
          <t>None</t>
        </is>
      </c>
      <c r="DF987" s="17" t="n"/>
      <c r="DG987" s="16" t="n"/>
      <c r="DH987" s="20" t="inlineStr">
        <is>
          <t>SOP 45-09</t>
        </is>
      </c>
      <c r="DI987" s="20" t="inlineStr">
        <is>
          <t>None</t>
        </is>
      </c>
      <c r="DJ987" s="17" t="n"/>
      <c r="DK987" s="16" t="n"/>
      <c r="DL987" s="20" t="inlineStr">
        <is>
          <t>SOP 45-09 (SOP muss noch angepasst werden für VSS)</t>
        </is>
      </c>
      <c r="DM987" s="20" t="inlineStr">
        <is>
          <t>None</t>
        </is>
      </c>
      <c r="DN987" s="17" t="n"/>
      <c r="DO987" s="16" t="n"/>
      <c r="DP987" s="20" t="inlineStr">
        <is>
          <t>IC Organic Acids</t>
        </is>
      </c>
      <c r="DQ987" s="20" t="inlineStr">
        <is>
          <t>None</t>
        </is>
      </c>
      <c r="DR987" s="17" t="n"/>
      <c r="DS987" s="16" t="n"/>
      <c r="DT987" s="20" t="inlineStr">
        <is>
          <t>IC Organic Acids</t>
        </is>
      </c>
      <c r="DU987" s="20" t="inlineStr">
        <is>
          <t>None</t>
        </is>
      </c>
      <c r="DV987" s="17" t="n"/>
      <c r="DW987" s="16" t="n"/>
      <c r="DX987" s="20" t="inlineStr">
        <is>
          <t>IC Organic Acids</t>
        </is>
      </c>
      <c r="DY987" s="20" t="inlineStr">
        <is>
          <t>None</t>
        </is>
      </c>
      <c r="DZ987" s="17" t="n"/>
      <c r="EA987" s="16" t="n"/>
      <c r="EB987" s="20" t="inlineStr">
        <is>
          <t>IC Organic Acids</t>
        </is>
      </c>
      <c r="EC987" s="20" t="inlineStr">
        <is>
          <t>None</t>
        </is>
      </c>
      <c r="ED987" s="17" t="n"/>
      <c r="EE987" s="16" t="n"/>
      <c r="EF987" s="20" t="inlineStr">
        <is>
          <t>IC Organic Acids</t>
        </is>
      </c>
      <c r="EG987" s="20" t="inlineStr">
        <is>
          <t>None</t>
        </is>
      </c>
      <c r="EH987" s="17" t="n"/>
      <c r="EI987" s="16" t="n"/>
      <c r="EJ987" s="20" t="inlineStr">
        <is>
          <t>IC Organic Acids</t>
        </is>
      </c>
      <c r="EK987" s="20" t="inlineStr">
        <is>
          <t>None</t>
        </is>
      </c>
      <c r="EL987" s="17" t="n"/>
      <c r="EM987" s="16" t="n"/>
      <c r="EN987" s="20" t="inlineStr">
        <is>
          <t>IC Organic Acids</t>
        </is>
      </c>
      <c r="EO987" s="20" t="inlineStr">
        <is>
          <t>None</t>
        </is>
      </c>
      <c r="EP987" s="17" t="n"/>
      <c r="EQ987" s="16" t="n"/>
      <c r="ER987" s="20" t="inlineStr">
        <is>
          <t>IC Organic Acids</t>
        </is>
      </c>
      <c r="ES987" s="20" t="inlineStr">
        <is>
          <t>None</t>
        </is>
      </c>
      <c r="ET987" s="17" t="n"/>
      <c r="EU987" s="16" t="n"/>
      <c r="EV987" s="20" t="inlineStr">
        <is>
          <t>LC-MS</t>
        </is>
      </c>
      <c r="EW987" s="20" t="inlineStr">
        <is>
          <t>None</t>
        </is>
      </c>
      <c r="EX987" s="17" t="n"/>
      <c r="EY987" s="21" t="n"/>
      <c r="EZ987">
        <f>CONCATENATE(A987,B987)</f>
        <v/>
      </c>
      <c r="FA987">
        <f>CONCATENATE(SamplesX!A987,SamplesX!B987)</f>
        <v/>
      </c>
      <c r="FC987">
        <f>MATCH(EZ987,FA1:FA1008,0)</f>
        <v/>
      </c>
    </row>
    <row r="988">
      <c r="A988" s="16" t="n"/>
      <c r="B988" s="17" t="n"/>
      <c r="C988" s="10">
        <f>IF(ISNUMBER(FC988),INDIRECT("SamplesX!C"&amp;FC988),IF(ISNUMBER(FD988),INDIRECT("SamplesY!C"&amp;FD988),""))</f>
        <v/>
      </c>
      <c r="D988" s="12">
        <f>IF(ISNUMBER(FC988),INDIRECT("SamplesX!D"&amp;FC988),IF(ISNUMBER(FD988),INDIRECT("SamplesY!D"&amp;FD988),""))</f>
        <v/>
      </c>
      <c r="E988" s="12">
        <f>IF(ISNUMBER(FC988),INDIRECT("SamplesX!E"&amp;FC988),IF(ISNUMBER(FD988),INDIRECT("SamplesY!E"&amp;FD988),""))</f>
        <v/>
      </c>
      <c r="F988" s="11">
        <f>IF(ISNUMBER(FC988),INDIRECT("SamplesX!F"&amp;FC988),IF(ISNUMBER(FD988),INDIRECT("SamplesY!F"&amp;FD988),""))</f>
        <v/>
      </c>
      <c r="G988" s="18">
        <f>IF(ISNUMBER(FC988),INDIRECT("SamplesX!G"&amp;FC988),IF(ISNUMBER(FD988),INDIRECT("SamplesY!G"&amp;FD988),""))</f>
        <v/>
      </c>
      <c r="H988" s="19">
        <f>IF(ISNUMBER(FC988),INDIRECT("SamplesX!H"&amp;FC988),IF(ISNUMBER(FD988),INDIRECT("SamplesY!H"&amp;FD988),""))</f>
        <v/>
      </c>
      <c r="I988" s="16" t="n"/>
      <c r="J988" s="16" t="n"/>
      <c r="K988" s="16" t="n"/>
      <c r="L988" s="20" t="n"/>
      <c r="M988" s="20" t="inlineStr">
        <is>
          <t>None</t>
        </is>
      </c>
      <c r="N988" s="17" t="n"/>
      <c r="O988" s="16" t="n"/>
      <c r="P988" s="20" t="inlineStr">
        <is>
          <t>Shimadzu TOC-L</t>
        </is>
      </c>
      <c r="Q988" s="20" t="inlineStr">
        <is>
          <t>None</t>
        </is>
      </c>
      <c r="R988" s="17" t="n"/>
      <c r="S988" s="16" t="n"/>
      <c r="T988" s="20" t="inlineStr">
        <is>
          <t>Shimadzu TOC-L</t>
        </is>
      </c>
      <c r="U988" s="20" t="inlineStr">
        <is>
          <t>None</t>
        </is>
      </c>
      <c r="V988" s="17" t="n"/>
      <c r="W988" s="16" t="n"/>
      <c r="X988" s="20" t="n"/>
      <c r="Y988" s="20" t="inlineStr">
        <is>
          <t>None</t>
        </is>
      </c>
      <c r="Z988" s="17" t="n"/>
      <c r="AA988" s="16" t="n"/>
      <c r="AB988" s="20" t="n"/>
      <c r="AC988" s="20" t="inlineStr">
        <is>
          <t>None</t>
        </is>
      </c>
      <c r="AD988" s="17" t="n"/>
      <c r="AE988" s="16" t="n"/>
      <c r="AF988" s="20" t="inlineStr">
        <is>
          <t>IC Anionen</t>
        </is>
      </c>
      <c r="AG988" s="20" t="inlineStr">
        <is>
          <t>None</t>
        </is>
      </c>
      <c r="AH988" s="17" t="n"/>
      <c r="AI988" s="16" t="n"/>
      <c r="AJ988" s="20" t="n"/>
      <c r="AK988" s="20" t="inlineStr">
        <is>
          <t>None</t>
        </is>
      </c>
      <c r="AL988" s="17" t="n"/>
      <c r="AM988" s="16" t="n"/>
      <c r="AN988" s="20" t="inlineStr">
        <is>
          <t>IC Anionen</t>
        </is>
      </c>
      <c r="AO988" s="20" t="inlineStr">
        <is>
          <t>None</t>
        </is>
      </c>
      <c r="AP988" s="17" t="n"/>
      <c r="AQ988" s="16" t="n"/>
      <c r="AR988" s="20" t="n"/>
      <c r="AS988" s="20" t="inlineStr">
        <is>
          <t>None</t>
        </is>
      </c>
      <c r="AT988" s="17" t="n"/>
      <c r="AU988" s="16" t="n"/>
      <c r="AV988" s="20" t="n"/>
      <c r="AW988" s="20" t="inlineStr">
        <is>
          <t>None</t>
        </is>
      </c>
      <c r="AX988" s="17" t="n"/>
      <c r="AY988" s="16" t="n"/>
      <c r="AZ988" s="20" t="inlineStr">
        <is>
          <t>IC Anionen</t>
        </is>
      </c>
      <c r="BA988" s="20" t="inlineStr">
        <is>
          <t>None</t>
        </is>
      </c>
      <c r="BB988" s="17" t="n"/>
      <c r="BC988" s="16" t="n"/>
      <c r="BD988" s="20" t="inlineStr">
        <is>
          <t>IC Kationen</t>
        </is>
      </c>
      <c r="BE988" s="20" t="inlineStr">
        <is>
          <t>None</t>
        </is>
      </c>
      <c r="BF988" s="17" t="n"/>
      <c r="BG988" s="16" t="n"/>
      <c r="BH988" s="20" t="inlineStr">
        <is>
          <t>IC Kationen</t>
        </is>
      </c>
      <c r="BI988" s="20" t="inlineStr">
        <is>
          <t>None</t>
        </is>
      </c>
      <c r="BJ988" s="17" t="n"/>
      <c r="BK988" s="16" t="n"/>
      <c r="BL988" s="20" t="inlineStr">
        <is>
          <t>IC Kationen</t>
        </is>
      </c>
      <c r="BM988" s="20" t="inlineStr">
        <is>
          <t>None</t>
        </is>
      </c>
      <c r="BN988" s="17" t="n"/>
      <c r="BO988" s="16" t="n"/>
      <c r="BP988" s="20" t="inlineStr">
        <is>
          <t>IC Kationen</t>
        </is>
      </c>
      <c r="BQ988" s="20" t="inlineStr">
        <is>
          <t>None</t>
        </is>
      </c>
      <c r="BR988" s="17" t="n"/>
      <c r="BS988" s="16" t="n"/>
      <c r="BT988" s="20" t="inlineStr">
        <is>
          <t>IC Kationen</t>
        </is>
      </c>
      <c r="BU988" s="20" t="inlineStr">
        <is>
          <t>None</t>
        </is>
      </c>
      <c r="BV988" s="17" t="n"/>
      <c r="BW988" s="16" t="n"/>
      <c r="BX988" s="20" t="n"/>
      <c r="BY988" s="20" t="inlineStr">
        <is>
          <t>None</t>
        </is>
      </c>
      <c r="BZ988" s="17" t="n"/>
      <c r="CA988" s="16" t="n"/>
      <c r="CB988" s="20" t="n"/>
      <c r="CC988" s="20" t="inlineStr">
        <is>
          <t>None</t>
        </is>
      </c>
      <c r="CD988" s="17" t="n"/>
      <c r="CE988" s="16" t="n"/>
      <c r="CF988" s="20" t="n"/>
      <c r="CG988" s="20" t="inlineStr">
        <is>
          <t>None</t>
        </is>
      </c>
      <c r="CH988" s="17" t="n"/>
      <c r="CI988" s="16" t="n"/>
      <c r="CJ988" s="20" t="n"/>
      <c r="CK988" s="20" t="inlineStr">
        <is>
          <t>None</t>
        </is>
      </c>
      <c r="CL988" s="17" t="n"/>
      <c r="CM988" s="16" t="n"/>
      <c r="CN988" s="20" t="inlineStr">
        <is>
          <t>SOP 45-34</t>
        </is>
      </c>
      <c r="CO988" s="20" t="inlineStr">
        <is>
          <t>None</t>
        </is>
      </c>
      <c r="CP988" s="17" t="n"/>
      <c r="CQ988" s="16" t="n"/>
      <c r="CR988" s="20" t="n"/>
      <c r="CS988" s="20" t="inlineStr">
        <is>
          <t>None</t>
        </is>
      </c>
      <c r="CT988" s="17" t="n"/>
      <c r="CU988" s="16" t="n"/>
      <c r="CV988" s="20" t="n"/>
      <c r="CW988" s="20" t="inlineStr">
        <is>
          <t>None</t>
        </is>
      </c>
      <c r="CX988" s="17" t="n"/>
      <c r="CY988" s="16" t="n"/>
      <c r="CZ988" s="20" t="inlineStr">
        <is>
          <t>WTW Multimeter 3430 with FDO 925</t>
        </is>
      </c>
      <c r="DA988" s="20" t="inlineStr">
        <is>
          <t>None</t>
        </is>
      </c>
      <c r="DB988" s="17" t="n"/>
      <c r="DC988" s="16" t="n"/>
      <c r="DD988" s="20" t="n"/>
      <c r="DE988" s="20" t="inlineStr">
        <is>
          <t>None</t>
        </is>
      </c>
      <c r="DF988" s="17" t="n"/>
      <c r="DG988" s="16" t="n"/>
      <c r="DH988" s="20" t="inlineStr">
        <is>
          <t>SOP 45-09</t>
        </is>
      </c>
      <c r="DI988" s="20" t="inlineStr">
        <is>
          <t>None</t>
        </is>
      </c>
      <c r="DJ988" s="17" t="n"/>
      <c r="DK988" s="16" t="n"/>
      <c r="DL988" s="20" t="inlineStr">
        <is>
          <t>SOP 45-09 (SOP muss noch angepasst werden für VSS)</t>
        </is>
      </c>
      <c r="DM988" s="20" t="inlineStr">
        <is>
          <t>None</t>
        </is>
      </c>
      <c r="DN988" s="17" t="n"/>
      <c r="DO988" s="16" t="n"/>
      <c r="DP988" s="20" t="inlineStr">
        <is>
          <t>IC Organic Acids</t>
        </is>
      </c>
      <c r="DQ988" s="20" t="inlineStr">
        <is>
          <t>None</t>
        </is>
      </c>
      <c r="DR988" s="17" t="n"/>
      <c r="DS988" s="16" t="n"/>
      <c r="DT988" s="20" t="inlineStr">
        <is>
          <t>IC Organic Acids</t>
        </is>
      </c>
      <c r="DU988" s="20" t="inlineStr">
        <is>
          <t>None</t>
        </is>
      </c>
      <c r="DV988" s="17" t="n"/>
      <c r="DW988" s="16" t="n"/>
      <c r="DX988" s="20" t="inlineStr">
        <is>
          <t>IC Organic Acids</t>
        </is>
      </c>
      <c r="DY988" s="20" t="inlineStr">
        <is>
          <t>None</t>
        </is>
      </c>
      <c r="DZ988" s="17" t="n"/>
      <c r="EA988" s="16" t="n"/>
      <c r="EB988" s="20" t="inlineStr">
        <is>
          <t>IC Organic Acids</t>
        </is>
      </c>
      <c r="EC988" s="20" t="inlineStr">
        <is>
          <t>None</t>
        </is>
      </c>
      <c r="ED988" s="17" t="n"/>
      <c r="EE988" s="16" t="n"/>
      <c r="EF988" s="20" t="inlineStr">
        <is>
          <t>IC Organic Acids</t>
        </is>
      </c>
      <c r="EG988" s="20" t="inlineStr">
        <is>
          <t>None</t>
        </is>
      </c>
      <c r="EH988" s="17" t="n"/>
      <c r="EI988" s="16" t="n"/>
      <c r="EJ988" s="20" t="inlineStr">
        <is>
          <t>IC Organic Acids</t>
        </is>
      </c>
      <c r="EK988" s="20" t="inlineStr">
        <is>
          <t>None</t>
        </is>
      </c>
      <c r="EL988" s="17" t="n"/>
      <c r="EM988" s="16" t="n"/>
      <c r="EN988" s="20" t="inlineStr">
        <is>
          <t>IC Organic Acids</t>
        </is>
      </c>
      <c r="EO988" s="20" t="inlineStr">
        <is>
          <t>None</t>
        </is>
      </c>
      <c r="EP988" s="17" t="n"/>
      <c r="EQ988" s="16" t="n"/>
      <c r="ER988" s="20" t="inlineStr">
        <is>
          <t>IC Organic Acids</t>
        </is>
      </c>
      <c r="ES988" s="20" t="inlineStr">
        <is>
          <t>None</t>
        </is>
      </c>
      <c r="ET988" s="17" t="n"/>
      <c r="EU988" s="16" t="n"/>
      <c r="EV988" s="20" t="inlineStr">
        <is>
          <t>LC-MS</t>
        </is>
      </c>
      <c r="EW988" s="20" t="inlineStr">
        <is>
          <t>None</t>
        </is>
      </c>
      <c r="EX988" s="17" t="n"/>
      <c r="EY988" s="21" t="n"/>
      <c r="EZ988">
        <f>CONCATENATE(A988,B988)</f>
        <v/>
      </c>
      <c r="FA988">
        <f>CONCATENATE(SamplesX!A988,SamplesX!B988)</f>
        <v/>
      </c>
      <c r="FC988">
        <f>MATCH(EZ988,FA1:FA1008,0)</f>
        <v/>
      </c>
    </row>
    <row r="989">
      <c r="A989" s="16" t="n"/>
      <c r="B989" s="17" t="n"/>
      <c r="C989" s="10">
        <f>IF(ISNUMBER(FC989),INDIRECT("SamplesX!C"&amp;FC989),IF(ISNUMBER(FD989),INDIRECT("SamplesY!C"&amp;FD989),""))</f>
        <v/>
      </c>
      <c r="D989" s="12">
        <f>IF(ISNUMBER(FC989),INDIRECT("SamplesX!D"&amp;FC989),IF(ISNUMBER(FD989),INDIRECT("SamplesY!D"&amp;FD989),""))</f>
        <v/>
      </c>
      <c r="E989" s="12">
        <f>IF(ISNUMBER(FC989),INDIRECT("SamplesX!E"&amp;FC989),IF(ISNUMBER(FD989),INDIRECT("SamplesY!E"&amp;FD989),""))</f>
        <v/>
      </c>
      <c r="F989" s="11">
        <f>IF(ISNUMBER(FC989),INDIRECT("SamplesX!F"&amp;FC989),IF(ISNUMBER(FD989),INDIRECT("SamplesY!F"&amp;FD989),""))</f>
        <v/>
      </c>
      <c r="G989" s="18">
        <f>IF(ISNUMBER(FC989),INDIRECT("SamplesX!G"&amp;FC989),IF(ISNUMBER(FD989),INDIRECT("SamplesY!G"&amp;FD989),""))</f>
        <v/>
      </c>
      <c r="H989" s="19">
        <f>IF(ISNUMBER(FC989),INDIRECT("SamplesX!H"&amp;FC989),IF(ISNUMBER(FD989),INDIRECT("SamplesY!H"&amp;FD989),""))</f>
        <v/>
      </c>
      <c r="I989" s="16" t="n"/>
      <c r="J989" s="16" t="n"/>
      <c r="K989" s="16" t="n"/>
      <c r="L989" s="20" t="n"/>
      <c r="M989" s="20" t="inlineStr">
        <is>
          <t>None</t>
        </is>
      </c>
      <c r="N989" s="17" t="n"/>
      <c r="O989" s="16" t="n"/>
      <c r="P989" s="20" t="inlineStr">
        <is>
          <t>Shimadzu TOC-L</t>
        </is>
      </c>
      <c r="Q989" s="20" t="inlineStr">
        <is>
          <t>None</t>
        </is>
      </c>
      <c r="R989" s="17" t="n"/>
      <c r="S989" s="16" t="n"/>
      <c r="T989" s="20" t="inlineStr">
        <is>
          <t>Shimadzu TOC-L</t>
        </is>
      </c>
      <c r="U989" s="20" t="inlineStr">
        <is>
          <t>None</t>
        </is>
      </c>
      <c r="V989" s="17" t="n"/>
      <c r="W989" s="16" t="n"/>
      <c r="X989" s="20" t="n"/>
      <c r="Y989" s="20" t="inlineStr">
        <is>
          <t>None</t>
        </is>
      </c>
      <c r="Z989" s="17" t="n"/>
      <c r="AA989" s="16" t="n"/>
      <c r="AB989" s="20" t="n"/>
      <c r="AC989" s="20" t="inlineStr">
        <is>
          <t>None</t>
        </is>
      </c>
      <c r="AD989" s="17" t="n"/>
      <c r="AE989" s="16" t="n"/>
      <c r="AF989" s="20" t="inlineStr">
        <is>
          <t>IC Anionen</t>
        </is>
      </c>
      <c r="AG989" s="20" t="inlineStr">
        <is>
          <t>None</t>
        </is>
      </c>
      <c r="AH989" s="17" t="n"/>
      <c r="AI989" s="16" t="n"/>
      <c r="AJ989" s="20" t="n"/>
      <c r="AK989" s="20" t="inlineStr">
        <is>
          <t>None</t>
        </is>
      </c>
      <c r="AL989" s="17" t="n"/>
      <c r="AM989" s="16" t="n"/>
      <c r="AN989" s="20" t="inlineStr">
        <is>
          <t>IC Anionen</t>
        </is>
      </c>
      <c r="AO989" s="20" t="inlineStr">
        <is>
          <t>None</t>
        </is>
      </c>
      <c r="AP989" s="17" t="n"/>
      <c r="AQ989" s="16" t="n"/>
      <c r="AR989" s="20" t="n"/>
      <c r="AS989" s="20" t="inlineStr">
        <is>
          <t>None</t>
        </is>
      </c>
      <c r="AT989" s="17" t="n"/>
      <c r="AU989" s="16" t="n"/>
      <c r="AV989" s="20" t="n"/>
      <c r="AW989" s="20" t="inlineStr">
        <is>
          <t>None</t>
        </is>
      </c>
      <c r="AX989" s="17" t="n"/>
      <c r="AY989" s="16" t="n"/>
      <c r="AZ989" s="20" t="inlineStr">
        <is>
          <t>IC Anionen</t>
        </is>
      </c>
      <c r="BA989" s="20" t="inlineStr">
        <is>
          <t>None</t>
        </is>
      </c>
      <c r="BB989" s="17" t="n"/>
      <c r="BC989" s="16" t="n"/>
      <c r="BD989" s="20" t="inlineStr">
        <is>
          <t>IC Kationen</t>
        </is>
      </c>
      <c r="BE989" s="20" t="inlineStr">
        <is>
          <t>None</t>
        </is>
      </c>
      <c r="BF989" s="17" t="n"/>
      <c r="BG989" s="16" t="n"/>
      <c r="BH989" s="20" t="inlineStr">
        <is>
          <t>IC Kationen</t>
        </is>
      </c>
      <c r="BI989" s="20" t="inlineStr">
        <is>
          <t>None</t>
        </is>
      </c>
      <c r="BJ989" s="17" t="n"/>
      <c r="BK989" s="16" t="n"/>
      <c r="BL989" s="20" t="inlineStr">
        <is>
          <t>IC Kationen</t>
        </is>
      </c>
      <c r="BM989" s="20" t="inlineStr">
        <is>
          <t>None</t>
        </is>
      </c>
      <c r="BN989" s="17" t="n"/>
      <c r="BO989" s="16" t="n"/>
      <c r="BP989" s="20" t="inlineStr">
        <is>
          <t>IC Kationen</t>
        </is>
      </c>
      <c r="BQ989" s="20" t="inlineStr">
        <is>
          <t>None</t>
        </is>
      </c>
      <c r="BR989" s="17" t="n"/>
      <c r="BS989" s="16" t="n"/>
      <c r="BT989" s="20" t="inlineStr">
        <is>
          <t>IC Kationen</t>
        </is>
      </c>
      <c r="BU989" s="20" t="inlineStr">
        <is>
          <t>None</t>
        </is>
      </c>
      <c r="BV989" s="17" t="n"/>
      <c r="BW989" s="16" t="n"/>
      <c r="BX989" s="20" t="n"/>
      <c r="BY989" s="20" t="inlineStr">
        <is>
          <t>None</t>
        </is>
      </c>
      <c r="BZ989" s="17" t="n"/>
      <c r="CA989" s="16" t="n"/>
      <c r="CB989" s="20" t="n"/>
      <c r="CC989" s="20" t="inlineStr">
        <is>
          <t>None</t>
        </is>
      </c>
      <c r="CD989" s="17" t="n"/>
      <c r="CE989" s="16" t="n"/>
      <c r="CF989" s="20" t="n"/>
      <c r="CG989" s="20" t="inlineStr">
        <is>
          <t>None</t>
        </is>
      </c>
      <c r="CH989" s="17" t="n"/>
      <c r="CI989" s="16" t="n"/>
      <c r="CJ989" s="20" t="n"/>
      <c r="CK989" s="20" t="inlineStr">
        <is>
          <t>None</t>
        </is>
      </c>
      <c r="CL989" s="17" t="n"/>
      <c r="CM989" s="16" t="n"/>
      <c r="CN989" s="20" t="inlineStr">
        <is>
          <t>SOP 45-34</t>
        </is>
      </c>
      <c r="CO989" s="20" t="inlineStr">
        <is>
          <t>None</t>
        </is>
      </c>
      <c r="CP989" s="17" t="n"/>
      <c r="CQ989" s="16" t="n"/>
      <c r="CR989" s="20" t="n"/>
      <c r="CS989" s="20" t="inlineStr">
        <is>
          <t>None</t>
        </is>
      </c>
      <c r="CT989" s="17" t="n"/>
      <c r="CU989" s="16" t="n"/>
      <c r="CV989" s="20" t="n"/>
      <c r="CW989" s="20" t="inlineStr">
        <is>
          <t>None</t>
        </is>
      </c>
      <c r="CX989" s="17" t="n"/>
      <c r="CY989" s="16" t="n"/>
      <c r="CZ989" s="20" t="inlineStr">
        <is>
          <t>WTW Multimeter 3430 with FDO 925</t>
        </is>
      </c>
      <c r="DA989" s="20" t="inlineStr">
        <is>
          <t>None</t>
        </is>
      </c>
      <c r="DB989" s="17" t="n"/>
      <c r="DC989" s="16" t="n"/>
      <c r="DD989" s="20" t="n"/>
      <c r="DE989" s="20" t="inlineStr">
        <is>
          <t>None</t>
        </is>
      </c>
      <c r="DF989" s="17" t="n"/>
      <c r="DG989" s="16" t="n"/>
      <c r="DH989" s="20" t="inlineStr">
        <is>
          <t>SOP 45-09</t>
        </is>
      </c>
      <c r="DI989" s="20" t="inlineStr">
        <is>
          <t>None</t>
        </is>
      </c>
      <c r="DJ989" s="17" t="n"/>
      <c r="DK989" s="16" t="n"/>
      <c r="DL989" s="20" t="inlineStr">
        <is>
          <t>SOP 45-09 (SOP muss noch angepasst werden für VSS)</t>
        </is>
      </c>
      <c r="DM989" s="20" t="inlineStr">
        <is>
          <t>None</t>
        </is>
      </c>
      <c r="DN989" s="17" t="n"/>
      <c r="DO989" s="16" t="n"/>
      <c r="DP989" s="20" t="inlineStr">
        <is>
          <t>IC Organic Acids</t>
        </is>
      </c>
      <c r="DQ989" s="20" t="inlineStr">
        <is>
          <t>None</t>
        </is>
      </c>
      <c r="DR989" s="17" t="n"/>
      <c r="DS989" s="16" t="n"/>
      <c r="DT989" s="20" t="inlineStr">
        <is>
          <t>IC Organic Acids</t>
        </is>
      </c>
      <c r="DU989" s="20" t="inlineStr">
        <is>
          <t>None</t>
        </is>
      </c>
      <c r="DV989" s="17" t="n"/>
      <c r="DW989" s="16" t="n"/>
      <c r="DX989" s="20" t="inlineStr">
        <is>
          <t>IC Organic Acids</t>
        </is>
      </c>
      <c r="DY989" s="20" t="inlineStr">
        <is>
          <t>None</t>
        </is>
      </c>
      <c r="DZ989" s="17" t="n"/>
      <c r="EA989" s="16" t="n"/>
      <c r="EB989" s="20" t="inlineStr">
        <is>
          <t>IC Organic Acids</t>
        </is>
      </c>
      <c r="EC989" s="20" t="inlineStr">
        <is>
          <t>None</t>
        </is>
      </c>
      <c r="ED989" s="17" t="n"/>
      <c r="EE989" s="16" t="n"/>
      <c r="EF989" s="20" t="inlineStr">
        <is>
          <t>IC Organic Acids</t>
        </is>
      </c>
      <c r="EG989" s="20" t="inlineStr">
        <is>
          <t>None</t>
        </is>
      </c>
      <c r="EH989" s="17" t="n"/>
      <c r="EI989" s="16" t="n"/>
      <c r="EJ989" s="20" t="inlineStr">
        <is>
          <t>IC Organic Acids</t>
        </is>
      </c>
      <c r="EK989" s="20" t="inlineStr">
        <is>
          <t>None</t>
        </is>
      </c>
      <c r="EL989" s="17" t="n"/>
      <c r="EM989" s="16" t="n"/>
      <c r="EN989" s="20" t="inlineStr">
        <is>
          <t>IC Organic Acids</t>
        </is>
      </c>
      <c r="EO989" s="20" t="inlineStr">
        <is>
          <t>None</t>
        </is>
      </c>
      <c r="EP989" s="17" t="n"/>
      <c r="EQ989" s="16" t="n"/>
      <c r="ER989" s="20" t="inlineStr">
        <is>
          <t>IC Organic Acids</t>
        </is>
      </c>
      <c r="ES989" s="20" t="inlineStr">
        <is>
          <t>None</t>
        </is>
      </c>
      <c r="ET989" s="17" t="n"/>
      <c r="EU989" s="16" t="n"/>
      <c r="EV989" s="20" t="inlineStr">
        <is>
          <t>LC-MS</t>
        </is>
      </c>
      <c r="EW989" s="20" t="inlineStr">
        <is>
          <t>None</t>
        </is>
      </c>
      <c r="EX989" s="17" t="n"/>
      <c r="EY989" s="21" t="n"/>
      <c r="EZ989">
        <f>CONCATENATE(A989,B989)</f>
        <v/>
      </c>
      <c r="FA989">
        <f>CONCATENATE(SamplesX!A989,SamplesX!B989)</f>
        <v/>
      </c>
      <c r="FC989">
        <f>MATCH(EZ989,FA1:FA1008,0)</f>
        <v/>
      </c>
    </row>
    <row r="990">
      <c r="A990" s="16" t="n"/>
      <c r="B990" s="17" t="n"/>
      <c r="C990" s="10">
        <f>IF(ISNUMBER(FC990),INDIRECT("SamplesX!C"&amp;FC990),IF(ISNUMBER(FD990),INDIRECT("SamplesY!C"&amp;FD990),""))</f>
        <v/>
      </c>
      <c r="D990" s="12">
        <f>IF(ISNUMBER(FC990),INDIRECT("SamplesX!D"&amp;FC990),IF(ISNUMBER(FD990),INDIRECT("SamplesY!D"&amp;FD990),""))</f>
        <v/>
      </c>
      <c r="E990" s="12">
        <f>IF(ISNUMBER(FC990),INDIRECT("SamplesX!E"&amp;FC990),IF(ISNUMBER(FD990),INDIRECT("SamplesY!E"&amp;FD990),""))</f>
        <v/>
      </c>
      <c r="F990" s="11">
        <f>IF(ISNUMBER(FC990),INDIRECT("SamplesX!F"&amp;FC990),IF(ISNUMBER(FD990),INDIRECT("SamplesY!F"&amp;FD990),""))</f>
        <v/>
      </c>
      <c r="G990" s="18">
        <f>IF(ISNUMBER(FC990),INDIRECT("SamplesX!G"&amp;FC990),IF(ISNUMBER(FD990),INDIRECT("SamplesY!G"&amp;FD990),""))</f>
        <v/>
      </c>
      <c r="H990" s="19">
        <f>IF(ISNUMBER(FC990),INDIRECT("SamplesX!H"&amp;FC990),IF(ISNUMBER(FD990),INDIRECT("SamplesY!H"&amp;FD990),""))</f>
        <v/>
      </c>
      <c r="I990" s="16" t="n"/>
      <c r="J990" s="16" t="n"/>
      <c r="K990" s="16" t="n"/>
      <c r="L990" s="20" t="n"/>
      <c r="M990" s="20" t="inlineStr">
        <is>
          <t>None</t>
        </is>
      </c>
      <c r="N990" s="17" t="n"/>
      <c r="O990" s="16" t="n"/>
      <c r="P990" s="20" t="inlineStr">
        <is>
          <t>Shimadzu TOC-L</t>
        </is>
      </c>
      <c r="Q990" s="20" t="inlineStr">
        <is>
          <t>None</t>
        </is>
      </c>
      <c r="R990" s="17" t="n"/>
      <c r="S990" s="16" t="n"/>
      <c r="T990" s="20" t="inlineStr">
        <is>
          <t>Shimadzu TOC-L</t>
        </is>
      </c>
      <c r="U990" s="20" t="inlineStr">
        <is>
          <t>None</t>
        </is>
      </c>
      <c r="V990" s="17" t="n"/>
      <c r="W990" s="16" t="n"/>
      <c r="X990" s="20" t="n"/>
      <c r="Y990" s="20" t="inlineStr">
        <is>
          <t>None</t>
        </is>
      </c>
      <c r="Z990" s="17" t="n"/>
      <c r="AA990" s="16" t="n"/>
      <c r="AB990" s="20" t="n"/>
      <c r="AC990" s="20" t="inlineStr">
        <is>
          <t>None</t>
        </is>
      </c>
      <c r="AD990" s="17" t="n"/>
      <c r="AE990" s="16" t="n"/>
      <c r="AF990" s="20" t="inlineStr">
        <is>
          <t>IC Anionen</t>
        </is>
      </c>
      <c r="AG990" s="20" t="inlineStr">
        <is>
          <t>None</t>
        </is>
      </c>
      <c r="AH990" s="17" t="n"/>
      <c r="AI990" s="16" t="n"/>
      <c r="AJ990" s="20" t="n"/>
      <c r="AK990" s="20" t="inlineStr">
        <is>
          <t>None</t>
        </is>
      </c>
      <c r="AL990" s="17" t="n"/>
      <c r="AM990" s="16" t="n"/>
      <c r="AN990" s="20" t="inlineStr">
        <is>
          <t>IC Anionen</t>
        </is>
      </c>
      <c r="AO990" s="20" t="inlineStr">
        <is>
          <t>None</t>
        </is>
      </c>
      <c r="AP990" s="17" t="n"/>
      <c r="AQ990" s="16" t="n"/>
      <c r="AR990" s="20" t="n"/>
      <c r="AS990" s="20" t="inlineStr">
        <is>
          <t>None</t>
        </is>
      </c>
      <c r="AT990" s="17" t="n"/>
      <c r="AU990" s="16" t="n"/>
      <c r="AV990" s="20" t="n"/>
      <c r="AW990" s="20" t="inlineStr">
        <is>
          <t>None</t>
        </is>
      </c>
      <c r="AX990" s="17" t="n"/>
      <c r="AY990" s="16" t="n"/>
      <c r="AZ990" s="20" t="inlineStr">
        <is>
          <t>IC Anionen</t>
        </is>
      </c>
      <c r="BA990" s="20" t="inlineStr">
        <is>
          <t>None</t>
        </is>
      </c>
      <c r="BB990" s="17" t="n"/>
      <c r="BC990" s="16" t="n"/>
      <c r="BD990" s="20" t="inlineStr">
        <is>
          <t>IC Kationen</t>
        </is>
      </c>
      <c r="BE990" s="20" t="inlineStr">
        <is>
          <t>None</t>
        </is>
      </c>
      <c r="BF990" s="17" t="n"/>
      <c r="BG990" s="16" t="n"/>
      <c r="BH990" s="20" t="inlineStr">
        <is>
          <t>IC Kationen</t>
        </is>
      </c>
      <c r="BI990" s="20" t="inlineStr">
        <is>
          <t>None</t>
        </is>
      </c>
      <c r="BJ990" s="17" t="n"/>
      <c r="BK990" s="16" t="n"/>
      <c r="BL990" s="20" t="inlineStr">
        <is>
          <t>IC Kationen</t>
        </is>
      </c>
      <c r="BM990" s="20" t="inlineStr">
        <is>
          <t>None</t>
        </is>
      </c>
      <c r="BN990" s="17" t="n"/>
      <c r="BO990" s="16" t="n"/>
      <c r="BP990" s="20" t="inlineStr">
        <is>
          <t>IC Kationen</t>
        </is>
      </c>
      <c r="BQ990" s="20" t="inlineStr">
        <is>
          <t>None</t>
        </is>
      </c>
      <c r="BR990" s="17" t="n"/>
      <c r="BS990" s="16" t="n"/>
      <c r="BT990" s="20" t="inlineStr">
        <is>
          <t>IC Kationen</t>
        </is>
      </c>
      <c r="BU990" s="20" t="inlineStr">
        <is>
          <t>None</t>
        </is>
      </c>
      <c r="BV990" s="17" t="n"/>
      <c r="BW990" s="16" t="n"/>
      <c r="BX990" s="20" t="n"/>
      <c r="BY990" s="20" t="inlineStr">
        <is>
          <t>None</t>
        </is>
      </c>
      <c r="BZ990" s="17" t="n"/>
      <c r="CA990" s="16" t="n"/>
      <c r="CB990" s="20" t="n"/>
      <c r="CC990" s="20" t="inlineStr">
        <is>
          <t>None</t>
        </is>
      </c>
      <c r="CD990" s="17" t="n"/>
      <c r="CE990" s="16" t="n"/>
      <c r="CF990" s="20" t="n"/>
      <c r="CG990" s="20" t="inlineStr">
        <is>
          <t>None</t>
        </is>
      </c>
      <c r="CH990" s="17" t="n"/>
      <c r="CI990" s="16" t="n"/>
      <c r="CJ990" s="20" t="n"/>
      <c r="CK990" s="20" t="inlineStr">
        <is>
          <t>None</t>
        </is>
      </c>
      <c r="CL990" s="17" t="n"/>
      <c r="CM990" s="16" t="n"/>
      <c r="CN990" s="20" t="inlineStr">
        <is>
          <t>SOP 45-34</t>
        </is>
      </c>
      <c r="CO990" s="20" t="inlineStr">
        <is>
          <t>None</t>
        </is>
      </c>
      <c r="CP990" s="17" t="n"/>
      <c r="CQ990" s="16" t="n"/>
      <c r="CR990" s="20" t="n"/>
      <c r="CS990" s="20" t="inlineStr">
        <is>
          <t>None</t>
        </is>
      </c>
      <c r="CT990" s="17" t="n"/>
      <c r="CU990" s="16" t="n"/>
      <c r="CV990" s="20" t="n"/>
      <c r="CW990" s="20" t="inlineStr">
        <is>
          <t>None</t>
        </is>
      </c>
      <c r="CX990" s="17" t="n"/>
      <c r="CY990" s="16" t="n"/>
      <c r="CZ990" s="20" t="inlineStr">
        <is>
          <t>WTW Multimeter 3430 with FDO 925</t>
        </is>
      </c>
      <c r="DA990" s="20" t="inlineStr">
        <is>
          <t>None</t>
        </is>
      </c>
      <c r="DB990" s="17" t="n"/>
      <c r="DC990" s="16" t="n"/>
      <c r="DD990" s="20" t="n"/>
      <c r="DE990" s="20" t="inlineStr">
        <is>
          <t>None</t>
        </is>
      </c>
      <c r="DF990" s="17" t="n"/>
      <c r="DG990" s="16" t="n"/>
      <c r="DH990" s="20" t="inlineStr">
        <is>
          <t>SOP 45-09</t>
        </is>
      </c>
      <c r="DI990" s="20" t="inlineStr">
        <is>
          <t>None</t>
        </is>
      </c>
      <c r="DJ990" s="17" t="n"/>
      <c r="DK990" s="16" t="n"/>
      <c r="DL990" s="20" t="inlineStr">
        <is>
          <t>SOP 45-09 (SOP muss noch angepasst werden für VSS)</t>
        </is>
      </c>
      <c r="DM990" s="20" t="inlineStr">
        <is>
          <t>None</t>
        </is>
      </c>
      <c r="DN990" s="17" t="n"/>
      <c r="DO990" s="16" t="n"/>
      <c r="DP990" s="20" t="inlineStr">
        <is>
          <t>IC Organic Acids</t>
        </is>
      </c>
      <c r="DQ990" s="20" t="inlineStr">
        <is>
          <t>None</t>
        </is>
      </c>
      <c r="DR990" s="17" t="n"/>
      <c r="DS990" s="16" t="n"/>
      <c r="DT990" s="20" t="inlineStr">
        <is>
          <t>IC Organic Acids</t>
        </is>
      </c>
      <c r="DU990" s="20" t="inlineStr">
        <is>
          <t>None</t>
        </is>
      </c>
      <c r="DV990" s="17" t="n"/>
      <c r="DW990" s="16" t="n"/>
      <c r="DX990" s="20" t="inlineStr">
        <is>
          <t>IC Organic Acids</t>
        </is>
      </c>
      <c r="DY990" s="20" t="inlineStr">
        <is>
          <t>None</t>
        </is>
      </c>
      <c r="DZ990" s="17" t="n"/>
      <c r="EA990" s="16" t="n"/>
      <c r="EB990" s="20" t="inlineStr">
        <is>
          <t>IC Organic Acids</t>
        </is>
      </c>
      <c r="EC990" s="20" t="inlineStr">
        <is>
          <t>None</t>
        </is>
      </c>
      <c r="ED990" s="17" t="n"/>
      <c r="EE990" s="16" t="n"/>
      <c r="EF990" s="20" t="inlineStr">
        <is>
          <t>IC Organic Acids</t>
        </is>
      </c>
      <c r="EG990" s="20" t="inlineStr">
        <is>
          <t>None</t>
        </is>
      </c>
      <c r="EH990" s="17" t="n"/>
      <c r="EI990" s="16" t="n"/>
      <c r="EJ990" s="20" t="inlineStr">
        <is>
          <t>IC Organic Acids</t>
        </is>
      </c>
      <c r="EK990" s="20" t="inlineStr">
        <is>
          <t>None</t>
        </is>
      </c>
      <c r="EL990" s="17" t="n"/>
      <c r="EM990" s="16" t="n"/>
      <c r="EN990" s="20" t="inlineStr">
        <is>
          <t>IC Organic Acids</t>
        </is>
      </c>
      <c r="EO990" s="20" t="inlineStr">
        <is>
          <t>None</t>
        </is>
      </c>
      <c r="EP990" s="17" t="n"/>
      <c r="EQ990" s="16" t="n"/>
      <c r="ER990" s="20" t="inlineStr">
        <is>
          <t>IC Organic Acids</t>
        </is>
      </c>
      <c r="ES990" s="20" t="inlineStr">
        <is>
          <t>None</t>
        </is>
      </c>
      <c r="ET990" s="17" t="n"/>
      <c r="EU990" s="16" t="n"/>
      <c r="EV990" s="20" t="inlineStr">
        <is>
          <t>LC-MS</t>
        </is>
      </c>
      <c r="EW990" s="20" t="inlineStr">
        <is>
          <t>None</t>
        </is>
      </c>
      <c r="EX990" s="17" t="n"/>
      <c r="EY990" s="21" t="n"/>
      <c r="EZ990">
        <f>CONCATENATE(A990,B990)</f>
        <v/>
      </c>
      <c r="FA990">
        <f>CONCATENATE(SamplesX!A990,SamplesX!B990)</f>
        <v/>
      </c>
      <c r="FC990">
        <f>MATCH(EZ990,FA1:FA1008,0)</f>
        <v/>
      </c>
    </row>
    <row r="991">
      <c r="A991" s="16" t="n"/>
      <c r="B991" s="17" t="n"/>
      <c r="C991" s="10">
        <f>IF(ISNUMBER(FC991),INDIRECT("SamplesX!C"&amp;FC991),IF(ISNUMBER(FD991),INDIRECT("SamplesY!C"&amp;FD991),""))</f>
        <v/>
      </c>
      <c r="D991" s="12">
        <f>IF(ISNUMBER(FC991),INDIRECT("SamplesX!D"&amp;FC991),IF(ISNUMBER(FD991),INDIRECT("SamplesY!D"&amp;FD991),""))</f>
        <v/>
      </c>
      <c r="E991" s="12">
        <f>IF(ISNUMBER(FC991),INDIRECT("SamplesX!E"&amp;FC991),IF(ISNUMBER(FD991),INDIRECT("SamplesY!E"&amp;FD991),""))</f>
        <v/>
      </c>
      <c r="F991" s="11">
        <f>IF(ISNUMBER(FC991),INDIRECT("SamplesX!F"&amp;FC991),IF(ISNUMBER(FD991),INDIRECT("SamplesY!F"&amp;FD991),""))</f>
        <v/>
      </c>
      <c r="G991" s="18">
        <f>IF(ISNUMBER(FC991),INDIRECT("SamplesX!G"&amp;FC991),IF(ISNUMBER(FD991),INDIRECT("SamplesY!G"&amp;FD991),""))</f>
        <v/>
      </c>
      <c r="H991" s="19">
        <f>IF(ISNUMBER(FC991),INDIRECT("SamplesX!H"&amp;FC991),IF(ISNUMBER(FD991),INDIRECT("SamplesY!H"&amp;FD991),""))</f>
        <v/>
      </c>
      <c r="I991" s="16" t="n"/>
      <c r="J991" s="16" t="n"/>
      <c r="K991" s="16" t="n"/>
      <c r="L991" s="20" t="n"/>
      <c r="M991" s="20" t="inlineStr">
        <is>
          <t>None</t>
        </is>
      </c>
      <c r="N991" s="17" t="n"/>
      <c r="O991" s="16" t="n"/>
      <c r="P991" s="20" t="inlineStr">
        <is>
          <t>Shimadzu TOC-L</t>
        </is>
      </c>
      <c r="Q991" s="20" t="inlineStr">
        <is>
          <t>None</t>
        </is>
      </c>
      <c r="R991" s="17" t="n"/>
      <c r="S991" s="16" t="n"/>
      <c r="T991" s="20" t="inlineStr">
        <is>
          <t>Shimadzu TOC-L</t>
        </is>
      </c>
      <c r="U991" s="20" t="inlineStr">
        <is>
          <t>None</t>
        </is>
      </c>
      <c r="V991" s="17" t="n"/>
      <c r="W991" s="16" t="n"/>
      <c r="X991" s="20" t="n"/>
      <c r="Y991" s="20" t="inlineStr">
        <is>
          <t>None</t>
        </is>
      </c>
      <c r="Z991" s="17" t="n"/>
      <c r="AA991" s="16" t="n"/>
      <c r="AB991" s="20" t="n"/>
      <c r="AC991" s="20" t="inlineStr">
        <is>
          <t>None</t>
        </is>
      </c>
      <c r="AD991" s="17" t="n"/>
      <c r="AE991" s="16" t="n"/>
      <c r="AF991" s="20" t="inlineStr">
        <is>
          <t>IC Anionen</t>
        </is>
      </c>
      <c r="AG991" s="20" t="inlineStr">
        <is>
          <t>None</t>
        </is>
      </c>
      <c r="AH991" s="17" t="n"/>
      <c r="AI991" s="16" t="n"/>
      <c r="AJ991" s="20" t="n"/>
      <c r="AK991" s="20" t="inlineStr">
        <is>
          <t>None</t>
        </is>
      </c>
      <c r="AL991" s="17" t="n"/>
      <c r="AM991" s="16" t="n"/>
      <c r="AN991" s="20" t="inlineStr">
        <is>
          <t>IC Anionen</t>
        </is>
      </c>
      <c r="AO991" s="20" t="inlineStr">
        <is>
          <t>None</t>
        </is>
      </c>
      <c r="AP991" s="17" t="n"/>
      <c r="AQ991" s="16" t="n"/>
      <c r="AR991" s="20" t="n"/>
      <c r="AS991" s="20" t="inlineStr">
        <is>
          <t>None</t>
        </is>
      </c>
      <c r="AT991" s="17" t="n"/>
      <c r="AU991" s="16" t="n"/>
      <c r="AV991" s="20" t="n"/>
      <c r="AW991" s="20" t="inlineStr">
        <is>
          <t>None</t>
        </is>
      </c>
      <c r="AX991" s="17" t="n"/>
      <c r="AY991" s="16" t="n"/>
      <c r="AZ991" s="20" t="inlineStr">
        <is>
          <t>IC Anionen</t>
        </is>
      </c>
      <c r="BA991" s="20" t="inlineStr">
        <is>
          <t>None</t>
        </is>
      </c>
      <c r="BB991" s="17" t="n"/>
      <c r="BC991" s="16" t="n"/>
      <c r="BD991" s="20" t="inlineStr">
        <is>
          <t>IC Kationen</t>
        </is>
      </c>
      <c r="BE991" s="20" t="inlineStr">
        <is>
          <t>None</t>
        </is>
      </c>
      <c r="BF991" s="17" t="n"/>
      <c r="BG991" s="16" t="n"/>
      <c r="BH991" s="20" t="inlineStr">
        <is>
          <t>IC Kationen</t>
        </is>
      </c>
      <c r="BI991" s="20" t="inlineStr">
        <is>
          <t>None</t>
        </is>
      </c>
      <c r="BJ991" s="17" t="n"/>
      <c r="BK991" s="16" t="n"/>
      <c r="BL991" s="20" t="inlineStr">
        <is>
          <t>IC Kationen</t>
        </is>
      </c>
      <c r="BM991" s="20" t="inlineStr">
        <is>
          <t>None</t>
        </is>
      </c>
      <c r="BN991" s="17" t="n"/>
      <c r="BO991" s="16" t="n"/>
      <c r="BP991" s="20" t="inlineStr">
        <is>
          <t>IC Kationen</t>
        </is>
      </c>
      <c r="BQ991" s="20" t="inlineStr">
        <is>
          <t>None</t>
        </is>
      </c>
      <c r="BR991" s="17" t="n"/>
      <c r="BS991" s="16" t="n"/>
      <c r="BT991" s="20" t="inlineStr">
        <is>
          <t>IC Kationen</t>
        </is>
      </c>
      <c r="BU991" s="20" t="inlineStr">
        <is>
          <t>None</t>
        </is>
      </c>
      <c r="BV991" s="17" t="n"/>
      <c r="BW991" s="16" t="n"/>
      <c r="BX991" s="20" t="n"/>
      <c r="BY991" s="20" t="inlineStr">
        <is>
          <t>None</t>
        </is>
      </c>
      <c r="BZ991" s="17" t="n"/>
      <c r="CA991" s="16" t="n"/>
      <c r="CB991" s="20" t="n"/>
      <c r="CC991" s="20" t="inlineStr">
        <is>
          <t>None</t>
        </is>
      </c>
      <c r="CD991" s="17" t="n"/>
      <c r="CE991" s="16" t="n"/>
      <c r="CF991" s="20" t="n"/>
      <c r="CG991" s="20" t="inlineStr">
        <is>
          <t>None</t>
        </is>
      </c>
      <c r="CH991" s="17" t="n"/>
      <c r="CI991" s="16" t="n"/>
      <c r="CJ991" s="20" t="n"/>
      <c r="CK991" s="20" t="inlineStr">
        <is>
          <t>None</t>
        </is>
      </c>
      <c r="CL991" s="17" t="n"/>
      <c r="CM991" s="16" t="n"/>
      <c r="CN991" s="20" t="inlineStr">
        <is>
          <t>SOP 45-34</t>
        </is>
      </c>
      <c r="CO991" s="20" t="inlineStr">
        <is>
          <t>None</t>
        </is>
      </c>
      <c r="CP991" s="17" t="n"/>
      <c r="CQ991" s="16" t="n"/>
      <c r="CR991" s="20" t="n"/>
      <c r="CS991" s="20" t="inlineStr">
        <is>
          <t>None</t>
        </is>
      </c>
      <c r="CT991" s="17" t="n"/>
      <c r="CU991" s="16" t="n"/>
      <c r="CV991" s="20" t="n"/>
      <c r="CW991" s="20" t="inlineStr">
        <is>
          <t>None</t>
        </is>
      </c>
      <c r="CX991" s="17" t="n"/>
      <c r="CY991" s="16" t="n"/>
      <c r="CZ991" s="20" t="inlineStr">
        <is>
          <t>WTW Multimeter 3430 with FDO 925</t>
        </is>
      </c>
      <c r="DA991" s="20" t="inlineStr">
        <is>
          <t>None</t>
        </is>
      </c>
      <c r="DB991" s="17" t="n"/>
      <c r="DC991" s="16" t="n"/>
      <c r="DD991" s="20" t="n"/>
      <c r="DE991" s="20" t="inlineStr">
        <is>
          <t>None</t>
        </is>
      </c>
      <c r="DF991" s="17" t="n"/>
      <c r="DG991" s="16" t="n"/>
      <c r="DH991" s="20" t="inlineStr">
        <is>
          <t>SOP 45-09</t>
        </is>
      </c>
      <c r="DI991" s="20" t="inlineStr">
        <is>
          <t>None</t>
        </is>
      </c>
      <c r="DJ991" s="17" t="n"/>
      <c r="DK991" s="16" t="n"/>
      <c r="DL991" s="20" t="inlineStr">
        <is>
          <t>SOP 45-09 (SOP muss noch angepasst werden für VSS)</t>
        </is>
      </c>
      <c r="DM991" s="20" t="inlineStr">
        <is>
          <t>None</t>
        </is>
      </c>
      <c r="DN991" s="17" t="n"/>
      <c r="DO991" s="16" t="n"/>
      <c r="DP991" s="20" t="inlineStr">
        <is>
          <t>IC Organic Acids</t>
        </is>
      </c>
      <c r="DQ991" s="20" t="inlineStr">
        <is>
          <t>None</t>
        </is>
      </c>
      <c r="DR991" s="17" t="n"/>
      <c r="DS991" s="16" t="n"/>
      <c r="DT991" s="20" t="inlineStr">
        <is>
          <t>IC Organic Acids</t>
        </is>
      </c>
      <c r="DU991" s="20" t="inlineStr">
        <is>
          <t>None</t>
        </is>
      </c>
      <c r="DV991" s="17" t="n"/>
      <c r="DW991" s="16" t="n"/>
      <c r="DX991" s="20" t="inlineStr">
        <is>
          <t>IC Organic Acids</t>
        </is>
      </c>
      <c r="DY991" s="20" t="inlineStr">
        <is>
          <t>None</t>
        </is>
      </c>
      <c r="DZ991" s="17" t="n"/>
      <c r="EA991" s="16" t="n"/>
      <c r="EB991" s="20" t="inlineStr">
        <is>
          <t>IC Organic Acids</t>
        </is>
      </c>
      <c r="EC991" s="20" t="inlineStr">
        <is>
          <t>None</t>
        </is>
      </c>
      <c r="ED991" s="17" t="n"/>
      <c r="EE991" s="16" t="n"/>
      <c r="EF991" s="20" t="inlineStr">
        <is>
          <t>IC Organic Acids</t>
        </is>
      </c>
      <c r="EG991" s="20" t="inlineStr">
        <is>
          <t>None</t>
        </is>
      </c>
      <c r="EH991" s="17" t="n"/>
      <c r="EI991" s="16" t="n"/>
      <c r="EJ991" s="20" t="inlineStr">
        <is>
          <t>IC Organic Acids</t>
        </is>
      </c>
      <c r="EK991" s="20" t="inlineStr">
        <is>
          <t>None</t>
        </is>
      </c>
      <c r="EL991" s="17" t="n"/>
      <c r="EM991" s="16" t="n"/>
      <c r="EN991" s="20" t="inlineStr">
        <is>
          <t>IC Organic Acids</t>
        </is>
      </c>
      <c r="EO991" s="20" t="inlineStr">
        <is>
          <t>None</t>
        </is>
      </c>
      <c r="EP991" s="17" t="n"/>
      <c r="EQ991" s="16" t="n"/>
      <c r="ER991" s="20" t="inlineStr">
        <is>
          <t>IC Organic Acids</t>
        </is>
      </c>
      <c r="ES991" s="20" t="inlineStr">
        <is>
          <t>None</t>
        </is>
      </c>
      <c r="ET991" s="17" t="n"/>
      <c r="EU991" s="16" t="n"/>
      <c r="EV991" s="20" t="inlineStr">
        <is>
          <t>LC-MS</t>
        </is>
      </c>
      <c r="EW991" s="20" t="inlineStr">
        <is>
          <t>None</t>
        </is>
      </c>
      <c r="EX991" s="17" t="n"/>
      <c r="EY991" s="21" t="n"/>
      <c r="EZ991">
        <f>CONCATENATE(A991,B991)</f>
        <v/>
      </c>
      <c r="FA991">
        <f>CONCATENATE(SamplesX!A991,SamplesX!B991)</f>
        <v/>
      </c>
      <c r="FC991">
        <f>MATCH(EZ991,FA1:FA1008,0)</f>
        <v/>
      </c>
    </row>
    <row r="992">
      <c r="A992" s="16" t="n"/>
      <c r="B992" s="17" t="n"/>
      <c r="C992" s="10">
        <f>IF(ISNUMBER(FC992),INDIRECT("SamplesX!C"&amp;FC992),IF(ISNUMBER(FD992),INDIRECT("SamplesY!C"&amp;FD992),""))</f>
        <v/>
      </c>
      <c r="D992" s="12">
        <f>IF(ISNUMBER(FC992),INDIRECT("SamplesX!D"&amp;FC992),IF(ISNUMBER(FD992),INDIRECT("SamplesY!D"&amp;FD992),""))</f>
        <v/>
      </c>
      <c r="E992" s="12">
        <f>IF(ISNUMBER(FC992),INDIRECT("SamplesX!E"&amp;FC992),IF(ISNUMBER(FD992),INDIRECT("SamplesY!E"&amp;FD992),""))</f>
        <v/>
      </c>
      <c r="F992" s="11">
        <f>IF(ISNUMBER(FC992),INDIRECT("SamplesX!F"&amp;FC992),IF(ISNUMBER(FD992),INDIRECT("SamplesY!F"&amp;FD992),""))</f>
        <v/>
      </c>
      <c r="G992" s="18">
        <f>IF(ISNUMBER(FC992),INDIRECT("SamplesX!G"&amp;FC992),IF(ISNUMBER(FD992),INDIRECT("SamplesY!G"&amp;FD992),""))</f>
        <v/>
      </c>
      <c r="H992" s="19">
        <f>IF(ISNUMBER(FC992),INDIRECT("SamplesX!H"&amp;FC992),IF(ISNUMBER(FD992),INDIRECT("SamplesY!H"&amp;FD992),""))</f>
        <v/>
      </c>
      <c r="I992" s="16" t="n"/>
      <c r="J992" s="16" t="n"/>
      <c r="K992" s="16" t="n"/>
      <c r="L992" s="20" t="n"/>
      <c r="M992" s="20" t="inlineStr">
        <is>
          <t>None</t>
        </is>
      </c>
      <c r="N992" s="17" t="n"/>
      <c r="O992" s="16" t="n"/>
      <c r="P992" s="20" t="inlineStr">
        <is>
          <t>Shimadzu TOC-L</t>
        </is>
      </c>
      <c r="Q992" s="20" t="inlineStr">
        <is>
          <t>None</t>
        </is>
      </c>
      <c r="R992" s="17" t="n"/>
      <c r="S992" s="16" t="n"/>
      <c r="T992" s="20" t="inlineStr">
        <is>
          <t>Shimadzu TOC-L</t>
        </is>
      </c>
      <c r="U992" s="20" t="inlineStr">
        <is>
          <t>None</t>
        </is>
      </c>
      <c r="V992" s="17" t="n"/>
      <c r="W992" s="16" t="n"/>
      <c r="X992" s="20" t="n"/>
      <c r="Y992" s="20" t="inlineStr">
        <is>
          <t>None</t>
        </is>
      </c>
      <c r="Z992" s="17" t="n"/>
      <c r="AA992" s="16" t="n"/>
      <c r="AB992" s="20" t="n"/>
      <c r="AC992" s="20" t="inlineStr">
        <is>
          <t>None</t>
        </is>
      </c>
      <c r="AD992" s="17" t="n"/>
      <c r="AE992" s="16" t="n"/>
      <c r="AF992" s="20" t="inlineStr">
        <is>
          <t>IC Anionen</t>
        </is>
      </c>
      <c r="AG992" s="20" t="inlineStr">
        <is>
          <t>None</t>
        </is>
      </c>
      <c r="AH992" s="17" t="n"/>
      <c r="AI992" s="16" t="n"/>
      <c r="AJ992" s="20" t="n"/>
      <c r="AK992" s="20" t="inlineStr">
        <is>
          <t>None</t>
        </is>
      </c>
      <c r="AL992" s="17" t="n"/>
      <c r="AM992" s="16" t="n"/>
      <c r="AN992" s="20" t="inlineStr">
        <is>
          <t>IC Anionen</t>
        </is>
      </c>
      <c r="AO992" s="20" t="inlineStr">
        <is>
          <t>None</t>
        </is>
      </c>
      <c r="AP992" s="17" t="n"/>
      <c r="AQ992" s="16" t="n"/>
      <c r="AR992" s="20" t="n"/>
      <c r="AS992" s="20" t="inlineStr">
        <is>
          <t>None</t>
        </is>
      </c>
      <c r="AT992" s="17" t="n"/>
      <c r="AU992" s="16" t="n"/>
      <c r="AV992" s="20" t="n"/>
      <c r="AW992" s="20" t="inlineStr">
        <is>
          <t>None</t>
        </is>
      </c>
      <c r="AX992" s="17" t="n"/>
      <c r="AY992" s="16" t="n"/>
      <c r="AZ992" s="20" t="inlineStr">
        <is>
          <t>IC Anionen</t>
        </is>
      </c>
      <c r="BA992" s="20" t="inlineStr">
        <is>
          <t>None</t>
        </is>
      </c>
      <c r="BB992" s="17" t="n"/>
      <c r="BC992" s="16" t="n"/>
      <c r="BD992" s="20" t="inlineStr">
        <is>
          <t>IC Kationen</t>
        </is>
      </c>
      <c r="BE992" s="20" t="inlineStr">
        <is>
          <t>None</t>
        </is>
      </c>
      <c r="BF992" s="17" t="n"/>
      <c r="BG992" s="16" t="n"/>
      <c r="BH992" s="20" t="inlineStr">
        <is>
          <t>IC Kationen</t>
        </is>
      </c>
      <c r="BI992" s="20" t="inlineStr">
        <is>
          <t>None</t>
        </is>
      </c>
      <c r="BJ992" s="17" t="n"/>
      <c r="BK992" s="16" t="n"/>
      <c r="BL992" s="20" t="inlineStr">
        <is>
          <t>IC Kationen</t>
        </is>
      </c>
      <c r="BM992" s="20" t="inlineStr">
        <is>
          <t>None</t>
        </is>
      </c>
      <c r="BN992" s="17" t="n"/>
      <c r="BO992" s="16" t="n"/>
      <c r="BP992" s="20" t="inlineStr">
        <is>
          <t>IC Kationen</t>
        </is>
      </c>
      <c r="BQ992" s="20" t="inlineStr">
        <is>
          <t>None</t>
        </is>
      </c>
      <c r="BR992" s="17" t="n"/>
      <c r="BS992" s="16" t="n"/>
      <c r="BT992" s="20" t="inlineStr">
        <is>
          <t>IC Kationen</t>
        </is>
      </c>
      <c r="BU992" s="20" t="inlineStr">
        <is>
          <t>None</t>
        </is>
      </c>
      <c r="BV992" s="17" t="n"/>
      <c r="BW992" s="16" t="n"/>
      <c r="BX992" s="20" t="n"/>
      <c r="BY992" s="20" t="inlineStr">
        <is>
          <t>None</t>
        </is>
      </c>
      <c r="BZ992" s="17" t="n"/>
      <c r="CA992" s="16" t="n"/>
      <c r="CB992" s="20" t="n"/>
      <c r="CC992" s="20" t="inlineStr">
        <is>
          <t>None</t>
        </is>
      </c>
      <c r="CD992" s="17" t="n"/>
      <c r="CE992" s="16" t="n"/>
      <c r="CF992" s="20" t="n"/>
      <c r="CG992" s="20" t="inlineStr">
        <is>
          <t>None</t>
        </is>
      </c>
      <c r="CH992" s="17" t="n"/>
      <c r="CI992" s="16" t="n"/>
      <c r="CJ992" s="20" t="n"/>
      <c r="CK992" s="20" t="inlineStr">
        <is>
          <t>None</t>
        </is>
      </c>
      <c r="CL992" s="17" t="n"/>
      <c r="CM992" s="16" t="n"/>
      <c r="CN992" s="20" t="inlineStr">
        <is>
          <t>SOP 45-34</t>
        </is>
      </c>
      <c r="CO992" s="20" t="inlineStr">
        <is>
          <t>None</t>
        </is>
      </c>
      <c r="CP992" s="17" t="n"/>
      <c r="CQ992" s="16" t="n"/>
      <c r="CR992" s="20" t="n"/>
      <c r="CS992" s="20" t="inlineStr">
        <is>
          <t>None</t>
        </is>
      </c>
      <c r="CT992" s="17" t="n"/>
      <c r="CU992" s="16" t="n"/>
      <c r="CV992" s="20" t="n"/>
      <c r="CW992" s="20" t="inlineStr">
        <is>
          <t>None</t>
        </is>
      </c>
      <c r="CX992" s="17" t="n"/>
      <c r="CY992" s="16" t="n"/>
      <c r="CZ992" s="20" t="inlineStr">
        <is>
          <t>WTW Multimeter 3430 with FDO 925</t>
        </is>
      </c>
      <c r="DA992" s="20" t="inlineStr">
        <is>
          <t>None</t>
        </is>
      </c>
      <c r="DB992" s="17" t="n"/>
      <c r="DC992" s="16" t="n"/>
      <c r="DD992" s="20" t="n"/>
      <c r="DE992" s="20" t="inlineStr">
        <is>
          <t>None</t>
        </is>
      </c>
      <c r="DF992" s="17" t="n"/>
      <c r="DG992" s="16" t="n"/>
      <c r="DH992" s="20" t="inlineStr">
        <is>
          <t>SOP 45-09</t>
        </is>
      </c>
      <c r="DI992" s="20" t="inlineStr">
        <is>
          <t>None</t>
        </is>
      </c>
      <c r="DJ992" s="17" t="n"/>
      <c r="DK992" s="16" t="n"/>
      <c r="DL992" s="20" t="inlineStr">
        <is>
          <t>SOP 45-09 (SOP muss noch angepasst werden für VSS)</t>
        </is>
      </c>
      <c r="DM992" s="20" t="inlineStr">
        <is>
          <t>None</t>
        </is>
      </c>
      <c r="DN992" s="17" t="n"/>
      <c r="DO992" s="16" t="n"/>
      <c r="DP992" s="20" t="inlineStr">
        <is>
          <t>IC Organic Acids</t>
        </is>
      </c>
      <c r="DQ992" s="20" t="inlineStr">
        <is>
          <t>None</t>
        </is>
      </c>
      <c r="DR992" s="17" t="n"/>
      <c r="DS992" s="16" t="n"/>
      <c r="DT992" s="20" t="inlineStr">
        <is>
          <t>IC Organic Acids</t>
        </is>
      </c>
      <c r="DU992" s="20" t="inlineStr">
        <is>
          <t>None</t>
        </is>
      </c>
      <c r="DV992" s="17" t="n"/>
      <c r="DW992" s="16" t="n"/>
      <c r="DX992" s="20" t="inlineStr">
        <is>
          <t>IC Organic Acids</t>
        </is>
      </c>
      <c r="DY992" s="20" t="inlineStr">
        <is>
          <t>None</t>
        </is>
      </c>
      <c r="DZ992" s="17" t="n"/>
      <c r="EA992" s="16" t="n"/>
      <c r="EB992" s="20" t="inlineStr">
        <is>
          <t>IC Organic Acids</t>
        </is>
      </c>
      <c r="EC992" s="20" t="inlineStr">
        <is>
          <t>None</t>
        </is>
      </c>
      <c r="ED992" s="17" t="n"/>
      <c r="EE992" s="16" t="n"/>
      <c r="EF992" s="20" t="inlineStr">
        <is>
          <t>IC Organic Acids</t>
        </is>
      </c>
      <c r="EG992" s="20" t="inlineStr">
        <is>
          <t>None</t>
        </is>
      </c>
      <c r="EH992" s="17" t="n"/>
      <c r="EI992" s="16" t="n"/>
      <c r="EJ992" s="20" t="inlineStr">
        <is>
          <t>IC Organic Acids</t>
        </is>
      </c>
      <c r="EK992" s="20" t="inlineStr">
        <is>
          <t>None</t>
        </is>
      </c>
      <c r="EL992" s="17" t="n"/>
      <c r="EM992" s="16" t="n"/>
      <c r="EN992" s="20" t="inlineStr">
        <is>
          <t>IC Organic Acids</t>
        </is>
      </c>
      <c r="EO992" s="20" t="inlineStr">
        <is>
          <t>None</t>
        </is>
      </c>
      <c r="EP992" s="17" t="n"/>
      <c r="EQ992" s="16" t="n"/>
      <c r="ER992" s="20" t="inlineStr">
        <is>
          <t>IC Organic Acids</t>
        </is>
      </c>
      <c r="ES992" s="20" t="inlineStr">
        <is>
          <t>None</t>
        </is>
      </c>
      <c r="ET992" s="17" t="n"/>
      <c r="EU992" s="16" t="n"/>
      <c r="EV992" s="20" t="inlineStr">
        <is>
          <t>LC-MS</t>
        </is>
      </c>
      <c r="EW992" s="20" t="inlineStr">
        <is>
          <t>None</t>
        </is>
      </c>
      <c r="EX992" s="17" t="n"/>
      <c r="EY992" s="21" t="n"/>
      <c r="EZ992">
        <f>CONCATENATE(A992,B992)</f>
        <v/>
      </c>
      <c r="FA992">
        <f>CONCATENATE(SamplesX!A992,SamplesX!B992)</f>
        <v/>
      </c>
      <c r="FC992">
        <f>MATCH(EZ992,FA1:FA1008,0)</f>
        <v/>
      </c>
    </row>
    <row r="993">
      <c r="A993" s="16" t="n"/>
      <c r="B993" s="17" t="n"/>
      <c r="C993" s="10">
        <f>IF(ISNUMBER(FC993),INDIRECT("SamplesX!C"&amp;FC993),IF(ISNUMBER(FD993),INDIRECT("SamplesY!C"&amp;FD993),""))</f>
        <v/>
      </c>
      <c r="D993" s="12">
        <f>IF(ISNUMBER(FC993),INDIRECT("SamplesX!D"&amp;FC993),IF(ISNUMBER(FD993),INDIRECT("SamplesY!D"&amp;FD993),""))</f>
        <v/>
      </c>
      <c r="E993" s="12">
        <f>IF(ISNUMBER(FC993),INDIRECT("SamplesX!E"&amp;FC993),IF(ISNUMBER(FD993),INDIRECT("SamplesY!E"&amp;FD993),""))</f>
        <v/>
      </c>
      <c r="F993" s="11">
        <f>IF(ISNUMBER(FC993),INDIRECT("SamplesX!F"&amp;FC993),IF(ISNUMBER(FD993),INDIRECT("SamplesY!F"&amp;FD993),""))</f>
        <v/>
      </c>
      <c r="G993" s="18">
        <f>IF(ISNUMBER(FC993),INDIRECT("SamplesX!G"&amp;FC993),IF(ISNUMBER(FD993),INDIRECT("SamplesY!G"&amp;FD993),""))</f>
        <v/>
      </c>
      <c r="H993" s="19">
        <f>IF(ISNUMBER(FC993),INDIRECT("SamplesX!H"&amp;FC993),IF(ISNUMBER(FD993),INDIRECT("SamplesY!H"&amp;FD993),""))</f>
        <v/>
      </c>
      <c r="I993" s="16" t="n"/>
      <c r="J993" s="16" t="n"/>
      <c r="K993" s="16" t="n"/>
      <c r="L993" s="20" t="n"/>
      <c r="M993" s="20" t="inlineStr">
        <is>
          <t>None</t>
        </is>
      </c>
      <c r="N993" s="17" t="n"/>
      <c r="O993" s="16" t="n"/>
      <c r="P993" s="20" t="inlineStr">
        <is>
          <t>Shimadzu TOC-L</t>
        </is>
      </c>
      <c r="Q993" s="20" t="inlineStr">
        <is>
          <t>None</t>
        </is>
      </c>
      <c r="R993" s="17" t="n"/>
      <c r="S993" s="16" t="n"/>
      <c r="T993" s="20" t="inlineStr">
        <is>
          <t>Shimadzu TOC-L</t>
        </is>
      </c>
      <c r="U993" s="20" t="inlineStr">
        <is>
          <t>None</t>
        </is>
      </c>
      <c r="V993" s="17" t="n"/>
      <c r="W993" s="16" t="n"/>
      <c r="X993" s="20" t="n"/>
      <c r="Y993" s="20" t="inlineStr">
        <is>
          <t>None</t>
        </is>
      </c>
      <c r="Z993" s="17" t="n"/>
      <c r="AA993" s="16" t="n"/>
      <c r="AB993" s="20" t="n"/>
      <c r="AC993" s="20" t="inlineStr">
        <is>
          <t>None</t>
        </is>
      </c>
      <c r="AD993" s="17" t="n"/>
      <c r="AE993" s="16" t="n"/>
      <c r="AF993" s="20" t="inlineStr">
        <is>
          <t>IC Anionen</t>
        </is>
      </c>
      <c r="AG993" s="20" t="inlineStr">
        <is>
          <t>None</t>
        </is>
      </c>
      <c r="AH993" s="17" t="n"/>
      <c r="AI993" s="16" t="n"/>
      <c r="AJ993" s="20" t="n"/>
      <c r="AK993" s="20" t="inlineStr">
        <is>
          <t>None</t>
        </is>
      </c>
      <c r="AL993" s="17" t="n"/>
      <c r="AM993" s="16" t="n"/>
      <c r="AN993" s="20" t="inlineStr">
        <is>
          <t>IC Anionen</t>
        </is>
      </c>
      <c r="AO993" s="20" t="inlineStr">
        <is>
          <t>None</t>
        </is>
      </c>
      <c r="AP993" s="17" t="n"/>
      <c r="AQ993" s="16" t="n"/>
      <c r="AR993" s="20" t="n"/>
      <c r="AS993" s="20" t="inlineStr">
        <is>
          <t>None</t>
        </is>
      </c>
      <c r="AT993" s="17" t="n"/>
      <c r="AU993" s="16" t="n"/>
      <c r="AV993" s="20" t="n"/>
      <c r="AW993" s="20" t="inlineStr">
        <is>
          <t>None</t>
        </is>
      </c>
      <c r="AX993" s="17" t="n"/>
      <c r="AY993" s="16" t="n"/>
      <c r="AZ993" s="20" t="inlineStr">
        <is>
          <t>IC Anionen</t>
        </is>
      </c>
      <c r="BA993" s="20" t="inlineStr">
        <is>
          <t>None</t>
        </is>
      </c>
      <c r="BB993" s="17" t="n"/>
      <c r="BC993" s="16" t="n"/>
      <c r="BD993" s="20" t="inlineStr">
        <is>
          <t>IC Kationen</t>
        </is>
      </c>
      <c r="BE993" s="20" t="inlineStr">
        <is>
          <t>None</t>
        </is>
      </c>
      <c r="BF993" s="17" t="n"/>
      <c r="BG993" s="16" t="n"/>
      <c r="BH993" s="20" t="inlineStr">
        <is>
          <t>IC Kationen</t>
        </is>
      </c>
      <c r="BI993" s="20" t="inlineStr">
        <is>
          <t>None</t>
        </is>
      </c>
      <c r="BJ993" s="17" t="n"/>
      <c r="BK993" s="16" t="n"/>
      <c r="BL993" s="20" t="inlineStr">
        <is>
          <t>IC Kationen</t>
        </is>
      </c>
      <c r="BM993" s="20" t="inlineStr">
        <is>
          <t>None</t>
        </is>
      </c>
      <c r="BN993" s="17" t="n"/>
      <c r="BO993" s="16" t="n"/>
      <c r="BP993" s="20" t="inlineStr">
        <is>
          <t>IC Kationen</t>
        </is>
      </c>
      <c r="BQ993" s="20" t="inlineStr">
        <is>
          <t>None</t>
        </is>
      </c>
      <c r="BR993" s="17" t="n"/>
      <c r="BS993" s="16" t="n"/>
      <c r="BT993" s="20" t="inlineStr">
        <is>
          <t>IC Kationen</t>
        </is>
      </c>
      <c r="BU993" s="20" t="inlineStr">
        <is>
          <t>None</t>
        </is>
      </c>
      <c r="BV993" s="17" t="n"/>
      <c r="BW993" s="16" t="n"/>
      <c r="BX993" s="20" t="n"/>
      <c r="BY993" s="20" t="inlineStr">
        <is>
          <t>None</t>
        </is>
      </c>
      <c r="BZ993" s="17" t="n"/>
      <c r="CA993" s="16" t="n"/>
      <c r="CB993" s="20" t="n"/>
      <c r="CC993" s="20" t="inlineStr">
        <is>
          <t>None</t>
        </is>
      </c>
      <c r="CD993" s="17" t="n"/>
      <c r="CE993" s="16" t="n"/>
      <c r="CF993" s="20" t="n"/>
      <c r="CG993" s="20" t="inlineStr">
        <is>
          <t>None</t>
        </is>
      </c>
      <c r="CH993" s="17" t="n"/>
      <c r="CI993" s="16" t="n"/>
      <c r="CJ993" s="20" t="n"/>
      <c r="CK993" s="20" t="inlineStr">
        <is>
          <t>None</t>
        </is>
      </c>
      <c r="CL993" s="17" t="n"/>
      <c r="CM993" s="16" t="n"/>
      <c r="CN993" s="20" t="inlineStr">
        <is>
          <t>SOP 45-34</t>
        </is>
      </c>
      <c r="CO993" s="20" t="inlineStr">
        <is>
          <t>None</t>
        </is>
      </c>
      <c r="CP993" s="17" t="n"/>
      <c r="CQ993" s="16" t="n"/>
      <c r="CR993" s="20" t="n"/>
      <c r="CS993" s="20" t="inlineStr">
        <is>
          <t>None</t>
        </is>
      </c>
      <c r="CT993" s="17" t="n"/>
      <c r="CU993" s="16" t="n"/>
      <c r="CV993" s="20" t="n"/>
      <c r="CW993" s="20" t="inlineStr">
        <is>
          <t>None</t>
        </is>
      </c>
      <c r="CX993" s="17" t="n"/>
      <c r="CY993" s="16" t="n"/>
      <c r="CZ993" s="20" t="inlineStr">
        <is>
          <t>WTW Multimeter 3430 with FDO 925</t>
        </is>
      </c>
      <c r="DA993" s="20" t="inlineStr">
        <is>
          <t>None</t>
        </is>
      </c>
      <c r="DB993" s="17" t="n"/>
      <c r="DC993" s="16" t="n"/>
      <c r="DD993" s="20" t="n"/>
      <c r="DE993" s="20" t="inlineStr">
        <is>
          <t>None</t>
        </is>
      </c>
      <c r="DF993" s="17" t="n"/>
      <c r="DG993" s="16" t="n"/>
      <c r="DH993" s="20" t="inlineStr">
        <is>
          <t>SOP 45-09</t>
        </is>
      </c>
      <c r="DI993" s="20" t="inlineStr">
        <is>
          <t>None</t>
        </is>
      </c>
      <c r="DJ993" s="17" t="n"/>
      <c r="DK993" s="16" t="n"/>
      <c r="DL993" s="20" t="inlineStr">
        <is>
          <t>SOP 45-09 (SOP muss noch angepasst werden für VSS)</t>
        </is>
      </c>
      <c r="DM993" s="20" t="inlineStr">
        <is>
          <t>None</t>
        </is>
      </c>
      <c r="DN993" s="17" t="n"/>
      <c r="DO993" s="16" t="n"/>
      <c r="DP993" s="20" t="inlineStr">
        <is>
          <t>IC Organic Acids</t>
        </is>
      </c>
      <c r="DQ993" s="20" t="inlineStr">
        <is>
          <t>None</t>
        </is>
      </c>
      <c r="DR993" s="17" t="n"/>
      <c r="DS993" s="16" t="n"/>
      <c r="DT993" s="20" t="inlineStr">
        <is>
          <t>IC Organic Acids</t>
        </is>
      </c>
      <c r="DU993" s="20" t="inlineStr">
        <is>
          <t>None</t>
        </is>
      </c>
      <c r="DV993" s="17" t="n"/>
      <c r="DW993" s="16" t="n"/>
      <c r="DX993" s="20" t="inlineStr">
        <is>
          <t>IC Organic Acids</t>
        </is>
      </c>
      <c r="DY993" s="20" t="inlineStr">
        <is>
          <t>None</t>
        </is>
      </c>
      <c r="DZ993" s="17" t="n"/>
      <c r="EA993" s="16" t="n"/>
      <c r="EB993" s="20" t="inlineStr">
        <is>
          <t>IC Organic Acids</t>
        </is>
      </c>
      <c r="EC993" s="20" t="inlineStr">
        <is>
          <t>None</t>
        </is>
      </c>
      <c r="ED993" s="17" t="n"/>
      <c r="EE993" s="16" t="n"/>
      <c r="EF993" s="20" t="inlineStr">
        <is>
          <t>IC Organic Acids</t>
        </is>
      </c>
      <c r="EG993" s="20" t="inlineStr">
        <is>
          <t>None</t>
        </is>
      </c>
      <c r="EH993" s="17" t="n"/>
      <c r="EI993" s="16" t="n"/>
      <c r="EJ993" s="20" t="inlineStr">
        <is>
          <t>IC Organic Acids</t>
        </is>
      </c>
      <c r="EK993" s="20" t="inlineStr">
        <is>
          <t>None</t>
        </is>
      </c>
      <c r="EL993" s="17" t="n"/>
      <c r="EM993" s="16" t="n"/>
      <c r="EN993" s="20" t="inlineStr">
        <is>
          <t>IC Organic Acids</t>
        </is>
      </c>
      <c r="EO993" s="20" t="inlineStr">
        <is>
          <t>None</t>
        </is>
      </c>
      <c r="EP993" s="17" t="n"/>
      <c r="EQ993" s="16" t="n"/>
      <c r="ER993" s="20" t="inlineStr">
        <is>
          <t>IC Organic Acids</t>
        </is>
      </c>
      <c r="ES993" s="20" t="inlineStr">
        <is>
          <t>None</t>
        </is>
      </c>
      <c r="ET993" s="17" t="n"/>
      <c r="EU993" s="16" t="n"/>
      <c r="EV993" s="20" t="inlineStr">
        <is>
          <t>LC-MS</t>
        </is>
      </c>
      <c r="EW993" s="20" t="inlineStr">
        <is>
          <t>None</t>
        </is>
      </c>
      <c r="EX993" s="17" t="n"/>
      <c r="EY993" s="21" t="n"/>
      <c r="EZ993">
        <f>CONCATENATE(A993,B993)</f>
        <v/>
      </c>
      <c r="FA993">
        <f>CONCATENATE(SamplesX!A993,SamplesX!B993)</f>
        <v/>
      </c>
      <c r="FC993">
        <f>MATCH(EZ993,FA1:FA1008,0)</f>
        <v/>
      </c>
    </row>
    <row r="994">
      <c r="A994" s="16" t="n"/>
      <c r="B994" s="17" t="n"/>
      <c r="C994" s="10">
        <f>IF(ISNUMBER(FC994),INDIRECT("SamplesX!C"&amp;FC994),IF(ISNUMBER(FD994),INDIRECT("SamplesY!C"&amp;FD994),""))</f>
        <v/>
      </c>
      <c r="D994" s="12">
        <f>IF(ISNUMBER(FC994),INDIRECT("SamplesX!D"&amp;FC994),IF(ISNUMBER(FD994),INDIRECT("SamplesY!D"&amp;FD994),""))</f>
        <v/>
      </c>
      <c r="E994" s="12">
        <f>IF(ISNUMBER(FC994),INDIRECT("SamplesX!E"&amp;FC994),IF(ISNUMBER(FD994),INDIRECT("SamplesY!E"&amp;FD994),""))</f>
        <v/>
      </c>
      <c r="F994" s="11">
        <f>IF(ISNUMBER(FC994),INDIRECT("SamplesX!F"&amp;FC994),IF(ISNUMBER(FD994),INDIRECT("SamplesY!F"&amp;FD994),""))</f>
        <v/>
      </c>
      <c r="G994" s="18">
        <f>IF(ISNUMBER(FC994),INDIRECT("SamplesX!G"&amp;FC994),IF(ISNUMBER(FD994),INDIRECT("SamplesY!G"&amp;FD994),""))</f>
        <v/>
      </c>
      <c r="H994" s="19">
        <f>IF(ISNUMBER(FC994),INDIRECT("SamplesX!H"&amp;FC994),IF(ISNUMBER(FD994),INDIRECT("SamplesY!H"&amp;FD994),""))</f>
        <v/>
      </c>
      <c r="I994" s="16" t="n"/>
      <c r="J994" s="16" t="n"/>
      <c r="K994" s="16" t="n"/>
      <c r="L994" s="20" t="n"/>
      <c r="M994" s="20" t="inlineStr">
        <is>
          <t>None</t>
        </is>
      </c>
      <c r="N994" s="17" t="n"/>
      <c r="O994" s="16" t="n"/>
      <c r="P994" s="20" t="inlineStr">
        <is>
          <t>Shimadzu TOC-L</t>
        </is>
      </c>
      <c r="Q994" s="20" t="inlineStr">
        <is>
          <t>None</t>
        </is>
      </c>
      <c r="R994" s="17" t="n"/>
      <c r="S994" s="16" t="n"/>
      <c r="T994" s="20" t="inlineStr">
        <is>
          <t>Shimadzu TOC-L</t>
        </is>
      </c>
      <c r="U994" s="20" t="inlineStr">
        <is>
          <t>None</t>
        </is>
      </c>
      <c r="V994" s="17" t="n"/>
      <c r="W994" s="16" t="n"/>
      <c r="X994" s="20" t="n"/>
      <c r="Y994" s="20" t="inlineStr">
        <is>
          <t>None</t>
        </is>
      </c>
      <c r="Z994" s="17" t="n"/>
      <c r="AA994" s="16" t="n"/>
      <c r="AB994" s="20" t="n"/>
      <c r="AC994" s="20" t="inlineStr">
        <is>
          <t>None</t>
        </is>
      </c>
      <c r="AD994" s="17" t="n"/>
      <c r="AE994" s="16" t="n"/>
      <c r="AF994" s="20" t="inlineStr">
        <is>
          <t>IC Anionen</t>
        </is>
      </c>
      <c r="AG994" s="20" t="inlineStr">
        <is>
          <t>None</t>
        </is>
      </c>
      <c r="AH994" s="17" t="n"/>
      <c r="AI994" s="16" t="n"/>
      <c r="AJ994" s="20" t="n"/>
      <c r="AK994" s="20" t="inlineStr">
        <is>
          <t>None</t>
        </is>
      </c>
      <c r="AL994" s="17" t="n"/>
      <c r="AM994" s="16" t="n"/>
      <c r="AN994" s="20" t="inlineStr">
        <is>
          <t>IC Anionen</t>
        </is>
      </c>
      <c r="AO994" s="20" t="inlineStr">
        <is>
          <t>None</t>
        </is>
      </c>
      <c r="AP994" s="17" t="n"/>
      <c r="AQ994" s="16" t="n"/>
      <c r="AR994" s="20" t="n"/>
      <c r="AS994" s="20" t="inlineStr">
        <is>
          <t>None</t>
        </is>
      </c>
      <c r="AT994" s="17" t="n"/>
      <c r="AU994" s="16" t="n"/>
      <c r="AV994" s="20" t="n"/>
      <c r="AW994" s="20" t="inlineStr">
        <is>
          <t>None</t>
        </is>
      </c>
      <c r="AX994" s="17" t="n"/>
      <c r="AY994" s="16" t="n"/>
      <c r="AZ994" s="20" t="inlineStr">
        <is>
          <t>IC Anionen</t>
        </is>
      </c>
      <c r="BA994" s="20" t="inlineStr">
        <is>
          <t>None</t>
        </is>
      </c>
      <c r="BB994" s="17" t="n"/>
      <c r="BC994" s="16" t="n"/>
      <c r="BD994" s="20" t="inlineStr">
        <is>
          <t>IC Kationen</t>
        </is>
      </c>
      <c r="BE994" s="20" t="inlineStr">
        <is>
          <t>None</t>
        </is>
      </c>
      <c r="BF994" s="17" t="n"/>
      <c r="BG994" s="16" t="n"/>
      <c r="BH994" s="20" t="inlineStr">
        <is>
          <t>IC Kationen</t>
        </is>
      </c>
      <c r="BI994" s="20" t="inlineStr">
        <is>
          <t>None</t>
        </is>
      </c>
      <c r="BJ994" s="17" t="n"/>
      <c r="BK994" s="16" t="n"/>
      <c r="BL994" s="20" t="inlineStr">
        <is>
          <t>IC Kationen</t>
        </is>
      </c>
      <c r="BM994" s="20" t="inlineStr">
        <is>
          <t>None</t>
        </is>
      </c>
      <c r="BN994" s="17" t="n"/>
      <c r="BO994" s="16" t="n"/>
      <c r="BP994" s="20" t="inlineStr">
        <is>
          <t>IC Kationen</t>
        </is>
      </c>
      <c r="BQ994" s="20" t="inlineStr">
        <is>
          <t>None</t>
        </is>
      </c>
      <c r="BR994" s="17" t="n"/>
      <c r="BS994" s="16" t="n"/>
      <c r="BT994" s="20" t="inlineStr">
        <is>
          <t>IC Kationen</t>
        </is>
      </c>
      <c r="BU994" s="20" t="inlineStr">
        <is>
          <t>None</t>
        </is>
      </c>
      <c r="BV994" s="17" t="n"/>
      <c r="BW994" s="16" t="n"/>
      <c r="BX994" s="20" t="n"/>
      <c r="BY994" s="20" t="inlineStr">
        <is>
          <t>None</t>
        </is>
      </c>
      <c r="BZ994" s="17" t="n"/>
      <c r="CA994" s="16" t="n"/>
      <c r="CB994" s="20" t="n"/>
      <c r="CC994" s="20" t="inlineStr">
        <is>
          <t>None</t>
        </is>
      </c>
      <c r="CD994" s="17" t="n"/>
      <c r="CE994" s="16" t="n"/>
      <c r="CF994" s="20" t="n"/>
      <c r="CG994" s="20" t="inlineStr">
        <is>
          <t>None</t>
        </is>
      </c>
      <c r="CH994" s="17" t="n"/>
      <c r="CI994" s="16" t="n"/>
      <c r="CJ994" s="20" t="n"/>
      <c r="CK994" s="20" t="inlineStr">
        <is>
          <t>None</t>
        </is>
      </c>
      <c r="CL994" s="17" t="n"/>
      <c r="CM994" s="16" t="n"/>
      <c r="CN994" s="20" t="inlineStr">
        <is>
          <t>SOP 45-34</t>
        </is>
      </c>
      <c r="CO994" s="20" t="inlineStr">
        <is>
          <t>None</t>
        </is>
      </c>
      <c r="CP994" s="17" t="n"/>
      <c r="CQ994" s="16" t="n"/>
      <c r="CR994" s="20" t="n"/>
      <c r="CS994" s="20" t="inlineStr">
        <is>
          <t>None</t>
        </is>
      </c>
      <c r="CT994" s="17" t="n"/>
      <c r="CU994" s="16" t="n"/>
      <c r="CV994" s="20" t="n"/>
      <c r="CW994" s="20" t="inlineStr">
        <is>
          <t>None</t>
        </is>
      </c>
      <c r="CX994" s="17" t="n"/>
      <c r="CY994" s="16" t="n"/>
      <c r="CZ994" s="20" t="inlineStr">
        <is>
          <t>WTW Multimeter 3430 with FDO 925</t>
        </is>
      </c>
      <c r="DA994" s="20" t="inlineStr">
        <is>
          <t>None</t>
        </is>
      </c>
      <c r="DB994" s="17" t="n"/>
      <c r="DC994" s="16" t="n"/>
      <c r="DD994" s="20" t="n"/>
      <c r="DE994" s="20" t="inlineStr">
        <is>
          <t>None</t>
        </is>
      </c>
      <c r="DF994" s="17" t="n"/>
      <c r="DG994" s="16" t="n"/>
      <c r="DH994" s="20" t="inlineStr">
        <is>
          <t>SOP 45-09</t>
        </is>
      </c>
      <c r="DI994" s="20" t="inlineStr">
        <is>
          <t>None</t>
        </is>
      </c>
      <c r="DJ994" s="17" t="n"/>
      <c r="DK994" s="16" t="n"/>
      <c r="DL994" s="20" t="inlineStr">
        <is>
          <t>SOP 45-09 (SOP muss noch angepasst werden für VSS)</t>
        </is>
      </c>
      <c r="DM994" s="20" t="inlineStr">
        <is>
          <t>None</t>
        </is>
      </c>
      <c r="DN994" s="17" t="n"/>
      <c r="DO994" s="16" t="n"/>
      <c r="DP994" s="20" t="inlineStr">
        <is>
          <t>IC Organic Acids</t>
        </is>
      </c>
      <c r="DQ994" s="20" t="inlineStr">
        <is>
          <t>None</t>
        </is>
      </c>
      <c r="DR994" s="17" t="n"/>
      <c r="DS994" s="16" t="n"/>
      <c r="DT994" s="20" t="inlineStr">
        <is>
          <t>IC Organic Acids</t>
        </is>
      </c>
      <c r="DU994" s="20" t="inlineStr">
        <is>
          <t>None</t>
        </is>
      </c>
      <c r="DV994" s="17" t="n"/>
      <c r="DW994" s="16" t="n"/>
      <c r="DX994" s="20" t="inlineStr">
        <is>
          <t>IC Organic Acids</t>
        </is>
      </c>
      <c r="DY994" s="20" t="inlineStr">
        <is>
          <t>None</t>
        </is>
      </c>
      <c r="DZ994" s="17" t="n"/>
      <c r="EA994" s="16" t="n"/>
      <c r="EB994" s="20" t="inlineStr">
        <is>
          <t>IC Organic Acids</t>
        </is>
      </c>
      <c r="EC994" s="20" t="inlineStr">
        <is>
          <t>None</t>
        </is>
      </c>
      <c r="ED994" s="17" t="n"/>
      <c r="EE994" s="16" t="n"/>
      <c r="EF994" s="20" t="inlineStr">
        <is>
          <t>IC Organic Acids</t>
        </is>
      </c>
      <c r="EG994" s="20" t="inlineStr">
        <is>
          <t>None</t>
        </is>
      </c>
      <c r="EH994" s="17" t="n"/>
      <c r="EI994" s="16" t="n"/>
      <c r="EJ994" s="20" t="inlineStr">
        <is>
          <t>IC Organic Acids</t>
        </is>
      </c>
      <c r="EK994" s="20" t="inlineStr">
        <is>
          <t>None</t>
        </is>
      </c>
      <c r="EL994" s="17" t="n"/>
      <c r="EM994" s="16" t="n"/>
      <c r="EN994" s="20" t="inlineStr">
        <is>
          <t>IC Organic Acids</t>
        </is>
      </c>
      <c r="EO994" s="20" t="inlineStr">
        <is>
          <t>None</t>
        </is>
      </c>
      <c r="EP994" s="17" t="n"/>
      <c r="EQ994" s="16" t="n"/>
      <c r="ER994" s="20" t="inlineStr">
        <is>
          <t>IC Organic Acids</t>
        </is>
      </c>
      <c r="ES994" s="20" t="inlineStr">
        <is>
          <t>None</t>
        </is>
      </c>
      <c r="ET994" s="17" t="n"/>
      <c r="EU994" s="16" t="n"/>
      <c r="EV994" s="20" t="inlineStr">
        <is>
          <t>LC-MS</t>
        </is>
      </c>
      <c r="EW994" s="20" t="inlineStr">
        <is>
          <t>None</t>
        </is>
      </c>
      <c r="EX994" s="17" t="n"/>
      <c r="EY994" s="21" t="n"/>
      <c r="EZ994">
        <f>CONCATENATE(A994,B994)</f>
        <v/>
      </c>
      <c r="FA994">
        <f>CONCATENATE(SamplesX!A994,SamplesX!B994)</f>
        <v/>
      </c>
      <c r="FC994">
        <f>MATCH(EZ994,FA1:FA1008,0)</f>
        <v/>
      </c>
    </row>
    <row r="995">
      <c r="A995" s="16" t="n"/>
      <c r="B995" s="17" t="n"/>
      <c r="C995" s="10">
        <f>IF(ISNUMBER(FC995),INDIRECT("SamplesX!C"&amp;FC995),IF(ISNUMBER(FD995),INDIRECT("SamplesY!C"&amp;FD995),""))</f>
        <v/>
      </c>
      <c r="D995" s="12">
        <f>IF(ISNUMBER(FC995),INDIRECT("SamplesX!D"&amp;FC995),IF(ISNUMBER(FD995),INDIRECT("SamplesY!D"&amp;FD995),""))</f>
        <v/>
      </c>
      <c r="E995" s="12">
        <f>IF(ISNUMBER(FC995),INDIRECT("SamplesX!E"&amp;FC995),IF(ISNUMBER(FD995),INDIRECT("SamplesY!E"&amp;FD995),""))</f>
        <v/>
      </c>
      <c r="F995" s="11">
        <f>IF(ISNUMBER(FC995),INDIRECT("SamplesX!F"&amp;FC995),IF(ISNUMBER(FD995),INDIRECT("SamplesY!F"&amp;FD995),""))</f>
        <v/>
      </c>
      <c r="G995" s="18">
        <f>IF(ISNUMBER(FC995),INDIRECT("SamplesX!G"&amp;FC995),IF(ISNUMBER(FD995),INDIRECT("SamplesY!G"&amp;FD995),""))</f>
        <v/>
      </c>
      <c r="H995" s="19">
        <f>IF(ISNUMBER(FC995),INDIRECT("SamplesX!H"&amp;FC995),IF(ISNUMBER(FD995),INDIRECT("SamplesY!H"&amp;FD995),""))</f>
        <v/>
      </c>
      <c r="I995" s="16" t="n"/>
      <c r="J995" s="16" t="n"/>
      <c r="K995" s="16" t="n"/>
      <c r="L995" s="20" t="n"/>
      <c r="M995" s="20" t="inlineStr">
        <is>
          <t>None</t>
        </is>
      </c>
      <c r="N995" s="17" t="n"/>
      <c r="O995" s="16" t="n"/>
      <c r="P995" s="20" t="inlineStr">
        <is>
          <t>Shimadzu TOC-L</t>
        </is>
      </c>
      <c r="Q995" s="20" t="inlineStr">
        <is>
          <t>None</t>
        </is>
      </c>
      <c r="R995" s="17" t="n"/>
      <c r="S995" s="16" t="n"/>
      <c r="T995" s="20" t="inlineStr">
        <is>
          <t>Shimadzu TOC-L</t>
        </is>
      </c>
      <c r="U995" s="20" t="inlineStr">
        <is>
          <t>None</t>
        </is>
      </c>
      <c r="V995" s="17" t="n"/>
      <c r="W995" s="16" t="n"/>
      <c r="X995" s="20" t="n"/>
      <c r="Y995" s="20" t="inlineStr">
        <is>
          <t>None</t>
        </is>
      </c>
      <c r="Z995" s="17" t="n"/>
      <c r="AA995" s="16" t="n"/>
      <c r="AB995" s="20" t="n"/>
      <c r="AC995" s="20" t="inlineStr">
        <is>
          <t>None</t>
        </is>
      </c>
      <c r="AD995" s="17" t="n"/>
      <c r="AE995" s="16" t="n"/>
      <c r="AF995" s="20" t="inlineStr">
        <is>
          <t>IC Anionen</t>
        </is>
      </c>
      <c r="AG995" s="20" t="inlineStr">
        <is>
          <t>None</t>
        </is>
      </c>
      <c r="AH995" s="17" t="n"/>
      <c r="AI995" s="16" t="n"/>
      <c r="AJ995" s="20" t="n"/>
      <c r="AK995" s="20" t="inlineStr">
        <is>
          <t>None</t>
        </is>
      </c>
      <c r="AL995" s="17" t="n"/>
      <c r="AM995" s="16" t="n"/>
      <c r="AN995" s="20" t="inlineStr">
        <is>
          <t>IC Anionen</t>
        </is>
      </c>
      <c r="AO995" s="20" t="inlineStr">
        <is>
          <t>None</t>
        </is>
      </c>
      <c r="AP995" s="17" t="n"/>
      <c r="AQ995" s="16" t="n"/>
      <c r="AR995" s="20" t="n"/>
      <c r="AS995" s="20" t="inlineStr">
        <is>
          <t>None</t>
        </is>
      </c>
      <c r="AT995" s="17" t="n"/>
      <c r="AU995" s="16" t="n"/>
      <c r="AV995" s="20" t="n"/>
      <c r="AW995" s="20" t="inlineStr">
        <is>
          <t>None</t>
        </is>
      </c>
      <c r="AX995" s="17" t="n"/>
      <c r="AY995" s="16" t="n"/>
      <c r="AZ995" s="20" t="inlineStr">
        <is>
          <t>IC Anionen</t>
        </is>
      </c>
      <c r="BA995" s="20" t="inlineStr">
        <is>
          <t>None</t>
        </is>
      </c>
      <c r="BB995" s="17" t="n"/>
      <c r="BC995" s="16" t="n"/>
      <c r="BD995" s="20" t="inlineStr">
        <is>
          <t>IC Kationen</t>
        </is>
      </c>
      <c r="BE995" s="20" t="inlineStr">
        <is>
          <t>None</t>
        </is>
      </c>
      <c r="BF995" s="17" t="n"/>
      <c r="BG995" s="16" t="n"/>
      <c r="BH995" s="20" t="inlineStr">
        <is>
          <t>IC Kationen</t>
        </is>
      </c>
      <c r="BI995" s="20" t="inlineStr">
        <is>
          <t>None</t>
        </is>
      </c>
      <c r="BJ995" s="17" t="n"/>
      <c r="BK995" s="16" t="n"/>
      <c r="BL995" s="20" t="inlineStr">
        <is>
          <t>IC Kationen</t>
        </is>
      </c>
      <c r="BM995" s="20" t="inlineStr">
        <is>
          <t>None</t>
        </is>
      </c>
      <c r="BN995" s="17" t="n"/>
      <c r="BO995" s="16" t="n"/>
      <c r="BP995" s="20" t="inlineStr">
        <is>
          <t>IC Kationen</t>
        </is>
      </c>
      <c r="BQ995" s="20" t="inlineStr">
        <is>
          <t>None</t>
        </is>
      </c>
      <c r="BR995" s="17" t="n"/>
      <c r="BS995" s="16" t="n"/>
      <c r="BT995" s="20" t="inlineStr">
        <is>
          <t>IC Kationen</t>
        </is>
      </c>
      <c r="BU995" s="20" t="inlineStr">
        <is>
          <t>None</t>
        </is>
      </c>
      <c r="BV995" s="17" t="n"/>
      <c r="BW995" s="16" t="n"/>
      <c r="BX995" s="20" t="n"/>
      <c r="BY995" s="20" t="inlineStr">
        <is>
          <t>None</t>
        </is>
      </c>
      <c r="BZ995" s="17" t="n"/>
      <c r="CA995" s="16" t="n"/>
      <c r="CB995" s="20" t="n"/>
      <c r="CC995" s="20" t="inlineStr">
        <is>
          <t>None</t>
        </is>
      </c>
      <c r="CD995" s="17" t="n"/>
      <c r="CE995" s="16" t="n"/>
      <c r="CF995" s="20" t="n"/>
      <c r="CG995" s="20" t="inlineStr">
        <is>
          <t>None</t>
        </is>
      </c>
      <c r="CH995" s="17" t="n"/>
      <c r="CI995" s="16" t="n"/>
      <c r="CJ995" s="20" t="n"/>
      <c r="CK995" s="20" t="inlineStr">
        <is>
          <t>None</t>
        </is>
      </c>
      <c r="CL995" s="17" t="n"/>
      <c r="CM995" s="16" t="n"/>
      <c r="CN995" s="20" t="inlineStr">
        <is>
          <t>SOP 45-34</t>
        </is>
      </c>
      <c r="CO995" s="20" t="inlineStr">
        <is>
          <t>None</t>
        </is>
      </c>
      <c r="CP995" s="17" t="n"/>
      <c r="CQ995" s="16" t="n"/>
      <c r="CR995" s="20" t="n"/>
      <c r="CS995" s="20" t="inlineStr">
        <is>
          <t>None</t>
        </is>
      </c>
      <c r="CT995" s="17" t="n"/>
      <c r="CU995" s="16" t="n"/>
      <c r="CV995" s="20" t="n"/>
      <c r="CW995" s="20" t="inlineStr">
        <is>
          <t>None</t>
        </is>
      </c>
      <c r="CX995" s="17" t="n"/>
      <c r="CY995" s="16" t="n"/>
      <c r="CZ995" s="20" t="inlineStr">
        <is>
          <t>WTW Multimeter 3430 with FDO 925</t>
        </is>
      </c>
      <c r="DA995" s="20" t="inlineStr">
        <is>
          <t>None</t>
        </is>
      </c>
      <c r="DB995" s="17" t="n"/>
      <c r="DC995" s="16" t="n"/>
      <c r="DD995" s="20" t="n"/>
      <c r="DE995" s="20" t="inlineStr">
        <is>
          <t>None</t>
        </is>
      </c>
      <c r="DF995" s="17" t="n"/>
      <c r="DG995" s="16" t="n"/>
      <c r="DH995" s="20" t="inlineStr">
        <is>
          <t>SOP 45-09</t>
        </is>
      </c>
      <c r="DI995" s="20" t="inlineStr">
        <is>
          <t>None</t>
        </is>
      </c>
      <c r="DJ995" s="17" t="n"/>
      <c r="DK995" s="16" t="n"/>
      <c r="DL995" s="20" t="inlineStr">
        <is>
          <t>SOP 45-09 (SOP muss noch angepasst werden für VSS)</t>
        </is>
      </c>
      <c r="DM995" s="20" t="inlineStr">
        <is>
          <t>None</t>
        </is>
      </c>
      <c r="DN995" s="17" t="n"/>
      <c r="DO995" s="16" t="n"/>
      <c r="DP995" s="20" t="inlineStr">
        <is>
          <t>IC Organic Acids</t>
        </is>
      </c>
      <c r="DQ995" s="20" t="inlineStr">
        <is>
          <t>None</t>
        </is>
      </c>
      <c r="DR995" s="17" t="n"/>
      <c r="DS995" s="16" t="n"/>
      <c r="DT995" s="20" t="inlineStr">
        <is>
          <t>IC Organic Acids</t>
        </is>
      </c>
      <c r="DU995" s="20" t="inlineStr">
        <is>
          <t>None</t>
        </is>
      </c>
      <c r="DV995" s="17" t="n"/>
      <c r="DW995" s="16" t="n"/>
      <c r="DX995" s="20" t="inlineStr">
        <is>
          <t>IC Organic Acids</t>
        </is>
      </c>
      <c r="DY995" s="20" t="inlineStr">
        <is>
          <t>None</t>
        </is>
      </c>
      <c r="DZ995" s="17" t="n"/>
      <c r="EA995" s="16" t="n"/>
      <c r="EB995" s="20" t="inlineStr">
        <is>
          <t>IC Organic Acids</t>
        </is>
      </c>
      <c r="EC995" s="20" t="inlineStr">
        <is>
          <t>None</t>
        </is>
      </c>
      <c r="ED995" s="17" t="n"/>
      <c r="EE995" s="16" t="n"/>
      <c r="EF995" s="20" t="inlineStr">
        <is>
          <t>IC Organic Acids</t>
        </is>
      </c>
      <c r="EG995" s="20" t="inlineStr">
        <is>
          <t>None</t>
        </is>
      </c>
      <c r="EH995" s="17" t="n"/>
      <c r="EI995" s="16" t="n"/>
      <c r="EJ995" s="20" t="inlineStr">
        <is>
          <t>IC Organic Acids</t>
        </is>
      </c>
      <c r="EK995" s="20" t="inlineStr">
        <is>
          <t>None</t>
        </is>
      </c>
      <c r="EL995" s="17" t="n"/>
      <c r="EM995" s="16" t="n"/>
      <c r="EN995" s="20" t="inlineStr">
        <is>
          <t>IC Organic Acids</t>
        </is>
      </c>
      <c r="EO995" s="20" t="inlineStr">
        <is>
          <t>None</t>
        </is>
      </c>
      <c r="EP995" s="17" t="n"/>
      <c r="EQ995" s="16" t="n"/>
      <c r="ER995" s="20" t="inlineStr">
        <is>
          <t>IC Organic Acids</t>
        </is>
      </c>
      <c r="ES995" s="20" t="inlineStr">
        <is>
          <t>None</t>
        </is>
      </c>
      <c r="ET995" s="17" t="n"/>
      <c r="EU995" s="16" t="n"/>
      <c r="EV995" s="20" t="inlineStr">
        <is>
          <t>LC-MS</t>
        </is>
      </c>
      <c r="EW995" s="20" t="inlineStr">
        <is>
          <t>None</t>
        </is>
      </c>
      <c r="EX995" s="17" t="n"/>
      <c r="EY995" s="21" t="n"/>
      <c r="EZ995">
        <f>CONCATENATE(A995,B995)</f>
        <v/>
      </c>
      <c r="FA995">
        <f>CONCATENATE(SamplesX!A995,SamplesX!B995)</f>
        <v/>
      </c>
      <c r="FC995">
        <f>MATCH(EZ995,FA1:FA1008,0)</f>
        <v/>
      </c>
    </row>
    <row r="996">
      <c r="A996" s="16" t="n"/>
      <c r="B996" s="17" t="n"/>
      <c r="C996" s="10">
        <f>IF(ISNUMBER(FC996),INDIRECT("SamplesX!C"&amp;FC996),IF(ISNUMBER(FD996),INDIRECT("SamplesY!C"&amp;FD996),""))</f>
        <v/>
      </c>
      <c r="D996" s="12">
        <f>IF(ISNUMBER(FC996),INDIRECT("SamplesX!D"&amp;FC996),IF(ISNUMBER(FD996),INDIRECT("SamplesY!D"&amp;FD996),""))</f>
        <v/>
      </c>
      <c r="E996" s="12">
        <f>IF(ISNUMBER(FC996),INDIRECT("SamplesX!E"&amp;FC996),IF(ISNUMBER(FD996),INDIRECT("SamplesY!E"&amp;FD996),""))</f>
        <v/>
      </c>
      <c r="F996" s="11">
        <f>IF(ISNUMBER(FC996),INDIRECT("SamplesX!F"&amp;FC996),IF(ISNUMBER(FD996),INDIRECT("SamplesY!F"&amp;FD996),""))</f>
        <v/>
      </c>
      <c r="G996" s="18">
        <f>IF(ISNUMBER(FC996),INDIRECT("SamplesX!G"&amp;FC996),IF(ISNUMBER(FD996),INDIRECT("SamplesY!G"&amp;FD996),""))</f>
        <v/>
      </c>
      <c r="H996" s="19">
        <f>IF(ISNUMBER(FC996),INDIRECT("SamplesX!H"&amp;FC996),IF(ISNUMBER(FD996),INDIRECT("SamplesY!H"&amp;FD996),""))</f>
        <v/>
      </c>
      <c r="I996" s="16" t="n"/>
      <c r="J996" s="16" t="n"/>
      <c r="K996" s="16" t="n"/>
      <c r="L996" s="20" t="n"/>
      <c r="M996" s="20" t="inlineStr">
        <is>
          <t>None</t>
        </is>
      </c>
      <c r="N996" s="17" t="n"/>
      <c r="O996" s="16" t="n"/>
      <c r="P996" s="20" t="inlineStr">
        <is>
          <t>Shimadzu TOC-L</t>
        </is>
      </c>
      <c r="Q996" s="20" t="inlineStr">
        <is>
          <t>None</t>
        </is>
      </c>
      <c r="R996" s="17" t="n"/>
      <c r="S996" s="16" t="n"/>
      <c r="T996" s="20" t="inlineStr">
        <is>
          <t>Shimadzu TOC-L</t>
        </is>
      </c>
      <c r="U996" s="20" t="inlineStr">
        <is>
          <t>None</t>
        </is>
      </c>
      <c r="V996" s="17" t="n"/>
      <c r="W996" s="16" t="n"/>
      <c r="X996" s="20" t="n"/>
      <c r="Y996" s="20" t="inlineStr">
        <is>
          <t>None</t>
        </is>
      </c>
      <c r="Z996" s="17" t="n"/>
      <c r="AA996" s="16" t="n"/>
      <c r="AB996" s="20" t="n"/>
      <c r="AC996" s="20" t="inlineStr">
        <is>
          <t>None</t>
        </is>
      </c>
      <c r="AD996" s="17" t="n"/>
      <c r="AE996" s="16" t="n"/>
      <c r="AF996" s="20" t="inlineStr">
        <is>
          <t>IC Anionen</t>
        </is>
      </c>
      <c r="AG996" s="20" t="inlineStr">
        <is>
          <t>None</t>
        </is>
      </c>
      <c r="AH996" s="17" t="n"/>
      <c r="AI996" s="16" t="n"/>
      <c r="AJ996" s="20" t="n"/>
      <c r="AK996" s="20" t="inlineStr">
        <is>
          <t>None</t>
        </is>
      </c>
      <c r="AL996" s="17" t="n"/>
      <c r="AM996" s="16" t="n"/>
      <c r="AN996" s="20" t="inlineStr">
        <is>
          <t>IC Anionen</t>
        </is>
      </c>
      <c r="AO996" s="20" t="inlineStr">
        <is>
          <t>None</t>
        </is>
      </c>
      <c r="AP996" s="17" t="n"/>
      <c r="AQ996" s="16" t="n"/>
      <c r="AR996" s="20" t="n"/>
      <c r="AS996" s="20" t="inlineStr">
        <is>
          <t>None</t>
        </is>
      </c>
      <c r="AT996" s="17" t="n"/>
      <c r="AU996" s="16" t="n"/>
      <c r="AV996" s="20" t="n"/>
      <c r="AW996" s="20" t="inlineStr">
        <is>
          <t>None</t>
        </is>
      </c>
      <c r="AX996" s="17" t="n"/>
      <c r="AY996" s="16" t="n"/>
      <c r="AZ996" s="20" t="inlineStr">
        <is>
          <t>IC Anionen</t>
        </is>
      </c>
      <c r="BA996" s="20" t="inlineStr">
        <is>
          <t>None</t>
        </is>
      </c>
      <c r="BB996" s="17" t="n"/>
      <c r="BC996" s="16" t="n"/>
      <c r="BD996" s="20" t="inlineStr">
        <is>
          <t>IC Kationen</t>
        </is>
      </c>
      <c r="BE996" s="20" t="inlineStr">
        <is>
          <t>None</t>
        </is>
      </c>
      <c r="BF996" s="17" t="n"/>
      <c r="BG996" s="16" t="n"/>
      <c r="BH996" s="20" t="inlineStr">
        <is>
          <t>IC Kationen</t>
        </is>
      </c>
      <c r="BI996" s="20" t="inlineStr">
        <is>
          <t>None</t>
        </is>
      </c>
      <c r="BJ996" s="17" t="n"/>
      <c r="BK996" s="16" t="n"/>
      <c r="BL996" s="20" t="inlineStr">
        <is>
          <t>IC Kationen</t>
        </is>
      </c>
      <c r="BM996" s="20" t="inlineStr">
        <is>
          <t>None</t>
        </is>
      </c>
      <c r="BN996" s="17" t="n"/>
      <c r="BO996" s="16" t="n"/>
      <c r="BP996" s="20" t="inlineStr">
        <is>
          <t>IC Kationen</t>
        </is>
      </c>
      <c r="BQ996" s="20" t="inlineStr">
        <is>
          <t>None</t>
        </is>
      </c>
      <c r="BR996" s="17" t="n"/>
      <c r="BS996" s="16" t="n"/>
      <c r="BT996" s="20" t="inlineStr">
        <is>
          <t>IC Kationen</t>
        </is>
      </c>
      <c r="BU996" s="20" t="inlineStr">
        <is>
          <t>None</t>
        </is>
      </c>
      <c r="BV996" s="17" t="n"/>
      <c r="BW996" s="16" t="n"/>
      <c r="BX996" s="20" t="n"/>
      <c r="BY996" s="20" t="inlineStr">
        <is>
          <t>None</t>
        </is>
      </c>
      <c r="BZ996" s="17" t="n"/>
      <c r="CA996" s="16" t="n"/>
      <c r="CB996" s="20" t="n"/>
      <c r="CC996" s="20" t="inlineStr">
        <is>
          <t>None</t>
        </is>
      </c>
      <c r="CD996" s="17" t="n"/>
      <c r="CE996" s="16" t="n"/>
      <c r="CF996" s="20" t="n"/>
      <c r="CG996" s="20" t="inlineStr">
        <is>
          <t>None</t>
        </is>
      </c>
      <c r="CH996" s="17" t="n"/>
      <c r="CI996" s="16" t="n"/>
      <c r="CJ996" s="20" t="n"/>
      <c r="CK996" s="20" t="inlineStr">
        <is>
          <t>None</t>
        </is>
      </c>
      <c r="CL996" s="17" t="n"/>
      <c r="CM996" s="16" t="n"/>
      <c r="CN996" s="20" t="inlineStr">
        <is>
          <t>SOP 45-34</t>
        </is>
      </c>
      <c r="CO996" s="20" t="inlineStr">
        <is>
          <t>None</t>
        </is>
      </c>
      <c r="CP996" s="17" t="n"/>
      <c r="CQ996" s="16" t="n"/>
      <c r="CR996" s="20" t="n"/>
      <c r="CS996" s="20" t="inlineStr">
        <is>
          <t>None</t>
        </is>
      </c>
      <c r="CT996" s="17" t="n"/>
      <c r="CU996" s="16" t="n"/>
      <c r="CV996" s="20" t="n"/>
      <c r="CW996" s="20" t="inlineStr">
        <is>
          <t>None</t>
        </is>
      </c>
      <c r="CX996" s="17" t="n"/>
      <c r="CY996" s="16" t="n"/>
      <c r="CZ996" s="20" t="inlineStr">
        <is>
          <t>WTW Multimeter 3430 with FDO 925</t>
        </is>
      </c>
      <c r="DA996" s="20" t="inlineStr">
        <is>
          <t>None</t>
        </is>
      </c>
      <c r="DB996" s="17" t="n"/>
      <c r="DC996" s="16" t="n"/>
      <c r="DD996" s="20" t="n"/>
      <c r="DE996" s="20" t="inlineStr">
        <is>
          <t>None</t>
        </is>
      </c>
      <c r="DF996" s="17" t="n"/>
      <c r="DG996" s="16" t="n"/>
      <c r="DH996" s="20" t="inlineStr">
        <is>
          <t>SOP 45-09</t>
        </is>
      </c>
      <c r="DI996" s="20" t="inlineStr">
        <is>
          <t>None</t>
        </is>
      </c>
      <c r="DJ996" s="17" t="n"/>
      <c r="DK996" s="16" t="n"/>
      <c r="DL996" s="20" t="inlineStr">
        <is>
          <t>SOP 45-09 (SOP muss noch angepasst werden für VSS)</t>
        </is>
      </c>
      <c r="DM996" s="20" t="inlineStr">
        <is>
          <t>None</t>
        </is>
      </c>
      <c r="DN996" s="17" t="n"/>
      <c r="DO996" s="16" t="n"/>
      <c r="DP996" s="20" t="inlineStr">
        <is>
          <t>IC Organic Acids</t>
        </is>
      </c>
      <c r="DQ996" s="20" t="inlineStr">
        <is>
          <t>None</t>
        </is>
      </c>
      <c r="DR996" s="17" t="n"/>
      <c r="DS996" s="16" t="n"/>
      <c r="DT996" s="20" t="inlineStr">
        <is>
          <t>IC Organic Acids</t>
        </is>
      </c>
      <c r="DU996" s="20" t="inlineStr">
        <is>
          <t>None</t>
        </is>
      </c>
      <c r="DV996" s="17" t="n"/>
      <c r="DW996" s="16" t="n"/>
      <c r="DX996" s="20" t="inlineStr">
        <is>
          <t>IC Organic Acids</t>
        </is>
      </c>
      <c r="DY996" s="20" t="inlineStr">
        <is>
          <t>None</t>
        </is>
      </c>
      <c r="DZ996" s="17" t="n"/>
      <c r="EA996" s="16" t="n"/>
      <c r="EB996" s="20" t="inlineStr">
        <is>
          <t>IC Organic Acids</t>
        </is>
      </c>
      <c r="EC996" s="20" t="inlineStr">
        <is>
          <t>None</t>
        </is>
      </c>
      <c r="ED996" s="17" t="n"/>
      <c r="EE996" s="16" t="n"/>
      <c r="EF996" s="20" t="inlineStr">
        <is>
          <t>IC Organic Acids</t>
        </is>
      </c>
      <c r="EG996" s="20" t="inlineStr">
        <is>
          <t>None</t>
        </is>
      </c>
      <c r="EH996" s="17" t="n"/>
      <c r="EI996" s="16" t="n"/>
      <c r="EJ996" s="20" t="inlineStr">
        <is>
          <t>IC Organic Acids</t>
        </is>
      </c>
      <c r="EK996" s="20" t="inlineStr">
        <is>
          <t>None</t>
        </is>
      </c>
      <c r="EL996" s="17" t="n"/>
      <c r="EM996" s="16" t="n"/>
      <c r="EN996" s="20" t="inlineStr">
        <is>
          <t>IC Organic Acids</t>
        </is>
      </c>
      <c r="EO996" s="20" t="inlineStr">
        <is>
          <t>None</t>
        </is>
      </c>
      <c r="EP996" s="17" t="n"/>
      <c r="EQ996" s="16" t="n"/>
      <c r="ER996" s="20" t="inlineStr">
        <is>
          <t>IC Organic Acids</t>
        </is>
      </c>
      <c r="ES996" s="20" t="inlineStr">
        <is>
          <t>None</t>
        </is>
      </c>
      <c r="ET996" s="17" t="n"/>
      <c r="EU996" s="16" t="n"/>
      <c r="EV996" s="20" t="inlineStr">
        <is>
          <t>LC-MS</t>
        </is>
      </c>
      <c r="EW996" s="20" t="inlineStr">
        <is>
          <t>None</t>
        </is>
      </c>
      <c r="EX996" s="17" t="n"/>
      <c r="EY996" s="21" t="n"/>
      <c r="EZ996">
        <f>CONCATENATE(A996,B996)</f>
        <v/>
      </c>
      <c r="FA996">
        <f>CONCATENATE(SamplesX!A996,SamplesX!B996)</f>
        <v/>
      </c>
      <c r="FC996">
        <f>MATCH(EZ996,FA1:FA1008,0)</f>
        <v/>
      </c>
    </row>
    <row r="997">
      <c r="A997" s="16" t="n"/>
      <c r="B997" s="17" t="n"/>
      <c r="C997" s="10">
        <f>IF(ISNUMBER(FC997),INDIRECT("SamplesX!C"&amp;FC997),IF(ISNUMBER(FD997),INDIRECT("SamplesY!C"&amp;FD997),""))</f>
        <v/>
      </c>
      <c r="D997" s="12">
        <f>IF(ISNUMBER(FC997),INDIRECT("SamplesX!D"&amp;FC997),IF(ISNUMBER(FD997),INDIRECT("SamplesY!D"&amp;FD997),""))</f>
        <v/>
      </c>
      <c r="E997" s="12">
        <f>IF(ISNUMBER(FC997),INDIRECT("SamplesX!E"&amp;FC997),IF(ISNUMBER(FD997),INDIRECT("SamplesY!E"&amp;FD997),""))</f>
        <v/>
      </c>
      <c r="F997" s="11">
        <f>IF(ISNUMBER(FC997),INDIRECT("SamplesX!F"&amp;FC997),IF(ISNUMBER(FD997),INDIRECT("SamplesY!F"&amp;FD997),""))</f>
        <v/>
      </c>
      <c r="G997" s="18">
        <f>IF(ISNUMBER(FC997),INDIRECT("SamplesX!G"&amp;FC997),IF(ISNUMBER(FD997),INDIRECT("SamplesY!G"&amp;FD997),""))</f>
        <v/>
      </c>
      <c r="H997" s="19">
        <f>IF(ISNUMBER(FC997),INDIRECT("SamplesX!H"&amp;FC997),IF(ISNUMBER(FD997),INDIRECT("SamplesY!H"&amp;FD997),""))</f>
        <v/>
      </c>
      <c r="I997" s="16" t="n"/>
      <c r="J997" s="16" t="n"/>
      <c r="K997" s="16" t="n"/>
      <c r="L997" s="20" t="n"/>
      <c r="M997" s="20" t="inlineStr">
        <is>
          <t>None</t>
        </is>
      </c>
      <c r="N997" s="17" t="n"/>
      <c r="O997" s="16" t="n"/>
      <c r="P997" s="20" t="inlineStr">
        <is>
          <t>Shimadzu TOC-L</t>
        </is>
      </c>
      <c r="Q997" s="20" t="inlineStr">
        <is>
          <t>None</t>
        </is>
      </c>
      <c r="R997" s="17" t="n"/>
      <c r="S997" s="16" t="n"/>
      <c r="T997" s="20" t="inlineStr">
        <is>
          <t>Shimadzu TOC-L</t>
        </is>
      </c>
      <c r="U997" s="20" t="inlineStr">
        <is>
          <t>None</t>
        </is>
      </c>
      <c r="V997" s="17" t="n"/>
      <c r="W997" s="16" t="n"/>
      <c r="X997" s="20" t="n"/>
      <c r="Y997" s="20" t="inlineStr">
        <is>
          <t>None</t>
        </is>
      </c>
      <c r="Z997" s="17" t="n"/>
      <c r="AA997" s="16" t="n"/>
      <c r="AB997" s="20" t="n"/>
      <c r="AC997" s="20" t="inlineStr">
        <is>
          <t>None</t>
        </is>
      </c>
      <c r="AD997" s="17" t="n"/>
      <c r="AE997" s="16" t="n"/>
      <c r="AF997" s="20" t="inlineStr">
        <is>
          <t>IC Anionen</t>
        </is>
      </c>
      <c r="AG997" s="20" t="inlineStr">
        <is>
          <t>None</t>
        </is>
      </c>
      <c r="AH997" s="17" t="n"/>
      <c r="AI997" s="16" t="n"/>
      <c r="AJ997" s="20" t="n"/>
      <c r="AK997" s="20" t="inlineStr">
        <is>
          <t>None</t>
        </is>
      </c>
      <c r="AL997" s="17" t="n"/>
      <c r="AM997" s="16" t="n"/>
      <c r="AN997" s="20" t="inlineStr">
        <is>
          <t>IC Anionen</t>
        </is>
      </c>
      <c r="AO997" s="20" t="inlineStr">
        <is>
          <t>None</t>
        </is>
      </c>
      <c r="AP997" s="17" t="n"/>
      <c r="AQ997" s="16" t="n"/>
      <c r="AR997" s="20" t="n"/>
      <c r="AS997" s="20" t="inlineStr">
        <is>
          <t>None</t>
        </is>
      </c>
      <c r="AT997" s="17" t="n"/>
      <c r="AU997" s="16" t="n"/>
      <c r="AV997" s="20" t="n"/>
      <c r="AW997" s="20" t="inlineStr">
        <is>
          <t>None</t>
        </is>
      </c>
      <c r="AX997" s="17" t="n"/>
      <c r="AY997" s="16" t="n"/>
      <c r="AZ997" s="20" t="inlineStr">
        <is>
          <t>IC Anionen</t>
        </is>
      </c>
      <c r="BA997" s="20" t="inlineStr">
        <is>
          <t>None</t>
        </is>
      </c>
      <c r="BB997" s="17" t="n"/>
      <c r="BC997" s="16" t="n"/>
      <c r="BD997" s="20" t="inlineStr">
        <is>
          <t>IC Kationen</t>
        </is>
      </c>
      <c r="BE997" s="20" t="inlineStr">
        <is>
          <t>None</t>
        </is>
      </c>
      <c r="BF997" s="17" t="n"/>
      <c r="BG997" s="16" t="n"/>
      <c r="BH997" s="20" t="inlineStr">
        <is>
          <t>IC Kationen</t>
        </is>
      </c>
      <c r="BI997" s="20" t="inlineStr">
        <is>
          <t>None</t>
        </is>
      </c>
      <c r="BJ997" s="17" t="n"/>
      <c r="BK997" s="16" t="n"/>
      <c r="BL997" s="20" t="inlineStr">
        <is>
          <t>IC Kationen</t>
        </is>
      </c>
      <c r="BM997" s="20" t="inlineStr">
        <is>
          <t>None</t>
        </is>
      </c>
      <c r="BN997" s="17" t="n"/>
      <c r="BO997" s="16" t="n"/>
      <c r="BP997" s="20" t="inlineStr">
        <is>
          <t>IC Kationen</t>
        </is>
      </c>
      <c r="BQ997" s="20" t="inlineStr">
        <is>
          <t>None</t>
        </is>
      </c>
      <c r="BR997" s="17" t="n"/>
      <c r="BS997" s="16" t="n"/>
      <c r="BT997" s="20" t="inlineStr">
        <is>
          <t>IC Kationen</t>
        </is>
      </c>
      <c r="BU997" s="20" t="inlineStr">
        <is>
          <t>None</t>
        </is>
      </c>
      <c r="BV997" s="17" t="n"/>
      <c r="BW997" s="16" t="n"/>
      <c r="BX997" s="20" t="n"/>
      <c r="BY997" s="20" t="inlineStr">
        <is>
          <t>None</t>
        </is>
      </c>
      <c r="BZ997" s="17" t="n"/>
      <c r="CA997" s="16" t="n"/>
      <c r="CB997" s="20" t="n"/>
      <c r="CC997" s="20" t="inlineStr">
        <is>
          <t>None</t>
        </is>
      </c>
      <c r="CD997" s="17" t="n"/>
      <c r="CE997" s="16" t="n"/>
      <c r="CF997" s="20" t="n"/>
      <c r="CG997" s="20" t="inlineStr">
        <is>
          <t>None</t>
        </is>
      </c>
      <c r="CH997" s="17" t="n"/>
      <c r="CI997" s="16" t="n"/>
      <c r="CJ997" s="20" t="n"/>
      <c r="CK997" s="20" t="inlineStr">
        <is>
          <t>None</t>
        </is>
      </c>
      <c r="CL997" s="17" t="n"/>
      <c r="CM997" s="16" t="n"/>
      <c r="CN997" s="20" t="inlineStr">
        <is>
          <t>SOP 45-34</t>
        </is>
      </c>
      <c r="CO997" s="20" t="inlineStr">
        <is>
          <t>None</t>
        </is>
      </c>
      <c r="CP997" s="17" t="n"/>
      <c r="CQ997" s="16" t="n"/>
      <c r="CR997" s="20" t="n"/>
      <c r="CS997" s="20" t="inlineStr">
        <is>
          <t>None</t>
        </is>
      </c>
      <c r="CT997" s="17" t="n"/>
      <c r="CU997" s="16" t="n"/>
      <c r="CV997" s="20" t="n"/>
      <c r="CW997" s="20" t="inlineStr">
        <is>
          <t>None</t>
        </is>
      </c>
      <c r="CX997" s="17" t="n"/>
      <c r="CY997" s="16" t="n"/>
      <c r="CZ997" s="20" t="inlineStr">
        <is>
          <t>WTW Multimeter 3430 with FDO 925</t>
        </is>
      </c>
      <c r="DA997" s="20" t="inlineStr">
        <is>
          <t>None</t>
        </is>
      </c>
      <c r="DB997" s="17" t="n"/>
      <c r="DC997" s="16" t="n"/>
      <c r="DD997" s="20" t="n"/>
      <c r="DE997" s="20" t="inlineStr">
        <is>
          <t>None</t>
        </is>
      </c>
      <c r="DF997" s="17" t="n"/>
      <c r="DG997" s="16" t="n"/>
      <c r="DH997" s="20" t="inlineStr">
        <is>
          <t>SOP 45-09</t>
        </is>
      </c>
      <c r="DI997" s="20" t="inlineStr">
        <is>
          <t>None</t>
        </is>
      </c>
      <c r="DJ997" s="17" t="n"/>
      <c r="DK997" s="16" t="n"/>
      <c r="DL997" s="20" t="inlineStr">
        <is>
          <t>SOP 45-09 (SOP muss noch angepasst werden für VSS)</t>
        </is>
      </c>
      <c r="DM997" s="20" t="inlineStr">
        <is>
          <t>None</t>
        </is>
      </c>
      <c r="DN997" s="17" t="n"/>
      <c r="DO997" s="16" t="n"/>
      <c r="DP997" s="20" t="inlineStr">
        <is>
          <t>IC Organic Acids</t>
        </is>
      </c>
      <c r="DQ997" s="20" t="inlineStr">
        <is>
          <t>None</t>
        </is>
      </c>
      <c r="DR997" s="17" t="n"/>
      <c r="DS997" s="16" t="n"/>
      <c r="DT997" s="20" t="inlineStr">
        <is>
          <t>IC Organic Acids</t>
        </is>
      </c>
      <c r="DU997" s="20" t="inlineStr">
        <is>
          <t>None</t>
        </is>
      </c>
      <c r="DV997" s="17" t="n"/>
      <c r="DW997" s="16" t="n"/>
      <c r="DX997" s="20" t="inlineStr">
        <is>
          <t>IC Organic Acids</t>
        </is>
      </c>
      <c r="DY997" s="20" t="inlineStr">
        <is>
          <t>None</t>
        </is>
      </c>
      <c r="DZ997" s="17" t="n"/>
      <c r="EA997" s="16" t="n"/>
      <c r="EB997" s="20" t="inlineStr">
        <is>
          <t>IC Organic Acids</t>
        </is>
      </c>
      <c r="EC997" s="20" t="inlineStr">
        <is>
          <t>None</t>
        </is>
      </c>
      <c r="ED997" s="17" t="n"/>
      <c r="EE997" s="16" t="n"/>
      <c r="EF997" s="20" t="inlineStr">
        <is>
          <t>IC Organic Acids</t>
        </is>
      </c>
      <c r="EG997" s="20" t="inlineStr">
        <is>
          <t>None</t>
        </is>
      </c>
      <c r="EH997" s="17" t="n"/>
      <c r="EI997" s="16" t="n"/>
      <c r="EJ997" s="20" t="inlineStr">
        <is>
          <t>IC Organic Acids</t>
        </is>
      </c>
      <c r="EK997" s="20" t="inlineStr">
        <is>
          <t>None</t>
        </is>
      </c>
      <c r="EL997" s="17" t="n"/>
      <c r="EM997" s="16" t="n"/>
      <c r="EN997" s="20" t="inlineStr">
        <is>
          <t>IC Organic Acids</t>
        </is>
      </c>
      <c r="EO997" s="20" t="inlineStr">
        <is>
          <t>None</t>
        </is>
      </c>
      <c r="EP997" s="17" t="n"/>
      <c r="EQ997" s="16" t="n"/>
      <c r="ER997" s="20" t="inlineStr">
        <is>
          <t>IC Organic Acids</t>
        </is>
      </c>
      <c r="ES997" s="20" t="inlineStr">
        <is>
          <t>None</t>
        </is>
      </c>
      <c r="ET997" s="17" t="n"/>
      <c r="EU997" s="16" t="n"/>
      <c r="EV997" s="20" t="inlineStr">
        <is>
          <t>LC-MS</t>
        </is>
      </c>
      <c r="EW997" s="20" t="inlineStr">
        <is>
          <t>None</t>
        </is>
      </c>
      <c r="EX997" s="17" t="n"/>
      <c r="EY997" s="21" t="n"/>
      <c r="EZ997">
        <f>CONCATENATE(A997,B997)</f>
        <v/>
      </c>
      <c r="FA997">
        <f>CONCATENATE(SamplesX!A997,SamplesX!B997)</f>
        <v/>
      </c>
      <c r="FC997">
        <f>MATCH(EZ997,FA1:FA1008,0)</f>
        <v/>
      </c>
    </row>
    <row r="998">
      <c r="A998" s="16" t="n"/>
      <c r="B998" s="17" t="n"/>
      <c r="C998" s="10">
        <f>IF(ISNUMBER(FC998),INDIRECT("SamplesX!C"&amp;FC998),IF(ISNUMBER(FD998),INDIRECT("SamplesY!C"&amp;FD998),""))</f>
        <v/>
      </c>
      <c r="D998" s="12">
        <f>IF(ISNUMBER(FC998),INDIRECT("SamplesX!D"&amp;FC998),IF(ISNUMBER(FD998),INDIRECT("SamplesY!D"&amp;FD998),""))</f>
        <v/>
      </c>
      <c r="E998" s="12">
        <f>IF(ISNUMBER(FC998),INDIRECT("SamplesX!E"&amp;FC998),IF(ISNUMBER(FD998),INDIRECT("SamplesY!E"&amp;FD998),""))</f>
        <v/>
      </c>
      <c r="F998" s="11">
        <f>IF(ISNUMBER(FC998),INDIRECT("SamplesX!F"&amp;FC998),IF(ISNUMBER(FD998),INDIRECT("SamplesY!F"&amp;FD998),""))</f>
        <v/>
      </c>
      <c r="G998" s="18">
        <f>IF(ISNUMBER(FC998),INDIRECT("SamplesX!G"&amp;FC998),IF(ISNUMBER(FD998),INDIRECT("SamplesY!G"&amp;FD998),""))</f>
        <v/>
      </c>
      <c r="H998" s="19">
        <f>IF(ISNUMBER(FC998),INDIRECT("SamplesX!H"&amp;FC998),IF(ISNUMBER(FD998),INDIRECT("SamplesY!H"&amp;FD998),""))</f>
        <v/>
      </c>
      <c r="I998" s="16" t="n"/>
      <c r="J998" s="16" t="n"/>
      <c r="K998" s="16" t="n"/>
      <c r="L998" s="20" t="n"/>
      <c r="M998" s="20" t="inlineStr">
        <is>
          <t>None</t>
        </is>
      </c>
      <c r="N998" s="17" t="n"/>
      <c r="O998" s="16" t="n"/>
      <c r="P998" s="20" t="inlineStr">
        <is>
          <t>Shimadzu TOC-L</t>
        </is>
      </c>
      <c r="Q998" s="20" t="inlineStr">
        <is>
          <t>None</t>
        </is>
      </c>
      <c r="R998" s="17" t="n"/>
      <c r="S998" s="16" t="n"/>
      <c r="T998" s="20" t="inlineStr">
        <is>
          <t>Shimadzu TOC-L</t>
        </is>
      </c>
      <c r="U998" s="20" t="inlineStr">
        <is>
          <t>None</t>
        </is>
      </c>
      <c r="V998" s="17" t="n"/>
      <c r="W998" s="16" t="n"/>
      <c r="X998" s="20" t="n"/>
      <c r="Y998" s="20" t="inlineStr">
        <is>
          <t>None</t>
        </is>
      </c>
      <c r="Z998" s="17" t="n"/>
      <c r="AA998" s="16" t="n"/>
      <c r="AB998" s="20" t="n"/>
      <c r="AC998" s="20" t="inlineStr">
        <is>
          <t>None</t>
        </is>
      </c>
      <c r="AD998" s="17" t="n"/>
      <c r="AE998" s="16" t="n"/>
      <c r="AF998" s="20" t="inlineStr">
        <is>
          <t>IC Anionen</t>
        </is>
      </c>
      <c r="AG998" s="20" t="inlineStr">
        <is>
          <t>None</t>
        </is>
      </c>
      <c r="AH998" s="17" t="n"/>
      <c r="AI998" s="16" t="n"/>
      <c r="AJ998" s="20" t="n"/>
      <c r="AK998" s="20" t="inlineStr">
        <is>
          <t>None</t>
        </is>
      </c>
      <c r="AL998" s="17" t="n"/>
      <c r="AM998" s="16" t="n"/>
      <c r="AN998" s="20" t="inlineStr">
        <is>
          <t>IC Anionen</t>
        </is>
      </c>
      <c r="AO998" s="20" t="inlineStr">
        <is>
          <t>None</t>
        </is>
      </c>
      <c r="AP998" s="17" t="n"/>
      <c r="AQ998" s="16" t="n"/>
      <c r="AR998" s="20" t="n"/>
      <c r="AS998" s="20" t="inlineStr">
        <is>
          <t>None</t>
        </is>
      </c>
      <c r="AT998" s="17" t="n"/>
      <c r="AU998" s="16" t="n"/>
      <c r="AV998" s="20" t="n"/>
      <c r="AW998" s="20" t="inlineStr">
        <is>
          <t>None</t>
        </is>
      </c>
      <c r="AX998" s="17" t="n"/>
      <c r="AY998" s="16" t="n"/>
      <c r="AZ998" s="20" t="inlineStr">
        <is>
          <t>IC Anionen</t>
        </is>
      </c>
      <c r="BA998" s="20" t="inlineStr">
        <is>
          <t>None</t>
        </is>
      </c>
      <c r="BB998" s="17" t="n"/>
      <c r="BC998" s="16" t="n"/>
      <c r="BD998" s="20" t="inlineStr">
        <is>
          <t>IC Kationen</t>
        </is>
      </c>
      <c r="BE998" s="20" t="inlineStr">
        <is>
          <t>None</t>
        </is>
      </c>
      <c r="BF998" s="17" t="n"/>
      <c r="BG998" s="16" t="n"/>
      <c r="BH998" s="20" t="inlineStr">
        <is>
          <t>IC Kationen</t>
        </is>
      </c>
      <c r="BI998" s="20" t="inlineStr">
        <is>
          <t>None</t>
        </is>
      </c>
      <c r="BJ998" s="17" t="n"/>
      <c r="BK998" s="16" t="n"/>
      <c r="BL998" s="20" t="inlineStr">
        <is>
          <t>IC Kationen</t>
        </is>
      </c>
      <c r="BM998" s="20" t="inlineStr">
        <is>
          <t>None</t>
        </is>
      </c>
      <c r="BN998" s="17" t="n"/>
      <c r="BO998" s="16" t="n"/>
      <c r="BP998" s="20" t="inlineStr">
        <is>
          <t>IC Kationen</t>
        </is>
      </c>
      <c r="BQ998" s="20" t="inlineStr">
        <is>
          <t>None</t>
        </is>
      </c>
      <c r="BR998" s="17" t="n"/>
      <c r="BS998" s="16" t="n"/>
      <c r="BT998" s="20" t="inlineStr">
        <is>
          <t>IC Kationen</t>
        </is>
      </c>
      <c r="BU998" s="20" t="inlineStr">
        <is>
          <t>None</t>
        </is>
      </c>
      <c r="BV998" s="17" t="n"/>
      <c r="BW998" s="16" t="n"/>
      <c r="BX998" s="20" t="n"/>
      <c r="BY998" s="20" t="inlineStr">
        <is>
          <t>None</t>
        </is>
      </c>
      <c r="BZ998" s="17" t="n"/>
      <c r="CA998" s="16" t="n"/>
      <c r="CB998" s="20" t="n"/>
      <c r="CC998" s="20" t="inlineStr">
        <is>
          <t>None</t>
        </is>
      </c>
      <c r="CD998" s="17" t="n"/>
      <c r="CE998" s="16" t="n"/>
      <c r="CF998" s="20" t="n"/>
      <c r="CG998" s="20" t="inlineStr">
        <is>
          <t>None</t>
        </is>
      </c>
      <c r="CH998" s="17" t="n"/>
      <c r="CI998" s="16" t="n"/>
      <c r="CJ998" s="20" t="n"/>
      <c r="CK998" s="20" t="inlineStr">
        <is>
          <t>None</t>
        </is>
      </c>
      <c r="CL998" s="17" t="n"/>
      <c r="CM998" s="16" t="n"/>
      <c r="CN998" s="20" t="inlineStr">
        <is>
          <t>SOP 45-34</t>
        </is>
      </c>
      <c r="CO998" s="20" t="inlineStr">
        <is>
          <t>None</t>
        </is>
      </c>
      <c r="CP998" s="17" t="n"/>
      <c r="CQ998" s="16" t="n"/>
      <c r="CR998" s="20" t="n"/>
      <c r="CS998" s="20" t="inlineStr">
        <is>
          <t>None</t>
        </is>
      </c>
      <c r="CT998" s="17" t="n"/>
      <c r="CU998" s="16" t="n"/>
      <c r="CV998" s="20" t="n"/>
      <c r="CW998" s="20" t="inlineStr">
        <is>
          <t>None</t>
        </is>
      </c>
      <c r="CX998" s="17" t="n"/>
      <c r="CY998" s="16" t="n"/>
      <c r="CZ998" s="20" t="inlineStr">
        <is>
          <t>WTW Multimeter 3430 with FDO 925</t>
        </is>
      </c>
      <c r="DA998" s="20" t="inlineStr">
        <is>
          <t>None</t>
        </is>
      </c>
      <c r="DB998" s="17" t="n"/>
      <c r="DC998" s="16" t="n"/>
      <c r="DD998" s="20" t="n"/>
      <c r="DE998" s="20" t="inlineStr">
        <is>
          <t>None</t>
        </is>
      </c>
      <c r="DF998" s="17" t="n"/>
      <c r="DG998" s="16" t="n"/>
      <c r="DH998" s="20" t="inlineStr">
        <is>
          <t>SOP 45-09</t>
        </is>
      </c>
      <c r="DI998" s="20" t="inlineStr">
        <is>
          <t>None</t>
        </is>
      </c>
      <c r="DJ998" s="17" t="n"/>
      <c r="DK998" s="16" t="n"/>
      <c r="DL998" s="20" t="inlineStr">
        <is>
          <t>SOP 45-09 (SOP muss noch angepasst werden für VSS)</t>
        </is>
      </c>
      <c r="DM998" s="20" t="inlineStr">
        <is>
          <t>None</t>
        </is>
      </c>
      <c r="DN998" s="17" t="n"/>
      <c r="DO998" s="16" t="n"/>
      <c r="DP998" s="20" t="inlineStr">
        <is>
          <t>IC Organic Acids</t>
        </is>
      </c>
      <c r="DQ998" s="20" t="inlineStr">
        <is>
          <t>None</t>
        </is>
      </c>
      <c r="DR998" s="17" t="n"/>
      <c r="DS998" s="16" t="n"/>
      <c r="DT998" s="20" t="inlineStr">
        <is>
          <t>IC Organic Acids</t>
        </is>
      </c>
      <c r="DU998" s="20" t="inlineStr">
        <is>
          <t>None</t>
        </is>
      </c>
      <c r="DV998" s="17" t="n"/>
      <c r="DW998" s="16" t="n"/>
      <c r="DX998" s="20" t="inlineStr">
        <is>
          <t>IC Organic Acids</t>
        </is>
      </c>
      <c r="DY998" s="20" t="inlineStr">
        <is>
          <t>None</t>
        </is>
      </c>
      <c r="DZ998" s="17" t="n"/>
      <c r="EA998" s="16" t="n"/>
      <c r="EB998" s="20" t="inlineStr">
        <is>
          <t>IC Organic Acids</t>
        </is>
      </c>
      <c r="EC998" s="20" t="inlineStr">
        <is>
          <t>None</t>
        </is>
      </c>
      <c r="ED998" s="17" t="n"/>
      <c r="EE998" s="16" t="n"/>
      <c r="EF998" s="20" t="inlineStr">
        <is>
          <t>IC Organic Acids</t>
        </is>
      </c>
      <c r="EG998" s="20" t="inlineStr">
        <is>
          <t>None</t>
        </is>
      </c>
      <c r="EH998" s="17" t="n"/>
      <c r="EI998" s="16" t="n"/>
      <c r="EJ998" s="20" t="inlineStr">
        <is>
          <t>IC Organic Acids</t>
        </is>
      </c>
      <c r="EK998" s="20" t="inlineStr">
        <is>
          <t>None</t>
        </is>
      </c>
      <c r="EL998" s="17" t="n"/>
      <c r="EM998" s="16" t="n"/>
      <c r="EN998" s="20" t="inlineStr">
        <is>
          <t>IC Organic Acids</t>
        </is>
      </c>
      <c r="EO998" s="20" t="inlineStr">
        <is>
          <t>None</t>
        </is>
      </c>
      <c r="EP998" s="17" t="n"/>
      <c r="EQ998" s="16" t="n"/>
      <c r="ER998" s="20" t="inlineStr">
        <is>
          <t>IC Organic Acids</t>
        </is>
      </c>
      <c r="ES998" s="20" t="inlineStr">
        <is>
          <t>None</t>
        </is>
      </c>
      <c r="ET998" s="17" t="n"/>
      <c r="EU998" s="16" t="n"/>
      <c r="EV998" s="20" t="inlineStr">
        <is>
          <t>LC-MS</t>
        </is>
      </c>
      <c r="EW998" s="20" t="inlineStr">
        <is>
          <t>None</t>
        </is>
      </c>
      <c r="EX998" s="17" t="n"/>
      <c r="EY998" s="21" t="n"/>
      <c r="EZ998">
        <f>CONCATENATE(A998,B998)</f>
        <v/>
      </c>
      <c r="FA998">
        <f>CONCATENATE(SamplesX!A998,SamplesX!B998)</f>
        <v/>
      </c>
      <c r="FC998">
        <f>MATCH(EZ998,FA1:FA1008,0)</f>
        <v/>
      </c>
    </row>
    <row r="999">
      <c r="A999" s="16" t="n"/>
      <c r="B999" s="17" t="n"/>
      <c r="C999" s="10">
        <f>IF(ISNUMBER(FC999),INDIRECT("SamplesX!C"&amp;FC999),IF(ISNUMBER(FD999),INDIRECT("SamplesY!C"&amp;FD999),""))</f>
        <v/>
      </c>
      <c r="D999" s="12">
        <f>IF(ISNUMBER(FC999),INDIRECT("SamplesX!D"&amp;FC999),IF(ISNUMBER(FD999),INDIRECT("SamplesY!D"&amp;FD999),""))</f>
        <v/>
      </c>
      <c r="E999" s="12">
        <f>IF(ISNUMBER(FC999),INDIRECT("SamplesX!E"&amp;FC999),IF(ISNUMBER(FD999),INDIRECT("SamplesY!E"&amp;FD999),""))</f>
        <v/>
      </c>
      <c r="F999" s="11">
        <f>IF(ISNUMBER(FC999),INDIRECT("SamplesX!F"&amp;FC999),IF(ISNUMBER(FD999),INDIRECT("SamplesY!F"&amp;FD999),""))</f>
        <v/>
      </c>
      <c r="G999" s="18">
        <f>IF(ISNUMBER(FC999),INDIRECT("SamplesX!G"&amp;FC999),IF(ISNUMBER(FD999),INDIRECT("SamplesY!G"&amp;FD999),""))</f>
        <v/>
      </c>
      <c r="H999" s="19">
        <f>IF(ISNUMBER(FC999),INDIRECT("SamplesX!H"&amp;FC999),IF(ISNUMBER(FD999),INDIRECT("SamplesY!H"&amp;FD999),""))</f>
        <v/>
      </c>
      <c r="I999" s="16" t="n"/>
      <c r="J999" s="16" t="n"/>
      <c r="K999" s="16" t="n"/>
      <c r="L999" s="20" t="n"/>
      <c r="M999" s="20" t="inlineStr">
        <is>
          <t>None</t>
        </is>
      </c>
      <c r="N999" s="17" t="n"/>
      <c r="O999" s="16" t="n"/>
      <c r="P999" s="20" t="inlineStr">
        <is>
          <t>Shimadzu TOC-L</t>
        </is>
      </c>
      <c r="Q999" s="20" t="inlineStr">
        <is>
          <t>None</t>
        </is>
      </c>
      <c r="R999" s="17" t="n"/>
      <c r="S999" s="16" t="n"/>
      <c r="T999" s="20" t="inlineStr">
        <is>
          <t>Shimadzu TOC-L</t>
        </is>
      </c>
      <c r="U999" s="20" t="inlineStr">
        <is>
          <t>None</t>
        </is>
      </c>
      <c r="V999" s="17" t="n"/>
      <c r="W999" s="16" t="n"/>
      <c r="X999" s="20" t="n"/>
      <c r="Y999" s="20" t="inlineStr">
        <is>
          <t>None</t>
        </is>
      </c>
      <c r="Z999" s="17" t="n"/>
      <c r="AA999" s="16" t="n"/>
      <c r="AB999" s="20" t="n"/>
      <c r="AC999" s="20" t="inlineStr">
        <is>
          <t>None</t>
        </is>
      </c>
      <c r="AD999" s="17" t="n"/>
      <c r="AE999" s="16" t="n"/>
      <c r="AF999" s="20" t="inlineStr">
        <is>
          <t>IC Anionen</t>
        </is>
      </c>
      <c r="AG999" s="20" t="inlineStr">
        <is>
          <t>None</t>
        </is>
      </c>
      <c r="AH999" s="17" t="n"/>
      <c r="AI999" s="16" t="n"/>
      <c r="AJ999" s="20" t="n"/>
      <c r="AK999" s="20" t="inlineStr">
        <is>
          <t>None</t>
        </is>
      </c>
      <c r="AL999" s="17" t="n"/>
      <c r="AM999" s="16" t="n"/>
      <c r="AN999" s="20" t="inlineStr">
        <is>
          <t>IC Anionen</t>
        </is>
      </c>
      <c r="AO999" s="20" t="inlineStr">
        <is>
          <t>None</t>
        </is>
      </c>
      <c r="AP999" s="17" t="n"/>
      <c r="AQ999" s="16" t="n"/>
      <c r="AR999" s="20" t="n"/>
      <c r="AS999" s="20" t="inlineStr">
        <is>
          <t>None</t>
        </is>
      </c>
      <c r="AT999" s="17" t="n"/>
      <c r="AU999" s="16" t="n"/>
      <c r="AV999" s="20" t="n"/>
      <c r="AW999" s="20" t="inlineStr">
        <is>
          <t>None</t>
        </is>
      </c>
      <c r="AX999" s="17" t="n"/>
      <c r="AY999" s="16" t="n"/>
      <c r="AZ999" s="20" t="inlineStr">
        <is>
          <t>IC Anionen</t>
        </is>
      </c>
      <c r="BA999" s="20" t="inlineStr">
        <is>
          <t>None</t>
        </is>
      </c>
      <c r="BB999" s="17" t="n"/>
      <c r="BC999" s="16" t="n"/>
      <c r="BD999" s="20" t="inlineStr">
        <is>
          <t>IC Kationen</t>
        </is>
      </c>
      <c r="BE999" s="20" t="inlineStr">
        <is>
          <t>None</t>
        </is>
      </c>
      <c r="BF999" s="17" t="n"/>
      <c r="BG999" s="16" t="n"/>
      <c r="BH999" s="20" t="inlineStr">
        <is>
          <t>IC Kationen</t>
        </is>
      </c>
      <c r="BI999" s="20" t="inlineStr">
        <is>
          <t>None</t>
        </is>
      </c>
      <c r="BJ999" s="17" t="n"/>
      <c r="BK999" s="16" t="n"/>
      <c r="BL999" s="20" t="inlineStr">
        <is>
          <t>IC Kationen</t>
        </is>
      </c>
      <c r="BM999" s="20" t="inlineStr">
        <is>
          <t>None</t>
        </is>
      </c>
      <c r="BN999" s="17" t="n"/>
      <c r="BO999" s="16" t="n"/>
      <c r="BP999" s="20" t="inlineStr">
        <is>
          <t>IC Kationen</t>
        </is>
      </c>
      <c r="BQ999" s="20" t="inlineStr">
        <is>
          <t>None</t>
        </is>
      </c>
      <c r="BR999" s="17" t="n"/>
      <c r="BS999" s="16" t="n"/>
      <c r="BT999" s="20" t="inlineStr">
        <is>
          <t>IC Kationen</t>
        </is>
      </c>
      <c r="BU999" s="20" t="inlineStr">
        <is>
          <t>None</t>
        </is>
      </c>
      <c r="BV999" s="17" t="n"/>
      <c r="BW999" s="16" t="n"/>
      <c r="BX999" s="20" t="n"/>
      <c r="BY999" s="20" t="inlineStr">
        <is>
          <t>None</t>
        </is>
      </c>
      <c r="BZ999" s="17" t="n"/>
      <c r="CA999" s="16" t="n"/>
      <c r="CB999" s="20" t="n"/>
      <c r="CC999" s="20" t="inlineStr">
        <is>
          <t>None</t>
        </is>
      </c>
      <c r="CD999" s="17" t="n"/>
      <c r="CE999" s="16" t="n"/>
      <c r="CF999" s="20" t="n"/>
      <c r="CG999" s="20" t="inlineStr">
        <is>
          <t>None</t>
        </is>
      </c>
      <c r="CH999" s="17" t="n"/>
      <c r="CI999" s="16" t="n"/>
      <c r="CJ999" s="20" t="n"/>
      <c r="CK999" s="20" t="inlineStr">
        <is>
          <t>None</t>
        </is>
      </c>
      <c r="CL999" s="17" t="n"/>
      <c r="CM999" s="16" t="n"/>
      <c r="CN999" s="20" t="inlineStr">
        <is>
          <t>SOP 45-34</t>
        </is>
      </c>
      <c r="CO999" s="20" t="inlineStr">
        <is>
          <t>None</t>
        </is>
      </c>
      <c r="CP999" s="17" t="n"/>
      <c r="CQ999" s="16" t="n"/>
      <c r="CR999" s="20" t="n"/>
      <c r="CS999" s="20" t="inlineStr">
        <is>
          <t>None</t>
        </is>
      </c>
      <c r="CT999" s="17" t="n"/>
      <c r="CU999" s="16" t="n"/>
      <c r="CV999" s="20" t="n"/>
      <c r="CW999" s="20" t="inlineStr">
        <is>
          <t>None</t>
        </is>
      </c>
      <c r="CX999" s="17" t="n"/>
      <c r="CY999" s="16" t="n"/>
      <c r="CZ999" s="20" t="inlineStr">
        <is>
          <t>WTW Multimeter 3430 with FDO 925</t>
        </is>
      </c>
      <c r="DA999" s="20" t="inlineStr">
        <is>
          <t>None</t>
        </is>
      </c>
      <c r="DB999" s="17" t="n"/>
      <c r="DC999" s="16" t="n"/>
      <c r="DD999" s="20" t="n"/>
      <c r="DE999" s="20" t="inlineStr">
        <is>
          <t>None</t>
        </is>
      </c>
      <c r="DF999" s="17" t="n"/>
      <c r="DG999" s="16" t="n"/>
      <c r="DH999" s="20" t="inlineStr">
        <is>
          <t>SOP 45-09</t>
        </is>
      </c>
      <c r="DI999" s="20" t="inlineStr">
        <is>
          <t>None</t>
        </is>
      </c>
      <c r="DJ999" s="17" t="n"/>
      <c r="DK999" s="16" t="n"/>
      <c r="DL999" s="20" t="inlineStr">
        <is>
          <t>SOP 45-09 (SOP muss noch angepasst werden für VSS)</t>
        </is>
      </c>
      <c r="DM999" s="20" t="inlineStr">
        <is>
          <t>None</t>
        </is>
      </c>
      <c r="DN999" s="17" t="n"/>
      <c r="DO999" s="16" t="n"/>
      <c r="DP999" s="20" t="inlineStr">
        <is>
          <t>IC Organic Acids</t>
        </is>
      </c>
      <c r="DQ999" s="20" t="inlineStr">
        <is>
          <t>None</t>
        </is>
      </c>
      <c r="DR999" s="17" t="n"/>
      <c r="DS999" s="16" t="n"/>
      <c r="DT999" s="20" t="inlineStr">
        <is>
          <t>IC Organic Acids</t>
        </is>
      </c>
      <c r="DU999" s="20" t="inlineStr">
        <is>
          <t>None</t>
        </is>
      </c>
      <c r="DV999" s="17" t="n"/>
      <c r="DW999" s="16" t="n"/>
      <c r="DX999" s="20" t="inlineStr">
        <is>
          <t>IC Organic Acids</t>
        </is>
      </c>
      <c r="DY999" s="20" t="inlineStr">
        <is>
          <t>None</t>
        </is>
      </c>
      <c r="DZ999" s="17" t="n"/>
      <c r="EA999" s="16" t="n"/>
      <c r="EB999" s="20" t="inlineStr">
        <is>
          <t>IC Organic Acids</t>
        </is>
      </c>
      <c r="EC999" s="20" t="inlineStr">
        <is>
          <t>None</t>
        </is>
      </c>
      <c r="ED999" s="17" t="n"/>
      <c r="EE999" s="16" t="n"/>
      <c r="EF999" s="20" t="inlineStr">
        <is>
          <t>IC Organic Acids</t>
        </is>
      </c>
      <c r="EG999" s="20" t="inlineStr">
        <is>
          <t>None</t>
        </is>
      </c>
      <c r="EH999" s="17" t="n"/>
      <c r="EI999" s="16" t="n"/>
      <c r="EJ999" s="20" t="inlineStr">
        <is>
          <t>IC Organic Acids</t>
        </is>
      </c>
      <c r="EK999" s="20" t="inlineStr">
        <is>
          <t>None</t>
        </is>
      </c>
      <c r="EL999" s="17" t="n"/>
      <c r="EM999" s="16" t="n"/>
      <c r="EN999" s="20" t="inlineStr">
        <is>
          <t>IC Organic Acids</t>
        </is>
      </c>
      <c r="EO999" s="20" t="inlineStr">
        <is>
          <t>None</t>
        </is>
      </c>
      <c r="EP999" s="17" t="n"/>
      <c r="EQ999" s="16" t="n"/>
      <c r="ER999" s="20" t="inlineStr">
        <is>
          <t>IC Organic Acids</t>
        </is>
      </c>
      <c r="ES999" s="20" t="inlineStr">
        <is>
          <t>None</t>
        </is>
      </c>
      <c r="ET999" s="17" t="n"/>
      <c r="EU999" s="16" t="n"/>
      <c r="EV999" s="20" t="inlineStr">
        <is>
          <t>LC-MS</t>
        </is>
      </c>
      <c r="EW999" s="20" t="inlineStr">
        <is>
          <t>None</t>
        </is>
      </c>
      <c r="EX999" s="17" t="n"/>
      <c r="EY999" s="21" t="n"/>
      <c r="EZ999">
        <f>CONCATENATE(A999,B999)</f>
        <v/>
      </c>
      <c r="FA999">
        <f>CONCATENATE(SamplesX!A999,SamplesX!B999)</f>
        <v/>
      </c>
      <c r="FC999">
        <f>MATCH(EZ999,FA1:FA1008,0)</f>
        <v/>
      </c>
    </row>
    <row r="1000">
      <c r="A1000" s="16" t="n"/>
      <c r="B1000" s="17" t="n"/>
      <c r="C1000" s="10">
        <f>IF(ISNUMBER(FC1000),INDIRECT("SamplesX!C"&amp;FC1000),IF(ISNUMBER(FD1000),INDIRECT("SamplesY!C"&amp;FD1000),""))</f>
        <v/>
      </c>
      <c r="D1000" s="12">
        <f>IF(ISNUMBER(FC1000),INDIRECT("SamplesX!D"&amp;FC1000),IF(ISNUMBER(FD1000),INDIRECT("SamplesY!D"&amp;FD1000),""))</f>
        <v/>
      </c>
      <c r="E1000" s="12">
        <f>IF(ISNUMBER(FC1000),INDIRECT("SamplesX!E"&amp;FC1000),IF(ISNUMBER(FD1000),INDIRECT("SamplesY!E"&amp;FD1000),""))</f>
        <v/>
      </c>
      <c r="F1000" s="11">
        <f>IF(ISNUMBER(FC1000),INDIRECT("SamplesX!F"&amp;FC1000),IF(ISNUMBER(FD1000),INDIRECT("SamplesY!F"&amp;FD1000),""))</f>
        <v/>
      </c>
      <c r="G1000" s="18">
        <f>IF(ISNUMBER(FC1000),INDIRECT("SamplesX!G"&amp;FC1000),IF(ISNUMBER(FD1000),INDIRECT("SamplesY!G"&amp;FD1000),""))</f>
        <v/>
      </c>
      <c r="H1000" s="19">
        <f>IF(ISNUMBER(FC1000),INDIRECT("SamplesX!H"&amp;FC1000),IF(ISNUMBER(FD1000),INDIRECT("SamplesY!H"&amp;FD1000),""))</f>
        <v/>
      </c>
      <c r="I1000" s="16" t="n"/>
      <c r="J1000" s="16" t="n"/>
      <c r="K1000" s="16" t="n"/>
      <c r="L1000" s="20" t="n"/>
      <c r="M1000" s="20" t="inlineStr">
        <is>
          <t>None</t>
        </is>
      </c>
      <c r="N1000" s="17" t="n"/>
      <c r="O1000" s="16" t="n"/>
      <c r="P1000" s="20" t="inlineStr">
        <is>
          <t>Shimadzu TOC-L</t>
        </is>
      </c>
      <c r="Q1000" s="20" t="inlineStr">
        <is>
          <t>None</t>
        </is>
      </c>
      <c r="R1000" s="17" t="n"/>
      <c r="S1000" s="16" t="n"/>
      <c r="T1000" s="20" t="inlineStr">
        <is>
          <t>Shimadzu TOC-L</t>
        </is>
      </c>
      <c r="U1000" s="20" t="inlineStr">
        <is>
          <t>None</t>
        </is>
      </c>
      <c r="V1000" s="17" t="n"/>
      <c r="W1000" s="16" t="n"/>
      <c r="X1000" s="20" t="n"/>
      <c r="Y1000" s="20" t="inlineStr">
        <is>
          <t>None</t>
        </is>
      </c>
      <c r="Z1000" s="17" t="n"/>
      <c r="AA1000" s="16" t="n"/>
      <c r="AB1000" s="20" t="n"/>
      <c r="AC1000" s="20" t="inlineStr">
        <is>
          <t>None</t>
        </is>
      </c>
      <c r="AD1000" s="17" t="n"/>
      <c r="AE1000" s="16" t="n"/>
      <c r="AF1000" s="20" t="inlineStr">
        <is>
          <t>IC Anionen</t>
        </is>
      </c>
      <c r="AG1000" s="20" t="inlineStr">
        <is>
          <t>None</t>
        </is>
      </c>
      <c r="AH1000" s="17" t="n"/>
      <c r="AI1000" s="16" t="n"/>
      <c r="AJ1000" s="20" t="n"/>
      <c r="AK1000" s="20" t="inlineStr">
        <is>
          <t>None</t>
        </is>
      </c>
      <c r="AL1000" s="17" t="n"/>
      <c r="AM1000" s="16" t="n"/>
      <c r="AN1000" s="20" t="inlineStr">
        <is>
          <t>IC Anionen</t>
        </is>
      </c>
      <c r="AO1000" s="20" t="inlineStr">
        <is>
          <t>None</t>
        </is>
      </c>
      <c r="AP1000" s="17" t="n"/>
      <c r="AQ1000" s="16" t="n"/>
      <c r="AR1000" s="20" t="n"/>
      <c r="AS1000" s="20" t="inlineStr">
        <is>
          <t>None</t>
        </is>
      </c>
      <c r="AT1000" s="17" t="n"/>
      <c r="AU1000" s="16" t="n"/>
      <c r="AV1000" s="20" t="n"/>
      <c r="AW1000" s="20" t="inlineStr">
        <is>
          <t>None</t>
        </is>
      </c>
      <c r="AX1000" s="17" t="n"/>
      <c r="AY1000" s="16" t="n"/>
      <c r="AZ1000" s="20" t="inlineStr">
        <is>
          <t>IC Anionen</t>
        </is>
      </c>
      <c r="BA1000" s="20" t="inlineStr">
        <is>
          <t>None</t>
        </is>
      </c>
      <c r="BB1000" s="17" t="n"/>
      <c r="BC1000" s="16" t="n"/>
      <c r="BD1000" s="20" t="inlineStr">
        <is>
          <t>IC Kationen</t>
        </is>
      </c>
      <c r="BE1000" s="20" t="inlineStr">
        <is>
          <t>None</t>
        </is>
      </c>
      <c r="BF1000" s="17" t="n"/>
      <c r="BG1000" s="16" t="n"/>
      <c r="BH1000" s="20" t="inlineStr">
        <is>
          <t>IC Kationen</t>
        </is>
      </c>
      <c r="BI1000" s="20" t="inlineStr">
        <is>
          <t>None</t>
        </is>
      </c>
      <c r="BJ1000" s="17" t="n"/>
      <c r="BK1000" s="16" t="n"/>
      <c r="BL1000" s="20" t="inlineStr">
        <is>
          <t>IC Kationen</t>
        </is>
      </c>
      <c r="BM1000" s="20" t="inlineStr">
        <is>
          <t>None</t>
        </is>
      </c>
      <c r="BN1000" s="17" t="n"/>
      <c r="BO1000" s="16" t="n"/>
      <c r="BP1000" s="20" t="inlineStr">
        <is>
          <t>IC Kationen</t>
        </is>
      </c>
      <c r="BQ1000" s="20" t="inlineStr">
        <is>
          <t>None</t>
        </is>
      </c>
      <c r="BR1000" s="17" t="n"/>
      <c r="BS1000" s="16" t="n"/>
      <c r="BT1000" s="20" t="inlineStr">
        <is>
          <t>IC Kationen</t>
        </is>
      </c>
      <c r="BU1000" s="20" t="inlineStr">
        <is>
          <t>None</t>
        </is>
      </c>
      <c r="BV1000" s="17" t="n"/>
      <c r="BW1000" s="16" t="n"/>
      <c r="BX1000" s="20" t="n"/>
      <c r="BY1000" s="20" t="inlineStr">
        <is>
          <t>None</t>
        </is>
      </c>
      <c r="BZ1000" s="17" t="n"/>
      <c r="CA1000" s="16" t="n"/>
      <c r="CB1000" s="20" t="n"/>
      <c r="CC1000" s="20" t="inlineStr">
        <is>
          <t>None</t>
        </is>
      </c>
      <c r="CD1000" s="17" t="n"/>
      <c r="CE1000" s="16" t="n"/>
      <c r="CF1000" s="20" t="n"/>
      <c r="CG1000" s="20" t="inlineStr">
        <is>
          <t>None</t>
        </is>
      </c>
      <c r="CH1000" s="17" t="n"/>
      <c r="CI1000" s="16" t="n"/>
      <c r="CJ1000" s="20" t="n"/>
      <c r="CK1000" s="20" t="inlineStr">
        <is>
          <t>None</t>
        </is>
      </c>
      <c r="CL1000" s="17" t="n"/>
      <c r="CM1000" s="16" t="n"/>
      <c r="CN1000" s="20" t="inlineStr">
        <is>
          <t>SOP 45-34</t>
        </is>
      </c>
      <c r="CO1000" s="20" t="inlineStr">
        <is>
          <t>None</t>
        </is>
      </c>
      <c r="CP1000" s="17" t="n"/>
      <c r="CQ1000" s="16" t="n"/>
      <c r="CR1000" s="20" t="n"/>
      <c r="CS1000" s="20" t="inlineStr">
        <is>
          <t>None</t>
        </is>
      </c>
      <c r="CT1000" s="17" t="n"/>
      <c r="CU1000" s="16" t="n"/>
      <c r="CV1000" s="20" t="n"/>
      <c r="CW1000" s="20" t="inlineStr">
        <is>
          <t>None</t>
        </is>
      </c>
      <c r="CX1000" s="17" t="n"/>
      <c r="CY1000" s="16" t="n"/>
      <c r="CZ1000" s="20" t="inlineStr">
        <is>
          <t>WTW Multimeter 3430 with FDO 925</t>
        </is>
      </c>
      <c r="DA1000" s="20" t="inlineStr">
        <is>
          <t>None</t>
        </is>
      </c>
      <c r="DB1000" s="17" t="n"/>
      <c r="DC1000" s="16" t="n"/>
      <c r="DD1000" s="20" t="n"/>
      <c r="DE1000" s="20" t="inlineStr">
        <is>
          <t>None</t>
        </is>
      </c>
      <c r="DF1000" s="17" t="n"/>
      <c r="DG1000" s="16" t="n"/>
      <c r="DH1000" s="20" t="inlineStr">
        <is>
          <t>SOP 45-09</t>
        </is>
      </c>
      <c r="DI1000" s="20" t="inlineStr">
        <is>
          <t>None</t>
        </is>
      </c>
      <c r="DJ1000" s="17" t="n"/>
      <c r="DK1000" s="16" t="n"/>
      <c r="DL1000" s="20" t="inlineStr">
        <is>
          <t>SOP 45-09 (SOP muss noch angepasst werden für VSS)</t>
        </is>
      </c>
      <c r="DM1000" s="20" t="inlineStr">
        <is>
          <t>None</t>
        </is>
      </c>
      <c r="DN1000" s="17" t="n"/>
      <c r="DO1000" s="16" t="n"/>
      <c r="DP1000" s="20" t="inlineStr">
        <is>
          <t>IC Organic Acids</t>
        </is>
      </c>
      <c r="DQ1000" s="20" t="inlineStr">
        <is>
          <t>None</t>
        </is>
      </c>
      <c r="DR1000" s="17" t="n"/>
      <c r="DS1000" s="16" t="n"/>
      <c r="DT1000" s="20" t="inlineStr">
        <is>
          <t>IC Organic Acids</t>
        </is>
      </c>
      <c r="DU1000" s="20" t="inlineStr">
        <is>
          <t>None</t>
        </is>
      </c>
      <c r="DV1000" s="17" t="n"/>
      <c r="DW1000" s="16" t="n"/>
      <c r="DX1000" s="20" t="inlineStr">
        <is>
          <t>IC Organic Acids</t>
        </is>
      </c>
      <c r="DY1000" s="20" t="inlineStr">
        <is>
          <t>None</t>
        </is>
      </c>
      <c r="DZ1000" s="17" t="n"/>
      <c r="EA1000" s="16" t="n"/>
      <c r="EB1000" s="20" t="inlineStr">
        <is>
          <t>IC Organic Acids</t>
        </is>
      </c>
      <c r="EC1000" s="20" t="inlineStr">
        <is>
          <t>None</t>
        </is>
      </c>
      <c r="ED1000" s="17" t="n"/>
      <c r="EE1000" s="16" t="n"/>
      <c r="EF1000" s="20" t="inlineStr">
        <is>
          <t>IC Organic Acids</t>
        </is>
      </c>
      <c r="EG1000" s="20" t="inlineStr">
        <is>
          <t>None</t>
        </is>
      </c>
      <c r="EH1000" s="17" t="n"/>
      <c r="EI1000" s="16" t="n"/>
      <c r="EJ1000" s="20" t="inlineStr">
        <is>
          <t>IC Organic Acids</t>
        </is>
      </c>
      <c r="EK1000" s="20" t="inlineStr">
        <is>
          <t>None</t>
        </is>
      </c>
      <c r="EL1000" s="17" t="n"/>
      <c r="EM1000" s="16" t="n"/>
      <c r="EN1000" s="20" t="inlineStr">
        <is>
          <t>IC Organic Acids</t>
        </is>
      </c>
      <c r="EO1000" s="20" t="inlineStr">
        <is>
          <t>None</t>
        </is>
      </c>
      <c r="EP1000" s="17" t="n"/>
      <c r="EQ1000" s="16" t="n"/>
      <c r="ER1000" s="20" t="inlineStr">
        <is>
          <t>IC Organic Acids</t>
        </is>
      </c>
      <c r="ES1000" s="20" t="inlineStr">
        <is>
          <t>None</t>
        </is>
      </c>
      <c r="ET1000" s="17" t="n"/>
      <c r="EU1000" s="16" t="n"/>
      <c r="EV1000" s="20" t="inlineStr">
        <is>
          <t>LC-MS</t>
        </is>
      </c>
      <c r="EW1000" s="20" t="inlineStr">
        <is>
          <t>None</t>
        </is>
      </c>
      <c r="EX1000" s="17" t="n"/>
      <c r="EY1000" s="21" t="n"/>
      <c r="EZ1000">
        <f>CONCATENATE(A1000,B1000)</f>
        <v/>
      </c>
      <c r="FA1000">
        <f>CONCATENATE(SamplesX!A1000,SamplesX!B1000)</f>
        <v/>
      </c>
      <c r="FC1000">
        <f>MATCH(EZ1000,FA1:FA1008,0)</f>
        <v/>
      </c>
    </row>
    <row r="1001">
      <c r="A1001" s="16" t="n"/>
      <c r="B1001" s="17" t="n"/>
      <c r="C1001" s="10">
        <f>IF(ISNUMBER(FC1001),INDIRECT("SamplesX!C"&amp;FC1001),IF(ISNUMBER(FD1001),INDIRECT("SamplesY!C"&amp;FD1001),""))</f>
        <v/>
      </c>
      <c r="D1001" s="12">
        <f>IF(ISNUMBER(FC1001),INDIRECT("SamplesX!D"&amp;FC1001),IF(ISNUMBER(FD1001),INDIRECT("SamplesY!D"&amp;FD1001),""))</f>
        <v/>
      </c>
      <c r="E1001" s="12">
        <f>IF(ISNUMBER(FC1001),INDIRECT("SamplesX!E"&amp;FC1001),IF(ISNUMBER(FD1001),INDIRECT("SamplesY!E"&amp;FD1001),""))</f>
        <v/>
      </c>
      <c r="F1001" s="11">
        <f>IF(ISNUMBER(FC1001),INDIRECT("SamplesX!F"&amp;FC1001),IF(ISNUMBER(FD1001),INDIRECT("SamplesY!F"&amp;FD1001),""))</f>
        <v/>
      </c>
      <c r="G1001" s="18">
        <f>IF(ISNUMBER(FC1001),INDIRECT("SamplesX!G"&amp;FC1001),IF(ISNUMBER(FD1001),INDIRECT("SamplesY!G"&amp;FD1001),""))</f>
        <v/>
      </c>
      <c r="H1001" s="19">
        <f>IF(ISNUMBER(FC1001),INDIRECT("SamplesX!H"&amp;FC1001),IF(ISNUMBER(FD1001),INDIRECT("SamplesY!H"&amp;FD1001),""))</f>
        <v/>
      </c>
      <c r="I1001" s="16" t="n"/>
      <c r="J1001" s="16" t="n"/>
      <c r="K1001" s="16" t="n"/>
      <c r="L1001" s="20" t="n"/>
      <c r="M1001" s="20" t="inlineStr">
        <is>
          <t>None</t>
        </is>
      </c>
      <c r="N1001" s="17" t="n"/>
      <c r="O1001" s="16" t="n"/>
      <c r="P1001" s="20" t="inlineStr">
        <is>
          <t>Shimadzu TOC-L</t>
        </is>
      </c>
      <c r="Q1001" s="20" t="inlineStr">
        <is>
          <t>None</t>
        </is>
      </c>
      <c r="R1001" s="17" t="n"/>
      <c r="S1001" s="16" t="n"/>
      <c r="T1001" s="20" t="inlineStr">
        <is>
          <t>Shimadzu TOC-L</t>
        </is>
      </c>
      <c r="U1001" s="20" t="inlineStr">
        <is>
          <t>None</t>
        </is>
      </c>
      <c r="V1001" s="17" t="n"/>
      <c r="W1001" s="16" t="n"/>
      <c r="X1001" s="20" t="n"/>
      <c r="Y1001" s="20" t="inlineStr">
        <is>
          <t>None</t>
        </is>
      </c>
      <c r="Z1001" s="17" t="n"/>
      <c r="AA1001" s="16" t="n"/>
      <c r="AB1001" s="20" t="n"/>
      <c r="AC1001" s="20" t="inlineStr">
        <is>
          <t>None</t>
        </is>
      </c>
      <c r="AD1001" s="17" t="n"/>
      <c r="AE1001" s="16" t="n"/>
      <c r="AF1001" s="20" t="inlineStr">
        <is>
          <t>IC Anionen</t>
        </is>
      </c>
      <c r="AG1001" s="20" t="inlineStr">
        <is>
          <t>None</t>
        </is>
      </c>
      <c r="AH1001" s="17" t="n"/>
      <c r="AI1001" s="16" t="n"/>
      <c r="AJ1001" s="20" t="n"/>
      <c r="AK1001" s="20" t="inlineStr">
        <is>
          <t>None</t>
        </is>
      </c>
      <c r="AL1001" s="17" t="n"/>
      <c r="AM1001" s="16" t="n"/>
      <c r="AN1001" s="20" t="inlineStr">
        <is>
          <t>IC Anionen</t>
        </is>
      </c>
      <c r="AO1001" s="20" t="inlineStr">
        <is>
          <t>None</t>
        </is>
      </c>
      <c r="AP1001" s="17" t="n"/>
      <c r="AQ1001" s="16" t="n"/>
      <c r="AR1001" s="20" t="n"/>
      <c r="AS1001" s="20" t="inlineStr">
        <is>
          <t>None</t>
        </is>
      </c>
      <c r="AT1001" s="17" t="n"/>
      <c r="AU1001" s="16" t="n"/>
      <c r="AV1001" s="20" t="n"/>
      <c r="AW1001" s="20" t="inlineStr">
        <is>
          <t>None</t>
        </is>
      </c>
      <c r="AX1001" s="17" t="n"/>
      <c r="AY1001" s="16" t="n"/>
      <c r="AZ1001" s="20" t="inlineStr">
        <is>
          <t>IC Anionen</t>
        </is>
      </c>
      <c r="BA1001" s="20" t="inlineStr">
        <is>
          <t>None</t>
        </is>
      </c>
      <c r="BB1001" s="17" t="n"/>
      <c r="BC1001" s="16" t="n"/>
      <c r="BD1001" s="20" t="inlineStr">
        <is>
          <t>IC Kationen</t>
        </is>
      </c>
      <c r="BE1001" s="20" t="inlineStr">
        <is>
          <t>None</t>
        </is>
      </c>
      <c r="BF1001" s="17" t="n"/>
      <c r="BG1001" s="16" t="n"/>
      <c r="BH1001" s="20" t="inlineStr">
        <is>
          <t>IC Kationen</t>
        </is>
      </c>
      <c r="BI1001" s="20" t="inlineStr">
        <is>
          <t>None</t>
        </is>
      </c>
      <c r="BJ1001" s="17" t="n"/>
      <c r="BK1001" s="16" t="n"/>
      <c r="BL1001" s="20" t="inlineStr">
        <is>
          <t>IC Kationen</t>
        </is>
      </c>
      <c r="BM1001" s="20" t="inlineStr">
        <is>
          <t>None</t>
        </is>
      </c>
      <c r="BN1001" s="17" t="n"/>
      <c r="BO1001" s="16" t="n"/>
      <c r="BP1001" s="20" t="inlineStr">
        <is>
          <t>IC Kationen</t>
        </is>
      </c>
      <c r="BQ1001" s="20" t="inlineStr">
        <is>
          <t>None</t>
        </is>
      </c>
      <c r="BR1001" s="17" t="n"/>
      <c r="BS1001" s="16" t="n"/>
      <c r="BT1001" s="20" t="inlineStr">
        <is>
          <t>IC Kationen</t>
        </is>
      </c>
      <c r="BU1001" s="20" t="inlineStr">
        <is>
          <t>None</t>
        </is>
      </c>
      <c r="BV1001" s="17" t="n"/>
      <c r="BW1001" s="16" t="n"/>
      <c r="BX1001" s="20" t="n"/>
      <c r="BY1001" s="20" t="inlineStr">
        <is>
          <t>None</t>
        </is>
      </c>
      <c r="BZ1001" s="17" t="n"/>
      <c r="CA1001" s="16" t="n"/>
      <c r="CB1001" s="20" t="n"/>
      <c r="CC1001" s="20" t="inlineStr">
        <is>
          <t>None</t>
        </is>
      </c>
      <c r="CD1001" s="17" t="n"/>
      <c r="CE1001" s="16" t="n"/>
      <c r="CF1001" s="20" t="n"/>
      <c r="CG1001" s="20" t="inlineStr">
        <is>
          <t>None</t>
        </is>
      </c>
      <c r="CH1001" s="17" t="n"/>
      <c r="CI1001" s="16" t="n"/>
      <c r="CJ1001" s="20" t="n"/>
      <c r="CK1001" s="20" t="inlineStr">
        <is>
          <t>None</t>
        </is>
      </c>
      <c r="CL1001" s="17" t="n"/>
      <c r="CM1001" s="16" t="n"/>
      <c r="CN1001" s="20" t="inlineStr">
        <is>
          <t>SOP 45-34</t>
        </is>
      </c>
      <c r="CO1001" s="20" t="inlineStr">
        <is>
          <t>None</t>
        </is>
      </c>
      <c r="CP1001" s="17" t="n"/>
      <c r="CQ1001" s="16" t="n"/>
      <c r="CR1001" s="20" t="n"/>
      <c r="CS1001" s="20" t="inlineStr">
        <is>
          <t>None</t>
        </is>
      </c>
      <c r="CT1001" s="17" t="n"/>
      <c r="CU1001" s="16" t="n"/>
      <c r="CV1001" s="20" t="n"/>
      <c r="CW1001" s="20" t="inlineStr">
        <is>
          <t>None</t>
        </is>
      </c>
      <c r="CX1001" s="17" t="n"/>
      <c r="CY1001" s="16" t="n"/>
      <c r="CZ1001" s="20" t="inlineStr">
        <is>
          <t>WTW Multimeter 3430 with FDO 925</t>
        </is>
      </c>
      <c r="DA1001" s="20" t="inlineStr">
        <is>
          <t>None</t>
        </is>
      </c>
      <c r="DB1001" s="17" t="n"/>
      <c r="DC1001" s="16" t="n"/>
      <c r="DD1001" s="20" t="n"/>
      <c r="DE1001" s="20" t="inlineStr">
        <is>
          <t>None</t>
        </is>
      </c>
      <c r="DF1001" s="17" t="n"/>
      <c r="DG1001" s="16" t="n"/>
      <c r="DH1001" s="20" t="inlineStr">
        <is>
          <t>SOP 45-09</t>
        </is>
      </c>
      <c r="DI1001" s="20" t="inlineStr">
        <is>
          <t>None</t>
        </is>
      </c>
      <c r="DJ1001" s="17" t="n"/>
      <c r="DK1001" s="16" t="n"/>
      <c r="DL1001" s="20" t="inlineStr">
        <is>
          <t>SOP 45-09 (SOP muss noch angepasst werden für VSS)</t>
        </is>
      </c>
      <c r="DM1001" s="20" t="inlineStr">
        <is>
          <t>None</t>
        </is>
      </c>
      <c r="DN1001" s="17" t="n"/>
      <c r="DO1001" s="16" t="n"/>
      <c r="DP1001" s="20" t="inlineStr">
        <is>
          <t>IC Organic Acids</t>
        </is>
      </c>
      <c r="DQ1001" s="20" t="inlineStr">
        <is>
          <t>None</t>
        </is>
      </c>
      <c r="DR1001" s="17" t="n"/>
      <c r="DS1001" s="16" t="n"/>
      <c r="DT1001" s="20" t="inlineStr">
        <is>
          <t>IC Organic Acids</t>
        </is>
      </c>
      <c r="DU1001" s="20" t="inlineStr">
        <is>
          <t>None</t>
        </is>
      </c>
      <c r="DV1001" s="17" t="n"/>
      <c r="DW1001" s="16" t="n"/>
      <c r="DX1001" s="20" t="inlineStr">
        <is>
          <t>IC Organic Acids</t>
        </is>
      </c>
      <c r="DY1001" s="20" t="inlineStr">
        <is>
          <t>None</t>
        </is>
      </c>
      <c r="DZ1001" s="17" t="n"/>
      <c r="EA1001" s="16" t="n"/>
      <c r="EB1001" s="20" t="inlineStr">
        <is>
          <t>IC Organic Acids</t>
        </is>
      </c>
      <c r="EC1001" s="20" t="inlineStr">
        <is>
          <t>None</t>
        </is>
      </c>
      <c r="ED1001" s="17" t="n"/>
      <c r="EE1001" s="16" t="n"/>
      <c r="EF1001" s="20" t="inlineStr">
        <is>
          <t>IC Organic Acids</t>
        </is>
      </c>
      <c r="EG1001" s="20" t="inlineStr">
        <is>
          <t>None</t>
        </is>
      </c>
      <c r="EH1001" s="17" t="n"/>
      <c r="EI1001" s="16" t="n"/>
      <c r="EJ1001" s="20" t="inlineStr">
        <is>
          <t>IC Organic Acids</t>
        </is>
      </c>
      <c r="EK1001" s="20" t="inlineStr">
        <is>
          <t>None</t>
        </is>
      </c>
      <c r="EL1001" s="17" t="n"/>
      <c r="EM1001" s="16" t="n"/>
      <c r="EN1001" s="20" t="inlineStr">
        <is>
          <t>IC Organic Acids</t>
        </is>
      </c>
      <c r="EO1001" s="20" t="inlineStr">
        <is>
          <t>None</t>
        </is>
      </c>
      <c r="EP1001" s="17" t="n"/>
      <c r="EQ1001" s="16" t="n"/>
      <c r="ER1001" s="20" t="inlineStr">
        <is>
          <t>IC Organic Acids</t>
        </is>
      </c>
      <c r="ES1001" s="20" t="inlineStr">
        <is>
          <t>None</t>
        </is>
      </c>
      <c r="ET1001" s="17" t="n"/>
      <c r="EU1001" s="16" t="n"/>
      <c r="EV1001" s="20" t="inlineStr">
        <is>
          <t>LC-MS</t>
        </is>
      </c>
      <c r="EW1001" s="20" t="inlineStr">
        <is>
          <t>None</t>
        </is>
      </c>
      <c r="EX1001" s="17" t="n"/>
      <c r="EY1001" s="21" t="n"/>
      <c r="EZ1001">
        <f>CONCATENATE(A1001,B1001)</f>
        <v/>
      </c>
      <c r="FA1001">
        <f>CONCATENATE(SamplesX!A1001,SamplesX!B1001)</f>
        <v/>
      </c>
      <c r="FC1001">
        <f>MATCH(EZ1001,FA1:FA1008,0)</f>
        <v/>
      </c>
    </row>
    <row r="1002">
      <c r="A1002" s="16" t="n"/>
      <c r="B1002" s="17" t="n"/>
      <c r="C1002" s="10">
        <f>IF(ISNUMBER(FC1002),INDIRECT("SamplesX!C"&amp;FC1002),IF(ISNUMBER(FD1002),INDIRECT("SamplesY!C"&amp;FD1002),""))</f>
        <v/>
      </c>
      <c r="D1002" s="12">
        <f>IF(ISNUMBER(FC1002),INDIRECT("SamplesX!D"&amp;FC1002),IF(ISNUMBER(FD1002),INDIRECT("SamplesY!D"&amp;FD1002),""))</f>
        <v/>
      </c>
      <c r="E1002" s="12">
        <f>IF(ISNUMBER(FC1002),INDIRECT("SamplesX!E"&amp;FC1002),IF(ISNUMBER(FD1002),INDIRECT("SamplesY!E"&amp;FD1002),""))</f>
        <v/>
      </c>
      <c r="F1002" s="11">
        <f>IF(ISNUMBER(FC1002),INDIRECT("SamplesX!F"&amp;FC1002),IF(ISNUMBER(FD1002),INDIRECT("SamplesY!F"&amp;FD1002),""))</f>
        <v/>
      </c>
      <c r="G1002" s="18">
        <f>IF(ISNUMBER(FC1002),INDIRECT("SamplesX!G"&amp;FC1002),IF(ISNUMBER(FD1002),INDIRECT("SamplesY!G"&amp;FD1002),""))</f>
        <v/>
      </c>
      <c r="H1002" s="19">
        <f>IF(ISNUMBER(FC1002),INDIRECT("SamplesX!H"&amp;FC1002),IF(ISNUMBER(FD1002),INDIRECT("SamplesY!H"&amp;FD1002),""))</f>
        <v/>
      </c>
      <c r="I1002" s="16" t="n"/>
      <c r="J1002" s="16" t="n"/>
      <c r="K1002" s="16" t="n"/>
      <c r="L1002" s="20" t="n"/>
      <c r="M1002" s="20" t="inlineStr">
        <is>
          <t>None</t>
        </is>
      </c>
      <c r="N1002" s="17" t="n"/>
      <c r="O1002" s="16" t="n"/>
      <c r="P1002" s="20" t="inlineStr">
        <is>
          <t>Shimadzu TOC-L</t>
        </is>
      </c>
      <c r="Q1002" s="20" t="inlineStr">
        <is>
          <t>None</t>
        </is>
      </c>
      <c r="R1002" s="17" t="n"/>
      <c r="S1002" s="16" t="n"/>
      <c r="T1002" s="20" t="inlineStr">
        <is>
          <t>Shimadzu TOC-L</t>
        </is>
      </c>
      <c r="U1002" s="20" t="inlineStr">
        <is>
          <t>None</t>
        </is>
      </c>
      <c r="V1002" s="17" t="n"/>
      <c r="W1002" s="16" t="n"/>
      <c r="X1002" s="20" t="n"/>
      <c r="Y1002" s="20" t="inlineStr">
        <is>
          <t>None</t>
        </is>
      </c>
      <c r="Z1002" s="17" t="n"/>
      <c r="AA1002" s="16" t="n"/>
      <c r="AB1002" s="20" t="n"/>
      <c r="AC1002" s="20" t="inlineStr">
        <is>
          <t>None</t>
        </is>
      </c>
      <c r="AD1002" s="17" t="n"/>
      <c r="AE1002" s="16" t="n"/>
      <c r="AF1002" s="20" t="inlineStr">
        <is>
          <t>IC Anionen</t>
        </is>
      </c>
      <c r="AG1002" s="20" t="inlineStr">
        <is>
          <t>None</t>
        </is>
      </c>
      <c r="AH1002" s="17" t="n"/>
      <c r="AI1002" s="16" t="n"/>
      <c r="AJ1002" s="20" t="n"/>
      <c r="AK1002" s="20" t="inlineStr">
        <is>
          <t>None</t>
        </is>
      </c>
      <c r="AL1002" s="17" t="n"/>
      <c r="AM1002" s="16" t="n"/>
      <c r="AN1002" s="20" t="inlineStr">
        <is>
          <t>IC Anionen</t>
        </is>
      </c>
      <c r="AO1002" s="20" t="inlineStr">
        <is>
          <t>None</t>
        </is>
      </c>
      <c r="AP1002" s="17" t="n"/>
      <c r="AQ1002" s="16" t="n"/>
      <c r="AR1002" s="20" t="n"/>
      <c r="AS1002" s="20" t="inlineStr">
        <is>
          <t>None</t>
        </is>
      </c>
      <c r="AT1002" s="17" t="n"/>
      <c r="AU1002" s="16" t="n"/>
      <c r="AV1002" s="20" t="n"/>
      <c r="AW1002" s="20" t="inlineStr">
        <is>
          <t>None</t>
        </is>
      </c>
      <c r="AX1002" s="17" t="n"/>
      <c r="AY1002" s="16" t="n"/>
      <c r="AZ1002" s="20" t="inlineStr">
        <is>
          <t>IC Anionen</t>
        </is>
      </c>
      <c r="BA1002" s="20" t="inlineStr">
        <is>
          <t>None</t>
        </is>
      </c>
      <c r="BB1002" s="17" t="n"/>
      <c r="BC1002" s="16" t="n"/>
      <c r="BD1002" s="20" t="inlineStr">
        <is>
          <t>IC Kationen</t>
        </is>
      </c>
      <c r="BE1002" s="20" t="inlineStr">
        <is>
          <t>None</t>
        </is>
      </c>
      <c r="BF1002" s="17" t="n"/>
      <c r="BG1002" s="16" t="n"/>
      <c r="BH1002" s="20" t="inlineStr">
        <is>
          <t>IC Kationen</t>
        </is>
      </c>
      <c r="BI1002" s="20" t="inlineStr">
        <is>
          <t>None</t>
        </is>
      </c>
      <c r="BJ1002" s="17" t="n"/>
      <c r="BK1002" s="16" t="n"/>
      <c r="BL1002" s="20" t="inlineStr">
        <is>
          <t>IC Kationen</t>
        </is>
      </c>
      <c r="BM1002" s="20" t="inlineStr">
        <is>
          <t>None</t>
        </is>
      </c>
      <c r="BN1002" s="17" t="n"/>
      <c r="BO1002" s="16" t="n"/>
      <c r="BP1002" s="20" t="inlineStr">
        <is>
          <t>IC Kationen</t>
        </is>
      </c>
      <c r="BQ1002" s="20" t="inlineStr">
        <is>
          <t>None</t>
        </is>
      </c>
      <c r="BR1002" s="17" t="n"/>
      <c r="BS1002" s="16" t="n"/>
      <c r="BT1002" s="20" t="inlineStr">
        <is>
          <t>IC Kationen</t>
        </is>
      </c>
      <c r="BU1002" s="20" t="inlineStr">
        <is>
          <t>None</t>
        </is>
      </c>
      <c r="BV1002" s="17" t="n"/>
      <c r="BW1002" s="16" t="n"/>
      <c r="BX1002" s="20" t="n"/>
      <c r="BY1002" s="20" t="inlineStr">
        <is>
          <t>None</t>
        </is>
      </c>
      <c r="BZ1002" s="17" t="n"/>
      <c r="CA1002" s="16" t="n"/>
      <c r="CB1002" s="20" t="n"/>
      <c r="CC1002" s="20" t="inlineStr">
        <is>
          <t>None</t>
        </is>
      </c>
      <c r="CD1002" s="17" t="n"/>
      <c r="CE1002" s="16" t="n"/>
      <c r="CF1002" s="20" t="n"/>
      <c r="CG1002" s="20" t="inlineStr">
        <is>
          <t>None</t>
        </is>
      </c>
      <c r="CH1002" s="17" t="n"/>
      <c r="CI1002" s="16" t="n"/>
      <c r="CJ1002" s="20" t="n"/>
      <c r="CK1002" s="20" t="inlineStr">
        <is>
          <t>None</t>
        </is>
      </c>
      <c r="CL1002" s="17" t="n"/>
      <c r="CM1002" s="16" t="n"/>
      <c r="CN1002" s="20" t="inlineStr">
        <is>
          <t>SOP 45-34</t>
        </is>
      </c>
      <c r="CO1002" s="20" t="inlineStr">
        <is>
          <t>None</t>
        </is>
      </c>
      <c r="CP1002" s="17" t="n"/>
      <c r="CQ1002" s="16" t="n"/>
      <c r="CR1002" s="20" t="n"/>
      <c r="CS1002" s="20" t="inlineStr">
        <is>
          <t>None</t>
        </is>
      </c>
      <c r="CT1002" s="17" t="n"/>
      <c r="CU1002" s="16" t="n"/>
      <c r="CV1002" s="20" t="n"/>
      <c r="CW1002" s="20" t="inlineStr">
        <is>
          <t>None</t>
        </is>
      </c>
      <c r="CX1002" s="17" t="n"/>
      <c r="CY1002" s="16" t="n"/>
      <c r="CZ1002" s="20" t="inlineStr">
        <is>
          <t>WTW Multimeter 3430 with FDO 925</t>
        </is>
      </c>
      <c r="DA1002" s="20" t="inlineStr">
        <is>
          <t>None</t>
        </is>
      </c>
      <c r="DB1002" s="17" t="n"/>
      <c r="DC1002" s="16" t="n"/>
      <c r="DD1002" s="20" t="n"/>
      <c r="DE1002" s="20" t="inlineStr">
        <is>
          <t>None</t>
        </is>
      </c>
      <c r="DF1002" s="17" t="n"/>
      <c r="DG1002" s="16" t="n"/>
      <c r="DH1002" s="20" t="inlineStr">
        <is>
          <t>SOP 45-09</t>
        </is>
      </c>
      <c r="DI1002" s="20" t="inlineStr">
        <is>
          <t>None</t>
        </is>
      </c>
      <c r="DJ1002" s="17" t="n"/>
      <c r="DK1002" s="16" t="n"/>
      <c r="DL1002" s="20" t="inlineStr">
        <is>
          <t>SOP 45-09 (SOP muss noch angepasst werden für VSS)</t>
        </is>
      </c>
      <c r="DM1002" s="20" t="inlineStr">
        <is>
          <t>None</t>
        </is>
      </c>
      <c r="DN1002" s="17" t="n"/>
      <c r="DO1002" s="16" t="n"/>
      <c r="DP1002" s="20" t="inlineStr">
        <is>
          <t>IC Organic Acids</t>
        </is>
      </c>
      <c r="DQ1002" s="20" t="inlineStr">
        <is>
          <t>None</t>
        </is>
      </c>
      <c r="DR1002" s="17" t="n"/>
      <c r="DS1002" s="16" t="n"/>
      <c r="DT1002" s="20" t="inlineStr">
        <is>
          <t>IC Organic Acids</t>
        </is>
      </c>
      <c r="DU1002" s="20" t="inlineStr">
        <is>
          <t>None</t>
        </is>
      </c>
      <c r="DV1002" s="17" t="n"/>
      <c r="DW1002" s="16" t="n"/>
      <c r="DX1002" s="20" t="inlineStr">
        <is>
          <t>IC Organic Acids</t>
        </is>
      </c>
      <c r="DY1002" s="20" t="inlineStr">
        <is>
          <t>None</t>
        </is>
      </c>
      <c r="DZ1002" s="17" t="n"/>
      <c r="EA1002" s="16" t="n"/>
      <c r="EB1002" s="20" t="inlineStr">
        <is>
          <t>IC Organic Acids</t>
        </is>
      </c>
      <c r="EC1002" s="20" t="inlineStr">
        <is>
          <t>None</t>
        </is>
      </c>
      <c r="ED1002" s="17" t="n"/>
      <c r="EE1002" s="16" t="n"/>
      <c r="EF1002" s="20" t="inlineStr">
        <is>
          <t>IC Organic Acids</t>
        </is>
      </c>
      <c r="EG1002" s="20" t="inlineStr">
        <is>
          <t>None</t>
        </is>
      </c>
      <c r="EH1002" s="17" t="n"/>
      <c r="EI1002" s="16" t="n"/>
      <c r="EJ1002" s="20" t="inlineStr">
        <is>
          <t>IC Organic Acids</t>
        </is>
      </c>
      <c r="EK1002" s="20" t="inlineStr">
        <is>
          <t>None</t>
        </is>
      </c>
      <c r="EL1002" s="17" t="n"/>
      <c r="EM1002" s="16" t="n"/>
      <c r="EN1002" s="20" t="inlineStr">
        <is>
          <t>IC Organic Acids</t>
        </is>
      </c>
      <c r="EO1002" s="20" t="inlineStr">
        <is>
          <t>None</t>
        </is>
      </c>
      <c r="EP1002" s="17" t="n"/>
      <c r="EQ1002" s="16" t="n"/>
      <c r="ER1002" s="20" t="inlineStr">
        <is>
          <t>IC Organic Acids</t>
        </is>
      </c>
      <c r="ES1002" s="20" t="inlineStr">
        <is>
          <t>None</t>
        </is>
      </c>
      <c r="ET1002" s="17" t="n"/>
      <c r="EU1002" s="16" t="n"/>
      <c r="EV1002" s="20" t="inlineStr">
        <is>
          <t>LC-MS</t>
        </is>
      </c>
      <c r="EW1002" s="20" t="inlineStr">
        <is>
          <t>None</t>
        </is>
      </c>
      <c r="EX1002" s="17" t="n"/>
      <c r="EY1002" s="21" t="n"/>
      <c r="EZ1002">
        <f>CONCATENATE(A1002,B1002)</f>
        <v/>
      </c>
      <c r="FA1002">
        <f>CONCATENATE(SamplesX!A1002,SamplesX!B1002)</f>
        <v/>
      </c>
      <c r="FC1002">
        <f>MATCH(EZ1002,FA1:FA1008,0)</f>
        <v/>
      </c>
    </row>
    <row r="1003">
      <c r="A1003" s="16" t="n"/>
      <c r="B1003" s="17" t="n"/>
      <c r="C1003" s="10">
        <f>IF(ISNUMBER(FC1003),INDIRECT("SamplesX!C"&amp;FC1003),IF(ISNUMBER(FD1003),INDIRECT("SamplesY!C"&amp;FD1003),""))</f>
        <v/>
      </c>
      <c r="D1003" s="12">
        <f>IF(ISNUMBER(FC1003),INDIRECT("SamplesX!D"&amp;FC1003),IF(ISNUMBER(FD1003),INDIRECT("SamplesY!D"&amp;FD1003),""))</f>
        <v/>
      </c>
      <c r="E1003" s="12">
        <f>IF(ISNUMBER(FC1003),INDIRECT("SamplesX!E"&amp;FC1003),IF(ISNUMBER(FD1003),INDIRECT("SamplesY!E"&amp;FD1003),""))</f>
        <v/>
      </c>
      <c r="F1003" s="11">
        <f>IF(ISNUMBER(FC1003),INDIRECT("SamplesX!F"&amp;FC1003),IF(ISNUMBER(FD1003),INDIRECT("SamplesY!F"&amp;FD1003),""))</f>
        <v/>
      </c>
      <c r="G1003" s="18">
        <f>IF(ISNUMBER(FC1003),INDIRECT("SamplesX!G"&amp;FC1003),IF(ISNUMBER(FD1003),INDIRECT("SamplesY!G"&amp;FD1003),""))</f>
        <v/>
      </c>
      <c r="H1003" s="19">
        <f>IF(ISNUMBER(FC1003),INDIRECT("SamplesX!H"&amp;FC1003),IF(ISNUMBER(FD1003),INDIRECT("SamplesY!H"&amp;FD1003),""))</f>
        <v/>
      </c>
      <c r="I1003" s="16" t="n"/>
      <c r="J1003" s="16" t="n"/>
      <c r="K1003" s="16" t="n"/>
      <c r="L1003" s="20" t="n"/>
      <c r="M1003" s="20" t="inlineStr">
        <is>
          <t>None</t>
        </is>
      </c>
      <c r="N1003" s="17" t="n"/>
      <c r="O1003" s="16" t="n"/>
      <c r="P1003" s="20" t="inlineStr">
        <is>
          <t>Shimadzu TOC-L</t>
        </is>
      </c>
      <c r="Q1003" s="20" t="inlineStr">
        <is>
          <t>None</t>
        </is>
      </c>
      <c r="R1003" s="17" t="n"/>
      <c r="S1003" s="16" t="n"/>
      <c r="T1003" s="20" t="inlineStr">
        <is>
          <t>Shimadzu TOC-L</t>
        </is>
      </c>
      <c r="U1003" s="20" t="inlineStr">
        <is>
          <t>None</t>
        </is>
      </c>
      <c r="V1003" s="17" t="n"/>
      <c r="W1003" s="16" t="n"/>
      <c r="X1003" s="20" t="n"/>
      <c r="Y1003" s="20" t="inlineStr">
        <is>
          <t>None</t>
        </is>
      </c>
      <c r="Z1003" s="17" t="n"/>
      <c r="AA1003" s="16" t="n"/>
      <c r="AB1003" s="20" t="n"/>
      <c r="AC1003" s="20" t="inlineStr">
        <is>
          <t>None</t>
        </is>
      </c>
      <c r="AD1003" s="17" t="n"/>
      <c r="AE1003" s="16" t="n"/>
      <c r="AF1003" s="20" t="inlineStr">
        <is>
          <t>IC Anionen</t>
        </is>
      </c>
      <c r="AG1003" s="20" t="inlineStr">
        <is>
          <t>None</t>
        </is>
      </c>
      <c r="AH1003" s="17" t="n"/>
      <c r="AI1003" s="16" t="n"/>
      <c r="AJ1003" s="20" t="n"/>
      <c r="AK1003" s="20" t="inlineStr">
        <is>
          <t>None</t>
        </is>
      </c>
      <c r="AL1003" s="17" t="n"/>
      <c r="AM1003" s="16" t="n"/>
      <c r="AN1003" s="20" t="inlineStr">
        <is>
          <t>IC Anionen</t>
        </is>
      </c>
      <c r="AO1003" s="20" t="inlineStr">
        <is>
          <t>None</t>
        </is>
      </c>
      <c r="AP1003" s="17" t="n"/>
      <c r="AQ1003" s="16" t="n"/>
      <c r="AR1003" s="20" t="n"/>
      <c r="AS1003" s="20" t="inlineStr">
        <is>
          <t>None</t>
        </is>
      </c>
      <c r="AT1003" s="17" t="n"/>
      <c r="AU1003" s="16" t="n"/>
      <c r="AV1003" s="20" t="n"/>
      <c r="AW1003" s="20" t="inlineStr">
        <is>
          <t>None</t>
        </is>
      </c>
      <c r="AX1003" s="17" t="n"/>
      <c r="AY1003" s="16" t="n"/>
      <c r="AZ1003" s="20" t="inlineStr">
        <is>
          <t>IC Anionen</t>
        </is>
      </c>
      <c r="BA1003" s="20" t="inlineStr">
        <is>
          <t>None</t>
        </is>
      </c>
      <c r="BB1003" s="17" t="n"/>
      <c r="BC1003" s="16" t="n"/>
      <c r="BD1003" s="20" t="inlineStr">
        <is>
          <t>IC Kationen</t>
        </is>
      </c>
      <c r="BE1003" s="20" t="inlineStr">
        <is>
          <t>None</t>
        </is>
      </c>
      <c r="BF1003" s="17" t="n"/>
      <c r="BG1003" s="16" t="n"/>
      <c r="BH1003" s="20" t="inlineStr">
        <is>
          <t>IC Kationen</t>
        </is>
      </c>
      <c r="BI1003" s="20" t="inlineStr">
        <is>
          <t>None</t>
        </is>
      </c>
      <c r="BJ1003" s="17" t="n"/>
      <c r="BK1003" s="16" t="n"/>
      <c r="BL1003" s="20" t="inlineStr">
        <is>
          <t>IC Kationen</t>
        </is>
      </c>
      <c r="BM1003" s="20" t="inlineStr">
        <is>
          <t>None</t>
        </is>
      </c>
      <c r="BN1003" s="17" t="n"/>
      <c r="BO1003" s="16" t="n"/>
      <c r="BP1003" s="20" t="inlineStr">
        <is>
          <t>IC Kationen</t>
        </is>
      </c>
      <c r="BQ1003" s="20" t="inlineStr">
        <is>
          <t>None</t>
        </is>
      </c>
      <c r="BR1003" s="17" t="n"/>
      <c r="BS1003" s="16" t="n"/>
      <c r="BT1003" s="20" t="inlineStr">
        <is>
          <t>IC Kationen</t>
        </is>
      </c>
      <c r="BU1003" s="20" t="inlineStr">
        <is>
          <t>None</t>
        </is>
      </c>
      <c r="BV1003" s="17" t="n"/>
      <c r="BW1003" s="16" t="n"/>
      <c r="BX1003" s="20" t="n"/>
      <c r="BY1003" s="20" t="inlineStr">
        <is>
          <t>None</t>
        </is>
      </c>
      <c r="BZ1003" s="17" t="n"/>
      <c r="CA1003" s="16" t="n"/>
      <c r="CB1003" s="20" t="n"/>
      <c r="CC1003" s="20" t="inlineStr">
        <is>
          <t>None</t>
        </is>
      </c>
      <c r="CD1003" s="17" t="n"/>
      <c r="CE1003" s="16" t="n"/>
      <c r="CF1003" s="20" t="n"/>
      <c r="CG1003" s="20" t="inlineStr">
        <is>
          <t>None</t>
        </is>
      </c>
      <c r="CH1003" s="17" t="n"/>
      <c r="CI1003" s="16" t="n"/>
      <c r="CJ1003" s="20" t="n"/>
      <c r="CK1003" s="20" t="inlineStr">
        <is>
          <t>None</t>
        </is>
      </c>
      <c r="CL1003" s="17" t="n"/>
      <c r="CM1003" s="16" t="n"/>
      <c r="CN1003" s="20" t="inlineStr">
        <is>
          <t>SOP 45-34</t>
        </is>
      </c>
      <c r="CO1003" s="20" t="inlineStr">
        <is>
          <t>None</t>
        </is>
      </c>
      <c r="CP1003" s="17" t="n"/>
      <c r="CQ1003" s="16" t="n"/>
      <c r="CR1003" s="20" t="n"/>
      <c r="CS1003" s="20" t="inlineStr">
        <is>
          <t>None</t>
        </is>
      </c>
      <c r="CT1003" s="17" t="n"/>
      <c r="CU1003" s="16" t="n"/>
      <c r="CV1003" s="20" t="n"/>
      <c r="CW1003" s="20" t="inlineStr">
        <is>
          <t>None</t>
        </is>
      </c>
      <c r="CX1003" s="17" t="n"/>
      <c r="CY1003" s="16" t="n"/>
      <c r="CZ1003" s="20" t="inlineStr">
        <is>
          <t>WTW Multimeter 3430 with FDO 925</t>
        </is>
      </c>
      <c r="DA1003" s="20" t="inlineStr">
        <is>
          <t>None</t>
        </is>
      </c>
      <c r="DB1003" s="17" t="n"/>
      <c r="DC1003" s="16" t="n"/>
      <c r="DD1003" s="20" t="n"/>
      <c r="DE1003" s="20" t="inlineStr">
        <is>
          <t>None</t>
        </is>
      </c>
      <c r="DF1003" s="17" t="n"/>
      <c r="DG1003" s="16" t="n"/>
      <c r="DH1003" s="20" t="inlineStr">
        <is>
          <t>SOP 45-09</t>
        </is>
      </c>
      <c r="DI1003" s="20" t="inlineStr">
        <is>
          <t>None</t>
        </is>
      </c>
      <c r="DJ1003" s="17" t="n"/>
      <c r="DK1003" s="16" t="n"/>
      <c r="DL1003" s="20" t="inlineStr">
        <is>
          <t>SOP 45-09 (SOP muss noch angepasst werden für VSS)</t>
        </is>
      </c>
      <c r="DM1003" s="20" t="inlineStr">
        <is>
          <t>None</t>
        </is>
      </c>
      <c r="DN1003" s="17" t="n"/>
      <c r="DO1003" s="16" t="n"/>
      <c r="DP1003" s="20" t="inlineStr">
        <is>
          <t>IC Organic Acids</t>
        </is>
      </c>
      <c r="DQ1003" s="20" t="inlineStr">
        <is>
          <t>None</t>
        </is>
      </c>
      <c r="DR1003" s="17" t="n"/>
      <c r="DS1003" s="16" t="n"/>
      <c r="DT1003" s="20" t="inlineStr">
        <is>
          <t>IC Organic Acids</t>
        </is>
      </c>
      <c r="DU1003" s="20" t="inlineStr">
        <is>
          <t>None</t>
        </is>
      </c>
      <c r="DV1003" s="17" t="n"/>
      <c r="DW1003" s="16" t="n"/>
      <c r="DX1003" s="20" t="inlineStr">
        <is>
          <t>IC Organic Acids</t>
        </is>
      </c>
      <c r="DY1003" s="20" t="inlineStr">
        <is>
          <t>None</t>
        </is>
      </c>
      <c r="DZ1003" s="17" t="n"/>
      <c r="EA1003" s="16" t="n"/>
      <c r="EB1003" s="20" t="inlineStr">
        <is>
          <t>IC Organic Acids</t>
        </is>
      </c>
      <c r="EC1003" s="20" t="inlineStr">
        <is>
          <t>None</t>
        </is>
      </c>
      <c r="ED1003" s="17" t="n"/>
      <c r="EE1003" s="16" t="n"/>
      <c r="EF1003" s="20" t="inlineStr">
        <is>
          <t>IC Organic Acids</t>
        </is>
      </c>
      <c r="EG1003" s="20" t="inlineStr">
        <is>
          <t>None</t>
        </is>
      </c>
      <c r="EH1003" s="17" t="n"/>
      <c r="EI1003" s="16" t="n"/>
      <c r="EJ1003" s="20" t="inlineStr">
        <is>
          <t>IC Organic Acids</t>
        </is>
      </c>
      <c r="EK1003" s="20" t="inlineStr">
        <is>
          <t>None</t>
        </is>
      </c>
      <c r="EL1003" s="17" t="n"/>
      <c r="EM1003" s="16" t="n"/>
      <c r="EN1003" s="20" t="inlineStr">
        <is>
          <t>IC Organic Acids</t>
        </is>
      </c>
      <c r="EO1003" s="20" t="inlineStr">
        <is>
          <t>None</t>
        </is>
      </c>
      <c r="EP1003" s="17" t="n"/>
      <c r="EQ1003" s="16" t="n"/>
      <c r="ER1003" s="20" t="inlineStr">
        <is>
          <t>IC Organic Acids</t>
        </is>
      </c>
      <c r="ES1003" s="20" t="inlineStr">
        <is>
          <t>None</t>
        </is>
      </c>
      <c r="ET1003" s="17" t="n"/>
      <c r="EU1003" s="16" t="n"/>
      <c r="EV1003" s="20" t="inlineStr">
        <is>
          <t>LC-MS</t>
        </is>
      </c>
      <c r="EW1003" s="20" t="inlineStr">
        <is>
          <t>None</t>
        </is>
      </c>
      <c r="EX1003" s="17" t="n"/>
      <c r="EY1003" s="21" t="n"/>
      <c r="EZ1003">
        <f>CONCATENATE(A1003,B1003)</f>
        <v/>
      </c>
      <c r="FA1003">
        <f>CONCATENATE(SamplesX!A1003,SamplesX!B1003)</f>
        <v/>
      </c>
      <c r="FC1003">
        <f>MATCH(EZ1003,FA1:FA1008,0)</f>
        <v/>
      </c>
    </row>
    <row r="1004">
      <c r="A1004" s="16" t="n"/>
      <c r="B1004" s="17" t="n"/>
      <c r="C1004" s="10">
        <f>IF(ISNUMBER(FC1004),INDIRECT("SamplesX!C"&amp;FC1004),IF(ISNUMBER(FD1004),INDIRECT("SamplesY!C"&amp;FD1004),""))</f>
        <v/>
      </c>
      <c r="D1004" s="12">
        <f>IF(ISNUMBER(FC1004),INDIRECT("SamplesX!D"&amp;FC1004),IF(ISNUMBER(FD1004),INDIRECT("SamplesY!D"&amp;FD1004),""))</f>
        <v/>
      </c>
      <c r="E1004" s="12">
        <f>IF(ISNUMBER(FC1004),INDIRECT("SamplesX!E"&amp;FC1004),IF(ISNUMBER(FD1004),INDIRECT("SamplesY!E"&amp;FD1004),""))</f>
        <v/>
      </c>
      <c r="F1004" s="11">
        <f>IF(ISNUMBER(FC1004),INDIRECT("SamplesX!F"&amp;FC1004),IF(ISNUMBER(FD1004),INDIRECT("SamplesY!F"&amp;FD1004),""))</f>
        <v/>
      </c>
      <c r="G1004" s="18">
        <f>IF(ISNUMBER(FC1004),INDIRECT("SamplesX!G"&amp;FC1004),IF(ISNUMBER(FD1004),INDIRECT("SamplesY!G"&amp;FD1004),""))</f>
        <v/>
      </c>
      <c r="H1004" s="19">
        <f>IF(ISNUMBER(FC1004),INDIRECT("SamplesX!H"&amp;FC1004),IF(ISNUMBER(FD1004),INDIRECT("SamplesY!H"&amp;FD1004),""))</f>
        <v/>
      </c>
      <c r="I1004" s="16" t="n"/>
      <c r="J1004" s="16" t="n"/>
      <c r="K1004" s="16" t="n"/>
      <c r="L1004" s="20" t="n"/>
      <c r="M1004" s="20" t="inlineStr">
        <is>
          <t>None</t>
        </is>
      </c>
      <c r="N1004" s="17" t="n"/>
      <c r="O1004" s="16" t="n"/>
      <c r="P1004" s="20" t="inlineStr">
        <is>
          <t>Shimadzu TOC-L</t>
        </is>
      </c>
      <c r="Q1004" s="20" t="inlineStr">
        <is>
          <t>None</t>
        </is>
      </c>
      <c r="R1004" s="17" t="n"/>
      <c r="S1004" s="16" t="n"/>
      <c r="T1004" s="20" t="inlineStr">
        <is>
          <t>Shimadzu TOC-L</t>
        </is>
      </c>
      <c r="U1004" s="20" t="inlineStr">
        <is>
          <t>None</t>
        </is>
      </c>
      <c r="V1004" s="17" t="n"/>
      <c r="W1004" s="16" t="n"/>
      <c r="X1004" s="20" t="n"/>
      <c r="Y1004" s="20" t="inlineStr">
        <is>
          <t>None</t>
        </is>
      </c>
      <c r="Z1004" s="17" t="n"/>
      <c r="AA1004" s="16" t="n"/>
      <c r="AB1004" s="20" t="n"/>
      <c r="AC1004" s="20" t="inlineStr">
        <is>
          <t>None</t>
        </is>
      </c>
      <c r="AD1004" s="17" t="n"/>
      <c r="AE1004" s="16" t="n"/>
      <c r="AF1004" s="20" t="inlineStr">
        <is>
          <t>IC Anionen</t>
        </is>
      </c>
      <c r="AG1004" s="20" t="inlineStr">
        <is>
          <t>None</t>
        </is>
      </c>
      <c r="AH1004" s="17" t="n"/>
      <c r="AI1004" s="16" t="n"/>
      <c r="AJ1004" s="20" t="n"/>
      <c r="AK1004" s="20" t="inlineStr">
        <is>
          <t>None</t>
        </is>
      </c>
      <c r="AL1004" s="17" t="n"/>
      <c r="AM1004" s="16" t="n"/>
      <c r="AN1004" s="20" t="inlineStr">
        <is>
          <t>IC Anionen</t>
        </is>
      </c>
      <c r="AO1004" s="20" t="inlineStr">
        <is>
          <t>None</t>
        </is>
      </c>
      <c r="AP1004" s="17" t="n"/>
      <c r="AQ1004" s="16" t="n"/>
      <c r="AR1004" s="20" t="n"/>
      <c r="AS1004" s="20" t="inlineStr">
        <is>
          <t>None</t>
        </is>
      </c>
      <c r="AT1004" s="17" t="n"/>
      <c r="AU1004" s="16" t="n"/>
      <c r="AV1004" s="20" t="n"/>
      <c r="AW1004" s="20" t="inlineStr">
        <is>
          <t>None</t>
        </is>
      </c>
      <c r="AX1004" s="17" t="n"/>
      <c r="AY1004" s="16" t="n"/>
      <c r="AZ1004" s="20" t="inlineStr">
        <is>
          <t>IC Anionen</t>
        </is>
      </c>
      <c r="BA1004" s="20" t="inlineStr">
        <is>
          <t>None</t>
        </is>
      </c>
      <c r="BB1004" s="17" t="n"/>
      <c r="BC1004" s="16" t="n"/>
      <c r="BD1004" s="20" t="inlineStr">
        <is>
          <t>IC Kationen</t>
        </is>
      </c>
      <c r="BE1004" s="20" t="inlineStr">
        <is>
          <t>None</t>
        </is>
      </c>
      <c r="BF1004" s="17" t="n"/>
      <c r="BG1004" s="16" t="n"/>
      <c r="BH1004" s="20" t="inlineStr">
        <is>
          <t>IC Kationen</t>
        </is>
      </c>
      <c r="BI1004" s="20" t="inlineStr">
        <is>
          <t>None</t>
        </is>
      </c>
      <c r="BJ1004" s="17" t="n"/>
      <c r="BK1004" s="16" t="n"/>
      <c r="BL1004" s="20" t="inlineStr">
        <is>
          <t>IC Kationen</t>
        </is>
      </c>
      <c r="BM1004" s="20" t="inlineStr">
        <is>
          <t>None</t>
        </is>
      </c>
      <c r="BN1004" s="17" t="n"/>
      <c r="BO1004" s="16" t="n"/>
      <c r="BP1004" s="20" t="inlineStr">
        <is>
          <t>IC Kationen</t>
        </is>
      </c>
      <c r="BQ1004" s="20" t="inlineStr">
        <is>
          <t>None</t>
        </is>
      </c>
      <c r="BR1004" s="17" t="n"/>
      <c r="BS1004" s="16" t="n"/>
      <c r="BT1004" s="20" t="inlineStr">
        <is>
          <t>IC Kationen</t>
        </is>
      </c>
      <c r="BU1004" s="20" t="inlineStr">
        <is>
          <t>None</t>
        </is>
      </c>
      <c r="BV1004" s="17" t="n"/>
      <c r="BW1004" s="16" t="n"/>
      <c r="BX1004" s="20" t="n"/>
      <c r="BY1004" s="20" t="inlineStr">
        <is>
          <t>None</t>
        </is>
      </c>
      <c r="BZ1004" s="17" t="n"/>
      <c r="CA1004" s="16" t="n"/>
      <c r="CB1004" s="20" t="n"/>
      <c r="CC1004" s="20" t="inlineStr">
        <is>
          <t>None</t>
        </is>
      </c>
      <c r="CD1004" s="17" t="n"/>
      <c r="CE1004" s="16" t="n"/>
      <c r="CF1004" s="20" t="n"/>
      <c r="CG1004" s="20" t="inlineStr">
        <is>
          <t>None</t>
        </is>
      </c>
      <c r="CH1004" s="17" t="n"/>
      <c r="CI1004" s="16" t="n"/>
      <c r="CJ1004" s="20" t="n"/>
      <c r="CK1004" s="20" t="inlineStr">
        <is>
          <t>None</t>
        </is>
      </c>
      <c r="CL1004" s="17" t="n"/>
      <c r="CM1004" s="16" t="n"/>
      <c r="CN1004" s="20" t="inlineStr">
        <is>
          <t>SOP 45-34</t>
        </is>
      </c>
      <c r="CO1004" s="20" t="inlineStr">
        <is>
          <t>None</t>
        </is>
      </c>
      <c r="CP1004" s="17" t="n"/>
      <c r="CQ1004" s="16" t="n"/>
      <c r="CR1004" s="20" t="n"/>
      <c r="CS1004" s="20" t="inlineStr">
        <is>
          <t>None</t>
        </is>
      </c>
      <c r="CT1004" s="17" t="n"/>
      <c r="CU1004" s="16" t="n"/>
      <c r="CV1004" s="20" t="n"/>
      <c r="CW1004" s="20" t="inlineStr">
        <is>
          <t>None</t>
        </is>
      </c>
      <c r="CX1004" s="17" t="n"/>
      <c r="CY1004" s="16" t="n"/>
      <c r="CZ1004" s="20" t="inlineStr">
        <is>
          <t>WTW Multimeter 3430 with FDO 925</t>
        </is>
      </c>
      <c r="DA1004" s="20" t="inlineStr">
        <is>
          <t>None</t>
        </is>
      </c>
      <c r="DB1004" s="17" t="n"/>
      <c r="DC1004" s="16" t="n"/>
      <c r="DD1004" s="20" t="n"/>
      <c r="DE1004" s="20" t="inlineStr">
        <is>
          <t>None</t>
        </is>
      </c>
      <c r="DF1004" s="17" t="n"/>
      <c r="DG1004" s="16" t="n"/>
      <c r="DH1004" s="20" t="inlineStr">
        <is>
          <t>SOP 45-09</t>
        </is>
      </c>
      <c r="DI1004" s="20" t="inlineStr">
        <is>
          <t>None</t>
        </is>
      </c>
      <c r="DJ1004" s="17" t="n"/>
      <c r="DK1004" s="16" t="n"/>
      <c r="DL1004" s="20" t="inlineStr">
        <is>
          <t>SOP 45-09 (SOP muss noch angepasst werden für VSS)</t>
        </is>
      </c>
      <c r="DM1004" s="20" t="inlineStr">
        <is>
          <t>None</t>
        </is>
      </c>
      <c r="DN1004" s="17" t="n"/>
      <c r="DO1004" s="16" t="n"/>
      <c r="DP1004" s="20" t="inlineStr">
        <is>
          <t>IC Organic Acids</t>
        </is>
      </c>
      <c r="DQ1004" s="20" t="inlineStr">
        <is>
          <t>None</t>
        </is>
      </c>
      <c r="DR1004" s="17" t="n"/>
      <c r="DS1004" s="16" t="n"/>
      <c r="DT1004" s="20" t="inlineStr">
        <is>
          <t>IC Organic Acids</t>
        </is>
      </c>
      <c r="DU1004" s="20" t="inlineStr">
        <is>
          <t>None</t>
        </is>
      </c>
      <c r="DV1004" s="17" t="n"/>
      <c r="DW1004" s="16" t="n"/>
      <c r="DX1004" s="20" t="inlineStr">
        <is>
          <t>IC Organic Acids</t>
        </is>
      </c>
      <c r="DY1004" s="20" t="inlineStr">
        <is>
          <t>None</t>
        </is>
      </c>
      <c r="DZ1004" s="17" t="n"/>
      <c r="EA1004" s="16" t="n"/>
      <c r="EB1004" s="20" t="inlineStr">
        <is>
          <t>IC Organic Acids</t>
        </is>
      </c>
      <c r="EC1004" s="20" t="inlineStr">
        <is>
          <t>None</t>
        </is>
      </c>
      <c r="ED1004" s="17" t="n"/>
      <c r="EE1004" s="16" t="n"/>
      <c r="EF1004" s="20" t="inlineStr">
        <is>
          <t>IC Organic Acids</t>
        </is>
      </c>
      <c r="EG1004" s="20" t="inlineStr">
        <is>
          <t>None</t>
        </is>
      </c>
      <c r="EH1004" s="17" t="n"/>
      <c r="EI1004" s="16" t="n"/>
      <c r="EJ1004" s="20" t="inlineStr">
        <is>
          <t>IC Organic Acids</t>
        </is>
      </c>
      <c r="EK1004" s="20" t="inlineStr">
        <is>
          <t>None</t>
        </is>
      </c>
      <c r="EL1004" s="17" t="n"/>
      <c r="EM1004" s="16" t="n"/>
      <c r="EN1004" s="20" t="inlineStr">
        <is>
          <t>IC Organic Acids</t>
        </is>
      </c>
      <c r="EO1004" s="20" t="inlineStr">
        <is>
          <t>None</t>
        </is>
      </c>
      <c r="EP1004" s="17" t="n"/>
      <c r="EQ1004" s="16" t="n"/>
      <c r="ER1004" s="20" t="inlineStr">
        <is>
          <t>IC Organic Acids</t>
        </is>
      </c>
      <c r="ES1004" s="20" t="inlineStr">
        <is>
          <t>None</t>
        </is>
      </c>
      <c r="ET1004" s="17" t="n"/>
      <c r="EU1004" s="16" t="n"/>
      <c r="EV1004" s="20" t="inlineStr">
        <is>
          <t>LC-MS</t>
        </is>
      </c>
      <c r="EW1004" s="20" t="inlineStr">
        <is>
          <t>None</t>
        </is>
      </c>
      <c r="EX1004" s="17" t="n"/>
      <c r="EY1004" s="21" t="n"/>
      <c r="EZ1004">
        <f>CONCATENATE(A1004,B1004)</f>
        <v/>
      </c>
      <c r="FA1004">
        <f>CONCATENATE(SamplesX!A1004,SamplesX!B1004)</f>
        <v/>
      </c>
      <c r="FC1004">
        <f>MATCH(EZ1004,FA1:FA1008,0)</f>
        <v/>
      </c>
    </row>
    <row r="1005">
      <c r="A1005" s="16" t="n"/>
      <c r="B1005" s="17" t="n"/>
      <c r="C1005" s="10">
        <f>IF(ISNUMBER(FC1005),INDIRECT("SamplesX!C"&amp;FC1005),IF(ISNUMBER(FD1005),INDIRECT("SamplesY!C"&amp;FD1005),""))</f>
        <v/>
      </c>
      <c r="D1005" s="12">
        <f>IF(ISNUMBER(FC1005),INDIRECT("SamplesX!D"&amp;FC1005),IF(ISNUMBER(FD1005),INDIRECT("SamplesY!D"&amp;FD1005),""))</f>
        <v/>
      </c>
      <c r="E1005" s="12">
        <f>IF(ISNUMBER(FC1005),INDIRECT("SamplesX!E"&amp;FC1005),IF(ISNUMBER(FD1005),INDIRECT("SamplesY!E"&amp;FD1005),""))</f>
        <v/>
      </c>
      <c r="F1005" s="11">
        <f>IF(ISNUMBER(FC1005),INDIRECT("SamplesX!F"&amp;FC1005),IF(ISNUMBER(FD1005),INDIRECT("SamplesY!F"&amp;FD1005),""))</f>
        <v/>
      </c>
      <c r="G1005" s="18">
        <f>IF(ISNUMBER(FC1005),INDIRECT("SamplesX!G"&amp;FC1005),IF(ISNUMBER(FD1005),INDIRECT("SamplesY!G"&amp;FD1005),""))</f>
        <v/>
      </c>
      <c r="H1005" s="19">
        <f>IF(ISNUMBER(FC1005),INDIRECT("SamplesX!H"&amp;FC1005),IF(ISNUMBER(FD1005),INDIRECT("SamplesY!H"&amp;FD1005),""))</f>
        <v/>
      </c>
      <c r="I1005" s="16" t="n"/>
      <c r="J1005" s="16" t="n"/>
      <c r="K1005" s="16" t="n"/>
      <c r="L1005" s="20" t="n"/>
      <c r="M1005" s="20" t="inlineStr">
        <is>
          <t>None</t>
        </is>
      </c>
      <c r="N1005" s="17" t="n"/>
      <c r="O1005" s="16" t="n"/>
      <c r="P1005" s="20" t="inlineStr">
        <is>
          <t>Shimadzu TOC-L</t>
        </is>
      </c>
      <c r="Q1005" s="20" t="inlineStr">
        <is>
          <t>None</t>
        </is>
      </c>
      <c r="R1005" s="17" t="n"/>
      <c r="S1005" s="16" t="n"/>
      <c r="T1005" s="20" t="inlineStr">
        <is>
          <t>Shimadzu TOC-L</t>
        </is>
      </c>
      <c r="U1005" s="20" t="inlineStr">
        <is>
          <t>None</t>
        </is>
      </c>
      <c r="V1005" s="17" t="n"/>
      <c r="W1005" s="16" t="n"/>
      <c r="X1005" s="20" t="n"/>
      <c r="Y1005" s="20" t="inlineStr">
        <is>
          <t>None</t>
        </is>
      </c>
      <c r="Z1005" s="17" t="n"/>
      <c r="AA1005" s="16" t="n"/>
      <c r="AB1005" s="20" t="n"/>
      <c r="AC1005" s="20" t="inlineStr">
        <is>
          <t>None</t>
        </is>
      </c>
      <c r="AD1005" s="17" t="n"/>
      <c r="AE1005" s="16" t="n"/>
      <c r="AF1005" s="20" t="inlineStr">
        <is>
          <t>IC Anionen</t>
        </is>
      </c>
      <c r="AG1005" s="20" t="inlineStr">
        <is>
          <t>None</t>
        </is>
      </c>
      <c r="AH1005" s="17" t="n"/>
      <c r="AI1005" s="16" t="n"/>
      <c r="AJ1005" s="20" t="n"/>
      <c r="AK1005" s="20" t="inlineStr">
        <is>
          <t>None</t>
        </is>
      </c>
      <c r="AL1005" s="17" t="n"/>
      <c r="AM1005" s="16" t="n"/>
      <c r="AN1005" s="20" t="inlineStr">
        <is>
          <t>IC Anionen</t>
        </is>
      </c>
      <c r="AO1005" s="20" t="inlineStr">
        <is>
          <t>None</t>
        </is>
      </c>
      <c r="AP1005" s="17" t="n"/>
      <c r="AQ1005" s="16" t="n"/>
      <c r="AR1005" s="20" t="n"/>
      <c r="AS1005" s="20" t="inlineStr">
        <is>
          <t>None</t>
        </is>
      </c>
      <c r="AT1005" s="17" t="n"/>
      <c r="AU1005" s="16" t="n"/>
      <c r="AV1005" s="20" t="n"/>
      <c r="AW1005" s="20" t="inlineStr">
        <is>
          <t>None</t>
        </is>
      </c>
      <c r="AX1005" s="17" t="n"/>
      <c r="AY1005" s="16" t="n"/>
      <c r="AZ1005" s="20" t="inlineStr">
        <is>
          <t>IC Anionen</t>
        </is>
      </c>
      <c r="BA1005" s="20" t="inlineStr">
        <is>
          <t>None</t>
        </is>
      </c>
      <c r="BB1005" s="17" t="n"/>
      <c r="BC1005" s="16" t="n"/>
      <c r="BD1005" s="20" t="inlineStr">
        <is>
          <t>IC Kationen</t>
        </is>
      </c>
      <c r="BE1005" s="20" t="inlineStr">
        <is>
          <t>None</t>
        </is>
      </c>
      <c r="BF1005" s="17" t="n"/>
      <c r="BG1005" s="16" t="n"/>
      <c r="BH1005" s="20" t="inlineStr">
        <is>
          <t>IC Kationen</t>
        </is>
      </c>
      <c r="BI1005" s="20" t="inlineStr">
        <is>
          <t>None</t>
        </is>
      </c>
      <c r="BJ1005" s="17" t="n"/>
      <c r="BK1005" s="16" t="n"/>
      <c r="BL1005" s="20" t="inlineStr">
        <is>
          <t>IC Kationen</t>
        </is>
      </c>
      <c r="BM1005" s="20" t="inlineStr">
        <is>
          <t>None</t>
        </is>
      </c>
      <c r="BN1005" s="17" t="n"/>
      <c r="BO1005" s="16" t="n"/>
      <c r="BP1005" s="20" t="inlineStr">
        <is>
          <t>IC Kationen</t>
        </is>
      </c>
      <c r="BQ1005" s="20" t="inlineStr">
        <is>
          <t>None</t>
        </is>
      </c>
      <c r="BR1005" s="17" t="n"/>
      <c r="BS1005" s="16" t="n"/>
      <c r="BT1005" s="20" t="inlineStr">
        <is>
          <t>IC Kationen</t>
        </is>
      </c>
      <c r="BU1005" s="20" t="inlineStr">
        <is>
          <t>None</t>
        </is>
      </c>
      <c r="BV1005" s="17" t="n"/>
      <c r="BW1005" s="16" t="n"/>
      <c r="BX1005" s="20" t="n"/>
      <c r="BY1005" s="20" t="inlineStr">
        <is>
          <t>None</t>
        </is>
      </c>
      <c r="BZ1005" s="17" t="n"/>
      <c r="CA1005" s="16" t="n"/>
      <c r="CB1005" s="20" t="n"/>
      <c r="CC1005" s="20" t="inlineStr">
        <is>
          <t>None</t>
        </is>
      </c>
      <c r="CD1005" s="17" t="n"/>
      <c r="CE1005" s="16" t="n"/>
      <c r="CF1005" s="20" t="n"/>
      <c r="CG1005" s="20" t="inlineStr">
        <is>
          <t>None</t>
        </is>
      </c>
      <c r="CH1005" s="17" t="n"/>
      <c r="CI1005" s="16" t="n"/>
      <c r="CJ1005" s="20" t="n"/>
      <c r="CK1005" s="20" t="inlineStr">
        <is>
          <t>None</t>
        </is>
      </c>
      <c r="CL1005" s="17" t="n"/>
      <c r="CM1005" s="16" t="n"/>
      <c r="CN1005" s="20" t="inlineStr">
        <is>
          <t>SOP 45-34</t>
        </is>
      </c>
      <c r="CO1005" s="20" t="inlineStr">
        <is>
          <t>None</t>
        </is>
      </c>
      <c r="CP1005" s="17" t="n"/>
      <c r="CQ1005" s="16" t="n"/>
      <c r="CR1005" s="20" t="n"/>
      <c r="CS1005" s="20" t="inlineStr">
        <is>
          <t>None</t>
        </is>
      </c>
      <c r="CT1005" s="17" t="n"/>
      <c r="CU1005" s="16" t="n"/>
      <c r="CV1005" s="20" t="n"/>
      <c r="CW1005" s="20" t="inlineStr">
        <is>
          <t>None</t>
        </is>
      </c>
      <c r="CX1005" s="17" t="n"/>
      <c r="CY1005" s="16" t="n"/>
      <c r="CZ1005" s="20" t="inlineStr">
        <is>
          <t>WTW Multimeter 3430 with FDO 925</t>
        </is>
      </c>
      <c r="DA1005" s="20" t="inlineStr">
        <is>
          <t>None</t>
        </is>
      </c>
      <c r="DB1005" s="17" t="n"/>
      <c r="DC1005" s="16" t="n"/>
      <c r="DD1005" s="20" t="n"/>
      <c r="DE1005" s="20" t="inlineStr">
        <is>
          <t>None</t>
        </is>
      </c>
      <c r="DF1005" s="17" t="n"/>
      <c r="DG1005" s="16" t="n"/>
      <c r="DH1005" s="20" t="inlineStr">
        <is>
          <t>SOP 45-09</t>
        </is>
      </c>
      <c r="DI1005" s="20" t="inlineStr">
        <is>
          <t>None</t>
        </is>
      </c>
      <c r="DJ1005" s="17" t="n"/>
      <c r="DK1005" s="16" t="n"/>
      <c r="DL1005" s="20" t="inlineStr">
        <is>
          <t>SOP 45-09 (SOP muss noch angepasst werden für VSS)</t>
        </is>
      </c>
      <c r="DM1005" s="20" t="inlineStr">
        <is>
          <t>None</t>
        </is>
      </c>
      <c r="DN1005" s="17" t="n"/>
      <c r="DO1005" s="16" t="n"/>
      <c r="DP1005" s="20" t="inlineStr">
        <is>
          <t>IC Organic Acids</t>
        </is>
      </c>
      <c r="DQ1005" s="20" t="inlineStr">
        <is>
          <t>None</t>
        </is>
      </c>
      <c r="DR1005" s="17" t="n"/>
      <c r="DS1005" s="16" t="n"/>
      <c r="DT1005" s="20" t="inlineStr">
        <is>
          <t>IC Organic Acids</t>
        </is>
      </c>
      <c r="DU1005" s="20" t="inlineStr">
        <is>
          <t>None</t>
        </is>
      </c>
      <c r="DV1005" s="17" t="n"/>
      <c r="DW1005" s="16" t="n"/>
      <c r="DX1005" s="20" t="inlineStr">
        <is>
          <t>IC Organic Acids</t>
        </is>
      </c>
      <c r="DY1005" s="20" t="inlineStr">
        <is>
          <t>None</t>
        </is>
      </c>
      <c r="DZ1005" s="17" t="n"/>
      <c r="EA1005" s="16" t="n"/>
      <c r="EB1005" s="20" t="inlineStr">
        <is>
          <t>IC Organic Acids</t>
        </is>
      </c>
      <c r="EC1005" s="20" t="inlineStr">
        <is>
          <t>None</t>
        </is>
      </c>
      <c r="ED1005" s="17" t="n"/>
      <c r="EE1005" s="16" t="n"/>
      <c r="EF1005" s="20" t="inlineStr">
        <is>
          <t>IC Organic Acids</t>
        </is>
      </c>
      <c r="EG1005" s="20" t="inlineStr">
        <is>
          <t>None</t>
        </is>
      </c>
      <c r="EH1005" s="17" t="n"/>
      <c r="EI1005" s="16" t="n"/>
      <c r="EJ1005" s="20" t="inlineStr">
        <is>
          <t>IC Organic Acids</t>
        </is>
      </c>
      <c r="EK1005" s="20" t="inlineStr">
        <is>
          <t>None</t>
        </is>
      </c>
      <c r="EL1005" s="17" t="n"/>
      <c r="EM1005" s="16" t="n"/>
      <c r="EN1005" s="20" t="inlineStr">
        <is>
          <t>IC Organic Acids</t>
        </is>
      </c>
      <c r="EO1005" s="20" t="inlineStr">
        <is>
          <t>None</t>
        </is>
      </c>
      <c r="EP1005" s="17" t="n"/>
      <c r="EQ1005" s="16" t="n"/>
      <c r="ER1005" s="20" t="inlineStr">
        <is>
          <t>IC Organic Acids</t>
        </is>
      </c>
      <c r="ES1005" s="20" t="inlineStr">
        <is>
          <t>None</t>
        </is>
      </c>
      <c r="ET1005" s="17" t="n"/>
      <c r="EU1005" s="16" t="n"/>
      <c r="EV1005" s="20" t="inlineStr">
        <is>
          <t>LC-MS</t>
        </is>
      </c>
      <c r="EW1005" s="20" t="inlineStr">
        <is>
          <t>None</t>
        </is>
      </c>
      <c r="EX1005" s="17" t="n"/>
      <c r="EY1005" s="21" t="n"/>
      <c r="EZ1005">
        <f>CONCATENATE(A1005,B1005)</f>
        <v/>
      </c>
      <c r="FA1005">
        <f>CONCATENATE(SamplesX!A1005,SamplesX!B1005)</f>
        <v/>
      </c>
      <c r="FC1005">
        <f>MATCH(EZ1005,FA1:FA1008,0)</f>
        <v/>
      </c>
    </row>
    <row r="1006">
      <c r="A1006" s="16" t="n"/>
      <c r="B1006" s="17" t="n"/>
      <c r="C1006" s="10">
        <f>IF(ISNUMBER(FC1006),INDIRECT("SamplesX!C"&amp;FC1006),IF(ISNUMBER(FD1006),INDIRECT("SamplesY!C"&amp;FD1006),""))</f>
        <v/>
      </c>
      <c r="D1006" s="12">
        <f>IF(ISNUMBER(FC1006),INDIRECT("SamplesX!D"&amp;FC1006),IF(ISNUMBER(FD1006),INDIRECT("SamplesY!D"&amp;FD1006),""))</f>
        <v/>
      </c>
      <c r="E1006" s="12">
        <f>IF(ISNUMBER(FC1006),INDIRECT("SamplesX!E"&amp;FC1006),IF(ISNUMBER(FD1006),INDIRECT("SamplesY!E"&amp;FD1006),""))</f>
        <v/>
      </c>
      <c r="F1006" s="11">
        <f>IF(ISNUMBER(FC1006),INDIRECT("SamplesX!F"&amp;FC1006),IF(ISNUMBER(FD1006),INDIRECT("SamplesY!F"&amp;FD1006),""))</f>
        <v/>
      </c>
      <c r="G1006" s="18">
        <f>IF(ISNUMBER(FC1006),INDIRECT("SamplesX!G"&amp;FC1006),IF(ISNUMBER(FD1006),INDIRECT("SamplesY!G"&amp;FD1006),""))</f>
        <v/>
      </c>
      <c r="H1006" s="19">
        <f>IF(ISNUMBER(FC1006),INDIRECT("SamplesX!H"&amp;FC1006),IF(ISNUMBER(FD1006),INDIRECT("SamplesY!H"&amp;FD1006),""))</f>
        <v/>
      </c>
      <c r="I1006" s="16" t="n"/>
      <c r="J1006" s="16" t="n"/>
      <c r="K1006" s="16" t="n"/>
      <c r="L1006" s="20" t="n"/>
      <c r="M1006" s="20" t="inlineStr">
        <is>
          <t>None</t>
        </is>
      </c>
      <c r="N1006" s="17" t="n"/>
      <c r="O1006" s="16" t="n"/>
      <c r="P1006" s="20" t="inlineStr">
        <is>
          <t>Shimadzu TOC-L</t>
        </is>
      </c>
      <c r="Q1006" s="20" t="inlineStr">
        <is>
          <t>None</t>
        </is>
      </c>
      <c r="R1006" s="17" t="n"/>
      <c r="S1006" s="16" t="n"/>
      <c r="T1006" s="20" t="inlineStr">
        <is>
          <t>Shimadzu TOC-L</t>
        </is>
      </c>
      <c r="U1006" s="20" t="inlineStr">
        <is>
          <t>None</t>
        </is>
      </c>
      <c r="V1006" s="17" t="n"/>
      <c r="W1006" s="16" t="n"/>
      <c r="X1006" s="20" t="n"/>
      <c r="Y1006" s="20" t="inlineStr">
        <is>
          <t>None</t>
        </is>
      </c>
      <c r="Z1006" s="17" t="n"/>
      <c r="AA1006" s="16" t="n"/>
      <c r="AB1006" s="20" t="n"/>
      <c r="AC1006" s="20" t="inlineStr">
        <is>
          <t>None</t>
        </is>
      </c>
      <c r="AD1006" s="17" t="n"/>
      <c r="AE1006" s="16" t="n"/>
      <c r="AF1006" s="20" t="inlineStr">
        <is>
          <t>IC Anionen</t>
        </is>
      </c>
      <c r="AG1006" s="20" t="inlineStr">
        <is>
          <t>None</t>
        </is>
      </c>
      <c r="AH1006" s="17" t="n"/>
      <c r="AI1006" s="16" t="n"/>
      <c r="AJ1006" s="20" t="n"/>
      <c r="AK1006" s="20" t="inlineStr">
        <is>
          <t>None</t>
        </is>
      </c>
      <c r="AL1006" s="17" t="n"/>
      <c r="AM1006" s="16" t="n"/>
      <c r="AN1006" s="20" t="inlineStr">
        <is>
          <t>IC Anionen</t>
        </is>
      </c>
      <c r="AO1006" s="20" t="inlineStr">
        <is>
          <t>None</t>
        </is>
      </c>
      <c r="AP1006" s="17" t="n"/>
      <c r="AQ1006" s="16" t="n"/>
      <c r="AR1006" s="20" t="n"/>
      <c r="AS1006" s="20" t="inlineStr">
        <is>
          <t>None</t>
        </is>
      </c>
      <c r="AT1006" s="17" t="n"/>
      <c r="AU1006" s="16" t="n"/>
      <c r="AV1006" s="20" t="n"/>
      <c r="AW1006" s="20" t="inlineStr">
        <is>
          <t>None</t>
        </is>
      </c>
      <c r="AX1006" s="17" t="n"/>
      <c r="AY1006" s="16" t="n"/>
      <c r="AZ1006" s="20" t="inlineStr">
        <is>
          <t>IC Anionen</t>
        </is>
      </c>
      <c r="BA1006" s="20" t="inlineStr">
        <is>
          <t>None</t>
        </is>
      </c>
      <c r="BB1006" s="17" t="n"/>
      <c r="BC1006" s="16" t="n"/>
      <c r="BD1006" s="20" t="inlineStr">
        <is>
          <t>IC Kationen</t>
        </is>
      </c>
      <c r="BE1006" s="20" t="inlineStr">
        <is>
          <t>None</t>
        </is>
      </c>
      <c r="BF1006" s="17" t="n"/>
      <c r="BG1006" s="16" t="n"/>
      <c r="BH1006" s="20" t="inlineStr">
        <is>
          <t>IC Kationen</t>
        </is>
      </c>
      <c r="BI1006" s="20" t="inlineStr">
        <is>
          <t>None</t>
        </is>
      </c>
      <c r="BJ1006" s="17" t="n"/>
      <c r="BK1006" s="16" t="n"/>
      <c r="BL1006" s="20" t="inlineStr">
        <is>
          <t>IC Kationen</t>
        </is>
      </c>
      <c r="BM1006" s="20" t="inlineStr">
        <is>
          <t>None</t>
        </is>
      </c>
      <c r="BN1006" s="17" t="n"/>
      <c r="BO1006" s="16" t="n"/>
      <c r="BP1006" s="20" t="inlineStr">
        <is>
          <t>IC Kationen</t>
        </is>
      </c>
      <c r="BQ1006" s="20" t="inlineStr">
        <is>
          <t>None</t>
        </is>
      </c>
      <c r="BR1006" s="17" t="n"/>
      <c r="BS1006" s="16" t="n"/>
      <c r="BT1006" s="20" t="inlineStr">
        <is>
          <t>IC Kationen</t>
        </is>
      </c>
      <c r="BU1006" s="20" t="inlineStr">
        <is>
          <t>None</t>
        </is>
      </c>
      <c r="BV1006" s="17" t="n"/>
      <c r="BW1006" s="16" t="n"/>
      <c r="BX1006" s="20" t="n"/>
      <c r="BY1006" s="20" t="inlineStr">
        <is>
          <t>None</t>
        </is>
      </c>
      <c r="BZ1006" s="17" t="n"/>
      <c r="CA1006" s="16" t="n"/>
      <c r="CB1006" s="20" t="n"/>
      <c r="CC1006" s="20" t="inlineStr">
        <is>
          <t>None</t>
        </is>
      </c>
      <c r="CD1006" s="17" t="n"/>
      <c r="CE1006" s="16" t="n"/>
      <c r="CF1006" s="20" t="n"/>
      <c r="CG1006" s="20" t="inlineStr">
        <is>
          <t>None</t>
        </is>
      </c>
      <c r="CH1006" s="17" t="n"/>
      <c r="CI1006" s="16" t="n"/>
      <c r="CJ1006" s="20" t="n"/>
      <c r="CK1006" s="20" t="inlineStr">
        <is>
          <t>None</t>
        </is>
      </c>
      <c r="CL1006" s="17" t="n"/>
      <c r="CM1006" s="16" t="n"/>
      <c r="CN1006" s="20" t="inlineStr">
        <is>
          <t>SOP 45-34</t>
        </is>
      </c>
      <c r="CO1006" s="20" t="inlineStr">
        <is>
          <t>None</t>
        </is>
      </c>
      <c r="CP1006" s="17" t="n"/>
      <c r="CQ1006" s="16" t="n"/>
      <c r="CR1006" s="20" t="n"/>
      <c r="CS1006" s="20" t="inlineStr">
        <is>
          <t>None</t>
        </is>
      </c>
      <c r="CT1006" s="17" t="n"/>
      <c r="CU1006" s="16" t="n"/>
      <c r="CV1006" s="20" t="n"/>
      <c r="CW1006" s="20" t="inlineStr">
        <is>
          <t>None</t>
        </is>
      </c>
      <c r="CX1006" s="17" t="n"/>
      <c r="CY1006" s="16" t="n"/>
      <c r="CZ1006" s="20" t="inlineStr">
        <is>
          <t>WTW Multimeter 3430 with FDO 925</t>
        </is>
      </c>
      <c r="DA1006" s="20" t="inlineStr">
        <is>
          <t>None</t>
        </is>
      </c>
      <c r="DB1006" s="17" t="n"/>
      <c r="DC1006" s="16" t="n"/>
      <c r="DD1006" s="20" t="n"/>
      <c r="DE1006" s="20" t="inlineStr">
        <is>
          <t>None</t>
        </is>
      </c>
      <c r="DF1006" s="17" t="n"/>
      <c r="DG1006" s="16" t="n"/>
      <c r="DH1006" s="20" t="inlineStr">
        <is>
          <t>SOP 45-09</t>
        </is>
      </c>
      <c r="DI1006" s="20" t="inlineStr">
        <is>
          <t>None</t>
        </is>
      </c>
      <c r="DJ1006" s="17" t="n"/>
      <c r="DK1006" s="16" t="n"/>
      <c r="DL1006" s="20" t="inlineStr">
        <is>
          <t>SOP 45-09 (SOP muss noch angepasst werden für VSS)</t>
        </is>
      </c>
      <c r="DM1006" s="20" t="inlineStr">
        <is>
          <t>None</t>
        </is>
      </c>
      <c r="DN1006" s="17" t="n"/>
      <c r="DO1006" s="16" t="n"/>
      <c r="DP1006" s="20" t="inlineStr">
        <is>
          <t>IC Organic Acids</t>
        </is>
      </c>
      <c r="DQ1006" s="20" t="inlineStr">
        <is>
          <t>None</t>
        </is>
      </c>
      <c r="DR1006" s="17" t="n"/>
      <c r="DS1006" s="16" t="n"/>
      <c r="DT1006" s="20" t="inlineStr">
        <is>
          <t>IC Organic Acids</t>
        </is>
      </c>
      <c r="DU1006" s="20" t="inlineStr">
        <is>
          <t>None</t>
        </is>
      </c>
      <c r="DV1006" s="17" t="n"/>
      <c r="DW1006" s="16" t="n"/>
      <c r="DX1006" s="20" t="inlineStr">
        <is>
          <t>IC Organic Acids</t>
        </is>
      </c>
      <c r="DY1006" s="20" t="inlineStr">
        <is>
          <t>None</t>
        </is>
      </c>
      <c r="DZ1006" s="17" t="n"/>
      <c r="EA1006" s="16" t="n"/>
      <c r="EB1006" s="20" t="inlineStr">
        <is>
          <t>IC Organic Acids</t>
        </is>
      </c>
      <c r="EC1006" s="20" t="inlineStr">
        <is>
          <t>None</t>
        </is>
      </c>
      <c r="ED1006" s="17" t="n"/>
      <c r="EE1006" s="16" t="n"/>
      <c r="EF1006" s="20" t="inlineStr">
        <is>
          <t>IC Organic Acids</t>
        </is>
      </c>
      <c r="EG1006" s="20" t="inlineStr">
        <is>
          <t>None</t>
        </is>
      </c>
      <c r="EH1006" s="17" t="n"/>
      <c r="EI1006" s="16" t="n"/>
      <c r="EJ1006" s="20" t="inlineStr">
        <is>
          <t>IC Organic Acids</t>
        </is>
      </c>
      <c r="EK1006" s="20" t="inlineStr">
        <is>
          <t>None</t>
        </is>
      </c>
      <c r="EL1006" s="17" t="n"/>
      <c r="EM1006" s="16" t="n"/>
      <c r="EN1006" s="20" t="inlineStr">
        <is>
          <t>IC Organic Acids</t>
        </is>
      </c>
      <c r="EO1006" s="20" t="inlineStr">
        <is>
          <t>None</t>
        </is>
      </c>
      <c r="EP1006" s="17" t="n"/>
      <c r="EQ1006" s="16" t="n"/>
      <c r="ER1006" s="20" t="inlineStr">
        <is>
          <t>IC Organic Acids</t>
        </is>
      </c>
      <c r="ES1006" s="20" t="inlineStr">
        <is>
          <t>None</t>
        </is>
      </c>
      <c r="ET1006" s="17" t="n"/>
      <c r="EU1006" s="16" t="n"/>
      <c r="EV1006" s="20" t="inlineStr">
        <is>
          <t>LC-MS</t>
        </is>
      </c>
      <c r="EW1006" s="20" t="inlineStr">
        <is>
          <t>None</t>
        </is>
      </c>
      <c r="EX1006" s="17" t="n"/>
      <c r="EY1006" s="21" t="n"/>
      <c r="EZ1006">
        <f>CONCATENATE(A1006,B1006)</f>
        <v/>
      </c>
      <c r="FA1006">
        <f>CONCATENATE(SamplesX!A1006,SamplesX!B1006)</f>
        <v/>
      </c>
      <c r="FC1006">
        <f>MATCH(EZ1006,FA1:FA1008,0)</f>
        <v/>
      </c>
    </row>
    <row r="1007">
      <c r="A1007" s="22" t="n"/>
      <c r="B1007" s="23" t="n"/>
      <c r="C1007" s="13">
        <f>IF(ISNUMBER(FC1007),INDIRECT("SamplesX!C"&amp;FC1007),IF(ISNUMBER(FD1007),INDIRECT("SamplesY!C"&amp;FD1007),""))</f>
        <v/>
      </c>
      <c r="D1007" s="15">
        <f>IF(ISNUMBER(FC1007),INDIRECT("SamplesX!D"&amp;FC1007),IF(ISNUMBER(FD1007),INDIRECT("SamplesY!D"&amp;FD1007),""))</f>
        <v/>
      </c>
      <c r="E1007" s="15">
        <f>IF(ISNUMBER(FC1007),INDIRECT("SamplesX!E"&amp;FC1007),IF(ISNUMBER(FD1007),INDIRECT("SamplesY!E"&amp;FD1007),""))</f>
        <v/>
      </c>
      <c r="F1007" s="14">
        <f>IF(ISNUMBER(FC1007),INDIRECT("SamplesX!F"&amp;FC1007),IF(ISNUMBER(FD1007),INDIRECT("SamplesY!F"&amp;FD1007),""))</f>
        <v/>
      </c>
      <c r="G1007" s="18">
        <f>IF(ISNUMBER(FC1007),INDIRECT("SamplesX!G"&amp;FC1007),IF(ISNUMBER(FD1007),INDIRECT("SamplesY!G"&amp;FD1007),""))</f>
        <v/>
      </c>
      <c r="H1007" s="19">
        <f>IF(ISNUMBER(FC1007),INDIRECT("SamplesX!H"&amp;FC1007),IF(ISNUMBER(FD1007),INDIRECT("SamplesY!H"&amp;FD1007),""))</f>
        <v/>
      </c>
      <c r="I1007" s="22" t="n"/>
      <c r="J1007" s="22" t="n"/>
      <c r="K1007" s="22" t="n"/>
      <c r="L1007" s="24" t="n"/>
      <c r="M1007" s="24" t="inlineStr">
        <is>
          <t>None</t>
        </is>
      </c>
      <c r="N1007" s="23" t="n"/>
      <c r="O1007" s="22" t="n"/>
      <c r="P1007" s="24" t="inlineStr">
        <is>
          <t>Shimadzu TOC-L</t>
        </is>
      </c>
      <c r="Q1007" s="24" t="inlineStr">
        <is>
          <t>None</t>
        </is>
      </c>
      <c r="R1007" s="23" t="n"/>
      <c r="S1007" s="22" t="n"/>
      <c r="T1007" s="24" t="inlineStr">
        <is>
          <t>Shimadzu TOC-L</t>
        </is>
      </c>
      <c r="U1007" s="24" t="inlineStr">
        <is>
          <t>None</t>
        </is>
      </c>
      <c r="V1007" s="23" t="n"/>
      <c r="W1007" s="22" t="n"/>
      <c r="X1007" s="24" t="n"/>
      <c r="Y1007" s="24" t="inlineStr">
        <is>
          <t>None</t>
        </is>
      </c>
      <c r="Z1007" s="23" t="n"/>
      <c r="AA1007" s="22" t="n"/>
      <c r="AB1007" s="24" t="n"/>
      <c r="AC1007" s="24" t="inlineStr">
        <is>
          <t>None</t>
        </is>
      </c>
      <c r="AD1007" s="23" t="n"/>
      <c r="AE1007" s="22" t="n"/>
      <c r="AF1007" s="24" t="inlineStr">
        <is>
          <t>IC Anionen</t>
        </is>
      </c>
      <c r="AG1007" s="24" t="inlineStr">
        <is>
          <t>None</t>
        </is>
      </c>
      <c r="AH1007" s="23" t="n"/>
      <c r="AI1007" s="22" t="n"/>
      <c r="AJ1007" s="24" t="n"/>
      <c r="AK1007" s="24" t="inlineStr">
        <is>
          <t>None</t>
        </is>
      </c>
      <c r="AL1007" s="23" t="n"/>
      <c r="AM1007" s="22" t="n"/>
      <c r="AN1007" s="24" t="inlineStr">
        <is>
          <t>IC Anionen</t>
        </is>
      </c>
      <c r="AO1007" s="24" t="inlineStr">
        <is>
          <t>None</t>
        </is>
      </c>
      <c r="AP1007" s="23" t="n"/>
      <c r="AQ1007" s="22" t="n"/>
      <c r="AR1007" s="24" t="n"/>
      <c r="AS1007" s="24" t="inlineStr">
        <is>
          <t>None</t>
        </is>
      </c>
      <c r="AT1007" s="23" t="n"/>
      <c r="AU1007" s="22" t="n"/>
      <c r="AV1007" s="24" t="n"/>
      <c r="AW1007" s="24" t="inlineStr">
        <is>
          <t>None</t>
        </is>
      </c>
      <c r="AX1007" s="23" t="n"/>
      <c r="AY1007" s="22" t="n"/>
      <c r="AZ1007" s="24" t="inlineStr">
        <is>
          <t>IC Anionen</t>
        </is>
      </c>
      <c r="BA1007" s="24" t="inlineStr">
        <is>
          <t>None</t>
        </is>
      </c>
      <c r="BB1007" s="23" t="n"/>
      <c r="BC1007" s="22" t="n"/>
      <c r="BD1007" s="24" t="inlineStr">
        <is>
          <t>IC Kationen</t>
        </is>
      </c>
      <c r="BE1007" s="24" t="inlineStr">
        <is>
          <t>None</t>
        </is>
      </c>
      <c r="BF1007" s="23" t="n"/>
      <c r="BG1007" s="22" t="n"/>
      <c r="BH1007" s="24" t="inlineStr">
        <is>
          <t>IC Kationen</t>
        </is>
      </c>
      <c r="BI1007" s="24" t="inlineStr">
        <is>
          <t>None</t>
        </is>
      </c>
      <c r="BJ1007" s="23" t="n"/>
      <c r="BK1007" s="22" t="n"/>
      <c r="BL1007" s="24" t="inlineStr">
        <is>
          <t>IC Kationen</t>
        </is>
      </c>
      <c r="BM1007" s="24" t="inlineStr">
        <is>
          <t>None</t>
        </is>
      </c>
      <c r="BN1007" s="23" t="n"/>
      <c r="BO1007" s="22" t="n"/>
      <c r="BP1007" s="24" t="inlineStr">
        <is>
          <t>IC Kationen</t>
        </is>
      </c>
      <c r="BQ1007" s="24" t="inlineStr">
        <is>
          <t>None</t>
        </is>
      </c>
      <c r="BR1007" s="23" t="n"/>
      <c r="BS1007" s="22" t="n"/>
      <c r="BT1007" s="24" t="inlineStr">
        <is>
          <t>IC Kationen</t>
        </is>
      </c>
      <c r="BU1007" s="24" t="inlineStr">
        <is>
          <t>None</t>
        </is>
      </c>
      <c r="BV1007" s="23" t="n"/>
      <c r="BW1007" s="22" t="n"/>
      <c r="BX1007" s="24" t="n"/>
      <c r="BY1007" s="24" t="inlineStr">
        <is>
          <t>None</t>
        </is>
      </c>
      <c r="BZ1007" s="23" t="n"/>
      <c r="CA1007" s="22" t="n"/>
      <c r="CB1007" s="24" t="n"/>
      <c r="CC1007" s="24" t="inlineStr">
        <is>
          <t>None</t>
        </is>
      </c>
      <c r="CD1007" s="23" t="n"/>
      <c r="CE1007" s="22" t="n"/>
      <c r="CF1007" s="24" t="n"/>
      <c r="CG1007" s="24" t="inlineStr">
        <is>
          <t>None</t>
        </is>
      </c>
      <c r="CH1007" s="23" t="n"/>
      <c r="CI1007" s="22" t="n"/>
      <c r="CJ1007" s="24" t="n"/>
      <c r="CK1007" s="24" t="inlineStr">
        <is>
          <t>None</t>
        </is>
      </c>
      <c r="CL1007" s="23" t="n"/>
      <c r="CM1007" s="22" t="n"/>
      <c r="CN1007" s="24" t="inlineStr">
        <is>
          <t>SOP 45-34</t>
        </is>
      </c>
      <c r="CO1007" s="24" t="inlineStr">
        <is>
          <t>None</t>
        </is>
      </c>
      <c r="CP1007" s="23" t="n"/>
      <c r="CQ1007" s="22" t="n"/>
      <c r="CR1007" s="24" t="n"/>
      <c r="CS1007" s="24" t="inlineStr">
        <is>
          <t>None</t>
        </is>
      </c>
      <c r="CT1007" s="23" t="n"/>
      <c r="CU1007" s="22" t="n"/>
      <c r="CV1007" s="24" t="n"/>
      <c r="CW1007" s="24" t="inlineStr">
        <is>
          <t>None</t>
        </is>
      </c>
      <c r="CX1007" s="23" t="n"/>
      <c r="CY1007" s="22" t="n"/>
      <c r="CZ1007" s="24" t="inlineStr">
        <is>
          <t>WTW Multimeter 3430 with FDO 925</t>
        </is>
      </c>
      <c r="DA1007" s="24" t="inlineStr">
        <is>
          <t>None</t>
        </is>
      </c>
      <c r="DB1007" s="23" t="n"/>
      <c r="DC1007" s="22" t="n"/>
      <c r="DD1007" s="24" t="n"/>
      <c r="DE1007" s="24" t="inlineStr">
        <is>
          <t>None</t>
        </is>
      </c>
      <c r="DF1007" s="23" t="n"/>
      <c r="DG1007" s="22" t="n"/>
      <c r="DH1007" s="24" t="inlineStr">
        <is>
          <t>SOP 45-09</t>
        </is>
      </c>
      <c r="DI1007" s="24" t="inlineStr">
        <is>
          <t>None</t>
        </is>
      </c>
      <c r="DJ1007" s="23" t="n"/>
      <c r="DK1007" s="22" t="n"/>
      <c r="DL1007" s="24" t="inlineStr">
        <is>
          <t>SOP 45-09 (SOP muss noch angepasst werden für VSS)</t>
        </is>
      </c>
      <c r="DM1007" s="24" t="inlineStr">
        <is>
          <t>None</t>
        </is>
      </c>
      <c r="DN1007" s="23" t="n"/>
      <c r="DO1007" s="22" t="n"/>
      <c r="DP1007" s="24" t="inlineStr">
        <is>
          <t>IC Organic Acids</t>
        </is>
      </c>
      <c r="DQ1007" s="24" t="inlineStr">
        <is>
          <t>None</t>
        </is>
      </c>
      <c r="DR1007" s="23" t="n"/>
      <c r="DS1007" s="22" t="n"/>
      <c r="DT1007" s="24" t="inlineStr">
        <is>
          <t>IC Organic Acids</t>
        </is>
      </c>
      <c r="DU1007" s="24" t="inlineStr">
        <is>
          <t>None</t>
        </is>
      </c>
      <c r="DV1007" s="23" t="n"/>
      <c r="DW1007" s="22" t="n"/>
      <c r="DX1007" s="24" t="inlineStr">
        <is>
          <t>IC Organic Acids</t>
        </is>
      </c>
      <c r="DY1007" s="24" t="inlineStr">
        <is>
          <t>None</t>
        </is>
      </c>
      <c r="DZ1007" s="23" t="n"/>
      <c r="EA1007" s="22" t="n"/>
      <c r="EB1007" s="24" t="inlineStr">
        <is>
          <t>IC Organic Acids</t>
        </is>
      </c>
      <c r="EC1007" s="24" t="inlineStr">
        <is>
          <t>None</t>
        </is>
      </c>
      <c r="ED1007" s="23" t="n"/>
      <c r="EE1007" s="22" t="n"/>
      <c r="EF1007" s="24" t="inlineStr">
        <is>
          <t>IC Organic Acids</t>
        </is>
      </c>
      <c r="EG1007" s="24" t="inlineStr">
        <is>
          <t>None</t>
        </is>
      </c>
      <c r="EH1007" s="23" t="n"/>
      <c r="EI1007" s="22" t="n"/>
      <c r="EJ1007" s="24" t="inlineStr">
        <is>
          <t>IC Organic Acids</t>
        </is>
      </c>
      <c r="EK1007" s="24" t="inlineStr">
        <is>
          <t>None</t>
        </is>
      </c>
      <c r="EL1007" s="23" t="n"/>
      <c r="EM1007" s="22" t="n"/>
      <c r="EN1007" s="24" t="inlineStr">
        <is>
          <t>IC Organic Acids</t>
        </is>
      </c>
      <c r="EO1007" s="24" t="inlineStr">
        <is>
          <t>None</t>
        </is>
      </c>
      <c r="EP1007" s="23" t="n"/>
      <c r="EQ1007" s="22" t="n"/>
      <c r="ER1007" s="24" t="inlineStr">
        <is>
          <t>IC Organic Acids</t>
        </is>
      </c>
      <c r="ES1007" s="24" t="inlineStr">
        <is>
          <t>None</t>
        </is>
      </c>
      <c r="ET1007" s="23" t="n"/>
      <c r="EU1007" s="22" t="n"/>
      <c r="EV1007" s="24" t="inlineStr">
        <is>
          <t>LC-MS</t>
        </is>
      </c>
      <c r="EW1007" s="24" t="inlineStr">
        <is>
          <t>None</t>
        </is>
      </c>
      <c r="EX1007" s="23" t="n"/>
      <c r="EY1007" s="21" t="n"/>
      <c r="EZ1007">
        <f>CONCATENATE(A1007,B1007)</f>
        <v/>
      </c>
      <c r="FA1007">
        <f>CONCATENATE(SamplesX!A1007,SamplesX!B1007)</f>
        <v/>
      </c>
      <c r="FC1007">
        <f>MATCH(EZ1007,FA1:FA1008,0)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COUNTBLANK(A9:B9)=0</formula>
    </cfRule>
    <cfRule type="expression" priority="2" dxfId="1">
      <formula>COUNTBLANK(A9:B9)&gt;=1</formula>
    </cfRule>
    <cfRule type="expression" priority="3" dxfId="2">
      <formula>COUNTBLANK(A9:B9)&lt;1</formula>
    </cfRule>
  </conditionalFormatting>
  <conditionalFormatting sqref="B9:B1007">
    <cfRule type="expression" priority="4" dxfId="0">
      <formula>COUNTBLANK(A9:B9)=0</formula>
    </cfRule>
    <cfRule type="expression" priority="5" dxfId="1">
      <formula>COUNTBLANK(A9:B9)&gt;=1</formula>
    </cfRule>
    <cfRule type="expression" priority="6" dxfId="2">
      <formula>COUNTBLANK(A9:B9)&lt;1</formula>
    </cfRule>
  </conditionalFormatting>
  <conditionalFormatting sqref="I9:I1007">
    <cfRule type="expression" priority="7" dxfId="3">
      <formula>COUNTBLANK(I9)=1</formula>
    </cfRule>
    <cfRule type="expression" priority="8" dxfId="3">
      <formula>COUNTBLANK(I9)=0</formula>
    </cfRule>
  </conditionalFormatting>
  <conditionalFormatting sqref="J9:J1007">
    <cfRule type="expression" priority="9" dxfId="1">
      <formula>COUNTBLANK(J9)=1</formula>
    </cfRule>
    <cfRule type="expression" priority="10" dxfId="0">
      <formula>COUNTBLANK(J9)=0</formula>
    </cfRule>
  </conditionalFormatting>
  <conditionalFormatting sqref="K9:K1007">
    <cfRule type="expression" priority="11" dxfId="0">
      <formula>COUNTBLANK(K9:M9)=0</formula>
    </cfRule>
    <cfRule type="expression" priority="12" dxfId="1">
      <formula>COUNTBLANK(K9)&gt;0</formula>
    </cfRule>
    <cfRule type="expression" priority="13" dxfId="2">
      <formula>AND(COUNTBLANK(K9:M9)&gt;0,COUNTBLANK(K9)=0)</formula>
    </cfRule>
  </conditionalFormatting>
  <conditionalFormatting sqref="L9:L1007">
    <cfRule type="expression" priority="14" dxfId="0">
      <formula>COUNTBLANK(K9:M9)=0</formula>
    </cfRule>
    <cfRule type="expression" priority="15" dxfId="1">
      <formula>COUNTBLANK(K9)&gt;0</formula>
    </cfRule>
    <cfRule type="expression" priority="16" dxfId="2">
      <formula>AND(COUNTBLANK(K9:M9)&gt;0,COUNTBLANK(K9)=0)</formula>
    </cfRule>
  </conditionalFormatting>
  <conditionalFormatting sqref="M9:M1007">
    <cfRule type="expression" priority="17" dxfId="0">
      <formula>COUNTBLANK(K9:M9)=0</formula>
    </cfRule>
    <cfRule type="expression" priority="18" dxfId="1">
      <formula>COUNTBLANK(K9)&gt;0</formula>
    </cfRule>
    <cfRule type="expression" priority="19" dxfId="2">
      <formula>AND(COUNTBLANK(K9:M9)&gt;0,COUNTBLANK(K9)=0)</formula>
    </cfRule>
  </conditionalFormatting>
  <conditionalFormatting sqref="N9:N1007">
    <cfRule type="expression" priority="20" dxfId="0">
      <formula>COUNTBLANK(K9:M9)=0</formula>
    </cfRule>
    <cfRule type="expression" priority="21" dxfId="1">
      <formula>COUNTBLANK(K9)&gt;0</formula>
    </cfRule>
    <cfRule type="expression" priority="22" dxfId="2">
      <formula>AND(COUNTBLANK(K9:M9)&gt;0,COUNTBLANK(K9)=0)</formula>
    </cfRule>
  </conditionalFormatting>
  <conditionalFormatting sqref="O9:O1007">
    <cfRule type="expression" priority="23" dxfId="0">
      <formula>COUNTBLANK(O9:Q9)=0</formula>
    </cfRule>
    <cfRule type="expression" priority="24" dxfId="1">
      <formula>COUNTBLANK(O9)&gt;0</formula>
    </cfRule>
    <cfRule type="expression" priority="25" dxfId="2">
      <formula>AND(COUNTBLANK(O9:Q9)&gt;0,COUNTBLANK(O9)=0)</formula>
    </cfRule>
  </conditionalFormatting>
  <conditionalFormatting sqref="P9:P1007">
    <cfRule type="expression" priority="26" dxfId="0">
      <formula>COUNTBLANK(O9:Q9)=0</formula>
    </cfRule>
    <cfRule type="expression" priority="27" dxfId="1">
      <formula>COUNTBLANK(O9)&gt;0</formula>
    </cfRule>
    <cfRule type="expression" priority="28" dxfId="2">
      <formula>AND(COUNTBLANK(O9:Q9)&gt;0,COUNTBLANK(O9)=0)</formula>
    </cfRule>
  </conditionalFormatting>
  <conditionalFormatting sqref="Q9:Q1007">
    <cfRule type="expression" priority="29" dxfId="0">
      <formula>COUNTBLANK(O9:Q9)=0</formula>
    </cfRule>
    <cfRule type="expression" priority="30" dxfId="1">
      <formula>COUNTBLANK(O9)&gt;0</formula>
    </cfRule>
    <cfRule type="expression" priority="31" dxfId="2">
      <formula>AND(COUNTBLANK(O9:Q9)&gt;0,COUNTBLANK(O9)=0)</formula>
    </cfRule>
  </conditionalFormatting>
  <conditionalFormatting sqref="R9:R1007">
    <cfRule type="expression" priority="32" dxfId="0">
      <formula>COUNTBLANK(O9:Q9)=0</formula>
    </cfRule>
    <cfRule type="expression" priority="33" dxfId="1">
      <formula>COUNTBLANK(O9)&gt;0</formula>
    </cfRule>
    <cfRule type="expression" priority="34" dxfId="2">
      <formula>AND(COUNTBLANK(O9:Q9)&gt;0,COUNTBLANK(O9)=0)</formula>
    </cfRule>
  </conditionalFormatting>
  <conditionalFormatting sqref="S9:S1007">
    <cfRule type="expression" priority="35" dxfId="0">
      <formula>COUNTBLANK(S9:U9)=0</formula>
    </cfRule>
    <cfRule type="expression" priority="36" dxfId="1">
      <formula>COUNTBLANK(S9)&gt;0</formula>
    </cfRule>
    <cfRule type="expression" priority="37" dxfId="2">
      <formula>AND(COUNTBLANK(S9:U9)&gt;0,COUNTBLANK(S9)=0)</formula>
    </cfRule>
  </conditionalFormatting>
  <conditionalFormatting sqref="T9:T1007">
    <cfRule type="expression" priority="38" dxfId="0">
      <formula>COUNTBLANK(S9:U9)=0</formula>
    </cfRule>
    <cfRule type="expression" priority="39" dxfId="1">
      <formula>COUNTBLANK(S9)&gt;0</formula>
    </cfRule>
    <cfRule type="expression" priority="40" dxfId="2">
      <formula>AND(COUNTBLANK(S9:U9)&gt;0,COUNTBLANK(S9)=0)</formula>
    </cfRule>
  </conditionalFormatting>
  <conditionalFormatting sqref="U9:U1007">
    <cfRule type="expression" priority="41" dxfId="0">
      <formula>COUNTBLANK(S9:U9)=0</formula>
    </cfRule>
    <cfRule type="expression" priority="42" dxfId="1">
      <formula>COUNTBLANK(S9)&gt;0</formula>
    </cfRule>
    <cfRule type="expression" priority="43" dxfId="2">
      <formula>AND(COUNTBLANK(S9:U9)&gt;0,COUNTBLANK(S9)=0)</formula>
    </cfRule>
  </conditionalFormatting>
  <conditionalFormatting sqref="V9:V1007">
    <cfRule type="expression" priority="44" dxfId="0">
      <formula>COUNTBLANK(S9:U9)=0</formula>
    </cfRule>
    <cfRule type="expression" priority="45" dxfId="1">
      <formula>COUNTBLANK(S9)&gt;0</formula>
    </cfRule>
    <cfRule type="expression" priority="46" dxfId="2">
      <formula>AND(COUNTBLANK(S9:U9)&gt;0,COUNTBLANK(S9)=0)</formula>
    </cfRule>
  </conditionalFormatting>
  <conditionalFormatting sqref="W9:W1007">
    <cfRule type="expression" priority="47" dxfId="0">
      <formula>COUNTBLANK(W9:Y9)=0</formula>
    </cfRule>
    <cfRule type="expression" priority="48" dxfId="1">
      <formula>COUNTBLANK(W9)&gt;0</formula>
    </cfRule>
    <cfRule type="expression" priority="49" dxfId="2">
      <formula>AND(COUNTBLANK(W9:Y9)&gt;0,COUNTBLANK(W9)=0)</formula>
    </cfRule>
  </conditionalFormatting>
  <conditionalFormatting sqref="X9:X1007">
    <cfRule type="expression" priority="50" dxfId="0">
      <formula>COUNTBLANK(W9:Y9)=0</formula>
    </cfRule>
    <cfRule type="expression" priority="51" dxfId="1">
      <formula>COUNTBLANK(W9)&gt;0</formula>
    </cfRule>
    <cfRule type="expression" priority="52" dxfId="2">
      <formula>AND(COUNTBLANK(W9:Y9)&gt;0,COUNTBLANK(W9)=0)</formula>
    </cfRule>
  </conditionalFormatting>
  <conditionalFormatting sqref="Y9:Y1007">
    <cfRule type="expression" priority="53" dxfId="0">
      <formula>COUNTBLANK(W9:Y9)=0</formula>
    </cfRule>
    <cfRule type="expression" priority="54" dxfId="1">
      <formula>COUNTBLANK(W9)&gt;0</formula>
    </cfRule>
    <cfRule type="expression" priority="55" dxfId="2">
      <formula>AND(COUNTBLANK(W9:Y9)&gt;0,COUNTBLANK(W9)=0)</formula>
    </cfRule>
  </conditionalFormatting>
  <conditionalFormatting sqref="Z9:Z1007">
    <cfRule type="expression" priority="56" dxfId="0">
      <formula>COUNTBLANK(W9:Y9)=0</formula>
    </cfRule>
    <cfRule type="expression" priority="57" dxfId="1">
      <formula>COUNTBLANK(W9)&gt;0</formula>
    </cfRule>
    <cfRule type="expression" priority="58" dxfId="2">
      <formula>AND(COUNTBLANK(W9:Y9)&gt;0,COUNTBLANK(W9)=0)</formula>
    </cfRule>
  </conditionalFormatting>
  <conditionalFormatting sqref="AA9:AA1007">
    <cfRule type="expression" priority="59" dxfId="0">
      <formula>COUNTBLANK(AA9:AC9)=0</formula>
    </cfRule>
    <cfRule type="expression" priority="60" dxfId="1">
      <formula>COUNTBLANK(AA9)&gt;0</formula>
    </cfRule>
    <cfRule type="expression" priority="61" dxfId="2">
      <formula>AND(COUNTBLANK(AA9:AC9)&gt;0,COUNTBLANK(AA9)=0)</formula>
    </cfRule>
  </conditionalFormatting>
  <conditionalFormatting sqref="AB9:AB1007">
    <cfRule type="expression" priority="62" dxfId="0">
      <formula>COUNTBLANK(AA9:AC9)=0</formula>
    </cfRule>
    <cfRule type="expression" priority="63" dxfId="1">
      <formula>COUNTBLANK(AA9)&gt;0</formula>
    </cfRule>
    <cfRule type="expression" priority="64" dxfId="2">
      <formula>AND(COUNTBLANK(AA9:AC9)&gt;0,COUNTBLANK(AA9)=0)</formula>
    </cfRule>
  </conditionalFormatting>
  <conditionalFormatting sqref="AC9:AC1007">
    <cfRule type="expression" priority="65" dxfId="0">
      <formula>COUNTBLANK(AA9:AC9)=0</formula>
    </cfRule>
    <cfRule type="expression" priority="66" dxfId="1">
      <formula>COUNTBLANK(AA9)&gt;0</formula>
    </cfRule>
    <cfRule type="expression" priority="67" dxfId="2">
      <formula>AND(COUNTBLANK(AA9:AC9)&gt;0,COUNTBLANK(AA9)=0)</formula>
    </cfRule>
  </conditionalFormatting>
  <conditionalFormatting sqref="AD9:AD1007">
    <cfRule type="expression" priority="68" dxfId="0">
      <formula>COUNTBLANK(AA9:AC9)=0</formula>
    </cfRule>
    <cfRule type="expression" priority="69" dxfId="1">
      <formula>COUNTBLANK(AA9)&gt;0</formula>
    </cfRule>
    <cfRule type="expression" priority="70" dxfId="2">
      <formula>AND(COUNTBLANK(AA9:AC9)&gt;0,COUNTBLANK(AA9)=0)</formula>
    </cfRule>
  </conditionalFormatting>
  <conditionalFormatting sqref="AE9:AE1007">
    <cfRule type="expression" priority="71" dxfId="0">
      <formula>COUNTBLANK(AE9:AG9)=0</formula>
    </cfRule>
    <cfRule type="expression" priority="72" dxfId="1">
      <formula>COUNTBLANK(AE9)&gt;0</formula>
    </cfRule>
    <cfRule type="expression" priority="73" dxfId="2">
      <formula>AND(COUNTBLANK(AE9:AG9)&gt;0,COUNTBLANK(AE9)=0)</formula>
    </cfRule>
  </conditionalFormatting>
  <conditionalFormatting sqref="AF9:AF1007">
    <cfRule type="expression" priority="74" dxfId="0">
      <formula>COUNTBLANK(AE9:AG9)=0</formula>
    </cfRule>
    <cfRule type="expression" priority="75" dxfId="1">
      <formula>COUNTBLANK(AE9)&gt;0</formula>
    </cfRule>
    <cfRule type="expression" priority="76" dxfId="2">
      <formula>AND(COUNTBLANK(AE9:AG9)&gt;0,COUNTBLANK(AE9)=0)</formula>
    </cfRule>
  </conditionalFormatting>
  <conditionalFormatting sqref="AG9:AG1007">
    <cfRule type="expression" priority="77" dxfId="0">
      <formula>COUNTBLANK(AE9:AG9)=0</formula>
    </cfRule>
    <cfRule type="expression" priority="78" dxfId="1">
      <formula>COUNTBLANK(AE9)&gt;0</formula>
    </cfRule>
    <cfRule type="expression" priority="79" dxfId="2">
      <formula>AND(COUNTBLANK(AE9:AG9)&gt;0,COUNTBLANK(AE9)=0)</formula>
    </cfRule>
  </conditionalFormatting>
  <conditionalFormatting sqref="AH9:AH1007">
    <cfRule type="expression" priority="80" dxfId="0">
      <formula>COUNTBLANK(AE9:AG9)=0</formula>
    </cfRule>
    <cfRule type="expression" priority="81" dxfId="1">
      <formula>COUNTBLANK(AE9)&gt;0</formula>
    </cfRule>
    <cfRule type="expression" priority="82" dxfId="2">
      <formula>AND(COUNTBLANK(AE9:AG9)&gt;0,COUNTBLANK(AE9)=0)</formula>
    </cfRule>
  </conditionalFormatting>
  <conditionalFormatting sqref="AI9:AI1007">
    <cfRule type="expression" priority="83" dxfId="0">
      <formula>COUNTBLANK(AI9:AK9)=0</formula>
    </cfRule>
    <cfRule type="expression" priority="84" dxfId="1">
      <formula>COUNTBLANK(AI9)&gt;0</formula>
    </cfRule>
    <cfRule type="expression" priority="85" dxfId="2">
      <formula>AND(COUNTBLANK(AI9:AK9)&gt;0,COUNTBLANK(AI9)=0)</formula>
    </cfRule>
  </conditionalFormatting>
  <conditionalFormatting sqref="AJ9:AJ1007">
    <cfRule type="expression" priority="86" dxfId="0">
      <formula>COUNTBLANK(AI9:AK9)=0</formula>
    </cfRule>
    <cfRule type="expression" priority="87" dxfId="1">
      <formula>COUNTBLANK(AI9)&gt;0</formula>
    </cfRule>
    <cfRule type="expression" priority="88" dxfId="2">
      <formula>AND(COUNTBLANK(AI9:AK9)&gt;0,COUNTBLANK(AI9)=0)</formula>
    </cfRule>
  </conditionalFormatting>
  <conditionalFormatting sqref="AK9:AK1007">
    <cfRule type="expression" priority="89" dxfId="0">
      <formula>COUNTBLANK(AI9:AK9)=0</formula>
    </cfRule>
    <cfRule type="expression" priority="90" dxfId="1">
      <formula>COUNTBLANK(AI9)&gt;0</formula>
    </cfRule>
    <cfRule type="expression" priority="91" dxfId="2">
      <formula>AND(COUNTBLANK(AI9:AK9)&gt;0,COUNTBLANK(AI9)=0)</formula>
    </cfRule>
  </conditionalFormatting>
  <conditionalFormatting sqref="AL9:AL1007">
    <cfRule type="expression" priority="92" dxfId="0">
      <formula>COUNTBLANK(AI9:AK9)=0</formula>
    </cfRule>
    <cfRule type="expression" priority="93" dxfId="1">
      <formula>COUNTBLANK(AI9)&gt;0</formula>
    </cfRule>
    <cfRule type="expression" priority="94" dxfId="2">
      <formula>AND(COUNTBLANK(AI9:AK9)&gt;0,COUNTBLANK(AI9)=0)</formula>
    </cfRule>
  </conditionalFormatting>
  <conditionalFormatting sqref="AM9:AM1007">
    <cfRule type="expression" priority="95" dxfId="0">
      <formula>COUNTBLANK(AM9:AO9)=0</formula>
    </cfRule>
    <cfRule type="expression" priority="96" dxfId="1">
      <formula>COUNTBLANK(AM9)&gt;0</formula>
    </cfRule>
    <cfRule type="expression" priority="97" dxfId="2">
      <formula>AND(COUNTBLANK(AM9:AO9)&gt;0,COUNTBLANK(AM9)=0)</formula>
    </cfRule>
  </conditionalFormatting>
  <conditionalFormatting sqref="AN9:AN1007">
    <cfRule type="expression" priority="98" dxfId="0">
      <formula>COUNTBLANK(AM9:AO9)=0</formula>
    </cfRule>
    <cfRule type="expression" priority="99" dxfId="1">
      <formula>COUNTBLANK(AM9)&gt;0</formula>
    </cfRule>
    <cfRule type="expression" priority="100" dxfId="2">
      <formula>AND(COUNTBLANK(AM9:AO9)&gt;0,COUNTBLANK(AM9)=0)</formula>
    </cfRule>
  </conditionalFormatting>
  <conditionalFormatting sqref="AO9:AO1007">
    <cfRule type="expression" priority="101" dxfId="0">
      <formula>COUNTBLANK(AM9:AO9)=0</formula>
    </cfRule>
    <cfRule type="expression" priority="102" dxfId="1">
      <formula>COUNTBLANK(AM9)&gt;0</formula>
    </cfRule>
    <cfRule type="expression" priority="103" dxfId="2">
      <formula>AND(COUNTBLANK(AM9:AO9)&gt;0,COUNTBLANK(AM9)=0)</formula>
    </cfRule>
  </conditionalFormatting>
  <conditionalFormatting sqref="AP9:AP1007">
    <cfRule type="expression" priority="104" dxfId="0">
      <formula>COUNTBLANK(AM9:AO9)=0</formula>
    </cfRule>
    <cfRule type="expression" priority="105" dxfId="1">
      <formula>COUNTBLANK(AM9)&gt;0</formula>
    </cfRule>
    <cfRule type="expression" priority="106" dxfId="2">
      <formula>AND(COUNTBLANK(AM9:AO9)&gt;0,COUNTBLANK(AM9)=0)</formula>
    </cfRule>
  </conditionalFormatting>
  <conditionalFormatting sqref="AQ9:AQ1007">
    <cfRule type="expression" priority="107" dxfId="0">
      <formula>COUNTBLANK(AQ9:AS9)=0</formula>
    </cfRule>
    <cfRule type="expression" priority="108" dxfId="1">
      <formula>COUNTBLANK(AQ9)&gt;0</formula>
    </cfRule>
    <cfRule type="expression" priority="109" dxfId="2">
      <formula>AND(COUNTBLANK(AQ9:AS9)&gt;0,COUNTBLANK(AQ9)=0)</formula>
    </cfRule>
  </conditionalFormatting>
  <conditionalFormatting sqref="AR9:AR1007">
    <cfRule type="expression" priority="110" dxfId="0">
      <formula>COUNTBLANK(AQ9:AS9)=0</formula>
    </cfRule>
    <cfRule type="expression" priority="111" dxfId="1">
      <formula>COUNTBLANK(AQ9)&gt;0</formula>
    </cfRule>
    <cfRule type="expression" priority="112" dxfId="2">
      <formula>AND(COUNTBLANK(AQ9:AS9)&gt;0,COUNTBLANK(AQ9)=0)</formula>
    </cfRule>
  </conditionalFormatting>
  <conditionalFormatting sqref="AS9:AS1007">
    <cfRule type="expression" priority="113" dxfId="0">
      <formula>COUNTBLANK(AQ9:AS9)=0</formula>
    </cfRule>
    <cfRule type="expression" priority="114" dxfId="1">
      <formula>COUNTBLANK(AQ9)&gt;0</formula>
    </cfRule>
    <cfRule type="expression" priority="115" dxfId="2">
      <formula>AND(COUNTBLANK(AQ9:AS9)&gt;0,COUNTBLANK(AQ9)=0)</formula>
    </cfRule>
  </conditionalFormatting>
  <conditionalFormatting sqref="AT9:AT1007">
    <cfRule type="expression" priority="116" dxfId="0">
      <formula>COUNTBLANK(AQ9:AS9)=0</formula>
    </cfRule>
    <cfRule type="expression" priority="117" dxfId="1">
      <formula>COUNTBLANK(AQ9)&gt;0</formula>
    </cfRule>
    <cfRule type="expression" priority="118" dxfId="2">
      <formula>AND(COUNTBLANK(AQ9:AS9)&gt;0,COUNTBLANK(AQ9)=0)</formula>
    </cfRule>
  </conditionalFormatting>
  <conditionalFormatting sqref="AU9:AU1007">
    <cfRule type="expression" priority="119" dxfId="0">
      <formula>COUNTBLANK(AU9:AW9)=0</formula>
    </cfRule>
    <cfRule type="expression" priority="120" dxfId="1">
      <formula>COUNTBLANK(AU9)&gt;0</formula>
    </cfRule>
    <cfRule type="expression" priority="121" dxfId="2">
      <formula>AND(COUNTBLANK(AU9:AW9)&gt;0,COUNTBLANK(AU9)=0)</formula>
    </cfRule>
  </conditionalFormatting>
  <conditionalFormatting sqref="AV9:AV1007">
    <cfRule type="expression" priority="122" dxfId="0">
      <formula>COUNTBLANK(AU9:AW9)=0</formula>
    </cfRule>
    <cfRule type="expression" priority="123" dxfId="1">
      <formula>COUNTBLANK(AU9)&gt;0</formula>
    </cfRule>
    <cfRule type="expression" priority="124" dxfId="2">
      <formula>AND(COUNTBLANK(AU9:AW9)&gt;0,COUNTBLANK(AU9)=0)</formula>
    </cfRule>
  </conditionalFormatting>
  <conditionalFormatting sqref="AW9:AW1007">
    <cfRule type="expression" priority="125" dxfId="0">
      <formula>COUNTBLANK(AU9:AW9)=0</formula>
    </cfRule>
    <cfRule type="expression" priority="126" dxfId="1">
      <formula>COUNTBLANK(AU9)&gt;0</formula>
    </cfRule>
    <cfRule type="expression" priority="127" dxfId="2">
      <formula>AND(COUNTBLANK(AU9:AW9)&gt;0,COUNTBLANK(AU9)=0)</formula>
    </cfRule>
  </conditionalFormatting>
  <conditionalFormatting sqref="AX9:AX1007">
    <cfRule type="expression" priority="128" dxfId="0">
      <formula>COUNTBLANK(AU9:AW9)=0</formula>
    </cfRule>
    <cfRule type="expression" priority="129" dxfId="1">
      <formula>COUNTBLANK(AU9)&gt;0</formula>
    </cfRule>
    <cfRule type="expression" priority="130" dxfId="2">
      <formula>AND(COUNTBLANK(AU9:AW9)&gt;0,COUNTBLANK(AU9)=0)</formula>
    </cfRule>
  </conditionalFormatting>
  <conditionalFormatting sqref="AY9:AY1007">
    <cfRule type="expression" priority="131" dxfId="0">
      <formula>COUNTBLANK(AY9:BA9)=0</formula>
    </cfRule>
    <cfRule type="expression" priority="132" dxfId="1">
      <formula>COUNTBLANK(AY9)&gt;0</formula>
    </cfRule>
    <cfRule type="expression" priority="133" dxfId="2">
      <formula>AND(COUNTBLANK(AY9:BA9)&gt;0,COUNTBLANK(AY9)=0)</formula>
    </cfRule>
  </conditionalFormatting>
  <conditionalFormatting sqref="AZ9:AZ1007">
    <cfRule type="expression" priority="134" dxfId="0">
      <formula>COUNTBLANK(AY9:BA9)=0</formula>
    </cfRule>
    <cfRule type="expression" priority="135" dxfId="1">
      <formula>COUNTBLANK(AY9)&gt;0</formula>
    </cfRule>
    <cfRule type="expression" priority="136" dxfId="2">
      <formula>AND(COUNTBLANK(AY9:BA9)&gt;0,COUNTBLANK(AY9)=0)</formula>
    </cfRule>
  </conditionalFormatting>
  <conditionalFormatting sqref="BA9:BA1007">
    <cfRule type="expression" priority="137" dxfId="0">
      <formula>COUNTBLANK(AY9:BA9)=0</formula>
    </cfRule>
    <cfRule type="expression" priority="138" dxfId="1">
      <formula>COUNTBLANK(AY9)&gt;0</formula>
    </cfRule>
    <cfRule type="expression" priority="139" dxfId="2">
      <formula>AND(COUNTBLANK(AY9:BA9)&gt;0,COUNTBLANK(AY9)=0)</formula>
    </cfRule>
  </conditionalFormatting>
  <conditionalFormatting sqref="BB9:BB1007">
    <cfRule type="expression" priority="140" dxfId="0">
      <formula>COUNTBLANK(AY9:BA9)=0</formula>
    </cfRule>
    <cfRule type="expression" priority="141" dxfId="1">
      <formula>COUNTBLANK(AY9)&gt;0</formula>
    </cfRule>
    <cfRule type="expression" priority="142" dxfId="2">
      <formula>AND(COUNTBLANK(AY9:BA9)&gt;0,COUNTBLANK(AY9)=0)</formula>
    </cfRule>
  </conditionalFormatting>
  <conditionalFormatting sqref="BC9:BC1007">
    <cfRule type="expression" priority="143" dxfId="0">
      <formula>COUNTBLANK(BC9:BE9)=0</formula>
    </cfRule>
    <cfRule type="expression" priority="144" dxfId="1">
      <formula>COUNTBLANK(BC9)&gt;0</formula>
    </cfRule>
    <cfRule type="expression" priority="145" dxfId="2">
      <formula>AND(COUNTBLANK(BC9:BE9)&gt;0,COUNTBLANK(BC9)=0)</formula>
    </cfRule>
  </conditionalFormatting>
  <conditionalFormatting sqref="BD9:BD1007">
    <cfRule type="expression" priority="146" dxfId="0">
      <formula>COUNTBLANK(BC9:BE9)=0</formula>
    </cfRule>
    <cfRule type="expression" priority="147" dxfId="1">
      <formula>COUNTBLANK(BC9)&gt;0</formula>
    </cfRule>
    <cfRule type="expression" priority="148" dxfId="2">
      <formula>AND(COUNTBLANK(BC9:BE9)&gt;0,COUNTBLANK(BC9)=0)</formula>
    </cfRule>
  </conditionalFormatting>
  <conditionalFormatting sqref="BE9:BE1007">
    <cfRule type="expression" priority="149" dxfId="0">
      <formula>COUNTBLANK(BC9:BE9)=0</formula>
    </cfRule>
    <cfRule type="expression" priority="150" dxfId="1">
      <formula>COUNTBLANK(BC9)&gt;0</formula>
    </cfRule>
    <cfRule type="expression" priority="151" dxfId="2">
      <formula>AND(COUNTBLANK(BC9:BE9)&gt;0,COUNTBLANK(BC9)=0)</formula>
    </cfRule>
  </conditionalFormatting>
  <conditionalFormatting sqref="BF9:BF1007">
    <cfRule type="expression" priority="152" dxfId="0">
      <formula>COUNTBLANK(BC9:BE9)=0</formula>
    </cfRule>
    <cfRule type="expression" priority="153" dxfId="1">
      <formula>COUNTBLANK(BC9)&gt;0</formula>
    </cfRule>
    <cfRule type="expression" priority="154" dxfId="2">
      <formula>AND(COUNTBLANK(BC9:BE9)&gt;0,COUNTBLANK(BC9)=0)</formula>
    </cfRule>
  </conditionalFormatting>
  <conditionalFormatting sqref="BG9:BG1007">
    <cfRule type="expression" priority="155" dxfId="0">
      <formula>COUNTBLANK(BG9:BI9)=0</formula>
    </cfRule>
    <cfRule type="expression" priority="156" dxfId="1">
      <formula>COUNTBLANK(BG9)&gt;0</formula>
    </cfRule>
    <cfRule type="expression" priority="157" dxfId="2">
      <formula>AND(COUNTBLANK(BG9:BI9)&gt;0,COUNTBLANK(BG9)=0)</formula>
    </cfRule>
  </conditionalFormatting>
  <conditionalFormatting sqref="BH9:BH1007">
    <cfRule type="expression" priority="158" dxfId="0">
      <formula>COUNTBLANK(BG9:BI9)=0</formula>
    </cfRule>
    <cfRule type="expression" priority="159" dxfId="1">
      <formula>COUNTBLANK(BG9)&gt;0</formula>
    </cfRule>
    <cfRule type="expression" priority="160" dxfId="2">
      <formula>AND(COUNTBLANK(BG9:BI9)&gt;0,COUNTBLANK(BG9)=0)</formula>
    </cfRule>
  </conditionalFormatting>
  <conditionalFormatting sqref="BI9:BI1007">
    <cfRule type="expression" priority="161" dxfId="0">
      <formula>COUNTBLANK(BG9:BI9)=0</formula>
    </cfRule>
    <cfRule type="expression" priority="162" dxfId="1">
      <formula>COUNTBLANK(BG9)&gt;0</formula>
    </cfRule>
    <cfRule type="expression" priority="163" dxfId="2">
      <formula>AND(COUNTBLANK(BG9:BI9)&gt;0,COUNTBLANK(BG9)=0)</formula>
    </cfRule>
  </conditionalFormatting>
  <conditionalFormatting sqref="BJ9:BJ1007">
    <cfRule type="expression" priority="164" dxfId="0">
      <formula>COUNTBLANK(BG9:BI9)=0</formula>
    </cfRule>
    <cfRule type="expression" priority="165" dxfId="1">
      <formula>COUNTBLANK(BG9)&gt;0</formula>
    </cfRule>
    <cfRule type="expression" priority="166" dxfId="2">
      <formula>AND(COUNTBLANK(BG9:BI9)&gt;0,COUNTBLANK(BG9)=0)</formula>
    </cfRule>
  </conditionalFormatting>
  <conditionalFormatting sqref="BK9:BK1007">
    <cfRule type="expression" priority="167" dxfId="0">
      <formula>COUNTBLANK(BK9:BM9)=0</formula>
    </cfRule>
    <cfRule type="expression" priority="168" dxfId="1">
      <formula>COUNTBLANK(BK9)&gt;0</formula>
    </cfRule>
    <cfRule type="expression" priority="169" dxfId="2">
      <formula>AND(COUNTBLANK(BK9:BM9)&gt;0,COUNTBLANK(BK9)=0)</formula>
    </cfRule>
  </conditionalFormatting>
  <conditionalFormatting sqref="BL9:BL1007">
    <cfRule type="expression" priority="170" dxfId="0">
      <formula>COUNTBLANK(BK9:BM9)=0</formula>
    </cfRule>
    <cfRule type="expression" priority="171" dxfId="1">
      <formula>COUNTBLANK(BK9)&gt;0</formula>
    </cfRule>
    <cfRule type="expression" priority="172" dxfId="2">
      <formula>AND(COUNTBLANK(BK9:BM9)&gt;0,COUNTBLANK(BK9)=0)</formula>
    </cfRule>
  </conditionalFormatting>
  <conditionalFormatting sqref="BM9:BM1007">
    <cfRule type="expression" priority="173" dxfId="0">
      <formula>COUNTBLANK(BK9:BM9)=0</formula>
    </cfRule>
    <cfRule type="expression" priority="174" dxfId="1">
      <formula>COUNTBLANK(BK9)&gt;0</formula>
    </cfRule>
    <cfRule type="expression" priority="175" dxfId="2">
      <formula>AND(COUNTBLANK(BK9:BM9)&gt;0,COUNTBLANK(BK9)=0)</formula>
    </cfRule>
  </conditionalFormatting>
  <conditionalFormatting sqref="BN9:BN1007">
    <cfRule type="expression" priority="176" dxfId="0">
      <formula>COUNTBLANK(BK9:BM9)=0</formula>
    </cfRule>
    <cfRule type="expression" priority="177" dxfId="1">
      <formula>COUNTBLANK(BK9)&gt;0</formula>
    </cfRule>
    <cfRule type="expression" priority="178" dxfId="2">
      <formula>AND(COUNTBLANK(BK9:BM9)&gt;0,COUNTBLANK(BK9)=0)</formula>
    </cfRule>
  </conditionalFormatting>
  <conditionalFormatting sqref="BO9:BO1007">
    <cfRule type="expression" priority="179" dxfId="0">
      <formula>COUNTBLANK(BO9:BQ9)=0</formula>
    </cfRule>
    <cfRule type="expression" priority="180" dxfId="1">
      <formula>COUNTBLANK(BO9)&gt;0</formula>
    </cfRule>
    <cfRule type="expression" priority="181" dxfId="2">
      <formula>AND(COUNTBLANK(BO9:BQ9)&gt;0,COUNTBLANK(BO9)=0)</formula>
    </cfRule>
  </conditionalFormatting>
  <conditionalFormatting sqref="BP9:BP1007">
    <cfRule type="expression" priority="182" dxfId="0">
      <formula>COUNTBLANK(BO9:BQ9)=0</formula>
    </cfRule>
    <cfRule type="expression" priority="183" dxfId="1">
      <formula>COUNTBLANK(BO9)&gt;0</formula>
    </cfRule>
    <cfRule type="expression" priority="184" dxfId="2">
      <formula>AND(COUNTBLANK(BO9:BQ9)&gt;0,COUNTBLANK(BO9)=0)</formula>
    </cfRule>
  </conditionalFormatting>
  <conditionalFormatting sqref="BQ9:BQ1007">
    <cfRule type="expression" priority="185" dxfId="0">
      <formula>COUNTBLANK(BO9:BQ9)=0</formula>
    </cfRule>
    <cfRule type="expression" priority="186" dxfId="1">
      <formula>COUNTBLANK(BO9)&gt;0</formula>
    </cfRule>
    <cfRule type="expression" priority="187" dxfId="2">
      <formula>AND(COUNTBLANK(BO9:BQ9)&gt;0,COUNTBLANK(BO9)=0)</formula>
    </cfRule>
  </conditionalFormatting>
  <conditionalFormatting sqref="BR9:BR1007">
    <cfRule type="expression" priority="188" dxfId="0">
      <formula>COUNTBLANK(BO9:BQ9)=0</formula>
    </cfRule>
    <cfRule type="expression" priority="189" dxfId="1">
      <formula>COUNTBLANK(BO9)&gt;0</formula>
    </cfRule>
    <cfRule type="expression" priority="190" dxfId="2">
      <formula>AND(COUNTBLANK(BO9:BQ9)&gt;0,COUNTBLANK(BO9)=0)</formula>
    </cfRule>
  </conditionalFormatting>
  <conditionalFormatting sqref="BS9:BS1007">
    <cfRule type="expression" priority="191" dxfId="0">
      <formula>COUNTBLANK(BS9:BU9)=0</formula>
    </cfRule>
    <cfRule type="expression" priority="192" dxfId="1">
      <formula>COUNTBLANK(BS9)&gt;0</formula>
    </cfRule>
    <cfRule type="expression" priority="193" dxfId="2">
      <formula>AND(COUNTBLANK(BS9:BU9)&gt;0,COUNTBLANK(BS9)=0)</formula>
    </cfRule>
  </conditionalFormatting>
  <conditionalFormatting sqref="BT9:BT1007">
    <cfRule type="expression" priority="194" dxfId="0">
      <formula>COUNTBLANK(BS9:BU9)=0</formula>
    </cfRule>
    <cfRule type="expression" priority="195" dxfId="1">
      <formula>COUNTBLANK(BS9)&gt;0</formula>
    </cfRule>
    <cfRule type="expression" priority="196" dxfId="2">
      <formula>AND(COUNTBLANK(BS9:BU9)&gt;0,COUNTBLANK(BS9)=0)</formula>
    </cfRule>
  </conditionalFormatting>
  <conditionalFormatting sqref="BU9:BU1007">
    <cfRule type="expression" priority="197" dxfId="0">
      <formula>COUNTBLANK(BS9:BU9)=0</formula>
    </cfRule>
    <cfRule type="expression" priority="198" dxfId="1">
      <formula>COUNTBLANK(BS9)&gt;0</formula>
    </cfRule>
    <cfRule type="expression" priority="199" dxfId="2">
      <formula>AND(COUNTBLANK(BS9:BU9)&gt;0,COUNTBLANK(BS9)=0)</formula>
    </cfRule>
  </conditionalFormatting>
  <conditionalFormatting sqref="BV9:BV1007">
    <cfRule type="expression" priority="200" dxfId="0">
      <formula>COUNTBLANK(BS9:BU9)=0</formula>
    </cfRule>
    <cfRule type="expression" priority="201" dxfId="1">
      <formula>COUNTBLANK(BS9)&gt;0</formula>
    </cfRule>
    <cfRule type="expression" priority="202" dxfId="2">
      <formula>AND(COUNTBLANK(BS9:BU9)&gt;0,COUNTBLANK(BS9)=0)</formula>
    </cfRule>
  </conditionalFormatting>
  <conditionalFormatting sqref="BW9:BW1007">
    <cfRule type="expression" priority="203" dxfId="0">
      <formula>COUNTBLANK(BW9:BY9)=0</formula>
    </cfRule>
    <cfRule type="expression" priority="204" dxfId="1">
      <formula>COUNTBLANK(BW9)&gt;0</formula>
    </cfRule>
    <cfRule type="expression" priority="205" dxfId="2">
      <formula>AND(COUNTBLANK(BW9:BY9)&gt;0,COUNTBLANK(BW9)=0)</formula>
    </cfRule>
  </conditionalFormatting>
  <conditionalFormatting sqref="BX9:BX1007">
    <cfRule type="expression" priority="206" dxfId="0">
      <formula>COUNTBLANK(BW9:BY9)=0</formula>
    </cfRule>
    <cfRule type="expression" priority="207" dxfId="1">
      <formula>COUNTBLANK(BW9)&gt;0</formula>
    </cfRule>
    <cfRule type="expression" priority="208" dxfId="2">
      <formula>AND(COUNTBLANK(BW9:BY9)&gt;0,COUNTBLANK(BW9)=0)</formula>
    </cfRule>
  </conditionalFormatting>
  <conditionalFormatting sqref="BY9:BY1007">
    <cfRule type="expression" priority="209" dxfId="0">
      <formula>COUNTBLANK(BW9:BY9)=0</formula>
    </cfRule>
    <cfRule type="expression" priority="210" dxfId="1">
      <formula>COUNTBLANK(BW9)&gt;0</formula>
    </cfRule>
    <cfRule type="expression" priority="211" dxfId="2">
      <formula>AND(COUNTBLANK(BW9:BY9)&gt;0,COUNTBLANK(BW9)=0)</formula>
    </cfRule>
  </conditionalFormatting>
  <conditionalFormatting sqref="BZ9:BZ1007">
    <cfRule type="expression" priority="212" dxfId="0">
      <formula>COUNTBLANK(BW9:BY9)=0</formula>
    </cfRule>
    <cfRule type="expression" priority="213" dxfId="1">
      <formula>COUNTBLANK(BW9)&gt;0</formula>
    </cfRule>
    <cfRule type="expression" priority="214" dxfId="2">
      <formula>AND(COUNTBLANK(BW9:BY9)&gt;0,COUNTBLANK(BW9)=0)</formula>
    </cfRule>
  </conditionalFormatting>
  <conditionalFormatting sqref="CA9:CA1007">
    <cfRule type="expression" priority="215" dxfId="0">
      <formula>COUNTBLANK(CA9:CC9)=0</formula>
    </cfRule>
    <cfRule type="expression" priority="216" dxfId="1">
      <formula>COUNTBLANK(CA9)&gt;0</formula>
    </cfRule>
    <cfRule type="expression" priority="217" dxfId="2">
      <formula>AND(COUNTBLANK(CA9:CC9)&gt;0,COUNTBLANK(CA9)=0)</formula>
    </cfRule>
  </conditionalFormatting>
  <conditionalFormatting sqref="CB9:CB1007">
    <cfRule type="expression" priority="218" dxfId="0">
      <formula>COUNTBLANK(CA9:CC9)=0</formula>
    </cfRule>
    <cfRule type="expression" priority="219" dxfId="1">
      <formula>COUNTBLANK(CA9)&gt;0</formula>
    </cfRule>
    <cfRule type="expression" priority="220" dxfId="2">
      <formula>AND(COUNTBLANK(CA9:CC9)&gt;0,COUNTBLANK(CA9)=0)</formula>
    </cfRule>
  </conditionalFormatting>
  <conditionalFormatting sqref="CC9:CC1007">
    <cfRule type="expression" priority="221" dxfId="0">
      <formula>COUNTBLANK(CA9:CC9)=0</formula>
    </cfRule>
    <cfRule type="expression" priority="222" dxfId="1">
      <formula>COUNTBLANK(CA9)&gt;0</formula>
    </cfRule>
    <cfRule type="expression" priority="223" dxfId="2">
      <formula>AND(COUNTBLANK(CA9:CC9)&gt;0,COUNTBLANK(CA9)=0)</formula>
    </cfRule>
  </conditionalFormatting>
  <conditionalFormatting sqref="CD9:CD1007">
    <cfRule type="expression" priority="224" dxfId="0">
      <formula>COUNTBLANK(CA9:CC9)=0</formula>
    </cfRule>
    <cfRule type="expression" priority="225" dxfId="1">
      <formula>COUNTBLANK(CA9)&gt;0</formula>
    </cfRule>
    <cfRule type="expression" priority="226" dxfId="2">
      <formula>AND(COUNTBLANK(CA9:CC9)&gt;0,COUNTBLANK(CA9)=0)</formula>
    </cfRule>
  </conditionalFormatting>
  <conditionalFormatting sqref="CE9:CE1007">
    <cfRule type="expression" priority="227" dxfId="0">
      <formula>COUNTBLANK(CE9:CG9)=0</formula>
    </cfRule>
    <cfRule type="expression" priority="228" dxfId="1">
      <formula>COUNTBLANK(CE9)&gt;0</formula>
    </cfRule>
    <cfRule type="expression" priority="229" dxfId="2">
      <formula>AND(COUNTBLANK(CE9:CG9)&gt;0,COUNTBLANK(CE9)=0)</formula>
    </cfRule>
  </conditionalFormatting>
  <conditionalFormatting sqref="CF9:CF1007">
    <cfRule type="expression" priority="230" dxfId="0">
      <formula>COUNTBLANK(CE9:CG9)=0</formula>
    </cfRule>
    <cfRule type="expression" priority="231" dxfId="1">
      <formula>COUNTBLANK(CE9)&gt;0</formula>
    </cfRule>
    <cfRule type="expression" priority="232" dxfId="2">
      <formula>AND(COUNTBLANK(CE9:CG9)&gt;0,COUNTBLANK(CE9)=0)</formula>
    </cfRule>
  </conditionalFormatting>
  <conditionalFormatting sqref="CG9:CG1007">
    <cfRule type="expression" priority="233" dxfId="0">
      <formula>COUNTBLANK(CE9:CG9)=0</formula>
    </cfRule>
    <cfRule type="expression" priority="234" dxfId="1">
      <formula>COUNTBLANK(CE9)&gt;0</formula>
    </cfRule>
    <cfRule type="expression" priority="235" dxfId="2">
      <formula>AND(COUNTBLANK(CE9:CG9)&gt;0,COUNTBLANK(CE9)=0)</formula>
    </cfRule>
  </conditionalFormatting>
  <conditionalFormatting sqref="CH9:CH1007">
    <cfRule type="expression" priority="236" dxfId="0">
      <formula>COUNTBLANK(CE9:CG9)=0</formula>
    </cfRule>
    <cfRule type="expression" priority="237" dxfId="1">
      <formula>COUNTBLANK(CE9)&gt;0</formula>
    </cfRule>
    <cfRule type="expression" priority="238" dxfId="2">
      <formula>AND(COUNTBLANK(CE9:CG9)&gt;0,COUNTBLANK(CE9)=0)</formula>
    </cfRule>
  </conditionalFormatting>
  <conditionalFormatting sqref="CI9:CI1007">
    <cfRule type="expression" priority="239" dxfId="0">
      <formula>COUNTBLANK(CI9:CK9)=0</formula>
    </cfRule>
    <cfRule type="expression" priority="240" dxfId="1">
      <formula>COUNTBLANK(CI9)&gt;0</formula>
    </cfRule>
    <cfRule type="expression" priority="241" dxfId="2">
      <formula>AND(COUNTBLANK(CI9:CK9)&gt;0,COUNTBLANK(CI9)=0)</formula>
    </cfRule>
  </conditionalFormatting>
  <conditionalFormatting sqref="CJ9:CJ1007">
    <cfRule type="expression" priority="242" dxfId="0">
      <formula>COUNTBLANK(CI9:CK9)=0</formula>
    </cfRule>
    <cfRule type="expression" priority="243" dxfId="1">
      <formula>COUNTBLANK(CI9)&gt;0</formula>
    </cfRule>
    <cfRule type="expression" priority="244" dxfId="2">
      <formula>AND(COUNTBLANK(CI9:CK9)&gt;0,COUNTBLANK(CI9)=0)</formula>
    </cfRule>
  </conditionalFormatting>
  <conditionalFormatting sqref="CK9:CK1007">
    <cfRule type="expression" priority="245" dxfId="0">
      <formula>COUNTBLANK(CI9:CK9)=0</formula>
    </cfRule>
    <cfRule type="expression" priority="246" dxfId="1">
      <formula>COUNTBLANK(CI9)&gt;0</formula>
    </cfRule>
    <cfRule type="expression" priority="247" dxfId="2">
      <formula>AND(COUNTBLANK(CI9:CK9)&gt;0,COUNTBLANK(CI9)=0)</formula>
    </cfRule>
  </conditionalFormatting>
  <conditionalFormatting sqref="CL9:CL1007">
    <cfRule type="expression" priority="248" dxfId="0">
      <formula>COUNTBLANK(CI9:CK9)=0</formula>
    </cfRule>
    <cfRule type="expression" priority="249" dxfId="1">
      <formula>COUNTBLANK(CI9)&gt;0</formula>
    </cfRule>
    <cfRule type="expression" priority="250" dxfId="2">
      <formula>AND(COUNTBLANK(CI9:CK9)&gt;0,COUNTBLANK(CI9)=0)</formula>
    </cfRule>
  </conditionalFormatting>
  <conditionalFormatting sqref="CM9:CM1007">
    <cfRule type="expression" priority="251" dxfId="0">
      <formula>COUNTBLANK(CM9:CO9)=0</formula>
    </cfRule>
    <cfRule type="expression" priority="252" dxfId="1">
      <formula>COUNTBLANK(CM9)&gt;0</formula>
    </cfRule>
    <cfRule type="expression" priority="253" dxfId="2">
      <formula>AND(COUNTBLANK(CM9:CO9)&gt;0,COUNTBLANK(CM9)=0)</formula>
    </cfRule>
  </conditionalFormatting>
  <conditionalFormatting sqref="CN9:CN1007">
    <cfRule type="expression" priority="254" dxfId="0">
      <formula>COUNTBLANK(CM9:CO9)=0</formula>
    </cfRule>
    <cfRule type="expression" priority="255" dxfId="1">
      <formula>COUNTBLANK(CM9)&gt;0</formula>
    </cfRule>
    <cfRule type="expression" priority="256" dxfId="2">
      <formula>AND(COUNTBLANK(CM9:CO9)&gt;0,COUNTBLANK(CM9)=0)</formula>
    </cfRule>
  </conditionalFormatting>
  <conditionalFormatting sqref="CO9:CO1007">
    <cfRule type="expression" priority="257" dxfId="0">
      <formula>COUNTBLANK(CM9:CO9)=0</formula>
    </cfRule>
    <cfRule type="expression" priority="258" dxfId="1">
      <formula>COUNTBLANK(CM9)&gt;0</formula>
    </cfRule>
    <cfRule type="expression" priority="259" dxfId="2">
      <formula>AND(COUNTBLANK(CM9:CO9)&gt;0,COUNTBLANK(CM9)=0)</formula>
    </cfRule>
  </conditionalFormatting>
  <conditionalFormatting sqref="CP9:CP1007">
    <cfRule type="expression" priority="260" dxfId="0">
      <formula>COUNTBLANK(CM9:CO9)=0</formula>
    </cfRule>
    <cfRule type="expression" priority="261" dxfId="1">
      <formula>COUNTBLANK(CM9)&gt;0</formula>
    </cfRule>
    <cfRule type="expression" priority="262" dxfId="2">
      <formula>AND(COUNTBLANK(CM9:CO9)&gt;0,COUNTBLANK(CM9)=0)</formula>
    </cfRule>
  </conditionalFormatting>
  <conditionalFormatting sqref="CQ9:CQ1007">
    <cfRule type="expression" priority="263" dxfId="0">
      <formula>COUNTBLANK(CQ9:CS9)=0</formula>
    </cfRule>
    <cfRule type="expression" priority="264" dxfId="1">
      <formula>COUNTBLANK(CQ9)&gt;0</formula>
    </cfRule>
    <cfRule type="expression" priority="265" dxfId="2">
      <formula>AND(COUNTBLANK(CQ9:CS9)&gt;0,COUNTBLANK(CQ9)=0)</formula>
    </cfRule>
  </conditionalFormatting>
  <conditionalFormatting sqref="CR9:CR1007">
    <cfRule type="expression" priority="266" dxfId="0">
      <formula>COUNTBLANK(CQ9:CS9)=0</formula>
    </cfRule>
    <cfRule type="expression" priority="267" dxfId="1">
      <formula>COUNTBLANK(CQ9)&gt;0</formula>
    </cfRule>
    <cfRule type="expression" priority="268" dxfId="2">
      <formula>AND(COUNTBLANK(CQ9:CS9)&gt;0,COUNTBLANK(CQ9)=0)</formula>
    </cfRule>
  </conditionalFormatting>
  <conditionalFormatting sqref="CS9:CS1007">
    <cfRule type="expression" priority="269" dxfId="0">
      <formula>COUNTBLANK(CQ9:CS9)=0</formula>
    </cfRule>
    <cfRule type="expression" priority="270" dxfId="1">
      <formula>COUNTBLANK(CQ9)&gt;0</formula>
    </cfRule>
    <cfRule type="expression" priority="271" dxfId="2">
      <formula>AND(COUNTBLANK(CQ9:CS9)&gt;0,COUNTBLANK(CQ9)=0)</formula>
    </cfRule>
  </conditionalFormatting>
  <conditionalFormatting sqref="CT9:CT1007">
    <cfRule type="expression" priority="272" dxfId="0">
      <formula>COUNTBLANK(CQ9:CS9)=0</formula>
    </cfRule>
    <cfRule type="expression" priority="273" dxfId="1">
      <formula>COUNTBLANK(CQ9)&gt;0</formula>
    </cfRule>
    <cfRule type="expression" priority="274" dxfId="2">
      <formula>AND(COUNTBLANK(CQ9:CS9)&gt;0,COUNTBLANK(CQ9)=0)</formula>
    </cfRule>
  </conditionalFormatting>
  <conditionalFormatting sqref="CU9:CU1007">
    <cfRule type="expression" priority="275" dxfId="0">
      <formula>COUNTBLANK(CU9:CW9)=0</formula>
    </cfRule>
    <cfRule type="expression" priority="276" dxfId="1">
      <formula>COUNTBLANK(CU9)&gt;0</formula>
    </cfRule>
    <cfRule type="expression" priority="277" dxfId="2">
      <formula>AND(COUNTBLANK(CU9:CW9)&gt;0,COUNTBLANK(CU9)=0)</formula>
    </cfRule>
  </conditionalFormatting>
  <conditionalFormatting sqref="CV9:CV1007">
    <cfRule type="expression" priority="278" dxfId="0">
      <formula>COUNTBLANK(CU9:CW9)=0</formula>
    </cfRule>
    <cfRule type="expression" priority="279" dxfId="1">
      <formula>COUNTBLANK(CU9)&gt;0</formula>
    </cfRule>
    <cfRule type="expression" priority="280" dxfId="2">
      <formula>AND(COUNTBLANK(CU9:CW9)&gt;0,COUNTBLANK(CU9)=0)</formula>
    </cfRule>
  </conditionalFormatting>
  <conditionalFormatting sqref="CW9:CW1007">
    <cfRule type="expression" priority="281" dxfId="0">
      <formula>COUNTBLANK(CU9:CW9)=0</formula>
    </cfRule>
    <cfRule type="expression" priority="282" dxfId="1">
      <formula>COUNTBLANK(CU9)&gt;0</formula>
    </cfRule>
    <cfRule type="expression" priority="283" dxfId="2">
      <formula>AND(COUNTBLANK(CU9:CW9)&gt;0,COUNTBLANK(CU9)=0)</formula>
    </cfRule>
  </conditionalFormatting>
  <conditionalFormatting sqref="CX9:CX1007">
    <cfRule type="expression" priority="284" dxfId="0">
      <formula>COUNTBLANK(CU9:CW9)=0</formula>
    </cfRule>
    <cfRule type="expression" priority="285" dxfId="1">
      <formula>COUNTBLANK(CU9)&gt;0</formula>
    </cfRule>
    <cfRule type="expression" priority="286" dxfId="2">
      <formula>AND(COUNTBLANK(CU9:CW9)&gt;0,COUNTBLANK(CU9)=0)</formula>
    </cfRule>
  </conditionalFormatting>
  <conditionalFormatting sqref="CY9:CY1007">
    <cfRule type="expression" priority="287" dxfId="0">
      <formula>COUNTBLANK(CY9:DA9)=0</formula>
    </cfRule>
    <cfRule type="expression" priority="288" dxfId="1">
      <formula>COUNTBLANK(CY9)&gt;0</formula>
    </cfRule>
    <cfRule type="expression" priority="289" dxfId="2">
      <formula>AND(COUNTBLANK(CY9:DA9)&gt;0,COUNTBLANK(CY9)=0)</formula>
    </cfRule>
  </conditionalFormatting>
  <conditionalFormatting sqref="CZ9:CZ1007">
    <cfRule type="expression" priority="290" dxfId="0">
      <formula>COUNTBLANK(CY9:DA9)=0</formula>
    </cfRule>
    <cfRule type="expression" priority="291" dxfId="1">
      <formula>COUNTBLANK(CY9)&gt;0</formula>
    </cfRule>
    <cfRule type="expression" priority="292" dxfId="2">
      <formula>AND(COUNTBLANK(CY9:DA9)&gt;0,COUNTBLANK(CY9)=0)</formula>
    </cfRule>
  </conditionalFormatting>
  <conditionalFormatting sqref="DA9:DA1007">
    <cfRule type="expression" priority="293" dxfId="0">
      <formula>COUNTBLANK(CY9:DA9)=0</formula>
    </cfRule>
    <cfRule type="expression" priority="294" dxfId="1">
      <formula>COUNTBLANK(CY9)&gt;0</formula>
    </cfRule>
    <cfRule type="expression" priority="295" dxfId="2">
      <formula>AND(COUNTBLANK(CY9:DA9)&gt;0,COUNTBLANK(CY9)=0)</formula>
    </cfRule>
  </conditionalFormatting>
  <conditionalFormatting sqref="DB9:DB1007">
    <cfRule type="expression" priority="296" dxfId="0">
      <formula>COUNTBLANK(CY9:DA9)=0</formula>
    </cfRule>
    <cfRule type="expression" priority="297" dxfId="1">
      <formula>COUNTBLANK(CY9)&gt;0</formula>
    </cfRule>
    <cfRule type="expression" priority="298" dxfId="2">
      <formula>AND(COUNTBLANK(CY9:DA9)&gt;0,COUNTBLANK(CY9)=0)</formula>
    </cfRule>
  </conditionalFormatting>
  <conditionalFormatting sqref="DC9:DC1007">
    <cfRule type="expression" priority="299" dxfId="0">
      <formula>COUNTBLANK(DC9:DE9)=0</formula>
    </cfRule>
    <cfRule type="expression" priority="300" dxfId="1">
      <formula>COUNTBLANK(DC9)&gt;0</formula>
    </cfRule>
    <cfRule type="expression" priority="301" dxfId="2">
      <formula>AND(COUNTBLANK(DC9:DE9)&gt;0,COUNTBLANK(DC9)=0)</formula>
    </cfRule>
  </conditionalFormatting>
  <conditionalFormatting sqref="DD9:DD1007">
    <cfRule type="expression" priority="302" dxfId="0">
      <formula>COUNTBLANK(DC9:DE9)=0</formula>
    </cfRule>
    <cfRule type="expression" priority="303" dxfId="1">
      <formula>COUNTBLANK(DC9)&gt;0</formula>
    </cfRule>
    <cfRule type="expression" priority="304" dxfId="2">
      <formula>AND(COUNTBLANK(DC9:DE9)&gt;0,COUNTBLANK(DC9)=0)</formula>
    </cfRule>
  </conditionalFormatting>
  <conditionalFormatting sqref="DE9:DE1007">
    <cfRule type="expression" priority="305" dxfId="0">
      <formula>COUNTBLANK(DC9:DE9)=0</formula>
    </cfRule>
    <cfRule type="expression" priority="306" dxfId="1">
      <formula>COUNTBLANK(DC9)&gt;0</formula>
    </cfRule>
    <cfRule type="expression" priority="307" dxfId="2">
      <formula>AND(COUNTBLANK(DC9:DE9)&gt;0,COUNTBLANK(DC9)=0)</formula>
    </cfRule>
  </conditionalFormatting>
  <conditionalFormatting sqref="DF9:DF1007">
    <cfRule type="expression" priority="308" dxfId="0">
      <formula>COUNTBLANK(DC9:DE9)=0</formula>
    </cfRule>
    <cfRule type="expression" priority="309" dxfId="1">
      <formula>COUNTBLANK(DC9)&gt;0</formula>
    </cfRule>
    <cfRule type="expression" priority="310" dxfId="2">
      <formula>AND(COUNTBLANK(DC9:DE9)&gt;0,COUNTBLANK(DC9)=0)</formula>
    </cfRule>
  </conditionalFormatting>
  <conditionalFormatting sqref="DG9:DG1007">
    <cfRule type="expression" priority="311" dxfId="0">
      <formula>COUNTBLANK(DG9:DI9)=0</formula>
    </cfRule>
    <cfRule type="expression" priority="312" dxfId="1">
      <formula>COUNTBLANK(DG9)&gt;0</formula>
    </cfRule>
    <cfRule type="expression" priority="313" dxfId="2">
      <formula>AND(COUNTBLANK(DG9:DI9)&gt;0,COUNTBLANK(DG9)=0)</formula>
    </cfRule>
  </conditionalFormatting>
  <conditionalFormatting sqref="DH9:DH1007">
    <cfRule type="expression" priority="314" dxfId="0">
      <formula>COUNTBLANK(DG9:DI9)=0</formula>
    </cfRule>
    <cfRule type="expression" priority="315" dxfId="1">
      <formula>COUNTBLANK(DG9)&gt;0</formula>
    </cfRule>
    <cfRule type="expression" priority="316" dxfId="2">
      <formula>AND(COUNTBLANK(DG9:DI9)&gt;0,COUNTBLANK(DG9)=0)</formula>
    </cfRule>
  </conditionalFormatting>
  <conditionalFormatting sqref="DI9:DI1007">
    <cfRule type="expression" priority="317" dxfId="0">
      <formula>COUNTBLANK(DG9:DI9)=0</formula>
    </cfRule>
    <cfRule type="expression" priority="318" dxfId="1">
      <formula>COUNTBLANK(DG9)&gt;0</formula>
    </cfRule>
    <cfRule type="expression" priority="319" dxfId="2">
      <formula>AND(COUNTBLANK(DG9:DI9)&gt;0,COUNTBLANK(DG9)=0)</formula>
    </cfRule>
  </conditionalFormatting>
  <conditionalFormatting sqref="DJ9:DJ1007">
    <cfRule type="expression" priority="320" dxfId="0">
      <formula>COUNTBLANK(DG9:DI9)=0</formula>
    </cfRule>
    <cfRule type="expression" priority="321" dxfId="1">
      <formula>COUNTBLANK(DG9)&gt;0</formula>
    </cfRule>
    <cfRule type="expression" priority="322" dxfId="2">
      <formula>AND(COUNTBLANK(DG9:DI9)&gt;0,COUNTBLANK(DG9)=0)</formula>
    </cfRule>
  </conditionalFormatting>
  <conditionalFormatting sqref="DK9:DK1007">
    <cfRule type="expression" priority="323" dxfId="0">
      <formula>COUNTBLANK(DK9:DM9)=0</formula>
    </cfRule>
    <cfRule type="expression" priority="324" dxfId="1">
      <formula>COUNTBLANK(DK9)&gt;0</formula>
    </cfRule>
    <cfRule type="expression" priority="325" dxfId="2">
      <formula>AND(COUNTBLANK(DK9:DM9)&gt;0,COUNTBLANK(DK9)=0)</formula>
    </cfRule>
  </conditionalFormatting>
  <conditionalFormatting sqref="DL9:DL1007">
    <cfRule type="expression" priority="326" dxfId="0">
      <formula>COUNTBLANK(DK9:DM9)=0</formula>
    </cfRule>
    <cfRule type="expression" priority="327" dxfId="1">
      <formula>COUNTBLANK(DK9)&gt;0</formula>
    </cfRule>
    <cfRule type="expression" priority="328" dxfId="2">
      <formula>AND(COUNTBLANK(DK9:DM9)&gt;0,COUNTBLANK(DK9)=0)</formula>
    </cfRule>
  </conditionalFormatting>
  <conditionalFormatting sqref="DM9:DM1007">
    <cfRule type="expression" priority="329" dxfId="0">
      <formula>COUNTBLANK(DK9:DM9)=0</formula>
    </cfRule>
    <cfRule type="expression" priority="330" dxfId="1">
      <formula>COUNTBLANK(DK9)&gt;0</formula>
    </cfRule>
    <cfRule type="expression" priority="331" dxfId="2">
      <formula>AND(COUNTBLANK(DK9:DM9)&gt;0,COUNTBLANK(DK9)=0)</formula>
    </cfRule>
  </conditionalFormatting>
  <conditionalFormatting sqref="DN9:DN1007">
    <cfRule type="expression" priority="332" dxfId="0">
      <formula>COUNTBLANK(DK9:DM9)=0</formula>
    </cfRule>
    <cfRule type="expression" priority="333" dxfId="1">
      <formula>COUNTBLANK(DK9)&gt;0</formula>
    </cfRule>
    <cfRule type="expression" priority="334" dxfId="2">
      <formula>AND(COUNTBLANK(DK9:DM9)&gt;0,COUNTBLANK(DK9)=0)</formula>
    </cfRule>
  </conditionalFormatting>
  <conditionalFormatting sqref="DO9:DO1007">
    <cfRule type="expression" priority="335" dxfId="0">
      <formula>COUNTBLANK(DO9:DQ9)=0</formula>
    </cfRule>
    <cfRule type="expression" priority="336" dxfId="1">
      <formula>COUNTBLANK(DO9)&gt;0</formula>
    </cfRule>
    <cfRule type="expression" priority="337" dxfId="2">
      <formula>AND(COUNTBLANK(DO9:DQ9)&gt;0,COUNTBLANK(DO9)=0)</formula>
    </cfRule>
  </conditionalFormatting>
  <conditionalFormatting sqref="DP9:DP1007">
    <cfRule type="expression" priority="338" dxfId="0">
      <formula>COUNTBLANK(DO9:DQ9)=0</formula>
    </cfRule>
    <cfRule type="expression" priority="339" dxfId="1">
      <formula>COUNTBLANK(DO9)&gt;0</formula>
    </cfRule>
    <cfRule type="expression" priority="340" dxfId="2">
      <formula>AND(COUNTBLANK(DO9:DQ9)&gt;0,COUNTBLANK(DO9)=0)</formula>
    </cfRule>
  </conditionalFormatting>
  <conditionalFormatting sqref="DQ9:DQ1007">
    <cfRule type="expression" priority="341" dxfId="0">
      <formula>COUNTBLANK(DO9:DQ9)=0</formula>
    </cfRule>
    <cfRule type="expression" priority="342" dxfId="1">
      <formula>COUNTBLANK(DO9)&gt;0</formula>
    </cfRule>
    <cfRule type="expression" priority="343" dxfId="2">
      <formula>AND(COUNTBLANK(DO9:DQ9)&gt;0,COUNTBLANK(DO9)=0)</formula>
    </cfRule>
  </conditionalFormatting>
  <conditionalFormatting sqref="DR9:DR1007">
    <cfRule type="expression" priority="344" dxfId="0">
      <formula>COUNTBLANK(DO9:DQ9)=0</formula>
    </cfRule>
    <cfRule type="expression" priority="345" dxfId="1">
      <formula>COUNTBLANK(DO9)&gt;0</formula>
    </cfRule>
    <cfRule type="expression" priority="346" dxfId="2">
      <formula>AND(COUNTBLANK(DO9:DQ9)&gt;0,COUNTBLANK(DO9)=0)</formula>
    </cfRule>
  </conditionalFormatting>
  <conditionalFormatting sqref="DS9:DS1007">
    <cfRule type="expression" priority="347" dxfId="0">
      <formula>COUNTBLANK(DS9:DU9)=0</formula>
    </cfRule>
    <cfRule type="expression" priority="348" dxfId="1">
      <formula>COUNTBLANK(DS9)&gt;0</formula>
    </cfRule>
    <cfRule type="expression" priority="349" dxfId="2">
      <formula>AND(COUNTBLANK(DS9:DU9)&gt;0,COUNTBLANK(DS9)=0)</formula>
    </cfRule>
  </conditionalFormatting>
  <conditionalFormatting sqref="DT9:DT1007">
    <cfRule type="expression" priority="350" dxfId="0">
      <formula>COUNTBLANK(DS9:DU9)=0</formula>
    </cfRule>
    <cfRule type="expression" priority="351" dxfId="1">
      <formula>COUNTBLANK(DS9)&gt;0</formula>
    </cfRule>
    <cfRule type="expression" priority="352" dxfId="2">
      <formula>AND(COUNTBLANK(DS9:DU9)&gt;0,COUNTBLANK(DS9)=0)</formula>
    </cfRule>
  </conditionalFormatting>
  <conditionalFormatting sqref="DU9:DU1007">
    <cfRule type="expression" priority="353" dxfId="0">
      <formula>COUNTBLANK(DS9:DU9)=0</formula>
    </cfRule>
    <cfRule type="expression" priority="354" dxfId="1">
      <formula>COUNTBLANK(DS9)&gt;0</formula>
    </cfRule>
    <cfRule type="expression" priority="355" dxfId="2">
      <formula>AND(COUNTBLANK(DS9:DU9)&gt;0,COUNTBLANK(DS9)=0)</formula>
    </cfRule>
  </conditionalFormatting>
  <conditionalFormatting sqref="DV9:DV1007">
    <cfRule type="expression" priority="356" dxfId="0">
      <formula>COUNTBLANK(DS9:DU9)=0</formula>
    </cfRule>
    <cfRule type="expression" priority="357" dxfId="1">
      <formula>COUNTBLANK(DS9)&gt;0</formula>
    </cfRule>
    <cfRule type="expression" priority="358" dxfId="2">
      <formula>AND(COUNTBLANK(DS9:DU9)&gt;0,COUNTBLANK(DS9)=0)</formula>
    </cfRule>
  </conditionalFormatting>
  <conditionalFormatting sqref="DW9:DW1007">
    <cfRule type="expression" priority="359" dxfId="0">
      <formula>COUNTBLANK(DW9:DY9)=0</formula>
    </cfRule>
    <cfRule type="expression" priority="360" dxfId="1">
      <formula>COUNTBLANK(DW9)&gt;0</formula>
    </cfRule>
    <cfRule type="expression" priority="361" dxfId="2">
      <formula>AND(COUNTBLANK(DW9:DY9)&gt;0,COUNTBLANK(DW9)=0)</formula>
    </cfRule>
  </conditionalFormatting>
  <conditionalFormatting sqref="DX9:DX1007">
    <cfRule type="expression" priority="362" dxfId="0">
      <formula>COUNTBLANK(DW9:DY9)=0</formula>
    </cfRule>
    <cfRule type="expression" priority="363" dxfId="1">
      <formula>COUNTBLANK(DW9)&gt;0</formula>
    </cfRule>
    <cfRule type="expression" priority="364" dxfId="2">
      <formula>AND(COUNTBLANK(DW9:DY9)&gt;0,COUNTBLANK(DW9)=0)</formula>
    </cfRule>
  </conditionalFormatting>
  <conditionalFormatting sqref="DY9:DY1007">
    <cfRule type="expression" priority="365" dxfId="0">
      <formula>COUNTBLANK(DW9:DY9)=0</formula>
    </cfRule>
    <cfRule type="expression" priority="366" dxfId="1">
      <formula>COUNTBLANK(DW9)&gt;0</formula>
    </cfRule>
    <cfRule type="expression" priority="367" dxfId="2">
      <formula>AND(COUNTBLANK(DW9:DY9)&gt;0,COUNTBLANK(DW9)=0)</formula>
    </cfRule>
  </conditionalFormatting>
  <conditionalFormatting sqref="DZ9:DZ1007">
    <cfRule type="expression" priority="368" dxfId="0">
      <formula>COUNTBLANK(DW9:DY9)=0</formula>
    </cfRule>
    <cfRule type="expression" priority="369" dxfId="1">
      <formula>COUNTBLANK(DW9)&gt;0</formula>
    </cfRule>
    <cfRule type="expression" priority="370" dxfId="2">
      <formula>AND(COUNTBLANK(DW9:DY9)&gt;0,COUNTBLANK(DW9)=0)</formula>
    </cfRule>
  </conditionalFormatting>
  <conditionalFormatting sqref="EA9:EA1007">
    <cfRule type="expression" priority="371" dxfId="0">
      <formula>COUNTBLANK(EA9:EC9)=0</formula>
    </cfRule>
    <cfRule type="expression" priority="372" dxfId="1">
      <formula>COUNTBLANK(EA9)&gt;0</formula>
    </cfRule>
    <cfRule type="expression" priority="373" dxfId="2">
      <formula>AND(COUNTBLANK(EA9:EC9)&gt;0,COUNTBLANK(EA9)=0)</formula>
    </cfRule>
  </conditionalFormatting>
  <conditionalFormatting sqref="EB9:EB1007">
    <cfRule type="expression" priority="374" dxfId="0">
      <formula>COUNTBLANK(EA9:EC9)=0</formula>
    </cfRule>
    <cfRule type="expression" priority="375" dxfId="1">
      <formula>COUNTBLANK(EA9)&gt;0</formula>
    </cfRule>
    <cfRule type="expression" priority="376" dxfId="2">
      <formula>AND(COUNTBLANK(EA9:EC9)&gt;0,COUNTBLANK(EA9)=0)</formula>
    </cfRule>
  </conditionalFormatting>
  <conditionalFormatting sqref="EC9:EC1007">
    <cfRule type="expression" priority="377" dxfId="0">
      <formula>COUNTBLANK(EA9:EC9)=0</formula>
    </cfRule>
    <cfRule type="expression" priority="378" dxfId="1">
      <formula>COUNTBLANK(EA9)&gt;0</formula>
    </cfRule>
    <cfRule type="expression" priority="379" dxfId="2">
      <formula>AND(COUNTBLANK(EA9:EC9)&gt;0,COUNTBLANK(EA9)=0)</formula>
    </cfRule>
  </conditionalFormatting>
  <conditionalFormatting sqref="ED9:ED1007">
    <cfRule type="expression" priority="380" dxfId="0">
      <formula>COUNTBLANK(EA9:EC9)=0</formula>
    </cfRule>
    <cfRule type="expression" priority="381" dxfId="1">
      <formula>COUNTBLANK(EA9)&gt;0</formula>
    </cfRule>
    <cfRule type="expression" priority="382" dxfId="2">
      <formula>AND(COUNTBLANK(EA9:EC9)&gt;0,COUNTBLANK(EA9)=0)</formula>
    </cfRule>
  </conditionalFormatting>
  <conditionalFormatting sqref="EE9:EE1007">
    <cfRule type="expression" priority="383" dxfId="0">
      <formula>COUNTBLANK(EE9:EG9)=0</formula>
    </cfRule>
    <cfRule type="expression" priority="384" dxfId="1">
      <formula>COUNTBLANK(EE9)&gt;0</formula>
    </cfRule>
    <cfRule type="expression" priority="385" dxfId="2">
      <formula>AND(COUNTBLANK(EE9:EG9)&gt;0,COUNTBLANK(EE9)=0)</formula>
    </cfRule>
  </conditionalFormatting>
  <conditionalFormatting sqref="EF9:EF1007">
    <cfRule type="expression" priority="386" dxfId="0">
      <formula>COUNTBLANK(EE9:EG9)=0</formula>
    </cfRule>
    <cfRule type="expression" priority="387" dxfId="1">
      <formula>COUNTBLANK(EE9)&gt;0</formula>
    </cfRule>
    <cfRule type="expression" priority="388" dxfId="2">
      <formula>AND(COUNTBLANK(EE9:EG9)&gt;0,COUNTBLANK(EE9)=0)</formula>
    </cfRule>
  </conditionalFormatting>
  <conditionalFormatting sqref="EG9:EG1007">
    <cfRule type="expression" priority="389" dxfId="0">
      <formula>COUNTBLANK(EE9:EG9)=0</formula>
    </cfRule>
    <cfRule type="expression" priority="390" dxfId="1">
      <formula>COUNTBLANK(EE9)&gt;0</formula>
    </cfRule>
    <cfRule type="expression" priority="391" dxfId="2">
      <formula>AND(COUNTBLANK(EE9:EG9)&gt;0,COUNTBLANK(EE9)=0)</formula>
    </cfRule>
  </conditionalFormatting>
  <conditionalFormatting sqref="EH9:EH1007">
    <cfRule type="expression" priority="392" dxfId="0">
      <formula>COUNTBLANK(EE9:EG9)=0</formula>
    </cfRule>
    <cfRule type="expression" priority="393" dxfId="1">
      <formula>COUNTBLANK(EE9)&gt;0</formula>
    </cfRule>
    <cfRule type="expression" priority="394" dxfId="2">
      <formula>AND(COUNTBLANK(EE9:EG9)&gt;0,COUNTBLANK(EE9)=0)</formula>
    </cfRule>
  </conditionalFormatting>
  <conditionalFormatting sqref="EI9:EI1007">
    <cfRule type="expression" priority="395" dxfId="0">
      <formula>COUNTBLANK(EI9:EK9)=0</formula>
    </cfRule>
    <cfRule type="expression" priority="396" dxfId="1">
      <formula>COUNTBLANK(EI9)&gt;0</formula>
    </cfRule>
    <cfRule type="expression" priority="397" dxfId="2">
      <formula>AND(COUNTBLANK(EI9:EK9)&gt;0,COUNTBLANK(EI9)=0)</formula>
    </cfRule>
  </conditionalFormatting>
  <conditionalFormatting sqref="EJ9:EJ1007">
    <cfRule type="expression" priority="398" dxfId="0">
      <formula>COUNTBLANK(EI9:EK9)=0</formula>
    </cfRule>
    <cfRule type="expression" priority="399" dxfId="1">
      <formula>COUNTBLANK(EI9)&gt;0</formula>
    </cfRule>
    <cfRule type="expression" priority="400" dxfId="2">
      <formula>AND(COUNTBLANK(EI9:EK9)&gt;0,COUNTBLANK(EI9)=0)</formula>
    </cfRule>
  </conditionalFormatting>
  <conditionalFormatting sqref="EK9:EK1007">
    <cfRule type="expression" priority="401" dxfId="0">
      <formula>COUNTBLANK(EI9:EK9)=0</formula>
    </cfRule>
    <cfRule type="expression" priority="402" dxfId="1">
      <formula>COUNTBLANK(EI9)&gt;0</formula>
    </cfRule>
    <cfRule type="expression" priority="403" dxfId="2">
      <formula>AND(COUNTBLANK(EI9:EK9)&gt;0,COUNTBLANK(EI9)=0)</formula>
    </cfRule>
  </conditionalFormatting>
  <conditionalFormatting sqref="EL9:EL1007">
    <cfRule type="expression" priority="404" dxfId="0">
      <formula>COUNTBLANK(EI9:EK9)=0</formula>
    </cfRule>
    <cfRule type="expression" priority="405" dxfId="1">
      <formula>COUNTBLANK(EI9)&gt;0</formula>
    </cfRule>
    <cfRule type="expression" priority="406" dxfId="2">
      <formula>AND(COUNTBLANK(EI9:EK9)&gt;0,COUNTBLANK(EI9)=0)</formula>
    </cfRule>
  </conditionalFormatting>
  <conditionalFormatting sqref="EM9:EM1007">
    <cfRule type="expression" priority="407" dxfId="0">
      <formula>COUNTBLANK(EM9:EO9)=0</formula>
    </cfRule>
    <cfRule type="expression" priority="408" dxfId="1">
      <formula>COUNTBLANK(EM9)&gt;0</formula>
    </cfRule>
    <cfRule type="expression" priority="409" dxfId="2">
      <formula>AND(COUNTBLANK(EM9:EO9)&gt;0,COUNTBLANK(EM9)=0)</formula>
    </cfRule>
  </conditionalFormatting>
  <conditionalFormatting sqref="EN9:EN1007">
    <cfRule type="expression" priority="410" dxfId="0">
      <formula>COUNTBLANK(EM9:EO9)=0</formula>
    </cfRule>
    <cfRule type="expression" priority="411" dxfId="1">
      <formula>COUNTBLANK(EM9)&gt;0</formula>
    </cfRule>
    <cfRule type="expression" priority="412" dxfId="2">
      <formula>AND(COUNTBLANK(EM9:EO9)&gt;0,COUNTBLANK(EM9)=0)</formula>
    </cfRule>
  </conditionalFormatting>
  <conditionalFormatting sqref="EO9:EO1007">
    <cfRule type="expression" priority="413" dxfId="0">
      <formula>COUNTBLANK(EM9:EO9)=0</formula>
    </cfRule>
    <cfRule type="expression" priority="414" dxfId="1">
      <formula>COUNTBLANK(EM9)&gt;0</formula>
    </cfRule>
    <cfRule type="expression" priority="415" dxfId="2">
      <formula>AND(COUNTBLANK(EM9:EO9)&gt;0,COUNTBLANK(EM9)=0)</formula>
    </cfRule>
  </conditionalFormatting>
  <conditionalFormatting sqref="EP9:EP1007">
    <cfRule type="expression" priority="416" dxfId="0">
      <formula>COUNTBLANK(EM9:EO9)=0</formula>
    </cfRule>
    <cfRule type="expression" priority="417" dxfId="1">
      <formula>COUNTBLANK(EM9)&gt;0</formula>
    </cfRule>
    <cfRule type="expression" priority="418" dxfId="2">
      <formula>AND(COUNTBLANK(EM9:EO9)&gt;0,COUNTBLANK(EM9)=0)</formula>
    </cfRule>
  </conditionalFormatting>
  <conditionalFormatting sqref="EQ9:EQ1007">
    <cfRule type="expression" priority="419" dxfId="0">
      <formula>COUNTBLANK(EQ9:ES9)=0</formula>
    </cfRule>
    <cfRule type="expression" priority="420" dxfId="1">
      <formula>COUNTBLANK(EQ9)&gt;0</formula>
    </cfRule>
    <cfRule type="expression" priority="421" dxfId="2">
      <formula>AND(COUNTBLANK(EQ9:ES9)&gt;0,COUNTBLANK(EQ9)=0)</formula>
    </cfRule>
  </conditionalFormatting>
  <conditionalFormatting sqref="ER9:ER1007">
    <cfRule type="expression" priority="422" dxfId="0">
      <formula>COUNTBLANK(EQ9:ES9)=0</formula>
    </cfRule>
    <cfRule type="expression" priority="423" dxfId="1">
      <formula>COUNTBLANK(EQ9)&gt;0</formula>
    </cfRule>
    <cfRule type="expression" priority="424" dxfId="2">
      <formula>AND(COUNTBLANK(EQ9:ES9)&gt;0,COUNTBLANK(EQ9)=0)</formula>
    </cfRule>
  </conditionalFormatting>
  <conditionalFormatting sqref="ES9:ES1007">
    <cfRule type="expression" priority="425" dxfId="0">
      <formula>COUNTBLANK(EQ9:ES9)=0</formula>
    </cfRule>
    <cfRule type="expression" priority="426" dxfId="1">
      <formula>COUNTBLANK(EQ9)&gt;0</formula>
    </cfRule>
    <cfRule type="expression" priority="427" dxfId="2">
      <formula>AND(COUNTBLANK(EQ9:ES9)&gt;0,COUNTBLANK(EQ9)=0)</formula>
    </cfRule>
  </conditionalFormatting>
  <conditionalFormatting sqref="ET9:ET1007">
    <cfRule type="expression" priority="428" dxfId="0">
      <formula>COUNTBLANK(EQ9:ES9)=0</formula>
    </cfRule>
    <cfRule type="expression" priority="429" dxfId="1">
      <formula>COUNTBLANK(EQ9)&gt;0</formula>
    </cfRule>
    <cfRule type="expression" priority="430" dxfId="2">
      <formula>AND(COUNTBLANK(EQ9:ES9)&gt;0,COUNTBLANK(EQ9)=0)</formula>
    </cfRule>
  </conditionalFormatting>
  <conditionalFormatting sqref="EU9:EU1007">
    <cfRule type="expression" priority="431" dxfId="0">
      <formula>COUNTBLANK(EU9:EW9)=0</formula>
    </cfRule>
    <cfRule type="expression" priority="432" dxfId="1">
      <formula>COUNTBLANK(EU9)&gt;0</formula>
    </cfRule>
    <cfRule type="expression" priority="433" dxfId="2">
      <formula>AND(COUNTBLANK(EU9:EW9)&gt;0,COUNTBLANK(EU9)=0)</formula>
    </cfRule>
  </conditionalFormatting>
  <conditionalFormatting sqref="EV9:EV1007">
    <cfRule type="expression" priority="434" dxfId="0">
      <formula>COUNTBLANK(EU9:EW9)=0</formula>
    </cfRule>
    <cfRule type="expression" priority="435" dxfId="1">
      <formula>COUNTBLANK(EU9)&gt;0</formula>
    </cfRule>
    <cfRule type="expression" priority="436" dxfId="2">
      <formula>AND(COUNTBLANK(EU9:EW9)&gt;0,COUNTBLANK(EU9)=0)</formula>
    </cfRule>
  </conditionalFormatting>
  <conditionalFormatting sqref="EW9:EW1007">
    <cfRule type="expression" priority="437" dxfId="0">
      <formula>COUNTBLANK(EU9:EW9)=0</formula>
    </cfRule>
    <cfRule type="expression" priority="438" dxfId="1">
      <formula>COUNTBLANK(EU9)&gt;0</formula>
    </cfRule>
    <cfRule type="expression" priority="439" dxfId="2">
      <formula>AND(COUNTBLANK(EU9:EW9)&gt;0,COUNTBLANK(EU9)=0)</formula>
    </cfRule>
  </conditionalFormatting>
  <conditionalFormatting sqref="EX9:EX1007">
    <cfRule type="expression" priority="440" dxfId="0">
      <formula>COUNTBLANK(EU9:EW9)=0</formula>
    </cfRule>
    <cfRule type="expression" priority="441" dxfId="1">
      <formula>COUNTBLANK(EU9)&gt;0</formula>
    </cfRule>
    <cfRule type="expression" priority="442" dxfId="2">
      <formula>AND(COUNTBLANK(EU9:EW9)&gt;0,COUNTBLANK(EU9)=0)</formula>
    </cfRule>
  </conditionalFormatting>
  <conditionalFormatting sqref="C9:C1007">
    <cfRule type="expression" priority="443" dxfId="3">
      <formula>COUNTBLANK(C9)=1</formula>
    </cfRule>
    <cfRule type="expression" priority="444" dxfId="3">
      <formula>COUNTBLANK(C9)=0</formula>
    </cfRule>
  </conditionalFormatting>
  <conditionalFormatting sqref="D9:D1007">
    <cfRule type="expression" priority="445" dxfId="3">
      <formula>COUNTBLANK(D9)=1</formula>
    </cfRule>
    <cfRule type="expression" priority="446" dxfId="3">
      <formula>COUNTBLANK(D9)=0</formula>
    </cfRule>
  </conditionalFormatting>
  <conditionalFormatting sqref="E9:E1007">
    <cfRule type="expression" priority="447" dxfId="3">
      <formula>COUNTBLANK(E9)=1</formula>
    </cfRule>
    <cfRule type="expression" priority="448" dxfId="3">
      <formula>COUNTBLANK(E9)=0</formula>
    </cfRule>
  </conditionalFormatting>
  <conditionalFormatting sqref="F9:F1007">
    <cfRule type="expression" priority="449" dxfId="3">
      <formula>COUNTBLANK(F9)=1</formula>
    </cfRule>
    <cfRule type="expression" priority="450" dxfId="3">
      <formula>COUNTBLANK(F9)=0</formula>
    </cfRule>
  </conditionalFormatting>
  <conditionalFormatting sqref="G9:G1007">
    <cfRule type="expression" priority="451" dxfId="3">
      <formula>COUNTBLANK(G9)=1</formula>
    </cfRule>
    <cfRule type="expression" priority="452" dxfId="3">
      <formula>COUNTBLANK(G9)=0</formula>
    </cfRule>
  </conditionalFormatting>
  <conditionalFormatting sqref="H9:H1007">
    <cfRule type="expression" priority="453" dxfId="3">
      <formula>COUNTBLANK(H9)=1</formula>
    </cfRule>
    <cfRule type="expression" priority="454" dxfId="3">
      <formula>COUNTBLANK(H9)=0</formula>
    </cfRule>
  </conditionalFormatting>
  <dataValidations count="110">
    <dataValidation sqref="A5:A1007" showErrorMessage="1" showInputMessage="1" allowBlank="1" errorTitle="Invalid ID" error="Your entry is not in the list of project IDs for this sheet" type="list">
      <formula1>"BP"</formula1>
    </dataValidation>
    <dataValidation sqref="B5:B1007" showErrorMessage="1" showInputMessage="1" allowBlank="1" errorTitle="Invalid sample number" error="Your sample number should be a whole number between 25001 and 26000" type="custom">
      <formula1>AND(AND(ISNUMBER(VALUE(B5)),MOD(VALUE(B5),1)=0),AND(VALUE(B5)&gt;25000,VALUE(B5)&lt;26000))</formula1>
    </dataValidation>
    <dataValidation sqref="K9:K1007" showErrorMessage="1" showInputMessage="1" allowBlank="0" errorTitle="Invalid value" error="Your entry must be (a) a number, (b) &quot;failed&quot;, or (c) a string of the form &quot;&lt;42.73&quot; (no spaces)" type="custom">
      <formula1>=OR(ISNUMBER(VALUE(K9)),OR(K9="failed",AND(OR(EXACT(LEFT(K9,1),"&lt;"),EXACT(LEFT(K9,1),"&gt;")),ISNUMBER(VALUE(RIGHT(SUBSTITUTE(K9," ","_"),LEN(K9)-1))))))</formula1>
    </dataValidation>
    <dataValidation sqref="L9: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TOC-L,LC-OCD"</formula1>
    </dataValidation>
    <dataValidation sqref="M9: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O9:O1007" showErrorMessage="1" showInputMessage="1" allowBlank="0" errorTitle="Invalid value" error="Your entry must be (a) a number, (b) &quot;failed&quot;, or (c) a string of the form &quot;&lt;42.73&quot; (no spaces)" type="custom">
      <formula1>=OR(ISNUMBER(VALUE(O9)),OR(O9="failed",AND(OR(EXACT(LEFT(O9,1),"&lt;"),EXACT(LEFT(O9,1),"&gt;")),ISNUMBER(VALUE(RIGHT(SUBSTITUTE(O9," ","_"),LEN(O9)-1))))))</formula1>
    </dataValidation>
    <dataValidation sqref="P9: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Q9: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S9:S1007" showErrorMessage="1" showInputMessage="1" allowBlank="0" errorTitle="Invalid value" error="Your entry must be (a) a number, (b) &quot;failed&quot;, or (c) a string of the form &quot;&lt;42.73&quot; (no spaces)" type="custom">
      <formula1>=OR(ISNUMBER(VALUE(S9)),OR(S9="failed",AND(OR(EXACT(LEFT(S9,1),"&lt;"),EXACT(LEFT(S9,1),"&gt;")),ISNUMBER(VALUE(RIGHT(SUBSTITUTE(S9," ","_"),LEN(S9)-1))))))</formula1>
    </dataValidation>
    <dataValidation sqref="T9: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U9: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W9:W1007" showErrorMessage="1" showInputMessage="1" allowBlank="0" errorTitle="Invalid value" error="Your entry must be (a) a number, (b) &quot;failed&quot;, or (c) a string of the form &quot;&lt;42.73&quot; (no spaces)" type="custom">
      <formula1>=OR(ISNUMBER(VALUE(W9)),OR(W9="failed",AND(OR(EXACT(LEFT(W9,1),"&lt;"),EXACT(LEFT(W9,1),"&gt;")),ISNUMBER(VALUE(RIGHT(SUBSTITUTE(W9," ","_"),LEN(W9)-1))))))</formula1>
    </dataValidation>
    <dataValidation sqref="X9: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Y9:Y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A9:AA1007" showErrorMessage="1" showInputMessage="1" allowBlank="0" errorTitle="Invalid value" error="Your entry must be (a) a number, (b) &quot;failed&quot;, or (c) a string of the form &quot;&lt;42.73&quot; (no spaces)" type="custom">
      <formula1>=OR(ISNUMBER(VALUE(AA9)),OR(AA9="failed",AND(OR(EXACT(LEFT(AA9,1),"&lt;"),EXACT(LEFT(AA9,1),"&gt;")),ISNUMBER(VALUE(RIGHT(SUBSTITUTE(AA9," ","_"),LEN(AA9)-1))))))</formula1>
    </dataValidation>
    <dataValidation sqref="AB9:A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C9:A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E9:AE1007" showErrorMessage="1" showInputMessage="1" allowBlank="0" errorTitle="Invalid value" error="Your entry must be (a) a number, (b) &quot;failed&quot;, or (c) a string of the form &quot;&lt;42.73&quot; (no spaces)" type="custom">
      <formula1>=OR(ISNUMBER(VALUE(AE9)),OR(AE9="failed",AND(OR(EXACT(LEFT(AE9,1),"&lt;"),EXACT(LEFT(AE9,1),"&gt;")),ISNUMBER(VALUE(RIGHT(SUBSTITUTE(AE9," ","_"),LEN(AE9)-1))))))</formula1>
    </dataValidation>
    <dataValidation sqref="AF9:A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G9:A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I9:AI1007" showErrorMessage="1" showInputMessage="1" allowBlank="0" errorTitle="Invalid value" error="Your entry must be (a) a number, (b) &quot;failed&quot;, or (c) a string of the form &quot;&lt;42.73&quot; (no spaces)" type="custom">
      <formula1>=OR(ISNUMBER(VALUE(AI9)),OR(AI9="failed",AND(OR(EXACT(LEFT(AI9,1),"&lt;"),EXACT(LEFT(AI9,1),"&gt;")),ISNUMBER(VALUE(RIGHT(SUBSTITUTE(AI9," ","_"),LEN(AI9)-1))))))</formula1>
    </dataValidation>
    <dataValidation sqref="AJ9:A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LCK341,Dr. Lange LCK342,FIA Lachat QC8500,Test strips MQuant 10007"</formula1>
    </dataValidation>
    <dataValidation sqref="AK9:A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M9:AM1007" showErrorMessage="1" showInputMessage="1" allowBlank="0" errorTitle="Invalid value" error="Your entry must be (a) a number, (b) &quot;failed&quot;, or (c) a string of the form &quot;&lt;42.73&quot; (no spaces)" type="custom">
      <formula1>=OR(ISNUMBER(VALUE(AM9)),OR(AM9="failed",AND(OR(EXACT(LEFT(AM9,1),"&lt;"),EXACT(LEFT(AM9,1),"&gt;")),ISNUMBER(VALUE(RIGHT(SUBSTITUTE(AM9," ","_"),LEN(AM9)-1))))))</formula1>
    </dataValidation>
    <dataValidation sqref="AN9:A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O9:A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Q9:AQ1007" showErrorMessage="1" showInputMessage="1" allowBlank="0" errorTitle="Invalid value" error="Your entry must be (a) a number, (b) &quot;failed&quot;, or (c) a string of the form &quot;&lt;42.73&quot; (no spaces)" type="custom">
      <formula1>=OR(ISNUMBER(VALUE(AQ9)),OR(AQ9="failed",AND(OR(EXACT(LEFT(AQ9,1),"&lt;"),EXACT(LEFT(AQ9,1),"&gt;")),ISNUMBER(VALUE(RIGHT(SUBSTITUTE(AQ9," ","_"),LEN(AQ9)-1))))))</formula1>
    </dataValidation>
    <dataValidation sqref="AR9:A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LCK339,Dr. Lange LCK340,Test strips MQuant 10020"</formula1>
    </dataValidation>
    <dataValidation sqref="AS9:A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U9:AU1007" showErrorMessage="1" showInputMessage="1" allowBlank="0" errorTitle="Invalid value" error="Your entry must be (a) a number, (b) &quot;failed&quot;, or (c) a string of the form &quot;&lt;42.73&quot; (no spaces)" type="custom">
      <formula1>=OR(ISNUMBER(VALUE(AU9)),OR(AU9="failed",AND(OR(EXACT(LEFT(AU9,1),"&lt;"),EXACT(LEFT(AU9,1),"&gt;")),ISNUMBER(VALUE(RIGHT(SUBSTITUTE(AU9," ","_"),LEN(AU9)-1))))))</formula1>
    </dataValidation>
    <dataValidation sqref="AV9:A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LCK348,Dr. Lange LCK349,Dr. Lange LCK350,SOP 45-35"</formula1>
    </dataValidation>
    <dataValidation sqref="AW9:AW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Y9:AY1007" showErrorMessage="1" showInputMessage="1" allowBlank="0" errorTitle="Invalid value" error="Your entry must be (a) a number, (b) &quot;failed&quot;, or (c) a string of the form &quot;&lt;42.73&quot; (no spaces)" type="custom">
      <formula1>=OR(ISNUMBER(VALUE(AY9)),OR(AY9="failed",AND(OR(EXACT(LEFT(AY9,1),"&lt;"),EXACT(LEFT(AY9,1),"&gt;")),ISNUMBER(VALUE(RIGHT(SUBSTITUTE(AY9," ","_"),LEN(AY9)-1))))))</formula1>
    </dataValidation>
    <dataValidation sqref="AZ9:A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BA9:BA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C9:BC1007" showErrorMessage="1" showInputMessage="1" allowBlank="0" errorTitle="Invalid value" error="Your entry must be (a) a number, (b) &quot;failed&quot;, or (c) a string of the form &quot;&lt;42.73&quot; (no spaces)" type="custom">
      <formula1>=OR(ISNUMBER(VALUE(BC9)),OR(BC9="failed",AND(OR(EXACT(LEFT(BC9,1),"&lt;"),EXACT(LEFT(BC9,1),"&gt;")),ISNUMBER(VALUE(RIGHT(SUBSTITUTE(BC9," ","_"),LEN(BC9)-1))))))</formula1>
    </dataValidation>
    <dataValidation sqref="BD9:B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E9:BE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G9:BG1007" showErrorMessage="1" showInputMessage="1" allowBlank="0" errorTitle="Invalid value" error="Your entry must be (a) a number, (b) &quot;failed&quot;, or (c) a string of the form &quot;&lt;42.73&quot; (no spaces)" type="custom">
      <formula1>=OR(ISNUMBER(VALUE(BG9)),OR(BG9="failed",AND(OR(EXACT(LEFT(BG9,1),"&lt;"),EXACT(LEFT(BG9,1),"&gt;")),ISNUMBER(VALUE(RIGHT(SUBSTITUTE(BG9," ","_"),LEN(BG9)-1))))))</formula1>
    </dataValidation>
    <dataValidation sqref="BH9:B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Kationen,FIA Lachat QC8500,Dr. Lange LCK303,Dr. Lange LCK304,Dr. Lange LCK305"</formula1>
    </dataValidation>
    <dataValidation sqref="BI9:BI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K9:BK1007" showErrorMessage="1" showInputMessage="1" allowBlank="0" errorTitle="Invalid value" error="Your entry must be (a) a number, (b) &quot;failed&quot;, or (c) a string of the form &quot;&lt;42.73&quot; (no spaces)" type="custom">
      <formula1>=OR(ISNUMBER(VALUE(BK9)),OR(BK9="failed",AND(OR(EXACT(LEFT(BK9,1),"&lt;"),EXACT(LEFT(BK9,1),"&gt;")),ISNUMBER(VALUE(RIGHT(SUBSTITUTE(BK9," ","_"),LEN(BK9)-1))))))</formula1>
    </dataValidation>
    <dataValidation sqref="BL9:B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M9:B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O9:BO1007" showErrorMessage="1" showInputMessage="1" allowBlank="0" errorTitle="Invalid value" error="Your entry must be (a) a number, (b) &quot;failed&quot;, or (c) a string of the form &quot;&lt;42.73&quot; (no spaces)" type="custom">
      <formula1>=OR(ISNUMBER(VALUE(BO9)),OR(BO9="failed",AND(OR(EXACT(LEFT(BO9,1),"&lt;"),EXACT(LEFT(BO9,1),"&gt;")),ISNUMBER(VALUE(RIGHT(SUBSTITUTE(BO9," ","_"),LEN(BO9)-1))))))</formula1>
    </dataValidation>
    <dataValidation sqref="BP9:B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Q9:BQ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S9:BS1007" showErrorMessage="1" showInputMessage="1" allowBlank="0" errorTitle="Invalid value" error="Your entry must be (a) a number, (b) &quot;failed&quot;, or (c) a string of the form &quot;&lt;42.73&quot; (no spaces)" type="custom">
      <formula1>=OR(ISNUMBER(VALUE(BS9)),OR(BS9="failed",AND(OR(EXACT(LEFT(BS9,1),"&lt;"),EXACT(LEFT(BS9,1),"&gt;")),ISNUMBER(VALUE(RIGHT(SUBSTITUTE(BS9," ","_"),LEN(BS9)-1))))))</formula1>
    </dataValidation>
    <dataValidation sqref="BT9:B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U9:B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W9:BW1007" showErrorMessage="1" showInputMessage="1" allowBlank="0" errorTitle="Invalid value" error="Your entry must be (a) a number, (b) &quot;failed&quot;, or (c) a string of the form &quot;&lt;42.73&quot; (no spaces)" type="custom">
      <formula1>=OR(ISNUMBER(VALUE(BW9)),OR(BW9="failed",AND(OR(EXACT(LEFT(BW9,1),"&lt;"),EXACT(LEFT(BW9,1),"&gt;")),ISNUMBER(VALUE(RIGHT(SUBSTITUTE(BW9," ","_"),LEN(BW9)-1))))))</formula1>
    </dataValidation>
    <dataValidation sqref="BX9:B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LCK348,Dr. Lange LCK349,Dr. Lange LCK350,SOP 45-35"</formula1>
    </dataValidation>
    <dataValidation sqref="BY9:B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A9:CA1007" showErrorMessage="1" showInputMessage="1" allowBlank="0" errorTitle="Invalid value" error="Your entry must be (a) a number, (b) &quot;failed&quot;, or (c) a string of the form &quot;&lt;42.73&quot; (no spaces)" type="custom">
      <formula1>=OR(ISNUMBER(VALUE(CA9)),OR(CA9="failed",AND(OR(EXACT(LEFT(CA9,1),"&lt;"),EXACT(LEFT(CA9,1),"&gt;")),ISNUMBER(VALUE(RIGHT(SUBSTITUTE(CA9," ","_"),LEN(CA9)-1))))))</formula1>
    </dataValidation>
    <dataValidation sqref="CB9:C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"FIA Lachat QC8500,Dr. Lange LCK303,Dr. Lange LCK304,Dr. Lange LCK305"</formula1>
    </dataValidation>
    <dataValidation sqref="CC9:C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E9:CE1007" showErrorMessage="1" showInputMessage="1" allowBlank="0" errorTitle="Invalid value" error="Your entry must be (a) a number, (b) &quot;failed&quot;, or (c) a string of the form &quot;&lt;42.73&quot; (no spaces)" type="custom">
      <formula1>=OR(ISNUMBER(VALUE(CE9)),OR(CE9="failed",AND(OR(EXACT(LEFT(CE9,1),"&lt;"),EXACT(LEFT(CE9,1),"&gt;")),ISNUMBER(VALUE(RIGHT(SUBSTITUTE(CE9," ","_"),LEN(CE9)-1))))))</formula1>
    </dataValidation>
    <dataValidation sqref="CF9:C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G9:C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I9:CI1007" showErrorMessage="1" showInputMessage="1" allowBlank="0" errorTitle="Invalid value" error="Your entry must be (a) a number, (b) &quot;failed&quot;, or (c) a string of the form &quot;&lt;42.73&quot; (no spaces)" type="custom">
      <formula1>=OR(ISNUMBER(VALUE(CI9)),OR(CI9="failed",AND(OR(EXACT(LEFT(CI9,1),"&lt;"),EXACT(LEFT(CI9,1),"&gt;")),ISNUMBER(VALUE(RIGHT(SUBSTITUTE(CI9," ","_"),LEN(CI9)-1))))))</formula1>
    </dataValidation>
    <dataValidation sqref="CJ9:C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K9:C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M9:CM1007" showErrorMessage="1" showInputMessage="1" allowBlank="0" errorTitle="Invalid value" error="Your entry must be (a) a number, (b) &quot;failed&quot;, or (c) a string of the form &quot;&lt;42.73&quot; (no spaces)" type="custom">
      <formula1>=OR(ISNUMBER(VALUE(CM9)),OR(CM9="failed",AND(OR(EXACT(LEFT(CM9,1),"&lt;"),EXACT(LEFT(CM9,1),"&gt;")),ISNUMBER(VALUE(RIGHT(SUBSTITUTE(CM9," ","_"),LEN(CM9)-1))))))</formula1>
    </dataValidation>
    <dataValidation sqref="CN9:C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45-34"</formula1>
    </dataValidation>
    <dataValidation sqref="CO9:C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Q9:CQ1007" showErrorMessage="1" showInputMessage="1" allowBlank="0" errorTitle="Invalid value" error="Your entry must be (a) a number, (b) &quot;failed&quot;, or (c) a string of the form &quot;&lt;42.73&quot; (no spaces)" type="custom">
      <formula1>=OR(ISNUMBER(VALUE(CQ9)),OR(CQ9="failed",AND(OR(EXACT(LEFT(CQ9,1),"&lt;"),EXACT(LEFT(CQ9,1),"&gt;")),ISNUMBER(VALUE(RIGHT(SUBSTITUTE(CQ9," ","_"),LEN(CQ9)-1))))))</formula1>
    </dataValidation>
    <dataValidation sqref="CR9:C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TetraCon 925,WTW LF 340"</formula1>
    </dataValidation>
    <dataValidation sqref="CS9:C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U9:CU1007" showErrorMessage="1" showInputMessage="1" allowBlank="0" errorTitle="Invalid value" error="Your entry must be (a) a number, (b) &quot;failed&quot;, or (c) a string of the form &quot;&lt;42.73&quot; (no spaces)" type="custom">
      <formula1>=OR(ISNUMBER(VALUE(CU9)),OR(CU9="failed",AND(OR(EXACT(LEFT(CU9,1),"&lt;"),EXACT(LEFT(CU9,1),"&gt;")),ISNUMBER(VALUE(RIGHT(SUBSTITUTE(CU9," ","_"),LEN(CU9)-1))))))</formula1>
    </dataValidation>
    <dataValidation sqref="CV9:C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SenTix 940-3,WTW pH340"</formula1>
    </dataValidation>
    <dataValidation sqref="CW9:C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Y9:CY1007" showErrorMessage="1" showInputMessage="1" allowBlank="0" errorTitle="Invalid value" error="Your entry must be (a) a number, (b) &quot;failed&quot;, or (c) a string of the form &quot;&lt;42.73&quot; (no spaces)" type="custom">
      <formula1>=OR(ISNUMBER(VALUE(CY9)),OR(CY9="failed",AND(OR(EXACT(LEFT(CY9,1),"&lt;"),EXACT(LEFT(CY9,1),"&gt;")),ISNUMBER(VALUE(RIGHT(SUBSTITUTE(CY9," ","_"),LEN(CY9)-1))))))</formula1>
    </dataValidation>
    <dataValidation sqref="CZ9:C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FDO 925"</formula1>
    </dataValidation>
    <dataValidation sqref="DA9:DA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C9:DC1007" showErrorMessage="1" showInputMessage="1" allowBlank="0" errorTitle="Invalid value" error="Your entry must be (a) a number, (b) &quot;failed&quot;, or (c) a string of the form &quot;&lt;42.73&quot; (no spaces)" type="custom">
      <formula1>=OR(ISNUMBER(VALUE(DC9)),OR(DC9="failed",AND(OR(EXACT(LEFT(DC9,1),"&lt;"),EXACT(LEFT(DC9,1),"&gt;")),ISNUMBER(VALUE(RIGHT(SUBSTITUTE(DC9," ","_"),LEN(DC9)-1))))))</formula1>
    </dataValidation>
    <dataValidation sqref="DD9:D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"HACH TL2300 Turbidimeter,HACH TL2360 Turbidimeter"</formula1>
    </dataValidation>
    <dataValidation sqref="DE9:DE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G9:DG1007" showErrorMessage="1" showInputMessage="1" allowBlank="0" errorTitle="Invalid value" error="Your entry must be (a) a number, (b) &quot;failed&quot;, or (c) a string of the form &quot;&lt;42.73&quot; (no spaces)" type="custom">
      <formula1>=OR(ISNUMBER(VALUE(DG9)),OR(DG9="failed",AND(OR(EXACT(LEFT(DG9,1),"&lt;"),EXACT(LEFT(DG9,1),"&gt;")),ISNUMBER(VALUE(RIGHT(SUBSTITUTE(DG9," ","_"),LEN(DG9)-1))))))</formula1>
    </dataValidation>
    <dataValidation sqref="DH9:D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I9:DI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K9:DK1007" showErrorMessage="1" showInputMessage="1" allowBlank="0" errorTitle="Invalid value" error="Your entry must be (a) a number, (b) &quot;failed&quot;, or (c) a string of the form &quot;&lt;42.73&quot; (no spaces)" type="custom">
      <formula1>=OR(ISNUMBER(VALUE(DK9)),OR(DK9="failed",AND(OR(EXACT(LEFT(DK9,1),"&lt;"),EXACT(LEFT(DK9,1),"&gt;")),ISNUMBER(VALUE(RIGHT(SUBSTITUTE(DK9," ","_"),LEN(DK9)-1))))))</formula1>
    </dataValidation>
    <dataValidation sqref="DL9:D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 (SOP muss noch angepasst werden für VSS)"</formula1>
    </dataValidation>
    <dataValidation sqref="DM9:DM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O9:DO1007" showErrorMessage="1" showInputMessage="1" allowBlank="0" errorTitle="Invalid value" error="Your entry must be (a) a number, (b) &quot;failed&quot;, or (c) a string of the form &quot;&lt;42.73&quot; (no spaces)" type="custom">
      <formula1>=OR(ISNUMBER(VALUE(DO9)),OR(DO9="failed",AND(OR(EXACT(LEFT(DO9,1),"&lt;"),EXACT(LEFT(DO9,1),"&gt;")),ISNUMBER(VALUE(RIGHT(SUBSTITUTE(DO9," ","_"),LEN(DO9)-1))))))</formula1>
    </dataValidation>
    <dataValidation sqref="DP9:D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Q9:D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S9:DS1007" showErrorMessage="1" showInputMessage="1" allowBlank="0" errorTitle="Invalid value" error="Your entry must be (a) a number, (b) &quot;failed&quot;, or (c) a string of the form &quot;&lt;42.73&quot; (no spaces)" type="custom">
      <formula1>=OR(ISNUMBER(VALUE(DS9)),OR(DS9="failed",AND(OR(EXACT(LEFT(DS9,1),"&lt;"),EXACT(LEFT(DS9,1),"&gt;")),ISNUMBER(VALUE(RIGHT(SUBSTITUTE(DS9," ","_"),LEN(DS9)-1))))))</formula1>
    </dataValidation>
    <dataValidation sqref="DT9:D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U9:D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W9:DW1007" showErrorMessage="1" showInputMessage="1" allowBlank="0" errorTitle="Invalid value" error="Your entry must be (a) a number, (b) &quot;failed&quot;, or (c) a string of the form &quot;&lt;42.73&quot; (no spaces)" type="custom">
      <formula1>=OR(ISNUMBER(VALUE(DW9)),OR(DW9="failed",AND(OR(EXACT(LEFT(DW9,1),"&lt;"),EXACT(LEFT(DW9,1),"&gt;")),ISNUMBER(VALUE(RIGHT(SUBSTITUTE(DW9," ","_"),LEN(DW9)-1))))))</formula1>
    </dataValidation>
    <dataValidation sqref="DX9:D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Y9:D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A9:EA1007" showErrorMessage="1" showInputMessage="1" allowBlank="0" errorTitle="Invalid value" error="Your entry must be (a) a number, (b) &quot;failed&quot;, or (c) a string of the form &quot;&lt;42.73&quot; (no spaces)" type="custom">
      <formula1>=OR(ISNUMBER(VALUE(EA9)),OR(EA9="failed",AND(OR(EXACT(LEFT(EA9,1),"&lt;"),EXACT(LEFT(EA9,1),"&gt;")),ISNUMBER(VALUE(RIGHT(SUBSTITUTE(EA9," ","_"),LEN(EA9)-1))))))</formula1>
    </dataValidation>
    <dataValidation sqref="EB9:E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C9:E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E9:EE1007" showErrorMessage="1" showInputMessage="1" allowBlank="0" errorTitle="Invalid value" error="Your entry must be (a) a number, (b) &quot;failed&quot;, or (c) a string of the form &quot;&lt;42.73&quot; (no spaces)" type="custom">
      <formula1>=OR(ISNUMBER(VALUE(EE9)),OR(EE9="failed",AND(OR(EXACT(LEFT(EE9,1),"&lt;"),EXACT(LEFT(EE9,1),"&gt;")),ISNUMBER(VALUE(RIGHT(SUBSTITUTE(EE9," ","_"),LEN(EE9)-1))))))</formula1>
    </dataValidation>
    <dataValidation sqref="EF9:E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G9:E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I9:EI1007" showErrorMessage="1" showInputMessage="1" allowBlank="0" errorTitle="Invalid value" error="Your entry must be (a) a number, (b) &quot;failed&quot;, or (c) a string of the form &quot;&lt;42.73&quot; (no spaces)" type="custom">
      <formula1>=OR(ISNUMBER(VALUE(EI9)),OR(EI9="failed",AND(OR(EXACT(LEFT(EI9,1),"&lt;"),EXACT(LEFT(EI9,1),"&gt;")),ISNUMBER(VALUE(RIGHT(SUBSTITUTE(EI9," ","_"),LEN(EI9)-1))))))</formula1>
    </dataValidation>
    <dataValidation sqref="EJ9:E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K9:E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M9:EM1007" showErrorMessage="1" showInputMessage="1" allowBlank="0" errorTitle="Invalid value" error="Your entry must be (a) a number, (b) &quot;failed&quot;, or (c) a string of the form &quot;&lt;42.73&quot; (no spaces)" type="custom">
      <formula1>=OR(ISNUMBER(VALUE(EM9)),OR(EM9="failed",AND(OR(EXACT(LEFT(EM9,1),"&lt;"),EXACT(LEFT(EM9,1),"&gt;")),ISNUMBER(VALUE(RIGHT(SUBSTITUTE(EM9," ","_"),LEN(EM9)-1))))))</formula1>
    </dataValidation>
    <dataValidation sqref="EN9:E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O9:E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Q9:EQ1007" showErrorMessage="1" showInputMessage="1" allowBlank="0" errorTitle="Invalid value" error="Your entry must be (a) a number, (b) &quot;failed&quot;, or (c) a string of the form &quot;&lt;42.73&quot; (no spaces)" type="custom">
      <formula1>=OR(ISNUMBER(VALUE(EQ9)),OR(EQ9="failed",AND(OR(EXACT(LEFT(EQ9,1),"&lt;"),EXACT(LEFT(EQ9,1),"&gt;")),ISNUMBER(VALUE(RIGHT(SUBSTITUTE(EQ9," ","_"),LEN(EQ9)-1))))))</formula1>
    </dataValidation>
    <dataValidation sqref="ER9:E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S9:E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U9:EU1007" showErrorMessage="1" showInputMessage="1" allowBlank="0" errorTitle="Invalid value" error="Your entry must be (a) a number, (b) &quot;failed&quot;, or (c) a string of the form &quot;&lt;42.73&quot; (no spaces)" type="custom">
      <formula1>=OR(ISNUMBER(VALUE(EU9)),OR(EU9="failed",AND(OR(EXACT(LEFT(EU9,1),"&lt;"),EXACT(LEFT(EU9,1),"&gt;")),ISNUMBER(VALUE(RIGHT(SUBSTITUTE(EU9," ","_"),LEN(EU9)-1))))))</formula1>
    </dataValidation>
    <dataValidation sqref="EV9:E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"LC-MS"</formula1>
    </dataValidation>
    <dataValidation sqref="EW9:E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IF(ISBLANK('Q:\Abteilungsprojekte\eng\EngData\AOS\Allgemein\[LabSamples2025.xlsx]Bioplastic'!A1)," ",'Q:\Abteilungsprojekte\eng\EngData\AOS\Allgemein\[LabSamples2025.xlsx]Bioplastic'!A1)</f>
        <v/>
      </c>
      <c r="B1">
        <f>IF(ISBLANK('Q:\Abteilungsprojekte\eng\EngData\AOS\Allgemein\[LabSamples2025.xlsx]Bioplastic'!B1)," ",'Q:\Abteilungsprojekte\eng\EngData\AOS\Allgemein\[LabSamples2025.xlsx]Bioplastic'!B1)</f>
        <v/>
      </c>
      <c r="C1">
        <f>IF(ISBLANK('Q:\Abteilungsprojekte\eng\EngData\AOS\Allgemein\[LabSamples2025.xlsx]Bioplastic'!C1)," ",'Q:\Abteilungsprojekte\eng\EngData\AOS\Allgemein\[LabSamples2025.xlsx]Bioplastic'!C1)</f>
        <v/>
      </c>
      <c r="D1">
        <f>IF(ISBLANK('Q:\Abteilungsprojekte\eng\EngData\AOS\Allgemein\[LabSamples2025.xlsx]Bioplastic'!D1)," ",'Q:\Abteilungsprojekte\eng\EngData\AOS\Allgemein\[LabSamples2025.xlsx]Bioplastic'!D1)</f>
        <v/>
      </c>
      <c r="E1">
        <f>IF(ISBLANK('Q:\Abteilungsprojekte\eng\EngData\AOS\Allgemein\[LabSamples2025.xlsx]Bioplastic'!E1)," ",'Q:\Abteilungsprojekte\eng\EngData\AOS\Allgemein\[LabSamples2025.xlsx]Bioplastic'!E1)</f>
        <v/>
      </c>
      <c r="F1">
        <f>IF(ISBLANK('Q:\Abteilungsprojekte\eng\EngData\AOS\Allgemein\[LabSamples2025.xlsx]Bioplastic'!F1)," ",'Q:\Abteilungsprojekte\eng\EngData\AOS\Allgemein\[LabSamples2025.xlsx]Bioplastic'!F1)</f>
        <v/>
      </c>
      <c r="G1">
        <f>IF(ISBLANK('Q:\Abteilungsprojekte\eng\EngData\AOS\Allgemein\[LabSamples2025.xlsx]Bioplastic'!G1)," ",'Q:\Abteilungsprojekte\eng\EngData\AOS\Allgemein\[LabSamples2025.xlsx]Bioplastic'!G1)</f>
        <v/>
      </c>
      <c r="H1">
        <f>IF(ISBLANK('Q:\Abteilungsprojekte\eng\EngData\AOS\Allgemein\[LabSamples2025.xlsx]Bioplastic'!H1)," ",'Q:\Abteilungsprojekte\eng\EngData\AOS\Allgemein\[LabSamples2025.xlsx]Bioplastic'!H1)</f>
        <v/>
      </c>
    </row>
    <row r="2">
      <c r="A2">
        <f>IF(ISBLANK('Q:\Abteilungsprojekte\eng\EngData\AOS\Allgemein\[LabSamples2025.xlsx]Bioplastic'!A2)," ",'Q:\Abteilungsprojekte\eng\EngData\AOS\Allgemein\[LabSamples2025.xlsx]Bioplastic'!A2)</f>
        <v/>
      </c>
      <c r="B2">
        <f>IF(ISBLANK('Q:\Abteilungsprojekte\eng\EngData\AOS\Allgemein\[LabSamples2025.xlsx]Bioplastic'!B2)," ",'Q:\Abteilungsprojekte\eng\EngData\AOS\Allgemein\[LabSamples2025.xlsx]Bioplastic'!B2)</f>
        <v/>
      </c>
      <c r="C2">
        <f>IF(ISBLANK('Q:\Abteilungsprojekte\eng\EngData\AOS\Allgemein\[LabSamples2025.xlsx]Bioplastic'!C2)," ",'Q:\Abteilungsprojekte\eng\EngData\AOS\Allgemein\[LabSamples2025.xlsx]Bioplastic'!C2)</f>
        <v/>
      </c>
      <c r="D2">
        <f>IF(ISBLANK('Q:\Abteilungsprojekte\eng\EngData\AOS\Allgemein\[LabSamples2025.xlsx]Bioplastic'!D2)," ",'Q:\Abteilungsprojekte\eng\EngData\AOS\Allgemein\[LabSamples2025.xlsx]Bioplastic'!D2)</f>
        <v/>
      </c>
      <c r="E2">
        <f>IF(ISBLANK('Q:\Abteilungsprojekte\eng\EngData\AOS\Allgemein\[LabSamples2025.xlsx]Bioplastic'!E2)," ",'Q:\Abteilungsprojekte\eng\EngData\AOS\Allgemein\[LabSamples2025.xlsx]Bioplastic'!E2)</f>
        <v/>
      </c>
      <c r="F2">
        <f>IF(ISBLANK('Q:\Abteilungsprojekte\eng\EngData\AOS\Allgemein\[LabSamples2025.xlsx]Bioplastic'!F2)," ",'Q:\Abteilungsprojekte\eng\EngData\AOS\Allgemein\[LabSamples2025.xlsx]Bioplastic'!F2)</f>
        <v/>
      </c>
      <c r="G2">
        <f>IF(ISBLANK('Q:\Abteilungsprojekte\eng\EngData\AOS\Allgemein\[LabSamples2025.xlsx]Bioplastic'!G2)," ",'Q:\Abteilungsprojekte\eng\EngData\AOS\Allgemein\[LabSamples2025.xlsx]Bioplastic'!G2)</f>
        <v/>
      </c>
      <c r="H2">
        <f>IF(ISBLANK('Q:\Abteilungsprojekte\eng\EngData\AOS\Allgemein\[LabSamples2025.xlsx]Bioplastic'!H2)," ",'Q:\Abteilungsprojekte\eng\EngData\AOS\Allgemein\[LabSamples2025.xlsx]Bioplastic'!H2)</f>
        <v/>
      </c>
    </row>
    <row r="3">
      <c r="A3">
        <f>IF(ISBLANK('Q:\Abteilungsprojekte\eng\EngData\AOS\Allgemein\[LabSamples2025.xlsx]Bioplastic'!A3)," ",'Q:\Abteilungsprojekte\eng\EngData\AOS\Allgemein\[LabSamples2025.xlsx]Bioplastic'!A3)</f>
        <v/>
      </c>
      <c r="B3">
        <f>IF(ISBLANK('Q:\Abteilungsprojekte\eng\EngData\AOS\Allgemein\[LabSamples2025.xlsx]Bioplastic'!B3)," ",'Q:\Abteilungsprojekte\eng\EngData\AOS\Allgemein\[LabSamples2025.xlsx]Bioplastic'!B3)</f>
        <v/>
      </c>
      <c r="C3">
        <f>IF(ISBLANK('Q:\Abteilungsprojekte\eng\EngData\AOS\Allgemein\[LabSamples2025.xlsx]Bioplastic'!C3)," ",'Q:\Abteilungsprojekte\eng\EngData\AOS\Allgemein\[LabSamples2025.xlsx]Bioplastic'!C3)</f>
        <v/>
      </c>
      <c r="D3">
        <f>IF(ISBLANK('Q:\Abteilungsprojekte\eng\EngData\AOS\Allgemein\[LabSamples2025.xlsx]Bioplastic'!D3)," ",'Q:\Abteilungsprojekte\eng\EngData\AOS\Allgemein\[LabSamples2025.xlsx]Bioplastic'!D3)</f>
        <v/>
      </c>
      <c r="E3">
        <f>IF(ISBLANK('Q:\Abteilungsprojekte\eng\EngData\AOS\Allgemein\[LabSamples2025.xlsx]Bioplastic'!E3)," ",'Q:\Abteilungsprojekte\eng\EngData\AOS\Allgemein\[LabSamples2025.xlsx]Bioplastic'!E3)</f>
        <v/>
      </c>
      <c r="F3">
        <f>IF(ISBLANK('Q:\Abteilungsprojekte\eng\EngData\AOS\Allgemein\[LabSamples2025.xlsx]Bioplastic'!F3)," ",'Q:\Abteilungsprojekte\eng\EngData\AOS\Allgemein\[LabSamples2025.xlsx]Bioplastic'!F3)</f>
        <v/>
      </c>
      <c r="G3">
        <f>IF(ISBLANK('Q:\Abteilungsprojekte\eng\EngData\AOS\Allgemein\[LabSamples2025.xlsx]Bioplastic'!G3)," ",'Q:\Abteilungsprojekte\eng\EngData\AOS\Allgemein\[LabSamples2025.xlsx]Bioplastic'!G3)</f>
        <v/>
      </c>
      <c r="H3">
        <f>IF(ISBLANK('Q:\Abteilungsprojekte\eng\EngData\AOS\Allgemein\[LabSamples2025.xlsx]Bioplastic'!H3)," ",'Q:\Abteilungsprojekte\eng\EngData\AOS\Allgemein\[LabSamples2025.xlsx]Bioplastic'!H3)</f>
        <v/>
      </c>
    </row>
    <row r="4">
      <c r="A4">
        <f>IF(ISBLANK('Q:\Abteilungsprojekte\eng\EngData\AOS\Allgemein\[LabSamples2025.xlsx]Bioplastic'!A4)," ",'Q:\Abteilungsprojekte\eng\EngData\AOS\Allgemein\[LabSamples2025.xlsx]Bioplastic'!A4)</f>
        <v/>
      </c>
      <c r="B4">
        <f>IF(ISBLANK('Q:\Abteilungsprojekte\eng\EngData\AOS\Allgemein\[LabSamples2025.xlsx]Bioplastic'!B4)," ",'Q:\Abteilungsprojekte\eng\EngData\AOS\Allgemein\[LabSamples2025.xlsx]Bioplastic'!B4)</f>
        <v/>
      </c>
      <c r="C4">
        <f>IF(ISBLANK('Q:\Abteilungsprojekte\eng\EngData\AOS\Allgemein\[LabSamples2025.xlsx]Bioplastic'!C4)," ",'Q:\Abteilungsprojekte\eng\EngData\AOS\Allgemein\[LabSamples2025.xlsx]Bioplastic'!C4)</f>
        <v/>
      </c>
      <c r="D4">
        <f>IF(ISBLANK('Q:\Abteilungsprojekte\eng\EngData\AOS\Allgemein\[LabSamples2025.xlsx]Bioplastic'!D4)," ",'Q:\Abteilungsprojekte\eng\EngData\AOS\Allgemein\[LabSamples2025.xlsx]Bioplastic'!D4)</f>
        <v/>
      </c>
      <c r="E4">
        <f>IF(ISBLANK('Q:\Abteilungsprojekte\eng\EngData\AOS\Allgemein\[LabSamples2025.xlsx]Bioplastic'!E4)," ",'Q:\Abteilungsprojekte\eng\EngData\AOS\Allgemein\[LabSamples2025.xlsx]Bioplastic'!E4)</f>
        <v/>
      </c>
      <c r="F4">
        <f>IF(ISBLANK('Q:\Abteilungsprojekte\eng\EngData\AOS\Allgemein\[LabSamples2025.xlsx]Bioplastic'!F4)," ",'Q:\Abteilungsprojekte\eng\EngData\AOS\Allgemein\[LabSamples2025.xlsx]Bioplastic'!F4)</f>
        <v/>
      </c>
      <c r="G4">
        <f>IF(ISBLANK('Q:\Abteilungsprojekte\eng\EngData\AOS\Allgemein\[LabSamples2025.xlsx]Bioplastic'!G4)," ",'Q:\Abteilungsprojekte\eng\EngData\AOS\Allgemein\[LabSamples2025.xlsx]Bioplastic'!G4)</f>
        <v/>
      </c>
      <c r="H4">
        <f>IF(ISBLANK('Q:\Abteilungsprojekte\eng\EngData\AOS\Allgemein\[LabSamples2025.xlsx]Bioplastic'!H4)," ",'Q:\Abteilungsprojekte\eng\EngData\AOS\Allgemein\[LabSamples2025.xlsx]Bioplastic'!H4)</f>
        <v/>
      </c>
    </row>
    <row r="5">
      <c r="A5">
        <f>IF(ISBLANK('Q:\Abteilungsprojekte\eng\EngData\AOS\Allgemein\[LabSamples2025.xlsx]Bioplastic'!A5)," ",'Q:\Abteilungsprojekte\eng\EngData\AOS\Allgemein\[LabSamples2025.xlsx]Bioplastic'!A5)</f>
        <v/>
      </c>
      <c r="B5">
        <f>IF(ISBLANK('Q:\Abteilungsprojekte\eng\EngData\AOS\Allgemein\[LabSamples2025.xlsx]Bioplastic'!B5)," ",'Q:\Abteilungsprojekte\eng\EngData\AOS\Allgemein\[LabSamples2025.xlsx]Bioplastic'!B5)</f>
        <v/>
      </c>
      <c r="C5">
        <f>IF(ISBLANK('Q:\Abteilungsprojekte\eng\EngData\AOS\Allgemein\[LabSamples2025.xlsx]Bioplastic'!C5)," ",'Q:\Abteilungsprojekte\eng\EngData\AOS\Allgemein\[LabSamples2025.xlsx]Bioplastic'!C5)</f>
        <v/>
      </c>
      <c r="D5">
        <f>IF(ISBLANK('Q:\Abteilungsprojekte\eng\EngData\AOS\Allgemein\[LabSamples2025.xlsx]Bioplastic'!D5)," ",'Q:\Abteilungsprojekte\eng\EngData\AOS\Allgemein\[LabSamples2025.xlsx]Bioplastic'!D5)</f>
        <v/>
      </c>
      <c r="E5">
        <f>IF(ISBLANK('Q:\Abteilungsprojekte\eng\EngData\AOS\Allgemein\[LabSamples2025.xlsx]Bioplastic'!E5)," ",'Q:\Abteilungsprojekte\eng\EngData\AOS\Allgemein\[LabSamples2025.xlsx]Bioplastic'!E5)</f>
        <v/>
      </c>
      <c r="F5">
        <f>IF(ISBLANK('Q:\Abteilungsprojekte\eng\EngData\AOS\Allgemein\[LabSamples2025.xlsx]Bioplastic'!F5)," ",'Q:\Abteilungsprojekte\eng\EngData\AOS\Allgemein\[LabSamples2025.xlsx]Bioplastic'!F5)</f>
        <v/>
      </c>
      <c r="G5">
        <f>IF(ISBLANK('Q:\Abteilungsprojekte\eng\EngData\AOS\Allgemein\[LabSamples2025.xlsx]Bioplastic'!G5)," ",'Q:\Abteilungsprojekte\eng\EngData\AOS\Allgemein\[LabSamples2025.xlsx]Bioplastic'!G5)</f>
        <v/>
      </c>
      <c r="H5">
        <f>IF(ISBLANK('Q:\Abteilungsprojekte\eng\EngData\AOS\Allgemein\[LabSamples2025.xlsx]Bioplastic'!H5)," ",'Q:\Abteilungsprojekte\eng\EngData\AOS\Allgemein\[LabSamples2025.xlsx]Bioplastic'!H5)</f>
        <v/>
      </c>
    </row>
    <row r="6">
      <c r="A6">
        <f>IF(ISBLANK('Q:\Abteilungsprojekte\eng\EngData\AOS\Allgemein\[LabSamples2025.xlsx]Bioplastic'!A6)," ",'Q:\Abteilungsprojekte\eng\EngData\AOS\Allgemein\[LabSamples2025.xlsx]Bioplastic'!A6)</f>
        <v/>
      </c>
      <c r="B6">
        <f>IF(ISBLANK('Q:\Abteilungsprojekte\eng\EngData\AOS\Allgemein\[LabSamples2025.xlsx]Bioplastic'!B6)," ",'Q:\Abteilungsprojekte\eng\EngData\AOS\Allgemein\[LabSamples2025.xlsx]Bioplastic'!B6)</f>
        <v/>
      </c>
      <c r="C6">
        <f>IF(ISBLANK('Q:\Abteilungsprojekte\eng\EngData\AOS\Allgemein\[LabSamples2025.xlsx]Bioplastic'!C6)," ",'Q:\Abteilungsprojekte\eng\EngData\AOS\Allgemein\[LabSamples2025.xlsx]Bioplastic'!C6)</f>
        <v/>
      </c>
      <c r="D6">
        <f>IF(ISBLANK('Q:\Abteilungsprojekte\eng\EngData\AOS\Allgemein\[LabSamples2025.xlsx]Bioplastic'!D6)," ",'Q:\Abteilungsprojekte\eng\EngData\AOS\Allgemein\[LabSamples2025.xlsx]Bioplastic'!D6)</f>
        <v/>
      </c>
      <c r="E6">
        <f>IF(ISBLANK('Q:\Abteilungsprojekte\eng\EngData\AOS\Allgemein\[LabSamples2025.xlsx]Bioplastic'!E6)," ",'Q:\Abteilungsprojekte\eng\EngData\AOS\Allgemein\[LabSamples2025.xlsx]Bioplastic'!E6)</f>
        <v/>
      </c>
      <c r="F6">
        <f>IF(ISBLANK('Q:\Abteilungsprojekte\eng\EngData\AOS\Allgemein\[LabSamples2025.xlsx]Bioplastic'!F6)," ",'Q:\Abteilungsprojekte\eng\EngData\AOS\Allgemein\[LabSamples2025.xlsx]Bioplastic'!F6)</f>
        <v/>
      </c>
      <c r="G6">
        <f>IF(ISBLANK('Q:\Abteilungsprojekte\eng\EngData\AOS\Allgemein\[LabSamples2025.xlsx]Bioplastic'!G6)," ",'Q:\Abteilungsprojekte\eng\EngData\AOS\Allgemein\[LabSamples2025.xlsx]Bioplastic'!G6)</f>
        <v/>
      </c>
      <c r="H6">
        <f>IF(ISBLANK('Q:\Abteilungsprojekte\eng\EngData\AOS\Allgemein\[LabSamples2025.xlsx]Bioplastic'!H6)," ",'Q:\Abteilungsprojekte\eng\EngData\AOS\Allgemein\[LabSamples2025.xlsx]Bioplastic'!H6)</f>
        <v/>
      </c>
    </row>
    <row r="7">
      <c r="A7">
        <f>IF(ISBLANK('Q:\Abteilungsprojekte\eng\EngData\AOS\Allgemein\[LabSamples2025.xlsx]Bioplastic'!A7)," ",'Q:\Abteilungsprojekte\eng\EngData\AOS\Allgemein\[LabSamples2025.xlsx]Bioplastic'!A7)</f>
        <v/>
      </c>
      <c r="B7">
        <f>IF(ISBLANK('Q:\Abteilungsprojekte\eng\EngData\AOS\Allgemein\[LabSamples2025.xlsx]Bioplastic'!B7)," ",'Q:\Abteilungsprojekte\eng\EngData\AOS\Allgemein\[LabSamples2025.xlsx]Bioplastic'!B7)</f>
        <v/>
      </c>
      <c r="C7">
        <f>IF(ISBLANK('Q:\Abteilungsprojekte\eng\EngData\AOS\Allgemein\[LabSamples2025.xlsx]Bioplastic'!C7)," ",'Q:\Abteilungsprojekte\eng\EngData\AOS\Allgemein\[LabSamples2025.xlsx]Bioplastic'!C7)</f>
        <v/>
      </c>
      <c r="D7">
        <f>IF(ISBLANK('Q:\Abteilungsprojekte\eng\EngData\AOS\Allgemein\[LabSamples2025.xlsx]Bioplastic'!D7)," ",'Q:\Abteilungsprojekte\eng\EngData\AOS\Allgemein\[LabSamples2025.xlsx]Bioplastic'!D7)</f>
        <v/>
      </c>
      <c r="E7">
        <f>IF(ISBLANK('Q:\Abteilungsprojekte\eng\EngData\AOS\Allgemein\[LabSamples2025.xlsx]Bioplastic'!E7)," ",'Q:\Abteilungsprojekte\eng\EngData\AOS\Allgemein\[LabSamples2025.xlsx]Bioplastic'!E7)</f>
        <v/>
      </c>
      <c r="F7">
        <f>IF(ISBLANK('Q:\Abteilungsprojekte\eng\EngData\AOS\Allgemein\[LabSamples2025.xlsx]Bioplastic'!F7)," ",'Q:\Abteilungsprojekte\eng\EngData\AOS\Allgemein\[LabSamples2025.xlsx]Bioplastic'!F7)</f>
        <v/>
      </c>
      <c r="G7">
        <f>IF(ISBLANK('Q:\Abteilungsprojekte\eng\EngData\AOS\Allgemein\[LabSamples2025.xlsx]Bioplastic'!G7)," ",'Q:\Abteilungsprojekte\eng\EngData\AOS\Allgemein\[LabSamples2025.xlsx]Bioplastic'!G7)</f>
        <v/>
      </c>
      <c r="H7">
        <f>IF(ISBLANK('Q:\Abteilungsprojekte\eng\EngData\AOS\Allgemein\[LabSamples2025.xlsx]Bioplastic'!H7)," ",'Q:\Abteilungsprojekte\eng\EngData\AOS\Allgemein\[LabSamples2025.xlsx]Bioplastic'!H7)</f>
        <v/>
      </c>
    </row>
    <row r="8">
      <c r="A8">
        <f>IF(ISBLANK('Q:\Abteilungsprojekte\eng\EngData\AOS\Allgemein\[LabSamples2025.xlsx]Bioplastic'!A8)," ",'Q:\Abteilungsprojekte\eng\EngData\AOS\Allgemein\[LabSamples2025.xlsx]Bioplastic'!A8)</f>
        <v/>
      </c>
      <c r="B8">
        <f>IF(ISBLANK('Q:\Abteilungsprojekte\eng\EngData\AOS\Allgemein\[LabSamples2025.xlsx]Bioplastic'!B8)," ",'Q:\Abteilungsprojekte\eng\EngData\AOS\Allgemein\[LabSamples2025.xlsx]Bioplastic'!B8)</f>
        <v/>
      </c>
      <c r="C8">
        <f>IF(ISBLANK('Q:\Abteilungsprojekte\eng\EngData\AOS\Allgemein\[LabSamples2025.xlsx]Bioplastic'!C8)," ",'Q:\Abteilungsprojekte\eng\EngData\AOS\Allgemein\[LabSamples2025.xlsx]Bioplastic'!C8)</f>
        <v/>
      </c>
      <c r="D8">
        <f>IF(ISBLANK('Q:\Abteilungsprojekte\eng\EngData\AOS\Allgemein\[LabSamples2025.xlsx]Bioplastic'!D8)," ",'Q:\Abteilungsprojekte\eng\EngData\AOS\Allgemein\[LabSamples2025.xlsx]Bioplastic'!D8)</f>
        <v/>
      </c>
      <c r="E8">
        <f>IF(ISBLANK('Q:\Abteilungsprojekte\eng\EngData\AOS\Allgemein\[LabSamples2025.xlsx]Bioplastic'!E8)," ",'Q:\Abteilungsprojekte\eng\EngData\AOS\Allgemein\[LabSamples2025.xlsx]Bioplastic'!E8)</f>
        <v/>
      </c>
      <c r="F8">
        <f>IF(ISBLANK('Q:\Abteilungsprojekte\eng\EngData\AOS\Allgemein\[LabSamples2025.xlsx]Bioplastic'!F8)," ",'Q:\Abteilungsprojekte\eng\EngData\AOS\Allgemein\[LabSamples2025.xlsx]Bioplastic'!F8)</f>
        <v/>
      </c>
      <c r="G8">
        <f>IF(ISBLANK('Q:\Abteilungsprojekte\eng\EngData\AOS\Allgemein\[LabSamples2025.xlsx]Bioplastic'!G8)," ",'Q:\Abteilungsprojekte\eng\EngData\AOS\Allgemein\[LabSamples2025.xlsx]Bioplastic'!G8)</f>
        <v/>
      </c>
      <c r="H8">
        <f>IF(ISBLANK('Q:\Abteilungsprojekte\eng\EngData\AOS\Allgemein\[LabSamples2025.xlsx]Bioplastic'!H8)," ",'Q:\Abteilungsprojekte\eng\EngData\AOS\Allgemein\[LabSamples2025.xlsx]Bioplastic'!H8)</f>
        <v/>
      </c>
    </row>
    <row r="9">
      <c r="A9">
        <f>IF(ISBLANK('Q:\Abteilungsprojekte\eng\EngData\AOS\Allgemein\[LabSamples2025.xlsx]Bioplastic'!A9)," ",'Q:\Abteilungsprojekte\eng\EngData\AOS\Allgemein\[LabSamples2025.xlsx]Bioplastic'!A9)</f>
        <v/>
      </c>
      <c r="B9">
        <f>IF(ISBLANK('Q:\Abteilungsprojekte\eng\EngData\AOS\Allgemein\[LabSamples2025.xlsx]Bioplastic'!B9)," ",'Q:\Abteilungsprojekte\eng\EngData\AOS\Allgemein\[LabSamples2025.xlsx]Bioplastic'!B9)</f>
        <v/>
      </c>
      <c r="C9">
        <f>IF(ISBLANK('Q:\Abteilungsprojekte\eng\EngData\AOS\Allgemein\[LabSamples2025.xlsx]Bioplastic'!C9)," ",'Q:\Abteilungsprojekte\eng\EngData\AOS\Allgemein\[LabSamples2025.xlsx]Bioplastic'!C9)</f>
        <v/>
      </c>
      <c r="D9">
        <f>IF(ISBLANK('Q:\Abteilungsprojekte\eng\EngData\AOS\Allgemein\[LabSamples2025.xlsx]Bioplastic'!D9)," ",'Q:\Abteilungsprojekte\eng\EngData\AOS\Allgemein\[LabSamples2025.xlsx]Bioplastic'!D9)</f>
        <v/>
      </c>
      <c r="E9">
        <f>IF(ISBLANK('Q:\Abteilungsprojekte\eng\EngData\AOS\Allgemein\[LabSamples2025.xlsx]Bioplastic'!E9)," ",'Q:\Abteilungsprojekte\eng\EngData\AOS\Allgemein\[LabSamples2025.xlsx]Bioplastic'!E9)</f>
        <v/>
      </c>
      <c r="F9">
        <f>IF(ISBLANK('Q:\Abteilungsprojekte\eng\EngData\AOS\Allgemein\[LabSamples2025.xlsx]Bioplastic'!F9)," ",'Q:\Abteilungsprojekte\eng\EngData\AOS\Allgemein\[LabSamples2025.xlsx]Bioplastic'!F9)</f>
        <v/>
      </c>
      <c r="G9">
        <f>IF(ISBLANK('Q:\Abteilungsprojekte\eng\EngData\AOS\Allgemein\[LabSamples2025.xlsx]Bioplastic'!G9)," ",'Q:\Abteilungsprojekte\eng\EngData\AOS\Allgemein\[LabSamples2025.xlsx]Bioplastic'!G9)</f>
        <v/>
      </c>
      <c r="H9">
        <f>IF(ISBLANK('Q:\Abteilungsprojekte\eng\EngData\AOS\Allgemein\[LabSamples2025.xlsx]Bioplastic'!H9)," ",'Q:\Abteilungsprojekte\eng\EngData\AOS\Allgemein\[LabSamples2025.xlsx]Bioplastic'!H9)</f>
        <v/>
      </c>
    </row>
    <row r="10">
      <c r="A10">
        <f>IF(ISBLANK('Q:\Abteilungsprojekte\eng\EngData\AOS\Allgemein\[LabSamples2025.xlsx]Bioplastic'!A10)," ",'Q:\Abteilungsprojekte\eng\EngData\AOS\Allgemein\[LabSamples2025.xlsx]Bioplastic'!A10)</f>
        <v/>
      </c>
      <c r="B10">
        <f>IF(ISBLANK('Q:\Abteilungsprojekte\eng\EngData\AOS\Allgemein\[LabSamples2025.xlsx]Bioplastic'!B10)," ",'Q:\Abteilungsprojekte\eng\EngData\AOS\Allgemein\[LabSamples2025.xlsx]Bioplastic'!B10)</f>
        <v/>
      </c>
      <c r="C10">
        <f>IF(ISBLANK('Q:\Abteilungsprojekte\eng\EngData\AOS\Allgemein\[LabSamples2025.xlsx]Bioplastic'!C10)," ",'Q:\Abteilungsprojekte\eng\EngData\AOS\Allgemein\[LabSamples2025.xlsx]Bioplastic'!C10)</f>
        <v/>
      </c>
      <c r="D10">
        <f>IF(ISBLANK('Q:\Abteilungsprojekte\eng\EngData\AOS\Allgemein\[LabSamples2025.xlsx]Bioplastic'!D10)," ",'Q:\Abteilungsprojekte\eng\EngData\AOS\Allgemein\[LabSamples2025.xlsx]Bioplastic'!D10)</f>
        <v/>
      </c>
      <c r="E10">
        <f>IF(ISBLANK('Q:\Abteilungsprojekte\eng\EngData\AOS\Allgemein\[LabSamples2025.xlsx]Bioplastic'!E10)," ",'Q:\Abteilungsprojekte\eng\EngData\AOS\Allgemein\[LabSamples2025.xlsx]Bioplastic'!E10)</f>
        <v/>
      </c>
      <c r="F10">
        <f>IF(ISBLANK('Q:\Abteilungsprojekte\eng\EngData\AOS\Allgemein\[LabSamples2025.xlsx]Bioplastic'!F10)," ",'Q:\Abteilungsprojekte\eng\EngData\AOS\Allgemein\[LabSamples2025.xlsx]Bioplastic'!F10)</f>
        <v/>
      </c>
      <c r="G10">
        <f>IF(ISBLANK('Q:\Abteilungsprojekte\eng\EngData\AOS\Allgemein\[LabSamples2025.xlsx]Bioplastic'!G10)," ",'Q:\Abteilungsprojekte\eng\EngData\AOS\Allgemein\[LabSamples2025.xlsx]Bioplastic'!G10)</f>
        <v/>
      </c>
      <c r="H10">
        <f>IF(ISBLANK('Q:\Abteilungsprojekte\eng\EngData\AOS\Allgemein\[LabSamples2025.xlsx]Bioplastic'!H10)," ",'Q:\Abteilungsprojekte\eng\EngData\AOS\Allgemein\[LabSamples2025.xlsx]Bioplastic'!H10)</f>
        <v/>
      </c>
    </row>
    <row r="11">
      <c r="A11">
        <f>IF(ISBLANK('Q:\Abteilungsprojekte\eng\EngData\AOS\Allgemein\[LabSamples2025.xlsx]Bioplastic'!A11)," ",'Q:\Abteilungsprojekte\eng\EngData\AOS\Allgemein\[LabSamples2025.xlsx]Bioplastic'!A11)</f>
        <v/>
      </c>
      <c r="B11">
        <f>IF(ISBLANK('Q:\Abteilungsprojekte\eng\EngData\AOS\Allgemein\[LabSamples2025.xlsx]Bioplastic'!B11)," ",'Q:\Abteilungsprojekte\eng\EngData\AOS\Allgemein\[LabSamples2025.xlsx]Bioplastic'!B11)</f>
        <v/>
      </c>
      <c r="C11">
        <f>IF(ISBLANK('Q:\Abteilungsprojekte\eng\EngData\AOS\Allgemein\[LabSamples2025.xlsx]Bioplastic'!C11)," ",'Q:\Abteilungsprojekte\eng\EngData\AOS\Allgemein\[LabSamples2025.xlsx]Bioplastic'!C11)</f>
        <v/>
      </c>
      <c r="D11">
        <f>IF(ISBLANK('Q:\Abteilungsprojekte\eng\EngData\AOS\Allgemein\[LabSamples2025.xlsx]Bioplastic'!D11)," ",'Q:\Abteilungsprojekte\eng\EngData\AOS\Allgemein\[LabSamples2025.xlsx]Bioplastic'!D11)</f>
        <v/>
      </c>
      <c r="E11">
        <f>IF(ISBLANK('Q:\Abteilungsprojekte\eng\EngData\AOS\Allgemein\[LabSamples2025.xlsx]Bioplastic'!E11)," ",'Q:\Abteilungsprojekte\eng\EngData\AOS\Allgemein\[LabSamples2025.xlsx]Bioplastic'!E11)</f>
        <v/>
      </c>
      <c r="F11">
        <f>IF(ISBLANK('Q:\Abteilungsprojekte\eng\EngData\AOS\Allgemein\[LabSamples2025.xlsx]Bioplastic'!F11)," ",'Q:\Abteilungsprojekte\eng\EngData\AOS\Allgemein\[LabSamples2025.xlsx]Bioplastic'!F11)</f>
        <v/>
      </c>
      <c r="G11">
        <f>IF(ISBLANK('Q:\Abteilungsprojekte\eng\EngData\AOS\Allgemein\[LabSamples2025.xlsx]Bioplastic'!G11)," ",'Q:\Abteilungsprojekte\eng\EngData\AOS\Allgemein\[LabSamples2025.xlsx]Bioplastic'!G11)</f>
        <v/>
      </c>
      <c r="H11">
        <f>IF(ISBLANK('Q:\Abteilungsprojekte\eng\EngData\AOS\Allgemein\[LabSamples2025.xlsx]Bioplastic'!H11)," ",'Q:\Abteilungsprojekte\eng\EngData\AOS\Allgemein\[LabSamples2025.xlsx]Bioplastic'!H11)</f>
        <v/>
      </c>
    </row>
    <row r="12">
      <c r="A12">
        <f>IF(ISBLANK('Q:\Abteilungsprojekte\eng\EngData\AOS\Allgemein\[LabSamples2025.xlsx]Bioplastic'!A12)," ",'Q:\Abteilungsprojekte\eng\EngData\AOS\Allgemein\[LabSamples2025.xlsx]Bioplastic'!A12)</f>
        <v/>
      </c>
      <c r="B12">
        <f>IF(ISBLANK('Q:\Abteilungsprojekte\eng\EngData\AOS\Allgemein\[LabSamples2025.xlsx]Bioplastic'!B12)," ",'Q:\Abteilungsprojekte\eng\EngData\AOS\Allgemein\[LabSamples2025.xlsx]Bioplastic'!B12)</f>
        <v/>
      </c>
      <c r="C12">
        <f>IF(ISBLANK('Q:\Abteilungsprojekte\eng\EngData\AOS\Allgemein\[LabSamples2025.xlsx]Bioplastic'!C12)," ",'Q:\Abteilungsprojekte\eng\EngData\AOS\Allgemein\[LabSamples2025.xlsx]Bioplastic'!C12)</f>
        <v/>
      </c>
      <c r="D12">
        <f>IF(ISBLANK('Q:\Abteilungsprojekte\eng\EngData\AOS\Allgemein\[LabSamples2025.xlsx]Bioplastic'!D12)," ",'Q:\Abteilungsprojekte\eng\EngData\AOS\Allgemein\[LabSamples2025.xlsx]Bioplastic'!D12)</f>
        <v/>
      </c>
      <c r="E12">
        <f>IF(ISBLANK('Q:\Abteilungsprojekte\eng\EngData\AOS\Allgemein\[LabSamples2025.xlsx]Bioplastic'!E12)," ",'Q:\Abteilungsprojekte\eng\EngData\AOS\Allgemein\[LabSamples2025.xlsx]Bioplastic'!E12)</f>
        <v/>
      </c>
      <c r="F12">
        <f>IF(ISBLANK('Q:\Abteilungsprojekte\eng\EngData\AOS\Allgemein\[LabSamples2025.xlsx]Bioplastic'!F12)," ",'Q:\Abteilungsprojekte\eng\EngData\AOS\Allgemein\[LabSamples2025.xlsx]Bioplastic'!F12)</f>
        <v/>
      </c>
      <c r="G12">
        <f>IF(ISBLANK('Q:\Abteilungsprojekte\eng\EngData\AOS\Allgemein\[LabSamples2025.xlsx]Bioplastic'!G12)," ",'Q:\Abteilungsprojekte\eng\EngData\AOS\Allgemein\[LabSamples2025.xlsx]Bioplastic'!G12)</f>
        <v/>
      </c>
      <c r="H12">
        <f>IF(ISBLANK('Q:\Abteilungsprojekte\eng\EngData\AOS\Allgemein\[LabSamples2025.xlsx]Bioplastic'!H12)," ",'Q:\Abteilungsprojekte\eng\EngData\AOS\Allgemein\[LabSamples2025.xlsx]Bioplastic'!H12)</f>
        <v/>
      </c>
    </row>
    <row r="13">
      <c r="A13">
        <f>IF(ISBLANK('Q:\Abteilungsprojekte\eng\EngData\AOS\Allgemein\[LabSamples2025.xlsx]Bioplastic'!A13)," ",'Q:\Abteilungsprojekte\eng\EngData\AOS\Allgemein\[LabSamples2025.xlsx]Bioplastic'!A13)</f>
        <v/>
      </c>
      <c r="B13">
        <f>IF(ISBLANK('Q:\Abteilungsprojekte\eng\EngData\AOS\Allgemein\[LabSamples2025.xlsx]Bioplastic'!B13)," ",'Q:\Abteilungsprojekte\eng\EngData\AOS\Allgemein\[LabSamples2025.xlsx]Bioplastic'!B13)</f>
        <v/>
      </c>
      <c r="C13">
        <f>IF(ISBLANK('Q:\Abteilungsprojekte\eng\EngData\AOS\Allgemein\[LabSamples2025.xlsx]Bioplastic'!C13)," ",'Q:\Abteilungsprojekte\eng\EngData\AOS\Allgemein\[LabSamples2025.xlsx]Bioplastic'!C13)</f>
        <v/>
      </c>
      <c r="D13">
        <f>IF(ISBLANK('Q:\Abteilungsprojekte\eng\EngData\AOS\Allgemein\[LabSamples2025.xlsx]Bioplastic'!D13)," ",'Q:\Abteilungsprojekte\eng\EngData\AOS\Allgemein\[LabSamples2025.xlsx]Bioplastic'!D13)</f>
        <v/>
      </c>
      <c r="E13">
        <f>IF(ISBLANK('Q:\Abteilungsprojekte\eng\EngData\AOS\Allgemein\[LabSamples2025.xlsx]Bioplastic'!E13)," ",'Q:\Abteilungsprojekte\eng\EngData\AOS\Allgemein\[LabSamples2025.xlsx]Bioplastic'!E13)</f>
        <v/>
      </c>
      <c r="F13">
        <f>IF(ISBLANK('Q:\Abteilungsprojekte\eng\EngData\AOS\Allgemein\[LabSamples2025.xlsx]Bioplastic'!F13)," ",'Q:\Abteilungsprojekte\eng\EngData\AOS\Allgemein\[LabSamples2025.xlsx]Bioplastic'!F13)</f>
        <v/>
      </c>
      <c r="G13">
        <f>IF(ISBLANK('Q:\Abteilungsprojekte\eng\EngData\AOS\Allgemein\[LabSamples2025.xlsx]Bioplastic'!G13)," ",'Q:\Abteilungsprojekte\eng\EngData\AOS\Allgemein\[LabSamples2025.xlsx]Bioplastic'!G13)</f>
        <v/>
      </c>
      <c r="H13">
        <f>IF(ISBLANK('Q:\Abteilungsprojekte\eng\EngData\AOS\Allgemein\[LabSamples2025.xlsx]Bioplastic'!H13)," ",'Q:\Abteilungsprojekte\eng\EngData\AOS\Allgemein\[LabSamples2025.xlsx]Bioplastic'!H13)</f>
        <v/>
      </c>
    </row>
    <row r="14">
      <c r="A14">
        <f>IF(ISBLANK('Q:\Abteilungsprojekte\eng\EngData\AOS\Allgemein\[LabSamples2025.xlsx]Bioplastic'!A14)," ",'Q:\Abteilungsprojekte\eng\EngData\AOS\Allgemein\[LabSamples2025.xlsx]Bioplastic'!A14)</f>
        <v/>
      </c>
      <c r="B14">
        <f>IF(ISBLANK('Q:\Abteilungsprojekte\eng\EngData\AOS\Allgemein\[LabSamples2025.xlsx]Bioplastic'!B14)," ",'Q:\Abteilungsprojekte\eng\EngData\AOS\Allgemein\[LabSamples2025.xlsx]Bioplastic'!B14)</f>
        <v/>
      </c>
      <c r="C14">
        <f>IF(ISBLANK('Q:\Abteilungsprojekte\eng\EngData\AOS\Allgemein\[LabSamples2025.xlsx]Bioplastic'!C14)," ",'Q:\Abteilungsprojekte\eng\EngData\AOS\Allgemein\[LabSamples2025.xlsx]Bioplastic'!C14)</f>
        <v/>
      </c>
      <c r="D14">
        <f>IF(ISBLANK('Q:\Abteilungsprojekte\eng\EngData\AOS\Allgemein\[LabSamples2025.xlsx]Bioplastic'!D14)," ",'Q:\Abteilungsprojekte\eng\EngData\AOS\Allgemein\[LabSamples2025.xlsx]Bioplastic'!D14)</f>
        <v/>
      </c>
      <c r="E14">
        <f>IF(ISBLANK('Q:\Abteilungsprojekte\eng\EngData\AOS\Allgemein\[LabSamples2025.xlsx]Bioplastic'!E14)," ",'Q:\Abteilungsprojekte\eng\EngData\AOS\Allgemein\[LabSamples2025.xlsx]Bioplastic'!E14)</f>
        <v/>
      </c>
      <c r="F14">
        <f>IF(ISBLANK('Q:\Abteilungsprojekte\eng\EngData\AOS\Allgemein\[LabSamples2025.xlsx]Bioplastic'!F14)," ",'Q:\Abteilungsprojekte\eng\EngData\AOS\Allgemein\[LabSamples2025.xlsx]Bioplastic'!F14)</f>
        <v/>
      </c>
      <c r="G14">
        <f>IF(ISBLANK('Q:\Abteilungsprojekte\eng\EngData\AOS\Allgemein\[LabSamples2025.xlsx]Bioplastic'!G14)," ",'Q:\Abteilungsprojekte\eng\EngData\AOS\Allgemein\[LabSamples2025.xlsx]Bioplastic'!G14)</f>
        <v/>
      </c>
      <c r="H14">
        <f>IF(ISBLANK('Q:\Abteilungsprojekte\eng\EngData\AOS\Allgemein\[LabSamples2025.xlsx]Bioplastic'!H14)," ",'Q:\Abteilungsprojekte\eng\EngData\AOS\Allgemein\[LabSamples2025.xlsx]Bioplastic'!H14)</f>
        <v/>
      </c>
    </row>
    <row r="15">
      <c r="A15">
        <f>IF(ISBLANK('Q:\Abteilungsprojekte\eng\EngData\AOS\Allgemein\[LabSamples2025.xlsx]Bioplastic'!A15)," ",'Q:\Abteilungsprojekte\eng\EngData\AOS\Allgemein\[LabSamples2025.xlsx]Bioplastic'!A15)</f>
        <v/>
      </c>
      <c r="B15">
        <f>IF(ISBLANK('Q:\Abteilungsprojekte\eng\EngData\AOS\Allgemein\[LabSamples2025.xlsx]Bioplastic'!B15)," ",'Q:\Abteilungsprojekte\eng\EngData\AOS\Allgemein\[LabSamples2025.xlsx]Bioplastic'!B15)</f>
        <v/>
      </c>
      <c r="C15">
        <f>IF(ISBLANK('Q:\Abteilungsprojekte\eng\EngData\AOS\Allgemein\[LabSamples2025.xlsx]Bioplastic'!C15)," ",'Q:\Abteilungsprojekte\eng\EngData\AOS\Allgemein\[LabSamples2025.xlsx]Bioplastic'!C15)</f>
        <v/>
      </c>
      <c r="D15">
        <f>IF(ISBLANK('Q:\Abteilungsprojekte\eng\EngData\AOS\Allgemein\[LabSamples2025.xlsx]Bioplastic'!D15)," ",'Q:\Abteilungsprojekte\eng\EngData\AOS\Allgemein\[LabSamples2025.xlsx]Bioplastic'!D15)</f>
        <v/>
      </c>
      <c r="E15">
        <f>IF(ISBLANK('Q:\Abteilungsprojekte\eng\EngData\AOS\Allgemein\[LabSamples2025.xlsx]Bioplastic'!E15)," ",'Q:\Abteilungsprojekte\eng\EngData\AOS\Allgemein\[LabSamples2025.xlsx]Bioplastic'!E15)</f>
        <v/>
      </c>
      <c r="F15">
        <f>IF(ISBLANK('Q:\Abteilungsprojekte\eng\EngData\AOS\Allgemein\[LabSamples2025.xlsx]Bioplastic'!F15)," ",'Q:\Abteilungsprojekte\eng\EngData\AOS\Allgemein\[LabSamples2025.xlsx]Bioplastic'!F15)</f>
        <v/>
      </c>
      <c r="G15">
        <f>IF(ISBLANK('Q:\Abteilungsprojekte\eng\EngData\AOS\Allgemein\[LabSamples2025.xlsx]Bioplastic'!G15)," ",'Q:\Abteilungsprojekte\eng\EngData\AOS\Allgemein\[LabSamples2025.xlsx]Bioplastic'!G15)</f>
        <v/>
      </c>
      <c r="H15">
        <f>IF(ISBLANK('Q:\Abteilungsprojekte\eng\EngData\AOS\Allgemein\[LabSamples2025.xlsx]Bioplastic'!H15)," ",'Q:\Abteilungsprojekte\eng\EngData\AOS\Allgemein\[LabSamples2025.xlsx]Bioplastic'!H15)</f>
        <v/>
      </c>
    </row>
    <row r="16">
      <c r="A16">
        <f>IF(ISBLANK('Q:\Abteilungsprojekte\eng\EngData\AOS\Allgemein\[LabSamples2025.xlsx]Bioplastic'!A16)," ",'Q:\Abteilungsprojekte\eng\EngData\AOS\Allgemein\[LabSamples2025.xlsx]Bioplastic'!A16)</f>
        <v/>
      </c>
      <c r="B16">
        <f>IF(ISBLANK('Q:\Abteilungsprojekte\eng\EngData\AOS\Allgemein\[LabSamples2025.xlsx]Bioplastic'!B16)," ",'Q:\Abteilungsprojekte\eng\EngData\AOS\Allgemein\[LabSamples2025.xlsx]Bioplastic'!B16)</f>
        <v/>
      </c>
      <c r="C16">
        <f>IF(ISBLANK('Q:\Abteilungsprojekte\eng\EngData\AOS\Allgemein\[LabSamples2025.xlsx]Bioplastic'!C16)," ",'Q:\Abteilungsprojekte\eng\EngData\AOS\Allgemein\[LabSamples2025.xlsx]Bioplastic'!C16)</f>
        <v/>
      </c>
      <c r="D16">
        <f>IF(ISBLANK('Q:\Abteilungsprojekte\eng\EngData\AOS\Allgemein\[LabSamples2025.xlsx]Bioplastic'!D16)," ",'Q:\Abteilungsprojekte\eng\EngData\AOS\Allgemein\[LabSamples2025.xlsx]Bioplastic'!D16)</f>
        <v/>
      </c>
      <c r="E16">
        <f>IF(ISBLANK('Q:\Abteilungsprojekte\eng\EngData\AOS\Allgemein\[LabSamples2025.xlsx]Bioplastic'!E16)," ",'Q:\Abteilungsprojekte\eng\EngData\AOS\Allgemein\[LabSamples2025.xlsx]Bioplastic'!E16)</f>
        <v/>
      </c>
      <c r="F16">
        <f>IF(ISBLANK('Q:\Abteilungsprojekte\eng\EngData\AOS\Allgemein\[LabSamples2025.xlsx]Bioplastic'!F16)," ",'Q:\Abteilungsprojekte\eng\EngData\AOS\Allgemein\[LabSamples2025.xlsx]Bioplastic'!F16)</f>
        <v/>
      </c>
      <c r="G16">
        <f>IF(ISBLANK('Q:\Abteilungsprojekte\eng\EngData\AOS\Allgemein\[LabSamples2025.xlsx]Bioplastic'!G16)," ",'Q:\Abteilungsprojekte\eng\EngData\AOS\Allgemein\[LabSamples2025.xlsx]Bioplastic'!G16)</f>
        <v/>
      </c>
      <c r="H16">
        <f>IF(ISBLANK('Q:\Abteilungsprojekte\eng\EngData\AOS\Allgemein\[LabSamples2025.xlsx]Bioplastic'!H16)," ",'Q:\Abteilungsprojekte\eng\EngData\AOS\Allgemein\[LabSamples2025.xlsx]Bioplastic'!H16)</f>
        <v/>
      </c>
    </row>
    <row r="17">
      <c r="A17">
        <f>IF(ISBLANK('Q:\Abteilungsprojekte\eng\EngData\AOS\Allgemein\[LabSamples2025.xlsx]Bioplastic'!A17)," ",'Q:\Abteilungsprojekte\eng\EngData\AOS\Allgemein\[LabSamples2025.xlsx]Bioplastic'!A17)</f>
        <v/>
      </c>
      <c r="B17">
        <f>IF(ISBLANK('Q:\Abteilungsprojekte\eng\EngData\AOS\Allgemein\[LabSamples2025.xlsx]Bioplastic'!B17)," ",'Q:\Abteilungsprojekte\eng\EngData\AOS\Allgemein\[LabSamples2025.xlsx]Bioplastic'!B17)</f>
        <v/>
      </c>
      <c r="C17">
        <f>IF(ISBLANK('Q:\Abteilungsprojekte\eng\EngData\AOS\Allgemein\[LabSamples2025.xlsx]Bioplastic'!C17)," ",'Q:\Abteilungsprojekte\eng\EngData\AOS\Allgemein\[LabSamples2025.xlsx]Bioplastic'!C17)</f>
        <v/>
      </c>
      <c r="D17">
        <f>IF(ISBLANK('Q:\Abteilungsprojekte\eng\EngData\AOS\Allgemein\[LabSamples2025.xlsx]Bioplastic'!D17)," ",'Q:\Abteilungsprojekte\eng\EngData\AOS\Allgemein\[LabSamples2025.xlsx]Bioplastic'!D17)</f>
        <v/>
      </c>
      <c r="E17">
        <f>IF(ISBLANK('Q:\Abteilungsprojekte\eng\EngData\AOS\Allgemein\[LabSamples2025.xlsx]Bioplastic'!E17)," ",'Q:\Abteilungsprojekte\eng\EngData\AOS\Allgemein\[LabSamples2025.xlsx]Bioplastic'!E17)</f>
        <v/>
      </c>
      <c r="F17">
        <f>IF(ISBLANK('Q:\Abteilungsprojekte\eng\EngData\AOS\Allgemein\[LabSamples2025.xlsx]Bioplastic'!F17)," ",'Q:\Abteilungsprojekte\eng\EngData\AOS\Allgemein\[LabSamples2025.xlsx]Bioplastic'!F17)</f>
        <v/>
      </c>
      <c r="G17">
        <f>IF(ISBLANK('Q:\Abteilungsprojekte\eng\EngData\AOS\Allgemein\[LabSamples2025.xlsx]Bioplastic'!G17)," ",'Q:\Abteilungsprojekte\eng\EngData\AOS\Allgemein\[LabSamples2025.xlsx]Bioplastic'!G17)</f>
        <v/>
      </c>
      <c r="H17">
        <f>IF(ISBLANK('Q:\Abteilungsprojekte\eng\EngData\AOS\Allgemein\[LabSamples2025.xlsx]Bioplastic'!H17)," ",'Q:\Abteilungsprojekte\eng\EngData\AOS\Allgemein\[LabSamples2025.xlsx]Bioplastic'!H17)</f>
        <v/>
      </c>
    </row>
    <row r="18">
      <c r="A18">
        <f>IF(ISBLANK('Q:\Abteilungsprojekte\eng\EngData\AOS\Allgemein\[LabSamples2025.xlsx]Bioplastic'!A18)," ",'Q:\Abteilungsprojekte\eng\EngData\AOS\Allgemein\[LabSamples2025.xlsx]Bioplastic'!A18)</f>
        <v/>
      </c>
      <c r="B18">
        <f>IF(ISBLANK('Q:\Abteilungsprojekte\eng\EngData\AOS\Allgemein\[LabSamples2025.xlsx]Bioplastic'!B18)," ",'Q:\Abteilungsprojekte\eng\EngData\AOS\Allgemein\[LabSamples2025.xlsx]Bioplastic'!B18)</f>
        <v/>
      </c>
      <c r="C18">
        <f>IF(ISBLANK('Q:\Abteilungsprojekte\eng\EngData\AOS\Allgemein\[LabSamples2025.xlsx]Bioplastic'!C18)," ",'Q:\Abteilungsprojekte\eng\EngData\AOS\Allgemein\[LabSamples2025.xlsx]Bioplastic'!C18)</f>
        <v/>
      </c>
      <c r="D18">
        <f>IF(ISBLANK('Q:\Abteilungsprojekte\eng\EngData\AOS\Allgemein\[LabSamples2025.xlsx]Bioplastic'!D18)," ",'Q:\Abteilungsprojekte\eng\EngData\AOS\Allgemein\[LabSamples2025.xlsx]Bioplastic'!D18)</f>
        <v/>
      </c>
      <c r="E18">
        <f>IF(ISBLANK('Q:\Abteilungsprojekte\eng\EngData\AOS\Allgemein\[LabSamples2025.xlsx]Bioplastic'!E18)," ",'Q:\Abteilungsprojekte\eng\EngData\AOS\Allgemein\[LabSamples2025.xlsx]Bioplastic'!E18)</f>
        <v/>
      </c>
      <c r="F18">
        <f>IF(ISBLANK('Q:\Abteilungsprojekte\eng\EngData\AOS\Allgemein\[LabSamples2025.xlsx]Bioplastic'!F18)," ",'Q:\Abteilungsprojekte\eng\EngData\AOS\Allgemein\[LabSamples2025.xlsx]Bioplastic'!F18)</f>
        <v/>
      </c>
      <c r="G18">
        <f>IF(ISBLANK('Q:\Abteilungsprojekte\eng\EngData\AOS\Allgemein\[LabSamples2025.xlsx]Bioplastic'!G18)," ",'Q:\Abteilungsprojekte\eng\EngData\AOS\Allgemein\[LabSamples2025.xlsx]Bioplastic'!G18)</f>
        <v/>
      </c>
      <c r="H18">
        <f>IF(ISBLANK('Q:\Abteilungsprojekte\eng\EngData\AOS\Allgemein\[LabSamples2025.xlsx]Bioplastic'!H18)," ",'Q:\Abteilungsprojekte\eng\EngData\AOS\Allgemein\[LabSamples2025.xlsx]Bioplastic'!H18)</f>
        <v/>
      </c>
    </row>
    <row r="19">
      <c r="A19">
        <f>IF(ISBLANK('Q:\Abteilungsprojekte\eng\EngData\AOS\Allgemein\[LabSamples2025.xlsx]Bioplastic'!A19)," ",'Q:\Abteilungsprojekte\eng\EngData\AOS\Allgemein\[LabSamples2025.xlsx]Bioplastic'!A19)</f>
        <v/>
      </c>
      <c r="B19">
        <f>IF(ISBLANK('Q:\Abteilungsprojekte\eng\EngData\AOS\Allgemein\[LabSamples2025.xlsx]Bioplastic'!B19)," ",'Q:\Abteilungsprojekte\eng\EngData\AOS\Allgemein\[LabSamples2025.xlsx]Bioplastic'!B19)</f>
        <v/>
      </c>
      <c r="C19">
        <f>IF(ISBLANK('Q:\Abteilungsprojekte\eng\EngData\AOS\Allgemein\[LabSamples2025.xlsx]Bioplastic'!C19)," ",'Q:\Abteilungsprojekte\eng\EngData\AOS\Allgemein\[LabSamples2025.xlsx]Bioplastic'!C19)</f>
        <v/>
      </c>
      <c r="D19">
        <f>IF(ISBLANK('Q:\Abteilungsprojekte\eng\EngData\AOS\Allgemein\[LabSamples2025.xlsx]Bioplastic'!D19)," ",'Q:\Abteilungsprojekte\eng\EngData\AOS\Allgemein\[LabSamples2025.xlsx]Bioplastic'!D19)</f>
        <v/>
      </c>
      <c r="E19">
        <f>IF(ISBLANK('Q:\Abteilungsprojekte\eng\EngData\AOS\Allgemein\[LabSamples2025.xlsx]Bioplastic'!E19)," ",'Q:\Abteilungsprojekte\eng\EngData\AOS\Allgemein\[LabSamples2025.xlsx]Bioplastic'!E19)</f>
        <v/>
      </c>
      <c r="F19">
        <f>IF(ISBLANK('Q:\Abteilungsprojekte\eng\EngData\AOS\Allgemein\[LabSamples2025.xlsx]Bioplastic'!F19)," ",'Q:\Abteilungsprojekte\eng\EngData\AOS\Allgemein\[LabSamples2025.xlsx]Bioplastic'!F19)</f>
        <v/>
      </c>
      <c r="G19">
        <f>IF(ISBLANK('Q:\Abteilungsprojekte\eng\EngData\AOS\Allgemein\[LabSamples2025.xlsx]Bioplastic'!G19)," ",'Q:\Abteilungsprojekte\eng\EngData\AOS\Allgemein\[LabSamples2025.xlsx]Bioplastic'!G19)</f>
        <v/>
      </c>
      <c r="H19">
        <f>IF(ISBLANK('Q:\Abteilungsprojekte\eng\EngData\AOS\Allgemein\[LabSamples2025.xlsx]Bioplastic'!H19)," ",'Q:\Abteilungsprojekte\eng\EngData\AOS\Allgemein\[LabSamples2025.xlsx]Bioplastic'!H19)</f>
        <v/>
      </c>
    </row>
    <row r="20">
      <c r="A20">
        <f>IF(ISBLANK('Q:\Abteilungsprojekte\eng\EngData\AOS\Allgemein\[LabSamples2025.xlsx]Bioplastic'!A20)," ",'Q:\Abteilungsprojekte\eng\EngData\AOS\Allgemein\[LabSamples2025.xlsx]Bioplastic'!A20)</f>
        <v/>
      </c>
      <c r="B20">
        <f>IF(ISBLANK('Q:\Abteilungsprojekte\eng\EngData\AOS\Allgemein\[LabSamples2025.xlsx]Bioplastic'!B20)," ",'Q:\Abteilungsprojekte\eng\EngData\AOS\Allgemein\[LabSamples2025.xlsx]Bioplastic'!B20)</f>
        <v/>
      </c>
      <c r="C20">
        <f>IF(ISBLANK('Q:\Abteilungsprojekte\eng\EngData\AOS\Allgemein\[LabSamples2025.xlsx]Bioplastic'!C20)," ",'Q:\Abteilungsprojekte\eng\EngData\AOS\Allgemein\[LabSamples2025.xlsx]Bioplastic'!C20)</f>
        <v/>
      </c>
      <c r="D20">
        <f>IF(ISBLANK('Q:\Abteilungsprojekte\eng\EngData\AOS\Allgemein\[LabSamples2025.xlsx]Bioplastic'!D20)," ",'Q:\Abteilungsprojekte\eng\EngData\AOS\Allgemein\[LabSamples2025.xlsx]Bioplastic'!D20)</f>
        <v/>
      </c>
      <c r="E20">
        <f>IF(ISBLANK('Q:\Abteilungsprojekte\eng\EngData\AOS\Allgemein\[LabSamples2025.xlsx]Bioplastic'!E20)," ",'Q:\Abteilungsprojekte\eng\EngData\AOS\Allgemein\[LabSamples2025.xlsx]Bioplastic'!E20)</f>
        <v/>
      </c>
      <c r="F20">
        <f>IF(ISBLANK('Q:\Abteilungsprojekte\eng\EngData\AOS\Allgemein\[LabSamples2025.xlsx]Bioplastic'!F20)," ",'Q:\Abteilungsprojekte\eng\EngData\AOS\Allgemein\[LabSamples2025.xlsx]Bioplastic'!F20)</f>
        <v/>
      </c>
      <c r="G20">
        <f>IF(ISBLANK('Q:\Abteilungsprojekte\eng\EngData\AOS\Allgemein\[LabSamples2025.xlsx]Bioplastic'!G20)," ",'Q:\Abteilungsprojekte\eng\EngData\AOS\Allgemein\[LabSamples2025.xlsx]Bioplastic'!G20)</f>
        <v/>
      </c>
      <c r="H20">
        <f>IF(ISBLANK('Q:\Abteilungsprojekte\eng\EngData\AOS\Allgemein\[LabSamples2025.xlsx]Bioplastic'!H20)," ",'Q:\Abteilungsprojekte\eng\EngData\AOS\Allgemein\[LabSamples2025.xlsx]Bioplastic'!H20)</f>
        <v/>
      </c>
    </row>
    <row r="21">
      <c r="A21">
        <f>IF(ISBLANK('Q:\Abteilungsprojekte\eng\EngData\AOS\Allgemein\[LabSamples2025.xlsx]Bioplastic'!A21)," ",'Q:\Abteilungsprojekte\eng\EngData\AOS\Allgemein\[LabSamples2025.xlsx]Bioplastic'!A21)</f>
        <v/>
      </c>
      <c r="B21">
        <f>IF(ISBLANK('Q:\Abteilungsprojekte\eng\EngData\AOS\Allgemein\[LabSamples2025.xlsx]Bioplastic'!B21)," ",'Q:\Abteilungsprojekte\eng\EngData\AOS\Allgemein\[LabSamples2025.xlsx]Bioplastic'!B21)</f>
        <v/>
      </c>
      <c r="C21">
        <f>IF(ISBLANK('Q:\Abteilungsprojekte\eng\EngData\AOS\Allgemein\[LabSamples2025.xlsx]Bioplastic'!C21)," ",'Q:\Abteilungsprojekte\eng\EngData\AOS\Allgemein\[LabSamples2025.xlsx]Bioplastic'!C21)</f>
        <v/>
      </c>
      <c r="D21">
        <f>IF(ISBLANK('Q:\Abteilungsprojekte\eng\EngData\AOS\Allgemein\[LabSamples2025.xlsx]Bioplastic'!D21)," ",'Q:\Abteilungsprojekte\eng\EngData\AOS\Allgemein\[LabSamples2025.xlsx]Bioplastic'!D21)</f>
        <v/>
      </c>
      <c r="E21">
        <f>IF(ISBLANK('Q:\Abteilungsprojekte\eng\EngData\AOS\Allgemein\[LabSamples2025.xlsx]Bioplastic'!E21)," ",'Q:\Abteilungsprojekte\eng\EngData\AOS\Allgemein\[LabSamples2025.xlsx]Bioplastic'!E21)</f>
        <v/>
      </c>
      <c r="F21">
        <f>IF(ISBLANK('Q:\Abteilungsprojekte\eng\EngData\AOS\Allgemein\[LabSamples2025.xlsx]Bioplastic'!F21)," ",'Q:\Abteilungsprojekte\eng\EngData\AOS\Allgemein\[LabSamples2025.xlsx]Bioplastic'!F21)</f>
        <v/>
      </c>
      <c r="G21">
        <f>IF(ISBLANK('Q:\Abteilungsprojekte\eng\EngData\AOS\Allgemein\[LabSamples2025.xlsx]Bioplastic'!G21)," ",'Q:\Abteilungsprojekte\eng\EngData\AOS\Allgemein\[LabSamples2025.xlsx]Bioplastic'!G21)</f>
        <v/>
      </c>
      <c r="H21">
        <f>IF(ISBLANK('Q:\Abteilungsprojekte\eng\EngData\AOS\Allgemein\[LabSamples2025.xlsx]Bioplastic'!H21)," ",'Q:\Abteilungsprojekte\eng\EngData\AOS\Allgemein\[LabSamples2025.xlsx]Bioplastic'!H21)</f>
        <v/>
      </c>
    </row>
    <row r="22">
      <c r="A22">
        <f>IF(ISBLANK('Q:\Abteilungsprojekte\eng\EngData\AOS\Allgemein\[LabSamples2025.xlsx]Bioplastic'!A22)," ",'Q:\Abteilungsprojekte\eng\EngData\AOS\Allgemein\[LabSamples2025.xlsx]Bioplastic'!A22)</f>
        <v/>
      </c>
      <c r="B22">
        <f>IF(ISBLANK('Q:\Abteilungsprojekte\eng\EngData\AOS\Allgemein\[LabSamples2025.xlsx]Bioplastic'!B22)," ",'Q:\Abteilungsprojekte\eng\EngData\AOS\Allgemein\[LabSamples2025.xlsx]Bioplastic'!B22)</f>
        <v/>
      </c>
      <c r="C22">
        <f>IF(ISBLANK('Q:\Abteilungsprojekte\eng\EngData\AOS\Allgemein\[LabSamples2025.xlsx]Bioplastic'!C22)," ",'Q:\Abteilungsprojekte\eng\EngData\AOS\Allgemein\[LabSamples2025.xlsx]Bioplastic'!C22)</f>
        <v/>
      </c>
      <c r="D22">
        <f>IF(ISBLANK('Q:\Abteilungsprojekte\eng\EngData\AOS\Allgemein\[LabSamples2025.xlsx]Bioplastic'!D22)," ",'Q:\Abteilungsprojekte\eng\EngData\AOS\Allgemein\[LabSamples2025.xlsx]Bioplastic'!D22)</f>
        <v/>
      </c>
      <c r="E22">
        <f>IF(ISBLANK('Q:\Abteilungsprojekte\eng\EngData\AOS\Allgemein\[LabSamples2025.xlsx]Bioplastic'!E22)," ",'Q:\Abteilungsprojekte\eng\EngData\AOS\Allgemein\[LabSamples2025.xlsx]Bioplastic'!E22)</f>
        <v/>
      </c>
      <c r="F22">
        <f>IF(ISBLANK('Q:\Abteilungsprojekte\eng\EngData\AOS\Allgemein\[LabSamples2025.xlsx]Bioplastic'!F22)," ",'Q:\Abteilungsprojekte\eng\EngData\AOS\Allgemein\[LabSamples2025.xlsx]Bioplastic'!F22)</f>
        <v/>
      </c>
      <c r="G22">
        <f>IF(ISBLANK('Q:\Abteilungsprojekte\eng\EngData\AOS\Allgemein\[LabSamples2025.xlsx]Bioplastic'!G22)," ",'Q:\Abteilungsprojekte\eng\EngData\AOS\Allgemein\[LabSamples2025.xlsx]Bioplastic'!G22)</f>
        <v/>
      </c>
      <c r="H22">
        <f>IF(ISBLANK('Q:\Abteilungsprojekte\eng\EngData\AOS\Allgemein\[LabSamples2025.xlsx]Bioplastic'!H22)," ",'Q:\Abteilungsprojekte\eng\EngData\AOS\Allgemein\[LabSamples2025.xlsx]Bioplastic'!H22)</f>
        <v/>
      </c>
    </row>
    <row r="23">
      <c r="A23">
        <f>IF(ISBLANK('Q:\Abteilungsprojekte\eng\EngData\AOS\Allgemein\[LabSamples2025.xlsx]Bioplastic'!A23)," ",'Q:\Abteilungsprojekte\eng\EngData\AOS\Allgemein\[LabSamples2025.xlsx]Bioplastic'!A23)</f>
        <v/>
      </c>
      <c r="B23">
        <f>IF(ISBLANK('Q:\Abteilungsprojekte\eng\EngData\AOS\Allgemein\[LabSamples2025.xlsx]Bioplastic'!B23)," ",'Q:\Abteilungsprojekte\eng\EngData\AOS\Allgemein\[LabSamples2025.xlsx]Bioplastic'!B23)</f>
        <v/>
      </c>
      <c r="C23">
        <f>IF(ISBLANK('Q:\Abteilungsprojekte\eng\EngData\AOS\Allgemein\[LabSamples2025.xlsx]Bioplastic'!C23)," ",'Q:\Abteilungsprojekte\eng\EngData\AOS\Allgemein\[LabSamples2025.xlsx]Bioplastic'!C23)</f>
        <v/>
      </c>
      <c r="D23">
        <f>IF(ISBLANK('Q:\Abteilungsprojekte\eng\EngData\AOS\Allgemein\[LabSamples2025.xlsx]Bioplastic'!D23)," ",'Q:\Abteilungsprojekte\eng\EngData\AOS\Allgemein\[LabSamples2025.xlsx]Bioplastic'!D23)</f>
        <v/>
      </c>
      <c r="E23">
        <f>IF(ISBLANK('Q:\Abteilungsprojekte\eng\EngData\AOS\Allgemein\[LabSamples2025.xlsx]Bioplastic'!E23)," ",'Q:\Abteilungsprojekte\eng\EngData\AOS\Allgemein\[LabSamples2025.xlsx]Bioplastic'!E23)</f>
        <v/>
      </c>
      <c r="F23">
        <f>IF(ISBLANK('Q:\Abteilungsprojekte\eng\EngData\AOS\Allgemein\[LabSamples2025.xlsx]Bioplastic'!F23)," ",'Q:\Abteilungsprojekte\eng\EngData\AOS\Allgemein\[LabSamples2025.xlsx]Bioplastic'!F23)</f>
        <v/>
      </c>
      <c r="G23">
        <f>IF(ISBLANK('Q:\Abteilungsprojekte\eng\EngData\AOS\Allgemein\[LabSamples2025.xlsx]Bioplastic'!G23)," ",'Q:\Abteilungsprojekte\eng\EngData\AOS\Allgemein\[LabSamples2025.xlsx]Bioplastic'!G23)</f>
        <v/>
      </c>
      <c r="H23">
        <f>IF(ISBLANK('Q:\Abteilungsprojekte\eng\EngData\AOS\Allgemein\[LabSamples2025.xlsx]Bioplastic'!H23)," ",'Q:\Abteilungsprojekte\eng\EngData\AOS\Allgemein\[LabSamples2025.xlsx]Bioplastic'!H23)</f>
        <v/>
      </c>
    </row>
    <row r="24">
      <c r="A24">
        <f>IF(ISBLANK('Q:\Abteilungsprojekte\eng\EngData\AOS\Allgemein\[LabSamples2025.xlsx]Bioplastic'!A24)," ",'Q:\Abteilungsprojekte\eng\EngData\AOS\Allgemein\[LabSamples2025.xlsx]Bioplastic'!A24)</f>
        <v/>
      </c>
      <c r="B24">
        <f>IF(ISBLANK('Q:\Abteilungsprojekte\eng\EngData\AOS\Allgemein\[LabSamples2025.xlsx]Bioplastic'!B24)," ",'Q:\Abteilungsprojekte\eng\EngData\AOS\Allgemein\[LabSamples2025.xlsx]Bioplastic'!B24)</f>
        <v/>
      </c>
      <c r="C24">
        <f>IF(ISBLANK('Q:\Abteilungsprojekte\eng\EngData\AOS\Allgemein\[LabSamples2025.xlsx]Bioplastic'!C24)," ",'Q:\Abteilungsprojekte\eng\EngData\AOS\Allgemein\[LabSamples2025.xlsx]Bioplastic'!C24)</f>
        <v/>
      </c>
      <c r="D24">
        <f>IF(ISBLANK('Q:\Abteilungsprojekte\eng\EngData\AOS\Allgemein\[LabSamples2025.xlsx]Bioplastic'!D24)," ",'Q:\Abteilungsprojekte\eng\EngData\AOS\Allgemein\[LabSamples2025.xlsx]Bioplastic'!D24)</f>
        <v/>
      </c>
      <c r="E24">
        <f>IF(ISBLANK('Q:\Abteilungsprojekte\eng\EngData\AOS\Allgemein\[LabSamples2025.xlsx]Bioplastic'!E24)," ",'Q:\Abteilungsprojekte\eng\EngData\AOS\Allgemein\[LabSamples2025.xlsx]Bioplastic'!E24)</f>
        <v/>
      </c>
      <c r="F24">
        <f>IF(ISBLANK('Q:\Abteilungsprojekte\eng\EngData\AOS\Allgemein\[LabSamples2025.xlsx]Bioplastic'!F24)," ",'Q:\Abteilungsprojekte\eng\EngData\AOS\Allgemein\[LabSamples2025.xlsx]Bioplastic'!F24)</f>
        <v/>
      </c>
      <c r="G24">
        <f>IF(ISBLANK('Q:\Abteilungsprojekte\eng\EngData\AOS\Allgemein\[LabSamples2025.xlsx]Bioplastic'!G24)," ",'Q:\Abteilungsprojekte\eng\EngData\AOS\Allgemein\[LabSamples2025.xlsx]Bioplastic'!G24)</f>
        <v/>
      </c>
      <c r="H24">
        <f>IF(ISBLANK('Q:\Abteilungsprojekte\eng\EngData\AOS\Allgemein\[LabSamples2025.xlsx]Bioplastic'!H24)," ",'Q:\Abteilungsprojekte\eng\EngData\AOS\Allgemein\[LabSamples2025.xlsx]Bioplastic'!H24)</f>
        <v/>
      </c>
    </row>
    <row r="25">
      <c r="A25">
        <f>IF(ISBLANK('Q:\Abteilungsprojekte\eng\EngData\AOS\Allgemein\[LabSamples2025.xlsx]Bioplastic'!A25)," ",'Q:\Abteilungsprojekte\eng\EngData\AOS\Allgemein\[LabSamples2025.xlsx]Bioplastic'!A25)</f>
        <v/>
      </c>
      <c r="B25">
        <f>IF(ISBLANK('Q:\Abteilungsprojekte\eng\EngData\AOS\Allgemein\[LabSamples2025.xlsx]Bioplastic'!B25)," ",'Q:\Abteilungsprojekte\eng\EngData\AOS\Allgemein\[LabSamples2025.xlsx]Bioplastic'!B25)</f>
        <v/>
      </c>
      <c r="C25">
        <f>IF(ISBLANK('Q:\Abteilungsprojekte\eng\EngData\AOS\Allgemein\[LabSamples2025.xlsx]Bioplastic'!C25)," ",'Q:\Abteilungsprojekte\eng\EngData\AOS\Allgemein\[LabSamples2025.xlsx]Bioplastic'!C25)</f>
        <v/>
      </c>
      <c r="D25">
        <f>IF(ISBLANK('Q:\Abteilungsprojekte\eng\EngData\AOS\Allgemein\[LabSamples2025.xlsx]Bioplastic'!D25)," ",'Q:\Abteilungsprojekte\eng\EngData\AOS\Allgemein\[LabSamples2025.xlsx]Bioplastic'!D25)</f>
        <v/>
      </c>
      <c r="E25">
        <f>IF(ISBLANK('Q:\Abteilungsprojekte\eng\EngData\AOS\Allgemein\[LabSamples2025.xlsx]Bioplastic'!E25)," ",'Q:\Abteilungsprojekte\eng\EngData\AOS\Allgemein\[LabSamples2025.xlsx]Bioplastic'!E25)</f>
        <v/>
      </c>
      <c r="F25">
        <f>IF(ISBLANK('Q:\Abteilungsprojekte\eng\EngData\AOS\Allgemein\[LabSamples2025.xlsx]Bioplastic'!F25)," ",'Q:\Abteilungsprojekte\eng\EngData\AOS\Allgemein\[LabSamples2025.xlsx]Bioplastic'!F25)</f>
        <v/>
      </c>
      <c r="G25">
        <f>IF(ISBLANK('Q:\Abteilungsprojekte\eng\EngData\AOS\Allgemein\[LabSamples2025.xlsx]Bioplastic'!G25)," ",'Q:\Abteilungsprojekte\eng\EngData\AOS\Allgemein\[LabSamples2025.xlsx]Bioplastic'!G25)</f>
        <v/>
      </c>
      <c r="H25">
        <f>IF(ISBLANK('Q:\Abteilungsprojekte\eng\EngData\AOS\Allgemein\[LabSamples2025.xlsx]Bioplastic'!H25)," ",'Q:\Abteilungsprojekte\eng\EngData\AOS\Allgemein\[LabSamples2025.xlsx]Bioplastic'!H25)</f>
        <v/>
      </c>
    </row>
    <row r="26">
      <c r="A26">
        <f>IF(ISBLANK('Q:\Abteilungsprojekte\eng\EngData\AOS\Allgemein\[LabSamples2025.xlsx]Bioplastic'!A26)," ",'Q:\Abteilungsprojekte\eng\EngData\AOS\Allgemein\[LabSamples2025.xlsx]Bioplastic'!A26)</f>
        <v/>
      </c>
      <c r="B26">
        <f>IF(ISBLANK('Q:\Abteilungsprojekte\eng\EngData\AOS\Allgemein\[LabSamples2025.xlsx]Bioplastic'!B26)," ",'Q:\Abteilungsprojekte\eng\EngData\AOS\Allgemein\[LabSamples2025.xlsx]Bioplastic'!B26)</f>
        <v/>
      </c>
      <c r="C26">
        <f>IF(ISBLANK('Q:\Abteilungsprojekte\eng\EngData\AOS\Allgemein\[LabSamples2025.xlsx]Bioplastic'!C26)," ",'Q:\Abteilungsprojekte\eng\EngData\AOS\Allgemein\[LabSamples2025.xlsx]Bioplastic'!C26)</f>
        <v/>
      </c>
      <c r="D26">
        <f>IF(ISBLANK('Q:\Abteilungsprojekte\eng\EngData\AOS\Allgemein\[LabSamples2025.xlsx]Bioplastic'!D26)," ",'Q:\Abteilungsprojekte\eng\EngData\AOS\Allgemein\[LabSamples2025.xlsx]Bioplastic'!D26)</f>
        <v/>
      </c>
      <c r="E26">
        <f>IF(ISBLANK('Q:\Abteilungsprojekte\eng\EngData\AOS\Allgemein\[LabSamples2025.xlsx]Bioplastic'!E26)," ",'Q:\Abteilungsprojekte\eng\EngData\AOS\Allgemein\[LabSamples2025.xlsx]Bioplastic'!E26)</f>
        <v/>
      </c>
      <c r="F26">
        <f>IF(ISBLANK('Q:\Abteilungsprojekte\eng\EngData\AOS\Allgemein\[LabSamples2025.xlsx]Bioplastic'!F26)," ",'Q:\Abteilungsprojekte\eng\EngData\AOS\Allgemein\[LabSamples2025.xlsx]Bioplastic'!F26)</f>
        <v/>
      </c>
      <c r="G26">
        <f>IF(ISBLANK('Q:\Abteilungsprojekte\eng\EngData\AOS\Allgemein\[LabSamples2025.xlsx]Bioplastic'!G26)," ",'Q:\Abteilungsprojekte\eng\EngData\AOS\Allgemein\[LabSamples2025.xlsx]Bioplastic'!G26)</f>
        <v/>
      </c>
      <c r="H26">
        <f>IF(ISBLANK('Q:\Abteilungsprojekte\eng\EngData\AOS\Allgemein\[LabSamples2025.xlsx]Bioplastic'!H26)," ",'Q:\Abteilungsprojekte\eng\EngData\AOS\Allgemein\[LabSamples2025.xlsx]Bioplastic'!H26)</f>
        <v/>
      </c>
    </row>
    <row r="27">
      <c r="A27">
        <f>IF(ISBLANK('Q:\Abteilungsprojekte\eng\EngData\AOS\Allgemein\[LabSamples2025.xlsx]Bioplastic'!A27)," ",'Q:\Abteilungsprojekte\eng\EngData\AOS\Allgemein\[LabSamples2025.xlsx]Bioplastic'!A27)</f>
        <v/>
      </c>
      <c r="B27">
        <f>IF(ISBLANK('Q:\Abteilungsprojekte\eng\EngData\AOS\Allgemein\[LabSamples2025.xlsx]Bioplastic'!B27)," ",'Q:\Abteilungsprojekte\eng\EngData\AOS\Allgemein\[LabSamples2025.xlsx]Bioplastic'!B27)</f>
        <v/>
      </c>
      <c r="C27">
        <f>IF(ISBLANK('Q:\Abteilungsprojekte\eng\EngData\AOS\Allgemein\[LabSamples2025.xlsx]Bioplastic'!C27)," ",'Q:\Abteilungsprojekte\eng\EngData\AOS\Allgemein\[LabSamples2025.xlsx]Bioplastic'!C27)</f>
        <v/>
      </c>
      <c r="D27">
        <f>IF(ISBLANK('Q:\Abteilungsprojekte\eng\EngData\AOS\Allgemein\[LabSamples2025.xlsx]Bioplastic'!D27)," ",'Q:\Abteilungsprojekte\eng\EngData\AOS\Allgemein\[LabSamples2025.xlsx]Bioplastic'!D27)</f>
        <v/>
      </c>
      <c r="E27">
        <f>IF(ISBLANK('Q:\Abteilungsprojekte\eng\EngData\AOS\Allgemein\[LabSamples2025.xlsx]Bioplastic'!E27)," ",'Q:\Abteilungsprojekte\eng\EngData\AOS\Allgemein\[LabSamples2025.xlsx]Bioplastic'!E27)</f>
        <v/>
      </c>
      <c r="F27">
        <f>IF(ISBLANK('Q:\Abteilungsprojekte\eng\EngData\AOS\Allgemein\[LabSamples2025.xlsx]Bioplastic'!F27)," ",'Q:\Abteilungsprojekte\eng\EngData\AOS\Allgemein\[LabSamples2025.xlsx]Bioplastic'!F27)</f>
        <v/>
      </c>
      <c r="G27">
        <f>IF(ISBLANK('Q:\Abteilungsprojekte\eng\EngData\AOS\Allgemein\[LabSamples2025.xlsx]Bioplastic'!G27)," ",'Q:\Abteilungsprojekte\eng\EngData\AOS\Allgemein\[LabSamples2025.xlsx]Bioplastic'!G27)</f>
        <v/>
      </c>
      <c r="H27">
        <f>IF(ISBLANK('Q:\Abteilungsprojekte\eng\EngData\AOS\Allgemein\[LabSamples2025.xlsx]Bioplastic'!H27)," ",'Q:\Abteilungsprojekte\eng\EngData\AOS\Allgemein\[LabSamples2025.xlsx]Bioplastic'!H27)</f>
        <v/>
      </c>
    </row>
    <row r="28">
      <c r="A28">
        <f>IF(ISBLANK('Q:\Abteilungsprojekte\eng\EngData\AOS\Allgemein\[LabSamples2025.xlsx]Bioplastic'!A28)," ",'Q:\Abteilungsprojekte\eng\EngData\AOS\Allgemein\[LabSamples2025.xlsx]Bioplastic'!A28)</f>
        <v/>
      </c>
      <c r="B28">
        <f>IF(ISBLANK('Q:\Abteilungsprojekte\eng\EngData\AOS\Allgemein\[LabSamples2025.xlsx]Bioplastic'!B28)," ",'Q:\Abteilungsprojekte\eng\EngData\AOS\Allgemein\[LabSamples2025.xlsx]Bioplastic'!B28)</f>
        <v/>
      </c>
      <c r="C28">
        <f>IF(ISBLANK('Q:\Abteilungsprojekte\eng\EngData\AOS\Allgemein\[LabSamples2025.xlsx]Bioplastic'!C28)," ",'Q:\Abteilungsprojekte\eng\EngData\AOS\Allgemein\[LabSamples2025.xlsx]Bioplastic'!C28)</f>
        <v/>
      </c>
      <c r="D28">
        <f>IF(ISBLANK('Q:\Abteilungsprojekte\eng\EngData\AOS\Allgemein\[LabSamples2025.xlsx]Bioplastic'!D28)," ",'Q:\Abteilungsprojekte\eng\EngData\AOS\Allgemein\[LabSamples2025.xlsx]Bioplastic'!D28)</f>
        <v/>
      </c>
      <c r="E28">
        <f>IF(ISBLANK('Q:\Abteilungsprojekte\eng\EngData\AOS\Allgemein\[LabSamples2025.xlsx]Bioplastic'!E28)," ",'Q:\Abteilungsprojekte\eng\EngData\AOS\Allgemein\[LabSamples2025.xlsx]Bioplastic'!E28)</f>
        <v/>
      </c>
      <c r="F28">
        <f>IF(ISBLANK('Q:\Abteilungsprojekte\eng\EngData\AOS\Allgemein\[LabSamples2025.xlsx]Bioplastic'!F28)," ",'Q:\Abteilungsprojekte\eng\EngData\AOS\Allgemein\[LabSamples2025.xlsx]Bioplastic'!F28)</f>
        <v/>
      </c>
      <c r="G28">
        <f>IF(ISBLANK('Q:\Abteilungsprojekte\eng\EngData\AOS\Allgemein\[LabSamples2025.xlsx]Bioplastic'!G28)," ",'Q:\Abteilungsprojekte\eng\EngData\AOS\Allgemein\[LabSamples2025.xlsx]Bioplastic'!G28)</f>
        <v/>
      </c>
      <c r="H28">
        <f>IF(ISBLANK('Q:\Abteilungsprojekte\eng\EngData\AOS\Allgemein\[LabSamples2025.xlsx]Bioplastic'!H28)," ",'Q:\Abteilungsprojekte\eng\EngData\AOS\Allgemein\[LabSamples2025.xlsx]Bioplastic'!H28)</f>
        <v/>
      </c>
    </row>
    <row r="29">
      <c r="A29">
        <f>IF(ISBLANK('Q:\Abteilungsprojekte\eng\EngData\AOS\Allgemein\[LabSamples2025.xlsx]Bioplastic'!A29)," ",'Q:\Abteilungsprojekte\eng\EngData\AOS\Allgemein\[LabSamples2025.xlsx]Bioplastic'!A29)</f>
        <v/>
      </c>
      <c r="B29">
        <f>IF(ISBLANK('Q:\Abteilungsprojekte\eng\EngData\AOS\Allgemein\[LabSamples2025.xlsx]Bioplastic'!B29)," ",'Q:\Abteilungsprojekte\eng\EngData\AOS\Allgemein\[LabSamples2025.xlsx]Bioplastic'!B29)</f>
        <v/>
      </c>
      <c r="C29">
        <f>IF(ISBLANK('Q:\Abteilungsprojekte\eng\EngData\AOS\Allgemein\[LabSamples2025.xlsx]Bioplastic'!C29)," ",'Q:\Abteilungsprojekte\eng\EngData\AOS\Allgemein\[LabSamples2025.xlsx]Bioplastic'!C29)</f>
        <v/>
      </c>
      <c r="D29">
        <f>IF(ISBLANK('Q:\Abteilungsprojekte\eng\EngData\AOS\Allgemein\[LabSamples2025.xlsx]Bioplastic'!D29)," ",'Q:\Abteilungsprojekte\eng\EngData\AOS\Allgemein\[LabSamples2025.xlsx]Bioplastic'!D29)</f>
        <v/>
      </c>
      <c r="E29">
        <f>IF(ISBLANK('Q:\Abteilungsprojekte\eng\EngData\AOS\Allgemein\[LabSamples2025.xlsx]Bioplastic'!E29)," ",'Q:\Abteilungsprojekte\eng\EngData\AOS\Allgemein\[LabSamples2025.xlsx]Bioplastic'!E29)</f>
        <v/>
      </c>
      <c r="F29">
        <f>IF(ISBLANK('Q:\Abteilungsprojekte\eng\EngData\AOS\Allgemein\[LabSamples2025.xlsx]Bioplastic'!F29)," ",'Q:\Abteilungsprojekte\eng\EngData\AOS\Allgemein\[LabSamples2025.xlsx]Bioplastic'!F29)</f>
        <v/>
      </c>
      <c r="G29">
        <f>IF(ISBLANK('Q:\Abteilungsprojekte\eng\EngData\AOS\Allgemein\[LabSamples2025.xlsx]Bioplastic'!G29)," ",'Q:\Abteilungsprojekte\eng\EngData\AOS\Allgemein\[LabSamples2025.xlsx]Bioplastic'!G29)</f>
        <v/>
      </c>
      <c r="H29">
        <f>IF(ISBLANK('Q:\Abteilungsprojekte\eng\EngData\AOS\Allgemein\[LabSamples2025.xlsx]Bioplastic'!H29)," ",'Q:\Abteilungsprojekte\eng\EngData\AOS\Allgemein\[LabSamples2025.xlsx]Bioplastic'!H29)</f>
        <v/>
      </c>
    </row>
    <row r="30">
      <c r="A30">
        <f>IF(ISBLANK('Q:\Abteilungsprojekte\eng\EngData\AOS\Allgemein\[LabSamples2025.xlsx]Bioplastic'!A30)," ",'Q:\Abteilungsprojekte\eng\EngData\AOS\Allgemein\[LabSamples2025.xlsx]Bioplastic'!A30)</f>
        <v/>
      </c>
      <c r="B30">
        <f>IF(ISBLANK('Q:\Abteilungsprojekte\eng\EngData\AOS\Allgemein\[LabSamples2025.xlsx]Bioplastic'!B30)," ",'Q:\Abteilungsprojekte\eng\EngData\AOS\Allgemein\[LabSamples2025.xlsx]Bioplastic'!B30)</f>
        <v/>
      </c>
      <c r="C30">
        <f>IF(ISBLANK('Q:\Abteilungsprojekte\eng\EngData\AOS\Allgemein\[LabSamples2025.xlsx]Bioplastic'!C30)," ",'Q:\Abteilungsprojekte\eng\EngData\AOS\Allgemein\[LabSamples2025.xlsx]Bioplastic'!C30)</f>
        <v/>
      </c>
      <c r="D30">
        <f>IF(ISBLANK('Q:\Abteilungsprojekte\eng\EngData\AOS\Allgemein\[LabSamples2025.xlsx]Bioplastic'!D30)," ",'Q:\Abteilungsprojekte\eng\EngData\AOS\Allgemein\[LabSamples2025.xlsx]Bioplastic'!D30)</f>
        <v/>
      </c>
      <c r="E30">
        <f>IF(ISBLANK('Q:\Abteilungsprojekte\eng\EngData\AOS\Allgemein\[LabSamples2025.xlsx]Bioplastic'!E30)," ",'Q:\Abteilungsprojekte\eng\EngData\AOS\Allgemein\[LabSamples2025.xlsx]Bioplastic'!E30)</f>
        <v/>
      </c>
      <c r="F30">
        <f>IF(ISBLANK('Q:\Abteilungsprojekte\eng\EngData\AOS\Allgemein\[LabSamples2025.xlsx]Bioplastic'!F30)," ",'Q:\Abteilungsprojekte\eng\EngData\AOS\Allgemein\[LabSamples2025.xlsx]Bioplastic'!F30)</f>
        <v/>
      </c>
      <c r="G30">
        <f>IF(ISBLANK('Q:\Abteilungsprojekte\eng\EngData\AOS\Allgemein\[LabSamples2025.xlsx]Bioplastic'!G30)," ",'Q:\Abteilungsprojekte\eng\EngData\AOS\Allgemein\[LabSamples2025.xlsx]Bioplastic'!G30)</f>
        <v/>
      </c>
      <c r="H30">
        <f>IF(ISBLANK('Q:\Abteilungsprojekte\eng\EngData\AOS\Allgemein\[LabSamples2025.xlsx]Bioplastic'!H30)," ",'Q:\Abteilungsprojekte\eng\EngData\AOS\Allgemein\[LabSamples2025.xlsx]Bioplastic'!H30)</f>
        <v/>
      </c>
    </row>
    <row r="31">
      <c r="A31">
        <f>IF(ISBLANK('Q:\Abteilungsprojekte\eng\EngData\AOS\Allgemein\[LabSamples2025.xlsx]Bioplastic'!A31)," ",'Q:\Abteilungsprojekte\eng\EngData\AOS\Allgemein\[LabSamples2025.xlsx]Bioplastic'!A31)</f>
        <v/>
      </c>
      <c r="B31">
        <f>IF(ISBLANK('Q:\Abteilungsprojekte\eng\EngData\AOS\Allgemein\[LabSamples2025.xlsx]Bioplastic'!B31)," ",'Q:\Abteilungsprojekte\eng\EngData\AOS\Allgemein\[LabSamples2025.xlsx]Bioplastic'!B31)</f>
        <v/>
      </c>
      <c r="C31">
        <f>IF(ISBLANK('Q:\Abteilungsprojekte\eng\EngData\AOS\Allgemein\[LabSamples2025.xlsx]Bioplastic'!C31)," ",'Q:\Abteilungsprojekte\eng\EngData\AOS\Allgemein\[LabSamples2025.xlsx]Bioplastic'!C31)</f>
        <v/>
      </c>
      <c r="D31">
        <f>IF(ISBLANK('Q:\Abteilungsprojekte\eng\EngData\AOS\Allgemein\[LabSamples2025.xlsx]Bioplastic'!D31)," ",'Q:\Abteilungsprojekte\eng\EngData\AOS\Allgemein\[LabSamples2025.xlsx]Bioplastic'!D31)</f>
        <v/>
      </c>
      <c r="E31">
        <f>IF(ISBLANK('Q:\Abteilungsprojekte\eng\EngData\AOS\Allgemein\[LabSamples2025.xlsx]Bioplastic'!E31)," ",'Q:\Abteilungsprojekte\eng\EngData\AOS\Allgemein\[LabSamples2025.xlsx]Bioplastic'!E31)</f>
        <v/>
      </c>
      <c r="F31">
        <f>IF(ISBLANK('Q:\Abteilungsprojekte\eng\EngData\AOS\Allgemein\[LabSamples2025.xlsx]Bioplastic'!F31)," ",'Q:\Abteilungsprojekte\eng\EngData\AOS\Allgemein\[LabSamples2025.xlsx]Bioplastic'!F31)</f>
        <v/>
      </c>
      <c r="G31">
        <f>IF(ISBLANK('Q:\Abteilungsprojekte\eng\EngData\AOS\Allgemein\[LabSamples2025.xlsx]Bioplastic'!G31)," ",'Q:\Abteilungsprojekte\eng\EngData\AOS\Allgemein\[LabSamples2025.xlsx]Bioplastic'!G31)</f>
        <v/>
      </c>
      <c r="H31">
        <f>IF(ISBLANK('Q:\Abteilungsprojekte\eng\EngData\AOS\Allgemein\[LabSamples2025.xlsx]Bioplastic'!H31)," ",'Q:\Abteilungsprojekte\eng\EngData\AOS\Allgemein\[LabSamples2025.xlsx]Bioplastic'!H31)</f>
        <v/>
      </c>
    </row>
    <row r="32">
      <c r="A32">
        <f>IF(ISBLANK('Q:\Abteilungsprojekte\eng\EngData\AOS\Allgemein\[LabSamples2025.xlsx]Bioplastic'!A32)," ",'Q:\Abteilungsprojekte\eng\EngData\AOS\Allgemein\[LabSamples2025.xlsx]Bioplastic'!A32)</f>
        <v/>
      </c>
      <c r="B32">
        <f>IF(ISBLANK('Q:\Abteilungsprojekte\eng\EngData\AOS\Allgemein\[LabSamples2025.xlsx]Bioplastic'!B32)," ",'Q:\Abteilungsprojekte\eng\EngData\AOS\Allgemein\[LabSamples2025.xlsx]Bioplastic'!B32)</f>
        <v/>
      </c>
      <c r="C32">
        <f>IF(ISBLANK('Q:\Abteilungsprojekte\eng\EngData\AOS\Allgemein\[LabSamples2025.xlsx]Bioplastic'!C32)," ",'Q:\Abteilungsprojekte\eng\EngData\AOS\Allgemein\[LabSamples2025.xlsx]Bioplastic'!C32)</f>
        <v/>
      </c>
      <c r="D32">
        <f>IF(ISBLANK('Q:\Abteilungsprojekte\eng\EngData\AOS\Allgemein\[LabSamples2025.xlsx]Bioplastic'!D32)," ",'Q:\Abteilungsprojekte\eng\EngData\AOS\Allgemein\[LabSamples2025.xlsx]Bioplastic'!D32)</f>
        <v/>
      </c>
      <c r="E32">
        <f>IF(ISBLANK('Q:\Abteilungsprojekte\eng\EngData\AOS\Allgemein\[LabSamples2025.xlsx]Bioplastic'!E32)," ",'Q:\Abteilungsprojekte\eng\EngData\AOS\Allgemein\[LabSamples2025.xlsx]Bioplastic'!E32)</f>
        <v/>
      </c>
      <c r="F32">
        <f>IF(ISBLANK('Q:\Abteilungsprojekte\eng\EngData\AOS\Allgemein\[LabSamples2025.xlsx]Bioplastic'!F32)," ",'Q:\Abteilungsprojekte\eng\EngData\AOS\Allgemein\[LabSamples2025.xlsx]Bioplastic'!F32)</f>
        <v/>
      </c>
      <c r="G32">
        <f>IF(ISBLANK('Q:\Abteilungsprojekte\eng\EngData\AOS\Allgemein\[LabSamples2025.xlsx]Bioplastic'!G32)," ",'Q:\Abteilungsprojekte\eng\EngData\AOS\Allgemein\[LabSamples2025.xlsx]Bioplastic'!G32)</f>
        <v/>
      </c>
      <c r="H32">
        <f>IF(ISBLANK('Q:\Abteilungsprojekte\eng\EngData\AOS\Allgemein\[LabSamples2025.xlsx]Bioplastic'!H32)," ",'Q:\Abteilungsprojekte\eng\EngData\AOS\Allgemein\[LabSamples2025.xlsx]Bioplastic'!H32)</f>
        <v/>
      </c>
    </row>
    <row r="33">
      <c r="A33">
        <f>IF(ISBLANK('Q:\Abteilungsprojekte\eng\EngData\AOS\Allgemein\[LabSamples2025.xlsx]Bioplastic'!A33)," ",'Q:\Abteilungsprojekte\eng\EngData\AOS\Allgemein\[LabSamples2025.xlsx]Bioplastic'!A33)</f>
        <v/>
      </c>
      <c r="B33">
        <f>IF(ISBLANK('Q:\Abteilungsprojekte\eng\EngData\AOS\Allgemein\[LabSamples2025.xlsx]Bioplastic'!B33)," ",'Q:\Abteilungsprojekte\eng\EngData\AOS\Allgemein\[LabSamples2025.xlsx]Bioplastic'!B33)</f>
        <v/>
      </c>
      <c r="C33">
        <f>IF(ISBLANK('Q:\Abteilungsprojekte\eng\EngData\AOS\Allgemein\[LabSamples2025.xlsx]Bioplastic'!C33)," ",'Q:\Abteilungsprojekte\eng\EngData\AOS\Allgemein\[LabSamples2025.xlsx]Bioplastic'!C33)</f>
        <v/>
      </c>
      <c r="D33">
        <f>IF(ISBLANK('Q:\Abteilungsprojekte\eng\EngData\AOS\Allgemein\[LabSamples2025.xlsx]Bioplastic'!D33)," ",'Q:\Abteilungsprojekte\eng\EngData\AOS\Allgemein\[LabSamples2025.xlsx]Bioplastic'!D33)</f>
        <v/>
      </c>
      <c r="E33">
        <f>IF(ISBLANK('Q:\Abteilungsprojekte\eng\EngData\AOS\Allgemein\[LabSamples2025.xlsx]Bioplastic'!E33)," ",'Q:\Abteilungsprojekte\eng\EngData\AOS\Allgemein\[LabSamples2025.xlsx]Bioplastic'!E33)</f>
        <v/>
      </c>
      <c r="F33">
        <f>IF(ISBLANK('Q:\Abteilungsprojekte\eng\EngData\AOS\Allgemein\[LabSamples2025.xlsx]Bioplastic'!F33)," ",'Q:\Abteilungsprojekte\eng\EngData\AOS\Allgemein\[LabSamples2025.xlsx]Bioplastic'!F33)</f>
        <v/>
      </c>
      <c r="G33">
        <f>IF(ISBLANK('Q:\Abteilungsprojekte\eng\EngData\AOS\Allgemein\[LabSamples2025.xlsx]Bioplastic'!G33)," ",'Q:\Abteilungsprojekte\eng\EngData\AOS\Allgemein\[LabSamples2025.xlsx]Bioplastic'!G33)</f>
        <v/>
      </c>
      <c r="H33">
        <f>IF(ISBLANK('Q:\Abteilungsprojekte\eng\EngData\AOS\Allgemein\[LabSamples2025.xlsx]Bioplastic'!H33)," ",'Q:\Abteilungsprojekte\eng\EngData\AOS\Allgemein\[LabSamples2025.xlsx]Bioplastic'!H33)</f>
        <v/>
      </c>
    </row>
    <row r="34">
      <c r="A34">
        <f>IF(ISBLANK('Q:\Abteilungsprojekte\eng\EngData\AOS\Allgemein\[LabSamples2025.xlsx]Bioplastic'!A34)," ",'Q:\Abteilungsprojekte\eng\EngData\AOS\Allgemein\[LabSamples2025.xlsx]Bioplastic'!A34)</f>
        <v/>
      </c>
      <c r="B34">
        <f>IF(ISBLANK('Q:\Abteilungsprojekte\eng\EngData\AOS\Allgemein\[LabSamples2025.xlsx]Bioplastic'!B34)," ",'Q:\Abteilungsprojekte\eng\EngData\AOS\Allgemein\[LabSamples2025.xlsx]Bioplastic'!B34)</f>
        <v/>
      </c>
      <c r="C34">
        <f>IF(ISBLANK('Q:\Abteilungsprojekte\eng\EngData\AOS\Allgemein\[LabSamples2025.xlsx]Bioplastic'!C34)," ",'Q:\Abteilungsprojekte\eng\EngData\AOS\Allgemein\[LabSamples2025.xlsx]Bioplastic'!C34)</f>
        <v/>
      </c>
      <c r="D34">
        <f>IF(ISBLANK('Q:\Abteilungsprojekte\eng\EngData\AOS\Allgemein\[LabSamples2025.xlsx]Bioplastic'!D34)," ",'Q:\Abteilungsprojekte\eng\EngData\AOS\Allgemein\[LabSamples2025.xlsx]Bioplastic'!D34)</f>
        <v/>
      </c>
      <c r="E34">
        <f>IF(ISBLANK('Q:\Abteilungsprojekte\eng\EngData\AOS\Allgemein\[LabSamples2025.xlsx]Bioplastic'!E34)," ",'Q:\Abteilungsprojekte\eng\EngData\AOS\Allgemein\[LabSamples2025.xlsx]Bioplastic'!E34)</f>
        <v/>
      </c>
      <c r="F34">
        <f>IF(ISBLANK('Q:\Abteilungsprojekte\eng\EngData\AOS\Allgemein\[LabSamples2025.xlsx]Bioplastic'!F34)," ",'Q:\Abteilungsprojekte\eng\EngData\AOS\Allgemein\[LabSamples2025.xlsx]Bioplastic'!F34)</f>
        <v/>
      </c>
      <c r="G34">
        <f>IF(ISBLANK('Q:\Abteilungsprojekte\eng\EngData\AOS\Allgemein\[LabSamples2025.xlsx]Bioplastic'!G34)," ",'Q:\Abteilungsprojekte\eng\EngData\AOS\Allgemein\[LabSamples2025.xlsx]Bioplastic'!G34)</f>
        <v/>
      </c>
      <c r="H34">
        <f>IF(ISBLANK('Q:\Abteilungsprojekte\eng\EngData\AOS\Allgemein\[LabSamples2025.xlsx]Bioplastic'!H34)," ",'Q:\Abteilungsprojekte\eng\EngData\AOS\Allgemein\[LabSamples2025.xlsx]Bioplastic'!H34)</f>
        <v/>
      </c>
    </row>
    <row r="35">
      <c r="A35">
        <f>IF(ISBLANK('Q:\Abteilungsprojekte\eng\EngData\AOS\Allgemein\[LabSamples2025.xlsx]Bioplastic'!A35)," ",'Q:\Abteilungsprojekte\eng\EngData\AOS\Allgemein\[LabSamples2025.xlsx]Bioplastic'!A35)</f>
        <v/>
      </c>
      <c r="B35">
        <f>IF(ISBLANK('Q:\Abteilungsprojekte\eng\EngData\AOS\Allgemein\[LabSamples2025.xlsx]Bioplastic'!B35)," ",'Q:\Abteilungsprojekte\eng\EngData\AOS\Allgemein\[LabSamples2025.xlsx]Bioplastic'!B35)</f>
        <v/>
      </c>
      <c r="C35">
        <f>IF(ISBLANK('Q:\Abteilungsprojekte\eng\EngData\AOS\Allgemein\[LabSamples2025.xlsx]Bioplastic'!C35)," ",'Q:\Abteilungsprojekte\eng\EngData\AOS\Allgemein\[LabSamples2025.xlsx]Bioplastic'!C35)</f>
        <v/>
      </c>
      <c r="D35">
        <f>IF(ISBLANK('Q:\Abteilungsprojekte\eng\EngData\AOS\Allgemein\[LabSamples2025.xlsx]Bioplastic'!D35)," ",'Q:\Abteilungsprojekte\eng\EngData\AOS\Allgemein\[LabSamples2025.xlsx]Bioplastic'!D35)</f>
        <v/>
      </c>
      <c r="E35">
        <f>IF(ISBLANK('Q:\Abteilungsprojekte\eng\EngData\AOS\Allgemein\[LabSamples2025.xlsx]Bioplastic'!E35)," ",'Q:\Abteilungsprojekte\eng\EngData\AOS\Allgemein\[LabSamples2025.xlsx]Bioplastic'!E35)</f>
        <v/>
      </c>
      <c r="F35">
        <f>IF(ISBLANK('Q:\Abteilungsprojekte\eng\EngData\AOS\Allgemein\[LabSamples2025.xlsx]Bioplastic'!F35)," ",'Q:\Abteilungsprojekte\eng\EngData\AOS\Allgemein\[LabSamples2025.xlsx]Bioplastic'!F35)</f>
        <v/>
      </c>
      <c r="G35">
        <f>IF(ISBLANK('Q:\Abteilungsprojekte\eng\EngData\AOS\Allgemein\[LabSamples2025.xlsx]Bioplastic'!G35)," ",'Q:\Abteilungsprojekte\eng\EngData\AOS\Allgemein\[LabSamples2025.xlsx]Bioplastic'!G35)</f>
        <v/>
      </c>
      <c r="H35">
        <f>IF(ISBLANK('Q:\Abteilungsprojekte\eng\EngData\AOS\Allgemein\[LabSamples2025.xlsx]Bioplastic'!H35)," ",'Q:\Abteilungsprojekte\eng\EngData\AOS\Allgemein\[LabSamples2025.xlsx]Bioplastic'!H35)</f>
        <v/>
      </c>
    </row>
    <row r="36">
      <c r="A36">
        <f>IF(ISBLANK('Q:\Abteilungsprojekte\eng\EngData\AOS\Allgemein\[LabSamples2025.xlsx]Bioplastic'!A36)," ",'Q:\Abteilungsprojekte\eng\EngData\AOS\Allgemein\[LabSamples2025.xlsx]Bioplastic'!A36)</f>
        <v/>
      </c>
      <c r="B36">
        <f>IF(ISBLANK('Q:\Abteilungsprojekte\eng\EngData\AOS\Allgemein\[LabSamples2025.xlsx]Bioplastic'!B36)," ",'Q:\Abteilungsprojekte\eng\EngData\AOS\Allgemein\[LabSamples2025.xlsx]Bioplastic'!B36)</f>
        <v/>
      </c>
      <c r="C36">
        <f>IF(ISBLANK('Q:\Abteilungsprojekte\eng\EngData\AOS\Allgemein\[LabSamples2025.xlsx]Bioplastic'!C36)," ",'Q:\Abteilungsprojekte\eng\EngData\AOS\Allgemein\[LabSamples2025.xlsx]Bioplastic'!C36)</f>
        <v/>
      </c>
      <c r="D36">
        <f>IF(ISBLANK('Q:\Abteilungsprojekte\eng\EngData\AOS\Allgemein\[LabSamples2025.xlsx]Bioplastic'!D36)," ",'Q:\Abteilungsprojekte\eng\EngData\AOS\Allgemein\[LabSamples2025.xlsx]Bioplastic'!D36)</f>
        <v/>
      </c>
      <c r="E36">
        <f>IF(ISBLANK('Q:\Abteilungsprojekte\eng\EngData\AOS\Allgemein\[LabSamples2025.xlsx]Bioplastic'!E36)," ",'Q:\Abteilungsprojekte\eng\EngData\AOS\Allgemein\[LabSamples2025.xlsx]Bioplastic'!E36)</f>
        <v/>
      </c>
      <c r="F36">
        <f>IF(ISBLANK('Q:\Abteilungsprojekte\eng\EngData\AOS\Allgemein\[LabSamples2025.xlsx]Bioplastic'!F36)," ",'Q:\Abteilungsprojekte\eng\EngData\AOS\Allgemein\[LabSamples2025.xlsx]Bioplastic'!F36)</f>
        <v/>
      </c>
      <c r="G36">
        <f>IF(ISBLANK('Q:\Abteilungsprojekte\eng\EngData\AOS\Allgemein\[LabSamples2025.xlsx]Bioplastic'!G36)," ",'Q:\Abteilungsprojekte\eng\EngData\AOS\Allgemein\[LabSamples2025.xlsx]Bioplastic'!G36)</f>
        <v/>
      </c>
      <c r="H36">
        <f>IF(ISBLANK('Q:\Abteilungsprojekte\eng\EngData\AOS\Allgemein\[LabSamples2025.xlsx]Bioplastic'!H36)," ",'Q:\Abteilungsprojekte\eng\EngData\AOS\Allgemein\[LabSamples2025.xlsx]Bioplastic'!H36)</f>
        <v/>
      </c>
    </row>
    <row r="37">
      <c r="A37">
        <f>IF(ISBLANK('Q:\Abteilungsprojekte\eng\EngData\AOS\Allgemein\[LabSamples2025.xlsx]Bioplastic'!A37)," ",'Q:\Abteilungsprojekte\eng\EngData\AOS\Allgemein\[LabSamples2025.xlsx]Bioplastic'!A37)</f>
        <v/>
      </c>
      <c r="B37">
        <f>IF(ISBLANK('Q:\Abteilungsprojekte\eng\EngData\AOS\Allgemein\[LabSamples2025.xlsx]Bioplastic'!B37)," ",'Q:\Abteilungsprojekte\eng\EngData\AOS\Allgemein\[LabSamples2025.xlsx]Bioplastic'!B37)</f>
        <v/>
      </c>
      <c r="C37">
        <f>IF(ISBLANK('Q:\Abteilungsprojekte\eng\EngData\AOS\Allgemein\[LabSamples2025.xlsx]Bioplastic'!C37)," ",'Q:\Abteilungsprojekte\eng\EngData\AOS\Allgemein\[LabSamples2025.xlsx]Bioplastic'!C37)</f>
        <v/>
      </c>
      <c r="D37">
        <f>IF(ISBLANK('Q:\Abteilungsprojekte\eng\EngData\AOS\Allgemein\[LabSamples2025.xlsx]Bioplastic'!D37)," ",'Q:\Abteilungsprojekte\eng\EngData\AOS\Allgemein\[LabSamples2025.xlsx]Bioplastic'!D37)</f>
        <v/>
      </c>
      <c r="E37">
        <f>IF(ISBLANK('Q:\Abteilungsprojekte\eng\EngData\AOS\Allgemein\[LabSamples2025.xlsx]Bioplastic'!E37)," ",'Q:\Abteilungsprojekte\eng\EngData\AOS\Allgemein\[LabSamples2025.xlsx]Bioplastic'!E37)</f>
        <v/>
      </c>
      <c r="F37">
        <f>IF(ISBLANK('Q:\Abteilungsprojekte\eng\EngData\AOS\Allgemein\[LabSamples2025.xlsx]Bioplastic'!F37)," ",'Q:\Abteilungsprojekte\eng\EngData\AOS\Allgemein\[LabSamples2025.xlsx]Bioplastic'!F37)</f>
        <v/>
      </c>
      <c r="G37">
        <f>IF(ISBLANK('Q:\Abteilungsprojekte\eng\EngData\AOS\Allgemein\[LabSamples2025.xlsx]Bioplastic'!G37)," ",'Q:\Abteilungsprojekte\eng\EngData\AOS\Allgemein\[LabSamples2025.xlsx]Bioplastic'!G37)</f>
        <v/>
      </c>
      <c r="H37">
        <f>IF(ISBLANK('Q:\Abteilungsprojekte\eng\EngData\AOS\Allgemein\[LabSamples2025.xlsx]Bioplastic'!H37)," ",'Q:\Abteilungsprojekte\eng\EngData\AOS\Allgemein\[LabSamples2025.xlsx]Bioplastic'!H37)</f>
        <v/>
      </c>
    </row>
    <row r="38">
      <c r="A38">
        <f>IF(ISBLANK('Q:\Abteilungsprojekte\eng\EngData\AOS\Allgemein\[LabSamples2025.xlsx]Bioplastic'!A38)," ",'Q:\Abteilungsprojekte\eng\EngData\AOS\Allgemein\[LabSamples2025.xlsx]Bioplastic'!A38)</f>
        <v/>
      </c>
      <c r="B38">
        <f>IF(ISBLANK('Q:\Abteilungsprojekte\eng\EngData\AOS\Allgemein\[LabSamples2025.xlsx]Bioplastic'!B38)," ",'Q:\Abteilungsprojekte\eng\EngData\AOS\Allgemein\[LabSamples2025.xlsx]Bioplastic'!B38)</f>
        <v/>
      </c>
      <c r="C38">
        <f>IF(ISBLANK('Q:\Abteilungsprojekte\eng\EngData\AOS\Allgemein\[LabSamples2025.xlsx]Bioplastic'!C38)," ",'Q:\Abteilungsprojekte\eng\EngData\AOS\Allgemein\[LabSamples2025.xlsx]Bioplastic'!C38)</f>
        <v/>
      </c>
      <c r="D38">
        <f>IF(ISBLANK('Q:\Abteilungsprojekte\eng\EngData\AOS\Allgemein\[LabSamples2025.xlsx]Bioplastic'!D38)," ",'Q:\Abteilungsprojekte\eng\EngData\AOS\Allgemein\[LabSamples2025.xlsx]Bioplastic'!D38)</f>
        <v/>
      </c>
      <c r="E38">
        <f>IF(ISBLANK('Q:\Abteilungsprojekte\eng\EngData\AOS\Allgemein\[LabSamples2025.xlsx]Bioplastic'!E38)," ",'Q:\Abteilungsprojekte\eng\EngData\AOS\Allgemein\[LabSamples2025.xlsx]Bioplastic'!E38)</f>
        <v/>
      </c>
      <c r="F38">
        <f>IF(ISBLANK('Q:\Abteilungsprojekte\eng\EngData\AOS\Allgemein\[LabSamples2025.xlsx]Bioplastic'!F38)," ",'Q:\Abteilungsprojekte\eng\EngData\AOS\Allgemein\[LabSamples2025.xlsx]Bioplastic'!F38)</f>
        <v/>
      </c>
      <c r="G38">
        <f>IF(ISBLANK('Q:\Abteilungsprojekte\eng\EngData\AOS\Allgemein\[LabSamples2025.xlsx]Bioplastic'!G38)," ",'Q:\Abteilungsprojekte\eng\EngData\AOS\Allgemein\[LabSamples2025.xlsx]Bioplastic'!G38)</f>
        <v/>
      </c>
      <c r="H38">
        <f>IF(ISBLANK('Q:\Abteilungsprojekte\eng\EngData\AOS\Allgemein\[LabSamples2025.xlsx]Bioplastic'!H38)," ",'Q:\Abteilungsprojekte\eng\EngData\AOS\Allgemein\[LabSamples2025.xlsx]Bioplastic'!H38)</f>
        <v/>
      </c>
    </row>
    <row r="39">
      <c r="A39">
        <f>IF(ISBLANK('Q:\Abteilungsprojekte\eng\EngData\AOS\Allgemein\[LabSamples2025.xlsx]Bioplastic'!A39)," ",'Q:\Abteilungsprojekte\eng\EngData\AOS\Allgemein\[LabSamples2025.xlsx]Bioplastic'!A39)</f>
        <v/>
      </c>
      <c r="B39">
        <f>IF(ISBLANK('Q:\Abteilungsprojekte\eng\EngData\AOS\Allgemein\[LabSamples2025.xlsx]Bioplastic'!B39)," ",'Q:\Abteilungsprojekte\eng\EngData\AOS\Allgemein\[LabSamples2025.xlsx]Bioplastic'!B39)</f>
        <v/>
      </c>
      <c r="C39">
        <f>IF(ISBLANK('Q:\Abteilungsprojekte\eng\EngData\AOS\Allgemein\[LabSamples2025.xlsx]Bioplastic'!C39)," ",'Q:\Abteilungsprojekte\eng\EngData\AOS\Allgemein\[LabSamples2025.xlsx]Bioplastic'!C39)</f>
        <v/>
      </c>
      <c r="D39">
        <f>IF(ISBLANK('Q:\Abteilungsprojekte\eng\EngData\AOS\Allgemein\[LabSamples2025.xlsx]Bioplastic'!D39)," ",'Q:\Abteilungsprojekte\eng\EngData\AOS\Allgemein\[LabSamples2025.xlsx]Bioplastic'!D39)</f>
        <v/>
      </c>
      <c r="E39">
        <f>IF(ISBLANK('Q:\Abteilungsprojekte\eng\EngData\AOS\Allgemein\[LabSamples2025.xlsx]Bioplastic'!E39)," ",'Q:\Abteilungsprojekte\eng\EngData\AOS\Allgemein\[LabSamples2025.xlsx]Bioplastic'!E39)</f>
        <v/>
      </c>
      <c r="F39">
        <f>IF(ISBLANK('Q:\Abteilungsprojekte\eng\EngData\AOS\Allgemein\[LabSamples2025.xlsx]Bioplastic'!F39)," ",'Q:\Abteilungsprojekte\eng\EngData\AOS\Allgemein\[LabSamples2025.xlsx]Bioplastic'!F39)</f>
        <v/>
      </c>
      <c r="G39">
        <f>IF(ISBLANK('Q:\Abteilungsprojekte\eng\EngData\AOS\Allgemein\[LabSamples2025.xlsx]Bioplastic'!G39)," ",'Q:\Abteilungsprojekte\eng\EngData\AOS\Allgemein\[LabSamples2025.xlsx]Bioplastic'!G39)</f>
        <v/>
      </c>
      <c r="H39">
        <f>IF(ISBLANK('Q:\Abteilungsprojekte\eng\EngData\AOS\Allgemein\[LabSamples2025.xlsx]Bioplastic'!H39)," ",'Q:\Abteilungsprojekte\eng\EngData\AOS\Allgemein\[LabSamples2025.xlsx]Bioplastic'!H39)</f>
        <v/>
      </c>
    </row>
    <row r="40">
      <c r="A40">
        <f>IF(ISBLANK('Q:\Abteilungsprojekte\eng\EngData\AOS\Allgemein\[LabSamples2025.xlsx]Bioplastic'!A40)," ",'Q:\Abteilungsprojekte\eng\EngData\AOS\Allgemein\[LabSamples2025.xlsx]Bioplastic'!A40)</f>
        <v/>
      </c>
      <c r="B40">
        <f>IF(ISBLANK('Q:\Abteilungsprojekte\eng\EngData\AOS\Allgemein\[LabSamples2025.xlsx]Bioplastic'!B40)," ",'Q:\Abteilungsprojekte\eng\EngData\AOS\Allgemein\[LabSamples2025.xlsx]Bioplastic'!B40)</f>
        <v/>
      </c>
      <c r="C40">
        <f>IF(ISBLANK('Q:\Abteilungsprojekte\eng\EngData\AOS\Allgemein\[LabSamples2025.xlsx]Bioplastic'!C40)," ",'Q:\Abteilungsprojekte\eng\EngData\AOS\Allgemein\[LabSamples2025.xlsx]Bioplastic'!C40)</f>
        <v/>
      </c>
      <c r="D40">
        <f>IF(ISBLANK('Q:\Abteilungsprojekte\eng\EngData\AOS\Allgemein\[LabSamples2025.xlsx]Bioplastic'!D40)," ",'Q:\Abteilungsprojekte\eng\EngData\AOS\Allgemein\[LabSamples2025.xlsx]Bioplastic'!D40)</f>
        <v/>
      </c>
      <c r="E40">
        <f>IF(ISBLANK('Q:\Abteilungsprojekte\eng\EngData\AOS\Allgemein\[LabSamples2025.xlsx]Bioplastic'!E40)," ",'Q:\Abteilungsprojekte\eng\EngData\AOS\Allgemein\[LabSamples2025.xlsx]Bioplastic'!E40)</f>
        <v/>
      </c>
      <c r="F40">
        <f>IF(ISBLANK('Q:\Abteilungsprojekte\eng\EngData\AOS\Allgemein\[LabSamples2025.xlsx]Bioplastic'!F40)," ",'Q:\Abteilungsprojekte\eng\EngData\AOS\Allgemein\[LabSamples2025.xlsx]Bioplastic'!F40)</f>
        <v/>
      </c>
      <c r="G40">
        <f>IF(ISBLANK('Q:\Abteilungsprojekte\eng\EngData\AOS\Allgemein\[LabSamples2025.xlsx]Bioplastic'!G40)," ",'Q:\Abteilungsprojekte\eng\EngData\AOS\Allgemein\[LabSamples2025.xlsx]Bioplastic'!G40)</f>
        <v/>
      </c>
      <c r="H40">
        <f>IF(ISBLANK('Q:\Abteilungsprojekte\eng\EngData\AOS\Allgemein\[LabSamples2025.xlsx]Bioplastic'!H40)," ",'Q:\Abteilungsprojekte\eng\EngData\AOS\Allgemein\[LabSamples2025.xlsx]Bioplastic'!H40)</f>
        <v/>
      </c>
    </row>
    <row r="41">
      <c r="A41">
        <f>IF(ISBLANK('Q:\Abteilungsprojekte\eng\EngData\AOS\Allgemein\[LabSamples2025.xlsx]Bioplastic'!A41)," ",'Q:\Abteilungsprojekte\eng\EngData\AOS\Allgemein\[LabSamples2025.xlsx]Bioplastic'!A41)</f>
        <v/>
      </c>
      <c r="B41">
        <f>IF(ISBLANK('Q:\Abteilungsprojekte\eng\EngData\AOS\Allgemein\[LabSamples2025.xlsx]Bioplastic'!B41)," ",'Q:\Abteilungsprojekte\eng\EngData\AOS\Allgemein\[LabSamples2025.xlsx]Bioplastic'!B41)</f>
        <v/>
      </c>
      <c r="C41">
        <f>IF(ISBLANK('Q:\Abteilungsprojekte\eng\EngData\AOS\Allgemein\[LabSamples2025.xlsx]Bioplastic'!C41)," ",'Q:\Abteilungsprojekte\eng\EngData\AOS\Allgemein\[LabSamples2025.xlsx]Bioplastic'!C41)</f>
        <v/>
      </c>
      <c r="D41">
        <f>IF(ISBLANK('Q:\Abteilungsprojekte\eng\EngData\AOS\Allgemein\[LabSamples2025.xlsx]Bioplastic'!D41)," ",'Q:\Abteilungsprojekte\eng\EngData\AOS\Allgemein\[LabSamples2025.xlsx]Bioplastic'!D41)</f>
        <v/>
      </c>
      <c r="E41">
        <f>IF(ISBLANK('Q:\Abteilungsprojekte\eng\EngData\AOS\Allgemein\[LabSamples2025.xlsx]Bioplastic'!E41)," ",'Q:\Abteilungsprojekte\eng\EngData\AOS\Allgemein\[LabSamples2025.xlsx]Bioplastic'!E41)</f>
        <v/>
      </c>
      <c r="F41">
        <f>IF(ISBLANK('Q:\Abteilungsprojekte\eng\EngData\AOS\Allgemein\[LabSamples2025.xlsx]Bioplastic'!F41)," ",'Q:\Abteilungsprojekte\eng\EngData\AOS\Allgemein\[LabSamples2025.xlsx]Bioplastic'!F41)</f>
        <v/>
      </c>
      <c r="G41">
        <f>IF(ISBLANK('Q:\Abteilungsprojekte\eng\EngData\AOS\Allgemein\[LabSamples2025.xlsx]Bioplastic'!G41)," ",'Q:\Abteilungsprojekte\eng\EngData\AOS\Allgemein\[LabSamples2025.xlsx]Bioplastic'!G41)</f>
        <v/>
      </c>
      <c r="H41">
        <f>IF(ISBLANK('Q:\Abteilungsprojekte\eng\EngData\AOS\Allgemein\[LabSamples2025.xlsx]Bioplastic'!H41)," ",'Q:\Abteilungsprojekte\eng\EngData\AOS\Allgemein\[LabSamples2025.xlsx]Bioplastic'!H41)</f>
        <v/>
      </c>
    </row>
    <row r="42">
      <c r="A42">
        <f>IF(ISBLANK('Q:\Abteilungsprojekte\eng\EngData\AOS\Allgemein\[LabSamples2025.xlsx]Bioplastic'!A42)," ",'Q:\Abteilungsprojekte\eng\EngData\AOS\Allgemein\[LabSamples2025.xlsx]Bioplastic'!A42)</f>
        <v/>
      </c>
      <c r="B42">
        <f>IF(ISBLANK('Q:\Abteilungsprojekte\eng\EngData\AOS\Allgemein\[LabSamples2025.xlsx]Bioplastic'!B42)," ",'Q:\Abteilungsprojekte\eng\EngData\AOS\Allgemein\[LabSamples2025.xlsx]Bioplastic'!B42)</f>
        <v/>
      </c>
      <c r="C42">
        <f>IF(ISBLANK('Q:\Abteilungsprojekte\eng\EngData\AOS\Allgemein\[LabSamples2025.xlsx]Bioplastic'!C42)," ",'Q:\Abteilungsprojekte\eng\EngData\AOS\Allgemein\[LabSamples2025.xlsx]Bioplastic'!C42)</f>
        <v/>
      </c>
      <c r="D42">
        <f>IF(ISBLANK('Q:\Abteilungsprojekte\eng\EngData\AOS\Allgemein\[LabSamples2025.xlsx]Bioplastic'!D42)," ",'Q:\Abteilungsprojekte\eng\EngData\AOS\Allgemein\[LabSamples2025.xlsx]Bioplastic'!D42)</f>
        <v/>
      </c>
      <c r="E42">
        <f>IF(ISBLANK('Q:\Abteilungsprojekte\eng\EngData\AOS\Allgemein\[LabSamples2025.xlsx]Bioplastic'!E42)," ",'Q:\Abteilungsprojekte\eng\EngData\AOS\Allgemein\[LabSamples2025.xlsx]Bioplastic'!E42)</f>
        <v/>
      </c>
      <c r="F42">
        <f>IF(ISBLANK('Q:\Abteilungsprojekte\eng\EngData\AOS\Allgemein\[LabSamples2025.xlsx]Bioplastic'!F42)," ",'Q:\Abteilungsprojekte\eng\EngData\AOS\Allgemein\[LabSamples2025.xlsx]Bioplastic'!F42)</f>
        <v/>
      </c>
      <c r="G42">
        <f>IF(ISBLANK('Q:\Abteilungsprojekte\eng\EngData\AOS\Allgemein\[LabSamples2025.xlsx]Bioplastic'!G42)," ",'Q:\Abteilungsprojekte\eng\EngData\AOS\Allgemein\[LabSamples2025.xlsx]Bioplastic'!G42)</f>
        <v/>
      </c>
      <c r="H42">
        <f>IF(ISBLANK('Q:\Abteilungsprojekte\eng\EngData\AOS\Allgemein\[LabSamples2025.xlsx]Bioplastic'!H42)," ",'Q:\Abteilungsprojekte\eng\EngData\AOS\Allgemein\[LabSamples2025.xlsx]Bioplastic'!H42)</f>
        <v/>
      </c>
    </row>
    <row r="43">
      <c r="A43">
        <f>IF(ISBLANK('Q:\Abteilungsprojekte\eng\EngData\AOS\Allgemein\[LabSamples2025.xlsx]Bioplastic'!A43)," ",'Q:\Abteilungsprojekte\eng\EngData\AOS\Allgemein\[LabSamples2025.xlsx]Bioplastic'!A43)</f>
        <v/>
      </c>
      <c r="B43">
        <f>IF(ISBLANK('Q:\Abteilungsprojekte\eng\EngData\AOS\Allgemein\[LabSamples2025.xlsx]Bioplastic'!B43)," ",'Q:\Abteilungsprojekte\eng\EngData\AOS\Allgemein\[LabSamples2025.xlsx]Bioplastic'!B43)</f>
        <v/>
      </c>
      <c r="C43">
        <f>IF(ISBLANK('Q:\Abteilungsprojekte\eng\EngData\AOS\Allgemein\[LabSamples2025.xlsx]Bioplastic'!C43)," ",'Q:\Abteilungsprojekte\eng\EngData\AOS\Allgemein\[LabSamples2025.xlsx]Bioplastic'!C43)</f>
        <v/>
      </c>
      <c r="D43">
        <f>IF(ISBLANK('Q:\Abteilungsprojekte\eng\EngData\AOS\Allgemein\[LabSamples2025.xlsx]Bioplastic'!D43)," ",'Q:\Abteilungsprojekte\eng\EngData\AOS\Allgemein\[LabSamples2025.xlsx]Bioplastic'!D43)</f>
        <v/>
      </c>
      <c r="E43">
        <f>IF(ISBLANK('Q:\Abteilungsprojekte\eng\EngData\AOS\Allgemein\[LabSamples2025.xlsx]Bioplastic'!E43)," ",'Q:\Abteilungsprojekte\eng\EngData\AOS\Allgemein\[LabSamples2025.xlsx]Bioplastic'!E43)</f>
        <v/>
      </c>
      <c r="F43">
        <f>IF(ISBLANK('Q:\Abteilungsprojekte\eng\EngData\AOS\Allgemein\[LabSamples2025.xlsx]Bioplastic'!F43)," ",'Q:\Abteilungsprojekte\eng\EngData\AOS\Allgemein\[LabSamples2025.xlsx]Bioplastic'!F43)</f>
        <v/>
      </c>
      <c r="G43">
        <f>IF(ISBLANK('Q:\Abteilungsprojekte\eng\EngData\AOS\Allgemein\[LabSamples2025.xlsx]Bioplastic'!G43)," ",'Q:\Abteilungsprojekte\eng\EngData\AOS\Allgemein\[LabSamples2025.xlsx]Bioplastic'!G43)</f>
        <v/>
      </c>
      <c r="H43">
        <f>IF(ISBLANK('Q:\Abteilungsprojekte\eng\EngData\AOS\Allgemein\[LabSamples2025.xlsx]Bioplastic'!H43)," ",'Q:\Abteilungsprojekte\eng\EngData\AOS\Allgemein\[LabSamples2025.xlsx]Bioplastic'!H43)</f>
        <v/>
      </c>
    </row>
    <row r="44">
      <c r="A44">
        <f>IF(ISBLANK('Q:\Abteilungsprojekte\eng\EngData\AOS\Allgemein\[LabSamples2025.xlsx]Bioplastic'!A44)," ",'Q:\Abteilungsprojekte\eng\EngData\AOS\Allgemein\[LabSamples2025.xlsx]Bioplastic'!A44)</f>
        <v/>
      </c>
      <c r="B44">
        <f>IF(ISBLANK('Q:\Abteilungsprojekte\eng\EngData\AOS\Allgemein\[LabSamples2025.xlsx]Bioplastic'!B44)," ",'Q:\Abteilungsprojekte\eng\EngData\AOS\Allgemein\[LabSamples2025.xlsx]Bioplastic'!B44)</f>
        <v/>
      </c>
      <c r="C44">
        <f>IF(ISBLANK('Q:\Abteilungsprojekte\eng\EngData\AOS\Allgemein\[LabSamples2025.xlsx]Bioplastic'!C44)," ",'Q:\Abteilungsprojekte\eng\EngData\AOS\Allgemein\[LabSamples2025.xlsx]Bioplastic'!C44)</f>
        <v/>
      </c>
      <c r="D44">
        <f>IF(ISBLANK('Q:\Abteilungsprojekte\eng\EngData\AOS\Allgemein\[LabSamples2025.xlsx]Bioplastic'!D44)," ",'Q:\Abteilungsprojekte\eng\EngData\AOS\Allgemein\[LabSamples2025.xlsx]Bioplastic'!D44)</f>
        <v/>
      </c>
      <c r="E44">
        <f>IF(ISBLANK('Q:\Abteilungsprojekte\eng\EngData\AOS\Allgemein\[LabSamples2025.xlsx]Bioplastic'!E44)," ",'Q:\Abteilungsprojekte\eng\EngData\AOS\Allgemein\[LabSamples2025.xlsx]Bioplastic'!E44)</f>
        <v/>
      </c>
      <c r="F44">
        <f>IF(ISBLANK('Q:\Abteilungsprojekte\eng\EngData\AOS\Allgemein\[LabSamples2025.xlsx]Bioplastic'!F44)," ",'Q:\Abteilungsprojekte\eng\EngData\AOS\Allgemein\[LabSamples2025.xlsx]Bioplastic'!F44)</f>
        <v/>
      </c>
      <c r="G44">
        <f>IF(ISBLANK('Q:\Abteilungsprojekte\eng\EngData\AOS\Allgemein\[LabSamples2025.xlsx]Bioplastic'!G44)," ",'Q:\Abteilungsprojekte\eng\EngData\AOS\Allgemein\[LabSamples2025.xlsx]Bioplastic'!G44)</f>
        <v/>
      </c>
      <c r="H44">
        <f>IF(ISBLANK('Q:\Abteilungsprojekte\eng\EngData\AOS\Allgemein\[LabSamples2025.xlsx]Bioplastic'!H44)," ",'Q:\Abteilungsprojekte\eng\EngData\AOS\Allgemein\[LabSamples2025.xlsx]Bioplastic'!H44)</f>
        <v/>
      </c>
    </row>
    <row r="45">
      <c r="A45">
        <f>IF(ISBLANK('Q:\Abteilungsprojekte\eng\EngData\AOS\Allgemein\[LabSamples2025.xlsx]Bioplastic'!A45)," ",'Q:\Abteilungsprojekte\eng\EngData\AOS\Allgemein\[LabSamples2025.xlsx]Bioplastic'!A45)</f>
        <v/>
      </c>
      <c r="B45">
        <f>IF(ISBLANK('Q:\Abteilungsprojekte\eng\EngData\AOS\Allgemein\[LabSamples2025.xlsx]Bioplastic'!B45)," ",'Q:\Abteilungsprojekte\eng\EngData\AOS\Allgemein\[LabSamples2025.xlsx]Bioplastic'!B45)</f>
        <v/>
      </c>
      <c r="C45">
        <f>IF(ISBLANK('Q:\Abteilungsprojekte\eng\EngData\AOS\Allgemein\[LabSamples2025.xlsx]Bioplastic'!C45)," ",'Q:\Abteilungsprojekte\eng\EngData\AOS\Allgemein\[LabSamples2025.xlsx]Bioplastic'!C45)</f>
        <v/>
      </c>
      <c r="D45">
        <f>IF(ISBLANK('Q:\Abteilungsprojekte\eng\EngData\AOS\Allgemein\[LabSamples2025.xlsx]Bioplastic'!D45)," ",'Q:\Abteilungsprojekte\eng\EngData\AOS\Allgemein\[LabSamples2025.xlsx]Bioplastic'!D45)</f>
        <v/>
      </c>
      <c r="E45">
        <f>IF(ISBLANK('Q:\Abteilungsprojekte\eng\EngData\AOS\Allgemein\[LabSamples2025.xlsx]Bioplastic'!E45)," ",'Q:\Abteilungsprojekte\eng\EngData\AOS\Allgemein\[LabSamples2025.xlsx]Bioplastic'!E45)</f>
        <v/>
      </c>
      <c r="F45">
        <f>IF(ISBLANK('Q:\Abteilungsprojekte\eng\EngData\AOS\Allgemein\[LabSamples2025.xlsx]Bioplastic'!F45)," ",'Q:\Abteilungsprojekte\eng\EngData\AOS\Allgemein\[LabSamples2025.xlsx]Bioplastic'!F45)</f>
        <v/>
      </c>
      <c r="G45">
        <f>IF(ISBLANK('Q:\Abteilungsprojekte\eng\EngData\AOS\Allgemein\[LabSamples2025.xlsx]Bioplastic'!G45)," ",'Q:\Abteilungsprojekte\eng\EngData\AOS\Allgemein\[LabSamples2025.xlsx]Bioplastic'!G45)</f>
        <v/>
      </c>
      <c r="H45">
        <f>IF(ISBLANK('Q:\Abteilungsprojekte\eng\EngData\AOS\Allgemein\[LabSamples2025.xlsx]Bioplastic'!H45)," ",'Q:\Abteilungsprojekte\eng\EngData\AOS\Allgemein\[LabSamples2025.xlsx]Bioplastic'!H45)</f>
        <v/>
      </c>
    </row>
    <row r="46">
      <c r="A46">
        <f>IF(ISBLANK('Q:\Abteilungsprojekte\eng\EngData\AOS\Allgemein\[LabSamples2025.xlsx]Bioplastic'!A46)," ",'Q:\Abteilungsprojekte\eng\EngData\AOS\Allgemein\[LabSamples2025.xlsx]Bioplastic'!A46)</f>
        <v/>
      </c>
      <c r="B46">
        <f>IF(ISBLANK('Q:\Abteilungsprojekte\eng\EngData\AOS\Allgemein\[LabSamples2025.xlsx]Bioplastic'!B46)," ",'Q:\Abteilungsprojekte\eng\EngData\AOS\Allgemein\[LabSamples2025.xlsx]Bioplastic'!B46)</f>
        <v/>
      </c>
      <c r="C46">
        <f>IF(ISBLANK('Q:\Abteilungsprojekte\eng\EngData\AOS\Allgemein\[LabSamples2025.xlsx]Bioplastic'!C46)," ",'Q:\Abteilungsprojekte\eng\EngData\AOS\Allgemein\[LabSamples2025.xlsx]Bioplastic'!C46)</f>
        <v/>
      </c>
      <c r="D46">
        <f>IF(ISBLANK('Q:\Abteilungsprojekte\eng\EngData\AOS\Allgemein\[LabSamples2025.xlsx]Bioplastic'!D46)," ",'Q:\Abteilungsprojekte\eng\EngData\AOS\Allgemein\[LabSamples2025.xlsx]Bioplastic'!D46)</f>
        <v/>
      </c>
      <c r="E46">
        <f>IF(ISBLANK('Q:\Abteilungsprojekte\eng\EngData\AOS\Allgemein\[LabSamples2025.xlsx]Bioplastic'!E46)," ",'Q:\Abteilungsprojekte\eng\EngData\AOS\Allgemein\[LabSamples2025.xlsx]Bioplastic'!E46)</f>
        <v/>
      </c>
      <c r="F46">
        <f>IF(ISBLANK('Q:\Abteilungsprojekte\eng\EngData\AOS\Allgemein\[LabSamples2025.xlsx]Bioplastic'!F46)," ",'Q:\Abteilungsprojekte\eng\EngData\AOS\Allgemein\[LabSamples2025.xlsx]Bioplastic'!F46)</f>
        <v/>
      </c>
      <c r="G46">
        <f>IF(ISBLANK('Q:\Abteilungsprojekte\eng\EngData\AOS\Allgemein\[LabSamples2025.xlsx]Bioplastic'!G46)," ",'Q:\Abteilungsprojekte\eng\EngData\AOS\Allgemein\[LabSamples2025.xlsx]Bioplastic'!G46)</f>
        <v/>
      </c>
      <c r="H46">
        <f>IF(ISBLANK('Q:\Abteilungsprojekte\eng\EngData\AOS\Allgemein\[LabSamples2025.xlsx]Bioplastic'!H46)," ",'Q:\Abteilungsprojekte\eng\EngData\AOS\Allgemein\[LabSamples2025.xlsx]Bioplastic'!H46)</f>
        <v/>
      </c>
    </row>
    <row r="47">
      <c r="A47">
        <f>IF(ISBLANK('Q:\Abteilungsprojekte\eng\EngData\AOS\Allgemein\[LabSamples2025.xlsx]Bioplastic'!A47)," ",'Q:\Abteilungsprojekte\eng\EngData\AOS\Allgemein\[LabSamples2025.xlsx]Bioplastic'!A47)</f>
        <v/>
      </c>
      <c r="B47">
        <f>IF(ISBLANK('Q:\Abteilungsprojekte\eng\EngData\AOS\Allgemein\[LabSamples2025.xlsx]Bioplastic'!B47)," ",'Q:\Abteilungsprojekte\eng\EngData\AOS\Allgemein\[LabSamples2025.xlsx]Bioplastic'!B47)</f>
        <v/>
      </c>
      <c r="C47">
        <f>IF(ISBLANK('Q:\Abteilungsprojekte\eng\EngData\AOS\Allgemein\[LabSamples2025.xlsx]Bioplastic'!C47)," ",'Q:\Abteilungsprojekte\eng\EngData\AOS\Allgemein\[LabSamples2025.xlsx]Bioplastic'!C47)</f>
        <v/>
      </c>
      <c r="D47">
        <f>IF(ISBLANK('Q:\Abteilungsprojekte\eng\EngData\AOS\Allgemein\[LabSamples2025.xlsx]Bioplastic'!D47)," ",'Q:\Abteilungsprojekte\eng\EngData\AOS\Allgemein\[LabSamples2025.xlsx]Bioplastic'!D47)</f>
        <v/>
      </c>
      <c r="E47">
        <f>IF(ISBLANK('Q:\Abteilungsprojekte\eng\EngData\AOS\Allgemein\[LabSamples2025.xlsx]Bioplastic'!E47)," ",'Q:\Abteilungsprojekte\eng\EngData\AOS\Allgemein\[LabSamples2025.xlsx]Bioplastic'!E47)</f>
        <v/>
      </c>
      <c r="F47">
        <f>IF(ISBLANK('Q:\Abteilungsprojekte\eng\EngData\AOS\Allgemein\[LabSamples2025.xlsx]Bioplastic'!F47)," ",'Q:\Abteilungsprojekte\eng\EngData\AOS\Allgemein\[LabSamples2025.xlsx]Bioplastic'!F47)</f>
        <v/>
      </c>
      <c r="G47">
        <f>IF(ISBLANK('Q:\Abteilungsprojekte\eng\EngData\AOS\Allgemein\[LabSamples2025.xlsx]Bioplastic'!G47)," ",'Q:\Abteilungsprojekte\eng\EngData\AOS\Allgemein\[LabSamples2025.xlsx]Bioplastic'!G47)</f>
        <v/>
      </c>
      <c r="H47">
        <f>IF(ISBLANK('Q:\Abteilungsprojekte\eng\EngData\AOS\Allgemein\[LabSamples2025.xlsx]Bioplastic'!H47)," ",'Q:\Abteilungsprojekte\eng\EngData\AOS\Allgemein\[LabSamples2025.xlsx]Bioplastic'!H47)</f>
        <v/>
      </c>
    </row>
    <row r="48">
      <c r="A48">
        <f>IF(ISBLANK('Q:\Abteilungsprojekte\eng\EngData\AOS\Allgemein\[LabSamples2025.xlsx]Bioplastic'!A48)," ",'Q:\Abteilungsprojekte\eng\EngData\AOS\Allgemein\[LabSamples2025.xlsx]Bioplastic'!A48)</f>
        <v/>
      </c>
      <c r="B48">
        <f>IF(ISBLANK('Q:\Abteilungsprojekte\eng\EngData\AOS\Allgemein\[LabSamples2025.xlsx]Bioplastic'!B48)," ",'Q:\Abteilungsprojekte\eng\EngData\AOS\Allgemein\[LabSamples2025.xlsx]Bioplastic'!B48)</f>
        <v/>
      </c>
      <c r="C48">
        <f>IF(ISBLANK('Q:\Abteilungsprojekte\eng\EngData\AOS\Allgemein\[LabSamples2025.xlsx]Bioplastic'!C48)," ",'Q:\Abteilungsprojekte\eng\EngData\AOS\Allgemein\[LabSamples2025.xlsx]Bioplastic'!C48)</f>
        <v/>
      </c>
      <c r="D48">
        <f>IF(ISBLANK('Q:\Abteilungsprojekte\eng\EngData\AOS\Allgemein\[LabSamples2025.xlsx]Bioplastic'!D48)," ",'Q:\Abteilungsprojekte\eng\EngData\AOS\Allgemein\[LabSamples2025.xlsx]Bioplastic'!D48)</f>
        <v/>
      </c>
      <c r="E48">
        <f>IF(ISBLANK('Q:\Abteilungsprojekte\eng\EngData\AOS\Allgemein\[LabSamples2025.xlsx]Bioplastic'!E48)," ",'Q:\Abteilungsprojekte\eng\EngData\AOS\Allgemein\[LabSamples2025.xlsx]Bioplastic'!E48)</f>
        <v/>
      </c>
      <c r="F48">
        <f>IF(ISBLANK('Q:\Abteilungsprojekte\eng\EngData\AOS\Allgemein\[LabSamples2025.xlsx]Bioplastic'!F48)," ",'Q:\Abteilungsprojekte\eng\EngData\AOS\Allgemein\[LabSamples2025.xlsx]Bioplastic'!F48)</f>
        <v/>
      </c>
      <c r="G48">
        <f>IF(ISBLANK('Q:\Abteilungsprojekte\eng\EngData\AOS\Allgemein\[LabSamples2025.xlsx]Bioplastic'!G48)," ",'Q:\Abteilungsprojekte\eng\EngData\AOS\Allgemein\[LabSamples2025.xlsx]Bioplastic'!G48)</f>
        <v/>
      </c>
      <c r="H48">
        <f>IF(ISBLANK('Q:\Abteilungsprojekte\eng\EngData\AOS\Allgemein\[LabSamples2025.xlsx]Bioplastic'!H48)," ",'Q:\Abteilungsprojekte\eng\EngData\AOS\Allgemein\[LabSamples2025.xlsx]Bioplastic'!H48)</f>
        <v/>
      </c>
    </row>
    <row r="49">
      <c r="A49">
        <f>IF(ISBLANK('Q:\Abteilungsprojekte\eng\EngData\AOS\Allgemein\[LabSamples2025.xlsx]Bioplastic'!A49)," ",'Q:\Abteilungsprojekte\eng\EngData\AOS\Allgemein\[LabSamples2025.xlsx]Bioplastic'!A49)</f>
        <v/>
      </c>
      <c r="B49">
        <f>IF(ISBLANK('Q:\Abteilungsprojekte\eng\EngData\AOS\Allgemein\[LabSamples2025.xlsx]Bioplastic'!B49)," ",'Q:\Abteilungsprojekte\eng\EngData\AOS\Allgemein\[LabSamples2025.xlsx]Bioplastic'!B49)</f>
        <v/>
      </c>
      <c r="C49">
        <f>IF(ISBLANK('Q:\Abteilungsprojekte\eng\EngData\AOS\Allgemein\[LabSamples2025.xlsx]Bioplastic'!C49)," ",'Q:\Abteilungsprojekte\eng\EngData\AOS\Allgemein\[LabSamples2025.xlsx]Bioplastic'!C49)</f>
        <v/>
      </c>
      <c r="D49">
        <f>IF(ISBLANK('Q:\Abteilungsprojekte\eng\EngData\AOS\Allgemein\[LabSamples2025.xlsx]Bioplastic'!D49)," ",'Q:\Abteilungsprojekte\eng\EngData\AOS\Allgemein\[LabSamples2025.xlsx]Bioplastic'!D49)</f>
        <v/>
      </c>
      <c r="E49">
        <f>IF(ISBLANK('Q:\Abteilungsprojekte\eng\EngData\AOS\Allgemein\[LabSamples2025.xlsx]Bioplastic'!E49)," ",'Q:\Abteilungsprojekte\eng\EngData\AOS\Allgemein\[LabSamples2025.xlsx]Bioplastic'!E49)</f>
        <v/>
      </c>
      <c r="F49">
        <f>IF(ISBLANK('Q:\Abteilungsprojekte\eng\EngData\AOS\Allgemein\[LabSamples2025.xlsx]Bioplastic'!F49)," ",'Q:\Abteilungsprojekte\eng\EngData\AOS\Allgemein\[LabSamples2025.xlsx]Bioplastic'!F49)</f>
        <v/>
      </c>
      <c r="G49">
        <f>IF(ISBLANK('Q:\Abteilungsprojekte\eng\EngData\AOS\Allgemein\[LabSamples2025.xlsx]Bioplastic'!G49)," ",'Q:\Abteilungsprojekte\eng\EngData\AOS\Allgemein\[LabSamples2025.xlsx]Bioplastic'!G49)</f>
        <v/>
      </c>
      <c r="H49">
        <f>IF(ISBLANK('Q:\Abteilungsprojekte\eng\EngData\AOS\Allgemein\[LabSamples2025.xlsx]Bioplastic'!H49)," ",'Q:\Abteilungsprojekte\eng\EngData\AOS\Allgemein\[LabSamples2025.xlsx]Bioplastic'!H49)</f>
        <v/>
      </c>
    </row>
    <row r="50">
      <c r="A50">
        <f>IF(ISBLANK('Q:\Abteilungsprojekte\eng\EngData\AOS\Allgemein\[LabSamples2025.xlsx]Bioplastic'!A50)," ",'Q:\Abteilungsprojekte\eng\EngData\AOS\Allgemein\[LabSamples2025.xlsx]Bioplastic'!A50)</f>
        <v/>
      </c>
      <c r="B50">
        <f>IF(ISBLANK('Q:\Abteilungsprojekte\eng\EngData\AOS\Allgemein\[LabSamples2025.xlsx]Bioplastic'!B50)," ",'Q:\Abteilungsprojekte\eng\EngData\AOS\Allgemein\[LabSamples2025.xlsx]Bioplastic'!B50)</f>
        <v/>
      </c>
      <c r="C50">
        <f>IF(ISBLANK('Q:\Abteilungsprojekte\eng\EngData\AOS\Allgemein\[LabSamples2025.xlsx]Bioplastic'!C50)," ",'Q:\Abteilungsprojekte\eng\EngData\AOS\Allgemein\[LabSamples2025.xlsx]Bioplastic'!C50)</f>
        <v/>
      </c>
      <c r="D50">
        <f>IF(ISBLANK('Q:\Abteilungsprojekte\eng\EngData\AOS\Allgemein\[LabSamples2025.xlsx]Bioplastic'!D50)," ",'Q:\Abteilungsprojekte\eng\EngData\AOS\Allgemein\[LabSamples2025.xlsx]Bioplastic'!D50)</f>
        <v/>
      </c>
      <c r="E50">
        <f>IF(ISBLANK('Q:\Abteilungsprojekte\eng\EngData\AOS\Allgemein\[LabSamples2025.xlsx]Bioplastic'!E50)," ",'Q:\Abteilungsprojekte\eng\EngData\AOS\Allgemein\[LabSamples2025.xlsx]Bioplastic'!E50)</f>
        <v/>
      </c>
      <c r="F50">
        <f>IF(ISBLANK('Q:\Abteilungsprojekte\eng\EngData\AOS\Allgemein\[LabSamples2025.xlsx]Bioplastic'!F50)," ",'Q:\Abteilungsprojekte\eng\EngData\AOS\Allgemein\[LabSamples2025.xlsx]Bioplastic'!F50)</f>
        <v/>
      </c>
      <c r="G50">
        <f>IF(ISBLANK('Q:\Abteilungsprojekte\eng\EngData\AOS\Allgemein\[LabSamples2025.xlsx]Bioplastic'!G50)," ",'Q:\Abteilungsprojekte\eng\EngData\AOS\Allgemein\[LabSamples2025.xlsx]Bioplastic'!G50)</f>
        <v/>
      </c>
      <c r="H50">
        <f>IF(ISBLANK('Q:\Abteilungsprojekte\eng\EngData\AOS\Allgemein\[LabSamples2025.xlsx]Bioplastic'!H50)," ",'Q:\Abteilungsprojekte\eng\EngData\AOS\Allgemein\[LabSamples2025.xlsx]Bioplastic'!H50)</f>
        <v/>
      </c>
    </row>
    <row r="51">
      <c r="A51">
        <f>IF(ISBLANK('Q:\Abteilungsprojekte\eng\EngData\AOS\Allgemein\[LabSamples2025.xlsx]Bioplastic'!A51)," ",'Q:\Abteilungsprojekte\eng\EngData\AOS\Allgemein\[LabSamples2025.xlsx]Bioplastic'!A51)</f>
        <v/>
      </c>
      <c r="B51">
        <f>IF(ISBLANK('Q:\Abteilungsprojekte\eng\EngData\AOS\Allgemein\[LabSamples2025.xlsx]Bioplastic'!B51)," ",'Q:\Abteilungsprojekte\eng\EngData\AOS\Allgemein\[LabSamples2025.xlsx]Bioplastic'!B51)</f>
        <v/>
      </c>
      <c r="C51">
        <f>IF(ISBLANK('Q:\Abteilungsprojekte\eng\EngData\AOS\Allgemein\[LabSamples2025.xlsx]Bioplastic'!C51)," ",'Q:\Abteilungsprojekte\eng\EngData\AOS\Allgemein\[LabSamples2025.xlsx]Bioplastic'!C51)</f>
        <v/>
      </c>
      <c r="D51">
        <f>IF(ISBLANK('Q:\Abteilungsprojekte\eng\EngData\AOS\Allgemein\[LabSamples2025.xlsx]Bioplastic'!D51)," ",'Q:\Abteilungsprojekte\eng\EngData\AOS\Allgemein\[LabSamples2025.xlsx]Bioplastic'!D51)</f>
        <v/>
      </c>
      <c r="E51">
        <f>IF(ISBLANK('Q:\Abteilungsprojekte\eng\EngData\AOS\Allgemein\[LabSamples2025.xlsx]Bioplastic'!E51)," ",'Q:\Abteilungsprojekte\eng\EngData\AOS\Allgemein\[LabSamples2025.xlsx]Bioplastic'!E51)</f>
        <v/>
      </c>
      <c r="F51">
        <f>IF(ISBLANK('Q:\Abteilungsprojekte\eng\EngData\AOS\Allgemein\[LabSamples2025.xlsx]Bioplastic'!F51)," ",'Q:\Abteilungsprojekte\eng\EngData\AOS\Allgemein\[LabSamples2025.xlsx]Bioplastic'!F51)</f>
        <v/>
      </c>
      <c r="G51">
        <f>IF(ISBLANK('Q:\Abteilungsprojekte\eng\EngData\AOS\Allgemein\[LabSamples2025.xlsx]Bioplastic'!G51)," ",'Q:\Abteilungsprojekte\eng\EngData\AOS\Allgemein\[LabSamples2025.xlsx]Bioplastic'!G51)</f>
        <v/>
      </c>
      <c r="H51">
        <f>IF(ISBLANK('Q:\Abteilungsprojekte\eng\EngData\AOS\Allgemein\[LabSamples2025.xlsx]Bioplastic'!H51)," ",'Q:\Abteilungsprojekte\eng\EngData\AOS\Allgemein\[LabSamples2025.xlsx]Bioplastic'!H51)</f>
        <v/>
      </c>
    </row>
    <row r="52">
      <c r="A52">
        <f>IF(ISBLANK('Q:\Abteilungsprojekte\eng\EngData\AOS\Allgemein\[LabSamples2025.xlsx]Bioplastic'!A52)," ",'Q:\Abteilungsprojekte\eng\EngData\AOS\Allgemein\[LabSamples2025.xlsx]Bioplastic'!A52)</f>
        <v/>
      </c>
      <c r="B52">
        <f>IF(ISBLANK('Q:\Abteilungsprojekte\eng\EngData\AOS\Allgemein\[LabSamples2025.xlsx]Bioplastic'!B52)," ",'Q:\Abteilungsprojekte\eng\EngData\AOS\Allgemein\[LabSamples2025.xlsx]Bioplastic'!B52)</f>
        <v/>
      </c>
      <c r="C52">
        <f>IF(ISBLANK('Q:\Abteilungsprojekte\eng\EngData\AOS\Allgemein\[LabSamples2025.xlsx]Bioplastic'!C52)," ",'Q:\Abteilungsprojekte\eng\EngData\AOS\Allgemein\[LabSamples2025.xlsx]Bioplastic'!C52)</f>
        <v/>
      </c>
      <c r="D52">
        <f>IF(ISBLANK('Q:\Abteilungsprojekte\eng\EngData\AOS\Allgemein\[LabSamples2025.xlsx]Bioplastic'!D52)," ",'Q:\Abteilungsprojekte\eng\EngData\AOS\Allgemein\[LabSamples2025.xlsx]Bioplastic'!D52)</f>
        <v/>
      </c>
      <c r="E52">
        <f>IF(ISBLANK('Q:\Abteilungsprojekte\eng\EngData\AOS\Allgemein\[LabSamples2025.xlsx]Bioplastic'!E52)," ",'Q:\Abteilungsprojekte\eng\EngData\AOS\Allgemein\[LabSamples2025.xlsx]Bioplastic'!E52)</f>
        <v/>
      </c>
      <c r="F52">
        <f>IF(ISBLANK('Q:\Abteilungsprojekte\eng\EngData\AOS\Allgemein\[LabSamples2025.xlsx]Bioplastic'!F52)," ",'Q:\Abteilungsprojekte\eng\EngData\AOS\Allgemein\[LabSamples2025.xlsx]Bioplastic'!F52)</f>
        <v/>
      </c>
      <c r="G52">
        <f>IF(ISBLANK('Q:\Abteilungsprojekte\eng\EngData\AOS\Allgemein\[LabSamples2025.xlsx]Bioplastic'!G52)," ",'Q:\Abteilungsprojekte\eng\EngData\AOS\Allgemein\[LabSamples2025.xlsx]Bioplastic'!G52)</f>
        <v/>
      </c>
      <c r="H52">
        <f>IF(ISBLANK('Q:\Abteilungsprojekte\eng\EngData\AOS\Allgemein\[LabSamples2025.xlsx]Bioplastic'!H52)," ",'Q:\Abteilungsprojekte\eng\EngData\AOS\Allgemein\[LabSamples2025.xlsx]Bioplastic'!H52)</f>
        <v/>
      </c>
    </row>
    <row r="53">
      <c r="A53">
        <f>IF(ISBLANK('Q:\Abteilungsprojekte\eng\EngData\AOS\Allgemein\[LabSamples2025.xlsx]Bioplastic'!A53)," ",'Q:\Abteilungsprojekte\eng\EngData\AOS\Allgemein\[LabSamples2025.xlsx]Bioplastic'!A53)</f>
        <v/>
      </c>
      <c r="B53">
        <f>IF(ISBLANK('Q:\Abteilungsprojekte\eng\EngData\AOS\Allgemein\[LabSamples2025.xlsx]Bioplastic'!B53)," ",'Q:\Abteilungsprojekte\eng\EngData\AOS\Allgemein\[LabSamples2025.xlsx]Bioplastic'!B53)</f>
        <v/>
      </c>
      <c r="C53">
        <f>IF(ISBLANK('Q:\Abteilungsprojekte\eng\EngData\AOS\Allgemein\[LabSamples2025.xlsx]Bioplastic'!C53)," ",'Q:\Abteilungsprojekte\eng\EngData\AOS\Allgemein\[LabSamples2025.xlsx]Bioplastic'!C53)</f>
        <v/>
      </c>
      <c r="D53">
        <f>IF(ISBLANK('Q:\Abteilungsprojekte\eng\EngData\AOS\Allgemein\[LabSamples2025.xlsx]Bioplastic'!D53)," ",'Q:\Abteilungsprojekte\eng\EngData\AOS\Allgemein\[LabSamples2025.xlsx]Bioplastic'!D53)</f>
        <v/>
      </c>
      <c r="E53">
        <f>IF(ISBLANK('Q:\Abteilungsprojekte\eng\EngData\AOS\Allgemein\[LabSamples2025.xlsx]Bioplastic'!E53)," ",'Q:\Abteilungsprojekte\eng\EngData\AOS\Allgemein\[LabSamples2025.xlsx]Bioplastic'!E53)</f>
        <v/>
      </c>
      <c r="F53">
        <f>IF(ISBLANK('Q:\Abteilungsprojekte\eng\EngData\AOS\Allgemein\[LabSamples2025.xlsx]Bioplastic'!F53)," ",'Q:\Abteilungsprojekte\eng\EngData\AOS\Allgemein\[LabSamples2025.xlsx]Bioplastic'!F53)</f>
        <v/>
      </c>
      <c r="G53">
        <f>IF(ISBLANK('Q:\Abteilungsprojekte\eng\EngData\AOS\Allgemein\[LabSamples2025.xlsx]Bioplastic'!G53)," ",'Q:\Abteilungsprojekte\eng\EngData\AOS\Allgemein\[LabSamples2025.xlsx]Bioplastic'!G53)</f>
        <v/>
      </c>
      <c r="H53">
        <f>IF(ISBLANK('Q:\Abteilungsprojekte\eng\EngData\AOS\Allgemein\[LabSamples2025.xlsx]Bioplastic'!H53)," ",'Q:\Abteilungsprojekte\eng\EngData\AOS\Allgemein\[LabSamples2025.xlsx]Bioplastic'!H53)</f>
        <v/>
      </c>
    </row>
    <row r="54">
      <c r="A54">
        <f>IF(ISBLANK('Q:\Abteilungsprojekte\eng\EngData\AOS\Allgemein\[LabSamples2025.xlsx]Bioplastic'!A54)," ",'Q:\Abteilungsprojekte\eng\EngData\AOS\Allgemein\[LabSamples2025.xlsx]Bioplastic'!A54)</f>
        <v/>
      </c>
      <c r="B54">
        <f>IF(ISBLANK('Q:\Abteilungsprojekte\eng\EngData\AOS\Allgemein\[LabSamples2025.xlsx]Bioplastic'!B54)," ",'Q:\Abteilungsprojekte\eng\EngData\AOS\Allgemein\[LabSamples2025.xlsx]Bioplastic'!B54)</f>
        <v/>
      </c>
      <c r="C54">
        <f>IF(ISBLANK('Q:\Abteilungsprojekte\eng\EngData\AOS\Allgemein\[LabSamples2025.xlsx]Bioplastic'!C54)," ",'Q:\Abteilungsprojekte\eng\EngData\AOS\Allgemein\[LabSamples2025.xlsx]Bioplastic'!C54)</f>
        <v/>
      </c>
      <c r="D54">
        <f>IF(ISBLANK('Q:\Abteilungsprojekte\eng\EngData\AOS\Allgemein\[LabSamples2025.xlsx]Bioplastic'!D54)," ",'Q:\Abteilungsprojekte\eng\EngData\AOS\Allgemein\[LabSamples2025.xlsx]Bioplastic'!D54)</f>
        <v/>
      </c>
      <c r="E54">
        <f>IF(ISBLANK('Q:\Abteilungsprojekte\eng\EngData\AOS\Allgemein\[LabSamples2025.xlsx]Bioplastic'!E54)," ",'Q:\Abteilungsprojekte\eng\EngData\AOS\Allgemein\[LabSamples2025.xlsx]Bioplastic'!E54)</f>
        <v/>
      </c>
      <c r="F54">
        <f>IF(ISBLANK('Q:\Abteilungsprojekte\eng\EngData\AOS\Allgemein\[LabSamples2025.xlsx]Bioplastic'!F54)," ",'Q:\Abteilungsprojekte\eng\EngData\AOS\Allgemein\[LabSamples2025.xlsx]Bioplastic'!F54)</f>
        <v/>
      </c>
      <c r="G54">
        <f>IF(ISBLANK('Q:\Abteilungsprojekte\eng\EngData\AOS\Allgemein\[LabSamples2025.xlsx]Bioplastic'!G54)," ",'Q:\Abteilungsprojekte\eng\EngData\AOS\Allgemein\[LabSamples2025.xlsx]Bioplastic'!G54)</f>
        <v/>
      </c>
      <c r="H54">
        <f>IF(ISBLANK('Q:\Abteilungsprojekte\eng\EngData\AOS\Allgemein\[LabSamples2025.xlsx]Bioplastic'!H54)," ",'Q:\Abteilungsprojekte\eng\EngData\AOS\Allgemein\[LabSamples2025.xlsx]Bioplastic'!H54)</f>
        <v/>
      </c>
    </row>
    <row r="55">
      <c r="A55">
        <f>IF(ISBLANK('Q:\Abteilungsprojekte\eng\EngData\AOS\Allgemein\[LabSamples2025.xlsx]Bioplastic'!A55)," ",'Q:\Abteilungsprojekte\eng\EngData\AOS\Allgemein\[LabSamples2025.xlsx]Bioplastic'!A55)</f>
        <v/>
      </c>
      <c r="B55">
        <f>IF(ISBLANK('Q:\Abteilungsprojekte\eng\EngData\AOS\Allgemein\[LabSamples2025.xlsx]Bioplastic'!B55)," ",'Q:\Abteilungsprojekte\eng\EngData\AOS\Allgemein\[LabSamples2025.xlsx]Bioplastic'!B55)</f>
        <v/>
      </c>
      <c r="C55">
        <f>IF(ISBLANK('Q:\Abteilungsprojekte\eng\EngData\AOS\Allgemein\[LabSamples2025.xlsx]Bioplastic'!C55)," ",'Q:\Abteilungsprojekte\eng\EngData\AOS\Allgemein\[LabSamples2025.xlsx]Bioplastic'!C55)</f>
        <v/>
      </c>
      <c r="D55">
        <f>IF(ISBLANK('Q:\Abteilungsprojekte\eng\EngData\AOS\Allgemein\[LabSamples2025.xlsx]Bioplastic'!D55)," ",'Q:\Abteilungsprojekte\eng\EngData\AOS\Allgemein\[LabSamples2025.xlsx]Bioplastic'!D55)</f>
        <v/>
      </c>
      <c r="E55">
        <f>IF(ISBLANK('Q:\Abteilungsprojekte\eng\EngData\AOS\Allgemein\[LabSamples2025.xlsx]Bioplastic'!E55)," ",'Q:\Abteilungsprojekte\eng\EngData\AOS\Allgemein\[LabSamples2025.xlsx]Bioplastic'!E55)</f>
        <v/>
      </c>
      <c r="F55">
        <f>IF(ISBLANK('Q:\Abteilungsprojekte\eng\EngData\AOS\Allgemein\[LabSamples2025.xlsx]Bioplastic'!F55)," ",'Q:\Abteilungsprojekte\eng\EngData\AOS\Allgemein\[LabSamples2025.xlsx]Bioplastic'!F55)</f>
        <v/>
      </c>
      <c r="G55">
        <f>IF(ISBLANK('Q:\Abteilungsprojekte\eng\EngData\AOS\Allgemein\[LabSamples2025.xlsx]Bioplastic'!G55)," ",'Q:\Abteilungsprojekte\eng\EngData\AOS\Allgemein\[LabSamples2025.xlsx]Bioplastic'!G55)</f>
        <v/>
      </c>
      <c r="H55">
        <f>IF(ISBLANK('Q:\Abteilungsprojekte\eng\EngData\AOS\Allgemein\[LabSamples2025.xlsx]Bioplastic'!H55)," ",'Q:\Abteilungsprojekte\eng\EngData\AOS\Allgemein\[LabSamples2025.xlsx]Bioplastic'!H55)</f>
        <v/>
      </c>
    </row>
    <row r="56">
      <c r="A56">
        <f>IF(ISBLANK('Q:\Abteilungsprojekte\eng\EngData\AOS\Allgemein\[LabSamples2025.xlsx]Bioplastic'!A56)," ",'Q:\Abteilungsprojekte\eng\EngData\AOS\Allgemein\[LabSamples2025.xlsx]Bioplastic'!A56)</f>
        <v/>
      </c>
      <c r="B56">
        <f>IF(ISBLANK('Q:\Abteilungsprojekte\eng\EngData\AOS\Allgemein\[LabSamples2025.xlsx]Bioplastic'!B56)," ",'Q:\Abteilungsprojekte\eng\EngData\AOS\Allgemein\[LabSamples2025.xlsx]Bioplastic'!B56)</f>
        <v/>
      </c>
      <c r="C56">
        <f>IF(ISBLANK('Q:\Abteilungsprojekte\eng\EngData\AOS\Allgemein\[LabSamples2025.xlsx]Bioplastic'!C56)," ",'Q:\Abteilungsprojekte\eng\EngData\AOS\Allgemein\[LabSamples2025.xlsx]Bioplastic'!C56)</f>
        <v/>
      </c>
      <c r="D56">
        <f>IF(ISBLANK('Q:\Abteilungsprojekte\eng\EngData\AOS\Allgemein\[LabSamples2025.xlsx]Bioplastic'!D56)," ",'Q:\Abteilungsprojekte\eng\EngData\AOS\Allgemein\[LabSamples2025.xlsx]Bioplastic'!D56)</f>
        <v/>
      </c>
      <c r="E56">
        <f>IF(ISBLANK('Q:\Abteilungsprojekte\eng\EngData\AOS\Allgemein\[LabSamples2025.xlsx]Bioplastic'!E56)," ",'Q:\Abteilungsprojekte\eng\EngData\AOS\Allgemein\[LabSamples2025.xlsx]Bioplastic'!E56)</f>
        <v/>
      </c>
      <c r="F56">
        <f>IF(ISBLANK('Q:\Abteilungsprojekte\eng\EngData\AOS\Allgemein\[LabSamples2025.xlsx]Bioplastic'!F56)," ",'Q:\Abteilungsprojekte\eng\EngData\AOS\Allgemein\[LabSamples2025.xlsx]Bioplastic'!F56)</f>
        <v/>
      </c>
      <c r="G56">
        <f>IF(ISBLANK('Q:\Abteilungsprojekte\eng\EngData\AOS\Allgemein\[LabSamples2025.xlsx]Bioplastic'!G56)," ",'Q:\Abteilungsprojekte\eng\EngData\AOS\Allgemein\[LabSamples2025.xlsx]Bioplastic'!G56)</f>
        <v/>
      </c>
      <c r="H56">
        <f>IF(ISBLANK('Q:\Abteilungsprojekte\eng\EngData\AOS\Allgemein\[LabSamples2025.xlsx]Bioplastic'!H56)," ",'Q:\Abteilungsprojekte\eng\EngData\AOS\Allgemein\[LabSamples2025.xlsx]Bioplastic'!H56)</f>
        <v/>
      </c>
    </row>
    <row r="57">
      <c r="A57">
        <f>IF(ISBLANK('Q:\Abteilungsprojekte\eng\EngData\AOS\Allgemein\[LabSamples2025.xlsx]Bioplastic'!A57)," ",'Q:\Abteilungsprojekte\eng\EngData\AOS\Allgemein\[LabSamples2025.xlsx]Bioplastic'!A57)</f>
        <v/>
      </c>
      <c r="B57">
        <f>IF(ISBLANK('Q:\Abteilungsprojekte\eng\EngData\AOS\Allgemein\[LabSamples2025.xlsx]Bioplastic'!B57)," ",'Q:\Abteilungsprojekte\eng\EngData\AOS\Allgemein\[LabSamples2025.xlsx]Bioplastic'!B57)</f>
        <v/>
      </c>
      <c r="C57">
        <f>IF(ISBLANK('Q:\Abteilungsprojekte\eng\EngData\AOS\Allgemein\[LabSamples2025.xlsx]Bioplastic'!C57)," ",'Q:\Abteilungsprojekte\eng\EngData\AOS\Allgemein\[LabSamples2025.xlsx]Bioplastic'!C57)</f>
        <v/>
      </c>
      <c r="D57">
        <f>IF(ISBLANK('Q:\Abteilungsprojekte\eng\EngData\AOS\Allgemein\[LabSamples2025.xlsx]Bioplastic'!D57)," ",'Q:\Abteilungsprojekte\eng\EngData\AOS\Allgemein\[LabSamples2025.xlsx]Bioplastic'!D57)</f>
        <v/>
      </c>
      <c r="E57">
        <f>IF(ISBLANK('Q:\Abteilungsprojekte\eng\EngData\AOS\Allgemein\[LabSamples2025.xlsx]Bioplastic'!E57)," ",'Q:\Abteilungsprojekte\eng\EngData\AOS\Allgemein\[LabSamples2025.xlsx]Bioplastic'!E57)</f>
        <v/>
      </c>
      <c r="F57">
        <f>IF(ISBLANK('Q:\Abteilungsprojekte\eng\EngData\AOS\Allgemein\[LabSamples2025.xlsx]Bioplastic'!F57)," ",'Q:\Abteilungsprojekte\eng\EngData\AOS\Allgemein\[LabSamples2025.xlsx]Bioplastic'!F57)</f>
        <v/>
      </c>
      <c r="G57">
        <f>IF(ISBLANK('Q:\Abteilungsprojekte\eng\EngData\AOS\Allgemein\[LabSamples2025.xlsx]Bioplastic'!G57)," ",'Q:\Abteilungsprojekte\eng\EngData\AOS\Allgemein\[LabSamples2025.xlsx]Bioplastic'!G57)</f>
        <v/>
      </c>
      <c r="H57">
        <f>IF(ISBLANK('Q:\Abteilungsprojekte\eng\EngData\AOS\Allgemein\[LabSamples2025.xlsx]Bioplastic'!H57)," ",'Q:\Abteilungsprojekte\eng\EngData\AOS\Allgemein\[LabSamples2025.xlsx]Bioplastic'!H57)</f>
        <v/>
      </c>
    </row>
    <row r="58">
      <c r="A58">
        <f>IF(ISBLANK('Q:\Abteilungsprojekte\eng\EngData\AOS\Allgemein\[LabSamples2025.xlsx]Bioplastic'!A58)," ",'Q:\Abteilungsprojekte\eng\EngData\AOS\Allgemein\[LabSamples2025.xlsx]Bioplastic'!A58)</f>
        <v/>
      </c>
      <c r="B58">
        <f>IF(ISBLANK('Q:\Abteilungsprojekte\eng\EngData\AOS\Allgemein\[LabSamples2025.xlsx]Bioplastic'!B58)," ",'Q:\Abteilungsprojekte\eng\EngData\AOS\Allgemein\[LabSamples2025.xlsx]Bioplastic'!B58)</f>
        <v/>
      </c>
      <c r="C58">
        <f>IF(ISBLANK('Q:\Abteilungsprojekte\eng\EngData\AOS\Allgemein\[LabSamples2025.xlsx]Bioplastic'!C58)," ",'Q:\Abteilungsprojekte\eng\EngData\AOS\Allgemein\[LabSamples2025.xlsx]Bioplastic'!C58)</f>
        <v/>
      </c>
      <c r="D58">
        <f>IF(ISBLANK('Q:\Abteilungsprojekte\eng\EngData\AOS\Allgemein\[LabSamples2025.xlsx]Bioplastic'!D58)," ",'Q:\Abteilungsprojekte\eng\EngData\AOS\Allgemein\[LabSamples2025.xlsx]Bioplastic'!D58)</f>
        <v/>
      </c>
      <c r="E58">
        <f>IF(ISBLANK('Q:\Abteilungsprojekte\eng\EngData\AOS\Allgemein\[LabSamples2025.xlsx]Bioplastic'!E58)," ",'Q:\Abteilungsprojekte\eng\EngData\AOS\Allgemein\[LabSamples2025.xlsx]Bioplastic'!E58)</f>
        <v/>
      </c>
      <c r="F58">
        <f>IF(ISBLANK('Q:\Abteilungsprojekte\eng\EngData\AOS\Allgemein\[LabSamples2025.xlsx]Bioplastic'!F58)," ",'Q:\Abteilungsprojekte\eng\EngData\AOS\Allgemein\[LabSamples2025.xlsx]Bioplastic'!F58)</f>
        <v/>
      </c>
      <c r="G58">
        <f>IF(ISBLANK('Q:\Abteilungsprojekte\eng\EngData\AOS\Allgemein\[LabSamples2025.xlsx]Bioplastic'!G58)," ",'Q:\Abteilungsprojekte\eng\EngData\AOS\Allgemein\[LabSamples2025.xlsx]Bioplastic'!G58)</f>
        <v/>
      </c>
      <c r="H58">
        <f>IF(ISBLANK('Q:\Abteilungsprojekte\eng\EngData\AOS\Allgemein\[LabSamples2025.xlsx]Bioplastic'!H58)," ",'Q:\Abteilungsprojekte\eng\EngData\AOS\Allgemein\[LabSamples2025.xlsx]Bioplastic'!H58)</f>
        <v/>
      </c>
    </row>
    <row r="59">
      <c r="A59">
        <f>IF(ISBLANK('Q:\Abteilungsprojekte\eng\EngData\AOS\Allgemein\[LabSamples2025.xlsx]Bioplastic'!A59)," ",'Q:\Abteilungsprojekte\eng\EngData\AOS\Allgemein\[LabSamples2025.xlsx]Bioplastic'!A59)</f>
        <v/>
      </c>
      <c r="B59">
        <f>IF(ISBLANK('Q:\Abteilungsprojekte\eng\EngData\AOS\Allgemein\[LabSamples2025.xlsx]Bioplastic'!B59)," ",'Q:\Abteilungsprojekte\eng\EngData\AOS\Allgemein\[LabSamples2025.xlsx]Bioplastic'!B59)</f>
        <v/>
      </c>
      <c r="C59">
        <f>IF(ISBLANK('Q:\Abteilungsprojekte\eng\EngData\AOS\Allgemein\[LabSamples2025.xlsx]Bioplastic'!C59)," ",'Q:\Abteilungsprojekte\eng\EngData\AOS\Allgemein\[LabSamples2025.xlsx]Bioplastic'!C59)</f>
        <v/>
      </c>
      <c r="D59">
        <f>IF(ISBLANK('Q:\Abteilungsprojekte\eng\EngData\AOS\Allgemein\[LabSamples2025.xlsx]Bioplastic'!D59)," ",'Q:\Abteilungsprojekte\eng\EngData\AOS\Allgemein\[LabSamples2025.xlsx]Bioplastic'!D59)</f>
        <v/>
      </c>
      <c r="E59">
        <f>IF(ISBLANK('Q:\Abteilungsprojekte\eng\EngData\AOS\Allgemein\[LabSamples2025.xlsx]Bioplastic'!E59)," ",'Q:\Abteilungsprojekte\eng\EngData\AOS\Allgemein\[LabSamples2025.xlsx]Bioplastic'!E59)</f>
        <v/>
      </c>
      <c r="F59">
        <f>IF(ISBLANK('Q:\Abteilungsprojekte\eng\EngData\AOS\Allgemein\[LabSamples2025.xlsx]Bioplastic'!F59)," ",'Q:\Abteilungsprojekte\eng\EngData\AOS\Allgemein\[LabSamples2025.xlsx]Bioplastic'!F59)</f>
        <v/>
      </c>
      <c r="G59">
        <f>IF(ISBLANK('Q:\Abteilungsprojekte\eng\EngData\AOS\Allgemein\[LabSamples2025.xlsx]Bioplastic'!G59)," ",'Q:\Abteilungsprojekte\eng\EngData\AOS\Allgemein\[LabSamples2025.xlsx]Bioplastic'!G59)</f>
        <v/>
      </c>
      <c r="H59">
        <f>IF(ISBLANK('Q:\Abteilungsprojekte\eng\EngData\AOS\Allgemein\[LabSamples2025.xlsx]Bioplastic'!H59)," ",'Q:\Abteilungsprojekte\eng\EngData\AOS\Allgemein\[LabSamples2025.xlsx]Bioplastic'!H59)</f>
        <v/>
      </c>
    </row>
    <row r="60">
      <c r="A60">
        <f>IF(ISBLANK('Q:\Abteilungsprojekte\eng\EngData\AOS\Allgemein\[LabSamples2025.xlsx]Bioplastic'!A60)," ",'Q:\Abteilungsprojekte\eng\EngData\AOS\Allgemein\[LabSamples2025.xlsx]Bioplastic'!A60)</f>
        <v/>
      </c>
      <c r="B60">
        <f>IF(ISBLANK('Q:\Abteilungsprojekte\eng\EngData\AOS\Allgemein\[LabSamples2025.xlsx]Bioplastic'!B60)," ",'Q:\Abteilungsprojekte\eng\EngData\AOS\Allgemein\[LabSamples2025.xlsx]Bioplastic'!B60)</f>
        <v/>
      </c>
      <c r="C60">
        <f>IF(ISBLANK('Q:\Abteilungsprojekte\eng\EngData\AOS\Allgemein\[LabSamples2025.xlsx]Bioplastic'!C60)," ",'Q:\Abteilungsprojekte\eng\EngData\AOS\Allgemein\[LabSamples2025.xlsx]Bioplastic'!C60)</f>
        <v/>
      </c>
      <c r="D60">
        <f>IF(ISBLANK('Q:\Abteilungsprojekte\eng\EngData\AOS\Allgemein\[LabSamples2025.xlsx]Bioplastic'!D60)," ",'Q:\Abteilungsprojekte\eng\EngData\AOS\Allgemein\[LabSamples2025.xlsx]Bioplastic'!D60)</f>
        <v/>
      </c>
      <c r="E60">
        <f>IF(ISBLANK('Q:\Abteilungsprojekte\eng\EngData\AOS\Allgemein\[LabSamples2025.xlsx]Bioplastic'!E60)," ",'Q:\Abteilungsprojekte\eng\EngData\AOS\Allgemein\[LabSamples2025.xlsx]Bioplastic'!E60)</f>
        <v/>
      </c>
      <c r="F60">
        <f>IF(ISBLANK('Q:\Abteilungsprojekte\eng\EngData\AOS\Allgemein\[LabSamples2025.xlsx]Bioplastic'!F60)," ",'Q:\Abteilungsprojekte\eng\EngData\AOS\Allgemein\[LabSamples2025.xlsx]Bioplastic'!F60)</f>
        <v/>
      </c>
      <c r="G60">
        <f>IF(ISBLANK('Q:\Abteilungsprojekte\eng\EngData\AOS\Allgemein\[LabSamples2025.xlsx]Bioplastic'!G60)," ",'Q:\Abteilungsprojekte\eng\EngData\AOS\Allgemein\[LabSamples2025.xlsx]Bioplastic'!G60)</f>
        <v/>
      </c>
      <c r="H60">
        <f>IF(ISBLANK('Q:\Abteilungsprojekte\eng\EngData\AOS\Allgemein\[LabSamples2025.xlsx]Bioplastic'!H60)," ",'Q:\Abteilungsprojekte\eng\EngData\AOS\Allgemein\[LabSamples2025.xlsx]Bioplastic'!H60)</f>
        <v/>
      </c>
    </row>
    <row r="61">
      <c r="A61">
        <f>IF(ISBLANK('Q:\Abteilungsprojekte\eng\EngData\AOS\Allgemein\[LabSamples2025.xlsx]Bioplastic'!A61)," ",'Q:\Abteilungsprojekte\eng\EngData\AOS\Allgemein\[LabSamples2025.xlsx]Bioplastic'!A61)</f>
        <v/>
      </c>
      <c r="B61">
        <f>IF(ISBLANK('Q:\Abteilungsprojekte\eng\EngData\AOS\Allgemein\[LabSamples2025.xlsx]Bioplastic'!B61)," ",'Q:\Abteilungsprojekte\eng\EngData\AOS\Allgemein\[LabSamples2025.xlsx]Bioplastic'!B61)</f>
        <v/>
      </c>
      <c r="C61">
        <f>IF(ISBLANK('Q:\Abteilungsprojekte\eng\EngData\AOS\Allgemein\[LabSamples2025.xlsx]Bioplastic'!C61)," ",'Q:\Abteilungsprojekte\eng\EngData\AOS\Allgemein\[LabSamples2025.xlsx]Bioplastic'!C61)</f>
        <v/>
      </c>
      <c r="D61">
        <f>IF(ISBLANK('Q:\Abteilungsprojekte\eng\EngData\AOS\Allgemein\[LabSamples2025.xlsx]Bioplastic'!D61)," ",'Q:\Abteilungsprojekte\eng\EngData\AOS\Allgemein\[LabSamples2025.xlsx]Bioplastic'!D61)</f>
        <v/>
      </c>
      <c r="E61">
        <f>IF(ISBLANK('Q:\Abteilungsprojekte\eng\EngData\AOS\Allgemein\[LabSamples2025.xlsx]Bioplastic'!E61)," ",'Q:\Abteilungsprojekte\eng\EngData\AOS\Allgemein\[LabSamples2025.xlsx]Bioplastic'!E61)</f>
        <v/>
      </c>
      <c r="F61">
        <f>IF(ISBLANK('Q:\Abteilungsprojekte\eng\EngData\AOS\Allgemein\[LabSamples2025.xlsx]Bioplastic'!F61)," ",'Q:\Abteilungsprojekte\eng\EngData\AOS\Allgemein\[LabSamples2025.xlsx]Bioplastic'!F61)</f>
        <v/>
      </c>
      <c r="G61">
        <f>IF(ISBLANK('Q:\Abteilungsprojekte\eng\EngData\AOS\Allgemein\[LabSamples2025.xlsx]Bioplastic'!G61)," ",'Q:\Abteilungsprojekte\eng\EngData\AOS\Allgemein\[LabSamples2025.xlsx]Bioplastic'!G61)</f>
        <v/>
      </c>
      <c r="H61">
        <f>IF(ISBLANK('Q:\Abteilungsprojekte\eng\EngData\AOS\Allgemein\[LabSamples2025.xlsx]Bioplastic'!H61)," ",'Q:\Abteilungsprojekte\eng\EngData\AOS\Allgemein\[LabSamples2025.xlsx]Bioplastic'!H61)</f>
        <v/>
      </c>
    </row>
    <row r="62">
      <c r="A62">
        <f>IF(ISBLANK('Q:\Abteilungsprojekte\eng\EngData\AOS\Allgemein\[LabSamples2025.xlsx]Bioplastic'!A62)," ",'Q:\Abteilungsprojekte\eng\EngData\AOS\Allgemein\[LabSamples2025.xlsx]Bioplastic'!A62)</f>
        <v/>
      </c>
      <c r="B62">
        <f>IF(ISBLANK('Q:\Abteilungsprojekte\eng\EngData\AOS\Allgemein\[LabSamples2025.xlsx]Bioplastic'!B62)," ",'Q:\Abteilungsprojekte\eng\EngData\AOS\Allgemein\[LabSamples2025.xlsx]Bioplastic'!B62)</f>
        <v/>
      </c>
      <c r="C62">
        <f>IF(ISBLANK('Q:\Abteilungsprojekte\eng\EngData\AOS\Allgemein\[LabSamples2025.xlsx]Bioplastic'!C62)," ",'Q:\Abteilungsprojekte\eng\EngData\AOS\Allgemein\[LabSamples2025.xlsx]Bioplastic'!C62)</f>
        <v/>
      </c>
      <c r="D62">
        <f>IF(ISBLANK('Q:\Abteilungsprojekte\eng\EngData\AOS\Allgemein\[LabSamples2025.xlsx]Bioplastic'!D62)," ",'Q:\Abteilungsprojekte\eng\EngData\AOS\Allgemein\[LabSamples2025.xlsx]Bioplastic'!D62)</f>
        <v/>
      </c>
      <c r="E62">
        <f>IF(ISBLANK('Q:\Abteilungsprojekte\eng\EngData\AOS\Allgemein\[LabSamples2025.xlsx]Bioplastic'!E62)," ",'Q:\Abteilungsprojekte\eng\EngData\AOS\Allgemein\[LabSamples2025.xlsx]Bioplastic'!E62)</f>
        <v/>
      </c>
      <c r="F62">
        <f>IF(ISBLANK('Q:\Abteilungsprojekte\eng\EngData\AOS\Allgemein\[LabSamples2025.xlsx]Bioplastic'!F62)," ",'Q:\Abteilungsprojekte\eng\EngData\AOS\Allgemein\[LabSamples2025.xlsx]Bioplastic'!F62)</f>
        <v/>
      </c>
      <c r="G62">
        <f>IF(ISBLANK('Q:\Abteilungsprojekte\eng\EngData\AOS\Allgemein\[LabSamples2025.xlsx]Bioplastic'!G62)," ",'Q:\Abteilungsprojekte\eng\EngData\AOS\Allgemein\[LabSamples2025.xlsx]Bioplastic'!G62)</f>
        <v/>
      </c>
      <c r="H62">
        <f>IF(ISBLANK('Q:\Abteilungsprojekte\eng\EngData\AOS\Allgemein\[LabSamples2025.xlsx]Bioplastic'!H62)," ",'Q:\Abteilungsprojekte\eng\EngData\AOS\Allgemein\[LabSamples2025.xlsx]Bioplastic'!H62)</f>
        <v/>
      </c>
    </row>
    <row r="63">
      <c r="A63">
        <f>IF(ISBLANK('Q:\Abteilungsprojekte\eng\EngData\AOS\Allgemein\[LabSamples2025.xlsx]Bioplastic'!A63)," ",'Q:\Abteilungsprojekte\eng\EngData\AOS\Allgemein\[LabSamples2025.xlsx]Bioplastic'!A63)</f>
        <v/>
      </c>
      <c r="B63">
        <f>IF(ISBLANK('Q:\Abteilungsprojekte\eng\EngData\AOS\Allgemein\[LabSamples2025.xlsx]Bioplastic'!B63)," ",'Q:\Abteilungsprojekte\eng\EngData\AOS\Allgemein\[LabSamples2025.xlsx]Bioplastic'!B63)</f>
        <v/>
      </c>
      <c r="C63">
        <f>IF(ISBLANK('Q:\Abteilungsprojekte\eng\EngData\AOS\Allgemein\[LabSamples2025.xlsx]Bioplastic'!C63)," ",'Q:\Abteilungsprojekte\eng\EngData\AOS\Allgemein\[LabSamples2025.xlsx]Bioplastic'!C63)</f>
        <v/>
      </c>
      <c r="D63">
        <f>IF(ISBLANK('Q:\Abteilungsprojekte\eng\EngData\AOS\Allgemein\[LabSamples2025.xlsx]Bioplastic'!D63)," ",'Q:\Abteilungsprojekte\eng\EngData\AOS\Allgemein\[LabSamples2025.xlsx]Bioplastic'!D63)</f>
        <v/>
      </c>
      <c r="E63">
        <f>IF(ISBLANK('Q:\Abteilungsprojekte\eng\EngData\AOS\Allgemein\[LabSamples2025.xlsx]Bioplastic'!E63)," ",'Q:\Abteilungsprojekte\eng\EngData\AOS\Allgemein\[LabSamples2025.xlsx]Bioplastic'!E63)</f>
        <v/>
      </c>
      <c r="F63">
        <f>IF(ISBLANK('Q:\Abteilungsprojekte\eng\EngData\AOS\Allgemein\[LabSamples2025.xlsx]Bioplastic'!F63)," ",'Q:\Abteilungsprojekte\eng\EngData\AOS\Allgemein\[LabSamples2025.xlsx]Bioplastic'!F63)</f>
        <v/>
      </c>
      <c r="G63">
        <f>IF(ISBLANK('Q:\Abteilungsprojekte\eng\EngData\AOS\Allgemein\[LabSamples2025.xlsx]Bioplastic'!G63)," ",'Q:\Abteilungsprojekte\eng\EngData\AOS\Allgemein\[LabSamples2025.xlsx]Bioplastic'!G63)</f>
        <v/>
      </c>
      <c r="H63">
        <f>IF(ISBLANK('Q:\Abteilungsprojekte\eng\EngData\AOS\Allgemein\[LabSamples2025.xlsx]Bioplastic'!H63)," ",'Q:\Abteilungsprojekte\eng\EngData\AOS\Allgemein\[LabSamples2025.xlsx]Bioplastic'!H63)</f>
        <v/>
      </c>
    </row>
    <row r="64">
      <c r="A64">
        <f>IF(ISBLANK('Q:\Abteilungsprojekte\eng\EngData\AOS\Allgemein\[LabSamples2025.xlsx]Bioplastic'!A64)," ",'Q:\Abteilungsprojekte\eng\EngData\AOS\Allgemein\[LabSamples2025.xlsx]Bioplastic'!A64)</f>
        <v/>
      </c>
      <c r="B64">
        <f>IF(ISBLANK('Q:\Abteilungsprojekte\eng\EngData\AOS\Allgemein\[LabSamples2025.xlsx]Bioplastic'!B64)," ",'Q:\Abteilungsprojekte\eng\EngData\AOS\Allgemein\[LabSamples2025.xlsx]Bioplastic'!B64)</f>
        <v/>
      </c>
      <c r="C64">
        <f>IF(ISBLANK('Q:\Abteilungsprojekte\eng\EngData\AOS\Allgemein\[LabSamples2025.xlsx]Bioplastic'!C64)," ",'Q:\Abteilungsprojekte\eng\EngData\AOS\Allgemein\[LabSamples2025.xlsx]Bioplastic'!C64)</f>
        <v/>
      </c>
      <c r="D64">
        <f>IF(ISBLANK('Q:\Abteilungsprojekte\eng\EngData\AOS\Allgemein\[LabSamples2025.xlsx]Bioplastic'!D64)," ",'Q:\Abteilungsprojekte\eng\EngData\AOS\Allgemein\[LabSamples2025.xlsx]Bioplastic'!D64)</f>
        <v/>
      </c>
      <c r="E64">
        <f>IF(ISBLANK('Q:\Abteilungsprojekte\eng\EngData\AOS\Allgemein\[LabSamples2025.xlsx]Bioplastic'!E64)," ",'Q:\Abteilungsprojekte\eng\EngData\AOS\Allgemein\[LabSamples2025.xlsx]Bioplastic'!E64)</f>
        <v/>
      </c>
      <c r="F64">
        <f>IF(ISBLANK('Q:\Abteilungsprojekte\eng\EngData\AOS\Allgemein\[LabSamples2025.xlsx]Bioplastic'!F64)," ",'Q:\Abteilungsprojekte\eng\EngData\AOS\Allgemein\[LabSamples2025.xlsx]Bioplastic'!F64)</f>
        <v/>
      </c>
      <c r="G64">
        <f>IF(ISBLANK('Q:\Abteilungsprojekte\eng\EngData\AOS\Allgemein\[LabSamples2025.xlsx]Bioplastic'!G64)," ",'Q:\Abteilungsprojekte\eng\EngData\AOS\Allgemein\[LabSamples2025.xlsx]Bioplastic'!G64)</f>
        <v/>
      </c>
      <c r="H64">
        <f>IF(ISBLANK('Q:\Abteilungsprojekte\eng\EngData\AOS\Allgemein\[LabSamples2025.xlsx]Bioplastic'!H64)," ",'Q:\Abteilungsprojekte\eng\EngData\AOS\Allgemein\[LabSamples2025.xlsx]Bioplastic'!H64)</f>
        <v/>
      </c>
    </row>
    <row r="65">
      <c r="A65">
        <f>IF(ISBLANK('Q:\Abteilungsprojekte\eng\EngData\AOS\Allgemein\[LabSamples2025.xlsx]Bioplastic'!A65)," ",'Q:\Abteilungsprojekte\eng\EngData\AOS\Allgemein\[LabSamples2025.xlsx]Bioplastic'!A65)</f>
        <v/>
      </c>
      <c r="B65">
        <f>IF(ISBLANK('Q:\Abteilungsprojekte\eng\EngData\AOS\Allgemein\[LabSamples2025.xlsx]Bioplastic'!B65)," ",'Q:\Abteilungsprojekte\eng\EngData\AOS\Allgemein\[LabSamples2025.xlsx]Bioplastic'!B65)</f>
        <v/>
      </c>
      <c r="C65">
        <f>IF(ISBLANK('Q:\Abteilungsprojekte\eng\EngData\AOS\Allgemein\[LabSamples2025.xlsx]Bioplastic'!C65)," ",'Q:\Abteilungsprojekte\eng\EngData\AOS\Allgemein\[LabSamples2025.xlsx]Bioplastic'!C65)</f>
        <v/>
      </c>
      <c r="D65">
        <f>IF(ISBLANK('Q:\Abteilungsprojekte\eng\EngData\AOS\Allgemein\[LabSamples2025.xlsx]Bioplastic'!D65)," ",'Q:\Abteilungsprojekte\eng\EngData\AOS\Allgemein\[LabSamples2025.xlsx]Bioplastic'!D65)</f>
        <v/>
      </c>
      <c r="E65">
        <f>IF(ISBLANK('Q:\Abteilungsprojekte\eng\EngData\AOS\Allgemein\[LabSamples2025.xlsx]Bioplastic'!E65)," ",'Q:\Abteilungsprojekte\eng\EngData\AOS\Allgemein\[LabSamples2025.xlsx]Bioplastic'!E65)</f>
        <v/>
      </c>
      <c r="F65">
        <f>IF(ISBLANK('Q:\Abteilungsprojekte\eng\EngData\AOS\Allgemein\[LabSamples2025.xlsx]Bioplastic'!F65)," ",'Q:\Abteilungsprojekte\eng\EngData\AOS\Allgemein\[LabSamples2025.xlsx]Bioplastic'!F65)</f>
        <v/>
      </c>
      <c r="G65">
        <f>IF(ISBLANK('Q:\Abteilungsprojekte\eng\EngData\AOS\Allgemein\[LabSamples2025.xlsx]Bioplastic'!G65)," ",'Q:\Abteilungsprojekte\eng\EngData\AOS\Allgemein\[LabSamples2025.xlsx]Bioplastic'!G65)</f>
        <v/>
      </c>
      <c r="H65">
        <f>IF(ISBLANK('Q:\Abteilungsprojekte\eng\EngData\AOS\Allgemein\[LabSamples2025.xlsx]Bioplastic'!H65)," ",'Q:\Abteilungsprojekte\eng\EngData\AOS\Allgemein\[LabSamples2025.xlsx]Bioplastic'!H65)</f>
        <v/>
      </c>
    </row>
    <row r="66">
      <c r="A66">
        <f>IF(ISBLANK('Q:\Abteilungsprojekte\eng\EngData\AOS\Allgemein\[LabSamples2025.xlsx]Bioplastic'!A66)," ",'Q:\Abteilungsprojekte\eng\EngData\AOS\Allgemein\[LabSamples2025.xlsx]Bioplastic'!A66)</f>
        <v/>
      </c>
      <c r="B66">
        <f>IF(ISBLANK('Q:\Abteilungsprojekte\eng\EngData\AOS\Allgemein\[LabSamples2025.xlsx]Bioplastic'!B66)," ",'Q:\Abteilungsprojekte\eng\EngData\AOS\Allgemein\[LabSamples2025.xlsx]Bioplastic'!B66)</f>
        <v/>
      </c>
      <c r="C66">
        <f>IF(ISBLANK('Q:\Abteilungsprojekte\eng\EngData\AOS\Allgemein\[LabSamples2025.xlsx]Bioplastic'!C66)," ",'Q:\Abteilungsprojekte\eng\EngData\AOS\Allgemein\[LabSamples2025.xlsx]Bioplastic'!C66)</f>
        <v/>
      </c>
      <c r="D66">
        <f>IF(ISBLANK('Q:\Abteilungsprojekte\eng\EngData\AOS\Allgemein\[LabSamples2025.xlsx]Bioplastic'!D66)," ",'Q:\Abteilungsprojekte\eng\EngData\AOS\Allgemein\[LabSamples2025.xlsx]Bioplastic'!D66)</f>
        <v/>
      </c>
      <c r="E66">
        <f>IF(ISBLANK('Q:\Abteilungsprojekte\eng\EngData\AOS\Allgemein\[LabSamples2025.xlsx]Bioplastic'!E66)," ",'Q:\Abteilungsprojekte\eng\EngData\AOS\Allgemein\[LabSamples2025.xlsx]Bioplastic'!E66)</f>
        <v/>
      </c>
      <c r="F66">
        <f>IF(ISBLANK('Q:\Abteilungsprojekte\eng\EngData\AOS\Allgemein\[LabSamples2025.xlsx]Bioplastic'!F66)," ",'Q:\Abteilungsprojekte\eng\EngData\AOS\Allgemein\[LabSamples2025.xlsx]Bioplastic'!F66)</f>
        <v/>
      </c>
      <c r="G66">
        <f>IF(ISBLANK('Q:\Abteilungsprojekte\eng\EngData\AOS\Allgemein\[LabSamples2025.xlsx]Bioplastic'!G66)," ",'Q:\Abteilungsprojekte\eng\EngData\AOS\Allgemein\[LabSamples2025.xlsx]Bioplastic'!G66)</f>
        <v/>
      </c>
      <c r="H66">
        <f>IF(ISBLANK('Q:\Abteilungsprojekte\eng\EngData\AOS\Allgemein\[LabSamples2025.xlsx]Bioplastic'!H66)," ",'Q:\Abteilungsprojekte\eng\EngData\AOS\Allgemein\[LabSamples2025.xlsx]Bioplastic'!H66)</f>
        <v/>
      </c>
    </row>
    <row r="67">
      <c r="A67">
        <f>IF(ISBLANK('Q:\Abteilungsprojekte\eng\EngData\AOS\Allgemein\[LabSamples2025.xlsx]Bioplastic'!A67)," ",'Q:\Abteilungsprojekte\eng\EngData\AOS\Allgemein\[LabSamples2025.xlsx]Bioplastic'!A67)</f>
        <v/>
      </c>
      <c r="B67">
        <f>IF(ISBLANK('Q:\Abteilungsprojekte\eng\EngData\AOS\Allgemein\[LabSamples2025.xlsx]Bioplastic'!B67)," ",'Q:\Abteilungsprojekte\eng\EngData\AOS\Allgemein\[LabSamples2025.xlsx]Bioplastic'!B67)</f>
        <v/>
      </c>
      <c r="C67">
        <f>IF(ISBLANK('Q:\Abteilungsprojekte\eng\EngData\AOS\Allgemein\[LabSamples2025.xlsx]Bioplastic'!C67)," ",'Q:\Abteilungsprojekte\eng\EngData\AOS\Allgemein\[LabSamples2025.xlsx]Bioplastic'!C67)</f>
        <v/>
      </c>
      <c r="D67">
        <f>IF(ISBLANK('Q:\Abteilungsprojekte\eng\EngData\AOS\Allgemein\[LabSamples2025.xlsx]Bioplastic'!D67)," ",'Q:\Abteilungsprojekte\eng\EngData\AOS\Allgemein\[LabSamples2025.xlsx]Bioplastic'!D67)</f>
        <v/>
      </c>
      <c r="E67">
        <f>IF(ISBLANK('Q:\Abteilungsprojekte\eng\EngData\AOS\Allgemein\[LabSamples2025.xlsx]Bioplastic'!E67)," ",'Q:\Abteilungsprojekte\eng\EngData\AOS\Allgemein\[LabSamples2025.xlsx]Bioplastic'!E67)</f>
        <v/>
      </c>
      <c r="F67">
        <f>IF(ISBLANK('Q:\Abteilungsprojekte\eng\EngData\AOS\Allgemein\[LabSamples2025.xlsx]Bioplastic'!F67)," ",'Q:\Abteilungsprojekte\eng\EngData\AOS\Allgemein\[LabSamples2025.xlsx]Bioplastic'!F67)</f>
        <v/>
      </c>
      <c r="G67">
        <f>IF(ISBLANK('Q:\Abteilungsprojekte\eng\EngData\AOS\Allgemein\[LabSamples2025.xlsx]Bioplastic'!G67)," ",'Q:\Abteilungsprojekte\eng\EngData\AOS\Allgemein\[LabSamples2025.xlsx]Bioplastic'!G67)</f>
        <v/>
      </c>
      <c r="H67">
        <f>IF(ISBLANK('Q:\Abteilungsprojekte\eng\EngData\AOS\Allgemein\[LabSamples2025.xlsx]Bioplastic'!H67)," ",'Q:\Abteilungsprojekte\eng\EngData\AOS\Allgemein\[LabSamples2025.xlsx]Bioplastic'!H67)</f>
        <v/>
      </c>
    </row>
    <row r="68">
      <c r="A68">
        <f>IF(ISBLANK('Q:\Abteilungsprojekte\eng\EngData\AOS\Allgemein\[LabSamples2025.xlsx]Bioplastic'!A68)," ",'Q:\Abteilungsprojekte\eng\EngData\AOS\Allgemein\[LabSamples2025.xlsx]Bioplastic'!A68)</f>
        <v/>
      </c>
      <c r="B68">
        <f>IF(ISBLANK('Q:\Abteilungsprojekte\eng\EngData\AOS\Allgemein\[LabSamples2025.xlsx]Bioplastic'!B68)," ",'Q:\Abteilungsprojekte\eng\EngData\AOS\Allgemein\[LabSamples2025.xlsx]Bioplastic'!B68)</f>
        <v/>
      </c>
      <c r="C68">
        <f>IF(ISBLANK('Q:\Abteilungsprojekte\eng\EngData\AOS\Allgemein\[LabSamples2025.xlsx]Bioplastic'!C68)," ",'Q:\Abteilungsprojekte\eng\EngData\AOS\Allgemein\[LabSamples2025.xlsx]Bioplastic'!C68)</f>
        <v/>
      </c>
      <c r="D68">
        <f>IF(ISBLANK('Q:\Abteilungsprojekte\eng\EngData\AOS\Allgemein\[LabSamples2025.xlsx]Bioplastic'!D68)," ",'Q:\Abteilungsprojekte\eng\EngData\AOS\Allgemein\[LabSamples2025.xlsx]Bioplastic'!D68)</f>
        <v/>
      </c>
      <c r="E68">
        <f>IF(ISBLANK('Q:\Abteilungsprojekte\eng\EngData\AOS\Allgemein\[LabSamples2025.xlsx]Bioplastic'!E68)," ",'Q:\Abteilungsprojekte\eng\EngData\AOS\Allgemein\[LabSamples2025.xlsx]Bioplastic'!E68)</f>
        <v/>
      </c>
      <c r="F68">
        <f>IF(ISBLANK('Q:\Abteilungsprojekte\eng\EngData\AOS\Allgemein\[LabSamples2025.xlsx]Bioplastic'!F68)," ",'Q:\Abteilungsprojekte\eng\EngData\AOS\Allgemein\[LabSamples2025.xlsx]Bioplastic'!F68)</f>
        <v/>
      </c>
      <c r="G68">
        <f>IF(ISBLANK('Q:\Abteilungsprojekte\eng\EngData\AOS\Allgemein\[LabSamples2025.xlsx]Bioplastic'!G68)," ",'Q:\Abteilungsprojekte\eng\EngData\AOS\Allgemein\[LabSamples2025.xlsx]Bioplastic'!G68)</f>
        <v/>
      </c>
      <c r="H68">
        <f>IF(ISBLANK('Q:\Abteilungsprojekte\eng\EngData\AOS\Allgemein\[LabSamples2025.xlsx]Bioplastic'!H68)," ",'Q:\Abteilungsprojekte\eng\EngData\AOS\Allgemein\[LabSamples2025.xlsx]Bioplastic'!H68)</f>
        <v/>
      </c>
    </row>
    <row r="69">
      <c r="A69">
        <f>IF(ISBLANK('Q:\Abteilungsprojekte\eng\EngData\AOS\Allgemein\[LabSamples2025.xlsx]Bioplastic'!A69)," ",'Q:\Abteilungsprojekte\eng\EngData\AOS\Allgemein\[LabSamples2025.xlsx]Bioplastic'!A69)</f>
        <v/>
      </c>
      <c r="B69">
        <f>IF(ISBLANK('Q:\Abteilungsprojekte\eng\EngData\AOS\Allgemein\[LabSamples2025.xlsx]Bioplastic'!B69)," ",'Q:\Abteilungsprojekte\eng\EngData\AOS\Allgemein\[LabSamples2025.xlsx]Bioplastic'!B69)</f>
        <v/>
      </c>
      <c r="C69">
        <f>IF(ISBLANK('Q:\Abteilungsprojekte\eng\EngData\AOS\Allgemein\[LabSamples2025.xlsx]Bioplastic'!C69)," ",'Q:\Abteilungsprojekte\eng\EngData\AOS\Allgemein\[LabSamples2025.xlsx]Bioplastic'!C69)</f>
        <v/>
      </c>
      <c r="D69">
        <f>IF(ISBLANK('Q:\Abteilungsprojekte\eng\EngData\AOS\Allgemein\[LabSamples2025.xlsx]Bioplastic'!D69)," ",'Q:\Abteilungsprojekte\eng\EngData\AOS\Allgemein\[LabSamples2025.xlsx]Bioplastic'!D69)</f>
        <v/>
      </c>
      <c r="E69">
        <f>IF(ISBLANK('Q:\Abteilungsprojekte\eng\EngData\AOS\Allgemein\[LabSamples2025.xlsx]Bioplastic'!E69)," ",'Q:\Abteilungsprojekte\eng\EngData\AOS\Allgemein\[LabSamples2025.xlsx]Bioplastic'!E69)</f>
        <v/>
      </c>
      <c r="F69">
        <f>IF(ISBLANK('Q:\Abteilungsprojekte\eng\EngData\AOS\Allgemein\[LabSamples2025.xlsx]Bioplastic'!F69)," ",'Q:\Abteilungsprojekte\eng\EngData\AOS\Allgemein\[LabSamples2025.xlsx]Bioplastic'!F69)</f>
        <v/>
      </c>
      <c r="G69">
        <f>IF(ISBLANK('Q:\Abteilungsprojekte\eng\EngData\AOS\Allgemein\[LabSamples2025.xlsx]Bioplastic'!G69)," ",'Q:\Abteilungsprojekte\eng\EngData\AOS\Allgemein\[LabSamples2025.xlsx]Bioplastic'!G69)</f>
        <v/>
      </c>
      <c r="H69">
        <f>IF(ISBLANK('Q:\Abteilungsprojekte\eng\EngData\AOS\Allgemein\[LabSamples2025.xlsx]Bioplastic'!H69)," ",'Q:\Abteilungsprojekte\eng\EngData\AOS\Allgemein\[LabSamples2025.xlsx]Bioplastic'!H69)</f>
        <v/>
      </c>
    </row>
    <row r="70">
      <c r="A70">
        <f>IF(ISBLANK('Q:\Abteilungsprojekte\eng\EngData\AOS\Allgemein\[LabSamples2025.xlsx]Bioplastic'!A70)," ",'Q:\Abteilungsprojekte\eng\EngData\AOS\Allgemein\[LabSamples2025.xlsx]Bioplastic'!A70)</f>
        <v/>
      </c>
      <c r="B70">
        <f>IF(ISBLANK('Q:\Abteilungsprojekte\eng\EngData\AOS\Allgemein\[LabSamples2025.xlsx]Bioplastic'!B70)," ",'Q:\Abteilungsprojekte\eng\EngData\AOS\Allgemein\[LabSamples2025.xlsx]Bioplastic'!B70)</f>
        <v/>
      </c>
      <c r="C70">
        <f>IF(ISBLANK('Q:\Abteilungsprojekte\eng\EngData\AOS\Allgemein\[LabSamples2025.xlsx]Bioplastic'!C70)," ",'Q:\Abteilungsprojekte\eng\EngData\AOS\Allgemein\[LabSamples2025.xlsx]Bioplastic'!C70)</f>
        <v/>
      </c>
      <c r="D70">
        <f>IF(ISBLANK('Q:\Abteilungsprojekte\eng\EngData\AOS\Allgemein\[LabSamples2025.xlsx]Bioplastic'!D70)," ",'Q:\Abteilungsprojekte\eng\EngData\AOS\Allgemein\[LabSamples2025.xlsx]Bioplastic'!D70)</f>
        <v/>
      </c>
      <c r="E70">
        <f>IF(ISBLANK('Q:\Abteilungsprojekte\eng\EngData\AOS\Allgemein\[LabSamples2025.xlsx]Bioplastic'!E70)," ",'Q:\Abteilungsprojekte\eng\EngData\AOS\Allgemein\[LabSamples2025.xlsx]Bioplastic'!E70)</f>
        <v/>
      </c>
      <c r="F70">
        <f>IF(ISBLANK('Q:\Abteilungsprojekte\eng\EngData\AOS\Allgemein\[LabSamples2025.xlsx]Bioplastic'!F70)," ",'Q:\Abteilungsprojekte\eng\EngData\AOS\Allgemein\[LabSamples2025.xlsx]Bioplastic'!F70)</f>
        <v/>
      </c>
      <c r="G70">
        <f>IF(ISBLANK('Q:\Abteilungsprojekte\eng\EngData\AOS\Allgemein\[LabSamples2025.xlsx]Bioplastic'!G70)," ",'Q:\Abteilungsprojekte\eng\EngData\AOS\Allgemein\[LabSamples2025.xlsx]Bioplastic'!G70)</f>
        <v/>
      </c>
      <c r="H70">
        <f>IF(ISBLANK('Q:\Abteilungsprojekte\eng\EngData\AOS\Allgemein\[LabSamples2025.xlsx]Bioplastic'!H70)," ",'Q:\Abteilungsprojekte\eng\EngData\AOS\Allgemein\[LabSamples2025.xlsx]Bioplastic'!H70)</f>
        <v/>
      </c>
    </row>
    <row r="71">
      <c r="A71">
        <f>IF(ISBLANK('Q:\Abteilungsprojekte\eng\EngData\AOS\Allgemein\[LabSamples2025.xlsx]Bioplastic'!A71)," ",'Q:\Abteilungsprojekte\eng\EngData\AOS\Allgemein\[LabSamples2025.xlsx]Bioplastic'!A71)</f>
        <v/>
      </c>
      <c r="B71">
        <f>IF(ISBLANK('Q:\Abteilungsprojekte\eng\EngData\AOS\Allgemein\[LabSamples2025.xlsx]Bioplastic'!B71)," ",'Q:\Abteilungsprojekte\eng\EngData\AOS\Allgemein\[LabSamples2025.xlsx]Bioplastic'!B71)</f>
        <v/>
      </c>
      <c r="C71">
        <f>IF(ISBLANK('Q:\Abteilungsprojekte\eng\EngData\AOS\Allgemein\[LabSamples2025.xlsx]Bioplastic'!C71)," ",'Q:\Abteilungsprojekte\eng\EngData\AOS\Allgemein\[LabSamples2025.xlsx]Bioplastic'!C71)</f>
        <v/>
      </c>
      <c r="D71">
        <f>IF(ISBLANK('Q:\Abteilungsprojekte\eng\EngData\AOS\Allgemein\[LabSamples2025.xlsx]Bioplastic'!D71)," ",'Q:\Abteilungsprojekte\eng\EngData\AOS\Allgemein\[LabSamples2025.xlsx]Bioplastic'!D71)</f>
        <v/>
      </c>
      <c r="E71">
        <f>IF(ISBLANK('Q:\Abteilungsprojekte\eng\EngData\AOS\Allgemein\[LabSamples2025.xlsx]Bioplastic'!E71)," ",'Q:\Abteilungsprojekte\eng\EngData\AOS\Allgemein\[LabSamples2025.xlsx]Bioplastic'!E71)</f>
        <v/>
      </c>
      <c r="F71">
        <f>IF(ISBLANK('Q:\Abteilungsprojekte\eng\EngData\AOS\Allgemein\[LabSamples2025.xlsx]Bioplastic'!F71)," ",'Q:\Abteilungsprojekte\eng\EngData\AOS\Allgemein\[LabSamples2025.xlsx]Bioplastic'!F71)</f>
        <v/>
      </c>
      <c r="G71">
        <f>IF(ISBLANK('Q:\Abteilungsprojekte\eng\EngData\AOS\Allgemein\[LabSamples2025.xlsx]Bioplastic'!G71)," ",'Q:\Abteilungsprojekte\eng\EngData\AOS\Allgemein\[LabSamples2025.xlsx]Bioplastic'!G71)</f>
        <v/>
      </c>
      <c r="H71">
        <f>IF(ISBLANK('Q:\Abteilungsprojekte\eng\EngData\AOS\Allgemein\[LabSamples2025.xlsx]Bioplastic'!H71)," ",'Q:\Abteilungsprojekte\eng\EngData\AOS\Allgemein\[LabSamples2025.xlsx]Bioplastic'!H71)</f>
        <v/>
      </c>
    </row>
    <row r="72">
      <c r="A72">
        <f>IF(ISBLANK('Q:\Abteilungsprojekte\eng\EngData\AOS\Allgemein\[LabSamples2025.xlsx]Bioplastic'!A72)," ",'Q:\Abteilungsprojekte\eng\EngData\AOS\Allgemein\[LabSamples2025.xlsx]Bioplastic'!A72)</f>
        <v/>
      </c>
      <c r="B72">
        <f>IF(ISBLANK('Q:\Abteilungsprojekte\eng\EngData\AOS\Allgemein\[LabSamples2025.xlsx]Bioplastic'!B72)," ",'Q:\Abteilungsprojekte\eng\EngData\AOS\Allgemein\[LabSamples2025.xlsx]Bioplastic'!B72)</f>
        <v/>
      </c>
      <c r="C72">
        <f>IF(ISBLANK('Q:\Abteilungsprojekte\eng\EngData\AOS\Allgemein\[LabSamples2025.xlsx]Bioplastic'!C72)," ",'Q:\Abteilungsprojekte\eng\EngData\AOS\Allgemein\[LabSamples2025.xlsx]Bioplastic'!C72)</f>
        <v/>
      </c>
      <c r="D72">
        <f>IF(ISBLANK('Q:\Abteilungsprojekte\eng\EngData\AOS\Allgemein\[LabSamples2025.xlsx]Bioplastic'!D72)," ",'Q:\Abteilungsprojekte\eng\EngData\AOS\Allgemein\[LabSamples2025.xlsx]Bioplastic'!D72)</f>
        <v/>
      </c>
      <c r="E72">
        <f>IF(ISBLANK('Q:\Abteilungsprojekte\eng\EngData\AOS\Allgemein\[LabSamples2025.xlsx]Bioplastic'!E72)," ",'Q:\Abteilungsprojekte\eng\EngData\AOS\Allgemein\[LabSamples2025.xlsx]Bioplastic'!E72)</f>
        <v/>
      </c>
      <c r="F72">
        <f>IF(ISBLANK('Q:\Abteilungsprojekte\eng\EngData\AOS\Allgemein\[LabSamples2025.xlsx]Bioplastic'!F72)," ",'Q:\Abteilungsprojekte\eng\EngData\AOS\Allgemein\[LabSamples2025.xlsx]Bioplastic'!F72)</f>
        <v/>
      </c>
      <c r="G72">
        <f>IF(ISBLANK('Q:\Abteilungsprojekte\eng\EngData\AOS\Allgemein\[LabSamples2025.xlsx]Bioplastic'!G72)," ",'Q:\Abteilungsprojekte\eng\EngData\AOS\Allgemein\[LabSamples2025.xlsx]Bioplastic'!G72)</f>
        <v/>
      </c>
      <c r="H72">
        <f>IF(ISBLANK('Q:\Abteilungsprojekte\eng\EngData\AOS\Allgemein\[LabSamples2025.xlsx]Bioplastic'!H72)," ",'Q:\Abteilungsprojekte\eng\EngData\AOS\Allgemein\[LabSamples2025.xlsx]Bioplastic'!H72)</f>
        <v/>
      </c>
    </row>
    <row r="73">
      <c r="A73">
        <f>IF(ISBLANK('Q:\Abteilungsprojekte\eng\EngData\AOS\Allgemein\[LabSamples2025.xlsx]Bioplastic'!A73)," ",'Q:\Abteilungsprojekte\eng\EngData\AOS\Allgemein\[LabSamples2025.xlsx]Bioplastic'!A73)</f>
        <v/>
      </c>
      <c r="B73">
        <f>IF(ISBLANK('Q:\Abteilungsprojekte\eng\EngData\AOS\Allgemein\[LabSamples2025.xlsx]Bioplastic'!B73)," ",'Q:\Abteilungsprojekte\eng\EngData\AOS\Allgemein\[LabSamples2025.xlsx]Bioplastic'!B73)</f>
        <v/>
      </c>
      <c r="C73">
        <f>IF(ISBLANK('Q:\Abteilungsprojekte\eng\EngData\AOS\Allgemein\[LabSamples2025.xlsx]Bioplastic'!C73)," ",'Q:\Abteilungsprojekte\eng\EngData\AOS\Allgemein\[LabSamples2025.xlsx]Bioplastic'!C73)</f>
        <v/>
      </c>
      <c r="D73">
        <f>IF(ISBLANK('Q:\Abteilungsprojekte\eng\EngData\AOS\Allgemein\[LabSamples2025.xlsx]Bioplastic'!D73)," ",'Q:\Abteilungsprojekte\eng\EngData\AOS\Allgemein\[LabSamples2025.xlsx]Bioplastic'!D73)</f>
        <v/>
      </c>
      <c r="E73">
        <f>IF(ISBLANK('Q:\Abteilungsprojekte\eng\EngData\AOS\Allgemein\[LabSamples2025.xlsx]Bioplastic'!E73)," ",'Q:\Abteilungsprojekte\eng\EngData\AOS\Allgemein\[LabSamples2025.xlsx]Bioplastic'!E73)</f>
        <v/>
      </c>
      <c r="F73">
        <f>IF(ISBLANK('Q:\Abteilungsprojekte\eng\EngData\AOS\Allgemein\[LabSamples2025.xlsx]Bioplastic'!F73)," ",'Q:\Abteilungsprojekte\eng\EngData\AOS\Allgemein\[LabSamples2025.xlsx]Bioplastic'!F73)</f>
        <v/>
      </c>
      <c r="G73">
        <f>IF(ISBLANK('Q:\Abteilungsprojekte\eng\EngData\AOS\Allgemein\[LabSamples2025.xlsx]Bioplastic'!G73)," ",'Q:\Abteilungsprojekte\eng\EngData\AOS\Allgemein\[LabSamples2025.xlsx]Bioplastic'!G73)</f>
        <v/>
      </c>
      <c r="H73">
        <f>IF(ISBLANK('Q:\Abteilungsprojekte\eng\EngData\AOS\Allgemein\[LabSamples2025.xlsx]Bioplastic'!H73)," ",'Q:\Abteilungsprojekte\eng\EngData\AOS\Allgemein\[LabSamples2025.xlsx]Bioplastic'!H73)</f>
        <v/>
      </c>
    </row>
    <row r="74">
      <c r="A74">
        <f>IF(ISBLANK('Q:\Abteilungsprojekte\eng\EngData\AOS\Allgemein\[LabSamples2025.xlsx]Bioplastic'!A74)," ",'Q:\Abteilungsprojekte\eng\EngData\AOS\Allgemein\[LabSamples2025.xlsx]Bioplastic'!A74)</f>
        <v/>
      </c>
      <c r="B74">
        <f>IF(ISBLANK('Q:\Abteilungsprojekte\eng\EngData\AOS\Allgemein\[LabSamples2025.xlsx]Bioplastic'!B74)," ",'Q:\Abteilungsprojekte\eng\EngData\AOS\Allgemein\[LabSamples2025.xlsx]Bioplastic'!B74)</f>
        <v/>
      </c>
      <c r="C74">
        <f>IF(ISBLANK('Q:\Abteilungsprojekte\eng\EngData\AOS\Allgemein\[LabSamples2025.xlsx]Bioplastic'!C74)," ",'Q:\Abteilungsprojekte\eng\EngData\AOS\Allgemein\[LabSamples2025.xlsx]Bioplastic'!C74)</f>
        <v/>
      </c>
      <c r="D74">
        <f>IF(ISBLANK('Q:\Abteilungsprojekte\eng\EngData\AOS\Allgemein\[LabSamples2025.xlsx]Bioplastic'!D74)," ",'Q:\Abteilungsprojekte\eng\EngData\AOS\Allgemein\[LabSamples2025.xlsx]Bioplastic'!D74)</f>
        <v/>
      </c>
      <c r="E74">
        <f>IF(ISBLANK('Q:\Abteilungsprojekte\eng\EngData\AOS\Allgemein\[LabSamples2025.xlsx]Bioplastic'!E74)," ",'Q:\Abteilungsprojekte\eng\EngData\AOS\Allgemein\[LabSamples2025.xlsx]Bioplastic'!E74)</f>
        <v/>
      </c>
      <c r="F74">
        <f>IF(ISBLANK('Q:\Abteilungsprojekte\eng\EngData\AOS\Allgemein\[LabSamples2025.xlsx]Bioplastic'!F74)," ",'Q:\Abteilungsprojekte\eng\EngData\AOS\Allgemein\[LabSamples2025.xlsx]Bioplastic'!F74)</f>
        <v/>
      </c>
      <c r="G74">
        <f>IF(ISBLANK('Q:\Abteilungsprojekte\eng\EngData\AOS\Allgemein\[LabSamples2025.xlsx]Bioplastic'!G74)," ",'Q:\Abteilungsprojekte\eng\EngData\AOS\Allgemein\[LabSamples2025.xlsx]Bioplastic'!G74)</f>
        <v/>
      </c>
      <c r="H74">
        <f>IF(ISBLANK('Q:\Abteilungsprojekte\eng\EngData\AOS\Allgemein\[LabSamples2025.xlsx]Bioplastic'!H74)," ",'Q:\Abteilungsprojekte\eng\EngData\AOS\Allgemein\[LabSamples2025.xlsx]Bioplastic'!H74)</f>
        <v/>
      </c>
    </row>
    <row r="75">
      <c r="A75">
        <f>IF(ISBLANK('Q:\Abteilungsprojekte\eng\EngData\AOS\Allgemein\[LabSamples2025.xlsx]Bioplastic'!A75)," ",'Q:\Abteilungsprojekte\eng\EngData\AOS\Allgemein\[LabSamples2025.xlsx]Bioplastic'!A75)</f>
        <v/>
      </c>
      <c r="B75">
        <f>IF(ISBLANK('Q:\Abteilungsprojekte\eng\EngData\AOS\Allgemein\[LabSamples2025.xlsx]Bioplastic'!B75)," ",'Q:\Abteilungsprojekte\eng\EngData\AOS\Allgemein\[LabSamples2025.xlsx]Bioplastic'!B75)</f>
        <v/>
      </c>
      <c r="C75">
        <f>IF(ISBLANK('Q:\Abteilungsprojekte\eng\EngData\AOS\Allgemein\[LabSamples2025.xlsx]Bioplastic'!C75)," ",'Q:\Abteilungsprojekte\eng\EngData\AOS\Allgemein\[LabSamples2025.xlsx]Bioplastic'!C75)</f>
        <v/>
      </c>
      <c r="D75">
        <f>IF(ISBLANK('Q:\Abteilungsprojekte\eng\EngData\AOS\Allgemein\[LabSamples2025.xlsx]Bioplastic'!D75)," ",'Q:\Abteilungsprojekte\eng\EngData\AOS\Allgemein\[LabSamples2025.xlsx]Bioplastic'!D75)</f>
        <v/>
      </c>
      <c r="E75">
        <f>IF(ISBLANK('Q:\Abteilungsprojekte\eng\EngData\AOS\Allgemein\[LabSamples2025.xlsx]Bioplastic'!E75)," ",'Q:\Abteilungsprojekte\eng\EngData\AOS\Allgemein\[LabSamples2025.xlsx]Bioplastic'!E75)</f>
        <v/>
      </c>
      <c r="F75">
        <f>IF(ISBLANK('Q:\Abteilungsprojekte\eng\EngData\AOS\Allgemein\[LabSamples2025.xlsx]Bioplastic'!F75)," ",'Q:\Abteilungsprojekte\eng\EngData\AOS\Allgemein\[LabSamples2025.xlsx]Bioplastic'!F75)</f>
        <v/>
      </c>
      <c r="G75">
        <f>IF(ISBLANK('Q:\Abteilungsprojekte\eng\EngData\AOS\Allgemein\[LabSamples2025.xlsx]Bioplastic'!G75)," ",'Q:\Abteilungsprojekte\eng\EngData\AOS\Allgemein\[LabSamples2025.xlsx]Bioplastic'!G75)</f>
        <v/>
      </c>
      <c r="H75">
        <f>IF(ISBLANK('Q:\Abteilungsprojekte\eng\EngData\AOS\Allgemein\[LabSamples2025.xlsx]Bioplastic'!H75)," ",'Q:\Abteilungsprojekte\eng\EngData\AOS\Allgemein\[LabSamples2025.xlsx]Bioplastic'!H75)</f>
        <v/>
      </c>
    </row>
    <row r="76">
      <c r="A76">
        <f>IF(ISBLANK('Q:\Abteilungsprojekte\eng\EngData\AOS\Allgemein\[LabSamples2025.xlsx]Bioplastic'!A76)," ",'Q:\Abteilungsprojekte\eng\EngData\AOS\Allgemein\[LabSamples2025.xlsx]Bioplastic'!A76)</f>
        <v/>
      </c>
      <c r="B76">
        <f>IF(ISBLANK('Q:\Abteilungsprojekte\eng\EngData\AOS\Allgemein\[LabSamples2025.xlsx]Bioplastic'!B76)," ",'Q:\Abteilungsprojekte\eng\EngData\AOS\Allgemein\[LabSamples2025.xlsx]Bioplastic'!B76)</f>
        <v/>
      </c>
      <c r="C76">
        <f>IF(ISBLANK('Q:\Abteilungsprojekte\eng\EngData\AOS\Allgemein\[LabSamples2025.xlsx]Bioplastic'!C76)," ",'Q:\Abteilungsprojekte\eng\EngData\AOS\Allgemein\[LabSamples2025.xlsx]Bioplastic'!C76)</f>
        <v/>
      </c>
      <c r="D76">
        <f>IF(ISBLANK('Q:\Abteilungsprojekte\eng\EngData\AOS\Allgemein\[LabSamples2025.xlsx]Bioplastic'!D76)," ",'Q:\Abteilungsprojekte\eng\EngData\AOS\Allgemein\[LabSamples2025.xlsx]Bioplastic'!D76)</f>
        <v/>
      </c>
      <c r="E76">
        <f>IF(ISBLANK('Q:\Abteilungsprojekte\eng\EngData\AOS\Allgemein\[LabSamples2025.xlsx]Bioplastic'!E76)," ",'Q:\Abteilungsprojekte\eng\EngData\AOS\Allgemein\[LabSamples2025.xlsx]Bioplastic'!E76)</f>
        <v/>
      </c>
      <c r="F76">
        <f>IF(ISBLANK('Q:\Abteilungsprojekte\eng\EngData\AOS\Allgemein\[LabSamples2025.xlsx]Bioplastic'!F76)," ",'Q:\Abteilungsprojekte\eng\EngData\AOS\Allgemein\[LabSamples2025.xlsx]Bioplastic'!F76)</f>
        <v/>
      </c>
      <c r="G76">
        <f>IF(ISBLANK('Q:\Abteilungsprojekte\eng\EngData\AOS\Allgemein\[LabSamples2025.xlsx]Bioplastic'!G76)," ",'Q:\Abteilungsprojekte\eng\EngData\AOS\Allgemein\[LabSamples2025.xlsx]Bioplastic'!G76)</f>
        <v/>
      </c>
      <c r="H76">
        <f>IF(ISBLANK('Q:\Abteilungsprojekte\eng\EngData\AOS\Allgemein\[LabSamples2025.xlsx]Bioplastic'!H76)," ",'Q:\Abteilungsprojekte\eng\EngData\AOS\Allgemein\[LabSamples2025.xlsx]Bioplastic'!H76)</f>
        <v/>
      </c>
    </row>
    <row r="77">
      <c r="A77">
        <f>IF(ISBLANK('Q:\Abteilungsprojekte\eng\EngData\AOS\Allgemein\[LabSamples2025.xlsx]Bioplastic'!A77)," ",'Q:\Abteilungsprojekte\eng\EngData\AOS\Allgemein\[LabSamples2025.xlsx]Bioplastic'!A77)</f>
        <v/>
      </c>
      <c r="B77">
        <f>IF(ISBLANK('Q:\Abteilungsprojekte\eng\EngData\AOS\Allgemein\[LabSamples2025.xlsx]Bioplastic'!B77)," ",'Q:\Abteilungsprojekte\eng\EngData\AOS\Allgemein\[LabSamples2025.xlsx]Bioplastic'!B77)</f>
        <v/>
      </c>
      <c r="C77">
        <f>IF(ISBLANK('Q:\Abteilungsprojekte\eng\EngData\AOS\Allgemein\[LabSamples2025.xlsx]Bioplastic'!C77)," ",'Q:\Abteilungsprojekte\eng\EngData\AOS\Allgemein\[LabSamples2025.xlsx]Bioplastic'!C77)</f>
        <v/>
      </c>
      <c r="D77">
        <f>IF(ISBLANK('Q:\Abteilungsprojekte\eng\EngData\AOS\Allgemein\[LabSamples2025.xlsx]Bioplastic'!D77)," ",'Q:\Abteilungsprojekte\eng\EngData\AOS\Allgemein\[LabSamples2025.xlsx]Bioplastic'!D77)</f>
        <v/>
      </c>
      <c r="E77">
        <f>IF(ISBLANK('Q:\Abteilungsprojekte\eng\EngData\AOS\Allgemein\[LabSamples2025.xlsx]Bioplastic'!E77)," ",'Q:\Abteilungsprojekte\eng\EngData\AOS\Allgemein\[LabSamples2025.xlsx]Bioplastic'!E77)</f>
        <v/>
      </c>
      <c r="F77">
        <f>IF(ISBLANK('Q:\Abteilungsprojekte\eng\EngData\AOS\Allgemein\[LabSamples2025.xlsx]Bioplastic'!F77)," ",'Q:\Abteilungsprojekte\eng\EngData\AOS\Allgemein\[LabSamples2025.xlsx]Bioplastic'!F77)</f>
        <v/>
      </c>
      <c r="G77">
        <f>IF(ISBLANK('Q:\Abteilungsprojekte\eng\EngData\AOS\Allgemein\[LabSamples2025.xlsx]Bioplastic'!G77)," ",'Q:\Abteilungsprojekte\eng\EngData\AOS\Allgemein\[LabSamples2025.xlsx]Bioplastic'!G77)</f>
        <v/>
      </c>
      <c r="H77">
        <f>IF(ISBLANK('Q:\Abteilungsprojekte\eng\EngData\AOS\Allgemein\[LabSamples2025.xlsx]Bioplastic'!H77)," ",'Q:\Abteilungsprojekte\eng\EngData\AOS\Allgemein\[LabSamples2025.xlsx]Bioplastic'!H77)</f>
        <v/>
      </c>
    </row>
    <row r="78">
      <c r="A78">
        <f>IF(ISBLANK('Q:\Abteilungsprojekte\eng\EngData\AOS\Allgemein\[LabSamples2025.xlsx]Bioplastic'!A78)," ",'Q:\Abteilungsprojekte\eng\EngData\AOS\Allgemein\[LabSamples2025.xlsx]Bioplastic'!A78)</f>
        <v/>
      </c>
      <c r="B78">
        <f>IF(ISBLANK('Q:\Abteilungsprojekte\eng\EngData\AOS\Allgemein\[LabSamples2025.xlsx]Bioplastic'!B78)," ",'Q:\Abteilungsprojekte\eng\EngData\AOS\Allgemein\[LabSamples2025.xlsx]Bioplastic'!B78)</f>
        <v/>
      </c>
      <c r="C78">
        <f>IF(ISBLANK('Q:\Abteilungsprojekte\eng\EngData\AOS\Allgemein\[LabSamples2025.xlsx]Bioplastic'!C78)," ",'Q:\Abteilungsprojekte\eng\EngData\AOS\Allgemein\[LabSamples2025.xlsx]Bioplastic'!C78)</f>
        <v/>
      </c>
      <c r="D78">
        <f>IF(ISBLANK('Q:\Abteilungsprojekte\eng\EngData\AOS\Allgemein\[LabSamples2025.xlsx]Bioplastic'!D78)," ",'Q:\Abteilungsprojekte\eng\EngData\AOS\Allgemein\[LabSamples2025.xlsx]Bioplastic'!D78)</f>
        <v/>
      </c>
      <c r="E78">
        <f>IF(ISBLANK('Q:\Abteilungsprojekte\eng\EngData\AOS\Allgemein\[LabSamples2025.xlsx]Bioplastic'!E78)," ",'Q:\Abteilungsprojekte\eng\EngData\AOS\Allgemein\[LabSamples2025.xlsx]Bioplastic'!E78)</f>
        <v/>
      </c>
      <c r="F78">
        <f>IF(ISBLANK('Q:\Abteilungsprojekte\eng\EngData\AOS\Allgemein\[LabSamples2025.xlsx]Bioplastic'!F78)," ",'Q:\Abteilungsprojekte\eng\EngData\AOS\Allgemein\[LabSamples2025.xlsx]Bioplastic'!F78)</f>
        <v/>
      </c>
      <c r="G78">
        <f>IF(ISBLANK('Q:\Abteilungsprojekte\eng\EngData\AOS\Allgemein\[LabSamples2025.xlsx]Bioplastic'!G78)," ",'Q:\Abteilungsprojekte\eng\EngData\AOS\Allgemein\[LabSamples2025.xlsx]Bioplastic'!G78)</f>
        <v/>
      </c>
      <c r="H78">
        <f>IF(ISBLANK('Q:\Abteilungsprojekte\eng\EngData\AOS\Allgemein\[LabSamples2025.xlsx]Bioplastic'!H78)," ",'Q:\Abteilungsprojekte\eng\EngData\AOS\Allgemein\[LabSamples2025.xlsx]Bioplastic'!H78)</f>
        <v/>
      </c>
    </row>
    <row r="79">
      <c r="A79">
        <f>IF(ISBLANK('Q:\Abteilungsprojekte\eng\EngData\AOS\Allgemein\[LabSamples2025.xlsx]Bioplastic'!A79)," ",'Q:\Abteilungsprojekte\eng\EngData\AOS\Allgemein\[LabSamples2025.xlsx]Bioplastic'!A79)</f>
        <v/>
      </c>
      <c r="B79">
        <f>IF(ISBLANK('Q:\Abteilungsprojekte\eng\EngData\AOS\Allgemein\[LabSamples2025.xlsx]Bioplastic'!B79)," ",'Q:\Abteilungsprojekte\eng\EngData\AOS\Allgemein\[LabSamples2025.xlsx]Bioplastic'!B79)</f>
        <v/>
      </c>
      <c r="C79">
        <f>IF(ISBLANK('Q:\Abteilungsprojekte\eng\EngData\AOS\Allgemein\[LabSamples2025.xlsx]Bioplastic'!C79)," ",'Q:\Abteilungsprojekte\eng\EngData\AOS\Allgemein\[LabSamples2025.xlsx]Bioplastic'!C79)</f>
        <v/>
      </c>
      <c r="D79">
        <f>IF(ISBLANK('Q:\Abteilungsprojekte\eng\EngData\AOS\Allgemein\[LabSamples2025.xlsx]Bioplastic'!D79)," ",'Q:\Abteilungsprojekte\eng\EngData\AOS\Allgemein\[LabSamples2025.xlsx]Bioplastic'!D79)</f>
        <v/>
      </c>
      <c r="E79">
        <f>IF(ISBLANK('Q:\Abteilungsprojekte\eng\EngData\AOS\Allgemein\[LabSamples2025.xlsx]Bioplastic'!E79)," ",'Q:\Abteilungsprojekte\eng\EngData\AOS\Allgemein\[LabSamples2025.xlsx]Bioplastic'!E79)</f>
        <v/>
      </c>
      <c r="F79">
        <f>IF(ISBLANK('Q:\Abteilungsprojekte\eng\EngData\AOS\Allgemein\[LabSamples2025.xlsx]Bioplastic'!F79)," ",'Q:\Abteilungsprojekte\eng\EngData\AOS\Allgemein\[LabSamples2025.xlsx]Bioplastic'!F79)</f>
        <v/>
      </c>
      <c r="G79">
        <f>IF(ISBLANK('Q:\Abteilungsprojekte\eng\EngData\AOS\Allgemein\[LabSamples2025.xlsx]Bioplastic'!G79)," ",'Q:\Abteilungsprojekte\eng\EngData\AOS\Allgemein\[LabSamples2025.xlsx]Bioplastic'!G79)</f>
        <v/>
      </c>
      <c r="H79">
        <f>IF(ISBLANK('Q:\Abteilungsprojekte\eng\EngData\AOS\Allgemein\[LabSamples2025.xlsx]Bioplastic'!H79)," ",'Q:\Abteilungsprojekte\eng\EngData\AOS\Allgemein\[LabSamples2025.xlsx]Bioplastic'!H79)</f>
        <v/>
      </c>
    </row>
    <row r="80">
      <c r="A80">
        <f>IF(ISBLANK('Q:\Abteilungsprojekte\eng\EngData\AOS\Allgemein\[LabSamples2025.xlsx]Bioplastic'!A80)," ",'Q:\Abteilungsprojekte\eng\EngData\AOS\Allgemein\[LabSamples2025.xlsx]Bioplastic'!A80)</f>
        <v/>
      </c>
      <c r="B80">
        <f>IF(ISBLANK('Q:\Abteilungsprojekte\eng\EngData\AOS\Allgemein\[LabSamples2025.xlsx]Bioplastic'!B80)," ",'Q:\Abteilungsprojekte\eng\EngData\AOS\Allgemein\[LabSamples2025.xlsx]Bioplastic'!B80)</f>
        <v/>
      </c>
      <c r="C80">
        <f>IF(ISBLANK('Q:\Abteilungsprojekte\eng\EngData\AOS\Allgemein\[LabSamples2025.xlsx]Bioplastic'!C80)," ",'Q:\Abteilungsprojekte\eng\EngData\AOS\Allgemein\[LabSamples2025.xlsx]Bioplastic'!C80)</f>
        <v/>
      </c>
      <c r="D80">
        <f>IF(ISBLANK('Q:\Abteilungsprojekte\eng\EngData\AOS\Allgemein\[LabSamples2025.xlsx]Bioplastic'!D80)," ",'Q:\Abteilungsprojekte\eng\EngData\AOS\Allgemein\[LabSamples2025.xlsx]Bioplastic'!D80)</f>
        <v/>
      </c>
      <c r="E80">
        <f>IF(ISBLANK('Q:\Abteilungsprojekte\eng\EngData\AOS\Allgemein\[LabSamples2025.xlsx]Bioplastic'!E80)," ",'Q:\Abteilungsprojekte\eng\EngData\AOS\Allgemein\[LabSamples2025.xlsx]Bioplastic'!E80)</f>
        <v/>
      </c>
      <c r="F80">
        <f>IF(ISBLANK('Q:\Abteilungsprojekte\eng\EngData\AOS\Allgemein\[LabSamples2025.xlsx]Bioplastic'!F80)," ",'Q:\Abteilungsprojekte\eng\EngData\AOS\Allgemein\[LabSamples2025.xlsx]Bioplastic'!F80)</f>
        <v/>
      </c>
      <c r="G80">
        <f>IF(ISBLANK('Q:\Abteilungsprojekte\eng\EngData\AOS\Allgemein\[LabSamples2025.xlsx]Bioplastic'!G80)," ",'Q:\Abteilungsprojekte\eng\EngData\AOS\Allgemein\[LabSamples2025.xlsx]Bioplastic'!G80)</f>
        <v/>
      </c>
      <c r="H80">
        <f>IF(ISBLANK('Q:\Abteilungsprojekte\eng\EngData\AOS\Allgemein\[LabSamples2025.xlsx]Bioplastic'!H80)," ",'Q:\Abteilungsprojekte\eng\EngData\AOS\Allgemein\[LabSamples2025.xlsx]Bioplastic'!H80)</f>
        <v/>
      </c>
    </row>
    <row r="81">
      <c r="A81">
        <f>IF(ISBLANK('Q:\Abteilungsprojekte\eng\EngData\AOS\Allgemein\[LabSamples2025.xlsx]Bioplastic'!A81)," ",'Q:\Abteilungsprojekte\eng\EngData\AOS\Allgemein\[LabSamples2025.xlsx]Bioplastic'!A81)</f>
        <v/>
      </c>
      <c r="B81">
        <f>IF(ISBLANK('Q:\Abteilungsprojekte\eng\EngData\AOS\Allgemein\[LabSamples2025.xlsx]Bioplastic'!B81)," ",'Q:\Abteilungsprojekte\eng\EngData\AOS\Allgemein\[LabSamples2025.xlsx]Bioplastic'!B81)</f>
        <v/>
      </c>
      <c r="C81">
        <f>IF(ISBLANK('Q:\Abteilungsprojekte\eng\EngData\AOS\Allgemein\[LabSamples2025.xlsx]Bioplastic'!C81)," ",'Q:\Abteilungsprojekte\eng\EngData\AOS\Allgemein\[LabSamples2025.xlsx]Bioplastic'!C81)</f>
        <v/>
      </c>
      <c r="D81">
        <f>IF(ISBLANK('Q:\Abteilungsprojekte\eng\EngData\AOS\Allgemein\[LabSamples2025.xlsx]Bioplastic'!D81)," ",'Q:\Abteilungsprojekte\eng\EngData\AOS\Allgemein\[LabSamples2025.xlsx]Bioplastic'!D81)</f>
        <v/>
      </c>
      <c r="E81">
        <f>IF(ISBLANK('Q:\Abteilungsprojekte\eng\EngData\AOS\Allgemein\[LabSamples2025.xlsx]Bioplastic'!E81)," ",'Q:\Abteilungsprojekte\eng\EngData\AOS\Allgemein\[LabSamples2025.xlsx]Bioplastic'!E81)</f>
        <v/>
      </c>
      <c r="F81">
        <f>IF(ISBLANK('Q:\Abteilungsprojekte\eng\EngData\AOS\Allgemein\[LabSamples2025.xlsx]Bioplastic'!F81)," ",'Q:\Abteilungsprojekte\eng\EngData\AOS\Allgemein\[LabSamples2025.xlsx]Bioplastic'!F81)</f>
        <v/>
      </c>
      <c r="G81">
        <f>IF(ISBLANK('Q:\Abteilungsprojekte\eng\EngData\AOS\Allgemein\[LabSamples2025.xlsx]Bioplastic'!G81)," ",'Q:\Abteilungsprojekte\eng\EngData\AOS\Allgemein\[LabSamples2025.xlsx]Bioplastic'!G81)</f>
        <v/>
      </c>
      <c r="H81">
        <f>IF(ISBLANK('Q:\Abteilungsprojekte\eng\EngData\AOS\Allgemein\[LabSamples2025.xlsx]Bioplastic'!H81)," ",'Q:\Abteilungsprojekte\eng\EngData\AOS\Allgemein\[LabSamples2025.xlsx]Bioplastic'!H81)</f>
        <v/>
      </c>
    </row>
    <row r="82">
      <c r="A82">
        <f>IF(ISBLANK('Q:\Abteilungsprojekte\eng\EngData\AOS\Allgemein\[LabSamples2025.xlsx]Bioplastic'!A82)," ",'Q:\Abteilungsprojekte\eng\EngData\AOS\Allgemein\[LabSamples2025.xlsx]Bioplastic'!A82)</f>
        <v/>
      </c>
      <c r="B82">
        <f>IF(ISBLANK('Q:\Abteilungsprojekte\eng\EngData\AOS\Allgemein\[LabSamples2025.xlsx]Bioplastic'!B82)," ",'Q:\Abteilungsprojekte\eng\EngData\AOS\Allgemein\[LabSamples2025.xlsx]Bioplastic'!B82)</f>
        <v/>
      </c>
      <c r="C82">
        <f>IF(ISBLANK('Q:\Abteilungsprojekte\eng\EngData\AOS\Allgemein\[LabSamples2025.xlsx]Bioplastic'!C82)," ",'Q:\Abteilungsprojekte\eng\EngData\AOS\Allgemein\[LabSamples2025.xlsx]Bioplastic'!C82)</f>
        <v/>
      </c>
      <c r="D82">
        <f>IF(ISBLANK('Q:\Abteilungsprojekte\eng\EngData\AOS\Allgemein\[LabSamples2025.xlsx]Bioplastic'!D82)," ",'Q:\Abteilungsprojekte\eng\EngData\AOS\Allgemein\[LabSamples2025.xlsx]Bioplastic'!D82)</f>
        <v/>
      </c>
      <c r="E82">
        <f>IF(ISBLANK('Q:\Abteilungsprojekte\eng\EngData\AOS\Allgemein\[LabSamples2025.xlsx]Bioplastic'!E82)," ",'Q:\Abteilungsprojekte\eng\EngData\AOS\Allgemein\[LabSamples2025.xlsx]Bioplastic'!E82)</f>
        <v/>
      </c>
      <c r="F82">
        <f>IF(ISBLANK('Q:\Abteilungsprojekte\eng\EngData\AOS\Allgemein\[LabSamples2025.xlsx]Bioplastic'!F82)," ",'Q:\Abteilungsprojekte\eng\EngData\AOS\Allgemein\[LabSamples2025.xlsx]Bioplastic'!F82)</f>
        <v/>
      </c>
      <c r="G82">
        <f>IF(ISBLANK('Q:\Abteilungsprojekte\eng\EngData\AOS\Allgemein\[LabSamples2025.xlsx]Bioplastic'!G82)," ",'Q:\Abteilungsprojekte\eng\EngData\AOS\Allgemein\[LabSamples2025.xlsx]Bioplastic'!G82)</f>
        <v/>
      </c>
      <c r="H82">
        <f>IF(ISBLANK('Q:\Abteilungsprojekte\eng\EngData\AOS\Allgemein\[LabSamples2025.xlsx]Bioplastic'!H82)," ",'Q:\Abteilungsprojekte\eng\EngData\AOS\Allgemein\[LabSamples2025.xlsx]Bioplastic'!H82)</f>
        <v/>
      </c>
    </row>
    <row r="83">
      <c r="A83">
        <f>IF(ISBLANK('Q:\Abteilungsprojekte\eng\EngData\AOS\Allgemein\[LabSamples2025.xlsx]Bioplastic'!A83)," ",'Q:\Abteilungsprojekte\eng\EngData\AOS\Allgemein\[LabSamples2025.xlsx]Bioplastic'!A83)</f>
        <v/>
      </c>
      <c r="B83">
        <f>IF(ISBLANK('Q:\Abteilungsprojekte\eng\EngData\AOS\Allgemein\[LabSamples2025.xlsx]Bioplastic'!B83)," ",'Q:\Abteilungsprojekte\eng\EngData\AOS\Allgemein\[LabSamples2025.xlsx]Bioplastic'!B83)</f>
        <v/>
      </c>
      <c r="C83">
        <f>IF(ISBLANK('Q:\Abteilungsprojekte\eng\EngData\AOS\Allgemein\[LabSamples2025.xlsx]Bioplastic'!C83)," ",'Q:\Abteilungsprojekte\eng\EngData\AOS\Allgemein\[LabSamples2025.xlsx]Bioplastic'!C83)</f>
        <v/>
      </c>
      <c r="D83">
        <f>IF(ISBLANK('Q:\Abteilungsprojekte\eng\EngData\AOS\Allgemein\[LabSamples2025.xlsx]Bioplastic'!D83)," ",'Q:\Abteilungsprojekte\eng\EngData\AOS\Allgemein\[LabSamples2025.xlsx]Bioplastic'!D83)</f>
        <v/>
      </c>
      <c r="E83">
        <f>IF(ISBLANK('Q:\Abteilungsprojekte\eng\EngData\AOS\Allgemein\[LabSamples2025.xlsx]Bioplastic'!E83)," ",'Q:\Abteilungsprojekte\eng\EngData\AOS\Allgemein\[LabSamples2025.xlsx]Bioplastic'!E83)</f>
        <v/>
      </c>
      <c r="F83">
        <f>IF(ISBLANK('Q:\Abteilungsprojekte\eng\EngData\AOS\Allgemein\[LabSamples2025.xlsx]Bioplastic'!F83)," ",'Q:\Abteilungsprojekte\eng\EngData\AOS\Allgemein\[LabSamples2025.xlsx]Bioplastic'!F83)</f>
        <v/>
      </c>
      <c r="G83">
        <f>IF(ISBLANK('Q:\Abteilungsprojekte\eng\EngData\AOS\Allgemein\[LabSamples2025.xlsx]Bioplastic'!G83)," ",'Q:\Abteilungsprojekte\eng\EngData\AOS\Allgemein\[LabSamples2025.xlsx]Bioplastic'!G83)</f>
        <v/>
      </c>
      <c r="H83">
        <f>IF(ISBLANK('Q:\Abteilungsprojekte\eng\EngData\AOS\Allgemein\[LabSamples2025.xlsx]Bioplastic'!H83)," ",'Q:\Abteilungsprojekte\eng\EngData\AOS\Allgemein\[LabSamples2025.xlsx]Bioplastic'!H83)</f>
        <v/>
      </c>
    </row>
    <row r="84">
      <c r="A84">
        <f>IF(ISBLANK('Q:\Abteilungsprojekte\eng\EngData\AOS\Allgemein\[LabSamples2025.xlsx]Bioplastic'!A84)," ",'Q:\Abteilungsprojekte\eng\EngData\AOS\Allgemein\[LabSamples2025.xlsx]Bioplastic'!A84)</f>
        <v/>
      </c>
      <c r="B84">
        <f>IF(ISBLANK('Q:\Abteilungsprojekte\eng\EngData\AOS\Allgemein\[LabSamples2025.xlsx]Bioplastic'!B84)," ",'Q:\Abteilungsprojekte\eng\EngData\AOS\Allgemein\[LabSamples2025.xlsx]Bioplastic'!B84)</f>
        <v/>
      </c>
      <c r="C84">
        <f>IF(ISBLANK('Q:\Abteilungsprojekte\eng\EngData\AOS\Allgemein\[LabSamples2025.xlsx]Bioplastic'!C84)," ",'Q:\Abteilungsprojekte\eng\EngData\AOS\Allgemein\[LabSamples2025.xlsx]Bioplastic'!C84)</f>
        <v/>
      </c>
      <c r="D84">
        <f>IF(ISBLANK('Q:\Abteilungsprojekte\eng\EngData\AOS\Allgemein\[LabSamples2025.xlsx]Bioplastic'!D84)," ",'Q:\Abteilungsprojekte\eng\EngData\AOS\Allgemein\[LabSamples2025.xlsx]Bioplastic'!D84)</f>
        <v/>
      </c>
      <c r="E84">
        <f>IF(ISBLANK('Q:\Abteilungsprojekte\eng\EngData\AOS\Allgemein\[LabSamples2025.xlsx]Bioplastic'!E84)," ",'Q:\Abteilungsprojekte\eng\EngData\AOS\Allgemein\[LabSamples2025.xlsx]Bioplastic'!E84)</f>
        <v/>
      </c>
      <c r="F84">
        <f>IF(ISBLANK('Q:\Abteilungsprojekte\eng\EngData\AOS\Allgemein\[LabSamples2025.xlsx]Bioplastic'!F84)," ",'Q:\Abteilungsprojekte\eng\EngData\AOS\Allgemein\[LabSamples2025.xlsx]Bioplastic'!F84)</f>
        <v/>
      </c>
      <c r="G84">
        <f>IF(ISBLANK('Q:\Abteilungsprojekte\eng\EngData\AOS\Allgemein\[LabSamples2025.xlsx]Bioplastic'!G84)," ",'Q:\Abteilungsprojekte\eng\EngData\AOS\Allgemein\[LabSamples2025.xlsx]Bioplastic'!G84)</f>
        <v/>
      </c>
      <c r="H84">
        <f>IF(ISBLANK('Q:\Abteilungsprojekte\eng\EngData\AOS\Allgemein\[LabSamples2025.xlsx]Bioplastic'!H84)," ",'Q:\Abteilungsprojekte\eng\EngData\AOS\Allgemein\[LabSamples2025.xlsx]Bioplastic'!H84)</f>
        <v/>
      </c>
    </row>
    <row r="85">
      <c r="A85">
        <f>IF(ISBLANK('Q:\Abteilungsprojekte\eng\EngData\AOS\Allgemein\[LabSamples2025.xlsx]Bioplastic'!A85)," ",'Q:\Abteilungsprojekte\eng\EngData\AOS\Allgemein\[LabSamples2025.xlsx]Bioplastic'!A85)</f>
        <v/>
      </c>
      <c r="B85">
        <f>IF(ISBLANK('Q:\Abteilungsprojekte\eng\EngData\AOS\Allgemein\[LabSamples2025.xlsx]Bioplastic'!B85)," ",'Q:\Abteilungsprojekte\eng\EngData\AOS\Allgemein\[LabSamples2025.xlsx]Bioplastic'!B85)</f>
        <v/>
      </c>
      <c r="C85">
        <f>IF(ISBLANK('Q:\Abteilungsprojekte\eng\EngData\AOS\Allgemein\[LabSamples2025.xlsx]Bioplastic'!C85)," ",'Q:\Abteilungsprojekte\eng\EngData\AOS\Allgemein\[LabSamples2025.xlsx]Bioplastic'!C85)</f>
        <v/>
      </c>
      <c r="D85">
        <f>IF(ISBLANK('Q:\Abteilungsprojekte\eng\EngData\AOS\Allgemein\[LabSamples2025.xlsx]Bioplastic'!D85)," ",'Q:\Abteilungsprojekte\eng\EngData\AOS\Allgemein\[LabSamples2025.xlsx]Bioplastic'!D85)</f>
        <v/>
      </c>
      <c r="E85">
        <f>IF(ISBLANK('Q:\Abteilungsprojekte\eng\EngData\AOS\Allgemein\[LabSamples2025.xlsx]Bioplastic'!E85)," ",'Q:\Abteilungsprojekte\eng\EngData\AOS\Allgemein\[LabSamples2025.xlsx]Bioplastic'!E85)</f>
        <v/>
      </c>
      <c r="F85">
        <f>IF(ISBLANK('Q:\Abteilungsprojekte\eng\EngData\AOS\Allgemein\[LabSamples2025.xlsx]Bioplastic'!F85)," ",'Q:\Abteilungsprojekte\eng\EngData\AOS\Allgemein\[LabSamples2025.xlsx]Bioplastic'!F85)</f>
        <v/>
      </c>
      <c r="G85">
        <f>IF(ISBLANK('Q:\Abteilungsprojekte\eng\EngData\AOS\Allgemein\[LabSamples2025.xlsx]Bioplastic'!G85)," ",'Q:\Abteilungsprojekte\eng\EngData\AOS\Allgemein\[LabSamples2025.xlsx]Bioplastic'!G85)</f>
        <v/>
      </c>
      <c r="H85">
        <f>IF(ISBLANK('Q:\Abteilungsprojekte\eng\EngData\AOS\Allgemein\[LabSamples2025.xlsx]Bioplastic'!H85)," ",'Q:\Abteilungsprojekte\eng\EngData\AOS\Allgemein\[LabSamples2025.xlsx]Bioplastic'!H85)</f>
        <v/>
      </c>
    </row>
    <row r="86">
      <c r="A86">
        <f>IF(ISBLANK('Q:\Abteilungsprojekte\eng\EngData\AOS\Allgemein\[LabSamples2025.xlsx]Bioplastic'!A86)," ",'Q:\Abteilungsprojekte\eng\EngData\AOS\Allgemein\[LabSamples2025.xlsx]Bioplastic'!A86)</f>
        <v/>
      </c>
      <c r="B86">
        <f>IF(ISBLANK('Q:\Abteilungsprojekte\eng\EngData\AOS\Allgemein\[LabSamples2025.xlsx]Bioplastic'!B86)," ",'Q:\Abteilungsprojekte\eng\EngData\AOS\Allgemein\[LabSamples2025.xlsx]Bioplastic'!B86)</f>
        <v/>
      </c>
      <c r="C86">
        <f>IF(ISBLANK('Q:\Abteilungsprojekte\eng\EngData\AOS\Allgemein\[LabSamples2025.xlsx]Bioplastic'!C86)," ",'Q:\Abteilungsprojekte\eng\EngData\AOS\Allgemein\[LabSamples2025.xlsx]Bioplastic'!C86)</f>
        <v/>
      </c>
      <c r="D86">
        <f>IF(ISBLANK('Q:\Abteilungsprojekte\eng\EngData\AOS\Allgemein\[LabSamples2025.xlsx]Bioplastic'!D86)," ",'Q:\Abteilungsprojekte\eng\EngData\AOS\Allgemein\[LabSamples2025.xlsx]Bioplastic'!D86)</f>
        <v/>
      </c>
      <c r="E86">
        <f>IF(ISBLANK('Q:\Abteilungsprojekte\eng\EngData\AOS\Allgemein\[LabSamples2025.xlsx]Bioplastic'!E86)," ",'Q:\Abteilungsprojekte\eng\EngData\AOS\Allgemein\[LabSamples2025.xlsx]Bioplastic'!E86)</f>
        <v/>
      </c>
      <c r="F86">
        <f>IF(ISBLANK('Q:\Abteilungsprojekte\eng\EngData\AOS\Allgemein\[LabSamples2025.xlsx]Bioplastic'!F86)," ",'Q:\Abteilungsprojekte\eng\EngData\AOS\Allgemein\[LabSamples2025.xlsx]Bioplastic'!F86)</f>
        <v/>
      </c>
      <c r="G86">
        <f>IF(ISBLANK('Q:\Abteilungsprojekte\eng\EngData\AOS\Allgemein\[LabSamples2025.xlsx]Bioplastic'!G86)," ",'Q:\Abteilungsprojekte\eng\EngData\AOS\Allgemein\[LabSamples2025.xlsx]Bioplastic'!G86)</f>
        <v/>
      </c>
      <c r="H86">
        <f>IF(ISBLANK('Q:\Abteilungsprojekte\eng\EngData\AOS\Allgemein\[LabSamples2025.xlsx]Bioplastic'!H86)," ",'Q:\Abteilungsprojekte\eng\EngData\AOS\Allgemein\[LabSamples2025.xlsx]Bioplastic'!H86)</f>
        <v/>
      </c>
    </row>
    <row r="87">
      <c r="A87">
        <f>IF(ISBLANK('Q:\Abteilungsprojekte\eng\EngData\AOS\Allgemein\[LabSamples2025.xlsx]Bioplastic'!A87)," ",'Q:\Abteilungsprojekte\eng\EngData\AOS\Allgemein\[LabSamples2025.xlsx]Bioplastic'!A87)</f>
        <v/>
      </c>
      <c r="B87">
        <f>IF(ISBLANK('Q:\Abteilungsprojekte\eng\EngData\AOS\Allgemein\[LabSamples2025.xlsx]Bioplastic'!B87)," ",'Q:\Abteilungsprojekte\eng\EngData\AOS\Allgemein\[LabSamples2025.xlsx]Bioplastic'!B87)</f>
        <v/>
      </c>
      <c r="C87">
        <f>IF(ISBLANK('Q:\Abteilungsprojekte\eng\EngData\AOS\Allgemein\[LabSamples2025.xlsx]Bioplastic'!C87)," ",'Q:\Abteilungsprojekte\eng\EngData\AOS\Allgemein\[LabSamples2025.xlsx]Bioplastic'!C87)</f>
        <v/>
      </c>
      <c r="D87">
        <f>IF(ISBLANK('Q:\Abteilungsprojekte\eng\EngData\AOS\Allgemein\[LabSamples2025.xlsx]Bioplastic'!D87)," ",'Q:\Abteilungsprojekte\eng\EngData\AOS\Allgemein\[LabSamples2025.xlsx]Bioplastic'!D87)</f>
        <v/>
      </c>
      <c r="E87">
        <f>IF(ISBLANK('Q:\Abteilungsprojekte\eng\EngData\AOS\Allgemein\[LabSamples2025.xlsx]Bioplastic'!E87)," ",'Q:\Abteilungsprojekte\eng\EngData\AOS\Allgemein\[LabSamples2025.xlsx]Bioplastic'!E87)</f>
        <v/>
      </c>
      <c r="F87">
        <f>IF(ISBLANK('Q:\Abteilungsprojekte\eng\EngData\AOS\Allgemein\[LabSamples2025.xlsx]Bioplastic'!F87)," ",'Q:\Abteilungsprojekte\eng\EngData\AOS\Allgemein\[LabSamples2025.xlsx]Bioplastic'!F87)</f>
        <v/>
      </c>
      <c r="G87">
        <f>IF(ISBLANK('Q:\Abteilungsprojekte\eng\EngData\AOS\Allgemein\[LabSamples2025.xlsx]Bioplastic'!G87)," ",'Q:\Abteilungsprojekte\eng\EngData\AOS\Allgemein\[LabSamples2025.xlsx]Bioplastic'!G87)</f>
        <v/>
      </c>
      <c r="H87">
        <f>IF(ISBLANK('Q:\Abteilungsprojekte\eng\EngData\AOS\Allgemein\[LabSamples2025.xlsx]Bioplastic'!H87)," ",'Q:\Abteilungsprojekte\eng\EngData\AOS\Allgemein\[LabSamples2025.xlsx]Bioplastic'!H87)</f>
        <v/>
      </c>
    </row>
    <row r="88">
      <c r="A88">
        <f>IF(ISBLANK('Q:\Abteilungsprojekte\eng\EngData\AOS\Allgemein\[LabSamples2025.xlsx]Bioplastic'!A88)," ",'Q:\Abteilungsprojekte\eng\EngData\AOS\Allgemein\[LabSamples2025.xlsx]Bioplastic'!A88)</f>
        <v/>
      </c>
      <c r="B88">
        <f>IF(ISBLANK('Q:\Abteilungsprojekte\eng\EngData\AOS\Allgemein\[LabSamples2025.xlsx]Bioplastic'!B88)," ",'Q:\Abteilungsprojekte\eng\EngData\AOS\Allgemein\[LabSamples2025.xlsx]Bioplastic'!B88)</f>
        <v/>
      </c>
      <c r="C88">
        <f>IF(ISBLANK('Q:\Abteilungsprojekte\eng\EngData\AOS\Allgemein\[LabSamples2025.xlsx]Bioplastic'!C88)," ",'Q:\Abteilungsprojekte\eng\EngData\AOS\Allgemein\[LabSamples2025.xlsx]Bioplastic'!C88)</f>
        <v/>
      </c>
      <c r="D88">
        <f>IF(ISBLANK('Q:\Abteilungsprojekte\eng\EngData\AOS\Allgemein\[LabSamples2025.xlsx]Bioplastic'!D88)," ",'Q:\Abteilungsprojekte\eng\EngData\AOS\Allgemein\[LabSamples2025.xlsx]Bioplastic'!D88)</f>
        <v/>
      </c>
      <c r="E88">
        <f>IF(ISBLANK('Q:\Abteilungsprojekte\eng\EngData\AOS\Allgemein\[LabSamples2025.xlsx]Bioplastic'!E88)," ",'Q:\Abteilungsprojekte\eng\EngData\AOS\Allgemein\[LabSamples2025.xlsx]Bioplastic'!E88)</f>
        <v/>
      </c>
      <c r="F88">
        <f>IF(ISBLANK('Q:\Abteilungsprojekte\eng\EngData\AOS\Allgemein\[LabSamples2025.xlsx]Bioplastic'!F88)," ",'Q:\Abteilungsprojekte\eng\EngData\AOS\Allgemein\[LabSamples2025.xlsx]Bioplastic'!F88)</f>
        <v/>
      </c>
      <c r="G88">
        <f>IF(ISBLANK('Q:\Abteilungsprojekte\eng\EngData\AOS\Allgemein\[LabSamples2025.xlsx]Bioplastic'!G88)," ",'Q:\Abteilungsprojekte\eng\EngData\AOS\Allgemein\[LabSamples2025.xlsx]Bioplastic'!G88)</f>
        <v/>
      </c>
      <c r="H88">
        <f>IF(ISBLANK('Q:\Abteilungsprojekte\eng\EngData\AOS\Allgemein\[LabSamples2025.xlsx]Bioplastic'!H88)," ",'Q:\Abteilungsprojekte\eng\EngData\AOS\Allgemein\[LabSamples2025.xlsx]Bioplastic'!H88)</f>
        <v/>
      </c>
    </row>
    <row r="89">
      <c r="A89">
        <f>IF(ISBLANK('Q:\Abteilungsprojekte\eng\EngData\AOS\Allgemein\[LabSamples2025.xlsx]Bioplastic'!A89)," ",'Q:\Abteilungsprojekte\eng\EngData\AOS\Allgemein\[LabSamples2025.xlsx]Bioplastic'!A89)</f>
        <v/>
      </c>
      <c r="B89">
        <f>IF(ISBLANK('Q:\Abteilungsprojekte\eng\EngData\AOS\Allgemein\[LabSamples2025.xlsx]Bioplastic'!B89)," ",'Q:\Abteilungsprojekte\eng\EngData\AOS\Allgemein\[LabSamples2025.xlsx]Bioplastic'!B89)</f>
        <v/>
      </c>
      <c r="C89">
        <f>IF(ISBLANK('Q:\Abteilungsprojekte\eng\EngData\AOS\Allgemein\[LabSamples2025.xlsx]Bioplastic'!C89)," ",'Q:\Abteilungsprojekte\eng\EngData\AOS\Allgemein\[LabSamples2025.xlsx]Bioplastic'!C89)</f>
        <v/>
      </c>
      <c r="D89">
        <f>IF(ISBLANK('Q:\Abteilungsprojekte\eng\EngData\AOS\Allgemein\[LabSamples2025.xlsx]Bioplastic'!D89)," ",'Q:\Abteilungsprojekte\eng\EngData\AOS\Allgemein\[LabSamples2025.xlsx]Bioplastic'!D89)</f>
        <v/>
      </c>
      <c r="E89">
        <f>IF(ISBLANK('Q:\Abteilungsprojekte\eng\EngData\AOS\Allgemein\[LabSamples2025.xlsx]Bioplastic'!E89)," ",'Q:\Abteilungsprojekte\eng\EngData\AOS\Allgemein\[LabSamples2025.xlsx]Bioplastic'!E89)</f>
        <v/>
      </c>
      <c r="F89">
        <f>IF(ISBLANK('Q:\Abteilungsprojekte\eng\EngData\AOS\Allgemein\[LabSamples2025.xlsx]Bioplastic'!F89)," ",'Q:\Abteilungsprojekte\eng\EngData\AOS\Allgemein\[LabSamples2025.xlsx]Bioplastic'!F89)</f>
        <v/>
      </c>
      <c r="G89">
        <f>IF(ISBLANK('Q:\Abteilungsprojekte\eng\EngData\AOS\Allgemein\[LabSamples2025.xlsx]Bioplastic'!G89)," ",'Q:\Abteilungsprojekte\eng\EngData\AOS\Allgemein\[LabSamples2025.xlsx]Bioplastic'!G89)</f>
        <v/>
      </c>
      <c r="H89">
        <f>IF(ISBLANK('Q:\Abteilungsprojekte\eng\EngData\AOS\Allgemein\[LabSamples2025.xlsx]Bioplastic'!H89)," ",'Q:\Abteilungsprojekte\eng\EngData\AOS\Allgemein\[LabSamples2025.xlsx]Bioplastic'!H89)</f>
        <v/>
      </c>
    </row>
    <row r="90">
      <c r="A90">
        <f>IF(ISBLANK('Q:\Abteilungsprojekte\eng\EngData\AOS\Allgemein\[LabSamples2025.xlsx]Bioplastic'!A90)," ",'Q:\Abteilungsprojekte\eng\EngData\AOS\Allgemein\[LabSamples2025.xlsx]Bioplastic'!A90)</f>
        <v/>
      </c>
      <c r="B90">
        <f>IF(ISBLANK('Q:\Abteilungsprojekte\eng\EngData\AOS\Allgemein\[LabSamples2025.xlsx]Bioplastic'!B90)," ",'Q:\Abteilungsprojekte\eng\EngData\AOS\Allgemein\[LabSamples2025.xlsx]Bioplastic'!B90)</f>
        <v/>
      </c>
      <c r="C90">
        <f>IF(ISBLANK('Q:\Abteilungsprojekte\eng\EngData\AOS\Allgemein\[LabSamples2025.xlsx]Bioplastic'!C90)," ",'Q:\Abteilungsprojekte\eng\EngData\AOS\Allgemein\[LabSamples2025.xlsx]Bioplastic'!C90)</f>
        <v/>
      </c>
      <c r="D90">
        <f>IF(ISBLANK('Q:\Abteilungsprojekte\eng\EngData\AOS\Allgemein\[LabSamples2025.xlsx]Bioplastic'!D90)," ",'Q:\Abteilungsprojekte\eng\EngData\AOS\Allgemein\[LabSamples2025.xlsx]Bioplastic'!D90)</f>
        <v/>
      </c>
      <c r="E90">
        <f>IF(ISBLANK('Q:\Abteilungsprojekte\eng\EngData\AOS\Allgemein\[LabSamples2025.xlsx]Bioplastic'!E90)," ",'Q:\Abteilungsprojekte\eng\EngData\AOS\Allgemein\[LabSamples2025.xlsx]Bioplastic'!E90)</f>
        <v/>
      </c>
      <c r="F90">
        <f>IF(ISBLANK('Q:\Abteilungsprojekte\eng\EngData\AOS\Allgemein\[LabSamples2025.xlsx]Bioplastic'!F90)," ",'Q:\Abteilungsprojekte\eng\EngData\AOS\Allgemein\[LabSamples2025.xlsx]Bioplastic'!F90)</f>
        <v/>
      </c>
      <c r="G90">
        <f>IF(ISBLANK('Q:\Abteilungsprojekte\eng\EngData\AOS\Allgemein\[LabSamples2025.xlsx]Bioplastic'!G90)," ",'Q:\Abteilungsprojekte\eng\EngData\AOS\Allgemein\[LabSamples2025.xlsx]Bioplastic'!G90)</f>
        <v/>
      </c>
      <c r="H90">
        <f>IF(ISBLANK('Q:\Abteilungsprojekte\eng\EngData\AOS\Allgemein\[LabSamples2025.xlsx]Bioplastic'!H90)," ",'Q:\Abteilungsprojekte\eng\EngData\AOS\Allgemein\[LabSamples2025.xlsx]Bioplastic'!H90)</f>
        <v/>
      </c>
    </row>
    <row r="91">
      <c r="A91">
        <f>IF(ISBLANK('Q:\Abteilungsprojekte\eng\EngData\AOS\Allgemein\[LabSamples2025.xlsx]Bioplastic'!A91)," ",'Q:\Abteilungsprojekte\eng\EngData\AOS\Allgemein\[LabSamples2025.xlsx]Bioplastic'!A91)</f>
        <v/>
      </c>
      <c r="B91">
        <f>IF(ISBLANK('Q:\Abteilungsprojekte\eng\EngData\AOS\Allgemein\[LabSamples2025.xlsx]Bioplastic'!B91)," ",'Q:\Abteilungsprojekte\eng\EngData\AOS\Allgemein\[LabSamples2025.xlsx]Bioplastic'!B91)</f>
        <v/>
      </c>
      <c r="C91">
        <f>IF(ISBLANK('Q:\Abteilungsprojekte\eng\EngData\AOS\Allgemein\[LabSamples2025.xlsx]Bioplastic'!C91)," ",'Q:\Abteilungsprojekte\eng\EngData\AOS\Allgemein\[LabSamples2025.xlsx]Bioplastic'!C91)</f>
        <v/>
      </c>
      <c r="D91">
        <f>IF(ISBLANK('Q:\Abteilungsprojekte\eng\EngData\AOS\Allgemein\[LabSamples2025.xlsx]Bioplastic'!D91)," ",'Q:\Abteilungsprojekte\eng\EngData\AOS\Allgemein\[LabSamples2025.xlsx]Bioplastic'!D91)</f>
        <v/>
      </c>
      <c r="E91">
        <f>IF(ISBLANK('Q:\Abteilungsprojekte\eng\EngData\AOS\Allgemein\[LabSamples2025.xlsx]Bioplastic'!E91)," ",'Q:\Abteilungsprojekte\eng\EngData\AOS\Allgemein\[LabSamples2025.xlsx]Bioplastic'!E91)</f>
        <v/>
      </c>
      <c r="F91">
        <f>IF(ISBLANK('Q:\Abteilungsprojekte\eng\EngData\AOS\Allgemein\[LabSamples2025.xlsx]Bioplastic'!F91)," ",'Q:\Abteilungsprojekte\eng\EngData\AOS\Allgemein\[LabSamples2025.xlsx]Bioplastic'!F91)</f>
        <v/>
      </c>
      <c r="G91">
        <f>IF(ISBLANK('Q:\Abteilungsprojekte\eng\EngData\AOS\Allgemein\[LabSamples2025.xlsx]Bioplastic'!G91)," ",'Q:\Abteilungsprojekte\eng\EngData\AOS\Allgemein\[LabSamples2025.xlsx]Bioplastic'!G91)</f>
        <v/>
      </c>
      <c r="H91">
        <f>IF(ISBLANK('Q:\Abteilungsprojekte\eng\EngData\AOS\Allgemein\[LabSamples2025.xlsx]Bioplastic'!H91)," ",'Q:\Abteilungsprojekte\eng\EngData\AOS\Allgemein\[LabSamples2025.xlsx]Bioplastic'!H91)</f>
        <v/>
      </c>
    </row>
    <row r="92">
      <c r="A92">
        <f>IF(ISBLANK('Q:\Abteilungsprojekte\eng\EngData\AOS\Allgemein\[LabSamples2025.xlsx]Bioplastic'!A92)," ",'Q:\Abteilungsprojekte\eng\EngData\AOS\Allgemein\[LabSamples2025.xlsx]Bioplastic'!A92)</f>
        <v/>
      </c>
      <c r="B92">
        <f>IF(ISBLANK('Q:\Abteilungsprojekte\eng\EngData\AOS\Allgemein\[LabSamples2025.xlsx]Bioplastic'!B92)," ",'Q:\Abteilungsprojekte\eng\EngData\AOS\Allgemein\[LabSamples2025.xlsx]Bioplastic'!B92)</f>
        <v/>
      </c>
      <c r="C92">
        <f>IF(ISBLANK('Q:\Abteilungsprojekte\eng\EngData\AOS\Allgemein\[LabSamples2025.xlsx]Bioplastic'!C92)," ",'Q:\Abteilungsprojekte\eng\EngData\AOS\Allgemein\[LabSamples2025.xlsx]Bioplastic'!C92)</f>
        <v/>
      </c>
      <c r="D92">
        <f>IF(ISBLANK('Q:\Abteilungsprojekte\eng\EngData\AOS\Allgemein\[LabSamples2025.xlsx]Bioplastic'!D92)," ",'Q:\Abteilungsprojekte\eng\EngData\AOS\Allgemein\[LabSamples2025.xlsx]Bioplastic'!D92)</f>
        <v/>
      </c>
      <c r="E92">
        <f>IF(ISBLANK('Q:\Abteilungsprojekte\eng\EngData\AOS\Allgemein\[LabSamples2025.xlsx]Bioplastic'!E92)," ",'Q:\Abteilungsprojekte\eng\EngData\AOS\Allgemein\[LabSamples2025.xlsx]Bioplastic'!E92)</f>
        <v/>
      </c>
      <c r="F92">
        <f>IF(ISBLANK('Q:\Abteilungsprojekte\eng\EngData\AOS\Allgemein\[LabSamples2025.xlsx]Bioplastic'!F92)," ",'Q:\Abteilungsprojekte\eng\EngData\AOS\Allgemein\[LabSamples2025.xlsx]Bioplastic'!F92)</f>
        <v/>
      </c>
      <c r="G92">
        <f>IF(ISBLANK('Q:\Abteilungsprojekte\eng\EngData\AOS\Allgemein\[LabSamples2025.xlsx]Bioplastic'!G92)," ",'Q:\Abteilungsprojekte\eng\EngData\AOS\Allgemein\[LabSamples2025.xlsx]Bioplastic'!G92)</f>
        <v/>
      </c>
      <c r="H92">
        <f>IF(ISBLANK('Q:\Abteilungsprojekte\eng\EngData\AOS\Allgemein\[LabSamples2025.xlsx]Bioplastic'!H92)," ",'Q:\Abteilungsprojekte\eng\EngData\AOS\Allgemein\[LabSamples2025.xlsx]Bioplastic'!H92)</f>
        <v/>
      </c>
    </row>
    <row r="93">
      <c r="A93">
        <f>IF(ISBLANK('Q:\Abteilungsprojekte\eng\EngData\AOS\Allgemein\[LabSamples2025.xlsx]Bioplastic'!A93)," ",'Q:\Abteilungsprojekte\eng\EngData\AOS\Allgemein\[LabSamples2025.xlsx]Bioplastic'!A93)</f>
        <v/>
      </c>
      <c r="B93">
        <f>IF(ISBLANK('Q:\Abteilungsprojekte\eng\EngData\AOS\Allgemein\[LabSamples2025.xlsx]Bioplastic'!B93)," ",'Q:\Abteilungsprojekte\eng\EngData\AOS\Allgemein\[LabSamples2025.xlsx]Bioplastic'!B93)</f>
        <v/>
      </c>
      <c r="C93">
        <f>IF(ISBLANK('Q:\Abteilungsprojekte\eng\EngData\AOS\Allgemein\[LabSamples2025.xlsx]Bioplastic'!C93)," ",'Q:\Abteilungsprojekte\eng\EngData\AOS\Allgemein\[LabSamples2025.xlsx]Bioplastic'!C93)</f>
        <v/>
      </c>
      <c r="D93">
        <f>IF(ISBLANK('Q:\Abteilungsprojekte\eng\EngData\AOS\Allgemein\[LabSamples2025.xlsx]Bioplastic'!D93)," ",'Q:\Abteilungsprojekte\eng\EngData\AOS\Allgemein\[LabSamples2025.xlsx]Bioplastic'!D93)</f>
        <v/>
      </c>
      <c r="E93">
        <f>IF(ISBLANK('Q:\Abteilungsprojekte\eng\EngData\AOS\Allgemein\[LabSamples2025.xlsx]Bioplastic'!E93)," ",'Q:\Abteilungsprojekte\eng\EngData\AOS\Allgemein\[LabSamples2025.xlsx]Bioplastic'!E93)</f>
        <v/>
      </c>
      <c r="F93">
        <f>IF(ISBLANK('Q:\Abteilungsprojekte\eng\EngData\AOS\Allgemein\[LabSamples2025.xlsx]Bioplastic'!F93)," ",'Q:\Abteilungsprojekte\eng\EngData\AOS\Allgemein\[LabSamples2025.xlsx]Bioplastic'!F93)</f>
        <v/>
      </c>
      <c r="G93">
        <f>IF(ISBLANK('Q:\Abteilungsprojekte\eng\EngData\AOS\Allgemein\[LabSamples2025.xlsx]Bioplastic'!G93)," ",'Q:\Abteilungsprojekte\eng\EngData\AOS\Allgemein\[LabSamples2025.xlsx]Bioplastic'!G93)</f>
        <v/>
      </c>
      <c r="H93">
        <f>IF(ISBLANK('Q:\Abteilungsprojekte\eng\EngData\AOS\Allgemein\[LabSamples2025.xlsx]Bioplastic'!H93)," ",'Q:\Abteilungsprojekte\eng\EngData\AOS\Allgemein\[LabSamples2025.xlsx]Bioplastic'!H93)</f>
        <v/>
      </c>
    </row>
    <row r="94">
      <c r="A94">
        <f>IF(ISBLANK('Q:\Abteilungsprojekte\eng\EngData\AOS\Allgemein\[LabSamples2025.xlsx]Bioplastic'!A94)," ",'Q:\Abteilungsprojekte\eng\EngData\AOS\Allgemein\[LabSamples2025.xlsx]Bioplastic'!A94)</f>
        <v/>
      </c>
      <c r="B94">
        <f>IF(ISBLANK('Q:\Abteilungsprojekte\eng\EngData\AOS\Allgemein\[LabSamples2025.xlsx]Bioplastic'!B94)," ",'Q:\Abteilungsprojekte\eng\EngData\AOS\Allgemein\[LabSamples2025.xlsx]Bioplastic'!B94)</f>
        <v/>
      </c>
      <c r="C94">
        <f>IF(ISBLANK('Q:\Abteilungsprojekte\eng\EngData\AOS\Allgemein\[LabSamples2025.xlsx]Bioplastic'!C94)," ",'Q:\Abteilungsprojekte\eng\EngData\AOS\Allgemein\[LabSamples2025.xlsx]Bioplastic'!C94)</f>
        <v/>
      </c>
      <c r="D94">
        <f>IF(ISBLANK('Q:\Abteilungsprojekte\eng\EngData\AOS\Allgemein\[LabSamples2025.xlsx]Bioplastic'!D94)," ",'Q:\Abteilungsprojekte\eng\EngData\AOS\Allgemein\[LabSamples2025.xlsx]Bioplastic'!D94)</f>
        <v/>
      </c>
      <c r="E94">
        <f>IF(ISBLANK('Q:\Abteilungsprojekte\eng\EngData\AOS\Allgemein\[LabSamples2025.xlsx]Bioplastic'!E94)," ",'Q:\Abteilungsprojekte\eng\EngData\AOS\Allgemein\[LabSamples2025.xlsx]Bioplastic'!E94)</f>
        <v/>
      </c>
      <c r="F94">
        <f>IF(ISBLANK('Q:\Abteilungsprojekte\eng\EngData\AOS\Allgemein\[LabSamples2025.xlsx]Bioplastic'!F94)," ",'Q:\Abteilungsprojekte\eng\EngData\AOS\Allgemein\[LabSamples2025.xlsx]Bioplastic'!F94)</f>
        <v/>
      </c>
      <c r="G94">
        <f>IF(ISBLANK('Q:\Abteilungsprojekte\eng\EngData\AOS\Allgemein\[LabSamples2025.xlsx]Bioplastic'!G94)," ",'Q:\Abteilungsprojekte\eng\EngData\AOS\Allgemein\[LabSamples2025.xlsx]Bioplastic'!G94)</f>
        <v/>
      </c>
      <c r="H94">
        <f>IF(ISBLANK('Q:\Abteilungsprojekte\eng\EngData\AOS\Allgemein\[LabSamples2025.xlsx]Bioplastic'!H94)," ",'Q:\Abteilungsprojekte\eng\EngData\AOS\Allgemein\[LabSamples2025.xlsx]Bioplastic'!H94)</f>
        <v/>
      </c>
    </row>
    <row r="95">
      <c r="A95">
        <f>IF(ISBLANK('Q:\Abteilungsprojekte\eng\EngData\AOS\Allgemein\[LabSamples2025.xlsx]Bioplastic'!A95)," ",'Q:\Abteilungsprojekte\eng\EngData\AOS\Allgemein\[LabSamples2025.xlsx]Bioplastic'!A95)</f>
        <v/>
      </c>
      <c r="B95">
        <f>IF(ISBLANK('Q:\Abteilungsprojekte\eng\EngData\AOS\Allgemein\[LabSamples2025.xlsx]Bioplastic'!B95)," ",'Q:\Abteilungsprojekte\eng\EngData\AOS\Allgemein\[LabSamples2025.xlsx]Bioplastic'!B95)</f>
        <v/>
      </c>
      <c r="C95">
        <f>IF(ISBLANK('Q:\Abteilungsprojekte\eng\EngData\AOS\Allgemein\[LabSamples2025.xlsx]Bioplastic'!C95)," ",'Q:\Abteilungsprojekte\eng\EngData\AOS\Allgemein\[LabSamples2025.xlsx]Bioplastic'!C95)</f>
        <v/>
      </c>
      <c r="D95">
        <f>IF(ISBLANK('Q:\Abteilungsprojekte\eng\EngData\AOS\Allgemein\[LabSamples2025.xlsx]Bioplastic'!D95)," ",'Q:\Abteilungsprojekte\eng\EngData\AOS\Allgemein\[LabSamples2025.xlsx]Bioplastic'!D95)</f>
        <v/>
      </c>
      <c r="E95">
        <f>IF(ISBLANK('Q:\Abteilungsprojekte\eng\EngData\AOS\Allgemein\[LabSamples2025.xlsx]Bioplastic'!E95)," ",'Q:\Abteilungsprojekte\eng\EngData\AOS\Allgemein\[LabSamples2025.xlsx]Bioplastic'!E95)</f>
        <v/>
      </c>
      <c r="F95">
        <f>IF(ISBLANK('Q:\Abteilungsprojekte\eng\EngData\AOS\Allgemein\[LabSamples2025.xlsx]Bioplastic'!F95)," ",'Q:\Abteilungsprojekte\eng\EngData\AOS\Allgemein\[LabSamples2025.xlsx]Bioplastic'!F95)</f>
        <v/>
      </c>
      <c r="G95">
        <f>IF(ISBLANK('Q:\Abteilungsprojekte\eng\EngData\AOS\Allgemein\[LabSamples2025.xlsx]Bioplastic'!G95)," ",'Q:\Abteilungsprojekte\eng\EngData\AOS\Allgemein\[LabSamples2025.xlsx]Bioplastic'!G95)</f>
        <v/>
      </c>
      <c r="H95">
        <f>IF(ISBLANK('Q:\Abteilungsprojekte\eng\EngData\AOS\Allgemein\[LabSamples2025.xlsx]Bioplastic'!H95)," ",'Q:\Abteilungsprojekte\eng\EngData\AOS\Allgemein\[LabSamples2025.xlsx]Bioplastic'!H95)</f>
        <v/>
      </c>
    </row>
    <row r="96">
      <c r="A96">
        <f>IF(ISBLANK('Q:\Abteilungsprojekte\eng\EngData\AOS\Allgemein\[LabSamples2025.xlsx]Bioplastic'!A96)," ",'Q:\Abteilungsprojekte\eng\EngData\AOS\Allgemein\[LabSamples2025.xlsx]Bioplastic'!A96)</f>
        <v/>
      </c>
      <c r="B96">
        <f>IF(ISBLANK('Q:\Abteilungsprojekte\eng\EngData\AOS\Allgemein\[LabSamples2025.xlsx]Bioplastic'!B96)," ",'Q:\Abteilungsprojekte\eng\EngData\AOS\Allgemein\[LabSamples2025.xlsx]Bioplastic'!B96)</f>
        <v/>
      </c>
      <c r="C96">
        <f>IF(ISBLANK('Q:\Abteilungsprojekte\eng\EngData\AOS\Allgemein\[LabSamples2025.xlsx]Bioplastic'!C96)," ",'Q:\Abteilungsprojekte\eng\EngData\AOS\Allgemein\[LabSamples2025.xlsx]Bioplastic'!C96)</f>
        <v/>
      </c>
      <c r="D96">
        <f>IF(ISBLANK('Q:\Abteilungsprojekte\eng\EngData\AOS\Allgemein\[LabSamples2025.xlsx]Bioplastic'!D96)," ",'Q:\Abteilungsprojekte\eng\EngData\AOS\Allgemein\[LabSamples2025.xlsx]Bioplastic'!D96)</f>
        <v/>
      </c>
      <c r="E96">
        <f>IF(ISBLANK('Q:\Abteilungsprojekte\eng\EngData\AOS\Allgemein\[LabSamples2025.xlsx]Bioplastic'!E96)," ",'Q:\Abteilungsprojekte\eng\EngData\AOS\Allgemein\[LabSamples2025.xlsx]Bioplastic'!E96)</f>
        <v/>
      </c>
      <c r="F96">
        <f>IF(ISBLANK('Q:\Abteilungsprojekte\eng\EngData\AOS\Allgemein\[LabSamples2025.xlsx]Bioplastic'!F96)," ",'Q:\Abteilungsprojekte\eng\EngData\AOS\Allgemein\[LabSamples2025.xlsx]Bioplastic'!F96)</f>
        <v/>
      </c>
      <c r="G96">
        <f>IF(ISBLANK('Q:\Abteilungsprojekte\eng\EngData\AOS\Allgemein\[LabSamples2025.xlsx]Bioplastic'!G96)," ",'Q:\Abteilungsprojekte\eng\EngData\AOS\Allgemein\[LabSamples2025.xlsx]Bioplastic'!G96)</f>
        <v/>
      </c>
      <c r="H96">
        <f>IF(ISBLANK('Q:\Abteilungsprojekte\eng\EngData\AOS\Allgemein\[LabSamples2025.xlsx]Bioplastic'!H96)," ",'Q:\Abteilungsprojekte\eng\EngData\AOS\Allgemein\[LabSamples2025.xlsx]Bioplastic'!H96)</f>
        <v/>
      </c>
    </row>
    <row r="97">
      <c r="A97">
        <f>IF(ISBLANK('Q:\Abteilungsprojekte\eng\EngData\AOS\Allgemein\[LabSamples2025.xlsx]Bioplastic'!A97)," ",'Q:\Abteilungsprojekte\eng\EngData\AOS\Allgemein\[LabSamples2025.xlsx]Bioplastic'!A97)</f>
        <v/>
      </c>
      <c r="B97">
        <f>IF(ISBLANK('Q:\Abteilungsprojekte\eng\EngData\AOS\Allgemein\[LabSamples2025.xlsx]Bioplastic'!B97)," ",'Q:\Abteilungsprojekte\eng\EngData\AOS\Allgemein\[LabSamples2025.xlsx]Bioplastic'!B97)</f>
        <v/>
      </c>
      <c r="C97">
        <f>IF(ISBLANK('Q:\Abteilungsprojekte\eng\EngData\AOS\Allgemein\[LabSamples2025.xlsx]Bioplastic'!C97)," ",'Q:\Abteilungsprojekte\eng\EngData\AOS\Allgemein\[LabSamples2025.xlsx]Bioplastic'!C97)</f>
        <v/>
      </c>
      <c r="D97">
        <f>IF(ISBLANK('Q:\Abteilungsprojekte\eng\EngData\AOS\Allgemein\[LabSamples2025.xlsx]Bioplastic'!D97)," ",'Q:\Abteilungsprojekte\eng\EngData\AOS\Allgemein\[LabSamples2025.xlsx]Bioplastic'!D97)</f>
        <v/>
      </c>
      <c r="E97">
        <f>IF(ISBLANK('Q:\Abteilungsprojekte\eng\EngData\AOS\Allgemein\[LabSamples2025.xlsx]Bioplastic'!E97)," ",'Q:\Abteilungsprojekte\eng\EngData\AOS\Allgemein\[LabSamples2025.xlsx]Bioplastic'!E97)</f>
        <v/>
      </c>
      <c r="F97">
        <f>IF(ISBLANK('Q:\Abteilungsprojekte\eng\EngData\AOS\Allgemein\[LabSamples2025.xlsx]Bioplastic'!F97)," ",'Q:\Abteilungsprojekte\eng\EngData\AOS\Allgemein\[LabSamples2025.xlsx]Bioplastic'!F97)</f>
        <v/>
      </c>
      <c r="G97">
        <f>IF(ISBLANK('Q:\Abteilungsprojekte\eng\EngData\AOS\Allgemein\[LabSamples2025.xlsx]Bioplastic'!G97)," ",'Q:\Abteilungsprojekte\eng\EngData\AOS\Allgemein\[LabSamples2025.xlsx]Bioplastic'!G97)</f>
        <v/>
      </c>
      <c r="H97">
        <f>IF(ISBLANK('Q:\Abteilungsprojekte\eng\EngData\AOS\Allgemein\[LabSamples2025.xlsx]Bioplastic'!H97)," ",'Q:\Abteilungsprojekte\eng\EngData\AOS\Allgemein\[LabSamples2025.xlsx]Bioplastic'!H97)</f>
        <v/>
      </c>
    </row>
    <row r="98">
      <c r="A98">
        <f>IF(ISBLANK('Q:\Abteilungsprojekte\eng\EngData\AOS\Allgemein\[LabSamples2025.xlsx]Bioplastic'!A98)," ",'Q:\Abteilungsprojekte\eng\EngData\AOS\Allgemein\[LabSamples2025.xlsx]Bioplastic'!A98)</f>
        <v/>
      </c>
      <c r="B98">
        <f>IF(ISBLANK('Q:\Abteilungsprojekte\eng\EngData\AOS\Allgemein\[LabSamples2025.xlsx]Bioplastic'!B98)," ",'Q:\Abteilungsprojekte\eng\EngData\AOS\Allgemein\[LabSamples2025.xlsx]Bioplastic'!B98)</f>
        <v/>
      </c>
      <c r="C98">
        <f>IF(ISBLANK('Q:\Abteilungsprojekte\eng\EngData\AOS\Allgemein\[LabSamples2025.xlsx]Bioplastic'!C98)," ",'Q:\Abteilungsprojekte\eng\EngData\AOS\Allgemein\[LabSamples2025.xlsx]Bioplastic'!C98)</f>
        <v/>
      </c>
      <c r="D98">
        <f>IF(ISBLANK('Q:\Abteilungsprojekte\eng\EngData\AOS\Allgemein\[LabSamples2025.xlsx]Bioplastic'!D98)," ",'Q:\Abteilungsprojekte\eng\EngData\AOS\Allgemein\[LabSamples2025.xlsx]Bioplastic'!D98)</f>
        <v/>
      </c>
      <c r="E98">
        <f>IF(ISBLANK('Q:\Abteilungsprojekte\eng\EngData\AOS\Allgemein\[LabSamples2025.xlsx]Bioplastic'!E98)," ",'Q:\Abteilungsprojekte\eng\EngData\AOS\Allgemein\[LabSamples2025.xlsx]Bioplastic'!E98)</f>
        <v/>
      </c>
      <c r="F98">
        <f>IF(ISBLANK('Q:\Abteilungsprojekte\eng\EngData\AOS\Allgemein\[LabSamples2025.xlsx]Bioplastic'!F98)," ",'Q:\Abteilungsprojekte\eng\EngData\AOS\Allgemein\[LabSamples2025.xlsx]Bioplastic'!F98)</f>
        <v/>
      </c>
      <c r="G98">
        <f>IF(ISBLANK('Q:\Abteilungsprojekte\eng\EngData\AOS\Allgemein\[LabSamples2025.xlsx]Bioplastic'!G98)," ",'Q:\Abteilungsprojekte\eng\EngData\AOS\Allgemein\[LabSamples2025.xlsx]Bioplastic'!G98)</f>
        <v/>
      </c>
      <c r="H98">
        <f>IF(ISBLANK('Q:\Abteilungsprojekte\eng\EngData\AOS\Allgemein\[LabSamples2025.xlsx]Bioplastic'!H98)," ",'Q:\Abteilungsprojekte\eng\EngData\AOS\Allgemein\[LabSamples2025.xlsx]Bioplastic'!H98)</f>
        <v/>
      </c>
    </row>
    <row r="99">
      <c r="A99">
        <f>IF(ISBLANK('Q:\Abteilungsprojekte\eng\EngData\AOS\Allgemein\[LabSamples2025.xlsx]Bioplastic'!A99)," ",'Q:\Abteilungsprojekte\eng\EngData\AOS\Allgemein\[LabSamples2025.xlsx]Bioplastic'!A99)</f>
        <v/>
      </c>
      <c r="B99">
        <f>IF(ISBLANK('Q:\Abteilungsprojekte\eng\EngData\AOS\Allgemein\[LabSamples2025.xlsx]Bioplastic'!B99)," ",'Q:\Abteilungsprojekte\eng\EngData\AOS\Allgemein\[LabSamples2025.xlsx]Bioplastic'!B99)</f>
        <v/>
      </c>
      <c r="C99">
        <f>IF(ISBLANK('Q:\Abteilungsprojekte\eng\EngData\AOS\Allgemein\[LabSamples2025.xlsx]Bioplastic'!C99)," ",'Q:\Abteilungsprojekte\eng\EngData\AOS\Allgemein\[LabSamples2025.xlsx]Bioplastic'!C99)</f>
        <v/>
      </c>
      <c r="D99">
        <f>IF(ISBLANK('Q:\Abteilungsprojekte\eng\EngData\AOS\Allgemein\[LabSamples2025.xlsx]Bioplastic'!D99)," ",'Q:\Abteilungsprojekte\eng\EngData\AOS\Allgemein\[LabSamples2025.xlsx]Bioplastic'!D99)</f>
        <v/>
      </c>
      <c r="E99">
        <f>IF(ISBLANK('Q:\Abteilungsprojekte\eng\EngData\AOS\Allgemein\[LabSamples2025.xlsx]Bioplastic'!E99)," ",'Q:\Abteilungsprojekte\eng\EngData\AOS\Allgemein\[LabSamples2025.xlsx]Bioplastic'!E99)</f>
        <v/>
      </c>
      <c r="F99">
        <f>IF(ISBLANK('Q:\Abteilungsprojekte\eng\EngData\AOS\Allgemein\[LabSamples2025.xlsx]Bioplastic'!F99)," ",'Q:\Abteilungsprojekte\eng\EngData\AOS\Allgemein\[LabSamples2025.xlsx]Bioplastic'!F99)</f>
        <v/>
      </c>
      <c r="G99">
        <f>IF(ISBLANK('Q:\Abteilungsprojekte\eng\EngData\AOS\Allgemein\[LabSamples2025.xlsx]Bioplastic'!G99)," ",'Q:\Abteilungsprojekte\eng\EngData\AOS\Allgemein\[LabSamples2025.xlsx]Bioplastic'!G99)</f>
        <v/>
      </c>
      <c r="H99">
        <f>IF(ISBLANK('Q:\Abteilungsprojekte\eng\EngData\AOS\Allgemein\[LabSamples2025.xlsx]Bioplastic'!H99)," ",'Q:\Abteilungsprojekte\eng\EngData\AOS\Allgemein\[LabSamples2025.xlsx]Bioplastic'!H99)</f>
        <v/>
      </c>
    </row>
    <row r="100">
      <c r="A100">
        <f>IF(ISBLANK('Q:\Abteilungsprojekte\eng\EngData\AOS\Allgemein\[LabSamples2025.xlsx]Bioplastic'!A100)," ",'Q:\Abteilungsprojekte\eng\EngData\AOS\Allgemein\[LabSamples2025.xlsx]Bioplastic'!A100)</f>
        <v/>
      </c>
      <c r="B100">
        <f>IF(ISBLANK('Q:\Abteilungsprojekte\eng\EngData\AOS\Allgemein\[LabSamples2025.xlsx]Bioplastic'!B100)," ",'Q:\Abteilungsprojekte\eng\EngData\AOS\Allgemein\[LabSamples2025.xlsx]Bioplastic'!B100)</f>
        <v/>
      </c>
      <c r="C100">
        <f>IF(ISBLANK('Q:\Abteilungsprojekte\eng\EngData\AOS\Allgemein\[LabSamples2025.xlsx]Bioplastic'!C100)," ",'Q:\Abteilungsprojekte\eng\EngData\AOS\Allgemein\[LabSamples2025.xlsx]Bioplastic'!C100)</f>
        <v/>
      </c>
      <c r="D100">
        <f>IF(ISBLANK('Q:\Abteilungsprojekte\eng\EngData\AOS\Allgemein\[LabSamples2025.xlsx]Bioplastic'!D100)," ",'Q:\Abteilungsprojekte\eng\EngData\AOS\Allgemein\[LabSamples2025.xlsx]Bioplastic'!D100)</f>
        <v/>
      </c>
      <c r="E100">
        <f>IF(ISBLANK('Q:\Abteilungsprojekte\eng\EngData\AOS\Allgemein\[LabSamples2025.xlsx]Bioplastic'!E100)," ",'Q:\Abteilungsprojekte\eng\EngData\AOS\Allgemein\[LabSamples2025.xlsx]Bioplastic'!E100)</f>
        <v/>
      </c>
      <c r="F100">
        <f>IF(ISBLANK('Q:\Abteilungsprojekte\eng\EngData\AOS\Allgemein\[LabSamples2025.xlsx]Bioplastic'!F100)," ",'Q:\Abteilungsprojekte\eng\EngData\AOS\Allgemein\[LabSamples2025.xlsx]Bioplastic'!F100)</f>
        <v/>
      </c>
      <c r="G100">
        <f>IF(ISBLANK('Q:\Abteilungsprojekte\eng\EngData\AOS\Allgemein\[LabSamples2025.xlsx]Bioplastic'!G100)," ",'Q:\Abteilungsprojekte\eng\EngData\AOS\Allgemein\[LabSamples2025.xlsx]Bioplastic'!G100)</f>
        <v/>
      </c>
      <c r="H100">
        <f>IF(ISBLANK('Q:\Abteilungsprojekte\eng\EngData\AOS\Allgemein\[LabSamples2025.xlsx]Bioplastic'!H100)," ",'Q:\Abteilungsprojekte\eng\EngData\AOS\Allgemein\[LabSamples2025.xlsx]Bioplastic'!H100)</f>
        <v/>
      </c>
    </row>
    <row r="101">
      <c r="A101">
        <f>IF(ISBLANK('Q:\Abteilungsprojekte\eng\EngData\AOS\Allgemein\[LabSamples2025.xlsx]Bioplastic'!A101)," ",'Q:\Abteilungsprojekte\eng\EngData\AOS\Allgemein\[LabSamples2025.xlsx]Bioplastic'!A101)</f>
        <v/>
      </c>
      <c r="B101">
        <f>IF(ISBLANK('Q:\Abteilungsprojekte\eng\EngData\AOS\Allgemein\[LabSamples2025.xlsx]Bioplastic'!B101)," ",'Q:\Abteilungsprojekte\eng\EngData\AOS\Allgemein\[LabSamples2025.xlsx]Bioplastic'!B101)</f>
        <v/>
      </c>
      <c r="C101">
        <f>IF(ISBLANK('Q:\Abteilungsprojekte\eng\EngData\AOS\Allgemein\[LabSamples2025.xlsx]Bioplastic'!C101)," ",'Q:\Abteilungsprojekte\eng\EngData\AOS\Allgemein\[LabSamples2025.xlsx]Bioplastic'!C101)</f>
        <v/>
      </c>
      <c r="D101">
        <f>IF(ISBLANK('Q:\Abteilungsprojekte\eng\EngData\AOS\Allgemein\[LabSamples2025.xlsx]Bioplastic'!D101)," ",'Q:\Abteilungsprojekte\eng\EngData\AOS\Allgemein\[LabSamples2025.xlsx]Bioplastic'!D101)</f>
        <v/>
      </c>
      <c r="E101">
        <f>IF(ISBLANK('Q:\Abteilungsprojekte\eng\EngData\AOS\Allgemein\[LabSamples2025.xlsx]Bioplastic'!E101)," ",'Q:\Abteilungsprojekte\eng\EngData\AOS\Allgemein\[LabSamples2025.xlsx]Bioplastic'!E101)</f>
        <v/>
      </c>
      <c r="F101">
        <f>IF(ISBLANK('Q:\Abteilungsprojekte\eng\EngData\AOS\Allgemein\[LabSamples2025.xlsx]Bioplastic'!F101)," ",'Q:\Abteilungsprojekte\eng\EngData\AOS\Allgemein\[LabSamples2025.xlsx]Bioplastic'!F101)</f>
        <v/>
      </c>
      <c r="G101">
        <f>IF(ISBLANK('Q:\Abteilungsprojekte\eng\EngData\AOS\Allgemein\[LabSamples2025.xlsx]Bioplastic'!G101)," ",'Q:\Abteilungsprojekte\eng\EngData\AOS\Allgemein\[LabSamples2025.xlsx]Bioplastic'!G101)</f>
        <v/>
      </c>
      <c r="H101">
        <f>IF(ISBLANK('Q:\Abteilungsprojekte\eng\EngData\AOS\Allgemein\[LabSamples2025.xlsx]Bioplastic'!H101)," ",'Q:\Abteilungsprojekte\eng\EngData\AOS\Allgemein\[LabSamples2025.xlsx]Bioplastic'!H101)</f>
        <v/>
      </c>
    </row>
    <row r="102">
      <c r="A102">
        <f>IF(ISBLANK('Q:\Abteilungsprojekte\eng\EngData\AOS\Allgemein\[LabSamples2025.xlsx]Bioplastic'!A102)," ",'Q:\Abteilungsprojekte\eng\EngData\AOS\Allgemein\[LabSamples2025.xlsx]Bioplastic'!A102)</f>
        <v/>
      </c>
      <c r="B102">
        <f>IF(ISBLANK('Q:\Abteilungsprojekte\eng\EngData\AOS\Allgemein\[LabSamples2025.xlsx]Bioplastic'!B102)," ",'Q:\Abteilungsprojekte\eng\EngData\AOS\Allgemein\[LabSamples2025.xlsx]Bioplastic'!B102)</f>
        <v/>
      </c>
      <c r="C102">
        <f>IF(ISBLANK('Q:\Abteilungsprojekte\eng\EngData\AOS\Allgemein\[LabSamples2025.xlsx]Bioplastic'!C102)," ",'Q:\Abteilungsprojekte\eng\EngData\AOS\Allgemein\[LabSamples2025.xlsx]Bioplastic'!C102)</f>
        <v/>
      </c>
      <c r="D102">
        <f>IF(ISBLANK('Q:\Abteilungsprojekte\eng\EngData\AOS\Allgemein\[LabSamples2025.xlsx]Bioplastic'!D102)," ",'Q:\Abteilungsprojekte\eng\EngData\AOS\Allgemein\[LabSamples2025.xlsx]Bioplastic'!D102)</f>
        <v/>
      </c>
      <c r="E102">
        <f>IF(ISBLANK('Q:\Abteilungsprojekte\eng\EngData\AOS\Allgemein\[LabSamples2025.xlsx]Bioplastic'!E102)," ",'Q:\Abteilungsprojekte\eng\EngData\AOS\Allgemein\[LabSamples2025.xlsx]Bioplastic'!E102)</f>
        <v/>
      </c>
      <c r="F102">
        <f>IF(ISBLANK('Q:\Abteilungsprojekte\eng\EngData\AOS\Allgemein\[LabSamples2025.xlsx]Bioplastic'!F102)," ",'Q:\Abteilungsprojekte\eng\EngData\AOS\Allgemein\[LabSamples2025.xlsx]Bioplastic'!F102)</f>
        <v/>
      </c>
      <c r="G102">
        <f>IF(ISBLANK('Q:\Abteilungsprojekte\eng\EngData\AOS\Allgemein\[LabSamples2025.xlsx]Bioplastic'!G102)," ",'Q:\Abteilungsprojekte\eng\EngData\AOS\Allgemein\[LabSamples2025.xlsx]Bioplastic'!G102)</f>
        <v/>
      </c>
      <c r="H102">
        <f>IF(ISBLANK('Q:\Abteilungsprojekte\eng\EngData\AOS\Allgemein\[LabSamples2025.xlsx]Bioplastic'!H102)," ",'Q:\Abteilungsprojekte\eng\EngData\AOS\Allgemein\[LabSamples2025.xlsx]Bioplastic'!H102)</f>
        <v/>
      </c>
    </row>
    <row r="103">
      <c r="A103">
        <f>IF(ISBLANK('Q:\Abteilungsprojekte\eng\EngData\AOS\Allgemein\[LabSamples2025.xlsx]Bioplastic'!A103)," ",'Q:\Abteilungsprojekte\eng\EngData\AOS\Allgemein\[LabSamples2025.xlsx]Bioplastic'!A103)</f>
        <v/>
      </c>
      <c r="B103">
        <f>IF(ISBLANK('Q:\Abteilungsprojekte\eng\EngData\AOS\Allgemein\[LabSamples2025.xlsx]Bioplastic'!B103)," ",'Q:\Abteilungsprojekte\eng\EngData\AOS\Allgemein\[LabSamples2025.xlsx]Bioplastic'!B103)</f>
        <v/>
      </c>
      <c r="C103">
        <f>IF(ISBLANK('Q:\Abteilungsprojekte\eng\EngData\AOS\Allgemein\[LabSamples2025.xlsx]Bioplastic'!C103)," ",'Q:\Abteilungsprojekte\eng\EngData\AOS\Allgemein\[LabSamples2025.xlsx]Bioplastic'!C103)</f>
        <v/>
      </c>
      <c r="D103">
        <f>IF(ISBLANK('Q:\Abteilungsprojekte\eng\EngData\AOS\Allgemein\[LabSamples2025.xlsx]Bioplastic'!D103)," ",'Q:\Abteilungsprojekte\eng\EngData\AOS\Allgemein\[LabSamples2025.xlsx]Bioplastic'!D103)</f>
        <v/>
      </c>
      <c r="E103">
        <f>IF(ISBLANK('Q:\Abteilungsprojekte\eng\EngData\AOS\Allgemein\[LabSamples2025.xlsx]Bioplastic'!E103)," ",'Q:\Abteilungsprojekte\eng\EngData\AOS\Allgemein\[LabSamples2025.xlsx]Bioplastic'!E103)</f>
        <v/>
      </c>
      <c r="F103">
        <f>IF(ISBLANK('Q:\Abteilungsprojekte\eng\EngData\AOS\Allgemein\[LabSamples2025.xlsx]Bioplastic'!F103)," ",'Q:\Abteilungsprojekte\eng\EngData\AOS\Allgemein\[LabSamples2025.xlsx]Bioplastic'!F103)</f>
        <v/>
      </c>
      <c r="G103">
        <f>IF(ISBLANK('Q:\Abteilungsprojekte\eng\EngData\AOS\Allgemein\[LabSamples2025.xlsx]Bioplastic'!G103)," ",'Q:\Abteilungsprojekte\eng\EngData\AOS\Allgemein\[LabSamples2025.xlsx]Bioplastic'!G103)</f>
        <v/>
      </c>
      <c r="H103">
        <f>IF(ISBLANK('Q:\Abteilungsprojekte\eng\EngData\AOS\Allgemein\[LabSamples2025.xlsx]Bioplastic'!H103)," ",'Q:\Abteilungsprojekte\eng\EngData\AOS\Allgemein\[LabSamples2025.xlsx]Bioplastic'!H103)</f>
        <v/>
      </c>
    </row>
    <row r="104">
      <c r="A104">
        <f>IF(ISBLANK('Q:\Abteilungsprojekte\eng\EngData\AOS\Allgemein\[LabSamples2025.xlsx]Bioplastic'!A104)," ",'Q:\Abteilungsprojekte\eng\EngData\AOS\Allgemein\[LabSamples2025.xlsx]Bioplastic'!A104)</f>
        <v/>
      </c>
      <c r="B104">
        <f>IF(ISBLANK('Q:\Abteilungsprojekte\eng\EngData\AOS\Allgemein\[LabSamples2025.xlsx]Bioplastic'!B104)," ",'Q:\Abteilungsprojekte\eng\EngData\AOS\Allgemein\[LabSamples2025.xlsx]Bioplastic'!B104)</f>
        <v/>
      </c>
      <c r="C104">
        <f>IF(ISBLANK('Q:\Abteilungsprojekte\eng\EngData\AOS\Allgemein\[LabSamples2025.xlsx]Bioplastic'!C104)," ",'Q:\Abteilungsprojekte\eng\EngData\AOS\Allgemein\[LabSamples2025.xlsx]Bioplastic'!C104)</f>
        <v/>
      </c>
      <c r="D104">
        <f>IF(ISBLANK('Q:\Abteilungsprojekte\eng\EngData\AOS\Allgemein\[LabSamples2025.xlsx]Bioplastic'!D104)," ",'Q:\Abteilungsprojekte\eng\EngData\AOS\Allgemein\[LabSamples2025.xlsx]Bioplastic'!D104)</f>
        <v/>
      </c>
      <c r="E104">
        <f>IF(ISBLANK('Q:\Abteilungsprojekte\eng\EngData\AOS\Allgemein\[LabSamples2025.xlsx]Bioplastic'!E104)," ",'Q:\Abteilungsprojekte\eng\EngData\AOS\Allgemein\[LabSamples2025.xlsx]Bioplastic'!E104)</f>
        <v/>
      </c>
      <c r="F104">
        <f>IF(ISBLANK('Q:\Abteilungsprojekte\eng\EngData\AOS\Allgemein\[LabSamples2025.xlsx]Bioplastic'!F104)," ",'Q:\Abteilungsprojekte\eng\EngData\AOS\Allgemein\[LabSamples2025.xlsx]Bioplastic'!F104)</f>
        <v/>
      </c>
      <c r="G104">
        <f>IF(ISBLANK('Q:\Abteilungsprojekte\eng\EngData\AOS\Allgemein\[LabSamples2025.xlsx]Bioplastic'!G104)," ",'Q:\Abteilungsprojekte\eng\EngData\AOS\Allgemein\[LabSamples2025.xlsx]Bioplastic'!G104)</f>
        <v/>
      </c>
      <c r="H104">
        <f>IF(ISBLANK('Q:\Abteilungsprojekte\eng\EngData\AOS\Allgemein\[LabSamples2025.xlsx]Bioplastic'!H104)," ",'Q:\Abteilungsprojekte\eng\EngData\AOS\Allgemein\[LabSamples2025.xlsx]Bioplastic'!H104)</f>
        <v/>
      </c>
    </row>
    <row r="105">
      <c r="A105">
        <f>IF(ISBLANK('Q:\Abteilungsprojekte\eng\EngData\AOS\Allgemein\[LabSamples2025.xlsx]Bioplastic'!A105)," ",'Q:\Abteilungsprojekte\eng\EngData\AOS\Allgemein\[LabSamples2025.xlsx]Bioplastic'!A105)</f>
        <v/>
      </c>
      <c r="B105">
        <f>IF(ISBLANK('Q:\Abteilungsprojekte\eng\EngData\AOS\Allgemein\[LabSamples2025.xlsx]Bioplastic'!B105)," ",'Q:\Abteilungsprojekte\eng\EngData\AOS\Allgemein\[LabSamples2025.xlsx]Bioplastic'!B105)</f>
        <v/>
      </c>
      <c r="C105">
        <f>IF(ISBLANK('Q:\Abteilungsprojekte\eng\EngData\AOS\Allgemein\[LabSamples2025.xlsx]Bioplastic'!C105)," ",'Q:\Abteilungsprojekte\eng\EngData\AOS\Allgemein\[LabSamples2025.xlsx]Bioplastic'!C105)</f>
        <v/>
      </c>
      <c r="D105">
        <f>IF(ISBLANK('Q:\Abteilungsprojekte\eng\EngData\AOS\Allgemein\[LabSamples2025.xlsx]Bioplastic'!D105)," ",'Q:\Abteilungsprojekte\eng\EngData\AOS\Allgemein\[LabSamples2025.xlsx]Bioplastic'!D105)</f>
        <v/>
      </c>
      <c r="E105">
        <f>IF(ISBLANK('Q:\Abteilungsprojekte\eng\EngData\AOS\Allgemein\[LabSamples2025.xlsx]Bioplastic'!E105)," ",'Q:\Abteilungsprojekte\eng\EngData\AOS\Allgemein\[LabSamples2025.xlsx]Bioplastic'!E105)</f>
        <v/>
      </c>
      <c r="F105">
        <f>IF(ISBLANK('Q:\Abteilungsprojekte\eng\EngData\AOS\Allgemein\[LabSamples2025.xlsx]Bioplastic'!F105)," ",'Q:\Abteilungsprojekte\eng\EngData\AOS\Allgemein\[LabSamples2025.xlsx]Bioplastic'!F105)</f>
        <v/>
      </c>
      <c r="G105">
        <f>IF(ISBLANK('Q:\Abteilungsprojekte\eng\EngData\AOS\Allgemein\[LabSamples2025.xlsx]Bioplastic'!G105)," ",'Q:\Abteilungsprojekte\eng\EngData\AOS\Allgemein\[LabSamples2025.xlsx]Bioplastic'!G105)</f>
        <v/>
      </c>
      <c r="H105">
        <f>IF(ISBLANK('Q:\Abteilungsprojekte\eng\EngData\AOS\Allgemein\[LabSamples2025.xlsx]Bioplastic'!H105)," ",'Q:\Abteilungsprojekte\eng\EngData\AOS\Allgemein\[LabSamples2025.xlsx]Bioplastic'!H105)</f>
        <v/>
      </c>
    </row>
    <row r="106">
      <c r="A106">
        <f>IF(ISBLANK('Q:\Abteilungsprojekte\eng\EngData\AOS\Allgemein\[LabSamples2025.xlsx]Bioplastic'!A106)," ",'Q:\Abteilungsprojekte\eng\EngData\AOS\Allgemein\[LabSamples2025.xlsx]Bioplastic'!A106)</f>
        <v/>
      </c>
      <c r="B106">
        <f>IF(ISBLANK('Q:\Abteilungsprojekte\eng\EngData\AOS\Allgemein\[LabSamples2025.xlsx]Bioplastic'!B106)," ",'Q:\Abteilungsprojekte\eng\EngData\AOS\Allgemein\[LabSamples2025.xlsx]Bioplastic'!B106)</f>
        <v/>
      </c>
      <c r="C106">
        <f>IF(ISBLANK('Q:\Abteilungsprojekte\eng\EngData\AOS\Allgemein\[LabSamples2025.xlsx]Bioplastic'!C106)," ",'Q:\Abteilungsprojekte\eng\EngData\AOS\Allgemein\[LabSamples2025.xlsx]Bioplastic'!C106)</f>
        <v/>
      </c>
      <c r="D106">
        <f>IF(ISBLANK('Q:\Abteilungsprojekte\eng\EngData\AOS\Allgemein\[LabSamples2025.xlsx]Bioplastic'!D106)," ",'Q:\Abteilungsprojekte\eng\EngData\AOS\Allgemein\[LabSamples2025.xlsx]Bioplastic'!D106)</f>
        <v/>
      </c>
      <c r="E106">
        <f>IF(ISBLANK('Q:\Abteilungsprojekte\eng\EngData\AOS\Allgemein\[LabSamples2025.xlsx]Bioplastic'!E106)," ",'Q:\Abteilungsprojekte\eng\EngData\AOS\Allgemein\[LabSamples2025.xlsx]Bioplastic'!E106)</f>
        <v/>
      </c>
      <c r="F106">
        <f>IF(ISBLANK('Q:\Abteilungsprojekte\eng\EngData\AOS\Allgemein\[LabSamples2025.xlsx]Bioplastic'!F106)," ",'Q:\Abteilungsprojekte\eng\EngData\AOS\Allgemein\[LabSamples2025.xlsx]Bioplastic'!F106)</f>
        <v/>
      </c>
      <c r="G106">
        <f>IF(ISBLANK('Q:\Abteilungsprojekte\eng\EngData\AOS\Allgemein\[LabSamples2025.xlsx]Bioplastic'!G106)," ",'Q:\Abteilungsprojekte\eng\EngData\AOS\Allgemein\[LabSamples2025.xlsx]Bioplastic'!G106)</f>
        <v/>
      </c>
      <c r="H106">
        <f>IF(ISBLANK('Q:\Abteilungsprojekte\eng\EngData\AOS\Allgemein\[LabSamples2025.xlsx]Bioplastic'!H106)," ",'Q:\Abteilungsprojekte\eng\EngData\AOS\Allgemein\[LabSamples2025.xlsx]Bioplastic'!H106)</f>
        <v/>
      </c>
    </row>
    <row r="107">
      <c r="A107">
        <f>IF(ISBLANK('Q:\Abteilungsprojekte\eng\EngData\AOS\Allgemein\[LabSamples2025.xlsx]Bioplastic'!A107)," ",'Q:\Abteilungsprojekte\eng\EngData\AOS\Allgemein\[LabSamples2025.xlsx]Bioplastic'!A107)</f>
        <v/>
      </c>
      <c r="B107">
        <f>IF(ISBLANK('Q:\Abteilungsprojekte\eng\EngData\AOS\Allgemein\[LabSamples2025.xlsx]Bioplastic'!B107)," ",'Q:\Abteilungsprojekte\eng\EngData\AOS\Allgemein\[LabSamples2025.xlsx]Bioplastic'!B107)</f>
        <v/>
      </c>
      <c r="C107">
        <f>IF(ISBLANK('Q:\Abteilungsprojekte\eng\EngData\AOS\Allgemein\[LabSamples2025.xlsx]Bioplastic'!C107)," ",'Q:\Abteilungsprojekte\eng\EngData\AOS\Allgemein\[LabSamples2025.xlsx]Bioplastic'!C107)</f>
        <v/>
      </c>
      <c r="D107">
        <f>IF(ISBLANK('Q:\Abteilungsprojekte\eng\EngData\AOS\Allgemein\[LabSamples2025.xlsx]Bioplastic'!D107)," ",'Q:\Abteilungsprojekte\eng\EngData\AOS\Allgemein\[LabSamples2025.xlsx]Bioplastic'!D107)</f>
        <v/>
      </c>
      <c r="E107">
        <f>IF(ISBLANK('Q:\Abteilungsprojekte\eng\EngData\AOS\Allgemein\[LabSamples2025.xlsx]Bioplastic'!E107)," ",'Q:\Abteilungsprojekte\eng\EngData\AOS\Allgemein\[LabSamples2025.xlsx]Bioplastic'!E107)</f>
        <v/>
      </c>
      <c r="F107">
        <f>IF(ISBLANK('Q:\Abteilungsprojekte\eng\EngData\AOS\Allgemein\[LabSamples2025.xlsx]Bioplastic'!F107)," ",'Q:\Abteilungsprojekte\eng\EngData\AOS\Allgemein\[LabSamples2025.xlsx]Bioplastic'!F107)</f>
        <v/>
      </c>
      <c r="G107">
        <f>IF(ISBLANK('Q:\Abteilungsprojekte\eng\EngData\AOS\Allgemein\[LabSamples2025.xlsx]Bioplastic'!G107)," ",'Q:\Abteilungsprojekte\eng\EngData\AOS\Allgemein\[LabSamples2025.xlsx]Bioplastic'!G107)</f>
        <v/>
      </c>
      <c r="H107">
        <f>IF(ISBLANK('Q:\Abteilungsprojekte\eng\EngData\AOS\Allgemein\[LabSamples2025.xlsx]Bioplastic'!H107)," ",'Q:\Abteilungsprojekte\eng\EngData\AOS\Allgemein\[LabSamples2025.xlsx]Bioplastic'!H107)</f>
        <v/>
      </c>
    </row>
    <row r="108">
      <c r="A108">
        <f>IF(ISBLANK('Q:\Abteilungsprojekte\eng\EngData\AOS\Allgemein\[LabSamples2025.xlsx]Bioplastic'!A108)," ",'Q:\Abteilungsprojekte\eng\EngData\AOS\Allgemein\[LabSamples2025.xlsx]Bioplastic'!A108)</f>
        <v/>
      </c>
      <c r="B108">
        <f>IF(ISBLANK('Q:\Abteilungsprojekte\eng\EngData\AOS\Allgemein\[LabSamples2025.xlsx]Bioplastic'!B108)," ",'Q:\Abteilungsprojekte\eng\EngData\AOS\Allgemein\[LabSamples2025.xlsx]Bioplastic'!B108)</f>
        <v/>
      </c>
      <c r="C108">
        <f>IF(ISBLANK('Q:\Abteilungsprojekte\eng\EngData\AOS\Allgemein\[LabSamples2025.xlsx]Bioplastic'!C108)," ",'Q:\Abteilungsprojekte\eng\EngData\AOS\Allgemein\[LabSamples2025.xlsx]Bioplastic'!C108)</f>
        <v/>
      </c>
      <c r="D108">
        <f>IF(ISBLANK('Q:\Abteilungsprojekte\eng\EngData\AOS\Allgemein\[LabSamples2025.xlsx]Bioplastic'!D108)," ",'Q:\Abteilungsprojekte\eng\EngData\AOS\Allgemein\[LabSamples2025.xlsx]Bioplastic'!D108)</f>
        <v/>
      </c>
      <c r="E108">
        <f>IF(ISBLANK('Q:\Abteilungsprojekte\eng\EngData\AOS\Allgemein\[LabSamples2025.xlsx]Bioplastic'!E108)," ",'Q:\Abteilungsprojekte\eng\EngData\AOS\Allgemein\[LabSamples2025.xlsx]Bioplastic'!E108)</f>
        <v/>
      </c>
      <c r="F108">
        <f>IF(ISBLANK('Q:\Abteilungsprojekte\eng\EngData\AOS\Allgemein\[LabSamples2025.xlsx]Bioplastic'!F108)," ",'Q:\Abteilungsprojekte\eng\EngData\AOS\Allgemein\[LabSamples2025.xlsx]Bioplastic'!F108)</f>
        <v/>
      </c>
      <c r="G108">
        <f>IF(ISBLANK('Q:\Abteilungsprojekte\eng\EngData\AOS\Allgemein\[LabSamples2025.xlsx]Bioplastic'!G108)," ",'Q:\Abteilungsprojekte\eng\EngData\AOS\Allgemein\[LabSamples2025.xlsx]Bioplastic'!G108)</f>
        <v/>
      </c>
      <c r="H108">
        <f>IF(ISBLANK('Q:\Abteilungsprojekte\eng\EngData\AOS\Allgemein\[LabSamples2025.xlsx]Bioplastic'!H108)," ",'Q:\Abteilungsprojekte\eng\EngData\AOS\Allgemein\[LabSamples2025.xlsx]Bioplastic'!H108)</f>
        <v/>
      </c>
    </row>
    <row r="109">
      <c r="A109">
        <f>IF(ISBLANK('Q:\Abteilungsprojekte\eng\EngData\AOS\Allgemein\[LabSamples2025.xlsx]Bioplastic'!A109)," ",'Q:\Abteilungsprojekte\eng\EngData\AOS\Allgemein\[LabSamples2025.xlsx]Bioplastic'!A109)</f>
        <v/>
      </c>
      <c r="B109">
        <f>IF(ISBLANK('Q:\Abteilungsprojekte\eng\EngData\AOS\Allgemein\[LabSamples2025.xlsx]Bioplastic'!B109)," ",'Q:\Abteilungsprojekte\eng\EngData\AOS\Allgemein\[LabSamples2025.xlsx]Bioplastic'!B109)</f>
        <v/>
      </c>
      <c r="C109">
        <f>IF(ISBLANK('Q:\Abteilungsprojekte\eng\EngData\AOS\Allgemein\[LabSamples2025.xlsx]Bioplastic'!C109)," ",'Q:\Abteilungsprojekte\eng\EngData\AOS\Allgemein\[LabSamples2025.xlsx]Bioplastic'!C109)</f>
        <v/>
      </c>
      <c r="D109">
        <f>IF(ISBLANK('Q:\Abteilungsprojekte\eng\EngData\AOS\Allgemein\[LabSamples2025.xlsx]Bioplastic'!D109)," ",'Q:\Abteilungsprojekte\eng\EngData\AOS\Allgemein\[LabSamples2025.xlsx]Bioplastic'!D109)</f>
        <v/>
      </c>
      <c r="E109">
        <f>IF(ISBLANK('Q:\Abteilungsprojekte\eng\EngData\AOS\Allgemein\[LabSamples2025.xlsx]Bioplastic'!E109)," ",'Q:\Abteilungsprojekte\eng\EngData\AOS\Allgemein\[LabSamples2025.xlsx]Bioplastic'!E109)</f>
        <v/>
      </c>
      <c r="F109">
        <f>IF(ISBLANK('Q:\Abteilungsprojekte\eng\EngData\AOS\Allgemein\[LabSamples2025.xlsx]Bioplastic'!F109)," ",'Q:\Abteilungsprojekte\eng\EngData\AOS\Allgemein\[LabSamples2025.xlsx]Bioplastic'!F109)</f>
        <v/>
      </c>
      <c r="G109">
        <f>IF(ISBLANK('Q:\Abteilungsprojekte\eng\EngData\AOS\Allgemein\[LabSamples2025.xlsx]Bioplastic'!G109)," ",'Q:\Abteilungsprojekte\eng\EngData\AOS\Allgemein\[LabSamples2025.xlsx]Bioplastic'!G109)</f>
        <v/>
      </c>
      <c r="H109">
        <f>IF(ISBLANK('Q:\Abteilungsprojekte\eng\EngData\AOS\Allgemein\[LabSamples2025.xlsx]Bioplastic'!H109)," ",'Q:\Abteilungsprojekte\eng\EngData\AOS\Allgemein\[LabSamples2025.xlsx]Bioplastic'!H109)</f>
        <v/>
      </c>
    </row>
    <row r="110">
      <c r="A110">
        <f>IF(ISBLANK('Q:\Abteilungsprojekte\eng\EngData\AOS\Allgemein\[LabSamples2025.xlsx]Bioplastic'!A110)," ",'Q:\Abteilungsprojekte\eng\EngData\AOS\Allgemein\[LabSamples2025.xlsx]Bioplastic'!A110)</f>
        <v/>
      </c>
      <c r="B110">
        <f>IF(ISBLANK('Q:\Abteilungsprojekte\eng\EngData\AOS\Allgemein\[LabSamples2025.xlsx]Bioplastic'!B110)," ",'Q:\Abteilungsprojekte\eng\EngData\AOS\Allgemein\[LabSamples2025.xlsx]Bioplastic'!B110)</f>
        <v/>
      </c>
      <c r="C110">
        <f>IF(ISBLANK('Q:\Abteilungsprojekte\eng\EngData\AOS\Allgemein\[LabSamples2025.xlsx]Bioplastic'!C110)," ",'Q:\Abteilungsprojekte\eng\EngData\AOS\Allgemein\[LabSamples2025.xlsx]Bioplastic'!C110)</f>
        <v/>
      </c>
      <c r="D110">
        <f>IF(ISBLANK('Q:\Abteilungsprojekte\eng\EngData\AOS\Allgemein\[LabSamples2025.xlsx]Bioplastic'!D110)," ",'Q:\Abteilungsprojekte\eng\EngData\AOS\Allgemein\[LabSamples2025.xlsx]Bioplastic'!D110)</f>
        <v/>
      </c>
      <c r="E110">
        <f>IF(ISBLANK('Q:\Abteilungsprojekte\eng\EngData\AOS\Allgemein\[LabSamples2025.xlsx]Bioplastic'!E110)," ",'Q:\Abteilungsprojekte\eng\EngData\AOS\Allgemein\[LabSamples2025.xlsx]Bioplastic'!E110)</f>
        <v/>
      </c>
      <c r="F110">
        <f>IF(ISBLANK('Q:\Abteilungsprojekte\eng\EngData\AOS\Allgemein\[LabSamples2025.xlsx]Bioplastic'!F110)," ",'Q:\Abteilungsprojekte\eng\EngData\AOS\Allgemein\[LabSamples2025.xlsx]Bioplastic'!F110)</f>
        <v/>
      </c>
      <c r="G110">
        <f>IF(ISBLANK('Q:\Abteilungsprojekte\eng\EngData\AOS\Allgemein\[LabSamples2025.xlsx]Bioplastic'!G110)," ",'Q:\Abteilungsprojekte\eng\EngData\AOS\Allgemein\[LabSamples2025.xlsx]Bioplastic'!G110)</f>
        <v/>
      </c>
      <c r="H110">
        <f>IF(ISBLANK('Q:\Abteilungsprojekte\eng\EngData\AOS\Allgemein\[LabSamples2025.xlsx]Bioplastic'!H110)," ",'Q:\Abteilungsprojekte\eng\EngData\AOS\Allgemein\[LabSamples2025.xlsx]Bioplastic'!H110)</f>
        <v/>
      </c>
    </row>
    <row r="111">
      <c r="A111">
        <f>IF(ISBLANK('Q:\Abteilungsprojekte\eng\EngData\AOS\Allgemein\[LabSamples2025.xlsx]Bioplastic'!A111)," ",'Q:\Abteilungsprojekte\eng\EngData\AOS\Allgemein\[LabSamples2025.xlsx]Bioplastic'!A111)</f>
        <v/>
      </c>
      <c r="B111">
        <f>IF(ISBLANK('Q:\Abteilungsprojekte\eng\EngData\AOS\Allgemein\[LabSamples2025.xlsx]Bioplastic'!B111)," ",'Q:\Abteilungsprojekte\eng\EngData\AOS\Allgemein\[LabSamples2025.xlsx]Bioplastic'!B111)</f>
        <v/>
      </c>
      <c r="C111">
        <f>IF(ISBLANK('Q:\Abteilungsprojekte\eng\EngData\AOS\Allgemein\[LabSamples2025.xlsx]Bioplastic'!C111)," ",'Q:\Abteilungsprojekte\eng\EngData\AOS\Allgemein\[LabSamples2025.xlsx]Bioplastic'!C111)</f>
        <v/>
      </c>
      <c r="D111">
        <f>IF(ISBLANK('Q:\Abteilungsprojekte\eng\EngData\AOS\Allgemein\[LabSamples2025.xlsx]Bioplastic'!D111)," ",'Q:\Abteilungsprojekte\eng\EngData\AOS\Allgemein\[LabSamples2025.xlsx]Bioplastic'!D111)</f>
        <v/>
      </c>
      <c r="E111">
        <f>IF(ISBLANK('Q:\Abteilungsprojekte\eng\EngData\AOS\Allgemein\[LabSamples2025.xlsx]Bioplastic'!E111)," ",'Q:\Abteilungsprojekte\eng\EngData\AOS\Allgemein\[LabSamples2025.xlsx]Bioplastic'!E111)</f>
        <v/>
      </c>
      <c r="F111">
        <f>IF(ISBLANK('Q:\Abteilungsprojekte\eng\EngData\AOS\Allgemein\[LabSamples2025.xlsx]Bioplastic'!F111)," ",'Q:\Abteilungsprojekte\eng\EngData\AOS\Allgemein\[LabSamples2025.xlsx]Bioplastic'!F111)</f>
        <v/>
      </c>
      <c r="G111">
        <f>IF(ISBLANK('Q:\Abteilungsprojekte\eng\EngData\AOS\Allgemein\[LabSamples2025.xlsx]Bioplastic'!G111)," ",'Q:\Abteilungsprojekte\eng\EngData\AOS\Allgemein\[LabSamples2025.xlsx]Bioplastic'!G111)</f>
        <v/>
      </c>
      <c r="H111">
        <f>IF(ISBLANK('Q:\Abteilungsprojekte\eng\EngData\AOS\Allgemein\[LabSamples2025.xlsx]Bioplastic'!H111)," ",'Q:\Abteilungsprojekte\eng\EngData\AOS\Allgemein\[LabSamples2025.xlsx]Bioplastic'!H111)</f>
        <v/>
      </c>
    </row>
    <row r="112">
      <c r="A112">
        <f>IF(ISBLANK('Q:\Abteilungsprojekte\eng\EngData\AOS\Allgemein\[LabSamples2025.xlsx]Bioplastic'!A112)," ",'Q:\Abteilungsprojekte\eng\EngData\AOS\Allgemein\[LabSamples2025.xlsx]Bioplastic'!A112)</f>
        <v/>
      </c>
      <c r="B112">
        <f>IF(ISBLANK('Q:\Abteilungsprojekte\eng\EngData\AOS\Allgemein\[LabSamples2025.xlsx]Bioplastic'!B112)," ",'Q:\Abteilungsprojekte\eng\EngData\AOS\Allgemein\[LabSamples2025.xlsx]Bioplastic'!B112)</f>
        <v/>
      </c>
      <c r="C112">
        <f>IF(ISBLANK('Q:\Abteilungsprojekte\eng\EngData\AOS\Allgemein\[LabSamples2025.xlsx]Bioplastic'!C112)," ",'Q:\Abteilungsprojekte\eng\EngData\AOS\Allgemein\[LabSamples2025.xlsx]Bioplastic'!C112)</f>
        <v/>
      </c>
      <c r="D112">
        <f>IF(ISBLANK('Q:\Abteilungsprojekte\eng\EngData\AOS\Allgemein\[LabSamples2025.xlsx]Bioplastic'!D112)," ",'Q:\Abteilungsprojekte\eng\EngData\AOS\Allgemein\[LabSamples2025.xlsx]Bioplastic'!D112)</f>
        <v/>
      </c>
      <c r="E112">
        <f>IF(ISBLANK('Q:\Abteilungsprojekte\eng\EngData\AOS\Allgemein\[LabSamples2025.xlsx]Bioplastic'!E112)," ",'Q:\Abteilungsprojekte\eng\EngData\AOS\Allgemein\[LabSamples2025.xlsx]Bioplastic'!E112)</f>
        <v/>
      </c>
      <c r="F112">
        <f>IF(ISBLANK('Q:\Abteilungsprojekte\eng\EngData\AOS\Allgemein\[LabSamples2025.xlsx]Bioplastic'!F112)," ",'Q:\Abteilungsprojekte\eng\EngData\AOS\Allgemein\[LabSamples2025.xlsx]Bioplastic'!F112)</f>
        <v/>
      </c>
      <c r="G112">
        <f>IF(ISBLANK('Q:\Abteilungsprojekte\eng\EngData\AOS\Allgemein\[LabSamples2025.xlsx]Bioplastic'!G112)," ",'Q:\Abteilungsprojekte\eng\EngData\AOS\Allgemein\[LabSamples2025.xlsx]Bioplastic'!G112)</f>
        <v/>
      </c>
      <c r="H112">
        <f>IF(ISBLANK('Q:\Abteilungsprojekte\eng\EngData\AOS\Allgemein\[LabSamples2025.xlsx]Bioplastic'!H112)," ",'Q:\Abteilungsprojekte\eng\EngData\AOS\Allgemein\[LabSamples2025.xlsx]Bioplastic'!H112)</f>
        <v/>
      </c>
    </row>
    <row r="113">
      <c r="A113">
        <f>IF(ISBLANK('Q:\Abteilungsprojekte\eng\EngData\AOS\Allgemein\[LabSamples2025.xlsx]Bioplastic'!A113)," ",'Q:\Abteilungsprojekte\eng\EngData\AOS\Allgemein\[LabSamples2025.xlsx]Bioplastic'!A113)</f>
        <v/>
      </c>
      <c r="B113">
        <f>IF(ISBLANK('Q:\Abteilungsprojekte\eng\EngData\AOS\Allgemein\[LabSamples2025.xlsx]Bioplastic'!B113)," ",'Q:\Abteilungsprojekte\eng\EngData\AOS\Allgemein\[LabSamples2025.xlsx]Bioplastic'!B113)</f>
        <v/>
      </c>
      <c r="C113">
        <f>IF(ISBLANK('Q:\Abteilungsprojekte\eng\EngData\AOS\Allgemein\[LabSamples2025.xlsx]Bioplastic'!C113)," ",'Q:\Abteilungsprojekte\eng\EngData\AOS\Allgemein\[LabSamples2025.xlsx]Bioplastic'!C113)</f>
        <v/>
      </c>
      <c r="D113">
        <f>IF(ISBLANK('Q:\Abteilungsprojekte\eng\EngData\AOS\Allgemein\[LabSamples2025.xlsx]Bioplastic'!D113)," ",'Q:\Abteilungsprojekte\eng\EngData\AOS\Allgemein\[LabSamples2025.xlsx]Bioplastic'!D113)</f>
        <v/>
      </c>
      <c r="E113">
        <f>IF(ISBLANK('Q:\Abteilungsprojekte\eng\EngData\AOS\Allgemein\[LabSamples2025.xlsx]Bioplastic'!E113)," ",'Q:\Abteilungsprojekte\eng\EngData\AOS\Allgemein\[LabSamples2025.xlsx]Bioplastic'!E113)</f>
        <v/>
      </c>
      <c r="F113">
        <f>IF(ISBLANK('Q:\Abteilungsprojekte\eng\EngData\AOS\Allgemein\[LabSamples2025.xlsx]Bioplastic'!F113)," ",'Q:\Abteilungsprojekte\eng\EngData\AOS\Allgemein\[LabSamples2025.xlsx]Bioplastic'!F113)</f>
        <v/>
      </c>
      <c r="G113">
        <f>IF(ISBLANK('Q:\Abteilungsprojekte\eng\EngData\AOS\Allgemein\[LabSamples2025.xlsx]Bioplastic'!G113)," ",'Q:\Abteilungsprojekte\eng\EngData\AOS\Allgemein\[LabSamples2025.xlsx]Bioplastic'!G113)</f>
        <v/>
      </c>
      <c r="H113">
        <f>IF(ISBLANK('Q:\Abteilungsprojekte\eng\EngData\AOS\Allgemein\[LabSamples2025.xlsx]Bioplastic'!H113)," ",'Q:\Abteilungsprojekte\eng\EngData\AOS\Allgemein\[LabSamples2025.xlsx]Bioplastic'!H113)</f>
        <v/>
      </c>
    </row>
    <row r="114">
      <c r="A114">
        <f>IF(ISBLANK('Q:\Abteilungsprojekte\eng\EngData\AOS\Allgemein\[LabSamples2025.xlsx]Bioplastic'!A114)," ",'Q:\Abteilungsprojekte\eng\EngData\AOS\Allgemein\[LabSamples2025.xlsx]Bioplastic'!A114)</f>
        <v/>
      </c>
      <c r="B114">
        <f>IF(ISBLANK('Q:\Abteilungsprojekte\eng\EngData\AOS\Allgemein\[LabSamples2025.xlsx]Bioplastic'!B114)," ",'Q:\Abteilungsprojekte\eng\EngData\AOS\Allgemein\[LabSamples2025.xlsx]Bioplastic'!B114)</f>
        <v/>
      </c>
      <c r="C114">
        <f>IF(ISBLANK('Q:\Abteilungsprojekte\eng\EngData\AOS\Allgemein\[LabSamples2025.xlsx]Bioplastic'!C114)," ",'Q:\Abteilungsprojekte\eng\EngData\AOS\Allgemein\[LabSamples2025.xlsx]Bioplastic'!C114)</f>
        <v/>
      </c>
      <c r="D114">
        <f>IF(ISBLANK('Q:\Abteilungsprojekte\eng\EngData\AOS\Allgemein\[LabSamples2025.xlsx]Bioplastic'!D114)," ",'Q:\Abteilungsprojekte\eng\EngData\AOS\Allgemein\[LabSamples2025.xlsx]Bioplastic'!D114)</f>
        <v/>
      </c>
      <c r="E114">
        <f>IF(ISBLANK('Q:\Abteilungsprojekte\eng\EngData\AOS\Allgemein\[LabSamples2025.xlsx]Bioplastic'!E114)," ",'Q:\Abteilungsprojekte\eng\EngData\AOS\Allgemein\[LabSamples2025.xlsx]Bioplastic'!E114)</f>
        <v/>
      </c>
      <c r="F114">
        <f>IF(ISBLANK('Q:\Abteilungsprojekte\eng\EngData\AOS\Allgemein\[LabSamples2025.xlsx]Bioplastic'!F114)," ",'Q:\Abteilungsprojekte\eng\EngData\AOS\Allgemein\[LabSamples2025.xlsx]Bioplastic'!F114)</f>
        <v/>
      </c>
      <c r="G114">
        <f>IF(ISBLANK('Q:\Abteilungsprojekte\eng\EngData\AOS\Allgemein\[LabSamples2025.xlsx]Bioplastic'!G114)," ",'Q:\Abteilungsprojekte\eng\EngData\AOS\Allgemein\[LabSamples2025.xlsx]Bioplastic'!G114)</f>
        <v/>
      </c>
      <c r="H114">
        <f>IF(ISBLANK('Q:\Abteilungsprojekte\eng\EngData\AOS\Allgemein\[LabSamples2025.xlsx]Bioplastic'!H114)," ",'Q:\Abteilungsprojekte\eng\EngData\AOS\Allgemein\[LabSamples2025.xlsx]Bioplastic'!H114)</f>
        <v/>
      </c>
    </row>
    <row r="115">
      <c r="A115">
        <f>IF(ISBLANK('Q:\Abteilungsprojekte\eng\EngData\AOS\Allgemein\[LabSamples2025.xlsx]Bioplastic'!A115)," ",'Q:\Abteilungsprojekte\eng\EngData\AOS\Allgemein\[LabSamples2025.xlsx]Bioplastic'!A115)</f>
        <v/>
      </c>
      <c r="B115">
        <f>IF(ISBLANK('Q:\Abteilungsprojekte\eng\EngData\AOS\Allgemein\[LabSamples2025.xlsx]Bioplastic'!B115)," ",'Q:\Abteilungsprojekte\eng\EngData\AOS\Allgemein\[LabSamples2025.xlsx]Bioplastic'!B115)</f>
        <v/>
      </c>
      <c r="C115">
        <f>IF(ISBLANK('Q:\Abteilungsprojekte\eng\EngData\AOS\Allgemein\[LabSamples2025.xlsx]Bioplastic'!C115)," ",'Q:\Abteilungsprojekte\eng\EngData\AOS\Allgemein\[LabSamples2025.xlsx]Bioplastic'!C115)</f>
        <v/>
      </c>
      <c r="D115">
        <f>IF(ISBLANK('Q:\Abteilungsprojekte\eng\EngData\AOS\Allgemein\[LabSamples2025.xlsx]Bioplastic'!D115)," ",'Q:\Abteilungsprojekte\eng\EngData\AOS\Allgemein\[LabSamples2025.xlsx]Bioplastic'!D115)</f>
        <v/>
      </c>
      <c r="E115">
        <f>IF(ISBLANK('Q:\Abteilungsprojekte\eng\EngData\AOS\Allgemein\[LabSamples2025.xlsx]Bioplastic'!E115)," ",'Q:\Abteilungsprojekte\eng\EngData\AOS\Allgemein\[LabSamples2025.xlsx]Bioplastic'!E115)</f>
        <v/>
      </c>
      <c r="F115">
        <f>IF(ISBLANK('Q:\Abteilungsprojekte\eng\EngData\AOS\Allgemein\[LabSamples2025.xlsx]Bioplastic'!F115)," ",'Q:\Abteilungsprojekte\eng\EngData\AOS\Allgemein\[LabSamples2025.xlsx]Bioplastic'!F115)</f>
        <v/>
      </c>
      <c r="G115">
        <f>IF(ISBLANK('Q:\Abteilungsprojekte\eng\EngData\AOS\Allgemein\[LabSamples2025.xlsx]Bioplastic'!G115)," ",'Q:\Abteilungsprojekte\eng\EngData\AOS\Allgemein\[LabSamples2025.xlsx]Bioplastic'!G115)</f>
        <v/>
      </c>
      <c r="H115">
        <f>IF(ISBLANK('Q:\Abteilungsprojekte\eng\EngData\AOS\Allgemein\[LabSamples2025.xlsx]Bioplastic'!H115)," ",'Q:\Abteilungsprojekte\eng\EngData\AOS\Allgemein\[LabSamples2025.xlsx]Bioplastic'!H115)</f>
        <v/>
      </c>
    </row>
    <row r="116">
      <c r="A116">
        <f>IF(ISBLANK('Q:\Abteilungsprojekte\eng\EngData\AOS\Allgemein\[LabSamples2025.xlsx]Bioplastic'!A116)," ",'Q:\Abteilungsprojekte\eng\EngData\AOS\Allgemein\[LabSamples2025.xlsx]Bioplastic'!A116)</f>
        <v/>
      </c>
      <c r="B116">
        <f>IF(ISBLANK('Q:\Abteilungsprojekte\eng\EngData\AOS\Allgemein\[LabSamples2025.xlsx]Bioplastic'!B116)," ",'Q:\Abteilungsprojekte\eng\EngData\AOS\Allgemein\[LabSamples2025.xlsx]Bioplastic'!B116)</f>
        <v/>
      </c>
      <c r="C116">
        <f>IF(ISBLANK('Q:\Abteilungsprojekte\eng\EngData\AOS\Allgemein\[LabSamples2025.xlsx]Bioplastic'!C116)," ",'Q:\Abteilungsprojekte\eng\EngData\AOS\Allgemein\[LabSamples2025.xlsx]Bioplastic'!C116)</f>
        <v/>
      </c>
      <c r="D116">
        <f>IF(ISBLANK('Q:\Abteilungsprojekte\eng\EngData\AOS\Allgemein\[LabSamples2025.xlsx]Bioplastic'!D116)," ",'Q:\Abteilungsprojekte\eng\EngData\AOS\Allgemein\[LabSamples2025.xlsx]Bioplastic'!D116)</f>
        <v/>
      </c>
      <c r="E116">
        <f>IF(ISBLANK('Q:\Abteilungsprojekte\eng\EngData\AOS\Allgemein\[LabSamples2025.xlsx]Bioplastic'!E116)," ",'Q:\Abteilungsprojekte\eng\EngData\AOS\Allgemein\[LabSamples2025.xlsx]Bioplastic'!E116)</f>
        <v/>
      </c>
      <c r="F116">
        <f>IF(ISBLANK('Q:\Abteilungsprojekte\eng\EngData\AOS\Allgemein\[LabSamples2025.xlsx]Bioplastic'!F116)," ",'Q:\Abteilungsprojekte\eng\EngData\AOS\Allgemein\[LabSamples2025.xlsx]Bioplastic'!F116)</f>
        <v/>
      </c>
      <c r="G116">
        <f>IF(ISBLANK('Q:\Abteilungsprojekte\eng\EngData\AOS\Allgemein\[LabSamples2025.xlsx]Bioplastic'!G116)," ",'Q:\Abteilungsprojekte\eng\EngData\AOS\Allgemein\[LabSamples2025.xlsx]Bioplastic'!G116)</f>
        <v/>
      </c>
      <c r="H116">
        <f>IF(ISBLANK('Q:\Abteilungsprojekte\eng\EngData\AOS\Allgemein\[LabSamples2025.xlsx]Bioplastic'!H116)," ",'Q:\Abteilungsprojekte\eng\EngData\AOS\Allgemein\[LabSamples2025.xlsx]Bioplastic'!H116)</f>
        <v/>
      </c>
    </row>
    <row r="117">
      <c r="A117">
        <f>IF(ISBLANK('Q:\Abteilungsprojekte\eng\EngData\AOS\Allgemein\[LabSamples2025.xlsx]Bioplastic'!A117)," ",'Q:\Abteilungsprojekte\eng\EngData\AOS\Allgemein\[LabSamples2025.xlsx]Bioplastic'!A117)</f>
        <v/>
      </c>
      <c r="B117">
        <f>IF(ISBLANK('Q:\Abteilungsprojekte\eng\EngData\AOS\Allgemein\[LabSamples2025.xlsx]Bioplastic'!B117)," ",'Q:\Abteilungsprojekte\eng\EngData\AOS\Allgemein\[LabSamples2025.xlsx]Bioplastic'!B117)</f>
        <v/>
      </c>
      <c r="C117">
        <f>IF(ISBLANK('Q:\Abteilungsprojekte\eng\EngData\AOS\Allgemein\[LabSamples2025.xlsx]Bioplastic'!C117)," ",'Q:\Abteilungsprojekte\eng\EngData\AOS\Allgemein\[LabSamples2025.xlsx]Bioplastic'!C117)</f>
        <v/>
      </c>
      <c r="D117">
        <f>IF(ISBLANK('Q:\Abteilungsprojekte\eng\EngData\AOS\Allgemein\[LabSamples2025.xlsx]Bioplastic'!D117)," ",'Q:\Abteilungsprojekte\eng\EngData\AOS\Allgemein\[LabSamples2025.xlsx]Bioplastic'!D117)</f>
        <v/>
      </c>
      <c r="E117">
        <f>IF(ISBLANK('Q:\Abteilungsprojekte\eng\EngData\AOS\Allgemein\[LabSamples2025.xlsx]Bioplastic'!E117)," ",'Q:\Abteilungsprojekte\eng\EngData\AOS\Allgemein\[LabSamples2025.xlsx]Bioplastic'!E117)</f>
        <v/>
      </c>
      <c r="F117">
        <f>IF(ISBLANK('Q:\Abteilungsprojekte\eng\EngData\AOS\Allgemein\[LabSamples2025.xlsx]Bioplastic'!F117)," ",'Q:\Abteilungsprojekte\eng\EngData\AOS\Allgemein\[LabSamples2025.xlsx]Bioplastic'!F117)</f>
        <v/>
      </c>
      <c r="G117">
        <f>IF(ISBLANK('Q:\Abteilungsprojekte\eng\EngData\AOS\Allgemein\[LabSamples2025.xlsx]Bioplastic'!G117)," ",'Q:\Abteilungsprojekte\eng\EngData\AOS\Allgemein\[LabSamples2025.xlsx]Bioplastic'!G117)</f>
        <v/>
      </c>
      <c r="H117">
        <f>IF(ISBLANK('Q:\Abteilungsprojekte\eng\EngData\AOS\Allgemein\[LabSamples2025.xlsx]Bioplastic'!H117)," ",'Q:\Abteilungsprojekte\eng\EngData\AOS\Allgemein\[LabSamples2025.xlsx]Bioplastic'!H117)</f>
        <v/>
      </c>
    </row>
    <row r="118">
      <c r="A118">
        <f>IF(ISBLANK('Q:\Abteilungsprojekte\eng\EngData\AOS\Allgemein\[LabSamples2025.xlsx]Bioplastic'!A118)," ",'Q:\Abteilungsprojekte\eng\EngData\AOS\Allgemein\[LabSamples2025.xlsx]Bioplastic'!A118)</f>
        <v/>
      </c>
      <c r="B118">
        <f>IF(ISBLANK('Q:\Abteilungsprojekte\eng\EngData\AOS\Allgemein\[LabSamples2025.xlsx]Bioplastic'!B118)," ",'Q:\Abteilungsprojekte\eng\EngData\AOS\Allgemein\[LabSamples2025.xlsx]Bioplastic'!B118)</f>
        <v/>
      </c>
      <c r="C118">
        <f>IF(ISBLANK('Q:\Abteilungsprojekte\eng\EngData\AOS\Allgemein\[LabSamples2025.xlsx]Bioplastic'!C118)," ",'Q:\Abteilungsprojekte\eng\EngData\AOS\Allgemein\[LabSamples2025.xlsx]Bioplastic'!C118)</f>
        <v/>
      </c>
      <c r="D118">
        <f>IF(ISBLANK('Q:\Abteilungsprojekte\eng\EngData\AOS\Allgemein\[LabSamples2025.xlsx]Bioplastic'!D118)," ",'Q:\Abteilungsprojekte\eng\EngData\AOS\Allgemein\[LabSamples2025.xlsx]Bioplastic'!D118)</f>
        <v/>
      </c>
      <c r="E118">
        <f>IF(ISBLANK('Q:\Abteilungsprojekte\eng\EngData\AOS\Allgemein\[LabSamples2025.xlsx]Bioplastic'!E118)," ",'Q:\Abteilungsprojekte\eng\EngData\AOS\Allgemein\[LabSamples2025.xlsx]Bioplastic'!E118)</f>
        <v/>
      </c>
      <c r="F118">
        <f>IF(ISBLANK('Q:\Abteilungsprojekte\eng\EngData\AOS\Allgemein\[LabSamples2025.xlsx]Bioplastic'!F118)," ",'Q:\Abteilungsprojekte\eng\EngData\AOS\Allgemein\[LabSamples2025.xlsx]Bioplastic'!F118)</f>
        <v/>
      </c>
      <c r="G118">
        <f>IF(ISBLANK('Q:\Abteilungsprojekte\eng\EngData\AOS\Allgemein\[LabSamples2025.xlsx]Bioplastic'!G118)," ",'Q:\Abteilungsprojekte\eng\EngData\AOS\Allgemein\[LabSamples2025.xlsx]Bioplastic'!G118)</f>
        <v/>
      </c>
      <c r="H118">
        <f>IF(ISBLANK('Q:\Abteilungsprojekte\eng\EngData\AOS\Allgemein\[LabSamples2025.xlsx]Bioplastic'!H118)," ",'Q:\Abteilungsprojekte\eng\EngData\AOS\Allgemein\[LabSamples2025.xlsx]Bioplastic'!H118)</f>
        <v/>
      </c>
    </row>
    <row r="119">
      <c r="A119">
        <f>IF(ISBLANK('Q:\Abteilungsprojekte\eng\EngData\AOS\Allgemein\[LabSamples2025.xlsx]Bioplastic'!A119)," ",'Q:\Abteilungsprojekte\eng\EngData\AOS\Allgemein\[LabSamples2025.xlsx]Bioplastic'!A119)</f>
        <v/>
      </c>
      <c r="B119">
        <f>IF(ISBLANK('Q:\Abteilungsprojekte\eng\EngData\AOS\Allgemein\[LabSamples2025.xlsx]Bioplastic'!B119)," ",'Q:\Abteilungsprojekte\eng\EngData\AOS\Allgemein\[LabSamples2025.xlsx]Bioplastic'!B119)</f>
        <v/>
      </c>
      <c r="C119">
        <f>IF(ISBLANK('Q:\Abteilungsprojekte\eng\EngData\AOS\Allgemein\[LabSamples2025.xlsx]Bioplastic'!C119)," ",'Q:\Abteilungsprojekte\eng\EngData\AOS\Allgemein\[LabSamples2025.xlsx]Bioplastic'!C119)</f>
        <v/>
      </c>
      <c r="D119">
        <f>IF(ISBLANK('Q:\Abteilungsprojekte\eng\EngData\AOS\Allgemein\[LabSamples2025.xlsx]Bioplastic'!D119)," ",'Q:\Abteilungsprojekte\eng\EngData\AOS\Allgemein\[LabSamples2025.xlsx]Bioplastic'!D119)</f>
        <v/>
      </c>
      <c r="E119">
        <f>IF(ISBLANK('Q:\Abteilungsprojekte\eng\EngData\AOS\Allgemein\[LabSamples2025.xlsx]Bioplastic'!E119)," ",'Q:\Abteilungsprojekte\eng\EngData\AOS\Allgemein\[LabSamples2025.xlsx]Bioplastic'!E119)</f>
        <v/>
      </c>
      <c r="F119">
        <f>IF(ISBLANK('Q:\Abteilungsprojekte\eng\EngData\AOS\Allgemein\[LabSamples2025.xlsx]Bioplastic'!F119)," ",'Q:\Abteilungsprojekte\eng\EngData\AOS\Allgemein\[LabSamples2025.xlsx]Bioplastic'!F119)</f>
        <v/>
      </c>
      <c r="G119">
        <f>IF(ISBLANK('Q:\Abteilungsprojekte\eng\EngData\AOS\Allgemein\[LabSamples2025.xlsx]Bioplastic'!G119)," ",'Q:\Abteilungsprojekte\eng\EngData\AOS\Allgemein\[LabSamples2025.xlsx]Bioplastic'!G119)</f>
        <v/>
      </c>
      <c r="H119">
        <f>IF(ISBLANK('Q:\Abteilungsprojekte\eng\EngData\AOS\Allgemein\[LabSamples2025.xlsx]Bioplastic'!H119)," ",'Q:\Abteilungsprojekte\eng\EngData\AOS\Allgemein\[LabSamples2025.xlsx]Bioplastic'!H119)</f>
        <v/>
      </c>
    </row>
    <row r="120">
      <c r="A120">
        <f>IF(ISBLANK('Q:\Abteilungsprojekte\eng\EngData\AOS\Allgemein\[LabSamples2025.xlsx]Bioplastic'!A120)," ",'Q:\Abteilungsprojekte\eng\EngData\AOS\Allgemein\[LabSamples2025.xlsx]Bioplastic'!A120)</f>
        <v/>
      </c>
      <c r="B120">
        <f>IF(ISBLANK('Q:\Abteilungsprojekte\eng\EngData\AOS\Allgemein\[LabSamples2025.xlsx]Bioplastic'!B120)," ",'Q:\Abteilungsprojekte\eng\EngData\AOS\Allgemein\[LabSamples2025.xlsx]Bioplastic'!B120)</f>
        <v/>
      </c>
      <c r="C120">
        <f>IF(ISBLANK('Q:\Abteilungsprojekte\eng\EngData\AOS\Allgemein\[LabSamples2025.xlsx]Bioplastic'!C120)," ",'Q:\Abteilungsprojekte\eng\EngData\AOS\Allgemein\[LabSamples2025.xlsx]Bioplastic'!C120)</f>
        <v/>
      </c>
      <c r="D120">
        <f>IF(ISBLANK('Q:\Abteilungsprojekte\eng\EngData\AOS\Allgemein\[LabSamples2025.xlsx]Bioplastic'!D120)," ",'Q:\Abteilungsprojekte\eng\EngData\AOS\Allgemein\[LabSamples2025.xlsx]Bioplastic'!D120)</f>
        <v/>
      </c>
      <c r="E120">
        <f>IF(ISBLANK('Q:\Abteilungsprojekte\eng\EngData\AOS\Allgemein\[LabSamples2025.xlsx]Bioplastic'!E120)," ",'Q:\Abteilungsprojekte\eng\EngData\AOS\Allgemein\[LabSamples2025.xlsx]Bioplastic'!E120)</f>
        <v/>
      </c>
      <c r="F120">
        <f>IF(ISBLANK('Q:\Abteilungsprojekte\eng\EngData\AOS\Allgemein\[LabSamples2025.xlsx]Bioplastic'!F120)," ",'Q:\Abteilungsprojekte\eng\EngData\AOS\Allgemein\[LabSamples2025.xlsx]Bioplastic'!F120)</f>
        <v/>
      </c>
      <c r="G120">
        <f>IF(ISBLANK('Q:\Abteilungsprojekte\eng\EngData\AOS\Allgemein\[LabSamples2025.xlsx]Bioplastic'!G120)," ",'Q:\Abteilungsprojekte\eng\EngData\AOS\Allgemein\[LabSamples2025.xlsx]Bioplastic'!G120)</f>
        <v/>
      </c>
      <c r="H120">
        <f>IF(ISBLANK('Q:\Abteilungsprojekte\eng\EngData\AOS\Allgemein\[LabSamples2025.xlsx]Bioplastic'!H120)," ",'Q:\Abteilungsprojekte\eng\EngData\AOS\Allgemein\[LabSamples2025.xlsx]Bioplastic'!H120)</f>
        <v/>
      </c>
    </row>
    <row r="121">
      <c r="A121">
        <f>IF(ISBLANK('Q:\Abteilungsprojekte\eng\EngData\AOS\Allgemein\[LabSamples2025.xlsx]Bioplastic'!A121)," ",'Q:\Abteilungsprojekte\eng\EngData\AOS\Allgemein\[LabSamples2025.xlsx]Bioplastic'!A121)</f>
        <v/>
      </c>
      <c r="B121">
        <f>IF(ISBLANK('Q:\Abteilungsprojekte\eng\EngData\AOS\Allgemein\[LabSamples2025.xlsx]Bioplastic'!B121)," ",'Q:\Abteilungsprojekte\eng\EngData\AOS\Allgemein\[LabSamples2025.xlsx]Bioplastic'!B121)</f>
        <v/>
      </c>
      <c r="C121">
        <f>IF(ISBLANK('Q:\Abteilungsprojekte\eng\EngData\AOS\Allgemein\[LabSamples2025.xlsx]Bioplastic'!C121)," ",'Q:\Abteilungsprojekte\eng\EngData\AOS\Allgemein\[LabSamples2025.xlsx]Bioplastic'!C121)</f>
        <v/>
      </c>
      <c r="D121">
        <f>IF(ISBLANK('Q:\Abteilungsprojekte\eng\EngData\AOS\Allgemein\[LabSamples2025.xlsx]Bioplastic'!D121)," ",'Q:\Abteilungsprojekte\eng\EngData\AOS\Allgemein\[LabSamples2025.xlsx]Bioplastic'!D121)</f>
        <v/>
      </c>
      <c r="E121">
        <f>IF(ISBLANK('Q:\Abteilungsprojekte\eng\EngData\AOS\Allgemein\[LabSamples2025.xlsx]Bioplastic'!E121)," ",'Q:\Abteilungsprojekte\eng\EngData\AOS\Allgemein\[LabSamples2025.xlsx]Bioplastic'!E121)</f>
        <v/>
      </c>
      <c r="F121">
        <f>IF(ISBLANK('Q:\Abteilungsprojekte\eng\EngData\AOS\Allgemein\[LabSamples2025.xlsx]Bioplastic'!F121)," ",'Q:\Abteilungsprojekte\eng\EngData\AOS\Allgemein\[LabSamples2025.xlsx]Bioplastic'!F121)</f>
        <v/>
      </c>
      <c r="G121">
        <f>IF(ISBLANK('Q:\Abteilungsprojekte\eng\EngData\AOS\Allgemein\[LabSamples2025.xlsx]Bioplastic'!G121)," ",'Q:\Abteilungsprojekte\eng\EngData\AOS\Allgemein\[LabSamples2025.xlsx]Bioplastic'!G121)</f>
        <v/>
      </c>
      <c r="H121">
        <f>IF(ISBLANK('Q:\Abteilungsprojekte\eng\EngData\AOS\Allgemein\[LabSamples2025.xlsx]Bioplastic'!H121)," ",'Q:\Abteilungsprojekte\eng\EngData\AOS\Allgemein\[LabSamples2025.xlsx]Bioplastic'!H121)</f>
        <v/>
      </c>
    </row>
    <row r="122">
      <c r="A122">
        <f>IF(ISBLANK('Q:\Abteilungsprojekte\eng\EngData\AOS\Allgemein\[LabSamples2025.xlsx]Bioplastic'!A122)," ",'Q:\Abteilungsprojekte\eng\EngData\AOS\Allgemein\[LabSamples2025.xlsx]Bioplastic'!A122)</f>
        <v/>
      </c>
      <c r="B122">
        <f>IF(ISBLANK('Q:\Abteilungsprojekte\eng\EngData\AOS\Allgemein\[LabSamples2025.xlsx]Bioplastic'!B122)," ",'Q:\Abteilungsprojekte\eng\EngData\AOS\Allgemein\[LabSamples2025.xlsx]Bioplastic'!B122)</f>
        <v/>
      </c>
      <c r="C122">
        <f>IF(ISBLANK('Q:\Abteilungsprojekte\eng\EngData\AOS\Allgemein\[LabSamples2025.xlsx]Bioplastic'!C122)," ",'Q:\Abteilungsprojekte\eng\EngData\AOS\Allgemein\[LabSamples2025.xlsx]Bioplastic'!C122)</f>
        <v/>
      </c>
      <c r="D122">
        <f>IF(ISBLANK('Q:\Abteilungsprojekte\eng\EngData\AOS\Allgemein\[LabSamples2025.xlsx]Bioplastic'!D122)," ",'Q:\Abteilungsprojekte\eng\EngData\AOS\Allgemein\[LabSamples2025.xlsx]Bioplastic'!D122)</f>
        <v/>
      </c>
      <c r="E122">
        <f>IF(ISBLANK('Q:\Abteilungsprojekte\eng\EngData\AOS\Allgemein\[LabSamples2025.xlsx]Bioplastic'!E122)," ",'Q:\Abteilungsprojekte\eng\EngData\AOS\Allgemein\[LabSamples2025.xlsx]Bioplastic'!E122)</f>
        <v/>
      </c>
      <c r="F122">
        <f>IF(ISBLANK('Q:\Abteilungsprojekte\eng\EngData\AOS\Allgemein\[LabSamples2025.xlsx]Bioplastic'!F122)," ",'Q:\Abteilungsprojekte\eng\EngData\AOS\Allgemein\[LabSamples2025.xlsx]Bioplastic'!F122)</f>
        <v/>
      </c>
      <c r="G122">
        <f>IF(ISBLANK('Q:\Abteilungsprojekte\eng\EngData\AOS\Allgemein\[LabSamples2025.xlsx]Bioplastic'!G122)," ",'Q:\Abteilungsprojekte\eng\EngData\AOS\Allgemein\[LabSamples2025.xlsx]Bioplastic'!G122)</f>
        <v/>
      </c>
      <c r="H122">
        <f>IF(ISBLANK('Q:\Abteilungsprojekte\eng\EngData\AOS\Allgemein\[LabSamples2025.xlsx]Bioplastic'!H122)," ",'Q:\Abteilungsprojekte\eng\EngData\AOS\Allgemein\[LabSamples2025.xlsx]Bioplastic'!H122)</f>
        <v/>
      </c>
    </row>
    <row r="123">
      <c r="A123">
        <f>IF(ISBLANK('Q:\Abteilungsprojekte\eng\EngData\AOS\Allgemein\[LabSamples2025.xlsx]Bioplastic'!A123)," ",'Q:\Abteilungsprojekte\eng\EngData\AOS\Allgemein\[LabSamples2025.xlsx]Bioplastic'!A123)</f>
        <v/>
      </c>
      <c r="B123">
        <f>IF(ISBLANK('Q:\Abteilungsprojekte\eng\EngData\AOS\Allgemein\[LabSamples2025.xlsx]Bioplastic'!B123)," ",'Q:\Abteilungsprojekte\eng\EngData\AOS\Allgemein\[LabSamples2025.xlsx]Bioplastic'!B123)</f>
        <v/>
      </c>
      <c r="C123">
        <f>IF(ISBLANK('Q:\Abteilungsprojekte\eng\EngData\AOS\Allgemein\[LabSamples2025.xlsx]Bioplastic'!C123)," ",'Q:\Abteilungsprojekte\eng\EngData\AOS\Allgemein\[LabSamples2025.xlsx]Bioplastic'!C123)</f>
        <v/>
      </c>
      <c r="D123">
        <f>IF(ISBLANK('Q:\Abteilungsprojekte\eng\EngData\AOS\Allgemein\[LabSamples2025.xlsx]Bioplastic'!D123)," ",'Q:\Abteilungsprojekte\eng\EngData\AOS\Allgemein\[LabSamples2025.xlsx]Bioplastic'!D123)</f>
        <v/>
      </c>
      <c r="E123">
        <f>IF(ISBLANK('Q:\Abteilungsprojekte\eng\EngData\AOS\Allgemein\[LabSamples2025.xlsx]Bioplastic'!E123)," ",'Q:\Abteilungsprojekte\eng\EngData\AOS\Allgemein\[LabSamples2025.xlsx]Bioplastic'!E123)</f>
        <v/>
      </c>
      <c r="F123">
        <f>IF(ISBLANK('Q:\Abteilungsprojekte\eng\EngData\AOS\Allgemein\[LabSamples2025.xlsx]Bioplastic'!F123)," ",'Q:\Abteilungsprojekte\eng\EngData\AOS\Allgemein\[LabSamples2025.xlsx]Bioplastic'!F123)</f>
        <v/>
      </c>
      <c r="G123">
        <f>IF(ISBLANK('Q:\Abteilungsprojekte\eng\EngData\AOS\Allgemein\[LabSamples2025.xlsx]Bioplastic'!G123)," ",'Q:\Abteilungsprojekte\eng\EngData\AOS\Allgemein\[LabSamples2025.xlsx]Bioplastic'!G123)</f>
        <v/>
      </c>
      <c r="H123">
        <f>IF(ISBLANK('Q:\Abteilungsprojekte\eng\EngData\AOS\Allgemein\[LabSamples2025.xlsx]Bioplastic'!H123)," ",'Q:\Abteilungsprojekte\eng\EngData\AOS\Allgemein\[LabSamples2025.xlsx]Bioplastic'!H123)</f>
        <v/>
      </c>
    </row>
    <row r="124">
      <c r="A124">
        <f>IF(ISBLANK('Q:\Abteilungsprojekte\eng\EngData\AOS\Allgemein\[LabSamples2025.xlsx]Bioplastic'!A124)," ",'Q:\Abteilungsprojekte\eng\EngData\AOS\Allgemein\[LabSamples2025.xlsx]Bioplastic'!A124)</f>
        <v/>
      </c>
      <c r="B124">
        <f>IF(ISBLANK('Q:\Abteilungsprojekte\eng\EngData\AOS\Allgemein\[LabSamples2025.xlsx]Bioplastic'!B124)," ",'Q:\Abteilungsprojekte\eng\EngData\AOS\Allgemein\[LabSamples2025.xlsx]Bioplastic'!B124)</f>
        <v/>
      </c>
      <c r="C124">
        <f>IF(ISBLANK('Q:\Abteilungsprojekte\eng\EngData\AOS\Allgemein\[LabSamples2025.xlsx]Bioplastic'!C124)," ",'Q:\Abteilungsprojekte\eng\EngData\AOS\Allgemein\[LabSamples2025.xlsx]Bioplastic'!C124)</f>
        <v/>
      </c>
      <c r="D124">
        <f>IF(ISBLANK('Q:\Abteilungsprojekte\eng\EngData\AOS\Allgemein\[LabSamples2025.xlsx]Bioplastic'!D124)," ",'Q:\Abteilungsprojekte\eng\EngData\AOS\Allgemein\[LabSamples2025.xlsx]Bioplastic'!D124)</f>
        <v/>
      </c>
      <c r="E124">
        <f>IF(ISBLANK('Q:\Abteilungsprojekte\eng\EngData\AOS\Allgemein\[LabSamples2025.xlsx]Bioplastic'!E124)," ",'Q:\Abteilungsprojekte\eng\EngData\AOS\Allgemein\[LabSamples2025.xlsx]Bioplastic'!E124)</f>
        <v/>
      </c>
      <c r="F124">
        <f>IF(ISBLANK('Q:\Abteilungsprojekte\eng\EngData\AOS\Allgemein\[LabSamples2025.xlsx]Bioplastic'!F124)," ",'Q:\Abteilungsprojekte\eng\EngData\AOS\Allgemein\[LabSamples2025.xlsx]Bioplastic'!F124)</f>
        <v/>
      </c>
      <c r="G124">
        <f>IF(ISBLANK('Q:\Abteilungsprojekte\eng\EngData\AOS\Allgemein\[LabSamples2025.xlsx]Bioplastic'!G124)," ",'Q:\Abteilungsprojekte\eng\EngData\AOS\Allgemein\[LabSamples2025.xlsx]Bioplastic'!G124)</f>
        <v/>
      </c>
      <c r="H124">
        <f>IF(ISBLANK('Q:\Abteilungsprojekte\eng\EngData\AOS\Allgemein\[LabSamples2025.xlsx]Bioplastic'!H124)," ",'Q:\Abteilungsprojekte\eng\EngData\AOS\Allgemein\[LabSamples2025.xlsx]Bioplastic'!H124)</f>
        <v/>
      </c>
    </row>
    <row r="125">
      <c r="A125">
        <f>IF(ISBLANK('Q:\Abteilungsprojekte\eng\EngData\AOS\Allgemein\[LabSamples2025.xlsx]Bioplastic'!A125)," ",'Q:\Abteilungsprojekte\eng\EngData\AOS\Allgemein\[LabSamples2025.xlsx]Bioplastic'!A125)</f>
        <v/>
      </c>
      <c r="B125">
        <f>IF(ISBLANK('Q:\Abteilungsprojekte\eng\EngData\AOS\Allgemein\[LabSamples2025.xlsx]Bioplastic'!B125)," ",'Q:\Abteilungsprojekte\eng\EngData\AOS\Allgemein\[LabSamples2025.xlsx]Bioplastic'!B125)</f>
        <v/>
      </c>
      <c r="C125">
        <f>IF(ISBLANK('Q:\Abteilungsprojekte\eng\EngData\AOS\Allgemein\[LabSamples2025.xlsx]Bioplastic'!C125)," ",'Q:\Abteilungsprojekte\eng\EngData\AOS\Allgemein\[LabSamples2025.xlsx]Bioplastic'!C125)</f>
        <v/>
      </c>
      <c r="D125">
        <f>IF(ISBLANK('Q:\Abteilungsprojekte\eng\EngData\AOS\Allgemein\[LabSamples2025.xlsx]Bioplastic'!D125)," ",'Q:\Abteilungsprojekte\eng\EngData\AOS\Allgemein\[LabSamples2025.xlsx]Bioplastic'!D125)</f>
        <v/>
      </c>
      <c r="E125">
        <f>IF(ISBLANK('Q:\Abteilungsprojekte\eng\EngData\AOS\Allgemein\[LabSamples2025.xlsx]Bioplastic'!E125)," ",'Q:\Abteilungsprojekte\eng\EngData\AOS\Allgemein\[LabSamples2025.xlsx]Bioplastic'!E125)</f>
        <v/>
      </c>
      <c r="F125">
        <f>IF(ISBLANK('Q:\Abteilungsprojekte\eng\EngData\AOS\Allgemein\[LabSamples2025.xlsx]Bioplastic'!F125)," ",'Q:\Abteilungsprojekte\eng\EngData\AOS\Allgemein\[LabSamples2025.xlsx]Bioplastic'!F125)</f>
        <v/>
      </c>
      <c r="G125">
        <f>IF(ISBLANK('Q:\Abteilungsprojekte\eng\EngData\AOS\Allgemein\[LabSamples2025.xlsx]Bioplastic'!G125)," ",'Q:\Abteilungsprojekte\eng\EngData\AOS\Allgemein\[LabSamples2025.xlsx]Bioplastic'!G125)</f>
        <v/>
      </c>
      <c r="H125">
        <f>IF(ISBLANK('Q:\Abteilungsprojekte\eng\EngData\AOS\Allgemein\[LabSamples2025.xlsx]Bioplastic'!H125)," ",'Q:\Abteilungsprojekte\eng\EngData\AOS\Allgemein\[LabSamples2025.xlsx]Bioplastic'!H125)</f>
        <v/>
      </c>
    </row>
    <row r="126">
      <c r="A126">
        <f>IF(ISBLANK('Q:\Abteilungsprojekte\eng\EngData\AOS\Allgemein\[LabSamples2025.xlsx]Bioplastic'!A126)," ",'Q:\Abteilungsprojekte\eng\EngData\AOS\Allgemein\[LabSamples2025.xlsx]Bioplastic'!A126)</f>
        <v/>
      </c>
      <c r="B126">
        <f>IF(ISBLANK('Q:\Abteilungsprojekte\eng\EngData\AOS\Allgemein\[LabSamples2025.xlsx]Bioplastic'!B126)," ",'Q:\Abteilungsprojekte\eng\EngData\AOS\Allgemein\[LabSamples2025.xlsx]Bioplastic'!B126)</f>
        <v/>
      </c>
      <c r="C126">
        <f>IF(ISBLANK('Q:\Abteilungsprojekte\eng\EngData\AOS\Allgemein\[LabSamples2025.xlsx]Bioplastic'!C126)," ",'Q:\Abteilungsprojekte\eng\EngData\AOS\Allgemein\[LabSamples2025.xlsx]Bioplastic'!C126)</f>
        <v/>
      </c>
      <c r="D126">
        <f>IF(ISBLANK('Q:\Abteilungsprojekte\eng\EngData\AOS\Allgemein\[LabSamples2025.xlsx]Bioplastic'!D126)," ",'Q:\Abteilungsprojekte\eng\EngData\AOS\Allgemein\[LabSamples2025.xlsx]Bioplastic'!D126)</f>
        <v/>
      </c>
      <c r="E126">
        <f>IF(ISBLANK('Q:\Abteilungsprojekte\eng\EngData\AOS\Allgemein\[LabSamples2025.xlsx]Bioplastic'!E126)," ",'Q:\Abteilungsprojekte\eng\EngData\AOS\Allgemein\[LabSamples2025.xlsx]Bioplastic'!E126)</f>
        <v/>
      </c>
      <c r="F126">
        <f>IF(ISBLANK('Q:\Abteilungsprojekte\eng\EngData\AOS\Allgemein\[LabSamples2025.xlsx]Bioplastic'!F126)," ",'Q:\Abteilungsprojekte\eng\EngData\AOS\Allgemein\[LabSamples2025.xlsx]Bioplastic'!F126)</f>
        <v/>
      </c>
      <c r="G126">
        <f>IF(ISBLANK('Q:\Abteilungsprojekte\eng\EngData\AOS\Allgemein\[LabSamples2025.xlsx]Bioplastic'!G126)," ",'Q:\Abteilungsprojekte\eng\EngData\AOS\Allgemein\[LabSamples2025.xlsx]Bioplastic'!G126)</f>
        <v/>
      </c>
      <c r="H126">
        <f>IF(ISBLANK('Q:\Abteilungsprojekte\eng\EngData\AOS\Allgemein\[LabSamples2025.xlsx]Bioplastic'!H126)," ",'Q:\Abteilungsprojekte\eng\EngData\AOS\Allgemein\[LabSamples2025.xlsx]Bioplastic'!H126)</f>
        <v/>
      </c>
    </row>
    <row r="127">
      <c r="A127">
        <f>IF(ISBLANK('Q:\Abteilungsprojekte\eng\EngData\AOS\Allgemein\[LabSamples2025.xlsx]Bioplastic'!A127)," ",'Q:\Abteilungsprojekte\eng\EngData\AOS\Allgemein\[LabSamples2025.xlsx]Bioplastic'!A127)</f>
        <v/>
      </c>
      <c r="B127">
        <f>IF(ISBLANK('Q:\Abteilungsprojekte\eng\EngData\AOS\Allgemein\[LabSamples2025.xlsx]Bioplastic'!B127)," ",'Q:\Abteilungsprojekte\eng\EngData\AOS\Allgemein\[LabSamples2025.xlsx]Bioplastic'!B127)</f>
        <v/>
      </c>
      <c r="C127">
        <f>IF(ISBLANK('Q:\Abteilungsprojekte\eng\EngData\AOS\Allgemein\[LabSamples2025.xlsx]Bioplastic'!C127)," ",'Q:\Abteilungsprojekte\eng\EngData\AOS\Allgemein\[LabSamples2025.xlsx]Bioplastic'!C127)</f>
        <v/>
      </c>
      <c r="D127">
        <f>IF(ISBLANK('Q:\Abteilungsprojekte\eng\EngData\AOS\Allgemein\[LabSamples2025.xlsx]Bioplastic'!D127)," ",'Q:\Abteilungsprojekte\eng\EngData\AOS\Allgemein\[LabSamples2025.xlsx]Bioplastic'!D127)</f>
        <v/>
      </c>
      <c r="E127">
        <f>IF(ISBLANK('Q:\Abteilungsprojekte\eng\EngData\AOS\Allgemein\[LabSamples2025.xlsx]Bioplastic'!E127)," ",'Q:\Abteilungsprojekte\eng\EngData\AOS\Allgemein\[LabSamples2025.xlsx]Bioplastic'!E127)</f>
        <v/>
      </c>
      <c r="F127">
        <f>IF(ISBLANK('Q:\Abteilungsprojekte\eng\EngData\AOS\Allgemein\[LabSamples2025.xlsx]Bioplastic'!F127)," ",'Q:\Abteilungsprojekte\eng\EngData\AOS\Allgemein\[LabSamples2025.xlsx]Bioplastic'!F127)</f>
        <v/>
      </c>
      <c r="G127">
        <f>IF(ISBLANK('Q:\Abteilungsprojekte\eng\EngData\AOS\Allgemein\[LabSamples2025.xlsx]Bioplastic'!G127)," ",'Q:\Abteilungsprojekte\eng\EngData\AOS\Allgemein\[LabSamples2025.xlsx]Bioplastic'!G127)</f>
        <v/>
      </c>
      <c r="H127">
        <f>IF(ISBLANK('Q:\Abteilungsprojekte\eng\EngData\AOS\Allgemein\[LabSamples2025.xlsx]Bioplastic'!H127)," ",'Q:\Abteilungsprojekte\eng\EngData\AOS\Allgemein\[LabSamples2025.xlsx]Bioplastic'!H127)</f>
        <v/>
      </c>
    </row>
    <row r="128">
      <c r="A128">
        <f>IF(ISBLANK('Q:\Abteilungsprojekte\eng\EngData\AOS\Allgemein\[LabSamples2025.xlsx]Bioplastic'!A128)," ",'Q:\Abteilungsprojekte\eng\EngData\AOS\Allgemein\[LabSamples2025.xlsx]Bioplastic'!A128)</f>
        <v/>
      </c>
      <c r="B128">
        <f>IF(ISBLANK('Q:\Abteilungsprojekte\eng\EngData\AOS\Allgemein\[LabSamples2025.xlsx]Bioplastic'!B128)," ",'Q:\Abteilungsprojekte\eng\EngData\AOS\Allgemein\[LabSamples2025.xlsx]Bioplastic'!B128)</f>
        <v/>
      </c>
      <c r="C128">
        <f>IF(ISBLANK('Q:\Abteilungsprojekte\eng\EngData\AOS\Allgemein\[LabSamples2025.xlsx]Bioplastic'!C128)," ",'Q:\Abteilungsprojekte\eng\EngData\AOS\Allgemein\[LabSamples2025.xlsx]Bioplastic'!C128)</f>
        <v/>
      </c>
      <c r="D128">
        <f>IF(ISBLANK('Q:\Abteilungsprojekte\eng\EngData\AOS\Allgemein\[LabSamples2025.xlsx]Bioplastic'!D128)," ",'Q:\Abteilungsprojekte\eng\EngData\AOS\Allgemein\[LabSamples2025.xlsx]Bioplastic'!D128)</f>
        <v/>
      </c>
      <c r="E128">
        <f>IF(ISBLANK('Q:\Abteilungsprojekte\eng\EngData\AOS\Allgemein\[LabSamples2025.xlsx]Bioplastic'!E128)," ",'Q:\Abteilungsprojekte\eng\EngData\AOS\Allgemein\[LabSamples2025.xlsx]Bioplastic'!E128)</f>
        <v/>
      </c>
      <c r="F128">
        <f>IF(ISBLANK('Q:\Abteilungsprojekte\eng\EngData\AOS\Allgemein\[LabSamples2025.xlsx]Bioplastic'!F128)," ",'Q:\Abteilungsprojekte\eng\EngData\AOS\Allgemein\[LabSamples2025.xlsx]Bioplastic'!F128)</f>
        <v/>
      </c>
      <c r="G128">
        <f>IF(ISBLANK('Q:\Abteilungsprojekte\eng\EngData\AOS\Allgemein\[LabSamples2025.xlsx]Bioplastic'!G128)," ",'Q:\Abteilungsprojekte\eng\EngData\AOS\Allgemein\[LabSamples2025.xlsx]Bioplastic'!G128)</f>
        <v/>
      </c>
      <c r="H128">
        <f>IF(ISBLANK('Q:\Abteilungsprojekte\eng\EngData\AOS\Allgemein\[LabSamples2025.xlsx]Bioplastic'!H128)," ",'Q:\Abteilungsprojekte\eng\EngData\AOS\Allgemein\[LabSamples2025.xlsx]Bioplastic'!H128)</f>
        <v/>
      </c>
    </row>
    <row r="129">
      <c r="A129">
        <f>IF(ISBLANK('Q:\Abteilungsprojekte\eng\EngData\AOS\Allgemein\[LabSamples2025.xlsx]Bioplastic'!A129)," ",'Q:\Abteilungsprojekte\eng\EngData\AOS\Allgemein\[LabSamples2025.xlsx]Bioplastic'!A129)</f>
        <v/>
      </c>
      <c r="B129">
        <f>IF(ISBLANK('Q:\Abteilungsprojekte\eng\EngData\AOS\Allgemein\[LabSamples2025.xlsx]Bioplastic'!B129)," ",'Q:\Abteilungsprojekte\eng\EngData\AOS\Allgemein\[LabSamples2025.xlsx]Bioplastic'!B129)</f>
        <v/>
      </c>
      <c r="C129">
        <f>IF(ISBLANK('Q:\Abteilungsprojekte\eng\EngData\AOS\Allgemein\[LabSamples2025.xlsx]Bioplastic'!C129)," ",'Q:\Abteilungsprojekte\eng\EngData\AOS\Allgemein\[LabSamples2025.xlsx]Bioplastic'!C129)</f>
        <v/>
      </c>
      <c r="D129">
        <f>IF(ISBLANK('Q:\Abteilungsprojekte\eng\EngData\AOS\Allgemein\[LabSamples2025.xlsx]Bioplastic'!D129)," ",'Q:\Abteilungsprojekte\eng\EngData\AOS\Allgemein\[LabSamples2025.xlsx]Bioplastic'!D129)</f>
        <v/>
      </c>
      <c r="E129">
        <f>IF(ISBLANK('Q:\Abteilungsprojekte\eng\EngData\AOS\Allgemein\[LabSamples2025.xlsx]Bioplastic'!E129)," ",'Q:\Abteilungsprojekte\eng\EngData\AOS\Allgemein\[LabSamples2025.xlsx]Bioplastic'!E129)</f>
        <v/>
      </c>
      <c r="F129">
        <f>IF(ISBLANK('Q:\Abteilungsprojekte\eng\EngData\AOS\Allgemein\[LabSamples2025.xlsx]Bioplastic'!F129)," ",'Q:\Abteilungsprojekte\eng\EngData\AOS\Allgemein\[LabSamples2025.xlsx]Bioplastic'!F129)</f>
        <v/>
      </c>
      <c r="G129">
        <f>IF(ISBLANK('Q:\Abteilungsprojekte\eng\EngData\AOS\Allgemein\[LabSamples2025.xlsx]Bioplastic'!G129)," ",'Q:\Abteilungsprojekte\eng\EngData\AOS\Allgemein\[LabSamples2025.xlsx]Bioplastic'!G129)</f>
        <v/>
      </c>
      <c r="H129">
        <f>IF(ISBLANK('Q:\Abteilungsprojekte\eng\EngData\AOS\Allgemein\[LabSamples2025.xlsx]Bioplastic'!H129)," ",'Q:\Abteilungsprojekte\eng\EngData\AOS\Allgemein\[LabSamples2025.xlsx]Bioplastic'!H129)</f>
        <v/>
      </c>
    </row>
    <row r="130">
      <c r="A130">
        <f>IF(ISBLANK('Q:\Abteilungsprojekte\eng\EngData\AOS\Allgemein\[LabSamples2025.xlsx]Bioplastic'!A130)," ",'Q:\Abteilungsprojekte\eng\EngData\AOS\Allgemein\[LabSamples2025.xlsx]Bioplastic'!A130)</f>
        <v/>
      </c>
      <c r="B130">
        <f>IF(ISBLANK('Q:\Abteilungsprojekte\eng\EngData\AOS\Allgemein\[LabSamples2025.xlsx]Bioplastic'!B130)," ",'Q:\Abteilungsprojekte\eng\EngData\AOS\Allgemein\[LabSamples2025.xlsx]Bioplastic'!B130)</f>
        <v/>
      </c>
      <c r="C130">
        <f>IF(ISBLANK('Q:\Abteilungsprojekte\eng\EngData\AOS\Allgemein\[LabSamples2025.xlsx]Bioplastic'!C130)," ",'Q:\Abteilungsprojekte\eng\EngData\AOS\Allgemein\[LabSamples2025.xlsx]Bioplastic'!C130)</f>
        <v/>
      </c>
      <c r="D130">
        <f>IF(ISBLANK('Q:\Abteilungsprojekte\eng\EngData\AOS\Allgemein\[LabSamples2025.xlsx]Bioplastic'!D130)," ",'Q:\Abteilungsprojekte\eng\EngData\AOS\Allgemein\[LabSamples2025.xlsx]Bioplastic'!D130)</f>
        <v/>
      </c>
      <c r="E130">
        <f>IF(ISBLANK('Q:\Abteilungsprojekte\eng\EngData\AOS\Allgemein\[LabSamples2025.xlsx]Bioplastic'!E130)," ",'Q:\Abteilungsprojekte\eng\EngData\AOS\Allgemein\[LabSamples2025.xlsx]Bioplastic'!E130)</f>
        <v/>
      </c>
      <c r="F130">
        <f>IF(ISBLANK('Q:\Abteilungsprojekte\eng\EngData\AOS\Allgemein\[LabSamples2025.xlsx]Bioplastic'!F130)," ",'Q:\Abteilungsprojekte\eng\EngData\AOS\Allgemein\[LabSamples2025.xlsx]Bioplastic'!F130)</f>
        <v/>
      </c>
      <c r="G130">
        <f>IF(ISBLANK('Q:\Abteilungsprojekte\eng\EngData\AOS\Allgemein\[LabSamples2025.xlsx]Bioplastic'!G130)," ",'Q:\Abteilungsprojekte\eng\EngData\AOS\Allgemein\[LabSamples2025.xlsx]Bioplastic'!G130)</f>
        <v/>
      </c>
      <c r="H130">
        <f>IF(ISBLANK('Q:\Abteilungsprojekte\eng\EngData\AOS\Allgemein\[LabSamples2025.xlsx]Bioplastic'!H130)," ",'Q:\Abteilungsprojekte\eng\EngData\AOS\Allgemein\[LabSamples2025.xlsx]Bioplastic'!H130)</f>
        <v/>
      </c>
    </row>
    <row r="131">
      <c r="A131">
        <f>IF(ISBLANK('Q:\Abteilungsprojekte\eng\EngData\AOS\Allgemein\[LabSamples2025.xlsx]Bioplastic'!A131)," ",'Q:\Abteilungsprojekte\eng\EngData\AOS\Allgemein\[LabSamples2025.xlsx]Bioplastic'!A131)</f>
        <v/>
      </c>
      <c r="B131">
        <f>IF(ISBLANK('Q:\Abteilungsprojekte\eng\EngData\AOS\Allgemein\[LabSamples2025.xlsx]Bioplastic'!B131)," ",'Q:\Abteilungsprojekte\eng\EngData\AOS\Allgemein\[LabSamples2025.xlsx]Bioplastic'!B131)</f>
        <v/>
      </c>
      <c r="C131">
        <f>IF(ISBLANK('Q:\Abteilungsprojekte\eng\EngData\AOS\Allgemein\[LabSamples2025.xlsx]Bioplastic'!C131)," ",'Q:\Abteilungsprojekte\eng\EngData\AOS\Allgemein\[LabSamples2025.xlsx]Bioplastic'!C131)</f>
        <v/>
      </c>
      <c r="D131">
        <f>IF(ISBLANK('Q:\Abteilungsprojekte\eng\EngData\AOS\Allgemein\[LabSamples2025.xlsx]Bioplastic'!D131)," ",'Q:\Abteilungsprojekte\eng\EngData\AOS\Allgemein\[LabSamples2025.xlsx]Bioplastic'!D131)</f>
        <v/>
      </c>
      <c r="E131">
        <f>IF(ISBLANK('Q:\Abteilungsprojekte\eng\EngData\AOS\Allgemein\[LabSamples2025.xlsx]Bioplastic'!E131)," ",'Q:\Abteilungsprojekte\eng\EngData\AOS\Allgemein\[LabSamples2025.xlsx]Bioplastic'!E131)</f>
        <v/>
      </c>
      <c r="F131">
        <f>IF(ISBLANK('Q:\Abteilungsprojekte\eng\EngData\AOS\Allgemein\[LabSamples2025.xlsx]Bioplastic'!F131)," ",'Q:\Abteilungsprojekte\eng\EngData\AOS\Allgemein\[LabSamples2025.xlsx]Bioplastic'!F131)</f>
        <v/>
      </c>
      <c r="G131">
        <f>IF(ISBLANK('Q:\Abteilungsprojekte\eng\EngData\AOS\Allgemein\[LabSamples2025.xlsx]Bioplastic'!G131)," ",'Q:\Abteilungsprojekte\eng\EngData\AOS\Allgemein\[LabSamples2025.xlsx]Bioplastic'!G131)</f>
        <v/>
      </c>
      <c r="H131">
        <f>IF(ISBLANK('Q:\Abteilungsprojekte\eng\EngData\AOS\Allgemein\[LabSamples2025.xlsx]Bioplastic'!H131)," ",'Q:\Abteilungsprojekte\eng\EngData\AOS\Allgemein\[LabSamples2025.xlsx]Bioplastic'!H131)</f>
        <v/>
      </c>
    </row>
    <row r="132">
      <c r="A132">
        <f>IF(ISBLANK('Q:\Abteilungsprojekte\eng\EngData\AOS\Allgemein\[LabSamples2025.xlsx]Bioplastic'!A132)," ",'Q:\Abteilungsprojekte\eng\EngData\AOS\Allgemein\[LabSamples2025.xlsx]Bioplastic'!A132)</f>
        <v/>
      </c>
      <c r="B132">
        <f>IF(ISBLANK('Q:\Abteilungsprojekte\eng\EngData\AOS\Allgemein\[LabSamples2025.xlsx]Bioplastic'!B132)," ",'Q:\Abteilungsprojekte\eng\EngData\AOS\Allgemein\[LabSamples2025.xlsx]Bioplastic'!B132)</f>
        <v/>
      </c>
      <c r="C132">
        <f>IF(ISBLANK('Q:\Abteilungsprojekte\eng\EngData\AOS\Allgemein\[LabSamples2025.xlsx]Bioplastic'!C132)," ",'Q:\Abteilungsprojekte\eng\EngData\AOS\Allgemein\[LabSamples2025.xlsx]Bioplastic'!C132)</f>
        <v/>
      </c>
      <c r="D132">
        <f>IF(ISBLANK('Q:\Abteilungsprojekte\eng\EngData\AOS\Allgemein\[LabSamples2025.xlsx]Bioplastic'!D132)," ",'Q:\Abteilungsprojekte\eng\EngData\AOS\Allgemein\[LabSamples2025.xlsx]Bioplastic'!D132)</f>
        <v/>
      </c>
      <c r="E132">
        <f>IF(ISBLANK('Q:\Abteilungsprojekte\eng\EngData\AOS\Allgemein\[LabSamples2025.xlsx]Bioplastic'!E132)," ",'Q:\Abteilungsprojekte\eng\EngData\AOS\Allgemein\[LabSamples2025.xlsx]Bioplastic'!E132)</f>
        <v/>
      </c>
      <c r="F132">
        <f>IF(ISBLANK('Q:\Abteilungsprojekte\eng\EngData\AOS\Allgemein\[LabSamples2025.xlsx]Bioplastic'!F132)," ",'Q:\Abteilungsprojekte\eng\EngData\AOS\Allgemein\[LabSamples2025.xlsx]Bioplastic'!F132)</f>
        <v/>
      </c>
      <c r="G132">
        <f>IF(ISBLANK('Q:\Abteilungsprojekte\eng\EngData\AOS\Allgemein\[LabSamples2025.xlsx]Bioplastic'!G132)," ",'Q:\Abteilungsprojekte\eng\EngData\AOS\Allgemein\[LabSamples2025.xlsx]Bioplastic'!G132)</f>
        <v/>
      </c>
      <c r="H132">
        <f>IF(ISBLANK('Q:\Abteilungsprojekte\eng\EngData\AOS\Allgemein\[LabSamples2025.xlsx]Bioplastic'!H132)," ",'Q:\Abteilungsprojekte\eng\EngData\AOS\Allgemein\[LabSamples2025.xlsx]Bioplastic'!H132)</f>
        <v/>
      </c>
    </row>
    <row r="133">
      <c r="A133">
        <f>IF(ISBLANK('Q:\Abteilungsprojekte\eng\EngData\AOS\Allgemein\[LabSamples2025.xlsx]Bioplastic'!A133)," ",'Q:\Abteilungsprojekte\eng\EngData\AOS\Allgemein\[LabSamples2025.xlsx]Bioplastic'!A133)</f>
        <v/>
      </c>
      <c r="B133">
        <f>IF(ISBLANK('Q:\Abteilungsprojekte\eng\EngData\AOS\Allgemein\[LabSamples2025.xlsx]Bioplastic'!B133)," ",'Q:\Abteilungsprojekte\eng\EngData\AOS\Allgemein\[LabSamples2025.xlsx]Bioplastic'!B133)</f>
        <v/>
      </c>
      <c r="C133">
        <f>IF(ISBLANK('Q:\Abteilungsprojekte\eng\EngData\AOS\Allgemein\[LabSamples2025.xlsx]Bioplastic'!C133)," ",'Q:\Abteilungsprojekte\eng\EngData\AOS\Allgemein\[LabSamples2025.xlsx]Bioplastic'!C133)</f>
        <v/>
      </c>
      <c r="D133">
        <f>IF(ISBLANK('Q:\Abteilungsprojekte\eng\EngData\AOS\Allgemein\[LabSamples2025.xlsx]Bioplastic'!D133)," ",'Q:\Abteilungsprojekte\eng\EngData\AOS\Allgemein\[LabSamples2025.xlsx]Bioplastic'!D133)</f>
        <v/>
      </c>
      <c r="E133">
        <f>IF(ISBLANK('Q:\Abteilungsprojekte\eng\EngData\AOS\Allgemein\[LabSamples2025.xlsx]Bioplastic'!E133)," ",'Q:\Abteilungsprojekte\eng\EngData\AOS\Allgemein\[LabSamples2025.xlsx]Bioplastic'!E133)</f>
        <v/>
      </c>
      <c r="F133">
        <f>IF(ISBLANK('Q:\Abteilungsprojekte\eng\EngData\AOS\Allgemein\[LabSamples2025.xlsx]Bioplastic'!F133)," ",'Q:\Abteilungsprojekte\eng\EngData\AOS\Allgemein\[LabSamples2025.xlsx]Bioplastic'!F133)</f>
        <v/>
      </c>
      <c r="G133">
        <f>IF(ISBLANK('Q:\Abteilungsprojekte\eng\EngData\AOS\Allgemein\[LabSamples2025.xlsx]Bioplastic'!G133)," ",'Q:\Abteilungsprojekte\eng\EngData\AOS\Allgemein\[LabSamples2025.xlsx]Bioplastic'!G133)</f>
        <v/>
      </c>
      <c r="H133">
        <f>IF(ISBLANK('Q:\Abteilungsprojekte\eng\EngData\AOS\Allgemein\[LabSamples2025.xlsx]Bioplastic'!H133)," ",'Q:\Abteilungsprojekte\eng\EngData\AOS\Allgemein\[LabSamples2025.xlsx]Bioplastic'!H133)</f>
        <v/>
      </c>
    </row>
    <row r="134">
      <c r="A134">
        <f>IF(ISBLANK('Q:\Abteilungsprojekte\eng\EngData\AOS\Allgemein\[LabSamples2025.xlsx]Bioplastic'!A134)," ",'Q:\Abteilungsprojekte\eng\EngData\AOS\Allgemein\[LabSamples2025.xlsx]Bioplastic'!A134)</f>
        <v/>
      </c>
      <c r="B134">
        <f>IF(ISBLANK('Q:\Abteilungsprojekte\eng\EngData\AOS\Allgemein\[LabSamples2025.xlsx]Bioplastic'!B134)," ",'Q:\Abteilungsprojekte\eng\EngData\AOS\Allgemein\[LabSamples2025.xlsx]Bioplastic'!B134)</f>
        <v/>
      </c>
      <c r="C134">
        <f>IF(ISBLANK('Q:\Abteilungsprojekte\eng\EngData\AOS\Allgemein\[LabSamples2025.xlsx]Bioplastic'!C134)," ",'Q:\Abteilungsprojekte\eng\EngData\AOS\Allgemein\[LabSamples2025.xlsx]Bioplastic'!C134)</f>
        <v/>
      </c>
      <c r="D134">
        <f>IF(ISBLANK('Q:\Abteilungsprojekte\eng\EngData\AOS\Allgemein\[LabSamples2025.xlsx]Bioplastic'!D134)," ",'Q:\Abteilungsprojekte\eng\EngData\AOS\Allgemein\[LabSamples2025.xlsx]Bioplastic'!D134)</f>
        <v/>
      </c>
      <c r="E134">
        <f>IF(ISBLANK('Q:\Abteilungsprojekte\eng\EngData\AOS\Allgemein\[LabSamples2025.xlsx]Bioplastic'!E134)," ",'Q:\Abteilungsprojekte\eng\EngData\AOS\Allgemein\[LabSamples2025.xlsx]Bioplastic'!E134)</f>
        <v/>
      </c>
      <c r="F134">
        <f>IF(ISBLANK('Q:\Abteilungsprojekte\eng\EngData\AOS\Allgemein\[LabSamples2025.xlsx]Bioplastic'!F134)," ",'Q:\Abteilungsprojekte\eng\EngData\AOS\Allgemein\[LabSamples2025.xlsx]Bioplastic'!F134)</f>
        <v/>
      </c>
      <c r="G134">
        <f>IF(ISBLANK('Q:\Abteilungsprojekte\eng\EngData\AOS\Allgemein\[LabSamples2025.xlsx]Bioplastic'!G134)," ",'Q:\Abteilungsprojekte\eng\EngData\AOS\Allgemein\[LabSamples2025.xlsx]Bioplastic'!G134)</f>
        <v/>
      </c>
      <c r="H134">
        <f>IF(ISBLANK('Q:\Abteilungsprojekte\eng\EngData\AOS\Allgemein\[LabSamples2025.xlsx]Bioplastic'!H134)," ",'Q:\Abteilungsprojekte\eng\EngData\AOS\Allgemein\[LabSamples2025.xlsx]Bioplastic'!H134)</f>
        <v/>
      </c>
    </row>
    <row r="135">
      <c r="A135">
        <f>IF(ISBLANK('Q:\Abteilungsprojekte\eng\EngData\AOS\Allgemein\[LabSamples2025.xlsx]Bioplastic'!A135)," ",'Q:\Abteilungsprojekte\eng\EngData\AOS\Allgemein\[LabSamples2025.xlsx]Bioplastic'!A135)</f>
        <v/>
      </c>
      <c r="B135">
        <f>IF(ISBLANK('Q:\Abteilungsprojekte\eng\EngData\AOS\Allgemein\[LabSamples2025.xlsx]Bioplastic'!B135)," ",'Q:\Abteilungsprojekte\eng\EngData\AOS\Allgemein\[LabSamples2025.xlsx]Bioplastic'!B135)</f>
        <v/>
      </c>
      <c r="C135">
        <f>IF(ISBLANK('Q:\Abteilungsprojekte\eng\EngData\AOS\Allgemein\[LabSamples2025.xlsx]Bioplastic'!C135)," ",'Q:\Abteilungsprojekte\eng\EngData\AOS\Allgemein\[LabSamples2025.xlsx]Bioplastic'!C135)</f>
        <v/>
      </c>
      <c r="D135">
        <f>IF(ISBLANK('Q:\Abteilungsprojekte\eng\EngData\AOS\Allgemein\[LabSamples2025.xlsx]Bioplastic'!D135)," ",'Q:\Abteilungsprojekte\eng\EngData\AOS\Allgemein\[LabSamples2025.xlsx]Bioplastic'!D135)</f>
        <v/>
      </c>
      <c r="E135">
        <f>IF(ISBLANK('Q:\Abteilungsprojekte\eng\EngData\AOS\Allgemein\[LabSamples2025.xlsx]Bioplastic'!E135)," ",'Q:\Abteilungsprojekte\eng\EngData\AOS\Allgemein\[LabSamples2025.xlsx]Bioplastic'!E135)</f>
        <v/>
      </c>
      <c r="F135">
        <f>IF(ISBLANK('Q:\Abteilungsprojekte\eng\EngData\AOS\Allgemein\[LabSamples2025.xlsx]Bioplastic'!F135)," ",'Q:\Abteilungsprojekte\eng\EngData\AOS\Allgemein\[LabSamples2025.xlsx]Bioplastic'!F135)</f>
        <v/>
      </c>
      <c r="G135">
        <f>IF(ISBLANK('Q:\Abteilungsprojekte\eng\EngData\AOS\Allgemein\[LabSamples2025.xlsx]Bioplastic'!G135)," ",'Q:\Abteilungsprojekte\eng\EngData\AOS\Allgemein\[LabSamples2025.xlsx]Bioplastic'!G135)</f>
        <v/>
      </c>
      <c r="H135">
        <f>IF(ISBLANK('Q:\Abteilungsprojekte\eng\EngData\AOS\Allgemein\[LabSamples2025.xlsx]Bioplastic'!H135)," ",'Q:\Abteilungsprojekte\eng\EngData\AOS\Allgemein\[LabSamples2025.xlsx]Bioplastic'!H135)</f>
        <v/>
      </c>
    </row>
    <row r="136">
      <c r="A136">
        <f>IF(ISBLANK('Q:\Abteilungsprojekte\eng\EngData\AOS\Allgemein\[LabSamples2025.xlsx]Bioplastic'!A136)," ",'Q:\Abteilungsprojekte\eng\EngData\AOS\Allgemein\[LabSamples2025.xlsx]Bioplastic'!A136)</f>
        <v/>
      </c>
      <c r="B136">
        <f>IF(ISBLANK('Q:\Abteilungsprojekte\eng\EngData\AOS\Allgemein\[LabSamples2025.xlsx]Bioplastic'!B136)," ",'Q:\Abteilungsprojekte\eng\EngData\AOS\Allgemein\[LabSamples2025.xlsx]Bioplastic'!B136)</f>
        <v/>
      </c>
      <c r="C136">
        <f>IF(ISBLANK('Q:\Abteilungsprojekte\eng\EngData\AOS\Allgemein\[LabSamples2025.xlsx]Bioplastic'!C136)," ",'Q:\Abteilungsprojekte\eng\EngData\AOS\Allgemein\[LabSamples2025.xlsx]Bioplastic'!C136)</f>
        <v/>
      </c>
      <c r="D136">
        <f>IF(ISBLANK('Q:\Abteilungsprojekte\eng\EngData\AOS\Allgemein\[LabSamples2025.xlsx]Bioplastic'!D136)," ",'Q:\Abteilungsprojekte\eng\EngData\AOS\Allgemein\[LabSamples2025.xlsx]Bioplastic'!D136)</f>
        <v/>
      </c>
      <c r="E136">
        <f>IF(ISBLANK('Q:\Abteilungsprojekte\eng\EngData\AOS\Allgemein\[LabSamples2025.xlsx]Bioplastic'!E136)," ",'Q:\Abteilungsprojekte\eng\EngData\AOS\Allgemein\[LabSamples2025.xlsx]Bioplastic'!E136)</f>
        <v/>
      </c>
      <c r="F136">
        <f>IF(ISBLANK('Q:\Abteilungsprojekte\eng\EngData\AOS\Allgemein\[LabSamples2025.xlsx]Bioplastic'!F136)," ",'Q:\Abteilungsprojekte\eng\EngData\AOS\Allgemein\[LabSamples2025.xlsx]Bioplastic'!F136)</f>
        <v/>
      </c>
      <c r="G136">
        <f>IF(ISBLANK('Q:\Abteilungsprojekte\eng\EngData\AOS\Allgemein\[LabSamples2025.xlsx]Bioplastic'!G136)," ",'Q:\Abteilungsprojekte\eng\EngData\AOS\Allgemein\[LabSamples2025.xlsx]Bioplastic'!G136)</f>
        <v/>
      </c>
      <c r="H136">
        <f>IF(ISBLANK('Q:\Abteilungsprojekte\eng\EngData\AOS\Allgemein\[LabSamples2025.xlsx]Bioplastic'!H136)," ",'Q:\Abteilungsprojekte\eng\EngData\AOS\Allgemein\[LabSamples2025.xlsx]Bioplastic'!H136)</f>
        <v/>
      </c>
    </row>
    <row r="137">
      <c r="A137">
        <f>IF(ISBLANK('Q:\Abteilungsprojekte\eng\EngData\AOS\Allgemein\[LabSamples2025.xlsx]Bioplastic'!A137)," ",'Q:\Abteilungsprojekte\eng\EngData\AOS\Allgemein\[LabSamples2025.xlsx]Bioplastic'!A137)</f>
        <v/>
      </c>
      <c r="B137">
        <f>IF(ISBLANK('Q:\Abteilungsprojekte\eng\EngData\AOS\Allgemein\[LabSamples2025.xlsx]Bioplastic'!B137)," ",'Q:\Abteilungsprojekte\eng\EngData\AOS\Allgemein\[LabSamples2025.xlsx]Bioplastic'!B137)</f>
        <v/>
      </c>
      <c r="C137">
        <f>IF(ISBLANK('Q:\Abteilungsprojekte\eng\EngData\AOS\Allgemein\[LabSamples2025.xlsx]Bioplastic'!C137)," ",'Q:\Abteilungsprojekte\eng\EngData\AOS\Allgemein\[LabSamples2025.xlsx]Bioplastic'!C137)</f>
        <v/>
      </c>
      <c r="D137">
        <f>IF(ISBLANK('Q:\Abteilungsprojekte\eng\EngData\AOS\Allgemein\[LabSamples2025.xlsx]Bioplastic'!D137)," ",'Q:\Abteilungsprojekte\eng\EngData\AOS\Allgemein\[LabSamples2025.xlsx]Bioplastic'!D137)</f>
        <v/>
      </c>
      <c r="E137">
        <f>IF(ISBLANK('Q:\Abteilungsprojekte\eng\EngData\AOS\Allgemein\[LabSamples2025.xlsx]Bioplastic'!E137)," ",'Q:\Abteilungsprojekte\eng\EngData\AOS\Allgemein\[LabSamples2025.xlsx]Bioplastic'!E137)</f>
        <v/>
      </c>
      <c r="F137">
        <f>IF(ISBLANK('Q:\Abteilungsprojekte\eng\EngData\AOS\Allgemein\[LabSamples2025.xlsx]Bioplastic'!F137)," ",'Q:\Abteilungsprojekte\eng\EngData\AOS\Allgemein\[LabSamples2025.xlsx]Bioplastic'!F137)</f>
        <v/>
      </c>
      <c r="G137">
        <f>IF(ISBLANK('Q:\Abteilungsprojekte\eng\EngData\AOS\Allgemein\[LabSamples2025.xlsx]Bioplastic'!G137)," ",'Q:\Abteilungsprojekte\eng\EngData\AOS\Allgemein\[LabSamples2025.xlsx]Bioplastic'!G137)</f>
        <v/>
      </c>
      <c r="H137">
        <f>IF(ISBLANK('Q:\Abteilungsprojekte\eng\EngData\AOS\Allgemein\[LabSamples2025.xlsx]Bioplastic'!H137)," ",'Q:\Abteilungsprojekte\eng\EngData\AOS\Allgemein\[LabSamples2025.xlsx]Bioplastic'!H137)</f>
        <v/>
      </c>
    </row>
    <row r="138">
      <c r="A138">
        <f>IF(ISBLANK('Q:\Abteilungsprojekte\eng\EngData\AOS\Allgemein\[LabSamples2025.xlsx]Bioplastic'!A138)," ",'Q:\Abteilungsprojekte\eng\EngData\AOS\Allgemein\[LabSamples2025.xlsx]Bioplastic'!A138)</f>
        <v/>
      </c>
      <c r="B138">
        <f>IF(ISBLANK('Q:\Abteilungsprojekte\eng\EngData\AOS\Allgemein\[LabSamples2025.xlsx]Bioplastic'!B138)," ",'Q:\Abteilungsprojekte\eng\EngData\AOS\Allgemein\[LabSamples2025.xlsx]Bioplastic'!B138)</f>
        <v/>
      </c>
      <c r="C138">
        <f>IF(ISBLANK('Q:\Abteilungsprojekte\eng\EngData\AOS\Allgemein\[LabSamples2025.xlsx]Bioplastic'!C138)," ",'Q:\Abteilungsprojekte\eng\EngData\AOS\Allgemein\[LabSamples2025.xlsx]Bioplastic'!C138)</f>
        <v/>
      </c>
      <c r="D138">
        <f>IF(ISBLANK('Q:\Abteilungsprojekte\eng\EngData\AOS\Allgemein\[LabSamples2025.xlsx]Bioplastic'!D138)," ",'Q:\Abteilungsprojekte\eng\EngData\AOS\Allgemein\[LabSamples2025.xlsx]Bioplastic'!D138)</f>
        <v/>
      </c>
      <c r="E138">
        <f>IF(ISBLANK('Q:\Abteilungsprojekte\eng\EngData\AOS\Allgemein\[LabSamples2025.xlsx]Bioplastic'!E138)," ",'Q:\Abteilungsprojekte\eng\EngData\AOS\Allgemein\[LabSamples2025.xlsx]Bioplastic'!E138)</f>
        <v/>
      </c>
      <c r="F138">
        <f>IF(ISBLANK('Q:\Abteilungsprojekte\eng\EngData\AOS\Allgemein\[LabSamples2025.xlsx]Bioplastic'!F138)," ",'Q:\Abteilungsprojekte\eng\EngData\AOS\Allgemein\[LabSamples2025.xlsx]Bioplastic'!F138)</f>
        <v/>
      </c>
      <c r="G138">
        <f>IF(ISBLANK('Q:\Abteilungsprojekte\eng\EngData\AOS\Allgemein\[LabSamples2025.xlsx]Bioplastic'!G138)," ",'Q:\Abteilungsprojekte\eng\EngData\AOS\Allgemein\[LabSamples2025.xlsx]Bioplastic'!G138)</f>
        <v/>
      </c>
      <c r="H138">
        <f>IF(ISBLANK('Q:\Abteilungsprojekte\eng\EngData\AOS\Allgemein\[LabSamples2025.xlsx]Bioplastic'!H138)," ",'Q:\Abteilungsprojekte\eng\EngData\AOS\Allgemein\[LabSamples2025.xlsx]Bioplastic'!H138)</f>
        <v/>
      </c>
    </row>
    <row r="139">
      <c r="A139">
        <f>IF(ISBLANK('Q:\Abteilungsprojekte\eng\EngData\AOS\Allgemein\[LabSamples2025.xlsx]Bioplastic'!A139)," ",'Q:\Abteilungsprojekte\eng\EngData\AOS\Allgemein\[LabSamples2025.xlsx]Bioplastic'!A139)</f>
        <v/>
      </c>
      <c r="B139">
        <f>IF(ISBLANK('Q:\Abteilungsprojekte\eng\EngData\AOS\Allgemein\[LabSamples2025.xlsx]Bioplastic'!B139)," ",'Q:\Abteilungsprojekte\eng\EngData\AOS\Allgemein\[LabSamples2025.xlsx]Bioplastic'!B139)</f>
        <v/>
      </c>
      <c r="C139">
        <f>IF(ISBLANK('Q:\Abteilungsprojekte\eng\EngData\AOS\Allgemein\[LabSamples2025.xlsx]Bioplastic'!C139)," ",'Q:\Abteilungsprojekte\eng\EngData\AOS\Allgemein\[LabSamples2025.xlsx]Bioplastic'!C139)</f>
        <v/>
      </c>
      <c r="D139">
        <f>IF(ISBLANK('Q:\Abteilungsprojekte\eng\EngData\AOS\Allgemein\[LabSamples2025.xlsx]Bioplastic'!D139)," ",'Q:\Abteilungsprojekte\eng\EngData\AOS\Allgemein\[LabSamples2025.xlsx]Bioplastic'!D139)</f>
        <v/>
      </c>
      <c r="E139">
        <f>IF(ISBLANK('Q:\Abteilungsprojekte\eng\EngData\AOS\Allgemein\[LabSamples2025.xlsx]Bioplastic'!E139)," ",'Q:\Abteilungsprojekte\eng\EngData\AOS\Allgemein\[LabSamples2025.xlsx]Bioplastic'!E139)</f>
        <v/>
      </c>
      <c r="F139">
        <f>IF(ISBLANK('Q:\Abteilungsprojekte\eng\EngData\AOS\Allgemein\[LabSamples2025.xlsx]Bioplastic'!F139)," ",'Q:\Abteilungsprojekte\eng\EngData\AOS\Allgemein\[LabSamples2025.xlsx]Bioplastic'!F139)</f>
        <v/>
      </c>
      <c r="G139">
        <f>IF(ISBLANK('Q:\Abteilungsprojekte\eng\EngData\AOS\Allgemein\[LabSamples2025.xlsx]Bioplastic'!G139)," ",'Q:\Abteilungsprojekte\eng\EngData\AOS\Allgemein\[LabSamples2025.xlsx]Bioplastic'!G139)</f>
        <v/>
      </c>
      <c r="H139">
        <f>IF(ISBLANK('Q:\Abteilungsprojekte\eng\EngData\AOS\Allgemein\[LabSamples2025.xlsx]Bioplastic'!H139)," ",'Q:\Abteilungsprojekte\eng\EngData\AOS\Allgemein\[LabSamples2025.xlsx]Bioplastic'!H139)</f>
        <v/>
      </c>
    </row>
    <row r="140">
      <c r="A140">
        <f>IF(ISBLANK('Q:\Abteilungsprojekte\eng\EngData\AOS\Allgemein\[LabSamples2025.xlsx]Bioplastic'!A140)," ",'Q:\Abteilungsprojekte\eng\EngData\AOS\Allgemein\[LabSamples2025.xlsx]Bioplastic'!A140)</f>
        <v/>
      </c>
      <c r="B140">
        <f>IF(ISBLANK('Q:\Abteilungsprojekte\eng\EngData\AOS\Allgemein\[LabSamples2025.xlsx]Bioplastic'!B140)," ",'Q:\Abteilungsprojekte\eng\EngData\AOS\Allgemein\[LabSamples2025.xlsx]Bioplastic'!B140)</f>
        <v/>
      </c>
      <c r="C140">
        <f>IF(ISBLANK('Q:\Abteilungsprojekte\eng\EngData\AOS\Allgemein\[LabSamples2025.xlsx]Bioplastic'!C140)," ",'Q:\Abteilungsprojekte\eng\EngData\AOS\Allgemein\[LabSamples2025.xlsx]Bioplastic'!C140)</f>
        <v/>
      </c>
      <c r="D140">
        <f>IF(ISBLANK('Q:\Abteilungsprojekte\eng\EngData\AOS\Allgemein\[LabSamples2025.xlsx]Bioplastic'!D140)," ",'Q:\Abteilungsprojekte\eng\EngData\AOS\Allgemein\[LabSamples2025.xlsx]Bioplastic'!D140)</f>
        <v/>
      </c>
      <c r="E140">
        <f>IF(ISBLANK('Q:\Abteilungsprojekte\eng\EngData\AOS\Allgemein\[LabSamples2025.xlsx]Bioplastic'!E140)," ",'Q:\Abteilungsprojekte\eng\EngData\AOS\Allgemein\[LabSamples2025.xlsx]Bioplastic'!E140)</f>
        <v/>
      </c>
      <c r="F140">
        <f>IF(ISBLANK('Q:\Abteilungsprojekte\eng\EngData\AOS\Allgemein\[LabSamples2025.xlsx]Bioplastic'!F140)," ",'Q:\Abteilungsprojekte\eng\EngData\AOS\Allgemein\[LabSamples2025.xlsx]Bioplastic'!F140)</f>
        <v/>
      </c>
      <c r="G140">
        <f>IF(ISBLANK('Q:\Abteilungsprojekte\eng\EngData\AOS\Allgemein\[LabSamples2025.xlsx]Bioplastic'!G140)," ",'Q:\Abteilungsprojekte\eng\EngData\AOS\Allgemein\[LabSamples2025.xlsx]Bioplastic'!G140)</f>
        <v/>
      </c>
      <c r="H140">
        <f>IF(ISBLANK('Q:\Abteilungsprojekte\eng\EngData\AOS\Allgemein\[LabSamples2025.xlsx]Bioplastic'!H140)," ",'Q:\Abteilungsprojekte\eng\EngData\AOS\Allgemein\[LabSamples2025.xlsx]Bioplastic'!H140)</f>
        <v/>
      </c>
    </row>
    <row r="141">
      <c r="A141">
        <f>IF(ISBLANK('Q:\Abteilungsprojekte\eng\EngData\AOS\Allgemein\[LabSamples2025.xlsx]Bioplastic'!A141)," ",'Q:\Abteilungsprojekte\eng\EngData\AOS\Allgemein\[LabSamples2025.xlsx]Bioplastic'!A141)</f>
        <v/>
      </c>
      <c r="B141">
        <f>IF(ISBLANK('Q:\Abteilungsprojekte\eng\EngData\AOS\Allgemein\[LabSamples2025.xlsx]Bioplastic'!B141)," ",'Q:\Abteilungsprojekte\eng\EngData\AOS\Allgemein\[LabSamples2025.xlsx]Bioplastic'!B141)</f>
        <v/>
      </c>
      <c r="C141">
        <f>IF(ISBLANK('Q:\Abteilungsprojekte\eng\EngData\AOS\Allgemein\[LabSamples2025.xlsx]Bioplastic'!C141)," ",'Q:\Abteilungsprojekte\eng\EngData\AOS\Allgemein\[LabSamples2025.xlsx]Bioplastic'!C141)</f>
        <v/>
      </c>
      <c r="D141">
        <f>IF(ISBLANK('Q:\Abteilungsprojekte\eng\EngData\AOS\Allgemein\[LabSamples2025.xlsx]Bioplastic'!D141)," ",'Q:\Abteilungsprojekte\eng\EngData\AOS\Allgemein\[LabSamples2025.xlsx]Bioplastic'!D141)</f>
        <v/>
      </c>
      <c r="E141">
        <f>IF(ISBLANK('Q:\Abteilungsprojekte\eng\EngData\AOS\Allgemein\[LabSamples2025.xlsx]Bioplastic'!E141)," ",'Q:\Abteilungsprojekte\eng\EngData\AOS\Allgemein\[LabSamples2025.xlsx]Bioplastic'!E141)</f>
        <v/>
      </c>
      <c r="F141">
        <f>IF(ISBLANK('Q:\Abteilungsprojekte\eng\EngData\AOS\Allgemein\[LabSamples2025.xlsx]Bioplastic'!F141)," ",'Q:\Abteilungsprojekte\eng\EngData\AOS\Allgemein\[LabSamples2025.xlsx]Bioplastic'!F141)</f>
        <v/>
      </c>
      <c r="G141">
        <f>IF(ISBLANK('Q:\Abteilungsprojekte\eng\EngData\AOS\Allgemein\[LabSamples2025.xlsx]Bioplastic'!G141)," ",'Q:\Abteilungsprojekte\eng\EngData\AOS\Allgemein\[LabSamples2025.xlsx]Bioplastic'!G141)</f>
        <v/>
      </c>
      <c r="H141">
        <f>IF(ISBLANK('Q:\Abteilungsprojekte\eng\EngData\AOS\Allgemein\[LabSamples2025.xlsx]Bioplastic'!H141)," ",'Q:\Abteilungsprojekte\eng\EngData\AOS\Allgemein\[LabSamples2025.xlsx]Bioplastic'!H141)</f>
        <v/>
      </c>
    </row>
    <row r="142">
      <c r="A142">
        <f>IF(ISBLANK('Q:\Abteilungsprojekte\eng\EngData\AOS\Allgemein\[LabSamples2025.xlsx]Bioplastic'!A142)," ",'Q:\Abteilungsprojekte\eng\EngData\AOS\Allgemein\[LabSamples2025.xlsx]Bioplastic'!A142)</f>
        <v/>
      </c>
      <c r="B142">
        <f>IF(ISBLANK('Q:\Abteilungsprojekte\eng\EngData\AOS\Allgemein\[LabSamples2025.xlsx]Bioplastic'!B142)," ",'Q:\Abteilungsprojekte\eng\EngData\AOS\Allgemein\[LabSamples2025.xlsx]Bioplastic'!B142)</f>
        <v/>
      </c>
      <c r="C142">
        <f>IF(ISBLANK('Q:\Abteilungsprojekte\eng\EngData\AOS\Allgemein\[LabSamples2025.xlsx]Bioplastic'!C142)," ",'Q:\Abteilungsprojekte\eng\EngData\AOS\Allgemein\[LabSamples2025.xlsx]Bioplastic'!C142)</f>
        <v/>
      </c>
      <c r="D142">
        <f>IF(ISBLANK('Q:\Abteilungsprojekte\eng\EngData\AOS\Allgemein\[LabSamples2025.xlsx]Bioplastic'!D142)," ",'Q:\Abteilungsprojekte\eng\EngData\AOS\Allgemein\[LabSamples2025.xlsx]Bioplastic'!D142)</f>
        <v/>
      </c>
      <c r="E142">
        <f>IF(ISBLANK('Q:\Abteilungsprojekte\eng\EngData\AOS\Allgemein\[LabSamples2025.xlsx]Bioplastic'!E142)," ",'Q:\Abteilungsprojekte\eng\EngData\AOS\Allgemein\[LabSamples2025.xlsx]Bioplastic'!E142)</f>
        <v/>
      </c>
      <c r="F142">
        <f>IF(ISBLANK('Q:\Abteilungsprojekte\eng\EngData\AOS\Allgemein\[LabSamples2025.xlsx]Bioplastic'!F142)," ",'Q:\Abteilungsprojekte\eng\EngData\AOS\Allgemein\[LabSamples2025.xlsx]Bioplastic'!F142)</f>
        <v/>
      </c>
      <c r="G142">
        <f>IF(ISBLANK('Q:\Abteilungsprojekte\eng\EngData\AOS\Allgemein\[LabSamples2025.xlsx]Bioplastic'!G142)," ",'Q:\Abteilungsprojekte\eng\EngData\AOS\Allgemein\[LabSamples2025.xlsx]Bioplastic'!G142)</f>
        <v/>
      </c>
      <c r="H142">
        <f>IF(ISBLANK('Q:\Abteilungsprojekte\eng\EngData\AOS\Allgemein\[LabSamples2025.xlsx]Bioplastic'!H142)," ",'Q:\Abteilungsprojekte\eng\EngData\AOS\Allgemein\[LabSamples2025.xlsx]Bioplastic'!H142)</f>
        <v/>
      </c>
    </row>
    <row r="143">
      <c r="A143">
        <f>IF(ISBLANK('Q:\Abteilungsprojekte\eng\EngData\AOS\Allgemein\[LabSamples2025.xlsx]Bioplastic'!A143)," ",'Q:\Abteilungsprojekte\eng\EngData\AOS\Allgemein\[LabSamples2025.xlsx]Bioplastic'!A143)</f>
        <v/>
      </c>
      <c r="B143">
        <f>IF(ISBLANK('Q:\Abteilungsprojekte\eng\EngData\AOS\Allgemein\[LabSamples2025.xlsx]Bioplastic'!B143)," ",'Q:\Abteilungsprojekte\eng\EngData\AOS\Allgemein\[LabSamples2025.xlsx]Bioplastic'!B143)</f>
        <v/>
      </c>
      <c r="C143">
        <f>IF(ISBLANK('Q:\Abteilungsprojekte\eng\EngData\AOS\Allgemein\[LabSamples2025.xlsx]Bioplastic'!C143)," ",'Q:\Abteilungsprojekte\eng\EngData\AOS\Allgemein\[LabSamples2025.xlsx]Bioplastic'!C143)</f>
        <v/>
      </c>
      <c r="D143">
        <f>IF(ISBLANK('Q:\Abteilungsprojekte\eng\EngData\AOS\Allgemein\[LabSamples2025.xlsx]Bioplastic'!D143)," ",'Q:\Abteilungsprojekte\eng\EngData\AOS\Allgemein\[LabSamples2025.xlsx]Bioplastic'!D143)</f>
        <v/>
      </c>
      <c r="E143">
        <f>IF(ISBLANK('Q:\Abteilungsprojekte\eng\EngData\AOS\Allgemein\[LabSamples2025.xlsx]Bioplastic'!E143)," ",'Q:\Abteilungsprojekte\eng\EngData\AOS\Allgemein\[LabSamples2025.xlsx]Bioplastic'!E143)</f>
        <v/>
      </c>
      <c r="F143">
        <f>IF(ISBLANK('Q:\Abteilungsprojekte\eng\EngData\AOS\Allgemein\[LabSamples2025.xlsx]Bioplastic'!F143)," ",'Q:\Abteilungsprojekte\eng\EngData\AOS\Allgemein\[LabSamples2025.xlsx]Bioplastic'!F143)</f>
        <v/>
      </c>
      <c r="G143">
        <f>IF(ISBLANK('Q:\Abteilungsprojekte\eng\EngData\AOS\Allgemein\[LabSamples2025.xlsx]Bioplastic'!G143)," ",'Q:\Abteilungsprojekte\eng\EngData\AOS\Allgemein\[LabSamples2025.xlsx]Bioplastic'!G143)</f>
        <v/>
      </c>
      <c r="H143">
        <f>IF(ISBLANK('Q:\Abteilungsprojekte\eng\EngData\AOS\Allgemein\[LabSamples2025.xlsx]Bioplastic'!H143)," ",'Q:\Abteilungsprojekte\eng\EngData\AOS\Allgemein\[LabSamples2025.xlsx]Bioplastic'!H143)</f>
        <v/>
      </c>
    </row>
    <row r="144">
      <c r="A144">
        <f>IF(ISBLANK('Q:\Abteilungsprojekte\eng\EngData\AOS\Allgemein\[LabSamples2025.xlsx]Bioplastic'!A144)," ",'Q:\Abteilungsprojekte\eng\EngData\AOS\Allgemein\[LabSamples2025.xlsx]Bioplastic'!A144)</f>
        <v/>
      </c>
      <c r="B144">
        <f>IF(ISBLANK('Q:\Abteilungsprojekte\eng\EngData\AOS\Allgemein\[LabSamples2025.xlsx]Bioplastic'!B144)," ",'Q:\Abteilungsprojekte\eng\EngData\AOS\Allgemein\[LabSamples2025.xlsx]Bioplastic'!B144)</f>
        <v/>
      </c>
      <c r="C144">
        <f>IF(ISBLANK('Q:\Abteilungsprojekte\eng\EngData\AOS\Allgemein\[LabSamples2025.xlsx]Bioplastic'!C144)," ",'Q:\Abteilungsprojekte\eng\EngData\AOS\Allgemein\[LabSamples2025.xlsx]Bioplastic'!C144)</f>
        <v/>
      </c>
      <c r="D144">
        <f>IF(ISBLANK('Q:\Abteilungsprojekte\eng\EngData\AOS\Allgemein\[LabSamples2025.xlsx]Bioplastic'!D144)," ",'Q:\Abteilungsprojekte\eng\EngData\AOS\Allgemein\[LabSamples2025.xlsx]Bioplastic'!D144)</f>
        <v/>
      </c>
      <c r="E144">
        <f>IF(ISBLANK('Q:\Abteilungsprojekte\eng\EngData\AOS\Allgemein\[LabSamples2025.xlsx]Bioplastic'!E144)," ",'Q:\Abteilungsprojekte\eng\EngData\AOS\Allgemein\[LabSamples2025.xlsx]Bioplastic'!E144)</f>
        <v/>
      </c>
      <c r="F144">
        <f>IF(ISBLANK('Q:\Abteilungsprojekte\eng\EngData\AOS\Allgemein\[LabSamples2025.xlsx]Bioplastic'!F144)," ",'Q:\Abteilungsprojekte\eng\EngData\AOS\Allgemein\[LabSamples2025.xlsx]Bioplastic'!F144)</f>
        <v/>
      </c>
      <c r="G144">
        <f>IF(ISBLANK('Q:\Abteilungsprojekte\eng\EngData\AOS\Allgemein\[LabSamples2025.xlsx]Bioplastic'!G144)," ",'Q:\Abteilungsprojekte\eng\EngData\AOS\Allgemein\[LabSamples2025.xlsx]Bioplastic'!G144)</f>
        <v/>
      </c>
      <c r="H144">
        <f>IF(ISBLANK('Q:\Abteilungsprojekte\eng\EngData\AOS\Allgemein\[LabSamples2025.xlsx]Bioplastic'!H144)," ",'Q:\Abteilungsprojekte\eng\EngData\AOS\Allgemein\[LabSamples2025.xlsx]Bioplastic'!H144)</f>
        <v/>
      </c>
    </row>
    <row r="145">
      <c r="A145">
        <f>IF(ISBLANK('Q:\Abteilungsprojekte\eng\EngData\AOS\Allgemein\[LabSamples2025.xlsx]Bioplastic'!A145)," ",'Q:\Abteilungsprojekte\eng\EngData\AOS\Allgemein\[LabSamples2025.xlsx]Bioplastic'!A145)</f>
        <v/>
      </c>
      <c r="B145">
        <f>IF(ISBLANK('Q:\Abteilungsprojekte\eng\EngData\AOS\Allgemein\[LabSamples2025.xlsx]Bioplastic'!B145)," ",'Q:\Abteilungsprojekte\eng\EngData\AOS\Allgemein\[LabSamples2025.xlsx]Bioplastic'!B145)</f>
        <v/>
      </c>
      <c r="C145">
        <f>IF(ISBLANK('Q:\Abteilungsprojekte\eng\EngData\AOS\Allgemein\[LabSamples2025.xlsx]Bioplastic'!C145)," ",'Q:\Abteilungsprojekte\eng\EngData\AOS\Allgemein\[LabSamples2025.xlsx]Bioplastic'!C145)</f>
        <v/>
      </c>
      <c r="D145">
        <f>IF(ISBLANK('Q:\Abteilungsprojekte\eng\EngData\AOS\Allgemein\[LabSamples2025.xlsx]Bioplastic'!D145)," ",'Q:\Abteilungsprojekte\eng\EngData\AOS\Allgemein\[LabSamples2025.xlsx]Bioplastic'!D145)</f>
        <v/>
      </c>
      <c r="E145">
        <f>IF(ISBLANK('Q:\Abteilungsprojekte\eng\EngData\AOS\Allgemein\[LabSamples2025.xlsx]Bioplastic'!E145)," ",'Q:\Abteilungsprojekte\eng\EngData\AOS\Allgemein\[LabSamples2025.xlsx]Bioplastic'!E145)</f>
        <v/>
      </c>
      <c r="F145">
        <f>IF(ISBLANK('Q:\Abteilungsprojekte\eng\EngData\AOS\Allgemein\[LabSamples2025.xlsx]Bioplastic'!F145)," ",'Q:\Abteilungsprojekte\eng\EngData\AOS\Allgemein\[LabSamples2025.xlsx]Bioplastic'!F145)</f>
        <v/>
      </c>
      <c r="G145">
        <f>IF(ISBLANK('Q:\Abteilungsprojekte\eng\EngData\AOS\Allgemein\[LabSamples2025.xlsx]Bioplastic'!G145)," ",'Q:\Abteilungsprojekte\eng\EngData\AOS\Allgemein\[LabSamples2025.xlsx]Bioplastic'!G145)</f>
        <v/>
      </c>
      <c r="H145">
        <f>IF(ISBLANK('Q:\Abteilungsprojekte\eng\EngData\AOS\Allgemein\[LabSamples2025.xlsx]Bioplastic'!H145)," ",'Q:\Abteilungsprojekte\eng\EngData\AOS\Allgemein\[LabSamples2025.xlsx]Bioplastic'!H145)</f>
        <v/>
      </c>
    </row>
    <row r="146">
      <c r="A146">
        <f>IF(ISBLANK('Q:\Abteilungsprojekte\eng\EngData\AOS\Allgemein\[LabSamples2025.xlsx]Bioplastic'!A146)," ",'Q:\Abteilungsprojekte\eng\EngData\AOS\Allgemein\[LabSamples2025.xlsx]Bioplastic'!A146)</f>
        <v/>
      </c>
      <c r="B146">
        <f>IF(ISBLANK('Q:\Abteilungsprojekte\eng\EngData\AOS\Allgemein\[LabSamples2025.xlsx]Bioplastic'!B146)," ",'Q:\Abteilungsprojekte\eng\EngData\AOS\Allgemein\[LabSamples2025.xlsx]Bioplastic'!B146)</f>
        <v/>
      </c>
      <c r="C146">
        <f>IF(ISBLANK('Q:\Abteilungsprojekte\eng\EngData\AOS\Allgemein\[LabSamples2025.xlsx]Bioplastic'!C146)," ",'Q:\Abteilungsprojekte\eng\EngData\AOS\Allgemein\[LabSamples2025.xlsx]Bioplastic'!C146)</f>
        <v/>
      </c>
      <c r="D146">
        <f>IF(ISBLANK('Q:\Abteilungsprojekte\eng\EngData\AOS\Allgemein\[LabSamples2025.xlsx]Bioplastic'!D146)," ",'Q:\Abteilungsprojekte\eng\EngData\AOS\Allgemein\[LabSamples2025.xlsx]Bioplastic'!D146)</f>
        <v/>
      </c>
      <c r="E146">
        <f>IF(ISBLANK('Q:\Abteilungsprojekte\eng\EngData\AOS\Allgemein\[LabSamples2025.xlsx]Bioplastic'!E146)," ",'Q:\Abteilungsprojekte\eng\EngData\AOS\Allgemein\[LabSamples2025.xlsx]Bioplastic'!E146)</f>
        <v/>
      </c>
      <c r="F146">
        <f>IF(ISBLANK('Q:\Abteilungsprojekte\eng\EngData\AOS\Allgemein\[LabSamples2025.xlsx]Bioplastic'!F146)," ",'Q:\Abteilungsprojekte\eng\EngData\AOS\Allgemein\[LabSamples2025.xlsx]Bioplastic'!F146)</f>
        <v/>
      </c>
      <c r="G146">
        <f>IF(ISBLANK('Q:\Abteilungsprojekte\eng\EngData\AOS\Allgemein\[LabSamples2025.xlsx]Bioplastic'!G146)," ",'Q:\Abteilungsprojekte\eng\EngData\AOS\Allgemein\[LabSamples2025.xlsx]Bioplastic'!G146)</f>
        <v/>
      </c>
      <c r="H146">
        <f>IF(ISBLANK('Q:\Abteilungsprojekte\eng\EngData\AOS\Allgemein\[LabSamples2025.xlsx]Bioplastic'!H146)," ",'Q:\Abteilungsprojekte\eng\EngData\AOS\Allgemein\[LabSamples2025.xlsx]Bioplastic'!H146)</f>
        <v/>
      </c>
    </row>
    <row r="147">
      <c r="A147">
        <f>IF(ISBLANK('Q:\Abteilungsprojekte\eng\EngData\AOS\Allgemein\[LabSamples2025.xlsx]Bioplastic'!A147)," ",'Q:\Abteilungsprojekte\eng\EngData\AOS\Allgemein\[LabSamples2025.xlsx]Bioplastic'!A147)</f>
        <v/>
      </c>
      <c r="B147">
        <f>IF(ISBLANK('Q:\Abteilungsprojekte\eng\EngData\AOS\Allgemein\[LabSamples2025.xlsx]Bioplastic'!B147)," ",'Q:\Abteilungsprojekte\eng\EngData\AOS\Allgemein\[LabSamples2025.xlsx]Bioplastic'!B147)</f>
        <v/>
      </c>
      <c r="C147">
        <f>IF(ISBLANK('Q:\Abteilungsprojekte\eng\EngData\AOS\Allgemein\[LabSamples2025.xlsx]Bioplastic'!C147)," ",'Q:\Abteilungsprojekte\eng\EngData\AOS\Allgemein\[LabSamples2025.xlsx]Bioplastic'!C147)</f>
        <v/>
      </c>
      <c r="D147">
        <f>IF(ISBLANK('Q:\Abteilungsprojekte\eng\EngData\AOS\Allgemein\[LabSamples2025.xlsx]Bioplastic'!D147)," ",'Q:\Abteilungsprojekte\eng\EngData\AOS\Allgemein\[LabSamples2025.xlsx]Bioplastic'!D147)</f>
        <v/>
      </c>
      <c r="E147">
        <f>IF(ISBLANK('Q:\Abteilungsprojekte\eng\EngData\AOS\Allgemein\[LabSamples2025.xlsx]Bioplastic'!E147)," ",'Q:\Abteilungsprojekte\eng\EngData\AOS\Allgemein\[LabSamples2025.xlsx]Bioplastic'!E147)</f>
        <v/>
      </c>
      <c r="F147">
        <f>IF(ISBLANK('Q:\Abteilungsprojekte\eng\EngData\AOS\Allgemein\[LabSamples2025.xlsx]Bioplastic'!F147)," ",'Q:\Abteilungsprojekte\eng\EngData\AOS\Allgemein\[LabSamples2025.xlsx]Bioplastic'!F147)</f>
        <v/>
      </c>
      <c r="G147">
        <f>IF(ISBLANK('Q:\Abteilungsprojekte\eng\EngData\AOS\Allgemein\[LabSamples2025.xlsx]Bioplastic'!G147)," ",'Q:\Abteilungsprojekte\eng\EngData\AOS\Allgemein\[LabSamples2025.xlsx]Bioplastic'!G147)</f>
        <v/>
      </c>
      <c r="H147">
        <f>IF(ISBLANK('Q:\Abteilungsprojekte\eng\EngData\AOS\Allgemein\[LabSamples2025.xlsx]Bioplastic'!H147)," ",'Q:\Abteilungsprojekte\eng\EngData\AOS\Allgemein\[LabSamples2025.xlsx]Bioplastic'!H147)</f>
        <v/>
      </c>
    </row>
    <row r="148">
      <c r="A148">
        <f>IF(ISBLANK('Q:\Abteilungsprojekte\eng\EngData\AOS\Allgemein\[LabSamples2025.xlsx]Bioplastic'!A148)," ",'Q:\Abteilungsprojekte\eng\EngData\AOS\Allgemein\[LabSamples2025.xlsx]Bioplastic'!A148)</f>
        <v/>
      </c>
      <c r="B148">
        <f>IF(ISBLANK('Q:\Abteilungsprojekte\eng\EngData\AOS\Allgemein\[LabSamples2025.xlsx]Bioplastic'!B148)," ",'Q:\Abteilungsprojekte\eng\EngData\AOS\Allgemein\[LabSamples2025.xlsx]Bioplastic'!B148)</f>
        <v/>
      </c>
      <c r="C148">
        <f>IF(ISBLANK('Q:\Abteilungsprojekte\eng\EngData\AOS\Allgemein\[LabSamples2025.xlsx]Bioplastic'!C148)," ",'Q:\Abteilungsprojekte\eng\EngData\AOS\Allgemein\[LabSamples2025.xlsx]Bioplastic'!C148)</f>
        <v/>
      </c>
      <c r="D148">
        <f>IF(ISBLANK('Q:\Abteilungsprojekte\eng\EngData\AOS\Allgemein\[LabSamples2025.xlsx]Bioplastic'!D148)," ",'Q:\Abteilungsprojekte\eng\EngData\AOS\Allgemein\[LabSamples2025.xlsx]Bioplastic'!D148)</f>
        <v/>
      </c>
      <c r="E148">
        <f>IF(ISBLANK('Q:\Abteilungsprojekte\eng\EngData\AOS\Allgemein\[LabSamples2025.xlsx]Bioplastic'!E148)," ",'Q:\Abteilungsprojekte\eng\EngData\AOS\Allgemein\[LabSamples2025.xlsx]Bioplastic'!E148)</f>
        <v/>
      </c>
      <c r="F148">
        <f>IF(ISBLANK('Q:\Abteilungsprojekte\eng\EngData\AOS\Allgemein\[LabSamples2025.xlsx]Bioplastic'!F148)," ",'Q:\Abteilungsprojekte\eng\EngData\AOS\Allgemein\[LabSamples2025.xlsx]Bioplastic'!F148)</f>
        <v/>
      </c>
      <c r="G148">
        <f>IF(ISBLANK('Q:\Abteilungsprojekte\eng\EngData\AOS\Allgemein\[LabSamples2025.xlsx]Bioplastic'!G148)," ",'Q:\Abteilungsprojekte\eng\EngData\AOS\Allgemein\[LabSamples2025.xlsx]Bioplastic'!G148)</f>
        <v/>
      </c>
      <c r="H148">
        <f>IF(ISBLANK('Q:\Abteilungsprojekte\eng\EngData\AOS\Allgemein\[LabSamples2025.xlsx]Bioplastic'!H148)," ",'Q:\Abteilungsprojekte\eng\EngData\AOS\Allgemein\[LabSamples2025.xlsx]Bioplastic'!H148)</f>
        <v/>
      </c>
    </row>
    <row r="149">
      <c r="A149">
        <f>IF(ISBLANK('Q:\Abteilungsprojekte\eng\EngData\AOS\Allgemein\[LabSamples2025.xlsx]Bioplastic'!A149)," ",'Q:\Abteilungsprojekte\eng\EngData\AOS\Allgemein\[LabSamples2025.xlsx]Bioplastic'!A149)</f>
        <v/>
      </c>
      <c r="B149">
        <f>IF(ISBLANK('Q:\Abteilungsprojekte\eng\EngData\AOS\Allgemein\[LabSamples2025.xlsx]Bioplastic'!B149)," ",'Q:\Abteilungsprojekte\eng\EngData\AOS\Allgemein\[LabSamples2025.xlsx]Bioplastic'!B149)</f>
        <v/>
      </c>
      <c r="C149">
        <f>IF(ISBLANK('Q:\Abteilungsprojekte\eng\EngData\AOS\Allgemein\[LabSamples2025.xlsx]Bioplastic'!C149)," ",'Q:\Abteilungsprojekte\eng\EngData\AOS\Allgemein\[LabSamples2025.xlsx]Bioplastic'!C149)</f>
        <v/>
      </c>
      <c r="D149">
        <f>IF(ISBLANK('Q:\Abteilungsprojekte\eng\EngData\AOS\Allgemein\[LabSamples2025.xlsx]Bioplastic'!D149)," ",'Q:\Abteilungsprojekte\eng\EngData\AOS\Allgemein\[LabSamples2025.xlsx]Bioplastic'!D149)</f>
        <v/>
      </c>
      <c r="E149">
        <f>IF(ISBLANK('Q:\Abteilungsprojekte\eng\EngData\AOS\Allgemein\[LabSamples2025.xlsx]Bioplastic'!E149)," ",'Q:\Abteilungsprojekte\eng\EngData\AOS\Allgemein\[LabSamples2025.xlsx]Bioplastic'!E149)</f>
        <v/>
      </c>
      <c r="F149">
        <f>IF(ISBLANK('Q:\Abteilungsprojekte\eng\EngData\AOS\Allgemein\[LabSamples2025.xlsx]Bioplastic'!F149)," ",'Q:\Abteilungsprojekte\eng\EngData\AOS\Allgemein\[LabSamples2025.xlsx]Bioplastic'!F149)</f>
        <v/>
      </c>
      <c r="G149">
        <f>IF(ISBLANK('Q:\Abteilungsprojekte\eng\EngData\AOS\Allgemein\[LabSamples2025.xlsx]Bioplastic'!G149)," ",'Q:\Abteilungsprojekte\eng\EngData\AOS\Allgemein\[LabSamples2025.xlsx]Bioplastic'!G149)</f>
        <v/>
      </c>
      <c r="H149">
        <f>IF(ISBLANK('Q:\Abteilungsprojekte\eng\EngData\AOS\Allgemein\[LabSamples2025.xlsx]Bioplastic'!H149)," ",'Q:\Abteilungsprojekte\eng\EngData\AOS\Allgemein\[LabSamples2025.xlsx]Bioplastic'!H149)</f>
        <v/>
      </c>
    </row>
    <row r="150">
      <c r="A150">
        <f>IF(ISBLANK('Q:\Abteilungsprojekte\eng\EngData\AOS\Allgemein\[LabSamples2025.xlsx]Bioplastic'!A150)," ",'Q:\Abteilungsprojekte\eng\EngData\AOS\Allgemein\[LabSamples2025.xlsx]Bioplastic'!A150)</f>
        <v/>
      </c>
      <c r="B150">
        <f>IF(ISBLANK('Q:\Abteilungsprojekte\eng\EngData\AOS\Allgemein\[LabSamples2025.xlsx]Bioplastic'!B150)," ",'Q:\Abteilungsprojekte\eng\EngData\AOS\Allgemein\[LabSamples2025.xlsx]Bioplastic'!B150)</f>
        <v/>
      </c>
      <c r="C150">
        <f>IF(ISBLANK('Q:\Abteilungsprojekte\eng\EngData\AOS\Allgemein\[LabSamples2025.xlsx]Bioplastic'!C150)," ",'Q:\Abteilungsprojekte\eng\EngData\AOS\Allgemein\[LabSamples2025.xlsx]Bioplastic'!C150)</f>
        <v/>
      </c>
      <c r="D150">
        <f>IF(ISBLANK('Q:\Abteilungsprojekte\eng\EngData\AOS\Allgemein\[LabSamples2025.xlsx]Bioplastic'!D150)," ",'Q:\Abteilungsprojekte\eng\EngData\AOS\Allgemein\[LabSamples2025.xlsx]Bioplastic'!D150)</f>
        <v/>
      </c>
      <c r="E150">
        <f>IF(ISBLANK('Q:\Abteilungsprojekte\eng\EngData\AOS\Allgemein\[LabSamples2025.xlsx]Bioplastic'!E150)," ",'Q:\Abteilungsprojekte\eng\EngData\AOS\Allgemein\[LabSamples2025.xlsx]Bioplastic'!E150)</f>
        <v/>
      </c>
      <c r="F150">
        <f>IF(ISBLANK('Q:\Abteilungsprojekte\eng\EngData\AOS\Allgemein\[LabSamples2025.xlsx]Bioplastic'!F150)," ",'Q:\Abteilungsprojekte\eng\EngData\AOS\Allgemein\[LabSamples2025.xlsx]Bioplastic'!F150)</f>
        <v/>
      </c>
      <c r="G150">
        <f>IF(ISBLANK('Q:\Abteilungsprojekte\eng\EngData\AOS\Allgemein\[LabSamples2025.xlsx]Bioplastic'!G150)," ",'Q:\Abteilungsprojekte\eng\EngData\AOS\Allgemein\[LabSamples2025.xlsx]Bioplastic'!G150)</f>
        <v/>
      </c>
      <c r="H150">
        <f>IF(ISBLANK('Q:\Abteilungsprojekte\eng\EngData\AOS\Allgemein\[LabSamples2025.xlsx]Bioplastic'!H150)," ",'Q:\Abteilungsprojekte\eng\EngData\AOS\Allgemein\[LabSamples2025.xlsx]Bioplastic'!H150)</f>
        <v/>
      </c>
    </row>
    <row r="151">
      <c r="A151">
        <f>IF(ISBLANK('Q:\Abteilungsprojekte\eng\EngData\AOS\Allgemein\[LabSamples2025.xlsx]Bioplastic'!A151)," ",'Q:\Abteilungsprojekte\eng\EngData\AOS\Allgemein\[LabSamples2025.xlsx]Bioplastic'!A151)</f>
        <v/>
      </c>
      <c r="B151">
        <f>IF(ISBLANK('Q:\Abteilungsprojekte\eng\EngData\AOS\Allgemein\[LabSamples2025.xlsx]Bioplastic'!B151)," ",'Q:\Abteilungsprojekte\eng\EngData\AOS\Allgemein\[LabSamples2025.xlsx]Bioplastic'!B151)</f>
        <v/>
      </c>
      <c r="C151">
        <f>IF(ISBLANK('Q:\Abteilungsprojekte\eng\EngData\AOS\Allgemein\[LabSamples2025.xlsx]Bioplastic'!C151)," ",'Q:\Abteilungsprojekte\eng\EngData\AOS\Allgemein\[LabSamples2025.xlsx]Bioplastic'!C151)</f>
        <v/>
      </c>
      <c r="D151">
        <f>IF(ISBLANK('Q:\Abteilungsprojekte\eng\EngData\AOS\Allgemein\[LabSamples2025.xlsx]Bioplastic'!D151)," ",'Q:\Abteilungsprojekte\eng\EngData\AOS\Allgemein\[LabSamples2025.xlsx]Bioplastic'!D151)</f>
        <v/>
      </c>
      <c r="E151">
        <f>IF(ISBLANK('Q:\Abteilungsprojekte\eng\EngData\AOS\Allgemein\[LabSamples2025.xlsx]Bioplastic'!E151)," ",'Q:\Abteilungsprojekte\eng\EngData\AOS\Allgemein\[LabSamples2025.xlsx]Bioplastic'!E151)</f>
        <v/>
      </c>
      <c r="F151">
        <f>IF(ISBLANK('Q:\Abteilungsprojekte\eng\EngData\AOS\Allgemein\[LabSamples2025.xlsx]Bioplastic'!F151)," ",'Q:\Abteilungsprojekte\eng\EngData\AOS\Allgemein\[LabSamples2025.xlsx]Bioplastic'!F151)</f>
        <v/>
      </c>
      <c r="G151">
        <f>IF(ISBLANK('Q:\Abteilungsprojekte\eng\EngData\AOS\Allgemein\[LabSamples2025.xlsx]Bioplastic'!G151)," ",'Q:\Abteilungsprojekte\eng\EngData\AOS\Allgemein\[LabSamples2025.xlsx]Bioplastic'!G151)</f>
        <v/>
      </c>
      <c r="H151">
        <f>IF(ISBLANK('Q:\Abteilungsprojekte\eng\EngData\AOS\Allgemein\[LabSamples2025.xlsx]Bioplastic'!H151)," ",'Q:\Abteilungsprojekte\eng\EngData\AOS\Allgemein\[LabSamples2025.xlsx]Bioplastic'!H151)</f>
        <v/>
      </c>
    </row>
    <row r="152">
      <c r="A152">
        <f>IF(ISBLANK('Q:\Abteilungsprojekte\eng\EngData\AOS\Allgemein\[LabSamples2025.xlsx]Bioplastic'!A152)," ",'Q:\Abteilungsprojekte\eng\EngData\AOS\Allgemein\[LabSamples2025.xlsx]Bioplastic'!A152)</f>
        <v/>
      </c>
      <c r="B152">
        <f>IF(ISBLANK('Q:\Abteilungsprojekte\eng\EngData\AOS\Allgemein\[LabSamples2025.xlsx]Bioplastic'!B152)," ",'Q:\Abteilungsprojekte\eng\EngData\AOS\Allgemein\[LabSamples2025.xlsx]Bioplastic'!B152)</f>
        <v/>
      </c>
      <c r="C152">
        <f>IF(ISBLANK('Q:\Abteilungsprojekte\eng\EngData\AOS\Allgemein\[LabSamples2025.xlsx]Bioplastic'!C152)," ",'Q:\Abteilungsprojekte\eng\EngData\AOS\Allgemein\[LabSamples2025.xlsx]Bioplastic'!C152)</f>
        <v/>
      </c>
      <c r="D152">
        <f>IF(ISBLANK('Q:\Abteilungsprojekte\eng\EngData\AOS\Allgemein\[LabSamples2025.xlsx]Bioplastic'!D152)," ",'Q:\Abteilungsprojekte\eng\EngData\AOS\Allgemein\[LabSamples2025.xlsx]Bioplastic'!D152)</f>
        <v/>
      </c>
      <c r="E152">
        <f>IF(ISBLANK('Q:\Abteilungsprojekte\eng\EngData\AOS\Allgemein\[LabSamples2025.xlsx]Bioplastic'!E152)," ",'Q:\Abteilungsprojekte\eng\EngData\AOS\Allgemein\[LabSamples2025.xlsx]Bioplastic'!E152)</f>
        <v/>
      </c>
      <c r="F152">
        <f>IF(ISBLANK('Q:\Abteilungsprojekte\eng\EngData\AOS\Allgemein\[LabSamples2025.xlsx]Bioplastic'!F152)," ",'Q:\Abteilungsprojekte\eng\EngData\AOS\Allgemein\[LabSamples2025.xlsx]Bioplastic'!F152)</f>
        <v/>
      </c>
      <c r="G152">
        <f>IF(ISBLANK('Q:\Abteilungsprojekte\eng\EngData\AOS\Allgemein\[LabSamples2025.xlsx]Bioplastic'!G152)," ",'Q:\Abteilungsprojekte\eng\EngData\AOS\Allgemein\[LabSamples2025.xlsx]Bioplastic'!G152)</f>
        <v/>
      </c>
      <c r="H152">
        <f>IF(ISBLANK('Q:\Abteilungsprojekte\eng\EngData\AOS\Allgemein\[LabSamples2025.xlsx]Bioplastic'!H152)," ",'Q:\Abteilungsprojekte\eng\EngData\AOS\Allgemein\[LabSamples2025.xlsx]Bioplastic'!H152)</f>
        <v/>
      </c>
    </row>
    <row r="153">
      <c r="A153">
        <f>IF(ISBLANK('Q:\Abteilungsprojekte\eng\EngData\AOS\Allgemein\[LabSamples2025.xlsx]Bioplastic'!A153)," ",'Q:\Abteilungsprojekte\eng\EngData\AOS\Allgemein\[LabSamples2025.xlsx]Bioplastic'!A153)</f>
        <v/>
      </c>
      <c r="B153">
        <f>IF(ISBLANK('Q:\Abteilungsprojekte\eng\EngData\AOS\Allgemein\[LabSamples2025.xlsx]Bioplastic'!B153)," ",'Q:\Abteilungsprojekte\eng\EngData\AOS\Allgemein\[LabSamples2025.xlsx]Bioplastic'!B153)</f>
        <v/>
      </c>
      <c r="C153">
        <f>IF(ISBLANK('Q:\Abteilungsprojekte\eng\EngData\AOS\Allgemein\[LabSamples2025.xlsx]Bioplastic'!C153)," ",'Q:\Abteilungsprojekte\eng\EngData\AOS\Allgemein\[LabSamples2025.xlsx]Bioplastic'!C153)</f>
        <v/>
      </c>
      <c r="D153">
        <f>IF(ISBLANK('Q:\Abteilungsprojekte\eng\EngData\AOS\Allgemein\[LabSamples2025.xlsx]Bioplastic'!D153)," ",'Q:\Abteilungsprojekte\eng\EngData\AOS\Allgemein\[LabSamples2025.xlsx]Bioplastic'!D153)</f>
        <v/>
      </c>
      <c r="E153">
        <f>IF(ISBLANK('Q:\Abteilungsprojekte\eng\EngData\AOS\Allgemein\[LabSamples2025.xlsx]Bioplastic'!E153)," ",'Q:\Abteilungsprojekte\eng\EngData\AOS\Allgemein\[LabSamples2025.xlsx]Bioplastic'!E153)</f>
        <v/>
      </c>
      <c r="F153">
        <f>IF(ISBLANK('Q:\Abteilungsprojekte\eng\EngData\AOS\Allgemein\[LabSamples2025.xlsx]Bioplastic'!F153)," ",'Q:\Abteilungsprojekte\eng\EngData\AOS\Allgemein\[LabSamples2025.xlsx]Bioplastic'!F153)</f>
        <v/>
      </c>
      <c r="G153">
        <f>IF(ISBLANK('Q:\Abteilungsprojekte\eng\EngData\AOS\Allgemein\[LabSamples2025.xlsx]Bioplastic'!G153)," ",'Q:\Abteilungsprojekte\eng\EngData\AOS\Allgemein\[LabSamples2025.xlsx]Bioplastic'!G153)</f>
        <v/>
      </c>
      <c r="H153">
        <f>IF(ISBLANK('Q:\Abteilungsprojekte\eng\EngData\AOS\Allgemein\[LabSamples2025.xlsx]Bioplastic'!H153)," ",'Q:\Abteilungsprojekte\eng\EngData\AOS\Allgemein\[LabSamples2025.xlsx]Bioplastic'!H153)</f>
        <v/>
      </c>
    </row>
    <row r="154">
      <c r="A154">
        <f>IF(ISBLANK('Q:\Abteilungsprojekte\eng\EngData\AOS\Allgemein\[LabSamples2025.xlsx]Bioplastic'!A154)," ",'Q:\Abteilungsprojekte\eng\EngData\AOS\Allgemein\[LabSamples2025.xlsx]Bioplastic'!A154)</f>
        <v/>
      </c>
      <c r="B154">
        <f>IF(ISBLANK('Q:\Abteilungsprojekte\eng\EngData\AOS\Allgemein\[LabSamples2025.xlsx]Bioplastic'!B154)," ",'Q:\Abteilungsprojekte\eng\EngData\AOS\Allgemein\[LabSamples2025.xlsx]Bioplastic'!B154)</f>
        <v/>
      </c>
      <c r="C154">
        <f>IF(ISBLANK('Q:\Abteilungsprojekte\eng\EngData\AOS\Allgemein\[LabSamples2025.xlsx]Bioplastic'!C154)," ",'Q:\Abteilungsprojekte\eng\EngData\AOS\Allgemein\[LabSamples2025.xlsx]Bioplastic'!C154)</f>
        <v/>
      </c>
      <c r="D154">
        <f>IF(ISBLANK('Q:\Abteilungsprojekte\eng\EngData\AOS\Allgemein\[LabSamples2025.xlsx]Bioplastic'!D154)," ",'Q:\Abteilungsprojekte\eng\EngData\AOS\Allgemein\[LabSamples2025.xlsx]Bioplastic'!D154)</f>
        <v/>
      </c>
      <c r="E154">
        <f>IF(ISBLANK('Q:\Abteilungsprojekte\eng\EngData\AOS\Allgemein\[LabSamples2025.xlsx]Bioplastic'!E154)," ",'Q:\Abteilungsprojekte\eng\EngData\AOS\Allgemein\[LabSamples2025.xlsx]Bioplastic'!E154)</f>
        <v/>
      </c>
      <c r="F154">
        <f>IF(ISBLANK('Q:\Abteilungsprojekte\eng\EngData\AOS\Allgemein\[LabSamples2025.xlsx]Bioplastic'!F154)," ",'Q:\Abteilungsprojekte\eng\EngData\AOS\Allgemein\[LabSamples2025.xlsx]Bioplastic'!F154)</f>
        <v/>
      </c>
      <c r="G154">
        <f>IF(ISBLANK('Q:\Abteilungsprojekte\eng\EngData\AOS\Allgemein\[LabSamples2025.xlsx]Bioplastic'!G154)," ",'Q:\Abteilungsprojekte\eng\EngData\AOS\Allgemein\[LabSamples2025.xlsx]Bioplastic'!G154)</f>
        <v/>
      </c>
      <c r="H154">
        <f>IF(ISBLANK('Q:\Abteilungsprojekte\eng\EngData\AOS\Allgemein\[LabSamples2025.xlsx]Bioplastic'!H154)," ",'Q:\Abteilungsprojekte\eng\EngData\AOS\Allgemein\[LabSamples2025.xlsx]Bioplastic'!H154)</f>
        <v/>
      </c>
    </row>
    <row r="155">
      <c r="A155">
        <f>IF(ISBLANK('Q:\Abteilungsprojekte\eng\EngData\AOS\Allgemein\[LabSamples2025.xlsx]Bioplastic'!A155)," ",'Q:\Abteilungsprojekte\eng\EngData\AOS\Allgemein\[LabSamples2025.xlsx]Bioplastic'!A155)</f>
        <v/>
      </c>
      <c r="B155">
        <f>IF(ISBLANK('Q:\Abteilungsprojekte\eng\EngData\AOS\Allgemein\[LabSamples2025.xlsx]Bioplastic'!B155)," ",'Q:\Abteilungsprojekte\eng\EngData\AOS\Allgemein\[LabSamples2025.xlsx]Bioplastic'!B155)</f>
        <v/>
      </c>
      <c r="C155">
        <f>IF(ISBLANK('Q:\Abteilungsprojekte\eng\EngData\AOS\Allgemein\[LabSamples2025.xlsx]Bioplastic'!C155)," ",'Q:\Abteilungsprojekte\eng\EngData\AOS\Allgemein\[LabSamples2025.xlsx]Bioplastic'!C155)</f>
        <v/>
      </c>
      <c r="D155">
        <f>IF(ISBLANK('Q:\Abteilungsprojekte\eng\EngData\AOS\Allgemein\[LabSamples2025.xlsx]Bioplastic'!D155)," ",'Q:\Abteilungsprojekte\eng\EngData\AOS\Allgemein\[LabSamples2025.xlsx]Bioplastic'!D155)</f>
        <v/>
      </c>
      <c r="E155">
        <f>IF(ISBLANK('Q:\Abteilungsprojekte\eng\EngData\AOS\Allgemein\[LabSamples2025.xlsx]Bioplastic'!E155)," ",'Q:\Abteilungsprojekte\eng\EngData\AOS\Allgemein\[LabSamples2025.xlsx]Bioplastic'!E155)</f>
        <v/>
      </c>
      <c r="F155">
        <f>IF(ISBLANK('Q:\Abteilungsprojekte\eng\EngData\AOS\Allgemein\[LabSamples2025.xlsx]Bioplastic'!F155)," ",'Q:\Abteilungsprojekte\eng\EngData\AOS\Allgemein\[LabSamples2025.xlsx]Bioplastic'!F155)</f>
        <v/>
      </c>
      <c r="G155">
        <f>IF(ISBLANK('Q:\Abteilungsprojekte\eng\EngData\AOS\Allgemein\[LabSamples2025.xlsx]Bioplastic'!G155)," ",'Q:\Abteilungsprojekte\eng\EngData\AOS\Allgemein\[LabSamples2025.xlsx]Bioplastic'!G155)</f>
        <v/>
      </c>
      <c r="H155">
        <f>IF(ISBLANK('Q:\Abteilungsprojekte\eng\EngData\AOS\Allgemein\[LabSamples2025.xlsx]Bioplastic'!H155)," ",'Q:\Abteilungsprojekte\eng\EngData\AOS\Allgemein\[LabSamples2025.xlsx]Bioplastic'!H155)</f>
        <v/>
      </c>
    </row>
    <row r="156">
      <c r="A156">
        <f>IF(ISBLANK('Q:\Abteilungsprojekte\eng\EngData\AOS\Allgemein\[LabSamples2025.xlsx]Bioplastic'!A156)," ",'Q:\Abteilungsprojekte\eng\EngData\AOS\Allgemein\[LabSamples2025.xlsx]Bioplastic'!A156)</f>
        <v/>
      </c>
      <c r="B156">
        <f>IF(ISBLANK('Q:\Abteilungsprojekte\eng\EngData\AOS\Allgemein\[LabSamples2025.xlsx]Bioplastic'!B156)," ",'Q:\Abteilungsprojekte\eng\EngData\AOS\Allgemein\[LabSamples2025.xlsx]Bioplastic'!B156)</f>
        <v/>
      </c>
      <c r="C156">
        <f>IF(ISBLANK('Q:\Abteilungsprojekte\eng\EngData\AOS\Allgemein\[LabSamples2025.xlsx]Bioplastic'!C156)," ",'Q:\Abteilungsprojekte\eng\EngData\AOS\Allgemein\[LabSamples2025.xlsx]Bioplastic'!C156)</f>
        <v/>
      </c>
      <c r="D156">
        <f>IF(ISBLANK('Q:\Abteilungsprojekte\eng\EngData\AOS\Allgemein\[LabSamples2025.xlsx]Bioplastic'!D156)," ",'Q:\Abteilungsprojekte\eng\EngData\AOS\Allgemein\[LabSamples2025.xlsx]Bioplastic'!D156)</f>
        <v/>
      </c>
      <c r="E156">
        <f>IF(ISBLANK('Q:\Abteilungsprojekte\eng\EngData\AOS\Allgemein\[LabSamples2025.xlsx]Bioplastic'!E156)," ",'Q:\Abteilungsprojekte\eng\EngData\AOS\Allgemein\[LabSamples2025.xlsx]Bioplastic'!E156)</f>
        <v/>
      </c>
      <c r="F156">
        <f>IF(ISBLANK('Q:\Abteilungsprojekte\eng\EngData\AOS\Allgemein\[LabSamples2025.xlsx]Bioplastic'!F156)," ",'Q:\Abteilungsprojekte\eng\EngData\AOS\Allgemein\[LabSamples2025.xlsx]Bioplastic'!F156)</f>
        <v/>
      </c>
      <c r="G156">
        <f>IF(ISBLANK('Q:\Abteilungsprojekte\eng\EngData\AOS\Allgemein\[LabSamples2025.xlsx]Bioplastic'!G156)," ",'Q:\Abteilungsprojekte\eng\EngData\AOS\Allgemein\[LabSamples2025.xlsx]Bioplastic'!G156)</f>
        <v/>
      </c>
      <c r="H156">
        <f>IF(ISBLANK('Q:\Abteilungsprojekte\eng\EngData\AOS\Allgemein\[LabSamples2025.xlsx]Bioplastic'!H156)," ",'Q:\Abteilungsprojekte\eng\EngData\AOS\Allgemein\[LabSamples2025.xlsx]Bioplastic'!H156)</f>
        <v/>
      </c>
    </row>
    <row r="157">
      <c r="A157">
        <f>IF(ISBLANK('Q:\Abteilungsprojekte\eng\EngData\AOS\Allgemein\[LabSamples2025.xlsx]Bioplastic'!A157)," ",'Q:\Abteilungsprojekte\eng\EngData\AOS\Allgemein\[LabSamples2025.xlsx]Bioplastic'!A157)</f>
        <v/>
      </c>
      <c r="B157">
        <f>IF(ISBLANK('Q:\Abteilungsprojekte\eng\EngData\AOS\Allgemein\[LabSamples2025.xlsx]Bioplastic'!B157)," ",'Q:\Abteilungsprojekte\eng\EngData\AOS\Allgemein\[LabSamples2025.xlsx]Bioplastic'!B157)</f>
        <v/>
      </c>
      <c r="C157">
        <f>IF(ISBLANK('Q:\Abteilungsprojekte\eng\EngData\AOS\Allgemein\[LabSamples2025.xlsx]Bioplastic'!C157)," ",'Q:\Abteilungsprojekte\eng\EngData\AOS\Allgemein\[LabSamples2025.xlsx]Bioplastic'!C157)</f>
        <v/>
      </c>
      <c r="D157">
        <f>IF(ISBLANK('Q:\Abteilungsprojekte\eng\EngData\AOS\Allgemein\[LabSamples2025.xlsx]Bioplastic'!D157)," ",'Q:\Abteilungsprojekte\eng\EngData\AOS\Allgemein\[LabSamples2025.xlsx]Bioplastic'!D157)</f>
        <v/>
      </c>
      <c r="E157">
        <f>IF(ISBLANK('Q:\Abteilungsprojekte\eng\EngData\AOS\Allgemein\[LabSamples2025.xlsx]Bioplastic'!E157)," ",'Q:\Abteilungsprojekte\eng\EngData\AOS\Allgemein\[LabSamples2025.xlsx]Bioplastic'!E157)</f>
        <v/>
      </c>
      <c r="F157">
        <f>IF(ISBLANK('Q:\Abteilungsprojekte\eng\EngData\AOS\Allgemein\[LabSamples2025.xlsx]Bioplastic'!F157)," ",'Q:\Abteilungsprojekte\eng\EngData\AOS\Allgemein\[LabSamples2025.xlsx]Bioplastic'!F157)</f>
        <v/>
      </c>
      <c r="G157">
        <f>IF(ISBLANK('Q:\Abteilungsprojekte\eng\EngData\AOS\Allgemein\[LabSamples2025.xlsx]Bioplastic'!G157)," ",'Q:\Abteilungsprojekte\eng\EngData\AOS\Allgemein\[LabSamples2025.xlsx]Bioplastic'!G157)</f>
        <v/>
      </c>
      <c r="H157">
        <f>IF(ISBLANK('Q:\Abteilungsprojekte\eng\EngData\AOS\Allgemein\[LabSamples2025.xlsx]Bioplastic'!H157)," ",'Q:\Abteilungsprojekte\eng\EngData\AOS\Allgemein\[LabSamples2025.xlsx]Bioplastic'!H157)</f>
        <v/>
      </c>
    </row>
    <row r="158">
      <c r="A158">
        <f>IF(ISBLANK('Q:\Abteilungsprojekte\eng\EngData\AOS\Allgemein\[LabSamples2025.xlsx]Bioplastic'!A158)," ",'Q:\Abteilungsprojekte\eng\EngData\AOS\Allgemein\[LabSamples2025.xlsx]Bioplastic'!A158)</f>
        <v/>
      </c>
      <c r="B158">
        <f>IF(ISBLANK('Q:\Abteilungsprojekte\eng\EngData\AOS\Allgemein\[LabSamples2025.xlsx]Bioplastic'!B158)," ",'Q:\Abteilungsprojekte\eng\EngData\AOS\Allgemein\[LabSamples2025.xlsx]Bioplastic'!B158)</f>
        <v/>
      </c>
      <c r="C158">
        <f>IF(ISBLANK('Q:\Abteilungsprojekte\eng\EngData\AOS\Allgemein\[LabSamples2025.xlsx]Bioplastic'!C158)," ",'Q:\Abteilungsprojekte\eng\EngData\AOS\Allgemein\[LabSamples2025.xlsx]Bioplastic'!C158)</f>
        <v/>
      </c>
      <c r="D158">
        <f>IF(ISBLANK('Q:\Abteilungsprojekte\eng\EngData\AOS\Allgemein\[LabSamples2025.xlsx]Bioplastic'!D158)," ",'Q:\Abteilungsprojekte\eng\EngData\AOS\Allgemein\[LabSamples2025.xlsx]Bioplastic'!D158)</f>
        <v/>
      </c>
      <c r="E158">
        <f>IF(ISBLANK('Q:\Abteilungsprojekte\eng\EngData\AOS\Allgemein\[LabSamples2025.xlsx]Bioplastic'!E158)," ",'Q:\Abteilungsprojekte\eng\EngData\AOS\Allgemein\[LabSamples2025.xlsx]Bioplastic'!E158)</f>
        <v/>
      </c>
      <c r="F158">
        <f>IF(ISBLANK('Q:\Abteilungsprojekte\eng\EngData\AOS\Allgemein\[LabSamples2025.xlsx]Bioplastic'!F158)," ",'Q:\Abteilungsprojekte\eng\EngData\AOS\Allgemein\[LabSamples2025.xlsx]Bioplastic'!F158)</f>
        <v/>
      </c>
      <c r="G158">
        <f>IF(ISBLANK('Q:\Abteilungsprojekte\eng\EngData\AOS\Allgemein\[LabSamples2025.xlsx]Bioplastic'!G158)," ",'Q:\Abteilungsprojekte\eng\EngData\AOS\Allgemein\[LabSamples2025.xlsx]Bioplastic'!G158)</f>
        <v/>
      </c>
      <c r="H158">
        <f>IF(ISBLANK('Q:\Abteilungsprojekte\eng\EngData\AOS\Allgemein\[LabSamples2025.xlsx]Bioplastic'!H158)," ",'Q:\Abteilungsprojekte\eng\EngData\AOS\Allgemein\[LabSamples2025.xlsx]Bioplastic'!H158)</f>
        <v/>
      </c>
    </row>
    <row r="159">
      <c r="A159">
        <f>IF(ISBLANK('Q:\Abteilungsprojekte\eng\EngData\AOS\Allgemein\[LabSamples2025.xlsx]Bioplastic'!A159)," ",'Q:\Abteilungsprojekte\eng\EngData\AOS\Allgemein\[LabSamples2025.xlsx]Bioplastic'!A159)</f>
        <v/>
      </c>
      <c r="B159">
        <f>IF(ISBLANK('Q:\Abteilungsprojekte\eng\EngData\AOS\Allgemein\[LabSamples2025.xlsx]Bioplastic'!B159)," ",'Q:\Abteilungsprojekte\eng\EngData\AOS\Allgemein\[LabSamples2025.xlsx]Bioplastic'!B159)</f>
        <v/>
      </c>
      <c r="C159">
        <f>IF(ISBLANK('Q:\Abteilungsprojekte\eng\EngData\AOS\Allgemein\[LabSamples2025.xlsx]Bioplastic'!C159)," ",'Q:\Abteilungsprojekte\eng\EngData\AOS\Allgemein\[LabSamples2025.xlsx]Bioplastic'!C159)</f>
        <v/>
      </c>
      <c r="D159">
        <f>IF(ISBLANK('Q:\Abteilungsprojekte\eng\EngData\AOS\Allgemein\[LabSamples2025.xlsx]Bioplastic'!D159)," ",'Q:\Abteilungsprojekte\eng\EngData\AOS\Allgemein\[LabSamples2025.xlsx]Bioplastic'!D159)</f>
        <v/>
      </c>
      <c r="E159">
        <f>IF(ISBLANK('Q:\Abteilungsprojekte\eng\EngData\AOS\Allgemein\[LabSamples2025.xlsx]Bioplastic'!E159)," ",'Q:\Abteilungsprojekte\eng\EngData\AOS\Allgemein\[LabSamples2025.xlsx]Bioplastic'!E159)</f>
        <v/>
      </c>
      <c r="F159">
        <f>IF(ISBLANK('Q:\Abteilungsprojekte\eng\EngData\AOS\Allgemein\[LabSamples2025.xlsx]Bioplastic'!F159)," ",'Q:\Abteilungsprojekte\eng\EngData\AOS\Allgemein\[LabSamples2025.xlsx]Bioplastic'!F159)</f>
        <v/>
      </c>
      <c r="G159">
        <f>IF(ISBLANK('Q:\Abteilungsprojekte\eng\EngData\AOS\Allgemein\[LabSamples2025.xlsx]Bioplastic'!G159)," ",'Q:\Abteilungsprojekte\eng\EngData\AOS\Allgemein\[LabSamples2025.xlsx]Bioplastic'!G159)</f>
        <v/>
      </c>
      <c r="H159">
        <f>IF(ISBLANK('Q:\Abteilungsprojekte\eng\EngData\AOS\Allgemein\[LabSamples2025.xlsx]Bioplastic'!H159)," ",'Q:\Abteilungsprojekte\eng\EngData\AOS\Allgemein\[LabSamples2025.xlsx]Bioplastic'!H159)</f>
        <v/>
      </c>
    </row>
    <row r="160">
      <c r="A160">
        <f>IF(ISBLANK('Q:\Abteilungsprojekte\eng\EngData\AOS\Allgemein\[LabSamples2025.xlsx]Bioplastic'!A160)," ",'Q:\Abteilungsprojekte\eng\EngData\AOS\Allgemein\[LabSamples2025.xlsx]Bioplastic'!A160)</f>
        <v/>
      </c>
      <c r="B160">
        <f>IF(ISBLANK('Q:\Abteilungsprojekte\eng\EngData\AOS\Allgemein\[LabSamples2025.xlsx]Bioplastic'!B160)," ",'Q:\Abteilungsprojekte\eng\EngData\AOS\Allgemein\[LabSamples2025.xlsx]Bioplastic'!B160)</f>
        <v/>
      </c>
      <c r="C160">
        <f>IF(ISBLANK('Q:\Abteilungsprojekte\eng\EngData\AOS\Allgemein\[LabSamples2025.xlsx]Bioplastic'!C160)," ",'Q:\Abteilungsprojekte\eng\EngData\AOS\Allgemein\[LabSamples2025.xlsx]Bioplastic'!C160)</f>
        <v/>
      </c>
      <c r="D160">
        <f>IF(ISBLANK('Q:\Abteilungsprojekte\eng\EngData\AOS\Allgemein\[LabSamples2025.xlsx]Bioplastic'!D160)," ",'Q:\Abteilungsprojekte\eng\EngData\AOS\Allgemein\[LabSamples2025.xlsx]Bioplastic'!D160)</f>
        <v/>
      </c>
      <c r="E160">
        <f>IF(ISBLANK('Q:\Abteilungsprojekte\eng\EngData\AOS\Allgemein\[LabSamples2025.xlsx]Bioplastic'!E160)," ",'Q:\Abteilungsprojekte\eng\EngData\AOS\Allgemein\[LabSamples2025.xlsx]Bioplastic'!E160)</f>
        <v/>
      </c>
      <c r="F160">
        <f>IF(ISBLANK('Q:\Abteilungsprojekte\eng\EngData\AOS\Allgemein\[LabSamples2025.xlsx]Bioplastic'!F160)," ",'Q:\Abteilungsprojekte\eng\EngData\AOS\Allgemein\[LabSamples2025.xlsx]Bioplastic'!F160)</f>
        <v/>
      </c>
      <c r="G160">
        <f>IF(ISBLANK('Q:\Abteilungsprojekte\eng\EngData\AOS\Allgemein\[LabSamples2025.xlsx]Bioplastic'!G160)," ",'Q:\Abteilungsprojekte\eng\EngData\AOS\Allgemein\[LabSamples2025.xlsx]Bioplastic'!G160)</f>
        <v/>
      </c>
      <c r="H160">
        <f>IF(ISBLANK('Q:\Abteilungsprojekte\eng\EngData\AOS\Allgemein\[LabSamples2025.xlsx]Bioplastic'!H160)," ",'Q:\Abteilungsprojekte\eng\EngData\AOS\Allgemein\[LabSamples2025.xlsx]Bioplastic'!H160)</f>
        <v/>
      </c>
    </row>
    <row r="161">
      <c r="A161">
        <f>IF(ISBLANK('Q:\Abteilungsprojekte\eng\EngData\AOS\Allgemein\[LabSamples2025.xlsx]Bioplastic'!A161)," ",'Q:\Abteilungsprojekte\eng\EngData\AOS\Allgemein\[LabSamples2025.xlsx]Bioplastic'!A161)</f>
        <v/>
      </c>
      <c r="B161">
        <f>IF(ISBLANK('Q:\Abteilungsprojekte\eng\EngData\AOS\Allgemein\[LabSamples2025.xlsx]Bioplastic'!B161)," ",'Q:\Abteilungsprojekte\eng\EngData\AOS\Allgemein\[LabSamples2025.xlsx]Bioplastic'!B161)</f>
        <v/>
      </c>
      <c r="C161">
        <f>IF(ISBLANK('Q:\Abteilungsprojekte\eng\EngData\AOS\Allgemein\[LabSamples2025.xlsx]Bioplastic'!C161)," ",'Q:\Abteilungsprojekte\eng\EngData\AOS\Allgemein\[LabSamples2025.xlsx]Bioplastic'!C161)</f>
        <v/>
      </c>
      <c r="D161">
        <f>IF(ISBLANK('Q:\Abteilungsprojekte\eng\EngData\AOS\Allgemein\[LabSamples2025.xlsx]Bioplastic'!D161)," ",'Q:\Abteilungsprojekte\eng\EngData\AOS\Allgemein\[LabSamples2025.xlsx]Bioplastic'!D161)</f>
        <v/>
      </c>
      <c r="E161">
        <f>IF(ISBLANK('Q:\Abteilungsprojekte\eng\EngData\AOS\Allgemein\[LabSamples2025.xlsx]Bioplastic'!E161)," ",'Q:\Abteilungsprojekte\eng\EngData\AOS\Allgemein\[LabSamples2025.xlsx]Bioplastic'!E161)</f>
        <v/>
      </c>
      <c r="F161">
        <f>IF(ISBLANK('Q:\Abteilungsprojekte\eng\EngData\AOS\Allgemein\[LabSamples2025.xlsx]Bioplastic'!F161)," ",'Q:\Abteilungsprojekte\eng\EngData\AOS\Allgemein\[LabSamples2025.xlsx]Bioplastic'!F161)</f>
        <v/>
      </c>
      <c r="G161">
        <f>IF(ISBLANK('Q:\Abteilungsprojekte\eng\EngData\AOS\Allgemein\[LabSamples2025.xlsx]Bioplastic'!G161)," ",'Q:\Abteilungsprojekte\eng\EngData\AOS\Allgemein\[LabSamples2025.xlsx]Bioplastic'!G161)</f>
        <v/>
      </c>
      <c r="H161">
        <f>IF(ISBLANK('Q:\Abteilungsprojekte\eng\EngData\AOS\Allgemein\[LabSamples2025.xlsx]Bioplastic'!H161)," ",'Q:\Abteilungsprojekte\eng\EngData\AOS\Allgemein\[LabSamples2025.xlsx]Bioplastic'!H161)</f>
        <v/>
      </c>
    </row>
    <row r="162">
      <c r="A162">
        <f>IF(ISBLANK('Q:\Abteilungsprojekte\eng\EngData\AOS\Allgemein\[LabSamples2025.xlsx]Bioplastic'!A162)," ",'Q:\Abteilungsprojekte\eng\EngData\AOS\Allgemein\[LabSamples2025.xlsx]Bioplastic'!A162)</f>
        <v/>
      </c>
      <c r="B162">
        <f>IF(ISBLANK('Q:\Abteilungsprojekte\eng\EngData\AOS\Allgemein\[LabSamples2025.xlsx]Bioplastic'!B162)," ",'Q:\Abteilungsprojekte\eng\EngData\AOS\Allgemein\[LabSamples2025.xlsx]Bioplastic'!B162)</f>
        <v/>
      </c>
      <c r="C162">
        <f>IF(ISBLANK('Q:\Abteilungsprojekte\eng\EngData\AOS\Allgemein\[LabSamples2025.xlsx]Bioplastic'!C162)," ",'Q:\Abteilungsprojekte\eng\EngData\AOS\Allgemein\[LabSamples2025.xlsx]Bioplastic'!C162)</f>
        <v/>
      </c>
      <c r="D162">
        <f>IF(ISBLANK('Q:\Abteilungsprojekte\eng\EngData\AOS\Allgemein\[LabSamples2025.xlsx]Bioplastic'!D162)," ",'Q:\Abteilungsprojekte\eng\EngData\AOS\Allgemein\[LabSamples2025.xlsx]Bioplastic'!D162)</f>
        <v/>
      </c>
      <c r="E162">
        <f>IF(ISBLANK('Q:\Abteilungsprojekte\eng\EngData\AOS\Allgemein\[LabSamples2025.xlsx]Bioplastic'!E162)," ",'Q:\Abteilungsprojekte\eng\EngData\AOS\Allgemein\[LabSamples2025.xlsx]Bioplastic'!E162)</f>
        <v/>
      </c>
      <c r="F162">
        <f>IF(ISBLANK('Q:\Abteilungsprojekte\eng\EngData\AOS\Allgemein\[LabSamples2025.xlsx]Bioplastic'!F162)," ",'Q:\Abteilungsprojekte\eng\EngData\AOS\Allgemein\[LabSamples2025.xlsx]Bioplastic'!F162)</f>
        <v/>
      </c>
      <c r="G162">
        <f>IF(ISBLANK('Q:\Abteilungsprojekte\eng\EngData\AOS\Allgemein\[LabSamples2025.xlsx]Bioplastic'!G162)," ",'Q:\Abteilungsprojekte\eng\EngData\AOS\Allgemein\[LabSamples2025.xlsx]Bioplastic'!G162)</f>
        <v/>
      </c>
      <c r="H162">
        <f>IF(ISBLANK('Q:\Abteilungsprojekte\eng\EngData\AOS\Allgemein\[LabSamples2025.xlsx]Bioplastic'!H162)," ",'Q:\Abteilungsprojekte\eng\EngData\AOS\Allgemein\[LabSamples2025.xlsx]Bioplastic'!H162)</f>
        <v/>
      </c>
    </row>
    <row r="163">
      <c r="A163">
        <f>IF(ISBLANK('Q:\Abteilungsprojekte\eng\EngData\AOS\Allgemein\[LabSamples2025.xlsx]Bioplastic'!A163)," ",'Q:\Abteilungsprojekte\eng\EngData\AOS\Allgemein\[LabSamples2025.xlsx]Bioplastic'!A163)</f>
        <v/>
      </c>
      <c r="B163">
        <f>IF(ISBLANK('Q:\Abteilungsprojekte\eng\EngData\AOS\Allgemein\[LabSamples2025.xlsx]Bioplastic'!B163)," ",'Q:\Abteilungsprojekte\eng\EngData\AOS\Allgemein\[LabSamples2025.xlsx]Bioplastic'!B163)</f>
        <v/>
      </c>
      <c r="C163">
        <f>IF(ISBLANK('Q:\Abteilungsprojekte\eng\EngData\AOS\Allgemein\[LabSamples2025.xlsx]Bioplastic'!C163)," ",'Q:\Abteilungsprojekte\eng\EngData\AOS\Allgemein\[LabSamples2025.xlsx]Bioplastic'!C163)</f>
        <v/>
      </c>
      <c r="D163">
        <f>IF(ISBLANK('Q:\Abteilungsprojekte\eng\EngData\AOS\Allgemein\[LabSamples2025.xlsx]Bioplastic'!D163)," ",'Q:\Abteilungsprojekte\eng\EngData\AOS\Allgemein\[LabSamples2025.xlsx]Bioplastic'!D163)</f>
        <v/>
      </c>
      <c r="E163">
        <f>IF(ISBLANK('Q:\Abteilungsprojekte\eng\EngData\AOS\Allgemein\[LabSamples2025.xlsx]Bioplastic'!E163)," ",'Q:\Abteilungsprojekte\eng\EngData\AOS\Allgemein\[LabSamples2025.xlsx]Bioplastic'!E163)</f>
        <v/>
      </c>
      <c r="F163">
        <f>IF(ISBLANK('Q:\Abteilungsprojekte\eng\EngData\AOS\Allgemein\[LabSamples2025.xlsx]Bioplastic'!F163)," ",'Q:\Abteilungsprojekte\eng\EngData\AOS\Allgemein\[LabSamples2025.xlsx]Bioplastic'!F163)</f>
        <v/>
      </c>
      <c r="G163">
        <f>IF(ISBLANK('Q:\Abteilungsprojekte\eng\EngData\AOS\Allgemein\[LabSamples2025.xlsx]Bioplastic'!G163)," ",'Q:\Abteilungsprojekte\eng\EngData\AOS\Allgemein\[LabSamples2025.xlsx]Bioplastic'!G163)</f>
        <v/>
      </c>
      <c r="H163">
        <f>IF(ISBLANK('Q:\Abteilungsprojekte\eng\EngData\AOS\Allgemein\[LabSamples2025.xlsx]Bioplastic'!H163)," ",'Q:\Abteilungsprojekte\eng\EngData\AOS\Allgemein\[LabSamples2025.xlsx]Bioplastic'!H163)</f>
        <v/>
      </c>
    </row>
    <row r="164">
      <c r="A164">
        <f>IF(ISBLANK('Q:\Abteilungsprojekte\eng\EngData\AOS\Allgemein\[LabSamples2025.xlsx]Bioplastic'!A164)," ",'Q:\Abteilungsprojekte\eng\EngData\AOS\Allgemein\[LabSamples2025.xlsx]Bioplastic'!A164)</f>
        <v/>
      </c>
      <c r="B164">
        <f>IF(ISBLANK('Q:\Abteilungsprojekte\eng\EngData\AOS\Allgemein\[LabSamples2025.xlsx]Bioplastic'!B164)," ",'Q:\Abteilungsprojekte\eng\EngData\AOS\Allgemein\[LabSamples2025.xlsx]Bioplastic'!B164)</f>
        <v/>
      </c>
      <c r="C164">
        <f>IF(ISBLANK('Q:\Abteilungsprojekte\eng\EngData\AOS\Allgemein\[LabSamples2025.xlsx]Bioplastic'!C164)," ",'Q:\Abteilungsprojekte\eng\EngData\AOS\Allgemein\[LabSamples2025.xlsx]Bioplastic'!C164)</f>
        <v/>
      </c>
      <c r="D164">
        <f>IF(ISBLANK('Q:\Abteilungsprojekte\eng\EngData\AOS\Allgemein\[LabSamples2025.xlsx]Bioplastic'!D164)," ",'Q:\Abteilungsprojekte\eng\EngData\AOS\Allgemein\[LabSamples2025.xlsx]Bioplastic'!D164)</f>
        <v/>
      </c>
      <c r="E164">
        <f>IF(ISBLANK('Q:\Abteilungsprojekte\eng\EngData\AOS\Allgemein\[LabSamples2025.xlsx]Bioplastic'!E164)," ",'Q:\Abteilungsprojekte\eng\EngData\AOS\Allgemein\[LabSamples2025.xlsx]Bioplastic'!E164)</f>
        <v/>
      </c>
      <c r="F164">
        <f>IF(ISBLANK('Q:\Abteilungsprojekte\eng\EngData\AOS\Allgemein\[LabSamples2025.xlsx]Bioplastic'!F164)," ",'Q:\Abteilungsprojekte\eng\EngData\AOS\Allgemein\[LabSamples2025.xlsx]Bioplastic'!F164)</f>
        <v/>
      </c>
      <c r="G164">
        <f>IF(ISBLANK('Q:\Abteilungsprojekte\eng\EngData\AOS\Allgemein\[LabSamples2025.xlsx]Bioplastic'!G164)," ",'Q:\Abteilungsprojekte\eng\EngData\AOS\Allgemein\[LabSamples2025.xlsx]Bioplastic'!G164)</f>
        <v/>
      </c>
      <c r="H164">
        <f>IF(ISBLANK('Q:\Abteilungsprojekte\eng\EngData\AOS\Allgemein\[LabSamples2025.xlsx]Bioplastic'!H164)," ",'Q:\Abteilungsprojekte\eng\EngData\AOS\Allgemein\[LabSamples2025.xlsx]Bioplastic'!H164)</f>
        <v/>
      </c>
    </row>
    <row r="165">
      <c r="A165">
        <f>IF(ISBLANK('Q:\Abteilungsprojekte\eng\EngData\AOS\Allgemein\[LabSamples2025.xlsx]Bioplastic'!A165)," ",'Q:\Abteilungsprojekte\eng\EngData\AOS\Allgemein\[LabSamples2025.xlsx]Bioplastic'!A165)</f>
        <v/>
      </c>
      <c r="B165">
        <f>IF(ISBLANK('Q:\Abteilungsprojekte\eng\EngData\AOS\Allgemein\[LabSamples2025.xlsx]Bioplastic'!B165)," ",'Q:\Abteilungsprojekte\eng\EngData\AOS\Allgemein\[LabSamples2025.xlsx]Bioplastic'!B165)</f>
        <v/>
      </c>
      <c r="C165">
        <f>IF(ISBLANK('Q:\Abteilungsprojekte\eng\EngData\AOS\Allgemein\[LabSamples2025.xlsx]Bioplastic'!C165)," ",'Q:\Abteilungsprojekte\eng\EngData\AOS\Allgemein\[LabSamples2025.xlsx]Bioplastic'!C165)</f>
        <v/>
      </c>
      <c r="D165">
        <f>IF(ISBLANK('Q:\Abteilungsprojekte\eng\EngData\AOS\Allgemein\[LabSamples2025.xlsx]Bioplastic'!D165)," ",'Q:\Abteilungsprojekte\eng\EngData\AOS\Allgemein\[LabSamples2025.xlsx]Bioplastic'!D165)</f>
        <v/>
      </c>
      <c r="E165">
        <f>IF(ISBLANK('Q:\Abteilungsprojekte\eng\EngData\AOS\Allgemein\[LabSamples2025.xlsx]Bioplastic'!E165)," ",'Q:\Abteilungsprojekte\eng\EngData\AOS\Allgemein\[LabSamples2025.xlsx]Bioplastic'!E165)</f>
        <v/>
      </c>
      <c r="F165">
        <f>IF(ISBLANK('Q:\Abteilungsprojekte\eng\EngData\AOS\Allgemein\[LabSamples2025.xlsx]Bioplastic'!F165)," ",'Q:\Abteilungsprojekte\eng\EngData\AOS\Allgemein\[LabSamples2025.xlsx]Bioplastic'!F165)</f>
        <v/>
      </c>
      <c r="G165">
        <f>IF(ISBLANK('Q:\Abteilungsprojekte\eng\EngData\AOS\Allgemein\[LabSamples2025.xlsx]Bioplastic'!G165)," ",'Q:\Abteilungsprojekte\eng\EngData\AOS\Allgemein\[LabSamples2025.xlsx]Bioplastic'!G165)</f>
        <v/>
      </c>
      <c r="H165">
        <f>IF(ISBLANK('Q:\Abteilungsprojekte\eng\EngData\AOS\Allgemein\[LabSamples2025.xlsx]Bioplastic'!H165)," ",'Q:\Abteilungsprojekte\eng\EngData\AOS\Allgemein\[LabSamples2025.xlsx]Bioplastic'!H165)</f>
        <v/>
      </c>
    </row>
    <row r="166">
      <c r="A166">
        <f>IF(ISBLANK('Q:\Abteilungsprojekte\eng\EngData\AOS\Allgemein\[LabSamples2025.xlsx]Bioplastic'!A166)," ",'Q:\Abteilungsprojekte\eng\EngData\AOS\Allgemein\[LabSamples2025.xlsx]Bioplastic'!A166)</f>
        <v/>
      </c>
      <c r="B166">
        <f>IF(ISBLANK('Q:\Abteilungsprojekte\eng\EngData\AOS\Allgemein\[LabSamples2025.xlsx]Bioplastic'!B166)," ",'Q:\Abteilungsprojekte\eng\EngData\AOS\Allgemein\[LabSamples2025.xlsx]Bioplastic'!B166)</f>
        <v/>
      </c>
      <c r="C166">
        <f>IF(ISBLANK('Q:\Abteilungsprojekte\eng\EngData\AOS\Allgemein\[LabSamples2025.xlsx]Bioplastic'!C166)," ",'Q:\Abteilungsprojekte\eng\EngData\AOS\Allgemein\[LabSamples2025.xlsx]Bioplastic'!C166)</f>
        <v/>
      </c>
      <c r="D166">
        <f>IF(ISBLANK('Q:\Abteilungsprojekte\eng\EngData\AOS\Allgemein\[LabSamples2025.xlsx]Bioplastic'!D166)," ",'Q:\Abteilungsprojekte\eng\EngData\AOS\Allgemein\[LabSamples2025.xlsx]Bioplastic'!D166)</f>
        <v/>
      </c>
      <c r="E166">
        <f>IF(ISBLANK('Q:\Abteilungsprojekte\eng\EngData\AOS\Allgemein\[LabSamples2025.xlsx]Bioplastic'!E166)," ",'Q:\Abteilungsprojekte\eng\EngData\AOS\Allgemein\[LabSamples2025.xlsx]Bioplastic'!E166)</f>
        <v/>
      </c>
      <c r="F166">
        <f>IF(ISBLANK('Q:\Abteilungsprojekte\eng\EngData\AOS\Allgemein\[LabSamples2025.xlsx]Bioplastic'!F166)," ",'Q:\Abteilungsprojekte\eng\EngData\AOS\Allgemein\[LabSamples2025.xlsx]Bioplastic'!F166)</f>
        <v/>
      </c>
      <c r="G166">
        <f>IF(ISBLANK('Q:\Abteilungsprojekte\eng\EngData\AOS\Allgemein\[LabSamples2025.xlsx]Bioplastic'!G166)," ",'Q:\Abteilungsprojekte\eng\EngData\AOS\Allgemein\[LabSamples2025.xlsx]Bioplastic'!G166)</f>
        <v/>
      </c>
      <c r="H166">
        <f>IF(ISBLANK('Q:\Abteilungsprojekte\eng\EngData\AOS\Allgemein\[LabSamples2025.xlsx]Bioplastic'!H166)," ",'Q:\Abteilungsprojekte\eng\EngData\AOS\Allgemein\[LabSamples2025.xlsx]Bioplastic'!H166)</f>
        <v/>
      </c>
    </row>
    <row r="167">
      <c r="A167">
        <f>IF(ISBLANK('Q:\Abteilungsprojekte\eng\EngData\AOS\Allgemein\[LabSamples2025.xlsx]Bioplastic'!A167)," ",'Q:\Abteilungsprojekte\eng\EngData\AOS\Allgemein\[LabSamples2025.xlsx]Bioplastic'!A167)</f>
        <v/>
      </c>
      <c r="B167">
        <f>IF(ISBLANK('Q:\Abteilungsprojekte\eng\EngData\AOS\Allgemein\[LabSamples2025.xlsx]Bioplastic'!B167)," ",'Q:\Abteilungsprojekte\eng\EngData\AOS\Allgemein\[LabSamples2025.xlsx]Bioplastic'!B167)</f>
        <v/>
      </c>
      <c r="C167">
        <f>IF(ISBLANK('Q:\Abteilungsprojekte\eng\EngData\AOS\Allgemein\[LabSamples2025.xlsx]Bioplastic'!C167)," ",'Q:\Abteilungsprojekte\eng\EngData\AOS\Allgemein\[LabSamples2025.xlsx]Bioplastic'!C167)</f>
        <v/>
      </c>
      <c r="D167">
        <f>IF(ISBLANK('Q:\Abteilungsprojekte\eng\EngData\AOS\Allgemein\[LabSamples2025.xlsx]Bioplastic'!D167)," ",'Q:\Abteilungsprojekte\eng\EngData\AOS\Allgemein\[LabSamples2025.xlsx]Bioplastic'!D167)</f>
        <v/>
      </c>
      <c r="E167">
        <f>IF(ISBLANK('Q:\Abteilungsprojekte\eng\EngData\AOS\Allgemein\[LabSamples2025.xlsx]Bioplastic'!E167)," ",'Q:\Abteilungsprojekte\eng\EngData\AOS\Allgemein\[LabSamples2025.xlsx]Bioplastic'!E167)</f>
        <v/>
      </c>
      <c r="F167">
        <f>IF(ISBLANK('Q:\Abteilungsprojekte\eng\EngData\AOS\Allgemein\[LabSamples2025.xlsx]Bioplastic'!F167)," ",'Q:\Abteilungsprojekte\eng\EngData\AOS\Allgemein\[LabSamples2025.xlsx]Bioplastic'!F167)</f>
        <v/>
      </c>
      <c r="G167">
        <f>IF(ISBLANK('Q:\Abteilungsprojekte\eng\EngData\AOS\Allgemein\[LabSamples2025.xlsx]Bioplastic'!G167)," ",'Q:\Abteilungsprojekte\eng\EngData\AOS\Allgemein\[LabSamples2025.xlsx]Bioplastic'!G167)</f>
        <v/>
      </c>
      <c r="H167">
        <f>IF(ISBLANK('Q:\Abteilungsprojekte\eng\EngData\AOS\Allgemein\[LabSamples2025.xlsx]Bioplastic'!H167)," ",'Q:\Abteilungsprojekte\eng\EngData\AOS\Allgemein\[LabSamples2025.xlsx]Bioplastic'!H167)</f>
        <v/>
      </c>
    </row>
    <row r="168">
      <c r="A168">
        <f>IF(ISBLANK('Q:\Abteilungsprojekte\eng\EngData\AOS\Allgemein\[LabSamples2025.xlsx]Bioplastic'!A168)," ",'Q:\Abteilungsprojekte\eng\EngData\AOS\Allgemein\[LabSamples2025.xlsx]Bioplastic'!A168)</f>
        <v/>
      </c>
      <c r="B168">
        <f>IF(ISBLANK('Q:\Abteilungsprojekte\eng\EngData\AOS\Allgemein\[LabSamples2025.xlsx]Bioplastic'!B168)," ",'Q:\Abteilungsprojekte\eng\EngData\AOS\Allgemein\[LabSamples2025.xlsx]Bioplastic'!B168)</f>
        <v/>
      </c>
      <c r="C168">
        <f>IF(ISBLANK('Q:\Abteilungsprojekte\eng\EngData\AOS\Allgemein\[LabSamples2025.xlsx]Bioplastic'!C168)," ",'Q:\Abteilungsprojekte\eng\EngData\AOS\Allgemein\[LabSamples2025.xlsx]Bioplastic'!C168)</f>
        <v/>
      </c>
      <c r="D168">
        <f>IF(ISBLANK('Q:\Abteilungsprojekte\eng\EngData\AOS\Allgemein\[LabSamples2025.xlsx]Bioplastic'!D168)," ",'Q:\Abteilungsprojekte\eng\EngData\AOS\Allgemein\[LabSamples2025.xlsx]Bioplastic'!D168)</f>
        <v/>
      </c>
      <c r="E168">
        <f>IF(ISBLANK('Q:\Abteilungsprojekte\eng\EngData\AOS\Allgemein\[LabSamples2025.xlsx]Bioplastic'!E168)," ",'Q:\Abteilungsprojekte\eng\EngData\AOS\Allgemein\[LabSamples2025.xlsx]Bioplastic'!E168)</f>
        <v/>
      </c>
      <c r="F168">
        <f>IF(ISBLANK('Q:\Abteilungsprojekte\eng\EngData\AOS\Allgemein\[LabSamples2025.xlsx]Bioplastic'!F168)," ",'Q:\Abteilungsprojekte\eng\EngData\AOS\Allgemein\[LabSamples2025.xlsx]Bioplastic'!F168)</f>
        <v/>
      </c>
      <c r="G168">
        <f>IF(ISBLANK('Q:\Abteilungsprojekte\eng\EngData\AOS\Allgemein\[LabSamples2025.xlsx]Bioplastic'!G168)," ",'Q:\Abteilungsprojekte\eng\EngData\AOS\Allgemein\[LabSamples2025.xlsx]Bioplastic'!G168)</f>
        <v/>
      </c>
      <c r="H168">
        <f>IF(ISBLANK('Q:\Abteilungsprojekte\eng\EngData\AOS\Allgemein\[LabSamples2025.xlsx]Bioplastic'!H168)," ",'Q:\Abteilungsprojekte\eng\EngData\AOS\Allgemein\[LabSamples2025.xlsx]Bioplastic'!H168)</f>
        <v/>
      </c>
    </row>
    <row r="169">
      <c r="A169">
        <f>IF(ISBLANK('Q:\Abteilungsprojekte\eng\EngData\AOS\Allgemein\[LabSamples2025.xlsx]Bioplastic'!A169)," ",'Q:\Abteilungsprojekte\eng\EngData\AOS\Allgemein\[LabSamples2025.xlsx]Bioplastic'!A169)</f>
        <v/>
      </c>
      <c r="B169">
        <f>IF(ISBLANK('Q:\Abteilungsprojekte\eng\EngData\AOS\Allgemein\[LabSamples2025.xlsx]Bioplastic'!B169)," ",'Q:\Abteilungsprojekte\eng\EngData\AOS\Allgemein\[LabSamples2025.xlsx]Bioplastic'!B169)</f>
        <v/>
      </c>
      <c r="C169">
        <f>IF(ISBLANK('Q:\Abteilungsprojekte\eng\EngData\AOS\Allgemein\[LabSamples2025.xlsx]Bioplastic'!C169)," ",'Q:\Abteilungsprojekte\eng\EngData\AOS\Allgemein\[LabSamples2025.xlsx]Bioplastic'!C169)</f>
        <v/>
      </c>
      <c r="D169">
        <f>IF(ISBLANK('Q:\Abteilungsprojekte\eng\EngData\AOS\Allgemein\[LabSamples2025.xlsx]Bioplastic'!D169)," ",'Q:\Abteilungsprojekte\eng\EngData\AOS\Allgemein\[LabSamples2025.xlsx]Bioplastic'!D169)</f>
        <v/>
      </c>
      <c r="E169">
        <f>IF(ISBLANK('Q:\Abteilungsprojekte\eng\EngData\AOS\Allgemein\[LabSamples2025.xlsx]Bioplastic'!E169)," ",'Q:\Abteilungsprojekte\eng\EngData\AOS\Allgemein\[LabSamples2025.xlsx]Bioplastic'!E169)</f>
        <v/>
      </c>
      <c r="F169">
        <f>IF(ISBLANK('Q:\Abteilungsprojekte\eng\EngData\AOS\Allgemein\[LabSamples2025.xlsx]Bioplastic'!F169)," ",'Q:\Abteilungsprojekte\eng\EngData\AOS\Allgemein\[LabSamples2025.xlsx]Bioplastic'!F169)</f>
        <v/>
      </c>
      <c r="G169">
        <f>IF(ISBLANK('Q:\Abteilungsprojekte\eng\EngData\AOS\Allgemein\[LabSamples2025.xlsx]Bioplastic'!G169)," ",'Q:\Abteilungsprojekte\eng\EngData\AOS\Allgemein\[LabSamples2025.xlsx]Bioplastic'!G169)</f>
        <v/>
      </c>
      <c r="H169">
        <f>IF(ISBLANK('Q:\Abteilungsprojekte\eng\EngData\AOS\Allgemein\[LabSamples2025.xlsx]Bioplastic'!H169)," ",'Q:\Abteilungsprojekte\eng\EngData\AOS\Allgemein\[LabSamples2025.xlsx]Bioplastic'!H169)</f>
        <v/>
      </c>
    </row>
    <row r="170">
      <c r="A170">
        <f>IF(ISBLANK('Q:\Abteilungsprojekte\eng\EngData\AOS\Allgemein\[LabSamples2025.xlsx]Bioplastic'!A170)," ",'Q:\Abteilungsprojekte\eng\EngData\AOS\Allgemein\[LabSamples2025.xlsx]Bioplastic'!A170)</f>
        <v/>
      </c>
      <c r="B170">
        <f>IF(ISBLANK('Q:\Abteilungsprojekte\eng\EngData\AOS\Allgemein\[LabSamples2025.xlsx]Bioplastic'!B170)," ",'Q:\Abteilungsprojekte\eng\EngData\AOS\Allgemein\[LabSamples2025.xlsx]Bioplastic'!B170)</f>
        <v/>
      </c>
      <c r="C170">
        <f>IF(ISBLANK('Q:\Abteilungsprojekte\eng\EngData\AOS\Allgemein\[LabSamples2025.xlsx]Bioplastic'!C170)," ",'Q:\Abteilungsprojekte\eng\EngData\AOS\Allgemein\[LabSamples2025.xlsx]Bioplastic'!C170)</f>
        <v/>
      </c>
      <c r="D170">
        <f>IF(ISBLANK('Q:\Abteilungsprojekte\eng\EngData\AOS\Allgemein\[LabSamples2025.xlsx]Bioplastic'!D170)," ",'Q:\Abteilungsprojekte\eng\EngData\AOS\Allgemein\[LabSamples2025.xlsx]Bioplastic'!D170)</f>
        <v/>
      </c>
      <c r="E170">
        <f>IF(ISBLANK('Q:\Abteilungsprojekte\eng\EngData\AOS\Allgemein\[LabSamples2025.xlsx]Bioplastic'!E170)," ",'Q:\Abteilungsprojekte\eng\EngData\AOS\Allgemein\[LabSamples2025.xlsx]Bioplastic'!E170)</f>
        <v/>
      </c>
      <c r="F170">
        <f>IF(ISBLANK('Q:\Abteilungsprojekte\eng\EngData\AOS\Allgemein\[LabSamples2025.xlsx]Bioplastic'!F170)," ",'Q:\Abteilungsprojekte\eng\EngData\AOS\Allgemein\[LabSamples2025.xlsx]Bioplastic'!F170)</f>
        <v/>
      </c>
      <c r="G170">
        <f>IF(ISBLANK('Q:\Abteilungsprojekte\eng\EngData\AOS\Allgemein\[LabSamples2025.xlsx]Bioplastic'!G170)," ",'Q:\Abteilungsprojekte\eng\EngData\AOS\Allgemein\[LabSamples2025.xlsx]Bioplastic'!G170)</f>
        <v/>
      </c>
      <c r="H170">
        <f>IF(ISBLANK('Q:\Abteilungsprojekte\eng\EngData\AOS\Allgemein\[LabSamples2025.xlsx]Bioplastic'!H170)," ",'Q:\Abteilungsprojekte\eng\EngData\AOS\Allgemein\[LabSamples2025.xlsx]Bioplastic'!H170)</f>
        <v/>
      </c>
    </row>
    <row r="171">
      <c r="A171">
        <f>IF(ISBLANK('Q:\Abteilungsprojekte\eng\EngData\AOS\Allgemein\[LabSamples2025.xlsx]Bioplastic'!A171)," ",'Q:\Abteilungsprojekte\eng\EngData\AOS\Allgemein\[LabSamples2025.xlsx]Bioplastic'!A171)</f>
        <v/>
      </c>
      <c r="B171">
        <f>IF(ISBLANK('Q:\Abteilungsprojekte\eng\EngData\AOS\Allgemein\[LabSamples2025.xlsx]Bioplastic'!B171)," ",'Q:\Abteilungsprojekte\eng\EngData\AOS\Allgemein\[LabSamples2025.xlsx]Bioplastic'!B171)</f>
        <v/>
      </c>
      <c r="C171">
        <f>IF(ISBLANK('Q:\Abteilungsprojekte\eng\EngData\AOS\Allgemein\[LabSamples2025.xlsx]Bioplastic'!C171)," ",'Q:\Abteilungsprojekte\eng\EngData\AOS\Allgemein\[LabSamples2025.xlsx]Bioplastic'!C171)</f>
        <v/>
      </c>
      <c r="D171">
        <f>IF(ISBLANK('Q:\Abteilungsprojekte\eng\EngData\AOS\Allgemein\[LabSamples2025.xlsx]Bioplastic'!D171)," ",'Q:\Abteilungsprojekte\eng\EngData\AOS\Allgemein\[LabSamples2025.xlsx]Bioplastic'!D171)</f>
        <v/>
      </c>
      <c r="E171">
        <f>IF(ISBLANK('Q:\Abteilungsprojekte\eng\EngData\AOS\Allgemein\[LabSamples2025.xlsx]Bioplastic'!E171)," ",'Q:\Abteilungsprojekte\eng\EngData\AOS\Allgemein\[LabSamples2025.xlsx]Bioplastic'!E171)</f>
        <v/>
      </c>
      <c r="F171">
        <f>IF(ISBLANK('Q:\Abteilungsprojekte\eng\EngData\AOS\Allgemein\[LabSamples2025.xlsx]Bioplastic'!F171)," ",'Q:\Abteilungsprojekte\eng\EngData\AOS\Allgemein\[LabSamples2025.xlsx]Bioplastic'!F171)</f>
        <v/>
      </c>
      <c r="G171">
        <f>IF(ISBLANK('Q:\Abteilungsprojekte\eng\EngData\AOS\Allgemein\[LabSamples2025.xlsx]Bioplastic'!G171)," ",'Q:\Abteilungsprojekte\eng\EngData\AOS\Allgemein\[LabSamples2025.xlsx]Bioplastic'!G171)</f>
        <v/>
      </c>
      <c r="H171">
        <f>IF(ISBLANK('Q:\Abteilungsprojekte\eng\EngData\AOS\Allgemein\[LabSamples2025.xlsx]Bioplastic'!H171)," ",'Q:\Abteilungsprojekte\eng\EngData\AOS\Allgemein\[LabSamples2025.xlsx]Bioplastic'!H171)</f>
        <v/>
      </c>
    </row>
    <row r="172">
      <c r="A172">
        <f>IF(ISBLANK('Q:\Abteilungsprojekte\eng\EngData\AOS\Allgemein\[LabSamples2025.xlsx]Bioplastic'!A172)," ",'Q:\Abteilungsprojekte\eng\EngData\AOS\Allgemein\[LabSamples2025.xlsx]Bioplastic'!A172)</f>
        <v/>
      </c>
      <c r="B172">
        <f>IF(ISBLANK('Q:\Abteilungsprojekte\eng\EngData\AOS\Allgemein\[LabSamples2025.xlsx]Bioplastic'!B172)," ",'Q:\Abteilungsprojekte\eng\EngData\AOS\Allgemein\[LabSamples2025.xlsx]Bioplastic'!B172)</f>
        <v/>
      </c>
      <c r="C172">
        <f>IF(ISBLANK('Q:\Abteilungsprojekte\eng\EngData\AOS\Allgemein\[LabSamples2025.xlsx]Bioplastic'!C172)," ",'Q:\Abteilungsprojekte\eng\EngData\AOS\Allgemein\[LabSamples2025.xlsx]Bioplastic'!C172)</f>
        <v/>
      </c>
      <c r="D172">
        <f>IF(ISBLANK('Q:\Abteilungsprojekte\eng\EngData\AOS\Allgemein\[LabSamples2025.xlsx]Bioplastic'!D172)," ",'Q:\Abteilungsprojekte\eng\EngData\AOS\Allgemein\[LabSamples2025.xlsx]Bioplastic'!D172)</f>
        <v/>
      </c>
      <c r="E172">
        <f>IF(ISBLANK('Q:\Abteilungsprojekte\eng\EngData\AOS\Allgemein\[LabSamples2025.xlsx]Bioplastic'!E172)," ",'Q:\Abteilungsprojekte\eng\EngData\AOS\Allgemein\[LabSamples2025.xlsx]Bioplastic'!E172)</f>
        <v/>
      </c>
      <c r="F172">
        <f>IF(ISBLANK('Q:\Abteilungsprojekte\eng\EngData\AOS\Allgemein\[LabSamples2025.xlsx]Bioplastic'!F172)," ",'Q:\Abteilungsprojekte\eng\EngData\AOS\Allgemein\[LabSamples2025.xlsx]Bioplastic'!F172)</f>
        <v/>
      </c>
      <c r="G172">
        <f>IF(ISBLANK('Q:\Abteilungsprojekte\eng\EngData\AOS\Allgemein\[LabSamples2025.xlsx]Bioplastic'!G172)," ",'Q:\Abteilungsprojekte\eng\EngData\AOS\Allgemein\[LabSamples2025.xlsx]Bioplastic'!G172)</f>
        <v/>
      </c>
      <c r="H172">
        <f>IF(ISBLANK('Q:\Abteilungsprojekte\eng\EngData\AOS\Allgemein\[LabSamples2025.xlsx]Bioplastic'!H172)," ",'Q:\Abteilungsprojekte\eng\EngData\AOS\Allgemein\[LabSamples2025.xlsx]Bioplastic'!H172)</f>
        <v/>
      </c>
    </row>
    <row r="173">
      <c r="A173">
        <f>IF(ISBLANK('Q:\Abteilungsprojekte\eng\EngData\AOS\Allgemein\[LabSamples2025.xlsx]Bioplastic'!A173)," ",'Q:\Abteilungsprojekte\eng\EngData\AOS\Allgemein\[LabSamples2025.xlsx]Bioplastic'!A173)</f>
        <v/>
      </c>
      <c r="B173">
        <f>IF(ISBLANK('Q:\Abteilungsprojekte\eng\EngData\AOS\Allgemein\[LabSamples2025.xlsx]Bioplastic'!B173)," ",'Q:\Abteilungsprojekte\eng\EngData\AOS\Allgemein\[LabSamples2025.xlsx]Bioplastic'!B173)</f>
        <v/>
      </c>
      <c r="C173">
        <f>IF(ISBLANK('Q:\Abteilungsprojekte\eng\EngData\AOS\Allgemein\[LabSamples2025.xlsx]Bioplastic'!C173)," ",'Q:\Abteilungsprojekte\eng\EngData\AOS\Allgemein\[LabSamples2025.xlsx]Bioplastic'!C173)</f>
        <v/>
      </c>
      <c r="D173">
        <f>IF(ISBLANK('Q:\Abteilungsprojekte\eng\EngData\AOS\Allgemein\[LabSamples2025.xlsx]Bioplastic'!D173)," ",'Q:\Abteilungsprojekte\eng\EngData\AOS\Allgemein\[LabSamples2025.xlsx]Bioplastic'!D173)</f>
        <v/>
      </c>
      <c r="E173">
        <f>IF(ISBLANK('Q:\Abteilungsprojekte\eng\EngData\AOS\Allgemein\[LabSamples2025.xlsx]Bioplastic'!E173)," ",'Q:\Abteilungsprojekte\eng\EngData\AOS\Allgemein\[LabSamples2025.xlsx]Bioplastic'!E173)</f>
        <v/>
      </c>
      <c r="F173">
        <f>IF(ISBLANK('Q:\Abteilungsprojekte\eng\EngData\AOS\Allgemein\[LabSamples2025.xlsx]Bioplastic'!F173)," ",'Q:\Abteilungsprojekte\eng\EngData\AOS\Allgemein\[LabSamples2025.xlsx]Bioplastic'!F173)</f>
        <v/>
      </c>
      <c r="G173">
        <f>IF(ISBLANK('Q:\Abteilungsprojekte\eng\EngData\AOS\Allgemein\[LabSamples2025.xlsx]Bioplastic'!G173)," ",'Q:\Abteilungsprojekte\eng\EngData\AOS\Allgemein\[LabSamples2025.xlsx]Bioplastic'!G173)</f>
        <v/>
      </c>
      <c r="H173">
        <f>IF(ISBLANK('Q:\Abteilungsprojekte\eng\EngData\AOS\Allgemein\[LabSamples2025.xlsx]Bioplastic'!H173)," ",'Q:\Abteilungsprojekte\eng\EngData\AOS\Allgemein\[LabSamples2025.xlsx]Bioplastic'!H173)</f>
        <v/>
      </c>
    </row>
    <row r="174">
      <c r="A174">
        <f>IF(ISBLANK('Q:\Abteilungsprojekte\eng\EngData\AOS\Allgemein\[LabSamples2025.xlsx]Bioplastic'!A174)," ",'Q:\Abteilungsprojekte\eng\EngData\AOS\Allgemein\[LabSamples2025.xlsx]Bioplastic'!A174)</f>
        <v/>
      </c>
      <c r="B174">
        <f>IF(ISBLANK('Q:\Abteilungsprojekte\eng\EngData\AOS\Allgemein\[LabSamples2025.xlsx]Bioplastic'!B174)," ",'Q:\Abteilungsprojekte\eng\EngData\AOS\Allgemein\[LabSamples2025.xlsx]Bioplastic'!B174)</f>
        <v/>
      </c>
      <c r="C174">
        <f>IF(ISBLANK('Q:\Abteilungsprojekte\eng\EngData\AOS\Allgemein\[LabSamples2025.xlsx]Bioplastic'!C174)," ",'Q:\Abteilungsprojekte\eng\EngData\AOS\Allgemein\[LabSamples2025.xlsx]Bioplastic'!C174)</f>
        <v/>
      </c>
      <c r="D174">
        <f>IF(ISBLANK('Q:\Abteilungsprojekte\eng\EngData\AOS\Allgemein\[LabSamples2025.xlsx]Bioplastic'!D174)," ",'Q:\Abteilungsprojekte\eng\EngData\AOS\Allgemein\[LabSamples2025.xlsx]Bioplastic'!D174)</f>
        <v/>
      </c>
      <c r="E174">
        <f>IF(ISBLANK('Q:\Abteilungsprojekte\eng\EngData\AOS\Allgemein\[LabSamples2025.xlsx]Bioplastic'!E174)," ",'Q:\Abteilungsprojekte\eng\EngData\AOS\Allgemein\[LabSamples2025.xlsx]Bioplastic'!E174)</f>
        <v/>
      </c>
      <c r="F174">
        <f>IF(ISBLANK('Q:\Abteilungsprojekte\eng\EngData\AOS\Allgemein\[LabSamples2025.xlsx]Bioplastic'!F174)," ",'Q:\Abteilungsprojekte\eng\EngData\AOS\Allgemein\[LabSamples2025.xlsx]Bioplastic'!F174)</f>
        <v/>
      </c>
      <c r="G174">
        <f>IF(ISBLANK('Q:\Abteilungsprojekte\eng\EngData\AOS\Allgemein\[LabSamples2025.xlsx]Bioplastic'!G174)," ",'Q:\Abteilungsprojekte\eng\EngData\AOS\Allgemein\[LabSamples2025.xlsx]Bioplastic'!G174)</f>
        <v/>
      </c>
      <c r="H174">
        <f>IF(ISBLANK('Q:\Abteilungsprojekte\eng\EngData\AOS\Allgemein\[LabSamples2025.xlsx]Bioplastic'!H174)," ",'Q:\Abteilungsprojekte\eng\EngData\AOS\Allgemein\[LabSamples2025.xlsx]Bioplastic'!H174)</f>
        <v/>
      </c>
    </row>
    <row r="175">
      <c r="A175">
        <f>IF(ISBLANK('Q:\Abteilungsprojekte\eng\EngData\AOS\Allgemein\[LabSamples2025.xlsx]Bioplastic'!A175)," ",'Q:\Abteilungsprojekte\eng\EngData\AOS\Allgemein\[LabSamples2025.xlsx]Bioplastic'!A175)</f>
        <v/>
      </c>
      <c r="B175">
        <f>IF(ISBLANK('Q:\Abteilungsprojekte\eng\EngData\AOS\Allgemein\[LabSamples2025.xlsx]Bioplastic'!B175)," ",'Q:\Abteilungsprojekte\eng\EngData\AOS\Allgemein\[LabSamples2025.xlsx]Bioplastic'!B175)</f>
        <v/>
      </c>
      <c r="C175">
        <f>IF(ISBLANK('Q:\Abteilungsprojekte\eng\EngData\AOS\Allgemein\[LabSamples2025.xlsx]Bioplastic'!C175)," ",'Q:\Abteilungsprojekte\eng\EngData\AOS\Allgemein\[LabSamples2025.xlsx]Bioplastic'!C175)</f>
        <v/>
      </c>
      <c r="D175">
        <f>IF(ISBLANK('Q:\Abteilungsprojekte\eng\EngData\AOS\Allgemein\[LabSamples2025.xlsx]Bioplastic'!D175)," ",'Q:\Abteilungsprojekte\eng\EngData\AOS\Allgemein\[LabSamples2025.xlsx]Bioplastic'!D175)</f>
        <v/>
      </c>
      <c r="E175">
        <f>IF(ISBLANK('Q:\Abteilungsprojekte\eng\EngData\AOS\Allgemein\[LabSamples2025.xlsx]Bioplastic'!E175)," ",'Q:\Abteilungsprojekte\eng\EngData\AOS\Allgemein\[LabSamples2025.xlsx]Bioplastic'!E175)</f>
        <v/>
      </c>
      <c r="F175">
        <f>IF(ISBLANK('Q:\Abteilungsprojekte\eng\EngData\AOS\Allgemein\[LabSamples2025.xlsx]Bioplastic'!F175)," ",'Q:\Abteilungsprojekte\eng\EngData\AOS\Allgemein\[LabSamples2025.xlsx]Bioplastic'!F175)</f>
        <v/>
      </c>
      <c r="G175">
        <f>IF(ISBLANK('Q:\Abteilungsprojekte\eng\EngData\AOS\Allgemein\[LabSamples2025.xlsx]Bioplastic'!G175)," ",'Q:\Abteilungsprojekte\eng\EngData\AOS\Allgemein\[LabSamples2025.xlsx]Bioplastic'!G175)</f>
        <v/>
      </c>
      <c r="H175">
        <f>IF(ISBLANK('Q:\Abteilungsprojekte\eng\EngData\AOS\Allgemein\[LabSamples2025.xlsx]Bioplastic'!H175)," ",'Q:\Abteilungsprojekte\eng\EngData\AOS\Allgemein\[LabSamples2025.xlsx]Bioplastic'!H175)</f>
        <v/>
      </c>
    </row>
    <row r="176">
      <c r="A176">
        <f>IF(ISBLANK('Q:\Abteilungsprojekte\eng\EngData\AOS\Allgemein\[LabSamples2025.xlsx]Bioplastic'!A176)," ",'Q:\Abteilungsprojekte\eng\EngData\AOS\Allgemein\[LabSamples2025.xlsx]Bioplastic'!A176)</f>
        <v/>
      </c>
      <c r="B176">
        <f>IF(ISBLANK('Q:\Abteilungsprojekte\eng\EngData\AOS\Allgemein\[LabSamples2025.xlsx]Bioplastic'!B176)," ",'Q:\Abteilungsprojekte\eng\EngData\AOS\Allgemein\[LabSamples2025.xlsx]Bioplastic'!B176)</f>
        <v/>
      </c>
      <c r="C176">
        <f>IF(ISBLANK('Q:\Abteilungsprojekte\eng\EngData\AOS\Allgemein\[LabSamples2025.xlsx]Bioplastic'!C176)," ",'Q:\Abteilungsprojekte\eng\EngData\AOS\Allgemein\[LabSamples2025.xlsx]Bioplastic'!C176)</f>
        <v/>
      </c>
      <c r="D176">
        <f>IF(ISBLANK('Q:\Abteilungsprojekte\eng\EngData\AOS\Allgemein\[LabSamples2025.xlsx]Bioplastic'!D176)," ",'Q:\Abteilungsprojekte\eng\EngData\AOS\Allgemein\[LabSamples2025.xlsx]Bioplastic'!D176)</f>
        <v/>
      </c>
      <c r="E176">
        <f>IF(ISBLANK('Q:\Abteilungsprojekte\eng\EngData\AOS\Allgemein\[LabSamples2025.xlsx]Bioplastic'!E176)," ",'Q:\Abteilungsprojekte\eng\EngData\AOS\Allgemein\[LabSamples2025.xlsx]Bioplastic'!E176)</f>
        <v/>
      </c>
      <c r="F176">
        <f>IF(ISBLANK('Q:\Abteilungsprojekte\eng\EngData\AOS\Allgemein\[LabSamples2025.xlsx]Bioplastic'!F176)," ",'Q:\Abteilungsprojekte\eng\EngData\AOS\Allgemein\[LabSamples2025.xlsx]Bioplastic'!F176)</f>
        <v/>
      </c>
      <c r="G176">
        <f>IF(ISBLANK('Q:\Abteilungsprojekte\eng\EngData\AOS\Allgemein\[LabSamples2025.xlsx]Bioplastic'!G176)," ",'Q:\Abteilungsprojekte\eng\EngData\AOS\Allgemein\[LabSamples2025.xlsx]Bioplastic'!G176)</f>
        <v/>
      </c>
      <c r="H176">
        <f>IF(ISBLANK('Q:\Abteilungsprojekte\eng\EngData\AOS\Allgemein\[LabSamples2025.xlsx]Bioplastic'!H176)," ",'Q:\Abteilungsprojekte\eng\EngData\AOS\Allgemein\[LabSamples2025.xlsx]Bioplastic'!H176)</f>
        <v/>
      </c>
    </row>
    <row r="177">
      <c r="A177">
        <f>IF(ISBLANK('Q:\Abteilungsprojekte\eng\EngData\AOS\Allgemein\[LabSamples2025.xlsx]Bioplastic'!A177)," ",'Q:\Abteilungsprojekte\eng\EngData\AOS\Allgemein\[LabSamples2025.xlsx]Bioplastic'!A177)</f>
        <v/>
      </c>
      <c r="B177">
        <f>IF(ISBLANK('Q:\Abteilungsprojekte\eng\EngData\AOS\Allgemein\[LabSamples2025.xlsx]Bioplastic'!B177)," ",'Q:\Abteilungsprojekte\eng\EngData\AOS\Allgemein\[LabSamples2025.xlsx]Bioplastic'!B177)</f>
        <v/>
      </c>
      <c r="C177">
        <f>IF(ISBLANK('Q:\Abteilungsprojekte\eng\EngData\AOS\Allgemein\[LabSamples2025.xlsx]Bioplastic'!C177)," ",'Q:\Abteilungsprojekte\eng\EngData\AOS\Allgemein\[LabSamples2025.xlsx]Bioplastic'!C177)</f>
        <v/>
      </c>
      <c r="D177">
        <f>IF(ISBLANK('Q:\Abteilungsprojekte\eng\EngData\AOS\Allgemein\[LabSamples2025.xlsx]Bioplastic'!D177)," ",'Q:\Abteilungsprojekte\eng\EngData\AOS\Allgemein\[LabSamples2025.xlsx]Bioplastic'!D177)</f>
        <v/>
      </c>
      <c r="E177">
        <f>IF(ISBLANK('Q:\Abteilungsprojekte\eng\EngData\AOS\Allgemein\[LabSamples2025.xlsx]Bioplastic'!E177)," ",'Q:\Abteilungsprojekte\eng\EngData\AOS\Allgemein\[LabSamples2025.xlsx]Bioplastic'!E177)</f>
        <v/>
      </c>
      <c r="F177">
        <f>IF(ISBLANK('Q:\Abteilungsprojekte\eng\EngData\AOS\Allgemein\[LabSamples2025.xlsx]Bioplastic'!F177)," ",'Q:\Abteilungsprojekte\eng\EngData\AOS\Allgemein\[LabSamples2025.xlsx]Bioplastic'!F177)</f>
        <v/>
      </c>
      <c r="G177">
        <f>IF(ISBLANK('Q:\Abteilungsprojekte\eng\EngData\AOS\Allgemein\[LabSamples2025.xlsx]Bioplastic'!G177)," ",'Q:\Abteilungsprojekte\eng\EngData\AOS\Allgemein\[LabSamples2025.xlsx]Bioplastic'!G177)</f>
        <v/>
      </c>
      <c r="H177">
        <f>IF(ISBLANK('Q:\Abteilungsprojekte\eng\EngData\AOS\Allgemein\[LabSamples2025.xlsx]Bioplastic'!H177)," ",'Q:\Abteilungsprojekte\eng\EngData\AOS\Allgemein\[LabSamples2025.xlsx]Bioplastic'!H177)</f>
        <v/>
      </c>
    </row>
    <row r="178">
      <c r="A178">
        <f>IF(ISBLANK('Q:\Abteilungsprojekte\eng\EngData\AOS\Allgemein\[LabSamples2025.xlsx]Bioplastic'!A178)," ",'Q:\Abteilungsprojekte\eng\EngData\AOS\Allgemein\[LabSamples2025.xlsx]Bioplastic'!A178)</f>
        <v/>
      </c>
      <c r="B178">
        <f>IF(ISBLANK('Q:\Abteilungsprojekte\eng\EngData\AOS\Allgemein\[LabSamples2025.xlsx]Bioplastic'!B178)," ",'Q:\Abteilungsprojekte\eng\EngData\AOS\Allgemein\[LabSamples2025.xlsx]Bioplastic'!B178)</f>
        <v/>
      </c>
      <c r="C178">
        <f>IF(ISBLANK('Q:\Abteilungsprojekte\eng\EngData\AOS\Allgemein\[LabSamples2025.xlsx]Bioplastic'!C178)," ",'Q:\Abteilungsprojekte\eng\EngData\AOS\Allgemein\[LabSamples2025.xlsx]Bioplastic'!C178)</f>
        <v/>
      </c>
      <c r="D178">
        <f>IF(ISBLANK('Q:\Abteilungsprojekte\eng\EngData\AOS\Allgemein\[LabSamples2025.xlsx]Bioplastic'!D178)," ",'Q:\Abteilungsprojekte\eng\EngData\AOS\Allgemein\[LabSamples2025.xlsx]Bioplastic'!D178)</f>
        <v/>
      </c>
      <c r="E178">
        <f>IF(ISBLANK('Q:\Abteilungsprojekte\eng\EngData\AOS\Allgemein\[LabSamples2025.xlsx]Bioplastic'!E178)," ",'Q:\Abteilungsprojekte\eng\EngData\AOS\Allgemein\[LabSamples2025.xlsx]Bioplastic'!E178)</f>
        <v/>
      </c>
      <c r="F178">
        <f>IF(ISBLANK('Q:\Abteilungsprojekte\eng\EngData\AOS\Allgemein\[LabSamples2025.xlsx]Bioplastic'!F178)," ",'Q:\Abteilungsprojekte\eng\EngData\AOS\Allgemein\[LabSamples2025.xlsx]Bioplastic'!F178)</f>
        <v/>
      </c>
      <c r="G178">
        <f>IF(ISBLANK('Q:\Abteilungsprojekte\eng\EngData\AOS\Allgemein\[LabSamples2025.xlsx]Bioplastic'!G178)," ",'Q:\Abteilungsprojekte\eng\EngData\AOS\Allgemein\[LabSamples2025.xlsx]Bioplastic'!G178)</f>
        <v/>
      </c>
      <c r="H178">
        <f>IF(ISBLANK('Q:\Abteilungsprojekte\eng\EngData\AOS\Allgemein\[LabSamples2025.xlsx]Bioplastic'!H178)," ",'Q:\Abteilungsprojekte\eng\EngData\AOS\Allgemein\[LabSamples2025.xlsx]Bioplastic'!H178)</f>
        <v/>
      </c>
    </row>
    <row r="179">
      <c r="A179">
        <f>IF(ISBLANK('Q:\Abteilungsprojekte\eng\EngData\AOS\Allgemein\[LabSamples2025.xlsx]Bioplastic'!A179)," ",'Q:\Abteilungsprojekte\eng\EngData\AOS\Allgemein\[LabSamples2025.xlsx]Bioplastic'!A179)</f>
        <v/>
      </c>
      <c r="B179">
        <f>IF(ISBLANK('Q:\Abteilungsprojekte\eng\EngData\AOS\Allgemein\[LabSamples2025.xlsx]Bioplastic'!B179)," ",'Q:\Abteilungsprojekte\eng\EngData\AOS\Allgemein\[LabSamples2025.xlsx]Bioplastic'!B179)</f>
        <v/>
      </c>
      <c r="C179">
        <f>IF(ISBLANK('Q:\Abteilungsprojekte\eng\EngData\AOS\Allgemein\[LabSamples2025.xlsx]Bioplastic'!C179)," ",'Q:\Abteilungsprojekte\eng\EngData\AOS\Allgemein\[LabSamples2025.xlsx]Bioplastic'!C179)</f>
        <v/>
      </c>
      <c r="D179">
        <f>IF(ISBLANK('Q:\Abteilungsprojekte\eng\EngData\AOS\Allgemein\[LabSamples2025.xlsx]Bioplastic'!D179)," ",'Q:\Abteilungsprojekte\eng\EngData\AOS\Allgemein\[LabSamples2025.xlsx]Bioplastic'!D179)</f>
        <v/>
      </c>
      <c r="E179">
        <f>IF(ISBLANK('Q:\Abteilungsprojekte\eng\EngData\AOS\Allgemein\[LabSamples2025.xlsx]Bioplastic'!E179)," ",'Q:\Abteilungsprojekte\eng\EngData\AOS\Allgemein\[LabSamples2025.xlsx]Bioplastic'!E179)</f>
        <v/>
      </c>
      <c r="F179">
        <f>IF(ISBLANK('Q:\Abteilungsprojekte\eng\EngData\AOS\Allgemein\[LabSamples2025.xlsx]Bioplastic'!F179)," ",'Q:\Abteilungsprojekte\eng\EngData\AOS\Allgemein\[LabSamples2025.xlsx]Bioplastic'!F179)</f>
        <v/>
      </c>
      <c r="G179">
        <f>IF(ISBLANK('Q:\Abteilungsprojekte\eng\EngData\AOS\Allgemein\[LabSamples2025.xlsx]Bioplastic'!G179)," ",'Q:\Abteilungsprojekte\eng\EngData\AOS\Allgemein\[LabSamples2025.xlsx]Bioplastic'!G179)</f>
        <v/>
      </c>
      <c r="H179">
        <f>IF(ISBLANK('Q:\Abteilungsprojekte\eng\EngData\AOS\Allgemein\[LabSamples2025.xlsx]Bioplastic'!H179)," ",'Q:\Abteilungsprojekte\eng\EngData\AOS\Allgemein\[LabSamples2025.xlsx]Bioplastic'!H179)</f>
        <v/>
      </c>
    </row>
    <row r="180">
      <c r="A180">
        <f>IF(ISBLANK('Q:\Abteilungsprojekte\eng\EngData\AOS\Allgemein\[LabSamples2025.xlsx]Bioplastic'!A180)," ",'Q:\Abteilungsprojekte\eng\EngData\AOS\Allgemein\[LabSamples2025.xlsx]Bioplastic'!A180)</f>
        <v/>
      </c>
      <c r="B180">
        <f>IF(ISBLANK('Q:\Abteilungsprojekte\eng\EngData\AOS\Allgemein\[LabSamples2025.xlsx]Bioplastic'!B180)," ",'Q:\Abteilungsprojekte\eng\EngData\AOS\Allgemein\[LabSamples2025.xlsx]Bioplastic'!B180)</f>
        <v/>
      </c>
      <c r="C180">
        <f>IF(ISBLANK('Q:\Abteilungsprojekte\eng\EngData\AOS\Allgemein\[LabSamples2025.xlsx]Bioplastic'!C180)," ",'Q:\Abteilungsprojekte\eng\EngData\AOS\Allgemein\[LabSamples2025.xlsx]Bioplastic'!C180)</f>
        <v/>
      </c>
      <c r="D180">
        <f>IF(ISBLANK('Q:\Abteilungsprojekte\eng\EngData\AOS\Allgemein\[LabSamples2025.xlsx]Bioplastic'!D180)," ",'Q:\Abteilungsprojekte\eng\EngData\AOS\Allgemein\[LabSamples2025.xlsx]Bioplastic'!D180)</f>
        <v/>
      </c>
      <c r="E180">
        <f>IF(ISBLANK('Q:\Abteilungsprojekte\eng\EngData\AOS\Allgemein\[LabSamples2025.xlsx]Bioplastic'!E180)," ",'Q:\Abteilungsprojekte\eng\EngData\AOS\Allgemein\[LabSamples2025.xlsx]Bioplastic'!E180)</f>
        <v/>
      </c>
      <c r="F180">
        <f>IF(ISBLANK('Q:\Abteilungsprojekte\eng\EngData\AOS\Allgemein\[LabSamples2025.xlsx]Bioplastic'!F180)," ",'Q:\Abteilungsprojekte\eng\EngData\AOS\Allgemein\[LabSamples2025.xlsx]Bioplastic'!F180)</f>
        <v/>
      </c>
      <c r="G180">
        <f>IF(ISBLANK('Q:\Abteilungsprojekte\eng\EngData\AOS\Allgemein\[LabSamples2025.xlsx]Bioplastic'!G180)," ",'Q:\Abteilungsprojekte\eng\EngData\AOS\Allgemein\[LabSamples2025.xlsx]Bioplastic'!G180)</f>
        <v/>
      </c>
      <c r="H180">
        <f>IF(ISBLANK('Q:\Abteilungsprojekte\eng\EngData\AOS\Allgemein\[LabSamples2025.xlsx]Bioplastic'!H180)," ",'Q:\Abteilungsprojekte\eng\EngData\AOS\Allgemein\[LabSamples2025.xlsx]Bioplastic'!H180)</f>
        <v/>
      </c>
    </row>
    <row r="181">
      <c r="A181">
        <f>IF(ISBLANK('Q:\Abteilungsprojekte\eng\EngData\AOS\Allgemein\[LabSamples2025.xlsx]Bioplastic'!A181)," ",'Q:\Abteilungsprojekte\eng\EngData\AOS\Allgemein\[LabSamples2025.xlsx]Bioplastic'!A181)</f>
        <v/>
      </c>
      <c r="B181">
        <f>IF(ISBLANK('Q:\Abteilungsprojekte\eng\EngData\AOS\Allgemein\[LabSamples2025.xlsx]Bioplastic'!B181)," ",'Q:\Abteilungsprojekte\eng\EngData\AOS\Allgemein\[LabSamples2025.xlsx]Bioplastic'!B181)</f>
        <v/>
      </c>
      <c r="C181">
        <f>IF(ISBLANK('Q:\Abteilungsprojekte\eng\EngData\AOS\Allgemein\[LabSamples2025.xlsx]Bioplastic'!C181)," ",'Q:\Abteilungsprojekte\eng\EngData\AOS\Allgemein\[LabSamples2025.xlsx]Bioplastic'!C181)</f>
        <v/>
      </c>
      <c r="D181">
        <f>IF(ISBLANK('Q:\Abteilungsprojekte\eng\EngData\AOS\Allgemein\[LabSamples2025.xlsx]Bioplastic'!D181)," ",'Q:\Abteilungsprojekte\eng\EngData\AOS\Allgemein\[LabSamples2025.xlsx]Bioplastic'!D181)</f>
        <v/>
      </c>
      <c r="E181">
        <f>IF(ISBLANK('Q:\Abteilungsprojekte\eng\EngData\AOS\Allgemein\[LabSamples2025.xlsx]Bioplastic'!E181)," ",'Q:\Abteilungsprojekte\eng\EngData\AOS\Allgemein\[LabSamples2025.xlsx]Bioplastic'!E181)</f>
        <v/>
      </c>
      <c r="F181">
        <f>IF(ISBLANK('Q:\Abteilungsprojekte\eng\EngData\AOS\Allgemein\[LabSamples2025.xlsx]Bioplastic'!F181)," ",'Q:\Abteilungsprojekte\eng\EngData\AOS\Allgemein\[LabSamples2025.xlsx]Bioplastic'!F181)</f>
        <v/>
      </c>
      <c r="G181">
        <f>IF(ISBLANK('Q:\Abteilungsprojekte\eng\EngData\AOS\Allgemein\[LabSamples2025.xlsx]Bioplastic'!G181)," ",'Q:\Abteilungsprojekte\eng\EngData\AOS\Allgemein\[LabSamples2025.xlsx]Bioplastic'!G181)</f>
        <v/>
      </c>
      <c r="H181">
        <f>IF(ISBLANK('Q:\Abteilungsprojekte\eng\EngData\AOS\Allgemein\[LabSamples2025.xlsx]Bioplastic'!H181)," ",'Q:\Abteilungsprojekte\eng\EngData\AOS\Allgemein\[LabSamples2025.xlsx]Bioplastic'!H181)</f>
        <v/>
      </c>
    </row>
    <row r="182">
      <c r="A182">
        <f>IF(ISBLANK('Q:\Abteilungsprojekte\eng\EngData\AOS\Allgemein\[LabSamples2025.xlsx]Bioplastic'!A182)," ",'Q:\Abteilungsprojekte\eng\EngData\AOS\Allgemein\[LabSamples2025.xlsx]Bioplastic'!A182)</f>
        <v/>
      </c>
      <c r="B182">
        <f>IF(ISBLANK('Q:\Abteilungsprojekte\eng\EngData\AOS\Allgemein\[LabSamples2025.xlsx]Bioplastic'!B182)," ",'Q:\Abteilungsprojekte\eng\EngData\AOS\Allgemein\[LabSamples2025.xlsx]Bioplastic'!B182)</f>
        <v/>
      </c>
      <c r="C182">
        <f>IF(ISBLANK('Q:\Abteilungsprojekte\eng\EngData\AOS\Allgemein\[LabSamples2025.xlsx]Bioplastic'!C182)," ",'Q:\Abteilungsprojekte\eng\EngData\AOS\Allgemein\[LabSamples2025.xlsx]Bioplastic'!C182)</f>
        <v/>
      </c>
      <c r="D182">
        <f>IF(ISBLANK('Q:\Abteilungsprojekte\eng\EngData\AOS\Allgemein\[LabSamples2025.xlsx]Bioplastic'!D182)," ",'Q:\Abteilungsprojekte\eng\EngData\AOS\Allgemein\[LabSamples2025.xlsx]Bioplastic'!D182)</f>
        <v/>
      </c>
      <c r="E182">
        <f>IF(ISBLANK('Q:\Abteilungsprojekte\eng\EngData\AOS\Allgemein\[LabSamples2025.xlsx]Bioplastic'!E182)," ",'Q:\Abteilungsprojekte\eng\EngData\AOS\Allgemein\[LabSamples2025.xlsx]Bioplastic'!E182)</f>
        <v/>
      </c>
      <c r="F182">
        <f>IF(ISBLANK('Q:\Abteilungsprojekte\eng\EngData\AOS\Allgemein\[LabSamples2025.xlsx]Bioplastic'!F182)," ",'Q:\Abteilungsprojekte\eng\EngData\AOS\Allgemein\[LabSamples2025.xlsx]Bioplastic'!F182)</f>
        <v/>
      </c>
      <c r="G182">
        <f>IF(ISBLANK('Q:\Abteilungsprojekte\eng\EngData\AOS\Allgemein\[LabSamples2025.xlsx]Bioplastic'!G182)," ",'Q:\Abteilungsprojekte\eng\EngData\AOS\Allgemein\[LabSamples2025.xlsx]Bioplastic'!G182)</f>
        <v/>
      </c>
      <c r="H182">
        <f>IF(ISBLANK('Q:\Abteilungsprojekte\eng\EngData\AOS\Allgemein\[LabSamples2025.xlsx]Bioplastic'!H182)," ",'Q:\Abteilungsprojekte\eng\EngData\AOS\Allgemein\[LabSamples2025.xlsx]Bioplastic'!H182)</f>
        <v/>
      </c>
    </row>
    <row r="183">
      <c r="A183">
        <f>IF(ISBLANK('Q:\Abteilungsprojekte\eng\EngData\AOS\Allgemein\[LabSamples2025.xlsx]Bioplastic'!A183)," ",'Q:\Abteilungsprojekte\eng\EngData\AOS\Allgemein\[LabSamples2025.xlsx]Bioplastic'!A183)</f>
        <v/>
      </c>
      <c r="B183">
        <f>IF(ISBLANK('Q:\Abteilungsprojekte\eng\EngData\AOS\Allgemein\[LabSamples2025.xlsx]Bioplastic'!B183)," ",'Q:\Abteilungsprojekte\eng\EngData\AOS\Allgemein\[LabSamples2025.xlsx]Bioplastic'!B183)</f>
        <v/>
      </c>
      <c r="C183">
        <f>IF(ISBLANK('Q:\Abteilungsprojekte\eng\EngData\AOS\Allgemein\[LabSamples2025.xlsx]Bioplastic'!C183)," ",'Q:\Abteilungsprojekte\eng\EngData\AOS\Allgemein\[LabSamples2025.xlsx]Bioplastic'!C183)</f>
        <v/>
      </c>
      <c r="D183">
        <f>IF(ISBLANK('Q:\Abteilungsprojekte\eng\EngData\AOS\Allgemein\[LabSamples2025.xlsx]Bioplastic'!D183)," ",'Q:\Abteilungsprojekte\eng\EngData\AOS\Allgemein\[LabSamples2025.xlsx]Bioplastic'!D183)</f>
        <v/>
      </c>
      <c r="E183">
        <f>IF(ISBLANK('Q:\Abteilungsprojekte\eng\EngData\AOS\Allgemein\[LabSamples2025.xlsx]Bioplastic'!E183)," ",'Q:\Abteilungsprojekte\eng\EngData\AOS\Allgemein\[LabSamples2025.xlsx]Bioplastic'!E183)</f>
        <v/>
      </c>
      <c r="F183">
        <f>IF(ISBLANK('Q:\Abteilungsprojekte\eng\EngData\AOS\Allgemein\[LabSamples2025.xlsx]Bioplastic'!F183)," ",'Q:\Abteilungsprojekte\eng\EngData\AOS\Allgemein\[LabSamples2025.xlsx]Bioplastic'!F183)</f>
        <v/>
      </c>
      <c r="G183">
        <f>IF(ISBLANK('Q:\Abteilungsprojekte\eng\EngData\AOS\Allgemein\[LabSamples2025.xlsx]Bioplastic'!G183)," ",'Q:\Abteilungsprojekte\eng\EngData\AOS\Allgemein\[LabSamples2025.xlsx]Bioplastic'!G183)</f>
        <v/>
      </c>
      <c r="H183">
        <f>IF(ISBLANK('Q:\Abteilungsprojekte\eng\EngData\AOS\Allgemein\[LabSamples2025.xlsx]Bioplastic'!H183)," ",'Q:\Abteilungsprojekte\eng\EngData\AOS\Allgemein\[LabSamples2025.xlsx]Bioplastic'!H183)</f>
        <v/>
      </c>
    </row>
    <row r="184">
      <c r="A184">
        <f>IF(ISBLANK('Q:\Abteilungsprojekte\eng\EngData\AOS\Allgemein\[LabSamples2025.xlsx]Bioplastic'!A184)," ",'Q:\Abteilungsprojekte\eng\EngData\AOS\Allgemein\[LabSamples2025.xlsx]Bioplastic'!A184)</f>
        <v/>
      </c>
      <c r="B184">
        <f>IF(ISBLANK('Q:\Abteilungsprojekte\eng\EngData\AOS\Allgemein\[LabSamples2025.xlsx]Bioplastic'!B184)," ",'Q:\Abteilungsprojekte\eng\EngData\AOS\Allgemein\[LabSamples2025.xlsx]Bioplastic'!B184)</f>
        <v/>
      </c>
      <c r="C184">
        <f>IF(ISBLANK('Q:\Abteilungsprojekte\eng\EngData\AOS\Allgemein\[LabSamples2025.xlsx]Bioplastic'!C184)," ",'Q:\Abteilungsprojekte\eng\EngData\AOS\Allgemein\[LabSamples2025.xlsx]Bioplastic'!C184)</f>
        <v/>
      </c>
      <c r="D184">
        <f>IF(ISBLANK('Q:\Abteilungsprojekte\eng\EngData\AOS\Allgemein\[LabSamples2025.xlsx]Bioplastic'!D184)," ",'Q:\Abteilungsprojekte\eng\EngData\AOS\Allgemein\[LabSamples2025.xlsx]Bioplastic'!D184)</f>
        <v/>
      </c>
      <c r="E184">
        <f>IF(ISBLANK('Q:\Abteilungsprojekte\eng\EngData\AOS\Allgemein\[LabSamples2025.xlsx]Bioplastic'!E184)," ",'Q:\Abteilungsprojekte\eng\EngData\AOS\Allgemein\[LabSamples2025.xlsx]Bioplastic'!E184)</f>
        <v/>
      </c>
      <c r="F184">
        <f>IF(ISBLANK('Q:\Abteilungsprojekte\eng\EngData\AOS\Allgemein\[LabSamples2025.xlsx]Bioplastic'!F184)," ",'Q:\Abteilungsprojekte\eng\EngData\AOS\Allgemein\[LabSamples2025.xlsx]Bioplastic'!F184)</f>
        <v/>
      </c>
      <c r="G184">
        <f>IF(ISBLANK('Q:\Abteilungsprojekte\eng\EngData\AOS\Allgemein\[LabSamples2025.xlsx]Bioplastic'!G184)," ",'Q:\Abteilungsprojekte\eng\EngData\AOS\Allgemein\[LabSamples2025.xlsx]Bioplastic'!G184)</f>
        <v/>
      </c>
      <c r="H184">
        <f>IF(ISBLANK('Q:\Abteilungsprojekte\eng\EngData\AOS\Allgemein\[LabSamples2025.xlsx]Bioplastic'!H184)," ",'Q:\Abteilungsprojekte\eng\EngData\AOS\Allgemein\[LabSamples2025.xlsx]Bioplastic'!H184)</f>
        <v/>
      </c>
    </row>
    <row r="185">
      <c r="A185">
        <f>IF(ISBLANK('Q:\Abteilungsprojekte\eng\EngData\AOS\Allgemein\[LabSamples2025.xlsx]Bioplastic'!A185)," ",'Q:\Abteilungsprojekte\eng\EngData\AOS\Allgemein\[LabSamples2025.xlsx]Bioplastic'!A185)</f>
        <v/>
      </c>
      <c r="B185">
        <f>IF(ISBLANK('Q:\Abteilungsprojekte\eng\EngData\AOS\Allgemein\[LabSamples2025.xlsx]Bioplastic'!B185)," ",'Q:\Abteilungsprojekte\eng\EngData\AOS\Allgemein\[LabSamples2025.xlsx]Bioplastic'!B185)</f>
        <v/>
      </c>
      <c r="C185">
        <f>IF(ISBLANK('Q:\Abteilungsprojekte\eng\EngData\AOS\Allgemein\[LabSamples2025.xlsx]Bioplastic'!C185)," ",'Q:\Abteilungsprojekte\eng\EngData\AOS\Allgemein\[LabSamples2025.xlsx]Bioplastic'!C185)</f>
        <v/>
      </c>
      <c r="D185">
        <f>IF(ISBLANK('Q:\Abteilungsprojekte\eng\EngData\AOS\Allgemein\[LabSamples2025.xlsx]Bioplastic'!D185)," ",'Q:\Abteilungsprojekte\eng\EngData\AOS\Allgemein\[LabSamples2025.xlsx]Bioplastic'!D185)</f>
        <v/>
      </c>
      <c r="E185">
        <f>IF(ISBLANK('Q:\Abteilungsprojekte\eng\EngData\AOS\Allgemein\[LabSamples2025.xlsx]Bioplastic'!E185)," ",'Q:\Abteilungsprojekte\eng\EngData\AOS\Allgemein\[LabSamples2025.xlsx]Bioplastic'!E185)</f>
        <v/>
      </c>
      <c r="F185">
        <f>IF(ISBLANK('Q:\Abteilungsprojekte\eng\EngData\AOS\Allgemein\[LabSamples2025.xlsx]Bioplastic'!F185)," ",'Q:\Abteilungsprojekte\eng\EngData\AOS\Allgemein\[LabSamples2025.xlsx]Bioplastic'!F185)</f>
        <v/>
      </c>
      <c r="G185">
        <f>IF(ISBLANK('Q:\Abteilungsprojekte\eng\EngData\AOS\Allgemein\[LabSamples2025.xlsx]Bioplastic'!G185)," ",'Q:\Abteilungsprojekte\eng\EngData\AOS\Allgemein\[LabSamples2025.xlsx]Bioplastic'!G185)</f>
        <v/>
      </c>
      <c r="H185">
        <f>IF(ISBLANK('Q:\Abteilungsprojekte\eng\EngData\AOS\Allgemein\[LabSamples2025.xlsx]Bioplastic'!H185)," ",'Q:\Abteilungsprojekte\eng\EngData\AOS\Allgemein\[LabSamples2025.xlsx]Bioplastic'!H185)</f>
        <v/>
      </c>
    </row>
    <row r="186">
      <c r="A186">
        <f>IF(ISBLANK('Q:\Abteilungsprojekte\eng\EngData\AOS\Allgemein\[LabSamples2025.xlsx]Bioplastic'!A186)," ",'Q:\Abteilungsprojekte\eng\EngData\AOS\Allgemein\[LabSamples2025.xlsx]Bioplastic'!A186)</f>
        <v/>
      </c>
      <c r="B186">
        <f>IF(ISBLANK('Q:\Abteilungsprojekte\eng\EngData\AOS\Allgemein\[LabSamples2025.xlsx]Bioplastic'!B186)," ",'Q:\Abteilungsprojekte\eng\EngData\AOS\Allgemein\[LabSamples2025.xlsx]Bioplastic'!B186)</f>
        <v/>
      </c>
      <c r="C186">
        <f>IF(ISBLANK('Q:\Abteilungsprojekte\eng\EngData\AOS\Allgemein\[LabSamples2025.xlsx]Bioplastic'!C186)," ",'Q:\Abteilungsprojekte\eng\EngData\AOS\Allgemein\[LabSamples2025.xlsx]Bioplastic'!C186)</f>
        <v/>
      </c>
      <c r="D186">
        <f>IF(ISBLANK('Q:\Abteilungsprojekte\eng\EngData\AOS\Allgemein\[LabSamples2025.xlsx]Bioplastic'!D186)," ",'Q:\Abteilungsprojekte\eng\EngData\AOS\Allgemein\[LabSamples2025.xlsx]Bioplastic'!D186)</f>
        <v/>
      </c>
      <c r="E186">
        <f>IF(ISBLANK('Q:\Abteilungsprojekte\eng\EngData\AOS\Allgemein\[LabSamples2025.xlsx]Bioplastic'!E186)," ",'Q:\Abteilungsprojekte\eng\EngData\AOS\Allgemein\[LabSamples2025.xlsx]Bioplastic'!E186)</f>
        <v/>
      </c>
      <c r="F186">
        <f>IF(ISBLANK('Q:\Abteilungsprojekte\eng\EngData\AOS\Allgemein\[LabSamples2025.xlsx]Bioplastic'!F186)," ",'Q:\Abteilungsprojekte\eng\EngData\AOS\Allgemein\[LabSamples2025.xlsx]Bioplastic'!F186)</f>
        <v/>
      </c>
      <c r="G186">
        <f>IF(ISBLANK('Q:\Abteilungsprojekte\eng\EngData\AOS\Allgemein\[LabSamples2025.xlsx]Bioplastic'!G186)," ",'Q:\Abteilungsprojekte\eng\EngData\AOS\Allgemein\[LabSamples2025.xlsx]Bioplastic'!G186)</f>
        <v/>
      </c>
      <c r="H186">
        <f>IF(ISBLANK('Q:\Abteilungsprojekte\eng\EngData\AOS\Allgemein\[LabSamples2025.xlsx]Bioplastic'!H186)," ",'Q:\Abteilungsprojekte\eng\EngData\AOS\Allgemein\[LabSamples2025.xlsx]Bioplastic'!H186)</f>
        <v/>
      </c>
    </row>
    <row r="187">
      <c r="A187">
        <f>IF(ISBLANK('Q:\Abteilungsprojekte\eng\EngData\AOS\Allgemein\[LabSamples2025.xlsx]Bioplastic'!A187)," ",'Q:\Abteilungsprojekte\eng\EngData\AOS\Allgemein\[LabSamples2025.xlsx]Bioplastic'!A187)</f>
        <v/>
      </c>
      <c r="B187">
        <f>IF(ISBLANK('Q:\Abteilungsprojekte\eng\EngData\AOS\Allgemein\[LabSamples2025.xlsx]Bioplastic'!B187)," ",'Q:\Abteilungsprojekte\eng\EngData\AOS\Allgemein\[LabSamples2025.xlsx]Bioplastic'!B187)</f>
        <v/>
      </c>
      <c r="C187">
        <f>IF(ISBLANK('Q:\Abteilungsprojekte\eng\EngData\AOS\Allgemein\[LabSamples2025.xlsx]Bioplastic'!C187)," ",'Q:\Abteilungsprojekte\eng\EngData\AOS\Allgemein\[LabSamples2025.xlsx]Bioplastic'!C187)</f>
        <v/>
      </c>
      <c r="D187">
        <f>IF(ISBLANK('Q:\Abteilungsprojekte\eng\EngData\AOS\Allgemein\[LabSamples2025.xlsx]Bioplastic'!D187)," ",'Q:\Abteilungsprojekte\eng\EngData\AOS\Allgemein\[LabSamples2025.xlsx]Bioplastic'!D187)</f>
        <v/>
      </c>
      <c r="E187">
        <f>IF(ISBLANK('Q:\Abteilungsprojekte\eng\EngData\AOS\Allgemein\[LabSamples2025.xlsx]Bioplastic'!E187)," ",'Q:\Abteilungsprojekte\eng\EngData\AOS\Allgemein\[LabSamples2025.xlsx]Bioplastic'!E187)</f>
        <v/>
      </c>
      <c r="F187">
        <f>IF(ISBLANK('Q:\Abteilungsprojekte\eng\EngData\AOS\Allgemein\[LabSamples2025.xlsx]Bioplastic'!F187)," ",'Q:\Abteilungsprojekte\eng\EngData\AOS\Allgemein\[LabSamples2025.xlsx]Bioplastic'!F187)</f>
        <v/>
      </c>
      <c r="G187">
        <f>IF(ISBLANK('Q:\Abteilungsprojekte\eng\EngData\AOS\Allgemein\[LabSamples2025.xlsx]Bioplastic'!G187)," ",'Q:\Abteilungsprojekte\eng\EngData\AOS\Allgemein\[LabSamples2025.xlsx]Bioplastic'!G187)</f>
        <v/>
      </c>
      <c r="H187">
        <f>IF(ISBLANK('Q:\Abteilungsprojekte\eng\EngData\AOS\Allgemein\[LabSamples2025.xlsx]Bioplastic'!H187)," ",'Q:\Abteilungsprojekte\eng\EngData\AOS\Allgemein\[LabSamples2025.xlsx]Bioplastic'!H187)</f>
        <v/>
      </c>
    </row>
    <row r="188">
      <c r="A188">
        <f>IF(ISBLANK('Q:\Abteilungsprojekte\eng\EngData\AOS\Allgemein\[LabSamples2025.xlsx]Bioplastic'!A188)," ",'Q:\Abteilungsprojekte\eng\EngData\AOS\Allgemein\[LabSamples2025.xlsx]Bioplastic'!A188)</f>
        <v/>
      </c>
      <c r="B188">
        <f>IF(ISBLANK('Q:\Abteilungsprojekte\eng\EngData\AOS\Allgemein\[LabSamples2025.xlsx]Bioplastic'!B188)," ",'Q:\Abteilungsprojekte\eng\EngData\AOS\Allgemein\[LabSamples2025.xlsx]Bioplastic'!B188)</f>
        <v/>
      </c>
      <c r="C188">
        <f>IF(ISBLANK('Q:\Abteilungsprojekte\eng\EngData\AOS\Allgemein\[LabSamples2025.xlsx]Bioplastic'!C188)," ",'Q:\Abteilungsprojekte\eng\EngData\AOS\Allgemein\[LabSamples2025.xlsx]Bioplastic'!C188)</f>
        <v/>
      </c>
      <c r="D188">
        <f>IF(ISBLANK('Q:\Abteilungsprojekte\eng\EngData\AOS\Allgemein\[LabSamples2025.xlsx]Bioplastic'!D188)," ",'Q:\Abteilungsprojekte\eng\EngData\AOS\Allgemein\[LabSamples2025.xlsx]Bioplastic'!D188)</f>
        <v/>
      </c>
      <c r="E188">
        <f>IF(ISBLANK('Q:\Abteilungsprojekte\eng\EngData\AOS\Allgemein\[LabSamples2025.xlsx]Bioplastic'!E188)," ",'Q:\Abteilungsprojekte\eng\EngData\AOS\Allgemein\[LabSamples2025.xlsx]Bioplastic'!E188)</f>
        <v/>
      </c>
      <c r="F188">
        <f>IF(ISBLANK('Q:\Abteilungsprojekte\eng\EngData\AOS\Allgemein\[LabSamples2025.xlsx]Bioplastic'!F188)," ",'Q:\Abteilungsprojekte\eng\EngData\AOS\Allgemein\[LabSamples2025.xlsx]Bioplastic'!F188)</f>
        <v/>
      </c>
      <c r="G188">
        <f>IF(ISBLANK('Q:\Abteilungsprojekte\eng\EngData\AOS\Allgemein\[LabSamples2025.xlsx]Bioplastic'!G188)," ",'Q:\Abteilungsprojekte\eng\EngData\AOS\Allgemein\[LabSamples2025.xlsx]Bioplastic'!G188)</f>
        <v/>
      </c>
      <c r="H188">
        <f>IF(ISBLANK('Q:\Abteilungsprojekte\eng\EngData\AOS\Allgemein\[LabSamples2025.xlsx]Bioplastic'!H188)," ",'Q:\Abteilungsprojekte\eng\EngData\AOS\Allgemein\[LabSamples2025.xlsx]Bioplastic'!H188)</f>
        <v/>
      </c>
    </row>
    <row r="189">
      <c r="A189">
        <f>IF(ISBLANK('Q:\Abteilungsprojekte\eng\EngData\AOS\Allgemein\[LabSamples2025.xlsx]Bioplastic'!A189)," ",'Q:\Abteilungsprojekte\eng\EngData\AOS\Allgemein\[LabSamples2025.xlsx]Bioplastic'!A189)</f>
        <v/>
      </c>
      <c r="B189">
        <f>IF(ISBLANK('Q:\Abteilungsprojekte\eng\EngData\AOS\Allgemein\[LabSamples2025.xlsx]Bioplastic'!B189)," ",'Q:\Abteilungsprojekte\eng\EngData\AOS\Allgemein\[LabSamples2025.xlsx]Bioplastic'!B189)</f>
        <v/>
      </c>
      <c r="C189">
        <f>IF(ISBLANK('Q:\Abteilungsprojekte\eng\EngData\AOS\Allgemein\[LabSamples2025.xlsx]Bioplastic'!C189)," ",'Q:\Abteilungsprojekte\eng\EngData\AOS\Allgemein\[LabSamples2025.xlsx]Bioplastic'!C189)</f>
        <v/>
      </c>
      <c r="D189">
        <f>IF(ISBLANK('Q:\Abteilungsprojekte\eng\EngData\AOS\Allgemein\[LabSamples2025.xlsx]Bioplastic'!D189)," ",'Q:\Abteilungsprojekte\eng\EngData\AOS\Allgemein\[LabSamples2025.xlsx]Bioplastic'!D189)</f>
        <v/>
      </c>
      <c r="E189">
        <f>IF(ISBLANK('Q:\Abteilungsprojekte\eng\EngData\AOS\Allgemein\[LabSamples2025.xlsx]Bioplastic'!E189)," ",'Q:\Abteilungsprojekte\eng\EngData\AOS\Allgemein\[LabSamples2025.xlsx]Bioplastic'!E189)</f>
        <v/>
      </c>
      <c r="F189">
        <f>IF(ISBLANK('Q:\Abteilungsprojekte\eng\EngData\AOS\Allgemein\[LabSamples2025.xlsx]Bioplastic'!F189)," ",'Q:\Abteilungsprojekte\eng\EngData\AOS\Allgemein\[LabSamples2025.xlsx]Bioplastic'!F189)</f>
        <v/>
      </c>
      <c r="G189">
        <f>IF(ISBLANK('Q:\Abteilungsprojekte\eng\EngData\AOS\Allgemein\[LabSamples2025.xlsx]Bioplastic'!G189)," ",'Q:\Abteilungsprojekte\eng\EngData\AOS\Allgemein\[LabSamples2025.xlsx]Bioplastic'!G189)</f>
        <v/>
      </c>
      <c r="H189">
        <f>IF(ISBLANK('Q:\Abteilungsprojekte\eng\EngData\AOS\Allgemein\[LabSamples2025.xlsx]Bioplastic'!H189)," ",'Q:\Abteilungsprojekte\eng\EngData\AOS\Allgemein\[LabSamples2025.xlsx]Bioplastic'!H189)</f>
        <v/>
      </c>
    </row>
    <row r="190">
      <c r="A190">
        <f>IF(ISBLANK('Q:\Abteilungsprojekte\eng\EngData\AOS\Allgemein\[LabSamples2025.xlsx]Bioplastic'!A190)," ",'Q:\Abteilungsprojekte\eng\EngData\AOS\Allgemein\[LabSamples2025.xlsx]Bioplastic'!A190)</f>
        <v/>
      </c>
      <c r="B190">
        <f>IF(ISBLANK('Q:\Abteilungsprojekte\eng\EngData\AOS\Allgemein\[LabSamples2025.xlsx]Bioplastic'!B190)," ",'Q:\Abteilungsprojekte\eng\EngData\AOS\Allgemein\[LabSamples2025.xlsx]Bioplastic'!B190)</f>
        <v/>
      </c>
      <c r="C190">
        <f>IF(ISBLANK('Q:\Abteilungsprojekte\eng\EngData\AOS\Allgemein\[LabSamples2025.xlsx]Bioplastic'!C190)," ",'Q:\Abteilungsprojekte\eng\EngData\AOS\Allgemein\[LabSamples2025.xlsx]Bioplastic'!C190)</f>
        <v/>
      </c>
      <c r="D190">
        <f>IF(ISBLANK('Q:\Abteilungsprojekte\eng\EngData\AOS\Allgemein\[LabSamples2025.xlsx]Bioplastic'!D190)," ",'Q:\Abteilungsprojekte\eng\EngData\AOS\Allgemein\[LabSamples2025.xlsx]Bioplastic'!D190)</f>
        <v/>
      </c>
      <c r="E190">
        <f>IF(ISBLANK('Q:\Abteilungsprojekte\eng\EngData\AOS\Allgemein\[LabSamples2025.xlsx]Bioplastic'!E190)," ",'Q:\Abteilungsprojekte\eng\EngData\AOS\Allgemein\[LabSamples2025.xlsx]Bioplastic'!E190)</f>
        <v/>
      </c>
      <c r="F190">
        <f>IF(ISBLANK('Q:\Abteilungsprojekte\eng\EngData\AOS\Allgemein\[LabSamples2025.xlsx]Bioplastic'!F190)," ",'Q:\Abteilungsprojekte\eng\EngData\AOS\Allgemein\[LabSamples2025.xlsx]Bioplastic'!F190)</f>
        <v/>
      </c>
      <c r="G190">
        <f>IF(ISBLANK('Q:\Abteilungsprojekte\eng\EngData\AOS\Allgemein\[LabSamples2025.xlsx]Bioplastic'!G190)," ",'Q:\Abteilungsprojekte\eng\EngData\AOS\Allgemein\[LabSamples2025.xlsx]Bioplastic'!G190)</f>
        <v/>
      </c>
      <c r="H190">
        <f>IF(ISBLANK('Q:\Abteilungsprojekte\eng\EngData\AOS\Allgemein\[LabSamples2025.xlsx]Bioplastic'!H190)," ",'Q:\Abteilungsprojekte\eng\EngData\AOS\Allgemein\[LabSamples2025.xlsx]Bioplastic'!H190)</f>
        <v/>
      </c>
    </row>
    <row r="191">
      <c r="A191">
        <f>IF(ISBLANK('Q:\Abteilungsprojekte\eng\EngData\AOS\Allgemein\[LabSamples2025.xlsx]Bioplastic'!A191)," ",'Q:\Abteilungsprojekte\eng\EngData\AOS\Allgemein\[LabSamples2025.xlsx]Bioplastic'!A191)</f>
        <v/>
      </c>
      <c r="B191">
        <f>IF(ISBLANK('Q:\Abteilungsprojekte\eng\EngData\AOS\Allgemein\[LabSamples2025.xlsx]Bioplastic'!B191)," ",'Q:\Abteilungsprojekte\eng\EngData\AOS\Allgemein\[LabSamples2025.xlsx]Bioplastic'!B191)</f>
        <v/>
      </c>
      <c r="C191">
        <f>IF(ISBLANK('Q:\Abteilungsprojekte\eng\EngData\AOS\Allgemein\[LabSamples2025.xlsx]Bioplastic'!C191)," ",'Q:\Abteilungsprojekte\eng\EngData\AOS\Allgemein\[LabSamples2025.xlsx]Bioplastic'!C191)</f>
        <v/>
      </c>
      <c r="D191">
        <f>IF(ISBLANK('Q:\Abteilungsprojekte\eng\EngData\AOS\Allgemein\[LabSamples2025.xlsx]Bioplastic'!D191)," ",'Q:\Abteilungsprojekte\eng\EngData\AOS\Allgemein\[LabSamples2025.xlsx]Bioplastic'!D191)</f>
        <v/>
      </c>
      <c r="E191">
        <f>IF(ISBLANK('Q:\Abteilungsprojekte\eng\EngData\AOS\Allgemein\[LabSamples2025.xlsx]Bioplastic'!E191)," ",'Q:\Abteilungsprojekte\eng\EngData\AOS\Allgemein\[LabSamples2025.xlsx]Bioplastic'!E191)</f>
        <v/>
      </c>
      <c r="F191">
        <f>IF(ISBLANK('Q:\Abteilungsprojekte\eng\EngData\AOS\Allgemein\[LabSamples2025.xlsx]Bioplastic'!F191)," ",'Q:\Abteilungsprojekte\eng\EngData\AOS\Allgemein\[LabSamples2025.xlsx]Bioplastic'!F191)</f>
        <v/>
      </c>
      <c r="G191">
        <f>IF(ISBLANK('Q:\Abteilungsprojekte\eng\EngData\AOS\Allgemein\[LabSamples2025.xlsx]Bioplastic'!G191)," ",'Q:\Abteilungsprojekte\eng\EngData\AOS\Allgemein\[LabSamples2025.xlsx]Bioplastic'!G191)</f>
        <v/>
      </c>
      <c r="H191">
        <f>IF(ISBLANK('Q:\Abteilungsprojekte\eng\EngData\AOS\Allgemein\[LabSamples2025.xlsx]Bioplastic'!H191)," ",'Q:\Abteilungsprojekte\eng\EngData\AOS\Allgemein\[LabSamples2025.xlsx]Bioplastic'!H191)</f>
        <v/>
      </c>
    </row>
    <row r="192">
      <c r="A192">
        <f>IF(ISBLANK('Q:\Abteilungsprojekte\eng\EngData\AOS\Allgemein\[LabSamples2025.xlsx]Bioplastic'!A192)," ",'Q:\Abteilungsprojekte\eng\EngData\AOS\Allgemein\[LabSamples2025.xlsx]Bioplastic'!A192)</f>
        <v/>
      </c>
      <c r="B192">
        <f>IF(ISBLANK('Q:\Abteilungsprojekte\eng\EngData\AOS\Allgemein\[LabSamples2025.xlsx]Bioplastic'!B192)," ",'Q:\Abteilungsprojekte\eng\EngData\AOS\Allgemein\[LabSamples2025.xlsx]Bioplastic'!B192)</f>
        <v/>
      </c>
      <c r="C192">
        <f>IF(ISBLANK('Q:\Abteilungsprojekte\eng\EngData\AOS\Allgemein\[LabSamples2025.xlsx]Bioplastic'!C192)," ",'Q:\Abteilungsprojekte\eng\EngData\AOS\Allgemein\[LabSamples2025.xlsx]Bioplastic'!C192)</f>
        <v/>
      </c>
      <c r="D192">
        <f>IF(ISBLANK('Q:\Abteilungsprojekte\eng\EngData\AOS\Allgemein\[LabSamples2025.xlsx]Bioplastic'!D192)," ",'Q:\Abteilungsprojekte\eng\EngData\AOS\Allgemein\[LabSamples2025.xlsx]Bioplastic'!D192)</f>
        <v/>
      </c>
      <c r="E192">
        <f>IF(ISBLANK('Q:\Abteilungsprojekte\eng\EngData\AOS\Allgemein\[LabSamples2025.xlsx]Bioplastic'!E192)," ",'Q:\Abteilungsprojekte\eng\EngData\AOS\Allgemein\[LabSamples2025.xlsx]Bioplastic'!E192)</f>
        <v/>
      </c>
      <c r="F192">
        <f>IF(ISBLANK('Q:\Abteilungsprojekte\eng\EngData\AOS\Allgemein\[LabSamples2025.xlsx]Bioplastic'!F192)," ",'Q:\Abteilungsprojekte\eng\EngData\AOS\Allgemein\[LabSamples2025.xlsx]Bioplastic'!F192)</f>
        <v/>
      </c>
      <c r="G192">
        <f>IF(ISBLANK('Q:\Abteilungsprojekte\eng\EngData\AOS\Allgemein\[LabSamples2025.xlsx]Bioplastic'!G192)," ",'Q:\Abteilungsprojekte\eng\EngData\AOS\Allgemein\[LabSamples2025.xlsx]Bioplastic'!G192)</f>
        <v/>
      </c>
      <c r="H192">
        <f>IF(ISBLANK('Q:\Abteilungsprojekte\eng\EngData\AOS\Allgemein\[LabSamples2025.xlsx]Bioplastic'!H192)," ",'Q:\Abteilungsprojekte\eng\EngData\AOS\Allgemein\[LabSamples2025.xlsx]Bioplastic'!H192)</f>
        <v/>
      </c>
    </row>
    <row r="193">
      <c r="A193">
        <f>IF(ISBLANK('Q:\Abteilungsprojekte\eng\EngData\AOS\Allgemein\[LabSamples2025.xlsx]Bioplastic'!A193)," ",'Q:\Abteilungsprojekte\eng\EngData\AOS\Allgemein\[LabSamples2025.xlsx]Bioplastic'!A193)</f>
        <v/>
      </c>
      <c r="B193">
        <f>IF(ISBLANK('Q:\Abteilungsprojekte\eng\EngData\AOS\Allgemein\[LabSamples2025.xlsx]Bioplastic'!B193)," ",'Q:\Abteilungsprojekte\eng\EngData\AOS\Allgemein\[LabSamples2025.xlsx]Bioplastic'!B193)</f>
        <v/>
      </c>
      <c r="C193">
        <f>IF(ISBLANK('Q:\Abteilungsprojekte\eng\EngData\AOS\Allgemein\[LabSamples2025.xlsx]Bioplastic'!C193)," ",'Q:\Abteilungsprojekte\eng\EngData\AOS\Allgemein\[LabSamples2025.xlsx]Bioplastic'!C193)</f>
        <v/>
      </c>
      <c r="D193">
        <f>IF(ISBLANK('Q:\Abteilungsprojekte\eng\EngData\AOS\Allgemein\[LabSamples2025.xlsx]Bioplastic'!D193)," ",'Q:\Abteilungsprojekte\eng\EngData\AOS\Allgemein\[LabSamples2025.xlsx]Bioplastic'!D193)</f>
        <v/>
      </c>
      <c r="E193">
        <f>IF(ISBLANK('Q:\Abteilungsprojekte\eng\EngData\AOS\Allgemein\[LabSamples2025.xlsx]Bioplastic'!E193)," ",'Q:\Abteilungsprojekte\eng\EngData\AOS\Allgemein\[LabSamples2025.xlsx]Bioplastic'!E193)</f>
        <v/>
      </c>
      <c r="F193">
        <f>IF(ISBLANK('Q:\Abteilungsprojekte\eng\EngData\AOS\Allgemein\[LabSamples2025.xlsx]Bioplastic'!F193)," ",'Q:\Abteilungsprojekte\eng\EngData\AOS\Allgemein\[LabSamples2025.xlsx]Bioplastic'!F193)</f>
        <v/>
      </c>
      <c r="G193">
        <f>IF(ISBLANK('Q:\Abteilungsprojekte\eng\EngData\AOS\Allgemein\[LabSamples2025.xlsx]Bioplastic'!G193)," ",'Q:\Abteilungsprojekte\eng\EngData\AOS\Allgemein\[LabSamples2025.xlsx]Bioplastic'!G193)</f>
        <v/>
      </c>
      <c r="H193">
        <f>IF(ISBLANK('Q:\Abteilungsprojekte\eng\EngData\AOS\Allgemein\[LabSamples2025.xlsx]Bioplastic'!H193)," ",'Q:\Abteilungsprojekte\eng\EngData\AOS\Allgemein\[LabSamples2025.xlsx]Bioplastic'!H193)</f>
        <v/>
      </c>
    </row>
    <row r="194">
      <c r="A194">
        <f>IF(ISBLANK('Q:\Abteilungsprojekte\eng\EngData\AOS\Allgemein\[LabSamples2025.xlsx]Bioplastic'!A194)," ",'Q:\Abteilungsprojekte\eng\EngData\AOS\Allgemein\[LabSamples2025.xlsx]Bioplastic'!A194)</f>
        <v/>
      </c>
      <c r="B194">
        <f>IF(ISBLANK('Q:\Abteilungsprojekte\eng\EngData\AOS\Allgemein\[LabSamples2025.xlsx]Bioplastic'!B194)," ",'Q:\Abteilungsprojekte\eng\EngData\AOS\Allgemein\[LabSamples2025.xlsx]Bioplastic'!B194)</f>
        <v/>
      </c>
      <c r="C194">
        <f>IF(ISBLANK('Q:\Abteilungsprojekte\eng\EngData\AOS\Allgemein\[LabSamples2025.xlsx]Bioplastic'!C194)," ",'Q:\Abteilungsprojekte\eng\EngData\AOS\Allgemein\[LabSamples2025.xlsx]Bioplastic'!C194)</f>
        <v/>
      </c>
      <c r="D194">
        <f>IF(ISBLANK('Q:\Abteilungsprojekte\eng\EngData\AOS\Allgemein\[LabSamples2025.xlsx]Bioplastic'!D194)," ",'Q:\Abteilungsprojekte\eng\EngData\AOS\Allgemein\[LabSamples2025.xlsx]Bioplastic'!D194)</f>
        <v/>
      </c>
      <c r="E194">
        <f>IF(ISBLANK('Q:\Abteilungsprojekte\eng\EngData\AOS\Allgemein\[LabSamples2025.xlsx]Bioplastic'!E194)," ",'Q:\Abteilungsprojekte\eng\EngData\AOS\Allgemein\[LabSamples2025.xlsx]Bioplastic'!E194)</f>
        <v/>
      </c>
      <c r="F194">
        <f>IF(ISBLANK('Q:\Abteilungsprojekte\eng\EngData\AOS\Allgemein\[LabSamples2025.xlsx]Bioplastic'!F194)," ",'Q:\Abteilungsprojekte\eng\EngData\AOS\Allgemein\[LabSamples2025.xlsx]Bioplastic'!F194)</f>
        <v/>
      </c>
      <c r="G194">
        <f>IF(ISBLANK('Q:\Abteilungsprojekte\eng\EngData\AOS\Allgemein\[LabSamples2025.xlsx]Bioplastic'!G194)," ",'Q:\Abteilungsprojekte\eng\EngData\AOS\Allgemein\[LabSamples2025.xlsx]Bioplastic'!G194)</f>
        <v/>
      </c>
      <c r="H194">
        <f>IF(ISBLANK('Q:\Abteilungsprojekte\eng\EngData\AOS\Allgemein\[LabSamples2025.xlsx]Bioplastic'!H194)," ",'Q:\Abteilungsprojekte\eng\EngData\AOS\Allgemein\[LabSamples2025.xlsx]Bioplastic'!H194)</f>
        <v/>
      </c>
    </row>
    <row r="195">
      <c r="A195">
        <f>IF(ISBLANK('Q:\Abteilungsprojekte\eng\EngData\AOS\Allgemein\[LabSamples2025.xlsx]Bioplastic'!A195)," ",'Q:\Abteilungsprojekte\eng\EngData\AOS\Allgemein\[LabSamples2025.xlsx]Bioplastic'!A195)</f>
        <v/>
      </c>
      <c r="B195">
        <f>IF(ISBLANK('Q:\Abteilungsprojekte\eng\EngData\AOS\Allgemein\[LabSamples2025.xlsx]Bioplastic'!B195)," ",'Q:\Abteilungsprojekte\eng\EngData\AOS\Allgemein\[LabSamples2025.xlsx]Bioplastic'!B195)</f>
        <v/>
      </c>
      <c r="C195">
        <f>IF(ISBLANK('Q:\Abteilungsprojekte\eng\EngData\AOS\Allgemein\[LabSamples2025.xlsx]Bioplastic'!C195)," ",'Q:\Abteilungsprojekte\eng\EngData\AOS\Allgemein\[LabSamples2025.xlsx]Bioplastic'!C195)</f>
        <v/>
      </c>
      <c r="D195">
        <f>IF(ISBLANK('Q:\Abteilungsprojekte\eng\EngData\AOS\Allgemein\[LabSamples2025.xlsx]Bioplastic'!D195)," ",'Q:\Abteilungsprojekte\eng\EngData\AOS\Allgemein\[LabSamples2025.xlsx]Bioplastic'!D195)</f>
        <v/>
      </c>
      <c r="E195">
        <f>IF(ISBLANK('Q:\Abteilungsprojekte\eng\EngData\AOS\Allgemein\[LabSamples2025.xlsx]Bioplastic'!E195)," ",'Q:\Abteilungsprojekte\eng\EngData\AOS\Allgemein\[LabSamples2025.xlsx]Bioplastic'!E195)</f>
        <v/>
      </c>
      <c r="F195">
        <f>IF(ISBLANK('Q:\Abteilungsprojekte\eng\EngData\AOS\Allgemein\[LabSamples2025.xlsx]Bioplastic'!F195)," ",'Q:\Abteilungsprojekte\eng\EngData\AOS\Allgemein\[LabSamples2025.xlsx]Bioplastic'!F195)</f>
        <v/>
      </c>
      <c r="G195">
        <f>IF(ISBLANK('Q:\Abteilungsprojekte\eng\EngData\AOS\Allgemein\[LabSamples2025.xlsx]Bioplastic'!G195)," ",'Q:\Abteilungsprojekte\eng\EngData\AOS\Allgemein\[LabSamples2025.xlsx]Bioplastic'!G195)</f>
        <v/>
      </c>
      <c r="H195">
        <f>IF(ISBLANK('Q:\Abteilungsprojekte\eng\EngData\AOS\Allgemein\[LabSamples2025.xlsx]Bioplastic'!H195)," ",'Q:\Abteilungsprojekte\eng\EngData\AOS\Allgemein\[LabSamples2025.xlsx]Bioplastic'!H195)</f>
        <v/>
      </c>
    </row>
    <row r="196">
      <c r="A196">
        <f>IF(ISBLANK('Q:\Abteilungsprojekte\eng\EngData\AOS\Allgemein\[LabSamples2025.xlsx]Bioplastic'!A196)," ",'Q:\Abteilungsprojekte\eng\EngData\AOS\Allgemein\[LabSamples2025.xlsx]Bioplastic'!A196)</f>
        <v/>
      </c>
      <c r="B196">
        <f>IF(ISBLANK('Q:\Abteilungsprojekte\eng\EngData\AOS\Allgemein\[LabSamples2025.xlsx]Bioplastic'!B196)," ",'Q:\Abteilungsprojekte\eng\EngData\AOS\Allgemein\[LabSamples2025.xlsx]Bioplastic'!B196)</f>
        <v/>
      </c>
      <c r="C196">
        <f>IF(ISBLANK('Q:\Abteilungsprojekte\eng\EngData\AOS\Allgemein\[LabSamples2025.xlsx]Bioplastic'!C196)," ",'Q:\Abteilungsprojekte\eng\EngData\AOS\Allgemein\[LabSamples2025.xlsx]Bioplastic'!C196)</f>
        <v/>
      </c>
      <c r="D196">
        <f>IF(ISBLANK('Q:\Abteilungsprojekte\eng\EngData\AOS\Allgemein\[LabSamples2025.xlsx]Bioplastic'!D196)," ",'Q:\Abteilungsprojekte\eng\EngData\AOS\Allgemein\[LabSamples2025.xlsx]Bioplastic'!D196)</f>
        <v/>
      </c>
      <c r="E196">
        <f>IF(ISBLANK('Q:\Abteilungsprojekte\eng\EngData\AOS\Allgemein\[LabSamples2025.xlsx]Bioplastic'!E196)," ",'Q:\Abteilungsprojekte\eng\EngData\AOS\Allgemein\[LabSamples2025.xlsx]Bioplastic'!E196)</f>
        <v/>
      </c>
      <c r="F196">
        <f>IF(ISBLANK('Q:\Abteilungsprojekte\eng\EngData\AOS\Allgemein\[LabSamples2025.xlsx]Bioplastic'!F196)," ",'Q:\Abteilungsprojekte\eng\EngData\AOS\Allgemein\[LabSamples2025.xlsx]Bioplastic'!F196)</f>
        <v/>
      </c>
      <c r="G196">
        <f>IF(ISBLANK('Q:\Abteilungsprojekte\eng\EngData\AOS\Allgemein\[LabSamples2025.xlsx]Bioplastic'!G196)," ",'Q:\Abteilungsprojekte\eng\EngData\AOS\Allgemein\[LabSamples2025.xlsx]Bioplastic'!G196)</f>
        <v/>
      </c>
      <c r="H196">
        <f>IF(ISBLANK('Q:\Abteilungsprojekte\eng\EngData\AOS\Allgemein\[LabSamples2025.xlsx]Bioplastic'!H196)," ",'Q:\Abteilungsprojekte\eng\EngData\AOS\Allgemein\[LabSamples2025.xlsx]Bioplastic'!H196)</f>
        <v/>
      </c>
    </row>
    <row r="197">
      <c r="A197">
        <f>IF(ISBLANK('Q:\Abteilungsprojekte\eng\EngData\AOS\Allgemein\[LabSamples2025.xlsx]Bioplastic'!A197)," ",'Q:\Abteilungsprojekte\eng\EngData\AOS\Allgemein\[LabSamples2025.xlsx]Bioplastic'!A197)</f>
        <v/>
      </c>
      <c r="B197">
        <f>IF(ISBLANK('Q:\Abteilungsprojekte\eng\EngData\AOS\Allgemein\[LabSamples2025.xlsx]Bioplastic'!B197)," ",'Q:\Abteilungsprojekte\eng\EngData\AOS\Allgemein\[LabSamples2025.xlsx]Bioplastic'!B197)</f>
        <v/>
      </c>
      <c r="C197">
        <f>IF(ISBLANK('Q:\Abteilungsprojekte\eng\EngData\AOS\Allgemein\[LabSamples2025.xlsx]Bioplastic'!C197)," ",'Q:\Abteilungsprojekte\eng\EngData\AOS\Allgemein\[LabSamples2025.xlsx]Bioplastic'!C197)</f>
        <v/>
      </c>
      <c r="D197">
        <f>IF(ISBLANK('Q:\Abteilungsprojekte\eng\EngData\AOS\Allgemein\[LabSamples2025.xlsx]Bioplastic'!D197)," ",'Q:\Abteilungsprojekte\eng\EngData\AOS\Allgemein\[LabSamples2025.xlsx]Bioplastic'!D197)</f>
        <v/>
      </c>
      <c r="E197">
        <f>IF(ISBLANK('Q:\Abteilungsprojekte\eng\EngData\AOS\Allgemein\[LabSamples2025.xlsx]Bioplastic'!E197)," ",'Q:\Abteilungsprojekte\eng\EngData\AOS\Allgemein\[LabSamples2025.xlsx]Bioplastic'!E197)</f>
        <v/>
      </c>
      <c r="F197">
        <f>IF(ISBLANK('Q:\Abteilungsprojekte\eng\EngData\AOS\Allgemein\[LabSamples2025.xlsx]Bioplastic'!F197)," ",'Q:\Abteilungsprojekte\eng\EngData\AOS\Allgemein\[LabSamples2025.xlsx]Bioplastic'!F197)</f>
        <v/>
      </c>
      <c r="G197">
        <f>IF(ISBLANK('Q:\Abteilungsprojekte\eng\EngData\AOS\Allgemein\[LabSamples2025.xlsx]Bioplastic'!G197)," ",'Q:\Abteilungsprojekte\eng\EngData\AOS\Allgemein\[LabSamples2025.xlsx]Bioplastic'!G197)</f>
        <v/>
      </c>
      <c r="H197">
        <f>IF(ISBLANK('Q:\Abteilungsprojekte\eng\EngData\AOS\Allgemein\[LabSamples2025.xlsx]Bioplastic'!H197)," ",'Q:\Abteilungsprojekte\eng\EngData\AOS\Allgemein\[LabSamples2025.xlsx]Bioplastic'!H197)</f>
        <v/>
      </c>
    </row>
    <row r="198">
      <c r="A198">
        <f>IF(ISBLANK('Q:\Abteilungsprojekte\eng\EngData\AOS\Allgemein\[LabSamples2025.xlsx]Bioplastic'!A198)," ",'Q:\Abteilungsprojekte\eng\EngData\AOS\Allgemein\[LabSamples2025.xlsx]Bioplastic'!A198)</f>
        <v/>
      </c>
      <c r="B198">
        <f>IF(ISBLANK('Q:\Abteilungsprojekte\eng\EngData\AOS\Allgemein\[LabSamples2025.xlsx]Bioplastic'!B198)," ",'Q:\Abteilungsprojekte\eng\EngData\AOS\Allgemein\[LabSamples2025.xlsx]Bioplastic'!B198)</f>
        <v/>
      </c>
      <c r="C198">
        <f>IF(ISBLANK('Q:\Abteilungsprojekte\eng\EngData\AOS\Allgemein\[LabSamples2025.xlsx]Bioplastic'!C198)," ",'Q:\Abteilungsprojekte\eng\EngData\AOS\Allgemein\[LabSamples2025.xlsx]Bioplastic'!C198)</f>
        <v/>
      </c>
      <c r="D198">
        <f>IF(ISBLANK('Q:\Abteilungsprojekte\eng\EngData\AOS\Allgemein\[LabSamples2025.xlsx]Bioplastic'!D198)," ",'Q:\Abteilungsprojekte\eng\EngData\AOS\Allgemein\[LabSamples2025.xlsx]Bioplastic'!D198)</f>
        <v/>
      </c>
      <c r="E198">
        <f>IF(ISBLANK('Q:\Abteilungsprojekte\eng\EngData\AOS\Allgemein\[LabSamples2025.xlsx]Bioplastic'!E198)," ",'Q:\Abteilungsprojekte\eng\EngData\AOS\Allgemein\[LabSamples2025.xlsx]Bioplastic'!E198)</f>
        <v/>
      </c>
      <c r="F198">
        <f>IF(ISBLANK('Q:\Abteilungsprojekte\eng\EngData\AOS\Allgemein\[LabSamples2025.xlsx]Bioplastic'!F198)," ",'Q:\Abteilungsprojekte\eng\EngData\AOS\Allgemein\[LabSamples2025.xlsx]Bioplastic'!F198)</f>
        <v/>
      </c>
      <c r="G198">
        <f>IF(ISBLANK('Q:\Abteilungsprojekte\eng\EngData\AOS\Allgemein\[LabSamples2025.xlsx]Bioplastic'!G198)," ",'Q:\Abteilungsprojekte\eng\EngData\AOS\Allgemein\[LabSamples2025.xlsx]Bioplastic'!G198)</f>
        <v/>
      </c>
      <c r="H198">
        <f>IF(ISBLANK('Q:\Abteilungsprojekte\eng\EngData\AOS\Allgemein\[LabSamples2025.xlsx]Bioplastic'!H198)," ",'Q:\Abteilungsprojekte\eng\EngData\AOS\Allgemein\[LabSamples2025.xlsx]Bioplastic'!H198)</f>
        <v/>
      </c>
    </row>
    <row r="199">
      <c r="A199">
        <f>IF(ISBLANK('Q:\Abteilungsprojekte\eng\EngData\AOS\Allgemein\[LabSamples2025.xlsx]Bioplastic'!A199)," ",'Q:\Abteilungsprojekte\eng\EngData\AOS\Allgemein\[LabSamples2025.xlsx]Bioplastic'!A199)</f>
        <v/>
      </c>
      <c r="B199">
        <f>IF(ISBLANK('Q:\Abteilungsprojekte\eng\EngData\AOS\Allgemein\[LabSamples2025.xlsx]Bioplastic'!B199)," ",'Q:\Abteilungsprojekte\eng\EngData\AOS\Allgemein\[LabSamples2025.xlsx]Bioplastic'!B199)</f>
        <v/>
      </c>
      <c r="C199">
        <f>IF(ISBLANK('Q:\Abteilungsprojekte\eng\EngData\AOS\Allgemein\[LabSamples2025.xlsx]Bioplastic'!C199)," ",'Q:\Abteilungsprojekte\eng\EngData\AOS\Allgemein\[LabSamples2025.xlsx]Bioplastic'!C199)</f>
        <v/>
      </c>
      <c r="D199">
        <f>IF(ISBLANK('Q:\Abteilungsprojekte\eng\EngData\AOS\Allgemein\[LabSamples2025.xlsx]Bioplastic'!D199)," ",'Q:\Abteilungsprojekte\eng\EngData\AOS\Allgemein\[LabSamples2025.xlsx]Bioplastic'!D199)</f>
        <v/>
      </c>
      <c r="E199">
        <f>IF(ISBLANK('Q:\Abteilungsprojekte\eng\EngData\AOS\Allgemein\[LabSamples2025.xlsx]Bioplastic'!E199)," ",'Q:\Abteilungsprojekte\eng\EngData\AOS\Allgemein\[LabSamples2025.xlsx]Bioplastic'!E199)</f>
        <v/>
      </c>
      <c r="F199">
        <f>IF(ISBLANK('Q:\Abteilungsprojekte\eng\EngData\AOS\Allgemein\[LabSamples2025.xlsx]Bioplastic'!F199)," ",'Q:\Abteilungsprojekte\eng\EngData\AOS\Allgemein\[LabSamples2025.xlsx]Bioplastic'!F199)</f>
        <v/>
      </c>
      <c r="G199">
        <f>IF(ISBLANK('Q:\Abteilungsprojekte\eng\EngData\AOS\Allgemein\[LabSamples2025.xlsx]Bioplastic'!G199)," ",'Q:\Abteilungsprojekte\eng\EngData\AOS\Allgemein\[LabSamples2025.xlsx]Bioplastic'!G199)</f>
        <v/>
      </c>
      <c r="H199">
        <f>IF(ISBLANK('Q:\Abteilungsprojekte\eng\EngData\AOS\Allgemein\[LabSamples2025.xlsx]Bioplastic'!H199)," ",'Q:\Abteilungsprojekte\eng\EngData\AOS\Allgemein\[LabSamples2025.xlsx]Bioplastic'!H199)</f>
        <v/>
      </c>
    </row>
    <row r="200">
      <c r="A200">
        <f>IF(ISBLANK('Q:\Abteilungsprojekte\eng\EngData\AOS\Allgemein\[LabSamples2025.xlsx]Bioplastic'!A200)," ",'Q:\Abteilungsprojekte\eng\EngData\AOS\Allgemein\[LabSamples2025.xlsx]Bioplastic'!A200)</f>
        <v/>
      </c>
      <c r="B200">
        <f>IF(ISBLANK('Q:\Abteilungsprojekte\eng\EngData\AOS\Allgemein\[LabSamples2025.xlsx]Bioplastic'!B200)," ",'Q:\Abteilungsprojekte\eng\EngData\AOS\Allgemein\[LabSamples2025.xlsx]Bioplastic'!B200)</f>
        <v/>
      </c>
      <c r="C200">
        <f>IF(ISBLANK('Q:\Abteilungsprojekte\eng\EngData\AOS\Allgemein\[LabSamples2025.xlsx]Bioplastic'!C200)," ",'Q:\Abteilungsprojekte\eng\EngData\AOS\Allgemein\[LabSamples2025.xlsx]Bioplastic'!C200)</f>
        <v/>
      </c>
      <c r="D200">
        <f>IF(ISBLANK('Q:\Abteilungsprojekte\eng\EngData\AOS\Allgemein\[LabSamples2025.xlsx]Bioplastic'!D200)," ",'Q:\Abteilungsprojekte\eng\EngData\AOS\Allgemein\[LabSamples2025.xlsx]Bioplastic'!D200)</f>
        <v/>
      </c>
      <c r="E200">
        <f>IF(ISBLANK('Q:\Abteilungsprojekte\eng\EngData\AOS\Allgemein\[LabSamples2025.xlsx]Bioplastic'!E200)," ",'Q:\Abteilungsprojekte\eng\EngData\AOS\Allgemein\[LabSamples2025.xlsx]Bioplastic'!E200)</f>
        <v/>
      </c>
      <c r="F200">
        <f>IF(ISBLANK('Q:\Abteilungsprojekte\eng\EngData\AOS\Allgemein\[LabSamples2025.xlsx]Bioplastic'!F200)," ",'Q:\Abteilungsprojekte\eng\EngData\AOS\Allgemein\[LabSamples2025.xlsx]Bioplastic'!F200)</f>
        <v/>
      </c>
      <c r="G200">
        <f>IF(ISBLANK('Q:\Abteilungsprojekte\eng\EngData\AOS\Allgemein\[LabSamples2025.xlsx]Bioplastic'!G200)," ",'Q:\Abteilungsprojekte\eng\EngData\AOS\Allgemein\[LabSamples2025.xlsx]Bioplastic'!G200)</f>
        <v/>
      </c>
      <c r="H200">
        <f>IF(ISBLANK('Q:\Abteilungsprojekte\eng\EngData\AOS\Allgemein\[LabSamples2025.xlsx]Bioplastic'!H200)," ",'Q:\Abteilungsprojekte\eng\EngData\AOS\Allgemein\[LabSamples2025.xlsx]Bioplastic'!H200)</f>
        <v/>
      </c>
    </row>
    <row r="201">
      <c r="A201">
        <f>IF(ISBLANK('Q:\Abteilungsprojekte\eng\EngData\AOS\Allgemein\[LabSamples2025.xlsx]Bioplastic'!A201)," ",'Q:\Abteilungsprojekte\eng\EngData\AOS\Allgemein\[LabSamples2025.xlsx]Bioplastic'!A201)</f>
        <v/>
      </c>
      <c r="B201">
        <f>IF(ISBLANK('Q:\Abteilungsprojekte\eng\EngData\AOS\Allgemein\[LabSamples2025.xlsx]Bioplastic'!B201)," ",'Q:\Abteilungsprojekte\eng\EngData\AOS\Allgemein\[LabSamples2025.xlsx]Bioplastic'!B201)</f>
        <v/>
      </c>
      <c r="C201">
        <f>IF(ISBLANK('Q:\Abteilungsprojekte\eng\EngData\AOS\Allgemein\[LabSamples2025.xlsx]Bioplastic'!C201)," ",'Q:\Abteilungsprojekte\eng\EngData\AOS\Allgemein\[LabSamples2025.xlsx]Bioplastic'!C201)</f>
        <v/>
      </c>
      <c r="D201">
        <f>IF(ISBLANK('Q:\Abteilungsprojekte\eng\EngData\AOS\Allgemein\[LabSamples2025.xlsx]Bioplastic'!D201)," ",'Q:\Abteilungsprojekte\eng\EngData\AOS\Allgemein\[LabSamples2025.xlsx]Bioplastic'!D201)</f>
        <v/>
      </c>
      <c r="E201">
        <f>IF(ISBLANK('Q:\Abteilungsprojekte\eng\EngData\AOS\Allgemein\[LabSamples2025.xlsx]Bioplastic'!E201)," ",'Q:\Abteilungsprojekte\eng\EngData\AOS\Allgemein\[LabSamples2025.xlsx]Bioplastic'!E201)</f>
        <v/>
      </c>
      <c r="F201">
        <f>IF(ISBLANK('Q:\Abteilungsprojekte\eng\EngData\AOS\Allgemein\[LabSamples2025.xlsx]Bioplastic'!F201)," ",'Q:\Abteilungsprojekte\eng\EngData\AOS\Allgemein\[LabSamples2025.xlsx]Bioplastic'!F201)</f>
        <v/>
      </c>
      <c r="G201">
        <f>IF(ISBLANK('Q:\Abteilungsprojekte\eng\EngData\AOS\Allgemein\[LabSamples2025.xlsx]Bioplastic'!G201)," ",'Q:\Abteilungsprojekte\eng\EngData\AOS\Allgemein\[LabSamples2025.xlsx]Bioplastic'!G201)</f>
        <v/>
      </c>
      <c r="H201">
        <f>IF(ISBLANK('Q:\Abteilungsprojekte\eng\EngData\AOS\Allgemein\[LabSamples2025.xlsx]Bioplastic'!H201)," ",'Q:\Abteilungsprojekte\eng\EngData\AOS\Allgemein\[LabSamples2025.xlsx]Bioplastic'!H201)</f>
        <v/>
      </c>
    </row>
    <row r="202">
      <c r="A202">
        <f>IF(ISBLANK('Q:\Abteilungsprojekte\eng\EngData\AOS\Allgemein\[LabSamples2025.xlsx]Bioplastic'!A202)," ",'Q:\Abteilungsprojekte\eng\EngData\AOS\Allgemein\[LabSamples2025.xlsx]Bioplastic'!A202)</f>
        <v/>
      </c>
      <c r="B202">
        <f>IF(ISBLANK('Q:\Abteilungsprojekte\eng\EngData\AOS\Allgemein\[LabSamples2025.xlsx]Bioplastic'!B202)," ",'Q:\Abteilungsprojekte\eng\EngData\AOS\Allgemein\[LabSamples2025.xlsx]Bioplastic'!B202)</f>
        <v/>
      </c>
      <c r="C202">
        <f>IF(ISBLANK('Q:\Abteilungsprojekte\eng\EngData\AOS\Allgemein\[LabSamples2025.xlsx]Bioplastic'!C202)," ",'Q:\Abteilungsprojekte\eng\EngData\AOS\Allgemein\[LabSamples2025.xlsx]Bioplastic'!C202)</f>
        <v/>
      </c>
      <c r="D202">
        <f>IF(ISBLANK('Q:\Abteilungsprojekte\eng\EngData\AOS\Allgemein\[LabSamples2025.xlsx]Bioplastic'!D202)," ",'Q:\Abteilungsprojekte\eng\EngData\AOS\Allgemein\[LabSamples2025.xlsx]Bioplastic'!D202)</f>
        <v/>
      </c>
      <c r="E202">
        <f>IF(ISBLANK('Q:\Abteilungsprojekte\eng\EngData\AOS\Allgemein\[LabSamples2025.xlsx]Bioplastic'!E202)," ",'Q:\Abteilungsprojekte\eng\EngData\AOS\Allgemein\[LabSamples2025.xlsx]Bioplastic'!E202)</f>
        <v/>
      </c>
      <c r="F202">
        <f>IF(ISBLANK('Q:\Abteilungsprojekte\eng\EngData\AOS\Allgemein\[LabSamples2025.xlsx]Bioplastic'!F202)," ",'Q:\Abteilungsprojekte\eng\EngData\AOS\Allgemein\[LabSamples2025.xlsx]Bioplastic'!F202)</f>
        <v/>
      </c>
      <c r="G202">
        <f>IF(ISBLANK('Q:\Abteilungsprojekte\eng\EngData\AOS\Allgemein\[LabSamples2025.xlsx]Bioplastic'!G202)," ",'Q:\Abteilungsprojekte\eng\EngData\AOS\Allgemein\[LabSamples2025.xlsx]Bioplastic'!G202)</f>
        <v/>
      </c>
      <c r="H202">
        <f>IF(ISBLANK('Q:\Abteilungsprojekte\eng\EngData\AOS\Allgemein\[LabSamples2025.xlsx]Bioplastic'!H202)," ",'Q:\Abteilungsprojekte\eng\EngData\AOS\Allgemein\[LabSamples2025.xlsx]Bioplastic'!H202)</f>
        <v/>
      </c>
    </row>
    <row r="203">
      <c r="A203">
        <f>IF(ISBLANK('Q:\Abteilungsprojekte\eng\EngData\AOS\Allgemein\[LabSamples2025.xlsx]Bioplastic'!A203)," ",'Q:\Abteilungsprojekte\eng\EngData\AOS\Allgemein\[LabSamples2025.xlsx]Bioplastic'!A203)</f>
        <v/>
      </c>
      <c r="B203">
        <f>IF(ISBLANK('Q:\Abteilungsprojekte\eng\EngData\AOS\Allgemein\[LabSamples2025.xlsx]Bioplastic'!B203)," ",'Q:\Abteilungsprojekte\eng\EngData\AOS\Allgemein\[LabSamples2025.xlsx]Bioplastic'!B203)</f>
        <v/>
      </c>
      <c r="C203">
        <f>IF(ISBLANK('Q:\Abteilungsprojekte\eng\EngData\AOS\Allgemein\[LabSamples2025.xlsx]Bioplastic'!C203)," ",'Q:\Abteilungsprojekte\eng\EngData\AOS\Allgemein\[LabSamples2025.xlsx]Bioplastic'!C203)</f>
        <v/>
      </c>
      <c r="D203">
        <f>IF(ISBLANK('Q:\Abteilungsprojekte\eng\EngData\AOS\Allgemein\[LabSamples2025.xlsx]Bioplastic'!D203)," ",'Q:\Abteilungsprojekte\eng\EngData\AOS\Allgemein\[LabSamples2025.xlsx]Bioplastic'!D203)</f>
        <v/>
      </c>
      <c r="E203">
        <f>IF(ISBLANK('Q:\Abteilungsprojekte\eng\EngData\AOS\Allgemein\[LabSamples2025.xlsx]Bioplastic'!E203)," ",'Q:\Abteilungsprojekte\eng\EngData\AOS\Allgemein\[LabSamples2025.xlsx]Bioplastic'!E203)</f>
        <v/>
      </c>
      <c r="F203">
        <f>IF(ISBLANK('Q:\Abteilungsprojekte\eng\EngData\AOS\Allgemein\[LabSamples2025.xlsx]Bioplastic'!F203)," ",'Q:\Abteilungsprojekte\eng\EngData\AOS\Allgemein\[LabSamples2025.xlsx]Bioplastic'!F203)</f>
        <v/>
      </c>
      <c r="G203">
        <f>IF(ISBLANK('Q:\Abteilungsprojekte\eng\EngData\AOS\Allgemein\[LabSamples2025.xlsx]Bioplastic'!G203)," ",'Q:\Abteilungsprojekte\eng\EngData\AOS\Allgemein\[LabSamples2025.xlsx]Bioplastic'!G203)</f>
        <v/>
      </c>
      <c r="H203">
        <f>IF(ISBLANK('Q:\Abteilungsprojekte\eng\EngData\AOS\Allgemein\[LabSamples2025.xlsx]Bioplastic'!H203)," ",'Q:\Abteilungsprojekte\eng\EngData\AOS\Allgemein\[LabSamples2025.xlsx]Bioplastic'!H203)</f>
        <v/>
      </c>
    </row>
    <row r="204">
      <c r="A204">
        <f>IF(ISBLANK('Q:\Abteilungsprojekte\eng\EngData\AOS\Allgemein\[LabSamples2025.xlsx]Bioplastic'!A204)," ",'Q:\Abteilungsprojekte\eng\EngData\AOS\Allgemein\[LabSamples2025.xlsx]Bioplastic'!A204)</f>
        <v/>
      </c>
      <c r="B204">
        <f>IF(ISBLANK('Q:\Abteilungsprojekte\eng\EngData\AOS\Allgemein\[LabSamples2025.xlsx]Bioplastic'!B204)," ",'Q:\Abteilungsprojekte\eng\EngData\AOS\Allgemein\[LabSamples2025.xlsx]Bioplastic'!B204)</f>
        <v/>
      </c>
      <c r="C204">
        <f>IF(ISBLANK('Q:\Abteilungsprojekte\eng\EngData\AOS\Allgemein\[LabSamples2025.xlsx]Bioplastic'!C204)," ",'Q:\Abteilungsprojekte\eng\EngData\AOS\Allgemein\[LabSamples2025.xlsx]Bioplastic'!C204)</f>
        <v/>
      </c>
      <c r="D204">
        <f>IF(ISBLANK('Q:\Abteilungsprojekte\eng\EngData\AOS\Allgemein\[LabSamples2025.xlsx]Bioplastic'!D204)," ",'Q:\Abteilungsprojekte\eng\EngData\AOS\Allgemein\[LabSamples2025.xlsx]Bioplastic'!D204)</f>
        <v/>
      </c>
      <c r="E204">
        <f>IF(ISBLANK('Q:\Abteilungsprojekte\eng\EngData\AOS\Allgemein\[LabSamples2025.xlsx]Bioplastic'!E204)," ",'Q:\Abteilungsprojekte\eng\EngData\AOS\Allgemein\[LabSamples2025.xlsx]Bioplastic'!E204)</f>
        <v/>
      </c>
      <c r="F204">
        <f>IF(ISBLANK('Q:\Abteilungsprojekte\eng\EngData\AOS\Allgemein\[LabSamples2025.xlsx]Bioplastic'!F204)," ",'Q:\Abteilungsprojekte\eng\EngData\AOS\Allgemein\[LabSamples2025.xlsx]Bioplastic'!F204)</f>
        <v/>
      </c>
      <c r="G204">
        <f>IF(ISBLANK('Q:\Abteilungsprojekte\eng\EngData\AOS\Allgemein\[LabSamples2025.xlsx]Bioplastic'!G204)," ",'Q:\Abteilungsprojekte\eng\EngData\AOS\Allgemein\[LabSamples2025.xlsx]Bioplastic'!G204)</f>
        <v/>
      </c>
      <c r="H204">
        <f>IF(ISBLANK('Q:\Abteilungsprojekte\eng\EngData\AOS\Allgemein\[LabSamples2025.xlsx]Bioplastic'!H204)," ",'Q:\Abteilungsprojekte\eng\EngData\AOS\Allgemein\[LabSamples2025.xlsx]Bioplastic'!H204)</f>
        <v/>
      </c>
    </row>
    <row r="205">
      <c r="A205">
        <f>IF(ISBLANK('Q:\Abteilungsprojekte\eng\EngData\AOS\Allgemein\[LabSamples2025.xlsx]Bioplastic'!A205)," ",'Q:\Abteilungsprojekte\eng\EngData\AOS\Allgemein\[LabSamples2025.xlsx]Bioplastic'!A205)</f>
        <v/>
      </c>
      <c r="B205">
        <f>IF(ISBLANK('Q:\Abteilungsprojekte\eng\EngData\AOS\Allgemein\[LabSamples2025.xlsx]Bioplastic'!B205)," ",'Q:\Abteilungsprojekte\eng\EngData\AOS\Allgemein\[LabSamples2025.xlsx]Bioplastic'!B205)</f>
        <v/>
      </c>
      <c r="C205">
        <f>IF(ISBLANK('Q:\Abteilungsprojekte\eng\EngData\AOS\Allgemein\[LabSamples2025.xlsx]Bioplastic'!C205)," ",'Q:\Abteilungsprojekte\eng\EngData\AOS\Allgemein\[LabSamples2025.xlsx]Bioplastic'!C205)</f>
        <v/>
      </c>
      <c r="D205">
        <f>IF(ISBLANK('Q:\Abteilungsprojekte\eng\EngData\AOS\Allgemein\[LabSamples2025.xlsx]Bioplastic'!D205)," ",'Q:\Abteilungsprojekte\eng\EngData\AOS\Allgemein\[LabSamples2025.xlsx]Bioplastic'!D205)</f>
        <v/>
      </c>
      <c r="E205">
        <f>IF(ISBLANK('Q:\Abteilungsprojekte\eng\EngData\AOS\Allgemein\[LabSamples2025.xlsx]Bioplastic'!E205)," ",'Q:\Abteilungsprojekte\eng\EngData\AOS\Allgemein\[LabSamples2025.xlsx]Bioplastic'!E205)</f>
        <v/>
      </c>
      <c r="F205">
        <f>IF(ISBLANK('Q:\Abteilungsprojekte\eng\EngData\AOS\Allgemein\[LabSamples2025.xlsx]Bioplastic'!F205)," ",'Q:\Abteilungsprojekte\eng\EngData\AOS\Allgemein\[LabSamples2025.xlsx]Bioplastic'!F205)</f>
        <v/>
      </c>
      <c r="G205">
        <f>IF(ISBLANK('Q:\Abteilungsprojekte\eng\EngData\AOS\Allgemein\[LabSamples2025.xlsx]Bioplastic'!G205)," ",'Q:\Abteilungsprojekte\eng\EngData\AOS\Allgemein\[LabSamples2025.xlsx]Bioplastic'!G205)</f>
        <v/>
      </c>
      <c r="H205">
        <f>IF(ISBLANK('Q:\Abteilungsprojekte\eng\EngData\AOS\Allgemein\[LabSamples2025.xlsx]Bioplastic'!H205)," ",'Q:\Abteilungsprojekte\eng\EngData\AOS\Allgemein\[LabSamples2025.xlsx]Bioplastic'!H205)</f>
        <v/>
      </c>
    </row>
    <row r="206">
      <c r="A206">
        <f>IF(ISBLANK('Q:\Abteilungsprojekte\eng\EngData\AOS\Allgemein\[LabSamples2025.xlsx]Bioplastic'!A206)," ",'Q:\Abteilungsprojekte\eng\EngData\AOS\Allgemein\[LabSamples2025.xlsx]Bioplastic'!A206)</f>
        <v/>
      </c>
      <c r="B206">
        <f>IF(ISBLANK('Q:\Abteilungsprojekte\eng\EngData\AOS\Allgemein\[LabSamples2025.xlsx]Bioplastic'!B206)," ",'Q:\Abteilungsprojekte\eng\EngData\AOS\Allgemein\[LabSamples2025.xlsx]Bioplastic'!B206)</f>
        <v/>
      </c>
      <c r="C206">
        <f>IF(ISBLANK('Q:\Abteilungsprojekte\eng\EngData\AOS\Allgemein\[LabSamples2025.xlsx]Bioplastic'!C206)," ",'Q:\Abteilungsprojekte\eng\EngData\AOS\Allgemein\[LabSamples2025.xlsx]Bioplastic'!C206)</f>
        <v/>
      </c>
      <c r="D206">
        <f>IF(ISBLANK('Q:\Abteilungsprojekte\eng\EngData\AOS\Allgemein\[LabSamples2025.xlsx]Bioplastic'!D206)," ",'Q:\Abteilungsprojekte\eng\EngData\AOS\Allgemein\[LabSamples2025.xlsx]Bioplastic'!D206)</f>
        <v/>
      </c>
      <c r="E206">
        <f>IF(ISBLANK('Q:\Abteilungsprojekte\eng\EngData\AOS\Allgemein\[LabSamples2025.xlsx]Bioplastic'!E206)," ",'Q:\Abteilungsprojekte\eng\EngData\AOS\Allgemein\[LabSamples2025.xlsx]Bioplastic'!E206)</f>
        <v/>
      </c>
      <c r="F206">
        <f>IF(ISBLANK('Q:\Abteilungsprojekte\eng\EngData\AOS\Allgemein\[LabSamples2025.xlsx]Bioplastic'!F206)," ",'Q:\Abteilungsprojekte\eng\EngData\AOS\Allgemein\[LabSamples2025.xlsx]Bioplastic'!F206)</f>
        <v/>
      </c>
      <c r="G206">
        <f>IF(ISBLANK('Q:\Abteilungsprojekte\eng\EngData\AOS\Allgemein\[LabSamples2025.xlsx]Bioplastic'!G206)," ",'Q:\Abteilungsprojekte\eng\EngData\AOS\Allgemein\[LabSamples2025.xlsx]Bioplastic'!G206)</f>
        <v/>
      </c>
      <c r="H206">
        <f>IF(ISBLANK('Q:\Abteilungsprojekte\eng\EngData\AOS\Allgemein\[LabSamples2025.xlsx]Bioplastic'!H206)," ",'Q:\Abteilungsprojekte\eng\EngData\AOS\Allgemein\[LabSamples2025.xlsx]Bioplastic'!H206)</f>
        <v/>
      </c>
    </row>
    <row r="207">
      <c r="A207">
        <f>IF(ISBLANK('Q:\Abteilungsprojekte\eng\EngData\AOS\Allgemein\[LabSamples2025.xlsx]Bioplastic'!A207)," ",'Q:\Abteilungsprojekte\eng\EngData\AOS\Allgemein\[LabSamples2025.xlsx]Bioplastic'!A207)</f>
        <v/>
      </c>
      <c r="B207">
        <f>IF(ISBLANK('Q:\Abteilungsprojekte\eng\EngData\AOS\Allgemein\[LabSamples2025.xlsx]Bioplastic'!B207)," ",'Q:\Abteilungsprojekte\eng\EngData\AOS\Allgemein\[LabSamples2025.xlsx]Bioplastic'!B207)</f>
        <v/>
      </c>
      <c r="C207">
        <f>IF(ISBLANK('Q:\Abteilungsprojekte\eng\EngData\AOS\Allgemein\[LabSamples2025.xlsx]Bioplastic'!C207)," ",'Q:\Abteilungsprojekte\eng\EngData\AOS\Allgemein\[LabSamples2025.xlsx]Bioplastic'!C207)</f>
        <v/>
      </c>
      <c r="D207">
        <f>IF(ISBLANK('Q:\Abteilungsprojekte\eng\EngData\AOS\Allgemein\[LabSamples2025.xlsx]Bioplastic'!D207)," ",'Q:\Abteilungsprojekte\eng\EngData\AOS\Allgemein\[LabSamples2025.xlsx]Bioplastic'!D207)</f>
        <v/>
      </c>
      <c r="E207">
        <f>IF(ISBLANK('Q:\Abteilungsprojekte\eng\EngData\AOS\Allgemein\[LabSamples2025.xlsx]Bioplastic'!E207)," ",'Q:\Abteilungsprojekte\eng\EngData\AOS\Allgemein\[LabSamples2025.xlsx]Bioplastic'!E207)</f>
        <v/>
      </c>
      <c r="F207">
        <f>IF(ISBLANK('Q:\Abteilungsprojekte\eng\EngData\AOS\Allgemein\[LabSamples2025.xlsx]Bioplastic'!F207)," ",'Q:\Abteilungsprojekte\eng\EngData\AOS\Allgemein\[LabSamples2025.xlsx]Bioplastic'!F207)</f>
        <v/>
      </c>
      <c r="G207">
        <f>IF(ISBLANK('Q:\Abteilungsprojekte\eng\EngData\AOS\Allgemein\[LabSamples2025.xlsx]Bioplastic'!G207)," ",'Q:\Abteilungsprojekte\eng\EngData\AOS\Allgemein\[LabSamples2025.xlsx]Bioplastic'!G207)</f>
        <v/>
      </c>
      <c r="H207">
        <f>IF(ISBLANK('Q:\Abteilungsprojekte\eng\EngData\AOS\Allgemein\[LabSamples2025.xlsx]Bioplastic'!H207)," ",'Q:\Abteilungsprojekte\eng\EngData\AOS\Allgemein\[LabSamples2025.xlsx]Bioplastic'!H207)</f>
        <v/>
      </c>
    </row>
    <row r="208">
      <c r="A208">
        <f>IF(ISBLANK('Q:\Abteilungsprojekte\eng\EngData\AOS\Allgemein\[LabSamples2025.xlsx]Bioplastic'!A208)," ",'Q:\Abteilungsprojekte\eng\EngData\AOS\Allgemein\[LabSamples2025.xlsx]Bioplastic'!A208)</f>
        <v/>
      </c>
      <c r="B208">
        <f>IF(ISBLANK('Q:\Abteilungsprojekte\eng\EngData\AOS\Allgemein\[LabSamples2025.xlsx]Bioplastic'!B208)," ",'Q:\Abteilungsprojekte\eng\EngData\AOS\Allgemein\[LabSamples2025.xlsx]Bioplastic'!B208)</f>
        <v/>
      </c>
      <c r="C208">
        <f>IF(ISBLANK('Q:\Abteilungsprojekte\eng\EngData\AOS\Allgemein\[LabSamples2025.xlsx]Bioplastic'!C208)," ",'Q:\Abteilungsprojekte\eng\EngData\AOS\Allgemein\[LabSamples2025.xlsx]Bioplastic'!C208)</f>
        <v/>
      </c>
      <c r="D208">
        <f>IF(ISBLANK('Q:\Abteilungsprojekte\eng\EngData\AOS\Allgemein\[LabSamples2025.xlsx]Bioplastic'!D208)," ",'Q:\Abteilungsprojekte\eng\EngData\AOS\Allgemein\[LabSamples2025.xlsx]Bioplastic'!D208)</f>
        <v/>
      </c>
      <c r="E208">
        <f>IF(ISBLANK('Q:\Abteilungsprojekte\eng\EngData\AOS\Allgemein\[LabSamples2025.xlsx]Bioplastic'!E208)," ",'Q:\Abteilungsprojekte\eng\EngData\AOS\Allgemein\[LabSamples2025.xlsx]Bioplastic'!E208)</f>
        <v/>
      </c>
      <c r="F208">
        <f>IF(ISBLANK('Q:\Abteilungsprojekte\eng\EngData\AOS\Allgemein\[LabSamples2025.xlsx]Bioplastic'!F208)," ",'Q:\Abteilungsprojekte\eng\EngData\AOS\Allgemein\[LabSamples2025.xlsx]Bioplastic'!F208)</f>
        <v/>
      </c>
      <c r="G208">
        <f>IF(ISBLANK('Q:\Abteilungsprojekte\eng\EngData\AOS\Allgemein\[LabSamples2025.xlsx]Bioplastic'!G208)," ",'Q:\Abteilungsprojekte\eng\EngData\AOS\Allgemein\[LabSamples2025.xlsx]Bioplastic'!G208)</f>
        <v/>
      </c>
      <c r="H208">
        <f>IF(ISBLANK('Q:\Abteilungsprojekte\eng\EngData\AOS\Allgemein\[LabSamples2025.xlsx]Bioplastic'!H208)," ",'Q:\Abteilungsprojekte\eng\EngData\AOS\Allgemein\[LabSamples2025.xlsx]Bioplastic'!H208)</f>
        <v/>
      </c>
    </row>
    <row r="209">
      <c r="A209">
        <f>IF(ISBLANK('Q:\Abteilungsprojekte\eng\EngData\AOS\Allgemein\[LabSamples2025.xlsx]Bioplastic'!A209)," ",'Q:\Abteilungsprojekte\eng\EngData\AOS\Allgemein\[LabSamples2025.xlsx]Bioplastic'!A209)</f>
        <v/>
      </c>
      <c r="B209">
        <f>IF(ISBLANK('Q:\Abteilungsprojekte\eng\EngData\AOS\Allgemein\[LabSamples2025.xlsx]Bioplastic'!B209)," ",'Q:\Abteilungsprojekte\eng\EngData\AOS\Allgemein\[LabSamples2025.xlsx]Bioplastic'!B209)</f>
        <v/>
      </c>
      <c r="C209">
        <f>IF(ISBLANK('Q:\Abteilungsprojekte\eng\EngData\AOS\Allgemein\[LabSamples2025.xlsx]Bioplastic'!C209)," ",'Q:\Abteilungsprojekte\eng\EngData\AOS\Allgemein\[LabSamples2025.xlsx]Bioplastic'!C209)</f>
        <v/>
      </c>
      <c r="D209">
        <f>IF(ISBLANK('Q:\Abteilungsprojekte\eng\EngData\AOS\Allgemein\[LabSamples2025.xlsx]Bioplastic'!D209)," ",'Q:\Abteilungsprojekte\eng\EngData\AOS\Allgemein\[LabSamples2025.xlsx]Bioplastic'!D209)</f>
        <v/>
      </c>
      <c r="E209">
        <f>IF(ISBLANK('Q:\Abteilungsprojekte\eng\EngData\AOS\Allgemein\[LabSamples2025.xlsx]Bioplastic'!E209)," ",'Q:\Abteilungsprojekte\eng\EngData\AOS\Allgemein\[LabSamples2025.xlsx]Bioplastic'!E209)</f>
        <v/>
      </c>
      <c r="F209">
        <f>IF(ISBLANK('Q:\Abteilungsprojekte\eng\EngData\AOS\Allgemein\[LabSamples2025.xlsx]Bioplastic'!F209)," ",'Q:\Abteilungsprojekte\eng\EngData\AOS\Allgemein\[LabSamples2025.xlsx]Bioplastic'!F209)</f>
        <v/>
      </c>
      <c r="G209">
        <f>IF(ISBLANK('Q:\Abteilungsprojekte\eng\EngData\AOS\Allgemein\[LabSamples2025.xlsx]Bioplastic'!G209)," ",'Q:\Abteilungsprojekte\eng\EngData\AOS\Allgemein\[LabSamples2025.xlsx]Bioplastic'!G209)</f>
        <v/>
      </c>
      <c r="H209">
        <f>IF(ISBLANK('Q:\Abteilungsprojekte\eng\EngData\AOS\Allgemein\[LabSamples2025.xlsx]Bioplastic'!H209)," ",'Q:\Abteilungsprojekte\eng\EngData\AOS\Allgemein\[LabSamples2025.xlsx]Bioplastic'!H209)</f>
        <v/>
      </c>
    </row>
    <row r="210">
      <c r="A210">
        <f>IF(ISBLANK('Q:\Abteilungsprojekte\eng\EngData\AOS\Allgemein\[LabSamples2025.xlsx]Bioplastic'!A210)," ",'Q:\Abteilungsprojekte\eng\EngData\AOS\Allgemein\[LabSamples2025.xlsx]Bioplastic'!A210)</f>
        <v/>
      </c>
      <c r="B210">
        <f>IF(ISBLANK('Q:\Abteilungsprojekte\eng\EngData\AOS\Allgemein\[LabSamples2025.xlsx]Bioplastic'!B210)," ",'Q:\Abteilungsprojekte\eng\EngData\AOS\Allgemein\[LabSamples2025.xlsx]Bioplastic'!B210)</f>
        <v/>
      </c>
      <c r="C210">
        <f>IF(ISBLANK('Q:\Abteilungsprojekte\eng\EngData\AOS\Allgemein\[LabSamples2025.xlsx]Bioplastic'!C210)," ",'Q:\Abteilungsprojekte\eng\EngData\AOS\Allgemein\[LabSamples2025.xlsx]Bioplastic'!C210)</f>
        <v/>
      </c>
      <c r="D210">
        <f>IF(ISBLANK('Q:\Abteilungsprojekte\eng\EngData\AOS\Allgemein\[LabSamples2025.xlsx]Bioplastic'!D210)," ",'Q:\Abteilungsprojekte\eng\EngData\AOS\Allgemein\[LabSamples2025.xlsx]Bioplastic'!D210)</f>
        <v/>
      </c>
      <c r="E210">
        <f>IF(ISBLANK('Q:\Abteilungsprojekte\eng\EngData\AOS\Allgemein\[LabSamples2025.xlsx]Bioplastic'!E210)," ",'Q:\Abteilungsprojekte\eng\EngData\AOS\Allgemein\[LabSamples2025.xlsx]Bioplastic'!E210)</f>
        <v/>
      </c>
      <c r="F210">
        <f>IF(ISBLANK('Q:\Abteilungsprojekte\eng\EngData\AOS\Allgemein\[LabSamples2025.xlsx]Bioplastic'!F210)," ",'Q:\Abteilungsprojekte\eng\EngData\AOS\Allgemein\[LabSamples2025.xlsx]Bioplastic'!F210)</f>
        <v/>
      </c>
      <c r="G210">
        <f>IF(ISBLANK('Q:\Abteilungsprojekte\eng\EngData\AOS\Allgemein\[LabSamples2025.xlsx]Bioplastic'!G210)," ",'Q:\Abteilungsprojekte\eng\EngData\AOS\Allgemein\[LabSamples2025.xlsx]Bioplastic'!G210)</f>
        <v/>
      </c>
      <c r="H210">
        <f>IF(ISBLANK('Q:\Abteilungsprojekte\eng\EngData\AOS\Allgemein\[LabSamples2025.xlsx]Bioplastic'!H210)," ",'Q:\Abteilungsprojekte\eng\EngData\AOS\Allgemein\[LabSamples2025.xlsx]Bioplastic'!H210)</f>
        <v/>
      </c>
    </row>
    <row r="211">
      <c r="A211">
        <f>IF(ISBLANK('Q:\Abteilungsprojekte\eng\EngData\AOS\Allgemein\[LabSamples2025.xlsx]Bioplastic'!A211)," ",'Q:\Abteilungsprojekte\eng\EngData\AOS\Allgemein\[LabSamples2025.xlsx]Bioplastic'!A211)</f>
        <v/>
      </c>
      <c r="B211">
        <f>IF(ISBLANK('Q:\Abteilungsprojekte\eng\EngData\AOS\Allgemein\[LabSamples2025.xlsx]Bioplastic'!B211)," ",'Q:\Abteilungsprojekte\eng\EngData\AOS\Allgemein\[LabSamples2025.xlsx]Bioplastic'!B211)</f>
        <v/>
      </c>
      <c r="C211">
        <f>IF(ISBLANK('Q:\Abteilungsprojekte\eng\EngData\AOS\Allgemein\[LabSamples2025.xlsx]Bioplastic'!C211)," ",'Q:\Abteilungsprojekte\eng\EngData\AOS\Allgemein\[LabSamples2025.xlsx]Bioplastic'!C211)</f>
        <v/>
      </c>
      <c r="D211">
        <f>IF(ISBLANK('Q:\Abteilungsprojekte\eng\EngData\AOS\Allgemein\[LabSamples2025.xlsx]Bioplastic'!D211)," ",'Q:\Abteilungsprojekte\eng\EngData\AOS\Allgemein\[LabSamples2025.xlsx]Bioplastic'!D211)</f>
        <v/>
      </c>
      <c r="E211">
        <f>IF(ISBLANK('Q:\Abteilungsprojekte\eng\EngData\AOS\Allgemein\[LabSamples2025.xlsx]Bioplastic'!E211)," ",'Q:\Abteilungsprojekte\eng\EngData\AOS\Allgemein\[LabSamples2025.xlsx]Bioplastic'!E211)</f>
        <v/>
      </c>
      <c r="F211">
        <f>IF(ISBLANK('Q:\Abteilungsprojekte\eng\EngData\AOS\Allgemein\[LabSamples2025.xlsx]Bioplastic'!F211)," ",'Q:\Abteilungsprojekte\eng\EngData\AOS\Allgemein\[LabSamples2025.xlsx]Bioplastic'!F211)</f>
        <v/>
      </c>
      <c r="G211">
        <f>IF(ISBLANK('Q:\Abteilungsprojekte\eng\EngData\AOS\Allgemein\[LabSamples2025.xlsx]Bioplastic'!G211)," ",'Q:\Abteilungsprojekte\eng\EngData\AOS\Allgemein\[LabSamples2025.xlsx]Bioplastic'!G211)</f>
        <v/>
      </c>
      <c r="H211">
        <f>IF(ISBLANK('Q:\Abteilungsprojekte\eng\EngData\AOS\Allgemein\[LabSamples2025.xlsx]Bioplastic'!H211)," ",'Q:\Abteilungsprojekte\eng\EngData\AOS\Allgemein\[LabSamples2025.xlsx]Bioplastic'!H211)</f>
        <v/>
      </c>
    </row>
    <row r="212">
      <c r="A212">
        <f>IF(ISBLANK('Q:\Abteilungsprojekte\eng\EngData\AOS\Allgemein\[LabSamples2025.xlsx]Bioplastic'!A212)," ",'Q:\Abteilungsprojekte\eng\EngData\AOS\Allgemein\[LabSamples2025.xlsx]Bioplastic'!A212)</f>
        <v/>
      </c>
      <c r="B212">
        <f>IF(ISBLANK('Q:\Abteilungsprojekte\eng\EngData\AOS\Allgemein\[LabSamples2025.xlsx]Bioplastic'!B212)," ",'Q:\Abteilungsprojekte\eng\EngData\AOS\Allgemein\[LabSamples2025.xlsx]Bioplastic'!B212)</f>
        <v/>
      </c>
      <c r="C212">
        <f>IF(ISBLANK('Q:\Abteilungsprojekte\eng\EngData\AOS\Allgemein\[LabSamples2025.xlsx]Bioplastic'!C212)," ",'Q:\Abteilungsprojekte\eng\EngData\AOS\Allgemein\[LabSamples2025.xlsx]Bioplastic'!C212)</f>
        <v/>
      </c>
      <c r="D212">
        <f>IF(ISBLANK('Q:\Abteilungsprojekte\eng\EngData\AOS\Allgemein\[LabSamples2025.xlsx]Bioplastic'!D212)," ",'Q:\Abteilungsprojekte\eng\EngData\AOS\Allgemein\[LabSamples2025.xlsx]Bioplastic'!D212)</f>
        <v/>
      </c>
      <c r="E212">
        <f>IF(ISBLANK('Q:\Abteilungsprojekte\eng\EngData\AOS\Allgemein\[LabSamples2025.xlsx]Bioplastic'!E212)," ",'Q:\Abteilungsprojekte\eng\EngData\AOS\Allgemein\[LabSamples2025.xlsx]Bioplastic'!E212)</f>
        <v/>
      </c>
      <c r="F212">
        <f>IF(ISBLANK('Q:\Abteilungsprojekte\eng\EngData\AOS\Allgemein\[LabSamples2025.xlsx]Bioplastic'!F212)," ",'Q:\Abteilungsprojekte\eng\EngData\AOS\Allgemein\[LabSamples2025.xlsx]Bioplastic'!F212)</f>
        <v/>
      </c>
      <c r="G212">
        <f>IF(ISBLANK('Q:\Abteilungsprojekte\eng\EngData\AOS\Allgemein\[LabSamples2025.xlsx]Bioplastic'!G212)," ",'Q:\Abteilungsprojekte\eng\EngData\AOS\Allgemein\[LabSamples2025.xlsx]Bioplastic'!G212)</f>
        <v/>
      </c>
      <c r="H212">
        <f>IF(ISBLANK('Q:\Abteilungsprojekte\eng\EngData\AOS\Allgemein\[LabSamples2025.xlsx]Bioplastic'!H212)," ",'Q:\Abteilungsprojekte\eng\EngData\AOS\Allgemein\[LabSamples2025.xlsx]Bioplastic'!H212)</f>
        <v/>
      </c>
    </row>
    <row r="213">
      <c r="A213">
        <f>IF(ISBLANK('Q:\Abteilungsprojekte\eng\EngData\AOS\Allgemein\[LabSamples2025.xlsx]Bioplastic'!A213)," ",'Q:\Abteilungsprojekte\eng\EngData\AOS\Allgemein\[LabSamples2025.xlsx]Bioplastic'!A213)</f>
        <v/>
      </c>
      <c r="B213">
        <f>IF(ISBLANK('Q:\Abteilungsprojekte\eng\EngData\AOS\Allgemein\[LabSamples2025.xlsx]Bioplastic'!B213)," ",'Q:\Abteilungsprojekte\eng\EngData\AOS\Allgemein\[LabSamples2025.xlsx]Bioplastic'!B213)</f>
        <v/>
      </c>
      <c r="C213">
        <f>IF(ISBLANK('Q:\Abteilungsprojekte\eng\EngData\AOS\Allgemein\[LabSamples2025.xlsx]Bioplastic'!C213)," ",'Q:\Abteilungsprojekte\eng\EngData\AOS\Allgemein\[LabSamples2025.xlsx]Bioplastic'!C213)</f>
        <v/>
      </c>
      <c r="D213">
        <f>IF(ISBLANK('Q:\Abteilungsprojekte\eng\EngData\AOS\Allgemein\[LabSamples2025.xlsx]Bioplastic'!D213)," ",'Q:\Abteilungsprojekte\eng\EngData\AOS\Allgemein\[LabSamples2025.xlsx]Bioplastic'!D213)</f>
        <v/>
      </c>
      <c r="E213">
        <f>IF(ISBLANK('Q:\Abteilungsprojekte\eng\EngData\AOS\Allgemein\[LabSamples2025.xlsx]Bioplastic'!E213)," ",'Q:\Abteilungsprojekte\eng\EngData\AOS\Allgemein\[LabSamples2025.xlsx]Bioplastic'!E213)</f>
        <v/>
      </c>
      <c r="F213">
        <f>IF(ISBLANK('Q:\Abteilungsprojekte\eng\EngData\AOS\Allgemein\[LabSamples2025.xlsx]Bioplastic'!F213)," ",'Q:\Abteilungsprojekte\eng\EngData\AOS\Allgemein\[LabSamples2025.xlsx]Bioplastic'!F213)</f>
        <v/>
      </c>
      <c r="G213">
        <f>IF(ISBLANK('Q:\Abteilungsprojekte\eng\EngData\AOS\Allgemein\[LabSamples2025.xlsx]Bioplastic'!G213)," ",'Q:\Abteilungsprojekte\eng\EngData\AOS\Allgemein\[LabSamples2025.xlsx]Bioplastic'!G213)</f>
        <v/>
      </c>
      <c r="H213">
        <f>IF(ISBLANK('Q:\Abteilungsprojekte\eng\EngData\AOS\Allgemein\[LabSamples2025.xlsx]Bioplastic'!H213)," ",'Q:\Abteilungsprojekte\eng\EngData\AOS\Allgemein\[LabSamples2025.xlsx]Bioplastic'!H213)</f>
        <v/>
      </c>
    </row>
    <row r="214">
      <c r="A214">
        <f>IF(ISBLANK('Q:\Abteilungsprojekte\eng\EngData\AOS\Allgemein\[LabSamples2025.xlsx]Bioplastic'!A214)," ",'Q:\Abteilungsprojekte\eng\EngData\AOS\Allgemein\[LabSamples2025.xlsx]Bioplastic'!A214)</f>
        <v/>
      </c>
      <c r="B214">
        <f>IF(ISBLANK('Q:\Abteilungsprojekte\eng\EngData\AOS\Allgemein\[LabSamples2025.xlsx]Bioplastic'!B214)," ",'Q:\Abteilungsprojekte\eng\EngData\AOS\Allgemein\[LabSamples2025.xlsx]Bioplastic'!B214)</f>
        <v/>
      </c>
      <c r="C214">
        <f>IF(ISBLANK('Q:\Abteilungsprojekte\eng\EngData\AOS\Allgemein\[LabSamples2025.xlsx]Bioplastic'!C214)," ",'Q:\Abteilungsprojekte\eng\EngData\AOS\Allgemein\[LabSamples2025.xlsx]Bioplastic'!C214)</f>
        <v/>
      </c>
      <c r="D214">
        <f>IF(ISBLANK('Q:\Abteilungsprojekte\eng\EngData\AOS\Allgemein\[LabSamples2025.xlsx]Bioplastic'!D214)," ",'Q:\Abteilungsprojekte\eng\EngData\AOS\Allgemein\[LabSamples2025.xlsx]Bioplastic'!D214)</f>
        <v/>
      </c>
      <c r="E214">
        <f>IF(ISBLANK('Q:\Abteilungsprojekte\eng\EngData\AOS\Allgemein\[LabSamples2025.xlsx]Bioplastic'!E214)," ",'Q:\Abteilungsprojekte\eng\EngData\AOS\Allgemein\[LabSamples2025.xlsx]Bioplastic'!E214)</f>
        <v/>
      </c>
      <c r="F214">
        <f>IF(ISBLANK('Q:\Abteilungsprojekte\eng\EngData\AOS\Allgemein\[LabSamples2025.xlsx]Bioplastic'!F214)," ",'Q:\Abteilungsprojekte\eng\EngData\AOS\Allgemein\[LabSamples2025.xlsx]Bioplastic'!F214)</f>
        <v/>
      </c>
      <c r="G214">
        <f>IF(ISBLANK('Q:\Abteilungsprojekte\eng\EngData\AOS\Allgemein\[LabSamples2025.xlsx]Bioplastic'!G214)," ",'Q:\Abteilungsprojekte\eng\EngData\AOS\Allgemein\[LabSamples2025.xlsx]Bioplastic'!G214)</f>
        <v/>
      </c>
      <c r="H214">
        <f>IF(ISBLANK('Q:\Abteilungsprojekte\eng\EngData\AOS\Allgemein\[LabSamples2025.xlsx]Bioplastic'!H214)," ",'Q:\Abteilungsprojekte\eng\EngData\AOS\Allgemein\[LabSamples2025.xlsx]Bioplastic'!H214)</f>
        <v/>
      </c>
    </row>
    <row r="215">
      <c r="A215">
        <f>IF(ISBLANK('Q:\Abteilungsprojekte\eng\EngData\AOS\Allgemein\[LabSamples2025.xlsx]Bioplastic'!A215)," ",'Q:\Abteilungsprojekte\eng\EngData\AOS\Allgemein\[LabSamples2025.xlsx]Bioplastic'!A215)</f>
        <v/>
      </c>
      <c r="B215">
        <f>IF(ISBLANK('Q:\Abteilungsprojekte\eng\EngData\AOS\Allgemein\[LabSamples2025.xlsx]Bioplastic'!B215)," ",'Q:\Abteilungsprojekte\eng\EngData\AOS\Allgemein\[LabSamples2025.xlsx]Bioplastic'!B215)</f>
        <v/>
      </c>
      <c r="C215">
        <f>IF(ISBLANK('Q:\Abteilungsprojekte\eng\EngData\AOS\Allgemein\[LabSamples2025.xlsx]Bioplastic'!C215)," ",'Q:\Abteilungsprojekte\eng\EngData\AOS\Allgemein\[LabSamples2025.xlsx]Bioplastic'!C215)</f>
        <v/>
      </c>
      <c r="D215">
        <f>IF(ISBLANK('Q:\Abteilungsprojekte\eng\EngData\AOS\Allgemein\[LabSamples2025.xlsx]Bioplastic'!D215)," ",'Q:\Abteilungsprojekte\eng\EngData\AOS\Allgemein\[LabSamples2025.xlsx]Bioplastic'!D215)</f>
        <v/>
      </c>
      <c r="E215">
        <f>IF(ISBLANK('Q:\Abteilungsprojekte\eng\EngData\AOS\Allgemein\[LabSamples2025.xlsx]Bioplastic'!E215)," ",'Q:\Abteilungsprojekte\eng\EngData\AOS\Allgemein\[LabSamples2025.xlsx]Bioplastic'!E215)</f>
        <v/>
      </c>
      <c r="F215">
        <f>IF(ISBLANK('Q:\Abteilungsprojekte\eng\EngData\AOS\Allgemein\[LabSamples2025.xlsx]Bioplastic'!F215)," ",'Q:\Abteilungsprojekte\eng\EngData\AOS\Allgemein\[LabSamples2025.xlsx]Bioplastic'!F215)</f>
        <v/>
      </c>
      <c r="G215">
        <f>IF(ISBLANK('Q:\Abteilungsprojekte\eng\EngData\AOS\Allgemein\[LabSamples2025.xlsx]Bioplastic'!G215)," ",'Q:\Abteilungsprojekte\eng\EngData\AOS\Allgemein\[LabSamples2025.xlsx]Bioplastic'!G215)</f>
        <v/>
      </c>
      <c r="H215">
        <f>IF(ISBLANK('Q:\Abteilungsprojekte\eng\EngData\AOS\Allgemein\[LabSamples2025.xlsx]Bioplastic'!H215)," ",'Q:\Abteilungsprojekte\eng\EngData\AOS\Allgemein\[LabSamples2025.xlsx]Bioplastic'!H215)</f>
        <v/>
      </c>
    </row>
    <row r="216">
      <c r="A216">
        <f>IF(ISBLANK('Q:\Abteilungsprojekte\eng\EngData\AOS\Allgemein\[LabSamples2025.xlsx]Bioplastic'!A216)," ",'Q:\Abteilungsprojekte\eng\EngData\AOS\Allgemein\[LabSamples2025.xlsx]Bioplastic'!A216)</f>
        <v/>
      </c>
      <c r="B216">
        <f>IF(ISBLANK('Q:\Abteilungsprojekte\eng\EngData\AOS\Allgemein\[LabSamples2025.xlsx]Bioplastic'!B216)," ",'Q:\Abteilungsprojekte\eng\EngData\AOS\Allgemein\[LabSamples2025.xlsx]Bioplastic'!B216)</f>
        <v/>
      </c>
      <c r="C216">
        <f>IF(ISBLANK('Q:\Abteilungsprojekte\eng\EngData\AOS\Allgemein\[LabSamples2025.xlsx]Bioplastic'!C216)," ",'Q:\Abteilungsprojekte\eng\EngData\AOS\Allgemein\[LabSamples2025.xlsx]Bioplastic'!C216)</f>
        <v/>
      </c>
      <c r="D216">
        <f>IF(ISBLANK('Q:\Abteilungsprojekte\eng\EngData\AOS\Allgemein\[LabSamples2025.xlsx]Bioplastic'!D216)," ",'Q:\Abteilungsprojekte\eng\EngData\AOS\Allgemein\[LabSamples2025.xlsx]Bioplastic'!D216)</f>
        <v/>
      </c>
      <c r="E216">
        <f>IF(ISBLANK('Q:\Abteilungsprojekte\eng\EngData\AOS\Allgemein\[LabSamples2025.xlsx]Bioplastic'!E216)," ",'Q:\Abteilungsprojekte\eng\EngData\AOS\Allgemein\[LabSamples2025.xlsx]Bioplastic'!E216)</f>
        <v/>
      </c>
      <c r="F216">
        <f>IF(ISBLANK('Q:\Abteilungsprojekte\eng\EngData\AOS\Allgemein\[LabSamples2025.xlsx]Bioplastic'!F216)," ",'Q:\Abteilungsprojekte\eng\EngData\AOS\Allgemein\[LabSamples2025.xlsx]Bioplastic'!F216)</f>
        <v/>
      </c>
      <c r="G216">
        <f>IF(ISBLANK('Q:\Abteilungsprojekte\eng\EngData\AOS\Allgemein\[LabSamples2025.xlsx]Bioplastic'!G216)," ",'Q:\Abteilungsprojekte\eng\EngData\AOS\Allgemein\[LabSamples2025.xlsx]Bioplastic'!G216)</f>
        <v/>
      </c>
      <c r="H216">
        <f>IF(ISBLANK('Q:\Abteilungsprojekte\eng\EngData\AOS\Allgemein\[LabSamples2025.xlsx]Bioplastic'!H216)," ",'Q:\Abteilungsprojekte\eng\EngData\AOS\Allgemein\[LabSamples2025.xlsx]Bioplastic'!H216)</f>
        <v/>
      </c>
    </row>
    <row r="217">
      <c r="A217">
        <f>IF(ISBLANK('Q:\Abteilungsprojekte\eng\EngData\AOS\Allgemein\[LabSamples2025.xlsx]Bioplastic'!A217)," ",'Q:\Abteilungsprojekte\eng\EngData\AOS\Allgemein\[LabSamples2025.xlsx]Bioplastic'!A217)</f>
        <v/>
      </c>
      <c r="B217">
        <f>IF(ISBLANK('Q:\Abteilungsprojekte\eng\EngData\AOS\Allgemein\[LabSamples2025.xlsx]Bioplastic'!B217)," ",'Q:\Abteilungsprojekte\eng\EngData\AOS\Allgemein\[LabSamples2025.xlsx]Bioplastic'!B217)</f>
        <v/>
      </c>
      <c r="C217">
        <f>IF(ISBLANK('Q:\Abteilungsprojekte\eng\EngData\AOS\Allgemein\[LabSamples2025.xlsx]Bioplastic'!C217)," ",'Q:\Abteilungsprojekte\eng\EngData\AOS\Allgemein\[LabSamples2025.xlsx]Bioplastic'!C217)</f>
        <v/>
      </c>
      <c r="D217">
        <f>IF(ISBLANK('Q:\Abteilungsprojekte\eng\EngData\AOS\Allgemein\[LabSamples2025.xlsx]Bioplastic'!D217)," ",'Q:\Abteilungsprojekte\eng\EngData\AOS\Allgemein\[LabSamples2025.xlsx]Bioplastic'!D217)</f>
        <v/>
      </c>
      <c r="E217">
        <f>IF(ISBLANK('Q:\Abteilungsprojekte\eng\EngData\AOS\Allgemein\[LabSamples2025.xlsx]Bioplastic'!E217)," ",'Q:\Abteilungsprojekte\eng\EngData\AOS\Allgemein\[LabSamples2025.xlsx]Bioplastic'!E217)</f>
        <v/>
      </c>
      <c r="F217">
        <f>IF(ISBLANK('Q:\Abteilungsprojekte\eng\EngData\AOS\Allgemein\[LabSamples2025.xlsx]Bioplastic'!F217)," ",'Q:\Abteilungsprojekte\eng\EngData\AOS\Allgemein\[LabSamples2025.xlsx]Bioplastic'!F217)</f>
        <v/>
      </c>
      <c r="G217">
        <f>IF(ISBLANK('Q:\Abteilungsprojekte\eng\EngData\AOS\Allgemein\[LabSamples2025.xlsx]Bioplastic'!G217)," ",'Q:\Abteilungsprojekte\eng\EngData\AOS\Allgemein\[LabSamples2025.xlsx]Bioplastic'!G217)</f>
        <v/>
      </c>
      <c r="H217">
        <f>IF(ISBLANK('Q:\Abteilungsprojekte\eng\EngData\AOS\Allgemein\[LabSamples2025.xlsx]Bioplastic'!H217)," ",'Q:\Abteilungsprojekte\eng\EngData\AOS\Allgemein\[LabSamples2025.xlsx]Bioplastic'!H217)</f>
        <v/>
      </c>
    </row>
    <row r="218">
      <c r="A218">
        <f>IF(ISBLANK('Q:\Abteilungsprojekte\eng\EngData\AOS\Allgemein\[LabSamples2025.xlsx]Bioplastic'!A218)," ",'Q:\Abteilungsprojekte\eng\EngData\AOS\Allgemein\[LabSamples2025.xlsx]Bioplastic'!A218)</f>
        <v/>
      </c>
      <c r="B218">
        <f>IF(ISBLANK('Q:\Abteilungsprojekte\eng\EngData\AOS\Allgemein\[LabSamples2025.xlsx]Bioplastic'!B218)," ",'Q:\Abteilungsprojekte\eng\EngData\AOS\Allgemein\[LabSamples2025.xlsx]Bioplastic'!B218)</f>
        <v/>
      </c>
      <c r="C218">
        <f>IF(ISBLANK('Q:\Abteilungsprojekte\eng\EngData\AOS\Allgemein\[LabSamples2025.xlsx]Bioplastic'!C218)," ",'Q:\Abteilungsprojekte\eng\EngData\AOS\Allgemein\[LabSamples2025.xlsx]Bioplastic'!C218)</f>
        <v/>
      </c>
      <c r="D218">
        <f>IF(ISBLANK('Q:\Abteilungsprojekte\eng\EngData\AOS\Allgemein\[LabSamples2025.xlsx]Bioplastic'!D218)," ",'Q:\Abteilungsprojekte\eng\EngData\AOS\Allgemein\[LabSamples2025.xlsx]Bioplastic'!D218)</f>
        <v/>
      </c>
      <c r="E218">
        <f>IF(ISBLANK('Q:\Abteilungsprojekte\eng\EngData\AOS\Allgemein\[LabSamples2025.xlsx]Bioplastic'!E218)," ",'Q:\Abteilungsprojekte\eng\EngData\AOS\Allgemein\[LabSamples2025.xlsx]Bioplastic'!E218)</f>
        <v/>
      </c>
      <c r="F218">
        <f>IF(ISBLANK('Q:\Abteilungsprojekte\eng\EngData\AOS\Allgemein\[LabSamples2025.xlsx]Bioplastic'!F218)," ",'Q:\Abteilungsprojekte\eng\EngData\AOS\Allgemein\[LabSamples2025.xlsx]Bioplastic'!F218)</f>
        <v/>
      </c>
      <c r="G218">
        <f>IF(ISBLANK('Q:\Abteilungsprojekte\eng\EngData\AOS\Allgemein\[LabSamples2025.xlsx]Bioplastic'!G218)," ",'Q:\Abteilungsprojekte\eng\EngData\AOS\Allgemein\[LabSamples2025.xlsx]Bioplastic'!G218)</f>
        <v/>
      </c>
      <c r="H218">
        <f>IF(ISBLANK('Q:\Abteilungsprojekte\eng\EngData\AOS\Allgemein\[LabSamples2025.xlsx]Bioplastic'!H218)," ",'Q:\Abteilungsprojekte\eng\EngData\AOS\Allgemein\[LabSamples2025.xlsx]Bioplastic'!H218)</f>
        <v/>
      </c>
    </row>
    <row r="219">
      <c r="A219">
        <f>IF(ISBLANK('Q:\Abteilungsprojekte\eng\EngData\AOS\Allgemein\[LabSamples2025.xlsx]Bioplastic'!A219)," ",'Q:\Abteilungsprojekte\eng\EngData\AOS\Allgemein\[LabSamples2025.xlsx]Bioplastic'!A219)</f>
        <v/>
      </c>
      <c r="B219">
        <f>IF(ISBLANK('Q:\Abteilungsprojekte\eng\EngData\AOS\Allgemein\[LabSamples2025.xlsx]Bioplastic'!B219)," ",'Q:\Abteilungsprojekte\eng\EngData\AOS\Allgemein\[LabSamples2025.xlsx]Bioplastic'!B219)</f>
        <v/>
      </c>
      <c r="C219">
        <f>IF(ISBLANK('Q:\Abteilungsprojekte\eng\EngData\AOS\Allgemein\[LabSamples2025.xlsx]Bioplastic'!C219)," ",'Q:\Abteilungsprojekte\eng\EngData\AOS\Allgemein\[LabSamples2025.xlsx]Bioplastic'!C219)</f>
        <v/>
      </c>
      <c r="D219">
        <f>IF(ISBLANK('Q:\Abteilungsprojekte\eng\EngData\AOS\Allgemein\[LabSamples2025.xlsx]Bioplastic'!D219)," ",'Q:\Abteilungsprojekte\eng\EngData\AOS\Allgemein\[LabSamples2025.xlsx]Bioplastic'!D219)</f>
        <v/>
      </c>
      <c r="E219">
        <f>IF(ISBLANK('Q:\Abteilungsprojekte\eng\EngData\AOS\Allgemein\[LabSamples2025.xlsx]Bioplastic'!E219)," ",'Q:\Abteilungsprojekte\eng\EngData\AOS\Allgemein\[LabSamples2025.xlsx]Bioplastic'!E219)</f>
        <v/>
      </c>
      <c r="F219">
        <f>IF(ISBLANK('Q:\Abteilungsprojekte\eng\EngData\AOS\Allgemein\[LabSamples2025.xlsx]Bioplastic'!F219)," ",'Q:\Abteilungsprojekte\eng\EngData\AOS\Allgemein\[LabSamples2025.xlsx]Bioplastic'!F219)</f>
        <v/>
      </c>
      <c r="G219">
        <f>IF(ISBLANK('Q:\Abteilungsprojekte\eng\EngData\AOS\Allgemein\[LabSamples2025.xlsx]Bioplastic'!G219)," ",'Q:\Abteilungsprojekte\eng\EngData\AOS\Allgemein\[LabSamples2025.xlsx]Bioplastic'!G219)</f>
        <v/>
      </c>
      <c r="H219">
        <f>IF(ISBLANK('Q:\Abteilungsprojekte\eng\EngData\AOS\Allgemein\[LabSamples2025.xlsx]Bioplastic'!H219)," ",'Q:\Abteilungsprojekte\eng\EngData\AOS\Allgemein\[LabSamples2025.xlsx]Bioplastic'!H219)</f>
        <v/>
      </c>
    </row>
    <row r="220">
      <c r="A220">
        <f>IF(ISBLANK('Q:\Abteilungsprojekte\eng\EngData\AOS\Allgemein\[LabSamples2025.xlsx]Bioplastic'!A220)," ",'Q:\Abteilungsprojekte\eng\EngData\AOS\Allgemein\[LabSamples2025.xlsx]Bioplastic'!A220)</f>
        <v/>
      </c>
      <c r="B220">
        <f>IF(ISBLANK('Q:\Abteilungsprojekte\eng\EngData\AOS\Allgemein\[LabSamples2025.xlsx]Bioplastic'!B220)," ",'Q:\Abteilungsprojekte\eng\EngData\AOS\Allgemein\[LabSamples2025.xlsx]Bioplastic'!B220)</f>
        <v/>
      </c>
      <c r="C220">
        <f>IF(ISBLANK('Q:\Abteilungsprojekte\eng\EngData\AOS\Allgemein\[LabSamples2025.xlsx]Bioplastic'!C220)," ",'Q:\Abteilungsprojekte\eng\EngData\AOS\Allgemein\[LabSamples2025.xlsx]Bioplastic'!C220)</f>
        <v/>
      </c>
      <c r="D220">
        <f>IF(ISBLANK('Q:\Abteilungsprojekte\eng\EngData\AOS\Allgemein\[LabSamples2025.xlsx]Bioplastic'!D220)," ",'Q:\Abteilungsprojekte\eng\EngData\AOS\Allgemein\[LabSamples2025.xlsx]Bioplastic'!D220)</f>
        <v/>
      </c>
      <c r="E220">
        <f>IF(ISBLANK('Q:\Abteilungsprojekte\eng\EngData\AOS\Allgemein\[LabSamples2025.xlsx]Bioplastic'!E220)," ",'Q:\Abteilungsprojekte\eng\EngData\AOS\Allgemein\[LabSamples2025.xlsx]Bioplastic'!E220)</f>
        <v/>
      </c>
      <c r="F220">
        <f>IF(ISBLANK('Q:\Abteilungsprojekte\eng\EngData\AOS\Allgemein\[LabSamples2025.xlsx]Bioplastic'!F220)," ",'Q:\Abteilungsprojekte\eng\EngData\AOS\Allgemein\[LabSamples2025.xlsx]Bioplastic'!F220)</f>
        <v/>
      </c>
      <c r="G220">
        <f>IF(ISBLANK('Q:\Abteilungsprojekte\eng\EngData\AOS\Allgemein\[LabSamples2025.xlsx]Bioplastic'!G220)," ",'Q:\Abteilungsprojekte\eng\EngData\AOS\Allgemein\[LabSamples2025.xlsx]Bioplastic'!G220)</f>
        <v/>
      </c>
      <c r="H220">
        <f>IF(ISBLANK('Q:\Abteilungsprojekte\eng\EngData\AOS\Allgemein\[LabSamples2025.xlsx]Bioplastic'!H220)," ",'Q:\Abteilungsprojekte\eng\EngData\AOS\Allgemein\[LabSamples2025.xlsx]Bioplastic'!H220)</f>
        <v/>
      </c>
    </row>
    <row r="221">
      <c r="A221">
        <f>IF(ISBLANK('Q:\Abteilungsprojekte\eng\EngData\AOS\Allgemein\[LabSamples2025.xlsx]Bioplastic'!A221)," ",'Q:\Abteilungsprojekte\eng\EngData\AOS\Allgemein\[LabSamples2025.xlsx]Bioplastic'!A221)</f>
        <v/>
      </c>
      <c r="B221">
        <f>IF(ISBLANK('Q:\Abteilungsprojekte\eng\EngData\AOS\Allgemein\[LabSamples2025.xlsx]Bioplastic'!B221)," ",'Q:\Abteilungsprojekte\eng\EngData\AOS\Allgemein\[LabSamples2025.xlsx]Bioplastic'!B221)</f>
        <v/>
      </c>
      <c r="C221">
        <f>IF(ISBLANK('Q:\Abteilungsprojekte\eng\EngData\AOS\Allgemein\[LabSamples2025.xlsx]Bioplastic'!C221)," ",'Q:\Abteilungsprojekte\eng\EngData\AOS\Allgemein\[LabSamples2025.xlsx]Bioplastic'!C221)</f>
        <v/>
      </c>
      <c r="D221">
        <f>IF(ISBLANK('Q:\Abteilungsprojekte\eng\EngData\AOS\Allgemein\[LabSamples2025.xlsx]Bioplastic'!D221)," ",'Q:\Abteilungsprojekte\eng\EngData\AOS\Allgemein\[LabSamples2025.xlsx]Bioplastic'!D221)</f>
        <v/>
      </c>
      <c r="E221">
        <f>IF(ISBLANK('Q:\Abteilungsprojekte\eng\EngData\AOS\Allgemein\[LabSamples2025.xlsx]Bioplastic'!E221)," ",'Q:\Abteilungsprojekte\eng\EngData\AOS\Allgemein\[LabSamples2025.xlsx]Bioplastic'!E221)</f>
        <v/>
      </c>
      <c r="F221">
        <f>IF(ISBLANK('Q:\Abteilungsprojekte\eng\EngData\AOS\Allgemein\[LabSamples2025.xlsx]Bioplastic'!F221)," ",'Q:\Abteilungsprojekte\eng\EngData\AOS\Allgemein\[LabSamples2025.xlsx]Bioplastic'!F221)</f>
        <v/>
      </c>
      <c r="G221">
        <f>IF(ISBLANK('Q:\Abteilungsprojekte\eng\EngData\AOS\Allgemein\[LabSamples2025.xlsx]Bioplastic'!G221)," ",'Q:\Abteilungsprojekte\eng\EngData\AOS\Allgemein\[LabSamples2025.xlsx]Bioplastic'!G221)</f>
        <v/>
      </c>
      <c r="H221">
        <f>IF(ISBLANK('Q:\Abteilungsprojekte\eng\EngData\AOS\Allgemein\[LabSamples2025.xlsx]Bioplastic'!H221)," ",'Q:\Abteilungsprojekte\eng\EngData\AOS\Allgemein\[LabSamples2025.xlsx]Bioplastic'!H221)</f>
        <v/>
      </c>
    </row>
    <row r="222">
      <c r="A222">
        <f>IF(ISBLANK('Q:\Abteilungsprojekte\eng\EngData\AOS\Allgemein\[LabSamples2025.xlsx]Bioplastic'!A222)," ",'Q:\Abteilungsprojekte\eng\EngData\AOS\Allgemein\[LabSamples2025.xlsx]Bioplastic'!A222)</f>
        <v/>
      </c>
      <c r="B222">
        <f>IF(ISBLANK('Q:\Abteilungsprojekte\eng\EngData\AOS\Allgemein\[LabSamples2025.xlsx]Bioplastic'!B222)," ",'Q:\Abteilungsprojekte\eng\EngData\AOS\Allgemein\[LabSamples2025.xlsx]Bioplastic'!B222)</f>
        <v/>
      </c>
      <c r="C222">
        <f>IF(ISBLANK('Q:\Abteilungsprojekte\eng\EngData\AOS\Allgemein\[LabSamples2025.xlsx]Bioplastic'!C222)," ",'Q:\Abteilungsprojekte\eng\EngData\AOS\Allgemein\[LabSamples2025.xlsx]Bioplastic'!C222)</f>
        <v/>
      </c>
      <c r="D222">
        <f>IF(ISBLANK('Q:\Abteilungsprojekte\eng\EngData\AOS\Allgemein\[LabSamples2025.xlsx]Bioplastic'!D222)," ",'Q:\Abteilungsprojekte\eng\EngData\AOS\Allgemein\[LabSamples2025.xlsx]Bioplastic'!D222)</f>
        <v/>
      </c>
      <c r="E222">
        <f>IF(ISBLANK('Q:\Abteilungsprojekte\eng\EngData\AOS\Allgemein\[LabSamples2025.xlsx]Bioplastic'!E222)," ",'Q:\Abteilungsprojekte\eng\EngData\AOS\Allgemein\[LabSamples2025.xlsx]Bioplastic'!E222)</f>
        <v/>
      </c>
      <c r="F222">
        <f>IF(ISBLANK('Q:\Abteilungsprojekte\eng\EngData\AOS\Allgemein\[LabSamples2025.xlsx]Bioplastic'!F222)," ",'Q:\Abteilungsprojekte\eng\EngData\AOS\Allgemein\[LabSamples2025.xlsx]Bioplastic'!F222)</f>
        <v/>
      </c>
      <c r="G222">
        <f>IF(ISBLANK('Q:\Abteilungsprojekte\eng\EngData\AOS\Allgemein\[LabSamples2025.xlsx]Bioplastic'!G222)," ",'Q:\Abteilungsprojekte\eng\EngData\AOS\Allgemein\[LabSamples2025.xlsx]Bioplastic'!G222)</f>
        <v/>
      </c>
      <c r="H222">
        <f>IF(ISBLANK('Q:\Abteilungsprojekte\eng\EngData\AOS\Allgemein\[LabSamples2025.xlsx]Bioplastic'!H222)," ",'Q:\Abteilungsprojekte\eng\EngData\AOS\Allgemein\[LabSamples2025.xlsx]Bioplastic'!H222)</f>
        <v/>
      </c>
    </row>
    <row r="223">
      <c r="A223">
        <f>IF(ISBLANK('Q:\Abteilungsprojekte\eng\EngData\AOS\Allgemein\[LabSamples2025.xlsx]Bioplastic'!A223)," ",'Q:\Abteilungsprojekte\eng\EngData\AOS\Allgemein\[LabSamples2025.xlsx]Bioplastic'!A223)</f>
        <v/>
      </c>
      <c r="B223">
        <f>IF(ISBLANK('Q:\Abteilungsprojekte\eng\EngData\AOS\Allgemein\[LabSamples2025.xlsx]Bioplastic'!B223)," ",'Q:\Abteilungsprojekte\eng\EngData\AOS\Allgemein\[LabSamples2025.xlsx]Bioplastic'!B223)</f>
        <v/>
      </c>
      <c r="C223">
        <f>IF(ISBLANK('Q:\Abteilungsprojekte\eng\EngData\AOS\Allgemein\[LabSamples2025.xlsx]Bioplastic'!C223)," ",'Q:\Abteilungsprojekte\eng\EngData\AOS\Allgemein\[LabSamples2025.xlsx]Bioplastic'!C223)</f>
        <v/>
      </c>
      <c r="D223">
        <f>IF(ISBLANK('Q:\Abteilungsprojekte\eng\EngData\AOS\Allgemein\[LabSamples2025.xlsx]Bioplastic'!D223)," ",'Q:\Abteilungsprojekte\eng\EngData\AOS\Allgemein\[LabSamples2025.xlsx]Bioplastic'!D223)</f>
        <v/>
      </c>
      <c r="E223">
        <f>IF(ISBLANK('Q:\Abteilungsprojekte\eng\EngData\AOS\Allgemein\[LabSamples2025.xlsx]Bioplastic'!E223)," ",'Q:\Abteilungsprojekte\eng\EngData\AOS\Allgemein\[LabSamples2025.xlsx]Bioplastic'!E223)</f>
        <v/>
      </c>
      <c r="F223">
        <f>IF(ISBLANK('Q:\Abteilungsprojekte\eng\EngData\AOS\Allgemein\[LabSamples2025.xlsx]Bioplastic'!F223)," ",'Q:\Abteilungsprojekte\eng\EngData\AOS\Allgemein\[LabSamples2025.xlsx]Bioplastic'!F223)</f>
        <v/>
      </c>
      <c r="G223">
        <f>IF(ISBLANK('Q:\Abteilungsprojekte\eng\EngData\AOS\Allgemein\[LabSamples2025.xlsx]Bioplastic'!G223)," ",'Q:\Abteilungsprojekte\eng\EngData\AOS\Allgemein\[LabSamples2025.xlsx]Bioplastic'!G223)</f>
        <v/>
      </c>
      <c r="H223">
        <f>IF(ISBLANK('Q:\Abteilungsprojekte\eng\EngData\AOS\Allgemein\[LabSamples2025.xlsx]Bioplastic'!H223)," ",'Q:\Abteilungsprojekte\eng\EngData\AOS\Allgemein\[LabSamples2025.xlsx]Bioplastic'!H223)</f>
        <v/>
      </c>
    </row>
    <row r="224">
      <c r="A224">
        <f>IF(ISBLANK('Q:\Abteilungsprojekte\eng\EngData\AOS\Allgemein\[LabSamples2025.xlsx]Bioplastic'!A224)," ",'Q:\Abteilungsprojekte\eng\EngData\AOS\Allgemein\[LabSamples2025.xlsx]Bioplastic'!A224)</f>
        <v/>
      </c>
      <c r="B224">
        <f>IF(ISBLANK('Q:\Abteilungsprojekte\eng\EngData\AOS\Allgemein\[LabSamples2025.xlsx]Bioplastic'!B224)," ",'Q:\Abteilungsprojekte\eng\EngData\AOS\Allgemein\[LabSamples2025.xlsx]Bioplastic'!B224)</f>
        <v/>
      </c>
      <c r="C224">
        <f>IF(ISBLANK('Q:\Abteilungsprojekte\eng\EngData\AOS\Allgemein\[LabSamples2025.xlsx]Bioplastic'!C224)," ",'Q:\Abteilungsprojekte\eng\EngData\AOS\Allgemein\[LabSamples2025.xlsx]Bioplastic'!C224)</f>
        <v/>
      </c>
      <c r="D224">
        <f>IF(ISBLANK('Q:\Abteilungsprojekte\eng\EngData\AOS\Allgemein\[LabSamples2025.xlsx]Bioplastic'!D224)," ",'Q:\Abteilungsprojekte\eng\EngData\AOS\Allgemein\[LabSamples2025.xlsx]Bioplastic'!D224)</f>
        <v/>
      </c>
      <c r="E224">
        <f>IF(ISBLANK('Q:\Abteilungsprojekte\eng\EngData\AOS\Allgemein\[LabSamples2025.xlsx]Bioplastic'!E224)," ",'Q:\Abteilungsprojekte\eng\EngData\AOS\Allgemein\[LabSamples2025.xlsx]Bioplastic'!E224)</f>
        <v/>
      </c>
      <c r="F224">
        <f>IF(ISBLANK('Q:\Abteilungsprojekte\eng\EngData\AOS\Allgemein\[LabSamples2025.xlsx]Bioplastic'!F224)," ",'Q:\Abteilungsprojekte\eng\EngData\AOS\Allgemein\[LabSamples2025.xlsx]Bioplastic'!F224)</f>
        <v/>
      </c>
      <c r="G224">
        <f>IF(ISBLANK('Q:\Abteilungsprojekte\eng\EngData\AOS\Allgemein\[LabSamples2025.xlsx]Bioplastic'!G224)," ",'Q:\Abteilungsprojekte\eng\EngData\AOS\Allgemein\[LabSamples2025.xlsx]Bioplastic'!G224)</f>
        <v/>
      </c>
      <c r="H224">
        <f>IF(ISBLANK('Q:\Abteilungsprojekte\eng\EngData\AOS\Allgemein\[LabSamples2025.xlsx]Bioplastic'!H224)," ",'Q:\Abteilungsprojekte\eng\EngData\AOS\Allgemein\[LabSamples2025.xlsx]Bioplastic'!H224)</f>
        <v/>
      </c>
    </row>
    <row r="225">
      <c r="A225">
        <f>IF(ISBLANK('Q:\Abteilungsprojekte\eng\EngData\AOS\Allgemein\[LabSamples2025.xlsx]Bioplastic'!A225)," ",'Q:\Abteilungsprojekte\eng\EngData\AOS\Allgemein\[LabSamples2025.xlsx]Bioplastic'!A225)</f>
        <v/>
      </c>
      <c r="B225">
        <f>IF(ISBLANK('Q:\Abteilungsprojekte\eng\EngData\AOS\Allgemein\[LabSamples2025.xlsx]Bioplastic'!B225)," ",'Q:\Abteilungsprojekte\eng\EngData\AOS\Allgemein\[LabSamples2025.xlsx]Bioplastic'!B225)</f>
        <v/>
      </c>
      <c r="C225">
        <f>IF(ISBLANK('Q:\Abteilungsprojekte\eng\EngData\AOS\Allgemein\[LabSamples2025.xlsx]Bioplastic'!C225)," ",'Q:\Abteilungsprojekte\eng\EngData\AOS\Allgemein\[LabSamples2025.xlsx]Bioplastic'!C225)</f>
        <v/>
      </c>
      <c r="D225">
        <f>IF(ISBLANK('Q:\Abteilungsprojekte\eng\EngData\AOS\Allgemein\[LabSamples2025.xlsx]Bioplastic'!D225)," ",'Q:\Abteilungsprojekte\eng\EngData\AOS\Allgemein\[LabSamples2025.xlsx]Bioplastic'!D225)</f>
        <v/>
      </c>
      <c r="E225">
        <f>IF(ISBLANK('Q:\Abteilungsprojekte\eng\EngData\AOS\Allgemein\[LabSamples2025.xlsx]Bioplastic'!E225)," ",'Q:\Abteilungsprojekte\eng\EngData\AOS\Allgemein\[LabSamples2025.xlsx]Bioplastic'!E225)</f>
        <v/>
      </c>
      <c r="F225">
        <f>IF(ISBLANK('Q:\Abteilungsprojekte\eng\EngData\AOS\Allgemein\[LabSamples2025.xlsx]Bioplastic'!F225)," ",'Q:\Abteilungsprojekte\eng\EngData\AOS\Allgemein\[LabSamples2025.xlsx]Bioplastic'!F225)</f>
        <v/>
      </c>
      <c r="G225">
        <f>IF(ISBLANK('Q:\Abteilungsprojekte\eng\EngData\AOS\Allgemein\[LabSamples2025.xlsx]Bioplastic'!G225)," ",'Q:\Abteilungsprojekte\eng\EngData\AOS\Allgemein\[LabSamples2025.xlsx]Bioplastic'!G225)</f>
        <v/>
      </c>
      <c r="H225">
        <f>IF(ISBLANK('Q:\Abteilungsprojekte\eng\EngData\AOS\Allgemein\[LabSamples2025.xlsx]Bioplastic'!H225)," ",'Q:\Abteilungsprojekte\eng\EngData\AOS\Allgemein\[LabSamples2025.xlsx]Bioplastic'!H225)</f>
        <v/>
      </c>
    </row>
    <row r="226">
      <c r="A226">
        <f>IF(ISBLANK('Q:\Abteilungsprojekte\eng\EngData\AOS\Allgemein\[LabSamples2025.xlsx]Bioplastic'!A226)," ",'Q:\Abteilungsprojekte\eng\EngData\AOS\Allgemein\[LabSamples2025.xlsx]Bioplastic'!A226)</f>
        <v/>
      </c>
      <c r="B226">
        <f>IF(ISBLANK('Q:\Abteilungsprojekte\eng\EngData\AOS\Allgemein\[LabSamples2025.xlsx]Bioplastic'!B226)," ",'Q:\Abteilungsprojekte\eng\EngData\AOS\Allgemein\[LabSamples2025.xlsx]Bioplastic'!B226)</f>
        <v/>
      </c>
      <c r="C226">
        <f>IF(ISBLANK('Q:\Abteilungsprojekte\eng\EngData\AOS\Allgemein\[LabSamples2025.xlsx]Bioplastic'!C226)," ",'Q:\Abteilungsprojekte\eng\EngData\AOS\Allgemein\[LabSamples2025.xlsx]Bioplastic'!C226)</f>
        <v/>
      </c>
      <c r="D226">
        <f>IF(ISBLANK('Q:\Abteilungsprojekte\eng\EngData\AOS\Allgemein\[LabSamples2025.xlsx]Bioplastic'!D226)," ",'Q:\Abteilungsprojekte\eng\EngData\AOS\Allgemein\[LabSamples2025.xlsx]Bioplastic'!D226)</f>
        <v/>
      </c>
      <c r="E226">
        <f>IF(ISBLANK('Q:\Abteilungsprojekte\eng\EngData\AOS\Allgemein\[LabSamples2025.xlsx]Bioplastic'!E226)," ",'Q:\Abteilungsprojekte\eng\EngData\AOS\Allgemein\[LabSamples2025.xlsx]Bioplastic'!E226)</f>
        <v/>
      </c>
      <c r="F226">
        <f>IF(ISBLANK('Q:\Abteilungsprojekte\eng\EngData\AOS\Allgemein\[LabSamples2025.xlsx]Bioplastic'!F226)," ",'Q:\Abteilungsprojekte\eng\EngData\AOS\Allgemein\[LabSamples2025.xlsx]Bioplastic'!F226)</f>
        <v/>
      </c>
      <c r="G226">
        <f>IF(ISBLANK('Q:\Abteilungsprojekte\eng\EngData\AOS\Allgemein\[LabSamples2025.xlsx]Bioplastic'!G226)," ",'Q:\Abteilungsprojekte\eng\EngData\AOS\Allgemein\[LabSamples2025.xlsx]Bioplastic'!G226)</f>
        <v/>
      </c>
      <c r="H226">
        <f>IF(ISBLANK('Q:\Abteilungsprojekte\eng\EngData\AOS\Allgemein\[LabSamples2025.xlsx]Bioplastic'!H226)," ",'Q:\Abteilungsprojekte\eng\EngData\AOS\Allgemein\[LabSamples2025.xlsx]Bioplastic'!H226)</f>
        <v/>
      </c>
    </row>
    <row r="227">
      <c r="A227">
        <f>IF(ISBLANK('Q:\Abteilungsprojekte\eng\EngData\AOS\Allgemein\[LabSamples2025.xlsx]Bioplastic'!A227)," ",'Q:\Abteilungsprojekte\eng\EngData\AOS\Allgemein\[LabSamples2025.xlsx]Bioplastic'!A227)</f>
        <v/>
      </c>
      <c r="B227">
        <f>IF(ISBLANK('Q:\Abteilungsprojekte\eng\EngData\AOS\Allgemein\[LabSamples2025.xlsx]Bioplastic'!B227)," ",'Q:\Abteilungsprojekte\eng\EngData\AOS\Allgemein\[LabSamples2025.xlsx]Bioplastic'!B227)</f>
        <v/>
      </c>
      <c r="C227">
        <f>IF(ISBLANK('Q:\Abteilungsprojekte\eng\EngData\AOS\Allgemein\[LabSamples2025.xlsx]Bioplastic'!C227)," ",'Q:\Abteilungsprojekte\eng\EngData\AOS\Allgemein\[LabSamples2025.xlsx]Bioplastic'!C227)</f>
        <v/>
      </c>
      <c r="D227">
        <f>IF(ISBLANK('Q:\Abteilungsprojekte\eng\EngData\AOS\Allgemein\[LabSamples2025.xlsx]Bioplastic'!D227)," ",'Q:\Abteilungsprojekte\eng\EngData\AOS\Allgemein\[LabSamples2025.xlsx]Bioplastic'!D227)</f>
        <v/>
      </c>
      <c r="E227">
        <f>IF(ISBLANK('Q:\Abteilungsprojekte\eng\EngData\AOS\Allgemein\[LabSamples2025.xlsx]Bioplastic'!E227)," ",'Q:\Abteilungsprojekte\eng\EngData\AOS\Allgemein\[LabSamples2025.xlsx]Bioplastic'!E227)</f>
        <v/>
      </c>
      <c r="F227">
        <f>IF(ISBLANK('Q:\Abteilungsprojekte\eng\EngData\AOS\Allgemein\[LabSamples2025.xlsx]Bioplastic'!F227)," ",'Q:\Abteilungsprojekte\eng\EngData\AOS\Allgemein\[LabSamples2025.xlsx]Bioplastic'!F227)</f>
        <v/>
      </c>
      <c r="G227">
        <f>IF(ISBLANK('Q:\Abteilungsprojekte\eng\EngData\AOS\Allgemein\[LabSamples2025.xlsx]Bioplastic'!G227)," ",'Q:\Abteilungsprojekte\eng\EngData\AOS\Allgemein\[LabSamples2025.xlsx]Bioplastic'!G227)</f>
        <v/>
      </c>
      <c r="H227">
        <f>IF(ISBLANK('Q:\Abteilungsprojekte\eng\EngData\AOS\Allgemein\[LabSamples2025.xlsx]Bioplastic'!H227)," ",'Q:\Abteilungsprojekte\eng\EngData\AOS\Allgemein\[LabSamples2025.xlsx]Bioplastic'!H227)</f>
        <v/>
      </c>
    </row>
    <row r="228">
      <c r="A228">
        <f>IF(ISBLANK('Q:\Abteilungsprojekte\eng\EngData\AOS\Allgemein\[LabSamples2025.xlsx]Bioplastic'!A228)," ",'Q:\Abteilungsprojekte\eng\EngData\AOS\Allgemein\[LabSamples2025.xlsx]Bioplastic'!A228)</f>
        <v/>
      </c>
      <c r="B228">
        <f>IF(ISBLANK('Q:\Abteilungsprojekte\eng\EngData\AOS\Allgemein\[LabSamples2025.xlsx]Bioplastic'!B228)," ",'Q:\Abteilungsprojekte\eng\EngData\AOS\Allgemein\[LabSamples2025.xlsx]Bioplastic'!B228)</f>
        <v/>
      </c>
      <c r="C228">
        <f>IF(ISBLANK('Q:\Abteilungsprojekte\eng\EngData\AOS\Allgemein\[LabSamples2025.xlsx]Bioplastic'!C228)," ",'Q:\Abteilungsprojekte\eng\EngData\AOS\Allgemein\[LabSamples2025.xlsx]Bioplastic'!C228)</f>
        <v/>
      </c>
      <c r="D228">
        <f>IF(ISBLANK('Q:\Abteilungsprojekte\eng\EngData\AOS\Allgemein\[LabSamples2025.xlsx]Bioplastic'!D228)," ",'Q:\Abteilungsprojekte\eng\EngData\AOS\Allgemein\[LabSamples2025.xlsx]Bioplastic'!D228)</f>
        <v/>
      </c>
      <c r="E228">
        <f>IF(ISBLANK('Q:\Abteilungsprojekte\eng\EngData\AOS\Allgemein\[LabSamples2025.xlsx]Bioplastic'!E228)," ",'Q:\Abteilungsprojekte\eng\EngData\AOS\Allgemein\[LabSamples2025.xlsx]Bioplastic'!E228)</f>
        <v/>
      </c>
      <c r="F228">
        <f>IF(ISBLANK('Q:\Abteilungsprojekte\eng\EngData\AOS\Allgemein\[LabSamples2025.xlsx]Bioplastic'!F228)," ",'Q:\Abteilungsprojekte\eng\EngData\AOS\Allgemein\[LabSamples2025.xlsx]Bioplastic'!F228)</f>
        <v/>
      </c>
      <c r="G228">
        <f>IF(ISBLANK('Q:\Abteilungsprojekte\eng\EngData\AOS\Allgemein\[LabSamples2025.xlsx]Bioplastic'!G228)," ",'Q:\Abteilungsprojekte\eng\EngData\AOS\Allgemein\[LabSamples2025.xlsx]Bioplastic'!G228)</f>
        <v/>
      </c>
      <c r="H228">
        <f>IF(ISBLANK('Q:\Abteilungsprojekte\eng\EngData\AOS\Allgemein\[LabSamples2025.xlsx]Bioplastic'!H228)," ",'Q:\Abteilungsprojekte\eng\EngData\AOS\Allgemein\[LabSamples2025.xlsx]Bioplastic'!H228)</f>
        <v/>
      </c>
    </row>
    <row r="229">
      <c r="A229">
        <f>IF(ISBLANK('Q:\Abteilungsprojekte\eng\EngData\AOS\Allgemein\[LabSamples2025.xlsx]Bioplastic'!A229)," ",'Q:\Abteilungsprojekte\eng\EngData\AOS\Allgemein\[LabSamples2025.xlsx]Bioplastic'!A229)</f>
        <v/>
      </c>
      <c r="B229">
        <f>IF(ISBLANK('Q:\Abteilungsprojekte\eng\EngData\AOS\Allgemein\[LabSamples2025.xlsx]Bioplastic'!B229)," ",'Q:\Abteilungsprojekte\eng\EngData\AOS\Allgemein\[LabSamples2025.xlsx]Bioplastic'!B229)</f>
        <v/>
      </c>
      <c r="C229">
        <f>IF(ISBLANK('Q:\Abteilungsprojekte\eng\EngData\AOS\Allgemein\[LabSamples2025.xlsx]Bioplastic'!C229)," ",'Q:\Abteilungsprojekte\eng\EngData\AOS\Allgemein\[LabSamples2025.xlsx]Bioplastic'!C229)</f>
        <v/>
      </c>
      <c r="D229">
        <f>IF(ISBLANK('Q:\Abteilungsprojekte\eng\EngData\AOS\Allgemein\[LabSamples2025.xlsx]Bioplastic'!D229)," ",'Q:\Abteilungsprojekte\eng\EngData\AOS\Allgemein\[LabSamples2025.xlsx]Bioplastic'!D229)</f>
        <v/>
      </c>
      <c r="E229">
        <f>IF(ISBLANK('Q:\Abteilungsprojekte\eng\EngData\AOS\Allgemein\[LabSamples2025.xlsx]Bioplastic'!E229)," ",'Q:\Abteilungsprojekte\eng\EngData\AOS\Allgemein\[LabSamples2025.xlsx]Bioplastic'!E229)</f>
        <v/>
      </c>
      <c r="F229">
        <f>IF(ISBLANK('Q:\Abteilungsprojekte\eng\EngData\AOS\Allgemein\[LabSamples2025.xlsx]Bioplastic'!F229)," ",'Q:\Abteilungsprojekte\eng\EngData\AOS\Allgemein\[LabSamples2025.xlsx]Bioplastic'!F229)</f>
        <v/>
      </c>
      <c r="G229">
        <f>IF(ISBLANK('Q:\Abteilungsprojekte\eng\EngData\AOS\Allgemein\[LabSamples2025.xlsx]Bioplastic'!G229)," ",'Q:\Abteilungsprojekte\eng\EngData\AOS\Allgemein\[LabSamples2025.xlsx]Bioplastic'!G229)</f>
        <v/>
      </c>
      <c r="H229">
        <f>IF(ISBLANK('Q:\Abteilungsprojekte\eng\EngData\AOS\Allgemein\[LabSamples2025.xlsx]Bioplastic'!H229)," ",'Q:\Abteilungsprojekte\eng\EngData\AOS\Allgemein\[LabSamples2025.xlsx]Bioplastic'!H229)</f>
        <v/>
      </c>
    </row>
    <row r="230">
      <c r="A230">
        <f>IF(ISBLANK('Q:\Abteilungsprojekte\eng\EngData\AOS\Allgemein\[LabSamples2025.xlsx]Bioplastic'!A230)," ",'Q:\Abteilungsprojekte\eng\EngData\AOS\Allgemein\[LabSamples2025.xlsx]Bioplastic'!A230)</f>
        <v/>
      </c>
      <c r="B230">
        <f>IF(ISBLANK('Q:\Abteilungsprojekte\eng\EngData\AOS\Allgemein\[LabSamples2025.xlsx]Bioplastic'!B230)," ",'Q:\Abteilungsprojekte\eng\EngData\AOS\Allgemein\[LabSamples2025.xlsx]Bioplastic'!B230)</f>
        <v/>
      </c>
      <c r="C230">
        <f>IF(ISBLANK('Q:\Abteilungsprojekte\eng\EngData\AOS\Allgemein\[LabSamples2025.xlsx]Bioplastic'!C230)," ",'Q:\Abteilungsprojekte\eng\EngData\AOS\Allgemein\[LabSamples2025.xlsx]Bioplastic'!C230)</f>
        <v/>
      </c>
      <c r="D230">
        <f>IF(ISBLANK('Q:\Abteilungsprojekte\eng\EngData\AOS\Allgemein\[LabSamples2025.xlsx]Bioplastic'!D230)," ",'Q:\Abteilungsprojekte\eng\EngData\AOS\Allgemein\[LabSamples2025.xlsx]Bioplastic'!D230)</f>
        <v/>
      </c>
      <c r="E230">
        <f>IF(ISBLANK('Q:\Abteilungsprojekte\eng\EngData\AOS\Allgemein\[LabSamples2025.xlsx]Bioplastic'!E230)," ",'Q:\Abteilungsprojekte\eng\EngData\AOS\Allgemein\[LabSamples2025.xlsx]Bioplastic'!E230)</f>
        <v/>
      </c>
      <c r="F230">
        <f>IF(ISBLANK('Q:\Abteilungsprojekte\eng\EngData\AOS\Allgemein\[LabSamples2025.xlsx]Bioplastic'!F230)," ",'Q:\Abteilungsprojekte\eng\EngData\AOS\Allgemein\[LabSamples2025.xlsx]Bioplastic'!F230)</f>
        <v/>
      </c>
      <c r="G230">
        <f>IF(ISBLANK('Q:\Abteilungsprojekte\eng\EngData\AOS\Allgemein\[LabSamples2025.xlsx]Bioplastic'!G230)," ",'Q:\Abteilungsprojekte\eng\EngData\AOS\Allgemein\[LabSamples2025.xlsx]Bioplastic'!G230)</f>
        <v/>
      </c>
      <c r="H230">
        <f>IF(ISBLANK('Q:\Abteilungsprojekte\eng\EngData\AOS\Allgemein\[LabSamples2025.xlsx]Bioplastic'!H230)," ",'Q:\Abteilungsprojekte\eng\EngData\AOS\Allgemein\[LabSamples2025.xlsx]Bioplastic'!H230)</f>
        <v/>
      </c>
    </row>
    <row r="231">
      <c r="A231">
        <f>IF(ISBLANK('Q:\Abteilungsprojekte\eng\EngData\AOS\Allgemein\[LabSamples2025.xlsx]Bioplastic'!A231)," ",'Q:\Abteilungsprojekte\eng\EngData\AOS\Allgemein\[LabSamples2025.xlsx]Bioplastic'!A231)</f>
        <v/>
      </c>
      <c r="B231">
        <f>IF(ISBLANK('Q:\Abteilungsprojekte\eng\EngData\AOS\Allgemein\[LabSamples2025.xlsx]Bioplastic'!B231)," ",'Q:\Abteilungsprojekte\eng\EngData\AOS\Allgemein\[LabSamples2025.xlsx]Bioplastic'!B231)</f>
        <v/>
      </c>
      <c r="C231">
        <f>IF(ISBLANK('Q:\Abteilungsprojekte\eng\EngData\AOS\Allgemein\[LabSamples2025.xlsx]Bioplastic'!C231)," ",'Q:\Abteilungsprojekte\eng\EngData\AOS\Allgemein\[LabSamples2025.xlsx]Bioplastic'!C231)</f>
        <v/>
      </c>
      <c r="D231">
        <f>IF(ISBLANK('Q:\Abteilungsprojekte\eng\EngData\AOS\Allgemein\[LabSamples2025.xlsx]Bioplastic'!D231)," ",'Q:\Abteilungsprojekte\eng\EngData\AOS\Allgemein\[LabSamples2025.xlsx]Bioplastic'!D231)</f>
        <v/>
      </c>
      <c r="E231">
        <f>IF(ISBLANK('Q:\Abteilungsprojekte\eng\EngData\AOS\Allgemein\[LabSamples2025.xlsx]Bioplastic'!E231)," ",'Q:\Abteilungsprojekte\eng\EngData\AOS\Allgemein\[LabSamples2025.xlsx]Bioplastic'!E231)</f>
        <v/>
      </c>
      <c r="F231">
        <f>IF(ISBLANK('Q:\Abteilungsprojekte\eng\EngData\AOS\Allgemein\[LabSamples2025.xlsx]Bioplastic'!F231)," ",'Q:\Abteilungsprojekte\eng\EngData\AOS\Allgemein\[LabSamples2025.xlsx]Bioplastic'!F231)</f>
        <v/>
      </c>
      <c r="G231">
        <f>IF(ISBLANK('Q:\Abteilungsprojekte\eng\EngData\AOS\Allgemein\[LabSamples2025.xlsx]Bioplastic'!G231)," ",'Q:\Abteilungsprojekte\eng\EngData\AOS\Allgemein\[LabSamples2025.xlsx]Bioplastic'!G231)</f>
        <v/>
      </c>
      <c r="H231">
        <f>IF(ISBLANK('Q:\Abteilungsprojekte\eng\EngData\AOS\Allgemein\[LabSamples2025.xlsx]Bioplastic'!H231)," ",'Q:\Abteilungsprojekte\eng\EngData\AOS\Allgemein\[LabSamples2025.xlsx]Bioplastic'!H231)</f>
        <v/>
      </c>
    </row>
    <row r="232">
      <c r="A232">
        <f>IF(ISBLANK('Q:\Abteilungsprojekte\eng\EngData\AOS\Allgemein\[LabSamples2025.xlsx]Bioplastic'!A232)," ",'Q:\Abteilungsprojekte\eng\EngData\AOS\Allgemein\[LabSamples2025.xlsx]Bioplastic'!A232)</f>
        <v/>
      </c>
      <c r="B232">
        <f>IF(ISBLANK('Q:\Abteilungsprojekte\eng\EngData\AOS\Allgemein\[LabSamples2025.xlsx]Bioplastic'!B232)," ",'Q:\Abteilungsprojekte\eng\EngData\AOS\Allgemein\[LabSamples2025.xlsx]Bioplastic'!B232)</f>
        <v/>
      </c>
      <c r="C232">
        <f>IF(ISBLANK('Q:\Abteilungsprojekte\eng\EngData\AOS\Allgemein\[LabSamples2025.xlsx]Bioplastic'!C232)," ",'Q:\Abteilungsprojekte\eng\EngData\AOS\Allgemein\[LabSamples2025.xlsx]Bioplastic'!C232)</f>
        <v/>
      </c>
      <c r="D232">
        <f>IF(ISBLANK('Q:\Abteilungsprojekte\eng\EngData\AOS\Allgemein\[LabSamples2025.xlsx]Bioplastic'!D232)," ",'Q:\Abteilungsprojekte\eng\EngData\AOS\Allgemein\[LabSamples2025.xlsx]Bioplastic'!D232)</f>
        <v/>
      </c>
      <c r="E232">
        <f>IF(ISBLANK('Q:\Abteilungsprojekte\eng\EngData\AOS\Allgemein\[LabSamples2025.xlsx]Bioplastic'!E232)," ",'Q:\Abteilungsprojekte\eng\EngData\AOS\Allgemein\[LabSamples2025.xlsx]Bioplastic'!E232)</f>
        <v/>
      </c>
      <c r="F232">
        <f>IF(ISBLANK('Q:\Abteilungsprojekte\eng\EngData\AOS\Allgemein\[LabSamples2025.xlsx]Bioplastic'!F232)," ",'Q:\Abteilungsprojekte\eng\EngData\AOS\Allgemein\[LabSamples2025.xlsx]Bioplastic'!F232)</f>
        <v/>
      </c>
      <c r="G232">
        <f>IF(ISBLANK('Q:\Abteilungsprojekte\eng\EngData\AOS\Allgemein\[LabSamples2025.xlsx]Bioplastic'!G232)," ",'Q:\Abteilungsprojekte\eng\EngData\AOS\Allgemein\[LabSamples2025.xlsx]Bioplastic'!G232)</f>
        <v/>
      </c>
      <c r="H232">
        <f>IF(ISBLANK('Q:\Abteilungsprojekte\eng\EngData\AOS\Allgemein\[LabSamples2025.xlsx]Bioplastic'!H232)," ",'Q:\Abteilungsprojekte\eng\EngData\AOS\Allgemein\[LabSamples2025.xlsx]Bioplastic'!H232)</f>
        <v/>
      </c>
    </row>
    <row r="233">
      <c r="A233">
        <f>IF(ISBLANK('Q:\Abteilungsprojekte\eng\EngData\AOS\Allgemein\[LabSamples2025.xlsx]Bioplastic'!A233)," ",'Q:\Abteilungsprojekte\eng\EngData\AOS\Allgemein\[LabSamples2025.xlsx]Bioplastic'!A233)</f>
        <v/>
      </c>
      <c r="B233">
        <f>IF(ISBLANK('Q:\Abteilungsprojekte\eng\EngData\AOS\Allgemein\[LabSamples2025.xlsx]Bioplastic'!B233)," ",'Q:\Abteilungsprojekte\eng\EngData\AOS\Allgemein\[LabSamples2025.xlsx]Bioplastic'!B233)</f>
        <v/>
      </c>
      <c r="C233">
        <f>IF(ISBLANK('Q:\Abteilungsprojekte\eng\EngData\AOS\Allgemein\[LabSamples2025.xlsx]Bioplastic'!C233)," ",'Q:\Abteilungsprojekte\eng\EngData\AOS\Allgemein\[LabSamples2025.xlsx]Bioplastic'!C233)</f>
        <v/>
      </c>
      <c r="D233">
        <f>IF(ISBLANK('Q:\Abteilungsprojekte\eng\EngData\AOS\Allgemein\[LabSamples2025.xlsx]Bioplastic'!D233)," ",'Q:\Abteilungsprojekte\eng\EngData\AOS\Allgemein\[LabSamples2025.xlsx]Bioplastic'!D233)</f>
        <v/>
      </c>
      <c r="E233">
        <f>IF(ISBLANK('Q:\Abteilungsprojekte\eng\EngData\AOS\Allgemein\[LabSamples2025.xlsx]Bioplastic'!E233)," ",'Q:\Abteilungsprojekte\eng\EngData\AOS\Allgemein\[LabSamples2025.xlsx]Bioplastic'!E233)</f>
        <v/>
      </c>
      <c r="F233">
        <f>IF(ISBLANK('Q:\Abteilungsprojekte\eng\EngData\AOS\Allgemein\[LabSamples2025.xlsx]Bioplastic'!F233)," ",'Q:\Abteilungsprojekte\eng\EngData\AOS\Allgemein\[LabSamples2025.xlsx]Bioplastic'!F233)</f>
        <v/>
      </c>
      <c r="G233">
        <f>IF(ISBLANK('Q:\Abteilungsprojekte\eng\EngData\AOS\Allgemein\[LabSamples2025.xlsx]Bioplastic'!G233)," ",'Q:\Abteilungsprojekte\eng\EngData\AOS\Allgemein\[LabSamples2025.xlsx]Bioplastic'!G233)</f>
        <v/>
      </c>
      <c r="H233">
        <f>IF(ISBLANK('Q:\Abteilungsprojekte\eng\EngData\AOS\Allgemein\[LabSamples2025.xlsx]Bioplastic'!H233)," ",'Q:\Abteilungsprojekte\eng\EngData\AOS\Allgemein\[LabSamples2025.xlsx]Bioplastic'!H233)</f>
        <v/>
      </c>
    </row>
    <row r="234">
      <c r="A234">
        <f>IF(ISBLANK('Q:\Abteilungsprojekte\eng\EngData\AOS\Allgemein\[LabSamples2025.xlsx]Bioplastic'!A234)," ",'Q:\Abteilungsprojekte\eng\EngData\AOS\Allgemein\[LabSamples2025.xlsx]Bioplastic'!A234)</f>
        <v/>
      </c>
      <c r="B234">
        <f>IF(ISBLANK('Q:\Abteilungsprojekte\eng\EngData\AOS\Allgemein\[LabSamples2025.xlsx]Bioplastic'!B234)," ",'Q:\Abteilungsprojekte\eng\EngData\AOS\Allgemein\[LabSamples2025.xlsx]Bioplastic'!B234)</f>
        <v/>
      </c>
      <c r="C234">
        <f>IF(ISBLANK('Q:\Abteilungsprojekte\eng\EngData\AOS\Allgemein\[LabSamples2025.xlsx]Bioplastic'!C234)," ",'Q:\Abteilungsprojekte\eng\EngData\AOS\Allgemein\[LabSamples2025.xlsx]Bioplastic'!C234)</f>
        <v/>
      </c>
      <c r="D234">
        <f>IF(ISBLANK('Q:\Abteilungsprojekte\eng\EngData\AOS\Allgemein\[LabSamples2025.xlsx]Bioplastic'!D234)," ",'Q:\Abteilungsprojekte\eng\EngData\AOS\Allgemein\[LabSamples2025.xlsx]Bioplastic'!D234)</f>
        <v/>
      </c>
      <c r="E234">
        <f>IF(ISBLANK('Q:\Abteilungsprojekte\eng\EngData\AOS\Allgemein\[LabSamples2025.xlsx]Bioplastic'!E234)," ",'Q:\Abteilungsprojekte\eng\EngData\AOS\Allgemein\[LabSamples2025.xlsx]Bioplastic'!E234)</f>
        <v/>
      </c>
      <c r="F234">
        <f>IF(ISBLANK('Q:\Abteilungsprojekte\eng\EngData\AOS\Allgemein\[LabSamples2025.xlsx]Bioplastic'!F234)," ",'Q:\Abteilungsprojekte\eng\EngData\AOS\Allgemein\[LabSamples2025.xlsx]Bioplastic'!F234)</f>
        <v/>
      </c>
      <c r="G234">
        <f>IF(ISBLANK('Q:\Abteilungsprojekte\eng\EngData\AOS\Allgemein\[LabSamples2025.xlsx]Bioplastic'!G234)," ",'Q:\Abteilungsprojekte\eng\EngData\AOS\Allgemein\[LabSamples2025.xlsx]Bioplastic'!G234)</f>
        <v/>
      </c>
      <c r="H234">
        <f>IF(ISBLANK('Q:\Abteilungsprojekte\eng\EngData\AOS\Allgemein\[LabSamples2025.xlsx]Bioplastic'!H234)," ",'Q:\Abteilungsprojekte\eng\EngData\AOS\Allgemein\[LabSamples2025.xlsx]Bioplastic'!H234)</f>
        <v/>
      </c>
    </row>
    <row r="235">
      <c r="A235">
        <f>IF(ISBLANK('Q:\Abteilungsprojekte\eng\EngData\AOS\Allgemein\[LabSamples2025.xlsx]Bioplastic'!A235)," ",'Q:\Abteilungsprojekte\eng\EngData\AOS\Allgemein\[LabSamples2025.xlsx]Bioplastic'!A235)</f>
        <v/>
      </c>
      <c r="B235">
        <f>IF(ISBLANK('Q:\Abteilungsprojekte\eng\EngData\AOS\Allgemein\[LabSamples2025.xlsx]Bioplastic'!B235)," ",'Q:\Abteilungsprojekte\eng\EngData\AOS\Allgemein\[LabSamples2025.xlsx]Bioplastic'!B235)</f>
        <v/>
      </c>
      <c r="C235">
        <f>IF(ISBLANK('Q:\Abteilungsprojekte\eng\EngData\AOS\Allgemein\[LabSamples2025.xlsx]Bioplastic'!C235)," ",'Q:\Abteilungsprojekte\eng\EngData\AOS\Allgemein\[LabSamples2025.xlsx]Bioplastic'!C235)</f>
        <v/>
      </c>
      <c r="D235">
        <f>IF(ISBLANK('Q:\Abteilungsprojekte\eng\EngData\AOS\Allgemein\[LabSamples2025.xlsx]Bioplastic'!D235)," ",'Q:\Abteilungsprojekte\eng\EngData\AOS\Allgemein\[LabSamples2025.xlsx]Bioplastic'!D235)</f>
        <v/>
      </c>
      <c r="E235">
        <f>IF(ISBLANK('Q:\Abteilungsprojekte\eng\EngData\AOS\Allgemein\[LabSamples2025.xlsx]Bioplastic'!E235)," ",'Q:\Abteilungsprojekte\eng\EngData\AOS\Allgemein\[LabSamples2025.xlsx]Bioplastic'!E235)</f>
        <v/>
      </c>
      <c r="F235">
        <f>IF(ISBLANK('Q:\Abteilungsprojekte\eng\EngData\AOS\Allgemein\[LabSamples2025.xlsx]Bioplastic'!F235)," ",'Q:\Abteilungsprojekte\eng\EngData\AOS\Allgemein\[LabSamples2025.xlsx]Bioplastic'!F235)</f>
        <v/>
      </c>
      <c r="G235">
        <f>IF(ISBLANK('Q:\Abteilungsprojekte\eng\EngData\AOS\Allgemein\[LabSamples2025.xlsx]Bioplastic'!G235)," ",'Q:\Abteilungsprojekte\eng\EngData\AOS\Allgemein\[LabSamples2025.xlsx]Bioplastic'!G235)</f>
        <v/>
      </c>
      <c r="H235">
        <f>IF(ISBLANK('Q:\Abteilungsprojekte\eng\EngData\AOS\Allgemein\[LabSamples2025.xlsx]Bioplastic'!H235)," ",'Q:\Abteilungsprojekte\eng\EngData\AOS\Allgemein\[LabSamples2025.xlsx]Bioplastic'!H235)</f>
        <v/>
      </c>
    </row>
    <row r="236">
      <c r="A236">
        <f>IF(ISBLANK('Q:\Abteilungsprojekte\eng\EngData\AOS\Allgemein\[LabSamples2025.xlsx]Bioplastic'!A236)," ",'Q:\Abteilungsprojekte\eng\EngData\AOS\Allgemein\[LabSamples2025.xlsx]Bioplastic'!A236)</f>
        <v/>
      </c>
      <c r="B236">
        <f>IF(ISBLANK('Q:\Abteilungsprojekte\eng\EngData\AOS\Allgemein\[LabSamples2025.xlsx]Bioplastic'!B236)," ",'Q:\Abteilungsprojekte\eng\EngData\AOS\Allgemein\[LabSamples2025.xlsx]Bioplastic'!B236)</f>
        <v/>
      </c>
      <c r="C236">
        <f>IF(ISBLANK('Q:\Abteilungsprojekte\eng\EngData\AOS\Allgemein\[LabSamples2025.xlsx]Bioplastic'!C236)," ",'Q:\Abteilungsprojekte\eng\EngData\AOS\Allgemein\[LabSamples2025.xlsx]Bioplastic'!C236)</f>
        <v/>
      </c>
      <c r="D236">
        <f>IF(ISBLANK('Q:\Abteilungsprojekte\eng\EngData\AOS\Allgemein\[LabSamples2025.xlsx]Bioplastic'!D236)," ",'Q:\Abteilungsprojekte\eng\EngData\AOS\Allgemein\[LabSamples2025.xlsx]Bioplastic'!D236)</f>
        <v/>
      </c>
      <c r="E236">
        <f>IF(ISBLANK('Q:\Abteilungsprojekte\eng\EngData\AOS\Allgemein\[LabSamples2025.xlsx]Bioplastic'!E236)," ",'Q:\Abteilungsprojekte\eng\EngData\AOS\Allgemein\[LabSamples2025.xlsx]Bioplastic'!E236)</f>
        <v/>
      </c>
      <c r="F236">
        <f>IF(ISBLANK('Q:\Abteilungsprojekte\eng\EngData\AOS\Allgemein\[LabSamples2025.xlsx]Bioplastic'!F236)," ",'Q:\Abteilungsprojekte\eng\EngData\AOS\Allgemein\[LabSamples2025.xlsx]Bioplastic'!F236)</f>
        <v/>
      </c>
      <c r="G236">
        <f>IF(ISBLANK('Q:\Abteilungsprojekte\eng\EngData\AOS\Allgemein\[LabSamples2025.xlsx]Bioplastic'!G236)," ",'Q:\Abteilungsprojekte\eng\EngData\AOS\Allgemein\[LabSamples2025.xlsx]Bioplastic'!G236)</f>
        <v/>
      </c>
      <c r="H236">
        <f>IF(ISBLANK('Q:\Abteilungsprojekte\eng\EngData\AOS\Allgemein\[LabSamples2025.xlsx]Bioplastic'!H236)," ",'Q:\Abteilungsprojekte\eng\EngData\AOS\Allgemein\[LabSamples2025.xlsx]Bioplastic'!H236)</f>
        <v/>
      </c>
    </row>
    <row r="237">
      <c r="A237">
        <f>IF(ISBLANK('Q:\Abteilungsprojekte\eng\EngData\AOS\Allgemein\[LabSamples2025.xlsx]Bioplastic'!A237)," ",'Q:\Abteilungsprojekte\eng\EngData\AOS\Allgemein\[LabSamples2025.xlsx]Bioplastic'!A237)</f>
        <v/>
      </c>
      <c r="B237">
        <f>IF(ISBLANK('Q:\Abteilungsprojekte\eng\EngData\AOS\Allgemein\[LabSamples2025.xlsx]Bioplastic'!B237)," ",'Q:\Abteilungsprojekte\eng\EngData\AOS\Allgemein\[LabSamples2025.xlsx]Bioplastic'!B237)</f>
        <v/>
      </c>
      <c r="C237">
        <f>IF(ISBLANK('Q:\Abteilungsprojekte\eng\EngData\AOS\Allgemein\[LabSamples2025.xlsx]Bioplastic'!C237)," ",'Q:\Abteilungsprojekte\eng\EngData\AOS\Allgemein\[LabSamples2025.xlsx]Bioplastic'!C237)</f>
        <v/>
      </c>
      <c r="D237">
        <f>IF(ISBLANK('Q:\Abteilungsprojekte\eng\EngData\AOS\Allgemein\[LabSamples2025.xlsx]Bioplastic'!D237)," ",'Q:\Abteilungsprojekte\eng\EngData\AOS\Allgemein\[LabSamples2025.xlsx]Bioplastic'!D237)</f>
        <v/>
      </c>
      <c r="E237">
        <f>IF(ISBLANK('Q:\Abteilungsprojekte\eng\EngData\AOS\Allgemein\[LabSamples2025.xlsx]Bioplastic'!E237)," ",'Q:\Abteilungsprojekte\eng\EngData\AOS\Allgemein\[LabSamples2025.xlsx]Bioplastic'!E237)</f>
        <v/>
      </c>
      <c r="F237">
        <f>IF(ISBLANK('Q:\Abteilungsprojekte\eng\EngData\AOS\Allgemein\[LabSamples2025.xlsx]Bioplastic'!F237)," ",'Q:\Abteilungsprojekte\eng\EngData\AOS\Allgemein\[LabSamples2025.xlsx]Bioplastic'!F237)</f>
        <v/>
      </c>
      <c r="G237">
        <f>IF(ISBLANK('Q:\Abteilungsprojekte\eng\EngData\AOS\Allgemein\[LabSamples2025.xlsx]Bioplastic'!G237)," ",'Q:\Abteilungsprojekte\eng\EngData\AOS\Allgemein\[LabSamples2025.xlsx]Bioplastic'!G237)</f>
        <v/>
      </c>
      <c r="H237">
        <f>IF(ISBLANK('Q:\Abteilungsprojekte\eng\EngData\AOS\Allgemein\[LabSamples2025.xlsx]Bioplastic'!H237)," ",'Q:\Abteilungsprojekte\eng\EngData\AOS\Allgemein\[LabSamples2025.xlsx]Bioplastic'!H237)</f>
        <v/>
      </c>
    </row>
    <row r="238">
      <c r="A238">
        <f>IF(ISBLANK('Q:\Abteilungsprojekte\eng\EngData\AOS\Allgemein\[LabSamples2025.xlsx]Bioplastic'!A238)," ",'Q:\Abteilungsprojekte\eng\EngData\AOS\Allgemein\[LabSamples2025.xlsx]Bioplastic'!A238)</f>
        <v/>
      </c>
      <c r="B238">
        <f>IF(ISBLANK('Q:\Abteilungsprojekte\eng\EngData\AOS\Allgemein\[LabSamples2025.xlsx]Bioplastic'!B238)," ",'Q:\Abteilungsprojekte\eng\EngData\AOS\Allgemein\[LabSamples2025.xlsx]Bioplastic'!B238)</f>
        <v/>
      </c>
      <c r="C238">
        <f>IF(ISBLANK('Q:\Abteilungsprojekte\eng\EngData\AOS\Allgemein\[LabSamples2025.xlsx]Bioplastic'!C238)," ",'Q:\Abteilungsprojekte\eng\EngData\AOS\Allgemein\[LabSamples2025.xlsx]Bioplastic'!C238)</f>
        <v/>
      </c>
      <c r="D238">
        <f>IF(ISBLANK('Q:\Abteilungsprojekte\eng\EngData\AOS\Allgemein\[LabSamples2025.xlsx]Bioplastic'!D238)," ",'Q:\Abteilungsprojekte\eng\EngData\AOS\Allgemein\[LabSamples2025.xlsx]Bioplastic'!D238)</f>
        <v/>
      </c>
      <c r="E238">
        <f>IF(ISBLANK('Q:\Abteilungsprojekte\eng\EngData\AOS\Allgemein\[LabSamples2025.xlsx]Bioplastic'!E238)," ",'Q:\Abteilungsprojekte\eng\EngData\AOS\Allgemein\[LabSamples2025.xlsx]Bioplastic'!E238)</f>
        <v/>
      </c>
      <c r="F238">
        <f>IF(ISBLANK('Q:\Abteilungsprojekte\eng\EngData\AOS\Allgemein\[LabSamples2025.xlsx]Bioplastic'!F238)," ",'Q:\Abteilungsprojekte\eng\EngData\AOS\Allgemein\[LabSamples2025.xlsx]Bioplastic'!F238)</f>
        <v/>
      </c>
      <c r="G238">
        <f>IF(ISBLANK('Q:\Abteilungsprojekte\eng\EngData\AOS\Allgemein\[LabSamples2025.xlsx]Bioplastic'!G238)," ",'Q:\Abteilungsprojekte\eng\EngData\AOS\Allgemein\[LabSamples2025.xlsx]Bioplastic'!G238)</f>
        <v/>
      </c>
      <c r="H238">
        <f>IF(ISBLANK('Q:\Abteilungsprojekte\eng\EngData\AOS\Allgemein\[LabSamples2025.xlsx]Bioplastic'!H238)," ",'Q:\Abteilungsprojekte\eng\EngData\AOS\Allgemein\[LabSamples2025.xlsx]Bioplastic'!H238)</f>
        <v/>
      </c>
    </row>
    <row r="239">
      <c r="A239">
        <f>IF(ISBLANK('Q:\Abteilungsprojekte\eng\EngData\AOS\Allgemein\[LabSamples2025.xlsx]Bioplastic'!A239)," ",'Q:\Abteilungsprojekte\eng\EngData\AOS\Allgemein\[LabSamples2025.xlsx]Bioplastic'!A239)</f>
        <v/>
      </c>
      <c r="B239">
        <f>IF(ISBLANK('Q:\Abteilungsprojekte\eng\EngData\AOS\Allgemein\[LabSamples2025.xlsx]Bioplastic'!B239)," ",'Q:\Abteilungsprojekte\eng\EngData\AOS\Allgemein\[LabSamples2025.xlsx]Bioplastic'!B239)</f>
        <v/>
      </c>
      <c r="C239">
        <f>IF(ISBLANK('Q:\Abteilungsprojekte\eng\EngData\AOS\Allgemein\[LabSamples2025.xlsx]Bioplastic'!C239)," ",'Q:\Abteilungsprojekte\eng\EngData\AOS\Allgemein\[LabSamples2025.xlsx]Bioplastic'!C239)</f>
        <v/>
      </c>
      <c r="D239">
        <f>IF(ISBLANK('Q:\Abteilungsprojekte\eng\EngData\AOS\Allgemein\[LabSamples2025.xlsx]Bioplastic'!D239)," ",'Q:\Abteilungsprojekte\eng\EngData\AOS\Allgemein\[LabSamples2025.xlsx]Bioplastic'!D239)</f>
        <v/>
      </c>
      <c r="E239">
        <f>IF(ISBLANK('Q:\Abteilungsprojekte\eng\EngData\AOS\Allgemein\[LabSamples2025.xlsx]Bioplastic'!E239)," ",'Q:\Abteilungsprojekte\eng\EngData\AOS\Allgemein\[LabSamples2025.xlsx]Bioplastic'!E239)</f>
        <v/>
      </c>
      <c r="F239">
        <f>IF(ISBLANK('Q:\Abteilungsprojekte\eng\EngData\AOS\Allgemein\[LabSamples2025.xlsx]Bioplastic'!F239)," ",'Q:\Abteilungsprojekte\eng\EngData\AOS\Allgemein\[LabSamples2025.xlsx]Bioplastic'!F239)</f>
        <v/>
      </c>
      <c r="G239">
        <f>IF(ISBLANK('Q:\Abteilungsprojekte\eng\EngData\AOS\Allgemein\[LabSamples2025.xlsx]Bioplastic'!G239)," ",'Q:\Abteilungsprojekte\eng\EngData\AOS\Allgemein\[LabSamples2025.xlsx]Bioplastic'!G239)</f>
        <v/>
      </c>
      <c r="H239">
        <f>IF(ISBLANK('Q:\Abteilungsprojekte\eng\EngData\AOS\Allgemein\[LabSamples2025.xlsx]Bioplastic'!H239)," ",'Q:\Abteilungsprojekte\eng\EngData\AOS\Allgemein\[LabSamples2025.xlsx]Bioplastic'!H239)</f>
        <v/>
      </c>
    </row>
    <row r="240">
      <c r="A240">
        <f>IF(ISBLANK('Q:\Abteilungsprojekte\eng\EngData\AOS\Allgemein\[LabSamples2025.xlsx]Bioplastic'!A240)," ",'Q:\Abteilungsprojekte\eng\EngData\AOS\Allgemein\[LabSamples2025.xlsx]Bioplastic'!A240)</f>
        <v/>
      </c>
      <c r="B240">
        <f>IF(ISBLANK('Q:\Abteilungsprojekte\eng\EngData\AOS\Allgemein\[LabSamples2025.xlsx]Bioplastic'!B240)," ",'Q:\Abteilungsprojekte\eng\EngData\AOS\Allgemein\[LabSamples2025.xlsx]Bioplastic'!B240)</f>
        <v/>
      </c>
      <c r="C240">
        <f>IF(ISBLANK('Q:\Abteilungsprojekte\eng\EngData\AOS\Allgemein\[LabSamples2025.xlsx]Bioplastic'!C240)," ",'Q:\Abteilungsprojekte\eng\EngData\AOS\Allgemein\[LabSamples2025.xlsx]Bioplastic'!C240)</f>
        <v/>
      </c>
      <c r="D240">
        <f>IF(ISBLANK('Q:\Abteilungsprojekte\eng\EngData\AOS\Allgemein\[LabSamples2025.xlsx]Bioplastic'!D240)," ",'Q:\Abteilungsprojekte\eng\EngData\AOS\Allgemein\[LabSamples2025.xlsx]Bioplastic'!D240)</f>
        <v/>
      </c>
      <c r="E240">
        <f>IF(ISBLANK('Q:\Abteilungsprojekte\eng\EngData\AOS\Allgemein\[LabSamples2025.xlsx]Bioplastic'!E240)," ",'Q:\Abteilungsprojekte\eng\EngData\AOS\Allgemein\[LabSamples2025.xlsx]Bioplastic'!E240)</f>
        <v/>
      </c>
      <c r="F240">
        <f>IF(ISBLANK('Q:\Abteilungsprojekte\eng\EngData\AOS\Allgemein\[LabSamples2025.xlsx]Bioplastic'!F240)," ",'Q:\Abteilungsprojekte\eng\EngData\AOS\Allgemein\[LabSamples2025.xlsx]Bioplastic'!F240)</f>
        <v/>
      </c>
      <c r="G240">
        <f>IF(ISBLANK('Q:\Abteilungsprojekte\eng\EngData\AOS\Allgemein\[LabSamples2025.xlsx]Bioplastic'!G240)," ",'Q:\Abteilungsprojekte\eng\EngData\AOS\Allgemein\[LabSamples2025.xlsx]Bioplastic'!G240)</f>
        <v/>
      </c>
      <c r="H240">
        <f>IF(ISBLANK('Q:\Abteilungsprojekte\eng\EngData\AOS\Allgemein\[LabSamples2025.xlsx]Bioplastic'!H240)," ",'Q:\Abteilungsprojekte\eng\EngData\AOS\Allgemein\[LabSamples2025.xlsx]Bioplastic'!H240)</f>
        <v/>
      </c>
    </row>
    <row r="241">
      <c r="A241">
        <f>IF(ISBLANK('Q:\Abteilungsprojekte\eng\EngData\AOS\Allgemein\[LabSamples2025.xlsx]Bioplastic'!A241)," ",'Q:\Abteilungsprojekte\eng\EngData\AOS\Allgemein\[LabSamples2025.xlsx]Bioplastic'!A241)</f>
        <v/>
      </c>
      <c r="B241">
        <f>IF(ISBLANK('Q:\Abteilungsprojekte\eng\EngData\AOS\Allgemein\[LabSamples2025.xlsx]Bioplastic'!B241)," ",'Q:\Abteilungsprojekte\eng\EngData\AOS\Allgemein\[LabSamples2025.xlsx]Bioplastic'!B241)</f>
        <v/>
      </c>
      <c r="C241">
        <f>IF(ISBLANK('Q:\Abteilungsprojekte\eng\EngData\AOS\Allgemein\[LabSamples2025.xlsx]Bioplastic'!C241)," ",'Q:\Abteilungsprojekte\eng\EngData\AOS\Allgemein\[LabSamples2025.xlsx]Bioplastic'!C241)</f>
        <v/>
      </c>
      <c r="D241">
        <f>IF(ISBLANK('Q:\Abteilungsprojekte\eng\EngData\AOS\Allgemein\[LabSamples2025.xlsx]Bioplastic'!D241)," ",'Q:\Abteilungsprojekte\eng\EngData\AOS\Allgemein\[LabSamples2025.xlsx]Bioplastic'!D241)</f>
        <v/>
      </c>
      <c r="E241">
        <f>IF(ISBLANK('Q:\Abteilungsprojekte\eng\EngData\AOS\Allgemein\[LabSamples2025.xlsx]Bioplastic'!E241)," ",'Q:\Abteilungsprojekte\eng\EngData\AOS\Allgemein\[LabSamples2025.xlsx]Bioplastic'!E241)</f>
        <v/>
      </c>
      <c r="F241">
        <f>IF(ISBLANK('Q:\Abteilungsprojekte\eng\EngData\AOS\Allgemein\[LabSamples2025.xlsx]Bioplastic'!F241)," ",'Q:\Abteilungsprojekte\eng\EngData\AOS\Allgemein\[LabSamples2025.xlsx]Bioplastic'!F241)</f>
        <v/>
      </c>
      <c r="G241">
        <f>IF(ISBLANK('Q:\Abteilungsprojekte\eng\EngData\AOS\Allgemein\[LabSamples2025.xlsx]Bioplastic'!G241)," ",'Q:\Abteilungsprojekte\eng\EngData\AOS\Allgemein\[LabSamples2025.xlsx]Bioplastic'!G241)</f>
        <v/>
      </c>
      <c r="H241">
        <f>IF(ISBLANK('Q:\Abteilungsprojekte\eng\EngData\AOS\Allgemein\[LabSamples2025.xlsx]Bioplastic'!H241)," ",'Q:\Abteilungsprojekte\eng\EngData\AOS\Allgemein\[LabSamples2025.xlsx]Bioplastic'!H241)</f>
        <v/>
      </c>
    </row>
    <row r="242">
      <c r="A242">
        <f>IF(ISBLANK('Q:\Abteilungsprojekte\eng\EngData\AOS\Allgemein\[LabSamples2025.xlsx]Bioplastic'!A242)," ",'Q:\Abteilungsprojekte\eng\EngData\AOS\Allgemein\[LabSamples2025.xlsx]Bioplastic'!A242)</f>
        <v/>
      </c>
      <c r="B242">
        <f>IF(ISBLANK('Q:\Abteilungsprojekte\eng\EngData\AOS\Allgemein\[LabSamples2025.xlsx]Bioplastic'!B242)," ",'Q:\Abteilungsprojekte\eng\EngData\AOS\Allgemein\[LabSamples2025.xlsx]Bioplastic'!B242)</f>
        <v/>
      </c>
      <c r="C242">
        <f>IF(ISBLANK('Q:\Abteilungsprojekte\eng\EngData\AOS\Allgemein\[LabSamples2025.xlsx]Bioplastic'!C242)," ",'Q:\Abteilungsprojekte\eng\EngData\AOS\Allgemein\[LabSamples2025.xlsx]Bioplastic'!C242)</f>
        <v/>
      </c>
      <c r="D242">
        <f>IF(ISBLANK('Q:\Abteilungsprojekte\eng\EngData\AOS\Allgemein\[LabSamples2025.xlsx]Bioplastic'!D242)," ",'Q:\Abteilungsprojekte\eng\EngData\AOS\Allgemein\[LabSamples2025.xlsx]Bioplastic'!D242)</f>
        <v/>
      </c>
      <c r="E242">
        <f>IF(ISBLANK('Q:\Abteilungsprojekte\eng\EngData\AOS\Allgemein\[LabSamples2025.xlsx]Bioplastic'!E242)," ",'Q:\Abteilungsprojekte\eng\EngData\AOS\Allgemein\[LabSamples2025.xlsx]Bioplastic'!E242)</f>
        <v/>
      </c>
      <c r="F242">
        <f>IF(ISBLANK('Q:\Abteilungsprojekte\eng\EngData\AOS\Allgemein\[LabSamples2025.xlsx]Bioplastic'!F242)," ",'Q:\Abteilungsprojekte\eng\EngData\AOS\Allgemein\[LabSamples2025.xlsx]Bioplastic'!F242)</f>
        <v/>
      </c>
      <c r="G242">
        <f>IF(ISBLANK('Q:\Abteilungsprojekte\eng\EngData\AOS\Allgemein\[LabSamples2025.xlsx]Bioplastic'!G242)," ",'Q:\Abteilungsprojekte\eng\EngData\AOS\Allgemein\[LabSamples2025.xlsx]Bioplastic'!G242)</f>
        <v/>
      </c>
      <c r="H242">
        <f>IF(ISBLANK('Q:\Abteilungsprojekte\eng\EngData\AOS\Allgemein\[LabSamples2025.xlsx]Bioplastic'!H242)," ",'Q:\Abteilungsprojekte\eng\EngData\AOS\Allgemein\[LabSamples2025.xlsx]Bioplastic'!H242)</f>
        <v/>
      </c>
    </row>
    <row r="243">
      <c r="A243">
        <f>IF(ISBLANK('Q:\Abteilungsprojekte\eng\EngData\AOS\Allgemein\[LabSamples2025.xlsx]Bioplastic'!A243)," ",'Q:\Abteilungsprojekte\eng\EngData\AOS\Allgemein\[LabSamples2025.xlsx]Bioplastic'!A243)</f>
        <v/>
      </c>
      <c r="B243">
        <f>IF(ISBLANK('Q:\Abteilungsprojekte\eng\EngData\AOS\Allgemein\[LabSamples2025.xlsx]Bioplastic'!B243)," ",'Q:\Abteilungsprojekte\eng\EngData\AOS\Allgemein\[LabSamples2025.xlsx]Bioplastic'!B243)</f>
        <v/>
      </c>
      <c r="C243">
        <f>IF(ISBLANK('Q:\Abteilungsprojekte\eng\EngData\AOS\Allgemein\[LabSamples2025.xlsx]Bioplastic'!C243)," ",'Q:\Abteilungsprojekte\eng\EngData\AOS\Allgemein\[LabSamples2025.xlsx]Bioplastic'!C243)</f>
        <v/>
      </c>
      <c r="D243">
        <f>IF(ISBLANK('Q:\Abteilungsprojekte\eng\EngData\AOS\Allgemein\[LabSamples2025.xlsx]Bioplastic'!D243)," ",'Q:\Abteilungsprojekte\eng\EngData\AOS\Allgemein\[LabSamples2025.xlsx]Bioplastic'!D243)</f>
        <v/>
      </c>
      <c r="E243">
        <f>IF(ISBLANK('Q:\Abteilungsprojekte\eng\EngData\AOS\Allgemein\[LabSamples2025.xlsx]Bioplastic'!E243)," ",'Q:\Abteilungsprojekte\eng\EngData\AOS\Allgemein\[LabSamples2025.xlsx]Bioplastic'!E243)</f>
        <v/>
      </c>
      <c r="F243">
        <f>IF(ISBLANK('Q:\Abteilungsprojekte\eng\EngData\AOS\Allgemein\[LabSamples2025.xlsx]Bioplastic'!F243)," ",'Q:\Abteilungsprojekte\eng\EngData\AOS\Allgemein\[LabSamples2025.xlsx]Bioplastic'!F243)</f>
        <v/>
      </c>
      <c r="G243">
        <f>IF(ISBLANK('Q:\Abteilungsprojekte\eng\EngData\AOS\Allgemein\[LabSamples2025.xlsx]Bioplastic'!G243)," ",'Q:\Abteilungsprojekte\eng\EngData\AOS\Allgemein\[LabSamples2025.xlsx]Bioplastic'!G243)</f>
        <v/>
      </c>
      <c r="H243">
        <f>IF(ISBLANK('Q:\Abteilungsprojekte\eng\EngData\AOS\Allgemein\[LabSamples2025.xlsx]Bioplastic'!H243)," ",'Q:\Abteilungsprojekte\eng\EngData\AOS\Allgemein\[LabSamples2025.xlsx]Bioplastic'!H243)</f>
        <v/>
      </c>
    </row>
    <row r="244">
      <c r="A244">
        <f>IF(ISBLANK('Q:\Abteilungsprojekte\eng\EngData\AOS\Allgemein\[LabSamples2025.xlsx]Bioplastic'!A244)," ",'Q:\Abteilungsprojekte\eng\EngData\AOS\Allgemein\[LabSamples2025.xlsx]Bioplastic'!A244)</f>
        <v/>
      </c>
      <c r="B244">
        <f>IF(ISBLANK('Q:\Abteilungsprojekte\eng\EngData\AOS\Allgemein\[LabSamples2025.xlsx]Bioplastic'!B244)," ",'Q:\Abteilungsprojekte\eng\EngData\AOS\Allgemein\[LabSamples2025.xlsx]Bioplastic'!B244)</f>
        <v/>
      </c>
      <c r="C244">
        <f>IF(ISBLANK('Q:\Abteilungsprojekte\eng\EngData\AOS\Allgemein\[LabSamples2025.xlsx]Bioplastic'!C244)," ",'Q:\Abteilungsprojekte\eng\EngData\AOS\Allgemein\[LabSamples2025.xlsx]Bioplastic'!C244)</f>
        <v/>
      </c>
      <c r="D244">
        <f>IF(ISBLANK('Q:\Abteilungsprojekte\eng\EngData\AOS\Allgemein\[LabSamples2025.xlsx]Bioplastic'!D244)," ",'Q:\Abteilungsprojekte\eng\EngData\AOS\Allgemein\[LabSamples2025.xlsx]Bioplastic'!D244)</f>
        <v/>
      </c>
      <c r="E244">
        <f>IF(ISBLANK('Q:\Abteilungsprojekte\eng\EngData\AOS\Allgemein\[LabSamples2025.xlsx]Bioplastic'!E244)," ",'Q:\Abteilungsprojekte\eng\EngData\AOS\Allgemein\[LabSamples2025.xlsx]Bioplastic'!E244)</f>
        <v/>
      </c>
      <c r="F244">
        <f>IF(ISBLANK('Q:\Abteilungsprojekte\eng\EngData\AOS\Allgemein\[LabSamples2025.xlsx]Bioplastic'!F244)," ",'Q:\Abteilungsprojekte\eng\EngData\AOS\Allgemein\[LabSamples2025.xlsx]Bioplastic'!F244)</f>
        <v/>
      </c>
      <c r="G244">
        <f>IF(ISBLANK('Q:\Abteilungsprojekte\eng\EngData\AOS\Allgemein\[LabSamples2025.xlsx]Bioplastic'!G244)," ",'Q:\Abteilungsprojekte\eng\EngData\AOS\Allgemein\[LabSamples2025.xlsx]Bioplastic'!G244)</f>
        <v/>
      </c>
      <c r="H244">
        <f>IF(ISBLANK('Q:\Abteilungsprojekte\eng\EngData\AOS\Allgemein\[LabSamples2025.xlsx]Bioplastic'!H244)," ",'Q:\Abteilungsprojekte\eng\EngData\AOS\Allgemein\[LabSamples2025.xlsx]Bioplastic'!H244)</f>
        <v/>
      </c>
    </row>
    <row r="245">
      <c r="A245">
        <f>IF(ISBLANK('Q:\Abteilungsprojekte\eng\EngData\AOS\Allgemein\[LabSamples2025.xlsx]Bioplastic'!A245)," ",'Q:\Abteilungsprojekte\eng\EngData\AOS\Allgemein\[LabSamples2025.xlsx]Bioplastic'!A245)</f>
        <v/>
      </c>
      <c r="B245">
        <f>IF(ISBLANK('Q:\Abteilungsprojekte\eng\EngData\AOS\Allgemein\[LabSamples2025.xlsx]Bioplastic'!B245)," ",'Q:\Abteilungsprojekte\eng\EngData\AOS\Allgemein\[LabSamples2025.xlsx]Bioplastic'!B245)</f>
        <v/>
      </c>
      <c r="C245">
        <f>IF(ISBLANK('Q:\Abteilungsprojekte\eng\EngData\AOS\Allgemein\[LabSamples2025.xlsx]Bioplastic'!C245)," ",'Q:\Abteilungsprojekte\eng\EngData\AOS\Allgemein\[LabSamples2025.xlsx]Bioplastic'!C245)</f>
        <v/>
      </c>
      <c r="D245">
        <f>IF(ISBLANK('Q:\Abteilungsprojekte\eng\EngData\AOS\Allgemein\[LabSamples2025.xlsx]Bioplastic'!D245)," ",'Q:\Abteilungsprojekte\eng\EngData\AOS\Allgemein\[LabSamples2025.xlsx]Bioplastic'!D245)</f>
        <v/>
      </c>
      <c r="E245">
        <f>IF(ISBLANK('Q:\Abteilungsprojekte\eng\EngData\AOS\Allgemein\[LabSamples2025.xlsx]Bioplastic'!E245)," ",'Q:\Abteilungsprojekte\eng\EngData\AOS\Allgemein\[LabSamples2025.xlsx]Bioplastic'!E245)</f>
        <v/>
      </c>
      <c r="F245">
        <f>IF(ISBLANK('Q:\Abteilungsprojekte\eng\EngData\AOS\Allgemein\[LabSamples2025.xlsx]Bioplastic'!F245)," ",'Q:\Abteilungsprojekte\eng\EngData\AOS\Allgemein\[LabSamples2025.xlsx]Bioplastic'!F245)</f>
        <v/>
      </c>
      <c r="G245">
        <f>IF(ISBLANK('Q:\Abteilungsprojekte\eng\EngData\AOS\Allgemein\[LabSamples2025.xlsx]Bioplastic'!G245)," ",'Q:\Abteilungsprojekte\eng\EngData\AOS\Allgemein\[LabSamples2025.xlsx]Bioplastic'!G245)</f>
        <v/>
      </c>
      <c r="H245">
        <f>IF(ISBLANK('Q:\Abteilungsprojekte\eng\EngData\AOS\Allgemein\[LabSamples2025.xlsx]Bioplastic'!H245)," ",'Q:\Abteilungsprojekte\eng\EngData\AOS\Allgemein\[LabSamples2025.xlsx]Bioplastic'!H245)</f>
        <v/>
      </c>
    </row>
    <row r="246">
      <c r="A246">
        <f>IF(ISBLANK('Q:\Abteilungsprojekte\eng\EngData\AOS\Allgemein\[LabSamples2025.xlsx]Bioplastic'!A246)," ",'Q:\Abteilungsprojekte\eng\EngData\AOS\Allgemein\[LabSamples2025.xlsx]Bioplastic'!A246)</f>
        <v/>
      </c>
      <c r="B246">
        <f>IF(ISBLANK('Q:\Abteilungsprojekte\eng\EngData\AOS\Allgemein\[LabSamples2025.xlsx]Bioplastic'!B246)," ",'Q:\Abteilungsprojekte\eng\EngData\AOS\Allgemein\[LabSamples2025.xlsx]Bioplastic'!B246)</f>
        <v/>
      </c>
      <c r="C246">
        <f>IF(ISBLANK('Q:\Abteilungsprojekte\eng\EngData\AOS\Allgemein\[LabSamples2025.xlsx]Bioplastic'!C246)," ",'Q:\Abteilungsprojekte\eng\EngData\AOS\Allgemein\[LabSamples2025.xlsx]Bioplastic'!C246)</f>
        <v/>
      </c>
      <c r="D246">
        <f>IF(ISBLANK('Q:\Abteilungsprojekte\eng\EngData\AOS\Allgemein\[LabSamples2025.xlsx]Bioplastic'!D246)," ",'Q:\Abteilungsprojekte\eng\EngData\AOS\Allgemein\[LabSamples2025.xlsx]Bioplastic'!D246)</f>
        <v/>
      </c>
      <c r="E246">
        <f>IF(ISBLANK('Q:\Abteilungsprojekte\eng\EngData\AOS\Allgemein\[LabSamples2025.xlsx]Bioplastic'!E246)," ",'Q:\Abteilungsprojekte\eng\EngData\AOS\Allgemein\[LabSamples2025.xlsx]Bioplastic'!E246)</f>
        <v/>
      </c>
      <c r="F246">
        <f>IF(ISBLANK('Q:\Abteilungsprojekte\eng\EngData\AOS\Allgemein\[LabSamples2025.xlsx]Bioplastic'!F246)," ",'Q:\Abteilungsprojekte\eng\EngData\AOS\Allgemein\[LabSamples2025.xlsx]Bioplastic'!F246)</f>
        <v/>
      </c>
      <c r="G246">
        <f>IF(ISBLANK('Q:\Abteilungsprojekte\eng\EngData\AOS\Allgemein\[LabSamples2025.xlsx]Bioplastic'!G246)," ",'Q:\Abteilungsprojekte\eng\EngData\AOS\Allgemein\[LabSamples2025.xlsx]Bioplastic'!G246)</f>
        <v/>
      </c>
      <c r="H246">
        <f>IF(ISBLANK('Q:\Abteilungsprojekte\eng\EngData\AOS\Allgemein\[LabSamples2025.xlsx]Bioplastic'!H246)," ",'Q:\Abteilungsprojekte\eng\EngData\AOS\Allgemein\[LabSamples2025.xlsx]Bioplastic'!H246)</f>
        <v/>
      </c>
    </row>
    <row r="247">
      <c r="A247">
        <f>IF(ISBLANK('Q:\Abteilungsprojekte\eng\EngData\AOS\Allgemein\[LabSamples2025.xlsx]Bioplastic'!A247)," ",'Q:\Abteilungsprojekte\eng\EngData\AOS\Allgemein\[LabSamples2025.xlsx]Bioplastic'!A247)</f>
        <v/>
      </c>
      <c r="B247">
        <f>IF(ISBLANK('Q:\Abteilungsprojekte\eng\EngData\AOS\Allgemein\[LabSamples2025.xlsx]Bioplastic'!B247)," ",'Q:\Abteilungsprojekte\eng\EngData\AOS\Allgemein\[LabSamples2025.xlsx]Bioplastic'!B247)</f>
        <v/>
      </c>
      <c r="C247">
        <f>IF(ISBLANK('Q:\Abteilungsprojekte\eng\EngData\AOS\Allgemein\[LabSamples2025.xlsx]Bioplastic'!C247)," ",'Q:\Abteilungsprojekte\eng\EngData\AOS\Allgemein\[LabSamples2025.xlsx]Bioplastic'!C247)</f>
        <v/>
      </c>
      <c r="D247">
        <f>IF(ISBLANK('Q:\Abteilungsprojekte\eng\EngData\AOS\Allgemein\[LabSamples2025.xlsx]Bioplastic'!D247)," ",'Q:\Abteilungsprojekte\eng\EngData\AOS\Allgemein\[LabSamples2025.xlsx]Bioplastic'!D247)</f>
        <v/>
      </c>
      <c r="E247">
        <f>IF(ISBLANK('Q:\Abteilungsprojekte\eng\EngData\AOS\Allgemein\[LabSamples2025.xlsx]Bioplastic'!E247)," ",'Q:\Abteilungsprojekte\eng\EngData\AOS\Allgemein\[LabSamples2025.xlsx]Bioplastic'!E247)</f>
        <v/>
      </c>
      <c r="F247">
        <f>IF(ISBLANK('Q:\Abteilungsprojekte\eng\EngData\AOS\Allgemein\[LabSamples2025.xlsx]Bioplastic'!F247)," ",'Q:\Abteilungsprojekte\eng\EngData\AOS\Allgemein\[LabSamples2025.xlsx]Bioplastic'!F247)</f>
        <v/>
      </c>
      <c r="G247">
        <f>IF(ISBLANK('Q:\Abteilungsprojekte\eng\EngData\AOS\Allgemein\[LabSamples2025.xlsx]Bioplastic'!G247)," ",'Q:\Abteilungsprojekte\eng\EngData\AOS\Allgemein\[LabSamples2025.xlsx]Bioplastic'!G247)</f>
        <v/>
      </c>
      <c r="H247">
        <f>IF(ISBLANK('Q:\Abteilungsprojekte\eng\EngData\AOS\Allgemein\[LabSamples2025.xlsx]Bioplastic'!H247)," ",'Q:\Abteilungsprojekte\eng\EngData\AOS\Allgemein\[LabSamples2025.xlsx]Bioplastic'!H247)</f>
        <v/>
      </c>
    </row>
    <row r="248">
      <c r="A248">
        <f>IF(ISBLANK('Q:\Abteilungsprojekte\eng\EngData\AOS\Allgemein\[LabSamples2025.xlsx]Bioplastic'!A248)," ",'Q:\Abteilungsprojekte\eng\EngData\AOS\Allgemein\[LabSamples2025.xlsx]Bioplastic'!A248)</f>
        <v/>
      </c>
      <c r="B248">
        <f>IF(ISBLANK('Q:\Abteilungsprojekte\eng\EngData\AOS\Allgemein\[LabSamples2025.xlsx]Bioplastic'!B248)," ",'Q:\Abteilungsprojekte\eng\EngData\AOS\Allgemein\[LabSamples2025.xlsx]Bioplastic'!B248)</f>
        <v/>
      </c>
      <c r="C248">
        <f>IF(ISBLANK('Q:\Abteilungsprojekte\eng\EngData\AOS\Allgemein\[LabSamples2025.xlsx]Bioplastic'!C248)," ",'Q:\Abteilungsprojekte\eng\EngData\AOS\Allgemein\[LabSamples2025.xlsx]Bioplastic'!C248)</f>
        <v/>
      </c>
      <c r="D248">
        <f>IF(ISBLANK('Q:\Abteilungsprojekte\eng\EngData\AOS\Allgemein\[LabSamples2025.xlsx]Bioplastic'!D248)," ",'Q:\Abteilungsprojekte\eng\EngData\AOS\Allgemein\[LabSamples2025.xlsx]Bioplastic'!D248)</f>
        <v/>
      </c>
      <c r="E248">
        <f>IF(ISBLANK('Q:\Abteilungsprojekte\eng\EngData\AOS\Allgemein\[LabSamples2025.xlsx]Bioplastic'!E248)," ",'Q:\Abteilungsprojekte\eng\EngData\AOS\Allgemein\[LabSamples2025.xlsx]Bioplastic'!E248)</f>
        <v/>
      </c>
      <c r="F248">
        <f>IF(ISBLANK('Q:\Abteilungsprojekte\eng\EngData\AOS\Allgemein\[LabSamples2025.xlsx]Bioplastic'!F248)," ",'Q:\Abteilungsprojekte\eng\EngData\AOS\Allgemein\[LabSamples2025.xlsx]Bioplastic'!F248)</f>
        <v/>
      </c>
      <c r="G248">
        <f>IF(ISBLANK('Q:\Abteilungsprojekte\eng\EngData\AOS\Allgemein\[LabSamples2025.xlsx]Bioplastic'!G248)," ",'Q:\Abteilungsprojekte\eng\EngData\AOS\Allgemein\[LabSamples2025.xlsx]Bioplastic'!G248)</f>
        <v/>
      </c>
      <c r="H248">
        <f>IF(ISBLANK('Q:\Abteilungsprojekte\eng\EngData\AOS\Allgemein\[LabSamples2025.xlsx]Bioplastic'!H248)," ",'Q:\Abteilungsprojekte\eng\EngData\AOS\Allgemein\[LabSamples2025.xlsx]Bioplastic'!H248)</f>
        <v/>
      </c>
    </row>
    <row r="249">
      <c r="A249">
        <f>IF(ISBLANK('Q:\Abteilungsprojekte\eng\EngData\AOS\Allgemein\[LabSamples2025.xlsx]Bioplastic'!A249)," ",'Q:\Abteilungsprojekte\eng\EngData\AOS\Allgemein\[LabSamples2025.xlsx]Bioplastic'!A249)</f>
        <v/>
      </c>
      <c r="B249">
        <f>IF(ISBLANK('Q:\Abteilungsprojekte\eng\EngData\AOS\Allgemein\[LabSamples2025.xlsx]Bioplastic'!B249)," ",'Q:\Abteilungsprojekte\eng\EngData\AOS\Allgemein\[LabSamples2025.xlsx]Bioplastic'!B249)</f>
        <v/>
      </c>
      <c r="C249">
        <f>IF(ISBLANK('Q:\Abteilungsprojekte\eng\EngData\AOS\Allgemein\[LabSamples2025.xlsx]Bioplastic'!C249)," ",'Q:\Abteilungsprojekte\eng\EngData\AOS\Allgemein\[LabSamples2025.xlsx]Bioplastic'!C249)</f>
        <v/>
      </c>
      <c r="D249">
        <f>IF(ISBLANK('Q:\Abteilungsprojekte\eng\EngData\AOS\Allgemein\[LabSamples2025.xlsx]Bioplastic'!D249)," ",'Q:\Abteilungsprojekte\eng\EngData\AOS\Allgemein\[LabSamples2025.xlsx]Bioplastic'!D249)</f>
        <v/>
      </c>
      <c r="E249">
        <f>IF(ISBLANK('Q:\Abteilungsprojekte\eng\EngData\AOS\Allgemein\[LabSamples2025.xlsx]Bioplastic'!E249)," ",'Q:\Abteilungsprojekte\eng\EngData\AOS\Allgemein\[LabSamples2025.xlsx]Bioplastic'!E249)</f>
        <v/>
      </c>
      <c r="F249">
        <f>IF(ISBLANK('Q:\Abteilungsprojekte\eng\EngData\AOS\Allgemein\[LabSamples2025.xlsx]Bioplastic'!F249)," ",'Q:\Abteilungsprojekte\eng\EngData\AOS\Allgemein\[LabSamples2025.xlsx]Bioplastic'!F249)</f>
        <v/>
      </c>
      <c r="G249">
        <f>IF(ISBLANK('Q:\Abteilungsprojekte\eng\EngData\AOS\Allgemein\[LabSamples2025.xlsx]Bioplastic'!G249)," ",'Q:\Abteilungsprojekte\eng\EngData\AOS\Allgemein\[LabSamples2025.xlsx]Bioplastic'!G249)</f>
        <v/>
      </c>
      <c r="H249">
        <f>IF(ISBLANK('Q:\Abteilungsprojekte\eng\EngData\AOS\Allgemein\[LabSamples2025.xlsx]Bioplastic'!H249)," ",'Q:\Abteilungsprojekte\eng\EngData\AOS\Allgemein\[LabSamples2025.xlsx]Bioplastic'!H249)</f>
        <v/>
      </c>
    </row>
    <row r="250">
      <c r="A250">
        <f>IF(ISBLANK('Q:\Abteilungsprojekte\eng\EngData\AOS\Allgemein\[LabSamples2025.xlsx]Bioplastic'!A250)," ",'Q:\Abteilungsprojekte\eng\EngData\AOS\Allgemein\[LabSamples2025.xlsx]Bioplastic'!A250)</f>
        <v/>
      </c>
      <c r="B250">
        <f>IF(ISBLANK('Q:\Abteilungsprojekte\eng\EngData\AOS\Allgemein\[LabSamples2025.xlsx]Bioplastic'!B250)," ",'Q:\Abteilungsprojekte\eng\EngData\AOS\Allgemein\[LabSamples2025.xlsx]Bioplastic'!B250)</f>
        <v/>
      </c>
      <c r="C250">
        <f>IF(ISBLANK('Q:\Abteilungsprojekte\eng\EngData\AOS\Allgemein\[LabSamples2025.xlsx]Bioplastic'!C250)," ",'Q:\Abteilungsprojekte\eng\EngData\AOS\Allgemein\[LabSamples2025.xlsx]Bioplastic'!C250)</f>
        <v/>
      </c>
      <c r="D250">
        <f>IF(ISBLANK('Q:\Abteilungsprojekte\eng\EngData\AOS\Allgemein\[LabSamples2025.xlsx]Bioplastic'!D250)," ",'Q:\Abteilungsprojekte\eng\EngData\AOS\Allgemein\[LabSamples2025.xlsx]Bioplastic'!D250)</f>
        <v/>
      </c>
      <c r="E250">
        <f>IF(ISBLANK('Q:\Abteilungsprojekte\eng\EngData\AOS\Allgemein\[LabSamples2025.xlsx]Bioplastic'!E250)," ",'Q:\Abteilungsprojekte\eng\EngData\AOS\Allgemein\[LabSamples2025.xlsx]Bioplastic'!E250)</f>
        <v/>
      </c>
      <c r="F250">
        <f>IF(ISBLANK('Q:\Abteilungsprojekte\eng\EngData\AOS\Allgemein\[LabSamples2025.xlsx]Bioplastic'!F250)," ",'Q:\Abteilungsprojekte\eng\EngData\AOS\Allgemein\[LabSamples2025.xlsx]Bioplastic'!F250)</f>
        <v/>
      </c>
      <c r="G250">
        <f>IF(ISBLANK('Q:\Abteilungsprojekte\eng\EngData\AOS\Allgemein\[LabSamples2025.xlsx]Bioplastic'!G250)," ",'Q:\Abteilungsprojekte\eng\EngData\AOS\Allgemein\[LabSamples2025.xlsx]Bioplastic'!G250)</f>
        <v/>
      </c>
      <c r="H250">
        <f>IF(ISBLANK('Q:\Abteilungsprojekte\eng\EngData\AOS\Allgemein\[LabSamples2025.xlsx]Bioplastic'!H250)," ",'Q:\Abteilungsprojekte\eng\EngData\AOS\Allgemein\[LabSamples2025.xlsx]Bioplastic'!H250)</f>
        <v/>
      </c>
    </row>
    <row r="251">
      <c r="A251">
        <f>IF(ISBLANK('Q:\Abteilungsprojekte\eng\EngData\AOS\Allgemein\[LabSamples2025.xlsx]Bioplastic'!A251)," ",'Q:\Abteilungsprojekte\eng\EngData\AOS\Allgemein\[LabSamples2025.xlsx]Bioplastic'!A251)</f>
        <v/>
      </c>
      <c r="B251">
        <f>IF(ISBLANK('Q:\Abteilungsprojekte\eng\EngData\AOS\Allgemein\[LabSamples2025.xlsx]Bioplastic'!B251)," ",'Q:\Abteilungsprojekte\eng\EngData\AOS\Allgemein\[LabSamples2025.xlsx]Bioplastic'!B251)</f>
        <v/>
      </c>
      <c r="C251">
        <f>IF(ISBLANK('Q:\Abteilungsprojekte\eng\EngData\AOS\Allgemein\[LabSamples2025.xlsx]Bioplastic'!C251)," ",'Q:\Abteilungsprojekte\eng\EngData\AOS\Allgemein\[LabSamples2025.xlsx]Bioplastic'!C251)</f>
        <v/>
      </c>
      <c r="D251">
        <f>IF(ISBLANK('Q:\Abteilungsprojekte\eng\EngData\AOS\Allgemein\[LabSamples2025.xlsx]Bioplastic'!D251)," ",'Q:\Abteilungsprojekte\eng\EngData\AOS\Allgemein\[LabSamples2025.xlsx]Bioplastic'!D251)</f>
        <v/>
      </c>
      <c r="E251">
        <f>IF(ISBLANK('Q:\Abteilungsprojekte\eng\EngData\AOS\Allgemein\[LabSamples2025.xlsx]Bioplastic'!E251)," ",'Q:\Abteilungsprojekte\eng\EngData\AOS\Allgemein\[LabSamples2025.xlsx]Bioplastic'!E251)</f>
        <v/>
      </c>
      <c r="F251">
        <f>IF(ISBLANK('Q:\Abteilungsprojekte\eng\EngData\AOS\Allgemein\[LabSamples2025.xlsx]Bioplastic'!F251)," ",'Q:\Abteilungsprojekte\eng\EngData\AOS\Allgemein\[LabSamples2025.xlsx]Bioplastic'!F251)</f>
        <v/>
      </c>
      <c r="G251">
        <f>IF(ISBLANK('Q:\Abteilungsprojekte\eng\EngData\AOS\Allgemein\[LabSamples2025.xlsx]Bioplastic'!G251)," ",'Q:\Abteilungsprojekte\eng\EngData\AOS\Allgemein\[LabSamples2025.xlsx]Bioplastic'!G251)</f>
        <v/>
      </c>
      <c r="H251">
        <f>IF(ISBLANK('Q:\Abteilungsprojekte\eng\EngData\AOS\Allgemein\[LabSamples2025.xlsx]Bioplastic'!H251)," ",'Q:\Abteilungsprojekte\eng\EngData\AOS\Allgemein\[LabSamples2025.xlsx]Bioplastic'!H251)</f>
        <v/>
      </c>
    </row>
    <row r="252">
      <c r="A252">
        <f>IF(ISBLANK('Q:\Abteilungsprojekte\eng\EngData\AOS\Allgemein\[LabSamples2025.xlsx]Bioplastic'!A252)," ",'Q:\Abteilungsprojekte\eng\EngData\AOS\Allgemein\[LabSamples2025.xlsx]Bioplastic'!A252)</f>
        <v/>
      </c>
      <c r="B252">
        <f>IF(ISBLANK('Q:\Abteilungsprojekte\eng\EngData\AOS\Allgemein\[LabSamples2025.xlsx]Bioplastic'!B252)," ",'Q:\Abteilungsprojekte\eng\EngData\AOS\Allgemein\[LabSamples2025.xlsx]Bioplastic'!B252)</f>
        <v/>
      </c>
      <c r="C252">
        <f>IF(ISBLANK('Q:\Abteilungsprojekte\eng\EngData\AOS\Allgemein\[LabSamples2025.xlsx]Bioplastic'!C252)," ",'Q:\Abteilungsprojekte\eng\EngData\AOS\Allgemein\[LabSamples2025.xlsx]Bioplastic'!C252)</f>
        <v/>
      </c>
      <c r="D252">
        <f>IF(ISBLANK('Q:\Abteilungsprojekte\eng\EngData\AOS\Allgemein\[LabSamples2025.xlsx]Bioplastic'!D252)," ",'Q:\Abteilungsprojekte\eng\EngData\AOS\Allgemein\[LabSamples2025.xlsx]Bioplastic'!D252)</f>
        <v/>
      </c>
      <c r="E252">
        <f>IF(ISBLANK('Q:\Abteilungsprojekte\eng\EngData\AOS\Allgemein\[LabSamples2025.xlsx]Bioplastic'!E252)," ",'Q:\Abteilungsprojekte\eng\EngData\AOS\Allgemein\[LabSamples2025.xlsx]Bioplastic'!E252)</f>
        <v/>
      </c>
      <c r="F252">
        <f>IF(ISBLANK('Q:\Abteilungsprojekte\eng\EngData\AOS\Allgemein\[LabSamples2025.xlsx]Bioplastic'!F252)," ",'Q:\Abteilungsprojekte\eng\EngData\AOS\Allgemein\[LabSamples2025.xlsx]Bioplastic'!F252)</f>
        <v/>
      </c>
      <c r="G252">
        <f>IF(ISBLANK('Q:\Abteilungsprojekte\eng\EngData\AOS\Allgemein\[LabSamples2025.xlsx]Bioplastic'!G252)," ",'Q:\Abteilungsprojekte\eng\EngData\AOS\Allgemein\[LabSamples2025.xlsx]Bioplastic'!G252)</f>
        <v/>
      </c>
      <c r="H252">
        <f>IF(ISBLANK('Q:\Abteilungsprojekte\eng\EngData\AOS\Allgemein\[LabSamples2025.xlsx]Bioplastic'!H252)," ",'Q:\Abteilungsprojekte\eng\EngData\AOS\Allgemein\[LabSamples2025.xlsx]Bioplastic'!H252)</f>
        <v/>
      </c>
    </row>
    <row r="253">
      <c r="A253">
        <f>IF(ISBLANK('Q:\Abteilungsprojekte\eng\EngData\AOS\Allgemein\[LabSamples2025.xlsx]Bioplastic'!A253)," ",'Q:\Abteilungsprojekte\eng\EngData\AOS\Allgemein\[LabSamples2025.xlsx]Bioplastic'!A253)</f>
        <v/>
      </c>
      <c r="B253">
        <f>IF(ISBLANK('Q:\Abteilungsprojekte\eng\EngData\AOS\Allgemein\[LabSamples2025.xlsx]Bioplastic'!B253)," ",'Q:\Abteilungsprojekte\eng\EngData\AOS\Allgemein\[LabSamples2025.xlsx]Bioplastic'!B253)</f>
        <v/>
      </c>
      <c r="C253">
        <f>IF(ISBLANK('Q:\Abteilungsprojekte\eng\EngData\AOS\Allgemein\[LabSamples2025.xlsx]Bioplastic'!C253)," ",'Q:\Abteilungsprojekte\eng\EngData\AOS\Allgemein\[LabSamples2025.xlsx]Bioplastic'!C253)</f>
        <v/>
      </c>
      <c r="D253">
        <f>IF(ISBLANK('Q:\Abteilungsprojekte\eng\EngData\AOS\Allgemein\[LabSamples2025.xlsx]Bioplastic'!D253)," ",'Q:\Abteilungsprojekte\eng\EngData\AOS\Allgemein\[LabSamples2025.xlsx]Bioplastic'!D253)</f>
        <v/>
      </c>
      <c r="E253">
        <f>IF(ISBLANK('Q:\Abteilungsprojekte\eng\EngData\AOS\Allgemein\[LabSamples2025.xlsx]Bioplastic'!E253)," ",'Q:\Abteilungsprojekte\eng\EngData\AOS\Allgemein\[LabSamples2025.xlsx]Bioplastic'!E253)</f>
        <v/>
      </c>
      <c r="F253">
        <f>IF(ISBLANK('Q:\Abteilungsprojekte\eng\EngData\AOS\Allgemein\[LabSamples2025.xlsx]Bioplastic'!F253)," ",'Q:\Abteilungsprojekte\eng\EngData\AOS\Allgemein\[LabSamples2025.xlsx]Bioplastic'!F253)</f>
        <v/>
      </c>
      <c r="G253">
        <f>IF(ISBLANK('Q:\Abteilungsprojekte\eng\EngData\AOS\Allgemein\[LabSamples2025.xlsx]Bioplastic'!G253)," ",'Q:\Abteilungsprojekte\eng\EngData\AOS\Allgemein\[LabSamples2025.xlsx]Bioplastic'!G253)</f>
        <v/>
      </c>
      <c r="H253">
        <f>IF(ISBLANK('Q:\Abteilungsprojekte\eng\EngData\AOS\Allgemein\[LabSamples2025.xlsx]Bioplastic'!H253)," ",'Q:\Abteilungsprojekte\eng\EngData\AOS\Allgemein\[LabSamples2025.xlsx]Bioplastic'!H253)</f>
        <v/>
      </c>
    </row>
    <row r="254">
      <c r="A254">
        <f>IF(ISBLANK('Q:\Abteilungsprojekte\eng\EngData\AOS\Allgemein\[LabSamples2025.xlsx]Bioplastic'!A254)," ",'Q:\Abteilungsprojekte\eng\EngData\AOS\Allgemein\[LabSamples2025.xlsx]Bioplastic'!A254)</f>
        <v/>
      </c>
      <c r="B254">
        <f>IF(ISBLANK('Q:\Abteilungsprojekte\eng\EngData\AOS\Allgemein\[LabSamples2025.xlsx]Bioplastic'!B254)," ",'Q:\Abteilungsprojekte\eng\EngData\AOS\Allgemein\[LabSamples2025.xlsx]Bioplastic'!B254)</f>
        <v/>
      </c>
      <c r="C254">
        <f>IF(ISBLANK('Q:\Abteilungsprojekte\eng\EngData\AOS\Allgemein\[LabSamples2025.xlsx]Bioplastic'!C254)," ",'Q:\Abteilungsprojekte\eng\EngData\AOS\Allgemein\[LabSamples2025.xlsx]Bioplastic'!C254)</f>
        <v/>
      </c>
      <c r="D254">
        <f>IF(ISBLANK('Q:\Abteilungsprojekte\eng\EngData\AOS\Allgemein\[LabSamples2025.xlsx]Bioplastic'!D254)," ",'Q:\Abteilungsprojekte\eng\EngData\AOS\Allgemein\[LabSamples2025.xlsx]Bioplastic'!D254)</f>
        <v/>
      </c>
      <c r="E254">
        <f>IF(ISBLANK('Q:\Abteilungsprojekte\eng\EngData\AOS\Allgemein\[LabSamples2025.xlsx]Bioplastic'!E254)," ",'Q:\Abteilungsprojekte\eng\EngData\AOS\Allgemein\[LabSamples2025.xlsx]Bioplastic'!E254)</f>
        <v/>
      </c>
      <c r="F254">
        <f>IF(ISBLANK('Q:\Abteilungsprojekte\eng\EngData\AOS\Allgemein\[LabSamples2025.xlsx]Bioplastic'!F254)," ",'Q:\Abteilungsprojekte\eng\EngData\AOS\Allgemein\[LabSamples2025.xlsx]Bioplastic'!F254)</f>
        <v/>
      </c>
      <c r="G254">
        <f>IF(ISBLANK('Q:\Abteilungsprojekte\eng\EngData\AOS\Allgemein\[LabSamples2025.xlsx]Bioplastic'!G254)," ",'Q:\Abteilungsprojekte\eng\EngData\AOS\Allgemein\[LabSamples2025.xlsx]Bioplastic'!G254)</f>
        <v/>
      </c>
      <c r="H254">
        <f>IF(ISBLANK('Q:\Abteilungsprojekte\eng\EngData\AOS\Allgemein\[LabSamples2025.xlsx]Bioplastic'!H254)," ",'Q:\Abteilungsprojekte\eng\EngData\AOS\Allgemein\[LabSamples2025.xlsx]Bioplastic'!H254)</f>
        <v/>
      </c>
    </row>
    <row r="255">
      <c r="A255">
        <f>IF(ISBLANK('Q:\Abteilungsprojekte\eng\EngData\AOS\Allgemein\[LabSamples2025.xlsx]Bioplastic'!A255)," ",'Q:\Abteilungsprojekte\eng\EngData\AOS\Allgemein\[LabSamples2025.xlsx]Bioplastic'!A255)</f>
        <v/>
      </c>
      <c r="B255">
        <f>IF(ISBLANK('Q:\Abteilungsprojekte\eng\EngData\AOS\Allgemein\[LabSamples2025.xlsx]Bioplastic'!B255)," ",'Q:\Abteilungsprojekte\eng\EngData\AOS\Allgemein\[LabSamples2025.xlsx]Bioplastic'!B255)</f>
        <v/>
      </c>
      <c r="C255">
        <f>IF(ISBLANK('Q:\Abteilungsprojekte\eng\EngData\AOS\Allgemein\[LabSamples2025.xlsx]Bioplastic'!C255)," ",'Q:\Abteilungsprojekte\eng\EngData\AOS\Allgemein\[LabSamples2025.xlsx]Bioplastic'!C255)</f>
        <v/>
      </c>
      <c r="D255">
        <f>IF(ISBLANK('Q:\Abteilungsprojekte\eng\EngData\AOS\Allgemein\[LabSamples2025.xlsx]Bioplastic'!D255)," ",'Q:\Abteilungsprojekte\eng\EngData\AOS\Allgemein\[LabSamples2025.xlsx]Bioplastic'!D255)</f>
        <v/>
      </c>
      <c r="E255">
        <f>IF(ISBLANK('Q:\Abteilungsprojekte\eng\EngData\AOS\Allgemein\[LabSamples2025.xlsx]Bioplastic'!E255)," ",'Q:\Abteilungsprojekte\eng\EngData\AOS\Allgemein\[LabSamples2025.xlsx]Bioplastic'!E255)</f>
        <v/>
      </c>
      <c r="F255">
        <f>IF(ISBLANK('Q:\Abteilungsprojekte\eng\EngData\AOS\Allgemein\[LabSamples2025.xlsx]Bioplastic'!F255)," ",'Q:\Abteilungsprojekte\eng\EngData\AOS\Allgemein\[LabSamples2025.xlsx]Bioplastic'!F255)</f>
        <v/>
      </c>
      <c r="G255">
        <f>IF(ISBLANK('Q:\Abteilungsprojekte\eng\EngData\AOS\Allgemein\[LabSamples2025.xlsx]Bioplastic'!G255)," ",'Q:\Abteilungsprojekte\eng\EngData\AOS\Allgemein\[LabSamples2025.xlsx]Bioplastic'!G255)</f>
        <v/>
      </c>
      <c r="H255">
        <f>IF(ISBLANK('Q:\Abteilungsprojekte\eng\EngData\AOS\Allgemein\[LabSamples2025.xlsx]Bioplastic'!H255)," ",'Q:\Abteilungsprojekte\eng\EngData\AOS\Allgemein\[LabSamples2025.xlsx]Bioplastic'!H255)</f>
        <v/>
      </c>
    </row>
    <row r="256">
      <c r="A256">
        <f>IF(ISBLANK('Q:\Abteilungsprojekte\eng\EngData\AOS\Allgemein\[LabSamples2025.xlsx]Bioplastic'!A256)," ",'Q:\Abteilungsprojekte\eng\EngData\AOS\Allgemein\[LabSamples2025.xlsx]Bioplastic'!A256)</f>
        <v/>
      </c>
      <c r="B256">
        <f>IF(ISBLANK('Q:\Abteilungsprojekte\eng\EngData\AOS\Allgemein\[LabSamples2025.xlsx]Bioplastic'!B256)," ",'Q:\Abteilungsprojekte\eng\EngData\AOS\Allgemein\[LabSamples2025.xlsx]Bioplastic'!B256)</f>
        <v/>
      </c>
      <c r="C256">
        <f>IF(ISBLANK('Q:\Abteilungsprojekte\eng\EngData\AOS\Allgemein\[LabSamples2025.xlsx]Bioplastic'!C256)," ",'Q:\Abteilungsprojekte\eng\EngData\AOS\Allgemein\[LabSamples2025.xlsx]Bioplastic'!C256)</f>
        <v/>
      </c>
      <c r="D256">
        <f>IF(ISBLANK('Q:\Abteilungsprojekte\eng\EngData\AOS\Allgemein\[LabSamples2025.xlsx]Bioplastic'!D256)," ",'Q:\Abteilungsprojekte\eng\EngData\AOS\Allgemein\[LabSamples2025.xlsx]Bioplastic'!D256)</f>
        <v/>
      </c>
      <c r="E256">
        <f>IF(ISBLANK('Q:\Abteilungsprojekte\eng\EngData\AOS\Allgemein\[LabSamples2025.xlsx]Bioplastic'!E256)," ",'Q:\Abteilungsprojekte\eng\EngData\AOS\Allgemein\[LabSamples2025.xlsx]Bioplastic'!E256)</f>
        <v/>
      </c>
      <c r="F256">
        <f>IF(ISBLANK('Q:\Abteilungsprojekte\eng\EngData\AOS\Allgemein\[LabSamples2025.xlsx]Bioplastic'!F256)," ",'Q:\Abteilungsprojekte\eng\EngData\AOS\Allgemein\[LabSamples2025.xlsx]Bioplastic'!F256)</f>
        <v/>
      </c>
      <c r="G256">
        <f>IF(ISBLANK('Q:\Abteilungsprojekte\eng\EngData\AOS\Allgemein\[LabSamples2025.xlsx]Bioplastic'!G256)," ",'Q:\Abteilungsprojekte\eng\EngData\AOS\Allgemein\[LabSamples2025.xlsx]Bioplastic'!G256)</f>
        <v/>
      </c>
      <c r="H256">
        <f>IF(ISBLANK('Q:\Abteilungsprojekte\eng\EngData\AOS\Allgemein\[LabSamples2025.xlsx]Bioplastic'!H256)," ",'Q:\Abteilungsprojekte\eng\EngData\AOS\Allgemein\[LabSamples2025.xlsx]Bioplastic'!H256)</f>
        <v/>
      </c>
    </row>
    <row r="257">
      <c r="A257">
        <f>IF(ISBLANK('Q:\Abteilungsprojekte\eng\EngData\AOS\Allgemein\[LabSamples2025.xlsx]Bioplastic'!A257)," ",'Q:\Abteilungsprojekte\eng\EngData\AOS\Allgemein\[LabSamples2025.xlsx]Bioplastic'!A257)</f>
        <v/>
      </c>
      <c r="B257">
        <f>IF(ISBLANK('Q:\Abteilungsprojekte\eng\EngData\AOS\Allgemein\[LabSamples2025.xlsx]Bioplastic'!B257)," ",'Q:\Abteilungsprojekte\eng\EngData\AOS\Allgemein\[LabSamples2025.xlsx]Bioplastic'!B257)</f>
        <v/>
      </c>
      <c r="C257">
        <f>IF(ISBLANK('Q:\Abteilungsprojekte\eng\EngData\AOS\Allgemein\[LabSamples2025.xlsx]Bioplastic'!C257)," ",'Q:\Abteilungsprojekte\eng\EngData\AOS\Allgemein\[LabSamples2025.xlsx]Bioplastic'!C257)</f>
        <v/>
      </c>
      <c r="D257">
        <f>IF(ISBLANK('Q:\Abteilungsprojekte\eng\EngData\AOS\Allgemein\[LabSamples2025.xlsx]Bioplastic'!D257)," ",'Q:\Abteilungsprojekte\eng\EngData\AOS\Allgemein\[LabSamples2025.xlsx]Bioplastic'!D257)</f>
        <v/>
      </c>
      <c r="E257">
        <f>IF(ISBLANK('Q:\Abteilungsprojekte\eng\EngData\AOS\Allgemein\[LabSamples2025.xlsx]Bioplastic'!E257)," ",'Q:\Abteilungsprojekte\eng\EngData\AOS\Allgemein\[LabSamples2025.xlsx]Bioplastic'!E257)</f>
        <v/>
      </c>
      <c r="F257">
        <f>IF(ISBLANK('Q:\Abteilungsprojekte\eng\EngData\AOS\Allgemein\[LabSamples2025.xlsx]Bioplastic'!F257)," ",'Q:\Abteilungsprojekte\eng\EngData\AOS\Allgemein\[LabSamples2025.xlsx]Bioplastic'!F257)</f>
        <v/>
      </c>
      <c r="G257">
        <f>IF(ISBLANK('Q:\Abteilungsprojekte\eng\EngData\AOS\Allgemein\[LabSamples2025.xlsx]Bioplastic'!G257)," ",'Q:\Abteilungsprojekte\eng\EngData\AOS\Allgemein\[LabSamples2025.xlsx]Bioplastic'!G257)</f>
        <v/>
      </c>
      <c r="H257">
        <f>IF(ISBLANK('Q:\Abteilungsprojekte\eng\EngData\AOS\Allgemein\[LabSamples2025.xlsx]Bioplastic'!H257)," ",'Q:\Abteilungsprojekte\eng\EngData\AOS\Allgemein\[LabSamples2025.xlsx]Bioplastic'!H257)</f>
        <v/>
      </c>
    </row>
    <row r="258">
      <c r="A258">
        <f>IF(ISBLANK('Q:\Abteilungsprojekte\eng\EngData\AOS\Allgemein\[LabSamples2025.xlsx]Bioplastic'!A258)," ",'Q:\Abteilungsprojekte\eng\EngData\AOS\Allgemein\[LabSamples2025.xlsx]Bioplastic'!A258)</f>
        <v/>
      </c>
      <c r="B258">
        <f>IF(ISBLANK('Q:\Abteilungsprojekte\eng\EngData\AOS\Allgemein\[LabSamples2025.xlsx]Bioplastic'!B258)," ",'Q:\Abteilungsprojekte\eng\EngData\AOS\Allgemein\[LabSamples2025.xlsx]Bioplastic'!B258)</f>
        <v/>
      </c>
      <c r="C258">
        <f>IF(ISBLANK('Q:\Abteilungsprojekte\eng\EngData\AOS\Allgemein\[LabSamples2025.xlsx]Bioplastic'!C258)," ",'Q:\Abteilungsprojekte\eng\EngData\AOS\Allgemein\[LabSamples2025.xlsx]Bioplastic'!C258)</f>
        <v/>
      </c>
      <c r="D258">
        <f>IF(ISBLANK('Q:\Abteilungsprojekte\eng\EngData\AOS\Allgemein\[LabSamples2025.xlsx]Bioplastic'!D258)," ",'Q:\Abteilungsprojekte\eng\EngData\AOS\Allgemein\[LabSamples2025.xlsx]Bioplastic'!D258)</f>
        <v/>
      </c>
      <c r="E258">
        <f>IF(ISBLANK('Q:\Abteilungsprojekte\eng\EngData\AOS\Allgemein\[LabSamples2025.xlsx]Bioplastic'!E258)," ",'Q:\Abteilungsprojekte\eng\EngData\AOS\Allgemein\[LabSamples2025.xlsx]Bioplastic'!E258)</f>
        <v/>
      </c>
      <c r="F258">
        <f>IF(ISBLANK('Q:\Abteilungsprojekte\eng\EngData\AOS\Allgemein\[LabSamples2025.xlsx]Bioplastic'!F258)," ",'Q:\Abteilungsprojekte\eng\EngData\AOS\Allgemein\[LabSamples2025.xlsx]Bioplastic'!F258)</f>
        <v/>
      </c>
      <c r="G258">
        <f>IF(ISBLANK('Q:\Abteilungsprojekte\eng\EngData\AOS\Allgemein\[LabSamples2025.xlsx]Bioplastic'!G258)," ",'Q:\Abteilungsprojekte\eng\EngData\AOS\Allgemein\[LabSamples2025.xlsx]Bioplastic'!G258)</f>
        <v/>
      </c>
      <c r="H258">
        <f>IF(ISBLANK('Q:\Abteilungsprojekte\eng\EngData\AOS\Allgemein\[LabSamples2025.xlsx]Bioplastic'!H258)," ",'Q:\Abteilungsprojekte\eng\EngData\AOS\Allgemein\[LabSamples2025.xlsx]Bioplastic'!H258)</f>
        <v/>
      </c>
    </row>
    <row r="259">
      <c r="A259">
        <f>IF(ISBLANK('Q:\Abteilungsprojekte\eng\EngData\AOS\Allgemein\[LabSamples2025.xlsx]Bioplastic'!A259)," ",'Q:\Abteilungsprojekte\eng\EngData\AOS\Allgemein\[LabSamples2025.xlsx]Bioplastic'!A259)</f>
        <v/>
      </c>
      <c r="B259">
        <f>IF(ISBLANK('Q:\Abteilungsprojekte\eng\EngData\AOS\Allgemein\[LabSamples2025.xlsx]Bioplastic'!B259)," ",'Q:\Abteilungsprojekte\eng\EngData\AOS\Allgemein\[LabSamples2025.xlsx]Bioplastic'!B259)</f>
        <v/>
      </c>
      <c r="C259">
        <f>IF(ISBLANK('Q:\Abteilungsprojekte\eng\EngData\AOS\Allgemein\[LabSamples2025.xlsx]Bioplastic'!C259)," ",'Q:\Abteilungsprojekte\eng\EngData\AOS\Allgemein\[LabSamples2025.xlsx]Bioplastic'!C259)</f>
        <v/>
      </c>
      <c r="D259">
        <f>IF(ISBLANK('Q:\Abteilungsprojekte\eng\EngData\AOS\Allgemein\[LabSamples2025.xlsx]Bioplastic'!D259)," ",'Q:\Abteilungsprojekte\eng\EngData\AOS\Allgemein\[LabSamples2025.xlsx]Bioplastic'!D259)</f>
        <v/>
      </c>
      <c r="E259">
        <f>IF(ISBLANK('Q:\Abteilungsprojekte\eng\EngData\AOS\Allgemein\[LabSamples2025.xlsx]Bioplastic'!E259)," ",'Q:\Abteilungsprojekte\eng\EngData\AOS\Allgemein\[LabSamples2025.xlsx]Bioplastic'!E259)</f>
        <v/>
      </c>
      <c r="F259">
        <f>IF(ISBLANK('Q:\Abteilungsprojekte\eng\EngData\AOS\Allgemein\[LabSamples2025.xlsx]Bioplastic'!F259)," ",'Q:\Abteilungsprojekte\eng\EngData\AOS\Allgemein\[LabSamples2025.xlsx]Bioplastic'!F259)</f>
        <v/>
      </c>
      <c r="G259">
        <f>IF(ISBLANK('Q:\Abteilungsprojekte\eng\EngData\AOS\Allgemein\[LabSamples2025.xlsx]Bioplastic'!G259)," ",'Q:\Abteilungsprojekte\eng\EngData\AOS\Allgemein\[LabSamples2025.xlsx]Bioplastic'!G259)</f>
        <v/>
      </c>
      <c r="H259">
        <f>IF(ISBLANK('Q:\Abteilungsprojekte\eng\EngData\AOS\Allgemein\[LabSamples2025.xlsx]Bioplastic'!H259)," ",'Q:\Abteilungsprojekte\eng\EngData\AOS\Allgemein\[LabSamples2025.xlsx]Bioplastic'!H259)</f>
        <v/>
      </c>
    </row>
    <row r="260">
      <c r="A260">
        <f>IF(ISBLANK('Q:\Abteilungsprojekte\eng\EngData\AOS\Allgemein\[LabSamples2025.xlsx]Bioplastic'!A260)," ",'Q:\Abteilungsprojekte\eng\EngData\AOS\Allgemein\[LabSamples2025.xlsx]Bioplastic'!A260)</f>
        <v/>
      </c>
      <c r="B260">
        <f>IF(ISBLANK('Q:\Abteilungsprojekte\eng\EngData\AOS\Allgemein\[LabSamples2025.xlsx]Bioplastic'!B260)," ",'Q:\Abteilungsprojekte\eng\EngData\AOS\Allgemein\[LabSamples2025.xlsx]Bioplastic'!B260)</f>
        <v/>
      </c>
      <c r="C260">
        <f>IF(ISBLANK('Q:\Abteilungsprojekte\eng\EngData\AOS\Allgemein\[LabSamples2025.xlsx]Bioplastic'!C260)," ",'Q:\Abteilungsprojekte\eng\EngData\AOS\Allgemein\[LabSamples2025.xlsx]Bioplastic'!C260)</f>
        <v/>
      </c>
      <c r="D260">
        <f>IF(ISBLANK('Q:\Abteilungsprojekte\eng\EngData\AOS\Allgemein\[LabSamples2025.xlsx]Bioplastic'!D260)," ",'Q:\Abteilungsprojekte\eng\EngData\AOS\Allgemein\[LabSamples2025.xlsx]Bioplastic'!D260)</f>
        <v/>
      </c>
      <c r="E260">
        <f>IF(ISBLANK('Q:\Abteilungsprojekte\eng\EngData\AOS\Allgemein\[LabSamples2025.xlsx]Bioplastic'!E260)," ",'Q:\Abteilungsprojekte\eng\EngData\AOS\Allgemein\[LabSamples2025.xlsx]Bioplastic'!E260)</f>
        <v/>
      </c>
      <c r="F260">
        <f>IF(ISBLANK('Q:\Abteilungsprojekte\eng\EngData\AOS\Allgemein\[LabSamples2025.xlsx]Bioplastic'!F260)," ",'Q:\Abteilungsprojekte\eng\EngData\AOS\Allgemein\[LabSamples2025.xlsx]Bioplastic'!F260)</f>
        <v/>
      </c>
      <c r="G260">
        <f>IF(ISBLANK('Q:\Abteilungsprojekte\eng\EngData\AOS\Allgemein\[LabSamples2025.xlsx]Bioplastic'!G260)," ",'Q:\Abteilungsprojekte\eng\EngData\AOS\Allgemein\[LabSamples2025.xlsx]Bioplastic'!G260)</f>
        <v/>
      </c>
      <c r="H260">
        <f>IF(ISBLANK('Q:\Abteilungsprojekte\eng\EngData\AOS\Allgemein\[LabSamples2025.xlsx]Bioplastic'!H260)," ",'Q:\Abteilungsprojekte\eng\EngData\AOS\Allgemein\[LabSamples2025.xlsx]Bioplastic'!H260)</f>
        <v/>
      </c>
    </row>
    <row r="261">
      <c r="A261">
        <f>IF(ISBLANK('Q:\Abteilungsprojekte\eng\EngData\AOS\Allgemein\[LabSamples2025.xlsx]Bioplastic'!A261)," ",'Q:\Abteilungsprojekte\eng\EngData\AOS\Allgemein\[LabSamples2025.xlsx]Bioplastic'!A261)</f>
        <v/>
      </c>
      <c r="B261">
        <f>IF(ISBLANK('Q:\Abteilungsprojekte\eng\EngData\AOS\Allgemein\[LabSamples2025.xlsx]Bioplastic'!B261)," ",'Q:\Abteilungsprojekte\eng\EngData\AOS\Allgemein\[LabSamples2025.xlsx]Bioplastic'!B261)</f>
        <v/>
      </c>
      <c r="C261">
        <f>IF(ISBLANK('Q:\Abteilungsprojekte\eng\EngData\AOS\Allgemein\[LabSamples2025.xlsx]Bioplastic'!C261)," ",'Q:\Abteilungsprojekte\eng\EngData\AOS\Allgemein\[LabSamples2025.xlsx]Bioplastic'!C261)</f>
        <v/>
      </c>
      <c r="D261">
        <f>IF(ISBLANK('Q:\Abteilungsprojekte\eng\EngData\AOS\Allgemein\[LabSamples2025.xlsx]Bioplastic'!D261)," ",'Q:\Abteilungsprojekte\eng\EngData\AOS\Allgemein\[LabSamples2025.xlsx]Bioplastic'!D261)</f>
        <v/>
      </c>
      <c r="E261">
        <f>IF(ISBLANK('Q:\Abteilungsprojekte\eng\EngData\AOS\Allgemein\[LabSamples2025.xlsx]Bioplastic'!E261)," ",'Q:\Abteilungsprojekte\eng\EngData\AOS\Allgemein\[LabSamples2025.xlsx]Bioplastic'!E261)</f>
        <v/>
      </c>
      <c r="F261">
        <f>IF(ISBLANK('Q:\Abteilungsprojekte\eng\EngData\AOS\Allgemein\[LabSamples2025.xlsx]Bioplastic'!F261)," ",'Q:\Abteilungsprojekte\eng\EngData\AOS\Allgemein\[LabSamples2025.xlsx]Bioplastic'!F261)</f>
        <v/>
      </c>
      <c r="G261">
        <f>IF(ISBLANK('Q:\Abteilungsprojekte\eng\EngData\AOS\Allgemein\[LabSamples2025.xlsx]Bioplastic'!G261)," ",'Q:\Abteilungsprojekte\eng\EngData\AOS\Allgemein\[LabSamples2025.xlsx]Bioplastic'!G261)</f>
        <v/>
      </c>
      <c r="H261">
        <f>IF(ISBLANK('Q:\Abteilungsprojekte\eng\EngData\AOS\Allgemein\[LabSamples2025.xlsx]Bioplastic'!H261)," ",'Q:\Abteilungsprojekte\eng\EngData\AOS\Allgemein\[LabSamples2025.xlsx]Bioplastic'!H261)</f>
        <v/>
      </c>
    </row>
    <row r="262">
      <c r="A262">
        <f>IF(ISBLANK('Q:\Abteilungsprojekte\eng\EngData\AOS\Allgemein\[LabSamples2025.xlsx]Bioplastic'!A262)," ",'Q:\Abteilungsprojekte\eng\EngData\AOS\Allgemein\[LabSamples2025.xlsx]Bioplastic'!A262)</f>
        <v/>
      </c>
      <c r="B262">
        <f>IF(ISBLANK('Q:\Abteilungsprojekte\eng\EngData\AOS\Allgemein\[LabSamples2025.xlsx]Bioplastic'!B262)," ",'Q:\Abteilungsprojekte\eng\EngData\AOS\Allgemein\[LabSamples2025.xlsx]Bioplastic'!B262)</f>
        <v/>
      </c>
      <c r="C262">
        <f>IF(ISBLANK('Q:\Abteilungsprojekte\eng\EngData\AOS\Allgemein\[LabSamples2025.xlsx]Bioplastic'!C262)," ",'Q:\Abteilungsprojekte\eng\EngData\AOS\Allgemein\[LabSamples2025.xlsx]Bioplastic'!C262)</f>
        <v/>
      </c>
      <c r="D262">
        <f>IF(ISBLANK('Q:\Abteilungsprojekte\eng\EngData\AOS\Allgemein\[LabSamples2025.xlsx]Bioplastic'!D262)," ",'Q:\Abteilungsprojekte\eng\EngData\AOS\Allgemein\[LabSamples2025.xlsx]Bioplastic'!D262)</f>
        <v/>
      </c>
      <c r="E262">
        <f>IF(ISBLANK('Q:\Abteilungsprojekte\eng\EngData\AOS\Allgemein\[LabSamples2025.xlsx]Bioplastic'!E262)," ",'Q:\Abteilungsprojekte\eng\EngData\AOS\Allgemein\[LabSamples2025.xlsx]Bioplastic'!E262)</f>
        <v/>
      </c>
      <c r="F262">
        <f>IF(ISBLANK('Q:\Abteilungsprojekte\eng\EngData\AOS\Allgemein\[LabSamples2025.xlsx]Bioplastic'!F262)," ",'Q:\Abteilungsprojekte\eng\EngData\AOS\Allgemein\[LabSamples2025.xlsx]Bioplastic'!F262)</f>
        <v/>
      </c>
      <c r="G262">
        <f>IF(ISBLANK('Q:\Abteilungsprojekte\eng\EngData\AOS\Allgemein\[LabSamples2025.xlsx]Bioplastic'!G262)," ",'Q:\Abteilungsprojekte\eng\EngData\AOS\Allgemein\[LabSamples2025.xlsx]Bioplastic'!G262)</f>
        <v/>
      </c>
      <c r="H262">
        <f>IF(ISBLANK('Q:\Abteilungsprojekte\eng\EngData\AOS\Allgemein\[LabSamples2025.xlsx]Bioplastic'!H262)," ",'Q:\Abteilungsprojekte\eng\EngData\AOS\Allgemein\[LabSamples2025.xlsx]Bioplastic'!H262)</f>
        <v/>
      </c>
    </row>
    <row r="263">
      <c r="A263">
        <f>IF(ISBLANK('Q:\Abteilungsprojekte\eng\EngData\AOS\Allgemein\[LabSamples2025.xlsx]Bioplastic'!A263)," ",'Q:\Abteilungsprojekte\eng\EngData\AOS\Allgemein\[LabSamples2025.xlsx]Bioplastic'!A263)</f>
        <v/>
      </c>
      <c r="B263">
        <f>IF(ISBLANK('Q:\Abteilungsprojekte\eng\EngData\AOS\Allgemein\[LabSamples2025.xlsx]Bioplastic'!B263)," ",'Q:\Abteilungsprojekte\eng\EngData\AOS\Allgemein\[LabSamples2025.xlsx]Bioplastic'!B263)</f>
        <v/>
      </c>
      <c r="C263">
        <f>IF(ISBLANK('Q:\Abteilungsprojekte\eng\EngData\AOS\Allgemein\[LabSamples2025.xlsx]Bioplastic'!C263)," ",'Q:\Abteilungsprojekte\eng\EngData\AOS\Allgemein\[LabSamples2025.xlsx]Bioplastic'!C263)</f>
        <v/>
      </c>
      <c r="D263">
        <f>IF(ISBLANK('Q:\Abteilungsprojekte\eng\EngData\AOS\Allgemein\[LabSamples2025.xlsx]Bioplastic'!D263)," ",'Q:\Abteilungsprojekte\eng\EngData\AOS\Allgemein\[LabSamples2025.xlsx]Bioplastic'!D263)</f>
        <v/>
      </c>
      <c r="E263">
        <f>IF(ISBLANK('Q:\Abteilungsprojekte\eng\EngData\AOS\Allgemein\[LabSamples2025.xlsx]Bioplastic'!E263)," ",'Q:\Abteilungsprojekte\eng\EngData\AOS\Allgemein\[LabSamples2025.xlsx]Bioplastic'!E263)</f>
        <v/>
      </c>
      <c r="F263">
        <f>IF(ISBLANK('Q:\Abteilungsprojekte\eng\EngData\AOS\Allgemein\[LabSamples2025.xlsx]Bioplastic'!F263)," ",'Q:\Abteilungsprojekte\eng\EngData\AOS\Allgemein\[LabSamples2025.xlsx]Bioplastic'!F263)</f>
        <v/>
      </c>
      <c r="G263">
        <f>IF(ISBLANK('Q:\Abteilungsprojekte\eng\EngData\AOS\Allgemein\[LabSamples2025.xlsx]Bioplastic'!G263)," ",'Q:\Abteilungsprojekte\eng\EngData\AOS\Allgemein\[LabSamples2025.xlsx]Bioplastic'!G263)</f>
        <v/>
      </c>
      <c r="H263">
        <f>IF(ISBLANK('Q:\Abteilungsprojekte\eng\EngData\AOS\Allgemein\[LabSamples2025.xlsx]Bioplastic'!H263)," ",'Q:\Abteilungsprojekte\eng\EngData\AOS\Allgemein\[LabSamples2025.xlsx]Bioplastic'!H263)</f>
        <v/>
      </c>
    </row>
    <row r="264">
      <c r="A264">
        <f>IF(ISBLANK('Q:\Abteilungsprojekte\eng\EngData\AOS\Allgemein\[LabSamples2025.xlsx]Bioplastic'!A264)," ",'Q:\Abteilungsprojekte\eng\EngData\AOS\Allgemein\[LabSamples2025.xlsx]Bioplastic'!A264)</f>
        <v/>
      </c>
      <c r="B264">
        <f>IF(ISBLANK('Q:\Abteilungsprojekte\eng\EngData\AOS\Allgemein\[LabSamples2025.xlsx]Bioplastic'!B264)," ",'Q:\Abteilungsprojekte\eng\EngData\AOS\Allgemein\[LabSamples2025.xlsx]Bioplastic'!B264)</f>
        <v/>
      </c>
      <c r="C264">
        <f>IF(ISBLANK('Q:\Abteilungsprojekte\eng\EngData\AOS\Allgemein\[LabSamples2025.xlsx]Bioplastic'!C264)," ",'Q:\Abteilungsprojekte\eng\EngData\AOS\Allgemein\[LabSamples2025.xlsx]Bioplastic'!C264)</f>
        <v/>
      </c>
      <c r="D264">
        <f>IF(ISBLANK('Q:\Abteilungsprojekte\eng\EngData\AOS\Allgemein\[LabSamples2025.xlsx]Bioplastic'!D264)," ",'Q:\Abteilungsprojekte\eng\EngData\AOS\Allgemein\[LabSamples2025.xlsx]Bioplastic'!D264)</f>
        <v/>
      </c>
      <c r="E264">
        <f>IF(ISBLANK('Q:\Abteilungsprojekte\eng\EngData\AOS\Allgemein\[LabSamples2025.xlsx]Bioplastic'!E264)," ",'Q:\Abteilungsprojekte\eng\EngData\AOS\Allgemein\[LabSamples2025.xlsx]Bioplastic'!E264)</f>
        <v/>
      </c>
      <c r="F264">
        <f>IF(ISBLANK('Q:\Abteilungsprojekte\eng\EngData\AOS\Allgemein\[LabSamples2025.xlsx]Bioplastic'!F264)," ",'Q:\Abteilungsprojekte\eng\EngData\AOS\Allgemein\[LabSamples2025.xlsx]Bioplastic'!F264)</f>
        <v/>
      </c>
      <c r="G264">
        <f>IF(ISBLANK('Q:\Abteilungsprojekte\eng\EngData\AOS\Allgemein\[LabSamples2025.xlsx]Bioplastic'!G264)," ",'Q:\Abteilungsprojekte\eng\EngData\AOS\Allgemein\[LabSamples2025.xlsx]Bioplastic'!G264)</f>
        <v/>
      </c>
      <c r="H264">
        <f>IF(ISBLANK('Q:\Abteilungsprojekte\eng\EngData\AOS\Allgemein\[LabSamples2025.xlsx]Bioplastic'!H264)," ",'Q:\Abteilungsprojekte\eng\EngData\AOS\Allgemein\[LabSamples2025.xlsx]Bioplastic'!H264)</f>
        <v/>
      </c>
    </row>
    <row r="265">
      <c r="A265">
        <f>IF(ISBLANK('Q:\Abteilungsprojekte\eng\EngData\AOS\Allgemein\[LabSamples2025.xlsx]Bioplastic'!A265)," ",'Q:\Abteilungsprojekte\eng\EngData\AOS\Allgemein\[LabSamples2025.xlsx]Bioplastic'!A265)</f>
        <v/>
      </c>
      <c r="B265">
        <f>IF(ISBLANK('Q:\Abteilungsprojekte\eng\EngData\AOS\Allgemein\[LabSamples2025.xlsx]Bioplastic'!B265)," ",'Q:\Abteilungsprojekte\eng\EngData\AOS\Allgemein\[LabSamples2025.xlsx]Bioplastic'!B265)</f>
        <v/>
      </c>
      <c r="C265">
        <f>IF(ISBLANK('Q:\Abteilungsprojekte\eng\EngData\AOS\Allgemein\[LabSamples2025.xlsx]Bioplastic'!C265)," ",'Q:\Abteilungsprojekte\eng\EngData\AOS\Allgemein\[LabSamples2025.xlsx]Bioplastic'!C265)</f>
        <v/>
      </c>
      <c r="D265">
        <f>IF(ISBLANK('Q:\Abteilungsprojekte\eng\EngData\AOS\Allgemein\[LabSamples2025.xlsx]Bioplastic'!D265)," ",'Q:\Abteilungsprojekte\eng\EngData\AOS\Allgemein\[LabSamples2025.xlsx]Bioplastic'!D265)</f>
        <v/>
      </c>
      <c r="E265">
        <f>IF(ISBLANK('Q:\Abteilungsprojekte\eng\EngData\AOS\Allgemein\[LabSamples2025.xlsx]Bioplastic'!E265)," ",'Q:\Abteilungsprojekte\eng\EngData\AOS\Allgemein\[LabSamples2025.xlsx]Bioplastic'!E265)</f>
        <v/>
      </c>
      <c r="F265">
        <f>IF(ISBLANK('Q:\Abteilungsprojekte\eng\EngData\AOS\Allgemein\[LabSamples2025.xlsx]Bioplastic'!F265)," ",'Q:\Abteilungsprojekte\eng\EngData\AOS\Allgemein\[LabSamples2025.xlsx]Bioplastic'!F265)</f>
        <v/>
      </c>
      <c r="G265">
        <f>IF(ISBLANK('Q:\Abteilungsprojekte\eng\EngData\AOS\Allgemein\[LabSamples2025.xlsx]Bioplastic'!G265)," ",'Q:\Abteilungsprojekte\eng\EngData\AOS\Allgemein\[LabSamples2025.xlsx]Bioplastic'!G265)</f>
        <v/>
      </c>
      <c r="H265">
        <f>IF(ISBLANK('Q:\Abteilungsprojekte\eng\EngData\AOS\Allgemein\[LabSamples2025.xlsx]Bioplastic'!H265)," ",'Q:\Abteilungsprojekte\eng\EngData\AOS\Allgemein\[LabSamples2025.xlsx]Bioplastic'!H265)</f>
        <v/>
      </c>
    </row>
    <row r="266">
      <c r="A266">
        <f>IF(ISBLANK('Q:\Abteilungsprojekte\eng\EngData\AOS\Allgemein\[LabSamples2025.xlsx]Bioplastic'!A266)," ",'Q:\Abteilungsprojekte\eng\EngData\AOS\Allgemein\[LabSamples2025.xlsx]Bioplastic'!A266)</f>
        <v/>
      </c>
      <c r="B266">
        <f>IF(ISBLANK('Q:\Abteilungsprojekte\eng\EngData\AOS\Allgemein\[LabSamples2025.xlsx]Bioplastic'!B266)," ",'Q:\Abteilungsprojekte\eng\EngData\AOS\Allgemein\[LabSamples2025.xlsx]Bioplastic'!B266)</f>
        <v/>
      </c>
      <c r="C266">
        <f>IF(ISBLANK('Q:\Abteilungsprojekte\eng\EngData\AOS\Allgemein\[LabSamples2025.xlsx]Bioplastic'!C266)," ",'Q:\Abteilungsprojekte\eng\EngData\AOS\Allgemein\[LabSamples2025.xlsx]Bioplastic'!C266)</f>
        <v/>
      </c>
      <c r="D266">
        <f>IF(ISBLANK('Q:\Abteilungsprojekte\eng\EngData\AOS\Allgemein\[LabSamples2025.xlsx]Bioplastic'!D266)," ",'Q:\Abteilungsprojekte\eng\EngData\AOS\Allgemein\[LabSamples2025.xlsx]Bioplastic'!D266)</f>
        <v/>
      </c>
      <c r="E266">
        <f>IF(ISBLANK('Q:\Abteilungsprojekte\eng\EngData\AOS\Allgemein\[LabSamples2025.xlsx]Bioplastic'!E266)," ",'Q:\Abteilungsprojekte\eng\EngData\AOS\Allgemein\[LabSamples2025.xlsx]Bioplastic'!E266)</f>
        <v/>
      </c>
      <c r="F266">
        <f>IF(ISBLANK('Q:\Abteilungsprojekte\eng\EngData\AOS\Allgemein\[LabSamples2025.xlsx]Bioplastic'!F266)," ",'Q:\Abteilungsprojekte\eng\EngData\AOS\Allgemein\[LabSamples2025.xlsx]Bioplastic'!F266)</f>
        <v/>
      </c>
      <c r="G266">
        <f>IF(ISBLANK('Q:\Abteilungsprojekte\eng\EngData\AOS\Allgemein\[LabSamples2025.xlsx]Bioplastic'!G266)," ",'Q:\Abteilungsprojekte\eng\EngData\AOS\Allgemein\[LabSamples2025.xlsx]Bioplastic'!G266)</f>
        <v/>
      </c>
      <c r="H266">
        <f>IF(ISBLANK('Q:\Abteilungsprojekte\eng\EngData\AOS\Allgemein\[LabSamples2025.xlsx]Bioplastic'!H266)," ",'Q:\Abteilungsprojekte\eng\EngData\AOS\Allgemein\[LabSamples2025.xlsx]Bioplastic'!H266)</f>
        <v/>
      </c>
    </row>
    <row r="267">
      <c r="A267">
        <f>IF(ISBLANK('Q:\Abteilungsprojekte\eng\EngData\AOS\Allgemein\[LabSamples2025.xlsx]Bioplastic'!A267)," ",'Q:\Abteilungsprojekte\eng\EngData\AOS\Allgemein\[LabSamples2025.xlsx]Bioplastic'!A267)</f>
        <v/>
      </c>
      <c r="B267">
        <f>IF(ISBLANK('Q:\Abteilungsprojekte\eng\EngData\AOS\Allgemein\[LabSamples2025.xlsx]Bioplastic'!B267)," ",'Q:\Abteilungsprojekte\eng\EngData\AOS\Allgemein\[LabSamples2025.xlsx]Bioplastic'!B267)</f>
        <v/>
      </c>
      <c r="C267">
        <f>IF(ISBLANK('Q:\Abteilungsprojekte\eng\EngData\AOS\Allgemein\[LabSamples2025.xlsx]Bioplastic'!C267)," ",'Q:\Abteilungsprojekte\eng\EngData\AOS\Allgemein\[LabSamples2025.xlsx]Bioplastic'!C267)</f>
        <v/>
      </c>
      <c r="D267">
        <f>IF(ISBLANK('Q:\Abteilungsprojekte\eng\EngData\AOS\Allgemein\[LabSamples2025.xlsx]Bioplastic'!D267)," ",'Q:\Abteilungsprojekte\eng\EngData\AOS\Allgemein\[LabSamples2025.xlsx]Bioplastic'!D267)</f>
        <v/>
      </c>
      <c r="E267">
        <f>IF(ISBLANK('Q:\Abteilungsprojekte\eng\EngData\AOS\Allgemein\[LabSamples2025.xlsx]Bioplastic'!E267)," ",'Q:\Abteilungsprojekte\eng\EngData\AOS\Allgemein\[LabSamples2025.xlsx]Bioplastic'!E267)</f>
        <v/>
      </c>
      <c r="F267">
        <f>IF(ISBLANK('Q:\Abteilungsprojekte\eng\EngData\AOS\Allgemein\[LabSamples2025.xlsx]Bioplastic'!F267)," ",'Q:\Abteilungsprojekte\eng\EngData\AOS\Allgemein\[LabSamples2025.xlsx]Bioplastic'!F267)</f>
        <v/>
      </c>
      <c r="G267">
        <f>IF(ISBLANK('Q:\Abteilungsprojekte\eng\EngData\AOS\Allgemein\[LabSamples2025.xlsx]Bioplastic'!G267)," ",'Q:\Abteilungsprojekte\eng\EngData\AOS\Allgemein\[LabSamples2025.xlsx]Bioplastic'!G267)</f>
        <v/>
      </c>
      <c r="H267">
        <f>IF(ISBLANK('Q:\Abteilungsprojekte\eng\EngData\AOS\Allgemein\[LabSamples2025.xlsx]Bioplastic'!H267)," ",'Q:\Abteilungsprojekte\eng\EngData\AOS\Allgemein\[LabSamples2025.xlsx]Bioplastic'!H267)</f>
        <v/>
      </c>
    </row>
    <row r="268">
      <c r="A268">
        <f>IF(ISBLANK('Q:\Abteilungsprojekte\eng\EngData\AOS\Allgemein\[LabSamples2025.xlsx]Bioplastic'!A268)," ",'Q:\Abteilungsprojekte\eng\EngData\AOS\Allgemein\[LabSamples2025.xlsx]Bioplastic'!A268)</f>
        <v/>
      </c>
      <c r="B268">
        <f>IF(ISBLANK('Q:\Abteilungsprojekte\eng\EngData\AOS\Allgemein\[LabSamples2025.xlsx]Bioplastic'!B268)," ",'Q:\Abteilungsprojekte\eng\EngData\AOS\Allgemein\[LabSamples2025.xlsx]Bioplastic'!B268)</f>
        <v/>
      </c>
      <c r="C268">
        <f>IF(ISBLANK('Q:\Abteilungsprojekte\eng\EngData\AOS\Allgemein\[LabSamples2025.xlsx]Bioplastic'!C268)," ",'Q:\Abteilungsprojekte\eng\EngData\AOS\Allgemein\[LabSamples2025.xlsx]Bioplastic'!C268)</f>
        <v/>
      </c>
      <c r="D268">
        <f>IF(ISBLANK('Q:\Abteilungsprojekte\eng\EngData\AOS\Allgemein\[LabSamples2025.xlsx]Bioplastic'!D268)," ",'Q:\Abteilungsprojekte\eng\EngData\AOS\Allgemein\[LabSamples2025.xlsx]Bioplastic'!D268)</f>
        <v/>
      </c>
      <c r="E268">
        <f>IF(ISBLANK('Q:\Abteilungsprojekte\eng\EngData\AOS\Allgemein\[LabSamples2025.xlsx]Bioplastic'!E268)," ",'Q:\Abteilungsprojekte\eng\EngData\AOS\Allgemein\[LabSamples2025.xlsx]Bioplastic'!E268)</f>
        <v/>
      </c>
      <c r="F268">
        <f>IF(ISBLANK('Q:\Abteilungsprojekte\eng\EngData\AOS\Allgemein\[LabSamples2025.xlsx]Bioplastic'!F268)," ",'Q:\Abteilungsprojekte\eng\EngData\AOS\Allgemein\[LabSamples2025.xlsx]Bioplastic'!F268)</f>
        <v/>
      </c>
      <c r="G268">
        <f>IF(ISBLANK('Q:\Abteilungsprojekte\eng\EngData\AOS\Allgemein\[LabSamples2025.xlsx]Bioplastic'!G268)," ",'Q:\Abteilungsprojekte\eng\EngData\AOS\Allgemein\[LabSamples2025.xlsx]Bioplastic'!G268)</f>
        <v/>
      </c>
      <c r="H268">
        <f>IF(ISBLANK('Q:\Abteilungsprojekte\eng\EngData\AOS\Allgemein\[LabSamples2025.xlsx]Bioplastic'!H268)," ",'Q:\Abteilungsprojekte\eng\EngData\AOS\Allgemein\[LabSamples2025.xlsx]Bioplastic'!H268)</f>
        <v/>
      </c>
    </row>
    <row r="269">
      <c r="A269">
        <f>IF(ISBLANK('Q:\Abteilungsprojekte\eng\EngData\AOS\Allgemein\[LabSamples2025.xlsx]Bioplastic'!A269)," ",'Q:\Abteilungsprojekte\eng\EngData\AOS\Allgemein\[LabSamples2025.xlsx]Bioplastic'!A269)</f>
        <v/>
      </c>
      <c r="B269">
        <f>IF(ISBLANK('Q:\Abteilungsprojekte\eng\EngData\AOS\Allgemein\[LabSamples2025.xlsx]Bioplastic'!B269)," ",'Q:\Abteilungsprojekte\eng\EngData\AOS\Allgemein\[LabSamples2025.xlsx]Bioplastic'!B269)</f>
        <v/>
      </c>
      <c r="C269">
        <f>IF(ISBLANK('Q:\Abteilungsprojekte\eng\EngData\AOS\Allgemein\[LabSamples2025.xlsx]Bioplastic'!C269)," ",'Q:\Abteilungsprojekte\eng\EngData\AOS\Allgemein\[LabSamples2025.xlsx]Bioplastic'!C269)</f>
        <v/>
      </c>
      <c r="D269">
        <f>IF(ISBLANK('Q:\Abteilungsprojekte\eng\EngData\AOS\Allgemein\[LabSamples2025.xlsx]Bioplastic'!D269)," ",'Q:\Abteilungsprojekte\eng\EngData\AOS\Allgemein\[LabSamples2025.xlsx]Bioplastic'!D269)</f>
        <v/>
      </c>
      <c r="E269">
        <f>IF(ISBLANK('Q:\Abteilungsprojekte\eng\EngData\AOS\Allgemein\[LabSamples2025.xlsx]Bioplastic'!E269)," ",'Q:\Abteilungsprojekte\eng\EngData\AOS\Allgemein\[LabSamples2025.xlsx]Bioplastic'!E269)</f>
        <v/>
      </c>
      <c r="F269">
        <f>IF(ISBLANK('Q:\Abteilungsprojekte\eng\EngData\AOS\Allgemein\[LabSamples2025.xlsx]Bioplastic'!F269)," ",'Q:\Abteilungsprojekte\eng\EngData\AOS\Allgemein\[LabSamples2025.xlsx]Bioplastic'!F269)</f>
        <v/>
      </c>
      <c r="G269">
        <f>IF(ISBLANK('Q:\Abteilungsprojekte\eng\EngData\AOS\Allgemein\[LabSamples2025.xlsx]Bioplastic'!G269)," ",'Q:\Abteilungsprojekte\eng\EngData\AOS\Allgemein\[LabSamples2025.xlsx]Bioplastic'!G269)</f>
        <v/>
      </c>
      <c r="H269">
        <f>IF(ISBLANK('Q:\Abteilungsprojekte\eng\EngData\AOS\Allgemein\[LabSamples2025.xlsx]Bioplastic'!H269)," ",'Q:\Abteilungsprojekte\eng\EngData\AOS\Allgemein\[LabSamples2025.xlsx]Bioplastic'!H269)</f>
        <v/>
      </c>
    </row>
    <row r="270">
      <c r="A270">
        <f>IF(ISBLANK('Q:\Abteilungsprojekte\eng\EngData\AOS\Allgemein\[LabSamples2025.xlsx]Bioplastic'!A270)," ",'Q:\Abteilungsprojekte\eng\EngData\AOS\Allgemein\[LabSamples2025.xlsx]Bioplastic'!A270)</f>
        <v/>
      </c>
      <c r="B270">
        <f>IF(ISBLANK('Q:\Abteilungsprojekte\eng\EngData\AOS\Allgemein\[LabSamples2025.xlsx]Bioplastic'!B270)," ",'Q:\Abteilungsprojekte\eng\EngData\AOS\Allgemein\[LabSamples2025.xlsx]Bioplastic'!B270)</f>
        <v/>
      </c>
      <c r="C270">
        <f>IF(ISBLANK('Q:\Abteilungsprojekte\eng\EngData\AOS\Allgemein\[LabSamples2025.xlsx]Bioplastic'!C270)," ",'Q:\Abteilungsprojekte\eng\EngData\AOS\Allgemein\[LabSamples2025.xlsx]Bioplastic'!C270)</f>
        <v/>
      </c>
      <c r="D270">
        <f>IF(ISBLANK('Q:\Abteilungsprojekte\eng\EngData\AOS\Allgemein\[LabSamples2025.xlsx]Bioplastic'!D270)," ",'Q:\Abteilungsprojekte\eng\EngData\AOS\Allgemein\[LabSamples2025.xlsx]Bioplastic'!D270)</f>
        <v/>
      </c>
      <c r="E270">
        <f>IF(ISBLANK('Q:\Abteilungsprojekte\eng\EngData\AOS\Allgemein\[LabSamples2025.xlsx]Bioplastic'!E270)," ",'Q:\Abteilungsprojekte\eng\EngData\AOS\Allgemein\[LabSamples2025.xlsx]Bioplastic'!E270)</f>
        <v/>
      </c>
      <c r="F270">
        <f>IF(ISBLANK('Q:\Abteilungsprojekte\eng\EngData\AOS\Allgemein\[LabSamples2025.xlsx]Bioplastic'!F270)," ",'Q:\Abteilungsprojekte\eng\EngData\AOS\Allgemein\[LabSamples2025.xlsx]Bioplastic'!F270)</f>
        <v/>
      </c>
      <c r="G270">
        <f>IF(ISBLANK('Q:\Abteilungsprojekte\eng\EngData\AOS\Allgemein\[LabSamples2025.xlsx]Bioplastic'!G270)," ",'Q:\Abteilungsprojekte\eng\EngData\AOS\Allgemein\[LabSamples2025.xlsx]Bioplastic'!G270)</f>
        <v/>
      </c>
      <c r="H270">
        <f>IF(ISBLANK('Q:\Abteilungsprojekte\eng\EngData\AOS\Allgemein\[LabSamples2025.xlsx]Bioplastic'!H270)," ",'Q:\Abteilungsprojekte\eng\EngData\AOS\Allgemein\[LabSamples2025.xlsx]Bioplastic'!H270)</f>
        <v/>
      </c>
    </row>
    <row r="271">
      <c r="A271">
        <f>IF(ISBLANK('Q:\Abteilungsprojekte\eng\EngData\AOS\Allgemein\[LabSamples2025.xlsx]Bioplastic'!A271)," ",'Q:\Abteilungsprojekte\eng\EngData\AOS\Allgemein\[LabSamples2025.xlsx]Bioplastic'!A271)</f>
        <v/>
      </c>
      <c r="B271">
        <f>IF(ISBLANK('Q:\Abteilungsprojekte\eng\EngData\AOS\Allgemein\[LabSamples2025.xlsx]Bioplastic'!B271)," ",'Q:\Abteilungsprojekte\eng\EngData\AOS\Allgemein\[LabSamples2025.xlsx]Bioplastic'!B271)</f>
        <v/>
      </c>
      <c r="C271">
        <f>IF(ISBLANK('Q:\Abteilungsprojekte\eng\EngData\AOS\Allgemein\[LabSamples2025.xlsx]Bioplastic'!C271)," ",'Q:\Abteilungsprojekte\eng\EngData\AOS\Allgemein\[LabSamples2025.xlsx]Bioplastic'!C271)</f>
        <v/>
      </c>
      <c r="D271">
        <f>IF(ISBLANK('Q:\Abteilungsprojekte\eng\EngData\AOS\Allgemein\[LabSamples2025.xlsx]Bioplastic'!D271)," ",'Q:\Abteilungsprojekte\eng\EngData\AOS\Allgemein\[LabSamples2025.xlsx]Bioplastic'!D271)</f>
        <v/>
      </c>
      <c r="E271">
        <f>IF(ISBLANK('Q:\Abteilungsprojekte\eng\EngData\AOS\Allgemein\[LabSamples2025.xlsx]Bioplastic'!E271)," ",'Q:\Abteilungsprojekte\eng\EngData\AOS\Allgemein\[LabSamples2025.xlsx]Bioplastic'!E271)</f>
        <v/>
      </c>
      <c r="F271">
        <f>IF(ISBLANK('Q:\Abteilungsprojekte\eng\EngData\AOS\Allgemein\[LabSamples2025.xlsx]Bioplastic'!F271)," ",'Q:\Abteilungsprojekte\eng\EngData\AOS\Allgemein\[LabSamples2025.xlsx]Bioplastic'!F271)</f>
        <v/>
      </c>
      <c r="G271">
        <f>IF(ISBLANK('Q:\Abteilungsprojekte\eng\EngData\AOS\Allgemein\[LabSamples2025.xlsx]Bioplastic'!G271)," ",'Q:\Abteilungsprojekte\eng\EngData\AOS\Allgemein\[LabSamples2025.xlsx]Bioplastic'!G271)</f>
        <v/>
      </c>
      <c r="H271">
        <f>IF(ISBLANK('Q:\Abteilungsprojekte\eng\EngData\AOS\Allgemein\[LabSamples2025.xlsx]Bioplastic'!H271)," ",'Q:\Abteilungsprojekte\eng\EngData\AOS\Allgemein\[LabSamples2025.xlsx]Bioplastic'!H271)</f>
        <v/>
      </c>
    </row>
    <row r="272">
      <c r="A272">
        <f>IF(ISBLANK('Q:\Abteilungsprojekte\eng\EngData\AOS\Allgemein\[LabSamples2025.xlsx]Bioplastic'!A272)," ",'Q:\Abteilungsprojekte\eng\EngData\AOS\Allgemein\[LabSamples2025.xlsx]Bioplastic'!A272)</f>
        <v/>
      </c>
      <c r="B272">
        <f>IF(ISBLANK('Q:\Abteilungsprojekte\eng\EngData\AOS\Allgemein\[LabSamples2025.xlsx]Bioplastic'!B272)," ",'Q:\Abteilungsprojekte\eng\EngData\AOS\Allgemein\[LabSamples2025.xlsx]Bioplastic'!B272)</f>
        <v/>
      </c>
      <c r="C272">
        <f>IF(ISBLANK('Q:\Abteilungsprojekte\eng\EngData\AOS\Allgemein\[LabSamples2025.xlsx]Bioplastic'!C272)," ",'Q:\Abteilungsprojekte\eng\EngData\AOS\Allgemein\[LabSamples2025.xlsx]Bioplastic'!C272)</f>
        <v/>
      </c>
      <c r="D272">
        <f>IF(ISBLANK('Q:\Abteilungsprojekte\eng\EngData\AOS\Allgemein\[LabSamples2025.xlsx]Bioplastic'!D272)," ",'Q:\Abteilungsprojekte\eng\EngData\AOS\Allgemein\[LabSamples2025.xlsx]Bioplastic'!D272)</f>
        <v/>
      </c>
      <c r="E272">
        <f>IF(ISBLANK('Q:\Abteilungsprojekte\eng\EngData\AOS\Allgemein\[LabSamples2025.xlsx]Bioplastic'!E272)," ",'Q:\Abteilungsprojekte\eng\EngData\AOS\Allgemein\[LabSamples2025.xlsx]Bioplastic'!E272)</f>
        <v/>
      </c>
      <c r="F272">
        <f>IF(ISBLANK('Q:\Abteilungsprojekte\eng\EngData\AOS\Allgemein\[LabSamples2025.xlsx]Bioplastic'!F272)," ",'Q:\Abteilungsprojekte\eng\EngData\AOS\Allgemein\[LabSamples2025.xlsx]Bioplastic'!F272)</f>
        <v/>
      </c>
      <c r="G272">
        <f>IF(ISBLANK('Q:\Abteilungsprojekte\eng\EngData\AOS\Allgemein\[LabSamples2025.xlsx]Bioplastic'!G272)," ",'Q:\Abteilungsprojekte\eng\EngData\AOS\Allgemein\[LabSamples2025.xlsx]Bioplastic'!G272)</f>
        <v/>
      </c>
      <c r="H272">
        <f>IF(ISBLANK('Q:\Abteilungsprojekte\eng\EngData\AOS\Allgemein\[LabSamples2025.xlsx]Bioplastic'!H272)," ",'Q:\Abteilungsprojekte\eng\EngData\AOS\Allgemein\[LabSamples2025.xlsx]Bioplastic'!H272)</f>
        <v/>
      </c>
    </row>
    <row r="273">
      <c r="A273">
        <f>IF(ISBLANK('Q:\Abteilungsprojekte\eng\EngData\AOS\Allgemein\[LabSamples2025.xlsx]Bioplastic'!A273)," ",'Q:\Abteilungsprojekte\eng\EngData\AOS\Allgemein\[LabSamples2025.xlsx]Bioplastic'!A273)</f>
        <v/>
      </c>
      <c r="B273">
        <f>IF(ISBLANK('Q:\Abteilungsprojekte\eng\EngData\AOS\Allgemein\[LabSamples2025.xlsx]Bioplastic'!B273)," ",'Q:\Abteilungsprojekte\eng\EngData\AOS\Allgemein\[LabSamples2025.xlsx]Bioplastic'!B273)</f>
        <v/>
      </c>
      <c r="C273">
        <f>IF(ISBLANK('Q:\Abteilungsprojekte\eng\EngData\AOS\Allgemein\[LabSamples2025.xlsx]Bioplastic'!C273)," ",'Q:\Abteilungsprojekte\eng\EngData\AOS\Allgemein\[LabSamples2025.xlsx]Bioplastic'!C273)</f>
        <v/>
      </c>
      <c r="D273">
        <f>IF(ISBLANK('Q:\Abteilungsprojekte\eng\EngData\AOS\Allgemein\[LabSamples2025.xlsx]Bioplastic'!D273)," ",'Q:\Abteilungsprojekte\eng\EngData\AOS\Allgemein\[LabSamples2025.xlsx]Bioplastic'!D273)</f>
        <v/>
      </c>
      <c r="E273">
        <f>IF(ISBLANK('Q:\Abteilungsprojekte\eng\EngData\AOS\Allgemein\[LabSamples2025.xlsx]Bioplastic'!E273)," ",'Q:\Abteilungsprojekte\eng\EngData\AOS\Allgemein\[LabSamples2025.xlsx]Bioplastic'!E273)</f>
        <v/>
      </c>
      <c r="F273">
        <f>IF(ISBLANK('Q:\Abteilungsprojekte\eng\EngData\AOS\Allgemein\[LabSamples2025.xlsx]Bioplastic'!F273)," ",'Q:\Abteilungsprojekte\eng\EngData\AOS\Allgemein\[LabSamples2025.xlsx]Bioplastic'!F273)</f>
        <v/>
      </c>
      <c r="G273">
        <f>IF(ISBLANK('Q:\Abteilungsprojekte\eng\EngData\AOS\Allgemein\[LabSamples2025.xlsx]Bioplastic'!G273)," ",'Q:\Abteilungsprojekte\eng\EngData\AOS\Allgemein\[LabSamples2025.xlsx]Bioplastic'!G273)</f>
        <v/>
      </c>
      <c r="H273">
        <f>IF(ISBLANK('Q:\Abteilungsprojekte\eng\EngData\AOS\Allgemein\[LabSamples2025.xlsx]Bioplastic'!H273)," ",'Q:\Abteilungsprojekte\eng\EngData\AOS\Allgemein\[LabSamples2025.xlsx]Bioplastic'!H273)</f>
        <v/>
      </c>
    </row>
    <row r="274">
      <c r="A274">
        <f>IF(ISBLANK('Q:\Abteilungsprojekte\eng\EngData\AOS\Allgemein\[LabSamples2025.xlsx]Bioplastic'!A274)," ",'Q:\Abteilungsprojekte\eng\EngData\AOS\Allgemein\[LabSamples2025.xlsx]Bioplastic'!A274)</f>
        <v/>
      </c>
      <c r="B274">
        <f>IF(ISBLANK('Q:\Abteilungsprojekte\eng\EngData\AOS\Allgemein\[LabSamples2025.xlsx]Bioplastic'!B274)," ",'Q:\Abteilungsprojekte\eng\EngData\AOS\Allgemein\[LabSamples2025.xlsx]Bioplastic'!B274)</f>
        <v/>
      </c>
      <c r="C274">
        <f>IF(ISBLANK('Q:\Abteilungsprojekte\eng\EngData\AOS\Allgemein\[LabSamples2025.xlsx]Bioplastic'!C274)," ",'Q:\Abteilungsprojekte\eng\EngData\AOS\Allgemein\[LabSamples2025.xlsx]Bioplastic'!C274)</f>
        <v/>
      </c>
      <c r="D274">
        <f>IF(ISBLANK('Q:\Abteilungsprojekte\eng\EngData\AOS\Allgemein\[LabSamples2025.xlsx]Bioplastic'!D274)," ",'Q:\Abteilungsprojekte\eng\EngData\AOS\Allgemein\[LabSamples2025.xlsx]Bioplastic'!D274)</f>
        <v/>
      </c>
      <c r="E274">
        <f>IF(ISBLANK('Q:\Abteilungsprojekte\eng\EngData\AOS\Allgemein\[LabSamples2025.xlsx]Bioplastic'!E274)," ",'Q:\Abteilungsprojekte\eng\EngData\AOS\Allgemein\[LabSamples2025.xlsx]Bioplastic'!E274)</f>
        <v/>
      </c>
      <c r="F274">
        <f>IF(ISBLANK('Q:\Abteilungsprojekte\eng\EngData\AOS\Allgemein\[LabSamples2025.xlsx]Bioplastic'!F274)," ",'Q:\Abteilungsprojekte\eng\EngData\AOS\Allgemein\[LabSamples2025.xlsx]Bioplastic'!F274)</f>
        <v/>
      </c>
      <c r="G274">
        <f>IF(ISBLANK('Q:\Abteilungsprojekte\eng\EngData\AOS\Allgemein\[LabSamples2025.xlsx]Bioplastic'!G274)," ",'Q:\Abteilungsprojekte\eng\EngData\AOS\Allgemein\[LabSamples2025.xlsx]Bioplastic'!G274)</f>
        <v/>
      </c>
      <c r="H274">
        <f>IF(ISBLANK('Q:\Abteilungsprojekte\eng\EngData\AOS\Allgemein\[LabSamples2025.xlsx]Bioplastic'!H274)," ",'Q:\Abteilungsprojekte\eng\EngData\AOS\Allgemein\[LabSamples2025.xlsx]Bioplastic'!H274)</f>
        <v/>
      </c>
    </row>
    <row r="275">
      <c r="A275">
        <f>IF(ISBLANK('Q:\Abteilungsprojekte\eng\EngData\AOS\Allgemein\[LabSamples2025.xlsx]Bioplastic'!A275)," ",'Q:\Abteilungsprojekte\eng\EngData\AOS\Allgemein\[LabSamples2025.xlsx]Bioplastic'!A275)</f>
        <v/>
      </c>
      <c r="B275">
        <f>IF(ISBLANK('Q:\Abteilungsprojekte\eng\EngData\AOS\Allgemein\[LabSamples2025.xlsx]Bioplastic'!B275)," ",'Q:\Abteilungsprojekte\eng\EngData\AOS\Allgemein\[LabSamples2025.xlsx]Bioplastic'!B275)</f>
        <v/>
      </c>
      <c r="C275">
        <f>IF(ISBLANK('Q:\Abteilungsprojekte\eng\EngData\AOS\Allgemein\[LabSamples2025.xlsx]Bioplastic'!C275)," ",'Q:\Abteilungsprojekte\eng\EngData\AOS\Allgemein\[LabSamples2025.xlsx]Bioplastic'!C275)</f>
        <v/>
      </c>
      <c r="D275">
        <f>IF(ISBLANK('Q:\Abteilungsprojekte\eng\EngData\AOS\Allgemein\[LabSamples2025.xlsx]Bioplastic'!D275)," ",'Q:\Abteilungsprojekte\eng\EngData\AOS\Allgemein\[LabSamples2025.xlsx]Bioplastic'!D275)</f>
        <v/>
      </c>
      <c r="E275">
        <f>IF(ISBLANK('Q:\Abteilungsprojekte\eng\EngData\AOS\Allgemein\[LabSamples2025.xlsx]Bioplastic'!E275)," ",'Q:\Abteilungsprojekte\eng\EngData\AOS\Allgemein\[LabSamples2025.xlsx]Bioplastic'!E275)</f>
        <v/>
      </c>
      <c r="F275">
        <f>IF(ISBLANK('Q:\Abteilungsprojekte\eng\EngData\AOS\Allgemein\[LabSamples2025.xlsx]Bioplastic'!F275)," ",'Q:\Abteilungsprojekte\eng\EngData\AOS\Allgemein\[LabSamples2025.xlsx]Bioplastic'!F275)</f>
        <v/>
      </c>
      <c r="G275">
        <f>IF(ISBLANK('Q:\Abteilungsprojekte\eng\EngData\AOS\Allgemein\[LabSamples2025.xlsx]Bioplastic'!G275)," ",'Q:\Abteilungsprojekte\eng\EngData\AOS\Allgemein\[LabSamples2025.xlsx]Bioplastic'!G275)</f>
        <v/>
      </c>
      <c r="H275">
        <f>IF(ISBLANK('Q:\Abteilungsprojekte\eng\EngData\AOS\Allgemein\[LabSamples2025.xlsx]Bioplastic'!H275)," ",'Q:\Abteilungsprojekte\eng\EngData\AOS\Allgemein\[LabSamples2025.xlsx]Bioplastic'!H275)</f>
        <v/>
      </c>
    </row>
    <row r="276">
      <c r="A276">
        <f>IF(ISBLANK('Q:\Abteilungsprojekte\eng\EngData\AOS\Allgemein\[LabSamples2025.xlsx]Bioplastic'!A276)," ",'Q:\Abteilungsprojekte\eng\EngData\AOS\Allgemein\[LabSamples2025.xlsx]Bioplastic'!A276)</f>
        <v/>
      </c>
      <c r="B276">
        <f>IF(ISBLANK('Q:\Abteilungsprojekte\eng\EngData\AOS\Allgemein\[LabSamples2025.xlsx]Bioplastic'!B276)," ",'Q:\Abteilungsprojekte\eng\EngData\AOS\Allgemein\[LabSamples2025.xlsx]Bioplastic'!B276)</f>
        <v/>
      </c>
      <c r="C276">
        <f>IF(ISBLANK('Q:\Abteilungsprojekte\eng\EngData\AOS\Allgemein\[LabSamples2025.xlsx]Bioplastic'!C276)," ",'Q:\Abteilungsprojekte\eng\EngData\AOS\Allgemein\[LabSamples2025.xlsx]Bioplastic'!C276)</f>
        <v/>
      </c>
      <c r="D276">
        <f>IF(ISBLANK('Q:\Abteilungsprojekte\eng\EngData\AOS\Allgemein\[LabSamples2025.xlsx]Bioplastic'!D276)," ",'Q:\Abteilungsprojekte\eng\EngData\AOS\Allgemein\[LabSamples2025.xlsx]Bioplastic'!D276)</f>
        <v/>
      </c>
      <c r="E276">
        <f>IF(ISBLANK('Q:\Abteilungsprojekte\eng\EngData\AOS\Allgemein\[LabSamples2025.xlsx]Bioplastic'!E276)," ",'Q:\Abteilungsprojekte\eng\EngData\AOS\Allgemein\[LabSamples2025.xlsx]Bioplastic'!E276)</f>
        <v/>
      </c>
      <c r="F276">
        <f>IF(ISBLANK('Q:\Abteilungsprojekte\eng\EngData\AOS\Allgemein\[LabSamples2025.xlsx]Bioplastic'!F276)," ",'Q:\Abteilungsprojekte\eng\EngData\AOS\Allgemein\[LabSamples2025.xlsx]Bioplastic'!F276)</f>
        <v/>
      </c>
      <c r="G276">
        <f>IF(ISBLANK('Q:\Abteilungsprojekte\eng\EngData\AOS\Allgemein\[LabSamples2025.xlsx]Bioplastic'!G276)," ",'Q:\Abteilungsprojekte\eng\EngData\AOS\Allgemein\[LabSamples2025.xlsx]Bioplastic'!G276)</f>
        <v/>
      </c>
      <c r="H276">
        <f>IF(ISBLANK('Q:\Abteilungsprojekte\eng\EngData\AOS\Allgemein\[LabSamples2025.xlsx]Bioplastic'!H276)," ",'Q:\Abteilungsprojekte\eng\EngData\AOS\Allgemein\[LabSamples2025.xlsx]Bioplastic'!H276)</f>
        <v/>
      </c>
    </row>
    <row r="277">
      <c r="A277">
        <f>IF(ISBLANK('Q:\Abteilungsprojekte\eng\EngData\AOS\Allgemein\[LabSamples2025.xlsx]Bioplastic'!A277)," ",'Q:\Abteilungsprojekte\eng\EngData\AOS\Allgemein\[LabSamples2025.xlsx]Bioplastic'!A277)</f>
        <v/>
      </c>
      <c r="B277">
        <f>IF(ISBLANK('Q:\Abteilungsprojekte\eng\EngData\AOS\Allgemein\[LabSamples2025.xlsx]Bioplastic'!B277)," ",'Q:\Abteilungsprojekte\eng\EngData\AOS\Allgemein\[LabSamples2025.xlsx]Bioplastic'!B277)</f>
        <v/>
      </c>
      <c r="C277">
        <f>IF(ISBLANK('Q:\Abteilungsprojekte\eng\EngData\AOS\Allgemein\[LabSamples2025.xlsx]Bioplastic'!C277)," ",'Q:\Abteilungsprojekte\eng\EngData\AOS\Allgemein\[LabSamples2025.xlsx]Bioplastic'!C277)</f>
        <v/>
      </c>
      <c r="D277">
        <f>IF(ISBLANK('Q:\Abteilungsprojekte\eng\EngData\AOS\Allgemein\[LabSamples2025.xlsx]Bioplastic'!D277)," ",'Q:\Abteilungsprojekte\eng\EngData\AOS\Allgemein\[LabSamples2025.xlsx]Bioplastic'!D277)</f>
        <v/>
      </c>
      <c r="E277">
        <f>IF(ISBLANK('Q:\Abteilungsprojekte\eng\EngData\AOS\Allgemein\[LabSamples2025.xlsx]Bioplastic'!E277)," ",'Q:\Abteilungsprojekte\eng\EngData\AOS\Allgemein\[LabSamples2025.xlsx]Bioplastic'!E277)</f>
        <v/>
      </c>
      <c r="F277">
        <f>IF(ISBLANK('Q:\Abteilungsprojekte\eng\EngData\AOS\Allgemein\[LabSamples2025.xlsx]Bioplastic'!F277)," ",'Q:\Abteilungsprojekte\eng\EngData\AOS\Allgemein\[LabSamples2025.xlsx]Bioplastic'!F277)</f>
        <v/>
      </c>
      <c r="G277">
        <f>IF(ISBLANK('Q:\Abteilungsprojekte\eng\EngData\AOS\Allgemein\[LabSamples2025.xlsx]Bioplastic'!G277)," ",'Q:\Abteilungsprojekte\eng\EngData\AOS\Allgemein\[LabSamples2025.xlsx]Bioplastic'!G277)</f>
        <v/>
      </c>
      <c r="H277">
        <f>IF(ISBLANK('Q:\Abteilungsprojekte\eng\EngData\AOS\Allgemein\[LabSamples2025.xlsx]Bioplastic'!H277)," ",'Q:\Abteilungsprojekte\eng\EngData\AOS\Allgemein\[LabSamples2025.xlsx]Bioplastic'!H277)</f>
        <v/>
      </c>
    </row>
    <row r="278">
      <c r="A278">
        <f>IF(ISBLANK('Q:\Abteilungsprojekte\eng\EngData\AOS\Allgemein\[LabSamples2025.xlsx]Bioplastic'!A278)," ",'Q:\Abteilungsprojekte\eng\EngData\AOS\Allgemein\[LabSamples2025.xlsx]Bioplastic'!A278)</f>
        <v/>
      </c>
      <c r="B278">
        <f>IF(ISBLANK('Q:\Abteilungsprojekte\eng\EngData\AOS\Allgemein\[LabSamples2025.xlsx]Bioplastic'!B278)," ",'Q:\Abteilungsprojekte\eng\EngData\AOS\Allgemein\[LabSamples2025.xlsx]Bioplastic'!B278)</f>
        <v/>
      </c>
      <c r="C278">
        <f>IF(ISBLANK('Q:\Abteilungsprojekte\eng\EngData\AOS\Allgemein\[LabSamples2025.xlsx]Bioplastic'!C278)," ",'Q:\Abteilungsprojekte\eng\EngData\AOS\Allgemein\[LabSamples2025.xlsx]Bioplastic'!C278)</f>
        <v/>
      </c>
      <c r="D278">
        <f>IF(ISBLANK('Q:\Abteilungsprojekte\eng\EngData\AOS\Allgemein\[LabSamples2025.xlsx]Bioplastic'!D278)," ",'Q:\Abteilungsprojekte\eng\EngData\AOS\Allgemein\[LabSamples2025.xlsx]Bioplastic'!D278)</f>
        <v/>
      </c>
      <c r="E278">
        <f>IF(ISBLANK('Q:\Abteilungsprojekte\eng\EngData\AOS\Allgemein\[LabSamples2025.xlsx]Bioplastic'!E278)," ",'Q:\Abteilungsprojekte\eng\EngData\AOS\Allgemein\[LabSamples2025.xlsx]Bioplastic'!E278)</f>
        <v/>
      </c>
      <c r="F278">
        <f>IF(ISBLANK('Q:\Abteilungsprojekte\eng\EngData\AOS\Allgemein\[LabSamples2025.xlsx]Bioplastic'!F278)," ",'Q:\Abteilungsprojekte\eng\EngData\AOS\Allgemein\[LabSamples2025.xlsx]Bioplastic'!F278)</f>
        <v/>
      </c>
      <c r="G278">
        <f>IF(ISBLANK('Q:\Abteilungsprojekte\eng\EngData\AOS\Allgemein\[LabSamples2025.xlsx]Bioplastic'!G278)," ",'Q:\Abteilungsprojekte\eng\EngData\AOS\Allgemein\[LabSamples2025.xlsx]Bioplastic'!G278)</f>
        <v/>
      </c>
      <c r="H278">
        <f>IF(ISBLANK('Q:\Abteilungsprojekte\eng\EngData\AOS\Allgemein\[LabSamples2025.xlsx]Bioplastic'!H278)," ",'Q:\Abteilungsprojekte\eng\EngData\AOS\Allgemein\[LabSamples2025.xlsx]Bioplastic'!H278)</f>
        <v/>
      </c>
    </row>
    <row r="279">
      <c r="A279">
        <f>IF(ISBLANK('Q:\Abteilungsprojekte\eng\EngData\AOS\Allgemein\[LabSamples2025.xlsx]Bioplastic'!A279)," ",'Q:\Abteilungsprojekte\eng\EngData\AOS\Allgemein\[LabSamples2025.xlsx]Bioplastic'!A279)</f>
        <v/>
      </c>
      <c r="B279">
        <f>IF(ISBLANK('Q:\Abteilungsprojekte\eng\EngData\AOS\Allgemein\[LabSamples2025.xlsx]Bioplastic'!B279)," ",'Q:\Abteilungsprojekte\eng\EngData\AOS\Allgemein\[LabSamples2025.xlsx]Bioplastic'!B279)</f>
        <v/>
      </c>
      <c r="C279">
        <f>IF(ISBLANK('Q:\Abteilungsprojekte\eng\EngData\AOS\Allgemein\[LabSamples2025.xlsx]Bioplastic'!C279)," ",'Q:\Abteilungsprojekte\eng\EngData\AOS\Allgemein\[LabSamples2025.xlsx]Bioplastic'!C279)</f>
        <v/>
      </c>
      <c r="D279">
        <f>IF(ISBLANK('Q:\Abteilungsprojekte\eng\EngData\AOS\Allgemein\[LabSamples2025.xlsx]Bioplastic'!D279)," ",'Q:\Abteilungsprojekte\eng\EngData\AOS\Allgemein\[LabSamples2025.xlsx]Bioplastic'!D279)</f>
        <v/>
      </c>
      <c r="E279">
        <f>IF(ISBLANK('Q:\Abteilungsprojekte\eng\EngData\AOS\Allgemein\[LabSamples2025.xlsx]Bioplastic'!E279)," ",'Q:\Abteilungsprojekte\eng\EngData\AOS\Allgemein\[LabSamples2025.xlsx]Bioplastic'!E279)</f>
        <v/>
      </c>
      <c r="F279">
        <f>IF(ISBLANK('Q:\Abteilungsprojekte\eng\EngData\AOS\Allgemein\[LabSamples2025.xlsx]Bioplastic'!F279)," ",'Q:\Abteilungsprojekte\eng\EngData\AOS\Allgemein\[LabSamples2025.xlsx]Bioplastic'!F279)</f>
        <v/>
      </c>
      <c r="G279">
        <f>IF(ISBLANK('Q:\Abteilungsprojekte\eng\EngData\AOS\Allgemein\[LabSamples2025.xlsx]Bioplastic'!G279)," ",'Q:\Abteilungsprojekte\eng\EngData\AOS\Allgemein\[LabSamples2025.xlsx]Bioplastic'!G279)</f>
        <v/>
      </c>
      <c r="H279">
        <f>IF(ISBLANK('Q:\Abteilungsprojekte\eng\EngData\AOS\Allgemein\[LabSamples2025.xlsx]Bioplastic'!H279)," ",'Q:\Abteilungsprojekte\eng\EngData\AOS\Allgemein\[LabSamples2025.xlsx]Bioplastic'!H279)</f>
        <v/>
      </c>
    </row>
    <row r="280">
      <c r="A280">
        <f>IF(ISBLANK('Q:\Abteilungsprojekte\eng\EngData\AOS\Allgemein\[LabSamples2025.xlsx]Bioplastic'!A280)," ",'Q:\Abteilungsprojekte\eng\EngData\AOS\Allgemein\[LabSamples2025.xlsx]Bioplastic'!A280)</f>
        <v/>
      </c>
      <c r="B280">
        <f>IF(ISBLANK('Q:\Abteilungsprojekte\eng\EngData\AOS\Allgemein\[LabSamples2025.xlsx]Bioplastic'!B280)," ",'Q:\Abteilungsprojekte\eng\EngData\AOS\Allgemein\[LabSamples2025.xlsx]Bioplastic'!B280)</f>
        <v/>
      </c>
      <c r="C280">
        <f>IF(ISBLANK('Q:\Abteilungsprojekte\eng\EngData\AOS\Allgemein\[LabSamples2025.xlsx]Bioplastic'!C280)," ",'Q:\Abteilungsprojekte\eng\EngData\AOS\Allgemein\[LabSamples2025.xlsx]Bioplastic'!C280)</f>
        <v/>
      </c>
      <c r="D280">
        <f>IF(ISBLANK('Q:\Abteilungsprojekte\eng\EngData\AOS\Allgemein\[LabSamples2025.xlsx]Bioplastic'!D280)," ",'Q:\Abteilungsprojekte\eng\EngData\AOS\Allgemein\[LabSamples2025.xlsx]Bioplastic'!D280)</f>
        <v/>
      </c>
      <c r="E280">
        <f>IF(ISBLANK('Q:\Abteilungsprojekte\eng\EngData\AOS\Allgemein\[LabSamples2025.xlsx]Bioplastic'!E280)," ",'Q:\Abteilungsprojekte\eng\EngData\AOS\Allgemein\[LabSamples2025.xlsx]Bioplastic'!E280)</f>
        <v/>
      </c>
      <c r="F280">
        <f>IF(ISBLANK('Q:\Abteilungsprojekte\eng\EngData\AOS\Allgemein\[LabSamples2025.xlsx]Bioplastic'!F280)," ",'Q:\Abteilungsprojekte\eng\EngData\AOS\Allgemein\[LabSamples2025.xlsx]Bioplastic'!F280)</f>
        <v/>
      </c>
      <c r="G280">
        <f>IF(ISBLANK('Q:\Abteilungsprojekte\eng\EngData\AOS\Allgemein\[LabSamples2025.xlsx]Bioplastic'!G280)," ",'Q:\Abteilungsprojekte\eng\EngData\AOS\Allgemein\[LabSamples2025.xlsx]Bioplastic'!G280)</f>
        <v/>
      </c>
      <c r="H280">
        <f>IF(ISBLANK('Q:\Abteilungsprojekte\eng\EngData\AOS\Allgemein\[LabSamples2025.xlsx]Bioplastic'!H280)," ",'Q:\Abteilungsprojekte\eng\EngData\AOS\Allgemein\[LabSamples2025.xlsx]Bioplastic'!H280)</f>
        <v/>
      </c>
    </row>
    <row r="281">
      <c r="A281">
        <f>IF(ISBLANK('Q:\Abteilungsprojekte\eng\EngData\AOS\Allgemein\[LabSamples2025.xlsx]Bioplastic'!A281)," ",'Q:\Abteilungsprojekte\eng\EngData\AOS\Allgemein\[LabSamples2025.xlsx]Bioplastic'!A281)</f>
        <v/>
      </c>
      <c r="B281">
        <f>IF(ISBLANK('Q:\Abteilungsprojekte\eng\EngData\AOS\Allgemein\[LabSamples2025.xlsx]Bioplastic'!B281)," ",'Q:\Abteilungsprojekte\eng\EngData\AOS\Allgemein\[LabSamples2025.xlsx]Bioplastic'!B281)</f>
        <v/>
      </c>
      <c r="C281">
        <f>IF(ISBLANK('Q:\Abteilungsprojekte\eng\EngData\AOS\Allgemein\[LabSamples2025.xlsx]Bioplastic'!C281)," ",'Q:\Abteilungsprojekte\eng\EngData\AOS\Allgemein\[LabSamples2025.xlsx]Bioplastic'!C281)</f>
        <v/>
      </c>
      <c r="D281">
        <f>IF(ISBLANK('Q:\Abteilungsprojekte\eng\EngData\AOS\Allgemein\[LabSamples2025.xlsx]Bioplastic'!D281)," ",'Q:\Abteilungsprojekte\eng\EngData\AOS\Allgemein\[LabSamples2025.xlsx]Bioplastic'!D281)</f>
        <v/>
      </c>
      <c r="E281">
        <f>IF(ISBLANK('Q:\Abteilungsprojekte\eng\EngData\AOS\Allgemein\[LabSamples2025.xlsx]Bioplastic'!E281)," ",'Q:\Abteilungsprojekte\eng\EngData\AOS\Allgemein\[LabSamples2025.xlsx]Bioplastic'!E281)</f>
        <v/>
      </c>
      <c r="F281">
        <f>IF(ISBLANK('Q:\Abteilungsprojekte\eng\EngData\AOS\Allgemein\[LabSamples2025.xlsx]Bioplastic'!F281)," ",'Q:\Abteilungsprojekte\eng\EngData\AOS\Allgemein\[LabSamples2025.xlsx]Bioplastic'!F281)</f>
        <v/>
      </c>
      <c r="G281">
        <f>IF(ISBLANK('Q:\Abteilungsprojekte\eng\EngData\AOS\Allgemein\[LabSamples2025.xlsx]Bioplastic'!G281)," ",'Q:\Abteilungsprojekte\eng\EngData\AOS\Allgemein\[LabSamples2025.xlsx]Bioplastic'!G281)</f>
        <v/>
      </c>
      <c r="H281">
        <f>IF(ISBLANK('Q:\Abteilungsprojekte\eng\EngData\AOS\Allgemein\[LabSamples2025.xlsx]Bioplastic'!H281)," ",'Q:\Abteilungsprojekte\eng\EngData\AOS\Allgemein\[LabSamples2025.xlsx]Bioplastic'!H281)</f>
        <v/>
      </c>
    </row>
    <row r="282">
      <c r="A282">
        <f>IF(ISBLANK('Q:\Abteilungsprojekte\eng\EngData\AOS\Allgemein\[LabSamples2025.xlsx]Bioplastic'!A282)," ",'Q:\Abteilungsprojekte\eng\EngData\AOS\Allgemein\[LabSamples2025.xlsx]Bioplastic'!A282)</f>
        <v/>
      </c>
      <c r="B282">
        <f>IF(ISBLANK('Q:\Abteilungsprojekte\eng\EngData\AOS\Allgemein\[LabSamples2025.xlsx]Bioplastic'!B282)," ",'Q:\Abteilungsprojekte\eng\EngData\AOS\Allgemein\[LabSamples2025.xlsx]Bioplastic'!B282)</f>
        <v/>
      </c>
      <c r="C282">
        <f>IF(ISBLANK('Q:\Abteilungsprojekte\eng\EngData\AOS\Allgemein\[LabSamples2025.xlsx]Bioplastic'!C282)," ",'Q:\Abteilungsprojekte\eng\EngData\AOS\Allgemein\[LabSamples2025.xlsx]Bioplastic'!C282)</f>
        <v/>
      </c>
      <c r="D282">
        <f>IF(ISBLANK('Q:\Abteilungsprojekte\eng\EngData\AOS\Allgemein\[LabSamples2025.xlsx]Bioplastic'!D282)," ",'Q:\Abteilungsprojekte\eng\EngData\AOS\Allgemein\[LabSamples2025.xlsx]Bioplastic'!D282)</f>
        <v/>
      </c>
      <c r="E282">
        <f>IF(ISBLANK('Q:\Abteilungsprojekte\eng\EngData\AOS\Allgemein\[LabSamples2025.xlsx]Bioplastic'!E282)," ",'Q:\Abteilungsprojekte\eng\EngData\AOS\Allgemein\[LabSamples2025.xlsx]Bioplastic'!E282)</f>
        <v/>
      </c>
      <c r="F282">
        <f>IF(ISBLANK('Q:\Abteilungsprojekte\eng\EngData\AOS\Allgemein\[LabSamples2025.xlsx]Bioplastic'!F282)," ",'Q:\Abteilungsprojekte\eng\EngData\AOS\Allgemein\[LabSamples2025.xlsx]Bioplastic'!F282)</f>
        <v/>
      </c>
      <c r="G282">
        <f>IF(ISBLANK('Q:\Abteilungsprojekte\eng\EngData\AOS\Allgemein\[LabSamples2025.xlsx]Bioplastic'!G282)," ",'Q:\Abteilungsprojekte\eng\EngData\AOS\Allgemein\[LabSamples2025.xlsx]Bioplastic'!G282)</f>
        <v/>
      </c>
      <c r="H282">
        <f>IF(ISBLANK('Q:\Abteilungsprojekte\eng\EngData\AOS\Allgemein\[LabSamples2025.xlsx]Bioplastic'!H282)," ",'Q:\Abteilungsprojekte\eng\EngData\AOS\Allgemein\[LabSamples2025.xlsx]Bioplastic'!H282)</f>
        <v/>
      </c>
    </row>
    <row r="283">
      <c r="A283">
        <f>IF(ISBLANK('Q:\Abteilungsprojekte\eng\EngData\AOS\Allgemein\[LabSamples2025.xlsx]Bioplastic'!A283)," ",'Q:\Abteilungsprojekte\eng\EngData\AOS\Allgemein\[LabSamples2025.xlsx]Bioplastic'!A283)</f>
        <v/>
      </c>
      <c r="B283">
        <f>IF(ISBLANK('Q:\Abteilungsprojekte\eng\EngData\AOS\Allgemein\[LabSamples2025.xlsx]Bioplastic'!B283)," ",'Q:\Abteilungsprojekte\eng\EngData\AOS\Allgemein\[LabSamples2025.xlsx]Bioplastic'!B283)</f>
        <v/>
      </c>
      <c r="C283">
        <f>IF(ISBLANK('Q:\Abteilungsprojekte\eng\EngData\AOS\Allgemein\[LabSamples2025.xlsx]Bioplastic'!C283)," ",'Q:\Abteilungsprojekte\eng\EngData\AOS\Allgemein\[LabSamples2025.xlsx]Bioplastic'!C283)</f>
        <v/>
      </c>
      <c r="D283">
        <f>IF(ISBLANK('Q:\Abteilungsprojekte\eng\EngData\AOS\Allgemein\[LabSamples2025.xlsx]Bioplastic'!D283)," ",'Q:\Abteilungsprojekte\eng\EngData\AOS\Allgemein\[LabSamples2025.xlsx]Bioplastic'!D283)</f>
        <v/>
      </c>
      <c r="E283">
        <f>IF(ISBLANK('Q:\Abteilungsprojekte\eng\EngData\AOS\Allgemein\[LabSamples2025.xlsx]Bioplastic'!E283)," ",'Q:\Abteilungsprojekte\eng\EngData\AOS\Allgemein\[LabSamples2025.xlsx]Bioplastic'!E283)</f>
        <v/>
      </c>
      <c r="F283">
        <f>IF(ISBLANK('Q:\Abteilungsprojekte\eng\EngData\AOS\Allgemein\[LabSamples2025.xlsx]Bioplastic'!F283)," ",'Q:\Abteilungsprojekte\eng\EngData\AOS\Allgemein\[LabSamples2025.xlsx]Bioplastic'!F283)</f>
        <v/>
      </c>
      <c r="G283">
        <f>IF(ISBLANK('Q:\Abteilungsprojekte\eng\EngData\AOS\Allgemein\[LabSamples2025.xlsx]Bioplastic'!G283)," ",'Q:\Abteilungsprojekte\eng\EngData\AOS\Allgemein\[LabSamples2025.xlsx]Bioplastic'!G283)</f>
        <v/>
      </c>
      <c r="H283">
        <f>IF(ISBLANK('Q:\Abteilungsprojekte\eng\EngData\AOS\Allgemein\[LabSamples2025.xlsx]Bioplastic'!H283)," ",'Q:\Abteilungsprojekte\eng\EngData\AOS\Allgemein\[LabSamples2025.xlsx]Bioplastic'!H283)</f>
        <v/>
      </c>
    </row>
    <row r="284">
      <c r="A284">
        <f>IF(ISBLANK('Q:\Abteilungsprojekte\eng\EngData\AOS\Allgemein\[LabSamples2025.xlsx]Bioplastic'!A284)," ",'Q:\Abteilungsprojekte\eng\EngData\AOS\Allgemein\[LabSamples2025.xlsx]Bioplastic'!A284)</f>
        <v/>
      </c>
      <c r="B284">
        <f>IF(ISBLANK('Q:\Abteilungsprojekte\eng\EngData\AOS\Allgemein\[LabSamples2025.xlsx]Bioplastic'!B284)," ",'Q:\Abteilungsprojekte\eng\EngData\AOS\Allgemein\[LabSamples2025.xlsx]Bioplastic'!B284)</f>
        <v/>
      </c>
      <c r="C284">
        <f>IF(ISBLANK('Q:\Abteilungsprojekte\eng\EngData\AOS\Allgemein\[LabSamples2025.xlsx]Bioplastic'!C284)," ",'Q:\Abteilungsprojekte\eng\EngData\AOS\Allgemein\[LabSamples2025.xlsx]Bioplastic'!C284)</f>
        <v/>
      </c>
      <c r="D284">
        <f>IF(ISBLANK('Q:\Abteilungsprojekte\eng\EngData\AOS\Allgemein\[LabSamples2025.xlsx]Bioplastic'!D284)," ",'Q:\Abteilungsprojekte\eng\EngData\AOS\Allgemein\[LabSamples2025.xlsx]Bioplastic'!D284)</f>
        <v/>
      </c>
      <c r="E284">
        <f>IF(ISBLANK('Q:\Abteilungsprojekte\eng\EngData\AOS\Allgemein\[LabSamples2025.xlsx]Bioplastic'!E284)," ",'Q:\Abteilungsprojekte\eng\EngData\AOS\Allgemein\[LabSamples2025.xlsx]Bioplastic'!E284)</f>
        <v/>
      </c>
      <c r="F284">
        <f>IF(ISBLANK('Q:\Abteilungsprojekte\eng\EngData\AOS\Allgemein\[LabSamples2025.xlsx]Bioplastic'!F284)," ",'Q:\Abteilungsprojekte\eng\EngData\AOS\Allgemein\[LabSamples2025.xlsx]Bioplastic'!F284)</f>
        <v/>
      </c>
      <c r="G284">
        <f>IF(ISBLANK('Q:\Abteilungsprojekte\eng\EngData\AOS\Allgemein\[LabSamples2025.xlsx]Bioplastic'!G284)," ",'Q:\Abteilungsprojekte\eng\EngData\AOS\Allgemein\[LabSamples2025.xlsx]Bioplastic'!G284)</f>
        <v/>
      </c>
      <c r="H284">
        <f>IF(ISBLANK('Q:\Abteilungsprojekte\eng\EngData\AOS\Allgemein\[LabSamples2025.xlsx]Bioplastic'!H284)," ",'Q:\Abteilungsprojekte\eng\EngData\AOS\Allgemein\[LabSamples2025.xlsx]Bioplastic'!H284)</f>
        <v/>
      </c>
    </row>
    <row r="285">
      <c r="A285">
        <f>IF(ISBLANK('Q:\Abteilungsprojekte\eng\EngData\AOS\Allgemein\[LabSamples2025.xlsx]Bioplastic'!A285)," ",'Q:\Abteilungsprojekte\eng\EngData\AOS\Allgemein\[LabSamples2025.xlsx]Bioplastic'!A285)</f>
        <v/>
      </c>
      <c r="B285">
        <f>IF(ISBLANK('Q:\Abteilungsprojekte\eng\EngData\AOS\Allgemein\[LabSamples2025.xlsx]Bioplastic'!B285)," ",'Q:\Abteilungsprojekte\eng\EngData\AOS\Allgemein\[LabSamples2025.xlsx]Bioplastic'!B285)</f>
        <v/>
      </c>
      <c r="C285">
        <f>IF(ISBLANK('Q:\Abteilungsprojekte\eng\EngData\AOS\Allgemein\[LabSamples2025.xlsx]Bioplastic'!C285)," ",'Q:\Abteilungsprojekte\eng\EngData\AOS\Allgemein\[LabSamples2025.xlsx]Bioplastic'!C285)</f>
        <v/>
      </c>
      <c r="D285">
        <f>IF(ISBLANK('Q:\Abteilungsprojekte\eng\EngData\AOS\Allgemein\[LabSamples2025.xlsx]Bioplastic'!D285)," ",'Q:\Abteilungsprojekte\eng\EngData\AOS\Allgemein\[LabSamples2025.xlsx]Bioplastic'!D285)</f>
        <v/>
      </c>
      <c r="E285">
        <f>IF(ISBLANK('Q:\Abteilungsprojekte\eng\EngData\AOS\Allgemein\[LabSamples2025.xlsx]Bioplastic'!E285)," ",'Q:\Abteilungsprojekte\eng\EngData\AOS\Allgemein\[LabSamples2025.xlsx]Bioplastic'!E285)</f>
        <v/>
      </c>
      <c r="F285">
        <f>IF(ISBLANK('Q:\Abteilungsprojekte\eng\EngData\AOS\Allgemein\[LabSamples2025.xlsx]Bioplastic'!F285)," ",'Q:\Abteilungsprojekte\eng\EngData\AOS\Allgemein\[LabSamples2025.xlsx]Bioplastic'!F285)</f>
        <v/>
      </c>
      <c r="G285">
        <f>IF(ISBLANK('Q:\Abteilungsprojekte\eng\EngData\AOS\Allgemein\[LabSamples2025.xlsx]Bioplastic'!G285)," ",'Q:\Abteilungsprojekte\eng\EngData\AOS\Allgemein\[LabSamples2025.xlsx]Bioplastic'!G285)</f>
        <v/>
      </c>
      <c r="H285">
        <f>IF(ISBLANK('Q:\Abteilungsprojekte\eng\EngData\AOS\Allgemein\[LabSamples2025.xlsx]Bioplastic'!H285)," ",'Q:\Abteilungsprojekte\eng\EngData\AOS\Allgemein\[LabSamples2025.xlsx]Bioplastic'!H285)</f>
        <v/>
      </c>
    </row>
    <row r="286">
      <c r="A286">
        <f>IF(ISBLANK('Q:\Abteilungsprojekte\eng\EngData\AOS\Allgemein\[LabSamples2025.xlsx]Bioplastic'!A286)," ",'Q:\Abteilungsprojekte\eng\EngData\AOS\Allgemein\[LabSamples2025.xlsx]Bioplastic'!A286)</f>
        <v/>
      </c>
      <c r="B286">
        <f>IF(ISBLANK('Q:\Abteilungsprojekte\eng\EngData\AOS\Allgemein\[LabSamples2025.xlsx]Bioplastic'!B286)," ",'Q:\Abteilungsprojekte\eng\EngData\AOS\Allgemein\[LabSamples2025.xlsx]Bioplastic'!B286)</f>
        <v/>
      </c>
      <c r="C286">
        <f>IF(ISBLANK('Q:\Abteilungsprojekte\eng\EngData\AOS\Allgemein\[LabSamples2025.xlsx]Bioplastic'!C286)," ",'Q:\Abteilungsprojekte\eng\EngData\AOS\Allgemein\[LabSamples2025.xlsx]Bioplastic'!C286)</f>
        <v/>
      </c>
      <c r="D286">
        <f>IF(ISBLANK('Q:\Abteilungsprojekte\eng\EngData\AOS\Allgemein\[LabSamples2025.xlsx]Bioplastic'!D286)," ",'Q:\Abteilungsprojekte\eng\EngData\AOS\Allgemein\[LabSamples2025.xlsx]Bioplastic'!D286)</f>
        <v/>
      </c>
      <c r="E286">
        <f>IF(ISBLANK('Q:\Abteilungsprojekte\eng\EngData\AOS\Allgemein\[LabSamples2025.xlsx]Bioplastic'!E286)," ",'Q:\Abteilungsprojekte\eng\EngData\AOS\Allgemein\[LabSamples2025.xlsx]Bioplastic'!E286)</f>
        <v/>
      </c>
      <c r="F286">
        <f>IF(ISBLANK('Q:\Abteilungsprojekte\eng\EngData\AOS\Allgemein\[LabSamples2025.xlsx]Bioplastic'!F286)," ",'Q:\Abteilungsprojekte\eng\EngData\AOS\Allgemein\[LabSamples2025.xlsx]Bioplastic'!F286)</f>
        <v/>
      </c>
      <c r="G286">
        <f>IF(ISBLANK('Q:\Abteilungsprojekte\eng\EngData\AOS\Allgemein\[LabSamples2025.xlsx]Bioplastic'!G286)," ",'Q:\Abteilungsprojekte\eng\EngData\AOS\Allgemein\[LabSamples2025.xlsx]Bioplastic'!G286)</f>
        <v/>
      </c>
      <c r="H286">
        <f>IF(ISBLANK('Q:\Abteilungsprojekte\eng\EngData\AOS\Allgemein\[LabSamples2025.xlsx]Bioplastic'!H286)," ",'Q:\Abteilungsprojekte\eng\EngData\AOS\Allgemein\[LabSamples2025.xlsx]Bioplastic'!H286)</f>
        <v/>
      </c>
    </row>
    <row r="287">
      <c r="A287">
        <f>IF(ISBLANK('Q:\Abteilungsprojekte\eng\EngData\AOS\Allgemein\[LabSamples2025.xlsx]Bioplastic'!A287)," ",'Q:\Abteilungsprojekte\eng\EngData\AOS\Allgemein\[LabSamples2025.xlsx]Bioplastic'!A287)</f>
        <v/>
      </c>
      <c r="B287">
        <f>IF(ISBLANK('Q:\Abteilungsprojekte\eng\EngData\AOS\Allgemein\[LabSamples2025.xlsx]Bioplastic'!B287)," ",'Q:\Abteilungsprojekte\eng\EngData\AOS\Allgemein\[LabSamples2025.xlsx]Bioplastic'!B287)</f>
        <v/>
      </c>
      <c r="C287">
        <f>IF(ISBLANK('Q:\Abteilungsprojekte\eng\EngData\AOS\Allgemein\[LabSamples2025.xlsx]Bioplastic'!C287)," ",'Q:\Abteilungsprojekte\eng\EngData\AOS\Allgemein\[LabSamples2025.xlsx]Bioplastic'!C287)</f>
        <v/>
      </c>
      <c r="D287">
        <f>IF(ISBLANK('Q:\Abteilungsprojekte\eng\EngData\AOS\Allgemein\[LabSamples2025.xlsx]Bioplastic'!D287)," ",'Q:\Abteilungsprojekte\eng\EngData\AOS\Allgemein\[LabSamples2025.xlsx]Bioplastic'!D287)</f>
        <v/>
      </c>
      <c r="E287">
        <f>IF(ISBLANK('Q:\Abteilungsprojekte\eng\EngData\AOS\Allgemein\[LabSamples2025.xlsx]Bioplastic'!E287)," ",'Q:\Abteilungsprojekte\eng\EngData\AOS\Allgemein\[LabSamples2025.xlsx]Bioplastic'!E287)</f>
        <v/>
      </c>
      <c r="F287">
        <f>IF(ISBLANK('Q:\Abteilungsprojekte\eng\EngData\AOS\Allgemein\[LabSamples2025.xlsx]Bioplastic'!F287)," ",'Q:\Abteilungsprojekte\eng\EngData\AOS\Allgemein\[LabSamples2025.xlsx]Bioplastic'!F287)</f>
        <v/>
      </c>
      <c r="G287">
        <f>IF(ISBLANK('Q:\Abteilungsprojekte\eng\EngData\AOS\Allgemein\[LabSamples2025.xlsx]Bioplastic'!G287)," ",'Q:\Abteilungsprojekte\eng\EngData\AOS\Allgemein\[LabSamples2025.xlsx]Bioplastic'!G287)</f>
        <v/>
      </c>
      <c r="H287">
        <f>IF(ISBLANK('Q:\Abteilungsprojekte\eng\EngData\AOS\Allgemein\[LabSamples2025.xlsx]Bioplastic'!H287)," ",'Q:\Abteilungsprojekte\eng\EngData\AOS\Allgemein\[LabSamples2025.xlsx]Bioplastic'!H287)</f>
        <v/>
      </c>
    </row>
    <row r="288">
      <c r="A288">
        <f>IF(ISBLANK('Q:\Abteilungsprojekte\eng\EngData\AOS\Allgemein\[LabSamples2025.xlsx]Bioplastic'!A288)," ",'Q:\Abteilungsprojekte\eng\EngData\AOS\Allgemein\[LabSamples2025.xlsx]Bioplastic'!A288)</f>
        <v/>
      </c>
      <c r="B288">
        <f>IF(ISBLANK('Q:\Abteilungsprojekte\eng\EngData\AOS\Allgemein\[LabSamples2025.xlsx]Bioplastic'!B288)," ",'Q:\Abteilungsprojekte\eng\EngData\AOS\Allgemein\[LabSamples2025.xlsx]Bioplastic'!B288)</f>
        <v/>
      </c>
      <c r="C288">
        <f>IF(ISBLANK('Q:\Abteilungsprojekte\eng\EngData\AOS\Allgemein\[LabSamples2025.xlsx]Bioplastic'!C288)," ",'Q:\Abteilungsprojekte\eng\EngData\AOS\Allgemein\[LabSamples2025.xlsx]Bioplastic'!C288)</f>
        <v/>
      </c>
      <c r="D288">
        <f>IF(ISBLANK('Q:\Abteilungsprojekte\eng\EngData\AOS\Allgemein\[LabSamples2025.xlsx]Bioplastic'!D288)," ",'Q:\Abteilungsprojekte\eng\EngData\AOS\Allgemein\[LabSamples2025.xlsx]Bioplastic'!D288)</f>
        <v/>
      </c>
      <c r="E288">
        <f>IF(ISBLANK('Q:\Abteilungsprojekte\eng\EngData\AOS\Allgemein\[LabSamples2025.xlsx]Bioplastic'!E288)," ",'Q:\Abteilungsprojekte\eng\EngData\AOS\Allgemein\[LabSamples2025.xlsx]Bioplastic'!E288)</f>
        <v/>
      </c>
      <c r="F288">
        <f>IF(ISBLANK('Q:\Abteilungsprojekte\eng\EngData\AOS\Allgemein\[LabSamples2025.xlsx]Bioplastic'!F288)," ",'Q:\Abteilungsprojekte\eng\EngData\AOS\Allgemein\[LabSamples2025.xlsx]Bioplastic'!F288)</f>
        <v/>
      </c>
      <c r="G288">
        <f>IF(ISBLANK('Q:\Abteilungsprojekte\eng\EngData\AOS\Allgemein\[LabSamples2025.xlsx]Bioplastic'!G288)," ",'Q:\Abteilungsprojekte\eng\EngData\AOS\Allgemein\[LabSamples2025.xlsx]Bioplastic'!G288)</f>
        <v/>
      </c>
      <c r="H288">
        <f>IF(ISBLANK('Q:\Abteilungsprojekte\eng\EngData\AOS\Allgemein\[LabSamples2025.xlsx]Bioplastic'!H288)," ",'Q:\Abteilungsprojekte\eng\EngData\AOS\Allgemein\[LabSamples2025.xlsx]Bioplastic'!H288)</f>
        <v/>
      </c>
    </row>
    <row r="289">
      <c r="A289">
        <f>IF(ISBLANK('Q:\Abteilungsprojekte\eng\EngData\AOS\Allgemein\[LabSamples2025.xlsx]Bioplastic'!A289)," ",'Q:\Abteilungsprojekte\eng\EngData\AOS\Allgemein\[LabSamples2025.xlsx]Bioplastic'!A289)</f>
        <v/>
      </c>
      <c r="B289">
        <f>IF(ISBLANK('Q:\Abteilungsprojekte\eng\EngData\AOS\Allgemein\[LabSamples2025.xlsx]Bioplastic'!B289)," ",'Q:\Abteilungsprojekte\eng\EngData\AOS\Allgemein\[LabSamples2025.xlsx]Bioplastic'!B289)</f>
        <v/>
      </c>
      <c r="C289">
        <f>IF(ISBLANK('Q:\Abteilungsprojekte\eng\EngData\AOS\Allgemein\[LabSamples2025.xlsx]Bioplastic'!C289)," ",'Q:\Abteilungsprojekte\eng\EngData\AOS\Allgemein\[LabSamples2025.xlsx]Bioplastic'!C289)</f>
        <v/>
      </c>
      <c r="D289">
        <f>IF(ISBLANK('Q:\Abteilungsprojekte\eng\EngData\AOS\Allgemein\[LabSamples2025.xlsx]Bioplastic'!D289)," ",'Q:\Abteilungsprojekte\eng\EngData\AOS\Allgemein\[LabSamples2025.xlsx]Bioplastic'!D289)</f>
        <v/>
      </c>
      <c r="E289">
        <f>IF(ISBLANK('Q:\Abteilungsprojekte\eng\EngData\AOS\Allgemein\[LabSamples2025.xlsx]Bioplastic'!E289)," ",'Q:\Abteilungsprojekte\eng\EngData\AOS\Allgemein\[LabSamples2025.xlsx]Bioplastic'!E289)</f>
        <v/>
      </c>
      <c r="F289">
        <f>IF(ISBLANK('Q:\Abteilungsprojekte\eng\EngData\AOS\Allgemein\[LabSamples2025.xlsx]Bioplastic'!F289)," ",'Q:\Abteilungsprojekte\eng\EngData\AOS\Allgemein\[LabSamples2025.xlsx]Bioplastic'!F289)</f>
        <v/>
      </c>
      <c r="G289">
        <f>IF(ISBLANK('Q:\Abteilungsprojekte\eng\EngData\AOS\Allgemein\[LabSamples2025.xlsx]Bioplastic'!G289)," ",'Q:\Abteilungsprojekte\eng\EngData\AOS\Allgemein\[LabSamples2025.xlsx]Bioplastic'!G289)</f>
        <v/>
      </c>
      <c r="H289">
        <f>IF(ISBLANK('Q:\Abteilungsprojekte\eng\EngData\AOS\Allgemein\[LabSamples2025.xlsx]Bioplastic'!H289)," ",'Q:\Abteilungsprojekte\eng\EngData\AOS\Allgemein\[LabSamples2025.xlsx]Bioplastic'!H289)</f>
        <v/>
      </c>
    </row>
    <row r="290">
      <c r="A290">
        <f>IF(ISBLANK('Q:\Abteilungsprojekte\eng\EngData\AOS\Allgemein\[LabSamples2025.xlsx]Bioplastic'!A290)," ",'Q:\Abteilungsprojekte\eng\EngData\AOS\Allgemein\[LabSamples2025.xlsx]Bioplastic'!A290)</f>
        <v/>
      </c>
      <c r="B290">
        <f>IF(ISBLANK('Q:\Abteilungsprojekte\eng\EngData\AOS\Allgemein\[LabSamples2025.xlsx]Bioplastic'!B290)," ",'Q:\Abteilungsprojekte\eng\EngData\AOS\Allgemein\[LabSamples2025.xlsx]Bioplastic'!B290)</f>
        <v/>
      </c>
      <c r="C290">
        <f>IF(ISBLANK('Q:\Abteilungsprojekte\eng\EngData\AOS\Allgemein\[LabSamples2025.xlsx]Bioplastic'!C290)," ",'Q:\Abteilungsprojekte\eng\EngData\AOS\Allgemein\[LabSamples2025.xlsx]Bioplastic'!C290)</f>
        <v/>
      </c>
      <c r="D290">
        <f>IF(ISBLANK('Q:\Abteilungsprojekte\eng\EngData\AOS\Allgemein\[LabSamples2025.xlsx]Bioplastic'!D290)," ",'Q:\Abteilungsprojekte\eng\EngData\AOS\Allgemein\[LabSamples2025.xlsx]Bioplastic'!D290)</f>
        <v/>
      </c>
      <c r="E290">
        <f>IF(ISBLANK('Q:\Abteilungsprojekte\eng\EngData\AOS\Allgemein\[LabSamples2025.xlsx]Bioplastic'!E290)," ",'Q:\Abteilungsprojekte\eng\EngData\AOS\Allgemein\[LabSamples2025.xlsx]Bioplastic'!E290)</f>
        <v/>
      </c>
      <c r="F290">
        <f>IF(ISBLANK('Q:\Abteilungsprojekte\eng\EngData\AOS\Allgemein\[LabSamples2025.xlsx]Bioplastic'!F290)," ",'Q:\Abteilungsprojekte\eng\EngData\AOS\Allgemein\[LabSamples2025.xlsx]Bioplastic'!F290)</f>
        <v/>
      </c>
      <c r="G290">
        <f>IF(ISBLANK('Q:\Abteilungsprojekte\eng\EngData\AOS\Allgemein\[LabSamples2025.xlsx]Bioplastic'!G290)," ",'Q:\Abteilungsprojekte\eng\EngData\AOS\Allgemein\[LabSamples2025.xlsx]Bioplastic'!G290)</f>
        <v/>
      </c>
      <c r="H290">
        <f>IF(ISBLANK('Q:\Abteilungsprojekte\eng\EngData\AOS\Allgemein\[LabSamples2025.xlsx]Bioplastic'!H290)," ",'Q:\Abteilungsprojekte\eng\EngData\AOS\Allgemein\[LabSamples2025.xlsx]Bioplastic'!H290)</f>
        <v/>
      </c>
    </row>
    <row r="291">
      <c r="A291">
        <f>IF(ISBLANK('Q:\Abteilungsprojekte\eng\EngData\AOS\Allgemein\[LabSamples2025.xlsx]Bioplastic'!A291)," ",'Q:\Abteilungsprojekte\eng\EngData\AOS\Allgemein\[LabSamples2025.xlsx]Bioplastic'!A291)</f>
        <v/>
      </c>
      <c r="B291">
        <f>IF(ISBLANK('Q:\Abteilungsprojekte\eng\EngData\AOS\Allgemein\[LabSamples2025.xlsx]Bioplastic'!B291)," ",'Q:\Abteilungsprojekte\eng\EngData\AOS\Allgemein\[LabSamples2025.xlsx]Bioplastic'!B291)</f>
        <v/>
      </c>
      <c r="C291">
        <f>IF(ISBLANK('Q:\Abteilungsprojekte\eng\EngData\AOS\Allgemein\[LabSamples2025.xlsx]Bioplastic'!C291)," ",'Q:\Abteilungsprojekte\eng\EngData\AOS\Allgemein\[LabSamples2025.xlsx]Bioplastic'!C291)</f>
        <v/>
      </c>
      <c r="D291">
        <f>IF(ISBLANK('Q:\Abteilungsprojekte\eng\EngData\AOS\Allgemein\[LabSamples2025.xlsx]Bioplastic'!D291)," ",'Q:\Abteilungsprojekte\eng\EngData\AOS\Allgemein\[LabSamples2025.xlsx]Bioplastic'!D291)</f>
        <v/>
      </c>
      <c r="E291">
        <f>IF(ISBLANK('Q:\Abteilungsprojekte\eng\EngData\AOS\Allgemein\[LabSamples2025.xlsx]Bioplastic'!E291)," ",'Q:\Abteilungsprojekte\eng\EngData\AOS\Allgemein\[LabSamples2025.xlsx]Bioplastic'!E291)</f>
        <v/>
      </c>
      <c r="F291">
        <f>IF(ISBLANK('Q:\Abteilungsprojekte\eng\EngData\AOS\Allgemein\[LabSamples2025.xlsx]Bioplastic'!F291)," ",'Q:\Abteilungsprojekte\eng\EngData\AOS\Allgemein\[LabSamples2025.xlsx]Bioplastic'!F291)</f>
        <v/>
      </c>
      <c r="G291">
        <f>IF(ISBLANK('Q:\Abteilungsprojekte\eng\EngData\AOS\Allgemein\[LabSamples2025.xlsx]Bioplastic'!G291)," ",'Q:\Abteilungsprojekte\eng\EngData\AOS\Allgemein\[LabSamples2025.xlsx]Bioplastic'!G291)</f>
        <v/>
      </c>
      <c r="H291">
        <f>IF(ISBLANK('Q:\Abteilungsprojekte\eng\EngData\AOS\Allgemein\[LabSamples2025.xlsx]Bioplastic'!H291)," ",'Q:\Abteilungsprojekte\eng\EngData\AOS\Allgemein\[LabSamples2025.xlsx]Bioplastic'!H291)</f>
        <v/>
      </c>
    </row>
    <row r="292">
      <c r="A292">
        <f>IF(ISBLANK('Q:\Abteilungsprojekte\eng\EngData\AOS\Allgemein\[LabSamples2025.xlsx]Bioplastic'!A292)," ",'Q:\Abteilungsprojekte\eng\EngData\AOS\Allgemein\[LabSamples2025.xlsx]Bioplastic'!A292)</f>
        <v/>
      </c>
      <c r="B292">
        <f>IF(ISBLANK('Q:\Abteilungsprojekte\eng\EngData\AOS\Allgemein\[LabSamples2025.xlsx]Bioplastic'!B292)," ",'Q:\Abteilungsprojekte\eng\EngData\AOS\Allgemein\[LabSamples2025.xlsx]Bioplastic'!B292)</f>
        <v/>
      </c>
      <c r="C292">
        <f>IF(ISBLANK('Q:\Abteilungsprojekte\eng\EngData\AOS\Allgemein\[LabSamples2025.xlsx]Bioplastic'!C292)," ",'Q:\Abteilungsprojekte\eng\EngData\AOS\Allgemein\[LabSamples2025.xlsx]Bioplastic'!C292)</f>
        <v/>
      </c>
      <c r="D292">
        <f>IF(ISBLANK('Q:\Abteilungsprojekte\eng\EngData\AOS\Allgemein\[LabSamples2025.xlsx]Bioplastic'!D292)," ",'Q:\Abteilungsprojekte\eng\EngData\AOS\Allgemein\[LabSamples2025.xlsx]Bioplastic'!D292)</f>
        <v/>
      </c>
      <c r="E292">
        <f>IF(ISBLANK('Q:\Abteilungsprojekte\eng\EngData\AOS\Allgemein\[LabSamples2025.xlsx]Bioplastic'!E292)," ",'Q:\Abteilungsprojekte\eng\EngData\AOS\Allgemein\[LabSamples2025.xlsx]Bioplastic'!E292)</f>
        <v/>
      </c>
      <c r="F292">
        <f>IF(ISBLANK('Q:\Abteilungsprojekte\eng\EngData\AOS\Allgemein\[LabSamples2025.xlsx]Bioplastic'!F292)," ",'Q:\Abteilungsprojekte\eng\EngData\AOS\Allgemein\[LabSamples2025.xlsx]Bioplastic'!F292)</f>
        <v/>
      </c>
      <c r="G292">
        <f>IF(ISBLANK('Q:\Abteilungsprojekte\eng\EngData\AOS\Allgemein\[LabSamples2025.xlsx]Bioplastic'!G292)," ",'Q:\Abteilungsprojekte\eng\EngData\AOS\Allgemein\[LabSamples2025.xlsx]Bioplastic'!G292)</f>
        <v/>
      </c>
      <c r="H292">
        <f>IF(ISBLANK('Q:\Abteilungsprojekte\eng\EngData\AOS\Allgemein\[LabSamples2025.xlsx]Bioplastic'!H292)," ",'Q:\Abteilungsprojekte\eng\EngData\AOS\Allgemein\[LabSamples2025.xlsx]Bioplastic'!H292)</f>
        <v/>
      </c>
    </row>
    <row r="293">
      <c r="A293">
        <f>IF(ISBLANK('Q:\Abteilungsprojekte\eng\EngData\AOS\Allgemein\[LabSamples2025.xlsx]Bioplastic'!A293)," ",'Q:\Abteilungsprojekte\eng\EngData\AOS\Allgemein\[LabSamples2025.xlsx]Bioplastic'!A293)</f>
        <v/>
      </c>
      <c r="B293">
        <f>IF(ISBLANK('Q:\Abteilungsprojekte\eng\EngData\AOS\Allgemein\[LabSamples2025.xlsx]Bioplastic'!B293)," ",'Q:\Abteilungsprojekte\eng\EngData\AOS\Allgemein\[LabSamples2025.xlsx]Bioplastic'!B293)</f>
        <v/>
      </c>
      <c r="C293">
        <f>IF(ISBLANK('Q:\Abteilungsprojekte\eng\EngData\AOS\Allgemein\[LabSamples2025.xlsx]Bioplastic'!C293)," ",'Q:\Abteilungsprojekte\eng\EngData\AOS\Allgemein\[LabSamples2025.xlsx]Bioplastic'!C293)</f>
        <v/>
      </c>
      <c r="D293">
        <f>IF(ISBLANK('Q:\Abteilungsprojekte\eng\EngData\AOS\Allgemein\[LabSamples2025.xlsx]Bioplastic'!D293)," ",'Q:\Abteilungsprojekte\eng\EngData\AOS\Allgemein\[LabSamples2025.xlsx]Bioplastic'!D293)</f>
        <v/>
      </c>
      <c r="E293">
        <f>IF(ISBLANK('Q:\Abteilungsprojekte\eng\EngData\AOS\Allgemein\[LabSamples2025.xlsx]Bioplastic'!E293)," ",'Q:\Abteilungsprojekte\eng\EngData\AOS\Allgemein\[LabSamples2025.xlsx]Bioplastic'!E293)</f>
        <v/>
      </c>
      <c r="F293">
        <f>IF(ISBLANK('Q:\Abteilungsprojekte\eng\EngData\AOS\Allgemein\[LabSamples2025.xlsx]Bioplastic'!F293)," ",'Q:\Abteilungsprojekte\eng\EngData\AOS\Allgemein\[LabSamples2025.xlsx]Bioplastic'!F293)</f>
        <v/>
      </c>
      <c r="G293">
        <f>IF(ISBLANK('Q:\Abteilungsprojekte\eng\EngData\AOS\Allgemein\[LabSamples2025.xlsx]Bioplastic'!G293)," ",'Q:\Abteilungsprojekte\eng\EngData\AOS\Allgemein\[LabSamples2025.xlsx]Bioplastic'!G293)</f>
        <v/>
      </c>
      <c r="H293">
        <f>IF(ISBLANK('Q:\Abteilungsprojekte\eng\EngData\AOS\Allgemein\[LabSamples2025.xlsx]Bioplastic'!H293)," ",'Q:\Abteilungsprojekte\eng\EngData\AOS\Allgemein\[LabSamples2025.xlsx]Bioplastic'!H293)</f>
        <v/>
      </c>
    </row>
    <row r="294">
      <c r="A294">
        <f>IF(ISBLANK('Q:\Abteilungsprojekte\eng\EngData\AOS\Allgemein\[LabSamples2025.xlsx]Bioplastic'!A294)," ",'Q:\Abteilungsprojekte\eng\EngData\AOS\Allgemein\[LabSamples2025.xlsx]Bioplastic'!A294)</f>
        <v/>
      </c>
      <c r="B294">
        <f>IF(ISBLANK('Q:\Abteilungsprojekte\eng\EngData\AOS\Allgemein\[LabSamples2025.xlsx]Bioplastic'!B294)," ",'Q:\Abteilungsprojekte\eng\EngData\AOS\Allgemein\[LabSamples2025.xlsx]Bioplastic'!B294)</f>
        <v/>
      </c>
      <c r="C294">
        <f>IF(ISBLANK('Q:\Abteilungsprojekte\eng\EngData\AOS\Allgemein\[LabSamples2025.xlsx]Bioplastic'!C294)," ",'Q:\Abteilungsprojekte\eng\EngData\AOS\Allgemein\[LabSamples2025.xlsx]Bioplastic'!C294)</f>
        <v/>
      </c>
      <c r="D294">
        <f>IF(ISBLANK('Q:\Abteilungsprojekte\eng\EngData\AOS\Allgemein\[LabSamples2025.xlsx]Bioplastic'!D294)," ",'Q:\Abteilungsprojekte\eng\EngData\AOS\Allgemein\[LabSamples2025.xlsx]Bioplastic'!D294)</f>
        <v/>
      </c>
      <c r="E294">
        <f>IF(ISBLANK('Q:\Abteilungsprojekte\eng\EngData\AOS\Allgemein\[LabSamples2025.xlsx]Bioplastic'!E294)," ",'Q:\Abteilungsprojekte\eng\EngData\AOS\Allgemein\[LabSamples2025.xlsx]Bioplastic'!E294)</f>
        <v/>
      </c>
      <c r="F294">
        <f>IF(ISBLANK('Q:\Abteilungsprojekte\eng\EngData\AOS\Allgemein\[LabSamples2025.xlsx]Bioplastic'!F294)," ",'Q:\Abteilungsprojekte\eng\EngData\AOS\Allgemein\[LabSamples2025.xlsx]Bioplastic'!F294)</f>
        <v/>
      </c>
      <c r="G294">
        <f>IF(ISBLANK('Q:\Abteilungsprojekte\eng\EngData\AOS\Allgemein\[LabSamples2025.xlsx]Bioplastic'!G294)," ",'Q:\Abteilungsprojekte\eng\EngData\AOS\Allgemein\[LabSamples2025.xlsx]Bioplastic'!G294)</f>
        <v/>
      </c>
      <c r="H294">
        <f>IF(ISBLANK('Q:\Abteilungsprojekte\eng\EngData\AOS\Allgemein\[LabSamples2025.xlsx]Bioplastic'!H294)," ",'Q:\Abteilungsprojekte\eng\EngData\AOS\Allgemein\[LabSamples2025.xlsx]Bioplastic'!H294)</f>
        <v/>
      </c>
    </row>
    <row r="295">
      <c r="A295">
        <f>IF(ISBLANK('Q:\Abteilungsprojekte\eng\EngData\AOS\Allgemein\[LabSamples2025.xlsx]Bioplastic'!A295)," ",'Q:\Abteilungsprojekte\eng\EngData\AOS\Allgemein\[LabSamples2025.xlsx]Bioplastic'!A295)</f>
        <v/>
      </c>
      <c r="B295">
        <f>IF(ISBLANK('Q:\Abteilungsprojekte\eng\EngData\AOS\Allgemein\[LabSamples2025.xlsx]Bioplastic'!B295)," ",'Q:\Abteilungsprojekte\eng\EngData\AOS\Allgemein\[LabSamples2025.xlsx]Bioplastic'!B295)</f>
        <v/>
      </c>
      <c r="C295">
        <f>IF(ISBLANK('Q:\Abteilungsprojekte\eng\EngData\AOS\Allgemein\[LabSamples2025.xlsx]Bioplastic'!C295)," ",'Q:\Abteilungsprojekte\eng\EngData\AOS\Allgemein\[LabSamples2025.xlsx]Bioplastic'!C295)</f>
        <v/>
      </c>
      <c r="D295">
        <f>IF(ISBLANK('Q:\Abteilungsprojekte\eng\EngData\AOS\Allgemein\[LabSamples2025.xlsx]Bioplastic'!D295)," ",'Q:\Abteilungsprojekte\eng\EngData\AOS\Allgemein\[LabSamples2025.xlsx]Bioplastic'!D295)</f>
        <v/>
      </c>
      <c r="E295">
        <f>IF(ISBLANK('Q:\Abteilungsprojekte\eng\EngData\AOS\Allgemein\[LabSamples2025.xlsx]Bioplastic'!E295)," ",'Q:\Abteilungsprojekte\eng\EngData\AOS\Allgemein\[LabSamples2025.xlsx]Bioplastic'!E295)</f>
        <v/>
      </c>
      <c r="F295">
        <f>IF(ISBLANK('Q:\Abteilungsprojekte\eng\EngData\AOS\Allgemein\[LabSamples2025.xlsx]Bioplastic'!F295)," ",'Q:\Abteilungsprojekte\eng\EngData\AOS\Allgemein\[LabSamples2025.xlsx]Bioplastic'!F295)</f>
        <v/>
      </c>
      <c r="G295">
        <f>IF(ISBLANK('Q:\Abteilungsprojekte\eng\EngData\AOS\Allgemein\[LabSamples2025.xlsx]Bioplastic'!G295)," ",'Q:\Abteilungsprojekte\eng\EngData\AOS\Allgemein\[LabSamples2025.xlsx]Bioplastic'!G295)</f>
        <v/>
      </c>
      <c r="H295">
        <f>IF(ISBLANK('Q:\Abteilungsprojekte\eng\EngData\AOS\Allgemein\[LabSamples2025.xlsx]Bioplastic'!H295)," ",'Q:\Abteilungsprojekte\eng\EngData\AOS\Allgemein\[LabSamples2025.xlsx]Bioplastic'!H295)</f>
        <v/>
      </c>
    </row>
    <row r="296">
      <c r="A296">
        <f>IF(ISBLANK('Q:\Abteilungsprojekte\eng\EngData\AOS\Allgemein\[LabSamples2025.xlsx]Bioplastic'!A296)," ",'Q:\Abteilungsprojekte\eng\EngData\AOS\Allgemein\[LabSamples2025.xlsx]Bioplastic'!A296)</f>
        <v/>
      </c>
      <c r="B296">
        <f>IF(ISBLANK('Q:\Abteilungsprojekte\eng\EngData\AOS\Allgemein\[LabSamples2025.xlsx]Bioplastic'!B296)," ",'Q:\Abteilungsprojekte\eng\EngData\AOS\Allgemein\[LabSamples2025.xlsx]Bioplastic'!B296)</f>
        <v/>
      </c>
      <c r="C296">
        <f>IF(ISBLANK('Q:\Abteilungsprojekte\eng\EngData\AOS\Allgemein\[LabSamples2025.xlsx]Bioplastic'!C296)," ",'Q:\Abteilungsprojekte\eng\EngData\AOS\Allgemein\[LabSamples2025.xlsx]Bioplastic'!C296)</f>
        <v/>
      </c>
      <c r="D296">
        <f>IF(ISBLANK('Q:\Abteilungsprojekte\eng\EngData\AOS\Allgemein\[LabSamples2025.xlsx]Bioplastic'!D296)," ",'Q:\Abteilungsprojekte\eng\EngData\AOS\Allgemein\[LabSamples2025.xlsx]Bioplastic'!D296)</f>
        <v/>
      </c>
      <c r="E296">
        <f>IF(ISBLANK('Q:\Abteilungsprojekte\eng\EngData\AOS\Allgemein\[LabSamples2025.xlsx]Bioplastic'!E296)," ",'Q:\Abteilungsprojekte\eng\EngData\AOS\Allgemein\[LabSamples2025.xlsx]Bioplastic'!E296)</f>
        <v/>
      </c>
      <c r="F296">
        <f>IF(ISBLANK('Q:\Abteilungsprojekte\eng\EngData\AOS\Allgemein\[LabSamples2025.xlsx]Bioplastic'!F296)," ",'Q:\Abteilungsprojekte\eng\EngData\AOS\Allgemein\[LabSamples2025.xlsx]Bioplastic'!F296)</f>
        <v/>
      </c>
      <c r="G296">
        <f>IF(ISBLANK('Q:\Abteilungsprojekte\eng\EngData\AOS\Allgemein\[LabSamples2025.xlsx]Bioplastic'!G296)," ",'Q:\Abteilungsprojekte\eng\EngData\AOS\Allgemein\[LabSamples2025.xlsx]Bioplastic'!G296)</f>
        <v/>
      </c>
      <c r="H296">
        <f>IF(ISBLANK('Q:\Abteilungsprojekte\eng\EngData\AOS\Allgemein\[LabSamples2025.xlsx]Bioplastic'!H296)," ",'Q:\Abteilungsprojekte\eng\EngData\AOS\Allgemein\[LabSamples2025.xlsx]Bioplastic'!H296)</f>
        <v/>
      </c>
    </row>
    <row r="297">
      <c r="A297">
        <f>IF(ISBLANK('Q:\Abteilungsprojekte\eng\EngData\AOS\Allgemein\[LabSamples2025.xlsx]Bioplastic'!A297)," ",'Q:\Abteilungsprojekte\eng\EngData\AOS\Allgemein\[LabSamples2025.xlsx]Bioplastic'!A297)</f>
        <v/>
      </c>
      <c r="B297">
        <f>IF(ISBLANK('Q:\Abteilungsprojekte\eng\EngData\AOS\Allgemein\[LabSamples2025.xlsx]Bioplastic'!B297)," ",'Q:\Abteilungsprojekte\eng\EngData\AOS\Allgemein\[LabSamples2025.xlsx]Bioplastic'!B297)</f>
        <v/>
      </c>
      <c r="C297">
        <f>IF(ISBLANK('Q:\Abteilungsprojekte\eng\EngData\AOS\Allgemein\[LabSamples2025.xlsx]Bioplastic'!C297)," ",'Q:\Abteilungsprojekte\eng\EngData\AOS\Allgemein\[LabSamples2025.xlsx]Bioplastic'!C297)</f>
        <v/>
      </c>
      <c r="D297">
        <f>IF(ISBLANK('Q:\Abteilungsprojekte\eng\EngData\AOS\Allgemein\[LabSamples2025.xlsx]Bioplastic'!D297)," ",'Q:\Abteilungsprojekte\eng\EngData\AOS\Allgemein\[LabSamples2025.xlsx]Bioplastic'!D297)</f>
        <v/>
      </c>
      <c r="E297">
        <f>IF(ISBLANK('Q:\Abteilungsprojekte\eng\EngData\AOS\Allgemein\[LabSamples2025.xlsx]Bioplastic'!E297)," ",'Q:\Abteilungsprojekte\eng\EngData\AOS\Allgemein\[LabSamples2025.xlsx]Bioplastic'!E297)</f>
        <v/>
      </c>
      <c r="F297">
        <f>IF(ISBLANK('Q:\Abteilungsprojekte\eng\EngData\AOS\Allgemein\[LabSamples2025.xlsx]Bioplastic'!F297)," ",'Q:\Abteilungsprojekte\eng\EngData\AOS\Allgemein\[LabSamples2025.xlsx]Bioplastic'!F297)</f>
        <v/>
      </c>
      <c r="G297">
        <f>IF(ISBLANK('Q:\Abteilungsprojekte\eng\EngData\AOS\Allgemein\[LabSamples2025.xlsx]Bioplastic'!G297)," ",'Q:\Abteilungsprojekte\eng\EngData\AOS\Allgemein\[LabSamples2025.xlsx]Bioplastic'!G297)</f>
        <v/>
      </c>
      <c r="H297">
        <f>IF(ISBLANK('Q:\Abteilungsprojekte\eng\EngData\AOS\Allgemein\[LabSamples2025.xlsx]Bioplastic'!H297)," ",'Q:\Abteilungsprojekte\eng\EngData\AOS\Allgemein\[LabSamples2025.xlsx]Bioplastic'!H297)</f>
        <v/>
      </c>
    </row>
    <row r="298">
      <c r="A298">
        <f>IF(ISBLANK('Q:\Abteilungsprojekte\eng\EngData\AOS\Allgemein\[LabSamples2025.xlsx]Bioplastic'!A298)," ",'Q:\Abteilungsprojekte\eng\EngData\AOS\Allgemein\[LabSamples2025.xlsx]Bioplastic'!A298)</f>
        <v/>
      </c>
      <c r="B298">
        <f>IF(ISBLANK('Q:\Abteilungsprojekte\eng\EngData\AOS\Allgemein\[LabSamples2025.xlsx]Bioplastic'!B298)," ",'Q:\Abteilungsprojekte\eng\EngData\AOS\Allgemein\[LabSamples2025.xlsx]Bioplastic'!B298)</f>
        <v/>
      </c>
      <c r="C298">
        <f>IF(ISBLANK('Q:\Abteilungsprojekte\eng\EngData\AOS\Allgemein\[LabSamples2025.xlsx]Bioplastic'!C298)," ",'Q:\Abteilungsprojekte\eng\EngData\AOS\Allgemein\[LabSamples2025.xlsx]Bioplastic'!C298)</f>
        <v/>
      </c>
      <c r="D298">
        <f>IF(ISBLANK('Q:\Abteilungsprojekte\eng\EngData\AOS\Allgemein\[LabSamples2025.xlsx]Bioplastic'!D298)," ",'Q:\Abteilungsprojekte\eng\EngData\AOS\Allgemein\[LabSamples2025.xlsx]Bioplastic'!D298)</f>
        <v/>
      </c>
      <c r="E298">
        <f>IF(ISBLANK('Q:\Abteilungsprojekte\eng\EngData\AOS\Allgemein\[LabSamples2025.xlsx]Bioplastic'!E298)," ",'Q:\Abteilungsprojekte\eng\EngData\AOS\Allgemein\[LabSamples2025.xlsx]Bioplastic'!E298)</f>
        <v/>
      </c>
      <c r="F298">
        <f>IF(ISBLANK('Q:\Abteilungsprojekte\eng\EngData\AOS\Allgemein\[LabSamples2025.xlsx]Bioplastic'!F298)," ",'Q:\Abteilungsprojekte\eng\EngData\AOS\Allgemein\[LabSamples2025.xlsx]Bioplastic'!F298)</f>
        <v/>
      </c>
      <c r="G298">
        <f>IF(ISBLANK('Q:\Abteilungsprojekte\eng\EngData\AOS\Allgemein\[LabSamples2025.xlsx]Bioplastic'!G298)," ",'Q:\Abteilungsprojekte\eng\EngData\AOS\Allgemein\[LabSamples2025.xlsx]Bioplastic'!G298)</f>
        <v/>
      </c>
      <c r="H298">
        <f>IF(ISBLANK('Q:\Abteilungsprojekte\eng\EngData\AOS\Allgemein\[LabSamples2025.xlsx]Bioplastic'!H298)," ",'Q:\Abteilungsprojekte\eng\EngData\AOS\Allgemein\[LabSamples2025.xlsx]Bioplastic'!H298)</f>
        <v/>
      </c>
    </row>
    <row r="299">
      <c r="A299">
        <f>IF(ISBLANK('Q:\Abteilungsprojekte\eng\EngData\AOS\Allgemein\[LabSamples2025.xlsx]Bioplastic'!A299)," ",'Q:\Abteilungsprojekte\eng\EngData\AOS\Allgemein\[LabSamples2025.xlsx]Bioplastic'!A299)</f>
        <v/>
      </c>
      <c r="B299">
        <f>IF(ISBLANK('Q:\Abteilungsprojekte\eng\EngData\AOS\Allgemein\[LabSamples2025.xlsx]Bioplastic'!B299)," ",'Q:\Abteilungsprojekte\eng\EngData\AOS\Allgemein\[LabSamples2025.xlsx]Bioplastic'!B299)</f>
        <v/>
      </c>
      <c r="C299">
        <f>IF(ISBLANK('Q:\Abteilungsprojekte\eng\EngData\AOS\Allgemein\[LabSamples2025.xlsx]Bioplastic'!C299)," ",'Q:\Abteilungsprojekte\eng\EngData\AOS\Allgemein\[LabSamples2025.xlsx]Bioplastic'!C299)</f>
        <v/>
      </c>
      <c r="D299">
        <f>IF(ISBLANK('Q:\Abteilungsprojekte\eng\EngData\AOS\Allgemein\[LabSamples2025.xlsx]Bioplastic'!D299)," ",'Q:\Abteilungsprojekte\eng\EngData\AOS\Allgemein\[LabSamples2025.xlsx]Bioplastic'!D299)</f>
        <v/>
      </c>
      <c r="E299">
        <f>IF(ISBLANK('Q:\Abteilungsprojekte\eng\EngData\AOS\Allgemein\[LabSamples2025.xlsx]Bioplastic'!E299)," ",'Q:\Abteilungsprojekte\eng\EngData\AOS\Allgemein\[LabSamples2025.xlsx]Bioplastic'!E299)</f>
        <v/>
      </c>
      <c r="F299">
        <f>IF(ISBLANK('Q:\Abteilungsprojekte\eng\EngData\AOS\Allgemein\[LabSamples2025.xlsx]Bioplastic'!F299)," ",'Q:\Abteilungsprojekte\eng\EngData\AOS\Allgemein\[LabSamples2025.xlsx]Bioplastic'!F299)</f>
        <v/>
      </c>
      <c r="G299">
        <f>IF(ISBLANK('Q:\Abteilungsprojekte\eng\EngData\AOS\Allgemein\[LabSamples2025.xlsx]Bioplastic'!G299)," ",'Q:\Abteilungsprojekte\eng\EngData\AOS\Allgemein\[LabSamples2025.xlsx]Bioplastic'!G299)</f>
        <v/>
      </c>
      <c r="H299">
        <f>IF(ISBLANK('Q:\Abteilungsprojekte\eng\EngData\AOS\Allgemein\[LabSamples2025.xlsx]Bioplastic'!H299)," ",'Q:\Abteilungsprojekte\eng\EngData\AOS\Allgemein\[LabSamples2025.xlsx]Bioplastic'!H299)</f>
        <v/>
      </c>
    </row>
    <row r="300">
      <c r="A300">
        <f>IF(ISBLANK('Q:\Abteilungsprojekte\eng\EngData\AOS\Allgemein\[LabSamples2025.xlsx]Bioplastic'!A300)," ",'Q:\Abteilungsprojekte\eng\EngData\AOS\Allgemein\[LabSamples2025.xlsx]Bioplastic'!A300)</f>
        <v/>
      </c>
      <c r="B300">
        <f>IF(ISBLANK('Q:\Abteilungsprojekte\eng\EngData\AOS\Allgemein\[LabSamples2025.xlsx]Bioplastic'!B300)," ",'Q:\Abteilungsprojekte\eng\EngData\AOS\Allgemein\[LabSamples2025.xlsx]Bioplastic'!B300)</f>
        <v/>
      </c>
      <c r="C300">
        <f>IF(ISBLANK('Q:\Abteilungsprojekte\eng\EngData\AOS\Allgemein\[LabSamples2025.xlsx]Bioplastic'!C300)," ",'Q:\Abteilungsprojekte\eng\EngData\AOS\Allgemein\[LabSamples2025.xlsx]Bioplastic'!C300)</f>
        <v/>
      </c>
      <c r="D300">
        <f>IF(ISBLANK('Q:\Abteilungsprojekte\eng\EngData\AOS\Allgemein\[LabSamples2025.xlsx]Bioplastic'!D300)," ",'Q:\Abteilungsprojekte\eng\EngData\AOS\Allgemein\[LabSamples2025.xlsx]Bioplastic'!D300)</f>
        <v/>
      </c>
      <c r="E300">
        <f>IF(ISBLANK('Q:\Abteilungsprojekte\eng\EngData\AOS\Allgemein\[LabSamples2025.xlsx]Bioplastic'!E300)," ",'Q:\Abteilungsprojekte\eng\EngData\AOS\Allgemein\[LabSamples2025.xlsx]Bioplastic'!E300)</f>
        <v/>
      </c>
      <c r="F300">
        <f>IF(ISBLANK('Q:\Abteilungsprojekte\eng\EngData\AOS\Allgemein\[LabSamples2025.xlsx]Bioplastic'!F300)," ",'Q:\Abteilungsprojekte\eng\EngData\AOS\Allgemein\[LabSamples2025.xlsx]Bioplastic'!F300)</f>
        <v/>
      </c>
      <c r="G300">
        <f>IF(ISBLANK('Q:\Abteilungsprojekte\eng\EngData\AOS\Allgemein\[LabSamples2025.xlsx]Bioplastic'!G300)," ",'Q:\Abteilungsprojekte\eng\EngData\AOS\Allgemein\[LabSamples2025.xlsx]Bioplastic'!G300)</f>
        <v/>
      </c>
      <c r="H300">
        <f>IF(ISBLANK('Q:\Abteilungsprojekte\eng\EngData\AOS\Allgemein\[LabSamples2025.xlsx]Bioplastic'!H300)," ",'Q:\Abteilungsprojekte\eng\EngData\AOS\Allgemein\[LabSamples2025.xlsx]Bioplastic'!H300)</f>
        <v/>
      </c>
    </row>
    <row r="301">
      <c r="A301">
        <f>IF(ISBLANK('Q:\Abteilungsprojekte\eng\EngData\AOS\Allgemein\[LabSamples2025.xlsx]Bioplastic'!A301)," ",'Q:\Abteilungsprojekte\eng\EngData\AOS\Allgemein\[LabSamples2025.xlsx]Bioplastic'!A301)</f>
        <v/>
      </c>
      <c r="B301">
        <f>IF(ISBLANK('Q:\Abteilungsprojekte\eng\EngData\AOS\Allgemein\[LabSamples2025.xlsx]Bioplastic'!B301)," ",'Q:\Abteilungsprojekte\eng\EngData\AOS\Allgemein\[LabSamples2025.xlsx]Bioplastic'!B301)</f>
        <v/>
      </c>
      <c r="C301">
        <f>IF(ISBLANK('Q:\Abteilungsprojekte\eng\EngData\AOS\Allgemein\[LabSamples2025.xlsx]Bioplastic'!C301)," ",'Q:\Abteilungsprojekte\eng\EngData\AOS\Allgemein\[LabSamples2025.xlsx]Bioplastic'!C301)</f>
        <v/>
      </c>
      <c r="D301">
        <f>IF(ISBLANK('Q:\Abteilungsprojekte\eng\EngData\AOS\Allgemein\[LabSamples2025.xlsx]Bioplastic'!D301)," ",'Q:\Abteilungsprojekte\eng\EngData\AOS\Allgemein\[LabSamples2025.xlsx]Bioplastic'!D301)</f>
        <v/>
      </c>
      <c r="E301">
        <f>IF(ISBLANK('Q:\Abteilungsprojekte\eng\EngData\AOS\Allgemein\[LabSamples2025.xlsx]Bioplastic'!E301)," ",'Q:\Abteilungsprojekte\eng\EngData\AOS\Allgemein\[LabSamples2025.xlsx]Bioplastic'!E301)</f>
        <v/>
      </c>
      <c r="F301">
        <f>IF(ISBLANK('Q:\Abteilungsprojekte\eng\EngData\AOS\Allgemein\[LabSamples2025.xlsx]Bioplastic'!F301)," ",'Q:\Abteilungsprojekte\eng\EngData\AOS\Allgemein\[LabSamples2025.xlsx]Bioplastic'!F301)</f>
        <v/>
      </c>
      <c r="G301">
        <f>IF(ISBLANK('Q:\Abteilungsprojekte\eng\EngData\AOS\Allgemein\[LabSamples2025.xlsx]Bioplastic'!G301)," ",'Q:\Abteilungsprojekte\eng\EngData\AOS\Allgemein\[LabSamples2025.xlsx]Bioplastic'!G301)</f>
        <v/>
      </c>
      <c r="H301">
        <f>IF(ISBLANK('Q:\Abteilungsprojekte\eng\EngData\AOS\Allgemein\[LabSamples2025.xlsx]Bioplastic'!H301)," ",'Q:\Abteilungsprojekte\eng\EngData\AOS\Allgemein\[LabSamples2025.xlsx]Bioplastic'!H301)</f>
        <v/>
      </c>
    </row>
    <row r="302">
      <c r="A302">
        <f>IF(ISBLANK('Q:\Abteilungsprojekte\eng\EngData\AOS\Allgemein\[LabSamples2025.xlsx]Bioplastic'!A302)," ",'Q:\Abteilungsprojekte\eng\EngData\AOS\Allgemein\[LabSamples2025.xlsx]Bioplastic'!A302)</f>
        <v/>
      </c>
      <c r="B302">
        <f>IF(ISBLANK('Q:\Abteilungsprojekte\eng\EngData\AOS\Allgemein\[LabSamples2025.xlsx]Bioplastic'!B302)," ",'Q:\Abteilungsprojekte\eng\EngData\AOS\Allgemein\[LabSamples2025.xlsx]Bioplastic'!B302)</f>
        <v/>
      </c>
      <c r="C302">
        <f>IF(ISBLANK('Q:\Abteilungsprojekte\eng\EngData\AOS\Allgemein\[LabSamples2025.xlsx]Bioplastic'!C302)," ",'Q:\Abteilungsprojekte\eng\EngData\AOS\Allgemein\[LabSamples2025.xlsx]Bioplastic'!C302)</f>
        <v/>
      </c>
      <c r="D302">
        <f>IF(ISBLANK('Q:\Abteilungsprojekte\eng\EngData\AOS\Allgemein\[LabSamples2025.xlsx]Bioplastic'!D302)," ",'Q:\Abteilungsprojekte\eng\EngData\AOS\Allgemein\[LabSamples2025.xlsx]Bioplastic'!D302)</f>
        <v/>
      </c>
      <c r="E302">
        <f>IF(ISBLANK('Q:\Abteilungsprojekte\eng\EngData\AOS\Allgemein\[LabSamples2025.xlsx]Bioplastic'!E302)," ",'Q:\Abteilungsprojekte\eng\EngData\AOS\Allgemein\[LabSamples2025.xlsx]Bioplastic'!E302)</f>
        <v/>
      </c>
      <c r="F302">
        <f>IF(ISBLANK('Q:\Abteilungsprojekte\eng\EngData\AOS\Allgemein\[LabSamples2025.xlsx]Bioplastic'!F302)," ",'Q:\Abteilungsprojekte\eng\EngData\AOS\Allgemein\[LabSamples2025.xlsx]Bioplastic'!F302)</f>
        <v/>
      </c>
      <c r="G302">
        <f>IF(ISBLANK('Q:\Abteilungsprojekte\eng\EngData\AOS\Allgemein\[LabSamples2025.xlsx]Bioplastic'!G302)," ",'Q:\Abteilungsprojekte\eng\EngData\AOS\Allgemein\[LabSamples2025.xlsx]Bioplastic'!G302)</f>
        <v/>
      </c>
      <c r="H302">
        <f>IF(ISBLANK('Q:\Abteilungsprojekte\eng\EngData\AOS\Allgemein\[LabSamples2025.xlsx]Bioplastic'!H302)," ",'Q:\Abteilungsprojekte\eng\EngData\AOS\Allgemein\[LabSamples2025.xlsx]Bioplastic'!H302)</f>
        <v/>
      </c>
    </row>
    <row r="303">
      <c r="A303">
        <f>IF(ISBLANK('Q:\Abteilungsprojekte\eng\EngData\AOS\Allgemein\[LabSamples2025.xlsx]Bioplastic'!A303)," ",'Q:\Abteilungsprojekte\eng\EngData\AOS\Allgemein\[LabSamples2025.xlsx]Bioplastic'!A303)</f>
        <v/>
      </c>
      <c r="B303">
        <f>IF(ISBLANK('Q:\Abteilungsprojekte\eng\EngData\AOS\Allgemein\[LabSamples2025.xlsx]Bioplastic'!B303)," ",'Q:\Abteilungsprojekte\eng\EngData\AOS\Allgemein\[LabSamples2025.xlsx]Bioplastic'!B303)</f>
        <v/>
      </c>
      <c r="C303">
        <f>IF(ISBLANK('Q:\Abteilungsprojekte\eng\EngData\AOS\Allgemein\[LabSamples2025.xlsx]Bioplastic'!C303)," ",'Q:\Abteilungsprojekte\eng\EngData\AOS\Allgemein\[LabSamples2025.xlsx]Bioplastic'!C303)</f>
        <v/>
      </c>
      <c r="D303">
        <f>IF(ISBLANK('Q:\Abteilungsprojekte\eng\EngData\AOS\Allgemein\[LabSamples2025.xlsx]Bioplastic'!D303)," ",'Q:\Abteilungsprojekte\eng\EngData\AOS\Allgemein\[LabSamples2025.xlsx]Bioplastic'!D303)</f>
        <v/>
      </c>
      <c r="E303">
        <f>IF(ISBLANK('Q:\Abteilungsprojekte\eng\EngData\AOS\Allgemein\[LabSamples2025.xlsx]Bioplastic'!E303)," ",'Q:\Abteilungsprojekte\eng\EngData\AOS\Allgemein\[LabSamples2025.xlsx]Bioplastic'!E303)</f>
        <v/>
      </c>
      <c r="F303">
        <f>IF(ISBLANK('Q:\Abteilungsprojekte\eng\EngData\AOS\Allgemein\[LabSamples2025.xlsx]Bioplastic'!F303)," ",'Q:\Abteilungsprojekte\eng\EngData\AOS\Allgemein\[LabSamples2025.xlsx]Bioplastic'!F303)</f>
        <v/>
      </c>
      <c r="G303">
        <f>IF(ISBLANK('Q:\Abteilungsprojekte\eng\EngData\AOS\Allgemein\[LabSamples2025.xlsx]Bioplastic'!G303)," ",'Q:\Abteilungsprojekte\eng\EngData\AOS\Allgemein\[LabSamples2025.xlsx]Bioplastic'!G303)</f>
        <v/>
      </c>
      <c r="H303">
        <f>IF(ISBLANK('Q:\Abteilungsprojekte\eng\EngData\AOS\Allgemein\[LabSamples2025.xlsx]Bioplastic'!H303)," ",'Q:\Abteilungsprojekte\eng\EngData\AOS\Allgemein\[LabSamples2025.xlsx]Bioplastic'!H303)</f>
        <v/>
      </c>
    </row>
    <row r="304">
      <c r="A304">
        <f>IF(ISBLANK('Q:\Abteilungsprojekte\eng\EngData\AOS\Allgemein\[LabSamples2025.xlsx]Bioplastic'!A304)," ",'Q:\Abteilungsprojekte\eng\EngData\AOS\Allgemein\[LabSamples2025.xlsx]Bioplastic'!A304)</f>
        <v/>
      </c>
      <c r="B304">
        <f>IF(ISBLANK('Q:\Abteilungsprojekte\eng\EngData\AOS\Allgemein\[LabSamples2025.xlsx]Bioplastic'!B304)," ",'Q:\Abteilungsprojekte\eng\EngData\AOS\Allgemein\[LabSamples2025.xlsx]Bioplastic'!B304)</f>
        <v/>
      </c>
      <c r="C304">
        <f>IF(ISBLANK('Q:\Abteilungsprojekte\eng\EngData\AOS\Allgemein\[LabSamples2025.xlsx]Bioplastic'!C304)," ",'Q:\Abteilungsprojekte\eng\EngData\AOS\Allgemein\[LabSamples2025.xlsx]Bioplastic'!C304)</f>
        <v/>
      </c>
      <c r="D304">
        <f>IF(ISBLANK('Q:\Abteilungsprojekte\eng\EngData\AOS\Allgemein\[LabSamples2025.xlsx]Bioplastic'!D304)," ",'Q:\Abteilungsprojekte\eng\EngData\AOS\Allgemein\[LabSamples2025.xlsx]Bioplastic'!D304)</f>
        <v/>
      </c>
      <c r="E304">
        <f>IF(ISBLANK('Q:\Abteilungsprojekte\eng\EngData\AOS\Allgemein\[LabSamples2025.xlsx]Bioplastic'!E304)," ",'Q:\Abteilungsprojekte\eng\EngData\AOS\Allgemein\[LabSamples2025.xlsx]Bioplastic'!E304)</f>
        <v/>
      </c>
      <c r="F304">
        <f>IF(ISBLANK('Q:\Abteilungsprojekte\eng\EngData\AOS\Allgemein\[LabSamples2025.xlsx]Bioplastic'!F304)," ",'Q:\Abteilungsprojekte\eng\EngData\AOS\Allgemein\[LabSamples2025.xlsx]Bioplastic'!F304)</f>
        <v/>
      </c>
      <c r="G304">
        <f>IF(ISBLANK('Q:\Abteilungsprojekte\eng\EngData\AOS\Allgemein\[LabSamples2025.xlsx]Bioplastic'!G304)," ",'Q:\Abteilungsprojekte\eng\EngData\AOS\Allgemein\[LabSamples2025.xlsx]Bioplastic'!G304)</f>
        <v/>
      </c>
      <c r="H304">
        <f>IF(ISBLANK('Q:\Abteilungsprojekte\eng\EngData\AOS\Allgemein\[LabSamples2025.xlsx]Bioplastic'!H304)," ",'Q:\Abteilungsprojekte\eng\EngData\AOS\Allgemein\[LabSamples2025.xlsx]Bioplastic'!H304)</f>
        <v/>
      </c>
    </row>
    <row r="305">
      <c r="A305">
        <f>IF(ISBLANK('Q:\Abteilungsprojekte\eng\EngData\AOS\Allgemein\[LabSamples2025.xlsx]Bioplastic'!A305)," ",'Q:\Abteilungsprojekte\eng\EngData\AOS\Allgemein\[LabSamples2025.xlsx]Bioplastic'!A305)</f>
        <v/>
      </c>
      <c r="B305">
        <f>IF(ISBLANK('Q:\Abteilungsprojekte\eng\EngData\AOS\Allgemein\[LabSamples2025.xlsx]Bioplastic'!B305)," ",'Q:\Abteilungsprojekte\eng\EngData\AOS\Allgemein\[LabSamples2025.xlsx]Bioplastic'!B305)</f>
        <v/>
      </c>
      <c r="C305">
        <f>IF(ISBLANK('Q:\Abteilungsprojekte\eng\EngData\AOS\Allgemein\[LabSamples2025.xlsx]Bioplastic'!C305)," ",'Q:\Abteilungsprojekte\eng\EngData\AOS\Allgemein\[LabSamples2025.xlsx]Bioplastic'!C305)</f>
        <v/>
      </c>
      <c r="D305">
        <f>IF(ISBLANK('Q:\Abteilungsprojekte\eng\EngData\AOS\Allgemein\[LabSamples2025.xlsx]Bioplastic'!D305)," ",'Q:\Abteilungsprojekte\eng\EngData\AOS\Allgemein\[LabSamples2025.xlsx]Bioplastic'!D305)</f>
        <v/>
      </c>
      <c r="E305">
        <f>IF(ISBLANK('Q:\Abteilungsprojekte\eng\EngData\AOS\Allgemein\[LabSamples2025.xlsx]Bioplastic'!E305)," ",'Q:\Abteilungsprojekte\eng\EngData\AOS\Allgemein\[LabSamples2025.xlsx]Bioplastic'!E305)</f>
        <v/>
      </c>
      <c r="F305">
        <f>IF(ISBLANK('Q:\Abteilungsprojekte\eng\EngData\AOS\Allgemein\[LabSamples2025.xlsx]Bioplastic'!F305)," ",'Q:\Abteilungsprojekte\eng\EngData\AOS\Allgemein\[LabSamples2025.xlsx]Bioplastic'!F305)</f>
        <v/>
      </c>
      <c r="G305">
        <f>IF(ISBLANK('Q:\Abteilungsprojekte\eng\EngData\AOS\Allgemein\[LabSamples2025.xlsx]Bioplastic'!G305)," ",'Q:\Abteilungsprojekte\eng\EngData\AOS\Allgemein\[LabSamples2025.xlsx]Bioplastic'!G305)</f>
        <v/>
      </c>
      <c r="H305">
        <f>IF(ISBLANK('Q:\Abteilungsprojekte\eng\EngData\AOS\Allgemein\[LabSamples2025.xlsx]Bioplastic'!H305)," ",'Q:\Abteilungsprojekte\eng\EngData\AOS\Allgemein\[LabSamples2025.xlsx]Bioplastic'!H305)</f>
        <v/>
      </c>
    </row>
    <row r="306">
      <c r="A306">
        <f>IF(ISBLANK('Q:\Abteilungsprojekte\eng\EngData\AOS\Allgemein\[LabSamples2025.xlsx]Bioplastic'!A306)," ",'Q:\Abteilungsprojekte\eng\EngData\AOS\Allgemein\[LabSamples2025.xlsx]Bioplastic'!A306)</f>
        <v/>
      </c>
      <c r="B306">
        <f>IF(ISBLANK('Q:\Abteilungsprojekte\eng\EngData\AOS\Allgemein\[LabSamples2025.xlsx]Bioplastic'!B306)," ",'Q:\Abteilungsprojekte\eng\EngData\AOS\Allgemein\[LabSamples2025.xlsx]Bioplastic'!B306)</f>
        <v/>
      </c>
      <c r="C306">
        <f>IF(ISBLANK('Q:\Abteilungsprojekte\eng\EngData\AOS\Allgemein\[LabSamples2025.xlsx]Bioplastic'!C306)," ",'Q:\Abteilungsprojekte\eng\EngData\AOS\Allgemein\[LabSamples2025.xlsx]Bioplastic'!C306)</f>
        <v/>
      </c>
      <c r="D306">
        <f>IF(ISBLANK('Q:\Abteilungsprojekte\eng\EngData\AOS\Allgemein\[LabSamples2025.xlsx]Bioplastic'!D306)," ",'Q:\Abteilungsprojekte\eng\EngData\AOS\Allgemein\[LabSamples2025.xlsx]Bioplastic'!D306)</f>
        <v/>
      </c>
      <c r="E306">
        <f>IF(ISBLANK('Q:\Abteilungsprojekte\eng\EngData\AOS\Allgemein\[LabSamples2025.xlsx]Bioplastic'!E306)," ",'Q:\Abteilungsprojekte\eng\EngData\AOS\Allgemein\[LabSamples2025.xlsx]Bioplastic'!E306)</f>
        <v/>
      </c>
      <c r="F306">
        <f>IF(ISBLANK('Q:\Abteilungsprojekte\eng\EngData\AOS\Allgemein\[LabSamples2025.xlsx]Bioplastic'!F306)," ",'Q:\Abteilungsprojekte\eng\EngData\AOS\Allgemein\[LabSamples2025.xlsx]Bioplastic'!F306)</f>
        <v/>
      </c>
      <c r="G306">
        <f>IF(ISBLANK('Q:\Abteilungsprojekte\eng\EngData\AOS\Allgemein\[LabSamples2025.xlsx]Bioplastic'!G306)," ",'Q:\Abteilungsprojekte\eng\EngData\AOS\Allgemein\[LabSamples2025.xlsx]Bioplastic'!G306)</f>
        <v/>
      </c>
      <c r="H306">
        <f>IF(ISBLANK('Q:\Abteilungsprojekte\eng\EngData\AOS\Allgemein\[LabSamples2025.xlsx]Bioplastic'!H306)," ",'Q:\Abteilungsprojekte\eng\EngData\AOS\Allgemein\[LabSamples2025.xlsx]Bioplastic'!H306)</f>
        <v/>
      </c>
    </row>
    <row r="307">
      <c r="A307">
        <f>IF(ISBLANK('Q:\Abteilungsprojekte\eng\EngData\AOS\Allgemein\[LabSamples2025.xlsx]Bioplastic'!A307)," ",'Q:\Abteilungsprojekte\eng\EngData\AOS\Allgemein\[LabSamples2025.xlsx]Bioplastic'!A307)</f>
        <v/>
      </c>
      <c r="B307">
        <f>IF(ISBLANK('Q:\Abteilungsprojekte\eng\EngData\AOS\Allgemein\[LabSamples2025.xlsx]Bioplastic'!B307)," ",'Q:\Abteilungsprojekte\eng\EngData\AOS\Allgemein\[LabSamples2025.xlsx]Bioplastic'!B307)</f>
        <v/>
      </c>
      <c r="C307">
        <f>IF(ISBLANK('Q:\Abteilungsprojekte\eng\EngData\AOS\Allgemein\[LabSamples2025.xlsx]Bioplastic'!C307)," ",'Q:\Abteilungsprojekte\eng\EngData\AOS\Allgemein\[LabSamples2025.xlsx]Bioplastic'!C307)</f>
        <v/>
      </c>
      <c r="D307">
        <f>IF(ISBLANK('Q:\Abteilungsprojekte\eng\EngData\AOS\Allgemein\[LabSamples2025.xlsx]Bioplastic'!D307)," ",'Q:\Abteilungsprojekte\eng\EngData\AOS\Allgemein\[LabSamples2025.xlsx]Bioplastic'!D307)</f>
        <v/>
      </c>
      <c r="E307">
        <f>IF(ISBLANK('Q:\Abteilungsprojekte\eng\EngData\AOS\Allgemein\[LabSamples2025.xlsx]Bioplastic'!E307)," ",'Q:\Abteilungsprojekte\eng\EngData\AOS\Allgemein\[LabSamples2025.xlsx]Bioplastic'!E307)</f>
        <v/>
      </c>
      <c r="F307">
        <f>IF(ISBLANK('Q:\Abteilungsprojekte\eng\EngData\AOS\Allgemein\[LabSamples2025.xlsx]Bioplastic'!F307)," ",'Q:\Abteilungsprojekte\eng\EngData\AOS\Allgemein\[LabSamples2025.xlsx]Bioplastic'!F307)</f>
        <v/>
      </c>
      <c r="G307">
        <f>IF(ISBLANK('Q:\Abteilungsprojekte\eng\EngData\AOS\Allgemein\[LabSamples2025.xlsx]Bioplastic'!G307)," ",'Q:\Abteilungsprojekte\eng\EngData\AOS\Allgemein\[LabSamples2025.xlsx]Bioplastic'!G307)</f>
        <v/>
      </c>
      <c r="H307">
        <f>IF(ISBLANK('Q:\Abteilungsprojekte\eng\EngData\AOS\Allgemein\[LabSamples2025.xlsx]Bioplastic'!H307)," ",'Q:\Abteilungsprojekte\eng\EngData\AOS\Allgemein\[LabSamples2025.xlsx]Bioplastic'!H307)</f>
        <v/>
      </c>
    </row>
    <row r="308">
      <c r="A308">
        <f>IF(ISBLANK('Q:\Abteilungsprojekte\eng\EngData\AOS\Allgemein\[LabSamples2025.xlsx]Bioplastic'!A308)," ",'Q:\Abteilungsprojekte\eng\EngData\AOS\Allgemein\[LabSamples2025.xlsx]Bioplastic'!A308)</f>
        <v/>
      </c>
      <c r="B308">
        <f>IF(ISBLANK('Q:\Abteilungsprojekte\eng\EngData\AOS\Allgemein\[LabSamples2025.xlsx]Bioplastic'!B308)," ",'Q:\Abteilungsprojekte\eng\EngData\AOS\Allgemein\[LabSamples2025.xlsx]Bioplastic'!B308)</f>
        <v/>
      </c>
      <c r="C308">
        <f>IF(ISBLANK('Q:\Abteilungsprojekte\eng\EngData\AOS\Allgemein\[LabSamples2025.xlsx]Bioplastic'!C308)," ",'Q:\Abteilungsprojekte\eng\EngData\AOS\Allgemein\[LabSamples2025.xlsx]Bioplastic'!C308)</f>
        <v/>
      </c>
      <c r="D308">
        <f>IF(ISBLANK('Q:\Abteilungsprojekte\eng\EngData\AOS\Allgemein\[LabSamples2025.xlsx]Bioplastic'!D308)," ",'Q:\Abteilungsprojekte\eng\EngData\AOS\Allgemein\[LabSamples2025.xlsx]Bioplastic'!D308)</f>
        <v/>
      </c>
      <c r="E308">
        <f>IF(ISBLANK('Q:\Abteilungsprojekte\eng\EngData\AOS\Allgemein\[LabSamples2025.xlsx]Bioplastic'!E308)," ",'Q:\Abteilungsprojekte\eng\EngData\AOS\Allgemein\[LabSamples2025.xlsx]Bioplastic'!E308)</f>
        <v/>
      </c>
      <c r="F308">
        <f>IF(ISBLANK('Q:\Abteilungsprojekte\eng\EngData\AOS\Allgemein\[LabSamples2025.xlsx]Bioplastic'!F308)," ",'Q:\Abteilungsprojekte\eng\EngData\AOS\Allgemein\[LabSamples2025.xlsx]Bioplastic'!F308)</f>
        <v/>
      </c>
      <c r="G308">
        <f>IF(ISBLANK('Q:\Abteilungsprojekte\eng\EngData\AOS\Allgemein\[LabSamples2025.xlsx]Bioplastic'!G308)," ",'Q:\Abteilungsprojekte\eng\EngData\AOS\Allgemein\[LabSamples2025.xlsx]Bioplastic'!G308)</f>
        <v/>
      </c>
      <c r="H308">
        <f>IF(ISBLANK('Q:\Abteilungsprojekte\eng\EngData\AOS\Allgemein\[LabSamples2025.xlsx]Bioplastic'!H308)," ",'Q:\Abteilungsprojekte\eng\EngData\AOS\Allgemein\[LabSamples2025.xlsx]Bioplastic'!H308)</f>
        <v/>
      </c>
    </row>
    <row r="309">
      <c r="A309">
        <f>IF(ISBLANK('Q:\Abteilungsprojekte\eng\EngData\AOS\Allgemein\[LabSamples2025.xlsx]Bioplastic'!A309)," ",'Q:\Abteilungsprojekte\eng\EngData\AOS\Allgemein\[LabSamples2025.xlsx]Bioplastic'!A309)</f>
        <v/>
      </c>
      <c r="B309">
        <f>IF(ISBLANK('Q:\Abteilungsprojekte\eng\EngData\AOS\Allgemein\[LabSamples2025.xlsx]Bioplastic'!B309)," ",'Q:\Abteilungsprojekte\eng\EngData\AOS\Allgemein\[LabSamples2025.xlsx]Bioplastic'!B309)</f>
        <v/>
      </c>
      <c r="C309">
        <f>IF(ISBLANK('Q:\Abteilungsprojekte\eng\EngData\AOS\Allgemein\[LabSamples2025.xlsx]Bioplastic'!C309)," ",'Q:\Abteilungsprojekte\eng\EngData\AOS\Allgemein\[LabSamples2025.xlsx]Bioplastic'!C309)</f>
        <v/>
      </c>
      <c r="D309">
        <f>IF(ISBLANK('Q:\Abteilungsprojekte\eng\EngData\AOS\Allgemein\[LabSamples2025.xlsx]Bioplastic'!D309)," ",'Q:\Abteilungsprojekte\eng\EngData\AOS\Allgemein\[LabSamples2025.xlsx]Bioplastic'!D309)</f>
        <v/>
      </c>
      <c r="E309">
        <f>IF(ISBLANK('Q:\Abteilungsprojekte\eng\EngData\AOS\Allgemein\[LabSamples2025.xlsx]Bioplastic'!E309)," ",'Q:\Abteilungsprojekte\eng\EngData\AOS\Allgemein\[LabSamples2025.xlsx]Bioplastic'!E309)</f>
        <v/>
      </c>
      <c r="F309">
        <f>IF(ISBLANK('Q:\Abteilungsprojekte\eng\EngData\AOS\Allgemein\[LabSamples2025.xlsx]Bioplastic'!F309)," ",'Q:\Abteilungsprojekte\eng\EngData\AOS\Allgemein\[LabSamples2025.xlsx]Bioplastic'!F309)</f>
        <v/>
      </c>
      <c r="G309">
        <f>IF(ISBLANK('Q:\Abteilungsprojekte\eng\EngData\AOS\Allgemein\[LabSamples2025.xlsx]Bioplastic'!G309)," ",'Q:\Abteilungsprojekte\eng\EngData\AOS\Allgemein\[LabSamples2025.xlsx]Bioplastic'!G309)</f>
        <v/>
      </c>
      <c r="H309">
        <f>IF(ISBLANK('Q:\Abteilungsprojekte\eng\EngData\AOS\Allgemein\[LabSamples2025.xlsx]Bioplastic'!H309)," ",'Q:\Abteilungsprojekte\eng\EngData\AOS\Allgemein\[LabSamples2025.xlsx]Bioplastic'!H309)</f>
        <v/>
      </c>
    </row>
    <row r="310">
      <c r="A310">
        <f>IF(ISBLANK('Q:\Abteilungsprojekte\eng\EngData\AOS\Allgemein\[LabSamples2025.xlsx]Bioplastic'!A310)," ",'Q:\Abteilungsprojekte\eng\EngData\AOS\Allgemein\[LabSamples2025.xlsx]Bioplastic'!A310)</f>
        <v/>
      </c>
      <c r="B310">
        <f>IF(ISBLANK('Q:\Abteilungsprojekte\eng\EngData\AOS\Allgemein\[LabSamples2025.xlsx]Bioplastic'!B310)," ",'Q:\Abteilungsprojekte\eng\EngData\AOS\Allgemein\[LabSamples2025.xlsx]Bioplastic'!B310)</f>
        <v/>
      </c>
      <c r="C310">
        <f>IF(ISBLANK('Q:\Abteilungsprojekte\eng\EngData\AOS\Allgemein\[LabSamples2025.xlsx]Bioplastic'!C310)," ",'Q:\Abteilungsprojekte\eng\EngData\AOS\Allgemein\[LabSamples2025.xlsx]Bioplastic'!C310)</f>
        <v/>
      </c>
      <c r="D310">
        <f>IF(ISBLANK('Q:\Abteilungsprojekte\eng\EngData\AOS\Allgemein\[LabSamples2025.xlsx]Bioplastic'!D310)," ",'Q:\Abteilungsprojekte\eng\EngData\AOS\Allgemein\[LabSamples2025.xlsx]Bioplastic'!D310)</f>
        <v/>
      </c>
      <c r="E310">
        <f>IF(ISBLANK('Q:\Abteilungsprojekte\eng\EngData\AOS\Allgemein\[LabSamples2025.xlsx]Bioplastic'!E310)," ",'Q:\Abteilungsprojekte\eng\EngData\AOS\Allgemein\[LabSamples2025.xlsx]Bioplastic'!E310)</f>
        <v/>
      </c>
      <c r="F310">
        <f>IF(ISBLANK('Q:\Abteilungsprojekte\eng\EngData\AOS\Allgemein\[LabSamples2025.xlsx]Bioplastic'!F310)," ",'Q:\Abteilungsprojekte\eng\EngData\AOS\Allgemein\[LabSamples2025.xlsx]Bioplastic'!F310)</f>
        <v/>
      </c>
      <c r="G310">
        <f>IF(ISBLANK('Q:\Abteilungsprojekte\eng\EngData\AOS\Allgemein\[LabSamples2025.xlsx]Bioplastic'!G310)," ",'Q:\Abteilungsprojekte\eng\EngData\AOS\Allgemein\[LabSamples2025.xlsx]Bioplastic'!G310)</f>
        <v/>
      </c>
      <c r="H310">
        <f>IF(ISBLANK('Q:\Abteilungsprojekte\eng\EngData\AOS\Allgemein\[LabSamples2025.xlsx]Bioplastic'!H310)," ",'Q:\Abteilungsprojekte\eng\EngData\AOS\Allgemein\[LabSamples2025.xlsx]Bioplastic'!H310)</f>
        <v/>
      </c>
    </row>
    <row r="311">
      <c r="A311">
        <f>IF(ISBLANK('Q:\Abteilungsprojekte\eng\EngData\AOS\Allgemein\[LabSamples2025.xlsx]Bioplastic'!A311)," ",'Q:\Abteilungsprojekte\eng\EngData\AOS\Allgemein\[LabSamples2025.xlsx]Bioplastic'!A311)</f>
        <v/>
      </c>
      <c r="B311">
        <f>IF(ISBLANK('Q:\Abteilungsprojekte\eng\EngData\AOS\Allgemein\[LabSamples2025.xlsx]Bioplastic'!B311)," ",'Q:\Abteilungsprojekte\eng\EngData\AOS\Allgemein\[LabSamples2025.xlsx]Bioplastic'!B311)</f>
        <v/>
      </c>
      <c r="C311">
        <f>IF(ISBLANK('Q:\Abteilungsprojekte\eng\EngData\AOS\Allgemein\[LabSamples2025.xlsx]Bioplastic'!C311)," ",'Q:\Abteilungsprojekte\eng\EngData\AOS\Allgemein\[LabSamples2025.xlsx]Bioplastic'!C311)</f>
        <v/>
      </c>
      <c r="D311">
        <f>IF(ISBLANK('Q:\Abteilungsprojekte\eng\EngData\AOS\Allgemein\[LabSamples2025.xlsx]Bioplastic'!D311)," ",'Q:\Abteilungsprojekte\eng\EngData\AOS\Allgemein\[LabSamples2025.xlsx]Bioplastic'!D311)</f>
        <v/>
      </c>
      <c r="E311">
        <f>IF(ISBLANK('Q:\Abteilungsprojekte\eng\EngData\AOS\Allgemein\[LabSamples2025.xlsx]Bioplastic'!E311)," ",'Q:\Abteilungsprojekte\eng\EngData\AOS\Allgemein\[LabSamples2025.xlsx]Bioplastic'!E311)</f>
        <v/>
      </c>
      <c r="F311">
        <f>IF(ISBLANK('Q:\Abteilungsprojekte\eng\EngData\AOS\Allgemein\[LabSamples2025.xlsx]Bioplastic'!F311)," ",'Q:\Abteilungsprojekte\eng\EngData\AOS\Allgemein\[LabSamples2025.xlsx]Bioplastic'!F311)</f>
        <v/>
      </c>
      <c r="G311">
        <f>IF(ISBLANK('Q:\Abteilungsprojekte\eng\EngData\AOS\Allgemein\[LabSamples2025.xlsx]Bioplastic'!G311)," ",'Q:\Abteilungsprojekte\eng\EngData\AOS\Allgemein\[LabSamples2025.xlsx]Bioplastic'!G311)</f>
        <v/>
      </c>
      <c r="H311">
        <f>IF(ISBLANK('Q:\Abteilungsprojekte\eng\EngData\AOS\Allgemein\[LabSamples2025.xlsx]Bioplastic'!H311)," ",'Q:\Abteilungsprojekte\eng\EngData\AOS\Allgemein\[LabSamples2025.xlsx]Bioplastic'!H311)</f>
        <v/>
      </c>
    </row>
    <row r="312">
      <c r="A312">
        <f>IF(ISBLANK('Q:\Abteilungsprojekte\eng\EngData\AOS\Allgemein\[LabSamples2025.xlsx]Bioplastic'!A312)," ",'Q:\Abteilungsprojekte\eng\EngData\AOS\Allgemein\[LabSamples2025.xlsx]Bioplastic'!A312)</f>
        <v/>
      </c>
      <c r="B312">
        <f>IF(ISBLANK('Q:\Abteilungsprojekte\eng\EngData\AOS\Allgemein\[LabSamples2025.xlsx]Bioplastic'!B312)," ",'Q:\Abteilungsprojekte\eng\EngData\AOS\Allgemein\[LabSamples2025.xlsx]Bioplastic'!B312)</f>
        <v/>
      </c>
      <c r="C312">
        <f>IF(ISBLANK('Q:\Abteilungsprojekte\eng\EngData\AOS\Allgemein\[LabSamples2025.xlsx]Bioplastic'!C312)," ",'Q:\Abteilungsprojekte\eng\EngData\AOS\Allgemein\[LabSamples2025.xlsx]Bioplastic'!C312)</f>
        <v/>
      </c>
      <c r="D312">
        <f>IF(ISBLANK('Q:\Abteilungsprojekte\eng\EngData\AOS\Allgemein\[LabSamples2025.xlsx]Bioplastic'!D312)," ",'Q:\Abteilungsprojekte\eng\EngData\AOS\Allgemein\[LabSamples2025.xlsx]Bioplastic'!D312)</f>
        <v/>
      </c>
      <c r="E312">
        <f>IF(ISBLANK('Q:\Abteilungsprojekte\eng\EngData\AOS\Allgemein\[LabSamples2025.xlsx]Bioplastic'!E312)," ",'Q:\Abteilungsprojekte\eng\EngData\AOS\Allgemein\[LabSamples2025.xlsx]Bioplastic'!E312)</f>
        <v/>
      </c>
      <c r="F312">
        <f>IF(ISBLANK('Q:\Abteilungsprojekte\eng\EngData\AOS\Allgemein\[LabSamples2025.xlsx]Bioplastic'!F312)," ",'Q:\Abteilungsprojekte\eng\EngData\AOS\Allgemein\[LabSamples2025.xlsx]Bioplastic'!F312)</f>
        <v/>
      </c>
      <c r="G312">
        <f>IF(ISBLANK('Q:\Abteilungsprojekte\eng\EngData\AOS\Allgemein\[LabSamples2025.xlsx]Bioplastic'!G312)," ",'Q:\Abteilungsprojekte\eng\EngData\AOS\Allgemein\[LabSamples2025.xlsx]Bioplastic'!G312)</f>
        <v/>
      </c>
      <c r="H312">
        <f>IF(ISBLANK('Q:\Abteilungsprojekte\eng\EngData\AOS\Allgemein\[LabSamples2025.xlsx]Bioplastic'!H312)," ",'Q:\Abteilungsprojekte\eng\EngData\AOS\Allgemein\[LabSamples2025.xlsx]Bioplastic'!H312)</f>
        <v/>
      </c>
    </row>
    <row r="313">
      <c r="A313">
        <f>IF(ISBLANK('Q:\Abteilungsprojekte\eng\EngData\AOS\Allgemein\[LabSamples2025.xlsx]Bioplastic'!A313)," ",'Q:\Abteilungsprojekte\eng\EngData\AOS\Allgemein\[LabSamples2025.xlsx]Bioplastic'!A313)</f>
        <v/>
      </c>
      <c r="B313">
        <f>IF(ISBLANK('Q:\Abteilungsprojekte\eng\EngData\AOS\Allgemein\[LabSamples2025.xlsx]Bioplastic'!B313)," ",'Q:\Abteilungsprojekte\eng\EngData\AOS\Allgemein\[LabSamples2025.xlsx]Bioplastic'!B313)</f>
        <v/>
      </c>
      <c r="C313">
        <f>IF(ISBLANK('Q:\Abteilungsprojekte\eng\EngData\AOS\Allgemein\[LabSamples2025.xlsx]Bioplastic'!C313)," ",'Q:\Abteilungsprojekte\eng\EngData\AOS\Allgemein\[LabSamples2025.xlsx]Bioplastic'!C313)</f>
        <v/>
      </c>
      <c r="D313">
        <f>IF(ISBLANK('Q:\Abteilungsprojekte\eng\EngData\AOS\Allgemein\[LabSamples2025.xlsx]Bioplastic'!D313)," ",'Q:\Abteilungsprojekte\eng\EngData\AOS\Allgemein\[LabSamples2025.xlsx]Bioplastic'!D313)</f>
        <v/>
      </c>
      <c r="E313">
        <f>IF(ISBLANK('Q:\Abteilungsprojekte\eng\EngData\AOS\Allgemein\[LabSamples2025.xlsx]Bioplastic'!E313)," ",'Q:\Abteilungsprojekte\eng\EngData\AOS\Allgemein\[LabSamples2025.xlsx]Bioplastic'!E313)</f>
        <v/>
      </c>
      <c r="F313">
        <f>IF(ISBLANK('Q:\Abteilungsprojekte\eng\EngData\AOS\Allgemein\[LabSamples2025.xlsx]Bioplastic'!F313)," ",'Q:\Abteilungsprojekte\eng\EngData\AOS\Allgemein\[LabSamples2025.xlsx]Bioplastic'!F313)</f>
        <v/>
      </c>
      <c r="G313">
        <f>IF(ISBLANK('Q:\Abteilungsprojekte\eng\EngData\AOS\Allgemein\[LabSamples2025.xlsx]Bioplastic'!G313)," ",'Q:\Abteilungsprojekte\eng\EngData\AOS\Allgemein\[LabSamples2025.xlsx]Bioplastic'!G313)</f>
        <v/>
      </c>
      <c r="H313">
        <f>IF(ISBLANK('Q:\Abteilungsprojekte\eng\EngData\AOS\Allgemein\[LabSamples2025.xlsx]Bioplastic'!H313)," ",'Q:\Abteilungsprojekte\eng\EngData\AOS\Allgemein\[LabSamples2025.xlsx]Bioplastic'!H313)</f>
        <v/>
      </c>
    </row>
    <row r="314">
      <c r="A314">
        <f>IF(ISBLANK('Q:\Abteilungsprojekte\eng\EngData\AOS\Allgemein\[LabSamples2025.xlsx]Bioplastic'!A314)," ",'Q:\Abteilungsprojekte\eng\EngData\AOS\Allgemein\[LabSamples2025.xlsx]Bioplastic'!A314)</f>
        <v/>
      </c>
      <c r="B314">
        <f>IF(ISBLANK('Q:\Abteilungsprojekte\eng\EngData\AOS\Allgemein\[LabSamples2025.xlsx]Bioplastic'!B314)," ",'Q:\Abteilungsprojekte\eng\EngData\AOS\Allgemein\[LabSamples2025.xlsx]Bioplastic'!B314)</f>
        <v/>
      </c>
      <c r="C314">
        <f>IF(ISBLANK('Q:\Abteilungsprojekte\eng\EngData\AOS\Allgemein\[LabSamples2025.xlsx]Bioplastic'!C314)," ",'Q:\Abteilungsprojekte\eng\EngData\AOS\Allgemein\[LabSamples2025.xlsx]Bioplastic'!C314)</f>
        <v/>
      </c>
      <c r="D314">
        <f>IF(ISBLANK('Q:\Abteilungsprojekte\eng\EngData\AOS\Allgemein\[LabSamples2025.xlsx]Bioplastic'!D314)," ",'Q:\Abteilungsprojekte\eng\EngData\AOS\Allgemein\[LabSamples2025.xlsx]Bioplastic'!D314)</f>
        <v/>
      </c>
      <c r="E314">
        <f>IF(ISBLANK('Q:\Abteilungsprojekte\eng\EngData\AOS\Allgemein\[LabSamples2025.xlsx]Bioplastic'!E314)," ",'Q:\Abteilungsprojekte\eng\EngData\AOS\Allgemein\[LabSamples2025.xlsx]Bioplastic'!E314)</f>
        <v/>
      </c>
      <c r="F314">
        <f>IF(ISBLANK('Q:\Abteilungsprojekte\eng\EngData\AOS\Allgemein\[LabSamples2025.xlsx]Bioplastic'!F314)," ",'Q:\Abteilungsprojekte\eng\EngData\AOS\Allgemein\[LabSamples2025.xlsx]Bioplastic'!F314)</f>
        <v/>
      </c>
      <c r="G314">
        <f>IF(ISBLANK('Q:\Abteilungsprojekte\eng\EngData\AOS\Allgemein\[LabSamples2025.xlsx]Bioplastic'!G314)," ",'Q:\Abteilungsprojekte\eng\EngData\AOS\Allgemein\[LabSamples2025.xlsx]Bioplastic'!G314)</f>
        <v/>
      </c>
      <c r="H314">
        <f>IF(ISBLANK('Q:\Abteilungsprojekte\eng\EngData\AOS\Allgemein\[LabSamples2025.xlsx]Bioplastic'!H314)," ",'Q:\Abteilungsprojekte\eng\EngData\AOS\Allgemein\[LabSamples2025.xlsx]Bioplastic'!H314)</f>
        <v/>
      </c>
    </row>
    <row r="315">
      <c r="A315">
        <f>IF(ISBLANK('Q:\Abteilungsprojekte\eng\EngData\AOS\Allgemein\[LabSamples2025.xlsx]Bioplastic'!A315)," ",'Q:\Abteilungsprojekte\eng\EngData\AOS\Allgemein\[LabSamples2025.xlsx]Bioplastic'!A315)</f>
        <v/>
      </c>
      <c r="B315">
        <f>IF(ISBLANK('Q:\Abteilungsprojekte\eng\EngData\AOS\Allgemein\[LabSamples2025.xlsx]Bioplastic'!B315)," ",'Q:\Abteilungsprojekte\eng\EngData\AOS\Allgemein\[LabSamples2025.xlsx]Bioplastic'!B315)</f>
        <v/>
      </c>
      <c r="C315">
        <f>IF(ISBLANK('Q:\Abteilungsprojekte\eng\EngData\AOS\Allgemein\[LabSamples2025.xlsx]Bioplastic'!C315)," ",'Q:\Abteilungsprojekte\eng\EngData\AOS\Allgemein\[LabSamples2025.xlsx]Bioplastic'!C315)</f>
        <v/>
      </c>
      <c r="D315">
        <f>IF(ISBLANK('Q:\Abteilungsprojekte\eng\EngData\AOS\Allgemein\[LabSamples2025.xlsx]Bioplastic'!D315)," ",'Q:\Abteilungsprojekte\eng\EngData\AOS\Allgemein\[LabSamples2025.xlsx]Bioplastic'!D315)</f>
        <v/>
      </c>
      <c r="E315">
        <f>IF(ISBLANK('Q:\Abteilungsprojekte\eng\EngData\AOS\Allgemein\[LabSamples2025.xlsx]Bioplastic'!E315)," ",'Q:\Abteilungsprojekte\eng\EngData\AOS\Allgemein\[LabSamples2025.xlsx]Bioplastic'!E315)</f>
        <v/>
      </c>
      <c r="F315">
        <f>IF(ISBLANK('Q:\Abteilungsprojekte\eng\EngData\AOS\Allgemein\[LabSamples2025.xlsx]Bioplastic'!F315)," ",'Q:\Abteilungsprojekte\eng\EngData\AOS\Allgemein\[LabSamples2025.xlsx]Bioplastic'!F315)</f>
        <v/>
      </c>
      <c r="G315">
        <f>IF(ISBLANK('Q:\Abteilungsprojekte\eng\EngData\AOS\Allgemein\[LabSamples2025.xlsx]Bioplastic'!G315)," ",'Q:\Abteilungsprojekte\eng\EngData\AOS\Allgemein\[LabSamples2025.xlsx]Bioplastic'!G315)</f>
        <v/>
      </c>
      <c r="H315">
        <f>IF(ISBLANK('Q:\Abteilungsprojekte\eng\EngData\AOS\Allgemein\[LabSamples2025.xlsx]Bioplastic'!H315)," ",'Q:\Abteilungsprojekte\eng\EngData\AOS\Allgemein\[LabSamples2025.xlsx]Bioplastic'!H315)</f>
        <v/>
      </c>
    </row>
    <row r="316">
      <c r="A316">
        <f>IF(ISBLANK('Q:\Abteilungsprojekte\eng\EngData\AOS\Allgemein\[LabSamples2025.xlsx]Bioplastic'!A316)," ",'Q:\Abteilungsprojekte\eng\EngData\AOS\Allgemein\[LabSamples2025.xlsx]Bioplastic'!A316)</f>
        <v/>
      </c>
      <c r="B316">
        <f>IF(ISBLANK('Q:\Abteilungsprojekte\eng\EngData\AOS\Allgemein\[LabSamples2025.xlsx]Bioplastic'!B316)," ",'Q:\Abteilungsprojekte\eng\EngData\AOS\Allgemein\[LabSamples2025.xlsx]Bioplastic'!B316)</f>
        <v/>
      </c>
      <c r="C316">
        <f>IF(ISBLANK('Q:\Abteilungsprojekte\eng\EngData\AOS\Allgemein\[LabSamples2025.xlsx]Bioplastic'!C316)," ",'Q:\Abteilungsprojekte\eng\EngData\AOS\Allgemein\[LabSamples2025.xlsx]Bioplastic'!C316)</f>
        <v/>
      </c>
      <c r="D316">
        <f>IF(ISBLANK('Q:\Abteilungsprojekte\eng\EngData\AOS\Allgemein\[LabSamples2025.xlsx]Bioplastic'!D316)," ",'Q:\Abteilungsprojekte\eng\EngData\AOS\Allgemein\[LabSamples2025.xlsx]Bioplastic'!D316)</f>
        <v/>
      </c>
      <c r="E316">
        <f>IF(ISBLANK('Q:\Abteilungsprojekte\eng\EngData\AOS\Allgemein\[LabSamples2025.xlsx]Bioplastic'!E316)," ",'Q:\Abteilungsprojekte\eng\EngData\AOS\Allgemein\[LabSamples2025.xlsx]Bioplastic'!E316)</f>
        <v/>
      </c>
      <c r="F316">
        <f>IF(ISBLANK('Q:\Abteilungsprojekte\eng\EngData\AOS\Allgemein\[LabSamples2025.xlsx]Bioplastic'!F316)," ",'Q:\Abteilungsprojekte\eng\EngData\AOS\Allgemein\[LabSamples2025.xlsx]Bioplastic'!F316)</f>
        <v/>
      </c>
      <c r="G316">
        <f>IF(ISBLANK('Q:\Abteilungsprojekte\eng\EngData\AOS\Allgemein\[LabSamples2025.xlsx]Bioplastic'!G316)," ",'Q:\Abteilungsprojekte\eng\EngData\AOS\Allgemein\[LabSamples2025.xlsx]Bioplastic'!G316)</f>
        <v/>
      </c>
      <c r="H316">
        <f>IF(ISBLANK('Q:\Abteilungsprojekte\eng\EngData\AOS\Allgemein\[LabSamples2025.xlsx]Bioplastic'!H316)," ",'Q:\Abteilungsprojekte\eng\EngData\AOS\Allgemein\[LabSamples2025.xlsx]Bioplastic'!H316)</f>
        <v/>
      </c>
    </row>
    <row r="317">
      <c r="A317">
        <f>IF(ISBLANK('Q:\Abteilungsprojekte\eng\EngData\AOS\Allgemein\[LabSamples2025.xlsx]Bioplastic'!A317)," ",'Q:\Abteilungsprojekte\eng\EngData\AOS\Allgemein\[LabSamples2025.xlsx]Bioplastic'!A317)</f>
        <v/>
      </c>
      <c r="B317">
        <f>IF(ISBLANK('Q:\Abteilungsprojekte\eng\EngData\AOS\Allgemein\[LabSamples2025.xlsx]Bioplastic'!B317)," ",'Q:\Abteilungsprojekte\eng\EngData\AOS\Allgemein\[LabSamples2025.xlsx]Bioplastic'!B317)</f>
        <v/>
      </c>
      <c r="C317">
        <f>IF(ISBLANK('Q:\Abteilungsprojekte\eng\EngData\AOS\Allgemein\[LabSamples2025.xlsx]Bioplastic'!C317)," ",'Q:\Abteilungsprojekte\eng\EngData\AOS\Allgemein\[LabSamples2025.xlsx]Bioplastic'!C317)</f>
        <v/>
      </c>
      <c r="D317">
        <f>IF(ISBLANK('Q:\Abteilungsprojekte\eng\EngData\AOS\Allgemein\[LabSamples2025.xlsx]Bioplastic'!D317)," ",'Q:\Abteilungsprojekte\eng\EngData\AOS\Allgemein\[LabSamples2025.xlsx]Bioplastic'!D317)</f>
        <v/>
      </c>
      <c r="E317">
        <f>IF(ISBLANK('Q:\Abteilungsprojekte\eng\EngData\AOS\Allgemein\[LabSamples2025.xlsx]Bioplastic'!E317)," ",'Q:\Abteilungsprojekte\eng\EngData\AOS\Allgemein\[LabSamples2025.xlsx]Bioplastic'!E317)</f>
        <v/>
      </c>
      <c r="F317">
        <f>IF(ISBLANK('Q:\Abteilungsprojekte\eng\EngData\AOS\Allgemein\[LabSamples2025.xlsx]Bioplastic'!F317)," ",'Q:\Abteilungsprojekte\eng\EngData\AOS\Allgemein\[LabSamples2025.xlsx]Bioplastic'!F317)</f>
        <v/>
      </c>
      <c r="G317">
        <f>IF(ISBLANK('Q:\Abteilungsprojekte\eng\EngData\AOS\Allgemein\[LabSamples2025.xlsx]Bioplastic'!G317)," ",'Q:\Abteilungsprojekte\eng\EngData\AOS\Allgemein\[LabSamples2025.xlsx]Bioplastic'!G317)</f>
        <v/>
      </c>
      <c r="H317">
        <f>IF(ISBLANK('Q:\Abteilungsprojekte\eng\EngData\AOS\Allgemein\[LabSamples2025.xlsx]Bioplastic'!H317)," ",'Q:\Abteilungsprojekte\eng\EngData\AOS\Allgemein\[LabSamples2025.xlsx]Bioplastic'!H317)</f>
        <v/>
      </c>
    </row>
    <row r="318">
      <c r="A318">
        <f>IF(ISBLANK('Q:\Abteilungsprojekte\eng\EngData\AOS\Allgemein\[LabSamples2025.xlsx]Bioplastic'!A318)," ",'Q:\Abteilungsprojekte\eng\EngData\AOS\Allgemein\[LabSamples2025.xlsx]Bioplastic'!A318)</f>
        <v/>
      </c>
      <c r="B318">
        <f>IF(ISBLANK('Q:\Abteilungsprojekte\eng\EngData\AOS\Allgemein\[LabSamples2025.xlsx]Bioplastic'!B318)," ",'Q:\Abteilungsprojekte\eng\EngData\AOS\Allgemein\[LabSamples2025.xlsx]Bioplastic'!B318)</f>
        <v/>
      </c>
      <c r="C318">
        <f>IF(ISBLANK('Q:\Abteilungsprojekte\eng\EngData\AOS\Allgemein\[LabSamples2025.xlsx]Bioplastic'!C318)," ",'Q:\Abteilungsprojekte\eng\EngData\AOS\Allgemein\[LabSamples2025.xlsx]Bioplastic'!C318)</f>
        <v/>
      </c>
      <c r="D318">
        <f>IF(ISBLANK('Q:\Abteilungsprojekte\eng\EngData\AOS\Allgemein\[LabSamples2025.xlsx]Bioplastic'!D318)," ",'Q:\Abteilungsprojekte\eng\EngData\AOS\Allgemein\[LabSamples2025.xlsx]Bioplastic'!D318)</f>
        <v/>
      </c>
      <c r="E318">
        <f>IF(ISBLANK('Q:\Abteilungsprojekte\eng\EngData\AOS\Allgemein\[LabSamples2025.xlsx]Bioplastic'!E318)," ",'Q:\Abteilungsprojekte\eng\EngData\AOS\Allgemein\[LabSamples2025.xlsx]Bioplastic'!E318)</f>
        <v/>
      </c>
      <c r="F318">
        <f>IF(ISBLANK('Q:\Abteilungsprojekte\eng\EngData\AOS\Allgemein\[LabSamples2025.xlsx]Bioplastic'!F318)," ",'Q:\Abteilungsprojekte\eng\EngData\AOS\Allgemein\[LabSamples2025.xlsx]Bioplastic'!F318)</f>
        <v/>
      </c>
      <c r="G318">
        <f>IF(ISBLANK('Q:\Abteilungsprojekte\eng\EngData\AOS\Allgemein\[LabSamples2025.xlsx]Bioplastic'!G318)," ",'Q:\Abteilungsprojekte\eng\EngData\AOS\Allgemein\[LabSamples2025.xlsx]Bioplastic'!G318)</f>
        <v/>
      </c>
      <c r="H318">
        <f>IF(ISBLANK('Q:\Abteilungsprojekte\eng\EngData\AOS\Allgemein\[LabSamples2025.xlsx]Bioplastic'!H318)," ",'Q:\Abteilungsprojekte\eng\EngData\AOS\Allgemein\[LabSamples2025.xlsx]Bioplastic'!H318)</f>
        <v/>
      </c>
    </row>
    <row r="319">
      <c r="A319">
        <f>IF(ISBLANK('Q:\Abteilungsprojekte\eng\EngData\AOS\Allgemein\[LabSamples2025.xlsx]Bioplastic'!A319)," ",'Q:\Abteilungsprojekte\eng\EngData\AOS\Allgemein\[LabSamples2025.xlsx]Bioplastic'!A319)</f>
        <v/>
      </c>
      <c r="B319">
        <f>IF(ISBLANK('Q:\Abteilungsprojekte\eng\EngData\AOS\Allgemein\[LabSamples2025.xlsx]Bioplastic'!B319)," ",'Q:\Abteilungsprojekte\eng\EngData\AOS\Allgemein\[LabSamples2025.xlsx]Bioplastic'!B319)</f>
        <v/>
      </c>
      <c r="C319">
        <f>IF(ISBLANK('Q:\Abteilungsprojekte\eng\EngData\AOS\Allgemein\[LabSamples2025.xlsx]Bioplastic'!C319)," ",'Q:\Abteilungsprojekte\eng\EngData\AOS\Allgemein\[LabSamples2025.xlsx]Bioplastic'!C319)</f>
        <v/>
      </c>
      <c r="D319">
        <f>IF(ISBLANK('Q:\Abteilungsprojekte\eng\EngData\AOS\Allgemein\[LabSamples2025.xlsx]Bioplastic'!D319)," ",'Q:\Abteilungsprojekte\eng\EngData\AOS\Allgemein\[LabSamples2025.xlsx]Bioplastic'!D319)</f>
        <v/>
      </c>
      <c r="E319">
        <f>IF(ISBLANK('Q:\Abteilungsprojekte\eng\EngData\AOS\Allgemein\[LabSamples2025.xlsx]Bioplastic'!E319)," ",'Q:\Abteilungsprojekte\eng\EngData\AOS\Allgemein\[LabSamples2025.xlsx]Bioplastic'!E319)</f>
        <v/>
      </c>
      <c r="F319">
        <f>IF(ISBLANK('Q:\Abteilungsprojekte\eng\EngData\AOS\Allgemein\[LabSamples2025.xlsx]Bioplastic'!F319)," ",'Q:\Abteilungsprojekte\eng\EngData\AOS\Allgemein\[LabSamples2025.xlsx]Bioplastic'!F319)</f>
        <v/>
      </c>
      <c r="G319">
        <f>IF(ISBLANK('Q:\Abteilungsprojekte\eng\EngData\AOS\Allgemein\[LabSamples2025.xlsx]Bioplastic'!G319)," ",'Q:\Abteilungsprojekte\eng\EngData\AOS\Allgemein\[LabSamples2025.xlsx]Bioplastic'!G319)</f>
        <v/>
      </c>
      <c r="H319">
        <f>IF(ISBLANK('Q:\Abteilungsprojekte\eng\EngData\AOS\Allgemein\[LabSamples2025.xlsx]Bioplastic'!H319)," ",'Q:\Abteilungsprojekte\eng\EngData\AOS\Allgemein\[LabSamples2025.xlsx]Bioplastic'!H319)</f>
        <v/>
      </c>
    </row>
    <row r="320">
      <c r="A320">
        <f>IF(ISBLANK('Q:\Abteilungsprojekte\eng\EngData\AOS\Allgemein\[LabSamples2025.xlsx]Bioplastic'!A320)," ",'Q:\Abteilungsprojekte\eng\EngData\AOS\Allgemein\[LabSamples2025.xlsx]Bioplastic'!A320)</f>
        <v/>
      </c>
      <c r="B320">
        <f>IF(ISBLANK('Q:\Abteilungsprojekte\eng\EngData\AOS\Allgemein\[LabSamples2025.xlsx]Bioplastic'!B320)," ",'Q:\Abteilungsprojekte\eng\EngData\AOS\Allgemein\[LabSamples2025.xlsx]Bioplastic'!B320)</f>
        <v/>
      </c>
      <c r="C320">
        <f>IF(ISBLANK('Q:\Abteilungsprojekte\eng\EngData\AOS\Allgemein\[LabSamples2025.xlsx]Bioplastic'!C320)," ",'Q:\Abteilungsprojekte\eng\EngData\AOS\Allgemein\[LabSamples2025.xlsx]Bioplastic'!C320)</f>
        <v/>
      </c>
      <c r="D320">
        <f>IF(ISBLANK('Q:\Abteilungsprojekte\eng\EngData\AOS\Allgemein\[LabSamples2025.xlsx]Bioplastic'!D320)," ",'Q:\Abteilungsprojekte\eng\EngData\AOS\Allgemein\[LabSamples2025.xlsx]Bioplastic'!D320)</f>
        <v/>
      </c>
      <c r="E320">
        <f>IF(ISBLANK('Q:\Abteilungsprojekte\eng\EngData\AOS\Allgemein\[LabSamples2025.xlsx]Bioplastic'!E320)," ",'Q:\Abteilungsprojekte\eng\EngData\AOS\Allgemein\[LabSamples2025.xlsx]Bioplastic'!E320)</f>
        <v/>
      </c>
      <c r="F320">
        <f>IF(ISBLANK('Q:\Abteilungsprojekte\eng\EngData\AOS\Allgemein\[LabSamples2025.xlsx]Bioplastic'!F320)," ",'Q:\Abteilungsprojekte\eng\EngData\AOS\Allgemein\[LabSamples2025.xlsx]Bioplastic'!F320)</f>
        <v/>
      </c>
      <c r="G320">
        <f>IF(ISBLANK('Q:\Abteilungsprojekte\eng\EngData\AOS\Allgemein\[LabSamples2025.xlsx]Bioplastic'!G320)," ",'Q:\Abteilungsprojekte\eng\EngData\AOS\Allgemein\[LabSamples2025.xlsx]Bioplastic'!G320)</f>
        <v/>
      </c>
      <c r="H320">
        <f>IF(ISBLANK('Q:\Abteilungsprojekte\eng\EngData\AOS\Allgemein\[LabSamples2025.xlsx]Bioplastic'!H320)," ",'Q:\Abteilungsprojekte\eng\EngData\AOS\Allgemein\[LabSamples2025.xlsx]Bioplastic'!H320)</f>
        <v/>
      </c>
    </row>
    <row r="321">
      <c r="A321">
        <f>IF(ISBLANK('Q:\Abteilungsprojekte\eng\EngData\AOS\Allgemein\[LabSamples2025.xlsx]Bioplastic'!A321)," ",'Q:\Abteilungsprojekte\eng\EngData\AOS\Allgemein\[LabSamples2025.xlsx]Bioplastic'!A321)</f>
        <v/>
      </c>
      <c r="B321">
        <f>IF(ISBLANK('Q:\Abteilungsprojekte\eng\EngData\AOS\Allgemein\[LabSamples2025.xlsx]Bioplastic'!B321)," ",'Q:\Abteilungsprojekte\eng\EngData\AOS\Allgemein\[LabSamples2025.xlsx]Bioplastic'!B321)</f>
        <v/>
      </c>
      <c r="C321">
        <f>IF(ISBLANK('Q:\Abteilungsprojekte\eng\EngData\AOS\Allgemein\[LabSamples2025.xlsx]Bioplastic'!C321)," ",'Q:\Abteilungsprojekte\eng\EngData\AOS\Allgemein\[LabSamples2025.xlsx]Bioplastic'!C321)</f>
        <v/>
      </c>
      <c r="D321">
        <f>IF(ISBLANK('Q:\Abteilungsprojekte\eng\EngData\AOS\Allgemein\[LabSamples2025.xlsx]Bioplastic'!D321)," ",'Q:\Abteilungsprojekte\eng\EngData\AOS\Allgemein\[LabSamples2025.xlsx]Bioplastic'!D321)</f>
        <v/>
      </c>
      <c r="E321">
        <f>IF(ISBLANK('Q:\Abteilungsprojekte\eng\EngData\AOS\Allgemein\[LabSamples2025.xlsx]Bioplastic'!E321)," ",'Q:\Abteilungsprojekte\eng\EngData\AOS\Allgemein\[LabSamples2025.xlsx]Bioplastic'!E321)</f>
        <v/>
      </c>
      <c r="F321">
        <f>IF(ISBLANK('Q:\Abteilungsprojekte\eng\EngData\AOS\Allgemein\[LabSamples2025.xlsx]Bioplastic'!F321)," ",'Q:\Abteilungsprojekte\eng\EngData\AOS\Allgemein\[LabSamples2025.xlsx]Bioplastic'!F321)</f>
        <v/>
      </c>
      <c r="G321">
        <f>IF(ISBLANK('Q:\Abteilungsprojekte\eng\EngData\AOS\Allgemein\[LabSamples2025.xlsx]Bioplastic'!G321)," ",'Q:\Abteilungsprojekte\eng\EngData\AOS\Allgemein\[LabSamples2025.xlsx]Bioplastic'!G321)</f>
        <v/>
      </c>
      <c r="H321">
        <f>IF(ISBLANK('Q:\Abteilungsprojekte\eng\EngData\AOS\Allgemein\[LabSamples2025.xlsx]Bioplastic'!H321)," ",'Q:\Abteilungsprojekte\eng\EngData\AOS\Allgemein\[LabSamples2025.xlsx]Bioplastic'!H321)</f>
        <v/>
      </c>
    </row>
    <row r="322">
      <c r="A322">
        <f>IF(ISBLANK('Q:\Abteilungsprojekte\eng\EngData\AOS\Allgemein\[LabSamples2025.xlsx]Bioplastic'!A322)," ",'Q:\Abteilungsprojekte\eng\EngData\AOS\Allgemein\[LabSamples2025.xlsx]Bioplastic'!A322)</f>
        <v/>
      </c>
      <c r="B322">
        <f>IF(ISBLANK('Q:\Abteilungsprojekte\eng\EngData\AOS\Allgemein\[LabSamples2025.xlsx]Bioplastic'!B322)," ",'Q:\Abteilungsprojekte\eng\EngData\AOS\Allgemein\[LabSamples2025.xlsx]Bioplastic'!B322)</f>
        <v/>
      </c>
      <c r="C322">
        <f>IF(ISBLANK('Q:\Abteilungsprojekte\eng\EngData\AOS\Allgemein\[LabSamples2025.xlsx]Bioplastic'!C322)," ",'Q:\Abteilungsprojekte\eng\EngData\AOS\Allgemein\[LabSamples2025.xlsx]Bioplastic'!C322)</f>
        <v/>
      </c>
      <c r="D322">
        <f>IF(ISBLANK('Q:\Abteilungsprojekte\eng\EngData\AOS\Allgemein\[LabSamples2025.xlsx]Bioplastic'!D322)," ",'Q:\Abteilungsprojekte\eng\EngData\AOS\Allgemein\[LabSamples2025.xlsx]Bioplastic'!D322)</f>
        <v/>
      </c>
      <c r="E322">
        <f>IF(ISBLANK('Q:\Abteilungsprojekte\eng\EngData\AOS\Allgemein\[LabSamples2025.xlsx]Bioplastic'!E322)," ",'Q:\Abteilungsprojekte\eng\EngData\AOS\Allgemein\[LabSamples2025.xlsx]Bioplastic'!E322)</f>
        <v/>
      </c>
      <c r="F322">
        <f>IF(ISBLANK('Q:\Abteilungsprojekte\eng\EngData\AOS\Allgemein\[LabSamples2025.xlsx]Bioplastic'!F322)," ",'Q:\Abteilungsprojekte\eng\EngData\AOS\Allgemein\[LabSamples2025.xlsx]Bioplastic'!F322)</f>
        <v/>
      </c>
      <c r="G322">
        <f>IF(ISBLANK('Q:\Abteilungsprojekte\eng\EngData\AOS\Allgemein\[LabSamples2025.xlsx]Bioplastic'!G322)," ",'Q:\Abteilungsprojekte\eng\EngData\AOS\Allgemein\[LabSamples2025.xlsx]Bioplastic'!G322)</f>
        <v/>
      </c>
      <c r="H322">
        <f>IF(ISBLANK('Q:\Abteilungsprojekte\eng\EngData\AOS\Allgemein\[LabSamples2025.xlsx]Bioplastic'!H322)," ",'Q:\Abteilungsprojekte\eng\EngData\AOS\Allgemein\[LabSamples2025.xlsx]Bioplastic'!H322)</f>
        <v/>
      </c>
    </row>
    <row r="323">
      <c r="A323">
        <f>IF(ISBLANK('Q:\Abteilungsprojekte\eng\EngData\AOS\Allgemein\[LabSamples2025.xlsx]Bioplastic'!A323)," ",'Q:\Abteilungsprojekte\eng\EngData\AOS\Allgemein\[LabSamples2025.xlsx]Bioplastic'!A323)</f>
        <v/>
      </c>
      <c r="B323">
        <f>IF(ISBLANK('Q:\Abteilungsprojekte\eng\EngData\AOS\Allgemein\[LabSamples2025.xlsx]Bioplastic'!B323)," ",'Q:\Abteilungsprojekte\eng\EngData\AOS\Allgemein\[LabSamples2025.xlsx]Bioplastic'!B323)</f>
        <v/>
      </c>
      <c r="C323">
        <f>IF(ISBLANK('Q:\Abteilungsprojekte\eng\EngData\AOS\Allgemein\[LabSamples2025.xlsx]Bioplastic'!C323)," ",'Q:\Abteilungsprojekte\eng\EngData\AOS\Allgemein\[LabSamples2025.xlsx]Bioplastic'!C323)</f>
        <v/>
      </c>
      <c r="D323">
        <f>IF(ISBLANK('Q:\Abteilungsprojekte\eng\EngData\AOS\Allgemein\[LabSamples2025.xlsx]Bioplastic'!D323)," ",'Q:\Abteilungsprojekte\eng\EngData\AOS\Allgemein\[LabSamples2025.xlsx]Bioplastic'!D323)</f>
        <v/>
      </c>
      <c r="E323">
        <f>IF(ISBLANK('Q:\Abteilungsprojekte\eng\EngData\AOS\Allgemein\[LabSamples2025.xlsx]Bioplastic'!E323)," ",'Q:\Abteilungsprojekte\eng\EngData\AOS\Allgemein\[LabSamples2025.xlsx]Bioplastic'!E323)</f>
        <v/>
      </c>
      <c r="F323">
        <f>IF(ISBLANK('Q:\Abteilungsprojekte\eng\EngData\AOS\Allgemein\[LabSamples2025.xlsx]Bioplastic'!F323)," ",'Q:\Abteilungsprojekte\eng\EngData\AOS\Allgemein\[LabSamples2025.xlsx]Bioplastic'!F323)</f>
        <v/>
      </c>
      <c r="G323">
        <f>IF(ISBLANK('Q:\Abteilungsprojekte\eng\EngData\AOS\Allgemein\[LabSamples2025.xlsx]Bioplastic'!G323)," ",'Q:\Abteilungsprojekte\eng\EngData\AOS\Allgemein\[LabSamples2025.xlsx]Bioplastic'!G323)</f>
        <v/>
      </c>
      <c r="H323">
        <f>IF(ISBLANK('Q:\Abteilungsprojekte\eng\EngData\AOS\Allgemein\[LabSamples2025.xlsx]Bioplastic'!H323)," ",'Q:\Abteilungsprojekte\eng\EngData\AOS\Allgemein\[LabSamples2025.xlsx]Bioplastic'!H323)</f>
        <v/>
      </c>
    </row>
    <row r="324">
      <c r="A324">
        <f>IF(ISBLANK('Q:\Abteilungsprojekte\eng\EngData\AOS\Allgemein\[LabSamples2025.xlsx]Bioplastic'!A324)," ",'Q:\Abteilungsprojekte\eng\EngData\AOS\Allgemein\[LabSamples2025.xlsx]Bioplastic'!A324)</f>
        <v/>
      </c>
      <c r="B324">
        <f>IF(ISBLANK('Q:\Abteilungsprojekte\eng\EngData\AOS\Allgemein\[LabSamples2025.xlsx]Bioplastic'!B324)," ",'Q:\Abteilungsprojekte\eng\EngData\AOS\Allgemein\[LabSamples2025.xlsx]Bioplastic'!B324)</f>
        <v/>
      </c>
      <c r="C324">
        <f>IF(ISBLANK('Q:\Abteilungsprojekte\eng\EngData\AOS\Allgemein\[LabSamples2025.xlsx]Bioplastic'!C324)," ",'Q:\Abteilungsprojekte\eng\EngData\AOS\Allgemein\[LabSamples2025.xlsx]Bioplastic'!C324)</f>
        <v/>
      </c>
      <c r="D324">
        <f>IF(ISBLANK('Q:\Abteilungsprojekte\eng\EngData\AOS\Allgemein\[LabSamples2025.xlsx]Bioplastic'!D324)," ",'Q:\Abteilungsprojekte\eng\EngData\AOS\Allgemein\[LabSamples2025.xlsx]Bioplastic'!D324)</f>
        <v/>
      </c>
      <c r="E324">
        <f>IF(ISBLANK('Q:\Abteilungsprojekte\eng\EngData\AOS\Allgemein\[LabSamples2025.xlsx]Bioplastic'!E324)," ",'Q:\Abteilungsprojekte\eng\EngData\AOS\Allgemein\[LabSamples2025.xlsx]Bioplastic'!E324)</f>
        <v/>
      </c>
      <c r="F324">
        <f>IF(ISBLANK('Q:\Abteilungsprojekte\eng\EngData\AOS\Allgemein\[LabSamples2025.xlsx]Bioplastic'!F324)," ",'Q:\Abteilungsprojekte\eng\EngData\AOS\Allgemein\[LabSamples2025.xlsx]Bioplastic'!F324)</f>
        <v/>
      </c>
      <c r="G324">
        <f>IF(ISBLANK('Q:\Abteilungsprojekte\eng\EngData\AOS\Allgemein\[LabSamples2025.xlsx]Bioplastic'!G324)," ",'Q:\Abteilungsprojekte\eng\EngData\AOS\Allgemein\[LabSamples2025.xlsx]Bioplastic'!G324)</f>
        <v/>
      </c>
      <c r="H324">
        <f>IF(ISBLANK('Q:\Abteilungsprojekte\eng\EngData\AOS\Allgemein\[LabSamples2025.xlsx]Bioplastic'!H324)," ",'Q:\Abteilungsprojekte\eng\EngData\AOS\Allgemein\[LabSamples2025.xlsx]Bioplastic'!H324)</f>
        <v/>
      </c>
    </row>
    <row r="325">
      <c r="A325">
        <f>IF(ISBLANK('Q:\Abteilungsprojekte\eng\EngData\AOS\Allgemein\[LabSamples2025.xlsx]Bioplastic'!A325)," ",'Q:\Abteilungsprojekte\eng\EngData\AOS\Allgemein\[LabSamples2025.xlsx]Bioplastic'!A325)</f>
        <v/>
      </c>
      <c r="B325">
        <f>IF(ISBLANK('Q:\Abteilungsprojekte\eng\EngData\AOS\Allgemein\[LabSamples2025.xlsx]Bioplastic'!B325)," ",'Q:\Abteilungsprojekte\eng\EngData\AOS\Allgemein\[LabSamples2025.xlsx]Bioplastic'!B325)</f>
        <v/>
      </c>
      <c r="C325">
        <f>IF(ISBLANK('Q:\Abteilungsprojekte\eng\EngData\AOS\Allgemein\[LabSamples2025.xlsx]Bioplastic'!C325)," ",'Q:\Abteilungsprojekte\eng\EngData\AOS\Allgemein\[LabSamples2025.xlsx]Bioplastic'!C325)</f>
        <v/>
      </c>
      <c r="D325">
        <f>IF(ISBLANK('Q:\Abteilungsprojekte\eng\EngData\AOS\Allgemein\[LabSamples2025.xlsx]Bioplastic'!D325)," ",'Q:\Abteilungsprojekte\eng\EngData\AOS\Allgemein\[LabSamples2025.xlsx]Bioplastic'!D325)</f>
        <v/>
      </c>
      <c r="E325">
        <f>IF(ISBLANK('Q:\Abteilungsprojekte\eng\EngData\AOS\Allgemein\[LabSamples2025.xlsx]Bioplastic'!E325)," ",'Q:\Abteilungsprojekte\eng\EngData\AOS\Allgemein\[LabSamples2025.xlsx]Bioplastic'!E325)</f>
        <v/>
      </c>
      <c r="F325">
        <f>IF(ISBLANK('Q:\Abteilungsprojekte\eng\EngData\AOS\Allgemein\[LabSamples2025.xlsx]Bioplastic'!F325)," ",'Q:\Abteilungsprojekte\eng\EngData\AOS\Allgemein\[LabSamples2025.xlsx]Bioplastic'!F325)</f>
        <v/>
      </c>
      <c r="G325">
        <f>IF(ISBLANK('Q:\Abteilungsprojekte\eng\EngData\AOS\Allgemein\[LabSamples2025.xlsx]Bioplastic'!G325)," ",'Q:\Abteilungsprojekte\eng\EngData\AOS\Allgemein\[LabSamples2025.xlsx]Bioplastic'!G325)</f>
        <v/>
      </c>
      <c r="H325">
        <f>IF(ISBLANK('Q:\Abteilungsprojekte\eng\EngData\AOS\Allgemein\[LabSamples2025.xlsx]Bioplastic'!H325)," ",'Q:\Abteilungsprojekte\eng\EngData\AOS\Allgemein\[LabSamples2025.xlsx]Bioplastic'!H325)</f>
        <v/>
      </c>
    </row>
    <row r="326">
      <c r="A326">
        <f>IF(ISBLANK('Q:\Abteilungsprojekte\eng\EngData\AOS\Allgemein\[LabSamples2025.xlsx]Bioplastic'!A326)," ",'Q:\Abteilungsprojekte\eng\EngData\AOS\Allgemein\[LabSamples2025.xlsx]Bioplastic'!A326)</f>
        <v/>
      </c>
      <c r="B326">
        <f>IF(ISBLANK('Q:\Abteilungsprojekte\eng\EngData\AOS\Allgemein\[LabSamples2025.xlsx]Bioplastic'!B326)," ",'Q:\Abteilungsprojekte\eng\EngData\AOS\Allgemein\[LabSamples2025.xlsx]Bioplastic'!B326)</f>
        <v/>
      </c>
      <c r="C326">
        <f>IF(ISBLANK('Q:\Abteilungsprojekte\eng\EngData\AOS\Allgemein\[LabSamples2025.xlsx]Bioplastic'!C326)," ",'Q:\Abteilungsprojekte\eng\EngData\AOS\Allgemein\[LabSamples2025.xlsx]Bioplastic'!C326)</f>
        <v/>
      </c>
      <c r="D326">
        <f>IF(ISBLANK('Q:\Abteilungsprojekte\eng\EngData\AOS\Allgemein\[LabSamples2025.xlsx]Bioplastic'!D326)," ",'Q:\Abteilungsprojekte\eng\EngData\AOS\Allgemein\[LabSamples2025.xlsx]Bioplastic'!D326)</f>
        <v/>
      </c>
      <c r="E326">
        <f>IF(ISBLANK('Q:\Abteilungsprojekte\eng\EngData\AOS\Allgemein\[LabSamples2025.xlsx]Bioplastic'!E326)," ",'Q:\Abteilungsprojekte\eng\EngData\AOS\Allgemein\[LabSamples2025.xlsx]Bioplastic'!E326)</f>
        <v/>
      </c>
      <c r="F326">
        <f>IF(ISBLANK('Q:\Abteilungsprojekte\eng\EngData\AOS\Allgemein\[LabSamples2025.xlsx]Bioplastic'!F326)," ",'Q:\Abteilungsprojekte\eng\EngData\AOS\Allgemein\[LabSamples2025.xlsx]Bioplastic'!F326)</f>
        <v/>
      </c>
      <c r="G326">
        <f>IF(ISBLANK('Q:\Abteilungsprojekte\eng\EngData\AOS\Allgemein\[LabSamples2025.xlsx]Bioplastic'!G326)," ",'Q:\Abteilungsprojekte\eng\EngData\AOS\Allgemein\[LabSamples2025.xlsx]Bioplastic'!G326)</f>
        <v/>
      </c>
      <c r="H326">
        <f>IF(ISBLANK('Q:\Abteilungsprojekte\eng\EngData\AOS\Allgemein\[LabSamples2025.xlsx]Bioplastic'!H326)," ",'Q:\Abteilungsprojekte\eng\EngData\AOS\Allgemein\[LabSamples2025.xlsx]Bioplastic'!H326)</f>
        <v/>
      </c>
    </row>
    <row r="327">
      <c r="A327">
        <f>IF(ISBLANK('Q:\Abteilungsprojekte\eng\EngData\AOS\Allgemein\[LabSamples2025.xlsx]Bioplastic'!A327)," ",'Q:\Abteilungsprojekte\eng\EngData\AOS\Allgemein\[LabSamples2025.xlsx]Bioplastic'!A327)</f>
        <v/>
      </c>
      <c r="B327">
        <f>IF(ISBLANK('Q:\Abteilungsprojekte\eng\EngData\AOS\Allgemein\[LabSamples2025.xlsx]Bioplastic'!B327)," ",'Q:\Abteilungsprojekte\eng\EngData\AOS\Allgemein\[LabSamples2025.xlsx]Bioplastic'!B327)</f>
        <v/>
      </c>
      <c r="C327">
        <f>IF(ISBLANK('Q:\Abteilungsprojekte\eng\EngData\AOS\Allgemein\[LabSamples2025.xlsx]Bioplastic'!C327)," ",'Q:\Abteilungsprojekte\eng\EngData\AOS\Allgemein\[LabSamples2025.xlsx]Bioplastic'!C327)</f>
        <v/>
      </c>
      <c r="D327">
        <f>IF(ISBLANK('Q:\Abteilungsprojekte\eng\EngData\AOS\Allgemein\[LabSamples2025.xlsx]Bioplastic'!D327)," ",'Q:\Abteilungsprojekte\eng\EngData\AOS\Allgemein\[LabSamples2025.xlsx]Bioplastic'!D327)</f>
        <v/>
      </c>
      <c r="E327">
        <f>IF(ISBLANK('Q:\Abteilungsprojekte\eng\EngData\AOS\Allgemein\[LabSamples2025.xlsx]Bioplastic'!E327)," ",'Q:\Abteilungsprojekte\eng\EngData\AOS\Allgemein\[LabSamples2025.xlsx]Bioplastic'!E327)</f>
        <v/>
      </c>
      <c r="F327">
        <f>IF(ISBLANK('Q:\Abteilungsprojekte\eng\EngData\AOS\Allgemein\[LabSamples2025.xlsx]Bioplastic'!F327)," ",'Q:\Abteilungsprojekte\eng\EngData\AOS\Allgemein\[LabSamples2025.xlsx]Bioplastic'!F327)</f>
        <v/>
      </c>
      <c r="G327">
        <f>IF(ISBLANK('Q:\Abteilungsprojekte\eng\EngData\AOS\Allgemein\[LabSamples2025.xlsx]Bioplastic'!G327)," ",'Q:\Abteilungsprojekte\eng\EngData\AOS\Allgemein\[LabSamples2025.xlsx]Bioplastic'!G327)</f>
        <v/>
      </c>
      <c r="H327">
        <f>IF(ISBLANK('Q:\Abteilungsprojekte\eng\EngData\AOS\Allgemein\[LabSamples2025.xlsx]Bioplastic'!H327)," ",'Q:\Abteilungsprojekte\eng\EngData\AOS\Allgemein\[LabSamples2025.xlsx]Bioplastic'!H327)</f>
        <v/>
      </c>
    </row>
    <row r="328">
      <c r="A328">
        <f>IF(ISBLANK('Q:\Abteilungsprojekte\eng\EngData\AOS\Allgemein\[LabSamples2025.xlsx]Bioplastic'!A328)," ",'Q:\Abteilungsprojekte\eng\EngData\AOS\Allgemein\[LabSamples2025.xlsx]Bioplastic'!A328)</f>
        <v/>
      </c>
      <c r="B328">
        <f>IF(ISBLANK('Q:\Abteilungsprojekte\eng\EngData\AOS\Allgemein\[LabSamples2025.xlsx]Bioplastic'!B328)," ",'Q:\Abteilungsprojekte\eng\EngData\AOS\Allgemein\[LabSamples2025.xlsx]Bioplastic'!B328)</f>
        <v/>
      </c>
      <c r="C328">
        <f>IF(ISBLANK('Q:\Abteilungsprojekte\eng\EngData\AOS\Allgemein\[LabSamples2025.xlsx]Bioplastic'!C328)," ",'Q:\Abteilungsprojekte\eng\EngData\AOS\Allgemein\[LabSamples2025.xlsx]Bioplastic'!C328)</f>
        <v/>
      </c>
      <c r="D328">
        <f>IF(ISBLANK('Q:\Abteilungsprojekte\eng\EngData\AOS\Allgemein\[LabSamples2025.xlsx]Bioplastic'!D328)," ",'Q:\Abteilungsprojekte\eng\EngData\AOS\Allgemein\[LabSamples2025.xlsx]Bioplastic'!D328)</f>
        <v/>
      </c>
      <c r="E328">
        <f>IF(ISBLANK('Q:\Abteilungsprojekte\eng\EngData\AOS\Allgemein\[LabSamples2025.xlsx]Bioplastic'!E328)," ",'Q:\Abteilungsprojekte\eng\EngData\AOS\Allgemein\[LabSamples2025.xlsx]Bioplastic'!E328)</f>
        <v/>
      </c>
      <c r="F328">
        <f>IF(ISBLANK('Q:\Abteilungsprojekte\eng\EngData\AOS\Allgemein\[LabSamples2025.xlsx]Bioplastic'!F328)," ",'Q:\Abteilungsprojekte\eng\EngData\AOS\Allgemein\[LabSamples2025.xlsx]Bioplastic'!F328)</f>
        <v/>
      </c>
      <c r="G328">
        <f>IF(ISBLANK('Q:\Abteilungsprojekte\eng\EngData\AOS\Allgemein\[LabSamples2025.xlsx]Bioplastic'!G328)," ",'Q:\Abteilungsprojekte\eng\EngData\AOS\Allgemein\[LabSamples2025.xlsx]Bioplastic'!G328)</f>
        <v/>
      </c>
      <c r="H328">
        <f>IF(ISBLANK('Q:\Abteilungsprojekte\eng\EngData\AOS\Allgemein\[LabSamples2025.xlsx]Bioplastic'!H328)," ",'Q:\Abteilungsprojekte\eng\EngData\AOS\Allgemein\[LabSamples2025.xlsx]Bioplastic'!H328)</f>
        <v/>
      </c>
    </row>
    <row r="329">
      <c r="A329">
        <f>IF(ISBLANK('Q:\Abteilungsprojekte\eng\EngData\AOS\Allgemein\[LabSamples2025.xlsx]Bioplastic'!A329)," ",'Q:\Abteilungsprojekte\eng\EngData\AOS\Allgemein\[LabSamples2025.xlsx]Bioplastic'!A329)</f>
        <v/>
      </c>
      <c r="B329">
        <f>IF(ISBLANK('Q:\Abteilungsprojekte\eng\EngData\AOS\Allgemein\[LabSamples2025.xlsx]Bioplastic'!B329)," ",'Q:\Abteilungsprojekte\eng\EngData\AOS\Allgemein\[LabSamples2025.xlsx]Bioplastic'!B329)</f>
        <v/>
      </c>
      <c r="C329">
        <f>IF(ISBLANK('Q:\Abteilungsprojekte\eng\EngData\AOS\Allgemein\[LabSamples2025.xlsx]Bioplastic'!C329)," ",'Q:\Abteilungsprojekte\eng\EngData\AOS\Allgemein\[LabSamples2025.xlsx]Bioplastic'!C329)</f>
        <v/>
      </c>
      <c r="D329">
        <f>IF(ISBLANK('Q:\Abteilungsprojekte\eng\EngData\AOS\Allgemein\[LabSamples2025.xlsx]Bioplastic'!D329)," ",'Q:\Abteilungsprojekte\eng\EngData\AOS\Allgemein\[LabSamples2025.xlsx]Bioplastic'!D329)</f>
        <v/>
      </c>
      <c r="E329">
        <f>IF(ISBLANK('Q:\Abteilungsprojekte\eng\EngData\AOS\Allgemein\[LabSamples2025.xlsx]Bioplastic'!E329)," ",'Q:\Abteilungsprojekte\eng\EngData\AOS\Allgemein\[LabSamples2025.xlsx]Bioplastic'!E329)</f>
        <v/>
      </c>
      <c r="F329">
        <f>IF(ISBLANK('Q:\Abteilungsprojekte\eng\EngData\AOS\Allgemein\[LabSamples2025.xlsx]Bioplastic'!F329)," ",'Q:\Abteilungsprojekte\eng\EngData\AOS\Allgemein\[LabSamples2025.xlsx]Bioplastic'!F329)</f>
        <v/>
      </c>
      <c r="G329">
        <f>IF(ISBLANK('Q:\Abteilungsprojekte\eng\EngData\AOS\Allgemein\[LabSamples2025.xlsx]Bioplastic'!G329)," ",'Q:\Abteilungsprojekte\eng\EngData\AOS\Allgemein\[LabSamples2025.xlsx]Bioplastic'!G329)</f>
        <v/>
      </c>
      <c r="H329">
        <f>IF(ISBLANK('Q:\Abteilungsprojekte\eng\EngData\AOS\Allgemein\[LabSamples2025.xlsx]Bioplastic'!H329)," ",'Q:\Abteilungsprojekte\eng\EngData\AOS\Allgemein\[LabSamples2025.xlsx]Bioplastic'!H329)</f>
        <v/>
      </c>
    </row>
    <row r="330">
      <c r="A330">
        <f>IF(ISBLANK('Q:\Abteilungsprojekte\eng\EngData\AOS\Allgemein\[LabSamples2025.xlsx]Bioplastic'!A330)," ",'Q:\Abteilungsprojekte\eng\EngData\AOS\Allgemein\[LabSamples2025.xlsx]Bioplastic'!A330)</f>
        <v/>
      </c>
      <c r="B330">
        <f>IF(ISBLANK('Q:\Abteilungsprojekte\eng\EngData\AOS\Allgemein\[LabSamples2025.xlsx]Bioplastic'!B330)," ",'Q:\Abteilungsprojekte\eng\EngData\AOS\Allgemein\[LabSamples2025.xlsx]Bioplastic'!B330)</f>
        <v/>
      </c>
      <c r="C330">
        <f>IF(ISBLANK('Q:\Abteilungsprojekte\eng\EngData\AOS\Allgemein\[LabSamples2025.xlsx]Bioplastic'!C330)," ",'Q:\Abteilungsprojekte\eng\EngData\AOS\Allgemein\[LabSamples2025.xlsx]Bioplastic'!C330)</f>
        <v/>
      </c>
      <c r="D330">
        <f>IF(ISBLANK('Q:\Abteilungsprojekte\eng\EngData\AOS\Allgemein\[LabSamples2025.xlsx]Bioplastic'!D330)," ",'Q:\Abteilungsprojekte\eng\EngData\AOS\Allgemein\[LabSamples2025.xlsx]Bioplastic'!D330)</f>
        <v/>
      </c>
      <c r="E330">
        <f>IF(ISBLANK('Q:\Abteilungsprojekte\eng\EngData\AOS\Allgemein\[LabSamples2025.xlsx]Bioplastic'!E330)," ",'Q:\Abteilungsprojekte\eng\EngData\AOS\Allgemein\[LabSamples2025.xlsx]Bioplastic'!E330)</f>
        <v/>
      </c>
      <c r="F330">
        <f>IF(ISBLANK('Q:\Abteilungsprojekte\eng\EngData\AOS\Allgemein\[LabSamples2025.xlsx]Bioplastic'!F330)," ",'Q:\Abteilungsprojekte\eng\EngData\AOS\Allgemein\[LabSamples2025.xlsx]Bioplastic'!F330)</f>
        <v/>
      </c>
      <c r="G330">
        <f>IF(ISBLANK('Q:\Abteilungsprojekte\eng\EngData\AOS\Allgemein\[LabSamples2025.xlsx]Bioplastic'!G330)," ",'Q:\Abteilungsprojekte\eng\EngData\AOS\Allgemein\[LabSamples2025.xlsx]Bioplastic'!G330)</f>
        <v/>
      </c>
      <c r="H330">
        <f>IF(ISBLANK('Q:\Abteilungsprojekte\eng\EngData\AOS\Allgemein\[LabSamples2025.xlsx]Bioplastic'!H330)," ",'Q:\Abteilungsprojekte\eng\EngData\AOS\Allgemein\[LabSamples2025.xlsx]Bioplastic'!H330)</f>
        <v/>
      </c>
    </row>
    <row r="331">
      <c r="A331">
        <f>IF(ISBLANK('Q:\Abteilungsprojekte\eng\EngData\AOS\Allgemein\[LabSamples2025.xlsx]Bioplastic'!A331)," ",'Q:\Abteilungsprojekte\eng\EngData\AOS\Allgemein\[LabSamples2025.xlsx]Bioplastic'!A331)</f>
        <v/>
      </c>
      <c r="B331">
        <f>IF(ISBLANK('Q:\Abteilungsprojekte\eng\EngData\AOS\Allgemein\[LabSamples2025.xlsx]Bioplastic'!B331)," ",'Q:\Abteilungsprojekte\eng\EngData\AOS\Allgemein\[LabSamples2025.xlsx]Bioplastic'!B331)</f>
        <v/>
      </c>
      <c r="C331">
        <f>IF(ISBLANK('Q:\Abteilungsprojekte\eng\EngData\AOS\Allgemein\[LabSamples2025.xlsx]Bioplastic'!C331)," ",'Q:\Abteilungsprojekte\eng\EngData\AOS\Allgemein\[LabSamples2025.xlsx]Bioplastic'!C331)</f>
        <v/>
      </c>
      <c r="D331">
        <f>IF(ISBLANK('Q:\Abteilungsprojekte\eng\EngData\AOS\Allgemein\[LabSamples2025.xlsx]Bioplastic'!D331)," ",'Q:\Abteilungsprojekte\eng\EngData\AOS\Allgemein\[LabSamples2025.xlsx]Bioplastic'!D331)</f>
        <v/>
      </c>
      <c r="E331">
        <f>IF(ISBLANK('Q:\Abteilungsprojekte\eng\EngData\AOS\Allgemein\[LabSamples2025.xlsx]Bioplastic'!E331)," ",'Q:\Abteilungsprojekte\eng\EngData\AOS\Allgemein\[LabSamples2025.xlsx]Bioplastic'!E331)</f>
        <v/>
      </c>
      <c r="F331">
        <f>IF(ISBLANK('Q:\Abteilungsprojekte\eng\EngData\AOS\Allgemein\[LabSamples2025.xlsx]Bioplastic'!F331)," ",'Q:\Abteilungsprojekte\eng\EngData\AOS\Allgemein\[LabSamples2025.xlsx]Bioplastic'!F331)</f>
        <v/>
      </c>
      <c r="G331">
        <f>IF(ISBLANK('Q:\Abteilungsprojekte\eng\EngData\AOS\Allgemein\[LabSamples2025.xlsx]Bioplastic'!G331)," ",'Q:\Abteilungsprojekte\eng\EngData\AOS\Allgemein\[LabSamples2025.xlsx]Bioplastic'!G331)</f>
        <v/>
      </c>
      <c r="H331">
        <f>IF(ISBLANK('Q:\Abteilungsprojekte\eng\EngData\AOS\Allgemein\[LabSamples2025.xlsx]Bioplastic'!H331)," ",'Q:\Abteilungsprojekte\eng\EngData\AOS\Allgemein\[LabSamples2025.xlsx]Bioplastic'!H331)</f>
        <v/>
      </c>
    </row>
    <row r="332">
      <c r="A332">
        <f>IF(ISBLANK('Q:\Abteilungsprojekte\eng\EngData\AOS\Allgemein\[LabSamples2025.xlsx]Bioplastic'!A332)," ",'Q:\Abteilungsprojekte\eng\EngData\AOS\Allgemein\[LabSamples2025.xlsx]Bioplastic'!A332)</f>
        <v/>
      </c>
      <c r="B332">
        <f>IF(ISBLANK('Q:\Abteilungsprojekte\eng\EngData\AOS\Allgemein\[LabSamples2025.xlsx]Bioplastic'!B332)," ",'Q:\Abteilungsprojekte\eng\EngData\AOS\Allgemein\[LabSamples2025.xlsx]Bioplastic'!B332)</f>
        <v/>
      </c>
      <c r="C332">
        <f>IF(ISBLANK('Q:\Abteilungsprojekte\eng\EngData\AOS\Allgemein\[LabSamples2025.xlsx]Bioplastic'!C332)," ",'Q:\Abteilungsprojekte\eng\EngData\AOS\Allgemein\[LabSamples2025.xlsx]Bioplastic'!C332)</f>
        <v/>
      </c>
      <c r="D332">
        <f>IF(ISBLANK('Q:\Abteilungsprojekte\eng\EngData\AOS\Allgemein\[LabSamples2025.xlsx]Bioplastic'!D332)," ",'Q:\Abteilungsprojekte\eng\EngData\AOS\Allgemein\[LabSamples2025.xlsx]Bioplastic'!D332)</f>
        <v/>
      </c>
      <c r="E332">
        <f>IF(ISBLANK('Q:\Abteilungsprojekte\eng\EngData\AOS\Allgemein\[LabSamples2025.xlsx]Bioplastic'!E332)," ",'Q:\Abteilungsprojekte\eng\EngData\AOS\Allgemein\[LabSamples2025.xlsx]Bioplastic'!E332)</f>
        <v/>
      </c>
      <c r="F332">
        <f>IF(ISBLANK('Q:\Abteilungsprojekte\eng\EngData\AOS\Allgemein\[LabSamples2025.xlsx]Bioplastic'!F332)," ",'Q:\Abteilungsprojekte\eng\EngData\AOS\Allgemein\[LabSamples2025.xlsx]Bioplastic'!F332)</f>
        <v/>
      </c>
      <c r="G332">
        <f>IF(ISBLANK('Q:\Abteilungsprojekte\eng\EngData\AOS\Allgemein\[LabSamples2025.xlsx]Bioplastic'!G332)," ",'Q:\Abteilungsprojekte\eng\EngData\AOS\Allgemein\[LabSamples2025.xlsx]Bioplastic'!G332)</f>
        <v/>
      </c>
      <c r="H332">
        <f>IF(ISBLANK('Q:\Abteilungsprojekte\eng\EngData\AOS\Allgemein\[LabSamples2025.xlsx]Bioplastic'!H332)," ",'Q:\Abteilungsprojekte\eng\EngData\AOS\Allgemein\[LabSamples2025.xlsx]Bioplastic'!H332)</f>
        <v/>
      </c>
    </row>
    <row r="333">
      <c r="A333">
        <f>IF(ISBLANK('Q:\Abteilungsprojekte\eng\EngData\AOS\Allgemein\[LabSamples2025.xlsx]Bioplastic'!A333)," ",'Q:\Abteilungsprojekte\eng\EngData\AOS\Allgemein\[LabSamples2025.xlsx]Bioplastic'!A333)</f>
        <v/>
      </c>
      <c r="B333">
        <f>IF(ISBLANK('Q:\Abteilungsprojekte\eng\EngData\AOS\Allgemein\[LabSamples2025.xlsx]Bioplastic'!B333)," ",'Q:\Abteilungsprojekte\eng\EngData\AOS\Allgemein\[LabSamples2025.xlsx]Bioplastic'!B333)</f>
        <v/>
      </c>
      <c r="C333">
        <f>IF(ISBLANK('Q:\Abteilungsprojekte\eng\EngData\AOS\Allgemein\[LabSamples2025.xlsx]Bioplastic'!C333)," ",'Q:\Abteilungsprojekte\eng\EngData\AOS\Allgemein\[LabSamples2025.xlsx]Bioplastic'!C333)</f>
        <v/>
      </c>
      <c r="D333">
        <f>IF(ISBLANK('Q:\Abteilungsprojekte\eng\EngData\AOS\Allgemein\[LabSamples2025.xlsx]Bioplastic'!D333)," ",'Q:\Abteilungsprojekte\eng\EngData\AOS\Allgemein\[LabSamples2025.xlsx]Bioplastic'!D333)</f>
        <v/>
      </c>
      <c r="E333">
        <f>IF(ISBLANK('Q:\Abteilungsprojekte\eng\EngData\AOS\Allgemein\[LabSamples2025.xlsx]Bioplastic'!E333)," ",'Q:\Abteilungsprojekte\eng\EngData\AOS\Allgemein\[LabSamples2025.xlsx]Bioplastic'!E333)</f>
        <v/>
      </c>
      <c r="F333">
        <f>IF(ISBLANK('Q:\Abteilungsprojekte\eng\EngData\AOS\Allgemein\[LabSamples2025.xlsx]Bioplastic'!F333)," ",'Q:\Abteilungsprojekte\eng\EngData\AOS\Allgemein\[LabSamples2025.xlsx]Bioplastic'!F333)</f>
        <v/>
      </c>
      <c r="G333">
        <f>IF(ISBLANK('Q:\Abteilungsprojekte\eng\EngData\AOS\Allgemein\[LabSamples2025.xlsx]Bioplastic'!G333)," ",'Q:\Abteilungsprojekte\eng\EngData\AOS\Allgemein\[LabSamples2025.xlsx]Bioplastic'!G333)</f>
        <v/>
      </c>
      <c r="H333">
        <f>IF(ISBLANK('Q:\Abteilungsprojekte\eng\EngData\AOS\Allgemein\[LabSamples2025.xlsx]Bioplastic'!H333)," ",'Q:\Abteilungsprojekte\eng\EngData\AOS\Allgemein\[LabSamples2025.xlsx]Bioplastic'!H333)</f>
        <v/>
      </c>
    </row>
    <row r="334">
      <c r="A334">
        <f>IF(ISBLANK('Q:\Abteilungsprojekte\eng\EngData\AOS\Allgemein\[LabSamples2025.xlsx]Bioplastic'!A334)," ",'Q:\Abteilungsprojekte\eng\EngData\AOS\Allgemein\[LabSamples2025.xlsx]Bioplastic'!A334)</f>
        <v/>
      </c>
      <c r="B334">
        <f>IF(ISBLANK('Q:\Abteilungsprojekte\eng\EngData\AOS\Allgemein\[LabSamples2025.xlsx]Bioplastic'!B334)," ",'Q:\Abteilungsprojekte\eng\EngData\AOS\Allgemein\[LabSamples2025.xlsx]Bioplastic'!B334)</f>
        <v/>
      </c>
      <c r="C334">
        <f>IF(ISBLANK('Q:\Abteilungsprojekte\eng\EngData\AOS\Allgemein\[LabSamples2025.xlsx]Bioplastic'!C334)," ",'Q:\Abteilungsprojekte\eng\EngData\AOS\Allgemein\[LabSamples2025.xlsx]Bioplastic'!C334)</f>
        <v/>
      </c>
      <c r="D334">
        <f>IF(ISBLANK('Q:\Abteilungsprojekte\eng\EngData\AOS\Allgemein\[LabSamples2025.xlsx]Bioplastic'!D334)," ",'Q:\Abteilungsprojekte\eng\EngData\AOS\Allgemein\[LabSamples2025.xlsx]Bioplastic'!D334)</f>
        <v/>
      </c>
      <c r="E334">
        <f>IF(ISBLANK('Q:\Abteilungsprojekte\eng\EngData\AOS\Allgemein\[LabSamples2025.xlsx]Bioplastic'!E334)," ",'Q:\Abteilungsprojekte\eng\EngData\AOS\Allgemein\[LabSamples2025.xlsx]Bioplastic'!E334)</f>
        <v/>
      </c>
      <c r="F334">
        <f>IF(ISBLANK('Q:\Abteilungsprojekte\eng\EngData\AOS\Allgemein\[LabSamples2025.xlsx]Bioplastic'!F334)," ",'Q:\Abteilungsprojekte\eng\EngData\AOS\Allgemein\[LabSamples2025.xlsx]Bioplastic'!F334)</f>
        <v/>
      </c>
      <c r="G334">
        <f>IF(ISBLANK('Q:\Abteilungsprojekte\eng\EngData\AOS\Allgemein\[LabSamples2025.xlsx]Bioplastic'!G334)," ",'Q:\Abteilungsprojekte\eng\EngData\AOS\Allgemein\[LabSamples2025.xlsx]Bioplastic'!G334)</f>
        <v/>
      </c>
      <c r="H334">
        <f>IF(ISBLANK('Q:\Abteilungsprojekte\eng\EngData\AOS\Allgemein\[LabSamples2025.xlsx]Bioplastic'!H334)," ",'Q:\Abteilungsprojekte\eng\EngData\AOS\Allgemein\[LabSamples2025.xlsx]Bioplastic'!H334)</f>
        <v/>
      </c>
    </row>
    <row r="335">
      <c r="A335">
        <f>IF(ISBLANK('Q:\Abteilungsprojekte\eng\EngData\AOS\Allgemein\[LabSamples2025.xlsx]Bioplastic'!A335)," ",'Q:\Abteilungsprojekte\eng\EngData\AOS\Allgemein\[LabSamples2025.xlsx]Bioplastic'!A335)</f>
        <v/>
      </c>
      <c r="B335">
        <f>IF(ISBLANK('Q:\Abteilungsprojekte\eng\EngData\AOS\Allgemein\[LabSamples2025.xlsx]Bioplastic'!B335)," ",'Q:\Abteilungsprojekte\eng\EngData\AOS\Allgemein\[LabSamples2025.xlsx]Bioplastic'!B335)</f>
        <v/>
      </c>
      <c r="C335">
        <f>IF(ISBLANK('Q:\Abteilungsprojekte\eng\EngData\AOS\Allgemein\[LabSamples2025.xlsx]Bioplastic'!C335)," ",'Q:\Abteilungsprojekte\eng\EngData\AOS\Allgemein\[LabSamples2025.xlsx]Bioplastic'!C335)</f>
        <v/>
      </c>
      <c r="D335">
        <f>IF(ISBLANK('Q:\Abteilungsprojekte\eng\EngData\AOS\Allgemein\[LabSamples2025.xlsx]Bioplastic'!D335)," ",'Q:\Abteilungsprojekte\eng\EngData\AOS\Allgemein\[LabSamples2025.xlsx]Bioplastic'!D335)</f>
        <v/>
      </c>
      <c r="E335">
        <f>IF(ISBLANK('Q:\Abteilungsprojekte\eng\EngData\AOS\Allgemein\[LabSamples2025.xlsx]Bioplastic'!E335)," ",'Q:\Abteilungsprojekte\eng\EngData\AOS\Allgemein\[LabSamples2025.xlsx]Bioplastic'!E335)</f>
        <v/>
      </c>
      <c r="F335">
        <f>IF(ISBLANK('Q:\Abteilungsprojekte\eng\EngData\AOS\Allgemein\[LabSamples2025.xlsx]Bioplastic'!F335)," ",'Q:\Abteilungsprojekte\eng\EngData\AOS\Allgemein\[LabSamples2025.xlsx]Bioplastic'!F335)</f>
        <v/>
      </c>
      <c r="G335">
        <f>IF(ISBLANK('Q:\Abteilungsprojekte\eng\EngData\AOS\Allgemein\[LabSamples2025.xlsx]Bioplastic'!G335)," ",'Q:\Abteilungsprojekte\eng\EngData\AOS\Allgemein\[LabSamples2025.xlsx]Bioplastic'!G335)</f>
        <v/>
      </c>
      <c r="H335">
        <f>IF(ISBLANK('Q:\Abteilungsprojekte\eng\EngData\AOS\Allgemein\[LabSamples2025.xlsx]Bioplastic'!H335)," ",'Q:\Abteilungsprojekte\eng\EngData\AOS\Allgemein\[LabSamples2025.xlsx]Bioplastic'!H335)</f>
        <v/>
      </c>
    </row>
    <row r="336">
      <c r="A336">
        <f>IF(ISBLANK('Q:\Abteilungsprojekte\eng\EngData\AOS\Allgemein\[LabSamples2025.xlsx]Bioplastic'!A336)," ",'Q:\Abteilungsprojekte\eng\EngData\AOS\Allgemein\[LabSamples2025.xlsx]Bioplastic'!A336)</f>
        <v/>
      </c>
      <c r="B336">
        <f>IF(ISBLANK('Q:\Abteilungsprojekte\eng\EngData\AOS\Allgemein\[LabSamples2025.xlsx]Bioplastic'!B336)," ",'Q:\Abteilungsprojekte\eng\EngData\AOS\Allgemein\[LabSamples2025.xlsx]Bioplastic'!B336)</f>
        <v/>
      </c>
      <c r="C336">
        <f>IF(ISBLANK('Q:\Abteilungsprojekte\eng\EngData\AOS\Allgemein\[LabSamples2025.xlsx]Bioplastic'!C336)," ",'Q:\Abteilungsprojekte\eng\EngData\AOS\Allgemein\[LabSamples2025.xlsx]Bioplastic'!C336)</f>
        <v/>
      </c>
      <c r="D336">
        <f>IF(ISBLANK('Q:\Abteilungsprojekte\eng\EngData\AOS\Allgemein\[LabSamples2025.xlsx]Bioplastic'!D336)," ",'Q:\Abteilungsprojekte\eng\EngData\AOS\Allgemein\[LabSamples2025.xlsx]Bioplastic'!D336)</f>
        <v/>
      </c>
      <c r="E336">
        <f>IF(ISBLANK('Q:\Abteilungsprojekte\eng\EngData\AOS\Allgemein\[LabSamples2025.xlsx]Bioplastic'!E336)," ",'Q:\Abteilungsprojekte\eng\EngData\AOS\Allgemein\[LabSamples2025.xlsx]Bioplastic'!E336)</f>
        <v/>
      </c>
      <c r="F336">
        <f>IF(ISBLANK('Q:\Abteilungsprojekte\eng\EngData\AOS\Allgemein\[LabSamples2025.xlsx]Bioplastic'!F336)," ",'Q:\Abteilungsprojekte\eng\EngData\AOS\Allgemein\[LabSamples2025.xlsx]Bioplastic'!F336)</f>
        <v/>
      </c>
      <c r="G336">
        <f>IF(ISBLANK('Q:\Abteilungsprojekte\eng\EngData\AOS\Allgemein\[LabSamples2025.xlsx]Bioplastic'!G336)," ",'Q:\Abteilungsprojekte\eng\EngData\AOS\Allgemein\[LabSamples2025.xlsx]Bioplastic'!G336)</f>
        <v/>
      </c>
      <c r="H336">
        <f>IF(ISBLANK('Q:\Abteilungsprojekte\eng\EngData\AOS\Allgemein\[LabSamples2025.xlsx]Bioplastic'!H336)," ",'Q:\Abteilungsprojekte\eng\EngData\AOS\Allgemein\[LabSamples2025.xlsx]Bioplastic'!H336)</f>
        <v/>
      </c>
    </row>
    <row r="337">
      <c r="A337">
        <f>IF(ISBLANK('Q:\Abteilungsprojekte\eng\EngData\AOS\Allgemein\[LabSamples2025.xlsx]Bioplastic'!A337)," ",'Q:\Abteilungsprojekte\eng\EngData\AOS\Allgemein\[LabSamples2025.xlsx]Bioplastic'!A337)</f>
        <v/>
      </c>
      <c r="B337">
        <f>IF(ISBLANK('Q:\Abteilungsprojekte\eng\EngData\AOS\Allgemein\[LabSamples2025.xlsx]Bioplastic'!B337)," ",'Q:\Abteilungsprojekte\eng\EngData\AOS\Allgemein\[LabSamples2025.xlsx]Bioplastic'!B337)</f>
        <v/>
      </c>
      <c r="C337">
        <f>IF(ISBLANK('Q:\Abteilungsprojekte\eng\EngData\AOS\Allgemein\[LabSamples2025.xlsx]Bioplastic'!C337)," ",'Q:\Abteilungsprojekte\eng\EngData\AOS\Allgemein\[LabSamples2025.xlsx]Bioplastic'!C337)</f>
        <v/>
      </c>
      <c r="D337">
        <f>IF(ISBLANK('Q:\Abteilungsprojekte\eng\EngData\AOS\Allgemein\[LabSamples2025.xlsx]Bioplastic'!D337)," ",'Q:\Abteilungsprojekte\eng\EngData\AOS\Allgemein\[LabSamples2025.xlsx]Bioplastic'!D337)</f>
        <v/>
      </c>
      <c r="E337">
        <f>IF(ISBLANK('Q:\Abteilungsprojekte\eng\EngData\AOS\Allgemein\[LabSamples2025.xlsx]Bioplastic'!E337)," ",'Q:\Abteilungsprojekte\eng\EngData\AOS\Allgemein\[LabSamples2025.xlsx]Bioplastic'!E337)</f>
        <v/>
      </c>
      <c r="F337">
        <f>IF(ISBLANK('Q:\Abteilungsprojekte\eng\EngData\AOS\Allgemein\[LabSamples2025.xlsx]Bioplastic'!F337)," ",'Q:\Abteilungsprojekte\eng\EngData\AOS\Allgemein\[LabSamples2025.xlsx]Bioplastic'!F337)</f>
        <v/>
      </c>
      <c r="G337">
        <f>IF(ISBLANK('Q:\Abteilungsprojekte\eng\EngData\AOS\Allgemein\[LabSamples2025.xlsx]Bioplastic'!G337)," ",'Q:\Abteilungsprojekte\eng\EngData\AOS\Allgemein\[LabSamples2025.xlsx]Bioplastic'!G337)</f>
        <v/>
      </c>
      <c r="H337">
        <f>IF(ISBLANK('Q:\Abteilungsprojekte\eng\EngData\AOS\Allgemein\[LabSamples2025.xlsx]Bioplastic'!H337)," ",'Q:\Abteilungsprojekte\eng\EngData\AOS\Allgemein\[LabSamples2025.xlsx]Bioplastic'!H337)</f>
        <v/>
      </c>
    </row>
    <row r="338">
      <c r="A338">
        <f>IF(ISBLANK('Q:\Abteilungsprojekte\eng\EngData\AOS\Allgemein\[LabSamples2025.xlsx]Bioplastic'!A338)," ",'Q:\Abteilungsprojekte\eng\EngData\AOS\Allgemein\[LabSamples2025.xlsx]Bioplastic'!A338)</f>
        <v/>
      </c>
      <c r="B338">
        <f>IF(ISBLANK('Q:\Abteilungsprojekte\eng\EngData\AOS\Allgemein\[LabSamples2025.xlsx]Bioplastic'!B338)," ",'Q:\Abteilungsprojekte\eng\EngData\AOS\Allgemein\[LabSamples2025.xlsx]Bioplastic'!B338)</f>
        <v/>
      </c>
      <c r="C338">
        <f>IF(ISBLANK('Q:\Abteilungsprojekte\eng\EngData\AOS\Allgemein\[LabSamples2025.xlsx]Bioplastic'!C338)," ",'Q:\Abteilungsprojekte\eng\EngData\AOS\Allgemein\[LabSamples2025.xlsx]Bioplastic'!C338)</f>
        <v/>
      </c>
      <c r="D338">
        <f>IF(ISBLANK('Q:\Abteilungsprojekte\eng\EngData\AOS\Allgemein\[LabSamples2025.xlsx]Bioplastic'!D338)," ",'Q:\Abteilungsprojekte\eng\EngData\AOS\Allgemein\[LabSamples2025.xlsx]Bioplastic'!D338)</f>
        <v/>
      </c>
      <c r="E338">
        <f>IF(ISBLANK('Q:\Abteilungsprojekte\eng\EngData\AOS\Allgemein\[LabSamples2025.xlsx]Bioplastic'!E338)," ",'Q:\Abteilungsprojekte\eng\EngData\AOS\Allgemein\[LabSamples2025.xlsx]Bioplastic'!E338)</f>
        <v/>
      </c>
      <c r="F338">
        <f>IF(ISBLANK('Q:\Abteilungsprojekte\eng\EngData\AOS\Allgemein\[LabSamples2025.xlsx]Bioplastic'!F338)," ",'Q:\Abteilungsprojekte\eng\EngData\AOS\Allgemein\[LabSamples2025.xlsx]Bioplastic'!F338)</f>
        <v/>
      </c>
      <c r="G338">
        <f>IF(ISBLANK('Q:\Abteilungsprojekte\eng\EngData\AOS\Allgemein\[LabSamples2025.xlsx]Bioplastic'!G338)," ",'Q:\Abteilungsprojekte\eng\EngData\AOS\Allgemein\[LabSamples2025.xlsx]Bioplastic'!G338)</f>
        <v/>
      </c>
      <c r="H338">
        <f>IF(ISBLANK('Q:\Abteilungsprojekte\eng\EngData\AOS\Allgemein\[LabSamples2025.xlsx]Bioplastic'!H338)," ",'Q:\Abteilungsprojekte\eng\EngData\AOS\Allgemein\[LabSamples2025.xlsx]Bioplastic'!H338)</f>
        <v/>
      </c>
    </row>
    <row r="339">
      <c r="A339">
        <f>IF(ISBLANK('Q:\Abteilungsprojekte\eng\EngData\AOS\Allgemein\[LabSamples2025.xlsx]Bioplastic'!A339)," ",'Q:\Abteilungsprojekte\eng\EngData\AOS\Allgemein\[LabSamples2025.xlsx]Bioplastic'!A339)</f>
        <v/>
      </c>
      <c r="B339">
        <f>IF(ISBLANK('Q:\Abteilungsprojekte\eng\EngData\AOS\Allgemein\[LabSamples2025.xlsx]Bioplastic'!B339)," ",'Q:\Abteilungsprojekte\eng\EngData\AOS\Allgemein\[LabSamples2025.xlsx]Bioplastic'!B339)</f>
        <v/>
      </c>
      <c r="C339">
        <f>IF(ISBLANK('Q:\Abteilungsprojekte\eng\EngData\AOS\Allgemein\[LabSamples2025.xlsx]Bioplastic'!C339)," ",'Q:\Abteilungsprojekte\eng\EngData\AOS\Allgemein\[LabSamples2025.xlsx]Bioplastic'!C339)</f>
        <v/>
      </c>
      <c r="D339">
        <f>IF(ISBLANK('Q:\Abteilungsprojekte\eng\EngData\AOS\Allgemein\[LabSamples2025.xlsx]Bioplastic'!D339)," ",'Q:\Abteilungsprojekte\eng\EngData\AOS\Allgemein\[LabSamples2025.xlsx]Bioplastic'!D339)</f>
        <v/>
      </c>
      <c r="E339">
        <f>IF(ISBLANK('Q:\Abteilungsprojekte\eng\EngData\AOS\Allgemein\[LabSamples2025.xlsx]Bioplastic'!E339)," ",'Q:\Abteilungsprojekte\eng\EngData\AOS\Allgemein\[LabSamples2025.xlsx]Bioplastic'!E339)</f>
        <v/>
      </c>
      <c r="F339">
        <f>IF(ISBLANK('Q:\Abteilungsprojekte\eng\EngData\AOS\Allgemein\[LabSamples2025.xlsx]Bioplastic'!F339)," ",'Q:\Abteilungsprojekte\eng\EngData\AOS\Allgemein\[LabSamples2025.xlsx]Bioplastic'!F339)</f>
        <v/>
      </c>
      <c r="G339">
        <f>IF(ISBLANK('Q:\Abteilungsprojekte\eng\EngData\AOS\Allgemein\[LabSamples2025.xlsx]Bioplastic'!G339)," ",'Q:\Abteilungsprojekte\eng\EngData\AOS\Allgemein\[LabSamples2025.xlsx]Bioplastic'!G339)</f>
        <v/>
      </c>
      <c r="H339">
        <f>IF(ISBLANK('Q:\Abteilungsprojekte\eng\EngData\AOS\Allgemein\[LabSamples2025.xlsx]Bioplastic'!H339)," ",'Q:\Abteilungsprojekte\eng\EngData\AOS\Allgemein\[LabSamples2025.xlsx]Bioplastic'!H339)</f>
        <v/>
      </c>
    </row>
    <row r="340">
      <c r="A340">
        <f>IF(ISBLANK('Q:\Abteilungsprojekte\eng\EngData\AOS\Allgemein\[LabSamples2025.xlsx]Bioplastic'!A340)," ",'Q:\Abteilungsprojekte\eng\EngData\AOS\Allgemein\[LabSamples2025.xlsx]Bioplastic'!A340)</f>
        <v/>
      </c>
      <c r="B340">
        <f>IF(ISBLANK('Q:\Abteilungsprojekte\eng\EngData\AOS\Allgemein\[LabSamples2025.xlsx]Bioplastic'!B340)," ",'Q:\Abteilungsprojekte\eng\EngData\AOS\Allgemein\[LabSamples2025.xlsx]Bioplastic'!B340)</f>
        <v/>
      </c>
      <c r="C340">
        <f>IF(ISBLANK('Q:\Abteilungsprojekte\eng\EngData\AOS\Allgemein\[LabSamples2025.xlsx]Bioplastic'!C340)," ",'Q:\Abteilungsprojekte\eng\EngData\AOS\Allgemein\[LabSamples2025.xlsx]Bioplastic'!C340)</f>
        <v/>
      </c>
      <c r="D340">
        <f>IF(ISBLANK('Q:\Abteilungsprojekte\eng\EngData\AOS\Allgemein\[LabSamples2025.xlsx]Bioplastic'!D340)," ",'Q:\Abteilungsprojekte\eng\EngData\AOS\Allgemein\[LabSamples2025.xlsx]Bioplastic'!D340)</f>
        <v/>
      </c>
      <c r="E340">
        <f>IF(ISBLANK('Q:\Abteilungsprojekte\eng\EngData\AOS\Allgemein\[LabSamples2025.xlsx]Bioplastic'!E340)," ",'Q:\Abteilungsprojekte\eng\EngData\AOS\Allgemein\[LabSamples2025.xlsx]Bioplastic'!E340)</f>
        <v/>
      </c>
      <c r="F340">
        <f>IF(ISBLANK('Q:\Abteilungsprojekte\eng\EngData\AOS\Allgemein\[LabSamples2025.xlsx]Bioplastic'!F340)," ",'Q:\Abteilungsprojekte\eng\EngData\AOS\Allgemein\[LabSamples2025.xlsx]Bioplastic'!F340)</f>
        <v/>
      </c>
      <c r="G340">
        <f>IF(ISBLANK('Q:\Abteilungsprojekte\eng\EngData\AOS\Allgemein\[LabSamples2025.xlsx]Bioplastic'!G340)," ",'Q:\Abteilungsprojekte\eng\EngData\AOS\Allgemein\[LabSamples2025.xlsx]Bioplastic'!G340)</f>
        <v/>
      </c>
      <c r="H340">
        <f>IF(ISBLANK('Q:\Abteilungsprojekte\eng\EngData\AOS\Allgemein\[LabSamples2025.xlsx]Bioplastic'!H340)," ",'Q:\Abteilungsprojekte\eng\EngData\AOS\Allgemein\[LabSamples2025.xlsx]Bioplastic'!H340)</f>
        <v/>
      </c>
    </row>
    <row r="341">
      <c r="A341">
        <f>IF(ISBLANK('Q:\Abteilungsprojekte\eng\EngData\AOS\Allgemein\[LabSamples2025.xlsx]Bioplastic'!A341)," ",'Q:\Abteilungsprojekte\eng\EngData\AOS\Allgemein\[LabSamples2025.xlsx]Bioplastic'!A341)</f>
        <v/>
      </c>
      <c r="B341">
        <f>IF(ISBLANK('Q:\Abteilungsprojekte\eng\EngData\AOS\Allgemein\[LabSamples2025.xlsx]Bioplastic'!B341)," ",'Q:\Abteilungsprojekte\eng\EngData\AOS\Allgemein\[LabSamples2025.xlsx]Bioplastic'!B341)</f>
        <v/>
      </c>
      <c r="C341">
        <f>IF(ISBLANK('Q:\Abteilungsprojekte\eng\EngData\AOS\Allgemein\[LabSamples2025.xlsx]Bioplastic'!C341)," ",'Q:\Abteilungsprojekte\eng\EngData\AOS\Allgemein\[LabSamples2025.xlsx]Bioplastic'!C341)</f>
        <v/>
      </c>
      <c r="D341">
        <f>IF(ISBLANK('Q:\Abteilungsprojekte\eng\EngData\AOS\Allgemein\[LabSamples2025.xlsx]Bioplastic'!D341)," ",'Q:\Abteilungsprojekte\eng\EngData\AOS\Allgemein\[LabSamples2025.xlsx]Bioplastic'!D341)</f>
        <v/>
      </c>
      <c r="E341">
        <f>IF(ISBLANK('Q:\Abteilungsprojekte\eng\EngData\AOS\Allgemein\[LabSamples2025.xlsx]Bioplastic'!E341)," ",'Q:\Abteilungsprojekte\eng\EngData\AOS\Allgemein\[LabSamples2025.xlsx]Bioplastic'!E341)</f>
        <v/>
      </c>
      <c r="F341">
        <f>IF(ISBLANK('Q:\Abteilungsprojekte\eng\EngData\AOS\Allgemein\[LabSamples2025.xlsx]Bioplastic'!F341)," ",'Q:\Abteilungsprojekte\eng\EngData\AOS\Allgemein\[LabSamples2025.xlsx]Bioplastic'!F341)</f>
        <v/>
      </c>
      <c r="G341">
        <f>IF(ISBLANK('Q:\Abteilungsprojekte\eng\EngData\AOS\Allgemein\[LabSamples2025.xlsx]Bioplastic'!G341)," ",'Q:\Abteilungsprojekte\eng\EngData\AOS\Allgemein\[LabSamples2025.xlsx]Bioplastic'!G341)</f>
        <v/>
      </c>
      <c r="H341">
        <f>IF(ISBLANK('Q:\Abteilungsprojekte\eng\EngData\AOS\Allgemein\[LabSamples2025.xlsx]Bioplastic'!H341)," ",'Q:\Abteilungsprojekte\eng\EngData\AOS\Allgemein\[LabSamples2025.xlsx]Bioplastic'!H341)</f>
        <v/>
      </c>
    </row>
    <row r="342">
      <c r="A342">
        <f>IF(ISBLANK('Q:\Abteilungsprojekte\eng\EngData\AOS\Allgemein\[LabSamples2025.xlsx]Bioplastic'!A342)," ",'Q:\Abteilungsprojekte\eng\EngData\AOS\Allgemein\[LabSamples2025.xlsx]Bioplastic'!A342)</f>
        <v/>
      </c>
      <c r="B342">
        <f>IF(ISBLANK('Q:\Abteilungsprojekte\eng\EngData\AOS\Allgemein\[LabSamples2025.xlsx]Bioplastic'!B342)," ",'Q:\Abteilungsprojekte\eng\EngData\AOS\Allgemein\[LabSamples2025.xlsx]Bioplastic'!B342)</f>
        <v/>
      </c>
      <c r="C342">
        <f>IF(ISBLANK('Q:\Abteilungsprojekte\eng\EngData\AOS\Allgemein\[LabSamples2025.xlsx]Bioplastic'!C342)," ",'Q:\Abteilungsprojekte\eng\EngData\AOS\Allgemein\[LabSamples2025.xlsx]Bioplastic'!C342)</f>
        <v/>
      </c>
      <c r="D342">
        <f>IF(ISBLANK('Q:\Abteilungsprojekte\eng\EngData\AOS\Allgemein\[LabSamples2025.xlsx]Bioplastic'!D342)," ",'Q:\Abteilungsprojekte\eng\EngData\AOS\Allgemein\[LabSamples2025.xlsx]Bioplastic'!D342)</f>
        <v/>
      </c>
      <c r="E342">
        <f>IF(ISBLANK('Q:\Abteilungsprojekte\eng\EngData\AOS\Allgemein\[LabSamples2025.xlsx]Bioplastic'!E342)," ",'Q:\Abteilungsprojekte\eng\EngData\AOS\Allgemein\[LabSamples2025.xlsx]Bioplastic'!E342)</f>
        <v/>
      </c>
      <c r="F342">
        <f>IF(ISBLANK('Q:\Abteilungsprojekte\eng\EngData\AOS\Allgemein\[LabSamples2025.xlsx]Bioplastic'!F342)," ",'Q:\Abteilungsprojekte\eng\EngData\AOS\Allgemein\[LabSamples2025.xlsx]Bioplastic'!F342)</f>
        <v/>
      </c>
      <c r="G342">
        <f>IF(ISBLANK('Q:\Abteilungsprojekte\eng\EngData\AOS\Allgemein\[LabSamples2025.xlsx]Bioplastic'!G342)," ",'Q:\Abteilungsprojekte\eng\EngData\AOS\Allgemein\[LabSamples2025.xlsx]Bioplastic'!G342)</f>
        <v/>
      </c>
      <c r="H342">
        <f>IF(ISBLANK('Q:\Abteilungsprojekte\eng\EngData\AOS\Allgemein\[LabSamples2025.xlsx]Bioplastic'!H342)," ",'Q:\Abteilungsprojekte\eng\EngData\AOS\Allgemein\[LabSamples2025.xlsx]Bioplastic'!H342)</f>
        <v/>
      </c>
    </row>
    <row r="343">
      <c r="A343">
        <f>IF(ISBLANK('Q:\Abteilungsprojekte\eng\EngData\AOS\Allgemein\[LabSamples2025.xlsx]Bioplastic'!A343)," ",'Q:\Abteilungsprojekte\eng\EngData\AOS\Allgemein\[LabSamples2025.xlsx]Bioplastic'!A343)</f>
        <v/>
      </c>
      <c r="B343">
        <f>IF(ISBLANK('Q:\Abteilungsprojekte\eng\EngData\AOS\Allgemein\[LabSamples2025.xlsx]Bioplastic'!B343)," ",'Q:\Abteilungsprojekte\eng\EngData\AOS\Allgemein\[LabSamples2025.xlsx]Bioplastic'!B343)</f>
        <v/>
      </c>
      <c r="C343">
        <f>IF(ISBLANK('Q:\Abteilungsprojekte\eng\EngData\AOS\Allgemein\[LabSamples2025.xlsx]Bioplastic'!C343)," ",'Q:\Abteilungsprojekte\eng\EngData\AOS\Allgemein\[LabSamples2025.xlsx]Bioplastic'!C343)</f>
        <v/>
      </c>
      <c r="D343">
        <f>IF(ISBLANK('Q:\Abteilungsprojekte\eng\EngData\AOS\Allgemein\[LabSamples2025.xlsx]Bioplastic'!D343)," ",'Q:\Abteilungsprojekte\eng\EngData\AOS\Allgemein\[LabSamples2025.xlsx]Bioplastic'!D343)</f>
        <v/>
      </c>
      <c r="E343">
        <f>IF(ISBLANK('Q:\Abteilungsprojekte\eng\EngData\AOS\Allgemein\[LabSamples2025.xlsx]Bioplastic'!E343)," ",'Q:\Abteilungsprojekte\eng\EngData\AOS\Allgemein\[LabSamples2025.xlsx]Bioplastic'!E343)</f>
        <v/>
      </c>
      <c r="F343">
        <f>IF(ISBLANK('Q:\Abteilungsprojekte\eng\EngData\AOS\Allgemein\[LabSamples2025.xlsx]Bioplastic'!F343)," ",'Q:\Abteilungsprojekte\eng\EngData\AOS\Allgemein\[LabSamples2025.xlsx]Bioplastic'!F343)</f>
        <v/>
      </c>
      <c r="G343">
        <f>IF(ISBLANK('Q:\Abteilungsprojekte\eng\EngData\AOS\Allgemein\[LabSamples2025.xlsx]Bioplastic'!G343)," ",'Q:\Abteilungsprojekte\eng\EngData\AOS\Allgemein\[LabSamples2025.xlsx]Bioplastic'!G343)</f>
        <v/>
      </c>
      <c r="H343">
        <f>IF(ISBLANK('Q:\Abteilungsprojekte\eng\EngData\AOS\Allgemein\[LabSamples2025.xlsx]Bioplastic'!H343)," ",'Q:\Abteilungsprojekte\eng\EngData\AOS\Allgemein\[LabSamples2025.xlsx]Bioplastic'!H343)</f>
        <v/>
      </c>
    </row>
    <row r="344">
      <c r="A344">
        <f>IF(ISBLANK('Q:\Abteilungsprojekte\eng\EngData\AOS\Allgemein\[LabSamples2025.xlsx]Bioplastic'!A344)," ",'Q:\Abteilungsprojekte\eng\EngData\AOS\Allgemein\[LabSamples2025.xlsx]Bioplastic'!A344)</f>
        <v/>
      </c>
      <c r="B344">
        <f>IF(ISBLANK('Q:\Abteilungsprojekte\eng\EngData\AOS\Allgemein\[LabSamples2025.xlsx]Bioplastic'!B344)," ",'Q:\Abteilungsprojekte\eng\EngData\AOS\Allgemein\[LabSamples2025.xlsx]Bioplastic'!B344)</f>
        <v/>
      </c>
      <c r="C344">
        <f>IF(ISBLANK('Q:\Abteilungsprojekte\eng\EngData\AOS\Allgemein\[LabSamples2025.xlsx]Bioplastic'!C344)," ",'Q:\Abteilungsprojekte\eng\EngData\AOS\Allgemein\[LabSamples2025.xlsx]Bioplastic'!C344)</f>
        <v/>
      </c>
      <c r="D344">
        <f>IF(ISBLANK('Q:\Abteilungsprojekte\eng\EngData\AOS\Allgemein\[LabSamples2025.xlsx]Bioplastic'!D344)," ",'Q:\Abteilungsprojekte\eng\EngData\AOS\Allgemein\[LabSamples2025.xlsx]Bioplastic'!D344)</f>
        <v/>
      </c>
      <c r="E344">
        <f>IF(ISBLANK('Q:\Abteilungsprojekte\eng\EngData\AOS\Allgemein\[LabSamples2025.xlsx]Bioplastic'!E344)," ",'Q:\Abteilungsprojekte\eng\EngData\AOS\Allgemein\[LabSamples2025.xlsx]Bioplastic'!E344)</f>
        <v/>
      </c>
      <c r="F344">
        <f>IF(ISBLANK('Q:\Abteilungsprojekte\eng\EngData\AOS\Allgemein\[LabSamples2025.xlsx]Bioplastic'!F344)," ",'Q:\Abteilungsprojekte\eng\EngData\AOS\Allgemein\[LabSamples2025.xlsx]Bioplastic'!F344)</f>
        <v/>
      </c>
      <c r="G344">
        <f>IF(ISBLANK('Q:\Abteilungsprojekte\eng\EngData\AOS\Allgemein\[LabSamples2025.xlsx]Bioplastic'!G344)," ",'Q:\Abteilungsprojekte\eng\EngData\AOS\Allgemein\[LabSamples2025.xlsx]Bioplastic'!G344)</f>
        <v/>
      </c>
      <c r="H344">
        <f>IF(ISBLANK('Q:\Abteilungsprojekte\eng\EngData\AOS\Allgemein\[LabSamples2025.xlsx]Bioplastic'!H344)," ",'Q:\Abteilungsprojekte\eng\EngData\AOS\Allgemein\[LabSamples2025.xlsx]Bioplastic'!H344)</f>
        <v/>
      </c>
    </row>
    <row r="345">
      <c r="A345">
        <f>IF(ISBLANK('Q:\Abteilungsprojekte\eng\EngData\AOS\Allgemein\[LabSamples2025.xlsx]Bioplastic'!A345)," ",'Q:\Abteilungsprojekte\eng\EngData\AOS\Allgemein\[LabSamples2025.xlsx]Bioplastic'!A345)</f>
        <v/>
      </c>
      <c r="B345">
        <f>IF(ISBLANK('Q:\Abteilungsprojekte\eng\EngData\AOS\Allgemein\[LabSamples2025.xlsx]Bioplastic'!B345)," ",'Q:\Abteilungsprojekte\eng\EngData\AOS\Allgemein\[LabSamples2025.xlsx]Bioplastic'!B345)</f>
        <v/>
      </c>
      <c r="C345">
        <f>IF(ISBLANK('Q:\Abteilungsprojekte\eng\EngData\AOS\Allgemein\[LabSamples2025.xlsx]Bioplastic'!C345)," ",'Q:\Abteilungsprojekte\eng\EngData\AOS\Allgemein\[LabSamples2025.xlsx]Bioplastic'!C345)</f>
        <v/>
      </c>
      <c r="D345">
        <f>IF(ISBLANK('Q:\Abteilungsprojekte\eng\EngData\AOS\Allgemein\[LabSamples2025.xlsx]Bioplastic'!D345)," ",'Q:\Abteilungsprojekte\eng\EngData\AOS\Allgemein\[LabSamples2025.xlsx]Bioplastic'!D345)</f>
        <v/>
      </c>
      <c r="E345">
        <f>IF(ISBLANK('Q:\Abteilungsprojekte\eng\EngData\AOS\Allgemein\[LabSamples2025.xlsx]Bioplastic'!E345)," ",'Q:\Abteilungsprojekte\eng\EngData\AOS\Allgemein\[LabSamples2025.xlsx]Bioplastic'!E345)</f>
        <v/>
      </c>
      <c r="F345">
        <f>IF(ISBLANK('Q:\Abteilungsprojekte\eng\EngData\AOS\Allgemein\[LabSamples2025.xlsx]Bioplastic'!F345)," ",'Q:\Abteilungsprojekte\eng\EngData\AOS\Allgemein\[LabSamples2025.xlsx]Bioplastic'!F345)</f>
        <v/>
      </c>
      <c r="G345">
        <f>IF(ISBLANK('Q:\Abteilungsprojekte\eng\EngData\AOS\Allgemein\[LabSamples2025.xlsx]Bioplastic'!G345)," ",'Q:\Abteilungsprojekte\eng\EngData\AOS\Allgemein\[LabSamples2025.xlsx]Bioplastic'!G345)</f>
        <v/>
      </c>
      <c r="H345">
        <f>IF(ISBLANK('Q:\Abteilungsprojekte\eng\EngData\AOS\Allgemein\[LabSamples2025.xlsx]Bioplastic'!H345)," ",'Q:\Abteilungsprojekte\eng\EngData\AOS\Allgemein\[LabSamples2025.xlsx]Bioplastic'!H345)</f>
        <v/>
      </c>
    </row>
    <row r="346">
      <c r="A346">
        <f>IF(ISBLANK('Q:\Abteilungsprojekte\eng\EngData\AOS\Allgemein\[LabSamples2025.xlsx]Bioplastic'!A346)," ",'Q:\Abteilungsprojekte\eng\EngData\AOS\Allgemein\[LabSamples2025.xlsx]Bioplastic'!A346)</f>
        <v/>
      </c>
      <c r="B346">
        <f>IF(ISBLANK('Q:\Abteilungsprojekte\eng\EngData\AOS\Allgemein\[LabSamples2025.xlsx]Bioplastic'!B346)," ",'Q:\Abteilungsprojekte\eng\EngData\AOS\Allgemein\[LabSamples2025.xlsx]Bioplastic'!B346)</f>
        <v/>
      </c>
      <c r="C346">
        <f>IF(ISBLANK('Q:\Abteilungsprojekte\eng\EngData\AOS\Allgemein\[LabSamples2025.xlsx]Bioplastic'!C346)," ",'Q:\Abteilungsprojekte\eng\EngData\AOS\Allgemein\[LabSamples2025.xlsx]Bioplastic'!C346)</f>
        <v/>
      </c>
      <c r="D346">
        <f>IF(ISBLANK('Q:\Abteilungsprojekte\eng\EngData\AOS\Allgemein\[LabSamples2025.xlsx]Bioplastic'!D346)," ",'Q:\Abteilungsprojekte\eng\EngData\AOS\Allgemein\[LabSamples2025.xlsx]Bioplastic'!D346)</f>
        <v/>
      </c>
      <c r="E346">
        <f>IF(ISBLANK('Q:\Abteilungsprojekte\eng\EngData\AOS\Allgemein\[LabSamples2025.xlsx]Bioplastic'!E346)," ",'Q:\Abteilungsprojekte\eng\EngData\AOS\Allgemein\[LabSamples2025.xlsx]Bioplastic'!E346)</f>
        <v/>
      </c>
      <c r="F346">
        <f>IF(ISBLANK('Q:\Abteilungsprojekte\eng\EngData\AOS\Allgemein\[LabSamples2025.xlsx]Bioplastic'!F346)," ",'Q:\Abteilungsprojekte\eng\EngData\AOS\Allgemein\[LabSamples2025.xlsx]Bioplastic'!F346)</f>
        <v/>
      </c>
      <c r="G346">
        <f>IF(ISBLANK('Q:\Abteilungsprojekte\eng\EngData\AOS\Allgemein\[LabSamples2025.xlsx]Bioplastic'!G346)," ",'Q:\Abteilungsprojekte\eng\EngData\AOS\Allgemein\[LabSamples2025.xlsx]Bioplastic'!G346)</f>
        <v/>
      </c>
      <c r="H346">
        <f>IF(ISBLANK('Q:\Abteilungsprojekte\eng\EngData\AOS\Allgemein\[LabSamples2025.xlsx]Bioplastic'!H346)," ",'Q:\Abteilungsprojekte\eng\EngData\AOS\Allgemein\[LabSamples2025.xlsx]Bioplastic'!H346)</f>
        <v/>
      </c>
    </row>
    <row r="347">
      <c r="A347">
        <f>IF(ISBLANK('Q:\Abteilungsprojekte\eng\EngData\AOS\Allgemein\[LabSamples2025.xlsx]Bioplastic'!A347)," ",'Q:\Abteilungsprojekte\eng\EngData\AOS\Allgemein\[LabSamples2025.xlsx]Bioplastic'!A347)</f>
        <v/>
      </c>
      <c r="B347">
        <f>IF(ISBLANK('Q:\Abteilungsprojekte\eng\EngData\AOS\Allgemein\[LabSamples2025.xlsx]Bioplastic'!B347)," ",'Q:\Abteilungsprojekte\eng\EngData\AOS\Allgemein\[LabSamples2025.xlsx]Bioplastic'!B347)</f>
        <v/>
      </c>
      <c r="C347">
        <f>IF(ISBLANK('Q:\Abteilungsprojekte\eng\EngData\AOS\Allgemein\[LabSamples2025.xlsx]Bioplastic'!C347)," ",'Q:\Abteilungsprojekte\eng\EngData\AOS\Allgemein\[LabSamples2025.xlsx]Bioplastic'!C347)</f>
        <v/>
      </c>
      <c r="D347">
        <f>IF(ISBLANK('Q:\Abteilungsprojekte\eng\EngData\AOS\Allgemein\[LabSamples2025.xlsx]Bioplastic'!D347)," ",'Q:\Abteilungsprojekte\eng\EngData\AOS\Allgemein\[LabSamples2025.xlsx]Bioplastic'!D347)</f>
        <v/>
      </c>
      <c r="E347">
        <f>IF(ISBLANK('Q:\Abteilungsprojekte\eng\EngData\AOS\Allgemein\[LabSamples2025.xlsx]Bioplastic'!E347)," ",'Q:\Abteilungsprojekte\eng\EngData\AOS\Allgemein\[LabSamples2025.xlsx]Bioplastic'!E347)</f>
        <v/>
      </c>
      <c r="F347">
        <f>IF(ISBLANK('Q:\Abteilungsprojekte\eng\EngData\AOS\Allgemein\[LabSamples2025.xlsx]Bioplastic'!F347)," ",'Q:\Abteilungsprojekte\eng\EngData\AOS\Allgemein\[LabSamples2025.xlsx]Bioplastic'!F347)</f>
        <v/>
      </c>
      <c r="G347">
        <f>IF(ISBLANK('Q:\Abteilungsprojekte\eng\EngData\AOS\Allgemein\[LabSamples2025.xlsx]Bioplastic'!G347)," ",'Q:\Abteilungsprojekte\eng\EngData\AOS\Allgemein\[LabSamples2025.xlsx]Bioplastic'!G347)</f>
        <v/>
      </c>
      <c r="H347">
        <f>IF(ISBLANK('Q:\Abteilungsprojekte\eng\EngData\AOS\Allgemein\[LabSamples2025.xlsx]Bioplastic'!H347)," ",'Q:\Abteilungsprojekte\eng\EngData\AOS\Allgemein\[LabSamples2025.xlsx]Bioplastic'!H347)</f>
        <v/>
      </c>
    </row>
    <row r="348">
      <c r="A348">
        <f>IF(ISBLANK('Q:\Abteilungsprojekte\eng\EngData\AOS\Allgemein\[LabSamples2025.xlsx]Bioplastic'!A348)," ",'Q:\Abteilungsprojekte\eng\EngData\AOS\Allgemein\[LabSamples2025.xlsx]Bioplastic'!A348)</f>
        <v/>
      </c>
      <c r="B348">
        <f>IF(ISBLANK('Q:\Abteilungsprojekte\eng\EngData\AOS\Allgemein\[LabSamples2025.xlsx]Bioplastic'!B348)," ",'Q:\Abteilungsprojekte\eng\EngData\AOS\Allgemein\[LabSamples2025.xlsx]Bioplastic'!B348)</f>
        <v/>
      </c>
      <c r="C348">
        <f>IF(ISBLANK('Q:\Abteilungsprojekte\eng\EngData\AOS\Allgemein\[LabSamples2025.xlsx]Bioplastic'!C348)," ",'Q:\Abteilungsprojekte\eng\EngData\AOS\Allgemein\[LabSamples2025.xlsx]Bioplastic'!C348)</f>
        <v/>
      </c>
      <c r="D348">
        <f>IF(ISBLANK('Q:\Abteilungsprojekte\eng\EngData\AOS\Allgemein\[LabSamples2025.xlsx]Bioplastic'!D348)," ",'Q:\Abteilungsprojekte\eng\EngData\AOS\Allgemein\[LabSamples2025.xlsx]Bioplastic'!D348)</f>
        <v/>
      </c>
      <c r="E348">
        <f>IF(ISBLANK('Q:\Abteilungsprojekte\eng\EngData\AOS\Allgemein\[LabSamples2025.xlsx]Bioplastic'!E348)," ",'Q:\Abteilungsprojekte\eng\EngData\AOS\Allgemein\[LabSamples2025.xlsx]Bioplastic'!E348)</f>
        <v/>
      </c>
      <c r="F348">
        <f>IF(ISBLANK('Q:\Abteilungsprojekte\eng\EngData\AOS\Allgemein\[LabSamples2025.xlsx]Bioplastic'!F348)," ",'Q:\Abteilungsprojekte\eng\EngData\AOS\Allgemein\[LabSamples2025.xlsx]Bioplastic'!F348)</f>
        <v/>
      </c>
      <c r="G348">
        <f>IF(ISBLANK('Q:\Abteilungsprojekte\eng\EngData\AOS\Allgemein\[LabSamples2025.xlsx]Bioplastic'!G348)," ",'Q:\Abteilungsprojekte\eng\EngData\AOS\Allgemein\[LabSamples2025.xlsx]Bioplastic'!G348)</f>
        <v/>
      </c>
      <c r="H348">
        <f>IF(ISBLANK('Q:\Abteilungsprojekte\eng\EngData\AOS\Allgemein\[LabSamples2025.xlsx]Bioplastic'!H348)," ",'Q:\Abteilungsprojekte\eng\EngData\AOS\Allgemein\[LabSamples2025.xlsx]Bioplastic'!H348)</f>
        <v/>
      </c>
    </row>
    <row r="349">
      <c r="A349">
        <f>IF(ISBLANK('Q:\Abteilungsprojekte\eng\EngData\AOS\Allgemein\[LabSamples2025.xlsx]Bioplastic'!A349)," ",'Q:\Abteilungsprojekte\eng\EngData\AOS\Allgemein\[LabSamples2025.xlsx]Bioplastic'!A349)</f>
        <v/>
      </c>
      <c r="B349">
        <f>IF(ISBLANK('Q:\Abteilungsprojekte\eng\EngData\AOS\Allgemein\[LabSamples2025.xlsx]Bioplastic'!B349)," ",'Q:\Abteilungsprojekte\eng\EngData\AOS\Allgemein\[LabSamples2025.xlsx]Bioplastic'!B349)</f>
        <v/>
      </c>
      <c r="C349">
        <f>IF(ISBLANK('Q:\Abteilungsprojekte\eng\EngData\AOS\Allgemein\[LabSamples2025.xlsx]Bioplastic'!C349)," ",'Q:\Abteilungsprojekte\eng\EngData\AOS\Allgemein\[LabSamples2025.xlsx]Bioplastic'!C349)</f>
        <v/>
      </c>
      <c r="D349">
        <f>IF(ISBLANK('Q:\Abteilungsprojekte\eng\EngData\AOS\Allgemein\[LabSamples2025.xlsx]Bioplastic'!D349)," ",'Q:\Abteilungsprojekte\eng\EngData\AOS\Allgemein\[LabSamples2025.xlsx]Bioplastic'!D349)</f>
        <v/>
      </c>
      <c r="E349">
        <f>IF(ISBLANK('Q:\Abteilungsprojekte\eng\EngData\AOS\Allgemein\[LabSamples2025.xlsx]Bioplastic'!E349)," ",'Q:\Abteilungsprojekte\eng\EngData\AOS\Allgemein\[LabSamples2025.xlsx]Bioplastic'!E349)</f>
        <v/>
      </c>
      <c r="F349">
        <f>IF(ISBLANK('Q:\Abteilungsprojekte\eng\EngData\AOS\Allgemein\[LabSamples2025.xlsx]Bioplastic'!F349)," ",'Q:\Abteilungsprojekte\eng\EngData\AOS\Allgemein\[LabSamples2025.xlsx]Bioplastic'!F349)</f>
        <v/>
      </c>
      <c r="G349">
        <f>IF(ISBLANK('Q:\Abteilungsprojekte\eng\EngData\AOS\Allgemein\[LabSamples2025.xlsx]Bioplastic'!G349)," ",'Q:\Abteilungsprojekte\eng\EngData\AOS\Allgemein\[LabSamples2025.xlsx]Bioplastic'!G349)</f>
        <v/>
      </c>
      <c r="H349">
        <f>IF(ISBLANK('Q:\Abteilungsprojekte\eng\EngData\AOS\Allgemein\[LabSamples2025.xlsx]Bioplastic'!H349)," ",'Q:\Abteilungsprojekte\eng\EngData\AOS\Allgemein\[LabSamples2025.xlsx]Bioplastic'!H349)</f>
        <v/>
      </c>
    </row>
    <row r="350">
      <c r="A350">
        <f>IF(ISBLANK('Q:\Abteilungsprojekte\eng\EngData\AOS\Allgemein\[LabSamples2025.xlsx]Bioplastic'!A350)," ",'Q:\Abteilungsprojekte\eng\EngData\AOS\Allgemein\[LabSamples2025.xlsx]Bioplastic'!A350)</f>
        <v/>
      </c>
      <c r="B350">
        <f>IF(ISBLANK('Q:\Abteilungsprojekte\eng\EngData\AOS\Allgemein\[LabSamples2025.xlsx]Bioplastic'!B350)," ",'Q:\Abteilungsprojekte\eng\EngData\AOS\Allgemein\[LabSamples2025.xlsx]Bioplastic'!B350)</f>
        <v/>
      </c>
      <c r="C350">
        <f>IF(ISBLANK('Q:\Abteilungsprojekte\eng\EngData\AOS\Allgemein\[LabSamples2025.xlsx]Bioplastic'!C350)," ",'Q:\Abteilungsprojekte\eng\EngData\AOS\Allgemein\[LabSamples2025.xlsx]Bioplastic'!C350)</f>
        <v/>
      </c>
      <c r="D350">
        <f>IF(ISBLANK('Q:\Abteilungsprojekte\eng\EngData\AOS\Allgemein\[LabSamples2025.xlsx]Bioplastic'!D350)," ",'Q:\Abteilungsprojekte\eng\EngData\AOS\Allgemein\[LabSamples2025.xlsx]Bioplastic'!D350)</f>
        <v/>
      </c>
      <c r="E350">
        <f>IF(ISBLANK('Q:\Abteilungsprojekte\eng\EngData\AOS\Allgemein\[LabSamples2025.xlsx]Bioplastic'!E350)," ",'Q:\Abteilungsprojekte\eng\EngData\AOS\Allgemein\[LabSamples2025.xlsx]Bioplastic'!E350)</f>
        <v/>
      </c>
      <c r="F350">
        <f>IF(ISBLANK('Q:\Abteilungsprojekte\eng\EngData\AOS\Allgemein\[LabSamples2025.xlsx]Bioplastic'!F350)," ",'Q:\Abteilungsprojekte\eng\EngData\AOS\Allgemein\[LabSamples2025.xlsx]Bioplastic'!F350)</f>
        <v/>
      </c>
      <c r="G350">
        <f>IF(ISBLANK('Q:\Abteilungsprojekte\eng\EngData\AOS\Allgemein\[LabSamples2025.xlsx]Bioplastic'!G350)," ",'Q:\Abteilungsprojekte\eng\EngData\AOS\Allgemein\[LabSamples2025.xlsx]Bioplastic'!G350)</f>
        <v/>
      </c>
      <c r="H350">
        <f>IF(ISBLANK('Q:\Abteilungsprojekte\eng\EngData\AOS\Allgemein\[LabSamples2025.xlsx]Bioplastic'!H350)," ",'Q:\Abteilungsprojekte\eng\EngData\AOS\Allgemein\[LabSamples2025.xlsx]Bioplastic'!H350)</f>
        <v/>
      </c>
    </row>
    <row r="351">
      <c r="A351">
        <f>IF(ISBLANK('Q:\Abteilungsprojekte\eng\EngData\AOS\Allgemein\[LabSamples2025.xlsx]Bioplastic'!A351)," ",'Q:\Abteilungsprojekte\eng\EngData\AOS\Allgemein\[LabSamples2025.xlsx]Bioplastic'!A351)</f>
        <v/>
      </c>
      <c r="B351">
        <f>IF(ISBLANK('Q:\Abteilungsprojekte\eng\EngData\AOS\Allgemein\[LabSamples2025.xlsx]Bioplastic'!B351)," ",'Q:\Abteilungsprojekte\eng\EngData\AOS\Allgemein\[LabSamples2025.xlsx]Bioplastic'!B351)</f>
        <v/>
      </c>
      <c r="C351">
        <f>IF(ISBLANK('Q:\Abteilungsprojekte\eng\EngData\AOS\Allgemein\[LabSamples2025.xlsx]Bioplastic'!C351)," ",'Q:\Abteilungsprojekte\eng\EngData\AOS\Allgemein\[LabSamples2025.xlsx]Bioplastic'!C351)</f>
        <v/>
      </c>
      <c r="D351">
        <f>IF(ISBLANK('Q:\Abteilungsprojekte\eng\EngData\AOS\Allgemein\[LabSamples2025.xlsx]Bioplastic'!D351)," ",'Q:\Abteilungsprojekte\eng\EngData\AOS\Allgemein\[LabSamples2025.xlsx]Bioplastic'!D351)</f>
        <v/>
      </c>
      <c r="E351">
        <f>IF(ISBLANK('Q:\Abteilungsprojekte\eng\EngData\AOS\Allgemein\[LabSamples2025.xlsx]Bioplastic'!E351)," ",'Q:\Abteilungsprojekte\eng\EngData\AOS\Allgemein\[LabSamples2025.xlsx]Bioplastic'!E351)</f>
        <v/>
      </c>
      <c r="F351">
        <f>IF(ISBLANK('Q:\Abteilungsprojekte\eng\EngData\AOS\Allgemein\[LabSamples2025.xlsx]Bioplastic'!F351)," ",'Q:\Abteilungsprojekte\eng\EngData\AOS\Allgemein\[LabSamples2025.xlsx]Bioplastic'!F351)</f>
        <v/>
      </c>
      <c r="G351">
        <f>IF(ISBLANK('Q:\Abteilungsprojekte\eng\EngData\AOS\Allgemein\[LabSamples2025.xlsx]Bioplastic'!G351)," ",'Q:\Abteilungsprojekte\eng\EngData\AOS\Allgemein\[LabSamples2025.xlsx]Bioplastic'!G351)</f>
        <v/>
      </c>
      <c r="H351">
        <f>IF(ISBLANK('Q:\Abteilungsprojekte\eng\EngData\AOS\Allgemein\[LabSamples2025.xlsx]Bioplastic'!H351)," ",'Q:\Abteilungsprojekte\eng\EngData\AOS\Allgemein\[LabSamples2025.xlsx]Bioplastic'!H351)</f>
        <v/>
      </c>
    </row>
    <row r="352">
      <c r="A352">
        <f>IF(ISBLANK('Q:\Abteilungsprojekte\eng\EngData\AOS\Allgemein\[LabSamples2025.xlsx]Bioplastic'!A352)," ",'Q:\Abteilungsprojekte\eng\EngData\AOS\Allgemein\[LabSamples2025.xlsx]Bioplastic'!A352)</f>
        <v/>
      </c>
      <c r="B352">
        <f>IF(ISBLANK('Q:\Abteilungsprojekte\eng\EngData\AOS\Allgemein\[LabSamples2025.xlsx]Bioplastic'!B352)," ",'Q:\Abteilungsprojekte\eng\EngData\AOS\Allgemein\[LabSamples2025.xlsx]Bioplastic'!B352)</f>
        <v/>
      </c>
      <c r="C352">
        <f>IF(ISBLANK('Q:\Abteilungsprojekte\eng\EngData\AOS\Allgemein\[LabSamples2025.xlsx]Bioplastic'!C352)," ",'Q:\Abteilungsprojekte\eng\EngData\AOS\Allgemein\[LabSamples2025.xlsx]Bioplastic'!C352)</f>
        <v/>
      </c>
      <c r="D352">
        <f>IF(ISBLANK('Q:\Abteilungsprojekte\eng\EngData\AOS\Allgemein\[LabSamples2025.xlsx]Bioplastic'!D352)," ",'Q:\Abteilungsprojekte\eng\EngData\AOS\Allgemein\[LabSamples2025.xlsx]Bioplastic'!D352)</f>
        <v/>
      </c>
      <c r="E352">
        <f>IF(ISBLANK('Q:\Abteilungsprojekte\eng\EngData\AOS\Allgemein\[LabSamples2025.xlsx]Bioplastic'!E352)," ",'Q:\Abteilungsprojekte\eng\EngData\AOS\Allgemein\[LabSamples2025.xlsx]Bioplastic'!E352)</f>
        <v/>
      </c>
      <c r="F352">
        <f>IF(ISBLANK('Q:\Abteilungsprojekte\eng\EngData\AOS\Allgemein\[LabSamples2025.xlsx]Bioplastic'!F352)," ",'Q:\Abteilungsprojekte\eng\EngData\AOS\Allgemein\[LabSamples2025.xlsx]Bioplastic'!F352)</f>
        <v/>
      </c>
      <c r="G352">
        <f>IF(ISBLANK('Q:\Abteilungsprojekte\eng\EngData\AOS\Allgemein\[LabSamples2025.xlsx]Bioplastic'!G352)," ",'Q:\Abteilungsprojekte\eng\EngData\AOS\Allgemein\[LabSamples2025.xlsx]Bioplastic'!G352)</f>
        <v/>
      </c>
      <c r="H352">
        <f>IF(ISBLANK('Q:\Abteilungsprojekte\eng\EngData\AOS\Allgemein\[LabSamples2025.xlsx]Bioplastic'!H352)," ",'Q:\Abteilungsprojekte\eng\EngData\AOS\Allgemein\[LabSamples2025.xlsx]Bioplastic'!H352)</f>
        <v/>
      </c>
    </row>
    <row r="353">
      <c r="A353">
        <f>IF(ISBLANK('Q:\Abteilungsprojekte\eng\EngData\AOS\Allgemein\[LabSamples2025.xlsx]Bioplastic'!A353)," ",'Q:\Abteilungsprojekte\eng\EngData\AOS\Allgemein\[LabSamples2025.xlsx]Bioplastic'!A353)</f>
        <v/>
      </c>
      <c r="B353">
        <f>IF(ISBLANK('Q:\Abteilungsprojekte\eng\EngData\AOS\Allgemein\[LabSamples2025.xlsx]Bioplastic'!B353)," ",'Q:\Abteilungsprojekte\eng\EngData\AOS\Allgemein\[LabSamples2025.xlsx]Bioplastic'!B353)</f>
        <v/>
      </c>
      <c r="C353">
        <f>IF(ISBLANK('Q:\Abteilungsprojekte\eng\EngData\AOS\Allgemein\[LabSamples2025.xlsx]Bioplastic'!C353)," ",'Q:\Abteilungsprojekte\eng\EngData\AOS\Allgemein\[LabSamples2025.xlsx]Bioplastic'!C353)</f>
        <v/>
      </c>
      <c r="D353">
        <f>IF(ISBLANK('Q:\Abteilungsprojekte\eng\EngData\AOS\Allgemein\[LabSamples2025.xlsx]Bioplastic'!D353)," ",'Q:\Abteilungsprojekte\eng\EngData\AOS\Allgemein\[LabSamples2025.xlsx]Bioplastic'!D353)</f>
        <v/>
      </c>
      <c r="E353">
        <f>IF(ISBLANK('Q:\Abteilungsprojekte\eng\EngData\AOS\Allgemein\[LabSamples2025.xlsx]Bioplastic'!E353)," ",'Q:\Abteilungsprojekte\eng\EngData\AOS\Allgemein\[LabSamples2025.xlsx]Bioplastic'!E353)</f>
        <v/>
      </c>
      <c r="F353">
        <f>IF(ISBLANK('Q:\Abteilungsprojekte\eng\EngData\AOS\Allgemein\[LabSamples2025.xlsx]Bioplastic'!F353)," ",'Q:\Abteilungsprojekte\eng\EngData\AOS\Allgemein\[LabSamples2025.xlsx]Bioplastic'!F353)</f>
        <v/>
      </c>
      <c r="G353">
        <f>IF(ISBLANK('Q:\Abteilungsprojekte\eng\EngData\AOS\Allgemein\[LabSamples2025.xlsx]Bioplastic'!G353)," ",'Q:\Abteilungsprojekte\eng\EngData\AOS\Allgemein\[LabSamples2025.xlsx]Bioplastic'!G353)</f>
        <v/>
      </c>
      <c r="H353">
        <f>IF(ISBLANK('Q:\Abteilungsprojekte\eng\EngData\AOS\Allgemein\[LabSamples2025.xlsx]Bioplastic'!H353)," ",'Q:\Abteilungsprojekte\eng\EngData\AOS\Allgemein\[LabSamples2025.xlsx]Bioplastic'!H353)</f>
        <v/>
      </c>
    </row>
    <row r="354">
      <c r="A354">
        <f>IF(ISBLANK('Q:\Abteilungsprojekte\eng\EngData\AOS\Allgemein\[LabSamples2025.xlsx]Bioplastic'!A354)," ",'Q:\Abteilungsprojekte\eng\EngData\AOS\Allgemein\[LabSamples2025.xlsx]Bioplastic'!A354)</f>
        <v/>
      </c>
      <c r="B354">
        <f>IF(ISBLANK('Q:\Abteilungsprojekte\eng\EngData\AOS\Allgemein\[LabSamples2025.xlsx]Bioplastic'!B354)," ",'Q:\Abteilungsprojekte\eng\EngData\AOS\Allgemein\[LabSamples2025.xlsx]Bioplastic'!B354)</f>
        <v/>
      </c>
      <c r="C354">
        <f>IF(ISBLANK('Q:\Abteilungsprojekte\eng\EngData\AOS\Allgemein\[LabSamples2025.xlsx]Bioplastic'!C354)," ",'Q:\Abteilungsprojekte\eng\EngData\AOS\Allgemein\[LabSamples2025.xlsx]Bioplastic'!C354)</f>
        <v/>
      </c>
      <c r="D354">
        <f>IF(ISBLANK('Q:\Abteilungsprojekte\eng\EngData\AOS\Allgemein\[LabSamples2025.xlsx]Bioplastic'!D354)," ",'Q:\Abteilungsprojekte\eng\EngData\AOS\Allgemein\[LabSamples2025.xlsx]Bioplastic'!D354)</f>
        <v/>
      </c>
      <c r="E354">
        <f>IF(ISBLANK('Q:\Abteilungsprojekte\eng\EngData\AOS\Allgemein\[LabSamples2025.xlsx]Bioplastic'!E354)," ",'Q:\Abteilungsprojekte\eng\EngData\AOS\Allgemein\[LabSamples2025.xlsx]Bioplastic'!E354)</f>
        <v/>
      </c>
      <c r="F354">
        <f>IF(ISBLANK('Q:\Abteilungsprojekte\eng\EngData\AOS\Allgemein\[LabSamples2025.xlsx]Bioplastic'!F354)," ",'Q:\Abteilungsprojekte\eng\EngData\AOS\Allgemein\[LabSamples2025.xlsx]Bioplastic'!F354)</f>
        <v/>
      </c>
      <c r="G354">
        <f>IF(ISBLANK('Q:\Abteilungsprojekte\eng\EngData\AOS\Allgemein\[LabSamples2025.xlsx]Bioplastic'!G354)," ",'Q:\Abteilungsprojekte\eng\EngData\AOS\Allgemein\[LabSamples2025.xlsx]Bioplastic'!G354)</f>
        <v/>
      </c>
      <c r="H354">
        <f>IF(ISBLANK('Q:\Abteilungsprojekte\eng\EngData\AOS\Allgemein\[LabSamples2025.xlsx]Bioplastic'!H354)," ",'Q:\Abteilungsprojekte\eng\EngData\AOS\Allgemein\[LabSamples2025.xlsx]Bioplastic'!H354)</f>
        <v/>
      </c>
    </row>
    <row r="355">
      <c r="A355">
        <f>IF(ISBLANK('Q:\Abteilungsprojekte\eng\EngData\AOS\Allgemein\[LabSamples2025.xlsx]Bioplastic'!A355)," ",'Q:\Abteilungsprojekte\eng\EngData\AOS\Allgemein\[LabSamples2025.xlsx]Bioplastic'!A355)</f>
        <v/>
      </c>
      <c r="B355">
        <f>IF(ISBLANK('Q:\Abteilungsprojekte\eng\EngData\AOS\Allgemein\[LabSamples2025.xlsx]Bioplastic'!B355)," ",'Q:\Abteilungsprojekte\eng\EngData\AOS\Allgemein\[LabSamples2025.xlsx]Bioplastic'!B355)</f>
        <v/>
      </c>
      <c r="C355">
        <f>IF(ISBLANK('Q:\Abteilungsprojekte\eng\EngData\AOS\Allgemein\[LabSamples2025.xlsx]Bioplastic'!C355)," ",'Q:\Abteilungsprojekte\eng\EngData\AOS\Allgemein\[LabSamples2025.xlsx]Bioplastic'!C355)</f>
        <v/>
      </c>
      <c r="D355">
        <f>IF(ISBLANK('Q:\Abteilungsprojekte\eng\EngData\AOS\Allgemein\[LabSamples2025.xlsx]Bioplastic'!D355)," ",'Q:\Abteilungsprojekte\eng\EngData\AOS\Allgemein\[LabSamples2025.xlsx]Bioplastic'!D355)</f>
        <v/>
      </c>
      <c r="E355">
        <f>IF(ISBLANK('Q:\Abteilungsprojekte\eng\EngData\AOS\Allgemein\[LabSamples2025.xlsx]Bioplastic'!E355)," ",'Q:\Abteilungsprojekte\eng\EngData\AOS\Allgemein\[LabSamples2025.xlsx]Bioplastic'!E355)</f>
        <v/>
      </c>
      <c r="F355">
        <f>IF(ISBLANK('Q:\Abteilungsprojekte\eng\EngData\AOS\Allgemein\[LabSamples2025.xlsx]Bioplastic'!F355)," ",'Q:\Abteilungsprojekte\eng\EngData\AOS\Allgemein\[LabSamples2025.xlsx]Bioplastic'!F355)</f>
        <v/>
      </c>
      <c r="G355">
        <f>IF(ISBLANK('Q:\Abteilungsprojekte\eng\EngData\AOS\Allgemein\[LabSamples2025.xlsx]Bioplastic'!G355)," ",'Q:\Abteilungsprojekte\eng\EngData\AOS\Allgemein\[LabSamples2025.xlsx]Bioplastic'!G355)</f>
        <v/>
      </c>
      <c r="H355">
        <f>IF(ISBLANK('Q:\Abteilungsprojekte\eng\EngData\AOS\Allgemein\[LabSamples2025.xlsx]Bioplastic'!H355)," ",'Q:\Abteilungsprojekte\eng\EngData\AOS\Allgemein\[LabSamples2025.xlsx]Bioplastic'!H355)</f>
        <v/>
      </c>
    </row>
    <row r="356">
      <c r="A356">
        <f>IF(ISBLANK('Q:\Abteilungsprojekte\eng\EngData\AOS\Allgemein\[LabSamples2025.xlsx]Bioplastic'!A356)," ",'Q:\Abteilungsprojekte\eng\EngData\AOS\Allgemein\[LabSamples2025.xlsx]Bioplastic'!A356)</f>
        <v/>
      </c>
      <c r="B356">
        <f>IF(ISBLANK('Q:\Abteilungsprojekte\eng\EngData\AOS\Allgemein\[LabSamples2025.xlsx]Bioplastic'!B356)," ",'Q:\Abteilungsprojekte\eng\EngData\AOS\Allgemein\[LabSamples2025.xlsx]Bioplastic'!B356)</f>
        <v/>
      </c>
      <c r="C356">
        <f>IF(ISBLANK('Q:\Abteilungsprojekte\eng\EngData\AOS\Allgemein\[LabSamples2025.xlsx]Bioplastic'!C356)," ",'Q:\Abteilungsprojekte\eng\EngData\AOS\Allgemein\[LabSamples2025.xlsx]Bioplastic'!C356)</f>
        <v/>
      </c>
      <c r="D356">
        <f>IF(ISBLANK('Q:\Abteilungsprojekte\eng\EngData\AOS\Allgemein\[LabSamples2025.xlsx]Bioplastic'!D356)," ",'Q:\Abteilungsprojekte\eng\EngData\AOS\Allgemein\[LabSamples2025.xlsx]Bioplastic'!D356)</f>
        <v/>
      </c>
      <c r="E356">
        <f>IF(ISBLANK('Q:\Abteilungsprojekte\eng\EngData\AOS\Allgemein\[LabSamples2025.xlsx]Bioplastic'!E356)," ",'Q:\Abteilungsprojekte\eng\EngData\AOS\Allgemein\[LabSamples2025.xlsx]Bioplastic'!E356)</f>
        <v/>
      </c>
      <c r="F356">
        <f>IF(ISBLANK('Q:\Abteilungsprojekte\eng\EngData\AOS\Allgemein\[LabSamples2025.xlsx]Bioplastic'!F356)," ",'Q:\Abteilungsprojekte\eng\EngData\AOS\Allgemein\[LabSamples2025.xlsx]Bioplastic'!F356)</f>
        <v/>
      </c>
      <c r="G356">
        <f>IF(ISBLANK('Q:\Abteilungsprojekte\eng\EngData\AOS\Allgemein\[LabSamples2025.xlsx]Bioplastic'!G356)," ",'Q:\Abteilungsprojekte\eng\EngData\AOS\Allgemein\[LabSamples2025.xlsx]Bioplastic'!G356)</f>
        <v/>
      </c>
      <c r="H356">
        <f>IF(ISBLANK('Q:\Abteilungsprojekte\eng\EngData\AOS\Allgemein\[LabSamples2025.xlsx]Bioplastic'!H356)," ",'Q:\Abteilungsprojekte\eng\EngData\AOS\Allgemein\[LabSamples2025.xlsx]Bioplastic'!H356)</f>
        <v/>
      </c>
    </row>
    <row r="357">
      <c r="A357">
        <f>IF(ISBLANK('Q:\Abteilungsprojekte\eng\EngData\AOS\Allgemein\[LabSamples2025.xlsx]Bioplastic'!A357)," ",'Q:\Abteilungsprojekte\eng\EngData\AOS\Allgemein\[LabSamples2025.xlsx]Bioplastic'!A357)</f>
        <v/>
      </c>
      <c r="B357">
        <f>IF(ISBLANK('Q:\Abteilungsprojekte\eng\EngData\AOS\Allgemein\[LabSamples2025.xlsx]Bioplastic'!B357)," ",'Q:\Abteilungsprojekte\eng\EngData\AOS\Allgemein\[LabSamples2025.xlsx]Bioplastic'!B357)</f>
        <v/>
      </c>
      <c r="C357">
        <f>IF(ISBLANK('Q:\Abteilungsprojekte\eng\EngData\AOS\Allgemein\[LabSamples2025.xlsx]Bioplastic'!C357)," ",'Q:\Abteilungsprojekte\eng\EngData\AOS\Allgemein\[LabSamples2025.xlsx]Bioplastic'!C357)</f>
        <v/>
      </c>
      <c r="D357">
        <f>IF(ISBLANK('Q:\Abteilungsprojekte\eng\EngData\AOS\Allgemein\[LabSamples2025.xlsx]Bioplastic'!D357)," ",'Q:\Abteilungsprojekte\eng\EngData\AOS\Allgemein\[LabSamples2025.xlsx]Bioplastic'!D357)</f>
        <v/>
      </c>
      <c r="E357">
        <f>IF(ISBLANK('Q:\Abteilungsprojekte\eng\EngData\AOS\Allgemein\[LabSamples2025.xlsx]Bioplastic'!E357)," ",'Q:\Abteilungsprojekte\eng\EngData\AOS\Allgemein\[LabSamples2025.xlsx]Bioplastic'!E357)</f>
        <v/>
      </c>
      <c r="F357">
        <f>IF(ISBLANK('Q:\Abteilungsprojekte\eng\EngData\AOS\Allgemein\[LabSamples2025.xlsx]Bioplastic'!F357)," ",'Q:\Abteilungsprojekte\eng\EngData\AOS\Allgemein\[LabSamples2025.xlsx]Bioplastic'!F357)</f>
        <v/>
      </c>
      <c r="G357">
        <f>IF(ISBLANK('Q:\Abteilungsprojekte\eng\EngData\AOS\Allgemein\[LabSamples2025.xlsx]Bioplastic'!G357)," ",'Q:\Abteilungsprojekte\eng\EngData\AOS\Allgemein\[LabSamples2025.xlsx]Bioplastic'!G357)</f>
        <v/>
      </c>
      <c r="H357">
        <f>IF(ISBLANK('Q:\Abteilungsprojekte\eng\EngData\AOS\Allgemein\[LabSamples2025.xlsx]Bioplastic'!H357)," ",'Q:\Abteilungsprojekte\eng\EngData\AOS\Allgemein\[LabSamples2025.xlsx]Bioplastic'!H357)</f>
        <v/>
      </c>
    </row>
    <row r="358">
      <c r="A358">
        <f>IF(ISBLANK('Q:\Abteilungsprojekte\eng\EngData\AOS\Allgemein\[LabSamples2025.xlsx]Bioplastic'!A358)," ",'Q:\Abteilungsprojekte\eng\EngData\AOS\Allgemein\[LabSamples2025.xlsx]Bioplastic'!A358)</f>
        <v/>
      </c>
      <c r="B358">
        <f>IF(ISBLANK('Q:\Abteilungsprojekte\eng\EngData\AOS\Allgemein\[LabSamples2025.xlsx]Bioplastic'!B358)," ",'Q:\Abteilungsprojekte\eng\EngData\AOS\Allgemein\[LabSamples2025.xlsx]Bioplastic'!B358)</f>
        <v/>
      </c>
      <c r="C358">
        <f>IF(ISBLANK('Q:\Abteilungsprojekte\eng\EngData\AOS\Allgemein\[LabSamples2025.xlsx]Bioplastic'!C358)," ",'Q:\Abteilungsprojekte\eng\EngData\AOS\Allgemein\[LabSamples2025.xlsx]Bioplastic'!C358)</f>
        <v/>
      </c>
      <c r="D358">
        <f>IF(ISBLANK('Q:\Abteilungsprojekte\eng\EngData\AOS\Allgemein\[LabSamples2025.xlsx]Bioplastic'!D358)," ",'Q:\Abteilungsprojekte\eng\EngData\AOS\Allgemein\[LabSamples2025.xlsx]Bioplastic'!D358)</f>
        <v/>
      </c>
      <c r="E358">
        <f>IF(ISBLANK('Q:\Abteilungsprojekte\eng\EngData\AOS\Allgemein\[LabSamples2025.xlsx]Bioplastic'!E358)," ",'Q:\Abteilungsprojekte\eng\EngData\AOS\Allgemein\[LabSamples2025.xlsx]Bioplastic'!E358)</f>
        <v/>
      </c>
      <c r="F358">
        <f>IF(ISBLANK('Q:\Abteilungsprojekte\eng\EngData\AOS\Allgemein\[LabSamples2025.xlsx]Bioplastic'!F358)," ",'Q:\Abteilungsprojekte\eng\EngData\AOS\Allgemein\[LabSamples2025.xlsx]Bioplastic'!F358)</f>
        <v/>
      </c>
      <c r="G358">
        <f>IF(ISBLANK('Q:\Abteilungsprojekte\eng\EngData\AOS\Allgemein\[LabSamples2025.xlsx]Bioplastic'!G358)," ",'Q:\Abteilungsprojekte\eng\EngData\AOS\Allgemein\[LabSamples2025.xlsx]Bioplastic'!G358)</f>
        <v/>
      </c>
      <c r="H358">
        <f>IF(ISBLANK('Q:\Abteilungsprojekte\eng\EngData\AOS\Allgemein\[LabSamples2025.xlsx]Bioplastic'!H358)," ",'Q:\Abteilungsprojekte\eng\EngData\AOS\Allgemein\[LabSamples2025.xlsx]Bioplastic'!H358)</f>
        <v/>
      </c>
    </row>
    <row r="359">
      <c r="A359">
        <f>IF(ISBLANK('Q:\Abteilungsprojekte\eng\EngData\AOS\Allgemein\[LabSamples2025.xlsx]Bioplastic'!A359)," ",'Q:\Abteilungsprojekte\eng\EngData\AOS\Allgemein\[LabSamples2025.xlsx]Bioplastic'!A359)</f>
        <v/>
      </c>
      <c r="B359">
        <f>IF(ISBLANK('Q:\Abteilungsprojekte\eng\EngData\AOS\Allgemein\[LabSamples2025.xlsx]Bioplastic'!B359)," ",'Q:\Abteilungsprojekte\eng\EngData\AOS\Allgemein\[LabSamples2025.xlsx]Bioplastic'!B359)</f>
        <v/>
      </c>
      <c r="C359">
        <f>IF(ISBLANK('Q:\Abteilungsprojekte\eng\EngData\AOS\Allgemein\[LabSamples2025.xlsx]Bioplastic'!C359)," ",'Q:\Abteilungsprojekte\eng\EngData\AOS\Allgemein\[LabSamples2025.xlsx]Bioplastic'!C359)</f>
        <v/>
      </c>
      <c r="D359">
        <f>IF(ISBLANK('Q:\Abteilungsprojekte\eng\EngData\AOS\Allgemein\[LabSamples2025.xlsx]Bioplastic'!D359)," ",'Q:\Abteilungsprojekte\eng\EngData\AOS\Allgemein\[LabSamples2025.xlsx]Bioplastic'!D359)</f>
        <v/>
      </c>
      <c r="E359">
        <f>IF(ISBLANK('Q:\Abteilungsprojekte\eng\EngData\AOS\Allgemein\[LabSamples2025.xlsx]Bioplastic'!E359)," ",'Q:\Abteilungsprojekte\eng\EngData\AOS\Allgemein\[LabSamples2025.xlsx]Bioplastic'!E359)</f>
        <v/>
      </c>
      <c r="F359">
        <f>IF(ISBLANK('Q:\Abteilungsprojekte\eng\EngData\AOS\Allgemein\[LabSamples2025.xlsx]Bioplastic'!F359)," ",'Q:\Abteilungsprojekte\eng\EngData\AOS\Allgemein\[LabSamples2025.xlsx]Bioplastic'!F359)</f>
        <v/>
      </c>
      <c r="G359">
        <f>IF(ISBLANK('Q:\Abteilungsprojekte\eng\EngData\AOS\Allgemein\[LabSamples2025.xlsx]Bioplastic'!G359)," ",'Q:\Abteilungsprojekte\eng\EngData\AOS\Allgemein\[LabSamples2025.xlsx]Bioplastic'!G359)</f>
        <v/>
      </c>
      <c r="H359">
        <f>IF(ISBLANK('Q:\Abteilungsprojekte\eng\EngData\AOS\Allgemein\[LabSamples2025.xlsx]Bioplastic'!H359)," ",'Q:\Abteilungsprojekte\eng\EngData\AOS\Allgemein\[LabSamples2025.xlsx]Bioplastic'!H359)</f>
        <v/>
      </c>
    </row>
    <row r="360">
      <c r="A360">
        <f>IF(ISBLANK('Q:\Abteilungsprojekte\eng\EngData\AOS\Allgemein\[LabSamples2025.xlsx]Bioplastic'!A360)," ",'Q:\Abteilungsprojekte\eng\EngData\AOS\Allgemein\[LabSamples2025.xlsx]Bioplastic'!A360)</f>
        <v/>
      </c>
      <c r="B360">
        <f>IF(ISBLANK('Q:\Abteilungsprojekte\eng\EngData\AOS\Allgemein\[LabSamples2025.xlsx]Bioplastic'!B360)," ",'Q:\Abteilungsprojekte\eng\EngData\AOS\Allgemein\[LabSamples2025.xlsx]Bioplastic'!B360)</f>
        <v/>
      </c>
      <c r="C360">
        <f>IF(ISBLANK('Q:\Abteilungsprojekte\eng\EngData\AOS\Allgemein\[LabSamples2025.xlsx]Bioplastic'!C360)," ",'Q:\Abteilungsprojekte\eng\EngData\AOS\Allgemein\[LabSamples2025.xlsx]Bioplastic'!C360)</f>
        <v/>
      </c>
      <c r="D360">
        <f>IF(ISBLANK('Q:\Abteilungsprojekte\eng\EngData\AOS\Allgemein\[LabSamples2025.xlsx]Bioplastic'!D360)," ",'Q:\Abteilungsprojekte\eng\EngData\AOS\Allgemein\[LabSamples2025.xlsx]Bioplastic'!D360)</f>
        <v/>
      </c>
      <c r="E360">
        <f>IF(ISBLANK('Q:\Abteilungsprojekte\eng\EngData\AOS\Allgemein\[LabSamples2025.xlsx]Bioplastic'!E360)," ",'Q:\Abteilungsprojekte\eng\EngData\AOS\Allgemein\[LabSamples2025.xlsx]Bioplastic'!E360)</f>
        <v/>
      </c>
      <c r="F360">
        <f>IF(ISBLANK('Q:\Abteilungsprojekte\eng\EngData\AOS\Allgemein\[LabSamples2025.xlsx]Bioplastic'!F360)," ",'Q:\Abteilungsprojekte\eng\EngData\AOS\Allgemein\[LabSamples2025.xlsx]Bioplastic'!F360)</f>
        <v/>
      </c>
      <c r="G360">
        <f>IF(ISBLANK('Q:\Abteilungsprojekte\eng\EngData\AOS\Allgemein\[LabSamples2025.xlsx]Bioplastic'!G360)," ",'Q:\Abteilungsprojekte\eng\EngData\AOS\Allgemein\[LabSamples2025.xlsx]Bioplastic'!G360)</f>
        <v/>
      </c>
      <c r="H360">
        <f>IF(ISBLANK('Q:\Abteilungsprojekte\eng\EngData\AOS\Allgemein\[LabSamples2025.xlsx]Bioplastic'!H360)," ",'Q:\Abteilungsprojekte\eng\EngData\AOS\Allgemein\[LabSamples2025.xlsx]Bioplastic'!H360)</f>
        <v/>
      </c>
    </row>
    <row r="361">
      <c r="A361">
        <f>IF(ISBLANK('Q:\Abteilungsprojekte\eng\EngData\AOS\Allgemein\[LabSamples2025.xlsx]Bioplastic'!A361)," ",'Q:\Abteilungsprojekte\eng\EngData\AOS\Allgemein\[LabSamples2025.xlsx]Bioplastic'!A361)</f>
        <v/>
      </c>
      <c r="B361">
        <f>IF(ISBLANK('Q:\Abteilungsprojekte\eng\EngData\AOS\Allgemein\[LabSamples2025.xlsx]Bioplastic'!B361)," ",'Q:\Abteilungsprojekte\eng\EngData\AOS\Allgemein\[LabSamples2025.xlsx]Bioplastic'!B361)</f>
        <v/>
      </c>
      <c r="C361">
        <f>IF(ISBLANK('Q:\Abteilungsprojekte\eng\EngData\AOS\Allgemein\[LabSamples2025.xlsx]Bioplastic'!C361)," ",'Q:\Abteilungsprojekte\eng\EngData\AOS\Allgemein\[LabSamples2025.xlsx]Bioplastic'!C361)</f>
        <v/>
      </c>
      <c r="D361">
        <f>IF(ISBLANK('Q:\Abteilungsprojekte\eng\EngData\AOS\Allgemein\[LabSamples2025.xlsx]Bioplastic'!D361)," ",'Q:\Abteilungsprojekte\eng\EngData\AOS\Allgemein\[LabSamples2025.xlsx]Bioplastic'!D361)</f>
        <v/>
      </c>
      <c r="E361">
        <f>IF(ISBLANK('Q:\Abteilungsprojekte\eng\EngData\AOS\Allgemein\[LabSamples2025.xlsx]Bioplastic'!E361)," ",'Q:\Abteilungsprojekte\eng\EngData\AOS\Allgemein\[LabSamples2025.xlsx]Bioplastic'!E361)</f>
        <v/>
      </c>
      <c r="F361">
        <f>IF(ISBLANK('Q:\Abteilungsprojekte\eng\EngData\AOS\Allgemein\[LabSamples2025.xlsx]Bioplastic'!F361)," ",'Q:\Abteilungsprojekte\eng\EngData\AOS\Allgemein\[LabSamples2025.xlsx]Bioplastic'!F361)</f>
        <v/>
      </c>
      <c r="G361">
        <f>IF(ISBLANK('Q:\Abteilungsprojekte\eng\EngData\AOS\Allgemein\[LabSamples2025.xlsx]Bioplastic'!G361)," ",'Q:\Abteilungsprojekte\eng\EngData\AOS\Allgemein\[LabSamples2025.xlsx]Bioplastic'!G361)</f>
        <v/>
      </c>
      <c r="H361">
        <f>IF(ISBLANK('Q:\Abteilungsprojekte\eng\EngData\AOS\Allgemein\[LabSamples2025.xlsx]Bioplastic'!H361)," ",'Q:\Abteilungsprojekte\eng\EngData\AOS\Allgemein\[LabSamples2025.xlsx]Bioplastic'!H361)</f>
        <v/>
      </c>
    </row>
    <row r="362">
      <c r="A362">
        <f>IF(ISBLANK('Q:\Abteilungsprojekte\eng\EngData\AOS\Allgemein\[LabSamples2025.xlsx]Bioplastic'!A362)," ",'Q:\Abteilungsprojekte\eng\EngData\AOS\Allgemein\[LabSamples2025.xlsx]Bioplastic'!A362)</f>
        <v/>
      </c>
      <c r="B362">
        <f>IF(ISBLANK('Q:\Abteilungsprojekte\eng\EngData\AOS\Allgemein\[LabSamples2025.xlsx]Bioplastic'!B362)," ",'Q:\Abteilungsprojekte\eng\EngData\AOS\Allgemein\[LabSamples2025.xlsx]Bioplastic'!B362)</f>
        <v/>
      </c>
      <c r="C362">
        <f>IF(ISBLANK('Q:\Abteilungsprojekte\eng\EngData\AOS\Allgemein\[LabSamples2025.xlsx]Bioplastic'!C362)," ",'Q:\Abteilungsprojekte\eng\EngData\AOS\Allgemein\[LabSamples2025.xlsx]Bioplastic'!C362)</f>
        <v/>
      </c>
      <c r="D362">
        <f>IF(ISBLANK('Q:\Abteilungsprojekte\eng\EngData\AOS\Allgemein\[LabSamples2025.xlsx]Bioplastic'!D362)," ",'Q:\Abteilungsprojekte\eng\EngData\AOS\Allgemein\[LabSamples2025.xlsx]Bioplastic'!D362)</f>
        <v/>
      </c>
      <c r="E362">
        <f>IF(ISBLANK('Q:\Abteilungsprojekte\eng\EngData\AOS\Allgemein\[LabSamples2025.xlsx]Bioplastic'!E362)," ",'Q:\Abteilungsprojekte\eng\EngData\AOS\Allgemein\[LabSamples2025.xlsx]Bioplastic'!E362)</f>
        <v/>
      </c>
      <c r="F362">
        <f>IF(ISBLANK('Q:\Abteilungsprojekte\eng\EngData\AOS\Allgemein\[LabSamples2025.xlsx]Bioplastic'!F362)," ",'Q:\Abteilungsprojekte\eng\EngData\AOS\Allgemein\[LabSamples2025.xlsx]Bioplastic'!F362)</f>
        <v/>
      </c>
      <c r="G362">
        <f>IF(ISBLANK('Q:\Abteilungsprojekte\eng\EngData\AOS\Allgemein\[LabSamples2025.xlsx]Bioplastic'!G362)," ",'Q:\Abteilungsprojekte\eng\EngData\AOS\Allgemein\[LabSamples2025.xlsx]Bioplastic'!G362)</f>
        <v/>
      </c>
      <c r="H362">
        <f>IF(ISBLANK('Q:\Abteilungsprojekte\eng\EngData\AOS\Allgemein\[LabSamples2025.xlsx]Bioplastic'!H362)," ",'Q:\Abteilungsprojekte\eng\EngData\AOS\Allgemein\[LabSamples2025.xlsx]Bioplastic'!H362)</f>
        <v/>
      </c>
    </row>
    <row r="363">
      <c r="A363">
        <f>IF(ISBLANK('Q:\Abteilungsprojekte\eng\EngData\AOS\Allgemein\[LabSamples2025.xlsx]Bioplastic'!A363)," ",'Q:\Abteilungsprojekte\eng\EngData\AOS\Allgemein\[LabSamples2025.xlsx]Bioplastic'!A363)</f>
        <v/>
      </c>
      <c r="B363">
        <f>IF(ISBLANK('Q:\Abteilungsprojekte\eng\EngData\AOS\Allgemein\[LabSamples2025.xlsx]Bioplastic'!B363)," ",'Q:\Abteilungsprojekte\eng\EngData\AOS\Allgemein\[LabSamples2025.xlsx]Bioplastic'!B363)</f>
        <v/>
      </c>
      <c r="C363">
        <f>IF(ISBLANK('Q:\Abteilungsprojekte\eng\EngData\AOS\Allgemein\[LabSamples2025.xlsx]Bioplastic'!C363)," ",'Q:\Abteilungsprojekte\eng\EngData\AOS\Allgemein\[LabSamples2025.xlsx]Bioplastic'!C363)</f>
        <v/>
      </c>
      <c r="D363">
        <f>IF(ISBLANK('Q:\Abteilungsprojekte\eng\EngData\AOS\Allgemein\[LabSamples2025.xlsx]Bioplastic'!D363)," ",'Q:\Abteilungsprojekte\eng\EngData\AOS\Allgemein\[LabSamples2025.xlsx]Bioplastic'!D363)</f>
        <v/>
      </c>
      <c r="E363">
        <f>IF(ISBLANK('Q:\Abteilungsprojekte\eng\EngData\AOS\Allgemein\[LabSamples2025.xlsx]Bioplastic'!E363)," ",'Q:\Abteilungsprojekte\eng\EngData\AOS\Allgemein\[LabSamples2025.xlsx]Bioplastic'!E363)</f>
        <v/>
      </c>
      <c r="F363">
        <f>IF(ISBLANK('Q:\Abteilungsprojekte\eng\EngData\AOS\Allgemein\[LabSamples2025.xlsx]Bioplastic'!F363)," ",'Q:\Abteilungsprojekte\eng\EngData\AOS\Allgemein\[LabSamples2025.xlsx]Bioplastic'!F363)</f>
        <v/>
      </c>
      <c r="G363">
        <f>IF(ISBLANK('Q:\Abteilungsprojekte\eng\EngData\AOS\Allgemein\[LabSamples2025.xlsx]Bioplastic'!G363)," ",'Q:\Abteilungsprojekte\eng\EngData\AOS\Allgemein\[LabSamples2025.xlsx]Bioplastic'!G363)</f>
        <v/>
      </c>
      <c r="H363">
        <f>IF(ISBLANK('Q:\Abteilungsprojekte\eng\EngData\AOS\Allgemein\[LabSamples2025.xlsx]Bioplastic'!H363)," ",'Q:\Abteilungsprojekte\eng\EngData\AOS\Allgemein\[LabSamples2025.xlsx]Bioplastic'!H363)</f>
        <v/>
      </c>
    </row>
    <row r="364">
      <c r="A364">
        <f>IF(ISBLANK('Q:\Abteilungsprojekte\eng\EngData\AOS\Allgemein\[LabSamples2025.xlsx]Bioplastic'!A364)," ",'Q:\Abteilungsprojekte\eng\EngData\AOS\Allgemein\[LabSamples2025.xlsx]Bioplastic'!A364)</f>
        <v/>
      </c>
      <c r="B364">
        <f>IF(ISBLANK('Q:\Abteilungsprojekte\eng\EngData\AOS\Allgemein\[LabSamples2025.xlsx]Bioplastic'!B364)," ",'Q:\Abteilungsprojekte\eng\EngData\AOS\Allgemein\[LabSamples2025.xlsx]Bioplastic'!B364)</f>
        <v/>
      </c>
      <c r="C364">
        <f>IF(ISBLANK('Q:\Abteilungsprojekte\eng\EngData\AOS\Allgemein\[LabSamples2025.xlsx]Bioplastic'!C364)," ",'Q:\Abteilungsprojekte\eng\EngData\AOS\Allgemein\[LabSamples2025.xlsx]Bioplastic'!C364)</f>
        <v/>
      </c>
      <c r="D364">
        <f>IF(ISBLANK('Q:\Abteilungsprojekte\eng\EngData\AOS\Allgemein\[LabSamples2025.xlsx]Bioplastic'!D364)," ",'Q:\Abteilungsprojekte\eng\EngData\AOS\Allgemein\[LabSamples2025.xlsx]Bioplastic'!D364)</f>
        <v/>
      </c>
      <c r="E364">
        <f>IF(ISBLANK('Q:\Abteilungsprojekte\eng\EngData\AOS\Allgemein\[LabSamples2025.xlsx]Bioplastic'!E364)," ",'Q:\Abteilungsprojekte\eng\EngData\AOS\Allgemein\[LabSamples2025.xlsx]Bioplastic'!E364)</f>
        <v/>
      </c>
      <c r="F364">
        <f>IF(ISBLANK('Q:\Abteilungsprojekte\eng\EngData\AOS\Allgemein\[LabSamples2025.xlsx]Bioplastic'!F364)," ",'Q:\Abteilungsprojekte\eng\EngData\AOS\Allgemein\[LabSamples2025.xlsx]Bioplastic'!F364)</f>
        <v/>
      </c>
      <c r="G364">
        <f>IF(ISBLANK('Q:\Abteilungsprojekte\eng\EngData\AOS\Allgemein\[LabSamples2025.xlsx]Bioplastic'!G364)," ",'Q:\Abteilungsprojekte\eng\EngData\AOS\Allgemein\[LabSamples2025.xlsx]Bioplastic'!G364)</f>
        <v/>
      </c>
      <c r="H364">
        <f>IF(ISBLANK('Q:\Abteilungsprojekte\eng\EngData\AOS\Allgemein\[LabSamples2025.xlsx]Bioplastic'!H364)," ",'Q:\Abteilungsprojekte\eng\EngData\AOS\Allgemein\[LabSamples2025.xlsx]Bioplastic'!H364)</f>
        <v/>
      </c>
    </row>
    <row r="365">
      <c r="A365">
        <f>IF(ISBLANK('Q:\Abteilungsprojekte\eng\EngData\AOS\Allgemein\[LabSamples2025.xlsx]Bioplastic'!A365)," ",'Q:\Abteilungsprojekte\eng\EngData\AOS\Allgemein\[LabSamples2025.xlsx]Bioplastic'!A365)</f>
        <v/>
      </c>
      <c r="B365">
        <f>IF(ISBLANK('Q:\Abteilungsprojekte\eng\EngData\AOS\Allgemein\[LabSamples2025.xlsx]Bioplastic'!B365)," ",'Q:\Abteilungsprojekte\eng\EngData\AOS\Allgemein\[LabSamples2025.xlsx]Bioplastic'!B365)</f>
        <v/>
      </c>
      <c r="C365">
        <f>IF(ISBLANK('Q:\Abteilungsprojekte\eng\EngData\AOS\Allgemein\[LabSamples2025.xlsx]Bioplastic'!C365)," ",'Q:\Abteilungsprojekte\eng\EngData\AOS\Allgemein\[LabSamples2025.xlsx]Bioplastic'!C365)</f>
        <v/>
      </c>
      <c r="D365">
        <f>IF(ISBLANK('Q:\Abteilungsprojekte\eng\EngData\AOS\Allgemein\[LabSamples2025.xlsx]Bioplastic'!D365)," ",'Q:\Abteilungsprojekte\eng\EngData\AOS\Allgemein\[LabSamples2025.xlsx]Bioplastic'!D365)</f>
        <v/>
      </c>
      <c r="E365">
        <f>IF(ISBLANK('Q:\Abteilungsprojekte\eng\EngData\AOS\Allgemein\[LabSamples2025.xlsx]Bioplastic'!E365)," ",'Q:\Abteilungsprojekte\eng\EngData\AOS\Allgemein\[LabSamples2025.xlsx]Bioplastic'!E365)</f>
        <v/>
      </c>
      <c r="F365">
        <f>IF(ISBLANK('Q:\Abteilungsprojekte\eng\EngData\AOS\Allgemein\[LabSamples2025.xlsx]Bioplastic'!F365)," ",'Q:\Abteilungsprojekte\eng\EngData\AOS\Allgemein\[LabSamples2025.xlsx]Bioplastic'!F365)</f>
        <v/>
      </c>
      <c r="G365">
        <f>IF(ISBLANK('Q:\Abteilungsprojekte\eng\EngData\AOS\Allgemein\[LabSamples2025.xlsx]Bioplastic'!G365)," ",'Q:\Abteilungsprojekte\eng\EngData\AOS\Allgemein\[LabSamples2025.xlsx]Bioplastic'!G365)</f>
        <v/>
      </c>
      <c r="H365">
        <f>IF(ISBLANK('Q:\Abteilungsprojekte\eng\EngData\AOS\Allgemein\[LabSamples2025.xlsx]Bioplastic'!H365)," ",'Q:\Abteilungsprojekte\eng\EngData\AOS\Allgemein\[LabSamples2025.xlsx]Bioplastic'!H365)</f>
        <v/>
      </c>
    </row>
    <row r="366">
      <c r="A366">
        <f>IF(ISBLANK('Q:\Abteilungsprojekte\eng\EngData\AOS\Allgemein\[LabSamples2025.xlsx]Bioplastic'!A366)," ",'Q:\Abteilungsprojekte\eng\EngData\AOS\Allgemein\[LabSamples2025.xlsx]Bioplastic'!A366)</f>
        <v/>
      </c>
      <c r="B366">
        <f>IF(ISBLANK('Q:\Abteilungsprojekte\eng\EngData\AOS\Allgemein\[LabSamples2025.xlsx]Bioplastic'!B366)," ",'Q:\Abteilungsprojekte\eng\EngData\AOS\Allgemein\[LabSamples2025.xlsx]Bioplastic'!B366)</f>
        <v/>
      </c>
      <c r="C366">
        <f>IF(ISBLANK('Q:\Abteilungsprojekte\eng\EngData\AOS\Allgemein\[LabSamples2025.xlsx]Bioplastic'!C366)," ",'Q:\Abteilungsprojekte\eng\EngData\AOS\Allgemein\[LabSamples2025.xlsx]Bioplastic'!C366)</f>
        <v/>
      </c>
      <c r="D366">
        <f>IF(ISBLANK('Q:\Abteilungsprojekte\eng\EngData\AOS\Allgemein\[LabSamples2025.xlsx]Bioplastic'!D366)," ",'Q:\Abteilungsprojekte\eng\EngData\AOS\Allgemein\[LabSamples2025.xlsx]Bioplastic'!D366)</f>
        <v/>
      </c>
      <c r="E366">
        <f>IF(ISBLANK('Q:\Abteilungsprojekte\eng\EngData\AOS\Allgemein\[LabSamples2025.xlsx]Bioplastic'!E366)," ",'Q:\Abteilungsprojekte\eng\EngData\AOS\Allgemein\[LabSamples2025.xlsx]Bioplastic'!E366)</f>
        <v/>
      </c>
      <c r="F366">
        <f>IF(ISBLANK('Q:\Abteilungsprojekte\eng\EngData\AOS\Allgemein\[LabSamples2025.xlsx]Bioplastic'!F366)," ",'Q:\Abteilungsprojekte\eng\EngData\AOS\Allgemein\[LabSamples2025.xlsx]Bioplastic'!F366)</f>
        <v/>
      </c>
      <c r="G366">
        <f>IF(ISBLANK('Q:\Abteilungsprojekte\eng\EngData\AOS\Allgemein\[LabSamples2025.xlsx]Bioplastic'!G366)," ",'Q:\Abteilungsprojekte\eng\EngData\AOS\Allgemein\[LabSamples2025.xlsx]Bioplastic'!G366)</f>
        <v/>
      </c>
      <c r="H366">
        <f>IF(ISBLANK('Q:\Abteilungsprojekte\eng\EngData\AOS\Allgemein\[LabSamples2025.xlsx]Bioplastic'!H366)," ",'Q:\Abteilungsprojekte\eng\EngData\AOS\Allgemein\[LabSamples2025.xlsx]Bioplastic'!H366)</f>
        <v/>
      </c>
    </row>
    <row r="367">
      <c r="A367">
        <f>IF(ISBLANK('Q:\Abteilungsprojekte\eng\EngData\AOS\Allgemein\[LabSamples2025.xlsx]Bioplastic'!A367)," ",'Q:\Abteilungsprojekte\eng\EngData\AOS\Allgemein\[LabSamples2025.xlsx]Bioplastic'!A367)</f>
        <v/>
      </c>
      <c r="B367">
        <f>IF(ISBLANK('Q:\Abteilungsprojekte\eng\EngData\AOS\Allgemein\[LabSamples2025.xlsx]Bioplastic'!B367)," ",'Q:\Abteilungsprojekte\eng\EngData\AOS\Allgemein\[LabSamples2025.xlsx]Bioplastic'!B367)</f>
        <v/>
      </c>
      <c r="C367">
        <f>IF(ISBLANK('Q:\Abteilungsprojekte\eng\EngData\AOS\Allgemein\[LabSamples2025.xlsx]Bioplastic'!C367)," ",'Q:\Abteilungsprojekte\eng\EngData\AOS\Allgemein\[LabSamples2025.xlsx]Bioplastic'!C367)</f>
        <v/>
      </c>
      <c r="D367">
        <f>IF(ISBLANK('Q:\Abteilungsprojekte\eng\EngData\AOS\Allgemein\[LabSamples2025.xlsx]Bioplastic'!D367)," ",'Q:\Abteilungsprojekte\eng\EngData\AOS\Allgemein\[LabSamples2025.xlsx]Bioplastic'!D367)</f>
        <v/>
      </c>
      <c r="E367">
        <f>IF(ISBLANK('Q:\Abteilungsprojekte\eng\EngData\AOS\Allgemein\[LabSamples2025.xlsx]Bioplastic'!E367)," ",'Q:\Abteilungsprojekte\eng\EngData\AOS\Allgemein\[LabSamples2025.xlsx]Bioplastic'!E367)</f>
        <v/>
      </c>
      <c r="F367">
        <f>IF(ISBLANK('Q:\Abteilungsprojekte\eng\EngData\AOS\Allgemein\[LabSamples2025.xlsx]Bioplastic'!F367)," ",'Q:\Abteilungsprojekte\eng\EngData\AOS\Allgemein\[LabSamples2025.xlsx]Bioplastic'!F367)</f>
        <v/>
      </c>
      <c r="G367">
        <f>IF(ISBLANK('Q:\Abteilungsprojekte\eng\EngData\AOS\Allgemein\[LabSamples2025.xlsx]Bioplastic'!G367)," ",'Q:\Abteilungsprojekte\eng\EngData\AOS\Allgemein\[LabSamples2025.xlsx]Bioplastic'!G367)</f>
        <v/>
      </c>
      <c r="H367">
        <f>IF(ISBLANK('Q:\Abteilungsprojekte\eng\EngData\AOS\Allgemein\[LabSamples2025.xlsx]Bioplastic'!H367)," ",'Q:\Abteilungsprojekte\eng\EngData\AOS\Allgemein\[LabSamples2025.xlsx]Bioplastic'!H367)</f>
        <v/>
      </c>
    </row>
    <row r="368">
      <c r="A368">
        <f>IF(ISBLANK('Q:\Abteilungsprojekte\eng\EngData\AOS\Allgemein\[LabSamples2025.xlsx]Bioplastic'!A368)," ",'Q:\Abteilungsprojekte\eng\EngData\AOS\Allgemein\[LabSamples2025.xlsx]Bioplastic'!A368)</f>
        <v/>
      </c>
      <c r="B368">
        <f>IF(ISBLANK('Q:\Abteilungsprojekte\eng\EngData\AOS\Allgemein\[LabSamples2025.xlsx]Bioplastic'!B368)," ",'Q:\Abteilungsprojekte\eng\EngData\AOS\Allgemein\[LabSamples2025.xlsx]Bioplastic'!B368)</f>
        <v/>
      </c>
      <c r="C368">
        <f>IF(ISBLANK('Q:\Abteilungsprojekte\eng\EngData\AOS\Allgemein\[LabSamples2025.xlsx]Bioplastic'!C368)," ",'Q:\Abteilungsprojekte\eng\EngData\AOS\Allgemein\[LabSamples2025.xlsx]Bioplastic'!C368)</f>
        <v/>
      </c>
      <c r="D368">
        <f>IF(ISBLANK('Q:\Abteilungsprojekte\eng\EngData\AOS\Allgemein\[LabSamples2025.xlsx]Bioplastic'!D368)," ",'Q:\Abteilungsprojekte\eng\EngData\AOS\Allgemein\[LabSamples2025.xlsx]Bioplastic'!D368)</f>
        <v/>
      </c>
      <c r="E368">
        <f>IF(ISBLANK('Q:\Abteilungsprojekte\eng\EngData\AOS\Allgemein\[LabSamples2025.xlsx]Bioplastic'!E368)," ",'Q:\Abteilungsprojekte\eng\EngData\AOS\Allgemein\[LabSamples2025.xlsx]Bioplastic'!E368)</f>
        <v/>
      </c>
      <c r="F368">
        <f>IF(ISBLANK('Q:\Abteilungsprojekte\eng\EngData\AOS\Allgemein\[LabSamples2025.xlsx]Bioplastic'!F368)," ",'Q:\Abteilungsprojekte\eng\EngData\AOS\Allgemein\[LabSamples2025.xlsx]Bioplastic'!F368)</f>
        <v/>
      </c>
      <c r="G368">
        <f>IF(ISBLANK('Q:\Abteilungsprojekte\eng\EngData\AOS\Allgemein\[LabSamples2025.xlsx]Bioplastic'!G368)," ",'Q:\Abteilungsprojekte\eng\EngData\AOS\Allgemein\[LabSamples2025.xlsx]Bioplastic'!G368)</f>
        <v/>
      </c>
      <c r="H368">
        <f>IF(ISBLANK('Q:\Abteilungsprojekte\eng\EngData\AOS\Allgemein\[LabSamples2025.xlsx]Bioplastic'!H368)," ",'Q:\Abteilungsprojekte\eng\EngData\AOS\Allgemein\[LabSamples2025.xlsx]Bioplastic'!H368)</f>
        <v/>
      </c>
    </row>
    <row r="369">
      <c r="A369">
        <f>IF(ISBLANK('Q:\Abteilungsprojekte\eng\EngData\AOS\Allgemein\[LabSamples2025.xlsx]Bioplastic'!A369)," ",'Q:\Abteilungsprojekte\eng\EngData\AOS\Allgemein\[LabSamples2025.xlsx]Bioplastic'!A369)</f>
        <v/>
      </c>
      <c r="B369">
        <f>IF(ISBLANK('Q:\Abteilungsprojekte\eng\EngData\AOS\Allgemein\[LabSamples2025.xlsx]Bioplastic'!B369)," ",'Q:\Abteilungsprojekte\eng\EngData\AOS\Allgemein\[LabSamples2025.xlsx]Bioplastic'!B369)</f>
        <v/>
      </c>
      <c r="C369">
        <f>IF(ISBLANK('Q:\Abteilungsprojekte\eng\EngData\AOS\Allgemein\[LabSamples2025.xlsx]Bioplastic'!C369)," ",'Q:\Abteilungsprojekte\eng\EngData\AOS\Allgemein\[LabSamples2025.xlsx]Bioplastic'!C369)</f>
        <v/>
      </c>
      <c r="D369">
        <f>IF(ISBLANK('Q:\Abteilungsprojekte\eng\EngData\AOS\Allgemein\[LabSamples2025.xlsx]Bioplastic'!D369)," ",'Q:\Abteilungsprojekte\eng\EngData\AOS\Allgemein\[LabSamples2025.xlsx]Bioplastic'!D369)</f>
        <v/>
      </c>
      <c r="E369">
        <f>IF(ISBLANK('Q:\Abteilungsprojekte\eng\EngData\AOS\Allgemein\[LabSamples2025.xlsx]Bioplastic'!E369)," ",'Q:\Abteilungsprojekte\eng\EngData\AOS\Allgemein\[LabSamples2025.xlsx]Bioplastic'!E369)</f>
        <v/>
      </c>
      <c r="F369">
        <f>IF(ISBLANK('Q:\Abteilungsprojekte\eng\EngData\AOS\Allgemein\[LabSamples2025.xlsx]Bioplastic'!F369)," ",'Q:\Abteilungsprojekte\eng\EngData\AOS\Allgemein\[LabSamples2025.xlsx]Bioplastic'!F369)</f>
        <v/>
      </c>
      <c r="G369">
        <f>IF(ISBLANK('Q:\Abteilungsprojekte\eng\EngData\AOS\Allgemein\[LabSamples2025.xlsx]Bioplastic'!G369)," ",'Q:\Abteilungsprojekte\eng\EngData\AOS\Allgemein\[LabSamples2025.xlsx]Bioplastic'!G369)</f>
        <v/>
      </c>
      <c r="H369">
        <f>IF(ISBLANK('Q:\Abteilungsprojekte\eng\EngData\AOS\Allgemein\[LabSamples2025.xlsx]Bioplastic'!H369)," ",'Q:\Abteilungsprojekte\eng\EngData\AOS\Allgemein\[LabSamples2025.xlsx]Bioplastic'!H369)</f>
        <v/>
      </c>
    </row>
    <row r="370">
      <c r="A370">
        <f>IF(ISBLANK('Q:\Abteilungsprojekte\eng\EngData\AOS\Allgemein\[LabSamples2025.xlsx]Bioplastic'!A370)," ",'Q:\Abteilungsprojekte\eng\EngData\AOS\Allgemein\[LabSamples2025.xlsx]Bioplastic'!A370)</f>
        <v/>
      </c>
      <c r="B370">
        <f>IF(ISBLANK('Q:\Abteilungsprojekte\eng\EngData\AOS\Allgemein\[LabSamples2025.xlsx]Bioplastic'!B370)," ",'Q:\Abteilungsprojekte\eng\EngData\AOS\Allgemein\[LabSamples2025.xlsx]Bioplastic'!B370)</f>
        <v/>
      </c>
      <c r="C370">
        <f>IF(ISBLANK('Q:\Abteilungsprojekte\eng\EngData\AOS\Allgemein\[LabSamples2025.xlsx]Bioplastic'!C370)," ",'Q:\Abteilungsprojekte\eng\EngData\AOS\Allgemein\[LabSamples2025.xlsx]Bioplastic'!C370)</f>
        <v/>
      </c>
      <c r="D370">
        <f>IF(ISBLANK('Q:\Abteilungsprojekte\eng\EngData\AOS\Allgemein\[LabSamples2025.xlsx]Bioplastic'!D370)," ",'Q:\Abteilungsprojekte\eng\EngData\AOS\Allgemein\[LabSamples2025.xlsx]Bioplastic'!D370)</f>
        <v/>
      </c>
      <c r="E370">
        <f>IF(ISBLANK('Q:\Abteilungsprojekte\eng\EngData\AOS\Allgemein\[LabSamples2025.xlsx]Bioplastic'!E370)," ",'Q:\Abteilungsprojekte\eng\EngData\AOS\Allgemein\[LabSamples2025.xlsx]Bioplastic'!E370)</f>
        <v/>
      </c>
      <c r="F370">
        <f>IF(ISBLANK('Q:\Abteilungsprojekte\eng\EngData\AOS\Allgemein\[LabSamples2025.xlsx]Bioplastic'!F370)," ",'Q:\Abteilungsprojekte\eng\EngData\AOS\Allgemein\[LabSamples2025.xlsx]Bioplastic'!F370)</f>
        <v/>
      </c>
      <c r="G370">
        <f>IF(ISBLANK('Q:\Abteilungsprojekte\eng\EngData\AOS\Allgemein\[LabSamples2025.xlsx]Bioplastic'!G370)," ",'Q:\Abteilungsprojekte\eng\EngData\AOS\Allgemein\[LabSamples2025.xlsx]Bioplastic'!G370)</f>
        <v/>
      </c>
      <c r="H370">
        <f>IF(ISBLANK('Q:\Abteilungsprojekte\eng\EngData\AOS\Allgemein\[LabSamples2025.xlsx]Bioplastic'!H370)," ",'Q:\Abteilungsprojekte\eng\EngData\AOS\Allgemein\[LabSamples2025.xlsx]Bioplastic'!H370)</f>
        <v/>
      </c>
    </row>
    <row r="371">
      <c r="A371">
        <f>IF(ISBLANK('Q:\Abteilungsprojekte\eng\EngData\AOS\Allgemein\[LabSamples2025.xlsx]Bioplastic'!A371)," ",'Q:\Abteilungsprojekte\eng\EngData\AOS\Allgemein\[LabSamples2025.xlsx]Bioplastic'!A371)</f>
        <v/>
      </c>
      <c r="B371">
        <f>IF(ISBLANK('Q:\Abteilungsprojekte\eng\EngData\AOS\Allgemein\[LabSamples2025.xlsx]Bioplastic'!B371)," ",'Q:\Abteilungsprojekte\eng\EngData\AOS\Allgemein\[LabSamples2025.xlsx]Bioplastic'!B371)</f>
        <v/>
      </c>
      <c r="C371">
        <f>IF(ISBLANK('Q:\Abteilungsprojekte\eng\EngData\AOS\Allgemein\[LabSamples2025.xlsx]Bioplastic'!C371)," ",'Q:\Abteilungsprojekte\eng\EngData\AOS\Allgemein\[LabSamples2025.xlsx]Bioplastic'!C371)</f>
        <v/>
      </c>
      <c r="D371">
        <f>IF(ISBLANK('Q:\Abteilungsprojekte\eng\EngData\AOS\Allgemein\[LabSamples2025.xlsx]Bioplastic'!D371)," ",'Q:\Abteilungsprojekte\eng\EngData\AOS\Allgemein\[LabSamples2025.xlsx]Bioplastic'!D371)</f>
        <v/>
      </c>
      <c r="E371">
        <f>IF(ISBLANK('Q:\Abteilungsprojekte\eng\EngData\AOS\Allgemein\[LabSamples2025.xlsx]Bioplastic'!E371)," ",'Q:\Abteilungsprojekte\eng\EngData\AOS\Allgemein\[LabSamples2025.xlsx]Bioplastic'!E371)</f>
        <v/>
      </c>
      <c r="F371">
        <f>IF(ISBLANK('Q:\Abteilungsprojekte\eng\EngData\AOS\Allgemein\[LabSamples2025.xlsx]Bioplastic'!F371)," ",'Q:\Abteilungsprojekte\eng\EngData\AOS\Allgemein\[LabSamples2025.xlsx]Bioplastic'!F371)</f>
        <v/>
      </c>
      <c r="G371">
        <f>IF(ISBLANK('Q:\Abteilungsprojekte\eng\EngData\AOS\Allgemein\[LabSamples2025.xlsx]Bioplastic'!G371)," ",'Q:\Abteilungsprojekte\eng\EngData\AOS\Allgemein\[LabSamples2025.xlsx]Bioplastic'!G371)</f>
        <v/>
      </c>
      <c r="H371">
        <f>IF(ISBLANK('Q:\Abteilungsprojekte\eng\EngData\AOS\Allgemein\[LabSamples2025.xlsx]Bioplastic'!H371)," ",'Q:\Abteilungsprojekte\eng\EngData\AOS\Allgemein\[LabSamples2025.xlsx]Bioplastic'!H371)</f>
        <v/>
      </c>
    </row>
    <row r="372">
      <c r="A372">
        <f>IF(ISBLANK('Q:\Abteilungsprojekte\eng\EngData\AOS\Allgemein\[LabSamples2025.xlsx]Bioplastic'!A372)," ",'Q:\Abteilungsprojekte\eng\EngData\AOS\Allgemein\[LabSamples2025.xlsx]Bioplastic'!A372)</f>
        <v/>
      </c>
      <c r="B372">
        <f>IF(ISBLANK('Q:\Abteilungsprojekte\eng\EngData\AOS\Allgemein\[LabSamples2025.xlsx]Bioplastic'!B372)," ",'Q:\Abteilungsprojekte\eng\EngData\AOS\Allgemein\[LabSamples2025.xlsx]Bioplastic'!B372)</f>
        <v/>
      </c>
      <c r="C372">
        <f>IF(ISBLANK('Q:\Abteilungsprojekte\eng\EngData\AOS\Allgemein\[LabSamples2025.xlsx]Bioplastic'!C372)," ",'Q:\Abteilungsprojekte\eng\EngData\AOS\Allgemein\[LabSamples2025.xlsx]Bioplastic'!C372)</f>
        <v/>
      </c>
      <c r="D372">
        <f>IF(ISBLANK('Q:\Abteilungsprojekte\eng\EngData\AOS\Allgemein\[LabSamples2025.xlsx]Bioplastic'!D372)," ",'Q:\Abteilungsprojekte\eng\EngData\AOS\Allgemein\[LabSamples2025.xlsx]Bioplastic'!D372)</f>
        <v/>
      </c>
      <c r="E372">
        <f>IF(ISBLANK('Q:\Abteilungsprojekte\eng\EngData\AOS\Allgemein\[LabSamples2025.xlsx]Bioplastic'!E372)," ",'Q:\Abteilungsprojekte\eng\EngData\AOS\Allgemein\[LabSamples2025.xlsx]Bioplastic'!E372)</f>
        <v/>
      </c>
      <c r="F372">
        <f>IF(ISBLANK('Q:\Abteilungsprojekte\eng\EngData\AOS\Allgemein\[LabSamples2025.xlsx]Bioplastic'!F372)," ",'Q:\Abteilungsprojekte\eng\EngData\AOS\Allgemein\[LabSamples2025.xlsx]Bioplastic'!F372)</f>
        <v/>
      </c>
      <c r="G372">
        <f>IF(ISBLANK('Q:\Abteilungsprojekte\eng\EngData\AOS\Allgemein\[LabSamples2025.xlsx]Bioplastic'!G372)," ",'Q:\Abteilungsprojekte\eng\EngData\AOS\Allgemein\[LabSamples2025.xlsx]Bioplastic'!G372)</f>
        <v/>
      </c>
      <c r="H372">
        <f>IF(ISBLANK('Q:\Abteilungsprojekte\eng\EngData\AOS\Allgemein\[LabSamples2025.xlsx]Bioplastic'!H372)," ",'Q:\Abteilungsprojekte\eng\EngData\AOS\Allgemein\[LabSamples2025.xlsx]Bioplastic'!H372)</f>
        <v/>
      </c>
    </row>
    <row r="373">
      <c r="A373">
        <f>IF(ISBLANK('Q:\Abteilungsprojekte\eng\EngData\AOS\Allgemein\[LabSamples2025.xlsx]Bioplastic'!A373)," ",'Q:\Abteilungsprojekte\eng\EngData\AOS\Allgemein\[LabSamples2025.xlsx]Bioplastic'!A373)</f>
        <v/>
      </c>
      <c r="B373">
        <f>IF(ISBLANK('Q:\Abteilungsprojekte\eng\EngData\AOS\Allgemein\[LabSamples2025.xlsx]Bioplastic'!B373)," ",'Q:\Abteilungsprojekte\eng\EngData\AOS\Allgemein\[LabSamples2025.xlsx]Bioplastic'!B373)</f>
        <v/>
      </c>
      <c r="C373">
        <f>IF(ISBLANK('Q:\Abteilungsprojekte\eng\EngData\AOS\Allgemein\[LabSamples2025.xlsx]Bioplastic'!C373)," ",'Q:\Abteilungsprojekte\eng\EngData\AOS\Allgemein\[LabSamples2025.xlsx]Bioplastic'!C373)</f>
        <v/>
      </c>
      <c r="D373">
        <f>IF(ISBLANK('Q:\Abteilungsprojekte\eng\EngData\AOS\Allgemein\[LabSamples2025.xlsx]Bioplastic'!D373)," ",'Q:\Abteilungsprojekte\eng\EngData\AOS\Allgemein\[LabSamples2025.xlsx]Bioplastic'!D373)</f>
        <v/>
      </c>
      <c r="E373">
        <f>IF(ISBLANK('Q:\Abteilungsprojekte\eng\EngData\AOS\Allgemein\[LabSamples2025.xlsx]Bioplastic'!E373)," ",'Q:\Abteilungsprojekte\eng\EngData\AOS\Allgemein\[LabSamples2025.xlsx]Bioplastic'!E373)</f>
        <v/>
      </c>
      <c r="F373">
        <f>IF(ISBLANK('Q:\Abteilungsprojekte\eng\EngData\AOS\Allgemein\[LabSamples2025.xlsx]Bioplastic'!F373)," ",'Q:\Abteilungsprojekte\eng\EngData\AOS\Allgemein\[LabSamples2025.xlsx]Bioplastic'!F373)</f>
        <v/>
      </c>
      <c r="G373">
        <f>IF(ISBLANK('Q:\Abteilungsprojekte\eng\EngData\AOS\Allgemein\[LabSamples2025.xlsx]Bioplastic'!G373)," ",'Q:\Abteilungsprojekte\eng\EngData\AOS\Allgemein\[LabSamples2025.xlsx]Bioplastic'!G373)</f>
        <v/>
      </c>
      <c r="H373">
        <f>IF(ISBLANK('Q:\Abteilungsprojekte\eng\EngData\AOS\Allgemein\[LabSamples2025.xlsx]Bioplastic'!H373)," ",'Q:\Abteilungsprojekte\eng\EngData\AOS\Allgemein\[LabSamples2025.xlsx]Bioplastic'!H373)</f>
        <v/>
      </c>
    </row>
    <row r="374">
      <c r="A374">
        <f>IF(ISBLANK('Q:\Abteilungsprojekte\eng\EngData\AOS\Allgemein\[LabSamples2025.xlsx]Bioplastic'!A374)," ",'Q:\Abteilungsprojekte\eng\EngData\AOS\Allgemein\[LabSamples2025.xlsx]Bioplastic'!A374)</f>
        <v/>
      </c>
      <c r="B374">
        <f>IF(ISBLANK('Q:\Abteilungsprojekte\eng\EngData\AOS\Allgemein\[LabSamples2025.xlsx]Bioplastic'!B374)," ",'Q:\Abteilungsprojekte\eng\EngData\AOS\Allgemein\[LabSamples2025.xlsx]Bioplastic'!B374)</f>
        <v/>
      </c>
      <c r="C374">
        <f>IF(ISBLANK('Q:\Abteilungsprojekte\eng\EngData\AOS\Allgemein\[LabSamples2025.xlsx]Bioplastic'!C374)," ",'Q:\Abteilungsprojekte\eng\EngData\AOS\Allgemein\[LabSamples2025.xlsx]Bioplastic'!C374)</f>
        <v/>
      </c>
      <c r="D374">
        <f>IF(ISBLANK('Q:\Abteilungsprojekte\eng\EngData\AOS\Allgemein\[LabSamples2025.xlsx]Bioplastic'!D374)," ",'Q:\Abteilungsprojekte\eng\EngData\AOS\Allgemein\[LabSamples2025.xlsx]Bioplastic'!D374)</f>
        <v/>
      </c>
      <c r="E374">
        <f>IF(ISBLANK('Q:\Abteilungsprojekte\eng\EngData\AOS\Allgemein\[LabSamples2025.xlsx]Bioplastic'!E374)," ",'Q:\Abteilungsprojekte\eng\EngData\AOS\Allgemein\[LabSamples2025.xlsx]Bioplastic'!E374)</f>
        <v/>
      </c>
      <c r="F374">
        <f>IF(ISBLANK('Q:\Abteilungsprojekte\eng\EngData\AOS\Allgemein\[LabSamples2025.xlsx]Bioplastic'!F374)," ",'Q:\Abteilungsprojekte\eng\EngData\AOS\Allgemein\[LabSamples2025.xlsx]Bioplastic'!F374)</f>
        <v/>
      </c>
      <c r="G374">
        <f>IF(ISBLANK('Q:\Abteilungsprojekte\eng\EngData\AOS\Allgemein\[LabSamples2025.xlsx]Bioplastic'!G374)," ",'Q:\Abteilungsprojekte\eng\EngData\AOS\Allgemein\[LabSamples2025.xlsx]Bioplastic'!G374)</f>
        <v/>
      </c>
      <c r="H374">
        <f>IF(ISBLANK('Q:\Abteilungsprojekte\eng\EngData\AOS\Allgemein\[LabSamples2025.xlsx]Bioplastic'!H374)," ",'Q:\Abteilungsprojekte\eng\EngData\AOS\Allgemein\[LabSamples2025.xlsx]Bioplastic'!H374)</f>
        <v/>
      </c>
    </row>
    <row r="375">
      <c r="A375">
        <f>IF(ISBLANK('Q:\Abteilungsprojekte\eng\EngData\AOS\Allgemein\[LabSamples2025.xlsx]Bioplastic'!A375)," ",'Q:\Abteilungsprojekte\eng\EngData\AOS\Allgemein\[LabSamples2025.xlsx]Bioplastic'!A375)</f>
        <v/>
      </c>
      <c r="B375">
        <f>IF(ISBLANK('Q:\Abteilungsprojekte\eng\EngData\AOS\Allgemein\[LabSamples2025.xlsx]Bioplastic'!B375)," ",'Q:\Abteilungsprojekte\eng\EngData\AOS\Allgemein\[LabSamples2025.xlsx]Bioplastic'!B375)</f>
        <v/>
      </c>
      <c r="C375">
        <f>IF(ISBLANK('Q:\Abteilungsprojekte\eng\EngData\AOS\Allgemein\[LabSamples2025.xlsx]Bioplastic'!C375)," ",'Q:\Abteilungsprojekte\eng\EngData\AOS\Allgemein\[LabSamples2025.xlsx]Bioplastic'!C375)</f>
        <v/>
      </c>
      <c r="D375">
        <f>IF(ISBLANK('Q:\Abteilungsprojekte\eng\EngData\AOS\Allgemein\[LabSamples2025.xlsx]Bioplastic'!D375)," ",'Q:\Abteilungsprojekte\eng\EngData\AOS\Allgemein\[LabSamples2025.xlsx]Bioplastic'!D375)</f>
        <v/>
      </c>
      <c r="E375">
        <f>IF(ISBLANK('Q:\Abteilungsprojekte\eng\EngData\AOS\Allgemein\[LabSamples2025.xlsx]Bioplastic'!E375)," ",'Q:\Abteilungsprojekte\eng\EngData\AOS\Allgemein\[LabSamples2025.xlsx]Bioplastic'!E375)</f>
        <v/>
      </c>
      <c r="F375">
        <f>IF(ISBLANK('Q:\Abteilungsprojekte\eng\EngData\AOS\Allgemein\[LabSamples2025.xlsx]Bioplastic'!F375)," ",'Q:\Abteilungsprojekte\eng\EngData\AOS\Allgemein\[LabSamples2025.xlsx]Bioplastic'!F375)</f>
        <v/>
      </c>
      <c r="G375">
        <f>IF(ISBLANK('Q:\Abteilungsprojekte\eng\EngData\AOS\Allgemein\[LabSamples2025.xlsx]Bioplastic'!G375)," ",'Q:\Abteilungsprojekte\eng\EngData\AOS\Allgemein\[LabSamples2025.xlsx]Bioplastic'!G375)</f>
        <v/>
      </c>
      <c r="H375">
        <f>IF(ISBLANK('Q:\Abteilungsprojekte\eng\EngData\AOS\Allgemein\[LabSamples2025.xlsx]Bioplastic'!H375)," ",'Q:\Abteilungsprojekte\eng\EngData\AOS\Allgemein\[LabSamples2025.xlsx]Bioplastic'!H375)</f>
        <v/>
      </c>
    </row>
    <row r="376">
      <c r="A376">
        <f>IF(ISBLANK('Q:\Abteilungsprojekte\eng\EngData\AOS\Allgemein\[LabSamples2025.xlsx]Bioplastic'!A376)," ",'Q:\Abteilungsprojekte\eng\EngData\AOS\Allgemein\[LabSamples2025.xlsx]Bioplastic'!A376)</f>
        <v/>
      </c>
      <c r="B376">
        <f>IF(ISBLANK('Q:\Abteilungsprojekte\eng\EngData\AOS\Allgemein\[LabSamples2025.xlsx]Bioplastic'!B376)," ",'Q:\Abteilungsprojekte\eng\EngData\AOS\Allgemein\[LabSamples2025.xlsx]Bioplastic'!B376)</f>
        <v/>
      </c>
      <c r="C376">
        <f>IF(ISBLANK('Q:\Abteilungsprojekte\eng\EngData\AOS\Allgemein\[LabSamples2025.xlsx]Bioplastic'!C376)," ",'Q:\Abteilungsprojekte\eng\EngData\AOS\Allgemein\[LabSamples2025.xlsx]Bioplastic'!C376)</f>
        <v/>
      </c>
      <c r="D376">
        <f>IF(ISBLANK('Q:\Abteilungsprojekte\eng\EngData\AOS\Allgemein\[LabSamples2025.xlsx]Bioplastic'!D376)," ",'Q:\Abteilungsprojekte\eng\EngData\AOS\Allgemein\[LabSamples2025.xlsx]Bioplastic'!D376)</f>
        <v/>
      </c>
      <c r="E376">
        <f>IF(ISBLANK('Q:\Abteilungsprojekte\eng\EngData\AOS\Allgemein\[LabSamples2025.xlsx]Bioplastic'!E376)," ",'Q:\Abteilungsprojekte\eng\EngData\AOS\Allgemein\[LabSamples2025.xlsx]Bioplastic'!E376)</f>
        <v/>
      </c>
      <c r="F376">
        <f>IF(ISBLANK('Q:\Abteilungsprojekte\eng\EngData\AOS\Allgemein\[LabSamples2025.xlsx]Bioplastic'!F376)," ",'Q:\Abteilungsprojekte\eng\EngData\AOS\Allgemein\[LabSamples2025.xlsx]Bioplastic'!F376)</f>
        <v/>
      </c>
      <c r="G376">
        <f>IF(ISBLANK('Q:\Abteilungsprojekte\eng\EngData\AOS\Allgemein\[LabSamples2025.xlsx]Bioplastic'!G376)," ",'Q:\Abteilungsprojekte\eng\EngData\AOS\Allgemein\[LabSamples2025.xlsx]Bioplastic'!G376)</f>
        <v/>
      </c>
      <c r="H376">
        <f>IF(ISBLANK('Q:\Abteilungsprojekte\eng\EngData\AOS\Allgemein\[LabSamples2025.xlsx]Bioplastic'!H376)," ",'Q:\Abteilungsprojekte\eng\EngData\AOS\Allgemein\[LabSamples2025.xlsx]Bioplastic'!H376)</f>
        <v/>
      </c>
    </row>
    <row r="377">
      <c r="A377">
        <f>IF(ISBLANK('Q:\Abteilungsprojekte\eng\EngData\AOS\Allgemein\[LabSamples2025.xlsx]Bioplastic'!A377)," ",'Q:\Abteilungsprojekte\eng\EngData\AOS\Allgemein\[LabSamples2025.xlsx]Bioplastic'!A377)</f>
        <v/>
      </c>
      <c r="B377">
        <f>IF(ISBLANK('Q:\Abteilungsprojekte\eng\EngData\AOS\Allgemein\[LabSamples2025.xlsx]Bioplastic'!B377)," ",'Q:\Abteilungsprojekte\eng\EngData\AOS\Allgemein\[LabSamples2025.xlsx]Bioplastic'!B377)</f>
        <v/>
      </c>
      <c r="C377">
        <f>IF(ISBLANK('Q:\Abteilungsprojekte\eng\EngData\AOS\Allgemein\[LabSamples2025.xlsx]Bioplastic'!C377)," ",'Q:\Abteilungsprojekte\eng\EngData\AOS\Allgemein\[LabSamples2025.xlsx]Bioplastic'!C377)</f>
        <v/>
      </c>
      <c r="D377">
        <f>IF(ISBLANK('Q:\Abteilungsprojekte\eng\EngData\AOS\Allgemein\[LabSamples2025.xlsx]Bioplastic'!D377)," ",'Q:\Abteilungsprojekte\eng\EngData\AOS\Allgemein\[LabSamples2025.xlsx]Bioplastic'!D377)</f>
        <v/>
      </c>
      <c r="E377">
        <f>IF(ISBLANK('Q:\Abteilungsprojekte\eng\EngData\AOS\Allgemein\[LabSamples2025.xlsx]Bioplastic'!E377)," ",'Q:\Abteilungsprojekte\eng\EngData\AOS\Allgemein\[LabSamples2025.xlsx]Bioplastic'!E377)</f>
        <v/>
      </c>
      <c r="F377">
        <f>IF(ISBLANK('Q:\Abteilungsprojekte\eng\EngData\AOS\Allgemein\[LabSamples2025.xlsx]Bioplastic'!F377)," ",'Q:\Abteilungsprojekte\eng\EngData\AOS\Allgemein\[LabSamples2025.xlsx]Bioplastic'!F377)</f>
        <v/>
      </c>
      <c r="G377">
        <f>IF(ISBLANK('Q:\Abteilungsprojekte\eng\EngData\AOS\Allgemein\[LabSamples2025.xlsx]Bioplastic'!G377)," ",'Q:\Abteilungsprojekte\eng\EngData\AOS\Allgemein\[LabSamples2025.xlsx]Bioplastic'!G377)</f>
        <v/>
      </c>
      <c r="H377">
        <f>IF(ISBLANK('Q:\Abteilungsprojekte\eng\EngData\AOS\Allgemein\[LabSamples2025.xlsx]Bioplastic'!H377)," ",'Q:\Abteilungsprojekte\eng\EngData\AOS\Allgemein\[LabSamples2025.xlsx]Bioplastic'!H377)</f>
        <v/>
      </c>
    </row>
    <row r="378">
      <c r="A378">
        <f>IF(ISBLANK('Q:\Abteilungsprojekte\eng\EngData\AOS\Allgemein\[LabSamples2025.xlsx]Bioplastic'!A378)," ",'Q:\Abteilungsprojekte\eng\EngData\AOS\Allgemein\[LabSamples2025.xlsx]Bioplastic'!A378)</f>
        <v/>
      </c>
      <c r="B378">
        <f>IF(ISBLANK('Q:\Abteilungsprojekte\eng\EngData\AOS\Allgemein\[LabSamples2025.xlsx]Bioplastic'!B378)," ",'Q:\Abteilungsprojekte\eng\EngData\AOS\Allgemein\[LabSamples2025.xlsx]Bioplastic'!B378)</f>
        <v/>
      </c>
      <c r="C378">
        <f>IF(ISBLANK('Q:\Abteilungsprojekte\eng\EngData\AOS\Allgemein\[LabSamples2025.xlsx]Bioplastic'!C378)," ",'Q:\Abteilungsprojekte\eng\EngData\AOS\Allgemein\[LabSamples2025.xlsx]Bioplastic'!C378)</f>
        <v/>
      </c>
      <c r="D378">
        <f>IF(ISBLANK('Q:\Abteilungsprojekte\eng\EngData\AOS\Allgemein\[LabSamples2025.xlsx]Bioplastic'!D378)," ",'Q:\Abteilungsprojekte\eng\EngData\AOS\Allgemein\[LabSamples2025.xlsx]Bioplastic'!D378)</f>
        <v/>
      </c>
      <c r="E378">
        <f>IF(ISBLANK('Q:\Abteilungsprojekte\eng\EngData\AOS\Allgemein\[LabSamples2025.xlsx]Bioplastic'!E378)," ",'Q:\Abteilungsprojekte\eng\EngData\AOS\Allgemein\[LabSamples2025.xlsx]Bioplastic'!E378)</f>
        <v/>
      </c>
      <c r="F378">
        <f>IF(ISBLANK('Q:\Abteilungsprojekte\eng\EngData\AOS\Allgemein\[LabSamples2025.xlsx]Bioplastic'!F378)," ",'Q:\Abteilungsprojekte\eng\EngData\AOS\Allgemein\[LabSamples2025.xlsx]Bioplastic'!F378)</f>
        <v/>
      </c>
      <c r="G378">
        <f>IF(ISBLANK('Q:\Abteilungsprojekte\eng\EngData\AOS\Allgemein\[LabSamples2025.xlsx]Bioplastic'!G378)," ",'Q:\Abteilungsprojekte\eng\EngData\AOS\Allgemein\[LabSamples2025.xlsx]Bioplastic'!G378)</f>
        <v/>
      </c>
      <c r="H378">
        <f>IF(ISBLANK('Q:\Abteilungsprojekte\eng\EngData\AOS\Allgemein\[LabSamples2025.xlsx]Bioplastic'!H378)," ",'Q:\Abteilungsprojekte\eng\EngData\AOS\Allgemein\[LabSamples2025.xlsx]Bioplastic'!H378)</f>
        <v/>
      </c>
    </row>
    <row r="379">
      <c r="A379">
        <f>IF(ISBLANK('Q:\Abteilungsprojekte\eng\EngData\AOS\Allgemein\[LabSamples2025.xlsx]Bioplastic'!A379)," ",'Q:\Abteilungsprojekte\eng\EngData\AOS\Allgemein\[LabSamples2025.xlsx]Bioplastic'!A379)</f>
        <v/>
      </c>
      <c r="B379">
        <f>IF(ISBLANK('Q:\Abteilungsprojekte\eng\EngData\AOS\Allgemein\[LabSamples2025.xlsx]Bioplastic'!B379)," ",'Q:\Abteilungsprojekte\eng\EngData\AOS\Allgemein\[LabSamples2025.xlsx]Bioplastic'!B379)</f>
        <v/>
      </c>
      <c r="C379">
        <f>IF(ISBLANK('Q:\Abteilungsprojekte\eng\EngData\AOS\Allgemein\[LabSamples2025.xlsx]Bioplastic'!C379)," ",'Q:\Abteilungsprojekte\eng\EngData\AOS\Allgemein\[LabSamples2025.xlsx]Bioplastic'!C379)</f>
        <v/>
      </c>
      <c r="D379">
        <f>IF(ISBLANK('Q:\Abteilungsprojekte\eng\EngData\AOS\Allgemein\[LabSamples2025.xlsx]Bioplastic'!D379)," ",'Q:\Abteilungsprojekte\eng\EngData\AOS\Allgemein\[LabSamples2025.xlsx]Bioplastic'!D379)</f>
        <v/>
      </c>
      <c r="E379">
        <f>IF(ISBLANK('Q:\Abteilungsprojekte\eng\EngData\AOS\Allgemein\[LabSamples2025.xlsx]Bioplastic'!E379)," ",'Q:\Abteilungsprojekte\eng\EngData\AOS\Allgemein\[LabSamples2025.xlsx]Bioplastic'!E379)</f>
        <v/>
      </c>
      <c r="F379">
        <f>IF(ISBLANK('Q:\Abteilungsprojekte\eng\EngData\AOS\Allgemein\[LabSamples2025.xlsx]Bioplastic'!F379)," ",'Q:\Abteilungsprojekte\eng\EngData\AOS\Allgemein\[LabSamples2025.xlsx]Bioplastic'!F379)</f>
        <v/>
      </c>
      <c r="G379">
        <f>IF(ISBLANK('Q:\Abteilungsprojekte\eng\EngData\AOS\Allgemein\[LabSamples2025.xlsx]Bioplastic'!G379)," ",'Q:\Abteilungsprojekte\eng\EngData\AOS\Allgemein\[LabSamples2025.xlsx]Bioplastic'!G379)</f>
        <v/>
      </c>
      <c r="H379">
        <f>IF(ISBLANK('Q:\Abteilungsprojekte\eng\EngData\AOS\Allgemein\[LabSamples2025.xlsx]Bioplastic'!H379)," ",'Q:\Abteilungsprojekte\eng\EngData\AOS\Allgemein\[LabSamples2025.xlsx]Bioplastic'!H379)</f>
        <v/>
      </c>
    </row>
    <row r="380">
      <c r="A380">
        <f>IF(ISBLANK('Q:\Abteilungsprojekte\eng\EngData\AOS\Allgemein\[LabSamples2025.xlsx]Bioplastic'!A380)," ",'Q:\Abteilungsprojekte\eng\EngData\AOS\Allgemein\[LabSamples2025.xlsx]Bioplastic'!A380)</f>
        <v/>
      </c>
      <c r="B380">
        <f>IF(ISBLANK('Q:\Abteilungsprojekte\eng\EngData\AOS\Allgemein\[LabSamples2025.xlsx]Bioplastic'!B380)," ",'Q:\Abteilungsprojekte\eng\EngData\AOS\Allgemein\[LabSamples2025.xlsx]Bioplastic'!B380)</f>
        <v/>
      </c>
      <c r="C380">
        <f>IF(ISBLANK('Q:\Abteilungsprojekte\eng\EngData\AOS\Allgemein\[LabSamples2025.xlsx]Bioplastic'!C380)," ",'Q:\Abteilungsprojekte\eng\EngData\AOS\Allgemein\[LabSamples2025.xlsx]Bioplastic'!C380)</f>
        <v/>
      </c>
      <c r="D380">
        <f>IF(ISBLANK('Q:\Abteilungsprojekte\eng\EngData\AOS\Allgemein\[LabSamples2025.xlsx]Bioplastic'!D380)," ",'Q:\Abteilungsprojekte\eng\EngData\AOS\Allgemein\[LabSamples2025.xlsx]Bioplastic'!D380)</f>
        <v/>
      </c>
      <c r="E380">
        <f>IF(ISBLANK('Q:\Abteilungsprojekte\eng\EngData\AOS\Allgemein\[LabSamples2025.xlsx]Bioplastic'!E380)," ",'Q:\Abteilungsprojekte\eng\EngData\AOS\Allgemein\[LabSamples2025.xlsx]Bioplastic'!E380)</f>
        <v/>
      </c>
      <c r="F380">
        <f>IF(ISBLANK('Q:\Abteilungsprojekte\eng\EngData\AOS\Allgemein\[LabSamples2025.xlsx]Bioplastic'!F380)," ",'Q:\Abteilungsprojekte\eng\EngData\AOS\Allgemein\[LabSamples2025.xlsx]Bioplastic'!F380)</f>
        <v/>
      </c>
      <c r="G380">
        <f>IF(ISBLANK('Q:\Abteilungsprojekte\eng\EngData\AOS\Allgemein\[LabSamples2025.xlsx]Bioplastic'!G380)," ",'Q:\Abteilungsprojekte\eng\EngData\AOS\Allgemein\[LabSamples2025.xlsx]Bioplastic'!G380)</f>
        <v/>
      </c>
      <c r="H380">
        <f>IF(ISBLANK('Q:\Abteilungsprojekte\eng\EngData\AOS\Allgemein\[LabSamples2025.xlsx]Bioplastic'!H380)," ",'Q:\Abteilungsprojekte\eng\EngData\AOS\Allgemein\[LabSamples2025.xlsx]Bioplastic'!H380)</f>
        <v/>
      </c>
    </row>
    <row r="381">
      <c r="A381">
        <f>IF(ISBLANK('Q:\Abteilungsprojekte\eng\EngData\AOS\Allgemein\[LabSamples2025.xlsx]Bioplastic'!A381)," ",'Q:\Abteilungsprojekte\eng\EngData\AOS\Allgemein\[LabSamples2025.xlsx]Bioplastic'!A381)</f>
        <v/>
      </c>
      <c r="B381">
        <f>IF(ISBLANK('Q:\Abteilungsprojekte\eng\EngData\AOS\Allgemein\[LabSamples2025.xlsx]Bioplastic'!B381)," ",'Q:\Abteilungsprojekte\eng\EngData\AOS\Allgemein\[LabSamples2025.xlsx]Bioplastic'!B381)</f>
        <v/>
      </c>
      <c r="C381">
        <f>IF(ISBLANK('Q:\Abteilungsprojekte\eng\EngData\AOS\Allgemein\[LabSamples2025.xlsx]Bioplastic'!C381)," ",'Q:\Abteilungsprojekte\eng\EngData\AOS\Allgemein\[LabSamples2025.xlsx]Bioplastic'!C381)</f>
        <v/>
      </c>
      <c r="D381">
        <f>IF(ISBLANK('Q:\Abteilungsprojekte\eng\EngData\AOS\Allgemein\[LabSamples2025.xlsx]Bioplastic'!D381)," ",'Q:\Abteilungsprojekte\eng\EngData\AOS\Allgemein\[LabSamples2025.xlsx]Bioplastic'!D381)</f>
        <v/>
      </c>
      <c r="E381">
        <f>IF(ISBLANK('Q:\Abteilungsprojekte\eng\EngData\AOS\Allgemein\[LabSamples2025.xlsx]Bioplastic'!E381)," ",'Q:\Abteilungsprojekte\eng\EngData\AOS\Allgemein\[LabSamples2025.xlsx]Bioplastic'!E381)</f>
        <v/>
      </c>
      <c r="F381">
        <f>IF(ISBLANK('Q:\Abteilungsprojekte\eng\EngData\AOS\Allgemein\[LabSamples2025.xlsx]Bioplastic'!F381)," ",'Q:\Abteilungsprojekte\eng\EngData\AOS\Allgemein\[LabSamples2025.xlsx]Bioplastic'!F381)</f>
        <v/>
      </c>
      <c r="G381">
        <f>IF(ISBLANK('Q:\Abteilungsprojekte\eng\EngData\AOS\Allgemein\[LabSamples2025.xlsx]Bioplastic'!G381)," ",'Q:\Abteilungsprojekte\eng\EngData\AOS\Allgemein\[LabSamples2025.xlsx]Bioplastic'!G381)</f>
        <v/>
      </c>
      <c r="H381">
        <f>IF(ISBLANK('Q:\Abteilungsprojekte\eng\EngData\AOS\Allgemein\[LabSamples2025.xlsx]Bioplastic'!H381)," ",'Q:\Abteilungsprojekte\eng\EngData\AOS\Allgemein\[LabSamples2025.xlsx]Bioplastic'!H381)</f>
        <v/>
      </c>
    </row>
    <row r="382">
      <c r="A382">
        <f>IF(ISBLANK('Q:\Abteilungsprojekte\eng\EngData\AOS\Allgemein\[LabSamples2025.xlsx]Bioplastic'!A382)," ",'Q:\Abteilungsprojekte\eng\EngData\AOS\Allgemein\[LabSamples2025.xlsx]Bioplastic'!A382)</f>
        <v/>
      </c>
      <c r="B382">
        <f>IF(ISBLANK('Q:\Abteilungsprojekte\eng\EngData\AOS\Allgemein\[LabSamples2025.xlsx]Bioplastic'!B382)," ",'Q:\Abteilungsprojekte\eng\EngData\AOS\Allgemein\[LabSamples2025.xlsx]Bioplastic'!B382)</f>
        <v/>
      </c>
      <c r="C382">
        <f>IF(ISBLANK('Q:\Abteilungsprojekte\eng\EngData\AOS\Allgemein\[LabSamples2025.xlsx]Bioplastic'!C382)," ",'Q:\Abteilungsprojekte\eng\EngData\AOS\Allgemein\[LabSamples2025.xlsx]Bioplastic'!C382)</f>
        <v/>
      </c>
      <c r="D382">
        <f>IF(ISBLANK('Q:\Abteilungsprojekte\eng\EngData\AOS\Allgemein\[LabSamples2025.xlsx]Bioplastic'!D382)," ",'Q:\Abteilungsprojekte\eng\EngData\AOS\Allgemein\[LabSamples2025.xlsx]Bioplastic'!D382)</f>
        <v/>
      </c>
      <c r="E382">
        <f>IF(ISBLANK('Q:\Abteilungsprojekte\eng\EngData\AOS\Allgemein\[LabSamples2025.xlsx]Bioplastic'!E382)," ",'Q:\Abteilungsprojekte\eng\EngData\AOS\Allgemein\[LabSamples2025.xlsx]Bioplastic'!E382)</f>
        <v/>
      </c>
      <c r="F382">
        <f>IF(ISBLANK('Q:\Abteilungsprojekte\eng\EngData\AOS\Allgemein\[LabSamples2025.xlsx]Bioplastic'!F382)," ",'Q:\Abteilungsprojekte\eng\EngData\AOS\Allgemein\[LabSamples2025.xlsx]Bioplastic'!F382)</f>
        <v/>
      </c>
      <c r="G382">
        <f>IF(ISBLANK('Q:\Abteilungsprojekte\eng\EngData\AOS\Allgemein\[LabSamples2025.xlsx]Bioplastic'!G382)," ",'Q:\Abteilungsprojekte\eng\EngData\AOS\Allgemein\[LabSamples2025.xlsx]Bioplastic'!G382)</f>
        <v/>
      </c>
      <c r="H382">
        <f>IF(ISBLANK('Q:\Abteilungsprojekte\eng\EngData\AOS\Allgemein\[LabSamples2025.xlsx]Bioplastic'!H382)," ",'Q:\Abteilungsprojekte\eng\EngData\AOS\Allgemein\[LabSamples2025.xlsx]Bioplastic'!H382)</f>
        <v/>
      </c>
    </row>
    <row r="383">
      <c r="A383">
        <f>IF(ISBLANK('Q:\Abteilungsprojekte\eng\EngData\AOS\Allgemein\[LabSamples2025.xlsx]Bioplastic'!A383)," ",'Q:\Abteilungsprojekte\eng\EngData\AOS\Allgemein\[LabSamples2025.xlsx]Bioplastic'!A383)</f>
        <v/>
      </c>
      <c r="B383">
        <f>IF(ISBLANK('Q:\Abteilungsprojekte\eng\EngData\AOS\Allgemein\[LabSamples2025.xlsx]Bioplastic'!B383)," ",'Q:\Abteilungsprojekte\eng\EngData\AOS\Allgemein\[LabSamples2025.xlsx]Bioplastic'!B383)</f>
        <v/>
      </c>
      <c r="C383">
        <f>IF(ISBLANK('Q:\Abteilungsprojekte\eng\EngData\AOS\Allgemein\[LabSamples2025.xlsx]Bioplastic'!C383)," ",'Q:\Abteilungsprojekte\eng\EngData\AOS\Allgemein\[LabSamples2025.xlsx]Bioplastic'!C383)</f>
        <v/>
      </c>
      <c r="D383">
        <f>IF(ISBLANK('Q:\Abteilungsprojekte\eng\EngData\AOS\Allgemein\[LabSamples2025.xlsx]Bioplastic'!D383)," ",'Q:\Abteilungsprojekte\eng\EngData\AOS\Allgemein\[LabSamples2025.xlsx]Bioplastic'!D383)</f>
        <v/>
      </c>
      <c r="E383">
        <f>IF(ISBLANK('Q:\Abteilungsprojekte\eng\EngData\AOS\Allgemein\[LabSamples2025.xlsx]Bioplastic'!E383)," ",'Q:\Abteilungsprojekte\eng\EngData\AOS\Allgemein\[LabSamples2025.xlsx]Bioplastic'!E383)</f>
        <v/>
      </c>
      <c r="F383">
        <f>IF(ISBLANK('Q:\Abteilungsprojekte\eng\EngData\AOS\Allgemein\[LabSamples2025.xlsx]Bioplastic'!F383)," ",'Q:\Abteilungsprojekte\eng\EngData\AOS\Allgemein\[LabSamples2025.xlsx]Bioplastic'!F383)</f>
        <v/>
      </c>
      <c r="G383">
        <f>IF(ISBLANK('Q:\Abteilungsprojekte\eng\EngData\AOS\Allgemein\[LabSamples2025.xlsx]Bioplastic'!G383)," ",'Q:\Abteilungsprojekte\eng\EngData\AOS\Allgemein\[LabSamples2025.xlsx]Bioplastic'!G383)</f>
        <v/>
      </c>
      <c r="H383">
        <f>IF(ISBLANK('Q:\Abteilungsprojekte\eng\EngData\AOS\Allgemein\[LabSamples2025.xlsx]Bioplastic'!H383)," ",'Q:\Abteilungsprojekte\eng\EngData\AOS\Allgemein\[LabSamples2025.xlsx]Bioplastic'!H383)</f>
        <v/>
      </c>
    </row>
    <row r="384">
      <c r="A384">
        <f>IF(ISBLANK('Q:\Abteilungsprojekte\eng\EngData\AOS\Allgemein\[LabSamples2025.xlsx]Bioplastic'!A384)," ",'Q:\Abteilungsprojekte\eng\EngData\AOS\Allgemein\[LabSamples2025.xlsx]Bioplastic'!A384)</f>
        <v/>
      </c>
      <c r="B384">
        <f>IF(ISBLANK('Q:\Abteilungsprojekte\eng\EngData\AOS\Allgemein\[LabSamples2025.xlsx]Bioplastic'!B384)," ",'Q:\Abteilungsprojekte\eng\EngData\AOS\Allgemein\[LabSamples2025.xlsx]Bioplastic'!B384)</f>
        <v/>
      </c>
      <c r="C384">
        <f>IF(ISBLANK('Q:\Abteilungsprojekte\eng\EngData\AOS\Allgemein\[LabSamples2025.xlsx]Bioplastic'!C384)," ",'Q:\Abteilungsprojekte\eng\EngData\AOS\Allgemein\[LabSamples2025.xlsx]Bioplastic'!C384)</f>
        <v/>
      </c>
      <c r="D384">
        <f>IF(ISBLANK('Q:\Abteilungsprojekte\eng\EngData\AOS\Allgemein\[LabSamples2025.xlsx]Bioplastic'!D384)," ",'Q:\Abteilungsprojekte\eng\EngData\AOS\Allgemein\[LabSamples2025.xlsx]Bioplastic'!D384)</f>
        <v/>
      </c>
      <c r="E384">
        <f>IF(ISBLANK('Q:\Abteilungsprojekte\eng\EngData\AOS\Allgemein\[LabSamples2025.xlsx]Bioplastic'!E384)," ",'Q:\Abteilungsprojekte\eng\EngData\AOS\Allgemein\[LabSamples2025.xlsx]Bioplastic'!E384)</f>
        <v/>
      </c>
      <c r="F384">
        <f>IF(ISBLANK('Q:\Abteilungsprojekte\eng\EngData\AOS\Allgemein\[LabSamples2025.xlsx]Bioplastic'!F384)," ",'Q:\Abteilungsprojekte\eng\EngData\AOS\Allgemein\[LabSamples2025.xlsx]Bioplastic'!F384)</f>
        <v/>
      </c>
      <c r="G384">
        <f>IF(ISBLANK('Q:\Abteilungsprojekte\eng\EngData\AOS\Allgemein\[LabSamples2025.xlsx]Bioplastic'!G384)," ",'Q:\Abteilungsprojekte\eng\EngData\AOS\Allgemein\[LabSamples2025.xlsx]Bioplastic'!G384)</f>
        <v/>
      </c>
      <c r="H384">
        <f>IF(ISBLANK('Q:\Abteilungsprojekte\eng\EngData\AOS\Allgemein\[LabSamples2025.xlsx]Bioplastic'!H384)," ",'Q:\Abteilungsprojekte\eng\EngData\AOS\Allgemein\[LabSamples2025.xlsx]Bioplastic'!H384)</f>
        <v/>
      </c>
    </row>
    <row r="385">
      <c r="A385">
        <f>IF(ISBLANK('Q:\Abteilungsprojekte\eng\EngData\AOS\Allgemein\[LabSamples2025.xlsx]Bioplastic'!A385)," ",'Q:\Abteilungsprojekte\eng\EngData\AOS\Allgemein\[LabSamples2025.xlsx]Bioplastic'!A385)</f>
        <v/>
      </c>
      <c r="B385">
        <f>IF(ISBLANK('Q:\Abteilungsprojekte\eng\EngData\AOS\Allgemein\[LabSamples2025.xlsx]Bioplastic'!B385)," ",'Q:\Abteilungsprojekte\eng\EngData\AOS\Allgemein\[LabSamples2025.xlsx]Bioplastic'!B385)</f>
        <v/>
      </c>
      <c r="C385">
        <f>IF(ISBLANK('Q:\Abteilungsprojekte\eng\EngData\AOS\Allgemein\[LabSamples2025.xlsx]Bioplastic'!C385)," ",'Q:\Abteilungsprojekte\eng\EngData\AOS\Allgemein\[LabSamples2025.xlsx]Bioplastic'!C385)</f>
        <v/>
      </c>
      <c r="D385">
        <f>IF(ISBLANK('Q:\Abteilungsprojekte\eng\EngData\AOS\Allgemein\[LabSamples2025.xlsx]Bioplastic'!D385)," ",'Q:\Abteilungsprojekte\eng\EngData\AOS\Allgemein\[LabSamples2025.xlsx]Bioplastic'!D385)</f>
        <v/>
      </c>
      <c r="E385">
        <f>IF(ISBLANK('Q:\Abteilungsprojekte\eng\EngData\AOS\Allgemein\[LabSamples2025.xlsx]Bioplastic'!E385)," ",'Q:\Abteilungsprojekte\eng\EngData\AOS\Allgemein\[LabSamples2025.xlsx]Bioplastic'!E385)</f>
        <v/>
      </c>
      <c r="F385">
        <f>IF(ISBLANK('Q:\Abteilungsprojekte\eng\EngData\AOS\Allgemein\[LabSamples2025.xlsx]Bioplastic'!F385)," ",'Q:\Abteilungsprojekte\eng\EngData\AOS\Allgemein\[LabSamples2025.xlsx]Bioplastic'!F385)</f>
        <v/>
      </c>
      <c r="G385">
        <f>IF(ISBLANK('Q:\Abteilungsprojekte\eng\EngData\AOS\Allgemein\[LabSamples2025.xlsx]Bioplastic'!G385)," ",'Q:\Abteilungsprojekte\eng\EngData\AOS\Allgemein\[LabSamples2025.xlsx]Bioplastic'!G385)</f>
        <v/>
      </c>
      <c r="H385">
        <f>IF(ISBLANK('Q:\Abteilungsprojekte\eng\EngData\AOS\Allgemein\[LabSamples2025.xlsx]Bioplastic'!H385)," ",'Q:\Abteilungsprojekte\eng\EngData\AOS\Allgemein\[LabSamples2025.xlsx]Bioplastic'!H385)</f>
        <v/>
      </c>
    </row>
    <row r="386">
      <c r="A386">
        <f>IF(ISBLANK('Q:\Abteilungsprojekte\eng\EngData\AOS\Allgemein\[LabSamples2025.xlsx]Bioplastic'!A386)," ",'Q:\Abteilungsprojekte\eng\EngData\AOS\Allgemein\[LabSamples2025.xlsx]Bioplastic'!A386)</f>
        <v/>
      </c>
      <c r="B386">
        <f>IF(ISBLANK('Q:\Abteilungsprojekte\eng\EngData\AOS\Allgemein\[LabSamples2025.xlsx]Bioplastic'!B386)," ",'Q:\Abteilungsprojekte\eng\EngData\AOS\Allgemein\[LabSamples2025.xlsx]Bioplastic'!B386)</f>
        <v/>
      </c>
      <c r="C386">
        <f>IF(ISBLANK('Q:\Abteilungsprojekte\eng\EngData\AOS\Allgemein\[LabSamples2025.xlsx]Bioplastic'!C386)," ",'Q:\Abteilungsprojekte\eng\EngData\AOS\Allgemein\[LabSamples2025.xlsx]Bioplastic'!C386)</f>
        <v/>
      </c>
      <c r="D386">
        <f>IF(ISBLANK('Q:\Abteilungsprojekte\eng\EngData\AOS\Allgemein\[LabSamples2025.xlsx]Bioplastic'!D386)," ",'Q:\Abteilungsprojekte\eng\EngData\AOS\Allgemein\[LabSamples2025.xlsx]Bioplastic'!D386)</f>
        <v/>
      </c>
      <c r="E386">
        <f>IF(ISBLANK('Q:\Abteilungsprojekte\eng\EngData\AOS\Allgemein\[LabSamples2025.xlsx]Bioplastic'!E386)," ",'Q:\Abteilungsprojekte\eng\EngData\AOS\Allgemein\[LabSamples2025.xlsx]Bioplastic'!E386)</f>
        <v/>
      </c>
      <c r="F386">
        <f>IF(ISBLANK('Q:\Abteilungsprojekte\eng\EngData\AOS\Allgemein\[LabSamples2025.xlsx]Bioplastic'!F386)," ",'Q:\Abteilungsprojekte\eng\EngData\AOS\Allgemein\[LabSamples2025.xlsx]Bioplastic'!F386)</f>
        <v/>
      </c>
      <c r="G386">
        <f>IF(ISBLANK('Q:\Abteilungsprojekte\eng\EngData\AOS\Allgemein\[LabSamples2025.xlsx]Bioplastic'!G386)," ",'Q:\Abteilungsprojekte\eng\EngData\AOS\Allgemein\[LabSamples2025.xlsx]Bioplastic'!G386)</f>
        <v/>
      </c>
      <c r="H386">
        <f>IF(ISBLANK('Q:\Abteilungsprojekte\eng\EngData\AOS\Allgemein\[LabSamples2025.xlsx]Bioplastic'!H386)," ",'Q:\Abteilungsprojekte\eng\EngData\AOS\Allgemein\[LabSamples2025.xlsx]Bioplastic'!H386)</f>
        <v/>
      </c>
    </row>
    <row r="387">
      <c r="A387">
        <f>IF(ISBLANK('Q:\Abteilungsprojekte\eng\EngData\AOS\Allgemein\[LabSamples2025.xlsx]Bioplastic'!A387)," ",'Q:\Abteilungsprojekte\eng\EngData\AOS\Allgemein\[LabSamples2025.xlsx]Bioplastic'!A387)</f>
        <v/>
      </c>
      <c r="B387">
        <f>IF(ISBLANK('Q:\Abteilungsprojekte\eng\EngData\AOS\Allgemein\[LabSamples2025.xlsx]Bioplastic'!B387)," ",'Q:\Abteilungsprojekte\eng\EngData\AOS\Allgemein\[LabSamples2025.xlsx]Bioplastic'!B387)</f>
        <v/>
      </c>
      <c r="C387">
        <f>IF(ISBLANK('Q:\Abteilungsprojekte\eng\EngData\AOS\Allgemein\[LabSamples2025.xlsx]Bioplastic'!C387)," ",'Q:\Abteilungsprojekte\eng\EngData\AOS\Allgemein\[LabSamples2025.xlsx]Bioplastic'!C387)</f>
        <v/>
      </c>
      <c r="D387">
        <f>IF(ISBLANK('Q:\Abteilungsprojekte\eng\EngData\AOS\Allgemein\[LabSamples2025.xlsx]Bioplastic'!D387)," ",'Q:\Abteilungsprojekte\eng\EngData\AOS\Allgemein\[LabSamples2025.xlsx]Bioplastic'!D387)</f>
        <v/>
      </c>
      <c r="E387">
        <f>IF(ISBLANK('Q:\Abteilungsprojekte\eng\EngData\AOS\Allgemein\[LabSamples2025.xlsx]Bioplastic'!E387)," ",'Q:\Abteilungsprojekte\eng\EngData\AOS\Allgemein\[LabSamples2025.xlsx]Bioplastic'!E387)</f>
        <v/>
      </c>
      <c r="F387">
        <f>IF(ISBLANK('Q:\Abteilungsprojekte\eng\EngData\AOS\Allgemein\[LabSamples2025.xlsx]Bioplastic'!F387)," ",'Q:\Abteilungsprojekte\eng\EngData\AOS\Allgemein\[LabSamples2025.xlsx]Bioplastic'!F387)</f>
        <v/>
      </c>
      <c r="G387">
        <f>IF(ISBLANK('Q:\Abteilungsprojekte\eng\EngData\AOS\Allgemein\[LabSamples2025.xlsx]Bioplastic'!G387)," ",'Q:\Abteilungsprojekte\eng\EngData\AOS\Allgemein\[LabSamples2025.xlsx]Bioplastic'!G387)</f>
        <v/>
      </c>
      <c r="H387">
        <f>IF(ISBLANK('Q:\Abteilungsprojekte\eng\EngData\AOS\Allgemein\[LabSamples2025.xlsx]Bioplastic'!H387)," ",'Q:\Abteilungsprojekte\eng\EngData\AOS\Allgemein\[LabSamples2025.xlsx]Bioplastic'!H387)</f>
        <v/>
      </c>
    </row>
    <row r="388">
      <c r="A388">
        <f>IF(ISBLANK('Q:\Abteilungsprojekte\eng\EngData\AOS\Allgemein\[LabSamples2025.xlsx]Bioplastic'!A388)," ",'Q:\Abteilungsprojekte\eng\EngData\AOS\Allgemein\[LabSamples2025.xlsx]Bioplastic'!A388)</f>
        <v/>
      </c>
      <c r="B388">
        <f>IF(ISBLANK('Q:\Abteilungsprojekte\eng\EngData\AOS\Allgemein\[LabSamples2025.xlsx]Bioplastic'!B388)," ",'Q:\Abteilungsprojekte\eng\EngData\AOS\Allgemein\[LabSamples2025.xlsx]Bioplastic'!B388)</f>
        <v/>
      </c>
      <c r="C388">
        <f>IF(ISBLANK('Q:\Abteilungsprojekte\eng\EngData\AOS\Allgemein\[LabSamples2025.xlsx]Bioplastic'!C388)," ",'Q:\Abteilungsprojekte\eng\EngData\AOS\Allgemein\[LabSamples2025.xlsx]Bioplastic'!C388)</f>
        <v/>
      </c>
      <c r="D388">
        <f>IF(ISBLANK('Q:\Abteilungsprojekte\eng\EngData\AOS\Allgemein\[LabSamples2025.xlsx]Bioplastic'!D388)," ",'Q:\Abteilungsprojekte\eng\EngData\AOS\Allgemein\[LabSamples2025.xlsx]Bioplastic'!D388)</f>
        <v/>
      </c>
      <c r="E388">
        <f>IF(ISBLANK('Q:\Abteilungsprojekte\eng\EngData\AOS\Allgemein\[LabSamples2025.xlsx]Bioplastic'!E388)," ",'Q:\Abteilungsprojekte\eng\EngData\AOS\Allgemein\[LabSamples2025.xlsx]Bioplastic'!E388)</f>
        <v/>
      </c>
      <c r="F388">
        <f>IF(ISBLANK('Q:\Abteilungsprojekte\eng\EngData\AOS\Allgemein\[LabSamples2025.xlsx]Bioplastic'!F388)," ",'Q:\Abteilungsprojekte\eng\EngData\AOS\Allgemein\[LabSamples2025.xlsx]Bioplastic'!F388)</f>
        <v/>
      </c>
      <c r="G388">
        <f>IF(ISBLANK('Q:\Abteilungsprojekte\eng\EngData\AOS\Allgemein\[LabSamples2025.xlsx]Bioplastic'!G388)," ",'Q:\Abteilungsprojekte\eng\EngData\AOS\Allgemein\[LabSamples2025.xlsx]Bioplastic'!G388)</f>
        <v/>
      </c>
      <c r="H388">
        <f>IF(ISBLANK('Q:\Abteilungsprojekte\eng\EngData\AOS\Allgemein\[LabSamples2025.xlsx]Bioplastic'!H388)," ",'Q:\Abteilungsprojekte\eng\EngData\AOS\Allgemein\[LabSamples2025.xlsx]Bioplastic'!H388)</f>
        <v/>
      </c>
    </row>
    <row r="389">
      <c r="A389">
        <f>IF(ISBLANK('Q:\Abteilungsprojekte\eng\EngData\AOS\Allgemein\[LabSamples2025.xlsx]Bioplastic'!A389)," ",'Q:\Abteilungsprojekte\eng\EngData\AOS\Allgemein\[LabSamples2025.xlsx]Bioplastic'!A389)</f>
        <v/>
      </c>
      <c r="B389">
        <f>IF(ISBLANK('Q:\Abteilungsprojekte\eng\EngData\AOS\Allgemein\[LabSamples2025.xlsx]Bioplastic'!B389)," ",'Q:\Abteilungsprojekte\eng\EngData\AOS\Allgemein\[LabSamples2025.xlsx]Bioplastic'!B389)</f>
        <v/>
      </c>
      <c r="C389">
        <f>IF(ISBLANK('Q:\Abteilungsprojekte\eng\EngData\AOS\Allgemein\[LabSamples2025.xlsx]Bioplastic'!C389)," ",'Q:\Abteilungsprojekte\eng\EngData\AOS\Allgemein\[LabSamples2025.xlsx]Bioplastic'!C389)</f>
        <v/>
      </c>
      <c r="D389">
        <f>IF(ISBLANK('Q:\Abteilungsprojekte\eng\EngData\AOS\Allgemein\[LabSamples2025.xlsx]Bioplastic'!D389)," ",'Q:\Abteilungsprojekte\eng\EngData\AOS\Allgemein\[LabSamples2025.xlsx]Bioplastic'!D389)</f>
        <v/>
      </c>
      <c r="E389">
        <f>IF(ISBLANK('Q:\Abteilungsprojekte\eng\EngData\AOS\Allgemein\[LabSamples2025.xlsx]Bioplastic'!E389)," ",'Q:\Abteilungsprojekte\eng\EngData\AOS\Allgemein\[LabSamples2025.xlsx]Bioplastic'!E389)</f>
        <v/>
      </c>
      <c r="F389">
        <f>IF(ISBLANK('Q:\Abteilungsprojekte\eng\EngData\AOS\Allgemein\[LabSamples2025.xlsx]Bioplastic'!F389)," ",'Q:\Abteilungsprojekte\eng\EngData\AOS\Allgemein\[LabSamples2025.xlsx]Bioplastic'!F389)</f>
        <v/>
      </c>
      <c r="G389">
        <f>IF(ISBLANK('Q:\Abteilungsprojekte\eng\EngData\AOS\Allgemein\[LabSamples2025.xlsx]Bioplastic'!G389)," ",'Q:\Abteilungsprojekte\eng\EngData\AOS\Allgemein\[LabSamples2025.xlsx]Bioplastic'!G389)</f>
        <v/>
      </c>
      <c r="H389">
        <f>IF(ISBLANK('Q:\Abteilungsprojekte\eng\EngData\AOS\Allgemein\[LabSamples2025.xlsx]Bioplastic'!H389)," ",'Q:\Abteilungsprojekte\eng\EngData\AOS\Allgemein\[LabSamples2025.xlsx]Bioplastic'!H389)</f>
        <v/>
      </c>
    </row>
    <row r="390">
      <c r="A390">
        <f>IF(ISBLANK('Q:\Abteilungsprojekte\eng\EngData\AOS\Allgemein\[LabSamples2025.xlsx]Bioplastic'!A390)," ",'Q:\Abteilungsprojekte\eng\EngData\AOS\Allgemein\[LabSamples2025.xlsx]Bioplastic'!A390)</f>
        <v/>
      </c>
      <c r="B390">
        <f>IF(ISBLANK('Q:\Abteilungsprojekte\eng\EngData\AOS\Allgemein\[LabSamples2025.xlsx]Bioplastic'!B390)," ",'Q:\Abteilungsprojekte\eng\EngData\AOS\Allgemein\[LabSamples2025.xlsx]Bioplastic'!B390)</f>
        <v/>
      </c>
      <c r="C390">
        <f>IF(ISBLANK('Q:\Abteilungsprojekte\eng\EngData\AOS\Allgemein\[LabSamples2025.xlsx]Bioplastic'!C390)," ",'Q:\Abteilungsprojekte\eng\EngData\AOS\Allgemein\[LabSamples2025.xlsx]Bioplastic'!C390)</f>
        <v/>
      </c>
      <c r="D390">
        <f>IF(ISBLANK('Q:\Abteilungsprojekte\eng\EngData\AOS\Allgemein\[LabSamples2025.xlsx]Bioplastic'!D390)," ",'Q:\Abteilungsprojekte\eng\EngData\AOS\Allgemein\[LabSamples2025.xlsx]Bioplastic'!D390)</f>
        <v/>
      </c>
      <c r="E390">
        <f>IF(ISBLANK('Q:\Abteilungsprojekte\eng\EngData\AOS\Allgemein\[LabSamples2025.xlsx]Bioplastic'!E390)," ",'Q:\Abteilungsprojekte\eng\EngData\AOS\Allgemein\[LabSamples2025.xlsx]Bioplastic'!E390)</f>
        <v/>
      </c>
      <c r="F390">
        <f>IF(ISBLANK('Q:\Abteilungsprojekte\eng\EngData\AOS\Allgemein\[LabSamples2025.xlsx]Bioplastic'!F390)," ",'Q:\Abteilungsprojekte\eng\EngData\AOS\Allgemein\[LabSamples2025.xlsx]Bioplastic'!F390)</f>
        <v/>
      </c>
      <c r="G390">
        <f>IF(ISBLANK('Q:\Abteilungsprojekte\eng\EngData\AOS\Allgemein\[LabSamples2025.xlsx]Bioplastic'!G390)," ",'Q:\Abteilungsprojekte\eng\EngData\AOS\Allgemein\[LabSamples2025.xlsx]Bioplastic'!G390)</f>
        <v/>
      </c>
      <c r="H390">
        <f>IF(ISBLANK('Q:\Abteilungsprojekte\eng\EngData\AOS\Allgemein\[LabSamples2025.xlsx]Bioplastic'!H390)," ",'Q:\Abteilungsprojekte\eng\EngData\AOS\Allgemein\[LabSamples2025.xlsx]Bioplastic'!H390)</f>
        <v/>
      </c>
    </row>
    <row r="391">
      <c r="A391">
        <f>IF(ISBLANK('Q:\Abteilungsprojekte\eng\EngData\AOS\Allgemein\[LabSamples2025.xlsx]Bioplastic'!A391)," ",'Q:\Abteilungsprojekte\eng\EngData\AOS\Allgemein\[LabSamples2025.xlsx]Bioplastic'!A391)</f>
        <v/>
      </c>
      <c r="B391">
        <f>IF(ISBLANK('Q:\Abteilungsprojekte\eng\EngData\AOS\Allgemein\[LabSamples2025.xlsx]Bioplastic'!B391)," ",'Q:\Abteilungsprojekte\eng\EngData\AOS\Allgemein\[LabSamples2025.xlsx]Bioplastic'!B391)</f>
        <v/>
      </c>
      <c r="C391">
        <f>IF(ISBLANK('Q:\Abteilungsprojekte\eng\EngData\AOS\Allgemein\[LabSamples2025.xlsx]Bioplastic'!C391)," ",'Q:\Abteilungsprojekte\eng\EngData\AOS\Allgemein\[LabSamples2025.xlsx]Bioplastic'!C391)</f>
        <v/>
      </c>
      <c r="D391">
        <f>IF(ISBLANK('Q:\Abteilungsprojekte\eng\EngData\AOS\Allgemein\[LabSamples2025.xlsx]Bioplastic'!D391)," ",'Q:\Abteilungsprojekte\eng\EngData\AOS\Allgemein\[LabSamples2025.xlsx]Bioplastic'!D391)</f>
        <v/>
      </c>
      <c r="E391">
        <f>IF(ISBLANK('Q:\Abteilungsprojekte\eng\EngData\AOS\Allgemein\[LabSamples2025.xlsx]Bioplastic'!E391)," ",'Q:\Abteilungsprojekte\eng\EngData\AOS\Allgemein\[LabSamples2025.xlsx]Bioplastic'!E391)</f>
        <v/>
      </c>
      <c r="F391">
        <f>IF(ISBLANK('Q:\Abteilungsprojekte\eng\EngData\AOS\Allgemein\[LabSamples2025.xlsx]Bioplastic'!F391)," ",'Q:\Abteilungsprojekte\eng\EngData\AOS\Allgemein\[LabSamples2025.xlsx]Bioplastic'!F391)</f>
        <v/>
      </c>
      <c r="G391">
        <f>IF(ISBLANK('Q:\Abteilungsprojekte\eng\EngData\AOS\Allgemein\[LabSamples2025.xlsx]Bioplastic'!G391)," ",'Q:\Abteilungsprojekte\eng\EngData\AOS\Allgemein\[LabSamples2025.xlsx]Bioplastic'!G391)</f>
        <v/>
      </c>
      <c r="H391">
        <f>IF(ISBLANK('Q:\Abteilungsprojekte\eng\EngData\AOS\Allgemein\[LabSamples2025.xlsx]Bioplastic'!H391)," ",'Q:\Abteilungsprojekte\eng\EngData\AOS\Allgemein\[LabSamples2025.xlsx]Bioplastic'!H391)</f>
        <v/>
      </c>
    </row>
    <row r="392">
      <c r="A392">
        <f>IF(ISBLANK('Q:\Abteilungsprojekte\eng\EngData\AOS\Allgemein\[LabSamples2025.xlsx]Bioplastic'!A392)," ",'Q:\Abteilungsprojekte\eng\EngData\AOS\Allgemein\[LabSamples2025.xlsx]Bioplastic'!A392)</f>
        <v/>
      </c>
      <c r="B392">
        <f>IF(ISBLANK('Q:\Abteilungsprojekte\eng\EngData\AOS\Allgemein\[LabSamples2025.xlsx]Bioplastic'!B392)," ",'Q:\Abteilungsprojekte\eng\EngData\AOS\Allgemein\[LabSamples2025.xlsx]Bioplastic'!B392)</f>
        <v/>
      </c>
      <c r="C392">
        <f>IF(ISBLANK('Q:\Abteilungsprojekte\eng\EngData\AOS\Allgemein\[LabSamples2025.xlsx]Bioplastic'!C392)," ",'Q:\Abteilungsprojekte\eng\EngData\AOS\Allgemein\[LabSamples2025.xlsx]Bioplastic'!C392)</f>
        <v/>
      </c>
      <c r="D392">
        <f>IF(ISBLANK('Q:\Abteilungsprojekte\eng\EngData\AOS\Allgemein\[LabSamples2025.xlsx]Bioplastic'!D392)," ",'Q:\Abteilungsprojekte\eng\EngData\AOS\Allgemein\[LabSamples2025.xlsx]Bioplastic'!D392)</f>
        <v/>
      </c>
      <c r="E392">
        <f>IF(ISBLANK('Q:\Abteilungsprojekte\eng\EngData\AOS\Allgemein\[LabSamples2025.xlsx]Bioplastic'!E392)," ",'Q:\Abteilungsprojekte\eng\EngData\AOS\Allgemein\[LabSamples2025.xlsx]Bioplastic'!E392)</f>
        <v/>
      </c>
      <c r="F392">
        <f>IF(ISBLANK('Q:\Abteilungsprojekte\eng\EngData\AOS\Allgemein\[LabSamples2025.xlsx]Bioplastic'!F392)," ",'Q:\Abteilungsprojekte\eng\EngData\AOS\Allgemein\[LabSamples2025.xlsx]Bioplastic'!F392)</f>
        <v/>
      </c>
      <c r="G392">
        <f>IF(ISBLANK('Q:\Abteilungsprojekte\eng\EngData\AOS\Allgemein\[LabSamples2025.xlsx]Bioplastic'!G392)," ",'Q:\Abteilungsprojekte\eng\EngData\AOS\Allgemein\[LabSamples2025.xlsx]Bioplastic'!G392)</f>
        <v/>
      </c>
      <c r="H392">
        <f>IF(ISBLANK('Q:\Abteilungsprojekte\eng\EngData\AOS\Allgemein\[LabSamples2025.xlsx]Bioplastic'!H392)," ",'Q:\Abteilungsprojekte\eng\EngData\AOS\Allgemein\[LabSamples2025.xlsx]Bioplastic'!H392)</f>
        <v/>
      </c>
    </row>
    <row r="393">
      <c r="A393">
        <f>IF(ISBLANK('Q:\Abteilungsprojekte\eng\EngData\AOS\Allgemein\[LabSamples2025.xlsx]Bioplastic'!A393)," ",'Q:\Abteilungsprojekte\eng\EngData\AOS\Allgemein\[LabSamples2025.xlsx]Bioplastic'!A393)</f>
        <v/>
      </c>
      <c r="B393">
        <f>IF(ISBLANK('Q:\Abteilungsprojekte\eng\EngData\AOS\Allgemein\[LabSamples2025.xlsx]Bioplastic'!B393)," ",'Q:\Abteilungsprojekte\eng\EngData\AOS\Allgemein\[LabSamples2025.xlsx]Bioplastic'!B393)</f>
        <v/>
      </c>
      <c r="C393">
        <f>IF(ISBLANK('Q:\Abteilungsprojekte\eng\EngData\AOS\Allgemein\[LabSamples2025.xlsx]Bioplastic'!C393)," ",'Q:\Abteilungsprojekte\eng\EngData\AOS\Allgemein\[LabSamples2025.xlsx]Bioplastic'!C393)</f>
        <v/>
      </c>
      <c r="D393">
        <f>IF(ISBLANK('Q:\Abteilungsprojekte\eng\EngData\AOS\Allgemein\[LabSamples2025.xlsx]Bioplastic'!D393)," ",'Q:\Abteilungsprojekte\eng\EngData\AOS\Allgemein\[LabSamples2025.xlsx]Bioplastic'!D393)</f>
        <v/>
      </c>
      <c r="E393">
        <f>IF(ISBLANK('Q:\Abteilungsprojekte\eng\EngData\AOS\Allgemein\[LabSamples2025.xlsx]Bioplastic'!E393)," ",'Q:\Abteilungsprojekte\eng\EngData\AOS\Allgemein\[LabSamples2025.xlsx]Bioplastic'!E393)</f>
        <v/>
      </c>
      <c r="F393">
        <f>IF(ISBLANK('Q:\Abteilungsprojekte\eng\EngData\AOS\Allgemein\[LabSamples2025.xlsx]Bioplastic'!F393)," ",'Q:\Abteilungsprojekte\eng\EngData\AOS\Allgemein\[LabSamples2025.xlsx]Bioplastic'!F393)</f>
        <v/>
      </c>
      <c r="G393">
        <f>IF(ISBLANK('Q:\Abteilungsprojekte\eng\EngData\AOS\Allgemein\[LabSamples2025.xlsx]Bioplastic'!G393)," ",'Q:\Abteilungsprojekte\eng\EngData\AOS\Allgemein\[LabSamples2025.xlsx]Bioplastic'!G393)</f>
        <v/>
      </c>
      <c r="H393">
        <f>IF(ISBLANK('Q:\Abteilungsprojekte\eng\EngData\AOS\Allgemein\[LabSamples2025.xlsx]Bioplastic'!H393)," ",'Q:\Abteilungsprojekte\eng\EngData\AOS\Allgemein\[LabSamples2025.xlsx]Bioplastic'!H393)</f>
        <v/>
      </c>
    </row>
    <row r="394">
      <c r="A394">
        <f>IF(ISBLANK('Q:\Abteilungsprojekte\eng\EngData\AOS\Allgemein\[LabSamples2025.xlsx]Bioplastic'!A394)," ",'Q:\Abteilungsprojekte\eng\EngData\AOS\Allgemein\[LabSamples2025.xlsx]Bioplastic'!A394)</f>
        <v/>
      </c>
      <c r="B394">
        <f>IF(ISBLANK('Q:\Abteilungsprojekte\eng\EngData\AOS\Allgemein\[LabSamples2025.xlsx]Bioplastic'!B394)," ",'Q:\Abteilungsprojekte\eng\EngData\AOS\Allgemein\[LabSamples2025.xlsx]Bioplastic'!B394)</f>
        <v/>
      </c>
      <c r="C394">
        <f>IF(ISBLANK('Q:\Abteilungsprojekte\eng\EngData\AOS\Allgemein\[LabSamples2025.xlsx]Bioplastic'!C394)," ",'Q:\Abteilungsprojekte\eng\EngData\AOS\Allgemein\[LabSamples2025.xlsx]Bioplastic'!C394)</f>
        <v/>
      </c>
      <c r="D394">
        <f>IF(ISBLANK('Q:\Abteilungsprojekte\eng\EngData\AOS\Allgemein\[LabSamples2025.xlsx]Bioplastic'!D394)," ",'Q:\Abteilungsprojekte\eng\EngData\AOS\Allgemein\[LabSamples2025.xlsx]Bioplastic'!D394)</f>
        <v/>
      </c>
      <c r="E394">
        <f>IF(ISBLANK('Q:\Abteilungsprojekte\eng\EngData\AOS\Allgemein\[LabSamples2025.xlsx]Bioplastic'!E394)," ",'Q:\Abteilungsprojekte\eng\EngData\AOS\Allgemein\[LabSamples2025.xlsx]Bioplastic'!E394)</f>
        <v/>
      </c>
      <c r="F394">
        <f>IF(ISBLANK('Q:\Abteilungsprojekte\eng\EngData\AOS\Allgemein\[LabSamples2025.xlsx]Bioplastic'!F394)," ",'Q:\Abteilungsprojekte\eng\EngData\AOS\Allgemein\[LabSamples2025.xlsx]Bioplastic'!F394)</f>
        <v/>
      </c>
      <c r="G394">
        <f>IF(ISBLANK('Q:\Abteilungsprojekte\eng\EngData\AOS\Allgemein\[LabSamples2025.xlsx]Bioplastic'!G394)," ",'Q:\Abteilungsprojekte\eng\EngData\AOS\Allgemein\[LabSamples2025.xlsx]Bioplastic'!G394)</f>
        <v/>
      </c>
      <c r="H394">
        <f>IF(ISBLANK('Q:\Abteilungsprojekte\eng\EngData\AOS\Allgemein\[LabSamples2025.xlsx]Bioplastic'!H394)," ",'Q:\Abteilungsprojekte\eng\EngData\AOS\Allgemein\[LabSamples2025.xlsx]Bioplastic'!H394)</f>
        <v/>
      </c>
    </row>
    <row r="395">
      <c r="A395">
        <f>IF(ISBLANK('Q:\Abteilungsprojekte\eng\EngData\AOS\Allgemein\[LabSamples2025.xlsx]Bioplastic'!A395)," ",'Q:\Abteilungsprojekte\eng\EngData\AOS\Allgemein\[LabSamples2025.xlsx]Bioplastic'!A395)</f>
        <v/>
      </c>
      <c r="B395">
        <f>IF(ISBLANK('Q:\Abteilungsprojekte\eng\EngData\AOS\Allgemein\[LabSamples2025.xlsx]Bioplastic'!B395)," ",'Q:\Abteilungsprojekte\eng\EngData\AOS\Allgemein\[LabSamples2025.xlsx]Bioplastic'!B395)</f>
        <v/>
      </c>
      <c r="C395">
        <f>IF(ISBLANK('Q:\Abteilungsprojekte\eng\EngData\AOS\Allgemein\[LabSamples2025.xlsx]Bioplastic'!C395)," ",'Q:\Abteilungsprojekte\eng\EngData\AOS\Allgemein\[LabSamples2025.xlsx]Bioplastic'!C395)</f>
        <v/>
      </c>
      <c r="D395">
        <f>IF(ISBLANK('Q:\Abteilungsprojekte\eng\EngData\AOS\Allgemein\[LabSamples2025.xlsx]Bioplastic'!D395)," ",'Q:\Abteilungsprojekte\eng\EngData\AOS\Allgemein\[LabSamples2025.xlsx]Bioplastic'!D395)</f>
        <v/>
      </c>
      <c r="E395">
        <f>IF(ISBLANK('Q:\Abteilungsprojekte\eng\EngData\AOS\Allgemein\[LabSamples2025.xlsx]Bioplastic'!E395)," ",'Q:\Abteilungsprojekte\eng\EngData\AOS\Allgemein\[LabSamples2025.xlsx]Bioplastic'!E395)</f>
        <v/>
      </c>
      <c r="F395">
        <f>IF(ISBLANK('Q:\Abteilungsprojekte\eng\EngData\AOS\Allgemein\[LabSamples2025.xlsx]Bioplastic'!F395)," ",'Q:\Abteilungsprojekte\eng\EngData\AOS\Allgemein\[LabSamples2025.xlsx]Bioplastic'!F395)</f>
        <v/>
      </c>
      <c r="G395">
        <f>IF(ISBLANK('Q:\Abteilungsprojekte\eng\EngData\AOS\Allgemein\[LabSamples2025.xlsx]Bioplastic'!G395)," ",'Q:\Abteilungsprojekte\eng\EngData\AOS\Allgemein\[LabSamples2025.xlsx]Bioplastic'!G395)</f>
        <v/>
      </c>
      <c r="H395">
        <f>IF(ISBLANK('Q:\Abteilungsprojekte\eng\EngData\AOS\Allgemein\[LabSamples2025.xlsx]Bioplastic'!H395)," ",'Q:\Abteilungsprojekte\eng\EngData\AOS\Allgemein\[LabSamples2025.xlsx]Bioplastic'!H395)</f>
        <v/>
      </c>
    </row>
    <row r="396">
      <c r="A396">
        <f>IF(ISBLANK('Q:\Abteilungsprojekte\eng\EngData\AOS\Allgemein\[LabSamples2025.xlsx]Bioplastic'!A396)," ",'Q:\Abteilungsprojekte\eng\EngData\AOS\Allgemein\[LabSamples2025.xlsx]Bioplastic'!A396)</f>
        <v/>
      </c>
      <c r="B396">
        <f>IF(ISBLANK('Q:\Abteilungsprojekte\eng\EngData\AOS\Allgemein\[LabSamples2025.xlsx]Bioplastic'!B396)," ",'Q:\Abteilungsprojekte\eng\EngData\AOS\Allgemein\[LabSamples2025.xlsx]Bioplastic'!B396)</f>
        <v/>
      </c>
      <c r="C396">
        <f>IF(ISBLANK('Q:\Abteilungsprojekte\eng\EngData\AOS\Allgemein\[LabSamples2025.xlsx]Bioplastic'!C396)," ",'Q:\Abteilungsprojekte\eng\EngData\AOS\Allgemein\[LabSamples2025.xlsx]Bioplastic'!C396)</f>
        <v/>
      </c>
      <c r="D396">
        <f>IF(ISBLANK('Q:\Abteilungsprojekte\eng\EngData\AOS\Allgemein\[LabSamples2025.xlsx]Bioplastic'!D396)," ",'Q:\Abteilungsprojekte\eng\EngData\AOS\Allgemein\[LabSamples2025.xlsx]Bioplastic'!D396)</f>
        <v/>
      </c>
      <c r="E396">
        <f>IF(ISBLANK('Q:\Abteilungsprojekte\eng\EngData\AOS\Allgemein\[LabSamples2025.xlsx]Bioplastic'!E396)," ",'Q:\Abteilungsprojekte\eng\EngData\AOS\Allgemein\[LabSamples2025.xlsx]Bioplastic'!E396)</f>
        <v/>
      </c>
      <c r="F396">
        <f>IF(ISBLANK('Q:\Abteilungsprojekte\eng\EngData\AOS\Allgemein\[LabSamples2025.xlsx]Bioplastic'!F396)," ",'Q:\Abteilungsprojekte\eng\EngData\AOS\Allgemein\[LabSamples2025.xlsx]Bioplastic'!F396)</f>
        <v/>
      </c>
      <c r="G396">
        <f>IF(ISBLANK('Q:\Abteilungsprojekte\eng\EngData\AOS\Allgemein\[LabSamples2025.xlsx]Bioplastic'!G396)," ",'Q:\Abteilungsprojekte\eng\EngData\AOS\Allgemein\[LabSamples2025.xlsx]Bioplastic'!G396)</f>
        <v/>
      </c>
      <c r="H396">
        <f>IF(ISBLANK('Q:\Abteilungsprojekte\eng\EngData\AOS\Allgemein\[LabSamples2025.xlsx]Bioplastic'!H396)," ",'Q:\Abteilungsprojekte\eng\EngData\AOS\Allgemein\[LabSamples2025.xlsx]Bioplastic'!H396)</f>
        <v/>
      </c>
    </row>
    <row r="397">
      <c r="A397">
        <f>IF(ISBLANK('Q:\Abteilungsprojekte\eng\EngData\AOS\Allgemein\[LabSamples2025.xlsx]Bioplastic'!A397)," ",'Q:\Abteilungsprojekte\eng\EngData\AOS\Allgemein\[LabSamples2025.xlsx]Bioplastic'!A397)</f>
        <v/>
      </c>
      <c r="B397">
        <f>IF(ISBLANK('Q:\Abteilungsprojekte\eng\EngData\AOS\Allgemein\[LabSamples2025.xlsx]Bioplastic'!B397)," ",'Q:\Abteilungsprojekte\eng\EngData\AOS\Allgemein\[LabSamples2025.xlsx]Bioplastic'!B397)</f>
        <v/>
      </c>
      <c r="C397">
        <f>IF(ISBLANK('Q:\Abteilungsprojekte\eng\EngData\AOS\Allgemein\[LabSamples2025.xlsx]Bioplastic'!C397)," ",'Q:\Abteilungsprojekte\eng\EngData\AOS\Allgemein\[LabSamples2025.xlsx]Bioplastic'!C397)</f>
        <v/>
      </c>
      <c r="D397">
        <f>IF(ISBLANK('Q:\Abteilungsprojekte\eng\EngData\AOS\Allgemein\[LabSamples2025.xlsx]Bioplastic'!D397)," ",'Q:\Abteilungsprojekte\eng\EngData\AOS\Allgemein\[LabSamples2025.xlsx]Bioplastic'!D397)</f>
        <v/>
      </c>
      <c r="E397">
        <f>IF(ISBLANK('Q:\Abteilungsprojekte\eng\EngData\AOS\Allgemein\[LabSamples2025.xlsx]Bioplastic'!E397)," ",'Q:\Abteilungsprojekte\eng\EngData\AOS\Allgemein\[LabSamples2025.xlsx]Bioplastic'!E397)</f>
        <v/>
      </c>
      <c r="F397">
        <f>IF(ISBLANK('Q:\Abteilungsprojekte\eng\EngData\AOS\Allgemein\[LabSamples2025.xlsx]Bioplastic'!F397)," ",'Q:\Abteilungsprojekte\eng\EngData\AOS\Allgemein\[LabSamples2025.xlsx]Bioplastic'!F397)</f>
        <v/>
      </c>
      <c r="G397">
        <f>IF(ISBLANK('Q:\Abteilungsprojekte\eng\EngData\AOS\Allgemein\[LabSamples2025.xlsx]Bioplastic'!G397)," ",'Q:\Abteilungsprojekte\eng\EngData\AOS\Allgemein\[LabSamples2025.xlsx]Bioplastic'!G397)</f>
        <v/>
      </c>
      <c r="H397">
        <f>IF(ISBLANK('Q:\Abteilungsprojekte\eng\EngData\AOS\Allgemein\[LabSamples2025.xlsx]Bioplastic'!H397)," ",'Q:\Abteilungsprojekte\eng\EngData\AOS\Allgemein\[LabSamples2025.xlsx]Bioplastic'!H397)</f>
        <v/>
      </c>
    </row>
    <row r="398">
      <c r="A398">
        <f>IF(ISBLANK('Q:\Abteilungsprojekte\eng\EngData\AOS\Allgemein\[LabSamples2025.xlsx]Bioplastic'!A398)," ",'Q:\Abteilungsprojekte\eng\EngData\AOS\Allgemein\[LabSamples2025.xlsx]Bioplastic'!A398)</f>
        <v/>
      </c>
      <c r="B398">
        <f>IF(ISBLANK('Q:\Abteilungsprojekte\eng\EngData\AOS\Allgemein\[LabSamples2025.xlsx]Bioplastic'!B398)," ",'Q:\Abteilungsprojekte\eng\EngData\AOS\Allgemein\[LabSamples2025.xlsx]Bioplastic'!B398)</f>
        <v/>
      </c>
      <c r="C398">
        <f>IF(ISBLANK('Q:\Abteilungsprojekte\eng\EngData\AOS\Allgemein\[LabSamples2025.xlsx]Bioplastic'!C398)," ",'Q:\Abteilungsprojekte\eng\EngData\AOS\Allgemein\[LabSamples2025.xlsx]Bioplastic'!C398)</f>
        <v/>
      </c>
      <c r="D398">
        <f>IF(ISBLANK('Q:\Abteilungsprojekte\eng\EngData\AOS\Allgemein\[LabSamples2025.xlsx]Bioplastic'!D398)," ",'Q:\Abteilungsprojekte\eng\EngData\AOS\Allgemein\[LabSamples2025.xlsx]Bioplastic'!D398)</f>
        <v/>
      </c>
      <c r="E398">
        <f>IF(ISBLANK('Q:\Abteilungsprojekte\eng\EngData\AOS\Allgemein\[LabSamples2025.xlsx]Bioplastic'!E398)," ",'Q:\Abteilungsprojekte\eng\EngData\AOS\Allgemein\[LabSamples2025.xlsx]Bioplastic'!E398)</f>
        <v/>
      </c>
      <c r="F398">
        <f>IF(ISBLANK('Q:\Abteilungsprojekte\eng\EngData\AOS\Allgemein\[LabSamples2025.xlsx]Bioplastic'!F398)," ",'Q:\Abteilungsprojekte\eng\EngData\AOS\Allgemein\[LabSamples2025.xlsx]Bioplastic'!F398)</f>
        <v/>
      </c>
      <c r="G398">
        <f>IF(ISBLANK('Q:\Abteilungsprojekte\eng\EngData\AOS\Allgemein\[LabSamples2025.xlsx]Bioplastic'!G398)," ",'Q:\Abteilungsprojekte\eng\EngData\AOS\Allgemein\[LabSamples2025.xlsx]Bioplastic'!G398)</f>
        <v/>
      </c>
      <c r="H398">
        <f>IF(ISBLANK('Q:\Abteilungsprojekte\eng\EngData\AOS\Allgemein\[LabSamples2025.xlsx]Bioplastic'!H398)," ",'Q:\Abteilungsprojekte\eng\EngData\AOS\Allgemein\[LabSamples2025.xlsx]Bioplastic'!H398)</f>
        <v/>
      </c>
    </row>
    <row r="399">
      <c r="A399">
        <f>IF(ISBLANK('Q:\Abteilungsprojekte\eng\EngData\AOS\Allgemein\[LabSamples2025.xlsx]Bioplastic'!A399)," ",'Q:\Abteilungsprojekte\eng\EngData\AOS\Allgemein\[LabSamples2025.xlsx]Bioplastic'!A399)</f>
        <v/>
      </c>
      <c r="B399">
        <f>IF(ISBLANK('Q:\Abteilungsprojekte\eng\EngData\AOS\Allgemein\[LabSamples2025.xlsx]Bioplastic'!B399)," ",'Q:\Abteilungsprojekte\eng\EngData\AOS\Allgemein\[LabSamples2025.xlsx]Bioplastic'!B399)</f>
        <v/>
      </c>
      <c r="C399">
        <f>IF(ISBLANK('Q:\Abteilungsprojekte\eng\EngData\AOS\Allgemein\[LabSamples2025.xlsx]Bioplastic'!C399)," ",'Q:\Abteilungsprojekte\eng\EngData\AOS\Allgemein\[LabSamples2025.xlsx]Bioplastic'!C399)</f>
        <v/>
      </c>
      <c r="D399">
        <f>IF(ISBLANK('Q:\Abteilungsprojekte\eng\EngData\AOS\Allgemein\[LabSamples2025.xlsx]Bioplastic'!D399)," ",'Q:\Abteilungsprojekte\eng\EngData\AOS\Allgemein\[LabSamples2025.xlsx]Bioplastic'!D399)</f>
        <v/>
      </c>
      <c r="E399">
        <f>IF(ISBLANK('Q:\Abteilungsprojekte\eng\EngData\AOS\Allgemein\[LabSamples2025.xlsx]Bioplastic'!E399)," ",'Q:\Abteilungsprojekte\eng\EngData\AOS\Allgemein\[LabSamples2025.xlsx]Bioplastic'!E399)</f>
        <v/>
      </c>
      <c r="F399">
        <f>IF(ISBLANK('Q:\Abteilungsprojekte\eng\EngData\AOS\Allgemein\[LabSamples2025.xlsx]Bioplastic'!F399)," ",'Q:\Abteilungsprojekte\eng\EngData\AOS\Allgemein\[LabSamples2025.xlsx]Bioplastic'!F399)</f>
        <v/>
      </c>
      <c r="G399">
        <f>IF(ISBLANK('Q:\Abteilungsprojekte\eng\EngData\AOS\Allgemein\[LabSamples2025.xlsx]Bioplastic'!G399)," ",'Q:\Abteilungsprojekte\eng\EngData\AOS\Allgemein\[LabSamples2025.xlsx]Bioplastic'!G399)</f>
        <v/>
      </c>
      <c r="H399">
        <f>IF(ISBLANK('Q:\Abteilungsprojekte\eng\EngData\AOS\Allgemein\[LabSamples2025.xlsx]Bioplastic'!H399)," ",'Q:\Abteilungsprojekte\eng\EngData\AOS\Allgemein\[LabSamples2025.xlsx]Bioplastic'!H399)</f>
        <v/>
      </c>
    </row>
    <row r="400">
      <c r="A400">
        <f>IF(ISBLANK('Q:\Abteilungsprojekte\eng\EngData\AOS\Allgemein\[LabSamples2025.xlsx]Bioplastic'!A400)," ",'Q:\Abteilungsprojekte\eng\EngData\AOS\Allgemein\[LabSamples2025.xlsx]Bioplastic'!A400)</f>
        <v/>
      </c>
      <c r="B400">
        <f>IF(ISBLANK('Q:\Abteilungsprojekte\eng\EngData\AOS\Allgemein\[LabSamples2025.xlsx]Bioplastic'!B400)," ",'Q:\Abteilungsprojekte\eng\EngData\AOS\Allgemein\[LabSamples2025.xlsx]Bioplastic'!B400)</f>
        <v/>
      </c>
      <c r="C400">
        <f>IF(ISBLANK('Q:\Abteilungsprojekte\eng\EngData\AOS\Allgemein\[LabSamples2025.xlsx]Bioplastic'!C400)," ",'Q:\Abteilungsprojekte\eng\EngData\AOS\Allgemein\[LabSamples2025.xlsx]Bioplastic'!C400)</f>
        <v/>
      </c>
      <c r="D400">
        <f>IF(ISBLANK('Q:\Abteilungsprojekte\eng\EngData\AOS\Allgemein\[LabSamples2025.xlsx]Bioplastic'!D400)," ",'Q:\Abteilungsprojekte\eng\EngData\AOS\Allgemein\[LabSamples2025.xlsx]Bioplastic'!D400)</f>
        <v/>
      </c>
      <c r="E400">
        <f>IF(ISBLANK('Q:\Abteilungsprojekte\eng\EngData\AOS\Allgemein\[LabSamples2025.xlsx]Bioplastic'!E400)," ",'Q:\Abteilungsprojekte\eng\EngData\AOS\Allgemein\[LabSamples2025.xlsx]Bioplastic'!E400)</f>
        <v/>
      </c>
      <c r="F400">
        <f>IF(ISBLANK('Q:\Abteilungsprojekte\eng\EngData\AOS\Allgemein\[LabSamples2025.xlsx]Bioplastic'!F400)," ",'Q:\Abteilungsprojekte\eng\EngData\AOS\Allgemein\[LabSamples2025.xlsx]Bioplastic'!F400)</f>
        <v/>
      </c>
      <c r="G400">
        <f>IF(ISBLANK('Q:\Abteilungsprojekte\eng\EngData\AOS\Allgemein\[LabSamples2025.xlsx]Bioplastic'!G400)," ",'Q:\Abteilungsprojekte\eng\EngData\AOS\Allgemein\[LabSamples2025.xlsx]Bioplastic'!G400)</f>
        <v/>
      </c>
      <c r="H400">
        <f>IF(ISBLANK('Q:\Abteilungsprojekte\eng\EngData\AOS\Allgemein\[LabSamples2025.xlsx]Bioplastic'!H400)," ",'Q:\Abteilungsprojekte\eng\EngData\AOS\Allgemein\[LabSamples2025.xlsx]Bioplastic'!H400)</f>
        <v/>
      </c>
    </row>
    <row r="401">
      <c r="A401">
        <f>IF(ISBLANK('Q:\Abteilungsprojekte\eng\EngData\AOS\Allgemein\[LabSamples2025.xlsx]Bioplastic'!A401)," ",'Q:\Abteilungsprojekte\eng\EngData\AOS\Allgemein\[LabSamples2025.xlsx]Bioplastic'!A401)</f>
        <v/>
      </c>
      <c r="B401">
        <f>IF(ISBLANK('Q:\Abteilungsprojekte\eng\EngData\AOS\Allgemein\[LabSamples2025.xlsx]Bioplastic'!B401)," ",'Q:\Abteilungsprojekte\eng\EngData\AOS\Allgemein\[LabSamples2025.xlsx]Bioplastic'!B401)</f>
        <v/>
      </c>
      <c r="C401">
        <f>IF(ISBLANK('Q:\Abteilungsprojekte\eng\EngData\AOS\Allgemein\[LabSamples2025.xlsx]Bioplastic'!C401)," ",'Q:\Abteilungsprojekte\eng\EngData\AOS\Allgemein\[LabSamples2025.xlsx]Bioplastic'!C401)</f>
        <v/>
      </c>
      <c r="D401">
        <f>IF(ISBLANK('Q:\Abteilungsprojekte\eng\EngData\AOS\Allgemein\[LabSamples2025.xlsx]Bioplastic'!D401)," ",'Q:\Abteilungsprojekte\eng\EngData\AOS\Allgemein\[LabSamples2025.xlsx]Bioplastic'!D401)</f>
        <v/>
      </c>
      <c r="E401">
        <f>IF(ISBLANK('Q:\Abteilungsprojekte\eng\EngData\AOS\Allgemein\[LabSamples2025.xlsx]Bioplastic'!E401)," ",'Q:\Abteilungsprojekte\eng\EngData\AOS\Allgemein\[LabSamples2025.xlsx]Bioplastic'!E401)</f>
        <v/>
      </c>
      <c r="F401">
        <f>IF(ISBLANK('Q:\Abteilungsprojekte\eng\EngData\AOS\Allgemein\[LabSamples2025.xlsx]Bioplastic'!F401)," ",'Q:\Abteilungsprojekte\eng\EngData\AOS\Allgemein\[LabSamples2025.xlsx]Bioplastic'!F401)</f>
        <v/>
      </c>
      <c r="G401">
        <f>IF(ISBLANK('Q:\Abteilungsprojekte\eng\EngData\AOS\Allgemein\[LabSamples2025.xlsx]Bioplastic'!G401)," ",'Q:\Abteilungsprojekte\eng\EngData\AOS\Allgemein\[LabSamples2025.xlsx]Bioplastic'!G401)</f>
        <v/>
      </c>
      <c r="H401">
        <f>IF(ISBLANK('Q:\Abteilungsprojekte\eng\EngData\AOS\Allgemein\[LabSamples2025.xlsx]Bioplastic'!H401)," ",'Q:\Abteilungsprojekte\eng\EngData\AOS\Allgemein\[LabSamples2025.xlsx]Bioplastic'!H401)</f>
        <v/>
      </c>
    </row>
    <row r="402">
      <c r="A402">
        <f>IF(ISBLANK('Q:\Abteilungsprojekte\eng\EngData\AOS\Allgemein\[LabSamples2025.xlsx]Bioplastic'!A402)," ",'Q:\Abteilungsprojekte\eng\EngData\AOS\Allgemein\[LabSamples2025.xlsx]Bioplastic'!A402)</f>
        <v/>
      </c>
      <c r="B402">
        <f>IF(ISBLANK('Q:\Abteilungsprojekte\eng\EngData\AOS\Allgemein\[LabSamples2025.xlsx]Bioplastic'!B402)," ",'Q:\Abteilungsprojekte\eng\EngData\AOS\Allgemein\[LabSamples2025.xlsx]Bioplastic'!B402)</f>
        <v/>
      </c>
      <c r="C402">
        <f>IF(ISBLANK('Q:\Abteilungsprojekte\eng\EngData\AOS\Allgemein\[LabSamples2025.xlsx]Bioplastic'!C402)," ",'Q:\Abteilungsprojekte\eng\EngData\AOS\Allgemein\[LabSamples2025.xlsx]Bioplastic'!C402)</f>
        <v/>
      </c>
      <c r="D402">
        <f>IF(ISBLANK('Q:\Abteilungsprojekte\eng\EngData\AOS\Allgemein\[LabSamples2025.xlsx]Bioplastic'!D402)," ",'Q:\Abteilungsprojekte\eng\EngData\AOS\Allgemein\[LabSamples2025.xlsx]Bioplastic'!D402)</f>
        <v/>
      </c>
      <c r="E402">
        <f>IF(ISBLANK('Q:\Abteilungsprojekte\eng\EngData\AOS\Allgemein\[LabSamples2025.xlsx]Bioplastic'!E402)," ",'Q:\Abteilungsprojekte\eng\EngData\AOS\Allgemein\[LabSamples2025.xlsx]Bioplastic'!E402)</f>
        <v/>
      </c>
      <c r="F402">
        <f>IF(ISBLANK('Q:\Abteilungsprojekte\eng\EngData\AOS\Allgemein\[LabSamples2025.xlsx]Bioplastic'!F402)," ",'Q:\Abteilungsprojekte\eng\EngData\AOS\Allgemein\[LabSamples2025.xlsx]Bioplastic'!F402)</f>
        <v/>
      </c>
      <c r="G402">
        <f>IF(ISBLANK('Q:\Abteilungsprojekte\eng\EngData\AOS\Allgemein\[LabSamples2025.xlsx]Bioplastic'!G402)," ",'Q:\Abteilungsprojekte\eng\EngData\AOS\Allgemein\[LabSamples2025.xlsx]Bioplastic'!G402)</f>
        <v/>
      </c>
      <c r="H402">
        <f>IF(ISBLANK('Q:\Abteilungsprojekte\eng\EngData\AOS\Allgemein\[LabSamples2025.xlsx]Bioplastic'!H402)," ",'Q:\Abteilungsprojekte\eng\EngData\AOS\Allgemein\[LabSamples2025.xlsx]Bioplastic'!H402)</f>
        <v/>
      </c>
    </row>
    <row r="403">
      <c r="A403">
        <f>IF(ISBLANK('Q:\Abteilungsprojekte\eng\EngData\AOS\Allgemein\[LabSamples2025.xlsx]Bioplastic'!A403)," ",'Q:\Abteilungsprojekte\eng\EngData\AOS\Allgemein\[LabSamples2025.xlsx]Bioplastic'!A403)</f>
        <v/>
      </c>
      <c r="B403">
        <f>IF(ISBLANK('Q:\Abteilungsprojekte\eng\EngData\AOS\Allgemein\[LabSamples2025.xlsx]Bioplastic'!B403)," ",'Q:\Abteilungsprojekte\eng\EngData\AOS\Allgemein\[LabSamples2025.xlsx]Bioplastic'!B403)</f>
        <v/>
      </c>
      <c r="C403">
        <f>IF(ISBLANK('Q:\Abteilungsprojekte\eng\EngData\AOS\Allgemein\[LabSamples2025.xlsx]Bioplastic'!C403)," ",'Q:\Abteilungsprojekte\eng\EngData\AOS\Allgemein\[LabSamples2025.xlsx]Bioplastic'!C403)</f>
        <v/>
      </c>
      <c r="D403">
        <f>IF(ISBLANK('Q:\Abteilungsprojekte\eng\EngData\AOS\Allgemein\[LabSamples2025.xlsx]Bioplastic'!D403)," ",'Q:\Abteilungsprojekte\eng\EngData\AOS\Allgemein\[LabSamples2025.xlsx]Bioplastic'!D403)</f>
        <v/>
      </c>
      <c r="E403">
        <f>IF(ISBLANK('Q:\Abteilungsprojekte\eng\EngData\AOS\Allgemein\[LabSamples2025.xlsx]Bioplastic'!E403)," ",'Q:\Abteilungsprojekte\eng\EngData\AOS\Allgemein\[LabSamples2025.xlsx]Bioplastic'!E403)</f>
        <v/>
      </c>
      <c r="F403">
        <f>IF(ISBLANK('Q:\Abteilungsprojekte\eng\EngData\AOS\Allgemein\[LabSamples2025.xlsx]Bioplastic'!F403)," ",'Q:\Abteilungsprojekte\eng\EngData\AOS\Allgemein\[LabSamples2025.xlsx]Bioplastic'!F403)</f>
        <v/>
      </c>
      <c r="G403">
        <f>IF(ISBLANK('Q:\Abteilungsprojekte\eng\EngData\AOS\Allgemein\[LabSamples2025.xlsx]Bioplastic'!G403)," ",'Q:\Abteilungsprojekte\eng\EngData\AOS\Allgemein\[LabSamples2025.xlsx]Bioplastic'!G403)</f>
        <v/>
      </c>
      <c r="H403">
        <f>IF(ISBLANK('Q:\Abteilungsprojekte\eng\EngData\AOS\Allgemein\[LabSamples2025.xlsx]Bioplastic'!H403)," ",'Q:\Abteilungsprojekte\eng\EngData\AOS\Allgemein\[LabSamples2025.xlsx]Bioplastic'!H403)</f>
        <v/>
      </c>
    </row>
    <row r="404">
      <c r="A404">
        <f>IF(ISBLANK('Q:\Abteilungsprojekte\eng\EngData\AOS\Allgemein\[LabSamples2025.xlsx]Bioplastic'!A404)," ",'Q:\Abteilungsprojekte\eng\EngData\AOS\Allgemein\[LabSamples2025.xlsx]Bioplastic'!A404)</f>
        <v/>
      </c>
      <c r="B404">
        <f>IF(ISBLANK('Q:\Abteilungsprojekte\eng\EngData\AOS\Allgemein\[LabSamples2025.xlsx]Bioplastic'!B404)," ",'Q:\Abteilungsprojekte\eng\EngData\AOS\Allgemein\[LabSamples2025.xlsx]Bioplastic'!B404)</f>
        <v/>
      </c>
      <c r="C404">
        <f>IF(ISBLANK('Q:\Abteilungsprojekte\eng\EngData\AOS\Allgemein\[LabSamples2025.xlsx]Bioplastic'!C404)," ",'Q:\Abteilungsprojekte\eng\EngData\AOS\Allgemein\[LabSamples2025.xlsx]Bioplastic'!C404)</f>
        <v/>
      </c>
      <c r="D404">
        <f>IF(ISBLANK('Q:\Abteilungsprojekte\eng\EngData\AOS\Allgemein\[LabSamples2025.xlsx]Bioplastic'!D404)," ",'Q:\Abteilungsprojekte\eng\EngData\AOS\Allgemein\[LabSamples2025.xlsx]Bioplastic'!D404)</f>
        <v/>
      </c>
      <c r="E404">
        <f>IF(ISBLANK('Q:\Abteilungsprojekte\eng\EngData\AOS\Allgemein\[LabSamples2025.xlsx]Bioplastic'!E404)," ",'Q:\Abteilungsprojekte\eng\EngData\AOS\Allgemein\[LabSamples2025.xlsx]Bioplastic'!E404)</f>
        <v/>
      </c>
      <c r="F404">
        <f>IF(ISBLANK('Q:\Abteilungsprojekte\eng\EngData\AOS\Allgemein\[LabSamples2025.xlsx]Bioplastic'!F404)," ",'Q:\Abteilungsprojekte\eng\EngData\AOS\Allgemein\[LabSamples2025.xlsx]Bioplastic'!F404)</f>
        <v/>
      </c>
      <c r="G404">
        <f>IF(ISBLANK('Q:\Abteilungsprojekte\eng\EngData\AOS\Allgemein\[LabSamples2025.xlsx]Bioplastic'!G404)," ",'Q:\Abteilungsprojekte\eng\EngData\AOS\Allgemein\[LabSamples2025.xlsx]Bioplastic'!G404)</f>
        <v/>
      </c>
      <c r="H404">
        <f>IF(ISBLANK('Q:\Abteilungsprojekte\eng\EngData\AOS\Allgemein\[LabSamples2025.xlsx]Bioplastic'!H404)," ",'Q:\Abteilungsprojekte\eng\EngData\AOS\Allgemein\[LabSamples2025.xlsx]Bioplastic'!H404)</f>
        <v/>
      </c>
    </row>
    <row r="405">
      <c r="A405">
        <f>IF(ISBLANK('Q:\Abteilungsprojekte\eng\EngData\AOS\Allgemein\[LabSamples2025.xlsx]Bioplastic'!A405)," ",'Q:\Abteilungsprojekte\eng\EngData\AOS\Allgemein\[LabSamples2025.xlsx]Bioplastic'!A405)</f>
        <v/>
      </c>
      <c r="B405">
        <f>IF(ISBLANK('Q:\Abteilungsprojekte\eng\EngData\AOS\Allgemein\[LabSamples2025.xlsx]Bioplastic'!B405)," ",'Q:\Abteilungsprojekte\eng\EngData\AOS\Allgemein\[LabSamples2025.xlsx]Bioplastic'!B405)</f>
        <v/>
      </c>
      <c r="C405">
        <f>IF(ISBLANK('Q:\Abteilungsprojekte\eng\EngData\AOS\Allgemein\[LabSamples2025.xlsx]Bioplastic'!C405)," ",'Q:\Abteilungsprojekte\eng\EngData\AOS\Allgemein\[LabSamples2025.xlsx]Bioplastic'!C405)</f>
        <v/>
      </c>
      <c r="D405">
        <f>IF(ISBLANK('Q:\Abteilungsprojekte\eng\EngData\AOS\Allgemein\[LabSamples2025.xlsx]Bioplastic'!D405)," ",'Q:\Abteilungsprojekte\eng\EngData\AOS\Allgemein\[LabSamples2025.xlsx]Bioplastic'!D405)</f>
        <v/>
      </c>
      <c r="E405">
        <f>IF(ISBLANK('Q:\Abteilungsprojekte\eng\EngData\AOS\Allgemein\[LabSamples2025.xlsx]Bioplastic'!E405)," ",'Q:\Abteilungsprojekte\eng\EngData\AOS\Allgemein\[LabSamples2025.xlsx]Bioplastic'!E405)</f>
        <v/>
      </c>
      <c r="F405">
        <f>IF(ISBLANK('Q:\Abteilungsprojekte\eng\EngData\AOS\Allgemein\[LabSamples2025.xlsx]Bioplastic'!F405)," ",'Q:\Abteilungsprojekte\eng\EngData\AOS\Allgemein\[LabSamples2025.xlsx]Bioplastic'!F405)</f>
        <v/>
      </c>
      <c r="G405">
        <f>IF(ISBLANK('Q:\Abteilungsprojekte\eng\EngData\AOS\Allgemein\[LabSamples2025.xlsx]Bioplastic'!G405)," ",'Q:\Abteilungsprojekte\eng\EngData\AOS\Allgemein\[LabSamples2025.xlsx]Bioplastic'!G405)</f>
        <v/>
      </c>
      <c r="H405">
        <f>IF(ISBLANK('Q:\Abteilungsprojekte\eng\EngData\AOS\Allgemein\[LabSamples2025.xlsx]Bioplastic'!H405)," ",'Q:\Abteilungsprojekte\eng\EngData\AOS\Allgemein\[LabSamples2025.xlsx]Bioplastic'!H405)</f>
        <v/>
      </c>
    </row>
    <row r="406">
      <c r="A406">
        <f>IF(ISBLANK('Q:\Abteilungsprojekte\eng\EngData\AOS\Allgemein\[LabSamples2025.xlsx]Bioplastic'!A406)," ",'Q:\Abteilungsprojekte\eng\EngData\AOS\Allgemein\[LabSamples2025.xlsx]Bioplastic'!A406)</f>
        <v/>
      </c>
      <c r="B406">
        <f>IF(ISBLANK('Q:\Abteilungsprojekte\eng\EngData\AOS\Allgemein\[LabSamples2025.xlsx]Bioplastic'!B406)," ",'Q:\Abteilungsprojekte\eng\EngData\AOS\Allgemein\[LabSamples2025.xlsx]Bioplastic'!B406)</f>
        <v/>
      </c>
      <c r="C406">
        <f>IF(ISBLANK('Q:\Abteilungsprojekte\eng\EngData\AOS\Allgemein\[LabSamples2025.xlsx]Bioplastic'!C406)," ",'Q:\Abteilungsprojekte\eng\EngData\AOS\Allgemein\[LabSamples2025.xlsx]Bioplastic'!C406)</f>
        <v/>
      </c>
      <c r="D406">
        <f>IF(ISBLANK('Q:\Abteilungsprojekte\eng\EngData\AOS\Allgemein\[LabSamples2025.xlsx]Bioplastic'!D406)," ",'Q:\Abteilungsprojekte\eng\EngData\AOS\Allgemein\[LabSamples2025.xlsx]Bioplastic'!D406)</f>
        <v/>
      </c>
      <c r="E406">
        <f>IF(ISBLANK('Q:\Abteilungsprojekte\eng\EngData\AOS\Allgemein\[LabSamples2025.xlsx]Bioplastic'!E406)," ",'Q:\Abteilungsprojekte\eng\EngData\AOS\Allgemein\[LabSamples2025.xlsx]Bioplastic'!E406)</f>
        <v/>
      </c>
      <c r="F406">
        <f>IF(ISBLANK('Q:\Abteilungsprojekte\eng\EngData\AOS\Allgemein\[LabSamples2025.xlsx]Bioplastic'!F406)," ",'Q:\Abteilungsprojekte\eng\EngData\AOS\Allgemein\[LabSamples2025.xlsx]Bioplastic'!F406)</f>
        <v/>
      </c>
      <c r="G406">
        <f>IF(ISBLANK('Q:\Abteilungsprojekte\eng\EngData\AOS\Allgemein\[LabSamples2025.xlsx]Bioplastic'!G406)," ",'Q:\Abteilungsprojekte\eng\EngData\AOS\Allgemein\[LabSamples2025.xlsx]Bioplastic'!G406)</f>
        <v/>
      </c>
      <c r="H406">
        <f>IF(ISBLANK('Q:\Abteilungsprojekte\eng\EngData\AOS\Allgemein\[LabSamples2025.xlsx]Bioplastic'!H406)," ",'Q:\Abteilungsprojekte\eng\EngData\AOS\Allgemein\[LabSamples2025.xlsx]Bioplastic'!H406)</f>
        <v/>
      </c>
    </row>
    <row r="407">
      <c r="A407">
        <f>IF(ISBLANK('Q:\Abteilungsprojekte\eng\EngData\AOS\Allgemein\[LabSamples2025.xlsx]Bioplastic'!A407)," ",'Q:\Abteilungsprojekte\eng\EngData\AOS\Allgemein\[LabSamples2025.xlsx]Bioplastic'!A407)</f>
        <v/>
      </c>
      <c r="B407">
        <f>IF(ISBLANK('Q:\Abteilungsprojekte\eng\EngData\AOS\Allgemein\[LabSamples2025.xlsx]Bioplastic'!B407)," ",'Q:\Abteilungsprojekte\eng\EngData\AOS\Allgemein\[LabSamples2025.xlsx]Bioplastic'!B407)</f>
        <v/>
      </c>
      <c r="C407">
        <f>IF(ISBLANK('Q:\Abteilungsprojekte\eng\EngData\AOS\Allgemein\[LabSamples2025.xlsx]Bioplastic'!C407)," ",'Q:\Abteilungsprojekte\eng\EngData\AOS\Allgemein\[LabSamples2025.xlsx]Bioplastic'!C407)</f>
        <v/>
      </c>
      <c r="D407">
        <f>IF(ISBLANK('Q:\Abteilungsprojekte\eng\EngData\AOS\Allgemein\[LabSamples2025.xlsx]Bioplastic'!D407)," ",'Q:\Abteilungsprojekte\eng\EngData\AOS\Allgemein\[LabSamples2025.xlsx]Bioplastic'!D407)</f>
        <v/>
      </c>
      <c r="E407">
        <f>IF(ISBLANK('Q:\Abteilungsprojekte\eng\EngData\AOS\Allgemein\[LabSamples2025.xlsx]Bioplastic'!E407)," ",'Q:\Abteilungsprojekte\eng\EngData\AOS\Allgemein\[LabSamples2025.xlsx]Bioplastic'!E407)</f>
        <v/>
      </c>
      <c r="F407">
        <f>IF(ISBLANK('Q:\Abteilungsprojekte\eng\EngData\AOS\Allgemein\[LabSamples2025.xlsx]Bioplastic'!F407)," ",'Q:\Abteilungsprojekte\eng\EngData\AOS\Allgemein\[LabSamples2025.xlsx]Bioplastic'!F407)</f>
        <v/>
      </c>
      <c r="G407">
        <f>IF(ISBLANK('Q:\Abteilungsprojekte\eng\EngData\AOS\Allgemein\[LabSamples2025.xlsx]Bioplastic'!G407)," ",'Q:\Abteilungsprojekte\eng\EngData\AOS\Allgemein\[LabSamples2025.xlsx]Bioplastic'!G407)</f>
        <v/>
      </c>
      <c r="H407">
        <f>IF(ISBLANK('Q:\Abteilungsprojekte\eng\EngData\AOS\Allgemein\[LabSamples2025.xlsx]Bioplastic'!H407)," ",'Q:\Abteilungsprojekte\eng\EngData\AOS\Allgemein\[LabSamples2025.xlsx]Bioplastic'!H407)</f>
        <v/>
      </c>
    </row>
    <row r="408">
      <c r="A408">
        <f>IF(ISBLANK('Q:\Abteilungsprojekte\eng\EngData\AOS\Allgemein\[LabSamples2025.xlsx]Bioplastic'!A408)," ",'Q:\Abteilungsprojekte\eng\EngData\AOS\Allgemein\[LabSamples2025.xlsx]Bioplastic'!A408)</f>
        <v/>
      </c>
      <c r="B408">
        <f>IF(ISBLANK('Q:\Abteilungsprojekte\eng\EngData\AOS\Allgemein\[LabSamples2025.xlsx]Bioplastic'!B408)," ",'Q:\Abteilungsprojekte\eng\EngData\AOS\Allgemein\[LabSamples2025.xlsx]Bioplastic'!B408)</f>
        <v/>
      </c>
      <c r="C408">
        <f>IF(ISBLANK('Q:\Abteilungsprojekte\eng\EngData\AOS\Allgemein\[LabSamples2025.xlsx]Bioplastic'!C408)," ",'Q:\Abteilungsprojekte\eng\EngData\AOS\Allgemein\[LabSamples2025.xlsx]Bioplastic'!C408)</f>
        <v/>
      </c>
      <c r="D408">
        <f>IF(ISBLANK('Q:\Abteilungsprojekte\eng\EngData\AOS\Allgemein\[LabSamples2025.xlsx]Bioplastic'!D408)," ",'Q:\Abteilungsprojekte\eng\EngData\AOS\Allgemein\[LabSamples2025.xlsx]Bioplastic'!D408)</f>
        <v/>
      </c>
      <c r="E408">
        <f>IF(ISBLANK('Q:\Abteilungsprojekte\eng\EngData\AOS\Allgemein\[LabSamples2025.xlsx]Bioplastic'!E408)," ",'Q:\Abteilungsprojekte\eng\EngData\AOS\Allgemein\[LabSamples2025.xlsx]Bioplastic'!E408)</f>
        <v/>
      </c>
      <c r="F408">
        <f>IF(ISBLANK('Q:\Abteilungsprojekte\eng\EngData\AOS\Allgemein\[LabSamples2025.xlsx]Bioplastic'!F408)," ",'Q:\Abteilungsprojekte\eng\EngData\AOS\Allgemein\[LabSamples2025.xlsx]Bioplastic'!F408)</f>
        <v/>
      </c>
      <c r="G408">
        <f>IF(ISBLANK('Q:\Abteilungsprojekte\eng\EngData\AOS\Allgemein\[LabSamples2025.xlsx]Bioplastic'!G408)," ",'Q:\Abteilungsprojekte\eng\EngData\AOS\Allgemein\[LabSamples2025.xlsx]Bioplastic'!G408)</f>
        <v/>
      </c>
      <c r="H408">
        <f>IF(ISBLANK('Q:\Abteilungsprojekte\eng\EngData\AOS\Allgemein\[LabSamples2025.xlsx]Bioplastic'!H408)," ",'Q:\Abteilungsprojekte\eng\EngData\AOS\Allgemein\[LabSamples2025.xlsx]Bioplastic'!H408)</f>
        <v/>
      </c>
    </row>
    <row r="409">
      <c r="A409">
        <f>IF(ISBLANK('Q:\Abteilungsprojekte\eng\EngData\AOS\Allgemein\[LabSamples2025.xlsx]Bioplastic'!A409)," ",'Q:\Abteilungsprojekte\eng\EngData\AOS\Allgemein\[LabSamples2025.xlsx]Bioplastic'!A409)</f>
        <v/>
      </c>
      <c r="B409">
        <f>IF(ISBLANK('Q:\Abteilungsprojekte\eng\EngData\AOS\Allgemein\[LabSamples2025.xlsx]Bioplastic'!B409)," ",'Q:\Abteilungsprojekte\eng\EngData\AOS\Allgemein\[LabSamples2025.xlsx]Bioplastic'!B409)</f>
        <v/>
      </c>
      <c r="C409">
        <f>IF(ISBLANK('Q:\Abteilungsprojekte\eng\EngData\AOS\Allgemein\[LabSamples2025.xlsx]Bioplastic'!C409)," ",'Q:\Abteilungsprojekte\eng\EngData\AOS\Allgemein\[LabSamples2025.xlsx]Bioplastic'!C409)</f>
        <v/>
      </c>
      <c r="D409">
        <f>IF(ISBLANK('Q:\Abteilungsprojekte\eng\EngData\AOS\Allgemein\[LabSamples2025.xlsx]Bioplastic'!D409)," ",'Q:\Abteilungsprojekte\eng\EngData\AOS\Allgemein\[LabSamples2025.xlsx]Bioplastic'!D409)</f>
        <v/>
      </c>
      <c r="E409">
        <f>IF(ISBLANK('Q:\Abteilungsprojekte\eng\EngData\AOS\Allgemein\[LabSamples2025.xlsx]Bioplastic'!E409)," ",'Q:\Abteilungsprojekte\eng\EngData\AOS\Allgemein\[LabSamples2025.xlsx]Bioplastic'!E409)</f>
        <v/>
      </c>
      <c r="F409">
        <f>IF(ISBLANK('Q:\Abteilungsprojekte\eng\EngData\AOS\Allgemein\[LabSamples2025.xlsx]Bioplastic'!F409)," ",'Q:\Abteilungsprojekte\eng\EngData\AOS\Allgemein\[LabSamples2025.xlsx]Bioplastic'!F409)</f>
        <v/>
      </c>
      <c r="G409">
        <f>IF(ISBLANK('Q:\Abteilungsprojekte\eng\EngData\AOS\Allgemein\[LabSamples2025.xlsx]Bioplastic'!G409)," ",'Q:\Abteilungsprojekte\eng\EngData\AOS\Allgemein\[LabSamples2025.xlsx]Bioplastic'!G409)</f>
        <v/>
      </c>
      <c r="H409">
        <f>IF(ISBLANK('Q:\Abteilungsprojekte\eng\EngData\AOS\Allgemein\[LabSamples2025.xlsx]Bioplastic'!H409)," ",'Q:\Abteilungsprojekte\eng\EngData\AOS\Allgemein\[LabSamples2025.xlsx]Bioplastic'!H409)</f>
        <v/>
      </c>
    </row>
    <row r="410">
      <c r="A410">
        <f>IF(ISBLANK('Q:\Abteilungsprojekte\eng\EngData\AOS\Allgemein\[LabSamples2025.xlsx]Bioplastic'!A410)," ",'Q:\Abteilungsprojekte\eng\EngData\AOS\Allgemein\[LabSamples2025.xlsx]Bioplastic'!A410)</f>
        <v/>
      </c>
      <c r="B410">
        <f>IF(ISBLANK('Q:\Abteilungsprojekte\eng\EngData\AOS\Allgemein\[LabSamples2025.xlsx]Bioplastic'!B410)," ",'Q:\Abteilungsprojekte\eng\EngData\AOS\Allgemein\[LabSamples2025.xlsx]Bioplastic'!B410)</f>
        <v/>
      </c>
      <c r="C410">
        <f>IF(ISBLANK('Q:\Abteilungsprojekte\eng\EngData\AOS\Allgemein\[LabSamples2025.xlsx]Bioplastic'!C410)," ",'Q:\Abteilungsprojekte\eng\EngData\AOS\Allgemein\[LabSamples2025.xlsx]Bioplastic'!C410)</f>
        <v/>
      </c>
      <c r="D410">
        <f>IF(ISBLANK('Q:\Abteilungsprojekte\eng\EngData\AOS\Allgemein\[LabSamples2025.xlsx]Bioplastic'!D410)," ",'Q:\Abteilungsprojekte\eng\EngData\AOS\Allgemein\[LabSamples2025.xlsx]Bioplastic'!D410)</f>
        <v/>
      </c>
      <c r="E410">
        <f>IF(ISBLANK('Q:\Abteilungsprojekte\eng\EngData\AOS\Allgemein\[LabSamples2025.xlsx]Bioplastic'!E410)," ",'Q:\Abteilungsprojekte\eng\EngData\AOS\Allgemein\[LabSamples2025.xlsx]Bioplastic'!E410)</f>
        <v/>
      </c>
      <c r="F410">
        <f>IF(ISBLANK('Q:\Abteilungsprojekte\eng\EngData\AOS\Allgemein\[LabSamples2025.xlsx]Bioplastic'!F410)," ",'Q:\Abteilungsprojekte\eng\EngData\AOS\Allgemein\[LabSamples2025.xlsx]Bioplastic'!F410)</f>
        <v/>
      </c>
      <c r="G410">
        <f>IF(ISBLANK('Q:\Abteilungsprojekte\eng\EngData\AOS\Allgemein\[LabSamples2025.xlsx]Bioplastic'!G410)," ",'Q:\Abteilungsprojekte\eng\EngData\AOS\Allgemein\[LabSamples2025.xlsx]Bioplastic'!G410)</f>
        <v/>
      </c>
      <c r="H410">
        <f>IF(ISBLANK('Q:\Abteilungsprojekte\eng\EngData\AOS\Allgemein\[LabSamples2025.xlsx]Bioplastic'!H410)," ",'Q:\Abteilungsprojekte\eng\EngData\AOS\Allgemein\[LabSamples2025.xlsx]Bioplastic'!H410)</f>
        <v/>
      </c>
    </row>
    <row r="411">
      <c r="A411">
        <f>IF(ISBLANK('Q:\Abteilungsprojekte\eng\EngData\AOS\Allgemein\[LabSamples2025.xlsx]Bioplastic'!A411)," ",'Q:\Abteilungsprojekte\eng\EngData\AOS\Allgemein\[LabSamples2025.xlsx]Bioplastic'!A411)</f>
        <v/>
      </c>
      <c r="B411">
        <f>IF(ISBLANK('Q:\Abteilungsprojekte\eng\EngData\AOS\Allgemein\[LabSamples2025.xlsx]Bioplastic'!B411)," ",'Q:\Abteilungsprojekte\eng\EngData\AOS\Allgemein\[LabSamples2025.xlsx]Bioplastic'!B411)</f>
        <v/>
      </c>
      <c r="C411">
        <f>IF(ISBLANK('Q:\Abteilungsprojekte\eng\EngData\AOS\Allgemein\[LabSamples2025.xlsx]Bioplastic'!C411)," ",'Q:\Abteilungsprojekte\eng\EngData\AOS\Allgemein\[LabSamples2025.xlsx]Bioplastic'!C411)</f>
        <v/>
      </c>
      <c r="D411">
        <f>IF(ISBLANK('Q:\Abteilungsprojekte\eng\EngData\AOS\Allgemein\[LabSamples2025.xlsx]Bioplastic'!D411)," ",'Q:\Abteilungsprojekte\eng\EngData\AOS\Allgemein\[LabSamples2025.xlsx]Bioplastic'!D411)</f>
        <v/>
      </c>
      <c r="E411">
        <f>IF(ISBLANK('Q:\Abteilungsprojekte\eng\EngData\AOS\Allgemein\[LabSamples2025.xlsx]Bioplastic'!E411)," ",'Q:\Abteilungsprojekte\eng\EngData\AOS\Allgemein\[LabSamples2025.xlsx]Bioplastic'!E411)</f>
        <v/>
      </c>
      <c r="F411">
        <f>IF(ISBLANK('Q:\Abteilungsprojekte\eng\EngData\AOS\Allgemein\[LabSamples2025.xlsx]Bioplastic'!F411)," ",'Q:\Abteilungsprojekte\eng\EngData\AOS\Allgemein\[LabSamples2025.xlsx]Bioplastic'!F411)</f>
        <v/>
      </c>
      <c r="G411">
        <f>IF(ISBLANK('Q:\Abteilungsprojekte\eng\EngData\AOS\Allgemein\[LabSamples2025.xlsx]Bioplastic'!G411)," ",'Q:\Abteilungsprojekte\eng\EngData\AOS\Allgemein\[LabSamples2025.xlsx]Bioplastic'!G411)</f>
        <v/>
      </c>
      <c r="H411">
        <f>IF(ISBLANK('Q:\Abteilungsprojekte\eng\EngData\AOS\Allgemein\[LabSamples2025.xlsx]Bioplastic'!H411)," ",'Q:\Abteilungsprojekte\eng\EngData\AOS\Allgemein\[LabSamples2025.xlsx]Bioplastic'!H411)</f>
        <v/>
      </c>
    </row>
    <row r="412">
      <c r="A412">
        <f>IF(ISBLANK('Q:\Abteilungsprojekte\eng\EngData\AOS\Allgemein\[LabSamples2025.xlsx]Bioplastic'!A412)," ",'Q:\Abteilungsprojekte\eng\EngData\AOS\Allgemein\[LabSamples2025.xlsx]Bioplastic'!A412)</f>
        <v/>
      </c>
      <c r="B412">
        <f>IF(ISBLANK('Q:\Abteilungsprojekte\eng\EngData\AOS\Allgemein\[LabSamples2025.xlsx]Bioplastic'!B412)," ",'Q:\Abteilungsprojekte\eng\EngData\AOS\Allgemein\[LabSamples2025.xlsx]Bioplastic'!B412)</f>
        <v/>
      </c>
      <c r="C412">
        <f>IF(ISBLANK('Q:\Abteilungsprojekte\eng\EngData\AOS\Allgemein\[LabSamples2025.xlsx]Bioplastic'!C412)," ",'Q:\Abteilungsprojekte\eng\EngData\AOS\Allgemein\[LabSamples2025.xlsx]Bioplastic'!C412)</f>
        <v/>
      </c>
      <c r="D412">
        <f>IF(ISBLANK('Q:\Abteilungsprojekte\eng\EngData\AOS\Allgemein\[LabSamples2025.xlsx]Bioplastic'!D412)," ",'Q:\Abteilungsprojekte\eng\EngData\AOS\Allgemein\[LabSamples2025.xlsx]Bioplastic'!D412)</f>
        <v/>
      </c>
      <c r="E412">
        <f>IF(ISBLANK('Q:\Abteilungsprojekte\eng\EngData\AOS\Allgemein\[LabSamples2025.xlsx]Bioplastic'!E412)," ",'Q:\Abteilungsprojekte\eng\EngData\AOS\Allgemein\[LabSamples2025.xlsx]Bioplastic'!E412)</f>
        <v/>
      </c>
      <c r="F412">
        <f>IF(ISBLANK('Q:\Abteilungsprojekte\eng\EngData\AOS\Allgemein\[LabSamples2025.xlsx]Bioplastic'!F412)," ",'Q:\Abteilungsprojekte\eng\EngData\AOS\Allgemein\[LabSamples2025.xlsx]Bioplastic'!F412)</f>
        <v/>
      </c>
      <c r="G412">
        <f>IF(ISBLANK('Q:\Abteilungsprojekte\eng\EngData\AOS\Allgemein\[LabSamples2025.xlsx]Bioplastic'!G412)," ",'Q:\Abteilungsprojekte\eng\EngData\AOS\Allgemein\[LabSamples2025.xlsx]Bioplastic'!G412)</f>
        <v/>
      </c>
      <c r="H412">
        <f>IF(ISBLANK('Q:\Abteilungsprojekte\eng\EngData\AOS\Allgemein\[LabSamples2025.xlsx]Bioplastic'!H412)," ",'Q:\Abteilungsprojekte\eng\EngData\AOS\Allgemein\[LabSamples2025.xlsx]Bioplastic'!H412)</f>
        <v/>
      </c>
    </row>
    <row r="413">
      <c r="A413">
        <f>IF(ISBLANK('Q:\Abteilungsprojekte\eng\EngData\AOS\Allgemein\[LabSamples2025.xlsx]Bioplastic'!A413)," ",'Q:\Abteilungsprojekte\eng\EngData\AOS\Allgemein\[LabSamples2025.xlsx]Bioplastic'!A413)</f>
        <v/>
      </c>
      <c r="B413">
        <f>IF(ISBLANK('Q:\Abteilungsprojekte\eng\EngData\AOS\Allgemein\[LabSamples2025.xlsx]Bioplastic'!B413)," ",'Q:\Abteilungsprojekte\eng\EngData\AOS\Allgemein\[LabSamples2025.xlsx]Bioplastic'!B413)</f>
        <v/>
      </c>
      <c r="C413">
        <f>IF(ISBLANK('Q:\Abteilungsprojekte\eng\EngData\AOS\Allgemein\[LabSamples2025.xlsx]Bioplastic'!C413)," ",'Q:\Abteilungsprojekte\eng\EngData\AOS\Allgemein\[LabSamples2025.xlsx]Bioplastic'!C413)</f>
        <v/>
      </c>
      <c r="D413">
        <f>IF(ISBLANK('Q:\Abteilungsprojekte\eng\EngData\AOS\Allgemein\[LabSamples2025.xlsx]Bioplastic'!D413)," ",'Q:\Abteilungsprojekte\eng\EngData\AOS\Allgemein\[LabSamples2025.xlsx]Bioplastic'!D413)</f>
        <v/>
      </c>
      <c r="E413">
        <f>IF(ISBLANK('Q:\Abteilungsprojekte\eng\EngData\AOS\Allgemein\[LabSamples2025.xlsx]Bioplastic'!E413)," ",'Q:\Abteilungsprojekte\eng\EngData\AOS\Allgemein\[LabSamples2025.xlsx]Bioplastic'!E413)</f>
        <v/>
      </c>
      <c r="F413">
        <f>IF(ISBLANK('Q:\Abteilungsprojekte\eng\EngData\AOS\Allgemein\[LabSamples2025.xlsx]Bioplastic'!F413)," ",'Q:\Abteilungsprojekte\eng\EngData\AOS\Allgemein\[LabSamples2025.xlsx]Bioplastic'!F413)</f>
        <v/>
      </c>
      <c r="G413">
        <f>IF(ISBLANK('Q:\Abteilungsprojekte\eng\EngData\AOS\Allgemein\[LabSamples2025.xlsx]Bioplastic'!G413)," ",'Q:\Abteilungsprojekte\eng\EngData\AOS\Allgemein\[LabSamples2025.xlsx]Bioplastic'!G413)</f>
        <v/>
      </c>
      <c r="H413">
        <f>IF(ISBLANK('Q:\Abteilungsprojekte\eng\EngData\AOS\Allgemein\[LabSamples2025.xlsx]Bioplastic'!H413)," ",'Q:\Abteilungsprojekte\eng\EngData\AOS\Allgemein\[LabSamples2025.xlsx]Bioplastic'!H413)</f>
        <v/>
      </c>
    </row>
    <row r="414">
      <c r="A414">
        <f>IF(ISBLANK('Q:\Abteilungsprojekte\eng\EngData\AOS\Allgemein\[LabSamples2025.xlsx]Bioplastic'!A414)," ",'Q:\Abteilungsprojekte\eng\EngData\AOS\Allgemein\[LabSamples2025.xlsx]Bioplastic'!A414)</f>
        <v/>
      </c>
      <c r="B414">
        <f>IF(ISBLANK('Q:\Abteilungsprojekte\eng\EngData\AOS\Allgemein\[LabSamples2025.xlsx]Bioplastic'!B414)," ",'Q:\Abteilungsprojekte\eng\EngData\AOS\Allgemein\[LabSamples2025.xlsx]Bioplastic'!B414)</f>
        <v/>
      </c>
      <c r="C414">
        <f>IF(ISBLANK('Q:\Abteilungsprojekte\eng\EngData\AOS\Allgemein\[LabSamples2025.xlsx]Bioplastic'!C414)," ",'Q:\Abteilungsprojekte\eng\EngData\AOS\Allgemein\[LabSamples2025.xlsx]Bioplastic'!C414)</f>
        <v/>
      </c>
      <c r="D414">
        <f>IF(ISBLANK('Q:\Abteilungsprojekte\eng\EngData\AOS\Allgemein\[LabSamples2025.xlsx]Bioplastic'!D414)," ",'Q:\Abteilungsprojekte\eng\EngData\AOS\Allgemein\[LabSamples2025.xlsx]Bioplastic'!D414)</f>
        <v/>
      </c>
      <c r="E414">
        <f>IF(ISBLANK('Q:\Abteilungsprojekte\eng\EngData\AOS\Allgemein\[LabSamples2025.xlsx]Bioplastic'!E414)," ",'Q:\Abteilungsprojekte\eng\EngData\AOS\Allgemein\[LabSamples2025.xlsx]Bioplastic'!E414)</f>
        <v/>
      </c>
      <c r="F414">
        <f>IF(ISBLANK('Q:\Abteilungsprojekte\eng\EngData\AOS\Allgemein\[LabSamples2025.xlsx]Bioplastic'!F414)," ",'Q:\Abteilungsprojekte\eng\EngData\AOS\Allgemein\[LabSamples2025.xlsx]Bioplastic'!F414)</f>
        <v/>
      </c>
      <c r="G414">
        <f>IF(ISBLANK('Q:\Abteilungsprojekte\eng\EngData\AOS\Allgemein\[LabSamples2025.xlsx]Bioplastic'!G414)," ",'Q:\Abteilungsprojekte\eng\EngData\AOS\Allgemein\[LabSamples2025.xlsx]Bioplastic'!G414)</f>
        <v/>
      </c>
      <c r="H414">
        <f>IF(ISBLANK('Q:\Abteilungsprojekte\eng\EngData\AOS\Allgemein\[LabSamples2025.xlsx]Bioplastic'!H414)," ",'Q:\Abteilungsprojekte\eng\EngData\AOS\Allgemein\[LabSamples2025.xlsx]Bioplastic'!H414)</f>
        <v/>
      </c>
    </row>
    <row r="415">
      <c r="A415">
        <f>IF(ISBLANK('Q:\Abteilungsprojekte\eng\EngData\AOS\Allgemein\[LabSamples2025.xlsx]Bioplastic'!A415)," ",'Q:\Abteilungsprojekte\eng\EngData\AOS\Allgemein\[LabSamples2025.xlsx]Bioplastic'!A415)</f>
        <v/>
      </c>
      <c r="B415">
        <f>IF(ISBLANK('Q:\Abteilungsprojekte\eng\EngData\AOS\Allgemein\[LabSamples2025.xlsx]Bioplastic'!B415)," ",'Q:\Abteilungsprojekte\eng\EngData\AOS\Allgemein\[LabSamples2025.xlsx]Bioplastic'!B415)</f>
        <v/>
      </c>
      <c r="C415">
        <f>IF(ISBLANK('Q:\Abteilungsprojekte\eng\EngData\AOS\Allgemein\[LabSamples2025.xlsx]Bioplastic'!C415)," ",'Q:\Abteilungsprojekte\eng\EngData\AOS\Allgemein\[LabSamples2025.xlsx]Bioplastic'!C415)</f>
        <v/>
      </c>
      <c r="D415">
        <f>IF(ISBLANK('Q:\Abteilungsprojekte\eng\EngData\AOS\Allgemein\[LabSamples2025.xlsx]Bioplastic'!D415)," ",'Q:\Abteilungsprojekte\eng\EngData\AOS\Allgemein\[LabSamples2025.xlsx]Bioplastic'!D415)</f>
        <v/>
      </c>
      <c r="E415">
        <f>IF(ISBLANK('Q:\Abteilungsprojekte\eng\EngData\AOS\Allgemein\[LabSamples2025.xlsx]Bioplastic'!E415)," ",'Q:\Abteilungsprojekte\eng\EngData\AOS\Allgemein\[LabSamples2025.xlsx]Bioplastic'!E415)</f>
        <v/>
      </c>
      <c r="F415">
        <f>IF(ISBLANK('Q:\Abteilungsprojekte\eng\EngData\AOS\Allgemein\[LabSamples2025.xlsx]Bioplastic'!F415)," ",'Q:\Abteilungsprojekte\eng\EngData\AOS\Allgemein\[LabSamples2025.xlsx]Bioplastic'!F415)</f>
        <v/>
      </c>
      <c r="G415">
        <f>IF(ISBLANK('Q:\Abteilungsprojekte\eng\EngData\AOS\Allgemein\[LabSamples2025.xlsx]Bioplastic'!G415)," ",'Q:\Abteilungsprojekte\eng\EngData\AOS\Allgemein\[LabSamples2025.xlsx]Bioplastic'!G415)</f>
        <v/>
      </c>
      <c r="H415">
        <f>IF(ISBLANK('Q:\Abteilungsprojekte\eng\EngData\AOS\Allgemein\[LabSamples2025.xlsx]Bioplastic'!H415)," ",'Q:\Abteilungsprojekte\eng\EngData\AOS\Allgemein\[LabSamples2025.xlsx]Bioplastic'!H415)</f>
        <v/>
      </c>
    </row>
    <row r="416">
      <c r="A416">
        <f>IF(ISBLANK('Q:\Abteilungsprojekte\eng\EngData\AOS\Allgemein\[LabSamples2025.xlsx]Bioplastic'!A416)," ",'Q:\Abteilungsprojekte\eng\EngData\AOS\Allgemein\[LabSamples2025.xlsx]Bioplastic'!A416)</f>
        <v/>
      </c>
      <c r="B416">
        <f>IF(ISBLANK('Q:\Abteilungsprojekte\eng\EngData\AOS\Allgemein\[LabSamples2025.xlsx]Bioplastic'!B416)," ",'Q:\Abteilungsprojekte\eng\EngData\AOS\Allgemein\[LabSamples2025.xlsx]Bioplastic'!B416)</f>
        <v/>
      </c>
      <c r="C416">
        <f>IF(ISBLANK('Q:\Abteilungsprojekte\eng\EngData\AOS\Allgemein\[LabSamples2025.xlsx]Bioplastic'!C416)," ",'Q:\Abteilungsprojekte\eng\EngData\AOS\Allgemein\[LabSamples2025.xlsx]Bioplastic'!C416)</f>
        <v/>
      </c>
      <c r="D416">
        <f>IF(ISBLANK('Q:\Abteilungsprojekte\eng\EngData\AOS\Allgemein\[LabSamples2025.xlsx]Bioplastic'!D416)," ",'Q:\Abteilungsprojekte\eng\EngData\AOS\Allgemein\[LabSamples2025.xlsx]Bioplastic'!D416)</f>
        <v/>
      </c>
      <c r="E416">
        <f>IF(ISBLANK('Q:\Abteilungsprojekte\eng\EngData\AOS\Allgemein\[LabSamples2025.xlsx]Bioplastic'!E416)," ",'Q:\Abteilungsprojekte\eng\EngData\AOS\Allgemein\[LabSamples2025.xlsx]Bioplastic'!E416)</f>
        <v/>
      </c>
      <c r="F416">
        <f>IF(ISBLANK('Q:\Abteilungsprojekte\eng\EngData\AOS\Allgemein\[LabSamples2025.xlsx]Bioplastic'!F416)," ",'Q:\Abteilungsprojekte\eng\EngData\AOS\Allgemein\[LabSamples2025.xlsx]Bioplastic'!F416)</f>
        <v/>
      </c>
      <c r="G416">
        <f>IF(ISBLANK('Q:\Abteilungsprojekte\eng\EngData\AOS\Allgemein\[LabSamples2025.xlsx]Bioplastic'!G416)," ",'Q:\Abteilungsprojekte\eng\EngData\AOS\Allgemein\[LabSamples2025.xlsx]Bioplastic'!G416)</f>
        <v/>
      </c>
      <c r="H416">
        <f>IF(ISBLANK('Q:\Abteilungsprojekte\eng\EngData\AOS\Allgemein\[LabSamples2025.xlsx]Bioplastic'!H416)," ",'Q:\Abteilungsprojekte\eng\EngData\AOS\Allgemein\[LabSamples2025.xlsx]Bioplastic'!H416)</f>
        <v/>
      </c>
    </row>
    <row r="417">
      <c r="A417">
        <f>IF(ISBLANK('Q:\Abteilungsprojekte\eng\EngData\AOS\Allgemein\[LabSamples2025.xlsx]Bioplastic'!A417)," ",'Q:\Abteilungsprojekte\eng\EngData\AOS\Allgemein\[LabSamples2025.xlsx]Bioplastic'!A417)</f>
        <v/>
      </c>
      <c r="B417">
        <f>IF(ISBLANK('Q:\Abteilungsprojekte\eng\EngData\AOS\Allgemein\[LabSamples2025.xlsx]Bioplastic'!B417)," ",'Q:\Abteilungsprojekte\eng\EngData\AOS\Allgemein\[LabSamples2025.xlsx]Bioplastic'!B417)</f>
        <v/>
      </c>
      <c r="C417">
        <f>IF(ISBLANK('Q:\Abteilungsprojekte\eng\EngData\AOS\Allgemein\[LabSamples2025.xlsx]Bioplastic'!C417)," ",'Q:\Abteilungsprojekte\eng\EngData\AOS\Allgemein\[LabSamples2025.xlsx]Bioplastic'!C417)</f>
        <v/>
      </c>
      <c r="D417">
        <f>IF(ISBLANK('Q:\Abteilungsprojekte\eng\EngData\AOS\Allgemein\[LabSamples2025.xlsx]Bioplastic'!D417)," ",'Q:\Abteilungsprojekte\eng\EngData\AOS\Allgemein\[LabSamples2025.xlsx]Bioplastic'!D417)</f>
        <v/>
      </c>
      <c r="E417">
        <f>IF(ISBLANK('Q:\Abteilungsprojekte\eng\EngData\AOS\Allgemein\[LabSamples2025.xlsx]Bioplastic'!E417)," ",'Q:\Abteilungsprojekte\eng\EngData\AOS\Allgemein\[LabSamples2025.xlsx]Bioplastic'!E417)</f>
        <v/>
      </c>
      <c r="F417">
        <f>IF(ISBLANK('Q:\Abteilungsprojekte\eng\EngData\AOS\Allgemein\[LabSamples2025.xlsx]Bioplastic'!F417)," ",'Q:\Abteilungsprojekte\eng\EngData\AOS\Allgemein\[LabSamples2025.xlsx]Bioplastic'!F417)</f>
        <v/>
      </c>
      <c r="G417">
        <f>IF(ISBLANK('Q:\Abteilungsprojekte\eng\EngData\AOS\Allgemein\[LabSamples2025.xlsx]Bioplastic'!G417)," ",'Q:\Abteilungsprojekte\eng\EngData\AOS\Allgemein\[LabSamples2025.xlsx]Bioplastic'!G417)</f>
        <v/>
      </c>
      <c r="H417">
        <f>IF(ISBLANK('Q:\Abteilungsprojekte\eng\EngData\AOS\Allgemein\[LabSamples2025.xlsx]Bioplastic'!H417)," ",'Q:\Abteilungsprojekte\eng\EngData\AOS\Allgemein\[LabSamples2025.xlsx]Bioplastic'!H417)</f>
        <v/>
      </c>
    </row>
    <row r="418">
      <c r="A418">
        <f>IF(ISBLANK('Q:\Abteilungsprojekte\eng\EngData\AOS\Allgemein\[LabSamples2025.xlsx]Bioplastic'!A418)," ",'Q:\Abteilungsprojekte\eng\EngData\AOS\Allgemein\[LabSamples2025.xlsx]Bioplastic'!A418)</f>
        <v/>
      </c>
      <c r="B418">
        <f>IF(ISBLANK('Q:\Abteilungsprojekte\eng\EngData\AOS\Allgemein\[LabSamples2025.xlsx]Bioplastic'!B418)," ",'Q:\Abteilungsprojekte\eng\EngData\AOS\Allgemein\[LabSamples2025.xlsx]Bioplastic'!B418)</f>
        <v/>
      </c>
      <c r="C418">
        <f>IF(ISBLANK('Q:\Abteilungsprojekte\eng\EngData\AOS\Allgemein\[LabSamples2025.xlsx]Bioplastic'!C418)," ",'Q:\Abteilungsprojekte\eng\EngData\AOS\Allgemein\[LabSamples2025.xlsx]Bioplastic'!C418)</f>
        <v/>
      </c>
      <c r="D418">
        <f>IF(ISBLANK('Q:\Abteilungsprojekte\eng\EngData\AOS\Allgemein\[LabSamples2025.xlsx]Bioplastic'!D418)," ",'Q:\Abteilungsprojekte\eng\EngData\AOS\Allgemein\[LabSamples2025.xlsx]Bioplastic'!D418)</f>
        <v/>
      </c>
      <c r="E418">
        <f>IF(ISBLANK('Q:\Abteilungsprojekte\eng\EngData\AOS\Allgemein\[LabSamples2025.xlsx]Bioplastic'!E418)," ",'Q:\Abteilungsprojekte\eng\EngData\AOS\Allgemein\[LabSamples2025.xlsx]Bioplastic'!E418)</f>
        <v/>
      </c>
      <c r="F418">
        <f>IF(ISBLANK('Q:\Abteilungsprojekte\eng\EngData\AOS\Allgemein\[LabSamples2025.xlsx]Bioplastic'!F418)," ",'Q:\Abteilungsprojekte\eng\EngData\AOS\Allgemein\[LabSamples2025.xlsx]Bioplastic'!F418)</f>
        <v/>
      </c>
      <c r="G418">
        <f>IF(ISBLANK('Q:\Abteilungsprojekte\eng\EngData\AOS\Allgemein\[LabSamples2025.xlsx]Bioplastic'!G418)," ",'Q:\Abteilungsprojekte\eng\EngData\AOS\Allgemein\[LabSamples2025.xlsx]Bioplastic'!G418)</f>
        <v/>
      </c>
      <c r="H418">
        <f>IF(ISBLANK('Q:\Abteilungsprojekte\eng\EngData\AOS\Allgemein\[LabSamples2025.xlsx]Bioplastic'!H418)," ",'Q:\Abteilungsprojekte\eng\EngData\AOS\Allgemein\[LabSamples2025.xlsx]Bioplastic'!H418)</f>
        <v/>
      </c>
    </row>
    <row r="419">
      <c r="A419">
        <f>IF(ISBLANK('Q:\Abteilungsprojekte\eng\EngData\AOS\Allgemein\[LabSamples2025.xlsx]Bioplastic'!A419)," ",'Q:\Abteilungsprojekte\eng\EngData\AOS\Allgemein\[LabSamples2025.xlsx]Bioplastic'!A419)</f>
        <v/>
      </c>
      <c r="B419">
        <f>IF(ISBLANK('Q:\Abteilungsprojekte\eng\EngData\AOS\Allgemein\[LabSamples2025.xlsx]Bioplastic'!B419)," ",'Q:\Abteilungsprojekte\eng\EngData\AOS\Allgemein\[LabSamples2025.xlsx]Bioplastic'!B419)</f>
        <v/>
      </c>
      <c r="C419">
        <f>IF(ISBLANK('Q:\Abteilungsprojekte\eng\EngData\AOS\Allgemein\[LabSamples2025.xlsx]Bioplastic'!C419)," ",'Q:\Abteilungsprojekte\eng\EngData\AOS\Allgemein\[LabSamples2025.xlsx]Bioplastic'!C419)</f>
        <v/>
      </c>
      <c r="D419">
        <f>IF(ISBLANK('Q:\Abteilungsprojekte\eng\EngData\AOS\Allgemein\[LabSamples2025.xlsx]Bioplastic'!D419)," ",'Q:\Abteilungsprojekte\eng\EngData\AOS\Allgemein\[LabSamples2025.xlsx]Bioplastic'!D419)</f>
        <v/>
      </c>
      <c r="E419">
        <f>IF(ISBLANK('Q:\Abteilungsprojekte\eng\EngData\AOS\Allgemein\[LabSamples2025.xlsx]Bioplastic'!E419)," ",'Q:\Abteilungsprojekte\eng\EngData\AOS\Allgemein\[LabSamples2025.xlsx]Bioplastic'!E419)</f>
        <v/>
      </c>
      <c r="F419">
        <f>IF(ISBLANK('Q:\Abteilungsprojekte\eng\EngData\AOS\Allgemein\[LabSamples2025.xlsx]Bioplastic'!F419)," ",'Q:\Abteilungsprojekte\eng\EngData\AOS\Allgemein\[LabSamples2025.xlsx]Bioplastic'!F419)</f>
        <v/>
      </c>
      <c r="G419">
        <f>IF(ISBLANK('Q:\Abteilungsprojekte\eng\EngData\AOS\Allgemein\[LabSamples2025.xlsx]Bioplastic'!G419)," ",'Q:\Abteilungsprojekte\eng\EngData\AOS\Allgemein\[LabSamples2025.xlsx]Bioplastic'!G419)</f>
        <v/>
      </c>
      <c r="H419">
        <f>IF(ISBLANK('Q:\Abteilungsprojekte\eng\EngData\AOS\Allgemein\[LabSamples2025.xlsx]Bioplastic'!H419)," ",'Q:\Abteilungsprojekte\eng\EngData\AOS\Allgemein\[LabSamples2025.xlsx]Bioplastic'!H419)</f>
        <v/>
      </c>
    </row>
    <row r="420">
      <c r="A420">
        <f>IF(ISBLANK('Q:\Abteilungsprojekte\eng\EngData\AOS\Allgemein\[LabSamples2025.xlsx]Bioplastic'!A420)," ",'Q:\Abteilungsprojekte\eng\EngData\AOS\Allgemein\[LabSamples2025.xlsx]Bioplastic'!A420)</f>
        <v/>
      </c>
      <c r="B420">
        <f>IF(ISBLANK('Q:\Abteilungsprojekte\eng\EngData\AOS\Allgemein\[LabSamples2025.xlsx]Bioplastic'!B420)," ",'Q:\Abteilungsprojekte\eng\EngData\AOS\Allgemein\[LabSamples2025.xlsx]Bioplastic'!B420)</f>
        <v/>
      </c>
      <c r="C420">
        <f>IF(ISBLANK('Q:\Abteilungsprojekte\eng\EngData\AOS\Allgemein\[LabSamples2025.xlsx]Bioplastic'!C420)," ",'Q:\Abteilungsprojekte\eng\EngData\AOS\Allgemein\[LabSamples2025.xlsx]Bioplastic'!C420)</f>
        <v/>
      </c>
      <c r="D420">
        <f>IF(ISBLANK('Q:\Abteilungsprojekte\eng\EngData\AOS\Allgemein\[LabSamples2025.xlsx]Bioplastic'!D420)," ",'Q:\Abteilungsprojekte\eng\EngData\AOS\Allgemein\[LabSamples2025.xlsx]Bioplastic'!D420)</f>
        <v/>
      </c>
      <c r="E420">
        <f>IF(ISBLANK('Q:\Abteilungsprojekte\eng\EngData\AOS\Allgemein\[LabSamples2025.xlsx]Bioplastic'!E420)," ",'Q:\Abteilungsprojekte\eng\EngData\AOS\Allgemein\[LabSamples2025.xlsx]Bioplastic'!E420)</f>
        <v/>
      </c>
      <c r="F420">
        <f>IF(ISBLANK('Q:\Abteilungsprojekte\eng\EngData\AOS\Allgemein\[LabSamples2025.xlsx]Bioplastic'!F420)," ",'Q:\Abteilungsprojekte\eng\EngData\AOS\Allgemein\[LabSamples2025.xlsx]Bioplastic'!F420)</f>
        <v/>
      </c>
      <c r="G420">
        <f>IF(ISBLANK('Q:\Abteilungsprojekte\eng\EngData\AOS\Allgemein\[LabSamples2025.xlsx]Bioplastic'!G420)," ",'Q:\Abteilungsprojekte\eng\EngData\AOS\Allgemein\[LabSamples2025.xlsx]Bioplastic'!G420)</f>
        <v/>
      </c>
      <c r="H420">
        <f>IF(ISBLANK('Q:\Abteilungsprojekte\eng\EngData\AOS\Allgemein\[LabSamples2025.xlsx]Bioplastic'!H420)," ",'Q:\Abteilungsprojekte\eng\EngData\AOS\Allgemein\[LabSamples2025.xlsx]Bioplastic'!H420)</f>
        <v/>
      </c>
    </row>
    <row r="421">
      <c r="A421">
        <f>IF(ISBLANK('Q:\Abteilungsprojekte\eng\EngData\AOS\Allgemein\[LabSamples2025.xlsx]Bioplastic'!A421)," ",'Q:\Abteilungsprojekte\eng\EngData\AOS\Allgemein\[LabSamples2025.xlsx]Bioplastic'!A421)</f>
        <v/>
      </c>
      <c r="B421">
        <f>IF(ISBLANK('Q:\Abteilungsprojekte\eng\EngData\AOS\Allgemein\[LabSamples2025.xlsx]Bioplastic'!B421)," ",'Q:\Abteilungsprojekte\eng\EngData\AOS\Allgemein\[LabSamples2025.xlsx]Bioplastic'!B421)</f>
        <v/>
      </c>
      <c r="C421">
        <f>IF(ISBLANK('Q:\Abteilungsprojekte\eng\EngData\AOS\Allgemein\[LabSamples2025.xlsx]Bioplastic'!C421)," ",'Q:\Abteilungsprojekte\eng\EngData\AOS\Allgemein\[LabSamples2025.xlsx]Bioplastic'!C421)</f>
        <v/>
      </c>
      <c r="D421">
        <f>IF(ISBLANK('Q:\Abteilungsprojekte\eng\EngData\AOS\Allgemein\[LabSamples2025.xlsx]Bioplastic'!D421)," ",'Q:\Abteilungsprojekte\eng\EngData\AOS\Allgemein\[LabSamples2025.xlsx]Bioplastic'!D421)</f>
        <v/>
      </c>
      <c r="E421">
        <f>IF(ISBLANK('Q:\Abteilungsprojekte\eng\EngData\AOS\Allgemein\[LabSamples2025.xlsx]Bioplastic'!E421)," ",'Q:\Abteilungsprojekte\eng\EngData\AOS\Allgemein\[LabSamples2025.xlsx]Bioplastic'!E421)</f>
        <v/>
      </c>
      <c r="F421">
        <f>IF(ISBLANK('Q:\Abteilungsprojekte\eng\EngData\AOS\Allgemein\[LabSamples2025.xlsx]Bioplastic'!F421)," ",'Q:\Abteilungsprojekte\eng\EngData\AOS\Allgemein\[LabSamples2025.xlsx]Bioplastic'!F421)</f>
        <v/>
      </c>
      <c r="G421">
        <f>IF(ISBLANK('Q:\Abteilungsprojekte\eng\EngData\AOS\Allgemein\[LabSamples2025.xlsx]Bioplastic'!G421)," ",'Q:\Abteilungsprojekte\eng\EngData\AOS\Allgemein\[LabSamples2025.xlsx]Bioplastic'!G421)</f>
        <v/>
      </c>
      <c r="H421">
        <f>IF(ISBLANK('Q:\Abteilungsprojekte\eng\EngData\AOS\Allgemein\[LabSamples2025.xlsx]Bioplastic'!H421)," ",'Q:\Abteilungsprojekte\eng\EngData\AOS\Allgemein\[LabSamples2025.xlsx]Bioplastic'!H421)</f>
        <v/>
      </c>
    </row>
    <row r="422">
      <c r="A422">
        <f>IF(ISBLANK('Q:\Abteilungsprojekte\eng\EngData\AOS\Allgemein\[LabSamples2025.xlsx]Bioplastic'!A422)," ",'Q:\Abteilungsprojekte\eng\EngData\AOS\Allgemein\[LabSamples2025.xlsx]Bioplastic'!A422)</f>
        <v/>
      </c>
      <c r="B422">
        <f>IF(ISBLANK('Q:\Abteilungsprojekte\eng\EngData\AOS\Allgemein\[LabSamples2025.xlsx]Bioplastic'!B422)," ",'Q:\Abteilungsprojekte\eng\EngData\AOS\Allgemein\[LabSamples2025.xlsx]Bioplastic'!B422)</f>
        <v/>
      </c>
      <c r="C422">
        <f>IF(ISBLANK('Q:\Abteilungsprojekte\eng\EngData\AOS\Allgemein\[LabSamples2025.xlsx]Bioplastic'!C422)," ",'Q:\Abteilungsprojekte\eng\EngData\AOS\Allgemein\[LabSamples2025.xlsx]Bioplastic'!C422)</f>
        <v/>
      </c>
      <c r="D422">
        <f>IF(ISBLANK('Q:\Abteilungsprojekte\eng\EngData\AOS\Allgemein\[LabSamples2025.xlsx]Bioplastic'!D422)," ",'Q:\Abteilungsprojekte\eng\EngData\AOS\Allgemein\[LabSamples2025.xlsx]Bioplastic'!D422)</f>
        <v/>
      </c>
      <c r="E422">
        <f>IF(ISBLANK('Q:\Abteilungsprojekte\eng\EngData\AOS\Allgemein\[LabSamples2025.xlsx]Bioplastic'!E422)," ",'Q:\Abteilungsprojekte\eng\EngData\AOS\Allgemein\[LabSamples2025.xlsx]Bioplastic'!E422)</f>
        <v/>
      </c>
      <c r="F422">
        <f>IF(ISBLANK('Q:\Abteilungsprojekte\eng\EngData\AOS\Allgemein\[LabSamples2025.xlsx]Bioplastic'!F422)," ",'Q:\Abteilungsprojekte\eng\EngData\AOS\Allgemein\[LabSamples2025.xlsx]Bioplastic'!F422)</f>
        <v/>
      </c>
      <c r="G422">
        <f>IF(ISBLANK('Q:\Abteilungsprojekte\eng\EngData\AOS\Allgemein\[LabSamples2025.xlsx]Bioplastic'!G422)," ",'Q:\Abteilungsprojekte\eng\EngData\AOS\Allgemein\[LabSamples2025.xlsx]Bioplastic'!G422)</f>
        <v/>
      </c>
      <c r="H422">
        <f>IF(ISBLANK('Q:\Abteilungsprojekte\eng\EngData\AOS\Allgemein\[LabSamples2025.xlsx]Bioplastic'!H422)," ",'Q:\Abteilungsprojekte\eng\EngData\AOS\Allgemein\[LabSamples2025.xlsx]Bioplastic'!H422)</f>
        <v/>
      </c>
    </row>
    <row r="423">
      <c r="A423">
        <f>IF(ISBLANK('Q:\Abteilungsprojekte\eng\EngData\AOS\Allgemein\[LabSamples2025.xlsx]Bioplastic'!A423)," ",'Q:\Abteilungsprojekte\eng\EngData\AOS\Allgemein\[LabSamples2025.xlsx]Bioplastic'!A423)</f>
        <v/>
      </c>
      <c r="B423">
        <f>IF(ISBLANK('Q:\Abteilungsprojekte\eng\EngData\AOS\Allgemein\[LabSamples2025.xlsx]Bioplastic'!B423)," ",'Q:\Abteilungsprojekte\eng\EngData\AOS\Allgemein\[LabSamples2025.xlsx]Bioplastic'!B423)</f>
        <v/>
      </c>
      <c r="C423">
        <f>IF(ISBLANK('Q:\Abteilungsprojekte\eng\EngData\AOS\Allgemein\[LabSamples2025.xlsx]Bioplastic'!C423)," ",'Q:\Abteilungsprojekte\eng\EngData\AOS\Allgemein\[LabSamples2025.xlsx]Bioplastic'!C423)</f>
        <v/>
      </c>
      <c r="D423">
        <f>IF(ISBLANK('Q:\Abteilungsprojekte\eng\EngData\AOS\Allgemein\[LabSamples2025.xlsx]Bioplastic'!D423)," ",'Q:\Abteilungsprojekte\eng\EngData\AOS\Allgemein\[LabSamples2025.xlsx]Bioplastic'!D423)</f>
        <v/>
      </c>
      <c r="E423">
        <f>IF(ISBLANK('Q:\Abteilungsprojekte\eng\EngData\AOS\Allgemein\[LabSamples2025.xlsx]Bioplastic'!E423)," ",'Q:\Abteilungsprojekte\eng\EngData\AOS\Allgemein\[LabSamples2025.xlsx]Bioplastic'!E423)</f>
        <v/>
      </c>
      <c r="F423">
        <f>IF(ISBLANK('Q:\Abteilungsprojekte\eng\EngData\AOS\Allgemein\[LabSamples2025.xlsx]Bioplastic'!F423)," ",'Q:\Abteilungsprojekte\eng\EngData\AOS\Allgemein\[LabSamples2025.xlsx]Bioplastic'!F423)</f>
        <v/>
      </c>
      <c r="G423">
        <f>IF(ISBLANK('Q:\Abteilungsprojekte\eng\EngData\AOS\Allgemein\[LabSamples2025.xlsx]Bioplastic'!G423)," ",'Q:\Abteilungsprojekte\eng\EngData\AOS\Allgemein\[LabSamples2025.xlsx]Bioplastic'!G423)</f>
        <v/>
      </c>
      <c r="H423">
        <f>IF(ISBLANK('Q:\Abteilungsprojekte\eng\EngData\AOS\Allgemein\[LabSamples2025.xlsx]Bioplastic'!H423)," ",'Q:\Abteilungsprojekte\eng\EngData\AOS\Allgemein\[LabSamples2025.xlsx]Bioplastic'!H423)</f>
        <v/>
      </c>
    </row>
    <row r="424">
      <c r="A424">
        <f>IF(ISBLANK('Q:\Abteilungsprojekte\eng\EngData\AOS\Allgemein\[LabSamples2025.xlsx]Bioplastic'!A424)," ",'Q:\Abteilungsprojekte\eng\EngData\AOS\Allgemein\[LabSamples2025.xlsx]Bioplastic'!A424)</f>
        <v/>
      </c>
      <c r="B424">
        <f>IF(ISBLANK('Q:\Abteilungsprojekte\eng\EngData\AOS\Allgemein\[LabSamples2025.xlsx]Bioplastic'!B424)," ",'Q:\Abteilungsprojekte\eng\EngData\AOS\Allgemein\[LabSamples2025.xlsx]Bioplastic'!B424)</f>
        <v/>
      </c>
      <c r="C424">
        <f>IF(ISBLANK('Q:\Abteilungsprojekte\eng\EngData\AOS\Allgemein\[LabSamples2025.xlsx]Bioplastic'!C424)," ",'Q:\Abteilungsprojekte\eng\EngData\AOS\Allgemein\[LabSamples2025.xlsx]Bioplastic'!C424)</f>
        <v/>
      </c>
      <c r="D424">
        <f>IF(ISBLANK('Q:\Abteilungsprojekte\eng\EngData\AOS\Allgemein\[LabSamples2025.xlsx]Bioplastic'!D424)," ",'Q:\Abteilungsprojekte\eng\EngData\AOS\Allgemein\[LabSamples2025.xlsx]Bioplastic'!D424)</f>
        <v/>
      </c>
      <c r="E424">
        <f>IF(ISBLANK('Q:\Abteilungsprojekte\eng\EngData\AOS\Allgemein\[LabSamples2025.xlsx]Bioplastic'!E424)," ",'Q:\Abteilungsprojekte\eng\EngData\AOS\Allgemein\[LabSamples2025.xlsx]Bioplastic'!E424)</f>
        <v/>
      </c>
      <c r="F424">
        <f>IF(ISBLANK('Q:\Abteilungsprojekte\eng\EngData\AOS\Allgemein\[LabSamples2025.xlsx]Bioplastic'!F424)," ",'Q:\Abteilungsprojekte\eng\EngData\AOS\Allgemein\[LabSamples2025.xlsx]Bioplastic'!F424)</f>
        <v/>
      </c>
      <c r="G424">
        <f>IF(ISBLANK('Q:\Abteilungsprojekte\eng\EngData\AOS\Allgemein\[LabSamples2025.xlsx]Bioplastic'!G424)," ",'Q:\Abteilungsprojekte\eng\EngData\AOS\Allgemein\[LabSamples2025.xlsx]Bioplastic'!G424)</f>
        <v/>
      </c>
      <c r="H424">
        <f>IF(ISBLANK('Q:\Abteilungsprojekte\eng\EngData\AOS\Allgemein\[LabSamples2025.xlsx]Bioplastic'!H424)," ",'Q:\Abteilungsprojekte\eng\EngData\AOS\Allgemein\[LabSamples2025.xlsx]Bioplastic'!H424)</f>
        <v/>
      </c>
    </row>
    <row r="425">
      <c r="A425">
        <f>IF(ISBLANK('Q:\Abteilungsprojekte\eng\EngData\AOS\Allgemein\[LabSamples2025.xlsx]Bioplastic'!A425)," ",'Q:\Abteilungsprojekte\eng\EngData\AOS\Allgemein\[LabSamples2025.xlsx]Bioplastic'!A425)</f>
        <v/>
      </c>
      <c r="B425">
        <f>IF(ISBLANK('Q:\Abteilungsprojekte\eng\EngData\AOS\Allgemein\[LabSamples2025.xlsx]Bioplastic'!B425)," ",'Q:\Abteilungsprojekte\eng\EngData\AOS\Allgemein\[LabSamples2025.xlsx]Bioplastic'!B425)</f>
        <v/>
      </c>
      <c r="C425">
        <f>IF(ISBLANK('Q:\Abteilungsprojekte\eng\EngData\AOS\Allgemein\[LabSamples2025.xlsx]Bioplastic'!C425)," ",'Q:\Abteilungsprojekte\eng\EngData\AOS\Allgemein\[LabSamples2025.xlsx]Bioplastic'!C425)</f>
        <v/>
      </c>
      <c r="D425">
        <f>IF(ISBLANK('Q:\Abteilungsprojekte\eng\EngData\AOS\Allgemein\[LabSamples2025.xlsx]Bioplastic'!D425)," ",'Q:\Abteilungsprojekte\eng\EngData\AOS\Allgemein\[LabSamples2025.xlsx]Bioplastic'!D425)</f>
        <v/>
      </c>
      <c r="E425">
        <f>IF(ISBLANK('Q:\Abteilungsprojekte\eng\EngData\AOS\Allgemein\[LabSamples2025.xlsx]Bioplastic'!E425)," ",'Q:\Abteilungsprojekte\eng\EngData\AOS\Allgemein\[LabSamples2025.xlsx]Bioplastic'!E425)</f>
        <v/>
      </c>
      <c r="F425">
        <f>IF(ISBLANK('Q:\Abteilungsprojekte\eng\EngData\AOS\Allgemein\[LabSamples2025.xlsx]Bioplastic'!F425)," ",'Q:\Abteilungsprojekte\eng\EngData\AOS\Allgemein\[LabSamples2025.xlsx]Bioplastic'!F425)</f>
        <v/>
      </c>
      <c r="G425">
        <f>IF(ISBLANK('Q:\Abteilungsprojekte\eng\EngData\AOS\Allgemein\[LabSamples2025.xlsx]Bioplastic'!G425)," ",'Q:\Abteilungsprojekte\eng\EngData\AOS\Allgemein\[LabSamples2025.xlsx]Bioplastic'!G425)</f>
        <v/>
      </c>
      <c r="H425">
        <f>IF(ISBLANK('Q:\Abteilungsprojekte\eng\EngData\AOS\Allgemein\[LabSamples2025.xlsx]Bioplastic'!H425)," ",'Q:\Abteilungsprojekte\eng\EngData\AOS\Allgemein\[LabSamples2025.xlsx]Bioplastic'!H425)</f>
        <v/>
      </c>
    </row>
    <row r="426">
      <c r="A426">
        <f>IF(ISBLANK('Q:\Abteilungsprojekte\eng\EngData\AOS\Allgemein\[LabSamples2025.xlsx]Bioplastic'!A426)," ",'Q:\Abteilungsprojekte\eng\EngData\AOS\Allgemein\[LabSamples2025.xlsx]Bioplastic'!A426)</f>
        <v/>
      </c>
      <c r="B426">
        <f>IF(ISBLANK('Q:\Abteilungsprojekte\eng\EngData\AOS\Allgemein\[LabSamples2025.xlsx]Bioplastic'!B426)," ",'Q:\Abteilungsprojekte\eng\EngData\AOS\Allgemein\[LabSamples2025.xlsx]Bioplastic'!B426)</f>
        <v/>
      </c>
      <c r="C426">
        <f>IF(ISBLANK('Q:\Abteilungsprojekte\eng\EngData\AOS\Allgemein\[LabSamples2025.xlsx]Bioplastic'!C426)," ",'Q:\Abteilungsprojekte\eng\EngData\AOS\Allgemein\[LabSamples2025.xlsx]Bioplastic'!C426)</f>
        <v/>
      </c>
      <c r="D426">
        <f>IF(ISBLANK('Q:\Abteilungsprojekte\eng\EngData\AOS\Allgemein\[LabSamples2025.xlsx]Bioplastic'!D426)," ",'Q:\Abteilungsprojekte\eng\EngData\AOS\Allgemein\[LabSamples2025.xlsx]Bioplastic'!D426)</f>
        <v/>
      </c>
      <c r="E426">
        <f>IF(ISBLANK('Q:\Abteilungsprojekte\eng\EngData\AOS\Allgemein\[LabSamples2025.xlsx]Bioplastic'!E426)," ",'Q:\Abteilungsprojekte\eng\EngData\AOS\Allgemein\[LabSamples2025.xlsx]Bioplastic'!E426)</f>
        <v/>
      </c>
      <c r="F426">
        <f>IF(ISBLANK('Q:\Abteilungsprojekte\eng\EngData\AOS\Allgemein\[LabSamples2025.xlsx]Bioplastic'!F426)," ",'Q:\Abteilungsprojekte\eng\EngData\AOS\Allgemein\[LabSamples2025.xlsx]Bioplastic'!F426)</f>
        <v/>
      </c>
      <c r="G426">
        <f>IF(ISBLANK('Q:\Abteilungsprojekte\eng\EngData\AOS\Allgemein\[LabSamples2025.xlsx]Bioplastic'!G426)," ",'Q:\Abteilungsprojekte\eng\EngData\AOS\Allgemein\[LabSamples2025.xlsx]Bioplastic'!G426)</f>
        <v/>
      </c>
      <c r="H426">
        <f>IF(ISBLANK('Q:\Abteilungsprojekte\eng\EngData\AOS\Allgemein\[LabSamples2025.xlsx]Bioplastic'!H426)," ",'Q:\Abteilungsprojekte\eng\EngData\AOS\Allgemein\[LabSamples2025.xlsx]Bioplastic'!H426)</f>
        <v/>
      </c>
    </row>
    <row r="427">
      <c r="A427">
        <f>IF(ISBLANK('Q:\Abteilungsprojekte\eng\EngData\AOS\Allgemein\[LabSamples2025.xlsx]Bioplastic'!A427)," ",'Q:\Abteilungsprojekte\eng\EngData\AOS\Allgemein\[LabSamples2025.xlsx]Bioplastic'!A427)</f>
        <v/>
      </c>
      <c r="B427">
        <f>IF(ISBLANK('Q:\Abteilungsprojekte\eng\EngData\AOS\Allgemein\[LabSamples2025.xlsx]Bioplastic'!B427)," ",'Q:\Abteilungsprojekte\eng\EngData\AOS\Allgemein\[LabSamples2025.xlsx]Bioplastic'!B427)</f>
        <v/>
      </c>
      <c r="C427">
        <f>IF(ISBLANK('Q:\Abteilungsprojekte\eng\EngData\AOS\Allgemein\[LabSamples2025.xlsx]Bioplastic'!C427)," ",'Q:\Abteilungsprojekte\eng\EngData\AOS\Allgemein\[LabSamples2025.xlsx]Bioplastic'!C427)</f>
        <v/>
      </c>
      <c r="D427">
        <f>IF(ISBLANK('Q:\Abteilungsprojekte\eng\EngData\AOS\Allgemein\[LabSamples2025.xlsx]Bioplastic'!D427)," ",'Q:\Abteilungsprojekte\eng\EngData\AOS\Allgemein\[LabSamples2025.xlsx]Bioplastic'!D427)</f>
        <v/>
      </c>
      <c r="E427">
        <f>IF(ISBLANK('Q:\Abteilungsprojekte\eng\EngData\AOS\Allgemein\[LabSamples2025.xlsx]Bioplastic'!E427)," ",'Q:\Abteilungsprojekte\eng\EngData\AOS\Allgemein\[LabSamples2025.xlsx]Bioplastic'!E427)</f>
        <v/>
      </c>
      <c r="F427">
        <f>IF(ISBLANK('Q:\Abteilungsprojekte\eng\EngData\AOS\Allgemein\[LabSamples2025.xlsx]Bioplastic'!F427)," ",'Q:\Abteilungsprojekte\eng\EngData\AOS\Allgemein\[LabSamples2025.xlsx]Bioplastic'!F427)</f>
        <v/>
      </c>
      <c r="G427">
        <f>IF(ISBLANK('Q:\Abteilungsprojekte\eng\EngData\AOS\Allgemein\[LabSamples2025.xlsx]Bioplastic'!G427)," ",'Q:\Abteilungsprojekte\eng\EngData\AOS\Allgemein\[LabSamples2025.xlsx]Bioplastic'!G427)</f>
        <v/>
      </c>
      <c r="H427">
        <f>IF(ISBLANK('Q:\Abteilungsprojekte\eng\EngData\AOS\Allgemein\[LabSamples2025.xlsx]Bioplastic'!H427)," ",'Q:\Abteilungsprojekte\eng\EngData\AOS\Allgemein\[LabSamples2025.xlsx]Bioplastic'!H427)</f>
        <v/>
      </c>
    </row>
    <row r="428">
      <c r="A428">
        <f>IF(ISBLANK('Q:\Abteilungsprojekte\eng\EngData\AOS\Allgemein\[LabSamples2025.xlsx]Bioplastic'!A428)," ",'Q:\Abteilungsprojekte\eng\EngData\AOS\Allgemein\[LabSamples2025.xlsx]Bioplastic'!A428)</f>
        <v/>
      </c>
      <c r="B428">
        <f>IF(ISBLANK('Q:\Abteilungsprojekte\eng\EngData\AOS\Allgemein\[LabSamples2025.xlsx]Bioplastic'!B428)," ",'Q:\Abteilungsprojekte\eng\EngData\AOS\Allgemein\[LabSamples2025.xlsx]Bioplastic'!B428)</f>
        <v/>
      </c>
      <c r="C428">
        <f>IF(ISBLANK('Q:\Abteilungsprojekte\eng\EngData\AOS\Allgemein\[LabSamples2025.xlsx]Bioplastic'!C428)," ",'Q:\Abteilungsprojekte\eng\EngData\AOS\Allgemein\[LabSamples2025.xlsx]Bioplastic'!C428)</f>
        <v/>
      </c>
      <c r="D428">
        <f>IF(ISBLANK('Q:\Abteilungsprojekte\eng\EngData\AOS\Allgemein\[LabSamples2025.xlsx]Bioplastic'!D428)," ",'Q:\Abteilungsprojekte\eng\EngData\AOS\Allgemein\[LabSamples2025.xlsx]Bioplastic'!D428)</f>
        <v/>
      </c>
      <c r="E428">
        <f>IF(ISBLANK('Q:\Abteilungsprojekte\eng\EngData\AOS\Allgemein\[LabSamples2025.xlsx]Bioplastic'!E428)," ",'Q:\Abteilungsprojekte\eng\EngData\AOS\Allgemein\[LabSamples2025.xlsx]Bioplastic'!E428)</f>
        <v/>
      </c>
      <c r="F428">
        <f>IF(ISBLANK('Q:\Abteilungsprojekte\eng\EngData\AOS\Allgemein\[LabSamples2025.xlsx]Bioplastic'!F428)," ",'Q:\Abteilungsprojekte\eng\EngData\AOS\Allgemein\[LabSamples2025.xlsx]Bioplastic'!F428)</f>
        <v/>
      </c>
      <c r="G428">
        <f>IF(ISBLANK('Q:\Abteilungsprojekte\eng\EngData\AOS\Allgemein\[LabSamples2025.xlsx]Bioplastic'!G428)," ",'Q:\Abteilungsprojekte\eng\EngData\AOS\Allgemein\[LabSamples2025.xlsx]Bioplastic'!G428)</f>
        <v/>
      </c>
      <c r="H428">
        <f>IF(ISBLANK('Q:\Abteilungsprojekte\eng\EngData\AOS\Allgemein\[LabSamples2025.xlsx]Bioplastic'!H428)," ",'Q:\Abteilungsprojekte\eng\EngData\AOS\Allgemein\[LabSamples2025.xlsx]Bioplastic'!H428)</f>
        <v/>
      </c>
    </row>
    <row r="429">
      <c r="A429">
        <f>IF(ISBLANK('Q:\Abteilungsprojekte\eng\EngData\AOS\Allgemein\[LabSamples2025.xlsx]Bioplastic'!A429)," ",'Q:\Abteilungsprojekte\eng\EngData\AOS\Allgemein\[LabSamples2025.xlsx]Bioplastic'!A429)</f>
        <v/>
      </c>
      <c r="B429">
        <f>IF(ISBLANK('Q:\Abteilungsprojekte\eng\EngData\AOS\Allgemein\[LabSamples2025.xlsx]Bioplastic'!B429)," ",'Q:\Abteilungsprojekte\eng\EngData\AOS\Allgemein\[LabSamples2025.xlsx]Bioplastic'!B429)</f>
        <v/>
      </c>
      <c r="C429">
        <f>IF(ISBLANK('Q:\Abteilungsprojekte\eng\EngData\AOS\Allgemein\[LabSamples2025.xlsx]Bioplastic'!C429)," ",'Q:\Abteilungsprojekte\eng\EngData\AOS\Allgemein\[LabSamples2025.xlsx]Bioplastic'!C429)</f>
        <v/>
      </c>
      <c r="D429">
        <f>IF(ISBLANK('Q:\Abteilungsprojekte\eng\EngData\AOS\Allgemein\[LabSamples2025.xlsx]Bioplastic'!D429)," ",'Q:\Abteilungsprojekte\eng\EngData\AOS\Allgemein\[LabSamples2025.xlsx]Bioplastic'!D429)</f>
        <v/>
      </c>
      <c r="E429">
        <f>IF(ISBLANK('Q:\Abteilungsprojekte\eng\EngData\AOS\Allgemein\[LabSamples2025.xlsx]Bioplastic'!E429)," ",'Q:\Abteilungsprojekte\eng\EngData\AOS\Allgemein\[LabSamples2025.xlsx]Bioplastic'!E429)</f>
        <v/>
      </c>
      <c r="F429">
        <f>IF(ISBLANK('Q:\Abteilungsprojekte\eng\EngData\AOS\Allgemein\[LabSamples2025.xlsx]Bioplastic'!F429)," ",'Q:\Abteilungsprojekte\eng\EngData\AOS\Allgemein\[LabSamples2025.xlsx]Bioplastic'!F429)</f>
        <v/>
      </c>
      <c r="G429">
        <f>IF(ISBLANK('Q:\Abteilungsprojekte\eng\EngData\AOS\Allgemein\[LabSamples2025.xlsx]Bioplastic'!G429)," ",'Q:\Abteilungsprojekte\eng\EngData\AOS\Allgemein\[LabSamples2025.xlsx]Bioplastic'!G429)</f>
        <v/>
      </c>
      <c r="H429">
        <f>IF(ISBLANK('Q:\Abteilungsprojekte\eng\EngData\AOS\Allgemein\[LabSamples2025.xlsx]Bioplastic'!H429)," ",'Q:\Abteilungsprojekte\eng\EngData\AOS\Allgemein\[LabSamples2025.xlsx]Bioplastic'!H429)</f>
        <v/>
      </c>
    </row>
    <row r="430">
      <c r="A430">
        <f>IF(ISBLANK('Q:\Abteilungsprojekte\eng\EngData\AOS\Allgemein\[LabSamples2025.xlsx]Bioplastic'!A430)," ",'Q:\Abteilungsprojekte\eng\EngData\AOS\Allgemein\[LabSamples2025.xlsx]Bioplastic'!A430)</f>
        <v/>
      </c>
      <c r="B430">
        <f>IF(ISBLANK('Q:\Abteilungsprojekte\eng\EngData\AOS\Allgemein\[LabSamples2025.xlsx]Bioplastic'!B430)," ",'Q:\Abteilungsprojekte\eng\EngData\AOS\Allgemein\[LabSamples2025.xlsx]Bioplastic'!B430)</f>
        <v/>
      </c>
      <c r="C430">
        <f>IF(ISBLANK('Q:\Abteilungsprojekte\eng\EngData\AOS\Allgemein\[LabSamples2025.xlsx]Bioplastic'!C430)," ",'Q:\Abteilungsprojekte\eng\EngData\AOS\Allgemein\[LabSamples2025.xlsx]Bioplastic'!C430)</f>
        <v/>
      </c>
      <c r="D430">
        <f>IF(ISBLANK('Q:\Abteilungsprojekte\eng\EngData\AOS\Allgemein\[LabSamples2025.xlsx]Bioplastic'!D430)," ",'Q:\Abteilungsprojekte\eng\EngData\AOS\Allgemein\[LabSamples2025.xlsx]Bioplastic'!D430)</f>
        <v/>
      </c>
      <c r="E430">
        <f>IF(ISBLANK('Q:\Abteilungsprojekte\eng\EngData\AOS\Allgemein\[LabSamples2025.xlsx]Bioplastic'!E430)," ",'Q:\Abteilungsprojekte\eng\EngData\AOS\Allgemein\[LabSamples2025.xlsx]Bioplastic'!E430)</f>
        <v/>
      </c>
      <c r="F430">
        <f>IF(ISBLANK('Q:\Abteilungsprojekte\eng\EngData\AOS\Allgemein\[LabSamples2025.xlsx]Bioplastic'!F430)," ",'Q:\Abteilungsprojekte\eng\EngData\AOS\Allgemein\[LabSamples2025.xlsx]Bioplastic'!F430)</f>
        <v/>
      </c>
      <c r="G430">
        <f>IF(ISBLANK('Q:\Abteilungsprojekte\eng\EngData\AOS\Allgemein\[LabSamples2025.xlsx]Bioplastic'!G430)," ",'Q:\Abteilungsprojekte\eng\EngData\AOS\Allgemein\[LabSamples2025.xlsx]Bioplastic'!G430)</f>
        <v/>
      </c>
      <c r="H430">
        <f>IF(ISBLANK('Q:\Abteilungsprojekte\eng\EngData\AOS\Allgemein\[LabSamples2025.xlsx]Bioplastic'!H430)," ",'Q:\Abteilungsprojekte\eng\EngData\AOS\Allgemein\[LabSamples2025.xlsx]Bioplastic'!H430)</f>
        <v/>
      </c>
    </row>
    <row r="431">
      <c r="A431">
        <f>IF(ISBLANK('Q:\Abteilungsprojekte\eng\EngData\AOS\Allgemein\[LabSamples2025.xlsx]Bioplastic'!A431)," ",'Q:\Abteilungsprojekte\eng\EngData\AOS\Allgemein\[LabSamples2025.xlsx]Bioplastic'!A431)</f>
        <v/>
      </c>
      <c r="B431">
        <f>IF(ISBLANK('Q:\Abteilungsprojekte\eng\EngData\AOS\Allgemein\[LabSamples2025.xlsx]Bioplastic'!B431)," ",'Q:\Abteilungsprojekte\eng\EngData\AOS\Allgemein\[LabSamples2025.xlsx]Bioplastic'!B431)</f>
        <v/>
      </c>
      <c r="C431">
        <f>IF(ISBLANK('Q:\Abteilungsprojekte\eng\EngData\AOS\Allgemein\[LabSamples2025.xlsx]Bioplastic'!C431)," ",'Q:\Abteilungsprojekte\eng\EngData\AOS\Allgemein\[LabSamples2025.xlsx]Bioplastic'!C431)</f>
        <v/>
      </c>
      <c r="D431">
        <f>IF(ISBLANK('Q:\Abteilungsprojekte\eng\EngData\AOS\Allgemein\[LabSamples2025.xlsx]Bioplastic'!D431)," ",'Q:\Abteilungsprojekte\eng\EngData\AOS\Allgemein\[LabSamples2025.xlsx]Bioplastic'!D431)</f>
        <v/>
      </c>
      <c r="E431">
        <f>IF(ISBLANK('Q:\Abteilungsprojekte\eng\EngData\AOS\Allgemein\[LabSamples2025.xlsx]Bioplastic'!E431)," ",'Q:\Abteilungsprojekte\eng\EngData\AOS\Allgemein\[LabSamples2025.xlsx]Bioplastic'!E431)</f>
        <v/>
      </c>
      <c r="F431">
        <f>IF(ISBLANK('Q:\Abteilungsprojekte\eng\EngData\AOS\Allgemein\[LabSamples2025.xlsx]Bioplastic'!F431)," ",'Q:\Abteilungsprojekte\eng\EngData\AOS\Allgemein\[LabSamples2025.xlsx]Bioplastic'!F431)</f>
        <v/>
      </c>
      <c r="G431">
        <f>IF(ISBLANK('Q:\Abteilungsprojekte\eng\EngData\AOS\Allgemein\[LabSamples2025.xlsx]Bioplastic'!G431)," ",'Q:\Abteilungsprojekte\eng\EngData\AOS\Allgemein\[LabSamples2025.xlsx]Bioplastic'!G431)</f>
        <v/>
      </c>
      <c r="H431">
        <f>IF(ISBLANK('Q:\Abteilungsprojekte\eng\EngData\AOS\Allgemein\[LabSamples2025.xlsx]Bioplastic'!H431)," ",'Q:\Abteilungsprojekte\eng\EngData\AOS\Allgemein\[LabSamples2025.xlsx]Bioplastic'!H431)</f>
        <v/>
      </c>
    </row>
    <row r="432">
      <c r="A432">
        <f>IF(ISBLANK('Q:\Abteilungsprojekte\eng\EngData\AOS\Allgemein\[LabSamples2025.xlsx]Bioplastic'!A432)," ",'Q:\Abteilungsprojekte\eng\EngData\AOS\Allgemein\[LabSamples2025.xlsx]Bioplastic'!A432)</f>
        <v/>
      </c>
      <c r="B432">
        <f>IF(ISBLANK('Q:\Abteilungsprojekte\eng\EngData\AOS\Allgemein\[LabSamples2025.xlsx]Bioplastic'!B432)," ",'Q:\Abteilungsprojekte\eng\EngData\AOS\Allgemein\[LabSamples2025.xlsx]Bioplastic'!B432)</f>
        <v/>
      </c>
      <c r="C432">
        <f>IF(ISBLANK('Q:\Abteilungsprojekte\eng\EngData\AOS\Allgemein\[LabSamples2025.xlsx]Bioplastic'!C432)," ",'Q:\Abteilungsprojekte\eng\EngData\AOS\Allgemein\[LabSamples2025.xlsx]Bioplastic'!C432)</f>
        <v/>
      </c>
      <c r="D432">
        <f>IF(ISBLANK('Q:\Abteilungsprojekte\eng\EngData\AOS\Allgemein\[LabSamples2025.xlsx]Bioplastic'!D432)," ",'Q:\Abteilungsprojekte\eng\EngData\AOS\Allgemein\[LabSamples2025.xlsx]Bioplastic'!D432)</f>
        <v/>
      </c>
      <c r="E432">
        <f>IF(ISBLANK('Q:\Abteilungsprojekte\eng\EngData\AOS\Allgemein\[LabSamples2025.xlsx]Bioplastic'!E432)," ",'Q:\Abteilungsprojekte\eng\EngData\AOS\Allgemein\[LabSamples2025.xlsx]Bioplastic'!E432)</f>
        <v/>
      </c>
      <c r="F432">
        <f>IF(ISBLANK('Q:\Abteilungsprojekte\eng\EngData\AOS\Allgemein\[LabSamples2025.xlsx]Bioplastic'!F432)," ",'Q:\Abteilungsprojekte\eng\EngData\AOS\Allgemein\[LabSamples2025.xlsx]Bioplastic'!F432)</f>
        <v/>
      </c>
      <c r="G432">
        <f>IF(ISBLANK('Q:\Abteilungsprojekte\eng\EngData\AOS\Allgemein\[LabSamples2025.xlsx]Bioplastic'!G432)," ",'Q:\Abteilungsprojekte\eng\EngData\AOS\Allgemein\[LabSamples2025.xlsx]Bioplastic'!G432)</f>
        <v/>
      </c>
      <c r="H432">
        <f>IF(ISBLANK('Q:\Abteilungsprojekte\eng\EngData\AOS\Allgemein\[LabSamples2025.xlsx]Bioplastic'!H432)," ",'Q:\Abteilungsprojekte\eng\EngData\AOS\Allgemein\[LabSamples2025.xlsx]Bioplastic'!H432)</f>
        <v/>
      </c>
    </row>
    <row r="433">
      <c r="A433">
        <f>IF(ISBLANK('Q:\Abteilungsprojekte\eng\EngData\AOS\Allgemein\[LabSamples2025.xlsx]Bioplastic'!A433)," ",'Q:\Abteilungsprojekte\eng\EngData\AOS\Allgemein\[LabSamples2025.xlsx]Bioplastic'!A433)</f>
        <v/>
      </c>
      <c r="B433">
        <f>IF(ISBLANK('Q:\Abteilungsprojekte\eng\EngData\AOS\Allgemein\[LabSamples2025.xlsx]Bioplastic'!B433)," ",'Q:\Abteilungsprojekte\eng\EngData\AOS\Allgemein\[LabSamples2025.xlsx]Bioplastic'!B433)</f>
        <v/>
      </c>
      <c r="C433">
        <f>IF(ISBLANK('Q:\Abteilungsprojekte\eng\EngData\AOS\Allgemein\[LabSamples2025.xlsx]Bioplastic'!C433)," ",'Q:\Abteilungsprojekte\eng\EngData\AOS\Allgemein\[LabSamples2025.xlsx]Bioplastic'!C433)</f>
        <v/>
      </c>
      <c r="D433">
        <f>IF(ISBLANK('Q:\Abteilungsprojekte\eng\EngData\AOS\Allgemein\[LabSamples2025.xlsx]Bioplastic'!D433)," ",'Q:\Abteilungsprojekte\eng\EngData\AOS\Allgemein\[LabSamples2025.xlsx]Bioplastic'!D433)</f>
        <v/>
      </c>
      <c r="E433">
        <f>IF(ISBLANK('Q:\Abteilungsprojekte\eng\EngData\AOS\Allgemein\[LabSamples2025.xlsx]Bioplastic'!E433)," ",'Q:\Abteilungsprojekte\eng\EngData\AOS\Allgemein\[LabSamples2025.xlsx]Bioplastic'!E433)</f>
        <v/>
      </c>
      <c r="F433">
        <f>IF(ISBLANK('Q:\Abteilungsprojekte\eng\EngData\AOS\Allgemein\[LabSamples2025.xlsx]Bioplastic'!F433)," ",'Q:\Abteilungsprojekte\eng\EngData\AOS\Allgemein\[LabSamples2025.xlsx]Bioplastic'!F433)</f>
        <v/>
      </c>
      <c r="G433">
        <f>IF(ISBLANK('Q:\Abteilungsprojekte\eng\EngData\AOS\Allgemein\[LabSamples2025.xlsx]Bioplastic'!G433)," ",'Q:\Abteilungsprojekte\eng\EngData\AOS\Allgemein\[LabSamples2025.xlsx]Bioplastic'!G433)</f>
        <v/>
      </c>
      <c r="H433">
        <f>IF(ISBLANK('Q:\Abteilungsprojekte\eng\EngData\AOS\Allgemein\[LabSamples2025.xlsx]Bioplastic'!H433)," ",'Q:\Abteilungsprojekte\eng\EngData\AOS\Allgemein\[LabSamples2025.xlsx]Bioplastic'!H433)</f>
        <v/>
      </c>
    </row>
    <row r="434">
      <c r="A434">
        <f>IF(ISBLANK('Q:\Abteilungsprojekte\eng\EngData\AOS\Allgemein\[LabSamples2025.xlsx]Bioplastic'!A434)," ",'Q:\Abteilungsprojekte\eng\EngData\AOS\Allgemein\[LabSamples2025.xlsx]Bioplastic'!A434)</f>
        <v/>
      </c>
      <c r="B434">
        <f>IF(ISBLANK('Q:\Abteilungsprojekte\eng\EngData\AOS\Allgemein\[LabSamples2025.xlsx]Bioplastic'!B434)," ",'Q:\Abteilungsprojekte\eng\EngData\AOS\Allgemein\[LabSamples2025.xlsx]Bioplastic'!B434)</f>
        <v/>
      </c>
      <c r="C434">
        <f>IF(ISBLANK('Q:\Abteilungsprojekte\eng\EngData\AOS\Allgemein\[LabSamples2025.xlsx]Bioplastic'!C434)," ",'Q:\Abteilungsprojekte\eng\EngData\AOS\Allgemein\[LabSamples2025.xlsx]Bioplastic'!C434)</f>
        <v/>
      </c>
      <c r="D434">
        <f>IF(ISBLANK('Q:\Abteilungsprojekte\eng\EngData\AOS\Allgemein\[LabSamples2025.xlsx]Bioplastic'!D434)," ",'Q:\Abteilungsprojekte\eng\EngData\AOS\Allgemein\[LabSamples2025.xlsx]Bioplastic'!D434)</f>
        <v/>
      </c>
      <c r="E434">
        <f>IF(ISBLANK('Q:\Abteilungsprojekte\eng\EngData\AOS\Allgemein\[LabSamples2025.xlsx]Bioplastic'!E434)," ",'Q:\Abteilungsprojekte\eng\EngData\AOS\Allgemein\[LabSamples2025.xlsx]Bioplastic'!E434)</f>
        <v/>
      </c>
      <c r="F434">
        <f>IF(ISBLANK('Q:\Abteilungsprojekte\eng\EngData\AOS\Allgemein\[LabSamples2025.xlsx]Bioplastic'!F434)," ",'Q:\Abteilungsprojekte\eng\EngData\AOS\Allgemein\[LabSamples2025.xlsx]Bioplastic'!F434)</f>
        <v/>
      </c>
      <c r="G434">
        <f>IF(ISBLANK('Q:\Abteilungsprojekte\eng\EngData\AOS\Allgemein\[LabSamples2025.xlsx]Bioplastic'!G434)," ",'Q:\Abteilungsprojekte\eng\EngData\AOS\Allgemein\[LabSamples2025.xlsx]Bioplastic'!G434)</f>
        <v/>
      </c>
      <c r="H434">
        <f>IF(ISBLANK('Q:\Abteilungsprojekte\eng\EngData\AOS\Allgemein\[LabSamples2025.xlsx]Bioplastic'!H434)," ",'Q:\Abteilungsprojekte\eng\EngData\AOS\Allgemein\[LabSamples2025.xlsx]Bioplastic'!H434)</f>
        <v/>
      </c>
    </row>
    <row r="435">
      <c r="A435">
        <f>IF(ISBLANK('Q:\Abteilungsprojekte\eng\EngData\AOS\Allgemein\[LabSamples2025.xlsx]Bioplastic'!A435)," ",'Q:\Abteilungsprojekte\eng\EngData\AOS\Allgemein\[LabSamples2025.xlsx]Bioplastic'!A435)</f>
        <v/>
      </c>
      <c r="B435">
        <f>IF(ISBLANK('Q:\Abteilungsprojekte\eng\EngData\AOS\Allgemein\[LabSamples2025.xlsx]Bioplastic'!B435)," ",'Q:\Abteilungsprojekte\eng\EngData\AOS\Allgemein\[LabSamples2025.xlsx]Bioplastic'!B435)</f>
        <v/>
      </c>
      <c r="C435">
        <f>IF(ISBLANK('Q:\Abteilungsprojekte\eng\EngData\AOS\Allgemein\[LabSamples2025.xlsx]Bioplastic'!C435)," ",'Q:\Abteilungsprojekte\eng\EngData\AOS\Allgemein\[LabSamples2025.xlsx]Bioplastic'!C435)</f>
        <v/>
      </c>
      <c r="D435">
        <f>IF(ISBLANK('Q:\Abteilungsprojekte\eng\EngData\AOS\Allgemein\[LabSamples2025.xlsx]Bioplastic'!D435)," ",'Q:\Abteilungsprojekte\eng\EngData\AOS\Allgemein\[LabSamples2025.xlsx]Bioplastic'!D435)</f>
        <v/>
      </c>
      <c r="E435">
        <f>IF(ISBLANK('Q:\Abteilungsprojekte\eng\EngData\AOS\Allgemein\[LabSamples2025.xlsx]Bioplastic'!E435)," ",'Q:\Abteilungsprojekte\eng\EngData\AOS\Allgemein\[LabSamples2025.xlsx]Bioplastic'!E435)</f>
        <v/>
      </c>
      <c r="F435">
        <f>IF(ISBLANK('Q:\Abteilungsprojekte\eng\EngData\AOS\Allgemein\[LabSamples2025.xlsx]Bioplastic'!F435)," ",'Q:\Abteilungsprojekte\eng\EngData\AOS\Allgemein\[LabSamples2025.xlsx]Bioplastic'!F435)</f>
        <v/>
      </c>
      <c r="G435">
        <f>IF(ISBLANK('Q:\Abteilungsprojekte\eng\EngData\AOS\Allgemein\[LabSamples2025.xlsx]Bioplastic'!G435)," ",'Q:\Abteilungsprojekte\eng\EngData\AOS\Allgemein\[LabSamples2025.xlsx]Bioplastic'!G435)</f>
        <v/>
      </c>
      <c r="H435">
        <f>IF(ISBLANK('Q:\Abteilungsprojekte\eng\EngData\AOS\Allgemein\[LabSamples2025.xlsx]Bioplastic'!H435)," ",'Q:\Abteilungsprojekte\eng\EngData\AOS\Allgemein\[LabSamples2025.xlsx]Bioplastic'!H435)</f>
        <v/>
      </c>
    </row>
    <row r="436">
      <c r="A436">
        <f>IF(ISBLANK('Q:\Abteilungsprojekte\eng\EngData\AOS\Allgemein\[LabSamples2025.xlsx]Bioplastic'!A436)," ",'Q:\Abteilungsprojekte\eng\EngData\AOS\Allgemein\[LabSamples2025.xlsx]Bioplastic'!A436)</f>
        <v/>
      </c>
      <c r="B436">
        <f>IF(ISBLANK('Q:\Abteilungsprojekte\eng\EngData\AOS\Allgemein\[LabSamples2025.xlsx]Bioplastic'!B436)," ",'Q:\Abteilungsprojekte\eng\EngData\AOS\Allgemein\[LabSamples2025.xlsx]Bioplastic'!B436)</f>
        <v/>
      </c>
      <c r="C436">
        <f>IF(ISBLANK('Q:\Abteilungsprojekte\eng\EngData\AOS\Allgemein\[LabSamples2025.xlsx]Bioplastic'!C436)," ",'Q:\Abteilungsprojekte\eng\EngData\AOS\Allgemein\[LabSamples2025.xlsx]Bioplastic'!C436)</f>
        <v/>
      </c>
      <c r="D436">
        <f>IF(ISBLANK('Q:\Abteilungsprojekte\eng\EngData\AOS\Allgemein\[LabSamples2025.xlsx]Bioplastic'!D436)," ",'Q:\Abteilungsprojekte\eng\EngData\AOS\Allgemein\[LabSamples2025.xlsx]Bioplastic'!D436)</f>
        <v/>
      </c>
      <c r="E436">
        <f>IF(ISBLANK('Q:\Abteilungsprojekte\eng\EngData\AOS\Allgemein\[LabSamples2025.xlsx]Bioplastic'!E436)," ",'Q:\Abteilungsprojekte\eng\EngData\AOS\Allgemein\[LabSamples2025.xlsx]Bioplastic'!E436)</f>
        <v/>
      </c>
      <c r="F436">
        <f>IF(ISBLANK('Q:\Abteilungsprojekte\eng\EngData\AOS\Allgemein\[LabSamples2025.xlsx]Bioplastic'!F436)," ",'Q:\Abteilungsprojekte\eng\EngData\AOS\Allgemein\[LabSamples2025.xlsx]Bioplastic'!F436)</f>
        <v/>
      </c>
      <c r="G436">
        <f>IF(ISBLANK('Q:\Abteilungsprojekte\eng\EngData\AOS\Allgemein\[LabSamples2025.xlsx]Bioplastic'!G436)," ",'Q:\Abteilungsprojekte\eng\EngData\AOS\Allgemein\[LabSamples2025.xlsx]Bioplastic'!G436)</f>
        <v/>
      </c>
      <c r="H436">
        <f>IF(ISBLANK('Q:\Abteilungsprojekte\eng\EngData\AOS\Allgemein\[LabSamples2025.xlsx]Bioplastic'!H436)," ",'Q:\Abteilungsprojekte\eng\EngData\AOS\Allgemein\[LabSamples2025.xlsx]Bioplastic'!H436)</f>
        <v/>
      </c>
    </row>
    <row r="437">
      <c r="A437">
        <f>IF(ISBLANK('Q:\Abteilungsprojekte\eng\EngData\AOS\Allgemein\[LabSamples2025.xlsx]Bioplastic'!A437)," ",'Q:\Abteilungsprojekte\eng\EngData\AOS\Allgemein\[LabSamples2025.xlsx]Bioplastic'!A437)</f>
        <v/>
      </c>
      <c r="B437">
        <f>IF(ISBLANK('Q:\Abteilungsprojekte\eng\EngData\AOS\Allgemein\[LabSamples2025.xlsx]Bioplastic'!B437)," ",'Q:\Abteilungsprojekte\eng\EngData\AOS\Allgemein\[LabSamples2025.xlsx]Bioplastic'!B437)</f>
        <v/>
      </c>
      <c r="C437">
        <f>IF(ISBLANK('Q:\Abteilungsprojekte\eng\EngData\AOS\Allgemein\[LabSamples2025.xlsx]Bioplastic'!C437)," ",'Q:\Abteilungsprojekte\eng\EngData\AOS\Allgemein\[LabSamples2025.xlsx]Bioplastic'!C437)</f>
        <v/>
      </c>
      <c r="D437">
        <f>IF(ISBLANK('Q:\Abteilungsprojekte\eng\EngData\AOS\Allgemein\[LabSamples2025.xlsx]Bioplastic'!D437)," ",'Q:\Abteilungsprojekte\eng\EngData\AOS\Allgemein\[LabSamples2025.xlsx]Bioplastic'!D437)</f>
        <v/>
      </c>
      <c r="E437">
        <f>IF(ISBLANK('Q:\Abteilungsprojekte\eng\EngData\AOS\Allgemein\[LabSamples2025.xlsx]Bioplastic'!E437)," ",'Q:\Abteilungsprojekte\eng\EngData\AOS\Allgemein\[LabSamples2025.xlsx]Bioplastic'!E437)</f>
        <v/>
      </c>
      <c r="F437">
        <f>IF(ISBLANK('Q:\Abteilungsprojekte\eng\EngData\AOS\Allgemein\[LabSamples2025.xlsx]Bioplastic'!F437)," ",'Q:\Abteilungsprojekte\eng\EngData\AOS\Allgemein\[LabSamples2025.xlsx]Bioplastic'!F437)</f>
        <v/>
      </c>
      <c r="G437">
        <f>IF(ISBLANK('Q:\Abteilungsprojekte\eng\EngData\AOS\Allgemein\[LabSamples2025.xlsx]Bioplastic'!G437)," ",'Q:\Abteilungsprojekte\eng\EngData\AOS\Allgemein\[LabSamples2025.xlsx]Bioplastic'!G437)</f>
        <v/>
      </c>
      <c r="H437">
        <f>IF(ISBLANK('Q:\Abteilungsprojekte\eng\EngData\AOS\Allgemein\[LabSamples2025.xlsx]Bioplastic'!H437)," ",'Q:\Abteilungsprojekte\eng\EngData\AOS\Allgemein\[LabSamples2025.xlsx]Bioplastic'!H437)</f>
        <v/>
      </c>
    </row>
    <row r="438">
      <c r="A438">
        <f>IF(ISBLANK('Q:\Abteilungsprojekte\eng\EngData\AOS\Allgemein\[LabSamples2025.xlsx]Bioplastic'!A438)," ",'Q:\Abteilungsprojekte\eng\EngData\AOS\Allgemein\[LabSamples2025.xlsx]Bioplastic'!A438)</f>
        <v/>
      </c>
      <c r="B438">
        <f>IF(ISBLANK('Q:\Abteilungsprojekte\eng\EngData\AOS\Allgemein\[LabSamples2025.xlsx]Bioplastic'!B438)," ",'Q:\Abteilungsprojekte\eng\EngData\AOS\Allgemein\[LabSamples2025.xlsx]Bioplastic'!B438)</f>
        <v/>
      </c>
      <c r="C438">
        <f>IF(ISBLANK('Q:\Abteilungsprojekte\eng\EngData\AOS\Allgemein\[LabSamples2025.xlsx]Bioplastic'!C438)," ",'Q:\Abteilungsprojekte\eng\EngData\AOS\Allgemein\[LabSamples2025.xlsx]Bioplastic'!C438)</f>
        <v/>
      </c>
      <c r="D438">
        <f>IF(ISBLANK('Q:\Abteilungsprojekte\eng\EngData\AOS\Allgemein\[LabSamples2025.xlsx]Bioplastic'!D438)," ",'Q:\Abteilungsprojekte\eng\EngData\AOS\Allgemein\[LabSamples2025.xlsx]Bioplastic'!D438)</f>
        <v/>
      </c>
      <c r="E438">
        <f>IF(ISBLANK('Q:\Abteilungsprojekte\eng\EngData\AOS\Allgemein\[LabSamples2025.xlsx]Bioplastic'!E438)," ",'Q:\Abteilungsprojekte\eng\EngData\AOS\Allgemein\[LabSamples2025.xlsx]Bioplastic'!E438)</f>
        <v/>
      </c>
      <c r="F438">
        <f>IF(ISBLANK('Q:\Abteilungsprojekte\eng\EngData\AOS\Allgemein\[LabSamples2025.xlsx]Bioplastic'!F438)," ",'Q:\Abteilungsprojekte\eng\EngData\AOS\Allgemein\[LabSamples2025.xlsx]Bioplastic'!F438)</f>
        <v/>
      </c>
      <c r="G438">
        <f>IF(ISBLANK('Q:\Abteilungsprojekte\eng\EngData\AOS\Allgemein\[LabSamples2025.xlsx]Bioplastic'!G438)," ",'Q:\Abteilungsprojekte\eng\EngData\AOS\Allgemein\[LabSamples2025.xlsx]Bioplastic'!G438)</f>
        <v/>
      </c>
      <c r="H438">
        <f>IF(ISBLANK('Q:\Abteilungsprojekte\eng\EngData\AOS\Allgemein\[LabSamples2025.xlsx]Bioplastic'!H438)," ",'Q:\Abteilungsprojekte\eng\EngData\AOS\Allgemein\[LabSamples2025.xlsx]Bioplastic'!H438)</f>
        <v/>
      </c>
    </row>
    <row r="439">
      <c r="A439">
        <f>IF(ISBLANK('Q:\Abteilungsprojekte\eng\EngData\AOS\Allgemein\[LabSamples2025.xlsx]Bioplastic'!A439)," ",'Q:\Abteilungsprojekte\eng\EngData\AOS\Allgemein\[LabSamples2025.xlsx]Bioplastic'!A439)</f>
        <v/>
      </c>
      <c r="B439">
        <f>IF(ISBLANK('Q:\Abteilungsprojekte\eng\EngData\AOS\Allgemein\[LabSamples2025.xlsx]Bioplastic'!B439)," ",'Q:\Abteilungsprojekte\eng\EngData\AOS\Allgemein\[LabSamples2025.xlsx]Bioplastic'!B439)</f>
        <v/>
      </c>
      <c r="C439">
        <f>IF(ISBLANK('Q:\Abteilungsprojekte\eng\EngData\AOS\Allgemein\[LabSamples2025.xlsx]Bioplastic'!C439)," ",'Q:\Abteilungsprojekte\eng\EngData\AOS\Allgemein\[LabSamples2025.xlsx]Bioplastic'!C439)</f>
        <v/>
      </c>
      <c r="D439">
        <f>IF(ISBLANK('Q:\Abteilungsprojekte\eng\EngData\AOS\Allgemein\[LabSamples2025.xlsx]Bioplastic'!D439)," ",'Q:\Abteilungsprojekte\eng\EngData\AOS\Allgemein\[LabSamples2025.xlsx]Bioplastic'!D439)</f>
        <v/>
      </c>
      <c r="E439">
        <f>IF(ISBLANK('Q:\Abteilungsprojekte\eng\EngData\AOS\Allgemein\[LabSamples2025.xlsx]Bioplastic'!E439)," ",'Q:\Abteilungsprojekte\eng\EngData\AOS\Allgemein\[LabSamples2025.xlsx]Bioplastic'!E439)</f>
        <v/>
      </c>
      <c r="F439">
        <f>IF(ISBLANK('Q:\Abteilungsprojekte\eng\EngData\AOS\Allgemein\[LabSamples2025.xlsx]Bioplastic'!F439)," ",'Q:\Abteilungsprojekte\eng\EngData\AOS\Allgemein\[LabSamples2025.xlsx]Bioplastic'!F439)</f>
        <v/>
      </c>
      <c r="G439">
        <f>IF(ISBLANK('Q:\Abteilungsprojekte\eng\EngData\AOS\Allgemein\[LabSamples2025.xlsx]Bioplastic'!G439)," ",'Q:\Abteilungsprojekte\eng\EngData\AOS\Allgemein\[LabSamples2025.xlsx]Bioplastic'!G439)</f>
        <v/>
      </c>
      <c r="H439">
        <f>IF(ISBLANK('Q:\Abteilungsprojekte\eng\EngData\AOS\Allgemein\[LabSamples2025.xlsx]Bioplastic'!H439)," ",'Q:\Abteilungsprojekte\eng\EngData\AOS\Allgemein\[LabSamples2025.xlsx]Bioplastic'!H439)</f>
        <v/>
      </c>
    </row>
    <row r="440">
      <c r="A440">
        <f>IF(ISBLANK('Q:\Abteilungsprojekte\eng\EngData\AOS\Allgemein\[LabSamples2025.xlsx]Bioplastic'!A440)," ",'Q:\Abteilungsprojekte\eng\EngData\AOS\Allgemein\[LabSamples2025.xlsx]Bioplastic'!A440)</f>
        <v/>
      </c>
      <c r="B440">
        <f>IF(ISBLANK('Q:\Abteilungsprojekte\eng\EngData\AOS\Allgemein\[LabSamples2025.xlsx]Bioplastic'!B440)," ",'Q:\Abteilungsprojekte\eng\EngData\AOS\Allgemein\[LabSamples2025.xlsx]Bioplastic'!B440)</f>
        <v/>
      </c>
      <c r="C440">
        <f>IF(ISBLANK('Q:\Abteilungsprojekte\eng\EngData\AOS\Allgemein\[LabSamples2025.xlsx]Bioplastic'!C440)," ",'Q:\Abteilungsprojekte\eng\EngData\AOS\Allgemein\[LabSamples2025.xlsx]Bioplastic'!C440)</f>
        <v/>
      </c>
      <c r="D440">
        <f>IF(ISBLANK('Q:\Abteilungsprojekte\eng\EngData\AOS\Allgemein\[LabSamples2025.xlsx]Bioplastic'!D440)," ",'Q:\Abteilungsprojekte\eng\EngData\AOS\Allgemein\[LabSamples2025.xlsx]Bioplastic'!D440)</f>
        <v/>
      </c>
      <c r="E440">
        <f>IF(ISBLANK('Q:\Abteilungsprojekte\eng\EngData\AOS\Allgemein\[LabSamples2025.xlsx]Bioplastic'!E440)," ",'Q:\Abteilungsprojekte\eng\EngData\AOS\Allgemein\[LabSamples2025.xlsx]Bioplastic'!E440)</f>
        <v/>
      </c>
      <c r="F440">
        <f>IF(ISBLANK('Q:\Abteilungsprojekte\eng\EngData\AOS\Allgemein\[LabSamples2025.xlsx]Bioplastic'!F440)," ",'Q:\Abteilungsprojekte\eng\EngData\AOS\Allgemein\[LabSamples2025.xlsx]Bioplastic'!F440)</f>
        <v/>
      </c>
      <c r="G440">
        <f>IF(ISBLANK('Q:\Abteilungsprojekte\eng\EngData\AOS\Allgemein\[LabSamples2025.xlsx]Bioplastic'!G440)," ",'Q:\Abteilungsprojekte\eng\EngData\AOS\Allgemein\[LabSamples2025.xlsx]Bioplastic'!G440)</f>
        <v/>
      </c>
      <c r="H440">
        <f>IF(ISBLANK('Q:\Abteilungsprojekte\eng\EngData\AOS\Allgemein\[LabSamples2025.xlsx]Bioplastic'!H440)," ",'Q:\Abteilungsprojekte\eng\EngData\AOS\Allgemein\[LabSamples2025.xlsx]Bioplastic'!H440)</f>
        <v/>
      </c>
    </row>
    <row r="441">
      <c r="A441">
        <f>IF(ISBLANK('Q:\Abteilungsprojekte\eng\EngData\AOS\Allgemein\[LabSamples2025.xlsx]Bioplastic'!A441)," ",'Q:\Abteilungsprojekte\eng\EngData\AOS\Allgemein\[LabSamples2025.xlsx]Bioplastic'!A441)</f>
        <v/>
      </c>
      <c r="B441">
        <f>IF(ISBLANK('Q:\Abteilungsprojekte\eng\EngData\AOS\Allgemein\[LabSamples2025.xlsx]Bioplastic'!B441)," ",'Q:\Abteilungsprojekte\eng\EngData\AOS\Allgemein\[LabSamples2025.xlsx]Bioplastic'!B441)</f>
        <v/>
      </c>
      <c r="C441">
        <f>IF(ISBLANK('Q:\Abteilungsprojekte\eng\EngData\AOS\Allgemein\[LabSamples2025.xlsx]Bioplastic'!C441)," ",'Q:\Abteilungsprojekte\eng\EngData\AOS\Allgemein\[LabSamples2025.xlsx]Bioplastic'!C441)</f>
        <v/>
      </c>
      <c r="D441">
        <f>IF(ISBLANK('Q:\Abteilungsprojekte\eng\EngData\AOS\Allgemein\[LabSamples2025.xlsx]Bioplastic'!D441)," ",'Q:\Abteilungsprojekte\eng\EngData\AOS\Allgemein\[LabSamples2025.xlsx]Bioplastic'!D441)</f>
        <v/>
      </c>
      <c r="E441">
        <f>IF(ISBLANK('Q:\Abteilungsprojekte\eng\EngData\AOS\Allgemein\[LabSamples2025.xlsx]Bioplastic'!E441)," ",'Q:\Abteilungsprojekte\eng\EngData\AOS\Allgemein\[LabSamples2025.xlsx]Bioplastic'!E441)</f>
        <v/>
      </c>
      <c r="F441">
        <f>IF(ISBLANK('Q:\Abteilungsprojekte\eng\EngData\AOS\Allgemein\[LabSamples2025.xlsx]Bioplastic'!F441)," ",'Q:\Abteilungsprojekte\eng\EngData\AOS\Allgemein\[LabSamples2025.xlsx]Bioplastic'!F441)</f>
        <v/>
      </c>
      <c r="G441">
        <f>IF(ISBLANK('Q:\Abteilungsprojekte\eng\EngData\AOS\Allgemein\[LabSamples2025.xlsx]Bioplastic'!G441)," ",'Q:\Abteilungsprojekte\eng\EngData\AOS\Allgemein\[LabSamples2025.xlsx]Bioplastic'!G441)</f>
        <v/>
      </c>
      <c r="H441">
        <f>IF(ISBLANK('Q:\Abteilungsprojekte\eng\EngData\AOS\Allgemein\[LabSamples2025.xlsx]Bioplastic'!H441)," ",'Q:\Abteilungsprojekte\eng\EngData\AOS\Allgemein\[LabSamples2025.xlsx]Bioplastic'!H441)</f>
        <v/>
      </c>
    </row>
    <row r="442">
      <c r="A442">
        <f>IF(ISBLANK('Q:\Abteilungsprojekte\eng\EngData\AOS\Allgemein\[LabSamples2025.xlsx]Bioplastic'!A442)," ",'Q:\Abteilungsprojekte\eng\EngData\AOS\Allgemein\[LabSamples2025.xlsx]Bioplastic'!A442)</f>
        <v/>
      </c>
      <c r="B442">
        <f>IF(ISBLANK('Q:\Abteilungsprojekte\eng\EngData\AOS\Allgemein\[LabSamples2025.xlsx]Bioplastic'!B442)," ",'Q:\Abteilungsprojekte\eng\EngData\AOS\Allgemein\[LabSamples2025.xlsx]Bioplastic'!B442)</f>
        <v/>
      </c>
      <c r="C442">
        <f>IF(ISBLANK('Q:\Abteilungsprojekte\eng\EngData\AOS\Allgemein\[LabSamples2025.xlsx]Bioplastic'!C442)," ",'Q:\Abteilungsprojekte\eng\EngData\AOS\Allgemein\[LabSamples2025.xlsx]Bioplastic'!C442)</f>
        <v/>
      </c>
      <c r="D442">
        <f>IF(ISBLANK('Q:\Abteilungsprojekte\eng\EngData\AOS\Allgemein\[LabSamples2025.xlsx]Bioplastic'!D442)," ",'Q:\Abteilungsprojekte\eng\EngData\AOS\Allgemein\[LabSamples2025.xlsx]Bioplastic'!D442)</f>
        <v/>
      </c>
      <c r="E442">
        <f>IF(ISBLANK('Q:\Abteilungsprojekte\eng\EngData\AOS\Allgemein\[LabSamples2025.xlsx]Bioplastic'!E442)," ",'Q:\Abteilungsprojekte\eng\EngData\AOS\Allgemein\[LabSamples2025.xlsx]Bioplastic'!E442)</f>
        <v/>
      </c>
      <c r="F442">
        <f>IF(ISBLANK('Q:\Abteilungsprojekte\eng\EngData\AOS\Allgemein\[LabSamples2025.xlsx]Bioplastic'!F442)," ",'Q:\Abteilungsprojekte\eng\EngData\AOS\Allgemein\[LabSamples2025.xlsx]Bioplastic'!F442)</f>
        <v/>
      </c>
      <c r="G442">
        <f>IF(ISBLANK('Q:\Abteilungsprojekte\eng\EngData\AOS\Allgemein\[LabSamples2025.xlsx]Bioplastic'!G442)," ",'Q:\Abteilungsprojekte\eng\EngData\AOS\Allgemein\[LabSamples2025.xlsx]Bioplastic'!G442)</f>
        <v/>
      </c>
      <c r="H442">
        <f>IF(ISBLANK('Q:\Abteilungsprojekte\eng\EngData\AOS\Allgemein\[LabSamples2025.xlsx]Bioplastic'!H442)," ",'Q:\Abteilungsprojekte\eng\EngData\AOS\Allgemein\[LabSamples2025.xlsx]Bioplastic'!H442)</f>
        <v/>
      </c>
    </row>
    <row r="443">
      <c r="A443">
        <f>IF(ISBLANK('Q:\Abteilungsprojekte\eng\EngData\AOS\Allgemein\[LabSamples2025.xlsx]Bioplastic'!A443)," ",'Q:\Abteilungsprojekte\eng\EngData\AOS\Allgemein\[LabSamples2025.xlsx]Bioplastic'!A443)</f>
        <v/>
      </c>
      <c r="B443">
        <f>IF(ISBLANK('Q:\Abteilungsprojekte\eng\EngData\AOS\Allgemein\[LabSamples2025.xlsx]Bioplastic'!B443)," ",'Q:\Abteilungsprojekte\eng\EngData\AOS\Allgemein\[LabSamples2025.xlsx]Bioplastic'!B443)</f>
        <v/>
      </c>
      <c r="C443">
        <f>IF(ISBLANK('Q:\Abteilungsprojekte\eng\EngData\AOS\Allgemein\[LabSamples2025.xlsx]Bioplastic'!C443)," ",'Q:\Abteilungsprojekte\eng\EngData\AOS\Allgemein\[LabSamples2025.xlsx]Bioplastic'!C443)</f>
        <v/>
      </c>
      <c r="D443">
        <f>IF(ISBLANK('Q:\Abteilungsprojekte\eng\EngData\AOS\Allgemein\[LabSamples2025.xlsx]Bioplastic'!D443)," ",'Q:\Abteilungsprojekte\eng\EngData\AOS\Allgemein\[LabSamples2025.xlsx]Bioplastic'!D443)</f>
        <v/>
      </c>
      <c r="E443">
        <f>IF(ISBLANK('Q:\Abteilungsprojekte\eng\EngData\AOS\Allgemein\[LabSamples2025.xlsx]Bioplastic'!E443)," ",'Q:\Abteilungsprojekte\eng\EngData\AOS\Allgemein\[LabSamples2025.xlsx]Bioplastic'!E443)</f>
        <v/>
      </c>
      <c r="F443">
        <f>IF(ISBLANK('Q:\Abteilungsprojekte\eng\EngData\AOS\Allgemein\[LabSamples2025.xlsx]Bioplastic'!F443)," ",'Q:\Abteilungsprojekte\eng\EngData\AOS\Allgemein\[LabSamples2025.xlsx]Bioplastic'!F443)</f>
        <v/>
      </c>
      <c r="G443">
        <f>IF(ISBLANK('Q:\Abteilungsprojekte\eng\EngData\AOS\Allgemein\[LabSamples2025.xlsx]Bioplastic'!G443)," ",'Q:\Abteilungsprojekte\eng\EngData\AOS\Allgemein\[LabSamples2025.xlsx]Bioplastic'!G443)</f>
        <v/>
      </c>
      <c r="H443">
        <f>IF(ISBLANK('Q:\Abteilungsprojekte\eng\EngData\AOS\Allgemein\[LabSamples2025.xlsx]Bioplastic'!H443)," ",'Q:\Abteilungsprojekte\eng\EngData\AOS\Allgemein\[LabSamples2025.xlsx]Bioplastic'!H443)</f>
        <v/>
      </c>
    </row>
    <row r="444">
      <c r="A444">
        <f>IF(ISBLANK('Q:\Abteilungsprojekte\eng\EngData\AOS\Allgemein\[LabSamples2025.xlsx]Bioplastic'!A444)," ",'Q:\Abteilungsprojekte\eng\EngData\AOS\Allgemein\[LabSamples2025.xlsx]Bioplastic'!A444)</f>
        <v/>
      </c>
      <c r="B444">
        <f>IF(ISBLANK('Q:\Abteilungsprojekte\eng\EngData\AOS\Allgemein\[LabSamples2025.xlsx]Bioplastic'!B444)," ",'Q:\Abteilungsprojekte\eng\EngData\AOS\Allgemein\[LabSamples2025.xlsx]Bioplastic'!B444)</f>
        <v/>
      </c>
      <c r="C444">
        <f>IF(ISBLANK('Q:\Abteilungsprojekte\eng\EngData\AOS\Allgemein\[LabSamples2025.xlsx]Bioplastic'!C444)," ",'Q:\Abteilungsprojekte\eng\EngData\AOS\Allgemein\[LabSamples2025.xlsx]Bioplastic'!C444)</f>
        <v/>
      </c>
      <c r="D444">
        <f>IF(ISBLANK('Q:\Abteilungsprojekte\eng\EngData\AOS\Allgemein\[LabSamples2025.xlsx]Bioplastic'!D444)," ",'Q:\Abteilungsprojekte\eng\EngData\AOS\Allgemein\[LabSamples2025.xlsx]Bioplastic'!D444)</f>
        <v/>
      </c>
      <c r="E444">
        <f>IF(ISBLANK('Q:\Abteilungsprojekte\eng\EngData\AOS\Allgemein\[LabSamples2025.xlsx]Bioplastic'!E444)," ",'Q:\Abteilungsprojekte\eng\EngData\AOS\Allgemein\[LabSamples2025.xlsx]Bioplastic'!E444)</f>
        <v/>
      </c>
      <c r="F444">
        <f>IF(ISBLANK('Q:\Abteilungsprojekte\eng\EngData\AOS\Allgemein\[LabSamples2025.xlsx]Bioplastic'!F444)," ",'Q:\Abteilungsprojekte\eng\EngData\AOS\Allgemein\[LabSamples2025.xlsx]Bioplastic'!F444)</f>
        <v/>
      </c>
      <c r="G444">
        <f>IF(ISBLANK('Q:\Abteilungsprojekte\eng\EngData\AOS\Allgemein\[LabSamples2025.xlsx]Bioplastic'!G444)," ",'Q:\Abteilungsprojekte\eng\EngData\AOS\Allgemein\[LabSamples2025.xlsx]Bioplastic'!G444)</f>
        <v/>
      </c>
      <c r="H444">
        <f>IF(ISBLANK('Q:\Abteilungsprojekte\eng\EngData\AOS\Allgemein\[LabSamples2025.xlsx]Bioplastic'!H444)," ",'Q:\Abteilungsprojekte\eng\EngData\AOS\Allgemein\[LabSamples2025.xlsx]Bioplastic'!H444)</f>
        <v/>
      </c>
    </row>
    <row r="445">
      <c r="A445">
        <f>IF(ISBLANK('Q:\Abteilungsprojekte\eng\EngData\AOS\Allgemein\[LabSamples2025.xlsx]Bioplastic'!A445)," ",'Q:\Abteilungsprojekte\eng\EngData\AOS\Allgemein\[LabSamples2025.xlsx]Bioplastic'!A445)</f>
        <v/>
      </c>
      <c r="B445">
        <f>IF(ISBLANK('Q:\Abteilungsprojekte\eng\EngData\AOS\Allgemein\[LabSamples2025.xlsx]Bioplastic'!B445)," ",'Q:\Abteilungsprojekte\eng\EngData\AOS\Allgemein\[LabSamples2025.xlsx]Bioplastic'!B445)</f>
        <v/>
      </c>
      <c r="C445">
        <f>IF(ISBLANK('Q:\Abteilungsprojekte\eng\EngData\AOS\Allgemein\[LabSamples2025.xlsx]Bioplastic'!C445)," ",'Q:\Abteilungsprojekte\eng\EngData\AOS\Allgemein\[LabSamples2025.xlsx]Bioplastic'!C445)</f>
        <v/>
      </c>
      <c r="D445">
        <f>IF(ISBLANK('Q:\Abteilungsprojekte\eng\EngData\AOS\Allgemein\[LabSamples2025.xlsx]Bioplastic'!D445)," ",'Q:\Abteilungsprojekte\eng\EngData\AOS\Allgemein\[LabSamples2025.xlsx]Bioplastic'!D445)</f>
        <v/>
      </c>
      <c r="E445">
        <f>IF(ISBLANK('Q:\Abteilungsprojekte\eng\EngData\AOS\Allgemein\[LabSamples2025.xlsx]Bioplastic'!E445)," ",'Q:\Abteilungsprojekte\eng\EngData\AOS\Allgemein\[LabSamples2025.xlsx]Bioplastic'!E445)</f>
        <v/>
      </c>
      <c r="F445">
        <f>IF(ISBLANK('Q:\Abteilungsprojekte\eng\EngData\AOS\Allgemein\[LabSamples2025.xlsx]Bioplastic'!F445)," ",'Q:\Abteilungsprojekte\eng\EngData\AOS\Allgemein\[LabSamples2025.xlsx]Bioplastic'!F445)</f>
        <v/>
      </c>
      <c r="G445">
        <f>IF(ISBLANK('Q:\Abteilungsprojekte\eng\EngData\AOS\Allgemein\[LabSamples2025.xlsx]Bioplastic'!G445)," ",'Q:\Abteilungsprojekte\eng\EngData\AOS\Allgemein\[LabSamples2025.xlsx]Bioplastic'!G445)</f>
        <v/>
      </c>
      <c r="H445">
        <f>IF(ISBLANK('Q:\Abteilungsprojekte\eng\EngData\AOS\Allgemein\[LabSamples2025.xlsx]Bioplastic'!H445)," ",'Q:\Abteilungsprojekte\eng\EngData\AOS\Allgemein\[LabSamples2025.xlsx]Bioplastic'!H445)</f>
        <v/>
      </c>
    </row>
    <row r="446">
      <c r="A446">
        <f>IF(ISBLANK('Q:\Abteilungsprojekte\eng\EngData\AOS\Allgemein\[LabSamples2025.xlsx]Bioplastic'!A446)," ",'Q:\Abteilungsprojekte\eng\EngData\AOS\Allgemein\[LabSamples2025.xlsx]Bioplastic'!A446)</f>
        <v/>
      </c>
      <c r="B446">
        <f>IF(ISBLANK('Q:\Abteilungsprojekte\eng\EngData\AOS\Allgemein\[LabSamples2025.xlsx]Bioplastic'!B446)," ",'Q:\Abteilungsprojekte\eng\EngData\AOS\Allgemein\[LabSamples2025.xlsx]Bioplastic'!B446)</f>
        <v/>
      </c>
      <c r="C446">
        <f>IF(ISBLANK('Q:\Abteilungsprojekte\eng\EngData\AOS\Allgemein\[LabSamples2025.xlsx]Bioplastic'!C446)," ",'Q:\Abteilungsprojekte\eng\EngData\AOS\Allgemein\[LabSamples2025.xlsx]Bioplastic'!C446)</f>
        <v/>
      </c>
      <c r="D446">
        <f>IF(ISBLANK('Q:\Abteilungsprojekte\eng\EngData\AOS\Allgemein\[LabSamples2025.xlsx]Bioplastic'!D446)," ",'Q:\Abteilungsprojekte\eng\EngData\AOS\Allgemein\[LabSamples2025.xlsx]Bioplastic'!D446)</f>
        <v/>
      </c>
      <c r="E446">
        <f>IF(ISBLANK('Q:\Abteilungsprojekte\eng\EngData\AOS\Allgemein\[LabSamples2025.xlsx]Bioplastic'!E446)," ",'Q:\Abteilungsprojekte\eng\EngData\AOS\Allgemein\[LabSamples2025.xlsx]Bioplastic'!E446)</f>
        <v/>
      </c>
      <c r="F446">
        <f>IF(ISBLANK('Q:\Abteilungsprojekte\eng\EngData\AOS\Allgemein\[LabSamples2025.xlsx]Bioplastic'!F446)," ",'Q:\Abteilungsprojekte\eng\EngData\AOS\Allgemein\[LabSamples2025.xlsx]Bioplastic'!F446)</f>
        <v/>
      </c>
      <c r="G446">
        <f>IF(ISBLANK('Q:\Abteilungsprojekte\eng\EngData\AOS\Allgemein\[LabSamples2025.xlsx]Bioplastic'!G446)," ",'Q:\Abteilungsprojekte\eng\EngData\AOS\Allgemein\[LabSamples2025.xlsx]Bioplastic'!G446)</f>
        <v/>
      </c>
      <c r="H446">
        <f>IF(ISBLANK('Q:\Abteilungsprojekte\eng\EngData\AOS\Allgemein\[LabSamples2025.xlsx]Bioplastic'!H446)," ",'Q:\Abteilungsprojekte\eng\EngData\AOS\Allgemein\[LabSamples2025.xlsx]Bioplastic'!H446)</f>
        <v/>
      </c>
    </row>
    <row r="447">
      <c r="A447">
        <f>IF(ISBLANK('Q:\Abteilungsprojekte\eng\EngData\AOS\Allgemein\[LabSamples2025.xlsx]Bioplastic'!A447)," ",'Q:\Abteilungsprojekte\eng\EngData\AOS\Allgemein\[LabSamples2025.xlsx]Bioplastic'!A447)</f>
        <v/>
      </c>
      <c r="B447">
        <f>IF(ISBLANK('Q:\Abteilungsprojekte\eng\EngData\AOS\Allgemein\[LabSamples2025.xlsx]Bioplastic'!B447)," ",'Q:\Abteilungsprojekte\eng\EngData\AOS\Allgemein\[LabSamples2025.xlsx]Bioplastic'!B447)</f>
        <v/>
      </c>
      <c r="C447">
        <f>IF(ISBLANK('Q:\Abteilungsprojekte\eng\EngData\AOS\Allgemein\[LabSamples2025.xlsx]Bioplastic'!C447)," ",'Q:\Abteilungsprojekte\eng\EngData\AOS\Allgemein\[LabSamples2025.xlsx]Bioplastic'!C447)</f>
        <v/>
      </c>
      <c r="D447">
        <f>IF(ISBLANK('Q:\Abteilungsprojekte\eng\EngData\AOS\Allgemein\[LabSamples2025.xlsx]Bioplastic'!D447)," ",'Q:\Abteilungsprojekte\eng\EngData\AOS\Allgemein\[LabSamples2025.xlsx]Bioplastic'!D447)</f>
        <v/>
      </c>
      <c r="E447">
        <f>IF(ISBLANK('Q:\Abteilungsprojekte\eng\EngData\AOS\Allgemein\[LabSamples2025.xlsx]Bioplastic'!E447)," ",'Q:\Abteilungsprojekte\eng\EngData\AOS\Allgemein\[LabSamples2025.xlsx]Bioplastic'!E447)</f>
        <v/>
      </c>
      <c r="F447">
        <f>IF(ISBLANK('Q:\Abteilungsprojekte\eng\EngData\AOS\Allgemein\[LabSamples2025.xlsx]Bioplastic'!F447)," ",'Q:\Abteilungsprojekte\eng\EngData\AOS\Allgemein\[LabSamples2025.xlsx]Bioplastic'!F447)</f>
        <v/>
      </c>
      <c r="G447">
        <f>IF(ISBLANK('Q:\Abteilungsprojekte\eng\EngData\AOS\Allgemein\[LabSamples2025.xlsx]Bioplastic'!G447)," ",'Q:\Abteilungsprojekte\eng\EngData\AOS\Allgemein\[LabSamples2025.xlsx]Bioplastic'!G447)</f>
        <v/>
      </c>
      <c r="H447">
        <f>IF(ISBLANK('Q:\Abteilungsprojekte\eng\EngData\AOS\Allgemein\[LabSamples2025.xlsx]Bioplastic'!H447)," ",'Q:\Abteilungsprojekte\eng\EngData\AOS\Allgemein\[LabSamples2025.xlsx]Bioplastic'!H447)</f>
        <v/>
      </c>
    </row>
    <row r="448">
      <c r="A448">
        <f>IF(ISBLANK('Q:\Abteilungsprojekte\eng\EngData\AOS\Allgemein\[LabSamples2025.xlsx]Bioplastic'!A448)," ",'Q:\Abteilungsprojekte\eng\EngData\AOS\Allgemein\[LabSamples2025.xlsx]Bioplastic'!A448)</f>
        <v/>
      </c>
      <c r="B448">
        <f>IF(ISBLANK('Q:\Abteilungsprojekte\eng\EngData\AOS\Allgemein\[LabSamples2025.xlsx]Bioplastic'!B448)," ",'Q:\Abteilungsprojekte\eng\EngData\AOS\Allgemein\[LabSamples2025.xlsx]Bioplastic'!B448)</f>
        <v/>
      </c>
      <c r="C448">
        <f>IF(ISBLANK('Q:\Abteilungsprojekte\eng\EngData\AOS\Allgemein\[LabSamples2025.xlsx]Bioplastic'!C448)," ",'Q:\Abteilungsprojekte\eng\EngData\AOS\Allgemein\[LabSamples2025.xlsx]Bioplastic'!C448)</f>
        <v/>
      </c>
      <c r="D448">
        <f>IF(ISBLANK('Q:\Abteilungsprojekte\eng\EngData\AOS\Allgemein\[LabSamples2025.xlsx]Bioplastic'!D448)," ",'Q:\Abteilungsprojekte\eng\EngData\AOS\Allgemein\[LabSamples2025.xlsx]Bioplastic'!D448)</f>
        <v/>
      </c>
      <c r="E448">
        <f>IF(ISBLANK('Q:\Abteilungsprojekte\eng\EngData\AOS\Allgemein\[LabSamples2025.xlsx]Bioplastic'!E448)," ",'Q:\Abteilungsprojekte\eng\EngData\AOS\Allgemein\[LabSamples2025.xlsx]Bioplastic'!E448)</f>
        <v/>
      </c>
      <c r="F448">
        <f>IF(ISBLANK('Q:\Abteilungsprojekte\eng\EngData\AOS\Allgemein\[LabSamples2025.xlsx]Bioplastic'!F448)," ",'Q:\Abteilungsprojekte\eng\EngData\AOS\Allgemein\[LabSamples2025.xlsx]Bioplastic'!F448)</f>
        <v/>
      </c>
      <c r="G448">
        <f>IF(ISBLANK('Q:\Abteilungsprojekte\eng\EngData\AOS\Allgemein\[LabSamples2025.xlsx]Bioplastic'!G448)," ",'Q:\Abteilungsprojekte\eng\EngData\AOS\Allgemein\[LabSamples2025.xlsx]Bioplastic'!G448)</f>
        <v/>
      </c>
      <c r="H448">
        <f>IF(ISBLANK('Q:\Abteilungsprojekte\eng\EngData\AOS\Allgemein\[LabSamples2025.xlsx]Bioplastic'!H448)," ",'Q:\Abteilungsprojekte\eng\EngData\AOS\Allgemein\[LabSamples2025.xlsx]Bioplastic'!H448)</f>
        <v/>
      </c>
    </row>
    <row r="449">
      <c r="A449">
        <f>IF(ISBLANK('Q:\Abteilungsprojekte\eng\EngData\AOS\Allgemein\[LabSamples2025.xlsx]Bioplastic'!A449)," ",'Q:\Abteilungsprojekte\eng\EngData\AOS\Allgemein\[LabSamples2025.xlsx]Bioplastic'!A449)</f>
        <v/>
      </c>
      <c r="B449">
        <f>IF(ISBLANK('Q:\Abteilungsprojekte\eng\EngData\AOS\Allgemein\[LabSamples2025.xlsx]Bioplastic'!B449)," ",'Q:\Abteilungsprojekte\eng\EngData\AOS\Allgemein\[LabSamples2025.xlsx]Bioplastic'!B449)</f>
        <v/>
      </c>
      <c r="C449">
        <f>IF(ISBLANK('Q:\Abteilungsprojekte\eng\EngData\AOS\Allgemein\[LabSamples2025.xlsx]Bioplastic'!C449)," ",'Q:\Abteilungsprojekte\eng\EngData\AOS\Allgemein\[LabSamples2025.xlsx]Bioplastic'!C449)</f>
        <v/>
      </c>
      <c r="D449">
        <f>IF(ISBLANK('Q:\Abteilungsprojekte\eng\EngData\AOS\Allgemein\[LabSamples2025.xlsx]Bioplastic'!D449)," ",'Q:\Abteilungsprojekte\eng\EngData\AOS\Allgemein\[LabSamples2025.xlsx]Bioplastic'!D449)</f>
        <v/>
      </c>
      <c r="E449">
        <f>IF(ISBLANK('Q:\Abteilungsprojekte\eng\EngData\AOS\Allgemein\[LabSamples2025.xlsx]Bioplastic'!E449)," ",'Q:\Abteilungsprojekte\eng\EngData\AOS\Allgemein\[LabSamples2025.xlsx]Bioplastic'!E449)</f>
        <v/>
      </c>
      <c r="F449">
        <f>IF(ISBLANK('Q:\Abteilungsprojekte\eng\EngData\AOS\Allgemein\[LabSamples2025.xlsx]Bioplastic'!F449)," ",'Q:\Abteilungsprojekte\eng\EngData\AOS\Allgemein\[LabSamples2025.xlsx]Bioplastic'!F449)</f>
        <v/>
      </c>
      <c r="G449">
        <f>IF(ISBLANK('Q:\Abteilungsprojekte\eng\EngData\AOS\Allgemein\[LabSamples2025.xlsx]Bioplastic'!G449)," ",'Q:\Abteilungsprojekte\eng\EngData\AOS\Allgemein\[LabSamples2025.xlsx]Bioplastic'!G449)</f>
        <v/>
      </c>
      <c r="H449">
        <f>IF(ISBLANK('Q:\Abteilungsprojekte\eng\EngData\AOS\Allgemein\[LabSamples2025.xlsx]Bioplastic'!H449)," ",'Q:\Abteilungsprojekte\eng\EngData\AOS\Allgemein\[LabSamples2025.xlsx]Bioplastic'!H449)</f>
        <v/>
      </c>
    </row>
    <row r="450">
      <c r="A450">
        <f>IF(ISBLANK('Q:\Abteilungsprojekte\eng\EngData\AOS\Allgemein\[LabSamples2025.xlsx]Bioplastic'!A450)," ",'Q:\Abteilungsprojekte\eng\EngData\AOS\Allgemein\[LabSamples2025.xlsx]Bioplastic'!A450)</f>
        <v/>
      </c>
      <c r="B450">
        <f>IF(ISBLANK('Q:\Abteilungsprojekte\eng\EngData\AOS\Allgemein\[LabSamples2025.xlsx]Bioplastic'!B450)," ",'Q:\Abteilungsprojekte\eng\EngData\AOS\Allgemein\[LabSamples2025.xlsx]Bioplastic'!B450)</f>
        <v/>
      </c>
      <c r="C450">
        <f>IF(ISBLANK('Q:\Abteilungsprojekte\eng\EngData\AOS\Allgemein\[LabSamples2025.xlsx]Bioplastic'!C450)," ",'Q:\Abteilungsprojekte\eng\EngData\AOS\Allgemein\[LabSamples2025.xlsx]Bioplastic'!C450)</f>
        <v/>
      </c>
      <c r="D450">
        <f>IF(ISBLANK('Q:\Abteilungsprojekte\eng\EngData\AOS\Allgemein\[LabSamples2025.xlsx]Bioplastic'!D450)," ",'Q:\Abteilungsprojekte\eng\EngData\AOS\Allgemein\[LabSamples2025.xlsx]Bioplastic'!D450)</f>
        <v/>
      </c>
      <c r="E450">
        <f>IF(ISBLANK('Q:\Abteilungsprojekte\eng\EngData\AOS\Allgemein\[LabSamples2025.xlsx]Bioplastic'!E450)," ",'Q:\Abteilungsprojekte\eng\EngData\AOS\Allgemein\[LabSamples2025.xlsx]Bioplastic'!E450)</f>
        <v/>
      </c>
      <c r="F450">
        <f>IF(ISBLANK('Q:\Abteilungsprojekte\eng\EngData\AOS\Allgemein\[LabSamples2025.xlsx]Bioplastic'!F450)," ",'Q:\Abteilungsprojekte\eng\EngData\AOS\Allgemein\[LabSamples2025.xlsx]Bioplastic'!F450)</f>
        <v/>
      </c>
      <c r="G450">
        <f>IF(ISBLANK('Q:\Abteilungsprojekte\eng\EngData\AOS\Allgemein\[LabSamples2025.xlsx]Bioplastic'!G450)," ",'Q:\Abteilungsprojekte\eng\EngData\AOS\Allgemein\[LabSamples2025.xlsx]Bioplastic'!G450)</f>
        <v/>
      </c>
      <c r="H450">
        <f>IF(ISBLANK('Q:\Abteilungsprojekte\eng\EngData\AOS\Allgemein\[LabSamples2025.xlsx]Bioplastic'!H450)," ",'Q:\Abteilungsprojekte\eng\EngData\AOS\Allgemein\[LabSamples2025.xlsx]Bioplastic'!H450)</f>
        <v/>
      </c>
    </row>
    <row r="451">
      <c r="A451">
        <f>IF(ISBLANK('Q:\Abteilungsprojekte\eng\EngData\AOS\Allgemein\[LabSamples2025.xlsx]Bioplastic'!A451)," ",'Q:\Abteilungsprojekte\eng\EngData\AOS\Allgemein\[LabSamples2025.xlsx]Bioplastic'!A451)</f>
        <v/>
      </c>
      <c r="B451">
        <f>IF(ISBLANK('Q:\Abteilungsprojekte\eng\EngData\AOS\Allgemein\[LabSamples2025.xlsx]Bioplastic'!B451)," ",'Q:\Abteilungsprojekte\eng\EngData\AOS\Allgemein\[LabSamples2025.xlsx]Bioplastic'!B451)</f>
        <v/>
      </c>
      <c r="C451">
        <f>IF(ISBLANK('Q:\Abteilungsprojekte\eng\EngData\AOS\Allgemein\[LabSamples2025.xlsx]Bioplastic'!C451)," ",'Q:\Abteilungsprojekte\eng\EngData\AOS\Allgemein\[LabSamples2025.xlsx]Bioplastic'!C451)</f>
        <v/>
      </c>
      <c r="D451">
        <f>IF(ISBLANK('Q:\Abteilungsprojekte\eng\EngData\AOS\Allgemein\[LabSamples2025.xlsx]Bioplastic'!D451)," ",'Q:\Abteilungsprojekte\eng\EngData\AOS\Allgemein\[LabSamples2025.xlsx]Bioplastic'!D451)</f>
        <v/>
      </c>
      <c r="E451">
        <f>IF(ISBLANK('Q:\Abteilungsprojekte\eng\EngData\AOS\Allgemein\[LabSamples2025.xlsx]Bioplastic'!E451)," ",'Q:\Abteilungsprojekte\eng\EngData\AOS\Allgemein\[LabSamples2025.xlsx]Bioplastic'!E451)</f>
        <v/>
      </c>
      <c r="F451">
        <f>IF(ISBLANK('Q:\Abteilungsprojekte\eng\EngData\AOS\Allgemein\[LabSamples2025.xlsx]Bioplastic'!F451)," ",'Q:\Abteilungsprojekte\eng\EngData\AOS\Allgemein\[LabSamples2025.xlsx]Bioplastic'!F451)</f>
        <v/>
      </c>
      <c r="G451">
        <f>IF(ISBLANK('Q:\Abteilungsprojekte\eng\EngData\AOS\Allgemein\[LabSamples2025.xlsx]Bioplastic'!G451)," ",'Q:\Abteilungsprojekte\eng\EngData\AOS\Allgemein\[LabSamples2025.xlsx]Bioplastic'!G451)</f>
        <v/>
      </c>
      <c r="H451">
        <f>IF(ISBLANK('Q:\Abteilungsprojekte\eng\EngData\AOS\Allgemein\[LabSamples2025.xlsx]Bioplastic'!H451)," ",'Q:\Abteilungsprojekte\eng\EngData\AOS\Allgemein\[LabSamples2025.xlsx]Bioplastic'!H451)</f>
        <v/>
      </c>
    </row>
    <row r="452">
      <c r="A452">
        <f>IF(ISBLANK('Q:\Abteilungsprojekte\eng\EngData\AOS\Allgemein\[LabSamples2025.xlsx]Bioplastic'!A452)," ",'Q:\Abteilungsprojekte\eng\EngData\AOS\Allgemein\[LabSamples2025.xlsx]Bioplastic'!A452)</f>
        <v/>
      </c>
      <c r="B452">
        <f>IF(ISBLANK('Q:\Abteilungsprojekte\eng\EngData\AOS\Allgemein\[LabSamples2025.xlsx]Bioplastic'!B452)," ",'Q:\Abteilungsprojekte\eng\EngData\AOS\Allgemein\[LabSamples2025.xlsx]Bioplastic'!B452)</f>
        <v/>
      </c>
      <c r="C452">
        <f>IF(ISBLANK('Q:\Abteilungsprojekte\eng\EngData\AOS\Allgemein\[LabSamples2025.xlsx]Bioplastic'!C452)," ",'Q:\Abteilungsprojekte\eng\EngData\AOS\Allgemein\[LabSamples2025.xlsx]Bioplastic'!C452)</f>
        <v/>
      </c>
      <c r="D452">
        <f>IF(ISBLANK('Q:\Abteilungsprojekte\eng\EngData\AOS\Allgemein\[LabSamples2025.xlsx]Bioplastic'!D452)," ",'Q:\Abteilungsprojekte\eng\EngData\AOS\Allgemein\[LabSamples2025.xlsx]Bioplastic'!D452)</f>
        <v/>
      </c>
      <c r="E452">
        <f>IF(ISBLANK('Q:\Abteilungsprojekte\eng\EngData\AOS\Allgemein\[LabSamples2025.xlsx]Bioplastic'!E452)," ",'Q:\Abteilungsprojekte\eng\EngData\AOS\Allgemein\[LabSamples2025.xlsx]Bioplastic'!E452)</f>
        <v/>
      </c>
      <c r="F452">
        <f>IF(ISBLANK('Q:\Abteilungsprojekte\eng\EngData\AOS\Allgemein\[LabSamples2025.xlsx]Bioplastic'!F452)," ",'Q:\Abteilungsprojekte\eng\EngData\AOS\Allgemein\[LabSamples2025.xlsx]Bioplastic'!F452)</f>
        <v/>
      </c>
      <c r="G452">
        <f>IF(ISBLANK('Q:\Abteilungsprojekte\eng\EngData\AOS\Allgemein\[LabSamples2025.xlsx]Bioplastic'!G452)," ",'Q:\Abteilungsprojekte\eng\EngData\AOS\Allgemein\[LabSamples2025.xlsx]Bioplastic'!G452)</f>
        <v/>
      </c>
      <c r="H452">
        <f>IF(ISBLANK('Q:\Abteilungsprojekte\eng\EngData\AOS\Allgemein\[LabSamples2025.xlsx]Bioplastic'!H452)," ",'Q:\Abteilungsprojekte\eng\EngData\AOS\Allgemein\[LabSamples2025.xlsx]Bioplastic'!H452)</f>
        <v/>
      </c>
    </row>
    <row r="453">
      <c r="A453">
        <f>IF(ISBLANK('Q:\Abteilungsprojekte\eng\EngData\AOS\Allgemein\[LabSamples2025.xlsx]Bioplastic'!A453)," ",'Q:\Abteilungsprojekte\eng\EngData\AOS\Allgemein\[LabSamples2025.xlsx]Bioplastic'!A453)</f>
        <v/>
      </c>
      <c r="B453">
        <f>IF(ISBLANK('Q:\Abteilungsprojekte\eng\EngData\AOS\Allgemein\[LabSamples2025.xlsx]Bioplastic'!B453)," ",'Q:\Abteilungsprojekte\eng\EngData\AOS\Allgemein\[LabSamples2025.xlsx]Bioplastic'!B453)</f>
        <v/>
      </c>
      <c r="C453">
        <f>IF(ISBLANK('Q:\Abteilungsprojekte\eng\EngData\AOS\Allgemein\[LabSamples2025.xlsx]Bioplastic'!C453)," ",'Q:\Abteilungsprojekte\eng\EngData\AOS\Allgemein\[LabSamples2025.xlsx]Bioplastic'!C453)</f>
        <v/>
      </c>
      <c r="D453">
        <f>IF(ISBLANK('Q:\Abteilungsprojekte\eng\EngData\AOS\Allgemein\[LabSamples2025.xlsx]Bioplastic'!D453)," ",'Q:\Abteilungsprojekte\eng\EngData\AOS\Allgemein\[LabSamples2025.xlsx]Bioplastic'!D453)</f>
        <v/>
      </c>
      <c r="E453">
        <f>IF(ISBLANK('Q:\Abteilungsprojekte\eng\EngData\AOS\Allgemein\[LabSamples2025.xlsx]Bioplastic'!E453)," ",'Q:\Abteilungsprojekte\eng\EngData\AOS\Allgemein\[LabSamples2025.xlsx]Bioplastic'!E453)</f>
        <v/>
      </c>
      <c r="F453">
        <f>IF(ISBLANK('Q:\Abteilungsprojekte\eng\EngData\AOS\Allgemein\[LabSamples2025.xlsx]Bioplastic'!F453)," ",'Q:\Abteilungsprojekte\eng\EngData\AOS\Allgemein\[LabSamples2025.xlsx]Bioplastic'!F453)</f>
        <v/>
      </c>
      <c r="G453">
        <f>IF(ISBLANK('Q:\Abteilungsprojekte\eng\EngData\AOS\Allgemein\[LabSamples2025.xlsx]Bioplastic'!G453)," ",'Q:\Abteilungsprojekte\eng\EngData\AOS\Allgemein\[LabSamples2025.xlsx]Bioplastic'!G453)</f>
        <v/>
      </c>
      <c r="H453">
        <f>IF(ISBLANK('Q:\Abteilungsprojekte\eng\EngData\AOS\Allgemein\[LabSamples2025.xlsx]Bioplastic'!H453)," ",'Q:\Abteilungsprojekte\eng\EngData\AOS\Allgemein\[LabSamples2025.xlsx]Bioplastic'!H453)</f>
        <v/>
      </c>
    </row>
    <row r="454">
      <c r="A454">
        <f>IF(ISBLANK('Q:\Abteilungsprojekte\eng\EngData\AOS\Allgemein\[LabSamples2025.xlsx]Bioplastic'!A454)," ",'Q:\Abteilungsprojekte\eng\EngData\AOS\Allgemein\[LabSamples2025.xlsx]Bioplastic'!A454)</f>
        <v/>
      </c>
      <c r="B454">
        <f>IF(ISBLANK('Q:\Abteilungsprojekte\eng\EngData\AOS\Allgemein\[LabSamples2025.xlsx]Bioplastic'!B454)," ",'Q:\Abteilungsprojekte\eng\EngData\AOS\Allgemein\[LabSamples2025.xlsx]Bioplastic'!B454)</f>
        <v/>
      </c>
      <c r="C454">
        <f>IF(ISBLANK('Q:\Abteilungsprojekte\eng\EngData\AOS\Allgemein\[LabSamples2025.xlsx]Bioplastic'!C454)," ",'Q:\Abteilungsprojekte\eng\EngData\AOS\Allgemein\[LabSamples2025.xlsx]Bioplastic'!C454)</f>
        <v/>
      </c>
      <c r="D454">
        <f>IF(ISBLANK('Q:\Abteilungsprojekte\eng\EngData\AOS\Allgemein\[LabSamples2025.xlsx]Bioplastic'!D454)," ",'Q:\Abteilungsprojekte\eng\EngData\AOS\Allgemein\[LabSamples2025.xlsx]Bioplastic'!D454)</f>
        <v/>
      </c>
      <c r="E454">
        <f>IF(ISBLANK('Q:\Abteilungsprojekte\eng\EngData\AOS\Allgemein\[LabSamples2025.xlsx]Bioplastic'!E454)," ",'Q:\Abteilungsprojekte\eng\EngData\AOS\Allgemein\[LabSamples2025.xlsx]Bioplastic'!E454)</f>
        <v/>
      </c>
      <c r="F454">
        <f>IF(ISBLANK('Q:\Abteilungsprojekte\eng\EngData\AOS\Allgemein\[LabSamples2025.xlsx]Bioplastic'!F454)," ",'Q:\Abteilungsprojekte\eng\EngData\AOS\Allgemein\[LabSamples2025.xlsx]Bioplastic'!F454)</f>
        <v/>
      </c>
      <c r="G454">
        <f>IF(ISBLANK('Q:\Abteilungsprojekte\eng\EngData\AOS\Allgemein\[LabSamples2025.xlsx]Bioplastic'!G454)," ",'Q:\Abteilungsprojekte\eng\EngData\AOS\Allgemein\[LabSamples2025.xlsx]Bioplastic'!G454)</f>
        <v/>
      </c>
      <c r="H454">
        <f>IF(ISBLANK('Q:\Abteilungsprojekte\eng\EngData\AOS\Allgemein\[LabSamples2025.xlsx]Bioplastic'!H454)," ",'Q:\Abteilungsprojekte\eng\EngData\AOS\Allgemein\[LabSamples2025.xlsx]Bioplastic'!H454)</f>
        <v/>
      </c>
    </row>
    <row r="455">
      <c r="A455">
        <f>IF(ISBLANK('Q:\Abteilungsprojekte\eng\EngData\AOS\Allgemein\[LabSamples2025.xlsx]Bioplastic'!A455)," ",'Q:\Abteilungsprojekte\eng\EngData\AOS\Allgemein\[LabSamples2025.xlsx]Bioplastic'!A455)</f>
        <v/>
      </c>
      <c r="B455">
        <f>IF(ISBLANK('Q:\Abteilungsprojekte\eng\EngData\AOS\Allgemein\[LabSamples2025.xlsx]Bioplastic'!B455)," ",'Q:\Abteilungsprojekte\eng\EngData\AOS\Allgemein\[LabSamples2025.xlsx]Bioplastic'!B455)</f>
        <v/>
      </c>
      <c r="C455">
        <f>IF(ISBLANK('Q:\Abteilungsprojekte\eng\EngData\AOS\Allgemein\[LabSamples2025.xlsx]Bioplastic'!C455)," ",'Q:\Abteilungsprojekte\eng\EngData\AOS\Allgemein\[LabSamples2025.xlsx]Bioplastic'!C455)</f>
        <v/>
      </c>
      <c r="D455">
        <f>IF(ISBLANK('Q:\Abteilungsprojekte\eng\EngData\AOS\Allgemein\[LabSamples2025.xlsx]Bioplastic'!D455)," ",'Q:\Abteilungsprojekte\eng\EngData\AOS\Allgemein\[LabSamples2025.xlsx]Bioplastic'!D455)</f>
        <v/>
      </c>
      <c r="E455">
        <f>IF(ISBLANK('Q:\Abteilungsprojekte\eng\EngData\AOS\Allgemein\[LabSamples2025.xlsx]Bioplastic'!E455)," ",'Q:\Abteilungsprojekte\eng\EngData\AOS\Allgemein\[LabSamples2025.xlsx]Bioplastic'!E455)</f>
        <v/>
      </c>
      <c r="F455">
        <f>IF(ISBLANK('Q:\Abteilungsprojekte\eng\EngData\AOS\Allgemein\[LabSamples2025.xlsx]Bioplastic'!F455)," ",'Q:\Abteilungsprojekte\eng\EngData\AOS\Allgemein\[LabSamples2025.xlsx]Bioplastic'!F455)</f>
        <v/>
      </c>
      <c r="G455">
        <f>IF(ISBLANK('Q:\Abteilungsprojekte\eng\EngData\AOS\Allgemein\[LabSamples2025.xlsx]Bioplastic'!G455)," ",'Q:\Abteilungsprojekte\eng\EngData\AOS\Allgemein\[LabSamples2025.xlsx]Bioplastic'!G455)</f>
        <v/>
      </c>
      <c r="H455">
        <f>IF(ISBLANK('Q:\Abteilungsprojekte\eng\EngData\AOS\Allgemein\[LabSamples2025.xlsx]Bioplastic'!H455)," ",'Q:\Abteilungsprojekte\eng\EngData\AOS\Allgemein\[LabSamples2025.xlsx]Bioplastic'!H455)</f>
        <v/>
      </c>
    </row>
    <row r="456">
      <c r="A456">
        <f>IF(ISBLANK('Q:\Abteilungsprojekte\eng\EngData\AOS\Allgemein\[LabSamples2025.xlsx]Bioplastic'!A456)," ",'Q:\Abteilungsprojekte\eng\EngData\AOS\Allgemein\[LabSamples2025.xlsx]Bioplastic'!A456)</f>
        <v/>
      </c>
      <c r="B456">
        <f>IF(ISBLANK('Q:\Abteilungsprojekte\eng\EngData\AOS\Allgemein\[LabSamples2025.xlsx]Bioplastic'!B456)," ",'Q:\Abteilungsprojekte\eng\EngData\AOS\Allgemein\[LabSamples2025.xlsx]Bioplastic'!B456)</f>
        <v/>
      </c>
      <c r="C456">
        <f>IF(ISBLANK('Q:\Abteilungsprojekte\eng\EngData\AOS\Allgemein\[LabSamples2025.xlsx]Bioplastic'!C456)," ",'Q:\Abteilungsprojekte\eng\EngData\AOS\Allgemein\[LabSamples2025.xlsx]Bioplastic'!C456)</f>
        <v/>
      </c>
      <c r="D456">
        <f>IF(ISBLANK('Q:\Abteilungsprojekte\eng\EngData\AOS\Allgemein\[LabSamples2025.xlsx]Bioplastic'!D456)," ",'Q:\Abteilungsprojekte\eng\EngData\AOS\Allgemein\[LabSamples2025.xlsx]Bioplastic'!D456)</f>
        <v/>
      </c>
      <c r="E456">
        <f>IF(ISBLANK('Q:\Abteilungsprojekte\eng\EngData\AOS\Allgemein\[LabSamples2025.xlsx]Bioplastic'!E456)," ",'Q:\Abteilungsprojekte\eng\EngData\AOS\Allgemein\[LabSamples2025.xlsx]Bioplastic'!E456)</f>
        <v/>
      </c>
      <c r="F456">
        <f>IF(ISBLANK('Q:\Abteilungsprojekte\eng\EngData\AOS\Allgemein\[LabSamples2025.xlsx]Bioplastic'!F456)," ",'Q:\Abteilungsprojekte\eng\EngData\AOS\Allgemein\[LabSamples2025.xlsx]Bioplastic'!F456)</f>
        <v/>
      </c>
      <c r="G456">
        <f>IF(ISBLANK('Q:\Abteilungsprojekte\eng\EngData\AOS\Allgemein\[LabSamples2025.xlsx]Bioplastic'!G456)," ",'Q:\Abteilungsprojekte\eng\EngData\AOS\Allgemein\[LabSamples2025.xlsx]Bioplastic'!G456)</f>
        <v/>
      </c>
      <c r="H456">
        <f>IF(ISBLANK('Q:\Abteilungsprojekte\eng\EngData\AOS\Allgemein\[LabSamples2025.xlsx]Bioplastic'!H456)," ",'Q:\Abteilungsprojekte\eng\EngData\AOS\Allgemein\[LabSamples2025.xlsx]Bioplastic'!H456)</f>
        <v/>
      </c>
    </row>
    <row r="457">
      <c r="A457">
        <f>IF(ISBLANK('Q:\Abteilungsprojekte\eng\EngData\AOS\Allgemein\[LabSamples2025.xlsx]Bioplastic'!A457)," ",'Q:\Abteilungsprojekte\eng\EngData\AOS\Allgemein\[LabSamples2025.xlsx]Bioplastic'!A457)</f>
        <v/>
      </c>
      <c r="B457">
        <f>IF(ISBLANK('Q:\Abteilungsprojekte\eng\EngData\AOS\Allgemein\[LabSamples2025.xlsx]Bioplastic'!B457)," ",'Q:\Abteilungsprojekte\eng\EngData\AOS\Allgemein\[LabSamples2025.xlsx]Bioplastic'!B457)</f>
        <v/>
      </c>
      <c r="C457">
        <f>IF(ISBLANK('Q:\Abteilungsprojekte\eng\EngData\AOS\Allgemein\[LabSamples2025.xlsx]Bioplastic'!C457)," ",'Q:\Abteilungsprojekte\eng\EngData\AOS\Allgemein\[LabSamples2025.xlsx]Bioplastic'!C457)</f>
        <v/>
      </c>
      <c r="D457">
        <f>IF(ISBLANK('Q:\Abteilungsprojekte\eng\EngData\AOS\Allgemein\[LabSamples2025.xlsx]Bioplastic'!D457)," ",'Q:\Abteilungsprojekte\eng\EngData\AOS\Allgemein\[LabSamples2025.xlsx]Bioplastic'!D457)</f>
        <v/>
      </c>
      <c r="E457">
        <f>IF(ISBLANK('Q:\Abteilungsprojekte\eng\EngData\AOS\Allgemein\[LabSamples2025.xlsx]Bioplastic'!E457)," ",'Q:\Abteilungsprojekte\eng\EngData\AOS\Allgemein\[LabSamples2025.xlsx]Bioplastic'!E457)</f>
        <v/>
      </c>
      <c r="F457">
        <f>IF(ISBLANK('Q:\Abteilungsprojekte\eng\EngData\AOS\Allgemein\[LabSamples2025.xlsx]Bioplastic'!F457)," ",'Q:\Abteilungsprojekte\eng\EngData\AOS\Allgemein\[LabSamples2025.xlsx]Bioplastic'!F457)</f>
        <v/>
      </c>
      <c r="G457">
        <f>IF(ISBLANK('Q:\Abteilungsprojekte\eng\EngData\AOS\Allgemein\[LabSamples2025.xlsx]Bioplastic'!G457)," ",'Q:\Abteilungsprojekte\eng\EngData\AOS\Allgemein\[LabSamples2025.xlsx]Bioplastic'!G457)</f>
        <v/>
      </c>
      <c r="H457">
        <f>IF(ISBLANK('Q:\Abteilungsprojekte\eng\EngData\AOS\Allgemein\[LabSamples2025.xlsx]Bioplastic'!H457)," ",'Q:\Abteilungsprojekte\eng\EngData\AOS\Allgemein\[LabSamples2025.xlsx]Bioplastic'!H457)</f>
        <v/>
      </c>
    </row>
    <row r="458">
      <c r="A458">
        <f>IF(ISBLANK('Q:\Abteilungsprojekte\eng\EngData\AOS\Allgemein\[LabSamples2025.xlsx]Bioplastic'!A458)," ",'Q:\Abteilungsprojekte\eng\EngData\AOS\Allgemein\[LabSamples2025.xlsx]Bioplastic'!A458)</f>
        <v/>
      </c>
      <c r="B458">
        <f>IF(ISBLANK('Q:\Abteilungsprojekte\eng\EngData\AOS\Allgemein\[LabSamples2025.xlsx]Bioplastic'!B458)," ",'Q:\Abteilungsprojekte\eng\EngData\AOS\Allgemein\[LabSamples2025.xlsx]Bioplastic'!B458)</f>
        <v/>
      </c>
      <c r="C458">
        <f>IF(ISBLANK('Q:\Abteilungsprojekte\eng\EngData\AOS\Allgemein\[LabSamples2025.xlsx]Bioplastic'!C458)," ",'Q:\Abteilungsprojekte\eng\EngData\AOS\Allgemein\[LabSamples2025.xlsx]Bioplastic'!C458)</f>
        <v/>
      </c>
      <c r="D458">
        <f>IF(ISBLANK('Q:\Abteilungsprojekte\eng\EngData\AOS\Allgemein\[LabSamples2025.xlsx]Bioplastic'!D458)," ",'Q:\Abteilungsprojekte\eng\EngData\AOS\Allgemein\[LabSamples2025.xlsx]Bioplastic'!D458)</f>
        <v/>
      </c>
      <c r="E458">
        <f>IF(ISBLANK('Q:\Abteilungsprojekte\eng\EngData\AOS\Allgemein\[LabSamples2025.xlsx]Bioplastic'!E458)," ",'Q:\Abteilungsprojekte\eng\EngData\AOS\Allgemein\[LabSamples2025.xlsx]Bioplastic'!E458)</f>
        <v/>
      </c>
      <c r="F458">
        <f>IF(ISBLANK('Q:\Abteilungsprojekte\eng\EngData\AOS\Allgemein\[LabSamples2025.xlsx]Bioplastic'!F458)," ",'Q:\Abteilungsprojekte\eng\EngData\AOS\Allgemein\[LabSamples2025.xlsx]Bioplastic'!F458)</f>
        <v/>
      </c>
      <c r="G458">
        <f>IF(ISBLANK('Q:\Abteilungsprojekte\eng\EngData\AOS\Allgemein\[LabSamples2025.xlsx]Bioplastic'!G458)," ",'Q:\Abteilungsprojekte\eng\EngData\AOS\Allgemein\[LabSamples2025.xlsx]Bioplastic'!G458)</f>
        <v/>
      </c>
      <c r="H458">
        <f>IF(ISBLANK('Q:\Abteilungsprojekte\eng\EngData\AOS\Allgemein\[LabSamples2025.xlsx]Bioplastic'!H458)," ",'Q:\Abteilungsprojekte\eng\EngData\AOS\Allgemein\[LabSamples2025.xlsx]Bioplastic'!H458)</f>
        <v/>
      </c>
    </row>
    <row r="459">
      <c r="A459">
        <f>IF(ISBLANK('Q:\Abteilungsprojekte\eng\EngData\AOS\Allgemein\[LabSamples2025.xlsx]Bioplastic'!A459)," ",'Q:\Abteilungsprojekte\eng\EngData\AOS\Allgemein\[LabSamples2025.xlsx]Bioplastic'!A459)</f>
        <v/>
      </c>
      <c r="B459">
        <f>IF(ISBLANK('Q:\Abteilungsprojekte\eng\EngData\AOS\Allgemein\[LabSamples2025.xlsx]Bioplastic'!B459)," ",'Q:\Abteilungsprojekte\eng\EngData\AOS\Allgemein\[LabSamples2025.xlsx]Bioplastic'!B459)</f>
        <v/>
      </c>
      <c r="C459">
        <f>IF(ISBLANK('Q:\Abteilungsprojekte\eng\EngData\AOS\Allgemein\[LabSamples2025.xlsx]Bioplastic'!C459)," ",'Q:\Abteilungsprojekte\eng\EngData\AOS\Allgemein\[LabSamples2025.xlsx]Bioplastic'!C459)</f>
        <v/>
      </c>
      <c r="D459">
        <f>IF(ISBLANK('Q:\Abteilungsprojekte\eng\EngData\AOS\Allgemein\[LabSamples2025.xlsx]Bioplastic'!D459)," ",'Q:\Abteilungsprojekte\eng\EngData\AOS\Allgemein\[LabSamples2025.xlsx]Bioplastic'!D459)</f>
        <v/>
      </c>
      <c r="E459">
        <f>IF(ISBLANK('Q:\Abteilungsprojekte\eng\EngData\AOS\Allgemein\[LabSamples2025.xlsx]Bioplastic'!E459)," ",'Q:\Abteilungsprojekte\eng\EngData\AOS\Allgemein\[LabSamples2025.xlsx]Bioplastic'!E459)</f>
        <v/>
      </c>
      <c r="F459">
        <f>IF(ISBLANK('Q:\Abteilungsprojekte\eng\EngData\AOS\Allgemein\[LabSamples2025.xlsx]Bioplastic'!F459)," ",'Q:\Abteilungsprojekte\eng\EngData\AOS\Allgemein\[LabSamples2025.xlsx]Bioplastic'!F459)</f>
        <v/>
      </c>
      <c r="G459">
        <f>IF(ISBLANK('Q:\Abteilungsprojekte\eng\EngData\AOS\Allgemein\[LabSamples2025.xlsx]Bioplastic'!G459)," ",'Q:\Abteilungsprojekte\eng\EngData\AOS\Allgemein\[LabSamples2025.xlsx]Bioplastic'!G459)</f>
        <v/>
      </c>
      <c r="H459">
        <f>IF(ISBLANK('Q:\Abteilungsprojekte\eng\EngData\AOS\Allgemein\[LabSamples2025.xlsx]Bioplastic'!H459)," ",'Q:\Abteilungsprojekte\eng\EngData\AOS\Allgemein\[LabSamples2025.xlsx]Bioplastic'!H459)</f>
        <v/>
      </c>
    </row>
    <row r="460">
      <c r="A460">
        <f>IF(ISBLANK('Q:\Abteilungsprojekte\eng\EngData\AOS\Allgemein\[LabSamples2025.xlsx]Bioplastic'!A460)," ",'Q:\Abteilungsprojekte\eng\EngData\AOS\Allgemein\[LabSamples2025.xlsx]Bioplastic'!A460)</f>
        <v/>
      </c>
      <c r="B460">
        <f>IF(ISBLANK('Q:\Abteilungsprojekte\eng\EngData\AOS\Allgemein\[LabSamples2025.xlsx]Bioplastic'!B460)," ",'Q:\Abteilungsprojekte\eng\EngData\AOS\Allgemein\[LabSamples2025.xlsx]Bioplastic'!B460)</f>
        <v/>
      </c>
      <c r="C460">
        <f>IF(ISBLANK('Q:\Abteilungsprojekte\eng\EngData\AOS\Allgemein\[LabSamples2025.xlsx]Bioplastic'!C460)," ",'Q:\Abteilungsprojekte\eng\EngData\AOS\Allgemein\[LabSamples2025.xlsx]Bioplastic'!C460)</f>
        <v/>
      </c>
      <c r="D460">
        <f>IF(ISBLANK('Q:\Abteilungsprojekte\eng\EngData\AOS\Allgemein\[LabSamples2025.xlsx]Bioplastic'!D460)," ",'Q:\Abteilungsprojekte\eng\EngData\AOS\Allgemein\[LabSamples2025.xlsx]Bioplastic'!D460)</f>
        <v/>
      </c>
      <c r="E460">
        <f>IF(ISBLANK('Q:\Abteilungsprojekte\eng\EngData\AOS\Allgemein\[LabSamples2025.xlsx]Bioplastic'!E460)," ",'Q:\Abteilungsprojekte\eng\EngData\AOS\Allgemein\[LabSamples2025.xlsx]Bioplastic'!E460)</f>
        <v/>
      </c>
      <c r="F460">
        <f>IF(ISBLANK('Q:\Abteilungsprojekte\eng\EngData\AOS\Allgemein\[LabSamples2025.xlsx]Bioplastic'!F460)," ",'Q:\Abteilungsprojekte\eng\EngData\AOS\Allgemein\[LabSamples2025.xlsx]Bioplastic'!F460)</f>
        <v/>
      </c>
      <c r="G460">
        <f>IF(ISBLANK('Q:\Abteilungsprojekte\eng\EngData\AOS\Allgemein\[LabSamples2025.xlsx]Bioplastic'!G460)," ",'Q:\Abteilungsprojekte\eng\EngData\AOS\Allgemein\[LabSamples2025.xlsx]Bioplastic'!G460)</f>
        <v/>
      </c>
      <c r="H460">
        <f>IF(ISBLANK('Q:\Abteilungsprojekte\eng\EngData\AOS\Allgemein\[LabSamples2025.xlsx]Bioplastic'!H460)," ",'Q:\Abteilungsprojekte\eng\EngData\AOS\Allgemein\[LabSamples2025.xlsx]Bioplastic'!H460)</f>
        <v/>
      </c>
    </row>
    <row r="461">
      <c r="A461">
        <f>IF(ISBLANK('Q:\Abteilungsprojekte\eng\EngData\AOS\Allgemein\[LabSamples2025.xlsx]Bioplastic'!A461)," ",'Q:\Abteilungsprojekte\eng\EngData\AOS\Allgemein\[LabSamples2025.xlsx]Bioplastic'!A461)</f>
        <v/>
      </c>
      <c r="B461">
        <f>IF(ISBLANK('Q:\Abteilungsprojekte\eng\EngData\AOS\Allgemein\[LabSamples2025.xlsx]Bioplastic'!B461)," ",'Q:\Abteilungsprojekte\eng\EngData\AOS\Allgemein\[LabSamples2025.xlsx]Bioplastic'!B461)</f>
        <v/>
      </c>
      <c r="C461">
        <f>IF(ISBLANK('Q:\Abteilungsprojekte\eng\EngData\AOS\Allgemein\[LabSamples2025.xlsx]Bioplastic'!C461)," ",'Q:\Abteilungsprojekte\eng\EngData\AOS\Allgemein\[LabSamples2025.xlsx]Bioplastic'!C461)</f>
        <v/>
      </c>
      <c r="D461">
        <f>IF(ISBLANK('Q:\Abteilungsprojekte\eng\EngData\AOS\Allgemein\[LabSamples2025.xlsx]Bioplastic'!D461)," ",'Q:\Abteilungsprojekte\eng\EngData\AOS\Allgemein\[LabSamples2025.xlsx]Bioplastic'!D461)</f>
        <v/>
      </c>
      <c r="E461">
        <f>IF(ISBLANK('Q:\Abteilungsprojekte\eng\EngData\AOS\Allgemein\[LabSamples2025.xlsx]Bioplastic'!E461)," ",'Q:\Abteilungsprojekte\eng\EngData\AOS\Allgemein\[LabSamples2025.xlsx]Bioplastic'!E461)</f>
        <v/>
      </c>
      <c r="F461">
        <f>IF(ISBLANK('Q:\Abteilungsprojekte\eng\EngData\AOS\Allgemein\[LabSamples2025.xlsx]Bioplastic'!F461)," ",'Q:\Abteilungsprojekte\eng\EngData\AOS\Allgemein\[LabSamples2025.xlsx]Bioplastic'!F461)</f>
        <v/>
      </c>
      <c r="G461">
        <f>IF(ISBLANK('Q:\Abteilungsprojekte\eng\EngData\AOS\Allgemein\[LabSamples2025.xlsx]Bioplastic'!G461)," ",'Q:\Abteilungsprojekte\eng\EngData\AOS\Allgemein\[LabSamples2025.xlsx]Bioplastic'!G461)</f>
        <v/>
      </c>
      <c r="H461">
        <f>IF(ISBLANK('Q:\Abteilungsprojekte\eng\EngData\AOS\Allgemein\[LabSamples2025.xlsx]Bioplastic'!H461)," ",'Q:\Abteilungsprojekte\eng\EngData\AOS\Allgemein\[LabSamples2025.xlsx]Bioplastic'!H461)</f>
        <v/>
      </c>
    </row>
    <row r="462">
      <c r="A462">
        <f>IF(ISBLANK('Q:\Abteilungsprojekte\eng\EngData\AOS\Allgemein\[LabSamples2025.xlsx]Bioplastic'!A462)," ",'Q:\Abteilungsprojekte\eng\EngData\AOS\Allgemein\[LabSamples2025.xlsx]Bioplastic'!A462)</f>
        <v/>
      </c>
      <c r="B462">
        <f>IF(ISBLANK('Q:\Abteilungsprojekte\eng\EngData\AOS\Allgemein\[LabSamples2025.xlsx]Bioplastic'!B462)," ",'Q:\Abteilungsprojekte\eng\EngData\AOS\Allgemein\[LabSamples2025.xlsx]Bioplastic'!B462)</f>
        <v/>
      </c>
      <c r="C462">
        <f>IF(ISBLANK('Q:\Abteilungsprojekte\eng\EngData\AOS\Allgemein\[LabSamples2025.xlsx]Bioplastic'!C462)," ",'Q:\Abteilungsprojekte\eng\EngData\AOS\Allgemein\[LabSamples2025.xlsx]Bioplastic'!C462)</f>
        <v/>
      </c>
      <c r="D462">
        <f>IF(ISBLANK('Q:\Abteilungsprojekte\eng\EngData\AOS\Allgemein\[LabSamples2025.xlsx]Bioplastic'!D462)," ",'Q:\Abteilungsprojekte\eng\EngData\AOS\Allgemein\[LabSamples2025.xlsx]Bioplastic'!D462)</f>
        <v/>
      </c>
      <c r="E462">
        <f>IF(ISBLANK('Q:\Abteilungsprojekte\eng\EngData\AOS\Allgemein\[LabSamples2025.xlsx]Bioplastic'!E462)," ",'Q:\Abteilungsprojekte\eng\EngData\AOS\Allgemein\[LabSamples2025.xlsx]Bioplastic'!E462)</f>
        <v/>
      </c>
      <c r="F462">
        <f>IF(ISBLANK('Q:\Abteilungsprojekte\eng\EngData\AOS\Allgemein\[LabSamples2025.xlsx]Bioplastic'!F462)," ",'Q:\Abteilungsprojekte\eng\EngData\AOS\Allgemein\[LabSamples2025.xlsx]Bioplastic'!F462)</f>
        <v/>
      </c>
      <c r="G462">
        <f>IF(ISBLANK('Q:\Abteilungsprojekte\eng\EngData\AOS\Allgemein\[LabSamples2025.xlsx]Bioplastic'!G462)," ",'Q:\Abteilungsprojekte\eng\EngData\AOS\Allgemein\[LabSamples2025.xlsx]Bioplastic'!G462)</f>
        <v/>
      </c>
      <c r="H462">
        <f>IF(ISBLANK('Q:\Abteilungsprojekte\eng\EngData\AOS\Allgemein\[LabSamples2025.xlsx]Bioplastic'!H462)," ",'Q:\Abteilungsprojekte\eng\EngData\AOS\Allgemein\[LabSamples2025.xlsx]Bioplastic'!H462)</f>
        <v/>
      </c>
    </row>
    <row r="463">
      <c r="A463">
        <f>IF(ISBLANK('Q:\Abteilungsprojekte\eng\EngData\AOS\Allgemein\[LabSamples2025.xlsx]Bioplastic'!A463)," ",'Q:\Abteilungsprojekte\eng\EngData\AOS\Allgemein\[LabSamples2025.xlsx]Bioplastic'!A463)</f>
        <v/>
      </c>
      <c r="B463">
        <f>IF(ISBLANK('Q:\Abteilungsprojekte\eng\EngData\AOS\Allgemein\[LabSamples2025.xlsx]Bioplastic'!B463)," ",'Q:\Abteilungsprojekte\eng\EngData\AOS\Allgemein\[LabSamples2025.xlsx]Bioplastic'!B463)</f>
        <v/>
      </c>
      <c r="C463">
        <f>IF(ISBLANK('Q:\Abteilungsprojekte\eng\EngData\AOS\Allgemein\[LabSamples2025.xlsx]Bioplastic'!C463)," ",'Q:\Abteilungsprojekte\eng\EngData\AOS\Allgemein\[LabSamples2025.xlsx]Bioplastic'!C463)</f>
        <v/>
      </c>
      <c r="D463">
        <f>IF(ISBLANK('Q:\Abteilungsprojekte\eng\EngData\AOS\Allgemein\[LabSamples2025.xlsx]Bioplastic'!D463)," ",'Q:\Abteilungsprojekte\eng\EngData\AOS\Allgemein\[LabSamples2025.xlsx]Bioplastic'!D463)</f>
        <v/>
      </c>
      <c r="E463">
        <f>IF(ISBLANK('Q:\Abteilungsprojekte\eng\EngData\AOS\Allgemein\[LabSamples2025.xlsx]Bioplastic'!E463)," ",'Q:\Abteilungsprojekte\eng\EngData\AOS\Allgemein\[LabSamples2025.xlsx]Bioplastic'!E463)</f>
        <v/>
      </c>
      <c r="F463">
        <f>IF(ISBLANK('Q:\Abteilungsprojekte\eng\EngData\AOS\Allgemein\[LabSamples2025.xlsx]Bioplastic'!F463)," ",'Q:\Abteilungsprojekte\eng\EngData\AOS\Allgemein\[LabSamples2025.xlsx]Bioplastic'!F463)</f>
        <v/>
      </c>
      <c r="G463">
        <f>IF(ISBLANK('Q:\Abteilungsprojekte\eng\EngData\AOS\Allgemein\[LabSamples2025.xlsx]Bioplastic'!G463)," ",'Q:\Abteilungsprojekte\eng\EngData\AOS\Allgemein\[LabSamples2025.xlsx]Bioplastic'!G463)</f>
        <v/>
      </c>
      <c r="H463">
        <f>IF(ISBLANK('Q:\Abteilungsprojekte\eng\EngData\AOS\Allgemein\[LabSamples2025.xlsx]Bioplastic'!H463)," ",'Q:\Abteilungsprojekte\eng\EngData\AOS\Allgemein\[LabSamples2025.xlsx]Bioplastic'!H463)</f>
        <v/>
      </c>
    </row>
    <row r="464">
      <c r="A464">
        <f>IF(ISBLANK('Q:\Abteilungsprojekte\eng\EngData\AOS\Allgemein\[LabSamples2025.xlsx]Bioplastic'!A464)," ",'Q:\Abteilungsprojekte\eng\EngData\AOS\Allgemein\[LabSamples2025.xlsx]Bioplastic'!A464)</f>
        <v/>
      </c>
      <c r="B464">
        <f>IF(ISBLANK('Q:\Abteilungsprojekte\eng\EngData\AOS\Allgemein\[LabSamples2025.xlsx]Bioplastic'!B464)," ",'Q:\Abteilungsprojekte\eng\EngData\AOS\Allgemein\[LabSamples2025.xlsx]Bioplastic'!B464)</f>
        <v/>
      </c>
      <c r="C464">
        <f>IF(ISBLANK('Q:\Abteilungsprojekte\eng\EngData\AOS\Allgemein\[LabSamples2025.xlsx]Bioplastic'!C464)," ",'Q:\Abteilungsprojekte\eng\EngData\AOS\Allgemein\[LabSamples2025.xlsx]Bioplastic'!C464)</f>
        <v/>
      </c>
      <c r="D464">
        <f>IF(ISBLANK('Q:\Abteilungsprojekte\eng\EngData\AOS\Allgemein\[LabSamples2025.xlsx]Bioplastic'!D464)," ",'Q:\Abteilungsprojekte\eng\EngData\AOS\Allgemein\[LabSamples2025.xlsx]Bioplastic'!D464)</f>
        <v/>
      </c>
      <c r="E464">
        <f>IF(ISBLANK('Q:\Abteilungsprojekte\eng\EngData\AOS\Allgemein\[LabSamples2025.xlsx]Bioplastic'!E464)," ",'Q:\Abteilungsprojekte\eng\EngData\AOS\Allgemein\[LabSamples2025.xlsx]Bioplastic'!E464)</f>
        <v/>
      </c>
      <c r="F464">
        <f>IF(ISBLANK('Q:\Abteilungsprojekte\eng\EngData\AOS\Allgemein\[LabSamples2025.xlsx]Bioplastic'!F464)," ",'Q:\Abteilungsprojekte\eng\EngData\AOS\Allgemein\[LabSamples2025.xlsx]Bioplastic'!F464)</f>
        <v/>
      </c>
      <c r="G464">
        <f>IF(ISBLANK('Q:\Abteilungsprojekte\eng\EngData\AOS\Allgemein\[LabSamples2025.xlsx]Bioplastic'!G464)," ",'Q:\Abteilungsprojekte\eng\EngData\AOS\Allgemein\[LabSamples2025.xlsx]Bioplastic'!G464)</f>
        <v/>
      </c>
      <c r="H464">
        <f>IF(ISBLANK('Q:\Abteilungsprojekte\eng\EngData\AOS\Allgemein\[LabSamples2025.xlsx]Bioplastic'!H464)," ",'Q:\Abteilungsprojekte\eng\EngData\AOS\Allgemein\[LabSamples2025.xlsx]Bioplastic'!H464)</f>
        <v/>
      </c>
    </row>
    <row r="465">
      <c r="A465">
        <f>IF(ISBLANK('Q:\Abteilungsprojekte\eng\EngData\AOS\Allgemein\[LabSamples2025.xlsx]Bioplastic'!A465)," ",'Q:\Abteilungsprojekte\eng\EngData\AOS\Allgemein\[LabSamples2025.xlsx]Bioplastic'!A465)</f>
        <v/>
      </c>
      <c r="B465">
        <f>IF(ISBLANK('Q:\Abteilungsprojekte\eng\EngData\AOS\Allgemein\[LabSamples2025.xlsx]Bioplastic'!B465)," ",'Q:\Abteilungsprojekte\eng\EngData\AOS\Allgemein\[LabSamples2025.xlsx]Bioplastic'!B465)</f>
        <v/>
      </c>
      <c r="C465">
        <f>IF(ISBLANK('Q:\Abteilungsprojekte\eng\EngData\AOS\Allgemein\[LabSamples2025.xlsx]Bioplastic'!C465)," ",'Q:\Abteilungsprojekte\eng\EngData\AOS\Allgemein\[LabSamples2025.xlsx]Bioplastic'!C465)</f>
        <v/>
      </c>
      <c r="D465">
        <f>IF(ISBLANK('Q:\Abteilungsprojekte\eng\EngData\AOS\Allgemein\[LabSamples2025.xlsx]Bioplastic'!D465)," ",'Q:\Abteilungsprojekte\eng\EngData\AOS\Allgemein\[LabSamples2025.xlsx]Bioplastic'!D465)</f>
        <v/>
      </c>
      <c r="E465">
        <f>IF(ISBLANK('Q:\Abteilungsprojekte\eng\EngData\AOS\Allgemein\[LabSamples2025.xlsx]Bioplastic'!E465)," ",'Q:\Abteilungsprojekte\eng\EngData\AOS\Allgemein\[LabSamples2025.xlsx]Bioplastic'!E465)</f>
        <v/>
      </c>
      <c r="F465">
        <f>IF(ISBLANK('Q:\Abteilungsprojekte\eng\EngData\AOS\Allgemein\[LabSamples2025.xlsx]Bioplastic'!F465)," ",'Q:\Abteilungsprojekte\eng\EngData\AOS\Allgemein\[LabSamples2025.xlsx]Bioplastic'!F465)</f>
        <v/>
      </c>
      <c r="G465">
        <f>IF(ISBLANK('Q:\Abteilungsprojekte\eng\EngData\AOS\Allgemein\[LabSamples2025.xlsx]Bioplastic'!G465)," ",'Q:\Abteilungsprojekte\eng\EngData\AOS\Allgemein\[LabSamples2025.xlsx]Bioplastic'!G465)</f>
        <v/>
      </c>
      <c r="H465">
        <f>IF(ISBLANK('Q:\Abteilungsprojekte\eng\EngData\AOS\Allgemein\[LabSamples2025.xlsx]Bioplastic'!H465)," ",'Q:\Abteilungsprojekte\eng\EngData\AOS\Allgemein\[LabSamples2025.xlsx]Bioplastic'!H465)</f>
        <v/>
      </c>
    </row>
    <row r="466">
      <c r="A466">
        <f>IF(ISBLANK('Q:\Abteilungsprojekte\eng\EngData\AOS\Allgemein\[LabSamples2025.xlsx]Bioplastic'!A466)," ",'Q:\Abteilungsprojekte\eng\EngData\AOS\Allgemein\[LabSamples2025.xlsx]Bioplastic'!A466)</f>
        <v/>
      </c>
      <c r="B466">
        <f>IF(ISBLANK('Q:\Abteilungsprojekte\eng\EngData\AOS\Allgemein\[LabSamples2025.xlsx]Bioplastic'!B466)," ",'Q:\Abteilungsprojekte\eng\EngData\AOS\Allgemein\[LabSamples2025.xlsx]Bioplastic'!B466)</f>
        <v/>
      </c>
      <c r="C466">
        <f>IF(ISBLANK('Q:\Abteilungsprojekte\eng\EngData\AOS\Allgemein\[LabSamples2025.xlsx]Bioplastic'!C466)," ",'Q:\Abteilungsprojekte\eng\EngData\AOS\Allgemein\[LabSamples2025.xlsx]Bioplastic'!C466)</f>
        <v/>
      </c>
      <c r="D466">
        <f>IF(ISBLANK('Q:\Abteilungsprojekte\eng\EngData\AOS\Allgemein\[LabSamples2025.xlsx]Bioplastic'!D466)," ",'Q:\Abteilungsprojekte\eng\EngData\AOS\Allgemein\[LabSamples2025.xlsx]Bioplastic'!D466)</f>
        <v/>
      </c>
      <c r="E466">
        <f>IF(ISBLANK('Q:\Abteilungsprojekte\eng\EngData\AOS\Allgemein\[LabSamples2025.xlsx]Bioplastic'!E466)," ",'Q:\Abteilungsprojekte\eng\EngData\AOS\Allgemein\[LabSamples2025.xlsx]Bioplastic'!E466)</f>
        <v/>
      </c>
      <c r="F466">
        <f>IF(ISBLANK('Q:\Abteilungsprojekte\eng\EngData\AOS\Allgemein\[LabSamples2025.xlsx]Bioplastic'!F466)," ",'Q:\Abteilungsprojekte\eng\EngData\AOS\Allgemein\[LabSamples2025.xlsx]Bioplastic'!F466)</f>
        <v/>
      </c>
      <c r="G466">
        <f>IF(ISBLANK('Q:\Abteilungsprojekte\eng\EngData\AOS\Allgemein\[LabSamples2025.xlsx]Bioplastic'!G466)," ",'Q:\Abteilungsprojekte\eng\EngData\AOS\Allgemein\[LabSamples2025.xlsx]Bioplastic'!G466)</f>
        <v/>
      </c>
      <c r="H466">
        <f>IF(ISBLANK('Q:\Abteilungsprojekte\eng\EngData\AOS\Allgemein\[LabSamples2025.xlsx]Bioplastic'!H466)," ",'Q:\Abteilungsprojekte\eng\EngData\AOS\Allgemein\[LabSamples2025.xlsx]Bioplastic'!H466)</f>
        <v/>
      </c>
    </row>
    <row r="467">
      <c r="A467">
        <f>IF(ISBLANK('Q:\Abteilungsprojekte\eng\EngData\AOS\Allgemein\[LabSamples2025.xlsx]Bioplastic'!A467)," ",'Q:\Abteilungsprojekte\eng\EngData\AOS\Allgemein\[LabSamples2025.xlsx]Bioplastic'!A467)</f>
        <v/>
      </c>
      <c r="B467">
        <f>IF(ISBLANK('Q:\Abteilungsprojekte\eng\EngData\AOS\Allgemein\[LabSamples2025.xlsx]Bioplastic'!B467)," ",'Q:\Abteilungsprojekte\eng\EngData\AOS\Allgemein\[LabSamples2025.xlsx]Bioplastic'!B467)</f>
        <v/>
      </c>
      <c r="C467">
        <f>IF(ISBLANK('Q:\Abteilungsprojekte\eng\EngData\AOS\Allgemein\[LabSamples2025.xlsx]Bioplastic'!C467)," ",'Q:\Abteilungsprojekte\eng\EngData\AOS\Allgemein\[LabSamples2025.xlsx]Bioplastic'!C467)</f>
        <v/>
      </c>
      <c r="D467">
        <f>IF(ISBLANK('Q:\Abteilungsprojekte\eng\EngData\AOS\Allgemein\[LabSamples2025.xlsx]Bioplastic'!D467)," ",'Q:\Abteilungsprojekte\eng\EngData\AOS\Allgemein\[LabSamples2025.xlsx]Bioplastic'!D467)</f>
        <v/>
      </c>
      <c r="E467">
        <f>IF(ISBLANK('Q:\Abteilungsprojekte\eng\EngData\AOS\Allgemein\[LabSamples2025.xlsx]Bioplastic'!E467)," ",'Q:\Abteilungsprojekte\eng\EngData\AOS\Allgemein\[LabSamples2025.xlsx]Bioplastic'!E467)</f>
        <v/>
      </c>
      <c r="F467">
        <f>IF(ISBLANK('Q:\Abteilungsprojekte\eng\EngData\AOS\Allgemein\[LabSamples2025.xlsx]Bioplastic'!F467)," ",'Q:\Abteilungsprojekte\eng\EngData\AOS\Allgemein\[LabSamples2025.xlsx]Bioplastic'!F467)</f>
        <v/>
      </c>
      <c r="G467">
        <f>IF(ISBLANK('Q:\Abteilungsprojekte\eng\EngData\AOS\Allgemein\[LabSamples2025.xlsx]Bioplastic'!G467)," ",'Q:\Abteilungsprojekte\eng\EngData\AOS\Allgemein\[LabSamples2025.xlsx]Bioplastic'!G467)</f>
        <v/>
      </c>
      <c r="H467">
        <f>IF(ISBLANK('Q:\Abteilungsprojekte\eng\EngData\AOS\Allgemein\[LabSamples2025.xlsx]Bioplastic'!H467)," ",'Q:\Abteilungsprojekte\eng\EngData\AOS\Allgemein\[LabSamples2025.xlsx]Bioplastic'!H467)</f>
        <v/>
      </c>
    </row>
    <row r="468">
      <c r="A468">
        <f>IF(ISBLANK('Q:\Abteilungsprojekte\eng\EngData\AOS\Allgemein\[LabSamples2025.xlsx]Bioplastic'!A468)," ",'Q:\Abteilungsprojekte\eng\EngData\AOS\Allgemein\[LabSamples2025.xlsx]Bioplastic'!A468)</f>
        <v/>
      </c>
      <c r="B468">
        <f>IF(ISBLANK('Q:\Abteilungsprojekte\eng\EngData\AOS\Allgemein\[LabSamples2025.xlsx]Bioplastic'!B468)," ",'Q:\Abteilungsprojekte\eng\EngData\AOS\Allgemein\[LabSamples2025.xlsx]Bioplastic'!B468)</f>
        <v/>
      </c>
      <c r="C468">
        <f>IF(ISBLANK('Q:\Abteilungsprojekte\eng\EngData\AOS\Allgemein\[LabSamples2025.xlsx]Bioplastic'!C468)," ",'Q:\Abteilungsprojekte\eng\EngData\AOS\Allgemein\[LabSamples2025.xlsx]Bioplastic'!C468)</f>
        <v/>
      </c>
      <c r="D468">
        <f>IF(ISBLANK('Q:\Abteilungsprojekte\eng\EngData\AOS\Allgemein\[LabSamples2025.xlsx]Bioplastic'!D468)," ",'Q:\Abteilungsprojekte\eng\EngData\AOS\Allgemein\[LabSamples2025.xlsx]Bioplastic'!D468)</f>
        <v/>
      </c>
      <c r="E468">
        <f>IF(ISBLANK('Q:\Abteilungsprojekte\eng\EngData\AOS\Allgemein\[LabSamples2025.xlsx]Bioplastic'!E468)," ",'Q:\Abteilungsprojekte\eng\EngData\AOS\Allgemein\[LabSamples2025.xlsx]Bioplastic'!E468)</f>
        <v/>
      </c>
      <c r="F468">
        <f>IF(ISBLANK('Q:\Abteilungsprojekte\eng\EngData\AOS\Allgemein\[LabSamples2025.xlsx]Bioplastic'!F468)," ",'Q:\Abteilungsprojekte\eng\EngData\AOS\Allgemein\[LabSamples2025.xlsx]Bioplastic'!F468)</f>
        <v/>
      </c>
      <c r="G468">
        <f>IF(ISBLANK('Q:\Abteilungsprojekte\eng\EngData\AOS\Allgemein\[LabSamples2025.xlsx]Bioplastic'!G468)," ",'Q:\Abteilungsprojekte\eng\EngData\AOS\Allgemein\[LabSamples2025.xlsx]Bioplastic'!G468)</f>
        <v/>
      </c>
      <c r="H468">
        <f>IF(ISBLANK('Q:\Abteilungsprojekte\eng\EngData\AOS\Allgemein\[LabSamples2025.xlsx]Bioplastic'!H468)," ",'Q:\Abteilungsprojekte\eng\EngData\AOS\Allgemein\[LabSamples2025.xlsx]Bioplastic'!H468)</f>
        <v/>
      </c>
    </row>
    <row r="469">
      <c r="A469">
        <f>IF(ISBLANK('Q:\Abteilungsprojekte\eng\EngData\AOS\Allgemein\[LabSamples2025.xlsx]Bioplastic'!A469)," ",'Q:\Abteilungsprojekte\eng\EngData\AOS\Allgemein\[LabSamples2025.xlsx]Bioplastic'!A469)</f>
        <v/>
      </c>
      <c r="B469">
        <f>IF(ISBLANK('Q:\Abteilungsprojekte\eng\EngData\AOS\Allgemein\[LabSamples2025.xlsx]Bioplastic'!B469)," ",'Q:\Abteilungsprojekte\eng\EngData\AOS\Allgemein\[LabSamples2025.xlsx]Bioplastic'!B469)</f>
        <v/>
      </c>
      <c r="C469">
        <f>IF(ISBLANK('Q:\Abteilungsprojekte\eng\EngData\AOS\Allgemein\[LabSamples2025.xlsx]Bioplastic'!C469)," ",'Q:\Abteilungsprojekte\eng\EngData\AOS\Allgemein\[LabSamples2025.xlsx]Bioplastic'!C469)</f>
        <v/>
      </c>
      <c r="D469">
        <f>IF(ISBLANK('Q:\Abteilungsprojekte\eng\EngData\AOS\Allgemein\[LabSamples2025.xlsx]Bioplastic'!D469)," ",'Q:\Abteilungsprojekte\eng\EngData\AOS\Allgemein\[LabSamples2025.xlsx]Bioplastic'!D469)</f>
        <v/>
      </c>
      <c r="E469">
        <f>IF(ISBLANK('Q:\Abteilungsprojekte\eng\EngData\AOS\Allgemein\[LabSamples2025.xlsx]Bioplastic'!E469)," ",'Q:\Abteilungsprojekte\eng\EngData\AOS\Allgemein\[LabSamples2025.xlsx]Bioplastic'!E469)</f>
        <v/>
      </c>
      <c r="F469">
        <f>IF(ISBLANK('Q:\Abteilungsprojekte\eng\EngData\AOS\Allgemein\[LabSamples2025.xlsx]Bioplastic'!F469)," ",'Q:\Abteilungsprojekte\eng\EngData\AOS\Allgemein\[LabSamples2025.xlsx]Bioplastic'!F469)</f>
        <v/>
      </c>
      <c r="G469">
        <f>IF(ISBLANK('Q:\Abteilungsprojekte\eng\EngData\AOS\Allgemein\[LabSamples2025.xlsx]Bioplastic'!G469)," ",'Q:\Abteilungsprojekte\eng\EngData\AOS\Allgemein\[LabSamples2025.xlsx]Bioplastic'!G469)</f>
        <v/>
      </c>
      <c r="H469">
        <f>IF(ISBLANK('Q:\Abteilungsprojekte\eng\EngData\AOS\Allgemein\[LabSamples2025.xlsx]Bioplastic'!H469)," ",'Q:\Abteilungsprojekte\eng\EngData\AOS\Allgemein\[LabSamples2025.xlsx]Bioplastic'!H469)</f>
        <v/>
      </c>
    </row>
    <row r="470">
      <c r="A470">
        <f>IF(ISBLANK('Q:\Abteilungsprojekte\eng\EngData\AOS\Allgemein\[LabSamples2025.xlsx]Bioplastic'!A470)," ",'Q:\Abteilungsprojekte\eng\EngData\AOS\Allgemein\[LabSamples2025.xlsx]Bioplastic'!A470)</f>
        <v/>
      </c>
      <c r="B470">
        <f>IF(ISBLANK('Q:\Abteilungsprojekte\eng\EngData\AOS\Allgemein\[LabSamples2025.xlsx]Bioplastic'!B470)," ",'Q:\Abteilungsprojekte\eng\EngData\AOS\Allgemein\[LabSamples2025.xlsx]Bioplastic'!B470)</f>
        <v/>
      </c>
      <c r="C470">
        <f>IF(ISBLANK('Q:\Abteilungsprojekte\eng\EngData\AOS\Allgemein\[LabSamples2025.xlsx]Bioplastic'!C470)," ",'Q:\Abteilungsprojekte\eng\EngData\AOS\Allgemein\[LabSamples2025.xlsx]Bioplastic'!C470)</f>
        <v/>
      </c>
      <c r="D470">
        <f>IF(ISBLANK('Q:\Abteilungsprojekte\eng\EngData\AOS\Allgemein\[LabSamples2025.xlsx]Bioplastic'!D470)," ",'Q:\Abteilungsprojekte\eng\EngData\AOS\Allgemein\[LabSamples2025.xlsx]Bioplastic'!D470)</f>
        <v/>
      </c>
      <c r="E470">
        <f>IF(ISBLANK('Q:\Abteilungsprojekte\eng\EngData\AOS\Allgemein\[LabSamples2025.xlsx]Bioplastic'!E470)," ",'Q:\Abteilungsprojekte\eng\EngData\AOS\Allgemein\[LabSamples2025.xlsx]Bioplastic'!E470)</f>
        <v/>
      </c>
      <c r="F470">
        <f>IF(ISBLANK('Q:\Abteilungsprojekte\eng\EngData\AOS\Allgemein\[LabSamples2025.xlsx]Bioplastic'!F470)," ",'Q:\Abteilungsprojekte\eng\EngData\AOS\Allgemein\[LabSamples2025.xlsx]Bioplastic'!F470)</f>
        <v/>
      </c>
      <c r="G470">
        <f>IF(ISBLANK('Q:\Abteilungsprojekte\eng\EngData\AOS\Allgemein\[LabSamples2025.xlsx]Bioplastic'!G470)," ",'Q:\Abteilungsprojekte\eng\EngData\AOS\Allgemein\[LabSamples2025.xlsx]Bioplastic'!G470)</f>
        <v/>
      </c>
      <c r="H470">
        <f>IF(ISBLANK('Q:\Abteilungsprojekte\eng\EngData\AOS\Allgemein\[LabSamples2025.xlsx]Bioplastic'!H470)," ",'Q:\Abteilungsprojekte\eng\EngData\AOS\Allgemein\[LabSamples2025.xlsx]Bioplastic'!H470)</f>
        <v/>
      </c>
    </row>
    <row r="471">
      <c r="A471">
        <f>IF(ISBLANK('Q:\Abteilungsprojekte\eng\EngData\AOS\Allgemein\[LabSamples2025.xlsx]Bioplastic'!A471)," ",'Q:\Abteilungsprojekte\eng\EngData\AOS\Allgemein\[LabSamples2025.xlsx]Bioplastic'!A471)</f>
        <v/>
      </c>
      <c r="B471">
        <f>IF(ISBLANK('Q:\Abteilungsprojekte\eng\EngData\AOS\Allgemein\[LabSamples2025.xlsx]Bioplastic'!B471)," ",'Q:\Abteilungsprojekte\eng\EngData\AOS\Allgemein\[LabSamples2025.xlsx]Bioplastic'!B471)</f>
        <v/>
      </c>
      <c r="C471">
        <f>IF(ISBLANK('Q:\Abteilungsprojekte\eng\EngData\AOS\Allgemein\[LabSamples2025.xlsx]Bioplastic'!C471)," ",'Q:\Abteilungsprojekte\eng\EngData\AOS\Allgemein\[LabSamples2025.xlsx]Bioplastic'!C471)</f>
        <v/>
      </c>
      <c r="D471">
        <f>IF(ISBLANK('Q:\Abteilungsprojekte\eng\EngData\AOS\Allgemein\[LabSamples2025.xlsx]Bioplastic'!D471)," ",'Q:\Abteilungsprojekte\eng\EngData\AOS\Allgemein\[LabSamples2025.xlsx]Bioplastic'!D471)</f>
        <v/>
      </c>
      <c r="E471">
        <f>IF(ISBLANK('Q:\Abteilungsprojekte\eng\EngData\AOS\Allgemein\[LabSamples2025.xlsx]Bioplastic'!E471)," ",'Q:\Abteilungsprojekte\eng\EngData\AOS\Allgemein\[LabSamples2025.xlsx]Bioplastic'!E471)</f>
        <v/>
      </c>
      <c r="F471">
        <f>IF(ISBLANK('Q:\Abteilungsprojekte\eng\EngData\AOS\Allgemein\[LabSamples2025.xlsx]Bioplastic'!F471)," ",'Q:\Abteilungsprojekte\eng\EngData\AOS\Allgemein\[LabSamples2025.xlsx]Bioplastic'!F471)</f>
        <v/>
      </c>
      <c r="G471">
        <f>IF(ISBLANK('Q:\Abteilungsprojekte\eng\EngData\AOS\Allgemein\[LabSamples2025.xlsx]Bioplastic'!G471)," ",'Q:\Abteilungsprojekte\eng\EngData\AOS\Allgemein\[LabSamples2025.xlsx]Bioplastic'!G471)</f>
        <v/>
      </c>
      <c r="H471">
        <f>IF(ISBLANK('Q:\Abteilungsprojekte\eng\EngData\AOS\Allgemein\[LabSamples2025.xlsx]Bioplastic'!H471)," ",'Q:\Abteilungsprojekte\eng\EngData\AOS\Allgemein\[LabSamples2025.xlsx]Bioplastic'!H471)</f>
        <v/>
      </c>
    </row>
    <row r="472">
      <c r="A472">
        <f>IF(ISBLANK('Q:\Abteilungsprojekte\eng\EngData\AOS\Allgemein\[LabSamples2025.xlsx]Bioplastic'!A472)," ",'Q:\Abteilungsprojekte\eng\EngData\AOS\Allgemein\[LabSamples2025.xlsx]Bioplastic'!A472)</f>
        <v/>
      </c>
      <c r="B472">
        <f>IF(ISBLANK('Q:\Abteilungsprojekte\eng\EngData\AOS\Allgemein\[LabSamples2025.xlsx]Bioplastic'!B472)," ",'Q:\Abteilungsprojekte\eng\EngData\AOS\Allgemein\[LabSamples2025.xlsx]Bioplastic'!B472)</f>
        <v/>
      </c>
      <c r="C472">
        <f>IF(ISBLANK('Q:\Abteilungsprojekte\eng\EngData\AOS\Allgemein\[LabSamples2025.xlsx]Bioplastic'!C472)," ",'Q:\Abteilungsprojekte\eng\EngData\AOS\Allgemein\[LabSamples2025.xlsx]Bioplastic'!C472)</f>
        <v/>
      </c>
      <c r="D472">
        <f>IF(ISBLANK('Q:\Abteilungsprojekte\eng\EngData\AOS\Allgemein\[LabSamples2025.xlsx]Bioplastic'!D472)," ",'Q:\Abteilungsprojekte\eng\EngData\AOS\Allgemein\[LabSamples2025.xlsx]Bioplastic'!D472)</f>
        <v/>
      </c>
      <c r="E472">
        <f>IF(ISBLANK('Q:\Abteilungsprojekte\eng\EngData\AOS\Allgemein\[LabSamples2025.xlsx]Bioplastic'!E472)," ",'Q:\Abteilungsprojekte\eng\EngData\AOS\Allgemein\[LabSamples2025.xlsx]Bioplastic'!E472)</f>
        <v/>
      </c>
      <c r="F472">
        <f>IF(ISBLANK('Q:\Abteilungsprojekte\eng\EngData\AOS\Allgemein\[LabSamples2025.xlsx]Bioplastic'!F472)," ",'Q:\Abteilungsprojekte\eng\EngData\AOS\Allgemein\[LabSamples2025.xlsx]Bioplastic'!F472)</f>
        <v/>
      </c>
      <c r="G472">
        <f>IF(ISBLANK('Q:\Abteilungsprojekte\eng\EngData\AOS\Allgemein\[LabSamples2025.xlsx]Bioplastic'!G472)," ",'Q:\Abteilungsprojekte\eng\EngData\AOS\Allgemein\[LabSamples2025.xlsx]Bioplastic'!G472)</f>
        <v/>
      </c>
      <c r="H472">
        <f>IF(ISBLANK('Q:\Abteilungsprojekte\eng\EngData\AOS\Allgemein\[LabSamples2025.xlsx]Bioplastic'!H472)," ",'Q:\Abteilungsprojekte\eng\EngData\AOS\Allgemein\[LabSamples2025.xlsx]Bioplastic'!H472)</f>
        <v/>
      </c>
    </row>
    <row r="473">
      <c r="A473">
        <f>IF(ISBLANK('Q:\Abteilungsprojekte\eng\EngData\AOS\Allgemein\[LabSamples2025.xlsx]Bioplastic'!A473)," ",'Q:\Abteilungsprojekte\eng\EngData\AOS\Allgemein\[LabSamples2025.xlsx]Bioplastic'!A473)</f>
        <v/>
      </c>
      <c r="B473">
        <f>IF(ISBLANK('Q:\Abteilungsprojekte\eng\EngData\AOS\Allgemein\[LabSamples2025.xlsx]Bioplastic'!B473)," ",'Q:\Abteilungsprojekte\eng\EngData\AOS\Allgemein\[LabSamples2025.xlsx]Bioplastic'!B473)</f>
        <v/>
      </c>
      <c r="C473">
        <f>IF(ISBLANK('Q:\Abteilungsprojekte\eng\EngData\AOS\Allgemein\[LabSamples2025.xlsx]Bioplastic'!C473)," ",'Q:\Abteilungsprojekte\eng\EngData\AOS\Allgemein\[LabSamples2025.xlsx]Bioplastic'!C473)</f>
        <v/>
      </c>
      <c r="D473">
        <f>IF(ISBLANK('Q:\Abteilungsprojekte\eng\EngData\AOS\Allgemein\[LabSamples2025.xlsx]Bioplastic'!D473)," ",'Q:\Abteilungsprojekte\eng\EngData\AOS\Allgemein\[LabSamples2025.xlsx]Bioplastic'!D473)</f>
        <v/>
      </c>
      <c r="E473">
        <f>IF(ISBLANK('Q:\Abteilungsprojekte\eng\EngData\AOS\Allgemein\[LabSamples2025.xlsx]Bioplastic'!E473)," ",'Q:\Abteilungsprojekte\eng\EngData\AOS\Allgemein\[LabSamples2025.xlsx]Bioplastic'!E473)</f>
        <v/>
      </c>
      <c r="F473">
        <f>IF(ISBLANK('Q:\Abteilungsprojekte\eng\EngData\AOS\Allgemein\[LabSamples2025.xlsx]Bioplastic'!F473)," ",'Q:\Abteilungsprojekte\eng\EngData\AOS\Allgemein\[LabSamples2025.xlsx]Bioplastic'!F473)</f>
        <v/>
      </c>
      <c r="G473">
        <f>IF(ISBLANK('Q:\Abteilungsprojekte\eng\EngData\AOS\Allgemein\[LabSamples2025.xlsx]Bioplastic'!G473)," ",'Q:\Abteilungsprojekte\eng\EngData\AOS\Allgemein\[LabSamples2025.xlsx]Bioplastic'!G473)</f>
        <v/>
      </c>
      <c r="H473">
        <f>IF(ISBLANK('Q:\Abteilungsprojekte\eng\EngData\AOS\Allgemein\[LabSamples2025.xlsx]Bioplastic'!H473)," ",'Q:\Abteilungsprojekte\eng\EngData\AOS\Allgemein\[LabSamples2025.xlsx]Bioplastic'!H473)</f>
        <v/>
      </c>
    </row>
    <row r="474">
      <c r="A474">
        <f>IF(ISBLANK('Q:\Abteilungsprojekte\eng\EngData\AOS\Allgemein\[LabSamples2025.xlsx]Bioplastic'!A474)," ",'Q:\Abteilungsprojekte\eng\EngData\AOS\Allgemein\[LabSamples2025.xlsx]Bioplastic'!A474)</f>
        <v/>
      </c>
      <c r="B474">
        <f>IF(ISBLANK('Q:\Abteilungsprojekte\eng\EngData\AOS\Allgemein\[LabSamples2025.xlsx]Bioplastic'!B474)," ",'Q:\Abteilungsprojekte\eng\EngData\AOS\Allgemein\[LabSamples2025.xlsx]Bioplastic'!B474)</f>
        <v/>
      </c>
      <c r="C474">
        <f>IF(ISBLANK('Q:\Abteilungsprojekte\eng\EngData\AOS\Allgemein\[LabSamples2025.xlsx]Bioplastic'!C474)," ",'Q:\Abteilungsprojekte\eng\EngData\AOS\Allgemein\[LabSamples2025.xlsx]Bioplastic'!C474)</f>
        <v/>
      </c>
      <c r="D474">
        <f>IF(ISBLANK('Q:\Abteilungsprojekte\eng\EngData\AOS\Allgemein\[LabSamples2025.xlsx]Bioplastic'!D474)," ",'Q:\Abteilungsprojekte\eng\EngData\AOS\Allgemein\[LabSamples2025.xlsx]Bioplastic'!D474)</f>
        <v/>
      </c>
      <c r="E474">
        <f>IF(ISBLANK('Q:\Abteilungsprojekte\eng\EngData\AOS\Allgemein\[LabSamples2025.xlsx]Bioplastic'!E474)," ",'Q:\Abteilungsprojekte\eng\EngData\AOS\Allgemein\[LabSamples2025.xlsx]Bioplastic'!E474)</f>
        <v/>
      </c>
      <c r="F474">
        <f>IF(ISBLANK('Q:\Abteilungsprojekte\eng\EngData\AOS\Allgemein\[LabSamples2025.xlsx]Bioplastic'!F474)," ",'Q:\Abteilungsprojekte\eng\EngData\AOS\Allgemein\[LabSamples2025.xlsx]Bioplastic'!F474)</f>
        <v/>
      </c>
      <c r="G474">
        <f>IF(ISBLANK('Q:\Abteilungsprojekte\eng\EngData\AOS\Allgemein\[LabSamples2025.xlsx]Bioplastic'!G474)," ",'Q:\Abteilungsprojekte\eng\EngData\AOS\Allgemein\[LabSamples2025.xlsx]Bioplastic'!G474)</f>
        <v/>
      </c>
      <c r="H474">
        <f>IF(ISBLANK('Q:\Abteilungsprojekte\eng\EngData\AOS\Allgemein\[LabSamples2025.xlsx]Bioplastic'!H474)," ",'Q:\Abteilungsprojekte\eng\EngData\AOS\Allgemein\[LabSamples2025.xlsx]Bioplastic'!H474)</f>
        <v/>
      </c>
    </row>
    <row r="475">
      <c r="A475">
        <f>IF(ISBLANK('Q:\Abteilungsprojekte\eng\EngData\AOS\Allgemein\[LabSamples2025.xlsx]Bioplastic'!A475)," ",'Q:\Abteilungsprojekte\eng\EngData\AOS\Allgemein\[LabSamples2025.xlsx]Bioplastic'!A475)</f>
        <v/>
      </c>
      <c r="B475">
        <f>IF(ISBLANK('Q:\Abteilungsprojekte\eng\EngData\AOS\Allgemein\[LabSamples2025.xlsx]Bioplastic'!B475)," ",'Q:\Abteilungsprojekte\eng\EngData\AOS\Allgemein\[LabSamples2025.xlsx]Bioplastic'!B475)</f>
        <v/>
      </c>
      <c r="C475">
        <f>IF(ISBLANK('Q:\Abteilungsprojekte\eng\EngData\AOS\Allgemein\[LabSamples2025.xlsx]Bioplastic'!C475)," ",'Q:\Abteilungsprojekte\eng\EngData\AOS\Allgemein\[LabSamples2025.xlsx]Bioplastic'!C475)</f>
        <v/>
      </c>
      <c r="D475">
        <f>IF(ISBLANK('Q:\Abteilungsprojekte\eng\EngData\AOS\Allgemein\[LabSamples2025.xlsx]Bioplastic'!D475)," ",'Q:\Abteilungsprojekte\eng\EngData\AOS\Allgemein\[LabSamples2025.xlsx]Bioplastic'!D475)</f>
        <v/>
      </c>
      <c r="E475">
        <f>IF(ISBLANK('Q:\Abteilungsprojekte\eng\EngData\AOS\Allgemein\[LabSamples2025.xlsx]Bioplastic'!E475)," ",'Q:\Abteilungsprojekte\eng\EngData\AOS\Allgemein\[LabSamples2025.xlsx]Bioplastic'!E475)</f>
        <v/>
      </c>
      <c r="F475">
        <f>IF(ISBLANK('Q:\Abteilungsprojekte\eng\EngData\AOS\Allgemein\[LabSamples2025.xlsx]Bioplastic'!F475)," ",'Q:\Abteilungsprojekte\eng\EngData\AOS\Allgemein\[LabSamples2025.xlsx]Bioplastic'!F475)</f>
        <v/>
      </c>
      <c r="G475">
        <f>IF(ISBLANK('Q:\Abteilungsprojekte\eng\EngData\AOS\Allgemein\[LabSamples2025.xlsx]Bioplastic'!G475)," ",'Q:\Abteilungsprojekte\eng\EngData\AOS\Allgemein\[LabSamples2025.xlsx]Bioplastic'!G475)</f>
        <v/>
      </c>
      <c r="H475">
        <f>IF(ISBLANK('Q:\Abteilungsprojekte\eng\EngData\AOS\Allgemein\[LabSamples2025.xlsx]Bioplastic'!H475)," ",'Q:\Abteilungsprojekte\eng\EngData\AOS\Allgemein\[LabSamples2025.xlsx]Bioplastic'!H475)</f>
        <v/>
      </c>
    </row>
    <row r="476">
      <c r="A476">
        <f>IF(ISBLANK('Q:\Abteilungsprojekte\eng\EngData\AOS\Allgemein\[LabSamples2025.xlsx]Bioplastic'!A476)," ",'Q:\Abteilungsprojekte\eng\EngData\AOS\Allgemein\[LabSamples2025.xlsx]Bioplastic'!A476)</f>
        <v/>
      </c>
      <c r="B476">
        <f>IF(ISBLANK('Q:\Abteilungsprojekte\eng\EngData\AOS\Allgemein\[LabSamples2025.xlsx]Bioplastic'!B476)," ",'Q:\Abteilungsprojekte\eng\EngData\AOS\Allgemein\[LabSamples2025.xlsx]Bioplastic'!B476)</f>
        <v/>
      </c>
      <c r="C476">
        <f>IF(ISBLANK('Q:\Abteilungsprojekte\eng\EngData\AOS\Allgemein\[LabSamples2025.xlsx]Bioplastic'!C476)," ",'Q:\Abteilungsprojekte\eng\EngData\AOS\Allgemein\[LabSamples2025.xlsx]Bioplastic'!C476)</f>
        <v/>
      </c>
      <c r="D476">
        <f>IF(ISBLANK('Q:\Abteilungsprojekte\eng\EngData\AOS\Allgemein\[LabSamples2025.xlsx]Bioplastic'!D476)," ",'Q:\Abteilungsprojekte\eng\EngData\AOS\Allgemein\[LabSamples2025.xlsx]Bioplastic'!D476)</f>
        <v/>
      </c>
      <c r="E476">
        <f>IF(ISBLANK('Q:\Abteilungsprojekte\eng\EngData\AOS\Allgemein\[LabSamples2025.xlsx]Bioplastic'!E476)," ",'Q:\Abteilungsprojekte\eng\EngData\AOS\Allgemein\[LabSamples2025.xlsx]Bioplastic'!E476)</f>
        <v/>
      </c>
      <c r="F476">
        <f>IF(ISBLANK('Q:\Abteilungsprojekte\eng\EngData\AOS\Allgemein\[LabSamples2025.xlsx]Bioplastic'!F476)," ",'Q:\Abteilungsprojekte\eng\EngData\AOS\Allgemein\[LabSamples2025.xlsx]Bioplastic'!F476)</f>
        <v/>
      </c>
      <c r="G476">
        <f>IF(ISBLANK('Q:\Abteilungsprojekte\eng\EngData\AOS\Allgemein\[LabSamples2025.xlsx]Bioplastic'!G476)," ",'Q:\Abteilungsprojekte\eng\EngData\AOS\Allgemein\[LabSamples2025.xlsx]Bioplastic'!G476)</f>
        <v/>
      </c>
      <c r="H476">
        <f>IF(ISBLANK('Q:\Abteilungsprojekte\eng\EngData\AOS\Allgemein\[LabSamples2025.xlsx]Bioplastic'!H476)," ",'Q:\Abteilungsprojekte\eng\EngData\AOS\Allgemein\[LabSamples2025.xlsx]Bioplastic'!H476)</f>
        <v/>
      </c>
    </row>
    <row r="477">
      <c r="A477">
        <f>IF(ISBLANK('Q:\Abteilungsprojekte\eng\EngData\AOS\Allgemein\[LabSamples2025.xlsx]Bioplastic'!A477)," ",'Q:\Abteilungsprojekte\eng\EngData\AOS\Allgemein\[LabSamples2025.xlsx]Bioplastic'!A477)</f>
        <v/>
      </c>
      <c r="B477">
        <f>IF(ISBLANK('Q:\Abteilungsprojekte\eng\EngData\AOS\Allgemein\[LabSamples2025.xlsx]Bioplastic'!B477)," ",'Q:\Abteilungsprojekte\eng\EngData\AOS\Allgemein\[LabSamples2025.xlsx]Bioplastic'!B477)</f>
        <v/>
      </c>
      <c r="C477">
        <f>IF(ISBLANK('Q:\Abteilungsprojekte\eng\EngData\AOS\Allgemein\[LabSamples2025.xlsx]Bioplastic'!C477)," ",'Q:\Abteilungsprojekte\eng\EngData\AOS\Allgemein\[LabSamples2025.xlsx]Bioplastic'!C477)</f>
        <v/>
      </c>
      <c r="D477">
        <f>IF(ISBLANK('Q:\Abteilungsprojekte\eng\EngData\AOS\Allgemein\[LabSamples2025.xlsx]Bioplastic'!D477)," ",'Q:\Abteilungsprojekte\eng\EngData\AOS\Allgemein\[LabSamples2025.xlsx]Bioplastic'!D477)</f>
        <v/>
      </c>
      <c r="E477">
        <f>IF(ISBLANK('Q:\Abteilungsprojekte\eng\EngData\AOS\Allgemein\[LabSamples2025.xlsx]Bioplastic'!E477)," ",'Q:\Abteilungsprojekte\eng\EngData\AOS\Allgemein\[LabSamples2025.xlsx]Bioplastic'!E477)</f>
        <v/>
      </c>
      <c r="F477">
        <f>IF(ISBLANK('Q:\Abteilungsprojekte\eng\EngData\AOS\Allgemein\[LabSamples2025.xlsx]Bioplastic'!F477)," ",'Q:\Abteilungsprojekte\eng\EngData\AOS\Allgemein\[LabSamples2025.xlsx]Bioplastic'!F477)</f>
        <v/>
      </c>
      <c r="G477">
        <f>IF(ISBLANK('Q:\Abteilungsprojekte\eng\EngData\AOS\Allgemein\[LabSamples2025.xlsx]Bioplastic'!G477)," ",'Q:\Abteilungsprojekte\eng\EngData\AOS\Allgemein\[LabSamples2025.xlsx]Bioplastic'!G477)</f>
        <v/>
      </c>
      <c r="H477">
        <f>IF(ISBLANK('Q:\Abteilungsprojekte\eng\EngData\AOS\Allgemein\[LabSamples2025.xlsx]Bioplastic'!H477)," ",'Q:\Abteilungsprojekte\eng\EngData\AOS\Allgemein\[LabSamples2025.xlsx]Bioplastic'!H477)</f>
        <v/>
      </c>
    </row>
    <row r="478">
      <c r="A478">
        <f>IF(ISBLANK('Q:\Abteilungsprojekte\eng\EngData\AOS\Allgemein\[LabSamples2025.xlsx]Bioplastic'!A478)," ",'Q:\Abteilungsprojekte\eng\EngData\AOS\Allgemein\[LabSamples2025.xlsx]Bioplastic'!A478)</f>
        <v/>
      </c>
      <c r="B478">
        <f>IF(ISBLANK('Q:\Abteilungsprojekte\eng\EngData\AOS\Allgemein\[LabSamples2025.xlsx]Bioplastic'!B478)," ",'Q:\Abteilungsprojekte\eng\EngData\AOS\Allgemein\[LabSamples2025.xlsx]Bioplastic'!B478)</f>
        <v/>
      </c>
      <c r="C478">
        <f>IF(ISBLANK('Q:\Abteilungsprojekte\eng\EngData\AOS\Allgemein\[LabSamples2025.xlsx]Bioplastic'!C478)," ",'Q:\Abteilungsprojekte\eng\EngData\AOS\Allgemein\[LabSamples2025.xlsx]Bioplastic'!C478)</f>
        <v/>
      </c>
      <c r="D478">
        <f>IF(ISBLANK('Q:\Abteilungsprojekte\eng\EngData\AOS\Allgemein\[LabSamples2025.xlsx]Bioplastic'!D478)," ",'Q:\Abteilungsprojekte\eng\EngData\AOS\Allgemein\[LabSamples2025.xlsx]Bioplastic'!D478)</f>
        <v/>
      </c>
      <c r="E478">
        <f>IF(ISBLANK('Q:\Abteilungsprojekte\eng\EngData\AOS\Allgemein\[LabSamples2025.xlsx]Bioplastic'!E478)," ",'Q:\Abteilungsprojekte\eng\EngData\AOS\Allgemein\[LabSamples2025.xlsx]Bioplastic'!E478)</f>
        <v/>
      </c>
      <c r="F478">
        <f>IF(ISBLANK('Q:\Abteilungsprojekte\eng\EngData\AOS\Allgemein\[LabSamples2025.xlsx]Bioplastic'!F478)," ",'Q:\Abteilungsprojekte\eng\EngData\AOS\Allgemein\[LabSamples2025.xlsx]Bioplastic'!F478)</f>
        <v/>
      </c>
      <c r="G478">
        <f>IF(ISBLANK('Q:\Abteilungsprojekte\eng\EngData\AOS\Allgemein\[LabSamples2025.xlsx]Bioplastic'!G478)," ",'Q:\Abteilungsprojekte\eng\EngData\AOS\Allgemein\[LabSamples2025.xlsx]Bioplastic'!G478)</f>
        <v/>
      </c>
      <c r="H478">
        <f>IF(ISBLANK('Q:\Abteilungsprojekte\eng\EngData\AOS\Allgemein\[LabSamples2025.xlsx]Bioplastic'!H478)," ",'Q:\Abteilungsprojekte\eng\EngData\AOS\Allgemein\[LabSamples2025.xlsx]Bioplastic'!H478)</f>
        <v/>
      </c>
    </row>
    <row r="479">
      <c r="A479">
        <f>IF(ISBLANK('Q:\Abteilungsprojekte\eng\EngData\AOS\Allgemein\[LabSamples2025.xlsx]Bioplastic'!A479)," ",'Q:\Abteilungsprojekte\eng\EngData\AOS\Allgemein\[LabSamples2025.xlsx]Bioplastic'!A479)</f>
        <v/>
      </c>
      <c r="B479">
        <f>IF(ISBLANK('Q:\Abteilungsprojekte\eng\EngData\AOS\Allgemein\[LabSamples2025.xlsx]Bioplastic'!B479)," ",'Q:\Abteilungsprojekte\eng\EngData\AOS\Allgemein\[LabSamples2025.xlsx]Bioplastic'!B479)</f>
        <v/>
      </c>
      <c r="C479">
        <f>IF(ISBLANK('Q:\Abteilungsprojekte\eng\EngData\AOS\Allgemein\[LabSamples2025.xlsx]Bioplastic'!C479)," ",'Q:\Abteilungsprojekte\eng\EngData\AOS\Allgemein\[LabSamples2025.xlsx]Bioplastic'!C479)</f>
        <v/>
      </c>
      <c r="D479">
        <f>IF(ISBLANK('Q:\Abteilungsprojekte\eng\EngData\AOS\Allgemein\[LabSamples2025.xlsx]Bioplastic'!D479)," ",'Q:\Abteilungsprojekte\eng\EngData\AOS\Allgemein\[LabSamples2025.xlsx]Bioplastic'!D479)</f>
        <v/>
      </c>
      <c r="E479">
        <f>IF(ISBLANK('Q:\Abteilungsprojekte\eng\EngData\AOS\Allgemein\[LabSamples2025.xlsx]Bioplastic'!E479)," ",'Q:\Abteilungsprojekte\eng\EngData\AOS\Allgemein\[LabSamples2025.xlsx]Bioplastic'!E479)</f>
        <v/>
      </c>
      <c r="F479">
        <f>IF(ISBLANK('Q:\Abteilungsprojekte\eng\EngData\AOS\Allgemein\[LabSamples2025.xlsx]Bioplastic'!F479)," ",'Q:\Abteilungsprojekte\eng\EngData\AOS\Allgemein\[LabSamples2025.xlsx]Bioplastic'!F479)</f>
        <v/>
      </c>
      <c r="G479">
        <f>IF(ISBLANK('Q:\Abteilungsprojekte\eng\EngData\AOS\Allgemein\[LabSamples2025.xlsx]Bioplastic'!G479)," ",'Q:\Abteilungsprojekte\eng\EngData\AOS\Allgemein\[LabSamples2025.xlsx]Bioplastic'!G479)</f>
        <v/>
      </c>
      <c r="H479">
        <f>IF(ISBLANK('Q:\Abteilungsprojekte\eng\EngData\AOS\Allgemein\[LabSamples2025.xlsx]Bioplastic'!H479)," ",'Q:\Abteilungsprojekte\eng\EngData\AOS\Allgemein\[LabSamples2025.xlsx]Bioplastic'!H479)</f>
        <v/>
      </c>
    </row>
    <row r="480">
      <c r="A480">
        <f>IF(ISBLANK('Q:\Abteilungsprojekte\eng\EngData\AOS\Allgemein\[LabSamples2025.xlsx]Bioplastic'!A480)," ",'Q:\Abteilungsprojekte\eng\EngData\AOS\Allgemein\[LabSamples2025.xlsx]Bioplastic'!A480)</f>
        <v/>
      </c>
      <c r="B480">
        <f>IF(ISBLANK('Q:\Abteilungsprojekte\eng\EngData\AOS\Allgemein\[LabSamples2025.xlsx]Bioplastic'!B480)," ",'Q:\Abteilungsprojekte\eng\EngData\AOS\Allgemein\[LabSamples2025.xlsx]Bioplastic'!B480)</f>
        <v/>
      </c>
      <c r="C480">
        <f>IF(ISBLANK('Q:\Abteilungsprojekte\eng\EngData\AOS\Allgemein\[LabSamples2025.xlsx]Bioplastic'!C480)," ",'Q:\Abteilungsprojekte\eng\EngData\AOS\Allgemein\[LabSamples2025.xlsx]Bioplastic'!C480)</f>
        <v/>
      </c>
      <c r="D480">
        <f>IF(ISBLANK('Q:\Abteilungsprojekte\eng\EngData\AOS\Allgemein\[LabSamples2025.xlsx]Bioplastic'!D480)," ",'Q:\Abteilungsprojekte\eng\EngData\AOS\Allgemein\[LabSamples2025.xlsx]Bioplastic'!D480)</f>
        <v/>
      </c>
      <c r="E480">
        <f>IF(ISBLANK('Q:\Abteilungsprojekte\eng\EngData\AOS\Allgemein\[LabSamples2025.xlsx]Bioplastic'!E480)," ",'Q:\Abteilungsprojekte\eng\EngData\AOS\Allgemein\[LabSamples2025.xlsx]Bioplastic'!E480)</f>
        <v/>
      </c>
      <c r="F480">
        <f>IF(ISBLANK('Q:\Abteilungsprojekte\eng\EngData\AOS\Allgemein\[LabSamples2025.xlsx]Bioplastic'!F480)," ",'Q:\Abteilungsprojekte\eng\EngData\AOS\Allgemein\[LabSamples2025.xlsx]Bioplastic'!F480)</f>
        <v/>
      </c>
      <c r="G480">
        <f>IF(ISBLANK('Q:\Abteilungsprojekte\eng\EngData\AOS\Allgemein\[LabSamples2025.xlsx]Bioplastic'!G480)," ",'Q:\Abteilungsprojekte\eng\EngData\AOS\Allgemein\[LabSamples2025.xlsx]Bioplastic'!G480)</f>
        <v/>
      </c>
      <c r="H480">
        <f>IF(ISBLANK('Q:\Abteilungsprojekte\eng\EngData\AOS\Allgemein\[LabSamples2025.xlsx]Bioplastic'!H480)," ",'Q:\Abteilungsprojekte\eng\EngData\AOS\Allgemein\[LabSamples2025.xlsx]Bioplastic'!H480)</f>
        <v/>
      </c>
    </row>
    <row r="481">
      <c r="A481">
        <f>IF(ISBLANK('Q:\Abteilungsprojekte\eng\EngData\AOS\Allgemein\[LabSamples2025.xlsx]Bioplastic'!A481)," ",'Q:\Abteilungsprojekte\eng\EngData\AOS\Allgemein\[LabSamples2025.xlsx]Bioplastic'!A481)</f>
        <v/>
      </c>
      <c r="B481">
        <f>IF(ISBLANK('Q:\Abteilungsprojekte\eng\EngData\AOS\Allgemein\[LabSamples2025.xlsx]Bioplastic'!B481)," ",'Q:\Abteilungsprojekte\eng\EngData\AOS\Allgemein\[LabSamples2025.xlsx]Bioplastic'!B481)</f>
        <v/>
      </c>
      <c r="C481">
        <f>IF(ISBLANK('Q:\Abteilungsprojekte\eng\EngData\AOS\Allgemein\[LabSamples2025.xlsx]Bioplastic'!C481)," ",'Q:\Abteilungsprojekte\eng\EngData\AOS\Allgemein\[LabSamples2025.xlsx]Bioplastic'!C481)</f>
        <v/>
      </c>
      <c r="D481">
        <f>IF(ISBLANK('Q:\Abteilungsprojekte\eng\EngData\AOS\Allgemein\[LabSamples2025.xlsx]Bioplastic'!D481)," ",'Q:\Abteilungsprojekte\eng\EngData\AOS\Allgemein\[LabSamples2025.xlsx]Bioplastic'!D481)</f>
        <v/>
      </c>
      <c r="E481">
        <f>IF(ISBLANK('Q:\Abteilungsprojekte\eng\EngData\AOS\Allgemein\[LabSamples2025.xlsx]Bioplastic'!E481)," ",'Q:\Abteilungsprojekte\eng\EngData\AOS\Allgemein\[LabSamples2025.xlsx]Bioplastic'!E481)</f>
        <v/>
      </c>
      <c r="F481">
        <f>IF(ISBLANK('Q:\Abteilungsprojekte\eng\EngData\AOS\Allgemein\[LabSamples2025.xlsx]Bioplastic'!F481)," ",'Q:\Abteilungsprojekte\eng\EngData\AOS\Allgemein\[LabSamples2025.xlsx]Bioplastic'!F481)</f>
        <v/>
      </c>
      <c r="G481">
        <f>IF(ISBLANK('Q:\Abteilungsprojekte\eng\EngData\AOS\Allgemein\[LabSamples2025.xlsx]Bioplastic'!G481)," ",'Q:\Abteilungsprojekte\eng\EngData\AOS\Allgemein\[LabSamples2025.xlsx]Bioplastic'!G481)</f>
        <v/>
      </c>
      <c r="H481">
        <f>IF(ISBLANK('Q:\Abteilungsprojekte\eng\EngData\AOS\Allgemein\[LabSamples2025.xlsx]Bioplastic'!H481)," ",'Q:\Abteilungsprojekte\eng\EngData\AOS\Allgemein\[LabSamples2025.xlsx]Bioplastic'!H481)</f>
        <v/>
      </c>
    </row>
    <row r="482">
      <c r="A482">
        <f>IF(ISBLANK('Q:\Abteilungsprojekte\eng\EngData\AOS\Allgemein\[LabSamples2025.xlsx]Bioplastic'!A482)," ",'Q:\Abteilungsprojekte\eng\EngData\AOS\Allgemein\[LabSamples2025.xlsx]Bioplastic'!A482)</f>
        <v/>
      </c>
      <c r="B482">
        <f>IF(ISBLANK('Q:\Abteilungsprojekte\eng\EngData\AOS\Allgemein\[LabSamples2025.xlsx]Bioplastic'!B482)," ",'Q:\Abteilungsprojekte\eng\EngData\AOS\Allgemein\[LabSamples2025.xlsx]Bioplastic'!B482)</f>
        <v/>
      </c>
      <c r="C482">
        <f>IF(ISBLANK('Q:\Abteilungsprojekte\eng\EngData\AOS\Allgemein\[LabSamples2025.xlsx]Bioplastic'!C482)," ",'Q:\Abteilungsprojekte\eng\EngData\AOS\Allgemein\[LabSamples2025.xlsx]Bioplastic'!C482)</f>
        <v/>
      </c>
      <c r="D482">
        <f>IF(ISBLANK('Q:\Abteilungsprojekte\eng\EngData\AOS\Allgemein\[LabSamples2025.xlsx]Bioplastic'!D482)," ",'Q:\Abteilungsprojekte\eng\EngData\AOS\Allgemein\[LabSamples2025.xlsx]Bioplastic'!D482)</f>
        <v/>
      </c>
      <c r="E482">
        <f>IF(ISBLANK('Q:\Abteilungsprojekte\eng\EngData\AOS\Allgemein\[LabSamples2025.xlsx]Bioplastic'!E482)," ",'Q:\Abteilungsprojekte\eng\EngData\AOS\Allgemein\[LabSamples2025.xlsx]Bioplastic'!E482)</f>
        <v/>
      </c>
      <c r="F482">
        <f>IF(ISBLANK('Q:\Abteilungsprojekte\eng\EngData\AOS\Allgemein\[LabSamples2025.xlsx]Bioplastic'!F482)," ",'Q:\Abteilungsprojekte\eng\EngData\AOS\Allgemein\[LabSamples2025.xlsx]Bioplastic'!F482)</f>
        <v/>
      </c>
      <c r="G482">
        <f>IF(ISBLANK('Q:\Abteilungsprojekte\eng\EngData\AOS\Allgemein\[LabSamples2025.xlsx]Bioplastic'!G482)," ",'Q:\Abteilungsprojekte\eng\EngData\AOS\Allgemein\[LabSamples2025.xlsx]Bioplastic'!G482)</f>
        <v/>
      </c>
      <c r="H482">
        <f>IF(ISBLANK('Q:\Abteilungsprojekte\eng\EngData\AOS\Allgemein\[LabSamples2025.xlsx]Bioplastic'!H482)," ",'Q:\Abteilungsprojekte\eng\EngData\AOS\Allgemein\[LabSamples2025.xlsx]Bioplastic'!H482)</f>
        <v/>
      </c>
    </row>
    <row r="483">
      <c r="A483">
        <f>IF(ISBLANK('Q:\Abteilungsprojekte\eng\EngData\AOS\Allgemein\[LabSamples2025.xlsx]Bioplastic'!A483)," ",'Q:\Abteilungsprojekte\eng\EngData\AOS\Allgemein\[LabSamples2025.xlsx]Bioplastic'!A483)</f>
        <v/>
      </c>
      <c r="B483">
        <f>IF(ISBLANK('Q:\Abteilungsprojekte\eng\EngData\AOS\Allgemein\[LabSamples2025.xlsx]Bioplastic'!B483)," ",'Q:\Abteilungsprojekte\eng\EngData\AOS\Allgemein\[LabSamples2025.xlsx]Bioplastic'!B483)</f>
        <v/>
      </c>
      <c r="C483">
        <f>IF(ISBLANK('Q:\Abteilungsprojekte\eng\EngData\AOS\Allgemein\[LabSamples2025.xlsx]Bioplastic'!C483)," ",'Q:\Abteilungsprojekte\eng\EngData\AOS\Allgemein\[LabSamples2025.xlsx]Bioplastic'!C483)</f>
        <v/>
      </c>
      <c r="D483">
        <f>IF(ISBLANK('Q:\Abteilungsprojekte\eng\EngData\AOS\Allgemein\[LabSamples2025.xlsx]Bioplastic'!D483)," ",'Q:\Abteilungsprojekte\eng\EngData\AOS\Allgemein\[LabSamples2025.xlsx]Bioplastic'!D483)</f>
        <v/>
      </c>
      <c r="E483">
        <f>IF(ISBLANK('Q:\Abteilungsprojekte\eng\EngData\AOS\Allgemein\[LabSamples2025.xlsx]Bioplastic'!E483)," ",'Q:\Abteilungsprojekte\eng\EngData\AOS\Allgemein\[LabSamples2025.xlsx]Bioplastic'!E483)</f>
        <v/>
      </c>
      <c r="F483">
        <f>IF(ISBLANK('Q:\Abteilungsprojekte\eng\EngData\AOS\Allgemein\[LabSamples2025.xlsx]Bioplastic'!F483)," ",'Q:\Abteilungsprojekte\eng\EngData\AOS\Allgemein\[LabSamples2025.xlsx]Bioplastic'!F483)</f>
        <v/>
      </c>
      <c r="G483">
        <f>IF(ISBLANK('Q:\Abteilungsprojekte\eng\EngData\AOS\Allgemein\[LabSamples2025.xlsx]Bioplastic'!G483)," ",'Q:\Abteilungsprojekte\eng\EngData\AOS\Allgemein\[LabSamples2025.xlsx]Bioplastic'!G483)</f>
        <v/>
      </c>
      <c r="H483">
        <f>IF(ISBLANK('Q:\Abteilungsprojekte\eng\EngData\AOS\Allgemein\[LabSamples2025.xlsx]Bioplastic'!H483)," ",'Q:\Abteilungsprojekte\eng\EngData\AOS\Allgemein\[LabSamples2025.xlsx]Bioplastic'!H483)</f>
        <v/>
      </c>
    </row>
    <row r="484">
      <c r="A484">
        <f>IF(ISBLANK('Q:\Abteilungsprojekte\eng\EngData\AOS\Allgemein\[LabSamples2025.xlsx]Bioplastic'!A484)," ",'Q:\Abteilungsprojekte\eng\EngData\AOS\Allgemein\[LabSamples2025.xlsx]Bioplastic'!A484)</f>
        <v/>
      </c>
      <c r="B484">
        <f>IF(ISBLANK('Q:\Abteilungsprojekte\eng\EngData\AOS\Allgemein\[LabSamples2025.xlsx]Bioplastic'!B484)," ",'Q:\Abteilungsprojekte\eng\EngData\AOS\Allgemein\[LabSamples2025.xlsx]Bioplastic'!B484)</f>
        <v/>
      </c>
      <c r="C484">
        <f>IF(ISBLANK('Q:\Abteilungsprojekte\eng\EngData\AOS\Allgemein\[LabSamples2025.xlsx]Bioplastic'!C484)," ",'Q:\Abteilungsprojekte\eng\EngData\AOS\Allgemein\[LabSamples2025.xlsx]Bioplastic'!C484)</f>
        <v/>
      </c>
      <c r="D484">
        <f>IF(ISBLANK('Q:\Abteilungsprojekte\eng\EngData\AOS\Allgemein\[LabSamples2025.xlsx]Bioplastic'!D484)," ",'Q:\Abteilungsprojekte\eng\EngData\AOS\Allgemein\[LabSamples2025.xlsx]Bioplastic'!D484)</f>
        <v/>
      </c>
      <c r="E484">
        <f>IF(ISBLANK('Q:\Abteilungsprojekte\eng\EngData\AOS\Allgemein\[LabSamples2025.xlsx]Bioplastic'!E484)," ",'Q:\Abteilungsprojekte\eng\EngData\AOS\Allgemein\[LabSamples2025.xlsx]Bioplastic'!E484)</f>
        <v/>
      </c>
      <c r="F484">
        <f>IF(ISBLANK('Q:\Abteilungsprojekte\eng\EngData\AOS\Allgemein\[LabSamples2025.xlsx]Bioplastic'!F484)," ",'Q:\Abteilungsprojekte\eng\EngData\AOS\Allgemein\[LabSamples2025.xlsx]Bioplastic'!F484)</f>
        <v/>
      </c>
      <c r="G484">
        <f>IF(ISBLANK('Q:\Abteilungsprojekte\eng\EngData\AOS\Allgemein\[LabSamples2025.xlsx]Bioplastic'!G484)," ",'Q:\Abteilungsprojekte\eng\EngData\AOS\Allgemein\[LabSamples2025.xlsx]Bioplastic'!G484)</f>
        <v/>
      </c>
      <c r="H484">
        <f>IF(ISBLANK('Q:\Abteilungsprojekte\eng\EngData\AOS\Allgemein\[LabSamples2025.xlsx]Bioplastic'!H484)," ",'Q:\Abteilungsprojekte\eng\EngData\AOS\Allgemein\[LabSamples2025.xlsx]Bioplastic'!H484)</f>
        <v/>
      </c>
    </row>
    <row r="485">
      <c r="A485">
        <f>IF(ISBLANK('Q:\Abteilungsprojekte\eng\EngData\AOS\Allgemein\[LabSamples2025.xlsx]Bioplastic'!A485)," ",'Q:\Abteilungsprojekte\eng\EngData\AOS\Allgemein\[LabSamples2025.xlsx]Bioplastic'!A485)</f>
        <v/>
      </c>
      <c r="B485">
        <f>IF(ISBLANK('Q:\Abteilungsprojekte\eng\EngData\AOS\Allgemein\[LabSamples2025.xlsx]Bioplastic'!B485)," ",'Q:\Abteilungsprojekte\eng\EngData\AOS\Allgemein\[LabSamples2025.xlsx]Bioplastic'!B485)</f>
        <v/>
      </c>
      <c r="C485">
        <f>IF(ISBLANK('Q:\Abteilungsprojekte\eng\EngData\AOS\Allgemein\[LabSamples2025.xlsx]Bioplastic'!C485)," ",'Q:\Abteilungsprojekte\eng\EngData\AOS\Allgemein\[LabSamples2025.xlsx]Bioplastic'!C485)</f>
        <v/>
      </c>
      <c r="D485">
        <f>IF(ISBLANK('Q:\Abteilungsprojekte\eng\EngData\AOS\Allgemein\[LabSamples2025.xlsx]Bioplastic'!D485)," ",'Q:\Abteilungsprojekte\eng\EngData\AOS\Allgemein\[LabSamples2025.xlsx]Bioplastic'!D485)</f>
        <v/>
      </c>
      <c r="E485">
        <f>IF(ISBLANK('Q:\Abteilungsprojekte\eng\EngData\AOS\Allgemein\[LabSamples2025.xlsx]Bioplastic'!E485)," ",'Q:\Abteilungsprojekte\eng\EngData\AOS\Allgemein\[LabSamples2025.xlsx]Bioplastic'!E485)</f>
        <v/>
      </c>
      <c r="F485">
        <f>IF(ISBLANK('Q:\Abteilungsprojekte\eng\EngData\AOS\Allgemein\[LabSamples2025.xlsx]Bioplastic'!F485)," ",'Q:\Abteilungsprojekte\eng\EngData\AOS\Allgemein\[LabSamples2025.xlsx]Bioplastic'!F485)</f>
        <v/>
      </c>
      <c r="G485">
        <f>IF(ISBLANK('Q:\Abteilungsprojekte\eng\EngData\AOS\Allgemein\[LabSamples2025.xlsx]Bioplastic'!G485)," ",'Q:\Abteilungsprojekte\eng\EngData\AOS\Allgemein\[LabSamples2025.xlsx]Bioplastic'!G485)</f>
        <v/>
      </c>
      <c r="H485">
        <f>IF(ISBLANK('Q:\Abteilungsprojekte\eng\EngData\AOS\Allgemein\[LabSamples2025.xlsx]Bioplastic'!H485)," ",'Q:\Abteilungsprojekte\eng\EngData\AOS\Allgemein\[LabSamples2025.xlsx]Bioplastic'!H485)</f>
        <v/>
      </c>
    </row>
    <row r="486">
      <c r="A486">
        <f>IF(ISBLANK('Q:\Abteilungsprojekte\eng\EngData\AOS\Allgemein\[LabSamples2025.xlsx]Bioplastic'!A486)," ",'Q:\Abteilungsprojekte\eng\EngData\AOS\Allgemein\[LabSamples2025.xlsx]Bioplastic'!A486)</f>
        <v/>
      </c>
      <c r="B486">
        <f>IF(ISBLANK('Q:\Abteilungsprojekte\eng\EngData\AOS\Allgemein\[LabSamples2025.xlsx]Bioplastic'!B486)," ",'Q:\Abteilungsprojekte\eng\EngData\AOS\Allgemein\[LabSamples2025.xlsx]Bioplastic'!B486)</f>
        <v/>
      </c>
      <c r="C486">
        <f>IF(ISBLANK('Q:\Abteilungsprojekte\eng\EngData\AOS\Allgemein\[LabSamples2025.xlsx]Bioplastic'!C486)," ",'Q:\Abteilungsprojekte\eng\EngData\AOS\Allgemein\[LabSamples2025.xlsx]Bioplastic'!C486)</f>
        <v/>
      </c>
      <c r="D486">
        <f>IF(ISBLANK('Q:\Abteilungsprojekte\eng\EngData\AOS\Allgemein\[LabSamples2025.xlsx]Bioplastic'!D486)," ",'Q:\Abteilungsprojekte\eng\EngData\AOS\Allgemein\[LabSamples2025.xlsx]Bioplastic'!D486)</f>
        <v/>
      </c>
      <c r="E486">
        <f>IF(ISBLANK('Q:\Abteilungsprojekte\eng\EngData\AOS\Allgemein\[LabSamples2025.xlsx]Bioplastic'!E486)," ",'Q:\Abteilungsprojekte\eng\EngData\AOS\Allgemein\[LabSamples2025.xlsx]Bioplastic'!E486)</f>
        <v/>
      </c>
      <c r="F486">
        <f>IF(ISBLANK('Q:\Abteilungsprojekte\eng\EngData\AOS\Allgemein\[LabSamples2025.xlsx]Bioplastic'!F486)," ",'Q:\Abteilungsprojekte\eng\EngData\AOS\Allgemein\[LabSamples2025.xlsx]Bioplastic'!F486)</f>
        <v/>
      </c>
      <c r="G486">
        <f>IF(ISBLANK('Q:\Abteilungsprojekte\eng\EngData\AOS\Allgemein\[LabSamples2025.xlsx]Bioplastic'!G486)," ",'Q:\Abteilungsprojekte\eng\EngData\AOS\Allgemein\[LabSamples2025.xlsx]Bioplastic'!G486)</f>
        <v/>
      </c>
      <c r="H486">
        <f>IF(ISBLANK('Q:\Abteilungsprojekte\eng\EngData\AOS\Allgemein\[LabSamples2025.xlsx]Bioplastic'!H486)," ",'Q:\Abteilungsprojekte\eng\EngData\AOS\Allgemein\[LabSamples2025.xlsx]Bioplastic'!H486)</f>
        <v/>
      </c>
    </row>
    <row r="487">
      <c r="A487">
        <f>IF(ISBLANK('Q:\Abteilungsprojekte\eng\EngData\AOS\Allgemein\[LabSamples2025.xlsx]Bioplastic'!A487)," ",'Q:\Abteilungsprojekte\eng\EngData\AOS\Allgemein\[LabSamples2025.xlsx]Bioplastic'!A487)</f>
        <v/>
      </c>
      <c r="B487">
        <f>IF(ISBLANK('Q:\Abteilungsprojekte\eng\EngData\AOS\Allgemein\[LabSamples2025.xlsx]Bioplastic'!B487)," ",'Q:\Abteilungsprojekte\eng\EngData\AOS\Allgemein\[LabSamples2025.xlsx]Bioplastic'!B487)</f>
        <v/>
      </c>
      <c r="C487">
        <f>IF(ISBLANK('Q:\Abteilungsprojekte\eng\EngData\AOS\Allgemein\[LabSamples2025.xlsx]Bioplastic'!C487)," ",'Q:\Abteilungsprojekte\eng\EngData\AOS\Allgemein\[LabSamples2025.xlsx]Bioplastic'!C487)</f>
        <v/>
      </c>
      <c r="D487">
        <f>IF(ISBLANK('Q:\Abteilungsprojekte\eng\EngData\AOS\Allgemein\[LabSamples2025.xlsx]Bioplastic'!D487)," ",'Q:\Abteilungsprojekte\eng\EngData\AOS\Allgemein\[LabSamples2025.xlsx]Bioplastic'!D487)</f>
        <v/>
      </c>
      <c r="E487">
        <f>IF(ISBLANK('Q:\Abteilungsprojekte\eng\EngData\AOS\Allgemein\[LabSamples2025.xlsx]Bioplastic'!E487)," ",'Q:\Abteilungsprojekte\eng\EngData\AOS\Allgemein\[LabSamples2025.xlsx]Bioplastic'!E487)</f>
        <v/>
      </c>
      <c r="F487">
        <f>IF(ISBLANK('Q:\Abteilungsprojekte\eng\EngData\AOS\Allgemein\[LabSamples2025.xlsx]Bioplastic'!F487)," ",'Q:\Abteilungsprojekte\eng\EngData\AOS\Allgemein\[LabSamples2025.xlsx]Bioplastic'!F487)</f>
        <v/>
      </c>
      <c r="G487">
        <f>IF(ISBLANK('Q:\Abteilungsprojekte\eng\EngData\AOS\Allgemein\[LabSamples2025.xlsx]Bioplastic'!G487)," ",'Q:\Abteilungsprojekte\eng\EngData\AOS\Allgemein\[LabSamples2025.xlsx]Bioplastic'!G487)</f>
        <v/>
      </c>
      <c r="H487">
        <f>IF(ISBLANK('Q:\Abteilungsprojekte\eng\EngData\AOS\Allgemein\[LabSamples2025.xlsx]Bioplastic'!H487)," ",'Q:\Abteilungsprojekte\eng\EngData\AOS\Allgemein\[LabSamples2025.xlsx]Bioplastic'!H487)</f>
        <v/>
      </c>
    </row>
    <row r="488">
      <c r="A488">
        <f>IF(ISBLANK('Q:\Abteilungsprojekte\eng\EngData\AOS\Allgemein\[LabSamples2025.xlsx]Bioplastic'!A488)," ",'Q:\Abteilungsprojekte\eng\EngData\AOS\Allgemein\[LabSamples2025.xlsx]Bioplastic'!A488)</f>
        <v/>
      </c>
      <c r="B488">
        <f>IF(ISBLANK('Q:\Abteilungsprojekte\eng\EngData\AOS\Allgemein\[LabSamples2025.xlsx]Bioplastic'!B488)," ",'Q:\Abteilungsprojekte\eng\EngData\AOS\Allgemein\[LabSamples2025.xlsx]Bioplastic'!B488)</f>
        <v/>
      </c>
      <c r="C488">
        <f>IF(ISBLANK('Q:\Abteilungsprojekte\eng\EngData\AOS\Allgemein\[LabSamples2025.xlsx]Bioplastic'!C488)," ",'Q:\Abteilungsprojekte\eng\EngData\AOS\Allgemein\[LabSamples2025.xlsx]Bioplastic'!C488)</f>
        <v/>
      </c>
      <c r="D488">
        <f>IF(ISBLANK('Q:\Abteilungsprojekte\eng\EngData\AOS\Allgemein\[LabSamples2025.xlsx]Bioplastic'!D488)," ",'Q:\Abteilungsprojekte\eng\EngData\AOS\Allgemein\[LabSamples2025.xlsx]Bioplastic'!D488)</f>
        <v/>
      </c>
      <c r="E488">
        <f>IF(ISBLANK('Q:\Abteilungsprojekte\eng\EngData\AOS\Allgemein\[LabSamples2025.xlsx]Bioplastic'!E488)," ",'Q:\Abteilungsprojekte\eng\EngData\AOS\Allgemein\[LabSamples2025.xlsx]Bioplastic'!E488)</f>
        <v/>
      </c>
      <c r="F488">
        <f>IF(ISBLANK('Q:\Abteilungsprojekte\eng\EngData\AOS\Allgemein\[LabSamples2025.xlsx]Bioplastic'!F488)," ",'Q:\Abteilungsprojekte\eng\EngData\AOS\Allgemein\[LabSamples2025.xlsx]Bioplastic'!F488)</f>
        <v/>
      </c>
      <c r="G488">
        <f>IF(ISBLANK('Q:\Abteilungsprojekte\eng\EngData\AOS\Allgemein\[LabSamples2025.xlsx]Bioplastic'!G488)," ",'Q:\Abteilungsprojekte\eng\EngData\AOS\Allgemein\[LabSamples2025.xlsx]Bioplastic'!G488)</f>
        <v/>
      </c>
      <c r="H488">
        <f>IF(ISBLANK('Q:\Abteilungsprojekte\eng\EngData\AOS\Allgemein\[LabSamples2025.xlsx]Bioplastic'!H488)," ",'Q:\Abteilungsprojekte\eng\EngData\AOS\Allgemein\[LabSamples2025.xlsx]Bioplastic'!H488)</f>
        <v/>
      </c>
    </row>
    <row r="489">
      <c r="A489">
        <f>IF(ISBLANK('Q:\Abteilungsprojekte\eng\EngData\AOS\Allgemein\[LabSamples2025.xlsx]Bioplastic'!A489)," ",'Q:\Abteilungsprojekte\eng\EngData\AOS\Allgemein\[LabSamples2025.xlsx]Bioplastic'!A489)</f>
        <v/>
      </c>
      <c r="B489">
        <f>IF(ISBLANK('Q:\Abteilungsprojekte\eng\EngData\AOS\Allgemein\[LabSamples2025.xlsx]Bioplastic'!B489)," ",'Q:\Abteilungsprojekte\eng\EngData\AOS\Allgemein\[LabSamples2025.xlsx]Bioplastic'!B489)</f>
        <v/>
      </c>
      <c r="C489">
        <f>IF(ISBLANK('Q:\Abteilungsprojekte\eng\EngData\AOS\Allgemein\[LabSamples2025.xlsx]Bioplastic'!C489)," ",'Q:\Abteilungsprojekte\eng\EngData\AOS\Allgemein\[LabSamples2025.xlsx]Bioplastic'!C489)</f>
        <v/>
      </c>
      <c r="D489">
        <f>IF(ISBLANK('Q:\Abteilungsprojekte\eng\EngData\AOS\Allgemein\[LabSamples2025.xlsx]Bioplastic'!D489)," ",'Q:\Abteilungsprojekte\eng\EngData\AOS\Allgemein\[LabSamples2025.xlsx]Bioplastic'!D489)</f>
        <v/>
      </c>
      <c r="E489">
        <f>IF(ISBLANK('Q:\Abteilungsprojekte\eng\EngData\AOS\Allgemein\[LabSamples2025.xlsx]Bioplastic'!E489)," ",'Q:\Abteilungsprojekte\eng\EngData\AOS\Allgemein\[LabSamples2025.xlsx]Bioplastic'!E489)</f>
        <v/>
      </c>
      <c r="F489">
        <f>IF(ISBLANK('Q:\Abteilungsprojekte\eng\EngData\AOS\Allgemein\[LabSamples2025.xlsx]Bioplastic'!F489)," ",'Q:\Abteilungsprojekte\eng\EngData\AOS\Allgemein\[LabSamples2025.xlsx]Bioplastic'!F489)</f>
        <v/>
      </c>
      <c r="G489">
        <f>IF(ISBLANK('Q:\Abteilungsprojekte\eng\EngData\AOS\Allgemein\[LabSamples2025.xlsx]Bioplastic'!G489)," ",'Q:\Abteilungsprojekte\eng\EngData\AOS\Allgemein\[LabSamples2025.xlsx]Bioplastic'!G489)</f>
        <v/>
      </c>
      <c r="H489">
        <f>IF(ISBLANK('Q:\Abteilungsprojekte\eng\EngData\AOS\Allgemein\[LabSamples2025.xlsx]Bioplastic'!H489)," ",'Q:\Abteilungsprojekte\eng\EngData\AOS\Allgemein\[LabSamples2025.xlsx]Bioplastic'!H489)</f>
        <v/>
      </c>
    </row>
    <row r="490">
      <c r="A490">
        <f>IF(ISBLANK('Q:\Abteilungsprojekte\eng\EngData\AOS\Allgemein\[LabSamples2025.xlsx]Bioplastic'!A490)," ",'Q:\Abteilungsprojekte\eng\EngData\AOS\Allgemein\[LabSamples2025.xlsx]Bioplastic'!A490)</f>
        <v/>
      </c>
      <c r="B490">
        <f>IF(ISBLANK('Q:\Abteilungsprojekte\eng\EngData\AOS\Allgemein\[LabSamples2025.xlsx]Bioplastic'!B490)," ",'Q:\Abteilungsprojekte\eng\EngData\AOS\Allgemein\[LabSamples2025.xlsx]Bioplastic'!B490)</f>
        <v/>
      </c>
      <c r="C490">
        <f>IF(ISBLANK('Q:\Abteilungsprojekte\eng\EngData\AOS\Allgemein\[LabSamples2025.xlsx]Bioplastic'!C490)," ",'Q:\Abteilungsprojekte\eng\EngData\AOS\Allgemein\[LabSamples2025.xlsx]Bioplastic'!C490)</f>
        <v/>
      </c>
      <c r="D490">
        <f>IF(ISBLANK('Q:\Abteilungsprojekte\eng\EngData\AOS\Allgemein\[LabSamples2025.xlsx]Bioplastic'!D490)," ",'Q:\Abteilungsprojekte\eng\EngData\AOS\Allgemein\[LabSamples2025.xlsx]Bioplastic'!D490)</f>
        <v/>
      </c>
      <c r="E490">
        <f>IF(ISBLANK('Q:\Abteilungsprojekte\eng\EngData\AOS\Allgemein\[LabSamples2025.xlsx]Bioplastic'!E490)," ",'Q:\Abteilungsprojekte\eng\EngData\AOS\Allgemein\[LabSamples2025.xlsx]Bioplastic'!E490)</f>
        <v/>
      </c>
      <c r="F490">
        <f>IF(ISBLANK('Q:\Abteilungsprojekte\eng\EngData\AOS\Allgemein\[LabSamples2025.xlsx]Bioplastic'!F490)," ",'Q:\Abteilungsprojekte\eng\EngData\AOS\Allgemein\[LabSamples2025.xlsx]Bioplastic'!F490)</f>
        <v/>
      </c>
      <c r="G490">
        <f>IF(ISBLANK('Q:\Abteilungsprojekte\eng\EngData\AOS\Allgemein\[LabSamples2025.xlsx]Bioplastic'!G490)," ",'Q:\Abteilungsprojekte\eng\EngData\AOS\Allgemein\[LabSamples2025.xlsx]Bioplastic'!G490)</f>
        <v/>
      </c>
      <c r="H490">
        <f>IF(ISBLANK('Q:\Abteilungsprojekte\eng\EngData\AOS\Allgemein\[LabSamples2025.xlsx]Bioplastic'!H490)," ",'Q:\Abteilungsprojekte\eng\EngData\AOS\Allgemein\[LabSamples2025.xlsx]Bioplastic'!H490)</f>
        <v/>
      </c>
    </row>
    <row r="491">
      <c r="A491">
        <f>IF(ISBLANK('Q:\Abteilungsprojekte\eng\EngData\AOS\Allgemein\[LabSamples2025.xlsx]Bioplastic'!A491)," ",'Q:\Abteilungsprojekte\eng\EngData\AOS\Allgemein\[LabSamples2025.xlsx]Bioplastic'!A491)</f>
        <v/>
      </c>
      <c r="B491">
        <f>IF(ISBLANK('Q:\Abteilungsprojekte\eng\EngData\AOS\Allgemein\[LabSamples2025.xlsx]Bioplastic'!B491)," ",'Q:\Abteilungsprojekte\eng\EngData\AOS\Allgemein\[LabSamples2025.xlsx]Bioplastic'!B491)</f>
        <v/>
      </c>
      <c r="C491">
        <f>IF(ISBLANK('Q:\Abteilungsprojekte\eng\EngData\AOS\Allgemein\[LabSamples2025.xlsx]Bioplastic'!C491)," ",'Q:\Abteilungsprojekte\eng\EngData\AOS\Allgemein\[LabSamples2025.xlsx]Bioplastic'!C491)</f>
        <v/>
      </c>
      <c r="D491">
        <f>IF(ISBLANK('Q:\Abteilungsprojekte\eng\EngData\AOS\Allgemein\[LabSamples2025.xlsx]Bioplastic'!D491)," ",'Q:\Abteilungsprojekte\eng\EngData\AOS\Allgemein\[LabSamples2025.xlsx]Bioplastic'!D491)</f>
        <v/>
      </c>
      <c r="E491">
        <f>IF(ISBLANK('Q:\Abteilungsprojekte\eng\EngData\AOS\Allgemein\[LabSamples2025.xlsx]Bioplastic'!E491)," ",'Q:\Abteilungsprojekte\eng\EngData\AOS\Allgemein\[LabSamples2025.xlsx]Bioplastic'!E491)</f>
        <v/>
      </c>
      <c r="F491">
        <f>IF(ISBLANK('Q:\Abteilungsprojekte\eng\EngData\AOS\Allgemein\[LabSamples2025.xlsx]Bioplastic'!F491)," ",'Q:\Abteilungsprojekte\eng\EngData\AOS\Allgemein\[LabSamples2025.xlsx]Bioplastic'!F491)</f>
        <v/>
      </c>
      <c r="G491">
        <f>IF(ISBLANK('Q:\Abteilungsprojekte\eng\EngData\AOS\Allgemein\[LabSamples2025.xlsx]Bioplastic'!G491)," ",'Q:\Abteilungsprojekte\eng\EngData\AOS\Allgemein\[LabSamples2025.xlsx]Bioplastic'!G491)</f>
        <v/>
      </c>
      <c r="H491">
        <f>IF(ISBLANK('Q:\Abteilungsprojekte\eng\EngData\AOS\Allgemein\[LabSamples2025.xlsx]Bioplastic'!H491)," ",'Q:\Abteilungsprojekte\eng\EngData\AOS\Allgemein\[LabSamples2025.xlsx]Bioplastic'!H491)</f>
        <v/>
      </c>
    </row>
    <row r="492">
      <c r="A492">
        <f>IF(ISBLANK('Q:\Abteilungsprojekte\eng\EngData\AOS\Allgemein\[LabSamples2025.xlsx]Bioplastic'!A492)," ",'Q:\Abteilungsprojekte\eng\EngData\AOS\Allgemein\[LabSamples2025.xlsx]Bioplastic'!A492)</f>
        <v/>
      </c>
      <c r="B492">
        <f>IF(ISBLANK('Q:\Abteilungsprojekte\eng\EngData\AOS\Allgemein\[LabSamples2025.xlsx]Bioplastic'!B492)," ",'Q:\Abteilungsprojekte\eng\EngData\AOS\Allgemein\[LabSamples2025.xlsx]Bioplastic'!B492)</f>
        <v/>
      </c>
      <c r="C492">
        <f>IF(ISBLANK('Q:\Abteilungsprojekte\eng\EngData\AOS\Allgemein\[LabSamples2025.xlsx]Bioplastic'!C492)," ",'Q:\Abteilungsprojekte\eng\EngData\AOS\Allgemein\[LabSamples2025.xlsx]Bioplastic'!C492)</f>
        <v/>
      </c>
      <c r="D492">
        <f>IF(ISBLANK('Q:\Abteilungsprojekte\eng\EngData\AOS\Allgemein\[LabSamples2025.xlsx]Bioplastic'!D492)," ",'Q:\Abteilungsprojekte\eng\EngData\AOS\Allgemein\[LabSamples2025.xlsx]Bioplastic'!D492)</f>
        <v/>
      </c>
      <c r="E492">
        <f>IF(ISBLANK('Q:\Abteilungsprojekte\eng\EngData\AOS\Allgemein\[LabSamples2025.xlsx]Bioplastic'!E492)," ",'Q:\Abteilungsprojekte\eng\EngData\AOS\Allgemein\[LabSamples2025.xlsx]Bioplastic'!E492)</f>
        <v/>
      </c>
      <c r="F492">
        <f>IF(ISBLANK('Q:\Abteilungsprojekte\eng\EngData\AOS\Allgemein\[LabSamples2025.xlsx]Bioplastic'!F492)," ",'Q:\Abteilungsprojekte\eng\EngData\AOS\Allgemein\[LabSamples2025.xlsx]Bioplastic'!F492)</f>
        <v/>
      </c>
      <c r="G492">
        <f>IF(ISBLANK('Q:\Abteilungsprojekte\eng\EngData\AOS\Allgemein\[LabSamples2025.xlsx]Bioplastic'!G492)," ",'Q:\Abteilungsprojekte\eng\EngData\AOS\Allgemein\[LabSamples2025.xlsx]Bioplastic'!G492)</f>
        <v/>
      </c>
      <c r="H492">
        <f>IF(ISBLANK('Q:\Abteilungsprojekte\eng\EngData\AOS\Allgemein\[LabSamples2025.xlsx]Bioplastic'!H492)," ",'Q:\Abteilungsprojekte\eng\EngData\AOS\Allgemein\[LabSamples2025.xlsx]Bioplastic'!H492)</f>
        <v/>
      </c>
    </row>
    <row r="493">
      <c r="A493">
        <f>IF(ISBLANK('Q:\Abteilungsprojekte\eng\EngData\AOS\Allgemein\[LabSamples2025.xlsx]Bioplastic'!A493)," ",'Q:\Abteilungsprojekte\eng\EngData\AOS\Allgemein\[LabSamples2025.xlsx]Bioplastic'!A493)</f>
        <v/>
      </c>
      <c r="B493">
        <f>IF(ISBLANK('Q:\Abteilungsprojekte\eng\EngData\AOS\Allgemein\[LabSamples2025.xlsx]Bioplastic'!B493)," ",'Q:\Abteilungsprojekte\eng\EngData\AOS\Allgemein\[LabSamples2025.xlsx]Bioplastic'!B493)</f>
        <v/>
      </c>
      <c r="C493">
        <f>IF(ISBLANK('Q:\Abteilungsprojekte\eng\EngData\AOS\Allgemein\[LabSamples2025.xlsx]Bioplastic'!C493)," ",'Q:\Abteilungsprojekte\eng\EngData\AOS\Allgemein\[LabSamples2025.xlsx]Bioplastic'!C493)</f>
        <v/>
      </c>
      <c r="D493">
        <f>IF(ISBLANK('Q:\Abteilungsprojekte\eng\EngData\AOS\Allgemein\[LabSamples2025.xlsx]Bioplastic'!D493)," ",'Q:\Abteilungsprojekte\eng\EngData\AOS\Allgemein\[LabSamples2025.xlsx]Bioplastic'!D493)</f>
        <v/>
      </c>
      <c r="E493">
        <f>IF(ISBLANK('Q:\Abteilungsprojekte\eng\EngData\AOS\Allgemein\[LabSamples2025.xlsx]Bioplastic'!E493)," ",'Q:\Abteilungsprojekte\eng\EngData\AOS\Allgemein\[LabSamples2025.xlsx]Bioplastic'!E493)</f>
        <v/>
      </c>
      <c r="F493">
        <f>IF(ISBLANK('Q:\Abteilungsprojekte\eng\EngData\AOS\Allgemein\[LabSamples2025.xlsx]Bioplastic'!F493)," ",'Q:\Abteilungsprojekte\eng\EngData\AOS\Allgemein\[LabSamples2025.xlsx]Bioplastic'!F493)</f>
        <v/>
      </c>
      <c r="G493">
        <f>IF(ISBLANK('Q:\Abteilungsprojekte\eng\EngData\AOS\Allgemein\[LabSamples2025.xlsx]Bioplastic'!G493)," ",'Q:\Abteilungsprojekte\eng\EngData\AOS\Allgemein\[LabSamples2025.xlsx]Bioplastic'!G493)</f>
        <v/>
      </c>
      <c r="H493">
        <f>IF(ISBLANK('Q:\Abteilungsprojekte\eng\EngData\AOS\Allgemein\[LabSamples2025.xlsx]Bioplastic'!H493)," ",'Q:\Abteilungsprojekte\eng\EngData\AOS\Allgemein\[LabSamples2025.xlsx]Bioplastic'!H493)</f>
        <v/>
      </c>
    </row>
    <row r="494">
      <c r="A494">
        <f>IF(ISBLANK('Q:\Abteilungsprojekte\eng\EngData\AOS\Allgemein\[LabSamples2025.xlsx]Bioplastic'!A494)," ",'Q:\Abteilungsprojekte\eng\EngData\AOS\Allgemein\[LabSamples2025.xlsx]Bioplastic'!A494)</f>
        <v/>
      </c>
      <c r="B494">
        <f>IF(ISBLANK('Q:\Abteilungsprojekte\eng\EngData\AOS\Allgemein\[LabSamples2025.xlsx]Bioplastic'!B494)," ",'Q:\Abteilungsprojekte\eng\EngData\AOS\Allgemein\[LabSamples2025.xlsx]Bioplastic'!B494)</f>
        <v/>
      </c>
      <c r="C494">
        <f>IF(ISBLANK('Q:\Abteilungsprojekte\eng\EngData\AOS\Allgemein\[LabSamples2025.xlsx]Bioplastic'!C494)," ",'Q:\Abteilungsprojekte\eng\EngData\AOS\Allgemein\[LabSamples2025.xlsx]Bioplastic'!C494)</f>
        <v/>
      </c>
      <c r="D494">
        <f>IF(ISBLANK('Q:\Abteilungsprojekte\eng\EngData\AOS\Allgemein\[LabSamples2025.xlsx]Bioplastic'!D494)," ",'Q:\Abteilungsprojekte\eng\EngData\AOS\Allgemein\[LabSamples2025.xlsx]Bioplastic'!D494)</f>
        <v/>
      </c>
      <c r="E494">
        <f>IF(ISBLANK('Q:\Abteilungsprojekte\eng\EngData\AOS\Allgemein\[LabSamples2025.xlsx]Bioplastic'!E494)," ",'Q:\Abteilungsprojekte\eng\EngData\AOS\Allgemein\[LabSamples2025.xlsx]Bioplastic'!E494)</f>
        <v/>
      </c>
      <c r="F494">
        <f>IF(ISBLANK('Q:\Abteilungsprojekte\eng\EngData\AOS\Allgemein\[LabSamples2025.xlsx]Bioplastic'!F494)," ",'Q:\Abteilungsprojekte\eng\EngData\AOS\Allgemein\[LabSamples2025.xlsx]Bioplastic'!F494)</f>
        <v/>
      </c>
      <c r="G494">
        <f>IF(ISBLANK('Q:\Abteilungsprojekte\eng\EngData\AOS\Allgemein\[LabSamples2025.xlsx]Bioplastic'!G494)," ",'Q:\Abteilungsprojekte\eng\EngData\AOS\Allgemein\[LabSamples2025.xlsx]Bioplastic'!G494)</f>
        <v/>
      </c>
      <c r="H494">
        <f>IF(ISBLANK('Q:\Abteilungsprojekte\eng\EngData\AOS\Allgemein\[LabSamples2025.xlsx]Bioplastic'!H494)," ",'Q:\Abteilungsprojekte\eng\EngData\AOS\Allgemein\[LabSamples2025.xlsx]Bioplastic'!H494)</f>
        <v/>
      </c>
    </row>
    <row r="495">
      <c r="A495">
        <f>IF(ISBLANK('Q:\Abteilungsprojekte\eng\EngData\AOS\Allgemein\[LabSamples2025.xlsx]Bioplastic'!A495)," ",'Q:\Abteilungsprojekte\eng\EngData\AOS\Allgemein\[LabSamples2025.xlsx]Bioplastic'!A495)</f>
        <v/>
      </c>
      <c r="B495">
        <f>IF(ISBLANK('Q:\Abteilungsprojekte\eng\EngData\AOS\Allgemein\[LabSamples2025.xlsx]Bioplastic'!B495)," ",'Q:\Abteilungsprojekte\eng\EngData\AOS\Allgemein\[LabSamples2025.xlsx]Bioplastic'!B495)</f>
        <v/>
      </c>
      <c r="C495">
        <f>IF(ISBLANK('Q:\Abteilungsprojekte\eng\EngData\AOS\Allgemein\[LabSamples2025.xlsx]Bioplastic'!C495)," ",'Q:\Abteilungsprojekte\eng\EngData\AOS\Allgemein\[LabSamples2025.xlsx]Bioplastic'!C495)</f>
        <v/>
      </c>
      <c r="D495">
        <f>IF(ISBLANK('Q:\Abteilungsprojekte\eng\EngData\AOS\Allgemein\[LabSamples2025.xlsx]Bioplastic'!D495)," ",'Q:\Abteilungsprojekte\eng\EngData\AOS\Allgemein\[LabSamples2025.xlsx]Bioplastic'!D495)</f>
        <v/>
      </c>
      <c r="E495">
        <f>IF(ISBLANK('Q:\Abteilungsprojekte\eng\EngData\AOS\Allgemein\[LabSamples2025.xlsx]Bioplastic'!E495)," ",'Q:\Abteilungsprojekte\eng\EngData\AOS\Allgemein\[LabSamples2025.xlsx]Bioplastic'!E495)</f>
        <v/>
      </c>
      <c r="F495">
        <f>IF(ISBLANK('Q:\Abteilungsprojekte\eng\EngData\AOS\Allgemein\[LabSamples2025.xlsx]Bioplastic'!F495)," ",'Q:\Abteilungsprojekte\eng\EngData\AOS\Allgemein\[LabSamples2025.xlsx]Bioplastic'!F495)</f>
        <v/>
      </c>
      <c r="G495">
        <f>IF(ISBLANK('Q:\Abteilungsprojekte\eng\EngData\AOS\Allgemein\[LabSamples2025.xlsx]Bioplastic'!G495)," ",'Q:\Abteilungsprojekte\eng\EngData\AOS\Allgemein\[LabSamples2025.xlsx]Bioplastic'!G495)</f>
        <v/>
      </c>
      <c r="H495">
        <f>IF(ISBLANK('Q:\Abteilungsprojekte\eng\EngData\AOS\Allgemein\[LabSamples2025.xlsx]Bioplastic'!H495)," ",'Q:\Abteilungsprojekte\eng\EngData\AOS\Allgemein\[LabSamples2025.xlsx]Bioplastic'!H495)</f>
        <v/>
      </c>
    </row>
    <row r="496">
      <c r="A496">
        <f>IF(ISBLANK('Q:\Abteilungsprojekte\eng\EngData\AOS\Allgemein\[LabSamples2025.xlsx]Bioplastic'!A496)," ",'Q:\Abteilungsprojekte\eng\EngData\AOS\Allgemein\[LabSamples2025.xlsx]Bioplastic'!A496)</f>
        <v/>
      </c>
      <c r="B496">
        <f>IF(ISBLANK('Q:\Abteilungsprojekte\eng\EngData\AOS\Allgemein\[LabSamples2025.xlsx]Bioplastic'!B496)," ",'Q:\Abteilungsprojekte\eng\EngData\AOS\Allgemein\[LabSamples2025.xlsx]Bioplastic'!B496)</f>
        <v/>
      </c>
      <c r="C496">
        <f>IF(ISBLANK('Q:\Abteilungsprojekte\eng\EngData\AOS\Allgemein\[LabSamples2025.xlsx]Bioplastic'!C496)," ",'Q:\Abteilungsprojekte\eng\EngData\AOS\Allgemein\[LabSamples2025.xlsx]Bioplastic'!C496)</f>
        <v/>
      </c>
      <c r="D496">
        <f>IF(ISBLANK('Q:\Abteilungsprojekte\eng\EngData\AOS\Allgemein\[LabSamples2025.xlsx]Bioplastic'!D496)," ",'Q:\Abteilungsprojekte\eng\EngData\AOS\Allgemein\[LabSamples2025.xlsx]Bioplastic'!D496)</f>
        <v/>
      </c>
      <c r="E496">
        <f>IF(ISBLANK('Q:\Abteilungsprojekte\eng\EngData\AOS\Allgemein\[LabSamples2025.xlsx]Bioplastic'!E496)," ",'Q:\Abteilungsprojekte\eng\EngData\AOS\Allgemein\[LabSamples2025.xlsx]Bioplastic'!E496)</f>
        <v/>
      </c>
      <c r="F496">
        <f>IF(ISBLANK('Q:\Abteilungsprojekte\eng\EngData\AOS\Allgemein\[LabSamples2025.xlsx]Bioplastic'!F496)," ",'Q:\Abteilungsprojekte\eng\EngData\AOS\Allgemein\[LabSamples2025.xlsx]Bioplastic'!F496)</f>
        <v/>
      </c>
      <c r="G496">
        <f>IF(ISBLANK('Q:\Abteilungsprojekte\eng\EngData\AOS\Allgemein\[LabSamples2025.xlsx]Bioplastic'!G496)," ",'Q:\Abteilungsprojekte\eng\EngData\AOS\Allgemein\[LabSamples2025.xlsx]Bioplastic'!G496)</f>
        <v/>
      </c>
      <c r="H496">
        <f>IF(ISBLANK('Q:\Abteilungsprojekte\eng\EngData\AOS\Allgemein\[LabSamples2025.xlsx]Bioplastic'!H496)," ",'Q:\Abteilungsprojekte\eng\EngData\AOS\Allgemein\[LabSamples2025.xlsx]Bioplastic'!H496)</f>
        <v/>
      </c>
    </row>
    <row r="497">
      <c r="A497">
        <f>IF(ISBLANK('Q:\Abteilungsprojekte\eng\EngData\AOS\Allgemein\[LabSamples2025.xlsx]Bioplastic'!A497)," ",'Q:\Abteilungsprojekte\eng\EngData\AOS\Allgemein\[LabSamples2025.xlsx]Bioplastic'!A497)</f>
        <v/>
      </c>
      <c r="B497">
        <f>IF(ISBLANK('Q:\Abteilungsprojekte\eng\EngData\AOS\Allgemein\[LabSamples2025.xlsx]Bioplastic'!B497)," ",'Q:\Abteilungsprojekte\eng\EngData\AOS\Allgemein\[LabSamples2025.xlsx]Bioplastic'!B497)</f>
        <v/>
      </c>
      <c r="C497">
        <f>IF(ISBLANK('Q:\Abteilungsprojekte\eng\EngData\AOS\Allgemein\[LabSamples2025.xlsx]Bioplastic'!C497)," ",'Q:\Abteilungsprojekte\eng\EngData\AOS\Allgemein\[LabSamples2025.xlsx]Bioplastic'!C497)</f>
        <v/>
      </c>
      <c r="D497">
        <f>IF(ISBLANK('Q:\Abteilungsprojekte\eng\EngData\AOS\Allgemein\[LabSamples2025.xlsx]Bioplastic'!D497)," ",'Q:\Abteilungsprojekte\eng\EngData\AOS\Allgemein\[LabSamples2025.xlsx]Bioplastic'!D497)</f>
        <v/>
      </c>
      <c r="E497">
        <f>IF(ISBLANK('Q:\Abteilungsprojekte\eng\EngData\AOS\Allgemein\[LabSamples2025.xlsx]Bioplastic'!E497)," ",'Q:\Abteilungsprojekte\eng\EngData\AOS\Allgemein\[LabSamples2025.xlsx]Bioplastic'!E497)</f>
        <v/>
      </c>
      <c r="F497">
        <f>IF(ISBLANK('Q:\Abteilungsprojekte\eng\EngData\AOS\Allgemein\[LabSamples2025.xlsx]Bioplastic'!F497)," ",'Q:\Abteilungsprojekte\eng\EngData\AOS\Allgemein\[LabSamples2025.xlsx]Bioplastic'!F497)</f>
        <v/>
      </c>
      <c r="G497">
        <f>IF(ISBLANK('Q:\Abteilungsprojekte\eng\EngData\AOS\Allgemein\[LabSamples2025.xlsx]Bioplastic'!G497)," ",'Q:\Abteilungsprojekte\eng\EngData\AOS\Allgemein\[LabSamples2025.xlsx]Bioplastic'!G497)</f>
        <v/>
      </c>
      <c r="H497">
        <f>IF(ISBLANK('Q:\Abteilungsprojekte\eng\EngData\AOS\Allgemein\[LabSamples2025.xlsx]Bioplastic'!H497)," ",'Q:\Abteilungsprojekte\eng\EngData\AOS\Allgemein\[LabSamples2025.xlsx]Bioplastic'!H497)</f>
        <v/>
      </c>
    </row>
    <row r="498">
      <c r="A498">
        <f>IF(ISBLANK('Q:\Abteilungsprojekte\eng\EngData\AOS\Allgemein\[LabSamples2025.xlsx]Bioplastic'!A498)," ",'Q:\Abteilungsprojekte\eng\EngData\AOS\Allgemein\[LabSamples2025.xlsx]Bioplastic'!A498)</f>
        <v/>
      </c>
      <c r="B498">
        <f>IF(ISBLANK('Q:\Abteilungsprojekte\eng\EngData\AOS\Allgemein\[LabSamples2025.xlsx]Bioplastic'!B498)," ",'Q:\Abteilungsprojekte\eng\EngData\AOS\Allgemein\[LabSamples2025.xlsx]Bioplastic'!B498)</f>
        <v/>
      </c>
      <c r="C498">
        <f>IF(ISBLANK('Q:\Abteilungsprojekte\eng\EngData\AOS\Allgemein\[LabSamples2025.xlsx]Bioplastic'!C498)," ",'Q:\Abteilungsprojekte\eng\EngData\AOS\Allgemein\[LabSamples2025.xlsx]Bioplastic'!C498)</f>
        <v/>
      </c>
      <c r="D498">
        <f>IF(ISBLANK('Q:\Abteilungsprojekte\eng\EngData\AOS\Allgemein\[LabSamples2025.xlsx]Bioplastic'!D498)," ",'Q:\Abteilungsprojekte\eng\EngData\AOS\Allgemein\[LabSamples2025.xlsx]Bioplastic'!D498)</f>
        <v/>
      </c>
      <c r="E498">
        <f>IF(ISBLANK('Q:\Abteilungsprojekte\eng\EngData\AOS\Allgemein\[LabSamples2025.xlsx]Bioplastic'!E498)," ",'Q:\Abteilungsprojekte\eng\EngData\AOS\Allgemein\[LabSamples2025.xlsx]Bioplastic'!E498)</f>
        <v/>
      </c>
      <c r="F498">
        <f>IF(ISBLANK('Q:\Abteilungsprojekte\eng\EngData\AOS\Allgemein\[LabSamples2025.xlsx]Bioplastic'!F498)," ",'Q:\Abteilungsprojekte\eng\EngData\AOS\Allgemein\[LabSamples2025.xlsx]Bioplastic'!F498)</f>
        <v/>
      </c>
      <c r="G498">
        <f>IF(ISBLANK('Q:\Abteilungsprojekte\eng\EngData\AOS\Allgemein\[LabSamples2025.xlsx]Bioplastic'!G498)," ",'Q:\Abteilungsprojekte\eng\EngData\AOS\Allgemein\[LabSamples2025.xlsx]Bioplastic'!G498)</f>
        <v/>
      </c>
      <c r="H498">
        <f>IF(ISBLANK('Q:\Abteilungsprojekte\eng\EngData\AOS\Allgemein\[LabSamples2025.xlsx]Bioplastic'!H498)," ",'Q:\Abteilungsprojekte\eng\EngData\AOS\Allgemein\[LabSamples2025.xlsx]Bioplastic'!H498)</f>
        <v/>
      </c>
    </row>
    <row r="499">
      <c r="A499">
        <f>IF(ISBLANK('Q:\Abteilungsprojekte\eng\EngData\AOS\Allgemein\[LabSamples2025.xlsx]Bioplastic'!A499)," ",'Q:\Abteilungsprojekte\eng\EngData\AOS\Allgemein\[LabSamples2025.xlsx]Bioplastic'!A499)</f>
        <v/>
      </c>
      <c r="B499">
        <f>IF(ISBLANK('Q:\Abteilungsprojekte\eng\EngData\AOS\Allgemein\[LabSamples2025.xlsx]Bioplastic'!B499)," ",'Q:\Abteilungsprojekte\eng\EngData\AOS\Allgemein\[LabSamples2025.xlsx]Bioplastic'!B499)</f>
        <v/>
      </c>
      <c r="C499">
        <f>IF(ISBLANK('Q:\Abteilungsprojekte\eng\EngData\AOS\Allgemein\[LabSamples2025.xlsx]Bioplastic'!C499)," ",'Q:\Abteilungsprojekte\eng\EngData\AOS\Allgemein\[LabSamples2025.xlsx]Bioplastic'!C499)</f>
        <v/>
      </c>
      <c r="D499">
        <f>IF(ISBLANK('Q:\Abteilungsprojekte\eng\EngData\AOS\Allgemein\[LabSamples2025.xlsx]Bioplastic'!D499)," ",'Q:\Abteilungsprojekte\eng\EngData\AOS\Allgemein\[LabSamples2025.xlsx]Bioplastic'!D499)</f>
        <v/>
      </c>
      <c r="E499">
        <f>IF(ISBLANK('Q:\Abteilungsprojekte\eng\EngData\AOS\Allgemein\[LabSamples2025.xlsx]Bioplastic'!E499)," ",'Q:\Abteilungsprojekte\eng\EngData\AOS\Allgemein\[LabSamples2025.xlsx]Bioplastic'!E499)</f>
        <v/>
      </c>
      <c r="F499">
        <f>IF(ISBLANK('Q:\Abteilungsprojekte\eng\EngData\AOS\Allgemein\[LabSamples2025.xlsx]Bioplastic'!F499)," ",'Q:\Abteilungsprojekte\eng\EngData\AOS\Allgemein\[LabSamples2025.xlsx]Bioplastic'!F499)</f>
        <v/>
      </c>
      <c r="G499">
        <f>IF(ISBLANK('Q:\Abteilungsprojekte\eng\EngData\AOS\Allgemein\[LabSamples2025.xlsx]Bioplastic'!G499)," ",'Q:\Abteilungsprojekte\eng\EngData\AOS\Allgemein\[LabSamples2025.xlsx]Bioplastic'!G499)</f>
        <v/>
      </c>
      <c r="H499">
        <f>IF(ISBLANK('Q:\Abteilungsprojekte\eng\EngData\AOS\Allgemein\[LabSamples2025.xlsx]Bioplastic'!H499)," ",'Q:\Abteilungsprojekte\eng\EngData\AOS\Allgemein\[LabSamples2025.xlsx]Bioplastic'!H499)</f>
        <v/>
      </c>
    </row>
    <row r="500">
      <c r="A500">
        <f>IF(ISBLANK('Q:\Abteilungsprojekte\eng\EngData\AOS\Allgemein\[LabSamples2025.xlsx]Bioplastic'!A500)," ",'Q:\Abteilungsprojekte\eng\EngData\AOS\Allgemein\[LabSamples2025.xlsx]Bioplastic'!A500)</f>
        <v/>
      </c>
      <c r="B500">
        <f>IF(ISBLANK('Q:\Abteilungsprojekte\eng\EngData\AOS\Allgemein\[LabSamples2025.xlsx]Bioplastic'!B500)," ",'Q:\Abteilungsprojekte\eng\EngData\AOS\Allgemein\[LabSamples2025.xlsx]Bioplastic'!B500)</f>
        <v/>
      </c>
      <c r="C500">
        <f>IF(ISBLANK('Q:\Abteilungsprojekte\eng\EngData\AOS\Allgemein\[LabSamples2025.xlsx]Bioplastic'!C500)," ",'Q:\Abteilungsprojekte\eng\EngData\AOS\Allgemein\[LabSamples2025.xlsx]Bioplastic'!C500)</f>
        <v/>
      </c>
      <c r="D500">
        <f>IF(ISBLANK('Q:\Abteilungsprojekte\eng\EngData\AOS\Allgemein\[LabSamples2025.xlsx]Bioplastic'!D500)," ",'Q:\Abteilungsprojekte\eng\EngData\AOS\Allgemein\[LabSamples2025.xlsx]Bioplastic'!D500)</f>
        <v/>
      </c>
      <c r="E500">
        <f>IF(ISBLANK('Q:\Abteilungsprojekte\eng\EngData\AOS\Allgemein\[LabSamples2025.xlsx]Bioplastic'!E500)," ",'Q:\Abteilungsprojekte\eng\EngData\AOS\Allgemein\[LabSamples2025.xlsx]Bioplastic'!E500)</f>
        <v/>
      </c>
      <c r="F500">
        <f>IF(ISBLANK('Q:\Abteilungsprojekte\eng\EngData\AOS\Allgemein\[LabSamples2025.xlsx]Bioplastic'!F500)," ",'Q:\Abteilungsprojekte\eng\EngData\AOS\Allgemein\[LabSamples2025.xlsx]Bioplastic'!F500)</f>
        <v/>
      </c>
      <c r="G500">
        <f>IF(ISBLANK('Q:\Abteilungsprojekte\eng\EngData\AOS\Allgemein\[LabSamples2025.xlsx]Bioplastic'!G500)," ",'Q:\Abteilungsprojekte\eng\EngData\AOS\Allgemein\[LabSamples2025.xlsx]Bioplastic'!G500)</f>
        <v/>
      </c>
      <c r="H500">
        <f>IF(ISBLANK('Q:\Abteilungsprojekte\eng\EngData\AOS\Allgemein\[LabSamples2025.xlsx]Bioplastic'!H500)," ",'Q:\Abteilungsprojekte\eng\EngData\AOS\Allgemein\[LabSamples2025.xlsx]Bioplastic'!H500)</f>
        <v/>
      </c>
    </row>
    <row r="501">
      <c r="A501">
        <f>IF(ISBLANK('Q:\Abteilungsprojekte\eng\EngData\AOS\Allgemein\[LabSamples2025.xlsx]Bioplastic'!A501)," ",'Q:\Abteilungsprojekte\eng\EngData\AOS\Allgemein\[LabSamples2025.xlsx]Bioplastic'!A501)</f>
        <v/>
      </c>
      <c r="B501">
        <f>IF(ISBLANK('Q:\Abteilungsprojekte\eng\EngData\AOS\Allgemein\[LabSamples2025.xlsx]Bioplastic'!B501)," ",'Q:\Abteilungsprojekte\eng\EngData\AOS\Allgemein\[LabSamples2025.xlsx]Bioplastic'!B501)</f>
        <v/>
      </c>
      <c r="C501">
        <f>IF(ISBLANK('Q:\Abteilungsprojekte\eng\EngData\AOS\Allgemein\[LabSamples2025.xlsx]Bioplastic'!C501)," ",'Q:\Abteilungsprojekte\eng\EngData\AOS\Allgemein\[LabSamples2025.xlsx]Bioplastic'!C501)</f>
        <v/>
      </c>
      <c r="D501">
        <f>IF(ISBLANK('Q:\Abteilungsprojekte\eng\EngData\AOS\Allgemein\[LabSamples2025.xlsx]Bioplastic'!D501)," ",'Q:\Abteilungsprojekte\eng\EngData\AOS\Allgemein\[LabSamples2025.xlsx]Bioplastic'!D501)</f>
        <v/>
      </c>
      <c r="E501">
        <f>IF(ISBLANK('Q:\Abteilungsprojekte\eng\EngData\AOS\Allgemein\[LabSamples2025.xlsx]Bioplastic'!E501)," ",'Q:\Abteilungsprojekte\eng\EngData\AOS\Allgemein\[LabSamples2025.xlsx]Bioplastic'!E501)</f>
        <v/>
      </c>
      <c r="F501">
        <f>IF(ISBLANK('Q:\Abteilungsprojekte\eng\EngData\AOS\Allgemein\[LabSamples2025.xlsx]Bioplastic'!F501)," ",'Q:\Abteilungsprojekte\eng\EngData\AOS\Allgemein\[LabSamples2025.xlsx]Bioplastic'!F501)</f>
        <v/>
      </c>
      <c r="G501">
        <f>IF(ISBLANK('Q:\Abteilungsprojekte\eng\EngData\AOS\Allgemein\[LabSamples2025.xlsx]Bioplastic'!G501)," ",'Q:\Abteilungsprojekte\eng\EngData\AOS\Allgemein\[LabSamples2025.xlsx]Bioplastic'!G501)</f>
        <v/>
      </c>
      <c r="H501">
        <f>IF(ISBLANK('Q:\Abteilungsprojekte\eng\EngData\AOS\Allgemein\[LabSamples2025.xlsx]Bioplastic'!H501)," ",'Q:\Abteilungsprojekte\eng\EngData\AOS\Allgemein\[LabSamples2025.xlsx]Bioplastic'!H501)</f>
        <v/>
      </c>
    </row>
    <row r="502">
      <c r="A502">
        <f>IF(ISBLANK('Q:\Abteilungsprojekte\eng\EngData\AOS\Allgemein\[LabSamples2025.xlsx]Bioplastic'!A502)," ",'Q:\Abteilungsprojekte\eng\EngData\AOS\Allgemein\[LabSamples2025.xlsx]Bioplastic'!A502)</f>
        <v/>
      </c>
      <c r="B502">
        <f>IF(ISBLANK('Q:\Abteilungsprojekte\eng\EngData\AOS\Allgemein\[LabSamples2025.xlsx]Bioplastic'!B502)," ",'Q:\Abteilungsprojekte\eng\EngData\AOS\Allgemein\[LabSamples2025.xlsx]Bioplastic'!B502)</f>
        <v/>
      </c>
      <c r="C502">
        <f>IF(ISBLANK('Q:\Abteilungsprojekte\eng\EngData\AOS\Allgemein\[LabSamples2025.xlsx]Bioplastic'!C502)," ",'Q:\Abteilungsprojekte\eng\EngData\AOS\Allgemein\[LabSamples2025.xlsx]Bioplastic'!C502)</f>
        <v/>
      </c>
      <c r="D502">
        <f>IF(ISBLANK('Q:\Abteilungsprojekte\eng\EngData\AOS\Allgemein\[LabSamples2025.xlsx]Bioplastic'!D502)," ",'Q:\Abteilungsprojekte\eng\EngData\AOS\Allgemein\[LabSamples2025.xlsx]Bioplastic'!D502)</f>
        <v/>
      </c>
      <c r="E502">
        <f>IF(ISBLANK('Q:\Abteilungsprojekte\eng\EngData\AOS\Allgemein\[LabSamples2025.xlsx]Bioplastic'!E502)," ",'Q:\Abteilungsprojekte\eng\EngData\AOS\Allgemein\[LabSamples2025.xlsx]Bioplastic'!E502)</f>
        <v/>
      </c>
      <c r="F502">
        <f>IF(ISBLANK('Q:\Abteilungsprojekte\eng\EngData\AOS\Allgemein\[LabSamples2025.xlsx]Bioplastic'!F502)," ",'Q:\Abteilungsprojekte\eng\EngData\AOS\Allgemein\[LabSamples2025.xlsx]Bioplastic'!F502)</f>
        <v/>
      </c>
      <c r="G502">
        <f>IF(ISBLANK('Q:\Abteilungsprojekte\eng\EngData\AOS\Allgemein\[LabSamples2025.xlsx]Bioplastic'!G502)," ",'Q:\Abteilungsprojekte\eng\EngData\AOS\Allgemein\[LabSamples2025.xlsx]Bioplastic'!G502)</f>
        <v/>
      </c>
      <c r="H502">
        <f>IF(ISBLANK('Q:\Abteilungsprojekte\eng\EngData\AOS\Allgemein\[LabSamples2025.xlsx]Bioplastic'!H502)," ",'Q:\Abteilungsprojekte\eng\EngData\AOS\Allgemein\[LabSamples2025.xlsx]Bioplastic'!H502)</f>
        <v/>
      </c>
    </row>
    <row r="503">
      <c r="A503">
        <f>IF(ISBLANK('Q:\Abteilungsprojekte\eng\EngData\AOS\Allgemein\[LabSamples2025.xlsx]Bioplastic'!A503)," ",'Q:\Abteilungsprojekte\eng\EngData\AOS\Allgemein\[LabSamples2025.xlsx]Bioplastic'!A503)</f>
        <v/>
      </c>
      <c r="B503">
        <f>IF(ISBLANK('Q:\Abteilungsprojekte\eng\EngData\AOS\Allgemein\[LabSamples2025.xlsx]Bioplastic'!B503)," ",'Q:\Abteilungsprojekte\eng\EngData\AOS\Allgemein\[LabSamples2025.xlsx]Bioplastic'!B503)</f>
        <v/>
      </c>
      <c r="C503">
        <f>IF(ISBLANK('Q:\Abteilungsprojekte\eng\EngData\AOS\Allgemein\[LabSamples2025.xlsx]Bioplastic'!C503)," ",'Q:\Abteilungsprojekte\eng\EngData\AOS\Allgemein\[LabSamples2025.xlsx]Bioplastic'!C503)</f>
        <v/>
      </c>
      <c r="D503">
        <f>IF(ISBLANK('Q:\Abteilungsprojekte\eng\EngData\AOS\Allgemein\[LabSamples2025.xlsx]Bioplastic'!D503)," ",'Q:\Abteilungsprojekte\eng\EngData\AOS\Allgemein\[LabSamples2025.xlsx]Bioplastic'!D503)</f>
        <v/>
      </c>
      <c r="E503">
        <f>IF(ISBLANK('Q:\Abteilungsprojekte\eng\EngData\AOS\Allgemein\[LabSamples2025.xlsx]Bioplastic'!E503)," ",'Q:\Abteilungsprojekte\eng\EngData\AOS\Allgemein\[LabSamples2025.xlsx]Bioplastic'!E503)</f>
        <v/>
      </c>
      <c r="F503">
        <f>IF(ISBLANK('Q:\Abteilungsprojekte\eng\EngData\AOS\Allgemein\[LabSamples2025.xlsx]Bioplastic'!F503)," ",'Q:\Abteilungsprojekte\eng\EngData\AOS\Allgemein\[LabSamples2025.xlsx]Bioplastic'!F503)</f>
        <v/>
      </c>
      <c r="G503">
        <f>IF(ISBLANK('Q:\Abteilungsprojekte\eng\EngData\AOS\Allgemein\[LabSamples2025.xlsx]Bioplastic'!G503)," ",'Q:\Abteilungsprojekte\eng\EngData\AOS\Allgemein\[LabSamples2025.xlsx]Bioplastic'!G503)</f>
        <v/>
      </c>
      <c r="H503">
        <f>IF(ISBLANK('Q:\Abteilungsprojekte\eng\EngData\AOS\Allgemein\[LabSamples2025.xlsx]Bioplastic'!H503)," ",'Q:\Abteilungsprojekte\eng\EngData\AOS\Allgemein\[LabSamples2025.xlsx]Bioplastic'!H503)</f>
        <v/>
      </c>
    </row>
    <row r="504">
      <c r="A504">
        <f>IF(ISBLANK('Q:\Abteilungsprojekte\eng\EngData\AOS\Allgemein\[LabSamples2025.xlsx]Bioplastic'!A504)," ",'Q:\Abteilungsprojekte\eng\EngData\AOS\Allgemein\[LabSamples2025.xlsx]Bioplastic'!A504)</f>
        <v/>
      </c>
      <c r="B504">
        <f>IF(ISBLANK('Q:\Abteilungsprojekte\eng\EngData\AOS\Allgemein\[LabSamples2025.xlsx]Bioplastic'!B504)," ",'Q:\Abteilungsprojekte\eng\EngData\AOS\Allgemein\[LabSamples2025.xlsx]Bioplastic'!B504)</f>
        <v/>
      </c>
      <c r="C504">
        <f>IF(ISBLANK('Q:\Abteilungsprojekte\eng\EngData\AOS\Allgemein\[LabSamples2025.xlsx]Bioplastic'!C504)," ",'Q:\Abteilungsprojekte\eng\EngData\AOS\Allgemein\[LabSamples2025.xlsx]Bioplastic'!C504)</f>
        <v/>
      </c>
      <c r="D504">
        <f>IF(ISBLANK('Q:\Abteilungsprojekte\eng\EngData\AOS\Allgemein\[LabSamples2025.xlsx]Bioplastic'!D504)," ",'Q:\Abteilungsprojekte\eng\EngData\AOS\Allgemein\[LabSamples2025.xlsx]Bioplastic'!D504)</f>
        <v/>
      </c>
      <c r="E504">
        <f>IF(ISBLANK('Q:\Abteilungsprojekte\eng\EngData\AOS\Allgemein\[LabSamples2025.xlsx]Bioplastic'!E504)," ",'Q:\Abteilungsprojekte\eng\EngData\AOS\Allgemein\[LabSamples2025.xlsx]Bioplastic'!E504)</f>
        <v/>
      </c>
      <c r="F504">
        <f>IF(ISBLANK('Q:\Abteilungsprojekte\eng\EngData\AOS\Allgemein\[LabSamples2025.xlsx]Bioplastic'!F504)," ",'Q:\Abteilungsprojekte\eng\EngData\AOS\Allgemein\[LabSamples2025.xlsx]Bioplastic'!F504)</f>
        <v/>
      </c>
      <c r="G504">
        <f>IF(ISBLANK('Q:\Abteilungsprojekte\eng\EngData\AOS\Allgemein\[LabSamples2025.xlsx]Bioplastic'!G504)," ",'Q:\Abteilungsprojekte\eng\EngData\AOS\Allgemein\[LabSamples2025.xlsx]Bioplastic'!G504)</f>
        <v/>
      </c>
      <c r="H504">
        <f>IF(ISBLANK('Q:\Abteilungsprojekte\eng\EngData\AOS\Allgemein\[LabSamples2025.xlsx]Bioplastic'!H504)," ",'Q:\Abteilungsprojekte\eng\EngData\AOS\Allgemein\[LabSamples2025.xlsx]Bioplastic'!H504)</f>
        <v/>
      </c>
    </row>
    <row r="505">
      <c r="A505">
        <f>IF(ISBLANK('Q:\Abteilungsprojekte\eng\EngData\AOS\Allgemein\[LabSamples2025.xlsx]Bioplastic'!A505)," ",'Q:\Abteilungsprojekte\eng\EngData\AOS\Allgemein\[LabSamples2025.xlsx]Bioplastic'!A505)</f>
        <v/>
      </c>
      <c r="B505">
        <f>IF(ISBLANK('Q:\Abteilungsprojekte\eng\EngData\AOS\Allgemein\[LabSamples2025.xlsx]Bioplastic'!B505)," ",'Q:\Abteilungsprojekte\eng\EngData\AOS\Allgemein\[LabSamples2025.xlsx]Bioplastic'!B505)</f>
        <v/>
      </c>
      <c r="C505">
        <f>IF(ISBLANK('Q:\Abteilungsprojekte\eng\EngData\AOS\Allgemein\[LabSamples2025.xlsx]Bioplastic'!C505)," ",'Q:\Abteilungsprojekte\eng\EngData\AOS\Allgemein\[LabSamples2025.xlsx]Bioplastic'!C505)</f>
        <v/>
      </c>
      <c r="D505">
        <f>IF(ISBLANK('Q:\Abteilungsprojekte\eng\EngData\AOS\Allgemein\[LabSamples2025.xlsx]Bioplastic'!D505)," ",'Q:\Abteilungsprojekte\eng\EngData\AOS\Allgemein\[LabSamples2025.xlsx]Bioplastic'!D505)</f>
        <v/>
      </c>
      <c r="E505">
        <f>IF(ISBLANK('Q:\Abteilungsprojekte\eng\EngData\AOS\Allgemein\[LabSamples2025.xlsx]Bioplastic'!E505)," ",'Q:\Abteilungsprojekte\eng\EngData\AOS\Allgemein\[LabSamples2025.xlsx]Bioplastic'!E505)</f>
        <v/>
      </c>
      <c r="F505">
        <f>IF(ISBLANK('Q:\Abteilungsprojekte\eng\EngData\AOS\Allgemein\[LabSamples2025.xlsx]Bioplastic'!F505)," ",'Q:\Abteilungsprojekte\eng\EngData\AOS\Allgemein\[LabSamples2025.xlsx]Bioplastic'!F505)</f>
        <v/>
      </c>
      <c r="G505">
        <f>IF(ISBLANK('Q:\Abteilungsprojekte\eng\EngData\AOS\Allgemein\[LabSamples2025.xlsx]Bioplastic'!G505)," ",'Q:\Abteilungsprojekte\eng\EngData\AOS\Allgemein\[LabSamples2025.xlsx]Bioplastic'!G505)</f>
        <v/>
      </c>
      <c r="H505">
        <f>IF(ISBLANK('Q:\Abteilungsprojekte\eng\EngData\AOS\Allgemein\[LabSamples2025.xlsx]Bioplastic'!H505)," ",'Q:\Abteilungsprojekte\eng\EngData\AOS\Allgemein\[LabSamples2025.xlsx]Bioplastic'!H505)</f>
        <v/>
      </c>
    </row>
    <row r="506">
      <c r="A506">
        <f>IF(ISBLANK('Q:\Abteilungsprojekte\eng\EngData\AOS\Allgemein\[LabSamples2025.xlsx]Bioplastic'!A506)," ",'Q:\Abteilungsprojekte\eng\EngData\AOS\Allgemein\[LabSamples2025.xlsx]Bioplastic'!A506)</f>
        <v/>
      </c>
      <c r="B506">
        <f>IF(ISBLANK('Q:\Abteilungsprojekte\eng\EngData\AOS\Allgemein\[LabSamples2025.xlsx]Bioplastic'!B506)," ",'Q:\Abteilungsprojekte\eng\EngData\AOS\Allgemein\[LabSamples2025.xlsx]Bioplastic'!B506)</f>
        <v/>
      </c>
      <c r="C506">
        <f>IF(ISBLANK('Q:\Abteilungsprojekte\eng\EngData\AOS\Allgemein\[LabSamples2025.xlsx]Bioplastic'!C506)," ",'Q:\Abteilungsprojekte\eng\EngData\AOS\Allgemein\[LabSamples2025.xlsx]Bioplastic'!C506)</f>
        <v/>
      </c>
      <c r="D506">
        <f>IF(ISBLANK('Q:\Abteilungsprojekte\eng\EngData\AOS\Allgemein\[LabSamples2025.xlsx]Bioplastic'!D506)," ",'Q:\Abteilungsprojekte\eng\EngData\AOS\Allgemein\[LabSamples2025.xlsx]Bioplastic'!D506)</f>
        <v/>
      </c>
      <c r="E506">
        <f>IF(ISBLANK('Q:\Abteilungsprojekte\eng\EngData\AOS\Allgemein\[LabSamples2025.xlsx]Bioplastic'!E506)," ",'Q:\Abteilungsprojekte\eng\EngData\AOS\Allgemein\[LabSamples2025.xlsx]Bioplastic'!E506)</f>
        <v/>
      </c>
      <c r="F506">
        <f>IF(ISBLANK('Q:\Abteilungsprojekte\eng\EngData\AOS\Allgemein\[LabSamples2025.xlsx]Bioplastic'!F506)," ",'Q:\Abteilungsprojekte\eng\EngData\AOS\Allgemein\[LabSamples2025.xlsx]Bioplastic'!F506)</f>
        <v/>
      </c>
      <c r="G506">
        <f>IF(ISBLANK('Q:\Abteilungsprojekte\eng\EngData\AOS\Allgemein\[LabSamples2025.xlsx]Bioplastic'!G506)," ",'Q:\Abteilungsprojekte\eng\EngData\AOS\Allgemein\[LabSamples2025.xlsx]Bioplastic'!G506)</f>
        <v/>
      </c>
      <c r="H506">
        <f>IF(ISBLANK('Q:\Abteilungsprojekte\eng\EngData\AOS\Allgemein\[LabSamples2025.xlsx]Bioplastic'!H506)," ",'Q:\Abteilungsprojekte\eng\EngData\AOS\Allgemein\[LabSamples2025.xlsx]Bioplastic'!H506)</f>
        <v/>
      </c>
    </row>
    <row r="507">
      <c r="A507">
        <f>IF(ISBLANK('Q:\Abteilungsprojekte\eng\EngData\AOS\Allgemein\[LabSamples2025.xlsx]Bioplastic'!A507)," ",'Q:\Abteilungsprojekte\eng\EngData\AOS\Allgemein\[LabSamples2025.xlsx]Bioplastic'!A507)</f>
        <v/>
      </c>
      <c r="B507">
        <f>IF(ISBLANK('Q:\Abteilungsprojekte\eng\EngData\AOS\Allgemein\[LabSamples2025.xlsx]Bioplastic'!B507)," ",'Q:\Abteilungsprojekte\eng\EngData\AOS\Allgemein\[LabSamples2025.xlsx]Bioplastic'!B507)</f>
        <v/>
      </c>
      <c r="C507">
        <f>IF(ISBLANK('Q:\Abteilungsprojekte\eng\EngData\AOS\Allgemein\[LabSamples2025.xlsx]Bioplastic'!C507)," ",'Q:\Abteilungsprojekte\eng\EngData\AOS\Allgemein\[LabSamples2025.xlsx]Bioplastic'!C507)</f>
        <v/>
      </c>
      <c r="D507">
        <f>IF(ISBLANK('Q:\Abteilungsprojekte\eng\EngData\AOS\Allgemein\[LabSamples2025.xlsx]Bioplastic'!D507)," ",'Q:\Abteilungsprojekte\eng\EngData\AOS\Allgemein\[LabSamples2025.xlsx]Bioplastic'!D507)</f>
        <v/>
      </c>
      <c r="E507">
        <f>IF(ISBLANK('Q:\Abteilungsprojekte\eng\EngData\AOS\Allgemein\[LabSamples2025.xlsx]Bioplastic'!E507)," ",'Q:\Abteilungsprojekte\eng\EngData\AOS\Allgemein\[LabSamples2025.xlsx]Bioplastic'!E507)</f>
        <v/>
      </c>
      <c r="F507">
        <f>IF(ISBLANK('Q:\Abteilungsprojekte\eng\EngData\AOS\Allgemein\[LabSamples2025.xlsx]Bioplastic'!F507)," ",'Q:\Abteilungsprojekte\eng\EngData\AOS\Allgemein\[LabSamples2025.xlsx]Bioplastic'!F507)</f>
        <v/>
      </c>
      <c r="G507">
        <f>IF(ISBLANK('Q:\Abteilungsprojekte\eng\EngData\AOS\Allgemein\[LabSamples2025.xlsx]Bioplastic'!G507)," ",'Q:\Abteilungsprojekte\eng\EngData\AOS\Allgemein\[LabSamples2025.xlsx]Bioplastic'!G507)</f>
        <v/>
      </c>
      <c r="H507">
        <f>IF(ISBLANK('Q:\Abteilungsprojekte\eng\EngData\AOS\Allgemein\[LabSamples2025.xlsx]Bioplastic'!H507)," ",'Q:\Abteilungsprojekte\eng\EngData\AOS\Allgemein\[LabSamples2025.xlsx]Bioplastic'!H507)</f>
        <v/>
      </c>
    </row>
    <row r="508">
      <c r="A508">
        <f>IF(ISBLANK('Q:\Abteilungsprojekte\eng\EngData\AOS\Allgemein\[LabSamples2025.xlsx]Bioplastic'!A508)," ",'Q:\Abteilungsprojekte\eng\EngData\AOS\Allgemein\[LabSamples2025.xlsx]Bioplastic'!A508)</f>
        <v/>
      </c>
      <c r="B508">
        <f>IF(ISBLANK('Q:\Abteilungsprojekte\eng\EngData\AOS\Allgemein\[LabSamples2025.xlsx]Bioplastic'!B508)," ",'Q:\Abteilungsprojekte\eng\EngData\AOS\Allgemein\[LabSamples2025.xlsx]Bioplastic'!B508)</f>
        <v/>
      </c>
      <c r="C508">
        <f>IF(ISBLANK('Q:\Abteilungsprojekte\eng\EngData\AOS\Allgemein\[LabSamples2025.xlsx]Bioplastic'!C508)," ",'Q:\Abteilungsprojekte\eng\EngData\AOS\Allgemein\[LabSamples2025.xlsx]Bioplastic'!C508)</f>
        <v/>
      </c>
      <c r="D508">
        <f>IF(ISBLANK('Q:\Abteilungsprojekte\eng\EngData\AOS\Allgemein\[LabSamples2025.xlsx]Bioplastic'!D508)," ",'Q:\Abteilungsprojekte\eng\EngData\AOS\Allgemein\[LabSamples2025.xlsx]Bioplastic'!D508)</f>
        <v/>
      </c>
      <c r="E508">
        <f>IF(ISBLANK('Q:\Abteilungsprojekte\eng\EngData\AOS\Allgemein\[LabSamples2025.xlsx]Bioplastic'!E508)," ",'Q:\Abteilungsprojekte\eng\EngData\AOS\Allgemein\[LabSamples2025.xlsx]Bioplastic'!E508)</f>
        <v/>
      </c>
      <c r="F508">
        <f>IF(ISBLANK('Q:\Abteilungsprojekte\eng\EngData\AOS\Allgemein\[LabSamples2025.xlsx]Bioplastic'!F508)," ",'Q:\Abteilungsprojekte\eng\EngData\AOS\Allgemein\[LabSamples2025.xlsx]Bioplastic'!F508)</f>
        <v/>
      </c>
      <c r="G508">
        <f>IF(ISBLANK('Q:\Abteilungsprojekte\eng\EngData\AOS\Allgemein\[LabSamples2025.xlsx]Bioplastic'!G508)," ",'Q:\Abteilungsprojekte\eng\EngData\AOS\Allgemein\[LabSamples2025.xlsx]Bioplastic'!G508)</f>
        <v/>
      </c>
      <c r="H508">
        <f>IF(ISBLANK('Q:\Abteilungsprojekte\eng\EngData\AOS\Allgemein\[LabSamples2025.xlsx]Bioplastic'!H508)," ",'Q:\Abteilungsprojekte\eng\EngData\AOS\Allgemein\[LabSamples2025.xlsx]Bioplastic'!H508)</f>
        <v/>
      </c>
    </row>
    <row r="509">
      <c r="A509">
        <f>IF(ISBLANK('Q:\Abteilungsprojekte\eng\EngData\AOS\Allgemein\[LabSamples2025.xlsx]Bioplastic'!A509)," ",'Q:\Abteilungsprojekte\eng\EngData\AOS\Allgemein\[LabSamples2025.xlsx]Bioplastic'!A509)</f>
        <v/>
      </c>
      <c r="B509">
        <f>IF(ISBLANK('Q:\Abteilungsprojekte\eng\EngData\AOS\Allgemein\[LabSamples2025.xlsx]Bioplastic'!B509)," ",'Q:\Abteilungsprojekte\eng\EngData\AOS\Allgemein\[LabSamples2025.xlsx]Bioplastic'!B509)</f>
        <v/>
      </c>
      <c r="C509">
        <f>IF(ISBLANK('Q:\Abteilungsprojekte\eng\EngData\AOS\Allgemein\[LabSamples2025.xlsx]Bioplastic'!C509)," ",'Q:\Abteilungsprojekte\eng\EngData\AOS\Allgemein\[LabSamples2025.xlsx]Bioplastic'!C509)</f>
        <v/>
      </c>
      <c r="D509">
        <f>IF(ISBLANK('Q:\Abteilungsprojekte\eng\EngData\AOS\Allgemein\[LabSamples2025.xlsx]Bioplastic'!D509)," ",'Q:\Abteilungsprojekte\eng\EngData\AOS\Allgemein\[LabSamples2025.xlsx]Bioplastic'!D509)</f>
        <v/>
      </c>
      <c r="E509">
        <f>IF(ISBLANK('Q:\Abteilungsprojekte\eng\EngData\AOS\Allgemein\[LabSamples2025.xlsx]Bioplastic'!E509)," ",'Q:\Abteilungsprojekte\eng\EngData\AOS\Allgemein\[LabSamples2025.xlsx]Bioplastic'!E509)</f>
        <v/>
      </c>
      <c r="F509">
        <f>IF(ISBLANK('Q:\Abteilungsprojekte\eng\EngData\AOS\Allgemein\[LabSamples2025.xlsx]Bioplastic'!F509)," ",'Q:\Abteilungsprojekte\eng\EngData\AOS\Allgemein\[LabSamples2025.xlsx]Bioplastic'!F509)</f>
        <v/>
      </c>
      <c r="G509">
        <f>IF(ISBLANK('Q:\Abteilungsprojekte\eng\EngData\AOS\Allgemein\[LabSamples2025.xlsx]Bioplastic'!G509)," ",'Q:\Abteilungsprojekte\eng\EngData\AOS\Allgemein\[LabSamples2025.xlsx]Bioplastic'!G509)</f>
        <v/>
      </c>
      <c r="H509">
        <f>IF(ISBLANK('Q:\Abteilungsprojekte\eng\EngData\AOS\Allgemein\[LabSamples2025.xlsx]Bioplastic'!H509)," ",'Q:\Abteilungsprojekte\eng\EngData\AOS\Allgemein\[LabSamples2025.xlsx]Bioplastic'!H509)</f>
        <v/>
      </c>
    </row>
    <row r="510">
      <c r="A510">
        <f>IF(ISBLANK('Q:\Abteilungsprojekte\eng\EngData\AOS\Allgemein\[LabSamples2025.xlsx]Bioplastic'!A510)," ",'Q:\Abteilungsprojekte\eng\EngData\AOS\Allgemein\[LabSamples2025.xlsx]Bioplastic'!A510)</f>
        <v/>
      </c>
      <c r="B510">
        <f>IF(ISBLANK('Q:\Abteilungsprojekte\eng\EngData\AOS\Allgemein\[LabSamples2025.xlsx]Bioplastic'!B510)," ",'Q:\Abteilungsprojekte\eng\EngData\AOS\Allgemein\[LabSamples2025.xlsx]Bioplastic'!B510)</f>
        <v/>
      </c>
      <c r="C510">
        <f>IF(ISBLANK('Q:\Abteilungsprojekte\eng\EngData\AOS\Allgemein\[LabSamples2025.xlsx]Bioplastic'!C510)," ",'Q:\Abteilungsprojekte\eng\EngData\AOS\Allgemein\[LabSamples2025.xlsx]Bioplastic'!C510)</f>
        <v/>
      </c>
      <c r="D510">
        <f>IF(ISBLANK('Q:\Abteilungsprojekte\eng\EngData\AOS\Allgemein\[LabSamples2025.xlsx]Bioplastic'!D510)," ",'Q:\Abteilungsprojekte\eng\EngData\AOS\Allgemein\[LabSamples2025.xlsx]Bioplastic'!D510)</f>
        <v/>
      </c>
      <c r="E510">
        <f>IF(ISBLANK('Q:\Abteilungsprojekte\eng\EngData\AOS\Allgemein\[LabSamples2025.xlsx]Bioplastic'!E510)," ",'Q:\Abteilungsprojekte\eng\EngData\AOS\Allgemein\[LabSamples2025.xlsx]Bioplastic'!E510)</f>
        <v/>
      </c>
      <c r="F510">
        <f>IF(ISBLANK('Q:\Abteilungsprojekte\eng\EngData\AOS\Allgemein\[LabSamples2025.xlsx]Bioplastic'!F510)," ",'Q:\Abteilungsprojekte\eng\EngData\AOS\Allgemein\[LabSamples2025.xlsx]Bioplastic'!F510)</f>
        <v/>
      </c>
      <c r="G510">
        <f>IF(ISBLANK('Q:\Abteilungsprojekte\eng\EngData\AOS\Allgemein\[LabSamples2025.xlsx]Bioplastic'!G510)," ",'Q:\Abteilungsprojekte\eng\EngData\AOS\Allgemein\[LabSamples2025.xlsx]Bioplastic'!G510)</f>
        <v/>
      </c>
      <c r="H510">
        <f>IF(ISBLANK('Q:\Abteilungsprojekte\eng\EngData\AOS\Allgemein\[LabSamples2025.xlsx]Bioplastic'!H510)," ",'Q:\Abteilungsprojekte\eng\EngData\AOS\Allgemein\[LabSamples2025.xlsx]Bioplastic'!H510)</f>
        <v/>
      </c>
    </row>
    <row r="511">
      <c r="A511">
        <f>IF(ISBLANK('Q:\Abteilungsprojekte\eng\EngData\AOS\Allgemein\[LabSamples2025.xlsx]Bioplastic'!A511)," ",'Q:\Abteilungsprojekte\eng\EngData\AOS\Allgemein\[LabSamples2025.xlsx]Bioplastic'!A511)</f>
        <v/>
      </c>
      <c r="B511">
        <f>IF(ISBLANK('Q:\Abteilungsprojekte\eng\EngData\AOS\Allgemein\[LabSamples2025.xlsx]Bioplastic'!B511)," ",'Q:\Abteilungsprojekte\eng\EngData\AOS\Allgemein\[LabSamples2025.xlsx]Bioplastic'!B511)</f>
        <v/>
      </c>
      <c r="C511">
        <f>IF(ISBLANK('Q:\Abteilungsprojekte\eng\EngData\AOS\Allgemein\[LabSamples2025.xlsx]Bioplastic'!C511)," ",'Q:\Abteilungsprojekte\eng\EngData\AOS\Allgemein\[LabSamples2025.xlsx]Bioplastic'!C511)</f>
        <v/>
      </c>
      <c r="D511">
        <f>IF(ISBLANK('Q:\Abteilungsprojekte\eng\EngData\AOS\Allgemein\[LabSamples2025.xlsx]Bioplastic'!D511)," ",'Q:\Abteilungsprojekte\eng\EngData\AOS\Allgemein\[LabSamples2025.xlsx]Bioplastic'!D511)</f>
        <v/>
      </c>
      <c r="E511">
        <f>IF(ISBLANK('Q:\Abteilungsprojekte\eng\EngData\AOS\Allgemein\[LabSamples2025.xlsx]Bioplastic'!E511)," ",'Q:\Abteilungsprojekte\eng\EngData\AOS\Allgemein\[LabSamples2025.xlsx]Bioplastic'!E511)</f>
        <v/>
      </c>
      <c r="F511">
        <f>IF(ISBLANK('Q:\Abteilungsprojekte\eng\EngData\AOS\Allgemein\[LabSamples2025.xlsx]Bioplastic'!F511)," ",'Q:\Abteilungsprojekte\eng\EngData\AOS\Allgemein\[LabSamples2025.xlsx]Bioplastic'!F511)</f>
        <v/>
      </c>
      <c r="G511">
        <f>IF(ISBLANK('Q:\Abteilungsprojekte\eng\EngData\AOS\Allgemein\[LabSamples2025.xlsx]Bioplastic'!G511)," ",'Q:\Abteilungsprojekte\eng\EngData\AOS\Allgemein\[LabSamples2025.xlsx]Bioplastic'!G511)</f>
        <v/>
      </c>
      <c r="H511">
        <f>IF(ISBLANK('Q:\Abteilungsprojekte\eng\EngData\AOS\Allgemein\[LabSamples2025.xlsx]Bioplastic'!H511)," ",'Q:\Abteilungsprojekte\eng\EngData\AOS\Allgemein\[LabSamples2025.xlsx]Bioplastic'!H511)</f>
        <v/>
      </c>
    </row>
    <row r="512">
      <c r="A512">
        <f>IF(ISBLANK('Q:\Abteilungsprojekte\eng\EngData\AOS\Allgemein\[LabSamples2025.xlsx]Bioplastic'!A512)," ",'Q:\Abteilungsprojekte\eng\EngData\AOS\Allgemein\[LabSamples2025.xlsx]Bioplastic'!A512)</f>
        <v/>
      </c>
      <c r="B512">
        <f>IF(ISBLANK('Q:\Abteilungsprojekte\eng\EngData\AOS\Allgemein\[LabSamples2025.xlsx]Bioplastic'!B512)," ",'Q:\Abteilungsprojekte\eng\EngData\AOS\Allgemein\[LabSamples2025.xlsx]Bioplastic'!B512)</f>
        <v/>
      </c>
      <c r="C512">
        <f>IF(ISBLANK('Q:\Abteilungsprojekte\eng\EngData\AOS\Allgemein\[LabSamples2025.xlsx]Bioplastic'!C512)," ",'Q:\Abteilungsprojekte\eng\EngData\AOS\Allgemein\[LabSamples2025.xlsx]Bioplastic'!C512)</f>
        <v/>
      </c>
      <c r="D512">
        <f>IF(ISBLANK('Q:\Abteilungsprojekte\eng\EngData\AOS\Allgemein\[LabSamples2025.xlsx]Bioplastic'!D512)," ",'Q:\Abteilungsprojekte\eng\EngData\AOS\Allgemein\[LabSamples2025.xlsx]Bioplastic'!D512)</f>
        <v/>
      </c>
      <c r="E512">
        <f>IF(ISBLANK('Q:\Abteilungsprojekte\eng\EngData\AOS\Allgemein\[LabSamples2025.xlsx]Bioplastic'!E512)," ",'Q:\Abteilungsprojekte\eng\EngData\AOS\Allgemein\[LabSamples2025.xlsx]Bioplastic'!E512)</f>
        <v/>
      </c>
      <c r="F512">
        <f>IF(ISBLANK('Q:\Abteilungsprojekte\eng\EngData\AOS\Allgemein\[LabSamples2025.xlsx]Bioplastic'!F512)," ",'Q:\Abteilungsprojekte\eng\EngData\AOS\Allgemein\[LabSamples2025.xlsx]Bioplastic'!F512)</f>
        <v/>
      </c>
      <c r="G512">
        <f>IF(ISBLANK('Q:\Abteilungsprojekte\eng\EngData\AOS\Allgemein\[LabSamples2025.xlsx]Bioplastic'!G512)," ",'Q:\Abteilungsprojekte\eng\EngData\AOS\Allgemein\[LabSamples2025.xlsx]Bioplastic'!G512)</f>
        <v/>
      </c>
      <c r="H512">
        <f>IF(ISBLANK('Q:\Abteilungsprojekte\eng\EngData\AOS\Allgemein\[LabSamples2025.xlsx]Bioplastic'!H512)," ",'Q:\Abteilungsprojekte\eng\EngData\AOS\Allgemein\[LabSamples2025.xlsx]Bioplastic'!H512)</f>
        <v/>
      </c>
    </row>
    <row r="513">
      <c r="A513">
        <f>IF(ISBLANK('Q:\Abteilungsprojekte\eng\EngData\AOS\Allgemein\[LabSamples2025.xlsx]Bioplastic'!A513)," ",'Q:\Abteilungsprojekte\eng\EngData\AOS\Allgemein\[LabSamples2025.xlsx]Bioplastic'!A513)</f>
        <v/>
      </c>
      <c r="B513">
        <f>IF(ISBLANK('Q:\Abteilungsprojekte\eng\EngData\AOS\Allgemein\[LabSamples2025.xlsx]Bioplastic'!B513)," ",'Q:\Abteilungsprojekte\eng\EngData\AOS\Allgemein\[LabSamples2025.xlsx]Bioplastic'!B513)</f>
        <v/>
      </c>
      <c r="C513">
        <f>IF(ISBLANK('Q:\Abteilungsprojekte\eng\EngData\AOS\Allgemein\[LabSamples2025.xlsx]Bioplastic'!C513)," ",'Q:\Abteilungsprojekte\eng\EngData\AOS\Allgemein\[LabSamples2025.xlsx]Bioplastic'!C513)</f>
        <v/>
      </c>
      <c r="D513">
        <f>IF(ISBLANK('Q:\Abteilungsprojekte\eng\EngData\AOS\Allgemein\[LabSamples2025.xlsx]Bioplastic'!D513)," ",'Q:\Abteilungsprojekte\eng\EngData\AOS\Allgemein\[LabSamples2025.xlsx]Bioplastic'!D513)</f>
        <v/>
      </c>
      <c r="E513">
        <f>IF(ISBLANK('Q:\Abteilungsprojekte\eng\EngData\AOS\Allgemein\[LabSamples2025.xlsx]Bioplastic'!E513)," ",'Q:\Abteilungsprojekte\eng\EngData\AOS\Allgemein\[LabSamples2025.xlsx]Bioplastic'!E513)</f>
        <v/>
      </c>
      <c r="F513">
        <f>IF(ISBLANK('Q:\Abteilungsprojekte\eng\EngData\AOS\Allgemein\[LabSamples2025.xlsx]Bioplastic'!F513)," ",'Q:\Abteilungsprojekte\eng\EngData\AOS\Allgemein\[LabSamples2025.xlsx]Bioplastic'!F513)</f>
        <v/>
      </c>
      <c r="G513">
        <f>IF(ISBLANK('Q:\Abteilungsprojekte\eng\EngData\AOS\Allgemein\[LabSamples2025.xlsx]Bioplastic'!G513)," ",'Q:\Abteilungsprojekte\eng\EngData\AOS\Allgemein\[LabSamples2025.xlsx]Bioplastic'!G513)</f>
        <v/>
      </c>
      <c r="H513">
        <f>IF(ISBLANK('Q:\Abteilungsprojekte\eng\EngData\AOS\Allgemein\[LabSamples2025.xlsx]Bioplastic'!H513)," ",'Q:\Abteilungsprojekte\eng\EngData\AOS\Allgemein\[LabSamples2025.xlsx]Bioplastic'!H513)</f>
        <v/>
      </c>
    </row>
    <row r="514">
      <c r="A514">
        <f>IF(ISBLANK('Q:\Abteilungsprojekte\eng\EngData\AOS\Allgemein\[LabSamples2025.xlsx]Bioplastic'!A514)," ",'Q:\Abteilungsprojekte\eng\EngData\AOS\Allgemein\[LabSamples2025.xlsx]Bioplastic'!A514)</f>
        <v/>
      </c>
      <c r="B514">
        <f>IF(ISBLANK('Q:\Abteilungsprojekte\eng\EngData\AOS\Allgemein\[LabSamples2025.xlsx]Bioplastic'!B514)," ",'Q:\Abteilungsprojekte\eng\EngData\AOS\Allgemein\[LabSamples2025.xlsx]Bioplastic'!B514)</f>
        <v/>
      </c>
      <c r="C514">
        <f>IF(ISBLANK('Q:\Abteilungsprojekte\eng\EngData\AOS\Allgemein\[LabSamples2025.xlsx]Bioplastic'!C514)," ",'Q:\Abteilungsprojekte\eng\EngData\AOS\Allgemein\[LabSamples2025.xlsx]Bioplastic'!C514)</f>
        <v/>
      </c>
      <c r="D514">
        <f>IF(ISBLANK('Q:\Abteilungsprojekte\eng\EngData\AOS\Allgemein\[LabSamples2025.xlsx]Bioplastic'!D514)," ",'Q:\Abteilungsprojekte\eng\EngData\AOS\Allgemein\[LabSamples2025.xlsx]Bioplastic'!D514)</f>
        <v/>
      </c>
      <c r="E514">
        <f>IF(ISBLANK('Q:\Abteilungsprojekte\eng\EngData\AOS\Allgemein\[LabSamples2025.xlsx]Bioplastic'!E514)," ",'Q:\Abteilungsprojekte\eng\EngData\AOS\Allgemein\[LabSamples2025.xlsx]Bioplastic'!E514)</f>
        <v/>
      </c>
      <c r="F514">
        <f>IF(ISBLANK('Q:\Abteilungsprojekte\eng\EngData\AOS\Allgemein\[LabSamples2025.xlsx]Bioplastic'!F514)," ",'Q:\Abteilungsprojekte\eng\EngData\AOS\Allgemein\[LabSamples2025.xlsx]Bioplastic'!F514)</f>
        <v/>
      </c>
      <c r="G514">
        <f>IF(ISBLANK('Q:\Abteilungsprojekte\eng\EngData\AOS\Allgemein\[LabSamples2025.xlsx]Bioplastic'!G514)," ",'Q:\Abteilungsprojekte\eng\EngData\AOS\Allgemein\[LabSamples2025.xlsx]Bioplastic'!G514)</f>
        <v/>
      </c>
      <c r="H514">
        <f>IF(ISBLANK('Q:\Abteilungsprojekte\eng\EngData\AOS\Allgemein\[LabSamples2025.xlsx]Bioplastic'!H514)," ",'Q:\Abteilungsprojekte\eng\EngData\AOS\Allgemein\[LabSamples2025.xlsx]Bioplastic'!H514)</f>
        <v/>
      </c>
    </row>
    <row r="515">
      <c r="A515">
        <f>IF(ISBLANK('Q:\Abteilungsprojekte\eng\EngData\AOS\Allgemein\[LabSamples2025.xlsx]Bioplastic'!A515)," ",'Q:\Abteilungsprojekte\eng\EngData\AOS\Allgemein\[LabSamples2025.xlsx]Bioplastic'!A515)</f>
        <v/>
      </c>
      <c r="B515">
        <f>IF(ISBLANK('Q:\Abteilungsprojekte\eng\EngData\AOS\Allgemein\[LabSamples2025.xlsx]Bioplastic'!B515)," ",'Q:\Abteilungsprojekte\eng\EngData\AOS\Allgemein\[LabSamples2025.xlsx]Bioplastic'!B515)</f>
        <v/>
      </c>
      <c r="C515">
        <f>IF(ISBLANK('Q:\Abteilungsprojekte\eng\EngData\AOS\Allgemein\[LabSamples2025.xlsx]Bioplastic'!C515)," ",'Q:\Abteilungsprojekte\eng\EngData\AOS\Allgemein\[LabSamples2025.xlsx]Bioplastic'!C515)</f>
        <v/>
      </c>
      <c r="D515">
        <f>IF(ISBLANK('Q:\Abteilungsprojekte\eng\EngData\AOS\Allgemein\[LabSamples2025.xlsx]Bioplastic'!D515)," ",'Q:\Abteilungsprojekte\eng\EngData\AOS\Allgemein\[LabSamples2025.xlsx]Bioplastic'!D515)</f>
        <v/>
      </c>
      <c r="E515">
        <f>IF(ISBLANK('Q:\Abteilungsprojekte\eng\EngData\AOS\Allgemein\[LabSamples2025.xlsx]Bioplastic'!E515)," ",'Q:\Abteilungsprojekte\eng\EngData\AOS\Allgemein\[LabSamples2025.xlsx]Bioplastic'!E515)</f>
        <v/>
      </c>
      <c r="F515">
        <f>IF(ISBLANK('Q:\Abteilungsprojekte\eng\EngData\AOS\Allgemein\[LabSamples2025.xlsx]Bioplastic'!F515)," ",'Q:\Abteilungsprojekte\eng\EngData\AOS\Allgemein\[LabSamples2025.xlsx]Bioplastic'!F515)</f>
        <v/>
      </c>
      <c r="G515">
        <f>IF(ISBLANK('Q:\Abteilungsprojekte\eng\EngData\AOS\Allgemein\[LabSamples2025.xlsx]Bioplastic'!G515)," ",'Q:\Abteilungsprojekte\eng\EngData\AOS\Allgemein\[LabSamples2025.xlsx]Bioplastic'!G515)</f>
        <v/>
      </c>
      <c r="H515">
        <f>IF(ISBLANK('Q:\Abteilungsprojekte\eng\EngData\AOS\Allgemein\[LabSamples2025.xlsx]Bioplastic'!H515)," ",'Q:\Abteilungsprojekte\eng\EngData\AOS\Allgemein\[LabSamples2025.xlsx]Bioplastic'!H515)</f>
        <v/>
      </c>
    </row>
    <row r="516">
      <c r="A516">
        <f>IF(ISBLANK('Q:\Abteilungsprojekte\eng\EngData\AOS\Allgemein\[LabSamples2025.xlsx]Bioplastic'!A516)," ",'Q:\Abteilungsprojekte\eng\EngData\AOS\Allgemein\[LabSamples2025.xlsx]Bioplastic'!A516)</f>
        <v/>
      </c>
      <c r="B516">
        <f>IF(ISBLANK('Q:\Abteilungsprojekte\eng\EngData\AOS\Allgemein\[LabSamples2025.xlsx]Bioplastic'!B516)," ",'Q:\Abteilungsprojekte\eng\EngData\AOS\Allgemein\[LabSamples2025.xlsx]Bioplastic'!B516)</f>
        <v/>
      </c>
      <c r="C516">
        <f>IF(ISBLANK('Q:\Abteilungsprojekte\eng\EngData\AOS\Allgemein\[LabSamples2025.xlsx]Bioplastic'!C516)," ",'Q:\Abteilungsprojekte\eng\EngData\AOS\Allgemein\[LabSamples2025.xlsx]Bioplastic'!C516)</f>
        <v/>
      </c>
      <c r="D516">
        <f>IF(ISBLANK('Q:\Abteilungsprojekte\eng\EngData\AOS\Allgemein\[LabSamples2025.xlsx]Bioplastic'!D516)," ",'Q:\Abteilungsprojekte\eng\EngData\AOS\Allgemein\[LabSamples2025.xlsx]Bioplastic'!D516)</f>
        <v/>
      </c>
      <c r="E516">
        <f>IF(ISBLANK('Q:\Abteilungsprojekte\eng\EngData\AOS\Allgemein\[LabSamples2025.xlsx]Bioplastic'!E516)," ",'Q:\Abteilungsprojekte\eng\EngData\AOS\Allgemein\[LabSamples2025.xlsx]Bioplastic'!E516)</f>
        <v/>
      </c>
      <c r="F516">
        <f>IF(ISBLANK('Q:\Abteilungsprojekte\eng\EngData\AOS\Allgemein\[LabSamples2025.xlsx]Bioplastic'!F516)," ",'Q:\Abteilungsprojekte\eng\EngData\AOS\Allgemein\[LabSamples2025.xlsx]Bioplastic'!F516)</f>
        <v/>
      </c>
      <c r="G516">
        <f>IF(ISBLANK('Q:\Abteilungsprojekte\eng\EngData\AOS\Allgemein\[LabSamples2025.xlsx]Bioplastic'!G516)," ",'Q:\Abteilungsprojekte\eng\EngData\AOS\Allgemein\[LabSamples2025.xlsx]Bioplastic'!G516)</f>
        <v/>
      </c>
      <c r="H516">
        <f>IF(ISBLANK('Q:\Abteilungsprojekte\eng\EngData\AOS\Allgemein\[LabSamples2025.xlsx]Bioplastic'!H516)," ",'Q:\Abteilungsprojekte\eng\EngData\AOS\Allgemein\[LabSamples2025.xlsx]Bioplastic'!H516)</f>
        <v/>
      </c>
    </row>
    <row r="517">
      <c r="A517">
        <f>IF(ISBLANK('Q:\Abteilungsprojekte\eng\EngData\AOS\Allgemein\[LabSamples2025.xlsx]Bioplastic'!A517)," ",'Q:\Abteilungsprojekte\eng\EngData\AOS\Allgemein\[LabSamples2025.xlsx]Bioplastic'!A517)</f>
        <v/>
      </c>
      <c r="B517">
        <f>IF(ISBLANK('Q:\Abteilungsprojekte\eng\EngData\AOS\Allgemein\[LabSamples2025.xlsx]Bioplastic'!B517)," ",'Q:\Abteilungsprojekte\eng\EngData\AOS\Allgemein\[LabSamples2025.xlsx]Bioplastic'!B517)</f>
        <v/>
      </c>
      <c r="C517">
        <f>IF(ISBLANK('Q:\Abteilungsprojekte\eng\EngData\AOS\Allgemein\[LabSamples2025.xlsx]Bioplastic'!C517)," ",'Q:\Abteilungsprojekte\eng\EngData\AOS\Allgemein\[LabSamples2025.xlsx]Bioplastic'!C517)</f>
        <v/>
      </c>
      <c r="D517">
        <f>IF(ISBLANK('Q:\Abteilungsprojekte\eng\EngData\AOS\Allgemein\[LabSamples2025.xlsx]Bioplastic'!D517)," ",'Q:\Abteilungsprojekte\eng\EngData\AOS\Allgemein\[LabSamples2025.xlsx]Bioplastic'!D517)</f>
        <v/>
      </c>
      <c r="E517">
        <f>IF(ISBLANK('Q:\Abteilungsprojekte\eng\EngData\AOS\Allgemein\[LabSamples2025.xlsx]Bioplastic'!E517)," ",'Q:\Abteilungsprojekte\eng\EngData\AOS\Allgemein\[LabSamples2025.xlsx]Bioplastic'!E517)</f>
        <v/>
      </c>
      <c r="F517">
        <f>IF(ISBLANK('Q:\Abteilungsprojekte\eng\EngData\AOS\Allgemein\[LabSamples2025.xlsx]Bioplastic'!F517)," ",'Q:\Abteilungsprojekte\eng\EngData\AOS\Allgemein\[LabSamples2025.xlsx]Bioplastic'!F517)</f>
        <v/>
      </c>
      <c r="G517">
        <f>IF(ISBLANK('Q:\Abteilungsprojekte\eng\EngData\AOS\Allgemein\[LabSamples2025.xlsx]Bioplastic'!G517)," ",'Q:\Abteilungsprojekte\eng\EngData\AOS\Allgemein\[LabSamples2025.xlsx]Bioplastic'!G517)</f>
        <v/>
      </c>
      <c r="H517">
        <f>IF(ISBLANK('Q:\Abteilungsprojekte\eng\EngData\AOS\Allgemein\[LabSamples2025.xlsx]Bioplastic'!H517)," ",'Q:\Abteilungsprojekte\eng\EngData\AOS\Allgemein\[LabSamples2025.xlsx]Bioplastic'!H517)</f>
        <v/>
      </c>
    </row>
    <row r="518">
      <c r="A518">
        <f>IF(ISBLANK('Q:\Abteilungsprojekte\eng\EngData\AOS\Allgemein\[LabSamples2025.xlsx]Bioplastic'!A518)," ",'Q:\Abteilungsprojekte\eng\EngData\AOS\Allgemein\[LabSamples2025.xlsx]Bioplastic'!A518)</f>
        <v/>
      </c>
      <c r="B518">
        <f>IF(ISBLANK('Q:\Abteilungsprojekte\eng\EngData\AOS\Allgemein\[LabSamples2025.xlsx]Bioplastic'!B518)," ",'Q:\Abteilungsprojekte\eng\EngData\AOS\Allgemein\[LabSamples2025.xlsx]Bioplastic'!B518)</f>
        <v/>
      </c>
      <c r="C518">
        <f>IF(ISBLANK('Q:\Abteilungsprojekte\eng\EngData\AOS\Allgemein\[LabSamples2025.xlsx]Bioplastic'!C518)," ",'Q:\Abteilungsprojekte\eng\EngData\AOS\Allgemein\[LabSamples2025.xlsx]Bioplastic'!C518)</f>
        <v/>
      </c>
      <c r="D518">
        <f>IF(ISBLANK('Q:\Abteilungsprojekte\eng\EngData\AOS\Allgemein\[LabSamples2025.xlsx]Bioplastic'!D518)," ",'Q:\Abteilungsprojekte\eng\EngData\AOS\Allgemein\[LabSamples2025.xlsx]Bioplastic'!D518)</f>
        <v/>
      </c>
      <c r="E518">
        <f>IF(ISBLANK('Q:\Abteilungsprojekte\eng\EngData\AOS\Allgemein\[LabSamples2025.xlsx]Bioplastic'!E518)," ",'Q:\Abteilungsprojekte\eng\EngData\AOS\Allgemein\[LabSamples2025.xlsx]Bioplastic'!E518)</f>
        <v/>
      </c>
      <c r="F518">
        <f>IF(ISBLANK('Q:\Abteilungsprojekte\eng\EngData\AOS\Allgemein\[LabSamples2025.xlsx]Bioplastic'!F518)," ",'Q:\Abteilungsprojekte\eng\EngData\AOS\Allgemein\[LabSamples2025.xlsx]Bioplastic'!F518)</f>
        <v/>
      </c>
      <c r="G518">
        <f>IF(ISBLANK('Q:\Abteilungsprojekte\eng\EngData\AOS\Allgemein\[LabSamples2025.xlsx]Bioplastic'!G518)," ",'Q:\Abteilungsprojekte\eng\EngData\AOS\Allgemein\[LabSamples2025.xlsx]Bioplastic'!G518)</f>
        <v/>
      </c>
      <c r="H518">
        <f>IF(ISBLANK('Q:\Abteilungsprojekte\eng\EngData\AOS\Allgemein\[LabSamples2025.xlsx]Bioplastic'!H518)," ",'Q:\Abteilungsprojekte\eng\EngData\AOS\Allgemein\[LabSamples2025.xlsx]Bioplastic'!H518)</f>
        <v/>
      </c>
    </row>
    <row r="519">
      <c r="A519">
        <f>IF(ISBLANK('Q:\Abteilungsprojekte\eng\EngData\AOS\Allgemein\[LabSamples2025.xlsx]Bioplastic'!A519)," ",'Q:\Abteilungsprojekte\eng\EngData\AOS\Allgemein\[LabSamples2025.xlsx]Bioplastic'!A519)</f>
        <v/>
      </c>
      <c r="B519">
        <f>IF(ISBLANK('Q:\Abteilungsprojekte\eng\EngData\AOS\Allgemein\[LabSamples2025.xlsx]Bioplastic'!B519)," ",'Q:\Abteilungsprojekte\eng\EngData\AOS\Allgemein\[LabSamples2025.xlsx]Bioplastic'!B519)</f>
        <v/>
      </c>
      <c r="C519">
        <f>IF(ISBLANK('Q:\Abteilungsprojekte\eng\EngData\AOS\Allgemein\[LabSamples2025.xlsx]Bioplastic'!C519)," ",'Q:\Abteilungsprojekte\eng\EngData\AOS\Allgemein\[LabSamples2025.xlsx]Bioplastic'!C519)</f>
        <v/>
      </c>
      <c r="D519">
        <f>IF(ISBLANK('Q:\Abteilungsprojekte\eng\EngData\AOS\Allgemein\[LabSamples2025.xlsx]Bioplastic'!D519)," ",'Q:\Abteilungsprojekte\eng\EngData\AOS\Allgemein\[LabSamples2025.xlsx]Bioplastic'!D519)</f>
        <v/>
      </c>
      <c r="E519">
        <f>IF(ISBLANK('Q:\Abteilungsprojekte\eng\EngData\AOS\Allgemein\[LabSamples2025.xlsx]Bioplastic'!E519)," ",'Q:\Abteilungsprojekte\eng\EngData\AOS\Allgemein\[LabSamples2025.xlsx]Bioplastic'!E519)</f>
        <v/>
      </c>
      <c r="F519">
        <f>IF(ISBLANK('Q:\Abteilungsprojekte\eng\EngData\AOS\Allgemein\[LabSamples2025.xlsx]Bioplastic'!F519)," ",'Q:\Abteilungsprojekte\eng\EngData\AOS\Allgemein\[LabSamples2025.xlsx]Bioplastic'!F519)</f>
        <v/>
      </c>
      <c r="G519">
        <f>IF(ISBLANK('Q:\Abteilungsprojekte\eng\EngData\AOS\Allgemein\[LabSamples2025.xlsx]Bioplastic'!G519)," ",'Q:\Abteilungsprojekte\eng\EngData\AOS\Allgemein\[LabSamples2025.xlsx]Bioplastic'!G519)</f>
        <v/>
      </c>
      <c r="H519">
        <f>IF(ISBLANK('Q:\Abteilungsprojekte\eng\EngData\AOS\Allgemein\[LabSamples2025.xlsx]Bioplastic'!H519)," ",'Q:\Abteilungsprojekte\eng\EngData\AOS\Allgemein\[LabSamples2025.xlsx]Bioplastic'!H519)</f>
        <v/>
      </c>
    </row>
    <row r="520">
      <c r="A520">
        <f>IF(ISBLANK('Q:\Abteilungsprojekte\eng\EngData\AOS\Allgemein\[LabSamples2025.xlsx]Bioplastic'!A520)," ",'Q:\Abteilungsprojekte\eng\EngData\AOS\Allgemein\[LabSamples2025.xlsx]Bioplastic'!A520)</f>
        <v/>
      </c>
      <c r="B520">
        <f>IF(ISBLANK('Q:\Abteilungsprojekte\eng\EngData\AOS\Allgemein\[LabSamples2025.xlsx]Bioplastic'!B520)," ",'Q:\Abteilungsprojekte\eng\EngData\AOS\Allgemein\[LabSamples2025.xlsx]Bioplastic'!B520)</f>
        <v/>
      </c>
      <c r="C520">
        <f>IF(ISBLANK('Q:\Abteilungsprojekte\eng\EngData\AOS\Allgemein\[LabSamples2025.xlsx]Bioplastic'!C520)," ",'Q:\Abteilungsprojekte\eng\EngData\AOS\Allgemein\[LabSamples2025.xlsx]Bioplastic'!C520)</f>
        <v/>
      </c>
      <c r="D520">
        <f>IF(ISBLANK('Q:\Abteilungsprojekte\eng\EngData\AOS\Allgemein\[LabSamples2025.xlsx]Bioplastic'!D520)," ",'Q:\Abteilungsprojekte\eng\EngData\AOS\Allgemein\[LabSamples2025.xlsx]Bioplastic'!D520)</f>
        <v/>
      </c>
      <c r="E520">
        <f>IF(ISBLANK('Q:\Abteilungsprojekte\eng\EngData\AOS\Allgemein\[LabSamples2025.xlsx]Bioplastic'!E520)," ",'Q:\Abteilungsprojekte\eng\EngData\AOS\Allgemein\[LabSamples2025.xlsx]Bioplastic'!E520)</f>
        <v/>
      </c>
      <c r="F520">
        <f>IF(ISBLANK('Q:\Abteilungsprojekte\eng\EngData\AOS\Allgemein\[LabSamples2025.xlsx]Bioplastic'!F520)," ",'Q:\Abteilungsprojekte\eng\EngData\AOS\Allgemein\[LabSamples2025.xlsx]Bioplastic'!F520)</f>
        <v/>
      </c>
      <c r="G520">
        <f>IF(ISBLANK('Q:\Abteilungsprojekte\eng\EngData\AOS\Allgemein\[LabSamples2025.xlsx]Bioplastic'!G520)," ",'Q:\Abteilungsprojekte\eng\EngData\AOS\Allgemein\[LabSamples2025.xlsx]Bioplastic'!G520)</f>
        <v/>
      </c>
      <c r="H520">
        <f>IF(ISBLANK('Q:\Abteilungsprojekte\eng\EngData\AOS\Allgemein\[LabSamples2025.xlsx]Bioplastic'!H520)," ",'Q:\Abteilungsprojekte\eng\EngData\AOS\Allgemein\[LabSamples2025.xlsx]Bioplastic'!H520)</f>
        <v/>
      </c>
    </row>
    <row r="521">
      <c r="A521">
        <f>IF(ISBLANK('Q:\Abteilungsprojekte\eng\EngData\AOS\Allgemein\[LabSamples2025.xlsx]Bioplastic'!A521)," ",'Q:\Abteilungsprojekte\eng\EngData\AOS\Allgemein\[LabSamples2025.xlsx]Bioplastic'!A521)</f>
        <v/>
      </c>
      <c r="B521">
        <f>IF(ISBLANK('Q:\Abteilungsprojekte\eng\EngData\AOS\Allgemein\[LabSamples2025.xlsx]Bioplastic'!B521)," ",'Q:\Abteilungsprojekte\eng\EngData\AOS\Allgemein\[LabSamples2025.xlsx]Bioplastic'!B521)</f>
        <v/>
      </c>
      <c r="C521">
        <f>IF(ISBLANK('Q:\Abteilungsprojekte\eng\EngData\AOS\Allgemein\[LabSamples2025.xlsx]Bioplastic'!C521)," ",'Q:\Abteilungsprojekte\eng\EngData\AOS\Allgemein\[LabSamples2025.xlsx]Bioplastic'!C521)</f>
        <v/>
      </c>
      <c r="D521">
        <f>IF(ISBLANK('Q:\Abteilungsprojekte\eng\EngData\AOS\Allgemein\[LabSamples2025.xlsx]Bioplastic'!D521)," ",'Q:\Abteilungsprojekte\eng\EngData\AOS\Allgemein\[LabSamples2025.xlsx]Bioplastic'!D521)</f>
        <v/>
      </c>
      <c r="E521">
        <f>IF(ISBLANK('Q:\Abteilungsprojekte\eng\EngData\AOS\Allgemein\[LabSamples2025.xlsx]Bioplastic'!E521)," ",'Q:\Abteilungsprojekte\eng\EngData\AOS\Allgemein\[LabSamples2025.xlsx]Bioplastic'!E521)</f>
        <v/>
      </c>
      <c r="F521">
        <f>IF(ISBLANK('Q:\Abteilungsprojekte\eng\EngData\AOS\Allgemein\[LabSamples2025.xlsx]Bioplastic'!F521)," ",'Q:\Abteilungsprojekte\eng\EngData\AOS\Allgemein\[LabSamples2025.xlsx]Bioplastic'!F521)</f>
        <v/>
      </c>
      <c r="G521">
        <f>IF(ISBLANK('Q:\Abteilungsprojekte\eng\EngData\AOS\Allgemein\[LabSamples2025.xlsx]Bioplastic'!G521)," ",'Q:\Abteilungsprojekte\eng\EngData\AOS\Allgemein\[LabSamples2025.xlsx]Bioplastic'!G521)</f>
        <v/>
      </c>
      <c r="H521">
        <f>IF(ISBLANK('Q:\Abteilungsprojekte\eng\EngData\AOS\Allgemein\[LabSamples2025.xlsx]Bioplastic'!H521)," ",'Q:\Abteilungsprojekte\eng\EngData\AOS\Allgemein\[LabSamples2025.xlsx]Bioplastic'!H521)</f>
        <v/>
      </c>
    </row>
    <row r="522">
      <c r="A522">
        <f>IF(ISBLANK('Q:\Abteilungsprojekte\eng\EngData\AOS\Allgemein\[LabSamples2025.xlsx]Bioplastic'!A522)," ",'Q:\Abteilungsprojekte\eng\EngData\AOS\Allgemein\[LabSamples2025.xlsx]Bioplastic'!A522)</f>
        <v/>
      </c>
      <c r="B522">
        <f>IF(ISBLANK('Q:\Abteilungsprojekte\eng\EngData\AOS\Allgemein\[LabSamples2025.xlsx]Bioplastic'!B522)," ",'Q:\Abteilungsprojekte\eng\EngData\AOS\Allgemein\[LabSamples2025.xlsx]Bioplastic'!B522)</f>
        <v/>
      </c>
      <c r="C522">
        <f>IF(ISBLANK('Q:\Abteilungsprojekte\eng\EngData\AOS\Allgemein\[LabSamples2025.xlsx]Bioplastic'!C522)," ",'Q:\Abteilungsprojekte\eng\EngData\AOS\Allgemein\[LabSamples2025.xlsx]Bioplastic'!C522)</f>
        <v/>
      </c>
      <c r="D522">
        <f>IF(ISBLANK('Q:\Abteilungsprojekte\eng\EngData\AOS\Allgemein\[LabSamples2025.xlsx]Bioplastic'!D522)," ",'Q:\Abteilungsprojekte\eng\EngData\AOS\Allgemein\[LabSamples2025.xlsx]Bioplastic'!D522)</f>
        <v/>
      </c>
      <c r="E522">
        <f>IF(ISBLANK('Q:\Abteilungsprojekte\eng\EngData\AOS\Allgemein\[LabSamples2025.xlsx]Bioplastic'!E522)," ",'Q:\Abteilungsprojekte\eng\EngData\AOS\Allgemein\[LabSamples2025.xlsx]Bioplastic'!E522)</f>
        <v/>
      </c>
      <c r="F522">
        <f>IF(ISBLANK('Q:\Abteilungsprojekte\eng\EngData\AOS\Allgemein\[LabSamples2025.xlsx]Bioplastic'!F522)," ",'Q:\Abteilungsprojekte\eng\EngData\AOS\Allgemein\[LabSamples2025.xlsx]Bioplastic'!F522)</f>
        <v/>
      </c>
      <c r="G522">
        <f>IF(ISBLANK('Q:\Abteilungsprojekte\eng\EngData\AOS\Allgemein\[LabSamples2025.xlsx]Bioplastic'!G522)," ",'Q:\Abteilungsprojekte\eng\EngData\AOS\Allgemein\[LabSamples2025.xlsx]Bioplastic'!G522)</f>
        <v/>
      </c>
      <c r="H522">
        <f>IF(ISBLANK('Q:\Abteilungsprojekte\eng\EngData\AOS\Allgemein\[LabSamples2025.xlsx]Bioplastic'!H522)," ",'Q:\Abteilungsprojekte\eng\EngData\AOS\Allgemein\[LabSamples2025.xlsx]Bioplastic'!H522)</f>
        <v/>
      </c>
    </row>
    <row r="523">
      <c r="A523">
        <f>IF(ISBLANK('Q:\Abteilungsprojekte\eng\EngData\AOS\Allgemein\[LabSamples2025.xlsx]Bioplastic'!A523)," ",'Q:\Abteilungsprojekte\eng\EngData\AOS\Allgemein\[LabSamples2025.xlsx]Bioplastic'!A523)</f>
        <v/>
      </c>
      <c r="B523">
        <f>IF(ISBLANK('Q:\Abteilungsprojekte\eng\EngData\AOS\Allgemein\[LabSamples2025.xlsx]Bioplastic'!B523)," ",'Q:\Abteilungsprojekte\eng\EngData\AOS\Allgemein\[LabSamples2025.xlsx]Bioplastic'!B523)</f>
        <v/>
      </c>
      <c r="C523">
        <f>IF(ISBLANK('Q:\Abteilungsprojekte\eng\EngData\AOS\Allgemein\[LabSamples2025.xlsx]Bioplastic'!C523)," ",'Q:\Abteilungsprojekte\eng\EngData\AOS\Allgemein\[LabSamples2025.xlsx]Bioplastic'!C523)</f>
        <v/>
      </c>
      <c r="D523">
        <f>IF(ISBLANK('Q:\Abteilungsprojekte\eng\EngData\AOS\Allgemein\[LabSamples2025.xlsx]Bioplastic'!D523)," ",'Q:\Abteilungsprojekte\eng\EngData\AOS\Allgemein\[LabSamples2025.xlsx]Bioplastic'!D523)</f>
        <v/>
      </c>
      <c r="E523">
        <f>IF(ISBLANK('Q:\Abteilungsprojekte\eng\EngData\AOS\Allgemein\[LabSamples2025.xlsx]Bioplastic'!E523)," ",'Q:\Abteilungsprojekte\eng\EngData\AOS\Allgemein\[LabSamples2025.xlsx]Bioplastic'!E523)</f>
        <v/>
      </c>
      <c r="F523">
        <f>IF(ISBLANK('Q:\Abteilungsprojekte\eng\EngData\AOS\Allgemein\[LabSamples2025.xlsx]Bioplastic'!F523)," ",'Q:\Abteilungsprojekte\eng\EngData\AOS\Allgemein\[LabSamples2025.xlsx]Bioplastic'!F523)</f>
        <v/>
      </c>
      <c r="G523">
        <f>IF(ISBLANK('Q:\Abteilungsprojekte\eng\EngData\AOS\Allgemein\[LabSamples2025.xlsx]Bioplastic'!G523)," ",'Q:\Abteilungsprojekte\eng\EngData\AOS\Allgemein\[LabSamples2025.xlsx]Bioplastic'!G523)</f>
        <v/>
      </c>
      <c r="H523">
        <f>IF(ISBLANK('Q:\Abteilungsprojekte\eng\EngData\AOS\Allgemein\[LabSamples2025.xlsx]Bioplastic'!H523)," ",'Q:\Abteilungsprojekte\eng\EngData\AOS\Allgemein\[LabSamples2025.xlsx]Bioplastic'!H523)</f>
        <v/>
      </c>
    </row>
    <row r="524">
      <c r="A524">
        <f>IF(ISBLANK('Q:\Abteilungsprojekte\eng\EngData\AOS\Allgemein\[LabSamples2025.xlsx]Bioplastic'!A524)," ",'Q:\Abteilungsprojekte\eng\EngData\AOS\Allgemein\[LabSamples2025.xlsx]Bioplastic'!A524)</f>
        <v/>
      </c>
      <c r="B524">
        <f>IF(ISBLANK('Q:\Abteilungsprojekte\eng\EngData\AOS\Allgemein\[LabSamples2025.xlsx]Bioplastic'!B524)," ",'Q:\Abteilungsprojekte\eng\EngData\AOS\Allgemein\[LabSamples2025.xlsx]Bioplastic'!B524)</f>
        <v/>
      </c>
      <c r="C524">
        <f>IF(ISBLANK('Q:\Abteilungsprojekte\eng\EngData\AOS\Allgemein\[LabSamples2025.xlsx]Bioplastic'!C524)," ",'Q:\Abteilungsprojekte\eng\EngData\AOS\Allgemein\[LabSamples2025.xlsx]Bioplastic'!C524)</f>
        <v/>
      </c>
      <c r="D524">
        <f>IF(ISBLANK('Q:\Abteilungsprojekte\eng\EngData\AOS\Allgemein\[LabSamples2025.xlsx]Bioplastic'!D524)," ",'Q:\Abteilungsprojekte\eng\EngData\AOS\Allgemein\[LabSamples2025.xlsx]Bioplastic'!D524)</f>
        <v/>
      </c>
      <c r="E524">
        <f>IF(ISBLANK('Q:\Abteilungsprojekte\eng\EngData\AOS\Allgemein\[LabSamples2025.xlsx]Bioplastic'!E524)," ",'Q:\Abteilungsprojekte\eng\EngData\AOS\Allgemein\[LabSamples2025.xlsx]Bioplastic'!E524)</f>
        <v/>
      </c>
      <c r="F524">
        <f>IF(ISBLANK('Q:\Abteilungsprojekte\eng\EngData\AOS\Allgemein\[LabSamples2025.xlsx]Bioplastic'!F524)," ",'Q:\Abteilungsprojekte\eng\EngData\AOS\Allgemein\[LabSamples2025.xlsx]Bioplastic'!F524)</f>
        <v/>
      </c>
      <c r="G524">
        <f>IF(ISBLANK('Q:\Abteilungsprojekte\eng\EngData\AOS\Allgemein\[LabSamples2025.xlsx]Bioplastic'!G524)," ",'Q:\Abteilungsprojekte\eng\EngData\AOS\Allgemein\[LabSamples2025.xlsx]Bioplastic'!G524)</f>
        <v/>
      </c>
      <c r="H524">
        <f>IF(ISBLANK('Q:\Abteilungsprojekte\eng\EngData\AOS\Allgemein\[LabSamples2025.xlsx]Bioplastic'!H524)," ",'Q:\Abteilungsprojekte\eng\EngData\AOS\Allgemein\[LabSamples2025.xlsx]Bioplastic'!H524)</f>
        <v/>
      </c>
    </row>
    <row r="525">
      <c r="A525">
        <f>IF(ISBLANK('Q:\Abteilungsprojekte\eng\EngData\AOS\Allgemein\[LabSamples2025.xlsx]Bioplastic'!A525)," ",'Q:\Abteilungsprojekte\eng\EngData\AOS\Allgemein\[LabSamples2025.xlsx]Bioplastic'!A525)</f>
        <v/>
      </c>
      <c r="B525">
        <f>IF(ISBLANK('Q:\Abteilungsprojekte\eng\EngData\AOS\Allgemein\[LabSamples2025.xlsx]Bioplastic'!B525)," ",'Q:\Abteilungsprojekte\eng\EngData\AOS\Allgemein\[LabSamples2025.xlsx]Bioplastic'!B525)</f>
        <v/>
      </c>
      <c r="C525">
        <f>IF(ISBLANK('Q:\Abteilungsprojekte\eng\EngData\AOS\Allgemein\[LabSamples2025.xlsx]Bioplastic'!C525)," ",'Q:\Abteilungsprojekte\eng\EngData\AOS\Allgemein\[LabSamples2025.xlsx]Bioplastic'!C525)</f>
        <v/>
      </c>
      <c r="D525">
        <f>IF(ISBLANK('Q:\Abteilungsprojekte\eng\EngData\AOS\Allgemein\[LabSamples2025.xlsx]Bioplastic'!D525)," ",'Q:\Abteilungsprojekte\eng\EngData\AOS\Allgemein\[LabSamples2025.xlsx]Bioplastic'!D525)</f>
        <v/>
      </c>
      <c r="E525">
        <f>IF(ISBLANK('Q:\Abteilungsprojekte\eng\EngData\AOS\Allgemein\[LabSamples2025.xlsx]Bioplastic'!E525)," ",'Q:\Abteilungsprojekte\eng\EngData\AOS\Allgemein\[LabSamples2025.xlsx]Bioplastic'!E525)</f>
        <v/>
      </c>
      <c r="F525">
        <f>IF(ISBLANK('Q:\Abteilungsprojekte\eng\EngData\AOS\Allgemein\[LabSamples2025.xlsx]Bioplastic'!F525)," ",'Q:\Abteilungsprojekte\eng\EngData\AOS\Allgemein\[LabSamples2025.xlsx]Bioplastic'!F525)</f>
        <v/>
      </c>
      <c r="G525">
        <f>IF(ISBLANK('Q:\Abteilungsprojekte\eng\EngData\AOS\Allgemein\[LabSamples2025.xlsx]Bioplastic'!G525)," ",'Q:\Abteilungsprojekte\eng\EngData\AOS\Allgemein\[LabSamples2025.xlsx]Bioplastic'!G525)</f>
        <v/>
      </c>
      <c r="H525">
        <f>IF(ISBLANK('Q:\Abteilungsprojekte\eng\EngData\AOS\Allgemein\[LabSamples2025.xlsx]Bioplastic'!H525)," ",'Q:\Abteilungsprojekte\eng\EngData\AOS\Allgemein\[LabSamples2025.xlsx]Bioplastic'!H525)</f>
        <v/>
      </c>
    </row>
    <row r="526">
      <c r="A526">
        <f>IF(ISBLANK('Q:\Abteilungsprojekte\eng\EngData\AOS\Allgemein\[LabSamples2025.xlsx]Bioplastic'!A526)," ",'Q:\Abteilungsprojekte\eng\EngData\AOS\Allgemein\[LabSamples2025.xlsx]Bioplastic'!A526)</f>
        <v/>
      </c>
      <c r="B526">
        <f>IF(ISBLANK('Q:\Abteilungsprojekte\eng\EngData\AOS\Allgemein\[LabSamples2025.xlsx]Bioplastic'!B526)," ",'Q:\Abteilungsprojekte\eng\EngData\AOS\Allgemein\[LabSamples2025.xlsx]Bioplastic'!B526)</f>
        <v/>
      </c>
      <c r="C526">
        <f>IF(ISBLANK('Q:\Abteilungsprojekte\eng\EngData\AOS\Allgemein\[LabSamples2025.xlsx]Bioplastic'!C526)," ",'Q:\Abteilungsprojekte\eng\EngData\AOS\Allgemein\[LabSamples2025.xlsx]Bioplastic'!C526)</f>
        <v/>
      </c>
      <c r="D526">
        <f>IF(ISBLANK('Q:\Abteilungsprojekte\eng\EngData\AOS\Allgemein\[LabSamples2025.xlsx]Bioplastic'!D526)," ",'Q:\Abteilungsprojekte\eng\EngData\AOS\Allgemein\[LabSamples2025.xlsx]Bioplastic'!D526)</f>
        <v/>
      </c>
      <c r="E526">
        <f>IF(ISBLANK('Q:\Abteilungsprojekte\eng\EngData\AOS\Allgemein\[LabSamples2025.xlsx]Bioplastic'!E526)," ",'Q:\Abteilungsprojekte\eng\EngData\AOS\Allgemein\[LabSamples2025.xlsx]Bioplastic'!E526)</f>
        <v/>
      </c>
      <c r="F526">
        <f>IF(ISBLANK('Q:\Abteilungsprojekte\eng\EngData\AOS\Allgemein\[LabSamples2025.xlsx]Bioplastic'!F526)," ",'Q:\Abteilungsprojekte\eng\EngData\AOS\Allgemein\[LabSamples2025.xlsx]Bioplastic'!F526)</f>
        <v/>
      </c>
      <c r="G526">
        <f>IF(ISBLANK('Q:\Abteilungsprojekte\eng\EngData\AOS\Allgemein\[LabSamples2025.xlsx]Bioplastic'!G526)," ",'Q:\Abteilungsprojekte\eng\EngData\AOS\Allgemein\[LabSamples2025.xlsx]Bioplastic'!G526)</f>
        <v/>
      </c>
      <c r="H526">
        <f>IF(ISBLANK('Q:\Abteilungsprojekte\eng\EngData\AOS\Allgemein\[LabSamples2025.xlsx]Bioplastic'!H526)," ",'Q:\Abteilungsprojekte\eng\EngData\AOS\Allgemein\[LabSamples2025.xlsx]Bioplastic'!H526)</f>
        <v/>
      </c>
    </row>
    <row r="527">
      <c r="A527">
        <f>IF(ISBLANK('Q:\Abteilungsprojekte\eng\EngData\AOS\Allgemein\[LabSamples2025.xlsx]Bioplastic'!A527)," ",'Q:\Abteilungsprojekte\eng\EngData\AOS\Allgemein\[LabSamples2025.xlsx]Bioplastic'!A527)</f>
        <v/>
      </c>
      <c r="B527">
        <f>IF(ISBLANK('Q:\Abteilungsprojekte\eng\EngData\AOS\Allgemein\[LabSamples2025.xlsx]Bioplastic'!B527)," ",'Q:\Abteilungsprojekte\eng\EngData\AOS\Allgemein\[LabSamples2025.xlsx]Bioplastic'!B527)</f>
        <v/>
      </c>
      <c r="C527">
        <f>IF(ISBLANK('Q:\Abteilungsprojekte\eng\EngData\AOS\Allgemein\[LabSamples2025.xlsx]Bioplastic'!C527)," ",'Q:\Abteilungsprojekte\eng\EngData\AOS\Allgemein\[LabSamples2025.xlsx]Bioplastic'!C527)</f>
        <v/>
      </c>
      <c r="D527">
        <f>IF(ISBLANK('Q:\Abteilungsprojekte\eng\EngData\AOS\Allgemein\[LabSamples2025.xlsx]Bioplastic'!D527)," ",'Q:\Abteilungsprojekte\eng\EngData\AOS\Allgemein\[LabSamples2025.xlsx]Bioplastic'!D527)</f>
        <v/>
      </c>
      <c r="E527">
        <f>IF(ISBLANK('Q:\Abteilungsprojekte\eng\EngData\AOS\Allgemein\[LabSamples2025.xlsx]Bioplastic'!E527)," ",'Q:\Abteilungsprojekte\eng\EngData\AOS\Allgemein\[LabSamples2025.xlsx]Bioplastic'!E527)</f>
        <v/>
      </c>
      <c r="F527">
        <f>IF(ISBLANK('Q:\Abteilungsprojekte\eng\EngData\AOS\Allgemein\[LabSamples2025.xlsx]Bioplastic'!F527)," ",'Q:\Abteilungsprojekte\eng\EngData\AOS\Allgemein\[LabSamples2025.xlsx]Bioplastic'!F527)</f>
        <v/>
      </c>
      <c r="G527">
        <f>IF(ISBLANK('Q:\Abteilungsprojekte\eng\EngData\AOS\Allgemein\[LabSamples2025.xlsx]Bioplastic'!G527)," ",'Q:\Abteilungsprojekte\eng\EngData\AOS\Allgemein\[LabSamples2025.xlsx]Bioplastic'!G527)</f>
        <v/>
      </c>
      <c r="H527">
        <f>IF(ISBLANK('Q:\Abteilungsprojekte\eng\EngData\AOS\Allgemein\[LabSamples2025.xlsx]Bioplastic'!H527)," ",'Q:\Abteilungsprojekte\eng\EngData\AOS\Allgemein\[LabSamples2025.xlsx]Bioplastic'!H527)</f>
        <v/>
      </c>
    </row>
    <row r="528">
      <c r="A528">
        <f>IF(ISBLANK('Q:\Abteilungsprojekte\eng\EngData\AOS\Allgemein\[LabSamples2025.xlsx]Bioplastic'!A528)," ",'Q:\Abteilungsprojekte\eng\EngData\AOS\Allgemein\[LabSamples2025.xlsx]Bioplastic'!A528)</f>
        <v/>
      </c>
      <c r="B528">
        <f>IF(ISBLANK('Q:\Abteilungsprojekte\eng\EngData\AOS\Allgemein\[LabSamples2025.xlsx]Bioplastic'!B528)," ",'Q:\Abteilungsprojekte\eng\EngData\AOS\Allgemein\[LabSamples2025.xlsx]Bioplastic'!B528)</f>
        <v/>
      </c>
      <c r="C528">
        <f>IF(ISBLANK('Q:\Abteilungsprojekte\eng\EngData\AOS\Allgemein\[LabSamples2025.xlsx]Bioplastic'!C528)," ",'Q:\Abteilungsprojekte\eng\EngData\AOS\Allgemein\[LabSamples2025.xlsx]Bioplastic'!C528)</f>
        <v/>
      </c>
      <c r="D528">
        <f>IF(ISBLANK('Q:\Abteilungsprojekte\eng\EngData\AOS\Allgemein\[LabSamples2025.xlsx]Bioplastic'!D528)," ",'Q:\Abteilungsprojekte\eng\EngData\AOS\Allgemein\[LabSamples2025.xlsx]Bioplastic'!D528)</f>
        <v/>
      </c>
      <c r="E528">
        <f>IF(ISBLANK('Q:\Abteilungsprojekte\eng\EngData\AOS\Allgemein\[LabSamples2025.xlsx]Bioplastic'!E528)," ",'Q:\Abteilungsprojekte\eng\EngData\AOS\Allgemein\[LabSamples2025.xlsx]Bioplastic'!E528)</f>
        <v/>
      </c>
      <c r="F528">
        <f>IF(ISBLANK('Q:\Abteilungsprojekte\eng\EngData\AOS\Allgemein\[LabSamples2025.xlsx]Bioplastic'!F528)," ",'Q:\Abteilungsprojekte\eng\EngData\AOS\Allgemein\[LabSamples2025.xlsx]Bioplastic'!F528)</f>
        <v/>
      </c>
      <c r="G528">
        <f>IF(ISBLANK('Q:\Abteilungsprojekte\eng\EngData\AOS\Allgemein\[LabSamples2025.xlsx]Bioplastic'!G528)," ",'Q:\Abteilungsprojekte\eng\EngData\AOS\Allgemein\[LabSamples2025.xlsx]Bioplastic'!G528)</f>
        <v/>
      </c>
      <c r="H528">
        <f>IF(ISBLANK('Q:\Abteilungsprojekte\eng\EngData\AOS\Allgemein\[LabSamples2025.xlsx]Bioplastic'!H528)," ",'Q:\Abteilungsprojekte\eng\EngData\AOS\Allgemein\[LabSamples2025.xlsx]Bioplastic'!H528)</f>
        <v/>
      </c>
    </row>
    <row r="529">
      <c r="A529">
        <f>IF(ISBLANK('Q:\Abteilungsprojekte\eng\EngData\AOS\Allgemein\[LabSamples2025.xlsx]Bioplastic'!A529)," ",'Q:\Abteilungsprojekte\eng\EngData\AOS\Allgemein\[LabSamples2025.xlsx]Bioplastic'!A529)</f>
        <v/>
      </c>
      <c r="B529">
        <f>IF(ISBLANK('Q:\Abteilungsprojekte\eng\EngData\AOS\Allgemein\[LabSamples2025.xlsx]Bioplastic'!B529)," ",'Q:\Abteilungsprojekte\eng\EngData\AOS\Allgemein\[LabSamples2025.xlsx]Bioplastic'!B529)</f>
        <v/>
      </c>
      <c r="C529">
        <f>IF(ISBLANK('Q:\Abteilungsprojekte\eng\EngData\AOS\Allgemein\[LabSamples2025.xlsx]Bioplastic'!C529)," ",'Q:\Abteilungsprojekte\eng\EngData\AOS\Allgemein\[LabSamples2025.xlsx]Bioplastic'!C529)</f>
        <v/>
      </c>
      <c r="D529">
        <f>IF(ISBLANK('Q:\Abteilungsprojekte\eng\EngData\AOS\Allgemein\[LabSamples2025.xlsx]Bioplastic'!D529)," ",'Q:\Abteilungsprojekte\eng\EngData\AOS\Allgemein\[LabSamples2025.xlsx]Bioplastic'!D529)</f>
        <v/>
      </c>
      <c r="E529">
        <f>IF(ISBLANK('Q:\Abteilungsprojekte\eng\EngData\AOS\Allgemein\[LabSamples2025.xlsx]Bioplastic'!E529)," ",'Q:\Abteilungsprojekte\eng\EngData\AOS\Allgemein\[LabSamples2025.xlsx]Bioplastic'!E529)</f>
        <v/>
      </c>
      <c r="F529">
        <f>IF(ISBLANK('Q:\Abteilungsprojekte\eng\EngData\AOS\Allgemein\[LabSamples2025.xlsx]Bioplastic'!F529)," ",'Q:\Abteilungsprojekte\eng\EngData\AOS\Allgemein\[LabSamples2025.xlsx]Bioplastic'!F529)</f>
        <v/>
      </c>
      <c r="G529">
        <f>IF(ISBLANK('Q:\Abteilungsprojekte\eng\EngData\AOS\Allgemein\[LabSamples2025.xlsx]Bioplastic'!G529)," ",'Q:\Abteilungsprojekte\eng\EngData\AOS\Allgemein\[LabSamples2025.xlsx]Bioplastic'!G529)</f>
        <v/>
      </c>
      <c r="H529">
        <f>IF(ISBLANK('Q:\Abteilungsprojekte\eng\EngData\AOS\Allgemein\[LabSamples2025.xlsx]Bioplastic'!H529)," ",'Q:\Abteilungsprojekte\eng\EngData\AOS\Allgemein\[LabSamples2025.xlsx]Bioplastic'!H529)</f>
        <v/>
      </c>
    </row>
    <row r="530">
      <c r="A530">
        <f>IF(ISBLANK('Q:\Abteilungsprojekte\eng\EngData\AOS\Allgemein\[LabSamples2025.xlsx]Bioplastic'!A530)," ",'Q:\Abteilungsprojekte\eng\EngData\AOS\Allgemein\[LabSamples2025.xlsx]Bioplastic'!A530)</f>
        <v/>
      </c>
      <c r="B530">
        <f>IF(ISBLANK('Q:\Abteilungsprojekte\eng\EngData\AOS\Allgemein\[LabSamples2025.xlsx]Bioplastic'!B530)," ",'Q:\Abteilungsprojekte\eng\EngData\AOS\Allgemein\[LabSamples2025.xlsx]Bioplastic'!B530)</f>
        <v/>
      </c>
      <c r="C530">
        <f>IF(ISBLANK('Q:\Abteilungsprojekte\eng\EngData\AOS\Allgemein\[LabSamples2025.xlsx]Bioplastic'!C530)," ",'Q:\Abteilungsprojekte\eng\EngData\AOS\Allgemein\[LabSamples2025.xlsx]Bioplastic'!C530)</f>
        <v/>
      </c>
      <c r="D530">
        <f>IF(ISBLANK('Q:\Abteilungsprojekte\eng\EngData\AOS\Allgemein\[LabSamples2025.xlsx]Bioplastic'!D530)," ",'Q:\Abteilungsprojekte\eng\EngData\AOS\Allgemein\[LabSamples2025.xlsx]Bioplastic'!D530)</f>
        <v/>
      </c>
      <c r="E530">
        <f>IF(ISBLANK('Q:\Abteilungsprojekte\eng\EngData\AOS\Allgemein\[LabSamples2025.xlsx]Bioplastic'!E530)," ",'Q:\Abteilungsprojekte\eng\EngData\AOS\Allgemein\[LabSamples2025.xlsx]Bioplastic'!E530)</f>
        <v/>
      </c>
      <c r="F530">
        <f>IF(ISBLANK('Q:\Abteilungsprojekte\eng\EngData\AOS\Allgemein\[LabSamples2025.xlsx]Bioplastic'!F530)," ",'Q:\Abteilungsprojekte\eng\EngData\AOS\Allgemein\[LabSamples2025.xlsx]Bioplastic'!F530)</f>
        <v/>
      </c>
      <c r="G530">
        <f>IF(ISBLANK('Q:\Abteilungsprojekte\eng\EngData\AOS\Allgemein\[LabSamples2025.xlsx]Bioplastic'!G530)," ",'Q:\Abteilungsprojekte\eng\EngData\AOS\Allgemein\[LabSamples2025.xlsx]Bioplastic'!G530)</f>
        <v/>
      </c>
      <c r="H530">
        <f>IF(ISBLANK('Q:\Abteilungsprojekte\eng\EngData\AOS\Allgemein\[LabSamples2025.xlsx]Bioplastic'!H530)," ",'Q:\Abteilungsprojekte\eng\EngData\AOS\Allgemein\[LabSamples2025.xlsx]Bioplastic'!H530)</f>
        <v/>
      </c>
    </row>
    <row r="531">
      <c r="A531">
        <f>IF(ISBLANK('Q:\Abteilungsprojekte\eng\EngData\AOS\Allgemein\[LabSamples2025.xlsx]Bioplastic'!A531)," ",'Q:\Abteilungsprojekte\eng\EngData\AOS\Allgemein\[LabSamples2025.xlsx]Bioplastic'!A531)</f>
        <v/>
      </c>
      <c r="B531">
        <f>IF(ISBLANK('Q:\Abteilungsprojekte\eng\EngData\AOS\Allgemein\[LabSamples2025.xlsx]Bioplastic'!B531)," ",'Q:\Abteilungsprojekte\eng\EngData\AOS\Allgemein\[LabSamples2025.xlsx]Bioplastic'!B531)</f>
        <v/>
      </c>
      <c r="C531">
        <f>IF(ISBLANK('Q:\Abteilungsprojekte\eng\EngData\AOS\Allgemein\[LabSamples2025.xlsx]Bioplastic'!C531)," ",'Q:\Abteilungsprojekte\eng\EngData\AOS\Allgemein\[LabSamples2025.xlsx]Bioplastic'!C531)</f>
        <v/>
      </c>
      <c r="D531">
        <f>IF(ISBLANK('Q:\Abteilungsprojekte\eng\EngData\AOS\Allgemein\[LabSamples2025.xlsx]Bioplastic'!D531)," ",'Q:\Abteilungsprojekte\eng\EngData\AOS\Allgemein\[LabSamples2025.xlsx]Bioplastic'!D531)</f>
        <v/>
      </c>
      <c r="E531">
        <f>IF(ISBLANK('Q:\Abteilungsprojekte\eng\EngData\AOS\Allgemein\[LabSamples2025.xlsx]Bioplastic'!E531)," ",'Q:\Abteilungsprojekte\eng\EngData\AOS\Allgemein\[LabSamples2025.xlsx]Bioplastic'!E531)</f>
        <v/>
      </c>
      <c r="F531">
        <f>IF(ISBLANK('Q:\Abteilungsprojekte\eng\EngData\AOS\Allgemein\[LabSamples2025.xlsx]Bioplastic'!F531)," ",'Q:\Abteilungsprojekte\eng\EngData\AOS\Allgemein\[LabSamples2025.xlsx]Bioplastic'!F531)</f>
        <v/>
      </c>
      <c r="G531">
        <f>IF(ISBLANK('Q:\Abteilungsprojekte\eng\EngData\AOS\Allgemein\[LabSamples2025.xlsx]Bioplastic'!G531)," ",'Q:\Abteilungsprojekte\eng\EngData\AOS\Allgemein\[LabSamples2025.xlsx]Bioplastic'!G531)</f>
        <v/>
      </c>
      <c r="H531">
        <f>IF(ISBLANK('Q:\Abteilungsprojekte\eng\EngData\AOS\Allgemein\[LabSamples2025.xlsx]Bioplastic'!H531)," ",'Q:\Abteilungsprojekte\eng\EngData\AOS\Allgemein\[LabSamples2025.xlsx]Bioplastic'!H531)</f>
        <v/>
      </c>
    </row>
    <row r="532">
      <c r="A532">
        <f>IF(ISBLANK('Q:\Abteilungsprojekte\eng\EngData\AOS\Allgemein\[LabSamples2025.xlsx]Bioplastic'!A532)," ",'Q:\Abteilungsprojekte\eng\EngData\AOS\Allgemein\[LabSamples2025.xlsx]Bioplastic'!A532)</f>
        <v/>
      </c>
      <c r="B532">
        <f>IF(ISBLANK('Q:\Abteilungsprojekte\eng\EngData\AOS\Allgemein\[LabSamples2025.xlsx]Bioplastic'!B532)," ",'Q:\Abteilungsprojekte\eng\EngData\AOS\Allgemein\[LabSamples2025.xlsx]Bioplastic'!B532)</f>
        <v/>
      </c>
      <c r="C532">
        <f>IF(ISBLANK('Q:\Abteilungsprojekte\eng\EngData\AOS\Allgemein\[LabSamples2025.xlsx]Bioplastic'!C532)," ",'Q:\Abteilungsprojekte\eng\EngData\AOS\Allgemein\[LabSamples2025.xlsx]Bioplastic'!C532)</f>
        <v/>
      </c>
      <c r="D532">
        <f>IF(ISBLANK('Q:\Abteilungsprojekte\eng\EngData\AOS\Allgemein\[LabSamples2025.xlsx]Bioplastic'!D532)," ",'Q:\Abteilungsprojekte\eng\EngData\AOS\Allgemein\[LabSamples2025.xlsx]Bioplastic'!D532)</f>
        <v/>
      </c>
      <c r="E532">
        <f>IF(ISBLANK('Q:\Abteilungsprojekte\eng\EngData\AOS\Allgemein\[LabSamples2025.xlsx]Bioplastic'!E532)," ",'Q:\Abteilungsprojekte\eng\EngData\AOS\Allgemein\[LabSamples2025.xlsx]Bioplastic'!E532)</f>
        <v/>
      </c>
      <c r="F532">
        <f>IF(ISBLANK('Q:\Abteilungsprojekte\eng\EngData\AOS\Allgemein\[LabSamples2025.xlsx]Bioplastic'!F532)," ",'Q:\Abteilungsprojekte\eng\EngData\AOS\Allgemein\[LabSamples2025.xlsx]Bioplastic'!F532)</f>
        <v/>
      </c>
      <c r="G532">
        <f>IF(ISBLANK('Q:\Abteilungsprojekte\eng\EngData\AOS\Allgemein\[LabSamples2025.xlsx]Bioplastic'!G532)," ",'Q:\Abteilungsprojekte\eng\EngData\AOS\Allgemein\[LabSamples2025.xlsx]Bioplastic'!G532)</f>
        <v/>
      </c>
      <c r="H532">
        <f>IF(ISBLANK('Q:\Abteilungsprojekte\eng\EngData\AOS\Allgemein\[LabSamples2025.xlsx]Bioplastic'!H532)," ",'Q:\Abteilungsprojekte\eng\EngData\AOS\Allgemein\[LabSamples2025.xlsx]Bioplastic'!H532)</f>
        <v/>
      </c>
    </row>
    <row r="533">
      <c r="A533">
        <f>IF(ISBLANK('Q:\Abteilungsprojekte\eng\EngData\AOS\Allgemein\[LabSamples2025.xlsx]Bioplastic'!A533)," ",'Q:\Abteilungsprojekte\eng\EngData\AOS\Allgemein\[LabSamples2025.xlsx]Bioplastic'!A533)</f>
        <v/>
      </c>
      <c r="B533">
        <f>IF(ISBLANK('Q:\Abteilungsprojekte\eng\EngData\AOS\Allgemein\[LabSamples2025.xlsx]Bioplastic'!B533)," ",'Q:\Abteilungsprojekte\eng\EngData\AOS\Allgemein\[LabSamples2025.xlsx]Bioplastic'!B533)</f>
        <v/>
      </c>
      <c r="C533">
        <f>IF(ISBLANK('Q:\Abteilungsprojekte\eng\EngData\AOS\Allgemein\[LabSamples2025.xlsx]Bioplastic'!C533)," ",'Q:\Abteilungsprojekte\eng\EngData\AOS\Allgemein\[LabSamples2025.xlsx]Bioplastic'!C533)</f>
        <v/>
      </c>
      <c r="D533">
        <f>IF(ISBLANK('Q:\Abteilungsprojekte\eng\EngData\AOS\Allgemein\[LabSamples2025.xlsx]Bioplastic'!D533)," ",'Q:\Abteilungsprojekte\eng\EngData\AOS\Allgemein\[LabSamples2025.xlsx]Bioplastic'!D533)</f>
        <v/>
      </c>
      <c r="E533">
        <f>IF(ISBLANK('Q:\Abteilungsprojekte\eng\EngData\AOS\Allgemein\[LabSamples2025.xlsx]Bioplastic'!E533)," ",'Q:\Abteilungsprojekte\eng\EngData\AOS\Allgemein\[LabSamples2025.xlsx]Bioplastic'!E533)</f>
        <v/>
      </c>
      <c r="F533">
        <f>IF(ISBLANK('Q:\Abteilungsprojekte\eng\EngData\AOS\Allgemein\[LabSamples2025.xlsx]Bioplastic'!F533)," ",'Q:\Abteilungsprojekte\eng\EngData\AOS\Allgemein\[LabSamples2025.xlsx]Bioplastic'!F533)</f>
        <v/>
      </c>
      <c r="G533">
        <f>IF(ISBLANK('Q:\Abteilungsprojekte\eng\EngData\AOS\Allgemein\[LabSamples2025.xlsx]Bioplastic'!G533)," ",'Q:\Abteilungsprojekte\eng\EngData\AOS\Allgemein\[LabSamples2025.xlsx]Bioplastic'!G533)</f>
        <v/>
      </c>
      <c r="H533">
        <f>IF(ISBLANK('Q:\Abteilungsprojekte\eng\EngData\AOS\Allgemein\[LabSamples2025.xlsx]Bioplastic'!H533)," ",'Q:\Abteilungsprojekte\eng\EngData\AOS\Allgemein\[LabSamples2025.xlsx]Bioplastic'!H533)</f>
        <v/>
      </c>
    </row>
    <row r="534">
      <c r="A534">
        <f>IF(ISBLANK('Q:\Abteilungsprojekte\eng\EngData\AOS\Allgemein\[LabSamples2025.xlsx]Bioplastic'!A534)," ",'Q:\Abteilungsprojekte\eng\EngData\AOS\Allgemein\[LabSamples2025.xlsx]Bioplastic'!A534)</f>
        <v/>
      </c>
      <c r="B534">
        <f>IF(ISBLANK('Q:\Abteilungsprojekte\eng\EngData\AOS\Allgemein\[LabSamples2025.xlsx]Bioplastic'!B534)," ",'Q:\Abteilungsprojekte\eng\EngData\AOS\Allgemein\[LabSamples2025.xlsx]Bioplastic'!B534)</f>
        <v/>
      </c>
      <c r="C534">
        <f>IF(ISBLANK('Q:\Abteilungsprojekte\eng\EngData\AOS\Allgemein\[LabSamples2025.xlsx]Bioplastic'!C534)," ",'Q:\Abteilungsprojekte\eng\EngData\AOS\Allgemein\[LabSamples2025.xlsx]Bioplastic'!C534)</f>
        <v/>
      </c>
      <c r="D534">
        <f>IF(ISBLANK('Q:\Abteilungsprojekte\eng\EngData\AOS\Allgemein\[LabSamples2025.xlsx]Bioplastic'!D534)," ",'Q:\Abteilungsprojekte\eng\EngData\AOS\Allgemein\[LabSamples2025.xlsx]Bioplastic'!D534)</f>
        <v/>
      </c>
      <c r="E534">
        <f>IF(ISBLANK('Q:\Abteilungsprojekte\eng\EngData\AOS\Allgemein\[LabSamples2025.xlsx]Bioplastic'!E534)," ",'Q:\Abteilungsprojekte\eng\EngData\AOS\Allgemein\[LabSamples2025.xlsx]Bioplastic'!E534)</f>
        <v/>
      </c>
      <c r="F534">
        <f>IF(ISBLANK('Q:\Abteilungsprojekte\eng\EngData\AOS\Allgemein\[LabSamples2025.xlsx]Bioplastic'!F534)," ",'Q:\Abteilungsprojekte\eng\EngData\AOS\Allgemein\[LabSamples2025.xlsx]Bioplastic'!F534)</f>
        <v/>
      </c>
      <c r="G534">
        <f>IF(ISBLANK('Q:\Abteilungsprojekte\eng\EngData\AOS\Allgemein\[LabSamples2025.xlsx]Bioplastic'!G534)," ",'Q:\Abteilungsprojekte\eng\EngData\AOS\Allgemein\[LabSamples2025.xlsx]Bioplastic'!G534)</f>
        <v/>
      </c>
      <c r="H534">
        <f>IF(ISBLANK('Q:\Abteilungsprojekte\eng\EngData\AOS\Allgemein\[LabSamples2025.xlsx]Bioplastic'!H534)," ",'Q:\Abteilungsprojekte\eng\EngData\AOS\Allgemein\[LabSamples2025.xlsx]Bioplastic'!H534)</f>
        <v/>
      </c>
    </row>
    <row r="535">
      <c r="A535">
        <f>IF(ISBLANK('Q:\Abteilungsprojekte\eng\EngData\AOS\Allgemein\[LabSamples2025.xlsx]Bioplastic'!A535)," ",'Q:\Abteilungsprojekte\eng\EngData\AOS\Allgemein\[LabSamples2025.xlsx]Bioplastic'!A535)</f>
        <v/>
      </c>
      <c r="B535">
        <f>IF(ISBLANK('Q:\Abteilungsprojekte\eng\EngData\AOS\Allgemein\[LabSamples2025.xlsx]Bioplastic'!B535)," ",'Q:\Abteilungsprojekte\eng\EngData\AOS\Allgemein\[LabSamples2025.xlsx]Bioplastic'!B535)</f>
        <v/>
      </c>
      <c r="C535">
        <f>IF(ISBLANK('Q:\Abteilungsprojekte\eng\EngData\AOS\Allgemein\[LabSamples2025.xlsx]Bioplastic'!C535)," ",'Q:\Abteilungsprojekte\eng\EngData\AOS\Allgemein\[LabSamples2025.xlsx]Bioplastic'!C535)</f>
        <v/>
      </c>
      <c r="D535">
        <f>IF(ISBLANK('Q:\Abteilungsprojekte\eng\EngData\AOS\Allgemein\[LabSamples2025.xlsx]Bioplastic'!D535)," ",'Q:\Abteilungsprojekte\eng\EngData\AOS\Allgemein\[LabSamples2025.xlsx]Bioplastic'!D535)</f>
        <v/>
      </c>
      <c r="E535">
        <f>IF(ISBLANK('Q:\Abteilungsprojekte\eng\EngData\AOS\Allgemein\[LabSamples2025.xlsx]Bioplastic'!E535)," ",'Q:\Abteilungsprojekte\eng\EngData\AOS\Allgemein\[LabSamples2025.xlsx]Bioplastic'!E535)</f>
        <v/>
      </c>
      <c r="F535">
        <f>IF(ISBLANK('Q:\Abteilungsprojekte\eng\EngData\AOS\Allgemein\[LabSamples2025.xlsx]Bioplastic'!F535)," ",'Q:\Abteilungsprojekte\eng\EngData\AOS\Allgemein\[LabSamples2025.xlsx]Bioplastic'!F535)</f>
        <v/>
      </c>
      <c r="G535">
        <f>IF(ISBLANK('Q:\Abteilungsprojekte\eng\EngData\AOS\Allgemein\[LabSamples2025.xlsx]Bioplastic'!G535)," ",'Q:\Abteilungsprojekte\eng\EngData\AOS\Allgemein\[LabSamples2025.xlsx]Bioplastic'!G535)</f>
        <v/>
      </c>
      <c r="H535">
        <f>IF(ISBLANK('Q:\Abteilungsprojekte\eng\EngData\AOS\Allgemein\[LabSamples2025.xlsx]Bioplastic'!H535)," ",'Q:\Abteilungsprojekte\eng\EngData\AOS\Allgemein\[LabSamples2025.xlsx]Bioplastic'!H535)</f>
        <v/>
      </c>
    </row>
    <row r="536">
      <c r="A536">
        <f>IF(ISBLANK('Q:\Abteilungsprojekte\eng\EngData\AOS\Allgemein\[LabSamples2025.xlsx]Bioplastic'!A536)," ",'Q:\Abteilungsprojekte\eng\EngData\AOS\Allgemein\[LabSamples2025.xlsx]Bioplastic'!A536)</f>
        <v/>
      </c>
      <c r="B536">
        <f>IF(ISBLANK('Q:\Abteilungsprojekte\eng\EngData\AOS\Allgemein\[LabSamples2025.xlsx]Bioplastic'!B536)," ",'Q:\Abteilungsprojekte\eng\EngData\AOS\Allgemein\[LabSamples2025.xlsx]Bioplastic'!B536)</f>
        <v/>
      </c>
      <c r="C536">
        <f>IF(ISBLANK('Q:\Abteilungsprojekte\eng\EngData\AOS\Allgemein\[LabSamples2025.xlsx]Bioplastic'!C536)," ",'Q:\Abteilungsprojekte\eng\EngData\AOS\Allgemein\[LabSamples2025.xlsx]Bioplastic'!C536)</f>
        <v/>
      </c>
      <c r="D536">
        <f>IF(ISBLANK('Q:\Abteilungsprojekte\eng\EngData\AOS\Allgemein\[LabSamples2025.xlsx]Bioplastic'!D536)," ",'Q:\Abteilungsprojekte\eng\EngData\AOS\Allgemein\[LabSamples2025.xlsx]Bioplastic'!D536)</f>
        <v/>
      </c>
      <c r="E536">
        <f>IF(ISBLANK('Q:\Abteilungsprojekte\eng\EngData\AOS\Allgemein\[LabSamples2025.xlsx]Bioplastic'!E536)," ",'Q:\Abteilungsprojekte\eng\EngData\AOS\Allgemein\[LabSamples2025.xlsx]Bioplastic'!E536)</f>
        <v/>
      </c>
      <c r="F536">
        <f>IF(ISBLANK('Q:\Abteilungsprojekte\eng\EngData\AOS\Allgemein\[LabSamples2025.xlsx]Bioplastic'!F536)," ",'Q:\Abteilungsprojekte\eng\EngData\AOS\Allgemein\[LabSamples2025.xlsx]Bioplastic'!F536)</f>
        <v/>
      </c>
      <c r="G536">
        <f>IF(ISBLANK('Q:\Abteilungsprojekte\eng\EngData\AOS\Allgemein\[LabSamples2025.xlsx]Bioplastic'!G536)," ",'Q:\Abteilungsprojekte\eng\EngData\AOS\Allgemein\[LabSamples2025.xlsx]Bioplastic'!G536)</f>
        <v/>
      </c>
      <c r="H536">
        <f>IF(ISBLANK('Q:\Abteilungsprojekte\eng\EngData\AOS\Allgemein\[LabSamples2025.xlsx]Bioplastic'!H536)," ",'Q:\Abteilungsprojekte\eng\EngData\AOS\Allgemein\[LabSamples2025.xlsx]Bioplastic'!H536)</f>
        <v/>
      </c>
    </row>
    <row r="537">
      <c r="A537">
        <f>IF(ISBLANK('Q:\Abteilungsprojekte\eng\EngData\AOS\Allgemein\[LabSamples2025.xlsx]Bioplastic'!A537)," ",'Q:\Abteilungsprojekte\eng\EngData\AOS\Allgemein\[LabSamples2025.xlsx]Bioplastic'!A537)</f>
        <v/>
      </c>
      <c r="B537">
        <f>IF(ISBLANK('Q:\Abteilungsprojekte\eng\EngData\AOS\Allgemein\[LabSamples2025.xlsx]Bioplastic'!B537)," ",'Q:\Abteilungsprojekte\eng\EngData\AOS\Allgemein\[LabSamples2025.xlsx]Bioplastic'!B537)</f>
        <v/>
      </c>
      <c r="C537">
        <f>IF(ISBLANK('Q:\Abteilungsprojekte\eng\EngData\AOS\Allgemein\[LabSamples2025.xlsx]Bioplastic'!C537)," ",'Q:\Abteilungsprojekte\eng\EngData\AOS\Allgemein\[LabSamples2025.xlsx]Bioplastic'!C537)</f>
        <v/>
      </c>
      <c r="D537">
        <f>IF(ISBLANK('Q:\Abteilungsprojekte\eng\EngData\AOS\Allgemein\[LabSamples2025.xlsx]Bioplastic'!D537)," ",'Q:\Abteilungsprojekte\eng\EngData\AOS\Allgemein\[LabSamples2025.xlsx]Bioplastic'!D537)</f>
        <v/>
      </c>
      <c r="E537">
        <f>IF(ISBLANK('Q:\Abteilungsprojekte\eng\EngData\AOS\Allgemein\[LabSamples2025.xlsx]Bioplastic'!E537)," ",'Q:\Abteilungsprojekte\eng\EngData\AOS\Allgemein\[LabSamples2025.xlsx]Bioplastic'!E537)</f>
        <v/>
      </c>
      <c r="F537">
        <f>IF(ISBLANK('Q:\Abteilungsprojekte\eng\EngData\AOS\Allgemein\[LabSamples2025.xlsx]Bioplastic'!F537)," ",'Q:\Abteilungsprojekte\eng\EngData\AOS\Allgemein\[LabSamples2025.xlsx]Bioplastic'!F537)</f>
        <v/>
      </c>
      <c r="G537">
        <f>IF(ISBLANK('Q:\Abteilungsprojekte\eng\EngData\AOS\Allgemein\[LabSamples2025.xlsx]Bioplastic'!G537)," ",'Q:\Abteilungsprojekte\eng\EngData\AOS\Allgemein\[LabSamples2025.xlsx]Bioplastic'!G537)</f>
        <v/>
      </c>
      <c r="H537">
        <f>IF(ISBLANK('Q:\Abteilungsprojekte\eng\EngData\AOS\Allgemein\[LabSamples2025.xlsx]Bioplastic'!H537)," ",'Q:\Abteilungsprojekte\eng\EngData\AOS\Allgemein\[LabSamples2025.xlsx]Bioplastic'!H537)</f>
        <v/>
      </c>
    </row>
    <row r="538">
      <c r="A538">
        <f>IF(ISBLANK('Q:\Abteilungsprojekte\eng\EngData\AOS\Allgemein\[LabSamples2025.xlsx]Bioplastic'!A538)," ",'Q:\Abteilungsprojekte\eng\EngData\AOS\Allgemein\[LabSamples2025.xlsx]Bioplastic'!A538)</f>
        <v/>
      </c>
      <c r="B538">
        <f>IF(ISBLANK('Q:\Abteilungsprojekte\eng\EngData\AOS\Allgemein\[LabSamples2025.xlsx]Bioplastic'!B538)," ",'Q:\Abteilungsprojekte\eng\EngData\AOS\Allgemein\[LabSamples2025.xlsx]Bioplastic'!B538)</f>
        <v/>
      </c>
      <c r="C538">
        <f>IF(ISBLANK('Q:\Abteilungsprojekte\eng\EngData\AOS\Allgemein\[LabSamples2025.xlsx]Bioplastic'!C538)," ",'Q:\Abteilungsprojekte\eng\EngData\AOS\Allgemein\[LabSamples2025.xlsx]Bioplastic'!C538)</f>
        <v/>
      </c>
      <c r="D538">
        <f>IF(ISBLANK('Q:\Abteilungsprojekte\eng\EngData\AOS\Allgemein\[LabSamples2025.xlsx]Bioplastic'!D538)," ",'Q:\Abteilungsprojekte\eng\EngData\AOS\Allgemein\[LabSamples2025.xlsx]Bioplastic'!D538)</f>
        <v/>
      </c>
      <c r="E538">
        <f>IF(ISBLANK('Q:\Abteilungsprojekte\eng\EngData\AOS\Allgemein\[LabSamples2025.xlsx]Bioplastic'!E538)," ",'Q:\Abteilungsprojekte\eng\EngData\AOS\Allgemein\[LabSamples2025.xlsx]Bioplastic'!E538)</f>
        <v/>
      </c>
      <c r="F538">
        <f>IF(ISBLANK('Q:\Abteilungsprojekte\eng\EngData\AOS\Allgemein\[LabSamples2025.xlsx]Bioplastic'!F538)," ",'Q:\Abteilungsprojekte\eng\EngData\AOS\Allgemein\[LabSamples2025.xlsx]Bioplastic'!F538)</f>
        <v/>
      </c>
      <c r="G538">
        <f>IF(ISBLANK('Q:\Abteilungsprojekte\eng\EngData\AOS\Allgemein\[LabSamples2025.xlsx]Bioplastic'!G538)," ",'Q:\Abteilungsprojekte\eng\EngData\AOS\Allgemein\[LabSamples2025.xlsx]Bioplastic'!G538)</f>
        <v/>
      </c>
      <c r="H538">
        <f>IF(ISBLANK('Q:\Abteilungsprojekte\eng\EngData\AOS\Allgemein\[LabSamples2025.xlsx]Bioplastic'!H538)," ",'Q:\Abteilungsprojekte\eng\EngData\AOS\Allgemein\[LabSamples2025.xlsx]Bioplastic'!H538)</f>
        <v/>
      </c>
    </row>
    <row r="539">
      <c r="A539">
        <f>IF(ISBLANK('Q:\Abteilungsprojekte\eng\EngData\AOS\Allgemein\[LabSamples2025.xlsx]Bioplastic'!A539)," ",'Q:\Abteilungsprojekte\eng\EngData\AOS\Allgemein\[LabSamples2025.xlsx]Bioplastic'!A539)</f>
        <v/>
      </c>
      <c r="B539">
        <f>IF(ISBLANK('Q:\Abteilungsprojekte\eng\EngData\AOS\Allgemein\[LabSamples2025.xlsx]Bioplastic'!B539)," ",'Q:\Abteilungsprojekte\eng\EngData\AOS\Allgemein\[LabSamples2025.xlsx]Bioplastic'!B539)</f>
        <v/>
      </c>
      <c r="C539">
        <f>IF(ISBLANK('Q:\Abteilungsprojekte\eng\EngData\AOS\Allgemein\[LabSamples2025.xlsx]Bioplastic'!C539)," ",'Q:\Abteilungsprojekte\eng\EngData\AOS\Allgemein\[LabSamples2025.xlsx]Bioplastic'!C539)</f>
        <v/>
      </c>
      <c r="D539">
        <f>IF(ISBLANK('Q:\Abteilungsprojekte\eng\EngData\AOS\Allgemein\[LabSamples2025.xlsx]Bioplastic'!D539)," ",'Q:\Abteilungsprojekte\eng\EngData\AOS\Allgemein\[LabSamples2025.xlsx]Bioplastic'!D539)</f>
        <v/>
      </c>
      <c r="E539">
        <f>IF(ISBLANK('Q:\Abteilungsprojekte\eng\EngData\AOS\Allgemein\[LabSamples2025.xlsx]Bioplastic'!E539)," ",'Q:\Abteilungsprojekte\eng\EngData\AOS\Allgemein\[LabSamples2025.xlsx]Bioplastic'!E539)</f>
        <v/>
      </c>
      <c r="F539">
        <f>IF(ISBLANK('Q:\Abteilungsprojekte\eng\EngData\AOS\Allgemein\[LabSamples2025.xlsx]Bioplastic'!F539)," ",'Q:\Abteilungsprojekte\eng\EngData\AOS\Allgemein\[LabSamples2025.xlsx]Bioplastic'!F539)</f>
        <v/>
      </c>
      <c r="G539">
        <f>IF(ISBLANK('Q:\Abteilungsprojekte\eng\EngData\AOS\Allgemein\[LabSamples2025.xlsx]Bioplastic'!G539)," ",'Q:\Abteilungsprojekte\eng\EngData\AOS\Allgemein\[LabSamples2025.xlsx]Bioplastic'!G539)</f>
        <v/>
      </c>
      <c r="H539">
        <f>IF(ISBLANK('Q:\Abteilungsprojekte\eng\EngData\AOS\Allgemein\[LabSamples2025.xlsx]Bioplastic'!H539)," ",'Q:\Abteilungsprojekte\eng\EngData\AOS\Allgemein\[LabSamples2025.xlsx]Bioplastic'!H539)</f>
        <v/>
      </c>
    </row>
    <row r="540">
      <c r="A540">
        <f>IF(ISBLANK('Q:\Abteilungsprojekte\eng\EngData\AOS\Allgemein\[LabSamples2025.xlsx]Bioplastic'!A540)," ",'Q:\Abteilungsprojekte\eng\EngData\AOS\Allgemein\[LabSamples2025.xlsx]Bioplastic'!A540)</f>
        <v/>
      </c>
      <c r="B540">
        <f>IF(ISBLANK('Q:\Abteilungsprojekte\eng\EngData\AOS\Allgemein\[LabSamples2025.xlsx]Bioplastic'!B540)," ",'Q:\Abteilungsprojekte\eng\EngData\AOS\Allgemein\[LabSamples2025.xlsx]Bioplastic'!B540)</f>
        <v/>
      </c>
      <c r="C540">
        <f>IF(ISBLANK('Q:\Abteilungsprojekte\eng\EngData\AOS\Allgemein\[LabSamples2025.xlsx]Bioplastic'!C540)," ",'Q:\Abteilungsprojekte\eng\EngData\AOS\Allgemein\[LabSamples2025.xlsx]Bioplastic'!C540)</f>
        <v/>
      </c>
      <c r="D540">
        <f>IF(ISBLANK('Q:\Abteilungsprojekte\eng\EngData\AOS\Allgemein\[LabSamples2025.xlsx]Bioplastic'!D540)," ",'Q:\Abteilungsprojekte\eng\EngData\AOS\Allgemein\[LabSamples2025.xlsx]Bioplastic'!D540)</f>
        <v/>
      </c>
      <c r="E540">
        <f>IF(ISBLANK('Q:\Abteilungsprojekte\eng\EngData\AOS\Allgemein\[LabSamples2025.xlsx]Bioplastic'!E540)," ",'Q:\Abteilungsprojekte\eng\EngData\AOS\Allgemein\[LabSamples2025.xlsx]Bioplastic'!E540)</f>
        <v/>
      </c>
      <c r="F540">
        <f>IF(ISBLANK('Q:\Abteilungsprojekte\eng\EngData\AOS\Allgemein\[LabSamples2025.xlsx]Bioplastic'!F540)," ",'Q:\Abteilungsprojekte\eng\EngData\AOS\Allgemein\[LabSamples2025.xlsx]Bioplastic'!F540)</f>
        <v/>
      </c>
      <c r="G540">
        <f>IF(ISBLANK('Q:\Abteilungsprojekte\eng\EngData\AOS\Allgemein\[LabSamples2025.xlsx]Bioplastic'!G540)," ",'Q:\Abteilungsprojekte\eng\EngData\AOS\Allgemein\[LabSamples2025.xlsx]Bioplastic'!G540)</f>
        <v/>
      </c>
      <c r="H540">
        <f>IF(ISBLANK('Q:\Abteilungsprojekte\eng\EngData\AOS\Allgemein\[LabSamples2025.xlsx]Bioplastic'!H540)," ",'Q:\Abteilungsprojekte\eng\EngData\AOS\Allgemein\[LabSamples2025.xlsx]Bioplastic'!H540)</f>
        <v/>
      </c>
    </row>
    <row r="541">
      <c r="A541">
        <f>IF(ISBLANK('Q:\Abteilungsprojekte\eng\EngData\AOS\Allgemein\[LabSamples2025.xlsx]Bioplastic'!A541)," ",'Q:\Abteilungsprojekte\eng\EngData\AOS\Allgemein\[LabSamples2025.xlsx]Bioplastic'!A541)</f>
        <v/>
      </c>
      <c r="B541">
        <f>IF(ISBLANK('Q:\Abteilungsprojekte\eng\EngData\AOS\Allgemein\[LabSamples2025.xlsx]Bioplastic'!B541)," ",'Q:\Abteilungsprojekte\eng\EngData\AOS\Allgemein\[LabSamples2025.xlsx]Bioplastic'!B541)</f>
        <v/>
      </c>
      <c r="C541">
        <f>IF(ISBLANK('Q:\Abteilungsprojekte\eng\EngData\AOS\Allgemein\[LabSamples2025.xlsx]Bioplastic'!C541)," ",'Q:\Abteilungsprojekte\eng\EngData\AOS\Allgemein\[LabSamples2025.xlsx]Bioplastic'!C541)</f>
        <v/>
      </c>
      <c r="D541">
        <f>IF(ISBLANK('Q:\Abteilungsprojekte\eng\EngData\AOS\Allgemein\[LabSamples2025.xlsx]Bioplastic'!D541)," ",'Q:\Abteilungsprojekte\eng\EngData\AOS\Allgemein\[LabSamples2025.xlsx]Bioplastic'!D541)</f>
        <v/>
      </c>
      <c r="E541">
        <f>IF(ISBLANK('Q:\Abteilungsprojekte\eng\EngData\AOS\Allgemein\[LabSamples2025.xlsx]Bioplastic'!E541)," ",'Q:\Abteilungsprojekte\eng\EngData\AOS\Allgemein\[LabSamples2025.xlsx]Bioplastic'!E541)</f>
        <v/>
      </c>
      <c r="F541">
        <f>IF(ISBLANK('Q:\Abteilungsprojekte\eng\EngData\AOS\Allgemein\[LabSamples2025.xlsx]Bioplastic'!F541)," ",'Q:\Abteilungsprojekte\eng\EngData\AOS\Allgemein\[LabSamples2025.xlsx]Bioplastic'!F541)</f>
        <v/>
      </c>
      <c r="G541">
        <f>IF(ISBLANK('Q:\Abteilungsprojekte\eng\EngData\AOS\Allgemein\[LabSamples2025.xlsx]Bioplastic'!G541)," ",'Q:\Abteilungsprojekte\eng\EngData\AOS\Allgemein\[LabSamples2025.xlsx]Bioplastic'!G541)</f>
        <v/>
      </c>
      <c r="H541">
        <f>IF(ISBLANK('Q:\Abteilungsprojekte\eng\EngData\AOS\Allgemein\[LabSamples2025.xlsx]Bioplastic'!H541)," ",'Q:\Abteilungsprojekte\eng\EngData\AOS\Allgemein\[LabSamples2025.xlsx]Bioplastic'!H541)</f>
        <v/>
      </c>
    </row>
    <row r="542">
      <c r="A542">
        <f>IF(ISBLANK('Q:\Abteilungsprojekte\eng\EngData\AOS\Allgemein\[LabSamples2025.xlsx]Bioplastic'!A542)," ",'Q:\Abteilungsprojekte\eng\EngData\AOS\Allgemein\[LabSamples2025.xlsx]Bioplastic'!A542)</f>
        <v/>
      </c>
      <c r="B542">
        <f>IF(ISBLANK('Q:\Abteilungsprojekte\eng\EngData\AOS\Allgemein\[LabSamples2025.xlsx]Bioplastic'!B542)," ",'Q:\Abteilungsprojekte\eng\EngData\AOS\Allgemein\[LabSamples2025.xlsx]Bioplastic'!B542)</f>
        <v/>
      </c>
      <c r="C542">
        <f>IF(ISBLANK('Q:\Abteilungsprojekte\eng\EngData\AOS\Allgemein\[LabSamples2025.xlsx]Bioplastic'!C542)," ",'Q:\Abteilungsprojekte\eng\EngData\AOS\Allgemein\[LabSamples2025.xlsx]Bioplastic'!C542)</f>
        <v/>
      </c>
      <c r="D542">
        <f>IF(ISBLANK('Q:\Abteilungsprojekte\eng\EngData\AOS\Allgemein\[LabSamples2025.xlsx]Bioplastic'!D542)," ",'Q:\Abteilungsprojekte\eng\EngData\AOS\Allgemein\[LabSamples2025.xlsx]Bioplastic'!D542)</f>
        <v/>
      </c>
      <c r="E542">
        <f>IF(ISBLANK('Q:\Abteilungsprojekte\eng\EngData\AOS\Allgemein\[LabSamples2025.xlsx]Bioplastic'!E542)," ",'Q:\Abteilungsprojekte\eng\EngData\AOS\Allgemein\[LabSamples2025.xlsx]Bioplastic'!E542)</f>
        <v/>
      </c>
      <c r="F542">
        <f>IF(ISBLANK('Q:\Abteilungsprojekte\eng\EngData\AOS\Allgemein\[LabSamples2025.xlsx]Bioplastic'!F542)," ",'Q:\Abteilungsprojekte\eng\EngData\AOS\Allgemein\[LabSamples2025.xlsx]Bioplastic'!F542)</f>
        <v/>
      </c>
      <c r="G542">
        <f>IF(ISBLANK('Q:\Abteilungsprojekte\eng\EngData\AOS\Allgemein\[LabSamples2025.xlsx]Bioplastic'!G542)," ",'Q:\Abteilungsprojekte\eng\EngData\AOS\Allgemein\[LabSamples2025.xlsx]Bioplastic'!G542)</f>
        <v/>
      </c>
      <c r="H542">
        <f>IF(ISBLANK('Q:\Abteilungsprojekte\eng\EngData\AOS\Allgemein\[LabSamples2025.xlsx]Bioplastic'!H542)," ",'Q:\Abteilungsprojekte\eng\EngData\AOS\Allgemein\[LabSamples2025.xlsx]Bioplastic'!H542)</f>
        <v/>
      </c>
    </row>
    <row r="543">
      <c r="A543">
        <f>IF(ISBLANK('Q:\Abteilungsprojekte\eng\EngData\AOS\Allgemein\[LabSamples2025.xlsx]Bioplastic'!A543)," ",'Q:\Abteilungsprojekte\eng\EngData\AOS\Allgemein\[LabSamples2025.xlsx]Bioplastic'!A543)</f>
        <v/>
      </c>
      <c r="B543">
        <f>IF(ISBLANK('Q:\Abteilungsprojekte\eng\EngData\AOS\Allgemein\[LabSamples2025.xlsx]Bioplastic'!B543)," ",'Q:\Abteilungsprojekte\eng\EngData\AOS\Allgemein\[LabSamples2025.xlsx]Bioplastic'!B543)</f>
        <v/>
      </c>
      <c r="C543">
        <f>IF(ISBLANK('Q:\Abteilungsprojekte\eng\EngData\AOS\Allgemein\[LabSamples2025.xlsx]Bioplastic'!C543)," ",'Q:\Abteilungsprojekte\eng\EngData\AOS\Allgemein\[LabSamples2025.xlsx]Bioplastic'!C543)</f>
        <v/>
      </c>
      <c r="D543">
        <f>IF(ISBLANK('Q:\Abteilungsprojekte\eng\EngData\AOS\Allgemein\[LabSamples2025.xlsx]Bioplastic'!D543)," ",'Q:\Abteilungsprojekte\eng\EngData\AOS\Allgemein\[LabSamples2025.xlsx]Bioplastic'!D543)</f>
        <v/>
      </c>
      <c r="E543">
        <f>IF(ISBLANK('Q:\Abteilungsprojekte\eng\EngData\AOS\Allgemein\[LabSamples2025.xlsx]Bioplastic'!E543)," ",'Q:\Abteilungsprojekte\eng\EngData\AOS\Allgemein\[LabSamples2025.xlsx]Bioplastic'!E543)</f>
        <v/>
      </c>
      <c r="F543">
        <f>IF(ISBLANK('Q:\Abteilungsprojekte\eng\EngData\AOS\Allgemein\[LabSamples2025.xlsx]Bioplastic'!F543)," ",'Q:\Abteilungsprojekte\eng\EngData\AOS\Allgemein\[LabSamples2025.xlsx]Bioplastic'!F543)</f>
        <v/>
      </c>
      <c r="G543">
        <f>IF(ISBLANK('Q:\Abteilungsprojekte\eng\EngData\AOS\Allgemein\[LabSamples2025.xlsx]Bioplastic'!G543)," ",'Q:\Abteilungsprojekte\eng\EngData\AOS\Allgemein\[LabSamples2025.xlsx]Bioplastic'!G543)</f>
        <v/>
      </c>
      <c r="H543">
        <f>IF(ISBLANK('Q:\Abteilungsprojekte\eng\EngData\AOS\Allgemein\[LabSamples2025.xlsx]Bioplastic'!H543)," ",'Q:\Abteilungsprojekte\eng\EngData\AOS\Allgemein\[LabSamples2025.xlsx]Bioplastic'!H543)</f>
        <v/>
      </c>
    </row>
    <row r="544">
      <c r="A544">
        <f>IF(ISBLANK('Q:\Abteilungsprojekte\eng\EngData\AOS\Allgemein\[LabSamples2025.xlsx]Bioplastic'!A544)," ",'Q:\Abteilungsprojekte\eng\EngData\AOS\Allgemein\[LabSamples2025.xlsx]Bioplastic'!A544)</f>
        <v/>
      </c>
      <c r="B544">
        <f>IF(ISBLANK('Q:\Abteilungsprojekte\eng\EngData\AOS\Allgemein\[LabSamples2025.xlsx]Bioplastic'!B544)," ",'Q:\Abteilungsprojekte\eng\EngData\AOS\Allgemein\[LabSamples2025.xlsx]Bioplastic'!B544)</f>
        <v/>
      </c>
      <c r="C544">
        <f>IF(ISBLANK('Q:\Abteilungsprojekte\eng\EngData\AOS\Allgemein\[LabSamples2025.xlsx]Bioplastic'!C544)," ",'Q:\Abteilungsprojekte\eng\EngData\AOS\Allgemein\[LabSamples2025.xlsx]Bioplastic'!C544)</f>
        <v/>
      </c>
      <c r="D544">
        <f>IF(ISBLANK('Q:\Abteilungsprojekte\eng\EngData\AOS\Allgemein\[LabSamples2025.xlsx]Bioplastic'!D544)," ",'Q:\Abteilungsprojekte\eng\EngData\AOS\Allgemein\[LabSamples2025.xlsx]Bioplastic'!D544)</f>
        <v/>
      </c>
      <c r="E544">
        <f>IF(ISBLANK('Q:\Abteilungsprojekte\eng\EngData\AOS\Allgemein\[LabSamples2025.xlsx]Bioplastic'!E544)," ",'Q:\Abteilungsprojekte\eng\EngData\AOS\Allgemein\[LabSamples2025.xlsx]Bioplastic'!E544)</f>
        <v/>
      </c>
      <c r="F544">
        <f>IF(ISBLANK('Q:\Abteilungsprojekte\eng\EngData\AOS\Allgemein\[LabSamples2025.xlsx]Bioplastic'!F544)," ",'Q:\Abteilungsprojekte\eng\EngData\AOS\Allgemein\[LabSamples2025.xlsx]Bioplastic'!F544)</f>
        <v/>
      </c>
      <c r="G544">
        <f>IF(ISBLANK('Q:\Abteilungsprojekte\eng\EngData\AOS\Allgemein\[LabSamples2025.xlsx]Bioplastic'!G544)," ",'Q:\Abteilungsprojekte\eng\EngData\AOS\Allgemein\[LabSamples2025.xlsx]Bioplastic'!G544)</f>
        <v/>
      </c>
      <c r="H544">
        <f>IF(ISBLANK('Q:\Abteilungsprojekte\eng\EngData\AOS\Allgemein\[LabSamples2025.xlsx]Bioplastic'!H544)," ",'Q:\Abteilungsprojekte\eng\EngData\AOS\Allgemein\[LabSamples2025.xlsx]Bioplastic'!H544)</f>
        <v/>
      </c>
    </row>
    <row r="545">
      <c r="A545">
        <f>IF(ISBLANK('Q:\Abteilungsprojekte\eng\EngData\AOS\Allgemein\[LabSamples2025.xlsx]Bioplastic'!A545)," ",'Q:\Abteilungsprojekte\eng\EngData\AOS\Allgemein\[LabSamples2025.xlsx]Bioplastic'!A545)</f>
        <v/>
      </c>
      <c r="B545">
        <f>IF(ISBLANK('Q:\Abteilungsprojekte\eng\EngData\AOS\Allgemein\[LabSamples2025.xlsx]Bioplastic'!B545)," ",'Q:\Abteilungsprojekte\eng\EngData\AOS\Allgemein\[LabSamples2025.xlsx]Bioplastic'!B545)</f>
        <v/>
      </c>
      <c r="C545">
        <f>IF(ISBLANK('Q:\Abteilungsprojekte\eng\EngData\AOS\Allgemein\[LabSamples2025.xlsx]Bioplastic'!C545)," ",'Q:\Abteilungsprojekte\eng\EngData\AOS\Allgemein\[LabSamples2025.xlsx]Bioplastic'!C545)</f>
        <v/>
      </c>
      <c r="D545">
        <f>IF(ISBLANK('Q:\Abteilungsprojekte\eng\EngData\AOS\Allgemein\[LabSamples2025.xlsx]Bioplastic'!D545)," ",'Q:\Abteilungsprojekte\eng\EngData\AOS\Allgemein\[LabSamples2025.xlsx]Bioplastic'!D545)</f>
        <v/>
      </c>
      <c r="E545">
        <f>IF(ISBLANK('Q:\Abteilungsprojekte\eng\EngData\AOS\Allgemein\[LabSamples2025.xlsx]Bioplastic'!E545)," ",'Q:\Abteilungsprojekte\eng\EngData\AOS\Allgemein\[LabSamples2025.xlsx]Bioplastic'!E545)</f>
        <v/>
      </c>
      <c r="F545">
        <f>IF(ISBLANK('Q:\Abteilungsprojekte\eng\EngData\AOS\Allgemein\[LabSamples2025.xlsx]Bioplastic'!F545)," ",'Q:\Abteilungsprojekte\eng\EngData\AOS\Allgemein\[LabSamples2025.xlsx]Bioplastic'!F545)</f>
        <v/>
      </c>
      <c r="G545">
        <f>IF(ISBLANK('Q:\Abteilungsprojekte\eng\EngData\AOS\Allgemein\[LabSamples2025.xlsx]Bioplastic'!G545)," ",'Q:\Abteilungsprojekte\eng\EngData\AOS\Allgemein\[LabSamples2025.xlsx]Bioplastic'!G545)</f>
        <v/>
      </c>
      <c r="H545">
        <f>IF(ISBLANK('Q:\Abteilungsprojekte\eng\EngData\AOS\Allgemein\[LabSamples2025.xlsx]Bioplastic'!H545)," ",'Q:\Abteilungsprojekte\eng\EngData\AOS\Allgemein\[LabSamples2025.xlsx]Bioplastic'!H545)</f>
        <v/>
      </c>
    </row>
    <row r="546">
      <c r="A546">
        <f>IF(ISBLANK('Q:\Abteilungsprojekte\eng\EngData\AOS\Allgemein\[LabSamples2025.xlsx]Bioplastic'!A546)," ",'Q:\Abteilungsprojekte\eng\EngData\AOS\Allgemein\[LabSamples2025.xlsx]Bioplastic'!A546)</f>
        <v/>
      </c>
      <c r="B546">
        <f>IF(ISBLANK('Q:\Abteilungsprojekte\eng\EngData\AOS\Allgemein\[LabSamples2025.xlsx]Bioplastic'!B546)," ",'Q:\Abteilungsprojekte\eng\EngData\AOS\Allgemein\[LabSamples2025.xlsx]Bioplastic'!B546)</f>
        <v/>
      </c>
      <c r="C546">
        <f>IF(ISBLANK('Q:\Abteilungsprojekte\eng\EngData\AOS\Allgemein\[LabSamples2025.xlsx]Bioplastic'!C546)," ",'Q:\Abteilungsprojekte\eng\EngData\AOS\Allgemein\[LabSamples2025.xlsx]Bioplastic'!C546)</f>
        <v/>
      </c>
      <c r="D546">
        <f>IF(ISBLANK('Q:\Abteilungsprojekte\eng\EngData\AOS\Allgemein\[LabSamples2025.xlsx]Bioplastic'!D546)," ",'Q:\Abteilungsprojekte\eng\EngData\AOS\Allgemein\[LabSamples2025.xlsx]Bioplastic'!D546)</f>
        <v/>
      </c>
      <c r="E546">
        <f>IF(ISBLANK('Q:\Abteilungsprojekte\eng\EngData\AOS\Allgemein\[LabSamples2025.xlsx]Bioplastic'!E546)," ",'Q:\Abteilungsprojekte\eng\EngData\AOS\Allgemein\[LabSamples2025.xlsx]Bioplastic'!E546)</f>
        <v/>
      </c>
      <c r="F546">
        <f>IF(ISBLANK('Q:\Abteilungsprojekte\eng\EngData\AOS\Allgemein\[LabSamples2025.xlsx]Bioplastic'!F546)," ",'Q:\Abteilungsprojekte\eng\EngData\AOS\Allgemein\[LabSamples2025.xlsx]Bioplastic'!F546)</f>
        <v/>
      </c>
      <c r="G546">
        <f>IF(ISBLANK('Q:\Abteilungsprojekte\eng\EngData\AOS\Allgemein\[LabSamples2025.xlsx]Bioplastic'!G546)," ",'Q:\Abteilungsprojekte\eng\EngData\AOS\Allgemein\[LabSamples2025.xlsx]Bioplastic'!G546)</f>
        <v/>
      </c>
      <c r="H546">
        <f>IF(ISBLANK('Q:\Abteilungsprojekte\eng\EngData\AOS\Allgemein\[LabSamples2025.xlsx]Bioplastic'!H546)," ",'Q:\Abteilungsprojekte\eng\EngData\AOS\Allgemein\[LabSamples2025.xlsx]Bioplastic'!H546)</f>
        <v/>
      </c>
    </row>
    <row r="547">
      <c r="A547">
        <f>IF(ISBLANK('Q:\Abteilungsprojekte\eng\EngData\AOS\Allgemein\[LabSamples2025.xlsx]Bioplastic'!A547)," ",'Q:\Abteilungsprojekte\eng\EngData\AOS\Allgemein\[LabSamples2025.xlsx]Bioplastic'!A547)</f>
        <v/>
      </c>
      <c r="B547">
        <f>IF(ISBLANK('Q:\Abteilungsprojekte\eng\EngData\AOS\Allgemein\[LabSamples2025.xlsx]Bioplastic'!B547)," ",'Q:\Abteilungsprojekte\eng\EngData\AOS\Allgemein\[LabSamples2025.xlsx]Bioplastic'!B547)</f>
        <v/>
      </c>
      <c r="C547">
        <f>IF(ISBLANK('Q:\Abteilungsprojekte\eng\EngData\AOS\Allgemein\[LabSamples2025.xlsx]Bioplastic'!C547)," ",'Q:\Abteilungsprojekte\eng\EngData\AOS\Allgemein\[LabSamples2025.xlsx]Bioplastic'!C547)</f>
        <v/>
      </c>
      <c r="D547">
        <f>IF(ISBLANK('Q:\Abteilungsprojekte\eng\EngData\AOS\Allgemein\[LabSamples2025.xlsx]Bioplastic'!D547)," ",'Q:\Abteilungsprojekte\eng\EngData\AOS\Allgemein\[LabSamples2025.xlsx]Bioplastic'!D547)</f>
        <v/>
      </c>
      <c r="E547">
        <f>IF(ISBLANK('Q:\Abteilungsprojekte\eng\EngData\AOS\Allgemein\[LabSamples2025.xlsx]Bioplastic'!E547)," ",'Q:\Abteilungsprojekte\eng\EngData\AOS\Allgemein\[LabSamples2025.xlsx]Bioplastic'!E547)</f>
        <v/>
      </c>
      <c r="F547">
        <f>IF(ISBLANK('Q:\Abteilungsprojekte\eng\EngData\AOS\Allgemein\[LabSamples2025.xlsx]Bioplastic'!F547)," ",'Q:\Abteilungsprojekte\eng\EngData\AOS\Allgemein\[LabSamples2025.xlsx]Bioplastic'!F547)</f>
        <v/>
      </c>
      <c r="G547">
        <f>IF(ISBLANK('Q:\Abteilungsprojekte\eng\EngData\AOS\Allgemein\[LabSamples2025.xlsx]Bioplastic'!G547)," ",'Q:\Abteilungsprojekte\eng\EngData\AOS\Allgemein\[LabSamples2025.xlsx]Bioplastic'!G547)</f>
        <v/>
      </c>
      <c r="H547">
        <f>IF(ISBLANK('Q:\Abteilungsprojekte\eng\EngData\AOS\Allgemein\[LabSamples2025.xlsx]Bioplastic'!H547)," ",'Q:\Abteilungsprojekte\eng\EngData\AOS\Allgemein\[LabSamples2025.xlsx]Bioplastic'!H547)</f>
        <v/>
      </c>
    </row>
    <row r="548">
      <c r="A548">
        <f>IF(ISBLANK('Q:\Abteilungsprojekte\eng\EngData\AOS\Allgemein\[LabSamples2025.xlsx]Bioplastic'!A548)," ",'Q:\Abteilungsprojekte\eng\EngData\AOS\Allgemein\[LabSamples2025.xlsx]Bioplastic'!A548)</f>
        <v/>
      </c>
      <c r="B548">
        <f>IF(ISBLANK('Q:\Abteilungsprojekte\eng\EngData\AOS\Allgemein\[LabSamples2025.xlsx]Bioplastic'!B548)," ",'Q:\Abteilungsprojekte\eng\EngData\AOS\Allgemein\[LabSamples2025.xlsx]Bioplastic'!B548)</f>
        <v/>
      </c>
      <c r="C548">
        <f>IF(ISBLANK('Q:\Abteilungsprojekte\eng\EngData\AOS\Allgemein\[LabSamples2025.xlsx]Bioplastic'!C548)," ",'Q:\Abteilungsprojekte\eng\EngData\AOS\Allgemein\[LabSamples2025.xlsx]Bioplastic'!C548)</f>
        <v/>
      </c>
      <c r="D548">
        <f>IF(ISBLANK('Q:\Abteilungsprojekte\eng\EngData\AOS\Allgemein\[LabSamples2025.xlsx]Bioplastic'!D548)," ",'Q:\Abteilungsprojekte\eng\EngData\AOS\Allgemein\[LabSamples2025.xlsx]Bioplastic'!D548)</f>
        <v/>
      </c>
      <c r="E548">
        <f>IF(ISBLANK('Q:\Abteilungsprojekte\eng\EngData\AOS\Allgemein\[LabSamples2025.xlsx]Bioplastic'!E548)," ",'Q:\Abteilungsprojekte\eng\EngData\AOS\Allgemein\[LabSamples2025.xlsx]Bioplastic'!E548)</f>
        <v/>
      </c>
      <c r="F548">
        <f>IF(ISBLANK('Q:\Abteilungsprojekte\eng\EngData\AOS\Allgemein\[LabSamples2025.xlsx]Bioplastic'!F548)," ",'Q:\Abteilungsprojekte\eng\EngData\AOS\Allgemein\[LabSamples2025.xlsx]Bioplastic'!F548)</f>
        <v/>
      </c>
      <c r="G548">
        <f>IF(ISBLANK('Q:\Abteilungsprojekte\eng\EngData\AOS\Allgemein\[LabSamples2025.xlsx]Bioplastic'!G548)," ",'Q:\Abteilungsprojekte\eng\EngData\AOS\Allgemein\[LabSamples2025.xlsx]Bioplastic'!G548)</f>
        <v/>
      </c>
      <c r="H548">
        <f>IF(ISBLANK('Q:\Abteilungsprojekte\eng\EngData\AOS\Allgemein\[LabSamples2025.xlsx]Bioplastic'!H548)," ",'Q:\Abteilungsprojekte\eng\EngData\AOS\Allgemein\[LabSamples2025.xlsx]Bioplastic'!H548)</f>
        <v/>
      </c>
    </row>
    <row r="549">
      <c r="A549">
        <f>IF(ISBLANK('Q:\Abteilungsprojekte\eng\EngData\AOS\Allgemein\[LabSamples2025.xlsx]Bioplastic'!A549)," ",'Q:\Abteilungsprojekte\eng\EngData\AOS\Allgemein\[LabSamples2025.xlsx]Bioplastic'!A549)</f>
        <v/>
      </c>
      <c r="B549">
        <f>IF(ISBLANK('Q:\Abteilungsprojekte\eng\EngData\AOS\Allgemein\[LabSamples2025.xlsx]Bioplastic'!B549)," ",'Q:\Abteilungsprojekte\eng\EngData\AOS\Allgemein\[LabSamples2025.xlsx]Bioplastic'!B549)</f>
        <v/>
      </c>
      <c r="C549">
        <f>IF(ISBLANK('Q:\Abteilungsprojekte\eng\EngData\AOS\Allgemein\[LabSamples2025.xlsx]Bioplastic'!C549)," ",'Q:\Abteilungsprojekte\eng\EngData\AOS\Allgemein\[LabSamples2025.xlsx]Bioplastic'!C549)</f>
        <v/>
      </c>
      <c r="D549">
        <f>IF(ISBLANK('Q:\Abteilungsprojekte\eng\EngData\AOS\Allgemein\[LabSamples2025.xlsx]Bioplastic'!D549)," ",'Q:\Abteilungsprojekte\eng\EngData\AOS\Allgemein\[LabSamples2025.xlsx]Bioplastic'!D549)</f>
        <v/>
      </c>
      <c r="E549">
        <f>IF(ISBLANK('Q:\Abteilungsprojekte\eng\EngData\AOS\Allgemein\[LabSamples2025.xlsx]Bioplastic'!E549)," ",'Q:\Abteilungsprojekte\eng\EngData\AOS\Allgemein\[LabSamples2025.xlsx]Bioplastic'!E549)</f>
        <v/>
      </c>
      <c r="F549">
        <f>IF(ISBLANK('Q:\Abteilungsprojekte\eng\EngData\AOS\Allgemein\[LabSamples2025.xlsx]Bioplastic'!F549)," ",'Q:\Abteilungsprojekte\eng\EngData\AOS\Allgemein\[LabSamples2025.xlsx]Bioplastic'!F549)</f>
        <v/>
      </c>
      <c r="G549">
        <f>IF(ISBLANK('Q:\Abteilungsprojekte\eng\EngData\AOS\Allgemein\[LabSamples2025.xlsx]Bioplastic'!G549)," ",'Q:\Abteilungsprojekte\eng\EngData\AOS\Allgemein\[LabSamples2025.xlsx]Bioplastic'!G549)</f>
        <v/>
      </c>
      <c r="H549">
        <f>IF(ISBLANK('Q:\Abteilungsprojekte\eng\EngData\AOS\Allgemein\[LabSamples2025.xlsx]Bioplastic'!H549)," ",'Q:\Abteilungsprojekte\eng\EngData\AOS\Allgemein\[LabSamples2025.xlsx]Bioplastic'!H549)</f>
        <v/>
      </c>
    </row>
    <row r="550">
      <c r="A550">
        <f>IF(ISBLANK('Q:\Abteilungsprojekte\eng\EngData\AOS\Allgemein\[LabSamples2025.xlsx]Bioplastic'!A550)," ",'Q:\Abteilungsprojekte\eng\EngData\AOS\Allgemein\[LabSamples2025.xlsx]Bioplastic'!A550)</f>
        <v/>
      </c>
      <c r="B550">
        <f>IF(ISBLANK('Q:\Abteilungsprojekte\eng\EngData\AOS\Allgemein\[LabSamples2025.xlsx]Bioplastic'!B550)," ",'Q:\Abteilungsprojekte\eng\EngData\AOS\Allgemein\[LabSamples2025.xlsx]Bioplastic'!B550)</f>
        <v/>
      </c>
      <c r="C550">
        <f>IF(ISBLANK('Q:\Abteilungsprojekte\eng\EngData\AOS\Allgemein\[LabSamples2025.xlsx]Bioplastic'!C550)," ",'Q:\Abteilungsprojekte\eng\EngData\AOS\Allgemein\[LabSamples2025.xlsx]Bioplastic'!C550)</f>
        <v/>
      </c>
      <c r="D550">
        <f>IF(ISBLANK('Q:\Abteilungsprojekte\eng\EngData\AOS\Allgemein\[LabSamples2025.xlsx]Bioplastic'!D550)," ",'Q:\Abteilungsprojekte\eng\EngData\AOS\Allgemein\[LabSamples2025.xlsx]Bioplastic'!D550)</f>
        <v/>
      </c>
      <c r="E550">
        <f>IF(ISBLANK('Q:\Abteilungsprojekte\eng\EngData\AOS\Allgemein\[LabSamples2025.xlsx]Bioplastic'!E550)," ",'Q:\Abteilungsprojekte\eng\EngData\AOS\Allgemein\[LabSamples2025.xlsx]Bioplastic'!E550)</f>
        <v/>
      </c>
      <c r="F550">
        <f>IF(ISBLANK('Q:\Abteilungsprojekte\eng\EngData\AOS\Allgemein\[LabSamples2025.xlsx]Bioplastic'!F550)," ",'Q:\Abteilungsprojekte\eng\EngData\AOS\Allgemein\[LabSamples2025.xlsx]Bioplastic'!F550)</f>
        <v/>
      </c>
      <c r="G550">
        <f>IF(ISBLANK('Q:\Abteilungsprojekte\eng\EngData\AOS\Allgemein\[LabSamples2025.xlsx]Bioplastic'!G550)," ",'Q:\Abteilungsprojekte\eng\EngData\AOS\Allgemein\[LabSamples2025.xlsx]Bioplastic'!G550)</f>
        <v/>
      </c>
      <c r="H550">
        <f>IF(ISBLANK('Q:\Abteilungsprojekte\eng\EngData\AOS\Allgemein\[LabSamples2025.xlsx]Bioplastic'!H550)," ",'Q:\Abteilungsprojekte\eng\EngData\AOS\Allgemein\[LabSamples2025.xlsx]Bioplastic'!H550)</f>
        <v/>
      </c>
    </row>
    <row r="551">
      <c r="A551">
        <f>IF(ISBLANK('Q:\Abteilungsprojekte\eng\EngData\AOS\Allgemein\[LabSamples2025.xlsx]Bioplastic'!A551)," ",'Q:\Abteilungsprojekte\eng\EngData\AOS\Allgemein\[LabSamples2025.xlsx]Bioplastic'!A551)</f>
        <v/>
      </c>
      <c r="B551">
        <f>IF(ISBLANK('Q:\Abteilungsprojekte\eng\EngData\AOS\Allgemein\[LabSamples2025.xlsx]Bioplastic'!B551)," ",'Q:\Abteilungsprojekte\eng\EngData\AOS\Allgemein\[LabSamples2025.xlsx]Bioplastic'!B551)</f>
        <v/>
      </c>
      <c r="C551">
        <f>IF(ISBLANK('Q:\Abteilungsprojekte\eng\EngData\AOS\Allgemein\[LabSamples2025.xlsx]Bioplastic'!C551)," ",'Q:\Abteilungsprojekte\eng\EngData\AOS\Allgemein\[LabSamples2025.xlsx]Bioplastic'!C551)</f>
        <v/>
      </c>
      <c r="D551">
        <f>IF(ISBLANK('Q:\Abteilungsprojekte\eng\EngData\AOS\Allgemein\[LabSamples2025.xlsx]Bioplastic'!D551)," ",'Q:\Abteilungsprojekte\eng\EngData\AOS\Allgemein\[LabSamples2025.xlsx]Bioplastic'!D551)</f>
        <v/>
      </c>
      <c r="E551">
        <f>IF(ISBLANK('Q:\Abteilungsprojekte\eng\EngData\AOS\Allgemein\[LabSamples2025.xlsx]Bioplastic'!E551)," ",'Q:\Abteilungsprojekte\eng\EngData\AOS\Allgemein\[LabSamples2025.xlsx]Bioplastic'!E551)</f>
        <v/>
      </c>
      <c r="F551">
        <f>IF(ISBLANK('Q:\Abteilungsprojekte\eng\EngData\AOS\Allgemein\[LabSamples2025.xlsx]Bioplastic'!F551)," ",'Q:\Abteilungsprojekte\eng\EngData\AOS\Allgemein\[LabSamples2025.xlsx]Bioplastic'!F551)</f>
        <v/>
      </c>
      <c r="G551">
        <f>IF(ISBLANK('Q:\Abteilungsprojekte\eng\EngData\AOS\Allgemein\[LabSamples2025.xlsx]Bioplastic'!G551)," ",'Q:\Abteilungsprojekte\eng\EngData\AOS\Allgemein\[LabSamples2025.xlsx]Bioplastic'!G551)</f>
        <v/>
      </c>
      <c r="H551">
        <f>IF(ISBLANK('Q:\Abteilungsprojekte\eng\EngData\AOS\Allgemein\[LabSamples2025.xlsx]Bioplastic'!H551)," ",'Q:\Abteilungsprojekte\eng\EngData\AOS\Allgemein\[LabSamples2025.xlsx]Bioplastic'!H551)</f>
        <v/>
      </c>
    </row>
    <row r="552">
      <c r="A552">
        <f>IF(ISBLANK('Q:\Abteilungsprojekte\eng\EngData\AOS\Allgemein\[LabSamples2025.xlsx]Bioplastic'!A552)," ",'Q:\Abteilungsprojekte\eng\EngData\AOS\Allgemein\[LabSamples2025.xlsx]Bioplastic'!A552)</f>
        <v/>
      </c>
      <c r="B552">
        <f>IF(ISBLANK('Q:\Abteilungsprojekte\eng\EngData\AOS\Allgemein\[LabSamples2025.xlsx]Bioplastic'!B552)," ",'Q:\Abteilungsprojekte\eng\EngData\AOS\Allgemein\[LabSamples2025.xlsx]Bioplastic'!B552)</f>
        <v/>
      </c>
      <c r="C552">
        <f>IF(ISBLANK('Q:\Abteilungsprojekte\eng\EngData\AOS\Allgemein\[LabSamples2025.xlsx]Bioplastic'!C552)," ",'Q:\Abteilungsprojekte\eng\EngData\AOS\Allgemein\[LabSamples2025.xlsx]Bioplastic'!C552)</f>
        <v/>
      </c>
      <c r="D552">
        <f>IF(ISBLANK('Q:\Abteilungsprojekte\eng\EngData\AOS\Allgemein\[LabSamples2025.xlsx]Bioplastic'!D552)," ",'Q:\Abteilungsprojekte\eng\EngData\AOS\Allgemein\[LabSamples2025.xlsx]Bioplastic'!D552)</f>
        <v/>
      </c>
      <c r="E552">
        <f>IF(ISBLANK('Q:\Abteilungsprojekte\eng\EngData\AOS\Allgemein\[LabSamples2025.xlsx]Bioplastic'!E552)," ",'Q:\Abteilungsprojekte\eng\EngData\AOS\Allgemein\[LabSamples2025.xlsx]Bioplastic'!E552)</f>
        <v/>
      </c>
      <c r="F552">
        <f>IF(ISBLANK('Q:\Abteilungsprojekte\eng\EngData\AOS\Allgemein\[LabSamples2025.xlsx]Bioplastic'!F552)," ",'Q:\Abteilungsprojekte\eng\EngData\AOS\Allgemein\[LabSamples2025.xlsx]Bioplastic'!F552)</f>
        <v/>
      </c>
      <c r="G552">
        <f>IF(ISBLANK('Q:\Abteilungsprojekte\eng\EngData\AOS\Allgemein\[LabSamples2025.xlsx]Bioplastic'!G552)," ",'Q:\Abteilungsprojekte\eng\EngData\AOS\Allgemein\[LabSamples2025.xlsx]Bioplastic'!G552)</f>
        <v/>
      </c>
      <c r="H552">
        <f>IF(ISBLANK('Q:\Abteilungsprojekte\eng\EngData\AOS\Allgemein\[LabSamples2025.xlsx]Bioplastic'!H552)," ",'Q:\Abteilungsprojekte\eng\EngData\AOS\Allgemein\[LabSamples2025.xlsx]Bioplastic'!H552)</f>
        <v/>
      </c>
    </row>
    <row r="553">
      <c r="A553">
        <f>IF(ISBLANK('Q:\Abteilungsprojekte\eng\EngData\AOS\Allgemein\[LabSamples2025.xlsx]Bioplastic'!A553)," ",'Q:\Abteilungsprojekte\eng\EngData\AOS\Allgemein\[LabSamples2025.xlsx]Bioplastic'!A553)</f>
        <v/>
      </c>
      <c r="B553">
        <f>IF(ISBLANK('Q:\Abteilungsprojekte\eng\EngData\AOS\Allgemein\[LabSamples2025.xlsx]Bioplastic'!B553)," ",'Q:\Abteilungsprojekte\eng\EngData\AOS\Allgemein\[LabSamples2025.xlsx]Bioplastic'!B553)</f>
        <v/>
      </c>
      <c r="C553">
        <f>IF(ISBLANK('Q:\Abteilungsprojekte\eng\EngData\AOS\Allgemein\[LabSamples2025.xlsx]Bioplastic'!C553)," ",'Q:\Abteilungsprojekte\eng\EngData\AOS\Allgemein\[LabSamples2025.xlsx]Bioplastic'!C553)</f>
        <v/>
      </c>
      <c r="D553">
        <f>IF(ISBLANK('Q:\Abteilungsprojekte\eng\EngData\AOS\Allgemein\[LabSamples2025.xlsx]Bioplastic'!D553)," ",'Q:\Abteilungsprojekte\eng\EngData\AOS\Allgemein\[LabSamples2025.xlsx]Bioplastic'!D553)</f>
        <v/>
      </c>
      <c r="E553">
        <f>IF(ISBLANK('Q:\Abteilungsprojekte\eng\EngData\AOS\Allgemein\[LabSamples2025.xlsx]Bioplastic'!E553)," ",'Q:\Abteilungsprojekte\eng\EngData\AOS\Allgemein\[LabSamples2025.xlsx]Bioplastic'!E553)</f>
        <v/>
      </c>
      <c r="F553">
        <f>IF(ISBLANK('Q:\Abteilungsprojekte\eng\EngData\AOS\Allgemein\[LabSamples2025.xlsx]Bioplastic'!F553)," ",'Q:\Abteilungsprojekte\eng\EngData\AOS\Allgemein\[LabSamples2025.xlsx]Bioplastic'!F553)</f>
        <v/>
      </c>
      <c r="G553">
        <f>IF(ISBLANK('Q:\Abteilungsprojekte\eng\EngData\AOS\Allgemein\[LabSamples2025.xlsx]Bioplastic'!G553)," ",'Q:\Abteilungsprojekte\eng\EngData\AOS\Allgemein\[LabSamples2025.xlsx]Bioplastic'!G553)</f>
        <v/>
      </c>
      <c r="H553">
        <f>IF(ISBLANK('Q:\Abteilungsprojekte\eng\EngData\AOS\Allgemein\[LabSamples2025.xlsx]Bioplastic'!H553)," ",'Q:\Abteilungsprojekte\eng\EngData\AOS\Allgemein\[LabSamples2025.xlsx]Bioplastic'!H553)</f>
        <v/>
      </c>
    </row>
    <row r="554">
      <c r="A554">
        <f>IF(ISBLANK('Q:\Abteilungsprojekte\eng\EngData\AOS\Allgemein\[LabSamples2025.xlsx]Bioplastic'!A554)," ",'Q:\Abteilungsprojekte\eng\EngData\AOS\Allgemein\[LabSamples2025.xlsx]Bioplastic'!A554)</f>
        <v/>
      </c>
      <c r="B554">
        <f>IF(ISBLANK('Q:\Abteilungsprojekte\eng\EngData\AOS\Allgemein\[LabSamples2025.xlsx]Bioplastic'!B554)," ",'Q:\Abteilungsprojekte\eng\EngData\AOS\Allgemein\[LabSamples2025.xlsx]Bioplastic'!B554)</f>
        <v/>
      </c>
      <c r="C554">
        <f>IF(ISBLANK('Q:\Abteilungsprojekte\eng\EngData\AOS\Allgemein\[LabSamples2025.xlsx]Bioplastic'!C554)," ",'Q:\Abteilungsprojekte\eng\EngData\AOS\Allgemein\[LabSamples2025.xlsx]Bioplastic'!C554)</f>
        <v/>
      </c>
      <c r="D554">
        <f>IF(ISBLANK('Q:\Abteilungsprojekte\eng\EngData\AOS\Allgemein\[LabSamples2025.xlsx]Bioplastic'!D554)," ",'Q:\Abteilungsprojekte\eng\EngData\AOS\Allgemein\[LabSamples2025.xlsx]Bioplastic'!D554)</f>
        <v/>
      </c>
      <c r="E554">
        <f>IF(ISBLANK('Q:\Abteilungsprojekte\eng\EngData\AOS\Allgemein\[LabSamples2025.xlsx]Bioplastic'!E554)," ",'Q:\Abteilungsprojekte\eng\EngData\AOS\Allgemein\[LabSamples2025.xlsx]Bioplastic'!E554)</f>
        <v/>
      </c>
      <c r="F554">
        <f>IF(ISBLANK('Q:\Abteilungsprojekte\eng\EngData\AOS\Allgemein\[LabSamples2025.xlsx]Bioplastic'!F554)," ",'Q:\Abteilungsprojekte\eng\EngData\AOS\Allgemein\[LabSamples2025.xlsx]Bioplastic'!F554)</f>
        <v/>
      </c>
      <c r="G554">
        <f>IF(ISBLANK('Q:\Abteilungsprojekte\eng\EngData\AOS\Allgemein\[LabSamples2025.xlsx]Bioplastic'!G554)," ",'Q:\Abteilungsprojekte\eng\EngData\AOS\Allgemein\[LabSamples2025.xlsx]Bioplastic'!G554)</f>
        <v/>
      </c>
      <c r="H554">
        <f>IF(ISBLANK('Q:\Abteilungsprojekte\eng\EngData\AOS\Allgemein\[LabSamples2025.xlsx]Bioplastic'!H554)," ",'Q:\Abteilungsprojekte\eng\EngData\AOS\Allgemein\[LabSamples2025.xlsx]Bioplastic'!H554)</f>
        <v/>
      </c>
    </row>
    <row r="555">
      <c r="A555">
        <f>IF(ISBLANK('Q:\Abteilungsprojekte\eng\EngData\AOS\Allgemein\[LabSamples2025.xlsx]Bioplastic'!A555)," ",'Q:\Abteilungsprojekte\eng\EngData\AOS\Allgemein\[LabSamples2025.xlsx]Bioplastic'!A555)</f>
        <v/>
      </c>
      <c r="B555">
        <f>IF(ISBLANK('Q:\Abteilungsprojekte\eng\EngData\AOS\Allgemein\[LabSamples2025.xlsx]Bioplastic'!B555)," ",'Q:\Abteilungsprojekte\eng\EngData\AOS\Allgemein\[LabSamples2025.xlsx]Bioplastic'!B555)</f>
        <v/>
      </c>
      <c r="C555">
        <f>IF(ISBLANK('Q:\Abteilungsprojekte\eng\EngData\AOS\Allgemein\[LabSamples2025.xlsx]Bioplastic'!C555)," ",'Q:\Abteilungsprojekte\eng\EngData\AOS\Allgemein\[LabSamples2025.xlsx]Bioplastic'!C555)</f>
        <v/>
      </c>
      <c r="D555">
        <f>IF(ISBLANK('Q:\Abteilungsprojekte\eng\EngData\AOS\Allgemein\[LabSamples2025.xlsx]Bioplastic'!D555)," ",'Q:\Abteilungsprojekte\eng\EngData\AOS\Allgemein\[LabSamples2025.xlsx]Bioplastic'!D555)</f>
        <v/>
      </c>
      <c r="E555">
        <f>IF(ISBLANK('Q:\Abteilungsprojekte\eng\EngData\AOS\Allgemein\[LabSamples2025.xlsx]Bioplastic'!E555)," ",'Q:\Abteilungsprojekte\eng\EngData\AOS\Allgemein\[LabSamples2025.xlsx]Bioplastic'!E555)</f>
        <v/>
      </c>
      <c r="F555">
        <f>IF(ISBLANK('Q:\Abteilungsprojekte\eng\EngData\AOS\Allgemein\[LabSamples2025.xlsx]Bioplastic'!F555)," ",'Q:\Abteilungsprojekte\eng\EngData\AOS\Allgemein\[LabSamples2025.xlsx]Bioplastic'!F555)</f>
        <v/>
      </c>
      <c r="G555">
        <f>IF(ISBLANK('Q:\Abteilungsprojekte\eng\EngData\AOS\Allgemein\[LabSamples2025.xlsx]Bioplastic'!G555)," ",'Q:\Abteilungsprojekte\eng\EngData\AOS\Allgemein\[LabSamples2025.xlsx]Bioplastic'!G555)</f>
        <v/>
      </c>
      <c r="H555">
        <f>IF(ISBLANK('Q:\Abteilungsprojekte\eng\EngData\AOS\Allgemein\[LabSamples2025.xlsx]Bioplastic'!H555)," ",'Q:\Abteilungsprojekte\eng\EngData\AOS\Allgemein\[LabSamples2025.xlsx]Bioplastic'!H555)</f>
        <v/>
      </c>
    </row>
    <row r="556">
      <c r="A556">
        <f>IF(ISBLANK('Q:\Abteilungsprojekte\eng\EngData\AOS\Allgemein\[LabSamples2025.xlsx]Bioplastic'!A556)," ",'Q:\Abteilungsprojekte\eng\EngData\AOS\Allgemein\[LabSamples2025.xlsx]Bioplastic'!A556)</f>
        <v/>
      </c>
      <c r="B556">
        <f>IF(ISBLANK('Q:\Abteilungsprojekte\eng\EngData\AOS\Allgemein\[LabSamples2025.xlsx]Bioplastic'!B556)," ",'Q:\Abteilungsprojekte\eng\EngData\AOS\Allgemein\[LabSamples2025.xlsx]Bioplastic'!B556)</f>
        <v/>
      </c>
      <c r="C556">
        <f>IF(ISBLANK('Q:\Abteilungsprojekte\eng\EngData\AOS\Allgemein\[LabSamples2025.xlsx]Bioplastic'!C556)," ",'Q:\Abteilungsprojekte\eng\EngData\AOS\Allgemein\[LabSamples2025.xlsx]Bioplastic'!C556)</f>
        <v/>
      </c>
      <c r="D556">
        <f>IF(ISBLANK('Q:\Abteilungsprojekte\eng\EngData\AOS\Allgemein\[LabSamples2025.xlsx]Bioplastic'!D556)," ",'Q:\Abteilungsprojekte\eng\EngData\AOS\Allgemein\[LabSamples2025.xlsx]Bioplastic'!D556)</f>
        <v/>
      </c>
      <c r="E556">
        <f>IF(ISBLANK('Q:\Abteilungsprojekte\eng\EngData\AOS\Allgemein\[LabSamples2025.xlsx]Bioplastic'!E556)," ",'Q:\Abteilungsprojekte\eng\EngData\AOS\Allgemein\[LabSamples2025.xlsx]Bioplastic'!E556)</f>
        <v/>
      </c>
      <c r="F556">
        <f>IF(ISBLANK('Q:\Abteilungsprojekte\eng\EngData\AOS\Allgemein\[LabSamples2025.xlsx]Bioplastic'!F556)," ",'Q:\Abteilungsprojekte\eng\EngData\AOS\Allgemein\[LabSamples2025.xlsx]Bioplastic'!F556)</f>
        <v/>
      </c>
      <c r="G556">
        <f>IF(ISBLANK('Q:\Abteilungsprojekte\eng\EngData\AOS\Allgemein\[LabSamples2025.xlsx]Bioplastic'!G556)," ",'Q:\Abteilungsprojekte\eng\EngData\AOS\Allgemein\[LabSamples2025.xlsx]Bioplastic'!G556)</f>
        <v/>
      </c>
      <c r="H556">
        <f>IF(ISBLANK('Q:\Abteilungsprojekte\eng\EngData\AOS\Allgemein\[LabSamples2025.xlsx]Bioplastic'!H556)," ",'Q:\Abteilungsprojekte\eng\EngData\AOS\Allgemein\[LabSamples2025.xlsx]Bioplastic'!H556)</f>
        <v/>
      </c>
    </row>
    <row r="557">
      <c r="A557">
        <f>IF(ISBLANK('Q:\Abteilungsprojekte\eng\EngData\AOS\Allgemein\[LabSamples2025.xlsx]Bioplastic'!A557)," ",'Q:\Abteilungsprojekte\eng\EngData\AOS\Allgemein\[LabSamples2025.xlsx]Bioplastic'!A557)</f>
        <v/>
      </c>
      <c r="B557">
        <f>IF(ISBLANK('Q:\Abteilungsprojekte\eng\EngData\AOS\Allgemein\[LabSamples2025.xlsx]Bioplastic'!B557)," ",'Q:\Abteilungsprojekte\eng\EngData\AOS\Allgemein\[LabSamples2025.xlsx]Bioplastic'!B557)</f>
        <v/>
      </c>
      <c r="C557">
        <f>IF(ISBLANK('Q:\Abteilungsprojekte\eng\EngData\AOS\Allgemein\[LabSamples2025.xlsx]Bioplastic'!C557)," ",'Q:\Abteilungsprojekte\eng\EngData\AOS\Allgemein\[LabSamples2025.xlsx]Bioplastic'!C557)</f>
        <v/>
      </c>
      <c r="D557">
        <f>IF(ISBLANK('Q:\Abteilungsprojekte\eng\EngData\AOS\Allgemein\[LabSamples2025.xlsx]Bioplastic'!D557)," ",'Q:\Abteilungsprojekte\eng\EngData\AOS\Allgemein\[LabSamples2025.xlsx]Bioplastic'!D557)</f>
        <v/>
      </c>
      <c r="E557">
        <f>IF(ISBLANK('Q:\Abteilungsprojekte\eng\EngData\AOS\Allgemein\[LabSamples2025.xlsx]Bioplastic'!E557)," ",'Q:\Abteilungsprojekte\eng\EngData\AOS\Allgemein\[LabSamples2025.xlsx]Bioplastic'!E557)</f>
        <v/>
      </c>
      <c r="F557">
        <f>IF(ISBLANK('Q:\Abteilungsprojekte\eng\EngData\AOS\Allgemein\[LabSamples2025.xlsx]Bioplastic'!F557)," ",'Q:\Abteilungsprojekte\eng\EngData\AOS\Allgemein\[LabSamples2025.xlsx]Bioplastic'!F557)</f>
        <v/>
      </c>
      <c r="G557">
        <f>IF(ISBLANK('Q:\Abteilungsprojekte\eng\EngData\AOS\Allgemein\[LabSamples2025.xlsx]Bioplastic'!G557)," ",'Q:\Abteilungsprojekte\eng\EngData\AOS\Allgemein\[LabSamples2025.xlsx]Bioplastic'!G557)</f>
        <v/>
      </c>
      <c r="H557">
        <f>IF(ISBLANK('Q:\Abteilungsprojekte\eng\EngData\AOS\Allgemein\[LabSamples2025.xlsx]Bioplastic'!H557)," ",'Q:\Abteilungsprojekte\eng\EngData\AOS\Allgemein\[LabSamples2025.xlsx]Bioplastic'!H557)</f>
        <v/>
      </c>
    </row>
    <row r="558">
      <c r="A558">
        <f>IF(ISBLANK('Q:\Abteilungsprojekte\eng\EngData\AOS\Allgemein\[LabSamples2025.xlsx]Bioplastic'!A558)," ",'Q:\Abteilungsprojekte\eng\EngData\AOS\Allgemein\[LabSamples2025.xlsx]Bioplastic'!A558)</f>
        <v/>
      </c>
      <c r="B558">
        <f>IF(ISBLANK('Q:\Abteilungsprojekte\eng\EngData\AOS\Allgemein\[LabSamples2025.xlsx]Bioplastic'!B558)," ",'Q:\Abteilungsprojekte\eng\EngData\AOS\Allgemein\[LabSamples2025.xlsx]Bioplastic'!B558)</f>
        <v/>
      </c>
      <c r="C558">
        <f>IF(ISBLANK('Q:\Abteilungsprojekte\eng\EngData\AOS\Allgemein\[LabSamples2025.xlsx]Bioplastic'!C558)," ",'Q:\Abteilungsprojekte\eng\EngData\AOS\Allgemein\[LabSamples2025.xlsx]Bioplastic'!C558)</f>
        <v/>
      </c>
      <c r="D558">
        <f>IF(ISBLANK('Q:\Abteilungsprojekte\eng\EngData\AOS\Allgemein\[LabSamples2025.xlsx]Bioplastic'!D558)," ",'Q:\Abteilungsprojekte\eng\EngData\AOS\Allgemein\[LabSamples2025.xlsx]Bioplastic'!D558)</f>
        <v/>
      </c>
      <c r="E558">
        <f>IF(ISBLANK('Q:\Abteilungsprojekte\eng\EngData\AOS\Allgemein\[LabSamples2025.xlsx]Bioplastic'!E558)," ",'Q:\Abteilungsprojekte\eng\EngData\AOS\Allgemein\[LabSamples2025.xlsx]Bioplastic'!E558)</f>
        <v/>
      </c>
      <c r="F558">
        <f>IF(ISBLANK('Q:\Abteilungsprojekte\eng\EngData\AOS\Allgemein\[LabSamples2025.xlsx]Bioplastic'!F558)," ",'Q:\Abteilungsprojekte\eng\EngData\AOS\Allgemein\[LabSamples2025.xlsx]Bioplastic'!F558)</f>
        <v/>
      </c>
      <c r="G558">
        <f>IF(ISBLANK('Q:\Abteilungsprojekte\eng\EngData\AOS\Allgemein\[LabSamples2025.xlsx]Bioplastic'!G558)," ",'Q:\Abteilungsprojekte\eng\EngData\AOS\Allgemein\[LabSamples2025.xlsx]Bioplastic'!G558)</f>
        <v/>
      </c>
      <c r="H558">
        <f>IF(ISBLANK('Q:\Abteilungsprojekte\eng\EngData\AOS\Allgemein\[LabSamples2025.xlsx]Bioplastic'!H558)," ",'Q:\Abteilungsprojekte\eng\EngData\AOS\Allgemein\[LabSamples2025.xlsx]Bioplastic'!H558)</f>
        <v/>
      </c>
    </row>
    <row r="559">
      <c r="A559">
        <f>IF(ISBLANK('Q:\Abteilungsprojekte\eng\EngData\AOS\Allgemein\[LabSamples2025.xlsx]Bioplastic'!A559)," ",'Q:\Abteilungsprojekte\eng\EngData\AOS\Allgemein\[LabSamples2025.xlsx]Bioplastic'!A559)</f>
        <v/>
      </c>
      <c r="B559">
        <f>IF(ISBLANK('Q:\Abteilungsprojekte\eng\EngData\AOS\Allgemein\[LabSamples2025.xlsx]Bioplastic'!B559)," ",'Q:\Abteilungsprojekte\eng\EngData\AOS\Allgemein\[LabSamples2025.xlsx]Bioplastic'!B559)</f>
        <v/>
      </c>
      <c r="C559">
        <f>IF(ISBLANK('Q:\Abteilungsprojekte\eng\EngData\AOS\Allgemein\[LabSamples2025.xlsx]Bioplastic'!C559)," ",'Q:\Abteilungsprojekte\eng\EngData\AOS\Allgemein\[LabSamples2025.xlsx]Bioplastic'!C559)</f>
        <v/>
      </c>
      <c r="D559">
        <f>IF(ISBLANK('Q:\Abteilungsprojekte\eng\EngData\AOS\Allgemein\[LabSamples2025.xlsx]Bioplastic'!D559)," ",'Q:\Abteilungsprojekte\eng\EngData\AOS\Allgemein\[LabSamples2025.xlsx]Bioplastic'!D559)</f>
        <v/>
      </c>
      <c r="E559">
        <f>IF(ISBLANK('Q:\Abteilungsprojekte\eng\EngData\AOS\Allgemein\[LabSamples2025.xlsx]Bioplastic'!E559)," ",'Q:\Abteilungsprojekte\eng\EngData\AOS\Allgemein\[LabSamples2025.xlsx]Bioplastic'!E559)</f>
        <v/>
      </c>
      <c r="F559">
        <f>IF(ISBLANK('Q:\Abteilungsprojekte\eng\EngData\AOS\Allgemein\[LabSamples2025.xlsx]Bioplastic'!F559)," ",'Q:\Abteilungsprojekte\eng\EngData\AOS\Allgemein\[LabSamples2025.xlsx]Bioplastic'!F559)</f>
        <v/>
      </c>
      <c r="G559">
        <f>IF(ISBLANK('Q:\Abteilungsprojekte\eng\EngData\AOS\Allgemein\[LabSamples2025.xlsx]Bioplastic'!G559)," ",'Q:\Abteilungsprojekte\eng\EngData\AOS\Allgemein\[LabSamples2025.xlsx]Bioplastic'!G559)</f>
        <v/>
      </c>
      <c r="H559">
        <f>IF(ISBLANK('Q:\Abteilungsprojekte\eng\EngData\AOS\Allgemein\[LabSamples2025.xlsx]Bioplastic'!H559)," ",'Q:\Abteilungsprojekte\eng\EngData\AOS\Allgemein\[LabSamples2025.xlsx]Bioplastic'!H559)</f>
        <v/>
      </c>
    </row>
    <row r="560">
      <c r="A560">
        <f>IF(ISBLANK('Q:\Abteilungsprojekte\eng\EngData\AOS\Allgemein\[LabSamples2025.xlsx]Bioplastic'!A560)," ",'Q:\Abteilungsprojekte\eng\EngData\AOS\Allgemein\[LabSamples2025.xlsx]Bioplastic'!A560)</f>
        <v/>
      </c>
      <c r="B560">
        <f>IF(ISBLANK('Q:\Abteilungsprojekte\eng\EngData\AOS\Allgemein\[LabSamples2025.xlsx]Bioplastic'!B560)," ",'Q:\Abteilungsprojekte\eng\EngData\AOS\Allgemein\[LabSamples2025.xlsx]Bioplastic'!B560)</f>
        <v/>
      </c>
      <c r="C560">
        <f>IF(ISBLANK('Q:\Abteilungsprojekte\eng\EngData\AOS\Allgemein\[LabSamples2025.xlsx]Bioplastic'!C560)," ",'Q:\Abteilungsprojekte\eng\EngData\AOS\Allgemein\[LabSamples2025.xlsx]Bioplastic'!C560)</f>
        <v/>
      </c>
      <c r="D560">
        <f>IF(ISBLANK('Q:\Abteilungsprojekte\eng\EngData\AOS\Allgemein\[LabSamples2025.xlsx]Bioplastic'!D560)," ",'Q:\Abteilungsprojekte\eng\EngData\AOS\Allgemein\[LabSamples2025.xlsx]Bioplastic'!D560)</f>
        <v/>
      </c>
      <c r="E560">
        <f>IF(ISBLANK('Q:\Abteilungsprojekte\eng\EngData\AOS\Allgemein\[LabSamples2025.xlsx]Bioplastic'!E560)," ",'Q:\Abteilungsprojekte\eng\EngData\AOS\Allgemein\[LabSamples2025.xlsx]Bioplastic'!E560)</f>
        <v/>
      </c>
      <c r="F560">
        <f>IF(ISBLANK('Q:\Abteilungsprojekte\eng\EngData\AOS\Allgemein\[LabSamples2025.xlsx]Bioplastic'!F560)," ",'Q:\Abteilungsprojekte\eng\EngData\AOS\Allgemein\[LabSamples2025.xlsx]Bioplastic'!F560)</f>
        <v/>
      </c>
      <c r="G560">
        <f>IF(ISBLANK('Q:\Abteilungsprojekte\eng\EngData\AOS\Allgemein\[LabSamples2025.xlsx]Bioplastic'!G560)," ",'Q:\Abteilungsprojekte\eng\EngData\AOS\Allgemein\[LabSamples2025.xlsx]Bioplastic'!G560)</f>
        <v/>
      </c>
      <c r="H560">
        <f>IF(ISBLANK('Q:\Abteilungsprojekte\eng\EngData\AOS\Allgemein\[LabSamples2025.xlsx]Bioplastic'!H560)," ",'Q:\Abteilungsprojekte\eng\EngData\AOS\Allgemein\[LabSamples2025.xlsx]Bioplastic'!H560)</f>
        <v/>
      </c>
    </row>
    <row r="561">
      <c r="A561">
        <f>IF(ISBLANK('Q:\Abteilungsprojekte\eng\EngData\AOS\Allgemein\[LabSamples2025.xlsx]Bioplastic'!A561)," ",'Q:\Abteilungsprojekte\eng\EngData\AOS\Allgemein\[LabSamples2025.xlsx]Bioplastic'!A561)</f>
        <v/>
      </c>
      <c r="B561">
        <f>IF(ISBLANK('Q:\Abteilungsprojekte\eng\EngData\AOS\Allgemein\[LabSamples2025.xlsx]Bioplastic'!B561)," ",'Q:\Abteilungsprojekte\eng\EngData\AOS\Allgemein\[LabSamples2025.xlsx]Bioplastic'!B561)</f>
        <v/>
      </c>
      <c r="C561">
        <f>IF(ISBLANK('Q:\Abteilungsprojekte\eng\EngData\AOS\Allgemein\[LabSamples2025.xlsx]Bioplastic'!C561)," ",'Q:\Abteilungsprojekte\eng\EngData\AOS\Allgemein\[LabSamples2025.xlsx]Bioplastic'!C561)</f>
        <v/>
      </c>
      <c r="D561">
        <f>IF(ISBLANK('Q:\Abteilungsprojekte\eng\EngData\AOS\Allgemein\[LabSamples2025.xlsx]Bioplastic'!D561)," ",'Q:\Abteilungsprojekte\eng\EngData\AOS\Allgemein\[LabSamples2025.xlsx]Bioplastic'!D561)</f>
        <v/>
      </c>
      <c r="E561">
        <f>IF(ISBLANK('Q:\Abteilungsprojekte\eng\EngData\AOS\Allgemein\[LabSamples2025.xlsx]Bioplastic'!E561)," ",'Q:\Abteilungsprojekte\eng\EngData\AOS\Allgemein\[LabSamples2025.xlsx]Bioplastic'!E561)</f>
        <v/>
      </c>
      <c r="F561">
        <f>IF(ISBLANK('Q:\Abteilungsprojekte\eng\EngData\AOS\Allgemein\[LabSamples2025.xlsx]Bioplastic'!F561)," ",'Q:\Abteilungsprojekte\eng\EngData\AOS\Allgemein\[LabSamples2025.xlsx]Bioplastic'!F561)</f>
        <v/>
      </c>
      <c r="G561">
        <f>IF(ISBLANK('Q:\Abteilungsprojekte\eng\EngData\AOS\Allgemein\[LabSamples2025.xlsx]Bioplastic'!G561)," ",'Q:\Abteilungsprojekte\eng\EngData\AOS\Allgemein\[LabSamples2025.xlsx]Bioplastic'!G561)</f>
        <v/>
      </c>
      <c r="H561">
        <f>IF(ISBLANK('Q:\Abteilungsprojekte\eng\EngData\AOS\Allgemein\[LabSamples2025.xlsx]Bioplastic'!H561)," ",'Q:\Abteilungsprojekte\eng\EngData\AOS\Allgemein\[LabSamples2025.xlsx]Bioplastic'!H561)</f>
        <v/>
      </c>
    </row>
    <row r="562">
      <c r="A562">
        <f>IF(ISBLANK('Q:\Abteilungsprojekte\eng\EngData\AOS\Allgemein\[LabSamples2025.xlsx]Bioplastic'!A562)," ",'Q:\Abteilungsprojekte\eng\EngData\AOS\Allgemein\[LabSamples2025.xlsx]Bioplastic'!A562)</f>
        <v/>
      </c>
      <c r="B562">
        <f>IF(ISBLANK('Q:\Abteilungsprojekte\eng\EngData\AOS\Allgemein\[LabSamples2025.xlsx]Bioplastic'!B562)," ",'Q:\Abteilungsprojekte\eng\EngData\AOS\Allgemein\[LabSamples2025.xlsx]Bioplastic'!B562)</f>
        <v/>
      </c>
      <c r="C562">
        <f>IF(ISBLANK('Q:\Abteilungsprojekte\eng\EngData\AOS\Allgemein\[LabSamples2025.xlsx]Bioplastic'!C562)," ",'Q:\Abteilungsprojekte\eng\EngData\AOS\Allgemein\[LabSamples2025.xlsx]Bioplastic'!C562)</f>
        <v/>
      </c>
      <c r="D562">
        <f>IF(ISBLANK('Q:\Abteilungsprojekte\eng\EngData\AOS\Allgemein\[LabSamples2025.xlsx]Bioplastic'!D562)," ",'Q:\Abteilungsprojekte\eng\EngData\AOS\Allgemein\[LabSamples2025.xlsx]Bioplastic'!D562)</f>
        <v/>
      </c>
      <c r="E562">
        <f>IF(ISBLANK('Q:\Abteilungsprojekte\eng\EngData\AOS\Allgemein\[LabSamples2025.xlsx]Bioplastic'!E562)," ",'Q:\Abteilungsprojekte\eng\EngData\AOS\Allgemein\[LabSamples2025.xlsx]Bioplastic'!E562)</f>
        <v/>
      </c>
      <c r="F562">
        <f>IF(ISBLANK('Q:\Abteilungsprojekte\eng\EngData\AOS\Allgemein\[LabSamples2025.xlsx]Bioplastic'!F562)," ",'Q:\Abteilungsprojekte\eng\EngData\AOS\Allgemein\[LabSamples2025.xlsx]Bioplastic'!F562)</f>
        <v/>
      </c>
      <c r="G562">
        <f>IF(ISBLANK('Q:\Abteilungsprojekte\eng\EngData\AOS\Allgemein\[LabSamples2025.xlsx]Bioplastic'!G562)," ",'Q:\Abteilungsprojekte\eng\EngData\AOS\Allgemein\[LabSamples2025.xlsx]Bioplastic'!G562)</f>
        <v/>
      </c>
      <c r="H562">
        <f>IF(ISBLANK('Q:\Abteilungsprojekte\eng\EngData\AOS\Allgemein\[LabSamples2025.xlsx]Bioplastic'!H562)," ",'Q:\Abteilungsprojekte\eng\EngData\AOS\Allgemein\[LabSamples2025.xlsx]Bioplastic'!H562)</f>
        <v/>
      </c>
    </row>
    <row r="563">
      <c r="A563">
        <f>IF(ISBLANK('Q:\Abteilungsprojekte\eng\EngData\AOS\Allgemein\[LabSamples2025.xlsx]Bioplastic'!A563)," ",'Q:\Abteilungsprojekte\eng\EngData\AOS\Allgemein\[LabSamples2025.xlsx]Bioplastic'!A563)</f>
        <v/>
      </c>
      <c r="B563">
        <f>IF(ISBLANK('Q:\Abteilungsprojekte\eng\EngData\AOS\Allgemein\[LabSamples2025.xlsx]Bioplastic'!B563)," ",'Q:\Abteilungsprojekte\eng\EngData\AOS\Allgemein\[LabSamples2025.xlsx]Bioplastic'!B563)</f>
        <v/>
      </c>
      <c r="C563">
        <f>IF(ISBLANK('Q:\Abteilungsprojekte\eng\EngData\AOS\Allgemein\[LabSamples2025.xlsx]Bioplastic'!C563)," ",'Q:\Abteilungsprojekte\eng\EngData\AOS\Allgemein\[LabSamples2025.xlsx]Bioplastic'!C563)</f>
        <v/>
      </c>
      <c r="D563">
        <f>IF(ISBLANK('Q:\Abteilungsprojekte\eng\EngData\AOS\Allgemein\[LabSamples2025.xlsx]Bioplastic'!D563)," ",'Q:\Abteilungsprojekte\eng\EngData\AOS\Allgemein\[LabSamples2025.xlsx]Bioplastic'!D563)</f>
        <v/>
      </c>
      <c r="E563">
        <f>IF(ISBLANK('Q:\Abteilungsprojekte\eng\EngData\AOS\Allgemein\[LabSamples2025.xlsx]Bioplastic'!E563)," ",'Q:\Abteilungsprojekte\eng\EngData\AOS\Allgemein\[LabSamples2025.xlsx]Bioplastic'!E563)</f>
        <v/>
      </c>
      <c r="F563">
        <f>IF(ISBLANK('Q:\Abteilungsprojekte\eng\EngData\AOS\Allgemein\[LabSamples2025.xlsx]Bioplastic'!F563)," ",'Q:\Abteilungsprojekte\eng\EngData\AOS\Allgemein\[LabSamples2025.xlsx]Bioplastic'!F563)</f>
        <v/>
      </c>
      <c r="G563">
        <f>IF(ISBLANK('Q:\Abteilungsprojekte\eng\EngData\AOS\Allgemein\[LabSamples2025.xlsx]Bioplastic'!G563)," ",'Q:\Abteilungsprojekte\eng\EngData\AOS\Allgemein\[LabSamples2025.xlsx]Bioplastic'!G563)</f>
        <v/>
      </c>
      <c r="H563">
        <f>IF(ISBLANK('Q:\Abteilungsprojekte\eng\EngData\AOS\Allgemein\[LabSamples2025.xlsx]Bioplastic'!H563)," ",'Q:\Abteilungsprojekte\eng\EngData\AOS\Allgemein\[LabSamples2025.xlsx]Bioplastic'!H563)</f>
        <v/>
      </c>
    </row>
    <row r="564">
      <c r="A564">
        <f>IF(ISBLANK('Q:\Abteilungsprojekte\eng\EngData\AOS\Allgemein\[LabSamples2025.xlsx]Bioplastic'!A564)," ",'Q:\Abteilungsprojekte\eng\EngData\AOS\Allgemein\[LabSamples2025.xlsx]Bioplastic'!A564)</f>
        <v/>
      </c>
      <c r="B564">
        <f>IF(ISBLANK('Q:\Abteilungsprojekte\eng\EngData\AOS\Allgemein\[LabSamples2025.xlsx]Bioplastic'!B564)," ",'Q:\Abteilungsprojekte\eng\EngData\AOS\Allgemein\[LabSamples2025.xlsx]Bioplastic'!B564)</f>
        <v/>
      </c>
      <c r="C564">
        <f>IF(ISBLANK('Q:\Abteilungsprojekte\eng\EngData\AOS\Allgemein\[LabSamples2025.xlsx]Bioplastic'!C564)," ",'Q:\Abteilungsprojekte\eng\EngData\AOS\Allgemein\[LabSamples2025.xlsx]Bioplastic'!C564)</f>
        <v/>
      </c>
      <c r="D564">
        <f>IF(ISBLANK('Q:\Abteilungsprojekte\eng\EngData\AOS\Allgemein\[LabSamples2025.xlsx]Bioplastic'!D564)," ",'Q:\Abteilungsprojekte\eng\EngData\AOS\Allgemein\[LabSamples2025.xlsx]Bioplastic'!D564)</f>
        <v/>
      </c>
      <c r="E564">
        <f>IF(ISBLANK('Q:\Abteilungsprojekte\eng\EngData\AOS\Allgemein\[LabSamples2025.xlsx]Bioplastic'!E564)," ",'Q:\Abteilungsprojekte\eng\EngData\AOS\Allgemein\[LabSamples2025.xlsx]Bioplastic'!E564)</f>
        <v/>
      </c>
      <c r="F564">
        <f>IF(ISBLANK('Q:\Abteilungsprojekte\eng\EngData\AOS\Allgemein\[LabSamples2025.xlsx]Bioplastic'!F564)," ",'Q:\Abteilungsprojekte\eng\EngData\AOS\Allgemein\[LabSamples2025.xlsx]Bioplastic'!F564)</f>
        <v/>
      </c>
      <c r="G564">
        <f>IF(ISBLANK('Q:\Abteilungsprojekte\eng\EngData\AOS\Allgemein\[LabSamples2025.xlsx]Bioplastic'!G564)," ",'Q:\Abteilungsprojekte\eng\EngData\AOS\Allgemein\[LabSamples2025.xlsx]Bioplastic'!G564)</f>
        <v/>
      </c>
      <c r="H564">
        <f>IF(ISBLANK('Q:\Abteilungsprojekte\eng\EngData\AOS\Allgemein\[LabSamples2025.xlsx]Bioplastic'!H564)," ",'Q:\Abteilungsprojekte\eng\EngData\AOS\Allgemein\[LabSamples2025.xlsx]Bioplastic'!H564)</f>
        <v/>
      </c>
    </row>
    <row r="565">
      <c r="A565">
        <f>IF(ISBLANK('Q:\Abteilungsprojekte\eng\EngData\AOS\Allgemein\[LabSamples2025.xlsx]Bioplastic'!A565)," ",'Q:\Abteilungsprojekte\eng\EngData\AOS\Allgemein\[LabSamples2025.xlsx]Bioplastic'!A565)</f>
        <v/>
      </c>
      <c r="B565">
        <f>IF(ISBLANK('Q:\Abteilungsprojekte\eng\EngData\AOS\Allgemein\[LabSamples2025.xlsx]Bioplastic'!B565)," ",'Q:\Abteilungsprojekte\eng\EngData\AOS\Allgemein\[LabSamples2025.xlsx]Bioplastic'!B565)</f>
        <v/>
      </c>
      <c r="C565">
        <f>IF(ISBLANK('Q:\Abteilungsprojekte\eng\EngData\AOS\Allgemein\[LabSamples2025.xlsx]Bioplastic'!C565)," ",'Q:\Abteilungsprojekte\eng\EngData\AOS\Allgemein\[LabSamples2025.xlsx]Bioplastic'!C565)</f>
        <v/>
      </c>
      <c r="D565">
        <f>IF(ISBLANK('Q:\Abteilungsprojekte\eng\EngData\AOS\Allgemein\[LabSamples2025.xlsx]Bioplastic'!D565)," ",'Q:\Abteilungsprojekte\eng\EngData\AOS\Allgemein\[LabSamples2025.xlsx]Bioplastic'!D565)</f>
        <v/>
      </c>
      <c r="E565">
        <f>IF(ISBLANK('Q:\Abteilungsprojekte\eng\EngData\AOS\Allgemein\[LabSamples2025.xlsx]Bioplastic'!E565)," ",'Q:\Abteilungsprojekte\eng\EngData\AOS\Allgemein\[LabSamples2025.xlsx]Bioplastic'!E565)</f>
        <v/>
      </c>
      <c r="F565">
        <f>IF(ISBLANK('Q:\Abteilungsprojekte\eng\EngData\AOS\Allgemein\[LabSamples2025.xlsx]Bioplastic'!F565)," ",'Q:\Abteilungsprojekte\eng\EngData\AOS\Allgemein\[LabSamples2025.xlsx]Bioplastic'!F565)</f>
        <v/>
      </c>
      <c r="G565">
        <f>IF(ISBLANK('Q:\Abteilungsprojekte\eng\EngData\AOS\Allgemein\[LabSamples2025.xlsx]Bioplastic'!G565)," ",'Q:\Abteilungsprojekte\eng\EngData\AOS\Allgemein\[LabSamples2025.xlsx]Bioplastic'!G565)</f>
        <v/>
      </c>
      <c r="H565">
        <f>IF(ISBLANK('Q:\Abteilungsprojekte\eng\EngData\AOS\Allgemein\[LabSamples2025.xlsx]Bioplastic'!H565)," ",'Q:\Abteilungsprojekte\eng\EngData\AOS\Allgemein\[LabSamples2025.xlsx]Bioplastic'!H565)</f>
        <v/>
      </c>
    </row>
    <row r="566">
      <c r="A566">
        <f>IF(ISBLANK('Q:\Abteilungsprojekte\eng\EngData\AOS\Allgemein\[LabSamples2025.xlsx]Bioplastic'!A566)," ",'Q:\Abteilungsprojekte\eng\EngData\AOS\Allgemein\[LabSamples2025.xlsx]Bioplastic'!A566)</f>
        <v/>
      </c>
      <c r="B566">
        <f>IF(ISBLANK('Q:\Abteilungsprojekte\eng\EngData\AOS\Allgemein\[LabSamples2025.xlsx]Bioplastic'!B566)," ",'Q:\Abteilungsprojekte\eng\EngData\AOS\Allgemein\[LabSamples2025.xlsx]Bioplastic'!B566)</f>
        <v/>
      </c>
      <c r="C566">
        <f>IF(ISBLANK('Q:\Abteilungsprojekte\eng\EngData\AOS\Allgemein\[LabSamples2025.xlsx]Bioplastic'!C566)," ",'Q:\Abteilungsprojekte\eng\EngData\AOS\Allgemein\[LabSamples2025.xlsx]Bioplastic'!C566)</f>
        <v/>
      </c>
      <c r="D566">
        <f>IF(ISBLANK('Q:\Abteilungsprojekte\eng\EngData\AOS\Allgemein\[LabSamples2025.xlsx]Bioplastic'!D566)," ",'Q:\Abteilungsprojekte\eng\EngData\AOS\Allgemein\[LabSamples2025.xlsx]Bioplastic'!D566)</f>
        <v/>
      </c>
      <c r="E566">
        <f>IF(ISBLANK('Q:\Abteilungsprojekte\eng\EngData\AOS\Allgemein\[LabSamples2025.xlsx]Bioplastic'!E566)," ",'Q:\Abteilungsprojekte\eng\EngData\AOS\Allgemein\[LabSamples2025.xlsx]Bioplastic'!E566)</f>
        <v/>
      </c>
      <c r="F566">
        <f>IF(ISBLANK('Q:\Abteilungsprojekte\eng\EngData\AOS\Allgemein\[LabSamples2025.xlsx]Bioplastic'!F566)," ",'Q:\Abteilungsprojekte\eng\EngData\AOS\Allgemein\[LabSamples2025.xlsx]Bioplastic'!F566)</f>
        <v/>
      </c>
      <c r="G566">
        <f>IF(ISBLANK('Q:\Abteilungsprojekte\eng\EngData\AOS\Allgemein\[LabSamples2025.xlsx]Bioplastic'!G566)," ",'Q:\Abteilungsprojekte\eng\EngData\AOS\Allgemein\[LabSamples2025.xlsx]Bioplastic'!G566)</f>
        <v/>
      </c>
      <c r="H566">
        <f>IF(ISBLANK('Q:\Abteilungsprojekte\eng\EngData\AOS\Allgemein\[LabSamples2025.xlsx]Bioplastic'!H566)," ",'Q:\Abteilungsprojekte\eng\EngData\AOS\Allgemein\[LabSamples2025.xlsx]Bioplastic'!H566)</f>
        <v/>
      </c>
    </row>
    <row r="567">
      <c r="A567">
        <f>IF(ISBLANK('Q:\Abteilungsprojekte\eng\EngData\AOS\Allgemein\[LabSamples2025.xlsx]Bioplastic'!A567)," ",'Q:\Abteilungsprojekte\eng\EngData\AOS\Allgemein\[LabSamples2025.xlsx]Bioplastic'!A567)</f>
        <v/>
      </c>
      <c r="B567">
        <f>IF(ISBLANK('Q:\Abteilungsprojekte\eng\EngData\AOS\Allgemein\[LabSamples2025.xlsx]Bioplastic'!B567)," ",'Q:\Abteilungsprojekte\eng\EngData\AOS\Allgemein\[LabSamples2025.xlsx]Bioplastic'!B567)</f>
        <v/>
      </c>
      <c r="C567">
        <f>IF(ISBLANK('Q:\Abteilungsprojekte\eng\EngData\AOS\Allgemein\[LabSamples2025.xlsx]Bioplastic'!C567)," ",'Q:\Abteilungsprojekte\eng\EngData\AOS\Allgemein\[LabSamples2025.xlsx]Bioplastic'!C567)</f>
        <v/>
      </c>
      <c r="D567">
        <f>IF(ISBLANK('Q:\Abteilungsprojekte\eng\EngData\AOS\Allgemein\[LabSamples2025.xlsx]Bioplastic'!D567)," ",'Q:\Abteilungsprojekte\eng\EngData\AOS\Allgemein\[LabSamples2025.xlsx]Bioplastic'!D567)</f>
        <v/>
      </c>
      <c r="E567">
        <f>IF(ISBLANK('Q:\Abteilungsprojekte\eng\EngData\AOS\Allgemein\[LabSamples2025.xlsx]Bioplastic'!E567)," ",'Q:\Abteilungsprojekte\eng\EngData\AOS\Allgemein\[LabSamples2025.xlsx]Bioplastic'!E567)</f>
        <v/>
      </c>
      <c r="F567">
        <f>IF(ISBLANK('Q:\Abteilungsprojekte\eng\EngData\AOS\Allgemein\[LabSamples2025.xlsx]Bioplastic'!F567)," ",'Q:\Abteilungsprojekte\eng\EngData\AOS\Allgemein\[LabSamples2025.xlsx]Bioplastic'!F567)</f>
        <v/>
      </c>
      <c r="G567">
        <f>IF(ISBLANK('Q:\Abteilungsprojekte\eng\EngData\AOS\Allgemein\[LabSamples2025.xlsx]Bioplastic'!G567)," ",'Q:\Abteilungsprojekte\eng\EngData\AOS\Allgemein\[LabSamples2025.xlsx]Bioplastic'!G567)</f>
        <v/>
      </c>
      <c r="H567">
        <f>IF(ISBLANK('Q:\Abteilungsprojekte\eng\EngData\AOS\Allgemein\[LabSamples2025.xlsx]Bioplastic'!H567)," ",'Q:\Abteilungsprojekte\eng\EngData\AOS\Allgemein\[LabSamples2025.xlsx]Bioplastic'!H567)</f>
        <v/>
      </c>
    </row>
    <row r="568">
      <c r="A568">
        <f>IF(ISBLANK('Q:\Abteilungsprojekte\eng\EngData\AOS\Allgemein\[LabSamples2025.xlsx]Bioplastic'!A568)," ",'Q:\Abteilungsprojekte\eng\EngData\AOS\Allgemein\[LabSamples2025.xlsx]Bioplastic'!A568)</f>
        <v/>
      </c>
      <c r="B568">
        <f>IF(ISBLANK('Q:\Abteilungsprojekte\eng\EngData\AOS\Allgemein\[LabSamples2025.xlsx]Bioplastic'!B568)," ",'Q:\Abteilungsprojekte\eng\EngData\AOS\Allgemein\[LabSamples2025.xlsx]Bioplastic'!B568)</f>
        <v/>
      </c>
      <c r="C568">
        <f>IF(ISBLANK('Q:\Abteilungsprojekte\eng\EngData\AOS\Allgemein\[LabSamples2025.xlsx]Bioplastic'!C568)," ",'Q:\Abteilungsprojekte\eng\EngData\AOS\Allgemein\[LabSamples2025.xlsx]Bioplastic'!C568)</f>
        <v/>
      </c>
      <c r="D568">
        <f>IF(ISBLANK('Q:\Abteilungsprojekte\eng\EngData\AOS\Allgemein\[LabSamples2025.xlsx]Bioplastic'!D568)," ",'Q:\Abteilungsprojekte\eng\EngData\AOS\Allgemein\[LabSamples2025.xlsx]Bioplastic'!D568)</f>
        <v/>
      </c>
      <c r="E568">
        <f>IF(ISBLANK('Q:\Abteilungsprojekte\eng\EngData\AOS\Allgemein\[LabSamples2025.xlsx]Bioplastic'!E568)," ",'Q:\Abteilungsprojekte\eng\EngData\AOS\Allgemein\[LabSamples2025.xlsx]Bioplastic'!E568)</f>
        <v/>
      </c>
      <c r="F568">
        <f>IF(ISBLANK('Q:\Abteilungsprojekte\eng\EngData\AOS\Allgemein\[LabSamples2025.xlsx]Bioplastic'!F568)," ",'Q:\Abteilungsprojekte\eng\EngData\AOS\Allgemein\[LabSamples2025.xlsx]Bioplastic'!F568)</f>
        <v/>
      </c>
      <c r="G568">
        <f>IF(ISBLANK('Q:\Abteilungsprojekte\eng\EngData\AOS\Allgemein\[LabSamples2025.xlsx]Bioplastic'!G568)," ",'Q:\Abteilungsprojekte\eng\EngData\AOS\Allgemein\[LabSamples2025.xlsx]Bioplastic'!G568)</f>
        <v/>
      </c>
      <c r="H568">
        <f>IF(ISBLANK('Q:\Abteilungsprojekte\eng\EngData\AOS\Allgemein\[LabSamples2025.xlsx]Bioplastic'!H568)," ",'Q:\Abteilungsprojekte\eng\EngData\AOS\Allgemein\[LabSamples2025.xlsx]Bioplastic'!H568)</f>
        <v/>
      </c>
    </row>
    <row r="569">
      <c r="A569">
        <f>IF(ISBLANK('Q:\Abteilungsprojekte\eng\EngData\AOS\Allgemein\[LabSamples2025.xlsx]Bioplastic'!A569)," ",'Q:\Abteilungsprojekte\eng\EngData\AOS\Allgemein\[LabSamples2025.xlsx]Bioplastic'!A569)</f>
        <v/>
      </c>
      <c r="B569">
        <f>IF(ISBLANK('Q:\Abteilungsprojekte\eng\EngData\AOS\Allgemein\[LabSamples2025.xlsx]Bioplastic'!B569)," ",'Q:\Abteilungsprojekte\eng\EngData\AOS\Allgemein\[LabSamples2025.xlsx]Bioplastic'!B569)</f>
        <v/>
      </c>
      <c r="C569">
        <f>IF(ISBLANK('Q:\Abteilungsprojekte\eng\EngData\AOS\Allgemein\[LabSamples2025.xlsx]Bioplastic'!C569)," ",'Q:\Abteilungsprojekte\eng\EngData\AOS\Allgemein\[LabSamples2025.xlsx]Bioplastic'!C569)</f>
        <v/>
      </c>
      <c r="D569">
        <f>IF(ISBLANK('Q:\Abteilungsprojekte\eng\EngData\AOS\Allgemein\[LabSamples2025.xlsx]Bioplastic'!D569)," ",'Q:\Abteilungsprojekte\eng\EngData\AOS\Allgemein\[LabSamples2025.xlsx]Bioplastic'!D569)</f>
        <v/>
      </c>
      <c r="E569">
        <f>IF(ISBLANK('Q:\Abteilungsprojekte\eng\EngData\AOS\Allgemein\[LabSamples2025.xlsx]Bioplastic'!E569)," ",'Q:\Abteilungsprojekte\eng\EngData\AOS\Allgemein\[LabSamples2025.xlsx]Bioplastic'!E569)</f>
        <v/>
      </c>
      <c r="F569">
        <f>IF(ISBLANK('Q:\Abteilungsprojekte\eng\EngData\AOS\Allgemein\[LabSamples2025.xlsx]Bioplastic'!F569)," ",'Q:\Abteilungsprojekte\eng\EngData\AOS\Allgemein\[LabSamples2025.xlsx]Bioplastic'!F569)</f>
        <v/>
      </c>
      <c r="G569">
        <f>IF(ISBLANK('Q:\Abteilungsprojekte\eng\EngData\AOS\Allgemein\[LabSamples2025.xlsx]Bioplastic'!G569)," ",'Q:\Abteilungsprojekte\eng\EngData\AOS\Allgemein\[LabSamples2025.xlsx]Bioplastic'!G569)</f>
        <v/>
      </c>
      <c r="H569">
        <f>IF(ISBLANK('Q:\Abteilungsprojekte\eng\EngData\AOS\Allgemein\[LabSamples2025.xlsx]Bioplastic'!H569)," ",'Q:\Abteilungsprojekte\eng\EngData\AOS\Allgemein\[LabSamples2025.xlsx]Bioplastic'!H569)</f>
        <v/>
      </c>
    </row>
    <row r="570">
      <c r="A570">
        <f>IF(ISBLANK('Q:\Abteilungsprojekte\eng\EngData\AOS\Allgemein\[LabSamples2025.xlsx]Bioplastic'!A570)," ",'Q:\Abteilungsprojekte\eng\EngData\AOS\Allgemein\[LabSamples2025.xlsx]Bioplastic'!A570)</f>
        <v/>
      </c>
      <c r="B570">
        <f>IF(ISBLANK('Q:\Abteilungsprojekte\eng\EngData\AOS\Allgemein\[LabSamples2025.xlsx]Bioplastic'!B570)," ",'Q:\Abteilungsprojekte\eng\EngData\AOS\Allgemein\[LabSamples2025.xlsx]Bioplastic'!B570)</f>
        <v/>
      </c>
      <c r="C570">
        <f>IF(ISBLANK('Q:\Abteilungsprojekte\eng\EngData\AOS\Allgemein\[LabSamples2025.xlsx]Bioplastic'!C570)," ",'Q:\Abteilungsprojekte\eng\EngData\AOS\Allgemein\[LabSamples2025.xlsx]Bioplastic'!C570)</f>
        <v/>
      </c>
      <c r="D570">
        <f>IF(ISBLANK('Q:\Abteilungsprojekte\eng\EngData\AOS\Allgemein\[LabSamples2025.xlsx]Bioplastic'!D570)," ",'Q:\Abteilungsprojekte\eng\EngData\AOS\Allgemein\[LabSamples2025.xlsx]Bioplastic'!D570)</f>
        <v/>
      </c>
      <c r="E570">
        <f>IF(ISBLANK('Q:\Abteilungsprojekte\eng\EngData\AOS\Allgemein\[LabSamples2025.xlsx]Bioplastic'!E570)," ",'Q:\Abteilungsprojekte\eng\EngData\AOS\Allgemein\[LabSamples2025.xlsx]Bioplastic'!E570)</f>
        <v/>
      </c>
      <c r="F570">
        <f>IF(ISBLANK('Q:\Abteilungsprojekte\eng\EngData\AOS\Allgemein\[LabSamples2025.xlsx]Bioplastic'!F570)," ",'Q:\Abteilungsprojekte\eng\EngData\AOS\Allgemein\[LabSamples2025.xlsx]Bioplastic'!F570)</f>
        <v/>
      </c>
      <c r="G570">
        <f>IF(ISBLANK('Q:\Abteilungsprojekte\eng\EngData\AOS\Allgemein\[LabSamples2025.xlsx]Bioplastic'!G570)," ",'Q:\Abteilungsprojekte\eng\EngData\AOS\Allgemein\[LabSamples2025.xlsx]Bioplastic'!G570)</f>
        <v/>
      </c>
      <c r="H570">
        <f>IF(ISBLANK('Q:\Abteilungsprojekte\eng\EngData\AOS\Allgemein\[LabSamples2025.xlsx]Bioplastic'!H570)," ",'Q:\Abteilungsprojekte\eng\EngData\AOS\Allgemein\[LabSamples2025.xlsx]Bioplastic'!H570)</f>
        <v/>
      </c>
    </row>
    <row r="571">
      <c r="A571">
        <f>IF(ISBLANK('Q:\Abteilungsprojekte\eng\EngData\AOS\Allgemein\[LabSamples2025.xlsx]Bioplastic'!A571)," ",'Q:\Abteilungsprojekte\eng\EngData\AOS\Allgemein\[LabSamples2025.xlsx]Bioplastic'!A571)</f>
        <v/>
      </c>
      <c r="B571">
        <f>IF(ISBLANK('Q:\Abteilungsprojekte\eng\EngData\AOS\Allgemein\[LabSamples2025.xlsx]Bioplastic'!B571)," ",'Q:\Abteilungsprojekte\eng\EngData\AOS\Allgemein\[LabSamples2025.xlsx]Bioplastic'!B571)</f>
        <v/>
      </c>
      <c r="C571">
        <f>IF(ISBLANK('Q:\Abteilungsprojekte\eng\EngData\AOS\Allgemein\[LabSamples2025.xlsx]Bioplastic'!C571)," ",'Q:\Abteilungsprojekte\eng\EngData\AOS\Allgemein\[LabSamples2025.xlsx]Bioplastic'!C571)</f>
        <v/>
      </c>
      <c r="D571">
        <f>IF(ISBLANK('Q:\Abteilungsprojekte\eng\EngData\AOS\Allgemein\[LabSamples2025.xlsx]Bioplastic'!D571)," ",'Q:\Abteilungsprojekte\eng\EngData\AOS\Allgemein\[LabSamples2025.xlsx]Bioplastic'!D571)</f>
        <v/>
      </c>
      <c r="E571">
        <f>IF(ISBLANK('Q:\Abteilungsprojekte\eng\EngData\AOS\Allgemein\[LabSamples2025.xlsx]Bioplastic'!E571)," ",'Q:\Abteilungsprojekte\eng\EngData\AOS\Allgemein\[LabSamples2025.xlsx]Bioplastic'!E571)</f>
        <v/>
      </c>
      <c r="F571">
        <f>IF(ISBLANK('Q:\Abteilungsprojekte\eng\EngData\AOS\Allgemein\[LabSamples2025.xlsx]Bioplastic'!F571)," ",'Q:\Abteilungsprojekte\eng\EngData\AOS\Allgemein\[LabSamples2025.xlsx]Bioplastic'!F571)</f>
        <v/>
      </c>
      <c r="G571">
        <f>IF(ISBLANK('Q:\Abteilungsprojekte\eng\EngData\AOS\Allgemein\[LabSamples2025.xlsx]Bioplastic'!G571)," ",'Q:\Abteilungsprojekte\eng\EngData\AOS\Allgemein\[LabSamples2025.xlsx]Bioplastic'!G571)</f>
        <v/>
      </c>
      <c r="H571">
        <f>IF(ISBLANK('Q:\Abteilungsprojekte\eng\EngData\AOS\Allgemein\[LabSamples2025.xlsx]Bioplastic'!H571)," ",'Q:\Abteilungsprojekte\eng\EngData\AOS\Allgemein\[LabSamples2025.xlsx]Bioplastic'!H571)</f>
        <v/>
      </c>
    </row>
    <row r="572">
      <c r="A572">
        <f>IF(ISBLANK('Q:\Abteilungsprojekte\eng\EngData\AOS\Allgemein\[LabSamples2025.xlsx]Bioplastic'!A572)," ",'Q:\Abteilungsprojekte\eng\EngData\AOS\Allgemein\[LabSamples2025.xlsx]Bioplastic'!A572)</f>
        <v/>
      </c>
      <c r="B572">
        <f>IF(ISBLANK('Q:\Abteilungsprojekte\eng\EngData\AOS\Allgemein\[LabSamples2025.xlsx]Bioplastic'!B572)," ",'Q:\Abteilungsprojekte\eng\EngData\AOS\Allgemein\[LabSamples2025.xlsx]Bioplastic'!B572)</f>
        <v/>
      </c>
      <c r="C572">
        <f>IF(ISBLANK('Q:\Abteilungsprojekte\eng\EngData\AOS\Allgemein\[LabSamples2025.xlsx]Bioplastic'!C572)," ",'Q:\Abteilungsprojekte\eng\EngData\AOS\Allgemein\[LabSamples2025.xlsx]Bioplastic'!C572)</f>
        <v/>
      </c>
      <c r="D572">
        <f>IF(ISBLANK('Q:\Abteilungsprojekte\eng\EngData\AOS\Allgemein\[LabSamples2025.xlsx]Bioplastic'!D572)," ",'Q:\Abteilungsprojekte\eng\EngData\AOS\Allgemein\[LabSamples2025.xlsx]Bioplastic'!D572)</f>
        <v/>
      </c>
      <c r="E572">
        <f>IF(ISBLANK('Q:\Abteilungsprojekte\eng\EngData\AOS\Allgemein\[LabSamples2025.xlsx]Bioplastic'!E572)," ",'Q:\Abteilungsprojekte\eng\EngData\AOS\Allgemein\[LabSamples2025.xlsx]Bioplastic'!E572)</f>
        <v/>
      </c>
      <c r="F572">
        <f>IF(ISBLANK('Q:\Abteilungsprojekte\eng\EngData\AOS\Allgemein\[LabSamples2025.xlsx]Bioplastic'!F572)," ",'Q:\Abteilungsprojekte\eng\EngData\AOS\Allgemein\[LabSamples2025.xlsx]Bioplastic'!F572)</f>
        <v/>
      </c>
      <c r="G572">
        <f>IF(ISBLANK('Q:\Abteilungsprojekte\eng\EngData\AOS\Allgemein\[LabSamples2025.xlsx]Bioplastic'!G572)," ",'Q:\Abteilungsprojekte\eng\EngData\AOS\Allgemein\[LabSamples2025.xlsx]Bioplastic'!G572)</f>
        <v/>
      </c>
      <c r="H572">
        <f>IF(ISBLANK('Q:\Abteilungsprojekte\eng\EngData\AOS\Allgemein\[LabSamples2025.xlsx]Bioplastic'!H572)," ",'Q:\Abteilungsprojekte\eng\EngData\AOS\Allgemein\[LabSamples2025.xlsx]Bioplastic'!H572)</f>
        <v/>
      </c>
    </row>
    <row r="573">
      <c r="A573">
        <f>IF(ISBLANK('Q:\Abteilungsprojekte\eng\EngData\AOS\Allgemein\[LabSamples2025.xlsx]Bioplastic'!A573)," ",'Q:\Abteilungsprojekte\eng\EngData\AOS\Allgemein\[LabSamples2025.xlsx]Bioplastic'!A573)</f>
        <v/>
      </c>
      <c r="B573">
        <f>IF(ISBLANK('Q:\Abteilungsprojekte\eng\EngData\AOS\Allgemein\[LabSamples2025.xlsx]Bioplastic'!B573)," ",'Q:\Abteilungsprojekte\eng\EngData\AOS\Allgemein\[LabSamples2025.xlsx]Bioplastic'!B573)</f>
        <v/>
      </c>
      <c r="C573">
        <f>IF(ISBLANK('Q:\Abteilungsprojekte\eng\EngData\AOS\Allgemein\[LabSamples2025.xlsx]Bioplastic'!C573)," ",'Q:\Abteilungsprojekte\eng\EngData\AOS\Allgemein\[LabSamples2025.xlsx]Bioplastic'!C573)</f>
        <v/>
      </c>
      <c r="D573">
        <f>IF(ISBLANK('Q:\Abteilungsprojekte\eng\EngData\AOS\Allgemein\[LabSamples2025.xlsx]Bioplastic'!D573)," ",'Q:\Abteilungsprojekte\eng\EngData\AOS\Allgemein\[LabSamples2025.xlsx]Bioplastic'!D573)</f>
        <v/>
      </c>
      <c r="E573">
        <f>IF(ISBLANK('Q:\Abteilungsprojekte\eng\EngData\AOS\Allgemein\[LabSamples2025.xlsx]Bioplastic'!E573)," ",'Q:\Abteilungsprojekte\eng\EngData\AOS\Allgemein\[LabSamples2025.xlsx]Bioplastic'!E573)</f>
        <v/>
      </c>
      <c r="F573">
        <f>IF(ISBLANK('Q:\Abteilungsprojekte\eng\EngData\AOS\Allgemein\[LabSamples2025.xlsx]Bioplastic'!F573)," ",'Q:\Abteilungsprojekte\eng\EngData\AOS\Allgemein\[LabSamples2025.xlsx]Bioplastic'!F573)</f>
        <v/>
      </c>
      <c r="G573">
        <f>IF(ISBLANK('Q:\Abteilungsprojekte\eng\EngData\AOS\Allgemein\[LabSamples2025.xlsx]Bioplastic'!G573)," ",'Q:\Abteilungsprojekte\eng\EngData\AOS\Allgemein\[LabSamples2025.xlsx]Bioplastic'!G573)</f>
        <v/>
      </c>
      <c r="H573">
        <f>IF(ISBLANK('Q:\Abteilungsprojekte\eng\EngData\AOS\Allgemein\[LabSamples2025.xlsx]Bioplastic'!H573)," ",'Q:\Abteilungsprojekte\eng\EngData\AOS\Allgemein\[LabSamples2025.xlsx]Bioplastic'!H573)</f>
        <v/>
      </c>
    </row>
    <row r="574">
      <c r="A574">
        <f>IF(ISBLANK('Q:\Abteilungsprojekte\eng\EngData\AOS\Allgemein\[LabSamples2025.xlsx]Bioplastic'!A574)," ",'Q:\Abteilungsprojekte\eng\EngData\AOS\Allgemein\[LabSamples2025.xlsx]Bioplastic'!A574)</f>
        <v/>
      </c>
      <c r="B574">
        <f>IF(ISBLANK('Q:\Abteilungsprojekte\eng\EngData\AOS\Allgemein\[LabSamples2025.xlsx]Bioplastic'!B574)," ",'Q:\Abteilungsprojekte\eng\EngData\AOS\Allgemein\[LabSamples2025.xlsx]Bioplastic'!B574)</f>
        <v/>
      </c>
      <c r="C574">
        <f>IF(ISBLANK('Q:\Abteilungsprojekte\eng\EngData\AOS\Allgemein\[LabSamples2025.xlsx]Bioplastic'!C574)," ",'Q:\Abteilungsprojekte\eng\EngData\AOS\Allgemein\[LabSamples2025.xlsx]Bioplastic'!C574)</f>
        <v/>
      </c>
      <c r="D574">
        <f>IF(ISBLANK('Q:\Abteilungsprojekte\eng\EngData\AOS\Allgemein\[LabSamples2025.xlsx]Bioplastic'!D574)," ",'Q:\Abteilungsprojekte\eng\EngData\AOS\Allgemein\[LabSamples2025.xlsx]Bioplastic'!D574)</f>
        <v/>
      </c>
      <c r="E574">
        <f>IF(ISBLANK('Q:\Abteilungsprojekte\eng\EngData\AOS\Allgemein\[LabSamples2025.xlsx]Bioplastic'!E574)," ",'Q:\Abteilungsprojekte\eng\EngData\AOS\Allgemein\[LabSamples2025.xlsx]Bioplastic'!E574)</f>
        <v/>
      </c>
      <c r="F574">
        <f>IF(ISBLANK('Q:\Abteilungsprojekte\eng\EngData\AOS\Allgemein\[LabSamples2025.xlsx]Bioplastic'!F574)," ",'Q:\Abteilungsprojekte\eng\EngData\AOS\Allgemein\[LabSamples2025.xlsx]Bioplastic'!F574)</f>
        <v/>
      </c>
      <c r="G574">
        <f>IF(ISBLANK('Q:\Abteilungsprojekte\eng\EngData\AOS\Allgemein\[LabSamples2025.xlsx]Bioplastic'!G574)," ",'Q:\Abteilungsprojekte\eng\EngData\AOS\Allgemein\[LabSamples2025.xlsx]Bioplastic'!G574)</f>
        <v/>
      </c>
      <c r="H574">
        <f>IF(ISBLANK('Q:\Abteilungsprojekte\eng\EngData\AOS\Allgemein\[LabSamples2025.xlsx]Bioplastic'!H574)," ",'Q:\Abteilungsprojekte\eng\EngData\AOS\Allgemein\[LabSamples2025.xlsx]Bioplastic'!H574)</f>
        <v/>
      </c>
    </row>
    <row r="575">
      <c r="A575">
        <f>IF(ISBLANK('Q:\Abteilungsprojekte\eng\EngData\AOS\Allgemein\[LabSamples2025.xlsx]Bioplastic'!A575)," ",'Q:\Abteilungsprojekte\eng\EngData\AOS\Allgemein\[LabSamples2025.xlsx]Bioplastic'!A575)</f>
        <v/>
      </c>
      <c r="B575">
        <f>IF(ISBLANK('Q:\Abteilungsprojekte\eng\EngData\AOS\Allgemein\[LabSamples2025.xlsx]Bioplastic'!B575)," ",'Q:\Abteilungsprojekte\eng\EngData\AOS\Allgemein\[LabSamples2025.xlsx]Bioplastic'!B575)</f>
        <v/>
      </c>
      <c r="C575">
        <f>IF(ISBLANK('Q:\Abteilungsprojekte\eng\EngData\AOS\Allgemein\[LabSamples2025.xlsx]Bioplastic'!C575)," ",'Q:\Abteilungsprojekte\eng\EngData\AOS\Allgemein\[LabSamples2025.xlsx]Bioplastic'!C575)</f>
        <v/>
      </c>
      <c r="D575">
        <f>IF(ISBLANK('Q:\Abteilungsprojekte\eng\EngData\AOS\Allgemein\[LabSamples2025.xlsx]Bioplastic'!D575)," ",'Q:\Abteilungsprojekte\eng\EngData\AOS\Allgemein\[LabSamples2025.xlsx]Bioplastic'!D575)</f>
        <v/>
      </c>
      <c r="E575">
        <f>IF(ISBLANK('Q:\Abteilungsprojekte\eng\EngData\AOS\Allgemein\[LabSamples2025.xlsx]Bioplastic'!E575)," ",'Q:\Abteilungsprojekte\eng\EngData\AOS\Allgemein\[LabSamples2025.xlsx]Bioplastic'!E575)</f>
        <v/>
      </c>
      <c r="F575">
        <f>IF(ISBLANK('Q:\Abteilungsprojekte\eng\EngData\AOS\Allgemein\[LabSamples2025.xlsx]Bioplastic'!F575)," ",'Q:\Abteilungsprojekte\eng\EngData\AOS\Allgemein\[LabSamples2025.xlsx]Bioplastic'!F575)</f>
        <v/>
      </c>
      <c r="G575">
        <f>IF(ISBLANK('Q:\Abteilungsprojekte\eng\EngData\AOS\Allgemein\[LabSamples2025.xlsx]Bioplastic'!G575)," ",'Q:\Abteilungsprojekte\eng\EngData\AOS\Allgemein\[LabSamples2025.xlsx]Bioplastic'!G575)</f>
        <v/>
      </c>
      <c r="H575">
        <f>IF(ISBLANK('Q:\Abteilungsprojekte\eng\EngData\AOS\Allgemein\[LabSamples2025.xlsx]Bioplastic'!H575)," ",'Q:\Abteilungsprojekte\eng\EngData\AOS\Allgemein\[LabSamples2025.xlsx]Bioplastic'!H575)</f>
        <v/>
      </c>
    </row>
    <row r="576">
      <c r="A576">
        <f>IF(ISBLANK('Q:\Abteilungsprojekte\eng\EngData\AOS\Allgemein\[LabSamples2025.xlsx]Bioplastic'!A576)," ",'Q:\Abteilungsprojekte\eng\EngData\AOS\Allgemein\[LabSamples2025.xlsx]Bioplastic'!A576)</f>
        <v/>
      </c>
      <c r="B576">
        <f>IF(ISBLANK('Q:\Abteilungsprojekte\eng\EngData\AOS\Allgemein\[LabSamples2025.xlsx]Bioplastic'!B576)," ",'Q:\Abteilungsprojekte\eng\EngData\AOS\Allgemein\[LabSamples2025.xlsx]Bioplastic'!B576)</f>
        <v/>
      </c>
      <c r="C576">
        <f>IF(ISBLANK('Q:\Abteilungsprojekte\eng\EngData\AOS\Allgemein\[LabSamples2025.xlsx]Bioplastic'!C576)," ",'Q:\Abteilungsprojekte\eng\EngData\AOS\Allgemein\[LabSamples2025.xlsx]Bioplastic'!C576)</f>
        <v/>
      </c>
      <c r="D576">
        <f>IF(ISBLANK('Q:\Abteilungsprojekte\eng\EngData\AOS\Allgemein\[LabSamples2025.xlsx]Bioplastic'!D576)," ",'Q:\Abteilungsprojekte\eng\EngData\AOS\Allgemein\[LabSamples2025.xlsx]Bioplastic'!D576)</f>
        <v/>
      </c>
      <c r="E576">
        <f>IF(ISBLANK('Q:\Abteilungsprojekte\eng\EngData\AOS\Allgemein\[LabSamples2025.xlsx]Bioplastic'!E576)," ",'Q:\Abteilungsprojekte\eng\EngData\AOS\Allgemein\[LabSamples2025.xlsx]Bioplastic'!E576)</f>
        <v/>
      </c>
      <c r="F576">
        <f>IF(ISBLANK('Q:\Abteilungsprojekte\eng\EngData\AOS\Allgemein\[LabSamples2025.xlsx]Bioplastic'!F576)," ",'Q:\Abteilungsprojekte\eng\EngData\AOS\Allgemein\[LabSamples2025.xlsx]Bioplastic'!F576)</f>
        <v/>
      </c>
      <c r="G576">
        <f>IF(ISBLANK('Q:\Abteilungsprojekte\eng\EngData\AOS\Allgemein\[LabSamples2025.xlsx]Bioplastic'!G576)," ",'Q:\Abteilungsprojekte\eng\EngData\AOS\Allgemein\[LabSamples2025.xlsx]Bioplastic'!G576)</f>
        <v/>
      </c>
      <c r="H576">
        <f>IF(ISBLANK('Q:\Abteilungsprojekte\eng\EngData\AOS\Allgemein\[LabSamples2025.xlsx]Bioplastic'!H576)," ",'Q:\Abteilungsprojekte\eng\EngData\AOS\Allgemein\[LabSamples2025.xlsx]Bioplastic'!H576)</f>
        <v/>
      </c>
    </row>
    <row r="577">
      <c r="A577">
        <f>IF(ISBLANK('Q:\Abteilungsprojekte\eng\EngData\AOS\Allgemein\[LabSamples2025.xlsx]Bioplastic'!A577)," ",'Q:\Abteilungsprojekte\eng\EngData\AOS\Allgemein\[LabSamples2025.xlsx]Bioplastic'!A577)</f>
        <v/>
      </c>
      <c r="B577">
        <f>IF(ISBLANK('Q:\Abteilungsprojekte\eng\EngData\AOS\Allgemein\[LabSamples2025.xlsx]Bioplastic'!B577)," ",'Q:\Abteilungsprojekte\eng\EngData\AOS\Allgemein\[LabSamples2025.xlsx]Bioplastic'!B577)</f>
        <v/>
      </c>
      <c r="C577">
        <f>IF(ISBLANK('Q:\Abteilungsprojekte\eng\EngData\AOS\Allgemein\[LabSamples2025.xlsx]Bioplastic'!C577)," ",'Q:\Abteilungsprojekte\eng\EngData\AOS\Allgemein\[LabSamples2025.xlsx]Bioplastic'!C577)</f>
        <v/>
      </c>
      <c r="D577">
        <f>IF(ISBLANK('Q:\Abteilungsprojekte\eng\EngData\AOS\Allgemein\[LabSamples2025.xlsx]Bioplastic'!D577)," ",'Q:\Abteilungsprojekte\eng\EngData\AOS\Allgemein\[LabSamples2025.xlsx]Bioplastic'!D577)</f>
        <v/>
      </c>
      <c r="E577">
        <f>IF(ISBLANK('Q:\Abteilungsprojekte\eng\EngData\AOS\Allgemein\[LabSamples2025.xlsx]Bioplastic'!E577)," ",'Q:\Abteilungsprojekte\eng\EngData\AOS\Allgemein\[LabSamples2025.xlsx]Bioplastic'!E577)</f>
        <v/>
      </c>
      <c r="F577">
        <f>IF(ISBLANK('Q:\Abteilungsprojekte\eng\EngData\AOS\Allgemein\[LabSamples2025.xlsx]Bioplastic'!F577)," ",'Q:\Abteilungsprojekte\eng\EngData\AOS\Allgemein\[LabSamples2025.xlsx]Bioplastic'!F577)</f>
        <v/>
      </c>
      <c r="G577">
        <f>IF(ISBLANK('Q:\Abteilungsprojekte\eng\EngData\AOS\Allgemein\[LabSamples2025.xlsx]Bioplastic'!G577)," ",'Q:\Abteilungsprojekte\eng\EngData\AOS\Allgemein\[LabSamples2025.xlsx]Bioplastic'!G577)</f>
        <v/>
      </c>
      <c r="H577">
        <f>IF(ISBLANK('Q:\Abteilungsprojekte\eng\EngData\AOS\Allgemein\[LabSamples2025.xlsx]Bioplastic'!H577)," ",'Q:\Abteilungsprojekte\eng\EngData\AOS\Allgemein\[LabSamples2025.xlsx]Bioplastic'!H577)</f>
        <v/>
      </c>
    </row>
    <row r="578">
      <c r="A578">
        <f>IF(ISBLANK('Q:\Abteilungsprojekte\eng\EngData\AOS\Allgemein\[LabSamples2025.xlsx]Bioplastic'!A578)," ",'Q:\Abteilungsprojekte\eng\EngData\AOS\Allgemein\[LabSamples2025.xlsx]Bioplastic'!A578)</f>
        <v/>
      </c>
      <c r="B578">
        <f>IF(ISBLANK('Q:\Abteilungsprojekte\eng\EngData\AOS\Allgemein\[LabSamples2025.xlsx]Bioplastic'!B578)," ",'Q:\Abteilungsprojekte\eng\EngData\AOS\Allgemein\[LabSamples2025.xlsx]Bioplastic'!B578)</f>
        <v/>
      </c>
      <c r="C578">
        <f>IF(ISBLANK('Q:\Abteilungsprojekte\eng\EngData\AOS\Allgemein\[LabSamples2025.xlsx]Bioplastic'!C578)," ",'Q:\Abteilungsprojekte\eng\EngData\AOS\Allgemein\[LabSamples2025.xlsx]Bioplastic'!C578)</f>
        <v/>
      </c>
      <c r="D578">
        <f>IF(ISBLANK('Q:\Abteilungsprojekte\eng\EngData\AOS\Allgemein\[LabSamples2025.xlsx]Bioplastic'!D578)," ",'Q:\Abteilungsprojekte\eng\EngData\AOS\Allgemein\[LabSamples2025.xlsx]Bioplastic'!D578)</f>
        <v/>
      </c>
      <c r="E578">
        <f>IF(ISBLANK('Q:\Abteilungsprojekte\eng\EngData\AOS\Allgemein\[LabSamples2025.xlsx]Bioplastic'!E578)," ",'Q:\Abteilungsprojekte\eng\EngData\AOS\Allgemein\[LabSamples2025.xlsx]Bioplastic'!E578)</f>
        <v/>
      </c>
      <c r="F578">
        <f>IF(ISBLANK('Q:\Abteilungsprojekte\eng\EngData\AOS\Allgemein\[LabSamples2025.xlsx]Bioplastic'!F578)," ",'Q:\Abteilungsprojekte\eng\EngData\AOS\Allgemein\[LabSamples2025.xlsx]Bioplastic'!F578)</f>
        <v/>
      </c>
      <c r="G578">
        <f>IF(ISBLANK('Q:\Abteilungsprojekte\eng\EngData\AOS\Allgemein\[LabSamples2025.xlsx]Bioplastic'!G578)," ",'Q:\Abteilungsprojekte\eng\EngData\AOS\Allgemein\[LabSamples2025.xlsx]Bioplastic'!G578)</f>
        <v/>
      </c>
      <c r="H578">
        <f>IF(ISBLANK('Q:\Abteilungsprojekte\eng\EngData\AOS\Allgemein\[LabSamples2025.xlsx]Bioplastic'!H578)," ",'Q:\Abteilungsprojekte\eng\EngData\AOS\Allgemein\[LabSamples2025.xlsx]Bioplastic'!H578)</f>
        <v/>
      </c>
    </row>
    <row r="579">
      <c r="A579">
        <f>IF(ISBLANK('Q:\Abteilungsprojekte\eng\EngData\AOS\Allgemein\[LabSamples2025.xlsx]Bioplastic'!A579)," ",'Q:\Abteilungsprojekte\eng\EngData\AOS\Allgemein\[LabSamples2025.xlsx]Bioplastic'!A579)</f>
        <v/>
      </c>
      <c r="B579">
        <f>IF(ISBLANK('Q:\Abteilungsprojekte\eng\EngData\AOS\Allgemein\[LabSamples2025.xlsx]Bioplastic'!B579)," ",'Q:\Abteilungsprojekte\eng\EngData\AOS\Allgemein\[LabSamples2025.xlsx]Bioplastic'!B579)</f>
        <v/>
      </c>
      <c r="C579">
        <f>IF(ISBLANK('Q:\Abteilungsprojekte\eng\EngData\AOS\Allgemein\[LabSamples2025.xlsx]Bioplastic'!C579)," ",'Q:\Abteilungsprojekte\eng\EngData\AOS\Allgemein\[LabSamples2025.xlsx]Bioplastic'!C579)</f>
        <v/>
      </c>
      <c r="D579">
        <f>IF(ISBLANK('Q:\Abteilungsprojekte\eng\EngData\AOS\Allgemein\[LabSamples2025.xlsx]Bioplastic'!D579)," ",'Q:\Abteilungsprojekte\eng\EngData\AOS\Allgemein\[LabSamples2025.xlsx]Bioplastic'!D579)</f>
        <v/>
      </c>
      <c r="E579">
        <f>IF(ISBLANK('Q:\Abteilungsprojekte\eng\EngData\AOS\Allgemein\[LabSamples2025.xlsx]Bioplastic'!E579)," ",'Q:\Abteilungsprojekte\eng\EngData\AOS\Allgemein\[LabSamples2025.xlsx]Bioplastic'!E579)</f>
        <v/>
      </c>
      <c r="F579">
        <f>IF(ISBLANK('Q:\Abteilungsprojekte\eng\EngData\AOS\Allgemein\[LabSamples2025.xlsx]Bioplastic'!F579)," ",'Q:\Abteilungsprojekte\eng\EngData\AOS\Allgemein\[LabSamples2025.xlsx]Bioplastic'!F579)</f>
        <v/>
      </c>
      <c r="G579">
        <f>IF(ISBLANK('Q:\Abteilungsprojekte\eng\EngData\AOS\Allgemein\[LabSamples2025.xlsx]Bioplastic'!G579)," ",'Q:\Abteilungsprojekte\eng\EngData\AOS\Allgemein\[LabSamples2025.xlsx]Bioplastic'!G579)</f>
        <v/>
      </c>
      <c r="H579">
        <f>IF(ISBLANK('Q:\Abteilungsprojekte\eng\EngData\AOS\Allgemein\[LabSamples2025.xlsx]Bioplastic'!H579)," ",'Q:\Abteilungsprojekte\eng\EngData\AOS\Allgemein\[LabSamples2025.xlsx]Bioplastic'!H579)</f>
        <v/>
      </c>
    </row>
    <row r="580">
      <c r="A580">
        <f>IF(ISBLANK('Q:\Abteilungsprojekte\eng\EngData\AOS\Allgemein\[LabSamples2025.xlsx]Bioplastic'!A580)," ",'Q:\Abteilungsprojekte\eng\EngData\AOS\Allgemein\[LabSamples2025.xlsx]Bioplastic'!A580)</f>
        <v/>
      </c>
      <c r="B580">
        <f>IF(ISBLANK('Q:\Abteilungsprojekte\eng\EngData\AOS\Allgemein\[LabSamples2025.xlsx]Bioplastic'!B580)," ",'Q:\Abteilungsprojekte\eng\EngData\AOS\Allgemein\[LabSamples2025.xlsx]Bioplastic'!B580)</f>
        <v/>
      </c>
      <c r="C580">
        <f>IF(ISBLANK('Q:\Abteilungsprojekte\eng\EngData\AOS\Allgemein\[LabSamples2025.xlsx]Bioplastic'!C580)," ",'Q:\Abteilungsprojekte\eng\EngData\AOS\Allgemein\[LabSamples2025.xlsx]Bioplastic'!C580)</f>
        <v/>
      </c>
      <c r="D580">
        <f>IF(ISBLANK('Q:\Abteilungsprojekte\eng\EngData\AOS\Allgemein\[LabSamples2025.xlsx]Bioplastic'!D580)," ",'Q:\Abteilungsprojekte\eng\EngData\AOS\Allgemein\[LabSamples2025.xlsx]Bioplastic'!D580)</f>
        <v/>
      </c>
      <c r="E580">
        <f>IF(ISBLANK('Q:\Abteilungsprojekte\eng\EngData\AOS\Allgemein\[LabSamples2025.xlsx]Bioplastic'!E580)," ",'Q:\Abteilungsprojekte\eng\EngData\AOS\Allgemein\[LabSamples2025.xlsx]Bioplastic'!E580)</f>
        <v/>
      </c>
      <c r="F580">
        <f>IF(ISBLANK('Q:\Abteilungsprojekte\eng\EngData\AOS\Allgemein\[LabSamples2025.xlsx]Bioplastic'!F580)," ",'Q:\Abteilungsprojekte\eng\EngData\AOS\Allgemein\[LabSamples2025.xlsx]Bioplastic'!F580)</f>
        <v/>
      </c>
      <c r="G580">
        <f>IF(ISBLANK('Q:\Abteilungsprojekte\eng\EngData\AOS\Allgemein\[LabSamples2025.xlsx]Bioplastic'!G580)," ",'Q:\Abteilungsprojekte\eng\EngData\AOS\Allgemein\[LabSamples2025.xlsx]Bioplastic'!G580)</f>
        <v/>
      </c>
      <c r="H580">
        <f>IF(ISBLANK('Q:\Abteilungsprojekte\eng\EngData\AOS\Allgemein\[LabSamples2025.xlsx]Bioplastic'!H580)," ",'Q:\Abteilungsprojekte\eng\EngData\AOS\Allgemein\[LabSamples2025.xlsx]Bioplastic'!H580)</f>
        <v/>
      </c>
    </row>
    <row r="581">
      <c r="A581">
        <f>IF(ISBLANK('Q:\Abteilungsprojekte\eng\EngData\AOS\Allgemein\[LabSamples2025.xlsx]Bioplastic'!A581)," ",'Q:\Abteilungsprojekte\eng\EngData\AOS\Allgemein\[LabSamples2025.xlsx]Bioplastic'!A581)</f>
        <v/>
      </c>
      <c r="B581">
        <f>IF(ISBLANK('Q:\Abteilungsprojekte\eng\EngData\AOS\Allgemein\[LabSamples2025.xlsx]Bioplastic'!B581)," ",'Q:\Abteilungsprojekte\eng\EngData\AOS\Allgemein\[LabSamples2025.xlsx]Bioplastic'!B581)</f>
        <v/>
      </c>
      <c r="C581">
        <f>IF(ISBLANK('Q:\Abteilungsprojekte\eng\EngData\AOS\Allgemein\[LabSamples2025.xlsx]Bioplastic'!C581)," ",'Q:\Abteilungsprojekte\eng\EngData\AOS\Allgemein\[LabSamples2025.xlsx]Bioplastic'!C581)</f>
        <v/>
      </c>
      <c r="D581">
        <f>IF(ISBLANK('Q:\Abteilungsprojekte\eng\EngData\AOS\Allgemein\[LabSamples2025.xlsx]Bioplastic'!D581)," ",'Q:\Abteilungsprojekte\eng\EngData\AOS\Allgemein\[LabSamples2025.xlsx]Bioplastic'!D581)</f>
        <v/>
      </c>
      <c r="E581">
        <f>IF(ISBLANK('Q:\Abteilungsprojekte\eng\EngData\AOS\Allgemein\[LabSamples2025.xlsx]Bioplastic'!E581)," ",'Q:\Abteilungsprojekte\eng\EngData\AOS\Allgemein\[LabSamples2025.xlsx]Bioplastic'!E581)</f>
        <v/>
      </c>
      <c r="F581">
        <f>IF(ISBLANK('Q:\Abteilungsprojekte\eng\EngData\AOS\Allgemein\[LabSamples2025.xlsx]Bioplastic'!F581)," ",'Q:\Abteilungsprojekte\eng\EngData\AOS\Allgemein\[LabSamples2025.xlsx]Bioplastic'!F581)</f>
        <v/>
      </c>
      <c r="G581">
        <f>IF(ISBLANK('Q:\Abteilungsprojekte\eng\EngData\AOS\Allgemein\[LabSamples2025.xlsx]Bioplastic'!G581)," ",'Q:\Abteilungsprojekte\eng\EngData\AOS\Allgemein\[LabSamples2025.xlsx]Bioplastic'!G581)</f>
        <v/>
      </c>
      <c r="H581">
        <f>IF(ISBLANK('Q:\Abteilungsprojekte\eng\EngData\AOS\Allgemein\[LabSamples2025.xlsx]Bioplastic'!H581)," ",'Q:\Abteilungsprojekte\eng\EngData\AOS\Allgemein\[LabSamples2025.xlsx]Bioplastic'!H581)</f>
        <v/>
      </c>
    </row>
    <row r="582">
      <c r="A582">
        <f>IF(ISBLANK('Q:\Abteilungsprojekte\eng\EngData\AOS\Allgemein\[LabSamples2025.xlsx]Bioplastic'!A582)," ",'Q:\Abteilungsprojekte\eng\EngData\AOS\Allgemein\[LabSamples2025.xlsx]Bioplastic'!A582)</f>
        <v/>
      </c>
      <c r="B582">
        <f>IF(ISBLANK('Q:\Abteilungsprojekte\eng\EngData\AOS\Allgemein\[LabSamples2025.xlsx]Bioplastic'!B582)," ",'Q:\Abteilungsprojekte\eng\EngData\AOS\Allgemein\[LabSamples2025.xlsx]Bioplastic'!B582)</f>
        <v/>
      </c>
      <c r="C582">
        <f>IF(ISBLANK('Q:\Abteilungsprojekte\eng\EngData\AOS\Allgemein\[LabSamples2025.xlsx]Bioplastic'!C582)," ",'Q:\Abteilungsprojekte\eng\EngData\AOS\Allgemein\[LabSamples2025.xlsx]Bioplastic'!C582)</f>
        <v/>
      </c>
      <c r="D582">
        <f>IF(ISBLANK('Q:\Abteilungsprojekte\eng\EngData\AOS\Allgemein\[LabSamples2025.xlsx]Bioplastic'!D582)," ",'Q:\Abteilungsprojekte\eng\EngData\AOS\Allgemein\[LabSamples2025.xlsx]Bioplastic'!D582)</f>
        <v/>
      </c>
      <c r="E582">
        <f>IF(ISBLANK('Q:\Abteilungsprojekte\eng\EngData\AOS\Allgemein\[LabSamples2025.xlsx]Bioplastic'!E582)," ",'Q:\Abteilungsprojekte\eng\EngData\AOS\Allgemein\[LabSamples2025.xlsx]Bioplastic'!E582)</f>
        <v/>
      </c>
      <c r="F582">
        <f>IF(ISBLANK('Q:\Abteilungsprojekte\eng\EngData\AOS\Allgemein\[LabSamples2025.xlsx]Bioplastic'!F582)," ",'Q:\Abteilungsprojekte\eng\EngData\AOS\Allgemein\[LabSamples2025.xlsx]Bioplastic'!F582)</f>
        <v/>
      </c>
      <c r="G582">
        <f>IF(ISBLANK('Q:\Abteilungsprojekte\eng\EngData\AOS\Allgemein\[LabSamples2025.xlsx]Bioplastic'!G582)," ",'Q:\Abteilungsprojekte\eng\EngData\AOS\Allgemein\[LabSamples2025.xlsx]Bioplastic'!G582)</f>
        <v/>
      </c>
      <c r="H582">
        <f>IF(ISBLANK('Q:\Abteilungsprojekte\eng\EngData\AOS\Allgemein\[LabSamples2025.xlsx]Bioplastic'!H582)," ",'Q:\Abteilungsprojekte\eng\EngData\AOS\Allgemein\[LabSamples2025.xlsx]Bioplastic'!H582)</f>
        <v/>
      </c>
    </row>
    <row r="583">
      <c r="A583">
        <f>IF(ISBLANK('Q:\Abteilungsprojekte\eng\EngData\AOS\Allgemein\[LabSamples2025.xlsx]Bioplastic'!A583)," ",'Q:\Abteilungsprojekte\eng\EngData\AOS\Allgemein\[LabSamples2025.xlsx]Bioplastic'!A583)</f>
        <v/>
      </c>
      <c r="B583">
        <f>IF(ISBLANK('Q:\Abteilungsprojekte\eng\EngData\AOS\Allgemein\[LabSamples2025.xlsx]Bioplastic'!B583)," ",'Q:\Abteilungsprojekte\eng\EngData\AOS\Allgemein\[LabSamples2025.xlsx]Bioplastic'!B583)</f>
        <v/>
      </c>
      <c r="C583">
        <f>IF(ISBLANK('Q:\Abteilungsprojekte\eng\EngData\AOS\Allgemein\[LabSamples2025.xlsx]Bioplastic'!C583)," ",'Q:\Abteilungsprojekte\eng\EngData\AOS\Allgemein\[LabSamples2025.xlsx]Bioplastic'!C583)</f>
        <v/>
      </c>
      <c r="D583">
        <f>IF(ISBLANK('Q:\Abteilungsprojekte\eng\EngData\AOS\Allgemein\[LabSamples2025.xlsx]Bioplastic'!D583)," ",'Q:\Abteilungsprojekte\eng\EngData\AOS\Allgemein\[LabSamples2025.xlsx]Bioplastic'!D583)</f>
        <v/>
      </c>
      <c r="E583">
        <f>IF(ISBLANK('Q:\Abteilungsprojekte\eng\EngData\AOS\Allgemein\[LabSamples2025.xlsx]Bioplastic'!E583)," ",'Q:\Abteilungsprojekte\eng\EngData\AOS\Allgemein\[LabSamples2025.xlsx]Bioplastic'!E583)</f>
        <v/>
      </c>
      <c r="F583">
        <f>IF(ISBLANK('Q:\Abteilungsprojekte\eng\EngData\AOS\Allgemein\[LabSamples2025.xlsx]Bioplastic'!F583)," ",'Q:\Abteilungsprojekte\eng\EngData\AOS\Allgemein\[LabSamples2025.xlsx]Bioplastic'!F583)</f>
        <v/>
      </c>
      <c r="G583">
        <f>IF(ISBLANK('Q:\Abteilungsprojekte\eng\EngData\AOS\Allgemein\[LabSamples2025.xlsx]Bioplastic'!G583)," ",'Q:\Abteilungsprojekte\eng\EngData\AOS\Allgemein\[LabSamples2025.xlsx]Bioplastic'!G583)</f>
        <v/>
      </c>
      <c r="H583">
        <f>IF(ISBLANK('Q:\Abteilungsprojekte\eng\EngData\AOS\Allgemein\[LabSamples2025.xlsx]Bioplastic'!H583)," ",'Q:\Abteilungsprojekte\eng\EngData\AOS\Allgemein\[LabSamples2025.xlsx]Bioplastic'!H583)</f>
        <v/>
      </c>
    </row>
    <row r="584">
      <c r="A584">
        <f>IF(ISBLANK('Q:\Abteilungsprojekte\eng\EngData\AOS\Allgemein\[LabSamples2025.xlsx]Bioplastic'!A584)," ",'Q:\Abteilungsprojekte\eng\EngData\AOS\Allgemein\[LabSamples2025.xlsx]Bioplastic'!A584)</f>
        <v/>
      </c>
      <c r="B584">
        <f>IF(ISBLANK('Q:\Abteilungsprojekte\eng\EngData\AOS\Allgemein\[LabSamples2025.xlsx]Bioplastic'!B584)," ",'Q:\Abteilungsprojekte\eng\EngData\AOS\Allgemein\[LabSamples2025.xlsx]Bioplastic'!B584)</f>
        <v/>
      </c>
      <c r="C584">
        <f>IF(ISBLANK('Q:\Abteilungsprojekte\eng\EngData\AOS\Allgemein\[LabSamples2025.xlsx]Bioplastic'!C584)," ",'Q:\Abteilungsprojekte\eng\EngData\AOS\Allgemein\[LabSamples2025.xlsx]Bioplastic'!C584)</f>
        <v/>
      </c>
      <c r="D584">
        <f>IF(ISBLANK('Q:\Abteilungsprojekte\eng\EngData\AOS\Allgemein\[LabSamples2025.xlsx]Bioplastic'!D584)," ",'Q:\Abteilungsprojekte\eng\EngData\AOS\Allgemein\[LabSamples2025.xlsx]Bioplastic'!D584)</f>
        <v/>
      </c>
      <c r="E584">
        <f>IF(ISBLANK('Q:\Abteilungsprojekte\eng\EngData\AOS\Allgemein\[LabSamples2025.xlsx]Bioplastic'!E584)," ",'Q:\Abteilungsprojekte\eng\EngData\AOS\Allgemein\[LabSamples2025.xlsx]Bioplastic'!E584)</f>
        <v/>
      </c>
      <c r="F584">
        <f>IF(ISBLANK('Q:\Abteilungsprojekte\eng\EngData\AOS\Allgemein\[LabSamples2025.xlsx]Bioplastic'!F584)," ",'Q:\Abteilungsprojekte\eng\EngData\AOS\Allgemein\[LabSamples2025.xlsx]Bioplastic'!F584)</f>
        <v/>
      </c>
      <c r="G584">
        <f>IF(ISBLANK('Q:\Abteilungsprojekte\eng\EngData\AOS\Allgemein\[LabSamples2025.xlsx]Bioplastic'!G584)," ",'Q:\Abteilungsprojekte\eng\EngData\AOS\Allgemein\[LabSamples2025.xlsx]Bioplastic'!G584)</f>
        <v/>
      </c>
      <c r="H584">
        <f>IF(ISBLANK('Q:\Abteilungsprojekte\eng\EngData\AOS\Allgemein\[LabSamples2025.xlsx]Bioplastic'!H584)," ",'Q:\Abteilungsprojekte\eng\EngData\AOS\Allgemein\[LabSamples2025.xlsx]Bioplastic'!H584)</f>
        <v/>
      </c>
    </row>
    <row r="585">
      <c r="A585">
        <f>IF(ISBLANK('Q:\Abteilungsprojekte\eng\EngData\AOS\Allgemein\[LabSamples2025.xlsx]Bioplastic'!A585)," ",'Q:\Abteilungsprojekte\eng\EngData\AOS\Allgemein\[LabSamples2025.xlsx]Bioplastic'!A585)</f>
        <v/>
      </c>
      <c r="B585">
        <f>IF(ISBLANK('Q:\Abteilungsprojekte\eng\EngData\AOS\Allgemein\[LabSamples2025.xlsx]Bioplastic'!B585)," ",'Q:\Abteilungsprojekte\eng\EngData\AOS\Allgemein\[LabSamples2025.xlsx]Bioplastic'!B585)</f>
        <v/>
      </c>
      <c r="C585">
        <f>IF(ISBLANK('Q:\Abteilungsprojekte\eng\EngData\AOS\Allgemein\[LabSamples2025.xlsx]Bioplastic'!C585)," ",'Q:\Abteilungsprojekte\eng\EngData\AOS\Allgemein\[LabSamples2025.xlsx]Bioplastic'!C585)</f>
        <v/>
      </c>
      <c r="D585">
        <f>IF(ISBLANK('Q:\Abteilungsprojekte\eng\EngData\AOS\Allgemein\[LabSamples2025.xlsx]Bioplastic'!D585)," ",'Q:\Abteilungsprojekte\eng\EngData\AOS\Allgemein\[LabSamples2025.xlsx]Bioplastic'!D585)</f>
        <v/>
      </c>
      <c r="E585">
        <f>IF(ISBLANK('Q:\Abteilungsprojekte\eng\EngData\AOS\Allgemein\[LabSamples2025.xlsx]Bioplastic'!E585)," ",'Q:\Abteilungsprojekte\eng\EngData\AOS\Allgemein\[LabSamples2025.xlsx]Bioplastic'!E585)</f>
        <v/>
      </c>
      <c r="F585">
        <f>IF(ISBLANK('Q:\Abteilungsprojekte\eng\EngData\AOS\Allgemein\[LabSamples2025.xlsx]Bioplastic'!F585)," ",'Q:\Abteilungsprojekte\eng\EngData\AOS\Allgemein\[LabSamples2025.xlsx]Bioplastic'!F585)</f>
        <v/>
      </c>
      <c r="G585">
        <f>IF(ISBLANK('Q:\Abteilungsprojekte\eng\EngData\AOS\Allgemein\[LabSamples2025.xlsx]Bioplastic'!G585)," ",'Q:\Abteilungsprojekte\eng\EngData\AOS\Allgemein\[LabSamples2025.xlsx]Bioplastic'!G585)</f>
        <v/>
      </c>
      <c r="H585">
        <f>IF(ISBLANK('Q:\Abteilungsprojekte\eng\EngData\AOS\Allgemein\[LabSamples2025.xlsx]Bioplastic'!H585)," ",'Q:\Abteilungsprojekte\eng\EngData\AOS\Allgemein\[LabSamples2025.xlsx]Bioplastic'!H585)</f>
        <v/>
      </c>
    </row>
    <row r="586">
      <c r="A586">
        <f>IF(ISBLANK('Q:\Abteilungsprojekte\eng\EngData\AOS\Allgemein\[LabSamples2025.xlsx]Bioplastic'!A586)," ",'Q:\Abteilungsprojekte\eng\EngData\AOS\Allgemein\[LabSamples2025.xlsx]Bioplastic'!A586)</f>
        <v/>
      </c>
      <c r="B586">
        <f>IF(ISBLANK('Q:\Abteilungsprojekte\eng\EngData\AOS\Allgemein\[LabSamples2025.xlsx]Bioplastic'!B586)," ",'Q:\Abteilungsprojekte\eng\EngData\AOS\Allgemein\[LabSamples2025.xlsx]Bioplastic'!B586)</f>
        <v/>
      </c>
      <c r="C586">
        <f>IF(ISBLANK('Q:\Abteilungsprojekte\eng\EngData\AOS\Allgemein\[LabSamples2025.xlsx]Bioplastic'!C586)," ",'Q:\Abteilungsprojekte\eng\EngData\AOS\Allgemein\[LabSamples2025.xlsx]Bioplastic'!C586)</f>
        <v/>
      </c>
      <c r="D586">
        <f>IF(ISBLANK('Q:\Abteilungsprojekte\eng\EngData\AOS\Allgemein\[LabSamples2025.xlsx]Bioplastic'!D586)," ",'Q:\Abteilungsprojekte\eng\EngData\AOS\Allgemein\[LabSamples2025.xlsx]Bioplastic'!D586)</f>
        <v/>
      </c>
      <c r="E586">
        <f>IF(ISBLANK('Q:\Abteilungsprojekte\eng\EngData\AOS\Allgemein\[LabSamples2025.xlsx]Bioplastic'!E586)," ",'Q:\Abteilungsprojekte\eng\EngData\AOS\Allgemein\[LabSamples2025.xlsx]Bioplastic'!E586)</f>
        <v/>
      </c>
      <c r="F586">
        <f>IF(ISBLANK('Q:\Abteilungsprojekte\eng\EngData\AOS\Allgemein\[LabSamples2025.xlsx]Bioplastic'!F586)," ",'Q:\Abteilungsprojekte\eng\EngData\AOS\Allgemein\[LabSamples2025.xlsx]Bioplastic'!F586)</f>
        <v/>
      </c>
      <c r="G586">
        <f>IF(ISBLANK('Q:\Abteilungsprojekte\eng\EngData\AOS\Allgemein\[LabSamples2025.xlsx]Bioplastic'!G586)," ",'Q:\Abteilungsprojekte\eng\EngData\AOS\Allgemein\[LabSamples2025.xlsx]Bioplastic'!G586)</f>
        <v/>
      </c>
      <c r="H586">
        <f>IF(ISBLANK('Q:\Abteilungsprojekte\eng\EngData\AOS\Allgemein\[LabSamples2025.xlsx]Bioplastic'!H586)," ",'Q:\Abteilungsprojekte\eng\EngData\AOS\Allgemein\[LabSamples2025.xlsx]Bioplastic'!H586)</f>
        <v/>
      </c>
    </row>
    <row r="587">
      <c r="A587">
        <f>IF(ISBLANK('Q:\Abteilungsprojekte\eng\EngData\AOS\Allgemein\[LabSamples2025.xlsx]Bioplastic'!A587)," ",'Q:\Abteilungsprojekte\eng\EngData\AOS\Allgemein\[LabSamples2025.xlsx]Bioplastic'!A587)</f>
        <v/>
      </c>
      <c r="B587">
        <f>IF(ISBLANK('Q:\Abteilungsprojekte\eng\EngData\AOS\Allgemein\[LabSamples2025.xlsx]Bioplastic'!B587)," ",'Q:\Abteilungsprojekte\eng\EngData\AOS\Allgemein\[LabSamples2025.xlsx]Bioplastic'!B587)</f>
        <v/>
      </c>
      <c r="C587">
        <f>IF(ISBLANK('Q:\Abteilungsprojekte\eng\EngData\AOS\Allgemein\[LabSamples2025.xlsx]Bioplastic'!C587)," ",'Q:\Abteilungsprojekte\eng\EngData\AOS\Allgemein\[LabSamples2025.xlsx]Bioplastic'!C587)</f>
        <v/>
      </c>
      <c r="D587">
        <f>IF(ISBLANK('Q:\Abteilungsprojekte\eng\EngData\AOS\Allgemein\[LabSamples2025.xlsx]Bioplastic'!D587)," ",'Q:\Abteilungsprojekte\eng\EngData\AOS\Allgemein\[LabSamples2025.xlsx]Bioplastic'!D587)</f>
        <v/>
      </c>
      <c r="E587">
        <f>IF(ISBLANK('Q:\Abteilungsprojekte\eng\EngData\AOS\Allgemein\[LabSamples2025.xlsx]Bioplastic'!E587)," ",'Q:\Abteilungsprojekte\eng\EngData\AOS\Allgemein\[LabSamples2025.xlsx]Bioplastic'!E587)</f>
        <v/>
      </c>
      <c r="F587">
        <f>IF(ISBLANK('Q:\Abteilungsprojekte\eng\EngData\AOS\Allgemein\[LabSamples2025.xlsx]Bioplastic'!F587)," ",'Q:\Abteilungsprojekte\eng\EngData\AOS\Allgemein\[LabSamples2025.xlsx]Bioplastic'!F587)</f>
        <v/>
      </c>
      <c r="G587">
        <f>IF(ISBLANK('Q:\Abteilungsprojekte\eng\EngData\AOS\Allgemein\[LabSamples2025.xlsx]Bioplastic'!G587)," ",'Q:\Abteilungsprojekte\eng\EngData\AOS\Allgemein\[LabSamples2025.xlsx]Bioplastic'!G587)</f>
        <v/>
      </c>
      <c r="H587">
        <f>IF(ISBLANK('Q:\Abteilungsprojekte\eng\EngData\AOS\Allgemein\[LabSamples2025.xlsx]Bioplastic'!H587)," ",'Q:\Abteilungsprojekte\eng\EngData\AOS\Allgemein\[LabSamples2025.xlsx]Bioplastic'!H587)</f>
        <v/>
      </c>
    </row>
    <row r="588">
      <c r="A588">
        <f>IF(ISBLANK('Q:\Abteilungsprojekte\eng\EngData\AOS\Allgemein\[LabSamples2025.xlsx]Bioplastic'!A588)," ",'Q:\Abteilungsprojekte\eng\EngData\AOS\Allgemein\[LabSamples2025.xlsx]Bioplastic'!A588)</f>
        <v/>
      </c>
      <c r="B588">
        <f>IF(ISBLANK('Q:\Abteilungsprojekte\eng\EngData\AOS\Allgemein\[LabSamples2025.xlsx]Bioplastic'!B588)," ",'Q:\Abteilungsprojekte\eng\EngData\AOS\Allgemein\[LabSamples2025.xlsx]Bioplastic'!B588)</f>
        <v/>
      </c>
      <c r="C588">
        <f>IF(ISBLANK('Q:\Abteilungsprojekte\eng\EngData\AOS\Allgemein\[LabSamples2025.xlsx]Bioplastic'!C588)," ",'Q:\Abteilungsprojekte\eng\EngData\AOS\Allgemein\[LabSamples2025.xlsx]Bioplastic'!C588)</f>
        <v/>
      </c>
      <c r="D588">
        <f>IF(ISBLANK('Q:\Abteilungsprojekte\eng\EngData\AOS\Allgemein\[LabSamples2025.xlsx]Bioplastic'!D588)," ",'Q:\Abteilungsprojekte\eng\EngData\AOS\Allgemein\[LabSamples2025.xlsx]Bioplastic'!D588)</f>
        <v/>
      </c>
      <c r="E588">
        <f>IF(ISBLANK('Q:\Abteilungsprojekte\eng\EngData\AOS\Allgemein\[LabSamples2025.xlsx]Bioplastic'!E588)," ",'Q:\Abteilungsprojekte\eng\EngData\AOS\Allgemein\[LabSamples2025.xlsx]Bioplastic'!E588)</f>
        <v/>
      </c>
      <c r="F588">
        <f>IF(ISBLANK('Q:\Abteilungsprojekte\eng\EngData\AOS\Allgemein\[LabSamples2025.xlsx]Bioplastic'!F588)," ",'Q:\Abteilungsprojekte\eng\EngData\AOS\Allgemein\[LabSamples2025.xlsx]Bioplastic'!F588)</f>
        <v/>
      </c>
      <c r="G588">
        <f>IF(ISBLANK('Q:\Abteilungsprojekte\eng\EngData\AOS\Allgemein\[LabSamples2025.xlsx]Bioplastic'!G588)," ",'Q:\Abteilungsprojekte\eng\EngData\AOS\Allgemein\[LabSamples2025.xlsx]Bioplastic'!G588)</f>
        <v/>
      </c>
      <c r="H588">
        <f>IF(ISBLANK('Q:\Abteilungsprojekte\eng\EngData\AOS\Allgemein\[LabSamples2025.xlsx]Bioplastic'!H588)," ",'Q:\Abteilungsprojekte\eng\EngData\AOS\Allgemein\[LabSamples2025.xlsx]Bioplastic'!H588)</f>
        <v/>
      </c>
    </row>
    <row r="589">
      <c r="A589">
        <f>IF(ISBLANK('Q:\Abteilungsprojekte\eng\EngData\AOS\Allgemein\[LabSamples2025.xlsx]Bioplastic'!A589)," ",'Q:\Abteilungsprojekte\eng\EngData\AOS\Allgemein\[LabSamples2025.xlsx]Bioplastic'!A589)</f>
        <v/>
      </c>
      <c r="B589">
        <f>IF(ISBLANK('Q:\Abteilungsprojekte\eng\EngData\AOS\Allgemein\[LabSamples2025.xlsx]Bioplastic'!B589)," ",'Q:\Abteilungsprojekte\eng\EngData\AOS\Allgemein\[LabSamples2025.xlsx]Bioplastic'!B589)</f>
        <v/>
      </c>
      <c r="C589">
        <f>IF(ISBLANK('Q:\Abteilungsprojekte\eng\EngData\AOS\Allgemein\[LabSamples2025.xlsx]Bioplastic'!C589)," ",'Q:\Abteilungsprojekte\eng\EngData\AOS\Allgemein\[LabSamples2025.xlsx]Bioplastic'!C589)</f>
        <v/>
      </c>
      <c r="D589">
        <f>IF(ISBLANK('Q:\Abteilungsprojekte\eng\EngData\AOS\Allgemein\[LabSamples2025.xlsx]Bioplastic'!D589)," ",'Q:\Abteilungsprojekte\eng\EngData\AOS\Allgemein\[LabSamples2025.xlsx]Bioplastic'!D589)</f>
        <v/>
      </c>
      <c r="E589">
        <f>IF(ISBLANK('Q:\Abteilungsprojekte\eng\EngData\AOS\Allgemein\[LabSamples2025.xlsx]Bioplastic'!E589)," ",'Q:\Abteilungsprojekte\eng\EngData\AOS\Allgemein\[LabSamples2025.xlsx]Bioplastic'!E589)</f>
        <v/>
      </c>
      <c r="F589">
        <f>IF(ISBLANK('Q:\Abteilungsprojekte\eng\EngData\AOS\Allgemein\[LabSamples2025.xlsx]Bioplastic'!F589)," ",'Q:\Abteilungsprojekte\eng\EngData\AOS\Allgemein\[LabSamples2025.xlsx]Bioplastic'!F589)</f>
        <v/>
      </c>
      <c r="G589">
        <f>IF(ISBLANK('Q:\Abteilungsprojekte\eng\EngData\AOS\Allgemein\[LabSamples2025.xlsx]Bioplastic'!G589)," ",'Q:\Abteilungsprojekte\eng\EngData\AOS\Allgemein\[LabSamples2025.xlsx]Bioplastic'!G589)</f>
        <v/>
      </c>
      <c r="H589">
        <f>IF(ISBLANK('Q:\Abteilungsprojekte\eng\EngData\AOS\Allgemein\[LabSamples2025.xlsx]Bioplastic'!H589)," ",'Q:\Abteilungsprojekte\eng\EngData\AOS\Allgemein\[LabSamples2025.xlsx]Bioplastic'!H589)</f>
        <v/>
      </c>
    </row>
    <row r="590">
      <c r="A590">
        <f>IF(ISBLANK('Q:\Abteilungsprojekte\eng\EngData\AOS\Allgemein\[LabSamples2025.xlsx]Bioplastic'!A590)," ",'Q:\Abteilungsprojekte\eng\EngData\AOS\Allgemein\[LabSamples2025.xlsx]Bioplastic'!A590)</f>
        <v/>
      </c>
      <c r="B590">
        <f>IF(ISBLANK('Q:\Abteilungsprojekte\eng\EngData\AOS\Allgemein\[LabSamples2025.xlsx]Bioplastic'!B590)," ",'Q:\Abteilungsprojekte\eng\EngData\AOS\Allgemein\[LabSamples2025.xlsx]Bioplastic'!B590)</f>
        <v/>
      </c>
      <c r="C590">
        <f>IF(ISBLANK('Q:\Abteilungsprojekte\eng\EngData\AOS\Allgemein\[LabSamples2025.xlsx]Bioplastic'!C590)," ",'Q:\Abteilungsprojekte\eng\EngData\AOS\Allgemein\[LabSamples2025.xlsx]Bioplastic'!C590)</f>
        <v/>
      </c>
      <c r="D590">
        <f>IF(ISBLANK('Q:\Abteilungsprojekte\eng\EngData\AOS\Allgemein\[LabSamples2025.xlsx]Bioplastic'!D590)," ",'Q:\Abteilungsprojekte\eng\EngData\AOS\Allgemein\[LabSamples2025.xlsx]Bioplastic'!D590)</f>
        <v/>
      </c>
      <c r="E590">
        <f>IF(ISBLANK('Q:\Abteilungsprojekte\eng\EngData\AOS\Allgemein\[LabSamples2025.xlsx]Bioplastic'!E590)," ",'Q:\Abteilungsprojekte\eng\EngData\AOS\Allgemein\[LabSamples2025.xlsx]Bioplastic'!E590)</f>
        <v/>
      </c>
      <c r="F590">
        <f>IF(ISBLANK('Q:\Abteilungsprojekte\eng\EngData\AOS\Allgemein\[LabSamples2025.xlsx]Bioplastic'!F590)," ",'Q:\Abteilungsprojekte\eng\EngData\AOS\Allgemein\[LabSamples2025.xlsx]Bioplastic'!F590)</f>
        <v/>
      </c>
      <c r="G590">
        <f>IF(ISBLANK('Q:\Abteilungsprojekte\eng\EngData\AOS\Allgemein\[LabSamples2025.xlsx]Bioplastic'!G590)," ",'Q:\Abteilungsprojekte\eng\EngData\AOS\Allgemein\[LabSamples2025.xlsx]Bioplastic'!G590)</f>
        <v/>
      </c>
      <c r="H590">
        <f>IF(ISBLANK('Q:\Abteilungsprojekte\eng\EngData\AOS\Allgemein\[LabSamples2025.xlsx]Bioplastic'!H590)," ",'Q:\Abteilungsprojekte\eng\EngData\AOS\Allgemein\[LabSamples2025.xlsx]Bioplastic'!H590)</f>
        <v/>
      </c>
    </row>
    <row r="591">
      <c r="A591">
        <f>IF(ISBLANK('Q:\Abteilungsprojekte\eng\EngData\AOS\Allgemein\[LabSamples2025.xlsx]Bioplastic'!A591)," ",'Q:\Abteilungsprojekte\eng\EngData\AOS\Allgemein\[LabSamples2025.xlsx]Bioplastic'!A591)</f>
        <v/>
      </c>
      <c r="B591">
        <f>IF(ISBLANK('Q:\Abteilungsprojekte\eng\EngData\AOS\Allgemein\[LabSamples2025.xlsx]Bioplastic'!B591)," ",'Q:\Abteilungsprojekte\eng\EngData\AOS\Allgemein\[LabSamples2025.xlsx]Bioplastic'!B591)</f>
        <v/>
      </c>
      <c r="C591">
        <f>IF(ISBLANK('Q:\Abteilungsprojekte\eng\EngData\AOS\Allgemein\[LabSamples2025.xlsx]Bioplastic'!C591)," ",'Q:\Abteilungsprojekte\eng\EngData\AOS\Allgemein\[LabSamples2025.xlsx]Bioplastic'!C591)</f>
        <v/>
      </c>
      <c r="D591">
        <f>IF(ISBLANK('Q:\Abteilungsprojekte\eng\EngData\AOS\Allgemein\[LabSamples2025.xlsx]Bioplastic'!D591)," ",'Q:\Abteilungsprojekte\eng\EngData\AOS\Allgemein\[LabSamples2025.xlsx]Bioplastic'!D591)</f>
        <v/>
      </c>
      <c r="E591">
        <f>IF(ISBLANK('Q:\Abteilungsprojekte\eng\EngData\AOS\Allgemein\[LabSamples2025.xlsx]Bioplastic'!E591)," ",'Q:\Abteilungsprojekte\eng\EngData\AOS\Allgemein\[LabSamples2025.xlsx]Bioplastic'!E591)</f>
        <v/>
      </c>
      <c r="F591">
        <f>IF(ISBLANK('Q:\Abteilungsprojekte\eng\EngData\AOS\Allgemein\[LabSamples2025.xlsx]Bioplastic'!F591)," ",'Q:\Abteilungsprojekte\eng\EngData\AOS\Allgemein\[LabSamples2025.xlsx]Bioplastic'!F591)</f>
        <v/>
      </c>
      <c r="G591">
        <f>IF(ISBLANK('Q:\Abteilungsprojekte\eng\EngData\AOS\Allgemein\[LabSamples2025.xlsx]Bioplastic'!G591)," ",'Q:\Abteilungsprojekte\eng\EngData\AOS\Allgemein\[LabSamples2025.xlsx]Bioplastic'!G591)</f>
        <v/>
      </c>
      <c r="H591">
        <f>IF(ISBLANK('Q:\Abteilungsprojekte\eng\EngData\AOS\Allgemein\[LabSamples2025.xlsx]Bioplastic'!H591)," ",'Q:\Abteilungsprojekte\eng\EngData\AOS\Allgemein\[LabSamples2025.xlsx]Bioplastic'!H591)</f>
        <v/>
      </c>
    </row>
    <row r="592">
      <c r="A592">
        <f>IF(ISBLANK('Q:\Abteilungsprojekte\eng\EngData\AOS\Allgemein\[LabSamples2025.xlsx]Bioplastic'!A592)," ",'Q:\Abteilungsprojekte\eng\EngData\AOS\Allgemein\[LabSamples2025.xlsx]Bioplastic'!A592)</f>
        <v/>
      </c>
      <c r="B592">
        <f>IF(ISBLANK('Q:\Abteilungsprojekte\eng\EngData\AOS\Allgemein\[LabSamples2025.xlsx]Bioplastic'!B592)," ",'Q:\Abteilungsprojekte\eng\EngData\AOS\Allgemein\[LabSamples2025.xlsx]Bioplastic'!B592)</f>
        <v/>
      </c>
      <c r="C592">
        <f>IF(ISBLANK('Q:\Abteilungsprojekte\eng\EngData\AOS\Allgemein\[LabSamples2025.xlsx]Bioplastic'!C592)," ",'Q:\Abteilungsprojekte\eng\EngData\AOS\Allgemein\[LabSamples2025.xlsx]Bioplastic'!C592)</f>
        <v/>
      </c>
      <c r="D592">
        <f>IF(ISBLANK('Q:\Abteilungsprojekte\eng\EngData\AOS\Allgemein\[LabSamples2025.xlsx]Bioplastic'!D592)," ",'Q:\Abteilungsprojekte\eng\EngData\AOS\Allgemein\[LabSamples2025.xlsx]Bioplastic'!D592)</f>
        <v/>
      </c>
      <c r="E592">
        <f>IF(ISBLANK('Q:\Abteilungsprojekte\eng\EngData\AOS\Allgemein\[LabSamples2025.xlsx]Bioplastic'!E592)," ",'Q:\Abteilungsprojekte\eng\EngData\AOS\Allgemein\[LabSamples2025.xlsx]Bioplastic'!E592)</f>
        <v/>
      </c>
      <c r="F592">
        <f>IF(ISBLANK('Q:\Abteilungsprojekte\eng\EngData\AOS\Allgemein\[LabSamples2025.xlsx]Bioplastic'!F592)," ",'Q:\Abteilungsprojekte\eng\EngData\AOS\Allgemein\[LabSamples2025.xlsx]Bioplastic'!F592)</f>
        <v/>
      </c>
      <c r="G592">
        <f>IF(ISBLANK('Q:\Abteilungsprojekte\eng\EngData\AOS\Allgemein\[LabSamples2025.xlsx]Bioplastic'!G592)," ",'Q:\Abteilungsprojekte\eng\EngData\AOS\Allgemein\[LabSamples2025.xlsx]Bioplastic'!G592)</f>
        <v/>
      </c>
      <c r="H592">
        <f>IF(ISBLANK('Q:\Abteilungsprojekte\eng\EngData\AOS\Allgemein\[LabSamples2025.xlsx]Bioplastic'!H592)," ",'Q:\Abteilungsprojekte\eng\EngData\AOS\Allgemein\[LabSamples2025.xlsx]Bioplastic'!H592)</f>
        <v/>
      </c>
    </row>
    <row r="593">
      <c r="A593">
        <f>IF(ISBLANK('Q:\Abteilungsprojekte\eng\EngData\AOS\Allgemein\[LabSamples2025.xlsx]Bioplastic'!A593)," ",'Q:\Abteilungsprojekte\eng\EngData\AOS\Allgemein\[LabSamples2025.xlsx]Bioplastic'!A593)</f>
        <v/>
      </c>
      <c r="B593">
        <f>IF(ISBLANK('Q:\Abteilungsprojekte\eng\EngData\AOS\Allgemein\[LabSamples2025.xlsx]Bioplastic'!B593)," ",'Q:\Abteilungsprojekte\eng\EngData\AOS\Allgemein\[LabSamples2025.xlsx]Bioplastic'!B593)</f>
        <v/>
      </c>
      <c r="C593">
        <f>IF(ISBLANK('Q:\Abteilungsprojekte\eng\EngData\AOS\Allgemein\[LabSamples2025.xlsx]Bioplastic'!C593)," ",'Q:\Abteilungsprojekte\eng\EngData\AOS\Allgemein\[LabSamples2025.xlsx]Bioplastic'!C593)</f>
        <v/>
      </c>
      <c r="D593">
        <f>IF(ISBLANK('Q:\Abteilungsprojekte\eng\EngData\AOS\Allgemein\[LabSamples2025.xlsx]Bioplastic'!D593)," ",'Q:\Abteilungsprojekte\eng\EngData\AOS\Allgemein\[LabSamples2025.xlsx]Bioplastic'!D593)</f>
        <v/>
      </c>
      <c r="E593">
        <f>IF(ISBLANK('Q:\Abteilungsprojekte\eng\EngData\AOS\Allgemein\[LabSamples2025.xlsx]Bioplastic'!E593)," ",'Q:\Abteilungsprojekte\eng\EngData\AOS\Allgemein\[LabSamples2025.xlsx]Bioplastic'!E593)</f>
        <v/>
      </c>
      <c r="F593">
        <f>IF(ISBLANK('Q:\Abteilungsprojekte\eng\EngData\AOS\Allgemein\[LabSamples2025.xlsx]Bioplastic'!F593)," ",'Q:\Abteilungsprojekte\eng\EngData\AOS\Allgemein\[LabSamples2025.xlsx]Bioplastic'!F593)</f>
        <v/>
      </c>
      <c r="G593">
        <f>IF(ISBLANK('Q:\Abteilungsprojekte\eng\EngData\AOS\Allgemein\[LabSamples2025.xlsx]Bioplastic'!G593)," ",'Q:\Abteilungsprojekte\eng\EngData\AOS\Allgemein\[LabSamples2025.xlsx]Bioplastic'!G593)</f>
        <v/>
      </c>
      <c r="H593">
        <f>IF(ISBLANK('Q:\Abteilungsprojekte\eng\EngData\AOS\Allgemein\[LabSamples2025.xlsx]Bioplastic'!H593)," ",'Q:\Abteilungsprojekte\eng\EngData\AOS\Allgemein\[LabSamples2025.xlsx]Bioplastic'!H593)</f>
        <v/>
      </c>
    </row>
    <row r="594">
      <c r="A594">
        <f>IF(ISBLANK('Q:\Abteilungsprojekte\eng\EngData\AOS\Allgemein\[LabSamples2025.xlsx]Bioplastic'!A594)," ",'Q:\Abteilungsprojekte\eng\EngData\AOS\Allgemein\[LabSamples2025.xlsx]Bioplastic'!A594)</f>
        <v/>
      </c>
      <c r="B594">
        <f>IF(ISBLANK('Q:\Abteilungsprojekte\eng\EngData\AOS\Allgemein\[LabSamples2025.xlsx]Bioplastic'!B594)," ",'Q:\Abteilungsprojekte\eng\EngData\AOS\Allgemein\[LabSamples2025.xlsx]Bioplastic'!B594)</f>
        <v/>
      </c>
      <c r="C594">
        <f>IF(ISBLANK('Q:\Abteilungsprojekte\eng\EngData\AOS\Allgemein\[LabSamples2025.xlsx]Bioplastic'!C594)," ",'Q:\Abteilungsprojekte\eng\EngData\AOS\Allgemein\[LabSamples2025.xlsx]Bioplastic'!C594)</f>
        <v/>
      </c>
      <c r="D594">
        <f>IF(ISBLANK('Q:\Abteilungsprojekte\eng\EngData\AOS\Allgemein\[LabSamples2025.xlsx]Bioplastic'!D594)," ",'Q:\Abteilungsprojekte\eng\EngData\AOS\Allgemein\[LabSamples2025.xlsx]Bioplastic'!D594)</f>
        <v/>
      </c>
      <c r="E594">
        <f>IF(ISBLANK('Q:\Abteilungsprojekte\eng\EngData\AOS\Allgemein\[LabSamples2025.xlsx]Bioplastic'!E594)," ",'Q:\Abteilungsprojekte\eng\EngData\AOS\Allgemein\[LabSamples2025.xlsx]Bioplastic'!E594)</f>
        <v/>
      </c>
      <c r="F594">
        <f>IF(ISBLANK('Q:\Abteilungsprojekte\eng\EngData\AOS\Allgemein\[LabSamples2025.xlsx]Bioplastic'!F594)," ",'Q:\Abteilungsprojekte\eng\EngData\AOS\Allgemein\[LabSamples2025.xlsx]Bioplastic'!F594)</f>
        <v/>
      </c>
      <c r="G594">
        <f>IF(ISBLANK('Q:\Abteilungsprojekte\eng\EngData\AOS\Allgemein\[LabSamples2025.xlsx]Bioplastic'!G594)," ",'Q:\Abteilungsprojekte\eng\EngData\AOS\Allgemein\[LabSamples2025.xlsx]Bioplastic'!G594)</f>
        <v/>
      </c>
      <c r="H594">
        <f>IF(ISBLANK('Q:\Abteilungsprojekte\eng\EngData\AOS\Allgemein\[LabSamples2025.xlsx]Bioplastic'!H594)," ",'Q:\Abteilungsprojekte\eng\EngData\AOS\Allgemein\[LabSamples2025.xlsx]Bioplastic'!H594)</f>
        <v/>
      </c>
    </row>
    <row r="595">
      <c r="A595">
        <f>IF(ISBLANK('Q:\Abteilungsprojekte\eng\EngData\AOS\Allgemein\[LabSamples2025.xlsx]Bioplastic'!A595)," ",'Q:\Abteilungsprojekte\eng\EngData\AOS\Allgemein\[LabSamples2025.xlsx]Bioplastic'!A595)</f>
        <v/>
      </c>
      <c r="B595">
        <f>IF(ISBLANK('Q:\Abteilungsprojekte\eng\EngData\AOS\Allgemein\[LabSamples2025.xlsx]Bioplastic'!B595)," ",'Q:\Abteilungsprojekte\eng\EngData\AOS\Allgemein\[LabSamples2025.xlsx]Bioplastic'!B595)</f>
        <v/>
      </c>
      <c r="C595">
        <f>IF(ISBLANK('Q:\Abteilungsprojekte\eng\EngData\AOS\Allgemein\[LabSamples2025.xlsx]Bioplastic'!C595)," ",'Q:\Abteilungsprojekte\eng\EngData\AOS\Allgemein\[LabSamples2025.xlsx]Bioplastic'!C595)</f>
        <v/>
      </c>
      <c r="D595">
        <f>IF(ISBLANK('Q:\Abteilungsprojekte\eng\EngData\AOS\Allgemein\[LabSamples2025.xlsx]Bioplastic'!D595)," ",'Q:\Abteilungsprojekte\eng\EngData\AOS\Allgemein\[LabSamples2025.xlsx]Bioplastic'!D595)</f>
        <v/>
      </c>
      <c r="E595">
        <f>IF(ISBLANK('Q:\Abteilungsprojekte\eng\EngData\AOS\Allgemein\[LabSamples2025.xlsx]Bioplastic'!E595)," ",'Q:\Abteilungsprojekte\eng\EngData\AOS\Allgemein\[LabSamples2025.xlsx]Bioplastic'!E595)</f>
        <v/>
      </c>
      <c r="F595">
        <f>IF(ISBLANK('Q:\Abteilungsprojekte\eng\EngData\AOS\Allgemein\[LabSamples2025.xlsx]Bioplastic'!F595)," ",'Q:\Abteilungsprojekte\eng\EngData\AOS\Allgemein\[LabSamples2025.xlsx]Bioplastic'!F595)</f>
        <v/>
      </c>
      <c r="G595">
        <f>IF(ISBLANK('Q:\Abteilungsprojekte\eng\EngData\AOS\Allgemein\[LabSamples2025.xlsx]Bioplastic'!G595)," ",'Q:\Abteilungsprojekte\eng\EngData\AOS\Allgemein\[LabSamples2025.xlsx]Bioplastic'!G595)</f>
        <v/>
      </c>
      <c r="H595">
        <f>IF(ISBLANK('Q:\Abteilungsprojekte\eng\EngData\AOS\Allgemein\[LabSamples2025.xlsx]Bioplastic'!H595)," ",'Q:\Abteilungsprojekte\eng\EngData\AOS\Allgemein\[LabSamples2025.xlsx]Bioplastic'!H595)</f>
        <v/>
      </c>
    </row>
    <row r="596">
      <c r="A596">
        <f>IF(ISBLANK('Q:\Abteilungsprojekte\eng\EngData\AOS\Allgemein\[LabSamples2025.xlsx]Bioplastic'!A596)," ",'Q:\Abteilungsprojekte\eng\EngData\AOS\Allgemein\[LabSamples2025.xlsx]Bioplastic'!A596)</f>
        <v/>
      </c>
      <c r="B596">
        <f>IF(ISBLANK('Q:\Abteilungsprojekte\eng\EngData\AOS\Allgemein\[LabSamples2025.xlsx]Bioplastic'!B596)," ",'Q:\Abteilungsprojekte\eng\EngData\AOS\Allgemein\[LabSamples2025.xlsx]Bioplastic'!B596)</f>
        <v/>
      </c>
      <c r="C596">
        <f>IF(ISBLANK('Q:\Abteilungsprojekte\eng\EngData\AOS\Allgemein\[LabSamples2025.xlsx]Bioplastic'!C596)," ",'Q:\Abteilungsprojekte\eng\EngData\AOS\Allgemein\[LabSamples2025.xlsx]Bioplastic'!C596)</f>
        <v/>
      </c>
      <c r="D596">
        <f>IF(ISBLANK('Q:\Abteilungsprojekte\eng\EngData\AOS\Allgemein\[LabSamples2025.xlsx]Bioplastic'!D596)," ",'Q:\Abteilungsprojekte\eng\EngData\AOS\Allgemein\[LabSamples2025.xlsx]Bioplastic'!D596)</f>
        <v/>
      </c>
      <c r="E596">
        <f>IF(ISBLANK('Q:\Abteilungsprojekte\eng\EngData\AOS\Allgemein\[LabSamples2025.xlsx]Bioplastic'!E596)," ",'Q:\Abteilungsprojekte\eng\EngData\AOS\Allgemein\[LabSamples2025.xlsx]Bioplastic'!E596)</f>
        <v/>
      </c>
      <c r="F596">
        <f>IF(ISBLANK('Q:\Abteilungsprojekte\eng\EngData\AOS\Allgemein\[LabSamples2025.xlsx]Bioplastic'!F596)," ",'Q:\Abteilungsprojekte\eng\EngData\AOS\Allgemein\[LabSamples2025.xlsx]Bioplastic'!F596)</f>
        <v/>
      </c>
      <c r="G596">
        <f>IF(ISBLANK('Q:\Abteilungsprojekte\eng\EngData\AOS\Allgemein\[LabSamples2025.xlsx]Bioplastic'!G596)," ",'Q:\Abteilungsprojekte\eng\EngData\AOS\Allgemein\[LabSamples2025.xlsx]Bioplastic'!G596)</f>
        <v/>
      </c>
      <c r="H596">
        <f>IF(ISBLANK('Q:\Abteilungsprojekte\eng\EngData\AOS\Allgemein\[LabSamples2025.xlsx]Bioplastic'!H596)," ",'Q:\Abteilungsprojekte\eng\EngData\AOS\Allgemein\[LabSamples2025.xlsx]Bioplastic'!H596)</f>
        <v/>
      </c>
    </row>
    <row r="597">
      <c r="A597">
        <f>IF(ISBLANK('Q:\Abteilungsprojekte\eng\EngData\AOS\Allgemein\[LabSamples2025.xlsx]Bioplastic'!A597)," ",'Q:\Abteilungsprojekte\eng\EngData\AOS\Allgemein\[LabSamples2025.xlsx]Bioplastic'!A597)</f>
        <v/>
      </c>
      <c r="B597">
        <f>IF(ISBLANK('Q:\Abteilungsprojekte\eng\EngData\AOS\Allgemein\[LabSamples2025.xlsx]Bioplastic'!B597)," ",'Q:\Abteilungsprojekte\eng\EngData\AOS\Allgemein\[LabSamples2025.xlsx]Bioplastic'!B597)</f>
        <v/>
      </c>
      <c r="C597">
        <f>IF(ISBLANK('Q:\Abteilungsprojekte\eng\EngData\AOS\Allgemein\[LabSamples2025.xlsx]Bioplastic'!C597)," ",'Q:\Abteilungsprojekte\eng\EngData\AOS\Allgemein\[LabSamples2025.xlsx]Bioplastic'!C597)</f>
        <v/>
      </c>
      <c r="D597">
        <f>IF(ISBLANK('Q:\Abteilungsprojekte\eng\EngData\AOS\Allgemein\[LabSamples2025.xlsx]Bioplastic'!D597)," ",'Q:\Abteilungsprojekte\eng\EngData\AOS\Allgemein\[LabSamples2025.xlsx]Bioplastic'!D597)</f>
        <v/>
      </c>
      <c r="E597">
        <f>IF(ISBLANK('Q:\Abteilungsprojekte\eng\EngData\AOS\Allgemein\[LabSamples2025.xlsx]Bioplastic'!E597)," ",'Q:\Abteilungsprojekte\eng\EngData\AOS\Allgemein\[LabSamples2025.xlsx]Bioplastic'!E597)</f>
        <v/>
      </c>
      <c r="F597">
        <f>IF(ISBLANK('Q:\Abteilungsprojekte\eng\EngData\AOS\Allgemein\[LabSamples2025.xlsx]Bioplastic'!F597)," ",'Q:\Abteilungsprojekte\eng\EngData\AOS\Allgemein\[LabSamples2025.xlsx]Bioplastic'!F597)</f>
        <v/>
      </c>
      <c r="G597">
        <f>IF(ISBLANK('Q:\Abteilungsprojekte\eng\EngData\AOS\Allgemein\[LabSamples2025.xlsx]Bioplastic'!G597)," ",'Q:\Abteilungsprojekte\eng\EngData\AOS\Allgemein\[LabSamples2025.xlsx]Bioplastic'!G597)</f>
        <v/>
      </c>
      <c r="H597">
        <f>IF(ISBLANK('Q:\Abteilungsprojekte\eng\EngData\AOS\Allgemein\[LabSamples2025.xlsx]Bioplastic'!H597)," ",'Q:\Abteilungsprojekte\eng\EngData\AOS\Allgemein\[LabSamples2025.xlsx]Bioplastic'!H597)</f>
        <v/>
      </c>
    </row>
    <row r="598">
      <c r="A598">
        <f>IF(ISBLANK('Q:\Abteilungsprojekte\eng\EngData\AOS\Allgemein\[LabSamples2025.xlsx]Bioplastic'!A598)," ",'Q:\Abteilungsprojekte\eng\EngData\AOS\Allgemein\[LabSamples2025.xlsx]Bioplastic'!A598)</f>
        <v/>
      </c>
      <c r="B598">
        <f>IF(ISBLANK('Q:\Abteilungsprojekte\eng\EngData\AOS\Allgemein\[LabSamples2025.xlsx]Bioplastic'!B598)," ",'Q:\Abteilungsprojekte\eng\EngData\AOS\Allgemein\[LabSamples2025.xlsx]Bioplastic'!B598)</f>
        <v/>
      </c>
      <c r="C598">
        <f>IF(ISBLANK('Q:\Abteilungsprojekte\eng\EngData\AOS\Allgemein\[LabSamples2025.xlsx]Bioplastic'!C598)," ",'Q:\Abteilungsprojekte\eng\EngData\AOS\Allgemein\[LabSamples2025.xlsx]Bioplastic'!C598)</f>
        <v/>
      </c>
      <c r="D598">
        <f>IF(ISBLANK('Q:\Abteilungsprojekte\eng\EngData\AOS\Allgemein\[LabSamples2025.xlsx]Bioplastic'!D598)," ",'Q:\Abteilungsprojekte\eng\EngData\AOS\Allgemein\[LabSamples2025.xlsx]Bioplastic'!D598)</f>
        <v/>
      </c>
      <c r="E598">
        <f>IF(ISBLANK('Q:\Abteilungsprojekte\eng\EngData\AOS\Allgemein\[LabSamples2025.xlsx]Bioplastic'!E598)," ",'Q:\Abteilungsprojekte\eng\EngData\AOS\Allgemein\[LabSamples2025.xlsx]Bioplastic'!E598)</f>
        <v/>
      </c>
      <c r="F598">
        <f>IF(ISBLANK('Q:\Abteilungsprojekte\eng\EngData\AOS\Allgemein\[LabSamples2025.xlsx]Bioplastic'!F598)," ",'Q:\Abteilungsprojekte\eng\EngData\AOS\Allgemein\[LabSamples2025.xlsx]Bioplastic'!F598)</f>
        <v/>
      </c>
      <c r="G598">
        <f>IF(ISBLANK('Q:\Abteilungsprojekte\eng\EngData\AOS\Allgemein\[LabSamples2025.xlsx]Bioplastic'!G598)," ",'Q:\Abteilungsprojekte\eng\EngData\AOS\Allgemein\[LabSamples2025.xlsx]Bioplastic'!G598)</f>
        <v/>
      </c>
      <c r="H598">
        <f>IF(ISBLANK('Q:\Abteilungsprojekte\eng\EngData\AOS\Allgemein\[LabSamples2025.xlsx]Bioplastic'!H598)," ",'Q:\Abteilungsprojekte\eng\EngData\AOS\Allgemein\[LabSamples2025.xlsx]Bioplastic'!H598)</f>
        <v/>
      </c>
    </row>
    <row r="599">
      <c r="A599">
        <f>IF(ISBLANK('Q:\Abteilungsprojekte\eng\EngData\AOS\Allgemein\[LabSamples2025.xlsx]Bioplastic'!A599)," ",'Q:\Abteilungsprojekte\eng\EngData\AOS\Allgemein\[LabSamples2025.xlsx]Bioplastic'!A599)</f>
        <v/>
      </c>
      <c r="B599">
        <f>IF(ISBLANK('Q:\Abteilungsprojekte\eng\EngData\AOS\Allgemein\[LabSamples2025.xlsx]Bioplastic'!B599)," ",'Q:\Abteilungsprojekte\eng\EngData\AOS\Allgemein\[LabSamples2025.xlsx]Bioplastic'!B599)</f>
        <v/>
      </c>
      <c r="C599">
        <f>IF(ISBLANK('Q:\Abteilungsprojekte\eng\EngData\AOS\Allgemein\[LabSamples2025.xlsx]Bioplastic'!C599)," ",'Q:\Abteilungsprojekte\eng\EngData\AOS\Allgemein\[LabSamples2025.xlsx]Bioplastic'!C599)</f>
        <v/>
      </c>
      <c r="D599">
        <f>IF(ISBLANK('Q:\Abteilungsprojekte\eng\EngData\AOS\Allgemein\[LabSamples2025.xlsx]Bioplastic'!D599)," ",'Q:\Abteilungsprojekte\eng\EngData\AOS\Allgemein\[LabSamples2025.xlsx]Bioplastic'!D599)</f>
        <v/>
      </c>
      <c r="E599">
        <f>IF(ISBLANK('Q:\Abteilungsprojekte\eng\EngData\AOS\Allgemein\[LabSamples2025.xlsx]Bioplastic'!E599)," ",'Q:\Abteilungsprojekte\eng\EngData\AOS\Allgemein\[LabSamples2025.xlsx]Bioplastic'!E599)</f>
        <v/>
      </c>
      <c r="F599">
        <f>IF(ISBLANK('Q:\Abteilungsprojekte\eng\EngData\AOS\Allgemein\[LabSamples2025.xlsx]Bioplastic'!F599)," ",'Q:\Abteilungsprojekte\eng\EngData\AOS\Allgemein\[LabSamples2025.xlsx]Bioplastic'!F599)</f>
        <v/>
      </c>
      <c r="G599">
        <f>IF(ISBLANK('Q:\Abteilungsprojekte\eng\EngData\AOS\Allgemein\[LabSamples2025.xlsx]Bioplastic'!G599)," ",'Q:\Abteilungsprojekte\eng\EngData\AOS\Allgemein\[LabSamples2025.xlsx]Bioplastic'!G599)</f>
        <v/>
      </c>
      <c r="H599">
        <f>IF(ISBLANK('Q:\Abteilungsprojekte\eng\EngData\AOS\Allgemein\[LabSamples2025.xlsx]Bioplastic'!H599)," ",'Q:\Abteilungsprojekte\eng\EngData\AOS\Allgemein\[LabSamples2025.xlsx]Bioplastic'!H599)</f>
        <v/>
      </c>
    </row>
    <row r="600">
      <c r="A600">
        <f>IF(ISBLANK('Q:\Abteilungsprojekte\eng\EngData\AOS\Allgemein\[LabSamples2025.xlsx]Bioplastic'!A600)," ",'Q:\Abteilungsprojekte\eng\EngData\AOS\Allgemein\[LabSamples2025.xlsx]Bioplastic'!A600)</f>
        <v/>
      </c>
      <c r="B600">
        <f>IF(ISBLANK('Q:\Abteilungsprojekte\eng\EngData\AOS\Allgemein\[LabSamples2025.xlsx]Bioplastic'!B600)," ",'Q:\Abteilungsprojekte\eng\EngData\AOS\Allgemein\[LabSamples2025.xlsx]Bioplastic'!B600)</f>
        <v/>
      </c>
      <c r="C600">
        <f>IF(ISBLANK('Q:\Abteilungsprojekte\eng\EngData\AOS\Allgemein\[LabSamples2025.xlsx]Bioplastic'!C600)," ",'Q:\Abteilungsprojekte\eng\EngData\AOS\Allgemein\[LabSamples2025.xlsx]Bioplastic'!C600)</f>
        <v/>
      </c>
      <c r="D600">
        <f>IF(ISBLANK('Q:\Abteilungsprojekte\eng\EngData\AOS\Allgemein\[LabSamples2025.xlsx]Bioplastic'!D600)," ",'Q:\Abteilungsprojekte\eng\EngData\AOS\Allgemein\[LabSamples2025.xlsx]Bioplastic'!D600)</f>
        <v/>
      </c>
      <c r="E600">
        <f>IF(ISBLANK('Q:\Abteilungsprojekte\eng\EngData\AOS\Allgemein\[LabSamples2025.xlsx]Bioplastic'!E600)," ",'Q:\Abteilungsprojekte\eng\EngData\AOS\Allgemein\[LabSamples2025.xlsx]Bioplastic'!E600)</f>
        <v/>
      </c>
      <c r="F600">
        <f>IF(ISBLANK('Q:\Abteilungsprojekte\eng\EngData\AOS\Allgemein\[LabSamples2025.xlsx]Bioplastic'!F600)," ",'Q:\Abteilungsprojekte\eng\EngData\AOS\Allgemein\[LabSamples2025.xlsx]Bioplastic'!F600)</f>
        <v/>
      </c>
      <c r="G600">
        <f>IF(ISBLANK('Q:\Abteilungsprojekte\eng\EngData\AOS\Allgemein\[LabSamples2025.xlsx]Bioplastic'!G600)," ",'Q:\Abteilungsprojekte\eng\EngData\AOS\Allgemein\[LabSamples2025.xlsx]Bioplastic'!G600)</f>
        <v/>
      </c>
      <c r="H600">
        <f>IF(ISBLANK('Q:\Abteilungsprojekte\eng\EngData\AOS\Allgemein\[LabSamples2025.xlsx]Bioplastic'!H600)," ",'Q:\Abteilungsprojekte\eng\EngData\AOS\Allgemein\[LabSamples2025.xlsx]Bioplastic'!H600)</f>
        <v/>
      </c>
    </row>
    <row r="601">
      <c r="A601">
        <f>IF(ISBLANK('Q:\Abteilungsprojekte\eng\EngData\AOS\Allgemein\[LabSamples2025.xlsx]Bioplastic'!A601)," ",'Q:\Abteilungsprojekte\eng\EngData\AOS\Allgemein\[LabSamples2025.xlsx]Bioplastic'!A601)</f>
        <v/>
      </c>
      <c r="B601">
        <f>IF(ISBLANK('Q:\Abteilungsprojekte\eng\EngData\AOS\Allgemein\[LabSamples2025.xlsx]Bioplastic'!B601)," ",'Q:\Abteilungsprojekte\eng\EngData\AOS\Allgemein\[LabSamples2025.xlsx]Bioplastic'!B601)</f>
        <v/>
      </c>
      <c r="C601">
        <f>IF(ISBLANK('Q:\Abteilungsprojekte\eng\EngData\AOS\Allgemein\[LabSamples2025.xlsx]Bioplastic'!C601)," ",'Q:\Abteilungsprojekte\eng\EngData\AOS\Allgemein\[LabSamples2025.xlsx]Bioplastic'!C601)</f>
        <v/>
      </c>
      <c r="D601">
        <f>IF(ISBLANK('Q:\Abteilungsprojekte\eng\EngData\AOS\Allgemein\[LabSamples2025.xlsx]Bioplastic'!D601)," ",'Q:\Abteilungsprojekte\eng\EngData\AOS\Allgemein\[LabSamples2025.xlsx]Bioplastic'!D601)</f>
        <v/>
      </c>
      <c r="E601">
        <f>IF(ISBLANK('Q:\Abteilungsprojekte\eng\EngData\AOS\Allgemein\[LabSamples2025.xlsx]Bioplastic'!E601)," ",'Q:\Abteilungsprojekte\eng\EngData\AOS\Allgemein\[LabSamples2025.xlsx]Bioplastic'!E601)</f>
        <v/>
      </c>
      <c r="F601">
        <f>IF(ISBLANK('Q:\Abteilungsprojekte\eng\EngData\AOS\Allgemein\[LabSamples2025.xlsx]Bioplastic'!F601)," ",'Q:\Abteilungsprojekte\eng\EngData\AOS\Allgemein\[LabSamples2025.xlsx]Bioplastic'!F601)</f>
        <v/>
      </c>
      <c r="G601">
        <f>IF(ISBLANK('Q:\Abteilungsprojekte\eng\EngData\AOS\Allgemein\[LabSamples2025.xlsx]Bioplastic'!G601)," ",'Q:\Abteilungsprojekte\eng\EngData\AOS\Allgemein\[LabSamples2025.xlsx]Bioplastic'!G601)</f>
        <v/>
      </c>
      <c r="H601">
        <f>IF(ISBLANK('Q:\Abteilungsprojekte\eng\EngData\AOS\Allgemein\[LabSamples2025.xlsx]Bioplastic'!H601)," ",'Q:\Abteilungsprojekte\eng\EngData\AOS\Allgemein\[LabSamples2025.xlsx]Bioplastic'!H601)</f>
        <v/>
      </c>
    </row>
    <row r="602">
      <c r="A602">
        <f>IF(ISBLANK('Q:\Abteilungsprojekte\eng\EngData\AOS\Allgemein\[LabSamples2025.xlsx]Bioplastic'!A602)," ",'Q:\Abteilungsprojekte\eng\EngData\AOS\Allgemein\[LabSamples2025.xlsx]Bioplastic'!A602)</f>
        <v/>
      </c>
      <c r="B602">
        <f>IF(ISBLANK('Q:\Abteilungsprojekte\eng\EngData\AOS\Allgemein\[LabSamples2025.xlsx]Bioplastic'!B602)," ",'Q:\Abteilungsprojekte\eng\EngData\AOS\Allgemein\[LabSamples2025.xlsx]Bioplastic'!B602)</f>
        <v/>
      </c>
      <c r="C602">
        <f>IF(ISBLANK('Q:\Abteilungsprojekte\eng\EngData\AOS\Allgemein\[LabSamples2025.xlsx]Bioplastic'!C602)," ",'Q:\Abteilungsprojekte\eng\EngData\AOS\Allgemein\[LabSamples2025.xlsx]Bioplastic'!C602)</f>
        <v/>
      </c>
      <c r="D602">
        <f>IF(ISBLANK('Q:\Abteilungsprojekte\eng\EngData\AOS\Allgemein\[LabSamples2025.xlsx]Bioplastic'!D602)," ",'Q:\Abteilungsprojekte\eng\EngData\AOS\Allgemein\[LabSamples2025.xlsx]Bioplastic'!D602)</f>
        <v/>
      </c>
      <c r="E602">
        <f>IF(ISBLANK('Q:\Abteilungsprojekte\eng\EngData\AOS\Allgemein\[LabSamples2025.xlsx]Bioplastic'!E602)," ",'Q:\Abteilungsprojekte\eng\EngData\AOS\Allgemein\[LabSamples2025.xlsx]Bioplastic'!E602)</f>
        <v/>
      </c>
      <c r="F602">
        <f>IF(ISBLANK('Q:\Abteilungsprojekte\eng\EngData\AOS\Allgemein\[LabSamples2025.xlsx]Bioplastic'!F602)," ",'Q:\Abteilungsprojekte\eng\EngData\AOS\Allgemein\[LabSamples2025.xlsx]Bioplastic'!F602)</f>
        <v/>
      </c>
      <c r="G602">
        <f>IF(ISBLANK('Q:\Abteilungsprojekte\eng\EngData\AOS\Allgemein\[LabSamples2025.xlsx]Bioplastic'!G602)," ",'Q:\Abteilungsprojekte\eng\EngData\AOS\Allgemein\[LabSamples2025.xlsx]Bioplastic'!G602)</f>
        <v/>
      </c>
      <c r="H602">
        <f>IF(ISBLANK('Q:\Abteilungsprojekte\eng\EngData\AOS\Allgemein\[LabSamples2025.xlsx]Bioplastic'!H602)," ",'Q:\Abteilungsprojekte\eng\EngData\AOS\Allgemein\[LabSamples2025.xlsx]Bioplastic'!H602)</f>
        <v/>
      </c>
    </row>
    <row r="603">
      <c r="A603">
        <f>IF(ISBLANK('Q:\Abteilungsprojekte\eng\EngData\AOS\Allgemein\[LabSamples2025.xlsx]Bioplastic'!A603)," ",'Q:\Abteilungsprojekte\eng\EngData\AOS\Allgemein\[LabSamples2025.xlsx]Bioplastic'!A603)</f>
        <v/>
      </c>
      <c r="B603">
        <f>IF(ISBLANK('Q:\Abteilungsprojekte\eng\EngData\AOS\Allgemein\[LabSamples2025.xlsx]Bioplastic'!B603)," ",'Q:\Abteilungsprojekte\eng\EngData\AOS\Allgemein\[LabSamples2025.xlsx]Bioplastic'!B603)</f>
        <v/>
      </c>
      <c r="C603">
        <f>IF(ISBLANK('Q:\Abteilungsprojekte\eng\EngData\AOS\Allgemein\[LabSamples2025.xlsx]Bioplastic'!C603)," ",'Q:\Abteilungsprojekte\eng\EngData\AOS\Allgemein\[LabSamples2025.xlsx]Bioplastic'!C603)</f>
        <v/>
      </c>
      <c r="D603">
        <f>IF(ISBLANK('Q:\Abteilungsprojekte\eng\EngData\AOS\Allgemein\[LabSamples2025.xlsx]Bioplastic'!D603)," ",'Q:\Abteilungsprojekte\eng\EngData\AOS\Allgemein\[LabSamples2025.xlsx]Bioplastic'!D603)</f>
        <v/>
      </c>
      <c r="E603">
        <f>IF(ISBLANK('Q:\Abteilungsprojekte\eng\EngData\AOS\Allgemein\[LabSamples2025.xlsx]Bioplastic'!E603)," ",'Q:\Abteilungsprojekte\eng\EngData\AOS\Allgemein\[LabSamples2025.xlsx]Bioplastic'!E603)</f>
        <v/>
      </c>
      <c r="F603">
        <f>IF(ISBLANK('Q:\Abteilungsprojekte\eng\EngData\AOS\Allgemein\[LabSamples2025.xlsx]Bioplastic'!F603)," ",'Q:\Abteilungsprojekte\eng\EngData\AOS\Allgemein\[LabSamples2025.xlsx]Bioplastic'!F603)</f>
        <v/>
      </c>
      <c r="G603">
        <f>IF(ISBLANK('Q:\Abteilungsprojekte\eng\EngData\AOS\Allgemein\[LabSamples2025.xlsx]Bioplastic'!G603)," ",'Q:\Abteilungsprojekte\eng\EngData\AOS\Allgemein\[LabSamples2025.xlsx]Bioplastic'!G603)</f>
        <v/>
      </c>
      <c r="H603">
        <f>IF(ISBLANK('Q:\Abteilungsprojekte\eng\EngData\AOS\Allgemein\[LabSamples2025.xlsx]Bioplastic'!H603)," ",'Q:\Abteilungsprojekte\eng\EngData\AOS\Allgemein\[LabSamples2025.xlsx]Bioplastic'!H603)</f>
        <v/>
      </c>
    </row>
    <row r="604">
      <c r="A604">
        <f>IF(ISBLANK('Q:\Abteilungsprojekte\eng\EngData\AOS\Allgemein\[LabSamples2025.xlsx]Bioplastic'!A604)," ",'Q:\Abteilungsprojekte\eng\EngData\AOS\Allgemein\[LabSamples2025.xlsx]Bioplastic'!A604)</f>
        <v/>
      </c>
      <c r="B604">
        <f>IF(ISBLANK('Q:\Abteilungsprojekte\eng\EngData\AOS\Allgemein\[LabSamples2025.xlsx]Bioplastic'!B604)," ",'Q:\Abteilungsprojekte\eng\EngData\AOS\Allgemein\[LabSamples2025.xlsx]Bioplastic'!B604)</f>
        <v/>
      </c>
      <c r="C604">
        <f>IF(ISBLANK('Q:\Abteilungsprojekte\eng\EngData\AOS\Allgemein\[LabSamples2025.xlsx]Bioplastic'!C604)," ",'Q:\Abteilungsprojekte\eng\EngData\AOS\Allgemein\[LabSamples2025.xlsx]Bioplastic'!C604)</f>
        <v/>
      </c>
      <c r="D604">
        <f>IF(ISBLANK('Q:\Abteilungsprojekte\eng\EngData\AOS\Allgemein\[LabSamples2025.xlsx]Bioplastic'!D604)," ",'Q:\Abteilungsprojekte\eng\EngData\AOS\Allgemein\[LabSamples2025.xlsx]Bioplastic'!D604)</f>
        <v/>
      </c>
      <c r="E604">
        <f>IF(ISBLANK('Q:\Abteilungsprojekte\eng\EngData\AOS\Allgemein\[LabSamples2025.xlsx]Bioplastic'!E604)," ",'Q:\Abteilungsprojekte\eng\EngData\AOS\Allgemein\[LabSamples2025.xlsx]Bioplastic'!E604)</f>
        <v/>
      </c>
      <c r="F604">
        <f>IF(ISBLANK('Q:\Abteilungsprojekte\eng\EngData\AOS\Allgemein\[LabSamples2025.xlsx]Bioplastic'!F604)," ",'Q:\Abteilungsprojekte\eng\EngData\AOS\Allgemein\[LabSamples2025.xlsx]Bioplastic'!F604)</f>
        <v/>
      </c>
      <c r="G604">
        <f>IF(ISBLANK('Q:\Abteilungsprojekte\eng\EngData\AOS\Allgemein\[LabSamples2025.xlsx]Bioplastic'!G604)," ",'Q:\Abteilungsprojekte\eng\EngData\AOS\Allgemein\[LabSamples2025.xlsx]Bioplastic'!G604)</f>
        <v/>
      </c>
      <c r="H604">
        <f>IF(ISBLANK('Q:\Abteilungsprojekte\eng\EngData\AOS\Allgemein\[LabSamples2025.xlsx]Bioplastic'!H604)," ",'Q:\Abteilungsprojekte\eng\EngData\AOS\Allgemein\[LabSamples2025.xlsx]Bioplastic'!H604)</f>
        <v/>
      </c>
    </row>
    <row r="605">
      <c r="A605">
        <f>IF(ISBLANK('Q:\Abteilungsprojekte\eng\EngData\AOS\Allgemein\[LabSamples2025.xlsx]Bioplastic'!A605)," ",'Q:\Abteilungsprojekte\eng\EngData\AOS\Allgemein\[LabSamples2025.xlsx]Bioplastic'!A605)</f>
        <v/>
      </c>
      <c r="B605">
        <f>IF(ISBLANK('Q:\Abteilungsprojekte\eng\EngData\AOS\Allgemein\[LabSamples2025.xlsx]Bioplastic'!B605)," ",'Q:\Abteilungsprojekte\eng\EngData\AOS\Allgemein\[LabSamples2025.xlsx]Bioplastic'!B605)</f>
        <v/>
      </c>
      <c r="C605">
        <f>IF(ISBLANK('Q:\Abteilungsprojekte\eng\EngData\AOS\Allgemein\[LabSamples2025.xlsx]Bioplastic'!C605)," ",'Q:\Abteilungsprojekte\eng\EngData\AOS\Allgemein\[LabSamples2025.xlsx]Bioplastic'!C605)</f>
        <v/>
      </c>
      <c r="D605">
        <f>IF(ISBLANK('Q:\Abteilungsprojekte\eng\EngData\AOS\Allgemein\[LabSamples2025.xlsx]Bioplastic'!D605)," ",'Q:\Abteilungsprojekte\eng\EngData\AOS\Allgemein\[LabSamples2025.xlsx]Bioplastic'!D605)</f>
        <v/>
      </c>
      <c r="E605">
        <f>IF(ISBLANK('Q:\Abteilungsprojekte\eng\EngData\AOS\Allgemein\[LabSamples2025.xlsx]Bioplastic'!E605)," ",'Q:\Abteilungsprojekte\eng\EngData\AOS\Allgemein\[LabSamples2025.xlsx]Bioplastic'!E605)</f>
        <v/>
      </c>
      <c r="F605">
        <f>IF(ISBLANK('Q:\Abteilungsprojekte\eng\EngData\AOS\Allgemein\[LabSamples2025.xlsx]Bioplastic'!F605)," ",'Q:\Abteilungsprojekte\eng\EngData\AOS\Allgemein\[LabSamples2025.xlsx]Bioplastic'!F605)</f>
        <v/>
      </c>
      <c r="G605">
        <f>IF(ISBLANK('Q:\Abteilungsprojekte\eng\EngData\AOS\Allgemein\[LabSamples2025.xlsx]Bioplastic'!G605)," ",'Q:\Abteilungsprojekte\eng\EngData\AOS\Allgemein\[LabSamples2025.xlsx]Bioplastic'!G605)</f>
        <v/>
      </c>
      <c r="H605">
        <f>IF(ISBLANK('Q:\Abteilungsprojekte\eng\EngData\AOS\Allgemein\[LabSamples2025.xlsx]Bioplastic'!H605)," ",'Q:\Abteilungsprojekte\eng\EngData\AOS\Allgemein\[LabSamples2025.xlsx]Bioplastic'!H605)</f>
        <v/>
      </c>
    </row>
    <row r="606">
      <c r="A606">
        <f>IF(ISBLANK('Q:\Abteilungsprojekte\eng\EngData\AOS\Allgemein\[LabSamples2025.xlsx]Bioplastic'!A606)," ",'Q:\Abteilungsprojekte\eng\EngData\AOS\Allgemein\[LabSamples2025.xlsx]Bioplastic'!A606)</f>
        <v/>
      </c>
      <c r="B606">
        <f>IF(ISBLANK('Q:\Abteilungsprojekte\eng\EngData\AOS\Allgemein\[LabSamples2025.xlsx]Bioplastic'!B606)," ",'Q:\Abteilungsprojekte\eng\EngData\AOS\Allgemein\[LabSamples2025.xlsx]Bioplastic'!B606)</f>
        <v/>
      </c>
      <c r="C606">
        <f>IF(ISBLANK('Q:\Abteilungsprojekte\eng\EngData\AOS\Allgemein\[LabSamples2025.xlsx]Bioplastic'!C606)," ",'Q:\Abteilungsprojekte\eng\EngData\AOS\Allgemein\[LabSamples2025.xlsx]Bioplastic'!C606)</f>
        <v/>
      </c>
      <c r="D606">
        <f>IF(ISBLANK('Q:\Abteilungsprojekte\eng\EngData\AOS\Allgemein\[LabSamples2025.xlsx]Bioplastic'!D606)," ",'Q:\Abteilungsprojekte\eng\EngData\AOS\Allgemein\[LabSamples2025.xlsx]Bioplastic'!D606)</f>
        <v/>
      </c>
      <c r="E606">
        <f>IF(ISBLANK('Q:\Abteilungsprojekte\eng\EngData\AOS\Allgemein\[LabSamples2025.xlsx]Bioplastic'!E606)," ",'Q:\Abteilungsprojekte\eng\EngData\AOS\Allgemein\[LabSamples2025.xlsx]Bioplastic'!E606)</f>
        <v/>
      </c>
      <c r="F606">
        <f>IF(ISBLANK('Q:\Abteilungsprojekte\eng\EngData\AOS\Allgemein\[LabSamples2025.xlsx]Bioplastic'!F606)," ",'Q:\Abteilungsprojekte\eng\EngData\AOS\Allgemein\[LabSamples2025.xlsx]Bioplastic'!F606)</f>
        <v/>
      </c>
      <c r="G606">
        <f>IF(ISBLANK('Q:\Abteilungsprojekte\eng\EngData\AOS\Allgemein\[LabSamples2025.xlsx]Bioplastic'!G606)," ",'Q:\Abteilungsprojekte\eng\EngData\AOS\Allgemein\[LabSamples2025.xlsx]Bioplastic'!G606)</f>
        <v/>
      </c>
      <c r="H606">
        <f>IF(ISBLANK('Q:\Abteilungsprojekte\eng\EngData\AOS\Allgemein\[LabSamples2025.xlsx]Bioplastic'!H606)," ",'Q:\Abteilungsprojekte\eng\EngData\AOS\Allgemein\[LabSamples2025.xlsx]Bioplastic'!H606)</f>
        <v/>
      </c>
    </row>
    <row r="607">
      <c r="A607">
        <f>IF(ISBLANK('Q:\Abteilungsprojekte\eng\EngData\AOS\Allgemein\[LabSamples2025.xlsx]Bioplastic'!A607)," ",'Q:\Abteilungsprojekte\eng\EngData\AOS\Allgemein\[LabSamples2025.xlsx]Bioplastic'!A607)</f>
        <v/>
      </c>
      <c r="B607">
        <f>IF(ISBLANK('Q:\Abteilungsprojekte\eng\EngData\AOS\Allgemein\[LabSamples2025.xlsx]Bioplastic'!B607)," ",'Q:\Abteilungsprojekte\eng\EngData\AOS\Allgemein\[LabSamples2025.xlsx]Bioplastic'!B607)</f>
        <v/>
      </c>
      <c r="C607">
        <f>IF(ISBLANK('Q:\Abteilungsprojekte\eng\EngData\AOS\Allgemein\[LabSamples2025.xlsx]Bioplastic'!C607)," ",'Q:\Abteilungsprojekte\eng\EngData\AOS\Allgemein\[LabSamples2025.xlsx]Bioplastic'!C607)</f>
        <v/>
      </c>
      <c r="D607">
        <f>IF(ISBLANK('Q:\Abteilungsprojekte\eng\EngData\AOS\Allgemein\[LabSamples2025.xlsx]Bioplastic'!D607)," ",'Q:\Abteilungsprojekte\eng\EngData\AOS\Allgemein\[LabSamples2025.xlsx]Bioplastic'!D607)</f>
        <v/>
      </c>
      <c r="E607">
        <f>IF(ISBLANK('Q:\Abteilungsprojekte\eng\EngData\AOS\Allgemein\[LabSamples2025.xlsx]Bioplastic'!E607)," ",'Q:\Abteilungsprojekte\eng\EngData\AOS\Allgemein\[LabSamples2025.xlsx]Bioplastic'!E607)</f>
        <v/>
      </c>
      <c r="F607">
        <f>IF(ISBLANK('Q:\Abteilungsprojekte\eng\EngData\AOS\Allgemein\[LabSamples2025.xlsx]Bioplastic'!F607)," ",'Q:\Abteilungsprojekte\eng\EngData\AOS\Allgemein\[LabSamples2025.xlsx]Bioplastic'!F607)</f>
        <v/>
      </c>
      <c r="G607">
        <f>IF(ISBLANK('Q:\Abteilungsprojekte\eng\EngData\AOS\Allgemein\[LabSamples2025.xlsx]Bioplastic'!G607)," ",'Q:\Abteilungsprojekte\eng\EngData\AOS\Allgemein\[LabSamples2025.xlsx]Bioplastic'!G607)</f>
        <v/>
      </c>
      <c r="H607">
        <f>IF(ISBLANK('Q:\Abteilungsprojekte\eng\EngData\AOS\Allgemein\[LabSamples2025.xlsx]Bioplastic'!H607)," ",'Q:\Abteilungsprojekte\eng\EngData\AOS\Allgemein\[LabSamples2025.xlsx]Bioplastic'!H607)</f>
        <v/>
      </c>
    </row>
    <row r="608">
      <c r="A608">
        <f>IF(ISBLANK('Q:\Abteilungsprojekte\eng\EngData\AOS\Allgemein\[LabSamples2025.xlsx]Bioplastic'!A608)," ",'Q:\Abteilungsprojekte\eng\EngData\AOS\Allgemein\[LabSamples2025.xlsx]Bioplastic'!A608)</f>
        <v/>
      </c>
      <c r="B608">
        <f>IF(ISBLANK('Q:\Abteilungsprojekte\eng\EngData\AOS\Allgemein\[LabSamples2025.xlsx]Bioplastic'!B608)," ",'Q:\Abteilungsprojekte\eng\EngData\AOS\Allgemein\[LabSamples2025.xlsx]Bioplastic'!B608)</f>
        <v/>
      </c>
      <c r="C608">
        <f>IF(ISBLANK('Q:\Abteilungsprojekte\eng\EngData\AOS\Allgemein\[LabSamples2025.xlsx]Bioplastic'!C608)," ",'Q:\Abteilungsprojekte\eng\EngData\AOS\Allgemein\[LabSamples2025.xlsx]Bioplastic'!C608)</f>
        <v/>
      </c>
      <c r="D608">
        <f>IF(ISBLANK('Q:\Abteilungsprojekte\eng\EngData\AOS\Allgemein\[LabSamples2025.xlsx]Bioplastic'!D608)," ",'Q:\Abteilungsprojekte\eng\EngData\AOS\Allgemein\[LabSamples2025.xlsx]Bioplastic'!D608)</f>
        <v/>
      </c>
      <c r="E608">
        <f>IF(ISBLANK('Q:\Abteilungsprojekte\eng\EngData\AOS\Allgemein\[LabSamples2025.xlsx]Bioplastic'!E608)," ",'Q:\Abteilungsprojekte\eng\EngData\AOS\Allgemein\[LabSamples2025.xlsx]Bioplastic'!E608)</f>
        <v/>
      </c>
      <c r="F608">
        <f>IF(ISBLANK('Q:\Abteilungsprojekte\eng\EngData\AOS\Allgemein\[LabSamples2025.xlsx]Bioplastic'!F608)," ",'Q:\Abteilungsprojekte\eng\EngData\AOS\Allgemein\[LabSamples2025.xlsx]Bioplastic'!F608)</f>
        <v/>
      </c>
      <c r="G608">
        <f>IF(ISBLANK('Q:\Abteilungsprojekte\eng\EngData\AOS\Allgemein\[LabSamples2025.xlsx]Bioplastic'!G608)," ",'Q:\Abteilungsprojekte\eng\EngData\AOS\Allgemein\[LabSamples2025.xlsx]Bioplastic'!G608)</f>
        <v/>
      </c>
      <c r="H608">
        <f>IF(ISBLANK('Q:\Abteilungsprojekte\eng\EngData\AOS\Allgemein\[LabSamples2025.xlsx]Bioplastic'!H608)," ",'Q:\Abteilungsprojekte\eng\EngData\AOS\Allgemein\[LabSamples2025.xlsx]Bioplastic'!H608)</f>
        <v/>
      </c>
    </row>
    <row r="609">
      <c r="A609">
        <f>IF(ISBLANK('Q:\Abteilungsprojekte\eng\EngData\AOS\Allgemein\[LabSamples2025.xlsx]Bioplastic'!A609)," ",'Q:\Abteilungsprojekte\eng\EngData\AOS\Allgemein\[LabSamples2025.xlsx]Bioplastic'!A609)</f>
        <v/>
      </c>
      <c r="B609">
        <f>IF(ISBLANK('Q:\Abteilungsprojekte\eng\EngData\AOS\Allgemein\[LabSamples2025.xlsx]Bioplastic'!B609)," ",'Q:\Abteilungsprojekte\eng\EngData\AOS\Allgemein\[LabSamples2025.xlsx]Bioplastic'!B609)</f>
        <v/>
      </c>
      <c r="C609">
        <f>IF(ISBLANK('Q:\Abteilungsprojekte\eng\EngData\AOS\Allgemein\[LabSamples2025.xlsx]Bioplastic'!C609)," ",'Q:\Abteilungsprojekte\eng\EngData\AOS\Allgemein\[LabSamples2025.xlsx]Bioplastic'!C609)</f>
        <v/>
      </c>
      <c r="D609">
        <f>IF(ISBLANK('Q:\Abteilungsprojekte\eng\EngData\AOS\Allgemein\[LabSamples2025.xlsx]Bioplastic'!D609)," ",'Q:\Abteilungsprojekte\eng\EngData\AOS\Allgemein\[LabSamples2025.xlsx]Bioplastic'!D609)</f>
        <v/>
      </c>
      <c r="E609">
        <f>IF(ISBLANK('Q:\Abteilungsprojekte\eng\EngData\AOS\Allgemein\[LabSamples2025.xlsx]Bioplastic'!E609)," ",'Q:\Abteilungsprojekte\eng\EngData\AOS\Allgemein\[LabSamples2025.xlsx]Bioplastic'!E609)</f>
        <v/>
      </c>
      <c r="F609">
        <f>IF(ISBLANK('Q:\Abteilungsprojekte\eng\EngData\AOS\Allgemein\[LabSamples2025.xlsx]Bioplastic'!F609)," ",'Q:\Abteilungsprojekte\eng\EngData\AOS\Allgemein\[LabSamples2025.xlsx]Bioplastic'!F609)</f>
        <v/>
      </c>
      <c r="G609">
        <f>IF(ISBLANK('Q:\Abteilungsprojekte\eng\EngData\AOS\Allgemein\[LabSamples2025.xlsx]Bioplastic'!G609)," ",'Q:\Abteilungsprojekte\eng\EngData\AOS\Allgemein\[LabSamples2025.xlsx]Bioplastic'!G609)</f>
        <v/>
      </c>
      <c r="H609">
        <f>IF(ISBLANK('Q:\Abteilungsprojekte\eng\EngData\AOS\Allgemein\[LabSamples2025.xlsx]Bioplastic'!H609)," ",'Q:\Abteilungsprojekte\eng\EngData\AOS\Allgemein\[LabSamples2025.xlsx]Bioplastic'!H609)</f>
        <v/>
      </c>
    </row>
    <row r="610">
      <c r="A610">
        <f>IF(ISBLANK('Q:\Abteilungsprojekte\eng\EngData\AOS\Allgemein\[LabSamples2025.xlsx]Bioplastic'!A610)," ",'Q:\Abteilungsprojekte\eng\EngData\AOS\Allgemein\[LabSamples2025.xlsx]Bioplastic'!A610)</f>
        <v/>
      </c>
      <c r="B610">
        <f>IF(ISBLANK('Q:\Abteilungsprojekte\eng\EngData\AOS\Allgemein\[LabSamples2025.xlsx]Bioplastic'!B610)," ",'Q:\Abteilungsprojekte\eng\EngData\AOS\Allgemein\[LabSamples2025.xlsx]Bioplastic'!B610)</f>
        <v/>
      </c>
      <c r="C610">
        <f>IF(ISBLANK('Q:\Abteilungsprojekte\eng\EngData\AOS\Allgemein\[LabSamples2025.xlsx]Bioplastic'!C610)," ",'Q:\Abteilungsprojekte\eng\EngData\AOS\Allgemein\[LabSamples2025.xlsx]Bioplastic'!C610)</f>
        <v/>
      </c>
      <c r="D610">
        <f>IF(ISBLANK('Q:\Abteilungsprojekte\eng\EngData\AOS\Allgemein\[LabSamples2025.xlsx]Bioplastic'!D610)," ",'Q:\Abteilungsprojekte\eng\EngData\AOS\Allgemein\[LabSamples2025.xlsx]Bioplastic'!D610)</f>
        <v/>
      </c>
      <c r="E610">
        <f>IF(ISBLANK('Q:\Abteilungsprojekte\eng\EngData\AOS\Allgemein\[LabSamples2025.xlsx]Bioplastic'!E610)," ",'Q:\Abteilungsprojekte\eng\EngData\AOS\Allgemein\[LabSamples2025.xlsx]Bioplastic'!E610)</f>
        <v/>
      </c>
      <c r="F610">
        <f>IF(ISBLANK('Q:\Abteilungsprojekte\eng\EngData\AOS\Allgemein\[LabSamples2025.xlsx]Bioplastic'!F610)," ",'Q:\Abteilungsprojekte\eng\EngData\AOS\Allgemein\[LabSamples2025.xlsx]Bioplastic'!F610)</f>
        <v/>
      </c>
      <c r="G610">
        <f>IF(ISBLANK('Q:\Abteilungsprojekte\eng\EngData\AOS\Allgemein\[LabSamples2025.xlsx]Bioplastic'!G610)," ",'Q:\Abteilungsprojekte\eng\EngData\AOS\Allgemein\[LabSamples2025.xlsx]Bioplastic'!G610)</f>
        <v/>
      </c>
      <c r="H610">
        <f>IF(ISBLANK('Q:\Abteilungsprojekte\eng\EngData\AOS\Allgemein\[LabSamples2025.xlsx]Bioplastic'!H610)," ",'Q:\Abteilungsprojekte\eng\EngData\AOS\Allgemein\[LabSamples2025.xlsx]Bioplastic'!H610)</f>
        <v/>
      </c>
    </row>
    <row r="611">
      <c r="A611">
        <f>IF(ISBLANK('Q:\Abteilungsprojekte\eng\EngData\AOS\Allgemein\[LabSamples2025.xlsx]Bioplastic'!A611)," ",'Q:\Abteilungsprojekte\eng\EngData\AOS\Allgemein\[LabSamples2025.xlsx]Bioplastic'!A611)</f>
        <v/>
      </c>
      <c r="B611">
        <f>IF(ISBLANK('Q:\Abteilungsprojekte\eng\EngData\AOS\Allgemein\[LabSamples2025.xlsx]Bioplastic'!B611)," ",'Q:\Abteilungsprojekte\eng\EngData\AOS\Allgemein\[LabSamples2025.xlsx]Bioplastic'!B611)</f>
        <v/>
      </c>
      <c r="C611">
        <f>IF(ISBLANK('Q:\Abteilungsprojekte\eng\EngData\AOS\Allgemein\[LabSamples2025.xlsx]Bioplastic'!C611)," ",'Q:\Abteilungsprojekte\eng\EngData\AOS\Allgemein\[LabSamples2025.xlsx]Bioplastic'!C611)</f>
        <v/>
      </c>
      <c r="D611">
        <f>IF(ISBLANK('Q:\Abteilungsprojekte\eng\EngData\AOS\Allgemein\[LabSamples2025.xlsx]Bioplastic'!D611)," ",'Q:\Abteilungsprojekte\eng\EngData\AOS\Allgemein\[LabSamples2025.xlsx]Bioplastic'!D611)</f>
        <v/>
      </c>
      <c r="E611">
        <f>IF(ISBLANK('Q:\Abteilungsprojekte\eng\EngData\AOS\Allgemein\[LabSamples2025.xlsx]Bioplastic'!E611)," ",'Q:\Abteilungsprojekte\eng\EngData\AOS\Allgemein\[LabSamples2025.xlsx]Bioplastic'!E611)</f>
        <v/>
      </c>
      <c r="F611">
        <f>IF(ISBLANK('Q:\Abteilungsprojekte\eng\EngData\AOS\Allgemein\[LabSamples2025.xlsx]Bioplastic'!F611)," ",'Q:\Abteilungsprojekte\eng\EngData\AOS\Allgemein\[LabSamples2025.xlsx]Bioplastic'!F611)</f>
        <v/>
      </c>
      <c r="G611">
        <f>IF(ISBLANK('Q:\Abteilungsprojekte\eng\EngData\AOS\Allgemein\[LabSamples2025.xlsx]Bioplastic'!G611)," ",'Q:\Abteilungsprojekte\eng\EngData\AOS\Allgemein\[LabSamples2025.xlsx]Bioplastic'!G611)</f>
        <v/>
      </c>
      <c r="H611">
        <f>IF(ISBLANK('Q:\Abteilungsprojekte\eng\EngData\AOS\Allgemein\[LabSamples2025.xlsx]Bioplastic'!H611)," ",'Q:\Abteilungsprojekte\eng\EngData\AOS\Allgemein\[LabSamples2025.xlsx]Bioplastic'!H611)</f>
        <v/>
      </c>
    </row>
    <row r="612">
      <c r="A612">
        <f>IF(ISBLANK('Q:\Abteilungsprojekte\eng\EngData\AOS\Allgemein\[LabSamples2025.xlsx]Bioplastic'!A612)," ",'Q:\Abteilungsprojekte\eng\EngData\AOS\Allgemein\[LabSamples2025.xlsx]Bioplastic'!A612)</f>
        <v/>
      </c>
      <c r="B612">
        <f>IF(ISBLANK('Q:\Abteilungsprojekte\eng\EngData\AOS\Allgemein\[LabSamples2025.xlsx]Bioplastic'!B612)," ",'Q:\Abteilungsprojekte\eng\EngData\AOS\Allgemein\[LabSamples2025.xlsx]Bioplastic'!B612)</f>
        <v/>
      </c>
      <c r="C612">
        <f>IF(ISBLANK('Q:\Abteilungsprojekte\eng\EngData\AOS\Allgemein\[LabSamples2025.xlsx]Bioplastic'!C612)," ",'Q:\Abteilungsprojekte\eng\EngData\AOS\Allgemein\[LabSamples2025.xlsx]Bioplastic'!C612)</f>
        <v/>
      </c>
      <c r="D612">
        <f>IF(ISBLANK('Q:\Abteilungsprojekte\eng\EngData\AOS\Allgemein\[LabSamples2025.xlsx]Bioplastic'!D612)," ",'Q:\Abteilungsprojekte\eng\EngData\AOS\Allgemein\[LabSamples2025.xlsx]Bioplastic'!D612)</f>
        <v/>
      </c>
      <c r="E612">
        <f>IF(ISBLANK('Q:\Abteilungsprojekte\eng\EngData\AOS\Allgemein\[LabSamples2025.xlsx]Bioplastic'!E612)," ",'Q:\Abteilungsprojekte\eng\EngData\AOS\Allgemein\[LabSamples2025.xlsx]Bioplastic'!E612)</f>
        <v/>
      </c>
      <c r="F612">
        <f>IF(ISBLANK('Q:\Abteilungsprojekte\eng\EngData\AOS\Allgemein\[LabSamples2025.xlsx]Bioplastic'!F612)," ",'Q:\Abteilungsprojekte\eng\EngData\AOS\Allgemein\[LabSamples2025.xlsx]Bioplastic'!F612)</f>
        <v/>
      </c>
      <c r="G612">
        <f>IF(ISBLANK('Q:\Abteilungsprojekte\eng\EngData\AOS\Allgemein\[LabSamples2025.xlsx]Bioplastic'!G612)," ",'Q:\Abteilungsprojekte\eng\EngData\AOS\Allgemein\[LabSamples2025.xlsx]Bioplastic'!G612)</f>
        <v/>
      </c>
      <c r="H612">
        <f>IF(ISBLANK('Q:\Abteilungsprojekte\eng\EngData\AOS\Allgemein\[LabSamples2025.xlsx]Bioplastic'!H612)," ",'Q:\Abteilungsprojekte\eng\EngData\AOS\Allgemein\[LabSamples2025.xlsx]Bioplastic'!H612)</f>
        <v/>
      </c>
    </row>
    <row r="613">
      <c r="A613">
        <f>IF(ISBLANK('Q:\Abteilungsprojekte\eng\EngData\AOS\Allgemein\[LabSamples2025.xlsx]Bioplastic'!A613)," ",'Q:\Abteilungsprojekte\eng\EngData\AOS\Allgemein\[LabSamples2025.xlsx]Bioplastic'!A613)</f>
        <v/>
      </c>
      <c r="B613">
        <f>IF(ISBLANK('Q:\Abteilungsprojekte\eng\EngData\AOS\Allgemein\[LabSamples2025.xlsx]Bioplastic'!B613)," ",'Q:\Abteilungsprojekte\eng\EngData\AOS\Allgemein\[LabSamples2025.xlsx]Bioplastic'!B613)</f>
        <v/>
      </c>
      <c r="C613">
        <f>IF(ISBLANK('Q:\Abteilungsprojekte\eng\EngData\AOS\Allgemein\[LabSamples2025.xlsx]Bioplastic'!C613)," ",'Q:\Abteilungsprojekte\eng\EngData\AOS\Allgemein\[LabSamples2025.xlsx]Bioplastic'!C613)</f>
        <v/>
      </c>
      <c r="D613">
        <f>IF(ISBLANK('Q:\Abteilungsprojekte\eng\EngData\AOS\Allgemein\[LabSamples2025.xlsx]Bioplastic'!D613)," ",'Q:\Abteilungsprojekte\eng\EngData\AOS\Allgemein\[LabSamples2025.xlsx]Bioplastic'!D613)</f>
        <v/>
      </c>
      <c r="E613">
        <f>IF(ISBLANK('Q:\Abteilungsprojekte\eng\EngData\AOS\Allgemein\[LabSamples2025.xlsx]Bioplastic'!E613)," ",'Q:\Abteilungsprojekte\eng\EngData\AOS\Allgemein\[LabSamples2025.xlsx]Bioplastic'!E613)</f>
        <v/>
      </c>
      <c r="F613">
        <f>IF(ISBLANK('Q:\Abteilungsprojekte\eng\EngData\AOS\Allgemein\[LabSamples2025.xlsx]Bioplastic'!F613)," ",'Q:\Abteilungsprojekte\eng\EngData\AOS\Allgemein\[LabSamples2025.xlsx]Bioplastic'!F613)</f>
        <v/>
      </c>
      <c r="G613">
        <f>IF(ISBLANK('Q:\Abteilungsprojekte\eng\EngData\AOS\Allgemein\[LabSamples2025.xlsx]Bioplastic'!G613)," ",'Q:\Abteilungsprojekte\eng\EngData\AOS\Allgemein\[LabSamples2025.xlsx]Bioplastic'!G613)</f>
        <v/>
      </c>
      <c r="H613">
        <f>IF(ISBLANK('Q:\Abteilungsprojekte\eng\EngData\AOS\Allgemein\[LabSamples2025.xlsx]Bioplastic'!H613)," ",'Q:\Abteilungsprojekte\eng\EngData\AOS\Allgemein\[LabSamples2025.xlsx]Bioplastic'!H613)</f>
        <v/>
      </c>
    </row>
    <row r="614">
      <c r="A614">
        <f>IF(ISBLANK('Q:\Abteilungsprojekte\eng\EngData\AOS\Allgemein\[LabSamples2025.xlsx]Bioplastic'!A614)," ",'Q:\Abteilungsprojekte\eng\EngData\AOS\Allgemein\[LabSamples2025.xlsx]Bioplastic'!A614)</f>
        <v/>
      </c>
      <c r="B614">
        <f>IF(ISBLANK('Q:\Abteilungsprojekte\eng\EngData\AOS\Allgemein\[LabSamples2025.xlsx]Bioplastic'!B614)," ",'Q:\Abteilungsprojekte\eng\EngData\AOS\Allgemein\[LabSamples2025.xlsx]Bioplastic'!B614)</f>
        <v/>
      </c>
      <c r="C614">
        <f>IF(ISBLANK('Q:\Abteilungsprojekte\eng\EngData\AOS\Allgemein\[LabSamples2025.xlsx]Bioplastic'!C614)," ",'Q:\Abteilungsprojekte\eng\EngData\AOS\Allgemein\[LabSamples2025.xlsx]Bioplastic'!C614)</f>
        <v/>
      </c>
      <c r="D614">
        <f>IF(ISBLANK('Q:\Abteilungsprojekte\eng\EngData\AOS\Allgemein\[LabSamples2025.xlsx]Bioplastic'!D614)," ",'Q:\Abteilungsprojekte\eng\EngData\AOS\Allgemein\[LabSamples2025.xlsx]Bioplastic'!D614)</f>
        <v/>
      </c>
      <c r="E614">
        <f>IF(ISBLANK('Q:\Abteilungsprojekte\eng\EngData\AOS\Allgemein\[LabSamples2025.xlsx]Bioplastic'!E614)," ",'Q:\Abteilungsprojekte\eng\EngData\AOS\Allgemein\[LabSamples2025.xlsx]Bioplastic'!E614)</f>
        <v/>
      </c>
      <c r="F614">
        <f>IF(ISBLANK('Q:\Abteilungsprojekte\eng\EngData\AOS\Allgemein\[LabSamples2025.xlsx]Bioplastic'!F614)," ",'Q:\Abteilungsprojekte\eng\EngData\AOS\Allgemein\[LabSamples2025.xlsx]Bioplastic'!F614)</f>
        <v/>
      </c>
      <c r="G614">
        <f>IF(ISBLANK('Q:\Abteilungsprojekte\eng\EngData\AOS\Allgemein\[LabSamples2025.xlsx]Bioplastic'!G614)," ",'Q:\Abteilungsprojekte\eng\EngData\AOS\Allgemein\[LabSamples2025.xlsx]Bioplastic'!G614)</f>
        <v/>
      </c>
      <c r="H614">
        <f>IF(ISBLANK('Q:\Abteilungsprojekte\eng\EngData\AOS\Allgemein\[LabSamples2025.xlsx]Bioplastic'!H614)," ",'Q:\Abteilungsprojekte\eng\EngData\AOS\Allgemein\[LabSamples2025.xlsx]Bioplastic'!H614)</f>
        <v/>
      </c>
    </row>
    <row r="615">
      <c r="A615">
        <f>IF(ISBLANK('Q:\Abteilungsprojekte\eng\EngData\AOS\Allgemein\[LabSamples2025.xlsx]Bioplastic'!A615)," ",'Q:\Abteilungsprojekte\eng\EngData\AOS\Allgemein\[LabSamples2025.xlsx]Bioplastic'!A615)</f>
        <v/>
      </c>
      <c r="B615">
        <f>IF(ISBLANK('Q:\Abteilungsprojekte\eng\EngData\AOS\Allgemein\[LabSamples2025.xlsx]Bioplastic'!B615)," ",'Q:\Abteilungsprojekte\eng\EngData\AOS\Allgemein\[LabSamples2025.xlsx]Bioplastic'!B615)</f>
        <v/>
      </c>
      <c r="C615">
        <f>IF(ISBLANK('Q:\Abteilungsprojekte\eng\EngData\AOS\Allgemein\[LabSamples2025.xlsx]Bioplastic'!C615)," ",'Q:\Abteilungsprojekte\eng\EngData\AOS\Allgemein\[LabSamples2025.xlsx]Bioplastic'!C615)</f>
        <v/>
      </c>
      <c r="D615">
        <f>IF(ISBLANK('Q:\Abteilungsprojekte\eng\EngData\AOS\Allgemein\[LabSamples2025.xlsx]Bioplastic'!D615)," ",'Q:\Abteilungsprojekte\eng\EngData\AOS\Allgemein\[LabSamples2025.xlsx]Bioplastic'!D615)</f>
        <v/>
      </c>
      <c r="E615">
        <f>IF(ISBLANK('Q:\Abteilungsprojekte\eng\EngData\AOS\Allgemein\[LabSamples2025.xlsx]Bioplastic'!E615)," ",'Q:\Abteilungsprojekte\eng\EngData\AOS\Allgemein\[LabSamples2025.xlsx]Bioplastic'!E615)</f>
        <v/>
      </c>
      <c r="F615">
        <f>IF(ISBLANK('Q:\Abteilungsprojekte\eng\EngData\AOS\Allgemein\[LabSamples2025.xlsx]Bioplastic'!F615)," ",'Q:\Abteilungsprojekte\eng\EngData\AOS\Allgemein\[LabSamples2025.xlsx]Bioplastic'!F615)</f>
        <v/>
      </c>
      <c r="G615">
        <f>IF(ISBLANK('Q:\Abteilungsprojekte\eng\EngData\AOS\Allgemein\[LabSamples2025.xlsx]Bioplastic'!G615)," ",'Q:\Abteilungsprojekte\eng\EngData\AOS\Allgemein\[LabSamples2025.xlsx]Bioplastic'!G615)</f>
        <v/>
      </c>
      <c r="H615">
        <f>IF(ISBLANK('Q:\Abteilungsprojekte\eng\EngData\AOS\Allgemein\[LabSamples2025.xlsx]Bioplastic'!H615)," ",'Q:\Abteilungsprojekte\eng\EngData\AOS\Allgemein\[LabSamples2025.xlsx]Bioplastic'!H615)</f>
        <v/>
      </c>
    </row>
    <row r="616">
      <c r="A616">
        <f>IF(ISBLANK('Q:\Abteilungsprojekte\eng\EngData\AOS\Allgemein\[LabSamples2025.xlsx]Bioplastic'!A616)," ",'Q:\Abteilungsprojekte\eng\EngData\AOS\Allgemein\[LabSamples2025.xlsx]Bioplastic'!A616)</f>
        <v/>
      </c>
      <c r="B616">
        <f>IF(ISBLANK('Q:\Abteilungsprojekte\eng\EngData\AOS\Allgemein\[LabSamples2025.xlsx]Bioplastic'!B616)," ",'Q:\Abteilungsprojekte\eng\EngData\AOS\Allgemein\[LabSamples2025.xlsx]Bioplastic'!B616)</f>
        <v/>
      </c>
      <c r="C616">
        <f>IF(ISBLANK('Q:\Abteilungsprojekte\eng\EngData\AOS\Allgemein\[LabSamples2025.xlsx]Bioplastic'!C616)," ",'Q:\Abteilungsprojekte\eng\EngData\AOS\Allgemein\[LabSamples2025.xlsx]Bioplastic'!C616)</f>
        <v/>
      </c>
      <c r="D616">
        <f>IF(ISBLANK('Q:\Abteilungsprojekte\eng\EngData\AOS\Allgemein\[LabSamples2025.xlsx]Bioplastic'!D616)," ",'Q:\Abteilungsprojekte\eng\EngData\AOS\Allgemein\[LabSamples2025.xlsx]Bioplastic'!D616)</f>
        <v/>
      </c>
      <c r="E616">
        <f>IF(ISBLANK('Q:\Abteilungsprojekte\eng\EngData\AOS\Allgemein\[LabSamples2025.xlsx]Bioplastic'!E616)," ",'Q:\Abteilungsprojekte\eng\EngData\AOS\Allgemein\[LabSamples2025.xlsx]Bioplastic'!E616)</f>
        <v/>
      </c>
      <c r="F616">
        <f>IF(ISBLANK('Q:\Abteilungsprojekte\eng\EngData\AOS\Allgemein\[LabSamples2025.xlsx]Bioplastic'!F616)," ",'Q:\Abteilungsprojekte\eng\EngData\AOS\Allgemein\[LabSamples2025.xlsx]Bioplastic'!F616)</f>
        <v/>
      </c>
      <c r="G616">
        <f>IF(ISBLANK('Q:\Abteilungsprojekte\eng\EngData\AOS\Allgemein\[LabSamples2025.xlsx]Bioplastic'!G616)," ",'Q:\Abteilungsprojekte\eng\EngData\AOS\Allgemein\[LabSamples2025.xlsx]Bioplastic'!G616)</f>
        <v/>
      </c>
      <c r="H616">
        <f>IF(ISBLANK('Q:\Abteilungsprojekte\eng\EngData\AOS\Allgemein\[LabSamples2025.xlsx]Bioplastic'!H616)," ",'Q:\Abteilungsprojekte\eng\EngData\AOS\Allgemein\[LabSamples2025.xlsx]Bioplastic'!H616)</f>
        <v/>
      </c>
    </row>
    <row r="617">
      <c r="A617">
        <f>IF(ISBLANK('Q:\Abteilungsprojekte\eng\EngData\AOS\Allgemein\[LabSamples2025.xlsx]Bioplastic'!A617)," ",'Q:\Abteilungsprojekte\eng\EngData\AOS\Allgemein\[LabSamples2025.xlsx]Bioplastic'!A617)</f>
        <v/>
      </c>
      <c r="B617">
        <f>IF(ISBLANK('Q:\Abteilungsprojekte\eng\EngData\AOS\Allgemein\[LabSamples2025.xlsx]Bioplastic'!B617)," ",'Q:\Abteilungsprojekte\eng\EngData\AOS\Allgemein\[LabSamples2025.xlsx]Bioplastic'!B617)</f>
        <v/>
      </c>
      <c r="C617">
        <f>IF(ISBLANK('Q:\Abteilungsprojekte\eng\EngData\AOS\Allgemein\[LabSamples2025.xlsx]Bioplastic'!C617)," ",'Q:\Abteilungsprojekte\eng\EngData\AOS\Allgemein\[LabSamples2025.xlsx]Bioplastic'!C617)</f>
        <v/>
      </c>
      <c r="D617">
        <f>IF(ISBLANK('Q:\Abteilungsprojekte\eng\EngData\AOS\Allgemein\[LabSamples2025.xlsx]Bioplastic'!D617)," ",'Q:\Abteilungsprojekte\eng\EngData\AOS\Allgemein\[LabSamples2025.xlsx]Bioplastic'!D617)</f>
        <v/>
      </c>
      <c r="E617">
        <f>IF(ISBLANK('Q:\Abteilungsprojekte\eng\EngData\AOS\Allgemein\[LabSamples2025.xlsx]Bioplastic'!E617)," ",'Q:\Abteilungsprojekte\eng\EngData\AOS\Allgemein\[LabSamples2025.xlsx]Bioplastic'!E617)</f>
        <v/>
      </c>
      <c r="F617">
        <f>IF(ISBLANK('Q:\Abteilungsprojekte\eng\EngData\AOS\Allgemein\[LabSamples2025.xlsx]Bioplastic'!F617)," ",'Q:\Abteilungsprojekte\eng\EngData\AOS\Allgemein\[LabSamples2025.xlsx]Bioplastic'!F617)</f>
        <v/>
      </c>
      <c r="G617">
        <f>IF(ISBLANK('Q:\Abteilungsprojekte\eng\EngData\AOS\Allgemein\[LabSamples2025.xlsx]Bioplastic'!G617)," ",'Q:\Abteilungsprojekte\eng\EngData\AOS\Allgemein\[LabSamples2025.xlsx]Bioplastic'!G617)</f>
        <v/>
      </c>
      <c r="H617">
        <f>IF(ISBLANK('Q:\Abteilungsprojekte\eng\EngData\AOS\Allgemein\[LabSamples2025.xlsx]Bioplastic'!H617)," ",'Q:\Abteilungsprojekte\eng\EngData\AOS\Allgemein\[LabSamples2025.xlsx]Bioplastic'!H617)</f>
        <v/>
      </c>
    </row>
    <row r="618">
      <c r="A618">
        <f>IF(ISBLANK('Q:\Abteilungsprojekte\eng\EngData\AOS\Allgemein\[LabSamples2025.xlsx]Bioplastic'!A618)," ",'Q:\Abteilungsprojekte\eng\EngData\AOS\Allgemein\[LabSamples2025.xlsx]Bioplastic'!A618)</f>
        <v/>
      </c>
      <c r="B618">
        <f>IF(ISBLANK('Q:\Abteilungsprojekte\eng\EngData\AOS\Allgemein\[LabSamples2025.xlsx]Bioplastic'!B618)," ",'Q:\Abteilungsprojekte\eng\EngData\AOS\Allgemein\[LabSamples2025.xlsx]Bioplastic'!B618)</f>
        <v/>
      </c>
      <c r="C618">
        <f>IF(ISBLANK('Q:\Abteilungsprojekte\eng\EngData\AOS\Allgemein\[LabSamples2025.xlsx]Bioplastic'!C618)," ",'Q:\Abteilungsprojekte\eng\EngData\AOS\Allgemein\[LabSamples2025.xlsx]Bioplastic'!C618)</f>
        <v/>
      </c>
      <c r="D618">
        <f>IF(ISBLANK('Q:\Abteilungsprojekte\eng\EngData\AOS\Allgemein\[LabSamples2025.xlsx]Bioplastic'!D618)," ",'Q:\Abteilungsprojekte\eng\EngData\AOS\Allgemein\[LabSamples2025.xlsx]Bioplastic'!D618)</f>
        <v/>
      </c>
      <c r="E618">
        <f>IF(ISBLANK('Q:\Abteilungsprojekte\eng\EngData\AOS\Allgemein\[LabSamples2025.xlsx]Bioplastic'!E618)," ",'Q:\Abteilungsprojekte\eng\EngData\AOS\Allgemein\[LabSamples2025.xlsx]Bioplastic'!E618)</f>
        <v/>
      </c>
      <c r="F618">
        <f>IF(ISBLANK('Q:\Abteilungsprojekte\eng\EngData\AOS\Allgemein\[LabSamples2025.xlsx]Bioplastic'!F618)," ",'Q:\Abteilungsprojekte\eng\EngData\AOS\Allgemein\[LabSamples2025.xlsx]Bioplastic'!F618)</f>
        <v/>
      </c>
      <c r="G618">
        <f>IF(ISBLANK('Q:\Abteilungsprojekte\eng\EngData\AOS\Allgemein\[LabSamples2025.xlsx]Bioplastic'!G618)," ",'Q:\Abteilungsprojekte\eng\EngData\AOS\Allgemein\[LabSamples2025.xlsx]Bioplastic'!G618)</f>
        <v/>
      </c>
      <c r="H618">
        <f>IF(ISBLANK('Q:\Abteilungsprojekte\eng\EngData\AOS\Allgemein\[LabSamples2025.xlsx]Bioplastic'!H618)," ",'Q:\Abteilungsprojekte\eng\EngData\AOS\Allgemein\[LabSamples2025.xlsx]Bioplastic'!H618)</f>
        <v/>
      </c>
    </row>
    <row r="619">
      <c r="A619">
        <f>IF(ISBLANK('Q:\Abteilungsprojekte\eng\EngData\AOS\Allgemein\[LabSamples2025.xlsx]Bioplastic'!A619)," ",'Q:\Abteilungsprojekte\eng\EngData\AOS\Allgemein\[LabSamples2025.xlsx]Bioplastic'!A619)</f>
        <v/>
      </c>
      <c r="B619">
        <f>IF(ISBLANK('Q:\Abteilungsprojekte\eng\EngData\AOS\Allgemein\[LabSamples2025.xlsx]Bioplastic'!B619)," ",'Q:\Abteilungsprojekte\eng\EngData\AOS\Allgemein\[LabSamples2025.xlsx]Bioplastic'!B619)</f>
        <v/>
      </c>
      <c r="C619">
        <f>IF(ISBLANK('Q:\Abteilungsprojekte\eng\EngData\AOS\Allgemein\[LabSamples2025.xlsx]Bioplastic'!C619)," ",'Q:\Abteilungsprojekte\eng\EngData\AOS\Allgemein\[LabSamples2025.xlsx]Bioplastic'!C619)</f>
        <v/>
      </c>
      <c r="D619">
        <f>IF(ISBLANK('Q:\Abteilungsprojekte\eng\EngData\AOS\Allgemein\[LabSamples2025.xlsx]Bioplastic'!D619)," ",'Q:\Abteilungsprojekte\eng\EngData\AOS\Allgemein\[LabSamples2025.xlsx]Bioplastic'!D619)</f>
        <v/>
      </c>
      <c r="E619">
        <f>IF(ISBLANK('Q:\Abteilungsprojekte\eng\EngData\AOS\Allgemein\[LabSamples2025.xlsx]Bioplastic'!E619)," ",'Q:\Abteilungsprojekte\eng\EngData\AOS\Allgemein\[LabSamples2025.xlsx]Bioplastic'!E619)</f>
        <v/>
      </c>
      <c r="F619">
        <f>IF(ISBLANK('Q:\Abteilungsprojekte\eng\EngData\AOS\Allgemein\[LabSamples2025.xlsx]Bioplastic'!F619)," ",'Q:\Abteilungsprojekte\eng\EngData\AOS\Allgemein\[LabSamples2025.xlsx]Bioplastic'!F619)</f>
        <v/>
      </c>
      <c r="G619">
        <f>IF(ISBLANK('Q:\Abteilungsprojekte\eng\EngData\AOS\Allgemein\[LabSamples2025.xlsx]Bioplastic'!G619)," ",'Q:\Abteilungsprojekte\eng\EngData\AOS\Allgemein\[LabSamples2025.xlsx]Bioplastic'!G619)</f>
        <v/>
      </c>
      <c r="H619">
        <f>IF(ISBLANK('Q:\Abteilungsprojekte\eng\EngData\AOS\Allgemein\[LabSamples2025.xlsx]Bioplastic'!H619)," ",'Q:\Abteilungsprojekte\eng\EngData\AOS\Allgemein\[LabSamples2025.xlsx]Bioplastic'!H619)</f>
        <v/>
      </c>
    </row>
    <row r="620">
      <c r="A620">
        <f>IF(ISBLANK('Q:\Abteilungsprojekte\eng\EngData\AOS\Allgemein\[LabSamples2025.xlsx]Bioplastic'!A620)," ",'Q:\Abteilungsprojekte\eng\EngData\AOS\Allgemein\[LabSamples2025.xlsx]Bioplastic'!A620)</f>
        <v/>
      </c>
      <c r="B620">
        <f>IF(ISBLANK('Q:\Abteilungsprojekte\eng\EngData\AOS\Allgemein\[LabSamples2025.xlsx]Bioplastic'!B620)," ",'Q:\Abteilungsprojekte\eng\EngData\AOS\Allgemein\[LabSamples2025.xlsx]Bioplastic'!B620)</f>
        <v/>
      </c>
      <c r="C620">
        <f>IF(ISBLANK('Q:\Abteilungsprojekte\eng\EngData\AOS\Allgemein\[LabSamples2025.xlsx]Bioplastic'!C620)," ",'Q:\Abteilungsprojekte\eng\EngData\AOS\Allgemein\[LabSamples2025.xlsx]Bioplastic'!C620)</f>
        <v/>
      </c>
      <c r="D620">
        <f>IF(ISBLANK('Q:\Abteilungsprojekte\eng\EngData\AOS\Allgemein\[LabSamples2025.xlsx]Bioplastic'!D620)," ",'Q:\Abteilungsprojekte\eng\EngData\AOS\Allgemein\[LabSamples2025.xlsx]Bioplastic'!D620)</f>
        <v/>
      </c>
      <c r="E620">
        <f>IF(ISBLANK('Q:\Abteilungsprojekte\eng\EngData\AOS\Allgemein\[LabSamples2025.xlsx]Bioplastic'!E620)," ",'Q:\Abteilungsprojekte\eng\EngData\AOS\Allgemein\[LabSamples2025.xlsx]Bioplastic'!E620)</f>
        <v/>
      </c>
      <c r="F620">
        <f>IF(ISBLANK('Q:\Abteilungsprojekte\eng\EngData\AOS\Allgemein\[LabSamples2025.xlsx]Bioplastic'!F620)," ",'Q:\Abteilungsprojekte\eng\EngData\AOS\Allgemein\[LabSamples2025.xlsx]Bioplastic'!F620)</f>
        <v/>
      </c>
      <c r="G620">
        <f>IF(ISBLANK('Q:\Abteilungsprojekte\eng\EngData\AOS\Allgemein\[LabSamples2025.xlsx]Bioplastic'!G620)," ",'Q:\Abteilungsprojekte\eng\EngData\AOS\Allgemein\[LabSamples2025.xlsx]Bioplastic'!G620)</f>
        <v/>
      </c>
      <c r="H620">
        <f>IF(ISBLANK('Q:\Abteilungsprojekte\eng\EngData\AOS\Allgemein\[LabSamples2025.xlsx]Bioplastic'!H620)," ",'Q:\Abteilungsprojekte\eng\EngData\AOS\Allgemein\[LabSamples2025.xlsx]Bioplastic'!H620)</f>
        <v/>
      </c>
    </row>
    <row r="621">
      <c r="A621">
        <f>IF(ISBLANK('Q:\Abteilungsprojekte\eng\EngData\AOS\Allgemein\[LabSamples2025.xlsx]Bioplastic'!A621)," ",'Q:\Abteilungsprojekte\eng\EngData\AOS\Allgemein\[LabSamples2025.xlsx]Bioplastic'!A621)</f>
        <v/>
      </c>
      <c r="B621">
        <f>IF(ISBLANK('Q:\Abteilungsprojekte\eng\EngData\AOS\Allgemein\[LabSamples2025.xlsx]Bioplastic'!B621)," ",'Q:\Abteilungsprojekte\eng\EngData\AOS\Allgemein\[LabSamples2025.xlsx]Bioplastic'!B621)</f>
        <v/>
      </c>
      <c r="C621">
        <f>IF(ISBLANK('Q:\Abteilungsprojekte\eng\EngData\AOS\Allgemein\[LabSamples2025.xlsx]Bioplastic'!C621)," ",'Q:\Abteilungsprojekte\eng\EngData\AOS\Allgemein\[LabSamples2025.xlsx]Bioplastic'!C621)</f>
        <v/>
      </c>
      <c r="D621">
        <f>IF(ISBLANK('Q:\Abteilungsprojekte\eng\EngData\AOS\Allgemein\[LabSamples2025.xlsx]Bioplastic'!D621)," ",'Q:\Abteilungsprojekte\eng\EngData\AOS\Allgemein\[LabSamples2025.xlsx]Bioplastic'!D621)</f>
        <v/>
      </c>
      <c r="E621">
        <f>IF(ISBLANK('Q:\Abteilungsprojekte\eng\EngData\AOS\Allgemein\[LabSamples2025.xlsx]Bioplastic'!E621)," ",'Q:\Abteilungsprojekte\eng\EngData\AOS\Allgemein\[LabSamples2025.xlsx]Bioplastic'!E621)</f>
        <v/>
      </c>
      <c r="F621">
        <f>IF(ISBLANK('Q:\Abteilungsprojekte\eng\EngData\AOS\Allgemein\[LabSamples2025.xlsx]Bioplastic'!F621)," ",'Q:\Abteilungsprojekte\eng\EngData\AOS\Allgemein\[LabSamples2025.xlsx]Bioplastic'!F621)</f>
        <v/>
      </c>
      <c r="G621">
        <f>IF(ISBLANK('Q:\Abteilungsprojekte\eng\EngData\AOS\Allgemein\[LabSamples2025.xlsx]Bioplastic'!G621)," ",'Q:\Abteilungsprojekte\eng\EngData\AOS\Allgemein\[LabSamples2025.xlsx]Bioplastic'!G621)</f>
        <v/>
      </c>
      <c r="H621">
        <f>IF(ISBLANK('Q:\Abteilungsprojekte\eng\EngData\AOS\Allgemein\[LabSamples2025.xlsx]Bioplastic'!H621)," ",'Q:\Abteilungsprojekte\eng\EngData\AOS\Allgemein\[LabSamples2025.xlsx]Bioplastic'!H621)</f>
        <v/>
      </c>
    </row>
    <row r="622">
      <c r="A622">
        <f>IF(ISBLANK('Q:\Abteilungsprojekte\eng\EngData\AOS\Allgemein\[LabSamples2025.xlsx]Bioplastic'!A622)," ",'Q:\Abteilungsprojekte\eng\EngData\AOS\Allgemein\[LabSamples2025.xlsx]Bioplastic'!A622)</f>
        <v/>
      </c>
      <c r="B622">
        <f>IF(ISBLANK('Q:\Abteilungsprojekte\eng\EngData\AOS\Allgemein\[LabSamples2025.xlsx]Bioplastic'!B622)," ",'Q:\Abteilungsprojekte\eng\EngData\AOS\Allgemein\[LabSamples2025.xlsx]Bioplastic'!B622)</f>
        <v/>
      </c>
      <c r="C622">
        <f>IF(ISBLANK('Q:\Abteilungsprojekte\eng\EngData\AOS\Allgemein\[LabSamples2025.xlsx]Bioplastic'!C622)," ",'Q:\Abteilungsprojekte\eng\EngData\AOS\Allgemein\[LabSamples2025.xlsx]Bioplastic'!C622)</f>
        <v/>
      </c>
      <c r="D622">
        <f>IF(ISBLANK('Q:\Abteilungsprojekte\eng\EngData\AOS\Allgemein\[LabSamples2025.xlsx]Bioplastic'!D622)," ",'Q:\Abteilungsprojekte\eng\EngData\AOS\Allgemein\[LabSamples2025.xlsx]Bioplastic'!D622)</f>
        <v/>
      </c>
      <c r="E622">
        <f>IF(ISBLANK('Q:\Abteilungsprojekte\eng\EngData\AOS\Allgemein\[LabSamples2025.xlsx]Bioplastic'!E622)," ",'Q:\Abteilungsprojekte\eng\EngData\AOS\Allgemein\[LabSamples2025.xlsx]Bioplastic'!E622)</f>
        <v/>
      </c>
      <c r="F622">
        <f>IF(ISBLANK('Q:\Abteilungsprojekte\eng\EngData\AOS\Allgemein\[LabSamples2025.xlsx]Bioplastic'!F622)," ",'Q:\Abteilungsprojekte\eng\EngData\AOS\Allgemein\[LabSamples2025.xlsx]Bioplastic'!F622)</f>
        <v/>
      </c>
      <c r="G622">
        <f>IF(ISBLANK('Q:\Abteilungsprojekte\eng\EngData\AOS\Allgemein\[LabSamples2025.xlsx]Bioplastic'!G622)," ",'Q:\Abteilungsprojekte\eng\EngData\AOS\Allgemein\[LabSamples2025.xlsx]Bioplastic'!G622)</f>
        <v/>
      </c>
      <c r="H622">
        <f>IF(ISBLANK('Q:\Abteilungsprojekte\eng\EngData\AOS\Allgemein\[LabSamples2025.xlsx]Bioplastic'!H622)," ",'Q:\Abteilungsprojekte\eng\EngData\AOS\Allgemein\[LabSamples2025.xlsx]Bioplastic'!H622)</f>
        <v/>
      </c>
    </row>
    <row r="623">
      <c r="A623">
        <f>IF(ISBLANK('Q:\Abteilungsprojekte\eng\EngData\AOS\Allgemein\[LabSamples2025.xlsx]Bioplastic'!A623)," ",'Q:\Abteilungsprojekte\eng\EngData\AOS\Allgemein\[LabSamples2025.xlsx]Bioplastic'!A623)</f>
        <v/>
      </c>
      <c r="B623">
        <f>IF(ISBLANK('Q:\Abteilungsprojekte\eng\EngData\AOS\Allgemein\[LabSamples2025.xlsx]Bioplastic'!B623)," ",'Q:\Abteilungsprojekte\eng\EngData\AOS\Allgemein\[LabSamples2025.xlsx]Bioplastic'!B623)</f>
        <v/>
      </c>
      <c r="C623">
        <f>IF(ISBLANK('Q:\Abteilungsprojekte\eng\EngData\AOS\Allgemein\[LabSamples2025.xlsx]Bioplastic'!C623)," ",'Q:\Abteilungsprojekte\eng\EngData\AOS\Allgemein\[LabSamples2025.xlsx]Bioplastic'!C623)</f>
        <v/>
      </c>
      <c r="D623">
        <f>IF(ISBLANK('Q:\Abteilungsprojekte\eng\EngData\AOS\Allgemein\[LabSamples2025.xlsx]Bioplastic'!D623)," ",'Q:\Abteilungsprojekte\eng\EngData\AOS\Allgemein\[LabSamples2025.xlsx]Bioplastic'!D623)</f>
        <v/>
      </c>
      <c r="E623">
        <f>IF(ISBLANK('Q:\Abteilungsprojekte\eng\EngData\AOS\Allgemein\[LabSamples2025.xlsx]Bioplastic'!E623)," ",'Q:\Abteilungsprojekte\eng\EngData\AOS\Allgemein\[LabSamples2025.xlsx]Bioplastic'!E623)</f>
        <v/>
      </c>
      <c r="F623">
        <f>IF(ISBLANK('Q:\Abteilungsprojekte\eng\EngData\AOS\Allgemein\[LabSamples2025.xlsx]Bioplastic'!F623)," ",'Q:\Abteilungsprojekte\eng\EngData\AOS\Allgemein\[LabSamples2025.xlsx]Bioplastic'!F623)</f>
        <v/>
      </c>
      <c r="G623">
        <f>IF(ISBLANK('Q:\Abteilungsprojekte\eng\EngData\AOS\Allgemein\[LabSamples2025.xlsx]Bioplastic'!G623)," ",'Q:\Abteilungsprojekte\eng\EngData\AOS\Allgemein\[LabSamples2025.xlsx]Bioplastic'!G623)</f>
        <v/>
      </c>
      <c r="H623">
        <f>IF(ISBLANK('Q:\Abteilungsprojekte\eng\EngData\AOS\Allgemein\[LabSamples2025.xlsx]Bioplastic'!H623)," ",'Q:\Abteilungsprojekte\eng\EngData\AOS\Allgemein\[LabSamples2025.xlsx]Bioplastic'!H623)</f>
        <v/>
      </c>
    </row>
    <row r="624">
      <c r="A624">
        <f>IF(ISBLANK('Q:\Abteilungsprojekte\eng\EngData\AOS\Allgemein\[LabSamples2025.xlsx]Bioplastic'!A624)," ",'Q:\Abteilungsprojekte\eng\EngData\AOS\Allgemein\[LabSamples2025.xlsx]Bioplastic'!A624)</f>
        <v/>
      </c>
      <c r="B624">
        <f>IF(ISBLANK('Q:\Abteilungsprojekte\eng\EngData\AOS\Allgemein\[LabSamples2025.xlsx]Bioplastic'!B624)," ",'Q:\Abteilungsprojekte\eng\EngData\AOS\Allgemein\[LabSamples2025.xlsx]Bioplastic'!B624)</f>
        <v/>
      </c>
      <c r="C624">
        <f>IF(ISBLANK('Q:\Abteilungsprojekte\eng\EngData\AOS\Allgemein\[LabSamples2025.xlsx]Bioplastic'!C624)," ",'Q:\Abteilungsprojekte\eng\EngData\AOS\Allgemein\[LabSamples2025.xlsx]Bioplastic'!C624)</f>
        <v/>
      </c>
      <c r="D624">
        <f>IF(ISBLANK('Q:\Abteilungsprojekte\eng\EngData\AOS\Allgemein\[LabSamples2025.xlsx]Bioplastic'!D624)," ",'Q:\Abteilungsprojekte\eng\EngData\AOS\Allgemein\[LabSamples2025.xlsx]Bioplastic'!D624)</f>
        <v/>
      </c>
      <c r="E624">
        <f>IF(ISBLANK('Q:\Abteilungsprojekte\eng\EngData\AOS\Allgemein\[LabSamples2025.xlsx]Bioplastic'!E624)," ",'Q:\Abteilungsprojekte\eng\EngData\AOS\Allgemein\[LabSamples2025.xlsx]Bioplastic'!E624)</f>
        <v/>
      </c>
      <c r="F624">
        <f>IF(ISBLANK('Q:\Abteilungsprojekte\eng\EngData\AOS\Allgemein\[LabSamples2025.xlsx]Bioplastic'!F624)," ",'Q:\Abteilungsprojekte\eng\EngData\AOS\Allgemein\[LabSamples2025.xlsx]Bioplastic'!F624)</f>
        <v/>
      </c>
      <c r="G624">
        <f>IF(ISBLANK('Q:\Abteilungsprojekte\eng\EngData\AOS\Allgemein\[LabSamples2025.xlsx]Bioplastic'!G624)," ",'Q:\Abteilungsprojekte\eng\EngData\AOS\Allgemein\[LabSamples2025.xlsx]Bioplastic'!G624)</f>
        <v/>
      </c>
      <c r="H624">
        <f>IF(ISBLANK('Q:\Abteilungsprojekte\eng\EngData\AOS\Allgemein\[LabSamples2025.xlsx]Bioplastic'!H624)," ",'Q:\Abteilungsprojekte\eng\EngData\AOS\Allgemein\[LabSamples2025.xlsx]Bioplastic'!H624)</f>
        <v/>
      </c>
    </row>
    <row r="625">
      <c r="A625">
        <f>IF(ISBLANK('Q:\Abteilungsprojekte\eng\EngData\AOS\Allgemein\[LabSamples2025.xlsx]Bioplastic'!A625)," ",'Q:\Abteilungsprojekte\eng\EngData\AOS\Allgemein\[LabSamples2025.xlsx]Bioplastic'!A625)</f>
        <v/>
      </c>
      <c r="B625">
        <f>IF(ISBLANK('Q:\Abteilungsprojekte\eng\EngData\AOS\Allgemein\[LabSamples2025.xlsx]Bioplastic'!B625)," ",'Q:\Abteilungsprojekte\eng\EngData\AOS\Allgemein\[LabSamples2025.xlsx]Bioplastic'!B625)</f>
        <v/>
      </c>
      <c r="C625">
        <f>IF(ISBLANK('Q:\Abteilungsprojekte\eng\EngData\AOS\Allgemein\[LabSamples2025.xlsx]Bioplastic'!C625)," ",'Q:\Abteilungsprojekte\eng\EngData\AOS\Allgemein\[LabSamples2025.xlsx]Bioplastic'!C625)</f>
        <v/>
      </c>
      <c r="D625">
        <f>IF(ISBLANK('Q:\Abteilungsprojekte\eng\EngData\AOS\Allgemein\[LabSamples2025.xlsx]Bioplastic'!D625)," ",'Q:\Abteilungsprojekte\eng\EngData\AOS\Allgemein\[LabSamples2025.xlsx]Bioplastic'!D625)</f>
        <v/>
      </c>
      <c r="E625">
        <f>IF(ISBLANK('Q:\Abteilungsprojekte\eng\EngData\AOS\Allgemein\[LabSamples2025.xlsx]Bioplastic'!E625)," ",'Q:\Abteilungsprojekte\eng\EngData\AOS\Allgemein\[LabSamples2025.xlsx]Bioplastic'!E625)</f>
        <v/>
      </c>
      <c r="F625">
        <f>IF(ISBLANK('Q:\Abteilungsprojekte\eng\EngData\AOS\Allgemein\[LabSamples2025.xlsx]Bioplastic'!F625)," ",'Q:\Abteilungsprojekte\eng\EngData\AOS\Allgemein\[LabSamples2025.xlsx]Bioplastic'!F625)</f>
        <v/>
      </c>
      <c r="G625">
        <f>IF(ISBLANK('Q:\Abteilungsprojekte\eng\EngData\AOS\Allgemein\[LabSamples2025.xlsx]Bioplastic'!G625)," ",'Q:\Abteilungsprojekte\eng\EngData\AOS\Allgemein\[LabSamples2025.xlsx]Bioplastic'!G625)</f>
        <v/>
      </c>
      <c r="H625">
        <f>IF(ISBLANK('Q:\Abteilungsprojekte\eng\EngData\AOS\Allgemein\[LabSamples2025.xlsx]Bioplastic'!H625)," ",'Q:\Abteilungsprojekte\eng\EngData\AOS\Allgemein\[LabSamples2025.xlsx]Bioplastic'!H625)</f>
        <v/>
      </c>
    </row>
    <row r="626">
      <c r="A626">
        <f>IF(ISBLANK('Q:\Abteilungsprojekte\eng\EngData\AOS\Allgemein\[LabSamples2025.xlsx]Bioplastic'!A626)," ",'Q:\Abteilungsprojekte\eng\EngData\AOS\Allgemein\[LabSamples2025.xlsx]Bioplastic'!A626)</f>
        <v/>
      </c>
      <c r="B626">
        <f>IF(ISBLANK('Q:\Abteilungsprojekte\eng\EngData\AOS\Allgemein\[LabSamples2025.xlsx]Bioplastic'!B626)," ",'Q:\Abteilungsprojekte\eng\EngData\AOS\Allgemein\[LabSamples2025.xlsx]Bioplastic'!B626)</f>
        <v/>
      </c>
      <c r="C626">
        <f>IF(ISBLANK('Q:\Abteilungsprojekte\eng\EngData\AOS\Allgemein\[LabSamples2025.xlsx]Bioplastic'!C626)," ",'Q:\Abteilungsprojekte\eng\EngData\AOS\Allgemein\[LabSamples2025.xlsx]Bioplastic'!C626)</f>
        <v/>
      </c>
      <c r="D626">
        <f>IF(ISBLANK('Q:\Abteilungsprojekte\eng\EngData\AOS\Allgemein\[LabSamples2025.xlsx]Bioplastic'!D626)," ",'Q:\Abteilungsprojekte\eng\EngData\AOS\Allgemein\[LabSamples2025.xlsx]Bioplastic'!D626)</f>
        <v/>
      </c>
      <c r="E626">
        <f>IF(ISBLANK('Q:\Abteilungsprojekte\eng\EngData\AOS\Allgemein\[LabSamples2025.xlsx]Bioplastic'!E626)," ",'Q:\Abteilungsprojekte\eng\EngData\AOS\Allgemein\[LabSamples2025.xlsx]Bioplastic'!E626)</f>
        <v/>
      </c>
      <c r="F626">
        <f>IF(ISBLANK('Q:\Abteilungsprojekte\eng\EngData\AOS\Allgemein\[LabSamples2025.xlsx]Bioplastic'!F626)," ",'Q:\Abteilungsprojekte\eng\EngData\AOS\Allgemein\[LabSamples2025.xlsx]Bioplastic'!F626)</f>
        <v/>
      </c>
      <c r="G626">
        <f>IF(ISBLANK('Q:\Abteilungsprojekte\eng\EngData\AOS\Allgemein\[LabSamples2025.xlsx]Bioplastic'!G626)," ",'Q:\Abteilungsprojekte\eng\EngData\AOS\Allgemein\[LabSamples2025.xlsx]Bioplastic'!G626)</f>
        <v/>
      </c>
      <c r="H626">
        <f>IF(ISBLANK('Q:\Abteilungsprojekte\eng\EngData\AOS\Allgemein\[LabSamples2025.xlsx]Bioplastic'!H626)," ",'Q:\Abteilungsprojekte\eng\EngData\AOS\Allgemein\[LabSamples2025.xlsx]Bioplastic'!H626)</f>
        <v/>
      </c>
    </row>
    <row r="627">
      <c r="A627">
        <f>IF(ISBLANK('Q:\Abteilungsprojekte\eng\EngData\AOS\Allgemein\[LabSamples2025.xlsx]Bioplastic'!A627)," ",'Q:\Abteilungsprojekte\eng\EngData\AOS\Allgemein\[LabSamples2025.xlsx]Bioplastic'!A627)</f>
        <v/>
      </c>
      <c r="B627">
        <f>IF(ISBLANK('Q:\Abteilungsprojekte\eng\EngData\AOS\Allgemein\[LabSamples2025.xlsx]Bioplastic'!B627)," ",'Q:\Abteilungsprojekte\eng\EngData\AOS\Allgemein\[LabSamples2025.xlsx]Bioplastic'!B627)</f>
        <v/>
      </c>
      <c r="C627">
        <f>IF(ISBLANK('Q:\Abteilungsprojekte\eng\EngData\AOS\Allgemein\[LabSamples2025.xlsx]Bioplastic'!C627)," ",'Q:\Abteilungsprojekte\eng\EngData\AOS\Allgemein\[LabSamples2025.xlsx]Bioplastic'!C627)</f>
        <v/>
      </c>
      <c r="D627">
        <f>IF(ISBLANK('Q:\Abteilungsprojekte\eng\EngData\AOS\Allgemein\[LabSamples2025.xlsx]Bioplastic'!D627)," ",'Q:\Abteilungsprojekte\eng\EngData\AOS\Allgemein\[LabSamples2025.xlsx]Bioplastic'!D627)</f>
        <v/>
      </c>
      <c r="E627">
        <f>IF(ISBLANK('Q:\Abteilungsprojekte\eng\EngData\AOS\Allgemein\[LabSamples2025.xlsx]Bioplastic'!E627)," ",'Q:\Abteilungsprojekte\eng\EngData\AOS\Allgemein\[LabSamples2025.xlsx]Bioplastic'!E627)</f>
        <v/>
      </c>
      <c r="F627">
        <f>IF(ISBLANK('Q:\Abteilungsprojekte\eng\EngData\AOS\Allgemein\[LabSamples2025.xlsx]Bioplastic'!F627)," ",'Q:\Abteilungsprojekte\eng\EngData\AOS\Allgemein\[LabSamples2025.xlsx]Bioplastic'!F627)</f>
        <v/>
      </c>
      <c r="G627">
        <f>IF(ISBLANK('Q:\Abteilungsprojekte\eng\EngData\AOS\Allgemein\[LabSamples2025.xlsx]Bioplastic'!G627)," ",'Q:\Abteilungsprojekte\eng\EngData\AOS\Allgemein\[LabSamples2025.xlsx]Bioplastic'!G627)</f>
        <v/>
      </c>
      <c r="H627">
        <f>IF(ISBLANK('Q:\Abteilungsprojekte\eng\EngData\AOS\Allgemein\[LabSamples2025.xlsx]Bioplastic'!H627)," ",'Q:\Abteilungsprojekte\eng\EngData\AOS\Allgemein\[LabSamples2025.xlsx]Bioplastic'!H627)</f>
        <v/>
      </c>
    </row>
    <row r="628">
      <c r="A628">
        <f>IF(ISBLANK('Q:\Abteilungsprojekte\eng\EngData\AOS\Allgemein\[LabSamples2025.xlsx]Bioplastic'!A628)," ",'Q:\Abteilungsprojekte\eng\EngData\AOS\Allgemein\[LabSamples2025.xlsx]Bioplastic'!A628)</f>
        <v/>
      </c>
      <c r="B628">
        <f>IF(ISBLANK('Q:\Abteilungsprojekte\eng\EngData\AOS\Allgemein\[LabSamples2025.xlsx]Bioplastic'!B628)," ",'Q:\Abteilungsprojekte\eng\EngData\AOS\Allgemein\[LabSamples2025.xlsx]Bioplastic'!B628)</f>
        <v/>
      </c>
      <c r="C628">
        <f>IF(ISBLANK('Q:\Abteilungsprojekte\eng\EngData\AOS\Allgemein\[LabSamples2025.xlsx]Bioplastic'!C628)," ",'Q:\Abteilungsprojekte\eng\EngData\AOS\Allgemein\[LabSamples2025.xlsx]Bioplastic'!C628)</f>
        <v/>
      </c>
      <c r="D628">
        <f>IF(ISBLANK('Q:\Abteilungsprojekte\eng\EngData\AOS\Allgemein\[LabSamples2025.xlsx]Bioplastic'!D628)," ",'Q:\Abteilungsprojekte\eng\EngData\AOS\Allgemein\[LabSamples2025.xlsx]Bioplastic'!D628)</f>
        <v/>
      </c>
      <c r="E628">
        <f>IF(ISBLANK('Q:\Abteilungsprojekte\eng\EngData\AOS\Allgemein\[LabSamples2025.xlsx]Bioplastic'!E628)," ",'Q:\Abteilungsprojekte\eng\EngData\AOS\Allgemein\[LabSamples2025.xlsx]Bioplastic'!E628)</f>
        <v/>
      </c>
      <c r="F628">
        <f>IF(ISBLANK('Q:\Abteilungsprojekte\eng\EngData\AOS\Allgemein\[LabSamples2025.xlsx]Bioplastic'!F628)," ",'Q:\Abteilungsprojekte\eng\EngData\AOS\Allgemein\[LabSamples2025.xlsx]Bioplastic'!F628)</f>
        <v/>
      </c>
      <c r="G628">
        <f>IF(ISBLANK('Q:\Abteilungsprojekte\eng\EngData\AOS\Allgemein\[LabSamples2025.xlsx]Bioplastic'!G628)," ",'Q:\Abteilungsprojekte\eng\EngData\AOS\Allgemein\[LabSamples2025.xlsx]Bioplastic'!G628)</f>
        <v/>
      </c>
      <c r="H628">
        <f>IF(ISBLANK('Q:\Abteilungsprojekte\eng\EngData\AOS\Allgemein\[LabSamples2025.xlsx]Bioplastic'!H628)," ",'Q:\Abteilungsprojekte\eng\EngData\AOS\Allgemein\[LabSamples2025.xlsx]Bioplastic'!H628)</f>
        <v/>
      </c>
    </row>
    <row r="629">
      <c r="A629">
        <f>IF(ISBLANK('Q:\Abteilungsprojekte\eng\EngData\AOS\Allgemein\[LabSamples2025.xlsx]Bioplastic'!A629)," ",'Q:\Abteilungsprojekte\eng\EngData\AOS\Allgemein\[LabSamples2025.xlsx]Bioplastic'!A629)</f>
        <v/>
      </c>
      <c r="B629">
        <f>IF(ISBLANK('Q:\Abteilungsprojekte\eng\EngData\AOS\Allgemein\[LabSamples2025.xlsx]Bioplastic'!B629)," ",'Q:\Abteilungsprojekte\eng\EngData\AOS\Allgemein\[LabSamples2025.xlsx]Bioplastic'!B629)</f>
        <v/>
      </c>
      <c r="C629">
        <f>IF(ISBLANK('Q:\Abteilungsprojekte\eng\EngData\AOS\Allgemein\[LabSamples2025.xlsx]Bioplastic'!C629)," ",'Q:\Abteilungsprojekte\eng\EngData\AOS\Allgemein\[LabSamples2025.xlsx]Bioplastic'!C629)</f>
        <v/>
      </c>
      <c r="D629">
        <f>IF(ISBLANK('Q:\Abteilungsprojekte\eng\EngData\AOS\Allgemein\[LabSamples2025.xlsx]Bioplastic'!D629)," ",'Q:\Abteilungsprojekte\eng\EngData\AOS\Allgemein\[LabSamples2025.xlsx]Bioplastic'!D629)</f>
        <v/>
      </c>
      <c r="E629">
        <f>IF(ISBLANK('Q:\Abteilungsprojekte\eng\EngData\AOS\Allgemein\[LabSamples2025.xlsx]Bioplastic'!E629)," ",'Q:\Abteilungsprojekte\eng\EngData\AOS\Allgemein\[LabSamples2025.xlsx]Bioplastic'!E629)</f>
        <v/>
      </c>
      <c r="F629">
        <f>IF(ISBLANK('Q:\Abteilungsprojekte\eng\EngData\AOS\Allgemein\[LabSamples2025.xlsx]Bioplastic'!F629)," ",'Q:\Abteilungsprojekte\eng\EngData\AOS\Allgemein\[LabSamples2025.xlsx]Bioplastic'!F629)</f>
        <v/>
      </c>
      <c r="G629">
        <f>IF(ISBLANK('Q:\Abteilungsprojekte\eng\EngData\AOS\Allgemein\[LabSamples2025.xlsx]Bioplastic'!G629)," ",'Q:\Abteilungsprojekte\eng\EngData\AOS\Allgemein\[LabSamples2025.xlsx]Bioplastic'!G629)</f>
        <v/>
      </c>
      <c r="H629">
        <f>IF(ISBLANK('Q:\Abteilungsprojekte\eng\EngData\AOS\Allgemein\[LabSamples2025.xlsx]Bioplastic'!H629)," ",'Q:\Abteilungsprojekte\eng\EngData\AOS\Allgemein\[LabSamples2025.xlsx]Bioplastic'!H629)</f>
        <v/>
      </c>
    </row>
    <row r="630">
      <c r="A630">
        <f>IF(ISBLANK('Q:\Abteilungsprojekte\eng\EngData\AOS\Allgemein\[LabSamples2025.xlsx]Bioplastic'!A630)," ",'Q:\Abteilungsprojekte\eng\EngData\AOS\Allgemein\[LabSamples2025.xlsx]Bioplastic'!A630)</f>
        <v/>
      </c>
      <c r="B630">
        <f>IF(ISBLANK('Q:\Abteilungsprojekte\eng\EngData\AOS\Allgemein\[LabSamples2025.xlsx]Bioplastic'!B630)," ",'Q:\Abteilungsprojekte\eng\EngData\AOS\Allgemein\[LabSamples2025.xlsx]Bioplastic'!B630)</f>
        <v/>
      </c>
      <c r="C630">
        <f>IF(ISBLANK('Q:\Abteilungsprojekte\eng\EngData\AOS\Allgemein\[LabSamples2025.xlsx]Bioplastic'!C630)," ",'Q:\Abteilungsprojekte\eng\EngData\AOS\Allgemein\[LabSamples2025.xlsx]Bioplastic'!C630)</f>
        <v/>
      </c>
      <c r="D630">
        <f>IF(ISBLANK('Q:\Abteilungsprojekte\eng\EngData\AOS\Allgemein\[LabSamples2025.xlsx]Bioplastic'!D630)," ",'Q:\Abteilungsprojekte\eng\EngData\AOS\Allgemein\[LabSamples2025.xlsx]Bioplastic'!D630)</f>
        <v/>
      </c>
      <c r="E630">
        <f>IF(ISBLANK('Q:\Abteilungsprojekte\eng\EngData\AOS\Allgemein\[LabSamples2025.xlsx]Bioplastic'!E630)," ",'Q:\Abteilungsprojekte\eng\EngData\AOS\Allgemein\[LabSamples2025.xlsx]Bioplastic'!E630)</f>
        <v/>
      </c>
      <c r="F630">
        <f>IF(ISBLANK('Q:\Abteilungsprojekte\eng\EngData\AOS\Allgemein\[LabSamples2025.xlsx]Bioplastic'!F630)," ",'Q:\Abteilungsprojekte\eng\EngData\AOS\Allgemein\[LabSamples2025.xlsx]Bioplastic'!F630)</f>
        <v/>
      </c>
      <c r="G630">
        <f>IF(ISBLANK('Q:\Abteilungsprojekte\eng\EngData\AOS\Allgemein\[LabSamples2025.xlsx]Bioplastic'!G630)," ",'Q:\Abteilungsprojekte\eng\EngData\AOS\Allgemein\[LabSamples2025.xlsx]Bioplastic'!G630)</f>
        <v/>
      </c>
      <c r="H630">
        <f>IF(ISBLANK('Q:\Abteilungsprojekte\eng\EngData\AOS\Allgemein\[LabSamples2025.xlsx]Bioplastic'!H630)," ",'Q:\Abteilungsprojekte\eng\EngData\AOS\Allgemein\[LabSamples2025.xlsx]Bioplastic'!H630)</f>
        <v/>
      </c>
    </row>
    <row r="631">
      <c r="A631">
        <f>IF(ISBLANK('Q:\Abteilungsprojekte\eng\EngData\AOS\Allgemein\[LabSamples2025.xlsx]Bioplastic'!A631)," ",'Q:\Abteilungsprojekte\eng\EngData\AOS\Allgemein\[LabSamples2025.xlsx]Bioplastic'!A631)</f>
        <v/>
      </c>
      <c r="B631">
        <f>IF(ISBLANK('Q:\Abteilungsprojekte\eng\EngData\AOS\Allgemein\[LabSamples2025.xlsx]Bioplastic'!B631)," ",'Q:\Abteilungsprojekte\eng\EngData\AOS\Allgemein\[LabSamples2025.xlsx]Bioplastic'!B631)</f>
        <v/>
      </c>
      <c r="C631">
        <f>IF(ISBLANK('Q:\Abteilungsprojekte\eng\EngData\AOS\Allgemein\[LabSamples2025.xlsx]Bioplastic'!C631)," ",'Q:\Abteilungsprojekte\eng\EngData\AOS\Allgemein\[LabSamples2025.xlsx]Bioplastic'!C631)</f>
        <v/>
      </c>
      <c r="D631">
        <f>IF(ISBLANK('Q:\Abteilungsprojekte\eng\EngData\AOS\Allgemein\[LabSamples2025.xlsx]Bioplastic'!D631)," ",'Q:\Abteilungsprojekte\eng\EngData\AOS\Allgemein\[LabSamples2025.xlsx]Bioplastic'!D631)</f>
        <v/>
      </c>
      <c r="E631">
        <f>IF(ISBLANK('Q:\Abteilungsprojekte\eng\EngData\AOS\Allgemein\[LabSamples2025.xlsx]Bioplastic'!E631)," ",'Q:\Abteilungsprojekte\eng\EngData\AOS\Allgemein\[LabSamples2025.xlsx]Bioplastic'!E631)</f>
        <v/>
      </c>
      <c r="F631">
        <f>IF(ISBLANK('Q:\Abteilungsprojekte\eng\EngData\AOS\Allgemein\[LabSamples2025.xlsx]Bioplastic'!F631)," ",'Q:\Abteilungsprojekte\eng\EngData\AOS\Allgemein\[LabSamples2025.xlsx]Bioplastic'!F631)</f>
        <v/>
      </c>
      <c r="G631">
        <f>IF(ISBLANK('Q:\Abteilungsprojekte\eng\EngData\AOS\Allgemein\[LabSamples2025.xlsx]Bioplastic'!G631)," ",'Q:\Abteilungsprojekte\eng\EngData\AOS\Allgemein\[LabSamples2025.xlsx]Bioplastic'!G631)</f>
        <v/>
      </c>
      <c r="H631">
        <f>IF(ISBLANK('Q:\Abteilungsprojekte\eng\EngData\AOS\Allgemein\[LabSamples2025.xlsx]Bioplastic'!H631)," ",'Q:\Abteilungsprojekte\eng\EngData\AOS\Allgemein\[LabSamples2025.xlsx]Bioplastic'!H631)</f>
        <v/>
      </c>
    </row>
    <row r="632">
      <c r="A632">
        <f>IF(ISBLANK('Q:\Abteilungsprojekte\eng\EngData\AOS\Allgemein\[LabSamples2025.xlsx]Bioplastic'!A632)," ",'Q:\Abteilungsprojekte\eng\EngData\AOS\Allgemein\[LabSamples2025.xlsx]Bioplastic'!A632)</f>
        <v/>
      </c>
      <c r="B632">
        <f>IF(ISBLANK('Q:\Abteilungsprojekte\eng\EngData\AOS\Allgemein\[LabSamples2025.xlsx]Bioplastic'!B632)," ",'Q:\Abteilungsprojekte\eng\EngData\AOS\Allgemein\[LabSamples2025.xlsx]Bioplastic'!B632)</f>
        <v/>
      </c>
      <c r="C632">
        <f>IF(ISBLANK('Q:\Abteilungsprojekte\eng\EngData\AOS\Allgemein\[LabSamples2025.xlsx]Bioplastic'!C632)," ",'Q:\Abteilungsprojekte\eng\EngData\AOS\Allgemein\[LabSamples2025.xlsx]Bioplastic'!C632)</f>
        <v/>
      </c>
      <c r="D632">
        <f>IF(ISBLANK('Q:\Abteilungsprojekte\eng\EngData\AOS\Allgemein\[LabSamples2025.xlsx]Bioplastic'!D632)," ",'Q:\Abteilungsprojekte\eng\EngData\AOS\Allgemein\[LabSamples2025.xlsx]Bioplastic'!D632)</f>
        <v/>
      </c>
      <c r="E632">
        <f>IF(ISBLANK('Q:\Abteilungsprojekte\eng\EngData\AOS\Allgemein\[LabSamples2025.xlsx]Bioplastic'!E632)," ",'Q:\Abteilungsprojekte\eng\EngData\AOS\Allgemein\[LabSamples2025.xlsx]Bioplastic'!E632)</f>
        <v/>
      </c>
      <c r="F632">
        <f>IF(ISBLANK('Q:\Abteilungsprojekte\eng\EngData\AOS\Allgemein\[LabSamples2025.xlsx]Bioplastic'!F632)," ",'Q:\Abteilungsprojekte\eng\EngData\AOS\Allgemein\[LabSamples2025.xlsx]Bioplastic'!F632)</f>
        <v/>
      </c>
      <c r="G632">
        <f>IF(ISBLANK('Q:\Abteilungsprojekte\eng\EngData\AOS\Allgemein\[LabSamples2025.xlsx]Bioplastic'!G632)," ",'Q:\Abteilungsprojekte\eng\EngData\AOS\Allgemein\[LabSamples2025.xlsx]Bioplastic'!G632)</f>
        <v/>
      </c>
      <c r="H632">
        <f>IF(ISBLANK('Q:\Abteilungsprojekte\eng\EngData\AOS\Allgemein\[LabSamples2025.xlsx]Bioplastic'!H632)," ",'Q:\Abteilungsprojekte\eng\EngData\AOS\Allgemein\[LabSamples2025.xlsx]Bioplastic'!H632)</f>
        <v/>
      </c>
    </row>
    <row r="633">
      <c r="A633">
        <f>IF(ISBLANK('Q:\Abteilungsprojekte\eng\EngData\AOS\Allgemein\[LabSamples2025.xlsx]Bioplastic'!A633)," ",'Q:\Abteilungsprojekte\eng\EngData\AOS\Allgemein\[LabSamples2025.xlsx]Bioplastic'!A633)</f>
        <v/>
      </c>
      <c r="B633">
        <f>IF(ISBLANK('Q:\Abteilungsprojekte\eng\EngData\AOS\Allgemein\[LabSamples2025.xlsx]Bioplastic'!B633)," ",'Q:\Abteilungsprojekte\eng\EngData\AOS\Allgemein\[LabSamples2025.xlsx]Bioplastic'!B633)</f>
        <v/>
      </c>
      <c r="C633">
        <f>IF(ISBLANK('Q:\Abteilungsprojekte\eng\EngData\AOS\Allgemein\[LabSamples2025.xlsx]Bioplastic'!C633)," ",'Q:\Abteilungsprojekte\eng\EngData\AOS\Allgemein\[LabSamples2025.xlsx]Bioplastic'!C633)</f>
        <v/>
      </c>
      <c r="D633">
        <f>IF(ISBLANK('Q:\Abteilungsprojekte\eng\EngData\AOS\Allgemein\[LabSamples2025.xlsx]Bioplastic'!D633)," ",'Q:\Abteilungsprojekte\eng\EngData\AOS\Allgemein\[LabSamples2025.xlsx]Bioplastic'!D633)</f>
        <v/>
      </c>
      <c r="E633">
        <f>IF(ISBLANK('Q:\Abteilungsprojekte\eng\EngData\AOS\Allgemein\[LabSamples2025.xlsx]Bioplastic'!E633)," ",'Q:\Abteilungsprojekte\eng\EngData\AOS\Allgemein\[LabSamples2025.xlsx]Bioplastic'!E633)</f>
        <v/>
      </c>
      <c r="F633">
        <f>IF(ISBLANK('Q:\Abteilungsprojekte\eng\EngData\AOS\Allgemein\[LabSamples2025.xlsx]Bioplastic'!F633)," ",'Q:\Abteilungsprojekte\eng\EngData\AOS\Allgemein\[LabSamples2025.xlsx]Bioplastic'!F633)</f>
        <v/>
      </c>
      <c r="G633">
        <f>IF(ISBLANK('Q:\Abteilungsprojekte\eng\EngData\AOS\Allgemein\[LabSamples2025.xlsx]Bioplastic'!G633)," ",'Q:\Abteilungsprojekte\eng\EngData\AOS\Allgemein\[LabSamples2025.xlsx]Bioplastic'!G633)</f>
        <v/>
      </c>
      <c r="H633">
        <f>IF(ISBLANK('Q:\Abteilungsprojekte\eng\EngData\AOS\Allgemein\[LabSamples2025.xlsx]Bioplastic'!H633)," ",'Q:\Abteilungsprojekte\eng\EngData\AOS\Allgemein\[LabSamples2025.xlsx]Bioplastic'!H633)</f>
        <v/>
      </c>
    </row>
    <row r="634">
      <c r="A634">
        <f>IF(ISBLANK('Q:\Abteilungsprojekte\eng\EngData\AOS\Allgemein\[LabSamples2025.xlsx]Bioplastic'!A634)," ",'Q:\Abteilungsprojekte\eng\EngData\AOS\Allgemein\[LabSamples2025.xlsx]Bioplastic'!A634)</f>
        <v/>
      </c>
      <c r="B634">
        <f>IF(ISBLANK('Q:\Abteilungsprojekte\eng\EngData\AOS\Allgemein\[LabSamples2025.xlsx]Bioplastic'!B634)," ",'Q:\Abteilungsprojekte\eng\EngData\AOS\Allgemein\[LabSamples2025.xlsx]Bioplastic'!B634)</f>
        <v/>
      </c>
      <c r="C634">
        <f>IF(ISBLANK('Q:\Abteilungsprojekte\eng\EngData\AOS\Allgemein\[LabSamples2025.xlsx]Bioplastic'!C634)," ",'Q:\Abteilungsprojekte\eng\EngData\AOS\Allgemein\[LabSamples2025.xlsx]Bioplastic'!C634)</f>
        <v/>
      </c>
      <c r="D634">
        <f>IF(ISBLANK('Q:\Abteilungsprojekte\eng\EngData\AOS\Allgemein\[LabSamples2025.xlsx]Bioplastic'!D634)," ",'Q:\Abteilungsprojekte\eng\EngData\AOS\Allgemein\[LabSamples2025.xlsx]Bioplastic'!D634)</f>
        <v/>
      </c>
      <c r="E634">
        <f>IF(ISBLANK('Q:\Abteilungsprojekte\eng\EngData\AOS\Allgemein\[LabSamples2025.xlsx]Bioplastic'!E634)," ",'Q:\Abteilungsprojekte\eng\EngData\AOS\Allgemein\[LabSamples2025.xlsx]Bioplastic'!E634)</f>
        <v/>
      </c>
      <c r="F634">
        <f>IF(ISBLANK('Q:\Abteilungsprojekte\eng\EngData\AOS\Allgemein\[LabSamples2025.xlsx]Bioplastic'!F634)," ",'Q:\Abteilungsprojekte\eng\EngData\AOS\Allgemein\[LabSamples2025.xlsx]Bioplastic'!F634)</f>
        <v/>
      </c>
      <c r="G634">
        <f>IF(ISBLANK('Q:\Abteilungsprojekte\eng\EngData\AOS\Allgemein\[LabSamples2025.xlsx]Bioplastic'!G634)," ",'Q:\Abteilungsprojekte\eng\EngData\AOS\Allgemein\[LabSamples2025.xlsx]Bioplastic'!G634)</f>
        <v/>
      </c>
      <c r="H634">
        <f>IF(ISBLANK('Q:\Abteilungsprojekte\eng\EngData\AOS\Allgemein\[LabSamples2025.xlsx]Bioplastic'!H634)," ",'Q:\Abteilungsprojekte\eng\EngData\AOS\Allgemein\[LabSamples2025.xlsx]Bioplastic'!H634)</f>
        <v/>
      </c>
    </row>
    <row r="635">
      <c r="A635">
        <f>IF(ISBLANK('Q:\Abteilungsprojekte\eng\EngData\AOS\Allgemein\[LabSamples2025.xlsx]Bioplastic'!A635)," ",'Q:\Abteilungsprojekte\eng\EngData\AOS\Allgemein\[LabSamples2025.xlsx]Bioplastic'!A635)</f>
        <v/>
      </c>
      <c r="B635">
        <f>IF(ISBLANK('Q:\Abteilungsprojekte\eng\EngData\AOS\Allgemein\[LabSamples2025.xlsx]Bioplastic'!B635)," ",'Q:\Abteilungsprojekte\eng\EngData\AOS\Allgemein\[LabSamples2025.xlsx]Bioplastic'!B635)</f>
        <v/>
      </c>
      <c r="C635">
        <f>IF(ISBLANK('Q:\Abteilungsprojekte\eng\EngData\AOS\Allgemein\[LabSamples2025.xlsx]Bioplastic'!C635)," ",'Q:\Abteilungsprojekte\eng\EngData\AOS\Allgemein\[LabSamples2025.xlsx]Bioplastic'!C635)</f>
        <v/>
      </c>
      <c r="D635">
        <f>IF(ISBLANK('Q:\Abteilungsprojekte\eng\EngData\AOS\Allgemein\[LabSamples2025.xlsx]Bioplastic'!D635)," ",'Q:\Abteilungsprojekte\eng\EngData\AOS\Allgemein\[LabSamples2025.xlsx]Bioplastic'!D635)</f>
        <v/>
      </c>
      <c r="E635">
        <f>IF(ISBLANK('Q:\Abteilungsprojekte\eng\EngData\AOS\Allgemein\[LabSamples2025.xlsx]Bioplastic'!E635)," ",'Q:\Abteilungsprojekte\eng\EngData\AOS\Allgemein\[LabSamples2025.xlsx]Bioplastic'!E635)</f>
        <v/>
      </c>
      <c r="F635">
        <f>IF(ISBLANK('Q:\Abteilungsprojekte\eng\EngData\AOS\Allgemein\[LabSamples2025.xlsx]Bioplastic'!F635)," ",'Q:\Abteilungsprojekte\eng\EngData\AOS\Allgemein\[LabSamples2025.xlsx]Bioplastic'!F635)</f>
        <v/>
      </c>
      <c r="G635">
        <f>IF(ISBLANK('Q:\Abteilungsprojekte\eng\EngData\AOS\Allgemein\[LabSamples2025.xlsx]Bioplastic'!G635)," ",'Q:\Abteilungsprojekte\eng\EngData\AOS\Allgemein\[LabSamples2025.xlsx]Bioplastic'!G635)</f>
        <v/>
      </c>
      <c r="H635">
        <f>IF(ISBLANK('Q:\Abteilungsprojekte\eng\EngData\AOS\Allgemein\[LabSamples2025.xlsx]Bioplastic'!H635)," ",'Q:\Abteilungsprojekte\eng\EngData\AOS\Allgemein\[LabSamples2025.xlsx]Bioplastic'!H635)</f>
        <v/>
      </c>
    </row>
    <row r="636">
      <c r="A636">
        <f>IF(ISBLANK('Q:\Abteilungsprojekte\eng\EngData\AOS\Allgemein\[LabSamples2025.xlsx]Bioplastic'!A636)," ",'Q:\Abteilungsprojekte\eng\EngData\AOS\Allgemein\[LabSamples2025.xlsx]Bioplastic'!A636)</f>
        <v/>
      </c>
      <c r="B636">
        <f>IF(ISBLANK('Q:\Abteilungsprojekte\eng\EngData\AOS\Allgemein\[LabSamples2025.xlsx]Bioplastic'!B636)," ",'Q:\Abteilungsprojekte\eng\EngData\AOS\Allgemein\[LabSamples2025.xlsx]Bioplastic'!B636)</f>
        <v/>
      </c>
      <c r="C636">
        <f>IF(ISBLANK('Q:\Abteilungsprojekte\eng\EngData\AOS\Allgemein\[LabSamples2025.xlsx]Bioplastic'!C636)," ",'Q:\Abteilungsprojekte\eng\EngData\AOS\Allgemein\[LabSamples2025.xlsx]Bioplastic'!C636)</f>
        <v/>
      </c>
      <c r="D636">
        <f>IF(ISBLANK('Q:\Abteilungsprojekte\eng\EngData\AOS\Allgemein\[LabSamples2025.xlsx]Bioplastic'!D636)," ",'Q:\Abteilungsprojekte\eng\EngData\AOS\Allgemein\[LabSamples2025.xlsx]Bioplastic'!D636)</f>
        <v/>
      </c>
      <c r="E636">
        <f>IF(ISBLANK('Q:\Abteilungsprojekte\eng\EngData\AOS\Allgemein\[LabSamples2025.xlsx]Bioplastic'!E636)," ",'Q:\Abteilungsprojekte\eng\EngData\AOS\Allgemein\[LabSamples2025.xlsx]Bioplastic'!E636)</f>
        <v/>
      </c>
      <c r="F636">
        <f>IF(ISBLANK('Q:\Abteilungsprojekte\eng\EngData\AOS\Allgemein\[LabSamples2025.xlsx]Bioplastic'!F636)," ",'Q:\Abteilungsprojekte\eng\EngData\AOS\Allgemein\[LabSamples2025.xlsx]Bioplastic'!F636)</f>
        <v/>
      </c>
      <c r="G636">
        <f>IF(ISBLANK('Q:\Abteilungsprojekte\eng\EngData\AOS\Allgemein\[LabSamples2025.xlsx]Bioplastic'!G636)," ",'Q:\Abteilungsprojekte\eng\EngData\AOS\Allgemein\[LabSamples2025.xlsx]Bioplastic'!G636)</f>
        <v/>
      </c>
      <c r="H636">
        <f>IF(ISBLANK('Q:\Abteilungsprojekte\eng\EngData\AOS\Allgemein\[LabSamples2025.xlsx]Bioplastic'!H636)," ",'Q:\Abteilungsprojekte\eng\EngData\AOS\Allgemein\[LabSamples2025.xlsx]Bioplastic'!H636)</f>
        <v/>
      </c>
    </row>
    <row r="637">
      <c r="A637">
        <f>IF(ISBLANK('Q:\Abteilungsprojekte\eng\EngData\AOS\Allgemein\[LabSamples2025.xlsx]Bioplastic'!A637)," ",'Q:\Abteilungsprojekte\eng\EngData\AOS\Allgemein\[LabSamples2025.xlsx]Bioplastic'!A637)</f>
        <v/>
      </c>
      <c r="B637">
        <f>IF(ISBLANK('Q:\Abteilungsprojekte\eng\EngData\AOS\Allgemein\[LabSamples2025.xlsx]Bioplastic'!B637)," ",'Q:\Abteilungsprojekte\eng\EngData\AOS\Allgemein\[LabSamples2025.xlsx]Bioplastic'!B637)</f>
        <v/>
      </c>
      <c r="C637">
        <f>IF(ISBLANK('Q:\Abteilungsprojekte\eng\EngData\AOS\Allgemein\[LabSamples2025.xlsx]Bioplastic'!C637)," ",'Q:\Abteilungsprojekte\eng\EngData\AOS\Allgemein\[LabSamples2025.xlsx]Bioplastic'!C637)</f>
        <v/>
      </c>
      <c r="D637">
        <f>IF(ISBLANK('Q:\Abteilungsprojekte\eng\EngData\AOS\Allgemein\[LabSamples2025.xlsx]Bioplastic'!D637)," ",'Q:\Abteilungsprojekte\eng\EngData\AOS\Allgemein\[LabSamples2025.xlsx]Bioplastic'!D637)</f>
        <v/>
      </c>
      <c r="E637">
        <f>IF(ISBLANK('Q:\Abteilungsprojekte\eng\EngData\AOS\Allgemein\[LabSamples2025.xlsx]Bioplastic'!E637)," ",'Q:\Abteilungsprojekte\eng\EngData\AOS\Allgemein\[LabSamples2025.xlsx]Bioplastic'!E637)</f>
        <v/>
      </c>
      <c r="F637">
        <f>IF(ISBLANK('Q:\Abteilungsprojekte\eng\EngData\AOS\Allgemein\[LabSamples2025.xlsx]Bioplastic'!F637)," ",'Q:\Abteilungsprojekte\eng\EngData\AOS\Allgemein\[LabSamples2025.xlsx]Bioplastic'!F637)</f>
        <v/>
      </c>
      <c r="G637">
        <f>IF(ISBLANK('Q:\Abteilungsprojekte\eng\EngData\AOS\Allgemein\[LabSamples2025.xlsx]Bioplastic'!G637)," ",'Q:\Abteilungsprojekte\eng\EngData\AOS\Allgemein\[LabSamples2025.xlsx]Bioplastic'!G637)</f>
        <v/>
      </c>
      <c r="H637">
        <f>IF(ISBLANK('Q:\Abteilungsprojekte\eng\EngData\AOS\Allgemein\[LabSamples2025.xlsx]Bioplastic'!H637)," ",'Q:\Abteilungsprojekte\eng\EngData\AOS\Allgemein\[LabSamples2025.xlsx]Bioplastic'!H637)</f>
        <v/>
      </c>
    </row>
    <row r="638">
      <c r="A638">
        <f>IF(ISBLANK('Q:\Abteilungsprojekte\eng\EngData\AOS\Allgemein\[LabSamples2025.xlsx]Bioplastic'!A638)," ",'Q:\Abteilungsprojekte\eng\EngData\AOS\Allgemein\[LabSamples2025.xlsx]Bioplastic'!A638)</f>
        <v/>
      </c>
      <c r="B638">
        <f>IF(ISBLANK('Q:\Abteilungsprojekte\eng\EngData\AOS\Allgemein\[LabSamples2025.xlsx]Bioplastic'!B638)," ",'Q:\Abteilungsprojekte\eng\EngData\AOS\Allgemein\[LabSamples2025.xlsx]Bioplastic'!B638)</f>
        <v/>
      </c>
      <c r="C638">
        <f>IF(ISBLANK('Q:\Abteilungsprojekte\eng\EngData\AOS\Allgemein\[LabSamples2025.xlsx]Bioplastic'!C638)," ",'Q:\Abteilungsprojekte\eng\EngData\AOS\Allgemein\[LabSamples2025.xlsx]Bioplastic'!C638)</f>
        <v/>
      </c>
      <c r="D638">
        <f>IF(ISBLANK('Q:\Abteilungsprojekte\eng\EngData\AOS\Allgemein\[LabSamples2025.xlsx]Bioplastic'!D638)," ",'Q:\Abteilungsprojekte\eng\EngData\AOS\Allgemein\[LabSamples2025.xlsx]Bioplastic'!D638)</f>
        <v/>
      </c>
      <c r="E638">
        <f>IF(ISBLANK('Q:\Abteilungsprojekte\eng\EngData\AOS\Allgemein\[LabSamples2025.xlsx]Bioplastic'!E638)," ",'Q:\Abteilungsprojekte\eng\EngData\AOS\Allgemein\[LabSamples2025.xlsx]Bioplastic'!E638)</f>
        <v/>
      </c>
      <c r="F638">
        <f>IF(ISBLANK('Q:\Abteilungsprojekte\eng\EngData\AOS\Allgemein\[LabSamples2025.xlsx]Bioplastic'!F638)," ",'Q:\Abteilungsprojekte\eng\EngData\AOS\Allgemein\[LabSamples2025.xlsx]Bioplastic'!F638)</f>
        <v/>
      </c>
      <c r="G638">
        <f>IF(ISBLANK('Q:\Abteilungsprojekte\eng\EngData\AOS\Allgemein\[LabSamples2025.xlsx]Bioplastic'!G638)," ",'Q:\Abteilungsprojekte\eng\EngData\AOS\Allgemein\[LabSamples2025.xlsx]Bioplastic'!G638)</f>
        <v/>
      </c>
      <c r="H638">
        <f>IF(ISBLANK('Q:\Abteilungsprojekte\eng\EngData\AOS\Allgemein\[LabSamples2025.xlsx]Bioplastic'!H638)," ",'Q:\Abteilungsprojekte\eng\EngData\AOS\Allgemein\[LabSamples2025.xlsx]Bioplastic'!H638)</f>
        <v/>
      </c>
    </row>
    <row r="639">
      <c r="A639">
        <f>IF(ISBLANK('Q:\Abteilungsprojekte\eng\EngData\AOS\Allgemein\[LabSamples2025.xlsx]Bioplastic'!A639)," ",'Q:\Abteilungsprojekte\eng\EngData\AOS\Allgemein\[LabSamples2025.xlsx]Bioplastic'!A639)</f>
        <v/>
      </c>
      <c r="B639">
        <f>IF(ISBLANK('Q:\Abteilungsprojekte\eng\EngData\AOS\Allgemein\[LabSamples2025.xlsx]Bioplastic'!B639)," ",'Q:\Abteilungsprojekte\eng\EngData\AOS\Allgemein\[LabSamples2025.xlsx]Bioplastic'!B639)</f>
        <v/>
      </c>
      <c r="C639">
        <f>IF(ISBLANK('Q:\Abteilungsprojekte\eng\EngData\AOS\Allgemein\[LabSamples2025.xlsx]Bioplastic'!C639)," ",'Q:\Abteilungsprojekte\eng\EngData\AOS\Allgemein\[LabSamples2025.xlsx]Bioplastic'!C639)</f>
        <v/>
      </c>
      <c r="D639">
        <f>IF(ISBLANK('Q:\Abteilungsprojekte\eng\EngData\AOS\Allgemein\[LabSamples2025.xlsx]Bioplastic'!D639)," ",'Q:\Abteilungsprojekte\eng\EngData\AOS\Allgemein\[LabSamples2025.xlsx]Bioplastic'!D639)</f>
        <v/>
      </c>
      <c r="E639">
        <f>IF(ISBLANK('Q:\Abteilungsprojekte\eng\EngData\AOS\Allgemein\[LabSamples2025.xlsx]Bioplastic'!E639)," ",'Q:\Abteilungsprojekte\eng\EngData\AOS\Allgemein\[LabSamples2025.xlsx]Bioplastic'!E639)</f>
        <v/>
      </c>
      <c r="F639">
        <f>IF(ISBLANK('Q:\Abteilungsprojekte\eng\EngData\AOS\Allgemein\[LabSamples2025.xlsx]Bioplastic'!F639)," ",'Q:\Abteilungsprojekte\eng\EngData\AOS\Allgemein\[LabSamples2025.xlsx]Bioplastic'!F639)</f>
        <v/>
      </c>
      <c r="G639">
        <f>IF(ISBLANK('Q:\Abteilungsprojekte\eng\EngData\AOS\Allgemein\[LabSamples2025.xlsx]Bioplastic'!G639)," ",'Q:\Abteilungsprojekte\eng\EngData\AOS\Allgemein\[LabSamples2025.xlsx]Bioplastic'!G639)</f>
        <v/>
      </c>
      <c r="H639">
        <f>IF(ISBLANK('Q:\Abteilungsprojekte\eng\EngData\AOS\Allgemein\[LabSamples2025.xlsx]Bioplastic'!H639)," ",'Q:\Abteilungsprojekte\eng\EngData\AOS\Allgemein\[LabSamples2025.xlsx]Bioplastic'!H639)</f>
        <v/>
      </c>
    </row>
    <row r="640">
      <c r="A640">
        <f>IF(ISBLANK('Q:\Abteilungsprojekte\eng\EngData\AOS\Allgemein\[LabSamples2025.xlsx]Bioplastic'!A640)," ",'Q:\Abteilungsprojekte\eng\EngData\AOS\Allgemein\[LabSamples2025.xlsx]Bioplastic'!A640)</f>
        <v/>
      </c>
      <c r="B640">
        <f>IF(ISBLANK('Q:\Abteilungsprojekte\eng\EngData\AOS\Allgemein\[LabSamples2025.xlsx]Bioplastic'!B640)," ",'Q:\Abteilungsprojekte\eng\EngData\AOS\Allgemein\[LabSamples2025.xlsx]Bioplastic'!B640)</f>
        <v/>
      </c>
      <c r="C640">
        <f>IF(ISBLANK('Q:\Abteilungsprojekte\eng\EngData\AOS\Allgemein\[LabSamples2025.xlsx]Bioplastic'!C640)," ",'Q:\Abteilungsprojekte\eng\EngData\AOS\Allgemein\[LabSamples2025.xlsx]Bioplastic'!C640)</f>
        <v/>
      </c>
      <c r="D640">
        <f>IF(ISBLANK('Q:\Abteilungsprojekte\eng\EngData\AOS\Allgemein\[LabSamples2025.xlsx]Bioplastic'!D640)," ",'Q:\Abteilungsprojekte\eng\EngData\AOS\Allgemein\[LabSamples2025.xlsx]Bioplastic'!D640)</f>
        <v/>
      </c>
      <c r="E640">
        <f>IF(ISBLANK('Q:\Abteilungsprojekte\eng\EngData\AOS\Allgemein\[LabSamples2025.xlsx]Bioplastic'!E640)," ",'Q:\Abteilungsprojekte\eng\EngData\AOS\Allgemein\[LabSamples2025.xlsx]Bioplastic'!E640)</f>
        <v/>
      </c>
      <c r="F640">
        <f>IF(ISBLANK('Q:\Abteilungsprojekte\eng\EngData\AOS\Allgemein\[LabSamples2025.xlsx]Bioplastic'!F640)," ",'Q:\Abteilungsprojekte\eng\EngData\AOS\Allgemein\[LabSamples2025.xlsx]Bioplastic'!F640)</f>
        <v/>
      </c>
      <c r="G640">
        <f>IF(ISBLANK('Q:\Abteilungsprojekte\eng\EngData\AOS\Allgemein\[LabSamples2025.xlsx]Bioplastic'!G640)," ",'Q:\Abteilungsprojekte\eng\EngData\AOS\Allgemein\[LabSamples2025.xlsx]Bioplastic'!G640)</f>
        <v/>
      </c>
      <c r="H640">
        <f>IF(ISBLANK('Q:\Abteilungsprojekte\eng\EngData\AOS\Allgemein\[LabSamples2025.xlsx]Bioplastic'!H640)," ",'Q:\Abteilungsprojekte\eng\EngData\AOS\Allgemein\[LabSamples2025.xlsx]Bioplastic'!H640)</f>
        <v/>
      </c>
    </row>
    <row r="641">
      <c r="A641">
        <f>IF(ISBLANK('Q:\Abteilungsprojekte\eng\EngData\AOS\Allgemein\[LabSamples2025.xlsx]Bioplastic'!A641)," ",'Q:\Abteilungsprojekte\eng\EngData\AOS\Allgemein\[LabSamples2025.xlsx]Bioplastic'!A641)</f>
        <v/>
      </c>
      <c r="B641">
        <f>IF(ISBLANK('Q:\Abteilungsprojekte\eng\EngData\AOS\Allgemein\[LabSamples2025.xlsx]Bioplastic'!B641)," ",'Q:\Abteilungsprojekte\eng\EngData\AOS\Allgemein\[LabSamples2025.xlsx]Bioplastic'!B641)</f>
        <v/>
      </c>
      <c r="C641">
        <f>IF(ISBLANK('Q:\Abteilungsprojekte\eng\EngData\AOS\Allgemein\[LabSamples2025.xlsx]Bioplastic'!C641)," ",'Q:\Abteilungsprojekte\eng\EngData\AOS\Allgemein\[LabSamples2025.xlsx]Bioplastic'!C641)</f>
        <v/>
      </c>
      <c r="D641">
        <f>IF(ISBLANK('Q:\Abteilungsprojekte\eng\EngData\AOS\Allgemein\[LabSamples2025.xlsx]Bioplastic'!D641)," ",'Q:\Abteilungsprojekte\eng\EngData\AOS\Allgemein\[LabSamples2025.xlsx]Bioplastic'!D641)</f>
        <v/>
      </c>
      <c r="E641">
        <f>IF(ISBLANK('Q:\Abteilungsprojekte\eng\EngData\AOS\Allgemein\[LabSamples2025.xlsx]Bioplastic'!E641)," ",'Q:\Abteilungsprojekte\eng\EngData\AOS\Allgemein\[LabSamples2025.xlsx]Bioplastic'!E641)</f>
        <v/>
      </c>
      <c r="F641">
        <f>IF(ISBLANK('Q:\Abteilungsprojekte\eng\EngData\AOS\Allgemein\[LabSamples2025.xlsx]Bioplastic'!F641)," ",'Q:\Abteilungsprojekte\eng\EngData\AOS\Allgemein\[LabSamples2025.xlsx]Bioplastic'!F641)</f>
        <v/>
      </c>
      <c r="G641">
        <f>IF(ISBLANK('Q:\Abteilungsprojekte\eng\EngData\AOS\Allgemein\[LabSamples2025.xlsx]Bioplastic'!G641)," ",'Q:\Abteilungsprojekte\eng\EngData\AOS\Allgemein\[LabSamples2025.xlsx]Bioplastic'!G641)</f>
        <v/>
      </c>
      <c r="H641">
        <f>IF(ISBLANK('Q:\Abteilungsprojekte\eng\EngData\AOS\Allgemein\[LabSamples2025.xlsx]Bioplastic'!H641)," ",'Q:\Abteilungsprojekte\eng\EngData\AOS\Allgemein\[LabSamples2025.xlsx]Bioplastic'!H641)</f>
        <v/>
      </c>
    </row>
    <row r="642">
      <c r="A642">
        <f>IF(ISBLANK('Q:\Abteilungsprojekte\eng\EngData\AOS\Allgemein\[LabSamples2025.xlsx]Bioplastic'!A642)," ",'Q:\Abteilungsprojekte\eng\EngData\AOS\Allgemein\[LabSamples2025.xlsx]Bioplastic'!A642)</f>
        <v/>
      </c>
      <c r="B642">
        <f>IF(ISBLANK('Q:\Abteilungsprojekte\eng\EngData\AOS\Allgemein\[LabSamples2025.xlsx]Bioplastic'!B642)," ",'Q:\Abteilungsprojekte\eng\EngData\AOS\Allgemein\[LabSamples2025.xlsx]Bioplastic'!B642)</f>
        <v/>
      </c>
      <c r="C642">
        <f>IF(ISBLANK('Q:\Abteilungsprojekte\eng\EngData\AOS\Allgemein\[LabSamples2025.xlsx]Bioplastic'!C642)," ",'Q:\Abteilungsprojekte\eng\EngData\AOS\Allgemein\[LabSamples2025.xlsx]Bioplastic'!C642)</f>
        <v/>
      </c>
      <c r="D642">
        <f>IF(ISBLANK('Q:\Abteilungsprojekte\eng\EngData\AOS\Allgemein\[LabSamples2025.xlsx]Bioplastic'!D642)," ",'Q:\Abteilungsprojekte\eng\EngData\AOS\Allgemein\[LabSamples2025.xlsx]Bioplastic'!D642)</f>
        <v/>
      </c>
      <c r="E642">
        <f>IF(ISBLANK('Q:\Abteilungsprojekte\eng\EngData\AOS\Allgemein\[LabSamples2025.xlsx]Bioplastic'!E642)," ",'Q:\Abteilungsprojekte\eng\EngData\AOS\Allgemein\[LabSamples2025.xlsx]Bioplastic'!E642)</f>
        <v/>
      </c>
      <c r="F642">
        <f>IF(ISBLANK('Q:\Abteilungsprojekte\eng\EngData\AOS\Allgemein\[LabSamples2025.xlsx]Bioplastic'!F642)," ",'Q:\Abteilungsprojekte\eng\EngData\AOS\Allgemein\[LabSamples2025.xlsx]Bioplastic'!F642)</f>
        <v/>
      </c>
      <c r="G642">
        <f>IF(ISBLANK('Q:\Abteilungsprojekte\eng\EngData\AOS\Allgemein\[LabSamples2025.xlsx]Bioplastic'!G642)," ",'Q:\Abteilungsprojekte\eng\EngData\AOS\Allgemein\[LabSamples2025.xlsx]Bioplastic'!G642)</f>
        <v/>
      </c>
      <c r="H642">
        <f>IF(ISBLANK('Q:\Abteilungsprojekte\eng\EngData\AOS\Allgemein\[LabSamples2025.xlsx]Bioplastic'!H642)," ",'Q:\Abteilungsprojekte\eng\EngData\AOS\Allgemein\[LabSamples2025.xlsx]Bioplastic'!H642)</f>
        <v/>
      </c>
    </row>
    <row r="643">
      <c r="A643">
        <f>IF(ISBLANK('Q:\Abteilungsprojekte\eng\EngData\AOS\Allgemein\[LabSamples2025.xlsx]Bioplastic'!A643)," ",'Q:\Abteilungsprojekte\eng\EngData\AOS\Allgemein\[LabSamples2025.xlsx]Bioplastic'!A643)</f>
        <v/>
      </c>
      <c r="B643">
        <f>IF(ISBLANK('Q:\Abteilungsprojekte\eng\EngData\AOS\Allgemein\[LabSamples2025.xlsx]Bioplastic'!B643)," ",'Q:\Abteilungsprojekte\eng\EngData\AOS\Allgemein\[LabSamples2025.xlsx]Bioplastic'!B643)</f>
        <v/>
      </c>
      <c r="C643">
        <f>IF(ISBLANK('Q:\Abteilungsprojekte\eng\EngData\AOS\Allgemein\[LabSamples2025.xlsx]Bioplastic'!C643)," ",'Q:\Abteilungsprojekte\eng\EngData\AOS\Allgemein\[LabSamples2025.xlsx]Bioplastic'!C643)</f>
        <v/>
      </c>
      <c r="D643">
        <f>IF(ISBLANK('Q:\Abteilungsprojekte\eng\EngData\AOS\Allgemein\[LabSamples2025.xlsx]Bioplastic'!D643)," ",'Q:\Abteilungsprojekte\eng\EngData\AOS\Allgemein\[LabSamples2025.xlsx]Bioplastic'!D643)</f>
        <v/>
      </c>
      <c r="E643">
        <f>IF(ISBLANK('Q:\Abteilungsprojekte\eng\EngData\AOS\Allgemein\[LabSamples2025.xlsx]Bioplastic'!E643)," ",'Q:\Abteilungsprojekte\eng\EngData\AOS\Allgemein\[LabSamples2025.xlsx]Bioplastic'!E643)</f>
        <v/>
      </c>
      <c r="F643">
        <f>IF(ISBLANK('Q:\Abteilungsprojekte\eng\EngData\AOS\Allgemein\[LabSamples2025.xlsx]Bioplastic'!F643)," ",'Q:\Abteilungsprojekte\eng\EngData\AOS\Allgemein\[LabSamples2025.xlsx]Bioplastic'!F643)</f>
        <v/>
      </c>
      <c r="G643">
        <f>IF(ISBLANK('Q:\Abteilungsprojekte\eng\EngData\AOS\Allgemein\[LabSamples2025.xlsx]Bioplastic'!G643)," ",'Q:\Abteilungsprojekte\eng\EngData\AOS\Allgemein\[LabSamples2025.xlsx]Bioplastic'!G643)</f>
        <v/>
      </c>
      <c r="H643">
        <f>IF(ISBLANK('Q:\Abteilungsprojekte\eng\EngData\AOS\Allgemein\[LabSamples2025.xlsx]Bioplastic'!H643)," ",'Q:\Abteilungsprojekte\eng\EngData\AOS\Allgemein\[LabSamples2025.xlsx]Bioplastic'!H643)</f>
        <v/>
      </c>
    </row>
    <row r="644">
      <c r="A644">
        <f>IF(ISBLANK('Q:\Abteilungsprojekte\eng\EngData\AOS\Allgemein\[LabSamples2025.xlsx]Bioplastic'!A644)," ",'Q:\Abteilungsprojekte\eng\EngData\AOS\Allgemein\[LabSamples2025.xlsx]Bioplastic'!A644)</f>
        <v/>
      </c>
      <c r="B644">
        <f>IF(ISBLANK('Q:\Abteilungsprojekte\eng\EngData\AOS\Allgemein\[LabSamples2025.xlsx]Bioplastic'!B644)," ",'Q:\Abteilungsprojekte\eng\EngData\AOS\Allgemein\[LabSamples2025.xlsx]Bioplastic'!B644)</f>
        <v/>
      </c>
      <c r="C644">
        <f>IF(ISBLANK('Q:\Abteilungsprojekte\eng\EngData\AOS\Allgemein\[LabSamples2025.xlsx]Bioplastic'!C644)," ",'Q:\Abteilungsprojekte\eng\EngData\AOS\Allgemein\[LabSamples2025.xlsx]Bioplastic'!C644)</f>
        <v/>
      </c>
      <c r="D644">
        <f>IF(ISBLANK('Q:\Abteilungsprojekte\eng\EngData\AOS\Allgemein\[LabSamples2025.xlsx]Bioplastic'!D644)," ",'Q:\Abteilungsprojekte\eng\EngData\AOS\Allgemein\[LabSamples2025.xlsx]Bioplastic'!D644)</f>
        <v/>
      </c>
      <c r="E644">
        <f>IF(ISBLANK('Q:\Abteilungsprojekte\eng\EngData\AOS\Allgemein\[LabSamples2025.xlsx]Bioplastic'!E644)," ",'Q:\Abteilungsprojekte\eng\EngData\AOS\Allgemein\[LabSamples2025.xlsx]Bioplastic'!E644)</f>
        <v/>
      </c>
      <c r="F644">
        <f>IF(ISBLANK('Q:\Abteilungsprojekte\eng\EngData\AOS\Allgemein\[LabSamples2025.xlsx]Bioplastic'!F644)," ",'Q:\Abteilungsprojekte\eng\EngData\AOS\Allgemein\[LabSamples2025.xlsx]Bioplastic'!F644)</f>
        <v/>
      </c>
      <c r="G644">
        <f>IF(ISBLANK('Q:\Abteilungsprojekte\eng\EngData\AOS\Allgemein\[LabSamples2025.xlsx]Bioplastic'!G644)," ",'Q:\Abteilungsprojekte\eng\EngData\AOS\Allgemein\[LabSamples2025.xlsx]Bioplastic'!G644)</f>
        <v/>
      </c>
      <c r="H644">
        <f>IF(ISBLANK('Q:\Abteilungsprojekte\eng\EngData\AOS\Allgemein\[LabSamples2025.xlsx]Bioplastic'!H644)," ",'Q:\Abteilungsprojekte\eng\EngData\AOS\Allgemein\[LabSamples2025.xlsx]Bioplastic'!H644)</f>
        <v/>
      </c>
    </row>
    <row r="645">
      <c r="A645">
        <f>IF(ISBLANK('Q:\Abteilungsprojekte\eng\EngData\AOS\Allgemein\[LabSamples2025.xlsx]Bioplastic'!A645)," ",'Q:\Abteilungsprojekte\eng\EngData\AOS\Allgemein\[LabSamples2025.xlsx]Bioplastic'!A645)</f>
        <v/>
      </c>
      <c r="B645">
        <f>IF(ISBLANK('Q:\Abteilungsprojekte\eng\EngData\AOS\Allgemein\[LabSamples2025.xlsx]Bioplastic'!B645)," ",'Q:\Abteilungsprojekte\eng\EngData\AOS\Allgemein\[LabSamples2025.xlsx]Bioplastic'!B645)</f>
        <v/>
      </c>
      <c r="C645">
        <f>IF(ISBLANK('Q:\Abteilungsprojekte\eng\EngData\AOS\Allgemein\[LabSamples2025.xlsx]Bioplastic'!C645)," ",'Q:\Abteilungsprojekte\eng\EngData\AOS\Allgemein\[LabSamples2025.xlsx]Bioplastic'!C645)</f>
        <v/>
      </c>
      <c r="D645">
        <f>IF(ISBLANK('Q:\Abteilungsprojekte\eng\EngData\AOS\Allgemein\[LabSamples2025.xlsx]Bioplastic'!D645)," ",'Q:\Abteilungsprojekte\eng\EngData\AOS\Allgemein\[LabSamples2025.xlsx]Bioplastic'!D645)</f>
        <v/>
      </c>
      <c r="E645">
        <f>IF(ISBLANK('Q:\Abteilungsprojekte\eng\EngData\AOS\Allgemein\[LabSamples2025.xlsx]Bioplastic'!E645)," ",'Q:\Abteilungsprojekte\eng\EngData\AOS\Allgemein\[LabSamples2025.xlsx]Bioplastic'!E645)</f>
        <v/>
      </c>
      <c r="F645">
        <f>IF(ISBLANK('Q:\Abteilungsprojekte\eng\EngData\AOS\Allgemein\[LabSamples2025.xlsx]Bioplastic'!F645)," ",'Q:\Abteilungsprojekte\eng\EngData\AOS\Allgemein\[LabSamples2025.xlsx]Bioplastic'!F645)</f>
        <v/>
      </c>
      <c r="G645">
        <f>IF(ISBLANK('Q:\Abteilungsprojekte\eng\EngData\AOS\Allgemein\[LabSamples2025.xlsx]Bioplastic'!G645)," ",'Q:\Abteilungsprojekte\eng\EngData\AOS\Allgemein\[LabSamples2025.xlsx]Bioplastic'!G645)</f>
        <v/>
      </c>
      <c r="H645">
        <f>IF(ISBLANK('Q:\Abteilungsprojekte\eng\EngData\AOS\Allgemein\[LabSamples2025.xlsx]Bioplastic'!H645)," ",'Q:\Abteilungsprojekte\eng\EngData\AOS\Allgemein\[LabSamples2025.xlsx]Bioplastic'!H645)</f>
        <v/>
      </c>
    </row>
    <row r="646">
      <c r="A646">
        <f>IF(ISBLANK('Q:\Abteilungsprojekte\eng\EngData\AOS\Allgemein\[LabSamples2025.xlsx]Bioplastic'!A646)," ",'Q:\Abteilungsprojekte\eng\EngData\AOS\Allgemein\[LabSamples2025.xlsx]Bioplastic'!A646)</f>
        <v/>
      </c>
      <c r="B646">
        <f>IF(ISBLANK('Q:\Abteilungsprojekte\eng\EngData\AOS\Allgemein\[LabSamples2025.xlsx]Bioplastic'!B646)," ",'Q:\Abteilungsprojekte\eng\EngData\AOS\Allgemein\[LabSamples2025.xlsx]Bioplastic'!B646)</f>
        <v/>
      </c>
      <c r="C646">
        <f>IF(ISBLANK('Q:\Abteilungsprojekte\eng\EngData\AOS\Allgemein\[LabSamples2025.xlsx]Bioplastic'!C646)," ",'Q:\Abteilungsprojekte\eng\EngData\AOS\Allgemein\[LabSamples2025.xlsx]Bioplastic'!C646)</f>
        <v/>
      </c>
      <c r="D646">
        <f>IF(ISBLANK('Q:\Abteilungsprojekte\eng\EngData\AOS\Allgemein\[LabSamples2025.xlsx]Bioplastic'!D646)," ",'Q:\Abteilungsprojekte\eng\EngData\AOS\Allgemein\[LabSamples2025.xlsx]Bioplastic'!D646)</f>
        <v/>
      </c>
      <c r="E646">
        <f>IF(ISBLANK('Q:\Abteilungsprojekte\eng\EngData\AOS\Allgemein\[LabSamples2025.xlsx]Bioplastic'!E646)," ",'Q:\Abteilungsprojekte\eng\EngData\AOS\Allgemein\[LabSamples2025.xlsx]Bioplastic'!E646)</f>
        <v/>
      </c>
      <c r="F646">
        <f>IF(ISBLANK('Q:\Abteilungsprojekte\eng\EngData\AOS\Allgemein\[LabSamples2025.xlsx]Bioplastic'!F646)," ",'Q:\Abteilungsprojekte\eng\EngData\AOS\Allgemein\[LabSamples2025.xlsx]Bioplastic'!F646)</f>
        <v/>
      </c>
      <c r="G646">
        <f>IF(ISBLANK('Q:\Abteilungsprojekte\eng\EngData\AOS\Allgemein\[LabSamples2025.xlsx]Bioplastic'!G646)," ",'Q:\Abteilungsprojekte\eng\EngData\AOS\Allgemein\[LabSamples2025.xlsx]Bioplastic'!G646)</f>
        <v/>
      </c>
      <c r="H646">
        <f>IF(ISBLANK('Q:\Abteilungsprojekte\eng\EngData\AOS\Allgemein\[LabSamples2025.xlsx]Bioplastic'!H646)," ",'Q:\Abteilungsprojekte\eng\EngData\AOS\Allgemein\[LabSamples2025.xlsx]Bioplastic'!H646)</f>
        <v/>
      </c>
    </row>
    <row r="647">
      <c r="A647">
        <f>IF(ISBLANK('Q:\Abteilungsprojekte\eng\EngData\AOS\Allgemein\[LabSamples2025.xlsx]Bioplastic'!A647)," ",'Q:\Abteilungsprojekte\eng\EngData\AOS\Allgemein\[LabSamples2025.xlsx]Bioplastic'!A647)</f>
        <v/>
      </c>
      <c r="B647">
        <f>IF(ISBLANK('Q:\Abteilungsprojekte\eng\EngData\AOS\Allgemein\[LabSamples2025.xlsx]Bioplastic'!B647)," ",'Q:\Abteilungsprojekte\eng\EngData\AOS\Allgemein\[LabSamples2025.xlsx]Bioplastic'!B647)</f>
        <v/>
      </c>
      <c r="C647">
        <f>IF(ISBLANK('Q:\Abteilungsprojekte\eng\EngData\AOS\Allgemein\[LabSamples2025.xlsx]Bioplastic'!C647)," ",'Q:\Abteilungsprojekte\eng\EngData\AOS\Allgemein\[LabSamples2025.xlsx]Bioplastic'!C647)</f>
        <v/>
      </c>
      <c r="D647">
        <f>IF(ISBLANK('Q:\Abteilungsprojekte\eng\EngData\AOS\Allgemein\[LabSamples2025.xlsx]Bioplastic'!D647)," ",'Q:\Abteilungsprojekte\eng\EngData\AOS\Allgemein\[LabSamples2025.xlsx]Bioplastic'!D647)</f>
        <v/>
      </c>
      <c r="E647">
        <f>IF(ISBLANK('Q:\Abteilungsprojekte\eng\EngData\AOS\Allgemein\[LabSamples2025.xlsx]Bioplastic'!E647)," ",'Q:\Abteilungsprojekte\eng\EngData\AOS\Allgemein\[LabSamples2025.xlsx]Bioplastic'!E647)</f>
        <v/>
      </c>
      <c r="F647">
        <f>IF(ISBLANK('Q:\Abteilungsprojekte\eng\EngData\AOS\Allgemein\[LabSamples2025.xlsx]Bioplastic'!F647)," ",'Q:\Abteilungsprojekte\eng\EngData\AOS\Allgemein\[LabSamples2025.xlsx]Bioplastic'!F647)</f>
        <v/>
      </c>
      <c r="G647">
        <f>IF(ISBLANK('Q:\Abteilungsprojekte\eng\EngData\AOS\Allgemein\[LabSamples2025.xlsx]Bioplastic'!G647)," ",'Q:\Abteilungsprojekte\eng\EngData\AOS\Allgemein\[LabSamples2025.xlsx]Bioplastic'!G647)</f>
        <v/>
      </c>
      <c r="H647">
        <f>IF(ISBLANK('Q:\Abteilungsprojekte\eng\EngData\AOS\Allgemein\[LabSamples2025.xlsx]Bioplastic'!H647)," ",'Q:\Abteilungsprojekte\eng\EngData\AOS\Allgemein\[LabSamples2025.xlsx]Bioplastic'!H647)</f>
        <v/>
      </c>
    </row>
    <row r="648">
      <c r="A648">
        <f>IF(ISBLANK('Q:\Abteilungsprojekte\eng\EngData\AOS\Allgemein\[LabSamples2025.xlsx]Bioplastic'!A648)," ",'Q:\Abteilungsprojekte\eng\EngData\AOS\Allgemein\[LabSamples2025.xlsx]Bioplastic'!A648)</f>
        <v/>
      </c>
      <c r="B648">
        <f>IF(ISBLANK('Q:\Abteilungsprojekte\eng\EngData\AOS\Allgemein\[LabSamples2025.xlsx]Bioplastic'!B648)," ",'Q:\Abteilungsprojekte\eng\EngData\AOS\Allgemein\[LabSamples2025.xlsx]Bioplastic'!B648)</f>
        <v/>
      </c>
      <c r="C648">
        <f>IF(ISBLANK('Q:\Abteilungsprojekte\eng\EngData\AOS\Allgemein\[LabSamples2025.xlsx]Bioplastic'!C648)," ",'Q:\Abteilungsprojekte\eng\EngData\AOS\Allgemein\[LabSamples2025.xlsx]Bioplastic'!C648)</f>
        <v/>
      </c>
      <c r="D648">
        <f>IF(ISBLANK('Q:\Abteilungsprojekte\eng\EngData\AOS\Allgemein\[LabSamples2025.xlsx]Bioplastic'!D648)," ",'Q:\Abteilungsprojekte\eng\EngData\AOS\Allgemein\[LabSamples2025.xlsx]Bioplastic'!D648)</f>
        <v/>
      </c>
      <c r="E648">
        <f>IF(ISBLANK('Q:\Abteilungsprojekte\eng\EngData\AOS\Allgemein\[LabSamples2025.xlsx]Bioplastic'!E648)," ",'Q:\Abteilungsprojekte\eng\EngData\AOS\Allgemein\[LabSamples2025.xlsx]Bioplastic'!E648)</f>
        <v/>
      </c>
      <c r="F648">
        <f>IF(ISBLANK('Q:\Abteilungsprojekte\eng\EngData\AOS\Allgemein\[LabSamples2025.xlsx]Bioplastic'!F648)," ",'Q:\Abteilungsprojekte\eng\EngData\AOS\Allgemein\[LabSamples2025.xlsx]Bioplastic'!F648)</f>
        <v/>
      </c>
      <c r="G648">
        <f>IF(ISBLANK('Q:\Abteilungsprojekte\eng\EngData\AOS\Allgemein\[LabSamples2025.xlsx]Bioplastic'!G648)," ",'Q:\Abteilungsprojekte\eng\EngData\AOS\Allgemein\[LabSamples2025.xlsx]Bioplastic'!G648)</f>
        <v/>
      </c>
      <c r="H648">
        <f>IF(ISBLANK('Q:\Abteilungsprojekte\eng\EngData\AOS\Allgemein\[LabSamples2025.xlsx]Bioplastic'!H648)," ",'Q:\Abteilungsprojekte\eng\EngData\AOS\Allgemein\[LabSamples2025.xlsx]Bioplastic'!H648)</f>
        <v/>
      </c>
    </row>
    <row r="649">
      <c r="A649">
        <f>IF(ISBLANK('Q:\Abteilungsprojekte\eng\EngData\AOS\Allgemein\[LabSamples2025.xlsx]Bioplastic'!A649)," ",'Q:\Abteilungsprojekte\eng\EngData\AOS\Allgemein\[LabSamples2025.xlsx]Bioplastic'!A649)</f>
        <v/>
      </c>
      <c r="B649">
        <f>IF(ISBLANK('Q:\Abteilungsprojekte\eng\EngData\AOS\Allgemein\[LabSamples2025.xlsx]Bioplastic'!B649)," ",'Q:\Abteilungsprojekte\eng\EngData\AOS\Allgemein\[LabSamples2025.xlsx]Bioplastic'!B649)</f>
        <v/>
      </c>
      <c r="C649">
        <f>IF(ISBLANK('Q:\Abteilungsprojekte\eng\EngData\AOS\Allgemein\[LabSamples2025.xlsx]Bioplastic'!C649)," ",'Q:\Abteilungsprojekte\eng\EngData\AOS\Allgemein\[LabSamples2025.xlsx]Bioplastic'!C649)</f>
        <v/>
      </c>
      <c r="D649">
        <f>IF(ISBLANK('Q:\Abteilungsprojekte\eng\EngData\AOS\Allgemein\[LabSamples2025.xlsx]Bioplastic'!D649)," ",'Q:\Abteilungsprojekte\eng\EngData\AOS\Allgemein\[LabSamples2025.xlsx]Bioplastic'!D649)</f>
        <v/>
      </c>
      <c r="E649">
        <f>IF(ISBLANK('Q:\Abteilungsprojekte\eng\EngData\AOS\Allgemein\[LabSamples2025.xlsx]Bioplastic'!E649)," ",'Q:\Abteilungsprojekte\eng\EngData\AOS\Allgemein\[LabSamples2025.xlsx]Bioplastic'!E649)</f>
        <v/>
      </c>
      <c r="F649">
        <f>IF(ISBLANK('Q:\Abteilungsprojekte\eng\EngData\AOS\Allgemein\[LabSamples2025.xlsx]Bioplastic'!F649)," ",'Q:\Abteilungsprojekte\eng\EngData\AOS\Allgemein\[LabSamples2025.xlsx]Bioplastic'!F649)</f>
        <v/>
      </c>
      <c r="G649">
        <f>IF(ISBLANK('Q:\Abteilungsprojekte\eng\EngData\AOS\Allgemein\[LabSamples2025.xlsx]Bioplastic'!G649)," ",'Q:\Abteilungsprojekte\eng\EngData\AOS\Allgemein\[LabSamples2025.xlsx]Bioplastic'!G649)</f>
        <v/>
      </c>
      <c r="H649">
        <f>IF(ISBLANK('Q:\Abteilungsprojekte\eng\EngData\AOS\Allgemein\[LabSamples2025.xlsx]Bioplastic'!H649)," ",'Q:\Abteilungsprojekte\eng\EngData\AOS\Allgemein\[LabSamples2025.xlsx]Bioplastic'!H649)</f>
        <v/>
      </c>
    </row>
    <row r="650">
      <c r="A650">
        <f>IF(ISBLANK('Q:\Abteilungsprojekte\eng\EngData\AOS\Allgemein\[LabSamples2025.xlsx]Bioplastic'!A650)," ",'Q:\Abteilungsprojekte\eng\EngData\AOS\Allgemein\[LabSamples2025.xlsx]Bioplastic'!A650)</f>
        <v/>
      </c>
      <c r="B650">
        <f>IF(ISBLANK('Q:\Abteilungsprojekte\eng\EngData\AOS\Allgemein\[LabSamples2025.xlsx]Bioplastic'!B650)," ",'Q:\Abteilungsprojekte\eng\EngData\AOS\Allgemein\[LabSamples2025.xlsx]Bioplastic'!B650)</f>
        <v/>
      </c>
      <c r="C650">
        <f>IF(ISBLANK('Q:\Abteilungsprojekte\eng\EngData\AOS\Allgemein\[LabSamples2025.xlsx]Bioplastic'!C650)," ",'Q:\Abteilungsprojekte\eng\EngData\AOS\Allgemein\[LabSamples2025.xlsx]Bioplastic'!C650)</f>
        <v/>
      </c>
      <c r="D650">
        <f>IF(ISBLANK('Q:\Abteilungsprojekte\eng\EngData\AOS\Allgemein\[LabSamples2025.xlsx]Bioplastic'!D650)," ",'Q:\Abteilungsprojekte\eng\EngData\AOS\Allgemein\[LabSamples2025.xlsx]Bioplastic'!D650)</f>
        <v/>
      </c>
      <c r="E650">
        <f>IF(ISBLANK('Q:\Abteilungsprojekte\eng\EngData\AOS\Allgemein\[LabSamples2025.xlsx]Bioplastic'!E650)," ",'Q:\Abteilungsprojekte\eng\EngData\AOS\Allgemein\[LabSamples2025.xlsx]Bioplastic'!E650)</f>
        <v/>
      </c>
      <c r="F650">
        <f>IF(ISBLANK('Q:\Abteilungsprojekte\eng\EngData\AOS\Allgemein\[LabSamples2025.xlsx]Bioplastic'!F650)," ",'Q:\Abteilungsprojekte\eng\EngData\AOS\Allgemein\[LabSamples2025.xlsx]Bioplastic'!F650)</f>
        <v/>
      </c>
      <c r="G650">
        <f>IF(ISBLANK('Q:\Abteilungsprojekte\eng\EngData\AOS\Allgemein\[LabSamples2025.xlsx]Bioplastic'!G650)," ",'Q:\Abteilungsprojekte\eng\EngData\AOS\Allgemein\[LabSamples2025.xlsx]Bioplastic'!G650)</f>
        <v/>
      </c>
      <c r="H650">
        <f>IF(ISBLANK('Q:\Abteilungsprojekte\eng\EngData\AOS\Allgemein\[LabSamples2025.xlsx]Bioplastic'!H650)," ",'Q:\Abteilungsprojekte\eng\EngData\AOS\Allgemein\[LabSamples2025.xlsx]Bioplastic'!H650)</f>
        <v/>
      </c>
    </row>
    <row r="651">
      <c r="A651">
        <f>IF(ISBLANK('Q:\Abteilungsprojekte\eng\EngData\AOS\Allgemein\[LabSamples2025.xlsx]Bioplastic'!A651)," ",'Q:\Abteilungsprojekte\eng\EngData\AOS\Allgemein\[LabSamples2025.xlsx]Bioplastic'!A651)</f>
        <v/>
      </c>
      <c r="B651">
        <f>IF(ISBLANK('Q:\Abteilungsprojekte\eng\EngData\AOS\Allgemein\[LabSamples2025.xlsx]Bioplastic'!B651)," ",'Q:\Abteilungsprojekte\eng\EngData\AOS\Allgemein\[LabSamples2025.xlsx]Bioplastic'!B651)</f>
        <v/>
      </c>
      <c r="C651">
        <f>IF(ISBLANK('Q:\Abteilungsprojekte\eng\EngData\AOS\Allgemein\[LabSamples2025.xlsx]Bioplastic'!C651)," ",'Q:\Abteilungsprojekte\eng\EngData\AOS\Allgemein\[LabSamples2025.xlsx]Bioplastic'!C651)</f>
        <v/>
      </c>
      <c r="D651">
        <f>IF(ISBLANK('Q:\Abteilungsprojekte\eng\EngData\AOS\Allgemein\[LabSamples2025.xlsx]Bioplastic'!D651)," ",'Q:\Abteilungsprojekte\eng\EngData\AOS\Allgemein\[LabSamples2025.xlsx]Bioplastic'!D651)</f>
        <v/>
      </c>
      <c r="E651">
        <f>IF(ISBLANK('Q:\Abteilungsprojekte\eng\EngData\AOS\Allgemein\[LabSamples2025.xlsx]Bioplastic'!E651)," ",'Q:\Abteilungsprojekte\eng\EngData\AOS\Allgemein\[LabSamples2025.xlsx]Bioplastic'!E651)</f>
        <v/>
      </c>
      <c r="F651">
        <f>IF(ISBLANK('Q:\Abteilungsprojekte\eng\EngData\AOS\Allgemein\[LabSamples2025.xlsx]Bioplastic'!F651)," ",'Q:\Abteilungsprojekte\eng\EngData\AOS\Allgemein\[LabSamples2025.xlsx]Bioplastic'!F651)</f>
        <v/>
      </c>
      <c r="G651">
        <f>IF(ISBLANK('Q:\Abteilungsprojekte\eng\EngData\AOS\Allgemein\[LabSamples2025.xlsx]Bioplastic'!G651)," ",'Q:\Abteilungsprojekte\eng\EngData\AOS\Allgemein\[LabSamples2025.xlsx]Bioplastic'!G651)</f>
        <v/>
      </c>
      <c r="H651">
        <f>IF(ISBLANK('Q:\Abteilungsprojekte\eng\EngData\AOS\Allgemein\[LabSamples2025.xlsx]Bioplastic'!H651)," ",'Q:\Abteilungsprojekte\eng\EngData\AOS\Allgemein\[LabSamples2025.xlsx]Bioplastic'!H651)</f>
        <v/>
      </c>
    </row>
    <row r="652">
      <c r="A652">
        <f>IF(ISBLANK('Q:\Abteilungsprojekte\eng\EngData\AOS\Allgemein\[LabSamples2025.xlsx]Bioplastic'!A652)," ",'Q:\Abteilungsprojekte\eng\EngData\AOS\Allgemein\[LabSamples2025.xlsx]Bioplastic'!A652)</f>
        <v/>
      </c>
      <c r="B652">
        <f>IF(ISBLANK('Q:\Abteilungsprojekte\eng\EngData\AOS\Allgemein\[LabSamples2025.xlsx]Bioplastic'!B652)," ",'Q:\Abteilungsprojekte\eng\EngData\AOS\Allgemein\[LabSamples2025.xlsx]Bioplastic'!B652)</f>
        <v/>
      </c>
      <c r="C652">
        <f>IF(ISBLANK('Q:\Abteilungsprojekte\eng\EngData\AOS\Allgemein\[LabSamples2025.xlsx]Bioplastic'!C652)," ",'Q:\Abteilungsprojekte\eng\EngData\AOS\Allgemein\[LabSamples2025.xlsx]Bioplastic'!C652)</f>
        <v/>
      </c>
      <c r="D652">
        <f>IF(ISBLANK('Q:\Abteilungsprojekte\eng\EngData\AOS\Allgemein\[LabSamples2025.xlsx]Bioplastic'!D652)," ",'Q:\Abteilungsprojekte\eng\EngData\AOS\Allgemein\[LabSamples2025.xlsx]Bioplastic'!D652)</f>
        <v/>
      </c>
      <c r="E652">
        <f>IF(ISBLANK('Q:\Abteilungsprojekte\eng\EngData\AOS\Allgemein\[LabSamples2025.xlsx]Bioplastic'!E652)," ",'Q:\Abteilungsprojekte\eng\EngData\AOS\Allgemein\[LabSamples2025.xlsx]Bioplastic'!E652)</f>
        <v/>
      </c>
      <c r="F652">
        <f>IF(ISBLANK('Q:\Abteilungsprojekte\eng\EngData\AOS\Allgemein\[LabSamples2025.xlsx]Bioplastic'!F652)," ",'Q:\Abteilungsprojekte\eng\EngData\AOS\Allgemein\[LabSamples2025.xlsx]Bioplastic'!F652)</f>
        <v/>
      </c>
      <c r="G652">
        <f>IF(ISBLANK('Q:\Abteilungsprojekte\eng\EngData\AOS\Allgemein\[LabSamples2025.xlsx]Bioplastic'!G652)," ",'Q:\Abteilungsprojekte\eng\EngData\AOS\Allgemein\[LabSamples2025.xlsx]Bioplastic'!G652)</f>
        <v/>
      </c>
      <c r="H652">
        <f>IF(ISBLANK('Q:\Abteilungsprojekte\eng\EngData\AOS\Allgemein\[LabSamples2025.xlsx]Bioplastic'!H652)," ",'Q:\Abteilungsprojekte\eng\EngData\AOS\Allgemein\[LabSamples2025.xlsx]Bioplastic'!H652)</f>
        <v/>
      </c>
    </row>
    <row r="653">
      <c r="A653">
        <f>IF(ISBLANK('Q:\Abteilungsprojekte\eng\EngData\AOS\Allgemein\[LabSamples2025.xlsx]Bioplastic'!A653)," ",'Q:\Abteilungsprojekte\eng\EngData\AOS\Allgemein\[LabSamples2025.xlsx]Bioplastic'!A653)</f>
        <v/>
      </c>
      <c r="B653">
        <f>IF(ISBLANK('Q:\Abteilungsprojekte\eng\EngData\AOS\Allgemein\[LabSamples2025.xlsx]Bioplastic'!B653)," ",'Q:\Abteilungsprojekte\eng\EngData\AOS\Allgemein\[LabSamples2025.xlsx]Bioplastic'!B653)</f>
        <v/>
      </c>
      <c r="C653">
        <f>IF(ISBLANK('Q:\Abteilungsprojekte\eng\EngData\AOS\Allgemein\[LabSamples2025.xlsx]Bioplastic'!C653)," ",'Q:\Abteilungsprojekte\eng\EngData\AOS\Allgemein\[LabSamples2025.xlsx]Bioplastic'!C653)</f>
        <v/>
      </c>
      <c r="D653">
        <f>IF(ISBLANK('Q:\Abteilungsprojekte\eng\EngData\AOS\Allgemein\[LabSamples2025.xlsx]Bioplastic'!D653)," ",'Q:\Abteilungsprojekte\eng\EngData\AOS\Allgemein\[LabSamples2025.xlsx]Bioplastic'!D653)</f>
        <v/>
      </c>
      <c r="E653">
        <f>IF(ISBLANK('Q:\Abteilungsprojekte\eng\EngData\AOS\Allgemein\[LabSamples2025.xlsx]Bioplastic'!E653)," ",'Q:\Abteilungsprojekte\eng\EngData\AOS\Allgemein\[LabSamples2025.xlsx]Bioplastic'!E653)</f>
        <v/>
      </c>
      <c r="F653">
        <f>IF(ISBLANK('Q:\Abteilungsprojekte\eng\EngData\AOS\Allgemein\[LabSamples2025.xlsx]Bioplastic'!F653)," ",'Q:\Abteilungsprojekte\eng\EngData\AOS\Allgemein\[LabSamples2025.xlsx]Bioplastic'!F653)</f>
        <v/>
      </c>
      <c r="G653">
        <f>IF(ISBLANK('Q:\Abteilungsprojekte\eng\EngData\AOS\Allgemein\[LabSamples2025.xlsx]Bioplastic'!G653)," ",'Q:\Abteilungsprojekte\eng\EngData\AOS\Allgemein\[LabSamples2025.xlsx]Bioplastic'!G653)</f>
        <v/>
      </c>
      <c r="H653">
        <f>IF(ISBLANK('Q:\Abteilungsprojekte\eng\EngData\AOS\Allgemein\[LabSamples2025.xlsx]Bioplastic'!H653)," ",'Q:\Abteilungsprojekte\eng\EngData\AOS\Allgemein\[LabSamples2025.xlsx]Bioplastic'!H653)</f>
        <v/>
      </c>
    </row>
    <row r="654">
      <c r="A654">
        <f>IF(ISBLANK('Q:\Abteilungsprojekte\eng\EngData\AOS\Allgemein\[LabSamples2025.xlsx]Bioplastic'!A654)," ",'Q:\Abteilungsprojekte\eng\EngData\AOS\Allgemein\[LabSamples2025.xlsx]Bioplastic'!A654)</f>
        <v/>
      </c>
      <c r="B654">
        <f>IF(ISBLANK('Q:\Abteilungsprojekte\eng\EngData\AOS\Allgemein\[LabSamples2025.xlsx]Bioplastic'!B654)," ",'Q:\Abteilungsprojekte\eng\EngData\AOS\Allgemein\[LabSamples2025.xlsx]Bioplastic'!B654)</f>
        <v/>
      </c>
      <c r="C654">
        <f>IF(ISBLANK('Q:\Abteilungsprojekte\eng\EngData\AOS\Allgemein\[LabSamples2025.xlsx]Bioplastic'!C654)," ",'Q:\Abteilungsprojekte\eng\EngData\AOS\Allgemein\[LabSamples2025.xlsx]Bioplastic'!C654)</f>
        <v/>
      </c>
      <c r="D654">
        <f>IF(ISBLANK('Q:\Abteilungsprojekte\eng\EngData\AOS\Allgemein\[LabSamples2025.xlsx]Bioplastic'!D654)," ",'Q:\Abteilungsprojekte\eng\EngData\AOS\Allgemein\[LabSamples2025.xlsx]Bioplastic'!D654)</f>
        <v/>
      </c>
      <c r="E654">
        <f>IF(ISBLANK('Q:\Abteilungsprojekte\eng\EngData\AOS\Allgemein\[LabSamples2025.xlsx]Bioplastic'!E654)," ",'Q:\Abteilungsprojekte\eng\EngData\AOS\Allgemein\[LabSamples2025.xlsx]Bioplastic'!E654)</f>
        <v/>
      </c>
      <c r="F654">
        <f>IF(ISBLANK('Q:\Abteilungsprojekte\eng\EngData\AOS\Allgemein\[LabSamples2025.xlsx]Bioplastic'!F654)," ",'Q:\Abteilungsprojekte\eng\EngData\AOS\Allgemein\[LabSamples2025.xlsx]Bioplastic'!F654)</f>
        <v/>
      </c>
      <c r="G654">
        <f>IF(ISBLANK('Q:\Abteilungsprojekte\eng\EngData\AOS\Allgemein\[LabSamples2025.xlsx]Bioplastic'!G654)," ",'Q:\Abteilungsprojekte\eng\EngData\AOS\Allgemein\[LabSamples2025.xlsx]Bioplastic'!G654)</f>
        <v/>
      </c>
      <c r="H654">
        <f>IF(ISBLANK('Q:\Abteilungsprojekte\eng\EngData\AOS\Allgemein\[LabSamples2025.xlsx]Bioplastic'!H654)," ",'Q:\Abteilungsprojekte\eng\EngData\AOS\Allgemein\[LabSamples2025.xlsx]Bioplastic'!H654)</f>
        <v/>
      </c>
    </row>
    <row r="655">
      <c r="A655">
        <f>IF(ISBLANK('Q:\Abteilungsprojekte\eng\EngData\AOS\Allgemein\[LabSamples2025.xlsx]Bioplastic'!A655)," ",'Q:\Abteilungsprojekte\eng\EngData\AOS\Allgemein\[LabSamples2025.xlsx]Bioplastic'!A655)</f>
        <v/>
      </c>
      <c r="B655">
        <f>IF(ISBLANK('Q:\Abteilungsprojekte\eng\EngData\AOS\Allgemein\[LabSamples2025.xlsx]Bioplastic'!B655)," ",'Q:\Abteilungsprojekte\eng\EngData\AOS\Allgemein\[LabSamples2025.xlsx]Bioplastic'!B655)</f>
        <v/>
      </c>
      <c r="C655">
        <f>IF(ISBLANK('Q:\Abteilungsprojekte\eng\EngData\AOS\Allgemein\[LabSamples2025.xlsx]Bioplastic'!C655)," ",'Q:\Abteilungsprojekte\eng\EngData\AOS\Allgemein\[LabSamples2025.xlsx]Bioplastic'!C655)</f>
        <v/>
      </c>
      <c r="D655">
        <f>IF(ISBLANK('Q:\Abteilungsprojekte\eng\EngData\AOS\Allgemein\[LabSamples2025.xlsx]Bioplastic'!D655)," ",'Q:\Abteilungsprojekte\eng\EngData\AOS\Allgemein\[LabSamples2025.xlsx]Bioplastic'!D655)</f>
        <v/>
      </c>
      <c r="E655">
        <f>IF(ISBLANK('Q:\Abteilungsprojekte\eng\EngData\AOS\Allgemein\[LabSamples2025.xlsx]Bioplastic'!E655)," ",'Q:\Abteilungsprojekte\eng\EngData\AOS\Allgemein\[LabSamples2025.xlsx]Bioplastic'!E655)</f>
        <v/>
      </c>
      <c r="F655">
        <f>IF(ISBLANK('Q:\Abteilungsprojekte\eng\EngData\AOS\Allgemein\[LabSamples2025.xlsx]Bioplastic'!F655)," ",'Q:\Abteilungsprojekte\eng\EngData\AOS\Allgemein\[LabSamples2025.xlsx]Bioplastic'!F655)</f>
        <v/>
      </c>
      <c r="G655">
        <f>IF(ISBLANK('Q:\Abteilungsprojekte\eng\EngData\AOS\Allgemein\[LabSamples2025.xlsx]Bioplastic'!G655)," ",'Q:\Abteilungsprojekte\eng\EngData\AOS\Allgemein\[LabSamples2025.xlsx]Bioplastic'!G655)</f>
        <v/>
      </c>
      <c r="H655">
        <f>IF(ISBLANK('Q:\Abteilungsprojekte\eng\EngData\AOS\Allgemein\[LabSamples2025.xlsx]Bioplastic'!H655)," ",'Q:\Abteilungsprojekte\eng\EngData\AOS\Allgemein\[LabSamples2025.xlsx]Bioplastic'!H655)</f>
        <v/>
      </c>
    </row>
    <row r="656">
      <c r="A656">
        <f>IF(ISBLANK('Q:\Abteilungsprojekte\eng\EngData\AOS\Allgemein\[LabSamples2025.xlsx]Bioplastic'!A656)," ",'Q:\Abteilungsprojekte\eng\EngData\AOS\Allgemein\[LabSamples2025.xlsx]Bioplastic'!A656)</f>
        <v/>
      </c>
      <c r="B656">
        <f>IF(ISBLANK('Q:\Abteilungsprojekte\eng\EngData\AOS\Allgemein\[LabSamples2025.xlsx]Bioplastic'!B656)," ",'Q:\Abteilungsprojekte\eng\EngData\AOS\Allgemein\[LabSamples2025.xlsx]Bioplastic'!B656)</f>
        <v/>
      </c>
      <c r="C656">
        <f>IF(ISBLANK('Q:\Abteilungsprojekte\eng\EngData\AOS\Allgemein\[LabSamples2025.xlsx]Bioplastic'!C656)," ",'Q:\Abteilungsprojekte\eng\EngData\AOS\Allgemein\[LabSamples2025.xlsx]Bioplastic'!C656)</f>
        <v/>
      </c>
      <c r="D656">
        <f>IF(ISBLANK('Q:\Abteilungsprojekte\eng\EngData\AOS\Allgemein\[LabSamples2025.xlsx]Bioplastic'!D656)," ",'Q:\Abteilungsprojekte\eng\EngData\AOS\Allgemein\[LabSamples2025.xlsx]Bioplastic'!D656)</f>
        <v/>
      </c>
      <c r="E656">
        <f>IF(ISBLANK('Q:\Abteilungsprojekte\eng\EngData\AOS\Allgemein\[LabSamples2025.xlsx]Bioplastic'!E656)," ",'Q:\Abteilungsprojekte\eng\EngData\AOS\Allgemein\[LabSamples2025.xlsx]Bioplastic'!E656)</f>
        <v/>
      </c>
      <c r="F656">
        <f>IF(ISBLANK('Q:\Abteilungsprojekte\eng\EngData\AOS\Allgemein\[LabSamples2025.xlsx]Bioplastic'!F656)," ",'Q:\Abteilungsprojekte\eng\EngData\AOS\Allgemein\[LabSamples2025.xlsx]Bioplastic'!F656)</f>
        <v/>
      </c>
      <c r="G656">
        <f>IF(ISBLANK('Q:\Abteilungsprojekte\eng\EngData\AOS\Allgemein\[LabSamples2025.xlsx]Bioplastic'!G656)," ",'Q:\Abteilungsprojekte\eng\EngData\AOS\Allgemein\[LabSamples2025.xlsx]Bioplastic'!G656)</f>
        <v/>
      </c>
      <c r="H656">
        <f>IF(ISBLANK('Q:\Abteilungsprojekte\eng\EngData\AOS\Allgemein\[LabSamples2025.xlsx]Bioplastic'!H656)," ",'Q:\Abteilungsprojekte\eng\EngData\AOS\Allgemein\[LabSamples2025.xlsx]Bioplastic'!H656)</f>
        <v/>
      </c>
    </row>
    <row r="657">
      <c r="A657">
        <f>IF(ISBLANK('Q:\Abteilungsprojekte\eng\EngData\AOS\Allgemein\[LabSamples2025.xlsx]Bioplastic'!A657)," ",'Q:\Abteilungsprojekte\eng\EngData\AOS\Allgemein\[LabSamples2025.xlsx]Bioplastic'!A657)</f>
        <v/>
      </c>
      <c r="B657">
        <f>IF(ISBLANK('Q:\Abteilungsprojekte\eng\EngData\AOS\Allgemein\[LabSamples2025.xlsx]Bioplastic'!B657)," ",'Q:\Abteilungsprojekte\eng\EngData\AOS\Allgemein\[LabSamples2025.xlsx]Bioplastic'!B657)</f>
        <v/>
      </c>
      <c r="C657">
        <f>IF(ISBLANK('Q:\Abteilungsprojekte\eng\EngData\AOS\Allgemein\[LabSamples2025.xlsx]Bioplastic'!C657)," ",'Q:\Abteilungsprojekte\eng\EngData\AOS\Allgemein\[LabSamples2025.xlsx]Bioplastic'!C657)</f>
        <v/>
      </c>
      <c r="D657">
        <f>IF(ISBLANK('Q:\Abteilungsprojekte\eng\EngData\AOS\Allgemein\[LabSamples2025.xlsx]Bioplastic'!D657)," ",'Q:\Abteilungsprojekte\eng\EngData\AOS\Allgemein\[LabSamples2025.xlsx]Bioplastic'!D657)</f>
        <v/>
      </c>
      <c r="E657">
        <f>IF(ISBLANK('Q:\Abteilungsprojekte\eng\EngData\AOS\Allgemein\[LabSamples2025.xlsx]Bioplastic'!E657)," ",'Q:\Abteilungsprojekte\eng\EngData\AOS\Allgemein\[LabSamples2025.xlsx]Bioplastic'!E657)</f>
        <v/>
      </c>
      <c r="F657">
        <f>IF(ISBLANK('Q:\Abteilungsprojekte\eng\EngData\AOS\Allgemein\[LabSamples2025.xlsx]Bioplastic'!F657)," ",'Q:\Abteilungsprojekte\eng\EngData\AOS\Allgemein\[LabSamples2025.xlsx]Bioplastic'!F657)</f>
        <v/>
      </c>
      <c r="G657">
        <f>IF(ISBLANK('Q:\Abteilungsprojekte\eng\EngData\AOS\Allgemein\[LabSamples2025.xlsx]Bioplastic'!G657)," ",'Q:\Abteilungsprojekte\eng\EngData\AOS\Allgemein\[LabSamples2025.xlsx]Bioplastic'!G657)</f>
        <v/>
      </c>
      <c r="H657">
        <f>IF(ISBLANK('Q:\Abteilungsprojekte\eng\EngData\AOS\Allgemein\[LabSamples2025.xlsx]Bioplastic'!H657)," ",'Q:\Abteilungsprojekte\eng\EngData\AOS\Allgemein\[LabSamples2025.xlsx]Bioplastic'!H657)</f>
        <v/>
      </c>
    </row>
    <row r="658">
      <c r="A658">
        <f>IF(ISBLANK('Q:\Abteilungsprojekte\eng\EngData\AOS\Allgemein\[LabSamples2025.xlsx]Bioplastic'!A658)," ",'Q:\Abteilungsprojekte\eng\EngData\AOS\Allgemein\[LabSamples2025.xlsx]Bioplastic'!A658)</f>
        <v/>
      </c>
      <c r="B658">
        <f>IF(ISBLANK('Q:\Abteilungsprojekte\eng\EngData\AOS\Allgemein\[LabSamples2025.xlsx]Bioplastic'!B658)," ",'Q:\Abteilungsprojekte\eng\EngData\AOS\Allgemein\[LabSamples2025.xlsx]Bioplastic'!B658)</f>
        <v/>
      </c>
      <c r="C658">
        <f>IF(ISBLANK('Q:\Abteilungsprojekte\eng\EngData\AOS\Allgemein\[LabSamples2025.xlsx]Bioplastic'!C658)," ",'Q:\Abteilungsprojekte\eng\EngData\AOS\Allgemein\[LabSamples2025.xlsx]Bioplastic'!C658)</f>
        <v/>
      </c>
      <c r="D658">
        <f>IF(ISBLANK('Q:\Abteilungsprojekte\eng\EngData\AOS\Allgemein\[LabSamples2025.xlsx]Bioplastic'!D658)," ",'Q:\Abteilungsprojekte\eng\EngData\AOS\Allgemein\[LabSamples2025.xlsx]Bioplastic'!D658)</f>
        <v/>
      </c>
      <c r="E658">
        <f>IF(ISBLANK('Q:\Abteilungsprojekte\eng\EngData\AOS\Allgemein\[LabSamples2025.xlsx]Bioplastic'!E658)," ",'Q:\Abteilungsprojekte\eng\EngData\AOS\Allgemein\[LabSamples2025.xlsx]Bioplastic'!E658)</f>
        <v/>
      </c>
      <c r="F658">
        <f>IF(ISBLANK('Q:\Abteilungsprojekte\eng\EngData\AOS\Allgemein\[LabSamples2025.xlsx]Bioplastic'!F658)," ",'Q:\Abteilungsprojekte\eng\EngData\AOS\Allgemein\[LabSamples2025.xlsx]Bioplastic'!F658)</f>
        <v/>
      </c>
      <c r="G658">
        <f>IF(ISBLANK('Q:\Abteilungsprojekte\eng\EngData\AOS\Allgemein\[LabSamples2025.xlsx]Bioplastic'!G658)," ",'Q:\Abteilungsprojekte\eng\EngData\AOS\Allgemein\[LabSamples2025.xlsx]Bioplastic'!G658)</f>
        <v/>
      </c>
      <c r="H658">
        <f>IF(ISBLANK('Q:\Abteilungsprojekte\eng\EngData\AOS\Allgemein\[LabSamples2025.xlsx]Bioplastic'!H658)," ",'Q:\Abteilungsprojekte\eng\EngData\AOS\Allgemein\[LabSamples2025.xlsx]Bioplastic'!H658)</f>
        <v/>
      </c>
    </row>
    <row r="659">
      <c r="A659">
        <f>IF(ISBLANK('Q:\Abteilungsprojekte\eng\EngData\AOS\Allgemein\[LabSamples2025.xlsx]Bioplastic'!A659)," ",'Q:\Abteilungsprojekte\eng\EngData\AOS\Allgemein\[LabSamples2025.xlsx]Bioplastic'!A659)</f>
        <v/>
      </c>
      <c r="B659">
        <f>IF(ISBLANK('Q:\Abteilungsprojekte\eng\EngData\AOS\Allgemein\[LabSamples2025.xlsx]Bioplastic'!B659)," ",'Q:\Abteilungsprojekte\eng\EngData\AOS\Allgemein\[LabSamples2025.xlsx]Bioplastic'!B659)</f>
        <v/>
      </c>
      <c r="C659">
        <f>IF(ISBLANK('Q:\Abteilungsprojekte\eng\EngData\AOS\Allgemein\[LabSamples2025.xlsx]Bioplastic'!C659)," ",'Q:\Abteilungsprojekte\eng\EngData\AOS\Allgemein\[LabSamples2025.xlsx]Bioplastic'!C659)</f>
        <v/>
      </c>
      <c r="D659">
        <f>IF(ISBLANK('Q:\Abteilungsprojekte\eng\EngData\AOS\Allgemein\[LabSamples2025.xlsx]Bioplastic'!D659)," ",'Q:\Abteilungsprojekte\eng\EngData\AOS\Allgemein\[LabSamples2025.xlsx]Bioplastic'!D659)</f>
        <v/>
      </c>
      <c r="E659">
        <f>IF(ISBLANK('Q:\Abteilungsprojekte\eng\EngData\AOS\Allgemein\[LabSamples2025.xlsx]Bioplastic'!E659)," ",'Q:\Abteilungsprojekte\eng\EngData\AOS\Allgemein\[LabSamples2025.xlsx]Bioplastic'!E659)</f>
        <v/>
      </c>
      <c r="F659">
        <f>IF(ISBLANK('Q:\Abteilungsprojekte\eng\EngData\AOS\Allgemein\[LabSamples2025.xlsx]Bioplastic'!F659)," ",'Q:\Abteilungsprojekte\eng\EngData\AOS\Allgemein\[LabSamples2025.xlsx]Bioplastic'!F659)</f>
        <v/>
      </c>
      <c r="G659">
        <f>IF(ISBLANK('Q:\Abteilungsprojekte\eng\EngData\AOS\Allgemein\[LabSamples2025.xlsx]Bioplastic'!G659)," ",'Q:\Abteilungsprojekte\eng\EngData\AOS\Allgemein\[LabSamples2025.xlsx]Bioplastic'!G659)</f>
        <v/>
      </c>
      <c r="H659">
        <f>IF(ISBLANK('Q:\Abteilungsprojekte\eng\EngData\AOS\Allgemein\[LabSamples2025.xlsx]Bioplastic'!H659)," ",'Q:\Abteilungsprojekte\eng\EngData\AOS\Allgemein\[LabSamples2025.xlsx]Bioplastic'!H659)</f>
        <v/>
      </c>
    </row>
    <row r="660">
      <c r="A660">
        <f>IF(ISBLANK('Q:\Abteilungsprojekte\eng\EngData\AOS\Allgemein\[LabSamples2025.xlsx]Bioplastic'!A660)," ",'Q:\Abteilungsprojekte\eng\EngData\AOS\Allgemein\[LabSamples2025.xlsx]Bioplastic'!A660)</f>
        <v/>
      </c>
      <c r="B660">
        <f>IF(ISBLANK('Q:\Abteilungsprojekte\eng\EngData\AOS\Allgemein\[LabSamples2025.xlsx]Bioplastic'!B660)," ",'Q:\Abteilungsprojekte\eng\EngData\AOS\Allgemein\[LabSamples2025.xlsx]Bioplastic'!B660)</f>
        <v/>
      </c>
      <c r="C660">
        <f>IF(ISBLANK('Q:\Abteilungsprojekte\eng\EngData\AOS\Allgemein\[LabSamples2025.xlsx]Bioplastic'!C660)," ",'Q:\Abteilungsprojekte\eng\EngData\AOS\Allgemein\[LabSamples2025.xlsx]Bioplastic'!C660)</f>
        <v/>
      </c>
      <c r="D660">
        <f>IF(ISBLANK('Q:\Abteilungsprojekte\eng\EngData\AOS\Allgemein\[LabSamples2025.xlsx]Bioplastic'!D660)," ",'Q:\Abteilungsprojekte\eng\EngData\AOS\Allgemein\[LabSamples2025.xlsx]Bioplastic'!D660)</f>
        <v/>
      </c>
      <c r="E660">
        <f>IF(ISBLANK('Q:\Abteilungsprojekte\eng\EngData\AOS\Allgemein\[LabSamples2025.xlsx]Bioplastic'!E660)," ",'Q:\Abteilungsprojekte\eng\EngData\AOS\Allgemein\[LabSamples2025.xlsx]Bioplastic'!E660)</f>
        <v/>
      </c>
      <c r="F660">
        <f>IF(ISBLANK('Q:\Abteilungsprojekte\eng\EngData\AOS\Allgemein\[LabSamples2025.xlsx]Bioplastic'!F660)," ",'Q:\Abteilungsprojekte\eng\EngData\AOS\Allgemein\[LabSamples2025.xlsx]Bioplastic'!F660)</f>
        <v/>
      </c>
      <c r="G660">
        <f>IF(ISBLANK('Q:\Abteilungsprojekte\eng\EngData\AOS\Allgemein\[LabSamples2025.xlsx]Bioplastic'!G660)," ",'Q:\Abteilungsprojekte\eng\EngData\AOS\Allgemein\[LabSamples2025.xlsx]Bioplastic'!G660)</f>
        <v/>
      </c>
      <c r="H660">
        <f>IF(ISBLANK('Q:\Abteilungsprojekte\eng\EngData\AOS\Allgemein\[LabSamples2025.xlsx]Bioplastic'!H660)," ",'Q:\Abteilungsprojekte\eng\EngData\AOS\Allgemein\[LabSamples2025.xlsx]Bioplastic'!H660)</f>
        <v/>
      </c>
    </row>
    <row r="661">
      <c r="A661">
        <f>IF(ISBLANK('Q:\Abteilungsprojekte\eng\EngData\AOS\Allgemein\[LabSamples2025.xlsx]Bioplastic'!A661)," ",'Q:\Abteilungsprojekte\eng\EngData\AOS\Allgemein\[LabSamples2025.xlsx]Bioplastic'!A661)</f>
        <v/>
      </c>
      <c r="B661">
        <f>IF(ISBLANK('Q:\Abteilungsprojekte\eng\EngData\AOS\Allgemein\[LabSamples2025.xlsx]Bioplastic'!B661)," ",'Q:\Abteilungsprojekte\eng\EngData\AOS\Allgemein\[LabSamples2025.xlsx]Bioplastic'!B661)</f>
        <v/>
      </c>
      <c r="C661">
        <f>IF(ISBLANK('Q:\Abteilungsprojekte\eng\EngData\AOS\Allgemein\[LabSamples2025.xlsx]Bioplastic'!C661)," ",'Q:\Abteilungsprojekte\eng\EngData\AOS\Allgemein\[LabSamples2025.xlsx]Bioplastic'!C661)</f>
        <v/>
      </c>
      <c r="D661">
        <f>IF(ISBLANK('Q:\Abteilungsprojekte\eng\EngData\AOS\Allgemein\[LabSamples2025.xlsx]Bioplastic'!D661)," ",'Q:\Abteilungsprojekte\eng\EngData\AOS\Allgemein\[LabSamples2025.xlsx]Bioplastic'!D661)</f>
        <v/>
      </c>
      <c r="E661">
        <f>IF(ISBLANK('Q:\Abteilungsprojekte\eng\EngData\AOS\Allgemein\[LabSamples2025.xlsx]Bioplastic'!E661)," ",'Q:\Abteilungsprojekte\eng\EngData\AOS\Allgemein\[LabSamples2025.xlsx]Bioplastic'!E661)</f>
        <v/>
      </c>
      <c r="F661">
        <f>IF(ISBLANK('Q:\Abteilungsprojekte\eng\EngData\AOS\Allgemein\[LabSamples2025.xlsx]Bioplastic'!F661)," ",'Q:\Abteilungsprojekte\eng\EngData\AOS\Allgemein\[LabSamples2025.xlsx]Bioplastic'!F661)</f>
        <v/>
      </c>
      <c r="G661">
        <f>IF(ISBLANK('Q:\Abteilungsprojekte\eng\EngData\AOS\Allgemein\[LabSamples2025.xlsx]Bioplastic'!G661)," ",'Q:\Abteilungsprojekte\eng\EngData\AOS\Allgemein\[LabSamples2025.xlsx]Bioplastic'!G661)</f>
        <v/>
      </c>
      <c r="H661">
        <f>IF(ISBLANK('Q:\Abteilungsprojekte\eng\EngData\AOS\Allgemein\[LabSamples2025.xlsx]Bioplastic'!H661)," ",'Q:\Abteilungsprojekte\eng\EngData\AOS\Allgemein\[LabSamples2025.xlsx]Bioplastic'!H661)</f>
        <v/>
      </c>
    </row>
    <row r="662">
      <c r="A662">
        <f>IF(ISBLANK('Q:\Abteilungsprojekte\eng\EngData\AOS\Allgemein\[LabSamples2025.xlsx]Bioplastic'!A662)," ",'Q:\Abteilungsprojekte\eng\EngData\AOS\Allgemein\[LabSamples2025.xlsx]Bioplastic'!A662)</f>
        <v/>
      </c>
      <c r="B662">
        <f>IF(ISBLANK('Q:\Abteilungsprojekte\eng\EngData\AOS\Allgemein\[LabSamples2025.xlsx]Bioplastic'!B662)," ",'Q:\Abteilungsprojekte\eng\EngData\AOS\Allgemein\[LabSamples2025.xlsx]Bioplastic'!B662)</f>
        <v/>
      </c>
      <c r="C662">
        <f>IF(ISBLANK('Q:\Abteilungsprojekte\eng\EngData\AOS\Allgemein\[LabSamples2025.xlsx]Bioplastic'!C662)," ",'Q:\Abteilungsprojekte\eng\EngData\AOS\Allgemein\[LabSamples2025.xlsx]Bioplastic'!C662)</f>
        <v/>
      </c>
      <c r="D662">
        <f>IF(ISBLANK('Q:\Abteilungsprojekte\eng\EngData\AOS\Allgemein\[LabSamples2025.xlsx]Bioplastic'!D662)," ",'Q:\Abteilungsprojekte\eng\EngData\AOS\Allgemein\[LabSamples2025.xlsx]Bioplastic'!D662)</f>
        <v/>
      </c>
      <c r="E662">
        <f>IF(ISBLANK('Q:\Abteilungsprojekte\eng\EngData\AOS\Allgemein\[LabSamples2025.xlsx]Bioplastic'!E662)," ",'Q:\Abteilungsprojekte\eng\EngData\AOS\Allgemein\[LabSamples2025.xlsx]Bioplastic'!E662)</f>
        <v/>
      </c>
      <c r="F662">
        <f>IF(ISBLANK('Q:\Abteilungsprojekte\eng\EngData\AOS\Allgemein\[LabSamples2025.xlsx]Bioplastic'!F662)," ",'Q:\Abteilungsprojekte\eng\EngData\AOS\Allgemein\[LabSamples2025.xlsx]Bioplastic'!F662)</f>
        <v/>
      </c>
      <c r="G662">
        <f>IF(ISBLANK('Q:\Abteilungsprojekte\eng\EngData\AOS\Allgemein\[LabSamples2025.xlsx]Bioplastic'!G662)," ",'Q:\Abteilungsprojekte\eng\EngData\AOS\Allgemein\[LabSamples2025.xlsx]Bioplastic'!G662)</f>
        <v/>
      </c>
      <c r="H662">
        <f>IF(ISBLANK('Q:\Abteilungsprojekte\eng\EngData\AOS\Allgemein\[LabSamples2025.xlsx]Bioplastic'!H662)," ",'Q:\Abteilungsprojekte\eng\EngData\AOS\Allgemein\[LabSamples2025.xlsx]Bioplastic'!H662)</f>
        <v/>
      </c>
    </row>
    <row r="663">
      <c r="A663">
        <f>IF(ISBLANK('Q:\Abteilungsprojekte\eng\EngData\AOS\Allgemein\[LabSamples2025.xlsx]Bioplastic'!A663)," ",'Q:\Abteilungsprojekte\eng\EngData\AOS\Allgemein\[LabSamples2025.xlsx]Bioplastic'!A663)</f>
        <v/>
      </c>
      <c r="B663">
        <f>IF(ISBLANK('Q:\Abteilungsprojekte\eng\EngData\AOS\Allgemein\[LabSamples2025.xlsx]Bioplastic'!B663)," ",'Q:\Abteilungsprojekte\eng\EngData\AOS\Allgemein\[LabSamples2025.xlsx]Bioplastic'!B663)</f>
        <v/>
      </c>
      <c r="C663">
        <f>IF(ISBLANK('Q:\Abteilungsprojekte\eng\EngData\AOS\Allgemein\[LabSamples2025.xlsx]Bioplastic'!C663)," ",'Q:\Abteilungsprojekte\eng\EngData\AOS\Allgemein\[LabSamples2025.xlsx]Bioplastic'!C663)</f>
        <v/>
      </c>
      <c r="D663">
        <f>IF(ISBLANK('Q:\Abteilungsprojekte\eng\EngData\AOS\Allgemein\[LabSamples2025.xlsx]Bioplastic'!D663)," ",'Q:\Abteilungsprojekte\eng\EngData\AOS\Allgemein\[LabSamples2025.xlsx]Bioplastic'!D663)</f>
        <v/>
      </c>
      <c r="E663">
        <f>IF(ISBLANK('Q:\Abteilungsprojekte\eng\EngData\AOS\Allgemein\[LabSamples2025.xlsx]Bioplastic'!E663)," ",'Q:\Abteilungsprojekte\eng\EngData\AOS\Allgemein\[LabSamples2025.xlsx]Bioplastic'!E663)</f>
        <v/>
      </c>
      <c r="F663">
        <f>IF(ISBLANK('Q:\Abteilungsprojekte\eng\EngData\AOS\Allgemein\[LabSamples2025.xlsx]Bioplastic'!F663)," ",'Q:\Abteilungsprojekte\eng\EngData\AOS\Allgemein\[LabSamples2025.xlsx]Bioplastic'!F663)</f>
        <v/>
      </c>
      <c r="G663">
        <f>IF(ISBLANK('Q:\Abteilungsprojekte\eng\EngData\AOS\Allgemein\[LabSamples2025.xlsx]Bioplastic'!G663)," ",'Q:\Abteilungsprojekte\eng\EngData\AOS\Allgemein\[LabSamples2025.xlsx]Bioplastic'!G663)</f>
        <v/>
      </c>
      <c r="H663">
        <f>IF(ISBLANK('Q:\Abteilungsprojekte\eng\EngData\AOS\Allgemein\[LabSamples2025.xlsx]Bioplastic'!H663)," ",'Q:\Abteilungsprojekte\eng\EngData\AOS\Allgemein\[LabSamples2025.xlsx]Bioplastic'!H663)</f>
        <v/>
      </c>
    </row>
    <row r="664">
      <c r="A664">
        <f>IF(ISBLANK('Q:\Abteilungsprojekte\eng\EngData\AOS\Allgemein\[LabSamples2025.xlsx]Bioplastic'!A664)," ",'Q:\Abteilungsprojekte\eng\EngData\AOS\Allgemein\[LabSamples2025.xlsx]Bioplastic'!A664)</f>
        <v/>
      </c>
      <c r="B664">
        <f>IF(ISBLANK('Q:\Abteilungsprojekte\eng\EngData\AOS\Allgemein\[LabSamples2025.xlsx]Bioplastic'!B664)," ",'Q:\Abteilungsprojekte\eng\EngData\AOS\Allgemein\[LabSamples2025.xlsx]Bioplastic'!B664)</f>
        <v/>
      </c>
      <c r="C664">
        <f>IF(ISBLANK('Q:\Abteilungsprojekte\eng\EngData\AOS\Allgemein\[LabSamples2025.xlsx]Bioplastic'!C664)," ",'Q:\Abteilungsprojekte\eng\EngData\AOS\Allgemein\[LabSamples2025.xlsx]Bioplastic'!C664)</f>
        <v/>
      </c>
      <c r="D664">
        <f>IF(ISBLANK('Q:\Abteilungsprojekte\eng\EngData\AOS\Allgemein\[LabSamples2025.xlsx]Bioplastic'!D664)," ",'Q:\Abteilungsprojekte\eng\EngData\AOS\Allgemein\[LabSamples2025.xlsx]Bioplastic'!D664)</f>
        <v/>
      </c>
      <c r="E664">
        <f>IF(ISBLANK('Q:\Abteilungsprojekte\eng\EngData\AOS\Allgemein\[LabSamples2025.xlsx]Bioplastic'!E664)," ",'Q:\Abteilungsprojekte\eng\EngData\AOS\Allgemein\[LabSamples2025.xlsx]Bioplastic'!E664)</f>
        <v/>
      </c>
      <c r="F664">
        <f>IF(ISBLANK('Q:\Abteilungsprojekte\eng\EngData\AOS\Allgemein\[LabSamples2025.xlsx]Bioplastic'!F664)," ",'Q:\Abteilungsprojekte\eng\EngData\AOS\Allgemein\[LabSamples2025.xlsx]Bioplastic'!F664)</f>
        <v/>
      </c>
      <c r="G664">
        <f>IF(ISBLANK('Q:\Abteilungsprojekte\eng\EngData\AOS\Allgemein\[LabSamples2025.xlsx]Bioplastic'!G664)," ",'Q:\Abteilungsprojekte\eng\EngData\AOS\Allgemein\[LabSamples2025.xlsx]Bioplastic'!G664)</f>
        <v/>
      </c>
      <c r="H664">
        <f>IF(ISBLANK('Q:\Abteilungsprojekte\eng\EngData\AOS\Allgemein\[LabSamples2025.xlsx]Bioplastic'!H664)," ",'Q:\Abteilungsprojekte\eng\EngData\AOS\Allgemein\[LabSamples2025.xlsx]Bioplastic'!H664)</f>
        <v/>
      </c>
    </row>
    <row r="665">
      <c r="A665">
        <f>IF(ISBLANK('Q:\Abteilungsprojekte\eng\EngData\AOS\Allgemein\[LabSamples2025.xlsx]Bioplastic'!A665)," ",'Q:\Abteilungsprojekte\eng\EngData\AOS\Allgemein\[LabSamples2025.xlsx]Bioplastic'!A665)</f>
        <v/>
      </c>
      <c r="B665">
        <f>IF(ISBLANK('Q:\Abteilungsprojekte\eng\EngData\AOS\Allgemein\[LabSamples2025.xlsx]Bioplastic'!B665)," ",'Q:\Abteilungsprojekte\eng\EngData\AOS\Allgemein\[LabSamples2025.xlsx]Bioplastic'!B665)</f>
        <v/>
      </c>
      <c r="C665">
        <f>IF(ISBLANK('Q:\Abteilungsprojekte\eng\EngData\AOS\Allgemein\[LabSamples2025.xlsx]Bioplastic'!C665)," ",'Q:\Abteilungsprojekte\eng\EngData\AOS\Allgemein\[LabSamples2025.xlsx]Bioplastic'!C665)</f>
        <v/>
      </c>
      <c r="D665">
        <f>IF(ISBLANK('Q:\Abteilungsprojekte\eng\EngData\AOS\Allgemein\[LabSamples2025.xlsx]Bioplastic'!D665)," ",'Q:\Abteilungsprojekte\eng\EngData\AOS\Allgemein\[LabSamples2025.xlsx]Bioplastic'!D665)</f>
        <v/>
      </c>
      <c r="E665">
        <f>IF(ISBLANK('Q:\Abteilungsprojekte\eng\EngData\AOS\Allgemein\[LabSamples2025.xlsx]Bioplastic'!E665)," ",'Q:\Abteilungsprojekte\eng\EngData\AOS\Allgemein\[LabSamples2025.xlsx]Bioplastic'!E665)</f>
        <v/>
      </c>
      <c r="F665">
        <f>IF(ISBLANK('Q:\Abteilungsprojekte\eng\EngData\AOS\Allgemein\[LabSamples2025.xlsx]Bioplastic'!F665)," ",'Q:\Abteilungsprojekte\eng\EngData\AOS\Allgemein\[LabSamples2025.xlsx]Bioplastic'!F665)</f>
        <v/>
      </c>
      <c r="G665">
        <f>IF(ISBLANK('Q:\Abteilungsprojekte\eng\EngData\AOS\Allgemein\[LabSamples2025.xlsx]Bioplastic'!G665)," ",'Q:\Abteilungsprojekte\eng\EngData\AOS\Allgemein\[LabSamples2025.xlsx]Bioplastic'!G665)</f>
        <v/>
      </c>
      <c r="H665">
        <f>IF(ISBLANK('Q:\Abteilungsprojekte\eng\EngData\AOS\Allgemein\[LabSamples2025.xlsx]Bioplastic'!H665)," ",'Q:\Abteilungsprojekte\eng\EngData\AOS\Allgemein\[LabSamples2025.xlsx]Bioplastic'!H665)</f>
        <v/>
      </c>
    </row>
    <row r="666">
      <c r="A666">
        <f>IF(ISBLANK('Q:\Abteilungsprojekte\eng\EngData\AOS\Allgemein\[LabSamples2025.xlsx]Bioplastic'!A666)," ",'Q:\Abteilungsprojekte\eng\EngData\AOS\Allgemein\[LabSamples2025.xlsx]Bioplastic'!A666)</f>
        <v/>
      </c>
      <c r="B666">
        <f>IF(ISBLANK('Q:\Abteilungsprojekte\eng\EngData\AOS\Allgemein\[LabSamples2025.xlsx]Bioplastic'!B666)," ",'Q:\Abteilungsprojekte\eng\EngData\AOS\Allgemein\[LabSamples2025.xlsx]Bioplastic'!B666)</f>
        <v/>
      </c>
      <c r="C666">
        <f>IF(ISBLANK('Q:\Abteilungsprojekte\eng\EngData\AOS\Allgemein\[LabSamples2025.xlsx]Bioplastic'!C666)," ",'Q:\Abteilungsprojekte\eng\EngData\AOS\Allgemein\[LabSamples2025.xlsx]Bioplastic'!C666)</f>
        <v/>
      </c>
      <c r="D666">
        <f>IF(ISBLANK('Q:\Abteilungsprojekte\eng\EngData\AOS\Allgemein\[LabSamples2025.xlsx]Bioplastic'!D666)," ",'Q:\Abteilungsprojekte\eng\EngData\AOS\Allgemein\[LabSamples2025.xlsx]Bioplastic'!D666)</f>
        <v/>
      </c>
      <c r="E666">
        <f>IF(ISBLANK('Q:\Abteilungsprojekte\eng\EngData\AOS\Allgemein\[LabSamples2025.xlsx]Bioplastic'!E666)," ",'Q:\Abteilungsprojekte\eng\EngData\AOS\Allgemein\[LabSamples2025.xlsx]Bioplastic'!E666)</f>
        <v/>
      </c>
      <c r="F666">
        <f>IF(ISBLANK('Q:\Abteilungsprojekte\eng\EngData\AOS\Allgemein\[LabSamples2025.xlsx]Bioplastic'!F666)," ",'Q:\Abteilungsprojekte\eng\EngData\AOS\Allgemein\[LabSamples2025.xlsx]Bioplastic'!F666)</f>
        <v/>
      </c>
      <c r="G666">
        <f>IF(ISBLANK('Q:\Abteilungsprojekte\eng\EngData\AOS\Allgemein\[LabSamples2025.xlsx]Bioplastic'!G666)," ",'Q:\Abteilungsprojekte\eng\EngData\AOS\Allgemein\[LabSamples2025.xlsx]Bioplastic'!G666)</f>
        <v/>
      </c>
      <c r="H666">
        <f>IF(ISBLANK('Q:\Abteilungsprojekte\eng\EngData\AOS\Allgemein\[LabSamples2025.xlsx]Bioplastic'!H666)," ",'Q:\Abteilungsprojekte\eng\EngData\AOS\Allgemein\[LabSamples2025.xlsx]Bioplastic'!H666)</f>
        <v/>
      </c>
    </row>
    <row r="667">
      <c r="A667">
        <f>IF(ISBLANK('Q:\Abteilungsprojekte\eng\EngData\AOS\Allgemein\[LabSamples2025.xlsx]Bioplastic'!A667)," ",'Q:\Abteilungsprojekte\eng\EngData\AOS\Allgemein\[LabSamples2025.xlsx]Bioplastic'!A667)</f>
        <v/>
      </c>
      <c r="B667">
        <f>IF(ISBLANK('Q:\Abteilungsprojekte\eng\EngData\AOS\Allgemein\[LabSamples2025.xlsx]Bioplastic'!B667)," ",'Q:\Abteilungsprojekte\eng\EngData\AOS\Allgemein\[LabSamples2025.xlsx]Bioplastic'!B667)</f>
        <v/>
      </c>
      <c r="C667">
        <f>IF(ISBLANK('Q:\Abteilungsprojekte\eng\EngData\AOS\Allgemein\[LabSamples2025.xlsx]Bioplastic'!C667)," ",'Q:\Abteilungsprojekte\eng\EngData\AOS\Allgemein\[LabSamples2025.xlsx]Bioplastic'!C667)</f>
        <v/>
      </c>
      <c r="D667">
        <f>IF(ISBLANK('Q:\Abteilungsprojekte\eng\EngData\AOS\Allgemein\[LabSamples2025.xlsx]Bioplastic'!D667)," ",'Q:\Abteilungsprojekte\eng\EngData\AOS\Allgemein\[LabSamples2025.xlsx]Bioplastic'!D667)</f>
        <v/>
      </c>
      <c r="E667">
        <f>IF(ISBLANK('Q:\Abteilungsprojekte\eng\EngData\AOS\Allgemein\[LabSamples2025.xlsx]Bioplastic'!E667)," ",'Q:\Abteilungsprojekte\eng\EngData\AOS\Allgemein\[LabSamples2025.xlsx]Bioplastic'!E667)</f>
        <v/>
      </c>
      <c r="F667">
        <f>IF(ISBLANK('Q:\Abteilungsprojekte\eng\EngData\AOS\Allgemein\[LabSamples2025.xlsx]Bioplastic'!F667)," ",'Q:\Abteilungsprojekte\eng\EngData\AOS\Allgemein\[LabSamples2025.xlsx]Bioplastic'!F667)</f>
        <v/>
      </c>
      <c r="G667">
        <f>IF(ISBLANK('Q:\Abteilungsprojekte\eng\EngData\AOS\Allgemein\[LabSamples2025.xlsx]Bioplastic'!G667)," ",'Q:\Abteilungsprojekte\eng\EngData\AOS\Allgemein\[LabSamples2025.xlsx]Bioplastic'!G667)</f>
        <v/>
      </c>
      <c r="H667">
        <f>IF(ISBLANK('Q:\Abteilungsprojekte\eng\EngData\AOS\Allgemein\[LabSamples2025.xlsx]Bioplastic'!H667)," ",'Q:\Abteilungsprojekte\eng\EngData\AOS\Allgemein\[LabSamples2025.xlsx]Bioplastic'!H667)</f>
        <v/>
      </c>
    </row>
    <row r="668">
      <c r="A668">
        <f>IF(ISBLANK('Q:\Abteilungsprojekte\eng\EngData\AOS\Allgemein\[LabSamples2025.xlsx]Bioplastic'!A668)," ",'Q:\Abteilungsprojekte\eng\EngData\AOS\Allgemein\[LabSamples2025.xlsx]Bioplastic'!A668)</f>
        <v/>
      </c>
      <c r="B668">
        <f>IF(ISBLANK('Q:\Abteilungsprojekte\eng\EngData\AOS\Allgemein\[LabSamples2025.xlsx]Bioplastic'!B668)," ",'Q:\Abteilungsprojekte\eng\EngData\AOS\Allgemein\[LabSamples2025.xlsx]Bioplastic'!B668)</f>
        <v/>
      </c>
      <c r="C668">
        <f>IF(ISBLANK('Q:\Abteilungsprojekte\eng\EngData\AOS\Allgemein\[LabSamples2025.xlsx]Bioplastic'!C668)," ",'Q:\Abteilungsprojekte\eng\EngData\AOS\Allgemein\[LabSamples2025.xlsx]Bioplastic'!C668)</f>
        <v/>
      </c>
      <c r="D668">
        <f>IF(ISBLANK('Q:\Abteilungsprojekte\eng\EngData\AOS\Allgemein\[LabSamples2025.xlsx]Bioplastic'!D668)," ",'Q:\Abteilungsprojekte\eng\EngData\AOS\Allgemein\[LabSamples2025.xlsx]Bioplastic'!D668)</f>
        <v/>
      </c>
      <c r="E668">
        <f>IF(ISBLANK('Q:\Abteilungsprojekte\eng\EngData\AOS\Allgemein\[LabSamples2025.xlsx]Bioplastic'!E668)," ",'Q:\Abteilungsprojekte\eng\EngData\AOS\Allgemein\[LabSamples2025.xlsx]Bioplastic'!E668)</f>
        <v/>
      </c>
      <c r="F668">
        <f>IF(ISBLANK('Q:\Abteilungsprojekte\eng\EngData\AOS\Allgemein\[LabSamples2025.xlsx]Bioplastic'!F668)," ",'Q:\Abteilungsprojekte\eng\EngData\AOS\Allgemein\[LabSamples2025.xlsx]Bioplastic'!F668)</f>
        <v/>
      </c>
      <c r="G668">
        <f>IF(ISBLANK('Q:\Abteilungsprojekte\eng\EngData\AOS\Allgemein\[LabSamples2025.xlsx]Bioplastic'!G668)," ",'Q:\Abteilungsprojekte\eng\EngData\AOS\Allgemein\[LabSamples2025.xlsx]Bioplastic'!G668)</f>
        <v/>
      </c>
      <c r="H668">
        <f>IF(ISBLANK('Q:\Abteilungsprojekte\eng\EngData\AOS\Allgemein\[LabSamples2025.xlsx]Bioplastic'!H668)," ",'Q:\Abteilungsprojekte\eng\EngData\AOS\Allgemein\[LabSamples2025.xlsx]Bioplastic'!H668)</f>
        <v/>
      </c>
    </row>
    <row r="669">
      <c r="A669">
        <f>IF(ISBLANK('Q:\Abteilungsprojekte\eng\EngData\AOS\Allgemein\[LabSamples2025.xlsx]Bioplastic'!A669)," ",'Q:\Abteilungsprojekte\eng\EngData\AOS\Allgemein\[LabSamples2025.xlsx]Bioplastic'!A669)</f>
        <v/>
      </c>
      <c r="B669">
        <f>IF(ISBLANK('Q:\Abteilungsprojekte\eng\EngData\AOS\Allgemein\[LabSamples2025.xlsx]Bioplastic'!B669)," ",'Q:\Abteilungsprojekte\eng\EngData\AOS\Allgemein\[LabSamples2025.xlsx]Bioplastic'!B669)</f>
        <v/>
      </c>
      <c r="C669">
        <f>IF(ISBLANK('Q:\Abteilungsprojekte\eng\EngData\AOS\Allgemein\[LabSamples2025.xlsx]Bioplastic'!C669)," ",'Q:\Abteilungsprojekte\eng\EngData\AOS\Allgemein\[LabSamples2025.xlsx]Bioplastic'!C669)</f>
        <v/>
      </c>
      <c r="D669">
        <f>IF(ISBLANK('Q:\Abteilungsprojekte\eng\EngData\AOS\Allgemein\[LabSamples2025.xlsx]Bioplastic'!D669)," ",'Q:\Abteilungsprojekte\eng\EngData\AOS\Allgemein\[LabSamples2025.xlsx]Bioplastic'!D669)</f>
        <v/>
      </c>
      <c r="E669">
        <f>IF(ISBLANK('Q:\Abteilungsprojekte\eng\EngData\AOS\Allgemein\[LabSamples2025.xlsx]Bioplastic'!E669)," ",'Q:\Abteilungsprojekte\eng\EngData\AOS\Allgemein\[LabSamples2025.xlsx]Bioplastic'!E669)</f>
        <v/>
      </c>
      <c r="F669">
        <f>IF(ISBLANK('Q:\Abteilungsprojekte\eng\EngData\AOS\Allgemein\[LabSamples2025.xlsx]Bioplastic'!F669)," ",'Q:\Abteilungsprojekte\eng\EngData\AOS\Allgemein\[LabSamples2025.xlsx]Bioplastic'!F669)</f>
        <v/>
      </c>
      <c r="G669">
        <f>IF(ISBLANK('Q:\Abteilungsprojekte\eng\EngData\AOS\Allgemein\[LabSamples2025.xlsx]Bioplastic'!G669)," ",'Q:\Abteilungsprojekte\eng\EngData\AOS\Allgemein\[LabSamples2025.xlsx]Bioplastic'!G669)</f>
        <v/>
      </c>
      <c r="H669">
        <f>IF(ISBLANK('Q:\Abteilungsprojekte\eng\EngData\AOS\Allgemein\[LabSamples2025.xlsx]Bioplastic'!H669)," ",'Q:\Abteilungsprojekte\eng\EngData\AOS\Allgemein\[LabSamples2025.xlsx]Bioplastic'!H669)</f>
        <v/>
      </c>
    </row>
    <row r="670">
      <c r="A670">
        <f>IF(ISBLANK('Q:\Abteilungsprojekte\eng\EngData\AOS\Allgemein\[LabSamples2025.xlsx]Bioplastic'!A670)," ",'Q:\Abteilungsprojekte\eng\EngData\AOS\Allgemein\[LabSamples2025.xlsx]Bioplastic'!A670)</f>
        <v/>
      </c>
      <c r="B670">
        <f>IF(ISBLANK('Q:\Abteilungsprojekte\eng\EngData\AOS\Allgemein\[LabSamples2025.xlsx]Bioplastic'!B670)," ",'Q:\Abteilungsprojekte\eng\EngData\AOS\Allgemein\[LabSamples2025.xlsx]Bioplastic'!B670)</f>
        <v/>
      </c>
      <c r="C670">
        <f>IF(ISBLANK('Q:\Abteilungsprojekte\eng\EngData\AOS\Allgemein\[LabSamples2025.xlsx]Bioplastic'!C670)," ",'Q:\Abteilungsprojekte\eng\EngData\AOS\Allgemein\[LabSamples2025.xlsx]Bioplastic'!C670)</f>
        <v/>
      </c>
      <c r="D670">
        <f>IF(ISBLANK('Q:\Abteilungsprojekte\eng\EngData\AOS\Allgemein\[LabSamples2025.xlsx]Bioplastic'!D670)," ",'Q:\Abteilungsprojekte\eng\EngData\AOS\Allgemein\[LabSamples2025.xlsx]Bioplastic'!D670)</f>
        <v/>
      </c>
      <c r="E670">
        <f>IF(ISBLANK('Q:\Abteilungsprojekte\eng\EngData\AOS\Allgemein\[LabSamples2025.xlsx]Bioplastic'!E670)," ",'Q:\Abteilungsprojekte\eng\EngData\AOS\Allgemein\[LabSamples2025.xlsx]Bioplastic'!E670)</f>
        <v/>
      </c>
      <c r="F670">
        <f>IF(ISBLANK('Q:\Abteilungsprojekte\eng\EngData\AOS\Allgemein\[LabSamples2025.xlsx]Bioplastic'!F670)," ",'Q:\Abteilungsprojekte\eng\EngData\AOS\Allgemein\[LabSamples2025.xlsx]Bioplastic'!F670)</f>
        <v/>
      </c>
      <c r="G670">
        <f>IF(ISBLANK('Q:\Abteilungsprojekte\eng\EngData\AOS\Allgemein\[LabSamples2025.xlsx]Bioplastic'!G670)," ",'Q:\Abteilungsprojekte\eng\EngData\AOS\Allgemein\[LabSamples2025.xlsx]Bioplastic'!G670)</f>
        <v/>
      </c>
      <c r="H670">
        <f>IF(ISBLANK('Q:\Abteilungsprojekte\eng\EngData\AOS\Allgemein\[LabSamples2025.xlsx]Bioplastic'!H670)," ",'Q:\Abteilungsprojekte\eng\EngData\AOS\Allgemein\[LabSamples2025.xlsx]Bioplastic'!H670)</f>
        <v/>
      </c>
    </row>
    <row r="671">
      <c r="A671">
        <f>IF(ISBLANK('Q:\Abteilungsprojekte\eng\EngData\AOS\Allgemein\[LabSamples2025.xlsx]Bioplastic'!A671)," ",'Q:\Abteilungsprojekte\eng\EngData\AOS\Allgemein\[LabSamples2025.xlsx]Bioplastic'!A671)</f>
        <v/>
      </c>
      <c r="B671">
        <f>IF(ISBLANK('Q:\Abteilungsprojekte\eng\EngData\AOS\Allgemein\[LabSamples2025.xlsx]Bioplastic'!B671)," ",'Q:\Abteilungsprojekte\eng\EngData\AOS\Allgemein\[LabSamples2025.xlsx]Bioplastic'!B671)</f>
        <v/>
      </c>
      <c r="C671">
        <f>IF(ISBLANK('Q:\Abteilungsprojekte\eng\EngData\AOS\Allgemein\[LabSamples2025.xlsx]Bioplastic'!C671)," ",'Q:\Abteilungsprojekte\eng\EngData\AOS\Allgemein\[LabSamples2025.xlsx]Bioplastic'!C671)</f>
        <v/>
      </c>
      <c r="D671">
        <f>IF(ISBLANK('Q:\Abteilungsprojekte\eng\EngData\AOS\Allgemein\[LabSamples2025.xlsx]Bioplastic'!D671)," ",'Q:\Abteilungsprojekte\eng\EngData\AOS\Allgemein\[LabSamples2025.xlsx]Bioplastic'!D671)</f>
        <v/>
      </c>
      <c r="E671">
        <f>IF(ISBLANK('Q:\Abteilungsprojekte\eng\EngData\AOS\Allgemein\[LabSamples2025.xlsx]Bioplastic'!E671)," ",'Q:\Abteilungsprojekte\eng\EngData\AOS\Allgemein\[LabSamples2025.xlsx]Bioplastic'!E671)</f>
        <v/>
      </c>
      <c r="F671">
        <f>IF(ISBLANK('Q:\Abteilungsprojekte\eng\EngData\AOS\Allgemein\[LabSamples2025.xlsx]Bioplastic'!F671)," ",'Q:\Abteilungsprojekte\eng\EngData\AOS\Allgemein\[LabSamples2025.xlsx]Bioplastic'!F671)</f>
        <v/>
      </c>
      <c r="G671">
        <f>IF(ISBLANK('Q:\Abteilungsprojekte\eng\EngData\AOS\Allgemein\[LabSamples2025.xlsx]Bioplastic'!G671)," ",'Q:\Abteilungsprojekte\eng\EngData\AOS\Allgemein\[LabSamples2025.xlsx]Bioplastic'!G671)</f>
        <v/>
      </c>
      <c r="H671">
        <f>IF(ISBLANK('Q:\Abteilungsprojekte\eng\EngData\AOS\Allgemein\[LabSamples2025.xlsx]Bioplastic'!H671)," ",'Q:\Abteilungsprojekte\eng\EngData\AOS\Allgemein\[LabSamples2025.xlsx]Bioplastic'!H671)</f>
        <v/>
      </c>
    </row>
    <row r="672">
      <c r="A672">
        <f>IF(ISBLANK('Q:\Abteilungsprojekte\eng\EngData\AOS\Allgemein\[LabSamples2025.xlsx]Bioplastic'!A672)," ",'Q:\Abteilungsprojekte\eng\EngData\AOS\Allgemein\[LabSamples2025.xlsx]Bioplastic'!A672)</f>
        <v/>
      </c>
      <c r="B672">
        <f>IF(ISBLANK('Q:\Abteilungsprojekte\eng\EngData\AOS\Allgemein\[LabSamples2025.xlsx]Bioplastic'!B672)," ",'Q:\Abteilungsprojekte\eng\EngData\AOS\Allgemein\[LabSamples2025.xlsx]Bioplastic'!B672)</f>
        <v/>
      </c>
      <c r="C672">
        <f>IF(ISBLANK('Q:\Abteilungsprojekte\eng\EngData\AOS\Allgemein\[LabSamples2025.xlsx]Bioplastic'!C672)," ",'Q:\Abteilungsprojekte\eng\EngData\AOS\Allgemein\[LabSamples2025.xlsx]Bioplastic'!C672)</f>
        <v/>
      </c>
      <c r="D672">
        <f>IF(ISBLANK('Q:\Abteilungsprojekte\eng\EngData\AOS\Allgemein\[LabSamples2025.xlsx]Bioplastic'!D672)," ",'Q:\Abteilungsprojekte\eng\EngData\AOS\Allgemein\[LabSamples2025.xlsx]Bioplastic'!D672)</f>
        <v/>
      </c>
      <c r="E672">
        <f>IF(ISBLANK('Q:\Abteilungsprojekte\eng\EngData\AOS\Allgemein\[LabSamples2025.xlsx]Bioplastic'!E672)," ",'Q:\Abteilungsprojekte\eng\EngData\AOS\Allgemein\[LabSamples2025.xlsx]Bioplastic'!E672)</f>
        <v/>
      </c>
      <c r="F672">
        <f>IF(ISBLANK('Q:\Abteilungsprojekte\eng\EngData\AOS\Allgemein\[LabSamples2025.xlsx]Bioplastic'!F672)," ",'Q:\Abteilungsprojekte\eng\EngData\AOS\Allgemein\[LabSamples2025.xlsx]Bioplastic'!F672)</f>
        <v/>
      </c>
      <c r="G672">
        <f>IF(ISBLANK('Q:\Abteilungsprojekte\eng\EngData\AOS\Allgemein\[LabSamples2025.xlsx]Bioplastic'!G672)," ",'Q:\Abteilungsprojekte\eng\EngData\AOS\Allgemein\[LabSamples2025.xlsx]Bioplastic'!G672)</f>
        <v/>
      </c>
      <c r="H672">
        <f>IF(ISBLANK('Q:\Abteilungsprojekte\eng\EngData\AOS\Allgemein\[LabSamples2025.xlsx]Bioplastic'!H672)," ",'Q:\Abteilungsprojekte\eng\EngData\AOS\Allgemein\[LabSamples2025.xlsx]Bioplastic'!H672)</f>
        <v/>
      </c>
    </row>
    <row r="673">
      <c r="A673">
        <f>IF(ISBLANK('Q:\Abteilungsprojekte\eng\EngData\AOS\Allgemein\[LabSamples2025.xlsx]Bioplastic'!A673)," ",'Q:\Abteilungsprojekte\eng\EngData\AOS\Allgemein\[LabSamples2025.xlsx]Bioplastic'!A673)</f>
        <v/>
      </c>
      <c r="B673">
        <f>IF(ISBLANK('Q:\Abteilungsprojekte\eng\EngData\AOS\Allgemein\[LabSamples2025.xlsx]Bioplastic'!B673)," ",'Q:\Abteilungsprojekte\eng\EngData\AOS\Allgemein\[LabSamples2025.xlsx]Bioplastic'!B673)</f>
        <v/>
      </c>
      <c r="C673">
        <f>IF(ISBLANK('Q:\Abteilungsprojekte\eng\EngData\AOS\Allgemein\[LabSamples2025.xlsx]Bioplastic'!C673)," ",'Q:\Abteilungsprojekte\eng\EngData\AOS\Allgemein\[LabSamples2025.xlsx]Bioplastic'!C673)</f>
        <v/>
      </c>
      <c r="D673">
        <f>IF(ISBLANK('Q:\Abteilungsprojekte\eng\EngData\AOS\Allgemein\[LabSamples2025.xlsx]Bioplastic'!D673)," ",'Q:\Abteilungsprojekte\eng\EngData\AOS\Allgemein\[LabSamples2025.xlsx]Bioplastic'!D673)</f>
        <v/>
      </c>
      <c r="E673">
        <f>IF(ISBLANK('Q:\Abteilungsprojekte\eng\EngData\AOS\Allgemein\[LabSamples2025.xlsx]Bioplastic'!E673)," ",'Q:\Abteilungsprojekte\eng\EngData\AOS\Allgemein\[LabSamples2025.xlsx]Bioplastic'!E673)</f>
        <v/>
      </c>
      <c r="F673">
        <f>IF(ISBLANK('Q:\Abteilungsprojekte\eng\EngData\AOS\Allgemein\[LabSamples2025.xlsx]Bioplastic'!F673)," ",'Q:\Abteilungsprojekte\eng\EngData\AOS\Allgemein\[LabSamples2025.xlsx]Bioplastic'!F673)</f>
        <v/>
      </c>
      <c r="G673">
        <f>IF(ISBLANK('Q:\Abteilungsprojekte\eng\EngData\AOS\Allgemein\[LabSamples2025.xlsx]Bioplastic'!G673)," ",'Q:\Abteilungsprojekte\eng\EngData\AOS\Allgemein\[LabSamples2025.xlsx]Bioplastic'!G673)</f>
        <v/>
      </c>
      <c r="H673">
        <f>IF(ISBLANK('Q:\Abteilungsprojekte\eng\EngData\AOS\Allgemein\[LabSamples2025.xlsx]Bioplastic'!H673)," ",'Q:\Abteilungsprojekte\eng\EngData\AOS\Allgemein\[LabSamples2025.xlsx]Bioplastic'!H673)</f>
        <v/>
      </c>
    </row>
    <row r="674">
      <c r="A674">
        <f>IF(ISBLANK('Q:\Abteilungsprojekte\eng\EngData\AOS\Allgemein\[LabSamples2025.xlsx]Bioplastic'!A674)," ",'Q:\Abteilungsprojekte\eng\EngData\AOS\Allgemein\[LabSamples2025.xlsx]Bioplastic'!A674)</f>
        <v/>
      </c>
      <c r="B674">
        <f>IF(ISBLANK('Q:\Abteilungsprojekte\eng\EngData\AOS\Allgemein\[LabSamples2025.xlsx]Bioplastic'!B674)," ",'Q:\Abteilungsprojekte\eng\EngData\AOS\Allgemein\[LabSamples2025.xlsx]Bioplastic'!B674)</f>
        <v/>
      </c>
      <c r="C674">
        <f>IF(ISBLANK('Q:\Abteilungsprojekte\eng\EngData\AOS\Allgemein\[LabSamples2025.xlsx]Bioplastic'!C674)," ",'Q:\Abteilungsprojekte\eng\EngData\AOS\Allgemein\[LabSamples2025.xlsx]Bioplastic'!C674)</f>
        <v/>
      </c>
      <c r="D674">
        <f>IF(ISBLANK('Q:\Abteilungsprojekte\eng\EngData\AOS\Allgemein\[LabSamples2025.xlsx]Bioplastic'!D674)," ",'Q:\Abteilungsprojekte\eng\EngData\AOS\Allgemein\[LabSamples2025.xlsx]Bioplastic'!D674)</f>
        <v/>
      </c>
      <c r="E674">
        <f>IF(ISBLANK('Q:\Abteilungsprojekte\eng\EngData\AOS\Allgemein\[LabSamples2025.xlsx]Bioplastic'!E674)," ",'Q:\Abteilungsprojekte\eng\EngData\AOS\Allgemein\[LabSamples2025.xlsx]Bioplastic'!E674)</f>
        <v/>
      </c>
      <c r="F674">
        <f>IF(ISBLANK('Q:\Abteilungsprojekte\eng\EngData\AOS\Allgemein\[LabSamples2025.xlsx]Bioplastic'!F674)," ",'Q:\Abteilungsprojekte\eng\EngData\AOS\Allgemein\[LabSamples2025.xlsx]Bioplastic'!F674)</f>
        <v/>
      </c>
      <c r="G674">
        <f>IF(ISBLANK('Q:\Abteilungsprojekte\eng\EngData\AOS\Allgemein\[LabSamples2025.xlsx]Bioplastic'!G674)," ",'Q:\Abteilungsprojekte\eng\EngData\AOS\Allgemein\[LabSamples2025.xlsx]Bioplastic'!G674)</f>
        <v/>
      </c>
      <c r="H674">
        <f>IF(ISBLANK('Q:\Abteilungsprojekte\eng\EngData\AOS\Allgemein\[LabSamples2025.xlsx]Bioplastic'!H674)," ",'Q:\Abteilungsprojekte\eng\EngData\AOS\Allgemein\[LabSamples2025.xlsx]Bioplastic'!H674)</f>
        <v/>
      </c>
    </row>
    <row r="675">
      <c r="A675">
        <f>IF(ISBLANK('Q:\Abteilungsprojekte\eng\EngData\AOS\Allgemein\[LabSamples2025.xlsx]Bioplastic'!A675)," ",'Q:\Abteilungsprojekte\eng\EngData\AOS\Allgemein\[LabSamples2025.xlsx]Bioplastic'!A675)</f>
        <v/>
      </c>
      <c r="B675">
        <f>IF(ISBLANK('Q:\Abteilungsprojekte\eng\EngData\AOS\Allgemein\[LabSamples2025.xlsx]Bioplastic'!B675)," ",'Q:\Abteilungsprojekte\eng\EngData\AOS\Allgemein\[LabSamples2025.xlsx]Bioplastic'!B675)</f>
        <v/>
      </c>
      <c r="C675">
        <f>IF(ISBLANK('Q:\Abteilungsprojekte\eng\EngData\AOS\Allgemein\[LabSamples2025.xlsx]Bioplastic'!C675)," ",'Q:\Abteilungsprojekte\eng\EngData\AOS\Allgemein\[LabSamples2025.xlsx]Bioplastic'!C675)</f>
        <v/>
      </c>
      <c r="D675">
        <f>IF(ISBLANK('Q:\Abteilungsprojekte\eng\EngData\AOS\Allgemein\[LabSamples2025.xlsx]Bioplastic'!D675)," ",'Q:\Abteilungsprojekte\eng\EngData\AOS\Allgemein\[LabSamples2025.xlsx]Bioplastic'!D675)</f>
        <v/>
      </c>
      <c r="E675">
        <f>IF(ISBLANK('Q:\Abteilungsprojekte\eng\EngData\AOS\Allgemein\[LabSamples2025.xlsx]Bioplastic'!E675)," ",'Q:\Abteilungsprojekte\eng\EngData\AOS\Allgemein\[LabSamples2025.xlsx]Bioplastic'!E675)</f>
        <v/>
      </c>
      <c r="F675">
        <f>IF(ISBLANK('Q:\Abteilungsprojekte\eng\EngData\AOS\Allgemein\[LabSamples2025.xlsx]Bioplastic'!F675)," ",'Q:\Abteilungsprojekte\eng\EngData\AOS\Allgemein\[LabSamples2025.xlsx]Bioplastic'!F675)</f>
        <v/>
      </c>
      <c r="G675">
        <f>IF(ISBLANK('Q:\Abteilungsprojekte\eng\EngData\AOS\Allgemein\[LabSamples2025.xlsx]Bioplastic'!G675)," ",'Q:\Abteilungsprojekte\eng\EngData\AOS\Allgemein\[LabSamples2025.xlsx]Bioplastic'!G675)</f>
        <v/>
      </c>
      <c r="H675">
        <f>IF(ISBLANK('Q:\Abteilungsprojekte\eng\EngData\AOS\Allgemein\[LabSamples2025.xlsx]Bioplastic'!H675)," ",'Q:\Abteilungsprojekte\eng\EngData\AOS\Allgemein\[LabSamples2025.xlsx]Bioplastic'!H675)</f>
        <v/>
      </c>
    </row>
    <row r="676">
      <c r="A676">
        <f>IF(ISBLANK('Q:\Abteilungsprojekte\eng\EngData\AOS\Allgemein\[LabSamples2025.xlsx]Bioplastic'!A676)," ",'Q:\Abteilungsprojekte\eng\EngData\AOS\Allgemein\[LabSamples2025.xlsx]Bioplastic'!A676)</f>
        <v/>
      </c>
      <c r="B676">
        <f>IF(ISBLANK('Q:\Abteilungsprojekte\eng\EngData\AOS\Allgemein\[LabSamples2025.xlsx]Bioplastic'!B676)," ",'Q:\Abteilungsprojekte\eng\EngData\AOS\Allgemein\[LabSamples2025.xlsx]Bioplastic'!B676)</f>
        <v/>
      </c>
      <c r="C676">
        <f>IF(ISBLANK('Q:\Abteilungsprojekte\eng\EngData\AOS\Allgemein\[LabSamples2025.xlsx]Bioplastic'!C676)," ",'Q:\Abteilungsprojekte\eng\EngData\AOS\Allgemein\[LabSamples2025.xlsx]Bioplastic'!C676)</f>
        <v/>
      </c>
      <c r="D676">
        <f>IF(ISBLANK('Q:\Abteilungsprojekte\eng\EngData\AOS\Allgemein\[LabSamples2025.xlsx]Bioplastic'!D676)," ",'Q:\Abteilungsprojekte\eng\EngData\AOS\Allgemein\[LabSamples2025.xlsx]Bioplastic'!D676)</f>
        <v/>
      </c>
      <c r="E676">
        <f>IF(ISBLANK('Q:\Abteilungsprojekte\eng\EngData\AOS\Allgemein\[LabSamples2025.xlsx]Bioplastic'!E676)," ",'Q:\Abteilungsprojekte\eng\EngData\AOS\Allgemein\[LabSamples2025.xlsx]Bioplastic'!E676)</f>
        <v/>
      </c>
      <c r="F676">
        <f>IF(ISBLANK('Q:\Abteilungsprojekte\eng\EngData\AOS\Allgemein\[LabSamples2025.xlsx]Bioplastic'!F676)," ",'Q:\Abteilungsprojekte\eng\EngData\AOS\Allgemein\[LabSamples2025.xlsx]Bioplastic'!F676)</f>
        <v/>
      </c>
      <c r="G676">
        <f>IF(ISBLANK('Q:\Abteilungsprojekte\eng\EngData\AOS\Allgemein\[LabSamples2025.xlsx]Bioplastic'!G676)," ",'Q:\Abteilungsprojekte\eng\EngData\AOS\Allgemein\[LabSamples2025.xlsx]Bioplastic'!G676)</f>
        <v/>
      </c>
      <c r="H676">
        <f>IF(ISBLANK('Q:\Abteilungsprojekte\eng\EngData\AOS\Allgemein\[LabSamples2025.xlsx]Bioplastic'!H676)," ",'Q:\Abteilungsprojekte\eng\EngData\AOS\Allgemein\[LabSamples2025.xlsx]Bioplastic'!H676)</f>
        <v/>
      </c>
    </row>
    <row r="677">
      <c r="A677">
        <f>IF(ISBLANK('Q:\Abteilungsprojekte\eng\EngData\AOS\Allgemein\[LabSamples2025.xlsx]Bioplastic'!A677)," ",'Q:\Abteilungsprojekte\eng\EngData\AOS\Allgemein\[LabSamples2025.xlsx]Bioplastic'!A677)</f>
        <v/>
      </c>
      <c r="B677">
        <f>IF(ISBLANK('Q:\Abteilungsprojekte\eng\EngData\AOS\Allgemein\[LabSamples2025.xlsx]Bioplastic'!B677)," ",'Q:\Abteilungsprojekte\eng\EngData\AOS\Allgemein\[LabSamples2025.xlsx]Bioplastic'!B677)</f>
        <v/>
      </c>
      <c r="C677">
        <f>IF(ISBLANK('Q:\Abteilungsprojekte\eng\EngData\AOS\Allgemein\[LabSamples2025.xlsx]Bioplastic'!C677)," ",'Q:\Abteilungsprojekte\eng\EngData\AOS\Allgemein\[LabSamples2025.xlsx]Bioplastic'!C677)</f>
        <v/>
      </c>
      <c r="D677">
        <f>IF(ISBLANK('Q:\Abteilungsprojekte\eng\EngData\AOS\Allgemein\[LabSamples2025.xlsx]Bioplastic'!D677)," ",'Q:\Abteilungsprojekte\eng\EngData\AOS\Allgemein\[LabSamples2025.xlsx]Bioplastic'!D677)</f>
        <v/>
      </c>
      <c r="E677">
        <f>IF(ISBLANK('Q:\Abteilungsprojekte\eng\EngData\AOS\Allgemein\[LabSamples2025.xlsx]Bioplastic'!E677)," ",'Q:\Abteilungsprojekte\eng\EngData\AOS\Allgemein\[LabSamples2025.xlsx]Bioplastic'!E677)</f>
        <v/>
      </c>
      <c r="F677">
        <f>IF(ISBLANK('Q:\Abteilungsprojekte\eng\EngData\AOS\Allgemein\[LabSamples2025.xlsx]Bioplastic'!F677)," ",'Q:\Abteilungsprojekte\eng\EngData\AOS\Allgemein\[LabSamples2025.xlsx]Bioplastic'!F677)</f>
        <v/>
      </c>
      <c r="G677">
        <f>IF(ISBLANK('Q:\Abteilungsprojekte\eng\EngData\AOS\Allgemein\[LabSamples2025.xlsx]Bioplastic'!G677)," ",'Q:\Abteilungsprojekte\eng\EngData\AOS\Allgemein\[LabSamples2025.xlsx]Bioplastic'!G677)</f>
        <v/>
      </c>
      <c r="H677">
        <f>IF(ISBLANK('Q:\Abteilungsprojekte\eng\EngData\AOS\Allgemein\[LabSamples2025.xlsx]Bioplastic'!H677)," ",'Q:\Abteilungsprojekte\eng\EngData\AOS\Allgemein\[LabSamples2025.xlsx]Bioplastic'!H677)</f>
        <v/>
      </c>
    </row>
    <row r="678">
      <c r="A678">
        <f>IF(ISBLANK('Q:\Abteilungsprojekte\eng\EngData\AOS\Allgemein\[LabSamples2025.xlsx]Bioplastic'!A678)," ",'Q:\Abteilungsprojekte\eng\EngData\AOS\Allgemein\[LabSamples2025.xlsx]Bioplastic'!A678)</f>
        <v/>
      </c>
      <c r="B678">
        <f>IF(ISBLANK('Q:\Abteilungsprojekte\eng\EngData\AOS\Allgemein\[LabSamples2025.xlsx]Bioplastic'!B678)," ",'Q:\Abteilungsprojekte\eng\EngData\AOS\Allgemein\[LabSamples2025.xlsx]Bioplastic'!B678)</f>
        <v/>
      </c>
      <c r="C678">
        <f>IF(ISBLANK('Q:\Abteilungsprojekte\eng\EngData\AOS\Allgemein\[LabSamples2025.xlsx]Bioplastic'!C678)," ",'Q:\Abteilungsprojekte\eng\EngData\AOS\Allgemein\[LabSamples2025.xlsx]Bioplastic'!C678)</f>
        <v/>
      </c>
      <c r="D678">
        <f>IF(ISBLANK('Q:\Abteilungsprojekte\eng\EngData\AOS\Allgemein\[LabSamples2025.xlsx]Bioplastic'!D678)," ",'Q:\Abteilungsprojekte\eng\EngData\AOS\Allgemein\[LabSamples2025.xlsx]Bioplastic'!D678)</f>
        <v/>
      </c>
      <c r="E678">
        <f>IF(ISBLANK('Q:\Abteilungsprojekte\eng\EngData\AOS\Allgemein\[LabSamples2025.xlsx]Bioplastic'!E678)," ",'Q:\Abteilungsprojekte\eng\EngData\AOS\Allgemein\[LabSamples2025.xlsx]Bioplastic'!E678)</f>
        <v/>
      </c>
      <c r="F678">
        <f>IF(ISBLANK('Q:\Abteilungsprojekte\eng\EngData\AOS\Allgemein\[LabSamples2025.xlsx]Bioplastic'!F678)," ",'Q:\Abteilungsprojekte\eng\EngData\AOS\Allgemein\[LabSamples2025.xlsx]Bioplastic'!F678)</f>
        <v/>
      </c>
      <c r="G678">
        <f>IF(ISBLANK('Q:\Abteilungsprojekte\eng\EngData\AOS\Allgemein\[LabSamples2025.xlsx]Bioplastic'!G678)," ",'Q:\Abteilungsprojekte\eng\EngData\AOS\Allgemein\[LabSamples2025.xlsx]Bioplastic'!G678)</f>
        <v/>
      </c>
      <c r="H678">
        <f>IF(ISBLANK('Q:\Abteilungsprojekte\eng\EngData\AOS\Allgemein\[LabSamples2025.xlsx]Bioplastic'!H678)," ",'Q:\Abteilungsprojekte\eng\EngData\AOS\Allgemein\[LabSamples2025.xlsx]Bioplastic'!H678)</f>
        <v/>
      </c>
    </row>
    <row r="679">
      <c r="A679">
        <f>IF(ISBLANK('Q:\Abteilungsprojekte\eng\EngData\AOS\Allgemein\[LabSamples2025.xlsx]Bioplastic'!A679)," ",'Q:\Abteilungsprojekte\eng\EngData\AOS\Allgemein\[LabSamples2025.xlsx]Bioplastic'!A679)</f>
        <v/>
      </c>
      <c r="B679">
        <f>IF(ISBLANK('Q:\Abteilungsprojekte\eng\EngData\AOS\Allgemein\[LabSamples2025.xlsx]Bioplastic'!B679)," ",'Q:\Abteilungsprojekte\eng\EngData\AOS\Allgemein\[LabSamples2025.xlsx]Bioplastic'!B679)</f>
        <v/>
      </c>
      <c r="C679">
        <f>IF(ISBLANK('Q:\Abteilungsprojekte\eng\EngData\AOS\Allgemein\[LabSamples2025.xlsx]Bioplastic'!C679)," ",'Q:\Abteilungsprojekte\eng\EngData\AOS\Allgemein\[LabSamples2025.xlsx]Bioplastic'!C679)</f>
        <v/>
      </c>
      <c r="D679">
        <f>IF(ISBLANK('Q:\Abteilungsprojekte\eng\EngData\AOS\Allgemein\[LabSamples2025.xlsx]Bioplastic'!D679)," ",'Q:\Abteilungsprojekte\eng\EngData\AOS\Allgemein\[LabSamples2025.xlsx]Bioplastic'!D679)</f>
        <v/>
      </c>
      <c r="E679">
        <f>IF(ISBLANK('Q:\Abteilungsprojekte\eng\EngData\AOS\Allgemein\[LabSamples2025.xlsx]Bioplastic'!E679)," ",'Q:\Abteilungsprojekte\eng\EngData\AOS\Allgemein\[LabSamples2025.xlsx]Bioplastic'!E679)</f>
        <v/>
      </c>
      <c r="F679">
        <f>IF(ISBLANK('Q:\Abteilungsprojekte\eng\EngData\AOS\Allgemein\[LabSamples2025.xlsx]Bioplastic'!F679)," ",'Q:\Abteilungsprojekte\eng\EngData\AOS\Allgemein\[LabSamples2025.xlsx]Bioplastic'!F679)</f>
        <v/>
      </c>
      <c r="G679">
        <f>IF(ISBLANK('Q:\Abteilungsprojekte\eng\EngData\AOS\Allgemein\[LabSamples2025.xlsx]Bioplastic'!G679)," ",'Q:\Abteilungsprojekte\eng\EngData\AOS\Allgemein\[LabSamples2025.xlsx]Bioplastic'!G679)</f>
        <v/>
      </c>
      <c r="H679">
        <f>IF(ISBLANK('Q:\Abteilungsprojekte\eng\EngData\AOS\Allgemein\[LabSamples2025.xlsx]Bioplastic'!H679)," ",'Q:\Abteilungsprojekte\eng\EngData\AOS\Allgemein\[LabSamples2025.xlsx]Bioplastic'!H679)</f>
        <v/>
      </c>
    </row>
    <row r="680">
      <c r="A680">
        <f>IF(ISBLANK('Q:\Abteilungsprojekte\eng\EngData\AOS\Allgemein\[LabSamples2025.xlsx]Bioplastic'!A680)," ",'Q:\Abteilungsprojekte\eng\EngData\AOS\Allgemein\[LabSamples2025.xlsx]Bioplastic'!A680)</f>
        <v/>
      </c>
      <c r="B680">
        <f>IF(ISBLANK('Q:\Abteilungsprojekte\eng\EngData\AOS\Allgemein\[LabSamples2025.xlsx]Bioplastic'!B680)," ",'Q:\Abteilungsprojekte\eng\EngData\AOS\Allgemein\[LabSamples2025.xlsx]Bioplastic'!B680)</f>
        <v/>
      </c>
      <c r="C680">
        <f>IF(ISBLANK('Q:\Abteilungsprojekte\eng\EngData\AOS\Allgemein\[LabSamples2025.xlsx]Bioplastic'!C680)," ",'Q:\Abteilungsprojekte\eng\EngData\AOS\Allgemein\[LabSamples2025.xlsx]Bioplastic'!C680)</f>
        <v/>
      </c>
      <c r="D680">
        <f>IF(ISBLANK('Q:\Abteilungsprojekte\eng\EngData\AOS\Allgemein\[LabSamples2025.xlsx]Bioplastic'!D680)," ",'Q:\Abteilungsprojekte\eng\EngData\AOS\Allgemein\[LabSamples2025.xlsx]Bioplastic'!D680)</f>
        <v/>
      </c>
      <c r="E680">
        <f>IF(ISBLANK('Q:\Abteilungsprojekte\eng\EngData\AOS\Allgemein\[LabSamples2025.xlsx]Bioplastic'!E680)," ",'Q:\Abteilungsprojekte\eng\EngData\AOS\Allgemein\[LabSamples2025.xlsx]Bioplastic'!E680)</f>
        <v/>
      </c>
      <c r="F680">
        <f>IF(ISBLANK('Q:\Abteilungsprojekte\eng\EngData\AOS\Allgemein\[LabSamples2025.xlsx]Bioplastic'!F680)," ",'Q:\Abteilungsprojekte\eng\EngData\AOS\Allgemein\[LabSamples2025.xlsx]Bioplastic'!F680)</f>
        <v/>
      </c>
      <c r="G680">
        <f>IF(ISBLANK('Q:\Abteilungsprojekte\eng\EngData\AOS\Allgemein\[LabSamples2025.xlsx]Bioplastic'!G680)," ",'Q:\Abteilungsprojekte\eng\EngData\AOS\Allgemein\[LabSamples2025.xlsx]Bioplastic'!G680)</f>
        <v/>
      </c>
      <c r="H680">
        <f>IF(ISBLANK('Q:\Abteilungsprojekte\eng\EngData\AOS\Allgemein\[LabSamples2025.xlsx]Bioplastic'!H680)," ",'Q:\Abteilungsprojekte\eng\EngData\AOS\Allgemein\[LabSamples2025.xlsx]Bioplastic'!H680)</f>
        <v/>
      </c>
    </row>
    <row r="681">
      <c r="A681">
        <f>IF(ISBLANK('Q:\Abteilungsprojekte\eng\EngData\AOS\Allgemein\[LabSamples2025.xlsx]Bioplastic'!A681)," ",'Q:\Abteilungsprojekte\eng\EngData\AOS\Allgemein\[LabSamples2025.xlsx]Bioplastic'!A681)</f>
        <v/>
      </c>
      <c r="B681">
        <f>IF(ISBLANK('Q:\Abteilungsprojekte\eng\EngData\AOS\Allgemein\[LabSamples2025.xlsx]Bioplastic'!B681)," ",'Q:\Abteilungsprojekte\eng\EngData\AOS\Allgemein\[LabSamples2025.xlsx]Bioplastic'!B681)</f>
        <v/>
      </c>
      <c r="C681">
        <f>IF(ISBLANK('Q:\Abteilungsprojekte\eng\EngData\AOS\Allgemein\[LabSamples2025.xlsx]Bioplastic'!C681)," ",'Q:\Abteilungsprojekte\eng\EngData\AOS\Allgemein\[LabSamples2025.xlsx]Bioplastic'!C681)</f>
        <v/>
      </c>
      <c r="D681">
        <f>IF(ISBLANK('Q:\Abteilungsprojekte\eng\EngData\AOS\Allgemein\[LabSamples2025.xlsx]Bioplastic'!D681)," ",'Q:\Abteilungsprojekte\eng\EngData\AOS\Allgemein\[LabSamples2025.xlsx]Bioplastic'!D681)</f>
        <v/>
      </c>
      <c r="E681">
        <f>IF(ISBLANK('Q:\Abteilungsprojekte\eng\EngData\AOS\Allgemein\[LabSamples2025.xlsx]Bioplastic'!E681)," ",'Q:\Abteilungsprojekte\eng\EngData\AOS\Allgemein\[LabSamples2025.xlsx]Bioplastic'!E681)</f>
        <v/>
      </c>
      <c r="F681">
        <f>IF(ISBLANK('Q:\Abteilungsprojekte\eng\EngData\AOS\Allgemein\[LabSamples2025.xlsx]Bioplastic'!F681)," ",'Q:\Abteilungsprojekte\eng\EngData\AOS\Allgemein\[LabSamples2025.xlsx]Bioplastic'!F681)</f>
        <v/>
      </c>
      <c r="G681">
        <f>IF(ISBLANK('Q:\Abteilungsprojekte\eng\EngData\AOS\Allgemein\[LabSamples2025.xlsx]Bioplastic'!G681)," ",'Q:\Abteilungsprojekte\eng\EngData\AOS\Allgemein\[LabSamples2025.xlsx]Bioplastic'!G681)</f>
        <v/>
      </c>
      <c r="H681">
        <f>IF(ISBLANK('Q:\Abteilungsprojekte\eng\EngData\AOS\Allgemein\[LabSamples2025.xlsx]Bioplastic'!H681)," ",'Q:\Abteilungsprojekte\eng\EngData\AOS\Allgemein\[LabSamples2025.xlsx]Bioplastic'!H681)</f>
        <v/>
      </c>
    </row>
    <row r="682">
      <c r="A682">
        <f>IF(ISBLANK('Q:\Abteilungsprojekte\eng\EngData\AOS\Allgemein\[LabSamples2025.xlsx]Bioplastic'!A682)," ",'Q:\Abteilungsprojekte\eng\EngData\AOS\Allgemein\[LabSamples2025.xlsx]Bioplastic'!A682)</f>
        <v/>
      </c>
      <c r="B682">
        <f>IF(ISBLANK('Q:\Abteilungsprojekte\eng\EngData\AOS\Allgemein\[LabSamples2025.xlsx]Bioplastic'!B682)," ",'Q:\Abteilungsprojekte\eng\EngData\AOS\Allgemein\[LabSamples2025.xlsx]Bioplastic'!B682)</f>
        <v/>
      </c>
      <c r="C682">
        <f>IF(ISBLANK('Q:\Abteilungsprojekte\eng\EngData\AOS\Allgemein\[LabSamples2025.xlsx]Bioplastic'!C682)," ",'Q:\Abteilungsprojekte\eng\EngData\AOS\Allgemein\[LabSamples2025.xlsx]Bioplastic'!C682)</f>
        <v/>
      </c>
      <c r="D682">
        <f>IF(ISBLANK('Q:\Abteilungsprojekte\eng\EngData\AOS\Allgemein\[LabSamples2025.xlsx]Bioplastic'!D682)," ",'Q:\Abteilungsprojekte\eng\EngData\AOS\Allgemein\[LabSamples2025.xlsx]Bioplastic'!D682)</f>
        <v/>
      </c>
      <c r="E682">
        <f>IF(ISBLANK('Q:\Abteilungsprojekte\eng\EngData\AOS\Allgemein\[LabSamples2025.xlsx]Bioplastic'!E682)," ",'Q:\Abteilungsprojekte\eng\EngData\AOS\Allgemein\[LabSamples2025.xlsx]Bioplastic'!E682)</f>
        <v/>
      </c>
      <c r="F682">
        <f>IF(ISBLANK('Q:\Abteilungsprojekte\eng\EngData\AOS\Allgemein\[LabSamples2025.xlsx]Bioplastic'!F682)," ",'Q:\Abteilungsprojekte\eng\EngData\AOS\Allgemein\[LabSamples2025.xlsx]Bioplastic'!F682)</f>
        <v/>
      </c>
      <c r="G682">
        <f>IF(ISBLANK('Q:\Abteilungsprojekte\eng\EngData\AOS\Allgemein\[LabSamples2025.xlsx]Bioplastic'!G682)," ",'Q:\Abteilungsprojekte\eng\EngData\AOS\Allgemein\[LabSamples2025.xlsx]Bioplastic'!G682)</f>
        <v/>
      </c>
      <c r="H682">
        <f>IF(ISBLANK('Q:\Abteilungsprojekte\eng\EngData\AOS\Allgemein\[LabSamples2025.xlsx]Bioplastic'!H682)," ",'Q:\Abteilungsprojekte\eng\EngData\AOS\Allgemein\[LabSamples2025.xlsx]Bioplastic'!H682)</f>
        <v/>
      </c>
    </row>
    <row r="683">
      <c r="A683">
        <f>IF(ISBLANK('Q:\Abteilungsprojekte\eng\EngData\AOS\Allgemein\[LabSamples2025.xlsx]Bioplastic'!A683)," ",'Q:\Abteilungsprojekte\eng\EngData\AOS\Allgemein\[LabSamples2025.xlsx]Bioplastic'!A683)</f>
        <v/>
      </c>
      <c r="B683">
        <f>IF(ISBLANK('Q:\Abteilungsprojekte\eng\EngData\AOS\Allgemein\[LabSamples2025.xlsx]Bioplastic'!B683)," ",'Q:\Abteilungsprojekte\eng\EngData\AOS\Allgemein\[LabSamples2025.xlsx]Bioplastic'!B683)</f>
        <v/>
      </c>
      <c r="C683">
        <f>IF(ISBLANK('Q:\Abteilungsprojekte\eng\EngData\AOS\Allgemein\[LabSamples2025.xlsx]Bioplastic'!C683)," ",'Q:\Abteilungsprojekte\eng\EngData\AOS\Allgemein\[LabSamples2025.xlsx]Bioplastic'!C683)</f>
        <v/>
      </c>
      <c r="D683">
        <f>IF(ISBLANK('Q:\Abteilungsprojekte\eng\EngData\AOS\Allgemein\[LabSamples2025.xlsx]Bioplastic'!D683)," ",'Q:\Abteilungsprojekte\eng\EngData\AOS\Allgemein\[LabSamples2025.xlsx]Bioplastic'!D683)</f>
        <v/>
      </c>
      <c r="E683">
        <f>IF(ISBLANK('Q:\Abteilungsprojekte\eng\EngData\AOS\Allgemein\[LabSamples2025.xlsx]Bioplastic'!E683)," ",'Q:\Abteilungsprojekte\eng\EngData\AOS\Allgemein\[LabSamples2025.xlsx]Bioplastic'!E683)</f>
        <v/>
      </c>
      <c r="F683">
        <f>IF(ISBLANK('Q:\Abteilungsprojekte\eng\EngData\AOS\Allgemein\[LabSamples2025.xlsx]Bioplastic'!F683)," ",'Q:\Abteilungsprojekte\eng\EngData\AOS\Allgemein\[LabSamples2025.xlsx]Bioplastic'!F683)</f>
        <v/>
      </c>
      <c r="G683">
        <f>IF(ISBLANK('Q:\Abteilungsprojekte\eng\EngData\AOS\Allgemein\[LabSamples2025.xlsx]Bioplastic'!G683)," ",'Q:\Abteilungsprojekte\eng\EngData\AOS\Allgemein\[LabSamples2025.xlsx]Bioplastic'!G683)</f>
        <v/>
      </c>
      <c r="H683">
        <f>IF(ISBLANK('Q:\Abteilungsprojekte\eng\EngData\AOS\Allgemein\[LabSamples2025.xlsx]Bioplastic'!H683)," ",'Q:\Abteilungsprojekte\eng\EngData\AOS\Allgemein\[LabSamples2025.xlsx]Bioplastic'!H683)</f>
        <v/>
      </c>
    </row>
    <row r="684">
      <c r="A684">
        <f>IF(ISBLANK('Q:\Abteilungsprojekte\eng\EngData\AOS\Allgemein\[LabSamples2025.xlsx]Bioplastic'!A684)," ",'Q:\Abteilungsprojekte\eng\EngData\AOS\Allgemein\[LabSamples2025.xlsx]Bioplastic'!A684)</f>
        <v/>
      </c>
      <c r="B684">
        <f>IF(ISBLANK('Q:\Abteilungsprojekte\eng\EngData\AOS\Allgemein\[LabSamples2025.xlsx]Bioplastic'!B684)," ",'Q:\Abteilungsprojekte\eng\EngData\AOS\Allgemein\[LabSamples2025.xlsx]Bioplastic'!B684)</f>
        <v/>
      </c>
      <c r="C684">
        <f>IF(ISBLANK('Q:\Abteilungsprojekte\eng\EngData\AOS\Allgemein\[LabSamples2025.xlsx]Bioplastic'!C684)," ",'Q:\Abteilungsprojekte\eng\EngData\AOS\Allgemein\[LabSamples2025.xlsx]Bioplastic'!C684)</f>
        <v/>
      </c>
      <c r="D684">
        <f>IF(ISBLANK('Q:\Abteilungsprojekte\eng\EngData\AOS\Allgemein\[LabSamples2025.xlsx]Bioplastic'!D684)," ",'Q:\Abteilungsprojekte\eng\EngData\AOS\Allgemein\[LabSamples2025.xlsx]Bioplastic'!D684)</f>
        <v/>
      </c>
      <c r="E684">
        <f>IF(ISBLANK('Q:\Abteilungsprojekte\eng\EngData\AOS\Allgemein\[LabSamples2025.xlsx]Bioplastic'!E684)," ",'Q:\Abteilungsprojekte\eng\EngData\AOS\Allgemein\[LabSamples2025.xlsx]Bioplastic'!E684)</f>
        <v/>
      </c>
      <c r="F684">
        <f>IF(ISBLANK('Q:\Abteilungsprojekte\eng\EngData\AOS\Allgemein\[LabSamples2025.xlsx]Bioplastic'!F684)," ",'Q:\Abteilungsprojekte\eng\EngData\AOS\Allgemein\[LabSamples2025.xlsx]Bioplastic'!F684)</f>
        <v/>
      </c>
      <c r="G684">
        <f>IF(ISBLANK('Q:\Abteilungsprojekte\eng\EngData\AOS\Allgemein\[LabSamples2025.xlsx]Bioplastic'!G684)," ",'Q:\Abteilungsprojekte\eng\EngData\AOS\Allgemein\[LabSamples2025.xlsx]Bioplastic'!G684)</f>
        <v/>
      </c>
      <c r="H684">
        <f>IF(ISBLANK('Q:\Abteilungsprojekte\eng\EngData\AOS\Allgemein\[LabSamples2025.xlsx]Bioplastic'!H684)," ",'Q:\Abteilungsprojekte\eng\EngData\AOS\Allgemein\[LabSamples2025.xlsx]Bioplastic'!H684)</f>
        <v/>
      </c>
    </row>
    <row r="685">
      <c r="A685">
        <f>IF(ISBLANK('Q:\Abteilungsprojekte\eng\EngData\AOS\Allgemein\[LabSamples2025.xlsx]Bioplastic'!A685)," ",'Q:\Abteilungsprojekte\eng\EngData\AOS\Allgemein\[LabSamples2025.xlsx]Bioplastic'!A685)</f>
        <v/>
      </c>
      <c r="B685">
        <f>IF(ISBLANK('Q:\Abteilungsprojekte\eng\EngData\AOS\Allgemein\[LabSamples2025.xlsx]Bioplastic'!B685)," ",'Q:\Abteilungsprojekte\eng\EngData\AOS\Allgemein\[LabSamples2025.xlsx]Bioplastic'!B685)</f>
        <v/>
      </c>
      <c r="C685">
        <f>IF(ISBLANK('Q:\Abteilungsprojekte\eng\EngData\AOS\Allgemein\[LabSamples2025.xlsx]Bioplastic'!C685)," ",'Q:\Abteilungsprojekte\eng\EngData\AOS\Allgemein\[LabSamples2025.xlsx]Bioplastic'!C685)</f>
        <v/>
      </c>
      <c r="D685">
        <f>IF(ISBLANK('Q:\Abteilungsprojekte\eng\EngData\AOS\Allgemein\[LabSamples2025.xlsx]Bioplastic'!D685)," ",'Q:\Abteilungsprojekte\eng\EngData\AOS\Allgemein\[LabSamples2025.xlsx]Bioplastic'!D685)</f>
        <v/>
      </c>
      <c r="E685">
        <f>IF(ISBLANK('Q:\Abteilungsprojekte\eng\EngData\AOS\Allgemein\[LabSamples2025.xlsx]Bioplastic'!E685)," ",'Q:\Abteilungsprojekte\eng\EngData\AOS\Allgemein\[LabSamples2025.xlsx]Bioplastic'!E685)</f>
        <v/>
      </c>
      <c r="F685">
        <f>IF(ISBLANK('Q:\Abteilungsprojekte\eng\EngData\AOS\Allgemein\[LabSamples2025.xlsx]Bioplastic'!F685)," ",'Q:\Abteilungsprojekte\eng\EngData\AOS\Allgemein\[LabSamples2025.xlsx]Bioplastic'!F685)</f>
        <v/>
      </c>
      <c r="G685">
        <f>IF(ISBLANK('Q:\Abteilungsprojekte\eng\EngData\AOS\Allgemein\[LabSamples2025.xlsx]Bioplastic'!G685)," ",'Q:\Abteilungsprojekte\eng\EngData\AOS\Allgemein\[LabSamples2025.xlsx]Bioplastic'!G685)</f>
        <v/>
      </c>
      <c r="H685">
        <f>IF(ISBLANK('Q:\Abteilungsprojekte\eng\EngData\AOS\Allgemein\[LabSamples2025.xlsx]Bioplastic'!H685)," ",'Q:\Abteilungsprojekte\eng\EngData\AOS\Allgemein\[LabSamples2025.xlsx]Bioplastic'!H685)</f>
        <v/>
      </c>
    </row>
    <row r="686">
      <c r="A686">
        <f>IF(ISBLANK('Q:\Abteilungsprojekte\eng\EngData\AOS\Allgemein\[LabSamples2025.xlsx]Bioplastic'!A686)," ",'Q:\Abteilungsprojekte\eng\EngData\AOS\Allgemein\[LabSamples2025.xlsx]Bioplastic'!A686)</f>
        <v/>
      </c>
      <c r="B686">
        <f>IF(ISBLANK('Q:\Abteilungsprojekte\eng\EngData\AOS\Allgemein\[LabSamples2025.xlsx]Bioplastic'!B686)," ",'Q:\Abteilungsprojekte\eng\EngData\AOS\Allgemein\[LabSamples2025.xlsx]Bioplastic'!B686)</f>
        <v/>
      </c>
      <c r="C686">
        <f>IF(ISBLANK('Q:\Abteilungsprojekte\eng\EngData\AOS\Allgemein\[LabSamples2025.xlsx]Bioplastic'!C686)," ",'Q:\Abteilungsprojekte\eng\EngData\AOS\Allgemein\[LabSamples2025.xlsx]Bioplastic'!C686)</f>
        <v/>
      </c>
      <c r="D686">
        <f>IF(ISBLANK('Q:\Abteilungsprojekte\eng\EngData\AOS\Allgemein\[LabSamples2025.xlsx]Bioplastic'!D686)," ",'Q:\Abteilungsprojekte\eng\EngData\AOS\Allgemein\[LabSamples2025.xlsx]Bioplastic'!D686)</f>
        <v/>
      </c>
      <c r="E686">
        <f>IF(ISBLANK('Q:\Abteilungsprojekte\eng\EngData\AOS\Allgemein\[LabSamples2025.xlsx]Bioplastic'!E686)," ",'Q:\Abteilungsprojekte\eng\EngData\AOS\Allgemein\[LabSamples2025.xlsx]Bioplastic'!E686)</f>
        <v/>
      </c>
      <c r="F686">
        <f>IF(ISBLANK('Q:\Abteilungsprojekte\eng\EngData\AOS\Allgemein\[LabSamples2025.xlsx]Bioplastic'!F686)," ",'Q:\Abteilungsprojekte\eng\EngData\AOS\Allgemein\[LabSamples2025.xlsx]Bioplastic'!F686)</f>
        <v/>
      </c>
      <c r="G686">
        <f>IF(ISBLANK('Q:\Abteilungsprojekte\eng\EngData\AOS\Allgemein\[LabSamples2025.xlsx]Bioplastic'!G686)," ",'Q:\Abteilungsprojekte\eng\EngData\AOS\Allgemein\[LabSamples2025.xlsx]Bioplastic'!G686)</f>
        <v/>
      </c>
      <c r="H686">
        <f>IF(ISBLANK('Q:\Abteilungsprojekte\eng\EngData\AOS\Allgemein\[LabSamples2025.xlsx]Bioplastic'!H686)," ",'Q:\Abteilungsprojekte\eng\EngData\AOS\Allgemein\[LabSamples2025.xlsx]Bioplastic'!H686)</f>
        <v/>
      </c>
    </row>
    <row r="687">
      <c r="A687">
        <f>IF(ISBLANK('Q:\Abteilungsprojekte\eng\EngData\AOS\Allgemein\[LabSamples2025.xlsx]Bioplastic'!A687)," ",'Q:\Abteilungsprojekte\eng\EngData\AOS\Allgemein\[LabSamples2025.xlsx]Bioplastic'!A687)</f>
        <v/>
      </c>
      <c r="B687">
        <f>IF(ISBLANK('Q:\Abteilungsprojekte\eng\EngData\AOS\Allgemein\[LabSamples2025.xlsx]Bioplastic'!B687)," ",'Q:\Abteilungsprojekte\eng\EngData\AOS\Allgemein\[LabSamples2025.xlsx]Bioplastic'!B687)</f>
        <v/>
      </c>
      <c r="C687">
        <f>IF(ISBLANK('Q:\Abteilungsprojekte\eng\EngData\AOS\Allgemein\[LabSamples2025.xlsx]Bioplastic'!C687)," ",'Q:\Abteilungsprojekte\eng\EngData\AOS\Allgemein\[LabSamples2025.xlsx]Bioplastic'!C687)</f>
        <v/>
      </c>
      <c r="D687">
        <f>IF(ISBLANK('Q:\Abteilungsprojekte\eng\EngData\AOS\Allgemein\[LabSamples2025.xlsx]Bioplastic'!D687)," ",'Q:\Abteilungsprojekte\eng\EngData\AOS\Allgemein\[LabSamples2025.xlsx]Bioplastic'!D687)</f>
        <v/>
      </c>
      <c r="E687">
        <f>IF(ISBLANK('Q:\Abteilungsprojekte\eng\EngData\AOS\Allgemein\[LabSamples2025.xlsx]Bioplastic'!E687)," ",'Q:\Abteilungsprojekte\eng\EngData\AOS\Allgemein\[LabSamples2025.xlsx]Bioplastic'!E687)</f>
        <v/>
      </c>
      <c r="F687">
        <f>IF(ISBLANK('Q:\Abteilungsprojekte\eng\EngData\AOS\Allgemein\[LabSamples2025.xlsx]Bioplastic'!F687)," ",'Q:\Abteilungsprojekte\eng\EngData\AOS\Allgemein\[LabSamples2025.xlsx]Bioplastic'!F687)</f>
        <v/>
      </c>
      <c r="G687">
        <f>IF(ISBLANK('Q:\Abteilungsprojekte\eng\EngData\AOS\Allgemein\[LabSamples2025.xlsx]Bioplastic'!G687)," ",'Q:\Abteilungsprojekte\eng\EngData\AOS\Allgemein\[LabSamples2025.xlsx]Bioplastic'!G687)</f>
        <v/>
      </c>
      <c r="H687">
        <f>IF(ISBLANK('Q:\Abteilungsprojekte\eng\EngData\AOS\Allgemein\[LabSamples2025.xlsx]Bioplastic'!H687)," ",'Q:\Abteilungsprojekte\eng\EngData\AOS\Allgemein\[LabSamples2025.xlsx]Bioplastic'!H687)</f>
        <v/>
      </c>
    </row>
    <row r="688">
      <c r="A688">
        <f>IF(ISBLANK('Q:\Abteilungsprojekte\eng\EngData\AOS\Allgemein\[LabSamples2025.xlsx]Bioplastic'!A688)," ",'Q:\Abteilungsprojekte\eng\EngData\AOS\Allgemein\[LabSamples2025.xlsx]Bioplastic'!A688)</f>
        <v/>
      </c>
      <c r="B688">
        <f>IF(ISBLANK('Q:\Abteilungsprojekte\eng\EngData\AOS\Allgemein\[LabSamples2025.xlsx]Bioplastic'!B688)," ",'Q:\Abteilungsprojekte\eng\EngData\AOS\Allgemein\[LabSamples2025.xlsx]Bioplastic'!B688)</f>
        <v/>
      </c>
      <c r="C688">
        <f>IF(ISBLANK('Q:\Abteilungsprojekte\eng\EngData\AOS\Allgemein\[LabSamples2025.xlsx]Bioplastic'!C688)," ",'Q:\Abteilungsprojekte\eng\EngData\AOS\Allgemein\[LabSamples2025.xlsx]Bioplastic'!C688)</f>
        <v/>
      </c>
      <c r="D688">
        <f>IF(ISBLANK('Q:\Abteilungsprojekte\eng\EngData\AOS\Allgemein\[LabSamples2025.xlsx]Bioplastic'!D688)," ",'Q:\Abteilungsprojekte\eng\EngData\AOS\Allgemein\[LabSamples2025.xlsx]Bioplastic'!D688)</f>
        <v/>
      </c>
      <c r="E688">
        <f>IF(ISBLANK('Q:\Abteilungsprojekte\eng\EngData\AOS\Allgemein\[LabSamples2025.xlsx]Bioplastic'!E688)," ",'Q:\Abteilungsprojekte\eng\EngData\AOS\Allgemein\[LabSamples2025.xlsx]Bioplastic'!E688)</f>
        <v/>
      </c>
      <c r="F688">
        <f>IF(ISBLANK('Q:\Abteilungsprojekte\eng\EngData\AOS\Allgemein\[LabSamples2025.xlsx]Bioplastic'!F688)," ",'Q:\Abteilungsprojekte\eng\EngData\AOS\Allgemein\[LabSamples2025.xlsx]Bioplastic'!F688)</f>
        <v/>
      </c>
      <c r="G688">
        <f>IF(ISBLANK('Q:\Abteilungsprojekte\eng\EngData\AOS\Allgemein\[LabSamples2025.xlsx]Bioplastic'!G688)," ",'Q:\Abteilungsprojekte\eng\EngData\AOS\Allgemein\[LabSamples2025.xlsx]Bioplastic'!G688)</f>
        <v/>
      </c>
      <c r="H688">
        <f>IF(ISBLANK('Q:\Abteilungsprojekte\eng\EngData\AOS\Allgemein\[LabSamples2025.xlsx]Bioplastic'!H688)," ",'Q:\Abteilungsprojekte\eng\EngData\AOS\Allgemein\[LabSamples2025.xlsx]Bioplastic'!H688)</f>
        <v/>
      </c>
    </row>
    <row r="689">
      <c r="A689">
        <f>IF(ISBLANK('Q:\Abteilungsprojekte\eng\EngData\AOS\Allgemein\[LabSamples2025.xlsx]Bioplastic'!A689)," ",'Q:\Abteilungsprojekte\eng\EngData\AOS\Allgemein\[LabSamples2025.xlsx]Bioplastic'!A689)</f>
        <v/>
      </c>
      <c r="B689">
        <f>IF(ISBLANK('Q:\Abteilungsprojekte\eng\EngData\AOS\Allgemein\[LabSamples2025.xlsx]Bioplastic'!B689)," ",'Q:\Abteilungsprojekte\eng\EngData\AOS\Allgemein\[LabSamples2025.xlsx]Bioplastic'!B689)</f>
        <v/>
      </c>
      <c r="C689">
        <f>IF(ISBLANK('Q:\Abteilungsprojekte\eng\EngData\AOS\Allgemein\[LabSamples2025.xlsx]Bioplastic'!C689)," ",'Q:\Abteilungsprojekte\eng\EngData\AOS\Allgemein\[LabSamples2025.xlsx]Bioplastic'!C689)</f>
        <v/>
      </c>
      <c r="D689">
        <f>IF(ISBLANK('Q:\Abteilungsprojekte\eng\EngData\AOS\Allgemein\[LabSamples2025.xlsx]Bioplastic'!D689)," ",'Q:\Abteilungsprojekte\eng\EngData\AOS\Allgemein\[LabSamples2025.xlsx]Bioplastic'!D689)</f>
        <v/>
      </c>
      <c r="E689">
        <f>IF(ISBLANK('Q:\Abteilungsprojekte\eng\EngData\AOS\Allgemein\[LabSamples2025.xlsx]Bioplastic'!E689)," ",'Q:\Abteilungsprojekte\eng\EngData\AOS\Allgemein\[LabSamples2025.xlsx]Bioplastic'!E689)</f>
        <v/>
      </c>
      <c r="F689">
        <f>IF(ISBLANK('Q:\Abteilungsprojekte\eng\EngData\AOS\Allgemein\[LabSamples2025.xlsx]Bioplastic'!F689)," ",'Q:\Abteilungsprojekte\eng\EngData\AOS\Allgemein\[LabSamples2025.xlsx]Bioplastic'!F689)</f>
        <v/>
      </c>
      <c r="G689">
        <f>IF(ISBLANK('Q:\Abteilungsprojekte\eng\EngData\AOS\Allgemein\[LabSamples2025.xlsx]Bioplastic'!G689)," ",'Q:\Abteilungsprojekte\eng\EngData\AOS\Allgemein\[LabSamples2025.xlsx]Bioplastic'!G689)</f>
        <v/>
      </c>
      <c r="H689">
        <f>IF(ISBLANK('Q:\Abteilungsprojekte\eng\EngData\AOS\Allgemein\[LabSamples2025.xlsx]Bioplastic'!H689)," ",'Q:\Abteilungsprojekte\eng\EngData\AOS\Allgemein\[LabSamples2025.xlsx]Bioplastic'!H689)</f>
        <v/>
      </c>
    </row>
    <row r="690">
      <c r="A690">
        <f>IF(ISBLANK('Q:\Abteilungsprojekte\eng\EngData\AOS\Allgemein\[LabSamples2025.xlsx]Bioplastic'!A690)," ",'Q:\Abteilungsprojekte\eng\EngData\AOS\Allgemein\[LabSamples2025.xlsx]Bioplastic'!A690)</f>
        <v/>
      </c>
      <c r="B690">
        <f>IF(ISBLANK('Q:\Abteilungsprojekte\eng\EngData\AOS\Allgemein\[LabSamples2025.xlsx]Bioplastic'!B690)," ",'Q:\Abteilungsprojekte\eng\EngData\AOS\Allgemein\[LabSamples2025.xlsx]Bioplastic'!B690)</f>
        <v/>
      </c>
      <c r="C690">
        <f>IF(ISBLANK('Q:\Abteilungsprojekte\eng\EngData\AOS\Allgemein\[LabSamples2025.xlsx]Bioplastic'!C690)," ",'Q:\Abteilungsprojekte\eng\EngData\AOS\Allgemein\[LabSamples2025.xlsx]Bioplastic'!C690)</f>
        <v/>
      </c>
      <c r="D690">
        <f>IF(ISBLANK('Q:\Abteilungsprojekte\eng\EngData\AOS\Allgemein\[LabSamples2025.xlsx]Bioplastic'!D690)," ",'Q:\Abteilungsprojekte\eng\EngData\AOS\Allgemein\[LabSamples2025.xlsx]Bioplastic'!D690)</f>
        <v/>
      </c>
      <c r="E690">
        <f>IF(ISBLANK('Q:\Abteilungsprojekte\eng\EngData\AOS\Allgemein\[LabSamples2025.xlsx]Bioplastic'!E690)," ",'Q:\Abteilungsprojekte\eng\EngData\AOS\Allgemein\[LabSamples2025.xlsx]Bioplastic'!E690)</f>
        <v/>
      </c>
      <c r="F690">
        <f>IF(ISBLANK('Q:\Abteilungsprojekte\eng\EngData\AOS\Allgemein\[LabSamples2025.xlsx]Bioplastic'!F690)," ",'Q:\Abteilungsprojekte\eng\EngData\AOS\Allgemein\[LabSamples2025.xlsx]Bioplastic'!F690)</f>
        <v/>
      </c>
      <c r="G690">
        <f>IF(ISBLANK('Q:\Abteilungsprojekte\eng\EngData\AOS\Allgemein\[LabSamples2025.xlsx]Bioplastic'!G690)," ",'Q:\Abteilungsprojekte\eng\EngData\AOS\Allgemein\[LabSamples2025.xlsx]Bioplastic'!G690)</f>
        <v/>
      </c>
      <c r="H690">
        <f>IF(ISBLANK('Q:\Abteilungsprojekte\eng\EngData\AOS\Allgemein\[LabSamples2025.xlsx]Bioplastic'!H690)," ",'Q:\Abteilungsprojekte\eng\EngData\AOS\Allgemein\[LabSamples2025.xlsx]Bioplastic'!H690)</f>
        <v/>
      </c>
    </row>
    <row r="691">
      <c r="A691">
        <f>IF(ISBLANK('Q:\Abteilungsprojekte\eng\EngData\AOS\Allgemein\[LabSamples2025.xlsx]Bioplastic'!A691)," ",'Q:\Abteilungsprojekte\eng\EngData\AOS\Allgemein\[LabSamples2025.xlsx]Bioplastic'!A691)</f>
        <v/>
      </c>
      <c r="B691">
        <f>IF(ISBLANK('Q:\Abteilungsprojekte\eng\EngData\AOS\Allgemein\[LabSamples2025.xlsx]Bioplastic'!B691)," ",'Q:\Abteilungsprojekte\eng\EngData\AOS\Allgemein\[LabSamples2025.xlsx]Bioplastic'!B691)</f>
        <v/>
      </c>
      <c r="C691">
        <f>IF(ISBLANK('Q:\Abteilungsprojekte\eng\EngData\AOS\Allgemein\[LabSamples2025.xlsx]Bioplastic'!C691)," ",'Q:\Abteilungsprojekte\eng\EngData\AOS\Allgemein\[LabSamples2025.xlsx]Bioplastic'!C691)</f>
        <v/>
      </c>
      <c r="D691">
        <f>IF(ISBLANK('Q:\Abteilungsprojekte\eng\EngData\AOS\Allgemein\[LabSamples2025.xlsx]Bioplastic'!D691)," ",'Q:\Abteilungsprojekte\eng\EngData\AOS\Allgemein\[LabSamples2025.xlsx]Bioplastic'!D691)</f>
        <v/>
      </c>
      <c r="E691">
        <f>IF(ISBLANK('Q:\Abteilungsprojekte\eng\EngData\AOS\Allgemein\[LabSamples2025.xlsx]Bioplastic'!E691)," ",'Q:\Abteilungsprojekte\eng\EngData\AOS\Allgemein\[LabSamples2025.xlsx]Bioplastic'!E691)</f>
        <v/>
      </c>
      <c r="F691">
        <f>IF(ISBLANK('Q:\Abteilungsprojekte\eng\EngData\AOS\Allgemein\[LabSamples2025.xlsx]Bioplastic'!F691)," ",'Q:\Abteilungsprojekte\eng\EngData\AOS\Allgemein\[LabSamples2025.xlsx]Bioplastic'!F691)</f>
        <v/>
      </c>
      <c r="G691">
        <f>IF(ISBLANK('Q:\Abteilungsprojekte\eng\EngData\AOS\Allgemein\[LabSamples2025.xlsx]Bioplastic'!G691)," ",'Q:\Abteilungsprojekte\eng\EngData\AOS\Allgemein\[LabSamples2025.xlsx]Bioplastic'!G691)</f>
        <v/>
      </c>
      <c r="H691">
        <f>IF(ISBLANK('Q:\Abteilungsprojekte\eng\EngData\AOS\Allgemein\[LabSamples2025.xlsx]Bioplastic'!H691)," ",'Q:\Abteilungsprojekte\eng\EngData\AOS\Allgemein\[LabSamples2025.xlsx]Bioplastic'!H691)</f>
        <v/>
      </c>
    </row>
    <row r="692">
      <c r="A692">
        <f>IF(ISBLANK('Q:\Abteilungsprojekte\eng\EngData\AOS\Allgemein\[LabSamples2025.xlsx]Bioplastic'!A692)," ",'Q:\Abteilungsprojekte\eng\EngData\AOS\Allgemein\[LabSamples2025.xlsx]Bioplastic'!A692)</f>
        <v/>
      </c>
      <c r="B692">
        <f>IF(ISBLANK('Q:\Abteilungsprojekte\eng\EngData\AOS\Allgemein\[LabSamples2025.xlsx]Bioplastic'!B692)," ",'Q:\Abteilungsprojekte\eng\EngData\AOS\Allgemein\[LabSamples2025.xlsx]Bioplastic'!B692)</f>
        <v/>
      </c>
      <c r="C692">
        <f>IF(ISBLANK('Q:\Abteilungsprojekte\eng\EngData\AOS\Allgemein\[LabSamples2025.xlsx]Bioplastic'!C692)," ",'Q:\Abteilungsprojekte\eng\EngData\AOS\Allgemein\[LabSamples2025.xlsx]Bioplastic'!C692)</f>
        <v/>
      </c>
      <c r="D692">
        <f>IF(ISBLANK('Q:\Abteilungsprojekte\eng\EngData\AOS\Allgemein\[LabSamples2025.xlsx]Bioplastic'!D692)," ",'Q:\Abteilungsprojekte\eng\EngData\AOS\Allgemein\[LabSamples2025.xlsx]Bioplastic'!D692)</f>
        <v/>
      </c>
      <c r="E692">
        <f>IF(ISBLANK('Q:\Abteilungsprojekte\eng\EngData\AOS\Allgemein\[LabSamples2025.xlsx]Bioplastic'!E692)," ",'Q:\Abteilungsprojekte\eng\EngData\AOS\Allgemein\[LabSamples2025.xlsx]Bioplastic'!E692)</f>
        <v/>
      </c>
      <c r="F692">
        <f>IF(ISBLANK('Q:\Abteilungsprojekte\eng\EngData\AOS\Allgemein\[LabSamples2025.xlsx]Bioplastic'!F692)," ",'Q:\Abteilungsprojekte\eng\EngData\AOS\Allgemein\[LabSamples2025.xlsx]Bioplastic'!F692)</f>
        <v/>
      </c>
      <c r="G692">
        <f>IF(ISBLANK('Q:\Abteilungsprojekte\eng\EngData\AOS\Allgemein\[LabSamples2025.xlsx]Bioplastic'!G692)," ",'Q:\Abteilungsprojekte\eng\EngData\AOS\Allgemein\[LabSamples2025.xlsx]Bioplastic'!G692)</f>
        <v/>
      </c>
      <c r="H692">
        <f>IF(ISBLANK('Q:\Abteilungsprojekte\eng\EngData\AOS\Allgemein\[LabSamples2025.xlsx]Bioplastic'!H692)," ",'Q:\Abteilungsprojekte\eng\EngData\AOS\Allgemein\[LabSamples2025.xlsx]Bioplastic'!H692)</f>
        <v/>
      </c>
    </row>
    <row r="693">
      <c r="A693">
        <f>IF(ISBLANK('Q:\Abteilungsprojekte\eng\EngData\AOS\Allgemein\[LabSamples2025.xlsx]Bioplastic'!A693)," ",'Q:\Abteilungsprojekte\eng\EngData\AOS\Allgemein\[LabSamples2025.xlsx]Bioplastic'!A693)</f>
        <v/>
      </c>
      <c r="B693">
        <f>IF(ISBLANK('Q:\Abteilungsprojekte\eng\EngData\AOS\Allgemein\[LabSamples2025.xlsx]Bioplastic'!B693)," ",'Q:\Abteilungsprojekte\eng\EngData\AOS\Allgemein\[LabSamples2025.xlsx]Bioplastic'!B693)</f>
        <v/>
      </c>
      <c r="C693">
        <f>IF(ISBLANK('Q:\Abteilungsprojekte\eng\EngData\AOS\Allgemein\[LabSamples2025.xlsx]Bioplastic'!C693)," ",'Q:\Abteilungsprojekte\eng\EngData\AOS\Allgemein\[LabSamples2025.xlsx]Bioplastic'!C693)</f>
        <v/>
      </c>
      <c r="D693">
        <f>IF(ISBLANK('Q:\Abteilungsprojekte\eng\EngData\AOS\Allgemein\[LabSamples2025.xlsx]Bioplastic'!D693)," ",'Q:\Abteilungsprojekte\eng\EngData\AOS\Allgemein\[LabSamples2025.xlsx]Bioplastic'!D693)</f>
        <v/>
      </c>
      <c r="E693">
        <f>IF(ISBLANK('Q:\Abteilungsprojekte\eng\EngData\AOS\Allgemein\[LabSamples2025.xlsx]Bioplastic'!E693)," ",'Q:\Abteilungsprojekte\eng\EngData\AOS\Allgemein\[LabSamples2025.xlsx]Bioplastic'!E693)</f>
        <v/>
      </c>
      <c r="F693">
        <f>IF(ISBLANK('Q:\Abteilungsprojekte\eng\EngData\AOS\Allgemein\[LabSamples2025.xlsx]Bioplastic'!F693)," ",'Q:\Abteilungsprojekte\eng\EngData\AOS\Allgemein\[LabSamples2025.xlsx]Bioplastic'!F693)</f>
        <v/>
      </c>
      <c r="G693">
        <f>IF(ISBLANK('Q:\Abteilungsprojekte\eng\EngData\AOS\Allgemein\[LabSamples2025.xlsx]Bioplastic'!G693)," ",'Q:\Abteilungsprojekte\eng\EngData\AOS\Allgemein\[LabSamples2025.xlsx]Bioplastic'!G693)</f>
        <v/>
      </c>
      <c r="H693">
        <f>IF(ISBLANK('Q:\Abteilungsprojekte\eng\EngData\AOS\Allgemein\[LabSamples2025.xlsx]Bioplastic'!H693)," ",'Q:\Abteilungsprojekte\eng\EngData\AOS\Allgemein\[LabSamples2025.xlsx]Bioplastic'!H693)</f>
        <v/>
      </c>
    </row>
    <row r="694">
      <c r="A694">
        <f>IF(ISBLANK('Q:\Abteilungsprojekte\eng\EngData\AOS\Allgemein\[LabSamples2025.xlsx]Bioplastic'!A694)," ",'Q:\Abteilungsprojekte\eng\EngData\AOS\Allgemein\[LabSamples2025.xlsx]Bioplastic'!A694)</f>
        <v/>
      </c>
      <c r="B694">
        <f>IF(ISBLANK('Q:\Abteilungsprojekte\eng\EngData\AOS\Allgemein\[LabSamples2025.xlsx]Bioplastic'!B694)," ",'Q:\Abteilungsprojekte\eng\EngData\AOS\Allgemein\[LabSamples2025.xlsx]Bioplastic'!B694)</f>
        <v/>
      </c>
      <c r="C694">
        <f>IF(ISBLANK('Q:\Abteilungsprojekte\eng\EngData\AOS\Allgemein\[LabSamples2025.xlsx]Bioplastic'!C694)," ",'Q:\Abteilungsprojekte\eng\EngData\AOS\Allgemein\[LabSamples2025.xlsx]Bioplastic'!C694)</f>
        <v/>
      </c>
      <c r="D694">
        <f>IF(ISBLANK('Q:\Abteilungsprojekte\eng\EngData\AOS\Allgemein\[LabSamples2025.xlsx]Bioplastic'!D694)," ",'Q:\Abteilungsprojekte\eng\EngData\AOS\Allgemein\[LabSamples2025.xlsx]Bioplastic'!D694)</f>
        <v/>
      </c>
      <c r="E694">
        <f>IF(ISBLANK('Q:\Abteilungsprojekte\eng\EngData\AOS\Allgemein\[LabSamples2025.xlsx]Bioplastic'!E694)," ",'Q:\Abteilungsprojekte\eng\EngData\AOS\Allgemein\[LabSamples2025.xlsx]Bioplastic'!E694)</f>
        <v/>
      </c>
      <c r="F694">
        <f>IF(ISBLANK('Q:\Abteilungsprojekte\eng\EngData\AOS\Allgemein\[LabSamples2025.xlsx]Bioplastic'!F694)," ",'Q:\Abteilungsprojekte\eng\EngData\AOS\Allgemein\[LabSamples2025.xlsx]Bioplastic'!F694)</f>
        <v/>
      </c>
      <c r="G694">
        <f>IF(ISBLANK('Q:\Abteilungsprojekte\eng\EngData\AOS\Allgemein\[LabSamples2025.xlsx]Bioplastic'!G694)," ",'Q:\Abteilungsprojekte\eng\EngData\AOS\Allgemein\[LabSamples2025.xlsx]Bioplastic'!G694)</f>
        <v/>
      </c>
      <c r="H694">
        <f>IF(ISBLANK('Q:\Abteilungsprojekte\eng\EngData\AOS\Allgemein\[LabSamples2025.xlsx]Bioplastic'!H694)," ",'Q:\Abteilungsprojekte\eng\EngData\AOS\Allgemein\[LabSamples2025.xlsx]Bioplastic'!H694)</f>
        <v/>
      </c>
    </row>
    <row r="695">
      <c r="A695">
        <f>IF(ISBLANK('Q:\Abteilungsprojekte\eng\EngData\AOS\Allgemein\[LabSamples2025.xlsx]Bioplastic'!A695)," ",'Q:\Abteilungsprojekte\eng\EngData\AOS\Allgemein\[LabSamples2025.xlsx]Bioplastic'!A695)</f>
        <v/>
      </c>
      <c r="B695">
        <f>IF(ISBLANK('Q:\Abteilungsprojekte\eng\EngData\AOS\Allgemein\[LabSamples2025.xlsx]Bioplastic'!B695)," ",'Q:\Abteilungsprojekte\eng\EngData\AOS\Allgemein\[LabSamples2025.xlsx]Bioplastic'!B695)</f>
        <v/>
      </c>
      <c r="C695">
        <f>IF(ISBLANK('Q:\Abteilungsprojekte\eng\EngData\AOS\Allgemein\[LabSamples2025.xlsx]Bioplastic'!C695)," ",'Q:\Abteilungsprojekte\eng\EngData\AOS\Allgemein\[LabSamples2025.xlsx]Bioplastic'!C695)</f>
        <v/>
      </c>
      <c r="D695">
        <f>IF(ISBLANK('Q:\Abteilungsprojekte\eng\EngData\AOS\Allgemein\[LabSamples2025.xlsx]Bioplastic'!D695)," ",'Q:\Abteilungsprojekte\eng\EngData\AOS\Allgemein\[LabSamples2025.xlsx]Bioplastic'!D695)</f>
        <v/>
      </c>
      <c r="E695">
        <f>IF(ISBLANK('Q:\Abteilungsprojekte\eng\EngData\AOS\Allgemein\[LabSamples2025.xlsx]Bioplastic'!E695)," ",'Q:\Abteilungsprojekte\eng\EngData\AOS\Allgemein\[LabSamples2025.xlsx]Bioplastic'!E695)</f>
        <v/>
      </c>
      <c r="F695">
        <f>IF(ISBLANK('Q:\Abteilungsprojekte\eng\EngData\AOS\Allgemein\[LabSamples2025.xlsx]Bioplastic'!F695)," ",'Q:\Abteilungsprojekte\eng\EngData\AOS\Allgemein\[LabSamples2025.xlsx]Bioplastic'!F695)</f>
        <v/>
      </c>
      <c r="G695">
        <f>IF(ISBLANK('Q:\Abteilungsprojekte\eng\EngData\AOS\Allgemein\[LabSamples2025.xlsx]Bioplastic'!G695)," ",'Q:\Abteilungsprojekte\eng\EngData\AOS\Allgemein\[LabSamples2025.xlsx]Bioplastic'!G695)</f>
        <v/>
      </c>
      <c r="H695">
        <f>IF(ISBLANK('Q:\Abteilungsprojekte\eng\EngData\AOS\Allgemein\[LabSamples2025.xlsx]Bioplastic'!H695)," ",'Q:\Abteilungsprojekte\eng\EngData\AOS\Allgemein\[LabSamples2025.xlsx]Bioplastic'!H695)</f>
        <v/>
      </c>
    </row>
    <row r="696">
      <c r="A696">
        <f>IF(ISBLANK('Q:\Abteilungsprojekte\eng\EngData\AOS\Allgemein\[LabSamples2025.xlsx]Bioplastic'!A696)," ",'Q:\Abteilungsprojekte\eng\EngData\AOS\Allgemein\[LabSamples2025.xlsx]Bioplastic'!A696)</f>
        <v/>
      </c>
      <c r="B696">
        <f>IF(ISBLANK('Q:\Abteilungsprojekte\eng\EngData\AOS\Allgemein\[LabSamples2025.xlsx]Bioplastic'!B696)," ",'Q:\Abteilungsprojekte\eng\EngData\AOS\Allgemein\[LabSamples2025.xlsx]Bioplastic'!B696)</f>
        <v/>
      </c>
      <c r="C696">
        <f>IF(ISBLANK('Q:\Abteilungsprojekte\eng\EngData\AOS\Allgemein\[LabSamples2025.xlsx]Bioplastic'!C696)," ",'Q:\Abteilungsprojekte\eng\EngData\AOS\Allgemein\[LabSamples2025.xlsx]Bioplastic'!C696)</f>
        <v/>
      </c>
      <c r="D696">
        <f>IF(ISBLANK('Q:\Abteilungsprojekte\eng\EngData\AOS\Allgemein\[LabSamples2025.xlsx]Bioplastic'!D696)," ",'Q:\Abteilungsprojekte\eng\EngData\AOS\Allgemein\[LabSamples2025.xlsx]Bioplastic'!D696)</f>
        <v/>
      </c>
      <c r="E696">
        <f>IF(ISBLANK('Q:\Abteilungsprojekte\eng\EngData\AOS\Allgemein\[LabSamples2025.xlsx]Bioplastic'!E696)," ",'Q:\Abteilungsprojekte\eng\EngData\AOS\Allgemein\[LabSamples2025.xlsx]Bioplastic'!E696)</f>
        <v/>
      </c>
      <c r="F696">
        <f>IF(ISBLANK('Q:\Abteilungsprojekte\eng\EngData\AOS\Allgemein\[LabSamples2025.xlsx]Bioplastic'!F696)," ",'Q:\Abteilungsprojekte\eng\EngData\AOS\Allgemein\[LabSamples2025.xlsx]Bioplastic'!F696)</f>
        <v/>
      </c>
      <c r="G696">
        <f>IF(ISBLANK('Q:\Abteilungsprojekte\eng\EngData\AOS\Allgemein\[LabSamples2025.xlsx]Bioplastic'!G696)," ",'Q:\Abteilungsprojekte\eng\EngData\AOS\Allgemein\[LabSamples2025.xlsx]Bioplastic'!G696)</f>
        <v/>
      </c>
      <c r="H696">
        <f>IF(ISBLANK('Q:\Abteilungsprojekte\eng\EngData\AOS\Allgemein\[LabSamples2025.xlsx]Bioplastic'!H696)," ",'Q:\Abteilungsprojekte\eng\EngData\AOS\Allgemein\[LabSamples2025.xlsx]Bioplastic'!H696)</f>
        <v/>
      </c>
    </row>
    <row r="697">
      <c r="A697">
        <f>IF(ISBLANK('Q:\Abteilungsprojekte\eng\EngData\AOS\Allgemein\[LabSamples2025.xlsx]Bioplastic'!A697)," ",'Q:\Abteilungsprojekte\eng\EngData\AOS\Allgemein\[LabSamples2025.xlsx]Bioplastic'!A697)</f>
        <v/>
      </c>
      <c r="B697">
        <f>IF(ISBLANK('Q:\Abteilungsprojekte\eng\EngData\AOS\Allgemein\[LabSamples2025.xlsx]Bioplastic'!B697)," ",'Q:\Abteilungsprojekte\eng\EngData\AOS\Allgemein\[LabSamples2025.xlsx]Bioplastic'!B697)</f>
        <v/>
      </c>
      <c r="C697">
        <f>IF(ISBLANK('Q:\Abteilungsprojekte\eng\EngData\AOS\Allgemein\[LabSamples2025.xlsx]Bioplastic'!C697)," ",'Q:\Abteilungsprojekte\eng\EngData\AOS\Allgemein\[LabSamples2025.xlsx]Bioplastic'!C697)</f>
        <v/>
      </c>
      <c r="D697">
        <f>IF(ISBLANK('Q:\Abteilungsprojekte\eng\EngData\AOS\Allgemein\[LabSamples2025.xlsx]Bioplastic'!D697)," ",'Q:\Abteilungsprojekte\eng\EngData\AOS\Allgemein\[LabSamples2025.xlsx]Bioplastic'!D697)</f>
        <v/>
      </c>
      <c r="E697">
        <f>IF(ISBLANK('Q:\Abteilungsprojekte\eng\EngData\AOS\Allgemein\[LabSamples2025.xlsx]Bioplastic'!E697)," ",'Q:\Abteilungsprojekte\eng\EngData\AOS\Allgemein\[LabSamples2025.xlsx]Bioplastic'!E697)</f>
        <v/>
      </c>
      <c r="F697">
        <f>IF(ISBLANK('Q:\Abteilungsprojekte\eng\EngData\AOS\Allgemein\[LabSamples2025.xlsx]Bioplastic'!F697)," ",'Q:\Abteilungsprojekte\eng\EngData\AOS\Allgemein\[LabSamples2025.xlsx]Bioplastic'!F697)</f>
        <v/>
      </c>
      <c r="G697">
        <f>IF(ISBLANK('Q:\Abteilungsprojekte\eng\EngData\AOS\Allgemein\[LabSamples2025.xlsx]Bioplastic'!G697)," ",'Q:\Abteilungsprojekte\eng\EngData\AOS\Allgemein\[LabSamples2025.xlsx]Bioplastic'!G697)</f>
        <v/>
      </c>
      <c r="H697">
        <f>IF(ISBLANK('Q:\Abteilungsprojekte\eng\EngData\AOS\Allgemein\[LabSamples2025.xlsx]Bioplastic'!H697)," ",'Q:\Abteilungsprojekte\eng\EngData\AOS\Allgemein\[LabSamples2025.xlsx]Bioplastic'!H697)</f>
        <v/>
      </c>
    </row>
    <row r="698">
      <c r="A698">
        <f>IF(ISBLANK('Q:\Abteilungsprojekte\eng\EngData\AOS\Allgemein\[LabSamples2025.xlsx]Bioplastic'!A698)," ",'Q:\Abteilungsprojekte\eng\EngData\AOS\Allgemein\[LabSamples2025.xlsx]Bioplastic'!A698)</f>
        <v/>
      </c>
      <c r="B698">
        <f>IF(ISBLANK('Q:\Abteilungsprojekte\eng\EngData\AOS\Allgemein\[LabSamples2025.xlsx]Bioplastic'!B698)," ",'Q:\Abteilungsprojekte\eng\EngData\AOS\Allgemein\[LabSamples2025.xlsx]Bioplastic'!B698)</f>
        <v/>
      </c>
      <c r="C698">
        <f>IF(ISBLANK('Q:\Abteilungsprojekte\eng\EngData\AOS\Allgemein\[LabSamples2025.xlsx]Bioplastic'!C698)," ",'Q:\Abteilungsprojekte\eng\EngData\AOS\Allgemein\[LabSamples2025.xlsx]Bioplastic'!C698)</f>
        <v/>
      </c>
      <c r="D698">
        <f>IF(ISBLANK('Q:\Abteilungsprojekte\eng\EngData\AOS\Allgemein\[LabSamples2025.xlsx]Bioplastic'!D698)," ",'Q:\Abteilungsprojekte\eng\EngData\AOS\Allgemein\[LabSamples2025.xlsx]Bioplastic'!D698)</f>
        <v/>
      </c>
      <c r="E698">
        <f>IF(ISBLANK('Q:\Abteilungsprojekte\eng\EngData\AOS\Allgemein\[LabSamples2025.xlsx]Bioplastic'!E698)," ",'Q:\Abteilungsprojekte\eng\EngData\AOS\Allgemein\[LabSamples2025.xlsx]Bioplastic'!E698)</f>
        <v/>
      </c>
      <c r="F698">
        <f>IF(ISBLANK('Q:\Abteilungsprojekte\eng\EngData\AOS\Allgemein\[LabSamples2025.xlsx]Bioplastic'!F698)," ",'Q:\Abteilungsprojekte\eng\EngData\AOS\Allgemein\[LabSamples2025.xlsx]Bioplastic'!F698)</f>
        <v/>
      </c>
      <c r="G698">
        <f>IF(ISBLANK('Q:\Abteilungsprojekte\eng\EngData\AOS\Allgemein\[LabSamples2025.xlsx]Bioplastic'!G698)," ",'Q:\Abteilungsprojekte\eng\EngData\AOS\Allgemein\[LabSamples2025.xlsx]Bioplastic'!G698)</f>
        <v/>
      </c>
      <c r="H698">
        <f>IF(ISBLANK('Q:\Abteilungsprojekte\eng\EngData\AOS\Allgemein\[LabSamples2025.xlsx]Bioplastic'!H698)," ",'Q:\Abteilungsprojekte\eng\EngData\AOS\Allgemein\[LabSamples2025.xlsx]Bioplastic'!H698)</f>
        <v/>
      </c>
    </row>
    <row r="699">
      <c r="A699">
        <f>IF(ISBLANK('Q:\Abteilungsprojekte\eng\EngData\AOS\Allgemein\[LabSamples2025.xlsx]Bioplastic'!A699)," ",'Q:\Abteilungsprojekte\eng\EngData\AOS\Allgemein\[LabSamples2025.xlsx]Bioplastic'!A699)</f>
        <v/>
      </c>
      <c r="B699">
        <f>IF(ISBLANK('Q:\Abteilungsprojekte\eng\EngData\AOS\Allgemein\[LabSamples2025.xlsx]Bioplastic'!B699)," ",'Q:\Abteilungsprojekte\eng\EngData\AOS\Allgemein\[LabSamples2025.xlsx]Bioplastic'!B699)</f>
        <v/>
      </c>
      <c r="C699">
        <f>IF(ISBLANK('Q:\Abteilungsprojekte\eng\EngData\AOS\Allgemein\[LabSamples2025.xlsx]Bioplastic'!C699)," ",'Q:\Abteilungsprojekte\eng\EngData\AOS\Allgemein\[LabSamples2025.xlsx]Bioplastic'!C699)</f>
        <v/>
      </c>
      <c r="D699">
        <f>IF(ISBLANK('Q:\Abteilungsprojekte\eng\EngData\AOS\Allgemein\[LabSamples2025.xlsx]Bioplastic'!D699)," ",'Q:\Abteilungsprojekte\eng\EngData\AOS\Allgemein\[LabSamples2025.xlsx]Bioplastic'!D699)</f>
        <v/>
      </c>
      <c r="E699">
        <f>IF(ISBLANK('Q:\Abteilungsprojekte\eng\EngData\AOS\Allgemein\[LabSamples2025.xlsx]Bioplastic'!E699)," ",'Q:\Abteilungsprojekte\eng\EngData\AOS\Allgemein\[LabSamples2025.xlsx]Bioplastic'!E699)</f>
        <v/>
      </c>
      <c r="F699">
        <f>IF(ISBLANK('Q:\Abteilungsprojekte\eng\EngData\AOS\Allgemein\[LabSamples2025.xlsx]Bioplastic'!F699)," ",'Q:\Abteilungsprojekte\eng\EngData\AOS\Allgemein\[LabSamples2025.xlsx]Bioplastic'!F699)</f>
        <v/>
      </c>
      <c r="G699">
        <f>IF(ISBLANK('Q:\Abteilungsprojekte\eng\EngData\AOS\Allgemein\[LabSamples2025.xlsx]Bioplastic'!G699)," ",'Q:\Abteilungsprojekte\eng\EngData\AOS\Allgemein\[LabSamples2025.xlsx]Bioplastic'!G699)</f>
        <v/>
      </c>
      <c r="H699">
        <f>IF(ISBLANK('Q:\Abteilungsprojekte\eng\EngData\AOS\Allgemein\[LabSamples2025.xlsx]Bioplastic'!H699)," ",'Q:\Abteilungsprojekte\eng\EngData\AOS\Allgemein\[LabSamples2025.xlsx]Bioplastic'!H699)</f>
        <v/>
      </c>
    </row>
    <row r="700">
      <c r="A700">
        <f>IF(ISBLANK('Q:\Abteilungsprojekte\eng\EngData\AOS\Allgemein\[LabSamples2025.xlsx]Bioplastic'!A700)," ",'Q:\Abteilungsprojekte\eng\EngData\AOS\Allgemein\[LabSamples2025.xlsx]Bioplastic'!A700)</f>
        <v/>
      </c>
      <c r="B700">
        <f>IF(ISBLANK('Q:\Abteilungsprojekte\eng\EngData\AOS\Allgemein\[LabSamples2025.xlsx]Bioplastic'!B700)," ",'Q:\Abteilungsprojekte\eng\EngData\AOS\Allgemein\[LabSamples2025.xlsx]Bioplastic'!B700)</f>
        <v/>
      </c>
      <c r="C700">
        <f>IF(ISBLANK('Q:\Abteilungsprojekte\eng\EngData\AOS\Allgemein\[LabSamples2025.xlsx]Bioplastic'!C700)," ",'Q:\Abteilungsprojekte\eng\EngData\AOS\Allgemein\[LabSamples2025.xlsx]Bioplastic'!C700)</f>
        <v/>
      </c>
      <c r="D700">
        <f>IF(ISBLANK('Q:\Abteilungsprojekte\eng\EngData\AOS\Allgemein\[LabSamples2025.xlsx]Bioplastic'!D700)," ",'Q:\Abteilungsprojekte\eng\EngData\AOS\Allgemein\[LabSamples2025.xlsx]Bioplastic'!D700)</f>
        <v/>
      </c>
      <c r="E700">
        <f>IF(ISBLANK('Q:\Abteilungsprojekte\eng\EngData\AOS\Allgemein\[LabSamples2025.xlsx]Bioplastic'!E700)," ",'Q:\Abteilungsprojekte\eng\EngData\AOS\Allgemein\[LabSamples2025.xlsx]Bioplastic'!E700)</f>
        <v/>
      </c>
      <c r="F700">
        <f>IF(ISBLANK('Q:\Abteilungsprojekte\eng\EngData\AOS\Allgemein\[LabSamples2025.xlsx]Bioplastic'!F700)," ",'Q:\Abteilungsprojekte\eng\EngData\AOS\Allgemein\[LabSamples2025.xlsx]Bioplastic'!F700)</f>
        <v/>
      </c>
      <c r="G700">
        <f>IF(ISBLANK('Q:\Abteilungsprojekte\eng\EngData\AOS\Allgemein\[LabSamples2025.xlsx]Bioplastic'!G700)," ",'Q:\Abteilungsprojekte\eng\EngData\AOS\Allgemein\[LabSamples2025.xlsx]Bioplastic'!G700)</f>
        <v/>
      </c>
      <c r="H700">
        <f>IF(ISBLANK('Q:\Abteilungsprojekte\eng\EngData\AOS\Allgemein\[LabSamples2025.xlsx]Bioplastic'!H700)," ",'Q:\Abteilungsprojekte\eng\EngData\AOS\Allgemein\[LabSamples2025.xlsx]Bioplastic'!H700)</f>
        <v/>
      </c>
    </row>
    <row r="701">
      <c r="A701">
        <f>IF(ISBLANK('Q:\Abteilungsprojekte\eng\EngData\AOS\Allgemein\[LabSamples2025.xlsx]Bioplastic'!A701)," ",'Q:\Abteilungsprojekte\eng\EngData\AOS\Allgemein\[LabSamples2025.xlsx]Bioplastic'!A701)</f>
        <v/>
      </c>
      <c r="B701">
        <f>IF(ISBLANK('Q:\Abteilungsprojekte\eng\EngData\AOS\Allgemein\[LabSamples2025.xlsx]Bioplastic'!B701)," ",'Q:\Abteilungsprojekte\eng\EngData\AOS\Allgemein\[LabSamples2025.xlsx]Bioplastic'!B701)</f>
        <v/>
      </c>
      <c r="C701">
        <f>IF(ISBLANK('Q:\Abteilungsprojekte\eng\EngData\AOS\Allgemein\[LabSamples2025.xlsx]Bioplastic'!C701)," ",'Q:\Abteilungsprojekte\eng\EngData\AOS\Allgemein\[LabSamples2025.xlsx]Bioplastic'!C701)</f>
        <v/>
      </c>
      <c r="D701">
        <f>IF(ISBLANK('Q:\Abteilungsprojekte\eng\EngData\AOS\Allgemein\[LabSamples2025.xlsx]Bioplastic'!D701)," ",'Q:\Abteilungsprojekte\eng\EngData\AOS\Allgemein\[LabSamples2025.xlsx]Bioplastic'!D701)</f>
        <v/>
      </c>
      <c r="E701">
        <f>IF(ISBLANK('Q:\Abteilungsprojekte\eng\EngData\AOS\Allgemein\[LabSamples2025.xlsx]Bioplastic'!E701)," ",'Q:\Abteilungsprojekte\eng\EngData\AOS\Allgemein\[LabSamples2025.xlsx]Bioplastic'!E701)</f>
        <v/>
      </c>
      <c r="F701">
        <f>IF(ISBLANK('Q:\Abteilungsprojekte\eng\EngData\AOS\Allgemein\[LabSamples2025.xlsx]Bioplastic'!F701)," ",'Q:\Abteilungsprojekte\eng\EngData\AOS\Allgemein\[LabSamples2025.xlsx]Bioplastic'!F701)</f>
        <v/>
      </c>
      <c r="G701">
        <f>IF(ISBLANK('Q:\Abteilungsprojekte\eng\EngData\AOS\Allgemein\[LabSamples2025.xlsx]Bioplastic'!G701)," ",'Q:\Abteilungsprojekte\eng\EngData\AOS\Allgemein\[LabSamples2025.xlsx]Bioplastic'!G701)</f>
        <v/>
      </c>
      <c r="H701">
        <f>IF(ISBLANK('Q:\Abteilungsprojekte\eng\EngData\AOS\Allgemein\[LabSamples2025.xlsx]Bioplastic'!H701)," ",'Q:\Abteilungsprojekte\eng\EngData\AOS\Allgemein\[LabSamples2025.xlsx]Bioplastic'!H701)</f>
        <v/>
      </c>
    </row>
    <row r="702">
      <c r="A702">
        <f>IF(ISBLANK('Q:\Abteilungsprojekte\eng\EngData\AOS\Allgemein\[LabSamples2025.xlsx]Bioplastic'!A702)," ",'Q:\Abteilungsprojekte\eng\EngData\AOS\Allgemein\[LabSamples2025.xlsx]Bioplastic'!A702)</f>
        <v/>
      </c>
      <c r="B702">
        <f>IF(ISBLANK('Q:\Abteilungsprojekte\eng\EngData\AOS\Allgemein\[LabSamples2025.xlsx]Bioplastic'!B702)," ",'Q:\Abteilungsprojekte\eng\EngData\AOS\Allgemein\[LabSamples2025.xlsx]Bioplastic'!B702)</f>
        <v/>
      </c>
      <c r="C702">
        <f>IF(ISBLANK('Q:\Abteilungsprojekte\eng\EngData\AOS\Allgemein\[LabSamples2025.xlsx]Bioplastic'!C702)," ",'Q:\Abteilungsprojekte\eng\EngData\AOS\Allgemein\[LabSamples2025.xlsx]Bioplastic'!C702)</f>
        <v/>
      </c>
      <c r="D702">
        <f>IF(ISBLANK('Q:\Abteilungsprojekte\eng\EngData\AOS\Allgemein\[LabSamples2025.xlsx]Bioplastic'!D702)," ",'Q:\Abteilungsprojekte\eng\EngData\AOS\Allgemein\[LabSamples2025.xlsx]Bioplastic'!D702)</f>
        <v/>
      </c>
      <c r="E702">
        <f>IF(ISBLANK('Q:\Abteilungsprojekte\eng\EngData\AOS\Allgemein\[LabSamples2025.xlsx]Bioplastic'!E702)," ",'Q:\Abteilungsprojekte\eng\EngData\AOS\Allgemein\[LabSamples2025.xlsx]Bioplastic'!E702)</f>
        <v/>
      </c>
      <c r="F702">
        <f>IF(ISBLANK('Q:\Abteilungsprojekte\eng\EngData\AOS\Allgemein\[LabSamples2025.xlsx]Bioplastic'!F702)," ",'Q:\Abteilungsprojekte\eng\EngData\AOS\Allgemein\[LabSamples2025.xlsx]Bioplastic'!F702)</f>
        <v/>
      </c>
      <c r="G702">
        <f>IF(ISBLANK('Q:\Abteilungsprojekte\eng\EngData\AOS\Allgemein\[LabSamples2025.xlsx]Bioplastic'!G702)," ",'Q:\Abteilungsprojekte\eng\EngData\AOS\Allgemein\[LabSamples2025.xlsx]Bioplastic'!G702)</f>
        <v/>
      </c>
      <c r="H702">
        <f>IF(ISBLANK('Q:\Abteilungsprojekte\eng\EngData\AOS\Allgemein\[LabSamples2025.xlsx]Bioplastic'!H702)," ",'Q:\Abteilungsprojekte\eng\EngData\AOS\Allgemein\[LabSamples2025.xlsx]Bioplastic'!H702)</f>
        <v/>
      </c>
    </row>
    <row r="703">
      <c r="A703">
        <f>IF(ISBLANK('Q:\Abteilungsprojekte\eng\EngData\AOS\Allgemein\[LabSamples2025.xlsx]Bioplastic'!A703)," ",'Q:\Abteilungsprojekte\eng\EngData\AOS\Allgemein\[LabSamples2025.xlsx]Bioplastic'!A703)</f>
        <v/>
      </c>
      <c r="B703">
        <f>IF(ISBLANK('Q:\Abteilungsprojekte\eng\EngData\AOS\Allgemein\[LabSamples2025.xlsx]Bioplastic'!B703)," ",'Q:\Abteilungsprojekte\eng\EngData\AOS\Allgemein\[LabSamples2025.xlsx]Bioplastic'!B703)</f>
        <v/>
      </c>
      <c r="C703">
        <f>IF(ISBLANK('Q:\Abteilungsprojekte\eng\EngData\AOS\Allgemein\[LabSamples2025.xlsx]Bioplastic'!C703)," ",'Q:\Abteilungsprojekte\eng\EngData\AOS\Allgemein\[LabSamples2025.xlsx]Bioplastic'!C703)</f>
        <v/>
      </c>
      <c r="D703">
        <f>IF(ISBLANK('Q:\Abteilungsprojekte\eng\EngData\AOS\Allgemein\[LabSamples2025.xlsx]Bioplastic'!D703)," ",'Q:\Abteilungsprojekte\eng\EngData\AOS\Allgemein\[LabSamples2025.xlsx]Bioplastic'!D703)</f>
        <v/>
      </c>
      <c r="E703">
        <f>IF(ISBLANK('Q:\Abteilungsprojekte\eng\EngData\AOS\Allgemein\[LabSamples2025.xlsx]Bioplastic'!E703)," ",'Q:\Abteilungsprojekte\eng\EngData\AOS\Allgemein\[LabSamples2025.xlsx]Bioplastic'!E703)</f>
        <v/>
      </c>
      <c r="F703">
        <f>IF(ISBLANK('Q:\Abteilungsprojekte\eng\EngData\AOS\Allgemein\[LabSamples2025.xlsx]Bioplastic'!F703)," ",'Q:\Abteilungsprojekte\eng\EngData\AOS\Allgemein\[LabSamples2025.xlsx]Bioplastic'!F703)</f>
        <v/>
      </c>
      <c r="G703">
        <f>IF(ISBLANK('Q:\Abteilungsprojekte\eng\EngData\AOS\Allgemein\[LabSamples2025.xlsx]Bioplastic'!G703)," ",'Q:\Abteilungsprojekte\eng\EngData\AOS\Allgemein\[LabSamples2025.xlsx]Bioplastic'!G703)</f>
        <v/>
      </c>
      <c r="H703">
        <f>IF(ISBLANK('Q:\Abteilungsprojekte\eng\EngData\AOS\Allgemein\[LabSamples2025.xlsx]Bioplastic'!H703)," ",'Q:\Abteilungsprojekte\eng\EngData\AOS\Allgemein\[LabSamples2025.xlsx]Bioplastic'!H703)</f>
        <v/>
      </c>
    </row>
    <row r="704">
      <c r="A704">
        <f>IF(ISBLANK('Q:\Abteilungsprojekte\eng\EngData\AOS\Allgemein\[LabSamples2025.xlsx]Bioplastic'!A704)," ",'Q:\Abteilungsprojekte\eng\EngData\AOS\Allgemein\[LabSamples2025.xlsx]Bioplastic'!A704)</f>
        <v/>
      </c>
      <c r="B704">
        <f>IF(ISBLANK('Q:\Abteilungsprojekte\eng\EngData\AOS\Allgemein\[LabSamples2025.xlsx]Bioplastic'!B704)," ",'Q:\Abteilungsprojekte\eng\EngData\AOS\Allgemein\[LabSamples2025.xlsx]Bioplastic'!B704)</f>
        <v/>
      </c>
      <c r="C704">
        <f>IF(ISBLANK('Q:\Abteilungsprojekte\eng\EngData\AOS\Allgemein\[LabSamples2025.xlsx]Bioplastic'!C704)," ",'Q:\Abteilungsprojekte\eng\EngData\AOS\Allgemein\[LabSamples2025.xlsx]Bioplastic'!C704)</f>
        <v/>
      </c>
      <c r="D704">
        <f>IF(ISBLANK('Q:\Abteilungsprojekte\eng\EngData\AOS\Allgemein\[LabSamples2025.xlsx]Bioplastic'!D704)," ",'Q:\Abteilungsprojekte\eng\EngData\AOS\Allgemein\[LabSamples2025.xlsx]Bioplastic'!D704)</f>
        <v/>
      </c>
      <c r="E704">
        <f>IF(ISBLANK('Q:\Abteilungsprojekte\eng\EngData\AOS\Allgemein\[LabSamples2025.xlsx]Bioplastic'!E704)," ",'Q:\Abteilungsprojekte\eng\EngData\AOS\Allgemein\[LabSamples2025.xlsx]Bioplastic'!E704)</f>
        <v/>
      </c>
      <c r="F704">
        <f>IF(ISBLANK('Q:\Abteilungsprojekte\eng\EngData\AOS\Allgemein\[LabSamples2025.xlsx]Bioplastic'!F704)," ",'Q:\Abteilungsprojekte\eng\EngData\AOS\Allgemein\[LabSamples2025.xlsx]Bioplastic'!F704)</f>
        <v/>
      </c>
      <c r="G704">
        <f>IF(ISBLANK('Q:\Abteilungsprojekte\eng\EngData\AOS\Allgemein\[LabSamples2025.xlsx]Bioplastic'!G704)," ",'Q:\Abteilungsprojekte\eng\EngData\AOS\Allgemein\[LabSamples2025.xlsx]Bioplastic'!G704)</f>
        <v/>
      </c>
      <c r="H704">
        <f>IF(ISBLANK('Q:\Abteilungsprojekte\eng\EngData\AOS\Allgemein\[LabSamples2025.xlsx]Bioplastic'!H704)," ",'Q:\Abteilungsprojekte\eng\EngData\AOS\Allgemein\[LabSamples2025.xlsx]Bioplastic'!H704)</f>
        <v/>
      </c>
    </row>
    <row r="705">
      <c r="A705">
        <f>IF(ISBLANK('Q:\Abteilungsprojekte\eng\EngData\AOS\Allgemein\[LabSamples2025.xlsx]Bioplastic'!A705)," ",'Q:\Abteilungsprojekte\eng\EngData\AOS\Allgemein\[LabSamples2025.xlsx]Bioplastic'!A705)</f>
        <v/>
      </c>
      <c r="B705">
        <f>IF(ISBLANK('Q:\Abteilungsprojekte\eng\EngData\AOS\Allgemein\[LabSamples2025.xlsx]Bioplastic'!B705)," ",'Q:\Abteilungsprojekte\eng\EngData\AOS\Allgemein\[LabSamples2025.xlsx]Bioplastic'!B705)</f>
        <v/>
      </c>
      <c r="C705">
        <f>IF(ISBLANK('Q:\Abteilungsprojekte\eng\EngData\AOS\Allgemein\[LabSamples2025.xlsx]Bioplastic'!C705)," ",'Q:\Abteilungsprojekte\eng\EngData\AOS\Allgemein\[LabSamples2025.xlsx]Bioplastic'!C705)</f>
        <v/>
      </c>
      <c r="D705">
        <f>IF(ISBLANK('Q:\Abteilungsprojekte\eng\EngData\AOS\Allgemein\[LabSamples2025.xlsx]Bioplastic'!D705)," ",'Q:\Abteilungsprojekte\eng\EngData\AOS\Allgemein\[LabSamples2025.xlsx]Bioplastic'!D705)</f>
        <v/>
      </c>
      <c r="E705">
        <f>IF(ISBLANK('Q:\Abteilungsprojekte\eng\EngData\AOS\Allgemein\[LabSamples2025.xlsx]Bioplastic'!E705)," ",'Q:\Abteilungsprojekte\eng\EngData\AOS\Allgemein\[LabSamples2025.xlsx]Bioplastic'!E705)</f>
        <v/>
      </c>
      <c r="F705">
        <f>IF(ISBLANK('Q:\Abteilungsprojekte\eng\EngData\AOS\Allgemein\[LabSamples2025.xlsx]Bioplastic'!F705)," ",'Q:\Abteilungsprojekte\eng\EngData\AOS\Allgemein\[LabSamples2025.xlsx]Bioplastic'!F705)</f>
        <v/>
      </c>
      <c r="G705">
        <f>IF(ISBLANK('Q:\Abteilungsprojekte\eng\EngData\AOS\Allgemein\[LabSamples2025.xlsx]Bioplastic'!G705)," ",'Q:\Abteilungsprojekte\eng\EngData\AOS\Allgemein\[LabSamples2025.xlsx]Bioplastic'!G705)</f>
        <v/>
      </c>
      <c r="H705">
        <f>IF(ISBLANK('Q:\Abteilungsprojekte\eng\EngData\AOS\Allgemein\[LabSamples2025.xlsx]Bioplastic'!H705)," ",'Q:\Abteilungsprojekte\eng\EngData\AOS\Allgemein\[LabSamples2025.xlsx]Bioplastic'!H705)</f>
        <v/>
      </c>
    </row>
    <row r="706">
      <c r="A706">
        <f>IF(ISBLANK('Q:\Abteilungsprojekte\eng\EngData\AOS\Allgemein\[LabSamples2025.xlsx]Bioplastic'!A706)," ",'Q:\Abteilungsprojekte\eng\EngData\AOS\Allgemein\[LabSamples2025.xlsx]Bioplastic'!A706)</f>
        <v/>
      </c>
      <c r="B706">
        <f>IF(ISBLANK('Q:\Abteilungsprojekte\eng\EngData\AOS\Allgemein\[LabSamples2025.xlsx]Bioplastic'!B706)," ",'Q:\Abteilungsprojekte\eng\EngData\AOS\Allgemein\[LabSamples2025.xlsx]Bioplastic'!B706)</f>
        <v/>
      </c>
      <c r="C706">
        <f>IF(ISBLANK('Q:\Abteilungsprojekte\eng\EngData\AOS\Allgemein\[LabSamples2025.xlsx]Bioplastic'!C706)," ",'Q:\Abteilungsprojekte\eng\EngData\AOS\Allgemein\[LabSamples2025.xlsx]Bioplastic'!C706)</f>
        <v/>
      </c>
      <c r="D706">
        <f>IF(ISBLANK('Q:\Abteilungsprojekte\eng\EngData\AOS\Allgemein\[LabSamples2025.xlsx]Bioplastic'!D706)," ",'Q:\Abteilungsprojekte\eng\EngData\AOS\Allgemein\[LabSamples2025.xlsx]Bioplastic'!D706)</f>
        <v/>
      </c>
      <c r="E706">
        <f>IF(ISBLANK('Q:\Abteilungsprojekte\eng\EngData\AOS\Allgemein\[LabSamples2025.xlsx]Bioplastic'!E706)," ",'Q:\Abteilungsprojekte\eng\EngData\AOS\Allgemein\[LabSamples2025.xlsx]Bioplastic'!E706)</f>
        <v/>
      </c>
      <c r="F706">
        <f>IF(ISBLANK('Q:\Abteilungsprojekte\eng\EngData\AOS\Allgemein\[LabSamples2025.xlsx]Bioplastic'!F706)," ",'Q:\Abteilungsprojekte\eng\EngData\AOS\Allgemein\[LabSamples2025.xlsx]Bioplastic'!F706)</f>
        <v/>
      </c>
      <c r="G706">
        <f>IF(ISBLANK('Q:\Abteilungsprojekte\eng\EngData\AOS\Allgemein\[LabSamples2025.xlsx]Bioplastic'!G706)," ",'Q:\Abteilungsprojekte\eng\EngData\AOS\Allgemein\[LabSamples2025.xlsx]Bioplastic'!G706)</f>
        <v/>
      </c>
      <c r="H706">
        <f>IF(ISBLANK('Q:\Abteilungsprojekte\eng\EngData\AOS\Allgemein\[LabSamples2025.xlsx]Bioplastic'!H706)," ",'Q:\Abteilungsprojekte\eng\EngData\AOS\Allgemein\[LabSamples2025.xlsx]Bioplastic'!H706)</f>
        <v/>
      </c>
    </row>
    <row r="707">
      <c r="A707">
        <f>IF(ISBLANK('Q:\Abteilungsprojekte\eng\EngData\AOS\Allgemein\[LabSamples2025.xlsx]Bioplastic'!A707)," ",'Q:\Abteilungsprojekte\eng\EngData\AOS\Allgemein\[LabSamples2025.xlsx]Bioplastic'!A707)</f>
        <v/>
      </c>
      <c r="B707">
        <f>IF(ISBLANK('Q:\Abteilungsprojekte\eng\EngData\AOS\Allgemein\[LabSamples2025.xlsx]Bioplastic'!B707)," ",'Q:\Abteilungsprojekte\eng\EngData\AOS\Allgemein\[LabSamples2025.xlsx]Bioplastic'!B707)</f>
        <v/>
      </c>
      <c r="C707">
        <f>IF(ISBLANK('Q:\Abteilungsprojekte\eng\EngData\AOS\Allgemein\[LabSamples2025.xlsx]Bioplastic'!C707)," ",'Q:\Abteilungsprojekte\eng\EngData\AOS\Allgemein\[LabSamples2025.xlsx]Bioplastic'!C707)</f>
        <v/>
      </c>
      <c r="D707">
        <f>IF(ISBLANK('Q:\Abteilungsprojekte\eng\EngData\AOS\Allgemein\[LabSamples2025.xlsx]Bioplastic'!D707)," ",'Q:\Abteilungsprojekte\eng\EngData\AOS\Allgemein\[LabSamples2025.xlsx]Bioplastic'!D707)</f>
        <v/>
      </c>
      <c r="E707">
        <f>IF(ISBLANK('Q:\Abteilungsprojekte\eng\EngData\AOS\Allgemein\[LabSamples2025.xlsx]Bioplastic'!E707)," ",'Q:\Abteilungsprojekte\eng\EngData\AOS\Allgemein\[LabSamples2025.xlsx]Bioplastic'!E707)</f>
        <v/>
      </c>
      <c r="F707">
        <f>IF(ISBLANK('Q:\Abteilungsprojekte\eng\EngData\AOS\Allgemein\[LabSamples2025.xlsx]Bioplastic'!F707)," ",'Q:\Abteilungsprojekte\eng\EngData\AOS\Allgemein\[LabSamples2025.xlsx]Bioplastic'!F707)</f>
        <v/>
      </c>
      <c r="G707">
        <f>IF(ISBLANK('Q:\Abteilungsprojekte\eng\EngData\AOS\Allgemein\[LabSamples2025.xlsx]Bioplastic'!G707)," ",'Q:\Abteilungsprojekte\eng\EngData\AOS\Allgemein\[LabSamples2025.xlsx]Bioplastic'!G707)</f>
        <v/>
      </c>
      <c r="H707">
        <f>IF(ISBLANK('Q:\Abteilungsprojekte\eng\EngData\AOS\Allgemein\[LabSamples2025.xlsx]Bioplastic'!H707)," ",'Q:\Abteilungsprojekte\eng\EngData\AOS\Allgemein\[LabSamples2025.xlsx]Bioplastic'!H707)</f>
        <v/>
      </c>
    </row>
    <row r="708">
      <c r="A708">
        <f>IF(ISBLANK('Q:\Abteilungsprojekte\eng\EngData\AOS\Allgemein\[LabSamples2025.xlsx]Bioplastic'!A708)," ",'Q:\Abteilungsprojekte\eng\EngData\AOS\Allgemein\[LabSamples2025.xlsx]Bioplastic'!A708)</f>
        <v/>
      </c>
      <c r="B708">
        <f>IF(ISBLANK('Q:\Abteilungsprojekte\eng\EngData\AOS\Allgemein\[LabSamples2025.xlsx]Bioplastic'!B708)," ",'Q:\Abteilungsprojekte\eng\EngData\AOS\Allgemein\[LabSamples2025.xlsx]Bioplastic'!B708)</f>
        <v/>
      </c>
      <c r="C708">
        <f>IF(ISBLANK('Q:\Abteilungsprojekte\eng\EngData\AOS\Allgemein\[LabSamples2025.xlsx]Bioplastic'!C708)," ",'Q:\Abteilungsprojekte\eng\EngData\AOS\Allgemein\[LabSamples2025.xlsx]Bioplastic'!C708)</f>
        <v/>
      </c>
      <c r="D708">
        <f>IF(ISBLANK('Q:\Abteilungsprojekte\eng\EngData\AOS\Allgemein\[LabSamples2025.xlsx]Bioplastic'!D708)," ",'Q:\Abteilungsprojekte\eng\EngData\AOS\Allgemein\[LabSamples2025.xlsx]Bioplastic'!D708)</f>
        <v/>
      </c>
      <c r="E708">
        <f>IF(ISBLANK('Q:\Abteilungsprojekte\eng\EngData\AOS\Allgemein\[LabSamples2025.xlsx]Bioplastic'!E708)," ",'Q:\Abteilungsprojekte\eng\EngData\AOS\Allgemein\[LabSamples2025.xlsx]Bioplastic'!E708)</f>
        <v/>
      </c>
      <c r="F708">
        <f>IF(ISBLANK('Q:\Abteilungsprojekte\eng\EngData\AOS\Allgemein\[LabSamples2025.xlsx]Bioplastic'!F708)," ",'Q:\Abteilungsprojekte\eng\EngData\AOS\Allgemein\[LabSamples2025.xlsx]Bioplastic'!F708)</f>
        <v/>
      </c>
      <c r="G708">
        <f>IF(ISBLANK('Q:\Abteilungsprojekte\eng\EngData\AOS\Allgemein\[LabSamples2025.xlsx]Bioplastic'!G708)," ",'Q:\Abteilungsprojekte\eng\EngData\AOS\Allgemein\[LabSamples2025.xlsx]Bioplastic'!G708)</f>
        <v/>
      </c>
      <c r="H708">
        <f>IF(ISBLANK('Q:\Abteilungsprojekte\eng\EngData\AOS\Allgemein\[LabSamples2025.xlsx]Bioplastic'!H708)," ",'Q:\Abteilungsprojekte\eng\EngData\AOS\Allgemein\[LabSamples2025.xlsx]Bioplastic'!H708)</f>
        <v/>
      </c>
    </row>
    <row r="709">
      <c r="A709">
        <f>IF(ISBLANK('Q:\Abteilungsprojekte\eng\EngData\AOS\Allgemein\[LabSamples2025.xlsx]Bioplastic'!A709)," ",'Q:\Abteilungsprojekte\eng\EngData\AOS\Allgemein\[LabSamples2025.xlsx]Bioplastic'!A709)</f>
        <v/>
      </c>
      <c r="B709">
        <f>IF(ISBLANK('Q:\Abteilungsprojekte\eng\EngData\AOS\Allgemein\[LabSamples2025.xlsx]Bioplastic'!B709)," ",'Q:\Abteilungsprojekte\eng\EngData\AOS\Allgemein\[LabSamples2025.xlsx]Bioplastic'!B709)</f>
        <v/>
      </c>
      <c r="C709">
        <f>IF(ISBLANK('Q:\Abteilungsprojekte\eng\EngData\AOS\Allgemein\[LabSamples2025.xlsx]Bioplastic'!C709)," ",'Q:\Abteilungsprojekte\eng\EngData\AOS\Allgemein\[LabSamples2025.xlsx]Bioplastic'!C709)</f>
        <v/>
      </c>
      <c r="D709">
        <f>IF(ISBLANK('Q:\Abteilungsprojekte\eng\EngData\AOS\Allgemein\[LabSamples2025.xlsx]Bioplastic'!D709)," ",'Q:\Abteilungsprojekte\eng\EngData\AOS\Allgemein\[LabSamples2025.xlsx]Bioplastic'!D709)</f>
        <v/>
      </c>
      <c r="E709">
        <f>IF(ISBLANK('Q:\Abteilungsprojekte\eng\EngData\AOS\Allgemein\[LabSamples2025.xlsx]Bioplastic'!E709)," ",'Q:\Abteilungsprojekte\eng\EngData\AOS\Allgemein\[LabSamples2025.xlsx]Bioplastic'!E709)</f>
        <v/>
      </c>
      <c r="F709">
        <f>IF(ISBLANK('Q:\Abteilungsprojekte\eng\EngData\AOS\Allgemein\[LabSamples2025.xlsx]Bioplastic'!F709)," ",'Q:\Abteilungsprojekte\eng\EngData\AOS\Allgemein\[LabSamples2025.xlsx]Bioplastic'!F709)</f>
        <v/>
      </c>
      <c r="G709">
        <f>IF(ISBLANK('Q:\Abteilungsprojekte\eng\EngData\AOS\Allgemein\[LabSamples2025.xlsx]Bioplastic'!G709)," ",'Q:\Abteilungsprojekte\eng\EngData\AOS\Allgemein\[LabSamples2025.xlsx]Bioplastic'!G709)</f>
        <v/>
      </c>
      <c r="H709">
        <f>IF(ISBLANK('Q:\Abteilungsprojekte\eng\EngData\AOS\Allgemein\[LabSamples2025.xlsx]Bioplastic'!H709)," ",'Q:\Abteilungsprojekte\eng\EngData\AOS\Allgemein\[LabSamples2025.xlsx]Bioplastic'!H709)</f>
        <v/>
      </c>
    </row>
    <row r="710">
      <c r="A710">
        <f>IF(ISBLANK('Q:\Abteilungsprojekte\eng\EngData\AOS\Allgemein\[LabSamples2025.xlsx]Bioplastic'!A710)," ",'Q:\Abteilungsprojekte\eng\EngData\AOS\Allgemein\[LabSamples2025.xlsx]Bioplastic'!A710)</f>
        <v/>
      </c>
      <c r="B710">
        <f>IF(ISBLANK('Q:\Abteilungsprojekte\eng\EngData\AOS\Allgemein\[LabSamples2025.xlsx]Bioplastic'!B710)," ",'Q:\Abteilungsprojekte\eng\EngData\AOS\Allgemein\[LabSamples2025.xlsx]Bioplastic'!B710)</f>
        <v/>
      </c>
      <c r="C710">
        <f>IF(ISBLANK('Q:\Abteilungsprojekte\eng\EngData\AOS\Allgemein\[LabSamples2025.xlsx]Bioplastic'!C710)," ",'Q:\Abteilungsprojekte\eng\EngData\AOS\Allgemein\[LabSamples2025.xlsx]Bioplastic'!C710)</f>
        <v/>
      </c>
      <c r="D710">
        <f>IF(ISBLANK('Q:\Abteilungsprojekte\eng\EngData\AOS\Allgemein\[LabSamples2025.xlsx]Bioplastic'!D710)," ",'Q:\Abteilungsprojekte\eng\EngData\AOS\Allgemein\[LabSamples2025.xlsx]Bioplastic'!D710)</f>
        <v/>
      </c>
      <c r="E710">
        <f>IF(ISBLANK('Q:\Abteilungsprojekte\eng\EngData\AOS\Allgemein\[LabSamples2025.xlsx]Bioplastic'!E710)," ",'Q:\Abteilungsprojekte\eng\EngData\AOS\Allgemein\[LabSamples2025.xlsx]Bioplastic'!E710)</f>
        <v/>
      </c>
      <c r="F710">
        <f>IF(ISBLANK('Q:\Abteilungsprojekte\eng\EngData\AOS\Allgemein\[LabSamples2025.xlsx]Bioplastic'!F710)," ",'Q:\Abteilungsprojekte\eng\EngData\AOS\Allgemein\[LabSamples2025.xlsx]Bioplastic'!F710)</f>
        <v/>
      </c>
      <c r="G710">
        <f>IF(ISBLANK('Q:\Abteilungsprojekte\eng\EngData\AOS\Allgemein\[LabSamples2025.xlsx]Bioplastic'!G710)," ",'Q:\Abteilungsprojekte\eng\EngData\AOS\Allgemein\[LabSamples2025.xlsx]Bioplastic'!G710)</f>
        <v/>
      </c>
      <c r="H710">
        <f>IF(ISBLANK('Q:\Abteilungsprojekte\eng\EngData\AOS\Allgemein\[LabSamples2025.xlsx]Bioplastic'!H710)," ",'Q:\Abteilungsprojekte\eng\EngData\AOS\Allgemein\[LabSamples2025.xlsx]Bioplastic'!H710)</f>
        <v/>
      </c>
    </row>
    <row r="711">
      <c r="A711">
        <f>IF(ISBLANK('Q:\Abteilungsprojekte\eng\EngData\AOS\Allgemein\[LabSamples2025.xlsx]Bioplastic'!A711)," ",'Q:\Abteilungsprojekte\eng\EngData\AOS\Allgemein\[LabSamples2025.xlsx]Bioplastic'!A711)</f>
        <v/>
      </c>
      <c r="B711">
        <f>IF(ISBLANK('Q:\Abteilungsprojekte\eng\EngData\AOS\Allgemein\[LabSamples2025.xlsx]Bioplastic'!B711)," ",'Q:\Abteilungsprojekte\eng\EngData\AOS\Allgemein\[LabSamples2025.xlsx]Bioplastic'!B711)</f>
        <v/>
      </c>
      <c r="C711">
        <f>IF(ISBLANK('Q:\Abteilungsprojekte\eng\EngData\AOS\Allgemein\[LabSamples2025.xlsx]Bioplastic'!C711)," ",'Q:\Abteilungsprojekte\eng\EngData\AOS\Allgemein\[LabSamples2025.xlsx]Bioplastic'!C711)</f>
        <v/>
      </c>
      <c r="D711">
        <f>IF(ISBLANK('Q:\Abteilungsprojekte\eng\EngData\AOS\Allgemein\[LabSamples2025.xlsx]Bioplastic'!D711)," ",'Q:\Abteilungsprojekte\eng\EngData\AOS\Allgemein\[LabSamples2025.xlsx]Bioplastic'!D711)</f>
        <v/>
      </c>
      <c r="E711">
        <f>IF(ISBLANK('Q:\Abteilungsprojekte\eng\EngData\AOS\Allgemein\[LabSamples2025.xlsx]Bioplastic'!E711)," ",'Q:\Abteilungsprojekte\eng\EngData\AOS\Allgemein\[LabSamples2025.xlsx]Bioplastic'!E711)</f>
        <v/>
      </c>
      <c r="F711">
        <f>IF(ISBLANK('Q:\Abteilungsprojekte\eng\EngData\AOS\Allgemein\[LabSamples2025.xlsx]Bioplastic'!F711)," ",'Q:\Abteilungsprojekte\eng\EngData\AOS\Allgemein\[LabSamples2025.xlsx]Bioplastic'!F711)</f>
        <v/>
      </c>
      <c r="G711">
        <f>IF(ISBLANK('Q:\Abteilungsprojekte\eng\EngData\AOS\Allgemein\[LabSamples2025.xlsx]Bioplastic'!G711)," ",'Q:\Abteilungsprojekte\eng\EngData\AOS\Allgemein\[LabSamples2025.xlsx]Bioplastic'!G711)</f>
        <v/>
      </c>
      <c r="H711">
        <f>IF(ISBLANK('Q:\Abteilungsprojekte\eng\EngData\AOS\Allgemein\[LabSamples2025.xlsx]Bioplastic'!H711)," ",'Q:\Abteilungsprojekte\eng\EngData\AOS\Allgemein\[LabSamples2025.xlsx]Bioplastic'!H711)</f>
        <v/>
      </c>
    </row>
    <row r="712">
      <c r="A712">
        <f>IF(ISBLANK('Q:\Abteilungsprojekte\eng\EngData\AOS\Allgemein\[LabSamples2025.xlsx]Bioplastic'!A712)," ",'Q:\Abteilungsprojekte\eng\EngData\AOS\Allgemein\[LabSamples2025.xlsx]Bioplastic'!A712)</f>
        <v/>
      </c>
      <c r="B712">
        <f>IF(ISBLANK('Q:\Abteilungsprojekte\eng\EngData\AOS\Allgemein\[LabSamples2025.xlsx]Bioplastic'!B712)," ",'Q:\Abteilungsprojekte\eng\EngData\AOS\Allgemein\[LabSamples2025.xlsx]Bioplastic'!B712)</f>
        <v/>
      </c>
      <c r="C712">
        <f>IF(ISBLANK('Q:\Abteilungsprojekte\eng\EngData\AOS\Allgemein\[LabSamples2025.xlsx]Bioplastic'!C712)," ",'Q:\Abteilungsprojekte\eng\EngData\AOS\Allgemein\[LabSamples2025.xlsx]Bioplastic'!C712)</f>
        <v/>
      </c>
      <c r="D712">
        <f>IF(ISBLANK('Q:\Abteilungsprojekte\eng\EngData\AOS\Allgemein\[LabSamples2025.xlsx]Bioplastic'!D712)," ",'Q:\Abteilungsprojekte\eng\EngData\AOS\Allgemein\[LabSamples2025.xlsx]Bioplastic'!D712)</f>
        <v/>
      </c>
      <c r="E712">
        <f>IF(ISBLANK('Q:\Abteilungsprojekte\eng\EngData\AOS\Allgemein\[LabSamples2025.xlsx]Bioplastic'!E712)," ",'Q:\Abteilungsprojekte\eng\EngData\AOS\Allgemein\[LabSamples2025.xlsx]Bioplastic'!E712)</f>
        <v/>
      </c>
      <c r="F712">
        <f>IF(ISBLANK('Q:\Abteilungsprojekte\eng\EngData\AOS\Allgemein\[LabSamples2025.xlsx]Bioplastic'!F712)," ",'Q:\Abteilungsprojekte\eng\EngData\AOS\Allgemein\[LabSamples2025.xlsx]Bioplastic'!F712)</f>
        <v/>
      </c>
      <c r="G712">
        <f>IF(ISBLANK('Q:\Abteilungsprojekte\eng\EngData\AOS\Allgemein\[LabSamples2025.xlsx]Bioplastic'!G712)," ",'Q:\Abteilungsprojekte\eng\EngData\AOS\Allgemein\[LabSamples2025.xlsx]Bioplastic'!G712)</f>
        <v/>
      </c>
      <c r="H712">
        <f>IF(ISBLANK('Q:\Abteilungsprojekte\eng\EngData\AOS\Allgemein\[LabSamples2025.xlsx]Bioplastic'!H712)," ",'Q:\Abteilungsprojekte\eng\EngData\AOS\Allgemein\[LabSamples2025.xlsx]Bioplastic'!H712)</f>
        <v/>
      </c>
    </row>
    <row r="713">
      <c r="A713">
        <f>IF(ISBLANK('Q:\Abteilungsprojekte\eng\EngData\AOS\Allgemein\[LabSamples2025.xlsx]Bioplastic'!A713)," ",'Q:\Abteilungsprojekte\eng\EngData\AOS\Allgemein\[LabSamples2025.xlsx]Bioplastic'!A713)</f>
        <v/>
      </c>
      <c r="B713">
        <f>IF(ISBLANK('Q:\Abteilungsprojekte\eng\EngData\AOS\Allgemein\[LabSamples2025.xlsx]Bioplastic'!B713)," ",'Q:\Abteilungsprojekte\eng\EngData\AOS\Allgemein\[LabSamples2025.xlsx]Bioplastic'!B713)</f>
        <v/>
      </c>
      <c r="C713">
        <f>IF(ISBLANK('Q:\Abteilungsprojekte\eng\EngData\AOS\Allgemein\[LabSamples2025.xlsx]Bioplastic'!C713)," ",'Q:\Abteilungsprojekte\eng\EngData\AOS\Allgemein\[LabSamples2025.xlsx]Bioplastic'!C713)</f>
        <v/>
      </c>
      <c r="D713">
        <f>IF(ISBLANK('Q:\Abteilungsprojekte\eng\EngData\AOS\Allgemein\[LabSamples2025.xlsx]Bioplastic'!D713)," ",'Q:\Abteilungsprojekte\eng\EngData\AOS\Allgemein\[LabSamples2025.xlsx]Bioplastic'!D713)</f>
        <v/>
      </c>
      <c r="E713">
        <f>IF(ISBLANK('Q:\Abteilungsprojekte\eng\EngData\AOS\Allgemein\[LabSamples2025.xlsx]Bioplastic'!E713)," ",'Q:\Abteilungsprojekte\eng\EngData\AOS\Allgemein\[LabSamples2025.xlsx]Bioplastic'!E713)</f>
        <v/>
      </c>
      <c r="F713">
        <f>IF(ISBLANK('Q:\Abteilungsprojekte\eng\EngData\AOS\Allgemein\[LabSamples2025.xlsx]Bioplastic'!F713)," ",'Q:\Abteilungsprojekte\eng\EngData\AOS\Allgemein\[LabSamples2025.xlsx]Bioplastic'!F713)</f>
        <v/>
      </c>
      <c r="G713">
        <f>IF(ISBLANK('Q:\Abteilungsprojekte\eng\EngData\AOS\Allgemein\[LabSamples2025.xlsx]Bioplastic'!G713)," ",'Q:\Abteilungsprojekte\eng\EngData\AOS\Allgemein\[LabSamples2025.xlsx]Bioplastic'!G713)</f>
        <v/>
      </c>
      <c r="H713">
        <f>IF(ISBLANK('Q:\Abteilungsprojekte\eng\EngData\AOS\Allgemein\[LabSamples2025.xlsx]Bioplastic'!H713)," ",'Q:\Abteilungsprojekte\eng\EngData\AOS\Allgemein\[LabSamples2025.xlsx]Bioplastic'!H713)</f>
        <v/>
      </c>
    </row>
    <row r="714">
      <c r="A714">
        <f>IF(ISBLANK('Q:\Abteilungsprojekte\eng\EngData\AOS\Allgemein\[LabSamples2025.xlsx]Bioplastic'!A714)," ",'Q:\Abteilungsprojekte\eng\EngData\AOS\Allgemein\[LabSamples2025.xlsx]Bioplastic'!A714)</f>
        <v/>
      </c>
      <c r="B714">
        <f>IF(ISBLANK('Q:\Abteilungsprojekte\eng\EngData\AOS\Allgemein\[LabSamples2025.xlsx]Bioplastic'!B714)," ",'Q:\Abteilungsprojekte\eng\EngData\AOS\Allgemein\[LabSamples2025.xlsx]Bioplastic'!B714)</f>
        <v/>
      </c>
      <c r="C714">
        <f>IF(ISBLANK('Q:\Abteilungsprojekte\eng\EngData\AOS\Allgemein\[LabSamples2025.xlsx]Bioplastic'!C714)," ",'Q:\Abteilungsprojekte\eng\EngData\AOS\Allgemein\[LabSamples2025.xlsx]Bioplastic'!C714)</f>
        <v/>
      </c>
      <c r="D714">
        <f>IF(ISBLANK('Q:\Abteilungsprojekte\eng\EngData\AOS\Allgemein\[LabSamples2025.xlsx]Bioplastic'!D714)," ",'Q:\Abteilungsprojekte\eng\EngData\AOS\Allgemein\[LabSamples2025.xlsx]Bioplastic'!D714)</f>
        <v/>
      </c>
      <c r="E714">
        <f>IF(ISBLANK('Q:\Abteilungsprojekte\eng\EngData\AOS\Allgemein\[LabSamples2025.xlsx]Bioplastic'!E714)," ",'Q:\Abteilungsprojekte\eng\EngData\AOS\Allgemein\[LabSamples2025.xlsx]Bioplastic'!E714)</f>
        <v/>
      </c>
      <c r="F714">
        <f>IF(ISBLANK('Q:\Abteilungsprojekte\eng\EngData\AOS\Allgemein\[LabSamples2025.xlsx]Bioplastic'!F714)," ",'Q:\Abteilungsprojekte\eng\EngData\AOS\Allgemein\[LabSamples2025.xlsx]Bioplastic'!F714)</f>
        <v/>
      </c>
      <c r="G714">
        <f>IF(ISBLANK('Q:\Abteilungsprojekte\eng\EngData\AOS\Allgemein\[LabSamples2025.xlsx]Bioplastic'!G714)," ",'Q:\Abteilungsprojekte\eng\EngData\AOS\Allgemein\[LabSamples2025.xlsx]Bioplastic'!G714)</f>
        <v/>
      </c>
      <c r="H714">
        <f>IF(ISBLANK('Q:\Abteilungsprojekte\eng\EngData\AOS\Allgemein\[LabSamples2025.xlsx]Bioplastic'!H714)," ",'Q:\Abteilungsprojekte\eng\EngData\AOS\Allgemein\[LabSamples2025.xlsx]Bioplastic'!H714)</f>
        <v/>
      </c>
    </row>
    <row r="715">
      <c r="A715">
        <f>IF(ISBLANK('Q:\Abteilungsprojekte\eng\EngData\AOS\Allgemein\[LabSamples2025.xlsx]Bioplastic'!A715)," ",'Q:\Abteilungsprojekte\eng\EngData\AOS\Allgemein\[LabSamples2025.xlsx]Bioplastic'!A715)</f>
        <v/>
      </c>
      <c r="B715">
        <f>IF(ISBLANK('Q:\Abteilungsprojekte\eng\EngData\AOS\Allgemein\[LabSamples2025.xlsx]Bioplastic'!B715)," ",'Q:\Abteilungsprojekte\eng\EngData\AOS\Allgemein\[LabSamples2025.xlsx]Bioplastic'!B715)</f>
        <v/>
      </c>
      <c r="C715">
        <f>IF(ISBLANK('Q:\Abteilungsprojekte\eng\EngData\AOS\Allgemein\[LabSamples2025.xlsx]Bioplastic'!C715)," ",'Q:\Abteilungsprojekte\eng\EngData\AOS\Allgemein\[LabSamples2025.xlsx]Bioplastic'!C715)</f>
        <v/>
      </c>
      <c r="D715">
        <f>IF(ISBLANK('Q:\Abteilungsprojekte\eng\EngData\AOS\Allgemein\[LabSamples2025.xlsx]Bioplastic'!D715)," ",'Q:\Abteilungsprojekte\eng\EngData\AOS\Allgemein\[LabSamples2025.xlsx]Bioplastic'!D715)</f>
        <v/>
      </c>
      <c r="E715">
        <f>IF(ISBLANK('Q:\Abteilungsprojekte\eng\EngData\AOS\Allgemein\[LabSamples2025.xlsx]Bioplastic'!E715)," ",'Q:\Abteilungsprojekte\eng\EngData\AOS\Allgemein\[LabSamples2025.xlsx]Bioplastic'!E715)</f>
        <v/>
      </c>
      <c r="F715">
        <f>IF(ISBLANK('Q:\Abteilungsprojekte\eng\EngData\AOS\Allgemein\[LabSamples2025.xlsx]Bioplastic'!F715)," ",'Q:\Abteilungsprojekte\eng\EngData\AOS\Allgemein\[LabSamples2025.xlsx]Bioplastic'!F715)</f>
        <v/>
      </c>
      <c r="G715">
        <f>IF(ISBLANK('Q:\Abteilungsprojekte\eng\EngData\AOS\Allgemein\[LabSamples2025.xlsx]Bioplastic'!G715)," ",'Q:\Abteilungsprojekte\eng\EngData\AOS\Allgemein\[LabSamples2025.xlsx]Bioplastic'!G715)</f>
        <v/>
      </c>
      <c r="H715">
        <f>IF(ISBLANK('Q:\Abteilungsprojekte\eng\EngData\AOS\Allgemein\[LabSamples2025.xlsx]Bioplastic'!H715)," ",'Q:\Abteilungsprojekte\eng\EngData\AOS\Allgemein\[LabSamples2025.xlsx]Bioplastic'!H715)</f>
        <v/>
      </c>
    </row>
    <row r="716">
      <c r="A716">
        <f>IF(ISBLANK('Q:\Abteilungsprojekte\eng\EngData\AOS\Allgemein\[LabSamples2025.xlsx]Bioplastic'!A716)," ",'Q:\Abteilungsprojekte\eng\EngData\AOS\Allgemein\[LabSamples2025.xlsx]Bioplastic'!A716)</f>
        <v/>
      </c>
      <c r="B716">
        <f>IF(ISBLANK('Q:\Abteilungsprojekte\eng\EngData\AOS\Allgemein\[LabSamples2025.xlsx]Bioplastic'!B716)," ",'Q:\Abteilungsprojekte\eng\EngData\AOS\Allgemein\[LabSamples2025.xlsx]Bioplastic'!B716)</f>
        <v/>
      </c>
      <c r="C716">
        <f>IF(ISBLANK('Q:\Abteilungsprojekte\eng\EngData\AOS\Allgemein\[LabSamples2025.xlsx]Bioplastic'!C716)," ",'Q:\Abteilungsprojekte\eng\EngData\AOS\Allgemein\[LabSamples2025.xlsx]Bioplastic'!C716)</f>
        <v/>
      </c>
      <c r="D716">
        <f>IF(ISBLANK('Q:\Abteilungsprojekte\eng\EngData\AOS\Allgemein\[LabSamples2025.xlsx]Bioplastic'!D716)," ",'Q:\Abteilungsprojekte\eng\EngData\AOS\Allgemein\[LabSamples2025.xlsx]Bioplastic'!D716)</f>
        <v/>
      </c>
      <c r="E716">
        <f>IF(ISBLANK('Q:\Abteilungsprojekte\eng\EngData\AOS\Allgemein\[LabSamples2025.xlsx]Bioplastic'!E716)," ",'Q:\Abteilungsprojekte\eng\EngData\AOS\Allgemein\[LabSamples2025.xlsx]Bioplastic'!E716)</f>
        <v/>
      </c>
      <c r="F716">
        <f>IF(ISBLANK('Q:\Abteilungsprojekte\eng\EngData\AOS\Allgemein\[LabSamples2025.xlsx]Bioplastic'!F716)," ",'Q:\Abteilungsprojekte\eng\EngData\AOS\Allgemein\[LabSamples2025.xlsx]Bioplastic'!F716)</f>
        <v/>
      </c>
      <c r="G716">
        <f>IF(ISBLANK('Q:\Abteilungsprojekte\eng\EngData\AOS\Allgemein\[LabSamples2025.xlsx]Bioplastic'!G716)," ",'Q:\Abteilungsprojekte\eng\EngData\AOS\Allgemein\[LabSamples2025.xlsx]Bioplastic'!G716)</f>
        <v/>
      </c>
      <c r="H716">
        <f>IF(ISBLANK('Q:\Abteilungsprojekte\eng\EngData\AOS\Allgemein\[LabSamples2025.xlsx]Bioplastic'!H716)," ",'Q:\Abteilungsprojekte\eng\EngData\AOS\Allgemein\[LabSamples2025.xlsx]Bioplastic'!H716)</f>
        <v/>
      </c>
    </row>
    <row r="717">
      <c r="A717">
        <f>IF(ISBLANK('Q:\Abteilungsprojekte\eng\EngData\AOS\Allgemein\[LabSamples2025.xlsx]Bioplastic'!A717)," ",'Q:\Abteilungsprojekte\eng\EngData\AOS\Allgemein\[LabSamples2025.xlsx]Bioplastic'!A717)</f>
        <v/>
      </c>
      <c r="B717">
        <f>IF(ISBLANK('Q:\Abteilungsprojekte\eng\EngData\AOS\Allgemein\[LabSamples2025.xlsx]Bioplastic'!B717)," ",'Q:\Abteilungsprojekte\eng\EngData\AOS\Allgemein\[LabSamples2025.xlsx]Bioplastic'!B717)</f>
        <v/>
      </c>
      <c r="C717">
        <f>IF(ISBLANK('Q:\Abteilungsprojekte\eng\EngData\AOS\Allgemein\[LabSamples2025.xlsx]Bioplastic'!C717)," ",'Q:\Abteilungsprojekte\eng\EngData\AOS\Allgemein\[LabSamples2025.xlsx]Bioplastic'!C717)</f>
        <v/>
      </c>
      <c r="D717">
        <f>IF(ISBLANK('Q:\Abteilungsprojekte\eng\EngData\AOS\Allgemein\[LabSamples2025.xlsx]Bioplastic'!D717)," ",'Q:\Abteilungsprojekte\eng\EngData\AOS\Allgemein\[LabSamples2025.xlsx]Bioplastic'!D717)</f>
        <v/>
      </c>
      <c r="E717">
        <f>IF(ISBLANK('Q:\Abteilungsprojekte\eng\EngData\AOS\Allgemein\[LabSamples2025.xlsx]Bioplastic'!E717)," ",'Q:\Abteilungsprojekte\eng\EngData\AOS\Allgemein\[LabSamples2025.xlsx]Bioplastic'!E717)</f>
        <v/>
      </c>
      <c r="F717">
        <f>IF(ISBLANK('Q:\Abteilungsprojekte\eng\EngData\AOS\Allgemein\[LabSamples2025.xlsx]Bioplastic'!F717)," ",'Q:\Abteilungsprojekte\eng\EngData\AOS\Allgemein\[LabSamples2025.xlsx]Bioplastic'!F717)</f>
        <v/>
      </c>
      <c r="G717">
        <f>IF(ISBLANK('Q:\Abteilungsprojekte\eng\EngData\AOS\Allgemein\[LabSamples2025.xlsx]Bioplastic'!G717)," ",'Q:\Abteilungsprojekte\eng\EngData\AOS\Allgemein\[LabSamples2025.xlsx]Bioplastic'!G717)</f>
        <v/>
      </c>
      <c r="H717">
        <f>IF(ISBLANK('Q:\Abteilungsprojekte\eng\EngData\AOS\Allgemein\[LabSamples2025.xlsx]Bioplastic'!H717)," ",'Q:\Abteilungsprojekte\eng\EngData\AOS\Allgemein\[LabSamples2025.xlsx]Bioplastic'!H717)</f>
        <v/>
      </c>
    </row>
    <row r="718">
      <c r="A718">
        <f>IF(ISBLANK('Q:\Abteilungsprojekte\eng\EngData\AOS\Allgemein\[LabSamples2025.xlsx]Bioplastic'!A718)," ",'Q:\Abteilungsprojekte\eng\EngData\AOS\Allgemein\[LabSamples2025.xlsx]Bioplastic'!A718)</f>
        <v/>
      </c>
      <c r="B718">
        <f>IF(ISBLANK('Q:\Abteilungsprojekte\eng\EngData\AOS\Allgemein\[LabSamples2025.xlsx]Bioplastic'!B718)," ",'Q:\Abteilungsprojekte\eng\EngData\AOS\Allgemein\[LabSamples2025.xlsx]Bioplastic'!B718)</f>
        <v/>
      </c>
      <c r="C718">
        <f>IF(ISBLANK('Q:\Abteilungsprojekte\eng\EngData\AOS\Allgemein\[LabSamples2025.xlsx]Bioplastic'!C718)," ",'Q:\Abteilungsprojekte\eng\EngData\AOS\Allgemein\[LabSamples2025.xlsx]Bioplastic'!C718)</f>
        <v/>
      </c>
      <c r="D718">
        <f>IF(ISBLANK('Q:\Abteilungsprojekte\eng\EngData\AOS\Allgemein\[LabSamples2025.xlsx]Bioplastic'!D718)," ",'Q:\Abteilungsprojekte\eng\EngData\AOS\Allgemein\[LabSamples2025.xlsx]Bioplastic'!D718)</f>
        <v/>
      </c>
      <c r="E718">
        <f>IF(ISBLANK('Q:\Abteilungsprojekte\eng\EngData\AOS\Allgemein\[LabSamples2025.xlsx]Bioplastic'!E718)," ",'Q:\Abteilungsprojekte\eng\EngData\AOS\Allgemein\[LabSamples2025.xlsx]Bioplastic'!E718)</f>
        <v/>
      </c>
      <c r="F718">
        <f>IF(ISBLANK('Q:\Abteilungsprojekte\eng\EngData\AOS\Allgemein\[LabSamples2025.xlsx]Bioplastic'!F718)," ",'Q:\Abteilungsprojekte\eng\EngData\AOS\Allgemein\[LabSamples2025.xlsx]Bioplastic'!F718)</f>
        <v/>
      </c>
      <c r="G718">
        <f>IF(ISBLANK('Q:\Abteilungsprojekte\eng\EngData\AOS\Allgemein\[LabSamples2025.xlsx]Bioplastic'!G718)," ",'Q:\Abteilungsprojekte\eng\EngData\AOS\Allgemein\[LabSamples2025.xlsx]Bioplastic'!G718)</f>
        <v/>
      </c>
      <c r="H718">
        <f>IF(ISBLANK('Q:\Abteilungsprojekte\eng\EngData\AOS\Allgemein\[LabSamples2025.xlsx]Bioplastic'!H718)," ",'Q:\Abteilungsprojekte\eng\EngData\AOS\Allgemein\[LabSamples2025.xlsx]Bioplastic'!H718)</f>
        <v/>
      </c>
    </row>
    <row r="719">
      <c r="A719">
        <f>IF(ISBLANK('Q:\Abteilungsprojekte\eng\EngData\AOS\Allgemein\[LabSamples2025.xlsx]Bioplastic'!A719)," ",'Q:\Abteilungsprojekte\eng\EngData\AOS\Allgemein\[LabSamples2025.xlsx]Bioplastic'!A719)</f>
        <v/>
      </c>
      <c r="B719">
        <f>IF(ISBLANK('Q:\Abteilungsprojekte\eng\EngData\AOS\Allgemein\[LabSamples2025.xlsx]Bioplastic'!B719)," ",'Q:\Abteilungsprojekte\eng\EngData\AOS\Allgemein\[LabSamples2025.xlsx]Bioplastic'!B719)</f>
        <v/>
      </c>
      <c r="C719">
        <f>IF(ISBLANK('Q:\Abteilungsprojekte\eng\EngData\AOS\Allgemein\[LabSamples2025.xlsx]Bioplastic'!C719)," ",'Q:\Abteilungsprojekte\eng\EngData\AOS\Allgemein\[LabSamples2025.xlsx]Bioplastic'!C719)</f>
        <v/>
      </c>
      <c r="D719">
        <f>IF(ISBLANK('Q:\Abteilungsprojekte\eng\EngData\AOS\Allgemein\[LabSamples2025.xlsx]Bioplastic'!D719)," ",'Q:\Abteilungsprojekte\eng\EngData\AOS\Allgemein\[LabSamples2025.xlsx]Bioplastic'!D719)</f>
        <v/>
      </c>
      <c r="E719">
        <f>IF(ISBLANK('Q:\Abteilungsprojekte\eng\EngData\AOS\Allgemein\[LabSamples2025.xlsx]Bioplastic'!E719)," ",'Q:\Abteilungsprojekte\eng\EngData\AOS\Allgemein\[LabSamples2025.xlsx]Bioplastic'!E719)</f>
        <v/>
      </c>
      <c r="F719">
        <f>IF(ISBLANK('Q:\Abteilungsprojekte\eng\EngData\AOS\Allgemein\[LabSamples2025.xlsx]Bioplastic'!F719)," ",'Q:\Abteilungsprojekte\eng\EngData\AOS\Allgemein\[LabSamples2025.xlsx]Bioplastic'!F719)</f>
        <v/>
      </c>
      <c r="G719">
        <f>IF(ISBLANK('Q:\Abteilungsprojekte\eng\EngData\AOS\Allgemein\[LabSamples2025.xlsx]Bioplastic'!G719)," ",'Q:\Abteilungsprojekte\eng\EngData\AOS\Allgemein\[LabSamples2025.xlsx]Bioplastic'!G719)</f>
        <v/>
      </c>
      <c r="H719">
        <f>IF(ISBLANK('Q:\Abteilungsprojekte\eng\EngData\AOS\Allgemein\[LabSamples2025.xlsx]Bioplastic'!H719)," ",'Q:\Abteilungsprojekte\eng\EngData\AOS\Allgemein\[LabSamples2025.xlsx]Bioplastic'!H719)</f>
        <v/>
      </c>
    </row>
    <row r="720">
      <c r="A720">
        <f>IF(ISBLANK('Q:\Abteilungsprojekte\eng\EngData\AOS\Allgemein\[LabSamples2025.xlsx]Bioplastic'!A720)," ",'Q:\Abteilungsprojekte\eng\EngData\AOS\Allgemein\[LabSamples2025.xlsx]Bioplastic'!A720)</f>
        <v/>
      </c>
      <c r="B720">
        <f>IF(ISBLANK('Q:\Abteilungsprojekte\eng\EngData\AOS\Allgemein\[LabSamples2025.xlsx]Bioplastic'!B720)," ",'Q:\Abteilungsprojekte\eng\EngData\AOS\Allgemein\[LabSamples2025.xlsx]Bioplastic'!B720)</f>
        <v/>
      </c>
      <c r="C720">
        <f>IF(ISBLANK('Q:\Abteilungsprojekte\eng\EngData\AOS\Allgemein\[LabSamples2025.xlsx]Bioplastic'!C720)," ",'Q:\Abteilungsprojekte\eng\EngData\AOS\Allgemein\[LabSamples2025.xlsx]Bioplastic'!C720)</f>
        <v/>
      </c>
      <c r="D720">
        <f>IF(ISBLANK('Q:\Abteilungsprojekte\eng\EngData\AOS\Allgemein\[LabSamples2025.xlsx]Bioplastic'!D720)," ",'Q:\Abteilungsprojekte\eng\EngData\AOS\Allgemein\[LabSamples2025.xlsx]Bioplastic'!D720)</f>
        <v/>
      </c>
      <c r="E720">
        <f>IF(ISBLANK('Q:\Abteilungsprojekte\eng\EngData\AOS\Allgemein\[LabSamples2025.xlsx]Bioplastic'!E720)," ",'Q:\Abteilungsprojekte\eng\EngData\AOS\Allgemein\[LabSamples2025.xlsx]Bioplastic'!E720)</f>
        <v/>
      </c>
      <c r="F720">
        <f>IF(ISBLANK('Q:\Abteilungsprojekte\eng\EngData\AOS\Allgemein\[LabSamples2025.xlsx]Bioplastic'!F720)," ",'Q:\Abteilungsprojekte\eng\EngData\AOS\Allgemein\[LabSamples2025.xlsx]Bioplastic'!F720)</f>
        <v/>
      </c>
      <c r="G720">
        <f>IF(ISBLANK('Q:\Abteilungsprojekte\eng\EngData\AOS\Allgemein\[LabSamples2025.xlsx]Bioplastic'!G720)," ",'Q:\Abteilungsprojekte\eng\EngData\AOS\Allgemein\[LabSamples2025.xlsx]Bioplastic'!G720)</f>
        <v/>
      </c>
      <c r="H720">
        <f>IF(ISBLANK('Q:\Abteilungsprojekte\eng\EngData\AOS\Allgemein\[LabSamples2025.xlsx]Bioplastic'!H720)," ",'Q:\Abteilungsprojekte\eng\EngData\AOS\Allgemein\[LabSamples2025.xlsx]Bioplastic'!H720)</f>
        <v/>
      </c>
    </row>
    <row r="721">
      <c r="A721">
        <f>IF(ISBLANK('Q:\Abteilungsprojekte\eng\EngData\AOS\Allgemein\[LabSamples2025.xlsx]Bioplastic'!A721)," ",'Q:\Abteilungsprojekte\eng\EngData\AOS\Allgemein\[LabSamples2025.xlsx]Bioplastic'!A721)</f>
        <v/>
      </c>
      <c r="B721">
        <f>IF(ISBLANK('Q:\Abteilungsprojekte\eng\EngData\AOS\Allgemein\[LabSamples2025.xlsx]Bioplastic'!B721)," ",'Q:\Abteilungsprojekte\eng\EngData\AOS\Allgemein\[LabSamples2025.xlsx]Bioplastic'!B721)</f>
        <v/>
      </c>
      <c r="C721">
        <f>IF(ISBLANK('Q:\Abteilungsprojekte\eng\EngData\AOS\Allgemein\[LabSamples2025.xlsx]Bioplastic'!C721)," ",'Q:\Abteilungsprojekte\eng\EngData\AOS\Allgemein\[LabSamples2025.xlsx]Bioplastic'!C721)</f>
        <v/>
      </c>
      <c r="D721">
        <f>IF(ISBLANK('Q:\Abteilungsprojekte\eng\EngData\AOS\Allgemein\[LabSamples2025.xlsx]Bioplastic'!D721)," ",'Q:\Abteilungsprojekte\eng\EngData\AOS\Allgemein\[LabSamples2025.xlsx]Bioplastic'!D721)</f>
        <v/>
      </c>
      <c r="E721">
        <f>IF(ISBLANK('Q:\Abteilungsprojekte\eng\EngData\AOS\Allgemein\[LabSamples2025.xlsx]Bioplastic'!E721)," ",'Q:\Abteilungsprojekte\eng\EngData\AOS\Allgemein\[LabSamples2025.xlsx]Bioplastic'!E721)</f>
        <v/>
      </c>
      <c r="F721">
        <f>IF(ISBLANK('Q:\Abteilungsprojekte\eng\EngData\AOS\Allgemein\[LabSamples2025.xlsx]Bioplastic'!F721)," ",'Q:\Abteilungsprojekte\eng\EngData\AOS\Allgemein\[LabSamples2025.xlsx]Bioplastic'!F721)</f>
        <v/>
      </c>
      <c r="G721">
        <f>IF(ISBLANK('Q:\Abteilungsprojekte\eng\EngData\AOS\Allgemein\[LabSamples2025.xlsx]Bioplastic'!G721)," ",'Q:\Abteilungsprojekte\eng\EngData\AOS\Allgemein\[LabSamples2025.xlsx]Bioplastic'!G721)</f>
        <v/>
      </c>
      <c r="H721">
        <f>IF(ISBLANK('Q:\Abteilungsprojekte\eng\EngData\AOS\Allgemein\[LabSamples2025.xlsx]Bioplastic'!H721)," ",'Q:\Abteilungsprojekte\eng\EngData\AOS\Allgemein\[LabSamples2025.xlsx]Bioplastic'!H721)</f>
        <v/>
      </c>
    </row>
    <row r="722">
      <c r="A722">
        <f>IF(ISBLANK('Q:\Abteilungsprojekte\eng\EngData\AOS\Allgemein\[LabSamples2025.xlsx]Bioplastic'!A722)," ",'Q:\Abteilungsprojekte\eng\EngData\AOS\Allgemein\[LabSamples2025.xlsx]Bioplastic'!A722)</f>
        <v/>
      </c>
      <c r="B722">
        <f>IF(ISBLANK('Q:\Abteilungsprojekte\eng\EngData\AOS\Allgemein\[LabSamples2025.xlsx]Bioplastic'!B722)," ",'Q:\Abteilungsprojekte\eng\EngData\AOS\Allgemein\[LabSamples2025.xlsx]Bioplastic'!B722)</f>
        <v/>
      </c>
      <c r="C722">
        <f>IF(ISBLANK('Q:\Abteilungsprojekte\eng\EngData\AOS\Allgemein\[LabSamples2025.xlsx]Bioplastic'!C722)," ",'Q:\Abteilungsprojekte\eng\EngData\AOS\Allgemein\[LabSamples2025.xlsx]Bioplastic'!C722)</f>
        <v/>
      </c>
      <c r="D722">
        <f>IF(ISBLANK('Q:\Abteilungsprojekte\eng\EngData\AOS\Allgemein\[LabSamples2025.xlsx]Bioplastic'!D722)," ",'Q:\Abteilungsprojekte\eng\EngData\AOS\Allgemein\[LabSamples2025.xlsx]Bioplastic'!D722)</f>
        <v/>
      </c>
      <c r="E722">
        <f>IF(ISBLANK('Q:\Abteilungsprojekte\eng\EngData\AOS\Allgemein\[LabSamples2025.xlsx]Bioplastic'!E722)," ",'Q:\Abteilungsprojekte\eng\EngData\AOS\Allgemein\[LabSamples2025.xlsx]Bioplastic'!E722)</f>
        <v/>
      </c>
      <c r="F722">
        <f>IF(ISBLANK('Q:\Abteilungsprojekte\eng\EngData\AOS\Allgemein\[LabSamples2025.xlsx]Bioplastic'!F722)," ",'Q:\Abteilungsprojekte\eng\EngData\AOS\Allgemein\[LabSamples2025.xlsx]Bioplastic'!F722)</f>
        <v/>
      </c>
      <c r="G722">
        <f>IF(ISBLANK('Q:\Abteilungsprojekte\eng\EngData\AOS\Allgemein\[LabSamples2025.xlsx]Bioplastic'!G722)," ",'Q:\Abteilungsprojekte\eng\EngData\AOS\Allgemein\[LabSamples2025.xlsx]Bioplastic'!G722)</f>
        <v/>
      </c>
      <c r="H722">
        <f>IF(ISBLANK('Q:\Abteilungsprojekte\eng\EngData\AOS\Allgemein\[LabSamples2025.xlsx]Bioplastic'!H722)," ",'Q:\Abteilungsprojekte\eng\EngData\AOS\Allgemein\[LabSamples2025.xlsx]Bioplastic'!H722)</f>
        <v/>
      </c>
    </row>
    <row r="723">
      <c r="A723">
        <f>IF(ISBLANK('Q:\Abteilungsprojekte\eng\EngData\AOS\Allgemein\[LabSamples2025.xlsx]Bioplastic'!A723)," ",'Q:\Abteilungsprojekte\eng\EngData\AOS\Allgemein\[LabSamples2025.xlsx]Bioplastic'!A723)</f>
        <v/>
      </c>
      <c r="B723">
        <f>IF(ISBLANK('Q:\Abteilungsprojekte\eng\EngData\AOS\Allgemein\[LabSamples2025.xlsx]Bioplastic'!B723)," ",'Q:\Abteilungsprojekte\eng\EngData\AOS\Allgemein\[LabSamples2025.xlsx]Bioplastic'!B723)</f>
        <v/>
      </c>
      <c r="C723">
        <f>IF(ISBLANK('Q:\Abteilungsprojekte\eng\EngData\AOS\Allgemein\[LabSamples2025.xlsx]Bioplastic'!C723)," ",'Q:\Abteilungsprojekte\eng\EngData\AOS\Allgemein\[LabSamples2025.xlsx]Bioplastic'!C723)</f>
        <v/>
      </c>
      <c r="D723">
        <f>IF(ISBLANK('Q:\Abteilungsprojekte\eng\EngData\AOS\Allgemein\[LabSamples2025.xlsx]Bioplastic'!D723)," ",'Q:\Abteilungsprojekte\eng\EngData\AOS\Allgemein\[LabSamples2025.xlsx]Bioplastic'!D723)</f>
        <v/>
      </c>
      <c r="E723">
        <f>IF(ISBLANK('Q:\Abteilungsprojekte\eng\EngData\AOS\Allgemein\[LabSamples2025.xlsx]Bioplastic'!E723)," ",'Q:\Abteilungsprojekte\eng\EngData\AOS\Allgemein\[LabSamples2025.xlsx]Bioplastic'!E723)</f>
        <v/>
      </c>
      <c r="F723">
        <f>IF(ISBLANK('Q:\Abteilungsprojekte\eng\EngData\AOS\Allgemein\[LabSamples2025.xlsx]Bioplastic'!F723)," ",'Q:\Abteilungsprojekte\eng\EngData\AOS\Allgemein\[LabSamples2025.xlsx]Bioplastic'!F723)</f>
        <v/>
      </c>
      <c r="G723">
        <f>IF(ISBLANK('Q:\Abteilungsprojekte\eng\EngData\AOS\Allgemein\[LabSamples2025.xlsx]Bioplastic'!G723)," ",'Q:\Abteilungsprojekte\eng\EngData\AOS\Allgemein\[LabSamples2025.xlsx]Bioplastic'!G723)</f>
        <v/>
      </c>
      <c r="H723">
        <f>IF(ISBLANK('Q:\Abteilungsprojekte\eng\EngData\AOS\Allgemein\[LabSamples2025.xlsx]Bioplastic'!H723)," ",'Q:\Abteilungsprojekte\eng\EngData\AOS\Allgemein\[LabSamples2025.xlsx]Bioplastic'!H723)</f>
        <v/>
      </c>
    </row>
    <row r="724">
      <c r="A724">
        <f>IF(ISBLANK('Q:\Abteilungsprojekte\eng\EngData\AOS\Allgemein\[LabSamples2025.xlsx]Bioplastic'!A724)," ",'Q:\Abteilungsprojekte\eng\EngData\AOS\Allgemein\[LabSamples2025.xlsx]Bioplastic'!A724)</f>
        <v/>
      </c>
      <c r="B724">
        <f>IF(ISBLANK('Q:\Abteilungsprojekte\eng\EngData\AOS\Allgemein\[LabSamples2025.xlsx]Bioplastic'!B724)," ",'Q:\Abteilungsprojekte\eng\EngData\AOS\Allgemein\[LabSamples2025.xlsx]Bioplastic'!B724)</f>
        <v/>
      </c>
      <c r="C724">
        <f>IF(ISBLANK('Q:\Abteilungsprojekte\eng\EngData\AOS\Allgemein\[LabSamples2025.xlsx]Bioplastic'!C724)," ",'Q:\Abteilungsprojekte\eng\EngData\AOS\Allgemein\[LabSamples2025.xlsx]Bioplastic'!C724)</f>
        <v/>
      </c>
      <c r="D724">
        <f>IF(ISBLANK('Q:\Abteilungsprojekte\eng\EngData\AOS\Allgemein\[LabSamples2025.xlsx]Bioplastic'!D724)," ",'Q:\Abteilungsprojekte\eng\EngData\AOS\Allgemein\[LabSamples2025.xlsx]Bioplastic'!D724)</f>
        <v/>
      </c>
      <c r="E724">
        <f>IF(ISBLANK('Q:\Abteilungsprojekte\eng\EngData\AOS\Allgemein\[LabSamples2025.xlsx]Bioplastic'!E724)," ",'Q:\Abteilungsprojekte\eng\EngData\AOS\Allgemein\[LabSamples2025.xlsx]Bioplastic'!E724)</f>
        <v/>
      </c>
      <c r="F724">
        <f>IF(ISBLANK('Q:\Abteilungsprojekte\eng\EngData\AOS\Allgemein\[LabSamples2025.xlsx]Bioplastic'!F724)," ",'Q:\Abteilungsprojekte\eng\EngData\AOS\Allgemein\[LabSamples2025.xlsx]Bioplastic'!F724)</f>
        <v/>
      </c>
      <c r="G724">
        <f>IF(ISBLANK('Q:\Abteilungsprojekte\eng\EngData\AOS\Allgemein\[LabSamples2025.xlsx]Bioplastic'!G724)," ",'Q:\Abteilungsprojekte\eng\EngData\AOS\Allgemein\[LabSamples2025.xlsx]Bioplastic'!G724)</f>
        <v/>
      </c>
      <c r="H724">
        <f>IF(ISBLANK('Q:\Abteilungsprojekte\eng\EngData\AOS\Allgemein\[LabSamples2025.xlsx]Bioplastic'!H724)," ",'Q:\Abteilungsprojekte\eng\EngData\AOS\Allgemein\[LabSamples2025.xlsx]Bioplastic'!H724)</f>
        <v/>
      </c>
    </row>
    <row r="725">
      <c r="A725">
        <f>IF(ISBLANK('Q:\Abteilungsprojekte\eng\EngData\AOS\Allgemein\[LabSamples2025.xlsx]Bioplastic'!A725)," ",'Q:\Abteilungsprojekte\eng\EngData\AOS\Allgemein\[LabSamples2025.xlsx]Bioplastic'!A725)</f>
        <v/>
      </c>
      <c r="B725">
        <f>IF(ISBLANK('Q:\Abteilungsprojekte\eng\EngData\AOS\Allgemein\[LabSamples2025.xlsx]Bioplastic'!B725)," ",'Q:\Abteilungsprojekte\eng\EngData\AOS\Allgemein\[LabSamples2025.xlsx]Bioplastic'!B725)</f>
        <v/>
      </c>
      <c r="C725">
        <f>IF(ISBLANK('Q:\Abteilungsprojekte\eng\EngData\AOS\Allgemein\[LabSamples2025.xlsx]Bioplastic'!C725)," ",'Q:\Abteilungsprojekte\eng\EngData\AOS\Allgemein\[LabSamples2025.xlsx]Bioplastic'!C725)</f>
        <v/>
      </c>
      <c r="D725">
        <f>IF(ISBLANK('Q:\Abteilungsprojekte\eng\EngData\AOS\Allgemein\[LabSamples2025.xlsx]Bioplastic'!D725)," ",'Q:\Abteilungsprojekte\eng\EngData\AOS\Allgemein\[LabSamples2025.xlsx]Bioplastic'!D725)</f>
        <v/>
      </c>
      <c r="E725">
        <f>IF(ISBLANK('Q:\Abteilungsprojekte\eng\EngData\AOS\Allgemein\[LabSamples2025.xlsx]Bioplastic'!E725)," ",'Q:\Abteilungsprojekte\eng\EngData\AOS\Allgemein\[LabSamples2025.xlsx]Bioplastic'!E725)</f>
        <v/>
      </c>
      <c r="F725">
        <f>IF(ISBLANK('Q:\Abteilungsprojekte\eng\EngData\AOS\Allgemein\[LabSamples2025.xlsx]Bioplastic'!F725)," ",'Q:\Abteilungsprojekte\eng\EngData\AOS\Allgemein\[LabSamples2025.xlsx]Bioplastic'!F725)</f>
        <v/>
      </c>
      <c r="G725">
        <f>IF(ISBLANK('Q:\Abteilungsprojekte\eng\EngData\AOS\Allgemein\[LabSamples2025.xlsx]Bioplastic'!G725)," ",'Q:\Abteilungsprojekte\eng\EngData\AOS\Allgemein\[LabSamples2025.xlsx]Bioplastic'!G725)</f>
        <v/>
      </c>
      <c r="H725">
        <f>IF(ISBLANK('Q:\Abteilungsprojekte\eng\EngData\AOS\Allgemein\[LabSamples2025.xlsx]Bioplastic'!H725)," ",'Q:\Abteilungsprojekte\eng\EngData\AOS\Allgemein\[LabSamples2025.xlsx]Bioplastic'!H725)</f>
        <v/>
      </c>
    </row>
    <row r="726">
      <c r="A726">
        <f>IF(ISBLANK('Q:\Abteilungsprojekte\eng\EngData\AOS\Allgemein\[LabSamples2025.xlsx]Bioplastic'!A726)," ",'Q:\Abteilungsprojekte\eng\EngData\AOS\Allgemein\[LabSamples2025.xlsx]Bioplastic'!A726)</f>
        <v/>
      </c>
      <c r="B726">
        <f>IF(ISBLANK('Q:\Abteilungsprojekte\eng\EngData\AOS\Allgemein\[LabSamples2025.xlsx]Bioplastic'!B726)," ",'Q:\Abteilungsprojekte\eng\EngData\AOS\Allgemein\[LabSamples2025.xlsx]Bioplastic'!B726)</f>
        <v/>
      </c>
      <c r="C726">
        <f>IF(ISBLANK('Q:\Abteilungsprojekte\eng\EngData\AOS\Allgemein\[LabSamples2025.xlsx]Bioplastic'!C726)," ",'Q:\Abteilungsprojekte\eng\EngData\AOS\Allgemein\[LabSamples2025.xlsx]Bioplastic'!C726)</f>
        <v/>
      </c>
      <c r="D726">
        <f>IF(ISBLANK('Q:\Abteilungsprojekte\eng\EngData\AOS\Allgemein\[LabSamples2025.xlsx]Bioplastic'!D726)," ",'Q:\Abteilungsprojekte\eng\EngData\AOS\Allgemein\[LabSamples2025.xlsx]Bioplastic'!D726)</f>
        <v/>
      </c>
      <c r="E726">
        <f>IF(ISBLANK('Q:\Abteilungsprojekte\eng\EngData\AOS\Allgemein\[LabSamples2025.xlsx]Bioplastic'!E726)," ",'Q:\Abteilungsprojekte\eng\EngData\AOS\Allgemein\[LabSamples2025.xlsx]Bioplastic'!E726)</f>
        <v/>
      </c>
      <c r="F726">
        <f>IF(ISBLANK('Q:\Abteilungsprojekte\eng\EngData\AOS\Allgemein\[LabSamples2025.xlsx]Bioplastic'!F726)," ",'Q:\Abteilungsprojekte\eng\EngData\AOS\Allgemein\[LabSamples2025.xlsx]Bioplastic'!F726)</f>
        <v/>
      </c>
      <c r="G726">
        <f>IF(ISBLANK('Q:\Abteilungsprojekte\eng\EngData\AOS\Allgemein\[LabSamples2025.xlsx]Bioplastic'!G726)," ",'Q:\Abteilungsprojekte\eng\EngData\AOS\Allgemein\[LabSamples2025.xlsx]Bioplastic'!G726)</f>
        <v/>
      </c>
      <c r="H726">
        <f>IF(ISBLANK('Q:\Abteilungsprojekte\eng\EngData\AOS\Allgemein\[LabSamples2025.xlsx]Bioplastic'!H726)," ",'Q:\Abteilungsprojekte\eng\EngData\AOS\Allgemein\[LabSamples2025.xlsx]Bioplastic'!H726)</f>
        <v/>
      </c>
    </row>
    <row r="727">
      <c r="A727">
        <f>IF(ISBLANK('Q:\Abteilungsprojekte\eng\EngData\AOS\Allgemein\[LabSamples2025.xlsx]Bioplastic'!A727)," ",'Q:\Abteilungsprojekte\eng\EngData\AOS\Allgemein\[LabSamples2025.xlsx]Bioplastic'!A727)</f>
        <v/>
      </c>
      <c r="B727">
        <f>IF(ISBLANK('Q:\Abteilungsprojekte\eng\EngData\AOS\Allgemein\[LabSamples2025.xlsx]Bioplastic'!B727)," ",'Q:\Abteilungsprojekte\eng\EngData\AOS\Allgemein\[LabSamples2025.xlsx]Bioplastic'!B727)</f>
        <v/>
      </c>
      <c r="C727">
        <f>IF(ISBLANK('Q:\Abteilungsprojekte\eng\EngData\AOS\Allgemein\[LabSamples2025.xlsx]Bioplastic'!C727)," ",'Q:\Abteilungsprojekte\eng\EngData\AOS\Allgemein\[LabSamples2025.xlsx]Bioplastic'!C727)</f>
        <v/>
      </c>
      <c r="D727">
        <f>IF(ISBLANK('Q:\Abteilungsprojekte\eng\EngData\AOS\Allgemein\[LabSamples2025.xlsx]Bioplastic'!D727)," ",'Q:\Abteilungsprojekte\eng\EngData\AOS\Allgemein\[LabSamples2025.xlsx]Bioplastic'!D727)</f>
        <v/>
      </c>
      <c r="E727">
        <f>IF(ISBLANK('Q:\Abteilungsprojekte\eng\EngData\AOS\Allgemein\[LabSamples2025.xlsx]Bioplastic'!E727)," ",'Q:\Abteilungsprojekte\eng\EngData\AOS\Allgemein\[LabSamples2025.xlsx]Bioplastic'!E727)</f>
        <v/>
      </c>
      <c r="F727">
        <f>IF(ISBLANK('Q:\Abteilungsprojekte\eng\EngData\AOS\Allgemein\[LabSamples2025.xlsx]Bioplastic'!F727)," ",'Q:\Abteilungsprojekte\eng\EngData\AOS\Allgemein\[LabSamples2025.xlsx]Bioplastic'!F727)</f>
        <v/>
      </c>
      <c r="G727">
        <f>IF(ISBLANK('Q:\Abteilungsprojekte\eng\EngData\AOS\Allgemein\[LabSamples2025.xlsx]Bioplastic'!G727)," ",'Q:\Abteilungsprojekte\eng\EngData\AOS\Allgemein\[LabSamples2025.xlsx]Bioplastic'!G727)</f>
        <v/>
      </c>
      <c r="H727">
        <f>IF(ISBLANK('Q:\Abteilungsprojekte\eng\EngData\AOS\Allgemein\[LabSamples2025.xlsx]Bioplastic'!H727)," ",'Q:\Abteilungsprojekte\eng\EngData\AOS\Allgemein\[LabSamples2025.xlsx]Bioplastic'!H727)</f>
        <v/>
      </c>
    </row>
    <row r="728">
      <c r="A728">
        <f>IF(ISBLANK('Q:\Abteilungsprojekte\eng\EngData\AOS\Allgemein\[LabSamples2025.xlsx]Bioplastic'!A728)," ",'Q:\Abteilungsprojekte\eng\EngData\AOS\Allgemein\[LabSamples2025.xlsx]Bioplastic'!A728)</f>
        <v/>
      </c>
      <c r="B728">
        <f>IF(ISBLANK('Q:\Abteilungsprojekte\eng\EngData\AOS\Allgemein\[LabSamples2025.xlsx]Bioplastic'!B728)," ",'Q:\Abteilungsprojekte\eng\EngData\AOS\Allgemein\[LabSamples2025.xlsx]Bioplastic'!B728)</f>
        <v/>
      </c>
      <c r="C728">
        <f>IF(ISBLANK('Q:\Abteilungsprojekte\eng\EngData\AOS\Allgemein\[LabSamples2025.xlsx]Bioplastic'!C728)," ",'Q:\Abteilungsprojekte\eng\EngData\AOS\Allgemein\[LabSamples2025.xlsx]Bioplastic'!C728)</f>
        <v/>
      </c>
      <c r="D728">
        <f>IF(ISBLANK('Q:\Abteilungsprojekte\eng\EngData\AOS\Allgemein\[LabSamples2025.xlsx]Bioplastic'!D728)," ",'Q:\Abteilungsprojekte\eng\EngData\AOS\Allgemein\[LabSamples2025.xlsx]Bioplastic'!D728)</f>
        <v/>
      </c>
      <c r="E728">
        <f>IF(ISBLANK('Q:\Abteilungsprojekte\eng\EngData\AOS\Allgemein\[LabSamples2025.xlsx]Bioplastic'!E728)," ",'Q:\Abteilungsprojekte\eng\EngData\AOS\Allgemein\[LabSamples2025.xlsx]Bioplastic'!E728)</f>
        <v/>
      </c>
      <c r="F728">
        <f>IF(ISBLANK('Q:\Abteilungsprojekte\eng\EngData\AOS\Allgemein\[LabSamples2025.xlsx]Bioplastic'!F728)," ",'Q:\Abteilungsprojekte\eng\EngData\AOS\Allgemein\[LabSamples2025.xlsx]Bioplastic'!F728)</f>
        <v/>
      </c>
      <c r="G728">
        <f>IF(ISBLANK('Q:\Abteilungsprojekte\eng\EngData\AOS\Allgemein\[LabSamples2025.xlsx]Bioplastic'!G728)," ",'Q:\Abteilungsprojekte\eng\EngData\AOS\Allgemein\[LabSamples2025.xlsx]Bioplastic'!G728)</f>
        <v/>
      </c>
      <c r="H728">
        <f>IF(ISBLANK('Q:\Abteilungsprojekte\eng\EngData\AOS\Allgemein\[LabSamples2025.xlsx]Bioplastic'!H728)," ",'Q:\Abteilungsprojekte\eng\EngData\AOS\Allgemein\[LabSamples2025.xlsx]Bioplastic'!H728)</f>
        <v/>
      </c>
    </row>
    <row r="729">
      <c r="A729">
        <f>IF(ISBLANK('Q:\Abteilungsprojekte\eng\EngData\AOS\Allgemein\[LabSamples2025.xlsx]Bioplastic'!A729)," ",'Q:\Abteilungsprojekte\eng\EngData\AOS\Allgemein\[LabSamples2025.xlsx]Bioplastic'!A729)</f>
        <v/>
      </c>
      <c r="B729">
        <f>IF(ISBLANK('Q:\Abteilungsprojekte\eng\EngData\AOS\Allgemein\[LabSamples2025.xlsx]Bioplastic'!B729)," ",'Q:\Abteilungsprojekte\eng\EngData\AOS\Allgemein\[LabSamples2025.xlsx]Bioplastic'!B729)</f>
        <v/>
      </c>
      <c r="C729">
        <f>IF(ISBLANK('Q:\Abteilungsprojekte\eng\EngData\AOS\Allgemein\[LabSamples2025.xlsx]Bioplastic'!C729)," ",'Q:\Abteilungsprojekte\eng\EngData\AOS\Allgemein\[LabSamples2025.xlsx]Bioplastic'!C729)</f>
        <v/>
      </c>
      <c r="D729">
        <f>IF(ISBLANK('Q:\Abteilungsprojekte\eng\EngData\AOS\Allgemein\[LabSamples2025.xlsx]Bioplastic'!D729)," ",'Q:\Abteilungsprojekte\eng\EngData\AOS\Allgemein\[LabSamples2025.xlsx]Bioplastic'!D729)</f>
        <v/>
      </c>
      <c r="E729">
        <f>IF(ISBLANK('Q:\Abteilungsprojekte\eng\EngData\AOS\Allgemein\[LabSamples2025.xlsx]Bioplastic'!E729)," ",'Q:\Abteilungsprojekte\eng\EngData\AOS\Allgemein\[LabSamples2025.xlsx]Bioplastic'!E729)</f>
        <v/>
      </c>
      <c r="F729">
        <f>IF(ISBLANK('Q:\Abteilungsprojekte\eng\EngData\AOS\Allgemein\[LabSamples2025.xlsx]Bioplastic'!F729)," ",'Q:\Abteilungsprojekte\eng\EngData\AOS\Allgemein\[LabSamples2025.xlsx]Bioplastic'!F729)</f>
        <v/>
      </c>
      <c r="G729">
        <f>IF(ISBLANK('Q:\Abteilungsprojekte\eng\EngData\AOS\Allgemein\[LabSamples2025.xlsx]Bioplastic'!G729)," ",'Q:\Abteilungsprojekte\eng\EngData\AOS\Allgemein\[LabSamples2025.xlsx]Bioplastic'!G729)</f>
        <v/>
      </c>
      <c r="H729">
        <f>IF(ISBLANK('Q:\Abteilungsprojekte\eng\EngData\AOS\Allgemein\[LabSamples2025.xlsx]Bioplastic'!H729)," ",'Q:\Abteilungsprojekte\eng\EngData\AOS\Allgemein\[LabSamples2025.xlsx]Bioplastic'!H729)</f>
        <v/>
      </c>
    </row>
    <row r="730">
      <c r="A730">
        <f>IF(ISBLANK('Q:\Abteilungsprojekte\eng\EngData\AOS\Allgemein\[LabSamples2025.xlsx]Bioplastic'!A730)," ",'Q:\Abteilungsprojekte\eng\EngData\AOS\Allgemein\[LabSamples2025.xlsx]Bioplastic'!A730)</f>
        <v/>
      </c>
      <c r="B730">
        <f>IF(ISBLANK('Q:\Abteilungsprojekte\eng\EngData\AOS\Allgemein\[LabSamples2025.xlsx]Bioplastic'!B730)," ",'Q:\Abteilungsprojekte\eng\EngData\AOS\Allgemein\[LabSamples2025.xlsx]Bioplastic'!B730)</f>
        <v/>
      </c>
      <c r="C730">
        <f>IF(ISBLANK('Q:\Abteilungsprojekte\eng\EngData\AOS\Allgemein\[LabSamples2025.xlsx]Bioplastic'!C730)," ",'Q:\Abteilungsprojekte\eng\EngData\AOS\Allgemein\[LabSamples2025.xlsx]Bioplastic'!C730)</f>
        <v/>
      </c>
      <c r="D730">
        <f>IF(ISBLANK('Q:\Abteilungsprojekte\eng\EngData\AOS\Allgemein\[LabSamples2025.xlsx]Bioplastic'!D730)," ",'Q:\Abteilungsprojekte\eng\EngData\AOS\Allgemein\[LabSamples2025.xlsx]Bioplastic'!D730)</f>
        <v/>
      </c>
      <c r="E730">
        <f>IF(ISBLANK('Q:\Abteilungsprojekte\eng\EngData\AOS\Allgemein\[LabSamples2025.xlsx]Bioplastic'!E730)," ",'Q:\Abteilungsprojekte\eng\EngData\AOS\Allgemein\[LabSamples2025.xlsx]Bioplastic'!E730)</f>
        <v/>
      </c>
      <c r="F730">
        <f>IF(ISBLANK('Q:\Abteilungsprojekte\eng\EngData\AOS\Allgemein\[LabSamples2025.xlsx]Bioplastic'!F730)," ",'Q:\Abteilungsprojekte\eng\EngData\AOS\Allgemein\[LabSamples2025.xlsx]Bioplastic'!F730)</f>
        <v/>
      </c>
      <c r="G730">
        <f>IF(ISBLANK('Q:\Abteilungsprojekte\eng\EngData\AOS\Allgemein\[LabSamples2025.xlsx]Bioplastic'!G730)," ",'Q:\Abteilungsprojekte\eng\EngData\AOS\Allgemein\[LabSamples2025.xlsx]Bioplastic'!G730)</f>
        <v/>
      </c>
      <c r="H730">
        <f>IF(ISBLANK('Q:\Abteilungsprojekte\eng\EngData\AOS\Allgemein\[LabSamples2025.xlsx]Bioplastic'!H730)," ",'Q:\Abteilungsprojekte\eng\EngData\AOS\Allgemein\[LabSamples2025.xlsx]Bioplastic'!H730)</f>
        <v/>
      </c>
    </row>
    <row r="731">
      <c r="A731">
        <f>IF(ISBLANK('Q:\Abteilungsprojekte\eng\EngData\AOS\Allgemein\[LabSamples2025.xlsx]Bioplastic'!A731)," ",'Q:\Abteilungsprojekte\eng\EngData\AOS\Allgemein\[LabSamples2025.xlsx]Bioplastic'!A731)</f>
        <v/>
      </c>
      <c r="B731">
        <f>IF(ISBLANK('Q:\Abteilungsprojekte\eng\EngData\AOS\Allgemein\[LabSamples2025.xlsx]Bioplastic'!B731)," ",'Q:\Abteilungsprojekte\eng\EngData\AOS\Allgemein\[LabSamples2025.xlsx]Bioplastic'!B731)</f>
        <v/>
      </c>
      <c r="C731">
        <f>IF(ISBLANK('Q:\Abteilungsprojekte\eng\EngData\AOS\Allgemein\[LabSamples2025.xlsx]Bioplastic'!C731)," ",'Q:\Abteilungsprojekte\eng\EngData\AOS\Allgemein\[LabSamples2025.xlsx]Bioplastic'!C731)</f>
        <v/>
      </c>
      <c r="D731">
        <f>IF(ISBLANK('Q:\Abteilungsprojekte\eng\EngData\AOS\Allgemein\[LabSamples2025.xlsx]Bioplastic'!D731)," ",'Q:\Abteilungsprojekte\eng\EngData\AOS\Allgemein\[LabSamples2025.xlsx]Bioplastic'!D731)</f>
        <v/>
      </c>
      <c r="E731">
        <f>IF(ISBLANK('Q:\Abteilungsprojekte\eng\EngData\AOS\Allgemein\[LabSamples2025.xlsx]Bioplastic'!E731)," ",'Q:\Abteilungsprojekte\eng\EngData\AOS\Allgemein\[LabSamples2025.xlsx]Bioplastic'!E731)</f>
        <v/>
      </c>
      <c r="F731">
        <f>IF(ISBLANK('Q:\Abteilungsprojekte\eng\EngData\AOS\Allgemein\[LabSamples2025.xlsx]Bioplastic'!F731)," ",'Q:\Abteilungsprojekte\eng\EngData\AOS\Allgemein\[LabSamples2025.xlsx]Bioplastic'!F731)</f>
        <v/>
      </c>
      <c r="G731">
        <f>IF(ISBLANK('Q:\Abteilungsprojekte\eng\EngData\AOS\Allgemein\[LabSamples2025.xlsx]Bioplastic'!G731)," ",'Q:\Abteilungsprojekte\eng\EngData\AOS\Allgemein\[LabSamples2025.xlsx]Bioplastic'!G731)</f>
        <v/>
      </c>
      <c r="H731">
        <f>IF(ISBLANK('Q:\Abteilungsprojekte\eng\EngData\AOS\Allgemein\[LabSamples2025.xlsx]Bioplastic'!H731)," ",'Q:\Abteilungsprojekte\eng\EngData\AOS\Allgemein\[LabSamples2025.xlsx]Bioplastic'!H731)</f>
        <v/>
      </c>
    </row>
    <row r="732">
      <c r="A732">
        <f>IF(ISBLANK('Q:\Abteilungsprojekte\eng\EngData\AOS\Allgemein\[LabSamples2025.xlsx]Bioplastic'!A732)," ",'Q:\Abteilungsprojekte\eng\EngData\AOS\Allgemein\[LabSamples2025.xlsx]Bioplastic'!A732)</f>
        <v/>
      </c>
      <c r="B732">
        <f>IF(ISBLANK('Q:\Abteilungsprojekte\eng\EngData\AOS\Allgemein\[LabSamples2025.xlsx]Bioplastic'!B732)," ",'Q:\Abteilungsprojekte\eng\EngData\AOS\Allgemein\[LabSamples2025.xlsx]Bioplastic'!B732)</f>
        <v/>
      </c>
      <c r="C732">
        <f>IF(ISBLANK('Q:\Abteilungsprojekte\eng\EngData\AOS\Allgemein\[LabSamples2025.xlsx]Bioplastic'!C732)," ",'Q:\Abteilungsprojekte\eng\EngData\AOS\Allgemein\[LabSamples2025.xlsx]Bioplastic'!C732)</f>
        <v/>
      </c>
      <c r="D732">
        <f>IF(ISBLANK('Q:\Abteilungsprojekte\eng\EngData\AOS\Allgemein\[LabSamples2025.xlsx]Bioplastic'!D732)," ",'Q:\Abteilungsprojekte\eng\EngData\AOS\Allgemein\[LabSamples2025.xlsx]Bioplastic'!D732)</f>
        <v/>
      </c>
      <c r="E732">
        <f>IF(ISBLANK('Q:\Abteilungsprojekte\eng\EngData\AOS\Allgemein\[LabSamples2025.xlsx]Bioplastic'!E732)," ",'Q:\Abteilungsprojekte\eng\EngData\AOS\Allgemein\[LabSamples2025.xlsx]Bioplastic'!E732)</f>
        <v/>
      </c>
      <c r="F732">
        <f>IF(ISBLANK('Q:\Abteilungsprojekte\eng\EngData\AOS\Allgemein\[LabSamples2025.xlsx]Bioplastic'!F732)," ",'Q:\Abteilungsprojekte\eng\EngData\AOS\Allgemein\[LabSamples2025.xlsx]Bioplastic'!F732)</f>
        <v/>
      </c>
      <c r="G732">
        <f>IF(ISBLANK('Q:\Abteilungsprojekte\eng\EngData\AOS\Allgemein\[LabSamples2025.xlsx]Bioplastic'!G732)," ",'Q:\Abteilungsprojekte\eng\EngData\AOS\Allgemein\[LabSamples2025.xlsx]Bioplastic'!G732)</f>
        <v/>
      </c>
      <c r="H732">
        <f>IF(ISBLANK('Q:\Abteilungsprojekte\eng\EngData\AOS\Allgemein\[LabSamples2025.xlsx]Bioplastic'!H732)," ",'Q:\Abteilungsprojekte\eng\EngData\AOS\Allgemein\[LabSamples2025.xlsx]Bioplastic'!H732)</f>
        <v/>
      </c>
    </row>
    <row r="733">
      <c r="A733">
        <f>IF(ISBLANK('Q:\Abteilungsprojekte\eng\EngData\AOS\Allgemein\[LabSamples2025.xlsx]Bioplastic'!A733)," ",'Q:\Abteilungsprojekte\eng\EngData\AOS\Allgemein\[LabSamples2025.xlsx]Bioplastic'!A733)</f>
        <v/>
      </c>
      <c r="B733">
        <f>IF(ISBLANK('Q:\Abteilungsprojekte\eng\EngData\AOS\Allgemein\[LabSamples2025.xlsx]Bioplastic'!B733)," ",'Q:\Abteilungsprojekte\eng\EngData\AOS\Allgemein\[LabSamples2025.xlsx]Bioplastic'!B733)</f>
        <v/>
      </c>
      <c r="C733">
        <f>IF(ISBLANK('Q:\Abteilungsprojekte\eng\EngData\AOS\Allgemein\[LabSamples2025.xlsx]Bioplastic'!C733)," ",'Q:\Abteilungsprojekte\eng\EngData\AOS\Allgemein\[LabSamples2025.xlsx]Bioplastic'!C733)</f>
        <v/>
      </c>
      <c r="D733">
        <f>IF(ISBLANK('Q:\Abteilungsprojekte\eng\EngData\AOS\Allgemein\[LabSamples2025.xlsx]Bioplastic'!D733)," ",'Q:\Abteilungsprojekte\eng\EngData\AOS\Allgemein\[LabSamples2025.xlsx]Bioplastic'!D733)</f>
        <v/>
      </c>
      <c r="E733">
        <f>IF(ISBLANK('Q:\Abteilungsprojekte\eng\EngData\AOS\Allgemein\[LabSamples2025.xlsx]Bioplastic'!E733)," ",'Q:\Abteilungsprojekte\eng\EngData\AOS\Allgemein\[LabSamples2025.xlsx]Bioplastic'!E733)</f>
        <v/>
      </c>
      <c r="F733">
        <f>IF(ISBLANK('Q:\Abteilungsprojekte\eng\EngData\AOS\Allgemein\[LabSamples2025.xlsx]Bioplastic'!F733)," ",'Q:\Abteilungsprojekte\eng\EngData\AOS\Allgemein\[LabSamples2025.xlsx]Bioplastic'!F733)</f>
        <v/>
      </c>
      <c r="G733">
        <f>IF(ISBLANK('Q:\Abteilungsprojekte\eng\EngData\AOS\Allgemein\[LabSamples2025.xlsx]Bioplastic'!G733)," ",'Q:\Abteilungsprojekte\eng\EngData\AOS\Allgemein\[LabSamples2025.xlsx]Bioplastic'!G733)</f>
        <v/>
      </c>
      <c r="H733">
        <f>IF(ISBLANK('Q:\Abteilungsprojekte\eng\EngData\AOS\Allgemein\[LabSamples2025.xlsx]Bioplastic'!H733)," ",'Q:\Abteilungsprojekte\eng\EngData\AOS\Allgemein\[LabSamples2025.xlsx]Bioplastic'!H733)</f>
        <v/>
      </c>
    </row>
    <row r="734">
      <c r="A734">
        <f>IF(ISBLANK('Q:\Abteilungsprojekte\eng\EngData\AOS\Allgemein\[LabSamples2025.xlsx]Bioplastic'!A734)," ",'Q:\Abteilungsprojekte\eng\EngData\AOS\Allgemein\[LabSamples2025.xlsx]Bioplastic'!A734)</f>
        <v/>
      </c>
      <c r="B734">
        <f>IF(ISBLANK('Q:\Abteilungsprojekte\eng\EngData\AOS\Allgemein\[LabSamples2025.xlsx]Bioplastic'!B734)," ",'Q:\Abteilungsprojekte\eng\EngData\AOS\Allgemein\[LabSamples2025.xlsx]Bioplastic'!B734)</f>
        <v/>
      </c>
      <c r="C734">
        <f>IF(ISBLANK('Q:\Abteilungsprojekte\eng\EngData\AOS\Allgemein\[LabSamples2025.xlsx]Bioplastic'!C734)," ",'Q:\Abteilungsprojekte\eng\EngData\AOS\Allgemein\[LabSamples2025.xlsx]Bioplastic'!C734)</f>
        <v/>
      </c>
      <c r="D734">
        <f>IF(ISBLANK('Q:\Abteilungsprojekte\eng\EngData\AOS\Allgemein\[LabSamples2025.xlsx]Bioplastic'!D734)," ",'Q:\Abteilungsprojekte\eng\EngData\AOS\Allgemein\[LabSamples2025.xlsx]Bioplastic'!D734)</f>
        <v/>
      </c>
      <c r="E734">
        <f>IF(ISBLANK('Q:\Abteilungsprojekte\eng\EngData\AOS\Allgemein\[LabSamples2025.xlsx]Bioplastic'!E734)," ",'Q:\Abteilungsprojekte\eng\EngData\AOS\Allgemein\[LabSamples2025.xlsx]Bioplastic'!E734)</f>
        <v/>
      </c>
      <c r="F734">
        <f>IF(ISBLANK('Q:\Abteilungsprojekte\eng\EngData\AOS\Allgemein\[LabSamples2025.xlsx]Bioplastic'!F734)," ",'Q:\Abteilungsprojekte\eng\EngData\AOS\Allgemein\[LabSamples2025.xlsx]Bioplastic'!F734)</f>
        <v/>
      </c>
      <c r="G734">
        <f>IF(ISBLANK('Q:\Abteilungsprojekte\eng\EngData\AOS\Allgemein\[LabSamples2025.xlsx]Bioplastic'!G734)," ",'Q:\Abteilungsprojekte\eng\EngData\AOS\Allgemein\[LabSamples2025.xlsx]Bioplastic'!G734)</f>
        <v/>
      </c>
      <c r="H734">
        <f>IF(ISBLANK('Q:\Abteilungsprojekte\eng\EngData\AOS\Allgemein\[LabSamples2025.xlsx]Bioplastic'!H734)," ",'Q:\Abteilungsprojekte\eng\EngData\AOS\Allgemein\[LabSamples2025.xlsx]Bioplastic'!H734)</f>
        <v/>
      </c>
    </row>
    <row r="735">
      <c r="A735">
        <f>IF(ISBLANK('Q:\Abteilungsprojekte\eng\EngData\AOS\Allgemein\[LabSamples2025.xlsx]Bioplastic'!A735)," ",'Q:\Abteilungsprojekte\eng\EngData\AOS\Allgemein\[LabSamples2025.xlsx]Bioplastic'!A735)</f>
        <v/>
      </c>
      <c r="B735">
        <f>IF(ISBLANK('Q:\Abteilungsprojekte\eng\EngData\AOS\Allgemein\[LabSamples2025.xlsx]Bioplastic'!B735)," ",'Q:\Abteilungsprojekte\eng\EngData\AOS\Allgemein\[LabSamples2025.xlsx]Bioplastic'!B735)</f>
        <v/>
      </c>
      <c r="C735">
        <f>IF(ISBLANK('Q:\Abteilungsprojekte\eng\EngData\AOS\Allgemein\[LabSamples2025.xlsx]Bioplastic'!C735)," ",'Q:\Abteilungsprojekte\eng\EngData\AOS\Allgemein\[LabSamples2025.xlsx]Bioplastic'!C735)</f>
        <v/>
      </c>
      <c r="D735">
        <f>IF(ISBLANK('Q:\Abteilungsprojekte\eng\EngData\AOS\Allgemein\[LabSamples2025.xlsx]Bioplastic'!D735)," ",'Q:\Abteilungsprojekte\eng\EngData\AOS\Allgemein\[LabSamples2025.xlsx]Bioplastic'!D735)</f>
        <v/>
      </c>
      <c r="E735">
        <f>IF(ISBLANK('Q:\Abteilungsprojekte\eng\EngData\AOS\Allgemein\[LabSamples2025.xlsx]Bioplastic'!E735)," ",'Q:\Abteilungsprojekte\eng\EngData\AOS\Allgemein\[LabSamples2025.xlsx]Bioplastic'!E735)</f>
        <v/>
      </c>
      <c r="F735">
        <f>IF(ISBLANK('Q:\Abteilungsprojekte\eng\EngData\AOS\Allgemein\[LabSamples2025.xlsx]Bioplastic'!F735)," ",'Q:\Abteilungsprojekte\eng\EngData\AOS\Allgemein\[LabSamples2025.xlsx]Bioplastic'!F735)</f>
        <v/>
      </c>
      <c r="G735">
        <f>IF(ISBLANK('Q:\Abteilungsprojekte\eng\EngData\AOS\Allgemein\[LabSamples2025.xlsx]Bioplastic'!G735)," ",'Q:\Abteilungsprojekte\eng\EngData\AOS\Allgemein\[LabSamples2025.xlsx]Bioplastic'!G735)</f>
        <v/>
      </c>
      <c r="H735">
        <f>IF(ISBLANK('Q:\Abteilungsprojekte\eng\EngData\AOS\Allgemein\[LabSamples2025.xlsx]Bioplastic'!H735)," ",'Q:\Abteilungsprojekte\eng\EngData\AOS\Allgemein\[LabSamples2025.xlsx]Bioplastic'!H735)</f>
        <v/>
      </c>
    </row>
    <row r="736">
      <c r="A736">
        <f>IF(ISBLANK('Q:\Abteilungsprojekte\eng\EngData\AOS\Allgemein\[LabSamples2025.xlsx]Bioplastic'!A736)," ",'Q:\Abteilungsprojekte\eng\EngData\AOS\Allgemein\[LabSamples2025.xlsx]Bioplastic'!A736)</f>
        <v/>
      </c>
      <c r="B736">
        <f>IF(ISBLANK('Q:\Abteilungsprojekte\eng\EngData\AOS\Allgemein\[LabSamples2025.xlsx]Bioplastic'!B736)," ",'Q:\Abteilungsprojekte\eng\EngData\AOS\Allgemein\[LabSamples2025.xlsx]Bioplastic'!B736)</f>
        <v/>
      </c>
      <c r="C736">
        <f>IF(ISBLANK('Q:\Abteilungsprojekte\eng\EngData\AOS\Allgemein\[LabSamples2025.xlsx]Bioplastic'!C736)," ",'Q:\Abteilungsprojekte\eng\EngData\AOS\Allgemein\[LabSamples2025.xlsx]Bioplastic'!C736)</f>
        <v/>
      </c>
      <c r="D736">
        <f>IF(ISBLANK('Q:\Abteilungsprojekte\eng\EngData\AOS\Allgemein\[LabSamples2025.xlsx]Bioplastic'!D736)," ",'Q:\Abteilungsprojekte\eng\EngData\AOS\Allgemein\[LabSamples2025.xlsx]Bioplastic'!D736)</f>
        <v/>
      </c>
      <c r="E736">
        <f>IF(ISBLANK('Q:\Abteilungsprojekte\eng\EngData\AOS\Allgemein\[LabSamples2025.xlsx]Bioplastic'!E736)," ",'Q:\Abteilungsprojekte\eng\EngData\AOS\Allgemein\[LabSamples2025.xlsx]Bioplastic'!E736)</f>
        <v/>
      </c>
      <c r="F736">
        <f>IF(ISBLANK('Q:\Abteilungsprojekte\eng\EngData\AOS\Allgemein\[LabSamples2025.xlsx]Bioplastic'!F736)," ",'Q:\Abteilungsprojekte\eng\EngData\AOS\Allgemein\[LabSamples2025.xlsx]Bioplastic'!F736)</f>
        <v/>
      </c>
      <c r="G736">
        <f>IF(ISBLANK('Q:\Abteilungsprojekte\eng\EngData\AOS\Allgemein\[LabSamples2025.xlsx]Bioplastic'!G736)," ",'Q:\Abteilungsprojekte\eng\EngData\AOS\Allgemein\[LabSamples2025.xlsx]Bioplastic'!G736)</f>
        <v/>
      </c>
      <c r="H736">
        <f>IF(ISBLANK('Q:\Abteilungsprojekte\eng\EngData\AOS\Allgemein\[LabSamples2025.xlsx]Bioplastic'!H736)," ",'Q:\Abteilungsprojekte\eng\EngData\AOS\Allgemein\[LabSamples2025.xlsx]Bioplastic'!H736)</f>
        <v/>
      </c>
    </row>
    <row r="737">
      <c r="A737">
        <f>IF(ISBLANK('Q:\Abteilungsprojekte\eng\EngData\AOS\Allgemein\[LabSamples2025.xlsx]Bioplastic'!A737)," ",'Q:\Abteilungsprojekte\eng\EngData\AOS\Allgemein\[LabSamples2025.xlsx]Bioplastic'!A737)</f>
        <v/>
      </c>
      <c r="B737">
        <f>IF(ISBLANK('Q:\Abteilungsprojekte\eng\EngData\AOS\Allgemein\[LabSamples2025.xlsx]Bioplastic'!B737)," ",'Q:\Abteilungsprojekte\eng\EngData\AOS\Allgemein\[LabSamples2025.xlsx]Bioplastic'!B737)</f>
        <v/>
      </c>
      <c r="C737">
        <f>IF(ISBLANK('Q:\Abteilungsprojekte\eng\EngData\AOS\Allgemein\[LabSamples2025.xlsx]Bioplastic'!C737)," ",'Q:\Abteilungsprojekte\eng\EngData\AOS\Allgemein\[LabSamples2025.xlsx]Bioplastic'!C737)</f>
        <v/>
      </c>
      <c r="D737">
        <f>IF(ISBLANK('Q:\Abteilungsprojekte\eng\EngData\AOS\Allgemein\[LabSamples2025.xlsx]Bioplastic'!D737)," ",'Q:\Abteilungsprojekte\eng\EngData\AOS\Allgemein\[LabSamples2025.xlsx]Bioplastic'!D737)</f>
        <v/>
      </c>
      <c r="E737">
        <f>IF(ISBLANK('Q:\Abteilungsprojekte\eng\EngData\AOS\Allgemein\[LabSamples2025.xlsx]Bioplastic'!E737)," ",'Q:\Abteilungsprojekte\eng\EngData\AOS\Allgemein\[LabSamples2025.xlsx]Bioplastic'!E737)</f>
        <v/>
      </c>
      <c r="F737">
        <f>IF(ISBLANK('Q:\Abteilungsprojekte\eng\EngData\AOS\Allgemein\[LabSamples2025.xlsx]Bioplastic'!F737)," ",'Q:\Abteilungsprojekte\eng\EngData\AOS\Allgemein\[LabSamples2025.xlsx]Bioplastic'!F737)</f>
        <v/>
      </c>
      <c r="G737">
        <f>IF(ISBLANK('Q:\Abteilungsprojekte\eng\EngData\AOS\Allgemein\[LabSamples2025.xlsx]Bioplastic'!G737)," ",'Q:\Abteilungsprojekte\eng\EngData\AOS\Allgemein\[LabSamples2025.xlsx]Bioplastic'!G737)</f>
        <v/>
      </c>
      <c r="H737">
        <f>IF(ISBLANK('Q:\Abteilungsprojekte\eng\EngData\AOS\Allgemein\[LabSamples2025.xlsx]Bioplastic'!H737)," ",'Q:\Abteilungsprojekte\eng\EngData\AOS\Allgemein\[LabSamples2025.xlsx]Bioplastic'!H737)</f>
        <v/>
      </c>
    </row>
    <row r="738">
      <c r="A738">
        <f>IF(ISBLANK('Q:\Abteilungsprojekte\eng\EngData\AOS\Allgemein\[LabSamples2025.xlsx]Bioplastic'!A738)," ",'Q:\Abteilungsprojekte\eng\EngData\AOS\Allgemein\[LabSamples2025.xlsx]Bioplastic'!A738)</f>
        <v/>
      </c>
      <c r="B738">
        <f>IF(ISBLANK('Q:\Abteilungsprojekte\eng\EngData\AOS\Allgemein\[LabSamples2025.xlsx]Bioplastic'!B738)," ",'Q:\Abteilungsprojekte\eng\EngData\AOS\Allgemein\[LabSamples2025.xlsx]Bioplastic'!B738)</f>
        <v/>
      </c>
      <c r="C738">
        <f>IF(ISBLANK('Q:\Abteilungsprojekte\eng\EngData\AOS\Allgemein\[LabSamples2025.xlsx]Bioplastic'!C738)," ",'Q:\Abteilungsprojekte\eng\EngData\AOS\Allgemein\[LabSamples2025.xlsx]Bioplastic'!C738)</f>
        <v/>
      </c>
      <c r="D738">
        <f>IF(ISBLANK('Q:\Abteilungsprojekte\eng\EngData\AOS\Allgemein\[LabSamples2025.xlsx]Bioplastic'!D738)," ",'Q:\Abteilungsprojekte\eng\EngData\AOS\Allgemein\[LabSamples2025.xlsx]Bioplastic'!D738)</f>
        <v/>
      </c>
      <c r="E738">
        <f>IF(ISBLANK('Q:\Abteilungsprojekte\eng\EngData\AOS\Allgemein\[LabSamples2025.xlsx]Bioplastic'!E738)," ",'Q:\Abteilungsprojekte\eng\EngData\AOS\Allgemein\[LabSamples2025.xlsx]Bioplastic'!E738)</f>
        <v/>
      </c>
      <c r="F738">
        <f>IF(ISBLANK('Q:\Abteilungsprojekte\eng\EngData\AOS\Allgemein\[LabSamples2025.xlsx]Bioplastic'!F738)," ",'Q:\Abteilungsprojekte\eng\EngData\AOS\Allgemein\[LabSamples2025.xlsx]Bioplastic'!F738)</f>
        <v/>
      </c>
      <c r="G738">
        <f>IF(ISBLANK('Q:\Abteilungsprojekte\eng\EngData\AOS\Allgemein\[LabSamples2025.xlsx]Bioplastic'!G738)," ",'Q:\Abteilungsprojekte\eng\EngData\AOS\Allgemein\[LabSamples2025.xlsx]Bioplastic'!G738)</f>
        <v/>
      </c>
      <c r="H738">
        <f>IF(ISBLANK('Q:\Abteilungsprojekte\eng\EngData\AOS\Allgemein\[LabSamples2025.xlsx]Bioplastic'!H738)," ",'Q:\Abteilungsprojekte\eng\EngData\AOS\Allgemein\[LabSamples2025.xlsx]Bioplastic'!H738)</f>
        <v/>
      </c>
    </row>
    <row r="739">
      <c r="A739">
        <f>IF(ISBLANK('Q:\Abteilungsprojekte\eng\EngData\AOS\Allgemein\[LabSamples2025.xlsx]Bioplastic'!A739)," ",'Q:\Abteilungsprojekte\eng\EngData\AOS\Allgemein\[LabSamples2025.xlsx]Bioplastic'!A739)</f>
        <v/>
      </c>
      <c r="B739">
        <f>IF(ISBLANK('Q:\Abteilungsprojekte\eng\EngData\AOS\Allgemein\[LabSamples2025.xlsx]Bioplastic'!B739)," ",'Q:\Abteilungsprojekte\eng\EngData\AOS\Allgemein\[LabSamples2025.xlsx]Bioplastic'!B739)</f>
        <v/>
      </c>
      <c r="C739">
        <f>IF(ISBLANK('Q:\Abteilungsprojekte\eng\EngData\AOS\Allgemein\[LabSamples2025.xlsx]Bioplastic'!C739)," ",'Q:\Abteilungsprojekte\eng\EngData\AOS\Allgemein\[LabSamples2025.xlsx]Bioplastic'!C739)</f>
        <v/>
      </c>
      <c r="D739">
        <f>IF(ISBLANK('Q:\Abteilungsprojekte\eng\EngData\AOS\Allgemein\[LabSamples2025.xlsx]Bioplastic'!D739)," ",'Q:\Abteilungsprojekte\eng\EngData\AOS\Allgemein\[LabSamples2025.xlsx]Bioplastic'!D739)</f>
        <v/>
      </c>
      <c r="E739">
        <f>IF(ISBLANK('Q:\Abteilungsprojekte\eng\EngData\AOS\Allgemein\[LabSamples2025.xlsx]Bioplastic'!E739)," ",'Q:\Abteilungsprojekte\eng\EngData\AOS\Allgemein\[LabSamples2025.xlsx]Bioplastic'!E739)</f>
        <v/>
      </c>
      <c r="F739">
        <f>IF(ISBLANK('Q:\Abteilungsprojekte\eng\EngData\AOS\Allgemein\[LabSamples2025.xlsx]Bioplastic'!F739)," ",'Q:\Abteilungsprojekte\eng\EngData\AOS\Allgemein\[LabSamples2025.xlsx]Bioplastic'!F739)</f>
        <v/>
      </c>
      <c r="G739">
        <f>IF(ISBLANK('Q:\Abteilungsprojekte\eng\EngData\AOS\Allgemein\[LabSamples2025.xlsx]Bioplastic'!G739)," ",'Q:\Abteilungsprojekte\eng\EngData\AOS\Allgemein\[LabSamples2025.xlsx]Bioplastic'!G739)</f>
        <v/>
      </c>
      <c r="H739">
        <f>IF(ISBLANK('Q:\Abteilungsprojekte\eng\EngData\AOS\Allgemein\[LabSamples2025.xlsx]Bioplastic'!H739)," ",'Q:\Abteilungsprojekte\eng\EngData\AOS\Allgemein\[LabSamples2025.xlsx]Bioplastic'!H739)</f>
        <v/>
      </c>
    </row>
    <row r="740">
      <c r="A740">
        <f>IF(ISBLANK('Q:\Abteilungsprojekte\eng\EngData\AOS\Allgemein\[LabSamples2025.xlsx]Bioplastic'!A740)," ",'Q:\Abteilungsprojekte\eng\EngData\AOS\Allgemein\[LabSamples2025.xlsx]Bioplastic'!A740)</f>
        <v/>
      </c>
      <c r="B740">
        <f>IF(ISBLANK('Q:\Abteilungsprojekte\eng\EngData\AOS\Allgemein\[LabSamples2025.xlsx]Bioplastic'!B740)," ",'Q:\Abteilungsprojekte\eng\EngData\AOS\Allgemein\[LabSamples2025.xlsx]Bioplastic'!B740)</f>
        <v/>
      </c>
      <c r="C740">
        <f>IF(ISBLANK('Q:\Abteilungsprojekte\eng\EngData\AOS\Allgemein\[LabSamples2025.xlsx]Bioplastic'!C740)," ",'Q:\Abteilungsprojekte\eng\EngData\AOS\Allgemein\[LabSamples2025.xlsx]Bioplastic'!C740)</f>
        <v/>
      </c>
      <c r="D740">
        <f>IF(ISBLANK('Q:\Abteilungsprojekte\eng\EngData\AOS\Allgemein\[LabSamples2025.xlsx]Bioplastic'!D740)," ",'Q:\Abteilungsprojekte\eng\EngData\AOS\Allgemein\[LabSamples2025.xlsx]Bioplastic'!D740)</f>
        <v/>
      </c>
      <c r="E740">
        <f>IF(ISBLANK('Q:\Abteilungsprojekte\eng\EngData\AOS\Allgemein\[LabSamples2025.xlsx]Bioplastic'!E740)," ",'Q:\Abteilungsprojekte\eng\EngData\AOS\Allgemein\[LabSamples2025.xlsx]Bioplastic'!E740)</f>
        <v/>
      </c>
      <c r="F740">
        <f>IF(ISBLANK('Q:\Abteilungsprojekte\eng\EngData\AOS\Allgemein\[LabSamples2025.xlsx]Bioplastic'!F740)," ",'Q:\Abteilungsprojekte\eng\EngData\AOS\Allgemein\[LabSamples2025.xlsx]Bioplastic'!F740)</f>
        <v/>
      </c>
      <c r="G740">
        <f>IF(ISBLANK('Q:\Abteilungsprojekte\eng\EngData\AOS\Allgemein\[LabSamples2025.xlsx]Bioplastic'!G740)," ",'Q:\Abteilungsprojekte\eng\EngData\AOS\Allgemein\[LabSamples2025.xlsx]Bioplastic'!G740)</f>
        <v/>
      </c>
      <c r="H740">
        <f>IF(ISBLANK('Q:\Abteilungsprojekte\eng\EngData\AOS\Allgemein\[LabSamples2025.xlsx]Bioplastic'!H740)," ",'Q:\Abteilungsprojekte\eng\EngData\AOS\Allgemein\[LabSamples2025.xlsx]Bioplastic'!H740)</f>
        <v/>
      </c>
    </row>
    <row r="741">
      <c r="A741">
        <f>IF(ISBLANK('Q:\Abteilungsprojekte\eng\EngData\AOS\Allgemein\[LabSamples2025.xlsx]Bioplastic'!A741)," ",'Q:\Abteilungsprojekte\eng\EngData\AOS\Allgemein\[LabSamples2025.xlsx]Bioplastic'!A741)</f>
        <v/>
      </c>
      <c r="B741">
        <f>IF(ISBLANK('Q:\Abteilungsprojekte\eng\EngData\AOS\Allgemein\[LabSamples2025.xlsx]Bioplastic'!B741)," ",'Q:\Abteilungsprojekte\eng\EngData\AOS\Allgemein\[LabSamples2025.xlsx]Bioplastic'!B741)</f>
        <v/>
      </c>
      <c r="C741">
        <f>IF(ISBLANK('Q:\Abteilungsprojekte\eng\EngData\AOS\Allgemein\[LabSamples2025.xlsx]Bioplastic'!C741)," ",'Q:\Abteilungsprojekte\eng\EngData\AOS\Allgemein\[LabSamples2025.xlsx]Bioplastic'!C741)</f>
        <v/>
      </c>
      <c r="D741">
        <f>IF(ISBLANK('Q:\Abteilungsprojekte\eng\EngData\AOS\Allgemein\[LabSamples2025.xlsx]Bioplastic'!D741)," ",'Q:\Abteilungsprojekte\eng\EngData\AOS\Allgemein\[LabSamples2025.xlsx]Bioplastic'!D741)</f>
        <v/>
      </c>
      <c r="E741">
        <f>IF(ISBLANK('Q:\Abteilungsprojekte\eng\EngData\AOS\Allgemein\[LabSamples2025.xlsx]Bioplastic'!E741)," ",'Q:\Abteilungsprojekte\eng\EngData\AOS\Allgemein\[LabSamples2025.xlsx]Bioplastic'!E741)</f>
        <v/>
      </c>
      <c r="F741">
        <f>IF(ISBLANK('Q:\Abteilungsprojekte\eng\EngData\AOS\Allgemein\[LabSamples2025.xlsx]Bioplastic'!F741)," ",'Q:\Abteilungsprojekte\eng\EngData\AOS\Allgemein\[LabSamples2025.xlsx]Bioplastic'!F741)</f>
        <v/>
      </c>
      <c r="G741">
        <f>IF(ISBLANK('Q:\Abteilungsprojekte\eng\EngData\AOS\Allgemein\[LabSamples2025.xlsx]Bioplastic'!G741)," ",'Q:\Abteilungsprojekte\eng\EngData\AOS\Allgemein\[LabSamples2025.xlsx]Bioplastic'!G741)</f>
        <v/>
      </c>
      <c r="H741">
        <f>IF(ISBLANK('Q:\Abteilungsprojekte\eng\EngData\AOS\Allgemein\[LabSamples2025.xlsx]Bioplastic'!H741)," ",'Q:\Abteilungsprojekte\eng\EngData\AOS\Allgemein\[LabSamples2025.xlsx]Bioplastic'!H741)</f>
        <v/>
      </c>
    </row>
    <row r="742">
      <c r="A742">
        <f>IF(ISBLANK('Q:\Abteilungsprojekte\eng\EngData\AOS\Allgemein\[LabSamples2025.xlsx]Bioplastic'!A742)," ",'Q:\Abteilungsprojekte\eng\EngData\AOS\Allgemein\[LabSamples2025.xlsx]Bioplastic'!A742)</f>
        <v/>
      </c>
      <c r="B742">
        <f>IF(ISBLANK('Q:\Abteilungsprojekte\eng\EngData\AOS\Allgemein\[LabSamples2025.xlsx]Bioplastic'!B742)," ",'Q:\Abteilungsprojekte\eng\EngData\AOS\Allgemein\[LabSamples2025.xlsx]Bioplastic'!B742)</f>
        <v/>
      </c>
      <c r="C742">
        <f>IF(ISBLANK('Q:\Abteilungsprojekte\eng\EngData\AOS\Allgemein\[LabSamples2025.xlsx]Bioplastic'!C742)," ",'Q:\Abteilungsprojekte\eng\EngData\AOS\Allgemein\[LabSamples2025.xlsx]Bioplastic'!C742)</f>
        <v/>
      </c>
      <c r="D742">
        <f>IF(ISBLANK('Q:\Abteilungsprojekte\eng\EngData\AOS\Allgemein\[LabSamples2025.xlsx]Bioplastic'!D742)," ",'Q:\Abteilungsprojekte\eng\EngData\AOS\Allgemein\[LabSamples2025.xlsx]Bioplastic'!D742)</f>
        <v/>
      </c>
      <c r="E742">
        <f>IF(ISBLANK('Q:\Abteilungsprojekte\eng\EngData\AOS\Allgemein\[LabSamples2025.xlsx]Bioplastic'!E742)," ",'Q:\Abteilungsprojekte\eng\EngData\AOS\Allgemein\[LabSamples2025.xlsx]Bioplastic'!E742)</f>
        <v/>
      </c>
      <c r="F742">
        <f>IF(ISBLANK('Q:\Abteilungsprojekte\eng\EngData\AOS\Allgemein\[LabSamples2025.xlsx]Bioplastic'!F742)," ",'Q:\Abteilungsprojekte\eng\EngData\AOS\Allgemein\[LabSamples2025.xlsx]Bioplastic'!F742)</f>
        <v/>
      </c>
      <c r="G742">
        <f>IF(ISBLANK('Q:\Abteilungsprojekte\eng\EngData\AOS\Allgemein\[LabSamples2025.xlsx]Bioplastic'!G742)," ",'Q:\Abteilungsprojekte\eng\EngData\AOS\Allgemein\[LabSamples2025.xlsx]Bioplastic'!G742)</f>
        <v/>
      </c>
      <c r="H742">
        <f>IF(ISBLANK('Q:\Abteilungsprojekte\eng\EngData\AOS\Allgemein\[LabSamples2025.xlsx]Bioplastic'!H742)," ",'Q:\Abteilungsprojekte\eng\EngData\AOS\Allgemein\[LabSamples2025.xlsx]Bioplastic'!H742)</f>
        <v/>
      </c>
    </row>
    <row r="743">
      <c r="A743">
        <f>IF(ISBLANK('Q:\Abteilungsprojekte\eng\EngData\AOS\Allgemein\[LabSamples2025.xlsx]Bioplastic'!A743)," ",'Q:\Abteilungsprojekte\eng\EngData\AOS\Allgemein\[LabSamples2025.xlsx]Bioplastic'!A743)</f>
        <v/>
      </c>
      <c r="B743">
        <f>IF(ISBLANK('Q:\Abteilungsprojekte\eng\EngData\AOS\Allgemein\[LabSamples2025.xlsx]Bioplastic'!B743)," ",'Q:\Abteilungsprojekte\eng\EngData\AOS\Allgemein\[LabSamples2025.xlsx]Bioplastic'!B743)</f>
        <v/>
      </c>
      <c r="C743">
        <f>IF(ISBLANK('Q:\Abteilungsprojekte\eng\EngData\AOS\Allgemein\[LabSamples2025.xlsx]Bioplastic'!C743)," ",'Q:\Abteilungsprojekte\eng\EngData\AOS\Allgemein\[LabSamples2025.xlsx]Bioplastic'!C743)</f>
        <v/>
      </c>
      <c r="D743">
        <f>IF(ISBLANK('Q:\Abteilungsprojekte\eng\EngData\AOS\Allgemein\[LabSamples2025.xlsx]Bioplastic'!D743)," ",'Q:\Abteilungsprojekte\eng\EngData\AOS\Allgemein\[LabSamples2025.xlsx]Bioplastic'!D743)</f>
        <v/>
      </c>
      <c r="E743">
        <f>IF(ISBLANK('Q:\Abteilungsprojekte\eng\EngData\AOS\Allgemein\[LabSamples2025.xlsx]Bioplastic'!E743)," ",'Q:\Abteilungsprojekte\eng\EngData\AOS\Allgemein\[LabSamples2025.xlsx]Bioplastic'!E743)</f>
        <v/>
      </c>
      <c r="F743">
        <f>IF(ISBLANK('Q:\Abteilungsprojekte\eng\EngData\AOS\Allgemein\[LabSamples2025.xlsx]Bioplastic'!F743)," ",'Q:\Abteilungsprojekte\eng\EngData\AOS\Allgemein\[LabSamples2025.xlsx]Bioplastic'!F743)</f>
        <v/>
      </c>
      <c r="G743">
        <f>IF(ISBLANK('Q:\Abteilungsprojekte\eng\EngData\AOS\Allgemein\[LabSamples2025.xlsx]Bioplastic'!G743)," ",'Q:\Abteilungsprojekte\eng\EngData\AOS\Allgemein\[LabSamples2025.xlsx]Bioplastic'!G743)</f>
        <v/>
      </c>
      <c r="H743">
        <f>IF(ISBLANK('Q:\Abteilungsprojekte\eng\EngData\AOS\Allgemein\[LabSamples2025.xlsx]Bioplastic'!H743)," ",'Q:\Abteilungsprojekte\eng\EngData\AOS\Allgemein\[LabSamples2025.xlsx]Bioplastic'!H743)</f>
        <v/>
      </c>
    </row>
    <row r="744">
      <c r="A744">
        <f>IF(ISBLANK('Q:\Abteilungsprojekte\eng\EngData\AOS\Allgemein\[LabSamples2025.xlsx]Bioplastic'!A744)," ",'Q:\Abteilungsprojekte\eng\EngData\AOS\Allgemein\[LabSamples2025.xlsx]Bioplastic'!A744)</f>
        <v/>
      </c>
      <c r="B744">
        <f>IF(ISBLANK('Q:\Abteilungsprojekte\eng\EngData\AOS\Allgemein\[LabSamples2025.xlsx]Bioplastic'!B744)," ",'Q:\Abteilungsprojekte\eng\EngData\AOS\Allgemein\[LabSamples2025.xlsx]Bioplastic'!B744)</f>
        <v/>
      </c>
      <c r="C744">
        <f>IF(ISBLANK('Q:\Abteilungsprojekte\eng\EngData\AOS\Allgemein\[LabSamples2025.xlsx]Bioplastic'!C744)," ",'Q:\Abteilungsprojekte\eng\EngData\AOS\Allgemein\[LabSamples2025.xlsx]Bioplastic'!C744)</f>
        <v/>
      </c>
      <c r="D744">
        <f>IF(ISBLANK('Q:\Abteilungsprojekte\eng\EngData\AOS\Allgemein\[LabSamples2025.xlsx]Bioplastic'!D744)," ",'Q:\Abteilungsprojekte\eng\EngData\AOS\Allgemein\[LabSamples2025.xlsx]Bioplastic'!D744)</f>
        <v/>
      </c>
      <c r="E744">
        <f>IF(ISBLANK('Q:\Abteilungsprojekte\eng\EngData\AOS\Allgemein\[LabSamples2025.xlsx]Bioplastic'!E744)," ",'Q:\Abteilungsprojekte\eng\EngData\AOS\Allgemein\[LabSamples2025.xlsx]Bioplastic'!E744)</f>
        <v/>
      </c>
      <c r="F744">
        <f>IF(ISBLANK('Q:\Abteilungsprojekte\eng\EngData\AOS\Allgemein\[LabSamples2025.xlsx]Bioplastic'!F744)," ",'Q:\Abteilungsprojekte\eng\EngData\AOS\Allgemein\[LabSamples2025.xlsx]Bioplastic'!F744)</f>
        <v/>
      </c>
      <c r="G744">
        <f>IF(ISBLANK('Q:\Abteilungsprojekte\eng\EngData\AOS\Allgemein\[LabSamples2025.xlsx]Bioplastic'!G744)," ",'Q:\Abteilungsprojekte\eng\EngData\AOS\Allgemein\[LabSamples2025.xlsx]Bioplastic'!G744)</f>
        <v/>
      </c>
      <c r="H744">
        <f>IF(ISBLANK('Q:\Abteilungsprojekte\eng\EngData\AOS\Allgemein\[LabSamples2025.xlsx]Bioplastic'!H744)," ",'Q:\Abteilungsprojekte\eng\EngData\AOS\Allgemein\[LabSamples2025.xlsx]Bioplastic'!H744)</f>
        <v/>
      </c>
    </row>
    <row r="745">
      <c r="A745">
        <f>IF(ISBLANK('Q:\Abteilungsprojekte\eng\EngData\AOS\Allgemein\[LabSamples2025.xlsx]Bioplastic'!A745)," ",'Q:\Abteilungsprojekte\eng\EngData\AOS\Allgemein\[LabSamples2025.xlsx]Bioplastic'!A745)</f>
        <v/>
      </c>
      <c r="B745">
        <f>IF(ISBLANK('Q:\Abteilungsprojekte\eng\EngData\AOS\Allgemein\[LabSamples2025.xlsx]Bioplastic'!B745)," ",'Q:\Abteilungsprojekte\eng\EngData\AOS\Allgemein\[LabSamples2025.xlsx]Bioplastic'!B745)</f>
        <v/>
      </c>
      <c r="C745">
        <f>IF(ISBLANK('Q:\Abteilungsprojekte\eng\EngData\AOS\Allgemein\[LabSamples2025.xlsx]Bioplastic'!C745)," ",'Q:\Abteilungsprojekte\eng\EngData\AOS\Allgemein\[LabSamples2025.xlsx]Bioplastic'!C745)</f>
        <v/>
      </c>
      <c r="D745">
        <f>IF(ISBLANK('Q:\Abteilungsprojekte\eng\EngData\AOS\Allgemein\[LabSamples2025.xlsx]Bioplastic'!D745)," ",'Q:\Abteilungsprojekte\eng\EngData\AOS\Allgemein\[LabSamples2025.xlsx]Bioplastic'!D745)</f>
        <v/>
      </c>
      <c r="E745">
        <f>IF(ISBLANK('Q:\Abteilungsprojekte\eng\EngData\AOS\Allgemein\[LabSamples2025.xlsx]Bioplastic'!E745)," ",'Q:\Abteilungsprojekte\eng\EngData\AOS\Allgemein\[LabSamples2025.xlsx]Bioplastic'!E745)</f>
        <v/>
      </c>
      <c r="F745">
        <f>IF(ISBLANK('Q:\Abteilungsprojekte\eng\EngData\AOS\Allgemein\[LabSamples2025.xlsx]Bioplastic'!F745)," ",'Q:\Abteilungsprojekte\eng\EngData\AOS\Allgemein\[LabSamples2025.xlsx]Bioplastic'!F745)</f>
        <v/>
      </c>
      <c r="G745">
        <f>IF(ISBLANK('Q:\Abteilungsprojekte\eng\EngData\AOS\Allgemein\[LabSamples2025.xlsx]Bioplastic'!G745)," ",'Q:\Abteilungsprojekte\eng\EngData\AOS\Allgemein\[LabSamples2025.xlsx]Bioplastic'!G745)</f>
        <v/>
      </c>
      <c r="H745">
        <f>IF(ISBLANK('Q:\Abteilungsprojekte\eng\EngData\AOS\Allgemein\[LabSamples2025.xlsx]Bioplastic'!H745)," ",'Q:\Abteilungsprojekte\eng\EngData\AOS\Allgemein\[LabSamples2025.xlsx]Bioplastic'!H745)</f>
        <v/>
      </c>
    </row>
    <row r="746">
      <c r="A746">
        <f>IF(ISBLANK('Q:\Abteilungsprojekte\eng\EngData\AOS\Allgemein\[LabSamples2025.xlsx]Bioplastic'!A746)," ",'Q:\Abteilungsprojekte\eng\EngData\AOS\Allgemein\[LabSamples2025.xlsx]Bioplastic'!A746)</f>
        <v/>
      </c>
      <c r="B746">
        <f>IF(ISBLANK('Q:\Abteilungsprojekte\eng\EngData\AOS\Allgemein\[LabSamples2025.xlsx]Bioplastic'!B746)," ",'Q:\Abteilungsprojekte\eng\EngData\AOS\Allgemein\[LabSamples2025.xlsx]Bioplastic'!B746)</f>
        <v/>
      </c>
      <c r="C746">
        <f>IF(ISBLANK('Q:\Abteilungsprojekte\eng\EngData\AOS\Allgemein\[LabSamples2025.xlsx]Bioplastic'!C746)," ",'Q:\Abteilungsprojekte\eng\EngData\AOS\Allgemein\[LabSamples2025.xlsx]Bioplastic'!C746)</f>
        <v/>
      </c>
      <c r="D746">
        <f>IF(ISBLANK('Q:\Abteilungsprojekte\eng\EngData\AOS\Allgemein\[LabSamples2025.xlsx]Bioplastic'!D746)," ",'Q:\Abteilungsprojekte\eng\EngData\AOS\Allgemein\[LabSamples2025.xlsx]Bioplastic'!D746)</f>
        <v/>
      </c>
      <c r="E746">
        <f>IF(ISBLANK('Q:\Abteilungsprojekte\eng\EngData\AOS\Allgemein\[LabSamples2025.xlsx]Bioplastic'!E746)," ",'Q:\Abteilungsprojekte\eng\EngData\AOS\Allgemein\[LabSamples2025.xlsx]Bioplastic'!E746)</f>
        <v/>
      </c>
      <c r="F746">
        <f>IF(ISBLANK('Q:\Abteilungsprojekte\eng\EngData\AOS\Allgemein\[LabSamples2025.xlsx]Bioplastic'!F746)," ",'Q:\Abteilungsprojekte\eng\EngData\AOS\Allgemein\[LabSamples2025.xlsx]Bioplastic'!F746)</f>
        <v/>
      </c>
      <c r="G746">
        <f>IF(ISBLANK('Q:\Abteilungsprojekte\eng\EngData\AOS\Allgemein\[LabSamples2025.xlsx]Bioplastic'!G746)," ",'Q:\Abteilungsprojekte\eng\EngData\AOS\Allgemein\[LabSamples2025.xlsx]Bioplastic'!G746)</f>
        <v/>
      </c>
      <c r="H746">
        <f>IF(ISBLANK('Q:\Abteilungsprojekte\eng\EngData\AOS\Allgemein\[LabSamples2025.xlsx]Bioplastic'!H746)," ",'Q:\Abteilungsprojekte\eng\EngData\AOS\Allgemein\[LabSamples2025.xlsx]Bioplastic'!H746)</f>
        <v/>
      </c>
    </row>
    <row r="747">
      <c r="A747">
        <f>IF(ISBLANK('Q:\Abteilungsprojekte\eng\EngData\AOS\Allgemein\[LabSamples2025.xlsx]Bioplastic'!A747)," ",'Q:\Abteilungsprojekte\eng\EngData\AOS\Allgemein\[LabSamples2025.xlsx]Bioplastic'!A747)</f>
        <v/>
      </c>
      <c r="B747">
        <f>IF(ISBLANK('Q:\Abteilungsprojekte\eng\EngData\AOS\Allgemein\[LabSamples2025.xlsx]Bioplastic'!B747)," ",'Q:\Abteilungsprojekte\eng\EngData\AOS\Allgemein\[LabSamples2025.xlsx]Bioplastic'!B747)</f>
        <v/>
      </c>
      <c r="C747">
        <f>IF(ISBLANK('Q:\Abteilungsprojekte\eng\EngData\AOS\Allgemein\[LabSamples2025.xlsx]Bioplastic'!C747)," ",'Q:\Abteilungsprojekte\eng\EngData\AOS\Allgemein\[LabSamples2025.xlsx]Bioplastic'!C747)</f>
        <v/>
      </c>
      <c r="D747">
        <f>IF(ISBLANK('Q:\Abteilungsprojekte\eng\EngData\AOS\Allgemein\[LabSamples2025.xlsx]Bioplastic'!D747)," ",'Q:\Abteilungsprojekte\eng\EngData\AOS\Allgemein\[LabSamples2025.xlsx]Bioplastic'!D747)</f>
        <v/>
      </c>
      <c r="E747">
        <f>IF(ISBLANK('Q:\Abteilungsprojekte\eng\EngData\AOS\Allgemein\[LabSamples2025.xlsx]Bioplastic'!E747)," ",'Q:\Abteilungsprojekte\eng\EngData\AOS\Allgemein\[LabSamples2025.xlsx]Bioplastic'!E747)</f>
        <v/>
      </c>
      <c r="F747">
        <f>IF(ISBLANK('Q:\Abteilungsprojekte\eng\EngData\AOS\Allgemein\[LabSamples2025.xlsx]Bioplastic'!F747)," ",'Q:\Abteilungsprojekte\eng\EngData\AOS\Allgemein\[LabSamples2025.xlsx]Bioplastic'!F747)</f>
        <v/>
      </c>
      <c r="G747">
        <f>IF(ISBLANK('Q:\Abteilungsprojekte\eng\EngData\AOS\Allgemein\[LabSamples2025.xlsx]Bioplastic'!G747)," ",'Q:\Abteilungsprojekte\eng\EngData\AOS\Allgemein\[LabSamples2025.xlsx]Bioplastic'!G747)</f>
        <v/>
      </c>
      <c r="H747">
        <f>IF(ISBLANK('Q:\Abteilungsprojekte\eng\EngData\AOS\Allgemein\[LabSamples2025.xlsx]Bioplastic'!H747)," ",'Q:\Abteilungsprojekte\eng\EngData\AOS\Allgemein\[LabSamples2025.xlsx]Bioplastic'!H747)</f>
        <v/>
      </c>
    </row>
    <row r="748">
      <c r="A748">
        <f>IF(ISBLANK('Q:\Abteilungsprojekte\eng\EngData\AOS\Allgemein\[LabSamples2025.xlsx]Bioplastic'!A748)," ",'Q:\Abteilungsprojekte\eng\EngData\AOS\Allgemein\[LabSamples2025.xlsx]Bioplastic'!A748)</f>
        <v/>
      </c>
      <c r="B748">
        <f>IF(ISBLANK('Q:\Abteilungsprojekte\eng\EngData\AOS\Allgemein\[LabSamples2025.xlsx]Bioplastic'!B748)," ",'Q:\Abteilungsprojekte\eng\EngData\AOS\Allgemein\[LabSamples2025.xlsx]Bioplastic'!B748)</f>
        <v/>
      </c>
      <c r="C748">
        <f>IF(ISBLANK('Q:\Abteilungsprojekte\eng\EngData\AOS\Allgemein\[LabSamples2025.xlsx]Bioplastic'!C748)," ",'Q:\Abteilungsprojekte\eng\EngData\AOS\Allgemein\[LabSamples2025.xlsx]Bioplastic'!C748)</f>
        <v/>
      </c>
      <c r="D748">
        <f>IF(ISBLANK('Q:\Abteilungsprojekte\eng\EngData\AOS\Allgemein\[LabSamples2025.xlsx]Bioplastic'!D748)," ",'Q:\Abteilungsprojekte\eng\EngData\AOS\Allgemein\[LabSamples2025.xlsx]Bioplastic'!D748)</f>
        <v/>
      </c>
      <c r="E748">
        <f>IF(ISBLANK('Q:\Abteilungsprojekte\eng\EngData\AOS\Allgemein\[LabSamples2025.xlsx]Bioplastic'!E748)," ",'Q:\Abteilungsprojekte\eng\EngData\AOS\Allgemein\[LabSamples2025.xlsx]Bioplastic'!E748)</f>
        <v/>
      </c>
      <c r="F748">
        <f>IF(ISBLANK('Q:\Abteilungsprojekte\eng\EngData\AOS\Allgemein\[LabSamples2025.xlsx]Bioplastic'!F748)," ",'Q:\Abteilungsprojekte\eng\EngData\AOS\Allgemein\[LabSamples2025.xlsx]Bioplastic'!F748)</f>
        <v/>
      </c>
      <c r="G748">
        <f>IF(ISBLANK('Q:\Abteilungsprojekte\eng\EngData\AOS\Allgemein\[LabSamples2025.xlsx]Bioplastic'!G748)," ",'Q:\Abteilungsprojekte\eng\EngData\AOS\Allgemein\[LabSamples2025.xlsx]Bioplastic'!G748)</f>
        <v/>
      </c>
      <c r="H748">
        <f>IF(ISBLANK('Q:\Abteilungsprojekte\eng\EngData\AOS\Allgemein\[LabSamples2025.xlsx]Bioplastic'!H748)," ",'Q:\Abteilungsprojekte\eng\EngData\AOS\Allgemein\[LabSamples2025.xlsx]Bioplastic'!H748)</f>
        <v/>
      </c>
    </row>
    <row r="749">
      <c r="A749">
        <f>IF(ISBLANK('Q:\Abteilungsprojekte\eng\EngData\AOS\Allgemein\[LabSamples2025.xlsx]Bioplastic'!A749)," ",'Q:\Abteilungsprojekte\eng\EngData\AOS\Allgemein\[LabSamples2025.xlsx]Bioplastic'!A749)</f>
        <v/>
      </c>
      <c r="B749">
        <f>IF(ISBLANK('Q:\Abteilungsprojekte\eng\EngData\AOS\Allgemein\[LabSamples2025.xlsx]Bioplastic'!B749)," ",'Q:\Abteilungsprojekte\eng\EngData\AOS\Allgemein\[LabSamples2025.xlsx]Bioplastic'!B749)</f>
        <v/>
      </c>
      <c r="C749">
        <f>IF(ISBLANK('Q:\Abteilungsprojekte\eng\EngData\AOS\Allgemein\[LabSamples2025.xlsx]Bioplastic'!C749)," ",'Q:\Abteilungsprojekte\eng\EngData\AOS\Allgemein\[LabSamples2025.xlsx]Bioplastic'!C749)</f>
        <v/>
      </c>
      <c r="D749">
        <f>IF(ISBLANK('Q:\Abteilungsprojekte\eng\EngData\AOS\Allgemein\[LabSamples2025.xlsx]Bioplastic'!D749)," ",'Q:\Abteilungsprojekte\eng\EngData\AOS\Allgemein\[LabSamples2025.xlsx]Bioplastic'!D749)</f>
        <v/>
      </c>
      <c r="E749">
        <f>IF(ISBLANK('Q:\Abteilungsprojekte\eng\EngData\AOS\Allgemein\[LabSamples2025.xlsx]Bioplastic'!E749)," ",'Q:\Abteilungsprojekte\eng\EngData\AOS\Allgemein\[LabSamples2025.xlsx]Bioplastic'!E749)</f>
        <v/>
      </c>
      <c r="F749">
        <f>IF(ISBLANK('Q:\Abteilungsprojekte\eng\EngData\AOS\Allgemein\[LabSamples2025.xlsx]Bioplastic'!F749)," ",'Q:\Abteilungsprojekte\eng\EngData\AOS\Allgemein\[LabSamples2025.xlsx]Bioplastic'!F749)</f>
        <v/>
      </c>
      <c r="G749">
        <f>IF(ISBLANK('Q:\Abteilungsprojekte\eng\EngData\AOS\Allgemein\[LabSamples2025.xlsx]Bioplastic'!G749)," ",'Q:\Abteilungsprojekte\eng\EngData\AOS\Allgemein\[LabSamples2025.xlsx]Bioplastic'!G749)</f>
        <v/>
      </c>
      <c r="H749">
        <f>IF(ISBLANK('Q:\Abteilungsprojekte\eng\EngData\AOS\Allgemein\[LabSamples2025.xlsx]Bioplastic'!H749)," ",'Q:\Abteilungsprojekte\eng\EngData\AOS\Allgemein\[LabSamples2025.xlsx]Bioplastic'!H749)</f>
        <v/>
      </c>
    </row>
    <row r="750">
      <c r="A750">
        <f>IF(ISBLANK('Q:\Abteilungsprojekte\eng\EngData\AOS\Allgemein\[LabSamples2025.xlsx]Bioplastic'!A750)," ",'Q:\Abteilungsprojekte\eng\EngData\AOS\Allgemein\[LabSamples2025.xlsx]Bioplastic'!A750)</f>
        <v/>
      </c>
      <c r="B750">
        <f>IF(ISBLANK('Q:\Abteilungsprojekte\eng\EngData\AOS\Allgemein\[LabSamples2025.xlsx]Bioplastic'!B750)," ",'Q:\Abteilungsprojekte\eng\EngData\AOS\Allgemein\[LabSamples2025.xlsx]Bioplastic'!B750)</f>
        <v/>
      </c>
      <c r="C750">
        <f>IF(ISBLANK('Q:\Abteilungsprojekte\eng\EngData\AOS\Allgemein\[LabSamples2025.xlsx]Bioplastic'!C750)," ",'Q:\Abteilungsprojekte\eng\EngData\AOS\Allgemein\[LabSamples2025.xlsx]Bioplastic'!C750)</f>
        <v/>
      </c>
      <c r="D750">
        <f>IF(ISBLANK('Q:\Abteilungsprojekte\eng\EngData\AOS\Allgemein\[LabSamples2025.xlsx]Bioplastic'!D750)," ",'Q:\Abteilungsprojekte\eng\EngData\AOS\Allgemein\[LabSamples2025.xlsx]Bioplastic'!D750)</f>
        <v/>
      </c>
      <c r="E750">
        <f>IF(ISBLANK('Q:\Abteilungsprojekte\eng\EngData\AOS\Allgemein\[LabSamples2025.xlsx]Bioplastic'!E750)," ",'Q:\Abteilungsprojekte\eng\EngData\AOS\Allgemein\[LabSamples2025.xlsx]Bioplastic'!E750)</f>
        <v/>
      </c>
      <c r="F750">
        <f>IF(ISBLANK('Q:\Abteilungsprojekte\eng\EngData\AOS\Allgemein\[LabSamples2025.xlsx]Bioplastic'!F750)," ",'Q:\Abteilungsprojekte\eng\EngData\AOS\Allgemein\[LabSamples2025.xlsx]Bioplastic'!F750)</f>
        <v/>
      </c>
      <c r="G750">
        <f>IF(ISBLANK('Q:\Abteilungsprojekte\eng\EngData\AOS\Allgemein\[LabSamples2025.xlsx]Bioplastic'!G750)," ",'Q:\Abteilungsprojekte\eng\EngData\AOS\Allgemein\[LabSamples2025.xlsx]Bioplastic'!G750)</f>
        <v/>
      </c>
      <c r="H750">
        <f>IF(ISBLANK('Q:\Abteilungsprojekte\eng\EngData\AOS\Allgemein\[LabSamples2025.xlsx]Bioplastic'!H750)," ",'Q:\Abteilungsprojekte\eng\EngData\AOS\Allgemein\[LabSamples2025.xlsx]Bioplastic'!H750)</f>
        <v/>
      </c>
    </row>
    <row r="751">
      <c r="A751">
        <f>IF(ISBLANK('Q:\Abteilungsprojekte\eng\EngData\AOS\Allgemein\[LabSamples2025.xlsx]Bioplastic'!A751)," ",'Q:\Abteilungsprojekte\eng\EngData\AOS\Allgemein\[LabSamples2025.xlsx]Bioplastic'!A751)</f>
        <v/>
      </c>
      <c r="B751">
        <f>IF(ISBLANK('Q:\Abteilungsprojekte\eng\EngData\AOS\Allgemein\[LabSamples2025.xlsx]Bioplastic'!B751)," ",'Q:\Abteilungsprojekte\eng\EngData\AOS\Allgemein\[LabSamples2025.xlsx]Bioplastic'!B751)</f>
        <v/>
      </c>
      <c r="C751">
        <f>IF(ISBLANK('Q:\Abteilungsprojekte\eng\EngData\AOS\Allgemein\[LabSamples2025.xlsx]Bioplastic'!C751)," ",'Q:\Abteilungsprojekte\eng\EngData\AOS\Allgemein\[LabSamples2025.xlsx]Bioplastic'!C751)</f>
        <v/>
      </c>
      <c r="D751">
        <f>IF(ISBLANK('Q:\Abteilungsprojekte\eng\EngData\AOS\Allgemein\[LabSamples2025.xlsx]Bioplastic'!D751)," ",'Q:\Abteilungsprojekte\eng\EngData\AOS\Allgemein\[LabSamples2025.xlsx]Bioplastic'!D751)</f>
        <v/>
      </c>
      <c r="E751">
        <f>IF(ISBLANK('Q:\Abteilungsprojekte\eng\EngData\AOS\Allgemein\[LabSamples2025.xlsx]Bioplastic'!E751)," ",'Q:\Abteilungsprojekte\eng\EngData\AOS\Allgemein\[LabSamples2025.xlsx]Bioplastic'!E751)</f>
        <v/>
      </c>
      <c r="F751">
        <f>IF(ISBLANK('Q:\Abteilungsprojekte\eng\EngData\AOS\Allgemein\[LabSamples2025.xlsx]Bioplastic'!F751)," ",'Q:\Abteilungsprojekte\eng\EngData\AOS\Allgemein\[LabSamples2025.xlsx]Bioplastic'!F751)</f>
        <v/>
      </c>
      <c r="G751">
        <f>IF(ISBLANK('Q:\Abteilungsprojekte\eng\EngData\AOS\Allgemein\[LabSamples2025.xlsx]Bioplastic'!G751)," ",'Q:\Abteilungsprojekte\eng\EngData\AOS\Allgemein\[LabSamples2025.xlsx]Bioplastic'!G751)</f>
        <v/>
      </c>
      <c r="H751">
        <f>IF(ISBLANK('Q:\Abteilungsprojekte\eng\EngData\AOS\Allgemein\[LabSamples2025.xlsx]Bioplastic'!H751)," ",'Q:\Abteilungsprojekte\eng\EngData\AOS\Allgemein\[LabSamples2025.xlsx]Bioplastic'!H751)</f>
        <v/>
      </c>
    </row>
    <row r="752">
      <c r="A752">
        <f>IF(ISBLANK('Q:\Abteilungsprojekte\eng\EngData\AOS\Allgemein\[LabSamples2025.xlsx]Bioplastic'!A752)," ",'Q:\Abteilungsprojekte\eng\EngData\AOS\Allgemein\[LabSamples2025.xlsx]Bioplastic'!A752)</f>
        <v/>
      </c>
      <c r="B752">
        <f>IF(ISBLANK('Q:\Abteilungsprojekte\eng\EngData\AOS\Allgemein\[LabSamples2025.xlsx]Bioplastic'!B752)," ",'Q:\Abteilungsprojekte\eng\EngData\AOS\Allgemein\[LabSamples2025.xlsx]Bioplastic'!B752)</f>
        <v/>
      </c>
      <c r="C752">
        <f>IF(ISBLANK('Q:\Abteilungsprojekte\eng\EngData\AOS\Allgemein\[LabSamples2025.xlsx]Bioplastic'!C752)," ",'Q:\Abteilungsprojekte\eng\EngData\AOS\Allgemein\[LabSamples2025.xlsx]Bioplastic'!C752)</f>
        <v/>
      </c>
      <c r="D752">
        <f>IF(ISBLANK('Q:\Abteilungsprojekte\eng\EngData\AOS\Allgemein\[LabSamples2025.xlsx]Bioplastic'!D752)," ",'Q:\Abteilungsprojekte\eng\EngData\AOS\Allgemein\[LabSamples2025.xlsx]Bioplastic'!D752)</f>
        <v/>
      </c>
      <c r="E752">
        <f>IF(ISBLANK('Q:\Abteilungsprojekte\eng\EngData\AOS\Allgemein\[LabSamples2025.xlsx]Bioplastic'!E752)," ",'Q:\Abteilungsprojekte\eng\EngData\AOS\Allgemein\[LabSamples2025.xlsx]Bioplastic'!E752)</f>
        <v/>
      </c>
      <c r="F752">
        <f>IF(ISBLANK('Q:\Abteilungsprojekte\eng\EngData\AOS\Allgemein\[LabSamples2025.xlsx]Bioplastic'!F752)," ",'Q:\Abteilungsprojekte\eng\EngData\AOS\Allgemein\[LabSamples2025.xlsx]Bioplastic'!F752)</f>
        <v/>
      </c>
      <c r="G752">
        <f>IF(ISBLANK('Q:\Abteilungsprojekte\eng\EngData\AOS\Allgemein\[LabSamples2025.xlsx]Bioplastic'!G752)," ",'Q:\Abteilungsprojekte\eng\EngData\AOS\Allgemein\[LabSamples2025.xlsx]Bioplastic'!G752)</f>
        <v/>
      </c>
      <c r="H752">
        <f>IF(ISBLANK('Q:\Abteilungsprojekte\eng\EngData\AOS\Allgemein\[LabSamples2025.xlsx]Bioplastic'!H752)," ",'Q:\Abteilungsprojekte\eng\EngData\AOS\Allgemein\[LabSamples2025.xlsx]Bioplastic'!H752)</f>
        <v/>
      </c>
    </row>
    <row r="753">
      <c r="A753">
        <f>IF(ISBLANK('Q:\Abteilungsprojekte\eng\EngData\AOS\Allgemein\[LabSamples2025.xlsx]Bioplastic'!A753)," ",'Q:\Abteilungsprojekte\eng\EngData\AOS\Allgemein\[LabSamples2025.xlsx]Bioplastic'!A753)</f>
        <v/>
      </c>
      <c r="B753">
        <f>IF(ISBLANK('Q:\Abteilungsprojekte\eng\EngData\AOS\Allgemein\[LabSamples2025.xlsx]Bioplastic'!B753)," ",'Q:\Abteilungsprojekte\eng\EngData\AOS\Allgemein\[LabSamples2025.xlsx]Bioplastic'!B753)</f>
        <v/>
      </c>
      <c r="C753">
        <f>IF(ISBLANK('Q:\Abteilungsprojekte\eng\EngData\AOS\Allgemein\[LabSamples2025.xlsx]Bioplastic'!C753)," ",'Q:\Abteilungsprojekte\eng\EngData\AOS\Allgemein\[LabSamples2025.xlsx]Bioplastic'!C753)</f>
        <v/>
      </c>
      <c r="D753">
        <f>IF(ISBLANK('Q:\Abteilungsprojekte\eng\EngData\AOS\Allgemein\[LabSamples2025.xlsx]Bioplastic'!D753)," ",'Q:\Abteilungsprojekte\eng\EngData\AOS\Allgemein\[LabSamples2025.xlsx]Bioplastic'!D753)</f>
        <v/>
      </c>
      <c r="E753">
        <f>IF(ISBLANK('Q:\Abteilungsprojekte\eng\EngData\AOS\Allgemein\[LabSamples2025.xlsx]Bioplastic'!E753)," ",'Q:\Abteilungsprojekte\eng\EngData\AOS\Allgemein\[LabSamples2025.xlsx]Bioplastic'!E753)</f>
        <v/>
      </c>
      <c r="F753">
        <f>IF(ISBLANK('Q:\Abteilungsprojekte\eng\EngData\AOS\Allgemein\[LabSamples2025.xlsx]Bioplastic'!F753)," ",'Q:\Abteilungsprojekte\eng\EngData\AOS\Allgemein\[LabSamples2025.xlsx]Bioplastic'!F753)</f>
        <v/>
      </c>
      <c r="G753">
        <f>IF(ISBLANK('Q:\Abteilungsprojekte\eng\EngData\AOS\Allgemein\[LabSamples2025.xlsx]Bioplastic'!G753)," ",'Q:\Abteilungsprojekte\eng\EngData\AOS\Allgemein\[LabSamples2025.xlsx]Bioplastic'!G753)</f>
        <v/>
      </c>
      <c r="H753">
        <f>IF(ISBLANK('Q:\Abteilungsprojekte\eng\EngData\AOS\Allgemein\[LabSamples2025.xlsx]Bioplastic'!H753)," ",'Q:\Abteilungsprojekte\eng\EngData\AOS\Allgemein\[LabSamples2025.xlsx]Bioplastic'!H753)</f>
        <v/>
      </c>
    </row>
    <row r="754">
      <c r="A754">
        <f>IF(ISBLANK('Q:\Abteilungsprojekte\eng\EngData\AOS\Allgemein\[LabSamples2025.xlsx]Bioplastic'!A754)," ",'Q:\Abteilungsprojekte\eng\EngData\AOS\Allgemein\[LabSamples2025.xlsx]Bioplastic'!A754)</f>
        <v/>
      </c>
      <c r="B754">
        <f>IF(ISBLANK('Q:\Abteilungsprojekte\eng\EngData\AOS\Allgemein\[LabSamples2025.xlsx]Bioplastic'!B754)," ",'Q:\Abteilungsprojekte\eng\EngData\AOS\Allgemein\[LabSamples2025.xlsx]Bioplastic'!B754)</f>
        <v/>
      </c>
      <c r="C754">
        <f>IF(ISBLANK('Q:\Abteilungsprojekte\eng\EngData\AOS\Allgemein\[LabSamples2025.xlsx]Bioplastic'!C754)," ",'Q:\Abteilungsprojekte\eng\EngData\AOS\Allgemein\[LabSamples2025.xlsx]Bioplastic'!C754)</f>
        <v/>
      </c>
      <c r="D754">
        <f>IF(ISBLANK('Q:\Abteilungsprojekte\eng\EngData\AOS\Allgemein\[LabSamples2025.xlsx]Bioplastic'!D754)," ",'Q:\Abteilungsprojekte\eng\EngData\AOS\Allgemein\[LabSamples2025.xlsx]Bioplastic'!D754)</f>
        <v/>
      </c>
      <c r="E754">
        <f>IF(ISBLANK('Q:\Abteilungsprojekte\eng\EngData\AOS\Allgemein\[LabSamples2025.xlsx]Bioplastic'!E754)," ",'Q:\Abteilungsprojekte\eng\EngData\AOS\Allgemein\[LabSamples2025.xlsx]Bioplastic'!E754)</f>
        <v/>
      </c>
      <c r="F754">
        <f>IF(ISBLANK('Q:\Abteilungsprojekte\eng\EngData\AOS\Allgemein\[LabSamples2025.xlsx]Bioplastic'!F754)," ",'Q:\Abteilungsprojekte\eng\EngData\AOS\Allgemein\[LabSamples2025.xlsx]Bioplastic'!F754)</f>
        <v/>
      </c>
      <c r="G754">
        <f>IF(ISBLANK('Q:\Abteilungsprojekte\eng\EngData\AOS\Allgemein\[LabSamples2025.xlsx]Bioplastic'!G754)," ",'Q:\Abteilungsprojekte\eng\EngData\AOS\Allgemein\[LabSamples2025.xlsx]Bioplastic'!G754)</f>
        <v/>
      </c>
      <c r="H754">
        <f>IF(ISBLANK('Q:\Abteilungsprojekte\eng\EngData\AOS\Allgemein\[LabSamples2025.xlsx]Bioplastic'!H754)," ",'Q:\Abteilungsprojekte\eng\EngData\AOS\Allgemein\[LabSamples2025.xlsx]Bioplastic'!H754)</f>
        <v/>
      </c>
    </row>
    <row r="755">
      <c r="A755">
        <f>IF(ISBLANK('Q:\Abteilungsprojekte\eng\EngData\AOS\Allgemein\[LabSamples2025.xlsx]Bioplastic'!A755)," ",'Q:\Abteilungsprojekte\eng\EngData\AOS\Allgemein\[LabSamples2025.xlsx]Bioplastic'!A755)</f>
        <v/>
      </c>
      <c r="B755">
        <f>IF(ISBLANK('Q:\Abteilungsprojekte\eng\EngData\AOS\Allgemein\[LabSamples2025.xlsx]Bioplastic'!B755)," ",'Q:\Abteilungsprojekte\eng\EngData\AOS\Allgemein\[LabSamples2025.xlsx]Bioplastic'!B755)</f>
        <v/>
      </c>
      <c r="C755">
        <f>IF(ISBLANK('Q:\Abteilungsprojekte\eng\EngData\AOS\Allgemein\[LabSamples2025.xlsx]Bioplastic'!C755)," ",'Q:\Abteilungsprojekte\eng\EngData\AOS\Allgemein\[LabSamples2025.xlsx]Bioplastic'!C755)</f>
        <v/>
      </c>
      <c r="D755">
        <f>IF(ISBLANK('Q:\Abteilungsprojekte\eng\EngData\AOS\Allgemein\[LabSamples2025.xlsx]Bioplastic'!D755)," ",'Q:\Abteilungsprojekte\eng\EngData\AOS\Allgemein\[LabSamples2025.xlsx]Bioplastic'!D755)</f>
        <v/>
      </c>
      <c r="E755">
        <f>IF(ISBLANK('Q:\Abteilungsprojekte\eng\EngData\AOS\Allgemein\[LabSamples2025.xlsx]Bioplastic'!E755)," ",'Q:\Abteilungsprojekte\eng\EngData\AOS\Allgemein\[LabSamples2025.xlsx]Bioplastic'!E755)</f>
        <v/>
      </c>
      <c r="F755">
        <f>IF(ISBLANK('Q:\Abteilungsprojekte\eng\EngData\AOS\Allgemein\[LabSamples2025.xlsx]Bioplastic'!F755)," ",'Q:\Abteilungsprojekte\eng\EngData\AOS\Allgemein\[LabSamples2025.xlsx]Bioplastic'!F755)</f>
        <v/>
      </c>
      <c r="G755">
        <f>IF(ISBLANK('Q:\Abteilungsprojekte\eng\EngData\AOS\Allgemein\[LabSamples2025.xlsx]Bioplastic'!G755)," ",'Q:\Abteilungsprojekte\eng\EngData\AOS\Allgemein\[LabSamples2025.xlsx]Bioplastic'!G755)</f>
        <v/>
      </c>
      <c r="H755">
        <f>IF(ISBLANK('Q:\Abteilungsprojekte\eng\EngData\AOS\Allgemein\[LabSamples2025.xlsx]Bioplastic'!H755)," ",'Q:\Abteilungsprojekte\eng\EngData\AOS\Allgemein\[LabSamples2025.xlsx]Bioplastic'!H755)</f>
        <v/>
      </c>
    </row>
    <row r="756">
      <c r="A756">
        <f>IF(ISBLANK('Q:\Abteilungsprojekte\eng\EngData\AOS\Allgemein\[LabSamples2025.xlsx]Bioplastic'!A756)," ",'Q:\Abteilungsprojekte\eng\EngData\AOS\Allgemein\[LabSamples2025.xlsx]Bioplastic'!A756)</f>
        <v/>
      </c>
      <c r="B756">
        <f>IF(ISBLANK('Q:\Abteilungsprojekte\eng\EngData\AOS\Allgemein\[LabSamples2025.xlsx]Bioplastic'!B756)," ",'Q:\Abteilungsprojekte\eng\EngData\AOS\Allgemein\[LabSamples2025.xlsx]Bioplastic'!B756)</f>
        <v/>
      </c>
      <c r="C756">
        <f>IF(ISBLANK('Q:\Abteilungsprojekte\eng\EngData\AOS\Allgemein\[LabSamples2025.xlsx]Bioplastic'!C756)," ",'Q:\Abteilungsprojekte\eng\EngData\AOS\Allgemein\[LabSamples2025.xlsx]Bioplastic'!C756)</f>
        <v/>
      </c>
      <c r="D756">
        <f>IF(ISBLANK('Q:\Abteilungsprojekte\eng\EngData\AOS\Allgemein\[LabSamples2025.xlsx]Bioplastic'!D756)," ",'Q:\Abteilungsprojekte\eng\EngData\AOS\Allgemein\[LabSamples2025.xlsx]Bioplastic'!D756)</f>
        <v/>
      </c>
      <c r="E756">
        <f>IF(ISBLANK('Q:\Abteilungsprojekte\eng\EngData\AOS\Allgemein\[LabSamples2025.xlsx]Bioplastic'!E756)," ",'Q:\Abteilungsprojekte\eng\EngData\AOS\Allgemein\[LabSamples2025.xlsx]Bioplastic'!E756)</f>
        <v/>
      </c>
      <c r="F756">
        <f>IF(ISBLANK('Q:\Abteilungsprojekte\eng\EngData\AOS\Allgemein\[LabSamples2025.xlsx]Bioplastic'!F756)," ",'Q:\Abteilungsprojekte\eng\EngData\AOS\Allgemein\[LabSamples2025.xlsx]Bioplastic'!F756)</f>
        <v/>
      </c>
      <c r="G756">
        <f>IF(ISBLANK('Q:\Abteilungsprojekte\eng\EngData\AOS\Allgemein\[LabSamples2025.xlsx]Bioplastic'!G756)," ",'Q:\Abteilungsprojekte\eng\EngData\AOS\Allgemein\[LabSamples2025.xlsx]Bioplastic'!G756)</f>
        <v/>
      </c>
      <c r="H756">
        <f>IF(ISBLANK('Q:\Abteilungsprojekte\eng\EngData\AOS\Allgemein\[LabSamples2025.xlsx]Bioplastic'!H756)," ",'Q:\Abteilungsprojekte\eng\EngData\AOS\Allgemein\[LabSamples2025.xlsx]Bioplastic'!H756)</f>
        <v/>
      </c>
    </row>
    <row r="757">
      <c r="A757">
        <f>IF(ISBLANK('Q:\Abteilungsprojekte\eng\EngData\AOS\Allgemein\[LabSamples2025.xlsx]Bioplastic'!A757)," ",'Q:\Abteilungsprojekte\eng\EngData\AOS\Allgemein\[LabSamples2025.xlsx]Bioplastic'!A757)</f>
        <v/>
      </c>
      <c r="B757">
        <f>IF(ISBLANK('Q:\Abteilungsprojekte\eng\EngData\AOS\Allgemein\[LabSamples2025.xlsx]Bioplastic'!B757)," ",'Q:\Abteilungsprojekte\eng\EngData\AOS\Allgemein\[LabSamples2025.xlsx]Bioplastic'!B757)</f>
        <v/>
      </c>
      <c r="C757">
        <f>IF(ISBLANK('Q:\Abteilungsprojekte\eng\EngData\AOS\Allgemein\[LabSamples2025.xlsx]Bioplastic'!C757)," ",'Q:\Abteilungsprojekte\eng\EngData\AOS\Allgemein\[LabSamples2025.xlsx]Bioplastic'!C757)</f>
        <v/>
      </c>
      <c r="D757">
        <f>IF(ISBLANK('Q:\Abteilungsprojekte\eng\EngData\AOS\Allgemein\[LabSamples2025.xlsx]Bioplastic'!D757)," ",'Q:\Abteilungsprojekte\eng\EngData\AOS\Allgemein\[LabSamples2025.xlsx]Bioplastic'!D757)</f>
        <v/>
      </c>
      <c r="E757">
        <f>IF(ISBLANK('Q:\Abteilungsprojekte\eng\EngData\AOS\Allgemein\[LabSamples2025.xlsx]Bioplastic'!E757)," ",'Q:\Abteilungsprojekte\eng\EngData\AOS\Allgemein\[LabSamples2025.xlsx]Bioplastic'!E757)</f>
        <v/>
      </c>
      <c r="F757">
        <f>IF(ISBLANK('Q:\Abteilungsprojekte\eng\EngData\AOS\Allgemein\[LabSamples2025.xlsx]Bioplastic'!F757)," ",'Q:\Abteilungsprojekte\eng\EngData\AOS\Allgemein\[LabSamples2025.xlsx]Bioplastic'!F757)</f>
        <v/>
      </c>
      <c r="G757">
        <f>IF(ISBLANK('Q:\Abteilungsprojekte\eng\EngData\AOS\Allgemein\[LabSamples2025.xlsx]Bioplastic'!G757)," ",'Q:\Abteilungsprojekte\eng\EngData\AOS\Allgemein\[LabSamples2025.xlsx]Bioplastic'!G757)</f>
        <v/>
      </c>
      <c r="H757">
        <f>IF(ISBLANK('Q:\Abteilungsprojekte\eng\EngData\AOS\Allgemein\[LabSamples2025.xlsx]Bioplastic'!H757)," ",'Q:\Abteilungsprojekte\eng\EngData\AOS\Allgemein\[LabSamples2025.xlsx]Bioplastic'!H757)</f>
        <v/>
      </c>
    </row>
    <row r="758">
      <c r="A758">
        <f>IF(ISBLANK('Q:\Abteilungsprojekte\eng\EngData\AOS\Allgemein\[LabSamples2025.xlsx]Bioplastic'!A758)," ",'Q:\Abteilungsprojekte\eng\EngData\AOS\Allgemein\[LabSamples2025.xlsx]Bioplastic'!A758)</f>
        <v/>
      </c>
      <c r="B758">
        <f>IF(ISBLANK('Q:\Abteilungsprojekte\eng\EngData\AOS\Allgemein\[LabSamples2025.xlsx]Bioplastic'!B758)," ",'Q:\Abteilungsprojekte\eng\EngData\AOS\Allgemein\[LabSamples2025.xlsx]Bioplastic'!B758)</f>
        <v/>
      </c>
      <c r="C758">
        <f>IF(ISBLANK('Q:\Abteilungsprojekte\eng\EngData\AOS\Allgemein\[LabSamples2025.xlsx]Bioplastic'!C758)," ",'Q:\Abteilungsprojekte\eng\EngData\AOS\Allgemein\[LabSamples2025.xlsx]Bioplastic'!C758)</f>
        <v/>
      </c>
      <c r="D758">
        <f>IF(ISBLANK('Q:\Abteilungsprojekte\eng\EngData\AOS\Allgemein\[LabSamples2025.xlsx]Bioplastic'!D758)," ",'Q:\Abteilungsprojekte\eng\EngData\AOS\Allgemein\[LabSamples2025.xlsx]Bioplastic'!D758)</f>
        <v/>
      </c>
      <c r="E758">
        <f>IF(ISBLANK('Q:\Abteilungsprojekte\eng\EngData\AOS\Allgemein\[LabSamples2025.xlsx]Bioplastic'!E758)," ",'Q:\Abteilungsprojekte\eng\EngData\AOS\Allgemein\[LabSamples2025.xlsx]Bioplastic'!E758)</f>
        <v/>
      </c>
      <c r="F758">
        <f>IF(ISBLANK('Q:\Abteilungsprojekte\eng\EngData\AOS\Allgemein\[LabSamples2025.xlsx]Bioplastic'!F758)," ",'Q:\Abteilungsprojekte\eng\EngData\AOS\Allgemein\[LabSamples2025.xlsx]Bioplastic'!F758)</f>
        <v/>
      </c>
      <c r="G758">
        <f>IF(ISBLANK('Q:\Abteilungsprojekte\eng\EngData\AOS\Allgemein\[LabSamples2025.xlsx]Bioplastic'!G758)," ",'Q:\Abteilungsprojekte\eng\EngData\AOS\Allgemein\[LabSamples2025.xlsx]Bioplastic'!G758)</f>
        <v/>
      </c>
      <c r="H758">
        <f>IF(ISBLANK('Q:\Abteilungsprojekte\eng\EngData\AOS\Allgemein\[LabSamples2025.xlsx]Bioplastic'!H758)," ",'Q:\Abteilungsprojekte\eng\EngData\AOS\Allgemein\[LabSamples2025.xlsx]Bioplastic'!H758)</f>
        <v/>
      </c>
    </row>
    <row r="759">
      <c r="A759">
        <f>IF(ISBLANK('Q:\Abteilungsprojekte\eng\EngData\AOS\Allgemein\[LabSamples2025.xlsx]Bioplastic'!A759)," ",'Q:\Abteilungsprojekte\eng\EngData\AOS\Allgemein\[LabSamples2025.xlsx]Bioplastic'!A759)</f>
        <v/>
      </c>
      <c r="B759">
        <f>IF(ISBLANK('Q:\Abteilungsprojekte\eng\EngData\AOS\Allgemein\[LabSamples2025.xlsx]Bioplastic'!B759)," ",'Q:\Abteilungsprojekte\eng\EngData\AOS\Allgemein\[LabSamples2025.xlsx]Bioplastic'!B759)</f>
        <v/>
      </c>
      <c r="C759">
        <f>IF(ISBLANK('Q:\Abteilungsprojekte\eng\EngData\AOS\Allgemein\[LabSamples2025.xlsx]Bioplastic'!C759)," ",'Q:\Abteilungsprojekte\eng\EngData\AOS\Allgemein\[LabSamples2025.xlsx]Bioplastic'!C759)</f>
        <v/>
      </c>
      <c r="D759">
        <f>IF(ISBLANK('Q:\Abteilungsprojekte\eng\EngData\AOS\Allgemein\[LabSamples2025.xlsx]Bioplastic'!D759)," ",'Q:\Abteilungsprojekte\eng\EngData\AOS\Allgemein\[LabSamples2025.xlsx]Bioplastic'!D759)</f>
        <v/>
      </c>
      <c r="E759">
        <f>IF(ISBLANK('Q:\Abteilungsprojekte\eng\EngData\AOS\Allgemein\[LabSamples2025.xlsx]Bioplastic'!E759)," ",'Q:\Abteilungsprojekte\eng\EngData\AOS\Allgemein\[LabSamples2025.xlsx]Bioplastic'!E759)</f>
        <v/>
      </c>
      <c r="F759">
        <f>IF(ISBLANK('Q:\Abteilungsprojekte\eng\EngData\AOS\Allgemein\[LabSamples2025.xlsx]Bioplastic'!F759)," ",'Q:\Abteilungsprojekte\eng\EngData\AOS\Allgemein\[LabSamples2025.xlsx]Bioplastic'!F759)</f>
        <v/>
      </c>
      <c r="G759">
        <f>IF(ISBLANK('Q:\Abteilungsprojekte\eng\EngData\AOS\Allgemein\[LabSamples2025.xlsx]Bioplastic'!G759)," ",'Q:\Abteilungsprojekte\eng\EngData\AOS\Allgemein\[LabSamples2025.xlsx]Bioplastic'!G759)</f>
        <v/>
      </c>
      <c r="H759">
        <f>IF(ISBLANK('Q:\Abteilungsprojekte\eng\EngData\AOS\Allgemein\[LabSamples2025.xlsx]Bioplastic'!H759)," ",'Q:\Abteilungsprojekte\eng\EngData\AOS\Allgemein\[LabSamples2025.xlsx]Bioplastic'!H759)</f>
        <v/>
      </c>
    </row>
    <row r="760">
      <c r="A760">
        <f>IF(ISBLANK('Q:\Abteilungsprojekte\eng\EngData\AOS\Allgemein\[LabSamples2025.xlsx]Bioplastic'!A760)," ",'Q:\Abteilungsprojekte\eng\EngData\AOS\Allgemein\[LabSamples2025.xlsx]Bioplastic'!A760)</f>
        <v/>
      </c>
      <c r="B760">
        <f>IF(ISBLANK('Q:\Abteilungsprojekte\eng\EngData\AOS\Allgemein\[LabSamples2025.xlsx]Bioplastic'!B760)," ",'Q:\Abteilungsprojekte\eng\EngData\AOS\Allgemein\[LabSamples2025.xlsx]Bioplastic'!B760)</f>
        <v/>
      </c>
      <c r="C760">
        <f>IF(ISBLANK('Q:\Abteilungsprojekte\eng\EngData\AOS\Allgemein\[LabSamples2025.xlsx]Bioplastic'!C760)," ",'Q:\Abteilungsprojekte\eng\EngData\AOS\Allgemein\[LabSamples2025.xlsx]Bioplastic'!C760)</f>
        <v/>
      </c>
      <c r="D760">
        <f>IF(ISBLANK('Q:\Abteilungsprojekte\eng\EngData\AOS\Allgemein\[LabSamples2025.xlsx]Bioplastic'!D760)," ",'Q:\Abteilungsprojekte\eng\EngData\AOS\Allgemein\[LabSamples2025.xlsx]Bioplastic'!D760)</f>
        <v/>
      </c>
      <c r="E760">
        <f>IF(ISBLANK('Q:\Abteilungsprojekte\eng\EngData\AOS\Allgemein\[LabSamples2025.xlsx]Bioplastic'!E760)," ",'Q:\Abteilungsprojekte\eng\EngData\AOS\Allgemein\[LabSamples2025.xlsx]Bioplastic'!E760)</f>
        <v/>
      </c>
      <c r="F760">
        <f>IF(ISBLANK('Q:\Abteilungsprojekte\eng\EngData\AOS\Allgemein\[LabSamples2025.xlsx]Bioplastic'!F760)," ",'Q:\Abteilungsprojekte\eng\EngData\AOS\Allgemein\[LabSamples2025.xlsx]Bioplastic'!F760)</f>
        <v/>
      </c>
      <c r="G760">
        <f>IF(ISBLANK('Q:\Abteilungsprojekte\eng\EngData\AOS\Allgemein\[LabSamples2025.xlsx]Bioplastic'!G760)," ",'Q:\Abteilungsprojekte\eng\EngData\AOS\Allgemein\[LabSamples2025.xlsx]Bioplastic'!G760)</f>
        <v/>
      </c>
      <c r="H760">
        <f>IF(ISBLANK('Q:\Abteilungsprojekte\eng\EngData\AOS\Allgemein\[LabSamples2025.xlsx]Bioplastic'!H760)," ",'Q:\Abteilungsprojekte\eng\EngData\AOS\Allgemein\[LabSamples2025.xlsx]Bioplastic'!H760)</f>
        <v/>
      </c>
    </row>
    <row r="761">
      <c r="A761">
        <f>IF(ISBLANK('Q:\Abteilungsprojekte\eng\EngData\AOS\Allgemein\[LabSamples2025.xlsx]Bioplastic'!A761)," ",'Q:\Abteilungsprojekte\eng\EngData\AOS\Allgemein\[LabSamples2025.xlsx]Bioplastic'!A761)</f>
        <v/>
      </c>
      <c r="B761">
        <f>IF(ISBLANK('Q:\Abteilungsprojekte\eng\EngData\AOS\Allgemein\[LabSamples2025.xlsx]Bioplastic'!B761)," ",'Q:\Abteilungsprojekte\eng\EngData\AOS\Allgemein\[LabSamples2025.xlsx]Bioplastic'!B761)</f>
        <v/>
      </c>
      <c r="C761">
        <f>IF(ISBLANK('Q:\Abteilungsprojekte\eng\EngData\AOS\Allgemein\[LabSamples2025.xlsx]Bioplastic'!C761)," ",'Q:\Abteilungsprojekte\eng\EngData\AOS\Allgemein\[LabSamples2025.xlsx]Bioplastic'!C761)</f>
        <v/>
      </c>
      <c r="D761">
        <f>IF(ISBLANK('Q:\Abteilungsprojekte\eng\EngData\AOS\Allgemein\[LabSamples2025.xlsx]Bioplastic'!D761)," ",'Q:\Abteilungsprojekte\eng\EngData\AOS\Allgemein\[LabSamples2025.xlsx]Bioplastic'!D761)</f>
        <v/>
      </c>
      <c r="E761">
        <f>IF(ISBLANK('Q:\Abteilungsprojekte\eng\EngData\AOS\Allgemein\[LabSamples2025.xlsx]Bioplastic'!E761)," ",'Q:\Abteilungsprojekte\eng\EngData\AOS\Allgemein\[LabSamples2025.xlsx]Bioplastic'!E761)</f>
        <v/>
      </c>
      <c r="F761">
        <f>IF(ISBLANK('Q:\Abteilungsprojekte\eng\EngData\AOS\Allgemein\[LabSamples2025.xlsx]Bioplastic'!F761)," ",'Q:\Abteilungsprojekte\eng\EngData\AOS\Allgemein\[LabSamples2025.xlsx]Bioplastic'!F761)</f>
        <v/>
      </c>
      <c r="G761">
        <f>IF(ISBLANK('Q:\Abteilungsprojekte\eng\EngData\AOS\Allgemein\[LabSamples2025.xlsx]Bioplastic'!G761)," ",'Q:\Abteilungsprojekte\eng\EngData\AOS\Allgemein\[LabSamples2025.xlsx]Bioplastic'!G761)</f>
        <v/>
      </c>
      <c r="H761">
        <f>IF(ISBLANK('Q:\Abteilungsprojekte\eng\EngData\AOS\Allgemein\[LabSamples2025.xlsx]Bioplastic'!H761)," ",'Q:\Abteilungsprojekte\eng\EngData\AOS\Allgemein\[LabSamples2025.xlsx]Bioplastic'!H761)</f>
        <v/>
      </c>
    </row>
    <row r="762">
      <c r="A762">
        <f>IF(ISBLANK('Q:\Abteilungsprojekte\eng\EngData\AOS\Allgemein\[LabSamples2025.xlsx]Bioplastic'!A762)," ",'Q:\Abteilungsprojekte\eng\EngData\AOS\Allgemein\[LabSamples2025.xlsx]Bioplastic'!A762)</f>
        <v/>
      </c>
      <c r="B762">
        <f>IF(ISBLANK('Q:\Abteilungsprojekte\eng\EngData\AOS\Allgemein\[LabSamples2025.xlsx]Bioplastic'!B762)," ",'Q:\Abteilungsprojekte\eng\EngData\AOS\Allgemein\[LabSamples2025.xlsx]Bioplastic'!B762)</f>
        <v/>
      </c>
      <c r="C762">
        <f>IF(ISBLANK('Q:\Abteilungsprojekte\eng\EngData\AOS\Allgemein\[LabSamples2025.xlsx]Bioplastic'!C762)," ",'Q:\Abteilungsprojekte\eng\EngData\AOS\Allgemein\[LabSamples2025.xlsx]Bioplastic'!C762)</f>
        <v/>
      </c>
      <c r="D762">
        <f>IF(ISBLANK('Q:\Abteilungsprojekte\eng\EngData\AOS\Allgemein\[LabSamples2025.xlsx]Bioplastic'!D762)," ",'Q:\Abteilungsprojekte\eng\EngData\AOS\Allgemein\[LabSamples2025.xlsx]Bioplastic'!D762)</f>
        <v/>
      </c>
      <c r="E762">
        <f>IF(ISBLANK('Q:\Abteilungsprojekte\eng\EngData\AOS\Allgemein\[LabSamples2025.xlsx]Bioplastic'!E762)," ",'Q:\Abteilungsprojekte\eng\EngData\AOS\Allgemein\[LabSamples2025.xlsx]Bioplastic'!E762)</f>
        <v/>
      </c>
      <c r="F762">
        <f>IF(ISBLANK('Q:\Abteilungsprojekte\eng\EngData\AOS\Allgemein\[LabSamples2025.xlsx]Bioplastic'!F762)," ",'Q:\Abteilungsprojekte\eng\EngData\AOS\Allgemein\[LabSamples2025.xlsx]Bioplastic'!F762)</f>
        <v/>
      </c>
      <c r="G762">
        <f>IF(ISBLANK('Q:\Abteilungsprojekte\eng\EngData\AOS\Allgemein\[LabSamples2025.xlsx]Bioplastic'!G762)," ",'Q:\Abteilungsprojekte\eng\EngData\AOS\Allgemein\[LabSamples2025.xlsx]Bioplastic'!G762)</f>
        <v/>
      </c>
      <c r="H762">
        <f>IF(ISBLANK('Q:\Abteilungsprojekte\eng\EngData\AOS\Allgemein\[LabSamples2025.xlsx]Bioplastic'!H762)," ",'Q:\Abteilungsprojekte\eng\EngData\AOS\Allgemein\[LabSamples2025.xlsx]Bioplastic'!H762)</f>
        <v/>
      </c>
    </row>
    <row r="763">
      <c r="A763">
        <f>IF(ISBLANK('Q:\Abteilungsprojekte\eng\EngData\AOS\Allgemein\[LabSamples2025.xlsx]Bioplastic'!A763)," ",'Q:\Abteilungsprojekte\eng\EngData\AOS\Allgemein\[LabSamples2025.xlsx]Bioplastic'!A763)</f>
        <v/>
      </c>
      <c r="B763">
        <f>IF(ISBLANK('Q:\Abteilungsprojekte\eng\EngData\AOS\Allgemein\[LabSamples2025.xlsx]Bioplastic'!B763)," ",'Q:\Abteilungsprojekte\eng\EngData\AOS\Allgemein\[LabSamples2025.xlsx]Bioplastic'!B763)</f>
        <v/>
      </c>
      <c r="C763">
        <f>IF(ISBLANK('Q:\Abteilungsprojekte\eng\EngData\AOS\Allgemein\[LabSamples2025.xlsx]Bioplastic'!C763)," ",'Q:\Abteilungsprojekte\eng\EngData\AOS\Allgemein\[LabSamples2025.xlsx]Bioplastic'!C763)</f>
        <v/>
      </c>
      <c r="D763">
        <f>IF(ISBLANK('Q:\Abteilungsprojekte\eng\EngData\AOS\Allgemein\[LabSamples2025.xlsx]Bioplastic'!D763)," ",'Q:\Abteilungsprojekte\eng\EngData\AOS\Allgemein\[LabSamples2025.xlsx]Bioplastic'!D763)</f>
        <v/>
      </c>
      <c r="E763">
        <f>IF(ISBLANK('Q:\Abteilungsprojekte\eng\EngData\AOS\Allgemein\[LabSamples2025.xlsx]Bioplastic'!E763)," ",'Q:\Abteilungsprojekte\eng\EngData\AOS\Allgemein\[LabSamples2025.xlsx]Bioplastic'!E763)</f>
        <v/>
      </c>
      <c r="F763">
        <f>IF(ISBLANK('Q:\Abteilungsprojekte\eng\EngData\AOS\Allgemein\[LabSamples2025.xlsx]Bioplastic'!F763)," ",'Q:\Abteilungsprojekte\eng\EngData\AOS\Allgemein\[LabSamples2025.xlsx]Bioplastic'!F763)</f>
        <v/>
      </c>
      <c r="G763">
        <f>IF(ISBLANK('Q:\Abteilungsprojekte\eng\EngData\AOS\Allgemein\[LabSamples2025.xlsx]Bioplastic'!G763)," ",'Q:\Abteilungsprojekte\eng\EngData\AOS\Allgemein\[LabSamples2025.xlsx]Bioplastic'!G763)</f>
        <v/>
      </c>
      <c r="H763">
        <f>IF(ISBLANK('Q:\Abteilungsprojekte\eng\EngData\AOS\Allgemein\[LabSamples2025.xlsx]Bioplastic'!H763)," ",'Q:\Abteilungsprojekte\eng\EngData\AOS\Allgemein\[LabSamples2025.xlsx]Bioplastic'!H763)</f>
        <v/>
      </c>
    </row>
    <row r="764">
      <c r="A764">
        <f>IF(ISBLANK('Q:\Abteilungsprojekte\eng\EngData\AOS\Allgemein\[LabSamples2025.xlsx]Bioplastic'!A764)," ",'Q:\Abteilungsprojekte\eng\EngData\AOS\Allgemein\[LabSamples2025.xlsx]Bioplastic'!A764)</f>
        <v/>
      </c>
      <c r="B764">
        <f>IF(ISBLANK('Q:\Abteilungsprojekte\eng\EngData\AOS\Allgemein\[LabSamples2025.xlsx]Bioplastic'!B764)," ",'Q:\Abteilungsprojekte\eng\EngData\AOS\Allgemein\[LabSamples2025.xlsx]Bioplastic'!B764)</f>
        <v/>
      </c>
      <c r="C764">
        <f>IF(ISBLANK('Q:\Abteilungsprojekte\eng\EngData\AOS\Allgemein\[LabSamples2025.xlsx]Bioplastic'!C764)," ",'Q:\Abteilungsprojekte\eng\EngData\AOS\Allgemein\[LabSamples2025.xlsx]Bioplastic'!C764)</f>
        <v/>
      </c>
      <c r="D764">
        <f>IF(ISBLANK('Q:\Abteilungsprojekte\eng\EngData\AOS\Allgemein\[LabSamples2025.xlsx]Bioplastic'!D764)," ",'Q:\Abteilungsprojekte\eng\EngData\AOS\Allgemein\[LabSamples2025.xlsx]Bioplastic'!D764)</f>
        <v/>
      </c>
      <c r="E764">
        <f>IF(ISBLANK('Q:\Abteilungsprojekte\eng\EngData\AOS\Allgemein\[LabSamples2025.xlsx]Bioplastic'!E764)," ",'Q:\Abteilungsprojekte\eng\EngData\AOS\Allgemein\[LabSamples2025.xlsx]Bioplastic'!E764)</f>
        <v/>
      </c>
      <c r="F764">
        <f>IF(ISBLANK('Q:\Abteilungsprojekte\eng\EngData\AOS\Allgemein\[LabSamples2025.xlsx]Bioplastic'!F764)," ",'Q:\Abteilungsprojekte\eng\EngData\AOS\Allgemein\[LabSamples2025.xlsx]Bioplastic'!F764)</f>
        <v/>
      </c>
      <c r="G764">
        <f>IF(ISBLANK('Q:\Abteilungsprojekte\eng\EngData\AOS\Allgemein\[LabSamples2025.xlsx]Bioplastic'!G764)," ",'Q:\Abteilungsprojekte\eng\EngData\AOS\Allgemein\[LabSamples2025.xlsx]Bioplastic'!G764)</f>
        <v/>
      </c>
      <c r="H764">
        <f>IF(ISBLANK('Q:\Abteilungsprojekte\eng\EngData\AOS\Allgemein\[LabSamples2025.xlsx]Bioplastic'!H764)," ",'Q:\Abteilungsprojekte\eng\EngData\AOS\Allgemein\[LabSamples2025.xlsx]Bioplastic'!H764)</f>
        <v/>
      </c>
    </row>
    <row r="765">
      <c r="A765">
        <f>IF(ISBLANK('Q:\Abteilungsprojekte\eng\EngData\AOS\Allgemein\[LabSamples2025.xlsx]Bioplastic'!A765)," ",'Q:\Abteilungsprojekte\eng\EngData\AOS\Allgemein\[LabSamples2025.xlsx]Bioplastic'!A765)</f>
        <v/>
      </c>
      <c r="B765">
        <f>IF(ISBLANK('Q:\Abteilungsprojekte\eng\EngData\AOS\Allgemein\[LabSamples2025.xlsx]Bioplastic'!B765)," ",'Q:\Abteilungsprojekte\eng\EngData\AOS\Allgemein\[LabSamples2025.xlsx]Bioplastic'!B765)</f>
        <v/>
      </c>
      <c r="C765">
        <f>IF(ISBLANK('Q:\Abteilungsprojekte\eng\EngData\AOS\Allgemein\[LabSamples2025.xlsx]Bioplastic'!C765)," ",'Q:\Abteilungsprojekte\eng\EngData\AOS\Allgemein\[LabSamples2025.xlsx]Bioplastic'!C765)</f>
        <v/>
      </c>
      <c r="D765">
        <f>IF(ISBLANK('Q:\Abteilungsprojekte\eng\EngData\AOS\Allgemein\[LabSamples2025.xlsx]Bioplastic'!D765)," ",'Q:\Abteilungsprojekte\eng\EngData\AOS\Allgemein\[LabSamples2025.xlsx]Bioplastic'!D765)</f>
        <v/>
      </c>
      <c r="E765">
        <f>IF(ISBLANK('Q:\Abteilungsprojekte\eng\EngData\AOS\Allgemein\[LabSamples2025.xlsx]Bioplastic'!E765)," ",'Q:\Abteilungsprojekte\eng\EngData\AOS\Allgemein\[LabSamples2025.xlsx]Bioplastic'!E765)</f>
        <v/>
      </c>
      <c r="F765">
        <f>IF(ISBLANK('Q:\Abteilungsprojekte\eng\EngData\AOS\Allgemein\[LabSamples2025.xlsx]Bioplastic'!F765)," ",'Q:\Abteilungsprojekte\eng\EngData\AOS\Allgemein\[LabSamples2025.xlsx]Bioplastic'!F765)</f>
        <v/>
      </c>
      <c r="G765">
        <f>IF(ISBLANK('Q:\Abteilungsprojekte\eng\EngData\AOS\Allgemein\[LabSamples2025.xlsx]Bioplastic'!G765)," ",'Q:\Abteilungsprojekte\eng\EngData\AOS\Allgemein\[LabSamples2025.xlsx]Bioplastic'!G765)</f>
        <v/>
      </c>
      <c r="H765">
        <f>IF(ISBLANK('Q:\Abteilungsprojekte\eng\EngData\AOS\Allgemein\[LabSamples2025.xlsx]Bioplastic'!H765)," ",'Q:\Abteilungsprojekte\eng\EngData\AOS\Allgemein\[LabSamples2025.xlsx]Bioplastic'!H765)</f>
        <v/>
      </c>
    </row>
    <row r="766">
      <c r="A766">
        <f>IF(ISBLANK('Q:\Abteilungsprojekte\eng\EngData\AOS\Allgemein\[LabSamples2025.xlsx]Bioplastic'!A766)," ",'Q:\Abteilungsprojekte\eng\EngData\AOS\Allgemein\[LabSamples2025.xlsx]Bioplastic'!A766)</f>
        <v/>
      </c>
      <c r="B766">
        <f>IF(ISBLANK('Q:\Abteilungsprojekte\eng\EngData\AOS\Allgemein\[LabSamples2025.xlsx]Bioplastic'!B766)," ",'Q:\Abteilungsprojekte\eng\EngData\AOS\Allgemein\[LabSamples2025.xlsx]Bioplastic'!B766)</f>
        <v/>
      </c>
      <c r="C766">
        <f>IF(ISBLANK('Q:\Abteilungsprojekte\eng\EngData\AOS\Allgemein\[LabSamples2025.xlsx]Bioplastic'!C766)," ",'Q:\Abteilungsprojekte\eng\EngData\AOS\Allgemein\[LabSamples2025.xlsx]Bioplastic'!C766)</f>
        <v/>
      </c>
      <c r="D766">
        <f>IF(ISBLANK('Q:\Abteilungsprojekte\eng\EngData\AOS\Allgemein\[LabSamples2025.xlsx]Bioplastic'!D766)," ",'Q:\Abteilungsprojekte\eng\EngData\AOS\Allgemein\[LabSamples2025.xlsx]Bioplastic'!D766)</f>
        <v/>
      </c>
      <c r="E766">
        <f>IF(ISBLANK('Q:\Abteilungsprojekte\eng\EngData\AOS\Allgemein\[LabSamples2025.xlsx]Bioplastic'!E766)," ",'Q:\Abteilungsprojekte\eng\EngData\AOS\Allgemein\[LabSamples2025.xlsx]Bioplastic'!E766)</f>
        <v/>
      </c>
      <c r="F766">
        <f>IF(ISBLANK('Q:\Abteilungsprojekte\eng\EngData\AOS\Allgemein\[LabSamples2025.xlsx]Bioplastic'!F766)," ",'Q:\Abteilungsprojekte\eng\EngData\AOS\Allgemein\[LabSamples2025.xlsx]Bioplastic'!F766)</f>
        <v/>
      </c>
      <c r="G766">
        <f>IF(ISBLANK('Q:\Abteilungsprojekte\eng\EngData\AOS\Allgemein\[LabSamples2025.xlsx]Bioplastic'!G766)," ",'Q:\Abteilungsprojekte\eng\EngData\AOS\Allgemein\[LabSamples2025.xlsx]Bioplastic'!G766)</f>
        <v/>
      </c>
      <c r="H766">
        <f>IF(ISBLANK('Q:\Abteilungsprojekte\eng\EngData\AOS\Allgemein\[LabSamples2025.xlsx]Bioplastic'!H766)," ",'Q:\Abteilungsprojekte\eng\EngData\AOS\Allgemein\[LabSamples2025.xlsx]Bioplastic'!H766)</f>
        <v/>
      </c>
    </row>
    <row r="767">
      <c r="A767">
        <f>IF(ISBLANK('Q:\Abteilungsprojekte\eng\EngData\AOS\Allgemein\[LabSamples2025.xlsx]Bioplastic'!A767)," ",'Q:\Abteilungsprojekte\eng\EngData\AOS\Allgemein\[LabSamples2025.xlsx]Bioplastic'!A767)</f>
        <v/>
      </c>
      <c r="B767">
        <f>IF(ISBLANK('Q:\Abteilungsprojekte\eng\EngData\AOS\Allgemein\[LabSamples2025.xlsx]Bioplastic'!B767)," ",'Q:\Abteilungsprojekte\eng\EngData\AOS\Allgemein\[LabSamples2025.xlsx]Bioplastic'!B767)</f>
        <v/>
      </c>
      <c r="C767">
        <f>IF(ISBLANK('Q:\Abteilungsprojekte\eng\EngData\AOS\Allgemein\[LabSamples2025.xlsx]Bioplastic'!C767)," ",'Q:\Abteilungsprojekte\eng\EngData\AOS\Allgemein\[LabSamples2025.xlsx]Bioplastic'!C767)</f>
        <v/>
      </c>
      <c r="D767">
        <f>IF(ISBLANK('Q:\Abteilungsprojekte\eng\EngData\AOS\Allgemein\[LabSamples2025.xlsx]Bioplastic'!D767)," ",'Q:\Abteilungsprojekte\eng\EngData\AOS\Allgemein\[LabSamples2025.xlsx]Bioplastic'!D767)</f>
        <v/>
      </c>
      <c r="E767">
        <f>IF(ISBLANK('Q:\Abteilungsprojekte\eng\EngData\AOS\Allgemein\[LabSamples2025.xlsx]Bioplastic'!E767)," ",'Q:\Abteilungsprojekte\eng\EngData\AOS\Allgemein\[LabSamples2025.xlsx]Bioplastic'!E767)</f>
        <v/>
      </c>
      <c r="F767">
        <f>IF(ISBLANK('Q:\Abteilungsprojekte\eng\EngData\AOS\Allgemein\[LabSamples2025.xlsx]Bioplastic'!F767)," ",'Q:\Abteilungsprojekte\eng\EngData\AOS\Allgemein\[LabSamples2025.xlsx]Bioplastic'!F767)</f>
        <v/>
      </c>
      <c r="G767">
        <f>IF(ISBLANK('Q:\Abteilungsprojekte\eng\EngData\AOS\Allgemein\[LabSamples2025.xlsx]Bioplastic'!G767)," ",'Q:\Abteilungsprojekte\eng\EngData\AOS\Allgemein\[LabSamples2025.xlsx]Bioplastic'!G767)</f>
        <v/>
      </c>
      <c r="H767">
        <f>IF(ISBLANK('Q:\Abteilungsprojekte\eng\EngData\AOS\Allgemein\[LabSamples2025.xlsx]Bioplastic'!H767)," ",'Q:\Abteilungsprojekte\eng\EngData\AOS\Allgemein\[LabSamples2025.xlsx]Bioplastic'!H767)</f>
        <v/>
      </c>
    </row>
    <row r="768">
      <c r="A768">
        <f>IF(ISBLANK('Q:\Abteilungsprojekte\eng\EngData\AOS\Allgemein\[LabSamples2025.xlsx]Bioplastic'!A768)," ",'Q:\Abteilungsprojekte\eng\EngData\AOS\Allgemein\[LabSamples2025.xlsx]Bioplastic'!A768)</f>
        <v/>
      </c>
      <c r="B768">
        <f>IF(ISBLANK('Q:\Abteilungsprojekte\eng\EngData\AOS\Allgemein\[LabSamples2025.xlsx]Bioplastic'!B768)," ",'Q:\Abteilungsprojekte\eng\EngData\AOS\Allgemein\[LabSamples2025.xlsx]Bioplastic'!B768)</f>
        <v/>
      </c>
      <c r="C768">
        <f>IF(ISBLANK('Q:\Abteilungsprojekte\eng\EngData\AOS\Allgemein\[LabSamples2025.xlsx]Bioplastic'!C768)," ",'Q:\Abteilungsprojekte\eng\EngData\AOS\Allgemein\[LabSamples2025.xlsx]Bioplastic'!C768)</f>
        <v/>
      </c>
      <c r="D768">
        <f>IF(ISBLANK('Q:\Abteilungsprojekte\eng\EngData\AOS\Allgemein\[LabSamples2025.xlsx]Bioplastic'!D768)," ",'Q:\Abteilungsprojekte\eng\EngData\AOS\Allgemein\[LabSamples2025.xlsx]Bioplastic'!D768)</f>
        <v/>
      </c>
      <c r="E768">
        <f>IF(ISBLANK('Q:\Abteilungsprojekte\eng\EngData\AOS\Allgemein\[LabSamples2025.xlsx]Bioplastic'!E768)," ",'Q:\Abteilungsprojekte\eng\EngData\AOS\Allgemein\[LabSamples2025.xlsx]Bioplastic'!E768)</f>
        <v/>
      </c>
      <c r="F768">
        <f>IF(ISBLANK('Q:\Abteilungsprojekte\eng\EngData\AOS\Allgemein\[LabSamples2025.xlsx]Bioplastic'!F768)," ",'Q:\Abteilungsprojekte\eng\EngData\AOS\Allgemein\[LabSamples2025.xlsx]Bioplastic'!F768)</f>
        <v/>
      </c>
      <c r="G768">
        <f>IF(ISBLANK('Q:\Abteilungsprojekte\eng\EngData\AOS\Allgemein\[LabSamples2025.xlsx]Bioplastic'!G768)," ",'Q:\Abteilungsprojekte\eng\EngData\AOS\Allgemein\[LabSamples2025.xlsx]Bioplastic'!G768)</f>
        <v/>
      </c>
      <c r="H768">
        <f>IF(ISBLANK('Q:\Abteilungsprojekte\eng\EngData\AOS\Allgemein\[LabSamples2025.xlsx]Bioplastic'!H768)," ",'Q:\Abteilungsprojekte\eng\EngData\AOS\Allgemein\[LabSamples2025.xlsx]Bioplastic'!H768)</f>
        <v/>
      </c>
    </row>
    <row r="769">
      <c r="A769">
        <f>IF(ISBLANK('Q:\Abteilungsprojekte\eng\EngData\AOS\Allgemein\[LabSamples2025.xlsx]Bioplastic'!A769)," ",'Q:\Abteilungsprojekte\eng\EngData\AOS\Allgemein\[LabSamples2025.xlsx]Bioplastic'!A769)</f>
        <v/>
      </c>
      <c r="B769">
        <f>IF(ISBLANK('Q:\Abteilungsprojekte\eng\EngData\AOS\Allgemein\[LabSamples2025.xlsx]Bioplastic'!B769)," ",'Q:\Abteilungsprojekte\eng\EngData\AOS\Allgemein\[LabSamples2025.xlsx]Bioplastic'!B769)</f>
        <v/>
      </c>
      <c r="C769">
        <f>IF(ISBLANK('Q:\Abteilungsprojekte\eng\EngData\AOS\Allgemein\[LabSamples2025.xlsx]Bioplastic'!C769)," ",'Q:\Abteilungsprojekte\eng\EngData\AOS\Allgemein\[LabSamples2025.xlsx]Bioplastic'!C769)</f>
        <v/>
      </c>
      <c r="D769">
        <f>IF(ISBLANK('Q:\Abteilungsprojekte\eng\EngData\AOS\Allgemein\[LabSamples2025.xlsx]Bioplastic'!D769)," ",'Q:\Abteilungsprojekte\eng\EngData\AOS\Allgemein\[LabSamples2025.xlsx]Bioplastic'!D769)</f>
        <v/>
      </c>
      <c r="E769">
        <f>IF(ISBLANK('Q:\Abteilungsprojekte\eng\EngData\AOS\Allgemein\[LabSamples2025.xlsx]Bioplastic'!E769)," ",'Q:\Abteilungsprojekte\eng\EngData\AOS\Allgemein\[LabSamples2025.xlsx]Bioplastic'!E769)</f>
        <v/>
      </c>
      <c r="F769">
        <f>IF(ISBLANK('Q:\Abteilungsprojekte\eng\EngData\AOS\Allgemein\[LabSamples2025.xlsx]Bioplastic'!F769)," ",'Q:\Abteilungsprojekte\eng\EngData\AOS\Allgemein\[LabSamples2025.xlsx]Bioplastic'!F769)</f>
        <v/>
      </c>
      <c r="G769">
        <f>IF(ISBLANK('Q:\Abteilungsprojekte\eng\EngData\AOS\Allgemein\[LabSamples2025.xlsx]Bioplastic'!G769)," ",'Q:\Abteilungsprojekte\eng\EngData\AOS\Allgemein\[LabSamples2025.xlsx]Bioplastic'!G769)</f>
        <v/>
      </c>
      <c r="H769">
        <f>IF(ISBLANK('Q:\Abteilungsprojekte\eng\EngData\AOS\Allgemein\[LabSamples2025.xlsx]Bioplastic'!H769)," ",'Q:\Abteilungsprojekte\eng\EngData\AOS\Allgemein\[LabSamples2025.xlsx]Bioplastic'!H769)</f>
        <v/>
      </c>
    </row>
    <row r="770">
      <c r="A770">
        <f>IF(ISBLANK('Q:\Abteilungsprojekte\eng\EngData\AOS\Allgemein\[LabSamples2025.xlsx]Bioplastic'!A770)," ",'Q:\Abteilungsprojekte\eng\EngData\AOS\Allgemein\[LabSamples2025.xlsx]Bioplastic'!A770)</f>
        <v/>
      </c>
      <c r="B770">
        <f>IF(ISBLANK('Q:\Abteilungsprojekte\eng\EngData\AOS\Allgemein\[LabSamples2025.xlsx]Bioplastic'!B770)," ",'Q:\Abteilungsprojekte\eng\EngData\AOS\Allgemein\[LabSamples2025.xlsx]Bioplastic'!B770)</f>
        <v/>
      </c>
      <c r="C770">
        <f>IF(ISBLANK('Q:\Abteilungsprojekte\eng\EngData\AOS\Allgemein\[LabSamples2025.xlsx]Bioplastic'!C770)," ",'Q:\Abteilungsprojekte\eng\EngData\AOS\Allgemein\[LabSamples2025.xlsx]Bioplastic'!C770)</f>
        <v/>
      </c>
      <c r="D770">
        <f>IF(ISBLANK('Q:\Abteilungsprojekte\eng\EngData\AOS\Allgemein\[LabSamples2025.xlsx]Bioplastic'!D770)," ",'Q:\Abteilungsprojekte\eng\EngData\AOS\Allgemein\[LabSamples2025.xlsx]Bioplastic'!D770)</f>
        <v/>
      </c>
      <c r="E770">
        <f>IF(ISBLANK('Q:\Abteilungsprojekte\eng\EngData\AOS\Allgemein\[LabSamples2025.xlsx]Bioplastic'!E770)," ",'Q:\Abteilungsprojekte\eng\EngData\AOS\Allgemein\[LabSamples2025.xlsx]Bioplastic'!E770)</f>
        <v/>
      </c>
      <c r="F770">
        <f>IF(ISBLANK('Q:\Abteilungsprojekte\eng\EngData\AOS\Allgemein\[LabSamples2025.xlsx]Bioplastic'!F770)," ",'Q:\Abteilungsprojekte\eng\EngData\AOS\Allgemein\[LabSamples2025.xlsx]Bioplastic'!F770)</f>
        <v/>
      </c>
      <c r="G770">
        <f>IF(ISBLANK('Q:\Abteilungsprojekte\eng\EngData\AOS\Allgemein\[LabSamples2025.xlsx]Bioplastic'!G770)," ",'Q:\Abteilungsprojekte\eng\EngData\AOS\Allgemein\[LabSamples2025.xlsx]Bioplastic'!G770)</f>
        <v/>
      </c>
      <c r="H770">
        <f>IF(ISBLANK('Q:\Abteilungsprojekte\eng\EngData\AOS\Allgemein\[LabSamples2025.xlsx]Bioplastic'!H770)," ",'Q:\Abteilungsprojekte\eng\EngData\AOS\Allgemein\[LabSamples2025.xlsx]Bioplastic'!H770)</f>
        <v/>
      </c>
    </row>
    <row r="771">
      <c r="A771">
        <f>IF(ISBLANK('Q:\Abteilungsprojekte\eng\EngData\AOS\Allgemein\[LabSamples2025.xlsx]Bioplastic'!A771)," ",'Q:\Abteilungsprojekte\eng\EngData\AOS\Allgemein\[LabSamples2025.xlsx]Bioplastic'!A771)</f>
        <v/>
      </c>
      <c r="B771">
        <f>IF(ISBLANK('Q:\Abteilungsprojekte\eng\EngData\AOS\Allgemein\[LabSamples2025.xlsx]Bioplastic'!B771)," ",'Q:\Abteilungsprojekte\eng\EngData\AOS\Allgemein\[LabSamples2025.xlsx]Bioplastic'!B771)</f>
        <v/>
      </c>
      <c r="C771">
        <f>IF(ISBLANK('Q:\Abteilungsprojekte\eng\EngData\AOS\Allgemein\[LabSamples2025.xlsx]Bioplastic'!C771)," ",'Q:\Abteilungsprojekte\eng\EngData\AOS\Allgemein\[LabSamples2025.xlsx]Bioplastic'!C771)</f>
        <v/>
      </c>
      <c r="D771">
        <f>IF(ISBLANK('Q:\Abteilungsprojekte\eng\EngData\AOS\Allgemein\[LabSamples2025.xlsx]Bioplastic'!D771)," ",'Q:\Abteilungsprojekte\eng\EngData\AOS\Allgemein\[LabSamples2025.xlsx]Bioplastic'!D771)</f>
        <v/>
      </c>
      <c r="E771">
        <f>IF(ISBLANK('Q:\Abteilungsprojekte\eng\EngData\AOS\Allgemein\[LabSamples2025.xlsx]Bioplastic'!E771)," ",'Q:\Abteilungsprojekte\eng\EngData\AOS\Allgemein\[LabSamples2025.xlsx]Bioplastic'!E771)</f>
        <v/>
      </c>
      <c r="F771">
        <f>IF(ISBLANK('Q:\Abteilungsprojekte\eng\EngData\AOS\Allgemein\[LabSamples2025.xlsx]Bioplastic'!F771)," ",'Q:\Abteilungsprojekte\eng\EngData\AOS\Allgemein\[LabSamples2025.xlsx]Bioplastic'!F771)</f>
        <v/>
      </c>
      <c r="G771">
        <f>IF(ISBLANK('Q:\Abteilungsprojekte\eng\EngData\AOS\Allgemein\[LabSamples2025.xlsx]Bioplastic'!G771)," ",'Q:\Abteilungsprojekte\eng\EngData\AOS\Allgemein\[LabSamples2025.xlsx]Bioplastic'!G771)</f>
        <v/>
      </c>
      <c r="H771">
        <f>IF(ISBLANK('Q:\Abteilungsprojekte\eng\EngData\AOS\Allgemein\[LabSamples2025.xlsx]Bioplastic'!H771)," ",'Q:\Abteilungsprojekte\eng\EngData\AOS\Allgemein\[LabSamples2025.xlsx]Bioplastic'!H771)</f>
        <v/>
      </c>
    </row>
    <row r="772">
      <c r="A772">
        <f>IF(ISBLANK('Q:\Abteilungsprojekte\eng\EngData\AOS\Allgemein\[LabSamples2025.xlsx]Bioplastic'!A772)," ",'Q:\Abteilungsprojekte\eng\EngData\AOS\Allgemein\[LabSamples2025.xlsx]Bioplastic'!A772)</f>
        <v/>
      </c>
      <c r="B772">
        <f>IF(ISBLANK('Q:\Abteilungsprojekte\eng\EngData\AOS\Allgemein\[LabSamples2025.xlsx]Bioplastic'!B772)," ",'Q:\Abteilungsprojekte\eng\EngData\AOS\Allgemein\[LabSamples2025.xlsx]Bioplastic'!B772)</f>
        <v/>
      </c>
      <c r="C772">
        <f>IF(ISBLANK('Q:\Abteilungsprojekte\eng\EngData\AOS\Allgemein\[LabSamples2025.xlsx]Bioplastic'!C772)," ",'Q:\Abteilungsprojekte\eng\EngData\AOS\Allgemein\[LabSamples2025.xlsx]Bioplastic'!C772)</f>
        <v/>
      </c>
      <c r="D772">
        <f>IF(ISBLANK('Q:\Abteilungsprojekte\eng\EngData\AOS\Allgemein\[LabSamples2025.xlsx]Bioplastic'!D772)," ",'Q:\Abteilungsprojekte\eng\EngData\AOS\Allgemein\[LabSamples2025.xlsx]Bioplastic'!D772)</f>
        <v/>
      </c>
      <c r="E772">
        <f>IF(ISBLANK('Q:\Abteilungsprojekte\eng\EngData\AOS\Allgemein\[LabSamples2025.xlsx]Bioplastic'!E772)," ",'Q:\Abteilungsprojekte\eng\EngData\AOS\Allgemein\[LabSamples2025.xlsx]Bioplastic'!E772)</f>
        <v/>
      </c>
      <c r="F772">
        <f>IF(ISBLANK('Q:\Abteilungsprojekte\eng\EngData\AOS\Allgemein\[LabSamples2025.xlsx]Bioplastic'!F772)," ",'Q:\Abteilungsprojekte\eng\EngData\AOS\Allgemein\[LabSamples2025.xlsx]Bioplastic'!F772)</f>
        <v/>
      </c>
      <c r="G772">
        <f>IF(ISBLANK('Q:\Abteilungsprojekte\eng\EngData\AOS\Allgemein\[LabSamples2025.xlsx]Bioplastic'!G772)," ",'Q:\Abteilungsprojekte\eng\EngData\AOS\Allgemein\[LabSamples2025.xlsx]Bioplastic'!G772)</f>
        <v/>
      </c>
      <c r="H772">
        <f>IF(ISBLANK('Q:\Abteilungsprojekte\eng\EngData\AOS\Allgemein\[LabSamples2025.xlsx]Bioplastic'!H772)," ",'Q:\Abteilungsprojekte\eng\EngData\AOS\Allgemein\[LabSamples2025.xlsx]Bioplastic'!H772)</f>
        <v/>
      </c>
    </row>
    <row r="773">
      <c r="A773">
        <f>IF(ISBLANK('Q:\Abteilungsprojekte\eng\EngData\AOS\Allgemein\[LabSamples2025.xlsx]Bioplastic'!A773)," ",'Q:\Abteilungsprojekte\eng\EngData\AOS\Allgemein\[LabSamples2025.xlsx]Bioplastic'!A773)</f>
        <v/>
      </c>
      <c r="B773">
        <f>IF(ISBLANK('Q:\Abteilungsprojekte\eng\EngData\AOS\Allgemein\[LabSamples2025.xlsx]Bioplastic'!B773)," ",'Q:\Abteilungsprojekte\eng\EngData\AOS\Allgemein\[LabSamples2025.xlsx]Bioplastic'!B773)</f>
        <v/>
      </c>
      <c r="C773">
        <f>IF(ISBLANK('Q:\Abteilungsprojekte\eng\EngData\AOS\Allgemein\[LabSamples2025.xlsx]Bioplastic'!C773)," ",'Q:\Abteilungsprojekte\eng\EngData\AOS\Allgemein\[LabSamples2025.xlsx]Bioplastic'!C773)</f>
        <v/>
      </c>
      <c r="D773">
        <f>IF(ISBLANK('Q:\Abteilungsprojekte\eng\EngData\AOS\Allgemein\[LabSamples2025.xlsx]Bioplastic'!D773)," ",'Q:\Abteilungsprojekte\eng\EngData\AOS\Allgemein\[LabSamples2025.xlsx]Bioplastic'!D773)</f>
        <v/>
      </c>
      <c r="E773">
        <f>IF(ISBLANK('Q:\Abteilungsprojekte\eng\EngData\AOS\Allgemein\[LabSamples2025.xlsx]Bioplastic'!E773)," ",'Q:\Abteilungsprojekte\eng\EngData\AOS\Allgemein\[LabSamples2025.xlsx]Bioplastic'!E773)</f>
        <v/>
      </c>
      <c r="F773">
        <f>IF(ISBLANK('Q:\Abteilungsprojekte\eng\EngData\AOS\Allgemein\[LabSamples2025.xlsx]Bioplastic'!F773)," ",'Q:\Abteilungsprojekte\eng\EngData\AOS\Allgemein\[LabSamples2025.xlsx]Bioplastic'!F773)</f>
        <v/>
      </c>
      <c r="G773">
        <f>IF(ISBLANK('Q:\Abteilungsprojekte\eng\EngData\AOS\Allgemein\[LabSamples2025.xlsx]Bioplastic'!G773)," ",'Q:\Abteilungsprojekte\eng\EngData\AOS\Allgemein\[LabSamples2025.xlsx]Bioplastic'!G773)</f>
        <v/>
      </c>
      <c r="H773">
        <f>IF(ISBLANK('Q:\Abteilungsprojekte\eng\EngData\AOS\Allgemein\[LabSamples2025.xlsx]Bioplastic'!H773)," ",'Q:\Abteilungsprojekte\eng\EngData\AOS\Allgemein\[LabSamples2025.xlsx]Bioplastic'!H773)</f>
        <v/>
      </c>
    </row>
    <row r="774">
      <c r="A774">
        <f>IF(ISBLANK('Q:\Abteilungsprojekte\eng\EngData\AOS\Allgemein\[LabSamples2025.xlsx]Bioplastic'!A774)," ",'Q:\Abteilungsprojekte\eng\EngData\AOS\Allgemein\[LabSamples2025.xlsx]Bioplastic'!A774)</f>
        <v/>
      </c>
      <c r="B774">
        <f>IF(ISBLANK('Q:\Abteilungsprojekte\eng\EngData\AOS\Allgemein\[LabSamples2025.xlsx]Bioplastic'!B774)," ",'Q:\Abteilungsprojekte\eng\EngData\AOS\Allgemein\[LabSamples2025.xlsx]Bioplastic'!B774)</f>
        <v/>
      </c>
      <c r="C774">
        <f>IF(ISBLANK('Q:\Abteilungsprojekte\eng\EngData\AOS\Allgemein\[LabSamples2025.xlsx]Bioplastic'!C774)," ",'Q:\Abteilungsprojekte\eng\EngData\AOS\Allgemein\[LabSamples2025.xlsx]Bioplastic'!C774)</f>
        <v/>
      </c>
      <c r="D774">
        <f>IF(ISBLANK('Q:\Abteilungsprojekte\eng\EngData\AOS\Allgemein\[LabSamples2025.xlsx]Bioplastic'!D774)," ",'Q:\Abteilungsprojekte\eng\EngData\AOS\Allgemein\[LabSamples2025.xlsx]Bioplastic'!D774)</f>
        <v/>
      </c>
      <c r="E774">
        <f>IF(ISBLANK('Q:\Abteilungsprojekte\eng\EngData\AOS\Allgemein\[LabSamples2025.xlsx]Bioplastic'!E774)," ",'Q:\Abteilungsprojekte\eng\EngData\AOS\Allgemein\[LabSamples2025.xlsx]Bioplastic'!E774)</f>
        <v/>
      </c>
      <c r="F774">
        <f>IF(ISBLANK('Q:\Abteilungsprojekte\eng\EngData\AOS\Allgemein\[LabSamples2025.xlsx]Bioplastic'!F774)," ",'Q:\Abteilungsprojekte\eng\EngData\AOS\Allgemein\[LabSamples2025.xlsx]Bioplastic'!F774)</f>
        <v/>
      </c>
      <c r="G774">
        <f>IF(ISBLANK('Q:\Abteilungsprojekte\eng\EngData\AOS\Allgemein\[LabSamples2025.xlsx]Bioplastic'!G774)," ",'Q:\Abteilungsprojekte\eng\EngData\AOS\Allgemein\[LabSamples2025.xlsx]Bioplastic'!G774)</f>
        <v/>
      </c>
      <c r="H774">
        <f>IF(ISBLANK('Q:\Abteilungsprojekte\eng\EngData\AOS\Allgemein\[LabSamples2025.xlsx]Bioplastic'!H774)," ",'Q:\Abteilungsprojekte\eng\EngData\AOS\Allgemein\[LabSamples2025.xlsx]Bioplastic'!H774)</f>
        <v/>
      </c>
    </row>
    <row r="775">
      <c r="A775">
        <f>IF(ISBLANK('Q:\Abteilungsprojekte\eng\EngData\AOS\Allgemein\[LabSamples2025.xlsx]Bioplastic'!A775)," ",'Q:\Abteilungsprojekte\eng\EngData\AOS\Allgemein\[LabSamples2025.xlsx]Bioplastic'!A775)</f>
        <v/>
      </c>
      <c r="B775">
        <f>IF(ISBLANK('Q:\Abteilungsprojekte\eng\EngData\AOS\Allgemein\[LabSamples2025.xlsx]Bioplastic'!B775)," ",'Q:\Abteilungsprojekte\eng\EngData\AOS\Allgemein\[LabSamples2025.xlsx]Bioplastic'!B775)</f>
        <v/>
      </c>
      <c r="C775">
        <f>IF(ISBLANK('Q:\Abteilungsprojekte\eng\EngData\AOS\Allgemein\[LabSamples2025.xlsx]Bioplastic'!C775)," ",'Q:\Abteilungsprojekte\eng\EngData\AOS\Allgemein\[LabSamples2025.xlsx]Bioplastic'!C775)</f>
        <v/>
      </c>
      <c r="D775">
        <f>IF(ISBLANK('Q:\Abteilungsprojekte\eng\EngData\AOS\Allgemein\[LabSamples2025.xlsx]Bioplastic'!D775)," ",'Q:\Abteilungsprojekte\eng\EngData\AOS\Allgemein\[LabSamples2025.xlsx]Bioplastic'!D775)</f>
        <v/>
      </c>
      <c r="E775">
        <f>IF(ISBLANK('Q:\Abteilungsprojekte\eng\EngData\AOS\Allgemein\[LabSamples2025.xlsx]Bioplastic'!E775)," ",'Q:\Abteilungsprojekte\eng\EngData\AOS\Allgemein\[LabSamples2025.xlsx]Bioplastic'!E775)</f>
        <v/>
      </c>
      <c r="F775">
        <f>IF(ISBLANK('Q:\Abteilungsprojekte\eng\EngData\AOS\Allgemein\[LabSamples2025.xlsx]Bioplastic'!F775)," ",'Q:\Abteilungsprojekte\eng\EngData\AOS\Allgemein\[LabSamples2025.xlsx]Bioplastic'!F775)</f>
        <v/>
      </c>
      <c r="G775">
        <f>IF(ISBLANK('Q:\Abteilungsprojekte\eng\EngData\AOS\Allgemein\[LabSamples2025.xlsx]Bioplastic'!G775)," ",'Q:\Abteilungsprojekte\eng\EngData\AOS\Allgemein\[LabSamples2025.xlsx]Bioplastic'!G775)</f>
        <v/>
      </c>
      <c r="H775">
        <f>IF(ISBLANK('Q:\Abteilungsprojekte\eng\EngData\AOS\Allgemein\[LabSamples2025.xlsx]Bioplastic'!H775)," ",'Q:\Abteilungsprojekte\eng\EngData\AOS\Allgemein\[LabSamples2025.xlsx]Bioplastic'!H775)</f>
        <v/>
      </c>
    </row>
    <row r="776">
      <c r="A776">
        <f>IF(ISBLANK('Q:\Abteilungsprojekte\eng\EngData\AOS\Allgemein\[LabSamples2025.xlsx]Bioplastic'!A776)," ",'Q:\Abteilungsprojekte\eng\EngData\AOS\Allgemein\[LabSamples2025.xlsx]Bioplastic'!A776)</f>
        <v/>
      </c>
      <c r="B776">
        <f>IF(ISBLANK('Q:\Abteilungsprojekte\eng\EngData\AOS\Allgemein\[LabSamples2025.xlsx]Bioplastic'!B776)," ",'Q:\Abteilungsprojekte\eng\EngData\AOS\Allgemein\[LabSamples2025.xlsx]Bioplastic'!B776)</f>
        <v/>
      </c>
      <c r="C776">
        <f>IF(ISBLANK('Q:\Abteilungsprojekte\eng\EngData\AOS\Allgemein\[LabSamples2025.xlsx]Bioplastic'!C776)," ",'Q:\Abteilungsprojekte\eng\EngData\AOS\Allgemein\[LabSamples2025.xlsx]Bioplastic'!C776)</f>
        <v/>
      </c>
      <c r="D776">
        <f>IF(ISBLANK('Q:\Abteilungsprojekte\eng\EngData\AOS\Allgemein\[LabSamples2025.xlsx]Bioplastic'!D776)," ",'Q:\Abteilungsprojekte\eng\EngData\AOS\Allgemein\[LabSamples2025.xlsx]Bioplastic'!D776)</f>
        <v/>
      </c>
      <c r="E776">
        <f>IF(ISBLANK('Q:\Abteilungsprojekte\eng\EngData\AOS\Allgemein\[LabSamples2025.xlsx]Bioplastic'!E776)," ",'Q:\Abteilungsprojekte\eng\EngData\AOS\Allgemein\[LabSamples2025.xlsx]Bioplastic'!E776)</f>
        <v/>
      </c>
      <c r="F776">
        <f>IF(ISBLANK('Q:\Abteilungsprojekte\eng\EngData\AOS\Allgemein\[LabSamples2025.xlsx]Bioplastic'!F776)," ",'Q:\Abteilungsprojekte\eng\EngData\AOS\Allgemein\[LabSamples2025.xlsx]Bioplastic'!F776)</f>
        <v/>
      </c>
      <c r="G776">
        <f>IF(ISBLANK('Q:\Abteilungsprojekte\eng\EngData\AOS\Allgemein\[LabSamples2025.xlsx]Bioplastic'!G776)," ",'Q:\Abteilungsprojekte\eng\EngData\AOS\Allgemein\[LabSamples2025.xlsx]Bioplastic'!G776)</f>
        <v/>
      </c>
      <c r="H776">
        <f>IF(ISBLANK('Q:\Abteilungsprojekte\eng\EngData\AOS\Allgemein\[LabSamples2025.xlsx]Bioplastic'!H776)," ",'Q:\Abteilungsprojekte\eng\EngData\AOS\Allgemein\[LabSamples2025.xlsx]Bioplastic'!H776)</f>
        <v/>
      </c>
    </row>
    <row r="777">
      <c r="A777">
        <f>IF(ISBLANK('Q:\Abteilungsprojekte\eng\EngData\AOS\Allgemein\[LabSamples2025.xlsx]Bioplastic'!A777)," ",'Q:\Abteilungsprojekte\eng\EngData\AOS\Allgemein\[LabSamples2025.xlsx]Bioplastic'!A777)</f>
        <v/>
      </c>
      <c r="B777">
        <f>IF(ISBLANK('Q:\Abteilungsprojekte\eng\EngData\AOS\Allgemein\[LabSamples2025.xlsx]Bioplastic'!B777)," ",'Q:\Abteilungsprojekte\eng\EngData\AOS\Allgemein\[LabSamples2025.xlsx]Bioplastic'!B777)</f>
        <v/>
      </c>
      <c r="C777">
        <f>IF(ISBLANK('Q:\Abteilungsprojekte\eng\EngData\AOS\Allgemein\[LabSamples2025.xlsx]Bioplastic'!C777)," ",'Q:\Abteilungsprojekte\eng\EngData\AOS\Allgemein\[LabSamples2025.xlsx]Bioplastic'!C777)</f>
        <v/>
      </c>
      <c r="D777">
        <f>IF(ISBLANK('Q:\Abteilungsprojekte\eng\EngData\AOS\Allgemein\[LabSamples2025.xlsx]Bioplastic'!D777)," ",'Q:\Abteilungsprojekte\eng\EngData\AOS\Allgemein\[LabSamples2025.xlsx]Bioplastic'!D777)</f>
        <v/>
      </c>
      <c r="E777">
        <f>IF(ISBLANK('Q:\Abteilungsprojekte\eng\EngData\AOS\Allgemein\[LabSamples2025.xlsx]Bioplastic'!E777)," ",'Q:\Abteilungsprojekte\eng\EngData\AOS\Allgemein\[LabSamples2025.xlsx]Bioplastic'!E777)</f>
        <v/>
      </c>
      <c r="F777">
        <f>IF(ISBLANK('Q:\Abteilungsprojekte\eng\EngData\AOS\Allgemein\[LabSamples2025.xlsx]Bioplastic'!F777)," ",'Q:\Abteilungsprojekte\eng\EngData\AOS\Allgemein\[LabSamples2025.xlsx]Bioplastic'!F777)</f>
        <v/>
      </c>
      <c r="G777">
        <f>IF(ISBLANK('Q:\Abteilungsprojekte\eng\EngData\AOS\Allgemein\[LabSamples2025.xlsx]Bioplastic'!G777)," ",'Q:\Abteilungsprojekte\eng\EngData\AOS\Allgemein\[LabSamples2025.xlsx]Bioplastic'!G777)</f>
        <v/>
      </c>
      <c r="H777">
        <f>IF(ISBLANK('Q:\Abteilungsprojekte\eng\EngData\AOS\Allgemein\[LabSamples2025.xlsx]Bioplastic'!H777)," ",'Q:\Abteilungsprojekte\eng\EngData\AOS\Allgemein\[LabSamples2025.xlsx]Bioplastic'!H777)</f>
        <v/>
      </c>
    </row>
    <row r="778">
      <c r="A778">
        <f>IF(ISBLANK('Q:\Abteilungsprojekte\eng\EngData\AOS\Allgemein\[LabSamples2025.xlsx]Bioplastic'!A778)," ",'Q:\Abteilungsprojekte\eng\EngData\AOS\Allgemein\[LabSamples2025.xlsx]Bioplastic'!A778)</f>
        <v/>
      </c>
      <c r="B778">
        <f>IF(ISBLANK('Q:\Abteilungsprojekte\eng\EngData\AOS\Allgemein\[LabSamples2025.xlsx]Bioplastic'!B778)," ",'Q:\Abteilungsprojekte\eng\EngData\AOS\Allgemein\[LabSamples2025.xlsx]Bioplastic'!B778)</f>
        <v/>
      </c>
      <c r="C778">
        <f>IF(ISBLANK('Q:\Abteilungsprojekte\eng\EngData\AOS\Allgemein\[LabSamples2025.xlsx]Bioplastic'!C778)," ",'Q:\Abteilungsprojekte\eng\EngData\AOS\Allgemein\[LabSamples2025.xlsx]Bioplastic'!C778)</f>
        <v/>
      </c>
      <c r="D778">
        <f>IF(ISBLANK('Q:\Abteilungsprojekte\eng\EngData\AOS\Allgemein\[LabSamples2025.xlsx]Bioplastic'!D778)," ",'Q:\Abteilungsprojekte\eng\EngData\AOS\Allgemein\[LabSamples2025.xlsx]Bioplastic'!D778)</f>
        <v/>
      </c>
      <c r="E778">
        <f>IF(ISBLANK('Q:\Abteilungsprojekte\eng\EngData\AOS\Allgemein\[LabSamples2025.xlsx]Bioplastic'!E778)," ",'Q:\Abteilungsprojekte\eng\EngData\AOS\Allgemein\[LabSamples2025.xlsx]Bioplastic'!E778)</f>
        <v/>
      </c>
      <c r="F778">
        <f>IF(ISBLANK('Q:\Abteilungsprojekte\eng\EngData\AOS\Allgemein\[LabSamples2025.xlsx]Bioplastic'!F778)," ",'Q:\Abteilungsprojekte\eng\EngData\AOS\Allgemein\[LabSamples2025.xlsx]Bioplastic'!F778)</f>
        <v/>
      </c>
      <c r="G778">
        <f>IF(ISBLANK('Q:\Abteilungsprojekte\eng\EngData\AOS\Allgemein\[LabSamples2025.xlsx]Bioplastic'!G778)," ",'Q:\Abteilungsprojekte\eng\EngData\AOS\Allgemein\[LabSamples2025.xlsx]Bioplastic'!G778)</f>
        <v/>
      </c>
      <c r="H778">
        <f>IF(ISBLANK('Q:\Abteilungsprojekte\eng\EngData\AOS\Allgemein\[LabSamples2025.xlsx]Bioplastic'!H778)," ",'Q:\Abteilungsprojekte\eng\EngData\AOS\Allgemein\[LabSamples2025.xlsx]Bioplastic'!H778)</f>
        <v/>
      </c>
    </row>
    <row r="779">
      <c r="A779">
        <f>IF(ISBLANK('Q:\Abteilungsprojekte\eng\EngData\AOS\Allgemein\[LabSamples2025.xlsx]Bioplastic'!A779)," ",'Q:\Abteilungsprojekte\eng\EngData\AOS\Allgemein\[LabSamples2025.xlsx]Bioplastic'!A779)</f>
        <v/>
      </c>
      <c r="B779">
        <f>IF(ISBLANK('Q:\Abteilungsprojekte\eng\EngData\AOS\Allgemein\[LabSamples2025.xlsx]Bioplastic'!B779)," ",'Q:\Abteilungsprojekte\eng\EngData\AOS\Allgemein\[LabSamples2025.xlsx]Bioplastic'!B779)</f>
        <v/>
      </c>
      <c r="C779">
        <f>IF(ISBLANK('Q:\Abteilungsprojekte\eng\EngData\AOS\Allgemein\[LabSamples2025.xlsx]Bioplastic'!C779)," ",'Q:\Abteilungsprojekte\eng\EngData\AOS\Allgemein\[LabSamples2025.xlsx]Bioplastic'!C779)</f>
        <v/>
      </c>
      <c r="D779">
        <f>IF(ISBLANK('Q:\Abteilungsprojekte\eng\EngData\AOS\Allgemein\[LabSamples2025.xlsx]Bioplastic'!D779)," ",'Q:\Abteilungsprojekte\eng\EngData\AOS\Allgemein\[LabSamples2025.xlsx]Bioplastic'!D779)</f>
        <v/>
      </c>
      <c r="E779">
        <f>IF(ISBLANK('Q:\Abteilungsprojekte\eng\EngData\AOS\Allgemein\[LabSamples2025.xlsx]Bioplastic'!E779)," ",'Q:\Abteilungsprojekte\eng\EngData\AOS\Allgemein\[LabSamples2025.xlsx]Bioplastic'!E779)</f>
        <v/>
      </c>
      <c r="F779">
        <f>IF(ISBLANK('Q:\Abteilungsprojekte\eng\EngData\AOS\Allgemein\[LabSamples2025.xlsx]Bioplastic'!F779)," ",'Q:\Abteilungsprojekte\eng\EngData\AOS\Allgemein\[LabSamples2025.xlsx]Bioplastic'!F779)</f>
        <v/>
      </c>
      <c r="G779">
        <f>IF(ISBLANK('Q:\Abteilungsprojekte\eng\EngData\AOS\Allgemein\[LabSamples2025.xlsx]Bioplastic'!G779)," ",'Q:\Abteilungsprojekte\eng\EngData\AOS\Allgemein\[LabSamples2025.xlsx]Bioplastic'!G779)</f>
        <v/>
      </c>
      <c r="H779">
        <f>IF(ISBLANK('Q:\Abteilungsprojekte\eng\EngData\AOS\Allgemein\[LabSamples2025.xlsx]Bioplastic'!H779)," ",'Q:\Abteilungsprojekte\eng\EngData\AOS\Allgemein\[LabSamples2025.xlsx]Bioplastic'!H779)</f>
        <v/>
      </c>
    </row>
    <row r="780">
      <c r="A780">
        <f>IF(ISBLANK('Q:\Abteilungsprojekte\eng\EngData\AOS\Allgemein\[LabSamples2025.xlsx]Bioplastic'!A780)," ",'Q:\Abteilungsprojekte\eng\EngData\AOS\Allgemein\[LabSamples2025.xlsx]Bioplastic'!A780)</f>
        <v/>
      </c>
      <c r="B780">
        <f>IF(ISBLANK('Q:\Abteilungsprojekte\eng\EngData\AOS\Allgemein\[LabSamples2025.xlsx]Bioplastic'!B780)," ",'Q:\Abteilungsprojekte\eng\EngData\AOS\Allgemein\[LabSamples2025.xlsx]Bioplastic'!B780)</f>
        <v/>
      </c>
      <c r="C780">
        <f>IF(ISBLANK('Q:\Abteilungsprojekte\eng\EngData\AOS\Allgemein\[LabSamples2025.xlsx]Bioplastic'!C780)," ",'Q:\Abteilungsprojekte\eng\EngData\AOS\Allgemein\[LabSamples2025.xlsx]Bioplastic'!C780)</f>
        <v/>
      </c>
      <c r="D780">
        <f>IF(ISBLANK('Q:\Abteilungsprojekte\eng\EngData\AOS\Allgemein\[LabSamples2025.xlsx]Bioplastic'!D780)," ",'Q:\Abteilungsprojekte\eng\EngData\AOS\Allgemein\[LabSamples2025.xlsx]Bioplastic'!D780)</f>
        <v/>
      </c>
      <c r="E780">
        <f>IF(ISBLANK('Q:\Abteilungsprojekte\eng\EngData\AOS\Allgemein\[LabSamples2025.xlsx]Bioplastic'!E780)," ",'Q:\Abteilungsprojekte\eng\EngData\AOS\Allgemein\[LabSamples2025.xlsx]Bioplastic'!E780)</f>
        <v/>
      </c>
      <c r="F780">
        <f>IF(ISBLANK('Q:\Abteilungsprojekte\eng\EngData\AOS\Allgemein\[LabSamples2025.xlsx]Bioplastic'!F780)," ",'Q:\Abteilungsprojekte\eng\EngData\AOS\Allgemein\[LabSamples2025.xlsx]Bioplastic'!F780)</f>
        <v/>
      </c>
      <c r="G780">
        <f>IF(ISBLANK('Q:\Abteilungsprojekte\eng\EngData\AOS\Allgemein\[LabSamples2025.xlsx]Bioplastic'!G780)," ",'Q:\Abteilungsprojekte\eng\EngData\AOS\Allgemein\[LabSamples2025.xlsx]Bioplastic'!G780)</f>
        <v/>
      </c>
      <c r="H780">
        <f>IF(ISBLANK('Q:\Abteilungsprojekte\eng\EngData\AOS\Allgemein\[LabSamples2025.xlsx]Bioplastic'!H780)," ",'Q:\Abteilungsprojekte\eng\EngData\AOS\Allgemein\[LabSamples2025.xlsx]Bioplastic'!H780)</f>
        <v/>
      </c>
    </row>
    <row r="781">
      <c r="A781">
        <f>IF(ISBLANK('Q:\Abteilungsprojekte\eng\EngData\AOS\Allgemein\[LabSamples2025.xlsx]Bioplastic'!A781)," ",'Q:\Abteilungsprojekte\eng\EngData\AOS\Allgemein\[LabSamples2025.xlsx]Bioplastic'!A781)</f>
        <v/>
      </c>
      <c r="B781">
        <f>IF(ISBLANK('Q:\Abteilungsprojekte\eng\EngData\AOS\Allgemein\[LabSamples2025.xlsx]Bioplastic'!B781)," ",'Q:\Abteilungsprojekte\eng\EngData\AOS\Allgemein\[LabSamples2025.xlsx]Bioplastic'!B781)</f>
        <v/>
      </c>
      <c r="C781">
        <f>IF(ISBLANK('Q:\Abteilungsprojekte\eng\EngData\AOS\Allgemein\[LabSamples2025.xlsx]Bioplastic'!C781)," ",'Q:\Abteilungsprojekte\eng\EngData\AOS\Allgemein\[LabSamples2025.xlsx]Bioplastic'!C781)</f>
        <v/>
      </c>
      <c r="D781">
        <f>IF(ISBLANK('Q:\Abteilungsprojekte\eng\EngData\AOS\Allgemein\[LabSamples2025.xlsx]Bioplastic'!D781)," ",'Q:\Abteilungsprojekte\eng\EngData\AOS\Allgemein\[LabSamples2025.xlsx]Bioplastic'!D781)</f>
        <v/>
      </c>
      <c r="E781">
        <f>IF(ISBLANK('Q:\Abteilungsprojekte\eng\EngData\AOS\Allgemein\[LabSamples2025.xlsx]Bioplastic'!E781)," ",'Q:\Abteilungsprojekte\eng\EngData\AOS\Allgemein\[LabSamples2025.xlsx]Bioplastic'!E781)</f>
        <v/>
      </c>
      <c r="F781">
        <f>IF(ISBLANK('Q:\Abteilungsprojekte\eng\EngData\AOS\Allgemein\[LabSamples2025.xlsx]Bioplastic'!F781)," ",'Q:\Abteilungsprojekte\eng\EngData\AOS\Allgemein\[LabSamples2025.xlsx]Bioplastic'!F781)</f>
        <v/>
      </c>
      <c r="G781">
        <f>IF(ISBLANK('Q:\Abteilungsprojekte\eng\EngData\AOS\Allgemein\[LabSamples2025.xlsx]Bioplastic'!G781)," ",'Q:\Abteilungsprojekte\eng\EngData\AOS\Allgemein\[LabSamples2025.xlsx]Bioplastic'!G781)</f>
        <v/>
      </c>
      <c r="H781">
        <f>IF(ISBLANK('Q:\Abteilungsprojekte\eng\EngData\AOS\Allgemein\[LabSamples2025.xlsx]Bioplastic'!H781)," ",'Q:\Abteilungsprojekte\eng\EngData\AOS\Allgemein\[LabSamples2025.xlsx]Bioplastic'!H781)</f>
        <v/>
      </c>
    </row>
    <row r="782">
      <c r="A782">
        <f>IF(ISBLANK('Q:\Abteilungsprojekte\eng\EngData\AOS\Allgemein\[LabSamples2025.xlsx]Bioplastic'!A782)," ",'Q:\Abteilungsprojekte\eng\EngData\AOS\Allgemein\[LabSamples2025.xlsx]Bioplastic'!A782)</f>
        <v/>
      </c>
      <c r="B782">
        <f>IF(ISBLANK('Q:\Abteilungsprojekte\eng\EngData\AOS\Allgemein\[LabSamples2025.xlsx]Bioplastic'!B782)," ",'Q:\Abteilungsprojekte\eng\EngData\AOS\Allgemein\[LabSamples2025.xlsx]Bioplastic'!B782)</f>
        <v/>
      </c>
      <c r="C782">
        <f>IF(ISBLANK('Q:\Abteilungsprojekte\eng\EngData\AOS\Allgemein\[LabSamples2025.xlsx]Bioplastic'!C782)," ",'Q:\Abteilungsprojekte\eng\EngData\AOS\Allgemein\[LabSamples2025.xlsx]Bioplastic'!C782)</f>
        <v/>
      </c>
      <c r="D782">
        <f>IF(ISBLANK('Q:\Abteilungsprojekte\eng\EngData\AOS\Allgemein\[LabSamples2025.xlsx]Bioplastic'!D782)," ",'Q:\Abteilungsprojekte\eng\EngData\AOS\Allgemein\[LabSamples2025.xlsx]Bioplastic'!D782)</f>
        <v/>
      </c>
      <c r="E782">
        <f>IF(ISBLANK('Q:\Abteilungsprojekte\eng\EngData\AOS\Allgemein\[LabSamples2025.xlsx]Bioplastic'!E782)," ",'Q:\Abteilungsprojekte\eng\EngData\AOS\Allgemein\[LabSamples2025.xlsx]Bioplastic'!E782)</f>
        <v/>
      </c>
      <c r="F782">
        <f>IF(ISBLANK('Q:\Abteilungsprojekte\eng\EngData\AOS\Allgemein\[LabSamples2025.xlsx]Bioplastic'!F782)," ",'Q:\Abteilungsprojekte\eng\EngData\AOS\Allgemein\[LabSamples2025.xlsx]Bioplastic'!F782)</f>
        <v/>
      </c>
      <c r="G782">
        <f>IF(ISBLANK('Q:\Abteilungsprojekte\eng\EngData\AOS\Allgemein\[LabSamples2025.xlsx]Bioplastic'!G782)," ",'Q:\Abteilungsprojekte\eng\EngData\AOS\Allgemein\[LabSamples2025.xlsx]Bioplastic'!G782)</f>
        <v/>
      </c>
      <c r="H782">
        <f>IF(ISBLANK('Q:\Abteilungsprojekte\eng\EngData\AOS\Allgemein\[LabSamples2025.xlsx]Bioplastic'!H782)," ",'Q:\Abteilungsprojekte\eng\EngData\AOS\Allgemein\[LabSamples2025.xlsx]Bioplastic'!H782)</f>
        <v/>
      </c>
    </row>
    <row r="783">
      <c r="A783">
        <f>IF(ISBLANK('Q:\Abteilungsprojekte\eng\EngData\AOS\Allgemein\[LabSamples2025.xlsx]Bioplastic'!A783)," ",'Q:\Abteilungsprojekte\eng\EngData\AOS\Allgemein\[LabSamples2025.xlsx]Bioplastic'!A783)</f>
        <v/>
      </c>
      <c r="B783">
        <f>IF(ISBLANK('Q:\Abteilungsprojekte\eng\EngData\AOS\Allgemein\[LabSamples2025.xlsx]Bioplastic'!B783)," ",'Q:\Abteilungsprojekte\eng\EngData\AOS\Allgemein\[LabSamples2025.xlsx]Bioplastic'!B783)</f>
        <v/>
      </c>
      <c r="C783">
        <f>IF(ISBLANK('Q:\Abteilungsprojekte\eng\EngData\AOS\Allgemein\[LabSamples2025.xlsx]Bioplastic'!C783)," ",'Q:\Abteilungsprojekte\eng\EngData\AOS\Allgemein\[LabSamples2025.xlsx]Bioplastic'!C783)</f>
        <v/>
      </c>
      <c r="D783">
        <f>IF(ISBLANK('Q:\Abteilungsprojekte\eng\EngData\AOS\Allgemein\[LabSamples2025.xlsx]Bioplastic'!D783)," ",'Q:\Abteilungsprojekte\eng\EngData\AOS\Allgemein\[LabSamples2025.xlsx]Bioplastic'!D783)</f>
        <v/>
      </c>
      <c r="E783">
        <f>IF(ISBLANK('Q:\Abteilungsprojekte\eng\EngData\AOS\Allgemein\[LabSamples2025.xlsx]Bioplastic'!E783)," ",'Q:\Abteilungsprojekte\eng\EngData\AOS\Allgemein\[LabSamples2025.xlsx]Bioplastic'!E783)</f>
        <v/>
      </c>
      <c r="F783">
        <f>IF(ISBLANK('Q:\Abteilungsprojekte\eng\EngData\AOS\Allgemein\[LabSamples2025.xlsx]Bioplastic'!F783)," ",'Q:\Abteilungsprojekte\eng\EngData\AOS\Allgemein\[LabSamples2025.xlsx]Bioplastic'!F783)</f>
        <v/>
      </c>
      <c r="G783">
        <f>IF(ISBLANK('Q:\Abteilungsprojekte\eng\EngData\AOS\Allgemein\[LabSamples2025.xlsx]Bioplastic'!G783)," ",'Q:\Abteilungsprojekte\eng\EngData\AOS\Allgemein\[LabSamples2025.xlsx]Bioplastic'!G783)</f>
        <v/>
      </c>
      <c r="H783">
        <f>IF(ISBLANK('Q:\Abteilungsprojekte\eng\EngData\AOS\Allgemein\[LabSamples2025.xlsx]Bioplastic'!H783)," ",'Q:\Abteilungsprojekte\eng\EngData\AOS\Allgemein\[LabSamples2025.xlsx]Bioplastic'!H783)</f>
        <v/>
      </c>
    </row>
    <row r="784">
      <c r="A784">
        <f>IF(ISBLANK('Q:\Abteilungsprojekte\eng\EngData\AOS\Allgemein\[LabSamples2025.xlsx]Bioplastic'!A784)," ",'Q:\Abteilungsprojekte\eng\EngData\AOS\Allgemein\[LabSamples2025.xlsx]Bioplastic'!A784)</f>
        <v/>
      </c>
      <c r="B784">
        <f>IF(ISBLANK('Q:\Abteilungsprojekte\eng\EngData\AOS\Allgemein\[LabSamples2025.xlsx]Bioplastic'!B784)," ",'Q:\Abteilungsprojekte\eng\EngData\AOS\Allgemein\[LabSamples2025.xlsx]Bioplastic'!B784)</f>
        <v/>
      </c>
      <c r="C784">
        <f>IF(ISBLANK('Q:\Abteilungsprojekte\eng\EngData\AOS\Allgemein\[LabSamples2025.xlsx]Bioplastic'!C784)," ",'Q:\Abteilungsprojekte\eng\EngData\AOS\Allgemein\[LabSamples2025.xlsx]Bioplastic'!C784)</f>
        <v/>
      </c>
      <c r="D784">
        <f>IF(ISBLANK('Q:\Abteilungsprojekte\eng\EngData\AOS\Allgemein\[LabSamples2025.xlsx]Bioplastic'!D784)," ",'Q:\Abteilungsprojekte\eng\EngData\AOS\Allgemein\[LabSamples2025.xlsx]Bioplastic'!D784)</f>
        <v/>
      </c>
      <c r="E784">
        <f>IF(ISBLANK('Q:\Abteilungsprojekte\eng\EngData\AOS\Allgemein\[LabSamples2025.xlsx]Bioplastic'!E784)," ",'Q:\Abteilungsprojekte\eng\EngData\AOS\Allgemein\[LabSamples2025.xlsx]Bioplastic'!E784)</f>
        <v/>
      </c>
      <c r="F784">
        <f>IF(ISBLANK('Q:\Abteilungsprojekte\eng\EngData\AOS\Allgemein\[LabSamples2025.xlsx]Bioplastic'!F784)," ",'Q:\Abteilungsprojekte\eng\EngData\AOS\Allgemein\[LabSamples2025.xlsx]Bioplastic'!F784)</f>
        <v/>
      </c>
      <c r="G784">
        <f>IF(ISBLANK('Q:\Abteilungsprojekte\eng\EngData\AOS\Allgemein\[LabSamples2025.xlsx]Bioplastic'!G784)," ",'Q:\Abteilungsprojekte\eng\EngData\AOS\Allgemein\[LabSamples2025.xlsx]Bioplastic'!G784)</f>
        <v/>
      </c>
      <c r="H784">
        <f>IF(ISBLANK('Q:\Abteilungsprojekte\eng\EngData\AOS\Allgemein\[LabSamples2025.xlsx]Bioplastic'!H784)," ",'Q:\Abteilungsprojekte\eng\EngData\AOS\Allgemein\[LabSamples2025.xlsx]Bioplastic'!H784)</f>
        <v/>
      </c>
    </row>
    <row r="785">
      <c r="A785">
        <f>IF(ISBLANK('Q:\Abteilungsprojekte\eng\EngData\AOS\Allgemein\[LabSamples2025.xlsx]Bioplastic'!A785)," ",'Q:\Abteilungsprojekte\eng\EngData\AOS\Allgemein\[LabSamples2025.xlsx]Bioplastic'!A785)</f>
        <v/>
      </c>
      <c r="B785">
        <f>IF(ISBLANK('Q:\Abteilungsprojekte\eng\EngData\AOS\Allgemein\[LabSamples2025.xlsx]Bioplastic'!B785)," ",'Q:\Abteilungsprojekte\eng\EngData\AOS\Allgemein\[LabSamples2025.xlsx]Bioplastic'!B785)</f>
        <v/>
      </c>
      <c r="C785">
        <f>IF(ISBLANK('Q:\Abteilungsprojekte\eng\EngData\AOS\Allgemein\[LabSamples2025.xlsx]Bioplastic'!C785)," ",'Q:\Abteilungsprojekte\eng\EngData\AOS\Allgemein\[LabSamples2025.xlsx]Bioplastic'!C785)</f>
        <v/>
      </c>
      <c r="D785">
        <f>IF(ISBLANK('Q:\Abteilungsprojekte\eng\EngData\AOS\Allgemein\[LabSamples2025.xlsx]Bioplastic'!D785)," ",'Q:\Abteilungsprojekte\eng\EngData\AOS\Allgemein\[LabSamples2025.xlsx]Bioplastic'!D785)</f>
        <v/>
      </c>
      <c r="E785">
        <f>IF(ISBLANK('Q:\Abteilungsprojekte\eng\EngData\AOS\Allgemein\[LabSamples2025.xlsx]Bioplastic'!E785)," ",'Q:\Abteilungsprojekte\eng\EngData\AOS\Allgemein\[LabSamples2025.xlsx]Bioplastic'!E785)</f>
        <v/>
      </c>
      <c r="F785">
        <f>IF(ISBLANK('Q:\Abteilungsprojekte\eng\EngData\AOS\Allgemein\[LabSamples2025.xlsx]Bioplastic'!F785)," ",'Q:\Abteilungsprojekte\eng\EngData\AOS\Allgemein\[LabSamples2025.xlsx]Bioplastic'!F785)</f>
        <v/>
      </c>
      <c r="G785">
        <f>IF(ISBLANK('Q:\Abteilungsprojekte\eng\EngData\AOS\Allgemein\[LabSamples2025.xlsx]Bioplastic'!G785)," ",'Q:\Abteilungsprojekte\eng\EngData\AOS\Allgemein\[LabSamples2025.xlsx]Bioplastic'!G785)</f>
        <v/>
      </c>
      <c r="H785">
        <f>IF(ISBLANK('Q:\Abteilungsprojekte\eng\EngData\AOS\Allgemein\[LabSamples2025.xlsx]Bioplastic'!H785)," ",'Q:\Abteilungsprojekte\eng\EngData\AOS\Allgemein\[LabSamples2025.xlsx]Bioplastic'!H785)</f>
        <v/>
      </c>
    </row>
    <row r="786">
      <c r="A786">
        <f>IF(ISBLANK('Q:\Abteilungsprojekte\eng\EngData\AOS\Allgemein\[LabSamples2025.xlsx]Bioplastic'!A786)," ",'Q:\Abteilungsprojekte\eng\EngData\AOS\Allgemein\[LabSamples2025.xlsx]Bioplastic'!A786)</f>
        <v/>
      </c>
      <c r="B786">
        <f>IF(ISBLANK('Q:\Abteilungsprojekte\eng\EngData\AOS\Allgemein\[LabSamples2025.xlsx]Bioplastic'!B786)," ",'Q:\Abteilungsprojekte\eng\EngData\AOS\Allgemein\[LabSamples2025.xlsx]Bioplastic'!B786)</f>
        <v/>
      </c>
      <c r="C786">
        <f>IF(ISBLANK('Q:\Abteilungsprojekte\eng\EngData\AOS\Allgemein\[LabSamples2025.xlsx]Bioplastic'!C786)," ",'Q:\Abteilungsprojekte\eng\EngData\AOS\Allgemein\[LabSamples2025.xlsx]Bioplastic'!C786)</f>
        <v/>
      </c>
      <c r="D786">
        <f>IF(ISBLANK('Q:\Abteilungsprojekte\eng\EngData\AOS\Allgemein\[LabSamples2025.xlsx]Bioplastic'!D786)," ",'Q:\Abteilungsprojekte\eng\EngData\AOS\Allgemein\[LabSamples2025.xlsx]Bioplastic'!D786)</f>
        <v/>
      </c>
      <c r="E786">
        <f>IF(ISBLANK('Q:\Abteilungsprojekte\eng\EngData\AOS\Allgemein\[LabSamples2025.xlsx]Bioplastic'!E786)," ",'Q:\Abteilungsprojekte\eng\EngData\AOS\Allgemein\[LabSamples2025.xlsx]Bioplastic'!E786)</f>
        <v/>
      </c>
      <c r="F786">
        <f>IF(ISBLANK('Q:\Abteilungsprojekte\eng\EngData\AOS\Allgemein\[LabSamples2025.xlsx]Bioplastic'!F786)," ",'Q:\Abteilungsprojekte\eng\EngData\AOS\Allgemein\[LabSamples2025.xlsx]Bioplastic'!F786)</f>
        <v/>
      </c>
      <c r="G786">
        <f>IF(ISBLANK('Q:\Abteilungsprojekte\eng\EngData\AOS\Allgemein\[LabSamples2025.xlsx]Bioplastic'!G786)," ",'Q:\Abteilungsprojekte\eng\EngData\AOS\Allgemein\[LabSamples2025.xlsx]Bioplastic'!G786)</f>
        <v/>
      </c>
      <c r="H786">
        <f>IF(ISBLANK('Q:\Abteilungsprojekte\eng\EngData\AOS\Allgemein\[LabSamples2025.xlsx]Bioplastic'!H786)," ",'Q:\Abteilungsprojekte\eng\EngData\AOS\Allgemein\[LabSamples2025.xlsx]Bioplastic'!H786)</f>
        <v/>
      </c>
    </row>
    <row r="787">
      <c r="A787">
        <f>IF(ISBLANK('Q:\Abteilungsprojekte\eng\EngData\AOS\Allgemein\[LabSamples2025.xlsx]Bioplastic'!A787)," ",'Q:\Abteilungsprojekte\eng\EngData\AOS\Allgemein\[LabSamples2025.xlsx]Bioplastic'!A787)</f>
        <v/>
      </c>
      <c r="B787">
        <f>IF(ISBLANK('Q:\Abteilungsprojekte\eng\EngData\AOS\Allgemein\[LabSamples2025.xlsx]Bioplastic'!B787)," ",'Q:\Abteilungsprojekte\eng\EngData\AOS\Allgemein\[LabSamples2025.xlsx]Bioplastic'!B787)</f>
        <v/>
      </c>
      <c r="C787">
        <f>IF(ISBLANK('Q:\Abteilungsprojekte\eng\EngData\AOS\Allgemein\[LabSamples2025.xlsx]Bioplastic'!C787)," ",'Q:\Abteilungsprojekte\eng\EngData\AOS\Allgemein\[LabSamples2025.xlsx]Bioplastic'!C787)</f>
        <v/>
      </c>
      <c r="D787">
        <f>IF(ISBLANK('Q:\Abteilungsprojekte\eng\EngData\AOS\Allgemein\[LabSamples2025.xlsx]Bioplastic'!D787)," ",'Q:\Abteilungsprojekte\eng\EngData\AOS\Allgemein\[LabSamples2025.xlsx]Bioplastic'!D787)</f>
        <v/>
      </c>
      <c r="E787">
        <f>IF(ISBLANK('Q:\Abteilungsprojekte\eng\EngData\AOS\Allgemein\[LabSamples2025.xlsx]Bioplastic'!E787)," ",'Q:\Abteilungsprojekte\eng\EngData\AOS\Allgemein\[LabSamples2025.xlsx]Bioplastic'!E787)</f>
        <v/>
      </c>
      <c r="F787">
        <f>IF(ISBLANK('Q:\Abteilungsprojekte\eng\EngData\AOS\Allgemein\[LabSamples2025.xlsx]Bioplastic'!F787)," ",'Q:\Abteilungsprojekte\eng\EngData\AOS\Allgemein\[LabSamples2025.xlsx]Bioplastic'!F787)</f>
        <v/>
      </c>
      <c r="G787">
        <f>IF(ISBLANK('Q:\Abteilungsprojekte\eng\EngData\AOS\Allgemein\[LabSamples2025.xlsx]Bioplastic'!G787)," ",'Q:\Abteilungsprojekte\eng\EngData\AOS\Allgemein\[LabSamples2025.xlsx]Bioplastic'!G787)</f>
        <v/>
      </c>
      <c r="H787">
        <f>IF(ISBLANK('Q:\Abteilungsprojekte\eng\EngData\AOS\Allgemein\[LabSamples2025.xlsx]Bioplastic'!H787)," ",'Q:\Abteilungsprojekte\eng\EngData\AOS\Allgemein\[LabSamples2025.xlsx]Bioplastic'!H787)</f>
        <v/>
      </c>
    </row>
    <row r="788">
      <c r="A788">
        <f>IF(ISBLANK('Q:\Abteilungsprojekte\eng\EngData\AOS\Allgemein\[LabSamples2025.xlsx]Bioplastic'!A788)," ",'Q:\Abteilungsprojekte\eng\EngData\AOS\Allgemein\[LabSamples2025.xlsx]Bioplastic'!A788)</f>
        <v/>
      </c>
      <c r="B788">
        <f>IF(ISBLANK('Q:\Abteilungsprojekte\eng\EngData\AOS\Allgemein\[LabSamples2025.xlsx]Bioplastic'!B788)," ",'Q:\Abteilungsprojekte\eng\EngData\AOS\Allgemein\[LabSamples2025.xlsx]Bioplastic'!B788)</f>
        <v/>
      </c>
      <c r="C788">
        <f>IF(ISBLANK('Q:\Abteilungsprojekte\eng\EngData\AOS\Allgemein\[LabSamples2025.xlsx]Bioplastic'!C788)," ",'Q:\Abteilungsprojekte\eng\EngData\AOS\Allgemein\[LabSamples2025.xlsx]Bioplastic'!C788)</f>
        <v/>
      </c>
      <c r="D788">
        <f>IF(ISBLANK('Q:\Abteilungsprojekte\eng\EngData\AOS\Allgemein\[LabSamples2025.xlsx]Bioplastic'!D788)," ",'Q:\Abteilungsprojekte\eng\EngData\AOS\Allgemein\[LabSamples2025.xlsx]Bioplastic'!D788)</f>
        <v/>
      </c>
      <c r="E788">
        <f>IF(ISBLANK('Q:\Abteilungsprojekte\eng\EngData\AOS\Allgemein\[LabSamples2025.xlsx]Bioplastic'!E788)," ",'Q:\Abteilungsprojekte\eng\EngData\AOS\Allgemein\[LabSamples2025.xlsx]Bioplastic'!E788)</f>
        <v/>
      </c>
      <c r="F788">
        <f>IF(ISBLANK('Q:\Abteilungsprojekte\eng\EngData\AOS\Allgemein\[LabSamples2025.xlsx]Bioplastic'!F788)," ",'Q:\Abteilungsprojekte\eng\EngData\AOS\Allgemein\[LabSamples2025.xlsx]Bioplastic'!F788)</f>
        <v/>
      </c>
      <c r="G788">
        <f>IF(ISBLANK('Q:\Abteilungsprojekte\eng\EngData\AOS\Allgemein\[LabSamples2025.xlsx]Bioplastic'!G788)," ",'Q:\Abteilungsprojekte\eng\EngData\AOS\Allgemein\[LabSamples2025.xlsx]Bioplastic'!G788)</f>
        <v/>
      </c>
      <c r="H788">
        <f>IF(ISBLANK('Q:\Abteilungsprojekte\eng\EngData\AOS\Allgemein\[LabSamples2025.xlsx]Bioplastic'!H788)," ",'Q:\Abteilungsprojekte\eng\EngData\AOS\Allgemein\[LabSamples2025.xlsx]Bioplastic'!H788)</f>
        <v/>
      </c>
    </row>
    <row r="789">
      <c r="A789">
        <f>IF(ISBLANK('Q:\Abteilungsprojekte\eng\EngData\AOS\Allgemein\[LabSamples2025.xlsx]Bioplastic'!A789)," ",'Q:\Abteilungsprojekte\eng\EngData\AOS\Allgemein\[LabSamples2025.xlsx]Bioplastic'!A789)</f>
        <v/>
      </c>
      <c r="B789">
        <f>IF(ISBLANK('Q:\Abteilungsprojekte\eng\EngData\AOS\Allgemein\[LabSamples2025.xlsx]Bioplastic'!B789)," ",'Q:\Abteilungsprojekte\eng\EngData\AOS\Allgemein\[LabSamples2025.xlsx]Bioplastic'!B789)</f>
        <v/>
      </c>
      <c r="C789">
        <f>IF(ISBLANK('Q:\Abteilungsprojekte\eng\EngData\AOS\Allgemein\[LabSamples2025.xlsx]Bioplastic'!C789)," ",'Q:\Abteilungsprojekte\eng\EngData\AOS\Allgemein\[LabSamples2025.xlsx]Bioplastic'!C789)</f>
        <v/>
      </c>
      <c r="D789">
        <f>IF(ISBLANK('Q:\Abteilungsprojekte\eng\EngData\AOS\Allgemein\[LabSamples2025.xlsx]Bioplastic'!D789)," ",'Q:\Abteilungsprojekte\eng\EngData\AOS\Allgemein\[LabSamples2025.xlsx]Bioplastic'!D789)</f>
        <v/>
      </c>
      <c r="E789">
        <f>IF(ISBLANK('Q:\Abteilungsprojekte\eng\EngData\AOS\Allgemein\[LabSamples2025.xlsx]Bioplastic'!E789)," ",'Q:\Abteilungsprojekte\eng\EngData\AOS\Allgemein\[LabSamples2025.xlsx]Bioplastic'!E789)</f>
        <v/>
      </c>
      <c r="F789">
        <f>IF(ISBLANK('Q:\Abteilungsprojekte\eng\EngData\AOS\Allgemein\[LabSamples2025.xlsx]Bioplastic'!F789)," ",'Q:\Abteilungsprojekte\eng\EngData\AOS\Allgemein\[LabSamples2025.xlsx]Bioplastic'!F789)</f>
        <v/>
      </c>
      <c r="G789">
        <f>IF(ISBLANK('Q:\Abteilungsprojekte\eng\EngData\AOS\Allgemein\[LabSamples2025.xlsx]Bioplastic'!G789)," ",'Q:\Abteilungsprojekte\eng\EngData\AOS\Allgemein\[LabSamples2025.xlsx]Bioplastic'!G789)</f>
        <v/>
      </c>
      <c r="H789">
        <f>IF(ISBLANK('Q:\Abteilungsprojekte\eng\EngData\AOS\Allgemein\[LabSamples2025.xlsx]Bioplastic'!H789)," ",'Q:\Abteilungsprojekte\eng\EngData\AOS\Allgemein\[LabSamples2025.xlsx]Bioplastic'!H789)</f>
        <v/>
      </c>
    </row>
    <row r="790">
      <c r="A790">
        <f>IF(ISBLANK('Q:\Abteilungsprojekte\eng\EngData\AOS\Allgemein\[LabSamples2025.xlsx]Bioplastic'!A790)," ",'Q:\Abteilungsprojekte\eng\EngData\AOS\Allgemein\[LabSamples2025.xlsx]Bioplastic'!A790)</f>
        <v/>
      </c>
      <c r="B790">
        <f>IF(ISBLANK('Q:\Abteilungsprojekte\eng\EngData\AOS\Allgemein\[LabSamples2025.xlsx]Bioplastic'!B790)," ",'Q:\Abteilungsprojekte\eng\EngData\AOS\Allgemein\[LabSamples2025.xlsx]Bioplastic'!B790)</f>
        <v/>
      </c>
      <c r="C790">
        <f>IF(ISBLANK('Q:\Abteilungsprojekte\eng\EngData\AOS\Allgemein\[LabSamples2025.xlsx]Bioplastic'!C790)," ",'Q:\Abteilungsprojekte\eng\EngData\AOS\Allgemein\[LabSamples2025.xlsx]Bioplastic'!C790)</f>
        <v/>
      </c>
      <c r="D790">
        <f>IF(ISBLANK('Q:\Abteilungsprojekte\eng\EngData\AOS\Allgemein\[LabSamples2025.xlsx]Bioplastic'!D790)," ",'Q:\Abteilungsprojekte\eng\EngData\AOS\Allgemein\[LabSamples2025.xlsx]Bioplastic'!D790)</f>
        <v/>
      </c>
      <c r="E790">
        <f>IF(ISBLANK('Q:\Abteilungsprojekte\eng\EngData\AOS\Allgemein\[LabSamples2025.xlsx]Bioplastic'!E790)," ",'Q:\Abteilungsprojekte\eng\EngData\AOS\Allgemein\[LabSamples2025.xlsx]Bioplastic'!E790)</f>
        <v/>
      </c>
      <c r="F790">
        <f>IF(ISBLANK('Q:\Abteilungsprojekte\eng\EngData\AOS\Allgemein\[LabSamples2025.xlsx]Bioplastic'!F790)," ",'Q:\Abteilungsprojekte\eng\EngData\AOS\Allgemein\[LabSamples2025.xlsx]Bioplastic'!F790)</f>
        <v/>
      </c>
      <c r="G790">
        <f>IF(ISBLANK('Q:\Abteilungsprojekte\eng\EngData\AOS\Allgemein\[LabSamples2025.xlsx]Bioplastic'!G790)," ",'Q:\Abteilungsprojekte\eng\EngData\AOS\Allgemein\[LabSamples2025.xlsx]Bioplastic'!G790)</f>
        <v/>
      </c>
      <c r="H790">
        <f>IF(ISBLANK('Q:\Abteilungsprojekte\eng\EngData\AOS\Allgemein\[LabSamples2025.xlsx]Bioplastic'!H790)," ",'Q:\Abteilungsprojekte\eng\EngData\AOS\Allgemein\[LabSamples2025.xlsx]Bioplastic'!H790)</f>
        <v/>
      </c>
    </row>
    <row r="791">
      <c r="A791">
        <f>IF(ISBLANK('Q:\Abteilungsprojekte\eng\EngData\AOS\Allgemein\[LabSamples2025.xlsx]Bioplastic'!A791)," ",'Q:\Abteilungsprojekte\eng\EngData\AOS\Allgemein\[LabSamples2025.xlsx]Bioplastic'!A791)</f>
        <v/>
      </c>
      <c r="B791">
        <f>IF(ISBLANK('Q:\Abteilungsprojekte\eng\EngData\AOS\Allgemein\[LabSamples2025.xlsx]Bioplastic'!B791)," ",'Q:\Abteilungsprojekte\eng\EngData\AOS\Allgemein\[LabSamples2025.xlsx]Bioplastic'!B791)</f>
        <v/>
      </c>
      <c r="C791">
        <f>IF(ISBLANK('Q:\Abteilungsprojekte\eng\EngData\AOS\Allgemein\[LabSamples2025.xlsx]Bioplastic'!C791)," ",'Q:\Abteilungsprojekte\eng\EngData\AOS\Allgemein\[LabSamples2025.xlsx]Bioplastic'!C791)</f>
        <v/>
      </c>
      <c r="D791">
        <f>IF(ISBLANK('Q:\Abteilungsprojekte\eng\EngData\AOS\Allgemein\[LabSamples2025.xlsx]Bioplastic'!D791)," ",'Q:\Abteilungsprojekte\eng\EngData\AOS\Allgemein\[LabSamples2025.xlsx]Bioplastic'!D791)</f>
        <v/>
      </c>
      <c r="E791">
        <f>IF(ISBLANK('Q:\Abteilungsprojekte\eng\EngData\AOS\Allgemein\[LabSamples2025.xlsx]Bioplastic'!E791)," ",'Q:\Abteilungsprojekte\eng\EngData\AOS\Allgemein\[LabSamples2025.xlsx]Bioplastic'!E791)</f>
        <v/>
      </c>
      <c r="F791">
        <f>IF(ISBLANK('Q:\Abteilungsprojekte\eng\EngData\AOS\Allgemein\[LabSamples2025.xlsx]Bioplastic'!F791)," ",'Q:\Abteilungsprojekte\eng\EngData\AOS\Allgemein\[LabSamples2025.xlsx]Bioplastic'!F791)</f>
        <v/>
      </c>
      <c r="G791">
        <f>IF(ISBLANK('Q:\Abteilungsprojekte\eng\EngData\AOS\Allgemein\[LabSamples2025.xlsx]Bioplastic'!G791)," ",'Q:\Abteilungsprojekte\eng\EngData\AOS\Allgemein\[LabSamples2025.xlsx]Bioplastic'!G791)</f>
        <v/>
      </c>
      <c r="H791">
        <f>IF(ISBLANK('Q:\Abteilungsprojekte\eng\EngData\AOS\Allgemein\[LabSamples2025.xlsx]Bioplastic'!H791)," ",'Q:\Abteilungsprojekte\eng\EngData\AOS\Allgemein\[LabSamples2025.xlsx]Bioplastic'!H791)</f>
        <v/>
      </c>
    </row>
    <row r="792">
      <c r="A792">
        <f>IF(ISBLANK('Q:\Abteilungsprojekte\eng\EngData\AOS\Allgemein\[LabSamples2025.xlsx]Bioplastic'!A792)," ",'Q:\Abteilungsprojekte\eng\EngData\AOS\Allgemein\[LabSamples2025.xlsx]Bioplastic'!A792)</f>
        <v/>
      </c>
      <c r="B792">
        <f>IF(ISBLANK('Q:\Abteilungsprojekte\eng\EngData\AOS\Allgemein\[LabSamples2025.xlsx]Bioplastic'!B792)," ",'Q:\Abteilungsprojekte\eng\EngData\AOS\Allgemein\[LabSamples2025.xlsx]Bioplastic'!B792)</f>
        <v/>
      </c>
      <c r="C792">
        <f>IF(ISBLANK('Q:\Abteilungsprojekte\eng\EngData\AOS\Allgemein\[LabSamples2025.xlsx]Bioplastic'!C792)," ",'Q:\Abteilungsprojekte\eng\EngData\AOS\Allgemein\[LabSamples2025.xlsx]Bioplastic'!C792)</f>
        <v/>
      </c>
      <c r="D792">
        <f>IF(ISBLANK('Q:\Abteilungsprojekte\eng\EngData\AOS\Allgemein\[LabSamples2025.xlsx]Bioplastic'!D792)," ",'Q:\Abteilungsprojekte\eng\EngData\AOS\Allgemein\[LabSamples2025.xlsx]Bioplastic'!D792)</f>
        <v/>
      </c>
      <c r="E792">
        <f>IF(ISBLANK('Q:\Abteilungsprojekte\eng\EngData\AOS\Allgemein\[LabSamples2025.xlsx]Bioplastic'!E792)," ",'Q:\Abteilungsprojekte\eng\EngData\AOS\Allgemein\[LabSamples2025.xlsx]Bioplastic'!E792)</f>
        <v/>
      </c>
      <c r="F792">
        <f>IF(ISBLANK('Q:\Abteilungsprojekte\eng\EngData\AOS\Allgemein\[LabSamples2025.xlsx]Bioplastic'!F792)," ",'Q:\Abteilungsprojekte\eng\EngData\AOS\Allgemein\[LabSamples2025.xlsx]Bioplastic'!F792)</f>
        <v/>
      </c>
      <c r="G792">
        <f>IF(ISBLANK('Q:\Abteilungsprojekte\eng\EngData\AOS\Allgemein\[LabSamples2025.xlsx]Bioplastic'!G792)," ",'Q:\Abteilungsprojekte\eng\EngData\AOS\Allgemein\[LabSamples2025.xlsx]Bioplastic'!G792)</f>
        <v/>
      </c>
      <c r="H792">
        <f>IF(ISBLANK('Q:\Abteilungsprojekte\eng\EngData\AOS\Allgemein\[LabSamples2025.xlsx]Bioplastic'!H792)," ",'Q:\Abteilungsprojekte\eng\EngData\AOS\Allgemein\[LabSamples2025.xlsx]Bioplastic'!H792)</f>
        <v/>
      </c>
    </row>
    <row r="793">
      <c r="A793">
        <f>IF(ISBLANK('Q:\Abteilungsprojekte\eng\EngData\AOS\Allgemein\[LabSamples2025.xlsx]Bioplastic'!A793)," ",'Q:\Abteilungsprojekte\eng\EngData\AOS\Allgemein\[LabSamples2025.xlsx]Bioplastic'!A793)</f>
        <v/>
      </c>
      <c r="B793">
        <f>IF(ISBLANK('Q:\Abteilungsprojekte\eng\EngData\AOS\Allgemein\[LabSamples2025.xlsx]Bioplastic'!B793)," ",'Q:\Abteilungsprojekte\eng\EngData\AOS\Allgemein\[LabSamples2025.xlsx]Bioplastic'!B793)</f>
        <v/>
      </c>
      <c r="C793">
        <f>IF(ISBLANK('Q:\Abteilungsprojekte\eng\EngData\AOS\Allgemein\[LabSamples2025.xlsx]Bioplastic'!C793)," ",'Q:\Abteilungsprojekte\eng\EngData\AOS\Allgemein\[LabSamples2025.xlsx]Bioplastic'!C793)</f>
        <v/>
      </c>
      <c r="D793">
        <f>IF(ISBLANK('Q:\Abteilungsprojekte\eng\EngData\AOS\Allgemein\[LabSamples2025.xlsx]Bioplastic'!D793)," ",'Q:\Abteilungsprojekte\eng\EngData\AOS\Allgemein\[LabSamples2025.xlsx]Bioplastic'!D793)</f>
        <v/>
      </c>
      <c r="E793">
        <f>IF(ISBLANK('Q:\Abteilungsprojekte\eng\EngData\AOS\Allgemein\[LabSamples2025.xlsx]Bioplastic'!E793)," ",'Q:\Abteilungsprojekte\eng\EngData\AOS\Allgemein\[LabSamples2025.xlsx]Bioplastic'!E793)</f>
        <v/>
      </c>
      <c r="F793">
        <f>IF(ISBLANK('Q:\Abteilungsprojekte\eng\EngData\AOS\Allgemein\[LabSamples2025.xlsx]Bioplastic'!F793)," ",'Q:\Abteilungsprojekte\eng\EngData\AOS\Allgemein\[LabSamples2025.xlsx]Bioplastic'!F793)</f>
        <v/>
      </c>
      <c r="G793">
        <f>IF(ISBLANK('Q:\Abteilungsprojekte\eng\EngData\AOS\Allgemein\[LabSamples2025.xlsx]Bioplastic'!G793)," ",'Q:\Abteilungsprojekte\eng\EngData\AOS\Allgemein\[LabSamples2025.xlsx]Bioplastic'!G793)</f>
        <v/>
      </c>
      <c r="H793">
        <f>IF(ISBLANK('Q:\Abteilungsprojekte\eng\EngData\AOS\Allgemein\[LabSamples2025.xlsx]Bioplastic'!H793)," ",'Q:\Abteilungsprojekte\eng\EngData\AOS\Allgemein\[LabSamples2025.xlsx]Bioplastic'!H793)</f>
        <v/>
      </c>
    </row>
    <row r="794">
      <c r="A794">
        <f>IF(ISBLANK('Q:\Abteilungsprojekte\eng\EngData\AOS\Allgemein\[LabSamples2025.xlsx]Bioplastic'!A794)," ",'Q:\Abteilungsprojekte\eng\EngData\AOS\Allgemein\[LabSamples2025.xlsx]Bioplastic'!A794)</f>
        <v/>
      </c>
      <c r="B794">
        <f>IF(ISBLANK('Q:\Abteilungsprojekte\eng\EngData\AOS\Allgemein\[LabSamples2025.xlsx]Bioplastic'!B794)," ",'Q:\Abteilungsprojekte\eng\EngData\AOS\Allgemein\[LabSamples2025.xlsx]Bioplastic'!B794)</f>
        <v/>
      </c>
      <c r="C794">
        <f>IF(ISBLANK('Q:\Abteilungsprojekte\eng\EngData\AOS\Allgemein\[LabSamples2025.xlsx]Bioplastic'!C794)," ",'Q:\Abteilungsprojekte\eng\EngData\AOS\Allgemein\[LabSamples2025.xlsx]Bioplastic'!C794)</f>
        <v/>
      </c>
      <c r="D794">
        <f>IF(ISBLANK('Q:\Abteilungsprojekte\eng\EngData\AOS\Allgemein\[LabSamples2025.xlsx]Bioplastic'!D794)," ",'Q:\Abteilungsprojekte\eng\EngData\AOS\Allgemein\[LabSamples2025.xlsx]Bioplastic'!D794)</f>
        <v/>
      </c>
      <c r="E794">
        <f>IF(ISBLANK('Q:\Abteilungsprojekte\eng\EngData\AOS\Allgemein\[LabSamples2025.xlsx]Bioplastic'!E794)," ",'Q:\Abteilungsprojekte\eng\EngData\AOS\Allgemein\[LabSamples2025.xlsx]Bioplastic'!E794)</f>
        <v/>
      </c>
      <c r="F794">
        <f>IF(ISBLANK('Q:\Abteilungsprojekte\eng\EngData\AOS\Allgemein\[LabSamples2025.xlsx]Bioplastic'!F794)," ",'Q:\Abteilungsprojekte\eng\EngData\AOS\Allgemein\[LabSamples2025.xlsx]Bioplastic'!F794)</f>
        <v/>
      </c>
      <c r="G794">
        <f>IF(ISBLANK('Q:\Abteilungsprojekte\eng\EngData\AOS\Allgemein\[LabSamples2025.xlsx]Bioplastic'!G794)," ",'Q:\Abteilungsprojekte\eng\EngData\AOS\Allgemein\[LabSamples2025.xlsx]Bioplastic'!G794)</f>
        <v/>
      </c>
      <c r="H794">
        <f>IF(ISBLANK('Q:\Abteilungsprojekte\eng\EngData\AOS\Allgemein\[LabSamples2025.xlsx]Bioplastic'!H794)," ",'Q:\Abteilungsprojekte\eng\EngData\AOS\Allgemein\[LabSamples2025.xlsx]Bioplastic'!H794)</f>
        <v/>
      </c>
    </row>
    <row r="795">
      <c r="A795">
        <f>IF(ISBLANK('Q:\Abteilungsprojekte\eng\EngData\AOS\Allgemein\[LabSamples2025.xlsx]Bioplastic'!A795)," ",'Q:\Abteilungsprojekte\eng\EngData\AOS\Allgemein\[LabSamples2025.xlsx]Bioplastic'!A795)</f>
        <v/>
      </c>
      <c r="B795">
        <f>IF(ISBLANK('Q:\Abteilungsprojekte\eng\EngData\AOS\Allgemein\[LabSamples2025.xlsx]Bioplastic'!B795)," ",'Q:\Abteilungsprojekte\eng\EngData\AOS\Allgemein\[LabSamples2025.xlsx]Bioplastic'!B795)</f>
        <v/>
      </c>
      <c r="C795">
        <f>IF(ISBLANK('Q:\Abteilungsprojekte\eng\EngData\AOS\Allgemein\[LabSamples2025.xlsx]Bioplastic'!C795)," ",'Q:\Abteilungsprojekte\eng\EngData\AOS\Allgemein\[LabSamples2025.xlsx]Bioplastic'!C795)</f>
        <v/>
      </c>
      <c r="D795">
        <f>IF(ISBLANK('Q:\Abteilungsprojekte\eng\EngData\AOS\Allgemein\[LabSamples2025.xlsx]Bioplastic'!D795)," ",'Q:\Abteilungsprojekte\eng\EngData\AOS\Allgemein\[LabSamples2025.xlsx]Bioplastic'!D795)</f>
        <v/>
      </c>
      <c r="E795">
        <f>IF(ISBLANK('Q:\Abteilungsprojekte\eng\EngData\AOS\Allgemein\[LabSamples2025.xlsx]Bioplastic'!E795)," ",'Q:\Abteilungsprojekte\eng\EngData\AOS\Allgemein\[LabSamples2025.xlsx]Bioplastic'!E795)</f>
        <v/>
      </c>
      <c r="F795">
        <f>IF(ISBLANK('Q:\Abteilungsprojekte\eng\EngData\AOS\Allgemein\[LabSamples2025.xlsx]Bioplastic'!F795)," ",'Q:\Abteilungsprojekte\eng\EngData\AOS\Allgemein\[LabSamples2025.xlsx]Bioplastic'!F795)</f>
        <v/>
      </c>
      <c r="G795">
        <f>IF(ISBLANK('Q:\Abteilungsprojekte\eng\EngData\AOS\Allgemein\[LabSamples2025.xlsx]Bioplastic'!G795)," ",'Q:\Abteilungsprojekte\eng\EngData\AOS\Allgemein\[LabSamples2025.xlsx]Bioplastic'!G795)</f>
        <v/>
      </c>
      <c r="H795">
        <f>IF(ISBLANK('Q:\Abteilungsprojekte\eng\EngData\AOS\Allgemein\[LabSamples2025.xlsx]Bioplastic'!H795)," ",'Q:\Abteilungsprojekte\eng\EngData\AOS\Allgemein\[LabSamples2025.xlsx]Bioplastic'!H795)</f>
        <v/>
      </c>
    </row>
    <row r="796">
      <c r="A796">
        <f>IF(ISBLANK('Q:\Abteilungsprojekte\eng\EngData\AOS\Allgemein\[LabSamples2025.xlsx]Bioplastic'!A796)," ",'Q:\Abteilungsprojekte\eng\EngData\AOS\Allgemein\[LabSamples2025.xlsx]Bioplastic'!A796)</f>
        <v/>
      </c>
      <c r="B796">
        <f>IF(ISBLANK('Q:\Abteilungsprojekte\eng\EngData\AOS\Allgemein\[LabSamples2025.xlsx]Bioplastic'!B796)," ",'Q:\Abteilungsprojekte\eng\EngData\AOS\Allgemein\[LabSamples2025.xlsx]Bioplastic'!B796)</f>
        <v/>
      </c>
      <c r="C796">
        <f>IF(ISBLANK('Q:\Abteilungsprojekte\eng\EngData\AOS\Allgemein\[LabSamples2025.xlsx]Bioplastic'!C796)," ",'Q:\Abteilungsprojekte\eng\EngData\AOS\Allgemein\[LabSamples2025.xlsx]Bioplastic'!C796)</f>
        <v/>
      </c>
      <c r="D796">
        <f>IF(ISBLANK('Q:\Abteilungsprojekte\eng\EngData\AOS\Allgemein\[LabSamples2025.xlsx]Bioplastic'!D796)," ",'Q:\Abteilungsprojekte\eng\EngData\AOS\Allgemein\[LabSamples2025.xlsx]Bioplastic'!D796)</f>
        <v/>
      </c>
      <c r="E796">
        <f>IF(ISBLANK('Q:\Abteilungsprojekte\eng\EngData\AOS\Allgemein\[LabSamples2025.xlsx]Bioplastic'!E796)," ",'Q:\Abteilungsprojekte\eng\EngData\AOS\Allgemein\[LabSamples2025.xlsx]Bioplastic'!E796)</f>
        <v/>
      </c>
      <c r="F796">
        <f>IF(ISBLANK('Q:\Abteilungsprojekte\eng\EngData\AOS\Allgemein\[LabSamples2025.xlsx]Bioplastic'!F796)," ",'Q:\Abteilungsprojekte\eng\EngData\AOS\Allgemein\[LabSamples2025.xlsx]Bioplastic'!F796)</f>
        <v/>
      </c>
      <c r="G796">
        <f>IF(ISBLANK('Q:\Abteilungsprojekte\eng\EngData\AOS\Allgemein\[LabSamples2025.xlsx]Bioplastic'!G796)," ",'Q:\Abteilungsprojekte\eng\EngData\AOS\Allgemein\[LabSamples2025.xlsx]Bioplastic'!G796)</f>
        <v/>
      </c>
      <c r="H796">
        <f>IF(ISBLANK('Q:\Abteilungsprojekte\eng\EngData\AOS\Allgemein\[LabSamples2025.xlsx]Bioplastic'!H796)," ",'Q:\Abteilungsprojekte\eng\EngData\AOS\Allgemein\[LabSamples2025.xlsx]Bioplastic'!H796)</f>
        <v/>
      </c>
    </row>
    <row r="797">
      <c r="A797">
        <f>IF(ISBLANK('Q:\Abteilungsprojekte\eng\EngData\AOS\Allgemein\[LabSamples2025.xlsx]Bioplastic'!A797)," ",'Q:\Abteilungsprojekte\eng\EngData\AOS\Allgemein\[LabSamples2025.xlsx]Bioplastic'!A797)</f>
        <v/>
      </c>
      <c r="B797">
        <f>IF(ISBLANK('Q:\Abteilungsprojekte\eng\EngData\AOS\Allgemein\[LabSamples2025.xlsx]Bioplastic'!B797)," ",'Q:\Abteilungsprojekte\eng\EngData\AOS\Allgemein\[LabSamples2025.xlsx]Bioplastic'!B797)</f>
        <v/>
      </c>
      <c r="C797">
        <f>IF(ISBLANK('Q:\Abteilungsprojekte\eng\EngData\AOS\Allgemein\[LabSamples2025.xlsx]Bioplastic'!C797)," ",'Q:\Abteilungsprojekte\eng\EngData\AOS\Allgemein\[LabSamples2025.xlsx]Bioplastic'!C797)</f>
        <v/>
      </c>
      <c r="D797">
        <f>IF(ISBLANK('Q:\Abteilungsprojekte\eng\EngData\AOS\Allgemein\[LabSamples2025.xlsx]Bioplastic'!D797)," ",'Q:\Abteilungsprojekte\eng\EngData\AOS\Allgemein\[LabSamples2025.xlsx]Bioplastic'!D797)</f>
        <v/>
      </c>
      <c r="E797">
        <f>IF(ISBLANK('Q:\Abteilungsprojekte\eng\EngData\AOS\Allgemein\[LabSamples2025.xlsx]Bioplastic'!E797)," ",'Q:\Abteilungsprojekte\eng\EngData\AOS\Allgemein\[LabSamples2025.xlsx]Bioplastic'!E797)</f>
        <v/>
      </c>
      <c r="F797">
        <f>IF(ISBLANK('Q:\Abteilungsprojekte\eng\EngData\AOS\Allgemein\[LabSamples2025.xlsx]Bioplastic'!F797)," ",'Q:\Abteilungsprojekte\eng\EngData\AOS\Allgemein\[LabSamples2025.xlsx]Bioplastic'!F797)</f>
        <v/>
      </c>
      <c r="G797">
        <f>IF(ISBLANK('Q:\Abteilungsprojekte\eng\EngData\AOS\Allgemein\[LabSamples2025.xlsx]Bioplastic'!G797)," ",'Q:\Abteilungsprojekte\eng\EngData\AOS\Allgemein\[LabSamples2025.xlsx]Bioplastic'!G797)</f>
        <v/>
      </c>
      <c r="H797">
        <f>IF(ISBLANK('Q:\Abteilungsprojekte\eng\EngData\AOS\Allgemein\[LabSamples2025.xlsx]Bioplastic'!H797)," ",'Q:\Abteilungsprojekte\eng\EngData\AOS\Allgemein\[LabSamples2025.xlsx]Bioplastic'!H797)</f>
        <v/>
      </c>
    </row>
    <row r="798">
      <c r="A798">
        <f>IF(ISBLANK('Q:\Abteilungsprojekte\eng\EngData\AOS\Allgemein\[LabSamples2025.xlsx]Bioplastic'!A798)," ",'Q:\Abteilungsprojekte\eng\EngData\AOS\Allgemein\[LabSamples2025.xlsx]Bioplastic'!A798)</f>
        <v/>
      </c>
      <c r="B798">
        <f>IF(ISBLANK('Q:\Abteilungsprojekte\eng\EngData\AOS\Allgemein\[LabSamples2025.xlsx]Bioplastic'!B798)," ",'Q:\Abteilungsprojekte\eng\EngData\AOS\Allgemein\[LabSamples2025.xlsx]Bioplastic'!B798)</f>
        <v/>
      </c>
      <c r="C798">
        <f>IF(ISBLANK('Q:\Abteilungsprojekte\eng\EngData\AOS\Allgemein\[LabSamples2025.xlsx]Bioplastic'!C798)," ",'Q:\Abteilungsprojekte\eng\EngData\AOS\Allgemein\[LabSamples2025.xlsx]Bioplastic'!C798)</f>
        <v/>
      </c>
      <c r="D798">
        <f>IF(ISBLANK('Q:\Abteilungsprojekte\eng\EngData\AOS\Allgemein\[LabSamples2025.xlsx]Bioplastic'!D798)," ",'Q:\Abteilungsprojekte\eng\EngData\AOS\Allgemein\[LabSamples2025.xlsx]Bioplastic'!D798)</f>
        <v/>
      </c>
      <c r="E798">
        <f>IF(ISBLANK('Q:\Abteilungsprojekte\eng\EngData\AOS\Allgemein\[LabSamples2025.xlsx]Bioplastic'!E798)," ",'Q:\Abteilungsprojekte\eng\EngData\AOS\Allgemein\[LabSamples2025.xlsx]Bioplastic'!E798)</f>
        <v/>
      </c>
      <c r="F798">
        <f>IF(ISBLANK('Q:\Abteilungsprojekte\eng\EngData\AOS\Allgemein\[LabSamples2025.xlsx]Bioplastic'!F798)," ",'Q:\Abteilungsprojekte\eng\EngData\AOS\Allgemein\[LabSamples2025.xlsx]Bioplastic'!F798)</f>
        <v/>
      </c>
      <c r="G798">
        <f>IF(ISBLANK('Q:\Abteilungsprojekte\eng\EngData\AOS\Allgemein\[LabSamples2025.xlsx]Bioplastic'!G798)," ",'Q:\Abteilungsprojekte\eng\EngData\AOS\Allgemein\[LabSamples2025.xlsx]Bioplastic'!G798)</f>
        <v/>
      </c>
      <c r="H798">
        <f>IF(ISBLANK('Q:\Abteilungsprojekte\eng\EngData\AOS\Allgemein\[LabSamples2025.xlsx]Bioplastic'!H798)," ",'Q:\Abteilungsprojekte\eng\EngData\AOS\Allgemein\[LabSamples2025.xlsx]Bioplastic'!H798)</f>
        <v/>
      </c>
    </row>
    <row r="799">
      <c r="A799">
        <f>IF(ISBLANK('Q:\Abteilungsprojekte\eng\EngData\AOS\Allgemein\[LabSamples2025.xlsx]Bioplastic'!A799)," ",'Q:\Abteilungsprojekte\eng\EngData\AOS\Allgemein\[LabSamples2025.xlsx]Bioplastic'!A799)</f>
        <v/>
      </c>
      <c r="B799">
        <f>IF(ISBLANK('Q:\Abteilungsprojekte\eng\EngData\AOS\Allgemein\[LabSamples2025.xlsx]Bioplastic'!B799)," ",'Q:\Abteilungsprojekte\eng\EngData\AOS\Allgemein\[LabSamples2025.xlsx]Bioplastic'!B799)</f>
        <v/>
      </c>
      <c r="C799">
        <f>IF(ISBLANK('Q:\Abteilungsprojekte\eng\EngData\AOS\Allgemein\[LabSamples2025.xlsx]Bioplastic'!C799)," ",'Q:\Abteilungsprojekte\eng\EngData\AOS\Allgemein\[LabSamples2025.xlsx]Bioplastic'!C799)</f>
        <v/>
      </c>
      <c r="D799">
        <f>IF(ISBLANK('Q:\Abteilungsprojekte\eng\EngData\AOS\Allgemein\[LabSamples2025.xlsx]Bioplastic'!D799)," ",'Q:\Abteilungsprojekte\eng\EngData\AOS\Allgemein\[LabSamples2025.xlsx]Bioplastic'!D799)</f>
        <v/>
      </c>
      <c r="E799">
        <f>IF(ISBLANK('Q:\Abteilungsprojekte\eng\EngData\AOS\Allgemein\[LabSamples2025.xlsx]Bioplastic'!E799)," ",'Q:\Abteilungsprojekte\eng\EngData\AOS\Allgemein\[LabSamples2025.xlsx]Bioplastic'!E799)</f>
        <v/>
      </c>
      <c r="F799">
        <f>IF(ISBLANK('Q:\Abteilungsprojekte\eng\EngData\AOS\Allgemein\[LabSamples2025.xlsx]Bioplastic'!F799)," ",'Q:\Abteilungsprojekte\eng\EngData\AOS\Allgemein\[LabSamples2025.xlsx]Bioplastic'!F799)</f>
        <v/>
      </c>
      <c r="G799">
        <f>IF(ISBLANK('Q:\Abteilungsprojekte\eng\EngData\AOS\Allgemein\[LabSamples2025.xlsx]Bioplastic'!G799)," ",'Q:\Abteilungsprojekte\eng\EngData\AOS\Allgemein\[LabSamples2025.xlsx]Bioplastic'!G799)</f>
        <v/>
      </c>
      <c r="H799">
        <f>IF(ISBLANK('Q:\Abteilungsprojekte\eng\EngData\AOS\Allgemein\[LabSamples2025.xlsx]Bioplastic'!H799)," ",'Q:\Abteilungsprojekte\eng\EngData\AOS\Allgemein\[LabSamples2025.xlsx]Bioplastic'!H799)</f>
        <v/>
      </c>
    </row>
    <row r="800">
      <c r="A800">
        <f>IF(ISBLANK('Q:\Abteilungsprojekte\eng\EngData\AOS\Allgemein\[LabSamples2025.xlsx]Bioplastic'!A800)," ",'Q:\Abteilungsprojekte\eng\EngData\AOS\Allgemein\[LabSamples2025.xlsx]Bioplastic'!A800)</f>
        <v/>
      </c>
      <c r="B800">
        <f>IF(ISBLANK('Q:\Abteilungsprojekte\eng\EngData\AOS\Allgemein\[LabSamples2025.xlsx]Bioplastic'!B800)," ",'Q:\Abteilungsprojekte\eng\EngData\AOS\Allgemein\[LabSamples2025.xlsx]Bioplastic'!B800)</f>
        <v/>
      </c>
      <c r="C800">
        <f>IF(ISBLANK('Q:\Abteilungsprojekte\eng\EngData\AOS\Allgemein\[LabSamples2025.xlsx]Bioplastic'!C800)," ",'Q:\Abteilungsprojekte\eng\EngData\AOS\Allgemein\[LabSamples2025.xlsx]Bioplastic'!C800)</f>
        <v/>
      </c>
      <c r="D800">
        <f>IF(ISBLANK('Q:\Abteilungsprojekte\eng\EngData\AOS\Allgemein\[LabSamples2025.xlsx]Bioplastic'!D800)," ",'Q:\Abteilungsprojekte\eng\EngData\AOS\Allgemein\[LabSamples2025.xlsx]Bioplastic'!D800)</f>
        <v/>
      </c>
      <c r="E800">
        <f>IF(ISBLANK('Q:\Abteilungsprojekte\eng\EngData\AOS\Allgemein\[LabSamples2025.xlsx]Bioplastic'!E800)," ",'Q:\Abteilungsprojekte\eng\EngData\AOS\Allgemein\[LabSamples2025.xlsx]Bioplastic'!E800)</f>
        <v/>
      </c>
      <c r="F800">
        <f>IF(ISBLANK('Q:\Abteilungsprojekte\eng\EngData\AOS\Allgemein\[LabSamples2025.xlsx]Bioplastic'!F800)," ",'Q:\Abteilungsprojekte\eng\EngData\AOS\Allgemein\[LabSamples2025.xlsx]Bioplastic'!F800)</f>
        <v/>
      </c>
      <c r="G800">
        <f>IF(ISBLANK('Q:\Abteilungsprojekte\eng\EngData\AOS\Allgemein\[LabSamples2025.xlsx]Bioplastic'!G800)," ",'Q:\Abteilungsprojekte\eng\EngData\AOS\Allgemein\[LabSamples2025.xlsx]Bioplastic'!G800)</f>
        <v/>
      </c>
      <c r="H800">
        <f>IF(ISBLANK('Q:\Abteilungsprojekte\eng\EngData\AOS\Allgemein\[LabSamples2025.xlsx]Bioplastic'!H800)," ",'Q:\Abteilungsprojekte\eng\EngData\AOS\Allgemein\[LabSamples2025.xlsx]Bioplastic'!H800)</f>
        <v/>
      </c>
    </row>
    <row r="801">
      <c r="A801">
        <f>IF(ISBLANK('Q:\Abteilungsprojekte\eng\EngData\AOS\Allgemein\[LabSamples2025.xlsx]Bioplastic'!A801)," ",'Q:\Abteilungsprojekte\eng\EngData\AOS\Allgemein\[LabSamples2025.xlsx]Bioplastic'!A801)</f>
        <v/>
      </c>
      <c r="B801">
        <f>IF(ISBLANK('Q:\Abteilungsprojekte\eng\EngData\AOS\Allgemein\[LabSamples2025.xlsx]Bioplastic'!B801)," ",'Q:\Abteilungsprojekte\eng\EngData\AOS\Allgemein\[LabSamples2025.xlsx]Bioplastic'!B801)</f>
        <v/>
      </c>
      <c r="C801">
        <f>IF(ISBLANK('Q:\Abteilungsprojekte\eng\EngData\AOS\Allgemein\[LabSamples2025.xlsx]Bioplastic'!C801)," ",'Q:\Abteilungsprojekte\eng\EngData\AOS\Allgemein\[LabSamples2025.xlsx]Bioplastic'!C801)</f>
        <v/>
      </c>
      <c r="D801">
        <f>IF(ISBLANK('Q:\Abteilungsprojekte\eng\EngData\AOS\Allgemein\[LabSamples2025.xlsx]Bioplastic'!D801)," ",'Q:\Abteilungsprojekte\eng\EngData\AOS\Allgemein\[LabSamples2025.xlsx]Bioplastic'!D801)</f>
        <v/>
      </c>
      <c r="E801">
        <f>IF(ISBLANK('Q:\Abteilungsprojekte\eng\EngData\AOS\Allgemein\[LabSamples2025.xlsx]Bioplastic'!E801)," ",'Q:\Abteilungsprojekte\eng\EngData\AOS\Allgemein\[LabSamples2025.xlsx]Bioplastic'!E801)</f>
        <v/>
      </c>
      <c r="F801">
        <f>IF(ISBLANK('Q:\Abteilungsprojekte\eng\EngData\AOS\Allgemein\[LabSamples2025.xlsx]Bioplastic'!F801)," ",'Q:\Abteilungsprojekte\eng\EngData\AOS\Allgemein\[LabSamples2025.xlsx]Bioplastic'!F801)</f>
        <v/>
      </c>
      <c r="G801">
        <f>IF(ISBLANK('Q:\Abteilungsprojekte\eng\EngData\AOS\Allgemein\[LabSamples2025.xlsx]Bioplastic'!G801)," ",'Q:\Abteilungsprojekte\eng\EngData\AOS\Allgemein\[LabSamples2025.xlsx]Bioplastic'!G801)</f>
        <v/>
      </c>
      <c r="H801">
        <f>IF(ISBLANK('Q:\Abteilungsprojekte\eng\EngData\AOS\Allgemein\[LabSamples2025.xlsx]Bioplastic'!H801)," ",'Q:\Abteilungsprojekte\eng\EngData\AOS\Allgemein\[LabSamples2025.xlsx]Bioplastic'!H801)</f>
        <v/>
      </c>
    </row>
    <row r="802">
      <c r="A802">
        <f>IF(ISBLANK('Q:\Abteilungsprojekte\eng\EngData\AOS\Allgemein\[LabSamples2025.xlsx]Bioplastic'!A802)," ",'Q:\Abteilungsprojekte\eng\EngData\AOS\Allgemein\[LabSamples2025.xlsx]Bioplastic'!A802)</f>
        <v/>
      </c>
      <c r="B802">
        <f>IF(ISBLANK('Q:\Abteilungsprojekte\eng\EngData\AOS\Allgemein\[LabSamples2025.xlsx]Bioplastic'!B802)," ",'Q:\Abteilungsprojekte\eng\EngData\AOS\Allgemein\[LabSamples2025.xlsx]Bioplastic'!B802)</f>
        <v/>
      </c>
      <c r="C802">
        <f>IF(ISBLANK('Q:\Abteilungsprojekte\eng\EngData\AOS\Allgemein\[LabSamples2025.xlsx]Bioplastic'!C802)," ",'Q:\Abteilungsprojekte\eng\EngData\AOS\Allgemein\[LabSamples2025.xlsx]Bioplastic'!C802)</f>
        <v/>
      </c>
      <c r="D802">
        <f>IF(ISBLANK('Q:\Abteilungsprojekte\eng\EngData\AOS\Allgemein\[LabSamples2025.xlsx]Bioplastic'!D802)," ",'Q:\Abteilungsprojekte\eng\EngData\AOS\Allgemein\[LabSamples2025.xlsx]Bioplastic'!D802)</f>
        <v/>
      </c>
      <c r="E802">
        <f>IF(ISBLANK('Q:\Abteilungsprojekte\eng\EngData\AOS\Allgemein\[LabSamples2025.xlsx]Bioplastic'!E802)," ",'Q:\Abteilungsprojekte\eng\EngData\AOS\Allgemein\[LabSamples2025.xlsx]Bioplastic'!E802)</f>
        <v/>
      </c>
      <c r="F802">
        <f>IF(ISBLANK('Q:\Abteilungsprojekte\eng\EngData\AOS\Allgemein\[LabSamples2025.xlsx]Bioplastic'!F802)," ",'Q:\Abteilungsprojekte\eng\EngData\AOS\Allgemein\[LabSamples2025.xlsx]Bioplastic'!F802)</f>
        <v/>
      </c>
      <c r="G802">
        <f>IF(ISBLANK('Q:\Abteilungsprojekte\eng\EngData\AOS\Allgemein\[LabSamples2025.xlsx]Bioplastic'!G802)," ",'Q:\Abteilungsprojekte\eng\EngData\AOS\Allgemein\[LabSamples2025.xlsx]Bioplastic'!G802)</f>
        <v/>
      </c>
      <c r="H802">
        <f>IF(ISBLANK('Q:\Abteilungsprojekte\eng\EngData\AOS\Allgemein\[LabSamples2025.xlsx]Bioplastic'!H802)," ",'Q:\Abteilungsprojekte\eng\EngData\AOS\Allgemein\[LabSamples2025.xlsx]Bioplastic'!H802)</f>
        <v/>
      </c>
    </row>
    <row r="803">
      <c r="A803">
        <f>IF(ISBLANK('Q:\Abteilungsprojekte\eng\EngData\AOS\Allgemein\[LabSamples2025.xlsx]Bioplastic'!A803)," ",'Q:\Abteilungsprojekte\eng\EngData\AOS\Allgemein\[LabSamples2025.xlsx]Bioplastic'!A803)</f>
        <v/>
      </c>
      <c r="B803">
        <f>IF(ISBLANK('Q:\Abteilungsprojekte\eng\EngData\AOS\Allgemein\[LabSamples2025.xlsx]Bioplastic'!B803)," ",'Q:\Abteilungsprojekte\eng\EngData\AOS\Allgemein\[LabSamples2025.xlsx]Bioplastic'!B803)</f>
        <v/>
      </c>
      <c r="C803">
        <f>IF(ISBLANK('Q:\Abteilungsprojekte\eng\EngData\AOS\Allgemein\[LabSamples2025.xlsx]Bioplastic'!C803)," ",'Q:\Abteilungsprojekte\eng\EngData\AOS\Allgemein\[LabSamples2025.xlsx]Bioplastic'!C803)</f>
        <v/>
      </c>
      <c r="D803">
        <f>IF(ISBLANK('Q:\Abteilungsprojekte\eng\EngData\AOS\Allgemein\[LabSamples2025.xlsx]Bioplastic'!D803)," ",'Q:\Abteilungsprojekte\eng\EngData\AOS\Allgemein\[LabSamples2025.xlsx]Bioplastic'!D803)</f>
        <v/>
      </c>
      <c r="E803">
        <f>IF(ISBLANK('Q:\Abteilungsprojekte\eng\EngData\AOS\Allgemein\[LabSamples2025.xlsx]Bioplastic'!E803)," ",'Q:\Abteilungsprojekte\eng\EngData\AOS\Allgemein\[LabSamples2025.xlsx]Bioplastic'!E803)</f>
        <v/>
      </c>
      <c r="F803">
        <f>IF(ISBLANK('Q:\Abteilungsprojekte\eng\EngData\AOS\Allgemein\[LabSamples2025.xlsx]Bioplastic'!F803)," ",'Q:\Abteilungsprojekte\eng\EngData\AOS\Allgemein\[LabSamples2025.xlsx]Bioplastic'!F803)</f>
        <v/>
      </c>
      <c r="G803">
        <f>IF(ISBLANK('Q:\Abteilungsprojekte\eng\EngData\AOS\Allgemein\[LabSamples2025.xlsx]Bioplastic'!G803)," ",'Q:\Abteilungsprojekte\eng\EngData\AOS\Allgemein\[LabSamples2025.xlsx]Bioplastic'!G803)</f>
        <v/>
      </c>
      <c r="H803">
        <f>IF(ISBLANK('Q:\Abteilungsprojekte\eng\EngData\AOS\Allgemein\[LabSamples2025.xlsx]Bioplastic'!H803)," ",'Q:\Abteilungsprojekte\eng\EngData\AOS\Allgemein\[LabSamples2025.xlsx]Bioplastic'!H803)</f>
        <v/>
      </c>
    </row>
    <row r="804">
      <c r="A804">
        <f>IF(ISBLANK('Q:\Abteilungsprojekte\eng\EngData\AOS\Allgemein\[LabSamples2025.xlsx]Bioplastic'!A804)," ",'Q:\Abteilungsprojekte\eng\EngData\AOS\Allgemein\[LabSamples2025.xlsx]Bioplastic'!A804)</f>
        <v/>
      </c>
      <c r="B804">
        <f>IF(ISBLANK('Q:\Abteilungsprojekte\eng\EngData\AOS\Allgemein\[LabSamples2025.xlsx]Bioplastic'!B804)," ",'Q:\Abteilungsprojekte\eng\EngData\AOS\Allgemein\[LabSamples2025.xlsx]Bioplastic'!B804)</f>
        <v/>
      </c>
      <c r="C804">
        <f>IF(ISBLANK('Q:\Abteilungsprojekte\eng\EngData\AOS\Allgemein\[LabSamples2025.xlsx]Bioplastic'!C804)," ",'Q:\Abteilungsprojekte\eng\EngData\AOS\Allgemein\[LabSamples2025.xlsx]Bioplastic'!C804)</f>
        <v/>
      </c>
      <c r="D804">
        <f>IF(ISBLANK('Q:\Abteilungsprojekte\eng\EngData\AOS\Allgemein\[LabSamples2025.xlsx]Bioplastic'!D804)," ",'Q:\Abteilungsprojekte\eng\EngData\AOS\Allgemein\[LabSamples2025.xlsx]Bioplastic'!D804)</f>
        <v/>
      </c>
      <c r="E804">
        <f>IF(ISBLANK('Q:\Abteilungsprojekte\eng\EngData\AOS\Allgemein\[LabSamples2025.xlsx]Bioplastic'!E804)," ",'Q:\Abteilungsprojekte\eng\EngData\AOS\Allgemein\[LabSamples2025.xlsx]Bioplastic'!E804)</f>
        <v/>
      </c>
      <c r="F804">
        <f>IF(ISBLANK('Q:\Abteilungsprojekte\eng\EngData\AOS\Allgemein\[LabSamples2025.xlsx]Bioplastic'!F804)," ",'Q:\Abteilungsprojekte\eng\EngData\AOS\Allgemein\[LabSamples2025.xlsx]Bioplastic'!F804)</f>
        <v/>
      </c>
      <c r="G804">
        <f>IF(ISBLANK('Q:\Abteilungsprojekte\eng\EngData\AOS\Allgemein\[LabSamples2025.xlsx]Bioplastic'!G804)," ",'Q:\Abteilungsprojekte\eng\EngData\AOS\Allgemein\[LabSamples2025.xlsx]Bioplastic'!G804)</f>
        <v/>
      </c>
      <c r="H804">
        <f>IF(ISBLANK('Q:\Abteilungsprojekte\eng\EngData\AOS\Allgemein\[LabSamples2025.xlsx]Bioplastic'!H804)," ",'Q:\Abteilungsprojekte\eng\EngData\AOS\Allgemein\[LabSamples2025.xlsx]Bioplastic'!H804)</f>
        <v/>
      </c>
    </row>
    <row r="805">
      <c r="A805">
        <f>IF(ISBLANK('Q:\Abteilungsprojekte\eng\EngData\AOS\Allgemein\[LabSamples2025.xlsx]Bioplastic'!A805)," ",'Q:\Abteilungsprojekte\eng\EngData\AOS\Allgemein\[LabSamples2025.xlsx]Bioplastic'!A805)</f>
        <v/>
      </c>
      <c r="B805">
        <f>IF(ISBLANK('Q:\Abteilungsprojekte\eng\EngData\AOS\Allgemein\[LabSamples2025.xlsx]Bioplastic'!B805)," ",'Q:\Abteilungsprojekte\eng\EngData\AOS\Allgemein\[LabSamples2025.xlsx]Bioplastic'!B805)</f>
        <v/>
      </c>
      <c r="C805">
        <f>IF(ISBLANK('Q:\Abteilungsprojekte\eng\EngData\AOS\Allgemein\[LabSamples2025.xlsx]Bioplastic'!C805)," ",'Q:\Abteilungsprojekte\eng\EngData\AOS\Allgemein\[LabSamples2025.xlsx]Bioplastic'!C805)</f>
        <v/>
      </c>
      <c r="D805">
        <f>IF(ISBLANK('Q:\Abteilungsprojekte\eng\EngData\AOS\Allgemein\[LabSamples2025.xlsx]Bioplastic'!D805)," ",'Q:\Abteilungsprojekte\eng\EngData\AOS\Allgemein\[LabSamples2025.xlsx]Bioplastic'!D805)</f>
        <v/>
      </c>
      <c r="E805">
        <f>IF(ISBLANK('Q:\Abteilungsprojekte\eng\EngData\AOS\Allgemein\[LabSamples2025.xlsx]Bioplastic'!E805)," ",'Q:\Abteilungsprojekte\eng\EngData\AOS\Allgemein\[LabSamples2025.xlsx]Bioplastic'!E805)</f>
        <v/>
      </c>
      <c r="F805">
        <f>IF(ISBLANK('Q:\Abteilungsprojekte\eng\EngData\AOS\Allgemein\[LabSamples2025.xlsx]Bioplastic'!F805)," ",'Q:\Abteilungsprojekte\eng\EngData\AOS\Allgemein\[LabSamples2025.xlsx]Bioplastic'!F805)</f>
        <v/>
      </c>
      <c r="G805">
        <f>IF(ISBLANK('Q:\Abteilungsprojekte\eng\EngData\AOS\Allgemein\[LabSamples2025.xlsx]Bioplastic'!G805)," ",'Q:\Abteilungsprojekte\eng\EngData\AOS\Allgemein\[LabSamples2025.xlsx]Bioplastic'!G805)</f>
        <v/>
      </c>
      <c r="H805">
        <f>IF(ISBLANK('Q:\Abteilungsprojekte\eng\EngData\AOS\Allgemein\[LabSamples2025.xlsx]Bioplastic'!H805)," ",'Q:\Abteilungsprojekte\eng\EngData\AOS\Allgemein\[LabSamples2025.xlsx]Bioplastic'!H805)</f>
        <v/>
      </c>
    </row>
    <row r="806">
      <c r="A806">
        <f>IF(ISBLANK('Q:\Abteilungsprojekte\eng\EngData\AOS\Allgemein\[LabSamples2025.xlsx]Bioplastic'!A806)," ",'Q:\Abteilungsprojekte\eng\EngData\AOS\Allgemein\[LabSamples2025.xlsx]Bioplastic'!A806)</f>
        <v/>
      </c>
      <c r="B806">
        <f>IF(ISBLANK('Q:\Abteilungsprojekte\eng\EngData\AOS\Allgemein\[LabSamples2025.xlsx]Bioplastic'!B806)," ",'Q:\Abteilungsprojekte\eng\EngData\AOS\Allgemein\[LabSamples2025.xlsx]Bioplastic'!B806)</f>
        <v/>
      </c>
      <c r="C806">
        <f>IF(ISBLANK('Q:\Abteilungsprojekte\eng\EngData\AOS\Allgemein\[LabSamples2025.xlsx]Bioplastic'!C806)," ",'Q:\Abteilungsprojekte\eng\EngData\AOS\Allgemein\[LabSamples2025.xlsx]Bioplastic'!C806)</f>
        <v/>
      </c>
      <c r="D806">
        <f>IF(ISBLANK('Q:\Abteilungsprojekte\eng\EngData\AOS\Allgemein\[LabSamples2025.xlsx]Bioplastic'!D806)," ",'Q:\Abteilungsprojekte\eng\EngData\AOS\Allgemein\[LabSamples2025.xlsx]Bioplastic'!D806)</f>
        <v/>
      </c>
      <c r="E806">
        <f>IF(ISBLANK('Q:\Abteilungsprojekte\eng\EngData\AOS\Allgemein\[LabSamples2025.xlsx]Bioplastic'!E806)," ",'Q:\Abteilungsprojekte\eng\EngData\AOS\Allgemein\[LabSamples2025.xlsx]Bioplastic'!E806)</f>
        <v/>
      </c>
      <c r="F806">
        <f>IF(ISBLANK('Q:\Abteilungsprojekte\eng\EngData\AOS\Allgemein\[LabSamples2025.xlsx]Bioplastic'!F806)," ",'Q:\Abteilungsprojekte\eng\EngData\AOS\Allgemein\[LabSamples2025.xlsx]Bioplastic'!F806)</f>
        <v/>
      </c>
      <c r="G806">
        <f>IF(ISBLANK('Q:\Abteilungsprojekte\eng\EngData\AOS\Allgemein\[LabSamples2025.xlsx]Bioplastic'!G806)," ",'Q:\Abteilungsprojekte\eng\EngData\AOS\Allgemein\[LabSamples2025.xlsx]Bioplastic'!G806)</f>
        <v/>
      </c>
      <c r="H806">
        <f>IF(ISBLANK('Q:\Abteilungsprojekte\eng\EngData\AOS\Allgemein\[LabSamples2025.xlsx]Bioplastic'!H806)," ",'Q:\Abteilungsprojekte\eng\EngData\AOS\Allgemein\[LabSamples2025.xlsx]Bioplastic'!H806)</f>
        <v/>
      </c>
    </row>
    <row r="807">
      <c r="A807">
        <f>IF(ISBLANK('Q:\Abteilungsprojekte\eng\EngData\AOS\Allgemein\[LabSamples2025.xlsx]Bioplastic'!A807)," ",'Q:\Abteilungsprojekte\eng\EngData\AOS\Allgemein\[LabSamples2025.xlsx]Bioplastic'!A807)</f>
        <v/>
      </c>
      <c r="B807">
        <f>IF(ISBLANK('Q:\Abteilungsprojekte\eng\EngData\AOS\Allgemein\[LabSamples2025.xlsx]Bioplastic'!B807)," ",'Q:\Abteilungsprojekte\eng\EngData\AOS\Allgemein\[LabSamples2025.xlsx]Bioplastic'!B807)</f>
        <v/>
      </c>
      <c r="C807">
        <f>IF(ISBLANK('Q:\Abteilungsprojekte\eng\EngData\AOS\Allgemein\[LabSamples2025.xlsx]Bioplastic'!C807)," ",'Q:\Abteilungsprojekte\eng\EngData\AOS\Allgemein\[LabSamples2025.xlsx]Bioplastic'!C807)</f>
        <v/>
      </c>
      <c r="D807">
        <f>IF(ISBLANK('Q:\Abteilungsprojekte\eng\EngData\AOS\Allgemein\[LabSamples2025.xlsx]Bioplastic'!D807)," ",'Q:\Abteilungsprojekte\eng\EngData\AOS\Allgemein\[LabSamples2025.xlsx]Bioplastic'!D807)</f>
        <v/>
      </c>
      <c r="E807">
        <f>IF(ISBLANK('Q:\Abteilungsprojekte\eng\EngData\AOS\Allgemein\[LabSamples2025.xlsx]Bioplastic'!E807)," ",'Q:\Abteilungsprojekte\eng\EngData\AOS\Allgemein\[LabSamples2025.xlsx]Bioplastic'!E807)</f>
        <v/>
      </c>
      <c r="F807">
        <f>IF(ISBLANK('Q:\Abteilungsprojekte\eng\EngData\AOS\Allgemein\[LabSamples2025.xlsx]Bioplastic'!F807)," ",'Q:\Abteilungsprojekte\eng\EngData\AOS\Allgemein\[LabSamples2025.xlsx]Bioplastic'!F807)</f>
        <v/>
      </c>
      <c r="G807">
        <f>IF(ISBLANK('Q:\Abteilungsprojekte\eng\EngData\AOS\Allgemein\[LabSamples2025.xlsx]Bioplastic'!G807)," ",'Q:\Abteilungsprojekte\eng\EngData\AOS\Allgemein\[LabSamples2025.xlsx]Bioplastic'!G807)</f>
        <v/>
      </c>
      <c r="H807">
        <f>IF(ISBLANK('Q:\Abteilungsprojekte\eng\EngData\AOS\Allgemein\[LabSamples2025.xlsx]Bioplastic'!H807)," ",'Q:\Abteilungsprojekte\eng\EngData\AOS\Allgemein\[LabSamples2025.xlsx]Bioplastic'!H807)</f>
        <v/>
      </c>
    </row>
    <row r="808">
      <c r="A808">
        <f>IF(ISBLANK('Q:\Abteilungsprojekte\eng\EngData\AOS\Allgemein\[LabSamples2025.xlsx]Bioplastic'!A808)," ",'Q:\Abteilungsprojekte\eng\EngData\AOS\Allgemein\[LabSamples2025.xlsx]Bioplastic'!A808)</f>
        <v/>
      </c>
      <c r="B808">
        <f>IF(ISBLANK('Q:\Abteilungsprojekte\eng\EngData\AOS\Allgemein\[LabSamples2025.xlsx]Bioplastic'!B808)," ",'Q:\Abteilungsprojekte\eng\EngData\AOS\Allgemein\[LabSamples2025.xlsx]Bioplastic'!B808)</f>
        <v/>
      </c>
      <c r="C808">
        <f>IF(ISBLANK('Q:\Abteilungsprojekte\eng\EngData\AOS\Allgemein\[LabSamples2025.xlsx]Bioplastic'!C808)," ",'Q:\Abteilungsprojekte\eng\EngData\AOS\Allgemein\[LabSamples2025.xlsx]Bioplastic'!C808)</f>
        <v/>
      </c>
      <c r="D808">
        <f>IF(ISBLANK('Q:\Abteilungsprojekte\eng\EngData\AOS\Allgemein\[LabSamples2025.xlsx]Bioplastic'!D808)," ",'Q:\Abteilungsprojekte\eng\EngData\AOS\Allgemein\[LabSamples2025.xlsx]Bioplastic'!D808)</f>
        <v/>
      </c>
      <c r="E808">
        <f>IF(ISBLANK('Q:\Abteilungsprojekte\eng\EngData\AOS\Allgemein\[LabSamples2025.xlsx]Bioplastic'!E808)," ",'Q:\Abteilungsprojekte\eng\EngData\AOS\Allgemein\[LabSamples2025.xlsx]Bioplastic'!E808)</f>
        <v/>
      </c>
      <c r="F808">
        <f>IF(ISBLANK('Q:\Abteilungsprojekte\eng\EngData\AOS\Allgemein\[LabSamples2025.xlsx]Bioplastic'!F808)," ",'Q:\Abteilungsprojekte\eng\EngData\AOS\Allgemein\[LabSamples2025.xlsx]Bioplastic'!F808)</f>
        <v/>
      </c>
      <c r="G808">
        <f>IF(ISBLANK('Q:\Abteilungsprojekte\eng\EngData\AOS\Allgemein\[LabSamples2025.xlsx]Bioplastic'!G808)," ",'Q:\Abteilungsprojekte\eng\EngData\AOS\Allgemein\[LabSamples2025.xlsx]Bioplastic'!G808)</f>
        <v/>
      </c>
      <c r="H808">
        <f>IF(ISBLANK('Q:\Abteilungsprojekte\eng\EngData\AOS\Allgemein\[LabSamples2025.xlsx]Bioplastic'!H808)," ",'Q:\Abteilungsprojekte\eng\EngData\AOS\Allgemein\[LabSamples2025.xlsx]Bioplastic'!H808)</f>
        <v/>
      </c>
    </row>
    <row r="809">
      <c r="A809">
        <f>IF(ISBLANK('Q:\Abteilungsprojekte\eng\EngData\AOS\Allgemein\[LabSamples2025.xlsx]Bioplastic'!A809)," ",'Q:\Abteilungsprojekte\eng\EngData\AOS\Allgemein\[LabSamples2025.xlsx]Bioplastic'!A809)</f>
        <v/>
      </c>
      <c r="B809">
        <f>IF(ISBLANK('Q:\Abteilungsprojekte\eng\EngData\AOS\Allgemein\[LabSamples2025.xlsx]Bioplastic'!B809)," ",'Q:\Abteilungsprojekte\eng\EngData\AOS\Allgemein\[LabSamples2025.xlsx]Bioplastic'!B809)</f>
        <v/>
      </c>
      <c r="C809">
        <f>IF(ISBLANK('Q:\Abteilungsprojekte\eng\EngData\AOS\Allgemein\[LabSamples2025.xlsx]Bioplastic'!C809)," ",'Q:\Abteilungsprojekte\eng\EngData\AOS\Allgemein\[LabSamples2025.xlsx]Bioplastic'!C809)</f>
        <v/>
      </c>
      <c r="D809">
        <f>IF(ISBLANK('Q:\Abteilungsprojekte\eng\EngData\AOS\Allgemein\[LabSamples2025.xlsx]Bioplastic'!D809)," ",'Q:\Abteilungsprojekte\eng\EngData\AOS\Allgemein\[LabSamples2025.xlsx]Bioplastic'!D809)</f>
        <v/>
      </c>
      <c r="E809">
        <f>IF(ISBLANK('Q:\Abteilungsprojekte\eng\EngData\AOS\Allgemein\[LabSamples2025.xlsx]Bioplastic'!E809)," ",'Q:\Abteilungsprojekte\eng\EngData\AOS\Allgemein\[LabSamples2025.xlsx]Bioplastic'!E809)</f>
        <v/>
      </c>
      <c r="F809">
        <f>IF(ISBLANK('Q:\Abteilungsprojekte\eng\EngData\AOS\Allgemein\[LabSamples2025.xlsx]Bioplastic'!F809)," ",'Q:\Abteilungsprojekte\eng\EngData\AOS\Allgemein\[LabSamples2025.xlsx]Bioplastic'!F809)</f>
        <v/>
      </c>
      <c r="G809">
        <f>IF(ISBLANK('Q:\Abteilungsprojekte\eng\EngData\AOS\Allgemein\[LabSamples2025.xlsx]Bioplastic'!G809)," ",'Q:\Abteilungsprojekte\eng\EngData\AOS\Allgemein\[LabSamples2025.xlsx]Bioplastic'!G809)</f>
        <v/>
      </c>
      <c r="H809">
        <f>IF(ISBLANK('Q:\Abteilungsprojekte\eng\EngData\AOS\Allgemein\[LabSamples2025.xlsx]Bioplastic'!H809)," ",'Q:\Abteilungsprojekte\eng\EngData\AOS\Allgemein\[LabSamples2025.xlsx]Bioplastic'!H809)</f>
        <v/>
      </c>
    </row>
    <row r="810">
      <c r="A810">
        <f>IF(ISBLANK('Q:\Abteilungsprojekte\eng\EngData\AOS\Allgemein\[LabSamples2025.xlsx]Bioplastic'!A810)," ",'Q:\Abteilungsprojekte\eng\EngData\AOS\Allgemein\[LabSamples2025.xlsx]Bioplastic'!A810)</f>
        <v/>
      </c>
      <c r="B810">
        <f>IF(ISBLANK('Q:\Abteilungsprojekte\eng\EngData\AOS\Allgemein\[LabSamples2025.xlsx]Bioplastic'!B810)," ",'Q:\Abteilungsprojekte\eng\EngData\AOS\Allgemein\[LabSamples2025.xlsx]Bioplastic'!B810)</f>
        <v/>
      </c>
      <c r="C810">
        <f>IF(ISBLANK('Q:\Abteilungsprojekte\eng\EngData\AOS\Allgemein\[LabSamples2025.xlsx]Bioplastic'!C810)," ",'Q:\Abteilungsprojekte\eng\EngData\AOS\Allgemein\[LabSamples2025.xlsx]Bioplastic'!C810)</f>
        <v/>
      </c>
      <c r="D810">
        <f>IF(ISBLANK('Q:\Abteilungsprojekte\eng\EngData\AOS\Allgemein\[LabSamples2025.xlsx]Bioplastic'!D810)," ",'Q:\Abteilungsprojekte\eng\EngData\AOS\Allgemein\[LabSamples2025.xlsx]Bioplastic'!D810)</f>
        <v/>
      </c>
      <c r="E810">
        <f>IF(ISBLANK('Q:\Abteilungsprojekte\eng\EngData\AOS\Allgemein\[LabSamples2025.xlsx]Bioplastic'!E810)," ",'Q:\Abteilungsprojekte\eng\EngData\AOS\Allgemein\[LabSamples2025.xlsx]Bioplastic'!E810)</f>
        <v/>
      </c>
      <c r="F810">
        <f>IF(ISBLANK('Q:\Abteilungsprojekte\eng\EngData\AOS\Allgemein\[LabSamples2025.xlsx]Bioplastic'!F810)," ",'Q:\Abteilungsprojekte\eng\EngData\AOS\Allgemein\[LabSamples2025.xlsx]Bioplastic'!F810)</f>
        <v/>
      </c>
      <c r="G810">
        <f>IF(ISBLANK('Q:\Abteilungsprojekte\eng\EngData\AOS\Allgemein\[LabSamples2025.xlsx]Bioplastic'!G810)," ",'Q:\Abteilungsprojekte\eng\EngData\AOS\Allgemein\[LabSamples2025.xlsx]Bioplastic'!G810)</f>
        <v/>
      </c>
      <c r="H810">
        <f>IF(ISBLANK('Q:\Abteilungsprojekte\eng\EngData\AOS\Allgemein\[LabSamples2025.xlsx]Bioplastic'!H810)," ",'Q:\Abteilungsprojekte\eng\EngData\AOS\Allgemein\[LabSamples2025.xlsx]Bioplastic'!H810)</f>
        <v/>
      </c>
    </row>
    <row r="811">
      <c r="A811">
        <f>IF(ISBLANK('Q:\Abteilungsprojekte\eng\EngData\AOS\Allgemein\[LabSamples2025.xlsx]Bioplastic'!A811)," ",'Q:\Abteilungsprojekte\eng\EngData\AOS\Allgemein\[LabSamples2025.xlsx]Bioplastic'!A811)</f>
        <v/>
      </c>
      <c r="B811">
        <f>IF(ISBLANK('Q:\Abteilungsprojekte\eng\EngData\AOS\Allgemein\[LabSamples2025.xlsx]Bioplastic'!B811)," ",'Q:\Abteilungsprojekte\eng\EngData\AOS\Allgemein\[LabSamples2025.xlsx]Bioplastic'!B811)</f>
        <v/>
      </c>
      <c r="C811">
        <f>IF(ISBLANK('Q:\Abteilungsprojekte\eng\EngData\AOS\Allgemein\[LabSamples2025.xlsx]Bioplastic'!C811)," ",'Q:\Abteilungsprojekte\eng\EngData\AOS\Allgemein\[LabSamples2025.xlsx]Bioplastic'!C811)</f>
        <v/>
      </c>
      <c r="D811">
        <f>IF(ISBLANK('Q:\Abteilungsprojekte\eng\EngData\AOS\Allgemein\[LabSamples2025.xlsx]Bioplastic'!D811)," ",'Q:\Abteilungsprojekte\eng\EngData\AOS\Allgemein\[LabSamples2025.xlsx]Bioplastic'!D811)</f>
        <v/>
      </c>
      <c r="E811">
        <f>IF(ISBLANK('Q:\Abteilungsprojekte\eng\EngData\AOS\Allgemein\[LabSamples2025.xlsx]Bioplastic'!E811)," ",'Q:\Abteilungsprojekte\eng\EngData\AOS\Allgemein\[LabSamples2025.xlsx]Bioplastic'!E811)</f>
        <v/>
      </c>
      <c r="F811">
        <f>IF(ISBLANK('Q:\Abteilungsprojekte\eng\EngData\AOS\Allgemein\[LabSamples2025.xlsx]Bioplastic'!F811)," ",'Q:\Abteilungsprojekte\eng\EngData\AOS\Allgemein\[LabSamples2025.xlsx]Bioplastic'!F811)</f>
        <v/>
      </c>
      <c r="G811">
        <f>IF(ISBLANK('Q:\Abteilungsprojekte\eng\EngData\AOS\Allgemein\[LabSamples2025.xlsx]Bioplastic'!G811)," ",'Q:\Abteilungsprojekte\eng\EngData\AOS\Allgemein\[LabSamples2025.xlsx]Bioplastic'!G811)</f>
        <v/>
      </c>
      <c r="H811">
        <f>IF(ISBLANK('Q:\Abteilungsprojekte\eng\EngData\AOS\Allgemein\[LabSamples2025.xlsx]Bioplastic'!H811)," ",'Q:\Abteilungsprojekte\eng\EngData\AOS\Allgemein\[LabSamples2025.xlsx]Bioplastic'!H811)</f>
        <v/>
      </c>
    </row>
    <row r="812">
      <c r="A812">
        <f>IF(ISBLANK('Q:\Abteilungsprojekte\eng\EngData\AOS\Allgemein\[LabSamples2025.xlsx]Bioplastic'!A812)," ",'Q:\Abteilungsprojekte\eng\EngData\AOS\Allgemein\[LabSamples2025.xlsx]Bioplastic'!A812)</f>
        <v/>
      </c>
      <c r="B812">
        <f>IF(ISBLANK('Q:\Abteilungsprojekte\eng\EngData\AOS\Allgemein\[LabSamples2025.xlsx]Bioplastic'!B812)," ",'Q:\Abteilungsprojekte\eng\EngData\AOS\Allgemein\[LabSamples2025.xlsx]Bioplastic'!B812)</f>
        <v/>
      </c>
      <c r="C812">
        <f>IF(ISBLANK('Q:\Abteilungsprojekte\eng\EngData\AOS\Allgemein\[LabSamples2025.xlsx]Bioplastic'!C812)," ",'Q:\Abteilungsprojekte\eng\EngData\AOS\Allgemein\[LabSamples2025.xlsx]Bioplastic'!C812)</f>
        <v/>
      </c>
      <c r="D812">
        <f>IF(ISBLANK('Q:\Abteilungsprojekte\eng\EngData\AOS\Allgemein\[LabSamples2025.xlsx]Bioplastic'!D812)," ",'Q:\Abteilungsprojekte\eng\EngData\AOS\Allgemein\[LabSamples2025.xlsx]Bioplastic'!D812)</f>
        <v/>
      </c>
      <c r="E812">
        <f>IF(ISBLANK('Q:\Abteilungsprojekte\eng\EngData\AOS\Allgemein\[LabSamples2025.xlsx]Bioplastic'!E812)," ",'Q:\Abteilungsprojekte\eng\EngData\AOS\Allgemein\[LabSamples2025.xlsx]Bioplastic'!E812)</f>
        <v/>
      </c>
      <c r="F812">
        <f>IF(ISBLANK('Q:\Abteilungsprojekte\eng\EngData\AOS\Allgemein\[LabSamples2025.xlsx]Bioplastic'!F812)," ",'Q:\Abteilungsprojekte\eng\EngData\AOS\Allgemein\[LabSamples2025.xlsx]Bioplastic'!F812)</f>
        <v/>
      </c>
      <c r="G812">
        <f>IF(ISBLANK('Q:\Abteilungsprojekte\eng\EngData\AOS\Allgemein\[LabSamples2025.xlsx]Bioplastic'!G812)," ",'Q:\Abteilungsprojekte\eng\EngData\AOS\Allgemein\[LabSamples2025.xlsx]Bioplastic'!G812)</f>
        <v/>
      </c>
      <c r="H812">
        <f>IF(ISBLANK('Q:\Abteilungsprojekte\eng\EngData\AOS\Allgemein\[LabSamples2025.xlsx]Bioplastic'!H812)," ",'Q:\Abteilungsprojekte\eng\EngData\AOS\Allgemein\[LabSamples2025.xlsx]Bioplastic'!H812)</f>
        <v/>
      </c>
    </row>
    <row r="813">
      <c r="A813">
        <f>IF(ISBLANK('Q:\Abteilungsprojekte\eng\EngData\AOS\Allgemein\[LabSamples2025.xlsx]Bioplastic'!A813)," ",'Q:\Abteilungsprojekte\eng\EngData\AOS\Allgemein\[LabSamples2025.xlsx]Bioplastic'!A813)</f>
        <v/>
      </c>
      <c r="B813">
        <f>IF(ISBLANK('Q:\Abteilungsprojekte\eng\EngData\AOS\Allgemein\[LabSamples2025.xlsx]Bioplastic'!B813)," ",'Q:\Abteilungsprojekte\eng\EngData\AOS\Allgemein\[LabSamples2025.xlsx]Bioplastic'!B813)</f>
        <v/>
      </c>
      <c r="C813">
        <f>IF(ISBLANK('Q:\Abteilungsprojekte\eng\EngData\AOS\Allgemein\[LabSamples2025.xlsx]Bioplastic'!C813)," ",'Q:\Abteilungsprojekte\eng\EngData\AOS\Allgemein\[LabSamples2025.xlsx]Bioplastic'!C813)</f>
        <v/>
      </c>
      <c r="D813">
        <f>IF(ISBLANK('Q:\Abteilungsprojekte\eng\EngData\AOS\Allgemein\[LabSamples2025.xlsx]Bioplastic'!D813)," ",'Q:\Abteilungsprojekte\eng\EngData\AOS\Allgemein\[LabSamples2025.xlsx]Bioplastic'!D813)</f>
        <v/>
      </c>
      <c r="E813">
        <f>IF(ISBLANK('Q:\Abteilungsprojekte\eng\EngData\AOS\Allgemein\[LabSamples2025.xlsx]Bioplastic'!E813)," ",'Q:\Abteilungsprojekte\eng\EngData\AOS\Allgemein\[LabSamples2025.xlsx]Bioplastic'!E813)</f>
        <v/>
      </c>
      <c r="F813">
        <f>IF(ISBLANK('Q:\Abteilungsprojekte\eng\EngData\AOS\Allgemein\[LabSamples2025.xlsx]Bioplastic'!F813)," ",'Q:\Abteilungsprojekte\eng\EngData\AOS\Allgemein\[LabSamples2025.xlsx]Bioplastic'!F813)</f>
        <v/>
      </c>
      <c r="G813">
        <f>IF(ISBLANK('Q:\Abteilungsprojekte\eng\EngData\AOS\Allgemein\[LabSamples2025.xlsx]Bioplastic'!G813)," ",'Q:\Abteilungsprojekte\eng\EngData\AOS\Allgemein\[LabSamples2025.xlsx]Bioplastic'!G813)</f>
        <v/>
      </c>
      <c r="H813">
        <f>IF(ISBLANK('Q:\Abteilungsprojekte\eng\EngData\AOS\Allgemein\[LabSamples2025.xlsx]Bioplastic'!H813)," ",'Q:\Abteilungsprojekte\eng\EngData\AOS\Allgemein\[LabSamples2025.xlsx]Bioplastic'!H813)</f>
        <v/>
      </c>
    </row>
    <row r="814">
      <c r="A814">
        <f>IF(ISBLANK('Q:\Abteilungsprojekte\eng\EngData\AOS\Allgemein\[LabSamples2025.xlsx]Bioplastic'!A814)," ",'Q:\Abteilungsprojekte\eng\EngData\AOS\Allgemein\[LabSamples2025.xlsx]Bioplastic'!A814)</f>
        <v/>
      </c>
      <c r="B814">
        <f>IF(ISBLANK('Q:\Abteilungsprojekte\eng\EngData\AOS\Allgemein\[LabSamples2025.xlsx]Bioplastic'!B814)," ",'Q:\Abteilungsprojekte\eng\EngData\AOS\Allgemein\[LabSamples2025.xlsx]Bioplastic'!B814)</f>
        <v/>
      </c>
      <c r="C814">
        <f>IF(ISBLANK('Q:\Abteilungsprojekte\eng\EngData\AOS\Allgemein\[LabSamples2025.xlsx]Bioplastic'!C814)," ",'Q:\Abteilungsprojekte\eng\EngData\AOS\Allgemein\[LabSamples2025.xlsx]Bioplastic'!C814)</f>
        <v/>
      </c>
      <c r="D814">
        <f>IF(ISBLANK('Q:\Abteilungsprojekte\eng\EngData\AOS\Allgemein\[LabSamples2025.xlsx]Bioplastic'!D814)," ",'Q:\Abteilungsprojekte\eng\EngData\AOS\Allgemein\[LabSamples2025.xlsx]Bioplastic'!D814)</f>
        <v/>
      </c>
      <c r="E814">
        <f>IF(ISBLANK('Q:\Abteilungsprojekte\eng\EngData\AOS\Allgemein\[LabSamples2025.xlsx]Bioplastic'!E814)," ",'Q:\Abteilungsprojekte\eng\EngData\AOS\Allgemein\[LabSamples2025.xlsx]Bioplastic'!E814)</f>
        <v/>
      </c>
      <c r="F814">
        <f>IF(ISBLANK('Q:\Abteilungsprojekte\eng\EngData\AOS\Allgemein\[LabSamples2025.xlsx]Bioplastic'!F814)," ",'Q:\Abteilungsprojekte\eng\EngData\AOS\Allgemein\[LabSamples2025.xlsx]Bioplastic'!F814)</f>
        <v/>
      </c>
      <c r="G814">
        <f>IF(ISBLANK('Q:\Abteilungsprojekte\eng\EngData\AOS\Allgemein\[LabSamples2025.xlsx]Bioplastic'!G814)," ",'Q:\Abteilungsprojekte\eng\EngData\AOS\Allgemein\[LabSamples2025.xlsx]Bioplastic'!G814)</f>
        <v/>
      </c>
      <c r="H814">
        <f>IF(ISBLANK('Q:\Abteilungsprojekte\eng\EngData\AOS\Allgemein\[LabSamples2025.xlsx]Bioplastic'!H814)," ",'Q:\Abteilungsprojekte\eng\EngData\AOS\Allgemein\[LabSamples2025.xlsx]Bioplastic'!H814)</f>
        <v/>
      </c>
    </row>
    <row r="815">
      <c r="A815">
        <f>IF(ISBLANK('Q:\Abteilungsprojekte\eng\EngData\AOS\Allgemein\[LabSamples2025.xlsx]Bioplastic'!A815)," ",'Q:\Abteilungsprojekte\eng\EngData\AOS\Allgemein\[LabSamples2025.xlsx]Bioplastic'!A815)</f>
        <v/>
      </c>
      <c r="B815">
        <f>IF(ISBLANK('Q:\Abteilungsprojekte\eng\EngData\AOS\Allgemein\[LabSamples2025.xlsx]Bioplastic'!B815)," ",'Q:\Abteilungsprojekte\eng\EngData\AOS\Allgemein\[LabSamples2025.xlsx]Bioplastic'!B815)</f>
        <v/>
      </c>
      <c r="C815">
        <f>IF(ISBLANK('Q:\Abteilungsprojekte\eng\EngData\AOS\Allgemein\[LabSamples2025.xlsx]Bioplastic'!C815)," ",'Q:\Abteilungsprojekte\eng\EngData\AOS\Allgemein\[LabSamples2025.xlsx]Bioplastic'!C815)</f>
        <v/>
      </c>
      <c r="D815">
        <f>IF(ISBLANK('Q:\Abteilungsprojekte\eng\EngData\AOS\Allgemein\[LabSamples2025.xlsx]Bioplastic'!D815)," ",'Q:\Abteilungsprojekte\eng\EngData\AOS\Allgemein\[LabSamples2025.xlsx]Bioplastic'!D815)</f>
        <v/>
      </c>
      <c r="E815">
        <f>IF(ISBLANK('Q:\Abteilungsprojekte\eng\EngData\AOS\Allgemein\[LabSamples2025.xlsx]Bioplastic'!E815)," ",'Q:\Abteilungsprojekte\eng\EngData\AOS\Allgemein\[LabSamples2025.xlsx]Bioplastic'!E815)</f>
        <v/>
      </c>
      <c r="F815">
        <f>IF(ISBLANK('Q:\Abteilungsprojekte\eng\EngData\AOS\Allgemein\[LabSamples2025.xlsx]Bioplastic'!F815)," ",'Q:\Abteilungsprojekte\eng\EngData\AOS\Allgemein\[LabSamples2025.xlsx]Bioplastic'!F815)</f>
        <v/>
      </c>
      <c r="G815">
        <f>IF(ISBLANK('Q:\Abteilungsprojekte\eng\EngData\AOS\Allgemein\[LabSamples2025.xlsx]Bioplastic'!G815)," ",'Q:\Abteilungsprojekte\eng\EngData\AOS\Allgemein\[LabSamples2025.xlsx]Bioplastic'!G815)</f>
        <v/>
      </c>
      <c r="H815">
        <f>IF(ISBLANK('Q:\Abteilungsprojekte\eng\EngData\AOS\Allgemein\[LabSamples2025.xlsx]Bioplastic'!H815)," ",'Q:\Abteilungsprojekte\eng\EngData\AOS\Allgemein\[LabSamples2025.xlsx]Bioplastic'!H815)</f>
        <v/>
      </c>
    </row>
    <row r="816">
      <c r="A816">
        <f>IF(ISBLANK('Q:\Abteilungsprojekte\eng\EngData\AOS\Allgemein\[LabSamples2025.xlsx]Bioplastic'!A816)," ",'Q:\Abteilungsprojekte\eng\EngData\AOS\Allgemein\[LabSamples2025.xlsx]Bioplastic'!A816)</f>
        <v/>
      </c>
      <c r="B816">
        <f>IF(ISBLANK('Q:\Abteilungsprojekte\eng\EngData\AOS\Allgemein\[LabSamples2025.xlsx]Bioplastic'!B816)," ",'Q:\Abteilungsprojekte\eng\EngData\AOS\Allgemein\[LabSamples2025.xlsx]Bioplastic'!B816)</f>
        <v/>
      </c>
      <c r="C816">
        <f>IF(ISBLANK('Q:\Abteilungsprojekte\eng\EngData\AOS\Allgemein\[LabSamples2025.xlsx]Bioplastic'!C816)," ",'Q:\Abteilungsprojekte\eng\EngData\AOS\Allgemein\[LabSamples2025.xlsx]Bioplastic'!C816)</f>
        <v/>
      </c>
      <c r="D816">
        <f>IF(ISBLANK('Q:\Abteilungsprojekte\eng\EngData\AOS\Allgemein\[LabSamples2025.xlsx]Bioplastic'!D816)," ",'Q:\Abteilungsprojekte\eng\EngData\AOS\Allgemein\[LabSamples2025.xlsx]Bioplastic'!D816)</f>
        <v/>
      </c>
      <c r="E816">
        <f>IF(ISBLANK('Q:\Abteilungsprojekte\eng\EngData\AOS\Allgemein\[LabSamples2025.xlsx]Bioplastic'!E816)," ",'Q:\Abteilungsprojekte\eng\EngData\AOS\Allgemein\[LabSamples2025.xlsx]Bioplastic'!E816)</f>
        <v/>
      </c>
      <c r="F816">
        <f>IF(ISBLANK('Q:\Abteilungsprojekte\eng\EngData\AOS\Allgemein\[LabSamples2025.xlsx]Bioplastic'!F816)," ",'Q:\Abteilungsprojekte\eng\EngData\AOS\Allgemein\[LabSamples2025.xlsx]Bioplastic'!F816)</f>
        <v/>
      </c>
      <c r="G816">
        <f>IF(ISBLANK('Q:\Abteilungsprojekte\eng\EngData\AOS\Allgemein\[LabSamples2025.xlsx]Bioplastic'!G816)," ",'Q:\Abteilungsprojekte\eng\EngData\AOS\Allgemein\[LabSamples2025.xlsx]Bioplastic'!G816)</f>
        <v/>
      </c>
      <c r="H816">
        <f>IF(ISBLANK('Q:\Abteilungsprojekte\eng\EngData\AOS\Allgemein\[LabSamples2025.xlsx]Bioplastic'!H816)," ",'Q:\Abteilungsprojekte\eng\EngData\AOS\Allgemein\[LabSamples2025.xlsx]Bioplastic'!H816)</f>
        <v/>
      </c>
    </row>
    <row r="817">
      <c r="A817">
        <f>IF(ISBLANK('Q:\Abteilungsprojekte\eng\EngData\AOS\Allgemein\[LabSamples2025.xlsx]Bioplastic'!A817)," ",'Q:\Abteilungsprojekte\eng\EngData\AOS\Allgemein\[LabSamples2025.xlsx]Bioplastic'!A817)</f>
        <v/>
      </c>
      <c r="B817">
        <f>IF(ISBLANK('Q:\Abteilungsprojekte\eng\EngData\AOS\Allgemein\[LabSamples2025.xlsx]Bioplastic'!B817)," ",'Q:\Abteilungsprojekte\eng\EngData\AOS\Allgemein\[LabSamples2025.xlsx]Bioplastic'!B817)</f>
        <v/>
      </c>
      <c r="C817">
        <f>IF(ISBLANK('Q:\Abteilungsprojekte\eng\EngData\AOS\Allgemein\[LabSamples2025.xlsx]Bioplastic'!C817)," ",'Q:\Abteilungsprojekte\eng\EngData\AOS\Allgemein\[LabSamples2025.xlsx]Bioplastic'!C817)</f>
        <v/>
      </c>
      <c r="D817">
        <f>IF(ISBLANK('Q:\Abteilungsprojekte\eng\EngData\AOS\Allgemein\[LabSamples2025.xlsx]Bioplastic'!D817)," ",'Q:\Abteilungsprojekte\eng\EngData\AOS\Allgemein\[LabSamples2025.xlsx]Bioplastic'!D817)</f>
        <v/>
      </c>
      <c r="E817">
        <f>IF(ISBLANK('Q:\Abteilungsprojekte\eng\EngData\AOS\Allgemein\[LabSamples2025.xlsx]Bioplastic'!E817)," ",'Q:\Abteilungsprojekte\eng\EngData\AOS\Allgemein\[LabSamples2025.xlsx]Bioplastic'!E817)</f>
        <v/>
      </c>
      <c r="F817">
        <f>IF(ISBLANK('Q:\Abteilungsprojekte\eng\EngData\AOS\Allgemein\[LabSamples2025.xlsx]Bioplastic'!F817)," ",'Q:\Abteilungsprojekte\eng\EngData\AOS\Allgemein\[LabSamples2025.xlsx]Bioplastic'!F817)</f>
        <v/>
      </c>
      <c r="G817">
        <f>IF(ISBLANK('Q:\Abteilungsprojekte\eng\EngData\AOS\Allgemein\[LabSamples2025.xlsx]Bioplastic'!G817)," ",'Q:\Abteilungsprojekte\eng\EngData\AOS\Allgemein\[LabSamples2025.xlsx]Bioplastic'!G817)</f>
        <v/>
      </c>
      <c r="H817">
        <f>IF(ISBLANK('Q:\Abteilungsprojekte\eng\EngData\AOS\Allgemein\[LabSamples2025.xlsx]Bioplastic'!H817)," ",'Q:\Abteilungsprojekte\eng\EngData\AOS\Allgemein\[LabSamples2025.xlsx]Bioplastic'!H817)</f>
        <v/>
      </c>
    </row>
    <row r="818">
      <c r="A818">
        <f>IF(ISBLANK('Q:\Abteilungsprojekte\eng\EngData\AOS\Allgemein\[LabSamples2025.xlsx]Bioplastic'!A818)," ",'Q:\Abteilungsprojekte\eng\EngData\AOS\Allgemein\[LabSamples2025.xlsx]Bioplastic'!A818)</f>
        <v/>
      </c>
      <c r="B818">
        <f>IF(ISBLANK('Q:\Abteilungsprojekte\eng\EngData\AOS\Allgemein\[LabSamples2025.xlsx]Bioplastic'!B818)," ",'Q:\Abteilungsprojekte\eng\EngData\AOS\Allgemein\[LabSamples2025.xlsx]Bioplastic'!B818)</f>
        <v/>
      </c>
      <c r="C818">
        <f>IF(ISBLANK('Q:\Abteilungsprojekte\eng\EngData\AOS\Allgemein\[LabSamples2025.xlsx]Bioplastic'!C818)," ",'Q:\Abteilungsprojekte\eng\EngData\AOS\Allgemein\[LabSamples2025.xlsx]Bioplastic'!C818)</f>
        <v/>
      </c>
      <c r="D818">
        <f>IF(ISBLANK('Q:\Abteilungsprojekte\eng\EngData\AOS\Allgemein\[LabSamples2025.xlsx]Bioplastic'!D818)," ",'Q:\Abteilungsprojekte\eng\EngData\AOS\Allgemein\[LabSamples2025.xlsx]Bioplastic'!D818)</f>
        <v/>
      </c>
      <c r="E818">
        <f>IF(ISBLANK('Q:\Abteilungsprojekte\eng\EngData\AOS\Allgemein\[LabSamples2025.xlsx]Bioplastic'!E818)," ",'Q:\Abteilungsprojekte\eng\EngData\AOS\Allgemein\[LabSamples2025.xlsx]Bioplastic'!E818)</f>
        <v/>
      </c>
      <c r="F818">
        <f>IF(ISBLANK('Q:\Abteilungsprojekte\eng\EngData\AOS\Allgemein\[LabSamples2025.xlsx]Bioplastic'!F818)," ",'Q:\Abteilungsprojekte\eng\EngData\AOS\Allgemein\[LabSamples2025.xlsx]Bioplastic'!F818)</f>
        <v/>
      </c>
      <c r="G818">
        <f>IF(ISBLANK('Q:\Abteilungsprojekte\eng\EngData\AOS\Allgemein\[LabSamples2025.xlsx]Bioplastic'!G818)," ",'Q:\Abteilungsprojekte\eng\EngData\AOS\Allgemein\[LabSamples2025.xlsx]Bioplastic'!G818)</f>
        <v/>
      </c>
      <c r="H818">
        <f>IF(ISBLANK('Q:\Abteilungsprojekte\eng\EngData\AOS\Allgemein\[LabSamples2025.xlsx]Bioplastic'!H818)," ",'Q:\Abteilungsprojekte\eng\EngData\AOS\Allgemein\[LabSamples2025.xlsx]Bioplastic'!H818)</f>
        <v/>
      </c>
    </row>
    <row r="819">
      <c r="A819">
        <f>IF(ISBLANK('Q:\Abteilungsprojekte\eng\EngData\AOS\Allgemein\[LabSamples2025.xlsx]Bioplastic'!A819)," ",'Q:\Abteilungsprojekte\eng\EngData\AOS\Allgemein\[LabSamples2025.xlsx]Bioplastic'!A819)</f>
        <v/>
      </c>
      <c r="B819">
        <f>IF(ISBLANK('Q:\Abteilungsprojekte\eng\EngData\AOS\Allgemein\[LabSamples2025.xlsx]Bioplastic'!B819)," ",'Q:\Abteilungsprojekte\eng\EngData\AOS\Allgemein\[LabSamples2025.xlsx]Bioplastic'!B819)</f>
        <v/>
      </c>
      <c r="C819">
        <f>IF(ISBLANK('Q:\Abteilungsprojekte\eng\EngData\AOS\Allgemein\[LabSamples2025.xlsx]Bioplastic'!C819)," ",'Q:\Abteilungsprojekte\eng\EngData\AOS\Allgemein\[LabSamples2025.xlsx]Bioplastic'!C819)</f>
        <v/>
      </c>
      <c r="D819">
        <f>IF(ISBLANK('Q:\Abteilungsprojekte\eng\EngData\AOS\Allgemein\[LabSamples2025.xlsx]Bioplastic'!D819)," ",'Q:\Abteilungsprojekte\eng\EngData\AOS\Allgemein\[LabSamples2025.xlsx]Bioplastic'!D819)</f>
        <v/>
      </c>
      <c r="E819">
        <f>IF(ISBLANK('Q:\Abteilungsprojekte\eng\EngData\AOS\Allgemein\[LabSamples2025.xlsx]Bioplastic'!E819)," ",'Q:\Abteilungsprojekte\eng\EngData\AOS\Allgemein\[LabSamples2025.xlsx]Bioplastic'!E819)</f>
        <v/>
      </c>
      <c r="F819">
        <f>IF(ISBLANK('Q:\Abteilungsprojekte\eng\EngData\AOS\Allgemein\[LabSamples2025.xlsx]Bioplastic'!F819)," ",'Q:\Abteilungsprojekte\eng\EngData\AOS\Allgemein\[LabSamples2025.xlsx]Bioplastic'!F819)</f>
        <v/>
      </c>
      <c r="G819">
        <f>IF(ISBLANK('Q:\Abteilungsprojekte\eng\EngData\AOS\Allgemein\[LabSamples2025.xlsx]Bioplastic'!G819)," ",'Q:\Abteilungsprojekte\eng\EngData\AOS\Allgemein\[LabSamples2025.xlsx]Bioplastic'!G819)</f>
        <v/>
      </c>
      <c r="H819">
        <f>IF(ISBLANK('Q:\Abteilungsprojekte\eng\EngData\AOS\Allgemein\[LabSamples2025.xlsx]Bioplastic'!H819)," ",'Q:\Abteilungsprojekte\eng\EngData\AOS\Allgemein\[LabSamples2025.xlsx]Bioplastic'!H819)</f>
        <v/>
      </c>
    </row>
    <row r="820">
      <c r="A820">
        <f>IF(ISBLANK('Q:\Abteilungsprojekte\eng\EngData\AOS\Allgemein\[LabSamples2025.xlsx]Bioplastic'!A820)," ",'Q:\Abteilungsprojekte\eng\EngData\AOS\Allgemein\[LabSamples2025.xlsx]Bioplastic'!A820)</f>
        <v/>
      </c>
      <c r="B820">
        <f>IF(ISBLANK('Q:\Abteilungsprojekte\eng\EngData\AOS\Allgemein\[LabSamples2025.xlsx]Bioplastic'!B820)," ",'Q:\Abteilungsprojekte\eng\EngData\AOS\Allgemein\[LabSamples2025.xlsx]Bioplastic'!B820)</f>
        <v/>
      </c>
      <c r="C820">
        <f>IF(ISBLANK('Q:\Abteilungsprojekte\eng\EngData\AOS\Allgemein\[LabSamples2025.xlsx]Bioplastic'!C820)," ",'Q:\Abteilungsprojekte\eng\EngData\AOS\Allgemein\[LabSamples2025.xlsx]Bioplastic'!C820)</f>
        <v/>
      </c>
      <c r="D820">
        <f>IF(ISBLANK('Q:\Abteilungsprojekte\eng\EngData\AOS\Allgemein\[LabSamples2025.xlsx]Bioplastic'!D820)," ",'Q:\Abteilungsprojekte\eng\EngData\AOS\Allgemein\[LabSamples2025.xlsx]Bioplastic'!D820)</f>
        <v/>
      </c>
      <c r="E820">
        <f>IF(ISBLANK('Q:\Abteilungsprojekte\eng\EngData\AOS\Allgemein\[LabSamples2025.xlsx]Bioplastic'!E820)," ",'Q:\Abteilungsprojekte\eng\EngData\AOS\Allgemein\[LabSamples2025.xlsx]Bioplastic'!E820)</f>
        <v/>
      </c>
      <c r="F820">
        <f>IF(ISBLANK('Q:\Abteilungsprojekte\eng\EngData\AOS\Allgemein\[LabSamples2025.xlsx]Bioplastic'!F820)," ",'Q:\Abteilungsprojekte\eng\EngData\AOS\Allgemein\[LabSamples2025.xlsx]Bioplastic'!F820)</f>
        <v/>
      </c>
      <c r="G820">
        <f>IF(ISBLANK('Q:\Abteilungsprojekte\eng\EngData\AOS\Allgemein\[LabSamples2025.xlsx]Bioplastic'!G820)," ",'Q:\Abteilungsprojekte\eng\EngData\AOS\Allgemein\[LabSamples2025.xlsx]Bioplastic'!G820)</f>
        <v/>
      </c>
      <c r="H820">
        <f>IF(ISBLANK('Q:\Abteilungsprojekte\eng\EngData\AOS\Allgemein\[LabSamples2025.xlsx]Bioplastic'!H820)," ",'Q:\Abteilungsprojekte\eng\EngData\AOS\Allgemein\[LabSamples2025.xlsx]Bioplastic'!H820)</f>
        <v/>
      </c>
    </row>
    <row r="821">
      <c r="A821">
        <f>IF(ISBLANK('Q:\Abteilungsprojekte\eng\EngData\AOS\Allgemein\[LabSamples2025.xlsx]Bioplastic'!A821)," ",'Q:\Abteilungsprojekte\eng\EngData\AOS\Allgemein\[LabSamples2025.xlsx]Bioplastic'!A821)</f>
        <v/>
      </c>
      <c r="B821">
        <f>IF(ISBLANK('Q:\Abteilungsprojekte\eng\EngData\AOS\Allgemein\[LabSamples2025.xlsx]Bioplastic'!B821)," ",'Q:\Abteilungsprojekte\eng\EngData\AOS\Allgemein\[LabSamples2025.xlsx]Bioplastic'!B821)</f>
        <v/>
      </c>
      <c r="C821">
        <f>IF(ISBLANK('Q:\Abteilungsprojekte\eng\EngData\AOS\Allgemein\[LabSamples2025.xlsx]Bioplastic'!C821)," ",'Q:\Abteilungsprojekte\eng\EngData\AOS\Allgemein\[LabSamples2025.xlsx]Bioplastic'!C821)</f>
        <v/>
      </c>
      <c r="D821">
        <f>IF(ISBLANK('Q:\Abteilungsprojekte\eng\EngData\AOS\Allgemein\[LabSamples2025.xlsx]Bioplastic'!D821)," ",'Q:\Abteilungsprojekte\eng\EngData\AOS\Allgemein\[LabSamples2025.xlsx]Bioplastic'!D821)</f>
        <v/>
      </c>
      <c r="E821">
        <f>IF(ISBLANK('Q:\Abteilungsprojekte\eng\EngData\AOS\Allgemein\[LabSamples2025.xlsx]Bioplastic'!E821)," ",'Q:\Abteilungsprojekte\eng\EngData\AOS\Allgemein\[LabSamples2025.xlsx]Bioplastic'!E821)</f>
        <v/>
      </c>
      <c r="F821">
        <f>IF(ISBLANK('Q:\Abteilungsprojekte\eng\EngData\AOS\Allgemein\[LabSamples2025.xlsx]Bioplastic'!F821)," ",'Q:\Abteilungsprojekte\eng\EngData\AOS\Allgemein\[LabSamples2025.xlsx]Bioplastic'!F821)</f>
        <v/>
      </c>
      <c r="G821">
        <f>IF(ISBLANK('Q:\Abteilungsprojekte\eng\EngData\AOS\Allgemein\[LabSamples2025.xlsx]Bioplastic'!G821)," ",'Q:\Abteilungsprojekte\eng\EngData\AOS\Allgemein\[LabSamples2025.xlsx]Bioplastic'!G821)</f>
        <v/>
      </c>
      <c r="H821">
        <f>IF(ISBLANK('Q:\Abteilungsprojekte\eng\EngData\AOS\Allgemein\[LabSamples2025.xlsx]Bioplastic'!H821)," ",'Q:\Abteilungsprojekte\eng\EngData\AOS\Allgemein\[LabSamples2025.xlsx]Bioplastic'!H821)</f>
        <v/>
      </c>
    </row>
    <row r="822">
      <c r="A822">
        <f>IF(ISBLANK('Q:\Abteilungsprojekte\eng\EngData\AOS\Allgemein\[LabSamples2025.xlsx]Bioplastic'!A822)," ",'Q:\Abteilungsprojekte\eng\EngData\AOS\Allgemein\[LabSamples2025.xlsx]Bioplastic'!A822)</f>
        <v/>
      </c>
      <c r="B822">
        <f>IF(ISBLANK('Q:\Abteilungsprojekte\eng\EngData\AOS\Allgemein\[LabSamples2025.xlsx]Bioplastic'!B822)," ",'Q:\Abteilungsprojekte\eng\EngData\AOS\Allgemein\[LabSamples2025.xlsx]Bioplastic'!B822)</f>
        <v/>
      </c>
      <c r="C822">
        <f>IF(ISBLANK('Q:\Abteilungsprojekte\eng\EngData\AOS\Allgemein\[LabSamples2025.xlsx]Bioplastic'!C822)," ",'Q:\Abteilungsprojekte\eng\EngData\AOS\Allgemein\[LabSamples2025.xlsx]Bioplastic'!C822)</f>
        <v/>
      </c>
      <c r="D822">
        <f>IF(ISBLANK('Q:\Abteilungsprojekte\eng\EngData\AOS\Allgemein\[LabSamples2025.xlsx]Bioplastic'!D822)," ",'Q:\Abteilungsprojekte\eng\EngData\AOS\Allgemein\[LabSamples2025.xlsx]Bioplastic'!D822)</f>
        <v/>
      </c>
      <c r="E822">
        <f>IF(ISBLANK('Q:\Abteilungsprojekte\eng\EngData\AOS\Allgemein\[LabSamples2025.xlsx]Bioplastic'!E822)," ",'Q:\Abteilungsprojekte\eng\EngData\AOS\Allgemein\[LabSamples2025.xlsx]Bioplastic'!E822)</f>
        <v/>
      </c>
      <c r="F822">
        <f>IF(ISBLANK('Q:\Abteilungsprojekte\eng\EngData\AOS\Allgemein\[LabSamples2025.xlsx]Bioplastic'!F822)," ",'Q:\Abteilungsprojekte\eng\EngData\AOS\Allgemein\[LabSamples2025.xlsx]Bioplastic'!F822)</f>
        <v/>
      </c>
      <c r="G822">
        <f>IF(ISBLANK('Q:\Abteilungsprojekte\eng\EngData\AOS\Allgemein\[LabSamples2025.xlsx]Bioplastic'!G822)," ",'Q:\Abteilungsprojekte\eng\EngData\AOS\Allgemein\[LabSamples2025.xlsx]Bioplastic'!G822)</f>
        <v/>
      </c>
      <c r="H822">
        <f>IF(ISBLANK('Q:\Abteilungsprojekte\eng\EngData\AOS\Allgemein\[LabSamples2025.xlsx]Bioplastic'!H822)," ",'Q:\Abteilungsprojekte\eng\EngData\AOS\Allgemein\[LabSamples2025.xlsx]Bioplastic'!H822)</f>
        <v/>
      </c>
    </row>
    <row r="823">
      <c r="A823">
        <f>IF(ISBLANK('Q:\Abteilungsprojekte\eng\EngData\AOS\Allgemein\[LabSamples2025.xlsx]Bioplastic'!A823)," ",'Q:\Abteilungsprojekte\eng\EngData\AOS\Allgemein\[LabSamples2025.xlsx]Bioplastic'!A823)</f>
        <v/>
      </c>
      <c r="B823">
        <f>IF(ISBLANK('Q:\Abteilungsprojekte\eng\EngData\AOS\Allgemein\[LabSamples2025.xlsx]Bioplastic'!B823)," ",'Q:\Abteilungsprojekte\eng\EngData\AOS\Allgemein\[LabSamples2025.xlsx]Bioplastic'!B823)</f>
        <v/>
      </c>
      <c r="C823">
        <f>IF(ISBLANK('Q:\Abteilungsprojekte\eng\EngData\AOS\Allgemein\[LabSamples2025.xlsx]Bioplastic'!C823)," ",'Q:\Abteilungsprojekte\eng\EngData\AOS\Allgemein\[LabSamples2025.xlsx]Bioplastic'!C823)</f>
        <v/>
      </c>
      <c r="D823">
        <f>IF(ISBLANK('Q:\Abteilungsprojekte\eng\EngData\AOS\Allgemein\[LabSamples2025.xlsx]Bioplastic'!D823)," ",'Q:\Abteilungsprojekte\eng\EngData\AOS\Allgemein\[LabSamples2025.xlsx]Bioplastic'!D823)</f>
        <v/>
      </c>
      <c r="E823">
        <f>IF(ISBLANK('Q:\Abteilungsprojekte\eng\EngData\AOS\Allgemein\[LabSamples2025.xlsx]Bioplastic'!E823)," ",'Q:\Abteilungsprojekte\eng\EngData\AOS\Allgemein\[LabSamples2025.xlsx]Bioplastic'!E823)</f>
        <v/>
      </c>
      <c r="F823">
        <f>IF(ISBLANK('Q:\Abteilungsprojekte\eng\EngData\AOS\Allgemein\[LabSamples2025.xlsx]Bioplastic'!F823)," ",'Q:\Abteilungsprojekte\eng\EngData\AOS\Allgemein\[LabSamples2025.xlsx]Bioplastic'!F823)</f>
        <v/>
      </c>
      <c r="G823">
        <f>IF(ISBLANK('Q:\Abteilungsprojekte\eng\EngData\AOS\Allgemein\[LabSamples2025.xlsx]Bioplastic'!G823)," ",'Q:\Abteilungsprojekte\eng\EngData\AOS\Allgemein\[LabSamples2025.xlsx]Bioplastic'!G823)</f>
        <v/>
      </c>
      <c r="H823">
        <f>IF(ISBLANK('Q:\Abteilungsprojekte\eng\EngData\AOS\Allgemein\[LabSamples2025.xlsx]Bioplastic'!H823)," ",'Q:\Abteilungsprojekte\eng\EngData\AOS\Allgemein\[LabSamples2025.xlsx]Bioplastic'!H823)</f>
        <v/>
      </c>
    </row>
    <row r="824">
      <c r="A824">
        <f>IF(ISBLANK('Q:\Abteilungsprojekte\eng\EngData\AOS\Allgemein\[LabSamples2025.xlsx]Bioplastic'!A824)," ",'Q:\Abteilungsprojekte\eng\EngData\AOS\Allgemein\[LabSamples2025.xlsx]Bioplastic'!A824)</f>
        <v/>
      </c>
      <c r="B824">
        <f>IF(ISBLANK('Q:\Abteilungsprojekte\eng\EngData\AOS\Allgemein\[LabSamples2025.xlsx]Bioplastic'!B824)," ",'Q:\Abteilungsprojekte\eng\EngData\AOS\Allgemein\[LabSamples2025.xlsx]Bioplastic'!B824)</f>
        <v/>
      </c>
      <c r="C824">
        <f>IF(ISBLANK('Q:\Abteilungsprojekte\eng\EngData\AOS\Allgemein\[LabSamples2025.xlsx]Bioplastic'!C824)," ",'Q:\Abteilungsprojekte\eng\EngData\AOS\Allgemein\[LabSamples2025.xlsx]Bioplastic'!C824)</f>
        <v/>
      </c>
      <c r="D824">
        <f>IF(ISBLANK('Q:\Abteilungsprojekte\eng\EngData\AOS\Allgemein\[LabSamples2025.xlsx]Bioplastic'!D824)," ",'Q:\Abteilungsprojekte\eng\EngData\AOS\Allgemein\[LabSamples2025.xlsx]Bioplastic'!D824)</f>
        <v/>
      </c>
      <c r="E824">
        <f>IF(ISBLANK('Q:\Abteilungsprojekte\eng\EngData\AOS\Allgemein\[LabSamples2025.xlsx]Bioplastic'!E824)," ",'Q:\Abteilungsprojekte\eng\EngData\AOS\Allgemein\[LabSamples2025.xlsx]Bioplastic'!E824)</f>
        <v/>
      </c>
      <c r="F824">
        <f>IF(ISBLANK('Q:\Abteilungsprojekte\eng\EngData\AOS\Allgemein\[LabSamples2025.xlsx]Bioplastic'!F824)," ",'Q:\Abteilungsprojekte\eng\EngData\AOS\Allgemein\[LabSamples2025.xlsx]Bioplastic'!F824)</f>
        <v/>
      </c>
      <c r="G824">
        <f>IF(ISBLANK('Q:\Abteilungsprojekte\eng\EngData\AOS\Allgemein\[LabSamples2025.xlsx]Bioplastic'!G824)," ",'Q:\Abteilungsprojekte\eng\EngData\AOS\Allgemein\[LabSamples2025.xlsx]Bioplastic'!G824)</f>
        <v/>
      </c>
      <c r="H824">
        <f>IF(ISBLANK('Q:\Abteilungsprojekte\eng\EngData\AOS\Allgemein\[LabSamples2025.xlsx]Bioplastic'!H824)," ",'Q:\Abteilungsprojekte\eng\EngData\AOS\Allgemein\[LabSamples2025.xlsx]Bioplastic'!H824)</f>
        <v/>
      </c>
    </row>
    <row r="825">
      <c r="A825">
        <f>IF(ISBLANK('Q:\Abteilungsprojekte\eng\EngData\AOS\Allgemein\[LabSamples2025.xlsx]Bioplastic'!A825)," ",'Q:\Abteilungsprojekte\eng\EngData\AOS\Allgemein\[LabSamples2025.xlsx]Bioplastic'!A825)</f>
        <v/>
      </c>
      <c r="B825">
        <f>IF(ISBLANK('Q:\Abteilungsprojekte\eng\EngData\AOS\Allgemein\[LabSamples2025.xlsx]Bioplastic'!B825)," ",'Q:\Abteilungsprojekte\eng\EngData\AOS\Allgemein\[LabSamples2025.xlsx]Bioplastic'!B825)</f>
        <v/>
      </c>
      <c r="C825">
        <f>IF(ISBLANK('Q:\Abteilungsprojekte\eng\EngData\AOS\Allgemein\[LabSamples2025.xlsx]Bioplastic'!C825)," ",'Q:\Abteilungsprojekte\eng\EngData\AOS\Allgemein\[LabSamples2025.xlsx]Bioplastic'!C825)</f>
        <v/>
      </c>
      <c r="D825">
        <f>IF(ISBLANK('Q:\Abteilungsprojekte\eng\EngData\AOS\Allgemein\[LabSamples2025.xlsx]Bioplastic'!D825)," ",'Q:\Abteilungsprojekte\eng\EngData\AOS\Allgemein\[LabSamples2025.xlsx]Bioplastic'!D825)</f>
        <v/>
      </c>
      <c r="E825">
        <f>IF(ISBLANK('Q:\Abteilungsprojekte\eng\EngData\AOS\Allgemein\[LabSamples2025.xlsx]Bioplastic'!E825)," ",'Q:\Abteilungsprojekte\eng\EngData\AOS\Allgemein\[LabSamples2025.xlsx]Bioplastic'!E825)</f>
        <v/>
      </c>
      <c r="F825">
        <f>IF(ISBLANK('Q:\Abteilungsprojekte\eng\EngData\AOS\Allgemein\[LabSamples2025.xlsx]Bioplastic'!F825)," ",'Q:\Abteilungsprojekte\eng\EngData\AOS\Allgemein\[LabSamples2025.xlsx]Bioplastic'!F825)</f>
        <v/>
      </c>
      <c r="G825">
        <f>IF(ISBLANK('Q:\Abteilungsprojekte\eng\EngData\AOS\Allgemein\[LabSamples2025.xlsx]Bioplastic'!G825)," ",'Q:\Abteilungsprojekte\eng\EngData\AOS\Allgemein\[LabSamples2025.xlsx]Bioplastic'!G825)</f>
        <v/>
      </c>
      <c r="H825">
        <f>IF(ISBLANK('Q:\Abteilungsprojekte\eng\EngData\AOS\Allgemein\[LabSamples2025.xlsx]Bioplastic'!H825)," ",'Q:\Abteilungsprojekte\eng\EngData\AOS\Allgemein\[LabSamples2025.xlsx]Bioplastic'!H825)</f>
        <v/>
      </c>
    </row>
    <row r="826">
      <c r="A826">
        <f>IF(ISBLANK('Q:\Abteilungsprojekte\eng\EngData\AOS\Allgemein\[LabSamples2025.xlsx]Bioplastic'!A826)," ",'Q:\Abteilungsprojekte\eng\EngData\AOS\Allgemein\[LabSamples2025.xlsx]Bioplastic'!A826)</f>
        <v/>
      </c>
      <c r="B826">
        <f>IF(ISBLANK('Q:\Abteilungsprojekte\eng\EngData\AOS\Allgemein\[LabSamples2025.xlsx]Bioplastic'!B826)," ",'Q:\Abteilungsprojekte\eng\EngData\AOS\Allgemein\[LabSamples2025.xlsx]Bioplastic'!B826)</f>
        <v/>
      </c>
      <c r="C826">
        <f>IF(ISBLANK('Q:\Abteilungsprojekte\eng\EngData\AOS\Allgemein\[LabSamples2025.xlsx]Bioplastic'!C826)," ",'Q:\Abteilungsprojekte\eng\EngData\AOS\Allgemein\[LabSamples2025.xlsx]Bioplastic'!C826)</f>
        <v/>
      </c>
      <c r="D826">
        <f>IF(ISBLANK('Q:\Abteilungsprojekte\eng\EngData\AOS\Allgemein\[LabSamples2025.xlsx]Bioplastic'!D826)," ",'Q:\Abteilungsprojekte\eng\EngData\AOS\Allgemein\[LabSamples2025.xlsx]Bioplastic'!D826)</f>
        <v/>
      </c>
      <c r="E826">
        <f>IF(ISBLANK('Q:\Abteilungsprojekte\eng\EngData\AOS\Allgemein\[LabSamples2025.xlsx]Bioplastic'!E826)," ",'Q:\Abteilungsprojekte\eng\EngData\AOS\Allgemein\[LabSamples2025.xlsx]Bioplastic'!E826)</f>
        <v/>
      </c>
      <c r="F826">
        <f>IF(ISBLANK('Q:\Abteilungsprojekte\eng\EngData\AOS\Allgemein\[LabSamples2025.xlsx]Bioplastic'!F826)," ",'Q:\Abteilungsprojekte\eng\EngData\AOS\Allgemein\[LabSamples2025.xlsx]Bioplastic'!F826)</f>
        <v/>
      </c>
      <c r="G826">
        <f>IF(ISBLANK('Q:\Abteilungsprojekte\eng\EngData\AOS\Allgemein\[LabSamples2025.xlsx]Bioplastic'!G826)," ",'Q:\Abteilungsprojekte\eng\EngData\AOS\Allgemein\[LabSamples2025.xlsx]Bioplastic'!G826)</f>
        <v/>
      </c>
      <c r="H826">
        <f>IF(ISBLANK('Q:\Abteilungsprojekte\eng\EngData\AOS\Allgemein\[LabSamples2025.xlsx]Bioplastic'!H826)," ",'Q:\Abteilungsprojekte\eng\EngData\AOS\Allgemein\[LabSamples2025.xlsx]Bioplastic'!H826)</f>
        <v/>
      </c>
    </row>
    <row r="827">
      <c r="A827">
        <f>IF(ISBLANK('Q:\Abteilungsprojekte\eng\EngData\AOS\Allgemein\[LabSamples2025.xlsx]Bioplastic'!A827)," ",'Q:\Abteilungsprojekte\eng\EngData\AOS\Allgemein\[LabSamples2025.xlsx]Bioplastic'!A827)</f>
        <v/>
      </c>
      <c r="B827">
        <f>IF(ISBLANK('Q:\Abteilungsprojekte\eng\EngData\AOS\Allgemein\[LabSamples2025.xlsx]Bioplastic'!B827)," ",'Q:\Abteilungsprojekte\eng\EngData\AOS\Allgemein\[LabSamples2025.xlsx]Bioplastic'!B827)</f>
        <v/>
      </c>
      <c r="C827">
        <f>IF(ISBLANK('Q:\Abteilungsprojekte\eng\EngData\AOS\Allgemein\[LabSamples2025.xlsx]Bioplastic'!C827)," ",'Q:\Abteilungsprojekte\eng\EngData\AOS\Allgemein\[LabSamples2025.xlsx]Bioplastic'!C827)</f>
        <v/>
      </c>
      <c r="D827">
        <f>IF(ISBLANK('Q:\Abteilungsprojekte\eng\EngData\AOS\Allgemein\[LabSamples2025.xlsx]Bioplastic'!D827)," ",'Q:\Abteilungsprojekte\eng\EngData\AOS\Allgemein\[LabSamples2025.xlsx]Bioplastic'!D827)</f>
        <v/>
      </c>
      <c r="E827">
        <f>IF(ISBLANK('Q:\Abteilungsprojekte\eng\EngData\AOS\Allgemein\[LabSamples2025.xlsx]Bioplastic'!E827)," ",'Q:\Abteilungsprojekte\eng\EngData\AOS\Allgemein\[LabSamples2025.xlsx]Bioplastic'!E827)</f>
        <v/>
      </c>
      <c r="F827">
        <f>IF(ISBLANK('Q:\Abteilungsprojekte\eng\EngData\AOS\Allgemein\[LabSamples2025.xlsx]Bioplastic'!F827)," ",'Q:\Abteilungsprojekte\eng\EngData\AOS\Allgemein\[LabSamples2025.xlsx]Bioplastic'!F827)</f>
        <v/>
      </c>
      <c r="G827">
        <f>IF(ISBLANK('Q:\Abteilungsprojekte\eng\EngData\AOS\Allgemein\[LabSamples2025.xlsx]Bioplastic'!G827)," ",'Q:\Abteilungsprojekte\eng\EngData\AOS\Allgemein\[LabSamples2025.xlsx]Bioplastic'!G827)</f>
        <v/>
      </c>
      <c r="H827">
        <f>IF(ISBLANK('Q:\Abteilungsprojekte\eng\EngData\AOS\Allgemein\[LabSamples2025.xlsx]Bioplastic'!H827)," ",'Q:\Abteilungsprojekte\eng\EngData\AOS\Allgemein\[LabSamples2025.xlsx]Bioplastic'!H827)</f>
        <v/>
      </c>
    </row>
    <row r="828">
      <c r="A828">
        <f>IF(ISBLANK('Q:\Abteilungsprojekte\eng\EngData\AOS\Allgemein\[LabSamples2025.xlsx]Bioplastic'!A828)," ",'Q:\Abteilungsprojekte\eng\EngData\AOS\Allgemein\[LabSamples2025.xlsx]Bioplastic'!A828)</f>
        <v/>
      </c>
      <c r="B828">
        <f>IF(ISBLANK('Q:\Abteilungsprojekte\eng\EngData\AOS\Allgemein\[LabSamples2025.xlsx]Bioplastic'!B828)," ",'Q:\Abteilungsprojekte\eng\EngData\AOS\Allgemein\[LabSamples2025.xlsx]Bioplastic'!B828)</f>
        <v/>
      </c>
      <c r="C828">
        <f>IF(ISBLANK('Q:\Abteilungsprojekte\eng\EngData\AOS\Allgemein\[LabSamples2025.xlsx]Bioplastic'!C828)," ",'Q:\Abteilungsprojekte\eng\EngData\AOS\Allgemein\[LabSamples2025.xlsx]Bioplastic'!C828)</f>
        <v/>
      </c>
      <c r="D828">
        <f>IF(ISBLANK('Q:\Abteilungsprojekte\eng\EngData\AOS\Allgemein\[LabSamples2025.xlsx]Bioplastic'!D828)," ",'Q:\Abteilungsprojekte\eng\EngData\AOS\Allgemein\[LabSamples2025.xlsx]Bioplastic'!D828)</f>
        <v/>
      </c>
      <c r="E828">
        <f>IF(ISBLANK('Q:\Abteilungsprojekte\eng\EngData\AOS\Allgemein\[LabSamples2025.xlsx]Bioplastic'!E828)," ",'Q:\Abteilungsprojekte\eng\EngData\AOS\Allgemein\[LabSamples2025.xlsx]Bioplastic'!E828)</f>
        <v/>
      </c>
      <c r="F828">
        <f>IF(ISBLANK('Q:\Abteilungsprojekte\eng\EngData\AOS\Allgemein\[LabSamples2025.xlsx]Bioplastic'!F828)," ",'Q:\Abteilungsprojekte\eng\EngData\AOS\Allgemein\[LabSamples2025.xlsx]Bioplastic'!F828)</f>
        <v/>
      </c>
      <c r="G828">
        <f>IF(ISBLANK('Q:\Abteilungsprojekte\eng\EngData\AOS\Allgemein\[LabSamples2025.xlsx]Bioplastic'!G828)," ",'Q:\Abteilungsprojekte\eng\EngData\AOS\Allgemein\[LabSamples2025.xlsx]Bioplastic'!G828)</f>
        <v/>
      </c>
      <c r="H828">
        <f>IF(ISBLANK('Q:\Abteilungsprojekte\eng\EngData\AOS\Allgemein\[LabSamples2025.xlsx]Bioplastic'!H828)," ",'Q:\Abteilungsprojekte\eng\EngData\AOS\Allgemein\[LabSamples2025.xlsx]Bioplastic'!H828)</f>
        <v/>
      </c>
    </row>
    <row r="829">
      <c r="A829">
        <f>IF(ISBLANK('Q:\Abteilungsprojekte\eng\EngData\AOS\Allgemein\[LabSamples2025.xlsx]Bioplastic'!A829)," ",'Q:\Abteilungsprojekte\eng\EngData\AOS\Allgemein\[LabSamples2025.xlsx]Bioplastic'!A829)</f>
        <v/>
      </c>
      <c r="B829">
        <f>IF(ISBLANK('Q:\Abteilungsprojekte\eng\EngData\AOS\Allgemein\[LabSamples2025.xlsx]Bioplastic'!B829)," ",'Q:\Abteilungsprojekte\eng\EngData\AOS\Allgemein\[LabSamples2025.xlsx]Bioplastic'!B829)</f>
        <v/>
      </c>
      <c r="C829">
        <f>IF(ISBLANK('Q:\Abteilungsprojekte\eng\EngData\AOS\Allgemein\[LabSamples2025.xlsx]Bioplastic'!C829)," ",'Q:\Abteilungsprojekte\eng\EngData\AOS\Allgemein\[LabSamples2025.xlsx]Bioplastic'!C829)</f>
        <v/>
      </c>
      <c r="D829">
        <f>IF(ISBLANK('Q:\Abteilungsprojekte\eng\EngData\AOS\Allgemein\[LabSamples2025.xlsx]Bioplastic'!D829)," ",'Q:\Abteilungsprojekte\eng\EngData\AOS\Allgemein\[LabSamples2025.xlsx]Bioplastic'!D829)</f>
        <v/>
      </c>
      <c r="E829">
        <f>IF(ISBLANK('Q:\Abteilungsprojekte\eng\EngData\AOS\Allgemein\[LabSamples2025.xlsx]Bioplastic'!E829)," ",'Q:\Abteilungsprojekte\eng\EngData\AOS\Allgemein\[LabSamples2025.xlsx]Bioplastic'!E829)</f>
        <v/>
      </c>
      <c r="F829">
        <f>IF(ISBLANK('Q:\Abteilungsprojekte\eng\EngData\AOS\Allgemein\[LabSamples2025.xlsx]Bioplastic'!F829)," ",'Q:\Abteilungsprojekte\eng\EngData\AOS\Allgemein\[LabSamples2025.xlsx]Bioplastic'!F829)</f>
        <v/>
      </c>
      <c r="G829">
        <f>IF(ISBLANK('Q:\Abteilungsprojekte\eng\EngData\AOS\Allgemein\[LabSamples2025.xlsx]Bioplastic'!G829)," ",'Q:\Abteilungsprojekte\eng\EngData\AOS\Allgemein\[LabSamples2025.xlsx]Bioplastic'!G829)</f>
        <v/>
      </c>
      <c r="H829">
        <f>IF(ISBLANK('Q:\Abteilungsprojekte\eng\EngData\AOS\Allgemein\[LabSamples2025.xlsx]Bioplastic'!H829)," ",'Q:\Abteilungsprojekte\eng\EngData\AOS\Allgemein\[LabSamples2025.xlsx]Bioplastic'!H829)</f>
        <v/>
      </c>
    </row>
    <row r="830">
      <c r="A830">
        <f>IF(ISBLANK('Q:\Abteilungsprojekte\eng\EngData\AOS\Allgemein\[LabSamples2025.xlsx]Bioplastic'!A830)," ",'Q:\Abteilungsprojekte\eng\EngData\AOS\Allgemein\[LabSamples2025.xlsx]Bioplastic'!A830)</f>
        <v/>
      </c>
      <c r="B830">
        <f>IF(ISBLANK('Q:\Abteilungsprojekte\eng\EngData\AOS\Allgemein\[LabSamples2025.xlsx]Bioplastic'!B830)," ",'Q:\Abteilungsprojekte\eng\EngData\AOS\Allgemein\[LabSamples2025.xlsx]Bioplastic'!B830)</f>
        <v/>
      </c>
      <c r="C830">
        <f>IF(ISBLANK('Q:\Abteilungsprojekte\eng\EngData\AOS\Allgemein\[LabSamples2025.xlsx]Bioplastic'!C830)," ",'Q:\Abteilungsprojekte\eng\EngData\AOS\Allgemein\[LabSamples2025.xlsx]Bioplastic'!C830)</f>
        <v/>
      </c>
      <c r="D830">
        <f>IF(ISBLANK('Q:\Abteilungsprojekte\eng\EngData\AOS\Allgemein\[LabSamples2025.xlsx]Bioplastic'!D830)," ",'Q:\Abteilungsprojekte\eng\EngData\AOS\Allgemein\[LabSamples2025.xlsx]Bioplastic'!D830)</f>
        <v/>
      </c>
      <c r="E830">
        <f>IF(ISBLANK('Q:\Abteilungsprojekte\eng\EngData\AOS\Allgemein\[LabSamples2025.xlsx]Bioplastic'!E830)," ",'Q:\Abteilungsprojekte\eng\EngData\AOS\Allgemein\[LabSamples2025.xlsx]Bioplastic'!E830)</f>
        <v/>
      </c>
      <c r="F830">
        <f>IF(ISBLANK('Q:\Abteilungsprojekte\eng\EngData\AOS\Allgemein\[LabSamples2025.xlsx]Bioplastic'!F830)," ",'Q:\Abteilungsprojekte\eng\EngData\AOS\Allgemein\[LabSamples2025.xlsx]Bioplastic'!F830)</f>
        <v/>
      </c>
      <c r="G830">
        <f>IF(ISBLANK('Q:\Abteilungsprojekte\eng\EngData\AOS\Allgemein\[LabSamples2025.xlsx]Bioplastic'!G830)," ",'Q:\Abteilungsprojekte\eng\EngData\AOS\Allgemein\[LabSamples2025.xlsx]Bioplastic'!G830)</f>
        <v/>
      </c>
      <c r="H830">
        <f>IF(ISBLANK('Q:\Abteilungsprojekte\eng\EngData\AOS\Allgemein\[LabSamples2025.xlsx]Bioplastic'!H830)," ",'Q:\Abteilungsprojekte\eng\EngData\AOS\Allgemein\[LabSamples2025.xlsx]Bioplastic'!H830)</f>
        <v/>
      </c>
    </row>
    <row r="831">
      <c r="A831">
        <f>IF(ISBLANK('Q:\Abteilungsprojekte\eng\EngData\AOS\Allgemein\[LabSamples2025.xlsx]Bioplastic'!A831)," ",'Q:\Abteilungsprojekte\eng\EngData\AOS\Allgemein\[LabSamples2025.xlsx]Bioplastic'!A831)</f>
        <v/>
      </c>
      <c r="B831">
        <f>IF(ISBLANK('Q:\Abteilungsprojekte\eng\EngData\AOS\Allgemein\[LabSamples2025.xlsx]Bioplastic'!B831)," ",'Q:\Abteilungsprojekte\eng\EngData\AOS\Allgemein\[LabSamples2025.xlsx]Bioplastic'!B831)</f>
        <v/>
      </c>
      <c r="C831">
        <f>IF(ISBLANK('Q:\Abteilungsprojekte\eng\EngData\AOS\Allgemein\[LabSamples2025.xlsx]Bioplastic'!C831)," ",'Q:\Abteilungsprojekte\eng\EngData\AOS\Allgemein\[LabSamples2025.xlsx]Bioplastic'!C831)</f>
        <v/>
      </c>
      <c r="D831">
        <f>IF(ISBLANK('Q:\Abteilungsprojekte\eng\EngData\AOS\Allgemein\[LabSamples2025.xlsx]Bioplastic'!D831)," ",'Q:\Abteilungsprojekte\eng\EngData\AOS\Allgemein\[LabSamples2025.xlsx]Bioplastic'!D831)</f>
        <v/>
      </c>
      <c r="E831">
        <f>IF(ISBLANK('Q:\Abteilungsprojekte\eng\EngData\AOS\Allgemein\[LabSamples2025.xlsx]Bioplastic'!E831)," ",'Q:\Abteilungsprojekte\eng\EngData\AOS\Allgemein\[LabSamples2025.xlsx]Bioplastic'!E831)</f>
        <v/>
      </c>
      <c r="F831">
        <f>IF(ISBLANK('Q:\Abteilungsprojekte\eng\EngData\AOS\Allgemein\[LabSamples2025.xlsx]Bioplastic'!F831)," ",'Q:\Abteilungsprojekte\eng\EngData\AOS\Allgemein\[LabSamples2025.xlsx]Bioplastic'!F831)</f>
        <v/>
      </c>
      <c r="G831">
        <f>IF(ISBLANK('Q:\Abteilungsprojekte\eng\EngData\AOS\Allgemein\[LabSamples2025.xlsx]Bioplastic'!G831)," ",'Q:\Abteilungsprojekte\eng\EngData\AOS\Allgemein\[LabSamples2025.xlsx]Bioplastic'!G831)</f>
        <v/>
      </c>
      <c r="H831">
        <f>IF(ISBLANK('Q:\Abteilungsprojekte\eng\EngData\AOS\Allgemein\[LabSamples2025.xlsx]Bioplastic'!H831)," ",'Q:\Abteilungsprojekte\eng\EngData\AOS\Allgemein\[LabSamples2025.xlsx]Bioplastic'!H831)</f>
        <v/>
      </c>
    </row>
    <row r="832">
      <c r="A832">
        <f>IF(ISBLANK('Q:\Abteilungsprojekte\eng\EngData\AOS\Allgemein\[LabSamples2025.xlsx]Bioplastic'!A832)," ",'Q:\Abteilungsprojekte\eng\EngData\AOS\Allgemein\[LabSamples2025.xlsx]Bioplastic'!A832)</f>
        <v/>
      </c>
      <c r="B832">
        <f>IF(ISBLANK('Q:\Abteilungsprojekte\eng\EngData\AOS\Allgemein\[LabSamples2025.xlsx]Bioplastic'!B832)," ",'Q:\Abteilungsprojekte\eng\EngData\AOS\Allgemein\[LabSamples2025.xlsx]Bioplastic'!B832)</f>
        <v/>
      </c>
      <c r="C832">
        <f>IF(ISBLANK('Q:\Abteilungsprojekte\eng\EngData\AOS\Allgemein\[LabSamples2025.xlsx]Bioplastic'!C832)," ",'Q:\Abteilungsprojekte\eng\EngData\AOS\Allgemein\[LabSamples2025.xlsx]Bioplastic'!C832)</f>
        <v/>
      </c>
      <c r="D832">
        <f>IF(ISBLANK('Q:\Abteilungsprojekte\eng\EngData\AOS\Allgemein\[LabSamples2025.xlsx]Bioplastic'!D832)," ",'Q:\Abteilungsprojekte\eng\EngData\AOS\Allgemein\[LabSamples2025.xlsx]Bioplastic'!D832)</f>
        <v/>
      </c>
      <c r="E832">
        <f>IF(ISBLANK('Q:\Abteilungsprojekte\eng\EngData\AOS\Allgemein\[LabSamples2025.xlsx]Bioplastic'!E832)," ",'Q:\Abteilungsprojekte\eng\EngData\AOS\Allgemein\[LabSamples2025.xlsx]Bioplastic'!E832)</f>
        <v/>
      </c>
      <c r="F832">
        <f>IF(ISBLANK('Q:\Abteilungsprojekte\eng\EngData\AOS\Allgemein\[LabSamples2025.xlsx]Bioplastic'!F832)," ",'Q:\Abteilungsprojekte\eng\EngData\AOS\Allgemein\[LabSamples2025.xlsx]Bioplastic'!F832)</f>
        <v/>
      </c>
      <c r="G832">
        <f>IF(ISBLANK('Q:\Abteilungsprojekte\eng\EngData\AOS\Allgemein\[LabSamples2025.xlsx]Bioplastic'!G832)," ",'Q:\Abteilungsprojekte\eng\EngData\AOS\Allgemein\[LabSamples2025.xlsx]Bioplastic'!G832)</f>
        <v/>
      </c>
      <c r="H832">
        <f>IF(ISBLANK('Q:\Abteilungsprojekte\eng\EngData\AOS\Allgemein\[LabSamples2025.xlsx]Bioplastic'!H832)," ",'Q:\Abteilungsprojekte\eng\EngData\AOS\Allgemein\[LabSamples2025.xlsx]Bioplastic'!H832)</f>
        <v/>
      </c>
    </row>
    <row r="833">
      <c r="A833">
        <f>IF(ISBLANK('Q:\Abteilungsprojekte\eng\EngData\AOS\Allgemein\[LabSamples2025.xlsx]Bioplastic'!A833)," ",'Q:\Abteilungsprojekte\eng\EngData\AOS\Allgemein\[LabSamples2025.xlsx]Bioplastic'!A833)</f>
        <v/>
      </c>
      <c r="B833">
        <f>IF(ISBLANK('Q:\Abteilungsprojekte\eng\EngData\AOS\Allgemein\[LabSamples2025.xlsx]Bioplastic'!B833)," ",'Q:\Abteilungsprojekte\eng\EngData\AOS\Allgemein\[LabSamples2025.xlsx]Bioplastic'!B833)</f>
        <v/>
      </c>
      <c r="C833">
        <f>IF(ISBLANK('Q:\Abteilungsprojekte\eng\EngData\AOS\Allgemein\[LabSamples2025.xlsx]Bioplastic'!C833)," ",'Q:\Abteilungsprojekte\eng\EngData\AOS\Allgemein\[LabSamples2025.xlsx]Bioplastic'!C833)</f>
        <v/>
      </c>
      <c r="D833">
        <f>IF(ISBLANK('Q:\Abteilungsprojekte\eng\EngData\AOS\Allgemein\[LabSamples2025.xlsx]Bioplastic'!D833)," ",'Q:\Abteilungsprojekte\eng\EngData\AOS\Allgemein\[LabSamples2025.xlsx]Bioplastic'!D833)</f>
        <v/>
      </c>
      <c r="E833">
        <f>IF(ISBLANK('Q:\Abteilungsprojekte\eng\EngData\AOS\Allgemein\[LabSamples2025.xlsx]Bioplastic'!E833)," ",'Q:\Abteilungsprojekte\eng\EngData\AOS\Allgemein\[LabSamples2025.xlsx]Bioplastic'!E833)</f>
        <v/>
      </c>
      <c r="F833">
        <f>IF(ISBLANK('Q:\Abteilungsprojekte\eng\EngData\AOS\Allgemein\[LabSamples2025.xlsx]Bioplastic'!F833)," ",'Q:\Abteilungsprojekte\eng\EngData\AOS\Allgemein\[LabSamples2025.xlsx]Bioplastic'!F833)</f>
        <v/>
      </c>
      <c r="G833">
        <f>IF(ISBLANK('Q:\Abteilungsprojekte\eng\EngData\AOS\Allgemein\[LabSamples2025.xlsx]Bioplastic'!G833)," ",'Q:\Abteilungsprojekte\eng\EngData\AOS\Allgemein\[LabSamples2025.xlsx]Bioplastic'!G833)</f>
        <v/>
      </c>
      <c r="H833">
        <f>IF(ISBLANK('Q:\Abteilungsprojekte\eng\EngData\AOS\Allgemein\[LabSamples2025.xlsx]Bioplastic'!H833)," ",'Q:\Abteilungsprojekte\eng\EngData\AOS\Allgemein\[LabSamples2025.xlsx]Bioplastic'!H833)</f>
        <v/>
      </c>
    </row>
    <row r="834">
      <c r="A834">
        <f>IF(ISBLANK('Q:\Abteilungsprojekte\eng\EngData\AOS\Allgemein\[LabSamples2025.xlsx]Bioplastic'!A834)," ",'Q:\Abteilungsprojekte\eng\EngData\AOS\Allgemein\[LabSamples2025.xlsx]Bioplastic'!A834)</f>
        <v/>
      </c>
      <c r="B834">
        <f>IF(ISBLANK('Q:\Abteilungsprojekte\eng\EngData\AOS\Allgemein\[LabSamples2025.xlsx]Bioplastic'!B834)," ",'Q:\Abteilungsprojekte\eng\EngData\AOS\Allgemein\[LabSamples2025.xlsx]Bioplastic'!B834)</f>
        <v/>
      </c>
      <c r="C834">
        <f>IF(ISBLANK('Q:\Abteilungsprojekte\eng\EngData\AOS\Allgemein\[LabSamples2025.xlsx]Bioplastic'!C834)," ",'Q:\Abteilungsprojekte\eng\EngData\AOS\Allgemein\[LabSamples2025.xlsx]Bioplastic'!C834)</f>
        <v/>
      </c>
      <c r="D834">
        <f>IF(ISBLANK('Q:\Abteilungsprojekte\eng\EngData\AOS\Allgemein\[LabSamples2025.xlsx]Bioplastic'!D834)," ",'Q:\Abteilungsprojekte\eng\EngData\AOS\Allgemein\[LabSamples2025.xlsx]Bioplastic'!D834)</f>
        <v/>
      </c>
      <c r="E834">
        <f>IF(ISBLANK('Q:\Abteilungsprojekte\eng\EngData\AOS\Allgemein\[LabSamples2025.xlsx]Bioplastic'!E834)," ",'Q:\Abteilungsprojekte\eng\EngData\AOS\Allgemein\[LabSamples2025.xlsx]Bioplastic'!E834)</f>
        <v/>
      </c>
      <c r="F834">
        <f>IF(ISBLANK('Q:\Abteilungsprojekte\eng\EngData\AOS\Allgemein\[LabSamples2025.xlsx]Bioplastic'!F834)," ",'Q:\Abteilungsprojekte\eng\EngData\AOS\Allgemein\[LabSamples2025.xlsx]Bioplastic'!F834)</f>
        <v/>
      </c>
      <c r="G834">
        <f>IF(ISBLANK('Q:\Abteilungsprojekte\eng\EngData\AOS\Allgemein\[LabSamples2025.xlsx]Bioplastic'!G834)," ",'Q:\Abteilungsprojekte\eng\EngData\AOS\Allgemein\[LabSamples2025.xlsx]Bioplastic'!G834)</f>
        <v/>
      </c>
      <c r="H834">
        <f>IF(ISBLANK('Q:\Abteilungsprojekte\eng\EngData\AOS\Allgemein\[LabSamples2025.xlsx]Bioplastic'!H834)," ",'Q:\Abteilungsprojekte\eng\EngData\AOS\Allgemein\[LabSamples2025.xlsx]Bioplastic'!H834)</f>
        <v/>
      </c>
    </row>
    <row r="835">
      <c r="A835">
        <f>IF(ISBLANK('Q:\Abteilungsprojekte\eng\EngData\AOS\Allgemein\[LabSamples2025.xlsx]Bioplastic'!A835)," ",'Q:\Abteilungsprojekte\eng\EngData\AOS\Allgemein\[LabSamples2025.xlsx]Bioplastic'!A835)</f>
        <v/>
      </c>
      <c r="B835">
        <f>IF(ISBLANK('Q:\Abteilungsprojekte\eng\EngData\AOS\Allgemein\[LabSamples2025.xlsx]Bioplastic'!B835)," ",'Q:\Abteilungsprojekte\eng\EngData\AOS\Allgemein\[LabSamples2025.xlsx]Bioplastic'!B835)</f>
        <v/>
      </c>
      <c r="C835">
        <f>IF(ISBLANK('Q:\Abteilungsprojekte\eng\EngData\AOS\Allgemein\[LabSamples2025.xlsx]Bioplastic'!C835)," ",'Q:\Abteilungsprojekte\eng\EngData\AOS\Allgemein\[LabSamples2025.xlsx]Bioplastic'!C835)</f>
        <v/>
      </c>
      <c r="D835">
        <f>IF(ISBLANK('Q:\Abteilungsprojekte\eng\EngData\AOS\Allgemein\[LabSamples2025.xlsx]Bioplastic'!D835)," ",'Q:\Abteilungsprojekte\eng\EngData\AOS\Allgemein\[LabSamples2025.xlsx]Bioplastic'!D835)</f>
        <v/>
      </c>
      <c r="E835">
        <f>IF(ISBLANK('Q:\Abteilungsprojekte\eng\EngData\AOS\Allgemein\[LabSamples2025.xlsx]Bioplastic'!E835)," ",'Q:\Abteilungsprojekte\eng\EngData\AOS\Allgemein\[LabSamples2025.xlsx]Bioplastic'!E835)</f>
        <v/>
      </c>
      <c r="F835">
        <f>IF(ISBLANK('Q:\Abteilungsprojekte\eng\EngData\AOS\Allgemein\[LabSamples2025.xlsx]Bioplastic'!F835)," ",'Q:\Abteilungsprojekte\eng\EngData\AOS\Allgemein\[LabSamples2025.xlsx]Bioplastic'!F835)</f>
        <v/>
      </c>
      <c r="G835">
        <f>IF(ISBLANK('Q:\Abteilungsprojekte\eng\EngData\AOS\Allgemein\[LabSamples2025.xlsx]Bioplastic'!G835)," ",'Q:\Abteilungsprojekte\eng\EngData\AOS\Allgemein\[LabSamples2025.xlsx]Bioplastic'!G835)</f>
        <v/>
      </c>
      <c r="H835">
        <f>IF(ISBLANK('Q:\Abteilungsprojekte\eng\EngData\AOS\Allgemein\[LabSamples2025.xlsx]Bioplastic'!H835)," ",'Q:\Abteilungsprojekte\eng\EngData\AOS\Allgemein\[LabSamples2025.xlsx]Bioplastic'!H835)</f>
        <v/>
      </c>
    </row>
    <row r="836">
      <c r="A836">
        <f>IF(ISBLANK('Q:\Abteilungsprojekte\eng\EngData\AOS\Allgemein\[LabSamples2025.xlsx]Bioplastic'!A836)," ",'Q:\Abteilungsprojekte\eng\EngData\AOS\Allgemein\[LabSamples2025.xlsx]Bioplastic'!A836)</f>
        <v/>
      </c>
      <c r="B836">
        <f>IF(ISBLANK('Q:\Abteilungsprojekte\eng\EngData\AOS\Allgemein\[LabSamples2025.xlsx]Bioplastic'!B836)," ",'Q:\Abteilungsprojekte\eng\EngData\AOS\Allgemein\[LabSamples2025.xlsx]Bioplastic'!B836)</f>
        <v/>
      </c>
      <c r="C836">
        <f>IF(ISBLANK('Q:\Abteilungsprojekte\eng\EngData\AOS\Allgemein\[LabSamples2025.xlsx]Bioplastic'!C836)," ",'Q:\Abteilungsprojekte\eng\EngData\AOS\Allgemein\[LabSamples2025.xlsx]Bioplastic'!C836)</f>
        <v/>
      </c>
      <c r="D836">
        <f>IF(ISBLANK('Q:\Abteilungsprojekte\eng\EngData\AOS\Allgemein\[LabSamples2025.xlsx]Bioplastic'!D836)," ",'Q:\Abteilungsprojekte\eng\EngData\AOS\Allgemein\[LabSamples2025.xlsx]Bioplastic'!D836)</f>
        <v/>
      </c>
      <c r="E836">
        <f>IF(ISBLANK('Q:\Abteilungsprojekte\eng\EngData\AOS\Allgemein\[LabSamples2025.xlsx]Bioplastic'!E836)," ",'Q:\Abteilungsprojekte\eng\EngData\AOS\Allgemein\[LabSamples2025.xlsx]Bioplastic'!E836)</f>
        <v/>
      </c>
      <c r="F836">
        <f>IF(ISBLANK('Q:\Abteilungsprojekte\eng\EngData\AOS\Allgemein\[LabSamples2025.xlsx]Bioplastic'!F836)," ",'Q:\Abteilungsprojekte\eng\EngData\AOS\Allgemein\[LabSamples2025.xlsx]Bioplastic'!F836)</f>
        <v/>
      </c>
      <c r="G836">
        <f>IF(ISBLANK('Q:\Abteilungsprojekte\eng\EngData\AOS\Allgemein\[LabSamples2025.xlsx]Bioplastic'!G836)," ",'Q:\Abteilungsprojekte\eng\EngData\AOS\Allgemein\[LabSamples2025.xlsx]Bioplastic'!G836)</f>
        <v/>
      </c>
      <c r="H836">
        <f>IF(ISBLANK('Q:\Abteilungsprojekte\eng\EngData\AOS\Allgemein\[LabSamples2025.xlsx]Bioplastic'!H836)," ",'Q:\Abteilungsprojekte\eng\EngData\AOS\Allgemein\[LabSamples2025.xlsx]Bioplastic'!H836)</f>
        <v/>
      </c>
    </row>
    <row r="837">
      <c r="A837">
        <f>IF(ISBLANK('Q:\Abteilungsprojekte\eng\EngData\AOS\Allgemein\[LabSamples2025.xlsx]Bioplastic'!A837)," ",'Q:\Abteilungsprojekte\eng\EngData\AOS\Allgemein\[LabSamples2025.xlsx]Bioplastic'!A837)</f>
        <v/>
      </c>
      <c r="B837">
        <f>IF(ISBLANK('Q:\Abteilungsprojekte\eng\EngData\AOS\Allgemein\[LabSamples2025.xlsx]Bioplastic'!B837)," ",'Q:\Abteilungsprojekte\eng\EngData\AOS\Allgemein\[LabSamples2025.xlsx]Bioplastic'!B837)</f>
        <v/>
      </c>
      <c r="C837">
        <f>IF(ISBLANK('Q:\Abteilungsprojekte\eng\EngData\AOS\Allgemein\[LabSamples2025.xlsx]Bioplastic'!C837)," ",'Q:\Abteilungsprojekte\eng\EngData\AOS\Allgemein\[LabSamples2025.xlsx]Bioplastic'!C837)</f>
        <v/>
      </c>
      <c r="D837">
        <f>IF(ISBLANK('Q:\Abteilungsprojekte\eng\EngData\AOS\Allgemein\[LabSamples2025.xlsx]Bioplastic'!D837)," ",'Q:\Abteilungsprojekte\eng\EngData\AOS\Allgemein\[LabSamples2025.xlsx]Bioplastic'!D837)</f>
        <v/>
      </c>
      <c r="E837">
        <f>IF(ISBLANK('Q:\Abteilungsprojekte\eng\EngData\AOS\Allgemein\[LabSamples2025.xlsx]Bioplastic'!E837)," ",'Q:\Abteilungsprojekte\eng\EngData\AOS\Allgemein\[LabSamples2025.xlsx]Bioplastic'!E837)</f>
        <v/>
      </c>
      <c r="F837">
        <f>IF(ISBLANK('Q:\Abteilungsprojekte\eng\EngData\AOS\Allgemein\[LabSamples2025.xlsx]Bioplastic'!F837)," ",'Q:\Abteilungsprojekte\eng\EngData\AOS\Allgemein\[LabSamples2025.xlsx]Bioplastic'!F837)</f>
        <v/>
      </c>
      <c r="G837">
        <f>IF(ISBLANK('Q:\Abteilungsprojekte\eng\EngData\AOS\Allgemein\[LabSamples2025.xlsx]Bioplastic'!G837)," ",'Q:\Abteilungsprojekte\eng\EngData\AOS\Allgemein\[LabSamples2025.xlsx]Bioplastic'!G837)</f>
        <v/>
      </c>
      <c r="H837">
        <f>IF(ISBLANK('Q:\Abteilungsprojekte\eng\EngData\AOS\Allgemein\[LabSamples2025.xlsx]Bioplastic'!H837)," ",'Q:\Abteilungsprojekte\eng\EngData\AOS\Allgemein\[LabSamples2025.xlsx]Bioplastic'!H837)</f>
        <v/>
      </c>
    </row>
    <row r="838">
      <c r="A838">
        <f>IF(ISBLANK('Q:\Abteilungsprojekte\eng\EngData\AOS\Allgemein\[LabSamples2025.xlsx]Bioplastic'!A838)," ",'Q:\Abteilungsprojekte\eng\EngData\AOS\Allgemein\[LabSamples2025.xlsx]Bioplastic'!A838)</f>
        <v/>
      </c>
      <c r="B838">
        <f>IF(ISBLANK('Q:\Abteilungsprojekte\eng\EngData\AOS\Allgemein\[LabSamples2025.xlsx]Bioplastic'!B838)," ",'Q:\Abteilungsprojekte\eng\EngData\AOS\Allgemein\[LabSamples2025.xlsx]Bioplastic'!B838)</f>
        <v/>
      </c>
      <c r="C838">
        <f>IF(ISBLANK('Q:\Abteilungsprojekte\eng\EngData\AOS\Allgemein\[LabSamples2025.xlsx]Bioplastic'!C838)," ",'Q:\Abteilungsprojekte\eng\EngData\AOS\Allgemein\[LabSamples2025.xlsx]Bioplastic'!C838)</f>
        <v/>
      </c>
      <c r="D838">
        <f>IF(ISBLANK('Q:\Abteilungsprojekte\eng\EngData\AOS\Allgemein\[LabSamples2025.xlsx]Bioplastic'!D838)," ",'Q:\Abteilungsprojekte\eng\EngData\AOS\Allgemein\[LabSamples2025.xlsx]Bioplastic'!D838)</f>
        <v/>
      </c>
      <c r="E838">
        <f>IF(ISBLANK('Q:\Abteilungsprojekte\eng\EngData\AOS\Allgemein\[LabSamples2025.xlsx]Bioplastic'!E838)," ",'Q:\Abteilungsprojekte\eng\EngData\AOS\Allgemein\[LabSamples2025.xlsx]Bioplastic'!E838)</f>
        <v/>
      </c>
      <c r="F838">
        <f>IF(ISBLANK('Q:\Abteilungsprojekte\eng\EngData\AOS\Allgemein\[LabSamples2025.xlsx]Bioplastic'!F838)," ",'Q:\Abteilungsprojekte\eng\EngData\AOS\Allgemein\[LabSamples2025.xlsx]Bioplastic'!F838)</f>
        <v/>
      </c>
      <c r="G838">
        <f>IF(ISBLANK('Q:\Abteilungsprojekte\eng\EngData\AOS\Allgemein\[LabSamples2025.xlsx]Bioplastic'!G838)," ",'Q:\Abteilungsprojekte\eng\EngData\AOS\Allgemein\[LabSamples2025.xlsx]Bioplastic'!G838)</f>
        <v/>
      </c>
      <c r="H838">
        <f>IF(ISBLANK('Q:\Abteilungsprojekte\eng\EngData\AOS\Allgemein\[LabSamples2025.xlsx]Bioplastic'!H838)," ",'Q:\Abteilungsprojekte\eng\EngData\AOS\Allgemein\[LabSamples2025.xlsx]Bioplastic'!H838)</f>
        <v/>
      </c>
    </row>
    <row r="839">
      <c r="A839">
        <f>IF(ISBLANK('Q:\Abteilungsprojekte\eng\EngData\AOS\Allgemein\[LabSamples2025.xlsx]Bioplastic'!A839)," ",'Q:\Abteilungsprojekte\eng\EngData\AOS\Allgemein\[LabSamples2025.xlsx]Bioplastic'!A839)</f>
        <v/>
      </c>
      <c r="B839">
        <f>IF(ISBLANK('Q:\Abteilungsprojekte\eng\EngData\AOS\Allgemein\[LabSamples2025.xlsx]Bioplastic'!B839)," ",'Q:\Abteilungsprojekte\eng\EngData\AOS\Allgemein\[LabSamples2025.xlsx]Bioplastic'!B839)</f>
        <v/>
      </c>
      <c r="C839">
        <f>IF(ISBLANK('Q:\Abteilungsprojekte\eng\EngData\AOS\Allgemein\[LabSamples2025.xlsx]Bioplastic'!C839)," ",'Q:\Abteilungsprojekte\eng\EngData\AOS\Allgemein\[LabSamples2025.xlsx]Bioplastic'!C839)</f>
        <v/>
      </c>
      <c r="D839">
        <f>IF(ISBLANK('Q:\Abteilungsprojekte\eng\EngData\AOS\Allgemein\[LabSamples2025.xlsx]Bioplastic'!D839)," ",'Q:\Abteilungsprojekte\eng\EngData\AOS\Allgemein\[LabSamples2025.xlsx]Bioplastic'!D839)</f>
        <v/>
      </c>
      <c r="E839">
        <f>IF(ISBLANK('Q:\Abteilungsprojekte\eng\EngData\AOS\Allgemein\[LabSamples2025.xlsx]Bioplastic'!E839)," ",'Q:\Abteilungsprojekte\eng\EngData\AOS\Allgemein\[LabSamples2025.xlsx]Bioplastic'!E839)</f>
        <v/>
      </c>
      <c r="F839">
        <f>IF(ISBLANK('Q:\Abteilungsprojekte\eng\EngData\AOS\Allgemein\[LabSamples2025.xlsx]Bioplastic'!F839)," ",'Q:\Abteilungsprojekte\eng\EngData\AOS\Allgemein\[LabSamples2025.xlsx]Bioplastic'!F839)</f>
        <v/>
      </c>
      <c r="G839">
        <f>IF(ISBLANK('Q:\Abteilungsprojekte\eng\EngData\AOS\Allgemein\[LabSamples2025.xlsx]Bioplastic'!G839)," ",'Q:\Abteilungsprojekte\eng\EngData\AOS\Allgemein\[LabSamples2025.xlsx]Bioplastic'!G839)</f>
        <v/>
      </c>
      <c r="H839">
        <f>IF(ISBLANK('Q:\Abteilungsprojekte\eng\EngData\AOS\Allgemein\[LabSamples2025.xlsx]Bioplastic'!H839)," ",'Q:\Abteilungsprojekte\eng\EngData\AOS\Allgemein\[LabSamples2025.xlsx]Bioplastic'!H839)</f>
        <v/>
      </c>
    </row>
    <row r="840">
      <c r="A840">
        <f>IF(ISBLANK('Q:\Abteilungsprojekte\eng\EngData\AOS\Allgemein\[LabSamples2025.xlsx]Bioplastic'!A840)," ",'Q:\Abteilungsprojekte\eng\EngData\AOS\Allgemein\[LabSamples2025.xlsx]Bioplastic'!A840)</f>
        <v/>
      </c>
      <c r="B840">
        <f>IF(ISBLANK('Q:\Abteilungsprojekte\eng\EngData\AOS\Allgemein\[LabSamples2025.xlsx]Bioplastic'!B840)," ",'Q:\Abteilungsprojekte\eng\EngData\AOS\Allgemein\[LabSamples2025.xlsx]Bioplastic'!B840)</f>
        <v/>
      </c>
      <c r="C840">
        <f>IF(ISBLANK('Q:\Abteilungsprojekte\eng\EngData\AOS\Allgemein\[LabSamples2025.xlsx]Bioplastic'!C840)," ",'Q:\Abteilungsprojekte\eng\EngData\AOS\Allgemein\[LabSamples2025.xlsx]Bioplastic'!C840)</f>
        <v/>
      </c>
      <c r="D840">
        <f>IF(ISBLANK('Q:\Abteilungsprojekte\eng\EngData\AOS\Allgemein\[LabSamples2025.xlsx]Bioplastic'!D840)," ",'Q:\Abteilungsprojekte\eng\EngData\AOS\Allgemein\[LabSamples2025.xlsx]Bioplastic'!D840)</f>
        <v/>
      </c>
      <c r="E840">
        <f>IF(ISBLANK('Q:\Abteilungsprojekte\eng\EngData\AOS\Allgemein\[LabSamples2025.xlsx]Bioplastic'!E840)," ",'Q:\Abteilungsprojekte\eng\EngData\AOS\Allgemein\[LabSamples2025.xlsx]Bioplastic'!E840)</f>
        <v/>
      </c>
      <c r="F840">
        <f>IF(ISBLANK('Q:\Abteilungsprojekte\eng\EngData\AOS\Allgemein\[LabSamples2025.xlsx]Bioplastic'!F840)," ",'Q:\Abteilungsprojekte\eng\EngData\AOS\Allgemein\[LabSamples2025.xlsx]Bioplastic'!F840)</f>
        <v/>
      </c>
      <c r="G840">
        <f>IF(ISBLANK('Q:\Abteilungsprojekte\eng\EngData\AOS\Allgemein\[LabSamples2025.xlsx]Bioplastic'!G840)," ",'Q:\Abteilungsprojekte\eng\EngData\AOS\Allgemein\[LabSamples2025.xlsx]Bioplastic'!G840)</f>
        <v/>
      </c>
      <c r="H840">
        <f>IF(ISBLANK('Q:\Abteilungsprojekte\eng\EngData\AOS\Allgemein\[LabSamples2025.xlsx]Bioplastic'!H840)," ",'Q:\Abteilungsprojekte\eng\EngData\AOS\Allgemein\[LabSamples2025.xlsx]Bioplastic'!H840)</f>
        <v/>
      </c>
    </row>
    <row r="841">
      <c r="A841">
        <f>IF(ISBLANK('Q:\Abteilungsprojekte\eng\EngData\AOS\Allgemein\[LabSamples2025.xlsx]Bioplastic'!A841)," ",'Q:\Abteilungsprojekte\eng\EngData\AOS\Allgemein\[LabSamples2025.xlsx]Bioplastic'!A841)</f>
        <v/>
      </c>
      <c r="B841">
        <f>IF(ISBLANK('Q:\Abteilungsprojekte\eng\EngData\AOS\Allgemein\[LabSamples2025.xlsx]Bioplastic'!B841)," ",'Q:\Abteilungsprojekte\eng\EngData\AOS\Allgemein\[LabSamples2025.xlsx]Bioplastic'!B841)</f>
        <v/>
      </c>
      <c r="C841">
        <f>IF(ISBLANK('Q:\Abteilungsprojekte\eng\EngData\AOS\Allgemein\[LabSamples2025.xlsx]Bioplastic'!C841)," ",'Q:\Abteilungsprojekte\eng\EngData\AOS\Allgemein\[LabSamples2025.xlsx]Bioplastic'!C841)</f>
        <v/>
      </c>
      <c r="D841">
        <f>IF(ISBLANK('Q:\Abteilungsprojekte\eng\EngData\AOS\Allgemein\[LabSamples2025.xlsx]Bioplastic'!D841)," ",'Q:\Abteilungsprojekte\eng\EngData\AOS\Allgemein\[LabSamples2025.xlsx]Bioplastic'!D841)</f>
        <v/>
      </c>
      <c r="E841">
        <f>IF(ISBLANK('Q:\Abteilungsprojekte\eng\EngData\AOS\Allgemein\[LabSamples2025.xlsx]Bioplastic'!E841)," ",'Q:\Abteilungsprojekte\eng\EngData\AOS\Allgemein\[LabSamples2025.xlsx]Bioplastic'!E841)</f>
        <v/>
      </c>
      <c r="F841">
        <f>IF(ISBLANK('Q:\Abteilungsprojekte\eng\EngData\AOS\Allgemein\[LabSamples2025.xlsx]Bioplastic'!F841)," ",'Q:\Abteilungsprojekte\eng\EngData\AOS\Allgemein\[LabSamples2025.xlsx]Bioplastic'!F841)</f>
        <v/>
      </c>
      <c r="G841">
        <f>IF(ISBLANK('Q:\Abteilungsprojekte\eng\EngData\AOS\Allgemein\[LabSamples2025.xlsx]Bioplastic'!G841)," ",'Q:\Abteilungsprojekte\eng\EngData\AOS\Allgemein\[LabSamples2025.xlsx]Bioplastic'!G841)</f>
        <v/>
      </c>
      <c r="H841">
        <f>IF(ISBLANK('Q:\Abteilungsprojekte\eng\EngData\AOS\Allgemein\[LabSamples2025.xlsx]Bioplastic'!H841)," ",'Q:\Abteilungsprojekte\eng\EngData\AOS\Allgemein\[LabSamples2025.xlsx]Bioplastic'!H841)</f>
        <v/>
      </c>
    </row>
    <row r="842">
      <c r="A842">
        <f>IF(ISBLANK('Q:\Abteilungsprojekte\eng\EngData\AOS\Allgemein\[LabSamples2025.xlsx]Bioplastic'!A842)," ",'Q:\Abteilungsprojekte\eng\EngData\AOS\Allgemein\[LabSamples2025.xlsx]Bioplastic'!A842)</f>
        <v/>
      </c>
      <c r="B842">
        <f>IF(ISBLANK('Q:\Abteilungsprojekte\eng\EngData\AOS\Allgemein\[LabSamples2025.xlsx]Bioplastic'!B842)," ",'Q:\Abteilungsprojekte\eng\EngData\AOS\Allgemein\[LabSamples2025.xlsx]Bioplastic'!B842)</f>
        <v/>
      </c>
      <c r="C842">
        <f>IF(ISBLANK('Q:\Abteilungsprojekte\eng\EngData\AOS\Allgemein\[LabSamples2025.xlsx]Bioplastic'!C842)," ",'Q:\Abteilungsprojekte\eng\EngData\AOS\Allgemein\[LabSamples2025.xlsx]Bioplastic'!C842)</f>
        <v/>
      </c>
      <c r="D842">
        <f>IF(ISBLANK('Q:\Abteilungsprojekte\eng\EngData\AOS\Allgemein\[LabSamples2025.xlsx]Bioplastic'!D842)," ",'Q:\Abteilungsprojekte\eng\EngData\AOS\Allgemein\[LabSamples2025.xlsx]Bioplastic'!D842)</f>
        <v/>
      </c>
      <c r="E842">
        <f>IF(ISBLANK('Q:\Abteilungsprojekte\eng\EngData\AOS\Allgemein\[LabSamples2025.xlsx]Bioplastic'!E842)," ",'Q:\Abteilungsprojekte\eng\EngData\AOS\Allgemein\[LabSamples2025.xlsx]Bioplastic'!E842)</f>
        <v/>
      </c>
      <c r="F842">
        <f>IF(ISBLANK('Q:\Abteilungsprojekte\eng\EngData\AOS\Allgemein\[LabSamples2025.xlsx]Bioplastic'!F842)," ",'Q:\Abteilungsprojekte\eng\EngData\AOS\Allgemein\[LabSamples2025.xlsx]Bioplastic'!F842)</f>
        <v/>
      </c>
      <c r="G842">
        <f>IF(ISBLANK('Q:\Abteilungsprojekte\eng\EngData\AOS\Allgemein\[LabSamples2025.xlsx]Bioplastic'!G842)," ",'Q:\Abteilungsprojekte\eng\EngData\AOS\Allgemein\[LabSamples2025.xlsx]Bioplastic'!G842)</f>
        <v/>
      </c>
      <c r="H842">
        <f>IF(ISBLANK('Q:\Abteilungsprojekte\eng\EngData\AOS\Allgemein\[LabSamples2025.xlsx]Bioplastic'!H842)," ",'Q:\Abteilungsprojekte\eng\EngData\AOS\Allgemein\[LabSamples2025.xlsx]Bioplastic'!H842)</f>
        <v/>
      </c>
    </row>
    <row r="843">
      <c r="A843">
        <f>IF(ISBLANK('Q:\Abteilungsprojekte\eng\EngData\AOS\Allgemein\[LabSamples2025.xlsx]Bioplastic'!A843)," ",'Q:\Abteilungsprojekte\eng\EngData\AOS\Allgemein\[LabSamples2025.xlsx]Bioplastic'!A843)</f>
        <v/>
      </c>
      <c r="B843">
        <f>IF(ISBLANK('Q:\Abteilungsprojekte\eng\EngData\AOS\Allgemein\[LabSamples2025.xlsx]Bioplastic'!B843)," ",'Q:\Abteilungsprojekte\eng\EngData\AOS\Allgemein\[LabSamples2025.xlsx]Bioplastic'!B843)</f>
        <v/>
      </c>
      <c r="C843">
        <f>IF(ISBLANK('Q:\Abteilungsprojekte\eng\EngData\AOS\Allgemein\[LabSamples2025.xlsx]Bioplastic'!C843)," ",'Q:\Abteilungsprojekte\eng\EngData\AOS\Allgemein\[LabSamples2025.xlsx]Bioplastic'!C843)</f>
        <v/>
      </c>
      <c r="D843">
        <f>IF(ISBLANK('Q:\Abteilungsprojekte\eng\EngData\AOS\Allgemein\[LabSamples2025.xlsx]Bioplastic'!D843)," ",'Q:\Abteilungsprojekte\eng\EngData\AOS\Allgemein\[LabSamples2025.xlsx]Bioplastic'!D843)</f>
        <v/>
      </c>
      <c r="E843">
        <f>IF(ISBLANK('Q:\Abteilungsprojekte\eng\EngData\AOS\Allgemein\[LabSamples2025.xlsx]Bioplastic'!E843)," ",'Q:\Abteilungsprojekte\eng\EngData\AOS\Allgemein\[LabSamples2025.xlsx]Bioplastic'!E843)</f>
        <v/>
      </c>
      <c r="F843">
        <f>IF(ISBLANK('Q:\Abteilungsprojekte\eng\EngData\AOS\Allgemein\[LabSamples2025.xlsx]Bioplastic'!F843)," ",'Q:\Abteilungsprojekte\eng\EngData\AOS\Allgemein\[LabSamples2025.xlsx]Bioplastic'!F843)</f>
        <v/>
      </c>
      <c r="G843">
        <f>IF(ISBLANK('Q:\Abteilungsprojekte\eng\EngData\AOS\Allgemein\[LabSamples2025.xlsx]Bioplastic'!G843)," ",'Q:\Abteilungsprojekte\eng\EngData\AOS\Allgemein\[LabSamples2025.xlsx]Bioplastic'!G843)</f>
        <v/>
      </c>
      <c r="H843">
        <f>IF(ISBLANK('Q:\Abteilungsprojekte\eng\EngData\AOS\Allgemein\[LabSamples2025.xlsx]Bioplastic'!H843)," ",'Q:\Abteilungsprojekte\eng\EngData\AOS\Allgemein\[LabSamples2025.xlsx]Bioplastic'!H843)</f>
        <v/>
      </c>
    </row>
    <row r="844">
      <c r="A844">
        <f>IF(ISBLANK('Q:\Abteilungsprojekte\eng\EngData\AOS\Allgemein\[LabSamples2025.xlsx]Bioplastic'!A844)," ",'Q:\Abteilungsprojekte\eng\EngData\AOS\Allgemein\[LabSamples2025.xlsx]Bioplastic'!A844)</f>
        <v/>
      </c>
      <c r="B844">
        <f>IF(ISBLANK('Q:\Abteilungsprojekte\eng\EngData\AOS\Allgemein\[LabSamples2025.xlsx]Bioplastic'!B844)," ",'Q:\Abteilungsprojekte\eng\EngData\AOS\Allgemein\[LabSamples2025.xlsx]Bioplastic'!B844)</f>
        <v/>
      </c>
      <c r="C844">
        <f>IF(ISBLANK('Q:\Abteilungsprojekte\eng\EngData\AOS\Allgemein\[LabSamples2025.xlsx]Bioplastic'!C844)," ",'Q:\Abteilungsprojekte\eng\EngData\AOS\Allgemein\[LabSamples2025.xlsx]Bioplastic'!C844)</f>
        <v/>
      </c>
      <c r="D844">
        <f>IF(ISBLANK('Q:\Abteilungsprojekte\eng\EngData\AOS\Allgemein\[LabSamples2025.xlsx]Bioplastic'!D844)," ",'Q:\Abteilungsprojekte\eng\EngData\AOS\Allgemein\[LabSamples2025.xlsx]Bioplastic'!D844)</f>
        <v/>
      </c>
      <c r="E844">
        <f>IF(ISBLANK('Q:\Abteilungsprojekte\eng\EngData\AOS\Allgemein\[LabSamples2025.xlsx]Bioplastic'!E844)," ",'Q:\Abteilungsprojekte\eng\EngData\AOS\Allgemein\[LabSamples2025.xlsx]Bioplastic'!E844)</f>
        <v/>
      </c>
      <c r="F844">
        <f>IF(ISBLANK('Q:\Abteilungsprojekte\eng\EngData\AOS\Allgemein\[LabSamples2025.xlsx]Bioplastic'!F844)," ",'Q:\Abteilungsprojekte\eng\EngData\AOS\Allgemein\[LabSamples2025.xlsx]Bioplastic'!F844)</f>
        <v/>
      </c>
      <c r="G844">
        <f>IF(ISBLANK('Q:\Abteilungsprojekte\eng\EngData\AOS\Allgemein\[LabSamples2025.xlsx]Bioplastic'!G844)," ",'Q:\Abteilungsprojekte\eng\EngData\AOS\Allgemein\[LabSamples2025.xlsx]Bioplastic'!G844)</f>
        <v/>
      </c>
      <c r="H844">
        <f>IF(ISBLANK('Q:\Abteilungsprojekte\eng\EngData\AOS\Allgemein\[LabSamples2025.xlsx]Bioplastic'!H844)," ",'Q:\Abteilungsprojekte\eng\EngData\AOS\Allgemein\[LabSamples2025.xlsx]Bioplastic'!H844)</f>
        <v/>
      </c>
    </row>
    <row r="845">
      <c r="A845">
        <f>IF(ISBLANK('Q:\Abteilungsprojekte\eng\EngData\AOS\Allgemein\[LabSamples2025.xlsx]Bioplastic'!A845)," ",'Q:\Abteilungsprojekte\eng\EngData\AOS\Allgemein\[LabSamples2025.xlsx]Bioplastic'!A845)</f>
        <v/>
      </c>
      <c r="B845">
        <f>IF(ISBLANK('Q:\Abteilungsprojekte\eng\EngData\AOS\Allgemein\[LabSamples2025.xlsx]Bioplastic'!B845)," ",'Q:\Abteilungsprojekte\eng\EngData\AOS\Allgemein\[LabSamples2025.xlsx]Bioplastic'!B845)</f>
        <v/>
      </c>
      <c r="C845">
        <f>IF(ISBLANK('Q:\Abteilungsprojekte\eng\EngData\AOS\Allgemein\[LabSamples2025.xlsx]Bioplastic'!C845)," ",'Q:\Abteilungsprojekte\eng\EngData\AOS\Allgemein\[LabSamples2025.xlsx]Bioplastic'!C845)</f>
        <v/>
      </c>
      <c r="D845">
        <f>IF(ISBLANK('Q:\Abteilungsprojekte\eng\EngData\AOS\Allgemein\[LabSamples2025.xlsx]Bioplastic'!D845)," ",'Q:\Abteilungsprojekte\eng\EngData\AOS\Allgemein\[LabSamples2025.xlsx]Bioplastic'!D845)</f>
        <v/>
      </c>
      <c r="E845">
        <f>IF(ISBLANK('Q:\Abteilungsprojekte\eng\EngData\AOS\Allgemein\[LabSamples2025.xlsx]Bioplastic'!E845)," ",'Q:\Abteilungsprojekte\eng\EngData\AOS\Allgemein\[LabSamples2025.xlsx]Bioplastic'!E845)</f>
        <v/>
      </c>
      <c r="F845">
        <f>IF(ISBLANK('Q:\Abteilungsprojekte\eng\EngData\AOS\Allgemein\[LabSamples2025.xlsx]Bioplastic'!F845)," ",'Q:\Abteilungsprojekte\eng\EngData\AOS\Allgemein\[LabSamples2025.xlsx]Bioplastic'!F845)</f>
        <v/>
      </c>
      <c r="G845">
        <f>IF(ISBLANK('Q:\Abteilungsprojekte\eng\EngData\AOS\Allgemein\[LabSamples2025.xlsx]Bioplastic'!G845)," ",'Q:\Abteilungsprojekte\eng\EngData\AOS\Allgemein\[LabSamples2025.xlsx]Bioplastic'!G845)</f>
        <v/>
      </c>
      <c r="H845">
        <f>IF(ISBLANK('Q:\Abteilungsprojekte\eng\EngData\AOS\Allgemein\[LabSamples2025.xlsx]Bioplastic'!H845)," ",'Q:\Abteilungsprojekte\eng\EngData\AOS\Allgemein\[LabSamples2025.xlsx]Bioplastic'!H845)</f>
        <v/>
      </c>
    </row>
    <row r="846">
      <c r="A846">
        <f>IF(ISBLANK('Q:\Abteilungsprojekte\eng\EngData\AOS\Allgemein\[LabSamples2025.xlsx]Bioplastic'!A846)," ",'Q:\Abteilungsprojekte\eng\EngData\AOS\Allgemein\[LabSamples2025.xlsx]Bioplastic'!A846)</f>
        <v/>
      </c>
      <c r="B846">
        <f>IF(ISBLANK('Q:\Abteilungsprojekte\eng\EngData\AOS\Allgemein\[LabSamples2025.xlsx]Bioplastic'!B846)," ",'Q:\Abteilungsprojekte\eng\EngData\AOS\Allgemein\[LabSamples2025.xlsx]Bioplastic'!B846)</f>
        <v/>
      </c>
      <c r="C846">
        <f>IF(ISBLANK('Q:\Abteilungsprojekte\eng\EngData\AOS\Allgemein\[LabSamples2025.xlsx]Bioplastic'!C846)," ",'Q:\Abteilungsprojekte\eng\EngData\AOS\Allgemein\[LabSamples2025.xlsx]Bioplastic'!C846)</f>
        <v/>
      </c>
      <c r="D846">
        <f>IF(ISBLANK('Q:\Abteilungsprojekte\eng\EngData\AOS\Allgemein\[LabSamples2025.xlsx]Bioplastic'!D846)," ",'Q:\Abteilungsprojekte\eng\EngData\AOS\Allgemein\[LabSamples2025.xlsx]Bioplastic'!D846)</f>
        <v/>
      </c>
      <c r="E846">
        <f>IF(ISBLANK('Q:\Abteilungsprojekte\eng\EngData\AOS\Allgemein\[LabSamples2025.xlsx]Bioplastic'!E846)," ",'Q:\Abteilungsprojekte\eng\EngData\AOS\Allgemein\[LabSamples2025.xlsx]Bioplastic'!E846)</f>
        <v/>
      </c>
      <c r="F846">
        <f>IF(ISBLANK('Q:\Abteilungsprojekte\eng\EngData\AOS\Allgemein\[LabSamples2025.xlsx]Bioplastic'!F846)," ",'Q:\Abteilungsprojekte\eng\EngData\AOS\Allgemein\[LabSamples2025.xlsx]Bioplastic'!F846)</f>
        <v/>
      </c>
      <c r="G846">
        <f>IF(ISBLANK('Q:\Abteilungsprojekte\eng\EngData\AOS\Allgemein\[LabSamples2025.xlsx]Bioplastic'!G846)," ",'Q:\Abteilungsprojekte\eng\EngData\AOS\Allgemein\[LabSamples2025.xlsx]Bioplastic'!G846)</f>
        <v/>
      </c>
      <c r="H846">
        <f>IF(ISBLANK('Q:\Abteilungsprojekte\eng\EngData\AOS\Allgemein\[LabSamples2025.xlsx]Bioplastic'!H846)," ",'Q:\Abteilungsprojekte\eng\EngData\AOS\Allgemein\[LabSamples2025.xlsx]Bioplastic'!H846)</f>
        <v/>
      </c>
    </row>
    <row r="847">
      <c r="A847">
        <f>IF(ISBLANK('Q:\Abteilungsprojekte\eng\EngData\AOS\Allgemein\[LabSamples2025.xlsx]Bioplastic'!A847)," ",'Q:\Abteilungsprojekte\eng\EngData\AOS\Allgemein\[LabSamples2025.xlsx]Bioplastic'!A847)</f>
        <v/>
      </c>
      <c r="B847">
        <f>IF(ISBLANK('Q:\Abteilungsprojekte\eng\EngData\AOS\Allgemein\[LabSamples2025.xlsx]Bioplastic'!B847)," ",'Q:\Abteilungsprojekte\eng\EngData\AOS\Allgemein\[LabSamples2025.xlsx]Bioplastic'!B847)</f>
        <v/>
      </c>
      <c r="C847">
        <f>IF(ISBLANK('Q:\Abteilungsprojekte\eng\EngData\AOS\Allgemein\[LabSamples2025.xlsx]Bioplastic'!C847)," ",'Q:\Abteilungsprojekte\eng\EngData\AOS\Allgemein\[LabSamples2025.xlsx]Bioplastic'!C847)</f>
        <v/>
      </c>
      <c r="D847">
        <f>IF(ISBLANK('Q:\Abteilungsprojekte\eng\EngData\AOS\Allgemein\[LabSamples2025.xlsx]Bioplastic'!D847)," ",'Q:\Abteilungsprojekte\eng\EngData\AOS\Allgemein\[LabSamples2025.xlsx]Bioplastic'!D847)</f>
        <v/>
      </c>
      <c r="E847">
        <f>IF(ISBLANK('Q:\Abteilungsprojekte\eng\EngData\AOS\Allgemein\[LabSamples2025.xlsx]Bioplastic'!E847)," ",'Q:\Abteilungsprojekte\eng\EngData\AOS\Allgemein\[LabSamples2025.xlsx]Bioplastic'!E847)</f>
        <v/>
      </c>
      <c r="F847">
        <f>IF(ISBLANK('Q:\Abteilungsprojekte\eng\EngData\AOS\Allgemein\[LabSamples2025.xlsx]Bioplastic'!F847)," ",'Q:\Abteilungsprojekte\eng\EngData\AOS\Allgemein\[LabSamples2025.xlsx]Bioplastic'!F847)</f>
        <v/>
      </c>
      <c r="G847">
        <f>IF(ISBLANK('Q:\Abteilungsprojekte\eng\EngData\AOS\Allgemein\[LabSamples2025.xlsx]Bioplastic'!G847)," ",'Q:\Abteilungsprojekte\eng\EngData\AOS\Allgemein\[LabSamples2025.xlsx]Bioplastic'!G847)</f>
        <v/>
      </c>
      <c r="H847">
        <f>IF(ISBLANK('Q:\Abteilungsprojekte\eng\EngData\AOS\Allgemein\[LabSamples2025.xlsx]Bioplastic'!H847)," ",'Q:\Abteilungsprojekte\eng\EngData\AOS\Allgemein\[LabSamples2025.xlsx]Bioplastic'!H847)</f>
        <v/>
      </c>
    </row>
    <row r="848">
      <c r="A848">
        <f>IF(ISBLANK('Q:\Abteilungsprojekte\eng\EngData\AOS\Allgemein\[LabSamples2025.xlsx]Bioplastic'!A848)," ",'Q:\Abteilungsprojekte\eng\EngData\AOS\Allgemein\[LabSamples2025.xlsx]Bioplastic'!A848)</f>
        <v/>
      </c>
      <c r="B848">
        <f>IF(ISBLANK('Q:\Abteilungsprojekte\eng\EngData\AOS\Allgemein\[LabSamples2025.xlsx]Bioplastic'!B848)," ",'Q:\Abteilungsprojekte\eng\EngData\AOS\Allgemein\[LabSamples2025.xlsx]Bioplastic'!B848)</f>
        <v/>
      </c>
      <c r="C848">
        <f>IF(ISBLANK('Q:\Abteilungsprojekte\eng\EngData\AOS\Allgemein\[LabSamples2025.xlsx]Bioplastic'!C848)," ",'Q:\Abteilungsprojekte\eng\EngData\AOS\Allgemein\[LabSamples2025.xlsx]Bioplastic'!C848)</f>
        <v/>
      </c>
      <c r="D848">
        <f>IF(ISBLANK('Q:\Abteilungsprojekte\eng\EngData\AOS\Allgemein\[LabSamples2025.xlsx]Bioplastic'!D848)," ",'Q:\Abteilungsprojekte\eng\EngData\AOS\Allgemein\[LabSamples2025.xlsx]Bioplastic'!D848)</f>
        <v/>
      </c>
      <c r="E848">
        <f>IF(ISBLANK('Q:\Abteilungsprojekte\eng\EngData\AOS\Allgemein\[LabSamples2025.xlsx]Bioplastic'!E848)," ",'Q:\Abteilungsprojekte\eng\EngData\AOS\Allgemein\[LabSamples2025.xlsx]Bioplastic'!E848)</f>
        <v/>
      </c>
      <c r="F848">
        <f>IF(ISBLANK('Q:\Abteilungsprojekte\eng\EngData\AOS\Allgemein\[LabSamples2025.xlsx]Bioplastic'!F848)," ",'Q:\Abteilungsprojekte\eng\EngData\AOS\Allgemein\[LabSamples2025.xlsx]Bioplastic'!F848)</f>
        <v/>
      </c>
      <c r="G848">
        <f>IF(ISBLANK('Q:\Abteilungsprojekte\eng\EngData\AOS\Allgemein\[LabSamples2025.xlsx]Bioplastic'!G848)," ",'Q:\Abteilungsprojekte\eng\EngData\AOS\Allgemein\[LabSamples2025.xlsx]Bioplastic'!G848)</f>
        <v/>
      </c>
      <c r="H848">
        <f>IF(ISBLANK('Q:\Abteilungsprojekte\eng\EngData\AOS\Allgemein\[LabSamples2025.xlsx]Bioplastic'!H848)," ",'Q:\Abteilungsprojekte\eng\EngData\AOS\Allgemein\[LabSamples2025.xlsx]Bioplastic'!H848)</f>
        <v/>
      </c>
    </row>
    <row r="849">
      <c r="A849">
        <f>IF(ISBLANK('Q:\Abteilungsprojekte\eng\EngData\AOS\Allgemein\[LabSamples2025.xlsx]Bioplastic'!A849)," ",'Q:\Abteilungsprojekte\eng\EngData\AOS\Allgemein\[LabSamples2025.xlsx]Bioplastic'!A849)</f>
        <v/>
      </c>
      <c r="B849">
        <f>IF(ISBLANK('Q:\Abteilungsprojekte\eng\EngData\AOS\Allgemein\[LabSamples2025.xlsx]Bioplastic'!B849)," ",'Q:\Abteilungsprojekte\eng\EngData\AOS\Allgemein\[LabSamples2025.xlsx]Bioplastic'!B849)</f>
        <v/>
      </c>
      <c r="C849">
        <f>IF(ISBLANK('Q:\Abteilungsprojekte\eng\EngData\AOS\Allgemein\[LabSamples2025.xlsx]Bioplastic'!C849)," ",'Q:\Abteilungsprojekte\eng\EngData\AOS\Allgemein\[LabSamples2025.xlsx]Bioplastic'!C849)</f>
        <v/>
      </c>
      <c r="D849">
        <f>IF(ISBLANK('Q:\Abteilungsprojekte\eng\EngData\AOS\Allgemein\[LabSamples2025.xlsx]Bioplastic'!D849)," ",'Q:\Abteilungsprojekte\eng\EngData\AOS\Allgemein\[LabSamples2025.xlsx]Bioplastic'!D849)</f>
        <v/>
      </c>
      <c r="E849">
        <f>IF(ISBLANK('Q:\Abteilungsprojekte\eng\EngData\AOS\Allgemein\[LabSamples2025.xlsx]Bioplastic'!E849)," ",'Q:\Abteilungsprojekte\eng\EngData\AOS\Allgemein\[LabSamples2025.xlsx]Bioplastic'!E849)</f>
        <v/>
      </c>
      <c r="F849">
        <f>IF(ISBLANK('Q:\Abteilungsprojekte\eng\EngData\AOS\Allgemein\[LabSamples2025.xlsx]Bioplastic'!F849)," ",'Q:\Abteilungsprojekte\eng\EngData\AOS\Allgemein\[LabSamples2025.xlsx]Bioplastic'!F849)</f>
        <v/>
      </c>
      <c r="G849">
        <f>IF(ISBLANK('Q:\Abteilungsprojekte\eng\EngData\AOS\Allgemein\[LabSamples2025.xlsx]Bioplastic'!G849)," ",'Q:\Abteilungsprojekte\eng\EngData\AOS\Allgemein\[LabSamples2025.xlsx]Bioplastic'!G849)</f>
        <v/>
      </c>
      <c r="H849">
        <f>IF(ISBLANK('Q:\Abteilungsprojekte\eng\EngData\AOS\Allgemein\[LabSamples2025.xlsx]Bioplastic'!H849)," ",'Q:\Abteilungsprojekte\eng\EngData\AOS\Allgemein\[LabSamples2025.xlsx]Bioplastic'!H849)</f>
        <v/>
      </c>
    </row>
    <row r="850">
      <c r="A850">
        <f>IF(ISBLANK('Q:\Abteilungsprojekte\eng\EngData\AOS\Allgemein\[LabSamples2025.xlsx]Bioplastic'!A850)," ",'Q:\Abteilungsprojekte\eng\EngData\AOS\Allgemein\[LabSamples2025.xlsx]Bioplastic'!A850)</f>
        <v/>
      </c>
      <c r="B850">
        <f>IF(ISBLANK('Q:\Abteilungsprojekte\eng\EngData\AOS\Allgemein\[LabSamples2025.xlsx]Bioplastic'!B850)," ",'Q:\Abteilungsprojekte\eng\EngData\AOS\Allgemein\[LabSamples2025.xlsx]Bioplastic'!B850)</f>
        <v/>
      </c>
      <c r="C850">
        <f>IF(ISBLANK('Q:\Abteilungsprojekte\eng\EngData\AOS\Allgemein\[LabSamples2025.xlsx]Bioplastic'!C850)," ",'Q:\Abteilungsprojekte\eng\EngData\AOS\Allgemein\[LabSamples2025.xlsx]Bioplastic'!C850)</f>
        <v/>
      </c>
      <c r="D850">
        <f>IF(ISBLANK('Q:\Abteilungsprojekte\eng\EngData\AOS\Allgemein\[LabSamples2025.xlsx]Bioplastic'!D850)," ",'Q:\Abteilungsprojekte\eng\EngData\AOS\Allgemein\[LabSamples2025.xlsx]Bioplastic'!D850)</f>
        <v/>
      </c>
      <c r="E850">
        <f>IF(ISBLANK('Q:\Abteilungsprojekte\eng\EngData\AOS\Allgemein\[LabSamples2025.xlsx]Bioplastic'!E850)," ",'Q:\Abteilungsprojekte\eng\EngData\AOS\Allgemein\[LabSamples2025.xlsx]Bioplastic'!E850)</f>
        <v/>
      </c>
      <c r="F850">
        <f>IF(ISBLANK('Q:\Abteilungsprojekte\eng\EngData\AOS\Allgemein\[LabSamples2025.xlsx]Bioplastic'!F850)," ",'Q:\Abteilungsprojekte\eng\EngData\AOS\Allgemein\[LabSamples2025.xlsx]Bioplastic'!F850)</f>
        <v/>
      </c>
      <c r="G850">
        <f>IF(ISBLANK('Q:\Abteilungsprojekte\eng\EngData\AOS\Allgemein\[LabSamples2025.xlsx]Bioplastic'!G850)," ",'Q:\Abteilungsprojekte\eng\EngData\AOS\Allgemein\[LabSamples2025.xlsx]Bioplastic'!G850)</f>
        <v/>
      </c>
      <c r="H850">
        <f>IF(ISBLANK('Q:\Abteilungsprojekte\eng\EngData\AOS\Allgemein\[LabSamples2025.xlsx]Bioplastic'!H850)," ",'Q:\Abteilungsprojekte\eng\EngData\AOS\Allgemein\[LabSamples2025.xlsx]Bioplastic'!H850)</f>
        <v/>
      </c>
    </row>
    <row r="851">
      <c r="A851">
        <f>IF(ISBLANK('Q:\Abteilungsprojekte\eng\EngData\AOS\Allgemein\[LabSamples2025.xlsx]Bioplastic'!A851)," ",'Q:\Abteilungsprojekte\eng\EngData\AOS\Allgemein\[LabSamples2025.xlsx]Bioplastic'!A851)</f>
        <v/>
      </c>
      <c r="B851">
        <f>IF(ISBLANK('Q:\Abteilungsprojekte\eng\EngData\AOS\Allgemein\[LabSamples2025.xlsx]Bioplastic'!B851)," ",'Q:\Abteilungsprojekte\eng\EngData\AOS\Allgemein\[LabSamples2025.xlsx]Bioplastic'!B851)</f>
        <v/>
      </c>
      <c r="C851">
        <f>IF(ISBLANK('Q:\Abteilungsprojekte\eng\EngData\AOS\Allgemein\[LabSamples2025.xlsx]Bioplastic'!C851)," ",'Q:\Abteilungsprojekte\eng\EngData\AOS\Allgemein\[LabSamples2025.xlsx]Bioplastic'!C851)</f>
        <v/>
      </c>
      <c r="D851">
        <f>IF(ISBLANK('Q:\Abteilungsprojekte\eng\EngData\AOS\Allgemein\[LabSamples2025.xlsx]Bioplastic'!D851)," ",'Q:\Abteilungsprojekte\eng\EngData\AOS\Allgemein\[LabSamples2025.xlsx]Bioplastic'!D851)</f>
        <v/>
      </c>
      <c r="E851">
        <f>IF(ISBLANK('Q:\Abteilungsprojekte\eng\EngData\AOS\Allgemein\[LabSamples2025.xlsx]Bioplastic'!E851)," ",'Q:\Abteilungsprojekte\eng\EngData\AOS\Allgemein\[LabSamples2025.xlsx]Bioplastic'!E851)</f>
        <v/>
      </c>
      <c r="F851">
        <f>IF(ISBLANK('Q:\Abteilungsprojekte\eng\EngData\AOS\Allgemein\[LabSamples2025.xlsx]Bioplastic'!F851)," ",'Q:\Abteilungsprojekte\eng\EngData\AOS\Allgemein\[LabSamples2025.xlsx]Bioplastic'!F851)</f>
        <v/>
      </c>
      <c r="G851">
        <f>IF(ISBLANK('Q:\Abteilungsprojekte\eng\EngData\AOS\Allgemein\[LabSamples2025.xlsx]Bioplastic'!G851)," ",'Q:\Abteilungsprojekte\eng\EngData\AOS\Allgemein\[LabSamples2025.xlsx]Bioplastic'!G851)</f>
        <v/>
      </c>
      <c r="H851">
        <f>IF(ISBLANK('Q:\Abteilungsprojekte\eng\EngData\AOS\Allgemein\[LabSamples2025.xlsx]Bioplastic'!H851)," ",'Q:\Abteilungsprojekte\eng\EngData\AOS\Allgemein\[LabSamples2025.xlsx]Bioplastic'!H851)</f>
        <v/>
      </c>
    </row>
    <row r="852">
      <c r="A852">
        <f>IF(ISBLANK('Q:\Abteilungsprojekte\eng\EngData\AOS\Allgemein\[LabSamples2025.xlsx]Bioplastic'!A852)," ",'Q:\Abteilungsprojekte\eng\EngData\AOS\Allgemein\[LabSamples2025.xlsx]Bioplastic'!A852)</f>
        <v/>
      </c>
      <c r="B852">
        <f>IF(ISBLANK('Q:\Abteilungsprojekte\eng\EngData\AOS\Allgemein\[LabSamples2025.xlsx]Bioplastic'!B852)," ",'Q:\Abteilungsprojekte\eng\EngData\AOS\Allgemein\[LabSamples2025.xlsx]Bioplastic'!B852)</f>
        <v/>
      </c>
      <c r="C852">
        <f>IF(ISBLANK('Q:\Abteilungsprojekte\eng\EngData\AOS\Allgemein\[LabSamples2025.xlsx]Bioplastic'!C852)," ",'Q:\Abteilungsprojekte\eng\EngData\AOS\Allgemein\[LabSamples2025.xlsx]Bioplastic'!C852)</f>
        <v/>
      </c>
      <c r="D852">
        <f>IF(ISBLANK('Q:\Abteilungsprojekte\eng\EngData\AOS\Allgemein\[LabSamples2025.xlsx]Bioplastic'!D852)," ",'Q:\Abteilungsprojekte\eng\EngData\AOS\Allgemein\[LabSamples2025.xlsx]Bioplastic'!D852)</f>
        <v/>
      </c>
      <c r="E852">
        <f>IF(ISBLANK('Q:\Abteilungsprojekte\eng\EngData\AOS\Allgemein\[LabSamples2025.xlsx]Bioplastic'!E852)," ",'Q:\Abteilungsprojekte\eng\EngData\AOS\Allgemein\[LabSamples2025.xlsx]Bioplastic'!E852)</f>
        <v/>
      </c>
      <c r="F852">
        <f>IF(ISBLANK('Q:\Abteilungsprojekte\eng\EngData\AOS\Allgemein\[LabSamples2025.xlsx]Bioplastic'!F852)," ",'Q:\Abteilungsprojekte\eng\EngData\AOS\Allgemein\[LabSamples2025.xlsx]Bioplastic'!F852)</f>
        <v/>
      </c>
      <c r="G852">
        <f>IF(ISBLANK('Q:\Abteilungsprojekte\eng\EngData\AOS\Allgemein\[LabSamples2025.xlsx]Bioplastic'!G852)," ",'Q:\Abteilungsprojekte\eng\EngData\AOS\Allgemein\[LabSamples2025.xlsx]Bioplastic'!G852)</f>
        <v/>
      </c>
      <c r="H852">
        <f>IF(ISBLANK('Q:\Abteilungsprojekte\eng\EngData\AOS\Allgemein\[LabSamples2025.xlsx]Bioplastic'!H852)," ",'Q:\Abteilungsprojekte\eng\EngData\AOS\Allgemein\[LabSamples2025.xlsx]Bioplastic'!H852)</f>
        <v/>
      </c>
    </row>
    <row r="853">
      <c r="A853">
        <f>IF(ISBLANK('Q:\Abteilungsprojekte\eng\EngData\AOS\Allgemein\[LabSamples2025.xlsx]Bioplastic'!A853)," ",'Q:\Abteilungsprojekte\eng\EngData\AOS\Allgemein\[LabSamples2025.xlsx]Bioplastic'!A853)</f>
        <v/>
      </c>
      <c r="B853">
        <f>IF(ISBLANK('Q:\Abteilungsprojekte\eng\EngData\AOS\Allgemein\[LabSamples2025.xlsx]Bioplastic'!B853)," ",'Q:\Abteilungsprojekte\eng\EngData\AOS\Allgemein\[LabSamples2025.xlsx]Bioplastic'!B853)</f>
        <v/>
      </c>
      <c r="C853">
        <f>IF(ISBLANK('Q:\Abteilungsprojekte\eng\EngData\AOS\Allgemein\[LabSamples2025.xlsx]Bioplastic'!C853)," ",'Q:\Abteilungsprojekte\eng\EngData\AOS\Allgemein\[LabSamples2025.xlsx]Bioplastic'!C853)</f>
        <v/>
      </c>
      <c r="D853">
        <f>IF(ISBLANK('Q:\Abteilungsprojekte\eng\EngData\AOS\Allgemein\[LabSamples2025.xlsx]Bioplastic'!D853)," ",'Q:\Abteilungsprojekte\eng\EngData\AOS\Allgemein\[LabSamples2025.xlsx]Bioplastic'!D853)</f>
        <v/>
      </c>
      <c r="E853">
        <f>IF(ISBLANK('Q:\Abteilungsprojekte\eng\EngData\AOS\Allgemein\[LabSamples2025.xlsx]Bioplastic'!E853)," ",'Q:\Abteilungsprojekte\eng\EngData\AOS\Allgemein\[LabSamples2025.xlsx]Bioplastic'!E853)</f>
        <v/>
      </c>
      <c r="F853">
        <f>IF(ISBLANK('Q:\Abteilungsprojekte\eng\EngData\AOS\Allgemein\[LabSamples2025.xlsx]Bioplastic'!F853)," ",'Q:\Abteilungsprojekte\eng\EngData\AOS\Allgemein\[LabSamples2025.xlsx]Bioplastic'!F853)</f>
        <v/>
      </c>
      <c r="G853">
        <f>IF(ISBLANK('Q:\Abteilungsprojekte\eng\EngData\AOS\Allgemein\[LabSamples2025.xlsx]Bioplastic'!G853)," ",'Q:\Abteilungsprojekte\eng\EngData\AOS\Allgemein\[LabSamples2025.xlsx]Bioplastic'!G853)</f>
        <v/>
      </c>
      <c r="H853">
        <f>IF(ISBLANK('Q:\Abteilungsprojekte\eng\EngData\AOS\Allgemein\[LabSamples2025.xlsx]Bioplastic'!H853)," ",'Q:\Abteilungsprojekte\eng\EngData\AOS\Allgemein\[LabSamples2025.xlsx]Bioplastic'!H853)</f>
        <v/>
      </c>
    </row>
    <row r="854">
      <c r="A854">
        <f>IF(ISBLANK('Q:\Abteilungsprojekte\eng\EngData\AOS\Allgemein\[LabSamples2025.xlsx]Bioplastic'!A854)," ",'Q:\Abteilungsprojekte\eng\EngData\AOS\Allgemein\[LabSamples2025.xlsx]Bioplastic'!A854)</f>
        <v/>
      </c>
      <c r="B854">
        <f>IF(ISBLANK('Q:\Abteilungsprojekte\eng\EngData\AOS\Allgemein\[LabSamples2025.xlsx]Bioplastic'!B854)," ",'Q:\Abteilungsprojekte\eng\EngData\AOS\Allgemein\[LabSamples2025.xlsx]Bioplastic'!B854)</f>
        <v/>
      </c>
      <c r="C854">
        <f>IF(ISBLANK('Q:\Abteilungsprojekte\eng\EngData\AOS\Allgemein\[LabSamples2025.xlsx]Bioplastic'!C854)," ",'Q:\Abteilungsprojekte\eng\EngData\AOS\Allgemein\[LabSamples2025.xlsx]Bioplastic'!C854)</f>
        <v/>
      </c>
      <c r="D854">
        <f>IF(ISBLANK('Q:\Abteilungsprojekte\eng\EngData\AOS\Allgemein\[LabSamples2025.xlsx]Bioplastic'!D854)," ",'Q:\Abteilungsprojekte\eng\EngData\AOS\Allgemein\[LabSamples2025.xlsx]Bioplastic'!D854)</f>
        <v/>
      </c>
      <c r="E854">
        <f>IF(ISBLANK('Q:\Abteilungsprojekte\eng\EngData\AOS\Allgemein\[LabSamples2025.xlsx]Bioplastic'!E854)," ",'Q:\Abteilungsprojekte\eng\EngData\AOS\Allgemein\[LabSamples2025.xlsx]Bioplastic'!E854)</f>
        <v/>
      </c>
      <c r="F854">
        <f>IF(ISBLANK('Q:\Abteilungsprojekte\eng\EngData\AOS\Allgemein\[LabSamples2025.xlsx]Bioplastic'!F854)," ",'Q:\Abteilungsprojekte\eng\EngData\AOS\Allgemein\[LabSamples2025.xlsx]Bioplastic'!F854)</f>
        <v/>
      </c>
      <c r="G854">
        <f>IF(ISBLANK('Q:\Abteilungsprojekte\eng\EngData\AOS\Allgemein\[LabSamples2025.xlsx]Bioplastic'!G854)," ",'Q:\Abteilungsprojekte\eng\EngData\AOS\Allgemein\[LabSamples2025.xlsx]Bioplastic'!G854)</f>
        <v/>
      </c>
      <c r="H854">
        <f>IF(ISBLANK('Q:\Abteilungsprojekte\eng\EngData\AOS\Allgemein\[LabSamples2025.xlsx]Bioplastic'!H854)," ",'Q:\Abteilungsprojekte\eng\EngData\AOS\Allgemein\[LabSamples2025.xlsx]Bioplastic'!H854)</f>
        <v/>
      </c>
    </row>
    <row r="855">
      <c r="A855">
        <f>IF(ISBLANK('Q:\Abteilungsprojekte\eng\EngData\AOS\Allgemein\[LabSamples2025.xlsx]Bioplastic'!A855)," ",'Q:\Abteilungsprojekte\eng\EngData\AOS\Allgemein\[LabSamples2025.xlsx]Bioplastic'!A855)</f>
        <v/>
      </c>
      <c r="B855">
        <f>IF(ISBLANK('Q:\Abteilungsprojekte\eng\EngData\AOS\Allgemein\[LabSamples2025.xlsx]Bioplastic'!B855)," ",'Q:\Abteilungsprojekte\eng\EngData\AOS\Allgemein\[LabSamples2025.xlsx]Bioplastic'!B855)</f>
        <v/>
      </c>
      <c r="C855">
        <f>IF(ISBLANK('Q:\Abteilungsprojekte\eng\EngData\AOS\Allgemein\[LabSamples2025.xlsx]Bioplastic'!C855)," ",'Q:\Abteilungsprojekte\eng\EngData\AOS\Allgemein\[LabSamples2025.xlsx]Bioplastic'!C855)</f>
        <v/>
      </c>
      <c r="D855">
        <f>IF(ISBLANK('Q:\Abteilungsprojekte\eng\EngData\AOS\Allgemein\[LabSamples2025.xlsx]Bioplastic'!D855)," ",'Q:\Abteilungsprojekte\eng\EngData\AOS\Allgemein\[LabSamples2025.xlsx]Bioplastic'!D855)</f>
        <v/>
      </c>
      <c r="E855">
        <f>IF(ISBLANK('Q:\Abteilungsprojekte\eng\EngData\AOS\Allgemein\[LabSamples2025.xlsx]Bioplastic'!E855)," ",'Q:\Abteilungsprojekte\eng\EngData\AOS\Allgemein\[LabSamples2025.xlsx]Bioplastic'!E855)</f>
        <v/>
      </c>
      <c r="F855">
        <f>IF(ISBLANK('Q:\Abteilungsprojekte\eng\EngData\AOS\Allgemein\[LabSamples2025.xlsx]Bioplastic'!F855)," ",'Q:\Abteilungsprojekte\eng\EngData\AOS\Allgemein\[LabSamples2025.xlsx]Bioplastic'!F855)</f>
        <v/>
      </c>
      <c r="G855">
        <f>IF(ISBLANK('Q:\Abteilungsprojekte\eng\EngData\AOS\Allgemein\[LabSamples2025.xlsx]Bioplastic'!G855)," ",'Q:\Abteilungsprojekte\eng\EngData\AOS\Allgemein\[LabSamples2025.xlsx]Bioplastic'!G855)</f>
        <v/>
      </c>
      <c r="H855">
        <f>IF(ISBLANK('Q:\Abteilungsprojekte\eng\EngData\AOS\Allgemein\[LabSamples2025.xlsx]Bioplastic'!H855)," ",'Q:\Abteilungsprojekte\eng\EngData\AOS\Allgemein\[LabSamples2025.xlsx]Bioplastic'!H855)</f>
        <v/>
      </c>
    </row>
    <row r="856">
      <c r="A856">
        <f>IF(ISBLANK('Q:\Abteilungsprojekte\eng\EngData\AOS\Allgemein\[LabSamples2025.xlsx]Bioplastic'!A856)," ",'Q:\Abteilungsprojekte\eng\EngData\AOS\Allgemein\[LabSamples2025.xlsx]Bioplastic'!A856)</f>
        <v/>
      </c>
      <c r="B856">
        <f>IF(ISBLANK('Q:\Abteilungsprojekte\eng\EngData\AOS\Allgemein\[LabSamples2025.xlsx]Bioplastic'!B856)," ",'Q:\Abteilungsprojekte\eng\EngData\AOS\Allgemein\[LabSamples2025.xlsx]Bioplastic'!B856)</f>
        <v/>
      </c>
      <c r="C856">
        <f>IF(ISBLANK('Q:\Abteilungsprojekte\eng\EngData\AOS\Allgemein\[LabSamples2025.xlsx]Bioplastic'!C856)," ",'Q:\Abteilungsprojekte\eng\EngData\AOS\Allgemein\[LabSamples2025.xlsx]Bioplastic'!C856)</f>
        <v/>
      </c>
      <c r="D856">
        <f>IF(ISBLANK('Q:\Abteilungsprojekte\eng\EngData\AOS\Allgemein\[LabSamples2025.xlsx]Bioplastic'!D856)," ",'Q:\Abteilungsprojekte\eng\EngData\AOS\Allgemein\[LabSamples2025.xlsx]Bioplastic'!D856)</f>
        <v/>
      </c>
      <c r="E856">
        <f>IF(ISBLANK('Q:\Abteilungsprojekte\eng\EngData\AOS\Allgemein\[LabSamples2025.xlsx]Bioplastic'!E856)," ",'Q:\Abteilungsprojekte\eng\EngData\AOS\Allgemein\[LabSamples2025.xlsx]Bioplastic'!E856)</f>
        <v/>
      </c>
      <c r="F856">
        <f>IF(ISBLANK('Q:\Abteilungsprojekte\eng\EngData\AOS\Allgemein\[LabSamples2025.xlsx]Bioplastic'!F856)," ",'Q:\Abteilungsprojekte\eng\EngData\AOS\Allgemein\[LabSamples2025.xlsx]Bioplastic'!F856)</f>
        <v/>
      </c>
      <c r="G856">
        <f>IF(ISBLANK('Q:\Abteilungsprojekte\eng\EngData\AOS\Allgemein\[LabSamples2025.xlsx]Bioplastic'!G856)," ",'Q:\Abteilungsprojekte\eng\EngData\AOS\Allgemein\[LabSamples2025.xlsx]Bioplastic'!G856)</f>
        <v/>
      </c>
      <c r="H856">
        <f>IF(ISBLANK('Q:\Abteilungsprojekte\eng\EngData\AOS\Allgemein\[LabSamples2025.xlsx]Bioplastic'!H856)," ",'Q:\Abteilungsprojekte\eng\EngData\AOS\Allgemein\[LabSamples2025.xlsx]Bioplastic'!H856)</f>
        <v/>
      </c>
    </row>
    <row r="857">
      <c r="A857">
        <f>IF(ISBLANK('Q:\Abteilungsprojekte\eng\EngData\AOS\Allgemein\[LabSamples2025.xlsx]Bioplastic'!A857)," ",'Q:\Abteilungsprojekte\eng\EngData\AOS\Allgemein\[LabSamples2025.xlsx]Bioplastic'!A857)</f>
        <v/>
      </c>
      <c r="B857">
        <f>IF(ISBLANK('Q:\Abteilungsprojekte\eng\EngData\AOS\Allgemein\[LabSamples2025.xlsx]Bioplastic'!B857)," ",'Q:\Abteilungsprojekte\eng\EngData\AOS\Allgemein\[LabSamples2025.xlsx]Bioplastic'!B857)</f>
        <v/>
      </c>
      <c r="C857">
        <f>IF(ISBLANK('Q:\Abteilungsprojekte\eng\EngData\AOS\Allgemein\[LabSamples2025.xlsx]Bioplastic'!C857)," ",'Q:\Abteilungsprojekte\eng\EngData\AOS\Allgemein\[LabSamples2025.xlsx]Bioplastic'!C857)</f>
        <v/>
      </c>
      <c r="D857">
        <f>IF(ISBLANK('Q:\Abteilungsprojekte\eng\EngData\AOS\Allgemein\[LabSamples2025.xlsx]Bioplastic'!D857)," ",'Q:\Abteilungsprojekte\eng\EngData\AOS\Allgemein\[LabSamples2025.xlsx]Bioplastic'!D857)</f>
        <v/>
      </c>
      <c r="E857">
        <f>IF(ISBLANK('Q:\Abteilungsprojekte\eng\EngData\AOS\Allgemein\[LabSamples2025.xlsx]Bioplastic'!E857)," ",'Q:\Abteilungsprojekte\eng\EngData\AOS\Allgemein\[LabSamples2025.xlsx]Bioplastic'!E857)</f>
        <v/>
      </c>
      <c r="F857">
        <f>IF(ISBLANK('Q:\Abteilungsprojekte\eng\EngData\AOS\Allgemein\[LabSamples2025.xlsx]Bioplastic'!F857)," ",'Q:\Abteilungsprojekte\eng\EngData\AOS\Allgemein\[LabSamples2025.xlsx]Bioplastic'!F857)</f>
        <v/>
      </c>
      <c r="G857">
        <f>IF(ISBLANK('Q:\Abteilungsprojekte\eng\EngData\AOS\Allgemein\[LabSamples2025.xlsx]Bioplastic'!G857)," ",'Q:\Abteilungsprojekte\eng\EngData\AOS\Allgemein\[LabSamples2025.xlsx]Bioplastic'!G857)</f>
        <v/>
      </c>
      <c r="H857">
        <f>IF(ISBLANK('Q:\Abteilungsprojekte\eng\EngData\AOS\Allgemein\[LabSamples2025.xlsx]Bioplastic'!H857)," ",'Q:\Abteilungsprojekte\eng\EngData\AOS\Allgemein\[LabSamples2025.xlsx]Bioplastic'!H857)</f>
        <v/>
      </c>
    </row>
    <row r="858">
      <c r="A858">
        <f>IF(ISBLANK('Q:\Abteilungsprojekte\eng\EngData\AOS\Allgemein\[LabSamples2025.xlsx]Bioplastic'!A858)," ",'Q:\Abteilungsprojekte\eng\EngData\AOS\Allgemein\[LabSamples2025.xlsx]Bioplastic'!A858)</f>
        <v/>
      </c>
      <c r="B858">
        <f>IF(ISBLANK('Q:\Abteilungsprojekte\eng\EngData\AOS\Allgemein\[LabSamples2025.xlsx]Bioplastic'!B858)," ",'Q:\Abteilungsprojekte\eng\EngData\AOS\Allgemein\[LabSamples2025.xlsx]Bioplastic'!B858)</f>
        <v/>
      </c>
      <c r="C858">
        <f>IF(ISBLANK('Q:\Abteilungsprojekte\eng\EngData\AOS\Allgemein\[LabSamples2025.xlsx]Bioplastic'!C858)," ",'Q:\Abteilungsprojekte\eng\EngData\AOS\Allgemein\[LabSamples2025.xlsx]Bioplastic'!C858)</f>
        <v/>
      </c>
      <c r="D858">
        <f>IF(ISBLANK('Q:\Abteilungsprojekte\eng\EngData\AOS\Allgemein\[LabSamples2025.xlsx]Bioplastic'!D858)," ",'Q:\Abteilungsprojekte\eng\EngData\AOS\Allgemein\[LabSamples2025.xlsx]Bioplastic'!D858)</f>
        <v/>
      </c>
      <c r="E858">
        <f>IF(ISBLANK('Q:\Abteilungsprojekte\eng\EngData\AOS\Allgemein\[LabSamples2025.xlsx]Bioplastic'!E858)," ",'Q:\Abteilungsprojekte\eng\EngData\AOS\Allgemein\[LabSamples2025.xlsx]Bioplastic'!E858)</f>
        <v/>
      </c>
      <c r="F858">
        <f>IF(ISBLANK('Q:\Abteilungsprojekte\eng\EngData\AOS\Allgemein\[LabSamples2025.xlsx]Bioplastic'!F858)," ",'Q:\Abteilungsprojekte\eng\EngData\AOS\Allgemein\[LabSamples2025.xlsx]Bioplastic'!F858)</f>
        <v/>
      </c>
      <c r="G858">
        <f>IF(ISBLANK('Q:\Abteilungsprojekte\eng\EngData\AOS\Allgemein\[LabSamples2025.xlsx]Bioplastic'!G858)," ",'Q:\Abteilungsprojekte\eng\EngData\AOS\Allgemein\[LabSamples2025.xlsx]Bioplastic'!G858)</f>
        <v/>
      </c>
      <c r="H858">
        <f>IF(ISBLANK('Q:\Abteilungsprojekte\eng\EngData\AOS\Allgemein\[LabSamples2025.xlsx]Bioplastic'!H858)," ",'Q:\Abteilungsprojekte\eng\EngData\AOS\Allgemein\[LabSamples2025.xlsx]Bioplastic'!H858)</f>
        <v/>
      </c>
    </row>
    <row r="859">
      <c r="A859">
        <f>IF(ISBLANK('Q:\Abteilungsprojekte\eng\EngData\AOS\Allgemein\[LabSamples2025.xlsx]Bioplastic'!A859)," ",'Q:\Abteilungsprojekte\eng\EngData\AOS\Allgemein\[LabSamples2025.xlsx]Bioplastic'!A859)</f>
        <v/>
      </c>
      <c r="B859">
        <f>IF(ISBLANK('Q:\Abteilungsprojekte\eng\EngData\AOS\Allgemein\[LabSamples2025.xlsx]Bioplastic'!B859)," ",'Q:\Abteilungsprojekte\eng\EngData\AOS\Allgemein\[LabSamples2025.xlsx]Bioplastic'!B859)</f>
        <v/>
      </c>
      <c r="C859">
        <f>IF(ISBLANK('Q:\Abteilungsprojekte\eng\EngData\AOS\Allgemein\[LabSamples2025.xlsx]Bioplastic'!C859)," ",'Q:\Abteilungsprojekte\eng\EngData\AOS\Allgemein\[LabSamples2025.xlsx]Bioplastic'!C859)</f>
        <v/>
      </c>
      <c r="D859">
        <f>IF(ISBLANK('Q:\Abteilungsprojekte\eng\EngData\AOS\Allgemein\[LabSamples2025.xlsx]Bioplastic'!D859)," ",'Q:\Abteilungsprojekte\eng\EngData\AOS\Allgemein\[LabSamples2025.xlsx]Bioplastic'!D859)</f>
        <v/>
      </c>
      <c r="E859">
        <f>IF(ISBLANK('Q:\Abteilungsprojekte\eng\EngData\AOS\Allgemein\[LabSamples2025.xlsx]Bioplastic'!E859)," ",'Q:\Abteilungsprojekte\eng\EngData\AOS\Allgemein\[LabSamples2025.xlsx]Bioplastic'!E859)</f>
        <v/>
      </c>
      <c r="F859">
        <f>IF(ISBLANK('Q:\Abteilungsprojekte\eng\EngData\AOS\Allgemein\[LabSamples2025.xlsx]Bioplastic'!F859)," ",'Q:\Abteilungsprojekte\eng\EngData\AOS\Allgemein\[LabSamples2025.xlsx]Bioplastic'!F859)</f>
        <v/>
      </c>
      <c r="G859">
        <f>IF(ISBLANK('Q:\Abteilungsprojekte\eng\EngData\AOS\Allgemein\[LabSamples2025.xlsx]Bioplastic'!G859)," ",'Q:\Abteilungsprojekte\eng\EngData\AOS\Allgemein\[LabSamples2025.xlsx]Bioplastic'!G859)</f>
        <v/>
      </c>
      <c r="H859">
        <f>IF(ISBLANK('Q:\Abteilungsprojekte\eng\EngData\AOS\Allgemein\[LabSamples2025.xlsx]Bioplastic'!H859)," ",'Q:\Abteilungsprojekte\eng\EngData\AOS\Allgemein\[LabSamples2025.xlsx]Bioplastic'!H859)</f>
        <v/>
      </c>
    </row>
    <row r="860">
      <c r="A860">
        <f>IF(ISBLANK('Q:\Abteilungsprojekte\eng\EngData\AOS\Allgemein\[LabSamples2025.xlsx]Bioplastic'!A860)," ",'Q:\Abteilungsprojekte\eng\EngData\AOS\Allgemein\[LabSamples2025.xlsx]Bioplastic'!A860)</f>
        <v/>
      </c>
      <c r="B860">
        <f>IF(ISBLANK('Q:\Abteilungsprojekte\eng\EngData\AOS\Allgemein\[LabSamples2025.xlsx]Bioplastic'!B860)," ",'Q:\Abteilungsprojekte\eng\EngData\AOS\Allgemein\[LabSamples2025.xlsx]Bioplastic'!B860)</f>
        <v/>
      </c>
      <c r="C860">
        <f>IF(ISBLANK('Q:\Abteilungsprojekte\eng\EngData\AOS\Allgemein\[LabSamples2025.xlsx]Bioplastic'!C860)," ",'Q:\Abteilungsprojekte\eng\EngData\AOS\Allgemein\[LabSamples2025.xlsx]Bioplastic'!C860)</f>
        <v/>
      </c>
      <c r="D860">
        <f>IF(ISBLANK('Q:\Abteilungsprojekte\eng\EngData\AOS\Allgemein\[LabSamples2025.xlsx]Bioplastic'!D860)," ",'Q:\Abteilungsprojekte\eng\EngData\AOS\Allgemein\[LabSamples2025.xlsx]Bioplastic'!D860)</f>
        <v/>
      </c>
      <c r="E860">
        <f>IF(ISBLANK('Q:\Abteilungsprojekte\eng\EngData\AOS\Allgemein\[LabSamples2025.xlsx]Bioplastic'!E860)," ",'Q:\Abteilungsprojekte\eng\EngData\AOS\Allgemein\[LabSamples2025.xlsx]Bioplastic'!E860)</f>
        <v/>
      </c>
      <c r="F860">
        <f>IF(ISBLANK('Q:\Abteilungsprojekte\eng\EngData\AOS\Allgemein\[LabSamples2025.xlsx]Bioplastic'!F860)," ",'Q:\Abteilungsprojekte\eng\EngData\AOS\Allgemein\[LabSamples2025.xlsx]Bioplastic'!F860)</f>
        <v/>
      </c>
      <c r="G860">
        <f>IF(ISBLANK('Q:\Abteilungsprojekte\eng\EngData\AOS\Allgemein\[LabSamples2025.xlsx]Bioplastic'!G860)," ",'Q:\Abteilungsprojekte\eng\EngData\AOS\Allgemein\[LabSamples2025.xlsx]Bioplastic'!G860)</f>
        <v/>
      </c>
      <c r="H860">
        <f>IF(ISBLANK('Q:\Abteilungsprojekte\eng\EngData\AOS\Allgemein\[LabSamples2025.xlsx]Bioplastic'!H860)," ",'Q:\Abteilungsprojekte\eng\EngData\AOS\Allgemein\[LabSamples2025.xlsx]Bioplastic'!H860)</f>
        <v/>
      </c>
    </row>
    <row r="861">
      <c r="A861">
        <f>IF(ISBLANK('Q:\Abteilungsprojekte\eng\EngData\AOS\Allgemein\[LabSamples2025.xlsx]Bioplastic'!A861)," ",'Q:\Abteilungsprojekte\eng\EngData\AOS\Allgemein\[LabSamples2025.xlsx]Bioplastic'!A861)</f>
        <v/>
      </c>
      <c r="B861">
        <f>IF(ISBLANK('Q:\Abteilungsprojekte\eng\EngData\AOS\Allgemein\[LabSamples2025.xlsx]Bioplastic'!B861)," ",'Q:\Abteilungsprojekte\eng\EngData\AOS\Allgemein\[LabSamples2025.xlsx]Bioplastic'!B861)</f>
        <v/>
      </c>
      <c r="C861">
        <f>IF(ISBLANK('Q:\Abteilungsprojekte\eng\EngData\AOS\Allgemein\[LabSamples2025.xlsx]Bioplastic'!C861)," ",'Q:\Abteilungsprojekte\eng\EngData\AOS\Allgemein\[LabSamples2025.xlsx]Bioplastic'!C861)</f>
        <v/>
      </c>
      <c r="D861">
        <f>IF(ISBLANK('Q:\Abteilungsprojekte\eng\EngData\AOS\Allgemein\[LabSamples2025.xlsx]Bioplastic'!D861)," ",'Q:\Abteilungsprojekte\eng\EngData\AOS\Allgemein\[LabSamples2025.xlsx]Bioplastic'!D861)</f>
        <v/>
      </c>
      <c r="E861">
        <f>IF(ISBLANK('Q:\Abteilungsprojekte\eng\EngData\AOS\Allgemein\[LabSamples2025.xlsx]Bioplastic'!E861)," ",'Q:\Abteilungsprojekte\eng\EngData\AOS\Allgemein\[LabSamples2025.xlsx]Bioplastic'!E861)</f>
        <v/>
      </c>
      <c r="F861">
        <f>IF(ISBLANK('Q:\Abteilungsprojekte\eng\EngData\AOS\Allgemein\[LabSamples2025.xlsx]Bioplastic'!F861)," ",'Q:\Abteilungsprojekte\eng\EngData\AOS\Allgemein\[LabSamples2025.xlsx]Bioplastic'!F861)</f>
        <v/>
      </c>
      <c r="G861">
        <f>IF(ISBLANK('Q:\Abteilungsprojekte\eng\EngData\AOS\Allgemein\[LabSamples2025.xlsx]Bioplastic'!G861)," ",'Q:\Abteilungsprojekte\eng\EngData\AOS\Allgemein\[LabSamples2025.xlsx]Bioplastic'!G861)</f>
        <v/>
      </c>
      <c r="H861">
        <f>IF(ISBLANK('Q:\Abteilungsprojekte\eng\EngData\AOS\Allgemein\[LabSamples2025.xlsx]Bioplastic'!H861)," ",'Q:\Abteilungsprojekte\eng\EngData\AOS\Allgemein\[LabSamples2025.xlsx]Bioplastic'!H861)</f>
        <v/>
      </c>
    </row>
    <row r="862">
      <c r="A862">
        <f>IF(ISBLANK('Q:\Abteilungsprojekte\eng\EngData\AOS\Allgemein\[LabSamples2025.xlsx]Bioplastic'!A862)," ",'Q:\Abteilungsprojekte\eng\EngData\AOS\Allgemein\[LabSamples2025.xlsx]Bioplastic'!A862)</f>
        <v/>
      </c>
      <c r="B862">
        <f>IF(ISBLANK('Q:\Abteilungsprojekte\eng\EngData\AOS\Allgemein\[LabSamples2025.xlsx]Bioplastic'!B862)," ",'Q:\Abteilungsprojekte\eng\EngData\AOS\Allgemein\[LabSamples2025.xlsx]Bioplastic'!B862)</f>
        <v/>
      </c>
      <c r="C862">
        <f>IF(ISBLANK('Q:\Abteilungsprojekte\eng\EngData\AOS\Allgemein\[LabSamples2025.xlsx]Bioplastic'!C862)," ",'Q:\Abteilungsprojekte\eng\EngData\AOS\Allgemein\[LabSamples2025.xlsx]Bioplastic'!C862)</f>
        <v/>
      </c>
      <c r="D862">
        <f>IF(ISBLANK('Q:\Abteilungsprojekte\eng\EngData\AOS\Allgemein\[LabSamples2025.xlsx]Bioplastic'!D862)," ",'Q:\Abteilungsprojekte\eng\EngData\AOS\Allgemein\[LabSamples2025.xlsx]Bioplastic'!D862)</f>
        <v/>
      </c>
      <c r="E862">
        <f>IF(ISBLANK('Q:\Abteilungsprojekte\eng\EngData\AOS\Allgemein\[LabSamples2025.xlsx]Bioplastic'!E862)," ",'Q:\Abteilungsprojekte\eng\EngData\AOS\Allgemein\[LabSamples2025.xlsx]Bioplastic'!E862)</f>
        <v/>
      </c>
      <c r="F862">
        <f>IF(ISBLANK('Q:\Abteilungsprojekte\eng\EngData\AOS\Allgemein\[LabSamples2025.xlsx]Bioplastic'!F862)," ",'Q:\Abteilungsprojekte\eng\EngData\AOS\Allgemein\[LabSamples2025.xlsx]Bioplastic'!F862)</f>
        <v/>
      </c>
      <c r="G862">
        <f>IF(ISBLANK('Q:\Abteilungsprojekte\eng\EngData\AOS\Allgemein\[LabSamples2025.xlsx]Bioplastic'!G862)," ",'Q:\Abteilungsprojekte\eng\EngData\AOS\Allgemein\[LabSamples2025.xlsx]Bioplastic'!G862)</f>
        <v/>
      </c>
      <c r="H862">
        <f>IF(ISBLANK('Q:\Abteilungsprojekte\eng\EngData\AOS\Allgemein\[LabSamples2025.xlsx]Bioplastic'!H862)," ",'Q:\Abteilungsprojekte\eng\EngData\AOS\Allgemein\[LabSamples2025.xlsx]Bioplastic'!H862)</f>
        <v/>
      </c>
    </row>
    <row r="863">
      <c r="A863">
        <f>IF(ISBLANK('Q:\Abteilungsprojekte\eng\EngData\AOS\Allgemein\[LabSamples2025.xlsx]Bioplastic'!A863)," ",'Q:\Abteilungsprojekte\eng\EngData\AOS\Allgemein\[LabSamples2025.xlsx]Bioplastic'!A863)</f>
        <v/>
      </c>
      <c r="B863">
        <f>IF(ISBLANK('Q:\Abteilungsprojekte\eng\EngData\AOS\Allgemein\[LabSamples2025.xlsx]Bioplastic'!B863)," ",'Q:\Abteilungsprojekte\eng\EngData\AOS\Allgemein\[LabSamples2025.xlsx]Bioplastic'!B863)</f>
        <v/>
      </c>
      <c r="C863">
        <f>IF(ISBLANK('Q:\Abteilungsprojekte\eng\EngData\AOS\Allgemein\[LabSamples2025.xlsx]Bioplastic'!C863)," ",'Q:\Abteilungsprojekte\eng\EngData\AOS\Allgemein\[LabSamples2025.xlsx]Bioplastic'!C863)</f>
        <v/>
      </c>
      <c r="D863">
        <f>IF(ISBLANK('Q:\Abteilungsprojekte\eng\EngData\AOS\Allgemein\[LabSamples2025.xlsx]Bioplastic'!D863)," ",'Q:\Abteilungsprojekte\eng\EngData\AOS\Allgemein\[LabSamples2025.xlsx]Bioplastic'!D863)</f>
        <v/>
      </c>
      <c r="E863">
        <f>IF(ISBLANK('Q:\Abteilungsprojekte\eng\EngData\AOS\Allgemein\[LabSamples2025.xlsx]Bioplastic'!E863)," ",'Q:\Abteilungsprojekte\eng\EngData\AOS\Allgemein\[LabSamples2025.xlsx]Bioplastic'!E863)</f>
        <v/>
      </c>
      <c r="F863">
        <f>IF(ISBLANK('Q:\Abteilungsprojekte\eng\EngData\AOS\Allgemein\[LabSamples2025.xlsx]Bioplastic'!F863)," ",'Q:\Abteilungsprojekte\eng\EngData\AOS\Allgemein\[LabSamples2025.xlsx]Bioplastic'!F863)</f>
        <v/>
      </c>
      <c r="G863">
        <f>IF(ISBLANK('Q:\Abteilungsprojekte\eng\EngData\AOS\Allgemein\[LabSamples2025.xlsx]Bioplastic'!G863)," ",'Q:\Abteilungsprojekte\eng\EngData\AOS\Allgemein\[LabSamples2025.xlsx]Bioplastic'!G863)</f>
        <v/>
      </c>
      <c r="H863">
        <f>IF(ISBLANK('Q:\Abteilungsprojekte\eng\EngData\AOS\Allgemein\[LabSamples2025.xlsx]Bioplastic'!H863)," ",'Q:\Abteilungsprojekte\eng\EngData\AOS\Allgemein\[LabSamples2025.xlsx]Bioplastic'!H863)</f>
        <v/>
      </c>
    </row>
    <row r="864">
      <c r="A864">
        <f>IF(ISBLANK('Q:\Abteilungsprojekte\eng\EngData\AOS\Allgemein\[LabSamples2025.xlsx]Bioplastic'!A864)," ",'Q:\Abteilungsprojekte\eng\EngData\AOS\Allgemein\[LabSamples2025.xlsx]Bioplastic'!A864)</f>
        <v/>
      </c>
      <c r="B864">
        <f>IF(ISBLANK('Q:\Abteilungsprojekte\eng\EngData\AOS\Allgemein\[LabSamples2025.xlsx]Bioplastic'!B864)," ",'Q:\Abteilungsprojekte\eng\EngData\AOS\Allgemein\[LabSamples2025.xlsx]Bioplastic'!B864)</f>
        <v/>
      </c>
      <c r="C864">
        <f>IF(ISBLANK('Q:\Abteilungsprojekte\eng\EngData\AOS\Allgemein\[LabSamples2025.xlsx]Bioplastic'!C864)," ",'Q:\Abteilungsprojekte\eng\EngData\AOS\Allgemein\[LabSamples2025.xlsx]Bioplastic'!C864)</f>
        <v/>
      </c>
      <c r="D864">
        <f>IF(ISBLANK('Q:\Abteilungsprojekte\eng\EngData\AOS\Allgemein\[LabSamples2025.xlsx]Bioplastic'!D864)," ",'Q:\Abteilungsprojekte\eng\EngData\AOS\Allgemein\[LabSamples2025.xlsx]Bioplastic'!D864)</f>
        <v/>
      </c>
      <c r="E864">
        <f>IF(ISBLANK('Q:\Abteilungsprojekte\eng\EngData\AOS\Allgemein\[LabSamples2025.xlsx]Bioplastic'!E864)," ",'Q:\Abteilungsprojekte\eng\EngData\AOS\Allgemein\[LabSamples2025.xlsx]Bioplastic'!E864)</f>
        <v/>
      </c>
      <c r="F864">
        <f>IF(ISBLANK('Q:\Abteilungsprojekte\eng\EngData\AOS\Allgemein\[LabSamples2025.xlsx]Bioplastic'!F864)," ",'Q:\Abteilungsprojekte\eng\EngData\AOS\Allgemein\[LabSamples2025.xlsx]Bioplastic'!F864)</f>
        <v/>
      </c>
      <c r="G864">
        <f>IF(ISBLANK('Q:\Abteilungsprojekte\eng\EngData\AOS\Allgemein\[LabSamples2025.xlsx]Bioplastic'!G864)," ",'Q:\Abteilungsprojekte\eng\EngData\AOS\Allgemein\[LabSamples2025.xlsx]Bioplastic'!G864)</f>
        <v/>
      </c>
      <c r="H864">
        <f>IF(ISBLANK('Q:\Abteilungsprojekte\eng\EngData\AOS\Allgemein\[LabSamples2025.xlsx]Bioplastic'!H864)," ",'Q:\Abteilungsprojekte\eng\EngData\AOS\Allgemein\[LabSamples2025.xlsx]Bioplastic'!H864)</f>
        <v/>
      </c>
    </row>
    <row r="865">
      <c r="A865">
        <f>IF(ISBLANK('Q:\Abteilungsprojekte\eng\EngData\AOS\Allgemein\[LabSamples2025.xlsx]Bioplastic'!A865)," ",'Q:\Abteilungsprojekte\eng\EngData\AOS\Allgemein\[LabSamples2025.xlsx]Bioplastic'!A865)</f>
        <v/>
      </c>
      <c r="B865">
        <f>IF(ISBLANK('Q:\Abteilungsprojekte\eng\EngData\AOS\Allgemein\[LabSamples2025.xlsx]Bioplastic'!B865)," ",'Q:\Abteilungsprojekte\eng\EngData\AOS\Allgemein\[LabSamples2025.xlsx]Bioplastic'!B865)</f>
        <v/>
      </c>
      <c r="C865">
        <f>IF(ISBLANK('Q:\Abteilungsprojekte\eng\EngData\AOS\Allgemein\[LabSamples2025.xlsx]Bioplastic'!C865)," ",'Q:\Abteilungsprojekte\eng\EngData\AOS\Allgemein\[LabSamples2025.xlsx]Bioplastic'!C865)</f>
        <v/>
      </c>
      <c r="D865">
        <f>IF(ISBLANK('Q:\Abteilungsprojekte\eng\EngData\AOS\Allgemein\[LabSamples2025.xlsx]Bioplastic'!D865)," ",'Q:\Abteilungsprojekte\eng\EngData\AOS\Allgemein\[LabSamples2025.xlsx]Bioplastic'!D865)</f>
        <v/>
      </c>
      <c r="E865">
        <f>IF(ISBLANK('Q:\Abteilungsprojekte\eng\EngData\AOS\Allgemein\[LabSamples2025.xlsx]Bioplastic'!E865)," ",'Q:\Abteilungsprojekte\eng\EngData\AOS\Allgemein\[LabSamples2025.xlsx]Bioplastic'!E865)</f>
        <v/>
      </c>
      <c r="F865">
        <f>IF(ISBLANK('Q:\Abteilungsprojekte\eng\EngData\AOS\Allgemein\[LabSamples2025.xlsx]Bioplastic'!F865)," ",'Q:\Abteilungsprojekte\eng\EngData\AOS\Allgemein\[LabSamples2025.xlsx]Bioplastic'!F865)</f>
        <v/>
      </c>
      <c r="G865">
        <f>IF(ISBLANK('Q:\Abteilungsprojekte\eng\EngData\AOS\Allgemein\[LabSamples2025.xlsx]Bioplastic'!G865)," ",'Q:\Abteilungsprojekte\eng\EngData\AOS\Allgemein\[LabSamples2025.xlsx]Bioplastic'!G865)</f>
        <v/>
      </c>
      <c r="H865">
        <f>IF(ISBLANK('Q:\Abteilungsprojekte\eng\EngData\AOS\Allgemein\[LabSamples2025.xlsx]Bioplastic'!H865)," ",'Q:\Abteilungsprojekte\eng\EngData\AOS\Allgemein\[LabSamples2025.xlsx]Bioplastic'!H865)</f>
        <v/>
      </c>
    </row>
    <row r="866">
      <c r="A866">
        <f>IF(ISBLANK('Q:\Abteilungsprojekte\eng\EngData\AOS\Allgemein\[LabSamples2025.xlsx]Bioplastic'!A866)," ",'Q:\Abteilungsprojekte\eng\EngData\AOS\Allgemein\[LabSamples2025.xlsx]Bioplastic'!A866)</f>
        <v/>
      </c>
      <c r="B866">
        <f>IF(ISBLANK('Q:\Abteilungsprojekte\eng\EngData\AOS\Allgemein\[LabSamples2025.xlsx]Bioplastic'!B866)," ",'Q:\Abteilungsprojekte\eng\EngData\AOS\Allgemein\[LabSamples2025.xlsx]Bioplastic'!B866)</f>
        <v/>
      </c>
      <c r="C866">
        <f>IF(ISBLANK('Q:\Abteilungsprojekte\eng\EngData\AOS\Allgemein\[LabSamples2025.xlsx]Bioplastic'!C866)," ",'Q:\Abteilungsprojekte\eng\EngData\AOS\Allgemein\[LabSamples2025.xlsx]Bioplastic'!C866)</f>
        <v/>
      </c>
      <c r="D866">
        <f>IF(ISBLANK('Q:\Abteilungsprojekte\eng\EngData\AOS\Allgemein\[LabSamples2025.xlsx]Bioplastic'!D866)," ",'Q:\Abteilungsprojekte\eng\EngData\AOS\Allgemein\[LabSamples2025.xlsx]Bioplastic'!D866)</f>
        <v/>
      </c>
      <c r="E866">
        <f>IF(ISBLANK('Q:\Abteilungsprojekte\eng\EngData\AOS\Allgemein\[LabSamples2025.xlsx]Bioplastic'!E866)," ",'Q:\Abteilungsprojekte\eng\EngData\AOS\Allgemein\[LabSamples2025.xlsx]Bioplastic'!E866)</f>
        <v/>
      </c>
      <c r="F866">
        <f>IF(ISBLANK('Q:\Abteilungsprojekte\eng\EngData\AOS\Allgemein\[LabSamples2025.xlsx]Bioplastic'!F866)," ",'Q:\Abteilungsprojekte\eng\EngData\AOS\Allgemein\[LabSamples2025.xlsx]Bioplastic'!F866)</f>
        <v/>
      </c>
      <c r="G866">
        <f>IF(ISBLANK('Q:\Abteilungsprojekte\eng\EngData\AOS\Allgemein\[LabSamples2025.xlsx]Bioplastic'!G866)," ",'Q:\Abteilungsprojekte\eng\EngData\AOS\Allgemein\[LabSamples2025.xlsx]Bioplastic'!G866)</f>
        <v/>
      </c>
      <c r="H866">
        <f>IF(ISBLANK('Q:\Abteilungsprojekte\eng\EngData\AOS\Allgemein\[LabSamples2025.xlsx]Bioplastic'!H866)," ",'Q:\Abteilungsprojekte\eng\EngData\AOS\Allgemein\[LabSamples2025.xlsx]Bioplastic'!H866)</f>
        <v/>
      </c>
    </row>
    <row r="867">
      <c r="A867">
        <f>IF(ISBLANK('Q:\Abteilungsprojekte\eng\EngData\AOS\Allgemein\[LabSamples2025.xlsx]Bioplastic'!A867)," ",'Q:\Abteilungsprojekte\eng\EngData\AOS\Allgemein\[LabSamples2025.xlsx]Bioplastic'!A867)</f>
        <v/>
      </c>
      <c r="B867">
        <f>IF(ISBLANK('Q:\Abteilungsprojekte\eng\EngData\AOS\Allgemein\[LabSamples2025.xlsx]Bioplastic'!B867)," ",'Q:\Abteilungsprojekte\eng\EngData\AOS\Allgemein\[LabSamples2025.xlsx]Bioplastic'!B867)</f>
        <v/>
      </c>
      <c r="C867">
        <f>IF(ISBLANK('Q:\Abteilungsprojekte\eng\EngData\AOS\Allgemein\[LabSamples2025.xlsx]Bioplastic'!C867)," ",'Q:\Abteilungsprojekte\eng\EngData\AOS\Allgemein\[LabSamples2025.xlsx]Bioplastic'!C867)</f>
        <v/>
      </c>
      <c r="D867">
        <f>IF(ISBLANK('Q:\Abteilungsprojekte\eng\EngData\AOS\Allgemein\[LabSamples2025.xlsx]Bioplastic'!D867)," ",'Q:\Abteilungsprojekte\eng\EngData\AOS\Allgemein\[LabSamples2025.xlsx]Bioplastic'!D867)</f>
        <v/>
      </c>
      <c r="E867">
        <f>IF(ISBLANK('Q:\Abteilungsprojekte\eng\EngData\AOS\Allgemein\[LabSamples2025.xlsx]Bioplastic'!E867)," ",'Q:\Abteilungsprojekte\eng\EngData\AOS\Allgemein\[LabSamples2025.xlsx]Bioplastic'!E867)</f>
        <v/>
      </c>
      <c r="F867">
        <f>IF(ISBLANK('Q:\Abteilungsprojekte\eng\EngData\AOS\Allgemein\[LabSamples2025.xlsx]Bioplastic'!F867)," ",'Q:\Abteilungsprojekte\eng\EngData\AOS\Allgemein\[LabSamples2025.xlsx]Bioplastic'!F867)</f>
        <v/>
      </c>
      <c r="G867">
        <f>IF(ISBLANK('Q:\Abteilungsprojekte\eng\EngData\AOS\Allgemein\[LabSamples2025.xlsx]Bioplastic'!G867)," ",'Q:\Abteilungsprojekte\eng\EngData\AOS\Allgemein\[LabSamples2025.xlsx]Bioplastic'!G867)</f>
        <v/>
      </c>
      <c r="H867">
        <f>IF(ISBLANK('Q:\Abteilungsprojekte\eng\EngData\AOS\Allgemein\[LabSamples2025.xlsx]Bioplastic'!H867)," ",'Q:\Abteilungsprojekte\eng\EngData\AOS\Allgemein\[LabSamples2025.xlsx]Bioplastic'!H867)</f>
        <v/>
      </c>
    </row>
    <row r="868">
      <c r="A868">
        <f>IF(ISBLANK('Q:\Abteilungsprojekte\eng\EngData\AOS\Allgemein\[LabSamples2025.xlsx]Bioplastic'!A868)," ",'Q:\Abteilungsprojekte\eng\EngData\AOS\Allgemein\[LabSamples2025.xlsx]Bioplastic'!A868)</f>
        <v/>
      </c>
      <c r="B868">
        <f>IF(ISBLANK('Q:\Abteilungsprojekte\eng\EngData\AOS\Allgemein\[LabSamples2025.xlsx]Bioplastic'!B868)," ",'Q:\Abteilungsprojekte\eng\EngData\AOS\Allgemein\[LabSamples2025.xlsx]Bioplastic'!B868)</f>
        <v/>
      </c>
      <c r="C868">
        <f>IF(ISBLANK('Q:\Abteilungsprojekte\eng\EngData\AOS\Allgemein\[LabSamples2025.xlsx]Bioplastic'!C868)," ",'Q:\Abteilungsprojekte\eng\EngData\AOS\Allgemein\[LabSamples2025.xlsx]Bioplastic'!C868)</f>
        <v/>
      </c>
      <c r="D868">
        <f>IF(ISBLANK('Q:\Abteilungsprojekte\eng\EngData\AOS\Allgemein\[LabSamples2025.xlsx]Bioplastic'!D868)," ",'Q:\Abteilungsprojekte\eng\EngData\AOS\Allgemein\[LabSamples2025.xlsx]Bioplastic'!D868)</f>
        <v/>
      </c>
      <c r="E868">
        <f>IF(ISBLANK('Q:\Abteilungsprojekte\eng\EngData\AOS\Allgemein\[LabSamples2025.xlsx]Bioplastic'!E868)," ",'Q:\Abteilungsprojekte\eng\EngData\AOS\Allgemein\[LabSamples2025.xlsx]Bioplastic'!E868)</f>
        <v/>
      </c>
      <c r="F868">
        <f>IF(ISBLANK('Q:\Abteilungsprojekte\eng\EngData\AOS\Allgemein\[LabSamples2025.xlsx]Bioplastic'!F868)," ",'Q:\Abteilungsprojekte\eng\EngData\AOS\Allgemein\[LabSamples2025.xlsx]Bioplastic'!F868)</f>
        <v/>
      </c>
      <c r="G868">
        <f>IF(ISBLANK('Q:\Abteilungsprojekte\eng\EngData\AOS\Allgemein\[LabSamples2025.xlsx]Bioplastic'!G868)," ",'Q:\Abteilungsprojekte\eng\EngData\AOS\Allgemein\[LabSamples2025.xlsx]Bioplastic'!G868)</f>
        <v/>
      </c>
      <c r="H868">
        <f>IF(ISBLANK('Q:\Abteilungsprojekte\eng\EngData\AOS\Allgemein\[LabSamples2025.xlsx]Bioplastic'!H868)," ",'Q:\Abteilungsprojekte\eng\EngData\AOS\Allgemein\[LabSamples2025.xlsx]Bioplastic'!H868)</f>
        <v/>
      </c>
    </row>
    <row r="869">
      <c r="A869">
        <f>IF(ISBLANK('Q:\Abteilungsprojekte\eng\EngData\AOS\Allgemein\[LabSamples2025.xlsx]Bioplastic'!A869)," ",'Q:\Abteilungsprojekte\eng\EngData\AOS\Allgemein\[LabSamples2025.xlsx]Bioplastic'!A869)</f>
        <v/>
      </c>
      <c r="B869">
        <f>IF(ISBLANK('Q:\Abteilungsprojekte\eng\EngData\AOS\Allgemein\[LabSamples2025.xlsx]Bioplastic'!B869)," ",'Q:\Abteilungsprojekte\eng\EngData\AOS\Allgemein\[LabSamples2025.xlsx]Bioplastic'!B869)</f>
        <v/>
      </c>
      <c r="C869">
        <f>IF(ISBLANK('Q:\Abteilungsprojekte\eng\EngData\AOS\Allgemein\[LabSamples2025.xlsx]Bioplastic'!C869)," ",'Q:\Abteilungsprojekte\eng\EngData\AOS\Allgemein\[LabSamples2025.xlsx]Bioplastic'!C869)</f>
        <v/>
      </c>
      <c r="D869">
        <f>IF(ISBLANK('Q:\Abteilungsprojekte\eng\EngData\AOS\Allgemein\[LabSamples2025.xlsx]Bioplastic'!D869)," ",'Q:\Abteilungsprojekte\eng\EngData\AOS\Allgemein\[LabSamples2025.xlsx]Bioplastic'!D869)</f>
        <v/>
      </c>
      <c r="E869">
        <f>IF(ISBLANK('Q:\Abteilungsprojekte\eng\EngData\AOS\Allgemein\[LabSamples2025.xlsx]Bioplastic'!E869)," ",'Q:\Abteilungsprojekte\eng\EngData\AOS\Allgemein\[LabSamples2025.xlsx]Bioplastic'!E869)</f>
        <v/>
      </c>
      <c r="F869">
        <f>IF(ISBLANK('Q:\Abteilungsprojekte\eng\EngData\AOS\Allgemein\[LabSamples2025.xlsx]Bioplastic'!F869)," ",'Q:\Abteilungsprojekte\eng\EngData\AOS\Allgemein\[LabSamples2025.xlsx]Bioplastic'!F869)</f>
        <v/>
      </c>
      <c r="G869">
        <f>IF(ISBLANK('Q:\Abteilungsprojekte\eng\EngData\AOS\Allgemein\[LabSamples2025.xlsx]Bioplastic'!G869)," ",'Q:\Abteilungsprojekte\eng\EngData\AOS\Allgemein\[LabSamples2025.xlsx]Bioplastic'!G869)</f>
        <v/>
      </c>
      <c r="H869">
        <f>IF(ISBLANK('Q:\Abteilungsprojekte\eng\EngData\AOS\Allgemein\[LabSamples2025.xlsx]Bioplastic'!H869)," ",'Q:\Abteilungsprojekte\eng\EngData\AOS\Allgemein\[LabSamples2025.xlsx]Bioplastic'!H869)</f>
        <v/>
      </c>
    </row>
    <row r="870">
      <c r="A870">
        <f>IF(ISBLANK('Q:\Abteilungsprojekte\eng\EngData\AOS\Allgemein\[LabSamples2025.xlsx]Bioplastic'!A870)," ",'Q:\Abteilungsprojekte\eng\EngData\AOS\Allgemein\[LabSamples2025.xlsx]Bioplastic'!A870)</f>
        <v/>
      </c>
      <c r="B870">
        <f>IF(ISBLANK('Q:\Abteilungsprojekte\eng\EngData\AOS\Allgemein\[LabSamples2025.xlsx]Bioplastic'!B870)," ",'Q:\Abteilungsprojekte\eng\EngData\AOS\Allgemein\[LabSamples2025.xlsx]Bioplastic'!B870)</f>
        <v/>
      </c>
      <c r="C870">
        <f>IF(ISBLANK('Q:\Abteilungsprojekte\eng\EngData\AOS\Allgemein\[LabSamples2025.xlsx]Bioplastic'!C870)," ",'Q:\Abteilungsprojekte\eng\EngData\AOS\Allgemein\[LabSamples2025.xlsx]Bioplastic'!C870)</f>
        <v/>
      </c>
      <c r="D870">
        <f>IF(ISBLANK('Q:\Abteilungsprojekte\eng\EngData\AOS\Allgemein\[LabSamples2025.xlsx]Bioplastic'!D870)," ",'Q:\Abteilungsprojekte\eng\EngData\AOS\Allgemein\[LabSamples2025.xlsx]Bioplastic'!D870)</f>
        <v/>
      </c>
      <c r="E870">
        <f>IF(ISBLANK('Q:\Abteilungsprojekte\eng\EngData\AOS\Allgemein\[LabSamples2025.xlsx]Bioplastic'!E870)," ",'Q:\Abteilungsprojekte\eng\EngData\AOS\Allgemein\[LabSamples2025.xlsx]Bioplastic'!E870)</f>
        <v/>
      </c>
      <c r="F870">
        <f>IF(ISBLANK('Q:\Abteilungsprojekte\eng\EngData\AOS\Allgemein\[LabSamples2025.xlsx]Bioplastic'!F870)," ",'Q:\Abteilungsprojekte\eng\EngData\AOS\Allgemein\[LabSamples2025.xlsx]Bioplastic'!F870)</f>
        <v/>
      </c>
      <c r="G870">
        <f>IF(ISBLANK('Q:\Abteilungsprojekte\eng\EngData\AOS\Allgemein\[LabSamples2025.xlsx]Bioplastic'!G870)," ",'Q:\Abteilungsprojekte\eng\EngData\AOS\Allgemein\[LabSamples2025.xlsx]Bioplastic'!G870)</f>
        <v/>
      </c>
      <c r="H870">
        <f>IF(ISBLANK('Q:\Abteilungsprojekte\eng\EngData\AOS\Allgemein\[LabSamples2025.xlsx]Bioplastic'!H870)," ",'Q:\Abteilungsprojekte\eng\EngData\AOS\Allgemein\[LabSamples2025.xlsx]Bioplastic'!H870)</f>
        <v/>
      </c>
    </row>
    <row r="871">
      <c r="A871">
        <f>IF(ISBLANK('Q:\Abteilungsprojekte\eng\EngData\AOS\Allgemein\[LabSamples2025.xlsx]Bioplastic'!A871)," ",'Q:\Abteilungsprojekte\eng\EngData\AOS\Allgemein\[LabSamples2025.xlsx]Bioplastic'!A871)</f>
        <v/>
      </c>
      <c r="B871">
        <f>IF(ISBLANK('Q:\Abteilungsprojekte\eng\EngData\AOS\Allgemein\[LabSamples2025.xlsx]Bioplastic'!B871)," ",'Q:\Abteilungsprojekte\eng\EngData\AOS\Allgemein\[LabSamples2025.xlsx]Bioplastic'!B871)</f>
        <v/>
      </c>
      <c r="C871">
        <f>IF(ISBLANK('Q:\Abteilungsprojekte\eng\EngData\AOS\Allgemein\[LabSamples2025.xlsx]Bioplastic'!C871)," ",'Q:\Abteilungsprojekte\eng\EngData\AOS\Allgemein\[LabSamples2025.xlsx]Bioplastic'!C871)</f>
        <v/>
      </c>
      <c r="D871">
        <f>IF(ISBLANK('Q:\Abteilungsprojekte\eng\EngData\AOS\Allgemein\[LabSamples2025.xlsx]Bioplastic'!D871)," ",'Q:\Abteilungsprojekte\eng\EngData\AOS\Allgemein\[LabSamples2025.xlsx]Bioplastic'!D871)</f>
        <v/>
      </c>
      <c r="E871">
        <f>IF(ISBLANK('Q:\Abteilungsprojekte\eng\EngData\AOS\Allgemein\[LabSamples2025.xlsx]Bioplastic'!E871)," ",'Q:\Abteilungsprojekte\eng\EngData\AOS\Allgemein\[LabSamples2025.xlsx]Bioplastic'!E871)</f>
        <v/>
      </c>
      <c r="F871">
        <f>IF(ISBLANK('Q:\Abteilungsprojekte\eng\EngData\AOS\Allgemein\[LabSamples2025.xlsx]Bioplastic'!F871)," ",'Q:\Abteilungsprojekte\eng\EngData\AOS\Allgemein\[LabSamples2025.xlsx]Bioplastic'!F871)</f>
        <v/>
      </c>
      <c r="G871">
        <f>IF(ISBLANK('Q:\Abteilungsprojekte\eng\EngData\AOS\Allgemein\[LabSamples2025.xlsx]Bioplastic'!G871)," ",'Q:\Abteilungsprojekte\eng\EngData\AOS\Allgemein\[LabSamples2025.xlsx]Bioplastic'!G871)</f>
        <v/>
      </c>
      <c r="H871">
        <f>IF(ISBLANK('Q:\Abteilungsprojekte\eng\EngData\AOS\Allgemein\[LabSamples2025.xlsx]Bioplastic'!H871)," ",'Q:\Abteilungsprojekte\eng\EngData\AOS\Allgemein\[LabSamples2025.xlsx]Bioplastic'!H871)</f>
        <v/>
      </c>
    </row>
    <row r="872">
      <c r="A872">
        <f>IF(ISBLANK('Q:\Abteilungsprojekte\eng\EngData\AOS\Allgemein\[LabSamples2025.xlsx]Bioplastic'!A872)," ",'Q:\Abteilungsprojekte\eng\EngData\AOS\Allgemein\[LabSamples2025.xlsx]Bioplastic'!A872)</f>
        <v/>
      </c>
      <c r="B872">
        <f>IF(ISBLANK('Q:\Abteilungsprojekte\eng\EngData\AOS\Allgemein\[LabSamples2025.xlsx]Bioplastic'!B872)," ",'Q:\Abteilungsprojekte\eng\EngData\AOS\Allgemein\[LabSamples2025.xlsx]Bioplastic'!B872)</f>
        <v/>
      </c>
      <c r="C872">
        <f>IF(ISBLANK('Q:\Abteilungsprojekte\eng\EngData\AOS\Allgemein\[LabSamples2025.xlsx]Bioplastic'!C872)," ",'Q:\Abteilungsprojekte\eng\EngData\AOS\Allgemein\[LabSamples2025.xlsx]Bioplastic'!C872)</f>
        <v/>
      </c>
      <c r="D872">
        <f>IF(ISBLANK('Q:\Abteilungsprojekte\eng\EngData\AOS\Allgemein\[LabSamples2025.xlsx]Bioplastic'!D872)," ",'Q:\Abteilungsprojekte\eng\EngData\AOS\Allgemein\[LabSamples2025.xlsx]Bioplastic'!D872)</f>
        <v/>
      </c>
      <c r="E872">
        <f>IF(ISBLANK('Q:\Abteilungsprojekte\eng\EngData\AOS\Allgemein\[LabSamples2025.xlsx]Bioplastic'!E872)," ",'Q:\Abteilungsprojekte\eng\EngData\AOS\Allgemein\[LabSamples2025.xlsx]Bioplastic'!E872)</f>
        <v/>
      </c>
      <c r="F872">
        <f>IF(ISBLANK('Q:\Abteilungsprojekte\eng\EngData\AOS\Allgemein\[LabSamples2025.xlsx]Bioplastic'!F872)," ",'Q:\Abteilungsprojekte\eng\EngData\AOS\Allgemein\[LabSamples2025.xlsx]Bioplastic'!F872)</f>
        <v/>
      </c>
      <c r="G872">
        <f>IF(ISBLANK('Q:\Abteilungsprojekte\eng\EngData\AOS\Allgemein\[LabSamples2025.xlsx]Bioplastic'!G872)," ",'Q:\Abteilungsprojekte\eng\EngData\AOS\Allgemein\[LabSamples2025.xlsx]Bioplastic'!G872)</f>
        <v/>
      </c>
      <c r="H872">
        <f>IF(ISBLANK('Q:\Abteilungsprojekte\eng\EngData\AOS\Allgemein\[LabSamples2025.xlsx]Bioplastic'!H872)," ",'Q:\Abteilungsprojekte\eng\EngData\AOS\Allgemein\[LabSamples2025.xlsx]Bioplastic'!H872)</f>
        <v/>
      </c>
    </row>
    <row r="873">
      <c r="A873">
        <f>IF(ISBLANK('Q:\Abteilungsprojekte\eng\EngData\AOS\Allgemein\[LabSamples2025.xlsx]Bioplastic'!A873)," ",'Q:\Abteilungsprojekte\eng\EngData\AOS\Allgemein\[LabSamples2025.xlsx]Bioplastic'!A873)</f>
        <v/>
      </c>
      <c r="B873">
        <f>IF(ISBLANK('Q:\Abteilungsprojekte\eng\EngData\AOS\Allgemein\[LabSamples2025.xlsx]Bioplastic'!B873)," ",'Q:\Abteilungsprojekte\eng\EngData\AOS\Allgemein\[LabSamples2025.xlsx]Bioplastic'!B873)</f>
        <v/>
      </c>
      <c r="C873">
        <f>IF(ISBLANK('Q:\Abteilungsprojekte\eng\EngData\AOS\Allgemein\[LabSamples2025.xlsx]Bioplastic'!C873)," ",'Q:\Abteilungsprojekte\eng\EngData\AOS\Allgemein\[LabSamples2025.xlsx]Bioplastic'!C873)</f>
        <v/>
      </c>
      <c r="D873">
        <f>IF(ISBLANK('Q:\Abteilungsprojekte\eng\EngData\AOS\Allgemein\[LabSamples2025.xlsx]Bioplastic'!D873)," ",'Q:\Abteilungsprojekte\eng\EngData\AOS\Allgemein\[LabSamples2025.xlsx]Bioplastic'!D873)</f>
        <v/>
      </c>
      <c r="E873">
        <f>IF(ISBLANK('Q:\Abteilungsprojekte\eng\EngData\AOS\Allgemein\[LabSamples2025.xlsx]Bioplastic'!E873)," ",'Q:\Abteilungsprojekte\eng\EngData\AOS\Allgemein\[LabSamples2025.xlsx]Bioplastic'!E873)</f>
        <v/>
      </c>
      <c r="F873">
        <f>IF(ISBLANK('Q:\Abteilungsprojekte\eng\EngData\AOS\Allgemein\[LabSamples2025.xlsx]Bioplastic'!F873)," ",'Q:\Abteilungsprojekte\eng\EngData\AOS\Allgemein\[LabSamples2025.xlsx]Bioplastic'!F873)</f>
        <v/>
      </c>
      <c r="G873">
        <f>IF(ISBLANK('Q:\Abteilungsprojekte\eng\EngData\AOS\Allgemein\[LabSamples2025.xlsx]Bioplastic'!G873)," ",'Q:\Abteilungsprojekte\eng\EngData\AOS\Allgemein\[LabSamples2025.xlsx]Bioplastic'!G873)</f>
        <v/>
      </c>
      <c r="H873">
        <f>IF(ISBLANK('Q:\Abteilungsprojekte\eng\EngData\AOS\Allgemein\[LabSamples2025.xlsx]Bioplastic'!H873)," ",'Q:\Abteilungsprojekte\eng\EngData\AOS\Allgemein\[LabSamples2025.xlsx]Bioplastic'!H873)</f>
        <v/>
      </c>
    </row>
    <row r="874">
      <c r="A874">
        <f>IF(ISBLANK('Q:\Abteilungsprojekte\eng\EngData\AOS\Allgemein\[LabSamples2025.xlsx]Bioplastic'!A874)," ",'Q:\Abteilungsprojekte\eng\EngData\AOS\Allgemein\[LabSamples2025.xlsx]Bioplastic'!A874)</f>
        <v/>
      </c>
      <c r="B874">
        <f>IF(ISBLANK('Q:\Abteilungsprojekte\eng\EngData\AOS\Allgemein\[LabSamples2025.xlsx]Bioplastic'!B874)," ",'Q:\Abteilungsprojekte\eng\EngData\AOS\Allgemein\[LabSamples2025.xlsx]Bioplastic'!B874)</f>
        <v/>
      </c>
      <c r="C874">
        <f>IF(ISBLANK('Q:\Abteilungsprojekte\eng\EngData\AOS\Allgemein\[LabSamples2025.xlsx]Bioplastic'!C874)," ",'Q:\Abteilungsprojekte\eng\EngData\AOS\Allgemein\[LabSamples2025.xlsx]Bioplastic'!C874)</f>
        <v/>
      </c>
      <c r="D874">
        <f>IF(ISBLANK('Q:\Abteilungsprojekte\eng\EngData\AOS\Allgemein\[LabSamples2025.xlsx]Bioplastic'!D874)," ",'Q:\Abteilungsprojekte\eng\EngData\AOS\Allgemein\[LabSamples2025.xlsx]Bioplastic'!D874)</f>
        <v/>
      </c>
      <c r="E874">
        <f>IF(ISBLANK('Q:\Abteilungsprojekte\eng\EngData\AOS\Allgemein\[LabSamples2025.xlsx]Bioplastic'!E874)," ",'Q:\Abteilungsprojekte\eng\EngData\AOS\Allgemein\[LabSamples2025.xlsx]Bioplastic'!E874)</f>
        <v/>
      </c>
      <c r="F874">
        <f>IF(ISBLANK('Q:\Abteilungsprojekte\eng\EngData\AOS\Allgemein\[LabSamples2025.xlsx]Bioplastic'!F874)," ",'Q:\Abteilungsprojekte\eng\EngData\AOS\Allgemein\[LabSamples2025.xlsx]Bioplastic'!F874)</f>
        <v/>
      </c>
      <c r="G874">
        <f>IF(ISBLANK('Q:\Abteilungsprojekte\eng\EngData\AOS\Allgemein\[LabSamples2025.xlsx]Bioplastic'!G874)," ",'Q:\Abteilungsprojekte\eng\EngData\AOS\Allgemein\[LabSamples2025.xlsx]Bioplastic'!G874)</f>
        <v/>
      </c>
      <c r="H874">
        <f>IF(ISBLANK('Q:\Abteilungsprojekte\eng\EngData\AOS\Allgemein\[LabSamples2025.xlsx]Bioplastic'!H874)," ",'Q:\Abteilungsprojekte\eng\EngData\AOS\Allgemein\[LabSamples2025.xlsx]Bioplastic'!H874)</f>
        <v/>
      </c>
    </row>
    <row r="875">
      <c r="A875">
        <f>IF(ISBLANK('Q:\Abteilungsprojekte\eng\EngData\AOS\Allgemein\[LabSamples2025.xlsx]Bioplastic'!A875)," ",'Q:\Abteilungsprojekte\eng\EngData\AOS\Allgemein\[LabSamples2025.xlsx]Bioplastic'!A875)</f>
        <v/>
      </c>
      <c r="B875">
        <f>IF(ISBLANK('Q:\Abteilungsprojekte\eng\EngData\AOS\Allgemein\[LabSamples2025.xlsx]Bioplastic'!B875)," ",'Q:\Abteilungsprojekte\eng\EngData\AOS\Allgemein\[LabSamples2025.xlsx]Bioplastic'!B875)</f>
        <v/>
      </c>
      <c r="C875">
        <f>IF(ISBLANK('Q:\Abteilungsprojekte\eng\EngData\AOS\Allgemein\[LabSamples2025.xlsx]Bioplastic'!C875)," ",'Q:\Abteilungsprojekte\eng\EngData\AOS\Allgemein\[LabSamples2025.xlsx]Bioplastic'!C875)</f>
        <v/>
      </c>
      <c r="D875">
        <f>IF(ISBLANK('Q:\Abteilungsprojekte\eng\EngData\AOS\Allgemein\[LabSamples2025.xlsx]Bioplastic'!D875)," ",'Q:\Abteilungsprojekte\eng\EngData\AOS\Allgemein\[LabSamples2025.xlsx]Bioplastic'!D875)</f>
        <v/>
      </c>
      <c r="E875">
        <f>IF(ISBLANK('Q:\Abteilungsprojekte\eng\EngData\AOS\Allgemein\[LabSamples2025.xlsx]Bioplastic'!E875)," ",'Q:\Abteilungsprojekte\eng\EngData\AOS\Allgemein\[LabSamples2025.xlsx]Bioplastic'!E875)</f>
        <v/>
      </c>
      <c r="F875">
        <f>IF(ISBLANK('Q:\Abteilungsprojekte\eng\EngData\AOS\Allgemein\[LabSamples2025.xlsx]Bioplastic'!F875)," ",'Q:\Abteilungsprojekte\eng\EngData\AOS\Allgemein\[LabSamples2025.xlsx]Bioplastic'!F875)</f>
        <v/>
      </c>
      <c r="G875">
        <f>IF(ISBLANK('Q:\Abteilungsprojekte\eng\EngData\AOS\Allgemein\[LabSamples2025.xlsx]Bioplastic'!G875)," ",'Q:\Abteilungsprojekte\eng\EngData\AOS\Allgemein\[LabSamples2025.xlsx]Bioplastic'!G875)</f>
        <v/>
      </c>
      <c r="H875">
        <f>IF(ISBLANK('Q:\Abteilungsprojekte\eng\EngData\AOS\Allgemein\[LabSamples2025.xlsx]Bioplastic'!H875)," ",'Q:\Abteilungsprojekte\eng\EngData\AOS\Allgemein\[LabSamples2025.xlsx]Bioplastic'!H875)</f>
        <v/>
      </c>
    </row>
    <row r="876">
      <c r="A876">
        <f>IF(ISBLANK('Q:\Abteilungsprojekte\eng\EngData\AOS\Allgemein\[LabSamples2025.xlsx]Bioplastic'!A876)," ",'Q:\Abteilungsprojekte\eng\EngData\AOS\Allgemein\[LabSamples2025.xlsx]Bioplastic'!A876)</f>
        <v/>
      </c>
      <c r="B876">
        <f>IF(ISBLANK('Q:\Abteilungsprojekte\eng\EngData\AOS\Allgemein\[LabSamples2025.xlsx]Bioplastic'!B876)," ",'Q:\Abteilungsprojekte\eng\EngData\AOS\Allgemein\[LabSamples2025.xlsx]Bioplastic'!B876)</f>
        <v/>
      </c>
      <c r="C876">
        <f>IF(ISBLANK('Q:\Abteilungsprojekte\eng\EngData\AOS\Allgemein\[LabSamples2025.xlsx]Bioplastic'!C876)," ",'Q:\Abteilungsprojekte\eng\EngData\AOS\Allgemein\[LabSamples2025.xlsx]Bioplastic'!C876)</f>
        <v/>
      </c>
      <c r="D876">
        <f>IF(ISBLANK('Q:\Abteilungsprojekte\eng\EngData\AOS\Allgemein\[LabSamples2025.xlsx]Bioplastic'!D876)," ",'Q:\Abteilungsprojekte\eng\EngData\AOS\Allgemein\[LabSamples2025.xlsx]Bioplastic'!D876)</f>
        <v/>
      </c>
      <c r="E876">
        <f>IF(ISBLANK('Q:\Abteilungsprojekte\eng\EngData\AOS\Allgemein\[LabSamples2025.xlsx]Bioplastic'!E876)," ",'Q:\Abteilungsprojekte\eng\EngData\AOS\Allgemein\[LabSamples2025.xlsx]Bioplastic'!E876)</f>
        <v/>
      </c>
      <c r="F876">
        <f>IF(ISBLANK('Q:\Abteilungsprojekte\eng\EngData\AOS\Allgemein\[LabSamples2025.xlsx]Bioplastic'!F876)," ",'Q:\Abteilungsprojekte\eng\EngData\AOS\Allgemein\[LabSamples2025.xlsx]Bioplastic'!F876)</f>
        <v/>
      </c>
      <c r="G876">
        <f>IF(ISBLANK('Q:\Abteilungsprojekte\eng\EngData\AOS\Allgemein\[LabSamples2025.xlsx]Bioplastic'!G876)," ",'Q:\Abteilungsprojekte\eng\EngData\AOS\Allgemein\[LabSamples2025.xlsx]Bioplastic'!G876)</f>
        <v/>
      </c>
      <c r="H876">
        <f>IF(ISBLANK('Q:\Abteilungsprojekte\eng\EngData\AOS\Allgemein\[LabSamples2025.xlsx]Bioplastic'!H876)," ",'Q:\Abteilungsprojekte\eng\EngData\AOS\Allgemein\[LabSamples2025.xlsx]Bioplastic'!H876)</f>
        <v/>
      </c>
    </row>
    <row r="877">
      <c r="A877">
        <f>IF(ISBLANK('Q:\Abteilungsprojekte\eng\EngData\AOS\Allgemein\[LabSamples2025.xlsx]Bioplastic'!A877)," ",'Q:\Abteilungsprojekte\eng\EngData\AOS\Allgemein\[LabSamples2025.xlsx]Bioplastic'!A877)</f>
        <v/>
      </c>
      <c r="B877">
        <f>IF(ISBLANK('Q:\Abteilungsprojekte\eng\EngData\AOS\Allgemein\[LabSamples2025.xlsx]Bioplastic'!B877)," ",'Q:\Abteilungsprojekte\eng\EngData\AOS\Allgemein\[LabSamples2025.xlsx]Bioplastic'!B877)</f>
        <v/>
      </c>
      <c r="C877">
        <f>IF(ISBLANK('Q:\Abteilungsprojekte\eng\EngData\AOS\Allgemein\[LabSamples2025.xlsx]Bioplastic'!C877)," ",'Q:\Abteilungsprojekte\eng\EngData\AOS\Allgemein\[LabSamples2025.xlsx]Bioplastic'!C877)</f>
        <v/>
      </c>
      <c r="D877">
        <f>IF(ISBLANK('Q:\Abteilungsprojekte\eng\EngData\AOS\Allgemein\[LabSamples2025.xlsx]Bioplastic'!D877)," ",'Q:\Abteilungsprojekte\eng\EngData\AOS\Allgemein\[LabSamples2025.xlsx]Bioplastic'!D877)</f>
        <v/>
      </c>
      <c r="E877">
        <f>IF(ISBLANK('Q:\Abteilungsprojekte\eng\EngData\AOS\Allgemein\[LabSamples2025.xlsx]Bioplastic'!E877)," ",'Q:\Abteilungsprojekte\eng\EngData\AOS\Allgemein\[LabSamples2025.xlsx]Bioplastic'!E877)</f>
        <v/>
      </c>
      <c r="F877">
        <f>IF(ISBLANK('Q:\Abteilungsprojekte\eng\EngData\AOS\Allgemein\[LabSamples2025.xlsx]Bioplastic'!F877)," ",'Q:\Abteilungsprojekte\eng\EngData\AOS\Allgemein\[LabSamples2025.xlsx]Bioplastic'!F877)</f>
        <v/>
      </c>
      <c r="G877">
        <f>IF(ISBLANK('Q:\Abteilungsprojekte\eng\EngData\AOS\Allgemein\[LabSamples2025.xlsx]Bioplastic'!G877)," ",'Q:\Abteilungsprojekte\eng\EngData\AOS\Allgemein\[LabSamples2025.xlsx]Bioplastic'!G877)</f>
        <v/>
      </c>
      <c r="H877">
        <f>IF(ISBLANK('Q:\Abteilungsprojekte\eng\EngData\AOS\Allgemein\[LabSamples2025.xlsx]Bioplastic'!H877)," ",'Q:\Abteilungsprojekte\eng\EngData\AOS\Allgemein\[LabSamples2025.xlsx]Bioplastic'!H877)</f>
        <v/>
      </c>
    </row>
    <row r="878">
      <c r="A878">
        <f>IF(ISBLANK('Q:\Abteilungsprojekte\eng\EngData\AOS\Allgemein\[LabSamples2025.xlsx]Bioplastic'!A878)," ",'Q:\Abteilungsprojekte\eng\EngData\AOS\Allgemein\[LabSamples2025.xlsx]Bioplastic'!A878)</f>
        <v/>
      </c>
      <c r="B878">
        <f>IF(ISBLANK('Q:\Abteilungsprojekte\eng\EngData\AOS\Allgemein\[LabSamples2025.xlsx]Bioplastic'!B878)," ",'Q:\Abteilungsprojekte\eng\EngData\AOS\Allgemein\[LabSamples2025.xlsx]Bioplastic'!B878)</f>
        <v/>
      </c>
      <c r="C878">
        <f>IF(ISBLANK('Q:\Abteilungsprojekte\eng\EngData\AOS\Allgemein\[LabSamples2025.xlsx]Bioplastic'!C878)," ",'Q:\Abteilungsprojekte\eng\EngData\AOS\Allgemein\[LabSamples2025.xlsx]Bioplastic'!C878)</f>
        <v/>
      </c>
      <c r="D878">
        <f>IF(ISBLANK('Q:\Abteilungsprojekte\eng\EngData\AOS\Allgemein\[LabSamples2025.xlsx]Bioplastic'!D878)," ",'Q:\Abteilungsprojekte\eng\EngData\AOS\Allgemein\[LabSamples2025.xlsx]Bioplastic'!D878)</f>
        <v/>
      </c>
      <c r="E878">
        <f>IF(ISBLANK('Q:\Abteilungsprojekte\eng\EngData\AOS\Allgemein\[LabSamples2025.xlsx]Bioplastic'!E878)," ",'Q:\Abteilungsprojekte\eng\EngData\AOS\Allgemein\[LabSamples2025.xlsx]Bioplastic'!E878)</f>
        <v/>
      </c>
      <c r="F878">
        <f>IF(ISBLANK('Q:\Abteilungsprojekte\eng\EngData\AOS\Allgemein\[LabSamples2025.xlsx]Bioplastic'!F878)," ",'Q:\Abteilungsprojekte\eng\EngData\AOS\Allgemein\[LabSamples2025.xlsx]Bioplastic'!F878)</f>
        <v/>
      </c>
      <c r="G878">
        <f>IF(ISBLANK('Q:\Abteilungsprojekte\eng\EngData\AOS\Allgemein\[LabSamples2025.xlsx]Bioplastic'!G878)," ",'Q:\Abteilungsprojekte\eng\EngData\AOS\Allgemein\[LabSamples2025.xlsx]Bioplastic'!G878)</f>
        <v/>
      </c>
      <c r="H878">
        <f>IF(ISBLANK('Q:\Abteilungsprojekte\eng\EngData\AOS\Allgemein\[LabSamples2025.xlsx]Bioplastic'!H878)," ",'Q:\Abteilungsprojekte\eng\EngData\AOS\Allgemein\[LabSamples2025.xlsx]Bioplastic'!H878)</f>
        <v/>
      </c>
    </row>
    <row r="879">
      <c r="A879">
        <f>IF(ISBLANK('Q:\Abteilungsprojekte\eng\EngData\AOS\Allgemein\[LabSamples2025.xlsx]Bioplastic'!A879)," ",'Q:\Abteilungsprojekte\eng\EngData\AOS\Allgemein\[LabSamples2025.xlsx]Bioplastic'!A879)</f>
        <v/>
      </c>
      <c r="B879">
        <f>IF(ISBLANK('Q:\Abteilungsprojekte\eng\EngData\AOS\Allgemein\[LabSamples2025.xlsx]Bioplastic'!B879)," ",'Q:\Abteilungsprojekte\eng\EngData\AOS\Allgemein\[LabSamples2025.xlsx]Bioplastic'!B879)</f>
        <v/>
      </c>
      <c r="C879">
        <f>IF(ISBLANK('Q:\Abteilungsprojekte\eng\EngData\AOS\Allgemein\[LabSamples2025.xlsx]Bioplastic'!C879)," ",'Q:\Abteilungsprojekte\eng\EngData\AOS\Allgemein\[LabSamples2025.xlsx]Bioplastic'!C879)</f>
        <v/>
      </c>
      <c r="D879">
        <f>IF(ISBLANK('Q:\Abteilungsprojekte\eng\EngData\AOS\Allgemein\[LabSamples2025.xlsx]Bioplastic'!D879)," ",'Q:\Abteilungsprojekte\eng\EngData\AOS\Allgemein\[LabSamples2025.xlsx]Bioplastic'!D879)</f>
        <v/>
      </c>
      <c r="E879">
        <f>IF(ISBLANK('Q:\Abteilungsprojekte\eng\EngData\AOS\Allgemein\[LabSamples2025.xlsx]Bioplastic'!E879)," ",'Q:\Abteilungsprojekte\eng\EngData\AOS\Allgemein\[LabSamples2025.xlsx]Bioplastic'!E879)</f>
        <v/>
      </c>
      <c r="F879">
        <f>IF(ISBLANK('Q:\Abteilungsprojekte\eng\EngData\AOS\Allgemein\[LabSamples2025.xlsx]Bioplastic'!F879)," ",'Q:\Abteilungsprojekte\eng\EngData\AOS\Allgemein\[LabSamples2025.xlsx]Bioplastic'!F879)</f>
        <v/>
      </c>
      <c r="G879">
        <f>IF(ISBLANK('Q:\Abteilungsprojekte\eng\EngData\AOS\Allgemein\[LabSamples2025.xlsx]Bioplastic'!G879)," ",'Q:\Abteilungsprojekte\eng\EngData\AOS\Allgemein\[LabSamples2025.xlsx]Bioplastic'!G879)</f>
        <v/>
      </c>
      <c r="H879">
        <f>IF(ISBLANK('Q:\Abteilungsprojekte\eng\EngData\AOS\Allgemein\[LabSamples2025.xlsx]Bioplastic'!H879)," ",'Q:\Abteilungsprojekte\eng\EngData\AOS\Allgemein\[LabSamples2025.xlsx]Bioplastic'!H879)</f>
        <v/>
      </c>
    </row>
    <row r="880">
      <c r="A880">
        <f>IF(ISBLANK('Q:\Abteilungsprojekte\eng\EngData\AOS\Allgemein\[LabSamples2025.xlsx]Bioplastic'!A880)," ",'Q:\Abteilungsprojekte\eng\EngData\AOS\Allgemein\[LabSamples2025.xlsx]Bioplastic'!A880)</f>
        <v/>
      </c>
      <c r="B880">
        <f>IF(ISBLANK('Q:\Abteilungsprojekte\eng\EngData\AOS\Allgemein\[LabSamples2025.xlsx]Bioplastic'!B880)," ",'Q:\Abteilungsprojekte\eng\EngData\AOS\Allgemein\[LabSamples2025.xlsx]Bioplastic'!B880)</f>
        <v/>
      </c>
      <c r="C880">
        <f>IF(ISBLANK('Q:\Abteilungsprojekte\eng\EngData\AOS\Allgemein\[LabSamples2025.xlsx]Bioplastic'!C880)," ",'Q:\Abteilungsprojekte\eng\EngData\AOS\Allgemein\[LabSamples2025.xlsx]Bioplastic'!C880)</f>
        <v/>
      </c>
      <c r="D880">
        <f>IF(ISBLANK('Q:\Abteilungsprojekte\eng\EngData\AOS\Allgemein\[LabSamples2025.xlsx]Bioplastic'!D880)," ",'Q:\Abteilungsprojekte\eng\EngData\AOS\Allgemein\[LabSamples2025.xlsx]Bioplastic'!D880)</f>
        <v/>
      </c>
      <c r="E880">
        <f>IF(ISBLANK('Q:\Abteilungsprojekte\eng\EngData\AOS\Allgemein\[LabSamples2025.xlsx]Bioplastic'!E880)," ",'Q:\Abteilungsprojekte\eng\EngData\AOS\Allgemein\[LabSamples2025.xlsx]Bioplastic'!E880)</f>
        <v/>
      </c>
      <c r="F880">
        <f>IF(ISBLANK('Q:\Abteilungsprojekte\eng\EngData\AOS\Allgemein\[LabSamples2025.xlsx]Bioplastic'!F880)," ",'Q:\Abteilungsprojekte\eng\EngData\AOS\Allgemein\[LabSamples2025.xlsx]Bioplastic'!F880)</f>
        <v/>
      </c>
      <c r="G880">
        <f>IF(ISBLANK('Q:\Abteilungsprojekte\eng\EngData\AOS\Allgemein\[LabSamples2025.xlsx]Bioplastic'!G880)," ",'Q:\Abteilungsprojekte\eng\EngData\AOS\Allgemein\[LabSamples2025.xlsx]Bioplastic'!G880)</f>
        <v/>
      </c>
      <c r="H880">
        <f>IF(ISBLANK('Q:\Abteilungsprojekte\eng\EngData\AOS\Allgemein\[LabSamples2025.xlsx]Bioplastic'!H880)," ",'Q:\Abteilungsprojekte\eng\EngData\AOS\Allgemein\[LabSamples2025.xlsx]Bioplastic'!H880)</f>
        <v/>
      </c>
    </row>
    <row r="881">
      <c r="A881">
        <f>IF(ISBLANK('Q:\Abteilungsprojekte\eng\EngData\AOS\Allgemein\[LabSamples2025.xlsx]Bioplastic'!A881)," ",'Q:\Abteilungsprojekte\eng\EngData\AOS\Allgemein\[LabSamples2025.xlsx]Bioplastic'!A881)</f>
        <v/>
      </c>
      <c r="B881">
        <f>IF(ISBLANK('Q:\Abteilungsprojekte\eng\EngData\AOS\Allgemein\[LabSamples2025.xlsx]Bioplastic'!B881)," ",'Q:\Abteilungsprojekte\eng\EngData\AOS\Allgemein\[LabSamples2025.xlsx]Bioplastic'!B881)</f>
        <v/>
      </c>
      <c r="C881">
        <f>IF(ISBLANK('Q:\Abteilungsprojekte\eng\EngData\AOS\Allgemein\[LabSamples2025.xlsx]Bioplastic'!C881)," ",'Q:\Abteilungsprojekte\eng\EngData\AOS\Allgemein\[LabSamples2025.xlsx]Bioplastic'!C881)</f>
        <v/>
      </c>
      <c r="D881">
        <f>IF(ISBLANK('Q:\Abteilungsprojekte\eng\EngData\AOS\Allgemein\[LabSamples2025.xlsx]Bioplastic'!D881)," ",'Q:\Abteilungsprojekte\eng\EngData\AOS\Allgemein\[LabSamples2025.xlsx]Bioplastic'!D881)</f>
        <v/>
      </c>
      <c r="E881">
        <f>IF(ISBLANK('Q:\Abteilungsprojekte\eng\EngData\AOS\Allgemein\[LabSamples2025.xlsx]Bioplastic'!E881)," ",'Q:\Abteilungsprojekte\eng\EngData\AOS\Allgemein\[LabSamples2025.xlsx]Bioplastic'!E881)</f>
        <v/>
      </c>
      <c r="F881">
        <f>IF(ISBLANK('Q:\Abteilungsprojekte\eng\EngData\AOS\Allgemein\[LabSamples2025.xlsx]Bioplastic'!F881)," ",'Q:\Abteilungsprojekte\eng\EngData\AOS\Allgemein\[LabSamples2025.xlsx]Bioplastic'!F881)</f>
        <v/>
      </c>
      <c r="G881">
        <f>IF(ISBLANK('Q:\Abteilungsprojekte\eng\EngData\AOS\Allgemein\[LabSamples2025.xlsx]Bioplastic'!G881)," ",'Q:\Abteilungsprojekte\eng\EngData\AOS\Allgemein\[LabSamples2025.xlsx]Bioplastic'!G881)</f>
        <v/>
      </c>
      <c r="H881">
        <f>IF(ISBLANK('Q:\Abteilungsprojekte\eng\EngData\AOS\Allgemein\[LabSamples2025.xlsx]Bioplastic'!H881)," ",'Q:\Abteilungsprojekte\eng\EngData\AOS\Allgemein\[LabSamples2025.xlsx]Bioplastic'!H881)</f>
        <v/>
      </c>
    </row>
    <row r="882">
      <c r="A882">
        <f>IF(ISBLANK('Q:\Abteilungsprojekte\eng\EngData\AOS\Allgemein\[LabSamples2025.xlsx]Bioplastic'!A882)," ",'Q:\Abteilungsprojekte\eng\EngData\AOS\Allgemein\[LabSamples2025.xlsx]Bioplastic'!A882)</f>
        <v/>
      </c>
      <c r="B882">
        <f>IF(ISBLANK('Q:\Abteilungsprojekte\eng\EngData\AOS\Allgemein\[LabSamples2025.xlsx]Bioplastic'!B882)," ",'Q:\Abteilungsprojekte\eng\EngData\AOS\Allgemein\[LabSamples2025.xlsx]Bioplastic'!B882)</f>
        <v/>
      </c>
      <c r="C882">
        <f>IF(ISBLANK('Q:\Abteilungsprojekte\eng\EngData\AOS\Allgemein\[LabSamples2025.xlsx]Bioplastic'!C882)," ",'Q:\Abteilungsprojekte\eng\EngData\AOS\Allgemein\[LabSamples2025.xlsx]Bioplastic'!C882)</f>
        <v/>
      </c>
      <c r="D882">
        <f>IF(ISBLANK('Q:\Abteilungsprojekte\eng\EngData\AOS\Allgemein\[LabSamples2025.xlsx]Bioplastic'!D882)," ",'Q:\Abteilungsprojekte\eng\EngData\AOS\Allgemein\[LabSamples2025.xlsx]Bioplastic'!D882)</f>
        <v/>
      </c>
      <c r="E882">
        <f>IF(ISBLANK('Q:\Abteilungsprojekte\eng\EngData\AOS\Allgemein\[LabSamples2025.xlsx]Bioplastic'!E882)," ",'Q:\Abteilungsprojekte\eng\EngData\AOS\Allgemein\[LabSamples2025.xlsx]Bioplastic'!E882)</f>
        <v/>
      </c>
      <c r="F882">
        <f>IF(ISBLANK('Q:\Abteilungsprojekte\eng\EngData\AOS\Allgemein\[LabSamples2025.xlsx]Bioplastic'!F882)," ",'Q:\Abteilungsprojekte\eng\EngData\AOS\Allgemein\[LabSamples2025.xlsx]Bioplastic'!F882)</f>
        <v/>
      </c>
      <c r="G882">
        <f>IF(ISBLANK('Q:\Abteilungsprojekte\eng\EngData\AOS\Allgemein\[LabSamples2025.xlsx]Bioplastic'!G882)," ",'Q:\Abteilungsprojekte\eng\EngData\AOS\Allgemein\[LabSamples2025.xlsx]Bioplastic'!G882)</f>
        <v/>
      </c>
      <c r="H882">
        <f>IF(ISBLANK('Q:\Abteilungsprojekte\eng\EngData\AOS\Allgemein\[LabSamples2025.xlsx]Bioplastic'!H882)," ",'Q:\Abteilungsprojekte\eng\EngData\AOS\Allgemein\[LabSamples2025.xlsx]Bioplastic'!H882)</f>
        <v/>
      </c>
    </row>
    <row r="883">
      <c r="A883">
        <f>IF(ISBLANK('Q:\Abteilungsprojekte\eng\EngData\AOS\Allgemein\[LabSamples2025.xlsx]Bioplastic'!A883)," ",'Q:\Abteilungsprojekte\eng\EngData\AOS\Allgemein\[LabSamples2025.xlsx]Bioplastic'!A883)</f>
        <v/>
      </c>
      <c r="B883">
        <f>IF(ISBLANK('Q:\Abteilungsprojekte\eng\EngData\AOS\Allgemein\[LabSamples2025.xlsx]Bioplastic'!B883)," ",'Q:\Abteilungsprojekte\eng\EngData\AOS\Allgemein\[LabSamples2025.xlsx]Bioplastic'!B883)</f>
        <v/>
      </c>
      <c r="C883">
        <f>IF(ISBLANK('Q:\Abteilungsprojekte\eng\EngData\AOS\Allgemein\[LabSamples2025.xlsx]Bioplastic'!C883)," ",'Q:\Abteilungsprojekte\eng\EngData\AOS\Allgemein\[LabSamples2025.xlsx]Bioplastic'!C883)</f>
        <v/>
      </c>
      <c r="D883">
        <f>IF(ISBLANK('Q:\Abteilungsprojekte\eng\EngData\AOS\Allgemein\[LabSamples2025.xlsx]Bioplastic'!D883)," ",'Q:\Abteilungsprojekte\eng\EngData\AOS\Allgemein\[LabSamples2025.xlsx]Bioplastic'!D883)</f>
        <v/>
      </c>
      <c r="E883">
        <f>IF(ISBLANK('Q:\Abteilungsprojekte\eng\EngData\AOS\Allgemein\[LabSamples2025.xlsx]Bioplastic'!E883)," ",'Q:\Abteilungsprojekte\eng\EngData\AOS\Allgemein\[LabSamples2025.xlsx]Bioplastic'!E883)</f>
        <v/>
      </c>
      <c r="F883">
        <f>IF(ISBLANK('Q:\Abteilungsprojekte\eng\EngData\AOS\Allgemein\[LabSamples2025.xlsx]Bioplastic'!F883)," ",'Q:\Abteilungsprojekte\eng\EngData\AOS\Allgemein\[LabSamples2025.xlsx]Bioplastic'!F883)</f>
        <v/>
      </c>
      <c r="G883">
        <f>IF(ISBLANK('Q:\Abteilungsprojekte\eng\EngData\AOS\Allgemein\[LabSamples2025.xlsx]Bioplastic'!G883)," ",'Q:\Abteilungsprojekte\eng\EngData\AOS\Allgemein\[LabSamples2025.xlsx]Bioplastic'!G883)</f>
        <v/>
      </c>
      <c r="H883">
        <f>IF(ISBLANK('Q:\Abteilungsprojekte\eng\EngData\AOS\Allgemein\[LabSamples2025.xlsx]Bioplastic'!H883)," ",'Q:\Abteilungsprojekte\eng\EngData\AOS\Allgemein\[LabSamples2025.xlsx]Bioplastic'!H883)</f>
        <v/>
      </c>
    </row>
    <row r="884">
      <c r="A884">
        <f>IF(ISBLANK('Q:\Abteilungsprojekte\eng\EngData\AOS\Allgemein\[LabSamples2025.xlsx]Bioplastic'!A884)," ",'Q:\Abteilungsprojekte\eng\EngData\AOS\Allgemein\[LabSamples2025.xlsx]Bioplastic'!A884)</f>
        <v/>
      </c>
      <c r="B884">
        <f>IF(ISBLANK('Q:\Abteilungsprojekte\eng\EngData\AOS\Allgemein\[LabSamples2025.xlsx]Bioplastic'!B884)," ",'Q:\Abteilungsprojekte\eng\EngData\AOS\Allgemein\[LabSamples2025.xlsx]Bioplastic'!B884)</f>
        <v/>
      </c>
      <c r="C884">
        <f>IF(ISBLANK('Q:\Abteilungsprojekte\eng\EngData\AOS\Allgemein\[LabSamples2025.xlsx]Bioplastic'!C884)," ",'Q:\Abteilungsprojekte\eng\EngData\AOS\Allgemein\[LabSamples2025.xlsx]Bioplastic'!C884)</f>
        <v/>
      </c>
      <c r="D884">
        <f>IF(ISBLANK('Q:\Abteilungsprojekte\eng\EngData\AOS\Allgemein\[LabSamples2025.xlsx]Bioplastic'!D884)," ",'Q:\Abteilungsprojekte\eng\EngData\AOS\Allgemein\[LabSamples2025.xlsx]Bioplastic'!D884)</f>
        <v/>
      </c>
      <c r="E884">
        <f>IF(ISBLANK('Q:\Abteilungsprojekte\eng\EngData\AOS\Allgemein\[LabSamples2025.xlsx]Bioplastic'!E884)," ",'Q:\Abteilungsprojekte\eng\EngData\AOS\Allgemein\[LabSamples2025.xlsx]Bioplastic'!E884)</f>
        <v/>
      </c>
      <c r="F884">
        <f>IF(ISBLANK('Q:\Abteilungsprojekte\eng\EngData\AOS\Allgemein\[LabSamples2025.xlsx]Bioplastic'!F884)," ",'Q:\Abteilungsprojekte\eng\EngData\AOS\Allgemein\[LabSamples2025.xlsx]Bioplastic'!F884)</f>
        <v/>
      </c>
      <c r="G884">
        <f>IF(ISBLANK('Q:\Abteilungsprojekte\eng\EngData\AOS\Allgemein\[LabSamples2025.xlsx]Bioplastic'!G884)," ",'Q:\Abteilungsprojekte\eng\EngData\AOS\Allgemein\[LabSamples2025.xlsx]Bioplastic'!G884)</f>
        <v/>
      </c>
      <c r="H884">
        <f>IF(ISBLANK('Q:\Abteilungsprojekte\eng\EngData\AOS\Allgemein\[LabSamples2025.xlsx]Bioplastic'!H884)," ",'Q:\Abteilungsprojekte\eng\EngData\AOS\Allgemein\[LabSamples2025.xlsx]Bioplastic'!H884)</f>
        <v/>
      </c>
    </row>
    <row r="885">
      <c r="A885">
        <f>IF(ISBLANK('Q:\Abteilungsprojekte\eng\EngData\AOS\Allgemein\[LabSamples2025.xlsx]Bioplastic'!A885)," ",'Q:\Abteilungsprojekte\eng\EngData\AOS\Allgemein\[LabSamples2025.xlsx]Bioplastic'!A885)</f>
        <v/>
      </c>
      <c r="B885">
        <f>IF(ISBLANK('Q:\Abteilungsprojekte\eng\EngData\AOS\Allgemein\[LabSamples2025.xlsx]Bioplastic'!B885)," ",'Q:\Abteilungsprojekte\eng\EngData\AOS\Allgemein\[LabSamples2025.xlsx]Bioplastic'!B885)</f>
        <v/>
      </c>
      <c r="C885">
        <f>IF(ISBLANK('Q:\Abteilungsprojekte\eng\EngData\AOS\Allgemein\[LabSamples2025.xlsx]Bioplastic'!C885)," ",'Q:\Abteilungsprojekte\eng\EngData\AOS\Allgemein\[LabSamples2025.xlsx]Bioplastic'!C885)</f>
        <v/>
      </c>
      <c r="D885">
        <f>IF(ISBLANK('Q:\Abteilungsprojekte\eng\EngData\AOS\Allgemein\[LabSamples2025.xlsx]Bioplastic'!D885)," ",'Q:\Abteilungsprojekte\eng\EngData\AOS\Allgemein\[LabSamples2025.xlsx]Bioplastic'!D885)</f>
        <v/>
      </c>
      <c r="E885">
        <f>IF(ISBLANK('Q:\Abteilungsprojekte\eng\EngData\AOS\Allgemein\[LabSamples2025.xlsx]Bioplastic'!E885)," ",'Q:\Abteilungsprojekte\eng\EngData\AOS\Allgemein\[LabSamples2025.xlsx]Bioplastic'!E885)</f>
        <v/>
      </c>
      <c r="F885">
        <f>IF(ISBLANK('Q:\Abteilungsprojekte\eng\EngData\AOS\Allgemein\[LabSamples2025.xlsx]Bioplastic'!F885)," ",'Q:\Abteilungsprojekte\eng\EngData\AOS\Allgemein\[LabSamples2025.xlsx]Bioplastic'!F885)</f>
        <v/>
      </c>
      <c r="G885">
        <f>IF(ISBLANK('Q:\Abteilungsprojekte\eng\EngData\AOS\Allgemein\[LabSamples2025.xlsx]Bioplastic'!G885)," ",'Q:\Abteilungsprojekte\eng\EngData\AOS\Allgemein\[LabSamples2025.xlsx]Bioplastic'!G885)</f>
        <v/>
      </c>
      <c r="H885">
        <f>IF(ISBLANK('Q:\Abteilungsprojekte\eng\EngData\AOS\Allgemein\[LabSamples2025.xlsx]Bioplastic'!H885)," ",'Q:\Abteilungsprojekte\eng\EngData\AOS\Allgemein\[LabSamples2025.xlsx]Bioplastic'!H885)</f>
        <v/>
      </c>
    </row>
    <row r="886">
      <c r="A886">
        <f>IF(ISBLANK('Q:\Abteilungsprojekte\eng\EngData\AOS\Allgemein\[LabSamples2025.xlsx]Bioplastic'!A886)," ",'Q:\Abteilungsprojekte\eng\EngData\AOS\Allgemein\[LabSamples2025.xlsx]Bioplastic'!A886)</f>
        <v/>
      </c>
      <c r="B886">
        <f>IF(ISBLANK('Q:\Abteilungsprojekte\eng\EngData\AOS\Allgemein\[LabSamples2025.xlsx]Bioplastic'!B886)," ",'Q:\Abteilungsprojekte\eng\EngData\AOS\Allgemein\[LabSamples2025.xlsx]Bioplastic'!B886)</f>
        <v/>
      </c>
      <c r="C886">
        <f>IF(ISBLANK('Q:\Abteilungsprojekte\eng\EngData\AOS\Allgemein\[LabSamples2025.xlsx]Bioplastic'!C886)," ",'Q:\Abteilungsprojekte\eng\EngData\AOS\Allgemein\[LabSamples2025.xlsx]Bioplastic'!C886)</f>
        <v/>
      </c>
      <c r="D886">
        <f>IF(ISBLANK('Q:\Abteilungsprojekte\eng\EngData\AOS\Allgemein\[LabSamples2025.xlsx]Bioplastic'!D886)," ",'Q:\Abteilungsprojekte\eng\EngData\AOS\Allgemein\[LabSamples2025.xlsx]Bioplastic'!D886)</f>
        <v/>
      </c>
      <c r="E886">
        <f>IF(ISBLANK('Q:\Abteilungsprojekte\eng\EngData\AOS\Allgemein\[LabSamples2025.xlsx]Bioplastic'!E886)," ",'Q:\Abteilungsprojekte\eng\EngData\AOS\Allgemein\[LabSamples2025.xlsx]Bioplastic'!E886)</f>
        <v/>
      </c>
      <c r="F886">
        <f>IF(ISBLANK('Q:\Abteilungsprojekte\eng\EngData\AOS\Allgemein\[LabSamples2025.xlsx]Bioplastic'!F886)," ",'Q:\Abteilungsprojekte\eng\EngData\AOS\Allgemein\[LabSamples2025.xlsx]Bioplastic'!F886)</f>
        <v/>
      </c>
      <c r="G886">
        <f>IF(ISBLANK('Q:\Abteilungsprojekte\eng\EngData\AOS\Allgemein\[LabSamples2025.xlsx]Bioplastic'!G886)," ",'Q:\Abteilungsprojekte\eng\EngData\AOS\Allgemein\[LabSamples2025.xlsx]Bioplastic'!G886)</f>
        <v/>
      </c>
      <c r="H886">
        <f>IF(ISBLANK('Q:\Abteilungsprojekte\eng\EngData\AOS\Allgemein\[LabSamples2025.xlsx]Bioplastic'!H886)," ",'Q:\Abteilungsprojekte\eng\EngData\AOS\Allgemein\[LabSamples2025.xlsx]Bioplastic'!H886)</f>
        <v/>
      </c>
    </row>
    <row r="887">
      <c r="A887">
        <f>IF(ISBLANK('Q:\Abteilungsprojekte\eng\EngData\AOS\Allgemein\[LabSamples2025.xlsx]Bioplastic'!A887)," ",'Q:\Abteilungsprojekte\eng\EngData\AOS\Allgemein\[LabSamples2025.xlsx]Bioplastic'!A887)</f>
        <v/>
      </c>
      <c r="B887">
        <f>IF(ISBLANK('Q:\Abteilungsprojekte\eng\EngData\AOS\Allgemein\[LabSamples2025.xlsx]Bioplastic'!B887)," ",'Q:\Abteilungsprojekte\eng\EngData\AOS\Allgemein\[LabSamples2025.xlsx]Bioplastic'!B887)</f>
        <v/>
      </c>
      <c r="C887">
        <f>IF(ISBLANK('Q:\Abteilungsprojekte\eng\EngData\AOS\Allgemein\[LabSamples2025.xlsx]Bioplastic'!C887)," ",'Q:\Abteilungsprojekte\eng\EngData\AOS\Allgemein\[LabSamples2025.xlsx]Bioplastic'!C887)</f>
        <v/>
      </c>
      <c r="D887">
        <f>IF(ISBLANK('Q:\Abteilungsprojekte\eng\EngData\AOS\Allgemein\[LabSamples2025.xlsx]Bioplastic'!D887)," ",'Q:\Abteilungsprojekte\eng\EngData\AOS\Allgemein\[LabSamples2025.xlsx]Bioplastic'!D887)</f>
        <v/>
      </c>
      <c r="E887">
        <f>IF(ISBLANK('Q:\Abteilungsprojekte\eng\EngData\AOS\Allgemein\[LabSamples2025.xlsx]Bioplastic'!E887)," ",'Q:\Abteilungsprojekte\eng\EngData\AOS\Allgemein\[LabSamples2025.xlsx]Bioplastic'!E887)</f>
        <v/>
      </c>
      <c r="F887">
        <f>IF(ISBLANK('Q:\Abteilungsprojekte\eng\EngData\AOS\Allgemein\[LabSamples2025.xlsx]Bioplastic'!F887)," ",'Q:\Abteilungsprojekte\eng\EngData\AOS\Allgemein\[LabSamples2025.xlsx]Bioplastic'!F887)</f>
        <v/>
      </c>
      <c r="G887">
        <f>IF(ISBLANK('Q:\Abteilungsprojekte\eng\EngData\AOS\Allgemein\[LabSamples2025.xlsx]Bioplastic'!G887)," ",'Q:\Abteilungsprojekte\eng\EngData\AOS\Allgemein\[LabSamples2025.xlsx]Bioplastic'!G887)</f>
        <v/>
      </c>
      <c r="H887">
        <f>IF(ISBLANK('Q:\Abteilungsprojekte\eng\EngData\AOS\Allgemein\[LabSamples2025.xlsx]Bioplastic'!H887)," ",'Q:\Abteilungsprojekte\eng\EngData\AOS\Allgemein\[LabSamples2025.xlsx]Bioplastic'!H887)</f>
        <v/>
      </c>
    </row>
    <row r="888">
      <c r="A888">
        <f>IF(ISBLANK('Q:\Abteilungsprojekte\eng\EngData\AOS\Allgemein\[LabSamples2025.xlsx]Bioplastic'!A888)," ",'Q:\Abteilungsprojekte\eng\EngData\AOS\Allgemein\[LabSamples2025.xlsx]Bioplastic'!A888)</f>
        <v/>
      </c>
      <c r="B888">
        <f>IF(ISBLANK('Q:\Abteilungsprojekte\eng\EngData\AOS\Allgemein\[LabSamples2025.xlsx]Bioplastic'!B888)," ",'Q:\Abteilungsprojekte\eng\EngData\AOS\Allgemein\[LabSamples2025.xlsx]Bioplastic'!B888)</f>
        <v/>
      </c>
      <c r="C888">
        <f>IF(ISBLANK('Q:\Abteilungsprojekte\eng\EngData\AOS\Allgemein\[LabSamples2025.xlsx]Bioplastic'!C888)," ",'Q:\Abteilungsprojekte\eng\EngData\AOS\Allgemein\[LabSamples2025.xlsx]Bioplastic'!C888)</f>
        <v/>
      </c>
      <c r="D888">
        <f>IF(ISBLANK('Q:\Abteilungsprojekte\eng\EngData\AOS\Allgemein\[LabSamples2025.xlsx]Bioplastic'!D888)," ",'Q:\Abteilungsprojekte\eng\EngData\AOS\Allgemein\[LabSamples2025.xlsx]Bioplastic'!D888)</f>
        <v/>
      </c>
      <c r="E888">
        <f>IF(ISBLANK('Q:\Abteilungsprojekte\eng\EngData\AOS\Allgemein\[LabSamples2025.xlsx]Bioplastic'!E888)," ",'Q:\Abteilungsprojekte\eng\EngData\AOS\Allgemein\[LabSamples2025.xlsx]Bioplastic'!E888)</f>
        <v/>
      </c>
      <c r="F888">
        <f>IF(ISBLANK('Q:\Abteilungsprojekte\eng\EngData\AOS\Allgemein\[LabSamples2025.xlsx]Bioplastic'!F888)," ",'Q:\Abteilungsprojekte\eng\EngData\AOS\Allgemein\[LabSamples2025.xlsx]Bioplastic'!F888)</f>
        <v/>
      </c>
      <c r="G888">
        <f>IF(ISBLANK('Q:\Abteilungsprojekte\eng\EngData\AOS\Allgemein\[LabSamples2025.xlsx]Bioplastic'!G888)," ",'Q:\Abteilungsprojekte\eng\EngData\AOS\Allgemein\[LabSamples2025.xlsx]Bioplastic'!G888)</f>
        <v/>
      </c>
      <c r="H888">
        <f>IF(ISBLANK('Q:\Abteilungsprojekte\eng\EngData\AOS\Allgemein\[LabSamples2025.xlsx]Bioplastic'!H888)," ",'Q:\Abteilungsprojekte\eng\EngData\AOS\Allgemein\[LabSamples2025.xlsx]Bioplastic'!H888)</f>
        <v/>
      </c>
    </row>
    <row r="889">
      <c r="A889">
        <f>IF(ISBLANK('Q:\Abteilungsprojekte\eng\EngData\AOS\Allgemein\[LabSamples2025.xlsx]Bioplastic'!A889)," ",'Q:\Abteilungsprojekte\eng\EngData\AOS\Allgemein\[LabSamples2025.xlsx]Bioplastic'!A889)</f>
        <v/>
      </c>
      <c r="B889">
        <f>IF(ISBLANK('Q:\Abteilungsprojekte\eng\EngData\AOS\Allgemein\[LabSamples2025.xlsx]Bioplastic'!B889)," ",'Q:\Abteilungsprojekte\eng\EngData\AOS\Allgemein\[LabSamples2025.xlsx]Bioplastic'!B889)</f>
        <v/>
      </c>
      <c r="C889">
        <f>IF(ISBLANK('Q:\Abteilungsprojekte\eng\EngData\AOS\Allgemein\[LabSamples2025.xlsx]Bioplastic'!C889)," ",'Q:\Abteilungsprojekte\eng\EngData\AOS\Allgemein\[LabSamples2025.xlsx]Bioplastic'!C889)</f>
        <v/>
      </c>
      <c r="D889">
        <f>IF(ISBLANK('Q:\Abteilungsprojekte\eng\EngData\AOS\Allgemein\[LabSamples2025.xlsx]Bioplastic'!D889)," ",'Q:\Abteilungsprojekte\eng\EngData\AOS\Allgemein\[LabSamples2025.xlsx]Bioplastic'!D889)</f>
        <v/>
      </c>
      <c r="E889">
        <f>IF(ISBLANK('Q:\Abteilungsprojekte\eng\EngData\AOS\Allgemein\[LabSamples2025.xlsx]Bioplastic'!E889)," ",'Q:\Abteilungsprojekte\eng\EngData\AOS\Allgemein\[LabSamples2025.xlsx]Bioplastic'!E889)</f>
        <v/>
      </c>
      <c r="F889">
        <f>IF(ISBLANK('Q:\Abteilungsprojekte\eng\EngData\AOS\Allgemein\[LabSamples2025.xlsx]Bioplastic'!F889)," ",'Q:\Abteilungsprojekte\eng\EngData\AOS\Allgemein\[LabSamples2025.xlsx]Bioplastic'!F889)</f>
        <v/>
      </c>
      <c r="G889">
        <f>IF(ISBLANK('Q:\Abteilungsprojekte\eng\EngData\AOS\Allgemein\[LabSamples2025.xlsx]Bioplastic'!G889)," ",'Q:\Abteilungsprojekte\eng\EngData\AOS\Allgemein\[LabSamples2025.xlsx]Bioplastic'!G889)</f>
        <v/>
      </c>
      <c r="H889">
        <f>IF(ISBLANK('Q:\Abteilungsprojekte\eng\EngData\AOS\Allgemein\[LabSamples2025.xlsx]Bioplastic'!H889)," ",'Q:\Abteilungsprojekte\eng\EngData\AOS\Allgemein\[LabSamples2025.xlsx]Bioplastic'!H889)</f>
        <v/>
      </c>
    </row>
    <row r="890">
      <c r="A890">
        <f>IF(ISBLANK('Q:\Abteilungsprojekte\eng\EngData\AOS\Allgemein\[LabSamples2025.xlsx]Bioplastic'!A890)," ",'Q:\Abteilungsprojekte\eng\EngData\AOS\Allgemein\[LabSamples2025.xlsx]Bioplastic'!A890)</f>
        <v/>
      </c>
      <c r="B890">
        <f>IF(ISBLANK('Q:\Abteilungsprojekte\eng\EngData\AOS\Allgemein\[LabSamples2025.xlsx]Bioplastic'!B890)," ",'Q:\Abteilungsprojekte\eng\EngData\AOS\Allgemein\[LabSamples2025.xlsx]Bioplastic'!B890)</f>
        <v/>
      </c>
      <c r="C890">
        <f>IF(ISBLANK('Q:\Abteilungsprojekte\eng\EngData\AOS\Allgemein\[LabSamples2025.xlsx]Bioplastic'!C890)," ",'Q:\Abteilungsprojekte\eng\EngData\AOS\Allgemein\[LabSamples2025.xlsx]Bioplastic'!C890)</f>
        <v/>
      </c>
      <c r="D890">
        <f>IF(ISBLANK('Q:\Abteilungsprojekte\eng\EngData\AOS\Allgemein\[LabSamples2025.xlsx]Bioplastic'!D890)," ",'Q:\Abteilungsprojekte\eng\EngData\AOS\Allgemein\[LabSamples2025.xlsx]Bioplastic'!D890)</f>
        <v/>
      </c>
      <c r="E890">
        <f>IF(ISBLANK('Q:\Abteilungsprojekte\eng\EngData\AOS\Allgemein\[LabSamples2025.xlsx]Bioplastic'!E890)," ",'Q:\Abteilungsprojekte\eng\EngData\AOS\Allgemein\[LabSamples2025.xlsx]Bioplastic'!E890)</f>
        <v/>
      </c>
      <c r="F890">
        <f>IF(ISBLANK('Q:\Abteilungsprojekte\eng\EngData\AOS\Allgemein\[LabSamples2025.xlsx]Bioplastic'!F890)," ",'Q:\Abteilungsprojekte\eng\EngData\AOS\Allgemein\[LabSamples2025.xlsx]Bioplastic'!F890)</f>
        <v/>
      </c>
      <c r="G890">
        <f>IF(ISBLANK('Q:\Abteilungsprojekte\eng\EngData\AOS\Allgemein\[LabSamples2025.xlsx]Bioplastic'!G890)," ",'Q:\Abteilungsprojekte\eng\EngData\AOS\Allgemein\[LabSamples2025.xlsx]Bioplastic'!G890)</f>
        <v/>
      </c>
      <c r="H890">
        <f>IF(ISBLANK('Q:\Abteilungsprojekte\eng\EngData\AOS\Allgemein\[LabSamples2025.xlsx]Bioplastic'!H890)," ",'Q:\Abteilungsprojekte\eng\EngData\AOS\Allgemein\[LabSamples2025.xlsx]Bioplastic'!H890)</f>
        <v/>
      </c>
    </row>
    <row r="891">
      <c r="A891">
        <f>IF(ISBLANK('Q:\Abteilungsprojekte\eng\EngData\AOS\Allgemein\[LabSamples2025.xlsx]Bioplastic'!A891)," ",'Q:\Abteilungsprojekte\eng\EngData\AOS\Allgemein\[LabSamples2025.xlsx]Bioplastic'!A891)</f>
        <v/>
      </c>
      <c r="B891">
        <f>IF(ISBLANK('Q:\Abteilungsprojekte\eng\EngData\AOS\Allgemein\[LabSamples2025.xlsx]Bioplastic'!B891)," ",'Q:\Abteilungsprojekte\eng\EngData\AOS\Allgemein\[LabSamples2025.xlsx]Bioplastic'!B891)</f>
        <v/>
      </c>
      <c r="C891">
        <f>IF(ISBLANK('Q:\Abteilungsprojekte\eng\EngData\AOS\Allgemein\[LabSamples2025.xlsx]Bioplastic'!C891)," ",'Q:\Abteilungsprojekte\eng\EngData\AOS\Allgemein\[LabSamples2025.xlsx]Bioplastic'!C891)</f>
        <v/>
      </c>
      <c r="D891">
        <f>IF(ISBLANK('Q:\Abteilungsprojekte\eng\EngData\AOS\Allgemein\[LabSamples2025.xlsx]Bioplastic'!D891)," ",'Q:\Abteilungsprojekte\eng\EngData\AOS\Allgemein\[LabSamples2025.xlsx]Bioplastic'!D891)</f>
        <v/>
      </c>
      <c r="E891">
        <f>IF(ISBLANK('Q:\Abteilungsprojekte\eng\EngData\AOS\Allgemein\[LabSamples2025.xlsx]Bioplastic'!E891)," ",'Q:\Abteilungsprojekte\eng\EngData\AOS\Allgemein\[LabSamples2025.xlsx]Bioplastic'!E891)</f>
        <v/>
      </c>
      <c r="F891">
        <f>IF(ISBLANK('Q:\Abteilungsprojekte\eng\EngData\AOS\Allgemein\[LabSamples2025.xlsx]Bioplastic'!F891)," ",'Q:\Abteilungsprojekte\eng\EngData\AOS\Allgemein\[LabSamples2025.xlsx]Bioplastic'!F891)</f>
        <v/>
      </c>
      <c r="G891">
        <f>IF(ISBLANK('Q:\Abteilungsprojekte\eng\EngData\AOS\Allgemein\[LabSamples2025.xlsx]Bioplastic'!G891)," ",'Q:\Abteilungsprojekte\eng\EngData\AOS\Allgemein\[LabSamples2025.xlsx]Bioplastic'!G891)</f>
        <v/>
      </c>
      <c r="H891">
        <f>IF(ISBLANK('Q:\Abteilungsprojekte\eng\EngData\AOS\Allgemein\[LabSamples2025.xlsx]Bioplastic'!H891)," ",'Q:\Abteilungsprojekte\eng\EngData\AOS\Allgemein\[LabSamples2025.xlsx]Bioplastic'!H891)</f>
        <v/>
      </c>
    </row>
    <row r="892">
      <c r="A892">
        <f>IF(ISBLANK('Q:\Abteilungsprojekte\eng\EngData\AOS\Allgemein\[LabSamples2025.xlsx]Bioplastic'!A892)," ",'Q:\Abteilungsprojekte\eng\EngData\AOS\Allgemein\[LabSamples2025.xlsx]Bioplastic'!A892)</f>
        <v/>
      </c>
      <c r="B892">
        <f>IF(ISBLANK('Q:\Abteilungsprojekte\eng\EngData\AOS\Allgemein\[LabSamples2025.xlsx]Bioplastic'!B892)," ",'Q:\Abteilungsprojekte\eng\EngData\AOS\Allgemein\[LabSamples2025.xlsx]Bioplastic'!B892)</f>
        <v/>
      </c>
      <c r="C892">
        <f>IF(ISBLANK('Q:\Abteilungsprojekte\eng\EngData\AOS\Allgemein\[LabSamples2025.xlsx]Bioplastic'!C892)," ",'Q:\Abteilungsprojekte\eng\EngData\AOS\Allgemein\[LabSamples2025.xlsx]Bioplastic'!C892)</f>
        <v/>
      </c>
      <c r="D892">
        <f>IF(ISBLANK('Q:\Abteilungsprojekte\eng\EngData\AOS\Allgemein\[LabSamples2025.xlsx]Bioplastic'!D892)," ",'Q:\Abteilungsprojekte\eng\EngData\AOS\Allgemein\[LabSamples2025.xlsx]Bioplastic'!D892)</f>
        <v/>
      </c>
      <c r="E892">
        <f>IF(ISBLANK('Q:\Abteilungsprojekte\eng\EngData\AOS\Allgemein\[LabSamples2025.xlsx]Bioplastic'!E892)," ",'Q:\Abteilungsprojekte\eng\EngData\AOS\Allgemein\[LabSamples2025.xlsx]Bioplastic'!E892)</f>
        <v/>
      </c>
      <c r="F892">
        <f>IF(ISBLANK('Q:\Abteilungsprojekte\eng\EngData\AOS\Allgemein\[LabSamples2025.xlsx]Bioplastic'!F892)," ",'Q:\Abteilungsprojekte\eng\EngData\AOS\Allgemein\[LabSamples2025.xlsx]Bioplastic'!F892)</f>
        <v/>
      </c>
      <c r="G892">
        <f>IF(ISBLANK('Q:\Abteilungsprojekte\eng\EngData\AOS\Allgemein\[LabSamples2025.xlsx]Bioplastic'!G892)," ",'Q:\Abteilungsprojekte\eng\EngData\AOS\Allgemein\[LabSamples2025.xlsx]Bioplastic'!G892)</f>
        <v/>
      </c>
      <c r="H892">
        <f>IF(ISBLANK('Q:\Abteilungsprojekte\eng\EngData\AOS\Allgemein\[LabSamples2025.xlsx]Bioplastic'!H892)," ",'Q:\Abteilungsprojekte\eng\EngData\AOS\Allgemein\[LabSamples2025.xlsx]Bioplastic'!H892)</f>
        <v/>
      </c>
    </row>
    <row r="893">
      <c r="A893">
        <f>IF(ISBLANK('Q:\Abteilungsprojekte\eng\EngData\AOS\Allgemein\[LabSamples2025.xlsx]Bioplastic'!A893)," ",'Q:\Abteilungsprojekte\eng\EngData\AOS\Allgemein\[LabSamples2025.xlsx]Bioplastic'!A893)</f>
        <v/>
      </c>
      <c r="B893">
        <f>IF(ISBLANK('Q:\Abteilungsprojekte\eng\EngData\AOS\Allgemein\[LabSamples2025.xlsx]Bioplastic'!B893)," ",'Q:\Abteilungsprojekte\eng\EngData\AOS\Allgemein\[LabSamples2025.xlsx]Bioplastic'!B893)</f>
        <v/>
      </c>
      <c r="C893">
        <f>IF(ISBLANK('Q:\Abteilungsprojekte\eng\EngData\AOS\Allgemein\[LabSamples2025.xlsx]Bioplastic'!C893)," ",'Q:\Abteilungsprojekte\eng\EngData\AOS\Allgemein\[LabSamples2025.xlsx]Bioplastic'!C893)</f>
        <v/>
      </c>
      <c r="D893">
        <f>IF(ISBLANK('Q:\Abteilungsprojekte\eng\EngData\AOS\Allgemein\[LabSamples2025.xlsx]Bioplastic'!D893)," ",'Q:\Abteilungsprojekte\eng\EngData\AOS\Allgemein\[LabSamples2025.xlsx]Bioplastic'!D893)</f>
        <v/>
      </c>
      <c r="E893">
        <f>IF(ISBLANK('Q:\Abteilungsprojekte\eng\EngData\AOS\Allgemein\[LabSamples2025.xlsx]Bioplastic'!E893)," ",'Q:\Abteilungsprojekte\eng\EngData\AOS\Allgemein\[LabSamples2025.xlsx]Bioplastic'!E893)</f>
        <v/>
      </c>
      <c r="F893">
        <f>IF(ISBLANK('Q:\Abteilungsprojekte\eng\EngData\AOS\Allgemein\[LabSamples2025.xlsx]Bioplastic'!F893)," ",'Q:\Abteilungsprojekte\eng\EngData\AOS\Allgemein\[LabSamples2025.xlsx]Bioplastic'!F893)</f>
        <v/>
      </c>
      <c r="G893">
        <f>IF(ISBLANK('Q:\Abteilungsprojekte\eng\EngData\AOS\Allgemein\[LabSamples2025.xlsx]Bioplastic'!G893)," ",'Q:\Abteilungsprojekte\eng\EngData\AOS\Allgemein\[LabSamples2025.xlsx]Bioplastic'!G893)</f>
        <v/>
      </c>
      <c r="H893">
        <f>IF(ISBLANK('Q:\Abteilungsprojekte\eng\EngData\AOS\Allgemein\[LabSamples2025.xlsx]Bioplastic'!H893)," ",'Q:\Abteilungsprojekte\eng\EngData\AOS\Allgemein\[LabSamples2025.xlsx]Bioplastic'!H893)</f>
        <v/>
      </c>
    </row>
    <row r="894">
      <c r="A894">
        <f>IF(ISBLANK('Q:\Abteilungsprojekte\eng\EngData\AOS\Allgemein\[LabSamples2025.xlsx]Bioplastic'!A894)," ",'Q:\Abteilungsprojekte\eng\EngData\AOS\Allgemein\[LabSamples2025.xlsx]Bioplastic'!A894)</f>
        <v/>
      </c>
      <c r="B894">
        <f>IF(ISBLANK('Q:\Abteilungsprojekte\eng\EngData\AOS\Allgemein\[LabSamples2025.xlsx]Bioplastic'!B894)," ",'Q:\Abteilungsprojekte\eng\EngData\AOS\Allgemein\[LabSamples2025.xlsx]Bioplastic'!B894)</f>
        <v/>
      </c>
      <c r="C894">
        <f>IF(ISBLANK('Q:\Abteilungsprojekte\eng\EngData\AOS\Allgemein\[LabSamples2025.xlsx]Bioplastic'!C894)," ",'Q:\Abteilungsprojekte\eng\EngData\AOS\Allgemein\[LabSamples2025.xlsx]Bioplastic'!C894)</f>
        <v/>
      </c>
      <c r="D894">
        <f>IF(ISBLANK('Q:\Abteilungsprojekte\eng\EngData\AOS\Allgemein\[LabSamples2025.xlsx]Bioplastic'!D894)," ",'Q:\Abteilungsprojekte\eng\EngData\AOS\Allgemein\[LabSamples2025.xlsx]Bioplastic'!D894)</f>
        <v/>
      </c>
      <c r="E894">
        <f>IF(ISBLANK('Q:\Abteilungsprojekte\eng\EngData\AOS\Allgemein\[LabSamples2025.xlsx]Bioplastic'!E894)," ",'Q:\Abteilungsprojekte\eng\EngData\AOS\Allgemein\[LabSamples2025.xlsx]Bioplastic'!E894)</f>
        <v/>
      </c>
      <c r="F894">
        <f>IF(ISBLANK('Q:\Abteilungsprojekte\eng\EngData\AOS\Allgemein\[LabSamples2025.xlsx]Bioplastic'!F894)," ",'Q:\Abteilungsprojekte\eng\EngData\AOS\Allgemein\[LabSamples2025.xlsx]Bioplastic'!F894)</f>
        <v/>
      </c>
      <c r="G894">
        <f>IF(ISBLANK('Q:\Abteilungsprojekte\eng\EngData\AOS\Allgemein\[LabSamples2025.xlsx]Bioplastic'!G894)," ",'Q:\Abteilungsprojekte\eng\EngData\AOS\Allgemein\[LabSamples2025.xlsx]Bioplastic'!G894)</f>
        <v/>
      </c>
      <c r="H894">
        <f>IF(ISBLANK('Q:\Abteilungsprojekte\eng\EngData\AOS\Allgemein\[LabSamples2025.xlsx]Bioplastic'!H894)," ",'Q:\Abteilungsprojekte\eng\EngData\AOS\Allgemein\[LabSamples2025.xlsx]Bioplastic'!H894)</f>
        <v/>
      </c>
    </row>
    <row r="895">
      <c r="A895">
        <f>IF(ISBLANK('Q:\Abteilungsprojekte\eng\EngData\AOS\Allgemein\[LabSamples2025.xlsx]Bioplastic'!A895)," ",'Q:\Abteilungsprojekte\eng\EngData\AOS\Allgemein\[LabSamples2025.xlsx]Bioplastic'!A895)</f>
        <v/>
      </c>
      <c r="B895">
        <f>IF(ISBLANK('Q:\Abteilungsprojekte\eng\EngData\AOS\Allgemein\[LabSamples2025.xlsx]Bioplastic'!B895)," ",'Q:\Abteilungsprojekte\eng\EngData\AOS\Allgemein\[LabSamples2025.xlsx]Bioplastic'!B895)</f>
        <v/>
      </c>
      <c r="C895">
        <f>IF(ISBLANK('Q:\Abteilungsprojekte\eng\EngData\AOS\Allgemein\[LabSamples2025.xlsx]Bioplastic'!C895)," ",'Q:\Abteilungsprojekte\eng\EngData\AOS\Allgemein\[LabSamples2025.xlsx]Bioplastic'!C895)</f>
        <v/>
      </c>
      <c r="D895">
        <f>IF(ISBLANK('Q:\Abteilungsprojekte\eng\EngData\AOS\Allgemein\[LabSamples2025.xlsx]Bioplastic'!D895)," ",'Q:\Abteilungsprojekte\eng\EngData\AOS\Allgemein\[LabSamples2025.xlsx]Bioplastic'!D895)</f>
        <v/>
      </c>
      <c r="E895">
        <f>IF(ISBLANK('Q:\Abteilungsprojekte\eng\EngData\AOS\Allgemein\[LabSamples2025.xlsx]Bioplastic'!E895)," ",'Q:\Abteilungsprojekte\eng\EngData\AOS\Allgemein\[LabSamples2025.xlsx]Bioplastic'!E895)</f>
        <v/>
      </c>
      <c r="F895">
        <f>IF(ISBLANK('Q:\Abteilungsprojekte\eng\EngData\AOS\Allgemein\[LabSamples2025.xlsx]Bioplastic'!F895)," ",'Q:\Abteilungsprojekte\eng\EngData\AOS\Allgemein\[LabSamples2025.xlsx]Bioplastic'!F895)</f>
        <v/>
      </c>
      <c r="G895">
        <f>IF(ISBLANK('Q:\Abteilungsprojekte\eng\EngData\AOS\Allgemein\[LabSamples2025.xlsx]Bioplastic'!G895)," ",'Q:\Abteilungsprojekte\eng\EngData\AOS\Allgemein\[LabSamples2025.xlsx]Bioplastic'!G895)</f>
        <v/>
      </c>
      <c r="H895">
        <f>IF(ISBLANK('Q:\Abteilungsprojekte\eng\EngData\AOS\Allgemein\[LabSamples2025.xlsx]Bioplastic'!H895)," ",'Q:\Abteilungsprojekte\eng\EngData\AOS\Allgemein\[LabSamples2025.xlsx]Bioplastic'!H895)</f>
        <v/>
      </c>
    </row>
    <row r="896">
      <c r="A896">
        <f>IF(ISBLANK('Q:\Abteilungsprojekte\eng\EngData\AOS\Allgemein\[LabSamples2025.xlsx]Bioplastic'!A896)," ",'Q:\Abteilungsprojekte\eng\EngData\AOS\Allgemein\[LabSamples2025.xlsx]Bioplastic'!A896)</f>
        <v/>
      </c>
      <c r="B896">
        <f>IF(ISBLANK('Q:\Abteilungsprojekte\eng\EngData\AOS\Allgemein\[LabSamples2025.xlsx]Bioplastic'!B896)," ",'Q:\Abteilungsprojekte\eng\EngData\AOS\Allgemein\[LabSamples2025.xlsx]Bioplastic'!B896)</f>
        <v/>
      </c>
      <c r="C896">
        <f>IF(ISBLANK('Q:\Abteilungsprojekte\eng\EngData\AOS\Allgemein\[LabSamples2025.xlsx]Bioplastic'!C896)," ",'Q:\Abteilungsprojekte\eng\EngData\AOS\Allgemein\[LabSamples2025.xlsx]Bioplastic'!C896)</f>
        <v/>
      </c>
      <c r="D896">
        <f>IF(ISBLANK('Q:\Abteilungsprojekte\eng\EngData\AOS\Allgemein\[LabSamples2025.xlsx]Bioplastic'!D896)," ",'Q:\Abteilungsprojekte\eng\EngData\AOS\Allgemein\[LabSamples2025.xlsx]Bioplastic'!D896)</f>
        <v/>
      </c>
      <c r="E896">
        <f>IF(ISBLANK('Q:\Abteilungsprojekte\eng\EngData\AOS\Allgemein\[LabSamples2025.xlsx]Bioplastic'!E896)," ",'Q:\Abteilungsprojekte\eng\EngData\AOS\Allgemein\[LabSamples2025.xlsx]Bioplastic'!E896)</f>
        <v/>
      </c>
      <c r="F896">
        <f>IF(ISBLANK('Q:\Abteilungsprojekte\eng\EngData\AOS\Allgemein\[LabSamples2025.xlsx]Bioplastic'!F896)," ",'Q:\Abteilungsprojekte\eng\EngData\AOS\Allgemein\[LabSamples2025.xlsx]Bioplastic'!F896)</f>
        <v/>
      </c>
      <c r="G896">
        <f>IF(ISBLANK('Q:\Abteilungsprojekte\eng\EngData\AOS\Allgemein\[LabSamples2025.xlsx]Bioplastic'!G896)," ",'Q:\Abteilungsprojekte\eng\EngData\AOS\Allgemein\[LabSamples2025.xlsx]Bioplastic'!G896)</f>
        <v/>
      </c>
      <c r="H896">
        <f>IF(ISBLANK('Q:\Abteilungsprojekte\eng\EngData\AOS\Allgemein\[LabSamples2025.xlsx]Bioplastic'!H896)," ",'Q:\Abteilungsprojekte\eng\EngData\AOS\Allgemein\[LabSamples2025.xlsx]Bioplastic'!H896)</f>
        <v/>
      </c>
    </row>
    <row r="897">
      <c r="A897">
        <f>IF(ISBLANK('Q:\Abteilungsprojekte\eng\EngData\AOS\Allgemein\[LabSamples2025.xlsx]Bioplastic'!A897)," ",'Q:\Abteilungsprojekte\eng\EngData\AOS\Allgemein\[LabSamples2025.xlsx]Bioplastic'!A897)</f>
        <v/>
      </c>
      <c r="B897">
        <f>IF(ISBLANK('Q:\Abteilungsprojekte\eng\EngData\AOS\Allgemein\[LabSamples2025.xlsx]Bioplastic'!B897)," ",'Q:\Abteilungsprojekte\eng\EngData\AOS\Allgemein\[LabSamples2025.xlsx]Bioplastic'!B897)</f>
        <v/>
      </c>
      <c r="C897">
        <f>IF(ISBLANK('Q:\Abteilungsprojekte\eng\EngData\AOS\Allgemein\[LabSamples2025.xlsx]Bioplastic'!C897)," ",'Q:\Abteilungsprojekte\eng\EngData\AOS\Allgemein\[LabSamples2025.xlsx]Bioplastic'!C897)</f>
        <v/>
      </c>
      <c r="D897">
        <f>IF(ISBLANK('Q:\Abteilungsprojekte\eng\EngData\AOS\Allgemein\[LabSamples2025.xlsx]Bioplastic'!D897)," ",'Q:\Abteilungsprojekte\eng\EngData\AOS\Allgemein\[LabSamples2025.xlsx]Bioplastic'!D897)</f>
        <v/>
      </c>
      <c r="E897">
        <f>IF(ISBLANK('Q:\Abteilungsprojekte\eng\EngData\AOS\Allgemein\[LabSamples2025.xlsx]Bioplastic'!E897)," ",'Q:\Abteilungsprojekte\eng\EngData\AOS\Allgemein\[LabSamples2025.xlsx]Bioplastic'!E897)</f>
        <v/>
      </c>
      <c r="F897">
        <f>IF(ISBLANK('Q:\Abteilungsprojekte\eng\EngData\AOS\Allgemein\[LabSamples2025.xlsx]Bioplastic'!F897)," ",'Q:\Abteilungsprojekte\eng\EngData\AOS\Allgemein\[LabSamples2025.xlsx]Bioplastic'!F897)</f>
        <v/>
      </c>
      <c r="G897">
        <f>IF(ISBLANK('Q:\Abteilungsprojekte\eng\EngData\AOS\Allgemein\[LabSamples2025.xlsx]Bioplastic'!G897)," ",'Q:\Abteilungsprojekte\eng\EngData\AOS\Allgemein\[LabSamples2025.xlsx]Bioplastic'!G897)</f>
        <v/>
      </c>
      <c r="H897">
        <f>IF(ISBLANK('Q:\Abteilungsprojekte\eng\EngData\AOS\Allgemein\[LabSamples2025.xlsx]Bioplastic'!H897)," ",'Q:\Abteilungsprojekte\eng\EngData\AOS\Allgemein\[LabSamples2025.xlsx]Bioplastic'!H897)</f>
        <v/>
      </c>
    </row>
    <row r="898">
      <c r="A898">
        <f>IF(ISBLANK('Q:\Abteilungsprojekte\eng\EngData\AOS\Allgemein\[LabSamples2025.xlsx]Bioplastic'!A898)," ",'Q:\Abteilungsprojekte\eng\EngData\AOS\Allgemein\[LabSamples2025.xlsx]Bioplastic'!A898)</f>
        <v/>
      </c>
      <c r="B898">
        <f>IF(ISBLANK('Q:\Abteilungsprojekte\eng\EngData\AOS\Allgemein\[LabSamples2025.xlsx]Bioplastic'!B898)," ",'Q:\Abteilungsprojekte\eng\EngData\AOS\Allgemein\[LabSamples2025.xlsx]Bioplastic'!B898)</f>
        <v/>
      </c>
      <c r="C898">
        <f>IF(ISBLANK('Q:\Abteilungsprojekte\eng\EngData\AOS\Allgemein\[LabSamples2025.xlsx]Bioplastic'!C898)," ",'Q:\Abteilungsprojekte\eng\EngData\AOS\Allgemein\[LabSamples2025.xlsx]Bioplastic'!C898)</f>
        <v/>
      </c>
      <c r="D898">
        <f>IF(ISBLANK('Q:\Abteilungsprojekte\eng\EngData\AOS\Allgemein\[LabSamples2025.xlsx]Bioplastic'!D898)," ",'Q:\Abteilungsprojekte\eng\EngData\AOS\Allgemein\[LabSamples2025.xlsx]Bioplastic'!D898)</f>
        <v/>
      </c>
      <c r="E898">
        <f>IF(ISBLANK('Q:\Abteilungsprojekte\eng\EngData\AOS\Allgemein\[LabSamples2025.xlsx]Bioplastic'!E898)," ",'Q:\Abteilungsprojekte\eng\EngData\AOS\Allgemein\[LabSamples2025.xlsx]Bioplastic'!E898)</f>
        <v/>
      </c>
      <c r="F898">
        <f>IF(ISBLANK('Q:\Abteilungsprojekte\eng\EngData\AOS\Allgemein\[LabSamples2025.xlsx]Bioplastic'!F898)," ",'Q:\Abteilungsprojekte\eng\EngData\AOS\Allgemein\[LabSamples2025.xlsx]Bioplastic'!F898)</f>
        <v/>
      </c>
      <c r="G898">
        <f>IF(ISBLANK('Q:\Abteilungsprojekte\eng\EngData\AOS\Allgemein\[LabSamples2025.xlsx]Bioplastic'!G898)," ",'Q:\Abteilungsprojekte\eng\EngData\AOS\Allgemein\[LabSamples2025.xlsx]Bioplastic'!G898)</f>
        <v/>
      </c>
      <c r="H898">
        <f>IF(ISBLANK('Q:\Abteilungsprojekte\eng\EngData\AOS\Allgemein\[LabSamples2025.xlsx]Bioplastic'!H898)," ",'Q:\Abteilungsprojekte\eng\EngData\AOS\Allgemein\[LabSamples2025.xlsx]Bioplastic'!H898)</f>
        <v/>
      </c>
    </row>
    <row r="899">
      <c r="A899">
        <f>IF(ISBLANK('Q:\Abteilungsprojekte\eng\EngData\AOS\Allgemein\[LabSamples2025.xlsx]Bioplastic'!A899)," ",'Q:\Abteilungsprojekte\eng\EngData\AOS\Allgemein\[LabSamples2025.xlsx]Bioplastic'!A899)</f>
        <v/>
      </c>
      <c r="B899">
        <f>IF(ISBLANK('Q:\Abteilungsprojekte\eng\EngData\AOS\Allgemein\[LabSamples2025.xlsx]Bioplastic'!B899)," ",'Q:\Abteilungsprojekte\eng\EngData\AOS\Allgemein\[LabSamples2025.xlsx]Bioplastic'!B899)</f>
        <v/>
      </c>
      <c r="C899">
        <f>IF(ISBLANK('Q:\Abteilungsprojekte\eng\EngData\AOS\Allgemein\[LabSamples2025.xlsx]Bioplastic'!C899)," ",'Q:\Abteilungsprojekte\eng\EngData\AOS\Allgemein\[LabSamples2025.xlsx]Bioplastic'!C899)</f>
        <v/>
      </c>
      <c r="D899">
        <f>IF(ISBLANK('Q:\Abteilungsprojekte\eng\EngData\AOS\Allgemein\[LabSamples2025.xlsx]Bioplastic'!D899)," ",'Q:\Abteilungsprojekte\eng\EngData\AOS\Allgemein\[LabSamples2025.xlsx]Bioplastic'!D899)</f>
        <v/>
      </c>
      <c r="E899">
        <f>IF(ISBLANK('Q:\Abteilungsprojekte\eng\EngData\AOS\Allgemein\[LabSamples2025.xlsx]Bioplastic'!E899)," ",'Q:\Abteilungsprojekte\eng\EngData\AOS\Allgemein\[LabSamples2025.xlsx]Bioplastic'!E899)</f>
        <v/>
      </c>
      <c r="F899">
        <f>IF(ISBLANK('Q:\Abteilungsprojekte\eng\EngData\AOS\Allgemein\[LabSamples2025.xlsx]Bioplastic'!F899)," ",'Q:\Abteilungsprojekte\eng\EngData\AOS\Allgemein\[LabSamples2025.xlsx]Bioplastic'!F899)</f>
        <v/>
      </c>
      <c r="G899">
        <f>IF(ISBLANK('Q:\Abteilungsprojekte\eng\EngData\AOS\Allgemein\[LabSamples2025.xlsx]Bioplastic'!G899)," ",'Q:\Abteilungsprojekte\eng\EngData\AOS\Allgemein\[LabSamples2025.xlsx]Bioplastic'!G899)</f>
        <v/>
      </c>
      <c r="H899">
        <f>IF(ISBLANK('Q:\Abteilungsprojekte\eng\EngData\AOS\Allgemein\[LabSamples2025.xlsx]Bioplastic'!H899)," ",'Q:\Abteilungsprojekte\eng\EngData\AOS\Allgemein\[LabSamples2025.xlsx]Bioplastic'!H899)</f>
        <v/>
      </c>
    </row>
    <row r="900">
      <c r="A900">
        <f>IF(ISBLANK('Q:\Abteilungsprojekte\eng\EngData\AOS\Allgemein\[LabSamples2025.xlsx]Bioplastic'!A900)," ",'Q:\Abteilungsprojekte\eng\EngData\AOS\Allgemein\[LabSamples2025.xlsx]Bioplastic'!A900)</f>
        <v/>
      </c>
      <c r="B900">
        <f>IF(ISBLANK('Q:\Abteilungsprojekte\eng\EngData\AOS\Allgemein\[LabSamples2025.xlsx]Bioplastic'!B900)," ",'Q:\Abteilungsprojekte\eng\EngData\AOS\Allgemein\[LabSamples2025.xlsx]Bioplastic'!B900)</f>
        <v/>
      </c>
      <c r="C900">
        <f>IF(ISBLANK('Q:\Abteilungsprojekte\eng\EngData\AOS\Allgemein\[LabSamples2025.xlsx]Bioplastic'!C900)," ",'Q:\Abteilungsprojekte\eng\EngData\AOS\Allgemein\[LabSamples2025.xlsx]Bioplastic'!C900)</f>
        <v/>
      </c>
      <c r="D900">
        <f>IF(ISBLANK('Q:\Abteilungsprojekte\eng\EngData\AOS\Allgemein\[LabSamples2025.xlsx]Bioplastic'!D900)," ",'Q:\Abteilungsprojekte\eng\EngData\AOS\Allgemein\[LabSamples2025.xlsx]Bioplastic'!D900)</f>
        <v/>
      </c>
      <c r="E900">
        <f>IF(ISBLANK('Q:\Abteilungsprojekte\eng\EngData\AOS\Allgemein\[LabSamples2025.xlsx]Bioplastic'!E900)," ",'Q:\Abteilungsprojekte\eng\EngData\AOS\Allgemein\[LabSamples2025.xlsx]Bioplastic'!E900)</f>
        <v/>
      </c>
      <c r="F900">
        <f>IF(ISBLANK('Q:\Abteilungsprojekte\eng\EngData\AOS\Allgemein\[LabSamples2025.xlsx]Bioplastic'!F900)," ",'Q:\Abteilungsprojekte\eng\EngData\AOS\Allgemein\[LabSamples2025.xlsx]Bioplastic'!F900)</f>
        <v/>
      </c>
      <c r="G900">
        <f>IF(ISBLANK('Q:\Abteilungsprojekte\eng\EngData\AOS\Allgemein\[LabSamples2025.xlsx]Bioplastic'!G900)," ",'Q:\Abteilungsprojekte\eng\EngData\AOS\Allgemein\[LabSamples2025.xlsx]Bioplastic'!G900)</f>
        <v/>
      </c>
      <c r="H900">
        <f>IF(ISBLANK('Q:\Abteilungsprojekte\eng\EngData\AOS\Allgemein\[LabSamples2025.xlsx]Bioplastic'!H900)," ",'Q:\Abteilungsprojekte\eng\EngData\AOS\Allgemein\[LabSamples2025.xlsx]Bioplastic'!H900)</f>
        <v/>
      </c>
    </row>
    <row r="901">
      <c r="A901">
        <f>IF(ISBLANK('Q:\Abteilungsprojekte\eng\EngData\AOS\Allgemein\[LabSamples2025.xlsx]Bioplastic'!A901)," ",'Q:\Abteilungsprojekte\eng\EngData\AOS\Allgemein\[LabSamples2025.xlsx]Bioplastic'!A901)</f>
        <v/>
      </c>
      <c r="B901">
        <f>IF(ISBLANK('Q:\Abteilungsprojekte\eng\EngData\AOS\Allgemein\[LabSamples2025.xlsx]Bioplastic'!B901)," ",'Q:\Abteilungsprojekte\eng\EngData\AOS\Allgemein\[LabSamples2025.xlsx]Bioplastic'!B901)</f>
        <v/>
      </c>
      <c r="C901">
        <f>IF(ISBLANK('Q:\Abteilungsprojekte\eng\EngData\AOS\Allgemein\[LabSamples2025.xlsx]Bioplastic'!C901)," ",'Q:\Abteilungsprojekte\eng\EngData\AOS\Allgemein\[LabSamples2025.xlsx]Bioplastic'!C901)</f>
        <v/>
      </c>
      <c r="D901">
        <f>IF(ISBLANK('Q:\Abteilungsprojekte\eng\EngData\AOS\Allgemein\[LabSamples2025.xlsx]Bioplastic'!D901)," ",'Q:\Abteilungsprojekte\eng\EngData\AOS\Allgemein\[LabSamples2025.xlsx]Bioplastic'!D901)</f>
        <v/>
      </c>
      <c r="E901">
        <f>IF(ISBLANK('Q:\Abteilungsprojekte\eng\EngData\AOS\Allgemein\[LabSamples2025.xlsx]Bioplastic'!E901)," ",'Q:\Abteilungsprojekte\eng\EngData\AOS\Allgemein\[LabSamples2025.xlsx]Bioplastic'!E901)</f>
        <v/>
      </c>
      <c r="F901">
        <f>IF(ISBLANK('Q:\Abteilungsprojekte\eng\EngData\AOS\Allgemein\[LabSamples2025.xlsx]Bioplastic'!F901)," ",'Q:\Abteilungsprojekte\eng\EngData\AOS\Allgemein\[LabSamples2025.xlsx]Bioplastic'!F901)</f>
        <v/>
      </c>
      <c r="G901">
        <f>IF(ISBLANK('Q:\Abteilungsprojekte\eng\EngData\AOS\Allgemein\[LabSamples2025.xlsx]Bioplastic'!G901)," ",'Q:\Abteilungsprojekte\eng\EngData\AOS\Allgemein\[LabSamples2025.xlsx]Bioplastic'!G901)</f>
        <v/>
      </c>
      <c r="H901">
        <f>IF(ISBLANK('Q:\Abteilungsprojekte\eng\EngData\AOS\Allgemein\[LabSamples2025.xlsx]Bioplastic'!H901)," ",'Q:\Abteilungsprojekte\eng\EngData\AOS\Allgemein\[LabSamples2025.xlsx]Bioplastic'!H901)</f>
        <v/>
      </c>
    </row>
    <row r="902">
      <c r="A902">
        <f>IF(ISBLANK('Q:\Abteilungsprojekte\eng\EngData\AOS\Allgemein\[LabSamples2025.xlsx]Bioplastic'!A902)," ",'Q:\Abteilungsprojekte\eng\EngData\AOS\Allgemein\[LabSamples2025.xlsx]Bioplastic'!A902)</f>
        <v/>
      </c>
      <c r="B902">
        <f>IF(ISBLANK('Q:\Abteilungsprojekte\eng\EngData\AOS\Allgemein\[LabSamples2025.xlsx]Bioplastic'!B902)," ",'Q:\Abteilungsprojekte\eng\EngData\AOS\Allgemein\[LabSamples2025.xlsx]Bioplastic'!B902)</f>
        <v/>
      </c>
      <c r="C902">
        <f>IF(ISBLANK('Q:\Abteilungsprojekte\eng\EngData\AOS\Allgemein\[LabSamples2025.xlsx]Bioplastic'!C902)," ",'Q:\Abteilungsprojekte\eng\EngData\AOS\Allgemein\[LabSamples2025.xlsx]Bioplastic'!C902)</f>
        <v/>
      </c>
      <c r="D902">
        <f>IF(ISBLANK('Q:\Abteilungsprojekte\eng\EngData\AOS\Allgemein\[LabSamples2025.xlsx]Bioplastic'!D902)," ",'Q:\Abteilungsprojekte\eng\EngData\AOS\Allgemein\[LabSamples2025.xlsx]Bioplastic'!D902)</f>
        <v/>
      </c>
      <c r="E902">
        <f>IF(ISBLANK('Q:\Abteilungsprojekte\eng\EngData\AOS\Allgemein\[LabSamples2025.xlsx]Bioplastic'!E902)," ",'Q:\Abteilungsprojekte\eng\EngData\AOS\Allgemein\[LabSamples2025.xlsx]Bioplastic'!E902)</f>
        <v/>
      </c>
      <c r="F902">
        <f>IF(ISBLANK('Q:\Abteilungsprojekte\eng\EngData\AOS\Allgemein\[LabSamples2025.xlsx]Bioplastic'!F902)," ",'Q:\Abteilungsprojekte\eng\EngData\AOS\Allgemein\[LabSamples2025.xlsx]Bioplastic'!F902)</f>
        <v/>
      </c>
      <c r="G902">
        <f>IF(ISBLANK('Q:\Abteilungsprojekte\eng\EngData\AOS\Allgemein\[LabSamples2025.xlsx]Bioplastic'!G902)," ",'Q:\Abteilungsprojekte\eng\EngData\AOS\Allgemein\[LabSamples2025.xlsx]Bioplastic'!G902)</f>
        <v/>
      </c>
      <c r="H902">
        <f>IF(ISBLANK('Q:\Abteilungsprojekte\eng\EngData\AOS\Allgemein\[LabSamples2025.xlsx]Bioplastic'!H902)," ",'Q:\Abteilungsprojekte\eng\EngData\AOS\Allgemein\[LabSamples2025.xlsx]Bioplastic'!H902)</f>
        <v/>
      </c>
    </row>
    <row r="903">
      <c r="A903">
        <f>IF(ISBLANK('Q:\Abteilungsprojekte\eng\EngData\AOS\Allgemein\[LabSamples2025.xlsx]Bioplastic'!A903)," ",'Q:\Abteilungsprojekte\eng\EngData\AOS\Allgemein\[LabSamples2025.xlsx]Bioplastic'!A903)</f>
        <v/>
      </c>
      <c r="B903">
        <f>IF(ISBLANK('Q:\Abteilungsprojekte\eng\EngData\AOS\Allgemein\[LabSamples2025.xlsx]Bioplastic'!B903)," ",'Q:\Abteilungsprojekte\eng\EngData\AOS\Allgemein\[LabSamples2025.xlsx]Bioplastic'!B903)</f>
        <v/>
      </c>
      <c r="C903">
        <f>IF(ISBLANK('Q:\Abteilungsprojekte\eng\EngData\AOS\Allgemein\[LabSamples2025.xlsx]Bioplastic'!C903)," ",'Q:\Abteilungsprojekte\eng\EngData\AOS\Allgemein\[LabSamples2025.xlsx]Bioplastic'!C903)</f>
        <v/>
      </c>
      <c r="D903">
        <f>IF(ISBLANK('Q:\Abteilungsprojekte\eng\EngData\AOS\Allgemein\[LabSamples2025.xlsx]Bioplastic'!D903)," ",'Q:\Abteilungsprojekte\eng\EngData\AOS\Allgemein\[LabSamples2025.xlsx]Bioplastic'!D903)</f>
        <v/>
      </c>
      <c r="E903">
        <f>IF(ISBLANK('Q:\Abteilungsprojekte\eng\EngData\AOS\Allgemein\[LabSamples2025.xlsx]Bioplastic'!E903)," ",'Q:\Abteilungsprojekte\eng\EngData\AOS\Allgemein\[LabSamples2025.xlsx]Bioplastic'!E903)</f>
        <v/>
      </c>
      <c r="F903">
        <f>IF(ISBLANK('Q:\Abteilungsprojekte\eng\EngData\AOS\Allgemein\[LabSamples2025.xlsx]Bioplastic'!F903)," ",'Q:\Abteilungsprojekte\eng\EngData\AOS\Allgemein\[LabSamples2025.xlsx]Bioplastic'!F903)</f>
        <v/>
      </c>
      <c r="G903">
        <f>IF(ISBLANK('Q:\Abteilungsprojekte\eng\EngData\AOS\Allgemein\[LabSamples2025.xlsx]Bioplastic'!G903)," ",'Q:\Abteilungsprojekte\eng\EngData\AOS\Allgemein\[LabSamples2025.xlsx]Bioplastic'!G903)</f>
        <v/>
      </c>
      <c r="H903">
        <f>IF(ISBLANK('Q:\Abteilungsprojekte\eng\EngData\AOS\Allgemein\[LabSamples2025.xlsx]Bioplastic'!H903)," ",'Q:\Abteilungsprojekte\eng\EngData\AOS\Allgemein\[LabSamples2025.xlsx]Bioplastic'!H903)</f>
        <v/>
      </c>
    </row>
    <row r="904">
      <c r="A904">
        <f>IF(ISBLANK('Q:\Abteilungsprojekte\eng\EngData\AOS\Allgemein\[LabSamples2025.xlsx]Bioplastic'!A904)," ",'Q:\Abteilungsprojekte\eng\EngData\AOS\Allgemein\[LabSamples2025.xlsx]Bioplastic'!A904)</f>
        <v/>
      </c>
      <c r="B904">
        <f>IF(ISBLANK('Q:\Abteilungsprojekte\eng\EngData\AOS\Allgemein\[LabSamples2025.xlsx]Bioplastic'!B904)," ",'Q:\Abteilungsprojekte\eng\EngData\AOS\Allgemein\[LabSamples2025.xlsx]Bioplastic'!B904)</f>
        <v/>
      </c>
      <c r="C904">
        <f>IF(ISBLANK('Q:\Abteilungsprojekte\eng\EngData\AOS\Allgemein\[LabSamples2025.xlsx]Bioplastic'!C904)," ",'Q:\Abteilungsprojekte\eng\EngData\AOS\Allgemein\[LabSamples2025.xlsx]Bioplastic'!C904)</f>
        <v/>
      </c>
      <c r="D904">
        <f>IF(ISBLANK('Q:\Abteilungsprojekte\eng\EngData\AOS\Allgemein\[LabSamples2025.xlsx]Bioplastic'!D904)," ",'Q:\Abteilungsprojekte\eng\EngData\AOS\Allgemein\[LabSamples2025.xlsx]Bioplastic'!D904)</f>
        <v/>
      </c>
      <c r="E904">
        <f>IF(ISBLANK('Q:\Abteilungsprojekte\eng\EngData\AOS\Allgemein\[LabSamples2025.xlsx]Bioplastic'!E904)," ",'Q:\Abteilungsprojekte\eng\EngData\AOS\Allgemein\[LabSamples2025.xlsx]Bioplastic'!E904)</f>
        <v/>
      </c>
      <c r="F904">
        <f>IF(ISBLANK('Q:\Abteilungsprojekte\eng\EngData\AOS\Allgemein\[LabSamples2025.xlsx]Bioplastic'!F904)," ",'Q:\Abteilungsprojekte\eng\EngData\AOS\Allgemein\[LabSamples2025.xlsx]Bioplastic'!F904)</f>
        <v/>
      </c>
      <c r="G904">
        <f>IF(ISBLANK('Q:\Abteilungsprojekte\eng\EngData\AOS\Allgemein\[LabSamples2025.xlsx]Bioplastic'!G904)," ",'Q:\Abteilungsprojekte\eng\EngData\AOS\Allgemein\[LabSamples2025.xlsx]Bioplastic'!G904)</f>
        <v/>
      </c>
      <c r="H904">
        <f>IF(ISBLANK('Q:\Abteilungsprojekte\eng\EngData\AOS\Allgemein\[LabSamples2025.xlsx]Bioplastic'!H904)," ",'Q:\Abteilungsprojekte\eng\EngData\AOS\Allgemein\[LabSamples2025.xlsx]Bioplastic'!H904)</f>
        <v/>
      </c>
    </row>
    <row r="905">
      <c r="A905">
        <f>IF(ISBLANK('Q:\Abteilungsprojekte\eng\EngData\AOS\Allgemein\[LabSamples2025.xlsx]Bioplastic'!A905)," ",'Q:\Abteilungsprojekte\eng\EngData\AOS\Allgemein\[LabSamples2025.xlsx]Bioplastic'!A905)</f>
        <v/>
      </c>
      <c r="B905">
        <f>IF(ISBLANK('Q:\Abteilungsprojekte\eng\EngData\AOS\Allgemein\[LabSamples2025.xlsx]Bioplastic'!B905)," ",'Q:\Abteilungsprojekte\eng\EngData\AOS\Allgemein\[LabSamples2025.xlsx]Bioplastic'!B905)</f>
        <v/>
      </c>
      <c r="C905">
        <f>IF(ISBLANK('Q:\Abteilungsprojekte\eng\EngData\AOS\Allgemein\[LabSamples2025.xlsx]Bioplastic'!C905)," ",'Q:\Abteilungsprojekte\eng\EngData\AOS\Allgemein\[LabSamples2025.xlsx]Bioplastic'!C905)</f>
        <v/>
      </c>
      <c r="D905">
        <f>IF(ISBLANK('Q:\Abteilungsprojekte\eng\EngData\AOS\Allgemein\[LabSamples2025.xlsx]Bioplastic'!D905)," ",'Q:\Abteilungsprojekte\eng\EngData\AOS\Allgemein\[LabSamples2025.xlsx]Bioplastic'!D905)</f>
        <v/>
      </c>
      <c r="E905">
        <f>IF(ISBLANK('Q:\Abteilungsprojekte\eng\EngData\AOS\Allgemein\[LabSamples2025.xlsx]Bioplastic'!E905)," ",'Q:\Abteilungsprojekte\eng\EngData\AOS\Allgemein\[LabSamples2025.xlsx]Bioplastic'!E905)</f>
        <v/>
      </c>
      <c r="F905">
        <f>IF(ISBLANK('Q:\Abteilungsprojekte\eng\EngData\AOS\Allgemein\[LabSamples2025.xlsx]Bioplastic'!F905)," ",'Q:\Abteilungsprojekte\eng\EngData\AOS\Allgemein\[LabSamples2025.xlsx]Bioplastic'!F905)</f>
        <v/>
      </c>
      <c r="G905">
        <f>IF(ISBLANK('Q:\Abteilungsprojekte\eng\EngData\AOS\Allgemein\[LabSamples2025.xlsx]Bioplastic'!G905)," ",'Q:\Abteilungsprojekte\eng\EngData\AOS\Allgemein\[LabSamples2025.xlsx]Bioplastic'!G905)</f>
        <v/>
      </c>
      <c r="H905">
        <f>IF(ISBLANK('Q:\Abteilungsprojekte\eng\EngData\AOS\Allgemein\[LabSamples2025.xlsx]Bioplastic'!H905)," ",'Q:\Abteilungsprojekte\eng\EngData\AOS\Allgemein\[LabSamples2025.xlsx]Bioplastic'!H905)</f>
        <v/>
      </c>
    </row>
    <row r="906">
      <c r="A906">
        <f>IF(ISBLANK('Q:\Abteilungsprojekte\eng\EngData\AOS\Allgemein\[LabSamples2025.xlsx]Bioplastic'!A906)," ",'Q:\Abteilungsprojekte\eng\EngData\AOS\Allgemein\[LabSamples2025.xlsx]Bioplastic'!A906)</f>
        <v/>
      </c>
      <c r="B906">
        <f>IF(ISBLANK('Q:\Abteilungsprojekte\eng\EngData\AOS\Allgemein\[LabSamples2025.xlsx]Bioplastic'!B906)," ",'Q:\Abteilungsprojekte\eng\EngData\AOS\Allgemein\[LabSamples2025.xlsx]Bioplastic'!B906)</f>
        <v/>
      </c>
      <c r="C906">
        <f>IF(ISBLANK('Q:\Abteilungsprojekte\eng\EngData\AOS\Allgemein\[LabSamples2025.xlsx]Bioplastic'!C906)," ",'Q:\Abteilungsprojekte\eng\EngData\AOS\Allgemein\[LabSamples2025.xlsx]Bioplastic'!C906)</f>
        <v/>
      </c>
      <c r="D906">
        <f>IF(ISBLANK('Q:\Abteilungsprojekte\eng\EngData\AOS\Allgemein\[LabSamples2025.xlsx]Bioplastic'!D906)," ",'Q:\Abteilungsprojekte\eng\EngData\AOS\Allgemein\[LabSamples2025.xlsx]Bioplastic'!D906)</f>
        <v/>
      </c>
      <c r="E906">
        <f>IF(ISBLANK('Q:\Abteilungsprojekte\eng\EngData\AOS\Allgemein\[LabSamples2025.xlsx]Bioplastic'!E906)," ",'Q:\Abteilungsprojekte\eng\EngData\AOS\Allgemein\[LabSamples2025.xlsx]Bioplastic'!E906)</f>
        <v/>
      </c>
      <c r="F906">
        <f>IF(ISBLANK('Q:\Abteilungsprojekte\eng\EngData\AOS\Allgemein\[LabSamples2025.xlsx]Bioplastic'!F906)," ",'Q:\Abteilungsprojekte\eng\EngData\AOS\Allgemein\[LabSamples2025.xlsx]Bioplastic'!F906)</f>
        <v/>
      </c>
      <c r="G906">
        <f>IF(ISBLANK('Q:\Abteilungsprojekte\eng\EngData\AOS\Allgemein\[LabSamples2025.xlsx]Bioplastic'!G906)," ",'Q:\Abteilungsprojekte\eng\EngData\AOS\Allgemein\[LabSamples2025.xlsx]Bioplastic'!G906)</f>
        <v/>
      </c>
      <c r="H906">
        <f>IF(ISBLANK('Q:\Abteilungsprojekte\eng\EngData\AOS\Allgemein\[LabSamples2025.xlsx]Bioplastic'!H906)," ",'Q:\Abteilungsprojekte\eng\EngData\AOS\Allgemein\[LabSamples2025.xlsx]Bioplastic'!H906)</f>
        <v/>
      </c>
    </row>
    <row r="907">
      <c r="A907">
        <f>IF(ISBLANK('Q:\Abteilungsprojekte\eng\EngData\AOS\Allgemein\[LabSamples2025.xlsx]Bioplastic'!A907)," ",'Q:\Abteilungsprojekte\eng\EngData\AOS\Allgemein\[LabSamples2025.xlsx]Bioplastic'!A907)</f>
        <v/>
      </c>
      <c r="B907">
        <f>IF(ISBLANK('Q:\Abteilungsprojekte\eng\EngData\AOS\Allgemein\[LabSamples2025.xlsx]Bioplastic'!B907)," ",'Q:\Abteilungsprojekte\eng\EngData\AOS\Allgemein\[LabSamples2025.xlsx]Bioplastic'!B907)</f>
        <v/>
      </c>
      <c r="C907">
        <f>IF(ISBLANK('Q:\Abteilungsprojekte\eng\EngData\AOS\Allgemein\[LabSamples2025.xlsx]Bioplastic'!C907)," ",'Q:\Abteilungsprojekte\eng\EngData\AOS\Allgemein\[LabSamples2025.xlsx]Bioplastic'!C907)</f>
        <v/>
      </c>
      <c r="D907">
        <f>IF(ISBLANK('Q:\Abteilungsprojekte\eng\EngData\AOS\Allgemein\[LabSamples2025.xlsx]Bioplastic'!D907)," ",'Q:\Abteilungsprojekte\eng\EngData\AOS\Allgemein\[LabSamples2025.xlsx]Bioplastic'!D907)</f>
        <v/>
      </c>
      <c r="E907">
        <f>IF(ISBLANK('Q:\Abteilungsprojekte\eng\EngData\AOS\Allgemein\[LabSamples2025.xlsx]Bioplastic'!E907)," ",'Q:\Abteilungsprojekte\eng\EngData\AOS\Allgemein\[LabSamples2025.xlsx]Bioplastic'!E907)</f>
        <v/>
      </c>
      <c r="F907">
        <f>IF(ISBLANK('Q:\Abteilungsprojekte\eng\EngData\AOS\Allgemein\[LabSamples2025.xlsx]Bioplastic'!F907)," ",'Q:\Abteilungsprojekte\eng\EngData\AOS\Allgemein\[LabSamples2025.xlsx]Bioplastic'!F907)</f>
        <v/>
      </c>
      <c r="G907">
        <f>IF(ISBLANK('Q:\Abteilungsprojekte\eng\EngData\AOS\Allgemein\[LabSamples2025.xlsx]Bioplastic'!G907)," ",'Q:\Abteilungsprojekte\eng\EngData\AOS\Allgemein\[LabSamples2025.xlsx]Bioplastic'!G907)</f>
        <v/>
      </c>
      <c r="H907">
        <f>IF(ISBLANK('Q:\Abteilungsprojekte\eng\EngData\AOS\Allgemein\[LabSamples2025.xlsx]Bioplastic'!H907)," ",'Q:\Abteilungsprojekte\eng\EngData\AOS\Allgemein\[LabSamples2025.xlsx]Bioplastic'!H907)</f>
        <v/>
      </c>
    </row>
    <row r="908">
      <c r="A908">
        <f>IF(ISBLANK('Q:\Abteilungsprojekte\eng\EngData\AOS\Allgemein\[LabSamples2025.xlsx]Bioplastic'!A908)," ",'Q:\Abteilungsprojekte\eng\EngData\AOS\Allgemein\[LabSamples2025.xlsx]Bioplastic'!A908)</f>
        <v/>
      </c>
      <c r="B908">
        <f>IF(ISBLANK('Q:\Abteilungsprojekte\eng\EngData\AOS\Allgemein\[LabSamples2025.xlsx]Bioplastic'!B908)," ",'Q:\Abteilungsprojekte\eng\EngData\AOS\Allgemein\[LabSamples2025.xlsx]Bioplastic'!B908)</f>
        <v/>
      </c>
      <c r="C908">
        <f>IF(ISBLANK('Q:\Abteilungsprojekte\eng\EngData\AOS\Allgemein\[LabSamples2025.xlsx]Bioplastic'!C908)," ",'Q:\Abteilungsprojekte\eng\EngData\AOS\Allgemein\[LabSamples2025.xlsx]Bioplastic'!C908)</f>
        <v/>
      </c>
      <c r="D908">
        <f>IF(ISBLANK('Q:\Abteilungsprojekte\eng\EngData\AOS\Allgemein\[LabSamples2025.xlsx]Bioplastic'!D908)," ",'Q:\Abteilungsprojekte\eng\EngData\AOS\Allgemein\[LabSamples2025.xlsx]Bioplastic'!D908)</f>
        <v/>
      </c>
      <c r="E908">
        <f>IF(ISBLANK('Q:\Abteilungsprojekte\eng\EngData\AOS\Allgemein\[LabSamples2025.xlsx]Bioplastic'!E908)," ",'Q:\Abteilungsprojekte\eng\EngData\AOS\Allgemein\[LabSamples2025.xlsx]Bioplastic'!E908)</f>
        <v/>
      </c>
      <c r="F908">
        <f>IF(ISBLANK('Q:\Abteilungsprojekte\eng\EngData\AOS\Allgemein\[LabSamples2025.xlsx]Bioplastic'!F908)," ",'Q:\Abteilungsprojekte\eng\EngData\AOS\Allgemein\[LabSamples2025.xlsx]Bioplastic'!F908)</f>
        <v/>
      </c>
      <c r="G908">
        <f>IF(ISBLANK('Q:\Abteilungsprojekte\eng\EngData\AOS\Allgemein\[LabSamples2025.xlsx]Bioplastic'!G908)," ",'Q:\Abteilungsprojekte\eng\EngData\AOS\Allgemein\[LabSamples2025.xlsx]Bioplastic'!G908)</f>
        <v/>
      </c>
      <c r="H908">
        <f>IF(ISBLANK('Q:\Abteilungsprojekte\eng\EngData\AOS\Allgemein\[LabSamples2025.xlsx]Bioplastic'!H908)," ",'Q:\Abteilungsprojekte\eng\EngData\AOS\Allgemein\[LabSamples2025.xlsx]Bioplastic'!H908)</f>
        <v/>
      </c>
    </row>
    <row r="909">
      <c r="A909">
        <f>IF(ISBLANK('Q:\Abteilungsprojekte\eng\EngData\AOS\Allgemein\[LabSamples2025.xlsx]Bioplastic'!A909)," ",'Q:\Abteilungsprojekte\eng\EngData\AOS\Allgemein\[LabSamples2025.xlsx]Bioplastic'!A909)</f>
        <v/>
      </c>
      <c r="B909">
        <f>IF(ISBLANK('Q:\Abteilungsprojekte\eng\EngData\AOS\Allgemein\[LabSamples2025.xlsx]Bioplastic'!B909)," ",'Q:\Abteilungsprojekte\eng\EngData\AOS\Allgemein\[LabSamples2025.xlsx]Bioplastic'!B909)</f>
        <v/>
      </c>
      <c r="C909">
        <f>IF(ISBLANK('Q:\Abteilungsprojekte\eng\EngData\AOS\Allgemein\[LabSamples2025.xlsx]Bioplastic'!C909)," ",'Q:\Abteilungsprojekte\eng\EngData\AOS\Allgemein\[LabSamples2025.xlsx]Bioplastic'!C909)</f>
        <v/>
      </c>
      <c r="D909">
        <f>IF(ISBLANK('Q:\Abteilungsprojekte\eng\EngData\AOS\Allgemein\[LabSamples2025.xlsx]Bioplastic'!D909)," ",'Q:\Abteilungsprojekte\eng\EngData\AOS\Allgemein\[LabSamples2025.xlsx]Bioplastic'!D909)</f>
        <v/>
      </c>
      <c r="E909">
        <f>IF(ISBLANK('Q:\Abteilungsprojekte\eng\EngData\AOS\Allgemein\[LabSamples2025.xlsx]Bioplastic'!E909)," ",'Q:\Abteilungsprojekte\eng\EngData\AOS\Allgemein\[LabSamples2025.xlsx]Bioplastic'!E909)</f>
        <v/>
      </c>
      <c r="F909">
        <f>IF(ISBLANK('Q:\Abteilungsprojekte\eng\EngData\AOS\Allgemein\[LabSamples2025.xlsx]Bioplastic'!F909)," ",'Q:\Abteilungsprojekte\eng\EngData\AOS\Allgemein\[LabSamples2025.xlsx]Bioplastic'!F909)</f>
        <v/>
      </c>
      <c r="G909">
        <f>IF(ISBLANK('Q:\Abteilungsprojekte\eng\EngData\AOS\Allgemein\[LabSamples2025.xlsx]Bioplastic'!G909)," ",'Q:\Abteilungsprojekte\eng\EngData\AOS\Allgemein\[LabSamples2025.xlsx]Bioplastic'!G909)</f>
        <v/>
      </c>
      <c r="H909">
        <f>IF(ISBLANK('Q:\Abteilungsprojekte\eng\EngData\AOS\Allgemein\[LabSamples2025.xlsx]Bioplastic'!H909)," ",'Q:\Abteilungsprojekte\eng\EngData\AOS\Allgemein\[LabSamples2025.xlsx]Bioplastic'!H909)</f>
        <v/>
      </c>
    </row>
    <row r="910">
      <c r="A910">
        <f>IF(ISBLANK('Q:\Abteilungsprojekte\eng\EngData\AOS\Allgemein\[LabSamples2025.xlsx]Bioplastic'!A910)," ",'Q:\Abteilungsprojekte\eng\EngData\AOS\Allgemein\[LabSamples2025.xlsx]Bioplastic'!A910)</f>
        <v/>
      </c>
      <c r="B910">
        <f>IF(ISBLANK('Q:\Abteilungsprojekte\eng\EngData\AOS\Allgemein\[LabSamples2025.xlsx]Bioplastic'!B910)," ",'Q:\Abteilungsprojekte\eng\EngData\AOS\Allgemein\[LabSamples2025.xlsx]Bioplastic'!B910)</f>
        <v/>
      </c>
      <c r="C910">
        <f>IF(ISBLANK('Q:\Abteilungsprojekte\eng\EngData\AOS\Allgemein\[LabSamples2025.xlsx]Bioplastic'!C910)," ",'Q:\Abteilungsprojekte\eng\EngData\AOS\Allgemein\[LabSamples2025.xlsx]Bioplastic'!C910)</f>
        <v/>
      </c>
      <c r="D910">
        <f>IF(ISBLANK('Q:\Abteilungsprojekte\eng\EngData\AOS\Allgemein\[LabSamples2025.xlsx]Bioplastic'!D910)," ",'Q:\Abteilungsprojekte\eng\EngData\AOS\Allgemein\[LabSamples2025.xlsx]Bioplastic'!D910)</f>
        <v/>
      </c>
      <c r="E910">
        <f>IF(ISBLANK('Q:\Abteilungsprojekte\eng\EngData\AOS\Allgemein\[LabSamples2025.xlsx]Bioplastic'!E910)," ",'Q:\Abteilungsprojekte\eng\EngData\AOS\Allgemein\[LabSamples2025.xlsx]Bioplastic'!E910)</f>
        <v/>
      </c>
      <c r="F910">
        <f>IF(ISBLANK('Q:\Abteilungsprojekte\eng\EngData\AOS\Allgemein\[LabSamples2025.xlsx]Bioplastic'!F910)," ",'Q:\Abteilungsprojekte\eng\EngData\AOS\Allgemein\[LabSamples2025.xlsx]Bioplastic'!F910)</f>
        <v/>
      </c>
      <c r="G910">
        <f>IF(ISBLANK('Q:\Abteilungsprojekte\eng\EngData\AOS\Allgemein\[LabSamples2025.xlsx]Bioplastic'!G910)," ",'Q:\Abteilungsprojekte\eng\EngData\AOS\Allgemein\[LabSamples2025.xlsx]Bioplastic'!G910)</f>
        <v/>
      </c>
      <c r="H910">
        <f>IF(ISBLANK('Q:\Abteilungsprojekte\eng\EngData\AOS\Allgemein\[LabSamples2025.xlsx]Bioplastic'!H910)," ",'Q:\Abteilungsprojekte\eng\EngData\AOS\Allgemein\[LabSamples2025.xlsx]Bioplastic'!H910)</f>
        <v/>
      </c>
    </row>
    <row r="911">
      <c r="A911">
        <f>IF(ISBLANK('Q:\Abteilungsprojekte\eng\EngData\AOS\Allgemein\[LabSamples2025.xlsx]Bioplastic'!A911)," ",'Q:\Abteilungsprojekte\eng\EngData\AOS\Allgemein\[LabSamples2025.xlsx]Bioplastic'!A911)</f>
        <v/>
      </c>
      <c r="B911">
        <f>IF(ISBLANK('Q:\Abteilungsprojekte\eng\EngData\AOS\Allgemein\[LabSamples2025.xlsx]Bioplastic'!B911)," ",'Q:\Abteilungsprojekte\eng\EngData\AOS\Allgemein\[LabSamples2025.xlsx]Bioplastic'!B911)</f>
        <v/>
      </c>
      <c r="C911">
        <f>IF(ISBLANK('Q:\Abteilungsprojekte\eng\EngData\AOS\Allgemein\[LabSamples2025.xlsx]Bioplastic'!C911)," ",'Q:\Abteilungsprojekte\eng\EngData\AOS\Allgemein\[LabSamples2025.xlsx]Bioplastic'!C911)</f>
        <v/>
      </c>
      <c r="D911">
        <f>IF(ISBLANK('Q:\Abteilungsprojekte\eng\EngData\AOS\Allgemein\[LabSamples2025.xlsx]Bioplastic'!D911)," ",'Q:\Abteilungsprojekte\eng\EngData\AOS\Allgemein\[LabSamples2025.xlsx]Bioplastic'!D911)</f>
        <v/>
      </c>
      <c r="E911">
        <f>IF(ISBLANK('Q:\Abteilungsprojekte\eng\EngData\AOS\Allgemein\[LabSamples2025.xlsx]Bioplastic'!E911)," ",'Q:\Abteilungsprojekte\eng\EngData\AOS\Allgemein\[LabSamples2025.xlsx]Bioplastic'!E911)</f>
        <v/>
      </c>
      <c r="F911">
        <f>IF(ISBLANK('Q:\Abteilungsprojekte\eng\EngData\AOS\Allgemein\[LabSamples2025.xlsx]Bioplastic'!F911)," ",'Q:\Abteilungsprojekte\eng\EngData\AOS\Allgemein\[LabSamples2025.xlsx]Bioplastic'!F911)</f>
        <v/>
      </c>
      <c r="G911">
        <f>IF(ISBLANK('Q:\Abteilungsprojekte\eng\EngData\AOS\Allgemein\[LabSamples2025.xlsx]Bioplastic'!G911)," ",'Q:\Abteilungsprojekte\eng\EngData\AOS\Allgemein\[LabSamples2025.xlsx]Bioplastic'!G911)</f>
        <v/>
      </c>
      <c r="H911">
        <f>IF(ISBLANK('Q:\Abteilungsprojekte\eng\EngData\AOS\Allgemein\[LabSamples2025.xlsx]Bioplastic'!H911)," ",'Q:\Abteilungsprojekte\eng\EngData\AOS\Allgemein\[LabSamples2025.xlsx]Bioplastic'!H911)</f>
        <v/>
      </c>
    </row>
    <row r="912">
      <c r="A912">
        <f>IF(ISBLANK('Q:\Abteilungsprojekte\eng\EngData\AOS\Allgemein\[LabSamples2025.xlsx]Bioplastic'!A912)," ",'Q:\Abteilungsprojekte\eng\EngData\AOS\Allgemein\[LabSamples2025.xlsx]Bioplastic'!A912)</f>
        <v/>
      </c>
      <c r="B912">
        <f>IF(ISBLANK('Q:\Abteilungsprojekte\eng\EngData\AOS\Allgemein\[LabSamples2025.xlsx]Bioplastic'!B912)," ",'Q:\Abteilungsprojekte\eng\EngData\AOS\Allgemein\[LabSamples2025.xlsx]Bioplastic'!B912)</f>
        <v/>
      </c>
      <c r="C912">
        <f>IF(ISBLANK('Q:\Abteilungsprojekte\eng\EngData\AOS\Allgemein\[LabSamples2025.xlsx]Bioplastic'!C912)," ",'Q:\Abteilungsprojekte\eng\EngData\AOS\Allgemein\[LabSamples2025.xlsx]Bioplastic'!C912)</f>
        <v/>
      </c>
      <c r="D912">
        <f>IF(ISBLANK('Q:\Abteilungsprojekte\eng\EngData\AOS\Allgemein\[LabSamples2025.xlsx]Bioplastic'!D912)," ",'Q:\Abteilungsprojekte\eng\EngData\AOS\Allgemein\[LabSamples2025.xlsx]Bioplastic'!D912)</f>
        <v/>
      </c>
      <c r="E912">
        <f>IF(ISBLANK('Q:\Abteilungsprojekte\eng\EngData\AOS\Allgemein\[LabSamples2025.xlsx]Bioplastic'!E912)," ",'Q:\Abteilungsprojekte\eng\EngData\AOS\Allgemein\[LabSamples2025.xlsx]Bioplastic'!E912)</f>
        <v/>
      </c>
      <c r="F912">
        <f>IF(ISBLANK('Q:\Abteilungsprojekte\eng\EngData\AOS\Allgemein\[LabSamples2025.xlsx]Bioplastic'!F912)," ",'Q:\Abteilungsprojekte\eng\EngData\AOS\Allgemein\[LabSamples2025.xlsx]Bioplastic'!F912)</f>
        <v/>
      </c>
      <c r="G912">
        <f>IF(ISBLANK('Q:\Abteilungsprojekte\eng\EngData\AOS\Allgemein\[LabSamples2025.xlsx]Bioplastic'!G912)," ",'Q:\Abteilungsprojekte\eng\EngData\AOS\Allgemein\[LabSamples2025.xlsx]Bioplastic'!G912)</f>
        <v/>
      </c>
      <c r="H912">
        <f>IF(ISBLANK('Q:\Abteilungsprojekte\eng\EngData\AOS\Allgemein\[LabSamples2025.xlsx]Bioplastic'!H912)," ",'Q:\Abteilungsprojekte\eng\EngData\AOS\Allgemein\[LabSamples2025.xlsx]Bioplastic'!H912)</f>
        <v/>
      </c>
    </row>
    <row r="913">
      <c r="A913">
        <f>IF(ISBLANK('Q:\Abteilungsprojekte\eng\EngData\AOS\Allgemein\[LabSamples2025.xlsx]Bioplastic'!A913)," ",'Q:\Abteilungsprojekte\eng\EngData\AOS\Allgemein\[LabSamples2025.xlsx]Bioplastic'!A913)</f>
        <v/>
      </c>
      <c r="B913">
        <f>IF(ISBLANK('Q:\Abteilungsprojekte\eng\EngData\AOS\Allgemein\[LabSamples2025.xlsx]Bioplastic'!B913)," ",'Q:\Abteilungsprojekte\eng\EngData\AOS\Allgemein\[LabSamples2025.xlsx]Bioplastic'!B913)</f>
        <v/>
      </c>
      <c r="C913">
        <f>IF(ISBLANK('Q:\Abteilungsprojekte\eng\EngData\AOS\Allgemein\[LabSamples2025.xlsx]Bioplastic'!C913)," ",'Q:\Abteilungsprojekte\eng\EngData\AOS\Allgemein\[LabSamples2025.xlsx]Bioplastic'!C913)</f>
        <v/>
      </c>
      <c r="D913">
        <f>IF(ISBLANK('Q:\Abteilungsprojekte\eng\EngData\AOS\Allgemein\[LabSamples2025.xlsx]Bioplastic'!D913)," ",'Q:\Abteilungsprojekte\eng\EngData\AOS\Allgemein\[LabSamples2025.xlsx]Bioplastic'!D913)</f>
        <v/>
      </c>
      <c r="E913">
        <f>IF(ISBLANK('Q:\Abteilungsprojekte\eng\EngData\AOS\Allgemein\[LabSamples2025.xlsx]Bioplastic'!E913)," ",'Q:\Abteilungsprojekte\eng\EngData\AOS\Allgemein\[LabSamples2025.xlsx]Bioplastic'!E913)</f>
        <v/>
      </c>
      <c r="F913">
        <f>IF(ISBLANK('Q:\Abteilungsprojekte\eng\EngData\AOS\Allgemein\[LabSamples2025.xlsx]Bioplastic'!F913)," ",'Q:\Abteilungsprojekte\eng\EngData\AOS\Allgemein\[LabSamples2025.xlsx]Bioplastic'!F913)</f>
        <v/>
      </c>
      <c r="G913">
        <f>IF(ISBLANK('Q:\Abteilungsprojekte\eng\EngData\AOS\Allgemein\[LabSamples2025.xlsx]Bioplastic'!G913)," ",'Q:\Abteilungsprojekte\eng\EngData\AOS\Allgemein\[LabSamples2025.xlsx]Bioplastic'!G913)</f>
        <v/>
      </c>
      <c r="H913">
        <f>IF(ISBLANK('Q:\Abteilungsprojekte\eng\EngData\AOS\Allgemein\[LabSamples2025.xlsx]Bioplastic'!H913)," ",'Q:\Abteilungsprojekte\eng\EngData\AOS\Allgemein\[LabSamples2025.xlsx]Bioplastic'!H913)</f>
        <v/>
      </c>
    </row>
    <row r="914">
      <c r="A914">
        <f>IF(ISBLANK('Q:\Abteilungsprojekte\eng\EngData\AOS\Allgemein\[LabSamples2025.xlsx]Bioplastic'!A914)," ",'Q:\Abteilungsprojekte\eng\EngData\AOS\Allgemein\[LabSamples2025.xlsx]Bioplastic'!A914)</f>
        <v/>
      </c>
      <c r="B914">
        <f>IF(ISBLANK('Q:\Abteilungsprojekte\eng\EngData\AOS\Allgemein\[LabSamples2025.xlsx]Bioplastic'!B914)," ",'Q:\Abteilungsprojekte\eng\EngData\AOS\Allgemein\[LabSamples2025.xlsx]Bioplastic'!B914)</f>
        <v/>
      </c>
      <c r="C914">
        <f>IF(ISBLANK('Q:\Abteilungsprojekte\eng\EngData\AOS\Allgemein\[LabSamples2025.xlsx]Bioplastic'!C914)," ",'Q:\Abteilungsprojekte\eng\EngData\AOS\Allgemein\[LabSamples2025.xlsx]Bioplastic'!C914)</f>
        <v/>
      </c>
      <c r="D914">
        <f>IF(ISBLANK('Q:\Abteilungsprojekte\eng\EngData\AOS\Allgemein\[LabSamples2025.xlsx]Bioplastic'!D914)," ",'Q:\Abteilungsprojekte\eng\EngData\AOS\Allgemein\[LabSamples2025.xlsx]Bioplastic'!D914)</f>
        <v/>
      </c>
      <c r="E914">
        <f>IF(ISBLANK('Q:\Abteilungsprojekte\eng\EngData\AOS\Allgemein\[LabSamples2025.xlsx]Bioplastic'!E914)," ",'Q:\Abteilungsprojekte\eng\EngData\AOS\Allgemein\[LabSamples2025.xlsx]Bioplastic'!E914)</f>
        <v/>
      </c>
      <c r="F914">
        <f>IF(ISBLANK('Q:\Abteilungsprojekte\eng\EngData\AOS\Allgemein\[LabSamples2025.xlsx]Bioplastic'!F914)," ",'Q:\Abteilungsprojekte\eng\EngData\AOS\Allgemein\[LabSamples2025.xlsx]Bioplastic'!F914)</f>
        <v/>
      </c>
      <c r="G914">
        <f>IF(ISBLANK('Q:\Abteilungsprojekte\eng\EngData\AOS\Allgemein\[LabSamples2025.xlsx]Bioplastic'!G914)," ",'Q:\Abteilungsprojekte\eng\EngData\AOS\Allgemein\[LabSamples2025.xlsx]Bioplastic'!G914)</f>
        <v/>
      </c>
      <c r="H914">
        <f>IF(ISBLANK('Q:\Abteilungsprojekte\eng\EngData\AOS\Allgemein\[LabSamples2025.xlsx]Bioplastic'!H914)," ",'Q:\Abteilungsprojekte\eng\EngData\AOS\Allgemein\[LabSamples2025.xlsx]Bioplastic'!H914)</f>
        <v/>
      </c>
    </row>
    <row r="915">
      <c r="A915">
        <f>IF(ISBLANK('Q:\Abteilungsprojekte\eng\EngData\AOS\Allgemein\[LabSamples2025.xlsx]Bioplastic'!A915)," ",'Q:\Abteilungsprojekte\eng\EngData\AOS\Allgemein\[LabSamples2025.xlsx]Bioplastic'!A915)</f>
        <v/>
      </c>
      <c r="B915">
        <f>IF(ISBLANK('Q:\Abteilungsprojekte\eng\EngData\AOS\Allgemein\[LabSamples2025.xlsx]Bioplastic'!B915)," ",'Q:\Abteilungsprojekte\eng\EngData\AOS\Allgemein\[LabSamples2025.xlsx]Bioplastic'!B915)</f>
        <v/>
      </c>
      <c r="C915">
        <f>IF(ISBLANK('Q:\Abteilungsprojekte\eng\EngData\AOS\Allgemein\[LabSamples2025.xlsx]Bioplastic'!C915)," ",'Q:\Abteilungsprojekte\eng\EngData\AOS\Allgemein\[LabSamples2025.xlsx]Bioplastic'!C915)</f>
        <v/>
      </c>
      <c r="D915">
        <f>IF(ISBLANK('Q:\Abteilungsprojekte\eng\EngData\AOS\Allgemein\[LabSamples2025.xlsx]Bioplastic'!D915)," ",'Q:\Abteilungsprojekte\eng\EngData\AOS\Allgemein\[LabSamples2025.xlsx]Bioplastic'!D915)</f>
        <v/>
      </c>
      <c r="E915">
        <f>IF(ISBLANK('Q:\Abteilungsprojekte\eng\EngData\AOS\Allgemein\[LabSamples2025.xlsx]Bioplastic'!E915)," ",'Q:\Abteilungsprojekte\eng\EngData\AOS\Allgemein\[LabSamples2025.xlsx]Bioplastic'!E915)</f>
        <v/>
      </c>
      <c r="F915">
        <f>IF(ISBLANK('Q:\Abteilungsprojekte\eng\EngData\AOS\Allgemein\[LabSamples2025.xlsx]Bioplastic'!F915)," ",'Q:\Abteilungsprojekte\eng\EngData\AOS\Allgemein\[LabSamples2025.xlsx]Bioplastic'!F915)</f>
        <v/>
      </c>
      <c r="G915">
        <f>IF(ISBLANK('Q:\Abteilungsprojekte\eng\EngData\AOS\Allgemein\[LabSamples2025.xlsx]Bioplastic'!G915)," ",'Q:\Abteilungsprojekte\eng\EngData\AOS\Allgemein\[LabSamples2025.xlsx]Bioplastic'!G915)</f>
        <v/>
      </c>
      <c r="H915">
        <f>IF(ISBLANK('Q:\Abteilungsprojekte\eng\EngData\AOS\Allgemein\[LabSamples2025.xlsx]Bioplastic'!H915)," ",'Q:\Abteilungsprojekte\eng\EngData\AOS\Allgemein\[LabSamples2025.xlsx]Bioplastic'!H915)</f>
        <v/>
      </c>
    </row>
    <row r="916">
      <c r="A916">
        <f>IF(ISBLANK('Q:\Abteilungsprojekte\eng\EngData\AOS\Allgemein\[LabSamples2025.xlsx]Bioplastic'!A916)," ",'Q:\Abteilungsprojekte\eng\EngData\AOS\Allgemein\[LabSamples2025.xlsx]Bioplastic'!A916)</f>
        <v/>
      </c>
      <c r="B916">
        <f>IF(ISBLANK('Q:\Abteilungsprojekte\eng\EngData\AOS\Allgemein\[LabSamples2025.xlsx]Bioplastic'!B916)," ",'Q:\Abteilungsprojekte\eng\EngData\AOS\Allgemein\[LabSamples2025.xlsx]Bioplastic'!B916)</f>
        <v/>
      </c>
      <c r="C916">
        <f>IF(ISBLANK('Q:\Abteilungsprojekte\eng\EngData\AOS\Allgemein\[LabSamples2025.xlsx]Bioplastic'!C916)," ",'Q:\Abteilungsprojekte\eng\EngData\AOS\Allgemein\[LabSamples2025.xlsx]Bioplastic'!C916)</f>
        <v/>
      </c>
      <c r="D916">
        <f>IF(ISBLANK('Q:\Abteilungsprojekte\eng\EngData\AOS\Allgemein\[LabSamples2025.xlsx]Bioplastic'!D916)," ",'Q:\Abteilungsprojekte\eng\EngData\AOS\Allgemein\[LabSamples2025.xlsx]Bioplastic'!D916)</f>
        <v/>
      </c>
      <c r="E916">
        <f>IF(ISBLANK('Q:\Abteilungsprojekte\eng\EngData\AOS\Allgemein\[LabSamples2025.xlsx]Bioplastic'!E916)," ",'Q:\Abteilungsprojekte\eng\EngData\AOS\Allgemein\[LabSamples2025.xlsx]Bioplastic'!E916)</f>
        <v/>
      </c>
      <c r="F916">
        <f>IF(ISBLANK('Q:\Abteilungsprojekte\eng\EngData\AOS\Allgemein\[LabSamples2025.xlsx]Bioplastic'!F916)," ",'Q:\Abteilungsprojekte\eng\EngData\AOS\Allgemein\[LabSamples2025.xlsx]Bioplastic'!F916)</f>
        <v/>
      </c>
      <c r="G916">
        <f>IF(ISBLANK('Q:\Abteilungsprojekte\eng\EngData\AOS\Allgemein\[LabSamples2025.xlsx]Bioplastic'!G916)," ",'Q:\Abteilungsprojekte\eng\EngData\AOS\Allgemein\[LabSamples2025.xlsx]Bioplastic'!G916)</f>
        <v/>
      </c>
      <c r="H916">
        <f>IF(ISBLANK('Q:\Abteilungsprojekte\eng\EngData\AOS\Allgemein\[LabSamples2025.xlsx]Bioplastic'!H916)," ",'Q:\Abteilungsprojekte\eng\EngData\AOS\Allgemein\[LabSamples2025.xlsx]Bioplastic'!H916)</f>
        <v/>
      </c>
    </row>
    <row r="917">
      <c r="A917">
        <f>IF(ISBLANK('Q:\Abteilungsprojekte\eng\EngData\AOS\Allgemein\[LabSamples2025.xlsx]Bioplastic'!A917)," ",'Q:\Abteilungsprojekte\eng\EngData\AOS\Allgemein\[LabSamples2025.xlsx]Bioplastic'!A917)</f>
        <v/>
      </c>
      <c r="B917">
        <f>IF(ISBLANK('Q:\Abteilungsprojekte\eng\EngData\AOS\Allgemein\[LabSamples2025.xlsx]Bioplastic'!B917)," ",'Q:\Abteilungsprojekte\eng\EngData\AOS\Allgemein\[LabSamples2025.xlsx]Bioplastic'!B917)</f>
        <v/>
      </c>
      <c r="C917">
        <f>IF(ISBLANK('Q:\Abteilungsprojekte\eng\EngData\AOS\Allgemein\[LabSamples2025.xlsx]Bioplastic'!C917)," ",'Q:\Abteilungsprojekte\eng\EngData\AOS\Allgemein\[LabSamples2025.xlsx]Bioplastic'!C917)</f>
        <v/>
      </c>
      <c r="D917">
        <f>IF(ISBLANK('Q:\Abteilungsprojekte\eng\EngData\AOS\Allgemein\[LabSamples2025.xlsx]Bioplastic'!D917)," ",'Q:\Abteilungsprojekte\eng\EngData\AOS\Allgemein\[LabSamples2025.xlsx]Bioplastic'!D917)</f>
        <v/>
      </c>
      <c r="E917">
        <f>IF(ISBLANK('Q:\Abteilungsprojekte\eng\EngData\AOS\Allgemein\[LabSamples2025.xlsx]Bioplastic'!E917)," ",'Q:\Abteilungsprojekte\eng\EngData\AOS\Allgemein\[LabSamples2025.xlsx]Bioplastic'!E917)</f>
        <v/>
      </c>
      <c r="F917">
        <f>IF(ISBLANK('Q:\Abteilungsprojekte\eng\EngData\AOS\Allgemein\[LabSamples2025.xlsx]Bioplastic'!F917)," ",'Q:\Abteilungsprojekte\eng\EngData\AOS\Allgemein\[LabSamples2025.xlsx]Bioplastic'!F917)</f>
        <v/>
      </c>
      <c r="G917">
        <f>IF(ISBLANK('Q:\Abteilungsprojekte\eng\EngData\AOS\Allgemein\[LabSamples2025.xlsx]Bioplastic'!G917)," ",'Q:\Abteilungsprojekte\eng\EngData\AOS\Allgemein\[LabSamples2025.xlsx]Bioplastic'!G917)</f>
        <v/>
      </c>
      <c r="H917">
        <f>IF(ISBLANK('Q:\Abteilungsprojekte\eng\EngData\AOS\Allgemein\[LabSamples2025.xlsx]Bioplastic'!H917)," ",'Q:\Abteilungsprojekte\eng\EngData\AOS\Allgemein\[LabSamples2025.xlsx]Bioplastic'!H917)</f>
        <v/>
      </c>
    </row>
    <row r="918">
      <c r="A918">
        <f>IF(ISBLANK('Q:\Abteilungsprojekte\eng\EngData\AOS\Allgemein\[LabSamples2025.xlsx]Bioplastic'!A918)," ",'Q:\Abteilungsprojekte\eng\EngData\AOS\Allgemein\[LabSamples2025.xlsx]Bioplastic'!A918)</f>
        <v/>
      </c>
      <c r="B918">
        <f>IF(ISBLANK('Q:\Abteilungsprojekte\eng\EngData\AOS\Allgemein\[LabSamples2025.xlsx]Bioplastic'!B918)," ",'Q:\Abteilungsprojekte\eng\EngData\AOS\Allgemein\[LabSamples2025.xlsx]Bioplastic'!B918)</f>
        <v/>
      </c>
      <c r="C918">
        <f>IF(ISBLANK('Q:\Abteilungsprojekte\eng\EngData\AOS\Allgemein\[LabSamples2025.xlsx]Bioplastic'!C918)," ",'Q:\Abteilungsprojekte\eng\EngData\AOS\Allgemein\[LabSamples2025.xlsx]Bioplastic'!C918)</f>
        <v/>
      </c>
      <c r="D918">
        <f>IF(ISBLANK('Q:\Abteilungsprojekte\eng\EngData\AOS\Allgemein\[LabSamples2025.xlsx]Bioplastic'!D918)," ",'Q:\Abteilungsprojekte\eng\EngData\AOS\Allgemein\[LabSamples2025.xlsx]Bioplastic'!D918)</f>
        <v/>
      </c>
      <c r="E918">
        <f>IF(ISBLANK('Q:\Abteilungsprojekte\eng\EngData\AOS\Allgemein\[LabSamples2025.xlsx]Bioplastic'!E918)," ",'Q:\Abteilungsprojekte\eng\EngData\AOS\Allgemein\[LabSamples2025.xlsx]Bioplastic'!E918)</f>
        <v/>
      </c>
      <c r="F918">
        <f>IF(ISBLANK('Q:\Abteilungsprojekte\eng\EngData\AOS\Allgemein\[LabSamples2025.xlsx]Bioplastic'!F918)," ",'Q:\Abteilungsprojekte\eng\EngData\AOS\Allgemein\[LabSamples2025.xlsx]Bioplastic'!F918)</f>
        <v/>
      </c>
      <c r="G918">
        <f>IF(ISBLANK('Q:\Abteilungsprojekte\eng\EngData\AOS\Allgemein\[LabSamples2025.xlsx]Bioplastic'!G918)," ",'Q:\Abteilungsprojekte\eng\EngData\AOS\Allgemein\[LabSamples2025.xlsx]Bioplastic'!G918)</f>
        <v/>
      </c>
      <c r="H918">
        <f>IF(ISBLANK('Q:\Abteilungsprojekte\eng\EngData\AOS\Allgemein\[LabSamples2025.xlsx]Bioplastic'!H918)," ",'Q:\Abteilungsprojekte\eng\EngData\AOS\Allgemein\[LabSamples2025.xlsx]Bioplastic'!H918)</f>
        <v/>
      </c>
    </row>
    <row r="919">
      <c r="A919">
        <f>IF(ISBLANK('Q:\Abteilungsprojekte\eng\EngData\AOS\Allgemein\[LabSamples2025.xlsx]Bioplastic'!A919)," ",'Q:\Abteilungsprojekte\eng\EngData\AOS\Allgemein\[LabSamples2025.xlsx]Bioplastic'!A919)</f>
        <v/>
      </c>
      <c r="B919">
        <f>IF(ISBLANK('Q:\Abteilungsprojekte\eng\EngData\AOS\Allgemein\[LabSamples2025.xlsx]Bioplastic'!B919)," ",'Q:\Abteilungsprojekte\eng\EngData\AOS\Allgemein\[LabSamples2025.xlsx]Bioplastic'!B919)</f>
        <v/>
      </c>
      <c r="C919">
        <f>IF(ISBLANK('Q:\Abteilungsprojekte\eng\EngData\AOS\Allgemein\[LabSamples2025.xlsx]Bioplastic'!C919)," ",'Q:\Abteilungsprojekte\eng\EngData\AOS\Allgemein\[LabSamples2025.xlsx]Bioplastic'!C919)</f>
        <v/>
      </c>
      <c r="D919">
        <f>IF(ISBLANK('Q:\Abteilungsprojekte\eng\EngData\AOS\Allgemein\[LabSamples2025.xlsx]Bioplastic'!D919)," ",'Q:\Abteilungsprojekte\eng\EngData\AOS\Allgemein\[LabSamples2025.xlsx]Bioplastic'!D919)</f>
        <v/>
      </c>
      <c r="E919">
        <f>IF(ISBLANK('Q:\Abteilungsprojekte\eng\EngData\AOS\Allgemein\[LabSamples2025.xlsx]Bioplastic'!E919)," ",'Q:\Abteilungsprojekte\eng\EngData\AOS\Allgemein\[LabSamples2025.xlsx]Bioplastic'!E919)</f>
        <v/>
      </c>
      <c r="F919">
        <f>IF(ISBLANK('Q:\Abteilungsprojekte\eng\EngData\AOS\Allgemein\[LabSamples2025.xlsx]Bioplastic'!F919)," ",'Q:\Abteilungsprojekte\eng\EngData\AOS\Allgemein\[LabSamples2025.xlsx]Bioplastic'!F919)</f>
        <v/>
      </c>
      <c r="G919">
        <f>IF(ISBLANK('Q:\Abteilungsprojekte\eng\EngData\AOS\Allgemein\[LabSamples2025.xlsx]Bioplastic'!G919)," ",'Q:\Abteilungsprojekte\eng\EngData\AOS\Allgemein\[LabSamples2025.xlsx]Bioplastic'!G919)</f>
        <v/>
      </c>
      <c r="H919">
        <f>IF(ISBLANK('Q:\Abteilungsprojekte\eng\EngData\AOS\Allgemein\[LabSamples2025.xlsx]Bioplastic'!H919)," ",'Q:\Abteilungsprojekte\eng\EngData\AOS\Allgemein\[LabSamples2025.xlsx]Bioplastic'!H919)</f>
        <v/>
      </c>
    </row>
    <row r="920">
      <c r="A920">
        <f>IF(ISBLANK('Q:\Abteilungsprojekte\eng\EngData\AOS\Allgemein\[LabSamples2025.xlsx]Bioplastic'!A920)," ",'Q:\Abteilungsprojekte\eng\EngData\AOS\Allgemein\[LabSamples2025.xlsx]Bioplastic'!A920)</f>
        <v/>
      </c>
      <c r="B920">
        <f>IF(ISBLANK('Q:\Abteilungsprojekte\eng\EngData\AOS\Allgemein\[LabSamples2025.xlsx]Bioplastic'!B920)," ",'Q:\Abteilungsprojekte\eng\EngData\AOS\Allgemein\[LabSamples2025.xlsx]Bioplastic'!B920)</f>
        <v/>
      </c>
      <c r="C920">
        <f>IF(ISBLANK('Q:\Abteilungsprojekte\eng\EngData\AOS\Allgemein\[LabSamples2025.xlsx]Bioplastic'!C920)," ",'Q:\Abteilungsprojekte\eng\EngData\AOS\Allgemein\[LabSamples2025.xlsx]Bioplastic'!C920)</f>
        <v/>
      </c>
      <c r="D920">
        <f>IF(ISBLANK('Q:\Abteilungsprojekte\eng\EngData\AOS\Allgemein\[LabSamples2025.xlsx]Bioplastic'!D920)," ",'Q:\Abteilungsprojekte\eng\EngData\AOS\Allgemein\[LabSamples2025.xlsx]Bioplastic'!D920)</f>
        <v/>
      </c>
      <c r="E920">
        <f>IF(ISBLANK('Q:\Abteilungsprojekte\eng\EngData\AOS\Allgemein\[LabSamples2025.xlsx]Bioplastic'!E920)," ",'Q:\Abteilungsprojekte\eng\EngData\AOS\Allgemein\[LabSamples2025.xlsx]Bioplastic'!E920)</f>
        <v/>
      </c>
      <c r="F920">
        <f>IF(ISBLANK('Q:\Abteilungsprojekte\eng\EngData\AOS\Allgemein\[LabSamples2025.xlsx]Bioplastic'!F920)," ",'Q:\Abteilungsprojekte\eng\EngData\AOS\Allgemein\[LabSamples2025.xlsx]Bioplastic'!F920)</f>
        <v/>
      </c>
      <c r="G920">
        <f>IF(ISBLANK('Q:\Abteilungsprojekte\eng\EngData\AOS\Allgemein\[LabSamples2025.xlsx]Bioplastic'!G920)," ",'Q:\Abteilungsprojekte\eng\EngData\AOS\Allgemein\[LabSamples2025.xlsx]Bioplastic'!G920)</f>
        <v/>
      </c>
      <c r="H920">
        <f>IF(ISBLANK('Q:\Abteilungsprojekte\eng\EngData\AOS\Allgemein\[LabSamples2025.xlsx]Bioplastic'!H920)," ",'Q:\Abteilungsprojekte\eng\EngData\AOS\Allgemein\[LabSamples2025.xlsx]Bioplastic'!H920)</f>
        <v/>
      </c>
    </row>
    <row r="921">
      <c r="A921">
        <f>IF(ISBLANK('Q:\Abteilungsprojekte\eng\EngData\AOS\Allgemein\[LabSamples2025.xlsx]Bioplastic'!A921)," ",'Q:\Abteilungsprojekte\eng\EngData\AOS\Allgemein\[LabSamples2025.xlsx]Bioplastic'!A921)</f>
        <v/>
      </c>
      <c r="B921">
        <f>IF(ISBLANK('Q:\Abteilungsprojekte\eng\EngData\AOS\Allgemein\[LabSamples2025.xlsx]Bioplastic'!B921)," ",'Q:\Abteilungsprojekte\eng\EngData\AOS\Allgemein\[LabSamples2025.xlsx]Bioplastic'!B921)</f>
        <v/>
      </c>
      <c r="C921">
        <f>IF(ISBLANK('Q:\Abteilungsprojekte\eng\EngData\AOS\Allgemein\[LabSamples2025.xlsx]Bioplastic'!C921)," ",'Q:\Abteilungsprojekte\eng\EngData\AOS\Allgemein\[LabSamples2025.xlsx]Bioplastic'!C921)</f>
        <v/>
      </c>
      <c r="D921">
        <f>IF(ISBLANK('Q:\Abteilungsprojekte\eng\EngData\AOS\Allgemein\[LabSamples2025.xlsx]Bioplastic'!D921)," ",'Q:\Abteilungsprojekte\eng\EngData\AOS\Allgemein\[LabSamples2025.xlsx]Bioplastic'!D921)</f>
        <v/>
      </c>
      <c r="E921">
        <f>IF(ISBLANK('Q:\Abteilungsprojekte\eng\EngData\AOS\Allgemein\[LabSamples2025.xlsx]Bioplastic'!E921)," ",'Q:\Abteilungsprojekte\eng\EngData\AOS\Allgemein\[LabSamples2025.xlsx]Bioplastic'!E921)</f>
        <v/>
      </c>
      <c r="F921">
        <f>IF(ISBLANK('Q:\Abteilungsprojekte\eng\EngData\AOS\Allgemein\[LabSamples2025.xlsx]Bioplastic'!F921)," ",'Q:\Abteilungsprojekte\eng\EngData\AOS\Allgemein\[LabSamples2025.xlsx]Bioplastic'!F921)</f>
        <v/>
      </c>
      <c r="G921">
        <f>IF(ISBLANK('Q:\Abteilungsprojekte\eng\EngData\AOS\Allgemein\[LabSamples2025.xlsx]Bioplastic'!G921)," ",'Q:\Abteilungsprojekte\eng\EngData\AOS\Allgemein\[LabSamples2025.xlsx]Bioplastic'!G921)</f>
        <v/>
      </c>
      <c r="H921">
        <f>IF(ISBLANK('Q:\Abteilungsprojekte\eng\EngData\AOS\Allgemein\[LabSamples2025.xlsx]Bioplastic'!H921)," ",'Q:\Abteilungsprojekte\eng\EngData\AOS\Allgemein\[LabSamples2025.xlsx]Bioplastic'!H921)</f>
        <v/>
      </c>
    </row>
    <row r="922">
      <c r="A922">
        <f>IF(ISBLANK('Q:\Abteilungsprojekte\eng\EngData\AOS\Allgemein\[LabSamples2025.xlsx]Bioplastic'!A922)," ",'Q:\Abteilungsprojekte\eng\EngData\AOS\Allgemein\[LabSamples2025.xlsx]Bioplastic'!A922)</f>
        <v/>
      </c>
      <c r="B922">
        <f>IF(ISBLANK('Q:\Abteilungsprojekte\eng\EngData\AOS\Allgemein\[LabSamples2025.xlsx]Bioplastic'!B922)," ",'Q:\Abteilungsprojekte\eng\EngData\AOS\Allgemein\[LabSamples2025.xlsx]Bioplastic'!B922)</f>
        <v/>
      </c>
      <c r="C922">
        <f>IF(ISBLANK('Q:\Abteilungsprojekte\eng\EngData\AOS\Allgemein\[LabSamples2025.xlsx]Bioplastic'!C922)," ",'Q:\Abteilungsprojekte\eng\EngData\AOS\Allgemein\[LabSamples2025.xlsx]Bioplastic'!C922)</f>
        <v/>
      </c>
      <c r="D922">
        <f>IF(ISBLANK('Q:\Abteilungsprojekte\eng\EngData\AOS\Allgemein\[LabSamples2025.xlsx]Bioplastic'!D922)," ",'Q:\Abteilungsprojekte\eng\EngData\AOS\Allgemein\[LabSamples2025.xlsx]Bioplastic'!D922)</f>
        <v/>
      </c>
      <c r="E922">
        <f>IF(ISBLANK('Q:\Abteilungsprojekte\eng\EngData\AOS\Allgemein\[LabSamples2025.xlsx]Bioplastic'!E922)," ",'Q:\Abteilungsprojekte\eng\EngData\AOS\Allgemein\[LabSamples2025.xlsx]Bioplastic'!E922)</f>
        <v/>
      </c>
      <c r="F922">
        <f>IF(ISBLANK('Q:\Abteilungsprojekte\eng\EngData\AOS\Allgemein\[LabSamples2025.xlsx]Bioplastic'!F922)," ",'Q:\Abteilungsprojekte\eng\EngData\AOS\Allgemein\[LabSamples2025.xlsx]Bioplastic'!F922)</f>
        <v/>
      </c>
      <c r="G922">
        <f>IF(ISBLANK('Q:\Abteilungsprojekte\eng\EngData\AOS\Allgemein\[LabSamples2025.xlsx]Bioplastic'!G922)," ",'Q:\Abteilungsprojekte\eng\EngData\AOS\Allgemein\[LabSamples2025.xlsx]Bioplastic'!G922)</f>
        <v/>
      </c>
      <c r="H922">
        <f>IF(ISBLANK('Q:\Abteilungsprojekte\eng\EngData\AOS\Allgemein\[LabSamples2025.xlsx]Bioplastic'!H922)," ",'Q:\Abteilungsprojekte\eng\EngData\AOS\Allgemein\[LabSamples2025.xlsx]Bioplastic'!H922)</f>
        <v/>
      </c>
    </row>
    <row r="923">
      <c r="A923">
        <f>IF(ISBLANK('Q:\Abteilungsprojekte\eng\EngData\AOS\Allgemein\[LabSamples2025.xlsx]Bioplastic'!A923)," ",'Q:\Abteilungsprojekte\eng\EngData\AOS\Allgemein\[LabSamples2025.xlsx]Bioplastic'!A923)</f>
        <v/>
      </c>
      <c r="B923">
        <f>IF(ISBLANK('Q:\Abteilungsprojekte\eng\EngData\AOS\Allgemein\[LabSamples2025.xlsx]Bioplastic'!B923)," ",'Q:\Abteilungsprojekte\eng\EngData\AOS\Allgemein\[LabSamples2025.xlsx]Bioplastic'!B923)</f>
        <v/>
      </c>
      <c r="C923">
        <f>IF(ISBLANK('Q:\Abteilungsprojekte\eng\EngData\AOS\Allgemein\[LabSamples2025.xlsx]Bioplastic'!C923)," ",'Q:\Abteilungsprojekte\eng\EngData\AOS\Allgemein\[LabSamples2025.xlsx]Bioplastic'!C923)</f>
        <v/>
      </c>
      <c r="D923">
        <f>IF(ISBLANK('Q:\Abteilungsprojekte\eng\EngData\AOS\Allgemein\[LabSamples2025.xlsx]Bioplastic'!D923)," ",'Q:\Abteilungsprojekte\eng\EngData\AOS\Allgemein\[LabSamples2025.xlsx]Bioplastic'!D923)</f>
        <v/>
      </c>
      <c r="E923">
        <f>IF(ISBLANK('Q:\Abteilungsprojekte\eng\EngData\AOS\Allgemein\[LabSamples2025.xlsx]Bioplastic'!E923)," ",'Q:\Abteilungsprojekte\eng\EngData\AOS\Allgemein\[LabSamples2025.xlsx]Bioplastic'!E923)</f>
        <v/>
      </c>
      <c r="F923">
        <f>IF(ISBLANK('Q:\Abteilungsprojekte\eng\EngData\AOS\Allgemein\[LabSamples2025.xlsx]Bioplastic'!F923)," ",'Q:\Abteilungsprojekte\eng\EngData\AOS\Allgemein\[LabSamples2025.xlsx]Bioplastic'!F923)</f>
        <v/>
      </c>
      <c r="G923">
        <f>IF(ISBLANK('Q:\Abteilungsprojekte\eng\EngData\AOS\Allgemein\[LabSamples2025.xlsx]Bioplastic'!G923)," ",'Q:\Abteilungsprojekte\eng\EngData\AOS\Allgemein\[LabSamples2025.xlsx]Bioplastic'!G923)</f>
        <v/>
      </c>
      <c r="H923">
        <f>IF(ISBLANK('Q:\Abteilungsprojekte\eng\EngData\AOS\Allgemein\[LabSamples2025.xlsx]Bioplastic'!H923)," ",'Q:\Abteilungsprojekte\eng\EngData\AOS\Allgemein\[LabSamples2025.xlsx]Bioplastic'!H923)</f>
        <v/>
      </c>
    </row>
    <row r="924">
      <c r="A924">
        <f>IF(ISBLANK('Q:\Abteilungsprojekte\eng\EngData\AOS\Allgemein\[LabSamples2025.xlsx]Bioplastic'!A924)," ",'Q:\Abteilungsprojekte\eng\EngData\AOS\Allgemein\[LabSamples2025.xlsx]Bioplastic'!A924)</f>
        <v/>
      </c>
      <c r="B924">
        <f>IF(ISBLANK('Q:\Abteilungsprojekte\eng\EngData\AOS\Allgemein\[LabSamples2025.xlsx]Bioplastic'!B924)," ",'Q:\Abteilungsprojekte\eng\EngData\AOS\Allgemein\[LabSamples2025.xlsx]Bioplastic'!B924)</f>
        <v/>
      </c>
      <c r="C924">
        <f>IF(ISBLANK('Q:\Abteilungsprojekte\eng\EngData\AOS\Allgemein\[LabSamples2025.xlsx]Bioplastic'!C924)," ",'Q:\Abteilungsprojekte\eng\EngData\AOS\Allgemein\[LabSamples2025.xlsx]Bioplastic'!C924)</f>
        <v/>
      </c>
      <c r="D924">
        <f>IF(ISBLANK('Q:\Abteilungsprojekte\eng\EngData\AOS\Allgemein\[LabSamples2025.xlsx]Bioplastic'!D924)," ",'Q:\Abteilungsprojekte\eng\EngData\AOS\Allgemein\[LabSamples2025.xlsx]Bioplastic'!D924)</f>
        <v/>
      </c>
      <c r="E924">
        <f>IF(ISBLANK('Q:\Abteilungsprojekte\eng\EngData\AOS\Allgemein\[LabSamples2025.xlsx]Bioplastic'!E924)," ",'Q:\Abteilungsprojekte\eng\EngData\AOS\Allgemein\[LabSamples2025.xlsx]Bioplastic'!E924)</f>
        <v/>
      </c>
      <c r="F924">
        <f>IF(ISBLANK('Q:\Abteilungsprojekte\eng\EngData\AOS\Allgemein\[LabSamples2025.xlsx]Bioplastic'!F924)," ",'Q:\Abteilungsprojekte\eng\EngData\AOS\Allgemein\[LabSamples2025.xlsx]Bioplastic'!F924)</f>
        <v/>
      </c>
      <c r="G924">
        <f>IF(ISBLANK('Q:\Abteilungsprojekte\eng\EngData\AOS\Allgemein\[LabSamples2025.xlsx]Bioplastic'!G924)," ",'Q:\Abteilungsprojekte\eng\EngData\AOS\Allgemein\[LabSamples2025.xlsx]Bioplastic'!G924)</f>
        <v/>
      </c>
      <c r="H924">
        <f>IF(ISBLANK('Q:\Abteilungsprojekte\eng\EngData\AOS\Allgemein\[LabSamples2025.xlsx]Bioplastic'!H924)," ",'Q:\Abteilungsprojekte\eng\EngData\AOS\Allgemein\[LabSamples2025.xlsx]Bioplastic'!H924)</f>
        <v/>
      </c>
    </row>
    <row r="925">
      <c r="A925">
        <f>IF(ISBLANK('Q:\Abteilungsprojekte\eng\EngData\AOS\Allgemein\[LabSamples2025.xlsx]Bioplastic'!A925)," ",'Q:\Abteilungsprojekte\eng\EngData\AOS\Allgemein\[LabSamples2025.xlsx]Bioplastic'!A925)</f>
        <v/>
      </c>
      <c r="B925">
        <f>IF(ISBLANK('Q:\Abteilungsprojekte\eng\EngData\AOS\Allgemein\[LabSamples2025.xlsx]Bioplastic'!B925)," ",'Q:\Abteilungsprojekte\eng\EngData\AOS\Allgemein\[LabSamples2025.xlsx]Bioplastic'!B925)</f>
        <v/>
      </c>
      <c r="C925">
        <f>IF(ISBLANK('Q:\Abteilungsprojekte\eng\EngData\AOS\Allgemein\[LabSamples2025.xlsx]Bioplastic'!C925)," ",'Q:\Abteilungsprojekte\eng\EngData\AOS\Allgemein\[LabSamples2025.xlsx]Bioplastic'!C925)</f>
        <v/>
      </c>
      <c r="D925">
        <f>IF(ISBLANK('Q:\Abteilungsprojekte\eng\EngData\AOS\Allgemein\[LabSamples2025.xlsx]Bioplastic'!D925)," ",'Q:\Abteilungsprojekte\eng\EngData\AOS\Allgemein\[LabSamples2025.xlsx]Bioplastic'!D925)</f>
        <v/>
      </c>
      <c r="E925">
        <f>IF(ISBLANK('Q:\Abteilungsprojekte\eng\EngData\AOS\Allgemein\[LabSamples2025.xlsx]Bioplastic'!E925)," ",'Q:\Abteilungsprojekte\eng\EngData\AOS\Allgemein\[LabSamples2025.xlsx]Bioplastic'!E925)</f>
        <v/>
      </c>
      <c r="F925">
        <f>IF(ISBLANK('Q:\Abteilungsprojekte\eng\EngData\AOS\Allgemein\[LabSamples2025.xlsx]Bioplastic'!F925)," ",'Q:\Abteilungsprojekte\eng\EngData\AOS\Allgemein\[LabSamples2025.xlsx]Bioplastic'!F925)</f>
        <v/>
      </c>
      <c r="G925">
        <f>IF(ISBLANK('Q:\Abteilungsprojekte\eng\EngData\AOS\Allgemein\[LabSamples2025.xlsx]Bioplastic'!G925)," ",'Q:\Abteilungsprojekte\eng\EngData\AOS\Allgemein\[LabSamples2025.xlsx]Bioplastic'!G925)</f>
        <v/>
      </c>
      <c r="H925">
        <f>IF(ISBLANK('Q:\Abteilungsprojekte\eng\EngData\AOS\Allgemein\[LabSamples2025.xlsx]Bioplastic'!H925)," ",'Q:\Abteilungsprojekte\eng\EngData\AOS\Allgemein\[LabSamples2025.xlsx]Bioplastic'!H925)</f>
        <v/>
      </c>
    </row>
    <row r="926">
      <c r="A926">
        <f>IF(ISBLANK('Q:\Abteilungsprojekte\eng\EngData\AOS\Allgemein\[LabSamples2025.xlsx]Bioplastic'!A926)," ",'Q:\Abteilungsprojekte\eng\EngData\AOS\Allgemein\[LabSamples2025.xlsx]Bioplastic'!A926)</f>
        <v/>
      </c>
      <c r="B926">
        <f>IF(ISBLANK('Q:\Abteilungsprojekte\eng\EngData\AOS\Allgemein\[LabSamples2025.xlsx]Bioplastic'!B926)," ",'Q:\Abteilungsprojekte\eng\EngData\AOS\Allgemein\[LabSamples2025.xlsx]Bioplastic'!B926)</f>
        <v/>
      </c>
      <c r="C926">
        <f>IF(ISBLANK('Q:\Abteilungsprojekte\eng\EngData\AOS\Allgemein\[LabSamples2025.xlsx]Bioplastic'!C926)," ",'Q:\Abteilungsprojekte\eng\EngData\AOS\Allgemein\[LabSamples2025.xlsx]Bioplastic'!C926)</f>
        <v/>
      </c>
      <c r="D926">
        <f>IF(ISBLANK('Q:\Abteilungsprojekte\eng\EngData\AOS\Allgemein\[LabSamples2025.xlsx]Bioplastic'!D926)," ",'Q:\Abteilungsprojekte\eng\EngData\AOS\Allgemein\[LabSamples2025.xlsx]Bioplastic'!D926)</f>
        <v/>
      </c>
      <c r="E926">
        <f>IF(ISBLANK('Q:\Abteilungsprojekte\eng\EngData\AOS\Allgemein\[LabSamples2025.xlsx]Bioplastic'!E926)," ",'Q:\Abteilungsprojekte\eng\EngData\AOS\Allgemein\[LabSamples2025.xlsx]Bioplastic'!E926)</f>
        <v/>
      </c>
      <c r="F926">
        <f>IF(ISBLANK('Q:\Abteilungsprojekte\eng\EngData\AOS\Allgemein\[LabSamples2025.xlsx]Bioplastic'!F926)," ",'Q:\Abteilungsprojekte\eng\EngData\AOS\Allgemein\[LabSamples2025.xlsx]Bioplastic'!F926)</f>
        <v/>
      </c>
      <c r="G926">
        <f>IF(ISBLANK('Q:\Abteilungsprojekte\eng\EngData\AOS\Allgemein\[LabSamples2025.xlsx]Bioplastic'!G926)," ",'Q:\Abteilungsprojekte\eng\EngData\AOS\Allgemein\[LabSamples2025.xlsx]Bioplastic'!G926)</f>
        <v/>
      </c>
      <c r="H926">
        <f>IF(ISBLANK('Q:\Abteilungsprojekte\eng\EngData\AOS\Allgemein\[LabSamples2025.xlsx]Bioplastic'!H926)," ",'Q:\Abteilungsprojekte\eng\EngData\AOS\Allgemein\[LabSamples2025.xlsx]Bioplastic'!H926)</f>
        <v/>
      </c>
    </row>
    <row r="927">
      <c r="A927">
        <f>IF(ISBLANK('Q:\Abteilungsprojekte\eng\EngData\AOS\Allgemein\[LabSamples2025.xlsx]Bioplastic'!A927)," ",'Q:\Abteilungsprojekte\eng\EngData\AOS\Allgemein\[LabSamples2025.xlsx]Bioplastic'!A927)</f>
        <v/>
      </c>
      <c r="B927">
        <f>IF(ISBLANK('Q:\Abteilungsprojekte\eng\EngData\AOS\Allgemein\[LabSamples2025.xlsx]Bioplastic'!B927)," ",'Q:\Abteilungsprojekte\eng\EngData\AOS\Allgemein\[LabSamples2025.xlsx]Bioplastic'!B927)</f>
        <v/>
      </c>
      <c r="C927">
        <f>IF(ISBLANK('Q:\Abteilungsprojekte\eng\EngData\AOS\Allgemein\[LabSamples2025.xlsx]Bioplastic'!C927)," ",'Q:\Abteilungsprojekte\eng\EngData\AOS\Allgemein\[LabSamples2025.xlsx]Bioplastic'!C927)</f>
        <v/>
      </c>
      <c r="D927">
        <f>IF(ISBLANK('Q:\Abteilungsprojekte\eng\EngData\AOS\Allgemein\[LabSamples2025.xlsx]Bioplastic'!D927)," ",'Q:\Abteilungsprojekte\eng\EngData\AOS\Allgemein\[LabSamples2025.xlsx]Bioplastic'!D927)</f>
        <v/>
      </c>
      <c r="E927">
        <f>IF(ISBLANK('Q:\Abteilungsprojekte\eng\EngData\AOS\Allgemein\[LabSamples2025.xlsx]Bioplastic'!E927)," ",'Q:\Abteilungsprojekte\eng\EngData\AOS\Allgemein\[LabSamples2025.xlsx]Bioplastic'!E927)</f>
        <v/>
      </c>
      <c r="F927">
        <f>IF(ISBLANK('Q:\Abteilungsprojekte\eng\EngData\AOS\Allgemein\[LabSamples2025.xlsx]Bioplastic'!F927)," ",'Q:\Abteilungsprojekte\eng\EngData\AOS\Allgemein\[LabSamples2025.xlsx]Bioplastic'!F927)</f>
        <v/>
      </c>
      <c r="G927">
        <f>IF(ISBLANK('Q:\Abteilungsprojekte\eng\EngData\AOS\Allgemein\[LabSamples2025.xlsx]Bioplastic'!G927)," ",'Q:\Abteilungsprojekte\eng\EngData\AOS\Allgemein\[LabSamples2025.xlsx]Bioplastic'!G927)</f>
        <v/>
      </c>
      <c r="H927">
        <f>IF(ISBLANK('Q:\Abteilungsprojekte\eng\EngData\AOS\Allgemein\[LabSamples2025.xlsx]Bioplastic'!H927)," ",'Q:\Abteilungsprojekte\eng\EngData\AOS\Allgemein\[LabSamples2025.xlsx]Bioplastic'!H927)</f>
        <v/>
      </c>
    </row>
    <row r="928">
      <c r="A928">
        <f>IF(ISBLANK('Q:\Abteilungsprojekte\eng\EngData\AOS\Allgemein\[LabSamples2025.xlsx]Bioplastic'!A928)," ",'Q:\Abteilungsprojekte\eng\EngData\AOS\Allgemein\[LabSamples2025.xlsx]Bioplastic'!A928)</f>
        <v/>
      </c>
      <c r="B928">
        <f>IF(ISBLANK('Q:\Abteilungsprojekte\eng\EngData\AOS\Allgemein\[LabSamples2025.xlsx]Bioplastic'!B928)," ",'Q:\Abteilungsprojekte\eng\EngData\AOS\Allgemein\[LabSamples2025.xlsx]Bioplastic'!B928)</f>
        <v/>
      </c>
      <c r="C928">
        <f>IF(ISBLANK('Q:\Abteilungsprojekte\eng\EngData\AOS\Allgemein\[LabSamples2025.xlsx]Bioplastic'!C928)," ",'Q:\Abteilungsprojekte\eng\EngData\AOS\Allgemein\[LabSamples2025.xlsx]Bioplastic'!C928)</f>
        <v/>
      </c>
      <c r="D928">
        <f>IF(ISBLANK('Q:\Abteilungsprojekte\eng\EngData\AOS\Allgemein\[LabSamples2025.xlsx]Bioplastic'!D928)," ",'Q:\Abteilungsprojekte\eng\EngData\AOS\Allgemein\[LabSamples2025.xlsx]Bioplastic'!D928)</f>
        <v/>
      </c>
      <c r="E928">
        <f>IF(ISBLANK('Q:\Abteilungsprojekte\eng\EngData\AOS\Allgemein\[LabSamples2025.xlsx]Bioplastic'!E928)," ",'Q:\Abteilungsprojekte\eng\EngData\AOS\Allgemein\[LabSamples2025.xlsx]Bioplastic'!E928)</f>
        <v/>
      </c>
      <c r="F928">
        <f>IF(ISBLANK('Q:\Abteilungsprojekte\eng\EngData\AOS\Allgemein\[LabSamples2025.xlsx]Bioplastic'!F928)," ",'Q:\Abteilungsprojekte\eng\EngData\AOS\Allgemein\[LabSamples2025.xlsx]Bioplastic'!F928)</f>
        <v/>
      </c>
      <c r="G928">
        <f>IF(ISBLANK('Q:\Abteilungsprojekte\eng\EngData\AOS\Allgemein\[LabSamples2025.xlsx]Bioplastic'!G928)," ",'Q:\Abteilungsprojekte\eng\EngData\AOS\Allgemein\[LabSamples2025.xlsx]Bioplastic'!G928)</f>
        <v/>
      </c>
      <c r="H928">
        <f>IF(ISBLANK('Q:\Abteilungsprojekte\eng\EngData\AOS\Allgemein\[LabSamples2025.xlsx]Bioplastic'!H928)," ",'Q:\Abteilungsprojekte\eng\EngData\AOS\Allgemein\[LabSamples2025.xlsx]Bioplastic'!H928)</f>
        <v/>
      </c>
    </row>
    <row r="929">
      <c r="A929">
        <f>IF(ISBLANK('Q:\Abteilungsprojekte\eng\EngData\AOS\Allgemein\[LabSamples2025.xlsx]Bioplastic'!A929)," ",'Q:\Abteilungsprojekte\eng\EngData\AOS\Allgemein\[LabSamples2025.xlsx]Bioplastic'!A929)</f>
        <v/>
      </c>
      <c r="B929">
        <f>IF(ISBLANK('Q:\Abteilungsprojekte\eng\EngData\AOS\Allgemein\[LabSamples2025.xlsx]Bioplastic'!B929)," ",'Q:\Abteilungsprojekte\eng\EngData\AOS\Allgemein\[LabSamples2025.xlsx]Bioplastic'!B929)</f>
        <v/>
      </c>
      <c r="C929">
        <f>IF(ISBLANK('Q:\Abteilungsprojekte\eng\EngData\AOS\Allgemein\[LabSamples2025.xlsx]Bioplastic'!C929)," ",'Q:\Abteilungsprojekte\eng\EngData\AOS\Allgemein\[LabSamples2025.xlsx]Bioplastic'!C929)</f>
        <v/>
      </c>
      <c r="D929">
        <f>IF(ISBLANK('Q:\Abteilungsprojekte\eng\EngData\AOS\Allgemein\[LabSamples2025.xlsx]Bioplastic'!D929)," ",'Q:\Abteilungsprojekte\eng\EngData\AOS\Allgemein\[LabSamples2025.xlsx]Bioplastic'!D929)</f>
        <v/>
      </c>
      <c r="E929">
        <f>IF(ISBLANK('Q:\Abteilungsprojekte\eng\EngData\AOS\Allgemein\[LabSamples2025.xlsx]Bioplastic'!E929)," ",'Q:\Abteilungsprojekte\eng\EngData\AOS\Allgemein\[LabSamples2025.xlsx]Bioplastic'!E929)</f>
        <v/>
      </c>
      <c r="F929">
        <f>IF(ISBLANK('Q:\Abteilungsprojekte\eng\EngData\AOS\Allgemein\[LabSamples2025.xlsx]Bioplastic'!F929)," ",'Q:\Abteilungsprojekte\eng\EngData\AOS\Allgemein\[LabSamples2025.xlsx]Bioplastic'!F929)</f>
        <v/>
      </c>
      <c r="G929">
        <f>IF(ISBLANK('Q:\Abteilungsprojekte\eng\EngData\AOS\Allgemein\[LabSamples2025.xlsx]Bioplastic'!G929)," ",'Q:\Abteilungsprojekte\eng\EngData\AOS\Allgemein\[LabSamples2025.xlsx]Bioplastic'!G929)</f>
        <v/>
      </c>
      <c r="H929">
        <f>IF(ISBLANK('Q:\Abteilungsprojekte\eng\EngData\AOS\Allgemein\[LabSamples2025.xlsx]Bioplastic'!H929)," ",'Q:\Abteilungsprojekte\eng\EngData\AOS\Allgemein\[LabSamples2025.xlsx]Bioplastic'!H929)</f>
        <v/>
      </c>
    </row>
    <row r="930">
      <c r="A930">
        <f>IF(ISBLANK('Q:\Abteilungsprojekte\eng\EngData\AOS\Allgemein\[LabSamples2025.xlsx]Bioplastic'!A930)," ",'Q:\Abteilungsprojekte\eng\EngData\AOS\Allgemein\[LabSamples2025.xlsx]Bioplastic'!A930)</f>
        <v/>
      </c>
      <c r="B930">
        <f>IF(ISBLANK('Q:\Abteilungsprojekte\eng\EngData\AOS\Allgemein\[LabSamples2025.xlsx]Bioplastic'!B930)," ",'Q:\Abteilungsprojekte\eng\EngData\AOS\Allgemein\[LabSamples2025.xlsx]Bioplastic'!B930)</f>
        <v/>
      </c>
      <c r="C930">
        <f>IF(ISBLANK('Q:\Abteilungsprojekte\eng\EngData\AOS\Allgemein\[LabSamples2025.xlsx]Bioplastic'!C930)," ",'Q:\Abteilungsprojekte\eng\EngData\AOS\Allgemein\[LabSamples2025.xlsx]Bioplastic'!C930)</f>
        <v/>
      </c>
      <c r="D930">
        <f>IF(ISBLANK('Q:\Abteilungsprojekte\eng\EngData\AOS\Allgemein\[LabSamples2025.xlsx]Bioplastic'!D930)," ",'Q:\Abteilungsprojekte\eng\EngData\AOS\Allgemein\[LabSamples2025.xlsx]Bioplastic'!D930)</f>
        <v/>
      </c>
      <c r="E930">
        <f>IF(ISBLANK('Q:\Abteilungsprojekte\eng\EngData\AOS\Allgemein\[LabSamples2025.xlsx]Bioplastic'!E930)," ",'Q:\Abteilungsprojekte\eng\EngData\AOS\Allgemein\[LabSamples2025.xlsx]Bioplastic'!E930)</f>
        <v/>
      </c>
      <c r="F930">
        <f>IF(ISBLANK('Q:\Abteilungsprojekte\eng\EngData\AOS\Allgemein\[LabSamples2025.xlsx]Bioplastic'!F930)," ",'Q:\Abteilungsprojekte\eng\EngData\AOS\Allgemein\[LabSamples2025.xlsx]Bioplastic'!F930)</f>
        <v/>
      </c>
      <c r="G930">
        <f>IF(ISBLANK('Q:\Abteilungsprojekte\eng\EngData\AOS\Allgemein\[LabSamples2025.xlsx]Bioplastic'!G930)," ",'Q:\Abteilungsprojekte\eng\EngData\AOS\Allgemein\[LabSamples2025.xlsx]Bioplastic'!G930)</f>
        <v/>
      </c>
      <c r="H930">
        <f>IF(ISBLANK('Q:\Abteilungsprojekte\eng\EngData\AOS\Allgemein\[LabSamples2025.xlsx]Bioplastic'!H930)," ",'Q:\Abteilungsprojekte\eng\EngData\AOS\Allgemein\[LabSamples2025.xlsx]Bioplastic'!H930)</f>
        <v/>
      </c>
    </row>
    <row r="931">
      <c r="A931">
        <f>IF(ISBLANK('Q:\Abteilungsprojekte\eng\EngData\AOS\Allgemein\[LabSamples2025.xlsx]Bioplastic'!A931)," ",'Q:\Abteilungsprojekte\eng\EngData\AOS\Allgemein\[LabSamples2025.xlsx]Bioplastic'!A931)</f>
        <v/>
      </c>
      <c r="B931">
        <f>IF(ISBLANK('Q:\Abteilungsprojekte\eng\EngData\AOS\Allgemein\[LabSamples2025.xlsx]Bioplastic'!B931)," ",'Q:\Abteilungsprojekte\eng\EngData\AOS\Allgemein\[LabSamples2025.xlsx]Bioplastic'!B931)</f>
        <v/>
      </c>
      <c r="C931">
        <f>IF(ISBLANK('Q:\Abteilungsprojekte\eng\EngData\AOS\Allgemein\[LabSamples2025.xlsx]Bioplastic'!C931)," ",'Q:\Abteilungsprojekte\eng\EngData\AOS\Allgemein\[LabSamples2025.xlsx]Bioplastic'!C931)</f>
        <v/>
      </c>
      <c r="D931">
        <f>IF(ISBLANK('Q:\Abteilungsprojekte\eng\EngData\AOS\Allgemein\[LabSamples2025.xlsx]Bioplastic'!D931)," ",'Q:\Abteilungsprojekte\eng\EngData\AOS\Allgemein\[LabSamples2025.xlsx]Bioplastic'!D931)</f>
        <v/>
      </c>
      <c r="E931">
        <f>IF(ISBLANK('Q:\Abteilungsprojekte\eng\EngData\AOS\Allgemein\[LabSamples2025.xlsx]Bioplastic'!E931)," ",'Q:\Abteilungsprojekte\eng\EngData\AOS\Allgemein\[LabSamples2025.xlsx]Bioplastic'!E931)</f>
        <v/>
      </c>
      <c r="F931">
        <f>IF(ISBLANK('Q:\Abteilungsprojekte\eng\EngData\AOS\Allgemein\[LabSamples2025.xlsx]Bioplastic'!F931)," ",'Q:\Abteilungsprojekte\eng\EngData\AOS\Allgemein\[LabSamples2025.xlsx]Bioplastic'!F931)</f>
        <v/>
      </c>
      <c r="G931">
        <f>IF(ISBLANK('Q:\Abteilungsprojekte\eng\EngData\AOS\Allgemein\[LabSamples2025.xlsx]Bioplastic'!G931)," ",'Q:\Abteilungsprojekte\eng\EngData\AOS\Allgemein\[LabSamples2025.xlsx]Bioplastic'!G931)</f>
        <v/>
      </c>
      <c r="H931">
        <f>IF(ISBLANK('Q:\Abteilungsprojekte\eng\EngData\AOS\Allgemein\[LabSamples2025.xlsx]Bioplastic'!H931)," ",'Q:\Abteilungsprojekte\eng\EngData\AOS\Allgemein\[LabSamples2025.xlsx]Bioplastic'!H931)</f>
        <v/>
      </c>
    </row>
    <row r="932">
      <c r="A932">
        <f>IF(ISBLANK('Q:\Abteilungsprojekte\eng\EngData\AOS\Allgemein\[LabSamples2025.xlsx]Bioplastic'!A932)," ",'Q:\Abteilungsprojekte\eng\EngData\AOS\Allgemein\[LabSamples2025.xlsx]Bioplastic'!A932)</f>
        <v/>
      </c>
      <c r="B932">
        <f>IF(ISBLANK('Q:\Abteilungsprojekte\eng\EngData\AOS\Allgemein\[LabSamples2025.xlsx]Bioplastic'!B932)," ",'Q:\Abteilungsprojekte\eng\EngData\AOS\Allgemein\[LabSamples2025.xlsx]Bioplastic'!B932)</f>
        <v/>
      </c>
      <c r="C932">
        <f>IF(ISBLANK('Q:\Abteilungsprojekte\eng\EngData\AOS\Allgemein\[LabSamples2025.xlsx]Bioplastic'!C932)," ",'Q:\Abteilungsprojekte\eng\EngData\AOS\Allgemein\[LabSamples2025.xlsx]Bioplastic'!C932)</f>
        <v/>
      </c>
      <c r="D932">
        <f>IF(ISBLANK('Q:\Abteilungsprojekte\eng\EngData\AOS\Allgemein\[LabSamples2025.xlsx]Bioplastic'!D932)," ",'Q:\Abteilungsprojekte\eng\EngData\AOS\Allgemein\[LabSamples2025.xlsx]Bioplastic'!D932)</f>
        <v/>
      </c>
      <c r="E932">
        <f>IF(ISBLANK('Q:\Abteilungsprojekte\eng\EngData\AOS\Allgemein\[LabSamples2025.xlsx]Bioplastic'!E932)," ",'Q:\Abteilungsprojekte\eng\EngData\AOS\Allgemein\[LabSamples2025.xlsx]Bioplastic'!E932)</f>
        <v/>
      </c>
      <c r="F932">
        <f>IF(ISBLANK('Q:\Abteilungsprojekte\eng\EngData\AOS\Allgemein\[LabSamples2025.xlsx]Bioplastic'!F932)," ",'Q:\Abteilungsprojekte\eng\EngData\AOS\Allgemein\[LabSamples2025.xlsx]Bioplastic'!F932)</f>
        <v/>
      </c>
      <c r="G932">
        <f>IF(ISBLANK('Q:\Abteilungsprojekte\eng\EngData\AOS\Allgemein\[LabSamples2025.xlsx]Bioplastic'!G932)," ",'Q:\Abteilungsprojekte\eng\EngData\AOS\Allgemein\[LabSamples2025.xlsx]Bioplastic'!G932)</f>
        <v/>
      </c>
      <c r="H932">
        <f>IF(ISBLANK('Q:\Abteilungsprojekte\eng\EngData\AOS\Allgemein\[LabSamples2025.xlsx]Bioplastic'!H932)," ",'Q:\Abteilungsprojekte\eng\EngData\AOS\Allgemein\[LabSamples2025.xlsx]Bioplastic'!H932)</f>
        <v/>
      </c>
    </row>
    <row r="933">
      <c r="A933">
        <f>IF(ISBLANK('Q:\Abteilungsprojekte\eng\EngData\AOS\Allgemein\[LabSamples2025.xlsx]Bioplastic'!A933)," ",'Q:\Abteilungsprojekte\eng\EngData\AOS\Allgemein\[LabSamples2025.xlsx]Bioplastic'!A933)</f>
        <v/>
      </c>
      <c r="B933">
        <f>IF(ISBLANK('Q:\Abteilungsprojekte\eng\EngData\AOS\Allgemein\[LabSamples2025.xlsx]Bioplastic'!B933)," ",'Q:\Abteilungsprojekte\eng\EngData\AOS\Allgemein\[LabSamples2025.xlsx]Bioplastic'!B933)</f>
        <v/>
      </c>
      <c r="C933">
        <f>IF(ISBLANK('Q:\Abteilungsprojekte\eng\EngData\AOS\Allgemein\[LabSamples2025.xlsx]Bioplastic'!C933)," ",'Q:\Abteilungsprojekte\eng\EngData\AOS\Allgemein\[LabSamples2025.xlsx]Bioplastic'!C933)</f>
        <v/>
      </c>
      <c r="D933">
        <f>IF(ISBLANK('Q:\Abteilungsprojekte\eng\EngData\AOS\Allgemein\[LabSamples2025.xlsx]Bioplastic'!D933)," ",'Q:\Abteilungsprojekte\eng\EngData\AOS\Allgemein\[LabSamples2025.xlsx]Bioplastic'!D933)</f>
        <v/>
      </c>
      <c r="E933">
        <f>IF(ISBLANK('Q:\Abteilungsprojekte\eng\EngData\AOS\Allgemein\[LabSamples2025.xlsx]Bioplastic'!E933)," ",'Q:\Abteilungsprojekte\eng\EngData\AOS\Allgemein\[LabSamples2025.xlsx]Bioplastic'!E933)</f>
        <v/>
      </c>
      <c r="F933">
        <f>IF(ISBLANK('Q:\Abteilungsprojekte\eng\EngData\AOS\Allgemein\[LabSamples2025.xlsx]Bioplastic'!F933)," ",'Q:\Abteilungsprojekte\eng\EngData\AOS\Allgemein\[LabSamples2025.xlsx]Bioplastic'!F933)</f>
        <v/>
      </c>
      <c r="G933">
        <f>IF(ISBLANK('Q:\Abteilungsprojekte\eng\EngData\AOS\Allgemein\[LabSamples2025.xlsx]Bioplastic'!G933)," ",'Q:\Abteilungsprojekte\eng\EngData\AOS\Allgemein\[LabSamples2025.xlsx]Bioplastic'!G933)</f>
        <v/>
      </c>
      <c r="H933">
        <f>IF(ISBLANK('Q:\Abteilungsprojekte\eng\EngData\AOS\Allgemein\[LabSamples2025.xlsx]Bioplastic'!H933)," ",'Q:\Abteilungsprojekte\eng\EngData\AOS\Allgemein\[LabSamples2025.xlsx]Bioplastic'!H933)</f>
        <v/>
      </c>
    </row>
    <row r="934">
      <c r="A934">
        <f>IF(ISBLANK('Q:\Abteilungsprojekte\eng\EngData\AOS\Allgemein\[LabSamples2025.xlsx]Bioplastic'!A934)," ",'Q:\Abteilungsprojekte\eng\EngData\AOS\Allgemein\[LabSamples2025.xlsx]Bioplastic'!A934)</f>
        <v/>
      </c>
      <c r="B934">
        <f>IF(ISBLANK('Q:\Abteilungsprojekte\eng\EngData\AOS\Allgemein\[LabSamples2025.xlsx]Bioplastic'!B934)," ",'Q:\Abteilungsprojekte\eng\EngData\AOS\Allgemein\[LabSamples2025.xlsx]Bioplastic'!B934)</f>
        <v/>
      </c>
      <c r="C934">
        <f>IF(ISBLANK('Q:\Abteilungsprojekte\eng\EngData\AOS\Allgemein\[LabSamples2025.xlsx]Bioplastic'!C934)," ",'Q:\Abteilungsprojekte\eng\EngData\AOS\Allgemein\[LabSamples2025.xlsx]Bioplastic'!C934)</f>
        <v/>
      </c>
      <c r="D934">
        <f>IF(ISBLANK('Q:\Abteilungsprojekte\eng\EngData\AOS\Allgemein\[LabSamples2025.xlsx]Bioplastic'!D934)," ",'Q:\Abteilungsprojekte\eng\EngData\AOS\Allgemein\[LabSamples2025.xlsx]Bioplastic'!D934)</f>
        <v/>
      </c>
      <c r="E934">
        <f>IF(ISBLANK('Q:\Abteilungsprojekte\eng\EngData\AOS\Allgemein\[LabSamples2025.xlsx]Bioplastic'!E934)," ",'Q:\Abteilungsprojekte\eng\EngData\AOS\Allgemein\[LabSamples2025.xlsx]Bioplastic'!E934)</f>
        <v/>
      </c>
      <c r="F934">
        <f>IF(ISBLANK('Q:\Abteilungsprojekte\eng\EngData\AOS\Allgemein\[LabSamples2025.xlsx]Bioplastic'!F934)," ",'Q:\Abteilungsprojekte\eng\EngData\AOS\Allgemein\[LabSamples2025.xlsx]Bioplastic'!F934)</f>
        <v/>
      </c>
      <c r="G934">
        <f>IF(ISBLANK('Q:\Abteilungsprojekte\eng\EngData\AOS\Allgemein\[LabSamples2025.xlsx]Bioplastic'!G934)," ",'Q:\Abteilungsprojekte\eng\EngData\AOS\Allgemein\[LabSamples2025.xlsx]Bioplastic'!G934)</f>
        <v/>
      </c>
      <c r="H934">
        <f>IF(ISBLANK('Q:\Abteilungsprojekte\eng\EngData\AOS\Allgemein\[LabSamples2025.xlsx]Bioplastic'!H934)," ",'Q:\Abteilungsprojekte\eng\EngData\AOS\Allgemein\[LabSamples2025.xlsx]Bioplastic'!H934)</f>
        <v/>
      </c>
    </row>
    <row r="935">
      <c r="A935">
        <f>IF(ISBLANK('Q:\Abteilungsprojekte\eng\EngData\AOS\Allgemein\[LabSamples2025.xlsx]Bioplastic'!A935)," ",'Q:\Abteilungsprojekte\eng\EngData\AOS\Allgemein\[LabSamples2025.xlsx]Bioplastic'!A935)</f>
        <v/>
      </c>
      <c r="B935">
        <f>IF(ISBLANK('Q:\Abteilungsprojekte\eng\EngData\AOS\Allgemein\[LabSamples2025.xlsx]Bioplastic'!B935)," ",'Q:\Abteilungsprojekte\eng\EngData\AOS\Allgemein\[LabSamples2025.xlsx]Bioplastic'!B935)</f>
        <v/>
      </c>
      <c r="C935">
        <f>IF(ISBLANK('Q:\Abteilungsprojekte\eng\EngData\AOS\Allgemein\[LabSamples2025.xlsx]Bioplastic'!C935)," ",'Q:\Abteilungsprojekte\eng\EngData\AOS\Allgemein\[LabSamples2025.xlsx]Bioplastic'!C935)</f>
        <v/>
      </c>
      <c r="D935">
        <f>IF(ISBLANK('Q:\Abteilungsprojekte\eng\EngData\AOS\Allgemein\[LabSamples2025.xlsx]Bioplastic'!D935)," ",'Q:\Abteilungsprojekte\eng\EngData\AOS\Allgemein\[LabSamples2025.xlsx]Bioplastic'!D935)</f>
        <v/>
      </c>
      <c r="E935">
        <f>IF(ISBLANK('Q:\Abteilungsprojekte\eng\EngData\AOS\Allgemein\[LabSamples2025.xlsx]Bioplastic'!E935)," ",'Q:\Abteilungsprojekte\eng\EngData\AOS\Allgemein\[LabSamples2025.xlsx]Bioplastic'!E935)</f>
        <v/>
      </c>
      <c r="F935">
        <f>IF(ISBLANK('Q:\Abteilungsprojekte\eng\EngData\AOS\Allgemein\[LabSamples2025.xlsx]Bioplastic'!F935)," ",'Q:\Abteilungsprojekte\eng\EngData\AOS\Allgemein\[LabSamples2025.xlsx]Bioplastic'!F935)</f>
        <v/>
      </c>
      <c r="G935">
        <f>IF(ISBLANK('Q:\Abteilungsprojekte\eng\EngData\AOS\Allgemein\[LabSamples2025.xlsx]Bioplastic'!G935)," ",'Q:\Abteilungsprojekte\eng\EngData\AOS\Allgemein\[LabSamples2025.xlsx]Bioplastic'!G935)</f>
        <v/>
      </c>
      <c r="H935">
        <f>IF(ISBLANK('Q:\Abteilungsprojekte\eng\EngData\AOS\Allgemein\[LabSamples2025.xlsx]Bioplastic'!H935)," ",'Q:\Abteilungsprojekte\eng\EngData\AOS\Allgemein\[LabSamples2025.xlsx]Bioplastic'!H935)</f>
        <v/>
      </c>
    </row>
    <row r="936">
      <c r="A936">
        <f>IF(ISBLANK('Q:\Abteilungsprojekte\eng\EngData\AOS\Allgemein\[LabSamples2025.xlsx]Bioplastic'!A936)," ",'Q:\Abteilungsprojekte\eng\EngData\AOS\Allgemein\[LabSamples2025.xlsx]Bioplastic'!A936)</f>
        <v/>
      </c>
      <c r="B936">
        <f>IF(ISBLANK('Q:\Abteilungsprojekte\eng\EngData\AOS\Allgemein\[LabSamples2025.xlsx]Bioplastic'!B936)," ",'Q:\Abteilungsprojekte\eng\EngData\AOS\Allgemein\[LabSamples2025.xlsx]Bioplastic'!B936)</f>
        <v/>
      </c>
      <c r="C936">
        <f>IF(ISBLANK('Q:\Abteilungsprojekte\eng\EngData\AOS\Allgemein\[LabSamples2025.xlsx]Bioplastic'!C936)," ",'Q:\Abteilungsprojekte\eng\EngData\AOS\Allgemein\[LabSamples2025.xlsx]Bioplastic'!C936)</f>
        <v/>
      </c>
      <c r="D936">
        <f>IF(ISBLANK('Q:\Abteilungsprojekte\eng\EngData\AOS\Allgemein\[LabSamples2025.xlsx]Bioplastic'!D936)," ",'Q:\Abteilungsprojekte\eng\EngData\AOS\Allgemein\[LabSamples2025.xlsx]Bioplastic'!D936)</f>
        <v/>
      </c>
      <c r="E936">
        <f>IF(ISBLANK('Q:\Abteilungsprojekte\eng\EngData\AOS\Allgemein\[LabSamples2025.xlsx]Bioplastic'!E936)," ",'Q:\Abteilungsprojekte\eng\EngData\AOS\Allgemein\[LabSamples2025.xlsx]Bioplastic'!E936)</f>
        <v/>
      </c>
      <c r="F936">
        <f>IF(ISBLANK('Q:\Abteilungsprojekte\eng\EngData\AOS\Allgemein\[LabSamples2025.xlsx]Bioplastic'!F936)," ",'Q:\Abteilungsprojekte\eng\EngData\AOS\Allgemein\[LabSamples2025.xlsx]Bioplastic'!F936)</f>
        <v/>
      </c>
      <c r="G936">
        <f>IF(ISBLANK('Q:\Abteilungsprojekte\eng\EngData\AOS\Allgemein\[LabSamples2025.xlsx]Bioplastic'!G936)," ",'Q:\Abteilungsprojekte\eng\EngData\AOS\Allgemein\[LabSamples2025.xlsx]Bioplastic'!G936)</f>
        <v/>
      </c>
      <c r="H936">
        <f>IF(ISBLANK('Q:\Abteilungsprojekte\eng\EngData\AOS\Allgemein\[LabSamples2025.xlsx]Bioplastic'!H936)," ",'Q:\Abteilungsprojekte\eng\EngData\AOS\Allgemein\[LabSamples2025.xlsx]Bioplastic'!H936)</f>
        <v/>
      </c>
    </row>
    <row r="937">
      <c r="A937">
        <f>IF(ISBLANK('Q:\Abteilungsprojekte\eng\EngData\AOS\Allgemein\[LabSamples2025.xlsx]Bioplastic'!A937)," ",'Q:\Abteilungsprojekte\eng\EngData\AOS\Allgemein\[LabSamples2025.xlsx]Bioplastic'!A937)</f>
        <v/>
      </c>
      <c r="B937">
        <f>IF(ISBLANK('Q:\Abteilungsprojekte\eng\EngData\AOS\Allgemein\[LabSamples2025.xlsx]Bioplastic'!B937)," ",'Q:\Abteilungsprojekte\eng\EngData\AOS\Allgemein\[LabSamples2025.xlsx]Bioplastic'!B937)</f>
        <v/>
      </c>
      <c r="C937">
        <f>IF(ISBLANK('Q:\Abteilungsprojekte\eng\EngData\AOS\Allgemein\[LabSamples2025.xlsx]Bioplastic'!C937)," ",'Q:\Abteilungsprojekte\eng\EngData\AOS\Allgemein\[LabSamples2025.xlsx]Bioplastic'!C937)</f>
        <v/>
      </c>
      <c r="D937">
        <f>IF(ISBLANK('Q:\Abteilungsprojekte\eng\EngData\AOS\Allgemein\[LabSamples2025.xlsx]Bioplastic'!D937)," ",'Q:\Abteilungsprojekte\eng\EngData\AOS\Allgemein\[LabSamples2025.xlsx]Bioplastic'!D937)</f>
        <v/>
      </c>
      <c r="E937">
        <f>IF(ISBLANK('Q:\Abteilungsprojekte\eng\EngData\AOS\Allgemein\[LabSamples2025.xlsx]Bioplastic'!E937)," ",'Q:\Abteilungsprojekte\eng\EngData\AOS\Allgemein\[LabSamples2025.xlsx]Bioplastic'!E937)</f>
        <v/>
      </c>
      <c r="F937">
        <f>IF(ISBLANK('Q:\Abteilungsprojekte\eng\EngData\AOS\Allgemein\[LabSamples2025.xlsx]Bioplastic'!F937)," ",'Q:\Abteilungsprojekte\eng\EngData\AOS\Allgemein\[LabSamples2025.xlsx]Bioplastic'!F937)</f>
        <v/>
      </c>
      <c r="G937">
        <f>IF(ISBLANK('Q:\Abteilungsprojekte\eng\EngData\AOS\Allgemein\[LabSamples2025.xlsx]Bioplastic'!G937)," ",'Q:\Abteilungsprojekte\eng\EngData\AOS\Allgemein\[LabSamples2025.xlsx]Bioplastic'!G937)</f>
        <v/>
      </c>
      <c r="H937">
        <f>IF(ISBLANK('Q:\Abteilungsprojekte\eng\EngData\AOS\Allgemein\[LabSamples2025.xlsx]Bioplastic'!H937)," ",'Q:\Abteilungsprojekte\eng\EngData\AOS\Allgemein\[LabSamples2025.xlsx]Bioplastic'!H937)</f>
        <v/>
      </c>
    </row>
    <row r="938">
      <c r="A938">
        <f>IF(ISBLANK('Q:\Abteilungsprojekte\eng\EngData\AOS\Allgemein\[LabSamples2025.xlsx]Bioplastic'!A938)," ",'Q:\Abteilungsprojekte\eng\EngData\AOS\Allgemein\[LabSamples2025.xlsx]Bioplastic'!A938)</f>
        <v/>
      </c>
      <c r="B938">
        <f>IF(ISBLANK('Q:\Abteilungsprojekte\eng\EngData\AOS\Allgemein\[LabSamples2025.xlsx]Bioplastic'!B938)," ",'Q:\Abteilungsprojekte\eng\EngData\AOS\Allgemein\[LabSamples2025.xlsx]Bioplastic'!B938)</f>
        <v/>
      </c>
      <c r="C938">
        <f>IF(ISBLANK('Q:\Abteilungsprojekte\eng\EngData\AOS\Allgemein\[LabSamples2025.xlsx]Bioplastic'!C938)," ",'Q:\Abteilungsprojekte\eng\EngData\AOS\Allgemein\[LabSamples2025.xlsx]Bioplastic'!C938)</f>
        <v/>
      </c>
      <c r="D938">
        <f>IF(ISBLANK('Q:\Abteilungsprojekte\eng\EngData\AOS\Allgemein\[LabSamples2025.xlsx]Bioplastic'!D938)," ",'Q:\Abteilungsprojekte\eng\EngData\AOS\Allgemein\[LabSamples2025.xlsx]Bioplastic'!D938)</f>
        <v/>
      </c>
      <c r="E938">
        <f>IF(ISBLANK('Q:\Abteilungsprojekte\eng\EngData\AOS\Allgemein\[LabSamples2025.xlsx]Bioplastic'!E938)," ",'Q:\Abteilungsprojekte\eng\EngData\AOS\Allgemein\[LabSamples2025.xlsx]Bioplastic'!E938)</f>
        <v/>
      </c>
      <c r="F938">
        <f>IF(ISBLANK('Q:\Abteilungsprojekte\eng\EngData\AOS\Allgemein\[LabSamples2025.xlsx]Bioplastic'!F938)," ",'Q:\Abteilungsprojekte\eng\EngData\AOS\Allgemein\[LabSamples2025.xlsx]Bioplastic'!F938)</f>
        <v/>
      </c>
      <c r="G938">
        <f>IF(ISBLANK('Q:\Abteilungsprojekte\eng\EngData\AOS\Allgemein\[LabSamples2025.xlsx]Bioplastic'!G938)," ",'Q:\Abteilungsprojekte\eng\EngData\AOS\Allgemein\[LabSamples2025.xlsx]Bioplastic'!G938)</f>
        <v/>
      </c>
      <c r="H938">
        <f>IF(ISBLANK('Q:\Abteilungsprojekte\eng\EngData\AOS\Allgemein\[LabSamples2025.xlsx]Bioplastic'!H938)," ",'Q:\Abteilungsprojekte\eng\EngData\AOS\Allgemein\[LabSamples2025.xlsx]Bioplastic'!H938)</f>
        <v/>
      </c>
    </row>
    <row r="939">
      <c r="A939">
        <f>IF(ISBLANK('Q:\Abteilungsprojekte\eng\EngData\AOS\Allgemein\[LabSamples2025.xlsx]Bioplastic'!A939)," ",'Q:\Abteilungsprojekte\eng\EngData\AOS\Allgemein\[LabSamples2025.xlsx]Bioplastic'!A939)</f>
        <v/>
      </c>
      <c r="B939">
        <f>IF(ISBLANK('Q:\Abteilungsprojekte\eng\EngData\AOS\Allgemein\[LabSamples2025.xlsx]Bioplastic'!B939)," ",'Q:\Abteilungsprojekte\eng\EngData\AOS\Allgemein\[LabSamples2025.xlsx]Bioplastic'!B939)</f>
        <v/>
      </c>
      <c r="C939">
        <f>IF(ISBLANK('Q:\Abteilungsprojekte\eng\EngData\AOS\Allgemein\[LabSamples2025.xlsx]Bioplastic'!C939)," ",'Q:\Abteilungsprojekte\eng\EngData\AOS\Allgemein\[LabSamples2025.xlsx]Bioplastic'!C939)</f>
        <v/>
      </c>
      <c r="D939">
        <f>IF(ISBLANK('Q:\Abteilungsprojekte\eng\EngData\AOS\Allgemein\[LabSamples2025.xlsx]Bioplastic'!D939)," ",'Q:\Abteilungsprojekte\eng\EngData\AOS\Allgemein\[LabSamples2025.xlsx]Bioplastic'!D939)</f>
        <v/>
      </c>
      <c r="E939">
        <f>IF(ISBLANK('Q:\Abteilungsprojekte\eng\EngData\AOS\Allgemein\[LabSamples2025.xlsx]Bioplastic'!E939)," ",'Q:\Abteilungsprojekte\eng\EngData\AOS\Allgemein\[LabSamples2025.xlsx]Bioplastic'!E939)</f>
        <v/>
      </c>
      <c r="F939">
        <f>IF(ISBLANK('Q:\Abteilungsprojekte\eng\EngData\AOS\Allgemein\[LabSamples2025.xlsx]Bioplastic'!F939)," ",'Q:\Abteilungsprojekte\eng\EngData\AOS\Allgemein\[LabSamples2025.xlsx]Bioplastic'!F939)</f>
        <v/>
      </c>
      <c r="G939">
        <f>IF(ISBLANK('Q:\Abteilungsprojekte\eng\EngData\AOS\Allgemein\[LabSamples2025.xlsx]Bioplastic'!G939)," ",'Q:\Abteilungsprojekte\eng\EngData\AOS\Allgemein\[LabSamples2025.xlsx]Bioplastic'!G939)</f>
        <v/>
      </c>
      <c r="H939">
        <f>IF(ISBLANK('Q:\Abteilungsprojekte\eng\EngData\AOS\Allgemein\[LabSamples2025.xlsx]Bioplastic'!H939)," ",'Q:\Abteilungsprojekte\eng\EngData\AOS\Allgemein\[LabSamples2025.xlsx]Bioplastic'!H939)</f>
        <v/>
      </c>
    </row>
    <row r="940">
      <c r="A940">
        <f>IF(ISBLANK('Q:\Abteilungsprojekte\eng\EngData\AOS\Allgemein\[LabSamples2025.xlsx]Bioplastic'!A940)," ",'Q:\Abteilungsprojekte\eng\EngData\AOS\Allgemein\[LabSamples2025.xlsx]Bioplastic'!A940)</f>
        <v/>
      </c>
      <c r="B940">
        <f>IF(ISBLANK('Q:\Abteilungsprojekte\eng\EngData\AOS\Allgemein\[LabSamples2025.xlsx]Bioplastic'!B940)," ",'Q:\Abteilungsprojekte\eng\EngData\AOS\Allgemein\[LabSamples2025.xlsx]Bioplastic'!B940)</f>
        <v/>
      </c>
      <c r="C940">
        <f>IF(ISBLANK('Q:\Abteilungsprojekte\eng\EngData\AOS\Allgemein\[LabSamples2025.xlsx]Bioplastic'!C940)," ",'Q:\Abteilungsprojekte\eng\EngData\AOS\Allgemein\[LabSamples2025.xlsx]Bioplastic'!C940)</f>
        <v/>
      </c>
      <c r="D940">
        <f>IF(ISBLANK('Q:\Abteilungsprojekte\eng\EngData\AOS\Allgemein\[LabSamples2025.xlsx]Bioplastic'!D940)," ",'Q:\Abteilungsprojekte\eng\EngData\AOS\Allgemein\[LabSamples2025.xlsx]Bioplastic'!D940)</f>
        <v/>
      </c>
      <c r="E940">
        <f>IF(ISBLANK('Q:\Abteilungsprojekte\eng\EngData\AOS\Allgemein\[LabSamples2025.xlsx]Bioplastic'!E940)," ",'Q:\Abteilungsprojekte\eng\EngData\AOS\Allgemein\[LabSamples2025.xlsx]Bioplastic'!E940)</f>
        <v/>
      </c>
      <c r="F940">
        <f>IF(ISBLANK('Q:\Abteilungsprojekte\eng\EngData\AOS\Allgemein\[LabSamples2025.xlsx]Bioplastic'!F940)," ",'Q:\Abteilungsprojekte\eng\EngData\AOS\Allgemein\[LabSamples2025.xlsx]Bioplastic'!F940)</f>
        <v/>
      </c>
      <c r="G940">
        <f>IF(ISBLANK('Q:\Abteilungsprojekte\eng\EngData\AOS\Allgemein\[LabSamples2025.xlsx]Bioplastic'!G940)," ",'Q:\Abteilungsprojekte\eng\EngData\AOS\Allgemein\[LabSamples2025.xlsx]Bioplastic'!G940)</f>
        <v/>
      </c>
      <c r="H940">
        <f>IF(ISBLANK('Q:\Abteilungsprojekte\eng\EngData\AOS\Allgemein\[LabSamples2025.xlsx]Bioplastic'!H940)," ",'Q:\Abteilungsprojekte\eng\EngData\AOS\Allgemein\[LabSamples2025.xlsx]Bioplastic'!H940)</f>
        <v/>
      </c>
    </row>
    <row r="941">
      <c r="A941">
        <f>IF(ISBLANK('Q:\Abteilungsprojekte\eng\EngData\AOS\Allgemein\[LabSamples2025.xlsx]Bioplastic'!A941)," ",'Q:\Abteilungsprojekte\eng\EngData\AOS\Allgemein\[LabSamples2025.xlsx]Bioplastic'!A941)</f>
        <v/>
      </c>
      <c r="B941">
        <f>IF(ISBLANK('Q:\Abteilungsprojekte\eng\EngData\AOS\Allgemein\[LabSamples2025.xlsx]Bioplastic'!B941)," ",'Q:\Abteilungsprojekte\eng\EngData\AOS\Allgemein\[LabSamples2025.xlsx]Bioplastic'!B941)</f>
        <v/>
      </c>
      <c r="C941">
        <f>IF(ISBLANK('Q:\Abteilungsprojekte\eng\EngData\AOS\Allgemein\[LabSamples2025.xlsx]Bioplastic'!C941)," ",'Q:\Abteilungsprojekte\eng\EngData\AOS\Allgemein\[LabSamples2025.xlsx]Bioplastic'!C941)</f>
        <v/>
      </c>
      <c r="D941">
        <f>IF(ISBLANK('Q:\Abteilungsprojekte\eng\EngData\AOS\Allgemein\[LabSamples2025.xlsx]Bioplastic'!D941)," ",'Q:\Abteilungsprojekte\eng\EngData\AOS\Allgemein\[LabSamples2025.xlsx]Bioplastic'!D941)</f>
        <v/>
      </c>
      <c r="E941">
        <f>IF(ISBLANK('Q:\Abteilungsprojekte\eng\EngData\AOS\Allgemein\[LabSamples2025.xlsx]Bioplastic'!E941)," ",'Q:\Abteilungsprojekte\eng\EngData\AOS\Allgemein\[LabSamples2025.xlsx]Bioplastic'!E941)</f>
        <v/>
      </c>
      <c r="F941">
        <f>IF(ISBLANK('Q:\Abteilungsprojekte\eng\EngData\AOS\Allgemein\[LabSamples2025.xlsx]Bioplastic'!F941)," ",'Q:\Abteilungsprojekte\eng\EngData\AOS\Allgemein\[LabSamples2025.xlsx]Bioplastic'!F941)</f>
        <v/>
      </c>
      <c r="G941">
        <f>IF(ISBLANK('Q:\Abteilungsprojekte\eng\EngData\AOS\Allgemein\[LabSamples2025.xlsx]Bioplastic'!G941)," ",'Q:\Abteilungsprojekte\eng\EngData\AOS\Allgemein\[LabSamples2025.xlsx]Bioplastic'!G941)</f>
        <v/>
      </c>
      <c r="H941">
        <f>IF(ISBLANK('Q:\Abteilungsprojekte\eng\EngData\AOS\Allgemein\[LabSamples2025.xlsx]Bioplastic'!H941)," ",'Q:\Abteilungsprojekte\eng\EngData\AOS\Allgemein\[LabSamples2025.xlsx]Bioplastic'!H941)</f>
        <v/>
      </c>
    </row>
    <row r="942">
      <c r="A942">
        <f>IF(ISBLANK('Q:\Abteilungsprojekte\eng\EngData\AOS\Allgemein\[LabSamples2025.xlsx]Bioplastic'!A942)," ",'Q:\Abteilungsprojekte\eng\EngData\AOS\Allgemein\[LabSamples2025.xlsx]Bioplastic'!A942)</f>
        <v/>
      </c>
      <c r="B942">
        <f>IF(ISBLANK('Q:\Abteilungsprojekte\eng\EngData\AOS\Allgemein\[LabSamples2025.xlsx]Bioplastic'!B942)," ",'Q:\Abteilungsprojekte\eng\EngData\AOS\Allgemein\[LabSamples2025.xlsx]Bioplastic'!B942)</f>
        <v/>
      </c>
      <c r="C942">
        <f>IF(ISBLANK('Q:\Abteilungsprojekte\eng\EngData\AOS\Allgemein\[LabSamples2025.xlsx]Bioplastic'!C942)," ",'Q:\Abteilungsprojekte\eng\EngData\AOS\Allgemein\[LabSamples2025.xlsx]Bioplastic'!C942)</f>
        <v/>
      </c>
      <c r="D942">
        <f>IF(ISBLANK('Q:\Abteilungsprojekte\eng\EngData\AOS\Allgemein\[LabSamples2025.xlsx]Bioplastic'!D942)," ",'Q:\Abteilungsprojekte\eng\EngData\AOS\Allgemein\[LabSamples2025.xlsx]Bioplastic'!D942)</f>
        <v/>
      </c>
      <c r="E942">
        <f>IF(ISBLANK('Q:\Abteilungsprojekte\eng\EngData\AOS\Allgemein\[LabSamples2025.xlsx]Bioplastic'!E942)," ",'Q:\Abteilungsprojekte\eng\EngData\AOS\Allgemein\[LabSamples2025.xlsx]Bioplastic'!E942)</f>
        <v/>
      </c>
      <c r="F942">
        <f>IF(ISBLANK('Q:\Abteilungsprojekte\eng\EngData\AOS\Allgemein\[LabSamples2025.xlsx]Bioplastic'!F942)," ",'Q:\Abteilungsprojekte\eng\EngData\AOS\Allgemein\[LabSamples2025.xlsx]Bioplastic'!F942)</f>
        <v/>
      </c>
      <c r="G942">
        <f>IF(ISBLANK('Q:\Abteilungsprojekte\eng\EngData\AOS\Allgemein\[LabSamples2025.xlsx]Bioplastic'!G942)," ",'Q:\Abteilungsprojekte\eng\EngData\AOS\Allgemein\[LabSamples2025.xlsx]Bioplastic'!G942)</f>
        <v/>
      </c>
      <c r="H942">
        <f>IF(ISBLANK('Q:\Abteilungsprojekte\eng\EngData\AOS\Allgemein\[LabSamples2025.xlsx]Bioplastic'!H942)," ",'Q:\Abteilungsprojekte\eng\EngData\AOS\Allgemein\[LabSamples2025.xlsx]Bioplastic'!H942)</f>
        <v/>
      </c>
    </row>
    <row r="943">
      <c r="A943">
        <f>IF(ISBLANK('Q:\Abteilungsprojekte\eng\EngData\AOS\Allgemein\[LabSamples2025.xlsx]Bioplastic'!A943)," ",'Q:\Abteilungsprojekte\eng\EngData\AOS\Allgemein\[LabSamples2025.xlsx]Bioplastic'!A943)</f>
        <v/>
      </c>
      <c r="B943">
        <f>IF(ISBLANK('Q:\Abteilungsprojekte\eng\EngData\AOS\Allgemein\[LabSamples2025.xlsx]Bioplastic'!B943)," ",'Q:\Abteilungsprojekte\eng\EngData\AOS\Allgemein\[LabSamples2025.xlsx]Bioplastic'!B943)</f>
        <v/>
      </c>
      <c r="C943">
        <f>IF(ISBLANK('Q:\Abteilungsprojekte\eng\EngData\AOS\Allgemein\[LabSamples2025.xlsx]Bioplastic'!C943)," ",'Q:\Abteilungsprojekte\eng\EngData\AOS\Allgemein\[LabSamples2025.xlsx]Bioplastic'!C943)</f>
        <v/>
      </c>
      <c r="D943">
        <f>IF(ISBLANK('Q:\Abteilungsprojekte\eng\EngData\AOS\Allgemein\[LabSamples2025.xlsx]Bioplastic'!D943)," ",'Q:\Abteilungsprojekte\eng\EngData\AOS\Allgemein\[LabSamples2025.xlsx]Bioplastic'!D943)</f>
        <v/>
      </c>
      <c r="E943">
        <f>IF(ISBLANK('Q:\Abteilungsprojekte\eng\EngData\AOS\Allgemein\[LabSamples2025.xlsx]Bioplastic'!E943)," ",'Q:\Abteilungsprojekte\eng\EngData\AOS\Allgemein\[LabSamples2025.xlsx]Bioplastic'!E943)</f>
        <v/>
      </c>
      <c r="F943">
        <f>IF(ISBLANK('Q:\Abteilungsprojekte\eng\EngData\AOS\Allgemein\[LabSamples2025.xlsx]Bioplastic'!F943)," ",'Q:\Abteilungsprojekte\eng\EngData\AOS\Allgemein\[LabSamples2025.xlsx]Bioplastic'!F943)</f>
        <v/>
      </c>
      <c r="G943">
        <f>IF(ISBLANK('Q:\Abteilungsprojekte\eng\EngData\AOS\Allgemein\[LabSamples2025.xlsx]Bioplastic'!G943)," ",'Q:\Abteilungsprojekte\eng\EngData\AOS\Allgemein\[LabSamples2025.xlsx]Bioplastic'!G943)</f>
        <v/>
      </c>
      <c r="H943">
        <f>IF(ISBLANK('Q:\Abteilungsprojekte\eng\EngData\AOS\Allgemein\[LabSamples2025.xlsx]Bioplastic'!H943)," ",'Q:\Abteilungsprojekte\eng\EngData\AOS\Allgemein\[LabSamples2025.xlsx]Bioplastic'!H943)</f>
        <v/>
      </c>
    </row>
    <row r="944">
      <c r="A944">
        <f>IF(ISBLANK('Q:\Abteilungsprojekte\eng\EngData\AOS\Allgemein\[LabSamples2025.xlsx]Bioplastic'!A944)," ",'Q:\Abteilungsprojekte\eng\EngData\AOS\Allgemein\[LabSamples2025.xlsx]Bioplastic'!A944)</f>
        <v/>
      </c>
      <c r="B944">
        <f>IF(ISBLANK('Q:\Abteilungsprojekte\eng\EngData\AOS\Allgemein\[LabSamples2025.xlsx]Bioplastic'!B944)," ",'Q:\Abteilungsprojekte\eng\EngData\AOS\Allgemein\[LabSamples2025.xlsx]Bioplastic'!B944)</f>
        <v/>
      </c>
      <c r="C944">
        <f>IF(ISBLANK('Q:\Abteilungsprojekte\eng\EngData\AOS\Allgemein\[LabSamples2025.xlsx]Bioplastic'!C944)," ",'Q:\Abteilungsprojekte\eng\EngData\AOS\Allgemein\[LabSamples2025.xlsx]Bioplastic'!C944)</f>
        <v/>
      </c>
      <c r="D944">
        <f>IF(ISBLANK('Q:\Abteilungsprojekte\eng\EngData\AOS\Allgemein\[LabSamples2025.xlsx]Bioplastic'!D944)," ",'Q:\Abteilungsprojekte\eng\EngData\AOS\Allgemein\[LabSamples2025.xlsx]Bioplastic'!D944)</f>
        <v/>
      </c>
      <c r="E944">
        <f>IF(ISBLANK('Q:\Abteilungsprojekte\eng\EngData\AOS\Allgemein\[LabSamples2025.xlsx]Bioplastic'!E944)," ",'Q:\Abteilungsprojekte\eng\EngData\AOS\Allgemein\[LabSamples2025.xlsx]Bioplastic'!E944)</f>
        <v/>
      </c>
      <c r="F944">
        <f>IF(ISBLANK('Q:\Abteilungsprojekte\eng\EngData\AOS\Allgemein\[LabSamples2025.xlsx]Bioplastic'!F944)," ",'Q:\Abteilungsprojekte\eng\EngData\AOS\Allgemein\[LabSamples2025.xlsx]Bioplastic'!F944)</f>
        <v/>
      </c>
      <c r="G944">
        <f>IF(ISBLANK('Q:\Abteilungsprojekte\eng\EngData\AOS\Allgemein\[LabSamples2025.xlsx]Bioplastic'!G944)," ",'Q:\Abteilungsprojekte\eng\EngData\AOS\Allgemein\[LabSamples2025.xlsx]Bioplastic'!G944)</f>
        <v/>
      </c>
      <c r="H944">
        <f>IF(ISBLANK('Q:\Abteilungsprojekte\eng\EngData\AOS\Allgemein\[LabSamples2025.xlsx]Bioplastic'!H944)," ",'Q:\Abteilungsprojekte\eng\EngData\AOS\Allgemein\[LabSamples2025.xlsx]Bioplastic'!H944)</f>
        <v/>
      </c>
    </row>
    <row r="945">
      <c r="A945">
        <f>IF(ISBLANK('Q:\Abteilungsprojekte\eng\EngData\AOS\Allgemein\[LabSamples2025.xlsx]Bioplastic'!A945)," ",'Q:\Abteilungsprojekte\eng\EngData\AOS\Allgemein\[LabSamples2025.xlsx]Bioplastic'!A945)</f>
        <v/>
      </c>
      <c r="B945">
        <f>IF(ISBLANK('Q:\Abteilungsprojekte\eng\EngData\AOS\Allgemein\[LabSamples2025.xlsx]Bioplastic'!B945)," ",'Q:\Abteilungsprojekte\eng\EngData\AOS\Allgemein\[LabSamples2025.xlsx]Bioplastic'!B945)</f>
        <v/>
      </c>
      <c r="C945">
        <f>IF(ISBLANK('Q:\Abteilungsprojekte\eng\EngData\AOS\Allgemein\[LabSamples2025.xlsx]Bioplastic'!C945)," ",'Q:\Abteilungsprojekte\eng\EngData\AOS\Allgemein\[LabSamples2025.xlsx]Bioplastic'!C945)</f>
        <v/>
      </c>
      <c r="D945">
        <f>IF(ISBLANK('Q:\Abteilungsprojekte\eng\EngData\AOS\Allgemein\[LabSamples2025.xlsx]Bioplastic'!D945)," ",'Q:\Abteilungsprojekte\eng\EngData\AOS\Allgemein\[LabSamples2025.xlsx]Bioplastic'!D945)</f>
        <v/>
      </c>
      <c r="E945">
        <f>IF(ISBLANK('Q:\Abteilungsprojekte\eng\EngData\AOS\Allgemein\[LabSamples2025.xlsx]Bioplastic'!E945)," ",'Q:\Abteilungsprojekte\eng\EngData\AOS\Allgemein\[LabSamples2025.xlsx]Bioplastic'!E945)</f>
        <v/>
      </c>
      <c r="F945">
        <f>IF(ISBLANK('Q:\Abteilungsprojekte\eng\EngData\AOS\Allgemein\[LabSamples2025.xlsx]Bioplastic'!F945)," ",'Q:\Abteilungsprojekte\eng\EngData\AOS\Allgemein\[LabSamples2025.xlsx]Bioplastic'!F945)</f>
        <v/>
      </c>
      <c r="G945">
        <f>IF(ISBLANK('Q:\Abteilungsprojekte\eng\EngData\AOS\Allgemein\[LabSamples2025.xlsx]Bioplastic'!G945)," ",'Q:\Abteilungsprojekte\eng\EngData\AOS\Allgemein\[LabSamples2025.xlsx]Bioplastic'!G945)</f>
        <v/>
      </c>
      <c r="H945">
        <f>IF(ISBLANK('Q:\Abteilungsprojekte\eng\EngData\AOS\Allgemein\[LabSamples2025.xlsx]Bioplastic'!H945)," ",'Q:\Abteilungsprojekte\eng\EngData\AOS\Allgemein\[LabSamples2025.xlsx]Bioplastic'!H945)</f>
        <v/>
      </c>
    </row>
    <row r="946">
      <c r="A946">
        <f>IF(ISBLANK('Q:\Abteilungsprojekte\eng\EngData\AOS\Allgemein\[LabSamples2025.xlsx]Bioplastic'!A946)," ",'Q:\Abteilungsprojekte\eng\EngData\AOS\Allgemein\[LabSamples2025.xlsx]Bioplastic'!A946)</f>
        <v/>
      </c>
      <c r="B946">
        <f>IF(ISBLANK('Q:\Abteilungsprojekte\eng\EngData\AOS\Allgemein\[LabSamples2025.xlsx]Bioplastic'!B946)," ",'Q:\Abteilungsprojekte\eng\EngData\AOS\Allgemein\[LabSamples2025.xlsx]Bioplastic'!B946)</f>
        <v/>
      </c>
      <c r="C946">
        <f>IF(ISBLANK('Q:\Abteilungsprojekte\eng\EngData\AOS\Allgemein\[LabSamples2025.xlsx]Bioplastic'!C946)," ",'Q:\Abteilungsprojekte\eng\EngData\AOS\Allgemein\[LabSamples2025.xlsx]Bioplastic'!C946)</f>
        <v/>
      </c>
      <c r="D946">
        <f>IF(ISBLANK('Q:\Abteilungsprojekte\eng\EngData\AOS\Allgemein\[LabSamples2025.xlsx]Bioplastic'!D946)," ",'Q:\Abteilungsprojekte\eng\EngData\AOS\Allgemein\[LabSamples2025.xlsx]Bioplastic'!D946)</f>
        <v/>
      </c>
      <c r="E946">
        <f>IF(ISBLANK('Q:\Abteilungsprojekte\eng\EngData\AOS\Allgemein\[LabSamples2025.xlsx]Bioplastic'!E946)," ",'Q:\Abteilungsprojekte\eng\EngData\AOS\Allgemein\[LabSamples2025.xlsx]Bioplastic'!E946)</f>
        <v/>
      </c>
      <c r="F946">
        <f>IF(ISBLANK('Q:\Abteilungsprojekte\eng\EngData\AOS\Allgemein\[LabSamples2025.xlsx]Bioplastic'!F946)," ",'Q:\Abteilungsprojekte\eng\EngData\AOS\Allgemein\[LabSamples2025.xlsx]Bioplastic'!F946)</f>
        <v/>
      </c>
      <c r="G946">
        <f>IF(ISBLANK('Q:\Abteilungsprojekte\eng\EngData\AOS\Allgemein\[LabSamples2025.xlsx]Bioplastic'!G946)," ",'Q:\Abteilungsprojekte\eng\EngData\AOS\Allgemein\[LabSamples2025.xlsx]Bioplastic'!G946)</f>
        <v/>
      </c>
      <c r="H946">
        <f>IF(ISBLANK('Q:\Abteilungsprojekte\eng\EngData\AOS\Allgemein\[LabSamples2025.xlsx]Bioplastic'!H946)," ",'Q:\Abteilungsprojekte\eng\EngData\AOS\Allgemein\[LabSamples2025.xlsx]Bioplastic'!H946)</f>
        <v/>
      </c>
    </row>
    <row r="947">
      <c r="A947">
        <f>IF(ISBLANK('Q:\Abteilungsprojekte\eng\EngData\AOS\Allgemein\[LabSamples2025.xlsx]Bioplastic'!A947)," ",'Q:\Abteilungsprojekte\eng\EngData\AOS\Allgemein\[LabSamples2025.xlsx]Bioplastic'!A947)</f>
        <v/>
      </c>
      <c r="B947">
        <f>IF(ISBLANK('Q:\Abteilungsprojekte\eng\EngData\AOS\Allgemein\[LabSamples2025.xlsx]Bioplastic'!B947)," ",'Q:\Abteilungsprojekte\eng\EngData\AOS\Allgemein\[LabSamples2025.xlsx]Bioplastic'!B947)</f>
        <v/>
      </c>
      <c r="C947">
        <f>IF(ISBLANK('Q:\Abteilungsprojekte\eng\EngData\AOS\Allgemein\[LabSamples2025.xlsx]Bioplastic'!C947)," ",'Q:\Abteilungsprojekte\eng\EngData\AOS\Allgemein\[LabSamples2025.xlsx]Bioplastic'!C947)</f>
        <v/>
      </c>
      <c r="D947">
        <f>IF(ISBLANK('Q:\Abteilungsprojekte\eng\EngData\AOS\Allgemein\[LabSamples2025.xlsx]Bioplastic'!D947)," ",'Q:\Abteilungsprojekte\eng\EngData\AOS\Allgemein\[LabSamples2025.xlsx]Bioplastic'!D947)</f>
        <v/>
      </c>
      <c r="E947">
        <f>IF(ISBLANK('Q:\Abteilungsprojekte\eng\EngData\AOS\Allgemein\[LabSamples2025.xlsx]Bioplastic'!E947)," ",'Q:\Abteilungsprojekte\eng\EngData\AOS\Allgemein\[LabSamples2025.xlsx]Bioplastic'!E947)</f>
        <v/>
      </c>
      <c r="F947">
        <f>IF(ISBLANK('Q:\Abteilungsprojekte\eng\EngData\AOS\Allgemein\[LabSamples2025.xlsx]Bioplastic'!F947)," ",'Q:\Abteilungsprojekte\eng\EngData\AOS\Allgemein\[LabSamples2025.xlsx]Bioplastic'!F947)</f>
        <v/>
      </c>
      <c r="G947">
        <f>IF(ISBLANK('Q:\Abteilungsprojekte\eng\EngData\AOS\Allgemein\[LabSamples2025.xlsx]Bioplastic'!G947)," ",'Q:\Abteilungsprojekte\eng\EngData\AOS\Allgemein\[LabSamples2025.xlsx]Bioplastic'!G947)</f>
        <v/>
      </c>
      <c r="H947">
        <f>IF(ISBLANK('Q:\Abteilungsprojekte\eng\EngData\AOS\Allgemein\[LabSamples2025.xlsx]Bioplastic'!H947)," ",'Q:\Abteilungsprojekte\eng\EngData\AOS\Allgemein\[LabSamples2025.xlsx]Bioplastic'!H947)</f>
        <v/>
      </c>
    </row>
    <row r="948">
      <c r="A948">
        <f>IF(ISBLANK('Q:\Abteilungsprojekte\eng\EngData\AOS\Allgemein\[LabSamples2025.xlsx]Bioplastic'!A948)," ",'Q:\Abteilungsprojekte\eng\EngData\AOS\Allgemein\[LabSamples2025.xlsx]Bioplastic'!A948)</f>
        <v/>
      </c>
      <c r="B948">
        <f>IF(ISBLANK('Q:\Abteilungsprojekte\eng\EngData\AOS\Allgemein\[LabSamples2025.xlsx]Bioplastic'!B948)," ",'Q:\Abteilungsprojekte\eng\EngData\AOS\Allgemein\[LabSamples2025.xlsx]Bioplastic'!B948)</f>
        <v/>
      </c>
      <c r="C948">
        <f>IF(ISBLANK('Q:\Abteilungsprojekte\eng\EngData\AOS\Allgemein\[LabSamples2025.xlsx]Bioplastic'!C948)," ",'Q:\Abteilungsprojekte\eng\EngData\AOS\Allgemein\[LabSamples2025.xlsx]Bioplastic'!C948)</f>
        <v/>
      </c>
      <c r="D948">
        <f>IF(ISBLANK('Q:\Abteilungsprojekte\eng\EngData\AOS\Allgemein\[LabSamples2025.xlsx]Bioplastic'!D948)," ",'Q:\Abteilungsprojekte\eng\EngData\AOS\Allgemein\[LabSamples2025.xlsx]Bioplastic'!D948)</f>
        <v/>
      </c>
      <c r="E948">
        <f>IF(ISBLANK('Q:\Abteilungsprojekte\eng\EngData\AOS\Allgemein\[LabSamples2025.xlsx]Bioplastic'!E948)," ",'Q:\Abteilungsprojekte\eng\EngData\AOS\Allgemein\[LabSamples2025.xlsx]Bioplastic'!E948)</f>
        <v/>
      </c>
      <c r="F948">
        <f>IF(ISBLANK('Q:\Abteilungsprojekte\eng\EngData\AOS\Allgemein\[LabSamples2025.xlsx]Bioplastic'!F948)," ",'Q:\Abteilungsprojekte\eng\EngData\AOS\Allgemein\[LabSamples2025.xlsx]Bioplastic'!F948)</f>
        <v/>
      </c>
      <c r="G948">
        <f>IF(ISBLANK('Q:\Abteilungsprojekte\eng\EngData\AOS\Allgemein\[LabSamples2025.xlsx]Bioplastic'!G948)," ",'Q:\Abteilungsprojekte\eng\EngData\AOS\Allgemein\[LabSamples2025.xlsx]Bioplastic'!G948)</f>
        <v/>
      </c>
      <c r="H948">
        <f>IF(ISBLANK('Q:\Abteilungsprojekte\eng\EngData\AOS\Allgemein\[LabSamples2025.xlsx]Bioplastic'!H948)," ",'Q:\Abteilungsprojekte\eng\EngData\AOS\Allgemein\[LabSamples2025.xlsx]Bioplastic'!H948)</f>
        <v/>
      </c>
    </row>
    <row r="949">
      <c r="A949">
        <f>IF(ISBLANK('Q:\Abteilungsprojekte\eng\EngData\AOS\Allgemein\[LabSamples2025.xlsx]Bioplastic'!A949)," ",'Q:\Abteilungsprojekte\eng\EngData\AOS\Allgemein\[LabSamples2025.xlsx]Bioplastic'!A949)</f>
        <v/>
      </c>
      <c r="B949">
        <f>IF(ISBLANK('Q:\Abteilungsprojekte\eng\EngData\AOS\Allgemein\[LabSamples2025.xlsx]Bioplastic'!B949)," ",'Q:\Abteilungsprojekte\eng\EngData\AOS\Allgemein\[LabSamples2025.xlsx]Bioplastic'!B949)</f>
        <v/>
      </c>
      <c r="C949">
        <f>IF(ISBLANK('Q:\Abteilungsprojekte\eng\EngData\AOS\Allgemein\[LabSamples2025.xlsx]Bioplastic'!C949)," ",'Q:\Abteilungsprojekte\eng\EngData\AOS\Allgemein\[LabSamples2025.xlsx]Bioplastic'!C949)</f>
        <v/>
      </c>
      <c r="D949">
        <f>IF(ISBLANK('Q:\Abteilungsprojekte\eng\EngData\AOS\Allgemein\[LabSamples2025.xlsx]Bioplastic'!D949)," ",'Q:\Abteilungsprojekte\eng\EngData\AOS\Allgemein\[LabSamples2025.xlsx]Bioplastic'!D949)</f>
        <v/>
      </c>
      <c r="E949">
        <f>IF(ISBLANK('Q:\Abteilungsprojekte\eng\EngData\AOS\Allgemein\[LabSamples2025.xlsx]Bioplastic'!E949)," ",'Q:\Abteilungsprojekte\eng\EngData\AOS\Allgemein\[LabSamples2025.xlsx]Bioplastic'!E949)</f>
        <v/>
      </c>
      <c r="F949">
        <f>IF(ISBLANK('Q:\Abteilungsprojekte\eng\EngData\AOS\Allgemein\[LabSamples2025.xlsx]Bioplastic'!F949)," ",'Q:\Abteilungsprojekte\eng\EngData\AOS\Allgemein\[LabSamples2025.xlsx]Bioplastic'!F949)</f>
        <v/>
      </c>
      <c r="G949">
        <f>IF(ISBLANK('Q:\Abteilungsprojekte\eng\EngData\AOS\Allgemein\[LabSamples2025.xlsx]Bioplastic'!G949)," ",'Q:\Abteilungsprojekte\eng\EngData\AOS\Allgemein\[LabSamples2025.xlsx]Bioplastic'!G949)</f>
        <v/>
      </c>
      <c r="H949">
        <f>IF(ISBLANK('Q:\Abteilungsprojekte\eng\EngData\AOS\Allgemein\[LabSamples2025.xlsx]Bioplastic'!H949)," ",'Q:\Abteilungsprojekte\eng\EngData\AOS\Allgemein\[LabSamples2025.xlsx]Bioplastic'!H949)</f>
        <v/>
      </c>
    </row>
    <row r="950">
      <c r="A950">
        <f>IF(ISBLANK('Q:\Abteilungsprojekte\eng\EngData\AOS\Allgemein\[LabSamples2025.xlsx]Bioplastic'!A950)," ",'Q:\Abteilungsprojekte\eng\EngData\AOS\Allgemein\[LabSamples2025.xlsx]Bioplastic'!A950)</f>
        <v/>
      </c>
      <c r="B950">
        <f>IF(ISBLANK('Q:\Abteilungsprojekte\eng\EngData\AOS\Allgemein\[LabSamples2025.xlsx]Bioplastic'!B950)," ",'Q:\Abteilungsprojekte\eng\EngData\AOS\Allgemein\[LabSamples2025.xlsx]Bioplastic'!B950)</f>
        <v/>
      </c>
      <c r="C950">
        <f>IF(ISBLANK('Q:\Abteilungsprojekte\eng\EngData\AOS\Allgemein\[LabSamples2025.xlsx]Bioplastic'!C950)," ",'Q:\Abteilungsprojekte\eng\EngData\AOS\Allgemein\[LabSamples2025.xlsx]Bioplastic'!C950)</f>
        <v/>
      </c>
      <c r="D950">
        <f>IF(ISBLANK('Q:\Abteilungsprojekte\eng\EngData\AOS\Allgemein\[LabSamples2025.xlsx]Bioplastic'!D950)," ",'Q:\Abteilungsprojekte\eng\EngData\AOS\Allgemein\[LabSamples2025.xlsx]Bioplastic'!D950)</f>
        <v/>
      </c>
      <c r="E950">
        <f>IF(ISBLANK('Q:\Abteilungsprojekte\eng\EngData\AOS\Allgemein\[LabSamples2025.xlsx]Bioplastic'!E950)," ",'Q:\Abteilungsprojekte\eng\EngData\AOS\Allgemein\[LabSamples2025.xlsx]Bioplastic'!E950)</f>
        <v/>
      </c>
      <c r="F950">
        <f>IF(ISBLANK('Q:\Abteilungsprojekte\eng\EngData\AOS\Allgemein\[LabSamples2025.xlsx]Bioplastic'!F950)," ",'Q:\Abteilungsprojekte\eng\EngData\AOS\Allgemein\[LabSamples2025.xlsx]Bioplastic'!F950)</f>
        <v/>
      </c>
      <c r="G950">
        <f>IF(ISBLANK('Q:\Abteilungsprojekte\eng\EngData\AOS\Allgemein\[LabSamples2025.xlsx]Bioplastic'!G950)," ",'Q:\Abteilungsprojekte\eng\EngData\AOS\Allgemein\[LabSamples2025.xlsx]Bioplastic'!G950)</f>
        <v/>
      </c>
      <c r="H950">
        <f>IF(ISBLANK('Q:\Abteilungsprojekte\eng\EngData\AOS\Allgemein\[LabSamples2025.xlsx]Bioplastic'!H950)," ",'Q:\Abteilungsprojekte\eng\EngData\AOS\Allgemein\[LabSamples2025.xlsx]Bioplastic'!H950)</f>
        <v/>
      </c>
    </row>
    <row r="951">
      <c r="A951">
        <f>IF(ISBLANK('Q:\Abteilungsprojekte\eng\EngData\AOS\Allgemein\[LabSamples2025.xlsx]Bioplastic'!A951)," ",'Q:\Abteilungsprojekte\eng\EngData\AOS\Allgemein\[LabSamples2025.xlsx]Bioplastic'!A951)</f>
        <v/>
      </c>
      <c r="B951">
        <f>IF(ISBLANK('Q:\Abteilungsprojekte\eng\EngData\AOS\Allgemein\[LabSamples2025.xlsx]Bioplastic'!B951)," ",'Q:\Abteilungsprojekte\eng\EngData\AOS\Allgemein\[LabSamples2025.xlsx]Bioplastic'!B951)</f>
        <v/>
      </c>
      <c r="C951">
        <f>IF(ISBLANK('Q:\Abteilungsprojekte\eng\EngData\AOS\Allgemein\[LabSamples2025.xlsx]Bioplastic'!C951)," ",'Q:\Abteilungsprojekte\eng\EngData\AOS\Allgemein\[LabSamples2025.xlsx]Bioplastic'!C951)</f>
        <v/>
      </c>
      <c r="D951">
        <f>IF(ISBLANK('Q:\Abteilungsprojekte\eng\EngData\AOS\Allgemein\[LabSamples2025.xlsx]Bioplastic'!D951)," ",'Q:\Abteilungsprojekte\eng\EngData\AOS\Allgemein\[LabSamples2025.xlsx]Bioplastic'!D951)</f>
        <v/>
      </c>
      <c r="E951">
        <f>IF(ISBLANK('Q:\Abteilungsprojekte\eng\EngData\AOS\Allgemein\[LabSamples2025.xlsx]Bioplastic'!E951)," ",'Q:\Abteilungsprojekte\eng\EngData\AOS\Allgemein\[LabSamples2025.xlsx]Bioplastic'!E951)</f>
        <v/>
      </c>
      <c r="F951">
        <f>IF(ISBLANK('Q:\Abteilungsprojekte\eng\EngData\AOS\Allgemein\[LabSamples2025.xlsx]Bioplastic'!F951)," ",'Q:\Abteilungsprojekte\eng\EngData\AOS\Allgemein\[LabSamples2025.xlsx]Bioplastic'!F951)</f>
        <v/>
      </c>
      <c r="G951">
        <f>IF(ISBLANK('Q:\Abteilungsprojekte\eng\EngData\AOS\Allgemein\[LabSamples2025.xlsx]Bioplastic'!G951)," ",'Q:\Abteilungsprojekte\eng\EngData\AOS\Allgemein\[LabSamples2025.xlsx]Bioplastic'!G951)</f>
        <v/>
      </c>
      <c r="H951">
        <f>IF(ISBLANK('Q:\Abteilungsprojekte\eng\EngData\AOS\Allgemein\[LabSamples2025.xlsx]Bioplastic'!H951)," ",'Q:\Abteilungsprojekte\eng\EngData\AOS\Allgemein\[LabSamples2025.xlsx]Bioplastic'!H951)</f>
        <v/>
      </c>
    </row>
    <row r="952">
      <c r="A952">
        <f>IF(ISBLANK('Q:\Abteilungsprojekte\eng\EngData\AOS\Allgemein\[LabSamples2025.xlsx]Bioplastic'!A952)," ",'Q:\Abteilungsprojekte\eng\EngData\AOS\Allgemein\[LabSamples2025.xlsx]Bioplastic'!A952)</f>
        <v/>
      </c>
      <c r="B952">
        <f>IF(ISBLANK('Q:\Abteilungsprojekte\eng\EngData\AOS\Allgemein\[LabSamples2025.xlsx]Bioplastic'!B952)," ",'Q:\Abteilungsprojekte\eng\EngData\AOS\Allgemein\[LabSamples2025.xlsx]Bioplastic'!B952)</f>
        <v/>
      </c>
      <c r="C952">
        <f>IF(ISBLANK('Q:\Abteilungsprojekte\eng\EngData\AOS\Allgemein\[LabSamples2025.xlsx]Bioplastic'!C952)," ",'Q:\Abteilungsprojekte\eng\EngData\AOS\Allgemein\[LabSamples2025.xlsx]Bioplastic'!C952)</f>
        <v/>
      </c>
      <c r="D952">
        <f>IF(ISBLANK('Q:\Abteilungsprojekte\eng\EngData\AOS\Allgemein\[LabSamples2025.xlsx]Bioplastic'!D952)," ",'Q:\Abteilungsprojekte\eng\EngData\AOS\Allgemein\[LabSamples2025.xlsx]Bioplastic'!D952)</f>
        <v/>
      </c>
      <c r="E952">
        <f>IF(ISBLANK('Q:\Abteilungsprojekte\eng\EngData\AOS\Allgemein\[LabSamples2025.xlsx]Bioplastic'!E952)," ",'Q:\Abteilungsprojekte\eng\EngData\AOS\Allgemein\[LabSamples2025.xlsx]Bioplastic'!E952)</f>
        <v/>
      </c>
      <c r="F952">
        <f>IF(ISBLANK('Q:\Abteilungsprojekte\eng\EngData\AOS\Allgemein\[LabSamples2025.xlsx]Bioplastic'!F952)," ",'Q:\Abteilungsprojekte\eng\EngData\AOS\Allgemein\[LabSamples2025.xlsx]Bioplastic'!F952)</f>
        <v/>
      </c>
      <c r="G952">
        <f>IF(ISBLANK('Q:\Abteilungsprojekte\eng\EngData\AOS\Allgemein\[LabSamples2025.xlsx]Bioplastic'!G952)," ",'Q:\Abteilungsprojekte\eng\EngData\AOS\Allgemein\[LabSamples2025.xlsx]Bioplastic'!G952)</f>
        <v/>
      </c>
      <c r="H952">
        <f>IF(ISBLANK('Q:\Abteilungsprojekte\eng\EngData\AOS\Allgemein\[LabSamples2025.xlsx]Bioplastic'!H952)," ",'Q:\Abteilungsprojekte\eng\EngData\AOS\Allgemein\[LabSamples2025.xlsx]Bioplastic'!H952)</f>
        <v/>
      </c>
    </row>
    <row r="953">
      <c r="A953">
        <f>IF(ISBLANK('Q:\Abteilungsprojekte\eng\EngData\AOS\Allgemein\[LabSamples2025.xlsx]Bioplastic'!A953)," ",'Q:\Abteilungsprojekte\eng\EngData\AOS\Allgemein\[LabSamples2025.xlsx]Bioplastic'!A953)</f>
        <v/>
      </c>
      <c r="B953">
        <f>IF(ISBLANK('Q:\Abteilungsprojekte\eng\EngData\AOS\Allgemein\[LabSamples2025.xlsx]Bioplastic'!B953)," ",'Q:\Abteilungsprojekte\eng\EngData\AOS\Allgemein\[LabSamples2025.xlsx]Bioplastic'!B953)</f>
        <v/>
      </c>
      <c r="C953">
        <f>IF(ISBLANK('Q:\Abteilungsprojekte\eng\EngData\AOS\Allgemein\[LabSamples2025.xlsx]Bioplastic'!C953)," ",'Q:\Abteilungsprojekte\eng\EngData\AOS\Allgemein\[LabSamples2025.xlsx]Bioplastic'!C953)</f>
        <v/>
      </c>
      <c r="D953">
        <f>IF(ISBLANK('Q:\Abteilungsprojekte\eng\EngData\AOS\Allgemein\[LabSamples2025.xlsx]Bioplastic'!D953)," ",'Q:\Abteilungsprojekte\eng\EngData\AOS\Allgemein\[LabSamples2025.xlsx]Bioplastic'!D953)</f>
        <v/>
      </c>
      <c r="E953">
        <f>IF(ISBLANK('Q:\Abteilungsprojekte\eng\EngData\AOS\Allgemein\[LabSamples2025.xlsx]Bioplastic'!E953)," ",'Q:\Abteilungsprojekte\eng\EngData\AOS\Allgemein\[LabSamples2025.xlsx]Bioplastic'!E953)</f>
        <v/>
      </c>
      <c r="F953">
        <f>IF(ISBLANK('Q:\Abteilungsprojekte\eng\EngData\AOS\Allgemein\[LabSamples2025.xlsx]Bioplastic'!F953)," ",'Q:\Abteilungsprojekte\eng\EngData\AOS\Allgemein\[LabSamples2025.xlsx]Bioplastic'!F953)</f>
        <v/>
      </c>
      <c r="G953">
        <f>IF(ISBLANK('Q:\Abteilungsprojekte\eng\EngData\AOS\Allgemein\[LabSamples2025.xlsx]Bioplastic'!G953)," ",'Q:\Abteilungsprojekte\eng\EngData\AOS\Allgemein\[LabSamples2025.xlsx]Bioplastic'!G953)</f>
        <v/>
      </c>
      <c r="H953">
        <f>IF(ISBLANK('Q:\Abteilungsprojekte\eng\EngData\AOS\Allgemein\[LabSamples2025.xlsx]Bioplastic'!H953)," ",'Q:\Abteilungsprojekte\eng\EngData\AOS\Allgemein\[LabSamples2025.xlsx]Bioplastic'!H953)</f>
        <v/>
      </c>
    </row>
    <row r="954">
      <c r="A954">
        <f>IF(ISBLANK('Q:\Abteilungsprojekte\eng\EngData\AOS\Allgemein\[LabSamples2025.xlsx]Bioplastic'!A954)," ",'Q:\Abteilungsprojekte\eng\EngData\AOS\Allgemein\[LabSamples2025.xlsx]Bioplastic'!A954)</f>
        <v/>
      </c>
      <c r="B954">
        <f>IF(ISBLANK('Q:\Abteilungsprojekte\eng\EngData\AOS\Allgemein\[LabSamples2025.xlsx]Bioplastic'!B954)," ",'Q:\Abteilungsprojekte\eng\EngData\AOS\Allgemein\[LabSamples2025.xlsx]Bioplastic'!B954)</f>
        <v/>
      </c>
      <c r="C954">
        <f>IF(ISBLANK('Q:\Abteilungsprojekte\eng\EngData\AOS\Allgemein\[LabSamples2025.xlsx]Bioplastic'!C954)," ",'Q:\Abteilungsprojekte\eng\EngData\AOS\Allgemein\[LabSamples2025.xlsx]Bioplastic'!C954)</f>
        <v/>
      </c>
      <c r="D954">
        <f>IF(ISBLANK('Q:\Abteilungsprojekte\eng\EngData\AOS\Allgemein\[LabSamples2025.xlsx]Bioplastic'!D954)," ",'Q:\Abteilungsprojekte\eng\EngData\AOS\Allgemein\[LabSamples2025.xlsx]Bioplastic'!D954)</f>
        <v/>
      </c>
      <c r="E954">
        <f>IF(ISBLANK('Q:\Abteilungsprojekte\eng\EngData\AOS\Allgemein\[LabSamples2025.xlsx]Bioplastic'!E954)," ",'Q:\Abteilungsprojekte\eng\EngData\AOS\Allgemein\[LabSamples2025.xlsx]Bioplastic'!E954)</f>
        <v/>
      </c>
      <c r="F954">
        <f>IF(ISBLANK('Q:\Abteilungsprojekte\eng\EngData\AOS\Allgemein\[LabSamples2025.xlsx]Bioplastic'!F954)," ",'Q:\Abteilungsprojekte\eng\EngData\AOS\Allgemein\[LabSamples2025.xlsx]Bioplastic'!F954)</f>
        <v/>
      </c>
      <c r="G954">
        <f>IF(ISBLANK('Q:\Abteilungsprojekte\eng\EngData\AOS\Allgemein\[LabSamples2025.xlsx]Bioplastic'!G954)," ",'Q:\Abteilungsprojekte\eng\EngData\AOS\Allgemein\[LabSamples2025.xlsx]Bioplastic'!G954)</f>
        <v/>
      </c>
      <c r="H954">
        <f>IF(ISBLANK('Q:\Abteilungsprojekte\eng\EngData\AOS\Allgemein\[LabSamples2025.xlsx]Bioplastic'!H954)," ",'Q:\Abteilungsprojekte\eng\EngData\AOS\Allgemein\[LabSamples2025.xlsx]Bioplastic'!H954)</f>
        <v/>
      </c>
    </row>
    <row r="955">
      <c r="A955">
        <f>IF(ISBLANK('Q:\Abteilungsprojekte\eng\EngData\AOS\Allgemein\[LabSamples2025.xlsx]Bioplastic'!A955)," ",'Q:\Abteilungsprojekte\eng\EngData\AOS\Allgemein\[LabSamples2025.xlsx]Bioplastic'!A955)</f>
        <v/>
      </c>
      <c r="B955">
        <f>IF(ISBLANK('Q:\Abteilungsprojekte\eng\EngData\AOS\Allgemein\[LabSamples2025.xlsx]Bioplastic'!B955)," ",'Q:\Abteilungsprojekte\eng\EngData\AOS\Allgemein\[LabSamples2025.xlsx]Bioplastic'!B955)</f>
        <v/>
      </c>
      <c r="C955">
        <f>IF(ISBLANK('Q:\Abteilungsprojekte\eng\EngData\AOS\Allgemein\[LabSamples2025.xlsx]Bioplastic'!C955)," ",'Q:\Abteilungsprojekte\eng\EngData\AOS\Allgemein\[LabSamples2025.xlsx]Bioplastic'!C955)</f>
        <v/>
      </c>
      <c r="D955">
        <f>IF(ISBLANK('Q:\Abteilungsprojekte\eng\EngData\AOS\Allgemein\[LabSamples2025.xlsx]Bioplastic'!D955)," ",'Q:\Abteilungsprojekte\eng\EngData\AOS\Allgemein\[LabSamples2025.xlsx]Bioplastic'!D955)</f>
        <v/>
      </c>
      <c r="E955">
        <f>IF(ISBLANK('Q:\Abteilungsprojekte\eng\EngData\AOS\Allgemein\[LabSamples2025.xlsx]Bioplastic'!E955)," ",'Q:\Abteilungsprojekte\eng\EngData\AOS\Allgemein\[LabSamples2025.xlsx]Bioplastic'!E955)</f>
        <v/>
      </c>
      <c r="F955">
        <f>IF(ISBLANK('Q:\Abteilungsprojekte\eng\EngData\AOS\Allgemein\[LabSamples2025.xlsx]Bioplastic'!F955)," ",'Q:\Abteilungsprojekte\eng\EngData\AOS\Allgemein\[LabSamples2025.xlsx]Bioplastic'!F955)</f>
        <v/>
      </c>
      <c r="G955">
        <f>IF(ISBLANK('Q:\Abteilungsprojekte\eng\EngData\AOS\Allgemein\[LabSamples2025.xlsx]Bioplastic'!G955)," ",'Q:\Abteilungsprojekte\eng\EngData\AOS\Allgemein\[LabSamples2025.xlsx]Bioplastic'!G955)</f>
        <v/>
      </c>
      <c r="H955">
        <f>IF(ISBLANK('Q:\Abteilungsprojekte\eng\EngData\AOS\Allgemein\[LabSamples2025.xlsx]Bioplastic'!H955)," ",'Q:\Abteilungsprojekte\eng\EngData\AOS\Allgemein\[LabSamples2025.xlsx]Bioplastic'!H955)</f>
        <v/>
      </c>
    </row>
    <row r="956">
      <c r="A956">
        <f>IF(ISBLANK('Q:\Abteilungsprojekte\eng\EngData\AOS\Allgemein\[LabSamples2025.xlsx]Bioplastic'!A956)," ",'Q:\Abteilungsprojekte\eng\EngData\AOS\Allgemein\[LabSamples2025.xlsx]Bioplastic'!A956)</f>
        <v/>
      </c>
      <c r="B956">
        <f>IF(ISBLANK('Q:\Abteilungsprojekte\eng\EngData\AOS\Allgemein\[LabSamples2025.xlsx]Bioplastic'!B956)," ",'Q:\Abteilungsprojekte\eng\EngData\AOS\Allgemein\[LabSamples2025.xlsx]Bioplastic'!B956)</f>
        <v/>
      </c>
      <c r="C956">
        <f>IF(ISBLANK('Q:\Abteilungsprojekte\eng\EngData\AOS\Allgemein\[LabSamples2025.xlsx]Bioplastic'!C956)," ",'Q:\Abteilungsprojekte\eng\EngData\AOS\Allgemein\[LabSamples2025.xlsx]Bioplastic'!C956)</f>
        <v/>
      </c>
      <c r="D956">
        <f>IF(ISBLANK('Q:\Abteilungsprojekte\eng\EngData\AOS\Allgemein\[LabSamples2025.xlsx]Bioplastic'!D956)," ",'Q:\Abteilungsprojekte\eng\EngData\AOS\Allgemein\[LabSamples2025.xlsx]Bioplastic'!D956)</f>
        <v/>
      </c>
      <c r="E956">
        <f>IF(ISBLANK('Q:\Abteilungsprojekte\eng\EngData\AOS\Allgemein\[LabSamples2025.xlsx]Bioplastic'!E956)," ",'Q:\Abteilungsprojekte\eng\EngData\AOS\Allgemein\[LabSamples2025.xlsx]Bioplastic'!E956)</f>
        <v/>
      </c>
      <c r="F956">
        <f>IF(ISBLANK('Q:\Abteilungsprojekte\eng\EngData\AOS\Allgemein\[LabSamples2025.xlsx]Bioplastic'!F956)," ",'Q:\Abteilungsprojekte\eng\EngData\AOS\Allgemein\[LabSamples2025.xlsx]Bioplastic'!F956)</f>
        <v/>
      </c>
      <c r="G956">
        <f>IF(ISBLANK('Q:\Abteilungsprojekte\eng\EngData\AOS\Allgemein\[LabSamples2025.xlsx]Bioplastic'!G956)," ",'Q:\Abteilungsprojekte\eng\EngData\AOS\Allgemein\[LabSamples2025.xlsx]Bioplastic'!G956)</f>
        <v/>
      </c>
      <c r="H956">
        <f>IF(ISBLANK('Q:\Abteilungsprojekte\eng\EngData\AOS\Allgemein\[LabSamples2025.xlsx]Bioplastic'!H956)," ",'Q:\Abteilungsprojekte\eng\EngData\AOS\Allgemein\[LabSamples2025.xlsx]Bioplastic'!H956)</f>
        <v/>
      </c>
    </row>
    <row r="957">
      <c r="A957">
        <f>IF(ISBLANK('Q:\Abteilungsprojekte\eng\EngData\AOS\Allgemein\[LabSamples2025.xlsx]Bioplastic'!A957)," ",'Q:\Abteilungsprojekte\eng\EngData\AOS\Allgemein\[LabSamples2025.xlsx]Bioplastic'!A957)</f>
        <v/>
      </c>
      <c r="B957">
        <f>IF(ISBLANK('Q:\Abteilungsprojekte\eng\EngData\AOS\Allgemein\[LabSamples2025.xlsx]Bioplastic'!B957)," ",'Q:\Abteilungsprojekte\eng\EngData\AOS\Allgemein\[LabSamples2025.xlsx]Bioplastic'!B957)</f>
        <v/>
      </c>
      <c r="C957">
        <f>IF(ISBLANK('Q:\Abteilungsprojekte\eng\EngData\AOS\Allgemein\[LabSamples2025.xlsx]Bioplastic'!C957)," ",'Q:\Abteilungsprojekte\eng\EngData\AOS\Allgemein\[LabSamples2025.xlsx]Bioplastic'!C957)</f>
        <v/>
      </c>
      <c r="D957">
        <f>IF(ISBLANK('Q:\Abteilungsprojekte\eng\EngData\AOS\Allgemein\[LabSamples2025.xlsx]Bioplastic'!D957)," ",'Q:\Abteilungsprojekte\eng\EngData\AOS\Allgemein\[LabSamples2025.xlsx]Bioplastic'!D957)</f>
        <v/>
      </c>
      <c r="E957">
        <f>IF(ISBLANK('Q:\Abteilungsprojekte\eng\EngData\AOS\Allgemein\[LabSamples2025.xlsx]Bioplastic'!E957)," ",'Q:\Abteilungsprojekte\eng\EngData\AOS\Allgemein\[LabSamples2025.xlsx]Bioplastic'!E957)</f>
        <v/>
      </c>
      <c r="F957">
        <f>IF(ISBLANK('Q:\Abteilungsprojekte\eng\EngData\AOS\Allgemein\[LabSamples2025.xlsx]Bioplastic'!F957)," ",'Q:\Abteilungsprojekte\eng\EngData\AOS\Allgemein\[LabSamples2025.xlsx]Bioplastic'!F957)</f>
        <v/>
      </c>
      <c r="G957">
        <f>IF(ISBLANK('Q:\Abteilungsprojekte\eng\EngData\AOS\Allgemein\[LabSamples2025.xlsx]Bioplastic'!G957)," ",'Q:\Abteilungsprojekte\eng\EngData\AOS\Allgemein\[LabSamples2025.xlsx]Bioplastic'!G957)</f>
        <v/>
      </c>
      <c r="H957">
        <f>IF(ISBLANK('Q:\Abteilungsprojekte\eng\EngData\AOS\Allgemein\[LabSamples2025.xlsx]Bioplastic'!H957)," ",'Q:\Abteilungsprojekte\eng\EngData\AOS\Allgemein\[LabSamples2025.xlsx]Bioplastic'!H957)</f>
        <v/>
      </c>
    </row>
    <row r="958">
      <c r="A958">
        <f>IF(ISBLANK('Q:\Abteilungsprojekte\eng\EngData\AOS\Allgemein\[LabSamples2025.xlsx]Bioplastic'!A958)," ",'Q:\Abteilungsprojekte\eng\EngData\AOS\Allgemein\[LabSamples2025.xlsx]Bioplastic'!A958)</f>
        <v/>
      </c>
      <c r="B958">
        <f>IF(ISBLANK('Q:\Abteilungsprojekte\eng\EngData\AOS\Allgemein\[LabSamples2025.xlsx]Bioplastic'!B958)," ",'Q:\Abteilungsprojekte\eng\EngData\AOS\Allgemein\[LabSamples2025.xlsx]Bioplastic'!B958)</f>
        <v/>
      </c>
      <c r="C958">
        <f>IF(ISBLANK('Q:\Abteilungsprojekte\eng\EngData\AOS\Allgemein\[LabSamples2025.xlsx]Bioplastic'!C958)," ",'Q:\Abteilungsprojekte\eng\EngData\AOS\Allgemein\[LabSamples2025.xlsx]Bioplastic'!C958)</f>
        <v/>
      </c>
      <c r="D958">
        <f>IF(ISBLANK('Q:\Abteilungsprojekte\eng\EngData\AOS\Allgemein\[LabSamples2025.xlsx]Bioplastic'!D958)," ",'Q:\Abteilungsprojekte\eng\EngData\AOS\Allgemein\[LabSamples2025.xlsx]Bioplastic'!D958)</f>
        <v/>
      </c>
      <c r="E958">
        <f>IF(ISBLANK('Q:\Abteilungsprojekte\eng\EngData\AOS\Allgemein\[LabSamples2025.xlsx]Bioplastic'!E958)," ",'Q:\Abteilungsprojekte\eng\EngData\AOS\Allgemein\[LabSamples2025.xlsx]Bioplastic'!E958)</f>
        <v/>
      </c>
      <c r="F958">
        <f>IF(ISBLANK('Q:\Abteilungsprojekte\eng\EngData\AOS\Allgemein\[LabSamples2025.xlsx]Bioplastic'!F958)," ",'Q:\Abteilungsprojekte\eng\EngData\AOS\Allgemein\[LabSamples2025.xlsx]Bioplastic'!F958)</f>
        <v/>
      </c>
      <c r="G958">
        <f>IF(ISBLANK('Q:\Abteilungsprojekte\eng\EngData\AOS\Allgemein\[LabSamples2025.xlsx]Bioplastic'!G958)," ",'Q:\Abteilungsprojekte\eng\EngData\AOS\Allgemein\[LabSamples2025.xlsx]Bioplastic'!G958)</f>
        <v/>
      </c>
      <c r="H958">
        <f>IF(ISBLANK('Q:\Abteilungsprojekte\eng\EngData\AOS\Allgemein\[LabSamples2025.xlsx]Bioplastic'!H958)," ",'Q:\Abteilungsprojekte\eng\EngData\AOS\Allgemein\[LabSamples2025.xlsx]Bioplastic'!H958)</f>
        <v/>
      </c>
    </row>
    <row r="959">
      <c r="A959">
        <f>IF(ISBLANK('Q:\Abteilungsprojekte\eng\EngData\AOS\Allgemein\[LabSamples2025.xlsx]Bioplastic'!A959)," ",'Q:\Abteilungsprojekte\eng\EngData\AOS\Allgemein\[LabSamples2025.xlsx]Bioplastic'!A959)</f>
        <v/>
      </c>
      <c r="B959">
        <f>IF(ISBLANK('Q:\Abteilungsprojekte\eng\EngData\AOS\Allgemein\[LabSamples2025.xlsx]Bioplastic'!B959)," ",'Q:\Abteilungsprojekte\eng\EngData\AOS\Allgemein\[LabSamples2025.xlsx]Bioplastic'!B959)</f>
        <v/>
      </c>
      <c r="C959">
        <f>IF(ISBLANK('Q:\Abteilungsprojekte\eng\EngData\AOS\Allgemein\[LabSamples2025.xlsx]Bioplastic'!C959)," ",'Q:\Abteilungsprojekte\eng\EngData\AOS\Allgemein\[LabSamples2025.xlsx]Bioplastic'!C959)</f>
        <v/>
      </c>
      <c r="D959">
        <f>IF(ISBLANK('Q:\Abteilungsprojekte\eng\EngData\AOS\Allgemein\[LabSamples2025.xlsx]Bioplastic'!D959)," ",'Q:\Abteilungsprojekte\eng\EngData\AOS\Allgemein\[LabSamples2025.xlsx]Bioplastic'!D959)</f>
        <v/>
      </c>
      <c r="E959">
        <f>IF(ISBLANK('Q:\Abteilungsprojekte\eng\EngData\AOS\Allgemein\[LabSamples2025.xlsx]Bioplastic'!E959)," ",'Q:\Abteilungsprojekte\eng\EngData\AOS\Allgemein\[LabSamples2025.xlsx]Bioplastic'!E959)</f>
        <v/>
      </c>
      <c r="F959">
        <f>IF(ISBLANK('Q:\Abteilungsprojekte\eng\EngData\AOS\Allgemein\[LabSamples2025.xlsx]Bioplastic'!F959)," ",'Q:\Abteilungsprojekte\eng\EngData\AOS\Allgemein\[LabSamples2025.xlsx]Bioplastic'!F959)</f>
        <v/>
      </c>
      <c r="G959">
        <f>IF(ISBLANK('Q:\Abteilungsprojekte\eng\EngData\AOS\Allgemein\[LabSamples2025.xlsx]Bioplastic'!G959)," ",'Q:\Abteilungsprojekte\eng\EngData\AOS\Allgemein\[LabSamples2025.xlsx]Bioplastic'!G959)</f>
        <v/>
      </c>
      <c r="H959">
        <f>IF(ISBLANK('Q:\Abteilungsprojekte\eng\EngData\AOS\Allgemein\[LabSamples2025.xlsx]Bioplastic'!H959)," ",'Q:\Abteilungsprojekte\eng\EngData\AOS\Allgemein\[LabSamples2025.xlsx]Bioplastic'!H959)</f>
        <v/>
      </c>
    </row>
    <row r="960">
      <c r="A960">
        <f>IF(ISBLANK('Q:\Abteilungsprojekte\eng\EngData\AOS\Allgemein\[LabSamples2025.xlsx]Bioplastic'!A960)," ",'Q:\Abteilungsprojekte\eng\EngData\AOS\Allgemein\[LabSamples2025.xlsx]Bioplastic'!A960)</f>
        <v/>
      </c>
      <c r="B960">
        <f>IF(ISBLANK('Q:\Abteilungsprojekte\eng\EngData\AOS\Allgemein\[LabSamples2025.xlsx]Bioplastic'!B960)," ",'Q:\Abteilungsprojekte\eng\EngData\AOS\Allgemein\[LabSamples2025.xlsx]Bioplastic'!B960)</f>
        <v/>
      </c>
      <c r="C960">
        <f>IF(ISBLANK('Q:\Abteilungsprojekte\eng\EngData\AOS\Allgemein\[LabSamples2025.xlsx]Bioplastic'!C960)," ",'Q:\Abteilungsprojekte\eng\EngData\AOS\Allgemein\[LabSamples2025.xlsx]Bioplastic'!C960)</f>
        <v/>
      </c>
      <c r="D960">
        <f>IF(ISBLANK('Q:\Abteilungsprojekte\eng\EngData\AOS\Allgemein\[LabSamples2025.xlsx]Bioplastic'!D960)," ",'Q:\Abteilungsprojekte\eng\EngData\AOS\Allgemein\[LabSamples2025.xlsx]Bioplastic'!D960)</f>
        <v/>
      </c>
      <c r="E960">
        <f>IF(ISBLANK('Q:\Abteilungsprojekte\eng\EngData\AOS\Allgemein\[LabSamples2025.xlsx]Bioplastic'!E960)," ",'Q:\Abteilungsprojekte\eng\EngData\AOS\Allgemein\[LabSamples2025.xlsx]Bioplastic'!E960)</f>
        <v/>
      </c>
      <c r="F960">
        <f>IF(ISBLANK('Q:\Abteilungsprojekte\eng\EngData\AOS\Allgemein\[LabSamples2025.xlsx]Bioplastic'!F960)," ",'Q:\Abteilungsprojekte\eng\EngData\AOS\Allgemein\[LabSamples2025.xlsx]Bioplastic'!F960)</f>
        <v/>
      </c>
      <c r="G960">
        <f>IF(ISBLANK('Q:\Abteilungsprojekte\eng\EngData\AOS\Allgemein\[LabSamples2025.xlsx]Bioplastic'!G960)," ",'Q:\Abteilungsprojekte\eng\EngData\AOS\Allgemein\[LabSamples2025.xlsx]Bioplastic'!G960)</f>
        <v/>
      </c>
      <c r="H960">
        <f>IF(ISBLANK('Q:\Abteilungsprojekte\eng\EngData\AOS\Allgemein\[LabSamples2025.xlsx]Bioplastic'!H960)," ",'Q:\Abteilungsprojekte\eng\EngData\AOS\Allgemein\[LabSamples2025.xlsx]Bioplastic'!H960)</f>
        <v/>
      </c>
    </row>
    <row r="961">
      <c r="A961">
        <f>IF(ISBLANK('Q:\Abteilungsprojekte\eng\EngData\AOS\Allgemein\[LabSamples2025.xlsx]Bioplastic'!A961)," ",'Q:\Abteilungsprojekte\eng\EngData\AOS\Allgemein\[LabSamples2025.xlsx]Bioplastic'!A961)</f>
        <v/>
      </c>
      <c r="B961">
        <f>IF(ISBLANK('Q:\Abteilungsprojekte\eng\EngData\AOS\Allgemein\[LabSamples2025.xlsx]Bioplastic'!B961)," ",'Q:\Abteilungsprojekte\eng\EngData\AOS\Allgemein\[LabSamples2025.xlsx]Bioplastic'!B961)</f>
        <v/>
      </c>
      <c r="C961">
        <f>IF(ISBLANK('Q:\Abteilungsprojekte\eng\EngData\AOS\Allgemein\[LabSamples2025.xlsx]Bioplastic'!C961)," ",'Q:\Abteilungsprojekte\eng\EngData\AOS\Allgemein\[LabSamples2025.xlsx]Bioplastic'!C961)</f>
        <v/>
      </c>
      <c r="D961">
        <f>IF(ISBLANK('Q:\Abteilungsprojekte\eng\EngData\AOS\Allgemein\[LabSamples2025.xlsx]Bioplastic'!D961)," ",'Q:\Abteilungsprojekte\eng\EngData\AOS\Allgemein\[LabSamples2025.xlsx]Bioplastic'!D961)</f>
        <v/>
      </c>
      <c r="E961">
        <f>IF(ISBLANK('Q:\Abteilungsprojekte\eng\EngData\AOS\Allgemein\[LabSamples2025.xlsx]Bioplastic'!E961)," ",'Q:\Abteilungsprojekte\eng\EngData\AOS\Allgemein\[LabSamples2025.xlsx]Bioplastic'!E961)</f>
        <v/>
      </c>
      <c r="F961">
        <f>IF(ISBLANK('Q:\Abteilungsprojekte\eng\EngData\AOS\Allgemein\[LabSamples2025.xlsx]Bioplastic'!F961)," ",'Q:\Abteilungsprojekte\eng\EngData\AOS\Allgemein\[LabSamples2025.xlsx]Bioplastic'!F961)</f>
        <v/>
      </c>
      <c r="G961">
        <f>IF(ISBLANK('Q:\Abteilungsprojekte\eng\EngData\AOS\Allgemein\[LabSamples2025.xlsx]Bioplastic'!G961)," ",'Q:\Abteilungsprojekte\eng\EngData\AOS\Allgemein\[LabSamples2025.xlsx]Bioplastic'!G961)</f>
        <v/>
      </c>
      <c r="H961">
        <f>IF(ISBLANK('Q:\Abteilungsprojekte\eng\EngData\AOS\Allgemein\[LabSamples2025.xlsx]Bioplastic'!H961)," ",'Q:\Abteilungsprojekte\eng\EngData\AOS\Allgemein\[LabSamples2025.xlsx]Bioplastic'!H961)</f>
        <v/>
      </c>
    </row>
    <row r="962">
      <c r="A962">
        <f>IF(ISBLANK('Q:\Abteilungsprojekte\eng\EngData\AOS\Allgemein\[LabSamples2025.xlsx]Bioplastic'!A962)," ",'Q:\Abteilungsprojekte\eng\EngData\AOS\Allgemein\[LabSamples2025.xlsx]Bioplastic'!A962)</f>
        <v/>
      </c>
      <c r="B962">
        <f>IF(ISBLANK('Q:\Abteilungsprojekte\eng\EngData\AOS\Allgemein\[LabSamples2025.xlsx]Bioplastic'!B962)," ",'Q:\Abteilungsprojekte\eng\EngData\AOS\Allgemein\[LabSamples2025.xlsx]Bioplastic'!B962)</f>
        <v/>
      </c>
      <c r="C962">
        <f>IF(ISBLANK('Q:\Abteilungsprojekte\eng\EngData\AOS\Allgemein\[LabSamples2025.xlsx]Bioplastic'!C962)," ",'Q:\Abteilungsprojekte\eng\EngData\AOS\Allgemein\[LabSamples2025.xlsx]Bioplastic'!C962)</f>
        <v/>
      </c>
      <c r="D962">
        <f>IF(ISBLANK('Q:\Abteilungsprojekte\eng\EngData\AOS\Allgemein\[LabSamples2025.xlsx]Bioplastic'!D962)," ",'Q:\Abteilungsprojekte\eng\EngData\AOS\Allgemein\[LabSamples2025.xlsx]Bioplastic'!D962)</f>
        <v/>
      </c>
      <c r="E962">
        <f>IF(ISBLANK('Q:\Abteilungsprojekte\eng\EngData\AOS\Allgemein\[LabSamples2025.xlsx]Bioplastic'!E962)," ",'Q:\Abteilungsprojekte\eng\EngData\AOS\Allgemein\[LabSamples2025.xlsx]Bioplastic'!E962)</f>
        <v/>
      </c>
      <c r="F962">
        <f>IF(ISBLANK('Q:\Abteilungsprojekte\eng\EngData\AOS\Allgemein\[LabSamples2025.xlsx]Bioplastic'!F962)," ",'Q:\Abteilungsprojekte\eng\EngData\AOS\Allgemein\[LabSamples2025.xlsx]Bioplastic'!F962)</f>
        <v/>
      </c>
      <c r="G962">
        <f>IF(ISBLANK('Q:\Abteilungsprojekte\eng\EngData\AOS\Allgemein\[LabSamples2025.xlsx]Bioplastic'!G962)," ",'Q:\Abteilungsprojekte\eng\EngData\AOS\Allgemein\[LabSamples2025.xlsx]Bioplastic'!G962)</f>
        <v/>
      </c>
      <c r="H962">
        <f>IF(ISBLANK('Q:\Abteilungsprojekte\eng\EngData\AOS\Allgemein\[LabSamples2025.xlsx]Bioplastic'!H962)," ",'Q:\Abteilungsprojekte\eng\EngData\AOS\Allgemein\[LabSamples2025.xlsx]Bioplastic'!H962)</f>
        <v/>
      </c>
    </row>
    <row r="963">
      <c r="A963">
        <f>IF(ISBLANK('Q:\Abteilungsprojekte\eng\EngData\AOS\Allgemein\[LabSamples2025.xlsx]Bioplastic'!A963)," ",'Q:\Abteilungsprojekte\eng\EngData\AOS\Allgemein\[LabSamples2025.xlsx]Bioplastic'!A963)</f>
        <v/>
      </c>
      <c r="B963">
        <f>IF(ISBLANK('Q:\Abteilungsprojekte\eng\EngData\AOS\Allgemein\[LabSamples2025.xlsx]Bioplastic'!B963)," ",'Q:\Abteilungsprojekte\eng\EngData\AOS\Allgemein\[LabSamples2025.xlsx]Bioplastic'!B963)</f>
        <v/>
      </c>
      <c r="C963">
        <f>IF(ISBLANK('Q:\Abteilungsprojekte\eng\EngData\AOS\Allgemein\[LabSamples2025.xlsx]Bioplastic'!C963)," ",'Q:\Abteilungsprojekte\eng\EngData\AOS\Allgemein\[LabSamples2025.xlsx]Bioplastic'!C963)</f>
        <v/>
      </c>
      <c r="D963">
        <f>IF(ISBLANK('Q:\Abteilungsprojekte\eng\EngData\AOS\Allgemein\[LabSamples2025.xlsx]Bioplastic'!D963)," ",'Q:\Abteilungsprojekte\eng\EngData\AOS\Allgemein\[LabSamples2025.xlsx]Bioplastic'!D963)</f>
        <v/>
      </c>
      <c r="E963">
        <f>IF(ISBLANK('Q:\Abteilungsprojekte\eng\EngData\AOS\Allgemein\[LabSamples2025.xlsx]Bioplastic'!E963)," ",'Q:\Abteilungsprojekte\eng\EngData\AOS\Allgemein\[LabSamples2025.xlsx]Bioplastic'!E963)</f>
        <v/>
      </c>
      <c r="F963">
        <f>IF(ISBLANK('Q:\Abteilungsprojekte\eng\EngData\AOS\Allgemein\[LabSamples2025.xlsx]Bioplastic'!F963)," ",'Q:\Abteilungsprojekte\eng\EngData\AOS\Allgemein\[LabSamples2025.xlsx]Bioplastic'!F963)</f>
        <v/>
      </c>
      <c r="G963">
        <f>IF(ISBLANK('Q:\Abteilungsprojekte\eng\EngData\AOS\Allgemein\[LabSamples2025.xlsx]Bioplastic'!G963)," ",'Q:\Abteilungsprojekte\eng\EngData\AOS\Allgemein\[LabSamples2025.xlsx]Bioplastic'!G963)</f>
        <v/>
      </c>
      <c r="H963">
        <f>IF(ISBLANK('Q:\Abteilungsprojekte\eng\EngData\AOS\Allgemein\[LabSamples2025.xlsx]Bioplastic'!H963)," ",'Q:\Abteilungsprojekte\eng\EngData\AOS\Allgemein\[LabSamples2025.xlsx]Bioplastic'!H963)</f>
        <v/>
      </c>
    </row>
    <row r="964">
      <c r="A964">
        <f>IF(ISBLANK('Q:\Abteilungsprojekte\eng\EngData\AOS\Allgemein\[LabSamples2025.xlsx]Bioplastic'!A964)," ",'Q:\Abteilungsprojekte\eng\EngData\AOS\Allgemein\[LabSamples2025.xlsx]Bioplastic'!A964)</f>
        <v/>
      </c>
      <c r="B964">
        <f>IF(ISBLANK('Q:\Abteilungsprojekte\eng\EngData\AOS\Allgemein\[LabSamples2025.xlsx]Bioplastic'!B964)," ",'Q:\Abteilungsprojekte\eng\EngData\AOS\Allgemein\[LabSamples2025.xlsx]Bioplastic'!B964)</f>
        <v/>
      </c>
      <c r="C964">
        <f>IF(ISBLANK('Q:\Abteilungsprojekte\eng\EngData\AOS\Allgemein\[LabSamples2025.xlsx]Bioplastic'!C964)," ",'Q:\Abteilungsprojekte\eng\EngData\AOS\Allgemein\[LabSamples2025.xlsx]Bioplastic'!C964)</f>
        <v/>
      </c>
      <c r="D964">
        <f>IF(ISBLANK('Q:\Abteilungsprojekte\eng\EngData\AOS\Allgemein\[LabSamples2025.xlsx]Bioplastic'!D964)," ",'Q:\Abteilungsprojekte\eng\EngData\AOS\Allgemein\[LabSamples2025.xlsx]Bioplastic'!D964)</f>
        <v/>
      </c>
      <c r="E964">
        <f>IF(ISBLANK('Q:\Abteilungsprojekte\eng\EngData\AOS\Allgemein\[LabSamples2025.xlsx]Bioplastic'!E964)," ",'Q:\Abteilungsprojekte\eng\EngData\AOS\Allgemein\[LabSamples2025.xlsx]Bioplastic'!E964)</f>
        <v/>
      </c>
      <c r="F964">
        <f>IF(ISBLANK('Q:\Abteilungsprojekte\eng\EngData\AOS\Allgemein\[LabSamples2025.xlsx]Bioplastic'!F964)," ",'Q:\Abteilungsprojekte\eng\EngData\AOS\Allgemein\[LabSamples2025.xlsx]Bioplastic'!F964)</f>
        <v/>
      </c>
      <c r="G964">
        <f>IF(ISBLANK('Q:\Abteilungsprojekte\eng\EngData\AOS\Allgemein\[LabSamples2025.xlsx]Bioplastic'!G964)," ",'Q:\Abteilungsprojekte\eng\EngData\AOS\Allgemein\[LabSamples2025.xlsx]Bioplastic'!G964)</f>
        <v/>
      </c>
      <c r="H964">
        <f>IF(ISBLANK('Q:\Abteilungsprojekte\eng\EngData\AOS\Allgemein\[LabSamples2025.xlsx]Bioplastic'!H964)," ",'Q:\Abteilungsprojekte\eng\EngData\AOS\Allgemein\[LabSamples2025.xlsx]Bioplastic'!H964)</f>
        <v/>
      </c>
    </row>
    <row r="965">
      <c r="A965">
        <f>IF(ISBLANK('Q:\Abteilungsprojekte\eng\EngData\AOS\Allgemein\[LabSamples2025.xlsx]Bioplastic'!A965)," ",'Q:\Abteilungsprojekte\eng\EngData\AOS\Allgemein\[LabSamples2025.xlsx]Bioplastic'!A965)</f>
        <v/>
      </c>
      <c r="B965">
        <f>IF(ISBLANK('Q:\Abteilungsprojekte\eng\EngData\AOS\Allgemein\[LabSamples2025.xlsx]Bioplastic'!B965)," ",'Q:\Abteilungsprojekte\eng\EngData\AOS\Allgemein\[LabSamples2025.xlsx]Bioplastic'!B965)</f>
        <v/>
      </c>
      <c r="C965">
        <f>IF(ISBLANK('Q:\Abteilungsprojekte\eng\EngData\AOS\Allgemein\[LabSamples2025.xlsx]Bioplastic'!C965)," ",'Q:\Abteilungsprojekte\eng\EngData\AOS\Allgemein\[LabSamples2025.xlsx]Bioplastic'!C965)</f>
        <v/>
      </c>
      <c r="D965">
        <f>IF(ISBLANK('Q:\Abteilungsprojekte\eng\EngData\AOS\Allgemein\[LabSamples2025.xlsx]Bioplastic'!D965)," ",'Q:\Abteilungsprojekte\eng\EngData\AOS\Allgemein\[LabSamples2025.xlsx]Bioplastic'!D965)</f>
        <v/>
      </c>
      <c r="E965">
        <f>IF(ISBLANK('Q:\Abteilungsprojekte\eng\EngData\AOS\Allgemein\[LabSamples2025.xlsx]Bioplastic'!E965)," ",'Q:\Abteilungsprojekte\eng\EngData\AOS\Allgemein\[LabSamples2025.xlsx]Bioplastic'!E965)</f>
        <v/>
      </c>
      <c r="F965">
        <f>IF(ISBLANK('Q:\Abteilungsprojekte\eng\EngData\AOS\Allgemein\[LabSamples2025.xlsx]Bioplastic'!F965)," ",'Q:\Abteilungsprojekte\eng\EngData\AOS\Allgemein\[LabSamples2025.xlsx]Bioplastic'!F965)</f>
        <v/>
      </c>
      <c r="G965">
        <f>IF(ISBLANK('Q:\Abteilungsprojekte\eng\EngData\AOS\Allgemein\[LabSamples2025.xlsx]Bioplastic'!G965)," ",'Q:\Abteilungsprojekte\eng\EngData\AOS\Allgemein\[LabSamples2025.xlsx]Bioplastic'!G965)</f>
        <v/>
      </c>
      <c r="H965">
        <f>IF(ISBLANK('Q:\Abteilungsprojekte\eng\EngData\AOS\Allgemein\[LabSamples2025.xlsx]Bioplastic'!H965)," ",'Q:\Abteilungsprojekte\eng\EngData\AOS\Allgemein\[LabSamples2025.xlsx]Bioplastic'!H965)</f>
        <v/>
      </c>
    </row>
    <row r="966">
      <c r="A966">
        <f>IF(ISBLANK('Q:\Abteilungsprojekte\eng\EngData\AOS\Allgemein\[LabSamples2025.xlsx]Bioplastic'!A966)," ",'Q:\Abteilungsprojekte\eng\EngData\AOS\Allgemein\[LabSamples2025.xlsx]Bioplastic'!A966)</f>
        <v/>
      </c>
      <c r="B966">
        <f>IF(ISBLANK('Q:\Abteilungsprojekte\eng\EngData\AOS\Allgemein\[LabSamples2025.xlsx]Bioplastic'!B966)," ",'Q:\Abteilungsprojekte\eng\EngData\AOS\Allgemein\[LabSamples2025.xlsx]Bioplastic'!B966)</f>
        <v/>
      </c>
      <c r="C966">
        <f>IF(ISBLANK('Q:\Abteilungsprojekte\eng\EngData\AOS\Allgemein\[LabSamples2025.xlsx]Bioplastic'!C966)," ",'Q:\Abteilungsprojekte\eng\EngData\AOS\Allgemein\[LabSamples2025.xlsx]Bioplastic'!C966)</f>
        <v/>
      </c>
      <c r="D966">
        <f>IF(ISBLANK('Q:\Abteilungsprojekte\eng\EngData\AOS\Allgemein\[LabSamples2025.xlsx]Bioplastic'!D966)," ",'Q:\Abteilungsprojekte\eng\EngData\AOS\Allgemein\[LabSamples2025.xlsx]Bioplastic'!D966)</f>
        <v/>
      </c>
      <c r="E966">
        <f>IF(ISBLANK('Q:\Abteilungsprojekte\eng\EngData\AOS\Allgemein\[LabSamples2025.xlsx]Bioplastic'!E966)," ",'Q:\Abteilungsprojekte\eng\EngData\AOS\Allgemein\[LabSamples2025.xlsx]Bioplastic'!E966)</f>
        <v/>
      </c>
      <c r="F966">
        <f>IF(ISBLANK('Q:\Abteilungsprojekte\eng\EngData\AOS\Allgemein\[LabSamples2025.xlsx]Bioplastic'!F966)," ",'Q:\Abteilungsprojekte\eng\EngData\AOS\Allgemein\[LabSamples2025.xlsx]Bioplastic'!F966)</f>
        <v/>
      </c>
      <c r="G966">
        <f>IF(ISBLANK('Q:\Abteilungsprojekte\eng\EngData\AOS\Allgemein\[LabSamples2025.xlsx]Bioplastic'!G966)," ",'Q:\Abteilungsprojekte\eng\EngData\AOS\Allgemein\[LabSamples2025.xlsx]Bioplastic'!G966)</f>
        <v/>
      </c>
      <c r="H966">
        <f>IF(ISBLANK('Q:\Abteilungsprojekte\eng\EngData\AOS\Allgemein\[LabSamples2025.xlsx]Bioplastic'!H966)," ",'Q:\Abteilungsprojekte\eng\EngData\AOS\Allgemein\[LabSamples2025.xlsx]Bioplastic'!H966)</f>
        <v/>
      </c>
    </row>
    <row r="967">
      <c r="A967">
        <f>IF(ISBLANK('Q:\Abteilungsprojekte\eng\EngData\AOS\Allgemein\[LabSamples2025.xlsx]Bioplastic'!A967)," ",'Q:\Abteilungsprojekte\eng\EngData\AOS\Allgemein\[LabSamples2025.xlsx]Bioplastic'!A967)</f>
        <v/>
      </c>
      <c r="B967">
        <f>IF(ISBLANK('Q:\Abteilungsprojekte\eng\EngData\AOS\Allgemein\[LabSamples2025.xlsx]Bioplastic'!B967)," ",'Q:\Abteilungsprojekte\eng\EngData\AOS\Allgemein\[LabSamples2025.xlsx]Bioplastic'!B967)</f>
        <v/>
      </c>
      <c r="C967">
        <f>IF(ISBLANK('Q:\Abteilungsprojekte\eng\EngData\AOS\Allgemein\[LabSamples2025.xlsx]Bioplastic'!C967)," ",'Q:\Abteilungsprojekte\eng\EngData\AOS\Allgemein\[LabSamples2025.xlsx]Bioplastic'!C967)</f>
        <v/>
      </c>
      <c r="D967">
        <f>IF(ISBLANK('Q:\Abteilungsprojekte\eng\EngData\AOS\Allgemein\[LabSamples2025.xlsx]Bioplastic'!D967)," ",'Q:\Abteilungsprojekte\eng\EngData\AOS\Allgemein\[LabSamples2025.xlsx]Bioplastic'!D967)</f>
        <v/>
      </c>
      <c r="E967">
        <f>IF(ISBLANK('Q:\Abteilungsprojekte\eng\EngData\AOS\Allgemein\[LabSamples2025.xlsx]Bioplastic'!E967)," ",'Q:\Abteilungsprojekte\eng\EngData\AOS\Allgemein\[LabSamples2025.xlsx]Bioplastic'!E967)</f>
        <v/>
      </c>
      <c r="F967">
        <f>IF(ISBLANK('Q:\Abteilungsprojekte\eng\EngData\AOS\Allgemein\[LabSamples2025.xlsx]Bioplastic'!F967)," ",'Q:\Abteilungsprojekte\eng\EngData\AOS\Allgemein\[LabSamples2025.xlsx]Bioplastic'!F967)</f>
        <v/>
      </c>
      <c r="G967">
        <f>IF(ISBLANK('Q:\Abteilungsprojekte\eng\EngData\AOS\Allgemein\[LabSamples2025.xlsx]Bioplastic'!G967)," ",'Q:\Abteilungsprojekte\eng\EngData\AOS\Allgemein\[LabSamples2025.xlsx]Bioplastic'!G967)</f>
        <v/>
      </c>
      <c r="H967">
        <f>IF(ISBLANK('Q:\Abteilungsprojekte\eng\EngData\AOS\Allgemein\[LabSamples2025.xlsx]Bioplastic'!H967)," ",'Q:\Abteilungsprojekte\eng\EngData\AOS\Allgemein\[LabSamples2025.xlsx]Bioplastic'!H967)</f>
        <v/>
      </c>
    </row>
    <row r="968">
      <c r="A968">
        <f>IF(ISBLANK('Q:\Abteilungsprojekte\eng\EngData\AOS\Allgemein\[LabSamples2025.xlsx]Bioplastic'!A968)," ",'Q:\Abteilungsprojekte\eng\EngData\AOS\Allgemein\[LabSamples2025.xlsx]Bioplastic'!A968)</f>
        <v/>
      </c>
      <c r="B968">
        <f>IF(ISBLANK('Q:\Abteilungsprojekte\eng\EngData\AOS\Allgemein\[LabSamples2025.xlsx]Bioplastic'!B968)," ",'Q:\Abteilungsprojekte\eng\EngData\AOS\Allgemein\[LabSamples2025.xlsx]Bioplastic'!B968)</f>
        <v/>
      </c>
      <c r="C968">
        <f>IF(ISBLANK('Q:\Abteilungsprojekte\eng\EngData\AOS\Allgemein\[LabSamples2025.xlsx]Bioplastic'!C968)," ",'Q:\Abteilungsprojekte\eng\EngData\AOS\Allgemein\[LabSamples2025.xlsx]Bioplastic'!C968)</f>
        <v/>
      </c>
      <c r="D968">
        <f>IF(ISBLANK('Q:\Abteilungsprojekte\eng\EngData\AOS\Allgemein\[LabSamples2025.xlsx]Bioplastic'!D968)," ",'Q:\Abteilungsprojekte\eng\EngData\AOS\Allgemein\[LabSamples2025.xlsx]Bioplastic'!D968)</f>
        <v/>
      </c>
      <c r="E968">
        <f>IF(ISBLANK('Q:\Abteilungsprojekte\eng\EngData\AOS\Allgemein\[LabSamples2025.xlsx]Bioplastic'!E968)," ",'Q:\Abteilungsprojekte\eng\EngData\AOS\Allgemein\[LabSamples2025.xlsx]Bioplastic'!E968)</f>
        <v/>
      </c>
      <c r="F968">
        <f>IF(ISBLANK('Q:\Abteilungsprojekte\eng\EngData\AOS\Allgemein\[LabSamples2025.xlsx]Bioplastic'!F968)," ",'Q:\Abteilungsprojekte\eng\EngData\AOS\Allgemein\[LabSamples2025.xlsx]Bioplastic'!F968)</f>
        <v/>
      </c>
      <c r="G968">
        <f>IF(ISBLANK('Q:\Abteilungsprojekte\eng\EngData\AOS\Allgemein\[LabSamples2025.xlsx]Bioplastic'!G968)," ",'Q:\Abteilungsprojekte\eng\EngData\AOS\Allgemein\[LabSamples2025.xlsx]Bioplastic'!G968)</f>
        <v/>
      </c>
      <c r="H968">
        <f>IF(ISBLANK('Q:\Abteilungsprojekte\eng\EngData\AOS\Allgemein\[LabSamples2025.xlsx]Bioplastic'!H968)," ",'Q:\Abteilungsprojekte\eng\EngData\AOS\Allgemein\[LabSamples2025.xlsx]Bioplastic'!H968)</f>
        <v/>
      </c>
    </row>
    <row r="969">
      <c r="A969">
        <f>IF(ISBLANK('Q:\Abteilungsprojekte\eng\EngData\AOS\Allgemein\[LabSamples2025.xlsx]Bioplastic'!A969)," ",'Q:\Abteilungsprojekte\eng\EngData\AOS\Allgemein\[LabSamples2025.xlsx]Bioplastic'!A969)</f>
        <v/>
      </c>
      <c r="B969">
        <f>IF(ISBLANK('Q:\Abteilungsprojekte\eng\EngData\AOS\Allgemein\[LabSamples2025.xlsx]Bioplastic'!B969)," ",'Q:\Abteilungsprojekte\eng\EngData\AOS\Allgemein\[LabSamples2025.xlsx]Bioplastic'!B969)</f>
        <v/>
      </c>
      <c r="C969">
        <f>IF(ISBLANK('Q:\Abteilungsprojekte\eng\EngData\AOS\Allgemein\[LabSamples2025.xlsx]Bioplastic'!C969)," ",'Q:\Abteilungsprojekte\eng\EngData\AOS\Allgemein\[LabSamples2025.xlsx]Bioplastic'!C969)</f>
        <v/>
      </c>
      <c r="D969">
        <f>IF(ISBLANK('Q:\Abteilungsprojekte\eng\EngData\AOS\Allgemein\[LabSamples2025.xlsx]Bioplastic'!D969)," ",'Q:\Abteilungsprojekte\eng\EngData\AOS\Allgemein\[LabSamples2025.xlsx]Bioplastic'!D969)</f>
        <v/>
      </c>
      <c r="E969">
        <f>IF(ISBLANK('Q:\Abteilungsprojekte\eng\EngData\AOS\Allgemein\[LabSamples2025.xlsx]Bioplastic'!E969)," ",'Q:\Abteilungsprojekte\eng\EngData\AOS\Allgemein\[LabSamples2025.xlsx]Bioplastic'!E969)</f>
        <v/>
      </c>
      <c r="F969">
        <f>IF(ISBLANK('Q:\Abteilungsprojekte\eng\EngData\AOS\Allgemein\[LabSamples2025.xlsx]Bioplastic'!F969)," ",'Q:\Abteilungsprojekte\eng\EngData\AOS\Allgemein\[LabSamples2025.xlsx]Bioplastic'!F969)</f>
        <v/>
      </c>
      <c r="G969">
        <f>IF(ISBLANK('Q:\Abteilungsprojekte\eng\EngData\AOS\Allgemein\[LabSamples2025.xlsx]Bioplastic'!G969)," ",'Q:\Abteilungsprojekte\eng\EngData\AOS\Allgemein\[LabSamples2025.xlsx]Bioplastic'!G969)</f>
        <v/>
      </c>
      <c r="H969">
        <f>IF(ISBLANK('Q:\Abteilungsprojekte\eng\EngData\AOS\Allgemein\[LabSamples2025.xlsx]Bioplastic'!H969)," ",'Q:\Abteilungsprojekte\eng\EngData\AOS\Allgemein\[LabSamples2025.xlsx]Bioplastic'!H969)</f>
        <v/>
      </c>
    </row>
    <row r="970">
      <c r="A970">
        <f>IF(ISBLANK('Q:\Abteilungsprojekte\eng\EngData\AOS\Allgemein\[LabSamples2025.xlsx]Bioplastic'!A970)," ",'Q:\Abteilungsprojekte\eng\EngData\AOS\Allgemein\[LabSamples2025.xlsx]Bioplastic'!A970)</f>
        <v/>
      </c>
      <c r="B970">
        <f>IF(ISBLANK('Q:\Abteilungsprojekte\eng\EngData\AOS\Allgemein\[LabSamples2025.xlsx]Bioplastic'!B970)," ",'Q:\Abteilungsprojekte\eng\EngData\AOS\Allgemein\[LabSamples2025.xlsx]Bioplastic'!B970)</f>
        <v/>
      </c>
      <c r="C970">
        <f>IF(ISBLANK('Q:\Abteilungsprojekte\eng\EngData\AOS\Allgemein\[LabSamples2025.xlsx]Bioplastic'!C970)," ",'Q:\Abteilungsprojekte\eng\EngData\AOS\Allgemein\[LabSamples2025.xlsx]Bioplastic'!C970)</f>
        <v/>
      </c>
      <c r="D970">
        <f>IF(ISBLANK('Q:\Abteilungsprojekte\eng\EngData\AOS\Allgemein\[LabSamples2025.xlsx]Bioplastic'!D970)," ",'Q:\Abteilungsprojekte\eng\EngData\AOS\Allgemein\[LabSamples2025.xlsx]Bioplastic'!D970)</f>
        <v/>
      </c>
      <c r="E970">
        <f>IF(ISBLANK('Q:\Abteilungsprojekte\eng\EngData\AOS\Allgemein\[LabSamples2025.xlsx]Bioplastic'!E970)," ",'Q:\Abteilungsprojekte\eng\EngData\AOS\Allgemein\[LabSamples2025.xlsx]Bioplastic'!E970)</f>
        <v/>
      </c>
      <c r="F970">
        <f>IF(ISBLANK('Q:\Abteilungsprojekte\eng\EngData\AOS\Allgemein\[LabSamples2025.xlsx]Bioplastic'!F970)," ",'Q:\Abteilungsprojekte\eng\EngData\AOS\Allgemein\[LabSamples2025.xlsx]Bioplastic'!F970)</f>
        <v/>
      </c>
      <c r="G970">
        <f>IF(ISBLANK('Q:\Abteilungsprojekte\eng\EngData\AOS\Allgemein\[LabSamples2025.xlsx]Bioplastic'!G970)," ",'Q:\Abteilungsprojekte\eng\EngData\AOS\Allgemein\[LabSamples2025.xlsx]Bioplastic'!G970)</f>
        <v/>
      </c>
      <c r="H970">
        <f>IF(ISBLANK('Q:\Abteilungsprojekte\eng\EngData\AOS\Allgemein\[LabSamples2025.xlsx]Bioplastic'!H970)," ",'Q:\Abteilungsprojekte\eng\EngData\AOS\Allgemein\[LabSamples2025.xlsx]Bioplastic'!H970)</f>
        <v/>
      </c>
    </row>
    <row r="971">
      <c r="A971">
        <f>IF(ISBLANK('Q:\Abteilungsprojekte\eng\EngData\AOS\Allgemein\[LabSamples2025.xlsx]Bioplastic'!A971)," ",'Q:\Abteilungsprojekte\eng\EngData\AOS\Allgemein\[LabSamples2025.xlsx]Bioplastic'!A971)</f>
        <v/>
      </c>
      <c r="B971">
        <f>IF(ISBLANK('Q:\Abteilungsprojekte\eng\EngData\AOS\Allgemein\[LabSamples2025.xlsx]Bioplastic'!B971)," ",'Q:\Abteilungsprojekte\eng\EngData\AOS\Allgemein\[LabSamples2025.xlsx]Bioplastic'!B971)</f>
        <v/>
      </c>
      <c r="C971">
        <f>IF(ISBLANK('Q:\Abteilungsprojekte\eng\EngData\AOS\Allgemein\[LabSamples2025.xlsx]Bioplastic'!C971)," ",'Q:\Abteilungsprojekte\eng\EngData\AOS\Allgemein\[LabSamples2025.xlsx]Bioplastic'!C971)</f>
        <v/>
      </c>
      <c r="D971">
        <f>IF(ISBLANK('Q:\Abteilungsprojekte\eng\EngData\AOS\Allgemein\[LabSamples2025.xlsx]Bioplastic'!D971)," ",'Q:\Abteilungsprojekte\eng\EngData\AOS\Allgemein\[LabSamples2025.xlsx]Bioplastic'!D971)</f>
        <v/>
      </c>
      <c r="E971">
        <f>IF(ISBLANK('Q:\Abteilungsprojekte\eng\EngData\AOS\Allgemein\[LabSamples2025.xlsx]Bioplastic'!E971)," ",'Q:\Abteilungsprojekte\eng\EngData\AOS\Allgemein\[LabSamples2025.xlsx]Bioplastic'!E971)</f>
        <v/>
      </c>
      <c r="F971">
        <f>IF(ISBLANK('Q:\Abteilungsprojekte\eng\EngData\AOS\Allgemein\[LabSamples2025.xlsx]Bioplastic'!F971)," ",'Q:\Abteilungsprojekte\eng\EngData\AOS\Allgemein\[LabSamples2025.xlsx]Bioplastic'!F971)</f>
        <v/>
      </c>
      <c r="G971">
        <f>IF(ISBLANK('Q:\Abteilungsprojekte\eng\EngData\AOS\Allgemein\[LabSamples2025.xlsx]Bioplastic'!G971)," ",'Q:\Abteilungsprojekte\eng\EngData\AOS\Allgemein\[LabSamples2025.xlsx]Bioplastic'!G971)</f>
        <v/>
      </c>
      <c r="H971">
        <f>IF(ISBLANK('Q:\Abteilungsprojekte\eng\EngData\AOS\Allgemein\[LabSamples2025.xlsx]Bioplastic'!H971)," ",'Q:\Abteilungsprojekte\eng\EngData\AOS\Allgemein\[LabSamples2025.xlsx]Bioplastic'!H971)</f>
        <v/>
      </c>
    </row>
    <row r="972">
      <c r="A972">
        <f>IF(ISBLANK('Q:\Abteilungsprojekte\eng\EngData\AOS\Allgemein\[LabSamples2025.xlsx]Bioplastic'!A972)," ",'Q:\Abteilungsprojekte\eng\EngData\AOS\Allgemein\[LabSamples2025.xlsx]Bioplastic'!A972)</f>
        <v/>
      </c>
      <c r="B972">
        <f>IF(ISBLANK('Q:\Abteilungsprojekte\eng\EngData\AOS\Allgemein\[LabSamples2025.xlsx]Bioplastic'!B972)," ",'Q:\Abteilungsprojekte\eng\EngData\AOS\Allgemein\[LabSamples2025.xlsx]Bioplastic'!B972)</f>
        <v/>
      </c>
      <c r="C972">
        <f>IF(ISBLANK('Q:\Abteilungsprojekte\eng\EngData\AOS\Allgemein\[LabSamples2025.xlsx]Bioplastic'!C972)," ",'Q:\Abteilungsprojekte\eng\EngData\AOS\Allgemein\[LabSamples2025.xlsx]Bioplastic'!C972)</f>
        <v/>
      </c>
      <c r="D972">
        <f>IF(ISBLANK('Q:\Abteilungsprojekte\eng\EngData\AOS\Allgemein\[LabSamples2025.xlsx]Bioplastic'!D972)," ",'Q:\Abteilungsprojekte\eng\EngData\AOS\Allgemein\[LabSamples2025.xlsx]Bioplastic'!D972)</f>
        <v/>
      </c>
      <c r="E972">
        <f>IF(ISBLANK('Q:\Abteilungsprojekte\eng\EngData\AOS\Allgemein\[LabSamples2025.xlsx]Bioplastic'!E972)," ",'Q:\Abteilungsprojekte\eng\EngData\AOS\Allgemein\[LabSamples2025.xlsx]Bioplastic'!E972)</f>
        <v/>
      </c>
      <c r="F972">
        <f>IF(ISBLANK('Q:\Abteilungsprojekte\eng\EngData\AOS\Allgemein\[LabSamples2025.xlsx]Bioplastic'!F972)," ",'Q:\Abteilungsprojekte\eng\EngData\AOS\Allgemein\[LabSamples2025.xlsx]Bioplastic'!F972)</f>
        <v/>
      </c>
      <c r="G972">
        <f>IF(ISBLANK('Q:\Abteilungsprojekte\eng\EngData\AOS\Allgemein\[LabSamples2025.xlsx]Bioplastic'!G972)," ",'Q:\Abteilungsprojekte\eng\EngData\AOS\Allgemein\[LabSamples2025.xlsx]Bioplastic'!G972)</f>
        <v/>
      </c>
      <c r="H972">
        <f>IF(ISBLANK('Q:\Abteilungsprojekte\eng\EngData\AOS\Allgemein\[LabSamples2025.xlsx]Bioplastic'!H972)," ",'Q:\Abteilungsprojekte\eng\EngData\AOS\Allgemein\[LabSamples2025.xlsx]Bioplastic'!H972)</f>
        <v/>
      </c>
    </row>
    <row r="973">
      <c r="A973">
        <f>IF(ISBLANK('Q:\Abteilungsprojekte\eng\EngData\AOS\Allgemein\[LabSamples2025.xlsx]Bioplastic'!A973)," ",'Q:\Abteilungsprojekte\eng\EngData\AOS\Allgemein\[LabSamples2025.xlsx]Bioplastic'!A973)</f>
        <v/>
      </c>
      <c r="B973">
        <f>IF(ISBLANK('Q:\Abteilungsprojekte\eng\EngData\AOS\Allgemein\[LabSamples2025.xlsx]Bioplastic'!B973)," ",'Q:\Abteilungsprojekte\eng\EngData\AOS\Allgemein\[LabSamples2025.xlsx]Bioplastic'!B973)</f>
        <v/>
      </c>
      <c r="C973">
        <f>IF(ISBLANK('Q:\Abteilungsprojekte\eng\EngData\AOS\Allgemein\[LabSamples2025.xlsx]Bioplastic'!C973)," ",'Q:\Abteilungsprojekte\eng\EngData\AOS\Allgemein\[LabSamples2025.xlsx]Bioplastic'!C973)</f>
        <v/>
      </c>
      <c r="D973">
        <f>IF(ISBLANK('Q:\Abteilungsprojekte\eng\EngData\AOS\Allgemein\[LabSamples2025.xlsx]Bioplastic'!D973)," ",'Q:\Abteilungsprojekte\eng\EngData\AOS\Allgemein\[LabSamples2025.xlsx]Bioplastic'!D973)</f>
        <v/>
      </c>
      <c r="E973">
        <f>IF(ISBLANK('Q:\Abteilungsprojekte\eng\EngData\AOS\Allgemein\[LabSamples2025.xlsx]Bioplastic'!E973)," ",'Q:\Abteilungsprojekte\eng\EngData\AOS\Allgemein\[LabSamples2025.xlsx]Bioplastic'!E973)</f>
        <v/>
      </c>
      <c r="F973">
        <f>IF(ISBLANK('Q:\Abteilungsprojekte\eng\EngData\AOS\Allgemein\[LabSamples2025.xlsx]Bioplastic'!F973)," ",'Q:\Abteilungsprojekte\eng\EngData\AOS\Allgemein\[LabSamples2025.xlsx]Bioplastic'!F973)</f>
        <v/>
      </c>
      <c r="G973">
        <f>IF(ISBLANK('Q:\Abteilungsprojekte\eng\EngData\AOS\Allgemein\[LabSamples2025.xlsx]Bioplastic'!G973)," ",'Q:\Abteilungsprojekte\eng\EngData\AOS\Allgemein\[LabSamples2025.xlsx]Bioplastic'!G973)</f>
        <v/>
      </c>
      <c r="H973">
        <f>IF(ISBLANK('Q:\Abteilungsprojekte\eng\EngData\AOS\Allgemein\[LabSamples2025.xlsx]Bioplastic'!H973)," ",'Q:\Abteilungsprojekte\eng\EngData\AOS\Allgemein\[LabSamples2025.xlsx]Bioplastic'!H973)</f>
        <v/>
      </c>
    </row>
    <row r="974">
      <c r="A974">
        <f>IF(ISBLANK('Q:\Abteilungsprojekte\eng\EngData\AOS\Allgemein\[LabSamples2025.xlsx]Bioplastic'!A974)," ",'Q:\Abteilungsprojekte\eng\EngData\AOS\Allgemein\[LabSamples2025.xlsx]Bioplastic'!A974)</f>
        <v/>
      </c>
      <c r="B974">
        <f>IF(ISBLANK('Q:\Abteilungsprojekte\eng\EngData\AOS\Allgemein\[LabSamples2025.xlsx]Bioplastic'!B974)," ",'Q:\Abteilungsprojekte\eng\EngData\AOS\Allgemein\[LabSamples2025.xlsx]Bioplastic'!B974)</f>
        <v/>
      </c>
      <c r="C974">
        <f>IF(ISBLANK('Q:\Abteilungsprojekte\eng\EngData\AOS\Allgemein\[LabSamples2025.xlsx]Bioplastic'!C974)," ",'Q:\Abteilungsprojekte\eng\EngData\AOS\Allgemein\[LabSamples2025.xlsx]Bioplastic'!C974)</f>
        <v/>
      </c>
      <c r="D974">
        <f>IF(ISBLANK('Q:\Abteilungsprojekte\eng\EngData\AOS\Allgemein\[LabSamples2025.xlsx]Bioplastic'!D974)," ",'Q:\Abteilungsprojekte\eng\EngData\AOS\Allgemein\[LabSamples2025.xlsx]Bioplastic'!D974)</f>
        <v/>
      </c>
      <c r="E974">
        <f>IF(ISBLANK('Q:\Abteilungsprojekte\eng\EngData\AOS\Allgemein\[LabSamples2025.xlsx]Bioplastic'!E974)," ",'Q:\Abteilungsprojekte\eng\EngData\AOS\Allgemein\[LabSamples2025.xlsx]Bioplastic'!E974)</f>
        <v/>
      </c>
      <c r="F974">
        <f>IF(ISBLANK('Q:\Abteilungsprojekte\eng\EngData\AOS\Allgemein\[LabSamples2025.xlsx]Bioplastic'!F974)," ",'Q:\Abteilungsprojekte\eng\EngData\AOS\Allgemein\[LabSamples2025.xlsx]Bioplastic'!F974)</f>
        <v/>
      </c>
      <c r="G974">
        <f>IF(ISBLANK('Q:\Abteilungsprojekte\eng\EngData\AOS\Allgemein\[LabSamples2025.xlsx]Bioplastic'!G974)," ",'Q:\Abteilungsprojekte\eng\EngData\AOS\Allgemein\[LabSamples2025.xlsx]Bioplastic'!G974)</f>
        <v/>
      </c>
      <c r="H974">
        <f>IF(ISBLANK('Q:\Abteilungsprojekte\eng\EngData\AOS\Allgemein\[LabSamples2025.xlsx]Bioplastic'!H974)," ",'Q:\Abteilungsprojekte\eng\EngData\AOS\Allgemein\[LabSamples2025.xlsx]Bioplastic'!H974)</f>
        <v/>
      </c>
    </row>
    <row r="975">
      <c r="A975">
        <f>IF(ISBLANK('Q:\Abteilungsprojekte\eng\EngData\AOS\Allgemein\[LabSamples2025.xlsx]Bioplastic'!A975)," ",'Q:\Abteilungsprojekte\eng\EngData\AOS\Allgemein\[LabSamples2025.xlsx]Bioplastic'!A975)</f>
        <v/>
      </c>
      <c r="B975">
        <f>IF(ISBLANK('Q:\Abteilungsprojekte\eng\EngData\AOS\Allgemein\[LabSamples2025.xlsx]Bioplastic'!B975)," ",'Q:\Abteilungsprojekte\eng\EngData\AOS\Allgemein\[LabSamples2025.xlsx]Bioplastic'!B975)</f>
        <v/>
      </c>
      <c r="C975">
        <f>IF(ISBLANK('Q:\Abteilungsprojekte\eng\EngData\AOS\Allgemein\[LabSamples2025.xlsx]Bioplastic'!C975)," ",'Q:\Abteilungsprojekte\eng\EngData\AOS\Allgemein\[LabSamples2025.xlsx]Bioplastic'!C975)</f>
        <v/>
      </c>
      <c r="D975">
        <f>IF(ISBLANK('Q:\Abteilungsprojekte\eng\EngData\AOS\Allgemein\[LabSamples2025.xlsx]Bioplastic'!D975)," ",'Q:\Abteilungsprojekte\eng\EngData\AOS\Allgemein\[LabSamples2025.xlsx]Bioplastic'!D975)</f>
        <v/>
      </c>
      <c r="E975">
        <f>IF(ISBLANK('Q:\Abteilungsprojekte\eng\EngData\AOS\Allgemein\[LabSamples2025.xlsx]Bioplastic'!E975)," ",'Q:\Abteilungsprojekte\eng\EngData\AOS\Allgemein\[LabSamples2025.xlsx]Bioplastic'!E975)</f>
        <v/>
      </c>
      <c r="F975">
        <f>IF(ISBLANK('Q:\Abteilungsprojekte\eng\EngData\AOS\Allgemein\[LabSamples2025.xlsx]Bioplastic'!F975)," ",'Q:\Abteilungsprojekte\eng\EngData\AOS\Allgemein\[LabSamples2025.xlsx]Bioplastic'!F975)</f>
        <v/>
      </c>
      <c r="G975">
        <f>IF(ISBLANK('Q:\Abteilungsprojekte\eng\EngData\AOS\Allgemein\[LabSamples2025.xlsx]Bioplastic'!G975)," ",'Q:\Abteilungsprojekte\eng\EngData\AOS\Allgemein\[LabSamples2025.xlsx]Bioplastic'!G975)</f>
        <v/>
      </c>
      <c r="H975">
        <f>IF(ISBLANK('Q:\Abteilungsprojekte\eng\EngData\AOS\Allgemein\[LabSamples2025.xlsx]Bioplastic'!H975)," ",'Q:\Abteilungsprojekte\eng\EngData\AOS\Allgemein\[LabSamples2025.xlsx]Bioplastic'!H975)</f>
        <v/>
      </c>
    </row>
    <row r="976">
      <c r="A976">
        <f>IF(ISBLANK('Q:\Abteilungsprojekte\eng\EngData\AOS\Allgemein\[LabSamples2025.xlsx]Bioplastic'!A976)," ",'Q:\Abteilungsprojekte\eng\EngData\AOS\Allgemein\[LabSamples2025.xlsx]Bioplastic'!A976)</f>
        <v/>
      </c>
      <c r="B976">
        <f>IF(ISBLANK('Q:\Abteilungsprojekte\eng\EngData\AOS\Allgemein\[LabSamples2025.xlsx]Bioplastic'!B976)," ",'Q:\Abteilungsprojekte\eng\EngData\AOS\Allgemein\[LabSamples2025.xlsx]Bioplastic'!B976)</f>
        <v/>
      </c>
      <c r="C976">
        <f>IF(ISBLANK('Q:\Abteilungsprojekte\eng\EngData\AOS\Allgemein\[LabSamples2025.xlsx]Bioplastic'!C976)," ",'Q:\Abteilungsprojekte\eng\EngData\AOS\Allgemein\[LabSamples2025.xlsx]Bioplastic'!C976)</f>
        <v/>
      </c>
      <c r="D976">
        <f>IF(ISBLANK('Q:\Abteilungsprojekte\eng\EngData\AOS\Allgemein\[LabSamples2025.xlsx]Bioplastic'!D976)," ",'Q:\Abteilungsprojekte\eng\EngData\AOS\Allgemein\[LabSamples2025.xlsx]Bioplastic'!D976)</f>
        <v/>
      </c>
      <c r="E976">
        <f>IF(ISBLANK('Q:\Abteilungsprojekte\eng\EngData\AOS\Allgemein\[LabSamples2025.xlsx]Bioplastic'!E976)," ",'Q:\Abteilungsprojekte\eng\EngData\AOS\Allgemein\[LabSamples2025.xlsx]Bioplastic'!E976)</f>
        <v/>
      </c>
      <c r="F976">
        <f>IF(ISBLANK('Q:\Abteilungsprojekte\eng\EngData\AOS\Allgemein\[LabSamples2025.xlsx]Bioplastic'!F976)," ",'Q:\Abteilungsprojekte\eng\EngData\AOS\Allgemein\[LabSamples2025.xlsx]Bioplastic'!F976)</f>
        <v/>
      </c>
      <c r="G976">
        <f>IF(ISBLANK('Q:\Abteilungsprojekte\eng\EngData\AOS\Allgemein\[LabSamples2025.xlsx]Bioplastic'!G976)," ",'Q:\Abteilungsprojekte\eng\EngData\AOS\Allgemein\[LabSamples2025.xlsx]Bioplastic'!G976)</f>
        <v/>
      </c>
      <c r="H976">
        <f>IF(ISBLANK('Q:\Abteilungsprojekte\eng\EngData\AOS\Allgemein\[LabSamples2025.xlsx]Bioplastic'!H976)," ",'Q:\Abteilungsprojekte\eng\EngData\AOS\Allgemein\[LabSamples2025.xlsx]Bioplastic'!H976)</f>
        <v/>
      </c>
    </row>
    <row r="977">
      <c r="A977">
        <f>IF(ISBLANK('Q:\Abteilungsprojekte\eng\EngData\AOS\Allgemein\[LabSamples2025.xlsx]Bioplastic'!A977)," ",'Q:\Abteilungsprojekte\eng\EngData\AOS\Allgemein\[LabSamples2025.xlsx]Bioplastic'!A977)</f>
        <v/>
      </c>
      <c r="B977">
        <f>IF(ISBLANK('Q:\Abteilungsprojekte\eng\EngData\AOS\Allgemein\[LabSamples2025.xlsx]Bioplastic'!B977)," ",'Q:\Abteilungsprojekte\eng\EngData\AOS\Allgemein\[LabSamples2025.xlsx]Bioplastic'!B977)</f>
        <v/>
      </c>
      <c r="C977">
        <f>IF(ISBLANK('Q:\Abteilungsprojekte\eng\EngData\AOS\Allgemein\[LabSamples2025.xlsx]Bioplastic'!C977)," ",'Q:\Abteilungsprojekte\eng\EngData\AOS\Allgemein\[LabSamples2025.xlsx]Bioplastic'!C977)</f>
        <v/>
      </c>
      <c r="D977">
        <f>IF(ISBLANK('Q:\Abteilungsprojekte\eng\EngData\AOS\Allgemein\[LabSamples2025.xlsx]Bioplastic'!D977)," ",'Q:\Abteilungsprojekte\eng\EngData\AOS\Allgemein\[LabSamples2025.xlsx]Bioplastic'!D977)</f>
        <v/>
      </c>
      <c r="E977">
        <f>IF(ISBLANK('Q:\Abteilungsprojekte\eng\EngData\AOS\Allgemein\[LabSamples2025.xlsx]Bioplastic'!E977)," ",'Q:\Abteilungsprojekte\eng\EngData\AOS\Allgemein\[LabSamples2025.xlsx]Bioplastic'!E977)</f>
        <v/>
      </c>
      <c r="F977">
        <f>IF(ISBLANK('Q:\Abteilungsprojekte\eng\EngData\AOS\Allgemein\[LabSamples2025.xlsx]Bioplastic'!F977)," ",'Q:\Abteilungsprojekte\eng\EngData\AOS\Allgemein\[LabSamples2025.xlsx]Bioplastic'!F977)</f>
        <v/>
      </c>
      <c r="G977">
        <f>IF(ISBLANK('Q:\Abteilungsprojekte\eng\EngData\AOS\Allgemein\[LabSamples2025.xlsx]Bioplastic'!G977)," ",'Q:\Abteilungsprojekte\eng\EngData\AOS\Allgemein\[LabSamples2025.xlsx]Bioplastic'!G977)</f>
        <v/>
      </c>
      <c r="H977">
        <f>IF(ISBLANK('Q:\Abteilungsprojekte\eng\EngData\AOS\Allgemein\[LabSamples2025.xlsx]Bioplastic'!H977)," ",'Q:\Abteilungsprojekte\eng\EngData\AOS\Allgemein\[LabSamples2025.xlsx]Bioplastic'!H977)</f>
        <v/>
      </c>
    </row>
    <row r="978">
      <c r="A978">
        <f>IF(ISBLANK('Q:\Abteilungsprojekte\eng\EngData\AOS\Allgemein\[LabSamples2025.xlsx]Bioplastic'!A978)," ",'Q:\Abteilungsprojekte\eng\EngData\AOS\Allgemein\[LabSamples2025.xlsx]Bioplastic'!A978)</f>
        <v/>
      </c>
      <c r="B978">
        <f>IF(ISBLANK('Q:\Abteilungsprojekte\eng\EngData\AOS\Allgemein\[LabSamples2025.xlsx]Bioplastic'!B978)," ",'Q:\Abteilungsprojekte\eng\EngData\AOS\Allgemein\[LabSamples2025.xlsx]Bioplastic'!B978)</f>
        <v/>
      </c>
      <c r="C978">
        <f>IF(ISBLANK('Q:\Abteilungsprojekte\eng\EngData\AOS\Allgemein\[LabSamples2025.xlsx]Bioplastic'!C978)," ",'Q:\Abteilungsprojekte\eng\EngData\AOS\Allgemein\[LabSamples2025.xlsx]Bioplastic'!C978)</f>
        <v/>
      </c>
      <c r="D978">
        <f>IF(ISBLANK('Q:\Abteilungsprojekte\eng\EngData\AOS\Allgemein\[LabSamples2025.xlsx]Bioplastic'!D978)," ",'Q:\Abteilungsprojekte\eng\EngData\AOS\Allgemein\[LabSamples2025.xlsx]Bioplastic'!D978)</f>
        <v/>
      </c>
      <c r="E978">
        <f>IF(ISBLANK('Q:\Abteilungsprojekte\eng\EngData\AOS\Allgemein\[LabSamples2025.xlsx]Bioplastic'!E978)," ",'Q:\Abteilungsprojekte\eng\EngData\AOS\Allgemein\[LabSamples2025.xlsx]Bioplastic'!E978)</f>
        <v/>
      </c>
      <c r="F978">
        <f>IF(ISBLANK('Q:\Abteilungsprojekte\eng\EngData\AOS\Allgemein\[LabSamples2025.xlsx]Bioplastic'!F978)," ",'Q:\Abteilungsprojekte\eng\EngData\AOS\Allgemein\[LabSamples2025.xlsx]Bioplastic'!F978)</f>
        <v/>
      </c>
      <c r="G978">
        <f>IF(ISBLANK('Q:\Abteilungsprojekte\eng\EngData\AOS\Allgemein\[LabSamples2025.xlsx]Bioplastic'!G978)," ",'Q:\Abteilungsprojekte\eng\EngData\AOS\Allgemein\[LabSamples2025.xlsx]Bioplastic'!G978)</f>
        <v/>
      </c>
      <c r="H978">
        <f>IF(ISBLANK('Q:\Abteilungsprojekte\eng\EngData\AOS\Allgemein\[LabSamples2025.xlsx]Bioplastic'!H978)," ",'Q:\Abteilungsprojekte\eng\EngData\AOS\Allgemein\[LabSamples2025.xlsx]Bioplastic'!H978)</f>
        <v/>
      </c>
    </row>
    <row r="979">
      <c r="A979">
        <f>IF(ISBLANK('Q:\Abteilungsprojekte\eng\EngData\AOS\Allgemein\[LabSamples2025.xlsx]Bioplastic'!A979)," ",'Q:\Abteilungsprojekte\eng\EngData\AOS\Allgemein\[LabSamples2025.xlsx]Bioplastic'!A979)</f>
        <v/>
      </c>
      <c r="B979">
        <f>IF(ISBLANK('Q:\Abteilungsprojekte\eng\EngData\AOS\Allgemein\[LabSamples2025.xlsx]Bioplastic'!B979)," ",'Q:\Abteilungsprojekte\eng\EngData\AOS\Allgemein\[LabSamples2025.xlsx]Bioplastic'!B979)</f>
        <v/>
      </c>
      <c r="C979">
        <f>IF(ISBLANK('Q:\Abteilungsprojekte\eng\EngData\AOS\Allgemein\[LabSamples2025.xlsx]Bioplastic'!C979)," ",'Q:\Abteilungsprojekte\eng\EngData\AOS\Allgemein\[LabSamples2025.xlsx]Bioplastic'!C979)</f>
        <v/>
      </c>
      <c r="D979">
        <f>IF(ISBLANK('Q:\Abteilungsprojekte\eng\EngData\AOS\Allgemein\[LabSamples2025.xlsx]Bioplastic'!D979)," ",'Q:\Abteilungsprojekte\eng\EngData\AOS\Allgemein\[LabSamples2025.xlsx]Bioplastic'!D979)</f>
        <v/>
      </c>
      <c r="E979">
        <f>IF(ISBLANK('Q:\Abteilungsprojekte\eng\EngData\AOS\Allgemein\[LabSamples2025.xlsx]Bioplastic'!E979)," ",'Q:\Abteilungsprojekte\eng\EngData\AOS\Allgemein\[LabSamples2025.xlsx]Bioplastic'!E979)</f>
        <v/>
      </c>
      <c r="F979">
        <f>IF(ISBLANK('Q:\Abteilungsprojekte\eng\EngData\AOS\Allgemein\[LabSamples2025.xlsx]Bioplastic'!F979)," ",'Q:\Abteilungsprojekte\eng\EngData\AOS\Allgemein\[LabSamples2025.xlsx]Bioplastic'!F979)</f>
        <v/>
      </c>
      <c r="G979">
        <f>IF(ISBLANK('Q:\Abteilungsprojekte\eng\EngData\AOS\Allgemein\[LabSamples2025.xlsx]Bioplastic'!G979)," ",'Q:\Abteilungsprojekte\eng\EngData\AOS\Allgemein\[LabSamples2025.xlsx]Bioplastic'!G979)</f>
        <v/>
      </c>
      <c r="H979">
        <f>IF(ISBLANK('Q:\Abteilungsprojekte\eng\EngData\AOS\Allgemein\[LabSamples2025.xlsx]Bioplastic'!H979)," ",'Q:\Abteilungsprojekte\eng\EngData\AOS\Allgemein\[LabSamples2025.xlsx]Bioplastic'!H979)</f>
        <v/>
      </c>
    </row>
    <row r="980">
      <c r="A980">
        <f>IF(ISBLANK('Q:\Abteilungsprojekte\eng\EngData\AOS\Allgemein\[LabSamples2025.xlsx]Bioplastic'!A980)," ",'Q:\Abteilungsprojekte\eng\EngData\AOS\Allgemein\[LabSamples2025.xlsx]Bioplastic'!A980)</f>
        <v/>
      </c>
      <c r="B980">
        <f>IF(ISBLANK('Q:\Abteilungsprojekte\eng\EngData\AOS\Allgemein\[LabSamples2025.xlsx]Bioplastic'!B980)," ",'Q:\Abteilungsprojekte\eng\EngData\AOS\Allgemein\[LabSamples2025.xlsx]Bioplastic'!B980)</f>
        <v/>
      </c>
      <c r="C980">
        <f>IF(ISBLANK('Q:\Abteilungsprojekte\eng\EngData\AOS\Allgemein\[LabSamples2025.xlsx]Bioplastic'!C980)," ",'Q:\Abteilungsprojekte\eng\EngData\AOS\Allgemein\[LabSamples2025.xlsx]Bioplastic'!C980)</f>
        <v/>
      </c>
      <c r="D980">
        <f>IF(ISBLANK('Q:\Abteilungsprojekte\eng\EngData\AOS\Allgemein\[LabSamples2025.xlsx]Bioplastic'!D980)," ",'Q:\Abteilungsprojekte\eng\EngData\AOS\Allgemein\[LabSamples2025.xlsx]Bioplastic'!D980)</f>
        <v/>
      </c>
      <c r="E980">
        <f>IF(ISBLANK('Q:\Abteilungsprojekte\eng\EngData\AOS\Allgemein\[LabSamples2025.xlsx]Bioplastic'!E980)," ",'Q:\Abteilungsprojekte\eng\EngData\AOS\Allgemein\[LabSamples2025.xlsx]Bioplastic'!E980)</f>
        <v/>
      </c>
      <c r="F980">
        <f>IF(ISBLANK('Q:\Abteilungsprojekte\eng\EngData\AOS\Allgemein\[LabSamples2025.xlsx]Bioplastic'!F980)," ",'Q:\Abteilungsprojekte\eng\EngData\AOS\Allgemein\[LabSamples2025.xlsx]Bioplastic'!F980)</f>
        <v/>
      </c>
      <c r="G980">
        <f>IF(ISBLANK('Q:\Abteilungsprojekte\eng\EngData\AOS\Allgemein\[LabSamples2025.xlsx]Bioplastic'!G980)," ",'Q:\Abteilungsprojekte\eng\EngData\AOS\Allgemein\[LabSamples2025.xlsx]Bioplastic'!G980)</f>
        <v/>
      </c>
      <c r="H980">
        <f>IF(ISBLANK('Q:\Abteilungsprojekte\eng\EngData\AOS\Allgemein\[LabSamples2025.xlsx]Bioplastic'!H980)," ",'Q:\Abteilungsprojekte\eng\EngData\AOS\Allgemein\[LabSamples2025.xlsx]Bioplastic'!H980)</f>
        <v/>
      </c>
    </row>
    <row r="981">
      <c r="A981">
        <f>IF(ISBLANK('Q:\Abteilungsprojekte\eng\EngData\AOS\Allgemein\[LabSamples2025.xlsx]Bioplastic'!A981)," ",'Q:\Abteilungsprojekte\eng\EngData\AOS\Allgemein\[LabSamples2025.xlsx]Bioplastic'!A981)</f>
        <v/>
      </c>
      <c r="B981">
        <f>IF(ISBLANK('Q:\Abteilungsprojekte\eng\EngData\AOS\Allgemein\[LabSamples2025.xlsx]Bioplastic'!B981)," ",'Q:\Abteilungsprojekte\eng\EngData\AOS\Allgemein\[LabSamples2025.xlsx]Bioplastic'!B981)</f>
        <v/>
      </c>
      <c r="C981">
        <f>IF(ISBLANK('Q:\Abteilungsprojekte\eng\EngData\AOS\Allgemein\[LabSamples2025.xlsx]Bioplastic'!C981)," ",'Q:\Abteilungsprojekte\eng\EngData\AOS\Allgemein\[LabSamples2025.xlsx]Bioplastic'!C981)</f>
        <v/>
      </c>
      <c r="D981">
        <f>IF(ISBLANK('Q:\Abteilungsprojekte\eng\EngData\AOS\Allgemein\[LabSamples2025.xlsx]Bioplastic'!D981)," ",'Q:\Abteilungsprojekte\eng\EngData\AOS\Allgemein\[LabSamples2025.xlsx]Bioplastic'!D981)</f>
        <v/>
      </c>
      <c r="E981">
        <f>IF(ISBLANK('Q:\Abteilungsprojekte\eng\EngData\AOS\Allgemein\[LabSamples2025.xlsx]Bioplastic'!E981)," ",'Q:\Abteilungsprojekte\eng\EngData\AOS\Allgemein\[LabSamples2025.xlsx]Bioplastic'!E981)</f>
        <v/>
      </c>
      <c r="F981">
        <f>IF(ISBLANK('Q:\Abteilungsprojekte\eng\EngData\AOS\Allgemein\[LabSamples2025.xlsx]Bioplastic'!F981)," ",'Q:\Abteilungsprojekte\eng\EngData\AOS\Allgemein\[LabSamples2025.xlsx]Bioplastic'!F981)</f>
        <v/>
      </c>
      <c r="G981">
        <f>IF(ISBLANK('Q:\Abteilungsprojekte\eng\EngData\AOS\Allgemein\[LabSamples2025.xlsx]Bioplastic'!G981)," ",'Q:\Abteilungsprojekte\eng\EngData\AOS\Allgemein\[LabSamples2025.xlsx]Bioplastic'!G981)</f>
        <v/>
      </c>
      <c r="H981">
        <f>IF(ISBLANK('Q:\Abteilungsprojekte\eng\EngData\AOS\Allgemein\[LabSamples2025.xlsx]Bioplastic'!H981)," ",'Q:\Abteilungsprojekte\eng\EngData\AOS\Allgemein\[LabSamples2025.xlsx]Bioplastic'!H981)</f>
        <v/>
      </c>
    </row>
    <row r="982">
      <c r="A982">
        <f>IF(ISBLANK('Q:\Abteilungsprojekte\eng\EngData\AOS\Allgemein\[LabSamples2025.xlsx]Bioplastic'!A982)," ",'Q:\Abteilungsprojekte\eng\EngData\AOS\Allgemein\[LabSamples2025.xlsx]Bioplastic'!A982)</f>
        <v/>
      </c>
      <c r="B982">
        <f>IF(ISBLANK('Q:\Abteilungsprojekte\eng\EngData\AOS\Allgemein\[LabSamples2025.xlsx]Bioplastic'!B982)," ",'Q:\Abteilungsprojekte\eng\EngData\AOS\Allgemein\[LabSamples2025.xlsx]Bioplastic'!B982)</f>
        <v/>
      </c>
      <c r="C982">
        <f>IF(ISBLANK('Q:\Abteilungsprojekte\eng\EngData\AOS\Allgemein\[LabSamples2025.xlsx]Bioplastic'!C982)," ",'Q:\Abteilungsprojekte\eng\EngData\AOS\Allgemein\[LabSamples2025.xlsx]Bioplastic'!C982)</f>
        <v/>
      </c>
      <c r="D982">
        <f>IF(ISBLANK('Q:\Abteilungsprojekte\eng\EngData\AOS\Allgemein\[LabSamples2025.xlsx]Bioplastic'!D982)," ",'Q:\Abteilungsprojekte\eng\EngData\AOS\Allgemein\[LabSamples2025.xlsx]Bioplastic'!D982)</f>
        <v/>
      </c>
      <c r="E982">
        <f>IF(ISBLANK('Q:\Abteilungsprojekte\eng\EngData\AOS\Allgemein\[LabSamples2025.xlsx]Bioplastic'!E982)," ",'Q:\Abteilungsprojekte\eng\EngData\AOS\Allgemein\[LabSamples2025.xlsx]Bioplastic'!E982)</f>
        <v/>
      </c>
      <c r="F982">
        <f>IF(ISBLANK('Q:\Abteilungsprojekte\eng\EngData\AOS\Allgemein\[LabSamples2025.xlsx]Bioplastic'!F982)," ",'Q:\Abteilungsprojekte\eng\EngData\AOS\Allgemein\[LabSamples2025.xlsx]Bioplastic'!F982)</f>
        <v/>
      </c>
      <c r="G982">
        <f>IF(ISBLANK('Q:\Abteilungsprojekte\eng\EngData\AOS\Allgemein\[LabSamples2025.xlsx]Bioplastic'!G982)," ",'Q:\Abteilungsprojekte\eng\EngData\AOS\Allgemein\[LabSamples2025.xlsx]Bioplastic'!G982)</f>
        <v/>
      </c>
      <c r="H982">
        <f>IF(ISBLANK('Q:\Abteilungsprojekte\eng\EngData\AOS\Allgemein\[LabSamples2025.xlsx]Bioplastic'!H982)," ",'Q:\Abteilungsprojekte\eng\EngData\AOS\Allgemein\[LabSamples2025.xlsx]Bioplastic'!H982)</f>
        <v/>
      </c>
    </row>
    <row r="983">
      <c r="A983">
        <f>IF(ISBLANK('Q:\Abteilungsprojekte\eng\EngData\AOS\Allgemein\[LabSamples2025.xlsx]Bioplastic'!A983)," ",'Q:\Abteilungsprojekte\eng\EngData\AOS\Allgemein\[LabSamples2025.xlsx]Bioplastic'!A983)</f>
        <v/>
      </c>
      <c r="B983">
        <f>IF(ISBLANK('Q:\Abteilungsprojekte\eng\EngData\AOS\Allgemein\[LabSamples2025.xlsx]Bioplastic'!B983)," ",'Q:\Abteilungsprojekte\eng\EngData\AOS\Allgemein\[LabSamples2025.xlsx]Bioplastic'!B983)</f>
        <v/>
      </c>
      <c r="C983">
        <f>IF(ISBLANK('Q:\Abteilungsprojekte\eng\EngData\AOS\Allgemein\[LabSamples2025.xlsx]Bioplastic'!C983)," ",'Q:\Abteilungsprojekte\eng\EngData\AOS\Allgemein\[LabSamples2025.xlsx]Bioplastic'!C983)</f>
        <v/>
      </c>
      <c r="D983">
        <f>IF(ISBLANK('Q:\Abteilungsprojekte\eng\EngData\AOS\Allgemein\[LabSamples2025.xlsx]Bioplastic'!D983)," ",'Q:\Abteilungsprojekte\eng\EngData\AOS\Allgemein\[LabSamples2025.xlsx]Bioplastic'!D983)</f>
        <v/>
      </c>
      <c r="E983">
        <f>IF(ISBLANK('Q:\Abteilungsprojekte\eng\EngData\AOS\Allgemein\[LabSamples2025.xlsx]Bioplastic'!E983)," ",'Q:\Abteilungsprojekte\eng\EngData\AOS\Allgemein\[LabSamples2025.xlsx]Bioplastic'!E983)</f>
        <v/>
      </c>
      <c r="F983">
        <f>IF(ISBLANK('Q:\Abteilungsprojekte\eng\EngData\AOS\Allgemein\[LabSamples2025.xlsx]Bioplastic'!F983)," ",'Q:\Abteilungsprojekte\eng\EngData\AOS\Allgemein\[LabSamples2025.xlsx]Bioplastic'!F983)</f>
        <v/>
      </c>
      <c r="G983">
        <f>IF(ISBLANK('Q:\Abteilungsprojekte\eng\EngData\AOS\Allgemein\[LabSamples2025.xlsx]Bioplastic'!G983)," ",'Q:\Abteilungsprojekte\eng\EngData\AOS\Allgemein\[LabSamples2025.xlsx]Bioplastic'!G983)</f>
        <v/>
      </c>
      <c r="H983">
        <f>IF(ISBLANK('Q:\Abteilungsprojekte\eng\EngData\AOS\Allgemein\[LabSamples2025.xlsx]Bioplastic'!H983)," ",'Q:\Abteilungsprojekte\eng\EngData\AOS\Allgemein\[LabSamples2025.xlsx]Bioplastic'!H983)</f>
        <v/>
      </c>
    </row>
    <row r="984">
      <c r="A984">
        <f>IF(ISBLANK('Q:\Abteilungsprojekte\eng\EngData\AOS\Allgemein\[LabSamples2025.xlsx]Bioplastic'!A984)," ",'Q:\Abteilungsprojekte\eng\EngData\AOS\Allgemein\[LabSamples2025.xlsx]Bioplastic'!A984)</f>
        <v/>
      </c>
      <c r="B984">
        <f>IF(ISBLANK('Q:\Abteilungsprojekte\eng\EngData\AOS\Allgemein\[LabSamples2025.xlsx]Bioplastic'!B984)," ",'Q:\Abteilungsprojekte\eng\EngData\AOS\Allgemein\[LabSamples2025.xlsx]Bioplastic'!B984)</f>
        <v/>
      </c>
      <c r="C984">
        <f>IF(ISBLANK('Q:\Abteilungsprojekte\eng\EngData\AOS\Allgemein\[LabSamples2025.xlsx]Bioplastic'!C984)," ",'Q:\Abteilungsprojekte\eng\EngData\AOS\Allgemein\[LabSamples2025.xlsx]Bioplastic'!C984)</f>
        <v/>
      </c>
      <c r="D984">
        <f>IF(ISBLANK('Q:\Abteilungsprojekte\eng\EngData\AOS\Allgemein\[LabSamples2025.xlsx]Bioplastic'!D984)," ",'Q:\Abteilungsprojekte\eng\EngData\AOS\Allgemein\[LabSamples2025.xlsx]Bioplastic'!D984)</f>
        <v/>
      </c>
      <c r="E984">
        <f>IF(ISBLANK('Q:\Abteilungsprojekte\eng\EngData\AOS\Allgemein\[LabSamples2025.xlsx]Bioplastic'!E984)," ",'Q:\Abteilungsprojekte\eng\EngData\AOS\Allgemein\[LabSamples2025.xlsx]Bioplastic'!E984)</f>
        <v/>
      </c>
      <c r="F984">
        <f>IF(ISBLANK('Q:\Abteilungsprojekte\eng\EngData\AOS\Allgemein\[LabSamples2025.xlsx]Bioplastic'!F984)," ",'Q:\Abteilungsprojekte\eng\EngData\AOS\Allgemein\[LabSamples2025.xlsx]Bioplastic'!F984)</f>
        <v/>
      </c>
      <c r="G984">
        <f>IF(ISBLANK('Q:\Abteilungsprojekte\eng\EngData\AOS\Allgemein\[LabSamples2025.xlsx]Bioplastic'!G984)," ",'Q:\Abteilungsprojekte\eng\EngData\AOS\Allgemein\[LabSamples2025.xlsx]Bioplastic'!G984)</f>
        <v/>
      </c>
      <c r="H984">
        <f>IF(ISBLANK('Q:\Abteilungsprojekte\eng\EngData\AOS\Allgemein\[LabSamples2025.xlsx]Bioplastic'!H984)," ",'Q:\Abteilungsprojekte\eng\EngData\AOS\Allgemein\[LabSamples2025.xlsx]Bioplastic'!H984)</f>
        <v/>
      </c>
    </row>
    <row r="985">
      <c r="A985">
        <f>IF(ISBLANK('Q:\Abteilungsprojekte\eng\EngData\AOS\Allgemein\[LabSamples2025.xlsx]Bioplastic'!A985)," ",'Q:\Abteilungsprojekte\eng\EngData\AOS\Allgemein\[LabSamples2025.xlsx]Bioplastic'!A985)</f>
        <v/>
      </c>
      <c r="B985">
        <f>IF(ISBLANK('Q:\Abteilungsprojekte\eng\EngData\AOS\Allgemein\[LabSamples2025.xlsx]Bioplastic'!B985)," ",'Q:\Abteilungsprojekte\eng\EngData\AOS\Allgemein\[LabSamples2025.xlsx]Bioplastic'!B985)</f>
        <v/>
      </c>
      <c r="C985">
        <f>IF(ISBLANK('Q:\Abteilungsprojekte\eng\EngData\AOS\Allgemein\[LabSamples2025.xlsx]Bioplastic'!C985)," ",'Q:\Abteilungsprojekte\eng\EngData\AOS\Allgemein\[LabSamples2025.xlsx]Bioplastic'!C985)</f>
        <v/>
      </c>
      <c r="D985">
        <f>IF(ISBLANK('Q:\Abteilungsprojekte\eng\EngData\AOS\Allgemein\[LabSamples2025.xlsx]Bioplastic'!D985)," ",'Q:\Abteilungsprojekte\eng\EngData\AOS\Allgemein\[LabSamples2025.xlsx]Bioplastic'!D985)</f>
        <v/>
      </c>
      <c r="E985">
        <f>IF(ISBLANK('Q:\Abteilungsprojekte\eng\EngData\AOS\Allgemein\[LabSamples2025.xlsx]Bioplastic'!E985)," ",'Q:\Abteilungsprojekte\eng\EngData\AOS\Allgemein\[LabSamples2025.xlsx]Bioplastic'!E985)</f>
        <v/>
      </c>
      <c r="F985">
        <f>IF(ISBLANK('Q:\Abteilungsprojekte\eng\EngData\AOS\Allgemein\[LabSamples2025.xlsx]Bioplastic'!F985)," ",'Q:\Abteilungsprojekte\eng\EngData\AOS\Allgemein\[LabSamples2025.xlsx]Bioplastic'!F985)</f>
        <v/>
      </c>
      <c r="G985">
        <f>IF(ISBLANK('Q:\Abteilungsprojekte\eng\EngData\AOS\Allgemein\[LabSamples2025.xlsx]Bioplastic'!G985)," ",'Q:\Abteilungsprojekte\eng\EngData\AOS\Allgemein\[LabSamples2025.xlsx]Bioplastic'!G985)</f>
        <v/>
      </c>
      <c r="H985">
        <f>IF(ISBLANK('Q:\Abteilungsprojekte\eng\EngData\AOS\Allgemein\[LabSamples2025.xlsx]Bioplastic'!H985)," ",'Q:\Abteilungsprojekte\eng\EngData\AOS\Allgemein\[LabSamples2025.xlsx]Bioplastic'!H985)</f>
        <v/>
      </c>
    </row>
    <row r="986">
      <c r="A986">
        <f>IF(ISBLANK('Q:\Abteilungsprojekte\eng\EngData\AOS\Allgemein\[LabSamples2025.xlsx]Bioplastic'!A986)," ",'Q:\Abteilungsprojekte\eng\EngData\AOS\Allgemein\[LabSamples2025.xlsx]Bioplastic'!A986)</f>
        <v/>
      </c>
      <c r="B986">
        <f>IF(ISBLANK('Q:\Abteilungsprojekte\eng\EngData\AOS\Allgemein\[LabSamples2025.xlsx]Bioplastic'!B986)," ",'Q:\Abteilungsprojekte\eng\EngData\AOS\Allgemein\[LabSamples2025.xlsx]Bioplastic'!B986)</f>
        <v/>
      </c>
      <c r="C986">
        <f>IF(ISBLANK('Q:\Abteilungsprojekte\eng\EngData\AOS\Allgemein\[LabSamples2025.xlsx]Bioplastic'!C986)," ",'Q:\Abteilungsprojekte\eng\EngData\AOS\Allgemein\[LabSamples2025.xlsx]Bioplastic'!C986)</f>
        <v/>
      </c>
      <c r="D986">
        <f>IF(ISBLANK('Q:\Abteilungsprojekte\eng\EngData\AOS\Allgemein\[LabSamples2025.xlsx]Bioplastic'!D986)," ",'Q:\Abteilungsprojekte\eng\EngData\AOS\Allgemein\[LabSamples2025.xlsx]Bioplastic'!D986)</f>
        <v/>
      </c>
      <c r="E986">
        <f>IF(ISBLANK('Q:\Abteilungsprojekte\eng\EngData\AOS\Allgemein\[LabSamples2025.xlsx]Bioplastic'!E986)," ",'Q:\Abteilungsprojekte\eng\EngData\AOS\Allgemein\[LabSamples2025.xlsx]Bioplastic'!E986)</f>
        <v/>
      </c>
      <c r="F986">
        <f>IF(ISBLANK('Q:\Abteilungsprojekte\eng\EngData\AOS\Allgemein\[LabSamples2025.xlsx]Bioplastic'!F986)," ",'Q:\Abteilungsprojekte\eng\EngData\AOS\Allgemein\[LabSamples2025.xlsx]Bioplastic'!F986)</f>
        <v/>
      </c>
      <c r="G986">
        <f>IF(ISBLANK('Q:\Abteilungsprojekte\eng\EngData\AOS\Allgemein\[LabSamples2025.xlsx]Bioplastic'!G986)," ",'Q:\Abteilungsprojekte\eng\EngData\AOS\Allgemein\[LabSamples2025.xlsx]Bioplastic'!G986)</f>
        <v/>
      </c>
      <c r="H986">
        <f>IF(ISBLANK('Q:\Abteilungsprojekte\eng\EngData\AOS\Allgemein\[LabSamples2025.xlsx]Bioplastic'!H986)," ",'Q:\Abteilungsprojekte\eng\EngData\AOS\Allgemein\[LabSamples2025.xlsx]Bioplastic'!H986)</f>
        <v/>
      </c>
    </row>
    <row r="987">
      <c r="A987">
        <f>IF(ISBLANK('Q:\Abteilungsprojekte\eng\EngData\AOS\Allgemein\[LabSamples2025.xlsx]Bioplastic'!A987)," ",'Q:\Abteilungsprojekte\eng\EngData\AOS\Allgemein\[LabSamples2025.xlsx]Bioplastic'!A987)</f>
        <v/>
      </c>
      <c r="B987">
        <f>IF(ISBLANK('Q:\Abteilungsprojekte\eng\EngData\AOS\Allgemein\[LabSamples2025.xlsx]Bioplastic'!B987)," ",'Q:\Abteilungsprojekte\eng\EngData\AOS\Allgemein\[LabSamples2025.xlsx]Bioplastic'!B987)</f>
        <v/>
      </c>
      <c r="C987">
        <f>IF(ISBLANK('Q:\Abteilungsprojekte\eng\EngData\AOS\Allgemein\[LabSamples2025.xlsx]Bioplastic'!C987)," ",'Q:\Abteilungsprojekte\eng\EngData\AOS\Allgemein\[LabSamples2025.xlsx]Bioplastic'!C987)</f>
        <v/>
      </c>
      <c r="D987">
        <f>IF(ISBLANK('Q:\Abteilungsprojekte\eng\EngData\AOS\Allgemein\[LabSamples2025.xlsx]Bioplastic'!D987)," ",'Q:\Abteilungsprojekte\eng\EngData\AOS\Allgemein\[LabSamples2025.xlsx]Bioplastic'!D987)</f>
        <v/>
      </c>
      <c r="E987">
        <f>IF(ISBLANK('Q:\Abteilungsprojekte\eng\EngData\AOS\Allgemein\[LabSamples2025.xlsx]Bioplastic'!E987)," ",'Q:\Abteilungsprojekte\eng\EngData\AOS\Allgemein\[LabSamples2025.xlsx]Bioplastic'!E987)</f>
        <v/>
      </c>
      <c r="F987">
        <f>IF(ISBLANK('Q:\Abteilungsprojekte\eng\EngData\AOS\Allgemein\[LabSamples2025.xlsx]Bioplastic'!F987)," ",'Q:\Abteilungsprojekte\eng\EngData\AOS\Allgemein\[LabSamples2025.xlsx]Bioplastic'!F987)</f>
        <v/>
      </c>
      <c r="G987">
        <f>IF(ISBLANK('Q:\Abteilungsprojekte\eng\EngData\AOS\Allgemein\[LabSamples2025.xlsx]Bioplastic'!G987)," ",'Q:\Abteilungsprojekte\eng\EngData\AOS\Allgemein\[LabSamples2025.xlsx]Bioplastic'!G987)</f>
        <v/>
      </c>
      <c r="H987">
        <f>IF(ISBLANK('Q:\Abteilungsprojekte\eng\EngData\AOS\Allgemein\[LabSamples2025.xlsx]Bioplastic'!H987)," ",'Q:\Abteilungsprojekte\eng\EngData\AOS\Allgemein\[LabSamples2025.xlsx]Bioplastic'!H987)</f>
        <v/>
      </c>
    </row>
    <row r="988">
      <c r="A988">
        <f>IF(ISBLANK('Q:\Abteilungsprojekte\eng\EngData\AOS\Allgemein\[LabSamples2025.xlsx]Bioplastic'!A988)," ",'Q:\Abteilungsprojekte\eng\EngData\AOS\Allgemein\[LabSamples2025.xlsx]Bioplastic'!A988)</f>
        <v/>
      </c>
      <c r="B988">
        <f>IF(ISBLANK('Q:\Abteilungsprojekte\eng\EngData\AOS\Allgemein\[LabSamples2025.xlsx]Bioplastic'!B988)," ",'Q:\Abteilungsprojekte\eng\EngData\AOS\Allgemein\[LabSamples2025.xlsx]Bioplastic'!B988)</f>
        <v/>
      </c>
      <c r="C988">
        <f>IF(ISBLANK('Q:\Abteilungsprojekte\eng\EngData\AOS\Allgemein\[LabSamples2025.xlsx]Bioplastic'!C988)," ",'Q:\Abteilungsprojekte\eng\EngData\AOS\Allgemein\[LabSamples2025.xlsx]Bioplastic'!C988)</f>
        <v/>
      </c>
      <c r="D988">
        <f>IF(ISBLANK('Q:\Abteilungsprojekte\eng\EngData\AOS\Allgemein\[LabSamples2025.xlsx]Bioplastic'!D988)," ",'Q:\Abteilungsprojekte\eng\EngData\AOS\Allgemein\[LabSamples2025.xlsx]Bioplastic'!D988)</f>
        <v/>
      </c>
      <c r="E988">
        <f>IF(ISBLANK('Q:\Abteilungsprojekte\eng\EngData\AOS\Allgemein\[LabSamples2025.xlsx]Bioplastic'!E988)," ",'Q:\Abteilungsprojekte\eng\EngData\AOS\Allgemein\[LabSamples2025.xlsx]Bioplastic'!E988)</f>
        <v/>
      </c>
      <c r="F988">
        <f>IF(ISBLANK('Q:\Abteilungsprojekte\eng\EngData\AOS\Allgemein\[LabSamples2025.xlsx]Bioplastic'!F988)," ",'Q:\Abteilungsprojekte\eng\EngData\AOS\Allgemein\[LabSamples2025.xlsx]Bioplastic'!F988)</f>
        <v/>
      </c>
      <c r="G988">
        <f>IF(ISBLANK('Q:\Abteilungsprojekte\eng\EngData\AOS\Allgemein\[LabSamples2025.xlsx]Bioplastic'!G988)," ",'Q:\Abteilungsprojekte\eng\EngData\AOS\Allgemein\[LabSamples2025.xlsx]Bioplastic'!G988)</f>
        <v/>
      </c>
      <c r="H988">
        <f>IF(ISBLANK('Q:\Abteilungsprojekte\eng\EngData\AOS\Allgemein\[LabSamples2025.xlsx]Bioplastic'!H988)," ",'Q:\Abteilungsprojekte\eng\EngData\AOS\Allgemein\[LabSamples2025.xlsx]Bioplastic'!H988)</f>
        <v/>
      </c>
    </row>
    <row r="989">
      <c r="A989">
        <f>IF(ISBLANK('Q:\Abteilungsprojekte\eng\EngData\AOS\Allgemein\[LabSamples2025.xlsx]Bioplastic'!A989)," ",'Q:\Abteilungsprojekte\eng\EngData\AOS\Allgemein\[LabSamples2025.xlsx]Bioplastic'!A989)</f>
        <v/>
      </c>
      <c r="B989">
        <f>IF(ISBLANK('Q:\Abteilungsprojekte\eng\EngData\AOS\Allgemein\[LabSamples2025.xlsx]Bioplastic'!B989)," ",'Q:\Abteilungsprojekte\eng\EngData\AOS\Allgemein\[LabSamples2025.xlsx]Bioplastic'!B989)</f>
        <v/>
      </c>
      <c r="C989">
        <f>IF(ISBLANK('Q:\Abteilungsprojekte\eng\EngData\AOS\Allgemein\[LabSamples2025.xlsx]Bioplastic'!C989)," ",'Q:\Abteilungsprojekte\eng\EngData\AOS\Allgemein\[LabSamples2025.xlsx]Bioplastic'!C989)</f>
        <v/>
      </c>
      <c r="D989">
        <f>IF(ISBLANK('Q:\Abteilungsprojekte\eng\EngData\AOS\Allgemein\[LabSamples2025.xlsx]Bioplastic'!D989)," ",'Q:\Abteilungsprojekte\eng\EngData\AOS\Allgemein\[LabSamples2025.xlsx]Bioplastic'!D989)</f>
        <v/>
      </c>
      <c r="E989">
        <f>IF(ISBLANK('Q:\Abteilungsprojekte\eng\EngData\AOS\Allgemein\[LabSamples2025.xlsx]Bioplastic'!E989)," ",'Q:\Abteilungsprojekte\eng\EngData\AOS\Allgemein\[LabSamples2025.xlsx]Bioplastic'!E989)</f>
        <v/>
      </c>
      <c r="F989">
        <f>IF(ISBLANK('Q:\Abteilungsprojekte\eng\EngData\AOS\Allgemein\[LabSamples2025.xlsx]Bioplastic'!F989)," ",'Q:\Abteilungsprojekte\eng\EngData\AOS\Allgemein\[LabSamples2025.xlsx]Bioplastic'!F989)</f>
        <v/>
      </c>
      <c r="G989">
        <f>IF(ISBLANK('Q:\Abteilungsprojekte\eng\EngData\AOS\Allgemein\[LabSamples2025.xlsx]Bioplastic'!G989)," ",'Q:\Abteilungsprojekte\eng\EngData\AOS\Allgemein\[LabSamples2025.xlsx]Bioplastic'!G989)</f>
        <v/>
      </c>
      <c r="H989">
        <f>IF(ISBLANK('Q:\Abteilungsprojekte\eng\EngData\AOS\Allgemein\[LabSamples2025.xlsx]Bioplastic'!H989)," ",'Q:\Abteilungsprojekte\eng\EngData\AOS\Allgemein\[LabSamples2025.xlsx]Bioplastic'!H989)</f>
        <v/>
      </c>
    </row>
    <row r="990">
      <c r="A990">
        <f>IF(ISBLANK('Q:\Abteilungsprojekte\eng\EngData\AOS\Allgemein\[LabSamples2025.xlsx]Bioplastic'!A990)," ",'Q:\Abteilungsprojekte\eng\EngData\AOS\Allgemein\[LabSamples2025.xlsx]Bioplastic'!A990)</f>
        <v/>
      </c>
      <c r="B990">
        <f>IF(ISBLANK('Q:\Abteilungsprojekte\eng\EngData\AOS\Allgemein\[LabSamples2025.xlsx]Bioplastic'!B990)," ",'Q:\Abteilungsprojekte\eng\EngData\AOS\Allgemein\[LabSamples2025.xlsx]Bioplastic'!B990)</f>
        <v/>
      </c>
      <c r="C990">
        <f>IF(ISBLANK('Q:\Abteilungsprojekte\eng\EngData\AOS\Allgemein\[LabSamples2025.xlsx]Bioplastic'!C990)," ",'Q:\Abteilungsprojekte\eng\EngData\AOS\Allgemein\[LabSamples2025.xlsx]Bioplastic'!C990)</f>
        <v/>
      </c>
      <c r="D990">
        <f>IF(ISBLANK('Q:\Abteilungsprojekte\eng\EngData\AOS\Allgemein\[LabSamples2025.xlsx]Bioplastic'!D990)," ",'Q:\Abteilungsprojekte\eng\EngData\AOS\Allgemein\[LabSamples2025.xlsx]Bioplastic'!D990)</f>
        <v/>
      </c>
      <c r="E990">
        <f>IF(ISBLANK('Q:\Abteilungsprojekte\eng\EngData\AOS\Allgemein\[LabSamples2025.xlsx]Bioplastic'!E990)," ",'Q:\Abteilungsprojekte\eng\EngData\AOS\Allgemein\[LabSamples2025.xlsx]Bioplastic'!E990)</f>
        <v/>
      </c>
      <c r="F990">
        <f>IF(ISBLANK('Q:\Abteilungsprojekte\eng\EngData\AOS\Allgemein\[LabSamples2025.xlsx]Bioplastic'!F990)," ",'Q:\Abteilungsprojekte\eng\EngData\AOS\Allgemein\[LabSamples2025.xlsx]Bioplastic'!F990)</f>
        <v/>
      </c>
      <c r="G990">
        <f>IF(ISBLANK('Q:\Abteilungsprojekte\eng\EngData\AOS\Allgemein\[LabSamples2025.xlsx]Bioplastic'!G990)," ",'Q:\Abteilungsprojekte\eng\EngData\AOS\Allgemein\[LabSamples2025.xlsx]Bioplastic'!G990)</f>
        <v/>
      </c>
      <c r="H990">
        <f>IF(ISBLANK('Q:\Abteilungsprojekte\eng\EngData\AOS\Allgemein\[LabSamples2025.xlsx]Bioplastic'!H990)," ",'Q:\Abteilungsprojekte\eng\EngData\AOS\Allgemein\[LabSamples2025.xlsx]Bioplastic'!H990)</f>
        <v/>
      </c>
    </row>
    <row r="991">
      <c r="A991">
        <f>IF(ISBLANK('Q:\Abteilungsprojekte\eng\EngData\AOS\Allgemein\[LabSamples2025.xlsx]Bioplastic'!A991)," ",'Q:\Abteilungsprojekte\eng\EngData\AOS\Allgemein\[LabSamples2025.xlsx]Bioplastic'!A991)</f>
        <v/>
      </c>
      <c r="B991">
        <f>IF(ISBLANK('Q:\Abteilungsprojekte\eng\EngData\AOS\Allgemein\[LabSamples2025.xlsx]Bioplastic'!B991)," ",'Q:\Abteilungsprojekte\eng\EngData\AOS\Allgemein\[LabSamples2025.xlsx]Bioplastic'!B991)</f>
        <v/>
      </c>
      <c r="C991">
        <f>IF(ISBLANK('Q:\Abteilungsprojekte\eng\EngData\AOS\Allgemein\[LabSamples2025.xlsx]Bioplastic'!C991)," ",'Q:\Abteilungsprojekte\eng\EngData\AOS\Allgemein\[LabSamples2025.xlsx]Bioplastic'!C991)</f>
        <v/>
      </c>
      <c r="D991">
        <f>IF(ISBLANK('Q:\Abteilungsprojekte\eng\EngData\AOS\Allgemein\[LabSamples2025.xlsx]Bioplastic'!D991)," ",'Q:\Abteilungsprojekte\eng\EngData\AOS\Allgemein\[LabSamples2025.xlsx]Bioplastic'!D991)</f>
        <v/>
      </c>
      <c r="E991">
        <f>IF(ISBLANK('Q:\Abteilungsprojekte\eng\EngData\AOS\Allgemein\[LabSamples2025.xlsx]Bioplastic'!E991)," ",'Q:\Abteilungsprojekte\eng\EngData\AOS\Allgemein\[LabSamples2025.xlsx]Bioplastic'!E991)</f>
        <v/>
      </c>
      <c r="F991">
        <f>IF(ISBLANK('Q:\Abteilungsprojekte\eng\EngData\AOS\Allgemein\[LabSamples2025.xlsx]Bioplastic'!F991)," ",'Q:\Abteilungsprojekte\eng\EngData\AOS\Allgemein\[LabSamples2025.xlsx]Bioplastic'!F991)</f>
        <v/>
      </c>
      <c r="G991">
        <f>IF(ISBLANK('Q:\Abteilungsprojekte\eng\EngData\AOS\Allgemein\[LabSamples2025.xlsx]Bioplastic'!G991)," ",'Q:\Abteilungsprojekte\eng\EngData\AOS\Allgemein\[LabSamples2025.xlsx]Bioplastic'!G991)</f>
        <v/>
      </c>
      <c r="H991">
        <f>IF(ISBLANK('Q:\Abteilungsprojekte\eng\EngData\AOS\Allgemein\[LabSamples2025.xlsx]Bioplastic'!H991)," ",'Q:\Abteilungsprojekte\eng\EngData\AOS\Allgemein\[LabSamples2025.xlsx]Bioplastic'!H991)</f>
        <v/>
      </c>
    </row>
    <row r="992">
      <c r="A992">
        <f>IF(ISBLANK('Q:\Abteilungsprojekte\eng\EngData\AOS\Allgemein\[LabSamples2025.xlsx]Bioplastic'!A992)," ",'Q:\Abteilungsprojekte\eng\EngData\AOS\Allgemein\[LabSamples2025.xlsx]Bioplastic'!A992)</f>
        <v/>
      </c>
      <c r="B992">
        <f>IF(ISBLANK('Q:\Abteilungsprojekte\eng\EngData\AOS\Allgemein\[LabSamples2025.xlsx]Bioplastic'!B992)," ",'Q:\Abteilungsprojekte\eng\EngData\AOS\Allgemein\[LabSamples2025.xlsx]Bioplastic'!B992)</f>
        <v/>
      </c>
      <c r="C992">
        <f>IF(ISBLANK('Q:\Abteilungsprojekte\eng\EngData\AOS\Allgemein\[LabSamples2025.xlsx]Bioplastic'!C992)," ",'Q:\Abteilungsprojekte\eng\EngData\AOS\Allgemein\[LabSamples2025.xlsx]Bioplastic'!C992)</f>
        <v/>
      </c>
      <c r="D992">
        <f>IF(ISBLANK('Q:\Abteilungsprojekte\eng\EngData\AOS\Allgemein\[LabSamples2025.xlsx]Bioplastic'!D992)," ",'Q:\Abteilungsprojekte\eng\EngData\AOS\Allgemein\[LabSamples2025.xlsx]Bioplastic'!D992)</f>
        <v/>
      </c>
      <c r="E992">
        <f>IF(ISBLANK('Q:\Abteilungsprojekte\eng\EngData\AOS\Allgemein\[LabSamples2025.xlsx]Bioplastic'!E992)," ",'Q:\Abteilungsprojekte\eng\EngData\AOS\Allgemein\[LabSamples2025.xlsx]Bioplastic'!E992)</f>
        <v/>
      </c>
      <c r="F992">
        <f>IF(ISBLANK('Q:\Abteilungsprojekte\eng\EngData\AOS\Allgemein\[LabSamples2025.xlsx]Bioplastic'!F992)," ",'Q:\Abteilungsprojekte\eng\EngData\AOS\Allgemein\[LabSamples2025.xlsx]Bioplastic'!F992)</f>
        <v/>
      </c>
      <c r="G992">
        <f>IF(ISBLANK('Q:\Abteilungsprojekte\eng\EngData\AOS\Allgemein\[LabSamples2025.xlsx]Bioplastic'!G992)," ",'Q:\Abteilungsprojekte\eng\EngData\AOS\Allgemein\[LabSamples2025.xlsx]Bioplastic'!G992)</f>
        <v/>
      </c>
      <c r="H992">
        <f>IF(ISBLANK('Q:\Abteilungsprojekte\eng\EngData\AOS\Allgemein\[LabSamples2025.xlsx]Bioplastic'!H992)," ",'Q:\Abteilungsprojekte\eng\EngData\AOS\Allgemein\[LabSamples2025.xlsx]Bioplastic'!H992)</f>
        <v/>
      </c>
    </row>
    <row r="993">
      <c r="A993">
        <f>IF(ISBLANK('Q:\Abteilungsprojekte\eng\EngData\AOS\Allgemein\[LabSamples2025.xlsx]Bioplastic'!A993)," ",'Q:\Abteilungsprojekte\eng\EngData\AOS\Allgemein\[LabSamples2025.xlsx]Bioplastic'!A993)</f>
        <v/>
      </c>
      <c r="B993">
        <f>IF(ISBLANK('Q:\Abteilungsprojekte\eng\EngData\AOS\Allgemein\[LabSamples2025.xlsx]Bioplastic'!B993)," ",'Q:\Abteilungsprojekte\eng\EngData\AOS\Allgemein\[LabSamples2025.xlsx]Bioplastic'!B993)</f>
        <v/>
      </c>
      <c r="C993">
        <f>IF(ISBLANK('Q:\Abteilungsprojekte\eng\EngData\AOS\Allgemein\[LabSamples2025.xlsx]Bioplastic'!C993)," ",'Q:\Abteilungsprojekte\eng\EngData\AOS\Allgemein\[LabSamples2025.xlsx]Bioplastic'!C993)</f>
        <v/>
      </c>
      <c r="D993">
        <f>IF(ISBLANK('Q:\Abteilungsprojekte\eng\EngData\AOS\Allgemein\[LabSamples2025.xlsx]Bioplastic'!D993)," ",'Q:\Abteilungsprojekte\eng\EngData\AOS\Allgemein\[LabSamples2025.xlsx]Bioplastic'!D993)</f>
        <v/>
      </c>
      <c r="E993">
        <f>IF(ISBLANK('Q:\Abteilungsprojekte\eng\EngData\AOS\Allgemein\[LabSamples2025.xlsx]Bioplastic'!E993)," ",'Q:\Abteilungsprojekte\eng\EngData\AOS\Allgemein\[LabSamples2025.xlsx]Bioplastic'!E993)</f>
        <v/>
      </c>
      <c r="F993">
        <f>IF(ISBLANK('Q:\Abteilungsprojekte\eng\EngData\AOS\Allgemein\[LabSamples2025.xlsx]Bioplastic'!F993)," ",'Q:\Abteilungsprojekte\eng\EngData\AOS\Allgemein\[LabSamples2025.xlsx]Bioplastic'!F993)</f>
        <v/>
      </c>
      <c r="G993">
        <f>IF(ISBLANK('Q:\Abteilungsprojekte\eng\EngData\AOS\Allgemein\[LabSamples2025.xlsx]Bioplastic'!G993)," ",'Q:\Abteilungsprojekte\eng\EngData\AOS\Allgemein\[LabSamples2025.xlsx]Bioplastic'!G993)</f>
        <v/>
      </c>
      <c r="H993">
        <f>IF(ISBLANK('Q:\Abteilungsprojekte\eng\EngData\AOS\Allgemein\[LabSamples2025.xlsx]Bioplastic'!H993)," ",'Q:\Abteilungsprojekte\eng\EngData\AOS\Allgemein\[LabSamples2025.xlsx]Bioplastic'!H993)</f>
        <v/>
      </c>
    </row>
    <row r="994">
      <c r="A994">
        <f>IF(ISBLANK('Q:\Abteilungsprojekte\eng\EngData\AOS\Allgemein\[LabSamples2025.xlsx]Bioplastic'!A994)," ",'Q:\Abteilungsprojekte\eng\EngData\AOS\Allgemein\[LabSamples2025.xlsx]Bioplastic'!A994)</f>
        <v/>
      </c>
      <c r="B994">
        <f>IF(ISBLANK('Q:\Abteilungsprojekte\eng\EngData\AOS\Allgemein\[LabSamples2025.xlsx]Bioplastic'!B994)," ",'Q:\Abteilungsprojekte\eng\EngData\AOS\Allgemein\[LabSamples2025.xlsx]Bioplastic'!B994)</f>
        <v/>
      </c>
      <c r="C994">
        <f>IF(ISBLANK('Q:\Abteilungsprojekte\eng\EngData\AOS\Allgemein\[LabSamples2025.xlsx]Bioplastic'!C994)," ",'Q:\Abteilungsprojekte\eng\EngData\AOS\Allgemein\[LabSamples2025.xlsx]Bioplastic'!C994)</f>
        <v/>
      </c>
      <c r="D994">
        <f>IF(ISBLANK('Q:\Abteilungsprojekte\eng\EngData\AOS\Allgemein\[LabSamples2025.xlsx]Bioplastic'!D994)," ",'Q:\Abteilungsprojekte\eng\EngData\AOS\Allgemein\[LabSamples2025.xlsx]Bioplastic'!D994)</f>
        <v/>
      </c>
      <c r="E994">
        <f>IF(ISBLANK('Q:\Abteilungsprojekte\eng\EngData\AOS\Allgemein\[LabSamples2025.xlsx]Bioplastic'!E994)," ",'Q:\Abteilungsprojekte\eng\EngData\AOS\Allgemein\[LabSamples2025.xlsx]Bioplastic'!E994)</f>
        <v/>
      </c>
      <c r="F994">
        <f>IF(ISBLANK('Q:\Abteilungsprojekte\eng\EngData\AOS\Allgemein\[LabSamples2025.xlsx]Bioplastic'!F994)," ",'Q:\Abteilungsprojekte\eng\EngData\AOS\Allgemein\[LabSamples2025.xlsx]Bioplastic'!F994)</f>
        <v/>
      </c>
      <c r="G994">
        <f>IF(ISBLANK('Q:\Abteilungsprojekte\eng\EngData\AOS\Allgemein\[LabSamples2025.xlsx]Bioplastic'!G994)," ",'Q:\Abteilungsprojekte\eng\EngData\AOS\Allgemein\[LabSamples2025.xlsx]Bioplastic'!G994)</f>
        <v/>
      </c>
      <c r="H994">
        <f>IF(ISBLANK('Q:\Abteilungsprojekte\eng\EngData\AOS\Allgemein\[LabSamples2025.xlsx]Bioplastic'!H994)," ",'Q:\Abteilungsprojekte\eng\EngData\AOS\Allgemein\[LabSamples2025.xlsx]Bioplastic'!H994)</f>
        <v/>
      </c>
    </row>
    <row r="995">
      <c r="A995">
        <f>IF(ISBLANK('Q:\Abteilungsprojekte\eng\EngData\AOS\Allgemein\[LabSamples2025.xlsx]Bioplastic'!A995)," ",'Q:\Abteilungsprojekte\eng\EngData\AOS\Allgemein\[LabSamples2025.xlsx]Bioplastic'!A995)</f>
        <v/>
      </c>
      <c r="B995">
        <f>IF(ISBLANK('Q:\Abteilungsprojekte\eng\EngData\AOS\Allgemein\[LabSamples2025.xlsx]Bioplastic'!B995)," ",'Q:\Abteilungsprojekte\eng\EngData\AOS\Allgemein\[LabSamples2025.xlsx]Bioplastic'!B995)</f>
        <v/>
      </c>
      <c r="C995">
        <f>IF(ISBLANK('Q:\Abteilungsprojekte\eng\EngData\AOS\Allgemein\[LabSamples2025.xlsx]Bioplastic'!C995)," ",'Q:\Abteilungsprojekte\eng\EngData\AOS\Allgemein\[LabSamples2025.xlsx]Bioplastic'!C995)</f>
        <v/>
      </c>
      <c r="D995">
        <f>IF(ISBLANK('Q:\Abteilungsprojekte\eng\EngData\AOS\Allgemein\[LabSamples2025.xlsx]Bioplastic'!D995)," ",'Q:\Abteilungsprojekte\eng\EngData\AOS\Allgemein\[LabSamples2025.xlsx]Bioplastic'!D995)</f>
        <v/>
      </c>
      <c r="E995">
        <f>IF(ISBLANK('Q:\Abteilungsprojekte\eng\EngData\AOS\Allgemein\[LabSamples2025.xlsx]Bioplastic'!E995)," ",'Q:\Abteilungsprojekte\eng\EngData\AOS\Allgemein\[LabSamples2025.xlsx]Bioplastic'!E995)</f>
        <v/>
      </c>
      <c r="F995">
        <f>IF(ISBLANK('Q:\Abteilungsprojekte\eng\EngData\AOS\Allgemein\[LabSamples2025.xlsx]Bioplastic'!F995)," ",'Q:\Abteilungsprojekte\eng\EngData\AOS\Allgemein\[LabSamples2025.xlsx]Bioplastic'!F995)</f>
        <v/>
      </c>
      <c r="G995">
        <f>IF(ISBLANK('Q:\Abteilungsprojekte\eng\EngData\AOS\Allgemein\[LabSamples2025.xlsx]Bioplastic'!G995)," ",'Q:\Abteilungsprojekte\eng\EngData\AOS\Allgemein\[LabSamples2025.xlsx]Bioplastic'!G995)</f>
        <v/>
      </c>
      <c r="H995">
        <f>IF(ISBLANK('Q:\Abteilungsprojekte\eng\EngData\AOS\Allgemein\[LabSamples2025.xlsx]Bioplastic'!H995)," ",'Q:\Abteilungsprojekte\eng\EngData\AOS\Allgemein\[LabSamples2025.xlsx]Bioplastic'!H995)</f>
        <v/>
      </c>
    </row>
    <row r="996">
      <c r="A996">
        <f>IF(ISBLANK('Q:\Abteilungsprojekte\eng\EngData\AOS\Allgemein\[LabSamples2025.xlsx]Bioplastic'!A996)," ",'Q:\Abteilungsprojekte\eng\EngData\AOS\Allgemein\[LabSamples2025.xlsx]Bioplastic'!A996)</f>
        <v/>
      </c>
      <c r="B996">
        <f>IF(ISBLANK('Q:\Abteilungsprojekte\eng\EngData\AOS\Allgemein\[LabSamples2025.xlsx]Bioplastic'!B996)," ",'Q:\Abteilungsprojekte\eng\EngData\AOS\Allgemein\[LabSamples2025.xlsx]Bioplastic'!B996)</f>
        <v/>
      </c>
      <c r="C996">
        <f>IF(ISBLANK('Q:\Abteilungsprojekte\eng\EngData\AOS\Allgemein\[LabSamples2025.xlsx]Bioplastic'!C996)," ",'Q:\Abteilungsprojekte\eng\EngData\AOS\Allgemein\[LabSamples2025.xlsx]Bioplastic'!C996)</f>
        <v/>
      </c>
      <c r="D996">
        <f>IF(ISBLANK('Q:\Abteilungsprojekte\eng\EngData\AOS\Allgemein\[LabSamples2025.xlsx]Bioplastic'!D996)," ",'Q:\Abteilungsprojekte\eng\EngData\AOS\Allgemein\[LabSamples2025.xlsx]Bioplastic'!D996)</f>
        <v/>
      </c>
      <c r="E996">
        <f>IF(ISBLANK('Q:\Abteilungsprojekte\eng\EngData\AOS\Allgemein\[LabSamples2025.xlsx]Bioplastic'!E996)," ",'Q:\Abteilungsprojekte\eng\EngData\AOS\Allgemein\[LabSamples2025.xlsx]Bioplastic'!E996)</f>
        <v/>
      </c>
      <c r="F996">
        <f>IF(ISBLANK('Q:\Abteilungsprojekte\eng\EngData\AOS\Allgemein\[LabSamples2025.xlsx]Bioplastic'!F996)," ",'Q:\Abteilungsprojekte\eng\EngData\AOS\Allgemein\[LabSamples2025.xlsx]Bioplastic'!F996)</f>
        <v/>
      </c>
      <c r="G996">
        <f>IF(ISBLANK('Q:\Abteilungsprojekte\eng\EngData\AOS\Allgemein\[LabSamples2025.xlsx]Bioplastic'!G996)," ",'Q:\Abteilungsprojekte\eng\EngData\AOS\Allgemein\[LabSamples2025.xlsx]Bioplastic'!G996)</f>
        <v/>
      </c>
      <c r="H996">
        <f>IF(ISBLANK('Q:\Abteilungsprojekte\eng\EngData\AOS\Allgemein\[LabSamples2025.xlsx]Bioplastic'!H996)," ",'Q:\Abteilungsprojekte\eng\EngData\AOS\Allgemein\[LabSamples2025.xlsx]Bioplastic'!H996)</f>
        <v/>
      </c>
    </row>
    <row r="997">
      <c r="A997">
        <f>IF(ISBLANK('Q:\Abteilungsprojekte\eng\EngData\AOS\Allgemein\[LabSamples2025.xlsx]Bioplastic'!A997)," ",'Q:\Abteilungsprojekte\eng\EngData\AOS\Allgemein\[LabSamples2025.xlsx]Bioplastic'!A997)</f>
        <v/>
      </c>
      <c r="B997">
        <f>IF(ISBLANK('Q:\Abteilungsprojekte\eng\EngData\AOS\Allgemein\[LabSamples2025.xlsx]Bioplastic'!B997)," ",'Q:\Abteilungsprojekte\eng\EngData\AOS\Allgemein\[LabSamples2025.xlsx]Bioplastic'!B997)</f>
        <v/>
      </c>
      <c r="C997">
        <f>IF(ISBLANK('Q:\Abteilungsprojekte\eng\EngData\AOS\Allgemein\[LabSamples2025.xlsx]Bioplastic'!C997)," ",'Q:\Abteilungsprojekte\eng\EngData\AOS\Allgemein\[LabSamples2025.xlsx]Bioplastic'!C997)</f>
        <v/>
      </c>
      <c r="D997">
        <f>IF(ISBLANK('Q:\Abteilungsprojekte\eng\EngData\AOS\Allgemein\[LabSamples2025.xlsx]Bioplastic'!D997)," ",'Q:\Abteilungsprojekte\eng\EngData\AOS\Allgemein\[LabSamples2025.xlsx]Bioplastic'!D997)</f>
        <v/>
      </c>
      <c r="E997">
        <f>IF(ISBLANK('Q:\Abteilungsprojekte\eng\EngData\AOS\Allgemein\[LabSamples2025.xlsx]Bioplastic'!E997)," ",'Q:\Abteilungsprojekte\eng\EngData\AOS\Allgemein\[LabSamples2025.xlsx]Bioplastic'!E997)</f>
        <v/>
      </c>
      <c r="F997">
        <f>IF(ISBLANK('Q:\Abteilungsprojekte\eng\EngData\AOS\Allgemein\[LabSamples2025.xlsx]Bioplastic'!F997)," ",'Q:\Abteilungsprojekte\eng\EngData\AOS\Allgemein\[LabSamples2025.xlsx]Bioplastic'!F997)</f>
        <v/>
      </c>
      <c r="G997">
        <f>IF(ISBLANK('Q:\Abteilungsprojekte\eng\EngData\AOS\Allgemein\[LabSamples2025.xlsx]Bioplastic'!G997)," ",'Q:\Abteilungsprojekte\eng\EngData\AOS\Allgemein\[LabSamples2025.xlsx]Bioplastic'!G997)</f>
        <v/>
      </c>
      <c r="H997">
        <f>IF(ISBLANK('Q:\Abteilungsprojekte\eng\EngData\AOS\Allgemein\[LabSamples2025.xlsx]Bioplastic'!H997)," ",'Q:\Abteilungsprojekte\eng\EngData\AOS\Allgemein\[LabSamples2025.xlsx]Bioplastic'!H997)</f>
        <v/>
      </c>
    </row>
    <row r="998">
      <c r="A998">
        <f>IF(ISBLANK('Q:\Abteilungsprojekte\eng\EngData\AOS\Allgemein\[LabSamples2025.xlsx]Bioplastic'!A998)," ",'Q:\Abteilungsprojekte\eng\EngData\AOS\Allgemein\[LabSamples2025.xlsx]Bioplastic'!A998)</f>
        <v/>
      </c>
      <c r="B998">
        <f>IF(ISBLANK('Q:\Abteilungsprojekte\eng\EngData\AOS\Allgemein\[LabSamples2025.xlsx]Bioplastic'!B998)," ",'Q:\Abteilungsprojekte\eng\EngData\AOS\Allgemein\[LabSamples2025.xlsx]Bioplastic'!B998)</f>
        <v/>
      </c>
      <c r="C998">
        <f>IF(ISBLANK('Q:\Abteilungsprojekte\eng\EngData\AOS\Allgemein\[LabSamples2025.xlsx]Bioplastic'!C998)," ",'Q:\Abteilungsprojekte\eng\EngData\AOS\Allgemein\[LabSamples2025.xlsx]Bioplastic'!C998)</f>
        <v/>
      </c>
      <c r="D998">
        <f>IF(ISBLANK('Q:\Abteilungsprojekte\eng\EngData\AOS\Allgemein\[LabSamples2025.xlsx]Bioplastic'!D998)," ",'Q:\Abteilungsprojekte\eng\EngData\AOS\Allgemein\[LabSamples2025.xlsx]Bioplastic'!D998)</f>
        <v/>
      </c>
      <c r="E998">
        <f>IF(ISBLANK('Q:\Abteilungsprojekte\eng\EngData\AOS\Allgemein\[LabSamples2025.xlsx]Bioplastic'!E998)," ",'Q:\Abteilungsprojekte\eng\EngData\AOS\Allgemein\[LabSamples2025.xlsx]Bioplastic'!E998)</f>
        <v/>
      </c>
      <c r="F998">
        <f>IF(ISBLANK('Q:\Abteilungsprojekte\eng\EngData\AOS\Allgemein\[LabSamples2025.xlsx]Bioplastic'!F998)," ",'Q:\Abteilungsprojekte\eng\EngData\AOS\Allgemein\[LabSamples2025.xlsx]Bioplastic'!F998)</f>
        <v/>
      </c>
      <c r="G998">
        <f>IF(ISBLANK('Q:\Abteilungsprojekte\eng\EngData\AOS\Allgemein\[LabSamples2025.xlsx]Bioplastic'!G998)," ",'Q:\Abteilungsprojekte\eng\EngData\AOS\Allgemein\[LabSamples2025.xlsx]Bioplastic'!G998)</f>
        <v/>
      </c>
      <c r="H998">
        <f>IF(ISBLANK('Q:\Abteilungsprojekte\eng\EngData\AOS\Allgemein\[LabSamples2025.xlsx]Bioplastic'!H998)," ",'Q:\Abteilungsprojekte\eng\EngData\AOS\Allgemein\[LabSamples2025.xlsx]Bioplastic'!H998)</f>
        <v/>
      </c>
    </row>
    <row r="999">
      <c r="A999">
        <f>IF(ISBLANK('Q:\Abteilungsprojekte\eng\EngData\AOS\Allgemein\[LabSamples2025.xlsx]Bioplastic'!A999)," ",'Q:\Abteilungsprojekte\eng\EngData\AOS\Allgemein\[LabSamples2025.xlsx]Bioplastic'!A999)</f>
        <v/>
      </c>
      <c r="B999">
        <f>IF(ISBLANK('Q:\Abteilungsprojekte\eng\EngData\AOS\Allgemein\[LabSamples2025.xlsx]Bioplastic'!B999)," ",'Q:\Abteilungsprojekte\eng\EngData\AOS\Allgemein\[LabSamples2025.xlsx]Bioplastic'!B999)</f>
        <v/>
      </c>
      <c r="C999">
        <f>IF(ISBLANK('Q:\Abteilungsprojekte\eng\EngData\AOS\Allgemein\[LabSamples2025.xlsx]Bioplastic'!C999)," ",'Q:\Abteilungsprojekte\eng\EngData\AOS\Allgemein\[LabSamples2025.xlsx]Bioplastic'!C999)</f>
        <v/>
      </c>
      <c r="D999">
        <f>IF(ISBLANK('Q:\Abteilungsprojekte\eng\EngData\AOS\Allgemein\[LabSamples2025.xlsx]Bioplastic'!D999)," ",'Q:\Abteilungsprojekte\eng\EngData\AOS\Allgemein\[LabSamples2025.xlsx]Bioplastic'!D999)</f>
        <v/>
      </c>
      <c r="E999">
        <f>IF(ISBLANK('Q:\Abteilungsprojekte\eng\EngData\AOS\Allgemein\[LabSamples2025.xlsx]Bioplastic'!E999)," ",'Q:\Abteilungsprojekte\eng\EngData\AOS\Allgemein\[LabSamples2025.xlsx]Bioplastic'!E999)</f>
        <v/>
      </c>
      <c r="F999">
        <f>IF(ISBLANK('Q:\Abteilungsprojekte\eng\EngData\AOS\Allgemein\[LabSamples2025.xlsx]Bioplastic'!F999)," ",'Q:\Abteilungsprojekte\eng\EngData\AOS\Allgemein\[LabSamples2025.xlsx]Bioplastic'!F999)</f>
        <v/>
      </c>
      <c r="G999">
        <f>IF(ISBLANK('Q:\Abteilungsprojekte\eng\EngData\AOS\Allgemein\[LabSamples2025.xlsx]Bioplastic'!G999)," ",'Q:\Abteilungsprojekte\eng\EngData\AOS\Allgemein\[LabSamples2025.xlsx]Bioplastic'!G999)</f>
        <v/>
      </c>
      <c r="H999">
        <f>IF(ISBLANK('Q:\Abteilungsprojekte\eng\EngData\AOS\Allgemein\[LabSamples2025.xlsx]Bioplastic'!H999)," ",'Q:\Abteilungsprojekte\eng\EngData\AOS\Allgemein\[LabSamples2025.xlsx]Bioplastic'!H999)</f>
        <v/>
      </c>
    </row>
    <row r="1000">
      <c r="A1000">
        <f>IF(ISBLANK('Q:\Abteilungsprojekte\eng\EngData\AOS\Allgemein\[LabSamples2025.xlsx]Bioplastic'!A1000)," ",'Q:\Abteilungsprojekte\eng\EngData\AOS\Allgemein\[LabSamples2025.xlsx]Bioplastic'!A1000)</f>
        <v/>
      </c>
      <c r="B1000">
        <f>IF(ISBLANK('Q:\Abteilungsprojekte\eng\EngData\AOS\Allgemein\[LabSamples2025.xlsx]Bioplastic'!B1000)," ",'Q:\Abteilungsprojekte\eng\EngData\AOS\Allgemein\[LabSamples2025.xlsx]Bioplastic'!B1000)</f>
        <v/>
      </c>
      <c r="C1000">
        <f>IF(ISBLANK('Q:\Abteilungsprojekte\eng\EngData\AOS\Allgemein\[LabSamples2025.xlsx]Bioplastic'!C1000)," ",'Q:\Abteilungsprojekte\eng\EngData\AOS\Allgemein\[LabSamples2025.xlsx]Bioplastic'!C1000)</f>
        <v/>
      </c>
      <c r="D1000">
        <f>IF(ISBLANK('Q:\Abteilungsprojekte\eng\EngData\AOS\Allgemein\[LabSamples2025.xlsx]Bioplastic'!D1000)," ",'Q:\Abteilungsprojekte\eng\EngData\AOS\Allgemein\[LabSamples2025.xlsx]Bioplastic'!D1000)</f>
        <v/>
      </c>
      <c r="E1000">
        <f>IF(ISBLANK('Q:\Abteilungsprojekte\eng\EngData\AOS\Allgemein\[LabSamples2025.xlsx]Bioplastic'!E1000)," ",'Q:\Abteilungsprojekte\eng\EngData\AOS\Allgemein\[LabSamples2025.xlsx]Bioplastic'!E1000)</f>
        <v/>
      </c>
      <c r="F1000">
        <f>IF(ISBLANK('Q:\Abteilungsprojekte\eng\EngData\AOS\Allgemein\[LabSamples2025.xlsx]Bioplastic'!F1000)," ",'Q:\Abteilungsprojekte\eng\EngData\AOS\Allgemein\[LabSamples2025.xlsx]Bioplastic'!F1000)</f>
        <v/>
      </c>
      <c r="G1000">
        <f>IF(ISBLANK('Q:\Abteilungsprojekte\eng\EngData\AOS\Allgemein\[LabSamples2025.xlsx]Bioplastic'!G1000)," ",'Q:\Abteilungsprojekte\eng\EngData\AOS\Allgemein\[LabSamples2025.xlsx]Bioplastic'!G1000)</f>
        <v/>
      </c>
      <c r="H1000">
        <f>IF(ISBLANK('Q:\Abteilungsprojekte\eng\EngData\AOS\Allgemein\[LabSamples2025.xlsx]Bioplastic'!H1000)," ",'Q:\Abteilungsprojekte\eng\EngData\AOS\Allgemein\[LabSamples2025.xlsx]Bioplastic'!H1000)</f>
        <v/>
      </c>
    </row>
    <row r="1001">
      <c r="A1001">
        <f>IF(ISBLANK('Q:\Abteilungsprojekte\eng\EngData\AOS\Allgemein\[LabSamples2025.xlsx]Bioplastic'!A1001)," ",'Q:\Abteilungsprojekte\eng\EngData\AOS\Allgemein\[LabSamples2025.xlsx]Bioplastic'!A1001)</f>
        <v/>
      </c>
      <c r="B1001">
        <f>IF(ISBLANK('Q:\Abteilungsprojekte\eng\EngData\AOS\Allgemein\[LabSamples2025.xlsx]Bioplastic'!B1001)," ",'Q:\Abteilungsprojekte\eng\EngData\AOS\Allgemein\[LabSamples2025.xlsx]Bioplastic'!B1001)</f>
        <v/>
      </c>
      <c r="C1001">
        <f>IF(ISBLANK('Q:\Abteilungsprojekte\eng\EngData\AOS\Allgemein\[LabSamples2025.xlsx]Bioplastic'!C1001)," ",'Q:\Abteilungsprojekte\eng\EngData\AOS\Allgemein\[LabSamples2025.xlsx]Bioplastic'!C1001)</f>
        <v/>
      </c>
      <c r="D1001">
        <f>IF(ISBLANK('Q:\Abteilungsprojekte\eng\EngData\AOS\Allgemein\[LabSamples2025.xlsx]Bioplastic'!D1001)," ",'Q:\Abteilungsprojekte\eng\EngData\AOS\Allgemein\[LabSamples2025.xlsx]Bioplastic'!D1001)</f>
        <v/>
      </c>
      <c r="E1001">
        <f>IF(ISBLANK('Q:\Abteilungsprojekte\eng\EngData\AOS\Allgemein\[LabSamples2025.xlsx]Bioplastic'!E1001)," ",'Q:\Abteilungsprojekte\eng\EngData\AOS\Allgemein\[LabSamples2025.xlsx]Bioplastic'!E1001)</f>
        <v/>
      </c>
      <c r="F1001">
        <f>IF(ISBLANK('Q:\Abteilungsprojekte\eng\EngData\AOS\Allgemein\[LabSamples2025.xlsx]Bioplastic'!F1001)," ",'Q:\Abteilungsprojekte\eng\EngData\AOS\Allgemein\[LabSamples2025.xlsx]Bioplastic'!F1001)</f>
        <v/>
      </c>
      <c r="G1001">
        <f>IF(ISBLANK('Q:\Abteilungsprojekte\eng\EngData\AOS\Allgemein\[LabSamples2025.xlsx]Bioplastic'!G1001)," ",'Q:\Abteilungsprojekte\eng\EngData\AOS\Allgemein\[LabSamples2025.xlsx]Bioplastic'!G1001)</f>
        <v/>
      </c>
      <c r="H1001">
        <f>IF(ISBLANK('Q:\Abteilungsprojekte\eng\EngData\AOS\Allgemein\[LabSamples2025.xlsx]Bioplastic'!H1001)," ",'Q:\Abteilungsprojekte\eng\EngData\AOS\Allgemein\[LabSamples2025.xlsx]Bioplastic'!H1001)</f>
        <v/>
      </c>
    </row>
    <row r="1002">
      <c r="A1002">
        <f>IF(ISBLANK('Q:\Abteilungsprojekte\eng\EngData\AOS\Allgemein\[LabSamples2025.xlsx]Bioplastic'!A1002)," ",'Q:\Abteilungsprojekte\eng\EngData\AOS\Allgemein\[LabSamples2025.xlsx]Bioplastic'!A1002)</f>
        <v/>
      </c>
      <c r="B1002">
        <f>IF(ISBLANK('Q:\Abteilungsprojekte\eng\EngData\AOS\Allgemein\[LabSamples2025.xlsx]Bioplastic'!B1002)," ",'Q:\Abteilungsprojekte\eng\EngData\AOS\Allgemein\[LabSamples2025.xlsx]Bioplastic'!B1002)</f>
        <v/>
      </c>
      <c r="C1002">
        <f>IF(ISBLANK('Q:\Abteilungsprojekte\eng\EngData\AOS\Allgemein\[LabSamples2025.xlsx]Bioplastic'!C1002)," ",'Q:\Abteilungsprojekte\eng\EngData\AOS\Allgemein\[LabSamples2025.xlsx]Bioplastic'!C1002)</f>
        <v/>
      </c>
      <c r="D1002">
        <f>IF(ISBLANK('Q:\Abteilungsprojekte\eng\EngData\AOS\Allgemein\[LabSamples2025.xlsx]Bioplastic'!D1002)," ",'Q:\Abteilungsprojekte\eng\EngData\AOS\Allgemein\[LabSamples2025.xlsx]Bioplastic'!D1002)</f>
        <v/>
      </c>
      <c r="E1002">
        <f>IF(ISBLANK('Q:\Abteilungsprojekte\eng\EngData\AOS\Allgemein\[LabSamples2025.xlsx]Bioplastic'!E1002)," ",'Q:\Abteilungsprojekte\eng\EngData\AOS\Allgemein\[LabSamples2025.xlsx]Bioplastic'!E1002)</f>
        <v/>
      </c>
      <c r="F1002">
        <f>IF(ISBLANK('Q:\Abteilungsprojekte\eng\EngData\AOS\Allgemein\[LabSamples2025.xlsx]Bioplastic'!F1002)," ",'Q:\Abteilungsprojekte\eng\EngData\AOS\Allgemein\[LabSamples2025.xlsx]Bioplastic'!F1002)</f>
        <v/>
      </c>
      <c r="G1002">
        <f>IF(ISBLANK('Q:\Abteilungsprojekte\eng\EngData\AOS\Allgemein\[LabSamples2025.xlsx]Bioplastic'!G1002)," ",'Q:\Abteilungsprojekte\eng\EngData\AOS\Allgemein\[LabSamples2025.xlsx]Bioplastic'!G1002)</f>
        <v/>
      </c>
      <c r="H1002">
        <f>IF(ISBLANK('Q:\Abteilungsprojekte\eng\EngData\AOS\Allgemein\[LabSamples2025.xlsx]Bioplastic'!H1002)," ",'Q:\Abteilungsprojekte\eng\EngData\AOS\Allgemein\[LabSamples2025.xlsx]Bioplastic'!H1002)</f>
        <v/>
      </c>
    </row>
    <row r="1003">
      <c r="A1003">
        <f>IF(ISBLANK('Q:\Abteilungsprojekte\eng\EngData\AOS\Allgemein\[LabSamples2025.xlsx]Bioplastic'!A1003)," ",'Q:\Abteilungsprojekte\eng\EngData\AOS\Allgemein\[LabSamples2025.xlsx]Bioplastic'!A1003)</f>
        <v/>
      </c>
      <c r="B1003">
        <f>IF(ISBLANK('Q:\Abteilungsprojekte\eng\EngData\AOS\Allgemein\[LabSamples2025.xlsx]Bioplastic'!B1003)," ",'Q:\Abteilungsprojekte\eng\EngData\AOS\Allgemein\[LabSamples2025.xlsx]Bioplastic'!B1003)</f>
        <v/>
      </c>
      <c r="C1003">
        <f>IF(ISBLANK('Q:\Abteilungsprojekte\eng\EngData\AOS\Allgemein\[LabSamples2025.xlsx]Bioplastic'!C1003)," ",'Q:\Abteilungsprojekte\eng\EngData\AOS\Allgemein\[LabSamples2025.xlsx]Bioplastic'!C1003)</f>
        <v/>
      </c>
      <c r="D1003">
        <f>IF(ISBLANK('Q:\Abteilungsprojekte\eng\EngData\AOS\Allgemein\[LabSamples2025.xlsx]Bioplastic'!D1003)," ",'Q:\Abteilungsprojekte\eng\EngData\AOS\Allgemein\[LabSamples2025.xlsx]Bioplastic'!D1003)</f>
        <v/>
      </c>
      <c r="E1003">
        <f>IF(ISBLANK('Q:\Abteilungsprojekte\eng\EngData\AOS\Allgemein\[LabSamples2025.xlsx]Bioplastic'!E1003)," ",'Q:\Abteilungsprojekte\eng\EngData\AOS\Allgemein\[LabSamples2025.xlsx]Bioplastic'!E1003)</f>
        <v/>
      </c>
      <c r="F1003">
        <f>IF(ISBLANK('Q:\Abteilungsprojekte\eng\EngData\AOS\Allgemein\[LabSamples2025.xlsx]Bioplastic'!F1003)," ",'Q:\Abteilungsprojekte\eng\EngData\AOS\Allgemein\[LabSamples2025.xlsx]Bioplastic'!F1003)</f>
        <v/>
      </c>
      <c r="G1003">
        <f>IF(ISBLANK('Q:\Abteilungsprojekte\eng\EngData\AOS\Allgemein\[LabSamples2025.xlsx]Bioplastic'!G1003)," ",'Q:\Abteilungsprojekte\eng\EngData\AOS\Allgemein\[LabSamples2025.xlsx]Bioplastic'!G1003)</f>
        <v/>
      </c>
      <c r="H1003">
        <f>IF(ISBLANK('Q:\Abteilungsprojekte\eng\EngData\AOS\Allgemein\[LabSamples2025.xlsx]Bioplastic'!H1003)," ",'Q:\Abteilungsprojekte\eng\EngData\AOS\Allgemein\[LabSamples2025.xlsx]Bioplastic'!H1003)</f>
        <v/>
      </c>
    </row>
    <row r="1004">
      <c r="A1004">
        <f>IF(ISBLANK('Q:\Abteilungsprojekte\eng\EngData\AOS\Allgemein\[LabSamples2025.xlsx]Bioplastic'!A1004)," ",'Q:\Abteilungsprojekte\eng\EngData\AOS\Allgemein\[LabSamples2025.xlsx]Bioplastic'!A1004)</f>
        <v/>
      </c>
      <c r="B1004">
        <f>IF(ISBLANK('Q:\Abteilungsprojekte\eng\EngData\AOS\Allgemein\[LabSamples2025.xlsx]Bioplastic'!B1004)," ",'Q:\Abteilungsprojekte\eng\EngData\AOS\Allgemein\[LabSamples2025.xlsx]Bioplastic'!B1004)</f>
        <v/>
      </c>
      <c r="C1004">
        <f>IF(ISBLANK('Q:\Abteilungsprojekte\eng\EngData\AOS\Allgemein\[LabSamples2025.xlsx]Bioplastic'!C1004)," ",'Q:\Abteilungsprojekte\eng\EngData\AOS\Allgemein\[LabSamples2025.xlsx]Bioplastic'!C1004)</f>
        <v/>
      </c>
      <c r="D1004">
        <f>IF(ISBLANK('Q:\Abteilungsprojekte\eng\EngData\AOS\Allgemein\[LabSamples2025.xlsx]Bioplastic'!D1004)," ",'Q:\Abteilungsprojekte\eng\EngData\AOS\Allgemein\[LabSamples2025.xlsx]Bioplastic'!D1004)</f>
        <v/>
      </c>
      <c r="E1004">
        <f>IF(ISBLANK('Q:\Abteilungsprojekte\eng\EngData\AOS\Allgemein\[LabSamples2025.xlsx]Bioplastic'!E1004)," ",'Q:\Abteilungsprojekte\eng\EngData\AOS\Allgemein\[LabSamples2025.xlsx]Bioplastic'!E1004)</f>
        <v/>
      </c>
      <c r="F1004">
        <f>IF(ISBLANK('Q:\Abteilungsprojekte\eng\EngData\AOS\Allgemein\[LabSamples2025.xlsx]Bioplastic'!F1004)," ",'Q:\Abteilungsprojekte\eng\EngData\AOS\Allgemein\[LabSamples2025.xlsx]Bioplastic'!F1004)</f>
        <v/>
      </c>
      <c r="G1004">
        <f>IF(ISBLANK('Q:\Abteilungsprojekte\eng\EngData\AOS\Allgemein\[LabSamples2025.xlsx]Bioplastic'!G1004)," ",'Q:\Abteilungsprojekte\eng\EngData\AOS\Allgemein\[LabSamples2025.xlsx]Bioplastic'!G1004)</f>
        <v/>
      </c>
      <c r="H1004">
        <f>IF(ISBLANK('Q:\Abteilungsprojekte\eng\EngData\AOS\Allgemein\[LabSamples2025.xlsx]Bioplastic'!H1004)," ",'Q:\Abteilungsprojekte\eng\EngData\AOS\Allgemein\[LabSamples2025.xlsx]Bioplastic'!H1004)</f>
        <v/>
      </c>
    </row>
    <row r="1005">
      <c r="A1005">
        <f>IF(ISBLANK('Q:\Abteilungsprojekte\eng\EngData\AOS\Allgemein\[LabSamples2025.xlsx]Bioplastic'!A1005)," ",'Q:\Abteilungsprojekte\eng\EngData\AOS\Allgemein\[LabSamples2025.xlsx]Bioplastic'!A1005)</f>
        <v/>
      </c>
      <c r="B1005">
        <f>IF(ISBLANK('Q:\Abteilungsprojekte\eng\EngData\AOS\Allgemein\[LabSamples2025.xlsx]Bioplastic'!B1005)," ",'Q:\Abteilungsprojekte\eng\EngData\AOS\Allgemein\[LabSamples2025.xlsx]Bioplastic'!B1005)</f>
        <v/>
      </c>
      <c r="C1005">
        <f>IF(ISBLANK('Q:\Abteilungsprojekte\eng\EngData\AOS\Allgemein\[LabSamples2025.xlsx]Bioplastic'!C1005)," ",'Q:\Abteilungsprojekte\eng\EngData\AOS\Allgemein\[LabSamples2025.xlsx]Bioplastic'!C1005)</f>
        <v/>
      </c>
      <c r="D1005">
        <f>IF(ISBLANK('Q:\Abteilungsprojekte\eng\EngData\AOS\Allgemein\[LabSamples2025.xlsx]Bioplastic'!D1005)," ",'Q:\Abteilungsprojekte\eng\EngData\AOS\Allgemein\[LabSamples2025.xlsx]Bioplastic'!D1005)</f>
        <v/>
      </c>
      <c r="E1005">
        <f>IF(ISBLANK('Q:\Abteilungsprojekte\eng\EngData\AOS\Allgemein\[LabSamples2025.xlsx]Bioplastic'!E1005)," ",'Q:\Abteilungsprojekte\eng\EngData\AOS\Allgemein\[LabSamples2025.xlsx]Bioplastic'!E1005)</f>
        <v/>
      </c>
      <c r="F1005">
        <f>IF(ISBLANK('Q:\Abteilungsprojekte\eng\EngData\AOS\Allgemein\[LabSamples2025.xlsx]Bioplastic'!F1005)," ",'Q:\Abteilungsprojekte\eng\EngData\AOS\Allgemein\[LabSamples2025.xlsx]Bioplastic'!F1005)</f>
        <v/>
      </c>
      <c r="G1005">
        <f>IF(ISBLANK('Q:\Abteilungsprojekte\eng\EngData\AOS\Allgemein\[LabSamples2025.xlsx]Bioplastic'!G1005)," ",'Q:\Abteilungsprojekte\eng\EngData\AOS\Allgemein\[LabSamples2025.xlsx]Bioplastic'!G1005)</f>
        <v/>
      </c>
      <c r="H1005">
        <f>IF(ISBLANK('Q:\Abteilungsprojekte\eng\EngData\AOS\Allgemein\[LabSamples2025.xlsx]Bioplastic'!H1005)," ",'Q:\Abteilungsprojekte\eng\EngData\AOS\Allgemein\[LabSamples2025.xlsx]Bioplastic'!H1005)</f>
        <v/>
      </c>
    </row>
    <row r="1006">
      <c r="A1006">
        <f>IF(ISBLANK('Q:\Abteilungsprojekte\eng\EngData\AOS\Allgemein\[LabSamples2025.xlsx]Bioplastic'!A1006)," ",'Q:\Abteilungsprojekte\eng\EngData\AOS\Allgemein\[LabSamples2025.xlsx]Bioplastic'!A1006)</f>
        <v/>
      </c>
      <c r="B1006">
        <f>IF(ISBLANK('Q:\Abteilungsprojekte\eng\EngData\AOS\Allgemein\[LabSamples2025.xlsx]Bioplastic'!B1006)," ",'Q:\Abteilungsprojekte\eng\EngData\AOS\Allgemein\[LabSamples2025.xlsx]Bioplastic'!B1006)</f>
        <v/>
      </c>
      <c r="C1006">
        <f>IF(ISBLANK('Q:\Abteilungsprojekte\eng\EngData\AOS\Allgemein\[LabSamples2025.xlsx]Bioplastic'!C1006)," ",'Q:\Abteilungsprojekte\eng\EngData\AOS\Allgemein\[LabSamples2025.xlsx]Bioplastic'!C1006)</f>
        <v/>
      </c>
      <c r="D1006">
        <f>IF(ISBLANK('Q:\Abteilungsprojekte\eng\EngData\AOS\Allgemein\[LabSamples2025.xlsx]Bioplastic'!D1006)," ",'Q:\Abteilungsprojekte\eng\EngData\AOS\Allgemein\[LabSamples2025.xlsx]Bioplastic'!D1006)</f>
        <v/>
      </c>
      <c r="E1006">
        <f>IF(ISBLANK('Q:\Abteilungsprojekte\eng\EngData\AOS\Allgemein\[LabSamples2025.xlsx]Bioplastic'!E1006)," ",'Q:\Abteilungsprojekte\eng\EngData\AOS\Allgemein\[LabSamples2025.xlsx]Bioplastic'!E1006)</f>
        <v/>
      </c>
      <c r="F1006">
        <f>IF(ISBLANK('Q:\Abteilungsprojekte\eng\EngData\AOS\Allgemein\[LabSamples2025.xlsx]Bioplastic'!F1006)," ",'Q:\Abteilungsprojekte\eng\EngData\AOS\Allgemein\[LabSamples2025.xlsx]Bioplastic'!F1006)</f>
        <v/>
      </c>
      <c r="G1006">
        <f>IF(ISBLANK('Q:\Abteilungsprojekte\eng\EngData\AOS\Allgemein\[LabSamples2025.xlsx]Bioplastic'!G1006)," ",'Q:\Abteilungsprojekte\eng\EngData\AOS\Allgemein\[LabSamples2025.xlsx]Bioplastic'!G1006)</f>
        <v/>
      </c>
      <c r="H1006">
        <f>IF(ISBLANK('Q:\Abteilungsprojekte\eng\EngData\AOS\Allgemein\[LabSamples2025.xlsx]Bioplastic'!H1006)," ",'Q:\Abteilungsprojekte\eng\EngData\AOS\Allgemein\[LabSamples2025.xlsx]Bioplastic'!H1006)</f>
        <v/>
      </c>
    </row>
    <row r="1007">
      <c r="A1007">
        <f>IF(ISBLANK('Q:\Abteilungsprojekte\eng\EngData\AOS\Allgemein\[LabSamples2025.xlsx]Bioplastic'!A1007)," ",'Q:\Abteilungsprojekte\eng\EngData\AOS\Allgemein\[LabSamples2025.xlsx]Bioplastic'!A1007)</f>
        <v/>
      </c>
      <c r="B1007">
        <f>IF(ISBLANK('Q:\Abteilungsprojekte\eng\EngData\AOS\Allgemein\[LabSamples2025.xlsx]Bioplastic'!B1007)," ",'Q:\Abteilungsprojekte\eng\EngData\AOS\Allgemein\[LabSamples2025.xlsx]Bioplastic'!B1007)</f>
        <v/>
      </c>
      <c r="C1007">
        <f>IF(ISBLANK('Q:\Abteilungsprojekte\eng\EngData\AOS\Allgemein\[LabSamples2025.xlsx]Bioplastic'!C1007)," ",'Q:\Abteilungsprojekte\eng\EngData\AOS\Allgemein\[LabSamples2025.xlsx]Bioplastic'!C1007)</f>
        <v/>
      </c>
      <c r="D1007">
        <f>IF(ISBLANK('Q:\Abteilungsprojekte\eng\EngData\AOS\Allgemein\[LabSamples2025.xlsx]Bioplastic'!D1007)," ",'Q:\Abteilungsprojekte\eng\EngData\AOS\Allgemein\[LabSamples2025.xlsx]Bioplastic'!D1007)</f>
        <v/>
      </c>
      <c r="E1007">
        <f>IF(ISBLANK('Q:\Abteilungsprojekte\eng\EngData\AOS\Allgemein\[LabSamples2025.xlsx]Bioplastic'!E1007)," ",'Q:\Abteilungsprojekte\eng\EngData\AOS\Allgemein\[LabSamples2025.xlsx]Bioplastic'!E1007)</f>
        <v/>
      </c>
      <c r="F1007">
        <f>IF(ISBLANK('Q:\Abteilungsprojekte\eng\EngData\AOS\Allgemein\[LabSamples2025.xlsx]Bioplastic'!F1007)," ",'Q:\Abteilungsprojekte\eng\EngData\AOS\Allgemein\[LabSamples2025.xlsx]Bioplastic'!F1007)</f>
        <v/>
      </c>
      <c r="G1007">
        <f>IF(ISBLANK('Q:\Abteilungsprojekte\eng\EngData\AOS\Allgemein\[LabSamples2025.xlsx]Bioplastic'!G1007)," ",'Q:\Abteilungsprojekte\eng\EngData\AOS\Allgemein\[LabSamples2025.xlsx]Bioplastic'!G1007)</f>
        <v/>
      </c>
      <c r="H1007">
        <f>IF(ISBLANK('Q:\Abteilungsprojekte\eng\EngData\AOS\Allgemein\[LabSamples2025.xlsx]Bioplastic'!H1007)," ",'Q:\Abteilungsprojekte\eng\EngData\AOS\Allgemein\[LabSamples2025.xlsx]Bioplastic'!H1007)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IF(ISBLANK('Q:\Abteilungsprojekte\Eng\EngData\PROJECT_Bioplastics\Renjie_Pan\05-Raw_Data\Lab_results\[LabSamples2025_Bioplastic_extra.xlsx]extra_Bioplastic'!A1)," ",'Q:\Abteilungsprojekte\Eng\EngData\PROJECT_Bioplastics\Renjie_Pan\05-Raw_Data\Lab_results\[LabSamples2025_Bioplastic_extra.xlsx]extra_Bioplastic'!A1)</f>
        <v/>
      </c>
      <c r="B1">
        <f>IF(ISBLANK('Q:\Abteilungsprojekte\Eng\EngData\PROJECT_Bioplastics\Renjie_Pan\05-Raw_Data\Lab_results\[LabSamples2025_Bioplastic_extra.xlsx]extra_Bioplastic'!B1)," ",'Q:\Abteilungsprojekte\Eng\EngData\PROJECT_Bioplastics\Renjie_Pan\05-Raw_Data\Lab_results\[LabSamples2025_Bioplastic_extra.xlsx]extra_Bioplastic'!B1)</f>
        <v/>
      </c>
      <c r="C1">
        <f>IF(ISBLANK('Q:\Abteilungsprojekte\Eng\EngData\PROJECT_Bioplastics\Renjie_Pan\05-Raw_Data\Lab_results\[LabSamples2025_Bioplastic_extra.xlsx]extra_Bioplastic'!C1)," ",'Q:\Abteilungsprojekte\Eng\EngData\PROJECT_Bioplastics\Renjie_Pan\05-Raw_Data\Lab_results\[LabSamples2025_Bioplastic_extra.xlsx]extra_Bioplastic'!C1)</f>
        <v/>
      </c>
      <c r="D1">
        <f>IF(ISBLANK('Q:\Abteilungsprojekte\Eng\EngData\PROJECT_Bioplastics\Renjie_Pan\05-Raw_Data\Lab_results\[LabSamples2025_Bioplastic_extra.xlsx]extra_Bioplastic'!D1)," ",'Q:\Abteilungsprojekte\Eng\EngData\PROJECT_Bioplastics\Renjie_Pan\05-Raw_Data\Lab_results\[LabSamples2025_Bioplastic_extra.xlsx]extra_Bioplastic'!D1)</f>
        <v/>
      </c>
      <c r="E1">
        <f>IF(ISBLANK('Q:\Abteilungsprojekte\Eng\EngData\PROJECT_Bioplastics\Renjie_Pan\05-Raw_Data\Lab_results\[LabSamples2025_Bioplastic_extra.xlsx]extra_Bioplastic'!E1)," ",'Q:\Abteilungsprojekte\Eng\EngData\PROJECT_Bioplastics\Renjie_Pan\05-Raw_Data\Lab_results\[LabSamples2025_Bioplastic_extra.xlsx]extra_Bioplastic'!E1)</f>
        <v/>
      </c>
      <c r="F1">
        <f>IF(ISBLANK('Q:\Abteilungsprojekte\Eng\EngData\PROJECT_Bioplastics\Renjie_Pan\05-Raw_Data\Lab_results\[LabSamples2025_Bioplastic_extra.xlsx]extra_Bioplastic'!F1)," ",'Q:\Abteilungsprojekte\Eng\EngData\PROJECT_Bioplastics\Renjie_Pan\05-Raw_Data\Lab_results\[LabSamples2025_Bioplastic_extra.xlsx]extra_Bioplastic'!F1)</f>
        <v/>
      </c>
      <c r="G1">
        <f>IF(ISBLANK('Q:\Abteilungsprojekte\Eng\EngData\PROJECT_Bioplastics\Renjie_Pan\05-Raw_Data\Lab_results\[LabSamples2025_Bioplastic_extra.xlsx]extra_Bioplastic'!G1)," ",'Q:\Abteilungsprojekte\Eng\EngData\PROJECT_Bioplastics\Renjie_Pan\05-Raw_Data\Lab_results\[LabSamples2025_Bioplastic_extra.xlsx]extra_Bioplastic'!G1)</f>
        <v/>
      </c>
      <c r="H1">
        <f>IF(ISBLANK('Q:\Abteilungsprojekte\Eng\EngData\PROJECT_Bioplastics\Renjie_Pan\05-Raw_Data\Lab_results\[LabSamples2025_Bioplastic_extra.xlsx]extra_Bioplastic'!H1)," ",'Q:\Abteilungsprojekte\Eng\EngData\PROJECT_Bioplastics\Renjie_Pan\05-Raw_Data\Lab_results\[LabSamples2025_Bioplastic_extra.xlsx]extra_Bioplastic'!H1)</f>
        <v/>
      </c>
    </row>
    <row r="2">
      <c r="A2">
        <f>IF(ISBLANK('Q:\Abteilungsprojekte\Eng\EngData\PROJECT_Bioplastics\Renjie_Pan\05-Raw_Data\Lab_results\[LabSamples2025_Bioplastic_extra.xlsx]extra_Bioplastic'!A2)," ",'Q:\Abteilungsprojekte\Eng\EngData\PROJECT_Bioplastics\Renjie_Pan\05-Raw_Data\Lab_results\[LabSamples2025_Bioplastic_extra.xlsx]extra_Bioplastic'!A2)</f>
        <v/>
      </c>
      <c r="B2">
        <f>IF(ISBLANK('Q:\Abteilungsprojekte\Eng\EngData\PROJECT_Bioplastics\Renjie_Pan\05-Raw_Data\Lab_results\[LabSamples2025_Bioplastic_extra.xlsx]extra_Bioplastic'!B2)," ",'Q:\Abteilungsprojekte\Eng\EngData\PROJECT_Bioplastics\Renjie_Pan\05-Raw_Data\Lab_results\[LabSamples2025_Bioplastic_extra.xlsx]extra_Bioplastic'!B2)</f>
        <v/>
      </c>
      <c r="C2">
        <f>IF(ISBLANK('Q:\Abteilungsprojekte\Eng\EngData\PROJECT_Bioplastics\Renjie_Pan\05-Raw_Data\Lab_results\[LabSamples2025_Bioplastic_extra.xlsx]extra_Bioplastic'!C2)," ",'Q:\Abteilungsprojekte\Eng\EngData\PROJECT_Bioplastics\Renjie_Pan\05-Raw_Data\Lab_results\[LabSamples2025_Bioplastic_extra.xlsx]extra_Bioplastic'!C2)</f>
        <v/>
      </c>
      <c r="D2">
        <f>IF(ISBLANK('Q:\Abteilungsprojekte\Eng\EngData\PROJECT_Bioplastics\Renjie_Pan\05-Raw_Data\Lab_results\[LabSamples2025_Bioplastic_extra.xlsx]extra_Bioplastic'!D2)," ",'Q:\Abteilungsprojekte\Eng\EngData\PROJECT_Bioplastics\Renjie_Pan\05-Raw_Data\Lab_results\[LabSamples2025_Bioplastic_extra.xlsx]extra_Bioplastic'!D2)</f>
        <v/>
      </c>
      <c r="E2">
        <f>IF(ISBLANK('Q:\Abteilungsprojekte\Eng\EngData\PROJECT_Bioplastics\Renjie_Pan\05-Raw_Data\Lab_results\[LabSamples2025_Bioplastic_extra.xlsx]extra_Bioplastic'!E2)," ",'Q:\Abteilungsprojekte\Eng\EngData\PROJECT_Bioplastics\Renjie_Pan\05-Raw_Data\Lab_results\[LabSamples2025_Bioplastic_extra.xlsx]extra_Bioplastic'!E2)</f>
        <v/>
      </c>
      <c r="F2">
        <f>IF(ISBLANK('Q:\Abteilungsprojekte\Eng\EngData\PROJECT_Bioplastics\Renjie_Pan\05-Raw_Data\Lab_results\[LabSamples2025_Bioplastic_extra.xlsx]extra_Bioplastic'!F2)," ",'Q:\Abteilungsprojekte\Eng\EngData\PROJECT_Bioplastics\Renjie_Pan\05-Raw_Data\Lab_results\[LabSamples2025_Bioplastic_extra.xlsx]extra_Bioplastic'!F2)</f>
        <v/>
      </c>
      <c r="G2">
        <f>IF(ISBLANK('Q:\Abteilungsprojekte\Eng\EngData\PROJECT_Bioplastics\Renjie_Pan\05-Raw_Data\Lab_results\[LabSamples2025_Bioplastic_extra.xlsx]extra_Bioplastic'!G2)," ",'Q:\Abteilungsprojekte\Eng\EngData\PROJECT_Bioplastics\Renjie_Pan\05-Raw_Data\Lab_results\[LabSamples2025_Bioplastic_extra.xlsx]extra_Bioplastic'!G2)</f>
        <v/>
      </c>
      <c r="H2">
        <f>IF(ISBLANK('Q:\Abteilungsprojekte\Eng\EngData\PROJECT_Bioplastics\Renjie_Pan\05-Raw_Data\Lab_results\[LabSamples2025_Bioplastic_extra.xlsx]extra_Bioplastic'!H2)," ",'Q:\Abteilungsprojekte\Eng\EngData\PROJECT_Bioplastics\Renjie_Pan\05-Raw_Data\Lab_results\[LabSamples2025_Bioplastic_extra.xlsx]extra_Bioplastic'!H2)</f>
        <v/>
      </c>
    </row>
    <row r="3">
      <c r="A3">
        <f>IF(ISBLANK('Q:\Abteilungsprojekte\Eng\EngData\PROJECT_Bioplastics\Renjie_Pan\05-Raw_Data\Lab_results\[LabSamples2025_Bioplastic_extra.xlsx]extra_Bioplastic'!A3)," ",'Q:\Abteilungsprojekte\Eng\EngData\PROJECT_Bioplastics\Renjie_Pan\05-Raw_Data\Lab_results\[LabSamples2025_Bioplastic_extra.xlsx]extra_Bioplastic'!A3)</f>
        <v/>
      </c>
      <c r="B3">
        <f>IF(ISBLANK('Q:\Abteilungsprojekte\Eng\EngData\PROJECT_Bioplastics\Renjie_Pan\05-Raw_Data\Lab_results\[LabSamples2025_Bioplastic_extra.xlsx]extra_Bioplastic'!B3)," ",'Q:\Abteilungsprojekte\Eng\EngData\PROJECT_Bioplastics\Renjie_Pan\05-Raw_Data\Lab_results\[LabSamples2025_Bioplastic_extra.xlsx]extra_Bioplastic'!B3)</f>
        <v/>
      </c>
      <c r="C3">
        <f>IF(ISBLANK('Q:\Abteilungsprojekte\Eng\EngData\PROJECT_Bioplastics\Renjie_Pan\05-Raw_Data\Lab_results\[LabSamples2025_Bioplastic_extra.xlsx]extra_Bioplastic'!C3)," ",'Q:\Abteilungsprojekte\Eng\EngData\PROJECT_Bioplastics\Renjie_Pan\05-Raw_Data\Lab_results\[LabSamples2025_Bioplastic_extra.xlsx]extra_Bioplastic'!C3)</f>
        <v/>
      </c>
      <c r="D3">
        <f>IF(ISBLANK('Q:\Abteilungsprojekte\Eng\EngData\PROJECT_Bioplastics\Renjie_Pan\05-Raw_Data\Lab_results\[LabSamples2025_Bioplastic_extra.xlsx]extra_Bioplastic'!D3)," ",'Q:\Abteilungsprojekte\Eng\EngData\PROJECT_Bioplastics\Renjie_Pan\05-Raw_Data\Lab_results\[LabSamples2025_Bioplastic_extra.xlsx]extra_Bioplastic'!D3)</f>
        <v/>
      </c>
      <c r="E3">
        <f>IF(ISBLANK('Q:\Abteilungsprojekte\Eng\EngData\PROJECT_Bioplastics\Renjie_Pan\05-Raw_Data\Lab_results\[LabSamples2025_Bioplastic_extra.xlsx]extra_Bioplastic'!E3)," ",'Q:\Abteilungsprojekte\Eng\EngData\PROJECT_Bioplastics\Renjie_Pan\05-Raw_Data\Lab_results\[LabSamples2025_Bioplastic_extra.xlsx]extra_Bioplastic'!E3)</f>
        <v/>
      </c>
      <c r="F3">
        <f>IF(ISBLANK('Q:\Abteilungsprojekte\Eng\EngData\PROJECT_Bioplastics\Renjie_Pan\05-Raw_Data\Lab_results\[LabSamples2025_Bioplastic_extra.xlsx]extra_Bioplastic'!F3)," ",'Q:\Abteilungsprojekte\Eng\EngData\PROJECT_Bioplastics\Renjie_Pan\05-Raw_Data\Lab_results\[LabSamples2025_Bioplastic_extra.xlsx]extra_Bioplastic'!F3)</f>
        <v/>
      </c>
      <c r="G3">
        <f>IF(ISBLANK('Q:\Abteilungsprojekte\Eng\EngData\PROJECT_Bioplastics\Renjie_Pan\05-Raw_Data\Lab_results\[LabSamples2025_Bioplastic_extra.xlsx]extra_Bioplastic'!G3)," ",'Q:\Abteilungsprojekte\Eng\EngData\PROJECT_Bioplastics\Renjie_Pan\05-Raw_Data\Lab_results\[LabSamples2025_Bioplastic_extra.xlsx]extra_Bioplastic'!G3)</f>
        <v/>
      </c>
      <c r="H3">
        <f>IF(ISBLANK('Q:\Abteilungsprojekte\Eng\EngData\PROJECT_Bioplastics\Renjie_Pan\05-Raw_Data\Lab_results\[LabSamples2025_Bioplastic_extra.xlsx]extra_Bioplastic'!H3)," ",'Q:\Abteilungsprojekte\Eng\EngData\PROJECT_Bioplastics\Renjie_Pan\05-Raw_Data\Lab_results\[LabSamples2025_Bioplastic_extra.xlsx]extra_Bioplastic'!H3)</f>
        <v/>
      </c>
    </row>
    <row r="4">
      <c r="A4">
        <f>IF(ISBLANK('Q:\Abteilungsprojekte\Eng\EngData\PROJECT_Bioplastics\Renjie_Pan\05-Raw_Data\Lab_results\[LabSamples2025_Bioplastic_extra.xlsx]extra_Bioplastic'!A4)," ",'Q:\Abteilungsprojekte\Eng\EngData\PROJECT_Bioplastics\Renjie_Pan\05-Raw_Data\Lab_results\[LabSamples2025_Bioplastic_extra.xlsx]extra_Bioplastic'!A4)</f>
        <v/>
      </c>
      <c r="B4">
        <f>IF(ISBLANK('Q:\Abteilungsprojekte\Eng\EngData\PROJECT_Bioplastics\Renjie_Pan\05-Raw_Data\Lab_results\[LabSamples2025_Bioplastic_extra.xlsx]extra_Bioplastic'!B4)," ",'Q:\Abteilungsprojekte\Eng\EngData\PROJECT_Bioplastics\Renjie_Pan\05-Raw_Data\Lab_results\[LabSamples2025_Bioplastic_extra.xlsx]extra_Bioplastic'!B4)</f>
        <v/>
      </c>
      <c r="C4">
        <f>IF(ISBLANK('Q:\Abteilungsprojekte\Eng\EngData\PROJECT_Bioplastics\Renjie_Pan\05-Raw_Data\Lab_results\[LabSamples2025_Bioplastic_extra.xlsx]extra_Bioplastic'!C4)," ",'Q:\Abteilungsprojekte\Eng\EngData\PROJECT_Bioplastics\Renjie_Pan\05-Raw_Data\Lab_results\[LabSamples2025_Bioplastic_extra.xlsx]extra_Bioplastic'!C4)</f>
        <v/>
      </c>
      <c r="D4">
        <f>IF(ISBLANK('Q:\Abteilungsprojekte\Eng\EngData\PROJECT_Bioplastics\Renjie_Pan\05-Raw_Data\Lab_results\[LabSamples2025_Bioplastic_extra.xlsx]extra_Bioplastic'!D4)," ",'Q:\Abteilungsprojekte\Eng\EngData\PROJECT_Bioplastics\Renjie_Pan\05-Raw_Data\Lab_results\[LabSamples2025_Bioplastic_extra.xlsx]extra_Bioplastic'!D4)</f>
        <v/>
      </c>
      <c r="E4">
        <f>IF(ISBLANK('Q:\Abteilungsprojekte\Eng\EngData\PROJECT_Bioplastics\Renjie_Pan\05-Raw_Data\Lab_results\[LabSamples2025_Bioplastic_extra.xlsx]extra_Bioplastic'!E4)," ",'Q:\Abteilungsprojekte\Eng\EngData\PROJECT_Bioplastics\Renjie_Pan\05-Raw_Data\Lab_results\[LabSamples2025_Bioplastic_extra.xlsx]extra_Bioplastic'!E4)</f>
        <v/>
      </c>
      <c r="F4">
        <f>IF(ISBLANK('Q:\Abteilungsprojekte\Eng\EngData\PROJECT_Bioplastics\Renjie_Pan\05-Raw_Data\Lab_results\[LabSamples2025_Bioplastic_extra.xlsx]extra_Bioplastic'!F4)," ",'Q:\Abteilungsprojekte\Eng\EngData\PROJECT_Bioplastics\Renjie_Pan\05-Raw_Data\Lab_results\[LabSamples2025_Bioplastic_extra.xlsx]extra_Bioplastic'!F4)</f>
        <v/>
      </c>
      <c r="G4">
        <f>IF(ISBLANK('Q:\Abteilungsprojekte\Eng\EngData\PROJECT_Bioplastics\Renjie_Pan\05-Raw_Data\Lab_results\[LabSamples2025_Bioplastic_extra.xlsx]extra_Bioplastic'!G4)," ",'Q:\Abteilungsprojekte\Eng\EngData\PROJECT_Bioplastics\Renjie_Pan\05-Raw_Data\Lab_results\[LabSamples2025_Bioplastic_extra.xlsx]extra_Bioplastic'!G4)</f>
        <v/>
      </c>
      <c r="H4">
        <f>IF(ISBLANK('Q:\Abteilungsprojekte\Eng\EngData\PROJECT_Bioplastics\Renjie_Pan\05-Raw_Data\Lab_results\[LabSamples2025_Bioplastic_extra.xlsx]extra_Bioplastic'!H4)," ",'Q:\Abteilungsprojekte\Eng\EngData\PROJECT_Bioplastics\Renjie_Pan\05-Raw_Data\Lab_results\[LabSamples2025_Bioplastic_extra.xlsx]extra_Bioplastic'!H4)</f>
        <v/>
      </c>
    </row>
    <row r="5">
      <c r="A5">
        <f>IF(ISBLANK('Q:\Abteilungsprojekte\Eng\EngData\PROJECT_Bioplastics\Renjie_Pan\05-Raw_Data\Lab_results\[LabSamples2025_Bioplastic_extra.xlsx]extra_Bioplastic'!A5)," ",'Q:\Abteilungsprojekte\Eng\EngData\PROJECT_Bioplastics\Renjie_Pan\05-Raw_Data\Lab_results\[LabSamples2025_Bioplastic_extra.xlsx]extra_Bioplastic'!A5)</f>
        <v/>
      </c>
      <c r="B5">
        <f>IF(ISBLANK('Q:\Abteilungsprojekte\Eng\EngData\PROJECT_Bioplastics\Renjie_Pan\05-Raw_Data\Lab_results\[LabSamples2025_Bioplastic_extra.xlsx]extra_Bioplastic'!B5)," ",'Q:\Abteilungsprojekte\Eng\EngData\PROJECT_Bioplastics\Renjie_Pan\05-Raw_Data\Lab_results\[LabSamples2025_Bioplastic_extra.xlsx]extra_Bioplastic'!B5)</f>
        <v/>
      </c>
      <c r="C5">
        <f>IF(ISBLANK('Q:\Abteilungsprojekte\Eng\EngData\PROJECT_Bioplastics\Renjie_Pan\05-Raw_Data\Lab_results\[LabSamples2025_Bioplastic_extra.xlsx]extra_Bioplastic'!C5)," ",'Q:\Abteilungsprojekte\Eng\EngData\PROJECT_Bioplastics\Renjie_Pan\05-Raw_Data\Lab_results\[LabSamples2025_Bioplastic_extra.xlsx]extra_Bioplastic'!C5)</f>
        <v/>
      </c>
      <c r="D5">
        <f>IF(ISBLANK('Q:\Abteilungsprojekte\Eng\EngData\PROJECT_Bioplastics\Renjie_Pan\05-Raw_Data\Lab_results\[LabSamples2025_Bioplastic_extra.xlsx]extra_Bioplastic'!D5)," ",'Q:\Abteilungsprojekte\Eng\EngData\PROJECT_Bioplastics\Renjie_Pan\05-Raw_Data\Lab_results\[LabSamples2025_Bioplastic_extra.xlsx]extra_Bioplastic'!D5)</f>
        <v/>
      </c>
      <c r="E5">
        <f>IF(ISBLANK('Q:\Abteilungsprojekte\Eng\EngData\PROJECT_Bioplastics\Renjie_Pan\05-Raw_Data\Lab_results\[LabSamples2025_Bioplastic_extra.xlsx]extra_Bioplastic'!E5)," ",'Q:\Abteilungsprojekte\Eng\EngData\PROJECT_Bioplastics\Renjie_Pan\05-Raw_Data\Lab_results\[LabSamples2025_Bioplastic_extra.xlsx]extra_Bioplastic'!E5)</f>
        <v/>
      </c>
      <c r="F5">
        <f>IF(ISBLANK('Q:\Abteilungsprojekte\Eng\EngData\PROJECT_Bioplastics\Renjie_Pan\05-Raw_Data\Lab_results\[LabSamples2025_Bioplastic_extra.xlsx]extra_Bioplastic'!F5)," ",'Q:\Abteilungsprojekte\Eng\EngData\PROJECT_Bioplastics\Renjie_Pan\05-Raw_Data\Lab_results\[LabSamples2025_Bioplastic_extra.xlsx]extra_Bioplastic'!F5)</f>
        <v/>
      </c>
      <c r="G5">
        <f>IF(ISBLANK('Q:\Abteilungsprojekte\Eng\EngData\PROJECT_Bioplastics\Renjie_Pan\05-Raw_Data\Lab_results\[LabSamples2025_Bioplastic_extra.xlsx]extra_Bioplastic'!G5)," ",'Q:\Abteilungsprojekte\Eng\EngData\PROJECT_Bioplastics\Renjie_Pan\05-Raw_Data\Lab_results\[LabSamples2025_Bioplastic_extra.xlsx]extra_Bioplastic'!G5)</f>
        <v/>
      </c>
      <c r="H5">
        <f>IF(ISBLANK('Q:\Abteilungsprojekte\Eng\EngData\PROJECT_Bioplastics\Renjie_Pan\05-Raw_Data\Lab_results\[LabSamples2025_Bioplastic_extra.xlsx]extra_Bioplastic'!H5)," ",'Q:\Abteilungsprojekte\Eng\EngData\PROJECT_Bioplastics\Renjie_Pan\05-Raw_Data\Lab_results\[LabSamples2025_Bioplastic_extra.xlsx]extra_Bioplastic'!H5)</f>
        <v/>
      </c>
    </row>
    <row r="6">
      <c r="A6">
        <f>IF(ISBLANK('Q:\Abteilungsprojekte\Eng\EngData\PROJECT_Bioplastics\Renjie_Pan\05-Raw_Data\Lab_results\[LabSamples2025_Bioplastic_extra.xlsx]extra_Bioplastic'!A6)," ",'Q:\Abteilungsprojekte\Eng\EngData\PROJECT_Bioplastics\Renjie_Pan\05-Raw_Data\Lab_results\[LabSamples2025_Bioplastic_extra.xlsx]extra_Bioplastic'!A6)</f>
        <v/>
      </c>
      <c r="B6">
        <f>IF(ISBLANK('Q:\Abteilungsprojekte\Eng\EngData\PROJECT_Bioplastics\Renjie_Pan\05-Raw_Data\Lab_results\[LabSamples2025_Bioplastic_extra.xlsx]extra_Bioplastic'!B6)," ",'Q:\Abteilungsprojekte\Eng\EngData\PROJECT_Bioplastics\Renjie_Pan\05-Raw_Data\Lab_results\[LabSamples2025_Bioplastic_extra.xlsx]extra_Bioplastic'!B6)</f>
        <v/>
      </c>
      <c r="C6">
        <f>IF(ISBLANK('Q:\Abteilungsprojekte\Eng\EngData\PROJECT_Bioplastics\Renjie_Pan\05-Raw_Data\Lab_results\[LabSamples2025_Bioplastic_extra.xlsx]extra_Bioplastic'!C6)," ",'Q:\Abteilungsprojekte\Eng\EngData\PROJECT_Bioplastics\Renjie_Pan\05-Raw_Data\Lab_results\[LabSamples2025_Bioplastic_extra.xlsx]extra_Bioplastic'!C6)</f>
        <v/>
      </c>
      <c r="D6">
        <f>IF(ISBLANK('Q:\Abteilungsprojekte\Eng\EngData\PROJECT_Bioplastics\Renjie_Pan\05-Raw_Data\Lab_results\[LabSamples2025_Bioplastic_extra.xlsx]extra_Bioplastic'!D6)," ",'Q:\Abteilungsprojekte\Eng\EngData\PROJECT_Bioplastics\Renjie_Pan\05-Raw_Data\Lab_results\[LabSamples2025_Bioplastic_extra.xlsx]extra_Bioplastic'!D6)</f>
        <v/>
      </c>
      <c r="E6">
        <f>IF(ISBLANK('Q:\Abteilungsprojekte\Eng\EngData\PROJECT_Bioplastics\Renjie_Pan\05-Raw_Data\Lab_results\[LabSamples2025_Bioplastic_extra.xlsx]extra_Bioplastic'!E6)," ",'Q:\Abteilungsprojekte\Eng\EngData\PROJECT_Bioplastics\Renjie_Pan\05-Raw_Data\Lab_results\[LabSamples2025_Bioplastic_extra.xlsx]extra_Bioplastic'!E6)</f>
        <v/>
      </c>
      <c r="F6">
        <f>IF(ISBLANK('Q:\Abteilungsprojekte\Eng\EngData\PROJECT_Bioplastics\Renjie_Pan\05-Raw_Data\Lab_results\[LabSamples2025_Bioplastic_extra.xlsx]extra_Bioplastic'!F6)," ",'Q:\Abteilungsprojekte\Eng\EngData\PROJECT_Bioplastics\Renjie_Pan\05-Raw_Data\Lab_results\[LabSamples2025_Bioplastic_extra.xlsx]extra_Bioplastic'!F6)</f>
        <v/>
      </c>
      <c r="G6">
        <f>IF(ISBLANK('Q:\Abteilungsprojekte\Eng\EngData\PROJECT_Bioplastics\Renjie_Pan\05-Raw_Data\Lab_results\[LabSamples2025_Bioplastic_extra.xlsx]extra_Bioplastic'!G6)," ",'Q:\Abteilungsprojekte\Eng\EngData\PROJECT_Bioplastics\Renjie_Pan\05-Raw_Data\Lab_results\[LabSamples2025_Bioplastic_extra.xlsx]extra_Bioplastic'!G6)</f>
        <v/>
      </c>
      <c r="H6">
        <f>IF(ISBLANK('Q:\Abteilungsprojekte\Eng\EngData\PROJECT_Bioplastics\Renjie_Pan\05-Raw_Data\Lab_results\[LabSamples2025_Bioplastic_extra.xlsx]extra_Bioplastic'!H6)," ",'Q:\Abteilungsprojekte\Eng\EngData\PROJECT_Bioplastics\Renjie_Pan\05-Raw_Data\Lab_results\[LabSamples2025_Bioplastic_extra.xlsx]extra_Bioplastic'!H6)</f>
        <v/>
      </c>
    </row>
    <row r="7">
      <c r="A7">
        <f>IF(ISBLANK('Q:\Abteilungsprojekte\Eng\EngData\PROJECT_Bioplastics\Renjie_Pan\05-Raw_Data\Lab_results\[LabSamples2025_Bioplastic_extra.xlsx]extra_Bioplastic'!A7)," ",'Q:\Abteilungsprojekte\Eng\EngData\PROJECT_Bioplastics\Renjie_Pan\05-Raw_Data\Lab_results\[LabSamples2025_Bioplastic_extra.xlsx]extra_Bioplastic'!A7)</f>
        <v/>
      </c>
      <c r="B7">
        <f>IF(ISBLANK('Q:\Abteilungsprojekte\Eng\EngData\PROJECT_Bioplastics\Renjie_Pan\05-Raw_Data\Lab_results\[LabSamples2025_Bioplastic_extra.xlsx]extra_Bioplastic'!B7)," ",'Q:\Abteilungsprojekte\Eng\EngData\PROJECT_Bioplastics\Renjie_Pan\05-Raw_Data\Lab_results\[LabSamples2025_Bioplastic_extra.xlsx]extra_Bioplastic'!B7)</f>
        <v/>
      </c>
      <c r="C7">
        <f>IF(ISBLANK('Q:\Abteilungsprojekte\Eng\EngData\PROJECT_Bioplastics\Renjie_Pan\05-Raw_Data\Lab_results\[LabSamples2025_Bioplastic_extra.xlsx]extra_Bioplastic'!C7)," ",'Q:\Abteilungsprojekte\Eng\EngData\PROJECT_Bioplastics\Renjie_Pan\05-Raw_Data\Lab_results\[LabSamples2025_Bioplastic_extra.xlsx]extra_Bioplastic'!C7)</f>
        <v/>
      </c>
      <c r="D7">
        <f>IF(ISBLANK('Q:\Abteilungsprojekte\Eng\EngData\PROJECT_Bioplastics\Renjie_Pan\05-Raw_Data\Lab_results\[LabSamples2025_Bioplastic_extra.xlsx]extra_Bioplastic'!D7)," ",'Q:\Abteilungsprojekte\Eng\EngData\PROJECT_Bioplastics\Renjie_Pan\05-Raw_Data\Lab_results\[LabSamples2025_Bioplastic_extra.xlsx]extra_Bioplastic'!D7)</f>
        <v/>
      </c>
      <c r="E7">
        <f>IF(ISBLANK('Q:\Abteilungsprojekte\Eng\EngData\PROJECT_Bioplastics\Renjie_Pan\05-Raw_Data\Lab_results\[LabSamples2025_Bioplastic_extra.xlsx]extra_Bioplastic'!E7)," ",'Q:\Abteilungsprojekte\Eng\EngData\PROJECT_Bioplastics\Renjie_Pan\05-Raw_Data\Lab_results\[LabSamples2025_Bioplastic_extra.xlsx]extra_Bioplastic'!E7)</f>
        <v/>
      </c>
      <c r="F7">
        <f>IF(ISBLANK('Q:\Abteilungsprojekte\Eng\EngData\PROJECT_Bioplastics\Renjie_Pan\05-Raw_Data\Lab_results\[LabSamples2025_Bioplastic_extra.xlsx]extra_Bioplastic'!F7)," ",'Q:\Abteilungsprojekte\Eng\EngData\PROJECT_Bioplastics\Renjie_Pan\05-Raw_Data\Lab_results\[LabSamples2025_Bioplastic_extra.xlsx]extra_Bioplastic'!F7)</f>
        <v/>
      </c>
      <c r="G7">
        <f>IF(ISBLANK('Q:\Abteilungsprojekte\Eng\EngData\PROJECT_Bioplastics\Renjie_Pan\05-Raw_Data\Lab_results\[LabSamples2025_Bioplastic_extra.xlsx]extra_Bioplastic'!G7)," ",'Q:\Abteilungsprojekte\Eng\EngData\PROJECT_Bioplastics\Renjie_Pan\05-Raw_Data\Lab_results\[LabSamples2025_Bioplastic_extra.xlsx]extra_Bioplastic'!G7)</f>
        <v/>
      </c>
      <c r="H7">
        <f>IF(ISBLANK('Q:\Abteilungsprojekte\Eng\EngData\PROJECT_Bioplastics\Renjie_Pan\05-Raw_Data\Lab_results\[LabSamples2025_Bioplastic_extra.xlsx]extra_Bioplastic'!H7)," ",'Q:\Abteilungsprojekte\Eng\EngData\PROJECT_Bioplastics\Renjie_Pan\05-Raw_Data\Lab_results\[LabSamples2025_Bioplastic_extra.xlsx]extra_Bioplastic'!H7)</f>
        <v/>
      </c>
    </row>
    <row r="8">
      <c r="A8">
        <f>IF(ISBLANK('Q:\Abteilungsprojekte\Eng\EngData\PROJECT_Bioplastics\Renjie_Pan\05-Raw_Data\Lab_results\[LabSamples2025_Bioplastic_extra.xlsx]extra_Bioplastic'!A8)," ",'Q:\Abteilungsprojekte\Eng\EngData\PROJECT_Bioplastics\Renjie_Pan\05-Raw_Data\Lab_results\[LabSamples2025_Bioplastic_extra.xlsx]extra_Bioplastic'!A8)</f>
        <v/>
      </c>
      <c r="B8">
        <f>IF(ISBLANK('Q:\Abteilungsprojekte\Eng\EngData\PROJECT_Bioplastics\Renjie_Pan\05-Raw_Data\Lab_results\[LabSamples2025_Bioplastic_extra.xlsx]extra_Bioplastic'!B8)," ",'Q:\Abteilungsprojekte\Eng\EngData\PROJECT_Bioplastics\Renjie_Pan\05-Raw_Data\Lab_results\[LabSamples2025_Bioplastic_extra.xlsx]extra_Bioplastic'!B8)</f>
        <v/>
      </c>
      <c r="C8">
        <f>IF(ISBLANK('Q:\Abteilungsprojekte\Eng\EngData\PROJECT_Bioplastics\Renjie_Pan\05-Raw_Data\Lab_results\[LabSamples2025_Bioplastic_extra.xlsx]extra_Bioplastic'!C8)," ",'Q:\Abteilungsprojekte\Eng\EngData\PROJECT_Bioplastics\Renjie_Pan\05-Raw_Data\Lab_results\[LabSamples2025_Bioplastic_extra.xlsx]extra_Bioplastic'!C8)</f>
        <v/>
      </c>
      <c r="D8">
        <f>IF(ISBLANK('Q:\Abteilungsprojekte\Eng\EngData\PROJECT_Bioplastics\Renjie_Pan\05-Raw_Data\Lab_results\[LabSamples2025_Bioplastic_extra.xlsx]extra_Bioplastic'!D8)," ",'Q:\Abteilungsprojekte\Eng\EngData\PROJECT_Bioplastics\Renjie_Pan\05-Raw_Data\Lab_results\[LabSamples2025_Bioplastic_extra.xlsx]extra_Bioplastic'!D8)</f>
        <v/>
      </c>
      <c r="E8">
        <f>IF(ISBLANK('Q:\Abteilungsprojekte\Eng\EngData\PROJECT_Bioplastics\Renjie_Pan\05-Raw_Data\Lab_results\[LabSamples2025_Bioplastic_extra.xlsx]extra_Bioplastic'!E8)," ",'Q:\Abteilungsprojekte\Eng\EngData\PROJECT_Bioplastics\Renjie_Pan\05-Raw_Data\Lab_results\[LabSamples2025_Bioplastic_extra.xlsx]extra_Bioplastic'!E8)</f>
        <v/>
      </c>
      <c r="F8">
        <f>IF(ISBLANK('Q:\Abteilungsprojekte\Eng\EngData\PROJECT_Bioplastics\Renjie_Pan\05-Raw_Data\Lab_results\[LabSamples2025_Bioplastic_extra.xlsx]extra_Bioplastic'!F8)," ",'Q:\Abteilungsprojekte\Eng\EngData\PROJECT_Bioplastics\Renjie_Pan\05-Raw_Data\Lab_results\[LabSamples2025_Bioplastic_extra.xlsx]extra_Bioplastic'!F8)</f>
        <v/>
      </c>
      <c r="G8">
        <f>IF(ISBLANK('Q:\Abteilungsprojekte\Eng\EngData\PROJECT_Bioplastics\Renjie_Pan\05-Raw_Data\Lab_results\[LabSamples2025_Bioplastic_extra.xlsx]extra_Bioplastic'!G8)," ",'Q:\Abteilungsprojekte\Eng\EngData\PROJECT_Bioplastics\Renjie_Pan\05-Raw_Data\Lab_results\[LabSamples2025_Bioplastic_extra.xlsx]extra_Bioplastic'!G8)</f>
        <v/>
      </c>
      <c r="H8">
        <f>IF(ISBLANK('Q:\Abteilungsprojekte\Eng\EngData\PROJECT_Bioplastics\Renjie_Pan\05-Raw_Data\Lab_results\[LabSamples2025_Bioplastic_extra.xlsx]extra_Bioplastic'!H8)," ",'Q:\Abteilungsprojekte\Eng\EngData\PROJECT_Bioplastics\Renjie_Pan\05-Raw_Data\Lab_results\[LabSamples2025_Bioplastic_extra.xlsx]extra_Bioplastic'!H8)</f>
        <v/>
      </c>
    </row>
    <row r="9">
      <c r="A9">
        <f>IF(ISBLANK('Q:\Abteilungsprojekte\Eng\EngData\PROJECT_Bioplastics\Renjie_Pan\05-Raw_Data\Lab_results\[LabSamples2025_Bioplastic_extra.xlsx]extra_Bioplastic'!A9)," ",'Q:\Abteilungsprojekte\Eng\EngData\PROJECT_Bioplastics\Renjie_Pan\05-Raw_Data\Lab_results\[LabSamples2025_Bioplastic_extra.xlsx]extra_Bioplastic'!A9)</f>
        <v/>
      </c>
      <c r="B9">
        <f>IF(ISBLANK('Q:\Abteilungsprojekte\Eng\EngData\PROJECT_Bioplastics\Renjie_Pan\05-Raw_Data\Lab_results\[LabSamples2025_Bioplastic_extra.xlsx]extra_Bioplastic'!B9)," ",'Q:\Abteilungsprojekte\Eng\EngData\PROJECT_Bioplastics\Renjie_Pan\05-Raw_Data\Lab_results\[LabSamples2025_Bioplastic_extra.xlsx]extra_Bioplastic'!B9)</f>
        <v/>
      </c>
      <c r="C9">
        <f>IF(ISBLANK('Q:\Abteilungsprojekte\Eng\EngData\PROJECT_Bioplastics\Renjie_Pan\05-Raw_Data\Lab_results\[LabSamples2025_Bioplastic_extra.xlsx]extra_Bioplastic'!C9)," ",'Q:\Abteilungsprojekte\Eng\EngData\PROJECT_Bioplastics\Renjie_Pan\05-Raw_Data\Lab_results\[LabSamples2025_Bioplastic_extra.xlsx]extra_Bioplastic'!C9)</f>
        <v/>
      </c>
      <c r="D9">
        <f>IF(ISBLANK('Q:\Abteilungsprojekte\Eng\EngData\PROJECT_Bioplastics\Renjie_Pan\05-Raw_Data\Lab_results\[LabSamples2025_Bioplastic_extra.xlsx]extra_Bioplastic'!D9)," ",'Q:\Abteilungsprojekte\Eng\EngData\PROJECT_Bioplastics\Renjie_Pan\05-Raw_Data\Lab_results\[LabSamples2025_Bioplastic_extra.xlsx]extra_Bioplastic'!D9)</f>
        <v/>
      </c>
      <c r="E9">
        <f>IF(ISBLANK('Q:\Abteilungsprojekte\Eng\EngData\PROJECT_Bioplastics\Renjie_Pan\05-Raw_Data\Lab_results\[LabSamples2025_Bioplastic_extra.xlsx]extra_Bioplastic'!E9)," ",'Q:\Abteilungsprojekte\Eng\EngData\PROJECT_Bioplastics\Renjie_Pan\05-Raw_Data\Lab_results\[LabSamples2025_Bioplastic_extra.xlsx]extra_Bioplastic'!E9)</f>
        <v/>
      </c>
      <c r="F9">
        <f>IF(ISBLANK('Q:\Abteilungsprojekte\Eng\EngData\PROJECT_Bioplastics\Renjie_Pan\05-Raw_Data\Lab_results\[LabSamples2025_Bioplastic_extra.xlsx]extra_Bioplastic'!F9)," ",'Q:\Abteilungsprojekte\Eng\EngData\PROJECT_Bioplastics\Renjie_Pan\05-Raw_Data\Lab_results\[LabSamples2025_Bioplastic_extra.xlsx]extra_Bioplastic'!F9)</f>
        <v/>
      </c>
      <c r="G9">
        <f>IF(ISBLANK('Q:\Abteilungsprojekte\Eng\EngData\PROJECT_Bioplastics\Renjie_Pan\05-Raw_Data\Lab_results\[LabSamples2025_Bioplastic_extra.xlsx]extra_Bioplastic'!G9)," ",'Q:\Abteilungsprojekte\Eng\EngData\PROJECT_Bioplastics\Renjie_Pan\05-Raw_Data\Lab_results\[LabSamples2025_Bioplastic_extra.xlsx]extra_Bioplastic'!G9)</f>
        <v/>
      </c>
      <c r="H9">
        <f>IF(ISBLANK('Q:\Abteilungsprojekte\Eng\EngData\PROJECT_Bioplastics\Renjie_Pan\05-Raw_Data\Lab_results\[LabSamples2025_Bioplastic_extra.xlsx]extra_Bioplastic'!H9)," ",'Q:\Abteilungsprojekte\Eng\EngData\PROJECT_Bioplastics\Renjie_Pan\05-Raw_Data\Lab_results\[LabSamples2025_Bioplastic_extra.xlsx]extra_Bioplastic'!H9)</f>
        <v/>
      </c>
    </row>
    <row r="10">
      <c r="A10">
        <f>IF(ISBLANK('Q:\Abteilungsprojekte\Eng\EngData\PROJECT_Bioplastics\Renjie_Pan\05-Raw_Data\Lab_results\[LabSamples2025_Bioplastic_extra.xlsx]extra_Bioplastic'!A10)," ",'Q:\Abteilungsprojekte\Eng\EngData\PROJECT_Bioplastics\Renjie_Pan\05-Raw_Data\Lab_results\[LabSamples2025_Bioplastic_extra.xlsx]extra_Bioplastic'!A10)</f>
        <v/>
      </c>
      <c r="B10">
        <f>IF(ISBLANK('Q:\Abteilungsprojekte\Eng\EngData\PROJECT_Bioplastics\Renjie_Pan\05-Raw_Data\Lab_results\[LabSamples2025_Bioplastic_extra.xlsx]extra_Bioplastic'!B10)," ",'Q:\Abteilungsprojekte\Eng\EngData\PROJECT_Bioplastics\Renjie_Pan\05-Raw_Data\Lab_results\[LabSamples2025_Bioplastic_extra.xlsx]extra_Bioplastic'!B10)</f>
        <v/>
      </c>
      <c r="C10">
        <f>IF(ISBLANK('Q:\Abteilungsprojekte\Eng\EngData\PROJECT_Bioplastics\Renjie_Pan\05-Raw_Data\Lab_results\[LabSamples2025_Bioplastic_extra.xlsx]extra_Bioplastic'!C10)," ",'Q:\Abteilungsprojekte\Eng\EngData\PROJECT_Bioplastics\Renjie_Pan\05-Raw_Data\Lab_results\[LabSamples2025_Bioplastic_extra.xlsx]extra_Bioplastic'!C10)</f>
        <v/>
      </c>
      <c r="D10">
        <f>IF(ISBLANK('Q:\Abteilungsprojekte\Eng\EngData\PROJECT_Bioplastics\Renjie_Pan\05-Raw_Data\Lab_results\[LabSamples2025_Bioplastic_extra.xlsx]extra_Bioplastic'!D10)," ",'Q:\Abteilungsprojekte\Eng\EngData\PROJECT_Bioplastics\Renjie_Pan\05-Raw_Data\Lab_results\[LabSamples2025_Bioplastic_extra.xlsx]extra_Bioplastic'!D10)</f>
        <v/>
      </c>
      <c r="E10">
        <f>IF(ISBLANK('Q:\Abteilungsprojekte\Eng\EngData\PROJECT_Bioplastics\Renjie_Pan\05-Raw_Data\Lab_results\[LabSamples2025_Bioplastic_extra.xlsx]extra_Bioplastic'!E10)," ",'Q:\Abteilungsprojekte\Eng\EngData\PROJECT_Bioplastics\Renjie_Pan\05-Raw_Data\Lab_results\[LabSamples2025_Bioplastic_extra.xlsx]extra_Bioplastic'!E10)</f>
        <v/>
      </c>
      <c r="F10">
        <f>IF(ISBLANK('Q:\Abteilungsprojekte\Eng\EngData\PROJECT_Bioplastics\Renjie_Pan\05-Raw_Data\Lab_results\[LabSamples2025_Bioplastic_extra.xlsx]extra_Bioplastic'!F10)," ",'Q:\Abteilungsprojekte\Eng\EngData\PROJECT_Bioplastics\Renjie_Pan\05-Raw_Data\Lab_results\[LabSamples2025_Bioplastic_extra.xlsx]extra_Bioplastic'!F10)</f>
        <v/>
      </c>
      <c r="G10">
        <f>IF(ISBLANK('Q:\Abteilungsprojekte\Eng\EngData\PROJECT_Bioplastics\Renjie_Pan\05-Raw_Data\Lab_results\[LabSamples2025_Bioplastic_extra.xlsx]extra_Bioplastic'!G10)," ",'Q:\Abteilungsprojekte\Eng\EngData\PROJECT_Bioplastics\Renjie_Pan\05-Raw_Data\Lab_results\[LabSamples2025_Bioplastic_extra.xlsx]extra_Bioplastic'!G10)</f>
        <v/>
      </c>
      <c r="H10">
        <f>IF(ISBLANK('Q:\Abteilungsprojekte\Eng\EngData\PROJECT_Bioplastics\Renjie_Pan\05-Raw_Data\Lab_results\[LabSamples2025_Bioplastic_extra.xlsx]extra_Bioplastic'!H10)," ",'Q:\Abteilungsprojekte\Eng\EngData\PROJECT_Bioplastics\Renjie_Pan\05-Raw_Data\Lab_results\[LabSamples2025_Bioplastic_extra.xlsx]extra_Bioplastic'!H10)</f>
        <v/>
      </c>
    </row>
    <row r="11">
      <c r="A11">
        <f>IF(ISBLANK('Q:\Abteilungsprojekte\Eng\EngData\PROJECT_Bioplastics\Renjie_Pan\05-Raw_Data\Lab_results\[LabSamples2025_Bioplastic_extra.xlsx]extra_Bioplastic'!A11)," ",'Q:\Abteilungsprojekte\Eng\EngData\PROJECT_Bioplastics\Renjie_Pan\05-Raw_Data\Lab_results\[LabSamples2025_Bioplastic_extra.xlsx]extra_Bioplastic'!A11)</f>
        <v/>
      </c>
      <c r="B11">
        <f>IF(ISBLANK('Q:\Abteilungsprojekte\Eng\EngData\PROJECT_Bioplastics\Renjie_Pan\05-Raw_Data\Lab_results\[LabSamples2025_Bioplastic_extra.xlsx]extra_Bioplastic'!B11)," ",'Q:\Abteilungsprojekte\Eng\EngData\PROJECT_Bioplastics\Renjie_Pan\05-Raw_Data\Lab_results\[LabSamples2025_Bioplastic_extra.xlsx]extra_Bioplastic'!B11)</f>
        <v/>
      </c>
      <c r="C11">
        <f>IF(ISBLANK('Q:\Abteilungsprojekte\Eng\EngData\PROJECT_Bioplastics\Renjie_Pan\05-Raw_Data\Lab_results\[LabSamples2025_Bioplastic_extra.xlsx]extra_Bioplastic'!C11)," ",'Q:\Abteilungsprojekte\Eng\EngData\PROJECT_Bioplastics\Renjie_Pan\05-Raw_Data\Lab_results\[LabSamples2025_Bioplastic_extra.xlsx]extra_Bioplastic'!C11)</f>
        <v/>
      </c>
      <c r="D11">
        <f>IF(ISBLANK('Q:\Abteilungsprojekte\Eng\EngData\PROJECT_Bioplastics\Renjie_Pan\05-Raw_Data\Lab_results\[LabSamples2025_Bioplastic_extra.xlsx]extra_Bioplastic'!D11)," ",'Q:\Abteilungsprojekte\Eng\EngData\PROJECT_Bioplastics\Renjie_Pan\05-Raw_Data\Lab_results\[LabSamples2025_Bioplastic_extra.xlsx]extra_Bioplastic'!D11)</f>
        <v/>
      </c>
      <c r="E11">
        <f>IF(ISBLANK('Q:\Abteilungsprojekte\Eng\EngData\PROJECT_Bioplastics\Renjie_Pan\05-Raw_Data\Lab_results\[LabSamples2025_Bioplastic_extra.xlsx]extra_Bioplastic'!E11)," ",'Q:\Abteilungsprojekte\Eng\EngData\PROJECT_Bioplastics\Renjie_Pan\05-Raw_Data\Lab_results\[LabSamples2025_Bioplastic_extra.xlsx]extra_Bioplastic'!E11)</f>
        <v/>
      </c>
      <c r="F11">
        <f>IF(ISBLANK('Q:\Abteilungsprojekte\Eng\EngData\PROJECT_Bioplastics\Renjie_Pan\05-Raw_Data\Lab_results\[LabSamples2025_Bioplastic_extra.xlsx]extra_Bioplastic'!F11)," ",'Q:\Abteilungsprojekte\Eng\EngData\PROJECT_Bioplastics\Renjie_Pan\05-Raw_Data\Lab_results\[LabSamples2025_Bioplastic_extra.xlsx]extra_Bioplastic'!F11)</f>
        <v/>
      </c>
      <c r="G11">
        <f>IF(ISBLANK('Q:\Abteilungsprojekte\Eng\EngData\PROJECT_Bioplastics\Renjie_Pan\05-Raw_Data\Lab_results\[LabSamples2025_Bioplastic_extra.xlsx]extra_Bioplastic'!G11)," ",'Q:\Abteilungsprojekte\Eng\EngData\PROJECT_Bioplastics\Renjie_Pan\05-Raw_Data\Lab_results\[LabSamples2025_Bioplastic_extra.xlsx]extra_Bioplastic'!G11)</f>
        <v/>
      </c>
      <c r="H11">
        <f>IF(ISBLANK('Q:\Abteilungsprojekte\Eng\EngData\PROJECT_Bioplastics\Renjie_Pan\05-Raw_Data\Lab_results\[LabSamples2025_Bioplastic_extra.xlsx]extra_Bioplastic'!H11)," ",'Q:\Abteilungsprojekte\Eng\EngData\PROJECT_Bioplastics\Renjie_Pan\05-Raw_Data\Lab_results\[LabSamples2025_Bioplastic_extra.xlsx]extra_Bioplastic'!H11)</f>
        <v/>
      </c>
    </row>
    <row r="12">
      <c r="A12">
        <f>IF(ISBLANK('Q:\Abteilungsprojekte\Eng\EngData\PROJECT_Bioplastics\Renjie_Pan\05-Raw_Data\Lab_results\[LabSamples2025_Bioplastic_extra.xlsx]extra_Bioplastic'!A12)," ",'Q:\Abteilungsprojekte\Eng\EngData\PROJECT_Bioplastics\Renjie_Pan\05-Raw_Data\Lab_results\[LabSamples2025_Bioplastic_extra.xlsx]extra_Bioplastic'!A12)</f>
        <v/>
      </c>
      <c r="B12">
        <f>IF(ISBLANK('Q:\Abteilungsprojekte\Eng\EngData\PROJECT_Bioplastics\Renjie_Pan\05-Raw_Data\Lab_results\[LabSamples2025_Bioplastic_extra.xlsx]extra_Bioplastic'!B12)," ",'Q:\Abteilungsprojekte\Eng\EngData\PROJECT_Bioplastics\Renjie_Pan\05-Raw_Data\Lab_results\[LabSamples2025_Bioplastic_extra.xlsx]extra_Bioplastic'!B12)</f>
        <v/>
      </c>
      <c r="C12">
        <f>IF(ISBLANK('Q:\Abteilungsprojekte\Eng\EngData\PROJECT_Bioplastics\Renjie_Pan\05-Raw_Data\Lab_results\[LabSamples2025_Bioplastic_extra.xlsx]extra_Bioplastic'!C12)," ",'Q:\Abteilungsprojekte\Eng\EngData\PROJECT_Bioplastics\Renjie_Pan\05-Raw_Data\Lab_results\[LabSamples2025_Bioplastic_extra.xlsx]extra_Bioplastic'!C12)</f>
        <v/>
      </c>
      <c r="D12">
        <f>IF(ISBLANK('Q:\Abteilungsprojekte\Eng\EngData\PROJECT_Bioplastics\Renjie_Pan\05-Raw_Data\Lab_results\[LabSamples2025_Bioplastic_extra.xlsx]extra_Bioplastic'!D12)," ",'Q:\Abteilungsprojekte\Eng\EngData\PROJECT_Bioplastics\Renjie_Pan\05-Raw_Data\Lab_results\[LabSamples2025_Bioplastic_extra.xlsx]extra_Bioplastic'!D12)</f>
        <v/>
      </c>
      <c r="E12">
        <f>IF(ISBLANK('Q:\Abteilungsprojekte\Eng\EngData\PROJECT_Bioplastics\Renjie_Pan\05-Raw_Data\Lab_results\[LabSamples2025_Bioplastic_extra.xlsx]extra_Bioplastic'!E12)," ",'Q:\Abteilungsprojekte\Eng\EngData\PROJECT_Bioplastics\Renjie_Pan\05-Raw_Data\Lab_results\[LabSamples2025_Bioplastic_extra.xlsx]extra_Bioplastic'!E12)</f>
        <v/>
      </c>
      <c r="F12">
        <f>IF(ISBLANK('Q:\Abteilungsprojekte\Eng\EngData\PROJECT_Bioplastics\Renjie_Pan\05-Raw_Data\Lab_results\[LabSamples2025_Bioplastic_extra.xlsx]extra_Bioplastic'!F12)," ",'Q:\Abteilungsprojekte\Eng\EngData\PROJECT_Bioplastics\Renjie_Pan\05-Raw_Data\Lab_results\[LabSamples2025_Bioplastic_extra.xlsx]extra_Bioplastic'!F12)</f>
        <v/>
      </c>
      <c r="G12">
        <f>IF(ISBLANK('Q:\Abteilungsprojekte\Eng\EngData\PROJECT_Bioplastics\Renjie_Pan\05-Raw_Data\Lab_results\[LabSamples2025_Bioplastic_extra.xlsx]extra_Bioplastic'!G12)," ",'Q:\Abteilungsprojekte\Eng\EngData\PROJECT_Bioplastics\Renjie_Pan\05-Raw_Data\Lab_results\[LabSamples2025_Bioplastic_extra.xlsx]extra_Bioplastic'!G12)</f>
        <v/>
      </c>
      <c r="H12">
        <f>IF(ISBLANK('Q:\Abteilungsprojekte\Eng\EngData\PROJECT_Bioplastics\Renjie_Pan\05-Raw_Data\Lab_results\[LabSamples2025_Bioplastic_extra.xlsx]extra_Bioplastic'!H12)," ",'Q:\Abteilungsprojekte\Eng\EngData\PROJECT_Bioplastics\Renjie_Pan\05-Raw_Data\Lab_results\[LabSamples2025_Bioplastic_extra.xlsx]extra_Bioplastic'!H12)</f>
        <v/>
      </c>
    </row>
    <row r="13">
      <c r="A13">
        <f>IF(ISBLANK('Q:\Abteilungsprojekte\Eng\EngData\PROJECT_Bioplastics\Renjie_Pan\05-Raw_Data\Lab_results\[LabSamples2025_Bioplastic_extra.xlsx]extra_Bioplastic'!A13)," ",'Q:\Abteilungsprojekte\Eng\EngData\PROJECT_Bioplastics\Renjie_Pan\05-Raw_Data\Lab_results\[LabSamples2025_Bioplastic_extra.xlsx]extra_Bioplastic'!A13)</f>
        <v/>
      </c>
      <c r="B13">
        <f>IF(ISBLANK('Q:\Abteilungsprojekte\Eng\EngData\PROJECT_Bioplastics\Renjie_Pan\05-Raw_Data\Lab_results\[LabSamples2025_Bioplastic_extra.xlsx]extra_Bioplastic'!B13)," ",'Q:\Abteilungsprojekte\Eng\EngData\PROJECT_Bioplastics\Renjie_Pan\05-Raw_Data\Lab_results\[LabSamples2025_Bioplastic_extra.xlsx]extra_Bioplastic'!B13)</f>
        <v/>
      </c>
      <c r="C13">
        <f>IF(ISBLANK('Q:\Abteilungsprojekte\Eng\EngData\PROJECT_Bioplastics\Renjie_Pan\05-Raw_Data\Lab_results\[LabSamples2025_Bioplastic_extra.xlsx]extra_Bioplastic'!C13)," ",'Q:\Abteilungsprojekte\Eng\EngData\PROJECT_Bioplastics\Renjie_Pan\05-Raw_Data\Lab_results\[LabSamples2025_Bioplastic_extra.xlsx]extra_Bioplastic'!C13)</f>
        <v/>
      </c>
      <c r="D13">
        <f>IF(ISBLANK('Q:\Abteilungsprojekte\Eng\EngData\PROJECT_Bioplastics\Renjie_Pan\05-Raw_Data\Lab_results\[LabSamples2025_Bioplastic_extra.xlsx]extra_Bioplastic'!D13)," ",'Q:\Abteilungsprojekte\Eng\EngData\PROJECT_Bioplastics\Renjie_Pan\05-Raw_Data\Lab_results\[LabSamples2025_Bioplastic_extra.xlsx]extra_Bioplastic'!D13)</f>
        <v/>
      </c>
      <c r="E13">
        <f>IF(ISBLANK('Q:\Abteilungsprojekte\Eng\EngData\PROJECT_Bioplastics\Renjie_Pan\05-Raw_Data\Lab_results\[LabSamples2025_Bioplastic_extra.xlsx]extra_Bioplastic'!E13)," ",'Q:\Abteilungsprojekte\Eng\EngData\PROJECT_Bioplastics\Renjie_Pan\05-Raw_Data\Lab_results\[LabSamples2025_Bioplastic_extra.xlsx]extra_Bioplastic'!E13)</f>
        <v/>
      </c>
      <c r="F13">
        <f>IF(ISBLANK('Q:\Abteilungsprojekte\Eng\EngData\PROJECT_Bioplastics\Renjie_Pan\05-Raw_Data\Lab_results\[LabSamples2025_Bioplastic_extra.xlsx]extra_Bioplastic'!F13)," ",'Q:\Abteilungsprojekte\Eng\EngData\PROJECT_Bioplastics\Renjie_Pan\05-Raw_Data\Lab_results\[LabSamples2025_Bioplastic_extra.xlsx]extra_Bioplastic'!F13)</f>
        <v/>
      </c>
      <c r="G13">
        <f>IF(ISBLANK('Q:\Abteilungsprojekte\Eng\EngData\PROJECT_Bioplastics\Renjie_Pan\05-Raw_Data\Lab_results\[LabSamples2025_Bioplastic_extra.xlsx]extra_Bioplastic'!G13)," ",'Q:\Abteilungsprojekte\Eng\EngData\PROJECT_Bioplastics\Renjie_Pan\05-Raw_Data\Lab_results\[LabSamples2025_Bioplastic_extra.xlsx]extra_Bioplastic'!G13)</f>
        <v/>
      </c>
      <c r="H13">
        <f>IF(ISBLANK('Q:\Abteilungsprojekte\Eng\EngData\PROJECT_Bioplastics\Renjie_Pan\05-Raw_Data\Lab_results\[LabSamples2025_Bioplastic_extra.xlsx]extra_Bioplastic'!H13)," ",'Q:\Abteilungsprojekte\Eng\EngData\PROJECT_Bioplastics\Renjie_Pan\05-Raw_Data\Lab_results\[LabSamples2025_Bioplastic_extra.xlsx]extra_Bioplastic'!H13)</f>
        <v/>
      </c>
    </row>
    <row r="14">
      <c r="A14">
        <f>IF(ISBLANK('Q:\Abteilungsprojekte\Eng\EngData\PROJECT_Bioplastics\Renjie_Pan\05-Raw_Data\Lab_results\[LabSamples2025_Bioplastic_extra.xlsx]extra_Bioplastic'!A14)," ",'Q:\Abteilungsprojekte\Eng\EngData\PROJECT_Bioplastics\Renjie_Pan\05-Raw_Data\Lab_results\[LabSamples2025_Bioplastic_extra.xlsx]extra_Bioplastic'!A14)</f>
        <v/>
      </c>
      <c r="B14">
        <f>IF(ISBLANK('Q:\Abteilungsprojekte\Eng\EngData\PROJECT_Bioplastics\Renjie_Pan\05-Raw_Data\Lab_results\[LabSamples2025_Bioplastic_extra.xlsx]extra_Bioplastic'!B14)," ",'Q:\Abteilungsprojekte\Eng\EngData\PROJECT_Bioplastics\Renjie_Pan\05-Raw_Data\Lab_results\[LabSamples2025_Bioplastic_extra.xlsx]extra_Bioplastic'!B14)</f>
        <v/>
      </c>
      <c r="C14">
        <f>IF(ISBLANK('Q:\Abteilungsprojekte\Eng\EngData\PROJECT_Bioplastics\Renjie_Pan\05-Raw_Data\Lab_results\[LabSamples2025_Bioplastic_extra.xlsx]extra_Bioplastic'!C14)," ",'Q:\Abteilungsprojekte\Eng\EngData\PROJECT_Bioplastics\Renjie_Pan\05-Raw_Data\Lab_results\[LabSamples2025_Bioplastic_extra.xlsx]extra_Bioplastic'!C14)</f>
        <v/>
      </c>
      <c r="D14">
        <f>IF(ISBLANK('Q:\Abteilungsprojekte\Eng\EngData\PROJECT_Bioplastics\Renjie_Pan\05-Raw_Data\Lab_results\[LabSamples2025_Bioplastic_extra.xlsx]extra_Bioplastic'!D14)," ",'Q:\Abteilungsprojekte\Eng\EngData\PROJECT_Bioplastics\Renjie_Pan\05-Raw_Data\Lab_results\[LabSamples2025_Bioplastic_extra.xlsx]extra_Bioplastic'!D14)</f>
        <v/>
      </c>
      <c r="E14">
        <f>IF(ISBLANK('Q:\Abteilungsprojekte\Eng\EngData\PROJECT_Bioplastics\Renjie_Pan\05-Raw_Data\Lab_results\[LabSamples2025_Bioplastic_extra.xlsx]extra_Bioplastic'!E14)," ",'Q:\Abteilungsprojekte\Eng\EngData\PROJECT_Bioplastics\Renjie_Pan\05-Raw_Data\Lab_results\[LabSamples2025_Bioplastic_extra.xlsx]extra_Bioplastic'!E14)</f>
        <v/>
      </c>
      <c r="F14">
        <f>IF(ISBLANK('Q:\Abteilungsprojekte\Eng\EngData\PROJECT_Bioplastics\Renjie_Pan\05-Raw_Data\Lab_results\[LabSamples2025_Bioplastic_extra.xlsx]extra_Bioplastic'!F14)," ",'Q:\Abteilungsprojekte\Eng\EngData\PROJECT_Bioplastics\Renjie_Pan\05-Raw_Data\Lab_results\[LabSamples2025_Bioplastic_extra.xlsx]extra_Bioplastic'!F14)</f>
        <v/>
      </c>
      <c r="G14">
        <f>IF(ISBLANK('Q:\Abteilungsprojekte\Eng\EngData\PROJECT_Bioplastics\Renjie_Pan\05-Raw_Data\Lab_results\[LabSamples2025_Bioplastic_extra.xlsx]extra_Bioplastic'!G14)," ",'Q:\Abteilungsprojekte\Eng\EngData\PROJECT_Bioplastics\Renjie_Pan\05-Raw_Data\Lab_results\[LabSamples2025_Bioplastic_extra.xlsx]extra_Bioplastic'!G14)</f>
        <v/>
      </c>
      <c r="H14">
        <f>IF(ISBLANK('Q:\Abteilungsprojekte\Eng\EngData\PROJECT_Bioplastics\Renjie_Pan\05-Raw_Data\Lab_results\[LabSamples2025_Bioplastic_extra.xlsx]extra_Bioplastic'!H14)," ",'Q:\Abteilungsprojekte\Eng\EngData\PROJECT_Bioplastics\Renjie_Pan\05-Raw_Data\Lab_results\[LabSamples2025_Bioplastic_extra.xlsx]extra_Bioplastic'!H14)</f>
        <v/>
      </c>
    </row>
    <row r="15">
      <c r="A15">
        <f>IF(ISBLANK('Q:\Abteilungsprojekte\Eng\EngData\PROJECT_Bioplastics\Renjie_Pan\05-Raw_Data\Lab_results\[LabSamples2025_Bioplastic_extra.xlsx]extra_Bioplastic'!A15)," ",'Q:\Abteilungsprojekte\Eng\EngData\PROJECT_Bioplastics\Renjie_Pan\05-Raw_Data\Lab_results\[LabSamples2025_Bioplastic_extra.xlsx]extra_Bioplastic'!A15)</f>
        <v/>
      </c>
      <c r="B15">
        <f>IF(ISBLANK('Q:\Abteilungsprojekte\Eng\EngData\PROJECT_Bioplastics\Renjie_Pan\05-Raw_Data\Lab_results\[LabSamples2025_Bioplastic_extra.xlsx]extra_Bioplastic'!B15)," ",'Q:\Abteilungsprojekte\Eng\EngData\PROJECT_Bioplastics\Renjie_Pan\05-Raw_Data\Lab_results\[LabSamples2025_Bioplastic_extra.xlsx]extra_Bioplastic'!B15)</f>
        <v/>
      </c>
      <c r="C15">
        <f>IF(ISBLANK('Q:\Abteilungsprojekte\Eng\EngData\PROJECT_Bioplastics\Renjie_Pan\05-Raw_Data\Lab_results\[LabSamples2025_Bioplastic_extra.xlsx]extra_Bioplastic'!C15)," ",'Q:\Abteilungsprojekte\Eng\EngData\PROJECT_Bioplastics\Renjie_Pan\05-Raw_Data\Lab_results\[LabSamples2025_Bioplastic_extra.xlsx]extra_Bioplastic'!C15)</f>
        <v/>
      </c>
      <c r="D15">
        <f>IF(ISBLANK('Q:\Abteilungsprojekte\Eng\EngData\PROJECT_Bioplastics\Renjie_Pan\05-Raw_Data\Lab_results\[LabSamples2025_Bioplastic_extra.xlsx]extra_Bioplastic'!D15)," ",'Q:\Abteilungsprojekte\Eng\EngData\PROJECT_Bioplastics\Renjie_Pan\05-Raw_Data\Lab_results\[LabSamples2025_Bioplastic_extra.xlsx]extra_Bioplastic'!D15)</f>
        <v/>
      </c>
      <c r="E15">
        <f>IF(ISBLANK('Q:\Abteilungsprojekte\Eng\EngData\PROJECT_Bioplastics\Renjie_Pan\05-Raw_Data\Lab_results\[LabSamples2025_Bioplastic_extra.xlsx]extra_Bioplastic'!E15)," ",'Q:\Abteilungsprojekte\Eng\EngData\PROJECT_Bioplastics\Renjie_Pan\05-Raw_Data\Lab_results\[LabSamples2025_Bioplastic_extra.xlsx]extra_Bioplastic'!E15)</f>
        <v/>
      </c>
      <c r="F15">
        <f>IF(ISBLANK('Q:\Abteilungsprojekte\Eng\EngData\PROJECT_Bioplastics\Renjie_Pan\05-Raw_Data\Lab_results\[LabSamples2025_Bioplastic_extra.xlsx]extra_Bioplastic'!F15)," ",'Q:\Abteilungsprojekte\Eng\EngData\PROJECT_Bioplastics\Renjie_Pan\05-Raw_Data\Lab_results\[LabSamples2025_Bioplastic_extra.xlsx]extra_Bioplastic'!F15)</f>
        <v/>
      </c>
      <c r="G15">
        <f>IF(ISBLANK('Q:\Abteilungsprojekte\Eng\EngData\PROJECT_Bioplastics\Renjie_Pan\05-Raw_Data\Lab_results\[LabSamples2025_Bioplastic_extra.xlsx]extra_Bioplastic'!G15)," ",'Q:\Abteilungsprojekte\Eng\EngData\PROJECT_Bioplastics\Renjie_Pan\05-Raw_Data\Lab_results\[LabSamples2025_Bioplastic_extra.xlsx]extra_Bioplastic'!G15)</f>
        <v/>
      </c>
      <c r="H15">
        <f>IF(ISBLANK('Q:\Abteilungsprojekte\Eng\EngData\PROJECT_Bioplastics\Renjie_Pan\05-Raw_Data\Lab_results\[LabSamples2025_Bioplastic_extra.xlsx]extra_Bioplastic'!H15)," ",'Q:\Abteilungsprojekte\Eng\EngData\PROJECT_Bioplastics\Renjie_Pan\05-Raw_Data\Lab_results\[LabSamples2025_Bioplastic_extra.xlsx]extra_Bioplastic'!H15)</f>
        <v/>
      </c>
    </row>
    <row r="16">
      <c r="A16">
        <f>IF(ISBLANK('Q:\Abteilungsprojekte\Eng\EngData\PROJECT_Bioplastics\Renjie_Pan\05-Raw_Data\Lab_results\[LabSamples2025_Bioplastic_extra.xlsx]extra_Bioplastic'!A16)," ",'Q:\Abteilungsprojekte\Eng\EngData\PROJECT_Bioplastics\Renjie_Pan\05-Raw_Data\Lab_results\[LabSamples2025_Bioplastic_extra.xlsx]extra_Bioplastic'!A16)</f>
        <v/>
      </c>
      <c r="B16">
        <f>IF(ISBLANK('Q:\Abteilungsprojekte\Eng\EngData\PROJECT_Bioplastics\Renjie_Pan\05-Raw_Data\Lab_results\[LabSamples2025_Bioplastic_extra.xlsx]extra_Bioplastic'!B16)," ",'Q:\Abteilungsprojekte\Eng\EngData\PROJECT_Bioplastics\Renjie_Pan\05-Raw_Data\Lab_results\[LabSamples2025_Bioplastic_extra.xlsx]extra_Bioplastic'!B16)</f>
        <v/>
      </c>
      <c r="C16">
        <f>IF(ISBLANK('Q:\Abteilungsprojekte\Eng\EngData\PROJECT_Bioplastics\Renjie_Pan\05-Raw_Data\Lab_results\[LabSamples2025_Bioplastic_extra.xlsx]extra_Bioplastic'!C16)," ",'Q:\Abteilungsprojekte\Eng\EngData\PROJECT_Bioplastics\Renjie_Pan\05-Raw_Data\Lab_results\[LabSamples2025_Bioplastic_extra.xlsx]extra_Bioplastic'!C16)</f>
        <v/>
      </c>
      <c r="D16">
        <f>IF(ISBLANK('Q:\Abteilungsprojekte\Eng\EngData\PROJECT_Bioplastics\Renjie_Pan\05-Raw_Data\Lab_results\[LabSamples2025_Bioplastic_extra.xlsx]extra_Bioplastic'!D16)," ",'Q:\Abteilungsprojekte\Eng\EngData\PROJECT_Bioplastics\Renjie_Pan\05-Raw_Data\Lab_results\[LabSamples2025_Bioplastic_extra.xlsx]extra_Bioplastic'!D16)</f>
        <v/>
      </c>
      <c r="E16">
        <f>IF(ISBLANK('Q:\Abteilungsprojekte\Eng\EngData\PROJECT_Bioplastics\Renjie_Pan\05-Raw_Data\Lab_results\[LabSamples2025_Bioplastic_extra.xlsx]extra_Bioplastic'!E16)," ",'Q:\Abteilungsprojekte\Eng\EngData\PROJECT_Bioplastics\Renjie_Pan\05-Raw_Data\Lab_results\[LabSamples2025_Bioplastic_extra.xlsx]extra_Bioplastic'!E16)</f>
        <v/>
      </c>
      <c r="F16">
        <f>IF(ISBLANK('Q:\Abteilungsprojekte\Eng\EngData\PROJECT_Bioplastics\Renjie_Pan\05-Raw_Data\Lab_results\[LabSamples2025_Bioplastic_extra.xlsx]extra_Bioplastic'!F16)," ",'Q:\Abteilungsprojekte\Eng\EngData\PROJECT_Bioplastics\Renjie_Pan\05-Raw_Data\Lab_results\[LabSamples2025_Bioplastic_extra.xlsx]extra_Bioplastic'!F16)</f>
        <v/>
      </c>
      <c r="G16">
        <f>IF(ISBLANK('Q:\Abteilungsprojekte\Eng\EngData\PROJECT_Bioplastics\Renjie_Pan\05-Raw_Data\Lab_results\[LabSamples2025_Bioplastic_extra.xlsx]extra_Bioplastic'!G16)," ",'Q:\Abteilungsprojekte\Eng\EngData\PROJECT_Bioplastics\Renjie_Pan\05-Raw_Data\Lab_results\[LabSamples2025_Bioplastic_extra.xlsx]extra_Bioplastic'!G16)</f>
        <v/>
      </c>
      <c r="H16">
        <f>IF(ISBLANK('Q:\Abteilungsprojekte\Eng\EngData\PROJECT_Bioplastics\Renjie_Pan\05-Raw_Data\Lab_results\[LabSamples2025_Bioplastic_extra.xlsx]extra_Bioplastic'!H16)," ",'Q:\Abteilungsprojekte\Eng\EngData\PROJECT_Bioplastics\Renjie_Pan\05-Raw_Data\Lab_results\[LabSamples2025_Bioplastic_extra.xlsx]extra_Bioplastic'!H16)</f>
        <v/>
      </c>
    </row>
    <row r="17">
      <c r="A17">
        <f>IF(ISBLANK('Q:\Abteilungsprojekte\Eng\EngData\PROJECT_Bioplastics\Renjie_Pan\05-Raw_Data\Lab_results\[LabSamples2025_Bioplastic_extra.xlsx]extra_Bioplastic'!A17)," ",'Q:\Abteilungsprojekte\Eng\EngData\PROJECT_Bioplastics\Renjie_Pan\05-Raw_Data\Lab_results\[LabSamples2025_Bioplastic_extra.xlsx]extra_Bioplastic'!A17)</f>
        <v/>
      </c>
      <c r="B17">
        <f>IF(ISBLANK('Q:\Abteilungsprojekte\Eng\EngData\PROJECT_Bioplastics\Renjie_Pan\05-Raw_Data\Lab_results\[LabSamples2025_Bioplastic_extra.xlsx]extra_Bioplastic'!B17)," ",'Q:\Abteilungsprojekte\Eng\EngData\PROJECT_Bioplastics\Renjie_Pan\05-Raw_Data\Lab_results\[LabSamples2025_Bioplastic_extra.xlsx]extra_Bioplastic'!B17)</f>
        <v/>
      </c>
      <c r="C17">
        <f>IF(ISBLANK('Q:\Abteilungsprojekte\Eng\EngData\PROJECT_Bioplastics\Renjie_Pan\05-Raw_Data\Lab_results\[LabSamples2025_Bioplastic_extra.xlsx]extra_Bioplastic'!C17)," ",'Q:\Abteilungsprojekte\Eng\EngData\PROJECT_Bioplastics\Renjie_Pan\05-Raw_Data\Lab_results\[LabSamples2025_Bioplastic_extra.xlsx]extra_Bioplastic'!C17)</f>
        <v/>
      </c>
      <c r="D17">
        <f>IF(ISBLANK('Q:\Abteilungsprojekte\Eng\EngData\PROJECT_Bioplastics\Renjie_Pan\05-Raw_Data\Lab_results\[LabSamples2025_Bioplastic_extra.xlsx]extra_Bioplastic'!D17)," ",'Q:\Abteilungsprojekte\Eng\EngData\PROJECT_Bioplastics\Renjie_Pan\05-Raw_Data\Lab_results\[LabSamples2025_Bioplastic_extra.xlsx]extra_Bioplastic'!D17)</f>
        <v/>
      </c>
      <c r="E17">
        <f>IF(ISBLANK('Q:\Abteilungsprojekte\Eng\EngData\PROJECT_Bioplastics\Renjie_Pan\05-Raw_Data\Lab_results\[LabSamples2025_Bioplastic_extra.xlsx]extra_Bioplastic'!E17)," ",'Q:\Abteilungsprojekte\Eng\EngData\PROJECT_Bioplastics\Renjie_Pan\05-Raw_Data\Lab_results\[LabSamples2025_Bioplastic_extra.xlsx]extra_Bioplastic'!E17)</f>
        <v/>
      </c>
      <c r="F17">
        <f>IF(ISBLANK('Q:\Abteilungsprojekte\Eng\EngData\PROJECT_Bioplastics\Renjie_Pan\05-Raw_Data\Lab_results\[LabSamples2025_Bioplastic_extra.xlsx]extra_Bioplastic'!F17)," ",'Q:\Abteilungsprojekte\Eng\EngData\PROJECT_Bioplastics\Renjie_Pan\05-Raw_Data\Lab_results\[LabSamples2025_Bioplastic_extra.xlsx]extra_Bioplastic'!F17)</f>
        <v/>
      </c>
      <c r="G17">
        <f>IF(ISBLANK('Q:\Abteilungsprojekte\Eng\EngData\PROJECT_Bioplastics\Renjie_Pan\05-Raw_Data\Lab_results\[LabSamples2025_Bioplastic_extra.xlsx]extra_Bioplastic'!G17)," ",'Q:\Abteilungsprojekte\Eng\EngData\PROJECT_Bioplastics\Renjie_Pan\05-Raw_Data\Lab_results\[LabSamples2025_Bioplastic_extra.xlsx]extra_Bioplastic'!G17)</f>
        <v/>
      </c>
      <c r="H17">
        <f>IF(ISBLANK('Q:\Abteilungsprojekte\Eng\EngData\PROJECT_Bioplastics\Renjie_Pan\05-Raw_Data\Lab_results\[LabSamples2025_Bioplastic_extra.xlsx]extra_Bioplastic'!H17)," ",'Q:\Abteilungsprojekte\Eng\EngData\PROJECT_Bioplastics\Renjie_Pan\05-Raw_Data\Lab_results\[LabSamples2025_Bioplastic_extra.xlsx]extra_Bioplastic'!H17)</f>
        <v/>
      </c>
    </row>
    <row r="18">
      <c r="A18">
        <f>IF(ISBLANK('Q:\Abteilungsprojekte\Eng\EngData\PROJECT_Bioplastics\Renjie_Pan\05-Raw_Data\Lab_results\[LabSamples2025_Bioplastic_extra.xlsx]extra_Bioplastic'!A18)," ",'Q:\Abteilungsprojekte\Eng\EngData\PROJECT_Bioplastics\Renjie_Pan\05-Raw_Data\Lab_results\[LabSamples2025_Bioplastic_extra.xlsx]extra_Bioplastic'!A18)</f>
        <v/>
      </c>
      <c r="B18">
        <f>IF(ISBLANK('Q:\Abteilungsprojekte\Eng\EngData\PROJECT_Bioplastics\Renjie_Pan\05-Raw_Data\Lab_results\[LabSamples2025_Bioplastic_extra.xlsx]extra_Bioplastic'!B18)," ",'Q:\Abteilungsprojekte\Eng\EngData\PROJECT_Bioplastics\Renjie_Pan\05-Raw_Data\Lab_results\[LabSamples2025_Bioplastic_extra.xlsx]extra_Bioplastic'!B18)</f>
        <v/>
      </c>
      <c r="C18">
        <f>IF(ISBLANK('Q:\Abteilungsprojekte\Eng\EngData\PROJECT_Bioplastics\Renjie_Pan\05-Raw_Data\Lab_results\[LabSamples2025_Bioplastic_extra.xlsx]extra_Bioplastic'!C18)," ",'Q:\Abteilungsprojekte\Eng\EngData\PROJECT_Bioplastics\Renjie_Pan\05-Raw_Data\Lab_results\[LabSamples2025_Bioplastic_extra.xlsx]extra_Bioplastic'!C18)</f>
        <v/>
      </c>
      <c r="D18">
        <f>IF(ISBLANK('Q:\Abteilungsprojekte\Eng\EngData\PROJECT_Bioplastics\Renjie_Pan\05-Raw_Data\Lab_results\[LabSamples2025_Bioplastic_extra.xlsx]extra_Bioplastic'!D18)," ",'Q:\Abteilungsprojekte\Eng\EngData\PROJECT_Bioplastics\Renjie_Pan\05-Raw_Data\Lab_results\[LabSamples2025_Bioplastic_extra.xlsx]extra_Bioplastic'!D18)</f>
        <v/>
      </c>
      <c r="E18">
        <f>IF(ISBLANK('Q:\Abteilungsprojekte\Eng\EngData\PROJECT_Bioplastics\Renjie_Pan\05-Raw_Data\Lab_results\[LabSamples2025_Bioplastic_extra.xlsx]extra_Bioplastic'!E18)," ",'Q:\Abteilungsprojekte\Eng\EngData\PROJECT_Bioplastics\Renjie_Pan\05-Raw_Data\Lab_results\[LabSamples2025_Bioplastic_extra.xlsx]extra_Bioplastic'!E18)</f>
        <v/>
      </c>
      <c r="F18">
        <f>IF(ISBLANK('Q:\Abteilungsprojekte\Eng\EngData\PROJECT_Bioplastics\Renjie_Pan\05-Raw_Data\Lab_results\[LabSamples2025_Bioplastic_extra.xlsx]extra_Bioplastic'!F18)," ",'Q:\Abteilungsprojekte\Eng\EngData\PROJECT_Bioplastics\Renjie_Pan\05-Raw_Data\Lab_results\[LabSamples2025_Bioplastic_extra.xlsx]extra_Bioplastic'!F18)</f>
        <v/>
      </c>
      <c r="G18">
        <f>IF(ISBLANK('Q:\Abteilungsprojekte\Eng\EngData\PROJECT_Bioplastics\Renjie_Pan\05-Raw_Data\Lab_results\[LabSamples2025_Bioplastic_extra.xlsx]extra_Bioplastic'!G18)," ",'Q:\Abteilungsprojekte\Eng\EngData\PROJECT_Bioplastics\Renjie_Pan\05-Raw_Data\Lab_results\[LabSamples2025_Bioplastic_extra.xlsx]extra_Bioplastic'!G18)</f>
        <v/>
      </c>
      <c r="H18">
        <f>IF(ISBLANK('Q:\Abteilungsprojekte\Eng\EngData\PROJECT_Bioplastics\Renjie_Pan\05-Raw_Data\Lab_results\[LabSamples2025_Bioplastic_extra.xlsx]extra_Bioplastic'!H18)," ",'Q:\Abteilungsprojekte\Eng\EngData\PROJECT_Bioplastics\Renjie_Pan\05-Raw_Data\Lab_results\[LabSamples2025_Bioplastic_extra.xlsx]extra_Bioplastic'!H18)</f>
        <v/>
      </c>
    </row>
    <row r="19">
      <c r="A19">
        <f>IF(ISBLANK('Q:\Abteilungsprojekte\Eng\EngData\PROJECT_Bioplastics\Renjie_Pan\05-Raw_Data\Lab_results\[LabSamples2025_Bioplastic_extra.xlsx]extra_Bioplastic'!A19)," ",'Q:\Abteilungsprojekte\Eng\EngData\PROJECT_Bioplastics\Renjie_Pan\05-Raw_Data\Lab_results\[LabSamples2025_Bioplastic_extra.xlsx]extra_Bioplastic'!A19)</f>
        <v/>
      </c>
      <c r="B19">
        <f>IF(ISBLANK('Q:\Abteilungsprojekte\Eng\EngData\PROJECT_Bioplastics\Renjie_Pan\05-Raw_Data\Lab_results\[LabSamples2025_Bioplastic_extra.xlsx]extra_Bioplastic'!B19)," ",'Q:\Abteilungsprojekte\Eng\EngData\PROJECT_Bioplastics\Renjie_Pan\05-Raw_Data\Lab_results\[LabSamples2025_Bioplastic_extra.xlsx]extra_Bioplastic'!B19)</f>
        <v/>
      </c>
      <c r="C19">
        <f>IF(ISBLANK('Q:\Abteilungsprojekte\Eng\EngData\PROJECT_Bioplastics\Renjie_Pan\05-Raw_Data\Lab_results\[LabSamples2025_Bioplastic_extra.xlsx]extra_Bioplastic'!C19)," ",'Q:\Abteilungsprojekte\Eng\EngData\PROJECT_Bioplastics\Renjie_Pan\05-Raw_Data\Lab_results\[LabSamples2025_Bioplastic_extra.xlsx]extra_Bioplastic'!C19)</f>
        <v/>
      </c>
      <c r="D19">
        <f>IF(ISBLANK('Q:\Abteilungsprojekte\Eng\EngData\PROJECT_Bioplastics\Renjie_Pan\05-Raw_Data\Lab_results\[LabSamples2025_Bioplastic_extra.xlsx]extra_Bioplastic'!D19)," ",'Q:\Abteilungsprojekte\Eng\EngData\PROJECT_Bioplastics\Renjie_Pan\05-Raw_Data\Lab_results\[LabSamples2025_Bioplastic_extra.xlsx]extra_Bioplastic'!D19)</f>
        <v/>
      </c>
      <c r="E19">
        <f>IF(ISBLANK('Q:\Abteilungsprojekte\Eng\EngData\PROJECT_Bioplastics\Renjie_Pan\05-Raw_Data\Lab_results\[LabSamples2025_Bioplastic_extra.xlsx]extra_Bioplastic'!E19)," ",'Q:\Abteilungsprojekte\Eng\EngData\PROJECT_Bioplastics\Renjie_Pan\05-Raw_Data\Lab_results\[LabSamples2025_Bioplastic_extra.xlsx]extra_Bioplastic'!E19)</f>
        <v/>
      </c>
      <c r="F19">
        <f>IF(ISBLANK('Q:\Abteilungsprojekte\Eng\EngData\PROJECT_Bioplastics\Renjie_Pan\05-Raw_Data\Lab_results\[LabSamples2025_Bioplastic_extra.xlsx]extra_Bioplastic'!F19)," ",'Q:\Abteilungsprojekte\Eng\EngData\PROJECT_Bioplastics\Renjie_Pan\05-Raw_Data\Lab_results\[LabSamples2025_Bioplastic_extra.xlsx]extra_Bioplastic'!F19)</f>
        <v/>
      </c>
      <c r="G19">
        <f>IF(ISBLANK('Q:\Abteilungsprojekte\Eng\EngData\PROJECT_Bioplastics\Renjie_Pan\05-Raw_Data\Lab_results\[LabSamples2025_Bioplastic_extra.xlsx]extra_Bioplastic'!G19)," ",'Q:\Abteilungsprojekte\Eng\EngData\PROJECT_Bioplastics\Renjie_Pan\05-Raw_Data\Lab_results\[LabSamples2025_Bioplastic_extra.xlsx]extra_Bioplastic'!G19)</f>
        <v/>
      </c>
      <c r="H19">
        <f>IF(ISBLANK('Q:\Abteilungsprojekte\Eng\EngData\PROJECT_Bioplastics\Renjie_Pan\05-Raw_Data\Lab_results\[LabSamples2025_Bioplastic_extra.xlsx]extra_Bioplastic'!H19)," ",'Q:\Abteilungsprojekte\Eng\EngData\PROJECT_Bioplastics\Renjie_Pan\05-Raw_Data\Lab_results\[LabSamples2025_Bioplastic_extra.xlsx]extra_Bioplastic'!H19)</f>
        <v/>
      </c>
    </row>
    <row r="20">
      <c r="A20">
        <f>IF(ISBLANK('Q:\Abteilungsprojekte\Eng\EngData\PROJECT_Bioplastics\Renjie_Pan\05-Raw_Data\Lab_results\[LabSamples2025_Bioplastic_extra.xlsx]extra_Bioplastic'!A20)," ",'Q:\Abteilungsprojekte\Eng\EngData\PROJECT_Bioplastics\Renjie_Pan\05-Raw_Data\Lab_results\[LabSamples2025_Bioplastic_extra.xlsx]extra_Bioplastic'!A20)</f>
        <v/>
      </c>
      <c r="B20">
        <f>IF(ISBLANK('Q:\Abteilungsprojekte\Eng\EngData\PROJECT_Bioplastics\Renjie_Pan\05-Raw_Data\Lab_results\[LabSamples2025_Bioplastic_extra.xlsx]extra_Bioplastic'!B20)," ",'Q:\Abteilungsprojekte\Eng\EngData\PROJECT_Bioplastics\Renjie_Pan\05-Raw_Data\Lab_results\[LabSamples2025_Bioplastic_extra.xlsx]extra_Bioplastic'!B20)</f>
        <v/>
      </c>
      <c r="C20">
        <f>IF(ISBLANK('Q:\Abteilungsprojekte\Eng\EngData\PROJECT_Bioplastics\Renjie_Pan\05-Raw_Data\Lab_results\[LabSamples2025_Bioplastic_extra.xlsx]extra_Bioplastic'!C20)," ",'Q:\Abteilungsprojekte\Eng\EngData\PROJECT_Bioplastics\Renjie_Pan\05-Raw_Data\Lab_results\[LabSamples2025_Bioplastic_extra.xlsx]extra_Bioplastic'!C20)</f>
        <v/>
      </c>
      <c r="D20">
        <f>IF(ISBLANK('Q:\Abteilungsprojekte\Eng\EngData\PROJECT_Bioplastics\Renjie_Pan\05-Raw_Data\Lab_results\[LabSamples2025_Bioplastic_extra.xlsx]extra_Bioplastic'!D20)," ",'Q:\Abteilungsprojekte\Eng\EngData\PROJECT_Bioplastics\Renjie_Pan\05-Raw_Data\Lab_results\[LabSamples2025_Bioplastic_extra.xlsx]extra_Bioplastic'!D20)</f>
        <v/>
      </c>
      <c r="E20">
        <f>IF(ISBLANK('Q:\Abteilungsprojekte\Eng\EngData\PROJECT_Bioplastics\Renjie_Pan\05-Raw_Data\Lab_results\[LabSamples2025_Bioplastic_extra.xlsx]extra_Bioplastic'!E20)," ",'Q:\Abteilungsprojekte\Eng\EngData\PROJECT_Bioplastics\Renjie_Pan\05-Raw_Data\Lab_results\[LabSamples2025_Bioplastic_extra.xlsx]extra_Bioplastic'!E20)</f>
        <v/>
      </c>
      <c r="F20">
        <f>IF(ISBLANK('Q:\Abteilungsprojekte\Eng\EngData\PROJECT_Bioplastics\Renjie_Pan\05-Raw_Data\Lab_results\[LabSamples2025_Bioplastic_extra.xlsx]extra_Bioplastic'!F20)," ",'Q:\Abteilungsprojekte\Eng\EngData\PROJECT_Bioplastics\Renjie_Pan\05-Raw_Data\Lab_results\[LabSamples2025_Bioplastic_extra.xlsx]extra_Bioplastic'!F20)</f>
        <v/>
      </c>
      <c r="G20">
        <f>IF(ISBLANK('Q:\Abteilungsprojekte\Eng\EngData\PROJECT_Bioplastics\Renjie_Pan\05-Raw_Data\Lab_results\[LabSamples2025_Bioplastic_extra.xlsx]extra_Bioplastic'!G20)," ",'Q:\Abteilungsprojekte\Eng\EngData\PROJECT_Bioplastics\Renjie_Pan\05-Raw_Data\Lab_results\[LabSamples2025_Bioplastic_extra.xlsx]extra_Bioplastic'!G20)</f>
        <v/>
      </c>
      <c r="H20">
        <f>IF(ISBLANK('Q:\Abteilungsprojekte\Eng\EngData\PROJECT_Bioplastics\Renjie_Pan\05-Raw_Data\Lab_results\[LabSamples2025_Bioplastic_extra.xlsx]extra_Bioplastic'!H20)," ",'Q:\Abteilungsprojekte\Eng\EngData\PROJECT_Bioplastics\Renjie_Pan\05-Raw_Data\Lab_results\[LabSamples2025_Bioplastic_extra.xlsx]extra_Bioplastic'!H20)</f>
        <v/>
      </c>
    </row>
    <row r="21">
      <c r="A21">
        <f>IF(ISBLANK('Q:\Abteilungsprojekte\Eng\EngData\PROJECT_Bioplastics\Renjie_Pan\05-Raw_Data\Lab_results\[LabSamples2025_Bioplastic_extra.xlsx]extra_Bioplastic'!A21)," ",'Q:\Abteilungsprojekte\Eng\EngData\PROJECT_Bioplastics\Renjie_Pan\05-Raw_Data\Lab_results\[LabSamples2025_Bioplastic_extra.xlsx]extra_Bioplastic'!A21)</f>
        <v/>
      </c>
      <c r="B21">
        <f>IF(ISBLANK('Q:\Abteilungsprojekte\Eng\EngData\PROJECT_Bioplastics\Renjie_Pan\05-Raw_Data\Lab_results\[LabSamples2025_Bioplastic_extra.xlsx]extra_Bioplastic'!B21)," ",'Q:\Abteilungsprojekte\Eng\EngData\PROJECT_Bioplastics\Renjie_Pan\05-Raw_Data\Lab_results\[LabSamples2025_Bioplastic_extra.xlsx]extra_Bioplastic'!B21)</f>
        <v/>
      </c>
      <c r="C21">
        <f>IF(ISBLANK('Q:\Abteilungsprojekte\Eng\EngData\PROJECT_Bioplastics\Renjie_Pan\05-Raw_Data\Lab_results\[LabSamples2025_Bioplastic_extra.xlsx]extra_Bioplastic'!C21)," ",'Q:\Abteilungsprojekte\Eng\EngData\PROJECT_Bioplastics\Renjie_Pan\05-Raw_Data\Lab_results\[LabSamples2025_Bioplastic_extra.xlsx]extra_Bioplastic'!C21)</f>
        <v/>
      </c>
      <c r="D21">
        <f>IF(ISBLANK('Q:\Abteilungsprojekte\Eng\EngData\PROJECT_Bioplastics\Renjie_Pan\05-Raw_Data\Lab_results\[LabSamples2025_Bioplastic_extra.xlsx]extra_Bioplastic'!D21)," ",'Q:\Abteilungsprojekte\Eng\EngData\PROJECT_Bioplastics\Renjie_Pan\05-Raw_Data\Lab_results\[LabSamples2025_Bioplastic_extra.xlsx]extra_Bioplastic'!D21)</f>
        <v/>
      </c>
      <c r="E21">
        <f>IF(ISBLANK('Q:\Abteilungsprojekte\Eng\EngData\PROJECT_Bioplastics\Renjie_Pan\05-Raw_Data\Lab_results\[LabSamples2025_Bioplastic_extra.xlsx]extra_Bioplastic'!E21)," ",'Q:\Abteilungsprojekte\Eng\EngData\PROJECT_Bioplastics\Renjie_Pan\05-Raw_Data\Lab_results\[LabSamples2025_Bioplastic_extra.xlsx]extra_Bioplastic'!E21)</f>
        <v/>
      </c>
      <c r="F21">
        <f>IF(ISBLANK('Q:\Abteilungsprojekte\Eng\EngData\PROJECT_Bioplastics\Renjie_Pan\05-Raw_Data\Lab_results\[LabSamples2025_Bioplastic_extra.xlsx]extra_Bioplastic'!F21)," ",'Q:\Abteilungsprojekte\Eng\EngData\PROJECT_Bioplastics\Renjie_Pan\05-Raw_Data\Lab_results\[LabSamples2025_Bioplastic_extra.xlsx]extra_Bioplastic'!F21)</f>
        <v/>
      </c>
      <c r="G21">
        <f>IF(ISBLANK('Q:\Abteilungsprojekte\Eng\EngData\PROJECT_Bioplastics\Renjie_Pan\05-Raw_Data\Lab_results\[LabSamples2025_Bioplastic_extra.xlsx]extra_Bioplastic'!G21)," ",'Q:\Abteilungsprojekte\Eng\EngData\PROJECT_Bioplastics\Renjie_Pan\05-Raw_Data\Lab_results\[LabSamples2025_Bioplastic_extra.xlsx]extra_Bioplastic'!G21)</f>
        <v/>
      </c>
      <c r="H21">
        <f>IF(ISBLANK('Q:\Abteilungsprojekte\Eng\EngData\PROJECT_Bioplastics\Renjie_Pan\05-Raw_Data\Lab_results\[LabSamples2025_Bioplastic_extra.xlsx]extra_Bioplastic'!H21)," ",'Q:\Abteilungsprojekte\Eng\EngData\PROJECT_Bioplastics\Renjie_Pan\05-Raw_Data\Lab_results\[LabSamples2025_Bioplastic_extra.xlsx]extra_Bioplastic'!H21)</f>
        <v/>
      </c>
    </row>
    <row r="22">
      <c r="A22">
        <f>IF(ISBLANK('Q:\Abteilungsprojekte\Eng\EngData\PROJECT_Bioplastics\Renjie_Pan\05-Raw_Data\Lab_results\[LabSamples2025_Bioplastic_extra.xlsx]extra_Bioplastic'!A22)," ",'Q:\Abteilungsprojekte\Eng\EngData\PROJECT_Bioplastics\Renjie_Pan\05-Raw_Data\Lab_results\[LabSamples2025_Bioplastic_extra.xlsx]extra_Bioplastic'!A22)</f>
        <v/>
      </c>
      <c r="B22">
        <f>IF(ISBLANK('Q:\Abteilungsprojekte\Eng\EngData\PROJECT_Bioplastics\Renjie_Pan\05-Raw_Data\Lab_results\[LabSamples2025_Bioplastic_extra.xlsx]extra_Bioplastic'!B22)," ",'Q:\Abteilungsprojekte\Eng\EngData\PROJECT_Bioplastics\Renjie_Pan\05-Raw_Data\Lab_results\[LabSamples2025_Bioplastic_extra.xlsx]extra_Bioplastic'!B22)</f>
        <v/>
      </c>
      <c r="C22">
        <f>IF(ISBLANK('Q:\Abteilungsprojekte\Eng\EngData\PROJECT_Bioplastics\Renjie_Pan\05-Raw_Data\Lab_results\[LabSamples2025_Bioplastic_extra.xlsx]extra_Bioplastic'!C22)," ",'Q:\Abteilungsprojekte\Eng\EngData\PROJECT_Bioplastics\Renjie_Pan\05-Raw_Data\Lab_results\[LabSamples2025_Bioplastic_extra.xlsx]extra_Bioplastic'!C22)</f>
        <v/>
      </c>
      <c r="D22">
        <f>IF(ISBLANK('Q:\Abteilungsprojekte\Eng\EngData\PROJECT_Bioplastics\Renjie_Pan\05-Raw_Data\Lab_results\[LabSamples2025_Bioplastic_extra.xlsx]extra_Bioplastic'!D22)," ",'Q:\Abteilungsprojekte\Eng\EngData\PROJECT_Bioplastics\Renjie_Pan\05-Raw_Data\Lab_results\[LabSamples2025_Bioplastic_extra.xlsx]extra_Bioplastic'!D22)</f>
        <v/>
      </c>
      <c r="E22">
        <f>IF(ISBLANK('Q:\Abteilungsprojekte\Eng\EngData\PROJECT_Bioplastics\Renjie_Pan\05-Raw_Data\Lab_results\[LabSamples2025_Bioplastic_extra.xlsx]extra_Bioplastic'!E22)," ",'Q:\Abteilungsprojekte\Eng\EngData\PROJECT_Bioplastics\Renjie_Pan\05-Raw_Data\Lab_results\[LabSamples2025_Bioplastic_extra.xlsx]extra_Bioplastic'!E22)</f>
        <v/>
      </c>
      <c r="F22">
        <f>IF(ISBLANK('Q:\Abteilungsprojekte\Eng\EngData\PROJECT_Bioplastics\Renjie_Pan\05-Raw_Data\Lab_results\[LabSamples2025_Bioplastic_extra.xlsx]extra_Bioplastic'!F22)," ",'Q:\Abteilungsprojekte\Eng\EngData\PROJECT_Bioplastics\Renjie_Pan\05-Raw_Data\Lab_results\[LabSamples2025_Bioplastic_extra.xlsx]extra_Bioplastic'!F22)</f>
        <v/>
      </c>
      <c r="G22">
        <f>IF(ISBLANK('Q:\Abteilungsprojekte\Eng\EngData\PROJECT_Bioplastics\Renjie_Pan\05-Raw_Data\Lab_results\[LabSamples2025_Bioplastic_extra.xlsx]extra_Bioplastic'!G22)," ",'Q:\Abteilungsprojekte\Eng\EngData\PROJECT_Bioplastics\Renjie_Pan\05-Raw_Data\Lab_results\[LabSamples2025_Bioplastic_extra.xlsx]extra_Bioplastic'!G22)</f>
        <v/>
      </c>
      <c r="H22">
        <f>IF(ISBLANK('Q:\Abteilungsprojekte\Eng\EngData\PROJECT_Bioplastics\Renjie_Pan\05-Raw_Data\Lab_results\[LabSamples2025_Bioplastic_extra.xlsx]extra_Bioplastic'!H22)," ",'Q:\Abteilungsprojekte\Eng\EngData\PROJECT_Bioplastics\Renjie_Pan\05-Raw_Data\Lab_results\[LabSamples2025_Bioplastic_extra.xlsx]extra_Bioplastic'!H22)</f>
        <v/>
      </c>
    </row>
    <row r="23">
      <c r="A23">
        <f>IF(ISBLANK('Q:\Abteilungsprojekte\Eng\EngData\PROJECT_Bioplastics\Renjie_Pan\05-Raw_Data\Lab_results\[LabSamples2025_Bioplastic_extra.xlsx]extra_Bioplastic'!A23)," ",'Q:\Abteilungsprojekte\Eng\EngData\PROJECT_Bioplastics\Renjie_Pan\05-Raw_Data\Lab_results\[LabSamples2025_Bioplastic_extra.xlsx]extra_Bioplastic'!A23)</f>
        <v/>
      </c>
      <c r="B23">
        <f>IF(ISBLANK('Q:\Abteilungsprojekte\Eng\EngData\PROJECT_Bioplastics\Renjie_Pan\05-Raw_Data\Lab_results\[LabSamples2025_Bioplastic_extra.xlsx]extra_Bioplastic'!B23)," ",'Q:\Abteilungsprojekte\Eng\EngData\PROJECT_Bioplastics\Renjie_Pan\05-Raw_Data\Lab_results\[LabSamples2025_Bioplastic_extra.xlsx]extra_Bioplastic'!B23)</f>
        <v/>
      </c>
      <c r="C23">
        <f>IF(ISBLANK('Q:\Abteilungsprojekte\Eng\EngData\PROJECT_Bioplastics\Renjie_Pan\05-Raw_Data\Lab_results\[LabSamples2025_Bioplastic_extra.xlsx]extra_Bioplastic'!C23)," ",'Q:\Abteilungsprojekte\Eng\EngData\PROJECT_Bioplastics\Renjie_Pan\05-Raw_Data\Lab_results\[LabSamples2025_Bioplastic_extra.xlsx]extra_Bioplastic'!C23)</f>
        <v/>
      </c>
      <c r="D23">
        <f>IF(ISBLANK('Q:\Abteilungsprojekte\Eng\EngData\PROJECT_Bioplastics\Renjie_Pan\05-Raw_Data\Lab_results\[LabSamples2025_Bioplastic_extra.xlsx]extra_Bioplastic'!D23)," ",'Q:\Abteilungsprojekte\Eng\EngData\PROJECT_Bioplastics\Renjie_Pan\05-Raw_Data\Lab_results\[LabSamples2025_Bioplastic_extra.xlsx]extra_Bioplastic'!D23)</f>
        <v/>
      </c>
      <c r="E23">
        <f>IF(ISBLANK('Q:\Abteilungsprojekte\Eng\EngData\PROJECT_Bioplastics\Renjie_Pan\05-Raw_Data\Lab_results\[LabSamples2025_Bioplastic_extra.xlsx]extra_Bioplastic'!E23)," ",'Q:\Abteilungsprojekte\Eng\EngData\PROJECT_Bioplastics\Renjie_Pan\05-Raw_Data\Lab_results\[LabSamples2025_Bioplastic_extra.xlsx]extra_Bioplastic'!E23)</f>
        <v/>
      </c>
      <c r="F23">
        <f>IF(ISBLANK('Q:\Abteilungsprojekte\Eng\EngData\PROJECT_Bioplastics\Renjie_Pan\05-Raw_Data\Lab_results\[LabSamples2025_Bioplastic_extra.xlsx]extra_Bioplastic'!F23)," ",'Q:\Abteilungsprojekte\Eng\EngData\PROJECT_Bioplastics\Renjie_Pan\05-Raw_Data\Lab_results\[LabSamples2025_Bioplastic_extra.xlsx]extra_Bioplastic'!F23)</f>
        <v/>
      </c>
      <c r="G23">
        <f>IF(ISBLANK('Q:\Abteilungsprojekte\Eng\EngData\PROJECT_Bioplastics\Renjie_Pan\05-Raw_Data\Lab_results\[LabSamples2025_Bioplastic_extra.xlsx]extra_Bioplastic'!G23)," ",'Q:\Abteilungsprojekte\Eng\EngData\PROJECT_Bioplastics\Renjie_Pan\05-Raw_Data\Lab_results\[LabSamples2025_Bioplastic_extra.xlsx]extra_Bioplastic'!G23)</f>
        <v/>
      </c>
      <c r="H23">
        <f>IF(ISBLANK('Q:\Abteilungsprojekte\Eng\EngData\PROJECT_Bioplastics\Renjie_Pan\05-Raw_Data\Lab_results\[LabSamples2025_Bioplastic_extra.xlsx]extra_Bioplastic'!H23)," ",'Q:\Abteilungsprojekte\Eng\EngData\PROJECT_Bioplastics\Renjie_Pan\05-Raw_Data\Lab_results\[LabSamples2025_Bioplastic_extra.xlsx]extra_Bioplastic'!H23)</f>
        <v/>
      </c>
    </row>
    <row r="24">
      <c r="A24">
        <f>IF(ISBLANK('Q:\Abteilungsprojekte\Eng\EngData\PROJECT_Bioplastics\Renjie_Pan\05-Raw_Data\Lab_results\[LabSamples2025_Bioplastic_extra.xlsx]extra_Bioplastic'!A24)," ",'Q:\Abteilungsprojekte\Eng\EngData\PROJECT_Bioplastics\Renjie_Pan\05-Raw_Data\Lab_results\[LabSamples2025_Bioplastic_extra.xlsx]extra_Bioplastic'!A24)</f>
        <v/>
      </c>
      <c r="B24">
        <f>IF(ISBLANK('Q:\Abteilungsprojekte\Eng\EngData\PROJECT_Bioplastics\Renjie_Pan\05-Raw_Data\Lab_results\[LabSamples2025_Bioplastic_extra.xlsx]extra_Bioplastic'!B24)," ",'Q:\Abteilungsprojekte\Eng\EngData\PROJECT_Bioplastics\Renjie_Pan\05-Raw_Data\Lab_results\[LabSamples2025_Bioplastic_extra.xlsx]extra_Bioplastic'!B24)</f>
        <v/>
      </c>
      <c r="C24">
        <f>IF(ISBLANK('Q:\Abteilungsprojekte\Eng\EngData\PROJECT_Bioplastics\Renjie_Pan\05-Raw_Data\Lab_results\[LabSamples2025_Bioplastic_extra.xlsx]extra_Bioplastic'!C24)," ",'Q:\Abteilungsprojekte\Eng\EngData\PROJECT_Bioplastics\Renjie_Pan\05-Raw_Data\Lab_results\[LabSamples2025_Bioplastic_extra.xlsx]extra_Bioplastic'!C24)</f>
        <v/>
      </c>
      <c r="D24">
        <f>IF(ISBLANK('Q:\Abteilungsprojekte\Eng\EngData\PROJECT_Bioplastics\Renjie_Pan\05-Raw_Data\Lab_results\[LabSamples2025_Bioplastic_extra.xlsx]extra_Bioplastic'!D24)," ",'Q:\Abteilungsprojekte\Eng\EngData\PROJECT_Bioplastics\Renjie_Pan\05-Raw_Data\Lab_results\[LabSamples2025_Bioplastic_extra.xlsx]extra_Bioplastic'!D24)</f>
        <v/>
      </c>
      <c r="E24">
        <f>IF(ISBLANK('Q:\Abteilungsprojekte\Eng\EngData\PROJECT_Bioplastics\Renjie_Pan\05-Raw_Data\Lab_results\[LabSamples2025_Bioplastic_extra.xlsx]extra_Bioplastic'!E24)," ",'Q:\Abteilungsprojekte\Eng\EngData\PROJECT_Bioplastics\Renjie_Pan\05-Raw_Data\Lab_results\[LabSamples2025_Bioplastic_extra.xlsx]extra_Bioplastic'!E24)</f>
        <v/>
      </c>
      <c r="F24">
        <f>IF(ISBLANK('Q:\Abteilungsprojekte\Eng\EngData\PROJECT_Bioplastics\Renjie_Pan\05-Raw_Data\Lab_results\[LabSamples2025_Bioplastic_extra.xlsx]extra_Bioplastic'!F24)," ",'Q:\Abteilungsprojekte\Eng\EngData\PROJECT_Bioplastics\Renjie_Pan\05-Raw_Data\Lab_results\[LabSamples2025_Bioplastic_extra.xlsx]extra_Bioplastic'!F24)</f>
        <v/>
      </c>
      <c r="G24">
        <f>IF(ISBLANK('Q:\Abteilungsprojekte\Eng\EngData\PROJECT_Bioplastics\Renjie_Pan\05-Raw_Data\Lab_results\[LabSamples2025_Bioplastic_extra.xlsx]extra_Bioplastic'!G24)," ",'Q:\Abteilungsprojekte\Eng\EngData\PROJECT_Bioplastics\Renjie_Pan\05-Raw_Data\Lab_results\[LabSamples2025_Bioplastic_extra.xlsx]extra_Bioplastic'!G24)</f>
        <v/>
      </c>
      <c r="H24">
        <f>IF(ISBLANK('Q:\Abteilungsprojekte\Eng\EngData\PROJECT_Bioplastics\Renjie_Pan\05-Raw_Data\Lab_results\[LabSamples2025_Bioplastic_extra.xlsx]extra_Bioplastic'!H24)," ",'Q:\Abteilungsprojekte\Eng\EngData\PROJECT_Bioplastics\Renjie_Pan\05-Raw_Data\Lab_results\[LabSamples2025_Bioplastic_extra.xlsx]extra_Bioplastic'!H24)</f>
        <v/>
      </c>
    </row>
    <row r="25">
      <c r="A25">
        <f>IF(ISBLANK('Q:\Abteilungsprojekte\Eng\EngData\PROJECT_Bioplastics\Renjie_Pan\05-Raw_Data\Lab_results\[LabSamples2025_Bioplastic_extra.xlsx]extra_Bioplastic'!A25)," ",'Q:\Abteilungsprojekte\Eng\EngData\PROJECT_Bioplastics\Renjie_Pan\05-Raw_Data\Lab_results\[LabSamples2025_Bioplastic_extra.xlsx]extra_Bioplastic'!A25)</f>
        <v/>
      </c>
      <c r="B25">
        <f>IF(ISBLANK('Q:\Abteilungsprojekte\Eng\EngData\PROJECT_Bioplastics\Renjie_Pan\05-Raw_Data\Lab_results\[LabSamples2025_Bioplastic_extra.xlsx]extra_Bioplastic'!B25)," ",'Q:\Abteilungsprojekte\Eng\EngData\PROJECT_Bioplastics\Renjie_Pan\05-Raw_Data\Lab_results\[LabSamples2025_Bioplastic_extra.xlsx]extra_Bioplastic'!B25)</f>
        <v/>
      </c>
      <c r="C25">
        <f>IF(ISBLANK('Q:\Abteilungsprojekte\Eng\EngData\PROJECT_Bioplastics\Renjie_Pan\05-Raw_Data\Lab_results\[LabSamples2025_Bioplastic_extra.xlsx]extra_Bioplastic'!C25)," ",'Q:\Abteilungsprojekte\Eng\EngData\PROJECT_Bioplastics\Renjie_Pan\05-Raw_Data\Lab_results\[LabSamples2025_Bioplastic_extra.xlsx]extra_Bioplastic'!C25)</f>
        <v/>
      </c>
      <c r="D25">
        <f>IF(ISBLANK('Q:\Abteilungsprojekte\Eng\EngData\PROJECT_Bioplastics\Renjie_Pan\05-Raw_Data\Lab_results\[LabSamples2025_Bioplastic_extra.xlsx]extra_Bioplastic'!D25)," ",'Q:\Abteilungsprojekte\Eng\EngData\PROJECT_Bioplastics\Renjie_Pan\05-Raw_Data\Lab_results\[LabSamples2025_Bioplastic_extra.xlsx]extra_Bioplastic'!D25)</f>
        <v/>
      </c>
      <c r="E25">
        <f>IF(ISBLANK('Q:\Abteilungsprojekte\Eng\EngData\PROJECT_Bioplastics\Renjie_Pan\05-Raw_Data\Lab_results\[LabSamples2025_Bioplastic_extra.xlsx]extra_Bioplastic'!E25)," ",'Q:\Abteilungsprojekte\Eng\EngData\PROJECT_Bioplastics\Renjie_Pan\05-Raw_Data\Lab_results\[LabSamples2025_Bioplastic_extra.xlsx]extra_Bioplastic'!E25)</f>
        <v/>
      </c>
      <c r="F25">
        <f>IF(ISBLANK('Q:\Abteilungsprojekte\Eng\EngData\PROJECT_Bioplastics\Renjie_Pan\05-Raw_Data\Lab_results\[LabSamples2025_Bioplastic_extra.xlsx]extra_Bioplastic'!F25)," ",'Q:\Abteilungsprojekte\Eng\EngData\PROJECT_Bioplastics\Renjie_Pan\05-Raw_Data\Lab_results\[LabSamples2025_Bioplastic_extra.xlsx]extra_Bioplastic'!F25)</f>
        <v/>
      </c>
      <c r="G25">
        <f>IF(ISBLANK('Q:\Abteilungsprojekte\Eng\EngData\PROJECT_Bioplastics\Renjie_Pan\05-Raw_Data\Lab_results\[LabSamples2025_Bioplastic_extra.xlsx]extra_Bioplastic'!G25)," ",'Q:\Abteilungsprojekte\Eng\EngData\PROJECT_Bioplastics\Renjie_Pan\05-Raw_Data\Lab_results\[LabSamples2025_Bioplastic_extra.xlsx]extra_Bioplastic'!G25)</f>
        <v/>
      </c>
      <c r="H25">
        <f>IF(ISBLANK('Q:\Abteilungsprojekte\Eng\EngData\PROJECT_Bioplastics\Renjie_Pan\05-Raw_Data\Lab_results\[LabSamples2025_Bioplastic_extra.xlsx]extra_Bioplastic'!H25)," ",'Q:\Abteilungsprojekte\Eng\EngData\PROJECT_Bioplastics\Renjie_Pan\05-Raw_Data\Lab_results\[LabSamples2025_Bioplastic_extra.xlsx]extra_Bioplastic'!H25)</f>
        <v/>
      </c>
    </row>
    <row r="26">
      <c r="A26">
        <f>IF(ISBLANK('Q:\Abteilungsprojekte\Eng\EngData\PROJECT_Bioplastics\Renjie_Pan\05-Raw_Data\Lab_results\[LabSamples2025_Bioplastic_extra.xlsx]extra_Bioplastic'!A26)," ",'Q:\Abteilungsprojekte\Eng\EngData\PROJECT_Bioplastics\Renjie_Pan\05-Raw_Data\Lab_results\[LabSamples2025_Bioplastic_extra.xlsx]extra_Bioplastic'!A26)</f>
        <v/>
      </c>
      <c r="B26">
        <f>IF(ISBLANK('Q:\Abteilungsprojekte\Eng\EngData\PROJECT_Bioplastics\Renjie_Pan\05-Raw_Data\Lab_results\[LabSamples2025_Bioplastic_extra.xlsx]extra_Bioplastic'!B26)," ",'Q:\Abteilungsprojekte\Eng\EngData\PROJECT_Bioplastics\Renjie_Pan\05-Raw_Data\Lab_results\[LabSamples2025_Bioplastic_extra.xlsx]extra_Bioplastic'!B26)</f>
        <v/>
      </c>
      <c r="C26">
        <f>IF(ISBLANK('Q:\Abteilungsprojekte\Eng\EngData\PROJECT_Bioplastics\Renjie_Pan\05-Raw_Data\Lab_results\[LabSamples2025_Bioplastic_extra.xlsx]extra_Bioplastic'!C26)," ",'Q:\Abteilungsprojekte\Eng\EngData\PROJECT_Bioplastics\Renjie_Pan\05-Raw_Data\Lab_results\[LabSamples2025_Bioplastic_extra.xlsx]extra_Bioplastic'!C26)</f>
        <v/>
      </c>
      <c r="D26">
        <f>IF(ISBLANK('Q:\Abteilungsprojekte\Eng\EngData\PROJECT_Bioplastics\Renjie_Pan\05-Raw_Data\Lab_results\[LabSamples2025_Bioplastic_extra.xlsx]extra_Bioplastic'!D26)," ",'Q:\Abteilungsprojekte\Eng\EngData\PROJECT_Bioplastics\Renjie_Pan\05-Raw_Data\Lab_results\[LabSamples2025_Bioplastic_extra.xlsx]extra_Bioplastic'!D26)</f>
        <v/>
      </c>
      <c r="E26">
        <f>IF(ISBLANK('Q:\Abteilungsprojekte\Eng\EngData\PROJECT_Bioplastics\Renjie_Pan\05-Raw_Data\Lab_results\[LabSamples2025_Bioplastic_extra.xlsx]extra_Bioplastic'!E26)," ",'Q:\Abteilungsprojekte\Eng\EngData\PROJECT_Bioplastics\Renjie_Pan\05-Raw_Data\Lab_results\[LabSamples2025_Bioplastic_extra.xlsx]extra_Bioplastic'!E26)</f>
        <v/>
      </c>
      <c r="F26">
        <f>IF(ISBLANK('Q:\Abteilungsprojekte\Eng\EngData\PROJECT_Bioplastics\Renjie_Pan\05-Raw_Data\Lab_results\[LabSamples2025_Bioplastic_extra.xlsx]extra_Bioplastic'!F26)," ",'Q:\Abteilungsprojekte\Eng\EngData\PROJECT_Bioplastics\Renjie_Pan\05-Raw_Data\Lab_results\[LabSamples2025_Bioplastic_extra.xlsx]extra_Bioplastic'!F26)</f>
        <v/>
      </c>
      <c r="G26">
        <f>IF(ISBLANK('Q:\Abteilungsprojekte\Eng\EngData\PROJECT_Bioplastics\Renjie_Pan\05-Raw_Data\Lab_results\[LabSamples2025_Bioplastic_extra.xlsx]extra_Bioplastic'!G26)," ",'Q:\Abteilungsprojekte\Eng\EngData\PROJECT_Bioplastics\Renjie_Pan\05-Raw_Data\Lab_results\[LabSamples2025_Bioplastic_extra.xlsx]extra_Bioplastic'!G26)</f>
        <v/>
      </c>
      <c r="H26">
        <f>IF(ISBLANK('Q:\Abteilungsprojekte\Eng\EngData\PROJECT_Bioplastics\Renjie_Pan\05-Raw_Data\Lab_results\[LabSamples2025_Bioplastic_extra.xlsx]extra_Bioplastic'!H26)," ",'Q:\Abteilungsprojekte\Eng\EngData\PROJECT_Bioplastics\Renjie_Pan\05-Raw_Data\Lab_results\[LabSamples2025_Bioplastic_extra.xlsx]extra_Bioplastic'!H26)</f>
        <v/>
      </c>
    </row>
    <row r="27">
      <c r="A27">
        <f>IF(ISBLANK('Q:\Abteilungsprojekte\Eng\EngData\PROJECT_Bioplastics\Renjie_Pan\05-Raw_Data\Lab_results\[LabSamples2025_Bioplastic_extra.xlsx]extra_Bioplastic'!A27)," ",'Q:\Abteilungsprojekte\Eng\EngData\PROJECT_Bioplastics\Renjie_Pan\05-Raw_Data\Lab_results\[LabSamples2025_Bioplastic_extra.xlsx]extra_Bioplastic'!A27)</f>
        <v/>
      </c>
      <c r="B27">
        <f>IF(ISBLANK('Q:\Abteilungsprojekte\Eng\EngData\PROJECT_Bioplastics\Renjie_Pan\05-Raw_Data\Lab_results\[LabSamples2025_Bioplastic_extra.xlsx]extra_Bioplastic'!B27)," ",'Q:\Abteilungsprojekte\Eng\EngData\PROJECT_Bioplastics\Renjie_Pan\05-Raw_Data\Lab_results\[LabSamples2025_Bioplastic_extra.xlsx]extra_Bioplastic'!B27)</f>
        <v/>
      </c>
      <c r="C27">
        <f>IF(ISBLANK('Q:\Abteilungsprojekte\Eng\EngData\PROJECT_Bioplastics\Renjie_Pan\05-Raw_Data\Lab_results\[LabSamples2025_Bioplastic_extra.xlsx]extra_Bioplastic'!C27)," ",'Q:\Abteilungsprojekte\Eng\EngData\PROJECT_Bioplastics\Renjie_Pan\05-Raw_Data\Lab_results\[LabSamples2025_Bioplastic_extra.xlsx]extra_Bioplastic'!C27)</f>
        <v/>
      </c>
      <c r="D27">
        <f>IF(ISBLANK('Q:\Abteilungsprojekte\Eng\EngData\PROJECT_Bioplastics\Renjie_Pan\05-Raw_Data\Lab_results\[LabSamples2025_Bioplastic_extra.xlsx]extra_Bioplastic'!D27)," ",'Q:\Abteilungsprojekte\Eng\EngData\PROJECT_Bioplastics\Renjie_Pan\05-Raw_Data\Lab_results\[LabSamples2025_Bioplastic_extra.xlsx]extra_Bioplastic'!D27)</f>
        <v/>
      </c>
      <c r="E27">
        <f>IF(ISBLANK('Q:\Abteilungsprojekte\Eng\EngData\PROJECT_Bioplastics\Renjie_Pan\05-Raw_Data\Lab_results\[LabSamples2025_Bioplastic_extra.xlsx]extra_Bioplastic'!E27)," ",'Q:\Abteilungsprojekte\Eng\EngData\PROJECT_Bioplastics\Renjie_Pan\05-Raw_Data\Lab_results\[LabSamples2025_Bioplastic_extra.xlsx]extra_Bioplastic'!E27)</f>
        <v/>
      </c>
      <c r="F27">
        <f>IF(ISBLANK('Q:\Abteilungsprojekte\Eng\EngData\PROJECT_Bioplastics\Renjie_Pan\05-Raw_Data\Lab_results\[LabSamples2025_Bioplastic_extra.xlsx]extra_Bioplastic'!F27)," ",'Q:\Abteilungsprojekte\Eng\EngData\PROJECT_Bioplastics\Renjie_Pan\05-Raw_Data\Lab_results\[LabSamples2025_Bioplastic_extra.xlsx]extra_Bioplastic'!F27)</f>
        <v/>
      </c>
      <c r="G27">
        <f>IF(ISBLANK('Q:\Abteilungsprojekte\Eng\EngData\PROJECT_Bioplastics\Renjie_Pan\05-Raw_Data\Lab_results\[LabSamples2025_Bioplastic_extra.xlsx]extra_Bioplastic'!G27)," ",'Q:\Abteilungsprojekte\Eng\EngData\PROJECT_Bioplastics\Renjie_Pan\05-Raw_Data\Lab_results\[LabSamples2025_Bioplastic_extra.xlsx]extra_Bioplastic'!G27)</f>
        <v/>
      </c>
      <c r="H27">
        <f>IF(ISBLANK('Q:\Abteilungsprojekte\Eng\EngData\PROJECT_Bioplastics\Renjie_Pan\05-Raw_Data\Lab_results\[LabSamples2025_Bioplastic_extra.xlsx]extra_Bioplastic'!H27)," ",'Q:\Abteilungsprojekte\Eng\EngData\PROJECT_Bioplastics\Renjie_Pan\05-Raw_Data\Lab_results\[LabSamples2025_Bioplastic_extra.xlsx]extra_Bioplastic'!H27)</f>
        <v/>
      </c>
    </row>
    <row r="28">
      <c r="A28">
        <f>IF(ISBLANK('Q:\Abteilungsprojekte\Eng\EngData\PROJECT_Bioplastics\Renjie_Pan\05-Raw_Data\Lab_results\[LabSamples2025_Bioplastic_extra.xlsx]extra_Bioplastic'!A28)," ",'Q:\Abteilungsprojekte\Eng\EngData\PROJECT_Bioplastics\Renjie_Pan\05-Raw_Data\Lab_results\[LabSamples2025_Bioplastic_extra.xlsx]extra_Bioplastic'!A28)</f>
        <v/>
      </c>
      <c r="B28">
        <f>IF(ISBLANK('Q:\Abteilungsprojekte\Eng\EngData\PROJECT_Bioplastics\Renjie_Pan\05-Raw_Data\Lab_results\[LabSamples2025_Bioplastic_extra.xlsx]extra_Bioplastic'!B28)," ",'Q:\Abteilungsprojekte\Eng\EngData\PROJECT_Bioplastics\Renjie_Pan\05-Raw_Data\Lab_results\[LabSamples2025_Bioplastic_extra.xlsx]extra_Bioplastic'!B28)</f>
        <v/>
      </c>
      <c r="C28">
        <f>IF(ISBLANK('Q:\Abteilungsprojekte\Eng\EngData\PROJECT_Bioplastics\Renjie_Pan\05-Raw_Data\Lab_results\[LabSamples2025_Bioplastic_extra.xlsx]extra_Bioplastic'!C28)," ",'Q:\Abteilungsprojekte\Eng\EngData\PROJECT_Bioplastics\Renjie_Pan\05-Raw_Data\Lab_results\[LabSamples2025_Bioplastic_extra.xlsx]extra_Bioplastic'!C28)</f>
        <v/>
      </c>
      <c r="D28">
        <f>IF(ISBLANK('Q:\Abteilungsprojekte\Eng\EngData\PROJECT_Bioplastics\Renjie_Pan\05-Raw_Data\Lab_results\[LabSamples2025_Bioplastic_extra.xlsx]extra_Bioplastic'!D28)," ",'Q:\Abteilungsprojekte\Eng\EngData\PROJECT_Bioplastics\Renjie_Pan\05-Raw_Data\Lab_results\[LabSamples2025_Bioplastic_extra.xlsx]extra_Bioplastic'!D28)</f>
        <v/>
      </c>
      <c r="E28">
        <f>IF(ISBLANK('Q:\Abteilungsprojekte\Eng\EngData\PROJECT_Bioplastics\Renjie_Pan\05-Raw_Data\Lab_results\[LabSamples2025_Bioplastic_extra.xlsx]extra_Bioplastic'!E28)," ",'Q:\Abteilungsprojekte\Eng\EngData\PROJECT_Bioplastics\Renjie_Pan\05-Raw_Data\Lab_results\[LabSamples2025_Bioplastic_extra.xlsx]extra_Bioplastic'!E28)</f>
        <v/>
      </c>
      <c r="F28">
        <f>IF(ISBLANK('Q:\Abteilungsprojekte\Eng\EngData\PROJECT_Bioplastics\Renjie_Pan\05-Raw_Data\Lab_results\[LabSamples2025_Bioplastic_extra.xlsx]extra_Bioplastic'!F28)," ",'Q:\Abteilungsprojekte\Eng\EngData\PROJECT_Bioplastics\Renjie_Pan\05-Raw_Data\Lab_results\[LabSamples2025_Bioplastic_extra.xlsx]extra_Bioplastic'!F28)</f>
        <v/>
      </c>
      <c r="G28">
        <f>IF(ISBLANK('Q:\Abteilungsprojekte\Eng\EngData\PROJECT_Bioplastics\Renjie_Pan\05-Raw_Data\Lab_results\[LabSamples2025_Bioplastic_extra.xlsx]extra_Bioplastic'!G28)," ",'Q:\Abteilungsprojekte\Eng\EngData\PROJECT_Bioplastics\Renjie_Pan\05-Raw_Data\Lab_results\[LabSamples2025_Bioplastic_extra.xlsx]extra_Bioplastic'!G28)</f>
        <v/>
      </c>
      <c r="H28">
        <f>IF(ISBLANK('Q:\Abteilungsprojekte\Eng\EngData\PROJECT_Bioplastics\Renjie_Pan\05-Raw_Data\Lab_results\[LabSamples2025_Bioplastic_extra.xlsx]extra_Bioplastic'!H28)," ",'Q:\Abteilungsprojekte\Eng\EngData\PROJECT_Bioplastics\Renjie_Pan\05-Raw_Data\Lab_results\[LabSamples2025_Bioplastic_extra.xlsx]extra_Bioplastic'!H28)</f>
        <v/>
      </c>
    </row>
    <row r="29">
      <c r="A29">
        <f>IF(ISBLANK('Q:\Abteilungsprojekte\Eng\EngData\PROJECT_Bioplastics\Renjie_Pan\05-Raw_Data\Lab_results\[LabSamples2025_Bioplastic_extra.xlsx]extra_Bioplastic'!A29)," ",'Q:\Abteilungsprojekte\Eng\EngData\PROJECT_Bioplastics\Renjie_Pan\05-Raw_Data\Lab_results\[LabSamples2025_Bioplastic_extra.xlsx]extra_Bioplastic'!A29)</f>
        <v/>
      </c>
      <c r="B29">
        <f>IF(ISBLANK('Q:\Abteilungsprojekte\Eng\EngData\PROJECT_Bioplastics\Renjie_Pan\05-Raw_Data\Lab_results\[LabSamples2025_Bioplastic_extra.xlsx]extra_Bioplastic'!B29)," ",'Q:\Abteilungsprojekte\Eng\EngData\PROJECT_Bioplastics\Renjie_Pan\05-Raw_Data\Lab_results\[LabSamples2025_Bioplastic_extra.xlsx]extra_Bioplastic'!B29)</f>
        <v/>
      </c>
      <c r="C29">
        <f>IF(ISBLANK('Q:\Abteilungsprojekte\Eng\EngData\PROJECT_Bioplastics\Renjie_Pan\05-Raw_Data\Lab_results\[LabSamples2025_Bioplastic_extra.xlsx]extra_Bioplastic'!C29)," ",'Q:\Abteilungsprojekte\Eng\EngData\PROJECT_Bioplastics\Renjie_Pan\05-Raw_Data\Lab_results\[LabSamples2025_Bioplastic_extra.xlsx]extra_Bioplastic'!C29)</f>
        <v/>
      </c>
      <c r="D29">
        <f>IF(ISBLANK('Q:\Abteilungsprojekte\Eng\EngData\PROJECT_Bioplastics\Renjie_Pan\05-Raw_Data\Lab_results\[LabSamples2025_Bioplastic_extra.xlsx]extra_Bioplastic'!D29)," ",'Q:\Abteilungsprojekte\Eng\EngData\PROJECT_Bioplastics\Renjie_Pan\05-Raw_Data\Lab_results\[LabSamples2025_Bioplastic_extra.xlsx]extra_Bioplastic'!D29)</f>
        <v/>
      </c>
      <c r="E29">
        <f>IF(ISBLANK('Q:\Abteilungsprojekte\Eng\EngData\PROJECT_Bioplastics\Renjie_Pan\05-Raw_Data\Lab_results\[LabSamples2025_Bioplastic_extra.xlsx]extra_Bioplastic'!E29)," ",'Q:\Abteilungsprojekte\Eng\EngData\PROJECT_Bioplastics\Renjie_Pan\05-Raw_Data\Lab_results\[LabSamples2025_Bioplastic_extra.xlsx]extra_Bioplastic'!E29)</f>
        <v/>
      </c>
      <c r="F29">
        <f>IF(ISBLANK('Q:\Abteilungsprojekte\Eng\EngData\PROJECT_Bioplastics\Renjie_Pan\05-Raw_Data\Lab_results\[LabSamples2025_Bioplastic_extra.xlsx]extra_Bioplastic'!F29)," ",'Q:\Abteilungsprojekte\Eng\EngData\PROJECT_Bioplastics\Renjie_Pan\05-Raw_Data\Lab_results\[LabSamples2025_Bioplastic_extra.xlsx]extra_Bioplastic'!F29)</f>
        <v/>
      </c>
      <c r="G29">
        <f>IF(ISBLANK('Q:\Abteilungsprojekte\Eng\EngData\PROJECT_Bioplastics\Renjie_Pan\05-Raw_Data\Lab_results\[LabSamples2025_Bioplastic_extra.xlsx]extra_Bioplastic'!G29)," ",'Q:\Abteilungsprojekte\Eng\EngData\PROJECT_Bioplastics\Renjie_Pan\05-Raw_Data\Lab_results\[LabSamples2025_Bioplastic_extra.xlsx]extra_Bioplastic'!G29)</f>
        <v/>
      </c>
      <c r="H29">
        <f>IF(ISBLANK('Q:\Abteilungsprojekte\Eng\EngData\PROJECT_Bioplastics\Renjie_Pan\05-Raw_Data\Lab_results\[LabSamples2025_Bioplastic_extra.xlsx]extra_Bioplastic'!H29)," ",'Q:\Abteilungsprojekte\Eng\EngData\PROJECT_Bioplastics\Renjie_Pan\05-Raw_Data\Lab_results\[LabSamples2025_Bioplastic_extra.xlsx]extra_Bioplastic'!H29)</f>
        <v/>
      </c>
    </row>
    <row r="30">
      <c r="A30">
        <f>IF(ISBLANK('Q:\Abteilungsprojekte\Eng\EngData\PROJECT_Bioplastics\Renjie_Pan\05-Raw_Data\Lab_results\[LabSamples2025_Bioplastic_extra.xlsx]extra_Bioplastic'!A30)," ",'Q:\Abteilungsprojekte\Eng\EngData\PROJECT_Bioplastics\Renjie_Pan\05-Raw_Data\Lab_results\[LabSamples2025_Bioplastic_extra.xlsx]extra_Bioplastic'!A30)</f>
        <v/>
      </c>
      <c r="B30">
        <f>IF(ISBLANK('Q:\Abteilungsprojekte\Eng\EngData\PROJECT_Bioplastics\Renjie_Pan\05-Raw_Data\Lab_results\[LabSamples2025_Bioplastic_extra.xlsx]extra_Bioplastic'!B30)," ",'Q:\Abteilungsprojekte\Eng\EngData\PROJECT_Bioplastics\Renjie_Pan\05-Raw_Data\Lab_results\[LabSamples2025_Bioplastic_extra.xlsx]extra_Bioplastic'!B30)</f>
        <v/>
      </c>
      <c r="C30">
        <f>IF(ISBLANK('Q:\Abteilungsprojekte\Eng\EngData\PROJECT_Bioplastics\Renjie_Pan\05-Raw_Data\Lab_results\[LabSamples2025_Bioplastic_extra.xlsx]extra_Bioplastic'!C30)," ",'Q:\Abteilungsprojekte\Eng\EngData\PROJECT_Bioplastics\Renjie_Pan\05-Raw_Data\Lab_results\[LabSamples2025_Bioplastic_extra.xlsx]extra_Bioplastic'!C30)</f>
        <v/>
      </c>
      <c r="D30">
        <f>IF(ISBLANK('Q:\Abteilungsprojekte\Eng\EngData\PROJECT_Bioplastics\Renjie_Pan\05-Raw_Data\Lab_results\[LabSamples2025_Bioplastic_extra.xlsx]extra_Bioplastic'!D30)," ",'Q:\Abteilungsprojekte\Eng\EngData\PROJECT_Bioplastics\Renjie_Pan\05-Raw_Data\Lab_results\[LabSamples2025_Bioplastic_extra.xlsx]extra_Bioplastic'!D30)</f>
        <v/>
      </c>
      <c r="E30">
        <f>IF(ISBLANK('Q:\Abteilungsprojekte\Eng\EngData\PROJECT_Bioplastics\Renjie_Pan\05-Raw_Data\Lab_results\[LabSamples2025_Bioplastic_extra.xlsx]extra_Bioplastic'!E30)," ",'Q:\Abteilungsprojekte\Eng\EngData\PROJECT_Bioplastics\Renjie_Pan\05-Raw_Data\Lab_results\[LabSamples2025_Bioplastic_extra.xlsx]extra_Bioplastic'!E30)</f>
        <v/>
      </c>
      <c r="F30">
        <f>IF(ISBLANK('Q:\Abteilungsprojekte\Eng\EngData\PROJECT_Bioplastics\Renjie_Pan\05-Raw_Data\Lab_results\[LabSamples2025_Bioplastic_extra.xlsx]extra_Bioplastic'!F30)," ",'Q:\Abteilungsprojekte\Eng\EngData\PROJECT_Bioplastics\Renjie_Pan\05-Raw_Data\Lab_results\[LabSamples2025_Bioplastic_extra.xlsx]extra_Bioplastic'!F30)</f>
        <v/>
      </c>
      <c r="G30">
        <f>IF(ISBLANK('Q:\Abteilungsprojekte\Eng\EngData\PROJECT_Bioplastics\Renjie_Pan\05-Raw_Data\Lab_results\[LabSamples2025_Bioplastic_extra.xlsx]extra_Bioplastic'!G30)," ",'Q:\Abteilungsprojekte\Eng\EngData\PROJECT_Bioplastics\Renjie_Pan\05-Raw_Data\Lab_results\[LabSamples2025_Bioplastic_extra.xlsx]extra_Bioplastic'!G30)</f>
        <v/>
      </c>
      <c r="H30">
        <f>IF(ISBLANK('Q:\Abteilungsprojekte\Eng\EngData\PROJECT_Bioplastics\Renjie_Pan\05-Raw_Data\Lab_results\[LabSamples2025_Bioplastic_extra.xlsx]extra_Bioplastic'!H30)," ",'Q:\Abteilungsprojekte\Eng\EngData\PROJECT_Bioplastics\Renjie_Pan\05-Raw_Data\Lab_results\[LabSamples2025_Bioplastic_extra.xlsx]extra_Bioplastic'!H30)</f>
        <v/>
      </c>
    </row>
    <row r="31">
      <c r="A31">
        <f>IF(ISBLANK('Q:\Abteilungsprojekte\Eng\EngData\PROJECT_Bioplastics\Renjie_Pan\05-Raw_Data\Lab_results\[LabSamples2025_Bioplastic_extra.xlsx]extra_Bioplastic'!A31)," ",'Q:\Abteilungsprojekte\Eng\EngData\PROJECT_Bioplastics\Renjie_Pan\05-Raw_Data\Lab_results\[LabSamples2025_Bioplastic_extra.xlsx]extra_Bioplastic'!A31)</f>
        <v/>
      </c>
      <c r="B31">
        <f>IF(ISBLANK('Q:\Abteilungsprojekte\Eng\EngData\PROJECT_Bioplastics\Renjie_Pan\05-Raw_Data\Lab_results\[LabSamples2025_Bioplastic_extra.xlsx]extra_Bioplastic'!B31)," ",'Q:\Abteilungsprojekte\Eng\EngData\PROJECT_Bioplastics\Renjie_Pan\05-Raw_Data\Lab_results\[LabSamples2025_Bioplastic_extra.xlsx]extra_Bioplastic'!B31)</f>
        <v/>
      </c>
      <c r="C31">
        <f>IF(ISBLANK('Q:\Abteilungsprojekte\Eng\EngData\PROJECT_Bioplastics\Renjie_Pan\05-Raw_Data\Lab_results\[LabSamples2025_Bioplastic_extra.xlsx]extra_Bioplastic'!C31)," ",'Q:\Abteilungsprojekte\Eng\EngData\PROJECT_Bioplastics\Renjie_Pan\05-Raw_Data\Lab_results\[LabSamples2025_Bioplastic_extra.xlsx]extra_Bioplastic'!C31)</f>
        <v/>
      </c>
      <c r="D31">
        <f>IF(ISBLANK('Q:\Abteilungsprojekte\Eng\EngData\PROJECT_Bioplastics\Renjie_Pan\05-Raw_Data\Lab_results\[LabSamples2025_Bioplastic_extra.xlsx]extra_Bioplastic'!D31)," ",'Q:\Abteilungsprojekte\Eng\EngData\PROJECT_Bioplastics\Renjie_Pan\05-Raw_Data\Lab_results\[LabSamples2025_Bioplastic_extra.xlsx]extra_Bioplastic'!D31)</f>
        <v/>
      </c>
      <c r="E31">
        <f>IF(ISBLANK('Q:\Abteilungsprojekte\Eng\EngData\PROJECT_Bioplastics\Renjie_Pan\05-Raw_Data\Lab_results\[LabSamples2025_Bioplastic_extra.xlsx]extra_Bioplastic'!E31)," ",'Q:\Abteilungsprojekte\Eng\EngData\PROJECT_Bioplastics\Renjie_Pan\05-Raw_Data\Lab_results\[LabSamples2025_Bioplastic_extra.xlsx]extra_Bioplastic'!E31)</f>
        <v/>
      </c>
      <c r="F31">
        <f>IF(ISBLANK('Q:\Abteilungsprojekte\Eng\EngData\PROJECT_Bioplastics\Renjie_Pan\05-Raw_Data\Lab_results\[LabSamples2025_Bioplastic_extra.xlsx]extra_Bioplastic'!F31)," ",'Q:\Abteilungsprojekte\Eng\EngData\PROJECT_Bioplastics\Renjie_Pan\05-Raw_Data\Lab_results\[LabSamples2025_Bioplastic_extra.xlsx]extra_Bioplastic'!F31)</f>
        <v/>
      </c>
      <c r="G31">
        <f>IF(ISBLANK('Q:\Abteilungsprojekte\Eng\EngData\PROJECT_Bioplastics\Renjie_Pan\05-Raw_Data\Lab_results\[LabSamples2025_Bioplastic_extra.xlsx]extra_Bioplastic'!G31)," ",'Q:\Abteilungsprojekte\Eng\EngData\PROJECT_Bioplastics\Renjie_Pan\05-Raw_Data\Lab_results\[LabSamples2025_Bioplastic_extra.xlsx]extra_Bioplastic'!G31)</f>
        <v/>
      </c>
      <c r="H31">
        <f>IF(ISBLANK('Q:\Abteilungsprojekte\Eng\EngData\PROJECT_Bioplastics\Renjie_Pan\05-Raw_Data\Lab_results\[LabSamples2025_Bioplastic_extra.xlsx]extra_Bioplastic'!H31)," ",'Q:\Abteilungsprojekte\Eng\EngData\PROJECT_Bioplastics\Renjie_Pan\05-Raw_Data\Lab_results\[LabSamples2025_Bioplastic_extra.xlsx]extra_Bioplastic'!H31)</f>
        <v/>
      </c>
    </row>
    <row r="32">
      <c r="A32">
        <f>IF(ISBLANK('Q:\Abteilungsprojekte\Eng\EngData\PROJECT_Bioplastics\Renjie_Pan\05-Raw_Data\Lab_results\[LabSamples2025_Bioplastic_extra.xlsx]extra_Bioplastic'!A32)," ",'Q:\Abteilungsprojekte\Eng\EngData\PROJECT_Bioplastics\Renjie_Pan\05-Raw_Data\Lab_results\[LabSamples2025_Bioplastic_extra.xlsx]extra_Bioplastic'!A32)</f>
        <v/>
      </c>
      <c r="B32">
        <f>IF(ISBLANK('Q:\Abteilungsprojekte\Eng\EngData\PROJECT_Bioplastics\Renjie_Pan\05-Raw_Data\Lab_results\[LabSamples2025_Bioplastic_extra.xlsx]extra_Bioplastic'!B32)," ",'Q:\Abteilungsprojekte\Eng\EngData\PROJECT_Bioplastics\Renjie_Pan\05-Raw_Data\Lab_results\[LabSamples2025_Bioplastic_extra.xlsx]extra_Bioplastic'!B32)</f>
        <v/>
      </c>
      <c r="C32">
        <f>IF(ISBLANK('Q:\Abteilungsprojekte\Eng\EngData\PROJECT_Bioplastics\Renjie_Pan\05-Raw_Data\Lab_results\[LabSamples2025_Bioplastic_extra.xlsx]extra_Bioplastic'!C32)," ",'Q:\Abteilungsprojekte\Eng\EngData\PROJECT_Bioplastics\Renjie_Pan\05-Raw_Data\Lab_results\[LabSamples2025_Bioplastic_extra.xlsx]extra_Bioplastic'!C32)</f>
        <v/>
      </c>
      <c r="D32">
        <f>IF(ISBLANK('Q:\Abteilungsprojekte\Eng\EngData\PROJECT_Bioplastics\Renjie_Pan\05-Raw_Data\Lab_results\[LabSamples2025_Bioplastic_extra.xlsx]extra_Bioplastic'!D32)," ",'Q:\Abteilungsprojekte\Eng\EngData\PROJECT_Bioplastics\Renjie_Pan\05-Raw_Data\Lab_results\[LabSamples2025_Bioplastic_extra.xlsx]extra_Bioplastic'!D32)</f>
        <v/>
      </c>
      <c r="E32">
        <f>IF(ISBLANK('Q:\Abteilungsprojekte\Eng\EngData\PROJECT_Bioplastics\Renjie_Pan\05-Raw_Data\Lab_results\[LabSamples2025_Bioplastic_extra.xlsx]extra_Bioplastic'!E32)," ",'Q:\Abteilungsprojekte\Eng\EngData\PROJECT_Bioplastics\Renjie_Pan\05-Raw_Data\Lab_results\[LabSamples2025_Bioplastic_extra.xlsx]extra_Bioplastic'!E32)</f>
        <v/>
      </c>
      <c r="F32">
        <f>IF(ISBLANK('Q:\Abteilungsprojekte\Eng\EngData\PROJECT_Bioplastics\Renjie_Pan\05-Raw_Data\Lab_results\[LabSamples2025_Bioplastic_extra.xlsx]extra_Bioplastic'!F32)," ",'Q:\Abteilungsprojekte\Eng\EngData\PROJECT_Bioplastics\Renjie_Pan\05-Raw_Data\Lab_results\[LabSamples2025_Bioplastic_extra.xlsx]extra_Bioplastic'!F32)</f>
        <v/>
      </c>
      <c r="G32">
        <f>IF(ISBLANK('Q:\Abteilungsprojekte\Eng\EngData\PROJECT_Bioplastics\Renjie_Pan\05-Raw_Data\Lab_results\[LabSamples2025_Bioplastic_extra.xlsx]extra_Bioplastic'!G32)," ",'Q:\Abteilungsprojekte\Eng\EngData\PROJECT_Bioplastics\Renjie_Pan\05-Raw_Data\Lab_results\[LabSamples2025_Bioplastic_extra.xlsx]extra_Bioplastic'!G32)</f>
        <v/>
      </c>
      <c r="H32">
        <f>IF(ISBLANK('Q:\Abteilungsprojekte\Eng\EngData\PROJECT_Bioplastics\Renjie_Pan\05-Raw_Data\Lab_results\[LabSamples2025_Bioplastic_extra.xlsx]extra_Bioplastic'!H32)," ",'Q:\Abteilungsprojekte\Eng\EngData\PROJECT_Bioplastics\Renjie_Pan\05-Raw_Data\Lab_results\[LabSamples2025_Bioplastic_extra.xlsx]extra_Bioplastic'!H32)</f>
        <v/>
      </c>
    </row>
    <row r="33">
      <c r="A33">
        <f>IF(ISBLANK('Q:\Abteilungsprojekte\Eng\EngData\PROJECT_Bioplastics\Renjie_Pan\05-Raw_Data\Lab_results\[LabSamples2025_Bioplastic_extra.xlsx]extra_Bioplastic'!A33)," ",'Q:\Abteilungsprojekte\Eng\EngData\PROJECT_Bioplastics\Renjie_Pan\05-Raw_Data\Lab_results\[LabSamples2025_Bioplastic_extra.xlsx]extra_Bioplastic'!A33)</f>
        <v/>
      </c>
      <c r="B33">
        <f>IF(ISBLANK('Q:\Abteilungsprojekte\Eng\EngData\PROJECT_Bioplastics\Renjie_Pan\05-Raw_Data\Lab_results\[LabSamples2025_Bioplastic_extra.xlsx]extra_Bioplastic'!B33)," ",'Q:\Abteilungsprojekte\Eng\EngData\PROJECT_Bioplastics\Renjie_Pan\05-Raw_Data\Lab_results\[LabSamples2025_Bioplastic_extra.xlsx]extra_Bioplastic'!B33)</f>
        <v/>
      </c>
      <c r="C33">
        <f>IF(ISBLANK('Q:\Abteilungsprojekte\Eng\EngData\PROJECT_Bioplastics\Renjie_Pan\05-Raw_Data\Lab_results\[LabSamples2025_Bioplastic_extra.xlsx]extra_Bioplastic'!C33)," ",'Q:\Abteilungsprojekte\Eng\EngData\PROJECT_Bioplastics\Renjie_Pan\05-Raw_Data\Lab_results\[LabSamples2025_Bioplastic_extra.xlsx]extra_Bioplastic'!C33)</f>
        <v/>
      </c>
      <c r="D33">
        <f>IF(ISBLANK('Q:\Abteilungsprojekte\Eng\EngData\PROJECT_Bioplastics\Renjie_Pan\05-Raw_Data\Lab_results\[LabSamples2025_Bioplastic_extra.xlsx]extra_Bioplastic'!D33)," ",'Q:\Abteilungsprojekte\Eng\EngData\PROJECT_Bioplastics\Renjie_Pan\05-Raw_Data\Lab_results\[LabSamples2025_Bioplastic_extra.xlsx]extra_Bioplastic'!D33)</f>
        <v/>
      </c>
      <c r="E33">
        <f>IF(ISBLANK('Q:\Abteilungsprojekte\Eng\EngData\PROJECT_Bioplastics\Renjie_Pan\05-Raw_Data\Lab_results\[LabSamples2025_Bioplastic_extra.xlsx]extra_Bioplastic'!E33)," ",'Q:\Abteilungsprojekte\Eng\EngData\PROJECT_Bioplastics\Renjie_Pan\05-Raw_Data\Lab_results\[LabSamples2025_Bioplastic_extra.xlsx]extra_Bioplastic'!E33)</f>
        <v/>
      </c>
      <c r="F33">
        <f>IF(ISBLANK('Q:\Abteilungsprojekte\Eng\EngData\PROJECT_Bioplastics\Renjie_Pan\05-Raw_Data\Lab_results\[LabSamples2025_Bioplastic_extra.xlsx]extra_Bioplastic'!F33)," ",'Q:\Abteilungsprojekte\Eng\EngData\PROJECT_Bioplastics\Renjie_Pan\05-Raw_Data\Lab_results\[LabSamples2025_Bioplastic_extra.xlsx]extra_Bioplastic'!F33)</f>
        <v/>
      </c>
      <c r="G33">
        <f>IF(ISBLANK('Q:\Abteilungsprojekte\Eng\EngData\PROJECT_Bioplastics\Renjie_Pan\05-Raw_Data\Lab_results\[LabSamples2025_Bioplastic_extra.xlsx]extra_Bioplastic'!G33)," ",'Q:\Abteilungsprojekte\Eng\EngData\PROJECT_Bioplastics\Renjie_Pan\05-Raw_Data\Lab_results\[LabSamples2025_Bioplastic_extra.xlsx]extra_Bioplastic'!G33)</f>
        <v/>
      </c>
      <c r="H33">
        <f>IF(ISBLANK('Q:\Abteilungsprojekte\Eng\EngData\PROJECT_Bioplastics\Renjie_Pan\05-Raw_Data\Lab_results\[LabSamples2025_Bioplastic_extra.xlsx]extra_Bioplastic'!H33)," ",'Q:\Abteilungsprojekte\Eng\EngData\PROJECT_Bioplastics\Renjie_Pan\05-Raw_Data\Lab_results\[LabSamples2025_Bioplastic_extra.xlsx]extra_Bioplastic'!H33)</f>
        <v/>
      </c>
    </row>
    <row r="34">
      <c r="A34">
        <f>IF(ISBLANK('Q:\Abteilungsprojekte\Eng\EngData\PROJECT_Bioplastics\Renjie_Pan\05-Raw_Data\Lab_results\[LabSamples2025_Bioplastic_extra.xlsx]extra_Bioplastic'!A34)," ",'Q:\Abteilungsprojekte\Eng\EngData\PROJECT_Bioplastics\Renjie_Pan\05-Raw_Data\Lab_results\[LabSamples2025_Bioplastic_extra.xlsx]extra_Bioplastic'!A34)</f>
        <v/>
      </c>
      <c r="B34">
        <f>IF(ISBLANK('Q:\Abteilungsprojekte\Eng\EngData\PROJECT_Bioplastics\Renjie_Pan\05-Raw_Data\Lab_results\[LabSamples2025_Bioplastic_extra.xlsx]extra_Bioplastic'!B34)," ",'Q:\Abteilungsprojekte\Eng\EngData\PROJECT_Bioplastics\Renjie_Pan\05-Raw_Data\Lab_results\[LabSamples2025_Bioplastic_extra.xlsx]extra_Bioplastic'!B34)</f>
        <v/>
      </c>
      <c r="C34">
        <f>IF(ISBLANK('Q:\Abteilungsprojekte\Eng\EngData\PROJECT_Bioplastics\Renjie_Pan\05-Raw_Data\Lab_results\[LabSamples2025_Bioplastic_extra.xlsx]extra_Bioplastic'!C34)," ",'Q:\Abteilungsprojekte\Eng\EngData\PROJECT_Bioplastics\Renjie_Pan\05-Raw_Data\Lab_results\[LabSamples2025_Bioplastic_extra.xlsx]extra_Bioplastic'!C34)</f>
        <v/>
      </c>
      <c r="D34">
        <f>IF(ISBLANK('Q:\Abteilungsprojekte\Eng\EngData\PROJECT_Bioplastics\Renjie_Pan\05-Raw_Data\Lab_results\[LabSamples2025_Bioplastic_extra.xlsx]extra_Bioplastic'!D34)," ",'Q:\Abteilungsprojekte\Eng\EngData\PROJECT_Bioplastics\Renjie_Pan\05-Raw_Data\Lab_results\[LabSamples2025_Bioplastic_extra.xlsx]extra_Bioplastic'!D34)</f>
        <v/>
      </c>
      <c r="E34">
        <f>IF(ISBLANK('Q:\Abteilungsprojekte\Eng\EngData\PROJECT_Bioplastics\Renjie_Pan\05-Raw_Data\Lab_results\[LabSamples2025_Bioplastic_extra.xlsx]extra_Bioplastic'!E34)," ",'Q:\Abteilungsprojekte\Eng\EngData\PROJECT_Bioplastics\Renjie_Pan\05-Raw_Data\Lab_results\[LabSamples2025_Bioplastic_extra.xlsx]extra_Bioplastic'!E34)</f>
        <v/>
      </c>
      <c r="F34">
        <f>IF(ISBLANK('Q:\Abteilungsprojekte\Eng\EngData\PROJECT_Bioplastics\Renjie_Pan\05-Raw_Data\Lab_results\[LabSamples2025_Bioplastic_extra.xlsx]extra_Bioplastic'!F34)," ",'Q:\Abteilungsprojekte\Eng\EngData\PROJECT_Bioplastics\Renjie_Pan\05-Raw_Data\Lab_results\[LabSamples2025_Bioplastic_extra.xlsx]extra_Bioplastic'!F34)</f>
        <v/>
      </c>
      <c r="G34">
        <f>IF(ISBLANK('Q:\Abteilungsprojekte\Eng\EngData\PROJECT_Bioplastics\Renjie_Pan\05-Raw_Data\Lab_results\[LabSamples2025_Bioplastic_extra.xlsx]extra_Bioplastic'!G34)," ",'Q:\Abteilungsprojekte\Eng\EngData\PROJECT_Bioplastics\Renjie_Pan\05-Raw_Data\Lab_results\[LabSamples2025_Bioplastic_extra.xlsx]extra_Bioplastic'!G34)</f>
        <v/>
      </c>
      <c r="H34">
        <f>IF(ISBLANK('Q:\Abteilungsprojekte\Eng\EngData\PROJECT_Bioplastics\Renjie_Pan\05-Raw_Data\Lab_results\[LabSamples2025_Bioplastic_extra.xlsx]extra_Bioplastic'!H34)," ",'Q:\Abteilungsprojekte\Eng\EngData\PROJECT_Bioplastics\Renjie_Pan\05-Raw_Data\Lab_results\[LabSamples2025_Bioplastic_extra.xlsx]extra_Bioplastic'!H34)</f>
        <v/>
      </c>
    </row>
    <row r="35">
      <c r="A35">
        <f>IF(ISBLANK('Q:\Abteilungsprojekte\Eng\EngData\PROJECT_Bioplastics\Renjie_Pan\05-Raw_Data\Lab_results\[LabSamples2025_Bioplastic_extra.xlsx]extra_Bioplastic'!A35)," ",'Q:\Abteilungsprojekte\Eng\EngData\PROJECT_Bioplastics\Renjie_Pan\05-Raw_Data\Lab_results\[LabSamples2025_Bioplastic_extra.xlsx]extra_Bioplastic'!A35)</f>
        <v/>
      </c>
      <c r="B35">
        <f>IF(ISBLANK('Q:\Abteilungsprojekte\Eng\EngData\PROJECT_Bioplastics\Renjie_Pan\05-Raw_Data\Lab_results\[LabSamples2025_Bioplastic_extra.xlsx]extra_Bioplastic'!B35)," ",'Q:\Abteilungsprojekte\Eng\EngData\PROJECT_Bioplastics\Renjie_Pan\05-Raw_Data\Lab_results\[LabSamples2025_Bioplastic_extra.xlsx]extra_Bioplastic'!B35)</f>
        <v/>
      </c>
      <c r="C35">
        <f>IF(ISBLANK('Q:\Abteilungsprojekte\Eng\EngData\PROJECT_Bioplastics\Renjie_Pan\05-Raw_Data\Lab_results\[LabSamples2025_Bioplastic_extra.xlsx]extra_Bioplastic'!C35)," ",'Q:\Abteilungsprojekte\Eng\EngData\PROJECT_Bioplastics\Renjie_Pan\05-Raw_Data\Lab_results\[LabSamples2025_Bioplastic_extra.xlsx]extra_Bioplastic'!C35)</f>
        <v/>
      </c>
      <c r="D35">
        <f>IF(ISBLANK('Q:\Abteilungsprojekte\Eng\EngData\PROJECT_Bioplastics\Renjie_Pan\05-Raw_Data\Lab_results\[LabSamples2025_Bioplastic_extra.xlsx]extra_Bioplastic'!D35)," ",'Q:\Abteilungsprojekte\Eng\EngData\PROJECT_Bioplastics\Renjie_Pan\05-Raw_Data\Lab_results\[LabSamples2025_Bioplastic_extra.xlsx]extra_Bioplastic'!D35)</f>
        <v/>
      </c>
      <c r="E35">
        <f>IF(ISBLANK('Q:\Abteilungsprojekte\Eng\EngData\PROJECT_Bioplastics\Renjie_Pan\05-Raw_Data\Lab_results\[LabSamples2025_Bioplastic_extra.xlsx]extra_Bioplastic'!E35)," ",'Q:\Abteilungsprojekte\Eng\EngData\PROJECT_Bioplastics\Renjie_Pan\05-Raw_Data\Lab_results\[LabSamples2025_Bioplastic_extra.xlsx]extra_Bioplastic'!E35)</f>
        <v/>
      </c>
      <c r="F35">
        <f>IF(ISBLANK('Q:\Abteilungsprojekte\Eng\EngData\PROJECT_Bioplastics\Renjie_Pan\05-Raw_Data\Lab_results\[LabSamples2025_Bioplastic_extra.xlsx]extra_Bioplastic'!F35)," ",'Q:\Abteilungsprojekte\Eng\EngData\PROJECT_Bioplastics\Renjie_Pan\05-Raw_Data\Lab_results\[LabSamples2025_Bioplastic_extra.xlsx]extra_Bioplastic'!F35)</f>
        <v/>
      </c>
      <c r="G35">
        <f>IF(ISBLANK('Q:\Abteilungsprojekte\Eng\EngData\PROJECT_Bioplastics\Renjie_Pan\05-Raw_Data\Lab_results\[LabSamples2025_Bioplastic_extra.xlsx]extra_Bioplastic'!G35)," ",'Q:\Abteilungsprojekte\Eng\EngData\PROJECT_Bioplastics\Renjie_Pan\05-Raw_Data\Lab_results\[LabSamples2025_Bioplastic_extra.xlsx]extra_Bioplastic'!G35)</f>
        <v/>
      </c>
      <c r="H35">
        <f>IF(ISBLANK('Q:\Abteilungsprojekte\Eng\EngData\PROJECT_Bioplastics\Renjie_Pan\05-Raw_Data\Lab_results\[LabSamples2025_Bioplastic_extra.xlsx]extra_Bioplastic'!H35)," ",'Q:\Abteilungsprojekte\Eng\EngData\PROJECT_Bioplastics\Renjie_Pan\05-Raw_Data\Lab_results\[LabSamples2025_Bioplastic_extra.xlsx]extra_Bioplastic'!H35)</f>
        <v/>
      </c>
    </row>
    <row r="36">
      <c r="A36">
        <f>IF(ISBLANK('Q:\Abteilungsprojekte\Eng\EngData\PROJECT_Bioplastics\Renjie_Pan\05-Raw_Data\Lab_results\[LabSamples2025_Bioplastic_extra.xlsx]extra_Bioplastic'!A36)," ",'Q:\Abteilungsprojekte\Eng\EngData\PROJECT_Bioplastics\Renjie_Pan\05-Raw_Data\Lab_results\[LabSamples2025_Bioplastic_extra.xlsx]extra_Bioplastic'!A36)</f>
        <v/>
      </c>
      <c r="B36">
        <f>IF(ISBLANK('Q:\Abteilungsprojekte\Eng\EngData\PROJECT_Bioplastics\Renjie_Pan\05-Raw_Data\Lab_results\[LabSamples2025_Bioplastic_extra.xlsx]extra_Bioplastic'!B36)," ",'Q:\Abteilungsprojekte\Eng\EngData\PROJECT_Bioplastics\Renjie_Pan\05-Raw_Data\Lab_results\[LabSamples2025_Bioplastic_extra.xlsx]extra_Bioplastic'!B36)</f>
        <v/>
      </c>
      <c r="C36">
        <f>IF(ISBLANK('Q:\Abteilungsprojekte\Eng\EngData\PROJECT_Bioplastics\Renjie_Pan\05-Raw_Data\Lab_results\[LabSamples2025_Bioplastic_extra.xlsx]extra_Bioplastic'!C36)," ",'Q:\Abteilungsprojekte\Eng\EngData\PROJECT_Bioplastics\Renjie_Pan\05-Raw_Data\Lab_results\[LabSamples2025_Bioplastic_extra.xlsx]extra_Bioplastic'!C36)</f>
        <v/>
      </c>
      <c r="D36">
        <f>IF(ISBLANK('Q:\Abteilungsprojekte\Eng\EngData\PROJECT_Bioplastics\Renjie_Pan\05-Raw_Data\Lab_results\[LabSamples2025_Bioplastic_extra.xlsx]extra_Bioplastic'!D36)," ",'Q:\Abteilungsprojekte\Eng\EngData\PROJECT_Bioplastics\Renjie_Pan\05-Raw_Data\Lab_results\[LabSamples2025_Bioplastic_extra.xlsx]extra_Bioplastic'!D36)</f>
        <v/>
      </c>
      <c r="E36">
        <f>IF(ISBLANK('Q:\Abteilungsprojekte\Eng\EngData\PROJECT_Bioplastics\Renjie_Pan\05-Raw_Data\Lab_results\[LabSamples2025_Bioplastic_extra.xlsx]extra_Bioplastic'!E36)," ",'Q:\Abteilungsprojekte\Eng\EngData\PROJECT_Bioplastics\Renjie_Pan\05-Raw_Data\Lab_results\[LabSamples2025_Bioplastic_extra.xlsx]extra_Bioplastic'!E36)</f>
        <v/>
      </c>
      <c r="F36">
        <f>IF(ISBLANK('Q:\Abteilungsprojekte\Eng\EngData\PROJECT_Bioplastics\Renjie_Pan\05-Raw_Data\Lab_results\[LabSamples2025_Bioplastic_extra.xlsx]extra_Bioplastic'!F36)," ",'Q:\Abteilungsprojekte\Eng\EngData\PROJECT_Bioplastics\Renjie_Pan\05-Raw_Data\Lab_results\[LabSamples2025_Bioplastic_extra.xlsx]extra_Bioplastic'!F36)</f>
        <v/>
      </c>
      <c r="G36">
        <f>IF(ISBLANK('Q:\Abteilungsprojekte\Eng\EngData\PROJECT_Bioplastics\Renjie_Pan\05-Raw_Data\Lab_results\[LabSamples2025_Bioplastic_extra.xlsx]extra_Bioplastic'!G36)," ",'Q:\Abteilungsprojekte\Eng\EngData\PROJECT_Bioplastics\Renjie_Pan\05-Raw_Data\Lab_results\[LabSamples2025_Bioplastic_extra.xlsx]extra_Bioplastic'!G36)</f>
        <v/>
      </c>
      <c r="H36">
        <f>IF(ISBLANK('Q:\Abteilungsprojekte\Eng\EngData\PROJECT_Bioplastics\Renjie_Pan\05-Raw_Data\Lab_results\[LabSamples2025_Bioplastic_extra.xlsx]extra_Bioplastic'!H36)," ",'Q:\Abteilungsprojekte\Eng\EngData\PROJECT_Bioplastics\Renjie_Pan\05-Raw_Data\Lab_results\[LabSamples2025_Bioplastic_extra.xlsx]extra_Bioplastic'!H36)</f>
        <v/>
      </c>
    </row>
    <row r="37">
      <c r="A37">
        <f>IF(ISBLANK('Q:\Abteilungsprojekte\Eng\EngData\PROJECT_Bioplastics\Renjie_Pan\05-Raw_Data\Lab_results\[LabSamples2025_Bioplastic_extra.xlsx]extra_Bioplastic'!A37)," ",'Q:\Abteilungsprojekte\Eng\EngData\PROJECT_Bioplastics\Renjie_Pan\05-Raw_Data\Lab_results\[LabSamples2025_Bioplastic_extra.xlsx]extra_Bioplastic'!A37)</f>
        <v/>
      </c>
      <c r="B37">
        <f>IF(ISBLANK('Q:\Abteilungsprojekte\Eng\EngData\PROJECT_Bioplastics\Renjie_Pan\05-Raw_Data\Lab_results\[LabSamples2025_Bioplastic_extra.xlsx]extra_Bioplastic'!B37)," ",'Q:\Abteilungsprojekte\Eng\EngData\PROJECT_Bioplastics\Renjie_Pan\05-Raw_Data\Lab_results\[LabSamples2025_Bioplastic_extra.xlsx]extra_Bioplastic'!B37)</f>
        <v/>
      </c>
      <c r="C37">
        <f>IF(ISBLANK('Q:\Abteilungsprojekte\Eng\EngData\PROJECT_Bioplastics\Renjie_Pan\05-Raw_Data\Lab_results\[LabSamples2025_Bioplastic_extra.xlsx]extra_Bioplastic'!C37)," ",'Q:\Abteilungsprojekte\Eng\EngData\PROJECT_Bioplastics\Renjie_Pan\05-Raw_Data\Lab_results\[LabSamples2025_Bioplastic_extra.xlsx]extra_Bioplastic'!C37)</f>
        <v/>
      </c>
      <c r="D37">
        <f>IF(ISBLANK('Q:\Abteilungsprojekte\Eng\EngData\PROJECT_Bioplastics\Renjie_Pan\05-Raw_Data\Lab_results\[LabSamples2025_Bioplastic_extra.xlsx]extra_Bioplastic'!D37)," ",'Q:\Abteilungsprojekte\Eng\EngData\PROJECT_Bioplastics\Renjie_Pan\05-Raw_Data\Lab_results\[LabSamples2025_Bioplastic_extra.xlsx]extra_Bioplastic'!D37)</f>
        <v/>
      </c>
      <c r="E37">
        <f>IF(ISBLANK('Q:\Abteilungsprojekte\Eng\EngData\PROJECT_Bioplastics\Renjie_Pan\05-Raw_Data\Lab_results\[LabSamples2025_Bioplastic_extra.xlsx]extra_Bioplastic'!E37)," ",'Q:\Abteilungsprojekte\Eng\EngData\PROJECT_Bioplastics\Renjie_Pan\05-Raw_Data\Lab_results\[LabSamples2025_Bioplastic_extra.xlsx]extra_Bioplastic'!E37)</f>
        <v/>
      </c>
      <c r="F37">
        <f>IF(ISBLANK('Q:\Abteilungsprojekte\Eng\EngData\PROJECT_Bioplastics\Renjie_Pan\05-Raw_Data\Lab_results\[LabSamples2025_Bioplastic_extra.xlsx]extra_Bioplastic'!F37)," ",'Q:\Abteilungsprojekte\Eng\EngData\PROJECT_Bioplastics\Renjie_Pan\05-Raw_Data\Lab_results\[LabSamples2025_Bioplastic_extra.xlsx]extra_Bioplastic'!F37)</f>
        <v/>
      </c>
      <c r="G37">
        <f>IF(ISBLANK('Q:\Abteilungsprojekte\Eng\EngData\PROJECT_Bioplastics\Renjie_Pan\05-Raw_Data\Lab_results\[LabSamples2025_Bioplastic_extra.xlsx]extra_Bioplastic'!G37)," ",'Q:\Abteilungsprojekte\Eng\EngData\PROJECT_Bioplastics\Renjie_Pan\05-Raw_Data\Lab_results\[LabSamples2025_Bioplastic_extra.xlsx]extra_Bioplastic'!G37)</f>
        <v/>
      </c>
      <c r="H37">
        <f>IF(ISBLANK('Q:\Abteilungsprojekte\Eng\EngData\PROJECT_Bioplastics\Renjie_Pan\05-Raw_Data\Lab_results\[LabSamples2025_Bioplastic_extra.xlsx]extra_Bioplastic'!H37)," ",'Q:\Abteilungsprojekte\Eng\EngData\PROJECT_Bioplastics\Renjie_Pan\05-Raw_Data\Lab_results\[LabSamples2025_Bioplastic_extra.xlsx]extra_Bioplastic'!H37)</f>
        <v/>
      </c>
    </row>
    <row r="38">
      <c r="A38">
        <f>IF(ISBLANK('Q:\Abteilungsprojekte\Eng\EngData\PROJECT_Bioplastics\Renjie_Pan\05-Raw_Data\Lab_results\[LabSamples2025_Bioplastic_extra.xlsx]extra_Bioplastic'!A38)," ",'Q:\Abteilungsprojekte\Eng\EngData\PROJECT_Bioplastics\Renjie_Pan\05-Raw_Data\Lab_results\[LabSamples2025_Bioplastic_extra.xlsx]extra_Bioplastic'!A38)</f>
        <v/>
      </c>
      <c r="B38">
        <f>IF(ISBLANK('Q:\Abteilungsprojekte\Eng\EngData\PROJECT_Bioplastics\Renjie_Pan\05-Raw_Data\Lab_results\[LabSamples2025_Bioplastic_extra.xlsx]extra_Bioplastic'!B38)," ",'Q:\Abteilungsprojekte\Eng\EngData\PROJECT_Bioplastics\Renjie_Pan\05-Raw_Data\Lab_results\[LabSamples2025_Bioplastic_extra.xlsx]extra_Bioplastic'!B38)</f>
        <v/>
      </c>
      <c r="C38">
        <f>IF(ISBLANK('Q:\Abteilungsprojekte\Eng\EngData\PROJECT_Bioplastics\Renjie_Pan\05-Raw_Data\Lab_results\[LabSamples2025_Bioplastic_extra.xlsx]extra_Bioplastic'!C38)," ",'Q:\Abteilungsprojekte\Eng\EngData\PROJECT_Bioplastics\Renjie_Pan\05-Raw_Data\Lab_results\[LabSamples2025_Bioplastic_extra.xlsx]extra_Bioplastic'!C38)</f>
        <v/>
      </c>
      <c r="D38">
        <f>IF(ISBLANK('Q:\Abteilungsprojekte\Eng\EngData\PROJECT_Bioplastics\Renjie_Pan\05-Raw_Data\Lab_results\[LabSamples2025_Bioplastic_extra.xlsx]extra_Bioplastic'!D38)," ",'Q:\Abteilungsprojekte\Eng\EngData\PROJECT_Bioplastics\Renjie_Pan\05-Raw_Data\Lab_results\[LabSamples2025_Bioplastic_extra.xlsx]extra_Bioplastic'!D38)</f>
        <v/>
      </c>
      <c r="E38">
        <f>IF(ISBLANK('Q:\Abteilungsprojekte\Eng\EngData\PROJECT_Bioplastics\Renjie_Pan\05-Raw_Data\Lab_results\[LabSamples2025_Bioplastic_extra.xlsx]extra_Bioplastic'!E38)," ",'Q:\Abteilungsprojekte\Eng\EngData\PROJECT_Bioplastics\Renjie_Pan\05-Raw_Data\Lab_results\[LabSamples2025_Bioplastic_extra.xlsx]extra_Bioplastic'!E38)</f>
        <v/>
      </c>
      <c r="F38">
        <f>IF(ISBLANK('Q:\Abteilungsprojekte\Eng\EngData\PROJECT_Bioplastics\Renjie_Pan\05-Raw_Data\Lab_results\[LabSamples2025_Bioplastic_extra.xlsx]extra_Bioplastic'!F38)," ",'Q:\Abteilungsprojekte\Eng\EngData\PROJECT_Bioplastics\Renjie_Pan\05-Raw_Data\Lab_results\[LabSamples2025_Bioplastic_extra.xlsx]extra_Bioplastic'!F38)</f>
        <v/>
      </c>
      <c r="G38">
        <f>IF(ISBLANK('Q:\Abteilungsprojekte\Eng\EngData\PROJECT_Bioplastics\Renjie_Pan\05-Raw_Data\Lab_results\[LabSamples2025_Bioplastic_extra.xlsx]extra_Bioplastic'!G38)," ",'Q:\Abteilungsprojekte\Eng\EngData\PROJECT_Bioplastics\Renjie_Pan\05-Raw_Data\Lab_results\[LabSamples2025_Bioplastic_extra.xlsx]extra_Bioplastic'!G38)</f>
        <v/>
      </c>
      <c r="H38">
        <f>IF(ISBLANK('Q:\Abteilungsprojekte\Eng\EngData\PROJECT_Bioplastics\Renjie_Pan\05-Raw_Data\Lab_results\[LabSamples2025_Bioplastic_extra.xlsx]extra_Bioplastic'!H38)," ",'Q:\Abteilungsprojekte\Eng\EngData\PROJECT_Bioplastics\Renjie_Pan\05-Raw_Data\Lab_results\[LabSamples2025_Bioplastic_extra.xlsx]extra_Bioplastic'!H38)</f>
        <v/>
      </c>
    </row>
    <row r="39">
      <c r="A39">
        <f>IF(ISBLANK('Q:\Abteilungsprojekte\Eng\EngData\PROJECT_Bioplastics\Renjie_Pan\05-Raw_Data\Lab_results\[LabSamples2025_Bioplastic_extra.xlsx]extra_Bioplastic'!A39)," ",'Q:\Abteilungsprojekte\Eng\EngData\PROJECT_Bioplastics\Renjie_Pan\05-Raw_Data\Lab_results\[LabSamples2025_Bioplastic_extra.xlsx]extra_Bioplastic'!A39)</f>
        <v/>
      </c>
      <c r="B39">
        <f>IF(ISBLANK('Q:\Abteilungsprojekte\Eng\EngData\PROJECT_Bioplastics\Renjie_Pan\05-Raw_Data\Lab_results\[LabSamples2025_Bioplastic_extra.xlsx]extra_Bioplastic'!B39)," ",'Q:\Abteilungsprojekte\Eng\EngData\PROJECT_Bioplastics\Renjie_Pan\05-Raw_Data\Lab_results\[LabSamples2025_Bioplastic_extra.xlsx]extra_Bioplastic'!B39)</f>
        <v/>
      </c>
      <c r="C39">
        <f>IF(ISBLANK('Q:\Abteilungsprojekte\Eng\EngData\PROJECT_Bioplastics\Renjie_Pan\05-Raw_Data\Lab_results\[LabSamples2025_Bioplastic_extra.xlsx]extra_Bioplastic'!C39)," ",'Q:\Abteilungsprojekte\Eng\EngData\PROJECT_Bioplastics\Renjie_Pan\05-Raw_Data\Lab_results\[LabSamples2025_Bioplastic_extra.xlsx]extra_Bioplastic'!C39)</f>
        <v/>
      </c>
      <c r="D39">
        <f>IF(ISBLANK('Q:\Abteilungsprojekte\Eng\EngData\PROJECT_Bioplastics\Renjie_Pan\05-Raw_Data\Lab_results\[LabSamples2025_Bioplastic_extra.xlsx]extra_Bioplastic'!D39)," ",'Q:\Abteilungsprojekte\Eng\EngData\PROJECT_Bioplastics\Renjie_Pan\05-Raw_Data\Lab_results\[LabSamples2025_Bioplastic_extra.xlsx]extra_Bioplastic'!D39)</f>
        <v/>
      </c>
      <c r="E39">
        <f>IF(ISBLANK('Q:\Abteilungsprojekte\Eng\EngData\PROJECT_Bioplastics\Renjie_Pan\05-Raw_Data\Lab_results\[LabSamples2025_Bioplastic_extra.xlsx]extra_Bioplastic'!E39)," ",'Q:\Abteilungsprojekte\Eng\EngData\PROJECT_Bioplastics\Renjie_Pan\05-Raw_Data\Lab_results\[LabSamples2025_Bioplastic_extra.xlsx]extra_Bioplastic'!E39)</f>
        <v/>
      </c>
      <c r="F39">
        <f>IF(ISBLANK('Q:\Abteilungsprojekte\Eng\EngData\PROJECT_Bioplastics\Renjie_Pan\05-Raw_Data\Lab_results\[LabSamples2025_Bioplastic_extra.xlsx]extra_Bioplastic'!F39)," ",'Q:\Abteilungsprojekte\Eng\EngData\PROJECT_Bioplastics\Renjie_Pan\05-Raw_Data\Lab_results\[LabSamples2025_Bioplastic_extra.xlsx]extra_Bioplastic'!F39)</f>
        <v/>
      </c>
      <c r="G39">
        <f>IF(ISBLANK('Q:\Abteilungsprojekte\Eng\EngData\PROJECT_Bioplastics\Renjie_Pan\05-Raw_Data\Lab_results\[LabSamples2025_Bioplastic_extra.xlsx]extra_Bioplastic'!G39)," ",'Q:\Abteilungsprojekte\Eng\EngData\PROJECT_Bioplastics\Renjie_Pan\05-Raw_Data\Lab_results\[LabSamples2025_Bioplastic_extra.xlsx]extra_Bioplastic'!G39)</f>
        <v/>
      </c>
      <c r="H39">
        <f>IF(ISBLANK('Q:\Abteilungsprojekte\Eng\EngData\PROJECT_Bioplastics\Renjie_Pan\05-Raw_Data\Lab_results\[LabSamples2025_Bioplastic_extra.xlsx]extra_Bioplastic'!H39)," ",'Q:\Abteilungsprojekte\Eng\EngData\PROJECT_Bioplastics\Renjie_Pan\05-Raw_Data\Lab_results\[LabSamples2025_Bioplastic_extra.xlsx]extra_Bioplastic'!H39)</f>
        <v/>
      </c>
    </row>
    <row r="40">
      <c r="A40">
        <f>IF(ISBLANK('Q:\Abteilungsprojekte\Eng\EngData\PROJECT_Bioplastics\Renjie_Pan\05-Raw_Data\Lab_results\[LabSamples2025_Bioplastic_extra.xlsx]extra_Bioplastic'!A40)," ",'Q:\Abteilungsprojekte\Eng\EngData\PROJECT_Bioplastics\Renjie_Pan\05-Raw_Data\Lab_results\[LabSamples2025_Bioplastic_extra.xlsx]extra_Bioplastic'!A40)</f>
        <v/>
      </c>
      <c r="B40">
        <f>IF(ISBLANK('Q:\Abteilungsprojekte\Eng\EngData\PROJECT_Bioplastics\Renjie_Pan\05-Raw_Data\Lab_results\[LabSamples2025_Bioplastic_extra.xlsx]extra_Bioplastic'!B40)," ",'Q:\Abteilungsprojekte\Eng\EngData\PROJECT_Bioplastics\Renjie_Pan\05-Raw_Data\Lab_results\[LabSamples2025_Bioplastic_extra.xlsx]extra_Bioplastic'!B40)</f>
        <v/>
      </c>
      <c r="C40">
        <f>IF(ISBLANK('Q:\Abteilungsprojekte\Eng\EngData\PROJECT_Bioplastics\Renjie_Pan\05-Raw_Data\Lab_results\[LabSamples2025_Bioplastic_extra.xlsx]extra_Bioplastic'!C40)," ",'Q:\Abteilungsprojekte\Eng\EngData\PROJECT_Bioplastics\Renjie_Pan\05-Raw_Data\Lab_results\[LabSamples2025_Bioplastic_extra.xlsx]extra_Bioplastic'!C40)</f>
        <v/>
      </c>
      <c r="D40">
        <f>IF(ISBLANK('Q:\Abteilungsprojekte\Eng\EngData\PROJECT_Bioplastics\Renjie_Pan\05-Raw_Data\Lab_results\[LabSamples2025_Bioplastic_extra.xlsx]extra_Bioplastic'!D40)," ",'Q:\Abteilungsprojekte\Eng\EngData\PROJECT_Bioplastics\Renjie_Pan\05-Raw_Data\Lab_results\[LabSamples2025_Bioplastic_extra.xlsx]extra_Bioplastic'!D40)</f>
        <v/>
      </c>
      <c r="E40">
        <f>IF(ISBLANK('Q:\Abteilungsprojekte\Eng\EngData\PROJECT_Bioplastics\Renjie_Pan\05-Raw_Data\Lab_results\[LabSamples2025_Bioplastic_extra.xlsx]extra_Bioplastic'!E40)," ",'Q:\Abteilungsprojekte\Eng\EngData\PROJECT_Bioplastics\Renjie_Pan\05-Raw_Data\Lab_results\[LabSamples2025_Bioplastic_extra.xlsx]extra_Bioplastic'!E40)</f>
        <v/>
      </c>
      <c r="F40">
        <f>IF(ISBLANK('Q:\Abteilungsprojekte\Eng\EngData\PROJECT_Bioplastics\Renjie_Pan\05-Raw_Data\Lab_results\[LabSamples2025_Bioplastic_extra.xlsx]extra_Bioplastic'!F40)," ",'Q:\Abteilungsprojekte\Eng\EngData\PROJECT_Bioplastics\Renjie_Pan\05-Raw_Data\Lab_results\[LabSamples2025_Bioplastic_extra.xlsx]extra_Bioplastic'!F40)</f>
        <v/>
      </c>
      <c r="G40">
        <f>IF(ISBLANK('Q:\Abteilungsprojekte\Eng\EngData\PROJECT_Bioplastics\Renjie_Pan\05-Raw_Data\Lab_results\[LabSamples2025_Bioplastic_extra.xlsx]extra_Bioplastic'!G40)," ",'Q:\Abteilungsprojekte\Eng\EngData\PROJECT_Bioplastics\Renjie_Pan\05-Raw_Data\Lab_results\[LabSamples2025_Bioplastic_extra.xlsx]extra_Bioplastic'!G40)</f>
        <v/>
      </c>
      <c r="H40">
        <f>IF(ISBLANK('Q:\Abteilungsprojekte\Eng\EngData\PROJECT_Bioplastics\Renjie_Pan\05-Raw_Data\Lab_results\[LabSamples2025_Bioplastic_extra.xlsx]extra_Bioplastic'!H40)," ",'Q:\Abteilungsprojekte\Eng\EngData\PROJECT_Bioplastics\Renjie_Pan\05-Raw_Data\Lab_results\[LabSamples2025_Bioplastic_extra.xlsx]extra_Bioplastic'!H40)</f>
        <v/>
      </c>
    </row>
    <row r="41">
      <c r="A41">
        <f>IF(ISBLANK('Q:\Abteilungsprojekte\Eng\EngData\PROJECT_Bioplastics\Renjie_Pan\05-Raw_Data\Lab_results\[LabSamples2025_Bioplastic_extra.xlsx]extra_Bioplastic'!A41)," ",'Q:\Abteilungsprojekte\Eng\EngData\PROJECT_Bioplastics\Renjie_Pan\05-Raw_Data\Lab_results\[LabSamples2025_Bioplastic_extra.xlsx]extra_Bioplastic'!A41)</f>
        <v/>
      </c>
      <c r="B41">
        <f>IF(ISBLANK('Q:\Abteilungsprojekte\Eng\EngData\PROJECT_Bioplastics\Renjie_Pan\05-Raw_Data\Lab_results\[LabSamples2025_Bioplastic_extra.xlsx]extra_Bioplastic'!B41)," ",'Q:\Abteilungsprojekte\Eng\EngData\PROJECT_Bioplastics\Renjie_Pan\05-Raw_Data\Lab_results\[LabSamples2025_Bioplastic_extra.xlsx]extra_Bioplastic'!B41)</f>
        <v/>
      </c>
      <c r="C41">
        <f>IF(ISBLANK('Q:\Abteilungsprojekte\Eng\EngData\PROJECT_Bioplastics\Renjie_Pan\05-Raw_Data\Lab_results\[LabSamples2025_Bioplastic_extra.xlsx]extra_Bioplastic'!C41)," ",'Q:\Abteilungsprojekte\Eng\EngData\PROJECT_Bioplastics\Renjie_Pan\05-Raw_Data\Lab_results\[LabSamples2025_Bioplastic_extra.xlsx]extra_Bioplastic'!C41)</f>
        <v/>
      </c>
      <c r="D41">
        <f>IF(ISBLANK('Q:\Abteilungsprojekte\Eng\EngData\PROJECT_Bioplastics\Renjie_Pan\05-Raw_Data\Lab_results\[LabSamples2025_Bioplastic_extra.xlsx]extra_Bioplastic'!D41)," ",'Q:\Abteilungsprojekte\Eng\EngData\PROJECT_Bioplastics\Renjie_Pan\05-Raw_Data\Lab_results\[LabSamples2025_Bioplastic_extra.xlsx]extra_Bioplastic'!D41)</f>
        <v/>
      </c>
      <c r="E41">
        <f>IF(ISBLANK('Q:\Abteilungsprojekte\Eng\EngData\PROJECT_Bioplastics\Renjie_Pan\05-Raw_Data\Lab_results\[LabSamples2025_Bioplastic_extra.xlsx]extra_Bioplastic'!E41)," ",'Q:\Abteilungsprojekte\Eng\EngData\PROJECT_Bioplastics\Renjie_Pan\05-Raw_Data\Lab_results\[LabSamples2025_Bioplastic_extra.xlsx]extra_Bioplastic'!E41)</f>
        <v/>
      </c>
      <c r="F41">
        <f>IF(ISBLANK('Q:\Abteilungsprojekte\Eng\EngData\PROJECT_Bioplastics\Renjie_Pan\05-Raw_Data\Lab_results\[LabSamples2025_Bioplastic_extra.xlsx]extra_Bioplastic'!F41)," ",'Q:\Abteilungsprojekte\Eng\EngData\PROJECT_Bioplastics\Renjie_Pan\05-Raw_Data\Lab_results\[LabSamples2025_Bioplastic_extra.xlsx]extra_Bioplastic'!F41)</f>
        <v/>
      </c>
      <c r="G41">
        <f>IF(ISBLANK('Q:\Abteilungsprojekte\Eng\EngData\PROJECT_Bioplastics\Renjie_Pan\05-Raw_Data\Lab_results\[LabSamples2025_Bioplastic_extra.xlsx]extra_Bioplastic'!G41)," ",'Q:\Abteilungsprojekte\Eng\EngData\PROJECT_Bioplastics\Renjie_Pan\05-Raw_Data\Lab_results\[LabSamples2025_Bioplastic_extra.xlsx]extra_Bioplastic'!G41)</f>
        <v/>
      </c>
      <c r="H41">
        <f>IF(ISBLANK('Q:\Abteilungsprojekte\Eng\EngData\PROJECT_Bioplastics\Renjie_Pan\05-Raw_Data\Lab_results\[LabSamples2025_Bioplastic_extra.xlsx]extra_Bioplastic'!H41)," ",'Q:\Abteilungsprojekte\Eng\EngData\PROJECT_Bioplastics\Renjie_Pan\05-Raw_Data\Lab_results\[LabSamples2025_Bioplastic_extra.xlsx]extra_Bioplastic'!H41)</f>
        <v/>
      </c>
    </row>
    <row r="42">
      <c r="A42">
        <f>IF(ISBLANK('Q:\Abteilungsprojekte\Eng\EngData\PROJECT_Bioplastics\Renjie_Pan\05-Raw_Data\Lab_results\[LabSamples2025_Bioplastic_extra.xlsx]extra_Bioplastic'!A42)," ",'Q:\Abteilungsprojekte\Eng\EngData\PROJECT_Bioplastics\Renjie_Pan\05-Raw_Data\Lab_results\[LabSamples2025_Bioplastic_extra.xlsx]extra_Bioplastic'!A42)</f>
        <v/>
      </c>
      <c r="B42">
        <f>IF(ISBLANK('Q:\Abteilungsprojekte\Eng\EngData\PROJECT_Bioplastics\Renjie_Pan\05-Raw_Data\Lab_results\[LabSamples2025_Bioplastic_extra.xlsx]extra_Bioplastic'!B42)," ",'Q:\Abteilungsprojekte\Eng\EngData\PROJECT_Bioplastics\Renjie_Pan\05-Raw_Data\Lab_results\[LabSamples2025_Bioplastic_extra.xlsx]extra_Bioplastic'!B42)</f>
        <v/>
      </c>
      <c r="C42">
        <f>IF(ISBLANK('Q:\Abteilungsprojekte\Eng\EngData\PROJECT_Bioplastics\Renjie_Pan\05-Raw_Data\Lab_results\[LabSamples2025_Bioplastic_extra.xlsx]extra_Bioplastic'!C42)," ",'Q:\Abteilungsprojekte\Eng\EngData\PROJECT_Bioplastics\Renjie_Pan\05-Raw_Data\Lab_results\[LabSamples2025_Bioplastic_extra.xlsx]extra_Bioplastic'!C42)</f>
        <v/>
      </c>
      <c r="D42">
        <f>IF(ISBLANK('Q:\Abteilungsprojekte\Eng\EngData\PROJECT_Bioplastics\Renjie_Pan\05-Raw_Data\Lab_results\[LabSamples2025_Bioplastic_extra.xlsx]extra_Bioplastic'!D42)," ",'Q:\Abteilungsprojekte\Eng\EngData\PROJECT_Bioplastics\Renjie_Pan\05-Raw_Data\Lab_results\[LabSamples2025_Bioplastic_extra.xlsx]extra_Bioplastic'!D42)</f>
        <v/>
      </c>
      <c r="E42">
        <f>IF(ISBLANK('Q:\Abteilungsprojekte\Eng\EngData\PROJECT_Bioplastics\Renjie_Pan\05-Raw_Data\Lab_results\[LabSamples2025_Bioplastic_extra.xlsx]extra_Bioplastic'!E42)," ",'Q:\Abteilungsprojekte\Eng\EngData\PROJECT_Bioplastics\Renjie_Pan\05-Raw_Data\Lab_results\[LabSamples2025_Bioplastic_extra.xlsx]extra_Bioplastic'!E42)</f>
        <v/>
      </c>
      <c r="F42">
        <f>IF(ISBLANK('Q:\Abteilungsprojekte\Eng\EngData\PROJECT_Bioplastics\Renjie_Pan\05-Raw_Data\Lab_results\[LabSamples2025_Bioplastic_extra.xlsx]extra_Bioplastic'!F42)," ",'Q:\Abteilungsprojekte\Eng\EngData\PROJECT_Bioplastics\Renjie_Pan\05-Raw_Data\Lab_results\[LabSamples2025_Bioplastic_extra.xlsx]extra_Bioplastic'!F42)</f>
        <v/>
      </c>
      <c r="G42">
        <f>IF(ISBLANK('Q:\Abteilungsprojekte\Eng\EngData\PROJECT_Bioplastics\Renjie_Pan\05-Raw_Data\Lab_results\[LabSamples2025_Bioplastic_extra.xlsx]extra_Bioplastic'!G42)," ",'Q:\Abteilungsprojekte\Eng\EngData\PROJECT_Bioplastics\Renjie_Pan\05-Raw_Data\Lab_results\[LabSamples2025_Bioplastic_extra.xlsx]extra_Bioplastic'!G42)</f>
        <v/>
      </c>
      <c r="H42">
        <f>IF(ISBLANK('Q:\Abteilungsprojekte\Eng\EngData\PROJECT_Bioplastics\Renjie_Pan\05-Raw_Data\Lab_results\[LabSamples2025_Bioplastic_extra.xlsx]extra_Bioplastic'!H42)," ",'Q:\Abteilungsprojekte\Eng\EngData\PROJECT_Bioplastics\Renjie_Pan\05-Raw_Data\Lab_results\[LabSamples2025_Bioplastic_extra.xlsx]extra_Bioplastic'!H42)</f>
        <v/>
      </c>
    </row>
    <row r="43">
      <c r="A43">
        <f>IF(ISBLANK('Q:\Abteilungsprojekte\Eng\EngData\PROJECT_Bioplastics\Renjie_Pan\05-Raw_Data\Lab_results\[LabSamples2025_Bioplastic_extra.xlsx]extra_Bioplastic'!A43)," ",'Q:\Abteilungsprojekte\Eng\EngData\PROJECT_Bioplastics\Renjie_Pan\05-Raw_Data\Lab_results\[LabSamples2025_Bioplastic_extra.xlsx]extra_Bioplastic'!A43)</f>
        <v/>
      </c>
      <c r="B43">
        <f>IF(ISBLANK('Q:\Abteilungsprojekte\Eng\EngData\PROJECT_Bioplastics\Renjie_Pan\05-Raw_Data\Lab_results\[LabSamples2025_Bioplastic_extra.xlsx]extra_Bioplastic'!B43)," ",'Q:\Abteilungsprojekte\Eng\EngData\PROJECT_Bioplastics\Renjie_Pan\05-Raw_Data\Lab_results\[LabSamples2025_Bioplastic_extra.xlsx]extra_Bioplastic'!B43)</f>
        <v/>
      </c>
      <c r="C43">
        <f>IF(ISBLANK('Q:\Abteilungsprojekte\Eng\EngData\PROJECT_Bioplastics\Renjie_Pan\05-Raw_Data\Lab_results\[LabSamples2025_Bioplastic_extra.xlsx]extra_Bioplastic'!C43)," ",'Q:\Abteilungsprojekte\Eng\EngData\PROJECT_Bioplastics\Renjie_Pan\05-Raw_Data\Lab_results\[LabSamples2025_Bioplastic_extra.xlsx]extra_Bioplastic'!C43)</f>
        <v/>
      </c>
      <c r="D43">
        <f>IF(ISBLANK('Q:\Abteilungsprojekte\Eng\EngData\PROJECT_Bioplastics\Renjie_Pan\05-Raw_Data\Lab_results\[LabSamples2025_Bioplastic_extra.xlsx]extra_Bioplastic'!D43)," ",'Q:\Abteilungsprojekte\Eng\EngData\PROJECT_Bioplastics\Renjie_Pan\05-Raw_Data\Lab_results\[LabSamples2025_Bioplastic_extra.xlsx]extra_Bioplastic'!D43)</f>
        <v/>
      </c>
      <c r="E43">
        <f>IF(ISBLANK('Q:\Abteilungsprojekte\Eng\EngData\PROJECT_Bioplastics\Renjie_Pan\05-Raw_Data\Lab_results\[LabSamples2025_Bioplastic_extra.xlsx]extra_Bioplastic'!E43)," ",'Q:\Abteilungsprojekte\Eng\EngData\PROJECT_Bioplastics\Renjie_Pan\05-Raw_Data\Lab_results\[LabSamples2025_Bioplastic_extra.xlsx]extra_Bioplastic'!E43)</f>
        <v/>
      </c>
      <c r="F43">
        <f>IF(ISBLANK('Q:\Abteilungsprojekte\Eng\EngData\PROJECT_Bioplastics\Renjie_Pan\05-Raw_Data\Lab_results\[LabSamples2025_Bioplastic_extra.xlsx]extra_Bioplastic'!F43)," ",'Q:\Abteilungsprojekte\Eng\EngData\PROJECT_Bioplastics\Renjie_Pan\05-Raw_Data\Lab_results\[LabSamples2025_Bioplastic_extra.xlsx]extra_Bioplastic'!F43)</f>
        <v/>
      </c>
      <c r="G43">
        <f>IF(ISBLANK('Q:\Abteilungsprojekte\Eng\EngData\PROJECT_Bioplastics\Renjie_Pan\05-Raw_Data\Lab_results\[LabSamples2025_Bioplastic_extra.xlsx]extra_Bioplastic'!G43)," ",'Q:\Abteilungsprojekte\Eng\EngData\PROJECT_Bioplastics\Renjie_Pan\05-Raw_Data\Lab_results\[LabSamples2025_Bioplastic_extra.xlsx]extra_Bioplastic'!G43)</f>
        <v/>
      </c>
      <c r="H43">
        <f>IF(ISBLANK('Q:\Abteilungsprojekte\Eng\EngData\PROJECT_Bioplastics\Renjie_Pan\05-Raw_Data\Lab_results\[LabSamples2025_Bioplastic_extra.xlsx]extra_Bioplastic'!H43)," ",'Q:\Abteilungsprojekte\Eng\EngData\PROJECT_Bioplastics\Renjie_Pan\05-Raw_Data\Lab_results\[LabSamples2025_Bioplastic_extra.xlsx]extra_Bioplastic'!H43)</f>
        <v/>
      </c>
    </row>
    <row r="44">
      <c r="A44">
        <f>IF(ISBLANK('Q:\Abteilungsprojekte\Eng\EngData\PROJECT_Bioplastics\Renjie_Pan\05-Raw_Data\Lab_results\[LabSamples2025_Bioplastic_extra.xlsx]extra_Bioplastic'!A44)," ",'Q:\Abteilungsprojekte\Eng\EngData\PROJECT_Bioplastics\Renjie_Pan\05-Raw_Data\Lab_results\[LabSamples2025_Bioplastic_extra.xlsx]extra_Bioplastic'!A44)</f>
        <v/>
      </c>
      <c r="B44">
        <f>IF(ISBLANK('Q:\Abteilungsprojekte\Eng\EngData\PROJECT_Bioplastics\Renjie_Pan\05-Raw_Data\Lab_results\[LabSamples2025_Bioplastic_extra.xlsx]extra_Bioplastic'!B44)," ",'Q:\Abteilungsprojekte\Eng\EngData\PROJECT_Bioplastics\Renjie_Pan\05-Raw_Data\Lab_results\[LabSamples2025_Bioplastic_extra.xlsx]extra_Bioplastic'!B44)</f>
        <v/>
      </c>
      <c r="C44">
        <f>IF(ISBLANK('Q:\Abteilungsprojekte\Eng\EngData\PROJECT_Bioplastics\Renjie_Pan\05-Raw_Data\Lab_results\[LabSamples2025_Bioplastic_extra.xlsx]extra_Bioplastic'!C44)," ",'Q:\Abteilungsprojekte\Eng\EngData\PROJECT_Bioplastics\Renjie_Pan\05-Raw_Data\Lab_results\[LabSamples2025_Bioplastic_extra.xlsx]extra_Bioplastic'!C44)</f>
        <v/>
      </c>
      <c r="D44">
        <f>IF(ISBLANK('Q:\Abteilungsprojekte\Eng\EngData\PROJECT_Bioplastics\Renjie_Pan\05-Raw_Data\Lab_results\[LabSamples2025_Bioplastic_extra.xlsx]extra_Bioplastic'!D44)," ",'Q:\Abteilungsprojekte\Eng\EngData\PROJECT_Bioplastics\Renjie_Pan\05-Raw_Data\Lab_results\[LabSamples2025_Bioplastic_extra.xlsx]extra_Bioplastic'!D44)</f>
        <v/>
      </c>
      <c r="E44">
        <f>IF(ISBLANK('Q:\Abteilungsprojekte\Eng\EngData\PROJECT_Bioplastics\Renjie_Pan\05-Raw_Data\Lab_results\[LabSamples2025_Bioplastic_extra.xlsx]extra_Bioplastic'!E44)," ",'Q:\Abteilungsprojekte\Eng\EngData\PROJECT_Bioplastics\Renjie_Pan\05-Raw_Data\Lab_results\[LabSamples2025_Bioplastic_extra.xlsx]extra_Bioplastic'!E44)</f>
        <v/>
      </c>
      <c r="F44">
        <f>IF(ISBLANK('Q:\Abteilungsprojekte\Eng\EngData\PROJECT_Bioplastics\Renjie_Pan\05-Raw_Data\Lab_results\[LabSamples2025_Bioplastic_extra.xlsx]extra_Bioplastic'!F44)," ",'Q:\Abteilungsprojekte\Eng\EngData\PROJECT_Bioplastics\Renjie_Pan\05-Raw_Data\Lab_results\[LabSamples2025_Bioplastic_extra.xlsx]extra_Bioplastic'!F44)</f>
        <v/>
      </c>
      <c r="G44">
        <f>IF(ISBLANK('Q:\Abteilungsprojekte\Eng\EngData\PROJECT_Bioplastics\Renjie_Pan\05-Raw_Data\Lab_results\[LabSamples2025_Bioplastic_extra.xlsx]extra_Bioplastic'!G44)," ",'Q:\Abteilungsprojekte\Eng\EngData\PROJECT_Bioplastics\Renjie_Pan\05-Raw_Data\Lab_results\[LabSamples2025_Bioplastic_extra.xlsx]extra_Bioplastic'!G44)</f>
        <v/>
      </c>
      <c r="H44">
        <f>IF(ISBLANK('Q:\Abteilungsprojekte\Eng\EngData\PROJECT_Bioplastics\Renjie_Pan\05-Raw_Data\Lab_results\[LabSamples2025_Bioplastic_extra.xlsx]extra_Bioplastic'!H44)," ",'Q:\Abteilungsprojekte\Eng\EngData\PROJECT_Bioplastics\Renjie_Pan\05-Raw_Data\Lab_results\[LabSamples2025_Bioplastic_extra.xlsx]extra_Bioplastic'!H44)</f>
        <v/>
      </c>
    </row>
    <row r="45">
      <c r="A45">
        <f>IF(ISBLANK('Q:\Abteilungsprojekte\Eng\EngData\PROJECT_Bioplastics\Renjie_Pan\05-Raw_Data\Lab_results\[LabSamples2025_Bioplastic_extra.xlsx]extra_Bioplastic'!A45)," ",'Q:\Abteilungsprojekte\Eng\EngData\PROJECT_Bioplastics\Renjie_Pan\05-Raw_Data\Lab_results\[LabSamples2025_Bioplastic_extra.xlsx]extra_Bioplastic'!A45)</f>
        <v/>
      </c>
      <c r="B45">
        <f>IF(ISBLANK('Q:\Abteilungsprojekte\Eng\EngData\PROJECT_Bioplastics\Renjie_Pan\05-Raw_Data\Lab_results\[LabSamples2025_Bioplastic_extra.xlsx]extra_Bioplastic'!B45)," ",'Q:\Abteilungsprojekte\Eng\EngData\PROJECT_Bioplastics\Renjie_Pan\05-Raw_Data\Lab_results\[LabSamples2025_Bioplastic_extra.xlsx]extra_Bioplastic'!B45)</f>
        <v/>
      </c>
      <c r="C45">
        <f>IF(ISBLANK('Q:\Abteilungsprojekte\Eng\EngData\PROJECT_Bioplastics\Renjie_Pan\05-Raw_Data\Lab_results\[LabSamples2025_Bioplastic_extra.xlsx]extra_Bioplastic'!C45)," ",'Q:\Abteilungsprojekte\Eng\EngData\PROJECT_Bioplastics\Renjie_Pan\05-Raw_Data\Lab_results\[LabSamples2025_Bioplastic_extra.xlsx]extra_Bioplastic'!C45)</f>
        <v/>
      </c>
      <c r="D45">
        <f>IF(ISBLANK('Q:\Abteilungsprojekte\Eng\EngData\PROJECT_Bioplastics\Renjie_Pan\05-Raw_Data\Lab_results\[LabSamples2025_Bioplastic_extra.xlsx]extra_Bioplastic'!D45)," ",'Q:\Abteilungsprojekte\Eng\EngData\PROJECT_Bioplastics\Renjie_Pan\05-Raw_Data\Lab_results\[LabSamples2025_Bioplastic_extra.xlsx]extra_Bioplastic'!D45)</f>
        <v/>
      </c>
      <c r="E45">
        <f>IF(ISBLANK('Q:\Abteilungsprojekte\Eng\EngData\PROJECT_Bioplastics\Renjie_Pan\05-Raw_Data\Lab_results\[LabSamples2025_Bioplastic_extra.xlsx]extra_Bioplastic'!E45)," ",'Q:\Abteilungsprojekte\Eng\EngData\PROJECT_Bioplastics\Renjie_Pan\05-Raw_Data\Lab_results\[LabSamples2025_Bioplastic_extra.xlsx]extra_Bioplastic'!E45)</f>
        <v/>
      </c>
      <c r="F45">
        <f>IF(ISBLANK('Q:\Abteilungsprojekte\Eng\EngData\PROJECT_Bioplastics\Renjie_Pan\05-Raw_Data\Lab_results\[LabSamples2025_Bioplastic_extra.xlsx]extra_Bioplastic'!F45)," ",'Q:\Abteilungsprojekte\Eng\EngData\PROJECT_Bioplastics\Renjie_Pan\05-Raw_Data\Lab_results\[LabSamples2025_Bioplastic_extra.xlsx]extra_Bioplastic'!F45)</f>
        <v/>
      </c>
      <c r="G45">
        <f>IF(ISBLANK('Q:\Abteilungsprojekte\Eng\EngData\PROJECT_Bioplastics\Renjie_Pan\05-Raw_Data\Lab_results\[LabSamples2025_Bioplastic_extra.xlsx]extra_Bioplastic'!G45)," ",'Q:\Abteilungsprojekte\Eng\EngData\PROJECT_Bioplastics\Renjie_Pan\05-Raw_Data\Lab_results\[LabSamples2025_Bioplastic_extra.xlsx]extra_Bioplastic'!G45)</f>
        <v/>
      </c>
      <c r="H45">
        <f>IF(ISBLANK('Q:\Abteilungsprojekte\Eng\EngData\PROJECT_Bioplastics\Renjie_Pan\05-Raw_Data\Lab_results\[LabSamples2025_Bioplastic_extra.xlsx]extra_Bioplastic'!H45)," ",'Q:\Abteilungsprojekte\Eng\EngData\PROJECT_Bioplastics\Renjie_Pan\05-Raw_Data\Lab_results\[LabSamples2025_Bioplastic_extra.xlsx]extra_Bioplastic'!H45)</f>
        <v/>
      </c>
    </row>
    <row r="46">
      <c r="A46">
        <f>IF(ISBLANK('Q:\Abteilungsprojekte\Eng\EngData\PROJECT_Bioplastics\Renjie_Pan\05-Raw_Data\Lab_results\[LabSamples2025_Bioplastic_extra.xlsx]extra_Bioplastic'!A46)," ",'Q:\Abteilungsprojekte\Eng\EngData\PROJECT_Bioplastics\Renjie_Pan\05-Raw_Data\Lab_results\[LabSamples2025_Bioplastic_extra.xlsx]extra_Bioplastic'!A46)</f>
        <v/>
      </c>
      <c r="B46">
        <f>IF(ISBLANK('Q:\Abteilungsprojekte\Eng\EngData\PROJECT_Bioplastics\Renjie_Pan\05-Raw_Data\Lab_results\[LabSamples2025_Bioplastic_extra.xlsx]extra_Bioplastic'!B46)," ",'Q:\Abteilungsprojekte\Eng\EngData\PROJECT_Bioplastics\Renjie_Pan\05-Raw_Data\Lab_results\[LabSamples2025_Bioplastic_extra.xlsx]extra_Bioplastic'!B46)</f>
        <v/>
      </c>
      <c r="C46">
        <f>IF(ISBLANK('Q:\Abteilungsprojekte\Eng\EngData\PROJECT_Bioplastics\Renjie_Pan\05-Raw_Data\Lab_results\[LabSamples2025_Bioplastic_extra.xlsx]extra_Bioplastic'!C46)," ",'Q:\Abteilungsprojekte\Eng\EngData\PROJECT_Bioplastics\Renjie_Pan\05-Raw_Data\Lab_results\[LabSamples2025_Bioplastic_extra.xlsx]extra_Bioplastic'!C46)</f>
        <v/>
      </c>
      <c r="D46">
        <f>IF(ISBLANK('Q:\Abteilungsprojekte\Eng\EngData\PROJECT_Bioplastics\Renjie_Pan\05-Raw_Data\Lab_results\[LabSamples2025_Bioplastic_extra.xlsx]extra_Bioplastic'!D46)," ",'Q:\Abteilungsprojekte\Eng\EngData\PROJECT_Bioplastics\Renjie_Pan\05-Raw_Data\Lab_results\[LabSamples2025_Bioplastic_extra.xlsx]extra_Bioplastic'!D46)</f>
        <v/>
      </c>
      <c r="E46">
        <f>IF(ISBLANK('Q:\Abteilungsprojekte\Eng\EngData\PROJECT_Bioplastics\Renjie_Pan\05-Raw_Data\Lab_results\[LabSamples2025_Bioplastic_extra.xlsx]extra_Bioplastic'!E46)," ",'Q:\Abteilungsprojekte\Eng\EngData\PROJECT_Bioplastics\Renjie_Pan\05-Raw_Data\Lab_results\[LabSamples2025_Bioplastic_extra.xlsx]extra_Bioplastic'!E46)</f>
        <v/>
      </c>
      <c r="F46">
        <f>IF(ISBLANK('Q:\Abteilungsprojekte\Eng\EngData\PROJECT_Bioplastics\Renjie_Pan\05-Raw_Data\Lab_results\[LabSamples2025_Bioplastic_extra.xlsx]extra_Bioplastic'!F46)," ",'Q:\Abteilungsprojekte\Eng\EngData\PROJECT_Bioplastics\Renjie_Pan\05-Raw_Data\Lab_results\[LabSamples2025_Bioplastic_extra.xlsx]extra_Bioplastic'!F46)</f>
        <v/>
      </c>
      <c r="G46">
        <f>IF(ISBLANK('Q:\Abteilungsprojekte\Eng\EngData\PROJECT_Bioplastics\Renjie_Pan\05-Raw_Data\Lab_results\[LabSamples2025_Bioplastic_extra.xlsx]extra_Bioplastic'!G46)," ",'Q:\Abteilungsprojekte\Eng\EngData\PROJECT_Bioplastics\Renjie_Pan\05-Raw_Data\Lab_results\[LabSamples2025_Bioplastic_extra.xlsx]extra_Bioplastic'!G46)</f>
        <v/>
      </c>
      <c r="H46">
        <f>IF(ISBLANK('Q:\Abteilungsprojekte\Eng\EngData\PROJECT_Bioplastics\Renjie_Pan\05-Raw_Data\Lab_results\[LabSamples2025_Bioplastic_extra.xlsx]extra_Bioplastic'!H46)," ",'Q:\Abteilungsprojekte\Eng\EngData\PROJECT_Bioplastics\Renjie_Pan\05-Raw_Data\Lab_results\[LabSamples2025_Bioplastic_extra.xlsx]extra_Bioplastic'!H46)</f>
        <v/>
      </c>
    </row>
    <row r="47">
      <c r="A47">
        <f>IF(ISBLANK('Q:\Abteilungsprojekte\Eng\EngData\PROJECT_Bioplastics\Renjie_Pan\05-Raw_Data\Lab_results\[LabSamples2025_Bioplastic_extra.xlsx]extra_Bioplastic'!A47)," ",'Q:\Abteilungsprojekte\Eng\EngData\PROJECT_Bioplastics\Renjie_Pan\05-Raw_Data\Lab_results\[LabSamples2025_Bioplastic_extra.xlsx]extra_Bioplastic'!A47)</f>
        <v/>
      </c>
      <c r="B47">
        <f>IF(ISBLANK('Q:\Abteilungsprojekte\Eng\EngData\PROJECT_Bioplastics\Renjie_Pan\05-Raw_Data\Lab_results\[LabSamples2025_Bioplastic_extra.xlsx]extra_Bioplastic'!B47)," ",'Q:\Abteilungsprojekte\Eng\EngData\PROJECT_Bioplastics\Renjie_Pan\05-Raw_Data\Lab_results\[LabSamples2025_Bioplastic_extra.xlsx]extra_Bioplastic'!B47)</f>
        <v/>
      </c>
      <c r="C47">
        <f>IF(ISBLANK('Q:\Abteilungsprojekte\Eng\EngData\PROJECT_Bioplastics\Renjie_Pan\05-Raw_Data\Lab_results\[LabSamples2025_Bioplastic_extra.xlsx]extra_Bioplastic'!C47)," ",'Q:\Abteilungsprojekte\Eng\EngData\PROJECT_Bioplastics\Renjie_Pan\05-Raw_Data\Lab_results\[LabSamples2025_Bioplastic_extra.xlsx]extra_Bioplastic'!C47)</f>
        <v/>
      </c>
      <c r="D47">
        <f>IF(ISBLANK('Q:\Abteilungsprojekte\Eng\EngData\PROJECT_Bioplastics\Renjie_Pan\05-Raw_Data\Lab_results\[LabSamples2025_Bioplastic_extra.xlsx]extra_Bioplastic'!D47)," ",'Q:\Abteilungsprojekte\Eng\EngData\PROJECT_Bioplastics\Renjie_Pan\05-Raw_Data\Lab_results\[LabSamples2025_Bioplastic_extra.xlsx]extra_Bioplastic'!D47)</f>
        <v/>
      </c>
      <c r="E47">
        <f>IF(ISBLANK('Q:\Abteilungsprojekte\Eng\EngData\PROJECT_Bioplastics\Renjie_Pan\05-Raw_Data\Lab_results\[LabSamples2025_Bioplastic_extra.xlsx]extra_Bioplastic'!E47)," ",'Q:\Abteilungsprojekte\Eng\EngData\PROJECT_Bioplastics\Renjie_Pan\05-Raw_Data\Lab_results\[LabSamples2025_Bioplastic_extra.xlsx]extra_Bioplastic'!E47)</f>
        <v/>
      </c>
      <c r="F47">
        <f>IF(ISBLANK('Q:\Abteilungsprojekte\Eng\EngData\PROJECT_Bioplastics\Renjie_Pan\05-Raw_Data\Lab_results\[LabSamples2025_Bioplastic_extra.xlsx]extra_Bioplastic'!F47)," ",'Q:\Abteilungsprojekte\Eng\EngData\PROJECT_Bioplastics\Renjie_Pan\05-Raw_Data\Lab_results\[LabSamples2025_Bioplastic_extra.xlsx]extra_Bioplastic'!F47)</f>
        <v/>
      </c>
      <c r="G47">
        <f>IF(ISBLANK('Q:\Abteilungsprojekte\Eng\EngData\PROJECT_Bioplastics\Renjie_Pan\05-Raw_Data\Lab_results\[LabSamples2025_Bioplastic_extra.xlsx]extra_Bioplastic'!G47)," ",'Q:\Abteilungsprojekte\Eng\EngData\PROJECT_Bioplastics\Renjie_Pan\05-Raw_Data\Lab_results\[LabSamples2025_Bioplastic_extra.xlsx]extra_Bioplastic'!G47)</f>
        <v/>
      </c>
      <c r="H47">
        <f>IF(ISBLANK('Q:\Abteilungsprojekte\Eng\EngData\PROJECT_Bioplastics\Renjie_Pan\05-Raw_Data\Lab_results\[LabSamples2025_Bioplastic_extra.xlsx]extra_Bioplastic'!H47)," ",'Q:\Abteilungsprojekte\Eng\EngData\PROJECT_Bioplastics\Renjie_Pan\05-Raw_Data\Lab_results\[LabSamples2025_Bioplastic_extra.xlsx]extra_Bioplastic'!H47)</f>
        <v/>
      </c>
    </row>
    <row r="48">
      <c r="A48">
        <f>IF(ISBLANK('Q:\Abteilungsprojekte\Eng\EngData\PROJECT_Bioplastics\Renjie_Pan\05-Raw_Data\Lab_results\[LabSamples2025_Bioplastic_extra.xlsx]extra_Bioplastic'!A48)," ",'Q:\Abteilungsprojekte\Eng\EngData\PROJECT_Bioplastics\Renjie_Pan\05-Raw_Data\Lab_results\[LabSamples2025_Bioplastic_extra.xlsx]extra_Bioplastic'!A48)</f>
        <v/>
      </c>
      <c r="B48">
        <f>IF(ISBLANK('Q:\Abteilungsprojekte\Eng\EngData\PROJECT_Bioplastics\Renjie_Pan\05-Raw_Data\Lab_results\[LabSamples2025_Bioplastic_extra.xlsx]extra_Bioplastic'!B48)," ",'Q:\Abteilungsprojekte\Eng\EngData\PROJECT_Bioplastics\Renjie_Pan\05-Raw_Data\Lab_results\[LabSamples2025_Bioplastic_extra.xlsx]extra_Bioplastic'!B48)</f>
        <v/>
      </c>
      <c r="C48">
        <f>IF(ISBLANK('Q:\Abteilungsprojekte\Eng\EngData\PROJECT_Bioplastics\Renjie_Pan\05-Raw_Data\Lab_results\[LabSamples2025_Bioplastic_extra.xlsx]extra_Bioplastic'!C48)," ",'Q:\Abteilungsprojekte\Eng\EngData\PROJECT_Bioplastics\Renjie_Pan\05-Raw_Data\Lab_results\[LabSamples2025_Bioplastic_extra.xlsx]extra_Bioplastic'!C48)</f>
        <v/>
      </c>
      <c r="D48">
        <f>IF(ISBLANK('Q:\Abteilungsprojekte\Eng\EngData\PROJECT_Bioplastics\Renjie_Pan\05-Raw_Data\Lab_results\[LabSamples2025_Bioplastic_extra.xlsx]extra_Bioplastic'!D48)," ",'Q:\Abteilungsprojekte\Eng\EngData\PROJECT_Bioplastics\Renjie_Pan\05-Raw_Data\Lab_results\[LabSamples2025_Bioplastic_extra.xlsx]extra_Bioplastic'!D48)</f>
        <v/>
      </c>
      <c r="E48">
        <f>IF(ISBLANK('Q:\Abteilungsprojekte\Eng\EngData\PROJECT_Bioplastics\Renjie_Pan\05-Raw_Data\Lab_results\[LabSamples2025_Bioplastic_extra.xlsx]extra_Bioplastic'!E48)," ",'Q:\Abteilungsprojekte\Eng\EngData\PROJECT_Bioplastics\Renjie_Pan\05-Raw_Data\Lab_results\[LabSamples2025_Bioplastic_extra.xlsx]extra_Bioplastic'!E48)</f>
        <v/>
      </c>
      <c r="F48">
        <f>IF(ISBLANK('Q:\Abteilungsprojekte\Eng\EngData\PROJECT_Bioplastics\Renjie_Pan\05-Raw_Data\Lab_results\[LabSamples2025_Bioplastic_extra.xlsx]extra_Bioplastic'!F48)," ",'Q:\Abteilungsprojekte\Eng\EngData\PROJECT_Bioplastics\Renjie_Pan\05-Raw_Data\Lab_results\[LabSamples2025_Bioplastic_extra.xlsx]extra_Bioplastic'!F48)</f>
        <v/>
      </c>
      <c r="G48">
        <f>IF(ISBLANK('Q:\Abteilungsprojekte\Eng\EngData\PROJECT_Bioplastics\Renjie_Pan\05-Raw_Data\Lab_results\[LabSamples2025_Bioplastic_extra.xlsx]extra_Bioplastic'!G48)," ",'Q:\Abteilungsprojekte\Eng\EngData\PROJECT_Bioplastics\Renjie_Pan\05-Raw_Data\Lab_results\[LabSamples2025_Bioplastic_extra.xlsx]extra_Bioplastic'!G48)</f>
        <v/>
      </c>
      <c r="H48">
        <f>IF(ISBLANK('Q:\Abteilungsprojekte\Eng\EngData\PROJECT_Bioplastics\Renjie_Pan\05-Raw_Data\Lab_results\[LabSamples2025_Bioplastic_extra.xlsx]extra_Bioplastic'!H48)," ",'Q:\Abteilungsprojekte\Eng\EngData\PROJECT_Bioplastics\Renjie_Pan\05-Raw_Data\Lab_results\[LabSamples2025_Bioplastic_extra.xlsx]extra_Bioplastic'!H48)</f>
        <v/>
      </c>
    </row>
    <row r="49">
      <c r="A49">
        <f>IF(ISBLANK('Q:\Abteilungsprojekte\Eng\EngData\PROJECT_Bioplastics\Renjie_Pan\05-Raw_Data\Lab_results\[LabSamples2025_Bioplastic_extra.xlsx]extra_Bioplastic'!A49)," ",'Q:\Abteilungsprojekte\Eng\EngData\PROJECT_Bioplastics\Renjie_Pan\05-Raw_Data\Lab_results\[LabSamples2025_Bioplastic_extra.xlsx]extra_Bioplastic'!A49)</f>
        <v/>
      </c>
      <c r="B49">
        <f>IF(ISBLANK('Q:\Abteilungsprojekte\Eng\EngData\PROJECT_Bioplastics\Renjie_Pan\05-Raw_Data\Lab_results\[LabSamples2025_Bioplastic_extra.xlsx]extra_Bioplastic'!B49)," ",'Q:\Abteilungsprojekte\Eng\EngData\PROJECT_Bioplastics\Renjie_Pan\05-Raw_Data\Lab_results\[LabSamples2025_Bioplastic_extra.xlsx]extra_Bioplastic'!B49)</f>
        <v/>
      </c>
      <c r="C49">
        <f>IF(ISBLANK('Q:\Abteilungsprojekte\Eng\EngData\PROJECT_Bioplastics\Renjie_Pan\05-Raw_Data\Lab_results\[LabSamples2025_Bioplastic_extra.xlsx]extra_Bioplastic'!C49)," ",'Q:\Abteilungsprojekte\Eng\EngData\PROJECT_Bioplastics\Renjie_Pan\05-Raw_Data\Lab_results\[LabSamples2025_Bioplastic_extra.xlsx]extra_Bioplastic'!C49)</f>
        <v/>
      </c>
      <c r="D49">
        <f>IF(ISBLANK('Q:\Abteilungsprojekte\Eng\EngData\PROJECT_Bioplastics\Renjie_Pan\05-Raw_Data\Lab_results\[LabSamples2025_Bioplastic_extra.xlsx]extra_Bioplastic'!D49)," ",'Q:\Abteilungsprojekte\Eng\EngData\PROJECT_Bioplastics\Renjie_Pan\05-Raw_Data\Lab_results\[LabSamples2025_Bioplastic_extra.xlsx]extra_Bioplastic'!D49)</f>
        <v/>
      </c>
      <c r="E49">
        <f>IF(ISBLANK('Q:\Abteilungsprojekte\Eng\EngData\PROJECT_Bioplastics\Renjie_Pan\05-Raw_Data\Lab_results\[LabSamples2025_Bioplastic_extra.xlsx]extra_Bioplastic'!E49)," ",'Q:\Abteilungsprojekte\Eng\EngData\PROJECT_Bioplastics\Renjie_Pan\05-Raw_Data\Lab_results\[LabSamples2025_Bioplastic_extra.xlsx]extra_Bioplastic'!E49)</f>
        <v/>
      </c>
      <c r="F49">
        <f>IF(ISBLANK('Q:\Abteilungsprojekte\Eng\EngData\PROJECT_Bioplastics\Renjie_Pan\05-Raw_Data\Lab_results\[LabSamples2025_Bioplastic_extra.xlsx]extra_Bioplastic'!F49)," ",'Q:\Abteilungsprojekte\Eng\EngData\PROJECT_Bioplastics\Renjie_Pan\05-Raw_Data\Lab_results\[LabSamples2025_Bioplastic_extra.xlsx]extra_Bioplastic'!F49)</f>
        <v/>
      </c>
      <c r="G49">
        <f>IF(ISBLANK('Q:\Abteilungsprojekte\Eng\EngData\PROJECT_Bioplastics\Renjie_Pan\05-Raw_Data\Lab_results\[LabSamples2025_Bioplastic_extra.xlsx]extra_Bioplastic'!G49)," ",'Q:\Abteilungsprojekte\Eng\EngData\PROJECT_Bioplastics\Renjie_Pan\05-Raw_Data\Lab_results\[LabSamples2025_Bioplastic_extra.xlsx]extra_Bioplastic'!G49)</f>
        <v/>
      </c>
      <c r="H49">
        <f>IF(ISBLANK('Q:\Abteilungsprojekte\Eng\EngData\PROJECT_Bioplastics\Renjie_Pan\05-Raw_Data\Lab_results\[LabSamples2025_Bioplastic_extra.xlsx]extra_Bioplastic'!H49)," ",'Q:\Abteilungsprojekte\Eng\EngData\PROJECT_Bioplastics\Renjie_Pan\05-Raw_Data\Lab_results\[LabSamples2025_Bioplastic_extra.xlsx]extra_Bioplastic'!H49)</f>
        <v/>
      </c>
    </row>
    <row r="50">
      <c r="A50">
        <f>IF(ISBLANK('Q:\Abteilungsprojekte\Eng\EngData\PROJECT_Bioplastics\Renjie_Pan\05-Raw_Data\Lab_results\[LabSamples2025_Bioplastic_extra.xlsx]extra_Bioplastic'!A50)," ",'Q:\Abteilungsprojekte\Eng\EngData\PROJECT_Bioplastics\Renjie_Pan\05-Raw_Data\Lab_results\[LabSamples2025_Bioplastic_extra.xlsx]extra_Bioplastic'!A50)</f>
        <v/>
      </c>
      <c r="B50">
        <f>IF(ISBLANK('Q:\Abteilungsprojekte\Eng\EngData\PROJECT_Bioplastics\Renjie_Pan\05-Raw_Data\Lab_results\[LabSamples2025_Bioplastic_extra.xlsx]extra_Bioplastic'!B50)," ",'Q:\Abteilungsprojekte\Eng\EngData\PROJECT_Bioplastics\Renjie_Pan\05-Raw_Data\Lab_results\[LabSamples2025_Bioplastic_extra.xlsx]extra_Bioplastic'!B50)</f>
        <v/>
      </c>
      <c r="C50">
        <f>IF(ISBLANK('Q:\Abteilungsprojekte\Eng\EngData\PROJECT_Bioplastics\Renjie_Pan\05-Raw_Data\Lab_results\[LabSamples2025_Bioplastic_extra.xlsx]extra_Bioplastic'!C50)," ",'Q:\Abteilungsprojekte\Eng\EngData\PROJECT_Bioplastics\Renjie_Pan\05-Raw_Data\Lab_results\[LabSamples2025_Bioplastic_extra.xlsx]extra_Bioplastic'!C50)</f>
        <v/>
      </c>
      <c r="D50">
        <f>IF(ISBLANK('Q:\Abteilungsprojekte\Eng\EngData\PROJECT_Bioplastics\Renjie_Pan\05-Raw_Data\Lab_results\[LabSamples2025_Bioplastic_extra.xlsx]extra_Bioplastic'!D50)," ",'Q:\Abteilungsprojekte\Eng\EngData\PROJECT_Bioplastics\Renjie_Pan\05-Raw_Data\Lab_results\[LabSamples2025_Bioplastic_extra.xlsx]extra_Bioplastic'!D50)</f>
        <v/>
      </c>
      <c r="E50">
        <f>IF(ISBLANK('Q:\Abteilungsprojekte\Eng\EngData\PROJECT_Bioplastics\Renjie_Pan\05-Raw_Data\Lab_results\[LabSamples2025_Bioplastic_extra.xlsx]extra_Bioplastic'!E50)," ",'Q:\Abteilungsprojekte\Eng\EngData\PROJECT_Bioplastics\Renjie_Pan\05-Raw_Data\Lab_results\[LabSamples2025_Bioplastic_extra.xlsx]extra_Bioplastic'!E50)</f>
        <v/>
      </c>
      <c r="F50">
        <f>IF(ISBLANK('Q:\Abteilungsprojekte\Eng\EngData\PROJECT_Bioplastics\Renjie_Pan\05-Raw_Data\Lab_results\[LabSamples2025_Bioplastic_extra.xlsx]extra_Bioplastic'!F50)," ",'Q:\Abteilungsprojekte\Eng\EngData\PROJECT_Bioplastics\Renjie_Pan\05-Raw_Data\Lab_results\[LabSamples2025_Bioplastic_extra.xlsx]extra_Bioplastic'!F50)</f>
        <v/>
      </c>
      <c r="G50">
        <f>IF(ISBLANK('Q:\Abteilungsprojekte\Eng\EngData\PROJECT_Bioplastics\Renjie_Pan\05-Raw_Data\Lab_results\[LabSamples2025_Bioplastic_extra.xlsx]extra_Bioplastic'!G50)," ",'Q:\Abteilungsprojekte\Eng\EngData\PROJECT_Bioplastics\Renjie_Pan\05-Raw_Data\Lab_results\[LabSamples2025_Bioplastic_extra.xlsx]extra_Bioplastic'!G50)</f>
        <v/>
      </c>
      <c r="H50">
        <f>IF(ISBLANK('Q:\Abteilungsprojekte\Eng\EngData\PROJECT_Bioplastics\Renjie_Pan\05-Raw_Data\Lab_results\[LabSamples2025_Bioplastic_extra.xlsx]extra_Bioplastic'!H50)," ",'Q:\Abteilungsprojekte\Eng\EngData\PROJECT_Bioplastics\Renjie_Pan\05-Raw_Data\Lab_results\[LabSamples2025_Bioplastic_extra.xlsx]extra_Bioplastic'!H50)</f>
        <v/>
      </c>
    </row>
    <row r="51">
      <c r="A51">
        <f>IF(ISBLANK('Q:\Abteilungsprojekte\Eng\EngData\PROJECT_Bioplastics\Renjie_Pan\05-Raw_Data\Lab_results\[LabSamples2025_Bioplastic_extra.xlsx]extra_Bioplastic'!A51)," ",'Q:\Abteilungsprojekte\Eng\EngData\PROJECT_Bioplastics\Renjie_Pan\05-Raw_Data\Lab_results\[LabSamples2025_Bioplastic_extra.xlsx]extra_Bioplastic'!A51)</f>
        <v/>
      </c>
      <c r="B51">
        <f>IF(ISBLANK('Q:\Abteilungsprojekte\Eng\EngData\PROJECT_Bioplastics\Renjie_Pan\05-Raw_Data\Lab_results\[LabSamples2025_Bioplastic_extra.xlsx]extra_Bioplastic'!B51)," ",'Q:\Abteilungsprojekte\Eng\EngData\PROJECT_Bioplastics\Renjie_Pan\05-Raw_Data\Lab_results\[LabSamples2025_Bioplastic_extra.xlsx]extra_Bioplastic'!B51)</f>
        <v/>
      </c>
      <c r="C51">
        <f>IF(ISBLANK('Q:\Abteilungsprojekte\Eng\EngData\PROJECT_Bioplastics\Renjie_Pan\05-Raw_Data\Lab_results\[LabSamples2025_Bioplastic_extra.xlsx]extra_Bioplastic'!C51)," ",'Q:\Abteilungsprojekte\Eng\EngData\PROJECT_Bioplastics\Renjie_Pan\05-Raw_Data\Lab_results\[LabSamples2025_Bioplastic_extra.xlsx]extra_Bioplastic'!C51)</f>
        <v/>
      </c>
      <c r="D51">
        <f>IF(ISBLANK('Q:\Abteilungsprojekte\Eng\EngData\PROJECT_Bioplastics\Renjie_Pan\05-Raw_Data\Lab_results\[LabSamples2025_Bioplastic_extra.xlsx]extra_Bioplastic'!D51)," ",'Q:\Abteilungsprojekte\Eng\EngData\PROJECT_Bioplastics\Renjie_Pan\05-Raw_Data\Lab_results\[LabSamples2025_Bioplastic_extra.xlsx]extra_Bioplastic'!D51)</f>
        <v/>
      </c>
      <c r="E51">
        <f>IF(ISBLANK('Q:\Abteilungsprojekte\Eng\EngData\PROJECT_Bioplastics\Renjie_Pan\05-Raw_Data\Lab_results\[LabSamples2025_Bioplastic_extra.xlsx]extra_Bioplastic'!E51)," ",'Q:\Abteilungsprojekte\Eng\EngData\PROJECT_Bioplastics\Renjie_Pan\05-Raw_Data\Lab_results\[LabSamples2025_Bioplastic_extra.xlsx]extra_Bioplastic'!E51)</f>
        <v/>
      </c>
      <c r="F51">
        <f>IF(ISBLANK('Q:\Abteilungsprojekte\Eng\EngData\PROJECT_Bioplastics\Renjie_Pan\05-Raw_Data\Lab_results\[LabSamples2025_Bioplastic_extra.xlsx]extra_Bioplastic'!F51)," ",'Q:\Abteilungsprojekte\Eng\EngData\PROJECT_Bioplastics\Renjie_Pan\05-Raw_Data\Lab_results\[LabSamples2025_Bioplastic_extra.xlsx]extra_Bioplastic'!F51)</f>
        <v/>
      </c>
      <c r="G51">
        <f>IF(ISBLANK('Q:\Abteilungsprojekte\Eng\EngData\PROJECT_Bioplastics\Renjie_Pan\05-Raw_Data\Lab_results\[LabSamples2025_Bioplastic_extra.xlsx]extra_Bioplastic'!G51)," ",'Q:\Abteilungsprojekte\Eng\EngData\PROJECT_Bioplastics\Renjie_Pan\05-Raw_Data\Lab_results\[LabSamples2025_Bioplastic_extra.xlsx]extra_Bioplastic'!G51)</f>
        <v/>
      </c>
      <c r="H51">
        <f>IF(ISBLANK('Q:\Abteilungsprojekte\Eng\EngData\PROJECT_Bioplastics\Renjie_Pan\05-Raw_Data\Lab_results\[LabSamples2025_Bioplastic_extra.xlsx]extra_Bioplastic'!H51)," ",'Q:\Abteilungsprojekte\Eng\EngData\PROJECT_Bioplastics\Renjie_Pan\05-Raw_Data\Lab_results\[LabSamples2025_Bioplastic_extra.xlsx]extra_Bioplastic'!H51)</f>
        <v/>
      </c>
    </row>
    <row r="52">
      <c r="A52">
        <f>IF(ISBLANK('Q:\Abteilungsprojekte\Eng\EngData\PROJECT_Bioplastics\Renjie_Pan\05-Raw_Data\Lab_results\[LabSamples2025_Bioplastic_extra.xlsx]extra_Bioplastic'!A52)," ",'Q:\Abteilungsprojekte\Eng\EngData\PROJECT_Bioplastics\Renjie_Pan\05-Raw_Data\Lab_results\[LabSamples2025_Bioplastic_extra.xlsx]extra_Bioplastic'!A52)</f>
        <v/>
      </c>
      <c r="B52">
        <f>IF(ISBLANK('Q:\Abteilungsprojekte\Eng\EngData\PROJECT_Bioplastics\Renjie_Pan\05-Raw_Data\Lab_results\[LabSamples2025_Bioplastic_extra.xlsx]extra_Bioplastic'!B52)," ",'Q:\Abteilungsprojekte\Eng\EngData\PROJECT_Bioplastics\Renjie_Pan\05-Raw_Data\Lab_results\[LabSamples2025_Bioplastic_extra.xlsx]extra_Bioplastic'!B52)</f>
        <v/>
      </c>
      <c r="C52">
        <f>IF(ISBLANK('Q:\Abteilungsprojekte\Eng\EngData\PROJECT_Bioplastics\Renjie_Pan\05-Raw_Data\Lab_results\[LabSamples2025_Bioplastic_extra.xlsx]extra_Bioplastic'!C52)," ",'Q:\Abteilungsprojekte\Eng\EngData\PROJECT_Bioplastics\Renjie_Pan\05-Raw_Data\Lab_results\[LabSamples2025_Bioplastic_extra.xlsx]extra_Bioplastic'!C52)</f>
        <v/>
      </c>
      <c r="D52">
        <f>IF(ISBLANK('Q:\Abteilungsprojekte\Eng\EngData\PROJECT_Bioplastics\Renjie_Pan\05-Raw_Data\Lab_results\[LabSamples2025_Bioplastic_extra.xlsx]extra_Bioplastic'!D52)," ",'Q:\Abteilungsprojekte\Eng\EngData\PROJECT_Bioplastics\Renjie_Pan\05-Raw_Data\Lab_results\[LabSamples2025_Bioplastic_extra.xlsx]extra_Bioplastic'!D52)</f>
        <v/>
      </c>
      <c r="E52">
        <f>IF(ISBLANK('Q:\Abteilungsprojekte\Eng\EngData\PROJECT_Bioplastics\Renjie_Pan\05-Raw_Data\Lab_results\[LabSamples2025_Bioplastic_extra.xlsx]extra_Bioplastic'!E52)," ",'Q:\Abteilungsprojekte\Eng\EngData\PROJECT_Bioplastics\Renjie_Pan\05-Raw_Data\Lab_results\[LabSamples2025_Bioplastic_extra.xlsx]extra_Bioplastic'!E52)</f>
        <v/>
      </c>
      <c r="F52">
        <f>IF(ISBLANK('Q:\Abteilungsprojekte\Eng\EngData\PROJECT_Bioplastics\Renjie_Pan\05-Raw_Data\Lab_results\[LabSamples2025_Bioplastic_extra.xlsx]extra_Bioplastic'!F52)," ",'Q:\Abteilungsprojekte\Eng\EngData\PROJECT_Bioplastics\Renjie_Pan\05-Raw_Data\Lab_results\[LabSamples2025_Bioplastic_extra.xlsx]extra_Bioplastic'!F52)</f>
        <v/>
      </c>
      <c r="G52">
        <f>IF(ISBLANK('Q:\Abteilungsprojekte\Eng\EngData\PROJECT_Bioplastics\Renjie_Pan\05-Raw_Data\Lab_results\[LabSamples2025_Bioplastic_extra.xlsx]extra_Bioplastic'!G52)," ",'Q:\Abteilungsprojekte\Eng\EngData\PROJECT_Bioplastics\Renjie_Pan\05-Raw_Data\Lab_results\[LabSamples2025_Bioplastic_extra.xlsx]extra_Bioplastic'!G52)</f>
        <v/>
      </c>
      <c r="H52">
        <f>IF(ISBLANK('Q:\Abteilungsprojekte\Eng\EngData\PROJECT_Bioplastics\Renjie_Pan\05-Raw_Data\Lab_results\[LabSamples2025_Bioplastic_extra.xlsx]extra_Bioplastic'!H52)," ",'Q:\Abteilungsprojekte\Eng\EngData\PROJECT_Bioplastics\Renjie_Pan\05-Raw_Data\Lab_results\[LabSamples2025_Bioplastic_extra.xlsx]extra_Bioplastic'!H52)</f>
        <v/>
      </c>
    </row>
    <row r="53">
      <c r="A53">
        <f>IF(ISBLANK('Q:\Abteilungsprojekte\Eng\EngData\PROJECT_Bioplastics\Renjie_Pan\05-Raw_Data\Lab_results\[LabSamples2025_Bioplastic_extra.xlsx]extra_Bioplastic'!A53)," ",'Q:\Abteilungsprojekte\Eng\EngData\PROJECT_Bioplastics\Renjie_Pan\05-Raw_Data\Lab_results\[LabSamples2025_Bioplastic_extra.xlsx]extra_Bioplastic'!A53)</f>
        <v/>
      </c>
      <c r="B53">
        <f>IF(ISBLANK('Q:\Abteilungsprojekte\Eng\EngData\PROJECT_Bioplastics\Renjie_Pan\05-Raw_Data\Lab_results\[LabSamples2025_Bioplastic_extra.xlsx]extra_Bioplastic'!B53)," ",'Q:\Abteilungsprojekte\Eng\EngData\PROJECT_Bioplastics\Renjie_Pan\05-Raw_Data\Lab_results\[LabSamples2025_Bioplastic_extra.xlsx]extra_Bioplastic'!B53)</f>
        <v/>
      </c>
      <c r="C53">
        <f>IF(ISBLANK('Q:\Abteilungsprojekte\Eng\EngData\PROJECT_Bioplastics\Renjie_Pan\05-Raw_Data\Lab_results\[LabSamples2025_Bioplastic_extra.xlsx]extra_Bioplastic'!C53)," ",'Q:\Abteilungsprojekte\Eng\EngData\PROJECT_Bioplastics\Renjie_Pan\05-Raw_Data\Lab_results\[LabSamples2025_Bioplastic_extra.xlsx]extra_Bioplastic'!C53)</f>
        <v/>
      </c>
      <c r="D53">
        <f>IF(ISBLANK('Q:\Abteilungsprojekte\Eng\EngData\PROJECT_Bioplastics\Renjie_Pan\05-Raw_Data\Lab_results\[LabSamples2025_Bioplastic_extra.xlsx]extra_Bioplastic'!D53)," ",'Q:\Abteilungsprojekte\Eng\EngData\PROJECT_Bioplastics\Renjie_Pan\05-Raw_Data\Lab_results\[LabSamples2025_Bioplastic_extra.xlsx]extra_Bioplastic'!D53)</f>
        <v/>
      </c>
      <c r="E53">
        <f>IF(ISBLANK('Q:\Abteilungsprojekte\Eng\EngData\PROJECT_Bioplastics\Renjie_Pan\05-Raw_Data\Lab_results\[LabSamples2025_Bioplastic_extra.xlsx]extra_Bioplastic'!E53)," ",'Q:\Abteilungsprojekte\Eng\EngData\PROJECT_Bioplastics\Renjie_Pan\05-Raw_Data\Lab_results\[LabSamples2025_Bioplastic_extra.xlsx]extra_Bioplastic'!E53)</f>
        <v/>
      </c>
      <c r="F53">
        <f>IF(ISBLANK('Q:\Abteilungsprojekte\Eng\EngData\PROJECT_Bioplastics\Renjie_Pan\05-Raw_Data\Lab_results\[LabSamples2025_Bioplastic_extra.xlsx]extra_Bioplastic'!F53)," ",'Q:\Abteilungsprojekte\Eng\EngData\PROJECT_Bioplastics\Renjie_Pan\05-Raw_Data\Lab_results\[LabSamples2025_Bioplastic_extra.xlsx]extra_Bioplastic'!F53)</f>
        <v/>
      </c>
      <c r="G53">
        <f>IF(ISBLANK('Q:\Abteilungsprojekte\Eng\EngData\PROJECT_Bioplastics\Renjie_Pan\05-Raw_Data\Lab_results\[LabSamples2025_Bioplastic_extra.xlsx]extra_Bioplastic'!G53)," ",'Q:\Abteilungsprojekte\Eng\EngData\PROJECT_Bioplastics\Renjie_Pan\05-Raw_Data\Lab_results\[LabSamples2025_Bioplastic_extra.xlsx]extra_Bioplastic'!G53)</f>
        <v/>
      </c>
      <c r="H53">
        <f>IF(ISBLANK('Q:\Abteilungsprojekte\Eng\EngData\PROJECT_Bioplastics\Renjie_Pan\05-Raw_Data\Lab_results\[LabSamples2025_Bioplastic_extra.xlsx]extra_Bioplastic'!H53)," ",'Q:\Abteilungsprojekte\Eng\EngData\PROJECT_Bioplastics\Renjie_Pan\05-Raw_Data\Lab_results\[LabSamples2025_Bioplastic_extra.xlsx]extra_Bioplastic'!H53)</f>
        <v/>
      </c>
    </row>
    <row r="54">
      <c r="A54">
        <f>IF(ISBLANK('Q:\Abteilungsprojekte\Eng\EngData\PROJECT_Bioplastics\Renjie_Pan\05-Raw_Data\Lab_results\[LabSamples2025_Bioplastic_extra.xlsx]extra_Bioplastic'!A54)," ",'Q:\Abteilungsprojekte\Eng\EngData\PROJECT_Bioplastics\Renjie_Pan\05-Raw_Data\Lab_results\[LabSamples2025_Bioplastic_extra.xlsx]extra_Bioplastic'!A54)</f>
        <v/>
      </c>
      <c r="B54">
        <f>IF(ISBLANK('Q:\Abteilungsprojekte\Eng\EngData\PROJECT_Bioplastics\Renjie_Pan\05-Raw_Data\Lab_results\[LabSamples2025_Bioplastic_extra.xlsx]extra_Bioplastic'!B54)," ",'Q:\Abteilungsprojekte\Eng\EngData\PROJECT_Bioplastics\Renjie_Pan\05-Raw_Data\Lab_results\[LabSamples2025_Bioplastic_extra.xlsx]extra_Bioplastic'!B54)</f>
        <v/>
      </c>
      <c r="C54">
        <f>IF(ISBLANK('Q:\Abteilungsprojekte\Eng\EngData\PROJECT_Bioplastics\Renjie_Pan\05-Raw_Data\Lab_results\[LabSamples2025_Bioplastic_extra.xlsx]extra_Bioplastic'!C54)," ",'Q:\Abteilungsprojekte\Eng\EngData\PROJECT_Bioplastics\Renjie_Pan\05-Raw_Data\Lab_results\[LabSamples2025_Bioplastic_extra.xlsx]extra_Bioplastic'!C54)</f>
        <v/>
      </c>
      <c r="D54">
        <f>IF(ISBLANK('Q:\Abteilungsprojekte\Eng\EngData\PROJECT_Bioplastics\Renjie_Pan\05-Raw_Data\Lab_results\[LabSamples2025_Bioplastic_extra.xlsx]extra_Bioplastic'!D54)," ",'Q:\Abteilungsprojekte\Eng\EngData\PROJECT_Bioplastics\Renjie_Pan\05-Raw_Data\Lab_results\[LabSamples2025_Bioplastic_extra.xlsx]extra_Bioplastic'!D54)</f>
        <v/>
      </c>
      <c r="E54">
        <f>IF(ISBLANK('Q:\Abteilungsprojekte\Eng\EngData\PROJECT_Bioplastics\Renjie_Pan\05-Raw_Data\Lab_results\[LabSamples2025_Bioplastic_extra.xlsx]extra_Bioplastic'!E54)," ",'Q:\Abteilungsprojekte\Eng\EngData\PROJECT_Bioplastics\Renjie_Pan\05-Raw_Data\Lab_results\[LabSamples2025_Bioplastic_extra.xlsx]extra_Bioplastic'!E54)</f>
        <v/>
      </c>
      <c r="F54">
        <f>IF(ISBLANK('Q:\Abteilungsprojekte\Eng\EngData\PROJECT_Bioplastics\Renjie_Pan\05-Raw_Data\Lab_results\[LabSamples2025_Bioplastic_extra.xlsx]extra_Bioplastic'!F54)," ",'Q:\Abteilungsprojekte\Eng\EngData\PROJECT_Bioplastics\Renjie_Pan\05-Raw_Data\Lab_results\[LabSamples2025_Bioplastic_extra.xlsx]extra_Bioplastic'!F54)</f>
        <v/>
      </c>
      <c r="G54">
        <f>IF(ISBLANK('Q:\Abteilungsprojekte\Eng\EngData\PROJECT_Bioplastics\Renjie_Pan\05-Raw_Data\Lab_results\[LabSamples2025_Bioplastic_extra.xlsx]extra_Bioplastic'!G54)," ",'Q:\Abteilungsprojekte\Eng\EngData\PROJECT_Bioplastics\Renjie_Pan\05-Raw_Data\Lab_results\[LabSamples2025_Bioplastic_extra.xlsx]extra_Bioplastic'!G54)</f>
        <v/>
      </c>
      <c r="H54">
        <f>IF(ISBLANK('Q:\Abteilungsprojekte\Eng\EngData\PROJECT_Bioplastics\Renjie_Pan\05-Raw_Data\Lab_results\[LabSamples2025_Bioplastic_extra.xlsx]extra_Bioplastic'!H54)," ",'Q:\Abteilungsprojekte\Eng\EngData\PROJECT_Bioplastics\Renjie_Pan\05-Raw_Data\Lab_results\[LabSamples2025_Bioplastic_extra.xlsx]extra_Bioplastic'!H54)</f>
        <v/>
      </c>
    </row>
    <row r="55">
      <c r="A55">
        <f>IF(ISBLANK('Q:\Abteilungsprojekte\Eng\EngData\PROJECT_Bioplastics\Renjie_Pan\05-Raw_Data\Lab_results\[LabSamples2025_Bioplastic_extra.xlsx]extra_Bioplastic'!A55)," ",'Q:\Abteilungsprojekte\Eng\EngData\PROJECT_Bioplastics\Renjie_Pan\05-Raw_Data\Lab_results\[LabSamples2025_Bioplastic_extra.xlsx]extra_Bioplastic'!A55)</f>
        <v/>
      </c>
      <c r="B55">
        <f>IF(ISBLANK('Q:\Abteilungsprojekte\Eng\EngData\PROJECT_Bioplastics\Renjie_Pan\05-Raw_Data\Lab_results\[LabSamples2025_Bioplastic_extra.xlsx]extra_Bioplastic'!B55)," ",'Q:\Abteilungsprojekte\Eng\EngData\PROJECT_Bioplastics\Renjie_Pan\05-Raw_Data\Lab_results\[LabSamples2025_Bioplastic_extra.xlsx]extra_Bioplastic'!B55)</f>
        <v/>
      </c>
      <c r="C55">
        <f>IF(ISBLANK('Q:\Abteilungsprojekte\Eng\EngData\PROJECT_Bioplastics\Renjie_Pan\05-Raw_Data\Lab_results\[LabSamples2025_Bioplastic_extra.xlsx]extra_Bioplastic'!C55)," ",'Q:\Abteilungsprojekte\Eng\EngData\PROJECT_Bioplastics\Renjie_Pan\05-Raw_Data\Lab_results\[LabSamples2025_Bioplastic_extra.xlsx]extra_Bioplastic'!C55)</f>
        <v/>
      </c>
      <c r="D55">
        <f>IF(ISBLANK('Q:\Abteilungsprojekte\Eng\EngData\PROJECT_Bioplastics\Renjie_Pan\05-Raw_Data\Lab_results\[LabSamples2025_Bioplastic_extra.xlsx]extra_Bioplastic'!D55)," ",'Q:\Abteilungsprojekte\Eng\EngData\PROJECT_Bioplastics\Renjie_Pan\05-Raw_Data\Lab_results\[LabSamples2025_Bioplastic_extra.xlsx]extra_Bioplastic'!D55)</f>
        <v/>
      </c>
      <c r="E55">
        <f>IF(ISBLANK('Q:\Abteilungsprojekte\Eng\EngData\PROJECT_Bioplastics\Renjie_Pan\05-Raw_Data\Lab_results\[LabSamples2025_Bioplastic_extra.xlsx]extra_Bioplastic'!E55)," ",'Q:\Abteilungsprojekte\Eng\EngData\PROJECT_Bioplastics\Renjie_Pan\05-Raw_Data\Lab_results\[LabSamples2025_Bioplastic_extra.xlsx]extra_Bioplastic'!E55)</f>
        <v/>
      </c>
      <c r="F55">
        <f>IF(ISBLANK('Q:\Abteilungsprojekte\Eng\EngData\PROJECT_Bioplastics\Renjie_Pan\05-Raw_Data\Lab_results\[LabSamples2025_Bioplastic_extra.xlsx]extra_Bioplastic'!F55)," ",'Q:\Abteilungsprojekte\Eng\EngData\PROJECT_Bioplastics\Renjie_Pan\05-Raw_Data\Lab_results\[LabSamples2025_Bioplastic_extra.xlsx]extra_Bioplastic'!F55)</f>
        <v/>
      </c>
      <c r="G55">
        <f>IF(ISBLANK('Q:\Abteilungsprojekte\Eng\EngData\PROJECT_Bioplastics\Renjie_Pan\05-Raw_Data\Lab_results\[LabSamples2025_Bioplastic_extra.xlsx]extra_Bioplastic'!G55)," ",'Q:\Abteilungsprojekte\Eng\EngData\PROJECT_Bioplastics\Renjie_Pan\05-Raw_Data\Lab_results\[LabSamples2025_Bioplastic_extra.xlsx]extra_Bioplastic'!G55)</f>
        <v/>
      </c>
      <c r="H55">
        <f>IF(ISBLANK('Q:\Abteilungsprojekte\Eng\EngData\PROJECT_Bioplastics\Renjie_Pan\05-Raw_Data\Lab_results\[LabSamples2025_Bioplastic_extra.xlsx]extra_Bioplastic'!H55)," ",'Q:\Abteilungsprojekte\Eng\EngData\PROJECT_Bioplastics\Renjie_Pan\05-Raw_Data\Lab_results\[LabSamples2025_Bioplastic_extra.xlsx]extra_Bioplastic'!H55)</f>
        <v/>
      </c>
    </row>
    <row r="56">
      <c r="A56">
        <f>IF(ISBLANK('Q:\Abteilungsprojekte\Eng\EngData\PROJECT_Bioplastics\Renjie_Pan\05-Raw_Data\Lab_results\[LabSamples2025_Bioplastic_extra.xlsx]extra_Bioplastic'!A56)," ",'Q:\Abteilungsprojekte\Eng\EngData\PROJECT_Bioplastics\Renjie_Pan\05-Raw_Data\Lab_results\[LabSamples2025_Bioplastic_extra.xlsx]extra_Bioplastic'!A56)</f>
        <v/>
      </c>
      <c r="B56">
        <f>IF(ISBLANK('Q:\Abteilungsprojekte\Eng\EngData\PROJECT_Bioplastics\Renjie_Pan\05-Raw_Data\Lab_results\[LabSamples2025_Bioplastic_extra.xlsx]extra_Bioplastic'!B56)," ",'Q:\Abteilungsprojekte\Eng\EngData\PROJECT_Bioplastics\Renjie_Pan\05-Raw_Data\Lab_results\[LabSamples2025_Bioplastic_extra.xlsx]extra_Bioplastic'!B56)</f>
        <v/>
      </c>
      <c r="C56">
        <f>IF(ISBLANK('Q:\Abteilungsprojekte\Eng\EngData\PROJECT_Bioplastics\Renjie_Pan\05-Raw_Data\Lab_results\[LabSamples2025_Bioplastic_extra.xlsx]extra_Bioplastic'!C56)," ",'Q:\Abteilungsprojekte\Eng\EngData\PROJECT_Bioplastics\Renjie_Pan\05-Raw_Data\Lab_results\[LabSamples2025_Bioplastic_extra.xlsx]extra_Bioplastic'!C56)</f>
        <v/>
      </c>
      <c r="D56">
        <f>IF(ISBLANK('Q:\Abteilungsprojekte\Eng\EngData\PROJECT_Bioplastics\Renjie_Pan\05-Raw_Data\Lab_results\[LabSamples2025_Bioplastic_extra.xlsx]extra_Bioplastic'!D56)," ",'Q:\Abteilungsprojekte\Eng\EngData\PROJECT_Bioplastics\Renjie_Pan\05-Raw_Data\Lab_results\[LabSamples2025_Bioplastic_extra.xlsx]extra_Bioplastic'!D56)</f>
        <v/>
      </c>
      <c r="E56">
        <f>IF(ISBLANK('Q:\Abteilungsprojekte\Eng\EngData\PROJECT_Bioplastics\Renjie_Pan\05-Raw_Data\Lab_results\[LabSamples2025_Bioplastic_extra.xlsx]extra_Bioplastic'!E56)," ",'Q:\Abteilungsprojekte\Eng\EngData\PROJECT_Bioplastics\Renjie_Pan\05-Raw_Data\Lab_results\[LabSamples2025_Bioplastic_extra.xlsx]extra_Bioplastic'!E56)</f>
        <v/>
      </c>
      <c r="F56">
        <f>IF(ISBLANK('Q:\Abteilungsprojekte\Eng\EngData\PROJECT_Bioplastics\Renjie_Pan\05-Raw_Data\Lab_results\[LabSamples2025_Bioplastic_extra.xlsx]extra_Bioplastic'!F56)," ",'Q:\Abteilungsprojekte\Eng\EngData\PROJECT_Bioplastics\Renjie_Pan\05-Raw_Data\Lab_results\[LabSamples2025_Bioplastic_extra.xlsx]extra_Bioplastic'!F56)</f>
        <v/>
      </c>
      <c r="G56">
        <f>IF(ISBLANK('Q:\Abteilungsprojekte\Eng\EngData\PROJECT_Bioplastics\Renjie_Pan\05-Raw_Data\Lab_results\[LabSamples2025_Bioplastic_extra.xlsx]extra_Bioplastic'!G56)," ",'Q:\Abteilungsprojekte\Eng\EngData\PROJECT_Bioplastics\Renjie_Pan\05-Raw_Data\Lab_results\[LabSamples2025_Bioplastic_extra.xlsx]extra_Bioplastic'!G56)</f>
        <v/>
      </c>
      <c r="H56">
        <f>IF(ISBLANK('Q:\Abteilungsprojekte\Eng\EngData\PROJECT_Bioplastics\Renjie_Pan\05-Raw_Data\Lab_results\[LabSamples2025_Bioplastic_extra.xlsx]extra_Bioplastic'!H56)," ",'Q:\Abteilungsprojekte\Eng\EngData\PROJECT_Bioplastics\Renjie_Pan\05-Raw_Data\Lab_results\[LabSamples2025_Bioplastic_extra.xlsx]extra_Bioplastic'!H56)</f>
        <v/>
      </c>
    </row>
    <row r="57">
      <c r="A57">
        <f>IF(ISBLANK('Q:\Abteilungsprojekte\Eng\EngData\PROJECT_Bioplastics\Renjie_Pan\05-Raw_Data\Lab_results\[LabSamples2025_Bioplastic_extra.xlsx]extra_Bioplastic'!A57)," ",'Q:\Abteilungsprojekte\Eng\EngData\PROJECT_Bioplastics\Renjie_Pan\05-Raw_Data\Lab_results\[LabSamples2025_Bioplastic_extra.xlsx]extra_Bioplastic'!A57)</f>
        <v/>
      </c>
      <c r="B57">
        <f>IF(ISBLANK('Q:\Abteilungsprojekte\Eng\EngData\PROJECT_Bioplastics\Renjie_Pan\05-Raw_Data\Lab_results\[LabSamples2025_Bioplastic_extra.xlsx]extra_Bioplastic'!B57)," ",'Q:\Abteilungsprojekte\Eng\EngData\PROJECT_Bioplastics\Renjie_Pan\05-Raw_Data\Lab_results\[LabSamples2025_Bioplastic_extra.xlsx]extra_Bioplastic'!B57)</f>
        <v/>
      </c>
      <c r="C57">
        <f>IF(ISBLANK('Q:\Abteilungsprojekte\Eng\EngData\PROJECT_Bioplastics\Renjie_Pan\05-Raw_Data\Lab_results\[LabSamples2025_Bioplastic_extra.xlsx]extra_Bioplastic'!C57)," ",'Q:\Abteilungsprojekte\Eng\EngData\PROJECT_Bioplastics\Renjie_Pan\05-Raw_Data\Lab_results\[LabSamples2025_Bioplastic_extra.xlsx]extra_Bioplastic'!C57)</f>
        <v/>
      </c>
      <c r="D57">
        <f>IF(ISBLANK('Q:\Abteilungsprojekte\Eng\EngData\PROJECT_Bioplastics\Renjie_Pan\05-Raw_Data\Lab_results\[LabSamples2025_Bioplastic_extra.xlsx]extra_Bioplastic'!D57)," ",'Q:\Abteilungsprojekte\Eng\EngData\PROJECT_Bioplastics\Renjie_Pan\05-Raw_Data\Lab_results\[LabSamples2025_Bioplastic_extra.xlsx]extra_Bioplastic'!D57)</f>
        <v/>
      </c>
      <c r="E57">
        <f>IF(ISBLANK('Q:\Abteilungsprojekte\Eng\EngData\PROJECT_Bioplastics\Renjie_Pan\05-Raw_Data\Lab_results\[LabSamples2025_Bioplastic_extra.xlsx]extra_Bioplastic'!E57)," ",'Q:\Abteilungsprojekte\Eng\EngData\PROJECT_Bioplastics\Renjie_Pan\05-Raw_Data\Lab_results\[LabSamples2025_Bioplastic_extra.xlsx]extra_Bioplastic'!E57)</f>
        <v/>
      </c>
      <c r="F57">
        <f>IF(ISBLANK('Q:\Abteilungsprojekte\Eng\EngData\PROJECT_Bioplastics\Renjie_Pan\05-Raw_Data\Lab_results\[LabSamples2025_Bioplastic_extra.xlsx]extra_Bioplastic'!F57)," ",'Q:\Abteilungsprojekte\Eng\EngData\PROJECT_Bioplastics\Renjie_Pan\05-Raw_Data\Lab_results\[LabSamples2025_Bioplastic_extra.xlsx]extra_Bioplastic'!F57)</f>
        <v/>
      </c>
      <c r="G57">
        <f>IF(ISBLANK('Q:\Abteilungsprojekte\Eng\EngData\PROJECT_Bioplastics\Renjie_Pan\05-Raw_Data\Lab_results\[LabSamples2025_Bioplastic_extra.xlsx]extra_Bioplastic'!G57)," ",'Q:\Abteilungsprojekte\Eng\EngData\PROJECT_Bioplastics\Renjie_Pan\05-Raw_Data\Lab_results\[LabSamples2025_Bioplastic_extra.xlsx]extra_Bioplastic'!G57)</f>
        <v/>
      </c>
      <c r="H57">
        <f>IF(ISBLANK('Q:\Abteilungsprojekte\Eng\EngData\PROJECT_Bioplastics\Renjie_Pan\05-Raw_Data\Lab_results\[LabSamples2025_Bioplastic_extra.xlsx]extra_Bioplastic'!H57)," ",'Q:\Abteilungsprojekte\Eng\EngData\PROJECT_Bioplastics\Renjie_Pan\05-Raw_Data\Lab_results\[LabSamples2025_Bioplastic_extra.xlsx]extra_Bioplastic'!H57)</f>
        <v/>
      </c>
    </row>
    <row r="58">
      <c r="A58">
        <f>IF(ISBLANK('Q:\Abteilungsprojekte\Eng\EngData\PROJECT_Bioplastics\Renjie_Pan\05-Raw_Data\Lab_results\[LabSamples2025_Bioplastic_extra.xlsx]extra_Bioplastic'!A58)," ",'Q:\Abteilungsprojekte\Eng\EngData\PROJECT_Bioplastics\Renjie_Pan\05-Raw_Data\Lab_results\[LabSamples2025_Bioplastic_extra.xlsx]extra_Bioplastic'!A58)</f>
        <v/>
      </c>
      <c r="B58">
        <f>IF(ISBLANK('Q:\Abteilungsprojekte\Eng\EngData\PROJECT_Bioplastics\Renjie_Pan\05-Raw_Data\Lab_results\[LabSamples2025_Bioplastic_extra.xlsx]extra_Bioplastic'!B58)," ",'Q:\Abteilungsprojekte\Eng\EngData\PROJECT_Bioplastics\Renjie_Pan\05-Raw_Data\Lab_results\[LabSamples2025_Bioplastic_extra.xlsx]extra_Bioplastic'!B58)</f>
        <v/>
      </c>
      <c r="C58">
        <f>IF(ISBLANK('Q:\Abteilungsprojekte\Eng\EngData\PROJECT_Bioplastics\Renjie_Pan\05-Raw_Data\Lab_results\[LabSamples2025_Bioplastic_extra.xlsx]extra_Bioplastic'!C58)," ",'Q:\Abteilungsprojekte\Eng\EngData\PROJECT_Bioplastics\Renjie_Pan\05-Raw_Data\Lab_results\[LabSamples2025_Bioplastic_extra.xlsx]extra_Bioplastic'!C58)</f>
        <v/>
      </c>
      <c r="D58">
        <f>IF(ISBLANK('Q:\Abteilungsprojekte\Eng\EngData\PROJECT_Bioplastics\Renjie_Pan\05-Raw_Data\Lab_results\[LabSamples2025_Bioplastic_extra.xlsx]extra_Bioplastic'!D58)," ",'Q:\Abteilungsprojekte\Eng\EngData\PROJECT_Bioplastics\Renjie_Pan\05-Raw_Data\Lab_results\[LabSamples2025_Bioplastic_extra.xlsx]extra_Bioplastic'!D58)</f>
        <v/>
      </c>
      <c r="E58">
        <f>IF(ISBLANK('Q:\Abteilungsprojekte\Eng\EngData\PROJECT_Bioplastics\Renjie_Pan\05-Raw_Data\Lab_results\[LabSamples2025_Bioplastic_extra.xlsx]extra_Bioplastic'!E58)," ",'Q:\Abteilungsprojekte\Eng\EngData\PROJECT_Bioplastics\Renjie_Pan\05-Raw_Data\Lab_results\[LabSamples2025_Bioplastic_extra.xlsx]extra_Bioplastic'!E58)</f>
        <v/>
      </c>
      <c r="F58">
        <f>IF(ISBLANK('Q:\Abteilungsprojekte\Eng\EngData\PROJECT_Bioplastics\Renjie_Pan\05-Raw_Data\Lab_results\[LabSamples2025_Bioplastic_extra.xlsx]extra_Bioplastic'!F58)," ",'Q:\Abteilungsprojekte\Eng\EngData\PROJECT_Bioplastics\Renjie_Pan\05-Raw_Data\Lab_results\[LabSamples2025_Bioplastic_extra.xlsx]extra_Bioplastic'!F58)</f>
        <v/>
      </c>
      <c r="G58">
        <f>IF(ISBLANK('Q:\Abteilungsprojekte\Eng\EngData\PROJECT_Bioplastics\Renjie_Pan\05-Raw_Data\Lab_results\[LabSamples2025_Bioplastic_extra.xlsx]extra_Bioplastic'!G58)," ",'Q:\Abteilungsprojekte\Eng\EngData\PROJECT_Bioplastics\Renjie_Pan\05-Raw_Data\Lab_results\[LabSamples2025_Bioplastic_extra.xlsx]extra_Bioplastic'!G58)</f>
        <v/>
      </c>
      <c r="H58">
        <f>IF(ISBLANK('Q:\Abteilungsprojekte\Eng\EngData\PROJECT_Bioplastics\Renjie_Pan\05-Raw_Data\Lab_results\[LabSamples2025_Bioplastic_extra.xlsx]extra_Bioplastic'!H58)," ",'Q:\Abteilungsprojekte\Eng\EngData\PROJECT_Bioplastics\Renjie_Pan\05-Raw_Data\Lab_results\[LabSamples2025_Bioplastic_extra.xlsx]extra_Bioplastic'!H58)</f>
        <v/>
      </c>
    </row>
    <row r="59">
      <c r="A59">
        <f>IF(ISBLANK('Q:\Abteilungsprojekte\Eng\EngData\PROJECT_Bioplastics\Renjie_Pan\05-Raw_Data\Lab_results\[LabSamples2025_Bioplastic_extra.xlsx]extra_Bioplastic'!A59)," ",'Q:\Abteilungsprojekte\Eng\EngData\PROJECT_Bioplastics\Renjie_Pan\05-Raw_Data\Lab_results\[LabSamples2025_Bioplastic_extra.xlsx]extra_Bioplastic'!A59)</f>
        <v/>
      </c>
      <c r="B59">
        <f>IF(ISBLANK('Q:\Abteilungsprojekte\Eng\EngData\PROJECT_Bioplastics\Renjie_Pan\05-Raw_Data\Lab_results\[LabSamples2025_Bioplastic_extra.xlsx]extra_Bioplastic'!B59)," ",'Q:\Abteilungsprojekte\Eng\EngData\PROJECT_Bioplastics\Renjie_Pan\05-Raw_Data\Lab_results\[LabSamples2025_Bioplastic_extra.xlsx]extra_Bioplastic'!B59)</f>
        <v/>
      </c>
      <c r="C59">
        <f>IF(ISBLANK('Q:\Abteilungsprojekte\Eng\EngData\PROJECT_Bioplastics\Renjie_Pan\05-Raw_Data\Lab_results\[LabSamples2025_Bioplastic_extra.xlsx]extra_Bioplastic'!C59)," ",'Q:\Abteilungsprojekte\Eng\EngData\PROJECT_Bioplastics\Renjie_Pan\05-Raw_Data\Lab_results\[LabSamples2025_Bioplastic_extra.xlsx]extra_Bioplastic'!C59)</f>
        <v/>
      </c>
      <c r="D59">
        <f>IF(ISBLANK('Q:\Abteilungsprojekte\Eng\EngData\PROJECT_Bioplastics\Renjie_Pan\05-Raw_Data\Lab_results\[LabSamples2025_Bioplastic_extra.xlsx]extra_Bioplastic'!D59)," ",'Q:\Abteilungsprojekte\Eng\EngData\PROJECT_Bioplastics\Renjie_Pan\05-Raw_Data\Lab_results\[LabSamples2025_Bioplastic_extra.xlsx]extra_Bioplastic'!D59)</f>
        <v/>
      </c>
      <c r="E59">
        <f>IF(ISBLANK('Q:\Abteilungsprojekte\Eng\EngData\PROJECT_Bioplastics\Renjie_Pan\05-Raw_Data\Lab_results\[LabSamples2025_Bioplastic_extra.xlsx]extra_Bioplastic'!E59)," ",'Q:\Abteilungsprojekte\Eng\EngData\PROJECT_Bioplastics\Renjie_Pan\05-Raw_Data\Lab_results\[LabSamples2025_Bioplastic_extra.xlsx]extra_Bioplastic'!E59)</f>
        <v/>
      </c>
      <c r="F59">
        <f>IF(ISBLANK('Q:\Abteilungsprojekte\Eng\EngData\PROJECT_Bioplastics\Renjie_Pan\05-Raw_Data\Lab_results\[LabSamples2025_Bioplastic_extra.xlsx]extra_Bioplastic'!F59)," ",'Q:\Abteilungsprojekte\Eng\EngData\PROJECT_Bioplastics\Renjie_Pan\05-Raw_Data\Lab_results\[LabSamples2025_Bioplastic_extra.xlsx]extra_Bioplastic'!F59)</f>
        <v/>
      </c>
      <c r="G59">
        <f>IF(ISBLANK('Q:\Abteilungsprojekte\Eng\EngData\PROJECT_Bioplastics\Renjie_Pan\05-Raw_Data\Lab_results\[LabSamples2025_Bioplastic_extra.xlsx]extra_Bioplastic'!G59)," ",'Q:\Abteilungsprojekte\Eng\EngData\PROJECT_Bioplastics\Renjie_Pan\05-Raw_Data\Lab_results\[LabSamples2025_Bioplastic_extra.xlsx]extra_Bioplastic'!G59)</f>
        <v/>
      </c>
      <c r="H59">
        <f>IF(ISBLANK('Q:\Abteilungsprojekte\Eng\EngData\PROJECT_Bioplastics\Renjie_Pan\05-Raw_Data\Lab_results\[LabSamples2025_Bioplastic_extra.xlsx]extra_Bioplastic'!H59)," ",'Q:\Abteilungsprojekte\Eng\EngData\PROJECT_Bioplastics\Renjie_Pan\05-Raw_Data\Lab_results\[LabSamples2025_Bioplastic_extra.xlsx]extra_Bioplastic'!H59)</f>
        <v/>
      </c>
    </row>
    <row r="60">
      <c r="A60">
        <f>IF(ISBLANK('Q:\Abteilungsprojekte\Eng\EngData\PROJECT_Bioplastics\Renjie_Pan\05-Raw_Data\Lab_results\[LabSamples2025_Bioplastic_extra.xlsx]extra_Bioplastic'!A60)," ",'Q:\Abteilungsprojekte\Eng\EngData\PROJECT_Bioplastics\Renjie_Pan\05-Raw_Data\Lab_results\[LabSamples2025_Bioplastic_extra.xlsx]extra_Bioplastic'!A60)</f>
        <v/>
      </c>
      <c r="B60">
        <f>IF(ISBLANK('Q:\Abteilungsprojekte\Eng\EngData\PROJECT_Bioplastics\Renjie_Pan\05-Raw_Data\Lab_results\[LabSamples2025_Bioplastic_extra.xlsx]extra_Bioplastic'!B60)," ",'Q:\Abteilungsprojekte\Eng\EngData\PROJECT_Bioplastics\Renjie_Pan\05-Raw_Data\Lab_results\[LabSamples2025_Bioplastic_extra.xlsx]extra_Bioplastic'!B60)</f>
        <v/>
      </c>
      <c r="C60">
        <f>IF(ISBLANK('Q:\Abteilungsprojekte\Eng\EngData\PROJECT_Bioplastics\Renjie_Pan\05-Raw_Data\Lab_results\[LabSamples2025_Bioplastic_extra.xlsx]extra_Bioplastic'!C60)," ",'Q:\Abteilungsprojekte\Eng\EngData\PROJECT_Bioplastics\Renjie_Pan\05-Raw_Data\Lab_results\[LabSamples2025_Bioplastic_extra.xlsx]extra_Bioplastic'!C60)</f>
        <v/>
      </c>
      <c r="D60">
        <f>IF(ISBLANK('Q:\Abteilungsprojekte\Eng\EngData\PROJECT_Bioplastics\Renjie_Pan\05-Raw_Data\Lab_results\[LabSamples2025_Bioplastic_extra.xlsx]extra_Bioplastic'!D60)," ",'Q:\Abteilungsprojekte\Eng\EngData\PROJECT_Bioplastics\Renjie_Pan\05-Raw_Data\Lab_results\[LabSamples2025_Bioplastic_extra.xlsx]extra_Bioplastic'!D60)</f>
        <v/>
      </c>
      <c r="E60">
        <f>IF(ISBLANK('Q:\Abteilungsprojekte\Eng\EngData\PROJECT_Bioplastics\Renjie_Pan\05-Raw_Data\Lab_results\[LabSamples2025_Bioplastic_extra.xlsx]extra_Bioplastic'!E60)," ",'Q:\Abteilungsprojekte\Eng\EngData\PROJECT_Bioplastics\Renjie_Pan\05-Raw_Data\Lab_results\[LabSamples2025_Bioplastic_extra.xlsx]extra_Bioplastic'!E60)</f>
        <v/>
      </c>
      <c r="F60">
        <f>IF(ISBLANK('Q:\Abteilungsprojekte\Eng\EngData\PROJECT_Bioplastics\Renjie_Pan\05-Raw_Data\Lab_results\[LabSamples2025_Bioplastic_extra.xlsx]extra_Bioplastic'!F60)," ",'Q:\Abteilungsprojekte\Eng\EngData\PROJECT_Bioplastics\Renjie_Pan\05-Raw_Data\Lab_results\[LabSamples2025_Bioplastic_extra.xlsx]extra_Bioplastic'!F60)</f>
        <v/>
      </c>
      <c r="G60">
        <f>IF(ISBLANK('Q:\Abteilungsprojekte\Eng\EngData\PROJECT_Bioplastics\Renjie_Pan\05-Raw_Data\Lab_results\[LabSamples2025_Bioplastic_extra.xlsx]extra_Bioplastic'!G60)," ",'Q:\Abteilungsprojekte\Eng\EngData\PROJECT_Bioplastics\Renjie_Pan\05-Raw_Data\Lab_results\[LabSamples2025_Bioplastic_extra.xlsx]extra_Bioplastic'!G60)</f>
        <v/>
      </c>
      <c r="H60">
        <f>IF(ISBLANK('Q:\Abteilungsprojekte\Eng\EngData\PROJECT_Bioplastics\Renjie_Pan\05-Raw_Data\Lab_results\[LabSamples2025_Bioplastic_extra.xlsx]extra_Bioplastic'!H60)," ",'Q:\Abteilungsprojekte\Eng\EngData\PROJECT_Bioplastics\Renjie_Pan\05-Raw_Data\Lab_results\[LabSamples2025_Bioplastic_extra.xlsx]extra_Bioplastic'!H60)</f>
        <v/>
      </c>
    </row>
    <row r="61">
      <c r="A61">
        <f>IF(ISBLANK('Q:\Abteilungsprojekte\Eng\EngData\PROJECT_Bioplastics\Renjie_Pan\05-Raw_Data\Lab_results\[LabSamples2025_Bioplastic_extra.xlsx]extra_Bioplastic'!A61)," ",'Q:\Abteilungsprojekte\Eng\EngData\PROJECT_Bioplastics\Renjie_Pan\05-Raw_Data\Lab_results\[LabSamples2025_Bioplastic_extra.xlsx]extra_Bioplastic'!A61)</f>
        <v/>
      </c>
      <c r="B61">
        <f>IF(ISBLANK('Q:\Abteilungsprojekte\Eng\EngData\PROJECT_Bioplastics\Renjie_Pan\05-Raw_Data\Lab_results\[LabSamples2025_Bioplastic_extra.xlsx]extra_Bioplastic'!B61)," ",'Q:\Abteilungsprojekte\Eng\EngData\PROJECT_Bioplastics\Renjie_Pan\05-Raw_Data\Lab_results\[LabSamples2025_Bioplastic_extra.xlsx]extra_Bioplastic'!B61)</f>
        <v/>
      </c>
      <c r="C61">
        <f>IF(ISBLANK('Q:\Abteilungsprojekte\Eng\EngData\PROJECT_Bioplastics\Renjie_Pan\05-Raw_Data\Lab_results\[LabSamples2025_Bioplastic_extra.xlsx]extra_Bioplastic'!C61)," ",'Q:\Abteilungsprojekte\Eng\EngData\PROJECT_Bioplastics\Renjie_Pan\05-Raw_Data\Lab_results\[LabSamples2025_Bioplastic_extra.xlsx]extra_Bioplastic'!C61)</f>
        <v/>
      </c>
      <c r="D61">
        <f>IF(ISBLANK('Q:\Abteilungsprojekte\Eng\EngData\PROJECT_Bioplastics\Renjie_Pan\05-Raw_Data\Lab_results\[LabSamples2025_Bioplastic_extra.xlsx]extra_Bioplastic'!D61)," ",'Q:\Abteilungsprojekte\Eng\EngData\PROJECT_Bioplastics\Renjie_Pan\05-Raw_Data\Lab_results\[LabSamples2025_Bioplastic_extra.xlsx]extra_Bioplastic'!D61)</f>
        <v/>
      </c>
      <c r="E61">
        <f>IF(ISBLANK('Q:\Abteilungsprojekte\Eng\EngData\PROJECT_Bioplastics\Renjie_Pan\05-Raw_Data\Lab_results\[LabSamples2025_Bioplastic_extra.xlsx]extra_Bioplastic'!E61)," ",'Q:\Abteilungsprojekte\Eng\EngData\PROJECT_Bioplastics\Renjie_Pan\05-Raw_Data\Lab_results\[LabSamples2025_Bioplastic_extra.xlsx]extra_Bioplastic'!E61)</f>
        <v/>
      </c>
      <c r="F61">
        <f>IF(ISBLANK('Q:\Abteilungsprojekte\Eng\EngData\PROJECT_Bioplastics\Renjie_Pan\05-Raw_Data\Lab_results\[LabSamples2025_Bioplastic_extra.xlsx]extra_Bioplastic'!F61)," ",'Q:\Abteilungsprojekte\Eng\EngData\PROJECT_Bioplastics\Renjie_Pan\05-Raw_Data\Lab_results\[LabSamples2025_Bioplastic_extra.xlsx]extra_Bioplastic'!F61)</f>
        <v/>
      </c>
      <c r="G61">
        <f>IF(ISBLANK('Q:\Abteilungsprojekte\Eng\EngData\PROJECT_Bioplastics\Renjie_Pan\05-Raw_Data\Lab_results\[LabSamples2025_Bioplastic_extra.xlsx]extra_Bioplastic'!G61)," ",'Q:\Abteilungsprojekte\Eng\EngData\PROJECT_Bioplastics\Renjie_Pan\05-Raw_Data\Lab_results\[LabSamples2025_Bioplastic_extra.xlsx]extra_Bioplastic'!G61)</f>
        <v/>
      </c>
      <c r="H61">
        <f>IF(ISBLANK('Q:\Abteilungsprojekte\Eng\EngData\PROJECT_Bioplastics\Renjie_Pan\05-Raw_Data\Lab_results\[LabSamples2025_Bioplastic_extra.xlsx]extra_Bioplastic'!H61)," ",'Q:\Abteilungsprojekte\Eng\EngData\PROJECT_Bioplastics\Renjie_Pan\05-Raw_Data\Lab_results\[LabSamples2025_Bioplastic_extra.xlsx]extra_Bioplastic'!H61)</f>
        <v/>
      </c>
    </row>
    <row r="62">
      <c r="A62">
        <f>IF(ISBLANK('Q:\Abteilungsprojekte\Eng\EngData\PROJECT_Bioplastics\Renjie_Pan\05-Raw_Data\Lab_results\[LabSamples2025_Bioplastic_extra.xlsx]extra_Bioplastic'!A62)," ",'Q:\Abteilungsprojekte\Eng\EngData\PROJECT_Bioplastics\Renjie_Pan\05-Raw_Data\Lab_results\[LabSamples2025_Bioplastic_extra.xlsx]extra_Bioplastic'!A62)</f>
        <v/>
      </c>
      <c r="B62">
        <f>IF(ISBLANK('Q:\Abteilungsprojekte\Eng\EngData\PROJECT_Bioplastics\Renjie_Pan\05-Raw_Data\Lab_results\[LabSamples2025_Bioplastic_extra.xlsx]extra_Bioplastic'!B62)," ",'Q:\Abteilungsprojekte\Eng\EngData\PROJECT_Bioplastics\Renjie_Pan\05-Raw_Data\Lab_results\[LabSamples2025_Bioplastic_extra.xlsx]extra_Bioplastic'!B62)</f>
        <v/>
      </c>
      <c r="C62">
        <f>IF(ISBLANK('Q:\Abteilungsprojekte\Eng\EngData\PROJECT_Bioplastics\Renjie_Pan\05-Raw_Data\Lab_results\[LabSamples2025_Bioplastic_extra.xlsx]extra_Bioplastic'!C62)," ",'Q:\Abteilungsprojekte\Eng\EngData\PROJECT_Bioplastics\Renjie_Pan\05-Raw_Data\Lab_results\[LabSamples2025_Bioplastic_extra.xlsx]extra_Bioplastic'!C62)</f>
        <v/>
      </c>
      <c r="D62">
        <f>IF(ISBLANK('Q:\Abteilungsprojekte\Eng\EngData\PROJECT_Bioplastics\Renjie_Pan\05-Raw_Data\Lab_results\[LabSamples2025_Bioplastic_extra.xlsx]extra_Bioplastic'!D62)," ",'Q:\Abteilungsprojekte\Eng\EngData\PROJECT_Bioplastics\Renjie_Pan\05-Raw_Data\Lab_results\[LabSamples2025_Bioplastic_extra.xlsx]extra_Bioplastic'!D62)</f>
        <v/>
      </c>
      <c r="E62">
        <f>IF(ISBLANK('Q:\Abteilungsprojekte\Eng\EngData\PROJECT_Bioplastics\Renjie_Pan\05-Raw_Data\Lab_results\[LabSamples2025_Bioplastic_extra.xlsx]extra_Bioplastic'!E62)," ",'Q:\Abteilungsprojekte\Eng\EngData\PROJECT_Bioplastics\Renjie_Pan\05-Raw_Data\Lab_results\[LabSamples2025_Bioplastic_extra.xlsx]extra_Bioplastic'!E62)</f>
        <v/>
      </c>
      <c r="F62">
        <f>IF(ISBLANK('Q:\Abteilungsprojekte\Eng\EngData\PROJECT_Bioplastics\Renjie_Pan\05-Raw_Data\Lab_results\[LabSamples2025_Bioplastic_extra.xlsx]extra_Bioplastic'!F62)," ",'Q:\Abteilungsprojekte\Eng\EngData\PROJECT_Bioplastics\Renjie_Pan\05-Raw_Data\Lab_results\[LabSamples2025_Bioplastic_extra.xlsx]extra_Bioplastic'!F62)</f>
        <v/>
      </c>
      <c r="G62">
        <f>IF(ISBLANK('Q:\Abteilungsprojekte\Eng\EngData\PROJECT_Bioplastics\Renjie_Pan\05-Raw_Data\Lab_results\[LabSamples2025_Bioplastic_extra.xlsx]extra_Bioplastic'!G62)," ",'Q:\Abteilungsprojekte\Eng\EngData\PROJECT_Bioplastics\Renjie_Pan\05-Raw_Data\Lab_results\[LabSamples2025_Bioplastic_extra.xlsx]extra_Bioplastic'!G62)</f>
        <v/>
      </c>
      <c r="H62">
        <f>IF(ISBLANK('Q:\Abteilungsprojekte\Eng\EngData\PROJECT_Bioplastics\Renjie_Pan\05-Raw_Data\Lab_results\[LabSamples2025_Bioplastic_extra.xlsx]extra_Bioplastic'!H62)," ",'Q:\Abteilungsprojekte\Eng\EngData\PROJECT_Bioplastics\Renjie_Pan\05-Raw_Data\Lab_results\[LabSamples2025_Bioplastic_extra.xlsx]extra_Bioplastic'!H62)</f>
        <v/>
      </c>
    </row>
    <row r="63">
      <c r="A63">
        <f>IF(ISBLANK('Q:\Abteilungsprojekte\Eng\EngData\PROJECT_Bioplastics\Renjie_Pan\05-Raw_Data\Lab_results\[LabSamples2025_Bioplastic_extra.xlsx]extra_Bioplastic'!A63)," ",'Q:\Abteilungsprojekte\Eng\EngData\PROJECT_Bioplastics\Renjie_Pan\05-Raw_Data\Lab_results\[LabSamples2025_Bioplastic_extra.xlsx]extra_Bioplastic'!A63)</f>
        <v/>
      </c>
      <c r="B63">
        <f>IF(ISBLANK('Q:\Abteilungsprojekte\Eng\EngData\PROJECT_Bioplastics\Renjie_Pan\05-Raw_Data\Lab_results\[LabSamples2025_Bioplastic_extra.xlsx]extra_Bioplastic'!B63)," ",'Q:\Abteilungsprojekte\Eng\EngData\PROJECT_Bioplastics\Renjie_Pan\05-Raw_Data\Lab_results\[LabSamples2025_Bioplastic_extra.xlsx]extra_Bioplastic'!B63)</f>
        <v/>
      </c>
      <c r="C63">
        <f>IF(ISBLANK('Q:\Abteilungsprojekte\Eng\EngData\PROJECT_Bioplastics\Renjie_Pan\05-Raw_Data\Lab_results\[LabSamples2025_Bioplastic_extra.xlsx]extra_Bioplastic'!C63)," ",'Q:\Abteilungsprojekte\Eng\EngData\PROJECT_Bioplastics\Renjie_Pan\05-Raw_Data\Lab_results\[LabSamples2025_Bioplastic_extra.xlsx]extra_Bioplastic'!C63)</f>
        <v/>
      </c>
      <c r="D63">
        <f>IF(ISBLANK('Q:\Abteilungsprojekte\Eng\EngData\PROJECT_Bioplastics\Renjie_Pan\05-Raw_Data\Lab_results\[LabSamples2025_Bioplastic_extra.xlsx]extra_Bioplastic'!D63)," ",'Q:\Abteilungsprojekte\Eng\EngData\PROJECT_Bioplastics\Renjie_Pan\05-Raw_Data\Lab_results\[LabSamples2025_Bioplastic_extra.xlsx]extra_Bioplastic'!D63)</f>
        <v/>
      </c>
      <c r="E63">
        <f>IF(ISBLANK('Q:\Abteilungsprojekte\Eng\EngData\PROJECT_Bioplastics\Renjie_Pan\05-Raw_Data\Lab_results\[LabSamples2025_Bioplastic_extra.xlsx]extra_Bioplastic'!E63)," ",'Q:\Abteilungsprojekte\Eng\EngData\PROJECT_Bioplastics\Renjie_Pan\05-Raw_Data\Lab_results\[LabSamples2025_Bioplastic_extra.xlsx]extra_Bioplastic'!E63)</f>
        <v/>
      </c>
      <c r="F63">
        <f>IF(ISBLANK('Q:\Abteilungsprojekte\Eng\EngData\PROJECT_Bioplastics\Renjie_Pan\05-Raw_Data\Lab_results\[LabSamples2025_Bioplastic_extra.xlsx]extra_Bioplastic'!F63)," ",'Q:\Abteilungsprojekte\Eng\EngData\PROJECT_Bioplastics\Renjie_Pan\05-Raw_Data\Lab_results\[LabSamples2025_Bioplastic_extra.xlsx]extra_Bioplastic'!F63)</f>
        <v/>
      </c>
      <c r="G63">
        <f>IF(ISBLANK('Q:\Abteilungsprojekte\Eng\EngData\PROJECT_Bioplastics\Renjie_Pan\05-Raw_Data\Lab_results\[LabSamples2025_Bioplastic_extra.xlsx]extra_Bioplastic'!G63)," ",'Q:\Abteilungsprojekte\Eng\EngData\PROJECT_Bioplastics\Renjie_Pan\05-Raw_Data\Lab_results\[LabSamples2025_Bioplastic_extra.xlsx]extra_Bioplastic'!G63)</f>
        <v/>
      </c>
      <c r="H63">
        <f>IF(ISBLANK('Q:\Abteilungsprojekte\Eng\EngData\PROJECT_Bioplastics\Renjie_Pan\05-Raw_Data\Lab_results\[LabSamples2025_Bioplastic_extra.xlsx]extra_Bioplastic'!H63)," ",'Q:\Abteilungsprojekte\Eng\EngData\PROJECT_Bioplastics\Renjie_Pan\05-Raw_Data\Lab_results\[LabSamples2025_Bioplastic_extra.xlsx]extra_Bioplastic'!H63)</f>
        <v/>
      </c>
    </row>
    <row r="64">
      <c r="A64">
        <f>IF(ISBLANK('Q:\Abteilungsprojekte\Eng\EngData\PROJECT_Bioplastics\Renjie_Pan\05-Raw_Data\Lab_results\[LabSamples2025_Bioplastic_extra.xlsx]extra_Bioplastic'!A64)," ",'Q:\Abteilungsprojekte\Eng\EngData\PROJECT_Bioplastics\Renjie_Pan\05-Raw_Data\Lab_results\[LabSamples2025_Bioplastic_extra.xlsx]extra_Bioplastic'!A64)</f>
        <v/>
      </c>
      <c r="B64">
        <f>IF(ISBLANK('Q:\Abteilungsprojekte\Eng\EngData\PROJECT_Bioplastics\Renjie_Pan\05-Raw_Data\Lab_results\[LabSamples2025_Bioplastic_extra.xlsx]extra_Bioplastic'!B64)," ",'Q:\Abteilungsprojekte\Eng\EngData\PROJECT_Bioplastics\Renjie_Pan\05-Raw_Data\Lab_results\[LabSamples2025_Bioplastic_extra.xlsx]extra_Bioplastic'!B64)</f>
        <v/>
      </c>
      <c r="C64">
        <f>IF(ISBLANK('Q:\Abteilungsprojekte\Eng\EngData\PROJECT_Bioplastics\Renjie_Pan\05-Raw_Data\Lab_results\[LabSamples2025_Bioplastic_extra.xlsx]extra_Bioplastic'!C64)," ",'Q:\Abteilungsprojekte\Eng\EngData\PROJECT_Bioplastics\Renjie_Pan\05-Raw_Data\Lab_results\[LabSamples2025_Bioplastic_extra.xlsx]extra_Bioplastic'!C64)</f>
        <v/>
      </c>
      <c r="D64">
        <f>IF(ISBLANK('Q:\Abteilungsprojekte\Eng\EngData\PROJECT_Bioplastics\Renjie_Pan\05-Raw_Data\Lab_results\[LabSamples2025_Bioplastic_extra.xlsx]extra_Bioplastic'!D64)," ",'Q:\Abteilungsprojekte\Eng\EngData\PROJECT_Bioplastics\Renjie_Pan\05-Raw_Data\Lab_results\[LabSamples2025_Bioplastic_extra.xlsx]extra_Bioplastic'!D64)</f>
        <v/>
      </c>
      <c r="E64">
        <f>IF(ISBLANK('Q:\Abteilungsprojekte\Eng\EngData\PROJECT_Bioplastics\Renjie_Pan\05-Raw_Data\Lab_results\[LabSamples2025_Bioplastic_extra.xlsx]extra_Bioplastic'!E64)," ",'Q:\Abteilungsprojekte\Eng\EngData\PROJECT_Bioplastics\Renjie_Pan\05-Raw_Data\Lab_results\[LabSamples2025_Bioplastic_extra.xlsx]extra_Bioplastic'!E64)</f>
        <v/>
      </c>
      <c r="F64">
        <f>IF(ISBLANK('Q:\Abteilungsprojekte\Eng\EngData\PROJECT_Bioplastics\Renjie_Pan\05-Raw_Data\Lab_results\[LabSamples2025_Bioplastic_extra.xlsx]extra_Bioplastic'!F64)," ",'Q:\Abteilungsprojekte\Eng\EngData\PROJECT_Bioplastics\Renjie_Pan\05-Raw_Data\Lab_results\[LabSamples2025_Bioplastic_extra.xlsx]extra_Bioplastic'!F64)</f>
        <v/>
      </c>
      <c r="G64">
        <f>IF(ISBLANK('Q:\Abteilungsprojekte\Eng\EngData\PROJECT_Bioplastics\Renjie_Pan\05-Raw_Data\Lab_results\[LabSamples2025_Bioplastic_extra.xlsx]extra_Bioplastic'!G64)," ",'Q:\Abteilungsprojekte\Eng\EngData\PROJECT_Bioplastics\Renjie_Pan\05-Raw_Data\Lab_results\[LabSamples2025_Bioplastic_extra.xlsx]extra_Bioplastic'!G64)</f>
        <v/>
      </c>
      <c r="H64">
        <f>IF(ISBLANK('Q:\Abteilungsprojekte\Eng\EngData\PROJECT_Bioplastics\Renjie_Pan\05-Raw_Data\Lab_results\[LabSamples2025_Bioplastic_extra.xlsx]extra_Bioplastic'!H64)," ",'Q:\Abteilungsprojekte\Eng\EngData\PROJECT_Bioplastics\Renjie_Pan\05-Raw_Data\Lab_results\[LabSamples2025_Bioplastic_extra.xlsx]extra_Bioplastic'!H64)</f>
        <v/>
      </c>
    </row>
    <row r="65">
      <c r="A65">
        <f>IF(ISBLANK('Q:\Abteilungsprojekte\Eng\EngData\PROJECT_Bioplastics\Renjie_Pan\05-Raw_Data\Lab_results\[LabSamples2025_Bioplastic_extra.xlsx]extra_Bioplastic'!A65)," ",'Q:\Abteilungsprojekte\Eng\EngData\PROJECT_Bioplastics\Renjie_Pan\05-Raw_Data\Lab_results\[LabSamples2025_Bioplastic_extra.xlsx]extra_Bioplastic'!A65)</f>
        <v/>
      </c>
      <c r="B65">
        <f>IF(ISBLANK('Q:\Abteilungsprojekte\Eng\EngData\PROJECT_Bioplastics\Renjie_Pan\05-Raw_Data\Lab_results\[LabSamples2025_Bioplastic_extra.xlsx]extra_Bioplastic'!B65)," ",'Q:\Abteilungsprojekte\Eng\EngData\PROJECT_Bioplastics\Renjie_Pan\05-Raw_Data\Lab_results\[LabSamples2025_Bioplastic_extra.xlsx]extra_Bioplastic'!B65)</f>
        <v/>
      </c>
      <c r="C65">
        <f>IF(ISBLANK('Q:\Abteilungsprojekte\Eng\EngData\PROJECT_Bioplastics\Renjie_Pan\05-Raw_Data\Lab_results\[LabSamples2025_Bioplastic_extra.xlsx]extra_Bioplastic'!C65)," ",'Q:\Abteilungsprojekte\Eng\EngData\PROJECT_Bioplastics\Renjie_Pan\05-Raw_Data\Lab_results\[LabSamples2025_Bioplastic_extra.xlsx]extra_Bioplastic'!C65)</f>
        <v/>
      </c>
      <c r="D65">
        <f>IF(ISBLANK('Q:\Abteilungsprojekte\Eng\EngData\PROJECT_Bioplastics\Renjie_Pan\05-Raw_Data\Lab_results\[LabSamples2025_Bioplastic_extra.xlsx]extra_Bioplastic'!D65)," ",'Q:\Abteilungsprojekte\Eng\EngData\PROJECT_Bioplastics\Renjie_Pan\05-Raw_Data\Lab_results\[LabSamples2025_Bioplastic_extra.xlsx]extra_Bioplastic'!D65)</f>
        <v/>
      </c>
      <c r="E65">
        <f>IF(ISBLANK('Q:\Abteilungsprojekte\Eng\EngData\PROJECT_Bioplastics\Renjie_Pan\05-Raw_Data\Lab_results\[LabSamples2025_Bioplastic_extra.xlsx]extra_Bioplastic'!E65)," ",'Q:\Abteilungsprojekte\Eng\EngData\PROJECT_Bioplastics\Renjie_Pan\05-Raw_Data\Lab_results\[LabSamples2025_Bioplastic_extra.xlsx]extra_Bioplastic'!E65)</f>
        <v/>
      </c>
      <c r="F65">
        <f>IF(ISBLANK('Q:\Abteilungsprojekte\Eng\EngData\PROJECT_Bioplastics\Renjie_Pan\05-Raw_Data\Lab_results\[LabSamples2025_Bioplastic_extra.xlsx]extra_Bioplastic'!F65)," ",'Q:\Abteilungsprojekte\Eng\EngData\PROJECT_Bioplastics\Renjie_Pan\05-Raw_Data\Lab_results\[LabSamples2025_Bioplastic_extra.xlsx]extra_Bioplastic'!F65)</f>
        <v/>
      </c>
      <c r="G65">
        <f>IF(ISBLANK('Q:\Abteilungsprojekte\Eng\EngData\PROJECT_Bioplastics\Renjie_Pan\05-Raw_Data\Lab_results\[LabSamples2025_Bioplastic_extra.xlsx]extra_Bioplastic'!G65)," ",'Q:\Abteilungsprojekte\Eng\EngData\PROJECT_Bioplastics\Renjie_Pan\05-Raw_Data\Lab_results\[LabSamples2025_Bioplastic_extra.xlsx]extra_Bioplastic'!G65)</f>
        <v/>
      </c>
      <c r="H65">
        <f>IF(ISBLANK('Q:\Abteilungsprojekte\Eng\EngData\PROJECT_Bioplastics\Renjie_Pan\05-Raw_Data\Lab_results\[LabSamples2025_Bioplastic_extra.xlsx]extra_Bioplastic'!H65)," ",'Q:\Abteilungsprojekte\Eng\EngData\PROJECT_Bioplastics\Renjie_Pan\05-Raw_Data\Lab_results\[LabSamples2025_Bioplastic_extra.xlsx]extra_Bioplastic'!H65)</f>
        <v/>
      </c>
    </row>
    <row r="66">
      <c r="A66">
        <f>IF(ISBLANK('Q:\Abteilungsprojekte\Eng\EngData\PROJECT_Bioplastics\Renjie_Pan\05-Raw_Data\Lab_results\[LabSamples2025_Bioplastic_extra.xlsx]extra_Bioplastic'!A66)," ",'Q:\Abteilungsprojekte\Eng\EngData\PROJECT_Bioplastics\Renjie_Pan\05-Raw_Data\Lab_results\[LabSamples2025_Bioplastic_extra.xlsx]extra_Bioplastic'!A66)</f>
        <v/>
      </c>
      <c r="B66">
        <f>IF(ISBLANK('Q:\Abteilungsprojekte\Eng\EngData\PROJECT_Bioplastics\Renjie_Pan\05-Raw_Data\Lab_results\[LabSamples2025_Bioplastic_extra.xlsx]extra_Bioplastic'!B66)," ",'Q:\Abteilungsprojekte\Eng\EngData\PROJECT_Bioplastics\Renjie_Pan\05-Raw_Data\Lab_results\[LabSamples2025_Bioplastic_extra.xlsx]extra_Bioplastic'!B66)</f>
        <v/>
      </c>
      <c r="C66">
        <f>IF(ISBLANK('Q:\Abteilungsprojekte\Eng\EngData\PROJECT_Bioplastics\Renjie_Pan\05-Raw_Data\Lab_results\[LabSamples2025_Bioplastic_extra.xlsx]extra_Bioplastic'!C66)," ",'Q:\Abteilungsprojekte\Eng\EngData\PROJECT_Bioplastics\Renjie_Pan\05-Raw_Data\Lab_results\[LabSamples2025_Bioplastic_extra.xlsx]extra_Bioplastic'!C66)</f>
        <v/>
      </c>
      <c r="D66">
        <f>IF(ISBLANK('Q:\Abteilungsprojekte\Eng\EngData\PROJECT_Bioplastics\Renjie_Pan\05-Raw_Data\Lab_results\[LabSamples2025_Bioplastic_extra.xlsx]extra_Bioplastic'!D66)," ",'Q:\Abteilungsprojekte\Eng\EngData\PROJECT_Bioplastics\Renjie_Pan\05-Raw_Data\Lab_results\[LabSamples2025_Bioplastic_extra.xlsx]extra_Bioplastic'!D66)</f>
        <v/>
      </c>
      <c r="E66">
        <f>IF(ISBLANK('Q:\Abteilungsprojekte\Eng\EngData\PROJECT_Bioplastics\Renjie_Pan\05-Raw_Data\Lab_results\[LabSamples2025_Bioplastic_extra.xlsx]extra_Bioplastic'!E66)," ",'Q:\Abteilungsprojekte\Eng\EngData\PROJECT_Bioplastics\Renjie_Pan\05-Raw_Data\Lab_results\[LabSamples2025_Bioplastic_extra.xlsx]extra_Bioplastic'!E66)</f>
        <v/>
      </c>
      <c r="F66">
        <f>IF(ISBLANK('Q:\Abteilungsprojekte\Eng\EngData\PROJECT_Bioplastics\Renjie_Pan\05-Raw_Data\Lab_results\[LabSamples2025_Bioplastic_extra.xlsx]extra_Bioplastic'!F66)," ",'Q:\Abteilungsprojekte\Eng\EngData\PROJECT_Bioplastics\Renjie_Pan\05-Raw_Data\Lab_results\[LabSamples2025_Bioplastic_extra.xlsx]extra_Bioplastic'!F66)</f>
        <v/>
      </c>
      <c r="G66">
        <f>IF(ISBLANK('Q:\Abteilungsprojekte\Eng\EngData\PROJECT_Bioplastics\Renjie_Pan\05-Raw_Data\Lab_results\[LabSamples2025_Bioplastic_extra.xlsx]extra_Bioplastic'!G66)," ",'Q:\Abteilungsprojekte\Eng\EngData\PROJECT_Bioplastics\Renjie_Pan\05-Raw_Data\Lab_results\[LabSamples2025_Bioplastic_extra.xlsx]extra_Bioplastic'!G66)</f>
        <v/>
      </c>
      <c r="H66">
        <f>IF(ISBLANK('Q:\Abteilungsprojekte\Eng\EngData\PROJECT_Bioplastics\Renjie_Pan\05-Raw_Data\Lab_results\[LabSamples2025_Bioplastic_extra.xlsx]extra_Bioplastic'!H66)," ",'Q:\Abteilungsprojekte\Eng\EngData\PROJECT_Bioplastics\Renjie_Pan\05-Raw_Data\Lab_results\[LabSamples2025_Bioplastic_extra.xlsx]extra_Bioplastic'!H66)</f>
        <v/>
      </c>
    </row>
    <row r="67">
      <c r="A67">
        <f>IF(ISBLANK('Q:\Abteilungsprojekte\Eng\EngData\PROJECT_Bioplastics\Renjie_Pan\05-Raw_Data\Lab_results\[LabSamples2025_Bioplastic_extra.xlsx]extra_Bioplastic'!A67)," ",'Q:\Abteilungsprojekte\Eng\EngData\PROJECT_Bioplastics\Renjie_Pan\05-Raw_Data\Lab_results\[LabSamples2025_Bioplastic_extra.xlsx]extra_Bioplastic'!A67)</f>
        <v/>
      </c>
      <c r="B67">
        <f>IF(ISBLANK('Q:\Abteilungsprojekte\Eng\EngData\PROJECT_Bioplastics\Renjie_Pan\05-Raw_Data\Lab_results\[LabSamples2025_Bioplastic_extra.xlsx]extra_Bioplastic'!B67)," ",'Q:\Abteilungsprojekte\Eng\EngData\PROJECT_Bioplastics\Renjie_Pan\05-Raw_Data\Lab_results\[LabSamples2025_Bioplastic_extra.xlsx]extra_Bioplastic'!B67)</f>
        <v/>
      </c>
      <c r="C67">
        <f>IF(ISBLANK('Q:\Abteilungsprojekte\Eng\EngData\PROJECT_Bioplastics\Renjie_Pan\05-Raw_Data\Lab_results\[LabSamples2025_Bioplastic_extra.xlsx]extra_Bioplastic'!C67)," ",'Q:\Abteilungsprojekte\Eng\EngData\PROJECT_Bioplastics\Renjie_Pan\05-Raw_Data\Lab_results\[LabSamples2025_Bioplastic_extra.xlsx]extra_Bioplastic'!C67)</f>
        <v/>
      </c>
      <c r="D67">
        <f>IF(ISBLANK('Q:\Abteilungsprojekte\Eng\EngData\PROJECT_Bioplastics\Renjie_Pan\05-Raw_Data\Lab_results\[LabSamples2025_Bioplastic_extra.xlsx]extra_Bioplastic'!D67)," ",'Q:\Abteilungsprojekte\Eng\EngData\PROJECT_Bioplastics\Renjie_Pan\05-Raw_Data\Lab_results\[LabSamples2025_Bioplastic_extra.xlsx]extra_Bioplastic'!D67)</f>
        <v/>
      </c>
      <c r="E67">
        <f>IF(ISBLANK('Q:\Abteilungsprojekte\Eng\EngData\PROJECT_Bioplastics\Renjie_Pan\05-Raw_Data\Lab_results\[LabSamples2025_Bioplastic_extra.xlsx]extra_Bioplastic'!E67)," ",'Q:\Abteilungsprojekte\Eng\EngData\PROJECT_Bioplastics\Renjie_Pan\05-Raw_Data\Lab_results\[LabSamples2025_Bioplastic_extra.xlsx]extra_Bioplastic'!E67)</f>
        <v/>
      </c>
      <c r="F67">
        <f>IF(ISBLANK('Q:\Abteilungsprojekte\Eng\EngData\PROJECT_Bioplastics\Renjie_Pan\05-Raw_Data\Lab_results\[LabSamples2025_Bioplastic_extra.xlsx]extra_Bioplastic'!F67)," ",'Q:\Abteilungsprojekte\Eng\EngData\PROJECT_Bioplastics\Renjie_Pan\05-Raw_Data\Lab_results\[LabSamples2025_Bioplastic_extra.xlsx]extra_Bioplastic'!F67)</f>
        <v/>
      </c>
      <c r="G67">
        <f>IF(ISBLANK('Q:\Abteilungsprojekte\Eng\EngData\PROJECT_Bioplastics\Renjie_Pan\05-Raw_Data\Lab_results\[LabSamples2025_Bioplastic_extra.xlsx]extra_Bioplastic'!G67)," ",'Q:\Abteilungsprojekte\Eng\EngData\PROJECT_Bioplastics\Renjie_Pan\05-Raw_Data\Lab_results\[LabSamples2025_Bioplastic_extra.xlsx]extra_Bioplastic'!G67)</f>
        <v/>
      </c>
      <c r="H67">
        <f>IF(ISBLANK('Q:\Abteilungsprojekte\Eng\EngData\PROJECT_Bioplastics\Renjie_Pan\05-Raw_Data\Lab_results\[LabSamples2025_Bioplastic_extra.xlsx]extra_Bioplastic'!H67)," ",'Q:\Abteilungsprojekte\Eng\EngData\PROJECT_Bioplastics\Renjie_Pan\05-Raw_Data\Lab_results\[LabSamples2025_Bioplastic_extra.xlsx]extra_Bioplastic'!H67)</f>
        <v/>
      </c>
    </row>
    <row r="68">
      <c r="A68">
        <f>IF(ISBLANK('Q:\Abteilungsprojekte\Eng\EngData\PROJECT_Bioplastics\Renjie_Pan\05-Raw_Data\Lab_results\[LabSamples2025_Bioplastic_extra.xlsx]extra_Bioplastic'!A68)," ",'Q:\Abteilungsprojekte\Eng\EngData\PROJECT_Bioplastics\Renjie_Pan\05-Raw_Data\Lab_results\[LabSamples2025_Bioplastic_extra.xlsx]extra_Bioplastic'!A68)</f>
        <v/>
      </c>
      <c r="B68">
        <f>IF(ISBLANK('Q:\Abteilungsprojekte\Eng\EngData\PROJECT_Bioplastics\Renjie_Pan\05-Raw_Data\Lab_results\[LabSamples2025_Bioplastic_extra.xlsx]extra_Bioplastic'!B68)," ",'Q:\Abteilungsprojekte\Eng\EngData\PROJECT_Bioplastics\Renjie_Pan\05-Raw_Data\Lab_results\[LabSamples2025_Bioplastic_extra.xlsx]extra_Bioplastic'!B68)</f>
        <v/>
      </c>
      <c r="C68">
        <f>IF(ISBLANK('Q:\Abteilungsprojekte\Eng\EngData\PROJECT_Bioplastics\Renjie_Pan\05-Raw_Data\Lab_results\[LabSamples2025_Bioplastic_extra.xlsx]extra_Bioplastic'!C68)," ",'Q:\Abteilungsprojekte\Eng\EngData\PROJECT_Bioplastics\Renjie_Pan\05-Raw_Data\Lab_results\[LabSamples2025_Bioplastic_extra.xlsx]extra_Bioplastic'!C68)</f>
        <v/>
      </c>
      <c r="D68">
        <f>IF(ISBLANK('Q:\Abteilungsprojekte\Eng\EngData\PROJECT_Bioplastics\Renjie_Pan\05-Raw_Data\Lab_results\[LabSamples2025_Bioplastic_extra.xlsx]extra_Bioplastic'!D68)," ",'Q:\Abteilungsprojekte\Eng\EngData\PROJECT_Bioplastics\Renjie_Pan\05-Raw_Data\Lab_results\[LabSamples2025_Bioplastic_extra.xlsx]extra_Bioplastic'!D68)</f>
        <v/>
      </c>
      <c r="E68">
        <f>IF(ISBLANK('Q:\Abteilungsprojekte\Eng\EngData\PROJECT_Bioplastics\Renjie_Pan\05-Raw_Data\Lab_results\[LabSamples2025_Bioplastic_extra.xlsx]extra_Bioplastic'!E68)," ",'Q:\Abteilungsprojekte\Eng\EngData\PROJECT_Bioplastics\Renjie_Pan\05-Raw_Data\Lab_results\[LabSamples2025_Bioplastic_extra.xlsx]extra_Bioplastic'!E68)</f>
        <v/>
      </c>
      <c r="F68">
        <f>IF(ISBLANK('Q:\Abteilungsprojekte\Eng\EngData\PROJECT_Bioplastics\Renjie_Pan\05-Raw_Data\Lab_results\[LabSamples2025_Bioplastic_extra.xlsx]extra_Bioplastic'!F68)," ",'Q:\Abteilungsprojekte\Eng\EngData\PROJECT_Bioplastics\Renjie_Pan\05-Raw_Data\Lab_results\[LabSamples2025_Bioplastic_extra.xlsx]extra_Bioplastic'!F68)</f>
        <v/>
      </c>
      <c r="G68">
        <f>IF(ISBLANK('Q:\Abteilungsprojekte\Eng\EngData\PROJECT_Bioplastics\Renjie_Pan\05-Raw_Data\Lab_results\[LabSamples2025_Bioplastic_extra.xlsx]extra_Bioplastic'!G68)," ",'Q:\Abteilungsprojekte\Eng\EngData\PROJECT_Bioplastics\Renjie_Pan\05-Raw_Data\Lab_results\[LabSamples2025_Bioplastic_extra.xlsx]extra_Bioplastic'!G68)</f>
        <v/>
      </c>
      <c r="H68">
        <f>IF(ISBLANK('Q:\Abteilungsprojekte\Eng\EngData\PROJECT_Bioplastics\Renjie_Pan\05-Raw_Data\Lab_results\[LabSamples2025_Bioplastic_extra.xlsx]extra_Bioplastic'!H68)," ",'Q:\Abteilungsprojekte\Eng\EngData\PROJECT_Bioplastics\Renjie_Pan\05-Raw_Data\Lab_results\[LabSamples2025_Bioplastic_extra.xlsx]extra_Bioplastic'!H68)</f>
        <v/>
      </c>
    </row>
    <row r="69">
      <c r="A69">
        <f>IF(ISBLANK('Q:\Abteilungsprojekte\Eng\EngData\PROJECT_Bioplastics\Renjie_Pan\05-Raw_Data\Lab_results\[LabSamples2025_Bioplastic_extra.xlsx]extra_Bioplastic'!A69)," ",'Q:\Abteilungsprojekte\Eng\EngData\PROJECT_Bioplastics\Renjie_Pan\05-Raw_Data\Lab_results\[LabSamples2025_Bioplastic_extra.xlsx]extra_Bioplastic'!A69)</f>
        <v/>
      </c>
      <c r="B69">
        <f>IF(ISBLANK('Q:\Abteilungsprojekte\Eng\EngData\PROJECT_Bioplastics\Renjie_Pan\05-Raw_Data\Lab_results\[LabSamples2025_Bioplastic_extra.xlsx]extra_Bioplastic'!B69)," ",'Q:\Abteilungsprojekte\Eng\EngData\PROJECT_Bioplastics\Renjie_Pan\05-Raw_Data\Lab_results\[LabSamples2025_Bioplastic_extra.xlsx]extra_Bioplastic'!B69)</f>
        <v/>
      </c>
      <c r="C69">
        <f>IF(ISBLANK('Q:\Abteilungsprojekte\Eng\EngData\PROJECT_Bioplastics\Renjie_Pan\05-Raw_Data\Lab_results\[LabSamples2025_Bioplastic_extra.xlsx]extra_Bioplastic'!C69)," ",'Q:\Abteilungsprojekte\Eng\EngData\PROJECT_Bioplastics\Renjie_Pan\05-Raw_Data\Lab_results\[LabSamples2025_Bioplastic_extra.xlsx]extra_Bioplastic'!C69)</f>
        <v/>
      </c>
      <c r="D69">
        <f>IF(ISBLANK('Q:\Abteilungsprojekte\Eng\EngData\PROJECT_Bioplastics\Renjie_Pan\05-Raw_Data\Lab_results\[LabSamples2025_Bioplastic_extra.xlsx]extra_Bioplastic'!D69)," ",'Q:\Abteilungsprojekte\Eng\EngData\PROJECT_Bioplastics\Renjie_Pan\05-Raw_Data\Lab_results\[LabSamples2025_Bioplastic_extra.xlsx]extra_Bioplastic'!D69)</f>
        <v/>
      </c>
      <c r="E69">
        <f>IF(ISBLANK('Q:\Abteilungsprojekte\Eng\EngData\PROJECT_Bioplastics\Renjie_Pan\05-Raw_Data\Lab_results\[LabSamples2025_Bioplastic_extra.xlsx]extra_Bioplastic'!E69)," ",'Q:\Abteilungsprojekte\Eng\EngData\PROJECT_Bioplastics\Renjie_Pan\05-Raw_Data\Lab_results\[LabSamples2025_Bioplastic_extra.xlsx]extra_Bioplastic'!E69)</f>
        <v/>
      </c>
      <c r="F69">
        <f>IF(ISBLANK('Q:\Abteilungsprojekte\Eng\EngData\PROJECT_Bioplastics\Renjie_Pan\05-Raw_Data\Lab_results\[LabSamples2025_Bioplastic_extra.xlsx]extra_Bioplastic'!F69)," ",'Q:\Abteilungsprojekte\Eng\EngData\PROJECT_Bioplastics\Renjie_Pan\05-Raw_Data\Lab_results\[LabSamples2025_Bioplastic_extra.xlsx]extra_Bioplastic'!F69)</f>
        <v/>
      </c>
      <c r="G69">
        <f>IF(ISBLANK('Q:\Abteilungsprojekte\Eng\EngData\PROJECT_Bioplastics\Renjie_Pan\05-Raw_Data\Lab_results\[LabSamples2025_Bioplastic_extra.xlsx]extra_Bioplastic'!G69)," ",'Q:\Abteilungsprojekte\Eng\EngData\PROJECT_Bioplastics\Renjie_Pan\05-Raw_Data\Lab_results\[LabSamples2025_Bioplastic_extra.xlsx]extra_Bioplastic'!G69)</f>
        <v/>
      </c>
      <c r="H69">
        <f>IF(ISBLANK('Q:\Abteilungsprojekte\Eng\EngData\PROJECT_Bioplastics\Renjie_Pan\05-Raw_Data\Lab_results\[LabSamples2025_Bioplastic_extra.xlsx]extra_Bioplastic'!H69)," ",'Q:\Abteilungsprojekte\Eng\EngData\PROJECT_Bioplastics\Renjie_Pan\05-Raw_Data\Lab_results\[LabSamples2025_Bioplastic_extra.xlsx]extra_Bioplastic'!H69)</f>
        <v/>
      </c>
    </row>
    <row r="70">
      <c r="A70">
        <f>IF(ISBLANK('Q:\Abteilungsprojekte\Eng\EngData\PROJECT_Bioplastics\Renjie_Pan\05-Raw_Data\Lab_results\[LabSamples2025_Bioplastic_extra.xlsx]extra_Bioplastic'!A70)," ",'Q:\Abteilungsprojekte\Eng\EngData\PROJECT_Bioplastics\Renjie_Pan\05-Raw_Data\Lab_results\[LabSamples2025_Bioplastic_extra.xlsx]extra_Bioplastic'!A70)</f>
        <v/>
      </c>
      <c r="B70">
        <f>IF(ISBLANK('Q:\Abteilungsprojekte\Eng\EngData\PROJECT_Bioplastics\Renjie_Pan\05-Raw_Data\Lab_results\[LabSamples2025_Bioplastic_extra.xlsx]extra_Bioplastic'!B70)," ",'Q:\Abteilungsprojekte\Eng\EngData\PROJECT_Bioplastics\Renjie_Pan\05-Raw_Data\Lab_results\[LabSamples2025_Bioplastic_extra.xlsx]extra_Bioplastic'!B70)</f>
        <v/>
      </c>
      <c r="C70">
        <f>IF(ISBLANK('Q:\Abteilungsprojekte\Eng\EngData\PROJECT_Bioplastics\Renjie_Pan\05-Raw_Data\Lab_results\[LabSamples2025_Bioplastic_extra.xlsx]extra_Bioplastic'!C70)," ",'Q:\Abteilungsprojekte\Eng\EngData\PROJECT_Bioplastics\Renjie_Pan\05-Raw_Data\Lab_results\[LabSamples2025_Bioplastic_extra.xlsx]extra_Bioplastic'!C70)</f>
        <v/>
      </c>
      <c r="D70">
        <f>IF(ISBLANK('Q:\Abteilungsprojekte\Eng\EngData\PROJECT_Bioplastics\Renjie_Pan\05-Raw_Data\Lab_results\[LabSamples2025_Bioplastic_extra.xlsx]extra_Bioplastic'!D70)," ",'Q:\Abteilungsprojekte\Eng\EngData\PROJECT_Bioplastics\Renjie_Pan\05-Raw_Data\Lab_results\[LabSamples2025_Bioplastic_extra.xlsx]extra_Bioplastic'!D70)</f>
        <v/>
      </c>
      <c r="E70">
        <f>IF(ISBLANK('Q:\Abteilungsprojekte\Eng\EngData\PROJECT_Bioplastics\Renjie_Pan\05-Raw_Data\Lab_results\[LabSamples2025_Bioplastic_extra.xlsx]extra_Bioplastic'!E70)," ",'Q:\Abteilungsprojekte\Eng\EngData\PROJECT_Bioplastics\Renjie_Pan\05-Raw_Data\Lab_results\[LabSamples2025_Bioplastic_extra.xlsx]extra_Bioplastic'!E70)</f>
        <v/>
      </c>
      <c r="F70">
        <f>IF(ISBLANK('Q:\Abteilungsprojekte\Eng\EngData\PROJECT_Bioplastics\Renjie_Pan\05-Raw_Data\Lab_results\[LabSamples2025_Bioplastic_extra.xlsx]extra_Bioplastic'!F70)," ",'Q:\Abteilungsprojekte\Eng\EngData\PROJECT_Bioplastics\Renjie_Pan\05-Raw_Data\Lab_results\[LabSamples2025_Bioplastic_extra.xlsx]extra_Bioplastic'!F70)</f>
        <v/>
      </c>
      <c r="G70">
        <f>IF(ISBLANK('Q:\Abteilungsprojekte\Eng\EngData\PROJECT_Bioplastics\Renjie_Pan\05-Raw_Data\Lab_results\[LabSamples2025_Bioplastic_extra.xlsx]extra_Bioplastic'!G70)," ",'Q:\Abteilungsprojekte\Eng\EngData\PROJECT_Bioplastics\Renjie_Pan\05-Raw_Data\Lab_results\[LabSamples2025_Bioplastic_extra.xlsx]extra_Bioplastic'!G70)</f>
        <v/>
      </c>
      <c r="H70">
        <f>IF(ISBLANK('Q:\Abteilungsprojekte\Eng\EngData\PROJECT_Bioplastics\Renjie_Pan\05-Raw_Data\Lab_results\[LabSamples2025_Bioplastic_extra.xlsx]extra_Bioplastic'!H70)," ",'Q:\Abteilungsprojekte\Eng\EngData\PROJECT_Bioplastics\Renjie_Pan\05-Raw_Data\Lab_results\[LabSamples2025_Bioplastic_extra.xlsx]extra_Bioplastic'!H70)</f>
        <v/>
      </c>
    </row>
    <row r="71">
      <c r="A71">
        <f>IF(ISBLANK('Q:\Abteilungsprojekte\Eng\EngData\PROJECT_Bioplastics\Renjie_Pan\05-Raw_Data\Lab_results\[LabSamples2025_Bioplastic_extra.xlsx]extra_Bioplastic'!A71)," ",'Q:\Abteilungsprojekte\Eng\EngData\PROJECT_Bioplastics\Renjie_Pan\05-Raw_Data\Lab_results\[LabSamples2025_Bioplastic_extra.xlsx]extra_Bioplastic'!A71)</f>
        <v/>
      </c>
      <c r="B71">
        <f>IF(ISBLANK('Q:\Abteilungsprojekte\Eng\EngData\PROJECT_Bioplastics\Renjie_Pan\05-Raw_Data\Lab_results\[LabSamples2025_Bioplastic_extra.xlsx]extra_Bioplastic'!B71)," ",'Q:\Abteilungsprojekte\Eng\EngData\PROJECT_Bioplastics\Renjie_Pan\05-Raw_Data\Lab_results\[LabSamples2025_Bioplastic_extra.xlsx]extra_Bioplastic'!B71)</f>
        <v/>
      </c>
      <c r="C71">
        <f>IF(ISBLANK('Q:\Abteilungsprojekte\Eng\EngData\PROJECT_Bioplastics\Renjie_Pan\05-Raw_Data\Lab_results\[LabSamples2025_Bioplastic_extra.xlsx]extra_Bioplastic'!C71)," ",'Q:\Abteilungsprojekte\Eng\EngData\PROJECT_Bioplastics\Renjie_Pan\05-Raw_Data\Lab_results\[LabSamples2025_Bioplastic_extra.xlsx]extra_Bioplastic'!C71)</f>
        <v/>
      </c>
      <c r="D71">
        <f>IF(ISBLANK('Q:\Abteilungsprojekte\Eng\EngData\PROJECT_Bioplastics\Renjie_Pan\05-Raw_Data\Lab_results\[LabSamples2025_Bioplastic_extra.xlsx]extra_Bioplastic'!D71)," ",'Q:\Abteilungsprojekte\Eng\EngData\PROJECT_Bioplastics\Renjie_Pan\05-Raw_Data\Lab_results\[LabSamples2025_Bioplastic_extra.xlsx]extra_Bioplastic'!D71)</f>
        <v/>
      </c>
      <c r="E71">
        <f>IF(ISBLANK('Q:\Abteilungsprojekte\Eng\EngData\PROJECT_Bioplastics\Renjie_Pan\05-Raw_Data\Lab_results\[LabSamples2025_Bioplastic_extra.xlsx]extra_Bioplastic'!E71)," ",'Q:\Abteilungsprojekte\Eng\EngData\PROJECT_Bioplastics\Renjie_Pan\05-Raw_Data\Lab_results\[LabSamples2025_Bioplastic_extra.xlsx]extra_Bioplastic'!E71)</f>
        <v/>
      </c>
      <c r="F71">
        <f>IF(ISBLANK('Q:\Abteilungsprojekte\Eng\EngData\PROJECT_Bioplastics\Renjie_Pan\05-Raw_Data\Lab_results\[LabSamples2025_Bioplastic_extra.xlsx]extra_Bioplastic'!F71)," ",'Q:\Abteilungsprojekte\Eng\EngData\PROJECT_Bioplastics\Renjie_Pan\05-Raw_Data\Lab_results\[LabSamples2025_Bioplastic_extra.xlsx]extra_Bioplastic'!F71)</f>
        <v/>
      </c>
      <c r="G71">
        <f>IF(ISBLANK('Q:\Abteilungsprojekte\Eng\EngData\PROJECT_Bioplastics\Renjie_Pan\05-Raw_Data\Lab_results\[LabSamples2025_Bioplastic_extra.xlsx]extra_Bioplastic'!G71)," ",'Q:\Abteilungsprojekte\Eng\EngData\PROJECT_Bioplastics\Renjie_Pan\05-Raw_Data\Lab_results\[LabSamples2025_Bioplastic_extra.xlsx]extra_Bioplastic'!G71)</f>
        <v/>
      </c>
      <c r="H71">
        <f>IF(ISBLANK('Q:\Abteilungsprojekte\Eng\EngData\PROJECT_Bioplastics\Renjie_Pan\05-Raw_Data\Lab_results\[LabSamples2025_Bioplastic_extra.xlsx]extra_Bioplastic'!H71)," ",'Q:\Abteilungsprojekte\Eng\EngData\PROJECT_Bioplastics\Renjie_Pan\05-Raw_Data\Lab_results\[LabSamples2025_Bioplastic_extra.xlsx]extra_Bioplastic'!H71)</f>
        <v/>
      </c>
    </row>
    <row r="72">
      <c r="A72">
        <f>IF(ISBLANK('Q:\Abteilungsprojekte\Eng\EngData\PROJECT_Bioplastics\Renjie_Pan\05-Raw_Data\Lab_results\[LabSamples2025_Bioplastic_extra.xlsx]extra_Bioplastic'!A72)," ",'Q:\Abteilungsprojekte\Eng\EngData\PROJECT_Bioplastics\Renjie_Pan\05-Raw_Data\Lab_results\[LabSamples2025_Bioplastic_extra.xlsx]extra_Bioplastic'!A72)</f>
        <v/>
      </c>
      <c r="B72">
        <f>IF(ISBLANK('Q:\Abteilungsprojekte\Eng\EngData\PROJECT_Bioplastics\Renjie_Pan\05-Raw_Data\Lab_results\[LabSamples2025_Bioplastic_extra.xlsx]extra_Bioplastic'!B72)," ",'Q:\Abteilungsprojekte\Eng\EngData\PROJECT_Bioplastics\Renjie_Pan\05-Raw_Data\Lab_results\[LabSamples2025_Bioplastic_extra.xlsx]extra_Bioplastic'!B72)</f>
        <v/>
      </c>
      <c r="C72">
        <f>IF(ISBLANK('Q:\Abteilungsprojekte\Eng\EngData\PROJECT_Bioplastics\Renjie_Pan\05-Raw_Data\Lab_results\[LabSamples2025_Bioplastic_extra.xlsx]extra_Bioplastic'!C72)," ",'Q:\Abteilungsprojekte\Eng\EngData\PROJECT_Bioplastics\Renjie_Pan\05-Raw_Data\Lab_results\[LabSamples2025_Bioplastic_extra.xlsx]extra_Bioplastic'!C72)</f>
        <v/>
      </c>
      <c r="D72">
        <f>IF(ISBLANK('Q:\Abteilungsprojekte\Eng\EngData\PROJECT_Bioplastics\Renjie_Pan\05-Raw_Data\Lab_results\[LabSamples2025_Bioplastic_extra.xlsx]extra_Bioplastic'!D72)," ",'Q:\Abteilungsprojekte\Eng\EngData\PROJECT_Bioplastics\Renjie_Pan\05-Raw_Data\Lab_results\[LabSamples2025_Bioplastic_extra.xlsx]extra_Bioplastic'!D72)</f>
        <v/>
      </c>
      <c r="E72">
        <f>IF(ISBLANK('Q:\Abteilungsprojekte\Eng\EngData\PROJECT_Bioplastics\Renjie_Pan\05-Raw_Data\Lab_results\[LabSamples2025_Bioplastic_extra.xlsx]extra_Bioplastic'!E72)," ",'Q:\Abteilungsprojekte\Eng\EngData\PROJECT_Bioplastics\Renjie_Pan\05-Raw_Data\Lab_results\[LabSamples2025_Bioplastic_extra.xlsx]extra_Bioplastic'!E72)</f>
        <v/>
      </c>
      <c r="F72">
        <f>IF(ISBLANK('Q:\Abteilungsprojekte\Eng\EngData\PROJECT_Bioplastics\Renjie_Pan\05-Raw_Data\Lab_results\[LabSamples2025_Bioplastic_extra.xlsx]extra_Bioplastic'!F72)," ",'Q:\Abteilungsprojekte\Eng\EngData\PROJECT_Bioplastics\Renjie_Pan\05-Raw_Data\Lab_results\[LabSamples2025_Bioplastic_extra.xlsx]extra_Bioplastic'!F72)</f>
        <v/>
      </c>
      <c r="G72">
        <f>IF(ISBLANK('Q:\Abteilungsprojekte\Eng\EngData\PROJECT_Bioplastics\Renjie_Pan\05-Raw_Data\Lab_results\[LabSamples2025_Bioplastic_extra.xlsx]extra_Bioplastic'!G72)," ",'Q:\Abteilungsprojekte\Eng\EngData\PROJECT_Bioplastics\Renjie_Pan\05-Raw_Data\Lab_results\[LabSamples2025_Bioplastic_extra.xlsx]extra_Bioplastic'!G72)</f>
        <v/>
      </c>
      <c r="H72">
        <f>IF(ISBLANK('Q:\Abteilungsprojekte\Eng\EngData\PROJECT_Bioplastics\Renjie_Pan\05-Raw_Data\Lab_results\[LabSamples2025_Bioplastic_extra.xlsx]extra_Bioplastic'!H72)," ",'Q:\Abteilungsprojekte\Eng\EngData\PROJECT_Bioplastics\Renjie_Pan\05-Raw_Data\Lab_results\[LabSamples2025_Bioplastic_extra.xlsx]extra_Bioplastic'!H72)</f>
        <v/>
      </c>
    </row>
    <row r="73">
      <c r="A73">
        <f>IF(ISBLANK('Q:\Abteilungsprojekte\Eng\EngData\PROJECT_Bioplastics\Renjie_Pan\05-Raw_Data\Lab_results\[LabSamples2025_Bioplastic_extra.xlsx]extra_Bioplastic'!A73)," ",'Q:\Abteilungsprojekte\Eng\EngData\PROJECT_Bioplastics\Renjie_Pan\05-Raw_Data\Lab_results\[LabSamples2025_Bioplastic_extra.xlsx]extra_Bioplastic'!A73)</f>
        <v/>
      </c>
      <c r="B73">
        <f>IF(ISBLANK('Q:\Abteilungsprojekte\Eng\EngData\PROJECT_Bioplastics\Renjie_Pan\05-Raw_Data\Lab_results\[LabSamples2025_Bioplastic_extra.xlsx]extra_Bioplastic'!B73)," ",'Q:\Abteilungsprojekte\Eng\EngData\PROJECT_Bioplastics\Renjie_Pan\05-Raw_Data\Lab_results\[LabSamples2025_Bioplastic_extra.xlsx]extra_Bioplastic'!B73)</f>
        <v/>
      </c>
      <c r="C73">
        <f>IF(ISBLANK('Q:\Abteilungsprojekte\Eng\EngData\PROJECT_Bioplastics\Renjie_Pan\05-Raw_Data\Lab_results\[LabSamples2025_Bioplastic_extra.xlsx]extra_Bioplastic'!C73)," ",'Q:\Abteilungsprojekte\Eng\EngData\PROJECT_Bioplastics\Renjie_Pan\05-Raw_Data\Lab_results\[LabSamples2025_Bioplastic_extra.xlsx]extra_Bioplastic'!C73)</f>
        <v/>
      </c>
      <c r="D73">
        <f>IF(ISBLANK('Q:\Abteilungsprojekte\Eng\EngData\PROJECT_Bioplastics\Renjie_Pan\05-Raw_Data\Lab_results\[LabSamples2025_Bioplastic_extra.xlsx]extra_Bioplastic'!D73)," ",'Q:\Abteilungsprojekte\Eng\EngData\PROJECT_Bioplastics\Renjie_Pan\05-Raw_Data\Lab_results\[LabSamples2025_Bioplastic_extra.xlsx]extra_Bioplastic'!D73)</f>
        <v/>
      </c>
      <c r="E73">
        <f>IF(ISBLANK('Q:\Abteilungsprojekte\Eng\EngData\PROJECT_Bioplastics\Renjie_Pan\05-Raw_Data\Lab_results\[LabSamples2025_Bioplastic_extra.xlsx]extra_Bioplastic'!E73)," ",'Q:\Abteilungsprojekte\Eng\EngData\PROJECT_Bioplastics\Renjie_Pan\05-Raw_Data\Lab_results\[LabSamples2025_Bioplastic_extra.xlsx]extra_Bioplastic'!E73)</f>
        <v/>
      </c>
      <c r="F73">
        <f>IF(ISBLANK('Q:\Abteilungsprojekte\Eng\EngData\PROJECT_Bioplastics\Renjie_Pan\05-Raw_Data\Lab_results\[LabSamples2025_Bioplastic_extra.xlsx]extra_Bioplastic'!F73)," ",'Q:\Abteilungsprojekte\Eng\EngData\PROJECT_Bioplastics\Renjie_Pan\05-Raw_Data\Lab_results\[LabSamples2025_Bioplastic_extra.xlsx]extra_Bioplastic'!F73)</f>
        <v/>
      </c>
      <c r="G73">
        <f>IF(ISBLANK('Q:\Abteilungsprojekte\Eng\EngData\PROJECT_Bioplastics\Renjie_Pan\05-Raw_Data\Lab_results\[LabSamples2025_Bioplastic_extra.xlsx]extra_Bioplastic'!G73)," ",'Q:\Abteilungsprojekte\Eng\EngData\PROJECT_Bioplastics\Renjie_Pan\05-Raw_Data\Lab_results\[LabSamples2025_Bioplastic_extra.xlsx]extra_Bioplastic'!G73)</f>
        <v/>
      </c>
      <c r="H73">
        <f>IF(ISBLANK('Q:\Abteilungsprojekte\Eng\EngData\PROJECT_Bioplastics\Renjie_Pan\05-Raw_Data\Lab_results\[LabSamples2025_Bioplastic_extra.xlsx]extra_Bioplastic'!H73)," ",'Q:\Abteilungsprojekte\Eng\EngData\PROJECT_Bioplastics\Renjie_Pan\05-Raw_Data\Lab_results\[LabSamples2025_Bioplastic_extra.xlsx]extra_Bioplastic'!H73)</f>
        <v/>
      </c>
    </row>
    <row r="74">
      <c r="A74">
        <f>IF(ISBLANK('Q:\Abteilungsprojekte\Eng\EngData\PROJECT_Bioplastics\Renjie_Pan\05-Raw_Data\Lab_results\[LabSamples2025_Bioplastic_extra.xlsx]extra_Bioplastic'!A74)," ",'Q:\Abteilungsprojekte\Eng\EngData\PROJECT_Bioplastics\Renjie_Pan\05-Raw_Data\Lab_results\[LabSamples2025_Bioplastic_extra.xlsx]extra_Bioplastic'!A74)</f>
        <v/>
      </c>
      <c r="B74">
        <f>IF(ISBLANK('Q:\Abteilungsprojekte\Eng\EngData\PROJECT_Bioplastics\Renjie_Pan\05-Raw_Data\Lab_results\[LabSamples2025_Bioplastic_extra.xlsx]extra_Bioplastic'!B74)," ",'Q:\Abteilungsprojekte\Eng\EngData\PROJECT_Bioplastics\Renjie_Pan\05-Raw_Data\Lab_results\[LabSamples2025_Bioplastic_extra.xlsx]extra_Bioplastic'!B74)</f>
        <v/>
      </c>
      <c r="C74">
        <f>IF(ISBLANK('Q:\Abteilungsprojekte\Eng\EngData\PROJECT_Bioplastics\Renjie_Pan\05-Raw_Data\Lab_results\[LabSamples2025_Bioplastic_extra.xlsx]extra_Bioplastic'!C74)," ",'Q:\Abteilungsprojekte\Eng\EngData\PROJECT_Bioplastics\Renjie_Pan\05-Raw_Data\Lab_results\[LabSamples2025_Bioplastic_extra.xlsx]extra_Bioplastic'!C74)</f>
        <v/>
      </c>
      <c r="D74">
        <f>IF(ISBLANK('Q:\Abteilungsprojekte\Eng\EngData\PROJECT_Bioplastics\Renjie_Pan\05-Raw_Data\Lab_results\[LabSamples2025_Bioplastic_extra.xlsx]extra_Bioplastic'!D74)," ",'Q:\Abteilungsprojekte\Eng\EngData\PROJECT_Bioplastics\Renjie_Pan\05-Raw_Data\Lab_results\[LabSamples2025_Bioplastic_extra.xlsx]extra_Bioplastic'!D74)</f>
        <v/>
      </c>
      <c r="E74">
        <f>IF(ISBLANK('Q:\Abteilungsprojekte\Eng\EngData\PROJECT_Bioplastics\Renjie_Pan\05-Raw_Data\Lab_results\[LabSamples2025_Bioplastic_extra.xlsx]extra_Bioplastic'!E74)," ",'Q:\Abteilungsprojekte\Eng\EngData\PROJECT_Bioplastics\Renjie_Pan\05-Raw_Data\Lab_results\[LabSamples2025_Bioplastic_extra.xlsx]extra_Bioplastic'!E74)</f>
        <v/>
      </c>
      <c r="F74">
        <f>IF(ISBLANK('Q:\Abteilungsprojekte\Eng\EngData\PROJECT_Bioplastics\Renjie_Pan\05-Raw_Data\Lab_results\[LabSamples2025_Bioplastic_extra.xlsx]extra_Bioplastic'!F74)," ",'Q:\Abteilungsprojekte\Eng\EngData\PROJECT_Bioplastics\Renjie_Pan\05-Raw_Data\Lab_results\[LabSamples2025_Bioplastic_extra.xlsx]extra_Bioplastic'!F74)</f>
        <v/>
      </c>
      <c r="G74">
        <f>IF(ISBLANK('Q:\Abteilungsprojekte\Eng\EngData\PROJECT_Bioplastics\Renjie_Pan\05-Raw_Data\Lab_results\[LabSamples2025_Bioplastic_extra.xlsx]extra_Bioplastic'!G74)," ",'Q:\Abteilungsprojekte\Eng\EngData\PROJECT_Bioplastics\Renjie_Pan\05-Raw_Data\Lab_results\[LabSamples2025_Bioplastic_extra.xlsx]extra_Bioplastic'!G74)</f>
        <v/>
      </c>
      <c r="H74">
        <f>IF(ISBLANK('Q:\Abteilungsprojekte\Eng\EngData\PROJECT_Bioplastics\Renjie_Pan\05-Raw_Data\Lab_results\[LabSamples2025_Bioplastic_extra.xlsx]extra_Bioplastic'!H74)," ",'Q:\Abteilungsprojekte\Eng\EngData\PROJECT_Bioplastics\Renjie_Pan\05-Raw_Data\Lab_results\[LabSamples2025_Bioplastic_extra.xlsx]extra_Bioplastic'!H74)</f>
        <v/>
      </c>
    </row>
    <row r="75">
      <c r="A75">
        <f>IF(ISBLANK('Q:\Abteilungsprojekte\Eng\EngData\PROJECT_Bioplastics\Renjie_Pan\05-Raw_Data\Lab_results\[LabSamples2025_Bioplastic_extra.xlsx]extra_Bioplastic'!A75)," ",'Q:\Abteilungsprojekte\Eng\EngData\PROJECT_Bioplastics\Renjie_Pan\05-Raw_Data\Lab_results\[LabSamples2025_Bioplastic_extra.xlsx]extra_Bioplastic'!A75)</f>
        <v/>
      </c>
      <c r="B75">
        <f>IF(ISBLANK('Q:\Abteilungsprojekte\Eng\EngData\PROJECT_Bioplastics\Renjie_Pan\05-Raw_Data\Lab_results\[LabSamples2025_Bioplastic_extra.xlsx]extra_Bioplastic'!B75)," ",'Q:\Abteilungsprojekte\Eng\EngData\PROJECT_Bioplastics\Renjie_Pan\05-Raw_Data\Lab_results\[LabSamples2025_Bioplastic_extra.xlsx]extra_Bioplastic'!B75)</f>
        <v/>
      </c>
      <c r="C75">
        <f>IF(ISBLANK('Q:\Abteilungsprojekte\Eng\EngData\PROJECT_Bioplastics\Renjie_Pan\05-Raw_Data\Lab_results\[LabSamples2025_Bioplastic_extra.xlsx]extra_Bioplastic'!C75)," ",'Q:\Abteilungsprojekte\Eng\EngData\PROJECT_Bioplastics\Renjie_Pan\05-Raw_Data\Lab_results\[LabSamples2025_Bioplastic_extra.xlsx]extra_Bioplastic'!C75)</f>
        <v/>
      </c>
      <c r="D75">
        <f>IF(ISBLANK('Q:\Abteilungsprojekte\Eng\EngData\PROJECT_Bioplastics\Renjie_Pan\05-Raw_Data\Lab_results\[LabSamples2025_Bioplastic_extra.xlsx]extra_Bioplastic'!D75)," ",'Q:\Abteilungsprojekte\Eng\EngData\PROJECT_Bioplastics\Renjie_Pan\05-Raw_Data\Lab_results\[LabSamples2025_Bioplastic_extra.xlsx]extra_Bioplastic'!D75)</f>
        <v/>
      </c>
      <c r="E75">
        <f>IF(ISBLANK('Q:\Abteilungsprojekte\Eng\EngData\PROJECT_Bioplastics\Renjie_Pan\05-Raw_Data\Lab_results\[LabSamples2025_Bioplastic_extra.xlsx]extra_Bioplastic'!E75)," ",'Q:\Abteilungsprojekte\Eng\EngData\PROJECT_Bioplastics\Renjie_Pan\05-Raw_Data\Lab_results\[LabSamples2025_Bioplastic_extra.xlsx]extra_Bioplastic'!E75)</f>
        <v/>
      </c>
      <c r="F75">
        <f>IF(ISBLANK('Q:\Abteilungsprojekte\Eng\EngData\PROJECT_Bioplastics\Renjie_Pan\05-Raw_Data\Lab_results\[LabSamples2025_Bioplastic_extra.xlsx]extra_Bioplastic'!F75)," ",'Q:\Abteilungsprojekte\Eng\EngData\PROJECT_Bioplastics\Renjie_Pan\05-Raw_Data\Lab_results\[LabSamples2025_Bioplastic_extra.xlsx]extra_Bioplastic'!F75)</f>
        <v/>
      </c>
      <c r="G75">
        <f>IF(ISBLANK('Q:\Abteilungsprojekte\Eng\EngData\PROJECT_Bioplastics\Renjie_Pan\05-Raw_Data\Lab_results\[LabSamples2025_Bioplastic_extra.xlsx]extra_Bioplastic'!G75)," ",'Q:\Abteilungsprojekte\Eng\EngData\PROJECT_Bioplastics\Renjie_Pan\05-Raw_Data\Lab_results\[LabSamples2025_Bioplastic_extra.xlsx]extra_Bioplastic'!G75)</f>
        <v/>
      </c>
      <c r="H75">
        <f>IF(ISBLANK('Q:\Abteilungsprojekte\Eng\EngData\PROJECT_Bioplastics\Renjie_Pan\05-Raw_Data\Lab_results\[LabSamples2025_Bioplastic_extra.xlsx]extra_Bioplastic'!H75)," ",'Q:\Abteilungsprojekte\Eng\EngData\PROJECT_Bioplastics\Renjie_Pan\05-Raw_Data\Lab_results\[LabSamples2025_Bioplastic_extra.xlsx]extra_Bioplastic'!H75)</f>
        <v/>
      </c>
    </row>
    <row r="76">
      <c r="A76">
        <f>IF(ISBLANK('Q:\Abteilungsprojekte\Eng\EngData\PROJECT_Bioplastics\Renjie_Pan\05-Raw_Data\Lab_results\[LabSamples2025_Bioplastic_extra.xlsx]extra_Bioplastic'!A76)," ",'Q:\Abteilungsprojekte\Eng\EngData\PROJECT_Bioplastics\Renjie_Pan\05-Raw_Data\Lab_results\[LabSamples2025_Bioplastic_extra.xlsx]extra_Bioplastic'!A76)</f>
        <v/>
      </c>
      <c r="B76">
        <f>IF(ISBLANK('Q:\Abteilungsprojekte\Eng\EngData\PROJECT_Bioplastics\Renjie_Pan\05-Raw_Data\Lab_results\[LabSamples2025_Bioplastic_extra.xlsx]extra_Bioplastic'!B76)," ",'Q:\Abteilungsprojekte\Eng\EngData\PROJECT_Bioplastics\Renjie_Pan\05-Raw_Data\Lab_results\[LabSamples2025_Bioplastic_extra.xlsx]extra_Bioplastic'!B76)</f>
        <v/>
      </c>
      <c r="C76">
        <f>IF(ISBLANK('Q:\Abteilungsprojekte\Eng\EngData\PROJECT_Bioplastics\Renjie_Pan\05-Raw_Data\Lab_results\[LabSamples2025_Bioplastic_extra.xlsx]extra_Bioplastic'!C76)," ",'Q:\Abteilungsprojekte\Eng\EngData\PROJECT_Bioplastics\Renjie_Pan\05-Raw_Data\Lab_results\[LabSamples2025_Bioplastic_extra.xlsx]extra_Bioplastic'!C76)</f>
        <v/>
      </c>
      <c r="D76">
        <f>IF(ISBLANK('Q:\Abteilungsprojekte\Eng\EngData\PROJECT_Bioplastics\Renjie_Pan\05-Raw_Data\Lab_results\[LabSamples2025_Bioplastic_extra.xlsx]extra_Bioplastic'!D76)," ",'Q:\Abteilungsprojekte\Eng\EngData\PROJECT_Bioplastics\Renjie_Pan\05-Raw_Data\Lab_results\[LabSamples2025_Bioplastic_extra.xlsx]extra_Bioplastic'!D76)</f>
        <v/>
      </c>
      <c r="E76">
        <f>IF(ISBLANK('Q:\Abteilungsprojekte\Eng\EngData\PROJECT_Bioplastics\Renjie_Pan\05-Raw_Data\Lab_results\[LabSamples2025_Bioplastic_extra.xlsx]extra_Bioplastic'!E76)," ",'Q:\Abteilungsprojekte\Eng\EngData\PROJECT_Bioplastics\Renjie_Pan\05-Raw_Data\Lab_results\[LabSamples2025_Bioplastic_extra.xlsx]extra_Bioplastic'!E76)</f>
        <v/>
      </c>
      <c r="F76">
        <f>IF(ISBLANK('Q:\Abteilungsprojekte\Eng\EngData\PROJECT_Bioplastics\Renjie_Pan\05-Raw_Data\Lab_results\[LabSamples2025_Bioplastic_extra.xlsx]extra_Bioplastic'!F76)," ",'Q:\Abteilungsprojekte\Eng\EngData\PROJECT_Bioplastics\Renjie_Pan\05-Raw_Data\Lab_results\[LabSamples2025_Bioplastic_extra.xlsx]extra_Bioplastic'!F76)</f>
        <v/>
      </c>
      <c r="G76">
        <f>IF(ISBLANK('Q:\Abteilungsprojekte\Eng\EngData\PROJECT_Bioplastics\Renjie_Pan\05-Raw_Data\Lab_results\[LabSamples2025_Bioplastic_extra.xlsx]extra_Bioplastic'!G76)," ",'Q:\Abteilungsprojekte\Eng\EngData\PROJECT_Bioplastics\Renjie_Pan\05-Raw_Data\Lab_results\[LabSamples2025_Bioplastic_extra.xlsx]extra_Bioplastic'!G76)</f>
        <v/>
      </c>
      <c r="H76">
        <f>IF(ISBLANK('Q:\Abteilungsprojekte\Eng\EngData\PROJECT_Bioplastics\Renjie_Pan\05-Raw_Data\Lab_results\[LabSamples2025_Bioplastic_extra.xlsx]extra_Bioplastic'!H76)," ",'Q:\Abteilungsprojekte\Eng\EngData\PROJECT_Bioplastics\Renjie_Pan\05-Raw_Data\Lab_results\[LabSamples2025_Bioplastic_extra.xlsx]extra_Bioplastic'!H76)</f>
        <v/>
      </c>
    </row>
    <row r="77">
      <c r="A77">
        <f>IF(ISBLANK('Q:\Abteilungsprojekte\Eng\EngData\PROJECT_Bioplastics\Renjie_Pan\05-Raw_Data\Lab_results\[LabSamples2025_Bioplastic_extra.xlsx]extra_Bioplastic'!A77)," ",'Q:\Abteilungsprojekte\Eng\EngData\PROJECT_Bioplastics\Renjie_Pan\05-Raw_Data\Lab_results\[LabSamples2025_Bioplastic_extra.xlsx]extra_Bioplastic'!A77)</f>
        <v/>
      </c>
      <c r="B77">
        <f>IF(ISBLANK('Q:\Abteilungsprojekte\Eng\EngData\PROJECT_Bioplastics\Renjie_Pan\05-Raw_Data\Lab_results\[LabSamples2025_Bioplastic_extra.xlsx]extra_Bioplastic'!B77)," ",'Q:\Abteilungsprojekte\Eng\EngData\PROJECT_Bioplastics\Renjie_Pan\05-Raw_Data\Lab_results\[LabSamples2025_Bioplastic_extra.xlsx]extra_Bioplastic'!B77)</f>
        <v/>
      </c>
      <c r="C77">
        <f>IF(ISBLANK('Q:\Abteilungsprojekte\Eng\EngData\PROJECT_Bioplastics\Renjie_Pan\05-Raw_Data\Lab_results\[LabSamples2025_Bioplastic_extra.xlsx]extra_Bioplastic'!C77)," ",'Q:\Abteilungsprojekte\Eng\EngData\PROJECT_Bioplastics\Renjie_Pan\05-Raw_Data\Lab_results\[LabSamples2025_Bioplastic_extra.xlsx]extra_Bioplastic'!C77)</f>
        <v/>
      </c>
      <c r="D77">
        <f>IF(ISBLANK('Q:\Abteilungsprojekte\Eng\EngData\PROJECT_Bioplastics\Renjie_Pan\05-Raw_Data\Lab_results\[LabSamples2025_Bioplastic_extra.xlsx]extra_Bioplastic'!D77)," ",'Q:\Abteilungsprojekte\Eng\EngData\PROJECT_Bioplastics\Renjie_Pan\05-Raw_Data\Lab_results\[LabSamples2025_Bioplastic_extra.xlsx]extra_Bioplastic'!D77)</f>
        <v/>
      </c>
      <c r="E77">
        <f>IF(ISBLANK('Q:\Abteilungsprojekte\Eng\EngData\PROJECT_Bioplastics\Renjie_Pan\05-Raw_Data\Lab_results\[LabSamples2025_Bioplastic_extra.xlsx]extra_Bioplastic'!E77)," ",'Q:\Abteilungsprojekte\Eng\EngData\PROJECT_Bioplastics\Renjie_Pan\05-Raw_Data\Lab_results\[LabSamples2025_Bioplastic_extra.xlsx]extra_Bioplastic'!E77)</f>
        <v/>
      </c>
      <c r="F77">
        <f>IF(ISBLANK('Q:\Abteilungsprojekte\Eng\EngData\PROJECT_Bioplastics\Renjie_Pan\05-Raw_Data\Lab_results\[LabSamples2025_Bioplastic_extra.xlsx]extra_Bioplastic'!F77)," ",'Q:\Abteilungsprojekte\Eng\EngData\PROJECT_Bioplastics\Renjie_Pan\05-Raw_Data\Lab_results\[LabSamples2025_Bioplastic_extra.xlsx]extra_Bioplastic'!F77)</f>
        <v/>
      </c>
      <c r="G77">
        <f>IF(ISBLANK('Q:\Abteilungsprojekte\Eng\EngData\PROJECT_Bioplastics\Renjie_Pan\05-Raw_Data\Lab_results\[LabSamples2025_Bioplastic_extra.xlsx]extra_Bioplastic'!G77)," ",'Q:\Abteilungsprojekte\Eng\EngData\PROJECT_Bioplastics\Renjie_Pan\05-Raw_Data\Lab_results\[LabSamples2025_Bioplastic_extra.xlsx]extra_Bioplastic'!G77)</f>
        <v/>
      </c>
      <c r="H77">
        <f>IF(ISBLANK('Q:\Abteilungsprojekte\Eng\EngData\PROJECT_Bioplastics\Renjie_Pan\05-Raw_Data\Lab_results\[LabSamples2025_Bioplastic_extra.xlsx]extra_Bioplastic'!H77)," ",'Q:\Abteilungsprojekte\Eng\EngData\PROJECT_Bioplastics\Renjie_Pan\05-Raw_Data\Lab_results\[LabSamples2025_Bioplastic_extra.xlsx]extra_Bioplastic'!H77)</f>
        <v/>
      </c>
    </row>
    <row r="78">
      <c r="A78">
        <f>IF(ISBLANK('Q:\Abteilungsprojekte\Eng\EngData\PROJECT_Bioplastics\Renjie_Pan\05-Raw_Data\Lab_results\[LabSamples2025_Bioplastic_extra.xlsx]extra_Bioplastic'!A78)," ",'Q:\Abteilungsprojekte\Eng\EngData\PROJECT_Bioplastics\Renjie_Pan\05-Raw_Data\Lab_results\[LabSamples2025_Bioplastic_extra.xlsx]extra_Bioplastic'!A78)</f>
        <v/>
      </c>
      <c r="B78">
        <f>IF(ISBLANK('Q:\Abteilungsprojekte\Eng\EngData\PROJECT_Bioplastics\Renjie_Pan\05-Raw_Data\Lab_results\[LabSamples2025_Bioplastic_extra.xlsx]extra_Bioplastic'!B78)," ",'Q:\Abteilungsprojekte\Eng\EngData\PROJECT_Bioplastics\Renjie_Pan\05-Raw_Data\Lab_results\[LabSamples2025_Bioplastic_extra.xlsx]extra_Bioplastic'!B78)</f>
        <v/>
      </c>
      <c r="C78">
        <f>IF(ISBLANK('Q:\Abteilungsprojekte\Eng\EngData\PROJECT_Bioplastics\Renjie_Pan\05-Raw_Data\Lab_results\[LabSamples2025_Bioplastic_extra.xlsx]extra_Bioplastic'!C78)," ",'Q:\Abteilungsprojekte\Eng\EngData\PROJECT_Bioplastics\Renjie_Pan\05-Raw_Data\Lab_results\[LabSamples2025_Bioplastic_extra.xlsx]extra_Bioplastic'!C78)</f>
        <v/>
      </c>
      <c r="D78">
        <f>IF(ISBLANK('Q:\Abteilungsprojekte\Eng\EngData\PROJECT_Bioplastics\Renjie_Pan\05-Raw_Data\Lab_results\[LabSamples2025_Bioplastic_extra.xlsx]extra_Bioplastic'!D78)," ",'Q:\Abteilungsprojekte\Eng\EngData\PROJECT_Bioplastics\Renjie_Pan\05-Raw_Data\Lab_results\[LabSamples2025_Bioplastic_extra.xlsx]extra_Bioplastic'!D78)</f>
        <v/>
      </c>
      <c r="E78">
        <f>IF(ISBLANK('Q:\Abteilungsprojekte\Eng\EngData\PROJECT_Bioplastics\Renjie_Pan\05-Raw_Data\Lab_results\[LabSamples2025_Bioplastic_extra.xlsx]extra_Bioplastic'!E78)," ",'Q:\Abteilungsprojekte\Eng\EngData\PROJECT_Bioplastics\Renjie_Pan\05-Raw_Data\Lab_results\[LabSamples2025_Bioplastic_extra.xlsx]extra_Bioplastic'!E78)</f>
        <v/>
      </c>
      <c r="F78">
        <f>IF(ISBLANK('Q:\Abteilungsprojekte\Eng\EngData\PROJECT_Bioplastics\Renjie_Pan\05-Raw_Data\Lab_results\[LabSamples2025_Bioplastic_extra.xlsx]extra_Bioplastic'!F78)," ",'Q:\Abteilungsprojekte\Eng\EngData\PROJECT_Bioplastics\Renjie_Pan\05-Raw_Data\Lab_results\[LabSamples2025_Bioplastic_extra.xlsx]extra_Bioplastic'!F78)</f>
        <v/>
      </c>
      <c r="G78">
        <f>IF(ISBLANK('Q:\Abteilungsprojekte\Eng\EngData\PROJECT_Bioplastics\Renjie_Pan\05-Raw_Data\Lab_results\[LabSamples2025_Bioplastic_extra.xlsx]extra_Bioplastic'!G78)," ",'Q:\Abteilungsprojekte\Eng\EngData\PROJECT_Bioplastics\Renjie_Pan\05-Raw_Data\Lab_results\[LabSamples2025_Bioplastic_extra.xlsx]extra_Bioplastic'!G78)</f>
        <v/>
      </c>
      <c r="H78">
        <f>IF(ISBLANK('Q:\Abteilungsprojekte\Eng\EngData\PROJECT_Bioplastics\Renjie_Pan\05-Raw_Data\Lab_results\[LabSamples2025_Bioplastic_extra.xlsx]extra_Bioplastic'!H78)," ",'Q:\Abteilungsprojekte\Eng\EngData\PROJECT_Bioplastics\Renjie_Pan\05-Raw_Data\Lab_results\[LabSamples2025_Bioplastic_extra.xlsx]extra_Bioplastic'!H78)</f>
        <v/>
      </c>
    </row>
    <row r="79">
      <c r="A79">
        <f>IF(ISBLANK('Q:\Abteilungsprojekte\Eng\EngData\PROJECT_Bioplastics\Renjie_Pan\05-Raw_Data\Lab_results\[LabSamples2025_Bioplastic_extra.xlsx]extra_Bioplastic'!A79)," ",'Q:\Abteilungsprojekte\Eng\EngData\PROJECT_Bioplastics\Renjie_Pan\05-Raw_Data\Lab_results\[LabSamples2025_Bioplastic_extra.xlsx]extra_Bioplastic'!A79)</f>
        <v/>
      </c>
      <c r="B79">
        <f>IF(ISBLANK('Q:\Abteilungsprojekte\Eng\EngData\PROJECT_Bioplastics\Renjie_Pan\05-Raw_Data\Lab_results\[LabSamples2025_Bioplastic_extra.xlsx]extra_Bioplastic'!B79)," ",'Q:\Abteilungsprojekte\Eng\EngData\PROJECT_Bioplastics\Renjie_Pan\05-Raw_Data\Lab_results\[LabSamples2025_Bioplastic_extra.xlsx]extra_Bioplastic'!B79)</f>
        <v/>
      </c>
      <c r="C79">
        <f>IF(ISBLANK('Q:\Abteilungsprojekte\Eng\EngData\PROJECT_Bioplastics\Renjie_Pan\05-Raw_Data\Lab_results\[LabSamples2025_Bioplastic_extra.xlsx]extra_Bioplastic'!C79)," ",'Q:\Abteilungsprojekte\Eng\EngData\PROJECT_Bioplastics\Renjie_Pan\05-Raw_Data\Lab_results\[LabSamples2025_Bioplastic_extra.xlsx]extra_Bioplastic'!C79)</f>
        <v/>
      </c>
      <c r="D79">
        <f>IF(ISBLANK('Q:\Abteilungsprojekte\Eng\EngData\PROJECT_Bioplastics\Renjie_Pan\05-Raw_Data\Lab_results\[LabSamples2025_Bioplastic_extra.xlsx]extra_Bioplastic'!D79)," ",'Q:\Abteilungsprojekte\Eng\EngData\PROJECT_Bioplastics\Renjie_Pan\05-Raw_Data\Lab_results\[LabSamples2025_Bioplastic_extra.xlsx]extra_Bioplastic'!D79)</f>
        <v/>
      </c>
      <c r="E79">
        <f>IF(ISBLANK('Q:\Abteilungsprojekte\Eng\EngData\PROJECT_Bioplastics\Renjie_Pan\05-Raw_Data\Lab_results\[LabSamples2025_Bioplastic_extra.xlsx]extra_Bioplastic'!E79)," ",'Q:\Abteilungsprojekte\Eng\EngData\PROJECT_Bioplastics\Renjie_Pan\05-Raw_Data\Lab_results\[LabSamples2025_Bioplastic_extra.xlsx]extra_Bioplastic'!E79)</f>
        <v/>
      </c>
      <c r="F79">
        <f>IF(ISBLANK('Q:\Abteilungsprojekte\Eng\EngData\PROJECT_Bioplastics\Renjie_Pan\05-Raw_Data\Lab_results\[LabSamples2025_Bioplastic_extra.xlsx]extra_Bioplastic'!F79)," ",'Q:\Abteilungsprojekte\Eng\EngData\PROJECT_Bioplastics\Renjie_Pan\05-Raw_Data\Lab_results\[LabSamples2025_Bioplastic_extra.xlsx]extra_Bioplastic'!F79)</f>
        <v/>
      </c>
      <c r="G79">
        <f>IF(ISBLANK('Q:\Abteilungsprojekte\Eng\EngData\PROJECT_Bioplastics\Renjie_Pan\05-Raw_Data\Lab_results\[LabSamples2025_Bioplastic_extra.xlsx]extra_Bioplastic'!G79)," ",'Q:\Abteilungsprojekte\Eng\EngData\PROJECT_Bioplastics\Renjie_Pan\05-Raw_Data\Lab_results\[LabSamples2025_Bioplastic_extra.xlsx]extra_Bioplastic'!G79)</f>
        <v/>
      </c>
      <c r="H79">
        <f>IF(ISBLANK('Q:\Abteilungsprojekte\Eng\EngData\PROJECT_Bioplastics\Renjie_Pan\05-Raw_Data\Lab_results\[LabSamples2025_Bioplastic_extra.xlsx]extra_Bioplastic'!H79)," ",'Q:\Abteilungsprojekte\Eng\EngData\PROJECT_Bioplastics\Renjie_Pan\05-Raw_Data\Lab_results\[LabSamples2025_Bioplastic_extra.xlsx]extra_Bioplastic'!H79)</f>
        <v/>
      </c>
    </row>
    <row r="80">
      <c r="A80">
        <f>IF(ISBLANK('Q:\Abteilungsprojekte\Eng\EngData\PROJECT_Bioplastics\Renjie_Pan\05-Raw_Data\Lab_results\[LabSamples2025_Bioplastic_extra.xlsx]extra_Bioplastic'!A80)," ",'Q:\Abteilungsprojekte\Eng\EngData\PROJECT_Bioplastics\Renjie_Pan\05-Raw_Data\Lab_results\[LabSamples2025_Bioplastic_extra.xlsx]extra_Bioplastic'!A80)</f>
        <v/>
      </c>
      <c r="B80">
        <f>IF(ISBLANK('Q:\Abteilungsprojekte\Eng\EngData\PROJECT_Bioplastics\Renjie_Pan\05-Raw_Data\Lab_results\[LabSamples2025_Bioplastic_extra.xlsx]extra_Bioplastic'!B80)," ",'Q:\Abteilungsprojekte\Eng\EngData\PROJECT_Bioplastics\Renjie_Pan\05-Raw_Data\Lab_results\[LabSamples2025_Bioplastic_extra.xlsx]extra_Bioplastic'!B80)</f>
        <v/>
      </c>
      <c r="C80">
        <f>IF(ISBLANK('Q:\Abteilungsprojekte\Eng\EngData\PROJECT_Bioplastics\Renjie_Pan\05-Raw_Data\Lab_results\[LabSamples2025_Bioplastic_extra.xlsx]extra_Bioplastic'!C80)," ",'Q:\Abteilungsprojekte\Eng\EngData\PROJECT_Bioplastics\Renjie_Pan\05-Raw_Data\Lab_results\[LabSamples2025_Bioplastic_extra.xlsx]extra_Bioplastic'!C80)</f>
        <v/>
      </c>
      <c r="D80">
        <f>IF(ISBLANK('Q:\Abteilungsprojekte\Eng\EngData\PROJECT_Bioplastics\Renjie_Pan\05-Raw_Data\Lab_results\[LabSamples2025_Bioplastic_extra.xlsx]extra_Bioplastic'!D80)," ",'Q:\Abteilungsprojekte\Eng\EngData\PROJECT_Bioplastics\Renjie_Pan\05-Raw_Data\Lab_results\[LabSamples2025_Bioplastic_extra.xlsx]extra_Bioplastic'!D80)</f>
        <v/>
      </c>
      <c r="E80">
        <f>IF(ISBLANK('Q:\Abteilungsprojekte\Eng\EngData\PROJECT_Bioplastics\Renjie_Pan\05-Raw_Data\Lab_results\[LabSamples2025_Bioplastic_extra.xlsx]extra_Bioplastic'!E80)," ",'Q:\Abteilungsprojekte\Eng\EngData\PROJECT_Bioplastics\Renjie_Pan\05-Raw_Data\Lab_results\[LabSamples2025_Bioplastic_extra.xlsx]extra_Bioplastic'!E80)</f>
        <v/>
      </c>
      <c r="F80">
        <f>IF(ISBLANK('Q:\Abteilungsprojekte\Eng\EngData\PROJECT_Bioplastics\Renjie_Pan\05-Raw_Data\Lab_results\[LabSamples2025_Bioplastic_extra.xlsx]extra_Bioplastic'!F80)," ",'Q:\Abteilungsprojekte\Eng\EngData\PROJECT_Bioplastics\Renjie_Pan\05-Raw_Data\Lab_results\[LabSamples2025_Bioplastic_extra.xlsx]extra_Bioplastic'!F80)</f>
        <v/>
      </c>
      <c r="G80">
        <f>IF(ISBLANK('Q:\Abteilungsprojekte\Eng\EngData\PROJECT_Bioplastics\Renjie_Pan\05-Raw_Data\Lab_results\[LabSamples2025_Bioplastic_extra.xlsx]extra_Bioplastic'!G80)," ",'Q:\Abteilungsprojekte\Eng\EngData\PROJECT_Bioplastics\Renjie_Pan\05-Raw_Data\Lab_results\[LabSamples2025_Bioplastic_extra.xlsx]extra_Bioplastic'!G80)</f>
        <v/>
      </c>
      <c r="H80">
        <f>IF(ISBLANK('Q:\Abteilungsprojekte\Eng\EngData\PROJECT_Bioplastics\Renjie_Pan\05-Raw_Data\Lab_results\[LabSamples2025_Bioplastic_extra.xlsx]extra_Bioplastic'!H80)," ",'Q:\Abteilungsprojekte\Eng\EngData\PROJECT_Bioplastics\Renjie_Pan\05-Raw_Data\Lab_results\[LabSamples2025_Bioplastic_extra.xlsx]extra_Bioplastic'!H80)</f>
        <v/>
      </c>
    </row>
    <row r="81">
      <c r="A81">
        <f>IF(ISBLANK('Q:\Abteilungsprojekte\Eng\EngData\PROJECT_Bioplastics\Renjie_Pan\05-Raw_Data\Lab_results\[LabSamples2025_Bioplastic_extra.xlsx]extra_Bioplastic'!A81)," ",'Q:\Abteilungsprojekte\Eng\EngData\PROJECT_Bioplastics\Renjie_Pan\05-Raw_Data\Lab_results\[LabSamples2025_Bioplastic_extra.xlsx]extra_Bioplastic'!A81)</f>
        <v/>
      </c>
      <c r="B81">
        <f>IF(ISBLANK('Q:\Abteilungsprojekte\Eng\EngData\PROJECT_Bioplastics\Renjie_Pan\05-Raw_Data\Lab_results\[LabSamples2025_Bioplastic_extra.xlsx]extra_Bioplastic'!B81)," ",'Q:\Abteilungsprojekte\Eng\EngData\PROJECT_Bioplastics\Renjie_Pan\05-Raw_Data\Lab_results\[LabSamples2025_Bioplastic_extra.xlsx]extra_Bioplastic'!B81)</f>
        <v/>
      </c>
      <c r="C81">
        <f>IF(ISBLANK('Q:\Abteilungsprojekte\Eng\EngData\PROJECT_Bioplastics\Renjie_Pan\05-Raw_Data\Lab_results\[LabSamples2025_Bioplastic_extra.xlsx]extra_Bioplastic'!C81)," ",'Q:\Abteilungsprojekte\Eng\EngData\PROJECT_Bioplastics\Renjie_Pan\05-Raw_Data\Lab_results\[LabSamples2025_Bioplastic_extra.xlsx]extra_Bioplastic'!C81)</f>
        <v/>
      </c>
      <c r="D81">
        <f>IF(ISBLANK('Q:\Abteilungsprojekte\Eng\EngData\PROJECT_Bioplastics\Renjie_Pan\05-Raw_Data\Lab_results\[LabSamples2025_Bioplastic_extra.xlsx]extra_Bioplastic'!D81)," ",'Q:\Abteilungsprojekte\Eng\EngData\PROJECT_Bioplastics\Renjie_Pan\05-Raw_Data\Lab_results\[LabSamples2025_Bioplastic_extra.xlsx]extra_Bioplastic'!D81)</f>
        <v/>
      </c>
      <c r="E81">
        <f>IF(ISBLANK('Q:\Abteilungsprojekte\Eng\EngData\PROJECT_Bioplastics\Renjie_Pan\05-Raw_Data\Lab_results\[LabSamples2025_Bioplastic_extra.xlsx]extra_Bioplastic'!E81)," ",'Q:\Abteilungsprojekte\Eng\EngData\PROJECT_Bioplastics\Renjie_Pan\05-Raw_Data\Lab_results\[LabSamples2025_Bioplastic_extra.xlsx]extra_Bioplastic'!E81)</f>
        <v/>
      </c>
      <c r="F81">
        <f>IF(ISBLANK('Q:\Abteilungsprojekte\Eng\EngData\PROJECT_Bioplastics\Renjie_Pan\05-Raw_Data\Lab_results\[LabSamples2025_Bioplastic_extra.xlsx]extra_Bioplastic'!F81)," ",'Q:\Abteilungsprojekte\Eng\EngData\PROJECT_Bioplastics\Renjie_Pan\05-Raw_Data\Lab_results\[LabSamples2025_Bioplastic_extra.xlsx]extra_Bioplastic'!F81)</f>
        <v/>
      </c>
      <c r="G81">
        <f>IF(ISBLANK('Q:\Abteilungsprojekte\Eng\EngData\PROJECT_Bioplastics\Renjie_Pan\05-Raw_Data\Lab_results\[LabSamples2025_Bioplastic_extra.xlsx]extra_Bioplastic'!G81)," ",'Q:\Abteilungsprojekte\Eng\EngData\PROJECT_Bioplastics\Renjie_Pan\05-Raw_Data\Lab_results\[LabSamples2025_Bioplastic_extra.xlsx]extra_Bioplastic'!G81)</f>
        <v/>
      </c>
      <c r="H81">
        <f>IF(ISBLANK('Q:\Abteilungsprojekte\Eng\EngData\PROJECT_Bioplastics\Renjie_Pan\05-Raw_Data\Lab_results\[LabSamples2025_Bioplastic_extra.xlsx]extra_Bioplastic'!H81)," ",'Q:\Abteilungsprojekte\Eng\EngData\PROJECT_Bioplastics\Renjie_Pan\05-Raw_Data\Lab_results\[LabSamples2025_Bioplastic_extra.xlsx]extra_Bioplastic'!H81)</f>
        <v/>
      </c>
    </row>
    <row r="82">
      <c r="A82">
        <f>IF(ISBLANK('Q:\Abteilungsprojekte\Eng\EngData\PROJECT_Bioplastics\Renjie_Pan\05-Raw_Data\Lab_results\[LabSamples2025_Bioplastic_extra.xlsx]extra_Bioplastic'!A82)," ",'Q:\Abteilungsprojekte\Eng\EngData\PROJECT_Bioplastics\Renjie_Pan\05-Raw_Data\Lab_results\[LabSamples2025_Bioplastic_extra.xlsx]extra_Bioplastic'!A82)</f>
        <v/>
      </c>
      <c r="B82">
        <f>IF(ISBLANK('Q:\Abteilungsprojekte\Eng\EngData\PROJECT_Bioplastics\Renjie_Pan\05-Raw_Data\Lab_results\[LabSamples2025_Bioplastic_extra.xlsx]extra_Bioplastic'!B82)," ",'Q:\Abteilungsprojekte\Eng\EngData\PROJECT_Bioplastics\Renjie_Pan\05-Raw_Data\Lab_results\[LabSamples2025_Bioplastic_extra.xlsx]extra_Bioplastic'!B82)</f>
        <v/>
      </c>
      <c r="C82">
        <f>IF(ISBLANK('Q:\Abteilungsprojekte\Eng\EngData\PROJECT_Bioplastics\Renjie_Pan\05-Raw_Data\Lab_results\[LabSamples2025_Bioplastic_extra.xlsx]extra_Bioplastic'!C82)," ",'Q:\Abteilungsprojekte\Eng\EngData\PROJECT_Bioplastics\Renjie_Pan\05-Raw_Data\Lab_results\[LabSamples2025_Bioplastic_extra.xlsx]extra_Bioplastic'!C82)</f>
        <v/>
      </c>
      <c r="D82">
        <f>IF(ISBLANK('Q:\Abteilungsprojekte\Eng\EngData\PROJECT_Bioplastics\Renjie_Pan\05-Raw_Data\Lab_results\[LabSamples2025_Bioplastic_extra.xlsx]extra_Bioplastic'!D82)," ",'Q:\Abteilungsprojekte\Eng\EngData\PROJECT_Bioplastics\Renjie_Pan\05-Raw_Data\Lab_results\[LabSamples2025_Bioplastic_extra.xlsx]extra_Bioplastic'!D82)</f>
        <v/>
      </c>
      <c r="E82">
        <f>IF(ISBLANK('Q:\Abteilungsprojekte\Eng\EngData\PROJECT_Bioplastics\Renjie_Pan\05-Raw_Data\Lab_results\[LabSamples2025_Bioplastic_extra.xlsx]extra_Bioplastic'!E82)," ",'Q:\Abteilungsprojekte\Eng\EngData\PROJECT_Bioplastics\Renjie_Pan\05-Raw_Data\Lab_results\[LabSamples2025_Bioplastic_extra.xlsx]extra_Bioplastic'!E82)</f>
        <v/>
      </c>
      <c r="F82">
        <f>IF(ISBLANK('Q:\Abteilungsprojekte\Eng\EngData\PROJECT_Bioplastics\Renjie_Pan\05-Raw_Data\Lab_results\[LabSamples2025_Bioplastic_extra.xlsx]extra_Bioplastic'!F82)," ",'Q:\Abteilungsprojekte\Eng\EngData\PROJECT_Bioplastics\Renjie_Pan\05-Raw_Data\Lab_results\[LabSamples2025_Bioplastic_extra.xlsx]extra_Bioplastic'!F82)</f>
        <v/>
      </c>
      <c r="G82">
        <f>IF(ISBLANK('Q:\Abteilungsprojekte\Eng\EngData\PROJECT_Bioplastics\Renjie_Pan\05-Raw_Data\Lab_results\[LabSamples2025_Bioplastic_extra.xlsx]extra_Bioplastic'!G82)," ",'Q:\Abteilungsprojekte\Eng\EngData\PROJECT_Bioplastics\Renjie_Pan\05-Raw_Data\Lab_results\[LabSamples2025_Bioplastic_extra.xlsx]extra_Bioplastic'!G82)</f>
        <v/>
      </c>
      <c r="H82">
        <f>IF(ISBLANK('Q:\Abteilungsprojekte\Eng\EngData\PROJECT_Bioplastics\Renjie_Pan\05-Raw_Data\Lab_results\[LabSamples2025_Bioplastic_extra.xlsx]extra_Bioplastic'!H82)," ",'Q:\Abteilungsprojekte\Eng\EngData\PROJECT_Bioplastics\Renjie_Pan\05-Raw_Data\Lab_results\[LabSamples2025_Bioplastic_extra.xlsx]extra_Bioplastic'!H82)</f>
        <v/>
      </c>
    </row>
    <row r="83">
      <c r="A83">
        <f>IF(ISBLANK('Q:\Abteilungsprojekte\Eng\EngData\PROJECT_Bioplastics\Renjie_Pan\05-Raw_Data\Lab_results\[LabSamples2025_Bioplastic_extra.xlsx]extra_Bioplastic'!A83)," ",'Q:\Abteilungsprojekte\Eng\EngData\PROJECT_Bioplastics\Renjie_Pan\05-Raw_Data\Lab_results\[LabSamples2025_Bioplastic_extra.xlsx]extra_Bioplastic'!A83)</f>
        <v/>
      </c>
      <c r="B83">
        <f>IF(ISBLANK('Q:\Abteilungsprojekte\Eng\EngData\PROJECT_Bioplastics\Renjie_Pan\05-Raw_Data\Lab_results\[LabSamples2025_Bioplastic_extra.xlsx]extra_Bioplastic'!B83)," ",'Q:\Abteilungsprojekte\Eng\EngData\PROJECT_Bioplastics\Renjie_Pan\05-Raw_Data\Lab_results\[LabSamples2025_Bioplastic_extra.xlsx]extra_Bioplastic'!B83)</f>
        <v/>
      </c>
      <c r="C83">
        <f>IF(ISBLANK('Q:\Abteilungsprojekte\Eng\EngData\PROJECT_Bioplastics\Renjie_Pan\05-Raw_Data\Lab_results\[LabSamples2025_Bioplastic_extra.xlsx]extra_Bioplastic'!C83)," ",'Q:\Abteilungsprojekte\Eng\EngData\PROJECT_Bioplastics\Renjie_Pan\05-Raw_Data\Lab_results\[LabSamples2025_Bioplastic_extra.xlsx]extra_Bioplastic'!C83)</f>
        <v/>
      </c>
      <c r="D83">
        <f>IF(ISBLANK('Q:\Abteilungsprojekte\Eng\EngData\PROJECT_Bioplastics\Renjie_Pan\05-Raw_Data\Lab_results\[LabSamples2025_Bioplastic_extra.xlsx]extra_Bioplastic'!D83)," ",'Q:\Abteilungsprojekte\Eng\EngData\PROJECT_Bioplastics\Renjie_Pan\05-Raw_Data\Lab_results\[LabSamples2025_Bioplastic_extra.xlsx]extra_Bioplastic'!D83)</f>
        <v/>
      </c>
      <c r="E83">
        <f>IF(ISBLANK('Q:\Abteilungsprojekte\Eng\EngData\PROJECT_Bioplastics\Renjie_Pan\05-Raw_Data\Lab_results\[LabSamples2025_Bioplastic_extra.xlsx]extra_Bioplastic'!E83)," ",'Q:\Abteilungsprojekte\Eng\EngData\PROJECT_Bioplastics\Renjie_Pan\05-Raw_Data\Lab_results\[LabSamples2025_Bioplastic_extra.xlsx]extra_Bioplastic'!E83)</f>
        <v/>
      </c>
      <c r="F83">
        <f>IF(ISBLANK('Q:\Abteilungsprojekte\Eng\EngData\PROJECT_Bioplastics\Renjie_Pan\05-Raw_Data\Lab_results\[LabSamples2025_Bioplastic_extra.xlsx]extra_Bioplastic'!F83)," ",'Q:\Abteilungsprojekte\Eng\EngData\PROJECT_Bioplastics\Renjie_Pan\05-Raw_Data\Lab_results\[LabSamples2025_Bioplastic_extra.xlsx]extra_Bioplastic'!F83)</f>
        <v/>
      </c>
      <c r="G83">
        <f>IF(ISBLANK('Q:\Abteilungsprojekte\Eng\EngData\PROJECT_Bioplastics\Renjie_Pan\05-Raw_Data\Lab_results\[LabSamples2025_Bioplastic_extra.xlsx]extra_Bioplastic'!G83)," ",'Q:\Abteilungsprojekte\Eng\EngData\PROJECT_Bioplastics\Renjie_Pan\05-Raw_Data\Lab_results\[LabSamples2025_Bioplastic_extra.xlsx]extra_Bioplastic'!G83)</f>
        <v/>
      </c>
      <c r="H83">
        <f>IF(ISBLANK('Q:\Abteilungsprojekte\Eng\EngData\PROJECT_Bioplastics\Renjie_Pan\05-Raw_Data\Lab_results\[LabSamples2025_Bioplastic_extra.xlsx]extra_Bioplastic'!H83)," ",'Q:\Abteilungsprojekte\Eng\EngData\PROJECT_Bioplastics\Renjie_Pan\05-Raw_Data\Lab_results\[LabSamples2025_Bioplastic_extra.xlsx]extra_Bioplastic'!H83)</f>
        <v/>
      </c>
    </row>
    <row r="84">
      <c r="A84">
        <f>IF(ISBLANK('Q:\Abteilungsprojekte\Eng\EngData\PROJECT_Bioplastics\Renjie_Pan\05-Raw_Data\Lab_results\[LabSamples2025_Bioplastic_extra.xlsx]extra_Bioplastic'!A84)," ",'Q:\Abteilungsprojekte\Eng\EngData\PROJECT_Bioplastics\Renjie_Pan\05-Raw_Data\Lab_results\[LabSamples2025_Bioplastic_extra.xlsx]extra_Bioplastic'!A84)</f>
        <v/>
      </c>
      <c r="B84">
        <f>IF(ISBLANK('Q:\Abteilungsprojekte\Eng\EngData\PROJECT_Bioplastics\Renjie_Pan\05-Raw_Data\Lab_results\[LabSamples2025_Bioplastic_extra.xlsx]extra_Bioplastic'!B84)," ",'Q:\Abteilungsprojekte\Eng\EngData\PROJECT_Bioplastics\Renjie_Pan\05-Raw_Data\Lab_results\[LabSamples2025_Bioplastic_extra.xlsx]extra_Bioplastic'!B84)</f>
        <v/>
      </c>
      <c r="C84">
        <f>IF(ISBLANK('Q:\Abteilungsprojekte\Eng\EngData\PROJECT_Bioplastics\Renjie_Pan\05-Raw_Data\Lab_results\[LabSamples2025_Bioplastic_extra.xlsx]extra_Bioplastic'!C84)," ",'Q:\Abteilungsprojekte\Eng\EngData\PROJECT_Bioplastics\Renjie_Pan\05-Raw_Data\Lab_results\[LabSamples2025_Bioplastic_extra.xlsx]extra_Bioplastic'!C84)</f>
        <v/>
      </c>
      <c r="D84">
        <f>IF(ISBLANK('Q:\Abteilungsprojekte\Eng\EngData\PROJECT_Bioplastics\Renjie_Pan\05-Raw_Data\Lab_results\[LabSamples2025_Bioplastic_extra.xlsx]extra_Bioplastic'!D84)," ",'Q:\Abteilungsprojekte\Eng\EngData\PROJECT_Bioplastics\Renjie_Pan\05-Raw_Data\Lab_results\[LabSamples2025_Bioplastic_extra.xlsx]extra_Bioplastic'!D84)</f>
        <v/>
      </c>
      <c r="E84">
        <f>IF(ISBLANK('Q:\Abteilungsprojekte\Eng\EngData\PROJECT_Bioplastics\Renjie_Pan\05-Raw_Data\Lab_results\[LabSamples2025_Bioplastic_extra.xlsx]extra_Bioplastic'!E84)," ",'Q:\Abteilungsprojekte\Eng\EngData\PROJECT_Bioplastics\Renjie_Pan\05-Raw_Data\Lab_results\[LabSamples2025_Bioplastic_extra.xlsx]extra_Bioplastic'!E84)</f>
        <v/>
      </c>
      <c r="F84">
        <f>IF(ISBLANK('Q:\Abteilungsprojekte\Eng\EngData\PROJECT_Bioplastics\Renjie_Pan\05-Raw_Data\Lab_results\[LabSamples2025_Bioplastic_extra.xlsx]extra_Bioplastic'!F84)," ",'Q:\Abteilungsprojekte\Eng\EngData\PROJECT_Bioplastics\Renjie_Pan\05-Raw_Data\Lab_results\[LabSamples2025_Bioplastic_extra.xlsx]extra_Bioplastic'!F84)</f>
        <v/>
      </c>
      <c r="G84">
        <f>IF(ISBLANK('Q:\Abteilungsprojekte\Eng\EngData\PROJECT_Bioplastics\Renjie_Pan\05-Raw_Data\Lab_results\[LabSamples2025_Bioplastic_extra.xlsx]extra_Bioplastic'!G84)," ",'Q:\Abteilungsprojekte\Eng\EngData\PROJECT_Bioplastics\Renjie_Pan\05-Raw_Data\Lab_results\[LabSamples2025_Bioplastic_extra.xlsx]extra_Bioplastic'!G84)</f>
        <v/>
      </c>
      <c r="H84">
        <f>IF(ISBLANK('Q:\Abteilungsprojekte\Eng\EngData\PROJECT_Bioplastics\Renjie_Pan\05-Raw_Data\Lab_results\[LabSamples2025_Bioplastic_extra.xlsx]extra_Bioplastic'!H84)," ",'Q:\Abteilungsprojekte\Eng\EngData\PROJECT_Bioplastics\Renjie_Pan\05-Raw_Data\Lab_results\[LabSamples2025_Bioplastic_extra.xlsx]extra_Bioplastic'!H84)</f>
        <v/>
      </c>
    </row>
    <row r="85">
      <c r="A85">
        <f>IF(ISBLANK('Q:\Abteilungsprojekte\Eng\EngData\PROJECT_Bioplastics\Renjie_Pan\05-Raw_Data\Lab_results\[LabSamples2025_Bioplastic_extra.xlsx]extra_Bioplastic'!A85)," ",'Q:\Abteilungsprojekte\Eng\EngData\PROJECT_Bioplastics\Renjie_Pan\05-Raw_Data\Lab_results\[LabSamples2025_Bioplastic_extra.xlsx]extra_Bioplastic'!A85)</f>
        <v/>
      </c>
      <c r="B85">
        <f>IF(ISBLANK('Q:\Abteilungsprojekte\Eng\EngData\PROJECT_Bioplastics\Renjie_Pan\05-Raw_Data\Lab_results\[LabSamples2025_Bioplastic_extra.xlsx]extra_Bioplastic'!B85)," ",'Q:\Abteilungsprojekte\Eng\EngData\PROJECT_Bioplastics\Renjie_Pan\05-Raw_Data\Lab_results\[LabSamples2025_Bioplastic_extra.xlsx]extra_Bioplastic'!B85)</f>
        <v/>
      </c>
      <c r="C85">
        <f>IF(ISBLANK('Q:\Abteilungsprojekte\Eng\EngData\PROJECT_Bioplastics\Renjie_Pan\05-Raw_Data\Lab_results\[LabSamples2025_Bioplastic_extra.xlsx]extra_Bioplastic'!C85)," ",'Q:\Abteilungsprojekte\Eng\EngData\PROJECT_Bioplastics\Renjie_Pan\05-Raw_Data\Lab_results\[LabSamples2025_Bioplastic_extra.xlsx]extra_Bioplastic'!C85)</f>
        <v/>
      </c>
      <c r="D85">
        <f>IF(ISBLANK('Q:\Abteilungsprojekte\Eng\EngData\PROJECT_Bioplastics\Renjie_Pan\05-Raw_Data\Lab_results\[LabSamples2025_Bioplastic_extra.xlsx]extra_Bioplastic'!D85)," ",'Q:\Abteilungsprojekte\Eng\EngData\PROJECT_Bioplastics\Renjie_Pan\05-Raw_Data\Lab_results\[LabSamples2025_Bioplastic_extra.xlsx]extra_Bioplastic'!D85)</f>
        <v/>
      </c>
      <c r="E85">
        <f>IF(ISBLANK('Q:\Abteilungsprojekte\Eng\EngData\PROJECT_Bioplastics\Renjie_Pan\05-Raw_Data\Lab_results\[LabSamples2025_Bioplastic_extra.xlsx]extra_Bioplastic'!E85)," ",'Q:\Abteilungsprojekte\Eng\EngData\PROJECT_Bioplastics\Renjie_Pan\05-Raw_Data\Lab_results\[LabSamples2025_Bioplastic_extra.xlsx]extra_Bioplastic'!E85)</f>
        <v/>
      </c>
      <c r="F85">
        <f>IF(ISBLANK('Q:\Abteilungsprojekte\Eng\EngData\PROJECT_Bioplastics\Renjie_Pan\05-Raw_Data\Lab_results\[LabSamples2025_Bioplastic_extra.xlsx]extra_Bioplastic'!F85)," ",'Q:\Abteilungsprojekte\Eng\EngData\PROJECT_Bioplastics\Renjie_Pan\05-Raw_Data\Lab_results\[LabSamples2025_Bioplastic_extra.xlsx]extra_Bioplastic'!F85)</f>
        <v/>
      </c>
      <c r="G85">
        <f>IF(ISBLANK('Q:\Abteilungsprojekte\Eng\EngData\PROJECT_Bioplastics\Renjie_Pan\05-Raw_Data\Lab_results\[LabSamples2025_Bioplastic_extra.xlsx]extra_Bioplastic'!G85)," ",'Q:\Abteilungsprojekte\Eng\EngData\PROJECT_Bioplastics\Renjie_Pan\05-Raw_Data\Lab_results\[LabSamples2025_Bioplastic_extra.xlsx]extra_Bioplastic'!G85)</f>
        <v/>
      </c>
      <c r="H85">
        <f>IF(ISBLANK('Q:\Abteilungsprojekte\Eng\EngData\PROJECT_Bioplastics\Renjie_Pan\05-Raw_Data\Lab_results\[LabSamples2025_Bioplastic_extra.xlsx]extra_Bioplastic'!H85)," ",'Q:\Abteilungsprojekte\Eng\EngData\PROJECT_Bioplastics\Renjie_Pan\05-Raw_Data\Lab_results\[LabSamples2025_Bioplastic_extra.xlsx]extra_Bioplastic'!H85)</f>
        <v/>
      </c>
    </row>
    <row r="86">
      <c r="A86">
        <f>IF(ISBLANK('Q:\Abteilungsprojekte\Eng\EngData\PROJECT_Bioplastics\Renjie_Pan\05-Raw_Data\Lab_results\[LabSamples2025_Bioplastic_extra.xlsx]extra_Bioplastic'!A86)," ",'Q:\Abteilungsprojekte\Eng\EngData\PROJECT_Bioplastics\Renjie_Pan\05-Raw_Data\Lab_results\[LabSamples2025_Bioplastic_extra.xlsx]extra_Bioplastic'!A86)</f>
        <v/>
      </c>
      <c r="B86">
        <f>IF(ISBLANK('Q:\Abteilungsprojekte\Eng\EngData\PROJECT_Bioplastics\Renjie_Pan\05-Raw_Data\Lab_results\[LabSamples2025_Bioplastic_extra.xlsx]extra_Bioplastic'!B86)," ",'Q:\Abteilungsprojekte\Eng\EngData\PROJECT_Bioplastics\Renjie_Pan\05-Raw_Data\Lab_results\[LabSamples2025_Bioplastic_extra.xlsx]extra_Bioplastic'!B86)</f>
        <v/>
      </c>
      <c r="C86">
        <f>IF(ISBLANK('Q:\Abteilungsprojekte\Eng\EngData\PROJECT_Bioplastics\Renjie_Pan\05-Raw_Data\Lab_results\[LabSamples2025_Bioplastic_extra.xlsx]extra_Bioplastic'!C86)," ",'Q:\Abteilungsprojekte\Eng\EngData\PROJECT_Bioplastics\Renjie_Pan\05-Raw_Data\Lab_results\[LabSamples2025_Bioplastic_extra.xlsx]extra_Bioplastic'!C86)</f>
        <v/>
      </c>
      <c r="D86">
        <f>IF(ISBLANK('Q:\Abteilungsprojekte\Eng\EngData\PROJECT_Bioplastics\Renjie_Pan\05-Raw_Data\Lab_results\[LabSamples2025_Bioplastic_extra.xlsx]extra_Bioplastic'!D86)," ",'Q:\Abteilungsprojekte\Eng\EngData\PROJECT_Bioplastics\Renjie_Pan\05-Raw_Data\Lab_results\[LabSamples2025_Bioplastic_extra.xlsx]extra_Bioplastic'!D86)</f>
        <v/>
      </c>
      <c r="E86">
        <f>IF(ISBLANK('Q:\Abteilungsprojekte\Eng\EngData\PROJECT_Bioplastics\Renjie_Pan\05-Raw_Data\Lab_results\[LabSamples2025_Bioplastic_extra.xlsx]extra_Bioplastic'!E86)," ",'Q:\Abteilungsprojekte\Eng\EngData\PROJECT_Bioplastics\Renjie_Pan\05-Raw_Data\Lab_results\[LabSamples2025_Bioplastic_extra.xlsx]extra_Bioplastic'!E86)</f>
        <v/>
      </c>
      <c r="F86">
        <f>IF(ISBLANK('Q:\Abteilungsprojekte\Eng\EngData\PROJECT_Bioplastics\Renjie_Pan\05-Raw_Data\Lab_results\[LabSamples2025_Bioplastic_extra.xlsx]extra_Bioplastic'!F86)," ",'Q:\Abteilungsprojekte\Eng\EngData\PROJECT_Bioplastics\Renjie_Pan\05-Raw_Data\Lab_results\[LabSamples2025_Bioplastic_extra.xlsx]extra_Bioplastic'!F86)</f>
        <v/>
      </c>
      <c r="G86">
        <f>IF(ISBLANK('Q:\Abteilungsprojekte\Eng\EngData\PROJECT_Bioplastics\Renjie_Pan\05-Raw_Data\Lab_results\[LabSamples2025_Bioplastic_extra.xlsx]extra_Bioplastic'!G86)," ",'Q:\Abteilungsprojekte\Eng\EngData\PROJECT_Bioplastics\Renjie_Pan\05-Raw_Data\Lab_results\[LabSamples2025_Bioplastic_extra.xlsx]extra_Bioplastic'!G86)</f>
        <v/>
      </c>
      <c r="H86">
        <f>IF(ISBLANK('Q:\Abteilungsprojekte\Eng\EngData\PROJECT_Bioplastics\Renjie_Pan\05-Raw_Data\Lab_results\[LabSamples2025_Bioplastic_extra.xlsx]extra_Bioplastic'!H86)," ",'Q:\Abteilungsprojekte\Eng\EngData\PROJECT_Bioplastics\Renjie_Pan\05-Raw_Data\Lab_results\[LabSamples2025_Bioplastic_extra.xlsx]extra_Bioplastic'!H86)</f>
        <v/>
      </c>
    </row>
    <row r="87">
      <c r="A87">
        <f>IF(ISBLANK('Q:\Abteilungsprojekte\Eng\EngData\PROJECT_Bioplastics\Renjie_Pan\05-Raw_Data\Lab_results\[LabSamples2025_Bioplastic_extra.xlsx]extra_Bioplastic'!A87)," ",'Q:\Abteilungsprojekte\Eng\EngData\PROJECT_Bioplastics\Renjie_Pan\05-Raw_Data\Lab_results\[LabSamples2025_Bioplastic_extra.xlsx]extra_Bioplastic'!A87)</f>
        <v/>
      </c>
      <c r="B87">
        <f>IF(ISBLANK('Q:\Abteilungsprojekte\Eng\EngData\PROJECT_Bioplastics\Renjie_Pan\05-Raw_Data\Lab_results\[LabSamples2025_Bioplastic_extra.xlsx]extra_Bioplastic'!B87)," ",'Q:\Abteilungsprojekte\Eng\EngData\PROJECT_Bioplastics\Renjie_Pan\05-Raw_Data\Lab_results\[LabSamples2025_Bioplastic_extra.xlsx]extra_Bioplastic'!B87)</f>
        <v/>
      </c>
      <c r="C87">
        <f>IF(ISBLANK('Q:\Abteilungsprojekte\Eng\EngData\PROJECT_Bioplastics\Renjie_Pan\05-Raw_Data\Lab_results\[LabSamples2025_Bioplastic_extra.xlsx]extra_Bioplastic'!C87)," ",'Q:\Abteilungsprojekte\Eng\EngData\PROJECT_Bioplastics\Renjie_Pan\05-Raw_Data\Lab_results\[LabSamples2025_Bioplastic_extra.xlsx]extra_Bioplastic'!C87)</f>
        <v/>
      </c>
      <c r="D87">
        <f>IF(ISBLANK('Q:\Abteilungsprojekte\Eng\EngData\PROJECT_Bioplastics\Renjie_Pan\05-Raw_Data\Lab_results\[LabSamples2025_Bioplastic_extra.xlsx]extra_Bioplastic'!D87)," ",'Q:\Abteilungsprojekte\Eng\EngData\PROJECT_Bioplastics\Renjie_Pan\05-Raw_Data\Lab_results\[LabSamples2025_Bioplastic_extra.xlsx]extra_Bioplastic'!D87)</f>
        <v/>
      </c>
      <c r="E87">
        <f>IF(ISBLANK('Q:\Abteilungsprojekte\Eng\EngData\PROJECT_Bioplastics\Renjie_Pan\05-Raw_Data\Lab_results\[LabSamples2025_Bioplastic_extra.xlsx]extra_Bioplastic'!E87)," ",'Q:\Abteilungsprojekte\Eng\EngData\PROJECT_Bioplastics\Renjie_Pan\05-Raw_Data\Lab_results\[LabSamples2025_Bioplastic_extra.xlsx]extra_Bioplastic'!E87)</f>
        <v/>
      </c>
      <c r="F87">
        <f>IF(ISBLANK('Q:\Abteilungsprojekte\Eng\EngData\PROJECT_Bioplastics\Renjie_Pan\05-Raw_Data\Lab_results\[LabSamples2025_Bioplastic_extra.xlsx]extra_Bioplastic'!F87)," ",'Q:\Abteilungsprojekte\Eng\EngData\PROJECT_Bioplastics\Renjie_Pan\05-Raw_Data\Lab_results\[LabSamples2025_Bioplastic_extra.xlsx]extra_Bioplastic'!F87)</f>
        <v/>
      </c>
      <c r="G87">
        <f>IF(ISBLANK('Q:\Abteilungsprojekte\Eng\EngData\PROJECT_Bioplastics\Renjie_Pan\05-Raw_Data\Lab_results\[LabSamples2025_Bioplastic_extra.xlsx]extra_Bioplastic'!G87)," ",'Q:\Abteilungsprojekte\Eng\EngData\PROJECT_Bioplastics\Renjie_Pan\05-Raw_Data\Lab_results\[LabSamples2025_Bioplastic_extra.xlsx]extra_Bioplastic'!G87)</f>
        <v/>
      </c>
      <c r="H87">
        <f>IF(ISBLANK('Q:\Abteilungsprojekte\Eng\EngData\PROJECT_Bioplastics\Renjie_Pan\05-Raw_Data\Lab_results\[LabSamples2025_Bioplastic_extra.xlsx]extra_Bioplastic'!H87)," ",'Q:\Abteilungsprojekte\Eng\EngData\PROJECT_Bioplastics\Renjie_Pan\05-Raw_Data\Lab_results\[LabSamples2025_Bioplastic_extra.xlsx]extra_Bioplastic'!H87)</f>
        <v/>
      </c>
    </row>
    <row r="88">
      <c r="A88">
        <f>IF(ISBLANK('Q:\Abteilungsprojekte\Eng\EngData\PROJECT_Bioplastics\Renjie_Pan\05-Raw_Data\Lab_results\[LabSamples2025_Bioplastic_extra.xlsx]extra_Bioplastic'!A88)," ",'Q:\Abteilungsprojekte\Eng\EngData\PROJECT_Bioplastics\Renjie_Pan\05-Raw_Data\Lab_results\[LabSamples2025_Bioplastic_extra.xlsx]extra_Bioplastic'!A88)</f>
        <v/>
      </c>
      <c r="B88">
        <f>IF(ISBLANK('Q:\Abteilungsprojekte\Eng\EngData\PROJECT_Bioplastics\Renjie_Pan\05-Raw_Data\Lab_results\[LabSamples2025_Bioplastic_extra.xlsx]extra_Bioplastic'!B88)," ",'Q:\Abteilungsprojekte\Eng\EngData\PROJECT_Bioplastics\Renjie_Pan\05-Raw_Data\Lab_results\[LabSamples2025_Bioplastic_extra.xlsx]extra_Bioplastic'!B88)</f>
        <v/>
      </c>
      <c r="C88">
        <f>IF(ISBLANK('Q:\Abteilungsprojekte\Eng\EngData\PROJECT_Bioplastics\Renjie_Pan\05-Raw_Data\Lab_results\[LabSamples2025_Bioplastic_extra.xlsx]extra_Bioplastic'!C88)," ",'Q:\Abteilungsprojekte\Eng\EngData\PROJECT_Bioplastics\Renjie_Pan\05-Raw_Data\Lab_results\[LabSamples2025_Bioplastic_extra.xlsx]extra_Bioplastic'!C88)</f>
        <v/>
      </c>
      <c r="D88">
        <f>IF(ISBLANK('Q:\Abteilungsprojekte\Eng\EngData\PROJECT_Bioplastics\Renjie_Pan\05-Raw_Data\Lab_results\[LabSamples2025_Bioplastic_extra.xlsx]extra_Bioplastic'!D88)," ",'Q:\Abteilungsprojekte\Eng\EngData\PROJECT_Bioplastics\Renjie_Pan\05-Raw_Data\Lab_results\[LabSamples2025_Bioplastic_extra.xlsx]extra_Bioplastic'!D88)</f>
        <v/>
      </c>
      <c r="E88">
        <f>IF(ISBLANK('Q:\Abteilungsprojekte\Eng\EngData\PROJECT_Bioplastics\Renjie_Pan\05-Raw_Data\Lab_results\[LabSamples2025_Bioplastic_extra.xlsx]extra_Bioplastic'!E88)," ",'Q:\Abteilungsprojekte\Eng\EngData\PROJECT_Bioplastics\Renjie_Pan\05-Raw_Data\Lab_results\[LabSamples2025_Bioplastic_extra.xlsx]extra_Bioplastic'!E88)</f>
        <v/>
      </c>
      <c r="F88">
        <f>IF(ISBLANK('Q:\Abteilungsprojekte\Eng\EngData\PROJECT_Bioplastics\Renjie_Pan\05-Raw_Data\Lab_results\[LabSamples2025_Bioplastic_extra.xlsx]extra_Bioplastic'!F88)," ",'Q:\Abteilungsprojekte\Eng\EngData\PROJECT_Bioplastics\Renjie_Pan\05-Raw_Data\Lab_results\[LabSamples2025_Bioplastic_extra.xlsx]extra_Bioplastic'!F88)</f>
        <v/>
      </c>
      <c r="G88">
        <f>IF(ISBLANK('Q:\Abteilungsprojekte\Eng\EngData\PROJECT_Bioplastics\Renjie_Pan\05-Raw_Data\Lab_results\[LabSamples2025_Bioplastic_extra.xlsx]extra_Bioplastic'!G88)," ",'Q:\Abteilungsprojekte\Eng\EngData\PROJECT_Bioplastics\Renjie_Pan\05-Raw_Data\Lab_results\[LabSamples2025_Bioplastic_extra.xlsx]extra_Bioplastic'!G88)</f>
        <v/>
      </c>
      <c r="H88">
        <f>IF(ISBLANK('Q:\Abteilungsprojekte\Eng\EngData\PROJECT_Bioplastics\Renjie_Pan\05-Raw_Data\Lab_results\[LabSamples2025_Bioplastic_extra.xlsx]extra_Bioplastic'!H88)," ",'Q:\Abteilungsprojekte\Eng\EngData\PROJECT_Bioplastics\Renjie_Pan\05-Raw_Data\Lab_results\[LabSamples2025_Bioplastic_extra.xlsx]extra_Bioplastic'!H88)</f>
        <v/>
      </c>
    </row>
    <row r="89">
      <c r="A89">
        <f>IF(ISBLANK('Q:\Abteilungsprojekte\Eng\EngData\PROJECT_Bioplastics\Renjie_Pan\05-Raw_Data\Lab_results\[LabSamples2025_Bioplastic_extra.xlsx]extra_Bioplastic'!A89)," ",'Q:\Abteilungsprojekte\Eng\EngData\PROJECT_Bioplastics\Renjie_Pan\05-Raw_Data\Lab_results\[LabSamples2025_Bioplastic_extra.xlsx]extra_Bioplastic'!A89)</f>
        <v/>
      </c>
      <c r="B89">
        <f>IF(ISBLANK('Q:\Abteilungsprojekte\Eng\EngData\PROJECT_Bioplastics\Renjie_Pan\05-Raw_Data\Lab_results\[LabSamples2025_Bioplastic_extra.xlsx]extra_Bioplastic'!B89)," ",'Q:\Abteilungsprojekte\Eng\EngData\PROJECT_Bioplastics\Renjie_Pan\05-Raw_Data\Lab_results\[LabSamples2025_Bioplastic_extra.xlsx]extra_Bioplastic'!B89)</f>
        <v/>
      </c>
      <c r="C89">
        <f>IF(ISBLANK('Q:\Abteilungsprojekte\Eng\EngData\PROJECT_Bioplastics\Renjie_Pan\05-Raw_Data\Lab_results\[LabSamples2025_Bioplastic_extra.xlsx]extra_Bioplastic'!C89)," ",'Q:\Abteilungsprojekte\Eng\EngData\PROJECT_Bioplastics\Renjie_Pan\05-Raw_Data\Lab_results\[LabSamples2025_Bioplastic_extra.xlsx]extra_Bioplastic'!C89)</f>
        <v/>
      </c>
      <c r="D89">
        <f>IF(ISBLANK('Q:\Abteilungsprojekte\Eng\EngData\PROJECT_Bioplastics\Renjie_Pan\05-Raw_Data\Lab_results\[LabSamples2025_Bioplastic_extra.xlsx]extra_Bioplastic'!D89)," ",'Q:\Abteilungsprojekte\Eng\EngData\PROJECT_Bioplastics\Renjie_Pan\05-Raw_Data\Lab_results\[LabSamples2025_Bioplastic_extra.xlsx]extra_Bioplastic'!D89)</f>
        <v/>
      </c>
      <c r="E89">
        <f>IF(ISBLANK('Q:\Abteilungsprojekte\Eng\EngData\PROJECT_Bioplastics\Renjie_Pan\05-Raw_Data\Lab_results\[LabSamples2025_Bioplastic_extra.xlsx]extra_Bioplastic'!E89)," ",'Q:\Abteilungsprojekte\Eng\EngData\PROJECT_Bioplastics\Renjie_Pan\05-Raw_Data\Lab_results\[LabSamples2025_Bioplastic_extra.xlsx]extra_Bioplastic'!E89)</f>
        <v/>
      </c>
      <c r="F89">
        <f>IF(ISBLANK('Q:\Abteilungsprojekte\Eng\EngData\PROJECT_Bioplastics\Renjie_Pan\05-Raw_Data\Lab_results\[LabSamples2025_Bioplastic_extra.xlsx]extra_Bioplastic'!F89)," ",'Q:\Abteilungsprojekte\Eng\EngData\PROJECT_Bioplastics\Renjie_Pan\05-Raw_Data\Lab_results\[LabSamples2025_Bioplastic_extra.xlsx]extra_Bioplastic'!F89)</f>
        <v/>
      </c>
      <c r="G89">
        <f>IF(ISBLANK('Q:\Abteilungsprojekte\Eng\EngData\PROJECT_Bioplastics\Renjie_Pan\05-Raw_Data\Lab_results\[LabSamples2025_Bioplastic_extra.xlsx]extra_Bioplastic'!G89)," ",'Q:\Abteilungsprojekte\Eng\EngData\PROJECT_Bioplastics\Renjie_Pan\05-Raw_Data\Lab_results\[LabSamples2025_Bioplastic_extra.xlsx]extra_Bioplastic'!G89)</f>
        <v/>
      </c>
      <c r="H89">
        <f>IF(ISBLANK('Q:\Abteilungsprojekte\Eng\EngData\PROJECT_Bioplastics\Renjie_Pan\05-Raw_Data\Lab_results\[LabSamples2025_Bioplastic_extra.xlsx]extra_Bioplastic'!H89)," ",'Q:\Abteilungsprojekte\Eng\EngData\PROJECT_Bioplastics\Renjie_Pan\05-Raw_Data\Lab_results\[LabSamples2025_Bioplastic_extra.xlsx]extra_Bioplastic'!H89)</f>
        <v/>
      </c>
    </row>
    <row r="90">
      <c r="A90">
        <f>IF(ISBLANK('Q:\Abteilungsprojekte\Eng\EngData\PROJECT_Bioplastics\Renjie_Pan\05-Raw_Data\Lab_results\[LabSamples2025_Bioplastic_extra.xlsx]extra_Bioplastic'!A90)," ",'Q:\Abteilungsprojekte\Eng\EngData\PROJECT_Bioplastics\Renjie_Pan\05-Raw_Data\Lab_results\[LabSamples2025_Bioplastic_extra.xlsx]extra_Bioplastic'!A90)</f>
        <v/>
      </c>
      <c r="B90">
        <f>IF(ISBLANK('Q:\Abteilungsprojekte\Eng\EngData\PROJECT_Bioplastics\Renjie_Pan\05-Raw_Data\Lab_results\[LabSamples2025_Bioplastic_extra.xlsx]extra_Bioplastic'!B90)," ",'Q:\Abteilungsprojekte\Eng\EngData\PROJECT_Bioplastics\Renjie_Pan\05-Raw_Data\Lab_results\[LabSamples2025_Bioplastic_extra.xlsx]extra_Bioplastic'!B90)</f>
        <v/>
      </c>
      <c r="C90">
        <f>IF(ISBLANK('Q:\Abteilungsprojekte\Eng\EngData\PROJECT_Bioplastics\Renjie_Pan\05-Raw_Data\Lab_results\[LabSamples2025_Bioplastic_extra.xlsx]extra_Bioplastic'!C90)," ",'Q:\Abteilungsprojekte\Eng\EngData\PROJECT_Bioplastics\Renjie_Pan\05-Raw_Data\Lab_results\[LabSamples2025_Bioplastic_extra.xlsx]extra_Bioplastic'!C90)</f>
        <v/>
      </c>
      <c r="D90">
        <f>IF(ISBLANK('Q:\Abteilungsprojekte\Eng\EngData\PROJECT_Bioplastics\Renjie_Pan\05-Raw_Data\Lab_results\[LabSamples2025_Bioplastic_extra.xlsx]extra_Bioplastic'!D90)," ",'Q:\Abteilungsprojekte\Eng\EngData\PROJECT_Bioplastics\Renjie_Pan\05-Raw_Data\Lab_results\[LabSamples2025_Bioplastic_extra.xlsx]extra_Bioplastic'!D90)</f>
        <v/>
      </c>
      <c r="E90">
        <f>IF(ISBLANK('Q:\Abteilungsprojekte\Eng\EngData\PROJECT_Bioplastics\Renjie_Pan\05-Raw_Data\Lab_results\[LabSamples2025_Bioplastic_extra.xlsx]extra_Bioplastic'!E90)," ",'Q:\Abteilungsprojekte\Eng\EngData\PROJECT_Bioplastics\Renjie_Pan\05-Raw_Data\Lab_results\[LabSamples2025_Bioplastic_extra.xlsx]extra_Bioplastic'!E90)</f>
        <v/>
      </c>
      <c r="F90">
        <f>IF(ISBLANK('Q:\Abteilungsprojekte\Eng\EngData\PROJECT_Bioplastics\Renjie_Pan\05-Raw_Data\Lab_results\[LabSamples2025_Bioplastic_extra.xlsx]extra_Bioplastic'!F90)," ",'Q:\Abteilungsprojekte\Eng\EngData\PROJECT_Bioplastics\Renjie_Pan\05-Raw_Data\Lab_results\[LabSamples2025_Bioplastic_extra.xlsx]extra_Bioplastic'!F90)</f>
        <v/>
      </c>
      <c r="G90">
        <f>IF(ISBLANK('Q:\Abteilungsprojekte\Eng\EngData\PROJECT_Bioplastics\Renjie_Pan\05-Raw_Data\Lab_results\[LabSamples2025_Bioplastic_extra.xlsx]extra_Bioplastic'!G90)," ",'Q:\Abteilungsprojekte\Eng\EngData\PROJECT_Bioplastics\Renjie_Pan\05-Raw_Data\Lab_results\[LabSamples2025_Bioplastic_extra.xlsx]extra_Bioplastic'!G90)</f>
        <v/>
      </c>
      <c r="H90">
        <f>IF(ISBLANK('Q:\Abteilungsprojekte\Eng\EngData\PROJECT_Bioplastics\Renjie_Pan\05-Raw_Data\Lab_results\[LabSamples2025_Bioplastic_extra.xlsx]extra_Bioplastic'!H90)," ",'Q:\Abteilungsprojekte\Eng\EngData\PROJECT_Bioplastics\Renjie_Pan\05-Raw_Data\Lab_results\[LabSamples2025_Bioplastic_extra.xlsx]extra_Bioplastic'!H90)</f>
        <v/>
      </c>
    </row>
    <row r="91">
      <c r="A91">
        <f>IF(ISBLANK('Q:\Abteilungsprojekte\Eng\EngData\PROJECT_Bioplastics\Renjie_Pan\05-Raw_Data\Lab_results\[LabSamples2025_Bioplastic_extra.xlsx]extra_Bioplastic'!A91)," ",'Q:\Abteilungsprojekte\Eng\EngData\PROJECT_Bioplastics\Renjie_Pan\05-Raw_Data\Lab_results\[LabSamples2025_Bioplastic_extra.xlsx]extra_Bioplastic'!A91)</f>
        <v/>
      </c>
      <c r="B91">
        <f>IF(ISBLANK('Q:\Abteilungsprojekte\Eng\EngData\PROJECT_Bioplastics\Renjie_Pan\05-Raw_Data\Lab_results\[LabSamples2025_Bioplastic_extra.xlsx]extra_Bioplastic'!B91)," ",'Q:\Abteilungsprojekte\Eng\EngData\PROJECT_Bioplastics\Renjie_Pan\05-Raw_Data\Lab_results\[LabSamples2025_Bioplastic_extra.xlsx]extra_Bioplastic'!B91)</f>
        <v/>
      </c>
      <c r="C91">
        <f>IF(ISBLANK('Q:\Abteilungsprojekte\Eng\EngData\PROJECT_Bioplastics\Renjie_Pan\05-Raw_Data\Lab_results\[LabSamples2025_Bioplastic_extra.xlsx]extra_Bioplastic'!C91)," ",'Q:\Abteilungsprojekte\Eng\EngData\PROJECT_Bioplastics\Renjie_Pan\05-Raw_Data\Lab_results\[LabSamples2025_Bioplastic_extra.xlsx]extra_Bioplastic'!C91)</f>
        <v/>
      </c>
      <c r="D91">
        <f>IF(ISBLANK('Q:\Abteilungsprojekte\Eng\EngData\PROJECT_Bioplastics\Renjie_Pan\05-Raw_Data\Lab_results\[LabSamples2025_Bioplastic_extra.xlsx]extra_Bioplastic'!D91)," ",'Q:\Abteilungsprojekte\Eng\EngData\PROJECT_Bioplastics\Renjie_Pan\05-Raw_Data\Lab_results\[LabSamples2025_Bioplastic_extra.xlsx]extra_Bioplastic'!D91)</f>
        <v/>
      </c>
      <c r="E91">
        <f>IF(ISBLANK('Q:\Abteilungsprojekte\Eng\EngData\PROJECT_Bioplastics\Renjie_Pan\05-Raw_Data\Lab_results\[LabSamples2025_Bioplastic_extra.xlsx]extra_Bioplastic'!E91)," ",'Q:\Abteilungsprojekte\Eng\EngData\PROJECT_Bioplastics\Renjie_Pan\05-Raw_Data\Lab_results\[LabSamples2025_Bioplastic_extra.xlsx]extra_Bioplastic'!E91)</f>
        <v/>
      </c>
      <c r="F91">
        <f>IF(ISBLANK('Q:\Abteilungsprojekte\Eng\EngData\PROJECT_Bioplastics\Renjie_Pan\05-Raw_Data\Lab_results\[LabSamples2025_Bioplastic_extra.xlsx]extra_Bioplastic'!F91)," ",'Q:\Abteilungsprojekte\Eng\EngData\PROJECT_Bioplastics\Renjie_Pan\05-Raw_Data\Lab_results\[LabSamples2025_Bioplastic_extra.xlsx]extra_Bioplastic'!F91)</f>
        <v/>
      </c>
      <c r="G91">
        <f>IF(ISBLANK('Q:\Abteilungsprojekte\Eng\EngData\PROJECT_Bioplastics\Renjie_Pan\05-Raw_Data\Lab_results\[LabSamples2025_Bioplastic_extra.xlsx]extra_Bioplastic'!G91)," ",'Q:\Abteilungsprojekte\Eng\EngData\PROJECT_Bioplastics\Renjie_Pan\05-Raw_Data\Lab_results\[LabSamples2025_Bioplastic_extra.xlsx]extra_Bioplastic'!G91)</f>
        <v/>
      </c>
      <c r="H91">
        <f>IF(ISBLANK('Q:\Abteilungsprojekte\Eng\EngData\PROJECT_Bioplastics\Renjie_Pan\05-Raw_Data\Lab_results\[LabSamples2025_Bioplastic_extra.xlsx]extra_Bioplastic'!H91)," ",'Q:\Abteilungsprojekte\Eng\EngData\PROJECT_Bioplastics\Renjie_Pan\05-Raw_Data\Lab_results\[LabSamples2025_Bioplastic_extra.xlsx]extra_Bioplastic'!H91)</f>
        <v/>
      </c>
    </row>
    <row r="92">
      <c r="A92">
        <f>IF(ISBLANK('Q:\Abteilungsprojekte\Eng\EngData\PROJECT_Bioplastics\Renjie_Pan\05-Raw_Data\Lab_results\[LabSamples2025_Bioplastic_extra.xlsx]extra_Bioplastic'!A92)," ",'Q:\Abteilungsprojekte\Eng\EngData\PROJECT_Bioplastics\Renjie_Pan\05-Raw_Data\Lab_results\[LabSamples2025_Bioplastic_extra.xlsx]extra_Bioplastic'!A92)</f>
        <v/>
      </c>
      <c r="B92">
        <f>IF(ISBLANK('Q:\Abteilungsprojekte\Eng\EngData\PROJECT_Bioplastics\Renjie_Pan\05-Raw_Data\Lab_results\[LabSamples2025_Bioplastic_extra.xlsx]extra_Bioplastic'!B92)," ",'Q:\Abteilungsprojekte\Eng\EngData\PROJECT_Bioplastics\Renjie_Pan\05-Raw_Data\Lab_results\[LabSamples2025_Bioplastic_extra.xlsx]extra_Bioplastic'!B92)</f>
        <v/>
      </c>
      <c r="C92">
        <f>IF(ISBLANK('Q:\Abteilungsprojekte\Eng\EngData\PROJECT_Bioplastics\Renjie_Pan\05-Raw_Data\Lab_results\[LabSamples2025_Bioplastic_extra.xlsx]extra_Bioplastic'!C92)," ",'Q:\Abteilungsprojekte\Eng\EngData\PROJECT_Bioplastics\Renjie_Pan\05-Raw_Data\Lab_results\[LabSamples2025_Bioplastic_extra.xlsx]extra_Bioplastic'!C92)</f>
        <v/>
      </c>
      <c r="D92">
        <f>IF(ISBLANK('Q:\Abteilungsprojekte\Eng\EngData\PROJECT_Bioplastics\Renjie_Pan\05-Raw_Data\Lab_results\[LabSamples2025_Bioplastic_extra.xlsx]extra_Bioplastic'!D92)," ",'Q:\Abteilungsprojekte\Eng\EngData\PROJECT_Bioplastics\Renjie_Pan\05-Raw_Data\Lab_results\[LabSamples2025_Bioplastic_extra.xlsx]extra_Bioplastic'!D92)</f>
        <v/>
      </c>
      <c r="E92">
        <f>IF(ISBLANK('Q:\Abteilungsprojekte\Eng\EngData\PROJECT_Bioplastics\Renjie_Pan\05-Raw_Data\Lab_results\[LabSamples2025_Bioplastic_extra.xlsx]extra_Bioplastic'!E92)," ",'Q:\Abteilungsprojekte\Eng\EngData\PROJECT_Bioplastics\Renjie_Pan\05-Raw_Data\Lab_results\[LabSamples2025_Bioplastic_extra.xlsx]extra_Bioplastic'!E92)</f>
        <v/>
      </c>
      <c r="F92">
        <f>IF(ISBLANK('Q:\Abteilungsprojekte\Eng\EngData\PROJECT_Bioplastics\Renjie_Pan\05-Raw_Data\Lab_results\[LabSamples2025_Bioplastic_extra.xlsx]extra_Bioplastic'!F92)," ",'Q:\Abteilungsprojekte\Eng\EngData\PROJECT_Bioplastics\Renjie_Pan\05-Raw_Data\Lab_results\[LabSamples2025_Bioplastic_extra.xlsx]extra_Bioplastic'!F92)</f>
        <v/>
      </c>
      <c r="G92">
        <f>IF(ISBLANK('Q:\Abteilungsprojekte\Eng\EngData\PROJECT_Bioplastics\Renjie_Pan\05-Raw_Data\Lab_results\[LabSamples2025_Bioplastic_extra.xlsx]extra_Bioplastic'!G92)," ",'Q:\Abteilungsprojekte\Eng\EngData\PROJECT_Bioplastics\Renjie_Pan\05-Raw_Data\Lab_results\[LabSamples2025_Bioplastic_extra.xlsx]extra_Bioplastic'!G92)</f>
        <v/>
      </c>
      <c r="H92">
        <f>IF(ISBLANK('Q:\Abteilungsprojekte\Eng\EngData\PROJECT_Bioplastics\Renjie_Pan\05-Raw_Data\Lab_results\[LabSamples2025_Bioplastic_extra.xlsx]extra_Bioplastic'!H92)," ",'Q:\Abteilungsprojekte\Eng\EngData\PROJECT_Bioplastics\Renjie_Pan\05-Raw_Data\Lab_results\[LabSamples2025_Bioplastic_extra.xlsx]extra_Bioplastic'!H92)</f>
        <v/>
      </c>
    </row>
    <row r="93">
      <c r="A93">
        <f>IF(ISBLANK('Q:\Abteilungsprojekte\Eng\EngData\PROJECT_Bioplastics\Renjie_Pan\05-Raw_Data\Lab_results\[LabSamples2025_Bioplastic_extra.xlsx]extra_Bioplastic'!A93)," ",'Q:\Abteilungsprojekte\Eng\EngData\PROJECT_Bioplastics\Renjie_Pan\05-Raw_Data\Lab_results\[LabSamples2025_Bioplastic_extra.xlsx]extra_Bioplastic'!A93)</f>
        <v/>
      </c>
      <c r="B93">
        <f>IF(ISBLANK('Q:\Abteilungsprojekte\Eng\EngData\PROJECT_Bioplastics\Renjie_Pan\05-Raw_Data\Lab_results\[LabSamples2025_Bioplastic_extra.xlsx]extra_Bioplastic'!B93)," ",'Q:\Abteilungsprojekte\Eng\EngData\PROJECT_Bioplastics\Renjie_Pan\05-Raw_Data\Lab_results\[LabSamples2025_Bioplastic_extra.xlsx]extra_Bioplastic'!B93)</f>
        <v/>
      </c>
      <c r="C93">
        <f>IF(ISBLANK('Q:\Abteilungsprojekte\Eng\EngData\PROJECT_Bioplastics\Renjie_Pan\05-Raw_Data\Lab_results\[LabSamples2025_Bioplastic_extra.xlsx]extra_Bioplastic'!C93)," ",'Q:\Abteilungsprojekte\Eng\EngData\PROJECT_Bioplastics\Renjie_Pan\05-Raw_Data\Lab_results\[LabSamples2025_Bioplastic_extra.xlsx]extra_Bioplastic'!C93)</f>
        <v/>
      </c>
      <c r="D93">
        <f>IF(ISBLANK('Q:\Abteilungsprojekte\Eng\EngData\PROJECT_Bioplastics\Renjie_Pan\05-Raw_Data\Lab_results\[LabSamples2025_Bioplastic_extra.xlsx]extra_Bioplastic'!D93)," ",'Q:\Abteilungsprojekte\Eng\EngData\PROJECT_Bioplastics\Renjie_Pan\05-Raw_Data\Lab_results\[LabSamples2025_Bioplastic_extra.xlsx]extra_Bioplastic'!D93)</f>
        <v/>
      </c>
      <c r="E93">
        <f>IF(ISBLANK('Q:\Abteilungsprojekte\Eng\EngData\PROJECT_Bioplastics\Renjie_Pan\05-Raw_Data\Lab_results\[LabSamples2025_Bioplastic_extra.xlsx]extra_Bioplastic'!E93)," ",'Q:\Abteilungsprojekte\Eng\EngData\PROJECT_Bioplastics\Renjie_Pan\05-Raw_Data\Lab_results\[LabSamples2025_Bioplastic_extra.xlsx]extra_Bioplastic'!E93)</f>
        <v/>
      </c>
      <c r="F93">
        <f>IF(ISBLANK('Q:\Abteilungsprojekte\Eng\EngData\PROJECT_Bioplastics\Renjie_Pan\05-Raw_Data\Lab_results\[LabSamples2025_Bioplastic_extra.xlsx]extra_Bioplastic'!F93)," ",'Q:\Abteilungsprojekte\Eng\EngData\PROJECT_Bioplastics\Renjie_Pan\05-Raw_Data\Lab_results\[LabSamples2025_Bioplastic_extra.xlsx]extra_Bioplastic'!F93)</f>
        <v/>
      </c>
      <c r="G93">
        <f>IF(ISBLANK('Q:\Abteilungsprojekte\Eng\EngData\PROJECT_Bioplastics\Renjie_Pan\05-Raw_Data\Lab_results\[LabSamples2025_Bioplastic_extra.xlsx]extra_Bioplastic'!G93)," ",'Q:\Abteilungsprojekte\Eng\EngData\PROJECT_Bioplastics\Renjie_Pan\05-Raw_Data\Lab_results\[LabSamples2025_Bioplastic_extra.xlsx]extra_Bioplastic'!G93)</f>
        <v/>
      </c>
      <c r="H93">
        <f>IF(ISBLANK('Q:\Abteilungsprojekte\Eng\EngData\PROJECT_Bioplastics\Renjie_Pan\05-Raw_Data\Lab_results\[LabSamples2025_Bioplastic_extra.xlsx]extra_Bioplastic'!H93)," ",'Q:\Abteilungsprojekte\Eng\EngData\PROJECT_Bioplastics\Renjie_Pan\05-Raw_Data\Lab_results\[LabSamples2025_Bioplastic_extra.xlsx]extra_Bioplastic'!H93)</f>
        <v/>
      </c>
    </row>
    <row r="94">
      <c r="A94">
        <f>IF(ISBLANK('Q:\Abteilungsprojekte\Eng\EngData\PROJECT_Bioplastics\Renjie_Pan\05-Raw_Data\Lab_results\[LabSamples2025_Bioplastic_extra.xlsx]extra_Bioplastic'!A94)," ",'Q:\Abteilungsprojekte\Eng\EngData\PROJECT_Bioplastics\Renjie_Pan\05-Raw_Data\Lab_results\[LabSamples2025_Bioplastic_extra.xlsx]extra_Bioplastic'!A94)</f>
        <v/>
      </c>
      <c r="B94">
        <f>IF(ISBLANK('Q:\Abteilungsprojekte\Eng\EngData\PROJECT_Bioplastics\Renjie_Pan\05-Raw_Data\Lab_results\[LabSamples2025_Bioplastic_extra.xlsx]extra_Bioplastic'!B94)," ",'Q:\Abteilungsprojekte\Eng\EngData\PROJECT_Bioplastics\Renjie_Pan\05-Raw_Data\Lab_results\[LabSamples2025_Bioplastic_extra.xlsx]extra_Bioplastic'!B94)</f>
        <v/>
      </c>
      <c r="C94">
        <f>IF(ISBLANK('Q:\Abteilungsprojekte\Eng\EngData\PROJECT_Bioplastics\Renjie_Pan\05-Raw_Data\Lab_results\[LabSamples2025_Bioplastic_extra.xlsx]extra_Bioplastic'!C94)," ",'Q:\Abteilungsprojekte\Eng\EngData\PROJECT_Bioplastics\Renjie_Pan\05-Raw_Data\Lab_results\[LabSamples2025_Bioplastic_extra.xlsx]extra_Bioplastic'!C94)</f>
        <v/>
      </c>
      <c r="D94">
        <f>IF(ISBLANK('Q:\Abteilungsprojekte\Eng\EngData\PROJECT_Bioplastics\Renjie_Pan\05-Raw_Data\Lab_results\[LabSamples2025_Bioplastic_extra.xlsx]extra_Bioplastic'!D94)," ",'Q:\Abteilungsprojekte\Eng\EngData\PROJECT_Bioplastics\Renjie_Pan\05-Raw_Data\Lab_results\[LabSamples2025_Bioplastic_extra.xlsx]extra_Bioplastic'!D94)</f>
        <v/>
      </c>
      <c r="E94">
        <f>IF(ISBLANK('Q:\Abteilungsprojekte\Eng\EngData\PROJECT_Bioplastics\Renjie_Pan\05-Raw_Data\Lab_results\[LabSamples2025_Bioplastic_extra.xlsx]extra_Bioplastic'!E94)," ",'Q:\Abteilungsprojekte\Eng\EngData\PROJECT_Bioplastics\Renjie_Pan\05-Raw_Data\Lab_results\[LabSamples2025_Bioplastic_extra.xlsx]extra_Bioplastic'!E94)</f>
        <v/>
      </c>
      <c r="F94">
        <f>IF(ISBLANK('Q:\Abteilungsprojekte\Eng\EngData\PROJECT_Bioplastics\Renjie_Pan\05-Raw_Data\Lab_results\[LabSamples2025_Bioplastic_extra.xlsx]extra_Bioplastic'!F94)," ",'Q:\Abteilungsprojekte\Eng\EngData\PROJECT_Bioplastics\Renjie_Pan\05-Raw_Data\Lab_results\[LabSamples2025_Bioplastic_extra.xlsx]extra_Bioplastic'!F94)</f>
        <v/>
      </c>
      <c r="G94">
        <f>IF(ISBLANK('Q:\Abteilungsprojekte\Eng\EngData\PROJECT_Bioplastics\Renjie_Pan\05-Raw_Data\Lab_results\[LabSamples2025_Bioplastic_extra.xlsx]extra_Bioplastic'!G94)," ",'Q:\Abteilungsprojekte\Eng\EngData\PROJECT_Bioplastics\Renjie_Pan\05-Raw_Data\Lab_results\[LabSamples2025_Bioplastic_extra.xlsx]extra_Bioplastic'!G94)</f>
        <v/>
      </c>
      <c r="H94">
        <f>IF(ISBLANK('Q:\Abteilungsprojekte\Eng\EngData\PROJECT_Bioplastics\Renjie_Pan\05-Raw_Data\Lab_results\[LabSamples2025_Bioplastic_extra.xlsx]extra_Bioplastic'!H94)," ",'Q:\Abteilungsprojekte\Eng\EngData\PROJECT_Bioplastics\Renjie_Pan\05-Raw_Data\Lab_results\[LabSamples2025_Bioplastic_extra.xlsx]extra_Bioplastic'!H94)</f>
        <v/>
      </c>
    </row>
    <row r="95">
      <c r="A95">
        <f>IF(ISBLANK('Q:\Abteilungsprojekte\Eng\EngData\PROJECT_Bioplastics\Renjie_Pan\05-Raw_Data\Lab_results\[LabSamples2025_Bioplastic_extra.xlsx]extra_Bioplastic'!A95)," ",'Q:\Abteilungsprojekte\Eng\EngData\PROJECT_Bioplastics\Renjie_Pan\05-Raw_Data\Lab_results\[LabSamples2025_Bioplastic_extra.xlsx]extra_Bioplastic'!A95)</f>
        <v/>
      </c>
      <c r="B95">
        <f>IF(ISBLANK('Q:\Abteilungsprojekte\Eng\EngData\PROJECT_Bioplastics\Renjie_Pan\05-Raw_Data\Lab_results\[LabSamples2025_Bioplastic_extra.xlsx]extra_Bioplastic'!B95)," ",'Q:\Abteilungsprojekte\Eng\EngData\PROJECT_Bioplastics\Renjie_Pan\05-Raw_Data\Lab_results\[LabSamples2025_Bioplastic_extra.xlsx]extra_Bioplastic'!B95)</f>
        <v/>
      </c>
      <c r="C95">
        <f>IF(ISBLANK('Q:\Abteilungsprojekte\Eng\EngData\PROJECT_Bioplastics\Renjie_Pan\05-Raw_Data\Lab_results\[LabSamples2025_Bioplastic_extra.xlsx]extra_Bioplastic'!C95)," ",'Q:\Abteilungsprojekte\Eng\EngData\PROJECT_Bioplastics\Renjie_Pan\05-Raw_Data\Lab_results\[LabSamples2025_Bioplastic_extra.xlsx]extra_Bioplastic'!C95)</f>
        <v/>
      </c>
      <c r="D95">
        <f>IF(ISBLANK('Q:\Abteilungsprojekte\Eng\EngData\PROJECT_Bioplastics\Renjie_Pan\05-Raw_Data\Lab_results\[LabSamples2025_Bioplastic_extra.xlsx]extra_Bioplastic'!D95)," ",'Q:\Abteilungsprojekte\Eng\EngData\PROJECT_Bioplastics\Renjie_Pan\05-Raw_Data\Lab_results\[LabSamples2025_Bioplastic_extra.xlsx]extra_Bioplastic'!D95)</f>
        <v/>
      </c>
      <c r="E95">
        <f>IF(ISBLANK('Q:\Abteilungsprojekte\Eng\EngData\PROJECT_Bioplastics\Renjie_Pan\05-Raw_Data\Lab_results\[LabSamples2025_Bioplastic_extra.xlsx]extra_Bioplastic'!E95)," ",'Q:\Abteilungsprojekte\Eng\EngData\PROJECT_Bioplastics\Renjie_Pan\05-Raw_Data\Lab_results\[LabSamples2025_Bioplastic_extra.xlsx]extra_Bioplastic'!E95)</f>
        <v/>
      </c>
      <c r="F95">
        <f>IF(ISBLANK('Q:\Abteilungsprojekte\Eng\EngData\PROJECT_Bioplastics\Renjie_Pan\05-Raw_Data\Lab_results\[LabSamples2025_Bioplastic_extra.xlsx]extra_Bioplastic'!F95)," ",'Q:\Abteilungsprojekte\Eng\EngData\PROJECT_Bioplastics\Renjie_Pan\05-Raw_Data\Lab_results\[LabSamples2025_Bioplastic_extra.xlsx]extra_Bioplastic'!F95)</f>
        <v/>
      </c>
      <c r="G95">
        <f>IF(ISBLANK('Q:\Abteilungsprojekte\Eng\EngData\PROJECT_Bioplastics\Renjie_Pan\05-Raw_Data\Lab_results\[LabSamples2025_Bioplastic_extra.xlsx]extra_Bioplastic'!G95)," ",'Q:\Abteilungsprojekte\Eng\EngData\PROJECT_Bioplastics\Renjie_Pan\05-Raw_Data\Lab_results\[LabSamples2025_Bioplastic_extra.xlsx]extra_Bioplastic'!G95)</f>
        <v/>
      </c>
      <c r="H95">
        <f>IF(ISBLANK('Q:\Abteilungsprojekte\Eng\EngData\PROJECT_Bioplastics\Renjie_Pan\05-Raw_Data\Lab_results\[LabSamples2025_Bioplastic_extra.xlsx]extra_Bioplastic'!H95)," ",'Q:\Abteilungsprojekte\Eng\EngData\PROJECT_Bioplastics\Renjie_Pan\05-Raw_Data\Lab_results\[LabSamples2025_Bioplastic_extra.xlsx]extra_Bioplastic'!H95)</f>
        <v/>
      </c>
    </row>
    <row r="96">
      <c r="A96">
        <f>IF(ISBLANK('Q:\Abteilungsprojekte\Eng\EngData\PROJECT_Bioplastics\Renjie_Pan\05-Raw_Data\Lab_results\[LabSamples2025_Bioplastic_extra.xlsx]extra_Bioplastic'!A96)," ",'Q:\Abteilungsprojekte\Eng\EngData\PROJECT_Bioplastics\Renjie_Pan\05-Raw_Data\Lab_results\[LabSamples2025_Bioplastic_extra.xlsx]extra_Bioplastic'!A96)</f>
        <v/>
      </c>
      <c r="B96">
        <f>IF(ISBLANK('Q:\Abteilungsprojekte\Eng\EngData\PROJECT_Bioplastics\Renjie_Pan\05-Raw_Data\Lab_results\[LabSamples2025_Bioplastic_extra.xlsx]extra_Bioplastic'!B96)," ",'Q:\Abteilungsprojekte\Eng\EngData\PROJECT_Bioplastics\Renjie_Pan\05-Raw_Data\Lab_results\[LabSamples2025_Bioplastic_extra.xlsx]extra_Bioplastic'!B96)</f>
        <v/>
      </c>
      <c r="C96">
        <f>IF(ISBLANK('Q:\Abteilungsprojekte\Eng\EngData\PROJECT_Bioplastics\Renjie_Pan\05-Raw_Data\Lab_results\[LabSamples2025_Bioplastic_extra.xlsx]extra_Bioplastic'!C96)," ",'Q:\Abteilungsprojekte\Eng\EngData\PROJECT_Bioplastics\Renjie_Pan\05-Raw_Data\Lab_results\[LabSamples2025_Bioplastic_extra.xlsx]extra_Bioplastic'!C96)</f>
        <v/>
      </c>
      <c r="D96">
        <f>IF(ISBLANK('Q:\Abteilungsprojekte\Eng\EngData\PROJECT_Bioplastics\Renjie_Pan\05-Raw_Data\Lab_results\[LabSamples2025_Bioplastic_extra.xlsx]extra_Bioplastic'!D96)," ",'Q:\Abteilungsprojekte\Eng\EngData\PROJECT_Bioplastics\Renjie_Pan\05-Raw_Data\Lab_results\[LabSamples2025_Bioplastic_extra.xlsx]extra_Bioplastic'!D96)</f>
        <v/>
      </c>
      <c r="E96">
        <f>IF(ISBLANK('Q:\Abteilungsprojekte\Eng\EngData\PROJECT_Bioplastics\Renjie_Pan\05-Raw_Data\Lab_results\[LabSamples2025_Bioplastic_extra.xlsx]extra_Bioplastic'!E96)," ",'Q:\Abteilungsprojekte\Eng\EngData\PROJECT_Bioplastics\Renjie_Pan\05-Raw_Data\Lab_results\[LabSamples2025_Bioplastic_extra.xlsx]extra_Bioplastic'!E96)</f>
        <v/>
      </c>
      <c r="F96">
        <f>IF(ISBLANK('Q:\Abteilungsprojekte\Eng\EngData\PROJECT_Bioplastics\Renjie_Pan\05-Raw_Data\Lab_results\[LabSamples2025_Bioplastic_extra.xlsx]extra_Bioplastic'!F96)," ",'Q:\Abteilungsprojekte\Eng\EngData\PROJECT_Bioplastics\Renjie_Pan\05-Raw_Data\Lab_results\[LabSamples2025_Bioplastic_extra.xlsx]extra_Bioplastic'!F96)</f>
        <v/>
      </c>
      <c r="G96">
        <f>IF(ISBLANK('Q:\Abteilungsprojekte\Eng\EngData\PROJECT_Bioplastics\Renjie_Pan\05-Raw_Data\Lab_results\[LabSamples2025_Bioplastic_extra.xlsx]extra_Bioplastic'!G96)," ",'Q:\Abteilungsprojekte\Eng\EngData\PROJECT_Bioplastics\Renjie_Pan\05-Raw_Data\Lab_results\[LabSamples2025_Bioplastic_extra.xlsx]extra_Bioplastic'!G96)</f>
        <v/>
      </c>
      <c r="H96">
        <f>IF(ISBLANK('Q:\Abteilungsprojekte\Eng\EngData\PROJECT_Bioplastics\Renjie_Pan\05-Raw_Data\Lab_results\[LabSamples2025_Bioplastic_extra.xlsx]extra_Bioplastic'!H96)," ",'Q:\Abteilungsprojekte\Eng\EngData\PROJECT_Bioplastics\Renjie_Pan\05-Raw_Data\Lab_results\[LabSamples2025_Bioplastic_extra.xlsx]extra_Bioplastic'!H96)</f>
        <v/>
      </c>
    </row>
    <row r="97">
      <c r="A97">
        <f>IF(ISBLANK('Q:\Abteilungsprojekte\Eng\EngData\PROJECT_Bioplastics\Renjie_Pan\05-Raw_Data\Lab_results\[LabSamples2025_Bioplastic_extra.xlsx]extra_Bioplastic'!A97)," ",'Q:\Abteilungsprojekte\Eng\EngData\PROJECT_Bioplastics\Renjie_Pan\05-Raw_Data\Lab_results\[LabSamples2025_Bioplastic_extra.xlsx]extra_Bioplastic'!A97)</f>
        <v/>
      </c>
      <c r="B97">
        <f>IF(ISBLANK('Q:\Abteilungsprojekte\Eng\EngData\PROJECT_Bioplastics\Renjie_Pan\05-Raw_Data\Lab_results\[LabSamples2025_Bioplastic_extra.xlsx]extra_Bioplastic'!B97)," ",'Q:\Abteilungsprojekte\Eng\EngData\PROJECT_Bioplastics\Renjie_Pan\05-Raw_Data\Lab_results\[LabSamples2025_Bioplastic_extra.xlsx]extra_Bioplastic'!B97)</f>
        <v/>
      </c>
      <c r="C97">
        <f>IF(ISBLANK('Q:\Abteilungsprojekte\Eng\EngData\PROJECT_Bioplastics\Renjie_Pan\05-Raw_Data\Lab_results\[LabSamples2025_Bioplastic_extra.xlsx]extra_Bioplastic'!C97)," ",'Q:\Abteilungsprojekte\Eng\EngData\PROJECT_Bioplastics\Renjie_Pan\05-Raw_Data\Lab_results\[LabSamples2025_Bioplastic_extra.xlsx]extra_Bioplastic'!C97)</f>
        <v/>
      </c>
      <c r="D97">
        <f>IF(ISBLANK('Q:\Abteilungsprojekte\Eng\EngData\PROJECT_Bioplastics\Renjie_Pan\05-Raw_Data\Lab_results\[LabSamples2025_Bioplastic_extra.xlsx]extra_Bioplastic'!D97)," ",'Q:\Abteilungsprojekte\Eng\EngData\PROJECT_Bioplastics\Renjie_Pan\05-Raw_Data\Lab_results\[LabSamples2025_Bioplastic_extra.xlsx]extra_Bioplastic'!D97)</f>
        <v/>
      </c>
      <c r="E97">
        <f>IF(ISBLANK('Q:\Abteilungsprojekte\Eng\EngData\PROJECT_Bioplastics\Renjie_Pan\05-Raw_Data\Lab_results\[LabSamples2025_Bioplastic_extra.xlsx]extra_Bioplastic'!E97)," ",'Q:\Abteilungsprojekte\Eng\EngData\PROJECT_Bioplastics\Renjie_Pan\05-Raw_Data\Lab_results\[LabSamples2025_Bioplastic_extra.xlsx]extra_Bioplastic'!E97)</f>
        <v/>
      </c>
      <c r="F97">
        <f>IF(ISBLANK('Q:\Abteilungsprojekte\Eng\EngData\PROJECT_Bioplastics\Renjie_Pan\05-Raw_Data\Lab_results\[LabSamples2025_Bioplastic_extra.xlsx]extra_Bioplastic'!F97)," ",'Q:\Abteilungsprojekte\Eng\EngData\PROJECT_Bioplastics\Renjie_Pan\05-Raw_Data\Lab_results\[LabSamples2025_Bioplastic_extra.xlsx]extra_Bioplastic'!F97)</f>
        <v/>
      </c>
      <c r="G97">
        <f>IF(ISBLANK('Q:\Abteilungsprojekte\Eng\EngData\PROJECT_Bioplastics\Renjie_Pan\05-Raw_Data\Lab_results\[LabSamples2025_Bioplastic_extra.xlsx]extra_Bioplastic'!G97)," ",'Q:\Abteilungsprojekte\Eng\EngData\PROJECT_Bioplastics\Renjie_Pan\05-Raw_Data\Lab_results\[LabSamples2025_Bioplastic_extra.xlsx]extra_Bioplastic'!G97)</f>
        <v/>
      </c>
      <c r="H97">
        <f>IF(ISBLANK('Q:\Abteilungsprojekte\Eng\EngData\PROJECT_Bioplastics\Renjie_Pan\05-Raw_Data\Lab_results\[LabSamples2025_Bioplastic_extra.xlsx]extra_Bioplastic'!H97)," ",'Q:\Abteilungsprojekte\Eng\EngData\PROJECT_Bioplastics\Renjie_Pan\05-Raw_Data\Lab_results\[LabSamples2025_Bioplastic_extra.xlsx]extra_Bioplastic'!H97)</f>
        <v/>
      </c>
    </row>
    <row r="98">
      <c r="A98">
        <f>IF(ISBLANK('Q:\Abteilungsprojekte\Eng\EngData\PROJECT_Bioplastics\Renjie_Pan\05-Raw_Data\Lab_results\[LabSamples2025_Bioplastic_extra.xlsx]extra_Bioplastic'!A98)," ",'Q:\Abteilungsprojekte\Eng\EngData\PROJECT_Bioplastics\Renjie_Pan\05-Raw_Data\Lab_results\[LabSamples2025_Bioplastic_extra.xlsx]extra_Bioplastic'!A98)</f>
        <v/>
      </c>
      <c r="B98">
        <f>IF(ISBLANK('Q:\Abteilungsprojekte\Eng\EngData\PROJECT_Bioplastics\Renjie_Pan\05-Raw_Data\Lab_results\[LabSamples2025_Bioplastic_extra.xlsx]extra_Bioplastic'!B98)," ",'Q:\Abteilungsprojekte\Eng\EngData\PROJECT_Bioplastics\Renjie_Pan\05-Raw_Data\Lab_results\[LabSamples2025_Bioplastic_extra.xlsx]extra_Bioplastic'!B98)</f>
        <v/>
      </c>
      <c r="C98">
        <f>IF(ISBLANK('Q:\Abteilungsprojekte\Eng\EngData\PROJECT_Bioplastics\Renjie_Pan\05-Raw_Data\Lab_results\[LabSamples2025_Bioplastic_extra.xlsx]extra_Bioplastic'!C98)," ",'Q:\Abteilungsprojekte\Eng\EngData\PROJECT_Bioplastics\Renjie_Pan\05-Raw_Data\Lab_results\[LabSamples2025_Bioplastic_extra.xlsx]extra_Bioplastic'!C98)</f>
        <v/>
      </c>
      <c r="D98">
        <f>IF(ISBLANK('Q:\Abteilungsprojekte\Eng\EngData\PROJECT_Bioplastics\Renjie_Pan\05-Raw_Data\Lab_results\[LabSamples2025_Bioplastic_extra.xlsx]extra_Bioplastic'!D98)," ",'Q:\Abteilungsprojekte\Eng\EngData\PROJECT_Bioplastics\Renjie_Pan\05-Raw_Data\Lab_results\[LabSamples2025_Bioplastic_extra.xlsx]extra_Bioplastic'!D98)</f>
        <v/>
      </c>
      <c r="E98">
        <f>IF(ISBLANK('Q:\Abteilungsprojekte\Eng\EngData\PROJECT_Bioplastics\Renjie_Pan\05-Raw_Data\Lab_results\[LabSamples2025_Bioplastic_extra.xlsx]extra_Bioplastic'!E98)," ",'Q:\Abteilungsprojekte\Eng\EngData\PROJECT_Bioplastics\Renjie_Pan\05-Raw_Data\Lab_results\[LabSamples2025_Bioplastic_extra.xlsx]extra_Bioplastic'!E98)</f>
        <v/>
      </c>
      <c r="F98">
        <f>IF(ISBLANK('Q:\Abteilungsprojekte\Eng\EngData\PROJECT_Bioplastics\Renjie_Pan\05-Raw_Data\Lab_results\[LabSamples2025_Bioplastic_extra.xlsx]extra_Bioplastic'!F98)," ",'Q:\Abteilungsprojekte\Eng\EngData\PROJECT_Bioplastics\Renjie_Pan\05-Raw_Data\Lab_results\[LabSamples2025_Bioplastic_extra.xlsx]extra_Bioplastic'!F98)</f>
        <v/>
      </c>
      <c r="G98">
        <f>IF(ISBLANK('Q:\Abteilungsprojekte\Eng\EngData\PROJECT_Bioplastics\Renjie_Pan\05-Raw_Data\Lab_results\[LabSamples2025_Bioplastic_extra.xlsx]extra_Bioplastic'!G98)," ",'Q:\Abteilungsprojekte\Eng\EngData\PROJECT_Bioplastics\Renjie_Pan\05-Raw_Data\Lab_results\[LabSamples2025_Bioplastic_extra.xlsx]extra_Bioplastic'!G98)</f>
        <v/>
      </c>
      <c r="H98">
        <f>IF(ISBLANK('Q:\Abteilungsprojekte\Eng\EngData\PROJECT_Bioplastics\Renjie_Pan\05-Raw_Data\Lab_results\[LabSamples2025_Bioplastic_extra.xlsx]extra_Bioplastic'!H98)," ",'Q:\Abteilungsprojekte\Eng\EngData\PROJECT_Bioplastics\Renjie_Pan\05-Raw_Data\Lab_results\[LabSamples2025_Bioplastic_extra.xlsx]extra_Bioplastic'!H98)</f>
        <v/>
      </c>
    </row>
    <row r="99">
      <c r="A99">
        <f>IF(ISBLANK('Q:\Abteilungsprojekte\Eng\EngData\PROJECT_Bioplastics\Renjie_Pan\05-Raw_Data\Lab_results\[LabSamples2025_Bioplastic_extra.xlsx]extra_Bioplastic'!A99)," ",'Q:\Abteilungsprojekte\Eng\EngData\PROJECT_Bioplastics\Renjie_Pan\05-Raw_Data\Lab_results\[LabSamples2025_Bioplastic_extra.xlsx]extra_Bioplastic'!A99)</f>
        <v/>
      </c>
      <c r="B99">
        <f>IF(ISBLANK('Q:\Abteilungsprojekte\Eng\EngData\PROJECT_Bioplastics\Renjie_Pan\05-Raw_Data\Lab_results\[LabSamples2025_Bioplastic_extra.xlsx]extra_Bioplastic'!B99)," ",'Q:\Abteilungsprojekte\Eng\EngData\PROJECT_Bioplastics\Renjie_Pan\05-Raw_Data\Lab_results\[LabSamples2025_Bioplastic_extra.xlsx]extra_Bioplastic'!B99)</f>
        <v/>
      </c>
      <c r="C99">
        <f>IF(ISBLANK('Q:\Abteilungsprojekte\Eng\EngData\PROJECT_Bioplastics\Renjie_Pan\05-Raw_Data\Lab_results\[LabSamples2025_Bioplastic_extra.xlsx]extra_Bioplastic'!C99)," ",'Q:\Abteilungsprojekte\Eng\EngData\PROJECT_Bioplastics\Renjie_Pan\05-Raw_Data\Lab_results\[LabSamples2025_Bioplastic_extra.xlsx]extra_Bioplastic'!C99)</f>
        <v/>
      </c>
      <c r="D99">
        <f>IF(ISBLANK('Q:\Abteilungsprojekte\Eng\EngData\PROJECT_Bioplastics\Renjie_Pan\05-Raw_Data\Lab_results\[LabSamples2025_Bioplastic_extra.xlsx]extra_Bioplastic'!D99)," ",'Q:\Abteilungsprojekte\Eng\EngData\PROJECT_Bioplastics\Renjie_Pan\05-Raw_Data\Lab_results\[LabSamples2025_Bioplastic_extra.xlsx]extra_Bioplastic'!D99)</f>
        <v/>
      </c>
      <c r="E99">
        <f>IF(ISBLANK('Q:\Abteilungsprojekte\Eng\EngData\PROJECT_Bioplastics\Renjie_Pan\05-Raw_Data\Lab_results\[LabSamples2025_Bioplastic_extra.xlsx]extra_Bioplastic'!E99)," ",'Q:\Abteilungsprojekte\Eng\EngData\PROJECT_Bioplastics\Renjie_Pan\05-Raw_Data\Lab_results\[LabSamples2025_Bioplastic_extra.xlsx]extra_Bioplastic'!E99)</f>
        <v/>
      </c>
      <c r="F99">
        <f>IF(ISBLANK('Q:\Abteilungsprojekte\Eng\EngData\PROJECT_Bioplastics\Renjie_Pan\05-Raw_Data\Lab_results\[LabSamples2025_Bioplastic_extra.xlsx]extra_Bioplastic'!F99)," ",'Q:\Abteilungsprojekte\Eng\EngData\PROJECT_Bioplastics\Renjie_Pan\05-Raw_Data\Lab_results\[LabSamples2025_Bioplastic_extra.xlsx]extra_Bioplastic'!F99)</f>
        <v/>
      </c>
      <c r="G99">
        <f>IF(ISBLANK('Q:\Abteilungsprojekte\Eng\EngData\PROJECT_Bioplastics\Renjie_Pan\05-Raw_Data\Lab_results\[LabSamples2025_Bioplastic_extra.xlsx]extra_Bioplastic'!G99)," ",'Q:\Abteilungsprojekte\Eng\EngData\PROJECT_Bioplastics\Renjie_Pan\05-Raw_Data\Lab_results\[LabSamples2025_Bioplastic_extra.xlsx]extra_Bioplastic'!G99)</f>
        <v/>
      </c>
      <c r="H99">
        <f>IF(ISBLANK('Q:\Abteilungsprojekte\Eng\EngData\PROJECT_Bioplastics\Renjie_Pan\05-Raw_Data\Lab_results\[LabSamples2025_Bioplastic_extra.xlsx]extra_Bioplastic'!H99)," ",'Q:\Abteilungsprojekte\Eng\EngData\PROJECT_Bioplastics\Renjie_Pan\05-Raw_Data\Lab_results\[LabSamples2025_Bioplastic_extra.xlsx]extra_Bioplastic'!H99)</f>
        <v/>
      </c>
    </row>
    <row r="100">
      <c r="A100">
        <f>IF(ISBLANK('Q:\Abteilungsprojekte\Eng\EngData\PROJECT_Bioplastics\Renjie_Pan\05-Raw_Data\Lab_results\[LabSamples2025_Bioplastic_extra.xlsx]extra_Bioplastic'!A100)," ",'Q:\Abteilungsprojekte\Eng\EngData\PROJECT_Bioplastics\Renjie_Pan\05-Raw_Data\Lab_results\[LabSamples2025_Bioplastic_extra.xlsx]extra_Bioplastic'!A100)</f>
        <v/>
      </c>
      <c r="B100">
        <f>IF(ISBLANK('Q:\Abteilungsprojekte\Eng\EngData\PROJECT_Bioplastics\Renjie_Pan\05-Raw_Data\Lab_results\[LabSamples2025_Bioplastic_extra.xlsx]extra_Bioplastic'!B100)," ",'Q:\Abteilungsprojekte\Eng\EngData\PROJECT_Bioplastics\Renjie_Pan\05-Raw_Data\Lab_results\[LabSamples2025_Bioplastic_extra.xlsx]extra_Bioplastic'!B100)</f>
        <v/>
      </c>
      <c r="C100">
        <f>IF(ISBLANK('Q:\Abteilungsprojekte\Eng\EngData\PROJECT_Bioplastics\Renjie_Pan\05-Raw_Data\Lab_results\[LabSamples2025_Bioplastic_extra.xlsx]extra_Bioplastic'!C100)," ",'Q:\Abteilungsprojekte\Eng\EngData\PROJECT_Bioplastics\Renjie_Pan\05-Raw_Data\Lab_results\[LabSamples2025_Bioplastic_extra.xlsx]extra_Bioplastic'!C100)</f>
        <v/>
      </c>
      <c r="D100">
        <f>IF(ISBLANK('Q:\Abteilungsprojekte\Eng\EngData\PROJECT_Bioplastics\Renjie_Pan\05-Raw_Data\Lab_results\[LabSamples2025_Bioplastic_extra.xlsx]extra_Bioplastic'!D100)," ",'Q:\Abteilungsprojekte\Eng\EngData\PROJECT_Bioplastics\Renjie_Pan\05-Raw_Data\Lab_results\[LabSamples2025_Bioplastic_extra.xlsx]extra_Bioplastic'!D100)</f>
        <v/>
      </c>
      <c r="E100">
        <f>IF(ISBLANK('Q:\Abteilungsprojekte\Eng\EngData\PROJECT_Bioplastics\Renjie_Pan\05-Raw_Data\Lab_results\[LabSamples2025_Bioplastic_extra.xlsx]extra_Bioplastic'!E100)," ",'Q:\Abteilungsprojekte\Eng\EngData\PROJECT_Bioplastics\Renjie_Pan\05-Raw_Data\Lab_results\[LabSamples2025_Bioplastic_extra.xlsx]extra_Bioplastic'!E100)</f>
        <v/>
      </c>
      <c r="F100">
        <f>IF(ISBLANK('Q:\Abteilungsprojekte\Eng\EngData\PROJECT_Bioplastics\Renjie_Pan\05-Raw_Data\Lab_results\[LabSamples2025_Bioplastic_extra.xlsx]extra_Bioplastic'!F100)," ",'Q:\Abteilungsprojekte\Eng\EngData\PROJECT_Bioplastics\Renjie_Pan\05-Raw_Data\Lab_results\[LabSamples2025_Bioplastic_extra.xlsx]extra_Bioplastic'!F100)</f>
        <v/>
      </c>
      <c r="G100">
        <f>IF(ISBLANK('Q:\Abteilungsprojekte\Eng\EngData\PROJECT_Bioplastics\Renjie_Pan\05-Raw_Data\Lab_results\[LabSamples2025_Bioplastic_extra.xlsx]extra_Bioplastic'!G100)," ",'Q:\Abteilungsprojekte\Eng\EngData\PROJECT_Bioplastics\Renjie_Pan\05-Raw_Data\Lab_results\[LabSamples2025_Bioplastic_extra.xlsx]extra_Bioplastic'!G100)</f>
        <v/>
      </c>
      <c r="H100">
        <f>IF(ISBLANK('Q:\Abteilungsprojekte\Eng\EngData\PROJECT_Bioplastics\Renjie_Pan\05-Raw_Data\Lab_results\[LabSamples2025_Bioplastic_extra.xlsx]extra_Bioplastic'!H100)," ",'Q:\Abteilungsprojekte\Eng\EngData\PROJECT_Bioplastics\Renjie_Pan\05-Raw_Data\Lab_results\[LabSamples2025_Bioplastic_extra.xlsx]extra_Bioplastic'!H100)</f>
        <v/>
      </c>
    </row>
    <row r="101">
      <c r="A101">
        <f>IF(ISBLANK('Q:\Abteilungsprojekte\Eng\EngData\PROJECT_Bioplastics\Renjie_Pan\05-Raw_Data\Lab_results\[LabSamples2025_Bioplastic_extra.xlsx]extra_Bioplastic'!A101)," ",'Q:\Abteilungsprojekte\Eng\EngData\PROJECT_Bioplastics\Renjie_Pan\05-Raw_Data\Lab_results\[LabSamples2025_Bioplastic_extra.xlsx]extra_Bioplastic'!A101)</f>
        <v/>
      </c>
      <c r="B101">
        <f>IF(ISBLANK('Q:\Abteilungsprojekte\Eng\EngData\PROJECT_Bioplastics\Renjie_Pan\05-Raw_Data\Lab_results\[LabSamples2025_Bioplastic_extra.xlsx]extra_Bioplastic'!B101)," ",'Q:\Abteilungsprojekte\Eng\EngData\PROJECT_Bioplastics\Renjie_Pan\05-Raw_Data\Lab_results\[LabSamples2025_Bioplastic_extra.xlsx]extra_Bioplastic'!B101)</f>
        <v/>
      </c>
      <c r="C101">
        <f>IF(ISBLANK('Q:\Abteilungsprojekte\Eng\EngData\PROJECT_Bioplastics\Renjie_Pan\05-Raw_Data\Lab_results\[LabSamples2025_Bioplastic_extra.xlsx]extra_Bioplastic'!C101)," ",'Q:\Abteilungsprojekte\Eng\EngData\PROJECT_Bioplastics\Renjie_Pan\05-Raw_Data\Lab_results\[LabSamples2025_Bioplastic_extra.xlsx]extra_Bioplastic'!C101)</f>
        <v/>
      </c>
      <c r="D101">
        <f>IF(ISBLANK('Q:\Abteilungsprojekte\Eng\EngData\PROJECT_Bioplastics\Renjie_Pan\05-Raw_Data\Lab_results\[LabSamples2025_Bioplastic_extra.xlsx]extra_Bioplastic'!D101)," ",'Q:\Abteilungsprojekte\Eng\EngData\PROJECT_Bioplastics\Renjie_Pan\05-Raw_Data\Lab_results\[LabSamples2025_Bioplastic_extra.xlsx]extra_Bioplastic'!D101)</f>
        <v/>
      </c>
      <c r="E101">
        <f>IF(ISBLANK('Q:\Abteilungsprojekte\Eng\EngData\PROJECT_Bioplastics\Renjie_Pan\05-Raw_Data\Lab_results\[LabSamples2025_Bioplastic_extra.xlsx]extra_Bioplastic'!E101)," ",'Q:\Abteilungsprojekte\Eng\EngData\PROJECT_Bioplastics\Renjie_Pan\05-Raw_Data\Lab_results\[LabSamples2025_Bioplastic_extra.xlsx]extra_Bioplastic'!E101)</f>
        <v/>
      </c>
      <c r="F101">
        <f>IF(ISBLANK('Q:\Abteilungsprojekte\Eng\EngData\PROJECT_Bioplastics\Renjie_Pan\05-Raw_Data\Lab_results\[LabSamples2025_Bioplastic_extra.xlsx]extra_Bioplastic'!F101)," ",'Q:\Abteilungsprojekte\Eng\EngData\PROJECT_Bioplastics\Renjie_Pan\05-Raw_Data\Lab_results\[LabSamples2025_Bioplastic_extra.xlsx]extra_Bioplastic'!F101)</f>
        <v/>
      </c>
      <c r="G101">
        <f>IF(ISBLANK('Q:\Abteilungsprojekte\Eng\EngData\PROJECT_Bioplastics\Renjie_Pan\05-Raw_Data\Lab_results\[LabSamples2025_Bioplastic_extra.xlsx]extra_Bioplastic'!G101)," ",'Q:\Abteilungsprojekte\Eng\EngData\PROJECT_Bioplastics\Renjie_Pan\05-Raw_Data\Lab_results\[LabSamples2025_Bioplastic_extra.xlsx]extra_Bioplastic'!G101)</f>
        <v/>
      </c>
      <c r="H101">
        <f>IF(ISBLANK('Q:\Abteilungsprojekte\Eng\EngData\PROJECT_Bioplastics\Renjie_Pan\05-Raw_Data\Lab_results\[LabSamples2025_Bioplastic_extra.xlsx]extra_Bioplastic'!H101)," ",'Q:\Abteilungsprojekte\Eng\EngData\PROJECT_Bioplastics\Renjie_Pan\05-Raw_Data\Lab_results\[LabSamples2025_Bioplastic_extra.xlsx]extra_Bioplastic'!H101)</f>
        <v/>
      </c>
    </row>
    <row r="102">
      <c r="A102">
        <f>IF(ISBLANK('Q:\Abteilungsprojekte\Eng\EngData\PROJECT_Bioplastics\Renjie_Pan\05-Raw_Data\Lab_results\[LabSamples2025_Bioplastic_extra.xlsx]extra_Bioplastic'!A102)," ",'Q:\Abteilungsprojekte\Eng\EngData\PROJECT_Bioplastics\Renjie_Pan\05-Raw_Data\Lab_results\[LabSamples2025_Bioplastic_extra.xlsx]extra_Bioplastic'!A102)</f>
        <v/>
      </c>
      <c r="B102">
        <f>IF(ISBLANK('Q:\Abteilungsprojekte\Eng\EngData\PROJECT_Bioplastics\Renjie_Pan\05-Raw_Data\Lab_results\[LabSamples2025_Bioplastic_extra.xlsx]extra_Bioplastic'!B102)," ",'Q:\Abteilungsprojekte\Eng\EngData\PROJECT_Bioplastics\Renjie_Pan\05-Raw_Data\Lab_results\[LabSamples2025_Bioplastic_extra.xlsx]extra_Bioplastic'!B102)</f>
        <v/>
      </c>
      <c r="C102">
        <f>IF(ISBLANK('Q:\Abteilungsprojekte\Eng\EngData\PROJECT_Bioplastics\Renjie_Pan\05-Raw_Data\Lab_results\[LabSamples2025_Bioplastic_extra.xlsx]extra_Bioplastic'!C102)," ",'Q:\Abteilungsprojekte\Eng\EngData\PROJECT_Bioplastics\Renjie_Pan\05-Raw_Data\Lab_results\[LabSamples2025_Bioplastic_extra.xlsx]extra_Bioplastic'!C102)</f>
        <v/>
      </c>
      <c r="D102">
        <f>IF(ISBLANK('Q:\Abteilungsprojekte\Eng\EngData\PROJECT_Bioplastics\Renjie_Pan\05-Raw_Data\Lab_results\[LabSamples2025_Bioplastic_extra.xlsx]extra_Bioplastic'!D102)," ",'Q:\Abteilungsprojekte\Eng\EngData\PROJECT_Bioplastics\Renjie_Pan\05-Raw_Data\Lab_results\[LabSamples2025_Bioplastic_extra.xlsx]extra_Bioplastic'!D102)</f>
        <v/>
      </c>
      <c r="E102">
        <f>IF(ISBLANK('Q:\Abteilungsprojekte\Eng\EngData\PROJECT_Bioplastics\Renjie_Pan\05-Raw_Data\Lab_results\[LabSamples2025_Bioplastic_extra.xlsx]extra_Bioplastic'!E102)," ",'Q:\Abteilungsprojekte\Eng\EngData\PROJECT_Bioplastics\Renjie_Pan\05-Raw_Data\Lab_results\[LabSamples2025_Bioplastic_extra.xlsx]extra_Bioplastic'!E102)</f>
        <v/>
      </c>
      <c r="F102">
        <f>IF(ISBLANK('Q:\Abteilungsprojekte\Eng\EngData\PROJECT_Bioplastics\Renjie_Pan\05-Raw_Data\Lab_results\[LabSamples2025_Bioplastic_extra.xlsx]extra_Bioplastic'!F102)," ",'Q:\Abteilungsprojekte\Eng\EngData\PROJECT_Bioplastics\Renjie_Pan\05-Raw_Data\Lab_results\[LabSamples2025_Bioplastic_extra.xlsx]extra_Bioplastic'!F102)</f>
        <v/>
      </c>
      <c r="G102">
        <f>IF(ISBLANK('Q:\Abteilungsprojekte\Eng\EngData\PROJECT_Bioplastics\Renjie_Pan\05-Raw_Data\Lab_results\[LabSamples2025_Bioplastic_extra.xlsx]extra_Bioplastic'!G102)," ",'Q:\Abteilungsprojekte\Eng\EngData\PROJECT_Bioplastics\Renjie_Pan\05-Raw_Data\Lab_results\[LabSamples2025_Bioplastic_extra.xlsx]extra_Bioplastic'!G102)</f>
        <v/>
      </c>
      <c r="H102">
        <f>IF(ISBLANK('Q:\Abteilungsprojekte\Eng\EngData\PROJECT_Bioplastics\Renjie_Pan\05-Raw_Data\Lab_results\[LabSamples2025_Bioplastic_extra.xlsx]extra_Bioplastic'!H102)," ",'Q:\Abteilungsprojekte\Eng\EngData\PROJECT_Bioplastics\Renjie_Pan\05-Raw_Data\Lab_results\[LabSamples2025_Bioplastic_extra.xlsx]extra_Bioplastic'!H102)</f>
        <v/>
      </c>
    </row>
    <row r="103">
      <c r="A103">
        <f>IF(ISBLANK('Q:\Abteilungsprojekte\Eng\EngData\PROJECT_Bioplastics\Renjie_Pan\05-Raw_Data\Lab_results\[LabSamples2025_Bioplastic_extra.xlsx]extra_Bioplastic'!A103)," ",'Q:\Abteilungsprojekte\Eng\EngData\PROJECT_Bioplastics\Renjie_Pan\05-Raw_Data\Lab_results\[LabSamples2025_Bioplastic_extra.xlsx]extra_Bioplastic'!A103)</f>
        <v/>
      </c>
      <c r="B103">
        <f>IF(ISBLANK('Q:\Abteilungsprojekte\Eng\EngData\PROJECT_Bioplastics\Renjie_Pan\05-Raw_Data\Lab_results\[LabSamples2025_Bioplastic_extra.xlsx]extra_Bioplastic'!B103)," ",'Q:\Abteilungsprojekte\Eng\EngData\PROJECT_Bioplastics\Renjie_Pan\05-Raw_Data\Lab_results\[LabSamples2025_Bioplastic_extra.xlsx]extra_Bioplastic'!B103)</f>
        <v/>
      </c>
      <c r="C103">
        <f>IF(ISBLANK('Q:\Abteilungsprojekte\Eng\EngData\PROJECT_Bioplastics\Renjie_Pan\05-Raw_Data\Lab_results\[LabSamples2025_Bioplastic_extra.xlsx]extra_Bioplastic'!C103)," ",'Q:\Abteilungsprojekte\Eng\EngData\PROJECT_Bioplastics\Renjie_Pan\05-Raw_Data\Lab_results\[LabSamples2025_Bioplastic_extra.xlsx]extra_Bioplastic'!C103)</f>
        <v/>
      </c>
      <c r="D103">
        <f>IF(ISBLANK('Q:\Abteilungsprojekte\Eng\EngData\PROJECT_Bioplastics\Renjie_Pan\05-Raw_Data\Lab_results\[LabSamples2025_Bioplastic_extra.xlsx]extra_Bioplastic'!D103)," ",'Q:\Abteilungsprojekte\Eng\EngData\PROJECT_Bioplastics\Renjie_Pan\05-Raw_Data\Lab_results\[LabSamples2025_Bioplastic_extra.xlsx]extra_Bioplastic'!D103)</f>
        <v/>
      </c>
      <c r="E103">
        <f>IF(ISBLANK('Q:\Abteilungsprojekte\Eng\EngData\PROJECT_Bioplastics\Renjie_Pan\05-Raw_Data\Lab_results\[LabSamples2025_Bioplastic_extra.xlsx]extra_Bioplastic'!E103)," ",'Q:\Abteilungsprojekte\Eng\EngData\PROJECT_Bioplastics\Renjie_Pan\05-Raw_Data\Lab_results\[LabSamples2025_Bioplastic_extra.xlsx]extra_Bioplastic'!E103)</f>
        <v/>
      </c>
      <c r="F103">
        <f>IF(ISBLANK('Q:\Abteilungsprojekte\Eng\EngData\PROJECT_Bioplastics\Renjie_Pan\05-Raw_Data\Lab_results\[LabSamples2025_Bioplastic_extra.xlsx]extra_Bioplastic'!F103)," ",'Q:\Abteilungsprojekte\Eng\EngData\PROJECT_Bioplastics\Renjie_Pan\05-Raw_Data\Lab_results\[LabSamples2025_Bioplastic_extra.xlsx]extra_Bioplastic'!F103)</f>
        <v/>
      </c>
      <c r="G103">
        <f>IF(ISBLANK('Q:\Abteilungsprojekte\Eng\EngData\PROJECT_Bioplastics\Renjie_Pan\05-Raw_Data\Lab_results\[LabSamples2025_Bioplastic_extra.xlsx]extra_Bioplastic'!G103)," ",'Q:\Abteilungsprojekte\Eng\EngData\PROJECT_Bioplastics\Renjie_Pan\05-Raw_Data\Lab_results\[LabSamples2025_Bioplastic_extra.xlsx]extra_Bioplastic'!G103)</f>
        <v/>
      </c>
      <c r="H103">
        <f>IF(ISBLANK('Q:\Abteilungsprojekte\Eng\EngData\PROJECT_Bioplastics\Renjie_Pan\05-Raw_Data\Lab_results\[LabSamples2025_Bioplastic_extra.xlsx]extra_Bioplastic'!H103)," ",'Q:\Abteilungsprojekte\Eng\EngData\PROJECT_Bioplastics\Renjie_Pan\05-Raw_Data\Lab_results\[LabSamples2025_Bioplastic_extra.xlsx]extra_Bioplastic'!H103)</f>
        <v/>
      </c>
    </row>
    <row r="104">
      <c r="A104">
        <f>IF(ISBLANK('Q:\Abteilungsprojekte\Eng\EngData\PROJECT_Bioplastics\Renjie_Pan\05-Raw_Data\Lab_results\[LabSamples2025_Bioplastic_extra.xlsx]extra_Bioplastic'!A104)," ",'Q:\Abteilungsprojekte\Eng\EngData\PROJECT_Bioplastics\Renjie_Pan\05-Raw_Data\Lab_results\[LabSamples2025_Bioplastic_extra.xlsx]extra_Bioplastic'!A104)</f>
        <v/>
      </c>
      <c r="B104">
        <f>IF(ISBLANK('Q:\Abteilungsprojekte\Eng\EngData\PROJECT_Bioplastics\Renjie_Pan\05-Raw_Data\Lab_results\[LabSamples2025_Bioplastic_extra.xlsx]extra_Bioplastic'!B104)," ",'Q:\Abteilungsprojekte\Eng\EngData\PROJECT_Bioplastics\Renjie_Pan\05-Raw_Data\Lab_results\[LabSamples2025_Bioplastic_extra.xlsx]extra_Bioplastic'!B104)</f>
        <v/>
      </c>
      <c r="C104">
        <f>IF(ISBLANK('Q:\Abteilungsprojekte\Eng\EngData\PROJECT_Bioplastics\Renjie_Pan\05-Raw_Data\Lab_results\[LabSamples2025_Bioplastic_extra.xlsx]extra_Bioplastic'!C104)," ",'Q:\Abteilungsprojekte\Eng\EngData\PROJECT_Bioplastics\Renjie_Pan\05-Raw_Data\Lab_results\[LabSamples2025_Bioplastic_extra.xlsx]extra_Bioplastic'!C104)</f>
        <v/>
      </c>
      <c r="D104">
        <f>IF(ISBLANK('Q:\Abteilungsprojekte\Eng\EngData\PROJECT_Bioplastics\Renjie_Pan\05-Raw_Data\Lab_results\[LabSamples2025_Bioplastic_extra.xlsx]extra_Bioplastic'!D104)," ",'Q:\Abteilungsprojekte\Eng\EngData\PROJECT_Bioplastics\Renjie_Pan\05-Raw_Data\Lab_results\[LabSamples2025_Bioplastic_extra.xlsx]extra_Bioplastic'!D104)</f>
        <v/>
      </c>
      <c r="E104">
        <f>IF(ISBLANK('Q:\Abteilungsprojekte\Eng\EngData\PROJECT_Bioplastics\Renjie_Pan\05-Raw_Data\Lab_results\[LabSamples2025_Bioplastic_extra.xlsx]extra_Bioplastic'!E104)," ",'Q:\Abteilungsprojekte\Eng\EngData\PROJECT_Bioplastics\Renjie_Pan\05-Raw_Data\Lab_results\[LabSamples2025_Bioplastic_extra.xlsx]extra_Bioplastic'!E104)</f>
        <v/>
      </c>
      <c r="F104">
        <f>IF(ISBLANK('Q:\Abteilungsprojekte\Eng\EngData\PROJECT_Bioplastics\Renjie_Pan\05-Raw_Data\Lab_results\[LabSamples2025_Bioplastic_extra.xlsx]extra_Bioplastic'!F104)," ",'Q:\Abteilungsprojekte\Eng\EngData\PROJECT_Bioplastics\Renjie_Pan\05-Raw_Data\Lab_results\[LabSamples2025_Bioplastic_extra.xlsx]extra_Bioplastic'!F104)</f>
        <v/>
      </c>
      <c r="G104">
        <f>IF(ISBLANK('Q:\Abteilungsprojekte\Eng\EngData\PROJECT_Bioplastics\Renjie_Pan\05-Raw_Data\Lab_results\[LabSamples2025_Bioplastic_extra.xlsx]extra_Bioplastic'!G104)," ",'Q:\Abteilungsprojekte\Eng\EngData\PROJECT_Bioplastics\Renjie_Pan\05-Raw_Data\Lab_results\[LabSamples2025_Bioplastic_extra.xlsx]extra_Bioplastic'!G104)</f>
        <v/>
      </c>
      <c r="H104">
        <f>IF(ISBLANK('Q:\Abteilungsprojekte\Eng\EngData\PROJECT_Bioplastics\Renjie_Pan\05-Raw_Data\Lab_results\[LabSamples2025_Bioplastic_extra.xlsx]extra_Bioplastic'!H104)," ",'Q:\Abteilungsprojekte\Eng\EngData\PROJECT_Bioplastics\Renjie_Pan\05-Raw_Data\Lab_results\[LabSamples2025_Bioplastic_extra.xlsx]extra_Bioplastic'!H104)</f>
        <v/>
      </c>
    </row>
    <row r="105">
      <c r="A105">
        <f>IF(ISBLANK('Q:\Abteilungsprojekte\Eng\EngData\PROJECT_Bioplastics\Renjie_Pan\05-Raw_Data\Lab_results\[LabSamples2025_Bioplastic_extra.xlsx]extra_Bioplastic'!A105)," ",'Q:\Abteilungsprojekte\Eng\EngData\PROJECT_Bioplastics\Renjie_Pan\05-Raw_Data\Lab_results\[LabSamples2025_Bioplastic_extra.xlsx]extra_Bioplastic'!A105)</f>
        <v/>
      </c>
      <c r="B105">
        <f>IF(ISBLANK('Q:\Abteilungsprojekte\Eng\EngData\PROJECT_Bioplastics\Renjie_Pan\05-Raw_Data\Lab_results\[LabSamples2025_Bioplastic_extra.xlsx]extra_Bioplastic'!B105)," ",'Q:\Abteilungsprojekte\Eng\EngData\PROJECT_Bioplastics\Renjie_Pan\05-Raw_Data\Lab_results\[LabSamples2025_Bioplastic_extra.xlsx]extra_Bioplastic'!B105)</f>
        <v/>
      </c>
      <c r="C105">
        <f>IF(ISBLANK('Q:\Abteilungsprojekte\Eng\EngData\PROJECT_Bioplastics\Renjie_Pan\05-Raw_Data\Lab_results\[LabSamples2025_Bioplastic_extra.xlsx]extra_Bioplastic'!C105)," ",'Q:\Abteilungsprojekte\Eng\EngData\PROJECT_Bioplastics\Renjie_Pan\05-Raw_Data\Lab_results\[LabSamples2025_Bioplastic_extra.xlsx]extra_Bioplastic'!C105)</f>
        <v/>
      </c>
      <c r="D105">
        <f>IF(ISBLANK('Q:\Abteilungsprojekte\Eng\EngData\PROJECT_Bioplastics\Renjie_Pan\05-Raw_Data\Lab_results\[LabSamples2025_Bioplastic_extra.xlsx]extra_Bioplastic'!D105)," ",'Q:\Abteilungsprojekte\Eng\EngData\PROJECT_Bioplastics\Renjie_Pan\05-Raw_Data\Lab_results\[LabSamples2025_Bioplastic_extra.xlsx]extra_Bioplastic'!D105)</f>
        <v/>
      </c>
      <c r="E105">
        <f>IF(ISBLANK('Q:\Abteilungsprojekte\Eng\EngData\PROJECT_Bioplastics\Renjie_Pan\05-Raw_Data\Lab_results\[LabSamples2025_Bioplastic_extra.xlsx]extra_Bioplastic'!E105)," ",'Q:\Abteilungsprojekte\Eng\EngData\PROJECT_Bioplastics\Renjie_Pan\05-Raw_Data\Lab_results\[LabSamples2025_Bioplastic_extra.xlsx]extra_Bioplastic'!E105)</f>
        <v/>
      </c>
      <c r="F105">
        <f>IF(ISBLANK('Q:\Abteilungsprojekte\Eng\EngData\PROJECT_Bioplastics\Renjie_Pan\05-Raw_Data\Lab_results\[LabSamples2025_Bioplastic_extra.xlsx]extra_Bioplastic'!F105)," ",'Q:\Abteilungsprojekte\Eng\EngData\PROJECT_Bioplastics\Renjie_Pan\05-Raw_Data\Lab_results\[LabSamples2025_Bioplastic_extra.xlsx]extra_Bioplastic'!F105)</f>
        <v/>
      </c>
      <c r="G105">
        <f>IF(ISBLANK('Q:\Abteilungsprojekte\Eng\EngData\PROJECT_Bioplastics\Renjie_Pan\05-Raw_Data\Lab_results\[LabSamples2025_Bioplastic_extra.xlsx]extra_Bioplastic'!G105)," ",'Q:\Abteilungsprojekte\Eng\EngData\PROJECT_Bioplastics\Renjie_Pan\05-Raw_Data\Lab_results\[LabSamples2025_Bioplastic_extra.xlsx]extra_Bioplastic'!G105)</f>
        <v/>
      </c>
      <c r="H105">
        <f>IF(ISBLANK('Q:\Abteilungsprojekte\Eng\EngData\PROJECT_Bioplastics\Renjie_Pan\05-Raw_Data\Lab_results\[LabSamples2025_Bioplastic_extra.xlsx]extra_Bioplastic'!H105)," ",'Q:\Abteilungsprojekte\Eng\EngData\PROJECT_Bioplastics\Renjie_Pan\05-Raw_Data\Lab_results\[LabSamples2025_Bioplastic_extra.xlsx]extra_Bioplastic'!H105)</f>
        <v/>
      </c>
    </row>
    <row r="106">
      <c r="A106">
        <f>IF(ISBLANK('Q:\Abteilungsprojekte\Eng\EngData\PROJECT_Bioplastics\Renjie_Pan\05-Raw_Data\Lab_results\[LabSamples2025_Bioplastic_extra.xlsx]extra_Bioplastic'!A106)," ",'Q:\Abteilungsprojekte\Eng\EngData\PROJECT_Bioplastics\Renjie_Pan\05-Raw_Data\Lab_results\[LabSamples2025_Bioplastic_extra.xlsx]extra_Bioplastic'!A106)</f>
        <v/>
      </c>
      <c r="B106">
        <f>IF(ISBLANK('Q:\Abteilungsprojekte\Eng\EngData\PROJECT_Bioplastics\Renjie_Pan\05-Raw_Data\Lab_results\[LabSamples2025_Bioplastic_extra.xlsx]extra_Bioplastic'!B106)," ",'Q:\Abteilungsprojekte\Eng\EngData\PROJECT_Bioplastics\Renjie_Pan\05-Raw_Data\Lab_results\[LabSamples2025_Bioplastic_extra.xlsx]extra_Bioplastic'!B106)</f>
        <v/>
      </c>
      <c r="C106">
        <f>IF(ISBLANK('Q:\Abteilungsprojekte\Eng\EngData\PROJECT_Bioplastics\Renjie_Pan\05-Raw_Data\Lab_results\[LabSamples2025_Bioplastic_extra.xlsx]extra_Bioplastic'!C106)," ",'Q:\Abteilungsprojekte\Eng\EngData\PROJECT_Bioplastics\Renjie_Pan\05-Raw_Data\Lab_results\[LabSamples2025_Bioplastic_extra.xlsx]extra_Bioplastic'!C106)</f>
        <v/>
      </c>
      <c r="D106">
        <f>IF(ISBLANK('Q:\Abteilungsprojekte\Eng\EngData\PROJECT_Bioplastics\Renjie_Pan\05-Raw_Data\Lab_results\[LabSamples2025_Bioplastic_extra.xlsx]extra_Bioplastic'!D106)," ",'Q:\Abteilungsprojekte\Eng\EngData\PROJECT_Bioplastics\Renjie_Pan\05-Raw_Data\Lab_results\[LabSamples2025_Bioplastic_extra.xlsx]extra_Bioplastic'!D106)</f>
        <v/>
      </c>
      <c r="E106">
        <f>IF(ISBLANK('Q:\Abteilungsprojekte\Eng\EngData\PROJECT_Bioplastics\Renjie_Pan\05-Raw_Data\Lab_results\[LabSamples2025_Bioplastic_extra.xlsx]extra_Bioplastic'!E106)," ",'Q:\Abteilungsprojekte\Eng\EngData\PROJECT_Bioplastics\Renjie_Pan\05-Raw_Data\Lab_results\[LabSamples2025_Bioplastic_extra.xlsx]extra_Bioplastic'!E106)</f>
        <v/>
      </c>
      <c r="F106">
        <f>IF(ISBLANK('Q:\Abteilungsprojekte\Eng\EngData\PROJECT_Bioplastics\Renjie_Pan\05-Raw_Data\Lab_results\[LabSamples2025_Bioplastic_extra.xlsx]extra_Bioplastic'!F106)," ",'Q:\Abteilungsprojekte\Eng\EngData\PROJECT_Bioplastics\Renjie_Pan\05-Raw_Data\Lab_results\[LabSamples2025_Bioplastic_extra.xlsx]extra_Bioplastic'!F106)</f>
        <v/>
      </c>
      <c r="G106">
        <f>IF(ISBLANK('Q:\Abteilungsprojekte\Eng\EngData\PROJECT_Bioplastics\Renjie_Pan\05-Raw_Data\Lab_results\[LabSamples2025_Bioplastic_extra.xlsx]extra_Bioplastic'!G106)," ",'Q:\Abteilungsprojekte\Eng\EngData\PROJECT_Bioplastics\Renjie_Pan\05-Raw_Data\Lab_results\[LabSamples2025_Bioplastic_extra.xlsx]extra_Bioplastic'!G106)</f>
        <v/>
      </c>
      <c r="H106">
        <f>IF(ISBLANK('Q:\Abteilungsprojekte\Eng\EngData\PROJECT_Bioplastics\Renjie_Pan\05-Raw_Data\Lab_results\[LabSamples2025_Bioplastic_extra.xlsx]extra_Bioplastic'!H106)," ",'Q:\Abteilungsprojekte\Eng\EngData\PROJECT_Bioplastics\Renjie_Pan\05-Raw_Data\Lab_results\[LabSamples2025_Bioplastic_extra.xlsx]extra_Bioplastic'!H106)</f>
        <v/>
      </c>
    </row>
    <row r="107">
      <c r="A107">
        <f>IF(ISBLANK('Q:\Abteilungsprojekte\Eng\EngData\PROJECT_Bioplastics\Renjie_Pan\05-Raw_Data\Lab_results\[LabSamples2025_Bioplastic_extra.xlsx]extra_Bioplastic'!A107)," ",'Q:\Abteilungsprojekte\Eng\EngData\PROJECT_Bioplastics\Renjie_Pan\05-Raw_Data\Lab_results\[LabSamples2025_Bioplastic_extra.xlsx]extra_Bioplastic'!A107)</f>
        <v/>
      </c>
      <c r="B107">
        <f>IF(ISBLANK('Q:\Abteilungsprojekte\Eng\EngData\PROJECT_Bioplastics\Renjie_Pan\05-Raw_Data\Lab_results\[LabSamples2025_Bioplastic_extra.xlsx]extra_Bioplastic'!B107)," ",'Q:\Abteilungsprojekte\Eng\EngData\PROJECT_Bioplastics\Renjie_Pan\05-Raw_Data\Lab_results\[LabSamples2025_Bioplastic_extra.xlsx]extra_Bioplastic'!B107)</f>
        <v/>
      </c>
      <c r="C107">
        <f>IF(ISBLANK('Q:\Abteilungsprojekte\Eng\EngData\PROJECT_Bioplastics\Renjie_Pan\05-Raw_Data\Lab_results\[LabSamples2025_Bioplastic_extra.xlsx]extra_Bioplastic'!C107)," ",'Q:\Abteilungsprojekte\Eng\EngData\PROJECT_Bioplastics\Renjie_Pan\05-Raw_Data\Lab_results\[LabSamples2025_Bioplastic_extra.xlsx]extra_Bioplastic'!C107)</f>
        <v/>
      </c>
      <c r="D107">
        <f>IF(ISBLANK('Q:\Abteilungsprojekte\Eng\EngData\PROJECT_Bioplastics\Renjie_Pan\05-Raw_Data\Lab_results\[LabSamples2025_Bioplastic_extra.xlsx]extra_Bioplastic'!D107)," ",'Q:\Abteilungsprojekte\Eng\EngData\PROJECT_Bioplastics\Renjie_Pan\05-Raw_Data\Lab_results\[LabSamples2025_Bioplastic_extra.xlsx]extra_Bioplastic'!D107)</f>
        <v/>
      </c>
      <c r="E107">
        <f>IF(ISBLANK('Q:\Abteilungsprojekte\Eng\EngData\PROJECT_Bioplastics\Renjie_Pan\05-Raw_Data\Lab_results\[LabSamples2025_Bioplastic_extra.xlsx]extra_Bioplastic'!E107)," ",'Q:\Abteilungsprojekte\Eng\EngData\PROJECT_Bioplastics\Renjie_Pan\05-Raw_Data\Lab_results\[LabSamples2025_Bioplastic_extra.xlsx]extra_Bioplastic'!E107)</f>
        <v/>
      </c>
      <c r="F107">
        <f>IF(ISBLANK('Q:\Abteilungsprojekte\Eng\EngData\PROJECT_Bioplastics\Renjie_Pan\05-Raw_Data\Lab_results\[LabSamples2025_Bioplastic_extra.xlsx]extra_Bioplastic'!F107)," ",'Q:\Abteilungsprojekte\Eng\EngData\PROJECT_Bioplastics\Renjie_Pan\05-Raw_Data\Lab_results\[LabSamples2025_Bioplastic_extra.xlsx]extra_Bioplastic'!F107)</f>
        <v/>
      </c>
      <c r="G107">
        <f>IF(ISBLANK('Q:\Abteilungsprojekte\Eng\EngData\PROJECT_Bioplastics\Renjie_Pan\05-Raw_Data\Lab_results\[LabSamples2025_Bioplastic_extra.xlsx]extra_Bioplastic'!G107)," ",'Q:\Abteilungsprojekte\Eng\EngData\PROJECT_Bioplastics\Renjie_Pan\05-Raw_Data\Lab_results\[LabSamples2025_Bioplastic_extra.xlsx]extra_Bioplastic'!G107)</f>
        <v/>
      </c>
      <c r="H107">
        <f>IF(ISBLANK('Q:\Abteilungsprojekte\Eng\EngData\PROJECT_Bioplastics\Renjie_Pan\05-Raw_Data\Lab_results\[LabSamples2025_Bioplastic_extra.xlsx]extra_Bioplastic'!H107)," ",'Q:\Abteilungsprojekte\Eng\EngData\PROJECT_Bioplastics\Renjie_Pan\05-Raw_Data\Lab_results\[LabSamples2025_Bioplastic_extra.xlsx]extra_Bioplastic'!H107)</f>
        <v/>
      </c>
    </row>
    <row r="108">
      <c r="A108">
        <f>IF(ISBLANK('Q:\Abteilungsprojekte\Eng\EngData\PROJECT_Bioplastics\Renjie_Pan\05-Raw_Data\Lab_results\[LabSamples2025_Bioplastic_extra.xlsx]extra_Bioplastic'!A108)," ",'Q:\Abteilungsprojekte\Eng\EngData\PROJECT_Bioplastics\Renjie_Pan\05-Raw_Data\Lab_results\[LabSamples2025_Bioplastic_extra.xlsx]extra_Bioplastic'!A108)</f>
        <v/>
      </c>
      <c r="B108">
        <f>IF(ISBLANK('Q:\Abteilungsprojekte\Eng\EngData\PROJECT_Bioplastics\Renjie_Pan\05-Raw_Data\Lab_results\[LabSamples2025_Bioplastic_extra.xlsx]extra_Bioplastic'!B108)," ",'Q:\Abteilungsprojekte\Eng\EngData\PROJECT_Bioplastics\Renjie_Pan\05-Raw_Data\Lab_results\[LabSamples2025_Bioplastic_extra.xlsx]extra_Bioplastic'!B108)</f>
        <v/>
      </c>
      <c r="C108">
        <f>IF(ISBLANK('Q:\Abteilungsprojekte\Eng\EngData\PROJECT_Bioplastics\Renjie_Pan\05-Raw_Data\Lab_results\[LabSamples2025_Bioplastic_extra.xlsx]extra_Bioplastic'!C108)," ",'Q:\Abteilungsprojekte\Eng\EngData\PROJECT_Bioplastics\Renjie_Pan\05-Raw_Data\Lab_results\[LabSamples2025_Bioplastic_extra.xlsx]extra_Bioplastic'!C108)</f>
        <v/>
      </c>
      <c r="D108">
        <f>IF(ISBLANK('Q:\Abteilungsprojekte\Eng\EngData\PROJECT_Bioplastics\Renjie_Pan\05-Raw_Data\Lab_results\[LabSamples2025_Bioplastic_extra.xlsx]extra_Bioplastic'!D108)," ",'Q:\Abteilungsprojekte\Eng\EngData\PROJECT_Bioplastics\Renjie_Pan\05-Raw_Data\Lab_results\[LabSamples2025_Bioplastic_extra.xlsx]extra_Bioplastic'!D108)</f>
        <v/>
      </c>
      <c r="E108">
        <f>IF(ISBLANK('Q:\Abteilungsprojekte\Eng\EngData\PROJECT_Bioplastics\Renjie_Pan\05-Raw_Data\Lab_results\[LabSamples2025_Bioplastic_extra.xlsx]extra_Bioplastic'!E108)," ",'Q:\Abteilungsprojekte\Eng\EngData\PROJECT_Bioplastics\Renjie_Pan\05-Raw_Data\Lab_results\[LabSamples2025_Bioplastic_extra.xlsx]extra_Bioplastic'!E108)</f>
        <v/>
      </c>
      <c r="F108">
        <f>IF(ISBLANK('Q:\Abteilungsprojekte\Eng\EngData\PROJECT_Bioplastics\Renjie_Pan\05-Raw_Data\Lab_results\[LabSamples2025_Bioplastic_extra.xlsx]extra_Bioplastic'!F108)," ",'Q:\Abteilungsprojekte\Eng\EngData\PROJECT_Bioplastics\Renjie_Pan\05-Raw_Data\Lab_results\[LabSamples2025_Bioplastic_extra.xlsx]extra_Bioplastic'!F108)</f>
        <v/>
      </c>
      <c r="G108">
        <f>IF(ISBLANK('Q:\Abteilungsprojekte\Eng\EngData\PROJECT_Bioplastics\Renjie_Pan\05-Raw_Data\Lab_results\[LabSamples2025_Bioplastic_extra.xlsx]extra_Bioplastic'!G108)," ",'Q:\Abteilungsprojekte\Eng\EngData\PROJECT_Bioplastics\Renjie_Pan\05-Raw_Data\Lab_results\[LabSamples2025_Bioplastic_extra.xlsx]extra_Bioplastic'!G108)</f>
        <v/>
      </c>
      <c r="H108">
        <f>IF(ISBLANK('Q:\Abteilungsprojekte\Eng\EngData\PROJECT_Bioplastics\Renjie_Pan\05-Raw_Data\Lab_results\[LabSamples2025_Bioplastic_extra.xlsx]extra_Bioplastic'!H108)," ",'Q:\Abteilungsprojekte\Eng\EngData\PROJECT_Bioplastics\Renjie_Pan\05-Raw_Data\Lab_results\[LabSamples2025_Bioplastic_extra.xlsx]extra_Bioplastic'!H108)</f>
        <v/>
      </c>
    </row>
    <row r="109">
      <c r="A109">
        <f>IF(ISBLANK('Q:\Abteilungsprojekte\Eng\EngData\PROJECT_Bioplastics\Renjie_Pan\05-Raw_Data\Lab_results\[LabSamples2025_Bioplastic_extra.xlsx]extra_Bioplastic'!A109)," ",'Q:\Abteilungsprojekte\Eng\EngData\PROJECT_Bioplastics\Renjie_Pan\05-Raw_Data\Lab_results\[LabSamples2025_Bioplastic_extra.xlsx]extra_Bioplastic'!A109)</f>
        <v/>
      </c>
      <c r="B109">
        <f>IF(ISBLANK('Q:\Abteilungsprojekte\Eng\EngData\PROJECT_Bioplastics\Renjie_Pan\05-Raw_Data\Lab_results\[LabSamples2025_Bioplastic_extra.xlsx]extra_Bioplastic'!B109)," ",'Q:\Abteilungsprojekte\Eng\EngData\PROJECT_Bioplastics\Renjie_Pan\05-Raw_Data\Lab_results\[LabSamples2025_Bioplastic_extra.xlsx]extra_Bioplastic'!B109)</f>
        <v/>
      </c>
      <c r="C109">
        <f>IF(ISBLANK('Q:\Abteilungsprojekte\Eng\EngData\PROJECT_Bioplastics\Renjie_Pan\05-Raw_Data\Lab_results\[LabSamples2025_Bioplastic_extra.xlsx]extra_Bioplastic'!C109)," ",'Q:\Abteilungsprojekte\Eng\EngData\PROJECT_Bioplastics\Renjie_Pan\05-Raw_Data\Lab_results\[LabSamples2025_Bioplastic_extra.xlsx]extra_Bioplastic'!C109)</f>
        <v/>
      </c>
      <c r="D109">
        <f>IF(ISBLANK('Q:\Abteilungsprojekte\Eng\EngData\PROJECT_Bioplastics\Renjie_Pan\05-Raw_Data\Lab_results\[LabSamples2025_Bioplastic_extra.xlsx]extra_Bioplastic'!D109)," ",'Q:\Abteilungsprojekte\Eng\EngData\PROJECT_Bioplastics\Renjie_Pan\05-Raw_Data\Lab_results\[LabSamples2025_Bioplastic_extra.xlsx]extra_Bioplastic'!D109)</f>
        <v/>
      </c>
      <c r="E109">
        <f>IF(ISBLANK('Q:\Abteilungsprojekte\Eng\EngData\PROJECT_Bioplastics\Renjie_Pan\05-Raw_Data\Lab_results\[LabSamples2025_Bioplastic_extra.xlsx]extra_Bioplastic'!E109)," ",'Q:\Abteilungsprojekte\Eng\EngData\PROJECT_Bioplastics\Renjie_Pan\05-Raw_Data\Lab_results\[LabSamples2025_Bioplastic_extra.xlsx]extra_Bioplastic'!E109)</f>
        <v/>
      </c>
      <c r="F109">
        <f>IF(ISBLANK('Q:\Abteilungsprojekte\Eng\EngData\PROJECT_Bioplastics\Renjie_Pan\05-Raw_Data\Lab_results\[LabSamples2025_Bioplastic_extra.xlsx]extra_Bioplastic'!F109)," ",'Q:\Abteilungsprojekte\Eng\EngData\PROJECT_Bioplastics\Renjie_Pan\05-Raw_Data\Lab_results\[LabSamples2025_Bioplastic_extra.xlsx]extra_Bioplastic'!F109)</f>
        <v/>
      </c>
      <c r="G109">
        <f>IF(ISBLANK('Q:\Abteilungsprojekte\Eng\EngData\PROJECT_Bioplastics\Renjie_Pan\05-Raw_Data\Lab_results\[LabSamples2025_Bioplastic_extra.xlsx]extra_Bioplastic'!G109)," ",'Q:\Abteilungsprojekte\Eng\EngData\PROJECT_Bioplastics\Renjie_Pan\05-Raw_Data\Lab_results\[LabSamples2025_Bioplastic_extra.xlsx]extra_Bioplastic'!G109)</f>
        <v/>
      </c>
      <c r="H109">
        <f>IF(ISBLANK('Q:\Abteilungsprojekte\Eng\EngData\PROJECT_Bioplastics\Renjie_Pan\05-Raw_Data\Lab_results\[LabSamples2025_Bioplastic_extra.xlsx]extra_Bioplastic'!H109)," ",'Q:\Abteilungsprojekte\Eng\EngData\PROJECT_Bioplastics\Renjie_Pan\05-Raw_Data\Lab_results\[LabSamples2025_Bioplastic_extra.xlsx]extra_Bioplastic'!H109)</f>
        <v/>
      </c>
    </row>
    <row r="110">
      <c r="A110">
        <f>IF(ISBLANK('Q:\Abteilungsprojekte\Eng\EngData\PROJECT_Bioplastics\Renjie_Pan\05-Raw_Data\Lab_results\[LabSamples2025_Bioplastic_extra.xlsx]extra_Bioplastic'!A110)," ",'Q:\Abteilungsprojekte\Eng\EngData\PROJECT_Bioplastics\Renjie_Pan\05-Raw_Data\Lab_results\[LabSamples2025_Bioplastic_extra.xlsx]extra_Bioplastic'!A110)</f>
        <v/>
      </c>
      <c r="B110">
        <f>IF(ISBLANK('Q:\Abteilungsprojekte\Eng\EngData\PROJECT_Bioplastics\Renjie_Pan\05-Raw_Data\Lab_results\[LabSamples2025_Bioplastic_extra.xlsx]extra_Bioplastic'!B110)," ",'Q:\Abteilungsprojekte\Eng\EngData\PROJECT_Bioplastics\Renjie_Pan\05-Raw_Data\Lab_results\[LabSamples2025_Bioplastic_extra.xlsx]extra_Bioplastic'!B110)</f>
        <v/>
      </c>
      <c r="C110">
        <f>IF(ISBLANK('Q:\Abteilungsprojekte\Eng\EngData\PROJECT_Bioplastics\Renjie_Pan\05-Raw_Data\Lab_results\[LabSamples2025_Bioplastic_extra.xlsx]extra_Bioplastic'!C110)," ",'Q:\Abteilungsprojekte\Eng\EngData\PROJECT_Bioplastics\Renjie_Pan\05-Raw_Data\Lab_results\[LabSamples2025_Bioplastic_extra.xlsx]extra_Bioplastic'!C110)</f>
        <v/>
      </c>
      <c r="D110">
        <f>IF(ISBLANK('Q:\Abteilungsprojekte\Eng\EngData\PROJECT_Bioplastics\Renjie_Pan\05-Raw_Data\Lab_results\[LabSamples2025_Bioplastic_extra.xlsx]extra_Bioplastic'!D110)," ",'Q:\Abteilungsprojekte\Eng\EngData\PROJECT_Bioplastics\Renjie_Pan\05-Raw_Data\Lab_results\[LabSamples2025_Bioplastic_extra.xlsx]extra_Bioplastic'!D110)</f>
        <v/>
      </c>
      <c r="E110">
        <f>IF(ISBLANK('Q:\Abteilungsprojekte\Eng\EngData\PROJECT_Bioplastics\Renjie_Pan\05-Raw_Data\Lab_results\[LabSamples2025_Bioplastic_extra.xlsx]extra_Bioplastic'!E110)," ",'Q:\Abteilungsprojekte\Eng\EngData\PROJECT_Bioplastics\Renjie_Pan\05-Raw_Data\Lab_results\[LabSamples2025_Bioplastic_extra.xlsx]extra_Bioplastic'!E110)</f>
        <v/>
      </c>
      <c r="F110">
        <f>IF(ISBLANK('Q:\Abteilungsprojekte\Eng\EngData\PROJECT_Bioplastics\Renjie_Pan\05-Raw_Data\Lab_results\[LabSamples2025_Bioplastic_extra.xlsx]extra_Bioplastic'!F110)," ",'Q:\Abteilungsprojekte\Eng\EngData\PROJECT_Bioplastics\Renjie_Pan\05-Raw_Data\Lab_results\[LabSamples2025_Bioplastic_extra.xlsx]extra_Bioplastic'!F110)</f>
        <v/>
      </c>
      <c r="G110">
        <f>IF(ISBLANK('Q:\Abteilungsprojekte\Eng\EngData\PROJECT_Bioplastics\Renjie_Pan\05-Raw_Data\Lab_results\[LabSamples2025_Bioplastic_extra.xlsx]extra_Bioplastic'!G110)," ",'Q:\Abteilungsprojekte\Eng\EngData\PROJECT_Bioplastics\Renjie_Pan\05-Raw_Data\Lab_results\[LabSamples2025_Bioplastic_extra.xlsx]extra_Bioplastic'!G110)</f>
        <v/>
      </c>
      <c r="H110">
        <f>IF(ISBLANK('Q:\Abteilungsprojekte\Eng\EngData\PROJECT_Bioplastics\Renjie_Pan\05-Raw_Data\Lab_results\[LabSamples2025_Bioplastic_extra.xlsx]extra_Bioplastic'!H110)," ",'Q:\Abteilungsprojekte\Eng\EngData\PROJECT_Bioplastics\Renjie_Pan\05-Raw_Data\Lab_results\[LabSamples2025_Bioplastic_extra.xlsx]extra_Bioplastic'!H110)</f>
        <v/>
      </c>
    </row>
    <row r="111">
      <c r="A111">
        <f>IF(ISBLANK('Q:\Abteilungsprojekte\Eng\EngData\PROJECT_Bioplastics\Renjie_Pan\05-Raw_Data\Lab_results\[LabSamples2025_Bioplastic_extra.xlsx]extra_Bioplastic'!A111)," ",'Q:\Abteilungsprojekte\Eng\EngData\PROJECT_Bioplastics\Renjie_Pan\05-Raw_Data\Lab_results\[LabSamples2025_Bioplastic_extra.xlsx]extra_Bioplastic'!A111)</f>
        <v/>
      </c>
      <c r="B111">
        <f>IF(ISBLANK('Q:\Abteilungsprojekte\Eng\EngData\PROJECT_Bioplastics\Renjie_Pan\05-Raw_Data\Lab_results\[LabSamples2025_Bioplastic_extra.xlsx]extra_Bioplastic'!B111)," ",'Q:\Abteilungsprojekte\Eng\EngData\PROJECT_Bioplastics\Renjie_Pan\05-Raw_Data\Lab_results\[LabSamples2025_Bioplastic_extra.xlsx]extra_Bioplastic'!B111)</f>
        <v/>
      </c>
      <c r="C111">
        <f>IF(ISBLANK('Q:\Abteilungsprojekte\Eng\EngData\PROJECT_Bioplastics\Renjie_Pan\05-Raw_Data\Lab_results\[LabSamples2025_Bioplastic_extra.xlsx]extra_Bioplastic'!C111)," ",'Q:\Abteilungsprojekte\Eng\EngData\PROJECT_Bioplastics\Renjie_Pan\05-Raw_Data\Lab_results\[LabSamples2025_Bioplastic_extra.xlsx]extra_Bioplastic'!C111)</f>
        <v/>
      </c>
      <c r="D111">
        <f>IF(ISBLANK('Q:\Abteilungsprojekte\Eng\EngData\PROJECT_Bioplastics\Renjie_Pan\05-Raw_Data\Lab_results\[LabSamples2025_Bioplastic_extra.xlsx]extra_Bioplastic'!D111)," ",'Q:\Abteilungsprojekte\Eng\EngData\PROJECT_Bioplastics\Renjie_Pan\05-Raw_Data\Lab_results\[LabSamples2025_Bioplastic_extra.xlsx]extra_Bioplastic'!D111)</f>
        <v/>
      </c>
      <c r="E111">
        <f>IF(ISBLANK('Q:\Abteilungsprojekte\Eng\EngData\PROJECT_Bioplastics\Renjie_Pan\05-Raw_Data\Lab_results\[LabSamples2025_Bioplastic_extra.xlsx]extra_Bioplastic'!E111)," ",'Q:\Abteilungsprojekte\Eng\EngData\PROJECT_Bioplastics\Renjie_Pan\05-Raw_Data\Lab_results\[LabSamples2025_Bioplastic_extra.xlsx]extra_Bioplastic'!E111)</f>
        <v/>
      </c>
      <c r="F111">
        <f>IF(ISBLANK('Q:\Abteilungsprojekte\Eng\EngData\PROJECT_Bioplastics\Renjie_Pan\05-Raw_Data\Lab_results\[LabSamples2025_Bioplastic_extra.xlsx]extra_Bioplastic'!F111)," ",'Q:\Abteilungsprojekte\Eng\EngData\PROJECT_Bioplastics\Renjie_Pan\05-Raw_Data\Lab_results\[LabSamples2025_Bioplastic_extra.xlsx]extra_Bioplastic'!F111)</f>
        <v/>
      </c>
      <c r="G111">
        <f>IF(ISBLANK('Q:\Abteilungsprojekte\Eng\EngData\PROJECT_Bioplastics\Renjie_Pan\05-Raw_Data\Lab_results\[LabSamples2025_Bioplastic_extra.xlsx]extra_Bioplastic'!G111)," ",'Q:\Abteilungsprojekte\Eng\EngData\PROJECT_Bioplastics\Renjie_Pan\05-Raw_Data\Lab_results\[LabSamples2025_Bioplastic_extra.xlsx]extra_Bioplastic'!G111)</f>
        <v/>
      </c>
      <c r="H111">
        <f>IF(ISBLANK('Q:\Abteilungsprojekte\Eng\EngData\PROJECT_Bioplastics\Renjie_Pan\05-Raw_Data\Lab_results\[LabSamples2025_Bioplastic_extra.xlsx]extra_Bioplastic'!H111)," ",'Q:\Abteilungsprojekte\Eng\EngData\PROJECT_Bioplastics\Renjie_Pan\05-Raw_Data\Lab_results\[LabSamples2025_Bioplastic_extra.xlsx]extra_Bioplastic'!H111)</f>
        <v/>
      </c>
    </row>
    <row r="112">
      <c r="A112">
        <f>IF(ISBLANK('Q:\Abteilungsprojekte\Eng\EngData\PROJECT_Bioplastics\Renjie_Pan\05-Raw_Data\Lab_results\[LabSamples2025_Bioplastic_extra.xlsx]extra_Bioplastic'!A112)," ",'Q:\Abteilungsprojekte\Eng\EngData\PROJECT_Bioplastics\Renjie_Pan\05-Raw_Data\Lab_results\[LabSamples2025_Bioplastic_extra.xlsx]extra_Bioplastic'!A112)</f>
        <v/>
      </c>
      <c r="B112">
        <f>IF(ISBLANK('Q:\Abteilungsprojekte\Eng\EngData\PROJECT_Bioplastics\Renjie_Pan\05-Raw_Data\Lab_results\[LabSamples2025_Bioplastic_extra.xlsx]extra_Bioplastic'!B112)," ",'Q:\Abteilungsprojekte\Eng\EngData\PROJECT_Bioplastics\Renjie_Pan\05-Raw_Data\Lab_results\[LabSamples2025_Bioplastic_extra.xlsx]extra_Bioplastic'!B112)</f>
        <v/>
      </c>
      <c r="C112">
        <f>IF(ISBLANK('Q:\Abteilungsprojekte\Eng\EngData\PROJECT_Bioplastics\Renjie_Pan\05-Raw_Data\Lab_results\[LabSamples2025_Bioplastic_extra.xlsx]extra_Bioplastic'!C112)," ",'Q:\Abteilungsprojekte\Eng\EngData\PROJECT_Bioplastics\Renjie_Pan\05-Raw_Data\Lab_results\[LabSamples2025_Bioplastic_extra.xlsx]extra_Bioplastic'!C112)</f>
        <v/>
      </c>
      <c r="D112">
        <f>IF(ISBLANK('Q:\Abteilungsprojekte\Eng\EngData\PROJECT_Bioplastics\Renjie_Pan\05-Raw_Data\Lab_results\[LabSamples2025_Bioplastic_extra.xlsx]extra_Bioplastic'!D112)," ",'Q:\Abteilungsprojekte\Eng\EngData\PROJECT_Bioplastics\Renjie_Pan\05-Raw_Data\Lab_results\[LabSamples2025_Bioplastic_extra.xlsx]extra_Bioplastic'!D112)</f>
        <v/>
      </c>
      <c r="E112">
        <f>IF(ISBLANK('Q:\Abteilungsprojekte\Eng\EngData\PROJECT_Bioplastics\Renjie_Pan\05-Raw_Data\Lab_results\[LabSamples2025_Bioplastic_extra.xlsx]extra_Bioplastic'!E112)," ",'Q:\Abteilungsprojekte\Eng\EngData\PROJECT_Bioplastics\Renjie_Pan\05-Raw_Data\Lab_results\[LabSamples2025_Bioplastic_extra.xlsx]extra_Bioplastic'!E112)</f>
        <v/>
      </c>
      <c r="F112">
        <f>IF(ISBLANK('Q:\Abteilungsprojekte\Eng\EngData\PROJECT_Bioplastics\Renjie_Pan\05-Raw_Data\Lab_results\[LabSamples2025_Bioplastic_extra.xlsx]extra_Bioplastic'!F112)," ",'Q:\Abteilungsprojekte\Eng\EngData\PROJECT_Bioplastics\Renjie_Pan\05-Raw_Data\Lab_results\[LabSamples2025_Bioplastic_extra.xlsx]extra_Bioplastic'!F112)</f>
        <v/>
      </c>
      <c r="G112">
        <f>IF(ISBLANK('Q:\Abteilungsprojekte\Eng\EngData\PROJECT_Bioplastics\Renjie_Pan\05-Raw_Data\Lab_results\[LabSamples2025_Bioplastic_extra.xlsx]extra_Bioplastic'!G112)," ",'Q:\Abteilungsprojekte\Eng\EngData\PROJECT_Bioplastics\Renjie_Pan\05-Raw_Data\Lab_results\[LabSamples2025_Bioplastic_extra.xlsx]extra_Bioplastic'!G112)</f>
        <v/>
      </c>
      <c r="H112">
        <f>IF(ISBLANK('Q:\Abteilungsprojekte\Eng\EngData\PROJECT_Bioplastics\Renjie_Pan\05-Raw_Data\Lab_results\[LabSamples2025_Bioplastic_extra.xlsx]extra_Bioplastic'!H112)," ",'Q:\Abteilungsprojekte\Eng\EngData\PROJECT_Bioplastics\Renjie_Pan\05-Raw_Data\Lab_results\[LabSamples2025_Bioplastic_extra.xlsx]extra_Bioplastic'!H112)</f>
        <v/>
      </c>
    </row>
    <row r="113">
      <c r="A113">
        <f>IF(ISBLANK('Q:\Abteilungsprojekte\Eng\EngData\PROJECT_Bioplastics\Renjie_Pan\05-Raw_Data\Lab_results\[LabSamples2025_Bioplastic_extra.xlsx]extra_Bioplastic'!A113)," ",'Q:\Abteilungsprojekte\Eng\EngData\PROJECT_Bioplastics\Renjie_Pan\05-Raw_Data\Lab_results\[LabSamples2025_Bioplastic_extra.xlsx]extra_Bioplastic'!A113)</f>
        <v/>
      </c>
      <c r="B113">
        <f>IF(ISBLANK('Q:\Abteilungsprojekte\Eng\EngData\PROJECT_Bioplastics\Renjie_Pan\05-Raw_Data\Lab_results\[LabSamples2025_Bioplastic_extra.xlsx]extra_Bioplastic'!B113)," ",'Q:\Abteilungsprojekte\Eng\EngData\PROJECT_Bioplastics\Renjie_Pan\05-Raw_Data\Lab_results\[LabSamples2025_Bioplastic_extra.xlsx]extra_Bioplastic'!B113)</f>
        <v/>
      </c>
      <c r="C113">
        <f>IF(ISBLANK('Q:\Abteilungsprojekte\Eng\EngData\PROJECT_Bioplastics\Renjie_Pan\05-Raw_Data\Lab_results\[LabSamples2025_Bioplastic_extra.xlsx]extra_Bioplastic'!C113)," ",'Q:\Abteilungsprojekte\Eng\EngData\PROJECT_Bioplastics\Renjie_Pan\05-Raw_Data\Lab_results\[LabSamples2025_Bioplastic_extra.xlsx]extra_Bioplastic'!C113)</f>
        <v/>
      </c>
      <c r="D113">
        <f>IF(ISBLANK('Q:\Abteilungsprojekte\Eng\EngData\PROJECT_Bioplastics\Renjie_Pan\05-Raw_Data\Lab_results\[LabSamples2025_Bioplastic_extra.xlsx]extra_Bioplastic'!D113)," ",'Q:\Abteilungsprojekte\Eng\EngData\PROJECT_Bioplastics\Renjie_Pan\05-Raw_Data\Lab_results\[LabSamples2025_Bioplastic_extra.xlsx]extra_Bioplastic'!D113)</f>
        <v/>
      </c>
      <c r="E113">
        <f>IF(ISBLANK('Q:\Abteilungsprojekte\Eng\EngData\PROJECT_Bioplastics\Renjie_Pan\05-Raw_Data\Lab_results\[LabSamples2025_Bioplastic_extra.xlsx]extra_Bioplastic'!E113)," ",'Q:\Abteilungsprojekte\Eng\EngData\PROJECT_Bioplastics\Renjie_Pan\05-Raw_Data\Lab_results\[LabSamples2025_Bioplastic_extra.xlsx]extra_Bioplastic'!E113)</f>
        <v/>
      </c>
      <c r="F113">
        <f>IF(ISBLANK('Q:\Abteilungsprojekte\Eng\EngData\PROJECT_Bioplastics\Renjie_Pan\05-Raw_Data\Lab_results\[LabSamples2025_Bioplastic_extra.xlsx]extra_Bioplastic'!F113)," ",'Q:\Abteilungsprojekte\Eng\EngData\PROJECT_Bioplastics\Renjie_Pan\05-Raw_Data\Lab_results\[LabSamples2025_Bioplastic_extra.xlsx]extra_Bioplastic'!F113)</f>
        <v/>
      </c>
      <c r="G113">
        <f>IF(ISBLANK('Q:\Abteilungsprojekte\Eng\EngData\PROJECT_Bioplastics\Renjie_Pan\05-Raw_Data\Lab_results\[LabSamples2025_Bioplastic_extra.xlsx]extra_Bioplastic'!G113)," ",'Q:\Abteilungsprojekte\Eng\EngData\PROJECT_Bioplastics\Renjie_Pan\05-Raw_Data\Lab_results\[LabSamples2025_Bioplastic_extra.xlsx]extra_Bioplastic'!G113)</f>
        <v/>
      </c>
      <c r="H113">
        <f>IF(ISBLANK('Q:\Abteilungsprojekte\Eng\EngData\PROJECT_Bioplastics\Renjie_Pan\05-Raw_Data\Lab_results\[LabSamples2025_Bioplastic_extra.xlsx]extra_Bioplastic'!H113)," ",'Q:\Abteilungsprojekte\Eng\EngData\PROJECT_Bioplastics\Renjie_Pan\05-Raw_Data\Lab_results\[LabSamples2025_Bioplastic_extra.xlsx]extra_Bioplastic'!H113)</f>
        <v/>
      </c>
    </row>
    <row r="114">
      <c r="A114">
        <f>IF(ISBLANK('Q:\Abteilungsprojekte\Eng\EngData\PROJECT_Bioplastics\Renjie_Pan\05-Raw_Data\Lab_results\[LabSamples2025_Bioplastic_extra.xlsx]extra_Bioplastic'!A114)," ",'Q:\Abteilungsprojekte\Eng\EngData\PROJECT_Bioplastics\Renjie_Pan\05-Raw_Data\Lab_results\[LabSamples2025_Bioplastic_extra.xlsx]extra_Bioplastic'!A114)</f>
        <v/>
      </c>
      <c r="B114">
        <f>IF(ISBLANK('Q:\Abteilungsprojekte\Eng\EngData\PROJECT_Bioplastics\Renjie_Pan\05-Raw_Data\Lab_results\[LabSamples2025_Bioplastic_extra.xlsx]extra_Bioplastic'!B114)," ",'Q:\Abteilungsprojekte\Eng\EngData\PROJECT_Bioplastics\Renjie_Pan\05-Raw_Data\Lab_results\[LabSamples2025_Bioplastic_extra.xlsx]extra_Bioplastic'!B114)</f>
        <v/>
      </c>
      <c r="C114">
        <f>IF(ISBLANK('Q:\Abteilungsprojekte\Eng\EngData\PROJECT_Bioplastics\Renjie_Pan\05-Raw_Data\Lab_results\[LabSamples2025_Bioplastic_extra.xlsx]extra_Bioplastic'!C114)," ",'Q:\Abteilungsprojekte\Eng\EngData\PROJECT_Bioplastics\Renjie_Pan\05-Raw_Data\Lab_results\[LabSamples2025_Bioplastic_extra.xlsx]extra_Bioplastic'!C114)</f>
        <v/>
      </c>
      <c r="D114">
        <f>IF(ISBLANK('Q:\Abteilungsprojekte\Eng\EngData\PROJECT_Bioplastics\Renjie_Pan\05-Raw_Data\Lab_results\[LabSamples2025_Bioplastic_extra.xlsx]extra_Bioplastic'!D114)," ",'Q:\Abteilungsprojekte\Eng\EngData\PROJECT_Bioplastics\Renjie_Pan\05-Raw_Data\Lab_results\[LabSamples2025_Bioplastic_extra.xlsx]extra_Bioplastic'!D114)</f>
        <v/>
      </c>
      <c r="E114">
        <f>IF(ISBLANK('Q:\Abteilungsprojekte\Eng\EngData\PROJECT_Bioplastics\Renjie_Pan\05-Raw_Data\Lab_results\[LabSamples2025_Bioplastic_extra.xlsx]extra_Bioplastic'!E114)," ",'Q:\Abteilungsprojekte\Eng\EngData\PROJECT_Bioplastics\Renjie_Pan\05-Raw_Data\Lab_results\[LabSamples2025_Bioplastic_extra.xlsx]extra_Bioplastic'!E114)</f>
        <v/>
      </c>
      <c r="F114">
        <f>IF(ISBLANK('Q:\Abteilungsprojekte\Eng\EngData\PROJECT_Bioplastics\Renjie_Pan\05-Raw_Data\Lab_results\[LabSamples2025_Bioplastic_extra.xlsx]extra_Bioplastic'!F114)," ",'Q:\Abteilungsprojekte\Eng\EngData\PROJECT_Bioplastics\Renjie_Pan\05-Raw_Data\Lab_results\[LabSamples2025_Bioplastic_extra.xlsx]extra_Bioplastic'!F114)</f>
        <v/>
      </c>
      <c r="G114">
        <f>IF(ISBLANK('Q:\Abteilungsprojekte\Eng\EngData\PROJECT_Bioplastics\Renjie_Pan\05-Raw_Data\Lab_results\[LabSamples2025_Bioplastic_extra.xlsx]extra_Bioplastic'!G114)," ",'Q:\Abteilungsprojekte\Eng\EngData\PROJECT_Bioplastics\Renjie_Pan\05-Raw_Data\Lab_results\[LabSamples2025_Bioplastic_extra.xlsx]extra_Bioplastic'!G114)</f>
        <v/>
      </c>
      <c r="H114">
        <f>IF(ISBLANK('Q:\Abteilungsprojekte\Eng\EngData\PROJECT_Bioplastics\Renjie_Pan\05-Raw_Data\Lab_results\[LabSamples2025_Bioplastic_extra.xlsx]extra_Bioplastic'!H114)," ",'Q:\Abteilungsprojekte\Eng\EngData\PROJECT_Bioplastics\Renjie_Pan\05-Raw_Data\Lab_results\[LabSamples2025_Bioplastic_extra.xlsx]extra_Bioplastic'!H114)</f>
        <v/>
      </c>
    </row>
    <row r="115">
      <c r="A115">
        <f>IF(ISBLANK('Q:\Abteilungsprojekte\Eng\EngData\PROJECT_Bioplastics\Renjie_Pan\05-Raw_Data\Lab_results\[LabSamples2025_Bioplastic_extra.xlsx]extra_Bioplastic'!A115)," ",'Q:\Abteilungsprojekte\Eng\EngData\PROJECT_Bioplastics\Renjie_Pan\05-Raw_Data\Lab_results\[LabSamples2025_Bioplastic_extra.xlsx]extra_Bioplastic'!A115)</f>
        <v/>
      </c>
      <c r="B115">
        <f>IF(ISBLANK('Q:\Abteilungsprojekte\Eng\EngData\PROJECT_Bioplastics\Renjie_Pan\05-Raw_Data\Lab_results\[LabSamples2025_Bioplastic_extra.xlsx]extra_Bioplastic'!B115)," ",'Q:\Abteilungsprojekte\Eng\EngData\PROJECT_Bioplastics\Renjie_Pan\05-Raw_Data\Lab_results\[LabSamples2025_Bioplastic_extra.xlsx]extra_Bioplastic'!B115)</f>
        <v/>
      </c>
      <c r="C115">
        <f>IF(ISBLANK('Q:\Abteilungsprojekte\Eng\EngData\PROJECT_Bioplastics\Renjie_Pan\05-Raw_Data\Lab_results\[LabSamples2025_Bioplastic_extra.xlsx]extra_Bioplastic'!C115)," ",'Q:\Abteilungsprojekte\Eng\EngData\PROJECT_Bioplastics\Renjie_Pan\05-Raw_Data\Lab_results\[LabSamples2025_Bioplastic_extra.xlsx]extra_Bioplastic'!C115)</f>
        <v/>
      </c>
      <c r="D115">
        <f>IF(ISBLANK('Q:\Abteilungsprojekte\Eng\EngData\PROJECT_Bioplastics\Renjie_Pan\05-Raw_Data\Lab_results\[LabSamples2025_Bioplastic_extra.xlsx]extra_Bioplastic'!D115)," ",'Q:\Abteilungsprojekte\Eng\EngData\PROJECT_Bioplastics\Renjie_Pan\05-Raw_Data\Lab_results\[LabSamples2025_Bioplastic_extra.xlsx]extra_Bioplastic'!D115)</f>
        <v/>
      </c>
      <c r="E115">
        <f>IF(ISBLANK('Q:\Abteilungsprojekte\Eng\EngData\PROJECT_Bioplastics\Renjie_Pan\05-Raw_Data\Lab_results\[LabSamples2025_Bioplastic_extra.xlsx]extra_Bioplastic'!E115)," ",'Q:\Abteilungsprojekte\Eng\EngData\PROJECT_Bioplastics\Renjie_Pan\05-Raw_Data\Lab_results\[LabSamples2025_Bioplastic_extra.xlsx]extra_Bioplastic'!E115)</f>
        <v/>
      </c>
      <c r="F115">
        <f>IF(ISBLANK('Q:\Abteilungsprojekte\Eng\EngData\PROJECT_Bioplastics\Renjie_Pan\05-Raw_Data\Lab_results\[LabSamples2025_Bioplastic_extra.xlsx]extra_Bioplastic'!F115)," ",'Q:\Abteilungsprojekte\Eng\EngData\PROJECT_Bioplastics\Renjie_Pan\05-Raw_Data\Lab_results\[LabSamples2025_Bioplastic_extra.xlsx]extra_Bioplastic'!F115)</f>
        <v/>
      </c>
      <c r="G115">
        <f>IF(ISBLANK('Q:\Abteilungsprojekte\Eng\EngData\PROJECT_Bioplastics\Renjie_Pan\05-Raw_Data\Lab_results\[LabSamples2025_Bioplastic_extra.xlsx]extra_Bioplastic'!G115)," ",'Q:\Abteilungsprojekte\Eng\EngData\PROJECT_Bioplastics\Renjie_Pan\05-Raw_Data\Lab_results\[LabSamples2025_Bioplastic_extra.xlsx]extra_Bioplastic'!G115)</f>
        <v/>
      </c>
      <c r="H115">
        <f>IF(ISBLANK('Q:\Abteilungsprojekte\Eng\EngData\PROJECT_Bioplastics\Renjie_Pan\05-Raw_Data\Lab_results\[LabSamples2025_Bioplastic_extra.xlsx]extra_Bioplastic'!H115)," ",'Q:\Abteilungsprojekte\Eng\EngData\PROJECT_Bioplastics\Renjie_Pan\05-Raw_Data\Lab_results\[LabSamples2025_Bioplastic_extra.xlsx]extra_Bioplastic'!H115)</f>
        <v/>
      </c>
    </row>
    <row r="116">
      <c r="A116">
        <f>IF(ISBLANK('Q:\Abteilungsprojekte\Eng\EngData\PROJECT_Bioplastics\Renjie_Pan\05-Raw_Data\Lab_results\[LabSamples2025_Bioplastic_extra.xlsx]extra_Bioplastic'!A116)," ",'Q:\Abteilungsprojekte\Eng\EngData\PROJECT_Bioplastics\Renjie_Pan\05-Raw_Data\Lab_results\[LabSamples2025_Bioplastic_extra.xlsx]extra_Bioplastic'!A116)</f>
        <v/>
      </c>
      <c r="B116">
        <f>IF(ISBLANK('Q:\Abteilungsprojekte\Eng\EngData\PROJECT_Bioplastics\Renjie_Pan\05-Raw_Data\Lab_results\[LabSamples2025_Bioplastic_extra.xlsx]extra_Bioplastic'!B116)," ",'Q:\Abteilungsprojekte\Eng\EngData\PROJECT_Bioplastics\Renjie_Pan\05-Raw_Data\Lab_results\[LabSamples2025_Bioplastic_extra.xlsx]extra_Bioplastic'!B116)</f>
        <v/>
      </c>
      <c r="C116">
        <f>IF(ISBLANK('Q:\Abteilungsprojekte\Eng\EngData\PROJECT_Bioplastics\Renjie_Pan\05-Raw_Data\Lab_results\[LabSamples2025_Bioplastic_extra.xlsx]extra_Bioplastic'!C116)," ",'Q:\Abteilungsprojekte\Eng\EngData\PROJECT_Bioplastics\Renjie_Pan\05-Raw_Data\Lab_results\[LabSamples2025_Bioplastic_extra.xlsx]extra_Bioplastic'!C116)</f>
        <v/>
      </c>
      <c r="D116">
        <f>IF(ISBLANK('Q:\Abteilungsprojekte\Eng\EngData\PROJECT_Bioplastics\Renjie_Pan\05-Raw_Data\Lab_results\[LabSamples2025_Bioplastic_extra.xlsx]extra_Bioplastic'!D116)," ",'Q:\Abteilungsprojekte\Eng\EngData\PROJECT_Bioplastics\Renjie_Pan\05-Raw_Data\Lab_results\[LabSamples2025_Bioplastic_extra.xlsx]extra_Bioplastic'!D116)</f>
        <v/>
      </c>
      <c r="E116">
        <f>IF(ISBLANK('Q:\Abteilungsprojekte\Eng\EngData\PROJECT_Bioplastics\Renjie_Pan\05-Raw_Data\Lab_results\[LabSamples2025_Bioplastic_extra.xlsx]extra_Bioplastic'!E116)," ",'Q:\Abteilungsprojekte\Eng\EngData\PROJECT_Bioplastics\Renjie_Pan\05-Raw_Data\Lab_results\[LabSamples2025_Bioplastic_extra.xlsx]extra_Bioplastic'!E116)</f>
        <v/>
      </c>
      <c r="F116">
        <f>IF(ISBLANK('Q:\Abteilungsprojekte\Eng\EngData\PROJECT_Bioplastics\Renjie_Pan\05-Raw_Data\Lab_results\[LabSamples2025_Bioplastic_extra.xlsx]extra_Bioplastic'!F116)," ",'Q:\Abteilungsprojekte\Eng\EngData\PROJECT_Bioplastics\Renjie_Pan\05-Raw_Data\Lab_results\[LabSamples2025_Bioplastic_extra.xlsx]extra_Bioplastic'!F116)</f>
        <v/>
      </c>
      <c r="G116">
        <f>IF(ISBLANK('Q:\Abteilungsprojekte\Eng\EngData\PROJECT_Bioplastics\Renjie_Pan\05-Raw_Data\Lab_results\[LabSamples2025_Bioplastic_extra.xlsx]extra_Bioplastic'!G116)," ",'Q:\Abteilungsprojekte\Eng\EngData\PROJECT_Bioplastics\Renjie_Pan\05-Raw_Data\Lab_results\[LabSamples2025_Bioplastic_extra.xlsx]extra_Bioplastic'!G116)</f>
        <v/>
      </c>
      <c r="H116">
        <f>IF(ISBLANK('Q:\Abteilungsprojekte\Eng\EngData\PROJECT_Bioplastics\Renjie_Pan\05-Raw_Data\Lab_results\[LabSamples2025_Bioplastic_extra.xlsx]extra_Bioplastic'!H116)," ",'Q:\Abteilungsprojekte\Eng\EngData\PROJECT_Bioplastics\Renjie_Pan\05-Raw_Data\Lab_results\[LabSamples2025_Bioplastic_extra.xlsx]extra_Bioplastic'!H116)</f>
        <v/>
      </c>
    </row>
    <row r="117">
      <c r="A117">
        <f>IF(ISBLANK('Q:\Abteilungsprojekte\Eng\EngData\PROJECT_Bioplastics\Renjie_Pan\05-Raw_Data\Lab_results\[LabSamples2025_Bioplastic_extra.xlsx]extra_Bioplastic'!A117)," ",'Q:\Abteilungsprojekte\Eng\EngData\PROJECT_Bioplastics\Renjie_Pan\05-Raw_Data\Lab_results\[LabSamples2025_Bioplastic_extra.xlsx]extra_Bioplastic'!A117)</f>
        <v/>
      </c>
      <c r="B117">
        <f>IF(ISBLANK('Q:\Abteilungsprojekte\Eng\EngData\PROJECT_Bioplastics\Renjie_Pan\05-Raw_Data\Lab_results\[LabSamples2025_Bioplastic_extra.xlsx]extra_Bioplastic'!B117)," ",'Q:\Abteilungsprojekte\Eng\EngData\PROJECT_Bioplastics\Renjie_Pan\05-Raw_Data\Lab_results\[LabSamples2025_Bioplastic_extra.xlsx]extra_Bioplastic'!B117)</f>
        <v/>
      </c>
      <c r="C117">
        <f>IF(ISBLANK('Q:\Abteilungsprojekte\Eng\EngData\PROJECT_Bioplastics\Renjie_Pan\05-Raw_Data\Lab_results\[LabSamples2025_Bioplastic_extra.xlsx]extra_Bioplastic'!C117)," ",'Q:\Abteilungsprojekte\Eng\EngData\PROJECT_Bioplastics\Renjie_Pan\05-Raw_Data\Lab_results\[LabSamples2025_Bioplastic_extra.xlsx]extra_Bioplastic'!C117)</f>
        <v/>
      </c>
      <c r="D117">
        <f>IF(ISBLANK('Q:\Abteilungsprojekte\Eng\EngData\PROJECT_Bioplastics\Renjie_Pan\05-Raw_Data\Lab_results\[LabSamples2025_Bioplastic_extra.xlsx]extra_Bioplastic'!D117)," ",'Q:\Abteilungsprojekte\Eng\EngData\PROJECT_Bioplastics\Renjie_Pan\05-Raw_Data\Lab_results\[LabSamples2025_Bioplastic_extra.xlsx]extra_Bioplastic'!D117)</f>
        <v/>
      </c>
      <c r="E117">
        <f>IF(ISBLANK('Q:\Abteilungsprojekte\Eng\EngData\PROJECT_Bioplastics\Renjie_Pan\05-Raw_Data\Lab_results\[LabSamples2025_Bioplastic_extra.xlsx]extra_Bioplastic'!E117)," ",'Q:\Abteilungsprojekte\Eng\EngData\PROJECT_Bioplastics\Renjie_Pan\05-Raw_Data\Lab_results\[LabSamples2025_Bioplastic_extra.xlsx]extra_Bioplastic'!E117)</f>
        <v/>
      </c>
      <c r="F117">
        <f>IF(ISBLANK('Q:\Abteilungsprojekte\Eng\EngData\PROJECT_Bioplastics\Renjie_Pan\05-Raw_Data\Lab_results\[LabSamples2025_Bioplastic_extra.xlsx]extra_Bioplastic'!F117)," ",'Q:\Abteilungsprojekte\Eng\EngData\PROJECT_Bioplastics\Renjie_Pan\05-Raw_Data\Lab_results\[LabSamples2025_Bioplastic_extra.xlsx]extra_Bioplastic'!F117)</f>
        <v/>
      </c>
      <c r="G117">
        <f>IF(ISBLANK('Q:\Abteilungsprojekte\Eng\EngData\PROJECT_Bioplastics\Renjie_Pan\05-Raw_Data\Lab_results\[LabSamples2025_Bioplastic_extra.xlsx]extra_Bioplastic'!G117)," ",'Q:\Abteilungsprojekte\Eng\EngData\PROJECT_Bioplastics\Renjie_Pan\05-Raw_Data\Lab_results\[LabSamples2025_Bioplastic_extra.xlsx]extra_Bioplastic'!G117)</f>
        <v/>
      </c>
      <c r="H117">
        <f>IF(ISBLANK('Q:\Abteilungsprojekte\Eng\EngData\PROJECT_Bioplastics\Renjie_Pan\05-Raw_Data\Lab_results\[LabSamples2025_Bioplastic_extra.xlsx]extra_Bioplastic'!H117)," ",'Q:\Abteilungsprojekte\Eng\EngData\PROJECT_Bioplastics\Renjie_Pan\05-Raw_Data\Lab_results\[LabSamples2025_Bioplastic_extra.xlsx]extra_Bioplastic'!H117)</f>
        <v/>
      </c>
    </row>
    <row r="118">
      <c r="A118">
        <f>IF(ISBLANK('Q:\Abteilungsprojekte\Eng\EngData\PROJECT_Bioplastics\Renjie_Pan\05-Raw_Data\Lab_results\[LabSamples2025_Bioplastic_extra.xlsx]extra_Bioplastic'!A118)," ",'Q:\Abteilungsprojekte\Eng\EngData\PROJECT_Bioplastics\Renjie_Pan\05-Raw_Data\Lab_results\[LabSamples2025_Bioplastic_extra.xlsx]extra_Bioplastic'!A118)</f>
        <v/>
      </c>
      <c r="B118">
        <f>IF(ISBLANK('Q:\Abteilungsprojekte\Eng\EngData\PROJECT_Bioplastics\Renjie_Pan\05-Raw_Data\Lab_results\[LabSamples2025_Bioplastic_extra.xlsx]extra_Bioplastic'!B118)," ",'Q:\Abteilungsprojekte\Eng\EngData\PROJECT_Bioplastics\Renjie_Pan\05-Raw_Data\Lab_results\[LabSamples2025_Bioplastic_extra.xlsx]extra_Bioplastic'!B118)</f>
        <v/>
      </c>
      <c r="C118">
        <f>IF(ISBLANK('Q:\Abteilungsprojekte\Eng\EngData\PROJECT_Bioplastics\Renjie_Pan\05-Raw_Data\Lab_results\[LabSamples2025_Bioplastic_extra.xlsx]extra_Bioplastic'!C118)," ",'Q:\Abteilungsprojekte\Eng\EngData\PROJECT_Bioplastics\Renjie_Pan\05-Raw_Data\Lab_results\[LabSamples2025_Bioplastic_extra.xlsx]extra_Bioplastic'!C118)</f>
        <v/>
      </c>
      <c r="D118">
        <f>IF(ISBLANK('Q:\Abteilungsprojekte\Eng\EngData\PROJECT_Bioplastics\Renjie_Pan\05-Raw_Data\Lab_results\[LabSamples2025_Bioplastic_extra.xlsx]extra_Bioplastic'!D118)," ",'Q:\Abteilungsprojekte\Eng\EngData\PROJECT_Bioplastics\Renjie_Pan\05-Raw_Data\Lab_results\[LabSamples2025_Bioplastic_extra.xlsx]extra_Bioplastic'!D118)</f>
        <v/>
      </c>
      <c r="E118">
        <f>IF(ISBLANK('Q:\Abteilungsprojekte\Eng\EngData\PROJECT_Bioplastics\Renjie_Pan\05-Raw_Data\Lab_results\[LabSamples2025_Bioplastic_extra.xlsx]extra_Bioplastic'!E118)," ",'Q:\Abteilungsprojekte\Eng\EngData\PROJECT_Bioplastics\Renjie_Pan\05-Raw_Data\Lab_results\[LabSamples2025_Bioplastic_extra.xlsx]extra_Bioplastic'!E118)</f>
        <v/>
      </c>
      <c r="F118">
        <f>IF(ISBLANK('Q:\Abteilungsprojekte\Eng\EngData\PROJECT_Bioplastics\Renjie_Pan\05-Raw_Data\Lab_results\[LabSamples2025_Bioplastic_extra.xlsx]extra_Bioplastic'!F118)," ",'Q:\Abteilungsprojekte\Eng\EngData\PROJECT_Bioplastics\Renjie_Pan\05-Raw_Data\Lab_results\[LabSamples2025_Bioplastic_extra.xlsx]extra_Bioplastic'!F118)</f>
        <v/>
      </c>
      <c r="G118">
        <f>IF(ISBLANK('Q:\Abteilungsprojekte\Eng\EngData\PROJECT_Bioplastics\Renjie_Pan\05-Raw_Data\Lab_results\[LabSamples2025_Bioplastic_extra.xlsx]extra_Bioplastic'!G118)," ",'Q:\Abteilungsprojekte\Eng\EngData\PROJECT_Bioplastics\Renjie_Pan\05-Raw_Data\Lab_results\[LabSamples2025_Bioplastic_extra.xlsx]extra_Bioplastic'!G118)</f>
        <v/>
      </c>
      <c r="H118">
        <f>IF(ISBLANK('Q:\Abteilungsprojekte\Eng\EngData\PROJECT_Bioplastics\Renjie_Pan\05-Raw_Data\Lab_results\[LabSamples2025_Bioplastic_extra.xlsx]extra_Bioplastic'!H118)," ",'Q:\Abteilungsprojekte\Eng\EngData\PROJECT_Bioplastics\Renjie_Pan\05-Raw_Data\Lab_results\[LabSamples2025_Bioplastic_extra.xlsx]extra_Bioplastic'!H118)</f>
        <v/>
      </c>
    </row>
    <row r="119">
      <c r="A119">
        <f>IF(ISBLANK('Q:\Abteilungsprojekte\Eng\EngData\PROJECT_Bioplastics\Renjie_Pan\05-Raw_Data\Lab_results\[LabSamples2025_Bioplastic_extra.xlsx]extra_Bioplastic'!A119)," ",'Q:\Abteilungsprojekte\Eng\EngData\PROJECT_Bioplastics\Renjie_Pan\05-Raw_Data\Lab_results\[LabSamples2025_Bioplastic_extra.xlsx]extra_Bioplastic'!A119)</f>
        <v/>
      </c>
      <c r="B119">
        <f>IF(ISBLANK('Q:\Abteilungsprojekte\Eng\EngData\PROJECT_Bioplastics\Renjie_Pan\05-Raw_Data\Lab_results\[LabSamples2025_Bioplastic_extra.xlsx]extra_Bioplastic'!B119)," ",'Q:\Abteilungsprojekte\Eng\EngData\PROJECT_Bioplastics\Renjie_Pan\05-Raw_Data\Lab_results\[LabSamples2025_Bioplastic_extra.xlsx]extra_Bioplastic'!B119)</f>
        <v/>
      </c>
      <c r="C119">
        <f>IF(ISBLANK('Q:\Abteilungsprojekte\Eng\EngData\PROJECT_Bioplastics\Renjie_Pan\05-Raw_Data\Lab_results\[LabSamples2025_Bioplastic_extra.xlsx]extra_Bioplastic'!C119)," ",'Q:\Abteilungsprojekte\Eng\EngData\PROJECT_Bioplastics\Renjie_Pan\05-Raw_Data\Lab_results\[LabSamples2025_Bioplastic_extra.xlsx]extra_Bioplastic'!C119)</f>
        <v/>
      </c>
      <c r="D119">
        <f>IF(ISBLANK('Q:\Abteilungsprojekte\Eng\EngData\PROJECT_Bioplastics\Renjie_Pan\05-Raw_Data\Lab_results\[LabSamples2025_Bioplastic_extra.xlsx]extra_Bioplastic'!D119)," ",'Q:\Abteilungsprojekte\Eng\EngData\PROJECT_Bioplastics\Renjie_Pan\05-Raw_Data\Lab_results\[LabSamples2025_Bioplastic_extra.xlsx]extra_Bioplastic'!D119)</f>
        <v/>
      </c>
      <c r="E119">
        <f>IF(ISBLANK('Q:\Abteilungsprojekte\Eng\EngData\PROJECT_Bioplastics\Renjie_Pan\05-Raw_Data\Lab_results\[LabSamples2025_Bioplastic_extra.xlsx]extra_Bioplastic'!E119)," ",'Q:\Abteilungsprojekte\Eng\EngData\PROJECT_Bioplastics\Renjie_Pan\05-Raw_Data\Lab_results\[LabSamples2025_Bioplastic_extra.xlsx]extra_Bioplastic'!E119)</f>
        <v/>
      </c>
      <c r="F119">
        <f>IF(ISBLANK('Q:\Abteilungsprojekte\Eng\EngData\PROJECT_Bioplastics\Renjie_Pan\05-Raw_Data\Lab_results\[LabSamples2025_Bioplastic_extra.xlsx]extra_Bioplastic'!F119)," ",'Q:\Abteilungsprojekte\Eng\EngData\PROJECT_Bioplastics\Renjie_Pan\05-Raw_Data\Lab_results\[LabSamples2025_Bioplastic_extra.xlsx]extra_Bioplastic'!F119)</f>
        <v/>
      </c>
      <c r="G119">
        <f>IF(ISBLANK('Q:\Abteilungsprojekte\Eng\EngData\PROJECT_Bioplastics\Renjie_Pan\05-Raw_Data\Lab_results\[LabSamples2025_Bioplastic_extra.xlsx]extra_Bioplastic'!G119)," ",'Q:\Abteilungsprojekte\Eng\EngData\PROJECT_Bioplastics\Renjie_Pan\05-Raw_Data\Lab_results\[LabSamples2025_Bioplastic_extra.xlsx]extra_Bioplastic'!G119)</f>
        <v/>
      </c>
      <c r="H119">
        <f>IF(ISBLANK('Q:\Abteilungsprojekte\Eng\EngData\PROJECT_Bioplastics\Renjie_Pan\05-Raw_Data\Lab_results\[LabSamples2025_Bioplastic_extra.xlsx]extra_Bioplastic'!H119)," ",'Q:\Abteilungsprojekte\Eng\EngData\PROJECT_Bioplastics\Renjie_Pan\05-Raw_Data\Lab_results\[LabSamples2025_Bioplastic_extra.xlsx]extra_Bioplastic'!H119)</f>
        <v/>
      </c>
    </row>
    <row r="120">
      <c r="A120">
        <f>IF(ISBLANK('Q:\Abteilungsprojekte\Eng\EngData\PROJECT_Bioplastics\Renjie_Pan\05-Raw_Data\Lab_results\[LabSamples2025_Bioplastic_extra.xlsx]extra_Bioplastic'!A120)," ",'Q:\Abteilungsprojekte\Eng\EngData\PROJECT_Bioplastics\Renjie_Pan\05-Raw_Data\Lab_results\[LabSamples2025_Bioplastic_extra.xlsx]extra_Bioplastic'!A120)</f>
        <v/>
      </c>
      <c r="B120">
        <f>IF(ISBLANK('Q:\Abteilungsprojekte\Eng\EngData\PROJECT_Bioplastics\Renjie_Pan\05-Raw_Data\Lab_results\[LabSamples2025_Bioplastic_extra.xlsx]extra_Bioplastic'!B120)," ",'Q:\Abteilungsprojekte\Eng\EngData\PROJECT_Bioplastics\Renjie_Pan\05-Raw_Data\Lab_results\[LabSamples2025_Bioplastic_extra.xlsx]extra_Bioplastic'!B120)</f>
        <v/>
      </c>
      <c r="C120">
        <f>IF(ISBLANK('Q:\Abteilungsprojekte\Eng\EngData\PROJECT_Bioplastics\Renjie_Pan\05-Raw_Data\Lab_results\[LabSamples2025_Bioplastic_extra.xlsx]extra_Bioplastic'!C120)," ",'Q:\Abteilungsprojekte\Eng\EngData\PROJECT_Bioplastics\Renjie_Pan\05-Raw_Data\Lab_results\[LabSamples2025_Bioplastic_extra.xlsx]extra_Bioplastic'!C120)</f>
        <v/>
      </c>
      <c r="D120">
        <f>IF(ISBLANK('Q:\Abteilungsprojekte\Eng\EngData\PROJECT_Bioplastics\Renjie_Pan\05-Raw_Data\Lab_results\[LabSamples2025_Bioplastic_extra.xlsx]extra_Bioplastic'!D120)," ",'Q:\Abteilungsprojekte\Eng\EngData\PROJECT_Bioplastics\Renjie_Pan\05-Raw_Data\Lab_results\[LabSamples2025_Bioplastic_extra.xlsx]extra_Bioplastic'!D120)</f>
        <v/>
      </c>
      <c r="E120">
        <f>IF(ISBLANK('Q:\Abteilungsprojekte\Eng\EngData\PROJECT_Bioplastics\Renjie_Pan\05-Raw_Data\Lab_results\[LabSamples2025_Bioplastic_extra.xlsx]extra_Bioplastic'!E120)," ",'Q:\Abteilungsprojekte\Eng\EngData\PROJECT_Bioplastics\Renjie_Pan\05-Raw_Data\Lab_results\[LabSamples2025_Bioplastic_extra.xlsx]extra_Bioplastic'!E120)</f>
        <v/>
      </c>
      <c r="F120">
        <f>IF(ISBLANK('Q:\Abteilungsprojekte\Eng\EngData\PROJECT_Bioplastics\Renjie_Pan\05-Raw_Data\Lab_results\[LabSamples2025_Bioplastic_extra.xlsx]extra_Bioplastic'!F120)," ",'Q:\Abteilungsprojekte\Eng\EngData\PROJECT_Bioplastics\Renjie_Pan\05-Raw_Data\Lab_results\[LabSamples2025_Bioplastic_extra.xlsx]extra_Bioplastic'!F120)</f>
        <v/>
      </c>
      <c r="G120">
        <f>IF(ISBLANK('Q:\Abteilungsprojekte\Eng\EngData\PROJECT_Bioplastics\Renjie_Pan\05-Raw_Data\Lab_results\[LabSamples2025_Bioplastic_extra.xlsx]extra_Bioplastic'!G120)," ",'Q:\Abteilungsprojekte\Eng\EngData\PROJECT_Bioplastics\Renjie_Pan\05-Raw_Data\Lab_results\[LabSamples2025_Bioplastic_extra.xlsx]extra_Bioplastic'!G120)</f>
        <v/>
      </c>
      <c r="H120">
        <f>IF(ISBLANK('Q:\Abteilungsprojekte\Eng\EngData\PROJECT_Bioplastics\Renjie_Pan\05-Raw_Data\Lab_results\[LabSamples2025_Bioplastic_extra.xlsx]extra_Bioplastic'!H120)," ",'Q:\Abteilungsprojekte\Eng\EngData\PROJECT_Bioplastics\Renjie_Pan\05-Raw_Data\Lab_results\[LabSamples2025_Bioplastic_extra.xlsx]extra_Bioplastic'!H120)</f>
        <v/>
      </c>
    </row>
    <row r="121">
      <c r="A121">
        <f>IF(ISBLANK('Q:\Abteilungsprojekte\Eng\EngData\PROJECT_Bioplastics\Renjie_Pan\05-Raw_Data\Lab_results\[LabSamples2025_Bioplastic_extra.xlsx]extra_Bioplastic'!A121)," ",'Q:\Abteilungsprojekte\Eng\EngData\PROJECT_Bioplastics\Renjie_Pan\05-Raw_Data\Lab_results\[LabSamples2025_Bioplastic_extra.xlsx]extra_Bioplastic'!A121)</f>
        <v/>
      </c>
      <c r="B121">
        <f>IF(ISBLANK('Q:\Abteilungsprojekte\Eng\EngData\PROJECT_Bioplastics\Renjie_Pan\05-Raw_Data\Lab_results\[LabSamples2025_Bioplastic_extra.xlsx]extra_Bioplastic'!B121)," ",'Q:\Abteilungsprojekte\Eng\EngData\PROJECT_Bioplastics\Renjie_Pan\05-Raw_Data\Lab_results\[LabSamples2025_Bioplastic_extra.xlsx]extra_Bioplastic'!B121)</f>
        <v/>
      </c>
      <c r="C121">
        <f>IF(ISBLANK('Q:\Abteilungsprojekte\Eng\EngData\PROJECT_Bioplastics\Renjie_Pan\05-Raw_Data\Lab_results\[LabSamples2025_Bioplastic_extra.xlsx]extra_Bioplastic'!C121)," ",'Q:\Abteilungsprojekte\Eng\EngData\PROJECT_Bioplastics\Renjie_Pan\05-Raw_Data\Lab_results\[LabSamples2025_Bioplastic_extra.xlsx]extra_Bioplastic'!C121)</f>
        <v/>
      </c>
      <c r="D121">
        <f>IF(ISBLANK('Q:\Abteilungsprojekte\Eng\EngData\PROJECT_Bioplastics\Renjie_Pan\05-Raw_Data\Lab_results\[LabSamples2025_Bioplastic_extra.xlsx]extra_Bioplastic'!D121)," ",'Q:\Abteilungsprojekte\Eng\EngData\PROJECT_Bioplastics\Renjie_Pan\05-Raw_Data\Lab_results\[LabSamples2025_Bioplastic_extra.xlsx]extra_Bioplastic'!D121)</f>
        <v/>
      </c>
      <c r="E121">
        <f>IF(ISBLANK('Q:\Abteilungsprojekte\Eng\EngData\PROJECT_Bioplastics\Renjie_Pan\05-Raw_Data\Lab_results\[LabSamples2025_Bioplastic_extra.xlsx]extra_Bioplastic'!E121)," ",'Q:\Abteilungsprojekte\Eng\EngData\PROJECT_Bioplastics\Renjie_Pan\05-Raw_Data\Lab_results\[LabSamples2025_Bioplastic_extra.xlsx]extra_Bioplastic'!E121)</f>
        <v/>
      </c>
      <c r="F121">
        <f>IF(ISBLANK('Q:\Abteilungsprojekte\Eng\EngData\PROJECT_Bioplastics\Renjie_Pan\05-Raw_Data\Lab_results\[LabSamples2025_Bioplastic_extra.xlsx]extra_Bioplastic'!F121)," ",'Q:\Abteilungsprojekte\Eng\EngData\PROJECT_Bioplastics\Renjie_Pan\05-Raw_Data\Lab_results\[LabSamples2025_Bioplastic_extra.xlsx]extra_Bioplastic'!F121)</f>
        <v/>
      </c>
      <c r="G121">
        <f>IF(ISBLANK('Q:\Abteilungsprojekte\Eng\EngData\PROJECT_Bioplastics\Renjie_Pan\05-Raw_Data\Lab_results\[LabSamples2025_Bioplastic_extra.xlsx]extra_Bioplastic'!G121)," ",'Q:\Abteilungsprojekte\Eng\EngData\PROJECT_Bioplastics\Renjie_Pan\05-Raw_Data\Lab_results\[LabSamples2025_Bioplastic_extra.xlsx]extra_Bioplastic'!G121)</f>
        <v/>
      </c>
      <c r="H121">
        <f>IF(ISBLANK('Q:\Abteilungsprojekte\Eng\EngData\PROJECT_Bioplastics\Renjie_Pan\05-Raw_Data\Lab_results\[LabSamples2025_Bioplastic_extra.xlsx]extra_Bioplastic'!H121)," ",'Q:\Abteilungsprojekte\Eng\EngData\PROJECT_Bioplastics\Renjie_Pan\05-Raw_Data\Lab_results\[LabSamples2025_Bioplastic_extra.xlsx]extra_Bioplastic'!H121)</f>
        <v/>
      </c>
    </row>
    <row r="122">
      <c r="A122">
        <f>IF(ISBLANK('Q:\Abteilungsprojekte\Eng\EngData\PROJECT_Bioplastics\Renjie_Pan\05-Raw_Data\Lab_results\[LabSamples2025_Bioplastic_extra.xlsx]extra_Bioplastic'!A122)," ",'Q:\Abteilungsprojekte\Eng\EngData\PROJECT_Bioplastics\Renjie_Pan\05-Raw_Data\Lab_results\[LabSamples2025_Bioplastic_extra.xlsx]extra_Bioplastic'!A122)</f>
        <v/>
      </c>
      <c r="B122">
        <f>IF(ISBLANK('Q:\Abteilungsprojekte\Eng\EngData\PROJECT_Bioplastics\Renjie_Pan\05-Raw_Data\Lab_results\[LabSamples2025_Bioplastic_extra.xlsx]extra_Bioplastic'!B122)," ",'Q:\Abteilungsprojekte\Eng\EngData\PROJECT_Bioplastics\Renjie_Pan\05-Raw_Data\Lab_results\[LabSamples2025_Bioplastic_extra.xlsx]extra_Bioplastic'!B122)</f>
        <v/>
      </c>
      <c r="C122">
        <f>IF(ISBLANK('Q:\Abteilungsprojekte\Eng\EngData\PROJECT_Bioplastics\Renjie_Pan\05-Raw_Data\Lab_results\[LabSamples2025_Bioplastic_extra.xlsx]extra_Bioplastic'!C122)," ",'Q:\Abteilungsprojekte\Eng\EngData\PROJECT_Bioplastics\Renjie_Pan\05-Raw_Data\Lab_results\[LabSamples2025_Bioplastic_extra.xlsx]extra_Bioplastic'!C122)</f>
        <v/>
      </c>
      <c r="D122">
        <f>IF(ISBLANK('Q:\Abteilungsprojekte\Eng\EngData\PROJECT_Bioplastics\Renjie_Pan\05-Raw_Data\Lab_results\[LabSamples2025_Bioplastic_extra.xlsx]extra_Bioplastic'!D122)," ",'Q:\Abteilungsprojekte\Eng\EngData\PROJECT_Bioplastics\Renjie_Pan\05-Raw_Data\Lab_results\[LabSamples2025_Bioplastic_extra.xlsx]extra_Bioplastic'!D122)</f>
        <v/>
      </c>
      <c r="E122">
        <f>IF(ISBLANK('Q:\Abteilungsprojekte\Eng\EngData\PROJECT_Bioplastics\Renjie_Pan\05-Raw_Data\Lab_results\[LabSamples2025_Bioplastic_extra.xlsx]extra_Bioplastic'!E122)," ",'Q:\Abteilungsprojekte\Eng\EngData\PROJECT_Bioplastics\Renjie_Pan\05-Raw_Data\Lab_results\[LabSamples2025_Bioplastic_extra.xlsx]extra_Bioplastic'!E122)</f>
        <v/>
      </c>
      <c r="F122">
        <f>IF(ISBLANK('Q:\Abteilungsprojekte\Eng\EngData\PROJECT_Bioplastics\Renjie_Pan\05-Raw_Data\Lab_results\[LabSamples2025_Bioplastic_extra.xlsx]extra_Bioplastic'!F122)," ",'Q:\Abteilungsprojekte\Eng\EngData\PROJECT_Bioplastics\Renjie_Pan\05-Raw_Data\Lab_results\[LabSamples2025_Bioplastic_extra.xlsx]extra_Bioplastic'!F122)</f>
        <v/>
      </c>
      <c r="G122">
        <f>IF(ISBLANK('Q:\Abteilungsprojekte\Eng\EngData\PROJECT_Bioplastics\Renjie_Pan\05-Raw_Data\Lab_results\[LabSamples2025_Bioplastic_extra.xlsx]extra_Bioplastic'!G122)," ",'Q:\Abteilungsprojekte\Eng\EngData\PROJECT_Bioplastics\Renjie_Pan\05-Raw_Data\Lab_results\[LabSamples2025_Bioplastic_extra.xlsx]extra_Bioplastic'!G122)</f>
        <v/>
      </c>
      <c r="H122">
        <f>IF(ISBLANK('Q:\Abteilungsprojekte\Eng\EngData\PROJECT_Bioplastics\Renjie_Pan\05-Raw_Data\Lab_results\[LabSamples2025_Bioplastic_extra.xlsx]extra_Bioplastic'!H122)," ",'Q:\Abteilungsprojekte\Eng\EngData\PROJECT_Bioplastics\Renjie_Pan\05-Raw_Data\Lab_results\[LabSamples2025_Bioplastic_extra.xlsx]extra_Bioplastic'!H122)</f>
        <v/>
      </c>
    </row>
    <row r="123">
      <c r="A123">
        <f>IF(ISBLANK('Q:\Abteilungsprojekte\Eng\EngData\PROJECT_Bioplastics\Renjie_Pan\05-Raw_Data\Lab_results\[LabSamples2025_Bioplastic_extra.xlsx]extra_Bioplastic'!A123)," ",'Q:\Abteilungsprojekte\Eng\EngData\PROJECT_Bioplastics\Renjie_Pan\05-Raw_Data\Lab_results\[LabSamples2025_Bioplastic_extra.xlsx]extra_Bioplastic'!A123)</f>
        <v/>
      </c>
      <c r="B123">
        <f>IF(ISBLANK('Q:\Abteilungsprojekte\Eng\EngData\PROJECT_Bioplastics\Renjie_Pan\05-Raw_Data\Lab_results\[LabSamples2025_Bioplastic_extra.xlsx]extra_Bioplastic'!B123)," ",'Q:\Abteilungsprojekte\Eng\EngData\PROJECT_Bioplastics\Renjie_Pan\05-Raw_Data\Lab_results\[LabSamples2025_Bioplastic_extra.xlsx]extra_Bioplastic'!B123)</f>
        <v/>
      </c>
      <c r="C123">
        <f>IF(ISBLANK('Q:\Abteilungsprojekte\Eng\EngData\PROJECT_Bioplastics\Renjie_Pan\05-Raw_Data\Lab_results\[LabSamples2025_Bioplastic_extra.xlsx]extra_Bioplastic'!C123)," ",'Q:\Abteilungsprojekte\Eng\EngData\PROJECT_Bioplastics\Renjie_Pan\05-Raw_Data\Lab_results\[LabSamples2025_Bioplastic_extra.xlsx]extra_Bioplastic'!C123)</f>
        <v/>
      </c>
      <c r="D123">
        <f>IF(ISBLANK('Q:\Abteilungsprojekte\Eng\EngData\PROJECT_Bioplastics\Renjie_Pan\05-Raw_Data\Lab_results\[LabSamples2025_Bioplastic_extra.xlsx]extra_Bioplastic'!D123)," ",'Q:\Abteilungsprojekte\Eng\EngData\PROJECT_Bioplastics\Renjie_Pan\05-Raw_Data\Lab_results\[LabSamples2025_Bioplastic_extra.xlsx]extra_Bioplastic'!D123)</f>
        <v/>
      </c>
      <c r="E123">
        <f>IF(ISBLANK('Q:\Abteilungsprojekte\Eng\EngData\PROJECT_Bioplastics\Renjie_Pan\05-Raw_Data\Lab_results\[LabSamples2025_Bioplastic_extra.xlsx]extra_Bioplastic'!E123)," ",'Q:\Abteilungsprojekte\Eng\EngData\PROJECT_Bioplastics\Renjie_Pan\05-Raw_Data\Lab_results\[LabSamples2025_Bioplastic_extra.xlsx]extra_Bioplastic'!E123)</f>
        <v/>
      </c>
      <c r="F123">
        <f>IF(ISBLANK('Q:\Abteilungsprojekte\Eng\EngData\PROJECT_Bioplastics\Renjie_Pan\05-Raw_Data\Lab_results\[LabSamples2025_Bioplastic_extra.xlsx]extra_Bioplastic'!F123)," ",'Q:\Abteilungsprojekte\Eng\EngData\PROJECT_Bioplastics\Renjie_Pan\05-Raw_Data\Lab_results\[LabSamples2025_Bioplastic_extra.xlsx]extra_Bioplastic'!F123)</f>
        <v/>
      </c>
      <c r="G123">
        <f>IF(ISBLANK('Q:\Abteilungsprojekte\Eng\EngData\PROJECT_Bioplastics\Renjie_Pan\05-Raw_Data\Lab_results\[LabSamples2025_Bioplastic_extra.xlsx]extra_Bioplastic'!G123)," ",'Q:\Abteilungsprojekte\Eng\EngData\PROJECT_Bioplastics\Renjie_Pan\05-Raw_Data\Lab_results\[LabSamples2025_Bioplastic_extra.xlsx]extra_Bioplastic'!G123)</f>
        <v/>
      </c>
      <c r="H123">
        <f>IF(ISBLANK('Q:\Abteilungsprojekte\Eng\EngData\PROJECT_Bioplastics\Renjie_Pan\05-Raw_Data\Lab_results\[LabSamples2025_Bioplastic_extra.xlsx]extra_Bioplastic'!H123)," ",'Q:\Abteilungsprojekte\Eng\EngData\PROJECT_Bioplastics\Renjie_Pan\05-Raw_Data\Lab_results\[LabSamples2025_Bioplastic_extra.xlsx]extra_Bioplastic'!H123)</f>
        <v/>
      </c>
    </row>
    <row r="124">
      <c r="A124">
        <f>IF(ISBLANK('Q:\Abteilungsprojekte\Eng\EngData\PROJECT_Bioplastics\Renjie_Pan\05-Raw_Data\Lab_results\[LabSamples2025_Bioplastic_extra.xlsx]extra_Bioplastic'!A124)," ",'Q:\Abteilungsprojekte\Eng\EngData\PROJECT_Bioplastics\Renjie_Pan\05-Raw_Data\Lab_results\[LabSamples2025_Bioplastic_extra.xlsx]extra_Bioplastic'!A124)</f>
        <v/>
      </c>
      <c r="B124">
        <f>IF(ISBLANK('Q:\Abteilungsprojekte\Eng\EngData\PROJECT_Bioplastics\Renjie_Pan\05-Raw_Data\Lab_results\[LabSamples2025_Bioplastic_extra.xlsx]extra_Bioplastic'!B124)," ",'Q:\Abteilungsprojekte\Eng\EngData\PROJECT_Bioplastics\Renjie_Pan\05-Raw_Data\Lab_results\[LabSamples2025_Bioplastic_extra.xlsx]extra_Bioplastic'!B124)</f>
        <v/>
      </c>
      <c r="C124">
        <f>IF(ISBLANK('Q:\Abteilungsprojekte\Eng\EngData\PROJECT_Bioplastics\Renjie_Pan\05-Raw_Data\Lab_results\[LabSamples2025_Bioplastic_extra.xlsx]extra_Bioplastic'!C124)," ",'Q:\Abteilungsprojekte\Eng\EngData\PROJECT_Bioplastics\Renjie_Pan\05-Raw_Data\Lab_results\[LabSamples2025_Bioplastic_extra.xlsx]extra_Bioplastic'!C124)</f>
        <v/>
      </c>
      <c r="D124">
        <f>IF(ISBLANK('Q:\Abteilungsprojekte\Eng\EngData\PROJECT_Bioplastics\Renjie_Pan\05-Raw_Data\Lab_results\[LabSamples2025_Bioplastic_extra.xlsx]extra_Bioplastic'!D124)," ",'Q:\Abteilungsprojekte\Eng\EngData\PROJECT_Bioplastics\Renjie_Pan\05-Raw_Data\Lab_results\[LabSamples2025_Bioplastic_extra.xlsx]extra_Bioplastic'!D124)</f>
        <v/>
      </c>
      <c r="E124">
        <f>IF(ISBLANK('Q:\Abteilungsprojekte\Eng\EngData\PROJECT_Bioplastics\Renjie_Pan\05-Raw_Data\Lab_results\[LabSamples2025_Bioplastic_extra.xlsx]extra_Bioplastic'!E124)," ",'Q:\Abteilungsprojekte\Eng\EngData\PROJECT_Bioplastics\Renjie_Pan\05-Raw_Data\Lab_results\[LabSamples2025_Bioplastic_extra.xlsx]extra_Bioplastic'!E124)</f>
        <v/>
      </c>
      <c r="F124">
        <f>IF(ISBLANK('Q:\Abteilungsprojekte\Eng\EngData\PROJECT_Bioplastics\Renjie_Pan\05-Raw_Data\Lab_results\[LabSamples2025_Bioplastic_extra.xlsx]extra_Bioplastic'!F124)," ",'Q:\Abteilungsprojekte\Eng\EngData\PROJECT_Bioplastics\Renjie_Pan\05-Raw_Data\Lab_results\[LabSamples2025_Bioplastic_extra.xlsx]extra_Bioplastic'!F124)</f>
        <v/>
      </c>
      <c r="G124">
        <f>IF(ISBLANK('Q:\Abteilungsprojekte\Eng\EngData\PROJECT_Bioplastics\Renjie_Pan\05-Raw_Data\Lab_results\[LabSamples2025_Bioplastic_extra.xlsx]extra_Bioplastic'!G124)," ",'Q:\Abteilungsprojekte\Eng\EngData\PROJECT_Bioplastics\Renjie_Pan\05-Raw_Data\Lab_results\[LabSamples2025_Bioplastic_extra.xlsx]extra_Bioplastic'!G124)</f>
        <v/>
      </c>
      <c r="H124">
        <f>IF(ISBLANK('Q:\Abteilungsprojekte\Eng\EngData\PROJECT_Bioplastics\Renjie_Pan\05-Raw_Data\Lab_results\[LabSamples2025_Bioplastic_extra.xlsx]extra_Bioplastic'!H124)," ",'Q:\Abteilungsprojekte\Eng\EngData\PROJECT_Bioplastics\Renjie_Pan\05-Raw_Data\Lab_results\[LabSamples2025_Bioplastic_extra.xlsx]extra_Bioplastic'!H124)</f>
        <v/>
      </c>
    </row>
    <row r="125">
      <c r="A125">
        <f>IF(ISBLANK('Q:\Abteilungsprojekte\Eng\EngData\PROJECT_Bioplastics\Renjie_Pan\05-Raw_Data\Lab_results\[LabSamples2025_Bioplastic_extra.xlsx]extra_Bioplastic'!A125)," ",'Q:\Abteilungsprojekte\Eng\EngData\PROJECT_Bioplastics\Renjie_Pan\05-Raw_Data\Lab_results\[LabSamples2025_Bioplastic_extra.xlsx]extra_Bioplastic'!A125)</f>
        <v/>
      </c>
      <c r="B125">
        <f>IF(ISBLANK('Q:\Abteilungsprojekte\Eng\EngData\PROJECT_Bioplastics\Renjie_Pan\05-Raw_Data\Lab_results\[LabSamples2025_Bioplastic_extra.xlsx]extra_Bioplastic'!B125)," ",'Q:\Abteilungsprojekte\Eng\EngData\PROJECT_Bioplastics\Renjie_Pan\05-Raw_Data\Lab_results\[LabSamples2025_Bioplastic_extra.xlsx]extra_Bioplastic'!B125)</f>
        <v/>
      </c>
      <c r="C125">
        <f>IF(ISBLANK('Q:\Abteilungsprojekte\Eng\EngData\PROJECT_Bioplastics\Renjie_Pan\05-Raw_Data\Lab_results\[LabSamples2025_Bioplastic_extra.xlsx]extra_Bioplastic'!C125)," ",'Q:\Abteilungsprojekte\Eng\EngData\PROJECT_Bioplastics\Renjie_Pan\05-Raw_Data\Lab_results\[LabSamples2025_Bioplastic_extra.xlsx]extra_Bioplastic'!C125)</f>
        <v/>
      </c>
      <c r="D125">
        <f>IF(ISBLANK('Q:\Abteilungsprojekte\Eng\EngData\PROJECT_Bioplastics\Renjie_Pan\05-Raw_Data\Lab_results\[LabSamples2025_Bioplastic_extra.xlsx]extra_Bioplastic'!D125)," ",'Q:\Abteilungsprojekte\Eng\EngData\PROJECT_Bioplastics\Renjie_Pan\05-Raw_Data\Lab_results\[LabSamples2025_Bioplastic_extra.xlsx]extra_Bioplastic'!D125)</f>
        <v/>
      </c>
      <c r="E125">
        <f>IF(ISBLANK('Q:\Abteilungsprojekte\Eng\EngData\PROJECT_Bioplastics\Renjie_Pan\05-Raw_Data\Lab_results\[LabSamples2025_Bioplastic_extra.xlsx]extra_Bioplastic'!E125)," ",'Q:\Abteilungsprojekte\Eng\EngData\PROJECT_Bioplastics\Renjie_Pan\05-Raw_Data\Lab_results\[LabSamples2025_Bioplastic_extra.xlsx]extra_Bioplastic'!E125)</f>
        <v/>
      </c>
      <c r="F125">
        <f>IF(ISBLANK('Q:\Abteilungsprojekte\Eng\EngData\PROJECT_Bioplastics\Renjie_Pan\05-Raw_Data\Lab_results\[LabSamples2025_Bioplastic_extra.xlsx]extra_Bioplastic'!F125)," ",'Q:\Abteilungsprojekte\Eng\EngData\PROJECT_Bioplastics\Renjie_Pan\05-Raw_Data\Lab_results\[LabSamples2025_Bioplastic_extra.xlsx]extra_Bioplastic'!F125)</f>
        <v/>
      </c>
      <c r="G125">
        <f>IF(ISBLANK('Q:\Abteilungsprojekte\Eng\EngData\PROJECT_Bioplastics\Renjie_Pan\05-Raw_Data\Lab_results\[LabSamples2025_Bioplastic_extra.xlsx]extra_Bioplastic'!G125)," ",'Q:\Abteilungsprojekte\Eng\EngData\PROJECT_Bioplastics\Renjie_Pan\05-Raw_Data\Lab_results\[LabSamples2025_Bioplastic_extra.xlsx]extra_Bioplastic'!G125)</f>
        <v/>
      </c>
      <c r="H125">
        <f>IF(ISBLANK('Q:\Abteilungsprojekte\Eng\EngData\PROJECT_Bioplastics\Renjie_Pan\05-Raw_Data\Lab_results\[LabSamples2025_Bioplastic_extra.xlsx]extra_Bioplastic'!H125)," ",'Q:\Abteilungsprojekte\Eng\EngData\PROJECT_Bioplastics\Renjie_Pan\05-Raw_Data\Lab_results\[LabSamples2025_Bioplastic_extra.xlsx]extra_Bioplastic'!H125)</f>
        <v/>
      </c>
    </row>
    <row r="126">
      <c r="A126">
        <f>IF(ISBLANK('Q:\Abteilungsprojekte\Eng\EngData\PROJECT_Bioplastics\Renjie_Pan\05-Raw_Data\Lab_results\[LabSamples2025_Bioplastic_extra.xlsx]extra_Bioplastic'!A126)," ",'Q:\Abteilungsprojekte\Eng\EngData\PROJECT_Bioplastics\Renjie_Pan\05-Raw_Data\Lab_results\[LabSamples2025_Bioplastic_extra.xlsx]extra_Bioplastic'!A126)</f>
        <v/>
      </c>
      <c r="B126">
        <f>IF(ISBLANK('Q:\Abteilungsprojekte\Eng\EngData\PROJECT_Bioplastics\Renjie_Pan\05-Raw_Data\Lab_results\[LabSamples2025_Bioplastic_extra.xlsx]extra_Bioplastic'!B126)," ",'Q:\Abteilungsprojekte\Eng\EngData\PROJECT_Bioplastics\Renjie_Pan\05-Raw_Data\Lab_results\[LabSamples2025_Bioplastic_extra.xlsx]extra_Bioplastic'!B126)</f>
        <v/>
      </c>
      <c r="C126">
        <f>IF(ISBLANK('Q:\Abteilungsprojekte\Eng\EngData\PROJECT_Bioplastics\Renjie_Pan\05-Raw_Data\Lab_results\[LabSamples2025_Bioplastic_extra.xlsx]extra_Bioplastic'!C126)," ",'Q:\Abteilungsprojekte\Eng\EngData\PROJECT_Bioplastics\Renjie_Pan\05-Raw_Data\Lab_results\[LabSamples2025_Bioplastic_extra.xlsx]extra_Bioplastic'!C126)</f>
        <v/>
      </c>
      <c r="D126">
        <f>IF(ISBLANK('Q:\Abteilungsprojekte\Eng\EngData\PROJECT_Bioplastics\Renjie_Pan\05-Raw_Data\Lab_results\[LabSamples2025_Bioplastic_extra.xlsx]extra_Bioplastic'!D126)," ",'Q:\Abteilungsprojekte\Eng\EngData\PROJECT_Bioplastics\Renjie_Pan\05-Raw_Data\Lab_results\[LabSamples2025_Bioplastic_extra.xlsx]extra_Bioplastic'!D126)</f>
        <v/>
      </c>
      <c r="E126">
        <f>IF(ISBLANK('Q:\Abteilungsprojekte\Eng\EngData\PROJECT_Bioplastics\Renjie_Pan\05-Raw_Data\Lab_results\[LabSamples2025_Bioplastic_extra.xlsx]extra_Bioplastic'!E126)," ",'Q:\Abteilungsprojekte\Eng\EngData\PROJECT_Bioplastics\Renjie_Pan\05-Raw_Data\Lab_results\[LabSamples2025_Bioplastic_extra.xlsx]extra_Bioplastic'!E126)</f>
        <v/>
      </c>
      <c r="F126">
        <f>IF(ISBLANK('Q:\Abteilungsprojekte\Eng\EngData\PROJECT_Bioplastics\Renjie_Pan\05-Raw_Data\Lab_results\[LabSamples2025_Bioplastic_extra.xlsx]extra_Bioplastic'!F126)," ",'Q:\Abteilungsprojekte\Eng\EngData\PROJECT_Bioplastics\Renjie_Pan\05-Raw_Data\Lab_results\[LabSamples2025_Bioplastic_extra.xlsx]extra_Bioplastic'!F126)</f>
        <v/>
      </c>
      <c r="G126">
        <f>IF(ISBLANK('Q:\Abteilungsprojekte\Eng\EngData\PROJECT_Bioplastics\Renjie_Pan\05-Raw_Data\Lab_results\[LabSamples2025_Bioplastic_extra.xlsx]extra_Bioplastic'!G126)," ",'Q:\Abteilungsprojekte\Eng\EngData\PROJECT_Bioplastics\Renjie_Pan\05-Raw_Data\Lab_results\[LabSamples2025_Bioplastic_extra.xlsx]extra_Bioplastic'!G126)</f>
        <v/>
      </c>
      <c r="H126">
        <f>IF(ISBLANK('Q:\Abteilungsprojekte\Eng\EngData\PROJECT_Bioplastics\Renjie_Pan\05-Raw_Data\Lab_results\[LabSamples2025_Bioplastic_extra.xlsx]extra_Bioplastic'!H126)," ",'Q:\Abteilungsprojekte\Eng\EngData\PROJECT_Bioplastics\Renjie_Pan\05-Raw_Data\Lab_results\[LabSamples2025_Bioplastic_extra.xlsx]extra_Bioplastic'!H126)</f>
        <v/>
      </c>
    </row>
    <row r="127">
      <c r="A127">
        <f>IF(ISBLANK('Q:\Abteilungsprojekte\Eng\EngData\PROJECT_Bioplastics\Renjie_Pan\05-Raw_Data\Lab_results\[LabSamples2025_Bioplastic_extra.xlsx]extra_Bioplastic'!A127)," ",'Q:\Abteilungsprojekte\Eng\EngData\PROJECT_Bioplastics\Renjie_Pan\05-Raw_Data\Lab_results\[LabSamples2025_Bioplastic_extra.xlsx]extra_Bioplastic'!A127)</f>
        <v/>
      </c>
      <c r="B127">
        <f>IF(ISBLANK('Q:\Abteilungsprojekte\Eng\EngData\PROJECT_Bioplastics\Renjie_Pan\05-Raw_Data\Lab_results\[LabSamples2025_Bioplastic_extra.xlsx]extra_Bioplastic'!B127)," ",'Q:\Abteilungsprojekte\Eng\EngData\PROJECT_Bioplastics\Renjie_Pan\05-Raw_Data\Lab_results\[LabSamples2025_Bioplastic_extra.xlsx]extra_Bioplastic'!B127)</f>
        <v/>
      </c>
      <c r="C127">
        <f>IF(ISBLANK('Q:\Abteilungsprojekte\Eng\EngData\PROJECT_Bioplastics\Renjie_Pan\05-Raw_Data\Lab_results\[LabSamples2025_Bioplastic_extra.xlsx]extra_Bioplastic'!C127)," ",'Q:\Abteilungsprojekte\Eng\EngData\PROJECT_Bioplastics\Renjie_Pan\05-Raw_Data\Lab_results\[LabSamples2025_Bioplastic_extra.xlsx]extra_Bioplastic'!C127)</f>
        <v/>
      </c>
      <c r="D127">
        <f>IF(ISBLANK('Q:\Abteilungsprojekte\Eng\EngData\PROJECT_Bioplastics\Renjie_Pan\05-Raw_Data\Lab_results\[LabSamples2025_Bioplastic_extra.xlsx]extra_Bioplastic'!D127)," ",'Q:\Abteilungsprojekte\Eng\EngData\PROJECT_Bioplastics\Renjie_Pan\05-Raw_Data\Lab_results\[LabSamples2025_Bioplastic_extra.xlsx]extra_Bioplastic'!D127)</f>
        <v/>
      </c>
      <c r="E127">
        <f>IF(ISBLANK('Q:\Abteilungsprojekte\Eng\EngData\PROJECT_Bioplastics\Renjie_Pan\05-Raw_Data\Lab_results\[LabSamples2025_Bioplastic_extra.xlsx]extra_Bioplastic'!E127)," ",'Q:\Abteilungsprojekte\Eng\EngData\PROJECT_Bioplastics\Renjie_Pan\05-Raw_Data\Lab_results\[LabSamples2025_Bioplastic_extra.xlsx]extra_Bioplastic'!E127)</f>
        <v/>
      </c>
      <c r="F127">
        <f>IF(ISBLANK('Q:\Abteilungsprojekte\Eng\EngData\PROJECT_Bioplastics\Renjie_Pan\05-Raw_Data\Lab_results\[LabSamples2025_Bioplastic_extra.xlsx]extra_Bioplastic'!F127)," ",'Q:\Abteilungsprojekte\Eng\EngData\PROJECT_Bioplastics\Renjie_Pan\05-Raw_Data\Lab_results\[LabSamples2025_Bioplastic_extra.xlsx]extra_Bioplastic'!F127)</f>
        <v/>
      </c>
      <c r="G127">
        <f>IF(ISBLANK('Q:\Abteilungsprojekte\Eng\EngData\PROJECT_Bioplastics\Renjie_Pan\05-Raw_Data\Lab_results\[LabSamples2025_Bioplastic_extra.xlsx]extra_Bioplastic'!G127)," ",'Q:\Abteilungsprojekte\Eng\EngData\PROJECT_Bioplastics\Renjie_Pan\05-Raw_Data\Lab_results\[LabSamples2025_Bioplastic_extra.xlsx]extra_Bioplastic'!G127)</f>
        <v/>
      </c>
      <c r="H127">
        <f>IF(ISBLANK('Q:\Abteilungsprojekte\Eng\EngData\PROJECT_Bioplastics\Renjie_Pan\05-Raw_Data\Lab_results\[LabSamples2025_Bioplastic_extra.xlsx]extra_Bioplastic'!H127)," ",'Q:\Abteilungsprojekte\Eng\EngData\PROJECT_Bioplastics\Renjie_Pan\05-Raw_Data\Lab_results\[LabSamples2025_Bioplastic_extra.xlsx]extra_Bioplastic'!H127)</f>
        <v/>
      </c>
    </row>
    <row r="128">
      <c r="A128">
        <f>IF(ISBLANK('Q:\Abteilungsprojekte\Eng\EngData\PROJECT_Bioplastics\Renjie_Pan\05-Raw_Data\Lab_results\[LabSamples2025_Bioplastic_extra.xlsx]extra_Bioplastic'!A128)," ",'Q:\Abteilungsprojekte\Eng\EngData\PROJECT_Bioplastics\Renjie_Pan\05-Raw_Data\Lab_results\[LabSamples2025_Bioplastic_extra.xlsx]extra_Bioplastic'!A128)</f>
        <v/>
      </c>
      <c r="B128">
        <f>IF(ISBLANK('Q:\Abteilungsprojekte\Eng\EngData\PROJECT_Bioplastics\Renjie_Pan\05-Raw_Data\Lab_results\[LabSamples2025_Bioplastic_extra.xlsx]extra_Bioplastic'!B128)," ",'Q:\Abteilungsprojekte\Eng\EngData\PROJECT_Bioplastics\Renjie_Pan\05-Raw_Data\Lab_results\[LabSamples2025_Bioplastic_extra.xlsx]extra_Bioplastic'!B128)</f>
        <v/>
      </c>
      <c r="C128">
        <f>IF(ISBLANK('Q:\Abteilungsprojekte\Eng\EngData\PROJECT_Bioplastics\Renjie_Pan\05-Raw_Data\Lab_results\[LabSamples2025_Bioplastic_extra.xlsx]extra_Bioplastic'!C128)," ",'Q:\Abteilungsprojekte\Eng\EngData\PROJECT_Bioplastics\Renjie_Pan\05-Raw_Data\Lab_results\[LabSamples2025_Bioplastic_extra.xlsx]extra_Bioplastic'!C128)</f>
        <v/>
      </c>
      <c r="D128">
        <f>IF(ISBLANK('Q:\Abteilungsprojekte\Eng\EngData\PROJECT_Bioplastics\Renjie_Pan\05-Raw_Data\Lab_results\[LabSamples2025_Bioplastic_extra.xlsx]extra_Bioplastic'!D128)," ",'Q:\Abteilungsprojekte\Eng\EngData\PROJECT_Bioplastics\Renjie_Pan\05-Raw_Data\Lab_results\[LabSamples2025_Bioplastic_extra.xlsx]extra_Bioplastic'!D128)</f>
        <v/>
      </c>
      <c r="E128">
        <f>IF(ISBLANK('Q:\Abteilungsprojekte\Eng\EngData\PROJECT_Bioplastics\Renjie_Pan\05-Raw_Data\Lab_results\[LabSamples2025_Bioplastic_extra.xlsx]extra_Bioplastic'!E128)," ",'Q:\Abteilungsprojekte\Eng\EngData\PROJECT_Bioplastics\Renjie_Pan\05-Raw_Data\Lab_results\[LabSamples2025_Bioplastic_extra.xlsx]extra_Bioplastic'!E128)</f>
        <v/>
      </c>
      <c r="F128">
        <f>IF(ISBLANK('Q:\Abteilungsprojekte\Eng\EngData\PROJECT_Bioplastics\Renjie_Pan\05-Raw_Data\Lab_results\[LabSamples2025_Bioplastic_extra.xlsx]extra_Bioplastic'!F128)," ",'Q:\Abteilungsprojekte\Eng\EngData\PROJECT_Bioplastics\Renjie_Pan\05-Raw_Data\Lab_results\[LabSamples2025_Bioplastic_extra.xlsx]extra_Bioplastic'!F128)</f>
        <v/>
      </c>
      <c r="G128">
        <f>IF(ISBLANK('Q:\Abteilungsprojekte\Eng\EngData\PROJECT_Bioplastics\Renjie_Pan\05-Raw_Data\Lab_results\[LabSamples2025_Bioplastic_extra.xlsx]extra_Bioplastic'!G128)," ",'Q:\Abteilungsprojekte\Eng\EngData\PROJECT_Bioplastics\Renjie_Pan\05-Raw_Data\Lab_results\[LabSamples2025_Bioplastic_extra.xlsx]extra_Bioplastic'!G128)</f>
        <v/>
      </c>
      <c r="H128">
        <f>IF(ISBLANK('Q:\Abteilungsprojekte\Eng\EngData\PROJECT_Bioplastics\Renjie_Pan\05-Raw_Data\Lab_results\[LabSamples2025_Bioplastic_extra.xlsx]extra_Bioplastic'!H128)," ",'Q:\Abteilungsprojekte\Eng\EngData\PROJECT_Bioplastics\Renjie_Pan\05-Raw_Data\Lab_results\[LabSamples2025_Bioplastic_extra.xlsx]extra_Bioplastic'!H128)</f>
        <v/>
      </c>
    </row>
    <row r="129">
      <c r="A129">
        <f>IF(ISBLANK('Q:\Abteilungsprojekte\Eng\EngData\PROJECT_Bioplastics\Renjie_Pan\05-Raw_Data\Lab_results\[LabSamples2025_Bioplastic_extra.xlsx]extra_Bioplastic'!A129)," ",'Q:\Abteilungsprojekte\Eng\EngData\PROJECT_Bioplastics\Renjie_Pan\05-Raw_Data\Lab_results\[LabSamples2025_Bioplastic_extra.xlsx]extra_Bioplastic'!A129)</f>
        <v/>
      </c>
      <c r="B129">
        <f>IF(ISBLANK('Q:\Abteilungsprojekte\Eng\EngData\PROJECT_Bioplastics\Renjie_Pan\05-Raw_Data\Lab_results\[LabSamples2025_Bioplastic_extra.xlsx]extra_Bioplastic'!B129)," ",'Q:\Abteilungsprojekte\Eng\EngData\PROJECT_Bioplastics\Renjie_Pan\05-Raw_Data\Lab_results\[LabSamples2025_Bioplastic_extra.xlsx]extra_Bioplastic'!B129)</f>
        <v/>
      </c>
      <c r="C129">
        <f>IF(ISBLANK('Q:\Abteilungsprojekte\Eng\EngData\PROJECT_Bioplastics\Renjie_Pan\05-Raw_Data\Lab_results\[LabSamples2025_Bioplastic_extra.xlsx]extra_Bioplastic'!C129)," ",'Q:\Abteilungsprojekte\Eng\EngData\PROJECT_Bioplastics\Renjie_Pan\05-Raw_Data\Lab_results\[LabSamples2025_Bioplastic_extra.xlsx]extra_Bioplastic'!C129)</f>
        <v/>
      </c>
      <c r="D129">
        <f>IF(ISBLANK('Q:\Abteilungsprojekte\Eng\EngData\PROJECT_Bioplastics\Renjie_Pan\05-Raw_Data\Lab_results\[LabSamples2025_Bioplastic_extra.xlsx]extra_Bioplastic'!D129)," ",'Q:\Abteilungsprojekte\Eng\EngData\PROJECT_Bioplastics\Renjie_Pan\05-Raw_Data\Lab_results\[LabSamples2025_Bioplastic_extra.xlsx]extra_Bioplastic'!D129)</f>
        <v/>
      </c>
      <c r="E129">
        <f>IF(ISBLANK('Q:\Abteilungsprojekte\Eng\EngData\PROJECT_Bioplastics\Renjie_Pan\05-Raw_Data\Lab_results\[LabSamples2025_Bioplastic_extra.xlsx]extra_Bioplastic'!E129)," ",'Q:\Abteilungsprojekte\Eng\EngData\PROJECT_Bioplastics\Renjie_Pan\05-Raw_Data\Lab_results\[LabSamples2025_Bioplastic_extra.xlsx]extra_Bioplastic'!E129)</f>
        <v/>
      </c>
      <c r="F129">
        <f>IF(ISBLANK('Q:\Abteilungsprojekte\Eng\EngData\PROJECT_Bioplastics\Renjie_Pan\05-Raw_Data\Lab_results\[LabSamples2025_Bioplastic_extra.xlsx]extra_Bioplastic'!F129)," ",'Q:\Abteilungsprojekte\Eng\EngData\PROJECT_Bioplastics\Renjie_Pan\05-Raw_Data\Lab_results\[LabSamples2025_Bioplastic_extra.xlsx]extra_Bioplastic'!F129)</f>
        <v/>
      </c>
      <c r="G129">
        <f>IF(ISBLANK('Q:\Abteilungsprojekte\Eng\EngData\PROJECT_Bioplastics\Renjie_Pan\05-Raw_Data\Lab_results\[LabSamples2025_Bioplastic_extra.xlsx]extra_Bioplastic'!G129)," ",'Q:\Abteilungsprojekte\Eng\EngData\PROJECT_Bioplastics\Renjie_Pan\05-Raw_Data\Lab_results\[LabSamples2025_Bioplastic_extra.xlsx]extra_Bioplastic'!G129)</f>
        <v/>
      </c>
      <c r="H129">
        <f>IF(ISBLANK('Q:\Abteilungsprojekte\Eng\EngData\PROJECT_Bioplastics\Renjie_Pan\05-Raw_Data\Lab_results\[LabSamples2025_Bioplastic_extra.xlsx]extra_Bioplastic'!H129)," ",'Q:\Abteilungsprojekte\Eng\EngData\PROJECT_Bioplastics\Renjie_Pan\05-Raw_Data\Lab_results\[LabSamples2025_Bioplastic_extra.xlsx]extra_Bioplastic'!H129)</f>
        <v/>
      </c>
    </row>
    <row r="130">
      <c r="A130">
        <f>IF(ISBLANK('Q:\Abteilungsprojekte\Eng\EngData\PROJECT_Bioplastics\Renjie_Pan\05-Raw_Data\Lab_results\[LabSamples2025_Bioplastic_extra.xlsx]extra_Bioplastic'!A130)," ",'Q:\Abteilungsprojekte\Eng\EngData\PROJECT_Bioplastics\Renjie_Pan\05-Raw_Data\Lab_results\[LabSamples2025_Bioplastic_extra.xlsx]extra_Bioplastic'!A130)</f>
        <v/>
      </c>
      <c r="B130">
        <f>IF(ISBLANK('Q:\Abteilungsprojekte\Eng\EngData\PROJECT_Bioplastics\Renjie_Pan\05-Raw_Data\Lab_results\[LabSamples2025_Bioplastic_extra.xlsx]extra_Bioplastic'!B130)," ",'Q:\Abteilungsprojekte\Eng\EngData\PROJECT_Bioplastics\Renjie_Pan\05-Raw_Data\Lab_results\[LabSamples2025_Bioplastic_extra.xlsx]extra_Bioplastic'!B130)</f>
        <v/>
      </c>
      <c r="C130">
        <f>IF(ISBLANK('Q:\Abteilungsprojekte\Eng\EngData\PROJECT_Bioplastics\Renjie_Pan\05-Raw_Data\Lab_results\[LabSamples2025_Bioplastic_extra.xlsx]extra_Bioplastic'!C130)," ",'Q:\Abteilungsprojekte\Eng\EngData\PROJECT_Bioplastics\Renjie_Pan\05-Raw_Data\Lab_results\[LabSamples2025_Bioplastic_extra.xlsx]extra_Bioplastic'!C130)</f>
        <v/>
      </c>
      <c r="D130">
        <f>IF(ISBLANK('Q:\Abteilungsprojekte\Eng\EngData\PROJECT_Bioplastics\Renjie_Pan\05-Raw_Data\Lab_results\[LabSamples2025_Bioplastic_extra.xlsx]extra_Bioplastic'!D130)," ",'Q:\Abteilungsprojekte\Eng\EngData\PROJECT_Bioplastics\Renjie_Pan\05-Raw_Data\Lab_results\[LabSamples2025_Bioplastic_extra.xlsx]extra_Bioplastic'!D130)</f>
        <v/>
      </c>
      <c r="E130">
        <f>IF(ISBLANK('Q:\Abteilungsprojekte\Eng\EngData\PROJECT_Bioplastics\Renjie_Pan\05-Raw_Data\Lab_results\[LabSamples2025_Bioplastic_extra.xlsx]extra_Bioplastic'!E130)," ",'Q:\Abteilungsprojekte\Eng\EngData\PROJECT_Bioplastics\Renjie_Pan\05-Raw_Data\Lab_results\[LabSamples2025_Bioplastic_extra.xlsx]extra_Bioplastic'!E130)</f>
        <v/>
      </c>
      <c r="F130">
        <f>IF(ISBLANK('Q:\Abteilungsprojekte\Eng\EngData\PROJECT_Bioplastics\Renjie_Pan\05-Raw_Data\Lab_results\[LabSamples2025_Bioplastic_extra.xlsx]extra_Bioplastic'!F130)," ",'Q:\Abteilungsprojekte\Eng\EngData\PROJECT_Bioplastics\Renjie_Pan\05-Raw_Data\Lab_results\[LabSamples2025_Bioplastic_extra.xlsx]extra_Bioplastic'!F130)</f>
        <v/>
      </c>
      <c r="G130">
        <f>IF(ISBLANK('Q:\Abteilungsprojekte\Eng\EngData\PROJECT_Bioplastics\Renjie_Pan\05-Raw_Data\Lab_results\[LabSamples2025_Bioplastic_extra.xlsx]extra_Bioplastic'!G130)," ",'Q:\Abteilungsprojekte\Eng\EngData\PROJECT_Bioplastics\Renjie_Pan\05-Raw_Data\Lab_results\[LabSamples2025_Bioplastic_extra.xlsx]extra_Bioplastic'!G130)</f>
        <v/>
      </c>
      <c r="H130">
        <f>IF(ISBLANK('Q:\Abteilungsprojekte\Eng\EngData\PROJECT_Bioplastics\Renjie_Pan\05-Raw_Data\Lab_results\[LabSamples2025_Bioplastic_extra.xlsx]extra_Bioplastic'!H130)," ",'Q:\Abteilungsprojekte\Eng\EngData\PROJECT_Bioplastics\Renjie_Pan\05-Raw_Data\Lab_results\[LabSamples2025_Bioplastic_extra.xlsx]extra_Bioplastic'!H130)</f>
        <v/>
      </c>
    </row>
    <row r="131">
      <c r="A131">
        <f>IF(ISBLANK('Q:\Abteilungsprojekte\Eng\EngData\PROJECT_Bioplastics\Renjie_Pan\05-Raw_Data\Lab_results\[LabSamples2025_Bioplastic_extra.xlsx]extra_Bioplastic'!A131)," ",'Q:\Abteilungsprojekte\Eng\EngData\PROJECT_Bioplastics\Renjie_Pan\05-Raw_Data\Lab_results\[LabSamples2025_Bioplastic_extra.xlsx]extra_Bioplastic'!A131)</f>
        <v/>
      </c>
      <c r="B131">
        <f>IF(ISBLANK('Q:\Abteilungsprojekte\Eng\EngData\PROJECT_Bioplastics\Renjie_Pan\05-Raw_Data\Lab_results\[LabSamples2025_Bioplastic_extra.xlsx]extra_Bioplastic'!B131)," ",'Q:\Abteilungsprojekte\Eng\EngData\PROJECT_Bioplastics\Renjie_Pan\05-Raw_Data\Lab_results\[LabSamples2025_Bioplastic_extra.xlsx]extra_Bioplastic'!B131)</f>
        <v/>
      </c>
      <c r="C131">
        <f>IF(ISBLANK('Q:\Abteilungsprojekte\Eng\EngData\PROJECT_Bioplastics\Renjie_Pan\05-Raw_Data\Lab_results\[LabSamples2025_Bioplastic_extra.xlsx]extra_Bioplastic'!C131)," ",'Q:\Abteilungsprojekte\Eng\EngData\PROJECT_Bioplastics\Renjie_Pan\05-Raw_Data\Lab_results\[LabSamples2025_Bioplastic_extra.xlsx]extra_Bioplastic'!C131)</f>
        <v/>
      </c>
      <c r="D131">
        <f>IF(ISBLANK('Q:\Abteilungsprojekte\Eng\EngData\PROJECT_Bioplastics\Renjie_Pan\05-Raw_Data\Lab_results\[LabSamples2025_Bioplastic_extra.xlsx]extra_Bioplastic'!D131)," ",'Q:\Abteilungsprojekte\Eng\EngData\PROJECT_Bioplastics\Renjie_Pan\05-Raw_Data\Lab_results\[LabSamples2025_Bioplastic_extra.xlsx]extra_Bioplastic'!D131)</f>
        <v/>
      </c>
      <c r="E131">
        <f>IF(ISBLANK('Q:\Abteilungsprojekte\Eng\EngData\PROJECT_Bioplastics\Renjie_Pan\05-Raw_Data\Lab_results\[LabSamples2025_Bioplastic_extra.xlsx]extra_Bioplastic'!E131)," ",'Q:\Abteilungsprojekte\Eng\EngData\PROJECT_Bioplastics\Renjie_Pan\05-Raw_Data\Lab_results\[LabSamples2025_Bioplastic_extra.xlsx]extra_Bioplastic'!E131)</f>
        <v/>
      </c>
      <c r="F131">
        <f>IF(ISBLANK('Q:\Abteilungsprojekte\Eng\EngData\PROJECT_Bioplastics\Renjie_Pan\05-Raw_Data\Lab_results\[LabSamples2025_Bioplastic_extra.xlsx]extra_Bioplastic'!F131)," ",'Q:\Abteilungsprojekte\Eng\EngData\PROJECT_Bioplastics\Renjie_Pan\05-Raw_Data\Lab_results\[LabSamples2025_Bioplastic_extra.xlsx]extra_Bioplastic'!F131)</f>
        <v/>
      </c>
      <c r="G131">
        <f>IF(ISBLANK('Q:\Abteilungsprojekte\Eng\EngData\PROJECT_Bioplastics\Renjie_Pan\05-Raw_Data\Lab_results\[LabSamples2025_Bioplastic_extra.xlsx]extra_Bioplastic'!G131)," ",'Q:\Abteilungsprojekte\Eng\EngData\PROJECT_Bioplastics\Renjie_Pan\05-Raw_Data\Lab_results\[LabSamples2025_Bioplastic_extra.xlsx]extra_Bioplastic'!G131)</f>
        <v/>
      </c>
      <c r="H131">
        <f>IF(ISBLANK('Q:\Abteilungsprojekte\Eng\EngData\PROJECT_Bioplastics\Renjie_Pan\05-Raw_Data\Lab_results\[LabSamples2025_Bioplastic_extra.xlsx]extra_Bioplastic'!H131)," ",'Q:\Abteilungsprojekte\Eng\EngData\PROJECT_Bioplastics\Renjie_Pan\05-Raw_Data\Lab_results\[LabSamples2025_Bioplastic_extra.xlsx]extra_Bioplastic'!H131)</f>
        <v/>
      </c>
    </row>
    <row r="132">
      <c r="A132">
        <f>IF(ISBLANK('Q:\Abteilungsprojekte\Eng\EngData\PROJECT_Bioplastics\Renjie_Pan\05-Raw_Data\Lab_results\[LabSamples2025_Bioplastic_extra.xlsx]extra_Bioplastic'!A132)," ",'Q:\Abteilungsprojekte\Eng\EngData\PROJECT_Bioplastics\Renjie_Pan\05-Raw_Data\Lab_results\[LabSamples2025_Bioplastic_extra.xlsx]extra_Bioplastic'!A132)</f>
        <v/>
      </c>
      <c r="B132">
        <f>IF(ISBLANK('Q:\Abteilungsprojekte\Eng\EngData\PROJECT_Bioplastics\Renjie_Pan\05-Raw_Data\Lab_results\[LabSamples2025_Bioplastic_extra.xlsx]extra_Bioplastic'!B132)," ",'Q:\Abteilungsprojekte\Eng\EngData\PROJECT_Bioplastics\Renjie_Pan\05-Raw_Data\Lab_results\[LabSamples2025_Bioplastic_extra.xlsx]extra_Bioplastic'!B132)</f>
        <v/>
      </c>
      <c r="C132">
        <f>IF(ISBLANK('Q:\Abteilungsprojekte\Eng\EngData\PROJECT_Bioplastics\Renjie_Pan\05-Raw_Data\Lab_results\[LabSamples2025_Bioplastic_extra.xlsx]extra_Bioplastic'!C132)," ",'Q:\Abteilungsprojekte\Eng\EngData\PROJECT_Bioplastics\Renjie_Pan\05-Raw_Data\Lab_results\[LabSamples2025_Bioplastic_extra.xlsx]extra_Bioplastic'!C132)</f>
        <v/>
      </c>
      <c r="D132">
        <f>IF(ISBLANK('Q:\Abteilungsprojekte\Eng\EngData\PROJECT_Bioplastics\Renjie_Pan\05-Raw_Data\Lab_results\[LabSamples2025_Bioplastic_extra.xlsx]extra_Bioplastic'!D132)," ",'Q:\Abteilungsprojekte\Eng\EngData\PROJECT_Bioplastics\Renjie_Pan\05-Raw_Data\Lab_results\[LabSamples2025_Bioplastic_extra.xlsx]extra_Bioplastic'!D132)</f>
        <v/>
      </c>
      <c r="E132">
        <f>IF(ISBLANK('Q:\Abteilungsprojekte\Eng\EngData\PROJECT_Bioplastics\Renjie_Pan\05-Raw_Data\Lab_results\[LabSamples2025_Bioplastic_extra.xlsx]extra_Bioplastic'!E132)," ",'Q:\Abteilungsprojekte\Eng\EngData\PROJECT_Bioplastics\Renjie_Pan\05-Raw_Data\Lab_results\[LabSamples2025_Bioplastic_extra.xlsx]extra_Bioplastic'!E132)</f>
        <v/>
      </c>
      <c r="F132">
        <f>IF(ISBLANK('Q:\Abteilungsprojekte\Eng\EngData\PROJECT_Bioplastics\Renjie_Pan\05-Raw_Data\Lab_results\[LabSamples2025_Bioplastic_extra.xlsx]extra_Bioplastic'!F132)," ",'Q:\Abteilungsprojekte\Eng\EngData\PROJECT_Bioplastics\Renjie_Pan\05-Raw_Data\Lab_results\[LabSamples2025_Bioplastic_extra.xlsx]extra_Bioplastic'!F132)</f>
        <v/>
      </c>
      <c r="G132">
        <f>IF(ISBLANK('Q:\Abteilungsprojekte\Eng\EngData\PROJECT_Bioplastics\Renjie_Pan\05-Raw_Data\Lab_results\[LabSamples2025_Bioplastic_extra.xlsx]extra_Bioplastic'!G132)," ",'Q:\Abteilungsprojekte\Eng\EngData\PROJECT_Bioplastics\Renjie_Pan\05-Raw_Data\Lab_results\[LabSamples2025_Bioplastic_extra.xlsx]extra_Bioplastic'!G132)</f>
        <v/>
      </c>
      <c r="H132">
        <f>IF(ISBLANK('Q:\Abteilungsprojekte\Eng\EngData\PROJECT_Bioplastics\Renjie_Pan\05-Raw_Data\Lab_results\[LabSamples2025_Bioplastic_extra.xlsx]extra_Bioplastic'!H132)," ",'Q:\Abteilungsprojekte\Eng\EngData\PROJECT_Bioplastics\Renjie_Pan\05-Raw_Data\Lab_results\[LabSamples2025_Bioplastic_extra.xlsx]extra_Bioplastic'!H132)</f>
        <v/>
      </c>
    </row>
    <row r="133">
      <c r="A133">
        <f>IF(ISBLANK('Q:\Abteilungsprojekte\Eng\EngData\PROJECT_Bioplastics\Renjie_Pan\05-Raw_Data\Lab_results\[LabSamples2025_Bioplastic_extra.xlsx]extra_Bioplastic'!A133)," ",'Q:\Abteilungsprojekte\Eng\EngData\PROJECT_Bioplastics\Renjie_Pan\05-Raw_Data\Lab_results\[LabSamples2025_Bioplastic_extra.xlsx]extra_Bioplastic'!A133)</f>
        <v/>
      </c>
      <c r="B133">
        <f>IF(ISBLANK('Q:\Abteilungsprojekte\Eng\EngData\PROJECT_Bioplastics\Renjie_Pan\05-Raw_Data\Lab_results\[LabSamples2025_Bioplastic_extra.xlsx]extra_Bioplastic'!B133)," ",'Q:\Abteilungsprojekte\Eng\EngData\PROJECT_Bioplastics\Renjie_Pan\05-Raw_Data\Lab_results\[LabSamples2025_Bioplastic_extra.xlsx]extra_Bioplastic'!B133)</f>
        <v/>
      </c>
      <c r="C133">
        <f>IF(ISBLANK('Q:\Abteilungsprojekte\Eng\EngData\PROJECT_Bioplastics\Renjie_Pan\05-Raw_Data\Lab_results\[LabSamples2025_Bioplastic_extra.xlsx]extra_Bioplastic'!C133)," ",'Q:\Abteilungsprojekte\Eng\EngData\PROJECT_Bioplastics\Renjie_Pan\05-Raw_Data\Lab_results\[LabSamples2025_Bioplastic_extra.xlsx]extra_Bioplastic'!C133)</f>
        <v/>
      </c>
      <c r="D133">
        <f>IF(ISBLANK('Q:\Abteilungsprojekte\Eng\EngData\PROJECT_Bioplastics\Renjie_Pan\05-Raw_Data\Lab_results\[LabSamples2025_Bioplastic_extra.xlsx]extra_Bioplastic'!D133)," ",'Q:\Abteilungsprojekte\Eng\EngData\PROJECT_Bioplastics\Renjie_Pan\05-Raw_Data\Lab_results\[LabSamples2025_Bioplastic_extra.xlsx]extra_Bioplastic'!D133)</f>
        <v/>
      </c>
      <c r="E133">
        <f>IF(ISBLANK('Q:\Abteilungsprojekte\Eng\EngData\PROJECT_Bioplastics\Renjie_Pan\05-Raw_Data\Lab_results\[LabSamples2025_Bioplastic_extra.xlsx]extra_Bioplastic'!E133)," ",'Q:\Abteilungsprojekte\Eng\EngData\PROJECT_Bioplastics\Renjie_Pan\05-Raw_Data\Lab_results\[LabSamples2025_Bioplastic_extra.xlsx]extra_Bioplastic'!E133)</f>
        <v/>
      </c>
      <c r="F133">
        <f>IF(ISBLANK('Q:\Abteilungsprojekte\Eng\EngData\PROJECT_Bioplastics\Renjie_Pan\05-Raw_Data\Lab_results\[LabSamples2025_Bioplastic_extra.xlsx]extra_Bioplastic'!F133)," ",'Q:\Abteilungsprojekte\Eng\EngData\PROJECT_Bioplastics\Renjie_Pan\05-Raw_Data\Lab_results\[LabSamples2025_Bioplastic_extra.xlsx]extra_Bioplastic'!F133)</f>
        <v/>
      </c>
      <c r="G133">
        <f>IF(ISBLANK('Q:\Abteilungsprojekte\Eng\EngData\PROJECT_Bioplastics\Renjie_Pan\05-Raw_Data\Lab_results\[LabSamples2025_Bioplastic_extra.xlsx]extra_Bioplastic'!G133)," ",'Q:\Abteilungsprojekte\Eng\EngData\PROJECT_Bioplastics\Renjie_Pan\05-Raw_Data\Lab_results\[LabSamples2025_Bioplastic_extra.xlsx]extra_Bioplastic'!G133)</f>
        <v/>
      </c>
      <c r="H133">
        <f>IF(ISBLANK('Q:\Abteilungsprojekte\Eng\EngData\PROJECT_Bioplastics\Renjie_Pan\05-Raw_Data\Lab_results\[LabSamples2025_Bioplastic_extra.xlsx]extra_Bioplastic'!H133)," ",'Q:\Abteilungsprojekte\Eng\EngData\PROJECT_Bioplastics\Renjie_Pan\05-Raw_Data\Lab_results\[LabSamples2025_Bioplastic_extra.xlsx]extra_Bioplastic'!H133)</f>
        <v/>
      </c>
    </row>
    <row r="134">
      <c r="A134">
        <f>IF(ISBLANK('Q:\Abteilungsprojekte\Eng\EngData\PROJECT_Bioplastics\Renjie_Pan\05-Raw_Data\Lab_results\[LabSamples2025_Bioplastic_extra.xlsx]extra_Bioplastic'!A134)," ",'Q:\Abteilungsprojekte\Eng\EngData\PROJECT_Bioplastics\Renjie_Pan\05-Raw_Data\Lab_results\[LabSamples2025_Bioplastic_extra.xlsx]extra_Bioplastic'!A134)</f>
        <v/>
      </c>
      <c r="B134">
        <f>IF(ISBLANK('Q:\Abteilungsprojekte\Eng\EngData\PROJECT_Bioplastics\Renjie_Pan\05-Raw_Data\Lab_results\[LabSamples2025_Bioplastic_extra.xlsx]extra_Bioplastic'!B134)," ",'Q:\Abteilungsprojekte\Eng\EngData\PROJECT_Bioplastics\Renjie_Pan\05-Raw_Data\Lab_results\[LabSamples2025_Bioplastic_extra.xlsx]extra_Bioplastic'!B134)</f>
        <v/>
      </c>
      <c r="C134">
        <f>IF(ISBLANK('Q:\Abteilungsprojekte\Eng\EngData\PROJECT_Bioplastics\Renjie_Pan\05-Raw_Data\Lab_results\[LabSamples2025_Bioplastic_extra.xlsx]extra_Bioplastic'!C134)," ",'Q:\Abteilungsprojekte\Eng\EngData\PROJECT_Bioplastics\Renjie_Pan\05-Raw_Data\Lab_results\[LabSamples2025_Bioplastic_extra.xlsx]extra_Bioplastic'!C134)</f>
        <v/>
      </c>
      <c r="D134">
        <f>IF(ISBLANK('Q:\Abteilungsprojekte\Eng\EngData\PROJECT_Bioplastics\Renjie_Pan\05-Raw_Data\Lab_results\[LabSamples2025_Bioplastic_extra.xlsx]extra_Bioplastic'!D134)," ",'Q:\Abteilungsprojekte\Eng\EngData\PROJECT_Bioplastics\Renjie_Pan\05-Raw_Data\Lab_results\[LabSamples2025_Bioplastic_extra.xlsx]extra_Bioplastic'!D134)</f>
        <v/>
      </c>
      <c r="E134">
        <f>IF(ISBLANK('Q:\Abteilungsprojekte\Eng\EngData\PROJECT_Bioplastics\Renjie_Pan\05-Raw_Data\Lab_results\[LabSamples2025_Bioplastic_extra.xlsx]extra_Bioplastic'!E134)," ",'Q:\Abteilungsprojekte\Eng\EngData\PROJECT_Bioplastics\Renjie_Pan\05-Raw_Data\Lab_results\[LabSamples2025_Bioplastic_extra.xlsx]extra_Bioplastic'!E134)</f>
        <v/>
      </c>
      <c r="F134">
        <f>IF(ISBLANK('Q:\Abteilungsprojekte\Eng\EngData\PROJECT_Bioplastics\Renjie_Pan\05-Raw_Data\Lab_results\[LabSamples2025_Bioplastic_extra.xlsx]extra_Bioplastic'!F134)," ",'Q:\Abteilungsprojekte\Eng\EngData\PROJECT_Bioplastics\Renjie_Pan\05-Raw_Data\Lab_results\[LabSamples2025_Bioplastic_extra.xlsx]extra_Bioplastic'!F134)</f>
        <v/>
      </c>
      <c r="G134">
        <f>IF(ISBLANK('Q:\Abteilungsprojekte\Eng\EngData\PROJECT_Bioplastics\Renjie_Pan\05-Raw_Data\Lab_results\[LabSamples2025_Bioplastic_extra.xlsx]extra_Bioplastic'!G134)," ",'Q:\Abteilungsprojekte\Eng\EngData\PROJECT_Bioplastics\Renjie_Pan\05-Raw_Data\Lab_results\[LabSamples2025_Bioplastic_extra.xlsx]extra_Bioplastic'!G134)</f>
        <v/>
      </c>
      <c r="H134">
        <f>IF(ISBLANK('Q:\Abteilungsprojekte\Eng\EngData\PROJECT_Bioplastics\Renjie_Pan\05-Raw_Data\Lab_results\[LabSamples2025_Bioplastic_extra.xlsx]extra_Bioplastic'!H134)," ",'Q:\Abteilungsprojekte\Eng\EngData\PROJECT_Bioplastics\Renjie_Pan\05-Raw_Data\Lab_results\[LabSamples2025_Bioplastic_extra.xlsx]extra_Bioplastic'!H134)</f>
        <v/>
      </c>
    </row>
    <row r="135">
      <c r="A135">
        <f>IF(ISBLANK('Q:\Abteilungsprojekte\Eng\EngData\PROJECT_Bioplastics\Renjie_Pan\05-Raw_Data\Lab_results\[LabSamples2025_Bioplastic_extra.xlsx]extra_Bioplastic'!A135)," ",'Q:\Abteilungsprojekte\Eng\EngData\PROJECT_Bioplastics\Renjie_Pan\05-Raw_Data\Lab_results\[LabSamples2025_Bioplastic_extra.xlsx]extra_Bioplastic'!A135)</f>
        <v/>
      </c>
      <c r="B135">
        <f>IF(ISBLANK('Q:\Abteilungsprojekte\Eng\EngData\PROJECT_Bioplastics\Renjie_Pan\05-Raw_Data\Lab_results\[LabSamples2025_Bioplastic_extra.xlsx]extra_Bioplastic'!B135)," ",'Q:\Abteilungsprojekte\Eng\EngData\PROJECT_Bioplastics\Renjie_Pan\05-Raw_Data\Lab_results\[LabSamples2025_Bioplastic_extra.xlsx]extra_Bioplastic'!B135)</f>
        <v/>
      </c>
      <c r="C135">
        <f>IF(ISBLANK('Q:\Abteilungsprojekte\Eng\EngData\PROJECT_Bioplastics\Renjie_Pan\05-Raw_Data\Lab_results\[LabSamples2025_Bioplastic_extra.xlsx]extra_Bioplastic'!C135)," ",'Q:\Abteilungsprojekte\Eng\EngData\PROJECT_Bioplastics\Renjie_Pan\05-Raw_Data\Lab_results\[LabSamples2025_Bioplastic_extra.xlsx]extra_Bioplastic'!C135)</f>
        <v/>
      </c>
      <c r="D135">
        <f>IF(ISBLANK('Q:\Abteilungsprojekte\Eng\EngData\PROJECT_Bioplastics\Renjie_Pan\05-Raw_Data\Lab_results\[LabSamples2025_Bioplastic_extra.xlsx]extra_Bioplastic'!D135)," ",'Q:\Abteilungsprojekte\Eng\EngData\PROJECT_Bioplastics\Renjie_Pan\05-Raw_Data\Lab_results\[LabSamples2025_Bioplastic_extra.xlsx]extra_Bioplastic'!D135)</f>
        <v/>
      </c>
      <c r="E135">
        <f>IF(ISBLANK('Q:\Abteilungsprojekte\Eng\EngData\PROJECT_Bioplastics\Renjie_Pan\05-Raw_Data\Lab_results\[LabSamples2025_Bioplastic_extra.xlsx]extra_Bioplastic'!E135)," ",'Q:\Abteilungsprojekte\Eng\EngData\PROJECT_Bioplastics\Renjie_Pan\05-Raw_Data\Lab_results\[LabSamples2025_Bioplastic_extra.xlsx]extra_Bioplastic'!E135)</f>
        <v/>
      </c>
      <c r="F135">
        <f>IF(ISBLANK('Q:\Abteilungsprojekte\Eng\EngData\PROJECT_Bioplastics\Renjie_Pan\05-Raw_Data\Lab_results\[LabSamples2025_Bioplastic_extra.xlsx]extra_Bioplastic'!F135)," ",'Q:\Abteilungsprojekte\Eng\EngData\PROJECT_Bioplastics\Renjie_Pan\05-Raw_Data\Lab_results\[LabSamples2025_Bioplastic_extra.xlsx]extra_Bioplastic'!F135)</f>
        <v/>
      </c>
      <c r="G135">
        <f>IF(ISBLANK('Q:\Abteilungsprojekte\Eng\EngData\PROJECT_Bioplastics\Renjie_Pan\05-Raw_Data\Lab_results\[LabSamples2025_Bioplastic_extra.xlsx]extra_Bioplastic'!G135)," ",'Q:\Abteilungsprojekte\Eng\EngData\PROJECT_Bioplastics\Renjie_Pan\05-Raw_Data\Lab_results\[LabSamples2025_Bioplastic_extra.xlsx]extra_Bioplastic'!G135)</f>
        <v/>
      </c>
      <c r="H135">
        <f>IF(ISBLANK('Q:\Abteilungsprojekte\Eng\EngData\PROJECT_Bioplastics\Renjie_Pan\05-Raw_Data\Lab_results\[LabSamples2025_Bioplastic_extra.xlsx]extra_Bioplastic'!H135)," ",'Q:\Abteilungsprojekte\Eng\EngData\PROJECT_Bioplastics\Renjie_Pan\05-Raw_Data\Lab_results\[LabSamples2025_Bioplastic_extra.xlsx]extra_Bioplastic'!H135)</f>
        <v/>
      </c>
    </row>
    <row r="136">
      <c r="A136">
        <f>IF(ISBLANK('Q:\Abteilungsprojekte\Eng\EngData\PROJECT_Bioplastics\Renjie_Pan\05-Raw_Data\Lab_results\[LabSamples2025_Bioplastic_extra.xlsx]extra_Bioplastic'!A136)," ",'Q:\Abteilungsprojekte\Eng\EngData\PROJECT_Bioplastics\Renjie_Pan\05-Raw_Data\Lab_results\[LabSamples2025_Bioplastic_extra.xlsx]extra_Bioplastic'!A136)</f>
        <v/>
      </c>
      <c r="B136">
        <f>IF(ISBLANK('Q:\Abteilungsprojekte\Eng\EngData\PROJECT_Bioplastics\Renjie_Pan\05-Raw_Data\Lab_results\[LabSamples2025_Bioplastic_extra.xlsx]extra_Bioplastic'!B136)," ",'Q:\Abteilungsprojekte\Eng\EngData\PROJECT_Bioplastics\Renjie_Pan\05-Raw_Data\Lab_results\[LabSamples2025_Bioplastic_extra.xlsx]extra_Bioplastic'!B136)</f>
        <v/>
      </c>
      <c r="C136">
        <f>IF(ISBLANK('Q:\Abteilungsprojekte\Eng\EngData\PROJECT_Bioplastics\Renjie_Pan\05-Raw_Data\Lab_results\[LabSamples2025_Bioplastic_extra.xlsx]extra_Bioplastic'!C136)," ",'Q:\Abteilungsprojekte\Eng\EngData\PROJECT_Bioplastics\Renjie_Pan\05-Raw_Data\Lab_results\[LabSamples2025_Bioplastic_extra.xlsx]extra_Bioplastic'!C136)</f>
        <v/>
      </c>
      <c r="D136">
        <f>IF(ISBLANK('Q:\Abteilungsprojekte\Eng\EngData\PROJECT_Bioplastics\Renjie_Pan\05-Raw_Data\Lab_results\[LabSamples2025_Bioplastic_extra.xlsx]extra_Bioplastic'!D136)," ",'Q:\Abteilungsprojekte\Eng\EngData\PROJECT_Bioplastics\Renjie_Pan\05-Raw_Data\Lab_results\[LabSamples2025_Bioplastic_extra.xlsx]extra_Bioplastic'!D136)</f>
        <v/>
      </c>
      <c r="E136">
        <f>IF(ISBLANK('Q:\Abteilungsprojekte\Eng\EngData\PROJECT_Bioplastics\Renjie_Pan\05-Raw_Data\Lab_results\[LabSamples2025_Bioplastic_extra.xlsx]extra_Bioplastic'!E136)," ",'Q:\Abteilungsprojekte\Eng\EngData\PROJECT_Bioplastics\Renjie_Pan\05-Raw_Data\Lab_results\[LabSamples2025_Bioplastic_extra.xlsx]extra_Bioplastic'!E136)</f>
        <v/>
      </c>
      <c r="F136">
        <f>IF(ISBLANK('Q:\Abteilungsprojekte\Eng\EngData\PROJECT_Bioplastics\Renjie_Pan\05-Raw_Data\Lab_results\[LabSamples2025_Bioplastic_extra.xlsx]extra_Bioplastic'!F136)," ",'Q:\Abteilungsprojekte\Eng\EngData\PROJECT_Bioplastics\Renjie_Pan\05-Raw_Data\Lab_results\[LabSamples2025_Bioplastic_extra.xlsx]extra_Bioplastic'!F136)</f>
        <v/>
      </c>
      <c r="G136">
        <f>IF(ISBLANK('Q:\Abteilungsprojekte\Eng\EngData\PROJECT_Bioplastics\Renjie_Pan\05-Raw_Data\Lab_results\[LabSamples2025_Bioplastic_extra.xlsx]extra_Bioplastic'!G136)," ",'Q:\Abteilungsprojekte\Eng\EngData\PROJECT_Bioplastics\Renjie_Pan\05-Raw_Data\Lab_results\[LabSamples2025_Bioplastic_extra.xlsx]extra_Bioplastic'!G136)</f>
        <v/>
      </c>
      <c r="H136">
        <f>IF(ISBLANK('Q:\Abteilungsprojekte\Eng\EngData\PROJECT_Bioplastics\Renjie_Pan\05-Raw_Data\Lab_results\[LabSamples2025_Bioplastic_extra.xlsx]extra_Bioplastic'!H136)," ",'Q:\Abteilungsprojekte\Eng\EngData\PROJECT_Bioplastics\Renjie_Pan\05-Raw_Data\Lab_results\[LabSamples2025_Bioplastic_extra.xlsx]extra_Bioplastic'!H136)</f>
        <v/>
      </c>
    </row>
    <row r="137">
      <c r="A137">
        <f>IF(ISBLANK('Q:\Abteilungsprojekte\Eng\EngData\PROJECT_Bioplastics\Renjie_Pan\05-Raw_Data\Lab_results\[LabSamples2025_Bioplastic_extra.xlsx]extra_Bioplastic'!A137)," ",'Q:\Abteilungsprojekte\Eng\EngData\PROJECT_Bioplastics\Renjie_Pan\05-Raw_Data\Lab_results\[LabSamples2025_Bioplastic_extra.xlsx]extra_Bioplastic'!A137)</f>
        <v/>
      </c>
      <c r="B137">
        <f>IF(ISBLANK('Q:\Abteilungsprojekte\Eng\EngData\PROJECT_Bioplastics\Renjie_Pan\05-Raw_Data\Lab_results\[LabSamples2025_Bioplastic_extra.xlsx]extra_Bioplastic'!B137)," ",'Q:\Abteilungsprojekte\Eng\EngData\PROJECT_Bioplastics\Renjie_Pan\05-Raw_Data\Lab_results\[LabSamples2025_Bioplastic_extra.xlsx]extra_Bioplastic'!B137)</f>
        <v/>
      </c>
      <c r="C137">
        <f>IF(ISBLANK('Q:\Abteilungsprojekte\Eng\EngData\PROJECT_Bioplastics\Renjie_Pan\05-Raw_Data\Lab_results\[LabSamples2025_Bioplastic_extra.xlsx]extra_Bioplastic'!C137)," ",'Q:\Abteilungsprojekte\Eng\EngData\PROJECT_Bioplastics\Renjie_Pan\05-Raw_Data\Lab_results\[LabSamples2025_Bioplastic_extra.xlsx]extra_Bioplastic'!C137)</f>
        <v/>
      </c>
      <c r="D137">
        <f>IF(ISBLANK('Q:\Abteilungsprojekte\Eng\EngData\PROJECT_Bioplastics\Renjie_Pan\05-Raw_Data\Lab_results\[LabSamples2025_Bioplastic_extra.xlsx]extra_Bioplastic'!D137)," ",'Q:\Abteilungsprojekte\Eng\EngData\PROJECT_Bioplastics\Renjie_Pan\05-Raw_Data\Lab_results\[LabSamples2025_Bioplastic_extra.xlsx]extra_Bioplastic'!D137)</f>
        <v/>
      </c>
      <c r="E137">
        <f>IF(ISBLANK('Q:\Abteilungsprojekte\Eng\EngData\PROJECT_Bioplastics\Renjie_Pan\05-Raw_Data\Lab_results\[LabSamples2025_Bioplastic_extra.xlsx]extra_Bioplastic'!E137)," ",'Q:\Abteilungsprojekte\Eng\EngData\PROJECT_Bioplastics\Renjie_Pan\05-Raw_Data\Lab_results\[LabSamples2025_Bioplastic_extra.xlsx]extra_Bioplastic'!E137)</f>
        <v/>
      </c>
      <c r="F137">
        <f>IF(ISBLANK('Q:\Abteilungsprojekte\Eng\EngData\PROJECT_Bioplastics\Renjie_Pan\05-Raw_Data\Lab_results\[LabSamples2025_Bioplastic_extra.xlsx]extra_Bioplastic'!F137)," ",'Q:\Abteilungsprojekte\Eng\EngData\PROJECT_Bioplastics\Renjie_Pan\05-Raw_Data\Lab_results\[LabSamples2025_Bioplastic_extra.xlsx]extra_Bioplastic'!F137)</f>
        <v/>
      </c>
      <c r="G137">
        <f>IF(ISBLANK('Q:\Abteilungsprojekte\Eng\EngData\PROJECT_Bioplastics\Renjie_Pan\05-Raw_Data\Lab_results\[LabSamples2025_Bioplastic_extra.xlsx]extra_Bioplastic'!G137)," ",'Q:\Abteilungsprojekte\Eng\EngData\PROJECT_Bioplastics\Renjie_Pan\05-Raw_Data\Lab_results\[LabSamples2025_Bioplastic_extra.xlsx]extra_Bioplastic'!G137)</f>
        <v/>
      </c>
      <c r="H137">
        <f>IF(ISBLANK('Q:\Abteilungsprojekte\Eng\EngData\PROJECT_Bioplastics\Renjie_Pan\05-Raw_Data\Lab_results\[LabSamples2025_Bioplastic_extra.xlsx]extra_Bioplastic'!H137)," ",'Q:\Abteilungsprojekte\Eng\EngData\PROJECT_Bioplastics\Renjie_Pan\05-Raw_Data\Lab_results\[LabSamples2025_Bioplastic_extra.xlsx]extra_Bioplastic'!H137)</f>
        <v/>
      </c>
    </row>
    <row r="138">
      <c r="A138">
        <f>IF(ISBLANK('Q:\Abteilungsprojekte\Eng\EngData\PROJECT_Bioplastics\Renjie_Pan\05-Raw_Data\Lab_results\[LabSamples2025_Bioplastic_extra.xlsx]extra_Bioplastic'!A138)," ",'Q:\Abteilungsprojekte\Eng\EngData\PROJECT_Bioplastics\Renjie_Pan\05-Raw_Data\Lab_results\[LabSamples2025_Bioplastic_extra.xlsx]extra_Bioplastic'!A138)</f>
        <v/>
      </c>
      <c r="B138">
        <f>IF(ISBLANK('Q:\Abteilungsprojekte\Eng\EngData\PROJECT_Bioplastics\Renjie_Pan\05-Raw_Data\Lab_results\[LabSamples2025_Bioplastic_extra.xlsx]extra_Bioplastic'!B138)," ",'Q:\Abteilungsprojekte\Eng\EngData\PROJECT_Bioplastics\Renjie_Pan\05-Raw_Data\Lab_results\[LabSamples2025_Bioplastic_extra.xlsx]extra_Bioplastic'!B138)</f>
        <v/>
      </c>
      <c r="C138">
        <f>IF(ISBLANK('Q:\Abteilungsprojekte\Eng\EngData\PROJECT_Bioplastics\Renjie_Pan\05-Raw_Data\Lab_results\[LabSamples2025_Bioplastic_extra.xlsx]extra_Bioplastic'!C138)," ",'Q:\Abteilungsprojekte\Eng\EngData\PROJECT_Bioplastics\Renjie_Pan\05-Raw_Data\Lab_results\[LabSamples2025_Bioplastic_extra.xlsx]extra_Bioplastic'!C138)</f>
        <v/>
      </c>
      <c r="D138">
        <f>IF(ISBLANK('Q:\Abteilungsprojekte\Eng\EngData\PROJECT_Bioplastics\Renjie_Pan\05-Raw_Data\Lab_results\[LabSamples2025_Bioplastic_extra.xlsx]extra_Bioplastic'!D138)," ",'Q:\Abteilungsprojekte\Eng\EngData\PROJECT_Bioplastics\Renjie_Pan\05-Raw_Data\Lab_results\[LabSamples2025_Bioplastic_extra.xlsx]extra_Bioplastic'!D138)</f>
        <v/>
      </c>
      <c r="E138">
        <f>IF(ISBLANK('Q:\Abteilungsprojekte\Eng\EngData\PROJECT_Bioplastics\Renjie_Pan\05-Raw_Data\Lab_results\[LabSamples2025_Bioplastic_extra.xlsx]extra_Bioplastic'!E138)," ",'Q:\Abteilungsprojekte\Eng\EngData\PROJECT_Bioplastics\Renjie_Pan\05-Raw_Data\Lab_results\[LabSamples2025_Bioplastic_extra.xlsx]extra_Bioplastic'!E138)</f>
        <v/>
      </c>
      <c r="F138">
        <f>IF(ISBLANK('Q:\Abteilungsprojekte\Eng\EngData\PROJECT_Bioplastics\Renjie_Pan\05-Raw_Data\Lab_results\[LabSamples2025_Bioplastic_extra.xlsx]extra_Bioplastic'!F138)," ",'Q:\Abteilungsprojekte\Eng\EngData\PROJECT_Bioplastics\Renjie_Pan\05-Raw_Data\Lab_results\[LabSamples2025_Bioplastic_extra.xlsx]extra_Bioplastic'!F138)</f>
        <v/>
      </c>
      <c r="G138">
        <f>IF(ISBLANK('Q:\Abteilungsprojekte\Eng\EngData\PROJECT_Bioplastics\Renjie_Pan\05-Raw_Data\Lab_results\[LabSamples2025_Bioplastic_extra.xlsx]extra_Bioplastic'!G138)," ",'Q:\Abteilungsprojekte\Eng\EngData\PROJECT_Bioplastics\Renjie_Pan\05-Raw_Data\Lab_results\[LabSamples2025_Bioplastic_extra.xlsx]extra_Bioplastic'!G138)</f>
        <v/>
      </c>
      <c r="H138">
        <f>IF(ISBLANK('Q:\Abteilungsprojekte\Eng\EngData\PROJECT_Bioplastics\Renjie_Pan\05-Raw_Data\Lab_results\[LabSamples2025_Bioplastic_extra.xlsx]extra_Bioplastic'!H138)," ",'Q:\Abteilungsprojekte\Eng\EngData\PROJECT_Bioplastics\Renjie_Pan\05-Raw_Data\Lab_results\[LabSamples2025_Bioplastic_extra.xlsx]extra_Bioplastic'!H138)</f>
        <v/>
      </c>
    </row>
    <row r="139">
      <c r="A139">
        <f>IF(ISBLANK('Q:\Abteilungsprojekte\Eng\EngData\PROJECT_Bioplastics\Renjie_Pan\05-Raw_Data\Lab_results\[LabSamples2025_Bioplastic_extra.xlsx]extra_Bioplastic'!A139)," ",'Q:\Abteilungsprojekte\Eng\EngData\PROJECT_Bioplastics\Renjie_Pan\05-Raw_Data\Lab_results\[LabSamples2025_Bioplastic_extra.xlsx]extra_Bioplastic'!A139)</f>
        <v/>
      </c>
      <c r="B139">
        <f>IF(ISBLANK('Q:\Abteilungsprojekte\Eng\EngData\PROJECT_Bioplastics\Renjie_Pan\05-Raw_Data\Lab_results\[LabSamples2025_Bioplastic_extra.xlsx]extra_Bioplastic'!B139)," ",'Q:\Abteilungsprojekte\Eng\EngData\PROJECT_Bioplastics\Renjie_Pan\05-Raw_Data\Lab_results\[LabSamples2025_Bioplastic_extra.xlsx]extra_Bioplastic'!B139)</f>
        <v/>
      </c>
      <c r="C139">
        <f>IF(ISBLANK('Q:\Abteilungsprojekte\Eng\EngData\PROJECT_Bioplastics\Renjie_Pan\05-Raw_Data\Lab_results\[LabSamples2025_Bioplastic_extra.xlsx]extra_Bioplastic'!C139)," ",'Q:\Abteilungsprojekte\Eng\EngData\PROJECT_Bioplastics\Renjie_Pan\05-Raw_Data\Lab_results\[LabSamples2025_Bioplastic_extra.xlsx]extra_Bioplastic'!C139)</f>
        <v/>
      </c>
      <c r="D139">
        <f>IF(ISBLANK('Q:\Abteilungsprojekte\Eng\EngData\PROJECT_Bioplastics\Renjie_Pan\05-Raw_Data\Lab_results\[LabSamples2025_Bioplastic_extra.xlsx]extra_Bioplastic'!D139)," ",'Q:\Abteilungsprojekte\Eng\EngData\PROJECT_Bioplastics\Renjie_Pan\05-Raw_Data\Lab_results\[LabSamples2025_Bioplastic_extra.xlsx]extra_Bioplastic'!D139)</f>
        <v/>
      </c>
      <c r="E139">
        <f>IF(ISBLANK('Q:\Abteilungsprojekte\Eng\EngData\PROJECT_Bioplastics\Renjie_Pan\05-Raw_Data\Lab_results\[LabSamples2025_Bioplastic_extra.xlsx]extra_Bioplastic'!E139)," ",'Q:\Abteilungsprojekte\Eng\EngData\PROJECT_Bioplastics\Renjie_Pan\05-Raw_Data\Lab_results\[LabSamples2025_Bioplastic_extra.xlsx]extra_Bioplastic'!E139)</f>
        <v/>
      </c>
      <c r="F139">
        <f>IF(ISBLANK('Q:\Abteilungsprojekte\Eng\EngData\PROJECT_Bioplastics\Renjie_Pan\05-Raw_Data\Lab_results\[LabSamples2025_Bioplastic_extra.xlsx]extra_Bioplastic'!F139)," ",'Q:\Abteilungsprojekte\Eng\EngData\PROJECT_Bioplastics\Renjie_Pan\05-Raw_Data\Lab_results\[LabSamples2025_Bioplastic_extra.xlsx]extra_Bioplastic'!F139)</f>
        <v/>
      </c>
      <c r="G139">
        <f>IF(ISBLANK('Q:\Abteilungsprojekte\Eng\EngData\PROJECT_Bioplastics\Renjie_Pan\05-Raw_Data\Lab_results\[LabSamples2025_Bioplastic_extra.xlsx]extra_Bioplastic'!G139)," ",'Q:\Abteilungsprojekte\Eng\EngData\PROJECT_Bioplastics\Renjie_Pan\05-Raw_Data\Lab_results\[LabSamples2025_Bioplastic_extra.xlsx]extra_Bioplastic'!G139)</f>
        <v/>
      </c>
      <c r="H139">
        <f>IF(ISBLANK('Q:\Abteilungsprojekte\Eng\EngData\PROJECT_Bioplastics\Renjie_Pan\05-Raw_Data\Lab_results\[LabSamples2025_Bioplastic_extra.xlsx]extra_Bioplastic'!H139)," ",'Q:\Abteilungsprojekte\Eng\EngData\PROJECT_Bioplastics\Renjie_Pan\05-Raw_Data\Lab_results\[LabSamples2025_Bioplastic_extra.xlsx]extra_Bioplastic'!H139)</f>
        <v/>
      </c>
    </row>
    <row r="140">
      <c r="A140">
        <f>IF(ISBLANK('Q:\Abteilungsprojekte\Eng\EngData\PROJECT_Bioplastics\Renjie_Pan\05-Raw_Data\Lab_results\[LabSamples2025_Bioplastic_extra.xlsx]extra_Bioplastic'!A140)," ",'Q:\Abteilungsprojekte\Eng\EngData\PROJECT_Bioplastics\Renjie_Pan\05-Raw_Data\Lab_results\[LabSamples2025_Bioplastic_extra.xlsx]extra_Bioplastic'!A140)</f>
        <v/>
      </c>
      <c r="B140">
        <f>IF(ISBLANK('Q:\Abteilungsprojekte\Eng\EngData\PROJECT_Bioplastics\Renjie_Pan\05-Raw_Data\Lab_results\[LabSamples2025_Bioplastic_extra.xlsx]extra_Bioplastic'!B140)," ",'Q:\Abteilungsprojekte\Eng\EngData\PROJECT_Bioplastics\Renjie_Pan\05-Raw_Data\Lab_results\[LabSamples2025_Bioplastic_extra.xlsx]extra_Bioplastic'!B140)</f>
        <v/>
      </c>
      <c r="C140">
        <f>IF(ISBLANK('Q:\Abteilungsprojekte\Eng\EngData\PROJECT_Bioplastics\Renjie_Pan\05-Raw_Data\Lab_results\[LabSamples2025_Bioplastic_extra.xlsx]extra_Bioplastic'!C140)," ",'Q:\Abteilungsprojekte\Eng\EngData\PROJECT_Bioplastics\Renjie_Pan\05-Raw_Data\Lab_results\[LabSamples2025_Bioplastic_extra.xlsx]extra_Bioplastic'!C140)</f>
        <v/>
      </c>
      <c r="D140">
        <f>IF(ISBLANK('Q:\Abteilungsprojekte\Eng\EngData\PROJECT_Bioplastics\Renjie_Pan\05-Raw_Data\Lab_results\[LabSamples2025_Bioplastic_extra.xlsx]extra_Bioplastic'!D140)," ",'Q:\Abteilungsprojekte\Eng\EngData\PROJECT_Bioplastics\Renjie_Pan\05-Raw_Data\Lab_results\[LabSamples2025_Bioplastic_extra.xlsx]extra_Bioplastic'!D140)</f>
        <v/>
      </c>
      <c r="E140">
        <f>IF(ISBLANK('Q:\Abteilungsprojekte\Eng\EngData\PROJECT_Bioplastics\Renjie_Pan\05-Raw_Data\Lab_results\[LabSamples2025_Bioplastic_extra.xlsx]extra_Bioplastic'!E140)," ",'Q:\Abteilungsprojekte\Eng\EngData\PROJECT_Bioplastics\Renjie_Pan\05-Raw_Data\Lab_results\[LabSamples2025_Bioplastic_extra.xlsx]extra_Bioplastic'!E140)</f>
        <v/>
      </c>
      <c r="F140">
        <f>IF(ISBLANK('Q:\Abteilungsprojekte\Eng\EngData\PROJECT_Bioplastics\Renjie_Pan\05-Raw_Data\Lab_results\[LabSamples2025_Bioplastic_extra.xlsx]extra_Bioplastic'!F140)," ",'Q:\Abteilungsprojekte\Eng\EngData\PROJECT_Bioplastics\Renjie_Pan\05-Raw_Data\Lab_results\[LabSamples2025_Bioplastic_extra.xlsx]extra_Bioplastic'!F140)</f>
        <v/>
      </c>
      <c r="G140">
        <f>IF(ISBLANK('Q:\Abteilungsprojekte\Eng\EngData\PROJECT_Bioplastics\Renjie_Pan\05-Raw_Data\Lab_results\[LabSamples2025_Bioplastic_extra.xlsx]extra_Bioplastic'!G140)," ",'Q:\Abteilungsprojekte\Eng\EngData\PROJECT_Bioplastics\Renjie_Pan\05-Raw_Data\Lab_results\[LabSamples2025_Bioplastic_extra.xlsx]extra_Bioplastic'!G140)</f>
        <v/>
      </c>
      <c r="H140">
        <f>IF(ISBLANK('Q:\Abteilungsprojekte\Eng\EngData\PROJECT_Bioplastics\Renjie_Pan\05-Raw_Data\Lab_results\[LabSamples2025_Bioplastic_extra.xlsx]extra_Bioplastic'!H140)," ",'Q:\Abteilungsprojekte\Eng\EngData\PROJECT_Bioplastics\Renjie_Pan\05-Raw_Data\Lab_results\[LabSamples2025_Bioplastic_extra.xlsx]extra_Bioplastic'!H140)</f>
        <v/>
      </c>
    </row>
    <row r="141">
      <c r="A141">
        <f>IF(ISBLANK('Q:\Abteilungsprojekte\Eng\EngData\PROJECT_Bioplastics\Renjie_Pan\05-Raw_Data\Lab_results\[LabSamples2025_Bioplastic_extra.xlsx]extra_Bioplastic'!A141)," ",'Q:\Abteilungsprojekte\Eng\EngData\PROJECT_Bioplastics\Renjie_Pan\05-Raw_Data\Lab_results\[LabSamples2025_Bioplastic_extra.xlsx]extra_Bioplastic'!A141)</f>
        <v/>
      </c>
      <c r="B141">
        <f>IF(ISBLANK('Q:\Abteilungsprojekte\Eng\EngData\PROJECT_Bioplastics\Renjie_Pan\05-Raw_Data\Lab_results\[LabSamples2025_Bioplastic_extra.xlsx]extra_Bioplastic'!B141)," ",'Q:\Abteilungsprojekte\Eng\EngData\PROJECT_Bioplastics\Renjie_Pan\05-Raw_Data\Lab_results\[LabSamples2025_Bioplastic_extra.xlsx]extra_Bioplastic'!B141)</f>
        <v/>
      </c>
      <c r="C141">
        <f>IF(ISBLANK('Q:\Abteilungsprojekte\Eng\EngData\PROJECT_Bioplastics\Renjie_Pan\05-Raw_Data\Lab_results\[LabSamples2025_Bioplastic_extra.xlsx]extra_Bioplastic'!C141)," ",'Q:\Abteilungsprojekte\Eng\EngData\PROJECT_Bioplastics\Renjie_Pan\05-Raw_Data\Lab_results\[LabSamples2025_Bioplastic_extra.xlsx]extra_Bioplastic'!C141)</f>
        <v/>
      </c>
      <c r="D141">
        <f>IF(ISBLANK('Q:\Abteilungsprojekte\Eng\EngData\PROJECT_Bioplastics\Renjie_Pan\05-Raw_Data\Lab_results\[LabSamples2025_Bioplastic_extra.xlsx]extra_Bioplastic'!D141)," ",'Q:\Abteilungsprojekte\Eng\EngData\PROJECT_Bioplastics\Renjie_Pan\05-Raw_Data\Lab_results\[LabSamples2025_Bioplastic_extra.xlsx]extra_Bioplastic'!D141)</f>
        <v/>
      </c>
      <c r="E141">
        <f>IF(ISBLANK('Q:\Abteilungsprojekte\Eng\EngData\PROJECT_Bioplastics\Renjie_Pan\05-Raw_Data\Lab_results\[LabSamples2025_Bioplastic_extra.xlsx]extra_Bioplastic'!E141)," ",'Q:\Abteilungsprojekte\Eng\EngData\PROJECT_Bioplastics\Renjie_Pan\05-Raw_Data\Lab_results\[LabSamples2025_Bioplastic_extra.xlsx]extra_Bioplastic'!E141)</f>
        <v/>
      </c>
      <c r="F141">
        <f>IF(ISBLANK('Q:\Abteilungsprojekte\Eng\EngData\PROJECT_Bioplastics\Renjie_Pan\05-Raw_Data\Lab_results\[LabSamples2025_Bioplastic_extra.xlsx]extra_Bioplastic'!F141)," ",'Q:\Abteilungsprojekte\Eng\EngData\PROJECT_Bioplastics\Renjie_Pan\05-Raw_Data\Lab_results\[LabSamples2025_Bioplastic_extra.xlsx]extra_Bioplastic'!F141)</f>
        <v/>
      </c>
      <c r="G141">
        <f>IF(ISBLANK('Q:\Abteilungsprojekte\Eng\EngData\PROJECT_Bioplastics\Renjie_Pan\05-Raw_Data\Lab_results\[LabSamples2025_Bioplastic_extra.xlsx]extra_Bioplastic'!G141)," ",'Q:\Abteilungsprojekte\Eng\EngData\PROJECT_Bioplastics\Renjie_Pan\05-Raw_Data\Lab_results\[LabSamples2025_Bioplastic_extra.xlsx]extra_Bioplastic'!G141)</f>
        <v/>
      </c>
      <c r="H141">
        <f>IF(ISBLANK('Q:\Abteilungsprojekte\Eng\EngData\PROJECT_Bioplastics\Renjie_Pan\05-Raw_Data\Lab_results\[LabSamples2025_Bioplastic_extra.xlsx]extra_Bioplastic'!H141)," ",'Q:\Abteilungsprojekte\Eng\EngData\PROJECT_Bioplastics\Renjie_Pan\05-Raw_Data\Lab_results\[LabSamples2025_Bioplastic_extra.xlsx]extra_Bioplastic'!H141)</f>
        <v/>
      </c>
    </row>
    <row r="142">
      <c r="A142">
        <f>IF(ISBLANK('Q:\Abteilungsprojekte\Eng\EngData\PROJECT_Bioplastics\Renjie_Pan\05-Raw_Data\Lab_results\[LabSamples2025_Bioplastic_extra.xlsx]extra_Bioplastic'!A142)," ",'Q:\Abteilungsprojekte\Eng\EngData\PROJECT_Bioplastics\Renjie_Pan\05-Raw_Data\Lab_results\[LabSamples2025_Bioplastic_extra.xlsx]extra_Bioplastic'!A142)</f>
        <v/>
      </c>
      <c r="B142">
        <f>IF(ISBLANK('Q:\Abteilungsprojekte\Eng\EngData\PROJECT_Bioplastics\Renjie_Pan\05-Raw_Data\Lab_results\[LabSamples2025_Bioplastic_extra.xlsx]extra_Bioplastic'!B142)," ",'Q:\Abteilungsprojekte\Eng\EngData\PROJECT_Bioplastics\Renjie_Pan\05-Raw_Data\Lab_results\[LabSamples2025_Bioplastic_extra.xlsx]extra_Bioplastic'!B142)</f>
        <v/>
      </c>
      <c r="C142">
        <f>IF(ISBLANK('Q:\Abteilungsprojekte\Eng\EngData\PROJECT_Bioplastics\Renjie_Pan\05-Raw_Data\Lab_results\[LabSamples2025_Bioplastic_extra.xlsx]extra_Bioplastic'!C142)," ",'Q:\Abteilungsprojekte\Eng\EngData\PROJECT_Bioplastics\Renjie_Pan\05-Raw_Data\Lab_results\[LabSamples2025_Bioplastic_extra.xlsx]extra_Bioplastic'!C142)</f>
        <v/>
      </c>
      <c r="D142">
        <f>IF(ISBLANK('Q:\Abteilungsprojekte\Eng\EngData\PROJECT_Bioplastics\Renjie_Pan\05-Raw_Data\Lab_results\[LabSamples2025_Bioplastic_extra.xlsx]extra_Bioplastic'!D142)," ",'Q:\Abteilungsprojekte\Eng\EngData\PROJECT_Bioplastics\Renjie_Pan\05-Raw_Data\Lab_results\[LabSamples2025_Bioplastic_extra.xlsx]extra_Bioplastic'!D142)</f>
        <v/>
      </c>
      <c r="E142">
        <f>IF(ISBLANK('Q:\Abteilungsprojekte\Eng\EngData\PROJECT_Bioplastics\Renjie_Pan\05-Raw_Data\Lab_results\[LabSamples2025_Bioplastic_extra.xlsx]extra_Bioplastic'!E142)," ",'Q:\Abteilungsprojekte\Eng\EngData\PROJECT_Bioplastics\Renjie_Pan\05-Raw_Data\Lab_results\[LabSamples2025_Bioplastic_extra.xlsx]extra_Bioplastic'!E142)</f>
        <v/>
      </c>
      <c r="F142">
        <f>IF(ISBLANK('Q:\Abteilungsprojekte\Eng\EngData\PROJECT_Bioplastics\Renjie_Pan\05-Raw_Data\Lab_results\[LabSamples2025_Bioplastic_extra.xlsx]extra_Bioplastic'!F142)," ",'Q:\Abteilungsprojekte\Eng\EngData\PROJECT_Bioplastics\Renjie_Pan\05-Raw_Data\Lab_results\[LabSamples2025_Bioplastic_extra.xlsx]extra_Bioplastic'!F142)</f>
        <v/>
      </c>
      <c r="G142">
        <f>IF(ISBLANK('Q:\Abteilungsprojekte\Eng\EngData\PROJECT_Bioplastics\Renjie_Pan\05-Raw_Data\Lab_results\[LabSamples2025_Bioplastic_extra.xlsx]extra_Bioplastic'!G142)," ",'Q:\Abteilungsprojekte\Eng\EngData\PROJECT_Bioplastics\Renjie_Pan\05-Raw_Data\Lab_results\[LabSamples2025_Bioplastic_extra.xlsx]extra_Bioplastic'!G142)</f>
        <v/>
      </c>
      <c r="H142">
        <f>IF(ISBLANK('Q:\Abteilungsprojekte\Eng\EngData\PROJECT_Bioplastics\Renjie_Pan\05-Raw_Data\Lab_results\[LabSamples2025_Bioplastic_extra.xlsx]extra_Bioplastic'!H142)," ",'Q:\Abteilungsprojekte\Eng\EngData\PROJECT_Bioplastics\Renjie_Pan\05-Raw_Data\Lab_results\[LabSamples2025_Bioplastic_extra.xlsx]extra_Bioplastic'!H142)</f>
        <v/>
      </c>
    </row>
    <row r="143">
      <c r="A143">
        <f>IF(ISBLANK('Q:\Abteilungsprojekte\Eng\EngData\PROJECT_Bioplastics\Renjie_Pan\05-Raw_Data\Lab_results\[LabSamples2025_Bioplastic_extra.xlsx]extra_Bioplastic'!A143)," ",'Q:\Abteilungsprojekte\Eng\EngData\PROJECT_Bioplastics\Renjie_Pan\05-Raw_Data\Lab_results\[LabSamples2025_Bioplastic_extra.xlsx]extra_Bioplastic'!A143)</f>
        <v/>
      </c>
      <c r="B143">
        <f>IF(ISBLANK('Q:\Abteilungsprojekte\Eng\EngData\PROJECT_Bioplastics\Renjie_Pan\05-Raw_Data\Lab_results\[LabSamples2025_Bioplastic_extra.xlsx]extra_Bioplastic'!B143)," ",'Q:\Abteilungsprojekte\Eng\EngData\PROJECT_Bioplastics\Renjie_Pan\05-Raw_Data\Lab_results\[LabSamples2025_Bioplastic_extra.xlsx]extra_Bioplastic'!B143)</f>
        <v/>
      </c>
      <c r="C143">
        <f>IF(ISBLANK('Q:\Abteilungsprojekte\Eng\EngData\PROJECT_Bioplastics\Renjie_Pan\05-Raw_Data\Lab_results\[LabSamples2025_Bioplastic_extra.xlsx]extra_Bioplastic'!C143)," ",'Q:\Abteilungsprojekte\Eng\EngData\PROJECT_Bioplastics\Renjie_Pan\05-Raw_Data\Lab_results\[LabSamples2025_Bioplastic_extra.xlsx]extra_Bioplastic'!C143)</f>
        <v/>
      </c>
      <c r="D143">
        <f>IF(ISBLANK('Q:\Abteilungsprojekte\Eng\EngData\PROJECT_Bioplastics\Renjie_Pan\05-Raw_Data\Lab_results\[LabSamples2025_Bioplastic_extra.xlsx]extra_Bioplastic'!D143)," ",'Q:\Abteilungsprojekte\Eng\EngData\PROJECT_Bioplastics\Renjie_Pan\05-Raw_Data\Lab_results\[LabSamples2025_Bioplastic_extra.xlsx]extra_Bioplastic'!D143)</f>
        <v/>
      </c>
      <c r="E143">
        <f>IF(ISBLANK('Q:\Abteilungsprojekte\Eng\EngData\PROJECT_Bioplastics\Renjie_Pan\05-Raw_Data\Lab_results\[LabSamples2025_Bioplastic_extra.xlsx]extra_Bioplastic'!E143)," ",'Q:\Abteilungsprojekte\Eng\EngData\PROJECT_Bioplastics\Renjie_Pan\05-Raw_Data\Lab_results\[LabSamples2025_Bioplastic_extra.xlsx]extra_Bioplastic'!E143)</f>
        <v/>
      </c>
      <c r="F143">
        <f>IF(ISBLANK('Q:\Abteilungsprojekte\Eng\EngData\PROJECT_Bioplastics\Renjie_Pan\05-Raw_Data\Lab_results\[LabSamples2025_Bioplastic_extra.xlsx]extra_Bioplastic'!F143)," ",'Q:\Abteilungsprojekte\Eng\EngData\PROJECT_Bioplastics\Renjie_Pan\05-Raw_Data\Lab_results\[LabSamples2025_Bioplastic_extra.xlsx]extra_Bioplastic'!F143)</f>
        <v/>
      </c>
      <c r="G143">
        <f>IF(ISBLANK('Q:\Abteilungsprojekte\Eng\EngData\PROJECT_Bioplastics\Renjie_Pan\05-Raw_Data\Lab_results\[LabSamples2025_Bioplastic_extra.xlsx]extra_Bioplastic'!G143)," ",'Q:\Abteilungsprojekte\Eng\EngData\PROJECT_Bioplastics\Renjie_Pan\05-Raw_Data\Lab_results\[LabSamples2025_Bioplastic_extra.xlsx]extra_Bioplastic'!G143)</f>
        <v/>
      </c>
      <c r="H143">
        <f>IF(ISBLANK('Q:\Abteilungsprojekte\Eng\EngData\PROJECT_Bioplastics\Renjie_Pan\05-Raw_Data\Lab_results\[LabSamples2025_Bioplastic_extra.xlsx]extra_Bioplastic'!H143)," ",'Q:\Abteilungsprojekte\Eng\EngData\PROJECT_Bioplastics\Renjie_Pan\05-Raw_Data\Lab_results\[LabSamples2025_Bioplastic_extra.xlsx]extra_Bioplastic'!H143)</f>
        <v/>
      </c>
    </row>
    <row r="144">
      <c r="A144">
        <f>IF(ISBLANK('Q:\Abteilungsprojekte\Eng\EngData\PROJECT_Bioplastics\Renjie_Pan\05-Raw_Data\Lab_results\[LabSamples2025_Bioplastic_extra.xlsx]extra_Bioplastic'!A144)," ",'Q:\Abteilungsprojekte\Eng\EngData\PROJECT_Bioplastics\Renjie_Pan\05-Raw_Data\Lab_results\[LabSamples2025_Bioplastic_extra.xlsx]extra_Bioplastic'!A144)</f>
        <v/>
      </c>
      <c r="B144">
        <f>IF(ISBLANK('Q:\Abteilungsprojekte\Eng\EngData\PROJECT_Bioplastics\Renjie_Pan\05-Raw_Data\Lab_results\[LabSamples2025_Bioplastic_extra.xlsx]extra_Bioplastic'!B144)," ",'Q:\Abteilungsprojekte\Eng\EngData\PROJECT_Bioplastics\Renjie_Pan\05-Raw_Data\Lab_results\[LabSamples2025_Bioplastic_extra.xlsx]extra_Bioplastic'!B144)</f>
        <v/>
      </c>
      <c r="C144">
        <f>IF(ISBLANK('Q:\Abteilungsprojekte\Eng\EngData\PROJECT_Bioplastics\Renjie_Pan\05-Raw_Data\Lab_results\[LabSamples2025_Bioplastic_extra.xlsx]extra_Bioplastic'!C144)," ",'Q:\Abteilungsprojekte\Eng\EngData\PROJECT_Bioplastics\Renjie_Pan\05-Raw_Data\Lab_results\[LabSamples2025_Bioplastic_extra.xlsx]extra_Bioplastic'!C144)</f>
        <v/>
      </c>
      <c r="D144">
        <f>IF(ISBLANK('Q:\Abteilungsprojekte\Eng\EngData\PROJECT_Bioplastics\Renjie_Pan\05-Raw_Data\Lab_results\[LabSamples2025_Bioplastic_extra.xlsx]extra_Bioplastic'!D144)," ",'Q:\Abteilungsprojekte\Eng\EngData\PROJECT_Bioplastics\Renjie_Pan\05-Raw_Data\Lab_results\[LabSamples2025_Bioplastic_extra.xlsx]extra_Bioplastic'!D144)</f>
        <v/>
      </c>
      <c r="E144">
        <f>IF(ISBLANK('Q:\Abteilungsprojekte\Eng\EngData\PROJECT_Bioplastics\Renjie_Pan\05-Raw_Data\Lab_results\[LabSamples2025_Bioplastic_extra.xlsx]extra_Bioplastic'!E144)," ",'Q:\Abteilungsprojekte\Eng\EngData\PROJECT_Bioplastics\Renjie_Pan\05-Raw_Data\Lab_results\[LabSamples2025_Bioplastic_extra.xlsx]extra_Bioplastic'!E144)</f>
        <v/>
      </c>
      <c r="F144">
        <f>IF(ISBLANK('Q:\Abteilungsprojekte\Eng\EngData\PROJECT_Bioplastics\Renjie_Pan\05-Raw_Data\Lab_results\[LabSamples2025_Bioplastic_extra.xlsx]extra_Bioplastic'!F144)," ",'Q:\Abteilungsprojekte\Eng\EngData\PROJECT_Bioplastics\Renjie_Pan\05-Raw_Data\Lab_results\[LabSamples2025_Bioplastic_extra.xlsx]extra_Bioplastic'!F144)</f>
        <v/>
      </c>
      <c r="G144">
        <f>IF(ISBLANK('Q:\Abteilungsprojekte\Eng\EngData\PROJECT_Bioplastics\Renjie_Pan\05-Raw_Data\Lab_results\[LabSamples2025_Bioplastic_extra.xlsx]extra_Bioplastic'!G144)," ",'Q:\Abteilungsprojekte\Eng\EngData\PROJECT_Bioplastics\Renjie_Pan\05-Raw_Data\Lab_results\[LabSamples2025_Bioplastic_extra.xlsx]extra_Bioplastic'!G144)</f>
        <v/>
      </c>
      <c r="H144">
        <f>IF(ISBLANK('Q:\Abteilungsprojekte\Eng\EngData\PROJECT_Bioplastics\Renjie_Pan\05-Raw_Data\Lab_results\[LabSamples2025_Bioplastic_extra.xlsx]extra_Bioplastic'!H144)," ",'Q:\Abteilungsprojekte\Eng\EngData\PROJECT_Bioplastics\Renjie_Pan\05-Raw_Data\Lab_results\[LabSamples2025_Bioplastic_extra.xlsx]extra_Bioplastic'!H144)</f>
        <v/>
      </c>
    </row>
    <row r="145">
      <c r="A145">
        <f>IF(ISBLANK('Q:\Abteilungsprojekte\Eng\EngData\PROJECT_Bioplastics\Renjie_Pan\05-Raw_Data\Lab_results\[LabSamples2025_Bioplastic_extra.xlsx]extra_Bioplastic'!A145)," ",'Q:\Abteilungsprojekte\Eng\EngData\PROJECT_Bioplastics\Renjie_Pan\05-Raw_Data\Lab_results\[LabSamples2025_Bioplastic_extra.xlsx]extra_Bioplastic'!A145)</f>
        <v/>
      </c>
      <c r="B145">
        <f>IF(ISBLANK('Q:\Abteilungsprojekte\Eng\EngData\PROJECT_Bioplastics\Renjie_Pan\05-Raw_Data\Lab_results\[LabSamples2025_Bioplastic_extra.xlsx]extra_Bioplastic'!B145)," ",'Q:\Abteilungsprojekte\Eng\EngData\PROJECT_Bioplastics\Renjie_Pan\05-Raw_Data\Lab_results\[LabSamples2025_Bioplastic_extra.xlsx]extra_Bioplastic'!B145)</f>
        <v/>
      </c>
      <c r="C145">
        <f>IF(ISBLANK('Q:\Abteilungsprojekte\Eng\EngData\PROJECT_Bioplastics\Renjie_Pan\05-Raw_Data\Lab_results\[LabSamples2025_Bioplastic_extra.xlsx]extra_Bioplastic'!C145)," ",'Q:\Abteilungsprojekte\Eng\EngData\PROJECT_Bioplastics\Renjie_Pan\05-Raw_Data\Lab_results\[LabSamples2025_Bioplastic_extra.xlsx]extra_Bioplastic'!C145)</f>
        <v/>
      </c>
      <c r="D145">
        <f>IF(ISBLANK('Q:\Abteilungsprojekte\Eng\EngData\PROJECT_Bioplastics\Renjie_Pan\05-Raw_Data\Lab_results\[LabSamples2025_Bioplastic_extra.xlsx]extra_Bioplastic'!D145)," ",'Q:\Abteilungsprojekte\Eng\EngData\PROJECT_Bioplastics\Renjie_Pan\05-Raw_Data\Lab_results\[LabSamples2025_Bioplastic_extra.xlsx]extra_Bioplastic'!D145)</f>
        <v/>
      </c>
      <c r="E145">
        <f>IF(ISBLANK('Q:\Abteilungsprojekte\Eng\EngData\PROJECT_Bioplastics\Renjie_Pan\05-Raw_Data\Lab_results\[LabSamples2025_Bioplastic_extra.xlsx]extra_Bioplastic'!E145)," ",'Q:\Abteilungsprojekte\Eng\EngData\PROJECT_Bioplastics\Renjie_Pan\05-Raw_Data\Lab_results\[LabSamples2025_Bioplastic_extra.xlsx]extra_Bioplastic'!E145)</f>
        <v/>
      </c>
      <c r="F145">
        <f>IF(ISBLANK('Q:\Abteilungsprojekte\Eng\EngData\PROJECT_Bioplastics\Renjie_Pan\05-Raw_Data\Lab_results\[LabSamples2025_Bioplastic_extra.xlsx]extra_Bioplastic'!F145)," ",'Q:\Abteilungsprojekte\Eng\EngData\PROJECT_Bioplastics\Renjie_Pan\05-Raw_Data\Lab_results\[LabSamples2025_Bioplastic_extra.xlsx]extra_Bioplastic'!F145)</f>
        <v/>
      </c>
      <c r="G145">
        <f>IF(ISBLANK('Q:\Abteilungsprojekte\Eng\EngData\PROJECT_Bioplastics\Renjie_Pan\05-Raw_Data\Lab_results\[LabSamples2025_Bioplastic_extra.xlsx]extra_Bioplastic'!G145)," ",'Q:\Abteilungsprojekte\Eng\EngData\PROJECT_Bioplastics\Renjie_Pan\05-Raw_Data\Lab_results\[LabSamples2025_Bioplastic_extra.xlsx]extra_Bioplastic'!G145)</f>
        <v/>
      </c>
      <c r="H145">
        <f>IF(ISBLANK('Q:\Abteilungsprojekte\Eng\EngData\PROJECT_Bioplastics\Renjie_Pan\05-Raw_Data\Lab_results\[LabSamples2025_Bioplastic_extra.xlsx]extra_Bioplastic'!H145)," ",'Q:\Abteilungsprojekte\Eng\EngData\PROJECT_Bioplastics\Renjie_Pan\05-Raw_Data\Lab_results\[LabSamples2025_Bioplastic_extra.xlsx]extra_Bioplastic'!H145)</f>
        <v/>
      </c>
    </row>
    <row r="146">
      <c r="A146">
        <f>IF(ISBLANK('Q:\Abteilungsprojekte\Eng\EngData\PROJECT_Bioplastics\Renjie_Pan\05-Raw_Data\Lab_results\[LabSamples2025_Bioplastic_extra.xlsx]extra_Bioplastic'!A146)," ",'Q:\Abteilungsprojekte\Eng\EngData\PROJECT_Bioplastics\Renjie_Pan\05-Raw_Data\Lab_results\[LabSamples2025_Bioplastic_extra.xlsx]extra_Bioplastic'!A146)</f>
        <v/>
      </c>
      <c r="B146">
        <f>IF(ISBLANK('Q:\Abteilungsprojekte\Eng\EngData\PROJECT_Bioplastics\Renjie_Pan\05-Raw_Data\Lab_results\[LabSamples2025_Bioplastic_extra.xlsx]extra_Bioplastic'!B146)," ",'Q:\Abteilungsprojekte\Eng\EngData\PROJECT_Bioplastics\Renjie_Pan\05-Raw_Data\Lab_results\[LabSamples2025_Bioplastic_extra.xlsx]extra_Bioplastic'!B146)</f>
        <v/>
      </c>
      <c r="C146">
        <f>IF(ISBLANK('Q:\Abteilungsprojekte\Eng\EngData\PROJECT_Bioplastics\Renjie_Pan\05-Raw_Data\Lab_results\[LabSamples2025_Bioplastic_extra.xlsx]extra_Bioplastic'!C146)," ",'Q:\Abteilungsprojekte\Eng\EngData\PROJECT_Bioplastics\Renjie_Pan\05-Raw_Data\Lab_results\[LabSamples2025_Bioplastic_extra.xlsx]extra_Bioplastic'!C146)</f>
        <v/>
      </c>
      <c r="D146">
        <f>IF(ISBLANK('Q:\Abteilungsprojekte\Eng\EngData\PROJECT_Bioplastics\Renjie_Pan\05-Raw_Data\Lab_results\[LabSamples2025_Bioplastic_extra.xlsx]extra_Bioplastic'!D146)," ",'Q:\Abteilungsprojekte\Eng\EngData\PROJECT_Bioplastics\Renjie_Pan\05-Raw_Data\Lab_results\[LabSamples2025_Bioplastic_extra.xlsx]extra_Bioplastic'!D146)</f>
        <v/>
      </c>
      <c r="E146">
        <f>IF(ISBLANK('Q:\Abteilungsprojekte\Eng\EngData\PROJECT_Bioplastics\Renjie_Pan\05-Raw_Data\Lab_results\[LabSamples2025_Bioplastic_extra.xlsx]extra_Bioplastic'!E146)," ",'Q:\Abteilungsprojekte\Eng\EngData\PROJECT_Bioplastics\Renjie_Pan\05-Raw_Data\Lab_results\[LabSamples2025_Bioplastic_extra.xlsx]extra_Bioplastic'!E146)</f>
        <v/>
      </c>
      <c r="F146">
        <f>IF(ISBLANK('Q:\Abteilungsprojekte\Eng\EngData\PROJECT_Bioplastics\Renjie_Pan\05-Raw_Data\Lab_results\[LabSamples2025_Bioplastic_extra.xlsx]extra_Bioplastic'!F146)," ",'Q:\Abteilungsprojekte\Eng\EngData\PROJECT_Bioplastics\Renjie_Pan\05-Raw_Data\Lab_results\[LabSamples2025_Bioplastic_extra.xlsx]extra_Bioplastic'!F146)</f>
        <v/>
      </c>
      <c r="G146">
        <f>IF(ISBLANK('Q:\Abteilungsprojekte\Eng\EngData\PROJECT_Bioplastics\Renjie_Pan\05-Raw_Data\Lab_results\[LabSamples2025_Bioplastic_extra.xlsx]extra_Bioplastic'!G146)," ",'Q:\Abteilungsprojekte\Eng\EngData\PROJECT_Bioplastics\Renjie_Pan\05-Raw_Data\Lab_results\[LabSamples2025_Bioplastic_extra.xlsx]extra_Bioplastic'!G146)</f>
        <v/>
      </c>
      <c r="H146">
        <f>IF(ISBLANK('Q:\Abteilungsprojekte\Eng\EngData\PROJECT_Bioplastics\Renjie_Pan\05-Raw_Data\Lab_results\[LabSamples2025_Bioplastic_extra.xlsx]extra_Bioplastic'!H146)," ",'Q:\Abteilungsprojekte\Eng\EngData\PROJECT_Bioplastics\Renjie_Pan\05-Raw_Data\Lab_results\[LabSamples2025_Bioplastic_extra.xlsx]extra_Bioplastic'!H146)</f>
        <v/>
      </c>
    </row>
    <row r="147">
      <c r="A147">
        <f>IF(ISBLANK('Q:\Abteilungsprojekte\Eng\EngData\PROJECT_Bioplastics\Renjie_Pan\05-Raw_Data\Lab_results\[LabSamples2025_Bioplastic_extra.xlsx]extra_Bioplastic'!A147)," ",'Q:\Abteilungsprojekte\Eng\EngData\PROJECT_Bioplastics\Renjie_Pan\05-Raw_Data\Lab_results\[LabSamples2025_Bioplastic_extra.xlsx]extra_Bioplastic'!A147)</f>
        <v/>
      </c>
      <c r="B147">
        <f>IF(ISBLANK('Q:\Abteilungsprojekte\Eng\EngData\PROJECT_Bioplastics\Renjie_Pan\05-Raw_Data\Lab_results\[LabSamples2025_Bioplastic_extra.xlsx]extra_Bioplastic'!B147)," ",'Q:\Abteilungsprojekte\Eng\EngData\PROJECT_Bioplastics\Renjie_Pan\05-Raw_Data\Lab_results\[LabSamples2025_Bioplastic_extra.xlsx]extra_Bioplastic'!B147)</f>
        <v/>
      </c>
      <c r="C147">
        <f>IF(ISBLANK('Q:\Abteilungsprojekte\Eng\EngData\PROJECT_Bioplastics\Renjie_Pan\05-Raw_Data\Lab_results\[LabSamples2025_Bioplastic_extra.xlsx]extra_Bioplastic'!C147)," ",'Q:\Abteilungsprojekte\Eng\EngData\PROJECT_Bioplastics\Renjie_Pan\05-Raw_Data\Lab_results\[LabSamples2025_Bioplastic_extra.xlsx]extra_Bioplastic'!C147)</f>
        <v/>
      </c>
      <c r="D147">
        <f>IF(ISBLANK('Q:\Abteilungsprojekte\Eng\EngData\PROJECT_Bioplastics\Renjie_Pan\05-Raw_Data\Lab_results\[LabSamples2025_Bioplastic_extra.xlsx]extra_Bioplastic'!D147)," ",'Q:\Abteilungsprojekte\Eng\EngData\PROJECT_Bioplastics\Renjie_Pan\05-Raw_Data\Lab_results\[LabSamples2025_Bioplastic_extra.xlsx]extra_Bioplastic'!D147)</f>
        <v/>
      </c>
      <c r="E147">
        <f>IF(ISBLANK('Q:\Abteilungsprojekte\Eng\EngData\PROJECT_Bioplastics\Renjie_Pan\05-Raw_Data\Lab_results\[LabSamples2025_Bioplastic_extra.xlsx]extra_Bioplastic'!E147)," ",'Q:\Abteilungsprojekte\Eng\EngData\PROJECT_Bioplastics\Renjie_Pan\05-Raw_Data\Lab_results\[LabSamples2025_Bioplastic_extra.xlsx]extra_Bioplastic'!E147)</f>
        <v/>
      </c>
      <c r="F147">
        <f>IF(ISBLANK('Q:\Abteilungsprojekte\Eng\EngData\PROJECT_Bioplastics\Renjie_Pan\05-Raw_Data\Lab_results\[LabSamples2025_Bioplastic_extra.xlsx]extra_Bioplastic'!F147)," ",'Q:\Abteilungsprojekte\Eng\EngData\PROJECT_Bioplastics\Renjie_Pan\05-Raw_Data\Lab_results\[LabSamples2025_Bioplastic_extra.xlsx]extra_Bioplastic'!F147)</f>
        <v/>
      </c>
      <c r="G147">
        <f>IF(ISBLANK('Q:\Abteilungsprojekte\Eng\EngData\PROJECT_Bioplastics\Renjie_Pan\05-Raw_Data\Lab_results\[LabSamples2025_Bioplastic_extra.xlsx]extra_Bioplastic'!G147)," ",'Q:\Abteilungsprojekte\Eng\EngData\PROJECT_Bioplastics\Renjie_Pan\05-Raw_Data\Lab_results\[LabSamples2025_Bioplastic_extra.xlsx]extra_Bioplastic'!G147)</f>
        <v/>
      </c>
      <c r="H147">
        <f>IF(ISBLANK('Q:\Abteilungsprojekte\Eng\EngData\PROJECT_Bioplastics\Renjie_Pan\05-Raw_Data\Lab_results\[LabSamples2025_Bioplastic_extra.xlsx]extra_Bioplastic'!H147)," ",'Q:\Abteilungsprojekte\Eng\EngData\PROJECT_Bioplastics\Renjie_Pan\05-Raw_Data\Lab_results\[LabSamples2025_Bioplastic_extra.xlsx]extra_Bioplastic'!H147)</f>
        <v/>
      </c>
    </row>
    <row r="148">
      <c r="A148">
        <f>IF(ISBLANK('Q:\Abteilungsprojekte\Eng\EngData\PROJECT_Bioplastics\Renjie_Pan\05-Raw_Data\Lab_results\[LabSamples2025_Bioplastic_extra.xlsx]extra_Bioplastic'!A148)," ",'Q:\Abteilungsprojekte\Eng\EngData\PROJECT_Bioplastics\Renjie_Pan\05-Raw_Data\Lab_results\[LabSamples2025_Bioplastic_extra.xlsx]extra_Bioplastic'!A148)</f>
        <v/>
      </c>
      <c r="B148">
        <f>IF(ISBLANK('Q:\Abteilungsprojekte\Eng\EngData\PROJECT_Bioplastics\Renjie_Pan\05-Raw_Data\Lab_results\[LabSamples2025_Bioplastic_extra.xlsx]extra_Bioplastic'!B148)," ",'Q:\Abteilungsprojekte\Eng\EngData\PROJECT_Bioplastics\Renjie_Pan\05-Raw_Data\Lab_results\[LabSamples2025_Bioplastic_extra.xlsx]extra_Bioplastic'!B148)</f>
        <v/>
      </c>
      <c r="C148">
        <f>IF(ISBLANK('Q:\Abteilungsprojekte\Eng\EngData\PROJECT_Bioplastics\Renjie_Pan\05-Raw_Data\Lab_results\[LabSamples2025_Bioplastic_extra.xlsx]extra_Bioplastic'!C148)," ",'Q:\Abteilungsprojekte\Eng\EngData\PROJECT_Bioplastics\Renjie_Pan\05-Raw_Data\Lab_results\[LabSamples2025_Bioplastic_extra.xlsx]extra_Bioplastic'!C148)</f>
        <v/>
      </c>
      <c r="D148">
        <f>IF(ISBLANK('Q:\Abteilungsprojekte\Eng\EngData\PROJECT_Bioplastics\Renjie_Pan\05-Raw_Data\Lab_results\[LabSamples2025_Bioplastic_extra.xlsx]extra_Bioplastic'!D148)," ",'Q:\Abteilungsprojekte\Eng\EngData\PROJECT_Bioplastics\Renjie_Pan\05-Raw_Data\Lab_results\[LabSamples2025_Bioplastic_extra.xlsx]extra_Bioplastic'!D148)</f>
        <v/>
      </c>
      <c r="E148">
        <f>IF(ISBLANK('Q:\Abteilungsprojekte\Eng\EngData\PROJECT_Bioplastics\Renjie_Pan\05-Raw_Data\Lab_results\[LabSamples2025_Bioplastic_extra.xlsx]extra_Bioplastic'!E148)," ",'Q:\Abteilungsprojekte\Eng\EngData\PROJECT_Bioplastics\Renjie_Pan\05-Raw_Data\Lab_results\[LabSamples2025_Bioplastic_extra.xlsx]extra_Bioplastic'!E148)</f>
        <v/>
      </c>
      <c r="F148">
        <f>IF(ISBLANK('Q:\Abteilungsprojekte\Eng\EngData\PROJECT_Bioplastics\Renjie_Pan\05-Raw_Data\Lab_results\[LabSamples2025_Bioplastic_extra.xlsx]extra_Bioplastic'!F148)," ",'Q:\Abteilungsprojekte\Eng\EngData\PROJECT_Bioplastics\Renjie_Pan\05-Raw_Data\Lab_results\[LabSamples2025_Bioplastic_extra.xlsx]extra_Bioplastic'!F148)</f>
        <v/>
      </c>
      <c r="G148">
        <f>IF(ISBLANK('Q:\Abteilungsprojekte\Eng\EngData\PROJECT_Bioplastics\Renjie_Pan\05-Raw_Data\Lab_results\[LabSamples2025_Bioplastic_extra.xlsx]extra_Bioplastic'!G148)," ",'Q:\Abteilungsprojekte\Eng\EngData\PROJECT_Bioplastics\Renjie_Pan\05-Raw_Data\Lab_results\[LabSamples2025_Bioplastic_extra.xlsx]extra_Bioplastic'!G148)</f>
        <v/>
      </c>
      <c r="H148">
        <f>IF(ISBLANK('Q:\Abteilungsprojekte\Eng\EngData\PROJECT_Bioplastics\Renjie_Pan\05-Raw_Data\Lab_results\[LabSamples2025_Bioplastic_extra.xlsx]extra_Bioplastic'!H148)," ",'Q:\Abteilungsprojekte\Eng\EngData\PROJECT_Bioplastics\Renjie_Pan\05-Raw_Data\Lab_results\[LabSamples2025_Bioplastic_extra.xlsx]extra_Bioplastic'!H148)</f>
        <v/>
      </c>
    </row>
    <row r="149">
      <c r="A149">
        <f>IF(ISBLANK('Q:\Abteilungsprojekte\Eng\EngData\PROJECT_Bioplastics\Renjie_Pan\05-Raw_Data\Lab_results\[LabSamples2025_Bioplastic_extra.xlsx]extra_Bioplastic'!A149)," ",'Q:\Abteilungsprojekte\Eng\EngData\PROJECT_Bioplastics\Renjie_Pan\05-Raw_Data\Lab_results\[LabSamples2025_Bioplastic_extra.xlsx]extra_Bioplastic'!A149)</f>
        <v/>
      </c>
      <c r="B149">
        <f>IF(ISBLANK('Q:\Abteilungsprojekte\Eng\EngData\PROJECT_Bioplastics\Renjie_Pan\05-Raw_Data\Lab_results\[LabSamples2025_Bioplastic_extra.xlsx]extra_Bioplastic'!B149)," ",'Q:\Abteilungsprojekte\Eng\EngData\PROJECT_Bioplastics\Renjie_Pan\05-Raw_Data\Lab_results\[LabSamples2025_Bioplastic_extra.xlsx]extra_Bioplastic'!B149)</f>
        <v/>
      </c>
      <c r="C149">
        <f>IF(ISBLANK('Q:\Abteilungsprojekte\Eng\EngData\PROJECT_Bioplastics\Renjie_Pan\05-Raw_Data\Lab_results\[LabSamples2025_Bioplastic_extra.xlsx]extra_Bioplastic'!C149)," ",'Q:\Abteilungsprojekte\Eng\EngData\PROJECT_Bioplastics\Renjie_Pan\05-Raw_Data\Lab_results\[LabSamples2025_Bioplastic_extra.xlsx]extra_Bioplastic'!C149)</f>
        <v/>
      </c>
      <c r="D149">
        <f>IF(ISBLANK('Q:\Abteilungsprojekte\Eng\EngData\PROJECT_Bioplastics\Renjie_Pan\05-Raw_Data\Lab_results\[LabSamples2025_Bioplastic_extra.xlsx]extra_Bioplastic'!D149)," ",'Q:\Abteilungsprojekte\Eng\EngData\PROJECT_Bioplastics\Renjie_Pan\05-Raw_Data\Lab_results\[LabSamples2025_Bioplastic_extra.xlsx]extra_Bioplastic'!D149)</f>
        <v/>
      </c>
      <c r="E149">
        <f>IF(ISBLANK('Q:\Abteilungsprojekte\Eng\EngData\PROJECT_Bioplastics\Renjie_Pan\05-Raw_Data\Lab_results\[LabSamples2025_Bioplastic_extra.xlsx]extra_Bioplastic'!E149)," ",'Q:\Abteilungsprojekte\Eng\EngData\PROJECT_Bioplastics\Renjie_Pan\05-Raw_Data\Lab_results\[LabSamples2025_Bioplastic_extra.xlsx]extra_Bioplastic'!E149)</f>
        <v/>
      </c>
      <c r="F149">
        <f>IF(ISBLANK('Q:\Abteilungsprojekte\Eng\EngData\PROJECT_Bioplastics\Renjie_Pan\05-Raw_Data\Lab_results\[LabSamples2025_Bioplastic_extra.xlsx]extra_Bioplastic'!F149)," ",'Q:\Abteilungsprojekte\Eng\EngData\PROJECT_Bioplastics\Renjie_Pan\05-Raw_Data\Lab_results\[LabSamples2025_Bioplastic_extra.xlsx]extra_Bioplastic'!F149)</f>
        <v/>
      </c>
      <c r="G149">
        <f>IF(ISBLANK('Q:\Abteilungsprojekte\Eng\EngData\PROJECT_Bioplastics\Renjie_Pan\05-Raw_Data\Lab_results\[LabSamples2025_Bioplastic_extra.xlsx]extra_Bioplastic'!G149)," ",'Q:\Abteilungsprojekte\Eng\EngData\PROJECT_Bioplastics\Renjie_Pan\05-Raw_Data\Lab_results\[LabSamples2025_Bioplastic_extra.xlsx]extra_Bioplastic'!G149)</f>
        <v/>
      </c>
      <c r="H149">
        <f>IF(ISBLANK('Q:\Abteilungsprojekte\Eng\EngData\PROJECT_Bioplastics\Renjie_Pan\05-Raw_Data\Lab_results\[LabSamples2025_Bioplastic_extra.xlsx]extra_Bioplastic'!H149)," ",'Q:\Abteilungsprojekte\Eng\EngData\PROJECT_Bioplastics\Renjie_Pan\05-Raw_Data\Lab_results\[LabSamples2025_Bioplastic_extra.xlsx]extra_Bioplastic'!H149)</f>
        <v/>
      </c>
    </row>
    <row r="150">
      <c r="A150">
        <f>IF(ISBLANK('Q:\Abteilungsprojekte\Eng\EngData\PROJECT_Bioplastics\Renjie_Pan\05-Raw_Data\Lab_results\[LabSamples2025_Bioplastic_extra.xlsx]extra_Bioplastic'!A150)," ",'Q:\Abteilungsprojekte\Eng\EngData\PROJECT_Bioplastics\Renjie_Pan\05-Raw_Data\Lab_results\[LabSamples2025_Bioplastic_extra.xlsx]extra_Bioplastic'!A150)</f>
        <v/>
      </c>
      <c r="B150">
        <f>IF(ISBLANK('Q:\Abteilungsprojekte\Eng\EngData\PROJECT_Bioplastics\Renjie_Pan\05-Raw_Data\Lab_results\[LabSamples2025_Bioplastic_extra.xlsx]extra_Bioplastic'!B150)," ",'Q:\Abteilungsprojekte\Eng\EngData\PROJECT_Bioplastics\Renjie_Pan\05-Raw_Data\Lab_results\[LabSamples2025_Bioplastic_extra.xlsx]extra_Bioplastic'!B150)</f>
        <v/>
      </c>
      <c r="C150">
        <f>IF(ISBLANK('Q:\Abteilungsprojekte\Eng\EngData\PROJECT_Bioplastics\Renjie_Pan\05-Raw_Data\Lab_results\[LabSamples2025_Bioplastic_extra.xlsx]extra_Bioplastic'!C150)," ",'Q:\Abteilungsprojekte\Eng\EngData\PROJECT_Bioplastics\Renjie_Pan\05-Raw_Data\Lab_results\[LabSamples2025_Bioplastic_extra.xlsx]extra_Bioplastic'!C150)</f>
        <v/>
      </c>
      <c r="D150">
        <f>IF(ISBLANK('Q:\Abteilungsprojekte\Eng\EngData\PROJECT_Bioplastics\Renjie_Pan\05-Raw_Data\Lab_results\[LabSamples2025_Bioplastic_extra.xlsx]extra_Bioplastic'!D150)," ",'Q:\Abteilungsprojekte\Eng\EngData\PROJECT_Bioplastics\Renjie_Pan\05-Raw_Data\Lab_results\[LabSamples2025_Bioplastic_extra.xlsx]extra_Bioplastic'!D150)</f>
        <v/>
      </c>
      <c r="E150">
        <f>IF(ISBLANK('Q:\Abteilungsprojekte\Eng\EngData\PROJECT_Bioplastics\Renjie_Pan\05-Raw_Data\Lab_results\[LabSamples2025_Bioplastic_extra.xlsx]extra_Bioplastic'!E150)," ",'Q:\Abteilungsprojekte\Eng\EngData\PROJECT_Bioplastics\Renjie_Pan\05-Raw_Data\Lab_results\[LabSamples2025_Bioplastic_extra.xlsx]extra_Bioplastic'!E150)</f>
        <v/>
      </c>
      <c r="F150">
        <f>IF(ISBLANK('Q:\Abteilungsprojekte\Eng\EngData\PROJECT_Bioplastics\Renjie_Pan\05-Raw_Data\Lab_results\[LabSamples2025_Bioplastic_extra.xlsx]extra_Bioplastic'!F150)," ",'Q:\Abteilungsprojekte\Eng\EngData\PROJECT_Bioplastics\Renjie_Pan\05-Raw_Data\Lab_results\[LabSamples2025_Bioplastic_extra.xlsx]extra_Bioplastic'!F150)</f>
        <v/>
      </c>
      <c r="G150">
        <f>IF(ISBLANK('Q:\Abteilungsprojekte\Eng\EngData\PROJECT_Bioplastics\Renjie_Pan\05-Raw_Data\Lab_results\[LabSamples2025_Bioplastic_extra.xlsx]extra_Bioplastic'!G150)," ",'Q:\Abteilungsprojekte\Eng\EngData\PROJECT_Bioplastics\Renjie_Pan\05-Raw_Data\Lab_results\[LabSamples2025_Bioplastic_extra.xlsx]extra_Bioplastic'!G150)</f>
        <v/>
      </c>
      <c r="H150">
        <f>IF(ISBLANK('Q:\Abteilungsprojekte\Eng\EngData\PROJECT_Bioplastics\Renjie_Pan\05-Raw_Data\Lab_results\[LabSamples2025_Bioplastic_extra.xlsx]extra_Bioplastic'!H150)," ",'Q:\Abteilungsprojekte\Eng\EngData\PROJECT_Bioplastics\Renjie_Pan\05-Raw_Data\Lab_results\[LabSamples2025_Bioplastic_extra.xlsx]extra_Bioplastic'!H150)</f>
        <v/>
      </c>
    </row>
    <row r="151">
      <c r="A151">
        <f>IF(ISBLANK('Q:\Abteilungsprojekte\Eng\EngData\PROJECT_Bioplastics\Renjie_Pan\05-Raw_Data\Lab_results\[LabSamples2025_Bioplastic_extra.xlsx]extra_Bioplastic'!A151)," ",'Q:\Abteilungsprojekte\Eng\EngData\PROJECT_Bioplastics\Renjie_Pan\05-Raw_Data\Lab_results\[LabSamples2025_Bioplastic_extra.xlsx]extra_Bioplastic'!A151)</f>
        <v/>
      </c>
      <c r="B151">
        <f>IF(ISBLANK('Q:\Abteilungsprojekte\Eng\EngData\PROJECT_Bioplastics\Renjie_Pan\05-Raw_Data\Lab_results\[LabSamples2025_Bioplastic_extra.xlsx]extra_Bioplastic'!B151)," ",'Q:\Abteilungsprojekte\Eng\EngData\PROJECT_Bioplastics\Renjie_Pan\05-Raw_Data\Lab_results\[LabSamples2025_Bioplastic_extra.xlsx]extra_Bioplastic'!B151)</f>
        <v/>
      </c>
      <c r="C151">
        <f>IF(ISBLANK('Q:\Abteilungsprojekte\Eng\EngData\PROJECT_Bioplastics\Renjie_Pan\05-Raw_Data\Lab_results\[LabSamples2025_Bioplastic_extra.xlsx]extra_Bioplastic'!C151)," ",'Q:\Abteilungsprojekte\Eng\EngData\PROJECT_Bioplastics\Renjie_Pan\05-Raw_Data\Lab_results\[LabSamples2025_Bioplastic_extra.xlsx]extra_Bioplastic'!C151)</f>
        <v/>
      </c>
      <c r="D151">
        <f>IF(ISBLANK('Q:\Abteilungsprojekte\Eng\EngData\PROJECT_Bioplastics\Renjie_Pan\05-Raw_Data\Lab_results\[LabSamples2025_Bioplastic_extra.xlsx]extra_Bioplastic'!D151)," ",'Q:\Abteilungsprojekte\Eng\EngData\PROJECT_Bioplastics\Renjie_Pan\05-Raw_Data\Lab_results\[LabSamples2025_Bioplastic_extra.xlsx]extra_Bioplastic'!D151)</f>
        <v/>
      </c>
      <c r="E151">
        <f>IF(ISBLANK('Q:\Abteilungsprojekte\Eng\EngData\PROJECT_Bioplastics\Renjie_Pan\05-Raw_Data\Lab_results\[LabSamples2025_Bioplastic_extra.xlsx]extra_Bioplastic'!E151)," ",'Q:\Abteilungsprojekte\Eng\EngData\PROJECT_Bioplastics\Renjie_Pan\05-Raw_Data\Lab_results\[LabSamples2025_Bioplastic_extra.xlsx]extra_Bioplastic'!E151)</f>
        <v/>
      </c>
      <c r="F151">
        <f>IF(ISBLANK('Q:\Abteilungsprojekte\Eng\EngData\PROJECT_Bioplastics\Renjie_Pan\05-Raw_Data\Lab_results\[LabSamples2025_Bioplastic_extra.xlsx]extra_Bioplastic'!F151)," ",'Q:\Abteilungsprojekte\Eng\EngData\PROJECT_Bioplastics\Renjie_Pan\05-Raw_Data\Lab_results\[LabSamples2025_Bioplastic_extra.xlsx]extra_Bioplastic'!F151)</f>
        <v/>
      </c>
      <c r="G151">
        <f>IF(ISBLANK('Q:\Abteilungsprojekte\Eng\EngData\PROJECT_Bioplastics\Renjie_Pan\05-Raw_Data\Lab_results\[LabSamples2025_Bioplastic_extra.xlsx]extra_Bioplastic'!G151)," ",'Q:\Abteilungsprojekte\Eng\EngData\PROJECT_Bioplastics\Renjie_Pan\05-Raw_Data\Lab_results\[LabSamples2025_Bioplastic_extra.xlsx]extra_Bioplastic'!G151)</f>
        <v/>
      </c>
      <c r="H151">
        <f>IF(ISBLANK('Q:\Abteilungsprojekte\Eng\EngData\PROJECT_Bioplastics\Renjie_Pan\05-Raw_Data\Lab_results\[LabSamples2025_Bioplastic_extra.xlsx]extra_Bioplastic'!H151)," ",'Q:\Abteilungsprojekte\Eng\EngData\PROJECT_Bioplastics\Renjie_Pan\05-Raw_Data\Lab_results\[LabSamples2025_Bioplastic_extra.xlsx]extra_Bioplastic'!H151)</f>
        <v/>
      </c>
    </row>
    <row r="152">
      <c r="A152">
        <f>IF(ISBLANK('Q:\Abteilungsprojekte\Eng\EngData\PROJECT_Bioplastics\Renjie_Pan\05-Raw_Data\Lab_results\[LabSamples2025_Bioplastic_extra.xlsx]extra_Bioplastic'!A152)," ",'Q:\Abteilungsprojekte\Eng\EngData\PROJECT_Bioplastics\Renjie_Pan\05-Raw_Data\Lab_results\[LabSamples2025_Bioplastic_extra.xlsx]extra_Bioplastic'!A152)</f>
        <v/>
      </c>
      <c r="B152">
        <f>IF(ISBLANK('Q:\Abteilungsprojekte\Eng\EngData\PROJECT_Bioplastics\Renjie_Pan\05-Raw_Data\Lab_results\[LabSamples2025_Bioplastic_extra.xlsx]extra_Bioplastic'!B152)," ",'Q:\Abteilungsprojekte\Eng\EngData\PROJECT_Bioplastics\Renjie_Pan\05-Raw_Data\Lab_results\[LabSamples2025_Bioplastic_extra.xlsx]extra_Bioplastic'!B152)</f>
        <v/>
      </c>
      <c r="C152">
        <f>IF(ISBLANK('Q:\Abteilungsprojekte\Eng\EngData\PROJECT_Bioplastics\Renjie_Pan\05-Raw_Data\Lab_results\[LabSamples2025_Bioplastic_extra.xlsx]extra_Bioplastic'!C152)," ",'Q:\Abteilungsprojekte\Eng\EngData\PROJECT_Bioplastics\Renjie_Pan\05-Raw_Data\Lab_results\[LabSamples2025_Bioplastic_extra.xlsx]extra_Bioplastic'!C152)</f>
        <v/>
      </c>
      <c r="D152">
        <f>IF(ISBLANK('Q:\Abteilungsprojekte\Eng\EngData\PROJECT_Bioplastics\Renjie_Pan\05-Raw_Data\Lab_results\[LabSamples2025_Bioplastic_extra.xlsx]extra_Bioplastic'!D152)," ",'Q:\Abteilungsprojekte\Eng\EngData\PROJECT_Bioplastics\Renjie_Pan\05-Raw_Data\Lab_results\[LabSamples2025_Bioplastic_extra.xlsx]extra_Bioplastic'!D152)</f>
        <v/>
      </c>
      <c r="E152">
        <f>IF(ISBLANK('Q:\Abteilungsprojekte\Eng\EngData\PROJECT_Bioplastics\Renjie_Pan\05-Raw_Data\Lab_results\[LabSamples2025_Bioplastic_extra.xlsx]extra_Bioplastic'!E152)," ",'Q:\Abteilungsprojekte\Eng\EngData\PROJECT_Bioplastics\Renjie_Pan\05-Raw_Data\Lab_results\[LabSamples2025_Bioplastic_extra.xlsx]extra_Bioplastic'!E152)</f>
        <v/>
      </c>
      <c r="F152">
        <f>IF(ISBLANK('Q:\Abteilungsprojekte\Eng\EngData\PROJECT_Bioplastics\Renjie_Pan\05-Raw_Data\Lab_results\[LabSamples2025_Bioplastic_extra.xlsx]extra_Bioplastic'!F152)," ",'Q:\Abteilungsprojekte\Eng\EngData\PROJECT_Bioplastics\Renjie_Pan\05-Raw_Data\Lab_results\[LabSamples2025_Bioplastic_extra.xlsx]extra_Bioplastic'!F152)</f>
        <v/>
      </c>
      <c r="G152">
        <f>IF(ISBLANK('Q:\Abteilungsprojekte\Eng\EngData\PROJECT_Bioplastics\Renjie_Pan\05-Raw_Data\Lab_results\[LabSamples2025_Bioplastic_extra.xlsx]extra_Bioplastic'!G152)," ",'Q:\Abteilungsprojekte\Eng\EngData\PROJECT_Bioplastics\Renjie_Pan\05-Raw_Data\Lab_results\[LabSamples2025_Bioplastic_extra.xlsx]extra_Bioplastic'!G152)</f>
        <v/>
      </c>
      <c r="H152">
        <f>IF(ISBLANK('Q:\Abteilungsprojekte\Eng\EngData\PROJECT_Bioplastics\Renjie_Pan\05-Raw_Data\Lab_results\[LabSamples2025_Bioplastic_extra.xlsx]extra_Bioplastic'!H152)," ",'Q:\Abteilungsprojekte\Eng\EngData\PROJECT_Bioplastics\Renjie_Pan\05-Raw_Data\Lab_results\[LabSamples2025_Bioplastic_extra.xlsx]extra_Bioplastic'!H152)</f>
        <v/>
      </c>
    </row>
    <row r="153">
      <c r="A153">
        <f>IF(ISBLANK('Q:\Abteilungsprojekte\Eng\EngData\PROJECT_Bioplastics\Renjie_Pan\05-Raw_Data\Lab_results\[LabSamples2025_Bioplastic_extra.xlsx]extra_Bioplastic'!A153)," ",'Q:\Abteilungsprojekte\Eng\EngData\PROJECT_Bioplastics\Renjie_Pan\05-Raw_Data\Lab_results\[LabSamples2025_Bioplastic_extra.xlsx]extra_Bioplastic'!A153)</f>
        <v/>
      </c>
      <c r="B153">
        <f>IF(ISBLANK('Q:\Abteilungsprojekte\Eng\EngData\PROJECT_Bioplastics\Renjie_Pan\05-Raw_Data\Lab_results\[LabSamples2025_Bioplastic_extra.xlsx]extra_Bioplastic'!B153)," ",'Q:\Abteilungsprojekte\Eng\EngData\PROJECT_Bioplastics\Renjie_Pan\05-Raw_Data\Lab_results\[LabSamples2025_Bioplastic_extra.xlsx]extra_Bioplastic'!B153)</f>
        <v/>
      </c>
      <c r="C153">
        <f>IF(ISBLANK('Q:\Abteilungsprojekte\Eng\EngData\PROJECT_Bioplastics\Renjie_Pan\05-Raw_Data\Lab_results\[LabSamples2025_Bioplastic_extra.xlsx]extra_Bioplastic'!C153)," ",'Q:\Abteilungsprojekte\Eng\EngData\PROJECT_Bioplastics\Renjie_Pan\05-Raw_Data\Lab_results\[LabSamples2025_Bioplastic_extra.xlsx]extra_Bioplastic'!C153)</f>
        <v/>
      </c>
      <c r="D153">
        <f>IF(ISBLANK('Q:\Abteilungsprojekte\Eng\EngData\PROJECT_Bioplastics\Renjie_Pan\05-Raw_Data\Lab_results\[LabSamples2025_Bioplastic_extra.xlsx]extra_Bioplastic'!D153)," ",'Q:\Abteilungsprojekte\Eng\EngData\PROJECT_Bioplastics\Renjie_Pan\05-Raw_Data\Lab_results\[LabSamples2025_Bioplastic_extra.xlsx]extra_Bioplastic'!D153)</f>
        <v/>
      </c>
      <c r="E153">
        <f>IF(ISBLANK('Q:\Abteilungsprojekte\Eng\EngData\PROJECT_Bioplastics\Renjie_Pan\05-Raw_Data\Lab_results\[LabSamples2025_Bioplastic_extra.xlsx]extra_Bioplastic'!E153)," ",'Q:\Abteilungsprojekte\Eng\EngData\PROJECT_Bioplastics\Renjie_Pan\05-Raw_Data\Lab_results\[LabSamples2025_Bioplastic_extra.xlsx]extra_Bioplastic'!E153)</f>
        <v/>
      </c>
      <c r="F153">
        <f>IF(ISBLANK('Q:\Abteilungsprojekte\Eng\EngData\PROJECT_Bioplastics\Renjie_Pan\05-Raw_Data\Lab_results\[LabSamples2025_Bioplastic_extra.xlsx]extra_Bioplastic'!F153)," ",'Q:\Abteilungsprojekte\Eng\EngData\PROJECT_Bioplastics\Renjie_Pan\05-Raw_Data\Lab_results\[LabSamples2025_Bioplastic_extra.xlsx]extra_Bioplastic'!F153)</f>
        <v/>
      </c>
      <c r="G153">
        <f>IF(ISBLANK('Q:\Abteilungsprojekte\Eng\EngData\PROJECT_Bioplastics\Renjie_Pan\05-Raw_Data\Lab_results\[LabSamples2025_Bioplastic_extra.xlsx]extra_Bioplastic'!G153)," ",'Q:\Abteilungsprojekte\Eng\EngData\PROJECT_Bioplastics\Renjie_Pan\05-Raw_Data\Lab_results\[LabSamples2025_Bioplastic_extra.xlsx]extra_Bioplastic'!G153)</f>
        <v/>
      </c>
      <c r="H153">
        <f>IF(ISBLANK('Q:\Abteilungsprojekte\Eng\EngData\PROJECT_Bioplastics\Renjie_Pan\05-Raw_Data\Lab_results\[LabSamples2025_Bioplastic_extra.xlsx]extra_Bioplastic'!H153)," ",'Q:\Abteilungsprojekte\Eng\EngData\PROJECT_Bioplastics\Renjie_Pan\05-Raw_Data\Lab_results\[LabSamples2025_Bioplastic_extra.xlsx]extra_Bioplastic'!H153)</f>
        <v/>
      </c>
    </row>
    <row r="154">
      <c r="A154">
        <f>IF(ISBLANK('Q:\Abteilungsprojekte\Eng\EngData\PROJECT_Bioplastics\Renjie_Pan\05-Raw_Data\Lab_results\[LabSamples2025_Bioplastic_extra.xlsx]extra_Bioplastic'!A154)," ",'Q:\Abteilungsprojekte\Eng\EngData\PROJECT_Bioplastics\Renjie_Pan\05-Raw_Data\Lab_results\[LabSamples2025_Bioplastic_extra.xlsx]extra_Bioplastic'!A154)</f>
        <v/>
      </c>
      <c r="B154">
        <f>IF(ISBLANK('Q:\Abteilungsprojekte\Eng\EngData\PROJECT_Bioplastics\Renjie_Pan\05-Raw_Data\Lab_results\[LabSamples2025_Bioplastic_extra.xlsx]extra_Bioplastic'!B154)," ",'Q:\Abteilungsprojekte\Eng\EngData\PROJECT_Bioplastics\Renjie_Pan\05-Raw_Data\Lab_results\[LabSamples2025_Bioplastic_extra.xlsx]extra_Bioplastic'!B154)</f>
        <v/>
      </c>
      <c r="C154">
        <f>IF(ISBLANK('Q:\Abteilungsprojekte\Eng\EngData\PROJECT_Bioplastics\Renjie_Pan\05-Raw_Data\Lab_results\[LabSamples2025_Bioplastic_extra.xlsx]extra_Bioplastic'!C154)," ",'Q:\Abteilungsprojekte\Eng\EngData\PROJECT_Bioplastics\Renjie_Pan\05-Raw_Data\Lab_results\[LabSamples2025_Bioplastic_extra.xlsx]extra_Bioplastic'!C154)</f>
        <v/>
      </c>
      <c r="D154">
        <f>IF(ISBLANK('Q:\Abteilungsprojekte\Eng\EngData\PROJECT_Bioplastics\Renjie_Pan\05-Raw_Data\Lab_results\[LabSamples2025_Bioplastic_extra.xlsx]extra_Bioplastic'!D154)," ",'Q:\Abteilungsprojekte\Eng\EngData\PROJECT_Bioplastics\Renjie_Pan\05-Raw_Data\Lab_results\[LabSamples2025_Bioplastic_extra.xlsx]extra_Bioplastic'!D154)</f>
        <v/>
      </c>
      <c r="E154">
        <f>IF(ISBLANK('Q:\Abteilungsprojekte\Eng\EngData\PROJECT_Bioplastics\Renjie_Pan\05-Raw_Data\Lab_results\[LabSamples2025_Bioplastic_extra.xlsx]extra_Bioplastic'!E154)," ",'Q:\Abteilungsprojekte\Eng\EngData\PROJECT_Bioplastics\Renjie_Pan\05-Raw_Data\Lab_results\[LabSamples2025_Bioplastic_extra.xlsx]extra_Bioplastic'!E154)</f>
        <v/>
      </c>
      <c r="F154">
        <f>IF(ISBLANK('Q:\Abteilungsprojekte\Eng\EngData\PROJECT_Bioplastics\Renjie_Pan\05-Raw_Data\Lab_results\[LabSamples2025_Bioplastic_extra.xlsx]extra_Bioplastic'!F154)," ",'Q:\Abteilungsprojekte\Eng\EngData\PROJECT_Bioplastics\Renjie_Pan\05-Raw_Data\Lab_results\[LabSamples2025_Bioplastic_extra.xlsx]extra_Bioplastic'!F154)</f>
        <v/>
      </c>
      <c r="G154">
        <f>IF(ISBLANK('Q:\Abteilungsprojekte\Eng\EngData\PROJECT_Bioplastics\Renjie_Pan\05-Raw_Data\Lab_results\[LabSamples2025_Bioplastic_extra.xlsx]extra_Bioplastic'!G154)," ",'Q:\Abteilungsprojekte\Eng\EngData\PROJECT_Bioplastics\Renjie_Pan\05-Raw_Data\Lab_results\[LabSamples2025_Bioplastic_extra.xlsx]extra_Bioplastic'!G154)</f>
        <v/>
      </c>
      <c r="H154">
        <f>IF(ISBLANK('Q:\Abteilungsprojekte\Eng\EngData\PROJECT_Bioplastics\Renjie_Pan\05-Raw_Data\Lab_results\[LabSamples2025_Bioplastic_extra.xlsx]extra_Bioplastic'!H154)," ",'Q:\Abteilungsprojekte\Eng\EngData\PROJECT_Bioplastics\Renjie_Pan\05-Raw_Data\Lab_results\[LabSamples2025_Bioplastic_extra.xlsx]extra_Bioplastic'!H154)</f>
        <v/>
      </c>
    </row>
    <row r="155">
      <c r="A155">
        <f>IF(ISBLANK('Q:\Abteilungsprojekte\Eng\EngData\PROJECT_Bioplastics\Renjie_Pan\05-Raw_Data\Lab_results\[LabSamples2025_Bioplastic_extra.xlsx]extra_Bioplastic'!A155)," ",'Q:\Abteilungsprojekte\Eng\EngData\PROJECT_Bioplastics\Renjie_Pan\05-Raw_Data\Lab_results\[LabSamples2025_Bioplastic_extra.xlsx]extra_Bioplastic'!A155)</f>
        <v/>
      </c>
      <c r="B155">
        <f>IF(ISBLANK('Q:\Abteilungsprojekte\Eng\EngData\PROJECT_Bioplastics\Renjie_Pan\05-Raw_Data\Lab_results\[LabSamples2025_Bioplastic_extra.xlsx]extra_Bioplastic'!B155)," ",'Q:\Abteilungsprojekte\Eng\EngData\PROJECT_Bioplastics\Renjie_Pan\05-Raw_Data\Lab_results\[LabSamples2025_Bioplastic_extra.xlsx]extra_Bioplastic'!B155)</f>
        <v/>
      </c>
      <c r="C155">
        <f>IF(ISBLANK('Q:\Abteilungsprojekte\Eng\EngData\PROJECT_Bioplastics\Renjie_Pan\05-Raw_Data\Lab_results\[LabSamples2025_Bioplastic_extra.xlsx]extra_Bioplastic'!C155)," ",'Q:\Abteilungsprojekte\Eng\EngData\PROJECT_Bioplastics\Renjie_Pan\05-Raw_Data\Lab_results\[LabSamples2025_Bioplastic_extra.xlsx]extra_Bioplastic'!C155)</f>
        <v/>
      </c>
      <c r="D155">
        <f>IF(ISBLANK('Q:\Abteilungsprojekte\Eng\EngData\PROJECT_Bioplastics\Renjie_Pan\05-Raw_Data\Lab_results\[LabSamples2025_Bioplastic_extra.xlsx]extra_Bioplastic'!D155)," ",'Q:\Abteilungsprojekte\Eng\EngData\PROJECT_Bioplastics\Renjie_Pan\05-Raw_Data\Lab_results\[LabSamples2025_Bioplastic_extra.xlsx]extra_Bioplastic'!D155)</f>
        <v/>
      </c>
      <c r="E155">
        <f>IF(ISBLANK('Q:\Abteilungsprojekte\Eng\EngData\PROJECT_Bioplastics\Renjie_Pan\05-Raw_Data\Lab_results\[LabSamples2025_Bioplastic_extra.xlsx]extra_Bioplastic'!E155)," ",'Q:\Abteilungsprojekte\Eng\EngData\PROJECT_Bioplastics\Renjie_Pan\05-Raw_Data\Lab_results\[LabSamples2025_Bioplastic_extra.xlsx]extra_Bioplastic'!E155)</f>
        <v/>
      </c>
      <c r="F155">
        <f>IF(ISBLANK('Q:\Abteilungsprojekte\Eng\EngData\PROJECT_Bioplastics\Renjie_Pan\05-Raw_Data\Lab_results\[LabSamples2025_Bioplastic_extra.xlsx]extra_Bioplastic'!F155)," ",'Q:\Abteilungsprojekte\Eng\EngData\PROJECT_Bioplastics\Renjie_Pan\05-Raw_Data\Lab_results\[LabSamples2025_Bioplastic_extra.xlsx]extra_Bioplastic'!F155)</f>
        <v/>
      </c>
      <c r="G155">
        <f>IF(ISBLANK('Q:\Abteilungsprojekte\Eng\EngData\PROJECT_Bioplastics\Renjie_Pan\05-Raw_Data\Lab_results\[LabSamples2025_Bioplastic_extra.xlsx]extra_Bioplastic'!G155)," ",'Q:\Abteilungsprojekte\Eng\EngData\PROJECT_Bioplastics\Renjie_Pan\05-Raw_Data\Lab_results\[LabSamples2025_Bioplastic_extra.xlsx]extra_Bioplastic'!G155)</f>
        <v/>
      </c>
      <c r="H155">
        <f>IF(ISBLANK('Q:\Abteilungsprojekte\Eng\EngData\PROJECT_Bioplastics\Renjie_Pan\05-Raw_Data\Lab_results\[LabSamples2025_Bioplastic_extra.xlsx]extra_Bioplastic'!H155)," ",'Q:\Abteilungsprojekte\Eng\EngData\PROJECT_Bioplastics\Renjie_Pan\05-Raw_Data\Lab_results\[LabSamples2025_Bioplastic_extra.xlsx]extra_Bioplastic'!H155)</f>
        <v/>
      </c>
    </row>
    <row r="156">
      <c r="A156">
        <f>IF(ISBLANK('Q:\Abteilungsprojekte\Eng\EngData\PROJECT_Bioplastics\Renjie_Pan\05-Raw_Data\Lab_results\[LabSamples2025_Bioplastic_extra.xlsx]extra_Bioplastic'!A156)," ",'Q:\Abteilungsprojekte\Eng\EngData\PROJECT_Bioplastics\Renjie_Pan\05-Raw_Data\Lab_results\[LabSamples2025_Bioplastic_extra.xlsx]extra_Bioplastic'!A156)</f>
        <v/>
      </c>
      <c r="B156">
        <f>IF(ISBLANK('Q:\Abteilungsprojekte\Eng\EngData\PROJECT_Bioplastics\Renjie_Pan\05-Raw_Data\Lab_results\[LabSamples2025_Bioplastic_extra.xlsx]extra_Bioplastic'!B156)," ",'Q:\Abteilungsprojekte\Eng\EngData\PROJECT_Bioplastics\Renjie_Pan\05-Raw_Data\Lab_results\[LabSamples2025_Bioplastic_extra.xlsx]extra_Bioplastic'!B156)</f>
        <v/>
      </c>
      <c r="C156">
        <f>IF(ISBLANK('Q:\Abteilungsprojekte\Eng\EngData\PROJECT_Bioplastics\Renjie_Pan\05-Raw_Data\Lab_results\[LabSamples2025_Bioplastic_extra.xlsx]extra_Bioplastic'!C156)," ",'Q:\Abteilungsprojekte\Eng\EngData\PROJECT_Bioplastics\Renjie_Pan\05-Raw_Data\Lab_results\[LabSamples2025_Bioplastic_extra.xlsx]extra_Bioplastic'!C156)</f>
        <v/>
      </c>
      <c r="D156">
        <f>IF(ISBLANK('Q:\Abteilungsprojekte\Eng\EngData\PROJECT_Bioplastics\Renjie_Pan\05-Raw_Data\Lab_results\[LabSamples2025_Bioplastic_extra.xlsx]extra_Bioplastic'!D156)," ",'Q:\Abteilungsprojekte\Eng\EngData\PROJECT_Bioplastics\Renjie_Pan\05-Raw_Data\Lab_results\[LabSamples2025_Bioplastic_extra.xlsx]extra_Bioplastic'!D156)</f>
        <v/>
      </c>
      <c r="E156">
        <f>IF(ISBLANK('Q:\Abteilungsprojekte\Eng\EngData\PROJECT_Bioplastics\Renjie_Pan\05-Raw_Data\Lab_results\[LabSamples2025_Bioplastic_extra.xlsx]extra_Bioplastic'!E156)," ",'Q:\Abteilungsprojekte\Eng\EngData\PROJECT_Bioplastics\Renjie_Pan\05-Raw_Data\Lab_results\[LabSamples2025_Bioplastic_extra.xlsx]extra_Bioplastic'!E156)</f>
        <v/>
      </c>
      <c r="F156">
        <f>IF(ISBLANK('Q:\Abteilungsprojekte\Eng\EngData\PROJECT_Bioplastics\Renjie_Pan\05-Raw_Data\Lab_results\[LabSamples2025_Bioplastic_extra.xlsx]extra_Bioplastic'!F156)," ",'Q:\Abteilungsprojekte\Eng\EngData\PROJECT_Bioplastics\Renjie_Pan\05-Raw_Data\Lab_results\[LabSamples2025_Bioplastic_extra.xlsx]extra_Bioplastic'!F156)</f>
        <v/>
      </c>
      <c r="G156">
        <f>IF(ISBLANK('Q:\Abteilungsprojekte\Eng\EngData\PROJECT_Bioplastics\Renjie_Pan\05-Raw_Data\Lab_results\[LabSamples2025_Bioplastic_extra.xlsx]extra_Bioplastic'!G156)," ",'Q:\Abteilungsprojekte\Eng\EngData\PROJECT_Bioplastics\Renjie_Pan\05-Raw_Data\Lab_results\[LabSamples2025_Bioplastic_extra.xlsx]extra_Bioplastic'!G156)</f>
        <v/>
      </c>
      <c r="H156">
        <f>IF(ISBLANK('Q:\Abteilungsprojekte\Eng\EngData\PROJECT_Bioplastics\Renjie_Pan\05-Raw_Data\Lab_results\[LabSamples2025_Bioplastic_extra.xlsx]extra_Bioplastic'!H156)," ",'Q:\Abteilungsprojekte\Eng\EngData\PROJECT_Bioplastics\Renjie_Pan\05-Raw_Data\Lab_results\[LabSamples2025_Bioplastic_extra.xlsx]extra_Bioplastic'!H156)</f>
        <v/>
      </c>
    </row>
    <row r="157">
      <c r="A157">
        <f>IF(ISBLANK('Q:\Abteilungsprojekte\Eng\EngData\PROJECT_Bioplastics\Renjie_Pan\05-Raw_Data\Lab_results\[LabSamples2025_Bioplastic_extra.xlsx]extra_Bioplastic'!A157)," ",'Q:\Abteilungsprojekte\Eng\EngData\PROJECT_Bioplastics\Renjie_Pan\05-Raw_Data\Lab_results\[LabSamples2025_Bioplastic_extra.xlsx]extra_Bioplastic'!A157)</f>
        <v/>
      </c>
      <c r="B157">
        <f>IF(ISBLANK('Q:\Abteilungsprojekte\Eng\EngData\PROJECT_Bioplastics\Renjie_Pan\05-Raw_Data\Lab_results\[LabSamples2025_Bioplastic_extra.xlsx]extra_Bioplastic'!B157)," ",'Q:\Abteilungsprojekte\Eng\EngData\PROJECT_Bioplastics\Renjie_Pan\05-Raw_Data\Lab_results\[LabSamples2025_Bioplastic_extra.xlsx]extra_Bioplastic'!B157)</f>
        <v/>
      </c>
      <c r="C157">
        <f>IF(ISBLANK('Q:\Abteilungsprojekte\Eng\EngData\PROJECT_Bioplastics\Renjie_Pan\05-Raw_Data\Lab_results\[LabSamples2025_Bioplastic_extra.xlsx]extra_Bioplastic'!C157)," ",'Q:\Abteilungsprojekte\Eng\EngData\PROJECT_Bioplastics\Renjie_Pan\05-Raw_Data\Lab_results\[LabSamples2025_Bioplastic_extra.xlsx]extra_Bioplastic'!C157)</f>
        <v/>
      </c>
      <c r="D157">
        <f>IF(ISBLANK('Q:\Abteilungsprojekte\Eng\EngData\PROJECT_Bioplastics\Renjie_Pan\05-Raw_Data\Lab_results\[LabSamples2025_Bioplastic_extra.xlsx]extra_Bioplastic'!D157)," ",'Q:\Abteilungsprojekte\Eng\EngData\PROJECT_Bioplastics\Renjie_Pan\05-Raw_Data\Lab_results\[LabSamples2025_Bioplastic_extra.xlsx]extra_Bioplastic'!D157)</f>
        <v/>
      </c>
      <c r="E157">
        <f>IF(ISBLANK('Q:\Abteilungsprojekte\Eng\EngData\PROJECT_Bioplastics\Renjie_Pan\05-Raw_Data\Lab_results\[LabSamples2025_Bioplastic_extra.xlsx]extra_Bioplastic'!E157)," ",'Q:\Abteilungsprojekte\Eng\EngData\PROJECT_Bioplastics\Renjie_Pan\05-Raw_Data\Lab_results\[LabSamples2025_Bioplastic_extra.xlsx]extra_Bioplastic'!E157)</f>
        <v/>
      </c>
      <c r="F157">
        <f>IF(ISBLANK('Q:\Abteilungsprojekte\Eng\EngData\PROJECT_Bioplastics\Renjie_Pan\05-Raw_Data\Lab_results\[LabSamples2025_Bioplastic_extra.xlsx]extra_Bioplastic'!F157)," ",'Q:\Abteilungsprojekte\Eng\EngData\PROJECT_Bioplastics\Renjie_Pan\05-Raw_Data\Lab_results\[LabSamples2025_Bioplastic_extra.xlsx]extra_Bioplastic'!F157)</f>
        <v/>
      </c>
      <c r="G157">
        <f>IF(ISBLANK('Q:\Abteilungsprojekte\Eng\EngData\PROJECT_Bioplastics\Renjie_Pan\05-Raw_Data\Lab_results\[LabSamples2025_Bioplastic_extra.xlsx]extra_Bioplastic'!G157)," ",'Q:\Abteilungsprojekte\Eng\EngData\PROJECT_Bioplastics\Renjie_Pan\05-Raw_Data\Lab_results\[LabSamples2025_Bioplastic_extra.xlsx]extra_Bioplastic'!G157)</f>
        <v/>
      </c>
      <c r="H157">
        <f>IF(ISBLANK('Q:\Abteilungsprojekte\Eng\EngData\PROJECT_Bioplastics\Renjie_Pan\05-Raw_Data\Lab_results\[LabSamples2025_Bioplastic_extra.xlsx]extra_Bioplastic'!H157)," ",'Q:\Abteilungsprojekte\Eng\EngData\PROJECT_Bioplastics\Renjie_Pan\05-Raw_Data\Lab_results\[LabSamples2025_Bioplastic_extra.xlsx]extra_Bioplastic'!H157)</f>
        <v/>
      </c>
    </row>
    <row r="158">
      <c r="A158">
        <f>IF(ISBLANK('Q:\Abteilungsprojekte\Eng\EngData\PROJECT_Bioplastics\Renjie_Pan\05-Raw_Data\Lab_results\[LabSamples2025_Bioplastic_extra.xlsx]extra_Bioplastic'!A158)," ",'Q:\Abteilungsprojekte\Eng\EngData\PROJECT_Bioplastics\Renjie_Pan\05-Raw_Data\Lab_results\[LabSamples2025_Bioplastic_extra.xlsx]extra_Bioplastic'!A158)</f>
        <v/>
      </c>
      <c r="B158">
        <f>IF(ISBLANK('Q:\Abteilungsprojekte\Eng\EngData\PROJECT_Bioplastics\Renjie_Pan\05-Raw_Data\Lab_results\[LabSamples2025_Bioplastic_extra.xlsx]extra_Bioplastic'!B158)," ",'Q:\Abteilungsprojekte\Eng\EngData\PROJECT_Bioplastics\Renjie_Pan\05-Raw_Data\Lab_results\[LabSamples2025_Bioplastic_extra.xlsx]extra_Bioplastic'!B158)</f>
        <v/>
      </c>
      <c r="C158">
        <f>IF(ISBLANK('Q:\Abteilungsprojekte\Eng\EngData\PROJECT_Bioplastics\Renjie_Pan\05-Raw_Data\Lab_results\[LabSamples2025_Bioplastic_extra.xlsx]extra_Bioplastic'!C158)," ",'Q:\Abteilungsprojekte\Eng\EngData\PROJECT_Bioplastics\Renjie_Pan\05-Raw_Data\Lab_results\[LabSamples2025_Bioplastic_extra.xlsx]extra_Bioplastic'!C158)</f>
        <v/>
      </c>
      <c r="D158">
        <f>IF(ISBLANK('Q:\Abteilungsprojekte\Eng\EngData\PROJECT_Bioplastics\Renjie_Pan\05-Raw_Data\Lab_results\[LabSamples2025_Bioplastic_extra.xlsx]extra_Bioplastic'!D158)," ",'Q:\Abteilungsprojekte\Eng\EngData\PROJECT_Bioplastics\Renjie_Pan\05-Raw_Data\Lab_results\[LabSamples2025_Bioplastic_extra.xlsx]extra_Bioplastic'!D158)</f>
        <v/>
      </c>
      <c r="E158">
        <f>IF(ISBLANK('Q:\Abteilungsprojekte\Eng\EngData\PROJECT_Bioplastics\Renjie_Pan\05-Raw_Data\Lab_results\[LabSamples2025_Bioplastic_extra.xlsx]extra_Bioplastic'!E158)," ",'Q:\Abteilungsprojekte\Eng\EngData\PROJECT_Bioplastics\Renjie_Pan\05-Raw_Data\Lab_results\[LabSamples2025_Bioplastic_extra.xlsx]extra_Bioplastic'!E158)</f>
        <v/>
      </c>
      <c r="F158">
        <f>IF(ISBLANK('Q:\Abteilungsprojekte\Eng\EngData\PROJECT_Bioplastics\Renjie_Pan\05-Raw_Data\Lab_results\[LabSamples2025_Bioplastic_extra.xlsx]extra_Bioplastic'!F158)," ",'Q:\Abteilungsprojekte\Eng\EngData\PROJECT_Bioplastics\Renjie_Pan\05-Raw_Data\Lab_results\[LabSamples2025_Bioplastic_extra.xlsx]extra_Bioplastic'!F158)</f>
        <v/>
      </c>
      <c r="G158">
        <f>IF(ISBLANK('Q:\Abteilungsprojekte\Eng\EngData\PROJECT_Bioplastics\Renjie_Pan\05-Raw_Data\Lab_results\[LabSamples2025_Bioplastic_extra.xlsx]extra_Bioplastic'!G158)," ",'Q:\Abteilungsprojekte\Eng\EngData\PROJECT_Bioplastics\Renjie_Pan\05-Raw_Data\Lab_results\[LabSamples2025_Bioplastic_extra.xlsx]extra_Bioplastic'!G158)</f>
        <v/>
      </c>
      <c r="H158">
        <f>IF(ISBLANK('Q:\Abteilungsprojekte\Eng\EngData\PROJECT_Bioplastics\Renjie_Pan\05-Raw_Data\Lab_results\[LabSamples2025_Bioplastic_extra.xlsx]extra_Bioplastic'!H158)," ",'Q:\Abteilungsprojekte\Eng\EngData\PROJECT_Bioplastics\Renjie_Pan\05-Raw_Data\Lab_results\[LabSamples2025_Bioplastic_extra.xlsx]extra_Bioplastic'!H158)</f>
        <v/>
      </c>
    </row>
    <row r="159">
      <c r="A159">
        <f>IF(ISBLANK('Q:\Abteilungsprojekte\Eng\EngData\PROJECT_Bioplastics\Renjie_Pan\05-Raw_Data\Lab_results\[LabSamples2025_Bioplastic_extra.xlsx]extra_Bioplastic'!A159)," ",'Q:\Abteilungsprojekte\Eng\EngData\PROJECT_Bioplastics\Renjie_Pan\05-Raw_Data\Lab_results\[LabSamples2025_Bioplastic_extra.xlsx]extra_Bioplastic'!A159)</f>
        <v/>
      </c>
      <c r="B159">
        <f>IF(ISBLANK('Q:\Abteilungsprojekte\Eng\EngData\PROJECT_Bioplastics\Renjie_Pan\05-Raw_Data\Lab_results\[LabSamples2025_Bioplastic_extra.xlsx]extra_Bioplastic'!B159)," ",'Q:\Abteilungsprojekte\Eng\EngData\PROJECT_Bioplastics\Renjie_Pan\05-Raw_Data\Lab_results\[LabSamples2025_Bioplastic_extra.xlsx]extra_Bioplastic'!B159)</f>
        <v/>
      </c>
      <c r="C159">
        <f>IF(ISBLANK('Q:\Abteilungsprojekte\Eng\EngData\PROJECT_Bioplastics\Renjie_Pan\05-Raw_Data\Lab_results\[LabSamples2025_Bioplastic_extra.xlsx]extra_Bioplastic'!C159)," ",'Q:\Abteilungsprojekte\Eng\EngData\PROJECT_Bioplastics\Renjie_Pan\05-Raw_Data\Lab_results\[LabSamples2025_Bioplastic_extra.xlsx]extra_Bioplastic'!C159)</f>
        <v/>
      </c>
      <c r="D159">
        <f>IF(ISBLANK('Q:\Abteilungsprojekte\Eng\EngData\PROJECT_Bioplastics\Renjie_Pan\05-Raw_Data\Lab_results\[LabSamples2025_Bioplastic_extra.xlsx]extra_Bioplastic'!D159)," ",'Q:\Abteilungsprojekte\Eng\EngData\PROJECT_Bioplastics\Renjie_Pan\05-Raw_Data\Lab_results\[LabSamples2025_Bioplastic_extra.xlsx]extra_Bioplastic'!D159)</f>
        <v/>
      </c>
      <c r="E159">
        <f>IF(ISBLANK('Q:\Abteilungsprojekte\Eng\EngData\PROJECT_Bioplastics\Renjie_Pan\05-Raw_Data\Lab_results\[LabSamples2025_Bioplastic_extra.xlsx]extra_Bioplastic'!E159)," ",'Q:\Abteilungsprojekte\Eng\EngData\PROJECT_Bioplastics\Renjie_Pan\05-Raw_Data\Lab_results\[LabSamples2025_Bioplastic_extra.xlsx]extra_Bioplastic'!E159)</f>
        <v/>
      </c>
      <c r="F159">
        <f>IF(ISBLANK('Q:\Abteilungsprojekte\Eng\EngData\PROJECT_Bioplastics\Renjie_Pan\05-Raw_Data\Lab_results\[LabSamples2025_Bioplastic_extra.xlsx]extra_Bioplastic'!F159)," ",'Q:\Abteilungsprojekte\Eng\EngData\PROJECT_Bioplastics\Renjie_Pan\05-Raw_Data\Lab_results\[LabSamples2025_Bioplastic_extra.xlsx]extra_Bioplastic'!F159)</f>
        <v/>
      </c>
      <c r="G159">
        <f>IF(ISBLANK('Q:\Abteilungsprojekte\Eng\EngData\PROJECT_Bioplastics\Renjie_Pan\05-Raw_Data\Lab_results\[LabSamples2025_Bioplastic_extra.xlsx]extra_Bioplastic'!G159)," ",'Q:\Abteilungsprojekte\Eng\EngData\PROJECT_Bioplastics\Renjie_Pan\05-Raw_Data\Lab_results\[LabSamples2025_Bioplastic_extra.xlsx]extra_Bioplastic'!G159)</f>
        <v/>
      </c>
      <c r="H159">
        <f>IF(ISBLANK('Q:\Abteilungsprojekte\Eng\EngData\PROJECT_Bioplastics\Renjie_Pan\05-Raw_Data\Lab_results\[LabSamples2025_Bioplastic_extra.xlsx]extra_Bioplastic'!H159)," ",'Q:\Abteilungsprojekte\Eng\EngData\PROJECT_Bioplastics\Renjie_Pan\05-Raw_Data\Lab_results\[LabSamples2025_Bioplastic_extra.xlsx]extra_Bioplastic'!H159)</f>
        <v/>
      </c>
    </row>
    <row r="160">
      <c r="A160">
        <f>IF(ISBLANK('Q:\Abteilungsprojekte\Eng\EngData\PROJECT_Bioplastics\Renjie_Pan\05-Raw_Data\Lab_results\[LabSamples2025_Bioplastic_extra.xlsx]extra_Bioplastic'!A160)," ",'Q:\Abteilungsprojekte\Eng\EngData\PROJECT_Bioplastics\Renjie_Pan\05-Raw_Data\Lab_results\[LabSamples2025_Bioplastic_extra.xlsx]extra_Bioplastic'!A160)</f>
        <v/>
      </c>
      <c r="B160">
        <f>IF(ISBLANK('Q:\Abteilungsprojekte\Eng\EngData\PROJECT_Bioplastics\Renjie_Pan\05-Raw_Data\Lab_results\[LabSamples2025_Bioplastic_extra.xlsx]extra_Bioplastic'!B160)," ",'Q:\Abteilungsprojekte\Eng\EngData\PROJECT_Bioplastics\Renjie_Pan\05-Raw_Data\Lab_results\[LabSamples2025_Bioplastic_extra.xlsx]extra_Bioplastic'!B160)</f>
        <v/>
      </c>
      <c r="C160">
        <f>IF(ISBLANK('Q:\Abteilungsprojekte\Eng\EngData\PROJECT_Bioplastics\Renjie_Pan\05-Raw_Data\Lab_results\[LabSamples2025_Bioplastic_extra.xlsx]extra_Bioplastic'!C160)," ",'Q:\Abteilungsprojekte\Eng\EngData\PROJECT_Bioplastics\Renjie_Pan\05-Raw_Data\Lab_results\[LabSamples2025_Bioplastic_extra.xlsx]extra_Bioplastic'!C160)</f>
        <v/>
      </c>
      <c r="D160">
        <f>IF(ISBLANK('Q:\Abteilungsprojekte\Eng\EngData\PROJECT_Bioplastics\Renjie_Pan\05-Raw_Data\Lab_results\[LabSamples2025_Bioplastic_extra.xlsx]extra_Bioplastic'!D160)," ",'Q:\Abteilungsprojekte\Eng\EngData\PROJECT_Bioplastics\Renjie_Pan\05-Raw_Data\Lab_results\[LabSamples2025_Bioplastic_extra.xlsx]extra_Bioplastic'!D160)</f>
        <v/>
      </c>
      <c r="E160">
        <f>IF(ISBLANK('Q:\Abteilungsprojekte\Eng\EngData\PROJECT_Bioplastics\Renjie_Pan\05-Raw_Data\Lab_results\[LabSamples2025_Bioplastic_extra.xlsx]extra_Bioplastic'!E160)," ",'Q:\Abteilungsprojekte\Eng\EngData\PROJECT_Bioplastics\Renjie_Pan\05-Raw_Data\Lab_results\[LabSamples2025_Bioplastic_extra.xlsx]extra_Bioplastic'!E160)</f>
        <v/>
      </c>
      <c r="F160">
        <f>IF(ISBLANK('Q:\Abteilungsprojekte\Eng\EngData\PROJECT_Bioplastics\Renjie_Pan\05-Raw_Data\Lab_results\[LabSamples2025_Bioplastic_extra.xlsx]extra_Bioplastic'!F160)," ",'Q:\Abteilungsprojekte\Eng\EngData\PROJECT_Bioplastics\Renjie_Pan\05-Raw_Data\Lab_results\[LabSamples2025_Bioplastic_extra.xlsx]extra_Bioplastic'!F160)</f>
        <v/>
      </c>
      <c r="G160">
        <f>IF(ISBLANK('Q:\Abteilungsprojekte\Eng\EngData\PROJECT_Bioplastics\Renjie_Pan\05-Raw_Data\Lab_results\[LabSamples2025_Bioplastic_extra.xlsx]extra_Bioplastic'!G160)," ",'Q:\Abteilungsprojekte\Eng\EngData\PROJECT_Bioplastics\Renjie_Pan\05-Raw_Data\Lab_results\[LabSamples2025_Bioplastic_extra.xlsx]extra_Bioplastic'!G160)</f>
        <v/>
      </c>
      <c r="H160">
        <f>IF(ISBLANK('Q:\Abteilungsprojekte\Eng\EngData\PROJECT_Bioplastics\Renjie_Pan\05-Raw_Data\Lab_results\[LabSamples2025_Bioplastic_extra.xlsx]extra_Bioplastic'!H160)," ",'Q:\Abteilungsprojekte\Eng\EngData\PROJECT_Bioplastics\Renjie_Pan\05-Raw_Data\Lab_results\[LabSamples2025_Bioplastic_extra.xlsx]extra_Bioplastic'!H160)</f>
        <v/>
      </c>
    </row>
    <row r="161">
      <c r="A161">
        <f>IF(ISBLANK('Q:\Abteilungsprojekte\Eng\EngData\PROJECT_Bioplastics\Renjie_Pan\05-Raw_Data\Lab_results\[LabSamples2025_Bioplastic_extra.xlsx]extra_Bioplastic'!A161)," ",'Q:\Abteilungsprojekte\Eng\EngData\PROJECT_Bioplastics\Renjie_Pan\05-Raw_Data\Lab_results\[LabSamples2025_Bioplastic_extra.xlsx]extra_Bioplastic'!A161)</f>
        <v/>
      </c>
      <c r="B161">
        <f>IF(ISBLANK('Q:\Abteilungsprojekte\Eng\EngData\PROJECT_Bioplastics\Renjie_Pan\05-Raw_Data\Lab_results\[LabSamples2025_Bioplastic_extra.xlsx]extra_Bioplastic'!B161)," ",'Q:\Abteilungsprojekte\Eng\EngData\PROJECT_Bioplastics\Renjie_Pan\05-Raw_Data\Lab_results\[LabSamples2025_Bioplastic_extra.xlsx]extra_Bioplastic'!B161)</f>
        <v/>
      </c>
      <c r="C161">
        <f>IF(ISBLANK('Q:\Abteilungsprojekte\Eng\EngData\PROJECT_Bioplastics\Renjie_Pan\05-Raw_Data\Lab_results\[LabSamples2025_Bioplastic_extra.xlsx]extra_Bioplastic'!C161)," ",'Q:\Abteilungsprojekte\Eng\EngData\PROJECT_Bioplastics\Renjie_Pan\05-Raw_Data\Lab_results\[LabSamples2025_Bioplastic_extra.xlsx]extra_Bioplastic'!C161)</f>
        <v/>
      </c>
      <c r="D161">
        <f>IF(ISBLANK('Q:\Abteilungsprojekte\Eng\EngData\PROJECT_Bioplastics\Renjie_Pan\05-Raw_Data\Lab_results\[LabSamples2025_Bioplastic_extra.xlsx]extra_Bioplastic'!D161)," ",'Q:\Abteilungsprojekte\Eng\EngData\PROJECT_Bioplastics\Renjie_Pan\05-Raw_Data\Lab_results\[LabSamples2025_Bioplastic_extra.xlsx]extra_Bioplastic'!D161)</f>
        <v/>
      </c>
      <c r="E161">
        <f>IF(ISBLANK('Q:\Abteilungsprojekte\Eng\EngData\PROJECT_Bioplastics\Renjie_Pan\05-Raw_Data\Lab_results\[LabSamples2025_Bioplastic_extra.xlsx]extra_Bioplastic'!E161)," ",'Q:\Abteilungsprojekte\Eng\EngData\PROJECT_Bioplastics\Renjie_Pan\05-Raw_Data\Lab_results\[LabSamples2025_Bioplastic_extra.xlsx]extra_Bioplastic'!E161)</f>
        <v/>
      </c>
      <c r="F161">
        <f>IF(ISBLANK('Q:\Abteilungsprojekte\Eng\EngData\PROJECT_Bioplastics\Renjie_Pan\05-Raw_Data\Lab_results\[LabSamples2025_Bioplastic_extra.xlsx]extra_Bioplastic'!F161)," ",'Q:\Abteilungsprojekte\Eng\EngData\PROJECT_Bioplastics\Renjie_Pan\05-Raw_Data\Lab_results\[LabSamples2025_Bioplastic_extra.xlsx]extra_Bioplastic'!F161)</f>
        <v/>
      </c>
      <c r="G161">
        <f>IF(ISBLANK('Q:\Abteilungsprojekte\Eng\EngData\PROJECT_Bioplastics\Renjie_Pan\05-Raw_Data\Lab_results\[LabSamples2025_Bioplastic_extra.xlsx]extra_Bioplastic'!G161)," ",'Q:\Abteilungsprojekte\Eng\EngData\PROJECT_Bioplastics\Renjie_Pan\05-Raw_Data\Lab_results\[LabSamples2025_Bioplastic_extra.xlsx]extra_Bioplastic'!G161)</f>
        <v/>
      </c>
      <c r="H161">
        <f>IF(ISBLANK('Q:\Abteilungsprojekte\Eng\EngData\PROJECT_Bioplastics\Renjie_Pan\05-Raw_Data\Lab_results\[LabSamples2025_Bioplastic_extra.xlsx]extra_Bioplastic'!H161)," ",'Q:\Abteilungsprojekte\Eng\EngData\PROJECT_Bioplastics\Renjie_Pan\05-Raw_Data\Lab_results\[LabSamples2025_Bioplastic_extra.xlsx]extra_Bioplastic'!H161)</f>
        <v/>
      </c>
    </row>
    <row r="162">
      <c r="A162">
        <f>IF(ISBLANK('Q:\Abteilungsprojekte\Eng\EngData\PROJECT_Bioplastics\Renjie_Pan\05-Raw_Data\Lab_results\[LabSamples2025_Bioplastic_extra.xlsx]extra_Bioplastic'!A162)," ",'Q:\Abteilungsprojekte\Eng\EngData\PROJECT_Bioplastics\Renjie_Pan\05-Raw_Data\Lab_results\[LabSamples2025_Bioplastic_extra.xlsx]extra_Bioplastic'!A162)</f>
        <v/>
      </c>
      <c r="B162">
        <f>IF(ISBLANK('Q:\Abteilungsprojekte\Eng\EngData\PROJECT_Bioplastics\Renjie_Pan\05-Raw_Data\Lab_results\[LabSamples2025_Bioplastic_extra.xlsx]extra_Bioplastic'!B162)," ",'Q:\Abteilungsprojekte\Eng\EngData\PROJECT_Bioplastics\Renjie_Pan\05-Raw_Data\Lab_results\[LabSamples2025_Bioplastic_extra.xlsx]extra_Bioplastic'!B162)</f>
        <v/>
      </c>
      <c r="C162">
        <f>IF(ISBLANK('Q:\Abteilungsprojekte\Eng\EngData\PROJECT_Bioplastics\Renjie_Pan\05-Raw_Data\Lab_results\[LabSamples2025_Bioplastic_extra.xlsx]extra_Bioplastic'!C162)," ",'Q:\Abteilungsprojekte\Eng\EngData\PROJECT_Bioplastics\Renjie_Pan\05-Raw_Data\Lab_results\[LabSamples2025_Bioplastic_extra.xlsx]extra_Bioplastic'!C162)</f>
        <v/>
      </c>
      <c r="D162">
        <f>IF(ISBLANK('Q:\Abteilungsprojekte\Eng\EngData\PROJECT_Bioplastics\Renjie_Pan\05-Raw_Data\Lab_results\[LabSamples2025_Bioplastic_extra.xlsx]extra_Bioplastic'!D162)," ",'Q:\Abteilungsprojekte\Eng\EngData\PROJECT_Bioplastics\Renjie_Pan\05-Raw_Data\Lab_results\[LabSamples2025_Bioplastic_extra.xlsx]extra_Bioplastic'!D162)</f>
        <v/>
      </c>
      <c r="E162">
        <f>IF(ISBLANK('Q:\Abteilungsprojekte\Eng\EngData\PROJECT_Bioplastics\Renjie_Pan\05-Raw_Data\Lab_results\[LabSamples2025_Bioplastic_extra.xlsx]extra_Bioplastic'!E162)," ",'Q:\Abteilungsprojekte\Eng\EngData\PROJECT_Bioplastics\Renjie_Pan\05-Raw_Data\Lab_results\[LabSamples2025_Bioplastic_extra.xlsx]extra_Bioplastic'!E162)</f>
        <v/>
      </c>
      <c r="F162">
        <f>IF(ISBLANK('Q:\Abteilungsprojekte\Eng\EngData\PROJECT_Bioplastics\Renjie_Pan\05-Raw_Data\Lab_results\[LabSamples2025_Bioplastic_extra.xlsx]extra_Bioplastic'!F162)," ",'Q:\Abteilungsprojekte\Eng\EngData\PROJECT_Bioplastics\Renjie_Pan\05-Raw_Data\Lab_results\[LabSamples2025_Bioplastic_extra.xlsx]extra_Bioplastic'!F162)</f>
        <v/>
      </c>
      <c r="G162">
        <f>IF(ISBLANK('Q:\Abteilungsprojekte\Eng\EngData\PROJECT_Bioplastics\Renjie_Pan\05-Raw_Data\Lab_results\[LabSamples2025_Bioplastic_extra.xlsx]extra_Bioplastic'!G162)," ",'Q:\Abteilungsprojekte\Eng\EngData\PROJECT_Bioplastics\Renjie_Pan\05-Raw_Data\Lab_results\[LabSamples2025_Bioplastic_extra.xlsx]extra_Bioplastic'!G162)</f>
        <v/>
      </c>
      <c r="H162">
        <f>IF(ISBLANK('Q:\Abteilungsprojekte\Eng\EngData\PROJECT_Bioplastics\Renjie_Pan\05-Raw_Data\Lab_results\[LabSamples2025_Bioplastic_extra.xlsx]extra_Bioplastic'!H162)," ",'Q:\Abteilungsprojekte\Eng\EngData\PROJECT_Bioplastics\Renjie_Pan\05-Raw_Data\Lab_results\[LabSamples2025_Bioplastic_extra.xlsx]extra_Bioplastic'!H162)</f>
        <v/>
      </c>
    </row>
    <row r="163">
      <c r="A163">
        <f>IF(ISBLANK('Q:\Abteilungsprojekte\Eng\EngData\PROJECT_Bioplastics\Renjie_Pan\05-Raw_Data\Lab_results\[LabSamples2025_Bioplastic_extra.xlsx]extra_Bioplastic'!A163)," ",'Q:\Abteilungsprojekte\Eng\EngData\PROJECT_Bioplastics\Renjie_Pan\05-Raw_Data\Lab_results\[LabSamples2025_Bioplastic_extra.xlsx]extra_Bioplastic'!A163)</f>
        <v/>
      </c>
      <c r="B163">
        <f>IF(ISBLANK('Q:\Abteilungsprojekte\Eng\EngData\PROJECT_Bioplastics\Renjie_Pan\05-Raw_Data\Lab_results\[LabSamples2025_Bioplastic_extra.xlsx]extra_Bioplastic'!B163)," ",'Q:\Abteilungsprojekte\Eng\EngData\PROJECT_Bioplastics\Renjie_Pan\05-Raw_Data\Lab_results\[LabSamples2025_Bioplastic_extra.xlsx]extra_Bioplastic'!B163)</f>
        <v/>
      </c>
      <c r="C163">
        <f>IF(ISBLANK('Q:\Abteilungsprojekte\Eng\EngData\PROJECT_Bioplastics\Renjie_Pan\05-Raw_Data\Lab_results\[LabSamples2025_Bioplastic_extra.xlsx]extra_Bioplastic'!C163)," ",'Q:\Abteilungsprojekte\Eng\EngData\PROJECT_Bioplastics\Renjie_Pan\05-Raw_Data\Lab_results\[LabSamples2025_Bioplastic_extra.xlsx]extra_Bioplastic'!C163)</f>
        <v/>
      </c>
      <c r="D163">
        <f>IF(ISBLANK('Q:\Abteilungsprojekte\Eng\EngData\PROJECT_Bioplastics\Renjie_Pan\05-Raw_Data\Lab_results\[LabSamples2025_Bioplastic_extra.xlsx]extra_Bioplastic'!D163)," ",'Q:\Abteilungsprojekte\Eng\EngData\PROJECT_Bioplastics\Renjie_Pan\05-Raw_Data\Lab_results\[LabSamples2025_Bioplastic_extra.xlsx]extra_Bioplastic'!D163)</f>
        <v/>
      </c>
      <c r="E163">
        <f>IF(ISBLANK('Q:\Abteilungsprojekte\Eng\EngData\PROJECT_Bioplastics\Renjie_Pan\05-Raw_Data\Lab_results\[LabSamples2025_Bioplastic_extra.xlsx]extra_Bioplastic'!E163)," ",'Q:\Abteilungsprojekte\Eng\EngData\PROJECT_Bioplastics\Renjie_Pan\05-Raw_Data\Lab_results\[LabSamples2025_Bioplastic_extra.xlsx]extra_Bioplastic'!E163)</f>
        <v/>
      </c>
      <c r="F163">
        <f>IF(ISBLANK('Q:\Abteilungsprojekte\Eng\EngData\PROJECT_Bioplastics\Renjie_Pan\05-Raw_Data\Lab_results\[LabSamples2025_Bioplastic_extra.xlsx]extra_Bioplastic'!F163)," ",'Q:\Abteilungsprojekte\Eng\EngData\PROJECT_Bioplastics\Renjie_Pan\05-Raw_Data\Lab_results\[LabSamples2025_Bioplastic_extra.xlsx]extra_Bioplastic'!F163)</f>
        <v/>
      </c>
      <c r="G163">
        <f>IF(ISBLANK('Q:\Abteilungsprojekte\Eng\EngData\PROJECT_Bioplastics\Renjie_Pan\05-Raw_Data\Lab_results\[LabSamples2025_Bioplastic_extra.xlsx]extra_Bioplastic'!G163)," ",'Q:\Abteilungsprojekte\Eng\EngData\PROJECT_Bioplastics\Renjie_Pan\05-Raw_Data\Lab_results\[LabSamples2025_Bioplastic_extra.xlsx]extra_Bioplastic'!G163)</f>
        <v/>
      </c>
      <c r="H163">
        <f>IF(ISBLANK('Q:\Abteilungsprojekte\Eng\EngData\PROJECT_Bioplastics\Renjie_Pan\05-Raw_Data\Lab_results\[LabSamples2025_Bioplastic_extra.xlsx]extra_Bioplastic'!H163)," ",'Q:\Abteilungsprojekte\Eng\EngData\PROJECT_Bioplastics\Renjie_Pan\05-Raw_Data\Lab_results\[LabSamples2025_Bioplastic_extra.xlsx]extra_Bioplastic'!H163)</f>
        <v/>
      </c>
    </row>
    <row r="164">
      <c r="A164">
        <f>IF(ISBLANK('Q:\Abteilungsprojekte\Eng\EngData\PROJECT_Bioplastics\Renjie_Pan\05-Raw_Data\Lab_results\[LabSamples2025_Bioplastic_extra.xlsx]extra_Bioplastic'!A164)," ",'Q:\Abteilungsprojekte\Eng\EngData\PROJECT_Bioplastics\Renjie_Pan\05-Raw_Data\Lab_results\[LabSamples2025_Bioplastic_extra.xlsx]extra_Bioplastic'!A164)</f>
        <v/>
      </c>
      <c r="B164">
        <f>IF(ISBLANK('Q:\Abteilungsprojekte\Eng\EngData\PROJECT_Bioplastics\Renjie_Pan\05-Raw_Data\Lab_results\[LabSamples2025_Bioplastic_extra.xlsx]extra_Bioplastic'!B164)," ",'Q:\Abteilungsprojekte\Eng\EngData\PROJECT_Bioplastics\Renjie_Pan\05-Raw_Data\Lab_results\[LabSamples2025_Bioplastic_extra.xlsx]extra_Bioplastic'!B164)</f>
        <v/>
      </c>
      <c r="C164">
        <f>IF(ISBLANK('Q:\Abteilungsprojekte\Eng\EngData\PROJECT_Bioplastics\Renjie_Pan\05-Raw_Data\Lab_results\[LabSamples2025_Bioplastic_extra.xlsx]extra_Bioplastic'!C164)," ",'Q:\Abteilungsprojekte\Eng\EngData\PROJECT_Bioplastics\Renjie_Pan\05-Raw_Data\Lab_results\[LabSamples2025_Bioplastic_extra.xlsx]extra_Bioplastic'!C164)</f>
        <v/>
      </c>
      <c r="D164">
        <f>IF(ISBLANK('Q:\Abteilungsprojekte\Eng\EngData\PROJECT_Bioplastics\Renjie_Pan\05-Raw_Data\Lab_results\[LabSamples2025_Bioplastic_extra.xlsx]extra_Bioplastic'!D164)," ",'Q:\Abteilungsprojekte\Eng\EngData\PROJECT_Bioplastics\Renjie_Pan\05-Raw_Data\Lab_results\[LabSamples2025_Bioplastic_extra.xlsx]extra_Bioplastic'!D164)</f>
        <v/>
      </c>
      <c r="E164">
        <f>IF(ISBLANK('Q:\Abteilungsprojekte\Eng\EngData\PROJECT_Bioplastics\Renjie_Pan\05-Raw_Data\Lab_results\[LabSamples2025_Bioplastic_extra.xlsx]extra_Bioplastic'!E164)," ",'Q:\Abteilungsprojekte\Eng\EngData\PROJECT_Bioplastics\Renjie_Pan\05-Raw_Data\Lab_results\[LabSamples2025_Bioplastic_extra.xlsx]extra_Bioplastic'!E164)</f>
        <v/>
      </c>
      <c r="F164">
        <f>IF(ISBLANK('Q:\Abteilungsprojekte\Eng\EngData\PROJECT_Bioplastics\Renjie_Pan\05-Raw_Data\Lab_results\[LabSamples2025_Bioplastic_extra.xlsx]extra_Bioplastic'!F164)," ",'Q:\Abteilungsprojekte\Eng\EngData\PROJECT_Bioplastics\Renjie_Pan\05-Raw_Data\Lab_results\[LabSamples2025_Bioplastic_extra.xlsx]extra_Bioplastic'!F164)</f>
        <v/>
      </c>
      <c r="G164">
        <f>IF(ISBLANK('Q:\Abteilungsprojekte\Eng\EngData\PROJECT_Bioplastics\Renjie_Pan\05-Raw_Data\Lab_results\[LabSamples2025_Bioplastic_extra.xlsx]extra_Bioplastic'!G164)," ",'Q:\Abteilungsprojekte\Eng\EngData\PROJECT_Bioplastics\Renjie_Pan\05-Raw_Data\Lab_results\[LabSamples2025_Bioplastic_extra.xlsx]extra_Bioplastic'!G164)</f>
        <v/>
      </c>
      <c r="H164">
        <f>IF(ISBLANK('Q:\Abteilungsprojekte\Eng\EngData\PROJECT_Bioplastics\Renjie_Pan\05-Raw_Data\Lab_results\[LabSamples2025_Bioplastic_extra.xlsx]extra_Bioplastic'!H164)," ",'Q:\Abteilungsprojekte\Eng\EngData\PROJECT_Bioplastics\Renjie_Pan\05-Raw_Data\Lab_results\[LabSamples2025_Bioplastic_extra.xlsx]extra_Bioplastic'!H164)</f>
        <v/>
      </c>
    </row>
    <row r="165">
      <c r="A165">
        <f>IF(ISBLANK('Q:\Abteilungsprojekte\Eng\EngData\PROJECT_Bioplastics\Renjie_Pan\05-Raw_Data\Lab_results\[LabSamples2025_Bioplastic_extra.xlsx]extra_Bioplastic'!A165)," ",'Q:\Abteilungsprojekte\Eng\EngData\PROJECT_Bioplastics\Renjie_Pan\05-Raw_Data\Lab_results\[LabSamples2025_Bioplastic_extra.xlsx]extra_Bioplastic'!A165)</f>
        <v/>
      </c>
      <c r="B165">
        <f>IF(ISBLANK('Q:\Abteilungsprojekte\Eng\EngData\PROJECT_Bioplastics\Renjie_Pan\05-Raw_Data\Lab_results\[LabSamples2025_Bioplastic_extra.xlsx]extra_Bioplastic'!B165)," ",'Q:\Abteilungsprojekte\Eng\EngData\PROJECT_Bioplastics\Renjie_Pan\05-Raw_Data\Lab_results\[LabSamples2025_Bioplastic_extra.xlsx]extra_Bioplastic'!B165)</f>
        <v/>
      </c>
      <c r="C165">
        <f>IF(ISBLANK('Q:\Abteilungsprojekte\Eng\EngData\PROJECT_Bioplastics\Renjie_Pan\05-Raw_Data\Lab_results\[LabSamples2025_Bioplastic_extra.xlsx]extra_Bioplastic'!C165)," ",'Q:\Abteilungsprojekte\Eng\EngData\PROJECT_Bioplastics\Renjie_Pan\05-Raw_Data\Lab_results\[LabSamples2025_Bioplastic_extra.xlsx]extra_Bioplastic'!C165)</f>
        <v/>
      </c>
      <c r="D165">
        <f>IF(ISBLANK('Q:\Abteilungsprojekte\Eng\EngData\PROJECT_Bioplastics\Renjie_Pan\05-Raw_Data\Lab_results\[LabSamples2025_Bioplastic_extra.xlsx]extra_Bioplastic'!D165)," ",'Q:\Abteilungsprojekte\Eng\EngData\PROJECT_Bioplastics\Renjie_Pan\05-Raw_Data\Lab_results\[LabSamples2025_Bioplastic_extra.xlsx]extra_Bioplastic'!D165)</f>
        <v/>
      </c>
      <c r="E165">
        <f>IF(ISBLANK('Q:\Abteilungsprojekte\Eng\EngData\PROJECT_Bioplastics\Renjie_Pan\05-Raw_Data\Lab_results\[LabSamples2025_Bioplastic_extra.xlsx]extra_Bioplastic'!E165)," ",'Q:\Abteilungsprojekte\Eng\EngData\PROJECT_Bioplastics\Renjie_Pan\05-Raw_Data\Lab_results\[LabSamples2025_Bioplastic_extra.xlsx]extra_Bioplastic'!E165)</f>
        <v/>
      </c>
      <c r="F165">
        <f>IF(ISBLANK('Q:\Abteilungsprojekte\Eng\EngData\PROJECT_Bioplastics\Renjie_Pan\05-Raw_Data\Lab_results\[LabSamples2025_Bioplastic_extra.xlsx]extra_Bioplastic'!F165)," ",'Q:\Abteilungsprojekte\Eng\EngData\PROJECT_Bioplastics\Renjie_Pan\05-Raw_Data\Lab_results\[LabSamples2025_Bioplastic_extra.xlsx]extra_Bioplastic'!F165)</f>
        <v/>
      </c>
      <c r="G165">
        <f>IF(ISBLANK('Q:\Abteilungsprojekte\Eng\EngData\PROJECT_Bioplastics\Renjie_Pan\05-Raw_Data\Lab_results\[LabSamples2025_Bioplastic_extra.xlsx]extra_Bioplastic'!G165)," ",'Q:\Abteilungsprojekte\Eng\EngData\PROJECT_Bioplastics\Renjie_Pan\05-Raw_Data\Lab_results\[LabSamples2025_Bioplastic_extra.xlsx]extra_Bioplastic'!G165)</f>
        <v/>
      </c>
      <c r="H165">
        <f>IF(ISBLANK('Q:\Abteilungsprojekte\Eng\EngData\PROJECT_Bioplastics\Renjie_Pan\05-Raw_Data\Lab_results\[LabSamples2025_Bioplastic_extra.xlsx]extra_Bioplastic'!H165)," ",'Q:\Abteilungsprojekte\Eng\EngData\PROJECT_Bioplastics\Renjie_Pan\05-Raw_Data\Lab_results\[LabSamples2025_Bioplastic_extra.xlsx]extra_Bioplastic'!H165)</f>
        <v/>
      </c>
    </row>
    <row r="166">
      <c r="A166">
        <f>IF(ISBLANK('Q:\Abteilungsprojekte\Eng\EngData\PROJECT_Bioplastics\Renjie_Pan\05-Raw_Data\Lab_results\[LabSamples2025_Bioplastic_extra.xlsx]extra_Bioplastic'!A166)," ",'Q:\Abteilungsprojekte\Eng\EngData\PROJECT_Bioplastics\Renjie_Pan\05-Raw_Data\Lab_results\[LabSamples2025_Bioplastic_extra.xlsx]extra_Bioplastic'!A166)</f>
        <v/>
      </c>
      <c r="B166">
        <f>IF(ISBLANK('Q:\Abteilungsprojekte\Eng\EngData\PROJECT_Bioplastics\Renjie_Pan\05-Raw_Data\Lab_results\[LabSamples2025_Bioplastic_extra.xlsx]extra_Bioplastic'!B166)," ",'Q:\Abteilungsprojekte\Eng\EngData\PROJECT_Bioplastics\Renjie_Pan\05-Raw_Data\Lab_results\[LabSamples2025_Bioplastic_extra.xlsx]extra_Bioplastic'!B166)</f>
        <v/>
      </c>
      <c r="C166">
        <f>IF(ISBLANK('Q:\Abteilungsprojekte\Eng\EngData\PROJECT_Bioplastics\Renjie_Pan\05-Raw_Data\Lab_results\[LabSamples2025_Bioplastic_extra.xlsx]extra_Bioplastic'!C166)," ",'Q:\Abteilungsprojekte\Eng\EngData\PROJECT_Bioplastics\Renjie_Pan\05-Raw_Data\Lab_results\[LabSamples2025_Bioplastic_extra.xlsx]extra_Bioplastic'!C166)</f>
        <v/>
      </c>
      <c r="D166">
        <f>IF(ISBLANK('Q:\Abteilungsprojekte\Eng\EngData\PROJECT_Bioplastics\Renjie_Pan\05-Raw_Data\Lab_results\[LabSamples2025_Bioplastic_extra.xlsx]extra_Bioplastic'!D166)," ",'Q:\Abteilungsprojekte\Eng\EngData\PROJECT_Bioplastics\Renjie_Pan\05-Raw_Data\Lab_results\[LabSamples2025_Bioplastic_extra.xlsx]extra_Bioplastic'!D166)</f>
        <v/>
      </c>
      <c r="E166">
        <f>IF(ISBLANK('Q:\Abteilungsprojekte\Eng\EngData\PROJECT_Bioplastics\Renjie_Pan\05-Raw_Data\Lab_results\[LabSamples2025_Bioplastic_extra.xlsx]extra_Bioplastic'!E166)," ",'Q:\Abteilungsprojekte\Eng\EngData\PROJECT_Bioplastics\Renjie_Pan\05-Raw_Data\Lab_results\[LabSamples2025_Bioplastic_extra.xlsx]extra_Bioplastic'!E166)</f>
        <v/>
      </c>
      <c r="F166">
        <f>IF(ISBLANK('Q:\Abteilungsprojekte\Eng\EngData\PROJECT_Bioplastics\Renjie_Pan\05-Raw_Data\Lab_results\[LabSamples2025_Bioplastic_extra.xlsx]extra_Bioplastic'!F166)," ",'Q:\Abteilungsprojekte\Eng\EngData\PROJECT_Bioplastics\Renjie_Pan\05-Raw_Data\Lab_results\[LabSamples2025_Bioplastic_extra.xlsx]extra_Bioplastic'!F166)</f>
        <v/>
      </c>
      <c r="G166">
        <f>IF(ISBLANK('Q:\Abteilungsprojekte\Eng\EngData\PROJECT_Bioplastics\Renjie_Pan\05-Raw_Data\Lab_results\[LabSamples2025_Bioplastic_extra.xlsx]extra_Bioplastic'!G166)," ",'Q:\Abteilungsprojekte\Eng\EngData\PROJECT_Bioplastics\Renjie_Pan\05-Raw_Data\Lab_results\[LabSamples2025_Bioplastic_extra.xlsx]extra_Bioplastic'!G166)</f>
        <v/>
      </c>
      <c r="H166">
        <f>IF(ISBLANK('Q:\Abteilungsprojekte\Eng\EngData\PROJECT_Bioplastics\Renjie_Pan\05-Raw_Data\Lab_results\[LabSamples2025_Bioplastic_extra.xlsx]extra_Bioplastic'!H166)," ",'Q:\Abteilungsprojekte\Eng\EngData\PROJECT_Bioplastics\Renjie_Pan\05-Raw_Data\Lab_results\[LabSamples2025_Bioplastic_extra.xlsx]extra_Bioplastic'!H166)</f>
        <v/>
      </c>
    </row>
    <row r="167">
      <c r="A167">
        <f>IF(ISBLANK('Q:\Abteilungsprojekte\Eng\EngData\PROJECT_Bioplastics\Renjie_Pan\05-Raw_Data\Lab_results\[LabSamples2025_Bioplastic_extra.xlsx]extra_Bioplastic'!A167)," ",'Q:\Abteilungsprojekte\Eng\EngData\PROJECT_Bioplastics\Renjie_Pan\05-Raw_Data\Lab_results\[LabSamples2025_Bioplastic_extra.xlsx]extra_Bioplastic'!A167)</f>
        <v/>
      </c>
      <c r="B167">
        <f>IF(ISBLANK('Q:\Abteilungsprojekte\Eng\EngData\PROJECT_Bioplastics\Renjie_Pan\05-Raw_Data\Lab_results\[LabSamples2025_Bioplastic_extra.xlsx]extra_Bioplastic'!B167)," ",'Q:\Abteilungsprojekte\Eng\EngData\PROJECT_Bioplastics\Renjie_Pan\05-Raw_Data\Lab_results\[LabSamples2025_Bioplastic_extra.xlsx]extra_Bioplastic'!B167)</f>
        <v/>
      </c>
      <c r="C167">
        <f>IF(ISBLANK('Q:\Abteilungsprojekte\Eng\EngData\PROJECT_Bioplastics\Renjie_Pan\05-Raw_Data\Lab_results\[LabSamples2025_Bioplastic_extra.xlsx]extra_Bioplastic'!C167)," ",'Q:\Abteilungsprojekte\Eng\EngData\PROJECT_Bioplastics\Renjie_Pan\05-Raw_Data\Lab_results\[LabSamples2025_Bioplastic_extra.xlsx]extra_Bioplastic'!C167)</f>
        <v/>
      </c>
      <c r="D167">
        <f>IF(ISBLANK('Q:\Abteilungsprojekte\Eng\EngData\PROJECT_Bioplastics\Renjie_Pan\05-Raw_Data\Lab_results\[LabSamples2025_Bioplastic_extra.xlsx]extra_Bioplastic'!D167)," ",'Q:\Abteilungsprojekte\Eng\EngData\PROJECT_Bioplastics\Renjie_Pan\05-Raw_Data\Lab_results\[LabSamples2025_Bioplastic_extra.xlsx]extra_Bioplastic'!D167)</f>
        <v/>
      </c>
      <c r="E167">
        <f>IF(ISBLANK('Q:\Abteilungsprojekte\Eng\EngData\PROJECT_Bioplastics\Renjie_Pan\05-Raw_Data\Lab_results\[LabSamples2025_Bioplastic_extra.xlsx]extra_Bioplastic'!E167)," ",'Q:\Abteilungsprojekte\Eng\EngData\PROJECT_Bioplastics\Renjie_Pan\05-Raw_Data\Lab_results\[LabSamples2025_Bioplastic_extra.xlsx]extra_Bioplastic'!E167)</f>
        <v/>
      </c>
      <c r="F167">
        <f>IF(ISBLANK('Q:\Abteilungsprojekte\Eng\EngData\PROJECT_Bioplastics\Renjie_Pan\05-Raw_Data\Lab_results\[LabSamples2025_Bioplastic_extra.xlsx]extra_Bioplastic'!F167)," ",'Q:\Abteilungsprojekte\Eng\EngData\PROJECT_Bioplastics\Renjie_Pan\05-Raw_Data\Lab_results\[LabSamples2025_Bioplastic_extra.xlsx]extra_Bioplastic'!F167)</f>
        <v/>
      </c>
      <c r="G167">
        <f>IF(ISBLANK('Q:\Abteilungsprojekte\Eng\EngData\PROJECT_Bioplastics\Renjie_Pan\05-Raw_Data\Lab_results\[LabSamples2025_Bioplastic_extra.xlsx]extra_Bioplastic'!G167)," ",'Q:\Abteilungsprojekte\Eng\EngData\PROJECT_Bioplastics\Renjie_Pan\05-Raw_Data\Lab_results\[LabSamples2025_Bioplastic_extra.xlsx]extra_Bioplastic'!G167)</f>
        <v/>
      </c>
      <c r="H167">
        <f>IF(ISBLANK('Q:\Abteilungsprojekte\Eng\EngData\PROJECT_Bioplastics\Renjie_Pan\05-Raw_Data\Lab_results\[LabSamples2025_Bioplastic_extra.xlsx]extra_Bioplastic'!H167)," ",'Q:\Abteilungsprojekte\Eng\EngData\PROJECT_Bioplastics\Renjie_Pan\05-Raw_Data\Lab_results\[LabSamples2025_Bioplastic_extra.xlsx]extra_Bioplastic'!H167)</f>
        <v/>
      </c>
    </row>
    <row r="168">
      <c r="A168">
        <f>IF(ISBLANK('Q:\Abteilungsprojekte\Eng\EngData\PROJECT_Bioplastics\Renjie_Pan\05-Raw_Data\Lab_results\[LabSamples2025_Bioplastic_extra.xlsx]extra_Bioplastic'!A168)," ",'Q:\Abteilungsprojekte\Eng\EngData\PROJECT_Bioplastics\Renjie_Pan\05-Raw_Data\Lab_results\[LabSamples2025_Bioplastic_extra.xlsx]extra_Bioplastic'!A168)</f>
        <v/>
      </c>
      <c r="B168">
        <f>IF(ISBLANK('Q:\Abteilungsprojekte\Eng\EngData\PROJECT_Bioplastics\Renjie_Pan\05-Raw_Data\Lab_results\[LabSamples2025_Bioplastic_extra.xlsx]extra_Bioplastic'!B168)," ",'Q:\Abteilungsprojekte\Eng\EngData\PROJECT_Bioplastics\Renjie_Pan\05-Raw_Data\Lab_results\[LabSamples2025_Bioplastic_extra.xlsx]extra_Bioplastic'!B168)</f>
        <v/>
      </c>
      <c r="C168">
        <f>IF(ISBLANK('Q:\Abteilungsprojekte\Eng\EngData\PROJECT_Bioplastics\Renjie_Pan\05-Raw_Data\Lab_results\[LabSamples2025_Bioplastic_extra.xlsx]extra_Bioplastic'!C168)," ",'Q:\Abteilungsprojekte\Eng\EngData\PROJECT_Bioplastics\Renjie_Pan\05-Raw_Data\Lab_results\[LabSamples2025_Bioplastic_extra.xlsx]extra_Bioplastic'!C168)</f>
        <v/>
      </c>
      <c r="D168">
        <f>IF(ISBLANK('Q:\Abteilungsprojekte\Eng\EngData\PROJECT_Bioplastics\Renjie_Pan\05-Raw_Data\Lab_results\[LabSamples2025_Bioplastic_extra.xlsx]extra_Bioplastic'!D168)," ",'Q:\Abteilungsprojekte\Eng\EngData\PROJECT_Bioplastics\Renjie_Pan\05-Raw_Data\Lab_results\[LabSamples2025_Bioplastic_extra.xlsx]extra_Bioplastic'!D168)</f>
        <v/>
      </c>
      <c r="E168">
        <f>IF(ISBLANK('Q:\Abteilungsprojekte\Eng\EngData\PROJECT_Bioplastics\Renjie_Pan\05-Raw_Data\Lab_results\[LabSamples2025_Bioplastic_extra.xlsx]extra_Bioplastic'!E168)," ",'Q:\Abteilungsprojekte\Eng\EngData\PROJECT_Bioplastics\Renjie_Pan\05-Raw_Data\Lab_results\[LabSamples2025_Bioplastic_extra.xlsx]extra_Bioplastic'!E168)</f>
        <v/>
      </c>
      <c r="F168">
        <f>IF(ISBLANK('Q:\Abteilungsprojekte\Eng\EngData\PROJECT_Bioplastics\Renjie_Pan\05-Raw_Data\Lab_results\[LabSamples2025_Bioplastic_extra.xlsx]extra_Bioplastic'!F168)," ",'Q:\Abteilungsprojekte\Eng\EngData\PROJECT_Bioplastics\Renjie_Pan\05-Raw_Data\Lab_results\[LabSamples2025_Bioplastic_extra.xlsx]extra_Bioplastic'!F168)</f>
        <v/>
      </c>
      <c r="G168">
        <f>IF(ISBLANK('Q:\Abteilungsprojekte\Eng\EngData\PROJECT_Bioplastics\Renjie_Pan\05-Raw_Data\Lab_results\[LabSamples2025_Bioplastic_extra.xlsx]extra_Bioplastic'!G168)," ",'Q:\Abteilungsprojekte\Eng\EngData\PROJECT_Bioplastics\Renjie_Pan\05-Raw_Data\Lab_results\[LabSamples2025_Bioplastic_extra.xlsx]extra_Bioplastic'!G168)</f>
        <v/>
      </c>
      <c r="H168">
        <f>IF(ISBLANK('Q:\Abteilungsprojekte\Eng\EngData\PROJECT_Bioplastics\Renjie_Pan\05-Raw_Data\Lab_results\[LabSamples2025_Bioplastic_extra.xlsx]extra_Bioplastic'!H168)," ",'Q:\Abteilungsprojekte\Eng\EngData\PROJECT_Bioplastics\Renjie_Pan\05-Raw_Data\Lab_results\[LabSamples2025_Bioplastic_extra.xlsx]extra_Bioplastic'!H168)</f>
        <v/>
      </c>
    </row>
    <row r="169">
      <c r="A169">
        <f>IF(ISBLANK('Q:\Abteilungsprojekte\Eng\EngData\PROJECT_Bioplastics\Renjie_Pan\05-Raw_Data\Lab_results\[LabSamples2025_Bioplastic_extra.xlsx]extra_Bioplastic'!A169)," ",'Q:\Abteilungsprojekte\Eng\EngData\PROJECT_Bioplastics\Renjie_Pan\05-Raw_Data\Lab_results\[LabSamples2025_Bioplastic_extra.xlsx]extra_Bioplastic'!A169)</f>
        <v/>
      </c>
      <c r="B169">
        <f>IF(ISBLANK('Q:\Abteilungsprojekte\Eng\EngData\PROJECT_Bioplastics\Renjie_Pan\05-Raw_Data\Lab_results\[LabSamples2025_Bioplastic_extra.xlsx]extra_Bioplastic'!B169)," ",'Q:\Abteilungsprojekte\Eng\EngData\PROJECT_Bioplastics\Renjie_Pan\05-Raw_Data\Lab_results\[LabSamples2025_Bioplastic_extra.xlsx]extra_Bioplastic'!B169)</f>
        <v/>
      </c>
      <c r="C169">
        <f>IF(ISBLANK('Q:\Abteilungsprojekte\Eng\EngData\PROJECT_Bioplastics\Renjie_Pan\05-Raw_Data\Lab_results\[LabSamples2025_Bioplastic_extra.xlsx]extra_Bioplastic'!C169)," ",'Q:\Abteilungsprojekte\Eng\EngData\PROJECT_Bioplastics\Renjie_Pan\05-Raw_Data\Lab_results\[LabSamples2025_Bioplastic_extra.xlsx]extra_Bioplastic'!C169)</f>
        <v/>
      </c>
      <c r="D169">
        <f>IF(ISBLANK('Q:\Abteilungsprojekte\Eng\EngData\PROJECT_Bioplastics\Renjie_Pan\05-Raw_Data\Lab_results\[LabSamples2025_Bioplastic_extra.xlsx]extra_Bioplastic'!D169)," ",'Q:\Abteilungsprojekte\Eng\EngData\PROJECT_Bioplastics\Renjie_Pan\05-Raw_Data\Lab_results\[LabSamples2025_Bioplastic_extra.xlsx]extra_Bioplastic'!D169)</f>
        <v/>
      </c>
      <c r="E169">
        <f>IF(ISBLANK('Q:\Abteilungsprojekte\Eng\EngData\PROJECT_Bioplastics\Renjie_Pan\05-Raw_Data\Lab_results\[LabSamples2025_Bioplastic_extra.xlsx]extra_Bioplastic'!E169)," ",'Q:\Abteilungsprojekte\Eng\EngData\PROJECT_Bioplastics\Renjie_Pan\05-Raw_Data\Lab_results\[LabSamples2025_Bioplastic_extra.xlsx]extra_Bioplastic'!E169)</f>
        <v/>
      </c>
      <c r="F169">
        <f>IF(ISBLANK('Q:\Abteilungsprojekte\Eng\EngData\PROJECT_Bioplastics\Renjie_Pan\05-Raw_Data\Lab_results\[LabSamples2025_Bioplastic_extra.xlsx]extra_Bioplastic'!F169)," ",'Q:\Abteilungsprojekte\Eng\EngData\PROJECT_Bioplastics\Renjie_Pan\05-Raw_Data\Lab_results\[LabSamples2025_Bioplastic_extra.xlsx]extra_Bioplastic'!F169)</f>
        <v/>
      </c>
      <c r="G169">
        <f>IF(ISBLANK('Q:\Abteilungsprojekte\Eng\EngData\PROJECT_Bioplastics\Renjie_Pan\05-Raw_Data\Lab_results\[LabSamples2025_Bioplastic_extra.xlsx]extra_Bioplastic'!G169)," ",'Q:\Abteilungsprojekte\Eng\EngData\PROJECT_Bioplastics\Renjie_Pan\05-Raw_Data\Lab_results\[LabSamples2025_Bioplastic_extra.xlsx]extra_Bioplastic'!G169)</f>
        <v/>
      </c>
      <c r="H169">
        <f>IF(ISBLANK('Q:\Abteilungsprojekte\Eng\EngData\PROJECT_Bioplastics\Renjie_Pan\05-Raw_Data\Lab_results\[LabSamples2025_Bioplastic_extra.xlsx]extra_Bioplastic'!H169)," ",'Q:\Abteilungsprojekte\Eng\EngData\PROJECT_Bioplastics\Renjie_Pan\05-Raw_Data\Lab_results\[LabSamples2025_Bioplastic_extra.xlsx]extra_Bioplastic'!H169)</f>
        <v/>
      </c>
    </row>
    <row r="170">
      <c r="A170">
        <f>IF(ISBLANK('Q:\Abteilungsprojekte\Eng\EngData\PROJECT_Bioplastics\Renjie_Pan\05-Raw_Data\Lab_results\[LabSamples2025_Bioplastic_extra.xlsx]extra_Bioplastic'!A170)," ",'Q:\Abteilungsprojekte\Eng\EngData\PROJECT_Bioplastics\Renjie_Pan\05-Raw_Data\Lab_results\[LabSamples2025_Bioplastic_extra.xlsx]extra_Bioplastic'!A170)</f>
        <v/>
      </c>
      <c r="B170">
        <f>IF(ISBLANK('Q:\Abteilungsprojekte\Eng\EngData\PROJECT_Bioplastics\Renjie_Pan\05-Raw_Data\Lab_results\[LabSamples2025_Bioplastic_extra.xlsx]extra_Bioplastic'!B170)," ",'Q:\Abteilungsprojekte\Eng\EngData\PROJECT_Bioplastics\Renjie_Pan\05-Raw_Data\Lab_results\[LabSamples2025_Bioplastic_extra.xlsx]extra_Bioplastic'!B170)</f>
        <v/>
      </c>
      <c r="C170">
        <f>IF(ISBLANK('Q:\Abteilungsprojekte\Eng\EngData\PROJECT_Bioplastics\Renjie_Pan\05-Raw_Data\Lab_results\[LabSamples2025_Bioplastic_extra.xlsx]extra_Bioplastic'!C170)," ",'Q:\Abteilungsprojekte\Eng\EngData\PROJECT_Bioplastics\Renjie_Pan\05-Raw_Data\Lab_results\[LabSamples2025_Bioplastic_extra.xlsx]extra_Bioplastic'!C170)</f>
        <v/>
      </c>
      <c r="D170">
        <f>IF(ISBLANK('Q:\Abteilungsprojekte\Eng\EngData\PROJECT_Bioplastics\Renjie_Pan\05-Raw_Data\Lab_results\[LabSamples2025_Bioplastic_extra.xlsx]extra_Bioplastic'!D170)," ",'Q:\Abteilungsprojekte\Eng\EngData\PROJECT_Bioplastics\Renjie_Pan\05-Raw_Data\Lab_results\[LabSamples2025_Bioplastic_extra.xlsx]extra_Bioplastic'!D170)</f>
        <v/>
      </c>
      <c r="E170">
        <f>IF(ISBLANK('Q:\Abteilungsprojekte\Eng\EngData\PROJECT_Bioplastics\Renjie_Pan\05-Raw_Data\Lab_results\[LabSamples2025_Bioplastic_extra.xlsx]extra_Bioplastic'!E170)," ",'Q:\Abteilungsprojekte\Eng\EngData\PROJECT_Bioplastics\Renjie_Pan\05-Raw_Data\Lab_results\[LabSamples2025_Bioplastic_extra.xlsx]extra_Bioplastic'!E170)</f>
        <v/>
      </c>
      <c r="F170">
        <f>IF(ISBLANK('Q:\Abteilungsprojekte\Eng\EngData\PROJECT_Bioplastics\Renjie_Pan\05-Raw_Data\Lab_results\[LabSamples2025_Bioplastic_extra.xlsx]extra_Bioplastic'!F170)," ",'Q:\Abteilungsprojekte\Eng\EngData\PROJECT_Bioplastics\Renjie_Pan\05-Raw_Data\Lab_results\[LabSamples2025_Bioplastic_extra.xlsx]extra_Bioplastic'!F170)</f>
        <v/>
      </c>
      <c r="G170">
        <f>IF(ISBLANK('Q:\Abteilungsprojekte\Eng\EngData\PROJECT_Bioplastics\Renjie_Pan\05-Raw_Data\Lab_results\[LabSamples2025_Bioplastic_extra.xlsx]extra_Bioplastic'!G170)," ",'Q:\Abteilungsprojekte\Eng\EngData\PROJECT_Bioplastics\Renjie_Pan\05-Raw_Data\Lab_results\[LabSamples2025_Bioplastic_extra.xlsx]extra_Bioplastic'!G170)</f>
        <v/>
      </c>
      <c r="H170">
        <f>IF(ISBLANK('Q:\Abteilungsprojekte\Eng\EngData\PROJECT_Bioplastics\Renjie_Pan\05-Raw_Data\Lab_results\[LabSamples2025_Bioplastic_extra.xlsx]extra_Bioplastic'!H170)," ",'Q:\Abteilungsprojekte\Eng\EngData\PROJECT_Bioplastics\Renjie_Pan\05-Raw_Data\Lab_results\[LabSamples2025_Bioplastic_extra.xlsx]extra_Bioplastic'!H170)</f>
        <v/>
      </c>
    </row>
    <row r="171">
      <c r="A171">
        <f>IF(ISBLANK('Q:\Abteilungsprojekte\Eng\EngData\PROJECT_Bioplastics\Renjie_Pan\05-Raw_Data\Lab_results\[LabSamples2025_Bioplastic_extra.xlsx]extra_Bioplastic'!A171)," ",'Q:\Abteilungsprojekte\Eng\EngData\PROJECT_Bioplastics\Renjie_Pan\05-Raw_Data\Lab_results\[LabSamples2025_Bioplastic_extra.xlsx]extra_Bioplastic'!A171)</f>
        <v/>
      </c>
      <c r="B171">
        <f>IF(ISBLANK('Q:\Abteilungsprojekte\Eng\EngData\PROJECT_Bioplastics\Renjie_Pan\05-Raw_Data\Lab_results\[LabSamples2025_Bioplastic_extra.xlsx]extra_Bioplastic'!B171)," ",'Q:\Abteilungsprojekte\Eng\EngData\PROJECT_Bioplastics\Renjie_Pan\05-Raw_Data\Lab_results\[LabSamples2025_Bioplastic_extra.xlsx]extra_Bioplastic'!B171)</f>
        <v/>
      </c>
      <c r="C171">
        <f>IF(ISBLANK('Q:\Abteilungsprojekte\Eng\EngData\PROJECT_Bioplastics\Renjie_Pan\05-Raw_Data\Lab_results\[LabSamples2025_Bioplastic_extra.xlsx]extra_Bioplastic'!C171)," ",'Q:\Abteilungsprojekte\Eng\EngData\PROJECT_Bioplastics\Renjie_Pan\05-Raw_Data\Lab_results\[LabSamples2025_Bioplastic_extra.xlsx]extra_Bioplastic'!C171)</f>
        <v/>
      </c>
      <c r="D171">
        <f>IF(ISBLANK('Q:\Abteilungsprojekte\Eng\EngData\PROJECT_Bioplastics\Renjie_Pan\05-Raw_Data\Lab_results\[LabSamples2025_Bioplastic_extra.xlsx]extra_Bioplastic'!D171)," ",'Q:\Abteilungsprojekte\Eng\EngData\PROJECT_Bioplastics\Renjie_Pan\05-Raw_Data\Lab_results\[LabSamples2025_Bioplastic_extra.xlsx]extra_Bioplastic'!D171)</f>
        <v/>
      </c>
      <c r="E171">
        <f>IF(ISBLANK('Q:\Abteilungsprojekte\Eng\EngData\PROJECT_Bioplastics\Renjie_Pan\05-Raw_Data\Lab_results\[LabSamples2025_Bioplastic_extra.xlsx]extra_Bioplastic'!E171)," ",'Q:\Abteilungsprojekte\Eng\EngData\PROJECT_Bioplastics\Renjie_Pan\05-Raw_Data\Lab_results\[LabSamples2025_Bioplastic_extra.xlsx]extra_Bioplastic'!E171)</f>
        <v/>
      </c>
      <c r="F171">
        <f>IF(ISBLANK('Q:\Abteilungsprojekte\Eng\EngData\PROJECT_Bioplastics\Renjie_Pan\05-Raw_Data\Lab_results\[LabSamples2025_Bioplastic_extra.xlsx]extra_Bioplastic'!F171)," ",'Q:\Abteilungsprojekte\Eng\EngData\PROJECT_Bioplastics\Renjie_Pan\05-Raw_Data\Lab_results\[LabSamples2025_Bioplastic_extra.xlsx]extra_Bioplastic'!F171)</f>
        <v/>
      </c>
      <c r="G171">
        <f>IF(ISBLANK('Q:\Abteilungsprojekte\Eng\EngData\PROJECT_Bioplastics\Renjie_Pan\05-Raw_Data\Lab_results\[LabSamples2025_Bioplastic_extra.xlsx]extra_Bioplastic'!G171)," ",'Q:\Abteilungsprojekte\Eng\EngData\PROJECT_Bioplastics\Renjie_Pan\05-Raw_Data\Lab_results\[LabSamples2025_Bioplastic_extra.xlsx]extra_Bioplastic'!G171)</f>
        <v/>
      </c>
      <c r="H171">
        <f>IF(ISBLANK('Q:\Abteilungsprojekte\Eng\EngData\PROJECT_Bioplastics\Renjie_Pan\05-Raw_Data\Lab_results\[LabSamples2025_Bioplastic_extra.xlsx]extra_Bioplastic'!H171)," ",'Q:\Abteilungsprojekte\Eng\EngData\PROJECT_Bioplastics\Renjie_Pan\05-Raw_Data\Lab_results\[LabSamples2025_Bioplastic_extra.xlsx]extra_Bioplastic'!H171)</f>
        <v/>
      </c>
    </row>
    <row r="172">
      <c r="A172">
        <f>IF(ISBLANK('Q:\Abteilungsprojekte\Eng\EngData\PROJECT_Bioplastics\Renjie_Pan\05-Raw_Data\Lab_results\[LabSamples2025_Bioplastic_extra.xlsx]extra_Bioplastic'!A172)," ",'Q:\Abteilungsprojekte\Eng\EngData\PROJECT_Bioplastics\Renjie_Pan\05-Raw_Data\Lab_results\[LabSamples2025_Bioplastic_extra.xlsx]extra_Bioplastic'!A172)</f>
        <v/>
      </c>
      <c r="B172">
        <f>IF(ISBLANK('Q:\Abteilungsprojekte\Eng\EngData\PROJECT_Bioplastics\Renjie_Pan\05-Raw_Data\Lab_results\[LabSamples2025_Bioplastic_extra.xlsx]extra_Bioplastic'!B172)," ",'Q:\Abteilungsprojekte\Eng\EngData\PROJECT_Bioplastics\Renjie_Pan\05-Raw_Data\Lab_results\[LabSamples2025_Bioplastic_extra.xlsx]extra_Bioplastic'!B172)</f>
        <v/>
      </c>
      <c r="C172">
        <f>IF(ISBLANK('Q:\Abteilungsprojekte\Eng\EngData\PROJECT_Bioplastics\Renjie_Pan\05-Raw_Data\Lab_results\[LabSamples2025_Bioplastic_extra.xlsx]extra_Bioplastic'!C172)," ",'Q:\Abteilungsprojekte\Eng\EngData\PROJECT_Bioplastics\Renjie_Pan\05-Raw_Data\Lab_results\[LabSamples2025_Bioplastic_extra.xlsx]extra_Bioplastic'!C172)</f>
        <v/>
      </c>
      <c r="D172">
        <f>IF(ISBLANK('Q:\Abteilungsprojekte\Eng\EngData\PROJECT_Bioplastics\Renjie_Pan\05-Raw_Data\Lab_results\[LabSamples2025_Bioplastic_extra.xlsx]extra_Bioplastic'!D172)," ",'Q:\Abteilungsprojekte\Eng\EngData\PROJECT_Bioplastics\Renjie_Pan\05-Raw_Data\Lab_results\[LabSamples2025_Bioplastic_extra.xlsx]extra_Bioplastic'!D172)</f>
        <v/>
      </c>
      <c r="E172">
        <f>IF(ISBLANK('Q:\Abteilungsprojekte\Eng\EngData\PROJECT_Bioplastics\Renjie_Pan\05-Raw_Data\Lab_results\[LabSamples2025_Bioplastic_extra.xlsx]extra_Bioplastic'!E172)," ",'Q:\Abteilungsprojekte\Eng\EngData\PROJECT_Bioplastics\Renjie_Pan\05-Raw_Data\Lab_results\[LabSamples2025_Bioplastic_extra.xlsx]extra_Bioplastic'!E172)</f>
        <v/>
      </c>
      <c r="F172">
        <f>IF(ISBLANK('Q:\Abteilungsprojekte\Eng\EngData\PROJECT_Bioplastics\Renjie_Pan\05-Raw_Data\Lab_results\[LabSamples2025_Bioplastic_extra.xlsx]extra_Bioplastic'!F172)," ",'Q:\Abteilungsprojekte\Eng\EngData\PROJECT_Bioplastics\Renjie_Pan\05-Raw_Data\Lab_results\[LabSamples2025_Bioplastic_extra.xlsx]extra_Bioplastic'!F172)</f>
        <v/>
      </c>
      <c r="G172">
        <f>IF(ISBLANK('Q:\Abteilungsprojekte\Eng\EngData\PROJECT_Bioplastics\Renjie_Pan\05-Raw_Data\Lab_results\[LabSamples2025_Bioplastic_extra.xlsx]extra_Bioplastic'!G172)," ",'Q:\Abteilungsprojekte\Eng\EngData\PROJECT_Bioplastics\Renjie_Pan\05-Raw_Data\Lab_results\[LabSamples2025_Bioplastic_extra.xlsx]extra_Bioplastic'!G172)</f>
        <v/>
      </c>
      <c r="H172">
        <f>IF(ISBLANK('Q:\Abteilungsprojekte\Eng\EngData\PROJECT_Bioplastics\Renjie_Pan\05-Raw_Data\Lab_results\[LabSamples2025_Bioplastic_extra.xlsx]extra_Bioplastic'!H172)," ",'Q:\Abteilungsprojekte\Eng\EngData\PROJECT_Bioplastics\Renjie_Pan\05-Raw_Data\Lab_results\[LabSamples2025_Bioplastic_extra.xlsx]extra_Bioplastic'!H172)</f>
        <v/>
      </c>
    </row>
    <row r="173">
      <c r="A173">
        <f>IF(ISBLANK('Q:\Abteilungsprojekte\Eng\EngData\PROJECT_Bioplastics\Renjie_Pan\05-Raw_Data\Lab_results\[LabSamples2025_Bioplastic_extra.xlsx]extra_Bioplastic'!A173)," ",'Q:\Abteilungsprojekte\Eng\EngData\PROJECT_Bioplastics\Renjie_Pan\05-Raw_Data\Lab_results\[LabSamples2025_Bioplastic_extra.xlsx]extra_Bioplastic'!A173)</f>
        <v/>
      </c>
      <c r="B173">
        <f>IF(ISBLANK('Q:\Abteilungsprojekte\Eng\EngData\PROJECT_Bioplastics\Renjie_Pan\05-Raw_Data\Lab_results\[LabSamples2025_Bioplastic_extra.xlsx]extra_Bioplastic'!B173)," ",'Q:\Abteilungsprojekte\Eng\EngData\PROJECT_Bioplastics\Renjie_Pan\05-Raw_Data\Lab_results\[LabSamples2025_Bioplastic_extra.xlsx]extra_Bioplastic'!B173)</f>
        <v/>
      </c>
      <c r="C173">
        <f>IF(ISBLANK('Q:\Abteilungsprojekte\Eng\EngData\PROJECT_Bioplastics\Renjie_Pan\05-Raw_Data\Lab_results\[LabSamples2025_Bioplastic_extra.xlsx]extra_Bioplastic'!C173)," ",'Q:\Abteilungsprojekte\Eng\EngData\PROJECT_Bioplastics\Renjie_Pan\05-Raw_Data\Lab_results\[LabSamples2025_Bioplastic_extra.xlsx]extra_Bioplastic'!C173)</f>
        <v/>
      </c>
      <c r="D173">
        <f>IF(ISBLANK('Q:\Abteilungsprojekte\Eng\EngData\PROJECT_Bioplastics\Renjie_Pan\05-Raw_Data\Lab_results\[LabSamples2025_Bioplastic_extra.xlsx]extra_Bioplastic'!D173)," ",'Q:\Abteilungsprojekte\Eng\EngData\PROJECT_Bioplastics\Renjie_Pan\05-Raw_Data\Lab_results\[LabSamples2025_Bioplastic_extra.xlsx]extra_Bioplastic'!D173)</f>
        <v/>
      </c>
      <c r="E173">
        <f>IF(ISBLANK('Q:\Abteilungsprojekte\Eng\EngData\PROJECT_Bioplastics\Renjie_Pan\05-Raw_Data\Lab_results\[LabSamples2025_Bioplastic_extra.xlsx]extra_Bioplastic'!E173)," ",'Q:\Abteilungsprojekte\Eng\EngData\PROJECT_Bioplastics\Renjie_Pan\05-Raw_Data\Lab_results\[LabSamples2025_Bioplastic_extra.xlsx]extra_Bioplastic'!E173)</f>
        <v/>
      </c>
      <c r="F173">
        <f>IF(ISBLANK('Q:\Abteilungsprojekte\Eng\EngData\PROJECT_Bioplastics\Renjie_Pan\05-Raw_Data\Lab_results\[LabSamples2025_Bioplastic_extra.xlsx]extra_Bioplastic'!F173)," ",'Q:\Abteilungsprojekte\Eng\EngData\PROJECT_Bioplastics\Renjie_Pan\05-Raw_Data\Lab_results\[LabSamples2025_Bioplastic_extra.xlsx]extra_Bioplastic'!F173)</f>
        <v/>
      </c>
      <c r="G173">
        <f>IF(ISBLANK('Q:\Abteilungsprojekte\Eng\EngData\PROJECT_Bioplastics\Renjie_Pan\05-Raw_Data\Lab_results\[LabSamples2025_Bioplastic_extra.xlsx]extra_Bioplastic'!G173)," ",'Q:\Abteilungsprojekte\Eng\EngData\PROJECT_Bioplastics\Renjie_Pan\05-Raw_Data\Lab_results\[LabSamples2025_Bioplastic_extra.xlsx]extra_Bioplastic'!G173)</f>
        <v/>
      </c>
      <c r="H173">
        <f>IF(ISBLANK('Q:\Abteilungsprojekte\Eng\EngData\PROJECT_Bioplastics\Renjie_Pan\05-Raw_Data\Lab_results\[LabSamples2025_Bioplastic_extra.xlsx]extra_Bioplastic'!H173)," ",'Q:\Abteilungsprojekte\Eng\EngData\PROJECT_Bioplastics\Renjie_Pan\05-Raw_Data\Lab_results\[LabSamples2025_Bioplastic_extra.xlsx]extra_Bioplastic'!H173)</f>
        <v/>
      </c>
    </row>
    <row r="174">
      <c r="A174">
        <f>IF(ISBLANK('Q:\Abteilungsprojekte\Eng\EngData\PROJECT_Bioplastics\Renjie_Pan\05-Raw_Data\Lab_results\[LabSamples2025_Bioplastic_extra.xlsx]extra_Bioplastic'!A174)," ",'Q:\Abteilungsprojekte\Eng\EngData\PROJECT_Bioplastics\Renjie_Pan\05-Raw_Data\Lab_results\[LabSamples2025_Bioplastic_extra.xlsx]extra_Bioplastic'!A174)</f>
        <v/>
      </c>
      <c r="B174">
        <f>IF(ISBLANK('Q:\Abteilungsprojekte\Eng\EngData\PROJECT_Bioplastics\Renjie_Pan\05-Raw_Data\Lab_results\[LabSamples2025_Bioplastic_extra.xlsx]extra_Bioplastic'!B174)," ",'Q:\Abteilungsprojekte\Eng\EngData\PROJECT_Bioplastics\Renjie_Pan\05-Raw_Data\Lab_results\[LabSamples2025_Bioplastic_extra.xlsx]extra_Bioplastic'!B174)</f>
        <v/>
      </c>
      <c r="C174">
        <f>IF(ISBLANK('Q:\Abteilungsprojekte\Eng\EngData\PROJECT_Bioplastics\Renjie_Pan\05-Raw_Data\Lab_results\[LabSamples2025_Bioplastic_extra.xlsx]extra_Bioplastic'!C174)," ",'Q:\Abteilungsprojekte\Eng\EngData\PROJECT_Bioplastics\Renjie_Pan\05-Raw_Data\Lab_results\[LabSamples2025_Bioplastic_extra.xlsx]extra_Bioplastic'!C174)</f>
        <v/>
      </c>
      <c r="D174">
        <f>IF(ISBLANK('Q:\Abteilungsprojekte\Eng\EngData\PROJECT_Bioplastics\Renjie_Pan\05-Raw_Data\Lab_results\[LabSamples2025_Bioplastic_extra.xlsx]extra_Bioplastic'!D174)," ",'Q:\Abteilungsprojekte\Eng\EngData\PROJECT_Bioplastics\Renjie_Pan\05-Raw_Data\Lab_results\[LabSamples2025_Bioplastic_extra.xlsx]extra_Bioplastic'!D174)</f>
        <v/>
      </c>
      <c r="E174">
        <f>IF(ISBLANK('Q:\Abteilungsprojekte\Eng\EngData\PROJECT_Bioplastics\Renjie_Pan\05-Raw_Data\Lab_results\[LabSamples2025_Bioplastic_extra.xlsx]extra_Bioplastic'!E174)," ",'Q:\Abteilungsprojekte\Eng\EngData\PROJECT_Bioplastics\Renjie_Pan\05-Raw_Data\Lab_results\[LabSamples2025_Bioplastic_extra.xlsx]extra_Bioplastic'!E174)</f>
        <v/>
      </c>
      <c r="F174">
        <f>IF(ISBLANK('Q:\Abteilungsprojekte\Eng\EngData\PROJECT_Bioplastics\Renjie_Pan\05-Raw_Data\Lab_results\[LabSamples2025_Bioplastic_extra.xlsx]extra_Bioplastic'!F174)," ",'Q:\Abteilungsprojekte\Eng\EngData\PROJECT_Bioplastics\Renjie_Pan\05-Raw_Data\Lab_results\[LabSamples2025_Bioplastic_extra.xlsx]extra_Bioplastic'!F174)</f>
        <v/>
      </c>
      <c r="G174">
        <f>IF(ISBLANK('Q:\Abteilungsprojekte\Eng\EngData\PROJECT_Bioplastics\Renjie_Pan\05-Raw_Data\Lab_results\[LabSamples2025_Bioplastic_extra.xlsx]extra_Bioplastic'!G174)," ",'Q:\Abteilungsprojekte\Eng\EngData\PROJECT_Bioplastics\Renjie_Pan\05-Raw_Data\Lab_results\[LabSamples2025_Bioplastic_extra.xlsx]extra_Bioplastic'!G174)</f>
        <v/>
      </c>
      <c r="H174">
        <f>IF(ISBLANK('Q:\Abteilungsprojekte\Eng\EngData\PROJECT_Bioplastics\Renjie_Pan\05-Raw_Data\Lab_results\[LabSamples2025_Bioplastic_extra.xlsx]extra_Bioplastic'!H174)," ",'Q:\Abteilungsprojekte\Eng\EngData\PROJECT_Bioplastics\Renjie_Pan\05-Raw_Data\Lab_results\[LabSamples2025_Bioplastic_extra.xlsx]extra_Bioplastic'!H174)</f>
        <v/>
      </c>
    </row>
    <row r="175">
      <c r="A175">
        <f>IF(ISBLANK('Q:\Abteilungsprojekte\Eng\EngData\PROJECT_Bioplastics\Renjie_Pan\05-Raw_Data\Lab_results\[LabSamples2025_Bioplastic_extra.xlsx]extra_Bioplastic'!A175)," ",'Q:\Abteilungsprojekte\Eng\EngData\PROJECT_Bioplastics\Renjie_Pan\05-Raw_Data\Lab_results\[LabSamples2025_Bioplastic_extra.xlsx]extra_Bioplastic'!A175)</f>
        <v/>
      </c>
      <c r="B175">
        <f>IF(ISBLANK('Q:\Abteilungsprojekte\Eng\EngData\PROJECT_Bioplastics\Renjie_Pan\05-Raw_Data\Lab_results\[LabSamples2025_Bioplastic_extra.xlsx]extra_Bioplastic'!B175)," ",'Q:\Abteilungsprojekte\Eng\EngData\PROJECT_Bioplastics\Renjie_Pan\05-Raw_Data\Lab_results\[LabSamples2025_Bioplastic_extra.xlsx]extra_Bioplastic'!B175)</f>
        <v/>
      </c>
      <c r="C175">
        <f>IF(ISBLANK('Q:\Abteilungsprojekte\Eng\EngData\PROJECT_Bioplastics\Renjie_Pan\05-Raw_Data\Lab_results\[LabSamples2025_Bioplastic_extra.xlsx]extra_Bioplastic'!C175)," ",'Q:\Abteilungsprojekte\Eng\EngData\PROJECT_Bioplastics\Renjie_Pan\05-Raw_Data\Lab_results\[LabSamples2025_Bioplastic_extra.xlsx]extra_Bioplastic'!C175)</f>
        <v/>
      </c>
      <c r="D175">
        <f>IF(ISBLANK('Q:\Abteilungsprojekte\Eng\EngData\PROJECT_Bioplastics\Renjie_Pan\05-Raw_Data\Lab_results\[LabSamples2025_Bioplastic_extra.xlsx]extra_Bioplastic'!D175)," ",'Q:\Abteilungsprojekte\Eng\EngData\PROJECT_Bioplastics\Renjie_Pan\05-Raw_Data\Lab_results\[LabSamples2025_Bioplastic_extra.xlsx]extra_Bioplastic'!D175)</f>
        <v/>
      </c>
      <c r="E175">
        <f>IF(ISBLANK('Q:\Abteilungsprojekte\Eng\EngData\PROJECT_Bioplastics\Renjie_Pan\05-Raw_Data\Lab_results\[LabSamples2025_Bioplastic_extra.xlsx]extra_Bioplastic'!E175)," ",'Q:\Abteilungsprojekte\Eng\EngData\PROJECT_Bioplastics\Renjie_Pan\05-Raw_Data\Lab_results\[LabSamples2025_Bioplastic_extra.xlsx]extra_Bioplastic'!E175)</f>
        <v/>
      </c>
      <c r="F175">
        <f>IF(ISBLANK('Q:\Abteilungsprojekte\Eng\EngData\PROJECT_Bioplastics\Renjie_Pan\05-Raw_Data\Lab_results\[LabSamples2025_Bioplastic_extra.xlsx]extra_Bioplastic'!F175)," ",'Q:\Abteilungsprojekte\Eng\EngData\PROJECT_Bioplastics\Renjie_Pan\05-Raw_Data\Lab_results\[LabSamples2025_Bioplastic_extra.xlsx]extra_Bioplastic'!F175)</f>
        <v/>
      </c>
      <c r="G175">
        <f>IF(ISBLANK('Q:\Abteilungsprojekte\Eng\EngData\PROJECT_Bioplastics\Renjie_Pan\05-Raw_Data\Lab_results\[LabSamples2025_Bioplastic_extra.xlsx]extra_Bioplastic'!G175)," ",'Q:\Abteilungsprojekte\Eng\EngData\PROJECT_Bioplastics\Renjie_Pan\05-Raw_Data\Lab_results\[LabSamples2025_Bioplastic_extra.xlsx]extra_Bioplastic'!G175)</f>
        <v/>
      </c>
      <c r="H175">
        <f>IF(ISBLANK('Q:\Abteilungsprojekte\Eng\EngData\PROJECT_Bioplastics\Renjie_Pan\05-Raw_Data\Lab_results\[LabSamples2025_Bioplastic_extra.xlsx]extra_Bioplastic'!H175)," ",'Q:\Abteilungsprojekte\Eng\EngData\PROJECT_Bioplastics\Renjie_Pan\05-Raw_Data\Lab_results\[LabSamples2025_Bioplastic_extra.xlsx]extra_Bioplastic'!H175)</f>
        <v/>
      </c>
    </row>
    <row r="176">
      <c r="A176">
        <f>IF(ISBLANK('Q:\Abteilungsprojekte\Eng\EngData\PROJECT_Bioplastics\Renjie_Pan\05-Raw_Data\Lab_results\[LabSamples2025_Bioplastic_extra.xlsx]extra_Bioplastic'!A176)," ",'Q:\Abteilungsprojekte\Eng\EngData\PROJECT_Bioplastics\Renjie_Pan\05-Raw_Data\Lab_results\[LabSamples2025_Bioplastic_extra.xlsx]extra_Bioplastic'!A176)</f>
        <v/>
      </c>
      <c r="B176">
        <f>IF(ISBLANK('Q:\Abteilungsprojekte\Eng\EngData\PROJECT_Bioplastics\Renjie_Pan\05-Raw_Data\Lab_results\[LabSamples2025_Bioplastic_extra.xlsx]extra_Bioplastic'!B176)," ",'Q:\Abteilungsprojekte\Eng\EngData\PROJECT_Bioplastics\Renjie_Pan\05-Raw_Data\Lab_results\[LabSamples2025_Bioplastic_extra.xlsx]extra_Bioplastic'!B176)</f>
        <v/>
      </c>
      <c r="C176">
        <f>IF(ISBLANK('Q:\Abteilungsprojekte\Eng\EngData\PROJECT_Bioplastics\Renjie_Pan\05-Raw_Data\Lab_results\[LabSamples2025_Bioplastic_extra.xlsx]extra_Bioplastic'!C176)," ",'Q:\Abteilungsprojekte\Eng\EngData\PROJECT_Bioplastics\Renjie_Pan\05-Raw_Data\Lab_results\[LabSamples2025_Bioplastic_extra.xlsx]extra_Bioplastic'!C176)</f>
        <v/>
      </c>
      <c r="D176">
        <f>IF(ISBLANK('Q:\Abteilungsprojekte\Eng\EngData\PROJECT_Bioplastics\Renjie_Pan\05-Raw_Data\Lab_results\[LabSamples2025_Bioplastic_extra.xlsx]extra_Bioplastic'!D176)," ",'Q:\Abteilungsprojekte\Eng\EngData\PROJECT_Bioplastics\Renjie_Pan\05-Raw_Data\Lab_results\[LabSamples2025_Bioplastic_extra.xlsx]extra_Bioplastic'!D176)</f>
        <v/>
      </c>
      <c r="E176">
        <f>IF(ISBLANK('Q:\Abteilungsprojekte\Eng\EngData\PROJECT_Bioplastics\Renjie_Pan\05-Raw_Data\Lab_results\[LabSamples2025_Bioplastic_extra.xlsx]extra_Bioplastic'!E176)," ",'Q:\Abteilungsprojekte\Eng\EngData\PROJECT_Bioplastics\Renjie_Pan\05-Raw_Data\Lab_results\[LabSamples2025_Bioplastic_extra.xlsx]extra_Bioplastic'!E176)</f>
        <v/>
      </c>
      <c r="F176">
        <f>IF(ISBLANK('Q:\Abteilungsprojekte\Eng\EngData\PROJECT_Bioplastics\Renjie_Pan\05-Raw_Data\Lab_results\[LabSamples2025_Bioplastic_extra.xlsx]extra_Bioplastic'!F176)," ",'Q:\Abteilungsprojekte\Eng\EngData\PROJECT_Bioplastics\Renjie_Pan\05-Raw_Data\Lab_results\[LabSamples2025_Bioplastic_extra.xlsx]extra_Bioplastic'!F176)</f>
        <v/>
      </c>
      <c r="G176">
        <f>IF(ISBLANK('Q:\Abteilungsprojekte\Eng\EngData\PROJECT_Bioplastics\Renjie_Pan\05-Raw_Data\Lab_results\[LabSamples2025_Bioplastic_extra.xlsx]extra_Bioplastic'!G176)," ",'Q:\Abteilungsprojekte\Eng\EngData\PROJECT_Bioplastics\Renjie_Pan\05-Raw_Data\Lab_results\[LabSamples2025_Bioplastic_extra.xlsx]extra_Bioplastic'!G176)</f>
        <v/>
      </c>
      <c r="H176">
        <f>IF(ISBLANK('Q:\Abteilungsprojekte\Eng\EngData\PROJECT_Bioplastics\Renjie_Pan\05-Raw_Data\Lab_results\[LabSamples2025_Bioplastic_extra.xlsx]extra_Bioplastic'!H176)," ",'Q:\Abteilungsprojekte\Eng\EngData\PROJECT_Bioplastics\Renjie_Pan\05-Raw_Data\Lab_results\[LabSamples2025_Bioplastic_extra.xlsx]extra_Bioplastic'!H176)</f>
        <v/>
      </c>
    </row>
    <row r="177">
      <c r="A177">
        <f>IF(ISBLANK('Q:\Abteilungsprojekte\Eng\EngData\PROJECT_Bioplastics\Renjie_Pan\05-Raw_Data\Lab_results\[LabSamples2025_Bioplastic_extra.xlsx]extra_Bioplastic'!A177)," ",'Q:\Abteilungsprojekte\Eng\EngData\PROJECT_Bioplastics\Renjie_Pan\05-Raw_Data\Lab_results\[LabSamples2025_Bioplastic_extra.xlsx]extra_Bioplastic'!A177)</f>
        <v/>
      </c>
      <c r="B177">
        <f>IF(ISBLANK('Q:\Abteilungsprojekte\Eng\EngData\PROJECT_Bioplastics\Renjie_Pan\05-Raw_Data\Lab_results\[LabSamples2025_Bioplastic_extra.xlsx]extra_Bioplastic'!B177)," ",'Q:\Abteilungsprojekte\Eng\EngData\PROJECT_Bioplastics\Renjie_Pan\05-Raw_Data\Lab_results\[LabSamples2025_Bioplastic_extra.xlsx]extra_Bioplastic'!B177)</f>
        <v/>
      </c>
      <c r="C177">
        <f>IF(ISBLANK('Q:\Abteilungsprojekte\Eng\EngData\PROJECT_Bioplastics\Renjie_Pan\05-Raw_Data\Lab_results\[LabSamples2025_Bioplastic_extra.xlsx]extra_Bioplastic'!C177)," ",'Q:\Abteilungsprojekte\Eng\EngData\PROJECT_Bioplastics\Renjie_Pan\05-Raw_Data\Lab_results\[LabSamples2025_Bioplastic_extra.xlsx]extra_Bioplastic'!C177)</f>
        <v/>
      </c>
      <c r="D177">
        <f>IF(ISBLANK('Q:\Abteilungsprojekte\Eng\EngData\PROJECT_Bioplastics\Renjie_Pan\05-Raw_Data\Lab_results\[LabSamples2025_Bioplastic_extra.xlsx]extra_Bioplastic'!D177)," ",'Q:\Abteilungsprojekte\Eng\EngData\PROJECT_Bioplastics\Renjie_Pan\05-Raw_Data\Lab_results\[LabSamples2025_Bioplastic_extra.xlsx]extra_Bioplastic'!D177)</f>
        <v/>
      </c>
      <c r="E177">
        <f>IF(ISBLANK('Q:\Abteilungsprojekte\Eng\EngData\PROJECT_Bioplastics\Renjie_Pan\05-Raw_Data\Lab_results\[LabSamples2025_Bioplastic_extra.xlsx]extra_Bioplastic'!E177)," ",'Q:\Abteilungsprojekte\Eng\EngData\PROJECT_Bioplastics\Renjie_Pan\05-Raw_Data\Lab_results\[LabSamples2025_Bioplastic_extra.xlsx]extra_Bioplastic'!E177)</f>
        <v/>
      </c>
      <c r="F177">
        <f>IF(ISBLANK('Q:\Abteilungsprojekte\Eng\EngData\PROJECT_Bioplastics\Renjie_Pan\05-Raw_Data\Lab_results\[LabSamples2025_Bioplastic_extra.xlsx]extra_Bioplastic'!F177)," ",'Q:\Abteilungsprojekte\Eng\EngData\PROJECT_Bioplastics\Renjie_Pan\05-Raw_Data\Lab_results\[LabSamples2025_Bioplastic_extra.xlsx]extra_Bioplastic'!F177)</f>
        <v/>
      </c>
      <c r="G177">
        <f>IF(ISBLANK('Q:\Abteilungsprojekte\Eng\EngData\PROJECT_Bioplastics\Renjie_Pan\05-Raw_Data\Lab_results\[LabSamples2025_Bioplastic_extra.xlsx]extra_Bioplastic'!G177)," ",'Q:\Abteilungsprojekte\Eng\EngData\PROJECT_Bioplastics\Renjie_Pan\05-Raw_Data\Lab_results\[LabSamples2025_Bioplastic_extra.xlsx]extra_Bioplastic'!G177)</f>
        <v/>
      </c>
      <c r="H177">
        <f>IF(ISBLANK('Q:\Abteilungsprojekte\Eng\EngData\PROJECT_Bioplastics\Renjie_Pan\05-Raw_Data\Lab_results\[LabSamples2025_Bioplastic_extra.xlsx]extra_Bioplastic'!H177)," ",'Q:\Abteilungsprojekte\Eng\EngData\PROJECT_Bioplastics\Renjie_Pan\05-Raw_Data\Lab_results\[LabSamples2025_Bioplastic_extra.xlsx]extra_Bioplastic'!H177)</f>
        <v/>
      </c>
    </row>
    <row r="178">
      <c r="A178">
        <f>IF(ISBLANK('Q:\Abteilungsprojekte\Eng\EngData\PROJECT_Bioplastics\Renjie_Pan\05-Raw_Data\Lab_results\[LabSamples2025_Bioplastic_extra.xlsx]extra_Bioplastic'!A178)," ",'Q:\Abteilungsprojekte\Eng\EngData\PROJECT_Bioplastics\Renjie_Pan\05-Raw_Data\Lab_results\[LabSamples2025_Bioplastic_extra.xlsx]extra_Bioplastic'!A178)</f>
        <v/>
      </c>
      <c r="B178">
        <f>IF(ISBLANK('Q:\Abteilungsprojekte\Eng\EngData\PROJECT_Bioplastics\Renjie_Pan\05-Raw_Data\Lab_results\[LabSamples2025_Bioplastic_extra.xlsx]extra_Bioplastic'!B178)," ",'Q:\Abteilungsprojekte\Eng\EngData\PROJECT_Bioplastics\Renjie_Pan\05-Raw_Data\Lab_results\[LabSamples2025_Bioplastic_extra.xlsx]extra_Bioplastic'!B178)</f>
        <v/>
      </c>
      <c r="C178">
        <f>IF(ISBLANK('Q:\Abteilungsprojekte\Eng\EngData\PROJECT_Bioplastics\Renjie_Pan\05-Raw_Data\Lab_results\[LabSamples2025_Bioplastic_extra.xlsx]extra_Bioplastic'!C178)," ",'Q:\Abteilungsprojekte\Eng\EngData\PROJECT_Bioplastics\Renjie_Pan\05-Raw_Data\Lab_results\[LabSamples2025_Bioplastic_extra.xlsx]extra_Bioplastic'!C178)</f>
        <v/>
      </c>
      <c r="D178">
        <f>IF(ISBLANK('Q:\Abteilungsprojekte\Eng\EngData\PROJECT_Bioplastics\Renjie_Pan\05-Raw_Data\Lab_results\[LabSamples2025_Bioplastic_extra.xlsx]extra_Bioplastic'!D178)," ",'Q:\Abteilungsprojekte\Eng\EngData\PROJECT_Bioplastics\Renjie_Pan\05-Raw_Data\Lab_results\[LabSamples2025_Bioplastic_extra.xlsx]extra_Bioplastic'!D178)</f>
        <v/>
      </c>
      <c r="E178">
        <f>IF(ISBLANK('Q:\Abteilungsprojekte\Eng\EngData\PROJECT_Bioplastics\Renjie_Pan\05-Raw_Data\Lab_results\[LabSamples2025_Bioplastic_extra.xlsx]extra_Bioplastic'!E178)," ",'Q:\Abteilungsprojekte\Eng\EngData\PROJECT_Bioplastics\Renjie_Pan\05-Raw_Data\Lab_results\[LabSamples2025_Bioplastic_extra.xlsx]extra_Bioplastic'!E178)</f>
        <v/>
      </c>
      <c r="F178">
        <f>IF(ISBLANK('Q:\Abteilungsprojekte\Eng\EngData\PROJECT_Bioplastics\Renjie_Pan\05-Raw_Data\Lab_results\[LabSamples2025_Bioplastic_extra.xlsx]extra_Bioplastic'!F178)," ",'Q:\Abteilungsprojekte\Eng\EngData\PROJECT_Bioplastics\Renjie_Pan\05-Raw_Data\Lab_results\[LabSamples2025_Bioplastic_extra.xlsx]extra_Bioplastic'!F178)</f>
        <v/>
      </c>
      <c r="G178">
        <f>IF(ISBLANK('Q:\Abteilungsprojekte\Eng\EngData\PROJECT_Bioplastics\Renjie_Pan\05-Raw_Data\Lab_results\[LabSamples2025_Bioplastic_extra.xlsx]extra_Bioplastic'!G178)," ",'Q:\Abteilungsprojekte\Eng\EngData\PROJECT_Bioplastics\Renjie_Pan\05-Raw_Data\Lab_results\[LabSamples2025_Bioplastic_extra.xlsx]extra_Bioplastic'!G178)</f>
        <v/>
      </c>
      <c r="H178">
        <f>IF(ISBLANK('Q:\Abteilungsprojekte\Eng\EngData\PROJECT_Bioplastics\Renjie_Pan\05-Raw_Data\Lab_results\[LabSamples2025_Bioplastic_extra.xlsx]extra_Bioplastic'!H178)," ",'Q:\Abteilungsprojekte\Eng\EngData\PROJECT_Bioplastics\Renjie_Pan\05-Raw_Data\Lab_results\[LabSamples2025_Bioplastic_extra.xlsx]extra_Bioplastic'!H178)</f>
        <v/>
      </c>
    </row>
    <row r="179">
      <c r="A179">
        <f>IF(ISBLANK('Q:\Abteilungsprojekte\Eng\EngData\PROJECT_Bioplastics\Renjie_Pan\05-Raw_Data\Lab_results\[LabSamples2025_Bioplastic_extra.xlsx]extra_Bioplastic'!A179)," ",'Q:\Abteilungsprojekte\Eng\EngData\PROJECT_Bioplastics\Renjie_Pan\05-Raw_Data\Lab_results\[LabSamples2025_Bioplastic_extra.xlsx]extra_Bioplastic'!A179)</f>
        <v/>
      </c>
      <c r="B179">
        <f>IF(ISBLANK('Q:\Abteilungsprojekte\Eng\EngData\PROJECT_Bioplastics\Renjie_Pan\05-Raw_Data\Lab_results\[LabSamples2025_Bioplastic_extra.xlsx]extra_Bioplastic'!B179)," ",'Q:\Abteilungsprojekte\Eng\EngData\PROJECT_Bioplastics\Renjie_Pan\05-Raw_Data\Lab_results\[LabSamples2025_Bioplastic_extra.xlsx]extra_Bioplastic'!B179)</f>
        <v/>
      </c>
      <c r="C179">
        <f>IF(ISBLANK('Q:\Abteilungsprojekte\Eng\EngData\PROJECT_Bioplastics\Renjie_Pan\05-Raw_Data\Lab_results\[LabSamples2025_Bioplastic_extra.xlsx]extra_Bioplastic'!C179)," ",'Q:\Abteilungsprojekte\Eng\EngData\PROJECT_Bioplastics\Renjie_Pan\05-Raw_Data\Lab_results\[LabSamples2025_Bioplastic_extra.xlsx]extra_Bioplastic'!C179)</f>
        <v/>
      </c>
      <c r="D179">
        <f>IF(ISBLANK('Q:\Abteilungsprojekte\Eng\EngData\PROJECT_Bioplastics\Renjie_Pan\05-Raw_Data\Lab_results\[LabSamples2025_Bioplastic_extra.xlsx]extra_Bioplastic'!D179)," ",'Q:\Abteilungsprojekte\Eng\EngData\PROJECT_Bioplastics\Renjie_Pan\05-Raw_Data\Lab_results\[LabSamples2025_Bioplastic_extra.xlsx]extra_Bioplastic'!D179)</f>
        <v/>
      </c>
      <c r="E179">
        <f>IF(ISBLANK('Q:\Abteilungsprojekte\Eng\EngData\PROJECT_Bioplastics\Renjie_Pan\05-Raw_Data\Lab_results\[LabSamples2025_Bioplastic_extra.xlsx]extra_Bioplastic'!E179)," ",'Q:\Abteilungsprojekte\Eng\EngData\PROJECT_Bioplastics\Renjie_Pan\05-Raw_Data\Lab_results\[LabSamples2025_Bioplastic_extra.xlsx]extra_Bioplastic'!E179)</f>
        <v/>
      </c>
      <c r="F179">
        <f>IF(ISBLANK('Q:\Abteilungsprojekte\Eng\EngData\PROJECT_Bioplastics\Renjie_Pan\05-Raw_Data\Lab_results\[LabSamples2025_Bioplastic_extra.xlsx]extra_Bioplastic'!F179)," ",'Q:\Abteilungsprojekte\Eng\EngData\PROJECT_Bioplastics\Renjie_Pan\05-Raw_Data\Lab_results\[LabSamples2025_Bioplastic_extra.xlsx]extra_Bioplastic'!F179)</f>
        <v/>
      </c>
      <c r="G179">
        <f>IF(ISBLANK('Q:\Abteilungsprojekte\Eng\EngData\PROJECT_Bioplastics\Renjie_Pan\05-Raw_Data\Lab_results\[LabSamples2025_Bioplastic_extra.xlsx]extra_Bioplastic'!G179)," ",'Q:\Abteilungsprojekte\Eng\EngData\PROJECT_Bioplastics\Renjie_Pan\05-Raw_Data\Lab_results\[LabSamples2025_Bioplastic_extra.xlsx]extra_Bioplastic'!G179)</f>
        <v/>
      </c>
      <c r="H179">
        <f>IF(ISBLANK('Q:\Abteilungsprojekte\Eng\EngData\PROJECT_Bioplastics\Renjie_Pan\05-Raw_Data\Lab_results\[LabSamples2025_Bioplastic_extra.xlsx]extra_Bioplastic'!H179)," ",'Q:\Abteilungsprojekte\Eng\EngData\PROJECT_Bioplastics\Renjie_Pan\05-Raw_Data\Lab_results\[LabSamples2025_Bioplastic_extra.xlsx]extra_Bioplastic'!H179)</f>
        <v/>
      </c>
    </row>
    <row r="180">
      <c r="A180">
        <f>IF(ISBLANK('Q:\Abteilungsprojekte\Eng\EngData\PROJECT_Bioplastics\Renjie_Pan\05-Raw_Data\Lab_results\[LabSamples2025_Bioplastic_extra.xlsx]extra_Bioplastic'!A180)," ",'Q:\Abteilungsprojekte\Eng\EngData\PROJECT_Bioplastics\Renjie_Pan\05-Raw_Data\Lab_results\[LabSamples2025_Bioplastic_extra.xlsx]extra_Bioplastic'!A180)</f>
        <v/>
      </c>
      <c r="B180">
        <f>IF(ISBLANK('Q:\Abteilungsprojekte\Eng\EngData\PROJECT_Bioplastics\Renjie_Pan\05-Raw_Data\Lab_results\[LabSamples2025_Bioplastic_extra.xlsx]extra_Bioplastic'!B180)," ",'Q:\Abteilungsprojekte\Eng\EngData\PROJECT_Bioplastics\Renjie_Pan\05-Raw_Data\Lab_results\[LabSamples2025_Bioplastic_extra.xlsx]extra_Bioplastic'!B180)</f>
        <v/>
      </c>
      <c r="C180">
        <f>IF(ISBLANK('Q:\Abteilungsprojekte\Eng\EngData\PROJECT_Bioplastics\Renjie_Pan\05-Raw_Data\Lab_results\[LabSamples2025_Bioplastic_extra.xlsx]extra_Bioplastic'!C180)," ",'Q:\Abteilungsprojekte\Eng\EngData\PROJECT_Bioplastics\Renjie_Pan\05-Raw_Data\Lab_results\[LabSamples2025_Bioplastic_extra.xlsx]extra_Bioplastic'!C180)</f>
        <v/>
      </c>
      <c r="D180">
        <f>IF(ISBLANK('Q:\Abteilungsprojekte\Eng\EngData\PROJECT_Bioplastics\Renjie_Pan\05-Raw_Data\Lab_results\[LabSamples2025_Bioplastic_extra.xlsx]extra_Bioplastic'!D180)," ",'Q:\Abteilungsprojekte\Eng\EngData\PROJECT_Bioplastics\Renjie_Pan\05-Raw_Data\Lab_results\[LabSamples2025_Bioplastic_extra.xlsx]extra_Bioplastic'!D180)</f>
        <v/>
      </c>
      <c r="E180">
        <f>IF(ISBLANK('Q:\Abteilungsprojekte\Eng\EngData\PROJECT_Bioplastics\Renjie_Pan\05-Raw_Data\Lab_results\[LabSamples2025_Bioplastic_extra.xlsx]extra_Bioplastic'!E180)," ",'Q:\Abteilungsprojekte\Eng\EngData\PROJECT_Bioplastics\Renjie_Pan\05-Raw_Data\Lab_results\[LabSamples2025_Bioplastic_extra.xlsx]extra_Bioplastic'!E180)</f>
        <v/>
      </c>
      <c r="F180">
        <f>IF(ISBLANK('Q:\Abteilungsprojekte\Eng\EngData\PROJECT_Bioplastics\Renjie_Pan\05-Raw_Data\Lab_results\[LabSamples2025_Bioplastic_extra.xlsx]extra_Bioplastic'!F180)," ",'Q:\Abteilungsprojekte\Eng\EngData\PROJECT_Bioplastics\Renjie_Pan\05-Raw_Data\Lab_results\[LabSamples2025_Bioplastic_extra.xlsx]extra_Bioplastic'!F180)</f>
        <v/>
      </c>
      <c r="G180">
        <f>IF(ISBLANK('Q:\Abteilungsprojekte\Eng\EngData\PROJECT_Bioplastics\Renjie_Pan\05-Raw_Data\Lab_results\[LabSamples2025_Bioplastic_extra.xlsx]extra_Bioplastic'!G180)," ",'Q:\Abteilungsprojekte\Eng\EngData\PROJECT_Bioplastics\Renjie_Pan\05-Raw_Data\Lab_results\[LabSamples2025_Bioplastic_extra.xlsx]extra_Bioplastic'!G180)</f>
        <v/>
      </c>
      <c r="H180">
        <f>IF(ISBLANK('Q:\Abteilungsprojekte\Eng\EngData\PROJECT_Bioplastics\Renjie_Pan\05-Raw_Data\Lab_results\[LabSamples2025_Bioplastic_extra.xlsx]extra_Bioplastic'!H180)," ",'Q:\Abteilungsprojekte\Eng\EngData\PROJECT_Bioplastics\Renjie_Pan\05-Raw_Data\Lab_results\[LabSamples2025_Bioplastic_extra.xlsx]extra_Bioplastic'!H180)</f>
        <v/>
      </c>
    </row>
    <row r="181">
      <c r="A181">
        <f>IF(ISBLANK('Q:\Abteilungsprojekte\Eng\EngData\PROJECT_Bioplastics\Renjie_Pan\05-Raw_Data\Lab_results\[LabSamples2025_Bioplastic_extra.xlsx]extra_Bioplastic'!A181)," ",'Q:\Abteilungsprojekte\Eng\EngData\PROJECT_Bioplastics\Renjie_Pan\05-Raw_Data\Lab_results\[LabSamples2025_Bioplastic_extra.xlsx]extra_Bioplastic'!A181)</f>
        <v/>
      </c>
      <c r="B181">
        <f>IF(ISBLANK('Q:\Abteilungsprojekte\Eng\EngData\PROJECT_Bioplastics\Renjie_Pan\05-Raw_Data\Lab_results\[LabSamples2025_Bioplastic_extra.xlsx]extra_Bioplastic'!B181)," ",'Q:\Abteilungsprojekte\Eng\EngData\PROJECT_Bioplastics\Renjie_Pan\05-Raw_Data\Lab_results\[LabSamples2025_Bioplastic_extra.xlsx]extra_Bioplastic'!B181)</f>
        <v/>
      </c>
      <c r="C181">
        <f>IF(ISBLANK('Q:\Abteilungsprojekte\Eng\EngData\PROJECT_Bioplastics\Renjie_Pan\05-Raw_Data\Lab_results\[LabSamples2025_Bioplastic_extra.xlsx]extra_Bioplastic'!C181)," ",'Q:\Abteilungsprojekte\Eng\EngData\PROJECT_Bioplastics\Renjie_Pan\05-Raw_Data\Lab_results\[LabSamples2025_Bioplastic_extra.xlsx]extra_Bioplastic'!C181)</f>
        <v/>
      </c>
      <c r="D181">
        <f>IF(ISBLANK('Q:\Abteilungsprojekte\Eng\EngData\PROJECT_Bioplastics\Renjie_Pan\05-Raw_Data\Lab_results\[LabSamples2025_Bioplastic_extra.xlsx]extra_Bioplastic'!D181)," ",'Q:\Abteilungsprojekte\Eng\EngData\PROJECT_Bioplastics\Renjie_Pan\05-Raw_Data\Lab_results\[LabSamples2025_Bioplastic_extra.xlsx]extra_Bioplastic'!D181)</f>
        <v/>
      </c>
      <c r="E181">
        <f>IF(ISBLANK('Q:\Abteilungsprojekte\Eng\EngData\PROJECT_Bioplastics\Renjie_Pan\05-Raw_Data\Lab_results\[LabSamples2025_Bioplastic_extra.xlsx]extra_Bioplastic'!E181)," ",'Q:\Abteilungsprojekte\Eng\EngData\PROJECT_Bioplastics\Renjie_Pan\05-Raw_Data\Lab_results\[LabSamples2025_Bioplastic_extra.xlsx]extra_Bioplastic'!E181)</f>
        <v/>
      </c>
      <c r="F181">
        <f>IF(ISBLANK('Q:\Abteilungsprojekte\Eng\EngData\PROJECT_Bioplastics\Renjie_Pan\05-Raw_Data\Lab_results\[LabSamples2025_Bioplastic_extra.xlsx]extra_Bioplastic'!F181)," ",'Q:\Abteilungsprojekte\Eng\EngData\PROJECT_Bioplastics\Renjie_Pan\05-Raw_Data\Lab_results\[LabSamples2025_Bioplastic_extra.xlsx]extra_Bioplastic'!F181)</f>
        <v/>
      </c>
      <c r="G181">
        <f>IF(ISBLANK('Q:\Abteilungsprojekte\Eng\EngData\PROJECT_Bioplastics\Renjie_Pan\05-Raw_Data\Lab_results\[LabSamples2025_Bioplastic_extra.xlsx]extra_Bioplastic'!G181)," ",'Q:\Abteilungsprojekte\Eng\EngData\PROJECT_Bioplastics\Renjie_Pan\05-Raw_Data\Lab_results\[LabSamples2025_Bioplastic_extra.xlsx]extra_Bioplastic'!G181)</f>
        <v/>
      </c>
      <c r="H181">
        <f>IF(ISBLANK('Q:\Abteilungsprojekte\Eng\EngData\PROJECT_Bioplastics\Renjie_Pan\05-Raw_Data\Lab_results\[LabSamples2025_Bioplastic_extra.xlsx]extra_Bioplastic'!H181)," ",'Q:\Abteilungsprojekte\Eng\EngData\PROJECT_Bioplastics\Renjie_Pan\05-Raw_Data\Lab_results\[LabSamples2025_Bioplastic_extra.xlsx]extra_Bioplastic'!H181)</f>
        <v/>
      </c>
    </row>
    <row r="182">
      <c r="A182">
        <f>IF(ISBLANK('Q:\Abteilungsprojekte\Eng\EngData\PROJECT_Bioplastics\Renjie_Pan\05-Raw_Data\Lab_results\[LabSamples2025_Bioplastic_extra.xlsx]extra_Bioplastic'!A182)," ",'Q:\Abteilungsprojekte\Eng\EngData\PROJECT_Bioplastics\Renjie_Pan\05-Raw_Data\Lab_results\[LabSamples2025_Bioplastic_extra.xlsx]extra_Bioplastic'!A182)</f>
        <v/>
      </c>
      <c r="B182">
        <f>IF(ISBLANK('Q:\Abteilungsprojekte\Eng\EngData\PROJECT_Bioplastics\Renjie_Pan\05-Raw_Data\Lab_results\[LabSamples2025_Bioplastic_extra.xlsx]extra_Bioplastic'!B182)," ",'Q:\Abteilungsprojekte\Eng\EngData\PROJECT_Bioplastics\Renjie_Pan\05-Raw_Data\Lab_results\[LabSamples2025_Bioplastic_extra.xlsx]extra_Bioplastic'!B182)</f>
        <v/>
      </c>
      <c r="C182">
        <f>IF(ISBLANK('Q:\Abteilungsprojekte\Eng\EngData\PROJECT_Bioplastics\Renjie_Pan\05-Raw_Data\Lab_results\[LabSamples2025_Bioplastic_extra.xlsx]extra_Bioplastic'!C182)," ",'Q:\Abteilungsprojekte\Eng\EngData\PROJECT_Bioplastics\Renjie_Pan\05-Raw_Data\Lab_results\[LabSamples2025_Bioplastic_extra.xlsx]extra_Bioplastic'!C182)</f>
        <v/>
      </c>
      <c r="D182">
        <f>IF(ISBLANK('Q:\Abteilungsprojekte\Eng\EngData\PROJECT_Bioplastics\Renjie_Pan\05-Raw_Data\Lab_results\[LabSamples2025_Bioplastic_extra.xlsx]extra_Bioplastic'!D182)," ",'Q:\Abteilungsprojekte\Eng\EngData\PROJECT_Bioplastics\Renjie_Pan\05-Raw_Data\Lab_results\[LabSamples2025_Bioplastic_extra.xlsx]extra_Bioplastic'!D182)</f>
        <v/>
      </c>
      <c r="E182">
        <f>IF(ISBLANK('Q:\Abteilungsprojekte\Eng\EngData\PROJECT_Bioplastics\Renjie_Pan\05-Raw_Data\Lab_results\[LabSamples2025_Bioplastic_extra.xlsx]extra_Bioplastic'!E182)," ",'Q:\Abteilungsprojekte\Eng\EngData\PROJECT_Bioplastics\Renjie_Pan\05-Raw_Data\Lab_results\[LabSamples2025_Bioplastic_extra.xlsx]extra_Bioplastic'!E182)</f>
        <v/>
      </c>
      <c r="F182">
        <f>IF(ISBLANK('Q:\Abteilungsprojekte\Eng\EngData\PROJECT_Bioplastics\Renjie_Pan\05-Raw_Data\Lab_results\[LabSamples2025_Bioplastic_extra.xlsx]extra_Bioplastic'!F182)," ",'Q:\Abteilungsprojekte\Eng\EngData\PROJECT_Bioplastics\Renjie_Pan\05-Raw_Data\Lab_results\[LabSamples2025_Bioplastic_extra.xlsx]extra_Bioplastic'!F182)</f>
        <v/>
      </c>
      <c r="G182">
        <f>IF(ISBLANK('Q:\Abteilungsprojekte\Eng\EngData\PROJECT_Bioplastics\Renjie_Pan\05-Raw_Data\Lab_results\[LabSamples2025_Bioplastic_extra.xlsx]extra_Bioplastic'!G182)," ",'Q:\Abteilungsprojekte\Eng\EngData\PROJECT_Bioplastics\Renjie_Pan\05-Raw_Data\Lab_results\[LabSamples2025_Bioplastic_extra.xlsx]extra_Bioplastic'!G182)</f>
        <v/>
      </c>
      <c r="H182">
        <f>IF(ISBLANK('Q:\Abteilungsprojekte\Eng\EngData\PROJECT_Bioplastics\Renjie_Pan\05-Raw_Data\Lab_results\[LabSamples2025_Bioplastic_extra.xlsx]extra_Bioplastic'!H182)," ",'Q:\Abteilungsprojekte\Eng\EngData\PROJECT_Bioplastics\Renjie_Pan\05-Raw_Data\Lab_results\[LabSamples2025_Bioplastic_extra.xlsx]extra_Bioplastic'!H182)</f>
        <v/>
      </c>
    </row>
    <row r="183">
      <c r="A183">
        <f>IF(ISBLANK('Q:\Abteilungsprojekte\Eng\EngData\PROJECT_Bioplastics\Renjie_Pan\05-Raw_Data\Lab_results\[LabSamples2025_Bioplastic_extra.xlsx]extra_Bioplastic'!A183)," ",'Q:\Abteilungsprojekte\Eng\EngData\PROJECT_Bioplastics\Renjie_Pan\05-Raw_Data\Lab_results\[LabSamples2025_Bioplastic_extra.xlsx]extra_Bioplastic'!A183)</f>
        <v/>
      </c>
      <c r="B183">
        <f>IF(ISBLANK('Q:\Abteilungsprojekte\Eng\EngData\PROJECT_Bioplastics\Renjie_Pan\05-Raw_Data\Lab_results\[LabSamples2025_Bioplastic_extra.xlsx]extra_Bioplastic'!B183)," ",'Q:\Abteilungsprojekte\Eng\EngData\PROJECT_Bioplastics\Renjie_Pan\05-Raw_Data\Lab_results\[LabSamples2025_Bioplastic_extra.xlsx]extra_Bioplastic'!B183)</f>
        <v/>
      </c>
      <c r="C183">
        <f>IF(ISBLANK('Q:\Abteilungsprojekte\Eng\EngData\PROJECT_Bioplastics\Renjie_Pan\05-Raw_Data\Lab_results\[LabSamples2025_Bioplastic_extra.xlsx]extra_Bioplastic'!C183)," ",'Q:\Abteilungsprojekte\Eng\EngData\PROJECT_Bioplastics\Renjie_Pan\05-Raw_Data\Lab_results\[LabSamples2025_Bioplastic_extra.xlsx]extra_Bioplastic'!C183)</f>
        <v/>
      </c>
      <c r="D183">
        <f>IF(ISBLANK('Q:\Abteilungsprojekte\Eng\EngData\PROJECT_Bioplastics\Renjie_Pan\05-Raw_Data\Lab_results\[LabSamples2025_Bioplastic_extra.xlsx]extra_Bioplastic'!D183)," ",'Q:\Abteilungsprojekte\Eng\EngData\PROJECT_Bioplastics\Renjie_Pan\05-Raw_Data\Lab_results\[LabSamples2025_Bioplastic_extra.xlsx]extra_Bioplastic'!D183)</f>
        <v/>
      </c>
      <c r="E183">
        <f>IF(ISBLANK('Q:\Abteilungsprojekte\Eng\EngData\PROJECT_Bioplastics\Renjie_Pan\05-Raw_Data\Lab_results\[LabSamples2025_Bioplastic_extra.xlsx]extra_Bioplastic'!E183)," ",'Q:\Abteilungsprojekte\Eng\EngData\PROJECT_Bioplastics\Renjie_Pan\05-Raw_Data\Lab_results\[LabSamples2025_Bioplastic_extra.xlsx]extra_Bioplastic'!E183)</f>
        <v/>
      </c>
      <c r="F183">
        <f>IF(ISBLANK('Q:\Abteilungsprojekte\Eng\EngData\PROJECT_Bioplastics\Renjie_Pan\05-Raw_Data\Lab_results\[LabSamples2025_Bioplastic_extra.xlsx]extra_Bioplastic'!F183)," ",'Q:\Abteilungsprojekte\Eng\EngData\PROJECT_Bioplastics\Renjie_Pan\05-Raw_Data\Lab_results\[LabSamples2025_Bioplastic_extra.xlsx]extra_Bioplastic'!F183)</f>
        <v/>
      </c>
      <c r="G183">
        <f>IF(ISBLANK('Q:\Abteilungsprojekte\Eng\EngData\PROJECT_Bioplastics\Renjie_Pan\05-Raw_Data\Lab_results\[LabSamples2025_Bioplastic_extra.xlsx]extra_Bioplastic'!G183)," ",'Q:\Abteilungsprojekte\Eng\EngData\PROJECT_Bioplastics\Renjie_Pan\05-Raw_Data\Lab_results\[LabSamples2025_Bioplastic_extra.xlsx]extra_Bioplastic'!G183)</f>
        <v/>
      </c>
      <c r="H183">
        <f>IF(ISBLANK('Q:\Abteilungsprojekte\Eng\EngData\PROJECT_Bioplastics\Renjie_Pan\05-Raw_Data\Lab_results\[LabSamples2025_Bioplastic_extra.xlsx]extra_Bioplastic'!H183)," ",'Q:\Abteilungsprojekte\Eng\EngData\PROJECT_Bioplastics\Renjie_Pan\05-Raw_Data\Lab_results\[LabSamples2025_Bioplastic_extra.xlsx]extra_Bioplastic'!H183)</f>
        <v/>
      </c>
    </row>
    <row r="184">
      <c r="A184">
        <f>IF(ISBLANK('Q:\Abteilungsprojekte\Eng\EngData\PROJECT_Bioplastics\Renjie_Pan\05-Raw_Data\Lab_results\[LabSamples2025_Bioplastic_extra.xlsx]extra_Bioplastic'!A184)," ",'Q:\Abteilungsprojekte\Eng\EngData\PROJECT_Bioplastics\Renjie_Pan\05-Raw_Data\Lab_results\[LabSamples2025_Bioplastic_extra.xlsx]extra_Bioplastic'!A184)</f>
        <v/>
      </c>
      <c r="B184">
        <f>IF(ISBLANK('Q:\Abteilungsprojekte\Eng\EngData\PROJECT_Bioplastics\Renjie_Pan\05-Raw_Data\Lab_results\[LabSamples2025_Bioplastic_extra.xlsx]extra_Bioplastic'!B184)," ",'Q:\Abteilungsprojekte\Eng\EngData\PROJECT_Bioplastics\Renjie_Pan\05-Raw_Data\Lab_results\[LabSamples2025_Bioplastic_extra.xlsx]extra_Bioplastic'!B184)</f>
        <v/>
      </c>
      <c r="C184">
        <f>IF(ISBLANK('Q:\Abteilungsprojekte\Eng\EngData\PROJECT_Bioplastics\Renjie_Pan\05-Raw_Data\Lab_results\[LabSamples2025_Bioplastic_extra.xlsx]extra_Bioplastic'!C184)," ",'Q:\Abteilungsprojekte\Eng\EngData\PROJECT_Bioplastics\Renjie_Pan\05-Raw_Data\Lab_results\[LabSamples2025_Bioplastic_extra.xlsx]extra_Bioplastic'!C184)</f>
        <v/>
      </c>
      <c r="D184">
        <f>IF(ISBLANK('Q:\Abteilungsprojekte\Eng\EngData\PROJECT_Bioplastics\Renjie_Pan\05-Raw_Data\Lab_results\[LabSamples2025_Bioplastic_extra.xlsx]extra_Bioplastic'!D184)," ",'Q:\Abteilungsprojekte\Eng\EngData\PROJECT_Bioplastics\Renjie_Pan\05-Raw_Data\Lab_results\[LabSamples2025_Bioplastic_extra.xlsx]extra_Bioplastic'!D184)</f>
        <v/>
      </c>
      <c r="E184">
        <f>IF(ISBLANK('Q:\Abteilungsprojekte\Eng\EngData\PROJECT_Bioplastics\Renjie_Pan\05-Raw_Data\Lab_results\[LabSamples2025_Bioplastic_extra.xlsx]extra_Bioplastic'!E184)," ",'Q:\Abteilungsprojekte\Eng\EngData\PROJECT_Bioplastics\Renjie_Pan\05-Raw_Data\Lab_results\[LabSamples2025_Bioplastic_extra.xlsx]extra_Bioplastic'!E184)</f>
        <v/>
      </c>
      <c r="F184">
        <f>IF(ISBLANK('Q:\Abteilungsprojekte\Eng\EngData\PROJECT_Bioplastics\Renjie_Pan\05-Raw_Data\Lab_results\[LabSamples2025_Bioplastic_extra.xlsx]extra_Bioplastic'!F184)," ",'Q:\Abteilungsprojekte\Eng\EngData\PROJECT_Bioplastics\Renjie_Pan\05-Raw_Data\Lab_results\[LabSamples2025_Bioplastic_extra.xlsx]extra_Bioplastic'!F184)</f>
        <v/>
      </c>
      <c r="G184">
        <f>IF(ISBLANK('Q:\Abteilungsprojekte\Eng\EngData\PROJECT_Bioplastics\Renjie_Pan\05-Raw_Data\Lab_results\[LabSamples2025_Bioplastic_extra.xlsx]extra_Bioplastic'!G184)," ",'Q:\Abteilungsprojekte\Eng\EngData\PROJECT_Bioplastics\Renjie_Pan\05-Raw_Data\Lab_results\[LabSamples2025_Bioplastic_extra.xlsx]extra_Bioplastic'!G184)</f>
        <v/>
      </c>
      <c r="H184">
        <f>IF(ISBLANK('Q:\Abteilungsprojekte\Eng\EngData\PROJECT_Bioplastics\Renjie_Pan\05-Raw_Data\Lab_results\[LabSamples2025_Bioplastic_extra.xlsx]extra_Bioplastic'!H184)," ",'Q:\Abteilungsprojekte\Eng\EngData\PROJECT_Bioplastics\Renjie_Pan\05-Raw_Data\Lab_results\[LabSamples2025_Bioplastic_extra.xlsx]extra_Bioplastic'!H184)</f>
        <v/>
      </c>
    </row>
    <row r="185">
      <c r="A185">
        <f>IF(ISBLANK('Q:\Abteilungsprojekte\Eng\EngData\PROJECT_Bioplastics\Renjie_Pan\05-Raw_Data\Lab_results\[LabSamples2025_Bioplastic_extra.xlsx]extra_Bioplastic'!A185)," ",'Q:\Abteilungsprojekte\Eng\EngData\PROJECT_Bioplastics\Renjie_Pan\05-Raw_Data\Lab_results\[LabSamples2025_Bioplastic_extra.xlsx]extra_Bioplastic'!A185)</f>
        <v/>
      </c>
      <c r="B185">
        <f>IF(ISBLANK('Q:\Abteilungsprojekte\Eng\EngData\PROJECT_Bioplastics\Renjie_Pan\05-Raw_Data\Lab_results\[LabSamples2025_Bioplastic_extra.xlsx]extra_Bioplastic'!B185)," ",'Q:\Abteilungsprojekte\Eng\EngData\PROJECT_Bioplastics\Renjie_Pan\05-Raw_Data\Lab_results\[LabSamples2025_Bioplastic_extra.xlsx]extra_Bioplastic'!B185)</f>
        <v/>
      </c>
      <c r="C185">
        <f>IF(ISBLANK('Q:\Abteilungsprojekte\Eng\EngData\PROJECT_Bioplastics\Renjie_Pan\05-Raw_Data\Lab_results\[LabSamples2025_Bioplastic_extra.xlsx]extra_Bioplastic'!C185)," ",'Q:\Abteilungsprojekte\Eng\EngData\PROJECT_Bioplastics\Renjie_Pan\05-Raw_Data\Lab_results\[LabSamples2025_Bioplastic_extra.xlsx]extra_Bioplastic'!C185)</f>
        <v/>
      </c>
      <c r="D185">
        <f>IF(ISBLANK('Q:\Abteilungsprojekte\Eng\EngData\PROJECT_Bioplastics\Renjie_Pan\05-Raw_Data\Lab_results\[LabSamples2025_Bioplastic_extra.xlsx]extra_Bioplastic'!D185)," ",'Q:\Abteilungsprojekte\Eng\EngData\PROJECT_Bioplastics\Renjie_Pan\05-Raw_Data\Lab_results\[LabSamples2025_Bioplastic_extra.xlsx]extra_Bioplastic'!D185)</f>
        <v/>
      </c>
      <c r="E185">
        <f>IF(ISBLANK('Q:\Abteilungsprojekte\Eng\EngData\PROJECT_Bioplastics\Renjie_Pan\05-Raw_Data\Lab_results\[LabSamples2025_Bioplastic_extra.xlsx]extra_Bioplastic'!E185)," ",'Q:\Abteilungsprojekte\Eng\EngData\PROJECT_Bioplastics\Renjie_Pan\05-Raw_Data\Lab_results\[LabSamples2025_Bioplastic_extra.xlsx]extra_Bioplastic'!E185)</f>
        <v/>
      </c>
      <c r="F185">
        <f>IF(ISBLANK('Q:\Abteilungsprojekte\Eng\EngData\PROJECT_Bioplastics\Renjie_Pan\05-Raw_Data\Lab_results\[LabSamples2025_Bioplastic_extra.xlsx]extra_Bioplastic'!F185)," ",'Q:\Abteilungsprojekte\Eng\EngData\PROJECT_Bioplastics\Renjie_Pan\05-Raw_Data\Lab_results\[LabSamples2025_Bioplastic_extra.xlsx]extra_Bioplastic'!F185)</f>
        <v/>
      </c>
      <c r="G185">
        <f>IF(ISBLANK('Q:\Abteilungsprojekte\Eng\EngData\PROJECT_Bioplastics\Renjie_Pan\05-Raw_Data\Lab_results\[LabSamples2025_Bioplastic_extra.xlsx]extra_Bioplastic'!G185)," ",'Q:\Abteilungsprojekte\Eng\EngData\PROJECT_Bioplastics\Renjie_Pan\05-Raw_Data\Lab_results\[LabSamples2025_Bioplastic_extra.xlsx]extra_Bioplastic'!G185)</f>
        <v/>
      </c>
      <c r="H185">
        <f>IF(ISBLANK('Q:\Abteilungsprojekte\Eng\EngData\PROJECT_Bioplastics\Renjie_Pan\05-Raw_Data\Lab_results\[LabSamples2025_Bioplastic_extra.xlsx]extra_Bioplastic'!H185)," ",'Q:\Abteilungsprojekte\Eng\EngData\PROJECT_Bioplastics\Renjie_Pan\05-Raw_Data\Lab_results\[LabSamples2025_Bioplastic_extra.xlsx]extra_Bioplastic'!H185)</f>
        <v/>
      </c>
    </row>
    <row r="186">
      <c r="A186">
        <f>IF(ISBLANK('Q:\Abteilungsprojekte\Eng\EngData\PROJECT_Bioplastics\Renjie_Pan\05-Raw_Data\Lab_results\[LabSamples2025_Bioplastic_extra.xlsx]extra_Bioplastic'!A186)," ",'Q:\Abteilungsprojekte\Eng\EngData\PROJECT_Bioplastics\Renjie_Pan\05-Raw_Data\Lab_results\[LabSamples2025_Bioplastic_extra.xlsx]extra_Bioplastic'!A186)</f>
        <v/>
      </c>
      <c r="B186">
        <f>IF(ISBLANK('Q:\Abteilungsprojekte\Eng\EngData\PROJECT_Bioplastics\Renjie_Pan\05-Raw_Data\Lab_results\[LabSamples2025_Bioplastic_extra.xlsx]extra_Bioplastic'!B186)," ",'Q:\Abteilungsprojekte\Eng\EngData\PROJECT_Bioplastics\Renjie_Pan\05-Raw_Data\Lab_results\[LabSamples2025_Bioplastic_extra.xlsx]extra_Bioplastic'!B186)</f>
        <v/>
      </c>
      <c r="C186">
        <f>IF(ISBLANK('Q:\Abteilungsprojekte\Eng\EngData\PROJECT_Bioplastics\Renjie_Pan\05-Raw_Data\Lab_results\[LabSamples2025_Bioplastic_extra.xlsx]extra_Bioplastic'!C186)," ",'Q:\Abteilungsprojekte\Eng\EngData\PROJECT_Bioplastics\Renjie_Pan\05-Raw_Data\Lab_results\[LabSamples2025_Bioplastic_extra.xlsx]extra_Bioplastic'!C186)</f>
        <v/>
      </c>
      <c r="D186">
        <f>IF(ISBLANK('Q:\Abteilungsprojekte\Eng\EngData\PROJECT_Bioplastics\Renjie_Pan\05-Raw_Data\Lab_results\[LabSamples2025_Bioplastic_extra.xlsx]extra_Bioplastic'!D186)," ",'Q:\Abteilungsprojekte\Eng\EngData\PROJECT_Bioplastics\Renjie_Pan\05-Raw_Data\Lab_results\[LabSamples2025_Bioplastic_extra.xlsx]extra_Bioplastic'!D186)</f>
        <v/>
      </c>
      <c r="E186">
        <f>IF(ISBLANK('Q:\Abteilungsprojekte\Eng\EngData\PROJECT_Bioplastics\Renjie_Pan\05-Raw_Data\Lab_results\[LabSamples2025_Bioplastic_extra.xlsx]extra_Bioplastic'!E186)," ",'Q:\Abteilungsprojekte\Eng\EngData\PROJECT_Bioplastics\Renjie_Pan\05-Raw_Data\Lab_results\[LabSamples2025_Bioplastic_extra.xlsx]extra_Bioplastic'!E186)</f>
        <v/>
      </c>
      <c r="F186">
        <f>IF(ISBLANK('Q:\Abteilungsprojekte\Eng\EngData\PROJECT_Bioplastics\Renjie_Pan\05-Raw_Data\Lab_results\[LabSamples2025_Bioplastic_extra.xlsx]extra_Bioplastic'!F186)," ",'Q:\Abteilungsprojekte\Eng\EngData\PROJECT_Bioplastics\Renjie_Pan\05-Raw_Data\Lab_results\[LabSamples2025_Bioplastic_extra.xlsx]extra_Bioplastic'!F186)</f>
        <v/>
      </c>
      <c r="G186">
        <f>IF(ISBLANK('Q:\Abteilungsprojekte\Eng\EngData\PROJECT_Bioplastics\Renjie_Pan\05-Raw_Data\Lab_results\[LabSamples2025_Bioplastic_extra.xlsx]extra_Bioplastic'!G186)," ",'Q:\Abteilungsprojekte\Eng\EngData\PROJECT_Bioplastics\Renjie_Pan\05-Raw_Data\Lab_results\[LabSamples2025_Bioplastic_extra.xlsx]extra_Bioplastic'!G186)</f>
        <v/>
      </c>
      <c r="H186">
        <f>IF(ISBLANK('Q:\Abteilungsprojekte\Eng\EngData\PROJECT_Bioplastics\Renjie_Pan\05-Raw_Data\Lab_results\[LabSamples2025_Bioplastic_extra.xlsx]extra_Bioplastic'!H186)," ",'Q:\Abteilungsprojekte\Eng\EngData\PROJECT_Bioplastics\Renjie_Pan\05-Raw_Data\Lab_results\[LabSamples2025_Bioplastic_extra.xlsx]extra_Bioplastic'!H186)</f>
        <v/>
      </c>
    </row>
    <row r="187">
      <c r="A187">
        <f>IF(ISBLANK('Q:\Abteilungsprojekte\Eng\EngData\PROJECT_Bioplastics\Renjie_Pan\05-Raw_Data\Lab_results\[LabSamples2025_Bioplastic_extra.xlsx]extra_Bioplastic'!A187)," ",'Q:\Abteilungsprojekte\Eng\EngData\PROJECT_Bioplastics\Renjie_Pan\05-Raw_Data\Lab_results\[LabSamples2025_Bioplastic_extra.xlsx]extra_Bioplastic'!A187)</f>
        <v/>
      </c>
      <c r="B187">
        <f>IF(ISBLANK('Q:\Abteilungsprojekte\Eng\EngData\PROJECT_Bioplastics\Renjie_Pan\05-Raw_Data\Lab_results\[LabSamples2025_Bioplastic_extra.xlsx]extra_Bioplastic'!B187)," ",'Q:\Abteilungsprojekte\Eng\EngData\PROJECT_Bioplastics\Renjie_Pan\05-Raw_Data\Lab_results\[LabSamples2025_Bioplastic_extra.xlsx]extra_Bioplastic'!B187)</f>
        <v/>
      </c>
      <c r="C187">
        <f>IF(ISBLANK('Q:\Abteilungsprojekte\Eng\EngData\PROJECT_Bioplastics\Renjie_Pan\05-Raw_Data\Lab_results\[LabSamples2025_Bioplastic_extra.xlsx]extra_Bioplastic'!C187)," ",'Q:\Abteilungsprojekte\Eng\EngData\PROJECT_Bioplastics\Renjie_Pan\05-Raw_Data\Lab_results\[LabSamples2025_Bioplastic_extra.xlsx]extra_Bioplastic'!C187)</f>
        <v/>
      </c>
      <c r="D187">
        <f>IF(ISBLANK('Q:\Abteilungsprojekte\Eng\EngData\PROJECT_Bioplastics\Renjie_Pan\05-Raw_Data\Lab_results\[LabSamples2025_Bioplastic_extra.xlsx]extra_Bioplastic'!D187)," ",'Q:\Abteilungsprojekte\Eng\EngData\PROJECT_Bioplastics\Renjie_Pan\05-Raw_Data\Lab_results\[LabSamples2025_Bioplastic_extra.xlsx]extra_Bioplastic'!D187)</f>
        <v/>
      </c>
      <c r="E187">
        <f>IF(ISBLANK('Q:\Abteilungsprojekte\Eng\EngData\PROJECT_Bioplastics\Renjie_Pan\05-Raw_Data\Lab_results\[LabSamples2025_Bioplastic_extra.xlsx]extra_Bioplastic'!E187)," ",'Q:\Abteilungsprojekte\Eng\EngData\PROJECT_Bioplastics\Renjie_Pan\05-Raw_Data\Lab_results\[LabSamples2025_Bioplastic_extra.xlsx]extra_Bioplastic'!E187)</f>
        <v/>
      </c>
      <c r="F187">
        <f>IF(ISBLANK('Q:\Abteilungsprojekte\Eng\EngData\PROJECT_Bioplastics\Renjie_Pan\05-Raw_Data\Lab_results\[LabSamples2025_Bioplastic_extra.xlsx]extra_Bioplastic'!F187)," ",'Q:\Abteilungsprojekte\Eng\EngData\PROJECT_Bioplastics\Renjie_Pan\05-Raw_Data\Lab_results\[LabSamples2025_Bioplastic_extra.xlsx]extra_Bioplastic'!F187)</f>
        <v/>
      </c>
      <c r="G187">
        <f>IF(ISBLANK('Q:\Abteilungsprojekte\Eng\EngData\PROJECT_Bioplastics\Renjie_Pan\05-Raw_Data\Lab_results\[LabSamples2025_Bioplastic_extra.xlsx]extra_Bioplastic'!G187)," ",'Q:\Abteilungsprojekte\Eng\EngData\PROJECT_Bioplastics\Renjie_Pan\05-Raw_Data\Lab_results\[LabSamples2025_Bioplastic_extra.xlsx]extra_Bioplastic'!G187)</f>
        <v/>
      </c>
      <c r="H187">
        <f>IF(ISBLANK('Q:\Abteilungsprojekte\Eng\EngData\PROJECT_Bioplastics\Renjie_Pan\05-Raw_Data\Lab_results\[LabSamples2025_Bioplastic_extra.xlsx]extra_Bioplastic'!H187)," ",'Q:\Abteilungsprojekte\Eng\EngData\PROJECT_Bioplastics\Renjie_Pan\05-Raw_Data\Lab_results\[LabSamples2025_Bioplastic_extra.xlsx]extra_Bioplastic'!H187)</f>
        <v/>
      </c>
    </row>
    <row r="188">
      <c r="A188">
        <f>IF(ISBLANK('Q:\Abteilungsprojekte\Eng\EngData\PROJECT_Bioplastics\Renjie_Pan\05-Raw_Data\Lab_results\[LabSamples2025_Bioplastic_extra.xlsx]extra_Bioplastic'!A188)," ",'Q:\Abteilungsprojekte\Eng\EngData\PROJECT_Bioplastics\Renjie_Pan\05-Raw_Data\Lab_results\[LabSamples2025_Bioplastic_extra.xlsx]extra_Bioplastic'!A188)</f>
        <v/>
      </c>
      <c r="B188">
        <f>IF(ISBLANK('Q:\Abteilungsprojekte\Eng\EngData\PROJECT_Bioplastics\Renjie_Pan\05-Raw_Data\Lab_results\[LabSamples2025_Bioplastic_extra.xlsx]extra_Bioplastic'!B188)," ",'Q:\Abteilungsprojekte\Eng\EngData\PROJECT_Bioplastics\Renjie_Pan\05-Raw_Data\Lab_results\[LabSamples2025_Bioplastic_extra.xlsx]extra_Bioplastic'!B188)</f>
        <v/>
      </c>
      <c r="C188">
        <f>IF(ISBLANK('Q:\Abteilungsprojekte\Eng\EngData\PROJECT_Bioplastics\Renjie_Pan\05-Raw_Data\Lab_results\[LabSamples2025_Bioplastic_extra.xlsx]extra_Bioplastic'!C188)," ",'Q:\Abteilungsprojekte\Eng\EngData\PROJECT_Bioplastics\Renjie_Pan\05-Raw_Data\Lab_results\[LabSamples2025_Bioplastic_extra.xlsx]extra_Bioplastic'!C188)</f>
        <v/>
      </c>
      <c r="D188">
        <f>IF(ISBLANK('Q:\Abteilungsprojekte\Eng\EngData\PROJECT_Bioplastics\Renjie_Pan\05-Raw_Data\Lab_results\[LabSamples2025_Bioplastic_extra.xlsx]extra_Bioplastic'!D188)," ",'Q:\Abteilungsprojekte\Eng\EngData\PROJECT_Bioplastics\Renjie_Pan\05-Raw_Data\Lab_results\[LabSamples2025_Bioplastic_extra.xlsx]extra_Bioplastic'!D188)</f>
        <v/>
      </c>
      <c r="E188">
        <f>IF(ISBLANK('Q:\Abteilungsprojekte\Eng\EngData\PROJECT_Bioplastics\Renjie_Pan\05-Raw_Data\Lab_results\[LabSamples2025_Bioplastic_extra.xlsx]extra_Bioplastic'!E188)," ",'Q:\Abteilungsprojekte\Eng\EngData\PROJECT_Bioplastics\Renjie_Pan\05-Raw_Data\Lab_results\[LabSamples2025_Bioplastic_extra.xlsx]extra_Bioplastic'!E188)</f>
        <v/>
      </c>
      <c r="F188">
        <f>IF(ISBLANK('Q:\Abteilungsprojekte\Eng\EngData\PROJECT_Bioplastics\Renjie_Pan\05-Raw_Data\Lab_results\[LabSamples2025_Bioplastic_extra.xlsx]extra_Bioplastic'!F188)," ",'Q:\Abteilungsprojekte\Eng\EngData\PROJECT_Bioplastics\Renjie_Pan\05-Raw_Data\Lab_results\[LabSamples2025_Bioplastic_extra.xlsx]extra_Bioplastic'!F188)</f>
        <v/>
      </c>
      <c r="G188">
        <f>IF(ISBLANK('Q:\Abteilungsprojekte\Eng\EngData\PROJECT_Bioplastics\Renjie_Pan\05-Raw_Data\Lab_results\[LabSamples2025_Bioplastic_extra.xlsx]extra_Bioplastic'!G188)," ",'Q:\Abteilungsprojekte\Eng\EngData\PROJECT_Bioplastics\Renjie_Pan\05-Raw_Data\Lab_results\[LabSamples2025_Bioplastic_extra.xlsx]extra_Bioplastic'!G188)</f>
        <v/>
      </c>
      <c r="H188">
        <f>IF(ISBLANK('Q:\Abteilungsprojekte\Eng\EngData\PROJECT_Bioplastics\Renjie_Pan\05-Raw_Data\Lab_results\[LabSamples2025_Bioplastic_extra.xlsx]extra_Bioplastic'!H188)," ",'Q:\Abteilungsprojekte\Eng\EngData\PROJECT_Bioplastics\Renjie_Pan\05-Raw_Data\Lab_results\[LabSamples2025_Bioplastic_extra.xlsx]extra_Bioplastic'!H188)</f>
        <v/>
      </c>
    </row>
    <row r="189">
      <c r="A189">
        <f>IF(ISBLANK('Q:\Abteilungsprojekte\Eng\EngData\PROJECT_Bioplastics\Renjie_Pan\05-Raw_Data\Lab_results\[LabSamples2025_Bioplastic_extra.xlsx]extra_Bioplastic'!A189)," ",'Q:\Abteilungsprojekte\Eng\EngData\PROJECT_Bioplastics\Renjie_Pan\05-Raw_Data\Lab_results\[LabSamples2025_Bioplastic_extra.xlsx]extra_Bioplastic'!A189)</f>
        <v/>
      </c>
      <c r="B189">
        <f>IF(ISBLANK('Q:\Abteilungsprojekte\Eng\EngData\PROJECT_Bioplastics\Renjie_Pan\05-Raw_Data\Lab_results\[LabSamples2025_Bioplastic_extra.xlsx]extra_Bioplastic'!B189)," ",'Q:\Abteilungsprojekte\Eng\EngData\PROJECT_Bioplastics\Renjie_Pan\05-Raw_Data\Lab_results\[LabSamples2025_Bioplastic_extra.xlsx]extra_Bioplastic'!B189)</f>
        <v/>
      </c>
      <c r="C189">
        <f>IF(ISBLANK('Q:\Abteilungsprojekte\Eng\EngData\PROJECT_Bioplastics\Renjie_Pan\05-Raw_Data\Lab_results\[LabSamples2025_Bioplastic_extra.xlsx]extra_Bioplastic'!C189)," ",'Q:\Abteilungsprojekte\Eng\EngData\PROJECT_Bioplastics\Renjie_Pan\05-Raw_Data\Lab_results\[LabSamples2025_Bioplastic_extra.xlsx]extra_Bioplastic'!C189)</f>
        <v/>
      </c>
      <c r="D189">
        <f>IF(ISBLANK('Q:\Abteilungsprojekte\Eng\EngData\PROJECT_Bioplastics\Renjie_Pan\05-Raw_Data\Lab_results\[LabSamples2025_Bioplastic_extra.xlsx]extra_Bioplastic'!D189)," ",'Q:\Abteilungsprojekte\Eng\EngData\PROJECT_Bioplastics\Renjie_Pan\05-Raw_Data\Lab_results\[LabSamples2025_Bioplastic_extra.xlsx]extra_Bioplastic'!D189)</f>
        <v/>
      </c>
      <c r="E189">
        <f>IF(ISBLANK('Q:\Abteilungsprojekte\Eng\EngData\PROJECT_Bioplastics\Renjie_Pan\05-Raw_Data\Lab_results\[LabSamples2025_Bioplastic_extra.xlsx]extra_Bioplastic'!E189)," ",'Q:\Abteilungsprojekte\Eng\EngData\PROJECT_Bioplastics\Renjie_Pan\05-Raw_Data\Lab_results\[LabSamples2025_Bioplastic_extra.xlsx]extra_Bioplastic'!E189)</f>
        <v/>
      </c>
      <c r="F189">
        <f>IF(ISBLANK('Q:\Abteilungsprojekte\Eng\EngData\PROJECT_Bioplastics\Renjie_Pan\05-Raw_Data\Lab_results\[LabSamples2025_Bioplastic_extra.xlsx]extra_Bioplastic'!F189)," ",'Q:\Abteilungsprojekte\Eng\EngData\PROJECT_Bioplastics\Renjie_Pan\05-Raw_Data\Lab_results\[LabSamples2025_Bioplastic_extra.xlsx]extra_Bioplastic'!F189)</f>
        <v/>
      </c>
      <c r="G189">
        <f>IF(ISBLANK('Q:\Abteilungsprojekte\Eng\EngData\PROJECT_Bioplastics\Renjie_Pan\05-Raw_Data\Lab_results\[LabSamples2025_Bioplastic_extra.xlsx]extra_Bioplastic'!G189)," ",'Q:\Abteilungsprojekte\Eng\EngData\PROJECT_Bioplastics\Renjie_Pan\05-Raw_Data\Lab_results\[LabSamples2025_Bioplastic_extra.xlsx]extra_Bioplastic'!G189)</f>
        <v/>
      </c>
      <c r="H189">
        <f>IF(ISBLANK('Q:\Abteilungsprojekte\Eng\EngData\PROJECT_Bioplastics\Renjie_Pan\05-Raw_Data\Lab_results\[LabSamples2025_Bioplastic_extra.xlsx]extra_Bioplastic'!H189)," ",'Q:\Abteilungsprojekte\Eng\EngData\PROJECT_Bioplastics\Renjie_Pan\05-Raw_Data\Lab_results\[LabSamples2025_Bioplastic_extra.xlsx]extra_Bioplastic'!H189)</f>
        <v/>
      </c>
    </row>
    <row r="190">
      <c r="A190">
        <f>IF(ISBLANK('Q:\Abteilungsprojekte\Eng\EngData\PROJECT_Bioplastics\Renjie_Pan\05-Raw_Data\Lab_results\[LabSamples2025_Bioplastic_extra.xlsx]extra_Bioplastic'!A190)," ",'Q:\Abteilungsprojekte\Eng\EngData\PROJECT_Bioplastics\Renjie_Pan\05-Raw_Data\Lab_results\[LabSamples2025_Bioplastic_extra.xlsx]extra_Bioplastic'!A190)</f>
        <v/>
      </c>
      <c r="B190">
        <f>IF(ISBLANK('Q:\Abteilungsprojekte\Eng\EngData\PROJECT_Bioplastics\Renjie_Pan\05-Raw_Data\Lab_results\[LabSamples2025_Bioplastic_extra.xlsx]extra_Bioplastic'!B190)," ",'Q:\Abteilungsprojekte\Eng\EngData\PROJECT_Bioplastics\Renjie_Pan\05-Raw_Data\Lab_results\[LabSamples2025_Bioplastic_extra.xlsx]extra_Bioplastic'!B190)</f>
        <v/>
      </c>
      <c r="C190">
        <f>IF(ISBLANK('Q:\Abteilungsprojekte\Eng\EngData\PROJECT_Bioplastics\Renjie_Pan\05-Raw_Data\Lab_results\[LabSamples2025_Bioplastic_extra.xlsx]extra_Bioplastic'!C190)," ",'Q:\Abteilungsprojekte\Eng\EngData\PROJECT_Bioplastics\Renjie_Pan\05-Raw_Data\Lab_results\[LabSamples2025_Bioplastic_extra.xlsx]extra_Bioplastic'!C190)</f>
        <v/>
      </c>
      <c r="D190">
        <f>IF(ISBLANK('Q:\Abteilungsprojekte\Eng\EngData\PROJECT_Bioplastics\Renjie_Pan\05-Raw_Data\Lab_results\[LabSamples2025_Bioplastic_extra.xlsx]extra_Bioplastic'!D190)," ",'Q:\Abteilungsprojekte\Eng\EngData\PROJECT_Bioplastics\Renjie_Pan\05-Raw_Data\Lab_results\[LabSamples2025_Bioplastic_extra.xlsx]extra_Bioplastic'!D190)</f>
        <v/>
      </c>
      <c r="E190">
        <f>IF(ISBLANK('Q:\Abteilungsprojekte\Eng\EngData\PROJECT_Bioplastics\Renjie_Pan\05-Raw_Data\Lab_results\[LabSamples2025_Bioplastic_extra.xlsx]extra_Bioplastic'!E190)," ",'Q:\Abteilungsprojekte\Eng\EngData\PROJECT_Bioplastics\Renjie_Pan\05-Raw_Data\Lab_results\[LabSamples2025_Bioplastic_extra.xlsx]extra_Bioplastic'!E190)</f>
        <v/>
      </c>
      <c r="F190">
        <f>IF(ISBLANK('Q:\Abteilungsprojekte\Eng\EngData\PROJECT_Bioplastics\Renjie_Pan\05-Raw_Data\Lab_results\[LabSamples2025_Bioplastic_extra.xlsx]extra_Bioplastic'!F190)," ",'Q:\Abteilungsprojekte\Eng\EngData\PROJECT_Bioplastics\Renjie_Pan\05-Raw_Data\Lab_results\[LabSamples2025_Bioplastic_extra.xlsx]extra_Bioplastic'!F190)</f>
        <v/>
      </c>
      <c r="G190">
        <f>IF(ISBLANK('Q:\Abteilungsprojekte\Eng\EngData\PROJECT_Bioplastics\Renjie_Pan\05-Raw_Data\Lab_results\[LabSamples2025_Bioplastic_extra.xlsx]extra_Bioplastic'!G190)," ",'Q:\Abteilungsprojekte\Eng\EngData\PROJECT_Bioplastics\Renjie_Pan\05-Raw_Data\Lab_results\[LabSamples2025_Bioplastic_extra.xlsx]extra_Bioplastic'!G190)</f>
        <v/>
      </c>
      <c r="H190">
        <f>IF(ISBLANK('Q:\Abteilungsprojekte\Eng\EngData\PROJECT_Bioplastics\Renjie_Pan\05-Raw_Data\Lab_results\[LabSamples2025_Bioplastic_extra.xlsx]extra_Bioplastic'!H190)," ",'Q:\Abteilungsprojekte\Eng\EngData\PROJECT_Bioplastics\Renjie_Pan\05-Raw_Data\Lab_results\[LabSamples2025_Bioplastic_extra.xlsx]extra_Bioplastic'!H190)</f>
        <v/>
      </c>
    </row>
    <row r="191">
      <c r="A191">
        <f>IF(ISBLANK('Q:\Abteilungsprojekte\Eng\EngData\PROJECT_Bioplastics\Renjie_Pan\05-Raw_Data\Lab_results\[LabSamples2025_Bioplastic_extra.xlsx]extra_Bioplastic'!A191)," ",'Q:\Abteilungsprojekte\Eng\EngData\PROJECT_Bioplastics\Renjie_Pan\05-Raw_Data\Lab_results\[LabSamples2025_Bioplastic_extra.xlsx]extra_Bioplastic'!A191)</f>
        <v/>
      </c>
      <c r="B191">
        <f>IF(ISBLANK('Q:\Abteilungsprojekte\Eng\EngData\PROJECT_Bioplastics\Renjie_Pan\05-Raw_Data\Lab_results\[LabSamples2025_Bioplastic_extra.xlsx]extra_Bioplastic'!B191)," ",'Q:\Abteilungsprojekte\Eng\EngData\PROJECT_Bioplastics\Renjie_Pan\05-Raw_Data\Lab_results\[LabSamples2025_Bioplastic_extra.xlsx]extra_Bioplastic'!B191)</f>
        <v/>
      </c>
      <c r="C191">
        <f>IF(ISBLANK('Q:\Abteilungsprojekte\Eng\EngData\PROJECT_Bioplastics\Renjie_Pan\05-Raw_Data\Lab_results\[LabSamples2025_Bioplastic_extra.xlsx]extra_Bioplastic'!C191)," ",'Q:\Abteilungsprojekte\Eng\EngData\PROJECT_Bioplastics\Renjie_Pan\05-Raw_Data\Lab_results\[LabSamples2025_Bioplastic_extra.xlsx]extra_Bioplastic'!C191)</f>
        <v/>
      </c>
      <c r="D191">
        <f>IF(ISBLANK('Q:\Abteilungsprojekte\Eng\EngData\PROJECT_Bioplastics\Renjie_Pan\05-Raw_Data\Lab_results\[LabSamples2025_Bioplastic_extra.xlsx]extra_Bioplastic'!D191)," ",'Q:\Abteilungsprojekte\Eng\EngData\PROJECT_Bioplastics\Renjie_Pan\05-Raw_Data\Lab_results\[LabSamples2025_Bioplastic_extra.xlsx]extra_Bioplastic'!D191)</f>
        <v/>
      </c>
      <c r="E191">
        <f>IF(ISBLANK('Q:\Abteilungsprojekte\Eng\EngData\PROJECT_Bioplastics\Renjie_Pan\05-Raw_Data\Lab_results\[LabSamples2025_Bioplastic_extra.xlsx]extra_Bioplastic'!E191)," ",'Q:\Abteilungsprojekte\Eng\EngData\PROJECT_Bioplastics\Renjie_Pan\05-Raw_Data\Lab_results\[LabSamples2025_Bioplastic_extra.xlsx]extra_Bioplastic'!E191)</f>
        <v/>
      </c>
      <c r="F191">
        <f>IF(ISBLANK('Q:\Abteilungsprojekte\Eng\EngData\PROJECT_Bioplastics\Renjie_Pan\05-Raw_Data\Lab_results\[LabSamples2025_Bioplastic_extra.xlsx]extra_Bioplastic'!F191)," ",'Q:\Abteilungsprojekte\Eng\EngData\PROJECT_Bioplastics\Renjie_Pan\05-Raw_Data\Lab_results\[LabSamples2025_Bioplastic_extra.xlsx]extra_Bioplastic'!F191)</f>
        <v/>
      </c>
      <c r="G191">
        <f>IF(ISBLANK('Q:\Abteilungsprojekte\Eng\EngData\PROJECT_Bioplastics\Renjie_Pan\05-Raw_Data\Lab_results\[LabSamples2025_Bioplastic_extra.xlsx]extra_Bioplastic'!G191)," ",'Q:\Abteilungsprojekte\Eng\EngData\PROJECT_Bioplastics\Renjie_Pan\05-Raw_Data\Lab_results\[LabSamples2025_Bioplastic_extra.xlsx]extra_Bioplastic'!G191)</f>
        <v/>
      </c>
      <c r="H191">
        <f>IF(ISBLANK('Q:\Abteilungsprojekte\Eng\EngData\PROJECT_Bioplastics\Renjie_Pan\05-Raw_Data\Lab_results\[LabSamples2025_Bioplastic_extra.xlsx]extra_Bioplastic'!H191)," ",'Q:\Abteilungsprojekte\Eng\EngData\PROJECT_Bioplastics\Renjie_Pan\05-Raw_Data\Lab_results\[LabSamples2025_Bioplastic_extra.xlsx]extra_Bioplastic'!H191)</f>
        <v/>
      </c>
    </row>
    <row r="192">
      <c r="A192">
        <f>IF(ISBLANK('Q:\Abteilungsprojekte\Eng\EngData\PROJECT_Bioplastics\Renjie_Pan\05-Raw_Data\Lab_results\[LabSamples2025_Bioplastic_extra.xlsx]extra_Bioplastic'!A192)," ",'Q:\Abteilungsprojekte\Eng\EngData\PROJECT_Bioplastics\Renjie_Pan\05-Raw_Data\Lab_results\[LabSamples2025_Bioplastic_extra.xlsx]extra_Bioplastic'!A192)</f>
        <v/>
      </c>
      <c r="B192">
        <f>IF(ISBLANK('Q:\Abteilungsprojekte\Eng\EngData\PROJECT_Bioplastics\Renjie_Pan\05-Raw_Data\Lab_results\[LabSamples2025_Bioplastic_extra.xlsx]extra_Bioplastic'!B192)," ",'Q:\Abteilungsprojekte\Eng\EngData\PROJECT_Bioplastics\Renjie_Pan\05-Raw_Data\Lab_results\[LabSamples2025_Bioplastic_extra.xlsx]extra_Bioplastic'!B192)</f>
        <v/>
      </c>
      <c r="C192">
        <f>IF(ISBLANK('Q:\Abteilungsprojekte\Eng\EngData\PROJECT_Bioplastics\Renjie_Pan\05-Raw_Data\Lab_results\[LabSamples2025_Bioplastic_extra.xlsx]extra_Bioplastic'!C192)," ",'Q:\Abteilungsprojekte\Eng\EngData\PROJECT_Bioplastics\Renjie_Pan\05-Raw_Data\Lab_results\[LabSamples2025_Bioplastic_extra.xlsx]extra_Bioplastic'!C192)</f>
        <v/>
      </c>
      <c r="D192">
        <f>IF(ISBLANK('Q:\Abteilungsprojekte\Eng\EngData\PROJECT_Bioplastics\Renjie_Pan\05-Raw_Data\Lab_results\[LabSamples2025_Bioplastic_extra.xlsx]extra_Bioplastic'!D192)," ",'Q:\Abteilungsprojekte\Eng\EngData\PROJECT_Bioplastics\Renjie_Pan\05-Raw_Data\Lab_results\[LabSamples2025_Bioplastic_extra.xlsx]extra_Bioplastic'!D192)</f>
        <v/>
      </c>
      <c r="E192">
        <f>IF(ISBLANK('Q:\Abteilungsprojekte\Eng\EngData\PROJECT_Bioplastics\Renjie_Pan\05-Raw_Data\Lab_results\[LabSamples2025_Bioplastic_extra.xlsx]extra_Bioplastic'!E192)," ",'Q:\Abteilungsprojekte\Eng\EngData\PROJECT_Bioplastics\Renjie_Pan\05-Raw_Data\Lab_results\[LabSamples2025_Bioplastic_extra.xlsx]extra_Bioplastic'!E192)</f>
        <v/>
      </c>
      <c r="F192">
        <f>IF(ISBLANK('Q:\Abteilungsprojekte\Eng\EngData\PROJECT_Bioplastics\Renjie_Pan\05-Raw_Data\Lab_results\[LabSamples2025_Bioplastic_extra.xlsx]extra_Bioplastic'!F192)," ",'Q:\Abteilungsprojekte\Eng\EngData\PROJECT_Bioplastics\Renjie_Pan\05-Raw_Data\Lab_results\[LabSamples2025_Bioplastic_extra.xlsx]extra_Bioplastic'!F192)</f>
        <v/>
      </c>
      <c r="G192">
        <f>IF(ISBLANK('Q:\Abteilungsprojekte\Eng\EngData\PROJECT_Bioplastics\Renjie_Pan\05-Raw_Data\Lab_results\[LabSamples2025_Bioplastic_extra.xlsx]extra_Bioplastic'!G192)," ",'Q:\Abteilungsprojekte\Eng\EngData\PROJECT_Bioplastics\Renjie_Pan\05-Raw_Data\Lab_results\[LabSamples2025_Bioplastic_extra.xlsx]extra_Bioplastic'!G192)</f>
        <v/>
      </c>
      <c r="H192">
        <f>IF(ISBLANK('Q:\Abteilungsprojekte\Eng\EngData\PROJECT_Bioplastics\Renjie_Pan\05-Raw_Data\Lab_results\[LabSamples2025_Bioplastic_extra.xlsx]extra_Bioplastic'!H192)," ",'Q:\Abteilungsprojekte\Eng\EngData\PROJECT_Bioplastics\Renjie_Pan\05-Raw_Data\Lab_results\[LabSamples2025_Bioplastic_extra.xlsx]extra_Bioplastic'!H192)</f>
        <v/>
      </c>
    </row>
    <row r="193">
      <c r="A193">
        <f>IF(ISBLANK('Q:\Abteilungsprojekte\Eng\EngData\PROJECT_Bioplastics\Renjie_Pan\05-Raw_Data\Lab_results\[LabSamples2025_Bioplastic_extra.xlsx]extra_Bioplastic'!A193)," ",'Q:\Abteilungsprojekte\Eng\EngData\PROJECT_Bioplastics\Renjie_Pan\05-Raw_Data\Lab_results\[LabSamples2025_Bioplastic_extra.xlsx]extra_Bioplastic'!A193)</f>
        <v/>
      </c>
      <c r="B193">
        <f>IF(ISBLANK('Q:\Abteilungsprojekte\Eng\EngData\PROJECT_Bioplastics\Renjie_Pan\05-Raw_Data\Lab_results\[LabSamples2025_Bioplastic_extra.xlsx]extra_Bioplastic'!B193)," ",'Q:\Abteilungsprojekte\Eng\EngData\PROJECT_Bioplastics\Renjie_Pan\05-Raw_Data\Lab_results\[LabSamples2025_Bioplastic_extra.xlsx]extra_Bioplastic'!B193)</f>
        <v/>
      </c>
      <c r="C193">
        <f>IF(ISBLANK('Q:\Abteilungsprojekte\Eng\EngData\PROJECT_Bioplastics\Renjie_Pan\05-Raw_Data\Lab_results\[LabSamples2025_Bioplastic_extra.xlsx]extra_Bioplastic'!C193)," ",'Q:\Abteilungsprojekte\Eng\EngData\PROJECT_Bioplastics\Renjie_Pan\05-Raw_Data\Lab_results\[LabSamples2025_Bioplastic_extra.xlsx]extra_Bioplastic'!C193)</f>
        <v/>
      </c>
      <c r="D193">
        <f>IF(ISBLANK('Q:\Abteilungsprojekte\Eng\EngData\PROJECT_Bioplastics\Renjie_Pan\05-Raw_Data\Lab_results\[LabSamples2025_Bioplastic_extra.xlsx]extra_Bioplastic'!D193)," ",'Q:\Abteilungsprojekte\Eng\EngData\PROJECT_Bioplastics\Renjie_Pan\05-Raw_Data\Lab_results\[LabSamples2025_Bioplastic_extra.xlsx]extra_Bioplastic'!D193)</f>
        <v/>
      </c>
      <c r="E193">
        <f>IF(ISBLANK('Q:\Abteilungsprojekte\Eng\EngData\PROJECT_Bioplastics\Renjie_Pan\05-Raw_Data\Lab_results\[LabSamples2025_Bioplastic_extra.xlsx]extra_Bioplastic'!E193)," ",'Q:\Abteilungsprojekte\Eng\EngData\PROJECT_Bioplastics\Renjie_Pan\05-Raw_Data\Lab_results\[LabSamples2025_Bioplastic_extra.xlsx]extra_Bioplastic'!E193)</f>
        <v/>
      </c>
      <c r="F193">
        <f>IF(ISBLANK('Q:\Abteilungsprojekte\Eng\EngData\PROJECT_Bioplastics\Renjie_Pan\05-Raw_Data\Lab_results\[LabSamples2025_Bioplastic_extra.xlsx]extra_Bioplastic'!F193)," ",'Q:\Abteilungsprojekte\Eng\EngData\PROJECT_Bioplastics\Renjie_Pan\05-Raw_Data\Lab_results\[LabSamples2025_Bioplastic_extra.xlsx]extra_Bioplastic'!F193)</f>
        <v/>
      </c>
      <c r="G193">
        <f>IF(ISBLANK('Q:\Abteilungsprojekte\Eng\EngData\PROJECT_Bioplastics\Renjie_Pan\05-Raw_Data\Lab_results\[LabSamples2025_Bioplastic_extra.xlsx]extra_Bioplastic'!G193)," ",'Q:\Abteilungsprojekte\Eng\EngData\PROJECT_Bioplastics\Renjie_Pan\05-Raw_Data\Lab_results\[LabSamples2025_Bioplastic_extra.xlsx]extra_Bioplastic'!G193)</f>
        <v/>
      </c>
      <c r="H193">
        <f>IF(ISBLANK('Q:\Abteilungsprojekte\Eng\EngData\PROJECT_Bioplastics\Renjie_Pan\05-Raw_Data\Lab_results\[LabSamples2025_Bioplastic_extra.xlsx]extra_Bioplastic'!H193)," ",'Q:\Abteilungsprojekte\Eng\EngData\PROJECT_Bioplastics\Renjie_Pan\05-Raw_Data\Lab_results\[LabSamples2025_Bioplastic_extra.xlsx]extra_Bioplastic'!H193)</f>
        <v/>
      </c>
    </row>
    <row r="194">
      <c r="A194">
        <f>IF(ISBLANK('Q:\Abteilungsprojekte\Eng\EngData\PROJECT_Bioplastics\Renjie_Pan\05-Raw_Data\Lab_results\[LabSamples2025_Bioplastic_extra.xlsx]extra_Bioplastic'!A194)," ",'Q:\Abteilungsprojekte\Eng\EngData\PROJECT_Bioplastics\Renjie_Pan\05-Raw_Data\Lab_results\[LabSamples2025_Bioplastic_extra.xlsx]extra_Bioplastic'!A194)</f>
        <v/>
      </c>
      <c r="B194">
        <f>IF(ISBLANK('Q:\Abteilungsprojekte\Eng\EngData\PROJECT_Bioplastics\Renjie_Pan\05-Raw_Data\Lab_results\[LabSamples2025_Bioplastic_extra.xlsx]extra_Bioplastic'!B194)," ",'Q:\Abteilungsprojekte\Eng\EngData\PROJECT_Bioplastics\Renjie_Pan\05-Raw_Data\Lab_results\[LabSamples2025_Bioplastic_extra.xlsx]extra_Bioplastic'!B194)</f>
        <v/>
      </c>
      <c r="C194">
        <f>IF(ISBLANK('Q:\Abteilungsprojekte\Eng\EngData\PROJECT_Bioplastics\Renjie_Pan\05-Raw_Data\Lab_results\[LabSamples2025_Bioplastic_extra.xlsx]extra_Bioplastic'!C194)," ",'Q:\Abteilungsprojekte\Eng\EngData\PROJECT_Bioplastics\Renjie_Pan\05-Raw_Data\Lab_results\[LabSamples2025_Bioplastic_extra.xlsx]extra_Bioplastic'!C194)</f>
        <v/>
      </c>
      <c r="D194">
        <f>IF(ISBLANK('Q:\Abteilungsprojekte\Eng\EngData\PROJECT_Bioplastics\Renjie_Pan\05-Raw_Data\Lab_results\[LabSamples2025_Bioplastic_extra.xlsx]extra_Bioplastic'!D194)," ",'Q:\Abteilungsprojekte\Eng\EngData\PROJECT_Bioplastics\Renjie_Pan\05-Raw_Data\Lab_results\[LabSamples2025_Bioplastic_extra.xlsx]extra_Bioplastic'!D194)</f>
        <v/>
      </c>
      <c r="E194">
        <f>IF(ISBLANK('Q:\Abteilungsprojekte\Eng\EngData\PROJECT_Bioplastics\Renjie_Pan\05-Raw_Data\Lab_results\[LabSamples2025_Bioplastic_extra.xlsx]extra_Bioplastic'!E194)," ",'Q:\Abteilungsprojekte\Eng\EngData\PROJECT_Bioplastics\Renjie_Pan\05-Raw_Data\Lab_results\[LabSamples2025_Bioplastic_extra.xlsx]extra_Bioplastic'!E194)</f>
        <v/>
      </c>
      <c r="F194">
        <f>IF(ISBLANK('Q:\Abteilungsprojekte\Eng\EngData\PROJECT_Bioplastics\Renjie_Pan\05-Raw_Data\Lab_results\[LabSamples2025_Bioplastic_extra.xlsx]extra_Bioplastic'!F194)," ",'Q:\Abteilungsprojekte\Eng\EngData\PROJECT_Bioplastics\Renjie_Pan\05-Raw_Data\Lab_results\[LabSamples2025_Bioplastic_extra.xlsx]extra_Bioplastic'!F194)</f>
        <v/>
      </c>
      <c r="G194">
        <f>IF(ISBLANK('Q:\Abteilungsprojekte\Eng\EngData\PROJECT_Bioplastics\Renjie_Pan\05-Raw_Data\Lab_results\[LabSamples2025_Bioplastic_extra.xlsx]extra_Bioplastic'!G194)," ",'Q:\Abteilungsprojekte\Eng\EngData\PROJECT_Bioplastics\Renjie_Pan\05-Raw_Data\Lab_results\[LabSamples2025_Bioplastic_extra.xlsx]extra_Bioplastic'!G194)</f>
        <v/>
      </c>
      <c r="H194">
        <f>IF(ISBLANK('Q:\Abteilungsprojekte\Eng\EngData\PROJECT_Bioplastics\Renjie_Pan\05-Raw_Data\Lab_results\[LabSamples2025_Bioplastic_extra.xlsx]extra_Bioplastic'!H194)," ",'Q:\Abteilungsprojekte\Eng\EngData\PROJECT_Bioplastics\Renjie_Pan\05-Raw_Data\Lab_results\[LabSamples2025_Bioplastic_extra.xlsx]extra_Bioplastic'!H194)</f>
        <v/>
      </c>
    </row>
    <row r="195">
      <c r="A195">
        <f>IF(ISBLANK('Q:\Abteilungsprojekte\Eng\EngData\PROJECT_Bioplastics\Renjie_Pan\05-Raw_Data\Lab_results\[LabSamples2025_Bioplastic_extra.xlsx]extra_Bioplastic'!A195)," ",'Q:\Abteilungsprojekte\Eng\EngData\PROJECT_Bioplastics\Renjie_Pan\05-Raw_Data\Lab_results\[LabSamples2025_Bioplastic_extra.xlsx]extra_Bioplastic'!A195)</f>
        <v/>
      </c>
      <c r="B195">
        <f>IF(ISBLANK('Q:\Abteilungsprojekte\Eng\EngData\PROJECT_Bioplastics\Renjie_Pan\05-Raw_Data\Lab_results\[LabSamples2025_Bioplastic_extra.xlsx]extra_Bioplastic'!B195)," ",'Q:\Abteilungsprojekte\Eng\EngData\PROJECT_Bioplastics\Renjie_Pan\05-Raw_Data\Lab_results\[LabSamples2025_Bioplastic_extra.xlsx]extra_Bioplastic'!B195)</f>
        <v/>
      </c>
      <c r="C195">
        <f>IF(ISBLANK('Q:\Abteilungsprojekte\Eng\EngData\PROJECT_Bioplastics\Renjie_Pan\05-Raw_Data\Lab_results\[LabSamples2025_Bioplastic_extra.xlsx]extra_Bioplastic'!C195)," ",'Q:\Abteilungsprojekte\Eng\EngData\PROJECT_Bioplastics\Renjie_Pan\05-Raw_Data\Lab_results\[LabSamples2025_Bioplastic_extra.xlsx]extra_Bioplastic'!C195)</f>
        <v/>
      </c>
      <c r="D195">
        <f>IF(ISBLANK('Q:\Abteilungsprojekte\Eng\EngData\PROJECT_Bioplastics\Renjie_Pan\05-Raw_Data\Lab_results\[LabSamples2025_Bioplastic_extra.xlsx]extra_Bioplastic'!D195)," ",'Q:\Abteilungsprojekte\Eng\EngData\PROJECT_Bioplastics\Renjie_Pan\05-Raw_Data\Lab_results\[LabSamples2025_Bioplastic_extra.xlsx]extra_Bioplastic'!D195)</f>
        <v/>
      </c>
      <c r="E195">
        <f>IF(ISBLANK('Q:\Abteilungsprojekte\Eng\EngData\PROJECT_Bioplastics\Renjie_Pan\05-Raw_Data\Lab_results\[LabSamples2025_Bioplastic_extra.xlsx]extra_Bioplastic'!E195)," ",'Q:\Abteilungsprojekte\Eng\EngData\PROJECT_Bioplastics\Renjie_Pan\05-Raw_Data\Lab_results\[LabSamples2025_Bioplastic_extra.xlsx]extra_Bioplastic'!E195)</f>
        <v/>
      </c>
      <c r="F195">
        <f>IF(ISBLANK('Q:\Abteilungsprojekte\Eng\EngData\PROJECT_Bioplastics\Renjie_Pan\05-Raw_Data\Lab_results\[LabSamples2025_Bioplastic_extra.xlsx]extra_Bioplastic'!F195)," ",'Q:\Abteilungsprojekte\Eng\EngData\PROJECT_Bioplastics\Renjie_Pan\05-Raw_Data\Lab_results\[LabSamples2025_Bioplastic_extra.xlsx]extra_Bioplastic'!F195)</f>
        <v/>
      </c>
      <c r="G195">
        <f>IF(ISBLANK('Q:\Abteilungsprojekte\Eng\EngData\PROJECT_Bioplastics\Renjie_Pan\05-Raw_Data\Lab_results\[LabSamples2025_Bioplastic_extra.xlsx]extra_Bioplastic'!G195)," ",'Q:\Abteilungsprojekte\Eng\EngData\PROJECT_Bioplastics\Renjie_Pan\05-Raw_Data\Lab_results\[LabSamples2025_Bioplastic_extra.xlsx]extra_Bioplastic'!G195)</f>
        <v/>
      </c>
      <c r="H195">
        <f>IF(ISBLANK('Q:\Abteilungsprojekte\Eng\EngData\PROJECT_Bioplastics\Renjie_Pan\05-Raw_Data\Lab_results\[LabSamples2025_Bioplastic_extra.xlsx]extra_Bioplastic'!H195)," ",'Q:\Abteilungsprojekte\Eng\EngData\PROJECT_Bioplastics\Renjie_Pan\05-Raw_Data\Lab_results\[LabSamples2025_Bioplastic_extra.xlsx]extra_Bioplastic'!H195)</f>
        <v/>
      </c>
    </row>
    <row r="196">
      <c r="A196">
        <f>IF(ISBLANK('Q:\Abteilungsprojekte\Eng\EngData\PROJECT_Bioplastics\Renjie_Pan\05-Raw_Data\Lab_results\[LabSamples2025_Bioplastic_extra.xlsx]extra_Bioplastic'!A196)," ",'Q:\Abteilungsprojekte\Eng\EngData\PROJECT_Bioplastics\Renjie_Pan\05-Raw_Data\Lab_results\[LabSamples2025_Bioplastic_extra.xlsx]extra_Bioplastic'!A196)</f>
        <v/>
      </c>
      <c r="B196">
        <f>IF(ISBLANK('Q:\Abteilungsprojekte\Eng\EngData\PROJECT_Bioplastics\Renjie_Pan\05-Raw_Data\Lab_results\[LabSamples2025_Bioplastic_extra.xlsx]extra_Bioplastic'!B196)," ",'Q:\Abteilungsprojekte\Eng\EngData\PROJECT_Bioplastics\Renjie_Pan\05-Raw_Data\Lab_results\[LabSamples2025_Bioplastic_extra.xlsx]extra_Bioplastic'!B196)</f>
        <v/>
      </c>
      <c r="C196">
        <f>IF(ISBLANK('Q:\Abteilungsprojekte\Eng\EngData\PROJECT_Bioplastics\Renjie_Pan\05-Raw_Data\Lab_results\[LabSamples2025_Bioplastic_extra.xlsx]extra_Bioplastic'!C196)," ",'Q:\Abteilungsprojekte\Eng\EngData\PROJECT_Bioplastics\Renjie_Pan\05-Raw_Data\Lab_results\[LabSamples2025_Bioplastic_extra.xlsx]extra_Bioplastic'!C196)</f>
        <v/>
      </c>
      <c r="D196">
        <f>IF(ISBLANK('Q:\Abteilungsprojekte\Eng\EngData\PROJECT_Bioplastics\Renjie_Pan\05-Raw_Data\Lab_results\[LabSamples2025_Bioplastic_extra.xlsx]extra_Bioplastic'!D196)," ",'Q:\Abteilungsprojekte\Eng\EngData\PROJECT_Bioplastics\Renjie_Pan\05-Raw_Data\Lab_results\[LabSamples2025_Bioplastic_extra.xlsx]extra_Bioplastic'!D196)</f>
        <v/>
      </c>
      <c r="E196">
        <f>IF(ISBLANK('Q:\Abteilungsprojekte\Eng\EngData\PROJECT_Bioplastics\Renjie_Pan\05-Raw_Data\Lab_results\[LabSamples2025_Bioplastic_extra.xlsx]extra_Bioplastic'!E196)," ",'Q:\Abteilungsprojekte\Eng\EngData\PROJECT_Bioplastics\Renjie_Pan\05-Raw_Data\Lab_results\[LabSamples2025_Bioplastic_extra.xlsx]extra_Bioplastic'!E196)</f>
        <v/>
      </c>
      <c r="F196">
        <f>IF(ISBLANK('Q:\Abteilungsprojekte\Eng\EngData\PROJECT_Bioplastics\Renjie_Pan\05-Raw_Data\Lab_results\[LabSamples2025_Bioplastic_extra.xlsx]extra_Bioplastic'!F196)," ",'Q:\Abteilungsprojekte\Eng\EngData\PROJECT_Bioplastics\Renjie_Pan\05-Raw_Data\Lab_results\[LabSamples2025_Bioplastic_extra.xlsx]extra_Bioplastic'!F196)</f>
        <v/>
      </c>
      <c r="G196">
        <f>IF(ISBLANK('Q:\Abteilungsprojekte\Eng\EngData\PROJECT_Bioplastics\Renjie_Pan\05-Raw_Data\Lab_results\[LabSamples2025_Bioplastic_extra.xlsx]extra_Bioplastic'!G196)," ",'Q:\Abteilungsprojekte\Eng\EngData\PROJECT_Bioplastics\Renjie_Pan\05-Raw_Data\Lab_results\[LabSamples2025_Bioplastic_extra.xlsx]extra_Bioplastic'!G196)</f>
        <v/>
      </c>
      <c r="H196">
        <f>IF(ISBLANK('Q:\Abteilungsprojekte\Eng\EngData\PROJECT_Bioplastics\Renjie_Pan\05-Raw_Data\Lab_results\[LabSamples2025_Bioplastic_extra.xlsx]extra_Bioplastic'!H196)," ",'Q:\Abteilungsprojekte\Eng\EngData\PROJECT_Bioplastics\Renjie_Pan\05-Raw_Data\Lab_results\[LabSamples2025_Bioplastic_extra.xlsx]extra_Bioplastic'!H196)</f>
        <v/>
      </c>
    </row>
    <row r="197">
      <c r="A197">
        <f>IF(ISBLANK('Q:\Abteilungsprojekte\Eng\EngData\PROJECT_Bioplastics\Renjie_Pan\05-Raw_Data\Lab_results\[LabSamples2025_Bioplastic_extra.xlsx]extra_Bioplastic'!A197)," ",'Q:\Abteilungsprojekte\Eng\EngData\PROJECT_Bioplastics\Renjie_Pan\05-Raw_Data\Lab_results\[LabSamples2025_Bioplastic_extra.xlsx]extra_Bioplastic'!A197)</f>
        <v/>
      </c>
      <c r="B197">
        <f>IF(ISBLANK('Q:\Abteilungsprojekte\Eng\EngData\PROJECT_Bioplastics\Renjie_Pan\05-Raw_Data\Lab_results\[LabSamples2025_Bioplastic_extra.xlsx]extra_Bioplastic'!B197)," ",'Q:\Abteilungsprojekte\Eng\EngData\PROJECT_Bioplastics\Renjie_Pan\05-Raw_Data\Lab_results\[LabSamples2025_Bioplastic_extra.xlsx]extra_Bioplastic'!B197)</f>
        <v/>
      </c>
      <c r="C197">
        <f>IF(ISBLANK('Q:\Abteilungsprojekte\Eng\EngData\PROJECT_Bioplastics\Renjie_Pan\05-Raw_Data\Lab_results\[LabSamples2025_Bioplastic_extra.xlsx]extra_Bioplastic'!C197)," ",'Q:\Abteilungsprojekte\Eng\EngData\PROJECT_Bioplastics\Renjie_Pan\05-Raw_Data\Lab_results\[LabSamples2025_Bioplastic_extra.xlsx]extra_Bioplastic'!C197)</f>
        <v/>
      </c>
      <c r="D197">
        <f>IF(ISBLANK('Q:\Abteilungsprojekte\Eng\EngData\PROJECT_Bioplastics\Renjie_Pan\05-Raw_Data\Lab_results\[LabSamples2025_Bioplastic_extra.xlsx]extra_Bioplastic'!D197)," ",'Q:\Abteilungsprojekte\Eng\EngData\PROJECT_Bioplastics\Renjie_Pan\05-Raw_Data\Lab_results\[LabSamples2025_Bioplastic_extra.xlsx]extra_Bioplastic'!D197)</f>
        <v/>
      </c>
      <c r="E197">
        <f>IF(ISBLANK('Q:\Abteilungsprojekte\Eng\EngData\PROJECT_Bioplastics\Renjie_Pan\05-Raw_Data\Lab_results\[LabSamples2025_Bioplastic_extra.xlsx]extra_Bioplastic'!E197)," ",'Q:\Abteilungsprojekte\Eng\EngData\PROJECT_Bioplastics\Renjie_Pan\05-Raw_Data\Lab_results\[LabSamples2025_Bioplastic_extra.xlsx]extra_Bioplastic'!E197)</f>
        <v/>
      </c>
      <c r="F197">
        <f>IF(ISBLANK('Q:\Abteilungsprojekte\Eng\EngData\PROJECT_Bioplastics\Renjie_Pan\05-Raw_Data\Lab_results\[LabSamples2025_Bioplastic_extra.xlsx]extra_Bioplastic'!F197)," ",'Q:\Abteilungsprojekte\Eng\EngData\PROJECT_Bioplastics\Renjie_Pan\05-Raw_Data\Lab_results\[LabSamples2025_Bioplastic_extra.xlsx]extra_Bioplastic'!F197)</f>
        <v/>
      </c>
      <c r="G197">
        <f>IF(ISBLANK('Q:\Abteilungsprojekte\Eng\EngData\PROJECT_Bioplastics\Renjie_Pan\05-Raw_Data\Lab_results\[LabSamples2025_Bioplastic_extra.xlsx]extra_Bioplastic'!G197)," ",'Q:\Abteilungsprojekte\Eng\EngData\PROJECT_Bioplastics\Renjie_Pan\05-Raw_Data\Lab_results\[LabSamples2025_Bioplastic_extra.xlsx]extra_Bioplastic'!G197)</f>
        <v/>
      </c>
      <c r="H197">
        <f>IF(ISBLANK('Q:\Abteilungsprojekte\Eng\EngData\PROJECT_Bioplastics\Renjie_Pan\05-Raw_Data\Lab_results\[LabSamples2025_Bioplastic_extra.xlsx]extra_Bioplastic'!H197)," ",'Q:\Abteilungsprojekte\Eng\EngData\PROJECT_Bioplastics\Renjie_Pan\05-Raw_Data\Lab_results\[LabSamples2025_Bioplastic_extra.xlsx]extra_Bioplastic'!H197)</f>
        <v/>
      </c>
    </row>
    <row r="198">
      <c r="A198">
        <f>IF(ISBLANK('Q:\Abteilungsprojekte\Eng\EngData\PROJECT_Bioplastics\Renjie_Pan\05-Raw_Data\Lab_results\[LabSamples2025_Bioplastic_extra.xlsx]extra_Bioplastic'!A198)," ",'Q:\Abteilungsprojekte\Eng\EngData\PROJECT_Bioplastics\Renjie_Pan\05-Raw_Data\Lab_results\[LabSamples2025_Bioplastic_extra.xlsx]extra_Bioplastic'!A198)</f>
        <v/>
      </c>
      <c r="B198">
        <f>IF(ISBLANK('Q:\Abteilungsprojekte\Eng\EngData\PROJECT_Bioplastics\Renjie_Pan\05-Raw_Data\Lab_results\[LabSamples2025_Bioplastic_extra.xlsx]extra_Bioplastic'!B198)," ",'Q:\Abteilungsprojekte\Eng\EngData\PROJECT_Bioplastics\Renjie_Pan\05-Raw_Data\Lab_results\[LabSamples2025_Bioplastic_extra.xlsx]extra_Bioplastic'!B198)</f>
        <v/>
      </c>
      <c r="C198">
        <f>IF(ISBLANK('Q:\Abteilungsprojekte\Eng\EngData\PROJECT_Bioplastics\Renjie_Pan\05-Raw_Data\Lab_results\[LabSamples2025_Bioplastic_extra.xlsx]extra_Bioplastic'!C198)," ",'Q:\Abteilungsprojekte\Eng\EngData\PROJECT_Bioplastics\Renjie_Pan\05-Raw_Data\Lab_results\[LabSamples2025_Bioplastic_extra.xlsx]extra_Bioplastic'!C198)</f>
        <v/>
      </c>
      <c r="D198">
        <f>IF(ISBLANK('Q:\Abteilungsprojekte\Eng\EngData\PROJECT_Bioplastics\Renjie_Pan\05-Raw_Data\Lab_results\[LabSamples2025_Bioplastic_extra.xlsx]extra_Bioplastic'!D198)," ",'Q:\Abteilungsprojekte\Eng\EngData\PROJECT_Bioplastics\Renjie_Pan\05-Raw_Data\Lab_results\[LabSamples2025_Bioplastic_extra.xlsx]extra_Bioplastic'!D198)</f>
        <v/>
      </c>
      <c r="E198">
        <f>IF(ISBLANK('Q:\Abteilungsprojekte\Eng\EngData\PROJECT_Bioplastics\Renjie_Pan\05-Raw_Data\Lab_results\[LabSamples2025_Bioplastic_extra.xlsx]extra_Bioplastic'!E198)," ",'Q:\Abteilungsprojekte\Eng\EngData\PROJECT_Bioplastics\Renjie_Pan\05-Raw_Data\Lab_results\[LabSamples2025_Bioplastic_extra.xlsx]extra_Bioplastic'!E198)</f>
        <v/>
      </c>
      <c r="F198">
        <f>IF(ISBLANK('Q:\Abteilungsprojekte\Eng\EngData\PROJECT_Bioplastics\Renjie_Pan\05-Raw_Data\Lab_results\[LabSamples2025_Bioplastic_extra.xlsx]extra_Bioplastic'!F198)," ",'Q:\Abteilungsprojekte\Eng\EngData\PROJECT_Bioplastics\Renjie_Pan\05-Raw_Data\Lab_results\[LabSamples2025_Bioplastic_extra.xlsx]extra_Bioplastic'!F198)</f>
        <v/>
      </c>
      <c r="G198">
        <f>IF(ISBLANK('Q:\Abteilungsprojekte\Eng\EngData\PROJECT_Bioplastics\Renjie_Pan\05-Raw_Data\Lab_results\[LabSamples2025_Bioplastic_extra.xlsx]extra_Bioplastic'!G198)," ",'Q:\Abteilungsprojekte\Eng\EngData\PROJECT_Bioplastics\Renjie_Pan\05-Raw_Data\Lab_results\[LabSamples2025_Bioplastic_extra.xlsx]extra_Bioplastic'!G198)</f>
        <v/>
      </c>
      <c r="H198">
        <f>IF(ISBLANK('Q:\Abteilungsprojekte\Eng\EngData\PROJECT_Bioplastics\Renjie_Pan\05-Raw_Data\Lab_results\[LabSamples2025_Bioplastic_extra.xlsx]extra_Bioplastic'!H198)," ",'Q:\Abteilungsprojekte\Eng\EngData\PROJECT_Bioplastics\Renjie_Pan\05-Raw_Data\Lab_results\[LabSamples2025_Bioplastic_extra.xlsx]extra_Bioplastic'!H198)</f>
        <v/>
      </c>
    </row>
    <row r="199">
      <c r="A199">
        <f>IF(ISBLANK('Q:\Abteilungsprojekte\Eng\EngData\PROJECT_Bioplastics\Renjie_Pan\05-Raw_Data\Lab_results\[LabSamples2025_Bioplastic_extra.xlsx]extra_Bioplastic'!A199)," ",'Q:\Abteilungsprojekte\Eng\EngData\PROJECT_Bioplastics\Renjie_Pan\05-Raw_Data\Lab_results\[LabSamples2025_Bioplastic_extra.xlsx]extra_Bioplastic'!A199)</f>
        <v/>
      </c>
      <c r="B199">
        <f>IF(ISBLANK('Q:\Abteilungsprojekte\Eng\EngData\PROJECT_Bioplastics\Renjie_Pan\05-Raw_Data\Lab_results\[LabSamples2025_Bioplastic_extra.xlsx]extra_Bioplastic'!B199)," ",'Q:\Abteilungsprojekte\Eng\EngData\PROJECT_Bioplastics\Renjie_Pan\05-Raw_Data\Lab_results\[LabSamples2025_Bioplastic_extra.xlsx]extra_Bioplastic'!B199)</f>
        <v/>
      </c>
      <c r="C199">
        <f>IF(ISBLANK('Q:\Abteilungsprojekte\Eng\EngData\PROJECT_Bioplastics\Renjie_Pan\05-Raw_Data\Lab_results\[LabSamples2025_Bioplastic_extra.xlsx]extra_Bioplastic'!C199)," ",'Q:\Abteilungsprojekte\Eng\EngData\PROJECT_Bioplastics\Renjie_Pan\05-Raw_Data\Lab_results\[LabSamples2025_Bioplastic_extra.xlsx]extra_Bioplastic'!C199)</f>
        <v/>
      </c>
      <c r="D199">
        <f>IF(ISBLANK('Q:\Abteilungsprojekte\Eng\EngData\PROJECT_Bioplastics\Renjie_Pan\05-Raw_Data\Lab_results\[LabSamples2025_Bioplastic_extra.xlsx]extra_Bioplastic'!D199)," ",'Q:\Abteilungsprojekte\Eng\EngData\PROJECT_Bioplastics\Renjie_Pan\05-Raw_Data\Lab_results\[LabSamples2025_Bioplastic_extra.xlsx]extra_Bioplastic'!D199)</f>
        <v/>
      </c>
      <c r="E199">
        <f>IF(ISBLANK('Q:\Abteilungsprojekte\Eng\EngData\PROJECT_Bioplastics\Renjie_Pan\05-Raw_Data\Lab_results\[LabSamples2025_Bioplastic_extra.xlsx]extra_Bioplastic'!E199)," ",'Q:\Abteilungsprojekte\Eng\EngData\PROJECT_Bioplastics\Renjie_Pan\05-Raw_Data\Lab_results\[LabSamples2025_Bioplastic_extra.xlsx]extra_Bioplastic'!E199)</f>
        <v/>
      </c>
      <c r="F199">
        <f>IF(ISBLANK('Q:\Abteilungsprojekte\Eng\EngData\PROJECT_Bioplastics\Renjie_Pan\05-Raw_Data\Lab_results\[LabSamples2025_Bioplastic_extra.xlsx]extra_Bioplastic'!F199)," ",'Q:\Abteilungsprojekte\Eng\EngData\PROJECT_Bioplastics\Renjie_Pan\05-Raw_Data\Lab_results\[LabSamples2025_Bioplastic_extra.xlsx]extra_Bioplastic'!F199)</f>
        <v/>
      </c>
      <c r="G199">
        <f>IF(ISBLANK('Q:\Abteilungsprojekte\Eng\EngData\PROJECT_Bioplastics\Renjie_Pan\05-Raw_Data\Lab_results\[LabSamples2025_Bioplastic_extra.xlsx]extra_Bioplastic'!G199)," ",'Q:\Abteilungsprojekte\Eng\EngData\PROJECT_Bioplastics\Renjie_Pan\05-Raw_Data\Lab_results\[LabSamples2025_Bioplastic_extra.xlsx]extra_Bioplastic'!G199)</f>
        <v/>
      </c>
      <c r="H199">
        <f>IF(ISBLANK('Q:\Abteilungsprojekte\Eng\EngData\PROJECT_Bioplastics\Renjie_Pan\05-Raw_Data\Lab_results\[LabSamples2025_Bioplastic_extra.xlsx]extra_Bioplastic'!H199)," ",'Q:\Abteilungsprojekte\Eng\EngData\PROJECT_Bioplastics\Renjie_Pan\05-Raw_Data\Lab_results\[LabSamples2025_Bioplastic_extra.xlsx]extra_Bioplastic'!H199)</f>
        <v/>
      </c>
    </row>
    <row r="200">
      <c r="A200">
        <f>IF(ISBLANK('Q:\Abteilungsprojekte\Eng\EngData\PROJECT_Bioplastics\Renjie_Pan\05-Raw_Data\Lab_results\[LabSamples2025_Bioplastic_extra.xlsx]extra_Bioplastic'!A200)," ",'Q:\Abteilungsprojekte\Eng\EngData\PROJECT_Bioplastics\Renjie_Pan\05-Raw_Data\Lab_results\[LabSamples2025_Bioplastic_extra.xlsx]extra_Bioplastic'!A200)</f>
        <v/>
      </c>
      <c r="B200">
        <f>IF(ISBLANK('Q:\Abteilungsprojekte\Eng\EngData\PROJECT_Bioplastics\Renjie_Pan\05-Raw_Data\Lab_results\[LabSamples2025_Bioplastic_extra.xlsx]extra_Bioplastic'!B200)," ",'Q:\Abteilungsprojekte\Eng\EngData\PROJECT_Bioplastics\Renjie_Pan\05-Raw_Data\Lab_results\[LabSamples2025_Bioplastic_extra.xlsx]extra_Bioplastic'!B200)</f>
        <v/>
      </c>
      <c r="C200">
        <f>IF(ISBLANK('Q:\Abteilungsprojekte\Eng\EngData\PROJECT_Bioplastics\Renjie_Pan\05-Raw_Data\Lab_results\[LabSamples2025_Bioplastic_extra.xlsx]extra_Bioplastic'!C200)," ",'Q:\Abteilungsprojekte\Eng\EngData\PROJECT_Bioplastics\Renjie_Pan\05-Raw_Data\Lab_results\[LabSamples2025_Bioplastic_extra.xlsx]extra_Bioplastic'!C200)</f>
        <v/>
      </c>
      <c r="D200">
        <f>IF(ISBLANK('Q:\Abteilungsprojekte\Eng\EngData\PROJECT_Bioplastics\Renjie_Pan\05-Raw_Data\Lab_results\[LabSamples2025_Bioplastic_extra.xlsx]extra_Bioplastic'!D200)," ",'Q:\Abteilungsprojekte\Eng\EngData\PROJECT_Bioplastics\Renjie_Pan\05-Raw_Data\Lab_results\[LabSamples2025_Bioplastic_extra.xlsx]extra_Bioplastic'!D200)</f>
        <v/>
      </c>
      <c r="E200">
        <f>IF(ISBLANK('Q:\Abteilungsprojekte\Eng\EngData\PROJECT_Bioplastics\Renjie_Pan\05-Raw_Data\Lab_results\[LabSamples2025_Bioplastic_extra.xlsx]extra_Bioplastic'!E200)," ",'Q:\Abteilungsprojekte\Eng\EngData\PROJECT_Bioplastics\Renjie_Pan\05-Raw_Data\Lab_results\[LabSamples2025_Bioplastic_extra.xlsx]extra_Bioplastic'!E200)</f>
        <v/>
      </c>
      <c r="F200">
        <f>IF(ISBLANK('Q:\Abteilungsprojekte\Eng\EngData\PROJECT_Bioplastics\Renjie_Pan\05-Raw_Data\Lab_results\[LabSamples2025_Bioplastic_extra.xlsx]extra_Bioplastic'!F200)," ",'Q:\Abteilungsprojekte\Eng\EngData\PROJECT_Bioplastics\Renjie_Pan\05-Raw_Data\Lab_results\[LabSamples2025_Bioplastic_extra.xlsx]extra_Bioplastic'!F200)</f>
        <v/>
      </c>
      <c r="G200">
        <f>IF(ISBLANK('Q:\Abteilungsprojekte\Eng\EngData\PROJECT_Bioplastics\Renjie_Pan\05-Raw_Data\Lab_results\[LabSamples2025_Bioplastic_extra.xlsx]extra_Bioplastic'!G200)," ",'Q:\Abteilungsprojekte\Eng\EngData\PROJECT_Bioplastics\Renjie_Pan\05-Raw_Data\Lab_results\[LabSamples2025_Bioplastic_extra.xlsx]extra_Bioplastic'!G200)</f>
        <v/>
      </c>
      <c r="H200">
        <f>IF(ISBLANK('Q:\Abteilungsprojekte\Eng\EngData\PROJECT_Bioplastics\Renjie_Pan\05-Raw_Data\Lab_results\[LabSamples2025_Bioplastic_extra.xlsx]extra_Bioplastic'!H200)," ",'Q:\Abteilungsprojekte\Eng\EngData\PROJECT_Bioplastics\Renjie_Pan\05-Raw_Data\Lab_results\[LabSamples2025_Bioplastic_extra.xlsx]extra_Bioplastic'!H200)</f>
        <v/>
      </c>
    </row>
    <row r="201">
      <c r="A201">
        <f>IF(ISBLANK('Q:\Abteilungsprojekte\Eng\EngData\PROJECT_Bioplastics\Renjie_Pan\05-Raw_Data\Lab_results\[LabSamples2025_Bioplastic_extra.xlsx]extra_Bioplastic'!A201)," ",'Q:\Abteilungsprojekte\Eng\EngData\PROJECT_Bioplastics\Renjie_Pan\05-Raw_Data\Lab_results\[LabSamples2025_Bioplastic_extra.xlsx]extra_Bioplastic'!A201)</f>
        <v/>
      </c>
      <c r="B201">
        <f>IF(ISBLANK('Q:\Abteilungsprojekte\Eng\EngData\PROJECT_Bioplastics\Renjie_Pan\05-Raw_Data\Lab_results\[LabSamples2025_Bioplastic_extra.xlsx]extra_Bioplastic'!B201)," ",'Q:\Abteilungsprojekte\Eng\EngData\PROJECT_Bioplastics\Renjie_Pan\05-Raw_Data\Lab_results\[LabSamples2025_Bioplastic_extra.xlsx]extra_Bioplastic'!B201)</f>
        <v/>
      </c>
      <c r="C201">
        <f>IF(ISBLANK('Q:\Abteilungsprojekte\Eng\EngData\PROJECT_Bioplastics\Renjie_Pan\05-Raw_Data\Lab_results\[LabSamples2025_Bioplastic_extra.xlsx]extra_Bioplastic'!C201)," ",'Q:\Abteilungsprojekte\Eng\EngData\PROJECT_Bioplastics\Renjie_Pan\05-Raw_Data\Lab_results\[LabSamples2025_Bioplastic_extra.xlsx]extra_Bioplastic'!C201)</f>
        <v/>
      </c>
      <c r="D201">
        <f>IF(ISBLANK('Q:\Abteilungsprojekte\Eng\EngData\PROJECT_Bioplastics\Renjie_Pan\05-Raw_Data\Lab_results\[LabSamples2025_Bioplastic_extra.xlsx]extra_Bioplastic'!D201)," ",'Q:\Abteilungsprojekte\Eng\EngData\PROJECT_Bioplastics\Renjie_Pan\05-Raw_Data\Lab_results\[LabSamples2025_Bioplastic_extra.xlsx]extra_Bioplastic'!D201)</f>
        <v/>
      </c>
      <c r="E201">
        <f>IF(ISBLANK('Q:\Abteilungsprojekte\Eng\EngData\PROJECT_Bioplastics\Renjie_Pan\05-Raw_Data\Lab_results\[LabSamples2025_Bioplastic_extra.xlsx]extra_Bioplastic'!E201)," ",'Q:\Abteilungsprojekte\Eng\EngData\PROJECT_Bioplastics\Renjie_Pan\05-Raw_Data\Lab_results\[LabSamples2025_Bioplastic_extra.xlsx]extra_Bioplastic'!E201)</f>
        <v/>
      </c>
      <c r="F201">
        <f>IF(ISBLANK('Q:\Abteilungsprojekte\Eng\EngData\PROJECT_Bioplastics\Renjie_Pan\05-Raw_Data\Lab_results\[LabSamples2025_Bioplastic_extra.xlsx]extra_Bioplastic'!F201)," ",'Q:\Abteilungsprojekte\Eng\EngData\PROJECT_Bioplastics\Renjie_Pan\05-Raw_Data\Lab_results\[LabSamples2025_Bioplastic_extra.xlsx]extra_Bioplastic'!F201)</f>
        <v/>
      </c>
      <c r="G201">
        <f>IF(ISBLANK('Q:\Abteilungsprojekte\Eng\EngData\PROJECT_Bioplastics\Renjie_Pan\05-Raw_Data\Lab_results\[LabSamples2025_Bioplastic_extra.xlsx]extra_Bioplastic'!G201)," ",'Q:\Abteilungsprojekte\Eng\EngData\PROJECT_Bioplastics\Renjie_Pan\05-Raw_Data\Lab_results\[LabSamples2025_Bioplastic_extra.xlsx]extra_Bioplastic'!G201)</f>
        <v/>
      </c>
      <c r="H201">
        <f>IF(ISBLANK('Q:\Abteilungsprojekte\Eng\EngData\PROJECT_Bioplastics\Renjie_Pan\05-Raw_Data\Lab_results\[LabSamples2025_Bioplastic_extra.xlsx]extra_Bioplastic'!H201)," ",'Q:\Abteilungsprojekte\Eng\EngData\PROJECT_Bioplastics\Renjie_Pan\05-Raw_Data\Lab_results\[LabSamples2025_Bioplastic_extra.xlsx]extra_Bioplastic'!H201)</f>
        <v/>
      </c>
    </row>
    <row r="202">
      <c r="A202">
        <f>IF(ISBLANK('Q:\Abteilungsprojekte\Eng\EngData\PROJECT_Bioplastics\Renjie_Pan\05-Raw_Data\Lab_results\[LabSamples2025_Bioplastic_extra.xlsx]extra_Bioplastic'!A202)," ",'Q:\Abteilungsprojekte\Eng\EngData\PROJECT_Bioplastics\Renjie_Pan\05-Raw_Data\Lab_results\[LabSamples2025_Bioplastic_extra.xlsx]extra_Bioplastic'!A202)</f>
        <v/>
      </c>
      <c r="B202">
        <f>IF(ISBLANK('Q:\Abteilungsprojekte\Eng\EngData\PROJECT_Bioplastics\Renjie_Pan\05-Raw_Data\Lab_results\[LabSamples2025_Bioplastic_extra.xlsx]extra_Bioplastic'!B202)," ",'Q:\Abteilungsprojekte\Eng\EngData\PROJECT_Bioplastics\Renjie_Pan\05-Raw_Data\Lab_results\[LabSamples2025_Bioplastic_extra.xlsx]extra_Bioplastic'!B202)</f>
        <v/>
      </c>
      <c r="C202">
        <f>IF(ISBLANK('Q:\Abteilungsprojekte\Eng\EngData\PROJECT_Bioplastics\Renjie_Pan\05-Raw_Data\Lab_results\[LabSamples2025_Bioplastic_extra.xlsx]extra_Bioplastic'!C202)," ",'Q:\Abteilungsprojekte\Eng\EngData\PROJECT_Bioplastics\Renjie_Pan\05-Raw_Data\Lab_results\[LabSamples2025_Bioplastic_extra.xlsx]extra_Bioplastic'!C202)</f>
        <v/>
      </c>
      <c r="D202">
        <f>IF(ISBLANK('Q:\Abteilungsprojekte\Eng\EngData\PROJECT_Bioplastics\Renjie_Pan\05-Raw_Data\Lab_results\[LabSamples2025_Bioplastic_extra.xlsx]extra_Bioplastic'!D202)," ",'Q:\Abteilungsprojekte\Eng\EngData\PROJECT_Bioplastics\Renjie_Pan\05-Raw_Data\Lab_results\[LabSamples2025_Bioplastic_extra.xlsx]extra_Bioplastic'!D202)</f>
        <v/>
      </c>
      <c r="E202">
        <f>IF(ISBLANK('Q:\Abteilungsprojekte\Eng\EngData\PROJECT_Bioplastics\Renjie_Pan\05-Raw_Data\Lab_results\[LabSamples2025_Bioplastic_extra.xlsx]extra_Bioplastic'!E202)," ",'Q:\Abteilungsprojekte\Eng\EngData\PROJECT_Bioplastics\Renjie_Pan\05-Raw_Data\Lab_results\[LabSamples2025_Bioplastic_extra.xlsx]extra_Bioplastic'!E202)</f>
        <v/>
      </c>
      <c r="F202">
        <f>IF(ISBLANK('Q:\Abteilungsprojekte\Eng\EngData\PROJECT_Bioplastics\Renjie_Pan\05-Raw_Data\Lab_results\[LabSamples2025_Bioplastic_extra.xlsx]extra_Bioplastic'!F202)," ",'Q:\Abteilungsprojekte\Eng\EngData\PROJECT_Bioplastics\Renjie_Pan\05-Raw_Data\Lab_results\[LabSamples2025_Bioplastic_extra.xlsx]extra_Bioplastic'!F202)</f>
        <v/>
      </c>
      <c r="G202">
        <f>IF(ISBLANK('Q:\Abteilungsprojekte\Eng\EngData\PROJECT_Bioplastics\Renjie_Pan\05-Raw_Data\Lab_results\[LabSamples2025_Bioplastic_extra.xlsx]extra_Bioplastic'!G202)," ",'Q:\Abteilungsprojekte\Eng\EngData\PROJECT_Bioplastics\Renjie_Pan\05-Raw_Data\Lab_results\[LabSamples2025_Bioplastic_extra.xlsx]extra_Bioplastic'!G202)</f>
        <v/>
      </c>
      <c r="H202">
        <f>IF(ISBLANK('Q:\Abteilungsprojekte\Eng\EngData\PROJECT_Bioplastics\Renjie_Pan\05-Raw_Data\Lab_results\[LabSamples2025_Bioplastic_extra.xlsx]extra_Bioplastic'!H202)," ",'Q:\Abteilungsprojekte\Eng\EngData\PROJECT_Bioplastics\Renjie_Pan\05-Raw_Data\Lab_results\[LabSamples2025_Bioplastic_extra.xlsx]extra_Bioplastic'!H202)</f>
        <v/>
      </c>
    </row>
    <row r="203">
      <c r="A203">
        <f>IF(ISBLANK('Q:\Abteilungsprojekte\Eng\EngData\PROJECT_Bioplastics\Renjie_Pan\05-Raw_Data\Lab_results\[LabSamples2025_Bioplastic_extra.xlsx]extra_Bioplastic'!A203)," ",'Q:\Abteilungsprojekte\Eng\EngData\PROJECT_Bioplastics\Renjie_Pan\05-Raw_Data\Lab_results\[LabSamples2025_Bioplastic_extra.xlsx]extra_Bioplastic'!A203)</f>
        <v/>
      </c>
      <c r="B203">
        <f>IF(ISBLANK('Q:\Abteilungsprojekte\Eng\EngData\PROJECT_Bioplastics\Renjie_Pan\05-Raw_Data\Lab_results\[LabSamples2025_Bioplastic_extra.xlsx]extra_Bioplastic'!B203)," ",'Q:\Abteilungsprojekte\Eng\EngData\PROJECT_Bioplastics\Renjie_Pan\05-Raw_Data\Lab_results\[LabSamples2025_Bioplastic_extra.xlsx]extra_Bioplastic'!B203)</f>
        <v/>
      </c>
      <c r="C203">
        <f>IF(ISBLANK('Q:\Abteilungsprojekte\Eng\EngData\PROJECT_Bioplastics\Renjie_Pan\05-Raw_Data\Lab_results\[LabSamples2025_Bioplastic_extra.xlsx]extra_Bioplastic'!C203)," ",'Q:\Abteilungsprojekte\Eng\EngData\PROJECT_Bioplastics\Renjie_Pan\05-Raw_Data\Lab_results\[LabSamples2025_Bioplastic_extra.xlsx]extra_Bioplastic'!C203)</f>
        <v/>
      </c>
      <c r="D203">
        <f>IF(ISBLANK('Q:\Abteilungsprojekte\Eng\EngData\PROJECT_Bioplastics\Renjie_Pan\05-Raw_Data\Lab_results\[LabSamples2025_Bioplastic_extra.xlsx]extra_Bioplastic'!D203)," ",'Q:\Abteilungsprojekte\Eng\EngData\PROJECT_Bioplastics\Renjie_Pan\05-Raw_Data\Lab_results\[LabSamples2025_Bioplastic_extra.xlsx]extra_Bioplastic'!D203)</f>
        <v/>
      </c>
      <c r="E203">
        <f>IF(ISBLANK('Q:\Abteilungsprojekte\Eng\EngData\PROJECT_Bioplastics\Renjie_Pan\05-Raw_Data\Lab_results\[LabSamples2025_Bioplastic_extra.xlsx]extra_Bioplastic'!E203)," ",'Q:\Abteilungsprojekte\Eng\EngData\PROJECT_Bioplastics\Renjie_Pan\05-Raw_Data\Lab_results\[LabSamples2025_Bioplastic_extra.xlsx]extra_Bioplastic'!E203)</f>
        <v/>
      </c>
      <c r="F203">
        <f>IF(ISBLANK('Q:\Abteilungsprojekte\Eng\EngData\PROJECT_Bioplastics\Renjie_Pan\05-Raw_Data\Lab_results\[LabSamples2025_Bioplastic_extra.xlsx]extra_Bioplastic'!F203)," ",'Q:\Abteilungsprojekte\Eng\EngData\PROJECT_Bioplastics\Renjie_Pan\05-Raw_Data\Lab_results\[LabSamples2025_Bioplastic_extra.xlsx]extra_Bioplastic'!F203)</f>
        <v/>
      </c>
      <c r="G203">
        <f>IF(ISBLANK('Q:\Abteilungsprojekte\Eng\EngData\PROJECT_Bioplastics\Renjie_Pan\05-Raw_Data\Lab_results\[LabSamples2025_Bioplastic_extra.xlsx]extra_Bioplastic'!G203)," ",'Q:\Abteilungsprojekte\Eng\EngData\PROJECT_Bioplastics\Renjie_Pan\05-Raw_Data\Lab_results\[LabSamples2025_Bioplastic_extra.xlsx]extra_Bioplastic'!G203)</f>
        <v/>
      </c>
      <c r="H203">
        <f>IF(ISBLANK('Q:\Abteilungsprojekte\Eng\EngData\PROJECT_Bioplastics\Renjie_Pan\05-Raw_Data\Lab_results\[LabSamples2025_Bioplastic_extra.xlsx]extra_Bioplastic'!H203)," ",'Q:\Abteilungsprojekte\Eng\EngData\PROJECT_Bioplastics\Renjie_Pan\05-Raw_Data\Lab_results\[LabSamples2025_Bioplastic_extra.xlsx]extra_Bioplastic'!H203)</f>
        <v/>
      </c>
    </row>
    <row r="204">
      <c r="A204">
        <f>IF(ISBLANK('Q:\Abteilungsprojekte\Eng\EngData\PROJECT_Bioplastics\Renjie_Pan\05-Raw_Data\Lab_results\[LabSamples2025_Bioplastic_extra.xlsx]extra_Bioplastic'!A204)," ",'Q:\Abteilungsprojekte\Eng\EngData\PROJECT_Bioplastics\Renjie_Pan\05-Raw_Data\Lab_results\[LabSamples2025_Bioplastic_extra.xlsx]extra_Bioplastic'!A204)</f>
        <v/>
      </c>
      <c r="B204">
        <f>IF(ISBLANK('Q:\Abteilungsprojekte\Eng\EngData\PROJECT_Bioplastics\Renjie_Pan\05-Raw_Data\Lab_results\[LabSamples2025_Bioplastic_extra.xlsx]extra_Bioplastic'!B204)," ",'Q:\Abteilungsprojekte\Eng\EngData\PROJECT_Bioplastics\Renjie_Pan\05-Raw_Data\Lab_results\[LabSamples2025_Bioplastic_extra.xlsx]extra_Bioplastic'!B204)</f>
        <v/>
      </c>
      <c r="C204">
        <f>IF(ISBLANK('Q:\Abteilungsprojekte\Eng\EngData\PROJECT_Bioplastics\Renjie_Pan\05-Raw_Data\Lab_results\[LabSamples2025_Bioplastic_extra.xlsx]extra_Bioplastic'!C204)," ",'Q:\Abteilungsprojekte\Eng\EngData\PROJECT_Bioplastics\Renjie_Pan\05-Raw_Data\Lab_results\[LabSamples2025_Bioplastic_extra.xlsx]extra_Bioplastic'!C204)</f>
        <v/>
      </c>
      <c r="D204">
        <f>IF(ISBLANK('Q:\Abteilungsprojekte\Eng\EngData\PROJECT_Bioplastics\Renjie_Pan\05-Raw_Data\Lab_results\[LabSamples2025_Bioplastic_extra.xlsx]extra_Bioplastic'!D204)," ",'Q:\Abteilungsprojekte\Eng\EngData\PROJECT_Bioplastics\Renjie_Pan\05-Raw_Data\Lab_results\[LabSamples2025_Bioplastic_extra.xlsx]extra_Bioplastic'!D204)</f>
        <v/>
      </c>
      <c r="E204">
        <f>IF(ISBLANK('Q:\Abteilungsprojekte\Eng\EngData\PROJECT_Bioplastics\Renjie_Pan\05-Raw_Data\Lab_results\[LabSamples2025_Bioplastic_extra.xlsx]extra_Bioplastic'!E204)," ",'Q:\Abteilungsprojekte\Eng\EngData\PROJECT_Bioplastics\Renjie_Pan\05-Raw_Data\Lab_results\[LabSamples2025_Bioplastic_extra.xlsx]extra_Bioplastic'!E204)</f>
        <v/>
      </c>
      <c r="F204">
        <f>IF(ISBLANK('Q:\Abteilungsprojekte\Eng\EngData\PROJECT_Bioplastics\Renjie_Pan\05-Raw_Data\Lab_results\[LabSamples2025_Bioplastic_extra.xlsx]extra_Bioplastic'!F204)," ",'Q:\Abteilungsprojekte\Eng\EngData\PROJECT_Bioplastics\Renjie_Pan\05-Raw_Data\Lab_results\[LabSamples2025_Bioplastic_extra.xlsx]extra_Bioplastic'!F204)</f>
        <v/>
      </c>
      <c r="G204">
        <f>IF(ISBLANK('Q:\Abteilungsprojekte\Eng\EngData\PROJECT_Bioplastics\Renjie_Pan\05-Raw_Data\Lab_results\[LabSamples2025_Bioplastic_extra.xlsx]extra_Bioplastic'!G204)," ",'Q:\Abteilungsprojekte\Eng\EngData\PROJECT_Bioplastics\Renjie_Pan\05-Raw_Data\Lab_results\[LabSamples2025_Bioplastic_extra.xlsx]extra_Bioplastic'!G204)</f>
        <v/>
      </c>
      <c r="H204">
        <f>IF(ISBLANK('Q:\Abteilungsprojekte\Eng\EngData\PROJECT_Bioplastics\Renjie_Pan\05-Raw_Data\Lab_results\[LabSamples2025_Bioplastic_extra.xlsx]extra_Bioplastic'!H204)," ",'Q:\Abteilungsprojekte\Eng\EngData\PROJECT_Bioplastics\Renjie_Pan\05-Raw_Data\Lab_results\[LabSamples2025_Bioplastic_extra.xlsx]extra_Bioplastic'!H204)</f>
        <v/>
      </c>
    </row>
    <row r="205">
      <c r="A205">
        <f>IF(ISBLANK('Q:\Abteilungsprojekte\Eng\EngData\PROJECT_Bioplastics\Renjie_Pan\05-Raw_Data\Lab_results\[LabSamples2025_Bioplastic_extra.xlsx]extra_Bioplastic'!A205)," ",'Q:\Abteilungsprojekte\Eng\EngData\PROJECT_Bioplastics\Renjie_Pan\05-Raw_Data\Lab_results\[LabSamples2025_Bioplastic_extra.xlsx]extra_Bioplastic'!A205)</f>
        <v/>
      </c>
      <c r="B205">
        <f>IF(ISBLANK('Q:\Abteilungsprojekte\Eng\EngData\PROJECT_Bioplastics\Renjie_Pan\05-Raw_Data\Lab_results\[LabSamples2025_Bioplastic_extra.xlsx]extra_Bioplastic'!B205)," ",'Q:\Abteilungsprojekte\Eng\EngData\PROJECT_Bioplastics\Renjie_Pan\05-Raw_Data\Lab_results\[LabSamples2025_Bioplastic_extra.xlsx]extra_Bioplastic'!B205)</f>
        <v/>
      </c>
      <c r="C205">
        <f>IF(ISBLANK('Q:\Abteilungsprojekte\Eng\EngData\PROJECT_Bioplastics\Renjie_Pan\05-Raw_Data\Lab_results\[LabSamples2025_Bioplastic_extra.xlsx]extra_Bioplastic'!C205)," ",'Q:\Abteilungsprojekte\Eng\EngData\PROJECT_Bioplastics\Renjie_Pan\05-Raw_Data\Lab_results\[LabSamples2025_Bioplastic_extra.xlsx]extra_Bioplastic'!C205)</f>
        <v/>
      </c>
      <c r="D205">
        <f>IF(ISBLANK('Q:\Abteilungsprojekte\Eng\EngData\PROJECT_Bioplastics\Renjie_Pan\05-Raw_Data\Lab_results\[LabSamples2025_Bioplastic_extra.xlsx]extra_Bioplastic'!D205)," ",'Q:\Abteilungsprojekte\Eng\EngData\PROJECT_Bioplastics\Renjie_Pan\05-Raw_Data\Lab_results\[LabSamples2025_Bioplastic_extra.xlsx]extra_Bioplastic'!D205)</f>
        <v/>
      </c>
      <c r="E205">
        <f>IF(ISBLANK('Q:\Abteilungsprojekte\Eng\EngData\PROJECT_Bioplastics\Renjie_Pan\05-Raw_Data\Lab_results\[LabSamples2025_Bioplastic_extra.xlsx]extra_Bioplastic'!E205)," ",'Q:\Abteilungsprojekte\Eng\EngData\PROJECT_Bioplastics\Renjie_Pan\05-Raw_Data\Lab_results\[LabSamples2025_Bioplastic_extra.xlsx]extra_Bioplastic'!E205)</f>
        <v/>
      </c>
      <c r="F205">
        <f>IF(ISBLANK('Q:\Abteilungsprojekte\Eng\EngData\PROJECT_Bioplastics\Renjie_Pan\05-Raw_Data\Lab_results\[LabSamples2025_Bioplastic_extra.xlsx]extra_Bioplastic'!F205)," ",'Q:\Abteilungsprojekte\Eng\EngData\PROJECT_Bioplastics\Renjie_Pan\05-Raw_Data\Lab_results\[LabSamples2025_Bioplastic_extra.xlsx]extra_Bioplastic'!F205)</f>
        <v/>
      </c>
      <c r="G205">
        <f>IF(ISBLANK('Q:\Abteilungsprojekte\Eng\EngData\PROJECT_Bioplastics\Renjie_Pan\05-Raw_Data\Lab_results\[LabSamples2025_Bioplastic_extra.xlsx]extra_Bioplastic'!G205)," ",'Q:\Abteilungsprojekte\Eng\EngData\PROJECT_Bioplastics\Renjie_Pan\05-Raw_Data\Lab_results\[LabSamples2025_Bioplastic_extra.xlsx]extra_Bioplastic'!G205)</f>
        <v/>
      </c>
      <c r="H205">
        <f>IF(ISBLANK('Q:\Abteilungsprojekte\Eng\EngData\PROJECT_Bioplastics\Renjie_Pan\05-Raw_Data\Lab_results\[LabSamples2025_Bioplastic_extra.xlsx]extra_Bioplastic'!H205)," ",'Q:\Abteilungsprojekte\Eng\EngData\PROJECT_Bioplastics\Renjie_Pan\05-Raw_Data\Lab_results\[LabSamples2025_Bioplastic_extra.xlsx]extra_Bioplastic'!H205)</f>
        <v/>
      </c>
    </row>
    <row r="206">
      <c r="A206">
        <f>IF(ISBLANK('Q:\Abteilungsprojekte\Eng\EngData\PROJECT_Bioplastics\Renjie_Pan\05-Raw_Data\Lab_results\[LabSamples2025_Bioplastic_extra.xlsx]extra_Bioplastic'!A206)," ",'Q:\Abteilungsprojekte\Eng\EngData\PROJECT_Bioplastics\Renjie_Pan\05-Raw_Data\Lab_results\[LabSamples2025_Bioplastic_extra.xlsx]extra_Bioplastic'!A206)</f>
        <v/>
      </c>
      <c r="B206">
        <f>IF(ISBLANK('Q:\Abteilungsprojekte\Eng\EngData\PROJECT_Bioplastics\Renjie_Pan\05-Raw_Data\Lab_results\[LabSamples2025_Bioplastic_extra.xlsx]extra_Bioplastic'!B206)," ",'Q:\Abteilungsprojekte\Eng\EngData\PROJECT_Bioplastics\Renjie_Pan\05-Raw_Data\Lab_results\[LabSamples2025_Bioplastic_extra.xlsx]extra_Bioplastic'!B206)</f>
        <v/>
      </c>
      <c r="C206">
        <f>IF(ISBLANK('Q:\Abteilungsprojekte\Eng\EngData\PROJECT_Bioplastics\Renjie_Pan\05-Raw_Data\Lab_results\[LabSamples2025_Bioplastic_extra.xlsx]extra_Bioplastic'!C206)," ",'Q:\Abteilungsprojekte\Eng\EngData\PROJECT_Bioplastics\Renjie_Pan\05-Raw_Data\Lab_results\[LabSamples2025_Bioplastic_extra.xlsx]extra_Bioplastic'!C206)</f>
        <v/>
      </c>
      <c r="D206">
        <f>IF(ISBLANK('Q:\Abteilungsprojekte\Eng\EngData\PROJECT_Bioplastics\Renjie_Pan\05-Raw_Data\Lab_results\[LabSamples2025_Bioplastic_extra.xlsx]extra_Bioplastic'!D206)," ",'Q:\Abteilungsprojekte\Eng\EngData\PROJECT_Bioplastics\Renjie_Pan\05-Raw_Data\Lab_results\[LabSamples2025_Bioplastic_extra.xlsx]extra_Bioplastic'!D206)</f>
        <v/>
      </c>
      <c r="E206">
        <f>IF(ISBLANK('Q:\Abteilungsprojekte\Eng\EngData\PROJECT_Bioplastics\Renjie_Pan\05-Raw_Data\Lab_results\[LabSamples2025_Bioplastic_extra.xlsx]extra_Bioplastic'!E206)," ",'Q:\Abteilungsprojekte\Eng\EngData\PROJECT_Bioplastics\Renjie_Pan\05-Raw_Data\Lab_results\[LabSamples2025_Bioplastic_extra.xlsx]extra_Bioplastic'!E206)</f>
        <v/>
      </c>
      <c r="F206">
        <f>IF(ISBLANK('Q:\Abteilungsprojekte\Eng\EngData\PROJECT_Bioplastics\Renjie_Pan\05-Raw_Data\Lab_results\[LabSamples2025_Bioplastic_extra.xlsx]extra_Bioplastic'!F206)," ",'Q:\Abteilungsprojekte\Eng\EngData\PROJECT_Bioplastics\Renjie_Pan\05-Raw_Data\Lab_results\[LabSamples2025_Bioplastic_extra.xlsx]extra_Bioplastic'!F206)</f>
        <v/>
      </c>
      <c r="G206">
        <f>IF(ISBLANK('Q:\Abteilungsprojekte\Eng\EngData\PROJECT_Bioplastics\Renjie_Pan\05-Raw_Data\Lab_results\[LabSamples2025_Bioplastic_extra.xlsx]extra_Bioplastic'!G206)," ",'Q:\Abteilungsprojekte\Eng\EngData\PROJECT_Bioplastics\Renjie_Pan\05-Raw_Data\Lab_results\[LabSamples2025_Bioplastic_extra.xlsx]extra_Bioplastic'!G206)</f>
        <v/>
      </c>
      <c r="H206">
        <f>IF(ISBLANK('Q:\Abteilungsprojekte\Eng\EngData\PROJECT_Bioplastics\Renjie_Pan\05-Raw_Data\Lab_results\[LabSamples2025_Bioplastic_extra.xlsx]extra_Bioplastic'!H206)," ",'Q:\Abteilungsprojekte\Eng\EngData\PROJECT_Bioplastics\Renjie_Pan\05-Raw_Data\Lab_results\[LabSamples2025_Bioplastic_extra.xlsx]extra_Bioplastic'!H206)</f>
        <v/>
      </c>
    </row>
    <row r="207">
      <c r="A207">
        <f>IF(ISBLANK('Q:\Abteilungsprojekte\Eng\EngData\PROJECT_Bioplastics\Renjie_Pan\05-Raw_Data\Lab_results\[LabSamples2025_Bioplastic_extra.xlsx]extra_Bioplastic'!A207)," ",'Q:\Abteilungsprojekte\Eng\EngData\PROJECT_Bioplastics\Renjie_Pan\05-Raw_Data\Lab_results\[LabSamples2025_Bioplastic_extra.xlsx]extra_Bioplastic'!A207)</f>
        <v/>
      </c>
      <c r="B207">
        <f>IF(ISBLANK('Q:\Abteilungsprojekte\Eng\EngData\PROJECT_Bioplastics\Renjie_Pan\05-Raw_Data\Lab_results\[LabSamples2025_Bioplastic_extra.xlsx]extra_Bioplastic'!B207)," ",'Q:\Abteilungsprojekte\Eng\EngData\PROJECT_Bioplastics\Renjie_Pan\05-Raw_Data\Lab_results\[LabSamples2025_Bioplastic_extra.xlsx]extra_Bioplastic'!B207)</f>
        <v/>
      </c>
      <c r="C207">
        <f>IF(ISBLANK('Q:\Abteilungsprojekte\Eng\EngData\PROJECT_Bioplastics\Renjie_Pan\05-Raw_Data\Lab_results\[LabSamples2025_Bioplastic_extra.xlsx]extra_Bioplastic'!C207)," ",'Q:\Abteilungsprojekte\Eng\EngData\PROJECT_Bioplastics\Renjie_Pan\05-Raw_Data\Lab_results\[LabSamples2025_Bioplastic_extra.xlsx]extra_Bioplastic'!C207)</f>
        <v/>
      </c>
      <c r="D207">
        <f>IF(ISBLANK('Q:\Abteilungsprojekte\Eng\EngData\PROJECT_Bioplastics\Renjie_Pan\05-Raw_Data\Lab_results\[LabSamples2025_Bioplastic_extra.xlsx]extra_Bioplastic'!D207)," ",'Q:\Abteilungsprojekte\Eng\EngData\PROJECT_Bioplastics\Renjie_Pan\05-Raw_Data\Lab_results\[LabSamples2025_Bioplastic_extra.xlsx]extra_Bioplastic'!D207)</f>
        <v/>
      </c>
      <c r="E207">
        <f>IF(ISBLANK('Q:\Abteilungsprojekte\Eng\EngData\PROJECT_Bioplastics\Renjie_Pan\05-Raw_Data\Lab_results\[LabSamples2025_Bioplastic_extra.xlsx]extra_Bioplastic'!E207)," ",'Q:\Abteilungsprojekte\Eng\EngData\PROJECT_Bioplastics\Renjie_Pan\05-Raw_Data\Lab_results\[LabSamples2025_Bioplastic_extra.xlsx]extra_Bioplastic'!E207)</f>
        <v/>
      </c>
      <c r="F207">
        <f>IF(ISBLANK('Q:\Abteilungsprojekte\Eng\EngData\PROJECT_Bioplastics\Renjie_Pan\05-Raw_Data\Lab_results\[LabSamples2025_Bioplastic_extra.xlsx]extra_Bioplastic'!F207)," ",'Q:\Abteilungsprojekte\Eng\EngData\PROJECT_Bioplastics\Renjie_Pan\05-Raw_Data\Lab_results\[LabSamples2025_Bioplastic_extra.xlsx]extra_Bioplastic'!F207)</f>
        <v/>
      </c>
      <c r="G207">
        <f>IF(ISBLANK('Q:\Abteilungsprojekte\Eng\EngData\PROJECT_Bioplastics\Renjie_Pan\05-Raw_Data\Lab_results\[LabSamples2025_Bioplastic_extra.xlsx]extra_Bioplastic'!G207)," ",'Q:\Abteilungsprojekte\Eng\EngData\PROJECT_Bioplastics\Renjie_Pan\05-Raw_Data\Lab_results\[LabSamples2025_Bioplastic_extra.xlsx]extra_Bioplastic'!G207)</f>
        <v/>
      </c>
      <c r="H207">
        <f>IF(ISBLANK('Q:\Abteilungsprojekte\Eng\EngData\PROJECT_Bioplastics\Renjie_Pan\05-Raw_Data\Lab_results\[LabSamples2025_Bioplastic_extra.xlsx]extra_Bioplastic'!H207)," ",'Q:\Abteilungsprojekte\Eng\EngData\PROJECT_Bioplastics\Renjie_Pan\05-Raw_Data\Lab_results\[LabSamples2025_Bioplastic_extra.xlsx]extra_Bioplastic'!H207)</f>
        <v/>
      </c>
    </row>
    <row r="208">
      <c r="A208">
        <f>IF(ISBLANK('Q:\Abteilungsprojekte\Eng\EngData\PROJECT_Bioplastics\Renjie_Pan\05-Raw_Data\Lab_results\[LabSamples2025_Bioplastic_extra.xlsx]extra_Bioplastic'!A208)," ",'Q:\Abteilungsprojekte\Eng\EngData\PROJECT_Bioplastics\Renjie_Pan\05-Raw_Data\Lab_results\[LabSamples2025_Bioplastic_extra.xlsx]extra_Bioplastic'!A208)</f>
        <v/>
      </c>
      <c r="B208">
        <f>IF(ISBLANK('Q:\Abteilungsprojekte\Eng\EngData\PROJECT_Bioplastics\Renjie_Pan\05-Raw_Data\Lab_results\[LabSamples2025_Bioplastic_extra.xlsx]extra_Bioplastic'!B208)," ",'Q:\Abteilungsprojekte\Eng\EngData\PROJECT_Bioplastics\Renjie_Pan\05-Raw_Data\Lab_results\[LabSamples2025_Bioplastic_extra.xlsx]extra_Bioplastic'!B208)</f>
        <v/>
      </c>
      <c r="C208">
        <f>IF(ISBLANK('Q:\Abteilungsprojekte\Eng\EngData\PROJECT_Bioplastics\Renjie_Pan\05-Raw_Data\Lab_results\[LabSamples2025_Bioplastic_extra.xlsx]extra_Bioplastic'!C208)," ",'Q:\Abteilungsprojekte\Eng\EngData\PROJECT_Bioplastics\Renjie_Pan\05-Raw_Data\Lab_results\[LabSamples2025_Bioplastic_extra.xlsx]extra_Bioplastic'!C208)</f>
        <v/>
      </c>
      <c r="D208">
        <f>IF(ISBLANK('Q:\Abteilungsprojekte\Eng\EngData\PROJECT_Bioplastics\Renjie_Pan\05-Raw_Data\Lab_results\[LabSamples2025_Bioplastic_extra.xlsx]extra_Bioplastic'!D208)," ",'Q:\Abteilungsprojekte\Eng\EngData\PROJECT_Bioplastics\Renjie_Pan\05-Raw_Data\Lab_results\[LabSamples2025_Bioplastic_extra.xlsx]extra_Bioplastic'!D208)</f>
        <v/>
      </c>
      <c r="E208">
        <f>IF(ISBLANK('Q:\Abteilungsprojekte\Eng\EngData\PROJECT_Bioplastics\Renjie_Pan\05-Raw_Data\Lab_results\[LabSamples2025_Bioplastic_extra.xlsx]extra_Bioplastic'!E208)," ",'Q:\Abteilungsprojekte\Eng\EngData\PROJECT_Bioplastics\Renjie_Pan\05-Raw_Data\Lab_results\[LabSamples2025_Bioplastic_extra.xlsx]extra_Bioplastic'!E208)</f>
        <v/>
      </c>
      <c r="F208">
        <f>IF(ISBLANK('Q:\Abteilungsprojekte\Eng\EngData\PROJECT_Bioplastics\Renjie_Pan\05-Raw_Data\Lab_results\[LabSamples2025_Bioplastic_extra.xlsx]extra_Bioplastic'!F208)," ",'Q:\Abteilungsprojekte\Eng\EngData\PROJECT_Bioplastics\Renjie_Pan\05-Raw_Data\Lab_results\[LabSamples2025_Bioplastic_extra.xlsx]extra_Bioplastic'!F208)</f>
        <v/>
      </c>
      <c r="G208">
        <f>IF(ISBLANK('Q:\Abteilungsprojekte\Eng\EngData\PROJECT_Bioplastics\Renjie_Pan\05-Raw_Data\Lab_results\[LabSamples2025_Bioplastic_extra.xlsx]extra_Bioplastic'!G208)," ",'Q:\Abteilungsprojekte\Eng\EngData\PROJECT_Bioplastics\Renjie_Pan\05-Raw_Data\Lab_results\[LabSamples2025_Bioplastic_extra.xlsx]extra_Bioplastic'!G208)</f>
        <v/>
      </c>
      <c r="H208">
        <f>IF(ISBLANK('Q:\Abteilungsprojekte\Eng\EngData\PROJECT_Bioplastics\Renjie_Pan\05-Raw_Data\Lab_results\[LabSamples2025_Bioplastic_extra.xlsx]extra_Bioplastic'!H208)," ",'Q:\Abteilungsprojekte\Eng\EngData\PROJECT_Bioplastics\Renjie_Pan\05-Raw_Data\Lab_results\[LabSamples2025_Bioplastic_extra.xlsx]extra_Bioplastic'!H208)</f>
        <v/>
      </c>
    </row>
    <row r="209">
      <c r="A209">
        <f>IF(ISBLANK('Q:\Abteilungsprojekte\Eng\EngData\PROJECT_Bioplastics\Renjie_Pan\05-Raw_Data\Lab_results\[LabSamples2025_Bioplastic_extra.xlsx]extra_Bioplastic'!A209)," ",'Q:\Abteilungsprojekte\Eng\EngData\PROJECT_Bioplastics\Renjie_Pan\05-Raw_Data\Lab_results\[LabSamples2025_Bioplastic_extra.xlsx]extra_Bioplastic'!A209)</f>
        <v/>
      </c>
      <c r="B209">
        <f>IF(ISBLANK('Q:\Abteilungsprojekte\Eng\EngData\PROJECT_Bioplastics\Renjie_Pan\05-Raw_Data\Lab_results\[LabSamples2025_Bioplastic_extra.xlsx]extra_Bioplastic'!B209)," ",'Q:\Abteilungsprojekte\Eng\EngData\PROJECT_Bioplastics\Renjie_Pan\05-Raw_Data\Lab_results\[LabSamples2025_Bioplastic_extra.xlsx]extra_Bioplastic'!B209)</f>
        <v/>
      </c>
      <c r="C209">
        <f>IF(ISBLANK('Q:\Abteilungsprojekte\Eng\EngData\PROJECT_Bioplastics\Renjie_Pan\05-Raw_Data\Lab_results\[LabSamples2025_Bioplastic_extra.xlsx]extra_Bioplastic'!C209)," ",'Q:\Abteilungsprojekte\Eng\EngData\PROJECT_Bioplastics\Renjie_Pan\05-Raw_Data\Lab_results\[LabSamples2025_Bioplastic_extra.xlsx]extra_Bioplastic'!C209)</f>
        <v/>
      </c>
      <c r="D209">
        <f>IF(ISBLANK('Q:\Abteilungsprojekte\Eng\EngData\PROJECT_Bioplastics\Renjie_Pan\05-Raw_Data\Lab_results\[LabSamples2025_Bioplastic_extra.xlsx]extra_Bioplastic'!D209)," ",'Q:\Abteilungsprojekte\Eng\EngData\PROJECT_Bioplastics\Renjie_Pan\05-Raw_Data\Lab_results\[LabSamples2025_Bioplastic_extra.xlsx]extra_Bioplastic'!D209)</f>
        <v/>
      </c>
      <c r="E209">
        <f>IF(ISBLANK('Q:\Abteilungsprojekte\Eng\EngData\PROJECT_Bioplastics\Renjie_Pan\05-Raw_Data\Lab_results\[LabSamples2025_Bioplastic_extra.xlsx]extra_Bioplastic'!E209)," ",'Q:\Abteilungsprojekte\Eng\EngData\PROJECT_Bioplastics\Renjie_Pan\05-Raw_Data\Lab_results\[LabSamples2025_Bioplastic_extra.xlsx]extra_Bioplastic'!E209)</f>
        <v/>
      </c>
      <c r="F209">
        <f>IF(ISBLANK('Q:\Abteilungsprojekte\Eng\EngData\PROJECT_Bioplastics\Renjie_Pan\05-Raw_Data\Lab_results\[LabSamples2025_Bioplastic_extra.xlsx]extra_Bioplastic'!F209)," ",'Q:\Abteilungsprojekte\Eng\EngData\PROJECT_Bioplastics\Renjie_Pan\05-Raw_Data\Lab_results\[LabSamples2025_Bioplastic_extra.xlsx]extra_Bioplastic'!F209)</f>
        <v/>
      </c>
      <c r="G209">
        <f>IF(ISBLANK('Q:\Abteilungsprojekte\Eng\EngData\PROJECT_Bioplastics\Renjie_Pan\05-Raw_Data\Lab_results\[LabSamples2025_Bioplastic_extra.xlsx]extra_Bioplastic'!G209)," ",'Q:\Abteilungsprojekte\Eng\EngData\PROJECT_Bioplastics\Renjie_Pan\05-Raw_Data\Lab_results\[LabSamples2025_Bioplastic_extra.xlsx]extra_Bioplastic'!G209)</f>
        <v/>
      </c>
      <c r="H209">
        <f>IF(ISBLANK('Q:\Abteilungsprojekte\Eng\EngData\PROJECT_Bioplastics\Renjie_Pan\05-Raw_Data\Lab_results\[LabSamples2025_Bioplastic_extra.xlsx]extra_Bioplastic'!H209)," ",'Q:\Abteilungsprojekte\Eng\EngData\PROJECT_Bioplastics\Renjie_Pan\05-Raw_Data\Lab_results\[LabSamples2025_Bioplastic_extra.xlsx]extra_Bioplastic'!H209)</f>
        <v/>
      </c>
    </row>
    <row r="210">
      <c r="A210">
        <f>IF(ISBLANK('Q:\Abteilungsprojekte\Eng\EngData\PROJECT_Bioplastics\Renjie_Pan\05-Raw_Data\Lab_results\[LabSamples2025_Bioplastic_extra.xlsx]extra_Bioplastic'!A210)," ",'Q:\Abteilungsprojekte\Eng\EngData\PROJECT_Bioplastics\Renjie_Pan\05-Raw_Data\Lab_results\[LabSamples2025_Bioplastic_extra.xlsx]extra_Bioplastic'!A210)</f>
        <v/>
      </c>
      <c r="B210">
        <f>IF(ISBLANK('Q:\Abteilungsprojekte\Eng\EngData\PROJECT_Bioplastics\Renjie_Pan\05-Raw_Data\Lab_results\[LabSamples2025_Bioplastic_extra.xlsx]extra_Bioplastic'!B210)," ",'Q:\Abteilungsprojekte\Eng\EngData\PROJECT_Bioplastics\Renjie_Pan\05-Raw_Data\Lab_results\[LabSamples2025_Bioplastic_extra.xlsx]extra_Bioplastic'!B210)</f>
        <v/>
      </c>
      <c r="C210">
        <f>IF(ISBLANK('Q:\Abteilungsprojekte\Eng\EngData\PROJECT_Bioplastics\Renjie_Pan\05-Raw_Data\Lab_results\[LabSamples2025_Bioplastic_extra.xlsx]extra_Bioplastic'!C210)," ",'Q:\Abteilungsprojekte\Eng\EngData\PROJECT_Bioplastics\Renjie_Pan\05-Raw_Data\Lab_results\[LabSamples2025_Bioplastic_extra.xlsx]extra_Bioplastic'!C210)</f>
        <v/>
      </c>
      <c r="D210">
        <f>IF(ISBLANK('Q:\Abteilungsprojekte\Eng\EngData\PROJECT_Bioplastics\Renjie_Pan\05-Raw_Data\Lab_results\[LabSamples2025_Bioplastic_extra.xlsx]extra_Bioplastic'!D210)," ",'Q:\Abteilungsprojekte\Eng\EngData\PROJECT_Bioplastics\Renjie_Pan\05-Raw_Data\Lab_results\[LabSamples2025_Bioplastic_extra.xlsx]extra_Bioplastic'!D210)</f>
        <v/>
      </c>
      <c r="E210">
        <f>IF(ISBLANK('Q:\Abteilungsprojekte\Eng\EngData\PROJECT_Bioplastics\Renjie_Pan\05-Raw_Data\Lab_results\[LabSamples2025_Bioplastic_extra.xlsx]extra_Bioplastic'!E210)," ",'Q:\Abteilungsprojekte\Eng\EngData\PROJECT_Bioplastics\Renjie_Pan\05-Raw_Data\Lab_results\[LabSamples2025_Bioplastic_extra.xlsx]extra_Bioplastic'!E210)</f>
        <v/>
      </c>
      <c r="F210">
        <f>IF(ISBLANK('Q:\Abteilungsprojekte\Eng\EngData\PROJECT_Bioplastics\Renjie_Pan\05-Raw_Data\Lab_results\[LabSamples2025_Bioplastic_extra.xlsx]extra_Bioplastic'!F210)," ",'Q:\Abteilungsprojekte\Eng\EngData\PROJECT_Bioplastics\Renjie_Pan\05-Raw_Data\Lab_results\[LabSamples2025_Bioplastic_extra.xlsx]extra_Bioplastic'!F210)</f>
        <v/>
      </c>
      <c r="G210">
        <f>IF(ISBLANK('Q:\Abteilungsprojekte\Eng\EngData\PROJECT_Bioplastics\Renjie_Pan\05-Raw_Data\Lab_results\[LabSamples2025_Bioplastic_extra.xlsx]extra_Bioplastic'!G210)," ",'Q:\Abteilungsprojekte\Eng\EngData\PROJECT_Bioplastics\Renjie_Pan\05-Raw_Data\Lab_results\[LabSamples2025_Bioplastic_extra.xlsx]extra_Bioplastic'!G210)</f>
        <v/>
      </c>
      <c r="H210">
        <f>IF(ISBLANK('Q:\Abteilungsprojekte\Eng\EngData\PROJECT_Bioplastics\Renjie_Pan\05-Raw_Data\Lab_results\[LabSamples2025_Bioplastic_extra.xlsx]extra_Bioplastic'!H210)," ",'Q:\Abteilungsprojekte\Eng\EngData\PROJECT_Bioplastics\Renjie_Pan\05-Raw_Data\Lab_results\[LabSamples2025_Bioplastic_extra.xlsx]extra_Bioplastic'!H210)</f>
        <v/>
      </c>
    </row>
    <row r="211">
      <c r="A211">
        <f>IF(ISBLANK('Q:\Abteilungsprojekte\Eng\EngData\PROJECT_Bioplastics\Renjie_Pan\05-Raw_Data\Lab_results\[LabSamples2025_Bioplastic_extra.xlsx]extra_Bioplastic'!A211)," ",'Q:\Abteilungsprojekte\Eng\EngData\PROJECT_Bioplastics\Renjie_Pan\05-Raw_Data\Lab_results\[LabSamples2025_Bioplastic_extra.xlsx]extra_Bioplastic'!A211)</f>
        <v/>
      </c>
      <c r="B211">
        <f>IF(ISBLANK('Q:\Abteilungsprojekte\Eng\EngData\PROJECT_Bioplastics\Renjie_Pan\05-Raw_Data\Lab_results\[LabSamples2025_Bioplastic_extra.xlsx]extra_Bioplastic'!B211)," ",'Q:\Abteilungsprojekte\Eng\EngData\PROJECT_Bioplastics\Renjie_Pan\05-Raw_Data\Lab_results\[LabSamples2025_Bioplastic_extra.xlsx]extra_Bioplastic'!B211)</f>
        <v/>
      </c>
      <c r="C211">
        <f>IF(ISBLANK('Q:\Abteilungsprojekte\Eng\EngData\PROJECT_Bioplastics\Renjie_Pan\05-Raw_Data\Lab_results\[LabSamples2025_Bioplastic_extra.xlsx]extra_Bioplastic'!C211)," ",'Q:\Abteilungsprojekte\Eng\EngData\PROJECT_Bioplastics\Renjie_Pan\05-Raw_Data\Lab_results\[LabSamples2025_Bioplastic_extra.xlsx]extra_Bioplastic'!C211)</f>
        <v/>
      </c>
      <c r="D211">
        <f>IF(ISBLANK('Q:\Abteilungsprojekte\Eng\EngData\PROJECT_Bioplastics\Renjie_Pan\05-Raw_Data\Lab_results\[LabSamples2025_Bioplastic_extra.xlsx]extra_Bioplastic'!D211)," ",'Q:\Abteilungsprojekte\Eng\EngData\PROJECT_Bioplastics\Renjie_Pan\05-Raw_Data\Lab_results\[LabSamples2025_Bioplastic_extra.xlsx]extra_Bioplastic'!D211)</f>
        <v/>
      </c>
      <c r="E211">
        <f>IF(ISBLANK('Q:\Abteilungsprojekte\Eng\EngData\PROJECT_Bioplastics\Renjie_Pan\05-Raw_Data\Lab_results\[LabSamples2025_Bioplastic_extra.xlsx]extra_Bioplastic'!E211)," ",'Q:\Abteilungsprojekte\Eng\EngData\PROJECT_Bioplastics\Renjie_Pan\05-Raw_Data\Lab_results\[LabSamples2025_Bioplastic_extra.xlsx]extra_Bioplastic'!E211)</f>
        <v/>
      </c>
      <c r="F211">
        <f>IF(ISBLANK('Q:\Abteilungsprojekte\Eng\EngData\PROJECT_Bioplastics\Renjie_Pan\05-Raw_Data\Lab_results\[LabSamples2025_Bioplastic_extra.xlsx]extra_Bioplastic'!F211)," ",'Q:\Abteilungsprojekte\Eng\EngData\PROJECT_Bioplastics\Renjie_Pan\05-Raw_Data\Lab_results\[LabSamples2025_Bioplastic_extra.xlsx]extra_Bioplastic'!F211)</f>
        <v/>
      </c>
      <c r="G211">
        <f>IF(ISBLANK('Q:\Abteilungsprojekte\Eng\EngData\PROJECT_Bioplastics\Renjie_Pan\05-Raw_Data\Lab_results\[LabSamples2025_Bioplastic_extra.xlsx]extra_Bioplastic'!G211)," ",'Q:\Abteilungsprojekte\Eng\EngData\PROJECT_Bioplastics\Renjie_Pan\05-Raw_Data\Lab_results\[LabSamples2025_Bioplastic_extra.xlsx]extra_Bioplastic'!G211)</f>
        <v/>
      </c>
      <c r="H211">
        <f>IF(ISBLANK('Q:\Abteilungsprojekte\Eng\EngData\PROJECT_Bioplastics\Renjie_Pan\05-Raw_Data\Lab_results\[LabSamples2025_Bioplastic_extra.xlsx]extra_Bioplastic'!H211)," ",'Q:\Abteilungsprojekte\Eng\EngData\PROJECT_Bioplastics\Renjie_Pan\05-Raw_Data\Lab_results\[LabSamples2025_Bioplastic_extra.xlsx]extra_Bioplastic'!H211)</f>
        <v/>
      </c>
    </row>
    <row r="212">
      <c r="A212">
        <f>IF(ISBLANK('Q:\Abteilungsprojekte\Eng\EngData\PROJECT_Bioplastics\Renjie_Pan\05-Raw_Data\Lab_results\[LabSamples2025_Bioplastic_extra.xlsx]extra_Bioplastic'!A212)," ",'Q:\Abteilungsprojekte\Eng\EngData\PROJECT_Bioplastics\Renjie_Pan\05-Raw_Data\Lab_results\[LabSamples2025_Bioplastic_extra.xlsx]extra_Bioplastic'!A212)</f>
        <v/>
      </c>
      <c r="B212">
        <f>IF(ISBLANK('Q:\Abteilungsprojekte\Eng\EngData\PROJECT_Bioplastics\Renjie_Pan\05-Raw_Data\Lab_results\[LabSamples2025_Bioplastic_extra.xlsx]extra_Bioplastic'!B212)," ",'Q:\Abteilungsprojekte\Eng\EngData\PROJECT_Bioplastics\Renjie_Pan\05-Raw_Data\Lab_results\[LabSamples2025_Bioplastic_extra.xlsx]extra_Bioplastic'!B212)</f>
        <v/>
      </c>
      <c r="C212">
        <f>IF(ISBLANK('Q:\Abteilungsprojekte\Eng\EngData\PROJECT_Bioplastics\Renjie_Pan\05-Raw_Data\Lab_results\[LabSamples2025_Bioplastic_extra.xlsx]extra_Bioplastic'!C212)," ",'Q:\Abteilungsprojekte\Eng\EngData\PROJECT_Bioplastics\Renjie_Pan\05-Raw_Data\Lab_results\[LabSamples2025_Bioplastic_extra.xlsx]extra_Bioplastic'!C212)</f>
        <v/>
      </c>
      <c r="D212">
        <f>IF(ISBLANK('Q:\Abteilungsprojekte\Eng\EngData\PROJECT_Bioplastics\Renjie_Pan\05-Raw_Data\Lab_results\[LabSamples2025_Bioplastic_extra.xlsx]extra_Bioplastic'!D212)," ",'Q:\Abteilungsprojekte\Eng\EngData\PROJECT_Bioplastics\Renjie_Pan\05-Raw_Data\Lab_results\[LabSamples2025_Bioplastic_extra.xlsx]extra_Bioplastic'!D212)</f>
        <v/>
      </c>
      <c r="E212">
        <f>IF(ISBLANK('Q:\Abteilungsprojekte\Eng\EngData\PROJECT_Bioplastics\Renjie_Pan\05-Raw_Data\Lab_results\[LabSamples2025_Bioplastic_extra.xlsx]extra_Bioplastic'!E212)," ",'Q:\Abteilungsprojekte\Eng\EngData\PROJECT_Bioplastics\Renjie_Pan\05-Raw_Data\Lab_results\[LabSamples2025_Bioplastic_extra.xlsx]extra_Bioplastic'!E212)</f>
        <v/>
      </c>
      <c r="F212">
        <f>IF(ISBLANK('Q:\Abteilungsprojekte\Eng\EngData\PROJECT_Bioplastics\Renjie_Pan\05-Raw_Data\Lab_results\[LabSamples2025_Bioplastic_extra.xlsx]extra_Bioplastic'!F212)," ",'Q:\Abteilungsprojekte\Eng\EngData\PROJECT_Bioplastics\Renjie_Pan\05-Raw_Data\Lab_results\[LabSamples2025_Bioplastic_extra.xlsx]extra_Bioplastic'!F212)</f>
        <v/>
      </c>
      <c r="G212">
        <f>IF(ISBLANK('Q:\Abteilungsprojekte\Eng\EngData\PROJECT_Bioplastics\Renjie_Pan\05-Raw_Data\Lab_results\[LabSamples2025_Bioplastic_extra.xlsx]extra_Bioplastic'!G212)," ",'Q:\Abteilungsprojekte\Eng\EngData\PROJECT_Bioplastics\Renjie_Pan\05-Raw_Data\Lab_results\[LabSamples2025_Bioplastic_extra.xlsx]extra_Bioplastic'!G212)</f>
        <v/>
      </c>
      <c r="H212">
        <f>IF(ISBLANK('Q:\Abteilungsprojekte\Eng\EngData\PROJECT_Bioplastics\Renjie_Pan\05-Raw_Data\Lab_results\[LabSamples2025_Bioplastic_extra.xlsx]extra_Bioplastic'!H212)," ",'Q:\Abteilungsprojekte\Eng\EngData\PROJECT_Bioplastics\Renjie_Pan\05-Raw_Data\Lab_results\[LabSamples2025_Bioplastic_extra.xlsx]extra_Bioplastic'!H212)</f>
        <v/>
      </c>
    </row>
    <row r="213">
      <c r="A213">
        <f>IF(ISBLANK('Q:\Abteilungsprojekte\Eng\EngData\PROJECT_Bioplastics\Renjie_Pan\05-Raw_Data\Lab_results\[LabSamples2025_Bioplastic_extra.xlsx]extra_Bioplastic'!A213)," ",'Q:\Abteilungsprojekte\Eng\EngData\PROJECT_Bioplastics\Renjie_Pan\05-Raw_Data\Lab_results\[LabSamples2025_Bioplastic_extra.xlsx]extra_Bioplastic'!A213)</f>
        <v/>
      </c>
      <c r="B213">
        <f>IF(ISBLANK('Q:\Abteilungsprojekte\Eng\EngData\PROJECT_Bioplastics\Renjie_Pan\05-Raw_Data\Lab_results\[LabSamples2025_Bioplastic_extra.xlsx]extra_Bioplastic'!B213)," ",'Q:\Abteilungsprojekte\Eng\EngData\PROJECT_Bioplastics\Renjie_Pan\05-Raw_Data\Lab_results\[LabSamples2025_Bioplastic_extra.xlsx]extra_Bioplastic'!B213)</f>
        <v/>
      </c>
      <c r="C213">
        <f>IF(ISBLANK('Q:\Abteilungsprojekte\Eng\EngData\PROJECT_Bioplastics\Renjie_Pan\05-Raw_Data\Lab_results\[LabSamples2025_Bioplastic_extra.xlsx]extra_Bioplastic'!C213)," ",'Q:\Abteilungsprojekte\Eng\EngData\PROJECT_Bioplastics\Renjie_Pan\05-Raw_Data\Lab_results\[LabSamples2025_Bioplastic_extra.xlsx]extra_Bioplastic'!C213)</f>
        <v/>
      </c>
      <c r="D213">
        <f>IF(ISBLANK('Q:\Abteilungsprojekte\Eng\EngData\PROJECT_Bioplastics\Renjie_Pan\05-Raw_Data\Lab_results\[LabSamples2025_Bioplastic_extra.xlsx]extra_Bioplastic'!D213)," ",'Q:\Abteilungsprojekte\Eng\EngData\PROJECT_Bioplastics\Renjie_Pan\05-Raw_Data\Lab_results\[LabSamples2025_Bioplastic_extra.xlsx]extra_Bioplastic'!D213)</f>
        <v/>
      </c>
      <c r="E213">
        <f>IF(ISBLANK('Q:\Abteilungsprojekte\Eng\EngData\PROJECT_Bioplastics\Renjie_Pan\05-Raw_Data\Lab_results\[LabSamples2025_Bioplastic_extra.xlsx]extra_Bioplastic'!E213)," ",'Q:\Abteilungsprojekte\Eng\EngData\PROJECT_Bioplastics\Renjie_Pan\05-Raw_Data\Lab_results\[LabSamples2025_Bioplastic_extra.xlsx]extra_Bioplastic'!E213)</f>
        <v/>
      </c>
      <c r="F213">
        <f>IF(ISBLANK('Q:\Abteilungsprojekte\Eng\EngData\PROJECT_Bioplastics\Renjie_Pan\05-Raw_Data\Lab_results\[LabSamples2025_Bioplastic_extra.xlsx]extra_Bioplastic'!F213)," ",'Q:\Abteilungsprojekte\Eng\EngData\PROJECT_Bioplastics\Renjie_Pan\05-Raw_Data\Lab_results\[LabSamples2025_Bioplastic_extra.xlsx]extra_Bioplastic'!F213)</f>
        <v/>
      </c>
      <c r="G213">
        <f>IF(ISBLANK('Q:\Abteilungsprojekte\Eng\EngData\PROJECT_Bioplastics\Renjie_Pan\05-Raw_Data\Lab_results\[LabSamples2025_Bioplastic_extra.xlsx]extra_Bioplastic'!G213)," ",'Q:\Abteilungsprojekte\Eng\EngData\PROJECT_Bioplastics\Renjie_Pan\05-Raw_Data\Lab_results\[LabSamples2025_Bioplastic_extra.xlsx]extra_Bioplastic'!G213)</f>
        <v/>
      </c>
      <c r="H213">
        <f>IF(ISBLANK('Q:\Abteilungsprojekte\Eng\EngData\PROJECT_Bioplastics\Renjie_Pan\05-Raw_Data\Lab_results\[LabSamples2025_Bioplastic_extra.xlsx]extra_Bioplastic'!H213)," ",'Q:\Abteilungsprojekte\Eng\EngData\PROJECT_Bioplastics\Renjie_Pan\05-Raw_Data\Lab_results\[LabSamples2025_Bioplastic_extra.xlsx]extra_Bioplastic'!H213)</f>
        <v/>
      </c>
    </row>
    <row r="214">
      <c r="A214">
        <f>IF(ISBLANK('Q:\Abteilungsprojekte\Eng\EngData\PROJECT_Bioplastics\Renjie_Pan\05-Raw_Data\Lab_results\[LabSamples2025_Bioplastic_extra.xlsx]extra_Bioplastic'!A214)," ",'Q:\Abteilungsprojekte\Eng\EngData\PROJECT_Bioplastics\Renjie_Pan\05-Raw_Data\Lab_results\[LabSamples2025_Bioplastic_extra.xlsx]extra_Bioplastic'!A214)</f>
        <v/>
      </c>
      <c r="B214">
        <f>IF(ISBLANK('Q:\Abteilungsprojekte\Eng\EngData\PROJECT_Bioplastics\Renjie_Pan\05-Raw_Data\Lab_results\[LabSamples2025_Bioplastic_extra.xlsx]extra_Bioplastic'!B214)," ",'Q:\Abteilungsprojekte\Eng\EngData\PROJECT_Bioplastics\Renjie_Pan\05-Raw_Data\Lab_results\[LabSamples2025_Bioplastic_extra.xlsx]extra_Bioplastic'!B214)</f>
        <v/>
      </c>
      <c r="C214">
        <f>IF(ISBLANK('Q:\Abteilungsprojekte\Eng\EngData\PROJECT_Bioplastics\Renjie_Pan\05-Raw_Data\Lab_results\[LabSamples2025_Bioplastic_extra.xlsx]extra_Bioplastic'!C214)," ",'Q:\Abteilungsprojekte\Eng\EngData\PROJECT_Bioplastics\Renjie_Pan\05-Raw_Data\Lab_results\[LabSamples2025_Bioplastic_extra.xlsx]extra_Bioplastic'!C214)</f>
        <v/>
      </c>
      <c r="D214">
        <f>IF(ISBLANK('Q:\Abteilungsprojekte\Eng\EngData\PROJECT_Bioplastics\Renjie_Pan\05-Raw_Data\Lab_results\[LabSamples2025_Bioplastic_extra.xlsx]extra_Bioplastic'!D214)," ",'Q:\Abteilungsprojekte\Eng\EngData\PROJECT_Bioplastics\Renjie_Pan\05-Raw_Data\Lab_results\[LabSamples2025_Bioplastic_extra.xlsx]extra_Bioplastic'!D214)</f>
        <v/>
      </c>
      <c r="E214">
        <f>IF(ISBLANK('Q:\Abteilungsprojekte\Eng\EngData\PROJECT_Bioplastics\Renjie_Pan\05-Raw_Data\Lab_results\[LabSamples2025_Bioplastic_extra.xlsx]extra_Bioplastic'!E214)," ",'Q:\Abteilungsprojekte\Eng\EngData\PROJECT_Bioplastics\Renjie_Pan\05-Raw_Data\Lab_results\[LabSamples2025_Bioplastic_extra.xlsx]extra_Bioplastic'!E214)</f>
        <v/>
      </c>
      <c r="F214">
        <f>IF(ISBLANK('Q:\Abteilungsprojekte\Eng\EngData\PROJECT_Bioplastics\Renjie_Pan\05-Raw_Data\Lab_results\[LabSamples2025_Bioplastic_extra.xlsx]extra_Bioplastic'!F214)," ",'Q:\Abteilungsprojekte\Eng\EngData\PROJECT_Bioplastics\Renjie_Pan\05-Raw_Data\Lab_results\[LabSamples2025_Bioplastic_extra.xlsx]extra_Bioplastic'!F214)</f>
        <v/>
      </c>
      <c r="G214">
        <f>IF(ISBLANK('Q:\Abteilungsprojekte\Eng\EngData\PROJECT_Bioplastics\Renjie_Pan\05-Raw_Data\Lab_results\[LabSamples2025_Bioplastic_extra.xlsx]extra_Bioplastic'!G214)," ",'Q:\Abteilungsprojekte\Eng\EngData\PROJECT_Bioplastics\Renjie_Pan\05-Raw_Data\Lab_results\[LabSamples2025_Bioplastic_extra.xlsx]extra_Bioplastic'!G214)</f>
        <v/>
      </c>
      <c r="H214">
        <f>IF(ISBLANK('Q:\Abteilungsprojekte\Eng\EngData\PROJECT_Bioplastics\Renjie_Pan\05-Raw_Data\Lab_results\[LabSamples2025_Bioplastic_extra.xlsx]extra_Bioplastic'!H214)," ",'Q:\Abteilungsprojekte\Eng\EngData\PROJECT_Bioplastics\Renjie_Pan\05-Raw_Data\Lab_results\[LabSamples2025_Bioplastic_extra.xlsx]extra_Bioplastic'!H214)</f>
        <v/>
      </c>
    </row>
    <row r="215">
      <c r="A215">
        <f>IF(ISBLANK('Q:\Abteilungsprojekte\Eng\EngData\PROJECT_Bioplastics\Renjie_Pan\05-Raw_Data\Lab_results\[LabSamples2025_Bioplastic_extra.xlsx]extra_Bioplastic'!A215)," ",'Q:\Abteilungsprojekte\Eng\EngData\PROJECT_Bioplastics\Renjie_Pan\05-Raw_Data\Lab_results\[LabSamples2025_Bioplastic_extra.xlsx]extra_Bioplastic'!A215)</f>
        <v/>
      </c>
      <c r="B215">
        <f>IF(ISBLANK('Q:\Abteilungsprojekte\Eng\EngData\PROJECT_Bioplastics\Renjie_Pan\05-Raw_Data\Lab_results\[LabSamples2025_Bioplastic_extra.xlsx]extra_Bioplastic'!B215)," ",'Q:\Abteilungsprojekte\Eng\EngData\PROJECT_Bioplastics\Renjie_Pan\05-Raw_Data\Lab_results\[LabSamples2025_Bioplastic_extra.xlsx]extra_Bioplastic'!B215)</f>
        <v/>
      </c>
      <c r="C215">
        <f>IF(ISBLANK('Q:\Abteilungsprojekte\Eng\EngData\PROJECT_Bioplastics\Renjie_Pan\05-Raw_Data\Lab_results\[LabSamples2025_Bioplastic_extra.xlsx]extra_Bioplastic'!C215)," ",'Q:\Abteilungsprojekte\Eng\EngData\PROJECT_Bioplastics\Renjie_Pan\05-Raw_Data\Lab_results\[LabSamples2025_Bioplastic_extra.xlsx]extra_Bioplastic'!C215)</f>
        <v/>
      </c>
      <c r="D215">
        <f>IF(ISBLANK('Q:\Abteilungsprojekte\Eng\EngData\PROJECT_Bioplastics\Renjie_Pan\05-Raw_Data\Lab_results\[LabSamples2025_Bioplastic_extra.xlsx]extra_Bioplastic'!D215)," ",'Q:\Abteilungsprojekte\Eng\EngData\PROJECT_Bioplastics\Renjie_Pan\05-Raw_Data\Lab_results\[LabSamples2025_Bioplastic_extra.xlsx]extra_Bioplastic'!D215)</f>
        <v/>
      </c>
      <c r="E215">
        <f>IF(ISBLANK('Q:\Abteilungsprojekte\Eng\EngData\PROJECT_Bioplastics\Renjie_Pan\05-Raw_Data\Lab_results\[LabSamples2025_Bioplastic_extra.xlsx]extra_Bioplastic'!E215)," ",'Q:\Abteilungsprojekte\Eng\EngData\PROJECT_Bioplastics\Renjie_Pan\05-Raw_Data\Lab_results\[LabSamples2025_Bioplastic_extra.xlsx]extra_Bioplastic'!E215)</f>
        <v/>
      </c>
      <c r="F215">
        <f>IF(ISBLANK('Q:\Abteilungsprojekte\Eng\EngData\PROJECT_Bioplastics\Renjie_Pan\05-Raw_Data\Lab_results\[LabSamples2025_Bioplastic_extra.xlsx]extra_Bioplastic'!F215)," ",'Q:\Abteilungsprojekte\Eng\EngData\PROJECT_Bioplastics\Renjie_Pan\05-Raw_Data\Lab_results\[LabSamples2025_Bioplastic_extra.xlsx]extra_Bioplastic'!F215)</f>
        <v/>
      </c>
      <c r="G215">
        <f>IF(ISBLANK('Q:\Abteilungsprojekte\Eng\EngData\PROJECT_Bioplastics\Renjie_Pan\05-Raw_Data\Lab_results\[LabSamples2025_Bioplastic_extra.xlsx]extra_Bioplastic'!G215)," ",'Q:\Abteilungsprojekte\Eng\EngData\PROJECT_Bioplastics\Renjie_Pan\05-Raw_Data\Lab_results\[LabSamples2025_Bioplastic_extra.xlsx]extra_Bioplastic'!G215)</f>
        <v/>
      </c>
      <c r="H215">
        <f>IF(ISBLANK('Q:\Abteilungsprojekte\Eng\EngData\PROJECT_Bioplastics\Renjie_Pan\05-Raw_Data\Lab_results\[LabSamples2025_Bioplastic_extra.xlsx]extra_Bioplastic'!H215)," ",'Q:\Abteilungsprojekte\Eng\EngData\PROJECT_Bioplastics\Renjie_Pan\05-Raw_Data\Lab_results\[LabSamples2025_Bioplastic_extra.xlsx]extra_Bioplastic'!H215)</f>
        <v/>
      </c>
    </row>
    <row r="216">
      <c r="A216">
        <f>IF(ISBLANK('Q:\Abteilungsprojekte\Eng\EngData\PROJECT_Bioplastics\Renjie_Pan\05-Raw_Data\Lab_results\[LabSamples2025_Bioplastic_extra.xlsx]extra_Bioplastic'!A216)," ",'Q:\Abteilungsprojekte\Eng\EngData\PROJECT_Bioplastics\Renjie_Pan\05-Raw_Data\Lab_results\[LabSamples2025_Bioplastic_extra.xlsx]extra_Bioplastic'!A216)</f>
        <v/>
      </c>
      <c r="B216">
        <f>IF(ISBLANK('Q:\Abteilungsprojekte\Eng\EngData\PROJECT_Bioplastics\Renjie_Pan\05-Raw_Data\Lab_results\[LabSamples2025_Bioplastic_extra.xlsx]extra_Bioplastic'!B216)," ",'Q:\Abteilungsprojekte\Eng\EngData\PROJECT_Bioplastics\Renjie_Pan\05-Raw_Data\Lab_results\[LabSamples2025_Bioplastic_extra.xlsx]extra_Bioplastic'!B216)</f>
        <v/>
      </c>
      <c r="C216">
        <f>IF(ISBLANK('Q:\Abteilungsprojekte\Eng\EngData\PROJECT_Bioplastics\Renjie_Pan\05-Raw_Data\Lab_results\[LabSamples2025_Bioplastic_extra.xlsx]extra_Bioplastic'!C216)," ",'Q:\Abteilungsprojekte\Eng\EngData\PROJECT_Bioplastics\Renjie_Pan\05-Raw_Data\Lab_results\[LabSamples2025_Bioplastic_extra.xlsx]extra_Bioplastic'!C216)</f>
        <v/>
      </c>
      <c r="D216">
        <f>IF(ISBLANK('Q:\Abteilungsprojekte\Eng\EngData\PROJECT_Bioplastics\Renjie_Pan\05-Raw_Data\Lab_results\[LabSamples2025_Bioplastic_extra.xlsx]extra_Bioplastic'!D216)," ",'Q:\Abteilungsprojekte\Eng\EngData\PROJECT_Bioplastics\Renjie_Pan\05-Raw_Data\Lab_results\[LabSamples2025_Bioplastic_extra.xlsx]extra_Bioplastic'!D216)</f>
        <v/>
      </c>
      <c r="E216">
        <f>IF(ISBLANK('Q:\Abteilungsprojekte\Eng\EngData\PROJECT_Bioplastics\Renjie_Pan\05-Raw_Data\Lab_results\[LabSamples2025_Bioplastic_extra.xlsx]extra_Bioplastic'!E216)," ",'Q:\Abteilungsprojekte\Eng\EngData\PROJECT_Bioplastics\Renjie_Pan\05-Raw_Data\Lab_results\[LabSamples2025_Bioplastic_extra.xlsx]extra_Bioplastic'!E216)</f>
        <v/>
      </c>
      <c r="F216">
        <f>IF(ISBLANK('Q:\Abteilungsprojekte\Eng\EngData\PROJECT_Bioplastics\Renjie_Pan\05-Raw_Data\Lab_results\[LabSamples2025_Bioplastic_extra.xlsx]extra_Bioplastic'!F216)," ",'Q:\Abteilungsprojekte\Eng\EngData\PROJECT_Bioplastics\Renjie_Pan\05-Raw_Data\Lab_results\[LabSamples2025_Bioplastic_extra.xlsx]extra_Bioplastic'!F216)</f>
        <v/>
      </c>
      <c r="G216">
        <f>IF(ISBLANK('Q:\Abteilungsprojekte\Eng\EngData\PROJECT_Bioplastics\Renjie_Pan\05-Raw_Data\Lab_results\[LabSamples2025_Bioplastic_extra.xlsx]extra_Bioplastic'!G216)," ",'Q:\Abteilungsprojekte\Eng\EngData\PROJECT_Bioplastics\Renjie_Pan\05-Raw_Data\Lab_results\[LabSamples2025_Bioplastic_extra.xlsx]extra_Bioplastic'!G216)</f>
        <v/>
      </c>
      <c r="H216">
        <f>IF(ISBLANK('Q:\Abteilungsprojekte\Eng\EngData\PROJECT_Bioplastics\Renjie_Pan\05-Raw_Data\Lab_results\[LabSamples2025_Bioplastic_extra.xlsx]extra_Bioplastic'!H216)," ",'Q:\Abteilungsprojekte\Eng\EngData\PROJECT_Bioplastics\Renjie_Pan\05-Raw_Data\Lab_results\[LabSamples2025_Bioplastic_extra.xlsx]extra_Bioplastic'!H216)</f>
        <v/>
      </c>
    </row>
    <row r="217">
      <c r="A217">
        <f>IF(ISBLANK('Q:\Abteilungsprojekte\Eng\EngData\PROJECT_Bioplastics\Renjie_Pan\05-Raw_Data\Lab_results\[LabSamples2025_Bioplastic_extra.xlsx]extra_Bioplastic'!A217)," ",'Q:\Abteilungsprojekte\Eng\EngData\PROJECT_Bioplastics\Renjie_Pan\05-Raw_Data\Lab_results\[LabSamples2025_Bioplastic_extra.xlsx]extra_Bioplastic'!A217)</f>
        <v/>
      </c>
      <c r="B217">
        <f>IF(ISBLANK('Q:\Abteilungsprojekte\Eng\EngData\PROJECT_Bioplastics\Renjie_Pan\05-Raw_Data\Lab_results\[LabSamples2025_Bioplastic_extra.xlsx]extra_Bioplastic'!B217)," ",'Q:\Abteilungsprojekte\Eng\EngData\PROJECT_Bioplastics\Renjie_Pan\05-Raw_Data\Lab_results\[LabSamples2025_Bioplastic_extra.xlsx]extra_Bioplastic'!B217)</f>
        <v/>
      </c>
      <c r="C217">
        <f>IF(ISBLANK('Q:\Abteilungsprojekte\Eng\EngData\PROJECT_Bioplastics\Renjie_Pan\05-Raw_Data\Lab_results\[LabSamples2025_Bioplastic_extra.xlsx]extra_Bioplastic'!C217)," ",'Q:\Abteilungsprojekte\Eng\EngData\PROJECT_Bioplastics\Renjie_Pan\05-Raw_Data\Lab_results\[LabSamples2025_Bioplastic_extra.xlsx]extra_Bioplastic'!C217)</f>
        <v/>
      </c>
      <c r="D217">
        <f>IF(ISBLANK('Q:\Abteilungsprojekte\Eng\EngData\PROJECT_Bioplastics\Renjie_Pan\05-Raw_Data\Lab_results\[LabSamples2025_Bioplastic_extra.xlsx]extra_Bioplastic'!D217)," ",'Q:\Abteilungsprojekte\Eng\EngData\PROJECT_Bioplastics\Renjie_Pan\05-Raw_Data\Lab_results\[LabSamples2025_Bioplastic_extra.xlsx]extra_Bioplastic'!D217)</f>
        <v/>
      </c>
      <c r="E217">
        <f>IF(ISBLANK('Q:\Abteilungsprojekte\Eng\EngData\PROJECT_Bioplastics\Renjie_Pan\05-Raw_Data\Lab_results\[LabSamples2025_Bioplastic_extra.xlsx]extra_Bioplastic'!E217)," ",'Q:\Abteilungsprojekte\Eng\EngData\PROJECT_Bioplastics\Renjie_Pan\05-Raw_Data\Lab_results\[LabSamples2025_Bioplastic_extra.xlsx]extra_Bioplastic'!E217)</f>
        <v/>
      </c>
      <c r="F217">
        <f>IF(ISBLANK('Q:\Abteilungsprojekte\Eng\EngData\PROJECT_Bioplastics\Renjie_Pan\05-Raw_Data\Lab_results\[LabSamples2025_Bioplastic_extra.xlsx]extra_Bioplastic'!F217)," ",'Q:\Abteilungsprojekte\Eng\EngData\PROJECT_Bioplastics\Renjie_Pan\05-Raw_Data\Lab_results\[LabSamples2025_Bioplastic_extra.xlsx]extra_Bioplastic'!F217)</f>
        <v/>
      </c>
      <c r="G217">
        <f>IF(ISBLANK('Q:\Abteilungsprojekte\Eng\EngData\PROJECT_Bioplastics\Renjie_Pan\05-Raw_Data\Lab_results\[LabSamples2025_Bioplastic_extra.xlsx]extra_Bioplastic'!G217)," ",'Q:\Abteilungsprojekte\Eng\EngData\PROJECT_Bioplastics\Renjie_Pan\05-Raw_Data\Lab_results\[LabSamples2025_Bioplastic_extra.xlsx]extra_Bioplastic'!G217)</f>
        <v/>
      </c>
      <c r="H217">
        <f>IF(ISBLANK('Q:\Abteilungsprojekte\Eng\EngData\PROJECT_Bioplastics\Renjie_Pan\05-Raw_Data\Lab_results\[LabSamples2025_Bioplastic_extra.xlsx]extra_Bioplastic'!H217)," ",'Q:\Abteilungsprojekte\Eng\EngData\PROJECT_Bioplastics\Renjie_Pan\05-Raw_Data\Lab_results\[LabSamples2025_Bioplastic_extra.xlsx]extra_Bioplastic'!H217)</f>
        <v/>
      </c>
    </row>
    <row r="218">
      <c r="A218">
        <f>IF(ISBLANK('Q:\Abteilungsprojekte\Eng\EngData\PROJECT_Bioplastics\Renjie_Pan\05-Raw_Data\Lab_results\[LabSamples2025_Bioplastic_extra.xlsx]extra_Bioplastic'!A218)," ",'Q:\Abteilungsprojekte\Eng\EngData\PROJECT_Bioplastics\Renjie_Pan\05-Raw_Data\Lab_results\[LabSamples2025_Bioplastic_extra.xlsx]extra_Bioplastic'!A218)</f>
        <v/>
      </c>
      <c r="B218">
        <f>IF(ISBLANK('Q:\Abteilungsprojekte\Eng\EngData\PROJECT_Bioplastics\Renjie_Pan\05-Raw_Data\Lab_results\[LabSamples2025_Bioplastic_extra.xlsx]extra_Bioplastic'!B218)," ",'Q:\Abteilungsprojekte\Eng\EngData\PROJECT_Bioplastics\Renjie_Pan\05-Raw_Data\Lab_results\[LabSamples2025_Bioplastic_extra.xlsx]extra_Bioplastic'!B218)</f>
        <v/>
      </c>
      <c r="C218">
        <f>IF(ISBLANK('Q:\Abteilungsprojekte\Eng\EngData\PROJECT_Bioplastics\Renjie_Pan\05-Raw_Data\Lab_results\[LabSamples2025_Bioplastic_extra.xlsx]extra_Bioplastic'!C218)," ",'Q:\Abteilungsprojekte\Eng\EngData\PROJECT_Bioplastics\Renjie_Pan\05-Raw_Data\Lab_results\[LabSamples2025_Bioplastic_extra.xlsx]extra_Bioplastic'!C218)</f>
        <v/>
      </c>
      <c r="D218">
        <f>IF(ISBLANK('Q:\Abteilungsprojekte\Eng\EngData\PROJECT_Bioplastics\Renjie_Pan\05-Raw_Data\Lab_results\[LabSamples2025_Bioplastic_extra.xlsx]extra_Bioplastic'!D218)," ",'Q:\Abteilungsprojekte\Eng\EngData\PROJECT_Bioplastics\Renjie_Pan\05-Raw_Data\Lab_results\[LabSamples2025_Bioplastic_extra.xlsx]extra_Bioplastic'!D218)</f>
        <v/>
      </c>
      <c r="E218">
        <f>IF(ISBLANK('Q:\Abteilungsprojekte\Eng\EngData\PROJECT_Bioplastics\Renjie_Pan\05-Raw_Data\Lab_results\[LabSamples2025_Bioplastic_extra.xlsx]extra_Bioplastic'!E218)," ",'Q:\Abteilungsprojekte\Eng\EngData\PROJECT_Bioplastics\Renjie_Pan\05-Raw_Data\Lab_results\[LabSamples2025_Bioplastic_extra.xlsx]extra_Bioplastic'!E218)</f>
        <v/>
      </c>
      <c r="F218">
        <f>IF(ISBLANK('Q:\Abteilungsprojekte\Eng\EngData\PROJECT_Bioplastics\Renjie_Pan\05-Raw_Data\Lab_results\[LabSamples2025_Bioplastic_extra.xlsx]extra_Bioplastic'!F218)," ",'Q:\Abteilungsprojekte\Eng\EngData\PROJECT_Bioplastics\Renjie_Pan\05-Raw_Data\Lab_results\[LabSamples2025_Bioplastic_extra.xlsx]extra_Bioplastic'!F218)</f>
        <v/>
      </c>
      <c r="G218">
        <f>IF(ISBLANK('Q:\Abteilungsprojekte\Eng\EngData\PROJECT_Bioplastics\Renjie_Pan\05-Raw_Data\Lab_results\[LabSamples2025_Bioplastic_extra.xlsx]extra_Bioplastic'!G218)," ",'Q:\Abteilungsprojekte\Eng\EngData\PROJECT_Bioplastics\Renjie_Pan\05-Raw_Data\Lab_results\[LabSamples2025_Bioplastic_extra.xlsx]extra_Bioplastic'!G218)</f>
        <v/>
      </c>
      <c r="H218">
        <f>IF(ISBLANK('Q:\Abteilungsprojekte\Eng\EngData\PROJECT_Bioplastics\Renjie_Pan\05-Raw_Data\Lab_results\[LabSamples2025_Bioplastic_extra.xlsx]extra_Bioplastic'!H218)," ",'Q:\Abteilungsprojekte\Eng\EngData\PROJECT_Bioplastics\Renjie_Pan\05-Raw_Data\Lab_results\[LabSamples2025_Bioplastic_extra.xlsx]extra_Bioplastic'!H218)</f>
        <v/>
      </c>
    </row>
    <row r="219">
      <c r="A219">
        <f>IF(ISBLANK('Q:\Abteilungsprojekte\Eng\EngData\PROJECT_Bioplastics\Renjie_Pan\05-Raw_Data\Lab_results\[LabSamples2025_Bioplastic_extra.xlsx]extra_Bioplastic'!A219)," ",'Q:\Abteilungsprojekte\Eng\EngData\PROJECT_Bioplastics\Renjie_Pan\05-Raw_Data\Lab_results\[LabSamples2025_Bioplastic_extra.xlsx]extra_Bioplastic'!A219)</f>
        <v/>
      </c>
      <c r="B219">
        <f>IF(ISBLANK('Q:\Abteilungsprojekte\Eng\EngData\PROJECT_Bioplastics\Renjie_Pan\05-Raw_Data\Lab_results\[LabSamples2025_Bioplastic_extra.xlsx]extra_Bioplastic'!B219)," ",'Q:\Abteilungsprojekte\Eng\EngData\PROJECT_Bioplastics\Renjie_Pan\05-Raw_Data\Lab_results\[LabSamples2025_Bioplastic_extra.xlsx]extra_Bioplastic'!B219)</f>
        <v/>
      </c>
      <c r="C219">
        <f>IF(ISBLANK('Q:\Abteilungsprojekte\Eng\EngData\PROJECT_Bioplastics\Renjie_Pan\05-Raw_Data\Lab_results\[LabSamples2025_Bioplastic_extra.xlsx]extra_Bioplastic'!C219)," ",'Q:\Abteilungsprojekte\Eng\EngData\PROJECT_Bioplastics\Renjie_Pan\05-Raw_Data\Lab_results\[LabSamples2025_Bioplastic_extra.xlsx]extra_Bioplastic'!C219)</f>
        <v/>
      </c>
      <c r="D219">
        <f>IF(ISBLANK('Q:\Abteilungsprojekte\Eng\EngData\PROJECT_Bioplastics\Renjie_Pan\05-Raw_Data\Lab_results\[LabSamples2025_Bioplastic_extra.xlsx]extra_Bioplastic'!D219)," ",'Q:\Abteilungsprojekte\Eng\EngData\PROJECT_Bioplastics\Renjie_Pan\05-Raw_Data\Lab_results\[LabSamples2025_Bioplastic_extra.xlsx]extra_Bioplastic'!D219)</f>
        <v/>
      </c>
      <c r="E219">
        <f>IF(ISBLANK('Q:\Abteilungsprojekte\Eng\EngData\PROJECT_Bioplastics\Renjie_Pan\05-Raw_Data\Lab_results\[LabSamples2025_Bioplastic_extra.xlsx]extra_Bioplastic'!E219)," ",'Q:\Abteilungsprojekte\Eng\EngData\PROJECT_Bioplastics\Renjie_Pan\05-Raw_Data\Lab_results\[LabSamples2025_Bioplastic_extra.xlsx]extra_Bioplastic'!E219)</f>
        <v/>
      </c>
      <c r="F219">
        <f>IF(ISBLANK('Q:\Abteilungsprojekte\Eng\EngData\PROJECT_Bioplastics\Renjie_Pan\05-Raw_Data\Lab_results\[LabSamples2025_Bioplastic_extra.xlsx]extra_Bioplastic'!F219)," ",'Q:\Abteilungsprojekte\Eng\EngData\PROJECT_Bioplastics\Renjie_Pan\05-Raw_Data\Lab_results\[LabSamples2025_Bioplastic_extra.xlsx]extra_Bioplastic'!F219)</f>
        <v/>
      </c>
      <c r="G219">
        <f>IF(ISBLANK('Q:\Abteilungsprojekte\Eng\EngData\PROJECT_Bioplastics\Renjie_Pan\05-Raw_Data\Lab_results\[LabSamples2025_Bioplastic_extra.xlsx]extra_Bioplastic'!G219)," ",'Q:\Abteilungsprojekte\Eng\EngData\PROJECT_Bioplastics\Renjie_Pan\05-Raw_Data\Lab_results\[LabSamples2025_Bioplastic_extra.xlsx]extra_Bioplastic'!G219)</f>
        <v/>
      </c>
      <c r="H219">
        <f>IF(ISBLANK('Q:\Abteilungsprojekte\Eng\EngData\PROJECT_Bioplastics\Renjie_Pan\05-Raw_Data\Lab_results\[LabSamples2025_Bioplastic_extra.xlsx]extra_Bioplastic'!H219)," ",'Q:\Abteilungsprojekte\Eng\EngData\PROJECT_Bioplastics\Renjie_Pan\05-Raw_Data\Lab_results\[LabSamples2025_Bioplastic_extra.xlsx]extra_Bioplastic'!H219)</f>
        <v/>
      </c>
    </row>
    <row r="220">
      <c r="A220">
        <f>IF(ISBLANK('Q:\Abteilungsprojekte\Eng\EngData\PROJECT_Bioplastics\Renjie_Pan\05-Raw_Data\Lab_results\[LabSamples2025_Bioplastic_extra.xlsx]extra_Bioplastic'!A220)," ",'Q:\Abteilungsprojekte\Eng\EngData\PROJECT_Bioplastics\Renjie_Pan\05-Raw_Data\Lab_results\[LabSamples2025_Bioplastic_extra.xlsx]extra_Bioplastic'!A220)</f>
        <v/>
      </c>
      <c r="B220">
        <f>IF(ISBLANK('Q:\Abteilungsprojekte\Eng\EngData\PROJECT_Bioplastics\Renjie_Pan\05-Raw_Data\Lab_results\[LabSamples2025_Bioplastic_extra.xlsx]extra_Bioplastic'!B220)," ",'Q:\Abteilungsprojekte\Eng\EngData\PROJECT_Bioplastics\Renjie_Pan\05-Raw_Data\Lab_results\[LabSamples2025_Bioplastic_extra.xlsx]extra_Bioplastic'!B220)</f>
        <v/>
      </c>
      <c r="C220">
        <f>IF(ISBLANK('Q:\Abteilungsprojekte\Eng\EngData\PROJECT_Bioplastics\Renjie_Pan\05-Raw_Data\Lab_results\[LabSamples2025_Bioplastic_extra.xlsx]extra_Bioplastic'!C220)," ",'Q:\Abteilungsprojekte\Eng\EngData\PROJECT_Bioplastics\Renjie_Pan\05-Raw_Data\Lab_results\[LabSamples2025_Bioplastic_extra.xlsx]extra_Bioplastic'!C220)</f>
        <v/>
      </c>
      <c r="D220">
        <f>IF(ISBLANK('Q:\Abteilungsprojekte\Eng\EngData\PROJECT_Bioplastics\Renjie_Pan\05-Raw_Data\Lab_results\[LabSamples2025_Bioplastic_extra.xlsx]extra_Bioplastic'!D220)," ",'Q:\Abteilungsprojekte\Eng\EngData\PROJECT_Bioplastics\Renjie_Pan\05-Raw_Data\Lab_results\[LabSamples2025_Bioplastic_extra.xlsx]extra_Bioplastic'!D220)</f>
        <v/>
      </c>
      <c r="E220">
        <f>IF(ISBLANK('Q:\Abteilungsprojekte\Eng\EngData\PROJECT_Bioplastics\Renjie_Pan\05-Raw_Data\Lab_results\[LabSamples2025_Bioplastic_extra.xlsx]extra_Bioplastic'!E220)," ",'Q:\Abteilungsprojekte\Eng\EngData\PROJECT_Bioplastics\Renjie_Pan\05-Raw_Data\Lab_results\[LabSamples2025_Bioplastic_extra.xlsx]extra_Bioplastic'!E220)</f>
        <v/>
      </c>
      <c r="F220">
        <f>IF(ISBLANK('Q:\Abteilungsprojekte\Eng\EngData\PROJECT_Bioplastics\Renjie_Pan\05-Raw_Data\Lab_results\[LabSamples2025_Bioplastic_extra.xlsx]extra_Bioplastic'!F220)," ",'Q:\Abteilungsprojekte\Eng\EngData\PROJECT_Bioplastics\Renjie_Pan\05-Raw_Data\Lab_results\[LabSamples2025_Bioplastic_extra.xlsx]extra_Bioplastic'!F220)</f>
        <v/>
      </c>
      <c r="G220">
        <f>IF(ISBLANK('Q:\Abteilungsprojekte\Eng\EngData\PROJECT_Bioplastics\Renjie_Pan\05-Raw_Data\Lab_results\[LabSamples2025_Bioplastic_extra.xlsx]extra_Bioplastic'!G220)," ",'Q:\Abteilungsprojekte\Eng\EngData\PROJECT_Bioplastics\Renjie_Pan\05-Raw_Data\Lab_results\[LabSamples2025_Bioplastic_extra.xlsx]extra_Bioplastic'!G220)</f>
        <v/>
      </c>
      <c r="H220">
        <f>IF(ISBLANK('Q:\Abteilungsprojekte\Eng\EngData\PROJECT_Bioplastics\Renjie_Pan\05-Raw_Data\Lab_results\[LabSamples2025_Bioplastic_extra.xlsx]extra_Bioplastic'!H220)," ",'Q:\Abteilungsprojekte\Eng\EngData\PROJECT_Bioplastics\Renjie_Pan\05-Raw_Data\Lab_results\[LabSamples2025_Bioplastic_extra.xlsx]extra_Bioplastic'!H220)</f>
        <v/>
      </c>
    </row>
    <row r="221">
      <c r="A221">
        <f>IF(ISBLANK('Q:\Abteilungsprojekte\Eng\EngData\PROJECT_Bioplastics\Renjie_Pan\05-Raw_Data\Lab_results\[LabSamples2025_Bioplastic_extra.xlsx]extra_Bioplastic'!A221)," ",'Q:\Abteilungsprojekte\Eng\EngData\PROJECT_Bioplastics\Renjie_Pan\05-Raw_Data\Lab_results\[LabSamples2025_Bioplastic_extra.xlsx]extra_Bioplastic'!A221)</f>
        <v/>
      </c>
      <c r="B221">
        <f>IF(ISBLANK('Q:\Abteilungsprojekte\Eng\EngData\PROJECT_Bioplastics\Renjie_Pan\05-Raw_Data\Lab_results\[LabSamples2025_Bioplastic_extra.xlsx]extra_Bioplastic'!B221)," ",'Q:\Abteilungsprojekte\Eng\EngData\PROJECT_Bioplastics\Renjie_Pan\05-Raw_Data\Lab_results\[LabSamples2025_Bioplastic_extra.xlsx]extra_Bioplastic'!B221)</f>
        <v/>
      </c>
      <c r="C221">
        <f>IF(ISBLANK('Q:\Abteilungsprojekte\Eng\EngData\PROJECT_Bioplastics\Renjie_Pan\05-Raw_Data\Lab_results\[LabSamples2025_Bioplastic_extra.xlsx]extra_Bioplastic'!C221)," ",'Q:\Abteilungsprojekte\Eng\EngData\PROJECT_Bioplastics\Renjie_Pan\05-Raw_Data\Lab_results\[LabSamples2025_Bioplastic_extra.xlsx]extra_Bioplastic'!C221)</f>
        <v/>
      </c>
      <c r="D221">
        <f>IF(ISBLANK('Q:\Abteilungsprojekte\Eng\EngData\PROJECT_Bioplastics\Renjie_Pan\05-Raw_Data\Lab_results\[LabSamples2025_Bioplastic_extra.xlsx]extra_Bioplastic'!D221)," ",'Q:\Abteilungsprojekte\Eng\EngData\PROJECT_Bioplastics\Renjie_Pan\05-Raw_Data\Lab_results\[LabSamples2025_Bioplastic_extra.xlsx]extra_Bioplastic'!D221)</f>
        <v/>
      </c>
      <c r="E221">
        <f>IF(ISBLANK('Q:\Abteilungsprojekte\Eng\EngData\PROJECT_Bioplastics\Renjie_Pan\05-Raw_Data\Lab_results\[LabSamples2025_Bioplastic_extra.xlsx]extra_Bioplastic'!E221)," ",'Q:\Abteilungsprojekte\Eng\EngData\PROJECT_Bioplastics\Renjie_Pan\05-Raw_Data\Lab_results\[LabSamples2025_Bioplastic_extra.xlsx]extra_Bioplastic'!E221)</f>
        <v/>
      </c>
      <c r="F221">
        <f>IF(ISBLANK('Q:\Abteilungsprojekte\Eng\EngData\PROJECT_Bioplastics\Renjie_Pan\05-Raw_Data\Lab_results\[LabSamples2025_Bioplastic_extra.xlsx]extra_Bioplastic'!F221)," ",'Q:\Abteilungsprojekte\Eng\EngData\PROJECT_Bioplastics\Renjie_Pan\05-Raw_Data\Lab_results\[LabSamples2025_Bioplastic_extra.xlsx]extra_Bioplastic'!F221)</f>
        <v/>
      </c>
      <c r="G221">
        <f>IF(ISBLANK('Q:\Abteilungsprojekte\Eng\EngData\PROJECT_Bioplastics\Renjie_Pan\05-Raw_Data\Lab_results\[LabSamples2025_Bioplastic_extra.xlsx]extra_Bioplastic'!G221)," ",'Q:\Abteilungsprojekte\Eng\EngData\PROJECT_Bioplastics\Renjie_Pan\05-Raw_Data\Lab_results\[LabSamples2025_Bioplastic_extra.xlsx]extra_Bioplastic'!G221)</f>
        <v/>
      </c>
      <c r="H221">
        <f>IF(ISBLANK('Q:\Abteilungsprojekte\Eng\EngData\PROJECT_Bioplastics\Renjie_Pan\05-Raw_Data\Lab_results\[LabSamples2025_Bioplastic_extra.xlsx]extra_Bioplastic'!H221)," ",'Q:\Abteilungsprojekte\Eng\EngData\PROJECT_Bioplastics\Renjie_Pan\05-Raw_Data\Lab_results\[LabSamples2025_Bioplastic_extra.xlsx]extra_Bioplastic'!H221)</f>
        <v/>
      </c>
    </row>
    <row r="222">
      <c r="A222">
        <f>IF(ISBLANK('Q:\Abteilungsprojekte\Eng\EngData\PROJECT_Bioplastics\Renjie_Pan\05-Raw_Data\Lab_results\[LabSamples2025_Bioplastic_extra.xlsx]extra_Bioplastic'!A222)," ",'Q:\Abteilungsprojekte\Eng\EngData\PROJECT_Bioplastics\Renjie_Pan\05-Raw_Data\Lab_results\[LabSamples2025_Bioplastic_extra.xlsx]extra_Bioplastic'!A222)</f>
        <v/>
      </c>
      <c r="B222">
        <f>IF(ISBLANK('Q:\Abteilungsprojekte\Eng\EngData\PROJECT_Bioplastics\Renjie_Pan\05-Raw_Data\Lab_results\[LabSamples2025_Bioplastic_extra.xlsx]extra_Bioplastic'!B222)," ",'Q:\Abteilungsprojekte\Eng\EngData\PROJECT_Bioplastics\Renjie_Pan\05-Raw_Data\Lab_results\[LabSamples2025_Bioplastic_extra.xlsx]extra_Bioplastic'!B222)</f>
        <v/>
      </c>
      <c r="C222">
        <f>IF(ISBLANK('Q:\Abteilungsprojekte\Eng\EngData\PROJECT_Bioplastics\Renjie_Pan\05-Raw_Data\Lab_results\[LabSamples2025_Bioplastic_extra.xlsx]extra_Bioplastic'!C222)," ",'Q:\Abteilungsprojekte\Eng\EngData\PROJECT_Bioplastics\Renjie_Pan\05-Raw_Data\Lab_results\[LabSamples2025_Bioplastic_extra.xlsx]extra_Bioplastic'!C222)</f>
        <v/>
      </c>
      <c r="D222">
        <f>IF(ISBLANK('Q:\Abteilungsprojekte\Eng\EngData\PROJECT_Bioplastics\Renjie_Pan\05-Raw_Data\Lab_results\[LabSamples2025_Bioplastic_extra.xlsx]extra_Bioplastic'!D222)," ",'Q:\Abteilungsprojekte\Eng\EngData\PROJECT_Bioplastics\Renjie_Pan\05-Raw_Data\Lab_results\[LabSamples2025_Bioplastic_extra.xlsx]extra_Bioplastic'!D222)</f>
        <v/>
      </c>
      <c r="E222">
        <f>IF(ISBLANK('Q:\Abteilungsprojekte\Eng\EngData\PROJECT_Bioplastics\Renjie_Pan\05-Raw_Data\Lab_results\[LabSamples2025_Bioplastic_extra.xlsx]extra_Bioplastic'!E222)," ",'Q:\Abteilungsprojekte\Eng\EngData\PROJECT_Bioplastics\Renjie_Pan\05-Raw_Data\Lab_results\[LabSamples2025_Bioplastic_extra.xlsx]extra_Bioplastic'!E222)</f>
        <v/>
      </c>
      <c r="F222">
        <f>IF(ISBLANK('Q:\Abteilungsprojekte\Eng\EngData\PROJECT_Bioplastics\Renjie_Pan\05-Raw_Data\Lab_results\[LabSamples2025_Bioplastic_extra.xlsx]extra_Bioplastic'!F222)," ",'Q:\Abteilungsprojekte\Eng\EngData\PROJECT_Bioplastics\Renjie_Pan\05-Raw_Data\Lab_results\[LabSamples2025_Bioplastic_extra.xlsx]extra_Bioplastic'!F222)</f>
        <v/>
      </c>
      <c r="G222">
        <f>IF(ISBLANK('Q:\Abteilungsprojekte\Eng\EngData\PROJECT_Bioplastics\Renjie_Pan\05-Raw_Data\Lab_results\[LabSamples2025_Bioplastic_extra.xlsx]extra_Bioplastic'!G222)," ",'Q:\Abteilungsprojekte\Eng\EngData\PROJECT_Bioplastics\Renjie_Pan\05-Raw_Data\Lab_results\[LabSamples2025_Bioplastic_extra.xlsx]extra_Bioplastic'!G222)</f>
        <v/>
      </c>
      <c r="H222">
        <f>IF(ISBLANK('Q:\Abteilungsprojekte\Eng\EngData\PROJECT_Bioplastics\Renjie_Pan\05-Raw_Data\Lab_results\[LabSamples2025_Bioplastic_extra.xlsx]extra_Bioplastic'!H222)," ",'Q:\Abteilungsprojekte\Eng\EngData\PROJECT_Bioplastics\Renjie_Pan\05-Raw_Data\Lab_results\[LabSamples2025_Bioplastic_extra.xlsx]extra_Bioplastic'!H222)</f>
        <v/>
      </c>
    </row>
    <row r="223">
      <c r="A223">
        <f>IF(ISBLANK('Q:\Abteilungsprojekte\Eng\EngData\PROJECT_Bioplastics\Renjie_Pan\05-Raw_Data\Lab_results\[LabSamples2025_Bioplastic_extra.xlsx]extra_Bioplastic'!A223)," ",'Q:\Abteilungsprojekte\Eng\EngData\PROJECT_Bioplastics\Renjie_Pan\05-Raw_Data\Lab_results\[LabSamples2025_Bioplastic_extra.xlsx]extra_Bioplastic'!A223)</f>
        <v/>
      </c>
      <c r="B223">
        <f>IF(ISBLANK('Q:\Abteilungsprojekte\Eng\EngData\PROJECT_Bioplastics\Renjie_Pan\05-Raw_Data\Lab_results\[LabSamples2025_Bioplastic_extra.xlsx]extra_Bioplastic'!B223)," ",'Q:\Abteilungsprojekte\Eng\EngData\PROJECT_Bioplastics\Renjie_Pan\05-Raw_Data\Lab_results\[LabSamples2025_Bioplastic_extra.xlsx]extra_Bioplastic'!B223)</f>
        <v/>
      </c>
      <c r="C223">
        <f>IF(ISBLANK('Q:\Abteilungsprojekte\Eng\EngData\PROJECT_Bioplastics\Renjie_Pan\05-Raw_Data\Lab_results\[LabSamples2025_Bioplastic_extra.xlsx]extra_Bioplastic'!C223)," ",'Q:\Abteilungsprojekte\Eng\EngData\PROJECT_Bioplastics\Renjie_Pan\05-Raw_Data\Lab_results\[LabSamples2025_Bioplastic_extra.xlsx]extra_Bioplastic'!C223)</f>
        <v/>
      </c>
      <c r="D223">
        <f>IF(ISBLANK('Q:\Abteilungsprojekte\Eng\EngData\PROJECT_Bioplastics\Renjie_Pan\05-Raw_Data\Lab_results\[LabSamples2025_Bioplastic_extra.xlsx]extra_Bioplastic'!D223)," ",'Q:\Abteilungsprojekte\Eng\EngData\PROJECT_Bioplastics\Renjie_Pan\05-Raw_Data\Lab_results\[LabSamples2025_Bioplastic_extra.xlsx]extra_Bioplastic'!D223)</f>
        <v/>
      </c>
      <c r="E223">
        <f>IF(ISBLANK('Q:\Abteilungsprojekte\Eng\EngData\PROJECT_Bioplastics\Renjie_Pan\05-Raw_Data\Lab_results\[LabSamples2025_Bioplastic_extra.xlsx]extra_Bioplastic'!E223)," ",'Q:\Abteilungsprojekte\Eng\EngData\PROJECT_Bioplastics\Renjie_Pan\05-Raw_Data\Lab_results\[LabSamples2025_Bioplastic_extra.xlsx]extra_Bioplastic'!E223)</f>
        <v/>
      </c>
      <c r="F223">
        <f>IF(ISBLANK('Q:\Abteilungsprojekte\Eng\EngData\PROJECT_Bioplastics\Renjie_Pan\05-Raw_Data\Lab_results\[LabSamples2025_Bioplastic_extra.xlsx]extra_Bioplastic'!F223)," ",'Q:\Abteilungsprojekte\Eng\EngData\PROJECT_Bioplastics\Renjie_Pan\05-Raw_Data\Lab_results\[LabSamples2025_Bioplastic_extra.xlsx]extra_Bioplastic'!F223)</f>
        <v/>
      </c>
      <c r="G223">
        <f>IF(ISBLANK('Q:\Abteilungsprojekte\Eng\EngData\PROJECT_Bioplastics\Renjie_Pan\05-Raw_Data\Lab_results\[LabSamples2025_Bioplastic_extra.xlsx]extra_Bioplastic'!G223)," ",'Q:\Abteilungsprojekte\Eng\EngData\PROJECT_Bioplastics\Renjie_Pan\05-Raw_Data\Lab_results\[LabSamples2025_Bioplastic_extra.xlsx]extra_Bioplastic'!G223)</f>
        <v/>
      </c>
      <c r="H223">
        <f>IF(ISBLANK('Q:\Abteilungsprojekte\Eng\EngData\PROJECT_Bioplastics\Renjie_Pan\05-Raw_Data\Lab_results\[LabSamples2025_Bioplastic_extra.xlsx]extra_Bioplastic'!H223)," ",'Q:\Abteilungsprojekte\Eng\EngData\PROJECT_Bioplastics\Renjie_Pan\05-Raw_Data\Lab_results\[LabSamples2025_Bioplastic_extra.xlsx]extra_Bioplastic'!H223)</f>
        <v/>
      </c>
    </row>
    <row r="224">
      <c r="A224">
        <f>IF(ISBLANK('Q:\Abteilungsprojekte\Eng\EngData\PROJECT_Bioplastics\Renjie_Pan\05-Raw_Data\Lab_results\[LabSamples2025_Bioplastic_extra.xlsx]extra_Bioplastic'!A224)," ",'Q:\Abteilungsprojekte\Eng\EngData\PROJECT_Bioplastics\Renjie_Pan\05-Raw_Data\Lab_results\[LabSamples2025_Bioplastic_extra.xlsx]extra_Bioplastic'!A224)</f>
        <v/>
      </c>
      <c r="B224">
        <f>IF(ISBLANK('Q:\Abteilungsprojekte\Eng\EngData\PROJECT_Bioplastics\Renjie_Pan\05-Raw_Data\Lab_results\[LabSamples2025_Bioplastic_extra.xlsx]extra_Bioplastic'!B224)," ",'Q:\Abteilungsprojekte\Eng\EngData\PROJECT_Bioplastics\Renjie_Pan\05-Raw_Data\Lab_results\[LabSamples2025_Bioplastic_extra.xlsx]extra_Bioplastic'!B224)</f>
        <v/>
      </c>
      <c r="C224">
        <f>IF(ISBLANK('Q:\Abteilungsprojekte\Eng\EngData\PROJECT_Bioplastics\Renjie_Pan\05-Raw_Data\Lab_results\[LabSamples2025_Bioplastic_extra.xlsx]extra_Bioplastic'!C224)," ",'Q:\Abteilungsprojekte\Eng\EngData\PROJECT_Bioplastics\Renjie_Pan\05-Raw_Data\Lab_results\[LabSamples2025_Bioplastic_extra.xlsx]extra_Bioplastic'!C224)</f>
        <v/>
      </c>
      <c r="D224">
        <f>IF(ISBLANK('Q:\Abteilungsprojekte\Eng\EngData\PROJECT_Bioplastics\Renjie_Pan\05-Raw_Data\Lab_results\[LabSamples2025_Bioplastic_extra.xlsx]extra_Bioplastic'!D224)," ",'Q:\Abteilungsprojekte\Eng\EngData\PROJECT_Bioplastics\Renjie_Pan\05-Raw_Data\Lab_results\[LabSamples2025_Bioplastic_extra.xlsx]extra_Bioplastic'!D224)</f>
        <v/>
      </c>
      <c r="E224">
        <f>IF(ISBLANK('Q:\Abteilungsprojekte\Eng\EngData\PROJECT_Bioplastics\Renjie_Pan\05-Raw_Data\Lab_results\[LabSamples2025_Bioplastic_extra.xlsx]extra_Bioplastic'!E224)," ",'Q:\Abteilungsprojekte\Eng\EngData\PROJECT_Bioplastics\Renjie_Pan\05-Raw_Data\Lab_results\[LabSamples2025_Bioplastic_extra.xlsx]extra_Bioplastic'!E224)</f>
        <v/>
      </c>
      <c r="F224">
        <f>IF(ISBLANK('Q:\Abteilungsprojekte\Eng\EngData\PROJECT_Bioplastics\Renjie_Pan\05-Raw_Data\Lab_results\[LabSamples2025_Bioplastic_extra.xlsx]extra_Bioplastic'!F224)," ",'Q:\Abteilungsprojekte\Eng\EngData\PROJECT_Bioplastics\Renjie_Pan\05-Raw_Data\Lab_results\[LabSamples2025_Bioplastic_extra.xlsx]extra_Bioplastic'!F224)</f>
        <v/>
      </c>
      <c r="G224">
        <f>IF(ISBLANK('Q:\Abteilungsprojekte\Eng\EngData\PROJECT_Bioplastics\Renjie_Pan\05-Raw_Data\Lab_results\[LabSamples2025_Bioplastic_extra.xlsx]extra_Bioplastic'!G224)," ",'Q:\Abteilungsprojekte\Eng\EngData\PROJECT_Bioplastics\Renjie_Pan\05-Raw_Data\Lab_results\[LabSamples2025_Bioplastic_extra.xlsx]extra_Bioplastic'!G224)</f>
        <v/>
      </c>
      <c r="H224">
        <f>IF(ISBLANK('Q:\Abteilungsprojekte\Eng\EngData\PROJECT_Bioplastics\Renjie_Pan\05-Raw_Data\Lab_results\[LabSamples2025_Bioplastic_extra.xlsx]extra_Bioplastic'!H224)," ",'Q:\Abteilungsprojekte\Eng\EngData\PROJECT_Bioplastics\Renjie_Pan\05-Raw_Data\Lab_results\[LabSamples2025_Bioplastic_extra.xlsx]extra_Bioplastic'!H224)</f>
        <v/>
      </c>
    </row>
    <row r="225">
      <c r="A225">
        <f>IF(ISBLANK('Q:\Abteilungsprojekte\Eng\EngData\PROJECT_Bioplastics\Renjie_Pan\05-Raw_Data\Lab_results\[LabSamples2025_Bioplastic_extra.xlsx]extra_Bioplastic'!A225)," ",'Q:\Abteilungsprojekte\Eng\EngData\PROJECT_Bioplastics\Renjie_Pan\05-Raw_Data\Lab_results\[LabSamples2025_Bioplastic_extra.xlsx]extra_Bioplastic'!A225)</f>
        <v/>
      </c>
      <c r="B225">
        <f>IF(ISBLANK('Q:\Abteilungsprojekte\Eng\EngData\PROJECT_Bioplastics\Renjie_Pan\05-Raw_Data\Lab_results\[LabSamples2025_Bioplastic_extra.xlsx]extra_Bioplastic'!B225)," ",'Q:\Abteilungsprojekte\Eng\EngData\PROJECT_Bioplastics\Renjie_Pan\05-Raw_Data\Lab_results\[LabSamples2025_Bioplastic_extra.xlsx]extra_Bioplastic'!B225)</f>
        <v/>
      </c>
      <c r="C225">
        <f>IF(ISBLANK('Q:\Abteilungsprojekte\Eng\EngData\PROJECT_Bioplastics\Renjie_Pan\05-Raw_Data\Lab_results\[LabSamples2025_Bioplastic_extra.xlsx]extra_Bioplastic'!C225)," ",'Q:\Abteilungsprojekte\Eng\EngData\PROJECT_Bioplastics\Renjie_Pan\05-Raw_Data\Lab_results\[LabSamples2025_Bioplastic_extra.xlsx]extra_Bioplastic'!C225)</f>
        <v/>
      </c>
      <c r="D225">
        <f>IF(ISBLANK('Q:\Abteilungsprojekte\Eng\EngData\PROJECT_Bioplastics\Renjie_Pan\05-Raw_Data\Lab_results\[LabSamples2025_Bioplastic_extra.xlsx]extra_Bioplastic'!D225)," ",'Q:\Abteilungsprojekte\Eng\EngData\PROJECT_Bioplastics\Renjie_Pan\05-Raw_Data\Lab_results\[LabSamples2025_Bioplastic_extra.xlsx]extra_Bioplastic'!D225)</f>
        <v/>
      </c>
      <c r="E225">
        <f>IF(ISBLANK('Q:\Abteilungsprojekte\Eng\EngData\PROJECT_Bioplastics\Renjie_Pan\05-Raw_Data\Lab_results\[LabSamples2025_Bioplastic_extra.xlsx]extra_Bioplastic'!E225)," ",'Q:\Abteilungsprojekte\Eng\EngData\PROJECT_Bioplastics\Renjie_Pan\05-Raw_Data\Lab_results\[LabSamples2025_Bioplastic_extra.xlsx]extra_Bioplastic'!E225)</f>
        <v/>
      </c>
      <c r="F225">
        <f>IF(ISBLANK('Q:\Abteilungsprojekte\Eng\EngData\PROJECT_Bioplastics\Renjie_Pan\05-Raw_Data\Lab_results\[LabSamples2025_Bioplastic_extra.xlsx]extra_Bioplastic'!F225)," ",'Q:\Abteilungsprojekte\Eng\EngData\PROJECT_Bioplastics\Renjie_Pan\05-Raw_Data\Lab_results\[LabSamples2025_Bioplastic_extra.xlsx]extra_Bioplastic'!F225)</f>
        <v/>
      </c>
      <c r="G225">
        <f>IF(ISBLANK('Q:\Abteilungsprojekte\Eng\EngData\PROJECT_Bioplastics\Renjie_Pan\05-Raw_Data\Lab_results\[LabSamples2025_Bioplastic_extra.xlsx]extra_Bioplastic'!G225)," ",'Q:\Abteilungsprojekte\Eng\EngData\PROJECT_Bioplastics\Renjie_Pan\05-Raw_Data\Lab_results\[LabSamples2025_Bioplastic_extra.xlsx]extra_Bioplastic'!G225)</f>
        <v/>
      </c>
      <c r="H225">
        <f>IF(ISBLANK('Q:\Abteilungsprojekte\Eng\EngData\PROJECT_Bioplastics\Renjie_Pan\05-Raw_Data\Lab_results\[LabSamples2025_Bioplastic_extra.xlsx]extra_Bioplastic'!H225)," ",'Q:\Abteilungsprojekte\Eng\EngData\PROJECT_Bioplastics\Renjie_Pan\05-Raw_Data\Lab_results\[LabSamples2025_Bioplastic_extra.xlsx]extra_Bioplastic'!H225)</f>
        <v/>
      </c>
    </row>
    <row r="226">
      <c r="A226">
        <f>IF(ISBLANK('Q:\Abteilungsprojekte\Eng\EngData\PROJECT_Bioplastics\Renjie_Pan\05-Raw_Data\Lab_results\[LabSamples2025_Bioplastic_extra.xlsx]extra_Bioplastic'!A226)," ",'Q:\Abteilungsprojekte\Eng\EngData\PROJECT_Bioplastics\Renjie_Pan\05-Raw_Data\Lab_results\[LabSamples2025_Bioplastic_extra.xlsx]extra_Bioplastic'!A226)</f>
        <v/>
      </c>
      <c r="B226">
        <f>IF(ISBLANK('Q:\Abteilungsprojekte\Eng\EngData\PROJECT_Bioplastics\Renjie_Pan\05-Raw_Data\Lab_results\[LabSamples2025_Bioplastic_extra.xlsx]extra_Bioplastic'!B226)," ",'Q:\Abteilungsprojekte\Eng\EngData\PROJECT_Bioplastics\Renjie_Pan\05-Raw_Data\Lab_results\[LabSamples2025_Bioplastic_extra.xlsx]extra_Bioplastic'!B226)</f>
        <v/>
      </c>
      <c r="C226">
        <f>IF(ISBLANK('Q:\Abteilungsprojekte\Eng\EngData\PROJECT_Bioplastics\Renjie_Pan\05-Raw_Data\Lab_results\[LabSamples2025_Bioplastic_extra.xlsx]extra_Bioplastic'!C226)," ",'Q:\Abteilungsprojekte\Eng\EngData\PROJECT_Bioplastics\Renjie_Pan\05-Raw_Data\Lab_results\[LabSamples2025_Bioplastic_extra.xlsx]extra_Bioplastic'!C226)</f>
        <v/>
      </c>
      <c r="D226">
        <f>IF(ISBLANK('Q:\Abteilungsprojekte\Eng\EngData\PROJECT_Bioplastics\Renjie_Pan\05-Raw_Data\Lab_results\[LabSamples2025_Bioplastic_extra.xlsx]extra_Bioplastic'!D226)," ",'Q:\Abteilungsprojekte\Eng\EngData\PROJECT_Bioplastics\Renjie_Pan\05-Raw_Data\Lab_results\[LabSamples2025_Bioplastic_extra.xlsx]extra_Bioplastic'!D226)</f>
        <v/>
      </c>
      <c r="E226">
        <f>IF(ISBLANK('Q:\Abteilungsprojekte\Eng\EngData\PROJECT_Bioplastics\Renjie_Pan\05-Raw_Data\Lab_results\[LabSamples2025_Bioplastic_extra.xlsx]extra_Bioplastic'!E226)," ",'Q:\Abteilungsprojekte\Eng\EngData\PROJECT_Bioplastics\Renjie_Pan\05-Raw_Data\Lab_results\[LabSamples2025_Bioplastic_extra.xlsx]extra_Bioplastic'!E226)</f>
        <v/>
      </c>
      <c r="F226">
        <f>IF(ISBLANK('Q:\Abteilungsprojekte\Eng\EngData\PROJECT_Bioplastics\Renjie_Pan\05-Raw_Data\Lab_results\[LabSamples2025_Bioplastic_extra.xlsx]extra_Bioplastic'!F226)," ",'Q:\Abteilungsprojekte\Eng\EngData\PROJECT_Bioplastics\Renjie_Pan\05-Raw_Data\Lab_results\[LabSamples2025_Bioplastic_extra.xlsx]extra_Bioplastic'!F226)</f>
        <v/>
      </c>
      <c r="G226">
        <f>IF(ISBLANK('Q:\Abteilungsprojekte\Eng\EngData\PROJECT_Bioplastics\Renjie_Pan\05-Raw_Data\Lab_results\[LabSamples2025_Bioplastic_extra.xlsx]extra_Bioplastic'!G226)," ",'Q:\Abteilungsprojekte\Eng\EngData\PROJECT_Bioplastics\Renjie_Pan\05-Raw_Data\Lab_results\[LabSamples2025_Bioplastic_extra.xlsx]extra_Bioplastic'!G226)</f>
        <v/>
      </c>
      <c r="H226">
        <f>IF(ISBLANK('Q:\Abteilungsprojekte\Eng\EngData\PROJECT_Bioplastics\Renjie_Pan\05-Raw_Data\Lab_results\[LabSamples2025_Bioplastic_extra.xlsx]extra_Bioplastic'!H226)," ",'Q:\Abteilungsprojekte\Eng\EngData\PROJECT_Bioplastics\Renjie_Pan\05-Raw_Data\Lab_results\[LabSamples2025_Bioplastic_extra.xlsx]extra_Bioplastic'!H226)</f>
        <v/>
      </c>
    </row>
    <row r="227">
      <c r="A227">
        <f>IF(ISBLANK('Q:\Abteilungsprojekte\Eng\EngData\PROJECT_Bioplastics\Renjie_Pan\05-Raw_Data\Lab_results\[LabSamples2025_Bioplastic_extra.xlsx]extra_Bioplastic'!A227)," ",'Q:\Abteilungsprojekte\Eng\EngData\PROJECT_Bioplastics\Renjie_Pan\05-Raw_Data\Lab_results\[LabSamples2025_Bioplastic_extra.xlsx]extra_Bioplastic'!A227)</f>
        <v/>
      </c>
      <c r="B227">
        <f>IF(ISBLANK('Q:\Abteilungsprojekte\Eng\EngData\PROJECT_Bioplastics\Renjie_Pan\05-Raw_Data\Lab_results\[LabSamples2025_Bioplastic_extra.xlsx]extra_Bioplastic'!B227)," ",'Q:\Abteilungsprojekte\Eng\EngData\PROJECT_Bioplastics\Renjie_Pan\05-Raw_Data\Lab_results\[LabSamples2025_Bioplastic_extra.xlsx]extra_Bioplastic'!B227)</f>
        <v/>
      </c>
      <c r="C227">
        <f>IF(ISBLANK('Q:\Abteilungsprojekte\Eng\EngData\PROJECT_Bioplastics\Renjie_Pan\05-Raw_Data\Lab_results\[LabSamples2025_Bioplastic_extra.xlsx]extra_Bioplastic'!C227)," ",'Q:\Abteilungsprojekte\Eng\EngData\PROJECT_Bioplastics\Renjie_Pan\05-Raw_Data\Lab_results\[LabSamples2025_Bioplastic_extra.xlsx]extra_Bioplastic'!C227)</f>
        <v/>
      </c>
      <c r="D227">
        <f>IF(ISBLANK('Q:\Abteilungsprojekte\Eng\EngData\PROJECT_Bioplastics\Renjie_Pan\05-Raw_Data\Lab_results\[LabSamples2025_Bioplastic_extra.xlsx]extra_Bioplastic'!D227)," ",'Q:\Abteilungsprojekte\Eng\EngData\PROJECT_Bioplastics\Renjie_Pan\05-Raw_Data\Lab_results\[LabSamples2025_Bioplastic_extra.xlsx]extra_Bioplastic'!D227)</f>
        <v/>
      </c>
      <c r="E227">
        <f>IF(ISBLANK('Q:\Abteilungsprojekte\Eng\EngData\PROJECT_Bioplastics\Renjie_Pan\05-Raw_Data\Lab_results\[LabSamples2025_Bioplastic_extra.xlsx]extra_Bioplastic'!E227)," ",'Q:\Abteilungsprojekte\Eng\EngData\PROJECT_Bioplastics\Renjie_Pan\05-Raw_Data\Lab_results\[LabSamples2025_Bioplastic_extra.xlsx]extra_Bioplastic'!E227)</f>
        <v/>
      </c>
      <c r="F227">
        <f>IF(ISBLANK('Q:\Abteilungsprojekte\Eng\EngData\PROJECT_Bioplastics\Renjie_Pan\05-Raw_Data\Lab_results\[LabSamples2025_Bioplastic_extra.xlsx]extra_Bioplastic'!F227)," ",'Q:\Abteilungsprojekte\Eng\EngData\PROJECT_Bioplastics\Renjie_Pan\05-Raw_Data\Lab_results\[LabSamples2025_Bioplastic_extra.xlsx]extra_Bioplastic'!F227)</f>
        <v/>
      </c>
      <c r="G227">
        <f>IF(ISBLANK('Q:\Abteilungsprojekte\Eng\EngData\PROJECT_Bioplastics\Renjie_Pan\05-Raw_Data\Lab_results\[LabSamples2025_Bioplastic_extra.xlsx]extra_Bioplastic'!G227)," ",'Q:\Abteilungsprojekte\Eng\EngData\PROJECT_Bioplastics\Renjie_Pan\05-Raw_Data\Lab_results\[LabSamples2025_Bioplastic_extra.xlsx]extra_Bioplastic'!G227)</f>
        <v/>
      </c>
      <c r="H227">
        <f>IF(ISBLANK('Q:\Abteilungsprojekte\Eng\EngData\PROJECT_Bioplastics\Renjie_Pan\05-Raw_Data\Lab_results\[LabSamples2025_Bioplastic_extra.xlsx]extra_Bioplastic'!H227)," ",'Q:\Abteilungsprojekte\Eng\EngData\PROJECT_Bioplastics\Renjie_Pan\05-Raw_Data\Lab_results\[LabSamples2025_Bioplastic_extra.xlsx]extra_Bioplastic'!H227)</f>
        <v/>
      </c>
    </row>
    <row r="228">
      <c r="A228">
        <f>IF(ISBLANK('Q:\Abteilungsprojekte\Eng\EngData\PROJECT_Bioplastics\Renjie_Pan\05-Raw_Data\Lab_results\[LabSamples2025_Bioplastic_extra.xlsx]extra_Bioplastic'!A228)," ",'Q:\Abteilungsprojekte\Eng\EngData\PROJECT_Bioplastics\Renjie_Pan\05-Raw_Data\Lab_results\[LabSamples2025_Bioplastic_extra.xlsx]extra_Bioplastic'!A228)</f>
        <v/>
      </c>
      <c r="B228">
        <f>IF(ISBLANK('Q:\Abteilungsprojekte\Eng\EngData\PROJECT_Bioplastics\Renjie_Pan\05-Raw_Data\Lab_results\[LabSamples2025_Bioplastic_extra.xlsx]extra_Bioplastic'!B228)," ",'Q:\Abteilungsprojekte\Eng\EngData\PROJECT_Bioplastics\Renjie_Pan\05-Raw_Data\Lab_results\[LabSamples2025_Bioplastic_extra.xlsx]extra_Bioplastic'!B228)</f>
        <v/>
      </c>
      <c r="C228">
        <f>IF(ISBLANK('Q:\Abteilungsprojekte\Eng\EngData\PROJECT_Bioplastics\Renjie_Pan\05-Raw_Data\Lab_results\[LabSamples2025_Bioplastic_extra.xlsx]extra_Bioplastic'!C228)," ",'Q:\Abteilungsprojekte\Eng\EngData\PROJECT_Bioplastics\Renjie_Pan\05-Raw_Data\Lab_results\[LabSamples2025_Bioplastic_extra.xlsx]extra_Bioplastic'!C228)</f>
        <v/>
      </c>
      <c r="D228">
        <f>IF(ISBLANK('Q:\Abteilungsprojekte\Eng\EngData\PROJECT_Bioplastics\Renjie_Pan\05-Raw_Data\Lab_results\[LabSamples2025_Bioplastic_extra.xlsx]extra_Bioplastic'!D228)," ",'Q:\Abteilungsprojekte\Eng\EngData\PROJECT_Bioplastics\Renjie_Pan\05-Raw_Data\Lab_results\[LabSamples2025_Bioplastic_extra.xlsx]extra_Bioplastic'!D228)</f>
        <v/>
      </c>
      <c r="E228">
        <f>IF(ISBLANK('Q:\Abteilungsprojekte\Eng\EngData\PROJECT_Bioplastics\Renjie_Pan\05-Raw_Data\Lab_results\[LabSamples2025_Bioplastic_extra.xlsx]extra_Bioplastic'!E228)," ",'Q:\Abteilungsprojekte\Eng\EngData\PROJECT_Bioplastics\Renjie_Pan\05-Raw_Data\Lab_results\[LabSamples2025_Bioplastic_extra.xlsx]extra_Bioplastic'!E228)</f>
        <v/>
      </c>
      <c r="F228">
        <f>IF(ISBLANK('Q:\Abteilungsprojekte\Eng\EngData\PROJECT_Bioplastics\Renjie_Pan\05-Raw_Data\Lab_results\[LabSamples2025_Bioplastic_extra.xlsx]extra_Bioplastic'!F228)," ",'Q:\Abteilungsprojekte\Eng\EngData\PROJECT_Bioplastics\Renjie_Pan\05-Raw_Data\Lab_results\[LabSamples2025_Bioplastic_extra.xlsx]extra_Bioplastic'!F228)</f>
        <v/>
      </c>
      <c r="G228">
        <f>IF(ISBLANK('Q:\Abteilungsprojekte\Eng\EngData\PROJECT_Bioplastics\Renjie_Pan\05-Raw_Data\Lab_results\[LabSamples2025_Bioplastic_extra.xlsx]extra_Bioplastic'!G228)," ",'Q:\Abteilungsprojekte\Eng\EngData\PROJECT_Bioplastics\Renjie_Pan\05-Raw_Data\Lab_results\[LabSamples2025_Bioplastic_extra.xlsx]extra_Bioplastic'!G228)</f>
        <v/>
      </c>
      <c r="H228">
        <f>IF(ISBLANK('Q:\Abteilungsprojekte\Eng\EngData\PROJECT_Bioplastics\Renjie_Pan\05-Raw_Data\Lab_results\[LabSamples2025_Bioplastic_extra.xlsx]extra_Bioplastic'!H228)," ",'Q:\Abteilungsprojekte\Eng\EngData\PROJECT_Bioplastics\Renjie_Pan\05-Raw_Data\Lab_results\[LabSamples2025_Bioplastic_extra.xlsx]extra_Bioplastic'!H228)</f>
        <v/>
      </c>
    </row>
    <row r="229">
      <c r="A229">
        <f>IF(ISBLANK('Q:\Abteilungsprojekte\Eng\EngData\PROJECT_Bioplastics\Renjie_Pan\05-Raw_Data\Lab_results\[LabSamples2025_Bioplastic_extra.xlsx]extra_Bioplastic'!A229)," ",'Q:\Abteilungsprojekte\Eng\EngData\PROJECT_Bioplastics\Renjie_Pan\05-Raw_Data\Lab_results\[LabSamples2025_Bioplastic_extra.xlsx]extra_Bioplastic'!A229)</f>
        <v/>
      </c>
      <c r="B229">
        <f>IF(ISBLANK('Q:\Abteilungsprojekte\Eng\EngData\PROJECT_Bioplastics\Renjie_Pan\05-Raw_Data\Lab_results\[LabSamples2025_Bioplastic_extra.xlsx]extra_Bioplastic'!B229)," ",'Q:\Abteilungsprojekte\Eng\EngData\PROJECT_Bioplastics\Renjie_Pan\05-Raw_Data\Lab_results\[LabSamples2025_Bioplastic_extra.xlsx]extra_Bioplastic'!B229)</f>
        <v/>
      </c>
      <c r="C229">
        <f>IF(ISBLANK('Q:\Abteilungsprojekte\Eng\EngData\PROJECT_Bioplastics\Renjie_Pan\05-Raw_Data\Lab_results\[LabSamples2025_Bioplastic_extra.xlsx]extra_Bioplastic'!C229)," ",'Q:\Abteilungsprojekte\Eng\EngData\PROJECT_Bioplastics\Renjie_Pan\05-Raw_Data\Lab_results\[LabSamples2025_Bioplastic_extra.xlsx]extra_Bioplastic'!C229)</f>
        <v/>
      </c>
      <c r="D229">
        <f>IF(ISBLANK('Q:\Abteilungsprojekte\Eng\EngData\PROJECT_Bioplastics\Renjie_Pan\05-Raw_Data\Lab_results\[LabSamples2025_Bioplastic_extra.xlsx]extra_Bioplastic'!D229)," ",'Q:\Abteilungsprojekte\Eng\EngData\PROJECT_Bioplastics\Renjie_Pan\05-Raw_Data\Lab_results\[LabSamples2025_Bioplastic_extra.xlsx]extra_Bioplastic'!D229)</f>
        <v/>
      </c>
      <c r="E229">
        <f>IF(ISBLANK('Q:\Abteilungsprojekte\Eng\EngData\PROJECT_Bioplastics\Renjie_Pan\05-Raw_Data\Lab_results\[LabSamples2025_Bioplastic_extra.xlsx]extra_Bioplastic'!E229)," ",'Q:\Abteilungsprojekte\Eng\EngData\PROJECT_Bioplastics\Renjie_Pan\05-Raw_Data\Lab_results\[LabSamples2025_Bioplastic_extra.xlsx]extra_Bioplastic'!E229)</f>
        <v/>
      </c>
      <c r="F229">
        <f>IF(ISBLANK('Q:\Abteilungsprojekte\Eng\EngData\PROJECT_Bioplastics\Renjie_Pan\05-Raw_Data\Lab_results\[LabSamples2025_Bioplastic_extra.xlsx]extra_Bioplastic'!F229)," ",'Q:\Abteilungsprojekte\Eng\EngData\PROJECT_Bioplastics\Renjie_Pan\05-Raw_Data\Lab_results\[LabSamples2025_Bioplastic_extra.xlsx]extra_Bioplastic'!F229)</f>
        <v/>
      </c>
      <c r="G229">
        <f>IF(ISBLANK('Q:\Abteilungsprojekte\Eng\EngData\PROJECT_Bioplastics\Renjie_Pan\05-Raw_Data\Lab_results\[LabSamples2025_Bioplastic_extra.xlsx]extra_Bioplastic'!G229)," ",'Q:\Abteilungsprojekte\Eng\EngData\PROJECT_Bioplastics\Renjie_Pan\05-Raw_Data\Lab_results\[LabSamples2025_Bioplastic_extra.xlsx]extra_Bioplastic'!G229)</f>
        <v/>
      </c>
      <c r="H229">
        <f>IF(ISBLANK('Q:\Abteilungsprojekte\Eng\EngData\PROJECT_Bioplastics\Renjie_Pan\05-Raw_Data\Lab_results\[LabSamples2025_Bioplastic_extra.xlsx]extra_Bioplastic'!H229)," ",'Q:\Abteilungsprojekte\Eng\EngData\PROJECT_Bioplastics\Renjie_Pan\05-Raw_Data\Lab_results\[LabSamples2025_Bioplastic_extra.xlsx]extra_Bioplastic'!H229)</f>
        <v/>
      </c>
    </row>
    <row r="230">
      <c r="A230">
        <f>IF(ISBLANK('Q:\Abteilungsprojekte\Eng\EngData\PROJECT_Bioplastics\Renjie_Pan\05-Raw_Data\Lab_results\[LabSamples2025_Bioplastic_extra.xlsx]extra_Bioplastic'!A230)," ",'Q:\Abteilungsprojekte\Eng\EngData\PROJECT_Bioplastics\Renjie_Pan\05-Raw_Data\Lab_results\[LabSamples2025_Bioplastic_extra.xlsx]extra_Bioplastic'!A230)</f>
        <v/>
      </c>
      <c r="B230">
        <f>IF(ISBLANK('Q:\Abteilungsprojekte\Eng\EngData\PROJECT_Bioplastics\Renjie_Pan\05-Raw_Data\Lab_results\[LabSamples2025_Bioplastic_extra.xlsx]extra_Bioplastic'!B230)," ",'Q:\Abteilungsprojekte\Eng\EngData\PROJECT_Bioplastics\Renjie_Pan\05-Raw_Data\Lab_results\[LabSamples2025_Bioplastic_extra.xlsx]extra_Bioplastic'!B230)</f>
        <v/>
      </c>
      <c r="C230">
        <f>IF(ISBLANK('Q:\Abteilungsprojekte\Eng\EngData\PROJECT_Bioplastics\Renjie_Pan\05-Raw_Data\Lab_results\[LabSamples2025_Bioplastic_extra.xlsx]extra_Bioplastic'!C230)," ",'Q:\Abteilungsprojekte\Eng\EngData\PROJECT_Bioplastics\Renjie_Pan\05-Raw_Data\Lab_results\[LabSamples2025_Bioplastic_extra.xlsx]extra_Bioplastic'!C230)</f>
        <v/>
      </c>
      <c r="D230">
        <f>IF(ISBLANK('Q:\Abteilungsprojekte\Eng\EngData\PROJECT_Bioplastics\Renjie_Pan\05-Raw_Data\Lab_results\[LabSamples2025_Bioplastic_extra.xlsx]extra_Bioplastic'!D230)," ",'Q:\Abteilungsprojekte\Eng\EngData\PROJECT_Bioplastics\Renjie_Pan\05-Raw_Data\Lab_results\[LabSamples2025_Bioplastic_extra.xlsx]extra_Bioplastic'!D230)</f>
        <v/>
      </c>
      <c r="E230">
        <f>IF(ISBLANK('Q:\Abteilungsprojekte\Eng\EngData\PROJECT_Bioplastics\Renjie_Pan\05-Raw_Data\Lab_results\[LabSamples2025_Bioplastic_extra.xlsx]extra_Bioplastic'!E230)," ",'Q:\Abteilungsprojekte\Eng\EngData\PROJECT_Bioplastics\Renjie_Pan\05-Raw_Data\Lab_results\[LabSamples2025_Bioplastic_extra.xlsx]extra_Bioplastic'!E230)</f>
        <v/>
      </c>
      <c r="F230">
        <f>IF(ISBLANK('Q:\Abteilungsprojekte\Eng\EngData\PROJECT_Bioplastics\Renjie_Pan\05-Raw_Data\Lab_results\[LabSamples2025_Bioplastic_extra.xlsx]extra_Bioplastic'!F230)," ",'Q:\Abteilungsprojekte\Eng\EngData\PROJECT_Bioplastics\Renjie_Pan\05-Raw_Data\Lab_results\[LabSamples2025_Bioplastic_extra.xlsx]extra_Bioplastic'!F230)</f>
        <v/>
      </c>
      <c r="G230">
        <f>IF(ISBLANK('Q:\Abteilungsprojekte\Eng\EngData\PROJECT_Bioplastics\Renjie_Pan\05-Raw_Data\Lab_results\[LabSamples2025_Bioplastic_extra.xlsx]extra_Bioplastic'!G230)," ",'Q:\Abteilungsprojekte\Eng\EngData\PROJECT_Bioplastics\Renjie_Pan\05-Raw_Data\Lab_results\[LabSamples2025_Bioplastic_extra.xlsx]extra_Bioplastic'!G230)</f>
        <v/>
      </c>
      <c r="H230">
        <f>IF(ISBLANK('Q:\Abteilungsprojekte\Eng\EngData\PROJECT_Bioplastics\Renjie_Pan\05-Raw_Data\Lab_results\[LabSamples2025_Bioplastic_extra.xlsx]extra_Bioplastic'!H230)," ",'Q:\Abteilungsprojekte\Eng\EngData\PROJECT_Bioplastics\Renjie_Pan\05-Raw_Data\Lab_results\[LabSamples2025_Bioplastic_extra.xlsx]extra_Bioplastic'!H230)</f>
        <v/>
      </c>
    </row>
    <row r="231">
      <c r="A231">
        <f>IF(ISBLANK('Q:\Abteilungsprojekte\Eng\EngData\PROJECT_Bioplastics\Renjie_Pan\05-Raw_Data\Lab_results\[LabSamples2025_Bioplastic_extra.xlsx]extra_Bioplastic'!A231)," ",'Q:\Abteilungsprojekte\Eng\EngData\PROJECT_Bioplastics\Renjie_Pan\05-Raw_Data\Lab_results\[LabSamples2025_Bioplastic_extra.xlsx]extra_Bioplastic'!A231)</f>
        <v/>
      </c>
      <c r="B231">
        <f>IF(ISBLANK('Q:\Abteilungsprojekte\Eng\EngData\PROJECT_Bioplastics\Renjie_Pan\05-Raw_Data\Lab_results\[LabSamples2025_Bioplastic_extra.xlsx]extra_Bioplastic'!B231)," ",'Q:\Abteilungsprojekte\Eng\EngData\PROJECT_Bioplastics\Renjie_Pan\05-Raw_Data\Lab_results\[LabSamples2025_Bioplastic_extra.xlsx]extra_Bioplastic'!B231)</f>
        <v/>
      </c>
      <c r="C231">
        <f>IF(ISBLANK('Q:\Abteilungsprojekte\Eng\EngData\PROJECT_Bioplastics\Renjie_Pan\05-Raw_Data\Lab_results\[LabSamples2025_Bioplastic_extra.xlsx]extra_Bioplastic'!C231)," ",'Q:\Abteilungsprojekte\Eng\EngData\PROJECT_Bioplastics\Renjie_Pan\05-Raw_Data\Lab_results\[LabSamples2025_Bioplastic_extra.xlsx]extra_Bioplastic'!C231)</f>
        <v/>
      </c>
      <c r="D231">
        <f>IF(ISBLANK('Q:\Abteilungsprojekte\Eng\EngData\PROJECT_Bioplastics\Renjie_Pan\05-Raw_Data\Lab_results\[LabSamples2025_Bioplastic_extra.xlsx]extra_Bioplastic'!D231)," ",'Q:\Abteilungsprojekte\Eng\EngData\PROJECT_Bioplastics\Renjie_Pan\05-Raw_Data\Lab_results\[LabSamples2025_Bioplastic_extra.xlsx]extra_Bioplastic'!D231)</f>
        <v/>
      </c>
      <c r="E231">
        <f>IF(ISBLANK('Q:\Abteilungsprojekte\Eng\EngData\PROJECT_Bioplastics\Renjie_Pan\05-Raw_Data\Lab_results\[LabSamples2025_Bioplastic_extra.xlsx]extra_Bioplastic'!E231)," ",'Q:\Abteilungsprojekte\Eng\EngData\PROJECT_Bioplastics\Renjie_Pan\05-Raw_Data\Lab_results\[LabSamples2025_Bioplastic_extra.xlsx]extra_Bioplastic'!E231)</f>
        <v/>
      </c>
      <c r="F231">
        <f>IF(ISBLANK('Q:\Abteilungsprojekte\Eng\EngData\PROJECT_Bioplastics\Renjie_Pan\05-Raw_Data\Lab_results\[LabSamples2025_Bioplastic_extra.xlsx]extra_Bioplastic'!F231)," ",'Q:\Abteilungsprojekte\Eng\EngData\PROJECT_Bioplastics\Renjie_Pan\05-Raw_Data\Lab_results\[LabSamples2025_Bioplastic_extra.xlsx]extra_Bioplastic'!F231)</f>
        <v/>
      </c>
      <c r="G231">
        <f>IF(ISBLANK('Q:\Abteilungsprojekte\Eng\EngData\PROJECT_Bioplastics\Renjie_Pan\05-Raw_Data\Lab_results\[LabSamples2025_Bioplastic_extra.xlsx]extra_Bioplastic'!G231)," ",'Q:\Abteilungsprojekte\Eng\EngData\PROJECT_Bioplastics\Renjie_Pan\05-Raw_Data\Lab_results\[LabSamples2025_Bioplastic_extra.xlsx]extra_Bioplastic'!G231)</f>
        <v/>
      </c>
      <c r="H231">
        <f>IF(ISBLANK('Q:\Abteilungsprojekte\Eng\EngData\PROJECT_Bioplastics\Renjie_Pan\05-Raw_Data\Lab_results\[LabSamples2025_Bioplastic_extra.xlsx]extra_Bioplastic'!H231)," ",'Q:\Abteilungsprojekte\Eng\EngData\PROJECT_Bioplastics\Renjie_Pan\05-Raw_Data\Lab_results\[LabSamples2025_Bioplastic_extra.xlsx]extra_Bioplastic'!H231)</f>
        <v/>
      </c>
    </row>
    <row r="232">
      <c r="A232">
        <f>IF(ISBLANK('Q:\Abteilungsprojekte\Eng\EngData\PROJECT_Bioplastics\Renjie_Pan\05-Raw_Data\Lab_results\[LabSamples2025_Bioplastic_extra.xlsx]extra_Bioplastic'!A232)," ",'Q:\Abteilungsprojekte\Eng\EngData\PROJECT_Bioplastics\Renjie_Pan\05-Raw_Data\Lab_results\[LabSamples2025_Bioplastic_extra.xlsx]extra_Bioplastic'!A232)</f>
        <v/>
      </c>
      <c r="B232">
        <f>IF(ISBLANK('Q:\Abteilungsprojekte\Eng\EngData\PROJECT_Bioplastics\Renjie_Pan\05-Raw_Data\Lab_results\[LabSamples2025_Bioplastic_extra.xlsx]extra_Bioplastic'!B232)," ",'Q:\Abteilungsprojekte\Eng\EngData\PROJECT_Bioplastics\Renjie_Pan\05-Raw_Data\Lab_results\[LabSamples2025_Bioplastic_extra.xlsx]extra_Bioplastic'!B232)</f>
        <v/>
      </c>
      <c r="C232">
        <f>IF(ISBLANK('Q:\Abteilungsprojekte\Eng\EngData\PROJECT_Bioplastics\Renjie_Pan\05-Raw_Data\Lab_results\[LabSamples2025_Bioplastic_extra.xlsx]extra_Bioplastic'!C232)," ",'Q:\Abteilungsprojekte\Eng\EngData\PROJECT_Bioplastics\Renjie_Pan\05-Raw_Data\Lab_results\[LabSamples2025_Bioplastic_extra.xlsx]extra_Bioplastic'!C232)</f>
        <v/>
      </c>
      <c r="D232">
        <f>IF(ISBLANK('Q:\Abteilungsprojekte\Eng\EngData\PROJECT_Bioplastics\Renjie_Pan\05-Raw_Data\Lab_results\[LabSamples2025_Bioplastic_extra.xlsx]extra_Bioplastic'!D232)," ",'Q:\Abteilungsprojekte\Eng\EngData\PROJECT_Bioplastics\Renjie_Pan\05-Raw_Data\Lab_results\[LabSamples2025_Bioplastic_extra.xlsx]extra_Bioplastic'!D232)</f>
        <v/>
      </c>
      <c r="E232">
        <f>IF(ISBLANK('Q:\Abteilungsprojekte\Eng\EngData\PROJECT_Bioplastics\Renjie_Pan\05-Raw_Data\Lab_results\[LabSamples2025_Bioplastic_extra.xlsx]extra_Bioplastic'!E232)," ",'Q:\Abteilungsprojekte\Eng\EngData\PROJECT_Bioplastics\Renjie_Pan\05-Raw_Data\Lab_results\[LabSamples2025_Bioplastic_extra.xlsx]extra_Bioplastic'!E232)</f>
        <v/>
      </c>
      <c r="F232">
        <f>IF(ISBLANK('Q:\Abteilungsprojekte\Eng\EngData\PROJECT_Bioplastics\Renjie_Pan\05-Raw_Data\Lab_results\[LabSamples2025_Bioplastic_extra.xlsx]extra_Bioplastic'!F232)," ",'Q:\Abteilungsprojekte\Eng\EngData\PROJECT_Bioplastics\Renjie_Pan\05-Raw_Data\Lab_results\[LabSamples2025_Bioplastic_extra.xlsx]extra_Bioplastic'!F232)</f>
        <v/>
      </c>
      <c r="G232">
        <f>IF(ISBLANK('Q:\Abteilungsprojekte\Eng\EngData\PROJECT_Bioplastics\Renjie_Pan\05-Raw_Data\Lab_results\[LabSamples2025_Bioplastic_extra.xlsx]extra_Bioplastic'!G232)," ",'Q:\Abteilungsprojekte\Eng\EngData\PROJECT_Bioplastics\Renjie_Pan\05-Raw_Data\Lab_results\[LabSamples2025_Bioplastic_extra.xlsx]extra_Bioplastic'!G232)</f>
        <v/>
      </c>
      <c r="H232">
        <f>IF(ISBLANK('Q:\Abteilungsprojekte\Eng\EngData\PROJECT_Bioplastics\Renjie_Pan\05-Raw_Data\Lab_results\[LabSamples2025_Bioplastic_extra.xlsx]extra_Bioplastic'!H232)," ",'Q:\Abteilungsprojekte\Eng\EngData\PROJECT_Bioplastics\Renjie_Pan\05-Raw_Data\Lab_results\[LabSamples2025_Bioplastic_extra.xlsx]extra_Bioplastic'!H232)</f>
        <v/>
      </c>
    </row>
    <row r="233">
      <c r="A233">
        <f>IF(ISBLANK('Q:\Abteilungsprojekte\Eng\EngData\PROJECT_Bioplastics\Renjie_Pan\05-Raw_Data\Lab_results\[LabSamples2025_Bioplastic_extra.xlsx]extra_Bioplastic'!A233)," ",'Q:\Abteilungsprojekte\Eng\EngData\PROJECT_Bioplastics\Renjie_Pan\05-Raw_Data\Lab_results\[LabSamples2025_Bioplastic_extra.xlsx]extra_Bioplastic'!A233)</f>
        <v/>
      </c>
      <c r="B233">
        <f>IF(ISBLANK('Q:\Abteilungsprojekte\Eng\EngData\PROJECT_Bioplastics\Renjie_Pan\05-Raw_Data\Lab_results\[LabSamples2025_Bioplastic_extra.xlsx]extra_Bioplastic'!B233)," ",'Q:\Abteilungsprojekte\Eng\EngData\PROJECT_Bioplastics\Renjie_Pan\05-Raw_Data\Lab_results\[LabSamples2025_Bioplastic_extra.xlsx]extra_Bioplastic'!B233)</f>
        <v/>
      </c>
      <c r="C233">
        <f>IF(ISBLANK('Q:\Abteilungsprojekte\Eng\EngData\PROJECT_Bioplastics\Renjie_Pan\05-Raw_Data\Lab_results\[LabSamples2025_Bioplastic_extra.xlsx]extra_Bioplastic'!C233)," ",'Q:\Abteilungsprojekte\Eng\EngData\PROJECT_Bioplastics\Renjie_Pan\05-Raw_Data\Lab_results\[LabSamples2025_Bioplastic_extra.xlsx]extra_Bioplastic'!C233)</f>
        <v/>
      </c>
      <c r="D233">
        <f>IF(ISBLANK('Q:\Abteilungsprojekte\Eng\EngData\PROJECT_Bioplastics\Renjie_Pan\05-Raw_Data\Lab_results\[LabSamples2025_Bioplastic_extra.xlsx]extra_Bioplastic'!D233)," ",'Q:\Abteilungsprojekte\Eng\EngData\PROJECT_Bioplastics\Renjie_Pan\05-Raw_Data\Lab_results\[LabSamples2025_Bioplastic_extra.xlsx]extra_Bioplastic'!D233)</f>
        <v/>
      </c>
      <c r="E233">
        <f>IF(ISBLANK('Q:\Abteilungsprojekte\Eng\EngData\PROJECT_Bioplastics\Renjie_Pan\05-Raw_Data\Lab_results\[LabSamples2025_Bioplastic_extra.xlsx]extra_Bioplastic'!E233)," ",'Q:\Abteilungsprojekte\Eng\EngData\PROJECT_Bioplastics\Renjie_Pan\05-Raw_Data\Lab_results\[LabSamples2025_Bioplastic_extra.xlsx]extra_Bioplastic'!E233)</f>
        <v/>
      </c>
      <c r="F233">
        <f>IF(ISBLANK('Q:\Abteilungsprojekte\Eng\EngData\PROJECT_Bioplastics\Renjie_Pan\05-Raw_Data\Lab_results\[LabSamples2025_Bioplastic_extra.xlsx]extra_Bioplastic'!F233)," ",'Q:\Abteilungsprojekte\Eng\EngData\PROJECT_Bioplastics\Renjie_Pan\05-Raw_Data\Lab_results\[LabSamples2025_Bioplastic_extra.xlsx]extra_Bioplastic'!F233)</f>
        <v/>
      </c>
      <c r="G233">
        <f>IF(ISBLANK('Q:\Abteilungsprojekte\Eng\EngData\PROJECT_Bioplastics\Renjie_Pan\05-Raw_Data\Lab_results\[LabSamples2025_Bioplastic_extra.xlsx]extra_Bioplastic'!G233)," ",'Q:\Abteilungsprojekte\Eng\EngData\PROJECT_Bioplastics\Renjie_Pan\05-Raw_Data\Lab_results\[LabSamples2025_Bioplastic_extra.xlsx]extra_Bioplastic'!G233)</f>
        <v/>
      </c>
      <c r="H233">
        <f>IF(ISBLANK('Q:\Abteilungsprojekte\Eng\EngData\PROJECT_Bioplastics\Renjie_Pan\05-Raw_Data\Lab_results\[LabSamples2025_Bioplastic_extra.xlsx]extra_Bioplastic'!H233)," ",'Q:\Abteilungsprojekte\Eng\EngData\PROJECT_Bioplastics\Renjie_Pan\05-Raw_Data\Lab_results\[LabSamples2025_Bioplastic_extra.xlsx]extra_Bioplastic'!H233)</f>
        <v/>
      </c>
    </row>
    <row r="234">
      <c r="A234">
        <f>IF(ISBLANK('Q:\Abteilungsprojekte\Eng\EngData\PROJECT_Bioplastics\Renjie_Pan\05-Raw_Data\Lab_results\[LabSamples2025_Bioplastic_extra.xlsx]extra_Bioplastic'!A234)," ",'Q:\Abteilungsprojekte\Eng\EngData\PROJECT_Bioplastics\Renjie_Pan\05-Raw_Data\Lab_results\[LabSamples2025_Bioplastic_extra.xlsx]extra_Bioplastic'!A234)</f>
        <v/>
      </c>
      <c r="B234">
        <f>IF(ISBLANK('Q:\Abteilungsprojekte\Eng\EngData\PROJECT_Bioplastics\Renjie_Pan\05-Raw_Data\Lab_results\[LabSamples2025_Bioplastic_extra.xlsx]extra_Bioplastic'!B234)," ",'Q:\Abteilungsprojekte\Eng\EngData\PROJECT_Bioplastics\Renjie_Pan\05-Raw_Data\Lab_results\[LabSamples2025_Bioplastic_extra.xlsx]extra_Bioplastic'!B234)</f>
        <v/>
      </c>
      <c r="C234">
        <f>IF(ISBLANK('Q:\Abteilungsprojekte\Eng\EngData\PROJECT_Bioplastics\Renjie_Pan\05-Raw_Data\Lab_results\[LabSamples2025_Bioplastic_extra.xlsx]extra_Bioplastic'!C234)," ",'Q:\Abteilungsprojekte\Eng\EngData\PROJECT_Bioplastics\Renjie_Pan\05-Raw_Data\Lab_results\[LabSamples2025_Bioplastic_extra.xlsx]extra_Bioplastic'!C234)</f>
        <v/>
      </c>
      <c r="D234">
        <f>IF(ISBLANK('Q:\Abteilungsprojekte\Eng\EngData\PROJECT_Bioplastics\Renjie_Pan\05-Raw_Data\Lab_results\[LabSamples2025_Bioplastic_extra.xlsx]extra_Bioplastic'!D234)," ",'Q:\Abteilungsprojekte\Eng\EngData\PROJECT_Bioplastics\Renjie_Pan\05-Raw_Data\Lab_results\[LabSamples2025_Bioplastic_extra.xlsx]extra_Bioplastic'!D234)</f>
        <v/>
      </c>
      <c r="E234">
        <f>IF(ISBLANK('Q:\Abteilungsprojekte\Eng\EngData\PROJECT_Bioplastics\Renjie_Pan\05-Raw_Data\Lab_results\[LabSamples2025_Bioplastic_extra.xlsx]extra_Bioplastic'!E234)," ",'Q:\Abteilungsprojekte\Eng\EngData\PROJECT_Bioplastics\Renjie_Pan\05-Raw_Data\Lab_results\[LabSamples2025_Bioplastic_extra.xlsx]extra_Bioplastic'!E234)</f>
        <v/>
      </c>
      <c r="F234">
        <f>IF(ISBLANK('Q:\Abteilungsprojekte\Eng\EngData\PROJECT_Bioplastics\Renjie_Pan\05-Raw_Data\Lab_results\[LabSamples2025_Bioplastic_extra.xlsx]extra_Bioplastic'!F234)," ",'Q:\Abteilungsprojekte\Eng\EngData\PROJECT_Bioplastics\Renjie_Pan\05-Raw_Data\Lab_results\[LabSamples2025_Bioplastic_extra.xlsx]extra_Bioplastic'!F234)</f>
        <v/>
      </c>
      <c r="G234">
        <f>IF(ISBLANK('Q:\Abteilungsprojekte\Eng\EngData\PROJECT_Bioplastics\Renjie_Pan\05-Raw_Data\Lab_results\[LabSamples2025_Bioplastic_extra.xlsx]extra_Bioplastic'!G234)," ",'Q:\Abteilungsprojekte\Eng\EngData\PROJECT_Bioplastics\Renjie_Pan\05-Raw_Data\Lab_results\[LabSamples2025_Bioplastic_extra.xlsx]extra_Bioplastic'!G234)</f>
        <v/>
      </c>
      <c r="H234">
        <f>IF(ISBLANK('Q:\Abteilungsprojekte\Eng\EngData\PROJECT_Bioplastics\Renjie_Pan\05-Raw_Data\Lab_results\[LabSamples2025_Bioplastic_extra.xlsx]extra_Bioplastic'!H234)," ",'Q:\Abteilungsprojekte\Eng\EngData\PROJECT_Bioplastics\Renjie_Pan\05-Raw_Data\Lab_results\[LabSamples2025_Bioplastic_extra.xlsx]extra_Bioplastic'!H234)</f>
        <v/>
      </c>
    </row>
    <row r="235">
      <c r="A235">
        <f>IF(ISBLANK('Q:\Abteilungsprojekte\Eng\EngData\PROJECT_Bioplastics\Renjie_Pan\05-Raw_Data\Lab_results\[LabSamples2025_Bioplastic_extra.xlsx]extra_Bioplastic'!A235)," ",'Q:\Abteilungsprojekte\Eng\EngData\PROJECT_Bioplastics\Renjie_Pan\05-Raw_Data\Lab_results\[LabSamples2025_Bioplastic_extra.xlsx]extra_Bioplastic'!A235)</f>
        <v/>
      </c>
      <c r="B235">
        <f>IF(ISBLANK('Q:\Abteilungsprojekte\Eng\EngData\PROJECT_Bioplastics\Renjie_Pan\05-Raw_Data\Lab_results\[LabSamples2025_Bioplastic_extra.xlsx]extra_Bioplastic'!B235)," ",'Q:\Abteilungsprojekte\Eng\EngData\PROJECT_Bioplastics\Renjie_Pan\05-Raw_Data\Lab_results\[LabSamples2025_Bioplastic_extra.xlsx]extra_Bioplastic'!B235)</f>
        <v/>
      </c>
      <c r="C235">
        <f>IF(ISBLANK('Q:\Abteilungsprojekte\Eng\EngData\PROJECT_Bioplastics\Renjie_Pan\05-Raw_Data\Lab_results\[LabSamples2025_Bioplastic_extra.xlsx]extra_Bioplastic'!C235)," ",'Q:\Abteilungsprojekte\Eng\EngData\PROJECT_Bioplastics\Renjie_Pan\05-Raw_Data\Lab_results\[LabSamples2025_Bioplastic_extra.xlsx]extra_Bioplastic'!C235)</f>
        <v/>
      </c>
      <c r="D235">
        <f>IF(ISBLANK('Q:\Abteilungsprojekte\Eng\EngData\PROJECT_Bioplastics\Renjie_Pan\05-Raw_Data\Lab_results\[LabSamples2025_Bioplastic_extra.xlsx]extra_Bioplastic'!D235)," ",'Q:\Abteilungsprojekte\Eng\EngData\PROJECT_Bioplastics\Renjie_Pan\05-Raw_Data\Lab_results\[LabSamples2025_Bioplastic_extra.xlsx]extra_Bioplastic'!D235)</f>
        <v/>
      </c>
      <c r="E235">
        <f>IF(ISBLANK('Q:\Abteilungsprojekte\Eng\EngData\PROJECT_Bioplastics\Renjie_Pan\05-Raw_Data\Lab_results\[LabSamples2025_Bioplastic_extra.xlsx]extra_Bioplastic'!E235)," ",'Q:\Abteilungsprojekte\Eng\EngData\PROJECT_Bioplastics\Renjie_Pan\05-Raw_Data\Lab_results\[LabSamples2025_Bioplastic_extra.xlsx]extra_Bioplastic'!E235)</f>
        <v/>
      </c>
      <c r="F235">
        <f>IF(ISBLANK('Q:\Abteilungsprojekte\Eng\EngData\PROJECT_Bioplastics\Renjie_Pan\05-Raw_Data\Lab_results\[LabSamples2025_Bioplastic_extra.xlsx]extra_Bioplastic'!F235)," ",'Q:\Abteilungsprojekte\Eng\EngData\PROJECT_Bioplastics\Renjie_Pan\05-Raw_Data\Lab_results\[LabSamples2025_Bioplastic_extra.xlsx]extra_Bioplastic'!F235)</f>
        <v/>
      </c>
      <c r="G235">
        <f>IF(ISBLANK('Q:\Abteilungsprojekte\Eng\EngData\PROJECT_Bioplastics\Renjie_Pan\05-Raw_Data\Lab_results\[LabSamples2025_Bioplastic_extra.xlsx]extra_Bioplastic'!G235)," ",'Q:\Abteilungsprojekte\Eng\EngData\PROJECT_Bioplastics\Renjie_Pan\05-Raw_Data\Lab_results\[LabSamples2025_Bioplastic_extra.xlsx]extra_Bioplastic'!G235)</f>
        <v/>
      </c>
      <c r="H235">
        <f>IF(ISBLANK('Q:\Abteilungsprojekte\Eng\EngData\PROJECT_Bioplastics\Renjie_Pan\05-Raw_Data\Lab_results\[LabSamples2025_Bioplastic_extra.xlsx]extra_Bioplastic'!H235)," ",'Q:\Abteilungsprojekte\Eng\EngData\PROJECT_Bioplastics\Renjie_Pan\05-Raw_Data\Lab_results\[LabSamples2025_Bioplastic_extra.xlsx]extra_Bioplastic'!H235)</f>
        <v/>
      </c>
    </row>
    <row r="236">
      <c r="A236">
        <f>IF(ISBLANK('Q:\Abteilungsprojekte\Eng\EngData\PROJECT_Bioplastics\Renjie_Pan\05-Raw_Data\Lab_results\[LabSamples2025_Bioplastic_extra.xlsx]extra_Bioplastic'!A236)," ",'Q:\Abteilungsprojekte\Eng\EngData\PROJECT_Bioplastics\Renjie_Pan\05-Raw_Data\Lab_results\[LabSamples2025_Bioplastic_extra.xlsx]extra_Bioplastic'!A236)</f>
        <v/>
      </c>
      <c r="B236">
        <f>IF(ISBLANK('Q:\Abteilungsprojekte\Eng\EngData\PROJECT_Bioplastics\Renjie_Pan\05-Raw_Data\Lab_results\[LabSamples2025_Bioplastic_extra.xlsx]extra_Bioplastic'!B236)," ",'Q:\Abteilungsprojekte\Eng\EngData\PROJECT_Bioplastics\Renjie_Pan\05-Raw_Data\Lab_results\[LabSamples2025_Bioplastic_extra.xlsx]extra_Bioplastic'!B236)</f>
        <v/>
      </c>
      <c r="C236">
        <f>IF(ISBLANK('Q:\Abteilungsprojekte\Eng\EngData\PROJECT_Bioplastics\Renjie_Pan\05-Raw_Data\Lab_results\[LabSamples2025_Bioplastic_extra.xlsx]extra_Bioplastic'!C236)," ",'Q:\Abteilungsprojekte\Eng\EngData\PROJECT_Bioplastics\Renjie_Pan\05-Raw_Data\Lab_results\[LabSamples2025_Bioplastic_extra.xlsx]extra_Bioplastic'!C236)</f>
        <v/>
      </c>
      <c r="D236">
        <f>IF(ISBLANK('Q:\Abteilungsprojekte\Eng\EngData\PROJECT_Bioplastics\Renjie_Pan\05-Raw_Data\Lab_results\[LabSamples2025_Bioplastic_extra.xlsx]extra_Bioplastic'!D236)," ",'Q:\Abteilungsprojekte\Eng\EngData\PROJECT_Bioplastics\Renjie_Pan\05-Raw_Data\Lab_results\[LabSamples2025_Bioplastic_extra.xlsx]extra_Bioplastic'!D236)</f>
        <v/>
      </c>
      <c r="E236">
        <f>IF(ISBLANK('Q:\Abteilungsprojekte\Eng\EngData\PROJECT_Bioplastics\Renjie_Pan\05-Raw_Data\Lab_results\[LabSamples2025_Bioplastic_extra.xlsx]extra_Bioplastic'!E236)," ",'Q:\Abteilungsprojekte\Eng\EngData\PROJECT_Bioplastics\Renjie_Pan\05-Raw_Data\Lab_results\[LabSamples2025_Bioplastic_extra.xlsx]extra_Bioplastic'!E236)</f>
        <v/>
      </c>
      <c r="F236">
        <f>IF(ISBLANK('Q:\Abteilungsprojekte\Eng\EngData\PROJECT_Bioplastics\Renjie_Pan\05-Raw_Data\Lab_results\[LabSamples2025_Bioplastic_extra.xlsx]extra_Bioplastic'!F236)," ",'Q:\Abteilungsprojekte\Eng\EngData\PROJECT_Bioplastics\Renjie_Pan\05-Raw_Data\Lab_results\[LabSamples2025_Bioplastic_extra.xlsx]extra_Bioplastic'!F236)</f>
        <v/>
      </c>
      <c r="G236">
        <f>IF(ISBLANK('Q:\Abteilungsprojekte\Eng\EngData\PROJECT_Bioplastics\Renjie_Pan\05-Raw_Data\Lab_results\[LabSamples2025_Bioplastic_extra.xlsx]extra_Bioplastic'!G236)," ",'Q:\Abteilungsprojekte\Eng\EngData\PROJECT_Bioplastics\Renjie_Pan\05-Raw_Data\Lab_results\[LabSamples2025_Bioplastic_extra.xlsx]extra_Bioplastic'!G236)</f>
        <v/>
      </c>
      <c r="H236">
        <f>IF(ISBLANK('Q:\Abteilungsprojekte\Eng\EngData\PROJECT_Bioplastics\Renjie_Pan\05-Raw_Data\Lab_results\[LabSamples2025_Bioplastic_extra.xlsx]extra_Bioplastic'!H236)," ",'Q:\Abteilungsprojekte\Eng\EngData\PROJECT_Bioplastics\Renjie_Pan\05-Raw_Data\Lab_results\[LabSamples2025_Bioplastic_extra.xlsx]extra_Bioplastic'!H236)</f>
        <v/>
      </c>
    </row>
    <row r="237">
      <c r="A237">
        <f>IF(ISBLANK('Q:\Abteilungsprojekte\Eng\EngData\PROJECT_Bioplastics\Renjie_Pan\05-Raw_Data\Lab_results\[LabSamples2025_Bioplastic_extra.xlsx]extra_Bioplastic'!A237)," ",'Q:\Abteilungsprojekte\Eng\EngData\PROJECT_Bioplastics\Renjie_Pan\05-Raw_Data\Lab_results\[LabSamples2025_Bioplastic_extra.xlsx]extra_Bioplastic'!A237)</f>
        <v/>
      </c>
      <c r="B237">
        <f>IF(ISBLANK('Q:\Abteilungsprojekte\Eng\EngData\PROJECT_Bioplastics\Renjie_Pan\05-Raw_Data\Lab_results\[LabSamples2025_Bioplastic_extra.xlsx]extra_Bioplastic'!B237)," ",'Q:\Abteilungsprojekte\Eng\EngData\PROJECT_Bioplastics\Renjie_Pan\05-Raw_Data\Lab_results\[LabSamples2025_Bioplastic_extra.xlsx]extra_Bioplastic'!B237)</f>
        <v/>
      </c>
      <c r="C237">
        <f>IF(ISBLANK('Q:\Abteilungsprojekte\Eng\EngData\PROJECT_Bioplastics\Renjie_Pan\05-Raw_Data\Lab_results\[LabSamples2025_Bioplastic_extra.xlsx]extra_Bioplastic'!C237)," ",'Q:\Abteilungsprojekte\Eng\EngData\PROJECT_Bioplastics\Renjie_Pan\05-Raw_Data\Lab_results\[LabSamples2025_Bioplastic_extra.xlsx]extra_Bioplastic'!C237)</f>
        <v/>
      </c>
      <c r="D237">
        <f>IF(ISBLANK('Q:\Abteilungsprojekte\Eng\EngData\PROJECT_Bioplastics\Renjie_Pan\05-Raw_Data\Lab_results\[LabSamples2025_Bioplastic_extra.xlsx]extra_Bioplastic'!D237)," ",'Q:\Abteilungsprojekte\Eng\EngData\PROJECT_Bioplastics\Renjie_Pan\05-Raw_Data\Lab_results\[LabSamples2025_Bioplastic_extra.xlsx]extra_Bioplastic'!D237)</f>
        <v/>
      </c>
      <c r="E237">
        <f>IF(ISBLANK('Q:\Abteilungsprojekte\Eng\EngData\PROJECT_Bioplastics\Renjie_Pan\05-Raw_Data\Lab_results\[LabSamples2025_Bioplastic_extra.xlsx]extra_Bioplastic'!E237)," ",'Q:\Abteilungsprojekte\Eng\EngData\PROJECT_Bioplastics\Renjie_Pan\05-Raw_Data\Lab_results\[LabSamples2025_Bioplastic_extra.xlsx]extra_Bioplastic'!E237)</f>
        <v/>
      </c>
      <c r="F237">
        <f>IF(ISBLANK('Q:\Abteilungsprojekte\Eng\EngData\PROJECT_Bioplastics\Renjie_Pan\05-Raw_Data\Lab_results\[LabSamples2025_Bioplastic_extra.xlsx]extra_Bioplastic'!F237)," ",'Q:\Abteilungsprojekte\Eng\EngData\PROJECT_Bioplastics\Renjie_Pan\05-Raw_Data\Lab_results\[LabSamples2025_Bioplastic_extra.xlsx]extra_Bioplastic'!F237)</f>
        <v/>
      </c>
      <c r="G237">
        <f>IF(ISBLANK('Q:\Abteilungsprojekte\Eng\EngData\PROJECT_Bioplastics\Renjie_Pan\05-Raw_Data\Lab_results\[LabSamples2025_Bioplastic_extra.xlsx]extra_Bioplastic'!G237)," ",'Q:\Abteilungsprojekte\Eng\EngData\PROJECT_Bioplastics\Renjie_Pan\05-Raw_Data\Lab_results\[LabSamples2025_Bioplastic_extra.xlsx]extra_Bioplastic'!G237)</f>
        <v/>
      </c>
      <c r="H237">
        <f>IF(ISBLANK('Q:\Abteilungsprojekte\Eng\EngData\PROJECT_Bioplastics\Renjie_Pan\05-Raw_Data\Lab_results\[LabSamples2025_Bioplastic_extra.xlsx]extra_Bioplastic'!H237)," ",'Q:\Abteilungsprojekte\Eng\EngData\PROJECT_Bioplastics\Renjie_Pan\05-Raw_Data\Lab_results\[LabSamples2025_Bioplastic_extra.xlsx]extra_Bioplastic'!H237)</f>
        <v/>
      </c>
    </row>
    <row r="238">
      <c r="A238">
        <f>IF(ISBLANK('Q:\Abteilungsprojekte\Eng\EngData\PROJECT_Bioplastics\Renjie_Pan\05-Raw_Data\Lab_results\[LabSamples2025_Bioplastic_extra.xlsx]extra_Bioplastic'!A238)," ",'Q:\Abteilungsprojekte\Eng\EngData\PROJECT_Bioplastics\Renjie_Pan\05-Raw_Data\Lab_results\[LabSamples2025_Bioplastic_extra.xlsx]extra_Bioplastic'!A238)</f>
        <v/>
      </c>
      <c r="B238">
        <f>IF(ISBLANK('Q:\Abteilungsprojekte\Eng\EngData\PROJECT_Bioplastics\Renjie_Pan\05-Raw_Data\Lab_results\[LabSamples2025_Bioplastic_extra.xlsx]extra_Bioplastic'!B238)," ",'Q:\Abteilungsprojekte\Eng\EngData\PROJECT_Bioplastics\Renjie_Pan\05-Raw_Data\Lab_results\[LabSamples2025_Bioplastic_extra.xlsx]extra_Bioplastic'!B238)</f>
        <v/>
      </c>
      <c r="C238">
        <f>IF(ISBLANK('Q:\Abteilungsprojekte\Eng\EngData\PROJECT_Bioplastics\Renjie_Pan\05-Raw_Data\Lab_results\[LabSamples2025_Bioplastic_extra.xlsx]extra_Bioplastic'!C238)," ",'Q:\Abteilungsprojekte\Eng\EngData\PROJECT_Bioplastics\Renjie_Pan\05-Raw_Data\Lab_results\[LabSamples2025_Bioplastic_extra.xlsx]extra_Bioplastic'!C238)</f>
        <v/>
      </c>
      <c r="D238">
        <f>IF(ISBLANK('Q:\Abteilungsprojekte\Eng\EngData\PROJECT_Bioplastics\Renjie_Pan\05-Raw_Data\Lab_results\[LabSamples2025_Bioplastic_extra.xlsx]extra_Bioplastic'!D238)," ",'Q:\Abteilungsprojekte\Eng\EngData\PROJECT_Bioplastics\Renjie_Pan\05-Raw_Data\Lab_results\[LabSamples2025_Bioplastic_extra.xlsx]extra_Bioplastic'!D238)</f>
        <v/>
      </c>
      <c r="E238">
        <f>IF(ISBLANK('Q:\Abteilungsprojekte\Eng\EngData\PROJECT_Bioplastics\Renjie_Pan\05-Raw_Data\Lab_results\[LabSamples2025_Bioplastic_extra.xlsx]extra_Bioplastic'!E238)," ",'Q:\Abteilungsprojekte\Eng\EngData\PROJECT_Bioplastics\Renjie_Pan\05-Raw_Data\Lab_results\[LabSamples2025_Bioplastic_extra.xlsx]extra_Bioplastic'!E238)</f>
        <v/>
      </c>
      <c r="F238">
        <f>IF(ISBLANK('Q:\Abteilungsprojekte\Eng\EngData\PROJECT_Bioplastics\Renjie_Pan\05-Raw_Data\Lab_results\[LabSamples2025_Bioplastic_extra.xlsx]extra_Bioplastic'!F238)," ",'Q:\Abteilungsprojekte\Eng\EngData\PROJECT_Bioplastics\Renjie_Pan\05-Raw_Data\Lab_results\[LabSamples2025_Bioplastic_extra.xlsx]extra_Bioplastic'!F238)</f>
        <v/>
      </c>
      <c r="G238">
        <f>IF(ISBLANK('Q:\Abteilungsprojekte\Eng\EngData\PROJECT_Bioplastics\Renjie_Pan\05-Raw_Data\Lab_results\[LabSamples2025_Bioplastic_extra.xlsx]extra_Bioplastic'!G238)," ",'Q:\Abteilungsprojekte\Eng\EngData\PROJECT_Bioplastics\Renjie_Pan\05-Raw_Data\Lab_results\[LabSamples2025_Bioplastic_extra.xlsx]extra_Bioplastic'!G238)</f>
        <v/>
      </c>
      <c r="H238">
        <f>IF(ISBLANK('Q:\Abteilungsprojekte\Eng\EngData\PROJECT_Bioplastics\Renjie_Pan\05-Raw_Data\Lab_results\[LabSamples2025_Bioplastic_extra.xlsx]extra_Bioplastic'!H238)," ",'Q:\Abteilungsprojekte\Eng\EngData\PROJECT_Bioplastics\Renjie_Pan\05-Raw_Data\Lab_results\[LabSamples2025_Bioplastic_extra.xlsx]extra_Bioplastic'!H238)</f>
        <v/>
      </c>
    </row>
    <row r="239">
      <c r="A239">
        <f>IF(ISBLANK('Q:\Abteilungsprojekte\Eng\EngData\PROJECT_Bioplastics\Renjie_Pan\05-Raw_Data\Lab_results\[LabSamples2025_Bioplastic_extra.xlsx]extra_Bioplastic'!A239)," ",'Q:\Abteilungsprojekte\Eng\EngData\PROJECT_Bioplastics\Renjie_Pan\05-Raw_Data\Lab_results\[LabSamples2025_Bioplastic_extra.xlsx]extra_Bioplastic'!A239)</f>
        <v/>
      </c>
      <c r="B239">
        <f>IF(ISBLANK('Q:\Abteilungsprojekte\Eng\EngData\PROJECT_Bioplastics\Renjie_Pan\05-Raw_Data\Lab_results\[LabSamples2025_Bioplastic_extra.xlsx]extra_Bioplastic'!B239)," ",'Q:\Abteilungsprojekte\Eng\EngData\PROJECT_Bioplastics\Renjie_Pan\05-Raw_Data\Lab_results\[LabSamples2025_Bioplastic_extra.xlsx]extra_Bioplastic'!B239)</f>
        <v/>
      </c>
      <c r="C239">
        <f>IF(ISBLANK('Q:\Abteilungsprojekte\Eng\EngData\PROJECT_Bioplastics\Renjie_Pan\05-Raw_Data\Lab_results\[LabSamples2025_Bioplastic_extra.xlsx]extra_Bioplastic'!C239)," ",'Q:\Abteilungsprojekte\Eng\EngData\PROJECT_Bioplastics\Renjie_Pan\05-Raw_Data\Lab_results\[LabSamples2025_Bioplastic_extra.xlsx]extra_Bioplastic'!C239)</f>
        <v/>
      </c>
      <c r="D239">
        <f>IF(ISBLANK('Q:\Abteilungsprojekte\Eng\EngData\PROJECT_Bioplastics\Renjie_Pan\05-Raw_Data\Lab_results\[LabSamples2025_Bioplastic_extra.xlsx]extra_Bioplastic'!D239)," ",'Q:\Abteilungsprojekte\Eng\EngData\PROJECT_Bioplastics\Renjie_Pan\05-Raw_Data\Lab_results\[LabSamples2025_Bioplastic_extra.xlsx]extra_Bioplastic'!D239)</f>
        <v/>
      </c>
      <c r="E239">
        <f>IF(ISBLANK('Q:\Abteilungsprojekte\Eng\EngData\PROJECT_Bioplastics\Renjie_Pan\05-Raw_Data\Lab_results\[LabSamples2025_Bioplastic_extra.xlsx]extra_Bioplastic'!E239)," ",'Q:\Abteilungsprojekte\Eng\EngData\PROJECT_Bioplastics\Renjie_Pan\05-Raw_Data\Lab_results\[LabSamples2025_Bioplastic_extra.xlsx]extra_Bioplastic'!E239)</f>
        <v/>
      </c>
      <c r="F239">
        <f>IF(ISBLANK('Q:\Abteilungsprojekte\Eng\EngData\PROJECT_Bioplastics\Renjie_Pan\05-Raw_Data\Lab_results\[LabSamples2025_Bioplastic_extra.xlsx]extra_Bioplastic'!F239)," ",'Q:\Abteilungsprojekte\Eng\EngData\PROJECT_Bioplastics\Renjie_Pan\05-Raw_Data\Lab_results\[LabSamples2025_Bioplastic_extra.xlsx]extra_Bioplastic'!F239)</f>
        <v/>
      </c>
      <c r="G239">
        <f>IF(ISBLANK('Q:\Abteilungsprojekte\Eng\EngData\PROJECT_Bioplastics\Renjie_Pan\05-Raw_Data\Lab_results\[LabSamples2025_Bioplastic_extra.xlsx]extra_Bioplastic'!G239)," ",'Q:\Abteilungsprojekte\Eng\EngData\PROJECT_Bioplastics\Renjie_Pan\05-Raw_Data\Lab_results\[LabSamples2025_Bioplastic_extra.xlsx]extra_Bioplastic'!G239)</f>
        <v/>
      </c>
      <c r="H239">
        <f>IF(ISBLANK('Q:\Abteilungsprojekte\Eng\EngData\PROJECT_Bioplastics\Renjie_Pan\05-Raw_Data\Lab_results\[LabSamples2025_Bioplastic_extra.xlsx]extra_Bioplastic'!H239)," ",'Q:\Abteilungsprojekte\Eng\EngData\PROJECT_Bioplastics\Renjie_Pan\05-Raw_Data\Lab_results\[LabSamples2025_Bioplastic_extra.xlsx]extra_Bioplastic'!H239)</f>
        <v/>
      </c>
    </row>
    <row r="240">
      <c r="A240">
        <f>IF(ISBLANK('Q:\Abteilungsprojekte\Eng\EngData\PROJECT_Bioplastics\Renjie_Pan\05-Raw_Data\Lab_results\[LabSamples2025_Bioplastic_extra.xlsx]extra_Bioplastic'!A240)," ",'Q:\Abteilungsprojekte\Eng\EngData\PROJECT_Bioplastics\Renjie_Pan\05-Raw_Data\Lab_results\[LabSamples2025_Bioplastic_extra.xlsx]extra_Bioplastic'!A240)</f>
        <v/>
      </c>
      <c r="B240">
        <f>IF(ISBLANK('Q:\Abteilungsprojekte\Eng\EngData\PROJECT_Bioplastics\Renjie_Pan\05-Raw_Data\Lab_results\[LabSamples2025_Bioplastic_extra.xlsx]extra_Bioplastic'!B240)," ",'Q:\Abteilungsprojekte\Eng\EngData\PROJECT_Bioplastics\Renjie_Pan\05-Raw_Data\Lab_results\[LabSamples2025_Bioplastic_extra.xlsx]extra_Bioplastic'!B240)</f>
        <v/>
      </c>
      <c r="C240">
        <f>IF(ISBLANK('Q:\Abteilungsprojekte\Eng\EngData\PROJECT_Bioplastics\Renjie_Pan\05-Raw_Data\Lab_results\[LabSamples2025_Bioplastic_extra.xlsx]extra_Bioplastic'!C240)," ",'Q:\Abteilungsprojekte\Eng\EngData\PROJECT_Bioplastics\Renjie_Pan\05-Raw_Data\Lab_results\[LabSamples2025_Bioplastic_extra.xlsx]extra_Bioplastic'!C240)</f>
        <v/>
      </c>
      <c r="D240">
        <f>IF(ISBLANK('Q:\Abteilungsprojekte\Eng\EngData\PROJECT_Bioplastics\Renjie_Pan\05-Raw_Data\Lab_results\[LabSamples2025_Bioplastic_extra.xlsx]extra_Bioplastic'!D240)," ",'Q:\Abteilungsprojekte\Eng\EngData\PROJECT_Bioplastics\Renjie_Pan\05-Raw_Data\Lab_results\[LabSamples2025_Bioplastic_extra.xlsx]extra_Bioplastic'!D240)</f>
        <v/>
      </c>
      <c r="E240">
        <f>IF(ISBLANK('Q:\Abteilungsprojekte\Eng\EngData\PROJECT_Bioplastics\Renjie_Pan\05-Raw_Data\Lab_results\[LabSamples2025_Bioplastic_extra.xlsx]extra_Bioplastic'!E240)," ",'Q:\Abteilungsprojekte\Eng\EngData\PROJECT_Bioplastics\Renjie_Pan\05-Raw_Data\Lab_results\[LabSamples2025_Bioplastic_extra.xlsx]extra_Bioplastic'!E240)</f>
        <v/>
      </c>
      <c r="F240">
        <f>IF(ISBLANK('Q:\Abteilungsprojekte\Eng\EngData\PROJECT_Bioplastics\Renjie_Pan\05-Raw_Data\Lab_results\[LabSamples2025_Bioplastic_extra.xlsx]extra_Bioplastic'!F240)," ",'Q:\Abteilungsprojekte\Eng\EngData\PROJECT_Bioplastics\Renjie_Pan\05-Raw_Data\Lab_results\[LabSamples2025_Bioplastic_extra.xlsx]extra_Bioplastic'!F240)</f>
        <v/>
      </c>
      <c r="G240">
        <f>IF(ISBLANK('Q:\Abteilungsprojekte\Eng\EngData\PROJECT_Bioplastics\Renjie_Pan\05-Raw_Data\Lab_results\[LabSamples2025_Bioplastic_extra.xlsx]extra_Bioplastic'!G240)," ",'Q:\Abteilungsprojekte\Eng\EngData\PROJECT_Bioplastics\Renjie_Pan\05-Raw_Data\Lab_results\[LabSamples2025_Bioplastic_extra.xlsx]extra_Bioplastic'!G240)</f>
        <v/>
      </c>
      <c r="H240">
        <f>IF(ISBLANK('Q:\Abteilungsprojekte\Eng\EngData\PROJECT_Bioplastics\Renjie_Pan\05-Raw_Data\Lab_results\[LabSamples2025_Bioplastic_extra.xlsx]extra_Bioplastic'!H240)," ",'Q:\Abteilungsprojekte\Eng\EngData\PROJECT_Bioplastics\Renjie_Pan\05-Raw_Data\Lab_results\[LabSamples2025_Bioplastic_extra.xlsx]extra_Bioplastic'!H240)</f>
        <v/>
      </c>
    </row>
    <row r="241">
      <c r="A241">
        <f>IF(ISBLANK('Q:\Abteilungsprojekte\Eng\EngData\PROJECT_Bioplastics\Renjie_Pan\05-Raw_Data\Lab_results\[LabSamples2025_Bioplastic_extra.xlsx]extra_Bioplastic'!A241)," ",'Q:\Abteilungsprojekte\Eng\EngData\PROJECT_Bioplastics\Renjie_Pan\05-Raw_Data\Lab_results\[LabSamples2025_Bioplastic_extra.xlsx]extra_Bioplastic'!A241)</f>
        <v/>
      </c>
      <c r="B241">
        <f>IF(ISBLANK('Q:\Abteilungsprojekte\Eng\EngData\PROJECT_Bioplastics\Renjie_Pan\05-Raw_Data\Lab_results\[LabSamples2025_Bioplastic_extra.xlsx]extra_Bioplastic'!B241)," ",'Q:\Abteilungsprojekte\Eng\EngData\PROJECT_Bioplastics\Renjie_Pan\05-Raw_Data\Lab_results\[LabSamples2025_Bioplastic_extra.xlsx]extra_Bioplastic'!B241)</f>
        <v/>
      </c>
      <c r="C241">
        <f>IF(ISBLANK('Q:\Abteilungsprojekte\Eng\EngData\PROJECT_Bioplastics\Renjie_Pan\05-Raw_Data\Lab_results\[LabSamples2025_Bioplastic_extra.xlsx]extra_Bioplastic'!C241)," ",'Q:\Abteilungsprojekte\Eng\EngData\PROJECT_Bioplastics\Renjie_Pan\05-Raw_Data\Lab_results\[LabSamples2025_Bioplastic_extra.xlsx]extra_Bioplastic'!C241)</f>
        <v/>
      </c>
      <c r="D241">
        <f>IF(ISBLANK('Q:\Abteilungsprojekte\Eng\EngData\PROJECT_Bioplastics\Renjie_Pan\05-Raw_Data\Lab_results\[LabSamples2025_Bioplastic_extra.xlsx]extra_Bioplastic'!D241)," ",'Q:\Abteilungsprojekte\Eng\EngData\PROJECT_Bioplastics\Renjie_Pan\05-Raw_Data\Lab_results\[LabSamples2025_Bioplastic_extra.xlsx]extra_Bioplastic'!D241)</f>
        <v/>
      </c>
      <c r="E241">
        <f>IF(ISBLANK('Q:\Abteilungsprojekte\Eng\EngData\PROJECT_Bioplastics\Renjie_Pan\05-Raw_Data\Lab_results\[LabSamples2025_Bioplastic_extra.xlsx]extra_Bioplastic'!E241)," ",'Q:\Abteilungsprojekte\Eng\EngData\PROJECT_Bioplastics\Renjie_Pan\05-Raw_Data\Lab_results\[LabSamples2025_Bioplastic_extra.xlsx]extra_Bioplastic'!E241)</f>
        <v/>
      </c>
      <c r="F241">
        <f>IF(ISBLANK('Q:\Abteilungsprojekte\Eng\EngData\PROJECT_Bioplastics\Renjie_Pan\05-Raw_Data\Lab_results\[LabSamples2025_Bioplastic_extra.xlsx]extra_Bioplastic'!F241)," ",'Q:\Abteilungsprojekte\Eng\EngData\PROJECT_Bioplastics\Renjie_Pan\05-Raw_Data\Lab_results\[LabSamples2025_Bioplastic_extra.xlsx]extra_Bioplastic'!F241)</f>
        <v/>
      </c>
      <c r="G241">
        <f>IF(ISBLANK('Q:\Abteilungsprojekte\Eng\EngData\PROJECT_Bioplastics\Renjie_Pan\05-Raw_Data\Lab_results\[LabSamples2025_Bioplastic_extra.xlsx]extra_Bioplastic'!G241)," ",'Q:\Abteilungsprojekte\Eng\EngData\PROJECT_Bioplastics\Renjie_Pan\05-Raw_Data\Lab_results\[LabSamples2025_Bioplastic_extra.xlsx]extra_Bioplastic'!G241)</f>
        <v/>
      </c>
      <c r="H241">
        <f>IF(ISBLANK('Q:\Abteilungsprojekte\Eng\EngData\PROJECT_Bioplastics\Renjie_Pan\05-Raw_Data\Lab_results\[LabSamples2025_Bioplastic_extra.xlsx]extra_Bioplastic'!H241)," ",'Q:\Abteilungsprojekte\Eng\EngData\PROJECT_Bioplastics\Renjie_Pan\05-Raw_Data\Lab_results\[LabSamples2025_Bioplastic_extra.xlsx]extra_Bioplastic'!H241)</f>
        <v/>
      </c>
    </row>
    <row r="242">
      <c r="A242">
        <f>IF(ISBLANK('Q:\Abteilungsprojekte\Eng\EngData\PROJECT_Bioplastics\Renjie_Pan\05-Raw_Data\Lab_results\[LabSamples2025_Bioplastic_extra.xlsx]extra_Bioplastic'!A242)," ",'Q:\Abteilungsprojekte\Eng\EngData\PROJECT_Bioplastics\Renjie_Pan\05-Raw_Data\Lab_results\[LabSamples2025_Bioplastic_extra.xlsx]extra_Bioplastic'!A242)</f>
        <v/>
      </c>
      <c r="B242">
        <f>IF(ISBLANK('Q:\Abteilungsprojekte\Eng\EngData\PROJECT_Bioplastics\Renjie_Pan\05-Raw_Data\Lab_results\[LabSamples2025_Bioplastic_extra.xlsx]extra_Bioplastic'!B242)," ",'Q:\Abteilungsprojekte\Eng\EngData\PROJECT_Bioplastics\Renjie_Pan\05-Raw_Data\Lab_results\[LabSamples2025_Bioplastic_extra.xlsx]extra_Bioplastic'!B242)</f>
        <v/>
      </c>
      <c r="C242">
        <f>IF(ISBLANK('Q:\Abteilungsprojekte\Eng\EngData\PROJECT_Bioplastics\Renjie_Pan\05-Raw_Data\Lab_results\[LabSamples2025_Bioplastic_extra.xlsx]extra_Bioplastic'!C242)," ",'Q:\Abteilungsprojekte\Eng\EngData\PROJECT_Bioplastics\Renjie_Pan\05-Raw_Data\Lab_results\[LabSamples2025_Bioplastic_extra.xlsx]extra_Bioplastic'!C242)</f>
        <v/>
      </c>
      <c r="D242">
        <f>IF(ISBLANK('Q:\Abteilungsprojekte\Eng\EngData\PROJECT_Bioplastics\Renjie_Pan\05-Raw_Data\Lab_results\[LabSamples2025_Bioplastic_extra.xlsx]extra_Bioplastic'!D242)," ",'Q:\Abteilungsprojekte\Eng\EngData\PROJECT_Bioplastics\Renjie_Pan\05-Raw_Data\Lab_results\[LabSamples2025_Bioplastic_extra.xlsx]extra_Bioplastic'!D242)</f>
        <v/>
      </c>
      <c r="E242">
        <f>IF(ISBLANK('Q:\Abteilungsprojekte\Eng\EngData\PROJECT_Bioplastics\Renjie_Pan\05-Raw_Data\Lab_results\[LabSamples2025_Bioplastic_extra.xlsx]extra_Bioplastic'!E242)," ",'Q:\Abteilungsprojekte\Eng\EngData\PROJECT_Bioplastics\Renjie_Pan\05-Raw_Data\Lab_results\[LabSamples2025_Bioplastic_extra.xlsx]extra_Bioplastic'!E242)</f>
        <v/>
      </c>
      <c r="F242">
        <f>IF(ISBLANK('Q:\Abteilungsprojekte\Eng\EngData\PROJECT_Bioplastics\Renjie_Pan\05-Raw_Data\Lab_results\[LabSamples2025_Bioplastic_extra.xlsx]extra_Bioplastic'!F242)," ",'Q:\Abteilungsprojekte\Eng\EngData\PROJECT_Bioplastics\Renjie_Pan\05-Raw_Data\Lab_results\[LabSamples2025_Bioplastic_extra.xlsx]extra_Bioplastic'!F242)</f>
        <v/>
      </c>
      <c r="G242">
        <f>IF(ISBLANK('Q:\Abteilungsprojekte\Eng\EngData\PROJECT_Bioplastics\Renjie_Pan\05-Raw_Data\Lab_results\[LabSamples2025_Bioplastic_extra.xlsx]extra_Bioplastic'!G242)," ",'Q:\Abteilungsprojekte\Eng\EngData\PROJECT_Bioplastics\Renjie_Pan\05-Raw_Data\Lab_results\[LabSamples2025_Bioplastic_extra.xlsx]extra_Bioplastic'!G242)</f>
        <v/>
      </c>
      <c r="H242">
        <f>IF(ISBLANK('Q:\Abteilungsprojekte\Eng\EngData\PROJECT_Bioplastics\Renjie_Pan\05-Raw_Data\Lab_results\[LabSamples2025_Bioplastic_extra.xlsx]extra_Bioplastic'!H242)," ",'Q:\Abteilungsprojekte\Eng\EngData\PROJECT_Bioplastics\Renjie_Pan\05-Raw_Data\Lab_results\[LabSamples2025_Bioplastic_extra.xlsx]extra_Bioplastic'!H242)</f>
        <v/>
      </c>
    </row>
    <row r="243">
      <c r="A243">
        <f>IF(ISBLANK('Q:\Abteilungsprojekte\Eng\EngData\PROJECT_Bioplastics\Renjie_Pan\05-Raw_Data\Lab_results\[LabSamples2025_Bioplastic_extra.xlsx]extra_Bioplastic'!A243)," ",'Q:\Abteilungsprojekte\Eng\EngData\PROJECT_Bioplastics\Renjie_Pan\05-Raw_Data\Lab_results\[LabSamples2025_Bioplastic_extra.xlsx]extra_Bioplastic'!A243)</f>
        <v/>
      </c>
      <c r="B243">
        <f>IF(ISBLANK('Q:\Abteilungsprojekte\Eng\EngData\PROJECT_Bioplastics\Renjie_Pan\05-Raw_Data\Lab_results\[LabSamples2025_Bioplastic_extra.xlsx]extra_Bioplastic'!B243)," ",'Q:\Abteilungsprojekte\Eng\EngData\PROJECT_Bioplastics\Renjie_Pan\05-Raw_Data\Lab_results\[LabSamples2025_Bioplastic_extra.xlsx]extra_Bioplastic'!B243)</f>
        <v/>
      </c>
      <c r="C243">
        <f>IF(ISBLANK('Q:\Abteilungsprojekte\Eng\EngData\PROJECT_Bioplastics\Renjie_Pan\05-Raw_Data\Lab_results\[LabSamples2025_Bioplastic_extra.xlsx]extra_Bioplastic'!C243)," ",'Q:\Abteilungsprojekte\Eng\EngData\PROJECT_Bioplastics\Renjie_Pan\05-Raw_Data\Lab_results\[LabSamples2025_Bioplastic_extra.xlsx]extra_Bioplastic'!C243)</f>
        <v/>
      </c>
      <c r="D243">
        <f>IF(ISBLANK('Q:\Abteilungsprojekte\Eng\EngData\PROJECT_Bioplastics\Renjie_Pan\05-Raw_Data\Lab_results\[LabSamples2025_Bioplastic_extra.xlsx]extra_Bioplastic'!D243)," ",'Q:\Abteilungsprojekte\Eng\EngData\PROJECT_Bioplastics\Renjie_Pan\05-Raw_Data\Lab_results\[LabSamples2025_Bioplastic_extra.xlsx]extra_Bioplastic'!D243)</f>
        <v/>
      </c>
      <c r="E243">
        <f>IF(ISBLANK('Q:\Abteilungsprojekte\Eng\EngData\PROJECT_Bioplastics\Renjie_Pan\05-Raw_Data\Lab_results\[LabSamples2025_Bioplastic_extra.xlsx]extra_Bioplastic'!E243)," ",'Q:\Abteilungsprojekte\Eng\EngData\PROJECT_Bioplastics\Renjie_Pan\05-Raw_Data\Lab_results\[LabSamples2025_Bioplastic_extra.xlsx]extra_Bioplastic'!E243)</f>
        <v/>
      </c>
      <c r="F243">
        <f>IF(ISBLANK('Q:\Abteilungsprojekte\Eng\EngData\PROJECT_Bioplastics\Renjie_Pan\05-Raw_Data\Lab_results\[LabSamples2025_Bioplastic_extra.xlsx]extra_Bioplastic'!F243)," ",'Q:\Abteilungsprojekte\Eng\EngData\PROJECT_Bioplastics\Renjie_Pan\05-Raw_Data\Lab_results\[LabSamples2025_Bioplastic_extra.xlsx]extra_Bioplastic'!F243)</f>
        <v/>
      </c>
      <c r="G243">
        <f>IF(ISBLANK('Q:\Abteilungsprojekte\Eng\EngData\PROJECT_Bioplastics\Renjie_Pan\05-Raw_Data\Lab_results\[LabSamples2025_Bioplastic_extra.xlsx]extra_Bioplastic'!G243)," ",'Q:\Abteilungsprojekte\Eng\EngData\PROJECT_Bioplastics\Renjie_Pan\05-Raw_Data\Lab_results\[LabSamples2025_Bioplastic_extra.xlsx]extra_Bioplastic'!G243)</f>
        <v/>
      </c>
      <c r="H243">
        <f>IF(ISBLANK('Q:\Abteilungsprojekte\Eng\EngData\PROJECT_Bioplastics\Renjie_Pan\05-Raw_Data\Lab_results\[LabSamples2025_Bioplastic_extra.xlsx]extra_Bioplastic'!H243)," ",'Q:\Abteilungsprojekte\Eng\EngData\PROJECT_Bioplastics\Renjie_Pan\05-Raw_Data\Lab_results\[LabSamples2025_Bioplastic_extra.xlsx]extra_Bioplastic'!H243)</f>
        <v/>
      </c>
    </row>
    <row r="244">
      <c r="A244">
        <f>IF(ISBLANK('Q:\Abteilungsprojekte\Eng\EngData\PROJECT_Bioplastics\Renjie_Pan\05-Raw_Data\Lab_results\[LabSamples2025_Bioplastic_extra.xlsx]extra_Bioplastic'!A244)," ",'Q:\Abteilungsprojekte\Eng\EngData\PROJECT_Bioplastics\Renjie_Pan\05-Raw_Data\Lab_results\[LabSamples2025_Bioplastic_extra.xlsx]extra_Bioplastic'!A244)</f>
        <v/>
      </c>
      <c r="B244">
        <f>IF(ISBLANK('Q:\Abteilungsprojekte\Eng\EngData\PROJECT_Bioplastics\Renjie_Pan\05-Raw_Data\Lab_results\[LabSamples2025_Bioplastic_extra.xlsx]extra_Bioplastic'!B244)," ",'Q:\Abteilungsprojekte\Eng\EngData\PROJECT_Bioplastics\Renjie_Pan\05-Raw_Data\Lab_results\[LabSamples2025_Bioplastic_extra.xlsx]extra_Bioplastic'!B244)</f>
        <v/>
      </c>
      <c r="C244">
        <f>IF(ISBLANK('Q:\Abteilungsprojekte\Eng\EngData\PROJECT_Bioplastics\Renjie_Pan\05-Raw_Data\Lab_results\[LabSamples2025_Bioplastic_extra.xlsx]extra_Bioplastic'!C244)," ",'Q:\Abteilungsprojekte\Eng\EngData\PROJECT_Bioplastics\Renjie_Pan\05-Raw_Data\Lab_results\[LabSamples2025_Bioplastic_extra.xlsx]extra_Bioplastic'!C244)</f>
        <v/>
      </c>
      <c r="D244">
        <f>IF(ISBLANK('Q:\Abteilungsprojekte\Eng\EngData\PROJECT_Bioplastics\Renjie_Pan\05-Raw_Data\Lab_results\[LabSamples2025_Bioplastic_extra.xlsx]extra_Bioplastic'!D244)," ",'Q:\Abteilungsprojekte\Eng\EngData\PROJECT_Bioplastics\Renjie_Pan\05-Raw_Data\Lab_results\[LabSamples2025_Bioplastic_extra.xlsx]extra_Bioplastic'!D244)</f>
        <v/>
      </c>
      <c r="E244">
        <f>IF(ISBLANK('Q:\Abteilungsprojekte\Eng\EngData\PROJECT_Bioplastics\Renjie_Pan\05-Raw_Data\Lab_results\[LabSamples2025_Bioplastic_extra.xlsx]extra_Bioplastic'!E244)," ",'Q:\Abteilungsprojekte\Eng\EngData\PROJECT_Bioplastics\Renjie_Pan\05-Raw_Data\Lab_results\[LabSamples2025_Bioplastic_extra.xlsx]extra_Bioplastic'!E244)</f>
        <v/>
      </c>
      <c r="F244">
        <f>IF(ISBLANK('Q:\Abteilungsprojekte\Eng\EngData\PROJECT_Bioplastics\Renjie_Pan\05-Raw_Data\Lab_results\[LabSamples2025_Bioplastic_extra.xlsx]extra_Bioplastic'!F244)," ",'Q:\Abteilungsprojekte\Eng\EngData\PROJECT_Bioplastics\Renjie_Pan\05-Raw_Data\Lab_results\[LabSamples2025_Bioplastic_extra.xlsx]extra_Bioplastic'!F244)</f>
        <v/>
      </c>
      <c r="G244">
        <f>IF(ISBLANK('Q:\Abteilungsprojekte\Eng\EngData\PROJECT_Bioplastics\Renjie_Pan\05-Raw_Data\Lab_results\[LabSamples2025_Bioplastic_extra.xlsx]extra_Bioplastic'!G244)," ",'Q:\Abteilungsprojekte\Eng\EngData\PROJECT_Bioplastics\Renjie_Pan\05-Raw_Data\Lab_results\[LabSamples2025_Bioplastic_extra.xlsx]extra_Bioplastic'!G244)</f>
        <v/>
      </c>
      <c r="H244">
        <f>IF(ISBLANK('Q:\Abteilungsprojekte\Eng\EngData\PROJECT_Bioplastics\Renjie_Pan\05-Raw_Data\Lab_results\[LabSamples2025_Bioplastic_extra.xlsx]extra_Bioplastic'!H244)," ",'Q:\Abteilungsprojekte\Eng\EngData\PROJECT_Bioplastics\Renjie_Pan\05-Raw_Data\Lab_results\[LabSamples2025_Bioplastic_extra.xlsx]extra_Bioplastic'!H244)</f>
        <v/>
      </c>
    </row>
    <row r="245">
      <c r="A245">
        <f>IF(ISBLANK('Q:\Abteilungsprojekte\Eng\EngData\PROJECT_Bioplastics\Renjie_Pan\05-Raw_Data\Lab_results\[LabSamples2025_Bioplastic_extra.xlsx]extra_Bioplastic'!A245)," ",'Q:\Abteilungsprojekte\Eng\EngData\PROJECT_Bioplastics\Renjie_Pan\05-Raw_Data\Lab_results\[LabSamples2025_Bioplastic_extra.xlsx]extra_Bioplastic'!A245)</f>
        <v/>
      </c>
      <c r="B245">
        <f>IF(ISBLANK('Q:\Abteilungsprojekte\Eng\EngData\PROJECT_Bioplastics\Renjie_Pan\05-Raw_Data\Lab_results\[LabSamples2025_Bioplastic_extra.xlsx]extra_Bioplastic'!B245)," ",'Q:\Abteilungsprojekte\Eng\EngData\PROJECT_Bioplastics\Renjie_Pan\05-Raw_Data\Lab_results\[LabSamples2025_Bioplastic_extra.xlsx]extra_Bioplastic'!B245)</f>
        <v/>
      </c>
      <c r="C245">
        <f>IF(ISBLANK('Q:\Abteilungsprojekte\Eng\EngData\PROJECT_Bioplastics\Renjie_Pan\05-Raw_Data\Lab_results\[LabSamples2025_Bioplastic_extra.xlsx]extra_Bioplastic'!C245)," ",'Q:\Abteilungsprojekte\Eng\EngData\PROJECT_Bioplastics\Renjie_Pan\05-Raw_Data\Lab_results\[LabSamples2025_Bioplastic_extra.xlsx]extra_Bioplastic'!C245)</f>
        <v/>
      </c>
      <c r="D245">
        <f>IF(ISBLANK('Q:\Abteilungsprojekte\Eng\EngData\PROJECT_Bioplastics\Renjie_Pan\05-Raw_Data\Lab_results\[LabSamples2025_Bioplastic_extra.xlsx]extra_Bioplastic'!D245)," ",'Q:\Abteilungsprojekte\Eng\EngData\PROJECT_Bioplastics\Renjie_Pan\05-Raw_Data\Lab_results\[LabSamples2025_Bioplastic_extra.xlsx]extra_Bioplastic'!D245)</f>
        <v/>
      </c>
      <c r="E245">
        <f>IF(ISBLANK('Q:\Abteilungsprojekte\Eng\EngData\PROJECT_Bioplastics\Renjie_Pan\05-Raw_Data\Lab_results\[LabSamples2025_Bioplastic_extra.xlsx]extra_Bioplastic'!E245)," ",'Q:\Abteilungsprojekte\Eng\EngData\PROJECT_Bioplastics\Renjie_Pan\05-Raw_Data\Lab_results\[LabSamples2025_Bioplastic_extra.xlsx]extra_Bioplastic'!E245)</f>
        <v/>
      </c>
      <c r="F245">
        <f>IF(ISBLANK('Q:\Abteilungsprojekte\Eng\EngData\PROJECT_Bioplastics\Renjie_Pan\05-Raw_Data\Lab_results\[LabSamples2025_Bioplastic_extra.xlsx]extra_Bioplastic'!F245)," ",'Q:\Abteilungsprojekte\Eng\EngData\PROJECT_Bioplastics\Renjie_Pan\05-Raw_Data\Lab_results\[LabSamples2025_Bioplastic_extra.xlsx]extra_Bioplastic'!F245)</f>
        <v/>
      </c>
      <c r="G245">
        <f>IF(ISBLANK('Q:\Abteilungsprojekte\Eng\EngData\PROJECT_Bioplastics\Renjie_Pan\05-Raw_Data\Lab_results\[LabSamples2025_Bioplastic_extra.xlsx]extra_Bioplastic'!G245)," ",'Q:\Abteilungsprojekte\Eng\EngData\PROJECT_Bioplastics\Renjie_Pan\05-Raw_Data\Lab_results\[LabSamples2025_Bioplastic_extra.xlsx]extra_Bioplastic'!G245)</f>
        <v/>
      </c>
      <c r="H245">
        <f>IF(ISBLANK('Q:\Abteilungsprojekte\Eng\EngData\PROJECT_Bioplastics\Renjie_Pan\05-Raw_Data\Lab_results\[LabSamples2025_Bioplastic_extra.xlsx]extra_Bioplastic'!H245)," ",'Q:\Abteilungsprojekte\Eng\EngData\PROJECT_Bioplastics\Renjie_Pan\05-Raw_Data\Lab_results\[LabSamples2025_Bioplastic_extra.xlsx]extra_Bioplastic'!H245)</f>
        <v/>
      </c>
    </row>
    <row r="246">
      <c r="A246">
        <f>IF(ISBLANK('Q:\Abteilungsprojekte\Eng\EngData\PROJECT_Bioplastics\Renjie_Pan\05-Raw_Data\Lab_results\[LabSamples2025_Bioplastic_extra.xlsx]extra_Bioplastic'!A246)," ",'Q:\Abteilungsprojekte\Eng\EngData\PROJECT_Bioplastics\Renjie_Pan\05-Raw_Data\Lab_results\[LabSamples2025_Bioplastic_extra.xlsx]extra_Bioplastic'!A246)</f>
        <v/>
      </c>
      <c r="B246">
        <f>IF(ISBLANK('Q:\Abteilungsprojekte\Eng\EngData\PROJECT_Bioplastics\Renjie_Pan\05-Raw_Data\Lab_results\[LabSamples2025_Bioplastic_extra.xlsx]extra_Bioplastic'!B246)," ",'Q:\Abteilungsprojekte\Eng\EngData\PROJECT_Bioplastics\Renjie_Pan\05-Raw_Data\Lab_results\[LabSamples2025_Bioplastic_extra.xlsx]extra_Bioplastic'!B246)</f>
        <v/>
      </c>
      <c r="C246">
        <f>IF(ISBLANK('Q:\Abteilungsprojekte\Eng\EngData\PROJECT_Bioplastics\Renjie_Pan\05-Raw_Data\Lab_results\[LabSamples2025_Bioplastic_extra.xlsx]extra_Bioplastic'!C246)," ",'Q:\Abteilungsprojekte\Eng\EngData\PROJECT_Bioplastics\Renjie_Pan\05-Raw_Data\Lab_results\[LabSamples2025_Bioplastic_extra.xlsx]extra_Bioplastic'!C246)</f>
        <v/>
      </c>
      <c r="D246">
        <f>IF(ISBLANK('Q:\Abteilungsprojekte\Eng\EngData\PROJECT_Bioplastics\Renjie_Pan\05-Raw_Data\Lab_results\[LabSamples2025_Bioplastic_extra.xlsx]extra_Bioplastic'!D246)," ",'Q:\Abteilungsprojekte\Eng\EngData\PROJECT_Bioplastics\Renjie_Pan\05-Raw_Data\Lab_results\[LabSamples2025_Bioplastic_extra.xlsx]extra_Bioplastic'!D246)</f>
        <v/>
      </c>
      <c r="E246">
        <f>IF(ISBLANK('Q:\Abteilungsprojekte\Eng\EngData\PROJECT_Bioplastics\Renjie_Pan\05-Raw_Data\Lab_results\[LabSamples2025_Bioplastic_extra.xlsx]extra_Bioplastic'!E246)," ",'Q:\Abteilungsprojekte\Eng\EngData\PROJECT_Bioplastics\Renjie_Pan\05-Raw_Data\Lab_results\[LabSamples2025_Bioplastic_extra.xlsx]extra_Bioplastic'!E246)</f>
        <v/>
      </c>
      <c r="F246">
        <f>IF(ISBLANK('Q:\Abteilungsprojekte\Eng\EngData\PROJECT_Bioplastics\Renjie_Pan\05-Raw_Data\Lab_results\[LabSamples2025_Bioplastic_extra.xlsx]extra_Bioplastic'!F246)," ",'Q:\Abteilungsprojekte\Eng\EngData\PROJECT_Bioplastics\Renjie_Pan\05-Raw_Data\Lab_results\[LabSamples2025_Bioplastic_extra.xlsx]extra_Bioplastic'!F246)</f>
        <v/>
      </c>
      <c r="G246">
        <f>IF(ISBLANK('Q:\Abteilungsprojekte\Eng\EngData\PROJECT_Bioplastics\Renjie_Pan\05-Raw_Data\Lab_results\[LabSamples2025_Bioplastic_extra.xlsx]extra_Bioplastic'!G246)," ",'Q:\Abteilungsprojekte\Eng\EngData\PROJECT_Bioplastics\Renjie_Pan\05-Raw_Data\Lab_results\[LabSamples2025_Bioplastic_extra.xlsx]extra_Bioplastic'!G246)</f>
        <v/>
      </c>
      <c r="H246">
        <f>IF(ISBLANK('Q:\Abteilungsprojekte\Eng\EngData\PROJECT_Bioplastics\Renjie_Pan\05-Raw_Data\Lab_results\[LabSamples2025_Bioplastic_extra.xlsx]extra_Bioplastic'!H246)," ",'Q:\Abteilungsprojekte\Eng\EngData\PROJECT_Bioplastics\Renjie_Pan\05-Raw_Data\Lab_results\[LabSamples2025_Bioplastic_extra.xlsx]extra_Bioplastic'!H246)</f>
        <v/>
      </c>
    </row>
    <row r="247">
      <c r="A247">
        <f>IF(ISBLANK('Q:\Abteilungsprojekte\Eng\EngData\PROJECT_Bioplastics\Renjie_Pan\05-Raw_Data\Lab_results\[LabSamples2025_Bioplastic_extra.xlsx]extra_Bioplastic'!A247)," ",'Q:\Abteilungsprojekte\Eng\EngData\PROJECT_Bioplastics\Renjie_Pan\05-Raw_Data\Lab_results\[LabSamples2025_Bioplastic_extra.xlsx]extra_Bioplastic'!A247)</f>
        <v/>
      </c>
      <c r="B247">
        <f>IF(ISBLANK('Q:\Abteilungsprojekte\Eng\EngData\PROJECT_Bioplastics\Renjie_Pan\05-Raw_Data\Lab_results\[LabSamples2025_Bioplastic_extra.xlsx]extra_Bioplastic'!B247)," ",'Q:\Abteilungsprojekte\Eng\EngData\PROJECT_Bioplastics\Renjie_Pan\05-Raw_Data\Lab_results\[LabSamples2025_Bioplastic_extra.xlsx]extra_Bioplastic'!B247)</f>
        <v/>
      </c>
      <c r="C247">
        <f>IF(ISBLANK('Q:\Abteilungsprojekte\Eng\EngData\PROJECT_Bioplastics\Renjie_Pan\05-Raw_Data\Lab_results\[LabSamples2025_Bioplastic_extra.xlsx]extra_Bioplastic'!C247)," ",'Q:\Abteilungsprojekte\Eng\EngData\PROJECT_Bioplastics\Renjie_Pan\05-Raw_Data\Lab_results\[LabSamples2025_Bioplastic_extra.xlsx]extra_Bioplastic'!C247)</f>
        <v/>
      </c>
      <c r="D247">
        <f>IF(ISBLANK('Q:\Abteilungsprojekte\Eng\EngData\PROJECT_Bioplastics\Renjie_Pan\05-Raw_Data\Lab_results\[LabSamples2025_Bioplastic_extra.xlsx]extra_Bioplastic'!D247)," ",'Q:\Abteilungsprojekte\Eng\EngData\PROJECT_Bioplastics\Renjie_Pan\05-Raw_Data\Lab_results\[LabSamples2025_Bioplastic_extra.xlsx]extra_Bioplastic'!D247)</f>
        <v/>
      </c>
      <c r="E247">
        <f>IF(ISBLANK('Q:\Abteilungsprojekte\Eng\EngData\PROJECT_Bioplastics\Renjie_Pan\05-Raw_Data\Lab_results\[LabSamples2025_Bioplastic_extra.xlsx]extra_Bioplastic'!E247)," ",'Q:\Abteilungsprojekte\Eng\EngData\PROJECT_Bioplastics\Renjie_Pan\05-Raw_Data\Lab_results\[LabSamples2025_Bioplastic_extra.xlsx]extra_Bioplastic'!E247)</f>
        <v/>
      </c>
      <c r="F247">
        <f>IF(ISBLANK('Q:\Abteilungsprojekte\Eng\EngData\PROJECT_Bioplastics\Renjie_Pan\05-Raw_Data\Lab_results\[LabSamples2025_Bioplastic_extra.xlsx]extra_Bioplastic'!F247)," ",'Q:\Abteilungsprojekte\Eng\EngData\PROJECT_Bioplastics\Renjie_Pan\05-Raw_Data\Lab_results\[LabSamples2025_Bioplastic_extra.xlsx]extra_Bioplastic'!F247)</f>
        <v/>
      </c>
      <c r="G247">
        <f>IF(ISBLANK('Q:\Abteilungsprojekte\Eng\EngData\PROJECT_Bioplastics\Renjie_Pan\05-Raw_Data\Lab_results\[LabSamples2025_Bioplastic_extra.xlsx]extra_Bioplastic'!G247)," ",'Q:\Abteilungsprojekte\Eng\EngData\PROJECT_Bioplastics\Renjie_Pan\05-Raw_Data\Lab_results\[LabSamples2025_Bioplastic_extra.xlsx]extra_Bioplastic'!G247)</f>
        <v/>
      </c>
      <c r="H247">
        <f>IF(ISBLANK('Q:\Abteilungsprojekte\Eng\EngData\PROJECT_Bioplastics\Renjie_Pan\05-Raw_Data\Lab_results\[LabSamples2025_Bioplastic_extra.xlsx]extra_Bioplastic'!H247)," ",'Q:\Abteilungsprojekte\Eng\EngData\PROJECT_Bioplastics\Renjie_Pan\05-Raw_Data\Lab_results\[LabSamples2025_Bioplastic_extra.xlsx]extra_Bioplastic'!H247)</f>
        <v/>
      </c>
    </row>
    <row r="248">
      <c r="A248">
        <f>IF(ISBLANK('Q:\Abteilungsprojekte\Eng\EngData\PROJECT_Bioplastics\Renjie_Pan\05-Raw_Data\Lab_results\[LabSamples2025_Bioplastic_extra.xlsx]extra_Bioplastic'!A248)," ",'Q:\Abteilungsprojekte\Eng\EngData\PROJECT_Bioplastics\Renjie_Pan\05-Raw_Data\Lab_results\[LabSamples2025_Bioplastic_extra.xlsx]extra_Bioplastic'!A248)</f>
        <v/>
      </c>
      <c r="B248">
        <f>IF(ISBLANK('Q:\Abteilungsprojekte\Eng\EngData\PROJECT_Bioplastics\Renjie_Pan\05-Raw_Data\Lab_results\[LabSamples2025_Bioplastic_extra.xlsx]extra_Bioplastic'!B248)," ",'Q:\Abteilungsprojekte\Eng\EngData\PROJECT_Bioplastics\Renjie_Pan\05-Raw_Data\Lab_results\[LabSamples2025_Bioplastic_extra.xlsx]extra_Bioplastic'!B248)</f>
        <v/>
      </c>
      <c r="C248">
        <f>IF(ISBLANK('Q:\Abteilungsprojekte\Eng\EngData\PROJECT_Bioplastics\Renjie_Pan\05-Raw_Data\Lab_results\[LabSamples2025_Bioplastic_extra.xlsx]extra_Bioplastic'!C248)," ",'Q:\Abteilungsprojekte\Eng\EngData\PROJECT_Bioplastics\Renjie_Pan\05-Raw_Data\Lab_results\[LabSamples2025_Bioplastic_extra.xlsx]extra_Bioplastic'!C248)</f>
        <v/>
      </c>
      <c r="D248">
        <f>IF(ISBLANK('Q:\Abteilungsprojekte\Eng\EngData\PROJECT_Bioplastics\Renjie_Pan\05-Raw_Data\Lab_results\[LabSamples2025_Bioplastic_extra.xlsx]extra_Bioplastic'!D248)," ",'Q:\Abteilungsprojekte\Eng\EngData\PROJECT_Bioplastics\Renjie_Pan\05-Raw_Data\Lab_results\[LabSamples2025_Bioplastic_extra.xlsx]extra_Bioplastic'!D248)</f>
        <v/>
      </c>
      <c r="E248">
        <f>IF(ISBLANK('Q:\Abteilungsprojekte\Eng\EngData\PROJECT_Bioplastics\Renjie_Pan\05-Raw_Data\Lab_results\[LabSamples2025_Bioplastic_extra.xlsx]extra_Bioplastic'!E248)," ",'Q:\Abteilungsprojekte\Eng\EngData\PROJECT_Bioplastics\Renjie_Pan\05-Raw_Data\Lab_results\[LabSamples2025_Bioplastic_extra.xlsx]extra_Bioplastic'!E248)</f>
        <v/>
      </c>
      <c r="F248">
        <f>IF(ISBLANK('Q:\Abteilungsprojekte\Eng\EngData\PROJECT_Bioplastics\Renjie_Pan\05-Raw_Data\Lab_results\[LabSamples2025_Bioplastic_extra.xlsx]extra_Bioplastic'!F248)," ",'Q:\Abteilungsprojekte\Eng\EngData\PROJECT_Bioplastics\Renjie_Pan\05-Raw_Data\Lab_results\[LabSamples2025_Bioplastic_extra.xlsx]extra_Bioplastic'!F248)</f>
        <v/>
      </c>
      <c r="G248">
        <f>IF(ISBLANK('Q:\Abteilungsprojekte\Eng\EngData\PROJECT_Bioplastics\Renjie_Pan\05-Raw_Data\Lab_results\[LabSamples2025_Bioplastic_extra.xlsx]extra_Bioplastic'!G248)," ",'Q:\Abteilungsprojekte\Eng\EngData\PROJECT_Bioplastics\Renjie_Pan\05-Raw_Data\Lab_results\[LabSamples2025_Bioplastic_extra.xlsx]extra_Bioplastic'!G248)</f>
        <v/>
      </c>
      <c r="H248">
        <f>IF(ISBLANK('Q:\Abteilungsprojekte\Eng\EngData\PROJECT_Bioplastics\Renjie_Pan\05-Raw_Data\Lab_results\[LabSamples2025_Bioplastic_extra.xlsx]extra_Bioplastic'!H248)," ",'Q:\Abteilungsprojekte\Eng\EngData\PROJECT_Bioplastics\Renjie_Pan\05-Raw_Data\Lab_results\[LabSamples2025_Bioplastic_extra.xlsx]extra_Bioplastic'!H248)</f>
        <v/>
      </c>
    </row>
    <row r="249">
      <c r="A249">
        <f>IF(ISBLANK('Q:\Abteilungsprojekte\Eng\EngData\PROJECT_Bioplastics\Renjie_Pan\05-Raw_Data\Lab_results\[LabSamples2025_Bioplastic_extra.xlsx]extra_Bioplastic'!A249)," ",'Q:\Abteilungsprojekte\Eng\EngData\PROJECT_Bioplastics\Renjie_Pan\05-Raw_Data\Lab_results\[LabSamples2025_Bioplastic_extra.xlsx]extra_Bioplastic'!A249)</f>
        <v/>
      </c>
      <c r="B249">
        <f>IF(ISBLANK('Q:\Abteilungsprojekte\Eng\EngData\PROJECT_Bioplastics\Renjie_Pan\05-Raw_Data\Lab_results\[LabSamples2025_Bioplastic_extra.xlsx]extra_Bioplastic'!B249)," ",'Q:\Abteilungsprojekte\Eng\EngData\PROJECT_Bioplastics\Renjie_Pan\05-Raw_Data\Lab_results\[LabSamples2025_Bioplastic_extra.xlsx]extra_Bioplastic'!B249)</f>
        <v/>
      </c>
      <c r="C249">
        <f>IF(ISBLANK('Q:\Abteilungsprojekte\Eng\EngData\PROJECT_Bioplastics\Renjie_Pan\05-Raw_Data\Lab_results\[LabSamples2025_Bioplastic_extra.xlsx]extra_Bioplastic'!C249)," ",'Q:\Abteilungsprojekte\Eng\EngData\PROJECT_Bioplastics\Renjie_Pan\05-Raw_Data\Lab_results\[LabSamples2025_Bioplastic_extra.xlsx]extra_Bioplastic'!C249)</f>
        <v/>
      </c>
      <c r="D249">
        <f>IF(ISBLANK('Q:\Abteilungsprojekte\Eng\EngData\PROJECT_Bioplastics\Renjie_Pan\05-Raw_Data\Lab_results\[LabSamples2025_Bioplastic_extra.xlsx]extra_Bioplastic'!D249)," ",'Q:\Abteilungsprojekte\Eng\EngData\PROJECT_Bioplastics\Renjie_Pan\05-Raw_Data\Lab_results\[LabSamples2025_Bioplastic_extra.xlsx]extra_Bioplastic'!D249)</f>
        <v/>
      </c>
      <c r="E249">
        <f>IF(ISBLANK('Q:\Abteilungsprojekte\Eng\EngData\PROJECT_Bioplastics\Renjie_Pan\05-Raw_Data\Lab_results\[LabSamples2025_Bioplastic_extra.xlsx]extra_Bioplastic'!E249)," ",'Q:\Abteilungsprojekte\Eng\EngData\PROJECT_Bioplastics\Renjie_Pan\05-Raw_Data\Lab_results\[LabSamples2025_Bioplastic_extra.xlsx]extra_Bioplastic'!E249)</f>
        <v/>
      </c>
      <c r="F249">
        <f>IF(ISBLANK('Q:\Abteilungsprojekte\Eng\EngData\PROJECT_Bioplastics\Renjie_Pan\05-Raw_Data\Lab_results\[LabSamples2025_Bioplastic_extra.xlsx]extra_Bioplastic'!F249)," ",'Q:\Abteilungsprojekte\Eng\EngData\PROJECT_Bioplastics\Renjie_Pan\05-Raw_Data\Lab_results\[LabSamples2025_Bioplastic_extra.xlsx]extra_Bioplastic'!F249)</f>
        <v/>
      </c>
      <c r="G249">
        <f>IF(ISBLANK('Q:\Abteilungsprojekte\Eng\EngData\PROJECT_Bioplastics\Renjie_Pan\05-Raw_Data\Lab_results\[LabSamples2025_Bioplastic_extra.xlsx]extra_Bioplastic'!G249)," ",'Q:\Abteilungsprojekte\Eng\EngData\PROJECT_Bioplastics\Renjie_Pan\05-Raw_Data\Lab_results\[LabSamples2025_Bioplastic_extra.xlsx]extra_Bioplastic'!G249)</f>
        <v/>
      </c>
      <c r="H249">
        <f>IF(ISBLANK('Q:\Abteilungsprojekte\Eng\EngData\PROJECT_Bioplastics\Renjie_Pan\05-Raw_Data\Lab_results\[LabSamples2025_Bioplastic_extra.xlsx]extra_Bioplastic'!H249)," ",'Q:\Abteilungsprojekte\Eng\EngData\PROJECT_Bioplastics\Renjie_Pan\05-Raw_Data\Lab_results\[LabSamples2025_Bioplastic_extra.xlsx]extra_Bioplastic'!H249)</f>
        <v/>
      </c>
    </row>
    <row r="250">
      <c r="A250">
        <f>IF(ISBLANK('Q:\Abteilungsprojekte\Eng\EngData\PROJECT_Bioplastics\Renjie_Pan\05-Raw_Data\Lab_results\[LabSamples2025_Bioplastic_extra.xlsx]extra_Bioplastic'!A250)," ",'Q:\Abteilungsprojekte\Eng\EngData\PROJECT_Bioplastics\Renjie_Pan\05-Raw_Data\Lab_results\[LabSamples2025_Bioplastic_extra.xlsx]extra_Bioplastic'!A250)</f>
        <v/>
      </c>
      <c r="B250">
        <f>IF(ISBLANK('Q:\Abteilungsprojekte\Eng\EngData\PROJECT_Bioplastics\Renjie_Pan\05-Raw_Data\Lab_results\[LabSamples2025_Bioplastic_extra.xlsx]extra_Bioplastic'!B250)," ",'Q:\Abteilungsprojekte\Eng\EngData\PROJECT_Bioplastics\Renjie_Pan\05-Raw_Data\Lab_results\[LabSamples2025_Bioplastic_extra.xlsx]extra_Bioplastic'!B250)</f>
        <v/>
      </c>
      <c r="C250">
        <f>IF(ISBLANK('Q:\Abteilungsprojekte\Eng\EngData\PROJECT_Bioplastics\Renjie_Pan\05-Raw_Data\Lab_results\[LabSamples2025_Bioplastic_extra.xlsx]extra_Bioplastic'!C250)," ",'Q:\Abteilungsprojekte\Eng\EngData\PROJECT_Bioplastics\Renjie_Pan\05-Raw_Data\Lab_results\[LabSamples2025_Bioplastic_extra.xlsx]extra_Bioplastic'!C250)</f>
        <v/>
      </c>
      <c r="D250">
        <f>IF(ISBLANK('Q:\Abteilungsprojekte\Eng\EngData\PROJECT_Bioplastics\Renjie_Pan\05-Raw_Data\Lab_results\[LabSamples2025_Bioplastic_extra.xlsx]extra_Bioplastic'!D250)," ",'Q:\Abteilungsprojekte\Eng\EngData\PROJECT_Bioplastics\Renjie_Pan\05-Raw_Data\Lab_results\[LabSamples2025_Bioplastic_extra.xlsx]extra_Bioplastic'!D250)</f>
        <v/>
      </c>
      <c r="E250">
        <f>IF(ISBLANK('Q:\Abteilungsprojekte\Eng\EngData\PROJECT_Bioplastics\Renjie_Pan\05-Raw_Data\Lab_results\[LabSamples2025_Bioplastic_extra.xlsx]extra_Bioplastic'!E250)," ",'Q:\Abteilungsprojekte\Eng\EngData\PROJECT_Bioplastics\Renjie_Pan\05-Raw_Data\Lab_results\[LabSamples2025_Bioplastic_extra.xlsx]extra_Bioplastic'!E250)</f>
        <v/>
      </c>
      <c r="F250">
        <f>IF(ISBLANK('Q:\Abteilungsprojekte\Eng\EngData\PROJECT_Bioplastics\Renjie_Pan\05-Raw_Data\Lab_results\[LabSamples2025_Bioplastic_extra.xlsx]extra_Bioplastic'!F250)," ",'Q:\Abteilungsprojekte\Eng\EngData\PROJECT_Bioplastics\Renjie_Pan\05-Raw_Data\Lab_results\[LabSamples2025_Bioplastic_extra.xlsx]extra_Bioplastic'!F250)</f>
        <v/>
      </c>
      <c r="G250">
        <f>IF(ISBLANK('Q:\Abteilungsprojekte\Eng\EngData\PROJECT_Bioplastics\Renjie_Pan\05-Raw_Data\Lab_results\[LabSamples2025_Bioplastic_extra.xlsx]extra_Bioplastic'!G250)," ",'Q:\Abteilungsprojekte\Eng\EngData\PROJECT_Bioplastics\Renjie_Pan\05-Raw_Data\Lab_results\[LabSamples2025_Bioplastic_extra.xlsx]extra_Bioplastic'!G250)</f>
        <v/>
      </c>
      <c r="H250">
        <f>IF(ISBLANK('Q:\Abteilungsprojekte\Eng\EngData\PROJECT_Bioplastics\Renjie_Pan\05-Raw_Data\Lab_results\[LabSamples2025_Bioplastic_extra.xlsx]extra_Bioplastic'!H250)," ",'Q:\Abteilungsprojekte\Eng\EngData\PROJECT_Bioplastics\Renjie_Pan\05-Raw_Data\Lab_results\[LabSamples2025_Bioplastic_extra.xlsx]extra_Bioplastic'!H250)</f>
        <v/>
      </c>
    </row>
    <row r="251">
      <c r="A251">
        <f>IF(ISBLANK('Q:\Abteilungsprojekte\Eng\EngData\PROJECT_Bioplastics\Renjie_Pan\05-Raw_Data\Lab_results\[LabSamples2025_Bioplastic_extra.xlsx]extra_Bioplastic'!A251)," ",'Q:\Abteilungsprojekte\Eng\EngData\PROJECT_Bioplastics\Renjie_Pan\05-Raw_Data\Lab_results\[LabSamples2025_Bioplastic_extra.xlsx]extra_Bioplastic'!A251)</f>
        <v/>
      </c>
      <c r="B251">
        <f>IF(ISBLANK('Q:\Abteilungsprojekte\Eng\EngData\PROJECT_Bioplastics\Renjie_Pan\05-Raw_Data\Lab_results\[LabSamples2025_Bioplastic_extra.xlsx]extra_Bioplastic'!B251)," ",'Q:\Abteilungsprojekte\Eng\EngData\PROJECT_Bioplastics\Renjie_Pan\05-Raw_Data\Lab_results\[LabSamples2025_Bioplastic_extra.xlsx]extra_Bioplastic'!B251)</f>
        <v/>
      </c>
      <c r="C251">
        <f>IF(ISBLANK('Q:\Abteilungsprojekte\Eng\EngData\PROJECT_Bioplastics\Renjie_Pan\05-Raw_Data\Lab_results\[LabSamples2025_Bioplastic_extra.xlsx]extra_Bioplastic'!C251)," ",'Q:\Abteilungsprojekte\Eng\EngData\PROJECT_Bioplastics\Renjie_Pan\05-Raw_Data\Lab_results\[LabSamples2025_Bioplastic_extra.xlsx]extra_Bioplastic'!C251)</f>
        <v/>
      </c>
      <c r="D251">
        <f>IF(ISBLANK('Q:\Abteilungsprojekte\Eng\EngData\PROJECT_Bioplastics\Renjie_Pan\05-Raw_Data\Lab_results\[LabSamples2025_Bioplastic_extra.xlsx]extra_Bioplastic'!D251)," ",'Q:\Abteilungsprojekte\Eng\EngData\PROJECT_Bioplastics\Renjie_Pan\05-Raw_Data\Lab_results\[LabSamples2025_Bioplastic_extra.xlsx]extra_Bioplastic'!D251)</f>
        <v/>
      </c>
      <c r="E251">
        <f>IF(ISBLANK('Q:\Abteilungsprojekte\Eng\EngData\PROJECT_Bioplastics\Renjie_Pan\05-Raw_Data\Lab_results\[LabSamples2025_Bioplastic_extra.xlsx]extra_Bioplastic'!E251)," ",'Q:\Abteilungsprojekte\Eng\EngData\PROJECT_Bioplastics\Renjie_Pan\05-Raw_Data\Lab_results\[LabSamples2025_Bioplastic_extra.xlsx]extra_Bioplastic'!E251)</f>
        <v/>
      </c>
      <c r="F251">
        <f>IF(ISBLANK('Q:\Abteilungsprojekte\Eng\EngData\PROJECT_Bioplastics\Renjie_Pan\05-Raw_Data\Lab_results\[LabSamples2025_Bioplastic_extra.xlsx]extra_Bioplastic'!F251)," ",'Q:\Abteilungsprojekte\Eng\EngData\PROJECT_Bioplastics\Renjie_Pan\05-Raw_Data\Lab_results\[LabSamples2025_Bioplastic_extra.xlsx]extra_Bioplastic'!F251)</f>
        <v/>
      </c>
      <c r="G251">
        <f>IF(ISBLANK('Q:\Abteilungsprojekte\Eng\EngData\PROJECT_Bioplastics\Renjie_Pan\05-Raw_Data\Lab_results\[LabSamples2025_Bioplastic_extra.xlsx]extra_Bioplastic'!G251)," ",'Q:\Abteilungsprojekte\Eng\EngData\PROJECT_Bioplastics\Renjie_Pan\05-Raw_Data\Lab_results\[LabSamples2025_Bioplastic_extra.xlsx]extra_Bioplastic'!G251)</f>
        <v/>
      </c>
      <c r="H251">
        <f>IF(ISBLANK('Q:\Abteilungsprojekte\Eng\EngData\PROJECT_Bioplastics\Renjie_Pan\05-Raw_Data\Lab_results\[LabSamples2025_Bioplastic_extra.xlsx]extra_Bioplastic'!H251)," ",'Q:\Abteilungsprojekte\Eng\EngData\PROJECT_Bioplastics\Renjie_Pan\05-Raw_Data\Lab_results\[LabSamples2025_Bioplastic_extra.xlsx]extra_Bioplastic'!H251)</f>
        <v/>
      </c>
    </row>
    <row r="252">
      <c r="A252">
        <f>IF(ISBLANK('Q:\Abteilungsprojekte\Eng\EngData\PROJECT_Bioplastics\Renjie_Pan\05-Raw_Data\Lab_results\[LabSamples2025_Bioplastic_extra.xlsx]extra_Bioplastic'!A252)," ",'Q:\Abteilungsprojekte\Eng\EngData\PROJECT_Bioplastics\Renjie_Pan\05-Raw_Data\Lab_results\[LabSamples2025_Bioplastic_extra.xlsx]extra_Bioplastic'!A252)</f>
        <v/>
      </c>
      <c r="B252">
        <f>IF(ISBLANK('Q:\Abteilungsprojekte\Eng\EngData\PROJECT_Bioplastics\Renjie_Pan\05-Raw_Data\Lab_results\[LabSamples2025_Bioplastic_extra.xlsx]extra_Bioplastic'!B252)," ",'Q:\Abteilungsprojekte\Eng\EngData\PROJECT_Bioplastics\Renjie_Pan\05-Raw_Data\Lab_results\[LabSamples2025_Bioplastic_extra.xlsx]extra_Bioplastic'!B252)</f>
        <v/>
      </c>
      <c r="C252">
        <f>IF(ISBLANK('Q:\Abteilungsprojekte\Eng\EngData\PROJECT_Bioplastics\Renjie_Pan\05-Raw_Data\Lab_results\[LabSamples2025_Bioplastic_extra.xlsx]extra_Bioplastic'!C252)," ",'Q:\Abteilungsprojekte\Eng\EngData\PROJECT_Bioplastics\Renjie_Pan\05-Raw_Data\Lab_results\[LabSamples2025_Bioplastic_extra.xlsx]extra_Bioplastic'!C252)</f>
        <v/>
      </c>
      <c r="D252">
        <f>IF(ISBLANK('Q:\Abteilungsprojekte\Eng\EngData\PROJECT_Bioplastics\Renjie_Pan\05-Raw_Data\Lab_results\[LabSamples2025_Bioplastic_extra.xlsx]extra_Bioplastic'!D252)," ",'Q:\Abteilungsprojekte\Eng\EngData\PROJECT_Bioplastics\Renjie_Pan\05-Raw_Data\Lab_results\[LabSamples2025_Bioplastic_extra.xlsx]extra_Bioplastic'!D252)</f>
        <v/>
      </c>
      <c r="E252">
        <f>IF(ISBLANK('Q:\Abteilungsprojekte\Eng\EngData\PROJECT_Bioplastics\Renjie_Pan\05-Raw_Data\Lab_results\[LabSamples2025_Bioplastic_extra.xlsx]extra_Bioplastic'!E252)," ",'Q:\Abteilungsprojekte\Eng\EngData\PROJECT_Bioplastics\Renjie_Pan\05-Raw_Data\Lab_results\[LabSamples2025_Bioplastic_extra.xlsx]extra_Bioplastic'!E252)</f>
        <v/>
      </c>
      <c r="F252">
        <f>IF(ISBLANK('Q:\Abteilungsprojekte\Eng\EngData\PROJECT_Bioplastics\Renjie_Pan\05-Raw_Data\Lab_results\[LabSamples2025_Bioplastic_extra.xlsx]extra_Bioplastic'!F252)," ",'Q:\Abteilungsprojekte\Eng\EngData\PROJECT_Bioplastics\Renjie_Pan\05-Raw_Data\Lab_results\[LabSamples2025_Bioplastic_extra.xlsx]extra_Bioplastic'!F252)</f>
        <v/>
      </c>
      <c r="G252">
        <f>IF(ISBLANK('Q:\Abteilungsprojekte\Eng\EngData\PROJECT_Bioplastics\Renjie_Pan\05-Raw_Data\Lab_results\[LabSamples2025_Bioplastic_extra.xlsx]extra_Bioplastic'!G252)," ",'Q:\Abteilungsprojekte\Eng\EngData\PROJECT_Bioplastics\Renjie_Pan\05-Raw_Data\Lab_results\[LabSamples2025_Bioplastic_extra.xlsx]extra_Bioplastic'!G252)</f>
        <v/>
      </c>
      <c r="H252">
        <f>IF(ISBLANK('Q:\Abteilungsprojekte\Eng\EngData\PROJECT_Bioplastics\Renjie_Pan\05-Raw_Data\Lab_results\[LabSamples2025_Bioplastic_extra.xlsx]extra_Bioplastic'!H252)," ",'Q:\Abteilungsprojekte\Eng\EngData\PROJECT_Bioplastics\Renjie_Pan\05-Raw_Data\Lab_results\[LabSamples2025_Bioplastic_extra.xlsx]extra_Bioplastic'!H252)</f>
        <v/>
      </c>
    </row>
    <row r="253">
      <c r="A253">
        <f>IF(ISBLANK('Q:\Abteilungsprojekte\Eng\EngData\PROJECT_Bioplastics\Renjie_Pan\05-Raw_Data\Lab_results\[LabSamples2025_Bioplastic_extra.xlsx]extra_Bioplastic'!A253)," ",'Q:\Abteilungsprojekte\Eng\EngData\PROJECT_Bioplastics\Renjie_Pan\05-Raw_Data\Lab_results\[LabSamples2025_Bioplastic_extra.xlsx]extra_Bioplastic'!A253)</f>
        <v/>
      </c>
      <c r="B253">
        <f>IF(ISBLANK('Q:\Abteilungsprojekte\Eng\EngData\PROJECT_Bioplastics\Renjie_Pan\05-Raw_Data\Lab_results\[LabSamples2025_Bioplastic_extra.xlsx]extra_Bioplastic'!B253)," ",'Q:\Abteilungsprojekte\Eng\EngData\PROJECT_Bioplastics\Renjie_Pan\05-Raw_Data\Lab_results\[LabSamples2025_Bioplastic_extra.xlsx]extra_Bioplastic'!B253)</f>
        <v/>
      </c>
      <c r="C253">
        <f>IF(ISBLANK('Q:\Abteilungsprojekte\Eng\EngData\PROJECT_Bioplastics\Renjie_Pan\05-Raw_Data\Lab_results\[LabSamples2025_Bioplastic_extra.xlsx]extra_Bioplastic'!C253)," ",'Q:\Abteilungsprojekte\Eng\EngData\PROJECT_Bioplastics\Renjie_Pan\05-Raw_Data\Lab_results\[LabSamples2025_Bioplastic_extra.xlsx]extra_Bioplastic'!C253)</f>
        <v/>
      </c>
      <c r="D253">
        <f>IF(ISBLANK('Q:\Abteilungsprojekte\Eng\EngData\PROJECT_Bioplastics\Renjie_Pan\05-Raw_Data\Lab_results\[LabSamples2025_Bioplastic_extra.xlsx]extra_Bioplastic'!D253)," ",'Q:\Abteilungsprojekte\Eng\EngData\PROJECT_Bioplastics\Renjie_Pan\05-Raw_Data\Lab_results\[LabSamples2025_Bioplastic_extra.xlsx]extra_Bioplastic'!D253)</f>
        <v/>
      </c>
      <c r="E253">
        <f>IF(ISBLANK('Q:\Abteilungsprojekte\Eng\EngData\PROJECT_Bioplastics\Renjie_Pan\05-Raw_Data\Lab_results\[LabSamples2025_Bioplastic_extra.xlsx]extra_Bioplastic'!E253)," ",'Q:\Abteilungsprojekte\Eng\EngData\PROJECT_Bioplastics\Renjie_Pan\05-Raw_Data\Lab_results\[LabSamples2025_Bioplastic_extra.xlsx]extra_Bioplastic'!E253)</f>
        <v/>
      </c>
      <c r="F253">
        <f>IF(ISBLANK('Q:\Abteilungsprojekte\Eng\EngData\PROJECT_Bioplastics\Renjie_Pan\05-Raw_Data\Lab_results\[LabSamples2025_Bioplastic_extra.xlsx]extra_Bioplastic'!F253)," ",'Q:\Abteilungsprojekte\Eng\EngData\PROJECT_Bioplastics\Renjie_Pan\05-Raw_Data\Lab_results\[LabSamples2025_Bioplastic_extra.xlsx]extra_Bioplastic'!F253)</f>
        <v/>
      </c>
      <c r="G253">
        <f>IF(ISBLANK('Q:\Abteilungsprojekte\Eng\EngData\PROJECT_Bioplastics\Renjie_Pan\05-Raw_Data\Lab_results\[LabSamples2025_Bioplastic_extra.xlsx]extra_Bioplastic'!G253)," ",'Q:\Abteilungsprojekte\Eng\EngData\PROJECT_Bioplastics\Renjie_Pan\05-Raw_Data\Lab_results\[LabSamples2025_Bioplastic_extra.xlsx]extra_Bioplastic'!G253)</f>
        <v/>
      </c>
      <c r="H253">
        <f>IF(ISBLANK('Q:\Abteilungsprojekte\Eng\EngData\PROJECT_Bioplastics\Renjie_Pan\05-Raw_Data\Lab_results\[LabSamples2025_Bioplastic_extra.xlsx]extra_Bioplastic'!H253)," ",'Q:\Abteilungsprojekte\Eng\EngData\PROJECT_Bioplastics\Renjie_Pan\05-Raw_Data\Lab_results\[LabSamples2025_Bioplastic_extra.xlsx]extra_Bioplastic'!H253)</f>
        <v/>
      </c>
    </row>
    <row r="254">
      <c r="A254">
        <f>IF(ISBLANK('Q:\Abteilungsprojekte\Eng\EngData\PROJECT_Bioplastics\Renjie_Pan\05-Raw_Data\Lab_results\[LabSamples2025_Bioplastic_extra.xlsx]extra_Bioplastic'!A254)," ",'Q:\Abteilungsprojekte\Eng\EngData\PROJECT_Bioplastics\Renjie_Pan\05-Raw_Data\Lab_results\[LabSamples2025_Bioplastic_extra.xlsx]extra_Bioplastic'!A254)</f>
        <v/>
      </c>
      <c r="B254">
        <f>IF(ISBLANK('Q:\Abteilungsprojekte\Eng\EngData\PROJECT_Bioplastics\Renjie_Pan\05-Raw_Data\Lab_results\[LabSamples2025_Bioplastic_extra.xlsx]extra_Bioplastic'!B254)," ",'Q:\Abteilungsprojekte\Eng\EngData\PROJECT_Bioplastics\Renjie_Pan\05-Raw_Data\Lab_results\[LabSamples2025_Bioplastic_extra.xlsx]extra_Bioplastic'!B254)</f>
        <v/>
      </c>
      <c r="C254">
        <f>IF(ISBLANK('Q:\Abteilungsprojekte\Eng\EngData\PROJECT_Bioplastics\Renjie_Pan\05-Raw_Data\Lab_results\[LabSamples2025_Bioplastic_extra.xlsx]extra_Bioplastic'!C254)," ",'Q:\Abteilungsprojekte\Eng\EngData\PROJECT_Bioplastics\Renjie_Pan\05-Raw_Data\Lab_results\[LabSamples2025_Bioplastic_extra.xlsx]extra_Bioplastic'!C254)</f>
        <v/>
      </c>
      <c r="D254">
        <f>IF(ISBLANK('Q:\Abteilungsprojekte\Eng\EngData\PROJECT_Bioplastics\Renjie_Pan\05-Raw_Data\Lab_results\[LabSamples2025_Bioplastic_extra.xlsx]extra_Bioplastic'!D254)," ",'Q:\Abteilungsprojekte\Eng\EngData\PROJECT_Bioplastics\Renjie_Pan\05-Raw_Data\Lab_results\[LabSamples2025_Bioplastic_extra.xlsx]extra_Bioplastic'!D254)</f>
        <v/>
      </c>
      <c r="E254">
        <f>IF(ISBLANK('Q:\Abteilungsprojekte\Eng\EngData\PROJECT_Bioplastics\Renjie_Pan\05-Raw_Data\Lab_results\[LabSamples2025_Bioplastic_extra.xlsx]extra_Bioplastic'!E254)," ",'Q:\Abteilungsprojekte\Eng\EngData\PROJECT_Bioplastics\Renjie_Pan\05-Raw_Data\Lab_results\[LabSamples2025_Bioplastic_extra.xlsx]extra_Bioplastic'!E254)</f>
        <v/>
      </c>
      <c r="F254">
        <f>IF(ISBLANK('Q:\Abteilungsprojekte\Eng\EngData\PROJECT_Bioplastics\Renjie_Pan\05-Raw_Data\Lab_results\[LabSamples2025_Bioplastic_extra.xlsx]extra_Bioplastic'!F254)," ",'Q:\Abteilungsprojekte\Eng\EngData\PROJECT_Bioplastics\Renjie_Pan\05-Raw_Data\Lab_results\[LabSamples2025_Bioplastic_extra.xlsx]extra_Bioplastic'!F254)</f>
        <v/>
      </c>
      <c r="G254">
        <f>IF(ISBLANK('Q:\Abteilungsprojekte\Eng\EngData\PROJECT_Bioplastics\Renjie_Pan\05-Raw_Data\Lab_results\[LabSamples2025_Bioplastic_extra.xlsx]extra_Bioplastic'!G254)," ",'Q:\Abteilungsprojekte\Eng\EngData\PROJECT_Bioplastics\Renjie_Pan\05-Raw_Data\Lab_results\[LabSamples2025_Bioplastic_extra.xlsx]extra_Bioplastic'!G254)</f>
        <v/>
      </c>
      <c r="H254">
        <f>IF(ISBLANK('Q:\Abteilungsprojekte\Eng\EngData\PROJECT_Bioplastics\Renjie_Pan\05-Raw_Data\Lab_results\[LabSamples2025_Bioplastic_extra.xlsx]extra_Bioplastic'!H254)," ",'Q:\Abteilungsprojekte\Eng\EngData\PROJECT_Bioplastics\Renjie_Pan\05-Raw_Data\Lab_results\[LabSamples2025_Bioplastic_extra.xlsx]extra_Bioplastic'!H254)</f>
        <v/>
      </c>
    </row>
    <row r="255">
      <c r="A255">
        <f>IF(ISBLANK('Q:\Abteilungsprojekte\Eng\EngData\PROJECT_Bioplastics\Renjie_Pan\05-Raw_Data\Lab_results\[LabSamples2025_Bioplastic_extra.xlsx]extra_Bioplastic'!A255)," ",'Q:\Abteilungsprojekte\Eng\EngData\PROJECT_Bioplastics\Renjie_Pan\05-Raw_Data\Lab_results\[LabSamples2025_Bioplastic_extra.xlsx]extra_Bioplastic'!A255)</f>
        <v/>
      </c>
      <c r="B255">
        <f>IF(ISBLANK('Q:\Abteilungsprojekte\Eng\EngData\PROJECT_Bioplastics\Renjie_Pan\05-Raw_Data\Lab_results\[LabSamples2025_Bioplastic_extra.xlsx]extra_Bioplastic'!B255)," ",'Q:\Abteilungsprojekte\Eng\EngData\PROJECT_Bioplastics\Renjie_Pan\05-Raw_Data\Lab_results\[LabSamples2025_Bioplastic_extra.xlsx]extra_Bioplastic'!B255)</f>
        <v/>
      </c>
      <c r="C255">
        <f>IF(ISBLANK('Q:\Abteilungsprojekte\Eng\EngData\PROJECT_Bioplastics\Renjie_Pan\05-Raw_Data\Lab_results\[LabSamples2025_Bioplastic_extra.xlsx]extra_Bioplastic'!C255)," ",'Q:\Abteilungsprojekte\Eng\EngData\PROJECT_Bioplastics\Renjie_Pan\05-Raw_Data\Lab_results\[LabSamples2025_Bioplastic_extra.xlsx]extra_Bioplastic'!C255)</f>
        <v/>
      </c>
      <c r="D255">
        <f>IF(ISBLANK('Q:\Abteilungsprojekte\Eng\EngData\PROJECT_Bioplastics\Renjie_Pan\05-Raw_Data\Lab_results\[LabSamples2025_Bioplastic_extra.xlsx]extra_Bioplastic'!D255)," ",'Q:\Abteilungsprojekte\Eng\EngData\PROJECT_Bioplastics\Renjie_Pan\05-Raw_Data\Lab_results\[LabSamples2025_Bioplastic_extra.xlsx]extra_Bioplastic'!D255)</f>
        <v/>
      </c>
      <c r="E255">
        <f>IF(ISBLANK('Q:\Abteilungsprojekte\Eng\EngData\PROJECT_Bioplastics\Renjie_Pan\05-Raw_Data\Lab_results\[LabSamples2025_Bioplastic_extra.xlsx]extra_Bioplastic'!E255)," ",'Q:\Abteilungsprojekte\Eng\EngData\PROJECT_Bioplastics\Renjie_Pan\05-Raw_Data\Lab_results\[LabSamples2025_Bioplastic_extra.xlsx]extra_Bioplastic'!E255)</f>
        <v/>
      </c>
      <c r="F255">
        <f>IF(ISBLANK('Q:\Abteilungsprojekte\Eng\EngData\PROJECT_Bioplastics\Renjie_Pan\05-Raw_Data\Lab_results\[LabSamples2025_Bioplastic_extra.xlsx]extra_Bioplastic'!F255)," ",'Q:\Abteilungsprojekte\Eng\EngData\PROJECT_Bioplastics\Renjie_Pan\05-Raw_Data\Lab_results\[LabSamples2025_Bioplastic_extra.xlsx]extra_Bioplastic'!F255)</f>
        <v/>
      </c>
      <c r="G255">
        <f>IF(ISBLANK('Q:\Abteilungsprojekte\Eng\EngData\PROJECT_Bioplastics\Renjie_Pan\05-Raw_Data\Lab_results\[LabSamples2025_Bioplastic_extra.xlsx]extra_Bioplastic'!G255)," ",'Q:\Abteilungsprojekte\Eng\EngData\PROJECT_Bioplastics\Renjie_Pan\05-Raw_Data\Lab_results\[LabSamples2025_Bioplastic_extra.xlsx]extra_Bioplastic'!G255)</f>
        <v/>
      </c>
      <c r="H255">
        <f>IF(ISBLANK('Q:\Abteilungsprojekte\Eng\EngData\PROJECT_Bioplastics\Renjie_Pan\05-Raw_Data\Lab_results\[LabSamples2025_Bioplastic_extra.xlsx]extra_Bioplastic'!H255)," ",'Q:\Abteilungsprojekte\Eng\EngData\PROJECT_Bioplastics\Renjie_Pan\05-Raw_Data\Lab_results\[LabSamples2025_Bioplastic_extra.xlsx]extra_Bioplastic'!H255)</f>
        <v/>
      </c>
    </row>
    <row r="256">
      <c r="A256">
        <f>IF(ISBLANK('Q:\Abteilungsprojekte\Eng\EngData\PROJECT_Bioplastics\Renjie_Pan\05-Raw_Data\Lab_results\[LabSamples2025_Bioplastic_extra.xlsx]extra_Bioplastic'!A256)," ",'Q:\Abteilungsprojekte\Eng\EngData\PROJECT_Bioplastics\Renjie_Pan\05-Raw_Data\Lab_results\[LabSamples2025_Bioplastic_extra.xlsx]extra_Bioplastic'!A256)</f>
        <v/>
      </c>
      <c r="B256">
        <f>IF(ISBLANK('Q:\Abteilungsprojekte\Eng\EngData\PROJECT_Bioplastics\Renjie_Pan\05-Raw_Data\Lab_results\[LabSamples2025_Bioplastic_extra.xlsx]extra_Bioplastic'!B256)," ",'Q:\Abteilungsprojekte\Eng\EngData\PROJECT_Bioplastics\Renjie_Pan\05-Raw_Data\Lab_results\[LabSamples2025_Bioplastic_extra.xlsx]extra_Bioplastic'!B256)</f>
        <v/>
      </c>
      <c r="C256">
        <f>IF(ISBLANK('Q:\Abteilungsprojekte\Eng\EngData\PROJECT_Bioplastics\Renjie_Pan\05-Raw_Data\Lab_results\[LabSamples2025_Bioplastic_extra.xlsx]extra_Bioplastic'!C256)," ",'Q:\Abteilungsprojekte\Eng\EngData\PROJECT_Bioplastics\Renjie_Pan\05-Raw_Data\Lab_results\[LabSamples2025_Bioplastic_extra.xlsx]extra_Bioplastic'!C256)</f>
        <v/>
      </c>
      <c r="D256">
        <f>IF(ISBLANK('Q:\Abteilungsprojekte\Eng\EngData\PROJECT_Bioplastics\Renjie_Pan\05-Raw_Data\Lab_results\[LabSamples2025_Bioplastic_extra.xlsx]extra_Bioplastic'!D256)," ",'Q:\Abteilungsprojekte\Eng\EngData\PROJECT_Bioplastics\Renjie_Pan\05-Raw_Data\Lab_results\[LabSamples2025_Bioplastic_extra.xlsx]extra_Bioplastic'!D256)</f>
        <v/>
      </c>
      <c r="E256">
        <f>IF(ISBLANK('Q:\Abteilungsprojekte\Eng\EngData\PROJECT_Bioplastics\Renjie_Pan\05-Raw_Data\Lab_results\[LabSamples2025_Bioplastic_extra.xlsx]extra_Bioplastic'!E256)," ",'Q:\Abteilungsprojekte\Eng\EngData\PROJECT_Bioplastics\Renjie_Pan\05-Raw_Data\Lab_results\[LabSamples2025_Bioplastic_extra.xlsx]extra_Bioplastic'!E256)</f>
        <v/>
      </c>
      <c r="F256">
        <f>IF(ISBLANK('Q:\Abteilungsprojekte\Eng\EngData\PROJECT_Bioplastics\Renjie_Pan\05-Raw_Data\Lab_results\[LabSamples2025_Bioplastic_extra.xlsx]extra_Bioplastic'!F256)," ",'Q:\Abteilungsprojekte\Eng\EngData\PROJECT_Bioplastics\Renjie_Pan\05-Raw_Data\Lab_results\[LabSamples2025_Bioplastic_extra.xlsx]extra_Bioplastic'!F256)</f>
        <v/>
      </c>
      <c r="G256">
        <f>IF(ISBLANK('Q:\Abteilungsprojekte\Eng\EngData\PROJECT_Bioplastics\Renjie_Pan\05-Raw_Data\Lab_results\[LabSamples2025_Bioplastic_extra.xlsx]extra_Bioplastic'!G256)," ",'Q:\Abteilungsprojekte\Eng\EngData\PROJECT_Bioplastics\Renjie_Pan\05-Raw_Data\Lab_results\[LabSamples2025_Bioplastic_extra.xlsx]extra_Bioplastic'!G256)</f>
        <v/>
      </c>
      <c r="H256">
        <f>IF(ISBLANK('Q:\Abteilungsprojekte\Eng\EngData\PROJECT_Bioplastics\Renjie_Pan\05-Raw_Data\Lab_results\[LabSamples2025_Bioplastic_extra.xlsx]extra_Bioplastic'!H256)," ",'Q:\Abteilungsprojekte\Eng\EngData\PROJECT_Bioplastics\Renjie_Pan\05-Raw_Data\Lab_results\[LabSamples2025_Bioplastic_extra.xlsx]extra_Bioplastic'!H256)</f>
        <v/>
      </c>
    </row>
    <row r="257">
      <c r="A257">
        <f>IF(ISBLANK('Q:\Abteilungsprojekte\Eng\EngData\PROJECT_Bioplastics\Renjie_Pan\05-Raw_Data\Lab_results\[LabSamples2025_Bioplastic_extra.xlsx]extra_Bioplastic'!A257)," ",'Q:\Abteilungsprojekte\Eng\EngData\PROJECT_Bioplastics\Renjie_Pan\05-Raw_Data\Lab_results\[LabSamples2025_Bioplastic_extra.xlsx]extra_Bioplastic'!A257)</f>
        <v/>
      </c>
      <c r="B257">
        <f>IF(ISBLANK('Q:\Abteilungsprojekte\Eng\EngData\PROJECT_Bioplastics\Renjie_Pan\05-Raw_Data\Lab_results\[LabSamples2025_Bioplastic_extra.xlsx]extra_Bioplastic'!B257)," ",'Q:\Abteilungsprojekte\Eng\EngData\PROJECT_Bioplastics\Renjie_Pan\05-Raw_Data\Lab_results\[LabSamples2025_Bioplastic_extra.xlsx]extra_Bioplastic'!B257)</f>
        <v/>
      </c>
      <c r="C257">
        <f>IF(ISBLANK('Q:\Abteilungsprojekte\Eng\EngData\PROJECT_Bioplastics\Renjie_Pan\05-Raw_Data\Lab_results\[LabSamples2025_Bioplastic_extra.xlsx]extra_Bioplastic'!C257)," ",'Q:\Abteilungsprojekte\Eng\EngData\PROJECT_Bioplastics\Renjie_Pan\05-Raw_Data\Lab_results\[LabSamples2025_Bioplastic_extra.xlsx]extra_Bioplastic'!C257)</f>
        <v/>
      </c>
      <c r="D257">
        <f>IF(ISBLANK('Q:\Abteilungsprojekte\Eng\EngData\PROJECT_Bioplastics\Renjie_Pan\05-Raw_Data\Lab_results\[LabSamples2025_Bioplastic_extra.xlsx]extra_Bioplastic'!D257)," ",'Q:\Abteilungsprojekte\Eng\EngData\PROJECT_Bioplastics\Renjie_Pan\05-Raw_Data\Lab_results\[LabSamples2025_Bioplastic_extra.xlsx]extra_Bioplastic'!D257)</f>
        <v/>
      </c>
      <c r="E257">
        <f>IF(ISBLANK('Q:\Abteilungsprojekte\Eng\EngData\PROJECT_Bioplastics\Renjie_Pan\05-Raw_Data\Lab_results\[LabSamples2025_Bioplastic_extra.xlsx]extra_Bioplastic'!E257)," ",'Q:\Abteilungsprojekte\Eng\EngData\PROJECT_Bioplastics\Renjie_Pan\05-Raw_Data\Lab_results\[LabSamples2025_Bioplastic_extra.xlsx]extra_Bioplastic'!E257)</f>
        <v/>
      </c>
      <c r="F257">
        <f>IF(ISBLANK('Q:\Abteilungsprojekte\Eng\EngData\PROJECT_Bioplastics\Renjie_Pan\05-Raw_Data\Lab_results\[LabSamples2025_Bioplastic_extra.xlsx]extra_Bioplastic'!F257)," ",'Q:\Abteilungsprojekte\Eng\EngData\PROJECT_Bioplastics\Renjie_Pan\05-Raw_Data\Lab_results\[LabSamples2025_Bioplastic_extra.xlsx]extra_Bioplastic'!F257)</f>
        <v/>
      </c>
      <c r="G257">
        <f>IF(ISBLANK('Q:\Abteilungsprojekte\Eng\EngData\PROJECT_Bioplastics\Renjie_Pan\05-Raw_Data\Lab_results\[LabSamples2025_Bioplastic_extra.xlsx]extra_Bioplastic'!G257)," ",'Q:\Abteilungsprojekte\Eng\EngData\PROJECT_Bioplastics\Renjie_Pan\05-Raw_Data\Lab_results\[LabSamples2025_Bioplastic_extra.xlsx]extra_Bioplastic'!G257)</f>
        <v/>
      </c>
      <c r="H257">
        <f>IF(ISBLANK('Q:\Abteilungsprojekte\Eng\EngData\PROJECT_Bioplastics\Renjie_Pan\05-Raw_Data\Lab_results\[LabSamples2025_Bioplastic_extra.xlsx]extra_Bioplastic'!H257)," ",'Q:\Abteilungsprojekte\Eng\EngData\PROJECT_Bioplastics\Renjie_Pan\05-Raw_Data\Lab_results\[LabSamples2025_Bioplastic_extra.xlsx]extra_Bioplastic'!H257)</f>
        <v/>
      </c>
    </row>
    <row r="258">
      <c r="A258">
        <f>IF(ISBLANK('Q:\Abteilungsprojekte\Eng\EngData\PROJECT_Bioplastics\Renjie_Pan\05-Raw_Data\Lab_results\[LabSamples2025_Bioplastic_extra.xlsx]extra_Bioplastic'!A258)," ",'Q:\Abteilungsprojekte\Eng\EngData\PROJECT_Bioplastics\Renjie_Pan\05-Raw_Data\Lab_results\[LabSamples2025_Bioplastic_extra.xlsx]extra_Bioplastic'!A258)</f>
        <v/>
      </c>
      <c r="B258">
        <f>IF(ISBLANK('Q:\Abteilungsprojekte\Eng\EngData\PROJECT_Bioplastics\Renjie_Pan\05-Raw_Data\Lab_results\[LabSamples2025_Bioplastic_extra.xlsx]extra_Bioplastic'!B258)," ",'Q:\Abteilungsprojekte\Eng\EngData\PROJECT_Bioplastics\Renjie_Pan\05-Raw_Data\Lab_results\[LabSamples2025_Bioplastic_extra.xlsx]extra_Bioplastic'!B258)</f>
        <v/>
      </c>
      <c r="C258">
        <f>IF(ISBLANK('Q:\Abteilungsprojekte\Eng\EngData\PROJECT_Bioplastics\Renjie_Pan\05-Raw_Data\Lab_results\[LabSamples2025_Bioplastic_extra.xlsx]extra_Bioplastic'!C258)," ",'Q:\Abteilungsprojekte\Eng\EngData\PROJECT_Bioplastics\Renjie_Pan\05-Raw_Data\Lab_results\[LabSamples2025_Bioplastic_extra.xlsx]extra_Bioplastic'!C258)</f>
        <v/>
      </c>
      <c r="D258">
        <f>IF(ISBLANK('Q:\Abteilungsprojekte\Eng\EngData\PROJECT_Bioplastics\Renjie_Pan\05-Raw_Data\Lab_results\[LabSamples2025_Bioplastic_extra.xlsx]extra_Bioplastic'!D258)," ",'Q:\Abteilungsprojekte\Eng\EngData\PROJECT_Bioplastics\Renjie_Pan\05-Raw_Data\Lab_results\[LabSamples2025_Bioplastic_extra.xlsx]extra_Bioplastic'!D258)</f>
        <v/>
      </c>
      <c r="E258">
        <f>IF(ISBLANK('Q:\Abteilungsprojekte\Eng\EngData\PROJECT_Bioplastics\Renjie_Pan\05-Raw_Data\Lab_results\[LabSamples2025_Bioplastic_extra.xlsx]extra_Bioplastic'!E258)," ",'Q:\Abteilungsprojekte\Eng\EngData\PROJECT_Bioplastics\Renjie_Pan\05-Raw_Data\Lab_results\[LabSamples2025_Bioplastic_extra.xlsx]extra_Bioplastic'!E258)</f>
        <v/>
      </c>
      <c r="F258">
        <f>IF(ISBLANK('Q:\Abteilungsprojekte\Eng\EngData\PROJECT_Bioplastics\Renjie_Pan\05-Raw_Data\Lab_results\[LabSamples2025_Bioplastic_extra.xlsx]extra_Bioplastic'!F258)," ",'Q:\Abteilungsprojekte\Eng\EngData\PROJECT_Bioplastics\Renjie_Pan\05-Raw_Data\Lab_results\[LabSamples2025_Bioplastic_extra.xlsx]extra_Bioplastic'!F258)</f>
        <v/>
      </c>
      <c r="G258">
        <f>IF(ISBLANK('Q:\Abteilungsprojekte\Eng\EngData\PROJECT_Bioplastics\Renjie_Pan\05-Raw_Data\Lab_results\[LabSamples2025_Bioplastic_extra.xlsx]extra_Bioplastic'!G258)," ",'Q:\Abteilungsprojekte\Eng\EngData\PROJECT_Bioplastics\Renjie_Pan\05-Raw_Data\Lab_results\[LabSamples2025_Bioplastic_extra.xlsx]extra_Bioplastic'!G258)</f>
        <v/>
      </c>
      <c r="H258">
        <f>IF(ISBLANK('Q:\Abteilungsprojekte\Eng\EngData\PROJECT_Bioplastics\Renjie_Pan\05-Raw_Data\Lab_results\[LabSamples2025_Bioplastic_extra.xlsx]extra_Bioplastic'!H258)," ",'Q:\Abteilungsprojekte\Eng\EngData\PROJECT_Bioplastics\Renjie_Pan\05-Raw_Data\Lab_results\[LabSamples2025_Bioplastic_extra.xlsx]extra_Bioplastic'!H258)</f>
        <v/>
      </c>
    </row>
    <row r="259">
      <c r="A259">
        <f>IF(ISBLANK('Q:\Abteilungsprojekte\Eng\EngData\PROJECT_Bioplastics\Renjie_Pan\05-Raw_Data\Lab_results\[LabSamples2025_Bioplastic_extra.xlsx]extra_Bioplastic'!A259)," ",'Q:\Abteilungsprojekte\Eng\EngData\PROJECT_Bioplastics\Renjie_Pan\05-Raw_Data\Lab_results\[LabSamples2025_Bioplastic_extra.xlsx]extra_Bioplastic'!A259)</f>
        <v/>
      </c>
      <c r="B259">
        <f>IF(ISBLANK('Q:\Abteilungsprojekte\Eng\EngData\PROJECT_Bioplastics\Renjie_Pan\05-Raw_Data\Lab_results\[LabSamples2025_Bioplastic_extra.xlsx]extra_Bioplastic'!B259)," ",'Q:\Abteilungsprojekte\Eng\EngData\PROJECT_Bioplastics\Renjie_Pan\05-Raw_Data\Lab_results\[LabSamples2025_Bioplastic_extra.xlsx]extra_Bioplastic'!B259)</f>
        <v/>
      </c>
      <c r="C259">
        <f>IF(ISBLANK('Q:\Abteilungsprojekte\Eng\EngData\PROJECT_Bioplastics\Renjie_Pan\05-Raw_Data\Lab_results\[LabSamples2025_Bioplastic_extra.xlsx]extra_Bioplastic'!C259)," ",'Q:\Abteilungsprojekte\Eng\EngData\PROJECT_Bioplastics\Renjie_Pan\05-Raw_Data\Lab_results\[LabSamples2025_Bioplastic_extra.xlsx]extra_Bioplastic'!C259)</f>
        <v/>
      </c>
      <c r="D259">
        <f>IF(ISBLANK('Q:\Abteilungsprojekte\Eng\EngData\PROJECT_Bioplastics\Renjie_Pan\05-Raw_Data\Lab_results\[LabSamples2025_Bioplastic_extra.xlsx]extra_Bioplastic'!D259)," ",'Q:\Abteilungsprojekte\Eng\EngData\PROJECT_Bioplastics\Renjie_Pan\05-Raw_Data\Lab_results\[LabSamples2025_Bioplastic_extra.xlsx]extra_Bioplastic'!D259)</f>
        <v/>
      </c>
      <c r="E259">
        <f>IF(ISBLANK('Q:\Abteilungsprojekte\Eng\EngData\PROJECT_Bioplastics\Renjie_Pan\05-Raw_Data\Lab_results\[LabSamples2025_Bioplastic_extra.xlsx]extra_Bioplastic'!E259)," ",'Q:\Abteilungsprojekte\Eng\EngData\PROJECT_Bioplastics\Renjie_Pan\05-Raw_Data\Lab_results\[LabSamples2025_Bioplastic_extra.xlsx]extra_Bioplastic'!E259)</f>
        <v/>
      </c>
      <c r="F259">
        <f>IF(ISBLANK('Q:\Abteilungsprojekte\Eng\EngData\PROJECT_Bioplastics\Renjie_Pan\05-Raw_Data\Lab_results\[LabSamples2025_Bioplastic_extra.xlsx]extra_Bioplastic'!F259)," ",'Q:\Abteilungsprojekte\Eng\EngData\PROJECT_Bioplastics\Renjie_Pan\05-Raw_Data\Lab_results\[LabSamples2025_Bioplastic_extra.xlsx]extra_Bioplastic'!F259)</f>
        <v/>
      </c>
      <c r="G259">
        <f>IF(ISBLANK('Q:\Abteilungsprojekte\Eng\EngData\PROJECT_Bioplastics\Renjie_Pan\05-Raw_Data\Lab_results\[LabSamples2025_Bioplastic_extra.xlsx]extra_Bioplastic'!G259)," ",'Q:\Abteilungsprojekte\Eng\EngData\PROJECT_Bioplastics\Renjie_Pan\05-Raw_Data\Lab_results\[LabSamples2025_Bioplastic_extra.xlsx]extra_Bioplastic'!G259)</f>
        <v/>
      </c>
      <c r="H259">
        <f>IF(ISBLANK('Q:\Abteilungsprojekte\Eng\EngData\PROJECT_Bioplastics\Renjie_Pan\05-Raw_Data\Lab_results\[LabSamples2025_Bioplastic_extra.xlsx]extra_Bioplastic'!H259)," ",'Q:\Abteilungsprojekte\Eng\EngData\PROJECT_Bioplastics\Renjie_Pan\05-Raw_Data\Lab_results\[LabSamples2025_Bioplastic_extra.xlsx]extra_Bioplastic'!H259)</f>
        <v/>
      </c>
    </row>
    <row r="260">
      <c r="A260">
        <f>IF(ISBLANK('Q:\Abteilungsprojekte\Eng\EngData\PROJECT_Bioplastics\Renjie_Pan\05-Raw_Data\Lab_results\[LabSamples2025_Bioplastic_extra.xlsx]extra_Bioplastic'!A260)," ",'Q:\Abteilungsprojekte\Eng\EngData\PROJECT_Bioplastics\Renjie_Pan\05-Raw_Data\Lab_results\[LabSamples2025_Bioplastic_extra.xlsx]extra_Bioplastic'!A260)</f>
        <v/>
      </c>
      <c r="B260">
        <f>IF(ISBLANK('Q:\Abteilungsprojekte\Eng\EngData\PROJECT_Bioplastics\Renjie_Pan\05-Raw_Data\Lab_results\[LabSamples2025_Bioplastic_extra.xlsx]extra_Bioplastic'!B260)," ",'Q:\Abteilungsprojekte\Eng\EngData\PROJECT_Bioplastics\Renjie_Pan\05-Raw_Data\Lab_results\[LabSamples2025_Bioplastic_extra.xlsx]extra_Bioplastic'!B260)</f>
        <v/>
      </c>
      <c r="C260">
        <f>IF(ISBLANK('Q:\Abteilungsprojekte\Eng\EngData\PROJECT_Bioplastics\Renjie_Pan\05-Raw_Data\Lab_results\[LabSamples2025_Bioplastic_extra.xlsx]extra_Bioplastic'!C260)," ",'Q:\Abteilungsprojekte\Eng\EngData\PROJECT_Bioplastics\Renjie_Pan\05-Raw_Data\Lab_results\[LabSamples2025_Bioplastic_extra.xlsx]extra_Bioplastic'!C260)</f>
        <v/>
      </c>
      <c r="D260">
        <f>IF(ISBLANK('Q:\Abteilungsprojekte\Eng\EngData\PROJECT_Bioplastics\Renjie_Pan\05-Raw_Data\Lab_results\[LabSamples2025_Bioplastic_extra.xlsx]extra_Bioplastic'!D260)," ",'Q:\Abteilungsprojekte\Eng\EngData\PROJECT_Bioplastics\Renjie_Pan\05-Raw_Data\Lab_results\[LabSamples2025_Bioplastic_extra.xlsx]extra_Bioplastic'!D260)</f>
        <v/>
      </c>
      <c r="E260">
        <f>IF(ISBLANK('Q:\Abteilungsprojekte\Eng\EngData\PROJECT_Bioplastics\Renjie_Pan\05-Raw_Data\Lab_results\[LabSamples2025_Bioplastic_extra.xlsx]extra_Bioplastic'!E260)," ",'Q:\Abteilungsprojekte\Eng\EngData\PROJECT_Bioplastics\Renjie_Pan\05-Raw_Data\Lab_results\[LabSamples2025_Bioplastic_extra.xlsx]extra_Bioplastic'!E260)</f>
        <v/>
      </c>
      <c r="F260">
        <f>IF(ISBLANK('Q:\Abteilungsprojekte\Eng\EngData\PROJECT_Bioplastics\Renjie_Pan\05-Raw_Data\Lab_results\[LabSamples2025_Bioplastic_extra.xlsx]extra_Bioplastic'!F260)," ",'Q:\Abteilungsprojekte\Eng\EngData\PROJECT_Bioplastics\Renjie_Pan\05-Raw_Data\Lab_results\[LabSamples2025_Bioplastic_extra.xlsx]extra_Bioplastic'!F260)</f>
        <v/>
      </c>
      <c r="G260">
        <f>IF(ISBLANK('Q:\Abteilungsprojekte\Eng\EngData\PROJECT_Bioplastics\Renjie_Pan\05-Raw_Data\Lab_results\[LabSamples2025_Bioplastic_extra.xlsx]extra_Bioplastic'!G260)," ",'Q:\Abteilungsprojekte\Eng\EngData\PROJECT_Bioplastics\Renjie_Pan\05-Raw_Data\Lab_results\[LabSamples2025_Bioplastic_extra.xlsx]extra_Bioplastic'!G260)</f>
        <v/>
      </c>
      <c r="H260">
        <f>IF(ISBLANK('Q:\Abteilungsprojekte\Eng\EngData\PROJECT_Bioplastics\Renjie_Pan\05-Raw_Data\Lab_results\[LabSamples2025_Bioplastic_extra.xlsx]extra_Bioplastic'!H260)," ",'Q:\Abteilungsprojekte\Eng\EngData\PROJECT_Bioplastics\Renjie_Pan\05-Raw_Data\Lab_results\[LabSamples2025_Bioplastic_extra.xlsx]extra_Bioplastic'!H260)</f>
        <v/>
      </c>
    </row>
    <row r="261">
      <c r="A261">
        <f>IF(ISBLANK('Q:\Abteilungsprojekte\Eng\EngData\PROJECT_Bioplastics\Renjie_Pan\05-Raw_Data\Lab_results\[LabSamples2025_Bioplastic_extra.xlsx]extra_Bioplastic'!A261)," ",'Q:\Abteilungsprojekte\Eng\EngData\PROJECT_Bioplastics\Renjie_Pan\05-Raw_Data\Lab_results\[LabSamples2025_Bioplastic_extra.xlsx]extra_Bioplastic'!A261)</f>
        <v/>
      </c>
      <c r="B261">
        <f>IF(ISBLANK('Q:\Abteilungsprojekte\Eng\EngData\PROJECT_Bioplastics\Renjie_Pan\05-Raw_Data\Lab_results\[LabSamples2025_Bioplastic_extra.xlsx]extra_Bioplastic'!B261)," ",'Q:\Abteilungsprojekte\Eng\EngData\PROJECT_Bioplastics\Renjie_Pan\05-Raw_Data\Lab_results\[LabSamples2025_Bioplastic_extra.xlsx]extra_Bioplastic'!B261)</f>
        <v/>
      </c>
      <c r="C261">
        <f>IF(ISBLANK('Q:\Abteilungsprojekte\Eng\EngData\PROJECT_Bioplastics\Renjie_Pan\05-Raw_Data\Lab_results\[LabSamples2025_Bioplastic_extra.xlsx]extra_Bioplastic'!C261)," ",'Q:\Abteilungsprojekte\Eng\EngData\PROJECT_Bioplastics\Renjie_Pan\05-Raw_Data\Lab_results\[LabSamples2025_Bioplastic_extra.xlsx]extra_Bioplastic'!C261)</f>
        <v/>
      </c>
      <c r="D261">
        <f>IF(ISBLANK('Q:\Abteilungsprojekte\Eng\EngData\PROJECT_Bioplastics\Renjie_Pan\05-Raw_Data\Lab_results\[LabSamples2025_Bioplastic_extra.xlsx]extra_Bioplastic'!D261)," ",'Q:\Abteilungsprojekte\Eng\EngData\PROJECT_Bioplastics\Renjie_Pan\05-Raw_Data\Lab_results\[LabSamples2025_Bioplastic_extra.xlsx]extra_Bioplastic'!D261)</f>
        <v/>
      </c>
      <c r="E261">
        <f>IF(ISBLANK('Q:\Abteilungsprojekte\Eng\EngData\PROJECT_Bioplastics\Renjie_Pan\05-Raw_Data\Lab_results\[LabSamples2025_Bioplastic_extra.xlsx]extra_Bioplastic'!E261)," ",'Q:\Abteilungsprojekte\Eng\EngData\PROJECT_Bioplastics\Renjie_Pan\05-Raw_Data\Lab_results\[LabSamples2025_Bioplastic_extra.xlsx]extra_Bioplastic'!E261)</f>
        <v/>
      </c>
      <c r="F261">
        <f>IF(ISBLANK('Q:\Abteilungsprojekte\Eng\EngData\PROJECT_Bioplastics\Renjie_Pan\05-Raw_Data\Lab_results\[LabSamples2025_Bioplastic_extra.xlsx]extra_Bioplastic'!F261)," ",'Q:\Abteilungsprojekte\Eng\EngData\PROJECT_Bioplastics\Renjie_Pan\05-Raw_Data\Lab_results\[LabSamples2025_Bioplastic_extra.xlsx]extra_Bioplastic'!F261)</f>
        <v/>
      </c>
      <c r="G261">
        <f>IF(ISBLANK('Q:\Abteilungsprojekte\Eng\EngData\PROJECT_Bioplastics\Renjie_Pan\05-Raw_Data\Lab_results\[LabSamples2025_Bioplastic_extra.xlsx]extra_Bioplastic'!G261)," ",'Q:\Abteilungsprojekte\Eng\EngData\PROJECT_Bioplastics\Renjie_Pan\05-Raw_Data\Lab_results\[LabSamples2025_Bioplastic_extra.xlsx]extra_Bioplastic'!G261)</f>
        <v/>
      </c>
      <c r="H261">
        <f>IF(ISBLANK('Q:\Abteilungsprojekte\Eng\EngData\PROJECT_Bioplastics\Renjie_Pan\05-Raw_Data\Lab_results\[LabSamples2025_Bioplastic_extra.xlsx]extra_Bioplastic'!H261)," ",'Q:\Abteilungsprojekte\Eng\EngData\PROJECT_Bioplastics\Renjie_Pan\05-Raw_Data\Lab_results\[LabSamples2025_Bioplastic_extra.xlsx]extra_Bioplastic'!H261)</f>
        <v/>
      </c>
    </row>
    <row r="262">
      <c r="A262">
        <f>IF(ISBLANK('Q:\Abteilungsprojekte\Eng\EngData\PROJECT_Bioplastics\Renjie_Pan\05-Raw_Data\Lab_results\[LabSamples2025_Bioplastic_extra.xlsx]extra_Bioplastic'!A262)," ",'Q:\Abteilungsprojekte\Eng\EngData\PROJECT_Bioplastics\Renjie_Pan\05-Raw_Data\Lab_results\[LabSamples2025_Bioplastic_extra.xlsx]extra_Bioplastic'!A262)</f>
        <v/>
      </c>
      <c r="B262">
        <f>IF(ISBLANK('Q:\Abteilungsprojekte\Eng\EngData\PROJECT_Bioplastics\Renjie_Pan\05-Raw_Data\Lab_results\[LabSamples2025_Bioplastic_extra.xlsx]extra_Bioplastic'!B262)," ",'Q:\Abteilungsprojekte\Eng\EngData\PROJECT_Bioplastics\Renjie_Pan\05-Raw_Data\Lab_results\[LabSamples2025_Bioplastic_extra.xlsx]extra_Bioplastic'!B262)</f>
        <v/>
      </c>
      <c r="C262">
        <f>IF(ISBLANK('Q:\Abteilungsprojekte\Eng\EngData\PROJECT_Bioplastics\Renjie_Pan\05-Raw_Data\Lab_results\[LabSamples2025_Bioplastic_extra.xlsx]extra_Bioplastic'!C262)," ",'Q:\Abteilungsprojekte\Eng\EngData\PROJECT_Bioplastics\Renjie_Pan\05-Raw_Data\Lab_results\[LabSamples2025_Bioplastic_extra.xlsx]extra_Bioplastic'!C262)</f>
        <v/>
      </c>
      <c r="D262">
        <f>IF(ISBLANK('Q:\Abteilungsprojekte\Eng\EngData\PROJECT_Bioplastics\Renjie_Pan\05-Raw_Data\Lab_results\[LabSamples2025_Bioplastic_extra.xlsx]extra_Bioplastic'!D262)," ",'Q:\Abteilungsprojekte\Eng\EngData\PROJECT_Bioplastics\Renjie_Pan\05-Raw_Data\Lab_results\[LabSamples2025_Bioplastic_extra.xlsx]extra_Bioplastic'!D262)</f>
        <v/>
      </c>
      <c r="E262">
        <f>IF(ISBLANK('Q:\Abteilungsprojekte\Eng\EngData\PROJECT_Bioplastics\Renjie_Pan\05-Raw_Data\Lab_results\[LabSamples2025_Bioplastic_extra.xlsx]extra_Bioplastic'!E262)," ",'Q:\Abteilungsprojekte\Eng\EngData\PROJECT_Bioplastics\Renjie_Pan\05-Raw_Data\Lab_results\[LabSamples2025_Bioplastic_extra.xlsx]extra_Bioplastic'!E262)</f>
        <v/>
      </c>
      <c r="F262">
        <f>IF(ISBLANK('Q:\Abteilungsprojekte\Eng\EngData\PROJECT_Bioplastics\Renjie_Pan\05-Raw_Data\Lab_results\[LabSamples2025_Bioplastic_extra.xlsx]extra_Bioplastic'!F262)," ",'Q:\Abteilungsprojekte\Eng\EngData\PROJECT_Bioplastics\Renjie_Pan\05-Raw_Data\Lab_results\[LabSamples2025_Bioplastic_extra.xlsx]extra_Bioplastic'!F262)</f>
        <v/>
      </c>
      <c r="G262">
        <f>IF(ISBLANK('Q:\Abteilungsprojekte\Eng\EngData\PROJECT_Bioplastics\Renjie_Pan\05-Raw_Data\Lab_results\[LabSamples2025_Bioplastic_extra.xlsx]extra_Bioplastic'!G262)," ",'Q:\Abteilungsprojekte\Eng\EngData\PROJECT_Bioplastics\Renjie_Pan\05-Raw_Data\Lab_results\[LabSamples2025_Bioplastic_extra.xlsx]extra_Bioplastic'!G262)</f>
        <v/>
      </c>
      <c r="H262">
        <f>IF(ISBLANK('Q:\Abteilungsprojekte\Eng\EngData\PROJECT_Bioplastics\Renjie_Pan\05-Raw_Data\Lab_results\[LabSamples2025_Bioplastic_extra.xlsx]extra_Bioplastic'!H262)," ",'Q:\Abteilungsprojekte\Eng\EngData\PROJECT_Bioplastics\Renjie_Pan\05-Raw_Data\Lab_results\[LabSamples2025_Bioplastic_extra.xlsx]extra_Bioplastic'!H262)</f>
        <v/>
      </c>
    </row>
    <row r="263">
      <c r="A263">
        <f>IF(ISBLANK('Q:\Abteilungsprojekte\Eng\EngData\PROJECT_Bioplastics\Renjie_Pan\05-Raw_Data\Lab_results\[LabSamples2025_Bioplastic_extra.xlsx]extra_Bioplastic'!A263)," ",'Q:\Abteilungsprojekte\Eng\EngData\PROJECT_Bioplastics\Renjie_Pan\05-Raw_Data\Lab_results\[LabSamples2025_Bioplastic_extra.xlsx]extra_Bioplastic'!A263)</f>
        <v/>
      </c>
      <c r="B263">
        <f>IF(ISBLANK('Q:\Abteilungsprojekte\Eng\EngData\PROJECT_Bioplastics\Renjie_Pan\05-Raw_Data\Lab_results\[LabSamples2025_Bioplastic_extra.xlsx]extra_Bioplastic'!B263)," ",'Q:\Abteilungsprojekte\Eng\EngData\PROJECT_Bioplastics\Renjie_Pan\05-Raw_Data\Lab_results\[LabSamples2025_Bioplastic_extra.xlsx]extra_Bioplastic'!B263)</f>
        <v/>
      </c>
      <c r="C263">
        <f>IF(ISBLANK('Q:\Abteilungsprojekte\Eng\EngData\PROJECT_Bioplastics\Renjie_Pan\05-Raw_Data\Lab_results\[LabSamples2025_Bioplastic_extra.xlsx]extra_Bioplastic'!C263)," ",'Q:\Abteilungsprojekte\Eng\EngData\PROJECT_Bioplastics\Renjie_Pan\05-Raw_Data\Lab_results\[LabSamples2025_Bioplastic_extra.xlsx]extra_Bioplastic'!C263)</f>
        <v/>
      </c>
      <c r="D263">
        <f>IF(ISBLANK('Q:\Abteilungsprojekte\Eng\EngData\PROJECT_Bioplastics\Renjie_Pan\05-Raw_Data\Lab_results\[LabSamples2025_Bioplastic_extra.xlsx]extra_Bioplastic'!D263)," ",'Q:\Abteilungsprojekte\Eng\EngData\PROJECT_Bioplastics\Renjie_Pan\05-Raw_Data\Lab_results\[LabSamples2025_Bioplastic_extra.xlsx]extra_Bioplastic'!D263)</f>
        <v/>
      </c>
      <c r="E263">
        <f>IF(ISBLANK('Q:\Abteilungsprojekte\Eng\EngData\PROJECT_Bioplastics\Renjie_Pan\05-Raw_Data\Lab_results\[LabSamples2025_Bioplastic_extra.xlsx]extra_Bioplastic'!E263)," ",'Q:\Abteilungsprojekte\Eng\EngData\PROJECT_Bioplastics\Renjie_Pan\05-Raw_Data\Lab_results\[LabSamples2025_Bioplastic_extra.xlsx]extra_Bioplastic'!E263)</f>
        <v/>
      </c>
      <c r="F263">
        <f>IF(ISBLANK('Q:\Abteilungsprojekte\Eng\EngData\PROJECT_Bioplastics\Renjie_Pan\05-Raw_Data\Lab_results\[LabSamples2025_Bioplastic_extra.xlsx]extra_Bioplastic'!F263)," ",'Q:\Abteilungsprojekte\Eng\EngData\PROJECT_Bioplastics\Renjie_Pan\05-Raw_Data\Lab_results\[LabSamples2025_Bioplastic_extra.xlsx]extra_Bioplastic'!F263)</f>
        <v/>
      </c>
      <c r="G263">
        <f>IF(ISBLANK('Q:\Abteilungsprojekte\Eng\EngData\PROJECT_Bioplastics\Renjie_Pan\05-Raw_Data\Lab_results\[LabSamples2025_Bioplastic_extra.xlsx]extra_Bioplastic'!G263)," ",'Q:\Abteilungsprojekte\Eng\EngData\PROJECT_Bioplastics\Renjie_Pan\05-Raw_Data\Lab_results\[LabSamples2025_Bioplastic_extra.xlsx]extra_Bioplastic'!G263)</f>
        <v/>
      </c>
      <c r="H263">
        <f>IF(ISBLANK('Q:\Abteilungsprojekte\Eng\EngData\PROJECT_Bioplastics\Renjie_Pan\05-Raw_Data\Lab_results\[LabSamples2025_Bioplastic_extra.xlsx]extra_Bioplastic'!H263)," ",'Q:\Abteilungsprojekte\Eng\EngData\PROJECT_Bioplastics\Renjie_Pan\05-Raw_Data\Lab_results\[LabSamples2025_Bioplastic_extra.xlsx]extra_Bioplastic'!H263)</f>
        <v/>
      </c>
    </row>
    <row r="264">
      <c r="A264">
        <f>IF(ISBLANK('Q:\Abteilungsprojekte\Eng\EngData\PROJECT_Bioplastics\Renjie_Pan\05-Raw_Data\Lab_results\[LabSamples2025_Bioplastic_extra.xlsx]extra_Bioplastic'!A264)," ",'Q:\Abteilungsprojekte\Eng\EngData\PROJECT_Bioplastics\Renjie_Pan\05-Raw_Data\Lab_results\[LabSamples2025_Bioplastic_extra.xlsx]extra_Bioplastic'!A264)</f>
        <v/>
      </c>
      <c r="B264">
        <f>IF(ISBLANK('Q:\Abteilungsprojekte\Eng\EngData\PROJECT_Bioplastics\Renjie_Pan\05-Raw_Data\Lab_results\[LabSamples2025_Bioplastic_extra.xlsx]extra_Bioplastic'!B264)," ",'Q:\Abteilungsprojekte\Eng\EngData\PROJECT_Bioplastics\Renjie_Pan\05-Raw_Data\Lab_results\[LabSamples2025_Bioplastic_extra.xlsx]extra_Bioplastic'!B264)</f>
        <v/>
      </c>
      <c r="C264">
        <f>IF(ISBLANK('Q:\Abteilungsprojekte\Eng\EngData\PROJECT_Bioplastics\Renjie_Pan\05-Raw_Data\Lab_results\[LabSamples2025_Bioplastic_extra.xlsx]extra_Bioplastic'!C264)," ",'Q:\Abteilungsprojekte\Eng\EngData\PROJECT_Bioplastics\Renjie_Pan\05-Raw_Data\Lab_results\[LabSamples2025_Bioplastic_extra.xlsx]extra_Bioplastic'!C264)</f>
        <v/>
      </c>
      <c r="D264">
        <f>IF(ISBLANK('Q:\Abteilungsprojekte\Eng\EngData\PROJECT_Bioplastics\Renjie_Pan\05-Raw_Data\Lab_results\[LabSamples2025_Bioplastic_extra.xlsx]extra_Bioplastic'!D264)," ",'Q:\Abteilungsprojekte\Eng\EngData\PROJECT_Bioplastics\Renjie_Pan\05-Raw_Data\Lab_results\[LabSamples2025_Bioplastic_extra.xlsx]extra_Bioplastic'!D264)</f>
        <v/>
      </c>
      <c r="E264">
        <f>IF(ISBLANK('Q:\Abteilungsprojekte\Eng\EngData\PROJECT_Bioplastics\Renjie_Pan\05-Raw_Data\Lab_results\[LabSamples2025_Bioplastic_extra.xlsx]extra_Bioplastic'!E264)," ",'Q:\Abteilungsprojekte\Eng\EngData\PROJECT_Bioplastics\Renjie_Pan\05-Raw_Data\Lab_results\[LabSamples2025_Bioplastic_extra.xlsx]extra_Bioplastic'!E264)</f>
        <v/>
      </c>
      <c r="F264">
        <f>IF(ISBLANK('Q:\Abteilungsprojekte\Eng\EngData\PROJECT_Bioplastics\Renjie_Pan\05-Raw_Data\Lab_results\[LabSamples2025_Bioplastic_extra.xlsx]extra_Bioplastic'!F264)," ",'Q:\Abteilungsprojekte\Eng\EngData\PROJECT_Bioplastics\Renjie_Pan\05-Raw_Data\Lab_results\[LabSamples2025_Bioplastic_extra.xlsx]extra_Bioplastic'!F264)</f>
        <v/>
      </c>
      <c r="G264">
        <f>IF(ISBLANK('Q:\Abteilungsprojekte\Eng\EngData\PROJECT_Bioplastics\Renjie_Pan\05-Raw_Data\Lab_results\[LabSamples2025_Bioplastic_extra.xlsx]extra_Bioplastic'!G264)," ",'Q:\Abteilungsprojekte\Eng\EngData\PROJECT_Bioplastics\Renjie_Pan\05-Raw_Data\Lab_results\[LabSamples2025_Bioplastic_extra.xlsx]extra_Bioplastic'!G264)</f>
        <v/>
      </c>
      <c r="H264">
        <f>IF(ISBLANK('Q:\Abteilungsprojekte\Eng\EngData\PROJECT_Bioplastics\Renjie_Pan\05-Raw_Data\Lab_results\[LabSamples2025_Bioplastic_extra.xlsx]extra_Bioplastic'!H264)," ",'Q:\Abteilungsprojekte\Eng\EngData\PROJECT_Bioplastics\Renjie_Pan\05-Raw_Data\Lab_results\[LabSamples2025_Bioplastic_extra.xlsx]extra_Bioplastic'!H264)</f>
        <v/>
      </c>
    </row>
    <row r="265">
      <c r="A265">
        <f>IF(ISBLANK('Q:\Abteilungsprojekte\Eng\EngData\PROJECT_Bioplastics\Renjie_Pan\05-Raw_Data\Lab_results\[LabSamples2025_Bioplastic_extra.xlsx]extra_Bioplastic'!A265)," ",'Q:\Abteilungsprojekte\Eng\EngData\PROJECT_Bioplastics\Renjie_Pan\05-Raw_Data\Lab_results\[LabSamples2025_Bioplastic_extra.xlsx]extra_Bioplastic'!A265)</f>
        <v/>
      </c>
      <c r="B265">
        <f>IF(ISBLANK('Q:\Abteilungsprojekte\Eng\EngData\PROJECT_Bioplastics\Renjie_Pan\05-Raw_Data\Lab_results\[LabSamples2025_Bioplastic_extra.xlsx]extra_Bioplastic'!B265)," ",'Q:\Abteilungsprojekte\Eng\EngData\PROJECT_Bioplastics\Renjie_Pan\05-Raw_Data\Lab_results\[LabSamples2025_Bioplastic_extra.xlsx]extra_Bioplastic'!B265)</f>
        <v/>
      </c>
      <c r="C265">
        <f>IF(ISBLANK('Q:\Abteilungsprojekte\Eng\EngData\PROJECT_Bioplastics\Renjie_Pan\05-Raw_Data\Lab_results\[LabSamples2025_Bioplastic_extra.xlsx]extra_Bioplastic'!C265)," ",'Q:\Abteilungsprojekte\Eng\EngData\PROJECT_Bioplastics\Renjie_Pan\05-Raw_Data\Lab_results\[LabSamples2025_Bioplastic_extra.xlsx]extra_Bioplastic'!C265)</f>
        <v/>
      </c>
      <c r="D265">
        <f>IF(ISBLANK('Q:\Abteilungsprojekte\Eng\EngData\PROJECT_Bioplastics\Renjie_Pan\05-Raw_Data\Lab_results\[LabSamples2025_Bioplastic_extra.xlsx]extra_Bioplastic'!D265)," ",'Q:\Abteilungsprojekte\Eng\EngData\PROJECT_Bioplastics\Renjie_Pan\05-Raw_Data\Lab_results\[LabSamples2025_Bioplastic_extra.xlsx]extra_Bioplastic'!D265)</f>
        <v/>
      </c>
      <c r="E265">
        <f>IF(ISBLANK('Q:\Abteilungsprojekte\Eng\EngData\PROJECT_Bioplastics\Renjie_Pan\05-Raw_Data\Lab_results\[LabSamples2025_Bioplastic_extra.xlsx]extra_Bioplastic'!E265)," ",'Q:\Abteilungsprojekte\Eng\EngData\PROJECT_Bioplastics\Renjie_Pan\05-Raw_Data\Lab_results\[LabSamples2025_Bioplastic_extra.xlsx]extra_Bioplastic'!E265)</f>
        <v/>
      </c>
      <c r="F265">
        <f>IF(ISBLANK('Q:\Abteilungsprojekte\Eng\EngData\PROJECT_Bioplastics\Renjie_Pan\05-Raw_Data\Lab_results\[LabSamples2025_Bioplastic_extra.xlsx]extra_Bioplastic'!F265)," ",'Q:\Abteilungsprojekte\Eng\EngData\PROJECT_Bioplastics\Renjie_Pan\05-Raw_Data\Lab_results\[LabSamples2025_Bioplastic_extra.xlsx]extra_Bioplastic'!F265)</f>
        <v/>
      </c>
      <c r="G265">
        <f>IF(ISBLANK('Q:\Abteilungsprojekte\Eng\EngData\PROJECT_Bioplastics\Renjie_Pan\05-Raw_Data\Lab_results\[LabSamples2025_Bioplastic_extra.xlsx]extra_Bioplastic'!G265)," ",'Q:\Abteilungsprojekte\Eng\EngData\PROJECT_Bioplastics\Renjie_Pan\05-Raw_Data\Lab_results\[LabSamples2025_Bioplastic_extra.xlsx]extra_Bioplastic'!G265)</f>
        <v/>
      </c>
      <c r="H265">
        <f>IF(ISBLANK('Q:\Abteilungsprojekte\Eng\EngData\PROJECT_Bioplastics\Renjie_Pan\05-Raw_Data\Lab_results\[LabSamples2025_Bioplastic_extra.xlsx]extra_Bioplastic'!H265)," ",'Q:\Abteilungsprojekte\Eng\EngData\PROJECT_Bioplastics\Renjie_Pan\05-Raw_Data\Lab_results\[LabSamples2025_Bioplastic_extra.xlsx]extra_Bioplastic'!H265)</f>
        <v/>
      </c>
    </row>
    <row r="266">
      <c r="A266">
        <f>IF(ISBLANK('Q:\Abteilungsprojekte\Eng\EngData\PROJECT_Bioplastics\Renjie_Pan\05-Raw_Data\Lab_results\[LabSamples2025_Bioplastic_extra.xlsx]extra_Bioplastic'!A266)," ",'Q:\Abteilungsprojekte\Eng\EngData\PROJECT_Bioplastics\Renjie_Pan\05-Raw_Data\Lab_results\[LabSamples2025_Bioplastic_extra.xlsx]extra_Bioplastic'!A266)</f>
        <v/>
      </c>
      <c r="B266">
        <f>IF(ISBLANK('Q:\Abteilungsprojekte\Eng\EngData\PROJECT_Bioplastics\Renjie_Pan\05-Raw_Data\Lab_results\[LabSamples2025_Bioplastic_extra.xlsx]extra_Bioplastic'!B266)," ",'Q:\Abteilungsprojekte\Eng\EngData\PROJECT_Bioplastics\Renjie_Pan\05-Raw_Data\Lab_results\[LabSamples2025_Bioplastic_extra.xlsx]extra_Bioplastic'!B266)</f>
        <v/>
      </c>
      <c r="C266">
        <f>IF(ISBLANK('Q:\Abteilungsprojekte\Eng\EngData\PROJECT_Bioplastics\Renjie_Pan\05-Raw_Data\Lab_results\[LabSamples2025_Bioplastic_extra.xlsx]extra_Bioplastic'!C266)," ",'Q:\Abteilungsprojekte\Eng\EngData\PROJECT_Bioplastics\Renjie_Pan\05-Raw_Data\Lab_results\[LabSamples2025_Bioplastic_extra.xlsx]extra_Bioplastic'!C266)</f>
        <v/>
      </c>
      <c r="D266">
        <f>IF(ISBLANK('Q:\Abteilungsprojekte\Eng\EngData\PROJECT_Bioplastics\Renjie_Pan\05-Raw_Data\Lab_results\[LabSamples2025_Bioplastic_extra.xlsx]extra_Bioplastic'!D266)," ",'Q:\Abteilungsprojekte\Eng\EngData\PROJECT_Bioplastics\Renjie_Pan\05-Raw_Data\Lab_results\[LabSamples2025_Bioplastic_extra.xlsx]extra_Bioplastic'!D266)</f>
        <v/>
      </c>
      <c r="E266">
        <f>IF(ISBLANK('Q:\Abteilungsprojekte\Eng\EngData\PROJECT_Bioplastics\Renjie_Pan\05-Raw_Data\Lab_results\[LabSamples2025_Bioplastic_extra.xlsx]extra_Bioplastic'!E266)," ",'Q:\Abteilungsprojekte\Eng\EngData\PROJECT_Bioplastics\Renjie_Pan\05-Raw_Data\Lab_results\[LabSamples2025_Bioplastic_extra.xlsx]extra_Bioplastic'!E266)</f>
        <v/>
      </c>
      <c r="F266">
        <f>IF(ISBLANK('Q:\Abteilungsprojekte\Eng\EngData\PROJECT_Bioplastics\Renjie_Pan\05-Raw_Data\Lab_results\[LabSamples2025_Bioplastic_extra.xlsx]extra_Bioplastic'!F266)," ",'Q:\Abteilungsprojekte\Eng\EngData\PROJECT_Bioplastics\Renjie_Pan\05-Raw_Data\Lab_results\[LabSamples2025_Bioplastic_extra.xlsx]extra_Bioplastic'!F266)</f>
        <v/>
      </c>
      <c r="G266">
        <f>IF(ISBLANK('Q:\Abteilungsprojekte\Eng\EngData\PROJECT_Bioplastics\Renjie_Pan\05-Raw_Data\Lab_results\[LabSamples2025_Bioplastic_extra.xlsx]extra_Bioplastic'!G266)," ",'Q:\Abteilungsprojekte\Eng\EngData\PROJECT_Bioplastics\Renjie_Pan\05-Raw_Data\Lab_results\[LabSamples2025_Bioplastic_extra.xlsx]extra_Bioplastic'!G266)</f>
        <v/>
      </c>
      <c r="H266">
        <f>IF(ISBLANK('Q:\Abteilungsprojekte\Eng\EngData\PROJECT_Bioplastics\Renjie_Pan\05-Raw_Data\Lab_results\[LabSamples2025_Bioplastic_extra.xlsx]extra_Bioplastic'!H266)," ",'Q:\Abteilungsprojekte\Eng\EngData\PROJECT_Bioplastics\Renjie_Pan\05-Raw_Data\Lab_results\[LabSamples2025_Bioplastic_extra.xlsx]extra_Bioplastic'!H266)</f>
        <v/>
      </c>
    </row>
    <row r="267">
      <c r="A267">
        <f>IF(ISBLANK('Q:\Abteilungsprojekte\Eng\EngData\PROJECT_Bioplastics\Renjie_Pan\05-Raw_Data\Lab_results\[LabSamples2025_Bioplastic_extra.xlsx]extra_Bioplastic'!A267)," ",'Q:\Abteilungsprojekte\Eng\EngData\PROJECT_Bioplastics\Renjie_Pan\05-Raw_Data\Lab_results\[LabSamples2025_Bioplastic_extra.xlsx]extra_Bioplastic'!A267)</f>
        <v/>
      </c>
      <c r="B267">
        <f>IF(ISBLANK('Q:\Abteilungsprojekte\Eng\EngData\PROJECT_Bioplastics\Renjie_Pan\05-Raw_Data\Lab_results\[LabSamples2025_Bioplastic_extra.xlsx]extra_Bioplastic'!B267)," ",'Q:\Abteilungsprojekte\Eng\EngData\PROJECT_Bioplastics\Renjie_Pan\05-Raw_Data\Lab_results\[LabSamples2025_Bioplastic_extra.xlsx]extra_Bioplastic'!B267)</f>
        <v/>
      </c>
      <c r="C267">
        <f>IF(ISBLANK('Q:\Abteilungsprojekte\Eng\EngData\PROJECT_Bioplastics\Renjie_Pan\05-Raw_Data\Lab_results\[LabSamples2025_Bioplastic_extra.xlsx]extra_Bioplastic'!C267)," ",'Q:\Abteilungsprojekte\Eng\EngData\PROJECT_Bioplastics\Renjie_Pan\05-Raw_Data\Lab_results\[LabSamples2025_Bioplastic_extra.xlsx]extra_Bioplastic'!C267)</f>
        <v/>
      </c>
      <c r="D267">
        <f>IF(ISBLANK('Q:\Abteilungsprojekte\Eng\EngData\PROJECT_Bioplastics\Renjie_Pan\05-Raw_Data\Lab_results\[LabSamples2025_Bioplastic_extra.xlsx]extra_Bioplastic'!D267)," ",'Q:\Abteilungsprojekte\Eng\EngData\PROJECT_Bioplastics\Renjie_Pan\05-Raw_Data\Lab_results\[LabSamples2025_Bioplastic_extra.xlsx]extra_Bioplastic'!D267)</f>
        <v/>
      </c>
      <c r="E267">
        <f>IF(ISBLANK('Q:\Abteilungsprojekte\Eng\EngData\PROJECT_Bioplastics\Renjie_Pan\05-Raw_Data\Lab_results\[LabSamples2025_Bioplastic_extra.xlsx]extra_Bioplastic'!E267)," ",'Q:\Abteilungsprojekte\Eng\EngData\PROJECT_Bioplastics\Renjie_Pan\05-Raw_Data\Lab_results\[LabSamples2025_Bioplastic_extra.xlsx]extra_Bioplastic'!E267)</f>
        <v/>
      </c>
      <c r="F267">
        <f>IF(ISBLANK('Q:\Abteilungsprojekte\Eng\EngData\PROJECT_Bioplastics\Renjie_Pan\05-Raw_Data\Lab_results\[LabSamples2025_Bioplastic_extra.xlsx]extra_Bioplastic'!F267)," ",'Q:\Abteilungsprojekte\Eng\EngData\PROJECT_Bioplastics\Renjie_Pan\05-Raw_Data\Lab_results\[LabSamples2025_Bioplastic_extra.xlsx]extra_Bioplastic'!F267)</f>
        <v/>
      </c>
      <c r="G267">
        <f>IF(ISBLANK('Q:\Abteilungsprojekte\Eng\EngData\PROJECT_Bioplastics\Renjie_Pan\05-Raw_Data\Lab_results\[LabSamples2025_Bioplastic_extra.xlsx]extra_Bioplastic'!G267)," ",'Q:\Abteilungsprojekte\Eng\EngData\PROJECT_Bioplastics\Renjie_Pan\05-Raw_Data\Lab_results\[LabSamples2025_Bioplastic_extra.xlsx]extra_Bioplastic'!G267)</f>
        <v/>
      </c>
      <c r="H267">
        <f>IF(ISBLANK('Q:\Abteilungsprojekte\Eng\EngData\PROJECT_Bioplastics\Renjie_Pan\05-Raw_Data\Lab_results\[LabSamples2025_Bioplastic_extra.xlsx]extra_Bioplastic'!H267)," ",'Q:\Abteilungsprojekte\Eng\EngData\PROJECT_Bioplastics\Renjie_Pan\05-Raw_Data\Lab_results\[LabSamples2025_Bioplastic_extra.xlsx]extra_Bioplastic'!H267)</f>
        <v/>
      </c>
    </row>
    <row r="268">
      <c r="A268">
        <f>IF(ISBLANK('Q:\Abteilungsprojekte\Eng\EngData\PROJECT_Bioplastics\Renjie_Pan\05-Raw_Data\Lab_results\[LabSamples2025_Bioplastic_extra.xlsx]extra_Bioplastic'!A268)," ",'Q:\Abteilungsprojekte\Eng\EngData\PROJECT_Bioplastics\Renjie_Pan\05-Raw_Data\Lab_results\[LabSamples2025_Bioplastic_extra.xlsx]extra_Bioplastic'!A268)</f>
        <v/>
      </c>
      <c r="B268">
        <f>IF(ISBLANK('Q:\Abteilungsprojekte\Eng\EngData\PROJECT_Bioplastics\Renjie_Pan\05-Raw_Data\Lab_results\[LabSamples2025_Bioplastic_extra.xlsx]extra_Bioplastic'!B268)," ",'Q:\Abteilungsprojekte\Eng\EngData\PROJECT_Bioplastics\Renjie_Pan\05-Raw_Data\Lab_results\[LabSamples2025_Bioplastic_extra.xlsx]extra_Bioplastic'!B268)</f>
        <v/>
      </c>
      <c r="C268">
        <f>IF(ISBLANK('Q:\Abteilungsprojekte\Eng\EngData\PROJECT_Bioplastics\Renjie_Pan\05-Raw_Data\Lab_results\[LabSamples2025_Bioplastic_extra.xlsx]extra_Bioplastic'!C268)," ",'Q:\Abteilungsprojekte\Eng\EngData\PROJECT_Bioplastics\Renjie_Pan\05-Raw_Data\Lab_results\[LabSamples2025_Bioplastic_extra.xlsx]extra_Bioplastic'!C268)</f>
        <v/>
      </c>
      <c r="D268">
        <f>IF(ISBLANK('Q:\Abteilungsprojekte\Eng\EngData\PROJECT_Bioplastics\Renjie_Pan\05-Raw_Data\Lab_results\[LabSamples2025_Bioplastic_extra.xlsx]extra_Bioplastic'!D268)," ",'Q:\Abteilungsprojekte\Eng\EngData\PROJECT_Bioplastics\Renjie_Pan\05-Raw_Data\Lab_results\[LabSamples2025_Bioplastic_extra.xlsx]extra_Bioplastic'!D268)</f>
        <v/>
      </c>
      <c r="E268">
        <f>IF(ISBLANK('Q:\Abteilungsprojekte\Eng\EngData\PROJECT_Bioplastics\Renjie_Pan\05-Raw_Data\Lab_results\[LabSamples2025_Bioplastic_extra.xlsx]extra_Bioplastic'!E268)," ",'Q:\Abteilungsprojekte\Eng\EngData\PROJECT_Bioplastics\Renjie_Pan\05-Raw_Data\Lab_results\[LabSamples2025_Bioplastic_extra.xlsx]extra_Bioplastic'!E268)</f>
        <v/>
      </c>
      <c r="F268">
        <f>IF(ISBLANK('Q:\Abteilungsprojekte\Eng\EngData\PROJECT_Bioplastics\Renjie_Pan\05-Raw_Data\Lab_results\[LabSamples2025_Bioplastic_extra.xlsx]extra_Bioplastic'!F268)," ",'Q:\Abteilungsprojekte\Eng\EngData\PROJECT_Bioplastics\Renjie_Pan\05-Raw_Data\Lab_results\[LabSamples2025_Bioplastic_extra.xlsx]extra_Bioplastic'!F268)</f>
        <v/>
      </c>
      <c r="G268">
        <f>IF(ISBLANK('Q:\Abteilungsprojekte\Eng\EngData\PROJECT_Bioplastics\Renjie_Pan\05-Raw_Data\Lab_results\[LabSamples2025_Bioplastic_extra.xlsx]extra_Bioplastic'!G268)," ",'Q:\Abteilungsprojekte\Eng\EngData\PROJECT_Bioplastics\Renjie_Pan\05-Raw_Data\Lab_results\[LabSamples2025_Bioplastic_extra.xlsx]extra_Bioplastic'!G268)</f>
        <v/>
      </c>
      <c r="H268">
        <f>IF(ISBLANK('Q:\Abteilungsprojekte\Eng\EngData\PROJECT_Bioplastics\Renjie_Pan\05-Raw_Data\Lab_results\[LabSamples2025_Bioplastic_extra.xlsx]extra_Bioplastic'!H268)," ",'Q:\Abteilungsprojekte\Eng\EngData\PROJECT_Bioplastics\Renjie_Pan\05-Raw_Data\Lab_results\[LabSamples2025_Bioplastic_extra.xlsx]extra_Bioplastic'!H268)</f>
        <v/>
      </c>
    </row>
    <row r="269">
      <c r="A269">
        <f>IF(ISBLANK('Q:\Abteilungsprojekte\Eng\EngData\PROJECT_Bioplastics\Renjie_Pan\05-Raw_Data\Lab_results\[LabSamples2025_Bioplastic_extra.xlsx]extra_Bioplastic'!A269)," ",'Q:\Abteilungsprojekte\Eng\EngData\PROJECT_Bioplastics\Renjie_Pan\05-Raw_Data\Lab_results\[LabSamples2025_Bioplastic_extra.xlsx]extra_Bioplastic'!A269)</f>
        <v/>
      </c>
      <c r="B269">
        <f>IF(ISBLANK('Q:\Abteilungsprojekte\Eng\EngData\PROJECT_Bioplastics\Renjie_Pan\05-Raw_Data\Lab_results\[LabSamples2025_Bioplastic_extra.xlsx]extra_Bioplastic'!B269)," ",'Q:\Abteilungsprojekte\Eng\EngData\PROJECT_Bioplastics\Renjie_Pan\05-Raw_Data\Lab_results\[LabSamples2025_Bioplastic_extra.xlsx]extra_Bioplastic'!B269)</f>
        <v/>
      </c>
      <c r="C269">
        <f>IF(ISBLANK('Q:\Abteilungsprojekte\Eng\EngData\PROJECT_Bioplastics\Renjie_Pan\05-Raw_Data\Lab_results\[LabSamples2025_Bioplastic_extra.xlsx]extra_Bioplastic'!C269)," ",'Q:\Abteilungsprojekte\Eng\EngData\PROJECT_Bioplastics\Renjie_Pan\05-Raw_Data\Lab_results\[LabSamples2025_Bioplastic_extra.xlsx]extra_Bioplastic'!C269)</f>
        <v/>
      </c>
      <c r="D269">
        <f>IF(ISBLANK('Q:\Abteilungsprojekte\Eng\EngData\PROJECT_Bioplastics\Renjie_Pan\05-Raw_Data\Lab_results\[LabSamples2025_Bioplastic_extra.xlsx]extra_Bioplastic'!D269)," ",'Q:\Abteilungsprojekte\Eng\EngData\PROJECT_Bioplastics\Renjie_Pan\05-Raw_Data\Lab_results\[LabSamples2025_Bioplastic_extra.xlsx]extra_Bioplastic'!D269)</f>
        <v/>
      </c>
      <c r="E269">
        <f>IF(ISBLANK('Q:\Abteilungsprojekte\Eng\EngData\PROJECT_Bioplastics\Renjie_Pan\05-Raw_Data\Lab_results\[LabSamples2025_Bioplastic_extra.xlsx]extra_Bioplastic'!E269)," ",'Q:\Abteilungsprojekte\Eng\EngData\PROJECT_Bioplastics\Renjie_Pan\05-Raw_Data\Lab_results\[LabSamples2025_Bioplastic_extra.xlsx]extra_Bioplastic'!E269)</f>
        <v/>
      </c>
      <c r="F269">
        <f>IF(ISBLANK('Q:\Abteilungsprojekte\Eng\EngData\PROJECT_Bioplastics\Renjie_Pan\05-Raw_Data\Lab_results\[LabSamples2025_Bioplastic_extra.xlsx]extra_Bioplastic'!F269)," ",'Q:\Abteilungsprojekte\Eng\EngData\PROJECT_Bioplastics\Renjie_Pan\05-Raw_Data\Lab_results\[LabSamples2025_Bioplastic_extra.xlsx]extra_Bioplastic'!F269)</f>
        <v/>
      </c>
      <c r="G269">
        <f>IF(ISBLANK('Q:\Abteilungsprojekte\Eng\EngData\PROJECT_Bioplastics\Renjie_Pan\05-Raw_Data\Lab_results\[LabSamples2025_Bioplastic_extra.xlsx]extra_Bioplastic'!G269)," ",'Q:\Abteilungsprojekte\Eng\EngData\PROJECT_Bioplastics\Renjie_Pan\05-Raw_Data\Lab_results\[LabSamples2025_Bioplastic_extra.xlsx]extra_Bioplastic'!G269)</f>
        <v/>
      </c>
      <c r="H269">
        <f>IF(ISBLANK('Q:\Abteilungsprojekte\Eng\EngData\PROJECT_Bioplastics\Renjie_Pan\05-Raw_Data\Lab_results\[LabSamples2025_Bioplastic_extra.xlsx]extra_Bioplastic'!H269)," ",'Q:\Abteilungsprojekte\Eng\EngData\PROJECT_Bioplastics\Renjie_Pan\05-Raw_Data\Lab_results\[LabSamples2025_Bioplastic_extra.xlsx]extra_Bioplastic'!H269)</f>
        <v/>
      </c>
    </row>
    <row r="270">
      <c r="A270">
        <f>IF(ISBLANK('Q:\Abteilungsprojekte\Eng\EngData\PROJECT_Bioplastics\Renjie_Pan\05-Raw_Data\Lab_results\[LabSamples2025_Bioplastic_extra.xlsx]extra_Bioplastic'!A270)," ",'Q:\Abteilungsprojekte\Eng\EngData\PROJECT_Bioplastics\Renjie_Pan\05-Raw_Data\Lab_results\[LabSamples2025_Bioplastic_extra.xlsx]extra_Bioplastic'!A270)</f>
        <v/>
      </c>
      <c r="B270">
        <f>IF(ISBLANK('Q:\Abteilungsprojekte\Eng\EngData\PROJECT_Bioplastics\Renjie_Pan\05-Raw_Data\Lab_results\[LabSamples2025_Bioplastic_extra.xlsx]extra_Bioplastic'!B270)," ",'Q:\Abteilungsprojekte\Eng\EngData\PROJECT_Bioplastics\Renjie_Pan\05-Raw_Data\Lab_results\[LabSamples2025_Bioplastic_extra.xlsx]extra_Bioplastic'!B270)</f>
        <v/>
      </c>
      <c r="C270">
        <f>IF(ISBLANK('Q:\Abteilungsprojekte\Eng\EngData\PROJECT_Bioplastics\Renjie_Pan\05-Raw_Data\Lab_results\[LabSamples2025_Bioplastic_extra.xlsx]extra_Bioplastic'!C270)," ",'Q:\Abteilungsprojekte\Eng\EngData\PROJECT_Bioplastics\Renjie_Pan\05-Raw_Data\Lab_results\[LabSamples2025_Bioplastic_extra.xlsx]extra_Bioplastic'!C270)</f>
        <v/>
      </c>
      <c r="D270">
        <f>IF(ISBLANK('Q:\Abteilungsprojekte\Eng\EngData\PROJECT_Bioplastics\Renjie_Pan\05-Raw_Data\Lab_results\[LabSamples2025_Bioplastic_extra.xlsx]extra_Bioplastic'!D270)," ",'Q:\Abteilungsprojekte\Eng\EngData\PROJECT_Bioplastics\Renjie_Pan\05-Raw_Data\Lab_results\[LabSamples2025_Bioplastic_extra.xlsx]extra_Bioplastic'!D270)</f>
        <v/>
      </c>
      <c r="E270">
        <f>IF(ISBLANK('Q:\Abteilungsprojekte\Eng\EngData\PROJECT_Bioplastics\Renjie_Pan\05-Raw_Data\Lab_results\[LabSamples2025_Bioplastic_extra.xlsx]extra_Bioplastic'!E270)," ",'Q:\Abteilungsprojekte\Eng\EngData\PROJECT_Bioplastics\Renjie_Pan\05-Raw_Data\Lab_results\[LabSamples2025_Bioplastic_extra.xlsx]extra_Bioplastic'!E270)</f>
        <v/>
      </c>
      <c r="F270">
        <f>IF(ISBLANK('Q:\Abteilungsprojekte\Eng\EngData\PROJECT_Bioplastics\Renjie_Pan\05-Raw_Data\Lab_results\[LabSamples2025_Bioplastic_extra.xlsx]extra_Bioplastic'!F270)," ",'Q:\Abteilungsprojekte\Eng\EngData\PROJECT_Bioplastics\Renjie_Pan\05-Raw_Data\Lab_results\[LabSamples2025_Bioplastic_extra.xlsx]extra_Bioplastic'!F270)</f>
        <v/>
      </c>
      <c r="G270">
        <f>IF(ISBLANK('Q:\Abteilungsprojekte\Eng\EngData\PROJECT_Bioplastics\Renjie_Pan\05-Raw_Data\Lab_results\[LabSamples2025_Bioplastic_extra.xlsx]extra_Bioplastic'!G270)," ",'Q:\Abteilungsprojekte\Eng\EngData\PROJECT_Bioplastics\Renjie_Pan\05-Raw_Data\Lab_results\[LabSamples2025_Bioplastic_extra.xlsx]extra_Bioplastic'!G270)</f>
        <v/>
      </c>
      <c r="H270">
        <f>IF(ISBLANK('Q:\Abteilungsprojekte\Eng\EngData\PROJECT_Bioplastics\Renjie_Pan\05-Raw_Data\Lab_results\[LabSamples2025_Bioplastic_extra.xlsx]extra_Bioplastic'!H270)," ",'Q:\Abteilungsprojekte\Eng\EngData\PROJECT_Bioplastics\Renjie_Pan\05-Raw_Data\Lab_results\[LabSamples2025_Bioplastic_extra.xlsx]extra_Bioplastic'!H270)</f>
        <v/>
      </c>
    </row>
    <row r="271">
      <c r="A271">
        <f>IF(ISBLANK('Q:\Abteilungsprojekte\Eng\EngData\PROJECT_Bioplastics\Renjie_Pan\05-Raw_Data\Lab_results\[LabSamples2025_Bioplastic_extra.xlsx]extra_Bioplastic'!A271)," ",'Q:\Abteilungsprojekte\Eng\EngData\PROJECT_Bioplastics\Renjie_Pan\05-Raw_Data\Lab_results\[LabSamples2025_Bioplastic_extra.xlsx]extra_Bioplastic'!A271)</f>
        <v/>
      </c>
      <c r="B271">
        <f>IF(ISBLANK('Q:\Abteilungsprojekte\Eng\EngData\PROJECT_Bioplastics\Renjie_Pan\05-Raw_Data\Lab_results\[LabSamples2025_Bioplastic_extra.xlsx]extra_Bioplastic'!B271)," ",'Q:\Abteilungsprojekte\Eng\EngData\PROJECT_Bioplastics\Renjie_Pan\05-Raw_Data\Lab_results\[LabSamples2025_Bioplastic_extra.xlsx]extra_Bioplastic'!B271)</f>
        <v/>
      </c>
      <c r="C271">
        <f>IF(ISBLANK('Q:\Abteilungsprojekte\Eng\EngData\PROJECT_Bioplastics\Renjie_Pan\05-Raw_Data\Lab_results\[LabSamples2025_Bioplastic_extra.xlsx]extra_Bioplastic'!C271)," ",'Q:\Abteilungsprojekte\Eng\EngData\PROJECT_Bioplastics\Renjie_Pan\05-Raw_Data\Lab_results\[LabSamples2025_Bioplastic_extra.xlsx]extra_Bioplastic'!C271)</f>
        <v/>
      </c>
      <c r="D271">
        <f>IF(ISBLANK('Q:\Abteilungsprojekte\Eng\EngData\PROJECT_Bioplastics\Renjie_Pan\05-Raw_Data\Lab_results\[LabSamples2025_Bioplastic_extra.xlsx]extra_Bioplastic'!D271)," ",'Q:\Abteilungsprojekte\Eng\EngData\PROJECT_Bioplastics\Renjie_Pan\05-Raw_Data\Lab_results\[LabSamples2025_Bioplastic_extra.xlsx]extra_Bioplastic'!D271)</f>
        <v/>
      </c>
      <c r="E271">
        <f>IF(ISBLANK('Q:\Abteilungsprojekte\Eng\EngData\PROJECT_Bioplastics\Renjie_Pan\05-Raw_Data\Lab_results\[LabSamples2025_Bioplastic_extra.xlsx]extra_Bioplastic'!E271)," ",'Q:\Abteilungsprojekte\Eng\EngData\PROJECT_Bioplastics\Renjie_Pan\05-Raw_Data\Lab_results\[LabSamples2025_Bioplastic_extra.xlsx]extra_Bioplastic'!E271)</f>
        <v/>
      </c>
      <c r="F271">
        <f>IF(ISBLANK('Q:\Abteilungsprojekte\Eng\EngData\PROJECT_Bioplastics\Renjie_Pan\05-Raw_Data\Lab_results\[LabSamples2025_Bioplastic_extra.xlsx]extra_Bioplastic'!F271)," ",'Q:\Abteilungsprojekte\Eng\EngData\PROJECT_Bioplastics\Renjie_Pan\05-Raw_Data\Lab_results\[LabSamples2025_Bioplastic_extra.xlsx]extra_Bioplastic'!F271)</f>
        <v/>
      </c>
      <c r="G271">
        <f>IF(ISBLANK('Q:\Abteilungsprojekte\Eng\EngData\PROJECT_Bioplastics\Renjie_Pan\05-Raw_Data\Lab_results\[LabSamples2025_Bioplastic_extra.xlsx]extra_Bioplastic'!G271)," ",'Q:\Abteilungsprojekte\Eng\EngData\PROJECT_Bioplastics\Renjie_Pan\05-Raw_Data\Lab_results\[LabSamples2025_Bioplastic_extra.xlsx]extra_Bioplastic'!G271)</f>
        <v/>
      </c>
      <c r="H271">
        <f>IF(ISBLANK('Q:\Abteilungsprojekte\Eng\EngData\PROJECT_Bioplastics\Renjie_Pan\05-Raw_Data\Lab_results\[LabSamples2025_Bioplastic_extra.xlsx]extra_Bioplastic'!H271)," ",'Q:\Abteilungsprojekte\Eng\EngData\PROJECT_Bioplastics\Renjie_Pan\05-Raw_Data\Lab_results\[LabSamples2025_Bioplastic_extra.xlsx]extra_Bioplastic'!H271)</f>
        <v/>
      </c>
    </row>
    <row r="272">
      <c r="A272">
        <f>IF(ISBLANK('Q:\Abteilungsprojekte\Eng\EngData\PROJECT_Bioplastics\Renjie_Pan\05-Raw_Data\Lab_results\[LabSamples2025_Bioplastic_extra.xlsx]extra_Bioplastic'!A272)," ",'Q:\Abteilungsprojekte\Eng\EngData\PROJECT_Bioplastics\Renjie_Pan\05-Raw_Data\Lab_results\[LabSamples2025_Bioplastic_extra.xlsx]extra_Bioplastic'!A272)</f>
        <v/>
      </c>
      <c r="B272">
        <f>IF(ISBLANK('Q:\Abteilungsprojekte\Eng\EngData\PROJECT_Bioplastics\Renjie_Pan\05-Raw_Data\Lab_results\[LabSamples2025_Bioplastic_extra.xlsx]extra_Bioplastic'!B272)," ",'Q:\Abteilungsprojekte\Eng\EngData\PROJECT_Bioplastics\Renjie_Pan\05-Raw_Data\Lab_results\[LabSamples2025_Bioplastic_extra.xlsx]extra_Bioplastic'!B272)</f>
        <v/>
      </c>
      <c r="C272">
        <f>IF(ISBLANK('Q:\Abteilungsprojekte\Eng\EngData\PROJECT_Bioplastics\Renjie_Pan\05-Raw_Data\Lab_results\[LabSamples2025_Bioplastic_extra.xlsx]extra_Bioplastic'!C272)," ",'Q:\Abteilungsprojekte\Eng\EngData\PROJECT_Bioplastics\Renjie_Pan\05-Raw_Data\Lab_results\[LabSamples2025_Bioplastic_extra.xlsx]extra_Bioplastic'!C272)</f>
        <v/>
      </c>
      <c r="D272">
        <f>IF(ISBLANK('Q:\Abteilungsprojekte\Eng\EngData\PROJECT_Bioplastics\Renjie_Pan\05-Raw_Data\Lab_results\[LabSamples2025_Bioplastic_extra.xlsx]extra_Bioplastic'!D272)," ",'Q:\Abteilungsprojekte\Eng\EngData\PROJECT_Bioplastics\Renjie_Pan\05-Raw_Data\Lab_results\[LabSamples2025_Bioplastic_extra.xlsx]extra_Bioplastic'!D272)</f>
        <v/>
      </c>
      <c r="E272">
        <f>IF(ISBLANK('Q:\Abteilungsprojekte\Eng\EngData\PROJECT_Bioplastics\Renjie_Pan\05-Raw_Data\Lab_results\[LabSamples2025_Bioplastic_extra.xlsx]extra_Bioplastic'!E272)," ",'Q:\Abteilungsprojekte\Eng\EngData\PROJECT_Bioplastics\Renjie_Pan\05-Raw_Data\Lab_results\[LabSamples2025_Bioplastic_extra.xlsx]extra_Bioplastic'!E272)</f>
        <v/>
      </c>
      <c r="F272">
        <f>IF(ISBLANK('Q:\Abteilungsprojekte\Eng\EngData\PROJECT_Bioplastics\Renjie_Pan\05-Raw_Data\Lab_results\[LabSamples2025_Bioplastic_extra.xlsx]extra_Bioplastic'!F272)," ",'Q:\Abteilungsprojekte\Eng\EngData\PROJECT_Bioplastics\Renjie_Pan\05-Raw_Data\Lab_results\[LabSamples2025_Bioplastic_extra.xlsx]extra_Bioplastic'!F272)</f>
        <v/>
      </c>
      <c r="G272">
        <f>IF(ISBLANK('Q:\Abteilungsprojekte\Eng\EngData\PROJECT_Bioplastics\Renjie_Pan\05-Raw_Data\Lab_results\[LabSamples2025_Bioplastic_extra.xlsx]extra_Bioplastic'!G272)," ",'Q:\Abteilungsprojekte\Eng\EngData\PROJECT_Bioplastics\Renjie_Pan\05-Raw_Data\Lab_results\[LabSamples2025_Bioplastic_extra.xlsx]extra_Bioplastic'!G272)</f>
        <v/>
      </c>
      <c r="H272">
        <f>IF(ISBLANK('Q:\Abteilungsprojekte\Eng\EngData\PROJECT_Bioplastics\Renjie_Pan\05-Raw_Data\Lab_results\[LabSamples2025_Bioplastic_extra.xlsx]extra_Bioplastic'!H272)," ",'Q:\Abteilungsprojekte\Eng\EngData\PROJECT_Bioplastics\Renjie_Pan\05-Raw_Data\Lab_results\[LabSamples2025_Bioplastic_extra.xlsx]extra_Bioplastic'!H272)</f>
        <v/>
      </c>
    </row>
    <row r="273">
      <c r="A273">
        <f>IF(ISBLANK('Q:\Abteilungsprojekte\Eng\EngData\PROJECT_Bioplastics\Renjie_Pan\05-Raw_Data\Lab_results\[LabSamples2025_Bioplastic_extra.xlsx]extra_Bioplastic'!A273)," ",'Q:\Abteilungsprojekte\Eng\EngData\PROJECT_Bioplastics\Renjie_Pan\05-Raw_Data\Lab_results\[LabSamples2025_Bioplastic_extra.xlsx]extra_Bioplastic'!A273)</f>
        <v/>
      </c>
      <c r="B273">
        <f>IF(ISBLANK('Q:\Abteilungsprojekte\Eng\EngData\PROJECT_Bioplastics\Renjie_Pan\05-Raw_Data\Lab_results\[LabSamples2025_Bioplastic_extra.xlsx]extra_Bioplastic'!B273)," ",'Q:\Abteilungsprojekte\Eng\EngData\PROJECT_Bioplastics\Renjie_Pan\05-Raw_Data\Lab_results\[LabSamples2025_Bioplastic_extra.xlsx]extra_Bioplastic'!B273)</f>
        <v/>
      </c>
      <c r="C273">
        <f>IF(ISBLANK('Q:\Abteilungsprojekte\Eng\EngData\PROJECT_Bioplastics\Renjie_Pan\05-Raw_Data\Lab_results\[LabSamples2025_Bioplastic_extra.xlsx]extra_Bioplastic'!C273)," ",'Q:\Abteilungsprojekte\Eng\EngData\PROJECT_Bioplastics\Renjie_Pan\05-Raw_Data\Lab_results\[LabSamples2025_Bioplastic_extra.xlsx]extra_Bioplastic'!C273)</f>
        <v/>
      </c>
      <c r="D273">
        <f>IF(ISBLANK('Q:\Abteilungsprojekte\Eng\EngData\PROJECT_Bioplastics\Renjie_Pan\05-Raw_Data\Lab_results\[LabSamples2025_Bioplastic_extra.xlsx]extra_Bioplastic'!D273)," ",'Q:\Abteilungsprojekte\Eng\EngData\PROJECT_Bioplastics\Renjie_Pan\05-Raw_Data\Lab_results\[LabSamples2025_Bioplastic_extra.xlsx]extra_Bioplastic'!D273)</f>
        <v/>
      </c>
      <c r="E273">
        <f>IF(ISBLANK('Q:\Abteilungsprojekte\Eng\EngData\PROJECT_Bioplastics\Renjie_Pan\05-Raw_Data\Lab_results\[LabSamples2025_Bioplastic_extra.xlsx]extra_Bioplastic'!E273)," ",'Q:\Abteilungsprojekte\Eng\EngData\PROJECT_Bioplastics\Renjie_Pan\05-Raw_Data\Lab_results\[LabSamples2025_Bioplastic_extra.xlsx]extra_Bioplastic'!E273)</f>
        <v/>
      </c>
      <c r="F273">
        <f>IF(ISBLANK('Q:\Abteilungsprojekte\Eng\EngData\PROJECT_Bioplastics\Renjie_Pan\05-Raw_Data\Lab_results\[LabSamples2025_Bioplastic_extra.xlsx]extra_Bioplastic'!F273)," ",'Q:\Abteilungsprojekte\Eng\EngData\PROJECT_Bioplastics\Renjie_Pan\05-Raw_Data\Lab_results\[LabSamples2025_Bioplastic_extra.xlsx]extra_Bioplastic'!F273)</f>
        <v/>
      </c>
      <c r="G273">
        <f>IF(ISBLANK('Q:\Abteilungsprojekte\Eng\EngData\PROJECT_Bioplastics\Renjie_Pan\05-Raw_Data\Lab_results\[LabSamples2025_Bioplastic_extra.xlsx]extra_Bioplastic'!G273)," ",'Q:\Abteilungsprojekte\Eng\EngData\PROJECT_Bioplastics\Renjie_Pan\05-Raw_Data\Lab_results\[LabSamples2025_Bioplastic_extra.xlsx]extra_Bioplastic'!G273)</f>
        <v/>
      </c>
      <c r="H273">
        <f>IF(ISBLANK('Q:\Abteilungsprojekte\Eng\EngData\PROJECT_Bioplastics\Renjie_Pan\05-Raw_Data\Lab_results\[LabSamples2025_Bioplastic_extra.xlsx]extra_Bioplastic'!H273)," ",'Q:\Abteilungsprojekte\Eng\EngData\PROJECT_Bioplastics\Renjie_Pan\05-Raw_Data\Lab_results\[LabSamples2025_Bioplastic_extra.xlsx]extra_Bioplastic'!H273)</f>
        <v/>
      </c>
    </row>
    <row r="274">
      <c r="A274">
        <f>IF(ISBLANK('Q:\Abteilungsprojekte\Eng\EngData\PROJECT_Bioplastics\Renjie_Pan\05-Raw_Data\Lab_results\[LabSamples2025_Bioplastic_extra.xlsx]extra_Bioplastic'!A274)," ",'Q:\Abteilungsprojekte\Eng\EngData\PROJECT_Bioplastics\Renjie_Pan\05-Raw_Data\Lab_results\[LabSamples2025_Bioplastic_extra.xlsx]extra_Bioplastic'!A274)</f>
        <v/>
      </c>
      <c r="B274">
        <f>IF(ISBLANK('Q:\Abteilungsprojekte\Eng\EngData\PROJECT_Bioplastics\Renjie_Pan\05-Raw_Data\Lab_results\[LabSamples2025_Bioplastic_extra.xlsx]extra_Bioplastic'!B274)," ",'Q:\Abteilungsprojekte\Eng\EngData\PROJECT_Bioplastics\Renjie_Pan\05-Raw_Data\Lab_results\[LabSamples2025_Bioplastic_extra.xlsx]extra_Bioplastic'!B274)</f>
        <v/>
      </c>
      <c r="C274">
        <f>IF(ISBLANK('Q:\Abteilungsprojekte\Eng\EngData\PROJECT_Bioplastics\Renjie_Pan\05-Raw_Data\Lab_results\[LabSamples2025_Bioplastic_extra.xlsx]extra_Bioplastic'!C274)," ",'Q:\Abteilungsprojekte\Eng\EngData\PROJECT_Bioplastics\Renjie_Pan\05-Raw_Data\Lab_results\[LabSamples2025_Bioplastic_extra.xlsx]extra_Bioplastic'!C274)</f>
        <v/>
      </c>
      <c r="D274">
        <f>IF(ISBLANK('Q:\Abteilungsprojekte\Eng\EngData\PROJECT_Bioplastics\Renjie_Pan\05-Raw_Data\Lab_results\[LabSamples2025_Bioplastic_extra.xlsx]extra_Bioplastic'!D274)," ",'Q:\Abteilungsprojekte\Eng\EngData\PROJECT_Bioplastics\Renjie_Pan\05-Raw_Data\Lab_results\[LabSamples2025_Bioplastic_extra.xlsx]extra_Bioplastic'!D274)</f>
        <v/>
      </c>
      <c r="E274">
        <f>IF(ISBLANK('Q:\Abteilungsprojekte\Eng\EngData\PROJECT_Bioplastics\Renjie_Pan\05-Raw_Data\Lab_results\[LabSamples2025_Bioplastic_extra.xlsx]extra_Bioplastic'!E274)," ",'Q:\Abteilungsprojekte\Eng\EngData\PROJECT_Bioplastics\Renjie_Pan\05-Raw_Data\Lab_results\[LabSamples2025_Bioplastic_extra.xlsx]extra_Bioplastic'!E274)</f>
        <v/>
      </c>
      <c r="F274">
        <f>IF(ISBLANK('Q:\Abteilungsprojekte\Eng\EngData\PROJECT_Bioplastics\Renjie_Pan\05-Raw_Data\Lab_results\[LabSamples2025_Bioplastic_extra.xlsx]extra_Bioplastic'!F274)," ",'Q:\Abteilungsprojekte\Eng\EngData\PROJECT_Bioplastics\Renjie_Pan\05-Raw_Data\Lab_results\[LabSamples2025_Bioplastic_extra.xlsx]extra_Bioplastic'!F274)</f>
        <v/>
      </c>
      <c r="G274">
        <f>IF(ISBLANK('Q:\Abteilungsprojekte\Eng\EngData\PROJECT_Bioplastics\Renjie_Pan\05-Raw_Data\Lab_results\[LabSamples2025_Bioplastic_extra.xlsx]extra_Bioplastic'!G274)," ",'Q:\Abteilungsprojekte\Eng\EngData\PROJECT_Bioplastics\Renjie_Pan\05-Raw_Data\Lab_results\[LabSamples2025_Bioplastic_extra.xlsx]extra_Bioplastic'!G274)</f>
        <v/>
      </c>
      <c r="H274">
        <f>IF(ISBLANK('Q:\Abteilungsprojekte\Eng\EngData\PROJECT_Bioplastics\Renjie_Pan\05-Raw_Data\Lab_results\[LabSamples2025_Bioplastic_extra.xlsx]extra_Bioplastic'!H274)," ",'Q:\Abteilungsprojekte\Eng\EngData\PROJECT_Bioplastics\Renjie_Pan\05-Raw_Data\Lab_results\[LabSamples2025_Bioplastic_extra.xlsx]extra_Bioplastic'!H274)</f>
        <v/>
      </c>
    </row>
    <row r="275">
      <c r="A275">
        <f>IF(ISBLANK('Q:\Abteilungsprojekte\Eng\EngData\PROJECT_Bioplastics\Renjie_Pan\05-Raw_Data\Lab_results\[LabSamples2025_Bioplastic_extra.xlsx]extra_Bioplastic'!A275)," ",'Q:\Abteilungsprojekte\Eng\EngData\PROJECT_Bioplastics\Renjie_Pan\05-Raw_Data\Lab_results\[LabSamples2025_Bioplastic_extra.xlsx]extra_Bioplastic'!A275)</f>
        <v/>
      </c>
      <c r="B275">
        <f>IF(ISBLANK('Q:\Abteilungsprojekte\Eng\EngData\PROJECT_Bioplastics\Renjie_Pan\05-Raw_Data\Lab_results\[LabSamples2025_Bioplastic_extra.xlsx]extra_Bioplastic'!B275)," ",'Q:\Abteilungsprojekte\Eng\EngData\PROJECT_Bioplastics\Renjie_Pan\05-Raw_Data\Lab_results\[LabSamples2025_Bioplastic_extra.xlsx]extra_Bioplastic'!B275)</f>
        <v/>
      </c>
      <c r="C275">
        <f>IF(ISBLANK('Q:\Abteilungsprojekte\Eng\EngData\PROJECT_Bioplastics\Renjie_Pan\05-Raw_Data\Lab_results\[LabSamples2025_Bioplastic_extra.xlsx]extra_Bioplastic'!C275)," ",'Q:\Abteilungsprojekte\Eng\EngData\PROJECT_Bioplastics\Renjie_Pan\05-Raw_Data\Lab_results\[LabSamples2025_Bioplastic_extra.xlsx]extra_Bioplastic'!C275)</f>
        <v/>
      </c>
      <c r="D275">
        <f>IF(ISBLANK('Q:\Abteilungsprojekte\Eng\EngData\PROJECT_Bioplastics\Renjie_Pan\05-Raw_Data\Lab_results\[LabSamples2025_Bioplastic_extra.xlsx]extra_Bioplastic'!D275)," ",'Q:\Abteilungsprojekte\Eng\EngData\PROJECT_Bioplastics\Renjie_Pan\05-Raw_Data\Lab_results\[LabSamples2025_Bioplastic_extra.xlsx]extra_Bioplastic'!D275)</f>
        <v/>
      </c>
      <c r="E275">
        <f>IF(ISBLANK('Q:\Abteilungsprojekte\Eng\EngData\PROJECT_Bioplastics\Renjie_Pan\05-Raw_Data\Lab_results\[LabSamples2025_Bioplastic_extra.xlsx]extra_Bioplastic'!E275)," ",'Q:\Abteilungsprojekte\Eng\EngData\PROJECT_Bioplastics\Renjie_Pan\05-Raw_Data\Lab_results\[LabSamples2025_Bioplastic_extra.xlsx]extra_Bioplastic'!E275)</f>
        <v/>
      </c>
      <c r="F275">
        <f>IF(ISBLANK('Q:\Abteilungsprojekte\Eng\EngData\PROJECT_Bioplastics\Renjie_Pan\05-Raw_Data\Lab_results\[LabSamples2025_Bioplastic_extra.xlsx]extra_Bioplastic'!F275)," ",'Q:\Abteilungsprojekte\Eng\EngData\PROJECT_Bioplastics\Renjie_Pan\05-Raw_Data\Lab_results\[LabSamples2025_Bioplastic_extra.xlsx]extra_Bioplastic'!F275)</f>
        <v/>
      </c>
      <c r="G275">
        <f>IF(ISBLANK('Q:\Abteilungsprojekte\Eng\EngData\PROJECT_Bioplastics\Renjie_Pan\05-Raw_Data\Lab_results\[LabSamples2025_Bioplastic_extra.xlsx]extra_Bioplastic'!G275)," ",'Q:\Abteilungsprojekte\Eng\EngData\PROJECT_Bioplastics\Renjie_Pan\05-Raw_Data\Lab_results\[LabSamples2025_Bioplastic_extra.xlsx]extra_Bioplastic'!G275)</f>
        <v/>
      </c>
      <c r="H275">
        <f>IF(ISBLANK('Q:\Abteilungsprojekte\Eng\EngData\PROJECT_Bioplastics\Renjie_Pan\05-Raw_Data\Lab_results\[LabSamples2025_Bioplastic_extra.xlsx]extra_Bioplastic'!H275)," ",'Q:\Abteilungsprojekte\Eng\EngData\PROJECT_Bioplastics\Renjie_Pan\05-Raw_Data\Lab_results\[LabSamples2025_Bioplastic_extra.xlsx]extra_Bioplastic'!H275)</f>
        <v/>
      </c>
    </row>
    <row r="276">
      <c r="A276">
        <f>IF(ISBLANK('Q:\Abteilungsprojekte\Eng\EngData\PROJECT_Bioplastics\Renjie_Pan\05-Raw_Data\Lab_results\[LabSamples2025_Bioplastic_extra.xlsx]extra_Bioplastic'!A276)," ",'Q:\Abteilungsprojekte\Eng\EngData\PROJECT_Bioplastics\Renjie_Pan\05-Raw_Data\Lab_results\[LabSamples2025_Bioplastic_extra.xlsx]extra_Bioplastic'!A276)</f>
        <v/>
      </c>
      <c r="B276">
        <f>IF(ISBLANK('Q:\Abteilungsprojekte\Eng\EngData\PROJECT_Bioplastics\Renjie_Pan\05-Raw_Data\Lab_results\[LabSamples2025_Bioplastic_extra.xlsx]extra_Bioplastic'!B276)," ",'Q:\Abteilungsprojekte\Eng\EngData\PROJECT_Bioplastics\Renjie_Pan\05-Raw_Data\Lab_results\[LabSamples2025_Bioplastic_extra.xlsx]extra_Bioplastic'!B276)</f>
        <v/>
      </c>
      <c r="C276">
        <f>IF(ISBLANK('Q:\Abteilungsprojekte\Eng\EngData\PROJECT_Bioplastics\Renjie_Pan\05-Raw_Data\Lab_results\[LabSamples2025_Bioplastic_extra.xlsx]extra_Bioplastic'!C276)," ",'Q:\Abteilungsprojekte\Eng\EngData\PROJECT_Bioplastics\Renjie_Pan\05-Raw_Data\Lab_results\[LabSamples2025_Bioplastic_extra.xlsx]extra_Bioplastic'!C276)</f>
        <v/>
      </c>
      <c r="D276">
        <f>IF(ISBLANK('Q:\Abteilungsprojekte\Eng\EngData\PROJECT_Bioplastics\Renjie_Pan\05-Raw_Data\Lab_results\[LabSamples2025_Bioplastic_extra.xlsx]extra_Bioplastic'!D276)," ",'Q:\Abteilungsprojekte\Eng\EngData\PROJECT_Bioplastics\Renjie_Pan\05-Raw_Data\Lab_results\[LabSamples2025_Bioplastic_extra.xlsx]extra_Bioplastic'!D276)</f>
        <v/>
      </c>
      <c r="E276">
        <f>IF(ISBLANK('Q:\Abteilungsprojekte\Eng\EngData\PROJECT_Bioplastics\Renjie_Pan\05-Raw_Data\Lab_results\[LabSamples2025_Bioplastic_extra.xlsx]extra_Bioplastic'!E276)," ",'Q:\Abteilungsprojekte\Eng\EngData\PROJECT_Bioplastics\Renjie_Pan\05-Raw_Data\Lab_results\[LabSamples2025_Bioplastic_extra.xlsx]extra_Bioplastic'!E276)</f>
        <v/>
      </c>
      <c r="F276">
        <f>IF(ISBLANK('Q:\Abteilungsprojekte\Eng\EngData\PROJECT_Bioplastics\Renjie_Pan\05-Raw_Data\Lab_results\[LabSamples2025_Bioplastic_extra.xlsx]extra_Bioplastic'!F276)," ",'Q:\Abteilungsprojekte\Eng\EngData\PROJECT_Bioplastics\Renjie_Pan\05-Raw_Data\Lab_results\[LabSamples2025_Bioplastic_extra.xlsx]extra_Bioplastic'!F276)</f>
        <v/>
      </c>
      <c r="G276">
        <f>IF(ISBLANK('Q:\Abteilungsprojekte\Eng\EngData\PROJECT_Bioplastics\Renjie_Pan\05-Raw_Data\Lab_results\[LabSamples2025_Bioplastic_extra.xlsx]extra_Bioplastic'!G276)," ",'Q:\Abteilungsprojekte\Eng\EngData\PROJECT_Bioplastics\Renjie_Pan\05-Raw_Data\Lab_results\[LabSamples2025_Bioplastic_extra.xlsx]extra_Bioplastic'!G276)</f>
        <v/>
      </c>
      <c r="H276">
        <f>IF(ISBLANK('Q:\Abteilungsprojekte\Eng\EngData\PROJECT_Bioplastics\Renjie_Pan\05-Raw_Data\Lab_results\[LabSamples2025_Bioplastic_extra.xlsx]extra_Bioplastic'!H276)," ",'Q:\Abteilungsprojekte\Eng\EngData\PROJECT_Bioplastics\Renjie_Pan\05-Raw_Data\Lab_results\[LabSamples2025_Bioplastic_extra.xlsx]extra_Bioplastic'!H276)</f>
        <v/>
      </c>
    </row>
    <row r="277">
      <c r="A277">
        <f>IF(ISBLANK('Q:\Abteilungsprojekte\Eng\EngData\PROJECT_Bioplastics\Renjie_Pan\05-Raw_Data\Lab_results\[LabSamples2025_Bioplastic_extra.xlsx]extra_Bioplastic'!A277)," ",'Q:\Abteilungsprojekte\Eng\EngData\PROJECT_Bioplastics\Renjie_Pan\05-Raw_Data\Lab_results\[LabSamples2025_Bioplastic_extra.xlsx]extra_Bioplastic'!A277)</f>
        <v/>
      </c>
      <c r="B277">
        <f>IF(ISBLANK('Q:\Abteilungsprojekte\Eng\EngData\PROJECT_Bioplastics\Renjie_Pan\05-Raw_Data\Lab_results\[LabSamples2025_Bioplastic_extra.xlsx]extra_Bioplastic'!B277)," ",'Q:\Abteilungsprojekte\Eng\EngData\PROJECT_Bioplastics\Renjie_Pan\05-Raw_Data\Lab_results\[LabSamples2025_Bioplastic_extra.xlsx]extra_Bioplastic'!B277)</f>
        <v/>
      </c>
      <c r="C277">
        <f>IF(ISBLANK('Q:\Abteilungsprojekte\Eng\EngData\PROJECT_Bioplastics\Renjie_Pan\05-Raw_Data\Lab_results\[LabSamples2025_Bioplastic_extra.xlsx]extra_Bioplastic'!C277)," ",'Q:\Abteilungsprojekte\Eng\EngData\PROJECT_Bioplastics\Renjie_Pan\05-Raw_Data\Lab_results\[LabSamples2025_Bioplastic_extra.xlsx]extra_Bioplastic'!C277)</f>
        <v/>
      </c>
      <c r="D277">
        <f>IF(ISBLANK('Q:\Abteilungsprojekte\Eng\EngData\PROJECT_Bioplastics\Renjie_Pan\05-Raw_Data\Lab_results\[LabSamples2025_Bioplastic_extra.xlsx]extra_Bioplastic'!D277)," ",'Q:\Abteilungsprojekte\Eng\EngData\PROJECT_Bioplastics\Renjie_Pan\05-Raw_Data\Lab_results\[LabSamples2025_Bioplastic_extra.xlsx]extra_Bioplastic'!D277)</f>
        <v/>
      </c>
      <c r="E277">
        <f>IF(ISBLANK('Q:\Abteilungsprojekte\Eng\EngData\PROJECT_Bioplastics\Renjie_Pan\05-Raw_Data\Lab_results\[LabSamples2025_Bioplastic_extra.xlsx]extra_Bioplastic'!E277)," ",'Q:\Abteilungsprojekte\Eng\EngData\PROJECT_Bioplastics\Renjie_Pan\05-Raw_Data\Lab_results\[LabSamples2025_Bioplastic_extra.xlsx]extra_Bioplastic'!E277)</f>
        <v/>
      </c>
      <c r="F277">
        <f>IF(ISBLANK('Q:\Abteilungsprojekte\Eng\EngData\PROJECT_Bioplastics\Renjie_Pan\05-Raw_Data\Lab_results\[LabSamples2025_Bioplastic_extra.xlsx]extra_Bioplastic'!F277)," ",'Q:\Abteilungsprojekte\Eng\EngData\PROJECT_Bioplastics\Renjie_Pan\05-Raw_Data\Lab_results\[LabSamples2025_Bioplastic_extra.xlsx]extra_Bioplastic'!F277)</f>
        <v/>
      </c>
      <c r="G277">
        <f>IF(ISBLANK('Q:\Abteilungsprojekte\Eng\EngData\PROJECT_Bioplastics\Renjie_Pan\05-Raw_Data\Lab_results\[LabSamples2025_Bioplastic_extra.xlsx]extra_Bioplastic'!G277)," ",'Q:\Abteilungsprojekte\Eng\EngData\PROJECT_Bioplastics\Renjie_Pan\05-Raw_Data\Lab_results\[LabSamples2025_Bioplastic_extra.xlsx]extra_Bioplastic'!G277)</f>
        <v/>
      </c>
      <c r="H277">
        <f>IF(ISBLANK('Q:\Abteilungsprojekte\Eng\EngData\PROJECT_Bioplastics\Renjie_Pan\05-Raw_Data\Lab_results\[LabSamples2025_Bioplastic_extra.xlsx]extra_Bioplastic'!H277)," ",'Q:\Abteilungsprojekte\Eng\EngData\PROJECT_Bioplastics\Renjie_Pan\05-Raw_Data\Lab_results\[LabSamples2025_Bioplastic_extra.xlsx]extra_Bioplastic'!H277)</f>
        <v/>
      </c>
    </row>
    <row r="278">
      <c r="A278">
        <f>IF(ISBLANK('Q:\Abteilungsprojekte\Eng\EngData\PROJECT_Bioplastics\Renjie_Pan\05-Raw_Data\Lab_results\[LabSamples2025_Bioplastic_extra.xlsx]extra_Bioplastic'!A278)," ",'Q:\Abteilungsprojekte\Eng\EngData\PROJECT_Bioplastics\Renjie_Pan\05-Raw_Data\Lab_results\[LabSamples2025_Bioplastic_extra.xlsx]extra_Bioplastic'!A278)</f>
        <v/>
      </c>
      <c r="B278">
        <f>IF(ISBLANK('Q:\Abteilungsprojekte\Eng\EngData\PROJECT_Bioplastics\Renjie_Pan\05-Raw_Data\Lab_results\[LabSamples2025_Bioplastic_extra.xlsx]extra_Bioplastic'!B278)," ",'Q:\Abteilungsprojekte\Eng\EngData\PROJECT_Bioplastics\Renjie_Pan\05-Raw_Data\Lab_results\[LabSamples2025_Bioplastic_extra.xlsx]extra_Bioplastic'!B278)</f>
        <v/>
      </c>
      <c r="C278">
        <f>IF(ISBLANK('Q:\Abteilungsprojekte\Eng\EngData\PROJECT_Bioplastics\Renjie_Pan\05-Raw_Data\Lab_results\[LabSamples2025_Bioplastic_extra.xlsx]extra_Bioplastic'!C278)," ",'Q:\Abteilungsprojekte\Eng\EngData\PROJECT_Bioplastics\Renjie_Pan\05-Raw_Data\Lab_results\[LabSamples2025_Bioplastic_extra.xlsx]extra_Bioplastic'!C278)</f>
        <v/>
      </c>
      <c r="D278">
        <f>IF(ISBLANK('Q:\Abteilungsprojekte\Eng\EngData\PROJECT_Bioplastics\Renjie_Pan\05-Raw_Data\Lab_results\[LabSamples2025_Bioplastic_extra.xlsx]extra_Bioplastic'!D278)," ",'Q:\Abteilungsprojekte\Eng\EngData\PROJECT_Bioplastics\Renjie_Pan\05-Raw_Data\Lab_results\[LabSamples2025_Bioplastic_extra.xlsx]extra_Bioplastic'!D278)</f>
        <v/>
      </c>
      <c r="E278">
        <f>IF(ISBLANK('Q:\Abteilungsprojekte\Eng\EngData\PROJECT_Bioplastics\Renjie_Pan\05-Raw_Data\Lab_results\[LabSamples2025_Bioplastic_extra.xlsx]extra_Bioplastic'!E278)," ",'Q:\Abteilungsprojekte\Eng\EngData\PROJECT_Bioplastics\Renjie_Pan\05-Raw_Data\Lab_results\[LabSamples2025_Bioplastic_extra.xlsx]extra_Bioplastic'!E278)</f>
        <v/>
      </c>
      <c r="F278">
        <f>IF(ISBLANK('Q:\Abteilungsprojekte\Eng\EngData\PROJECT_Bioplastics\Renjie_Pan\05-Raw_Data\Lab_results\[LabSamples2025_Bioplastic_extra.xlsx]extra_Bioplastic'!F278)," ",'Q:\Abteilungsprojekte\Eng\EngData\PROJECT_Bioplastics\Renjie_Pan\05-Raw_Data\Lab_results\[LabSamples2025_Bioplastic_extra.xlsx]extra_Bioplastic'!F278)</f>
        <v/>
      </c>
      <c r="G278">
        <f>IF(ISBLANK('Q:\Abteilungsprojekte\Eng\EngData\PROJECT_Bioplastics\Renjie_Pan\05-Raw_Data\Lab_results\[LabSamples2025_Bioplastic_extra.xlsx]extra_Bioplastic'!G278)," ",'Q:\Abteilungsprojekte\Eng\EngData\PROJECT_Bioplastics\Renjie_Pan\05-Raw_Data\Lab_results\[LabSamples2025_Bioplastic_extra.xlsx]extra_Bioplastic'!G278)</f>
        <v/>
      </c>
      <c r="H278">
        <f>IF(ISBLANK('Q:\Abteilungsprojekte\Eng\EngData\PROJECT_Bioplastics\Renjie_Pan\05-Raw_Data\Lab_results\[LabSamples2025_Bioplastic_extra.xlsx]extra_Bioplastic'!H278)," ",'Q:\Abteilungsprojekte\Eng\EngData\PROJECT_Bioplastics\Renjie_Pan\05-Raw_Data\Lab_results\[LabSamples2025_Bioplastic_extra.xlsx]extra_Bioplastic'!H278)</f>
        <v/>
      </c>
    </row>
    <row r="279">
      <c r="A279">
        <f>IF(ISBLANK('Q:\Abteilungsprojekte\Eng\EngData\PROJECT_Bioplastics\Renjie_Pan\05-Raw_Data\Lab_results\[LabSamples2025_Bioplastic_extra.xlsx]extra_Bioplastic'!A279)," ",'Q:\Abteilungsprojekte\Eng\EngData\PROJECT_Bioplastics\Renjie_Pan\05-Raw_Data\Lab_results\[LabSamples2025_Bioplastic_extra.xlsx]extra_Bioplastic'!A279)</f>
        <v/>
      </c>
      <c r="B279">
        <f>IF(ISBLANK('Q:\Abteilungsprojekte\Eng\EngData\PROJECT_Bioplastics\Renjie_Pan\05-Raw_Data\Lab_results\[LabSamples2025_Bioplastic_extra.xlsx]extra_Bioplastic'!B279)," ",'Q:\Abteilungsprojekte\Eng\EngData\PROJECT_Bioplastics\Renjie_Pan\05-Raw_Data\Lab_results\[LabSamples2025_Bioplastic_extra.xlsx]extra_Bioplastic'!B279)</f>
        <v/>
      </c>
      <c r="C279">
        <f>IF(ISBLANK('Q:\Abteilungsprojekte\Eng\EngData\PROJECT_Bioplastics\Renjie_Pan\05-Raw_Data\Lab_results\[LabSamples2025_Bioplastic_extra.xlsx]extra_Bioplastic'!C279)," ",'Q:\Abteilungsprojekte\Eng\EngData\PROJECT_Bioplastics\Renjie_Pan\05-Raw_Data\Lab_results\[LabSamples2025_Bioplastic_extra.xlsx]extra_Bioplastic'!C279)</f>
        <v/>
      </c>
      <c r="D279">
        <f>IF(ISBLANK('Q:\Abteilungsprojekte\Eng\EngData\PROJECT_Bioplastics\Renjie_Pan\05-Raw_Data\Lab_results\[LabSamples2025_Bioplastic_extra.xlsx]extra_Bioplastic'!D279)," ",'Q:\Abteilungsprojekte\Eng\EngData\PROJECT_Bioplastics\Renjie_Pan\05-Raw_Data\Lab_results\[LabSamples2025_Bioplastic_extra.xlsx]extra_Bioplastic'!D279)</f>
        <v/>
      </c>
      <c r="E279">
        <f>IF(ISBLANK('Q:\Abteilungsprojekte\Eng\EngData\PROJECT_Bioplastics\Renjie_Pan\05-Raw_Data\Lab_results\[LabSamples2025_Bioplastic_extra.xlsx]extra_Bioplastic'!E279)," ",'Q:\Abteilungsprojekte\Eng\EngData\PROJECT_Bioplastics\Renjie_Pan\05-Raw_Data\Lab_results\[LabSamples2025_Bioplastic_extra.xlsx]extra_Bioplastic'!E279)</f>
        <v/>
      </c>
      <c r="F279">
        <f>IF(ISBLANK('Q:\Abteilungsprojekte\Eng\EngData\PROJECT_Bioplastics\Renjie_Pan\05-Raw_Data\Lab_results\[LabSamples2025_Bioplastic_extra.xlsx]extra_Bioplastic'!F279)," ",'Q:\Abteilungsprojekte\Eng\EngData\PROJECT_Bioplastics\Renjie_Pan\05-Raw_Data\Lab_results\[LabSamples2025_Bioplastic_extra.xlsx]extra_Bioplastic'!F279)</f>
        <v/>
      </c>
      <c r="G279">
        <f>IF(ISBLANK('Q:\Abteilungsprojekte\Eng\EngData\PROJECT_Bioplastics\Renjie_Pan\05-Raw_Data\Lab_results\[LabSamples2025_Bioplastic_extra.xlsx]extra_Bioplastic'!G279)," ",'Q:\Abteilungsprojekte\Eng\EngData\PROJECT_Bioplastics\Renjie_Pan\05-Raw_Data\Lab_results\[LabSamples2025_Bioplastic_extra.xlsx]extra_Bioplastic'!G279)</f>
        <v/>
      </c>
      <c r="H279">
        <f>IF(ISBLANK('Q:\Abteilungsprojekte\Eng\EngData\PROJECT_Bioplastics\Renjie_Pan\05-Raw_Data\Lab_results\[LabSamples2025_Bioplastic_extra.xlsx]extra_Bioplastic'!H279)," ",'Q:\Abteilungsprojekte\Eng\EngData\PROJECT_Bioplastics\Renjie_Pan\05-Raw_Data\Lab_results\[LabSamples2025_Bioplastic_extra.xlsx]extra_Bioplastic'!H279)</f>
        <v/>
      </c>
    </row>
    <row r="280">
      <c r="A280">
        <f>IF(ISBLANK('Q:\Abteilungsprojekte\Eng\EngData\PROJECT_Bioplastics\Renjie_Pan\05-Raw_Data\Lab_results\[LabSamples2025_Bioplastic_extra.xlsx]extra_Bioplastic'!A280)," ",'Q:\Abteilungsprojekte\Eng\EngData\PROJECT_Bioplastics\Renjie_Pan\05-Raw_Data\Lab_results\[LabSamples2025_Bioplastic_extra.xlsx]extra_Bioplastic'!A280)</f>
        <v/>
      </c>
      <c r="B280">
        <f>IF(ISBLANK('Q:\Abteilungsprojekte\Eng\EngData\PROJECT_Bioplastics\Renjie_Pan\05-Raw_Data\Lab_results\[LabSamples2025_Bioplastic_extra.xlsx]extra_Bioplastic'!B280)," ",'Q:\Abteilungsprojekte\Eng\EngData\PROJECT_Bioplastics\Renjie_Pan\05-Raw_Data\Lab_results\[LabSamples2025_Bioplastic_extra.xlsx]extra_Bioplastic'!B280)</f>
        <v/>
      </c>
      <c r="C280">
        <f>IF(ISBLANK('Q:\Abteilungsprojekte\Eng\EngData\PROJECT_Bioplastics\Renjie_Pan\05-Raw_Data\Lab_results\[LabSamples2025_Bioplastic_extra.xlsx]extra_Bioplastic'!C280)," ",'Q:\Abteilungsprojekte\Eng\EngData\PROJECT_Bioplastics\Renjie_Pan\05-Raw_Data\Lab_results\[LabSamples2025_Bioplastic_extra.xlsx]extra_Bioplastic'!C280)</f>
        <v/>
      </c>
      <c r="D280">
        <f>IF(ISBLANK('Q:\Abteilungsprojekte\Eng\EngData\PROJECT_Bioplastics\Renjie_Pan\05-Raw_Data\Lab_results\[LabSamples2025_Bioplastic_extra.xlsx]extra_Bioplastic'!D280)," ",'Q:\Abteilungsprojekte\Eng\EngData\PROJECT_Bioplastics\Renjie_Pan\05-Raw_Data\Lab_results\[LabSamples2025_Bioplastic_extra.xlsx]extra_Bioplastic'!D280)</f>
        <v/>
      </c>
      <c r="E280">
        <f>IF(ISBLANK('Q:\Abteilungsprojekte\Eng\EngData\PROJECT_Bioplastics\Renjie_Pan\05-Raw_Data\Lab_results\[LabSamples2025_Bioplastic_extra.xlsx]extra_Bioplastic'!E280)," ",'Q:\Abteilungsprojekte\Eng\EngData\PROJECT_Bioplastics\Renjie_Pan\05-Raw_Data\Lab_results\[LabSamples2025_Bioplastic_extra.xlsx]extra_Bioplastic'!E280)</f>
        <v/>
      </c>
      <c r="F280">
        <f>IF(ISBLANK('Q:\Abteilungsprojekte\Eng\EngData\PROJECT_Bioplastics\Renjie_Pan\05-Raw_Data\Lab_results\[LabSamples2025_Bioplastic_extra.xlsx]extra_Bioplastic'!F280)," ",'Q:\Abteilungsprojekte\Eng\EngData\PROJECT_Bioplastics\Renjie_Pan\05-Raw_Data\Lab_results\[LabSamples2025_Bioplastic_extra.xlsx]extra_Bioplastic'!F280)</f>
        <v/>
      </c>
      <c r="G280">
        <f>IF(ISBLANK('Q:\Abteilungsprojekte\Eng\EngData\PROJECT_Bioplastics\Renjie_Pan\05-Raw_Data\Lab_results\[LabSamples2025_Bioplastic_extra.xlsx]extra_Bioplastic'!G280)," ",'Q:\Abteilungsprojekte\Eng\EngData\PROJECT_Bioplastics\Renjie_Pan\05-Raw_Data\Lab_results\[LabSamples2025_Bioplastic_extra.xlsx]extra_Bioplastic'!G280)</f>
        <v/>
      </c>
      <c r="H280">
        <f>IF(ISBLANK('Q:\Abteilungsprojekte\Eng\EngData\PROJECT_Bioplastics\Renjie_Pan\05-Raw_Data\Lab_results\[LabSamples2025_Bioplastic_extra.xlsx]extra_Bioplastic'!H280)," ",'Q:\Abteilungsprojekte\Eng\EngData\PROJECT_Bioplastics\Renjie_Pan\05-Raw_Data\Lab_results\[LabSamples2025_Bioplastic_extra.xlsx]extra_Bioplastic'!H280)</f>
        <v/>
      </c>
    </row>
    <row r="281">
      <c r="A281">
        <f>IF(ISBLANK('Q:\Abteilungsprojekte\Eng\EngData\PROJECT_Bioplastics\Renjie_Pan\05-Raw_Data\Lab_results\[LabSamples2025_Bioplastic_extra.xlsx]extra_Bioplastic'!A281)," ",'Q:\Abteilungsprojekte\Eng\EngData\PROJECT_Bioplastics\Renjie_Pan\05-Raw_Data\Lab_results\[LabSamples2025_Bioplastic_extra.xlsx]extra_Bioplastic'!A281)</f>
        <v/>
      </c>
      <c r="B281">
        <f>IF(ISBLANK('Q:\Abteilungsprojekte\Eng\EngData\PROJECT_Bioplastics\Renjie_Pan\05-Raw_Data\Lab_results\[LabSamples2025_Bioplastic_extra.xlsx]extra_Bioplastic'!B281)," ",'Q:\Abteilungsprojekte\Eng\EngData\PROJECT_Bioplastics\Renjie_Pan\05-Raw_Data\Lab_results\[LabSamples2025_Bioplastic_extra.xlsx]extra_Bioplastic'!B281)</f>
        <v/>
      </c>
      <c r="C281">
        <f>IF(ISBLANK('Q:\Abteilungsprojekte\Eng\EngData\PROJECT_Bioplastics\Renjie_Pan\05-Raw_Data\Lab_results\[LabSamples2025_Bioplastic_extra.xlsx]extra_Bioplastic'!C281)," ",'Q:\Abteilungsprojekte\Eng\EngData\PROJECT_Bioplastics\Renjie_Pan\05-Raw_Data\Lab_results\[LabSamples2025_Bioplastic_extra.xlsx]extra_Bioplastic'!C281)</f>
        <v/>
      </c>
      <c r="D281">
        <f>IF(ISBLANK('Q:\Abteilungsprojekte\Eng\EngData\PROJECT_Bioplastics\Renjie_Pan\05-Raw_Data\Lab_results\[LabSamples2025_Bioplastic_extra.xlsx]extra_Bioplastic'!D281)," ",'Q:\Abteilungsprojekte\Eng\EngData\PROJECT_Bioplastics\Renjie_Pan\05-Raw_Data\Lab_results\[LabSamples2025_Bioplastic_extra.xlsx]extra_Bioplastic'!D281)</f>
        <v/>
      </c>
      <c r="E281">
        <f>IF(ISBLANK('Q:\Abteilungsprojekte\Eng\EngData\PROJECT_Bioplastics\Renjie_Pan\05-Raw_Data\Lab_results\[LabSamples2025_Bioplastic_extra.xlsx]extra_Bioplastic'!E281)," ",'Q:\Abteilungsprojekte\Eng\EngData\PROJECT_Bioplastics\Renjie_Pan\05-Raw_Data\Lab_results\[LabSamples2025_Bioplastic_extra.xlsx]extra_Bioplastic'!E281)</f>
        <v/>
      </c>
      <c r="F281">
        <f>IF(ISBLANK('Q:\Abteilungsprojekte\Eng\EngData\PROJECT_Bioplastics\Renjie_Pan\05-Raw_Data\Lab_results\[LabSamples2025_Bioplastic_extra.xlsx]extra_Bioplastic'!F281)," ",'Q:\Abteilungsprojekte\Eng\EngData\PROJECT_Bioplastics\Renjie_Pan\05-Raw_Data\Lab_results\[LabSamples2025_Bioplastic_extra.xlsx]extra_Bioplastic'!F281)</f>
        <v/>
      </c>
      <c r="G281">
        <f>IF(ISBLANK('Q:\Abteilungsprojekte\Eng\EngData\PROJECT_Bioplastics\Renjie_Pan\05-Raw_Data\Lab_results\[LabSamples2025_Bioplastic_extra.xlsx]extra_Bioplastic'!G281)," ",'Q:\Abteilungsprojekte\Eng\EngData\PROJECT_Bioplastics\Renjie_Pan\05-Raw_Data\Lab_results\[LabSamples2025_Bioplastic_extra.xlsx]extra_Bioplastic'!G281)</f>
        <v/>
      </c>
      <c r="H281">
        <f>IF(ISBLANK('Q:\Abteilungsprojekte\Eng\EngData\PROJECT_Bioplastics\Renjie_Pan\05-Raw_Data\Lab_results\[LabSamples2025_Bioplastic_extra.xlsx]extra_Bioplastic'!H281)," ",'Q:\Abteilungsprojekte\Eng\EngData\PROJECT_Bioplastics\Renjie_Pan\05-Raw_Data\Lab_results\[LabSamples2025_Bioplastic_extra.xlsx]extra_Bioplastic'!H281)</f>
        <v/>
      </c>
    </row>
    <row r="282">
      <c r="A282">
        <f>IF(ISBLANK('Q:\Abteilungsprojekte\Eng\EngData\PROJECT_Bioplastics\Renjie_Pan\05-Raw_Data\Lab_results\[LabSamples2025_Bioplastic_extra.xlsx]extra_Bioplastic'!A282)," ",'Q:\Abteilungsprojekte\Eng\EngData\PROJECT_Bioplastics\Renjie_Pan\05-Raw_Data\Lab_results\[LabSamples2025_Bioplastic_extra.xlsx]extra_Bioplastic'!A282)</f>
        <v/>
      </c>
      <c r="B282">
        <f>IF(ISBLANK('Q:\Abteilungsprojekte\Eng\EngData\PROJECT_Bioplastics\Renjie_Pan\05-Raw_Data\Lab_results\[LabSamples2025_Bioplastic_extra.xlsx]extra_Bioplastic'!B282)," ",'Q:\Abteilungsprojekte\Eng\EngData\PROJECT_Bioplastics\Renjie_Pan\05-Raw_Data\Lab_results\[LabSamples2025_Bioplastic_extra.xlsx]extra_Bioplastic'!B282)</f>
        <v/>
      </c>
      <c r="C282">
        <f>IF(ISBLANK('Q:\Abteilungsprojekte\Eng\EngData\PROJECT_Bioplastics\Renjie_Pan\05-Raw_Data\Lab_results\[LabSamples2025_Bioplastic_extra.xlsx]extra_Bioplastic'!C282)," ",'Q:\Abteilungsprojekte\Eng\EngData\PROJECT_Bioplastics\Renjie_Pan\05-Raw_Data\Lab_results\[LabSamples2025_Bioplastic_extra.xlsx]extra_Bioplastic'!C282)</f>
        <v/>
      </c>
      <c r="D282">
        <f>IF(ISBLANK('Q:\Abteilungsprojekte\Eng\EngData\PROJECT_Bioplastics\Renjie_Pan\05-Raw_Data\Lab_results\[LabSamples2025_Bioplastic_extra.xlsx]extra_Bioplastic'!D282)," ",'Q:\Abteilungsprojekte\Eng\EngData\PROJECT_Bioplastics\Renjie_Pan\05-Raw_Data\Lab_results\[LabSamples2025_Bioplastic_extra.xlsx]extra_Bioplastic'!D282)</f>
        <v/>
      </c>
      <c r="E282">
        <f>IF(ISBLANK('Q:\Abteilungsprojekte\Eng\EngData\PROJECT_Bioplastics\Renjie_Pan\05-Raw_Data\Lab_results\[LabSamples2025_Bioplastic_extra.xlsx]extra_Bioplastic'!E282)," ",'Q:\Abteilungsprojekte\Eng\EngData\PROJECT_Bioplastics\Renjie_Pan\05-Raw_Data\Lab_results\[LabSamples2025_Bioplastic_extra.xlsx]extra_Bioplastic'!E282)</f>
        <v/>
      </c>
      <c r="F282">
        <f>IF(ISBLANK('Q:\Abteilungsprojekte\Eng\EngData\PROJECT_Bioplastics\Renjie_Pan\05-Raw_Data\Lab_results\[LabSamples2025_Bioplastic_extra.xlsx]extra_Bioplastic'!F282)," ",'Q:\Abteilungsprojekte\Eng\EngData\PROJECT_Bioplastics\Renjie_Pan\05-Raw_Data\Lab_results\[LabSamples2025_Bioplastic_extra.xlsx]extra_Bioplastic'!F282)</f>
        <v/>
      </c>
      <c r="G282">
        <f>IF(ISBLANK('Q:\Abteilungsprojekte\Eng\EngData\PROJECT_Bioplastics\Renjie_Pan\05-Raw_Data\Lab_results\[LabSamples2025_Bioplastic_extra.xlsx]extra_Bioplastic'!G282)," ",'Q:\Abteilungsprojekte\Eng\EngData\PROJECT_Bioplastics\Renjie_Pan\05-Raw_Data\Lab_results\[LabSamples2025_Bioplastic_extra.xlsx]extra_Bioplastic'!G282)</f>
        <v/>
      </c>
      <c r="H282">
        <f>IF(ISBLANK('Q:\Abteilungsprojekte\Eng\EngData\PROJECT_Bioplastics\Renjie_Pan\05-Raw_Data\Lab_results\[LabSamples2025_Bioplastic_extra.xlsx]extra_Bioplastic'!H282)," ",'Q:\Abteilungsprojekte\Eng\EngData\PROJECT_Bioplastics\Renjie_Pan\05-Raw_Data\Lab_results\[LabSamples2025_Bioplastic_extra.xlsx]extra_Bioplastic'!H282)</f>
        <v/>
      </c>
    </row>
    <row r="283">
      <c r="A283">
        <f>IF(ISBLANK('Q:\Abteilungsprojekte\Eng\EngData\PROJECT_Bioplastics\Renjie_Pan\05-Raw_Data\Lab_results\[LabSamples2025_Bioplastic_extra.xlsx]extra_Bioplastic'!A283)," ",'Q:\Abteilungsprojekte\Eng\EngData\PROJECT_Bioplastics\Renjie_Pan\05-Raw_Data\Lab_results\[LabSamples2025_Bioplastic_extra.xlsx]extra_Bioplastic'!A283)</f>
        <v/>
      </c>
      <c r="B283">
        <f>IF(ISBLANK('Q:\Abteilungsprojekte\Eng\EngData\PROJECT_Bioplastics\Renjie_Pan\05-Raw_Data\Lab_results\[LabSamples2025_Bioplastic_extra.xlsx]extra_Bioplastic'!B283)," ",'Q:\Abteilungsprojekte\Eng\EngData\PROJECT_Bioplastics\Renjie_Pan\05-Raw_Data\Lab_results\[LabSamples2025_Bioplastic_extra.xlsx]extra_Bioplastic'!B283)</f>
        <v/>
      </c>
      <c r="C283">
        <f>IF(ISBLANK('Q:\Abteilungsprojekte\Eng\EngData\PROJECT_Bioplastics\Renjie_Pan\05-Raw_Data\Lab_results\[LabSamples2025_Bioplastic_extra.xlsx]extra_Bioplastic'!C283)," ",'Q:\Abteilungsprojekte\Eng\EngData\PROJECT_Bioplastics\Renjie_Pan\05-Raw_Data\Lab_results\[LabSamples2025_Bioplastic_extra.xlsx]extra_Bioplastic'!C283)</f>
        <v/>
      </c>
      <c r="D283">
        <f>IF(ISBLANK('Q:\Abteilungsprojekte\Eng\EngData\PROJECT_Bioplastics\Renjie_Pan\05-Raw_Data\Lab_results\[LabSamples2025_Bioplastic_extra.xlsx]extra_Bioplastic'!D283)," ",'Q:\Abteilungsprojekte\Eng\EngData\PROJECT_Bioplastics\Renjie_Pan\05-Raw_Data\Lab_results\[LabSamples2025_Bioplastic_extra.xlsx]extra_Bioplastic'!D283)</f>
        <v/>
      </c>
      <c r="E283">
        <f>IF(ISBLANK('Q:\Abteilungsprojekte\Eng\EngData\PROJECT_Bioplastics\Renjie_Pan\05-Raw_Data\Lab_results\[LabSamples2025_Bioplastic_extra.xlsx]extra_Bioplastic'!E283)," ",'Q:\Abteilungsprojekte\Eng\EngData\PROJECT_Bioplastics\Renjie_Pan\05-Raw_Data\Lab_results\[LabSamples2025_Bioplastic_extra.xlsx]extra_Bioplastic'!E283)</f>
        <v/>
      </c>
      <c r="F283">
        <f>IF(ISBLANK('Q:\Abteilungsprojekte\Eng\EngData\PROJECT_Bioplastics\Renjie_Pan\05-Raw_Data\Lab_results\[LabSamples2025_Bioplastic_extra.xlsx]extra_Bioplastic'!F283)," ",'Q:\Abteilungsprojekte\Eng\EngData\PROJECT_Bioplastics\Renjie_Pan\05-Raw_Data\Lab_results\[LabSamples2025_Bioplastic_extra.xlsx]extra_Bioplastic'!F283)</f>
        <v/>
      </c>
      <c r="G283">
        <f>IF(ISBLANK('Q:\Abteilungsprojekte\Eng\EngData\PROJECT_Bioplastics\Renjie_Pan\05-Raw_Data\Lab_results\[LabSamples2025_Bioplastic_extra.xlsx]extra_Bioplastic'!G283)," ",'Q:\Abteilungsprojekte\Eng\EngData\PROJECT_Bioplastics\Renjie_Pan\05-Raw_Data\Lab_results\[LabSamples2025_Bioplastic_extra.xlsx]extra_Bioplastic'!G283)</f>
        <v/>
      </c>
      <c r="H283">
        <f>IF(ISBLANK('Q:\Abteilungsprojekte\Eng\EngData\PROJECT_Bioplastics\Renjie_Pan\05-Raw_Data\Lab_results\[LabSamples2025_Bioplastic_extra.xlsx]extra_Bioplastic'!H283)," ",'Q:\Abteilungsprojekte\Eng\EngData\PROJECT_Bioplastics\Renjie_Pan\05-Raw_Data\Lab_results\[LabSamples2025_Bioplastic_extra.xlsx]extra_Bioplastic'!H283)</f>
        <v/>
      </c>
    </row>
    <row r="284">
      <c r="A284">
        <f>IF(ISBLANK('Q:\Abteilungsprojekte\Eng\EngData\PROJECT_Bioplastics\Renjie_Pan\05-Raw_Data\Lab_results\[LabSamples2025_Bioplastic_extra.xlsx]extra_Bioplastic'!A284)," ",'Q:\Abteilungsprojekte\Eng\EngData\PROJECT_Bioplastics\Renjie_Pan\05-Raw_Data\Lab_results\[LabSamples2025_Bioplastic_extra.xlsx]extra_Bioplastic'!A284)</f>
        <v/>
      </c>
      <c r="B284">
        <f>IF(ISBLANK('Q:\Abteilungsprojekte\Eng\EngData\PROJECT_Bioplastics\Renjie_Pan\05-Raw_Data\Lab_results\[LabSamples2025_Bioplastic_extra.xlsx]extra_Bioplastic'!B284)," ",'Q:\Abteilungsprojekte\Eng\EngData\PROJECT_Bioplastics\Renjie_Pan\05-Raw_Data\Lab_results\[LabSamples2025_Bioplastic_extra.xlsx]extra_Bioplastic'!B284)</f>
        <v/>
      </c>
      <c r="C284">
        <f>IF(ISBLANK('Q:\Abteilungsprojekte\Eng\EngData\PROJECT_Bioplastics\Renjie_Pan\05-Raw_Data\Lab_results\[LabSamples2025_Bioplastic_extra.xlsx]extra_Bioplastic'!C284)," ",'Q:\Abteilungsprojekte\Eng\EngData\PROJECT_Bioplastics\Renjie_Pan\05-Raw_Data\Lab_results\[LabSamples2025_Bioplastic_extra.xlsx]extra_Bioplastic'!C284)</f>
        <v/>
      </c>
      <c r="D284">
        <f>IF(ISBLANK('Q:\Abteilungsprojekte\Eng\EngData\PROJECT_Bioplastics\Renjie_Pan\05-Raw_Data\Lab_results\[LabSamples2025_Bioplastic_extra.xlsx]extra_Bioplastic'!D284)," ",'Q:\Abteilungsprojekte\Eng\EngData\PROJECT_Bioplastics\Renjie_Pan\05-Raw_Data\Lab_results\[LabSamples2025_Bioplastic_extra.xlsx]extra_Bioplastic'!D284)</f>
        <v/>
      </c>
      <c r="E284">
        <f>IF(ISBLANK('Q:\Abteilungsprojekte\Eng\EngData\PROJECT_Bioplastics\Renjie_Pan\05-Raw_Data\Lab_results\[LabSamples2025_Bioplastic_extra.xlsx]extra_Bioplastic'!E284)," ",'Q:\Abteilungsprojekte\Eng\EngData\PROJECT_Bioplastics\Renjie_Pan\05-Raw_Data\Lab_results\[LabSamples2025_Bioplastic_extra.xlsx]extra_Bioplastic'!E284)</f>
        <v/>
      </c>
      <c r="F284">
        <f>IF(ISBLANK('Q:\Abteilungsprojekte\Eng\EngData\PROJECT_Bioplastics\Renjie_Pan\05-Raw_Data\Lab_results\[LabSamples2025_Bioplastic_extra.xlsx]extra_Bioplastic'!F284)," ",'Q:\Abteilungsprojekte\Eng\EngData\PROJECT_Bioplastics\Renjie_Pan\05-Raw_Data\Lab_results\[LabSamples2025_Bioplastic_extra.xlsx]extra_Bioplastic'!F284)</f>
        <v/>
      </c>
      <c r="G284">
        <f>IF(ISBLANK('Q:\Abteilungsprojekte\Eng\EngData\PROJECT_Bioplastics\Renjie_Pan\05-Raw_Data\Lab_results\[LabSamples2025_Bioplastic_extra.xlsx]extra_Bioplastic'!G284)," ",'Q:\Abteilungsprojekte\Eng\EngData\PROJECT_Bioplastics\Renjie_Pan\05-Raw_Data\Lab_results\[LabSamples2025_Bioplastic_extra.xlsx]extra_Bioplastic'!G284)</f>
        <v/>
      </c>
      <c r="H284">
        <f>IF(ISBLANK('Q:\Abteilungsprojekte\Eng\EngData\PROJECT_Bioplastics\Renjie_Pan\05-Raw_Data\Lab_results\[LabSamples2025_Bioplastic_extra.xlsx]extra_Bioplastic'!H284)," ",'Q:\Abteilungsprojekte\Eng\EngData\PROJECT_Bioplastics\Renjie_Pan\05-Raw_Data\Lab_results\[LabSamples2025_Bioplastic_extra.xlsx]extra_Bioplastic'!H284)</f>
        <v/>
      </c>
    </row>
    <row r="285">
      <c r="A285">
        <f>IF(ISBLANK('Q:\Abteilungsprojekte\Eng\EngData\PROJECT_Bioplastics\Renjie_Pan\05-Raw_Data\Lab_results\[LabSamples2025_Bioplastic_extra.xlsx]extra_Bioplastic'!A285)," ",'Q:\Abteilungsprojekte\Eng\EngData\PROJECT_Bioplastics\Renjie_Pan\05-Raw_Data\Lab_results\[LabSamples2025_Bioplastic_extra.xlsx]extra_Bioplastic'!A285)</f>
        <v/>
      </c>
      <c r="B285">
        <f>IF(ISBLANK('Q:\Abteilungsprojekte\Eng\EngData\PROJECT_Bioplastics\Renjie_Pan\05-Raw_Data\Lab_results\[LabSamples2025_Bioplastic_extra.xlsx]extra_Bioplastic'!B285)," ",'Q:\Abteilungsprojekte\Eng\EngData\PROJECT_Bioplastics\Renjie_Pan\05-Raw_Data\Lab_results\[LabSamples2025_Bioplastic_extra.xlsx]extra_Bioplastic'!B285)</f>
        <v/>
      </c>
      <c r="C285">
        <f>IF(ISBLANK('Q:\Abteilungsprojekte\Eng\EngData\PROJECT_Bioplastics\Renjie_Pan\05-Raw_Data\Lab_results\[LabSamples2025_Bioplastic_extra.xlsx]extra_Bioplastic'!C285)," ",'Q:\Abteilungsprojekte\Eng\EngData\PROJECT_Bioplastics\Renjie_Pan\05-Raw_Data\Lab_results\[LabSamples2025_Bioplastic_extra.xlsx]extra_Bioplastic'!C285)</f>
        <v/>
      </c>
      <c r="D285">
        <f>IF(ISBLANK('Q:\Abteilungsprojekte\Eng\EngData\PROJECT_Bioplastics\Renjie_Pan\05-Raw_Data\Lab_results\[LabSamples2025_Bioplastic_extra.xlsx]extra_Bioplastic'!D285)," ",'Q:\Abteilungsprojekte\Eng\EngData\PROJECT_Bioplastics\Renjie_Pan\05-Raw_Data\Lab_results\[LabSamples2025_Bioplastic_extra.xlsx]extra_Bioplastic'!D285)</f>
        <v/>
      </c>
      <c r="E285">
        <f>IF(ISBLANK('Q:\Abteilungsprojekte\Eng\EngData\PROJECT_Bioplastics\Renjie_Pan\05-Raw_Data\Lab_results\[LabSamples2025_Bioplastic_extra.xlsx]extra_Bioplastic'!E285)," ",'Q:\Abteilungsprojekte\Eng\EngData\PROJECT_Bioplastics\Renjie_Pan\05-Raw_Data\Lab_results\[LabSamples2025_Bioplastic_extra.xlsx]extra_Bioplastic'!E285)</f>
        <v/>
      </c>
      <c r="F285">
        <f>IF(ISBLANK('Q:\Abteilungsprojekte\Eng\EngData\PROJECT_Bioplastics\Renjie_Pan\05-Raw_Data\Lab_results\[LabSamples2025_Bioplastic_extra.xlsx]extra_Bioplastic'!F285)," ",'Q:\Abteilungsprojekte\Eng\EngData\PROJECT_Bioplastics\Renjie_Pan\05-Raw_Data\Lab_results\[LabSamples2025_Bioplastic_extra.xlsx]extra_Bioplastic'!F285)</f>
        <v/>
      </c>
      <c r="G285">
        <f>IF(ISBLANK('Q:\Abteilungsprojekte\Eng\EngData\PROJECT_Bioplastics\Renjie_Pan\05-Raw_Data\Lab_results\[LabSamples2025_Bioplastic_extra.xlsx]extra_Bioplastic'!G285)," ",'Q:\Abteilungsprojekte\Eng\EngData\PROJECT_Bioplastics\Renjie_Pan\05-Raw_Data\Lab_results\[LabSamples2025_Bioplastic_extra.xlsx]extra_Bioplastic'!G285)</f>
        <v/>
      </c>
      <c r="H285">
        <f>IF(ISBLANK('Q:\Abteilungsprojekte\Eng\EngData\PROJECT_Bioplastics\Renjie_Pan\05-Raw_Data\Lab_results\[LabSamples2025_Bioplastic_extra.xlsx]extra_Bioplastic'!H285)," ",'Q:\Abteilungsprojekte\Eng\EngData\PROJECT_Bioplastics\Renjie_Pan\05-Raw_Data\Lab_results\[LabSamples2025_Bioplastic_extra.xlsx]extra_Bioplastic'!H285)</f>
        <v/>
      </c>
    </row>
    <row r="286">
      <c r="A286">
        <f>IF(ISBLANK('Q:\Abteilungsprojekte\Eng\EngData\PROJECT_Bioplastics\Renjie_Pan\05-Raw_Data\Lab_results\[LabSamples2025_Bioplastic_extra.xlsx]extra_Bioplastic'!A286)," ",'Q:\Abteilungsprojekte\Eng\EngData\PROJECT_Bioplastics\Renjie_Pan\05-Raw_Data\Lab_results\[LabSamples2025_Bioplastic_extra.xlsx]extra_Bioplastic'!A286)</f>
        <v/>
      </c>
      <c r="B286">
        <f>IF(ISBLANK('Q:\Abteilungsprojekte\Eng\EngData\PROJECT_Bioplastics\Renjie_Pan\05-Raw_Data\Lab_results\[LabSamples2025_Bioplastic_extra.xlsx]extra_Bioplastic'!B286)," ",'Q:\Abteilungsprojekte\Eng\EngData\PROJECT_Bioplastics\Renjie_Pan\05-Raw_Data\Lab_results\[LabSamples2025_Bioplastic_extra.xlsx]extra_Bioplastic'!B286)</f>
        <v/>
      </c>
      <c r="C286">
        <f>IF(ISBLANK('Q:\Abteilungsprojekte\Eng\EngData\PROJECT_Bioplastics\Renjie_Pan\05-Raw_Data\Lab_results\[LabSamples2025_Bioplastic_extra.xlsx]extra_Bioplastic'!C286)," ",'Q:\Abteilungsprojekte\Eng\EngData\PROJECT_Bioplastics\Renjie_Pan\05-Raw_Data\Lab_results\[LabSamples2025_Bioplastic_extra.xlsx]extra_Bioplastic'!C286)</f>
        <v/>
      </c>
      <c r="D286">
        <f>IF(ISBLANK('Q:\Abteilungsprojekte\Eng\EngData\PROJECT_Bioplastics\Renjie_Pan\05-Raw_Data\Lab_results\[LabSamples2025_Bioplastic_extra.xlsx]extra_Bioplastic'!D286)," ",'Q:\Abteilungsprojekte\Eng\EngData\PROJECT_Bioplastics\Renjie_Pan\05-Raw_Data\Lab_results\[LabSamples2025_Bioplastic_extra.xlsx]extra_Bioplastic'!D286)</f>
        <v/>
      </c>
      <c r="E286">
        <f>IF(ISBLANK('Q:\Abteilungsprojekte\Eng\EngData\PROJECT_Bioplastics\Renjie_Pan\05-Raw_Data\Lab_results\[LabSamples2025_Bioplastic_extra.xlsx]extra_Bioplastic'!E286)," ",'Q:\Abteilungsprojekte\Eng\EngData\PROJECT_Bioplastics\Renjie_Pan\05-Raw_Data\Lab_results\[LabSamples2025_Bioplastic_extra.xlsx]extra_Bioplastic'!E286)</f>
        <v/>
      </c>
      <c r="F286">
        <f>IF(ISBLANK('Q:\Abteilungsprojekte\Eng\EngData\PROJECT_Bioplastics\Renjie_Pan\05-Raw_Data\Lab_results\[LabSamples2025_Bioplastic_extra.xlsx]extra_Bioplastic'!F286)," ",'Q:\Abteilungsprojekte\Eng\EngData\PROJECT_Bioplastics\Renjie_Pan\05-Raw_Data\Lab_results\[LabSamples2025_Bioplastic_extra.xlsx]extra_Bioplastic'!F286)</f>
        <v/>
      </c>
      <c r="G286">
        <f>IF(ISBLANK('Q:\Abteilungsprojekte\Eng\EngData\PROJECT_Bioplastics\Renjie_Pan\05-Raw_Data\Lab_results\[LabSamples2025_Bioplastic_extra.xlsx]extra_Bioplastic'!G286)," ",'Q:\Abteilungsprojekte\Eng\EngData\PROJECT_Bioplastics\Renjie_Pan\05-Raw_Data\Lab_results\[LabSamples2025_Bioplastic_extra.xlsx]extra_Bioplastic'!G286)</f>
        <v/>
      </c>
      <c r="H286">
        <f>IF(ISBLANK('Q:\Abteilungsprojekte\Eng\EngData\PROJECT_Bioplastics\Renjie_Pan\05-Raw_Data\Lab_results\[LabSamples2025_Bioplastic_extra.xlsx]extra_Bioplastic'!H286)," ",'Q:\Abteilungsprojekte\Eng\EngData\PROJECT_Bioplastics\Renjie_Pan\05-Raw_Data\Lab_results\[LabSamples2025_Bioplastic_extra.xlsx]extra_Bioplastic'!H286)</f>
        <v/>
      </c>
    </row>
    <row r="287">
      <c r="A287">
        <f>IF(ISBLANK('Q:\Abteilungsprojekte\Eng\EngData\PROJECT_Bioplastics\Renjie_Pan\05-Raw_Data\Lab_results\[LabSamples2025_Bioplastic_extra.xlsx]extra_Bioplastic'!A287)," ",'Q:\Abteilungsprojekte\Eng\EngData\PROJECT_Bioplastics\Renjie_Pan\05-Raw_Data\Lab_results\[LabSamples2025_Bioplastic_extra.xlsx]extra_Bioplastic'!A287)</f>
        <v/>
      </c>
      <c r="B287">
        <f>IF(ISBLANK('Q:\Abteilungsprojekte\Eng\EngData\PROJECT_Bioplastics\Renjie_Pan\05-Raw_Data\Lab_results\[LabSamples2025_Bioplastic_extra.xlsx]extra_Bioplastic'!B287)," ",'Q:\Abteilungsprojekte\Eng\EngData\PROJECT_Bioplastics\Renjie_Pan\05-Raw_Data\Lab_results\[LabSamples2025_Bioplastic_extra.xlsx]extra_Bioplastic'!B287)</f>
        <v/>
      </c>
      <c r="C287">
        <f>IF(ISBLANK('Q:\Abteilungsprojekte\Eng\EngData\PROJECT_Bioplastics\Renjie_Pan\05-Raw_Data\Lab_results\[LabSamples2025_Bioplastic_extra.xlsx]extra_Bioplastic'!C287)," ",'Q:\Abteilungsprojekte\Eng\EngData\PROJECT_Bioplastics\Renjie_Pan\05-Raw_Data\Lab_results\[LabSamples2025_Bioplastic_extra.xlsx]extra_Bioplastic'!C287)</f>
        <v/>
      </c>
      <c r="D287">
        <f>IF(ISBLANK('Q:\Abteilungsprojekte\Eng\EngData\PROJECT_Bioplastics\Renjie_Pan\05-Raw_Data\Lab_results\[LabSamples2025_Bioplastic_extra.xlsx]extra_Bioplastic'!D287)," ",'Q:\Abteilungsprojekte\Eng\EngData\PROJECT_Bioplastics\Renjie_Pan\05-Raw_Data\Lab_results\[LabSamples2025_Bioplastic_extra.xlsx]extra_Bioplastic'!D287)</f>
        <v/>
      </c>
      <c r="E287">
        <f>IF(ISBLANK('Q:\Abteilungsprojekte\Eng\EngData\PROJECT_Bioplastics\Renjie_Pan\05-Raw_Data\Lab_results\[LabSamples2025_Bioplastic_extra.xlsx]extra_Bioplastic'!E287)," ",'Q:\Abteilungsprojekte\Eng\EngData\PROJECT_Bioplastics\Renjie_Pan\05-Raw_Data\Lab_results\[LabSamples2025_Bioplastic_extra.xlsx]extra_Bioplastic'!E287)</f>
        <v/>
      </c>
      <c r="F287">
        <f>IF(ISBLANK('Q:\Abteilungsprojekte\Eng\EngData\PROJECT_Bioplastics\Renjie_Pan\05-Raw_Data\Lab_results\[LabSamples2025_Bioplastic_extra.xlsx]extra_Bioplastic'!F287)," ",'Q:\Abteilungsprojekte\Eng\EngData\PROJECT_Bioplastics\Renjie_Pan\05-Raw_Data\Lab_results\[LabSamples2025_Bioplastic_extra.xlsx]extra_Bioplastic'!F287)</f>
        <v/>
      </c>
      <c r="G287">
        <f>IF(ISBLANK('Q:\Abteilungsprojekte\Eng\EngData\PROJECT_Bioplastics\Renjie_Pan\05-Raw_Data\Lab_results\[LabSamples2025_Bioplastic_extra.xlsx]extra_Bioplastic'!G287)," ",'Q:\Abteilungsprojekte\Eng\EngData\PROJECT_Bioplastics\Renjie_Pan\05-Raw_Data\Lab_results\[LabSamples2025_Bioplastic_extra.xlsx]extra_Bioplastic'!G287)</f>
        <v/>
      </c>
      <c r="H287">
        <f>IF(ISBLANK('Q:\Abteilungsprojekte\Eng\EngData\PROJECT_Bioplastics\Renjie_Pan\05-Raw_Data\Lab_results\[LabSamples2025_Bioplastic_extra.xlsx]extra_Bioplastic'!H287)," ",'Q:\Abteilungsprojekte\Eng\EngData\PROJECT_Bioplastics\Renjie_Pan\05-Raw_Data\Lab_results\[LabSamples2025_Bioplastic_extra.xlsx]extra_Bioplastic'!H287)</f>
        <v/>
      </c>
    </row>
    <row r="288">
      <c r="A288">
        <f>IF(ISBLANK('Q:\Abteilungsprojekte\Eng\EngData\PROJECT_Bioplastics\Renjie_Pan\05-Raw_Data\Lab_results\[LabSamples2025_Bioplastic_extra.xlsx]extra_Bioplastic'!A288)," ",'Q:\Abteilungsprojekte\Eng\EngData\PROJECT_Bioplastics\Renjie_Pan\05-Raw_Data\Lab_results\[LabSamples2025_Bioplastic_extra.xlsx]extra_Bioplastic'!A288)</f>
        <v/>
      </c>
      <c r="B288">
        <f>IF(ISBLANK('Q:\Abteilungsprojekte\Eng\EngData\PROJECT_Bioplastics\Renjie_Pan\05-Raw_Data\Lab_results\[LabSamples2025_Bioplastic_extra.xlsx]extra_Bioplastic'!B288)," ",'Q:\Abteilungsprojekte\Eng\EngData\PROJECT_Bioplastics\Renjie_Pan\05-Raw_Data\Lab_results\[LabSamples2025_Bioplastic_extra.xlsx]extra_Bioplastic'!B288)</f>
        <v/>
      </c>
      <c r="C288">
        <f>IF(ISBLANK('Q:\Abteilungsprojekte\Eng\EngData\PROJECT_Bioplastics\Renjie_Pan\05-Raw_Data\Lab_results\[LabSamples2025_Bioplastic_extra.xlsx]extra_Bioplastic'!C288)," ",'Q:\Abteilungsprojekte\Eng\EngData\PROJECT_Bioplastics\Renjie_Pan\05-Raw_Data\Lab_results\[LabSamples2025_Bioplastic_extra.xlsx]extra_Bioplastic'!C288)</f>
        <v/>
      </c>
      <c r="D288">
        <f>IF(ISBLANK('Q:\Abteilungsprojekte\Eng\EngData\PROJECT_Bioplastics\Renjie_Pan\05-Raw_Data\Lab_results\[LabSamples2025_Bioplastic_extra.xlsx]extra_Bioplastic'!D288)," ",'Q:\Abteilungsprojekte\Eng\EngData\PROJECT_Bioplastics\Renjie_Pan\05-Raw_Data\Lab_results\[LabSamples2025_Bioplastic_extra.xlsx]extra_Bioplastic'!D288)</f>
        <v/>
      </c>
      <c r="E288">
        <f>IF(ISBLANK('Q:\Abteilungsprojekte\Eng\EngData\PROJECT_Bioplastics\Renjie_Pan\05-Raw_Data\Lab_results\[LabSamples2025_Bioplastic_extra.xlsx]extra_Bioplastic'!E288)," ",'Q:\Abteilungsprojekte\Eng\EngData\PROJECT_Bioplastics\Renjie_Pan\05-Raw_Data\Lab_results\[LabSamples2025_Bioplastic_extra.xlsx]extra_Bioplastic'!E288)</f>
        <v/>
      </c>
      <c r="F288">
        <f>IF(ISBLANK('Q:\Abteilungsprojekte\Eng\EngData\PROJECT_Bioplastics\Renjie_Pan\05-Raw_Data\Lab_results\[LabSamples2025_Bioplastic_extra.xlsx]extra_Bioplastic'!F288)," ",'Q:\Abteilungsprojekte\Eng\EngData\PROJECT_Bioplastics\Renjie_Pan\05-Raw_Data\Lab_results\[LabSamples2025_Bioplastic_extra.xlsx]extra_Bioplastic'!F288)</f>
        <v/>
      </c>
      <c r="G288">
        <f>IF(ISBLANK('Q:\Abteilungsprojekte\Eng\EngData\PROJECT_Bioplastics\Renjie_Pan\05-Raw_Data\Lab_results\[LabSamples2025_Bioplastic_extra.xlsx]extra_Bioplastic'!G288)," ",'Q:\Abteilungsprojekte\Eng\EngData\PROJECT_Bioplastics\Renjie_Pan\05-Raw_Data\Lab_results\[LabSamples2025_Bioplastic_extra.xlsx]extra_Bioplastic'!G288)</f>
        <v/>
      </c>
      <c r="H288">
        <f>IF(ISBLANK('Q:\Abteilungsprojekte\Eng\EngData\PROJECT_Bioplastics\Renjie_Pan\05-Raw_Data\Lab_results\[LabSamples2025_Bioplastic_extra.xlsx]extra_Bioplastic'!H288)," ",'Q:\Abteilungsprojekte\Eng\EngData\PROJECT_Bioplastics\Renjie_Pan\05-Raw_Data\Lab_results\[LabSamples2025_Bioplastic_extra.xlsx]extra_Bioplastic'!H288)</f>
        <v/>
      </c>
    </row>
    <row r="289">
      <c r="A289">
        <f>IF(ISBLANK('Q:\Abteilungsprojekte\Eng\EngData\PROJECT_Bioplastics\Renjie_Pan\05-Raw_Data\Lab_results\[LabSamples2025_Bioplastic_extra.xlsx]extra_Bioplastic'!A289)," ",'Q:\Abteilungsprojekte\Eng\EngData\PROJECT_Bioplastics\Renjie_Pan\05-Raw_Data\Lab_results\[LabSamples2025_Bioplastic_extra.xlsx]extra_Bioplastic'!A289)</f>
        <v/>
      </c>
      <c r="B289">
        <f>IF(ISBLANK('Q:\Abteilungsprojekte\Eng\EngData\PROJECT_Bioplastics\Renjie_Pan\05-Raw_Data\Lab_results\[LabSamples2025_Bioplastic_extra.xlsx]extra_Bioplastic'!B289)," ",'Q:\Abteilungsprojekte\Eng\EngData\PROJECT_Bioplastics\Renjie_Pan\05-Raw_Data\Lab_results\[LabSamples2025_Bioplastic_extra.xlsx]extra_Bioplastic'!B289)</f>
        <v/>
      </c>
      <c r="C289">
        <f>IF(ISBLANK('Q:\Abteilungsprojekte\Eng\EngData\PROJECT_Bioplastics\Renjie_Pan\05-Raw_Data\Lab_results\[LabSamples2025_Bioplastic_extra.xlsx]extra_Bioplastic'!C289)," ",'Q:\Abteilungsprojekte\Eng\EngData\PROJECT_Bioplastics\Renjie_Pan\05-Raw_Data\Lab_results\[LabSamples2025_Bioplastic_extra.xlsx]extra_Bioplastic'!C289)</f>
        <v/>
      </c>
      <c r="D289">
        <f>IF(ISBLANK('Q:\Abteilungsprojekte\Eng\EngData\PROJECT_Bioplastics\Renjie_Pan\05-Raw_Data\Lab_results\[LabSamples2025_Bioplastic_extra.xlsx]extra_Bioplastic'!D289)," ",'Q:\Abteilungsprojekte\Eng\EngData\PROJECT_Bioplastics\Renjie_Pan\05-Raw_Data\Lab_results\[LabSamples2025_Bioplastic_extra.xlsx]extra_Bioplastic'!D289)</f>
        <v/>
      </c>
      <c r="E289">
        <f>IF(ISBLANK('Q:\Abteilungsprojekte\Eng\EngData\PROJECT_Bioplastics\Renjie_Pan\05-Raw_Data\Lab_results\[LabSamples2025_Bioplastic_extra.xlsx]extra_Bioplastic'!E289)," ",'Q:\Abteilungsprojekte\Eng\EngData\PROJECT_Bioplastics\Renjie_Pan\05-Raw_Data\Lab_results\[LabSamples2025_Bioplastic_extra.xlsx]extra_Bioplastic'!E289)</f>
        <v/>
      </c>
      <c r="F289">
        <f>IF(ISBLANK('Q:\Abteilungsprojekte\Eng\EngData\PROJECT_Bioplastics\Renjie_Pan\05-Raw_Data\Lab_results\[LabSamples2025_Bioplastic_extra.xlsx]extra_Bioplastic'!F289)," ",'Q:\Abteilungsprojekte\Eng\EngData\PROJECT_Bioplastics\Renjie_Pan\05-Raw_Data\Lab_results\[LabSamples2025_Bioplastic_extra.xlsx]extra_Bioplastic'!F289)</f>
        <v/>
      </c>
      <c r="G289">
        <f>IF(ISBLANK('Q:\Abteilungsprojekte\Eng\EngData\PROJECT_Bioplastics\Renjie_Pan\05-Raw_Data\Lab_results\[LabSamples2025_Bioplastic_extra.xlsx]extra_Bioplastic'!G289)," ",'Q:\Abteilungsprojekte\Eng\EngData\PROJECT_Bioplastics\Renjie_Pan\05-Raw_Data\Lab_results\[LabSamples2025_Bioplastic_extra.xlsx]extra_Bioplastic'!G289)</f>
        <v/>
      </c>
      <c r="H289">
        <f>IF(ISBLANK('Q:\Abteilungsprojekte\Eng\EngData\PROJECT_Bioplastics\Renjie_Pan\05-Raw_Data\Lab_results\[LabSamples2025_Bioplastic_extra.xlsx]extra_Bioplastic'!H289)," ",'Q:\Abteilungsprojekte\Eng\EngData\PROJECT_Bioplastics\Renjie_Pan\05-Raw_Data\Lab_results\[LabSamples2025_Bioplastic_extra.xlsx]extra_Bioplastic'!H289)</f>
        <v/>
      </c>
    </row>
    <row r="290">
      <c r="A290">
        <f>IF(ISBLANK('Q:\Abteilungsprojekte\Eng\EngData\PROJECT_Bioplastics\Renjie_Pan\05-Raw_Data\Lab_results\[LabSamples2025_Bioplastic_extra.xlsx]extra_Bioplastic'!A290)," ",'Q:\Abteilungsprojekte\Eng\EngData\PROJECT_Bioplastics\Renjie_Pan\05-Raw_Data\Lab_results\[LabSamples2025_Bioplastic_extra.xlsx]extra_Bioplastic'!A290)</f>
        <v/>
      </c>
      <c r="B290">
        <f>IF(ISBLANK('Q:\Abteilungsprojekte\Eng\EngData\PROJECT_Bioplastics\Renjie_Pan\05-Raw_Data\Lab_results\[LabSamples2025_Bioplastic_extra.xlsx]extra_Bioplastic'!B290)," ",'Q:\Abteilungsprojekte\Eng\EngData\PROJECT_Bioplastics\Renjie_Pan\05-Raw_Data\Lab_results\[LabSamples2025_Bioplastic_extra.xlsx]extra_Bioplastic'!B290)</f>
        <v/>
      </c>
      <c r="C290">
        <f>IF(ISBLANK('Q:\Abteilungsprojekte\Eng\EngData\PROJECT_Bioplastics\Renjie_Pan\05-Raw_Data\Lab_results\[LabSamples2025_Bioplastic_extra.xlsx]extra_Bioplastic'!C290)," ",'Q:\Abteilungsprojekte\Eng\EngData\PROJECT_Bioplastics\Renjie_Pan\05-Raw_Data\Lab_results\[LabSamples2025_Bioplastic_extra.xlsx]extra_Bioplastic'!C290)</f>
        <v/>
      </c>
      <c r="D290">
        <f>IF(ISBLANK('Q:\Abteilungsprojekte\Eng\EngData\PROJECT_Bioplastics\Renjie_Pan\05-Raw_Data\Lab_results\[LabSamples2025_Bioplastic_extra.xlsx]extra_Bioplastic'!D290)," ",'Q:\Abteilungsprojekte\Eng\EngData\PROJECT_Bioplastics\Renjie_Pan\05-Raw_Data\Lab_results\[LabSamples2025_Bioplastic_extra.xlsx]extra_Bioplastic'!D290)</f>
        <v/>
      </c>
      <c r="E290">
        <f>IF(ISBLANK('Q:\Abteilungsprojekte\Eng\EngData\PROJECT_Bioplastics\Renjie_Pan\05-Raw_Data\Lab_results\[LabSamples2025_Bioplastic_extra.xlsx]extra_Bioplastic'!E290)," ",'Q:\Abteilungsprojekte\Eng\EngData\PROJECT_Bioplastics\Renjie_Pan\05-Raw_Data\Lab_results\[LabSamples2025_Bioplastic_extra.xlsx]extra_Bioplastic'!E290)</f>
        <v/>
      </c>
      <c r="F290">
        <f>IF(ISBLANK('Q:\Abteilungsprojekte\Eng\EngData\PROJECT_Bioplastics\Renjie_Pan\05-Raw_Data\Lab_results\[LabSamples2025_Bioplastic_extra.xlsx]extra_Bioplastic'!F290)," ",'Q:\Abteilungsprojekte\Eng\EngData\PROJECT_Bioplastics\Renjie_Pan\05-Raw_Data\Lab_results\[LabSamples2025_Bioplastic_extra.xlsx]extra_Bioplastic'!F290)</f>
        <v/>
      </c>
      <c r="G290">
        <f>IF(ISBLANK('Q:\Abteilungsprojekte\Eng\EngData\PROJECT_Bioplastics\Renjie_Pan\05-Raw_Data\Lab_results\[LabSamples2025_Bioplastic_extra.xlsx]extra_Bioplastic'!G290)," ",'Q:\Abteilungsprojekte\Eng\EngData\PROJECT_Bioplastics\Renjie_Pan\05-Raw_Data\Lab_results\[LabSamples2025_Bioplastic_extra.xlsx]extra_Bioplastic'!G290)</f>
        <v/>
      </c>
      <c r="H290">
        <f>IF(ISBLANK('Q:\Abteilungsprojekte\Eng\EngData\PROJECT_Bioplastics\Renjie_Pan\05-Raw_Data\Lab_results\[LabSamples2025_Bioplastic_extra.xlsx]extra_Bioplastic'!H290)," ",'Q:\Abteilungsprojekte\Eng\EngData\PROJECT_Bioplastics\Renjie_Pan\05-Raw_Data\Lab_results\[LabSamples2025_Bioplastic_extra.xlsx]extra_Bioplastic'!H290)</f>
        <v/>
      </c>
    </row>
    <row r="291">
      <c r="A291">
        <f>IF(ISBLANK('Q:\Abteilungsprojekte\Eng\EngData\PROJECT_Bioplastics\Renjie_Pan\05-Raw_Data\Lab_results\[LabSamples2025_Bioplastic_extra.xlsx]extra_Bioplastic'!A291)," ",'Q:\Abteilungsprojekte\Eng\EngData\PROJECT_Bioplastics\Renjie_Pan\05-Raw_Data\Lab_results\[LabSamples2025_Bioplastic_extra.xlsx]extra_Bioplastic'!A291)</f>
        <v/>
      </c>
      <c r="B291">
        <f>IF(ISBLANK('Q:\Abteilungsprojekte\Eng\EngData\PROJECT_Bioplastics\Renjie_Pan\05-Raw_Data\Lab_results\[LabSamples2025_Bioplastic_extra.xlsx]extra_Bioplastic'!B291)," ",'Q:\Abteilungsprojekte\Eng\EngData\PROJECT_Bioplastics\Renjie_Pan\05-Raw_Data\Lab_results\[LabSamples2025_Bioplastic_extra.xlsx]extra_Bioplastic'!B291)</f>
        <v/>
      </c>
      <c r="C291">
        <f>IF(ISBLANK('Q:\Abteilungsprojekte\Eng\EngData\PROJECT_Bioplastics\Renjie_Pan\05-Raw_Data\Lab_results\[LabSamples2025_Bioplastic_extra.xlsx]extra_Bioplastic'!C291)," ",'Q:\Abteilungsprojekte\Eng\EngData\PROJECT_Bioplastics\Renjie_Pan\05-Raw_Data\Lab_results\[LabSamples2025_Bioplastic_extra.xlsx]extra_Bioplastic'!C291)</f>
        <v/>
      </c>
      <c r="D291">
        <f>IF(ISBLANK('Q:\Abteilungsprojekte\Eng\EngData\PROJECT_Bioplastics\Renjie_Pan\05-Raw_Data\Lab_results\[LabSamples2025_Bioplastic_extra.xlsx]extra_Bioplastic'!D291)," ",'Q:\Abteilungsprojekte\Eng\EngData\PROJECT_Bioplastics\Renjie_Pan\05-Raw_Data\Lab_results\[LabSamples2025_Bioplastic_extra.xlsx]extra_Bioplastic'!D291)</f>
        <v/>
      </c>
      <c r="E291">
        <f>IF(ISBLANK('Q:\Abteilungsprojekte\Eng\EngData\PROJECT_Bioplastics\Renjie_Pan\05-Raw_Data\Lab_results\[LabSamples2025_Bioplastic_extra.xlsx]extra_Bioplastic'!E291)," ",'Q:\Abteilungsprojekte\Eng\EngData\PROJECT_Bioplastics\Renjie_Pan\05-Raw_Data\Lab_results\[LabSamples2025_Bioplastic_extra.xlsx]extra_Bioplastic'!E291)</f>
        <v/>
      </c>
      <c r="F291">
        <f>IF(ISBLANK('Q:\Abteilungsprojekte\Eng\EngData\PROJECT_Bioplastics\Renjie_Pan\05-Raw_Data\Lab_results\[LabSamples2025_Bioplastic_extra.xlsx]extra_Bioplastic'!F291)," ",'Q:\Abteilungsprojekte\Eng\EngData\PROJECT_Bioplastics\Renjie_Pan\05-Raw_Data\Lab_results\[LabSamples2025_Bioplastic_extra.xlsx]extra_Bioplastic'!F291)</f>
        <v/>
      </c>
      <c r="G291">
        <f>IF(ISBLANK('Q:\Abteilungsprojekte\Eng\EngData\PROJECT_Bioplastics\Renjie_Pan\05-Raw_Data\Lab_results\[LabSamples2025_Bioplastic_extra.xlsx]extra_Bioplastic'!G291)," ",'Q:\Abteilungsprojekte\Eng\EngData\PROJECT_Bioplastics\Renjie_Pan\05-Raw_Data\Lab_results\[LabSamples2025_Bioplastic_extra.xlsx]extra_Bioplastic'!G291)</f>
        <v/>
      </c>
      <c r="H291">
        <f>IF(ISBLANK('Q:\Abteilungsprojekte\Eng\EngData\PROJECT_Bioplastics\Renjie_Pan\05-Raw_Data\Lab_results\[LabSamples2025_Bioplastic_extra.xlsx]extra_Bioplastic'!H291)," ",'Q:\Abteilungsprojekte\Eng\EngData\PROJECT_Bioplastics\Renjie_Pan\05-Raw_Data\Lab_results\[LabSamples2025_Bioplastic_extra.xlsx]extra_Bioplastic'!H291)</f>
        <v/>
      </c>
    </row>
    <row r="292">
      <c r="A292">
        <f>IF(ISBLANK('Q:\Abteilungsprojekte\Eng\EngData\PROJECT_Bioplastics\Renjie_Pan\05-Raw_Data\Lab_results\[LabSamples2025_Bioplastic_extra.xlsx]extra_Bioplastic'!A292)," ",'Q:\Abteilungsprojekte\Eng\EngData\PROJECT_Bioplastics\Renjie_Pan\05-Raw_Data\Lab_results\[LabSamples2025_Bioplastic_extra.xlsx]extra_Bioplastic'!A292)</f>
        <v/>
      </c>
      <c r="B292">
        <f>IF(ISBLANK('Q:\Abteilungsprojekte\Eng\EngData\PROJECT_Bioplastics\Renjie_Pan\05-Raw_Data\Lab_results\[LabSamples2025_Bioplastic_extra.xlsx]extra_Bioplastic'!B292)," ",'Q:\Abteilungsprojekte\Eng\EngData\PROJECT_Bioplastics\Renjie_Pan\05-Raw_Data\Lab_results\[LabSamples2025_Bioplastic_extra.xlsx]extra_Bioplastic'!B292)</f>
        <v/>
      </c>
      <c r="C292">
        <f>IF(ISBLANK('Q:\Abteilungsprojekte\Eng\EngData\PROJECT_Bioplastics\Renjie_Pan\05-Raw_Data\Lab_results\[LabSamples2025_Bioplastic_extra.xlsx]extra_Bioplastic'!C292)," ",'Q:\Abteilungsprojekte\Eng\EngData\PROJECT_Bioplastics\Renjie_Pan\05-Raw_Data\Lab_results\[LabSamples2025_Bioplastic_extra.xlsx]extra_Bioplastic'!C292)</f>
        <v/>
      </c>
      <c r="D292">
        <f>IF(ISBLANK('Q:\Abteilungsprojekte\Eng\EngData\PROJECT_Bioplastics\Renjie_Pan\05-Raw_Data\Lab_results\[LabSamples2025_Bioplastic_extra.xlsx]extra_Bioplastic'!D292)," ",'Q:\Abteilungsprojekte\Eng\EngData\PROJECT_Bioplastics\Renjie_Pan\05-Raw_Data\Lab_results\[LabSamples2025_Bioplastic_extra.xlsx]extra_Bioplastic'!D292)</f>
        <v/>
      </c>
      <c r="E292">
        <f>IF(ISBLANK('Q:\Abteilungsprojekte\Eng\EngData\PROJECT_Bioplastics\Renjie_Pan\05-Raw_Data\Lab_results\[LabSamples2025_Bioplastic_extra.xlsx]extra_Bioplastic'!E292)," ",'Q:\Abteilungsprojekte\Eng\EngData\PROJECT_Bioplastics\Renjie_Pan\05-Raw_Data\Lab_results\[LabSamples2025_Bioplastic_extra.xlsx]extra_Bioplastic'!E292)</f>
        <v/>
      </c>
      <c r="F292">
        <f>IF(ISBLANK('Q:\Abteilungsprojekte\Eng\EngData\PROJECT_Bioplastics\Renjie_Pan\05-Raw_Data\Lab_results\[LabSamples2025_Bioplastic_extra.xlsx]extra_Bioplastic'!F292)," ",'Q:\Abteilungsprojekte\Eng\EngData\PROJECT_Bioplastics\Renjie_Pan\05-Raw_Data\Lab_results\[LabSamples2025_Bioplastic_extra.xlsx]extra_Bioplastic'!F292)</f>
        <v/>
      </c>
      <c r="G292">
        <f>IF(ISBLANK('Q:\Abteilungsprojekte\Eng\EngData\PROJECT_Bioplastics\Renjie_Pan\05-Raw_Data\Lab_results\[LabSamples2025_Bioplastic_extra.xlsx]extra_Bioplastic'!G292)," ",'Q:\Abteilungsprojekte\Eng\EngData\PROJECT_Bioplastics\Renjie_Pan\05-Raw_Data\Lab_results\[LabSamples2025_Bioplastic_extra.xlsx]extra_Bioplastic'!G292)</f>
        <v/>
      </c>
      <c r="H292">
        <f>IF(ISBLANK('Q:\Abteilungsprojekte\Eng\EngData\PROJECT_Bioplastics\Renjie_Pan\05-Raw_Data\Lab_results\[LabSamples2025_Bioplastic_extra.xlsx]extra_Bioplastic'!H292)," ",'Q:\Abteilungsprojekte\Eng\EngData\PROJECT_Bioplastics\Renjie_Pan\05-Raw_Data\Lab_results\[LabSamples2025_Bioplastic_extra.xlsx]extra_Bioplastic'!H292)</f>
        <v/>
      </c>
    </row>
    <row r="293">
      <c r="A293">
        <f>IF(ISBLANK('Q:\Abteilungsprojekte\Eng\EngData\PROJECT_Bioplastics\Renjie_Pan\05-Raw_Data\Lab_results\[LabSamples2025_Bioplastic_extra.xlsx]extra_Bioplastic'!A293)," ",'Q:\Abteilungsprojekte\Eng\EngData\PROJECT_Bioplastics\Renjie_Pan\05-Raw_Data\Lab_results\[LabSamples2025_Bioplastic_extra.xlsx]extra_Bioplastic'!A293)</f>
        <v/>
      </c>
      <c r="B293">
        <f>IF(ISBLANK('Q:\Abteilungsprojekte\Eng\EngData\PROJECT_Bioplastics\Renjie_Pan\05-Raw_Data\Lab_results\[LabSamples2025_Bioplastic_extra.xlsx]extra_Bioplastic'!B293)," ",'Q:\Abteilungsprojekte\Eng\EngData\PROJECT_Bioplastics\Renjie_Pan\05-Raw_Data\Lab_results\[LabSamples2025_Bioplastic_extra.xlsx]extra_Bioplastic'!B293)</f>
        <v/>
      </c>
      <c r="C293">
        <f>IF(ISBLANK('Q:\Abteilungsprojekte\Eng\EngData\PROJECT_Bioplastics\Renjie_Pan\05-Raw_Data\Lab_results\[LabSamples2025_Bioplastic_extra.xlsx]extra_Bioplastic'!C293)," ",'Q:\Abteilungsprojekte\Eng\EngData\PROJECT_Bioplastics\Renjie_Pan\05-Raw_Data\Lab_results\[LabSamples2025_Bioplastic_extra.xlsx]extra_Bioplastic'!C293)</f>
        <v/>
      </c>
      <c r="D293">
        <f>IF(ISBLANK('Q:\Abteilungsprojekte\Eng\EngData\PROJECT_Bioplastics\Renjie_Pan\05-Raw_Data\Lab_results\[LabSamples2025_Bioplastic_extra.xlsx]extra_Bioplastic'!D293)," ",'Q:\Abteilungsprojekte\Eng\EngData\PROJECT_Bioplastics\Renjie_Pan\05-Raw_Data\Lab_results\[LabSamples2025_Bioplastic_extra.xlsx]extra_Bioplastic'!D293)</f>
        <v/>
      </c>
      <c r="E293">
        <f>IF(ISBLANK('Q:\Abteilungsprojekte\Eng\EngData\PROJECT_Bioplastics\Renjie_Pan\05-Raw_Data\Lab_results\[LabSamples2025_Bioplastic_extra.xlsx]extra_Bioplastic'!E293)," ",'Q:\Abteilungsprojekte\Eng\EngData\PROJECT_Bioplastics\Renjie_Pan\05-Raw_Data\Lab_results\[LabSamples2025_Bioplastic_extra.xlsx]extra_Bioplastic'!E293)</f>
        <v/>
      </c>
      <c r="F293">
        <f>IF(ISBLANK('Q:\Abteilungsprojekte\Eng\EngData\PROJECT_Bioplastics\Renjie_Pan\05-Raw_Data\Lab_results\[LabSamples2025_Bioplastic_extra.xlsx]extra_Bioplastic'!F293)," ",'Q:\Abteilungsprojekte\Eng\EngData\PROJECT_Bioplastics\Renjie_Pan\05-Raw_Data\Lab_results\[LabSamples2025_Bioplastic_extra.xlsx]extra_Bioplastic'!F293)</f>
        <v/>
      </c>
      <c r="G293">
        <f>IF(ISBLANK('Q:\Abteilungsprojekte\Eng\EngData\PROJECT_Bioplastics\Renjie_Pan\05-Raw_Data\Lab_results\[LabSamples2025_Bioplastic_extra.xlsx]extra_Bioplastic'!G293)," ",'Q:\Abteilungsprojekte\Eng\EngData\PROJECT_Bioplastics\Renjie_Pan\05-Raw_Data\Lab_results\[LabSamples2025_Bioplastic_extra.xlsx]extra_Bioplastic'!G293)</f>
        <v/>
      </c>
      <c r="H293">
        <f>IF(ISBLANK('Q:\Abteilungsprojekte\Eng\EngData\PROJECT_Bioplastics\Renjie_Pan\05-Raw_Data\Lab_results\[LabSamples2025_Bioplastic_extra.xlsx]extra_Bioplastic'!H293)," ",'Q:\Abteilungsprojekte\Eng\EngData\PROJECT_Bioplastics\Renjie_Pan\05-Raw_Data\Lab_results\[LabSamples2025_Bioplastic_extra.xlsx]extra_Bioplastic'!H293)</f>
        <v/>
      </c>
    </row>
    <row r="294">
      <c r="A294">
        <f>IF(ISBLANK('Q:\Abteilungsprojekte\Eng\EngData\PROJECT_Bioplastics\Renjie_Pan\05-Raw_Data\Lab_results\[LabSamples2025_Bioplastic_extra.xlsx]extra_Bioplastic'!A294)," ",'Q:\Abteilungsprojekte\Eng\EngData\PROJECT_Bioplastics\Renjie_Pan\05-Raw_Data\Lab_results\[LabSamples2025_Bioplastic_extra.xlsx]extra_Bioplastic'!A294)</f>
        <v/>
      </c>
      <c r="B294">
        <f>IF(ISBLANK('Q:\Abteilungsprojekte\Eng\EngData\PROJECT_Bioplastics\Renjie_Pan\05-Raw_Data\Lab_results\[LabSamples2025_Bioplastic_extra.xlsx]extra_Bioplastic'!B294)," ",'Q:\Abteilungsprojekte\Eng\EngData\PROJECT_Bioplastics\Renjie_Pan\05-Raw_Data\Lab_results\[LabSamples2025_Bioplastic_extra.xlsx]extra_Bioplastic'!B294)</f>
        <v/>
      </c>
      <c r="C294">
        <f>IF(ISBLANK('Q:\Abteilungsprojekte\Eng\EngData\PROJECT_Bioplastics\Renjie_Pan\05-Raw_Data\Lab_results\[LabSamples2025_Bioplastic_extra.xlsx]extra_Bioplastic'!C294)," ",'Q:\Abteilungsprojekte\Eng\EngData\PROJECT_Bioplastics\Renjie_Pan\05-Raw_Data\Lab_results\[LabSamples2025_Bioplastic_extra.xlsx]extra_Bioplastic'!C294)</f>
        <v/>
      </c>
      <c r="D294">
        <f>IF(ISBLANK('Q:\Abteilungsprojekte\Eng\EngData\PROJECT_Bioplastics\Renjie_Pan\05-Raw_Data\Lab_results\[LabSamples2025_Bioplastic_extra.xlsx]extra_Bioplastic'!D294)," ",'Q:\Abteilungsprojekte\Eng\EngData\PROJECT_Bioplastics\Renjie_Pan\05-Raw_Data\Lab_results\[LabSamples2025_Bioplastic_extra.xlsx]extra_Bioplastic'!D294)</f>
        <v/>
      </c>
      <c r="E294">
        <f>IF(ISBLANK('Q:\Abteilungsprojekte\Eng\EngData\PROJECT_Bioplastics\Renjie_Pan\05-Raw_Data\Lab_results\[LabSamples2025_Bioplastic_extra.xlsx]extra_Bioplastic'!E294)," ",'Q:\Abteilungsprojekte\Eng\EngData\PROJECT_Bioplastics\Renjie_Pan\05-Raw_Data\Lab_results\[LabSamples2025_Bioplastic_extra.xlsx]extra_Bioplastic'!E294)</f>
        <v/>
      </c>
      <c r="F294">
        <f>IF(ISBLANK('Q:\Abteilungsprojekte\Eng\EngData\PROJECT_Bioplastics\Renjie_Pan\05-Raw_Data\Lab_results\[LabSamples2025_Bioplastic_extra.xlsx]extra_Bioplastic'!F294)," ",'Q:\Abteilungsprojekte\Eng\EngData\PROJECT_Bioplastics\Renjie_Pan\05-Raw_Data\Lab_results\[LabSamples2025_Bioplastic_extra.xlsx]extra_Bioplastic'!F294)</f>
        <v/>
      </c>
      <c r="G294">
        <f>IF(ISBLANK('Q:\Abteilungsprojekte\Eng\EngData\PROJECT_Bioplastics\Renjie_Pan\05-Raw_Data\Lab_results\[LabSamples2025_Bioplastic_extra.xlsx]extra_Bioplastic'!G294)," ",'Q:\Abteilungsprojekte\Eng\EngData\PROJECT_Bioplastics\Renjie_Pan\05-Raw_Data\Lab_results\[LabSamples2025_Bioplastic_extra.xlsx]extra_Bioplastic'!G294)</f>
        <v/>
      </c>
      <c r="H294">
        <f>IF(ISBLANK('Q:\Abteilungsprojekte\Eng\EngData\PROJECT_Bioplastics\Renjie_Pan\05-Raw_Data\Lab_results\[LabSamples2025_Bioplastic_extra.xlsx]extra_Bioplastic'!H294)," ",'Q:\Abteilungsprojekte\Eng\EngData\PROJECT_Bioplastics\Renjie_Pan\05-Raw_Data\Lab_results\[LabSamples2025_Bioplastic_extra.xlsx]extra_Bioplastic'!H294)</f>
        <v/>
      </c>
    </row>
    <row r="295">
      <c r="A295">
        <f>IF(ISBLANK('Q:\Abteilungsprojekte\Eng\EngData\PROJECT_Bioplastics\Renjie_Pan\05-Raw_Data\Lab_results\[LabSamples2025_Bioplastic_extra.xlsx]extra_Bioplastic'!A295)," ",'Q:\Abteilungsprojekte\Eng\EngData\PROJECT_Bioplastics\Renjie_Pan\05-Raw_Data\Lab_results\[LabSamples2025_Bioplastic_extra.xlsx]extra_Bioplastic'!A295)</f>
        <v/>
      </c>
      <c r="B295">
        <f>IF(ISBLANK('Q:\Abteilungsprojekte\Eng\EngData\PROJECT_Bioplastics\Renjie_Pan\05-Raw_Data\Lab_results\[LabSamples2025_Bioplastic_extra.xlsx]extra_Bioplastic'!B295)," ",'Q:\Abteilungsprojekte\Eng\EngData\PROJECT_Bioplastics\Renjie_Pan\05-Raw_Data\Lab_results\[LabSamples2025_Bioplastic_extra.xlsx]extra_Bioplastic'!B295)</f>
        <v/>
      </c>
      <c r="C295">
        <f>IF(ISBLANK('Q:\Abteilungsprojekte\Eng\EngData\PROJECT_Bioplastics\Renjie_Pan\05-Raw_Data\Lab_results\[LabSamples2025_Bioplastic_extra.xlsx]extra_Bioplastic'!C295)," ",'Q:\Abteilungsprojekte\Eng\EngData\PROJECT_Bioplastics\Renjie_Pan\05-Raw_Data\Lab_results\[LabSamples2025_Bioplastic_extra.xlsx]extra_Bioplastic'!C295)</f>
        <v/>
      </c>
      <c r="D295">
        <f>IF(ISBLANK('Q:\Abteilungsprojekte\Eng\EngData\PROJECT_Bioplastics\Renjie_Pan\05-Raw_Data\Lab_results\[LabSamples2025_Bioplastic_extra.xlsx]extra_Bioplastic'!D295)," ",'Q:\Abteilungsprojekte\Eng\EngData\PROJECT_Bioplastics\Renjie_Pan\05-Raw_Data\Lab_results\[LabSamples2025_Bioplastic_extra.xlsx]extra_Bioplastic'!D295)</f>
        <v/>
      </c>
      <c r="E295">
        <f>IF(ISBLANK('Q:\Abteilungsprojekte\Eng\EngData\PROJECT_Bioplastics\Renjie_Pan\05-Raw_Data\Lab_results\[LabSamples2025_Bioplastic_extra.xlsx]extra_Bioplastic'!E295)," ",'Q:\Abteilungsprojekte\Eng\EngData\PROJECT_Bioplastics\Renjie_Pan\05-Raw_Data\Lab_results\[LabSamples2025_Bioplastic_extra.xlsx]extra_Bioplastic'!E295)</f>
        <v/>
      </c>
      <c r="F295">
        <f>IF(ISBLANK('Q:\Abteilungsprojekte\Eng\EngData\PROJECT_Bioplastics\Renjie_Pan\05-Raw_Data\Lab_results\[LabSamples2025_Bioplastic_extra.xlsx]extra_Bioplastic'!F295)," ",'Q:\Abteilungsprojekte\Eng\EngData\PROJECT_Bioplastics\Renjie_Pan\05-Raw_Data\Lab_results\[LabSamples2025_Bioplastic_extra.xlsx]extra_Bioplastic'!F295)</f>
        <v/>
      </c>
      <c r="G295">
        <f>IF(ISBLANK('Q:\Abteilungsprojekte\Eng\EngData\PROJECT_Bioplastics\Renjie_Pan\05-Raw_Data\Lab_results\[LabSamples2025_Bioplastic_extra.xlsx]extra_Bioplastic'!G295)," ",'Q:\Abteilungsprojekte\Eng\EngData\PROJECT_Bioplastics\Renjie_Pan\05-Raw_Data\Lab_results\[LabSamples2025_Bioplastic_extra.xlsx]extra_Bioplastic'!G295)</f>
        <v/>
      </c>
      <c r="H295">
        <f>IF(ISBLANK('Q:\Abteilungsprojekte\Eng\EngData\PROJECT_Bioplastics\Renjie_Pan\05-Raw_Data\Lab_results\[LabSamples2025_Bioplastic_extra.xlsx]extra_Bioplastic'!H295)," ",'Q:\Abteilungsprojekte\Eng\EngData\PROJECT_Bioplastics\Renjie_Pan\05-Raw_Data\Lab_results\[LabSamples2025_Bioplastic_extra.xlsx]extra_Bioplastic'!H295)</f>
        <v/>
      </c>
    </row>
    <row r="296">
      <c r="A296">
        <f>IF(ISBLANK('Q:\Abteilungsprojekte\Eng\EngData\PROJECT_Bioplastics\Renjie_Pan\05-Raw_Data\Lab_results\[LabSamples2025_Bioplastic_extra.xlsx]extra_Bioplastic'!A296)," ",'Q:\Abteilungsprojekte\Eng\EngData\PROJECT_Bioplastics\Renjie_Pan\05-Raw_Data\Lab_results\[LabSamples2025_Bioplastic_extra.xlsx]extra_Bioplastic'!A296)</f>
        <v/>
      </c>
      <c r="B296">
        <f>IF(ISBLANK('Q:\Abteilungsprojekte\Eng\EngData\PROJECT_Bioplastics\Renjie_Pan\05-Raw_Data\Lab_results\[LabSamples2025_Bioplastic_extra.xlsx]extra_Bioplastic'!B296)," ",'Q:\Abteilungsprojekte\Eng\EngData\PROJECT_Bioplastics\Renjie_Pan\05-Raw_Data\Lab_results\[LabSamples2025_Bioplastic_extra.xlsx]extra_Bioplastic'!B296)</f>
        <v/>
      </c>
      <c r="C296">
        <f>IF(ISBLANK('Q:\Abteilungsprojekte\Eng\EngData\PROJECT_Bioplastics\Renjie_Pan\05-Raw_Data\Lab_results\[LabSamples2025_Bioplastic_extra.xlsx]extra_Bioplastic'!C296)," ",'Q:\Abteilungsprojekte\Eng\EngData\PROJECT_Bioplastics\Renjie_Pan\05-Raw_Data\Lab_results\[LabSamples2025_Bioplastic_extra.xlsx]extra_Bioplastic'!C296)</f>
        <v/>
      </c>
      <c r="D296">
        <f>IF(ISBLANK('Q:\Abteilungsprojekte\Eng\EngData\PROJECT_Bioplastics\Renjie_Pan\05-Raw_Data\Lab_results\[LabSamples2025_Bioplastic_extra.xlsx]extra_Bioplastic'!D296)," ",'Q:\Abteilungsprojekte\Eng\EngData\PROJECT_Bioplastics\Renjie_Pan\05-Raw_Data\Lab_results\[LabSamples2025_Bioplastic_extra.xlsx]extra_Bioplastic'!D296)</f>
        <v/>
      </c>
      <c r="E296">
        <f>IF(ISBLANK('Q:\Abteilungsprojekte\Eng\EngData\PROJECT_Bioplastics\Renjie_Pan\05-Raw_Data\Lab_results\[LabSamples2025_Bioplastic_extra.xlsx]extra_Bioplastic'!E296)," ",'Q:\Abteilungsprojekte\Eng\EngData\PROJECT_Bioplastics\Renjie_Pan\05-Raw_Data\Lab_results\[LabSamples2025_Bioplastic_extra.xlsx]extra_Bioplastic'!E296)</f>
        <v/>
      </c>
      <c r="F296">
        <f>IF(ISBLANK('Q:\Abteilungsprojekte\Eng\EngData\PROJECT_Bioplastics\Renjie_Pan\05-Raw_Data\Lab_results\[LabSamples2025_Bioplastic_extra.xlsx]extra_Bioplastic'!F296)," ",'Q:\Abteilungsprojekte\Eng\EngData\PROJECT_Bioplastics\Renjie_Pan\05-Raw_Data\Lab_results\[LabSamples2025_Bioplastic_extra.xlsx]extra_Bioplastic'!F296)</f>
        <v/>
      </c>
      <c r="G296">
        <f>IF(ISBLANK('Q:\Abteilungsprojekte\Eng\EngData\PROJECT_Bioplastics\Renjie_Pan\05-Raw_Data\Lab_results\[LabSamples2025_Bioplastic_extra.xlsx]extra_Bioplastic'!G296)," ",'Q:\Abteilungsprojekte\Eng\EngData\PROJECT_Bioplastics\Renjie_Pan\05-Raw_Data\Lab_results\[LabSamples2025_Bioplastic_extra.xlsx]extra_Bioplastic'!G296)</f>
        <v/>
      </c>
      <c r="H296">
        <f>IF(ISBLANK('Q:\Abteilungsprojekte\Eng\EngData\PROJECT_Bioplastics\Renjie_Pan\05-Raw_Data\Lab_results\[LabSamples2025_Bioplastic_extra.xlsx]extra_Bioplastic'!H296)," ",'Q:\Abteilungsprojekte\Eng\EngData\PROJECT_Bioplastics\Renjie_Pan\05-Raw_Data\Lab_results\[LabSamples2025_Bioplastic_extra.xlsx]extra_Bioplastic'!H296)</f>
        <v/>
      </c>
    </row>
    <row r="297">
      <c r="A297">
        <f>IF(ISBLANK('Q:\Abteilungsprojekte\Eng\EngData\PROJECT_Bioplastics\Renjie_Pan\05-Raw_Data\Lab_results\[LabSamples2025_Bioplastic_extra.xlsx]extra_Bioplastic'!A297)," ",'Q:\Abteilungsprojekte\Eng\EngData\PROJECT_Bioplastics\Renjie_Pan\05-Raw_Data\Lab_results\[LabSamples2025_Bioplastic_extra.xlsx]extra_Bioplastic'!A297)</f>
        <v/>
      </c>
      <c r="B297">
        <f>IF(ISBLANK('Q:\Abteilungsprojekte\Eng\EngData\PROJECT_Bioplastics\Renjie_Pan\05-Raw_Data\Lab_results\[LabSamples2025_Bioplastic_extra.xlsx]extra_Bioplastic'!B297)," ",'Q:\Abteilungsprojekte\Eng\EngData\PROJECT_Bioplastics\Renjie_Pan\05-Raw_Data\Lab_results\[LabSamples2025_Bioplastic_extra.xlsx]extra_Bioplastic'!B297)</f>
        <v/>
      </c>
      <c r="C297">
        <f>IF(ISBLANK('Q:\Abteilungsprojekte\Eng\EngData\PROJECT_Bioplastics\Renjie_Pan\05-Raw_Data\Lab_results\[LabSamples2025_Bioplastic_extra.xlsx]extra_Bioplastic'!C297)," ",'Q:\Abteilungsprojekte\Eng\EngData\PROJECT_Bioplastics\Renjie_Pan\05-Raw_Data\Lab_results\[LabSamples2025_Bioplastic_extra.xlsx]extra_Bioplastic'!C297)</f>
        <v/>
      </c>
      <c r="D297">
        <f>IF(ISBLANK('Q:\Abteilungsprojekte\Eng\EngData\PROJECT_Bioplastics\Renjie_Pan\05-Raw_Data\Lab_results\[LabSamples2025_Bioplastic_extra.xlsx]extra_Bioplastic'!D297)," ",'Q:\Abteilungsprojekte\Eng\EngData\PROJECT_Bioplastics\Renjie_Pan\05-Raw_Data\Lab_results\[LabSamples2025_Bioplastic_extra.xlsx]extra_Bioplastic'!D297)</f>
        <v/>
      </c>
      <c r="E297">
        <f>IF(ISBLANK('Q:\Abteilungsprojekte\Eng\EngData\PROJECT_Bioplastics\Renjie_Pan\05-Raw_Data\Lab_results\[LabSamples2025_Bioplastic_extra.xlsx]extra_Bioplastic'!E297)," ",'Q:\Abteilungsprojekte\Eng\EngData\PROJECT_Bioplastics\Renjie_Pan\05-Raw_Data\Lab_results\[LabSamples2025_Bioplastic_extra.xlsx]extra_Bioplastic'!E297)</f>
        <v/>
      </c>
      <c r="F297">
        <f>IF(ISBLANK('Q:\Abteilungsprojekte\Eng\EngData\PROJECT_Bioplastics\Renjie_Pan\05-Raw_Data\Lab_results\[LabSamples2025_Bioplastic_extra.xlsx]extra_Bioplastic'!F297)," ",'Q:\Abteilungsprojekte\Eng\EngData\PROJECT_Bioplastics\Renjie_Pan\05-Raw_Data\Lab_results\[LabSamples2025_Bioplastic_extra.xlsx]extra_Bioplastic'!F297)</f>
        <v/>
      </c>
      <c r="G297">
        <f>IF(ISBLANK('Q:\Abteilungsprojekte\Eng\EngData\PROJECT_Bioplastics\Renjie_Pan\05-Raw_Data\Lab_results\[LabSamples2025_Bioplastic_extra.xlsx]extra_Bioplastic'!G297)," ",'Q:\Abteilungsprojekte\Eng\EngData\PROJECT_Bioplastics\Renjie_Pan\05-Raw_Data\Lab_results\[LabSamples2025_Bioplastic_extra.xlsx]extra_Bioplastic'!G297)</f>
        <v/>
      </c>
      <c r="H297">
        <f>IF(ISBLANK('Q:\Abteilungsprojekte\Eng\EngData\PROJECT_Bioplastics\Renjie_Pan\05-Raw_Data\Lab_results\[LabSamples2025_Bioplastic_extra.xlsx]extra_Bioplastic'!H297)," ",'Q:\Abteilungsprojekte\Eng\EngData\PROJECT_Bioplastics\Renjie_Pan\05-Raw_Data\Lab_results\[LabSamples2025_Bioplastic_extra.xlsx]extra_Bioplastic'!H297)</f>
        <v/>
      </c>
    </row>
    <row r="298">
      <c r="A298">
        <f>IF(ISBLANK('Q:\Abteilungsprojekte\Eng\EngData\PROJECT_Bioplastics\Renjie_Pan\05-Raw_Data\Lab_results\[LabSamples2025_Bioplastic_extra.xlsx]extra_Bioplastic'!A298)," ",'Q:\Abteilungsprojekte\Eng\EngData\PROJECT_Bioplastics\Renjie_Pan\05-Raw_Data\Lab_results\[LabSamples2025_Bioplastic_extra.xlsx]extra_Bioplastic'!A298)</f>
        <v/>
      </c>
      <c r="B298">
        <f>IF(ISBLANK('Q:\Abteilungsprojekte\Eng\EngData\PROJECT_Bioplastics\Renjie_Pan\05-Raw_Data\Lab_results\[LabSamples2025_Bioplastic_extra.xlsx]extra_Bioplastic'!B298)," ",'Q:\Abteilungsprojekte\Eng\EngData\PROJECT_Bioplastics\Renjie_Pan\05-Raw_Data\Lab_results\[LabSamples2025_Bioplastic_extra.xlsx]extra_Bioplastic'!B298)</f>
        <v/>
      </c>
      <c r="C298">
        <f>IF(ISBLANK('Q:\Abteilungsprojekte\Eng\EngData\PROJECT_Bioplastics\Renjie_Pan\05-Raw_Data\Lab_results\[LabSamples2025_Bioplastic_extra.xlsx]extra_Bioplastic'!C298)," ",'Q:\Abteilungsprojekte\Eng\EngData\PROJECT_Bioplastics\Renjie_Pan\05-Raw_Data\Lab_results\[LabSamples2025_Bioplastic_extra.xlsx]extra_Bioplastic'!C298)</f>
        <v/>
      </c>
      <c r="D298">
        <f>IF(ISBLANK('Q:\Abteilungsprojekte\Eng\EngData\PROJECT_Bioplastics\Renjie_Pan\05-Raw_Data\Lab_results\[LabSamples2025_Bioplastic_extra.xlsx]extra_Bioplastic'!D298)," ",'Q:\Abteilungsprojekte\Eng\EngData\PROJECT_Bioplastics\Renjie_Pan\05-Raw_Data\Lab_results\[LabSamples2025_Bioplastic_extra.xlsx]extra_Bioplastic'!D298)</f>
        <v/>
      </c>
      <c r="E298">
        <f>IF(ISBLANK('Q:\Abteilungsprojekte\Eng\EngData\PROJECT_Bioplastics\Renjie_Pan\05-Raw_Data\Lab_results\[LabSamples2025_Bioplastic_extra.xlsx]extra_Bioplastic'!E298)," ",'Q:\Abteilungsprojekte\Eng\EngData\PROJECT_Bioplastics\Renjie_Pan\05-Raw_Data\Lab_results\[LabSamples2025_Bioplastic_extra.xlsx]extra_Bioplastic'!E298)</f>
        <v/>
      </c>
      <c r="F298">
        <f>IF(ISBLANK('Q:\Abteilungsprojekte\Eng\EngData\PROJECT_Bioplastics\Renjie_Pan\05-Raw_Data\Lab_results\[LabSamples2025_Bioplastic_extra.xlsx]extra_Bioplastic'!F298)," ",'Q:\Abteilungsprojekte\Eng\EngData\PROJECT_Bioplastics\Renjie_Pan\05-Raw_Data\Lab_results\[LabSamples2025_Bioplastic_extra.xlsx]extra_Bioplastic'!F298)</f>
        <v/>
      </c>
      <c r="G298">
        <f>IF(ISBLANK('Q:\Abteilungsprojekte\Eng\EngData\PROJECT_Bioplastics\Renjie_Pan\05-Raw_Data\Lab_results\[LabSamples2025_Bioplastic_extra.xlsx]extra_Bioplastic'!G298)," ",'Q:\Abteilungsprojekte\Eng\EngData\PROJECT_Bioplastics\Renjie_Pan\05-Raw_Data\Lab_results\[LabSamples2025_Bioplastic_extra.xlsx]extra_Bioplastic'!G298)</f>
        <v/>
      </c>
      <c r="H298">
        <f>IF(ISBLANK('Q:\Abteilungsprojekte\Eng\EngData\PROJECT_Bioplastics\Renjie_Pan\05-Raw_Data\Lab_results\[LabSamples2025_Bioplastic_extra.xlsx]extra_Bioplastic'!H298)," ",'Q:\Abteilungsprojekte\Eng\EngData\PROJECT_Bioplastics\Renjie_Pan\05-Raw_Data\Lab_results\[LabSamples2025_Bioplastic_extra.xlsx]extra_Bioplastic'!H298)</f>
        <v/>
      </c>
    </row>
    <row r="299">
      <c r="A299">
        <f>IF(ISBLANK('Q:\Abteilungsprojekte\Eng\EngData\PROJECT_Bioplastics\Renjie_Pan\05-Raw_Data\Lab_results\[LabSamples2025_Bioplastic_extra.xlsx]extra_Bioplastic'!A299)," ",'Q:\Abteilungsprojekte\Eng\EngData\PROJECT_Bioplastics\Renjie_Pan\05-Raw_Data\Lab_results\[LabSamples2025_Bioplastic_extra.xlsx]extra_Bioplastic'!A299)</f>
        <v/>
      </c>
      <c r="B299">
        <f>IF(ISBLANK('Q:\Abteilungsprojekte\Eng\EngData\PROJECT_Bioplastics\Renjie_Pan\05-Raw_Data\Lab_results\[LabSamples2025_Bioplastic_extra.xlsx]extra_Bioplastic'!B299)," ",'Q:\Abteilungsprojekte\Eng\EngData\PROJECT_Bioplastics\Renjie_Pan\05-Raw_Data\Lab_results\[LabSamples2025_Bioplastic_extra.xlsx]extra_Bioplastic'!B299)</f>
        <v/>
      </c>
      <c r="C299">
        <f>IF(ISBLANK('Q:\Abteilungsprojekte\Eng\EngData\PROJECT_Bioplastics\Renjie_Pan\05-Raw_Data\Lab_results\[LabSamples2025_Bioplastic_extra.xlsx]extra_Bioplastic'!C299)," ",'Q:\Abteilungsprojekte\Eng\EngData\PROJECT_Bioplastics\Renjie_Pan\05-Raw_Data\Lab_results\[LabSamples2025_Bioplastic_extra.xlsx]extra_Bioplastic'!C299)</f>
        <v/>
      </c>
      <c r="D299">
        <f>IF(ISBLANK('Q:\Abteilungsprojekte\Eng\EngData\PROJECT_Bioplastics\Renjie_Pan\05-Raw_Data\Lab_results\[LabSamples2025_Bioplastic_extra.xlsx]extra_Bioplastic'!D299)," ",'Q:\Abteilungsprojekte\Eng\EngData\PROJECT_Bioplastics\Renjie_Pan\05-Raw_Data\Lab_results\[LabSamples2025_Bioplastic_extra.xlsx]extra_Bioplastic'!D299)</f>
        <v/>
      </c>
      <c r="E299">
        <f>IF(ISBLANK('Q:\Abteilungsprojekte\Eng\EngData\PROJECT_Bioplastics\Renjie_Pan\05-Raw_Data\Lab_results\[LabSamples2025_Bioplastic_extra.xlsx]extra_Bioplastic'!E299)," ",'Q:\Abteilungsprojekte\Eng\EngData\PROJECT_Bioplastics\Renjie_Pan\05-Raw_Data\Lab_results\[LabSamples2025_Bioplastic_extra.xlsx]extra_Bioplastic'!E299)</f>
        <v/>
      </c>
      <c r="F299">
        <f>IF(ISBLANK('Q:\Abteilungsprojekte\Eng\EngData\PROJECT_Bioplastics\Renjie_Pan\05-Raw_Data\Lab_results\[LabSamples2025_Bioplastic_extra.xlsx]extra_Bioplastic'!F299)," ",'Q:\Abteilungsprojekte\Eng\EngData\PROJECT_Bioplastics\Renjie_Pan\05-Raw_Data\Lab_results\[LabSamples2025_Bioplastic_extra.xlsx]extra_Bioplastic'!F299)</f>
        <v/>
      </c>
      <c r="G299">
        <f>IF(ISBLANK('Q:\Abteilungsprojekte\Eng\EngData\PROJECT_Bioplastics\Renjie_Pan\05-Raw_Data\Lab_results\[LabSamples2025_Bioplastic_extra.xlsx]extra_Bioplastic'!G299)," ",'Q:\Abteilungsprojekte\Eng\EngData\PROJECT_Bioplastics\Renjie_Pan\05-Raw_Data\Lab_results\[LabSamples2025_Bioplastic_extra.xlsx]extra_Bioplastic'!G299)</f>
        <v/>
      </c>
      <c r="H299">
        <f>IF(ISBLANK('Q:\Abteilungsprojekte\Eng\EngData\PROJECT_Bioplastics\Renjie_Pan\05-Raw_Data\Lab_results\[LabSamples2025_Bioplastic_extra.xlsx]extra_Bioplastic'!H299)," ",'Q:\Abteilungsprojekte\Eng\EngData\PROJECT_Bioplastics\Renjie_Pan\05-Raw_Data\Lab_results\[LabSamples2025_Bioplastic_extra.xlsx]extra_Bioplastic'!H299)</f>
        <v/>
      </c>
    </row>
    <row r="300">
      <c r="A300">
        <f>IF(ISBLANK('Q:\Abteilungsprojekte\Eng\EngData\PROJECT_Bioplastics\Renjie_Pan\05-Raw_Data\Lab_results\[LabSamples2025_Bioplastic_extra.xlsx]extra_Bioplastic'!A300)," ",'Q:\Abteilungsprojekte\Eng\EngData\PROJECT_Bioplastics\Renjie_Pan\05-Raw_Data\Lab_results\[LabSamples2025_Bioplastic_extra.xlsx]extra_Bioplastic'!A300)</f>
        <v/>
      </c>
      <c r="B300">
        <f>IF(ISBLANK('Q:\Abteilungsprojekte\Eng\EngData\PROJECT_Bioplastics\Renjie_Pan\05-Raw_Data\Lab_results\[LabSamples2025_Bioplastic_extra.xlsx]extra_Bioplastic'!B300)," ",'Q:\Abteilungsprojekte\Eng\EngData\PROJECT_Bioplastics\Renjie_Pan\05-Raw_Data\Lab_results\[LabSamples2025_Bioplastic_extra.xlsx]extra_Bioplastic'!B300)</f>
        <v/>
      </c>
      <c r="C300">
        <f>IF(ISBLANK('Q:\Abteilungsprojekte\Eng\EngData\PROJECT_Bioplastics\Renjie_Pan\05-Raw_Data\Lab_results\[LabSamples2025_Bioplastic_extra.xlsx]extra_Bioplastic'!C300)," ",'Q:\Abteilungsprojekte\Eng\EngData\PROJECT_Bioplastics\Renjie_Pan\05-Raw_Data\Lab_results\[LabSamples2025_Bioplastic_extra.xlsx]extra_Bioplastic'!C300)</f>
        <v/>
      </c>
      <c r="D300">
        <f>IF(ISBLANK('Q:\Abteilungsprojekte\Eng\EngData\PROJECT_Bioplastics\Renjie_Pan\05-Raw_Data\Lab_results\[LabSamples2025_Bioplastic_extra.xlsx]extra_Bioplastic'!D300)," ",'Q:\Abteilungsprojekte\Eng\EngData\PROJECT_Bioplastics\Renjie_Pan\05-Raw_Data\Lab_results\[LabSamples2025_Bioplastic_extra.xlsx]extra_Bioplastic'!D300)</f>
        <v/>
      </c>
      <c r="E300">
        <f>IF(ISBLANK('Q:\Abteilungsprojekte\Eng\EngData\PROJECT_Bioplastics\Renjie_Pan\05-Raw_Data\Lab_results\[LabSamples2025_Bioplastic_extra.xlsx]extra_Bioplastic'!E300)," ",'Q:\Abteilungsprojekte\Eng\EngData\PROJECT_Bioplastics\Renjie_Pan\05-Raw_Data\Lab_results\[LabSamples2025_Bioplastic_extra.xlsx]extra_Bioplastic'!E300)</f>
        <v/>
      </c>
      <c r="F300">
        <f>IF(ISBLANK('Q:\Abteilungsprojekte\Eng\EngData\PROJECT_Bioplastics\Renjie_Pan\05-Raw_Data\Lab_results\[LabSamples2025_Bioplastic_extra.xlsx]extra_Bioplastic'!F300)," ",'Q:\Abteilungsprojekte\Eng\EngData\PROJECT_Bioplastics\Renjie_Pan\05-Raw_Data\Lab_results\[LabSamples2025_Bioplastic_extra.xlsx]extra_Bioplastic'!F300)</f>
        <v/>
      </c>
      <c r="G300">
        <f>IF(ISBLANK('Q:\Abteilungsprojekte\Eng\EngData\PROJECT_Bioplastics\Renjie_Pan\05-Raw_Data\Lab_results\[LabSamples2025_Bioplastic_extra.xlsx]extra_Bioplastic'!G300)," ",'Q:\Abteilungsprojekte\Eng\EngData\PROJECT_Bioplastics\Renjie_Pan\05-Raw_Data\Lab_results\[LabSamples2025_Bioplastic_extra.xlsx]extra_Bioplastic'!G300)</f>
        <v/>
      </c>
      <c r="H300">
        <f>IF(ISBLANK('Q:\Abteilungsprojekte\Eng\EngData\PROJECT_Bioplastics\Renjie_Pan\05-Raw_Data\Lab_results\[LabSamples2025_Bioplastic_extra.xlsx]extra_Bioplastic'!H300)," ",'Q:\Abteilungsprojekte\Eng\EngData\PROJECT_Bioplastics\Renjie_Pan\05-Raw_Data\Lab_results\[LabSamples2025_Bioplastic_extra.xlsx]extra_Bioplastic'!H300)</f>
        <v/>
      </c>
    </row>
    <row r="301">
      <c r="A301">
        <f>IF(ISBLANK('Q:\Abteilungsprojekte\Eng\EngData\PROJECT_Bioplastics\Renjie_Pan\05-Raw_Data\Lab_results\[LabSamples2025_Bioplastic_extra.xlsx]extra_Bioplastic'!A301)," ",'Q:\Abteilungsprojekte\Eng\EngData\PROJECT_Bioplastics\Renjie_Pan\05-Raw_Data\Lab_results\[LabSamples2025_Bioplastic_extra.xlsx]extra_Bioplastic'!A301)</f>
        <v/>
      </c>
      <c r="B301">
        <f>IF(ISBLANK('Q:\Abteilungsprojekte\Eng\EngData\PROJECT_Bioplastics\Renjie_Pan\05-Raw_Data\Lab_results\[LabSamples2025_Bioplastic_extra.xlsx]extra_Bioplastic'!B301)," ",'Q:\Abteilungsprojekte\Eng\EngData\PROJECT_Bioplastics\Renjie_Pan\05-Raw_Data\Lab_results\[LabSamples2025_Bioplastic_extra.xlsx]extra_Bioplastic'!B301)</f>
        <v/>
      </c>
      <c r="C301">
        <f>IF(ISBLANK('Q:\Abteilungsprojekte\Eng\EngData\PROJECT_Bioplastics\Renjie_Pan\05-Raw_Data\Lab_results\[LabSamples2025_Bioplastic_extra.xlsx]extra_Bioplastic'!C301)," ",'Q:\Abteilungsprojekte\Eng\EngData\PROJECT_Bioplastics\Renjie_Pan\05-Raw_Data\Lab_results\[LabSamples2025_Bioplastic_extra.xlsx]extra_Bioplastic'!C301)</f>
        <v/>
      </c>
      <c r="D301">
        <f>IF(ISBLANK('Q:\Abteilungsprojekte\Eng\EngData\PROJECT_Bioplastics\Renjie_Pan\05-Raw_Data\Lab_results\[LabSamples2025_Bioplastic_extra.xlsx]extra_Bioplastic'!D301)," ",'Q:\Abteilungsprojekte\Eng\EngData\PROJECT_Bioplastics\Renjie_Pan\05-Raw_Data\Lab_results\[LabSamples2025_Bioplastic_extra.xlsx]extra_Bioplastic'!D301)</f>
        <v/>
      </c>
      <c r="E301">
        <f>IF(ISBLANK('Q:\Abteilungsprojekte\Eng\EngData\PROJECT_Bioplastics\Renjie_Pan\05-Raw_Data\Lab_results\[LabSamples2025_Bioplastic_extra.xlsx]extra_Bioplastic'!E301)," ",'Q:\Abteilungsprojekte\Eng\EngData\PROJECT_Bioplastics\Renjie_Pan\05-Raw_Data\Lab_results\[LabSamples2025_Bioplastic_extra.xlsx]extra_Bioplastic'!E301)</f>
        <v/>
      </c>
      <c r="F301">
        <f>IF(ISBLANK('Q:\Abteilungsprojekte\Eng\EngData\PROJECT_Bioplastics\Renjie_Pan\05-Raw_Data\Lab_results\[LabSamples2025_Bioplastic_extra.xlsx]extra_Bioplastic'!F301)," ",'Q:\Abteilungsprojekte\Eng\EngData\PROJECT_Bioplastics\Renjie_Pan\05-Raw_Data\Lab_results\[LabSamples2025_Bioplastic_extra.xlsx]extra_Bioplastic'!F301)</f>
        <v/>
      </c>
      <c r="G301">
        <f>IF(ISBLANK('Q:\Abteilungsprojekte\Eng\EngData\PROJECT_Bioplastics\Renjie_Pan\05-Raw_Data\Lab_results\[LabSamples2025_Bioplastic_extra.xlsx]extra_Bioplastic'!G301)," ",'Q:\Abteilungsprojekte\Eng\EngData\PROJECT_Bioplastics\Renjie_Pan\05-Raw_Data\Lab_results\[LabSamples2025_Bioplastic_extra.xlsx]extra_Bioplastic'!G301)</f>
        <v/>
      </c>
      <c r="H301">
        <f>IF(ISBLANK('Q:\Abteilungsprojekte\Eng\EngData\PROJECT_Bioplastics\Renjie_Pan\05-Raw_Data\Lab_results\[LabSamples2025_Bioplastic_extra.xlsx]extra_Bioplastic'!H301)," ",'Q:\Abteilungsprojekte\Eng\EngData\PROJECT_Bioplastics\Renjie_Pan\05-Raw_Data\Lab_results\[LabSamples2025_Bioplastic_extra.xlsx]extra_Bioplastic'!H301)</f>
        <v/>
      </c>
    </row>
    <row r="302">
      <c r="A302">
        <f>IF(ISBLANK('Q:\Abteilungsprojekte\Eng\EngData\PROJECT_Bioplastics\Renjie_Pan\05-Raw_Data\Lab_results\[LabSamples2025_Bioplastic_extra.xlsx]extra_Bioplastic'!A302)," ",'Q:\Abteilungsprojekte\Eng\EngData\PROJECT_Bioplastics\Renjie_Pan\05-Raw_Data\Lab_results\[LabSamples2025_Bioplastic_extra.xlsx]extra_Bioplastic'!A302)</f>
        <v/>
      </c>
      <c r="B302">
        <f>IF(ISBLANK('Q:\Abteilungsprojekte\Eng\EngData\PROJECT_Bioplastics\Renjie_Pan\05-Raw_Data\Lab_results\[LabSamples2025_Bioplastic_extra.xlsx]extra_Bioplastic'!B302)," ",'Q:\Abteilungsprojekte\Eng\EngData\PROJECT_Bioplastics\Renjie_Pan\05-Raw_Data\Lab_results\[LabSamples2025_Bioplastic_extra.xlsx]extra_Bioplastic'!B302)</f>
        <v/>
      </c>
      <c r="C302">
        <f>IF(ISBLANK('Q:\Abteilungsprojekte\Eng\EngData\PROJECT_Bioplastics\Renjie_Pan\05-Raw_Data\Lab_results\[LabSamples2025_Bioplastic_extra.xlsx]extra_Bioplastic'!C302)," ",'Q:\Abteilungsprojekte\Eng\EngData\PROJECT_Bioplastics\Renjie_Pan\05-Raw_Data\Lab_results\[LabSamples2025_Bioplastic_extra.xlsx]extra_Bioplastic'!C302)</f>
        <v/>
      </c>
      <c r="D302">
        <f>IF(ISBLANK('Q:\Abteilungsprojekte\Eng\EngData\PROJECT_Bioplastics\Renjie_Pan\05-Raw_Data\Lab_results\[LabSamples2025_Bioplastic_extra.xlsx]extra_Bioplastic'!D302)," ",'Q:\Abteilungsprojekte\Eng\EngData\PROJECT_Bioplastics\Renjie_Pan\05-Raw_Data\Lab_results\[LabSamples2025_Bioplastic_extra.xlsx]extra_Bioplastic'!D302)</f>
        <v/>
      </c>
      <c r="E302">
        <f>IF(ISBLANK('Q:\Abteilungsprojekte\Eng\EngData\PROJECT_Bioplastics\Renjie_Pan\05-Raw_Data\Lab_results\[LabSamples2025_Bioplastic_extra.xlsx]extra_Bioplastic'!E302)," ",'Q:\Abteilungsprojekte\Eng\EngData\PROJECT_Bioplastics\Renjie_Pan\05-Raw_Data\Lab_results\[LabSamples2025_Bioplastic_extra.xlsx]extra_Bioplastic'!E302)</f>
        <v/>
      </c>
      <c r="F302">
        <f>IF(ISBLANK('Q:\Abteilungsprojekte\Eng\EngData\PROJECT_Bioplastics\Renjie_Pan\05-Raw_Data\Lab_results\[LabSamples2025_Bioplastic_extra.xlsx]extra_Bioplastic'!F302)," ",'Q:\Abteilungsprojekte\Eng\EngData\PROJECT_Bioplastics\Renjie_Pan\05-Raw_Data\Lab_results\[LabSamples2025_Bioplastic_extra.xlsx]extra_Bioplastic'!F302)</f>
        <v/>
      </c>
      <c r="G302">
        <f>IF(ISBLANK('Q:\Abteilungsprojekte\Eng\EngData\PROJECT_Bioplastics\Renjie_Pan\05-Raw_Data\Lab_results\[LabSamples2025_Bioplastic_extra.xlsx]extra_Bioplastic'!G302)," ",'Q:\Abteilungsprojekte\Eng\EngData\PROJECT_Bioplastics\Renjie_Pan\05-Raw_Data\Lab_results\[LabSamples2025_Bioplastic_extra.xlsx]extra_Bioplastic'!G302)</f>
        <v/>
      </c>
      <c r="H302">
        <f>IF(ISBLANK('Q:\Abteilungsprojekte\Eng\EngData\PROJECT_Bioplastics\Renjie_Pan\05-Raw_Data\Lab_results\[LabSamples2025_Bioplastic_extra.xlsx]extra_Bioplastic'!H302)," ",'Q:\Abteilungsprojekte\Eng\EngData\PROJECT_Bioplastics\Renjie_Pan\05-Raw_Data\Lab_results\[LabSamples2025_Bioplastic_extra.xlsx]extra_Bioplastic'!H302)</f>
        <v/>
      </c>
    </row>
    <row r="303">
      <c r="A303">
        <f>IF(ISBLANK('Q:\Abteilungsprojekte\Eng\EngData\PROJECT_Bioplastics\Renjie_Pan\05-Raw_Data\Lab_results\[LabSamples2025_Bioplastic_extra.xlsx]extra_Bioplastic'!A303)," ",'Q:\Abteilungsprojekte\Eng\EngData\PROJECT_Bioplastics\Renjie_Pan\05-Raw_Data\Lab_results\[LabSamples2025_Bioplastic_extra.xlsx]extra_Bioplastic'!A303)</f>
        <v/>
      </c>
      <c r="B303">
        <f>IF(ISBLANK('Q:\Abteilungsprojekte\Eng\EngData\PROJECT_Bioplastics\Renjie_Pan\05-Raw_Data\Lab_results\[LabSamples2025_Bioplastic_extra.xlsx]extra_Bioplastic'!B303)," ",'Q:\Abteilungsprojekte\Eng\EngData\PROJECT_Bioplastics\Renjie_Pan\05-Raw_Data\Lab_results\[LabSamples2025_Bioplastic_extra.xlsx]extra_Bioplastic'!B303)</f>
        <v/>
      </c>
      <c r="C303">
        <f>IF(ISBLANK('Q:\Abteilungsprojekte\Eng\EngData\PROJECT_Bioplastics\Renjie_Pan\05-Raw_Data\Lab_results\[LabSamples2025_Bioplastic_extra.xlsx]extra_Bioplastic'!C303)," ",'Q:\Abteilungsprojekte\Eng\EngData\PROJECT_Bioplastics\Renjie_Pan\05-Raw_Data\Lab_results\[LabSamples2025_Bioplastic_extra.xlsx]extra_Bioplastic'!C303)</f>
        <v/>
      </c>
      <c r="D303">
        <f>IF(ISBLANK('Q:\Abteilungsprojekte\Eng\EngData\PROJECT_Bioplastics\Renjie_Pan\05-Raw_Data\Lab_results\[LabSamples2025_Bioplastic_extra.xlsx]extra_Bioplastic'!D303)," ",'Q:\Abteilungsprojekte\Eng\EngData\PROJECT_Bioplastics\Renjie_Pan\05-Raw_Data\Lab_results\[LabSamples2025_Bioplastic_extra.xlsx]extra_Bioplastic'!D303)</f>
        <v/>
      </c>
      <c r="E303">
        <f>IF(ISBLANK('Q:\Abteilungsprojekte\Eng\EngData\PROJECT_Bioplastics\Renjie_Pan\05-Raw_Data\Lab_results\[LabSamples2025_Bioplastic_extra.xlsx]extra_Bioplastic'!E303)," ",'Q:\Abteilungsprojekte\Eng\EngData\PROJECT_Bioplastics\Renjie_Pan\05-Raw_Data\Lab_results\[LabSamples2025_Bioplastic_extra.xlsx]extra_Bioplastic'!E303)</f>
        <v/>
      </c>
      <c r="F303">
        <f>IF(ISBLANK('Q:\Abteilungsprojekte\Eng\EngData\PROJECT_Bioplastics\Renjie_Pan\05-Raw_Data\Lab_results\[LabSamples2025_Bioplastic_extra.xlsx]extra_Bioplastic'!F303)," ",'Q:\Abteilungsprojekte\Eng\EngData\PROJECT_Bioplastics\Renjie_Pan\05-Raw_Data\Lab_results\[LabSamples2025_Bioplastic_extra.xlsx]extra_Bioplastic'!F303)</f>
        <v/>
      </c>
      <c r="G303">
        <f>IF(ISBLANK('Q:\Abteilungsprojekte\Eng\EngData\PROJECT_Bioplastics\Renjie_Pan\05-Raw_Data\Lab_results\[LabSamples2025_Bioplastic_extra.xlsx]extra_Bioplastic'!G303)," ",'Q:\Abteilungsprojekte\Eng\EngData\PROJECT_Bioplastics\Renjie_Pan\05-Raw_Data\Lab_results\[LabSamples2025_Bioplastic_extra.xlsx]extra_Bioplastic'!G303)</f>
        <v/>
      </c>
      <c r="H303">
        <f>IF(ISBLANK('Q:\Abteilungsprojekte\Eng\EngData\PROJECT_Bioplastics\Renjie_Pan\05-Raw_Data\Lab_results\[LabSamples2025_Bioplastic_extra.xlsx]extra_Bioplastic'!H303)," ",'Q:\Abteilungsprojekte\Eng\EngData\PROJECT_Bioplastics\Renjie_Pan\05-Raw_Data\Lab_results\[LabSamples2025_Bioplastic_extra.xlsx]extra_Bioplastic'!H303)</f>
        <v/>
      </c>
    </row>
    <row r="304">
      <c r="A304">
        <f>IF(ISBLANK('Q:\Abteilungsprojekte\Eng\EngData\PROJECT_Bioplastics\Renjie_Pan\05-Raw_Data\Lab_results\[LabSamples2025_Bioplastic_extra.xlsx]extra_Bioplastic'!A304)," ",'Q:\Abteilungsprojekte\Eng\EngData\PROJECT_Bioplastics\Renjie_Pan\05-Raw_Data\Lab_results\[LabSamples2025_Bioplastic_extra.xlsx]extra_Bioplastic'!A304)</f>
        <v/>
      </c>
      <c r="B304">
        <f>IF(ISBLANK('Q:\Abteilungsprojekte\Eng\EngData\PROJECT_Bioplastics\Renjie_Pan\05-Raw_Data\Lab_results\[LabSamples2025_Bioplastic_extra.xlsx]extra_Bioplastic'!B304)," ",'Q:\Abteilungsprojekte\Eng\EngData\PROJECT_Bioplastics\Renjie_Pan\05-Raw_Data\Lab_results\[LabSamples2025_Bioplastic_extra.xlsx]extra_Bioplastic'!B304)</f>
        <v/>
      </c>
      <c r="C304">
        <f>IF(ISBLANK('Q:\Abteilungsprojekte\Eng\EngData\PROJECT_Bioplastics\Renjie_Pan\05-Raw_Data\Lab_results\[LabSamples2025_Bioplastic_extra.xlsx]extra_Bioplastic'!C304)," ",'Q:\Abteilungsprojekte\Eng\EngData\PROJECT_Bioplastics\Renjie_Pan\05-Raw_Data\Lab_results\[LabSamples2025_Bioplastic_extra.xlsx]extra_Bioplastic'!C304)</f>
        <v/>
      </c>
      <c r="D304">
        <f>IF(ISBLANK('Q:\Abteilungsprojekte\Eng\EngData\PROJECT_Bioplastics\Renjie_Pan\05-Raw_Data\Lab_results\[LabSamples2025_Bioplastic_extra.xlsx]extra_Bioplastic'!D304)," ",'Q:\Abteilungsprojekte\Eng\EngData\PROJECT_Bioplastics\Renjie_Pan\05-Raw_Data\Lab_results\[LabSamples2025_Bioplastic_extra.xlsx]extra_Bioplastic'!D304)</f>
        <v/>
      </c>
      <c r="E304">
        <f>IF(ISBLANK('Q:\Abteilungsprojekte\Eng\EngData\PROJECT_Bioplastics\Renjie_Pan\05-Raw_Data\Lab_results\[LabSamples2025_Bioplastic_extra.xlsx]extra_Bioplastic'!E304)," ",'Q:\Abteilungsprojekte\Eng\EngData\PROJECT_Bioplastics\Renjie_Pan\05-Raw_Data\Lab_results\[LabSamples2025_Bioplastic_extra.xlsx]extra_Bioplastic'!E304)</f>
        <v/>
      </c>
      <c r="F304">
        <f>IF(ISBLANK('Q:\Abteilungsprojekte\Eng\EngData\PROJECT_Bioplastics\Renjie_Pan\05-Raw_Data\Lab_results\[LabSamples2025_Bioplastic_extra.xlsx]extra_Bioplastic'!F304)," ",'Q:\Abteilungsprojekte\Eng\EngData\PROJECT_Bioplastics\Renjie_Pan\05-Raw_Data\Lab_results\[LabSamples2025_Bioplastic_extra.xlsx]extra_Bioplastic'!F304)</f>
        <v/>
      </c>
      <c r="G304">
        <f>IF(ISBLANK('Q:\Abteilungsprojekte\Eng\EngData\PROJECT_Bioplastics\Renjie_Pan\05-Raw_Data\Lab_results\[LabSamples2025_Bioplastic_extra.xlsx]extra_Bioplastic'!G304)," ",'Q:\Abteilungsprojekte\Eng\EngData\PROJECT_Bioplastics\Renjie_Pan\05-Raw_Data\Lab_results\[LabSamples2025_Bioplastic_extra.xlsx]extra_Bioplastic'!G304)</f>
        <v/>
      </c>
      <c r="H304">
        <f>IF(ISBLANK('Q:\Abteilungsprojekte\Eng\EngData\PROJECT_Bioplastics\Renjie_Pan\05-Raw_Data\Lab_results\[LabSamples2025_Bioplastic_extra.xlsx]extra_Bioplastic'!H304)," ",'Q:\Abteilungsprojekte\Eng\EngData\PROJECT_Bioplastics\Renjie_Pan\05-Raw_Data\Lab_results\[LabSamples2025_Bioplastic_extra.xlsx]extra_Bioplastic'!H304)</f>
        <v/>
      </c>
    </row>
    <row r="305">
      <c r="A305">
        <f>IF(ISBLANK('Q:\Abteilungsprojekte\Eng\EngData\PROJECT_Bioplastics\Renjie_Pan\05-Raw_Data\Lab_results\[LabSamples2025_Bioplastic_extra.xlsx]extra_Bioplastic'!A305)," ",'Q:\Abteilungsprojekte\Eng\EngData\PROJECT_Bioplastics\Renjie_Pan\05-Raw_Data\Lab_results\[LabSamples2025_Bioplastic_extra.xlsx]extra_Bioplastic'!A305)</f>
        <v/>
      </c>
      <c r="B305">
        <f>IF(ISBLANK('Q:\Abteilungsprojekte\Eng\EngData\PROJECT_Bioplastics\Renjie_Pan\05-Raw_Data\Lab_results\[LabSamples2025_Bioplastic_extra.xlsx]extra_Bioplastic'!B305)," ",'Q:\Abteilungsprojekte\Eng\EngData\PROJECT_Bioplastics\Renjie_Pan\05-Raw_Data\Lab_results\[LabSamples2025_Bioplastic_extra.xlsx]extra_Bioplastic'!B305)</f>
        <v/>
      </c>
      <c r="C305">
        <f>IF(ISBLANK('Q:\Abteilungsprojekte\Eng\EngData\PROJECT_Bioplastics\Renjie_Pan\05-Raw_Data\Lab_results\[LabSamples2025_Bioplastic_extra.xlsx]extra_Bioplastic'!C305)," ",'Q:\Abteilungsprojekte\Eng\EngData\PROJECT_Bioplastics\Renjie_Pan\05-Raw_Data\Lab_results\[LabSamples2025_Bioplastic_extra.xlsx]extra_Bioplastic'!C305)</f>
        <v/>
      </c>
      <c r="D305">
        <f>IF(ISBLANK('Q:\Abteilungsprojekte\Eng\EngData\PROJECT_Bioplastics\Renjie_Pan\05-Raw_Data\Lab_results\[LabSamples2025_Bioplastic_extra.xlsx]extra_Bioplastic'!D305)," ",'Q:\Abteilungsprojekte\Eng\EngData\PROJECT_Bioplastics\Renjie_Pan\05-Raw_Data\Lab_results\[LabSamples2025_Bioplastic_extra.xlsx]extra_Bioplastic'!D305)</f>
        <v/>
      </c>
      <c r="E305">
        <f>IF(ISBLANK('Q:\Abteilungsprojekte\Eng\EngData\PROJECT_Bioplastics\Renjie_Pan\05-Raw_Data\Lab_results\[LabSamples2025_Bioplastic_extra.xlsx]extra_Bioplastic'!E305)," ",'Q:\Abteilungsprojekte\Eng\EngData\PROJECT_Bioplastics\Renjie_Pan\05-Raw_Data\Lab_results\[LabSamples2025_Bioplastic_extra.xlsx]extra_Bioplastic'!E305)</f>
        <v/>
      </c>
      <c r="F305">
        <f>IF(ISBLANK('Q:\Abteilungsprojekte\Eng\EngData\PROJECT_Bioplastics\Renjie_Pan\05-Raw_Data\Lab_results\[LabSamples2025_Bioplastic_extra.xlsx]extra_Bioplastic'!F305)," ",'Q:\Abteilungsprojekte\Eng\EngData\PROJECT_Bioplastics\Renjie_Pan\05-Raw_Data\Lab_results\[LabSamples2025_Bioplastic_extra.xlsx]extra_Bioplastic'!F305)</f>
        <v/>
      </c>
      <c r="G305">
        <f>IF(ISBLANK('Q:\Abteilungsprojekte\Eng\EngData\PROJECT_Bioplastics\Renjie_Pan\05-Raw_Data\Lab_results\[LabSamples2025_Bioplastic_extra.xlsx]extra_Bioplastic'!G305)," ",'Q:\Abteilungsprojekte\Eng\EngData\PROJECT_Bioplastics\Renjie_Pan\05-Raw_Data\Lab_results\[LabSamples2025_Bioplastic_extra.xlsx]extra_Bioplastic'!G305)</f>
        <v/>
      </c>
      <c r="H305">
        <f>IF(ISBLANK('Q:\Abteilungsprojekte\Eng\EngData\PROJECT_Bioplastics\Renjie_Pan\05-Raw_Data\Lab_results\[LabSamples2025_Bioplastic_extra.xlsx]extra_Bioplastic'!H305)," ",'Q:\Abteilungsprojekte\Eng\EngData\PROJECT_Bioplastics\Renjie_Pan\05-Raw_Data\Lab_results\[LabSamples2025_Bioplastic_extra.xlsx]extra_Bioplastic'!H305)</f>
        <v/>
      </c>
    </row>
    <row r="306">
      <c r="A306">
        <f>IF(ISBLANK('Q:\Abteilungsprojekte\Eng\EngData\PROJECT_Bioplastics\Renjie_Pan\05-Raw_Data\Lab_results\[LabSamples2025_Bioplastic_extra.xlsx]extra_Bioplastic'!A306)," ",'Q:\Abteilungsprojekte\Eng\EngData\PROJECT_Bioplastics\Renjie_Pan\05-Raw_Data\Lab_results\[LabSamples2025_Bioplastic_extra.xlsx]extra_Bioplastic'!A306)</f>
        <v/>
      </c>
      <c r="B306">
        <f>IF(ISBLANK('Q:\Abteilungsprojekte\Eng\EngData\PROJECT_Bioplastics\Renjie_Pan\05-Raw_Data\Lab_results\[LabSamples2025_Bioplastic_extra.xlsx]extra_Bioplastic'!B306)," ",'Q:\Abteilungsprojekte\Eng\EngData\PROJECT_Bioplastics\Renjie_Pan\05-Raw_Data\Lab_results\[LabSamples2025_Bioplastic_extra.xlsx]extra_Bioplastic'!B306)</f>
        <v/>
      </c>
      <c r="C306">
        <f>IF(ISBLANK('Q:\Abteilungsprojekte\Eng\EngData\PROJECT_Bioplastics\Renjie_Pan\05-Raw_Data\Lab_results\[LabSamples2025_Bioplastic_extra.xlsx]extra_Bioplastic'!C306)," ",'Q:\Abteilungsprojekte\Eng\EngData\PROJECT_Bioplastics\Renjie_Pan\05-Raw_Data\Lab_results\[LabSamples2025_Bioplastic_extra.xlsx]extra_Bioplastic'!C306)</f>
        <v/>
      </c>
      <c r="D306">
        <f>IF(ISBLANK('Q:\Abteilungsprojekte\Eng\EngData\PROJECT_Bioplastics\Renjie_Pan\05-Raw_Data\Lab_results\[LabSamples2025_Bioplastic_extra.xlsx]extra_Bioplastic'!D306)," ",'Q:\Abteilungsprojekte\Eng\EngData\PROJECT_Bioplastics\Renjie_Pan\05-Raw_Data\Lab_results\[LabSamples2025_Bioplastic_extra.xlsx]extra_Bioplastic'!D306)</f>
        <v/>
      </c>
      <c r="E306">
        <f>IF(ISBLANK('Q:\Abteilungsprojekte\Eng\EngData\PROJECT_Bioplastics\Renjie_Pan\05-Raw_Data\Lab_results\[LabSamples2025_Bioplastic_extra.xlsx]extra_Bioplastic'!E306)," ",'Q:\Abteilungsprojekte\Eng\EngData\PROJECT_Bioplastics\Renjie_Pan\05-Raw_Data\Lab_results\[LabSamples2025_Bioplastic_extra.xlsx]extra_Bioplastic'!E306)</f>
        <v/>
      </c>
      <c r="F306">
        <f>IF(ISBLANK('Q:\Abteilungsprojekte\Eng\EngData\PROJECT_Bioplastics\Renjie_Pan\05-Raw_Data\Lab_results\[LabSamples2025_Bioplastic_extra.xlsx]extra_Bioplastic'!F306)," ",'Q:\Abteilungsprojekte\Eng\EngData\PROJECT_Bioplastics\Renjie_Pan\05-Raw_Data\Lab_results\[LabSamples2025_Bioplastic_extra.xlsx]extra_Bioplastic'!F306)</f>
        <v/>
      </c>
      <c r="G306">
        <f>IF(ISBLANK('Q:\Abteilungsprojekte\Eng\EngData\PROJECT_Bioplastics\Renjie_Pan\05-Raw_Data\Lab_results\[LabSamples2025_Bioplastic_extra.xlsx]extra_Bioplastic'!G306)," ",'Q:\Abteilungsprojekte\Eng\EngData\PROJECT_Bioplastics\Renjie_Pan\05-Raw_Data\Lab_results\[LabSamples2025_Bioplastic_extra.xlsx]extra_Bioplastic'!G306)</f>
        <v/>
      </c>
      <c r="H306">
        <f>IF(ISBLANK('Q:\Abteilungsprojekte\Eng\EngData\PROJECT_Bioplastics\Renjie_Pan\05-Raw_Data\Lab_results\[LabSamples2025_Bioplastic_extra.xlsx]extra_Bioplastic'!H306)," ",'Q:\Abteilungsprojekte\Eng\EngData\PROJECT_Bioplastics\Renjie_Pan\05-Raw_Data\Lab_results\[LabSamples2025_Bioplastic_extra.xlsx]extra_Bioplastic'!H306)</f>
        <v/>
      </c>
    </row>
    <row r="307">
      <c r="A307">
        <f>IF(ISBLANK('Q:\Abteilungsprojekte\Eng\EngData\PROJECT_Bioplastics\Renjie_Pan\05-Raw_Data\Lab_results\[LabSamples2025_Bioplastic_extra.xlsx]extra_Bioplastic'!A307)," ",'Q:\Abteilungsprojekte\Eng\EngData\PROJECT_Bioplastics\Renjie_Pan\05-Raw_Data\Lab_results\[LabSamples2025_Bioplastic_extra.xlsx]extra_Bioplastic'!A307)</f>
        <v/>
      </c>
      <c r="B307">
        <f>IF(ISBLANK('Q:\Abteilungsprojekte\Eng\EngData\PROJECT_Bioplastics\Renjie_Pan\05-Raw_Data\Lab_results\[LabSamples2025_Bioplastic_extra.xlsx]extra_Bioplastic'!B307)," ",'Q:\Abteilungsprojekte\Eng\EngData\PROJECT_Bioplastics\Renjie_Pan\05-Raw_Data\Lab_results\[LabSamples2025_Bioplastic_extra.xlsx]extra_Bioplastic'!B307)</f>
        <v/>
      </c>
      <c r="C307">
        <f>IF(ISBLANK('Q:\Abteilungsprojekte\Eng\EngData\PROJECT_Bioplastics\Renjie_Pan\05-Raw_Data\Lab_results\[LabSamples2025_Bioplastic_extra.xlsx]extra_Bioplastic'!C307)," ",'Q:\Abteilungsprojekte\Eng\EngData\PROJECT_Bioplastics\Renjie_Pan\05-Raw_Data\Lab_results\[LabSamples2025_Bioplastic_extra.xlsx]extra_Bioplastic'!C307)</f>
        <v/>
      </c>
      <c r="D307">
        <f>IF(ISBLANK('Q:\Abteilungsprojekte\Eng\EngData\PROJECT_Bioplastics\Renjie_Pan\05-Raw_Data\Lab_results\[LabSamples2025_Bioplastic_extra.xlsx]extra_Bioplastic'!D307)," ",'Q:\Abteilungsprojekte\Eng\EngData\PROJECT_Bioplastics\Renjie_Pan\05-Raw_Data\Lab_results\[LabSamples2025_Bioplastic_extra.xlsx]extra_Bioplastic'!D307)</f>
        <v/>
      </c>
      <c r="E307">
        <f>IF(ISBLANK('Q:\Abteilungsprojekte\Eng\EngData\PROJECT_Bioplastics\Renjie_Pan\05-Raw_Data\Lab_results\[LabSamples2025_Bioplastic_extra.xlsx]extra_Bioplastic'!E307)," ",'Q:\Abteilungsprojekte\Eng\EngData\PROJECT_Bioplastics\Renjie_Pan\05-Raw_Data\Lab_results\[LabSamples2025_Bioplastic_extra.xlsx]extra_Bioplastic'!E307)</f>
        <v/>
      </c>
      <c r="F307">
        <f>IF(ISBLANK('Q:\Abteilungsprojekte\Eng\EngData\PROJECT_Bioplastics\Renjie_Pan\05-Raw_Data\Lab_results\[LabSamples2025_Bioplastic_extra.xlsx]extra_Bioplastic'!F307)," ",'Q:\Abteilungsprojekte\Eng\EngData\PROJECT_Bioplastics\Renjie_Pan\05-Raw_Data\Lab_results\[LabSamples2025_Bioplastic_extra.xlsx]extra_Bioplastic'!F307)</f>
        <v/>
      </c>
      <c r="G307">
        <f>IF(ISBLANK('Q:\Abteilungsprojekte\Eng\EngData\PROJECT_Bioplastics\Renjie_Pan\05-Raw_Data\Lab_results\[LabSamples2025_Bioplastic_extra.xlsx]extra_Bioplastic'!G307)," ",'Q:\Abteilungsprojekte\Eng\EngData\PROJECT_Bioplastics\Renjie_Pan\05-Raw_Data\Lab_results\[LabSamples2025_Bioplastic_extra.xlsx]extra_Bioplastic'!G307)</f>
        <v/>
      </c>
      <c r="H307">
        <f>IF(ISBLANK('Q:\Abteilungsprojekte\Eng\EngData\PROJECT_Bioplastics\Renjie_Pan\05-Raw_Data\Lab_results\[LabSamples2025_Bioplastic_extra.xlsx]extra_Bioplastic'!H307)," ",'Q:\Abteilungsprojekte\Eng\EngData\PROJECT_Bioplastics\Renjie_Pan\05-Raw_Data\Lab_results\[LabSamples2025_Bioplastic_extra.xlsx]extra_Bioplastic'!H307)</f>
        <v/>
      </c>
    </row>
    <row r="308">
      <c r="A308">
        <f>IF(ISBLANK('Q:\Abteilungsprojekte\Eng\EngData\PROJECT_Bioplastics\Renjie_Pan\05-Raw_Data\Lab_results\[LabSamples2025_Bioplastic_extra.xlsx]extra_Bioplastic'!A308)," ",'Q:\Abteilungsprojekte\Eng\EngData\PROJECT_Bioplastics\Renjie_Pan\05-Raw_Data\Lab_results\[LabSamples2025_Bioplastic_extra.xlsx]extra_Bioplastic'!A308)</f>
        <v/>
      </c>
      <c r="B308">
        <f>IF(ISBLANK('Q:\Abteilungsprojekte\Eng\EngData\PROJECT_Bioplastics\Renjie_Pan\05-Raw_Data\Lab_results\[LabSamples2025_Bioplastic_extra.xlsx]extra_Bioplastic'!B308)," ",'Q:\Abteilungsprojekte\Eng\EngData\PROJECT_Bioplastics\Renjie_Pan\05-Raw_Data\Lab_results\[LabSamples2025_Bioplastic_extra.xlsx]extra_Bioplastic'!B308)</f>
        <v/>
      </c>
      <c r="C308">
        <f>IF(ISBLANK('Q:\Abteilungsprojekte\Eng\EngData\PROJECT_Bioplastics\Renjie_Pan\05-Raw_Data\Lab_results\[LabSamples2025_Bioplastic_extra.xlsx]extra_Bioplastic'!C308)," ",'Q:\Abteilungsprojekte\Eng\EngData\PROJECT_Bioplastics\Renjie_Pan\05-Raw_Data\Lab_results\[LabSamples2025_Bioplastic_extra.xlsx]extra_Bioplastic'!C308)</f>
        <v/>
      </c>
      <c r="D308">
        <f>IF(ISBLANK('Q:\Abteilungsprojekte\Eng\EngData\PROJECT_Bioplastics\Renjie_Pan\05-Raw_Data\Lab_results\[LabSamples2025_Bioplastic_extra.xlsx]extra_Bioplastic'!D308)," ",'Q:\Abteilungsprojekte\Eng\EngData\PROJECT_Bioplastics\Renjie_Pan\05-Raw_Data\Lab_results\[LabSamples2025_Bioplastic_extra.xlsx]extra_Bioplastic'!D308)</f>
        <v/>
      </c>
      <c r="E308">
        <f>IF(ISBLANK('Q:\Abteilungsprojekte\Eng\EngData\PROJECT_Bioplastics\Renjie_Pan\05-Raw_Data\Lab_results\[LabSamples2025_Bioplastic_extra.xlsx]extra_Bioplastic'!E308)," ",'Q:\Abteilungsprojekte\Eng\EngData\PROJECT_Bioplastics\Renjie_Pan\05-Raw_Data\Lab_results\[LabSamples2025_Bioplastic_extra.xlsx]extra_Bioplastic'!E308)</f>
        <v/>
      </c>
      <c r="F308">
        <f>IF(ISBLANK('Q:\Abteilungsprojekte\Eng\EngData\PROJECT_Bioplastics\Renjie_Pan\05-Raw_Data\Lab_results\[LabSamples2025_Bioplastic_extra.xlsx]extra_Bioplastic'!F308)," ",'Q:\Abteilungsprojekte\Eng\EngData\PROJECT_Bioplastics\Renjie_Pan\05-Raw_Data\Lab_results\[LabSamples2025_Bioplastic_extra.xlsx]extra_Bioplastic'!F308)</f>
        <v/>
      </c>
      <c r="G308">
        <f>IF(ISBLANK('Q:\Abteilungsprojekte\Eng\EngData\PROJECT_Bioplastics\Renjie_Pan\05-Raw_Data\Lab_results\[LabSamples2025_Bioplastic_extra.xlsx]extra_Bioplastic'!G308)," ",'Q:\Abteilungsprojekte\Eng\EngData\PROJECT_Bioplastics\Renjie_Pan\05-Raw_Data\Lab_results\[LabSamples2025_Bioplastic_extra.xlsx]extra_Bioplastic'!G308)</f>
        <v/>
      </c>
      <c r="H308">
        <f>IF(ISBLANK('Q:\Abteilungsprojekte\Eng\EngData\PROJECT_Bioplastics\Renjie_Pan\05-Raw_Data\Lab_results\[LabSamples2025_Bioplastic_extra.xlsx]extra_Bioplastic'!H308)," ",'Q:\Abteilungsprojekte\Eng\EngData\PROJECT_Bioplastics\Renjie_Pan\05-Raw_Data\Lab_results\[LabSamples2025_Bioplastic_extra.xlsx]extra_Bioplastic'!H308)</f>
        <v/>
      </c>
    </row>
    <row r="309">
      <c r="A309">
        <f>IF(ISBLANK('Q:\Abteilungsprojekte\Eng\EngData\PROJECT_Bioplastics\Renjie_Pan\05-Raw_Data\Lab_results\[LabSamples2025_Bioplastic_extra.xlsx]extra_Bioplastic'!A309)," ",'Q:\Abteilungsprojekte\Eng\EngData\PROJECT_Bioplastics\Renjie_Pan\05-Raw_Data\Lab_results\[LabSamples2025_Bioplastic_extra.xlsx]extra_Bioplastic'!A309)</f>
        <v/>
      </c>
      <c r="B309">
        <f>IF(ISBLANK('Q:\Abteilungsprojekte\Eng\EngData\PROJECT_Bioplastics\Renjie_Pan\05-Raw_Data\Lab_results\[LabSamples2025_Bioplastic_extra.xlsx]extra_Bioplastic'!B309)," ",'Q:\Abteilungsprojekte\Eng\EngData\PROJECT_Bioplastics\Renjie_Pan\05-Raw_Data\Lab_results\[LabSamples2025_Bioplastic_extra.xlsx]extra_Bioplastic'!B309)</f>
        <v/>
      </c>
      <c r="C309">
        <f>IF(ISBLANK('Q:\Abteilungsprojekte\Eng\EngData\PROJECT_Bioplastics\Renjie_Pan\05-Raw_Data\Lab_results\[LabSamples2025_Bioplastic_extra.xlsx]extra_Bioplastic'!C309)," ",'Q:\Abteilungsprojekte\Eng\EngData\PROJECT_Bioplastics\Renjie_Pan\05-Raw_Data\Lab_results\[LabSamples2025_Bioplastic_extra.xlsx]extra_Bioplastic'!C309)</f>
        <v/>
      </c>
      <c r="D309">
        <f>IF(ISBLANK('Q:\Abteilungsprojekte\Eng\EngData\PROJECT_Bioplastics\Renjie_Pan\05-Raw_Data\Lab_results\[LabSamples2025_Bioplastic_extra.xlsx]extra_Bioplastic'!D309)," ",'Q:\Abteilungsprojekte\Eng\EngData\PROJECT_Bioplastics\Renjie_Pan\05-Raw_Data\Lab_results\[LabSamples2025_Bioplastic_extra.xlsx]extra_Bioplastic'!D309)</f>
        <v/>
      </c>
      <c r="E309">
        <f>IF(ISBLANK('Q:\Abteilungsprojekte\Eng\EngData\PROJECT_Bioplastics\Renjie_Pan\05-Raw_Data\Lab_results\[LabSamples2025_Bioplastic_extra.xlsx]extra_Bioplastic'!E309)," ",'Q:\Abteilungsprojekte\Eng\EngData\PROJECT_Bioplastics\Renjie_Pan\05-Raw_Data\Lab_results\[LabSamples2025_Bioplastic_extra.xlsx]extra_Bioplastic'!E309)</f>
        <v/>
      </c>
      <c r="F309">
        <f>IF(ISBLANK('Q:\Abteilungsprojekte\Eng\EngData\PROJECT_Bioplastics\Renjie_Pan\05-Raw_Data\Lab_results\[LabSamples2025_Bioplastic_extra.xlsx]extra_Bioplastic'!F309)," ",'Q:\Abteilungsprojekte\Eng\EngData\PROJECT_Bioplastics\Renjie_Pan\05-Raw_Data\Lab_results\[LabSamples2025_Bioplastic_extra.xlsx]extra_Bioplastic'!F309)</f>
        <v/>
      </c>
      <c r="G309">
        <f>IF(ISBLANK('Q:\Abteilungsprojekte\Eng\EngData\PROJECT_Bioplastics\Renjie_Pan\05-Raw_Data\Lab_results\[LabSamples2025_Bioplastic_extra.xlsx]extra_Bioplastic'!G309)," ",'Q:\Abteilungsprojekte\Eng\EngData\PROJECT_Bioplastics\Renjie_Pan\05-Raw_Data\Lab_results\[LabSamples2025_Bioplastic_extra.xlsx]extra_Bioplastic'!G309)</f>
        <v/>
      </c>
      <c r="H309">
        <f>IF(ISBLANK('Q:\Abteilungsprojekte\Eng\EngData\PROJECT_Bioplastics\Renjie_Pan\05-Raw_Data\Lab_results\[LabSamples2025_Bioplastic_extra.xlsx]extra_Bioplastic'!H309)," ",'Q:\Abteilungsprojekte\Eng\EngData\PROJECT_Bioplastics\Renjie_Pan\05-Raw_Data\Lab_results\[LabSamples2025_Bioplastic_extra.xlsx]extra_Bioplastic'!H309)</f>
        <v/>
      </c>
    </row>
    <row r="310">
      <c r="A310">
        <f>IF(ISBLANK('Q:\Abteilungsprojekte\Eng\EngData\PROJECT_Bioplastics\Renjie_Pan\05-Raw_Data\Lab_results\[LabSamples2025_Bioplastic_extra.xlsx]extra_Bioplastic'!A310)," ",'Q:\Abteilungsprojekte\Eng\EngData\PROJECT_Bioplastics\Renjie_Pan\05-Raw_Data\Lab_results\[LabSamples2025_Bioplastic_extra.xlsx]extra_Bioplastic'!A310)</f>
        <v/>
      </c>
      <c r="B310">
        <f>IF(ISBLANK('Q:\Abteilungsprojekte\Eng\EngData\PROJECT_Bioplastics\Renjie_Pan\05-Raw_Data\Lab_results\[LabSamples2025_Bioplastic_extra.xlsx]extra_Bioplastic'!B310)," ",'Q:\Abteilungsprojekte\Eng\EngData\PROJECT_Bioplastics\Renjie_Pan\05-Raw_Data\Lab_results\[LabSamples2025_Bioplastic_extra.xlsx]extra_Bioplastic'!B310)</f>
        <v/>
      </c>
      <c r="C310">
        <f>IF(ISBLANK('Q:\Abteilungsprojekte\Eng\EngData\PROJECT_Bioplastics\Renjie_Pan\05-Raw_Data\Lab_results\[LabSamples2025_Bioplastic_extra.xlsx]extra_Bioplastic'!C310)," ",'Q:\Abteilungsprojekte\Eng\EngData\PROJECT_Bioplastics\Renjie_Pan\05-Raw_Data\Lab_results\[LabSamples2025_Bioplastic_extra.xlsx]extra_Bioplastic'!C310)</f>
        <v/>
      </c>
      <c r="D310">
        <f>IF(ISBLANK('Q:\Abteilungsprojekte\Eng\EngData\PROJECT_Bioplastics\Renjie_Pan\05-Raw_Data\Lab_results\[LabSamples2025_Bioplastic_extra.xlsx]extra_Bioplastic'!D310)," ",'Q:\Abteilungsprojekte\Eng\EngData\PROJECT_Bioplastics\Renjie_Pan\05-Raw_Data\Lab_results\[LabSamples2025_Bioplastic_extra.xlsx]extra_Bioplastic'!D310)</f>
        <v/>
      </c>
      <c r="E310">
        <f>IF(ISBLANK('Q:\Abteilungsprojekte\Eng\EngData\PROJECT_Bioplastics\Renjie_Pan\05-Raw_Data\Lab_results\[LabSamples2025_Bioplastic_extra.xlsx]extra_Bioplastic'!E310)," ",'Q:\Abteilungsprojekte\Eng\EngData\PROJECT_Bioplastics\Renjie_Pan\05-Raw_Data\Lab_results\[LabSamples2025_Bioplastic_extra.xlsx]extra_Bioplastic'!E310)</f>
        <v/>
      </c>
      <c r="F310">
        <f>IF(ISBLANK('Q:\Abteilungsprojekte\Eng\EngData\PROJECT_Bioplastics\Renjie_Pan\05-Raw_Data\Lab_results\[LabSamples2025_Bioplastic_extra.xlsx]extra_Bioplastic'!F310)," ",'Q:\Abteilungsprojekte\Eng\EngData\PROJECT_Bioplastics\Renjie_Pan\05-Raw_Data\Lab_results\[LabSamples2025_Bioplastic_extra.xlsx]extra_Bioplastic'!F310)</f>
        <v/>
      </c>
      <c r="G310">
        <f>IF(ISBLANK('Q:\Abteilungsprojekte\Eng\EngData\PROJECT_Bioplastics\Renjie_Pan\05-Raw_Data\Lab_results\[LabSamples2025_Bioplastic_extra.xlsx]extra_Bioplastic'!G310)," ",'Q:\Abteilungsprojekte\Eng\EngData\PROJECT_Bioplastics\Renjie_Pan\05-Raw_Data\Lab_results\[LabSamples2025_Bioplastic_extra.xlsx]extra_Bioplastic'!G310)</f>
        <v/>
      </c>
      <c r="H310">
        <f>IF(ISBLANK('Q:\Abteilungsprojekte\Eng\EngData\PROJECT_Bioplastics\Renjie_Pan\05-Raw_Data\Lab_results\[LabSamples2025_Bioplastic_extra.xlsx]extra_Bioplastic'!H310)," ",'Q:\Abteilungsprojekte\Eng\EngData\PROJECT_Bioplastics\Renjie_Pan\05-Raw_Data\Lab_results\[LabSamples2025_Bioplastic_extra.xlsx]extra_Bioplastic'!H310)</f>
        <v/>
      </c>
    </row>
    <row r="311">
      <c r="A311">
        <f>IF(ISBLANK('Q:\Abteilungsprojekte\Eng\EngData\PROJECT_Bioplastics\Renjie_Pan\05-Raw_Data\Lab_results\[LabSamples2025_Bioplastic_extra.xlsx]extra_Bioplastic'!A311)," ",'Q:\Abteilungsprojekte\Eng\EngData\PROJECT_Bioplastics\Renjie_Pan\05-Raw_Data\Lab_results\[LabSamples2025_Bioplastic_extra.xlsx]extra_Bioplastic'!A311)</f>
        <v/>
      </c>
      <c r="B311">
        <f>IF(ISBLANK('Q:\Abteilungsprojekte\Eng\EngData\PROJECT_Bioplastics\Renjie_Pan\05-Raw_Data\Lab_results\[LabSamples2025_Bioplastic_extra.xlsx]extra_Bioplastic'!B311)," ",'Q:\Abteilungsprojekte\Eng\EngData\PROJECT_Bioplastics\Renjie_Pan\05-Raw_Data\Lab_results\[LabSamples2025_Bioplastic_extra.xlsx]extra_Bioplastic'!B311)</f>
        <v/>
      </c>
      <c r="C311">
        <f>IF(ISBLANK('Q:\Abteilungsprojekte\Eng\EngData\PROJECT_Bioplastics\Renjie_Pan\05-Raw_Data\Lab_results\[LabSamples2025_Bioplastic_extra.xlsx]extra_Bioplastic'!C311)," ",'Q:\Abteilungsprojekte\Eng\EngData\PROJECT_Bioplastics\Renjie_Pan\05-Raw_Data\Lab_results\[LabSamples2025_Bioplastic_extra.xlsx]extra_Bioplastic'!C311)</f>
        <v/>
      </c>
      <c r="D311">
        <f>IF(ISBLANK('Q:\Abteilungsprojekte\Eng\EngData\PROJECT_Bioplastics\Renjie_Pan\05-Raw_Data\Lab_results\[LabSamples2025_Bioplastic_extra.xlsx]extra_Bioplastic'!D311)," ",'Q:\Abteilungsprojekte\Eng\EngData\PROJECT_Bioplastics\Renjie_Pan\05-Raw_Data\Lab_results\[LabSamples2025_Bioplastic_extra.xlsx]extra_Bioplastic'!D311)</f>
        <v/>
      </c>
      <c r="E311">
        <f>IF(ISBLANK('Q:\Abteilungsprojekte\Eng\EngData\PROJECT_Bioplastics\Renjie_Pan\05-Raw_Data\Lab_results\[LabSamples2025_Bioplastic_extra.xlsx]extra_Bioplastic'!E311)," ",'Q:\Abteilungsprojekte\Eng\EngData\PROJECT_Bioplastics\Renjie_Pan\05-Raw_Data\Lab_results\[LabSamples2025_Bioplastic_extra.xlsx]extra_Bioplastic'!E311)</f>
        <v/>
      </c>
      <c r="F311">
        <f>IF(ISBLANK('Q:\Abteilungsprojekte\Eng\EngData\PROJECT_Bioplastics\Renjie_Pan\05-Raw_Data\Lab_results\[LabSamples2025_Bioplastic_extra.xlsx]extra_Bioplastic'!F311)," ",'Q:\Abteilungsprojekte\Eng\EngData\PROJECT_Bioplastics\Renjie_Pan\05-Raw_Data\Lab_results\[LabSamples2025_Bioplastic_extra.xlsx]extra_Bioplastic'!F311)</f>
        <v/>
      </c>
      <c r="G311">
        <f>IF(ISBLANK('Q:\Abteilungsprojekte\Eng\EngData\PROJECT_Bioplastics\Renjie_Pan\05-Raw_Data\Lab_results\[LabSamples2025_Bioplastic_extra.xlsx]extra_Bioplastic'!G311)," ",'Q:\Abteilungsprojekte\Eng\EngData\PROJECT_Bioplastics\Renjie_Pan\05-Raw_Data\Lab_results\[LabSamples2025_Bioplastic_extra.xlsx]extra_Bioplastic'!G311)</f>
        <v/>
      </c>
      <c r="H311">
        <f>IF(ISBLANK('Q:\Abteilungsprojekte\Eng\EngData\PROJECT_Bioplastics\Renjie_Pan\05-Raw_Data\Lab_results\[LabSamples2025_Bioplastic_extra.xlsx]extra_Bioplastic'!H311)," ",'Q:\Abteilungsprojekte\Eng\EngData\PROJECT_Bioplastics\Renjie_Pan\05-Raw_Data\Lab_results\[LabSamples2025_Bioplastic_extra.xlsx]extra_Bioplastic'!H311)</f>
        <v/>
      </c>
    </row>
    <row r="312">
      <c r="A312">
        <f>IF(ISBLANK('Q:\Abteilungsprojekte\Eng\EngData\PROJECT_Bioplastics\Renjie_Pan\05-Raw_Data\Lab_results\[LabSamples2025_Bioplastic_extra.xlsx]extra_Bioplastic'!A312)," ",'Q:\Abteilungsprojekte\Eng\EngData\PROJECT_Bioplastics\Renjie_Pan\05-Raw_Data\Lab_results\[LabSamples2025_Bioplastic_extra.xlsx]extra_Bioplastic'!A312)</f>
        <v/>
      </c>
      <c r="B312">
        <f>IF(ISBLANK('Q:\Abteilungsprojekte\Eng\EngData\PROJECT_Bioplastics\Renjie_Pan\05-Raw_Data\Lab_results\[LabSamples2025_Bioplastic_extra.xlsx]extra_Bioplastic'!B312)," ",'Q:\Abteilungsprojekte\Eng\EngData\PROJECT_Bioplastics\Renjie_Pan\05-Raw_Data\Lab_results\[LabSamples2025_Bioplastic_extra.xlsx]extra_Bioplastic'!B312)</f>
        <v/>
      </c>
      <c r="C312">
        <f>IF(ISBLANK('Q:\Abteilungsprojekte\Eng\EngData\PROJECT_Bioplastics\Renjie_Pan\05-Raw_Data\Lab_results\[LabSamples2025_Bioplastic_extra.xlsx]extra_Bioplastic'!C312)," ",'Q:\Abteilungsprojekte\Eng\EngData\PROJECT_Bioplastics\Renjie_Pan\05-Raw_Data\Lab_results\[LabSamples2025_Bioplastic_extra.xlsx]extra_Bioplastic'!C312)</f>
        <v/>
      </c>
      <c r="D312">
        <f>IF(ISBLANK('Q:\Abteilungsprojekte\Eng\EngData\PROJECT_Bioplastics\Renjie_Pan\05-Raw_Data\Lab_results\[LabSamples2025_Bioplastic_extra.xlsx]extra_Bioplastic'!D312)," ",'Q:\Abteilungsprojekte\Eng\EngData\PROJECT_Bioplastics\Renjie_Pan\05-Raw_Data\Lab_results\[LabSamples2025_Bioplastic_extra.xlsx]extra_Bioplastic'!D312)</f>
        <v/>
      </c>
      <c r="E312">
        <f>IF(ISBLANK('Q:\Abteilungsprojekte\Eng\EngData\PROJECT_Bioplastics\Renjie_Pan\05-Raw_Data\Lab_results\[LabSamples2025_Bioplastic_extra.xlsx]extra_Bioplastic'!E312)," ",'Q:\Abteilungsprojekte\Eng\EngData\PROJECT_Bioplastics\Renjie_Pan\05-Raw_Data\Lab_results\[LabSamples2025_Bioplastic_extra.xlsx]extra_Bioplastic'!E312)</f>
        <v/>
      </c>
      <c r="F312">
        <f>IF(ISBLANK('Q:\Abteilungsprojekte\Eng\EngData\PROJECT_Bioplastics\Renjie_Pan\05-Raw_Data\Lab_results\[LabSamples2025_Bioplastic_extra.xlsx]extra_Bioplastic'!F312)," ",'Q:\Abteilungsprojekte\Eng\EngData\PROJECT_Bioplastics\Renjie_Pan\05-Raw_Data\Lab_results\[LabSamples2025_Bioplastic_extra.xlsx]extra_Bioplastic'!F312)</f>
        <v/>
      </c>
      <c r="G312">
        <f>IF(ISBLANK('Q:\Abteilungsprojekte\Eng\EngData\PROJECT_Bioplastics\Renjie_Pan\05-Raw_Data\Lab_results\[LabSamples2025_Bioplastic_extra.xlsx]extra_Bioplastic'!G312)," ",'Q:\Abteilungsprojekte\Eng\EngData\PROJECT_Bioplastics\Renjie_Pan\05-Raw_Data\Lab_results\[LabSamples2025_Bioplastic_extra.xlsx]extra_Bioplastic'!G312)</f>
        <v/>
      </c>
      <c r="H312">
        <f>IF(ISBLANK('Q:\Abteilungsprojekte\Eng\EngData\PROJECT_Bioplastics\Renjie_Pan\05-Raw_Data\Lab_results\[LabSamples2025_Bioplastic_extra.xlsx]extra_Bioplastic'!H312)," ",'Q:\Abteilungsprojekte\Eng\EngData\PROJECT_Bioplastics\Renjie_Pan\05-Raw_Data\Lab_results\[LabSamples2025_Bioplastic_extra.xlsx]extra_Bioplastic'!H312)</f>
        <v/>
      </c>
    </row>
    <row r="313">
      <c r="A313">
        <f>IF(ISBLANK('Q:\Abteilungsprojekte\Eng\EngData\PROJECT_Bioplastics\Renjie_Pan\05-Raw_Data\Lab_results\[LabSamples2025_Bioplastic_extra.xlsx]extra_Bioplastic'!A313)," ",'Q:\Abteilungsprojekte\Eng\EngData\PROJECT_Bioplastics\Renjie_Pan\05-Raw_Data\Lab_results\[LabSamples2025_Bioplastic_extra.xlsx]extra_Bioplastic'!A313)</f>
        <v/>
      </c>
      <c r="B313">
        <f>IF(ISBLANK('Q:\Abteilungsprojekte\Eng\EngData\PROJECT_Bioplastics\Renjie_Pan\05-Raw_Data\Lab_results\[LabSamples2025_Bioplastic_extra.xlsx]extra_Bioplastic'!B313)," ",'Q:\Abteilungsprojekte\Eng\EngData\PROJECT_Bioplastics\Renjie_Pan\05-Raw_Data\Lab_results\[LabSamples2025_Bioplastic_extra.xlsx]extra_Bioplastic'!B313)</f>
        <v/>
      </c>
      <c r="C313">
        <f>IF(ISBLANK('Q:\Abteilungsprojekte\Eng\EngData\PROJECT_Bioplastics\Renjie_Pan\05-Raw_Data\Lab_results\[LabSamples2025_Bioplastic_extra.xlsx]extra_Bioplastic'!C313)," ",'Q:\Abteilungsprojekte\Eng\EngData\PROJECT_Bioplastics\Renjie_Pan\05-Raw_Data\Lab_results\[LabSamples2025_Bioplastic_extra.xlsx]extra_Bioplastic'!C313)</f>
        <v/>
      </c>
      <c r="D313">
        <f>IF(ISBLANK('Q:\Abteilungsprojekte\Eng\EngData\PROJECT_Bioplastics\Renjie_Pan\05-Raw_Data\Lab_results\[LabSamples2025_Bioplastic_extra.xlsx]extra_Bioplastic'!D313)," ",'Q:\Abteilungsprojekte\Eng\EngData\PROJECT_Bioplastics\Renjie_Pan\05-Raw_Data\Lab_results\[LabSamples2025_Bioplastic_extra.xlsx]extra_Bioplastic'!D313)</f>
        <v/>
      </c>
      <c r="E313">
        <f>IF(ISBLANK('Q:\Abteilungsprojekte\Eng\EngData\PROJECT_Bioplastics\Renjie_Pan\05-Raw_Data\Lab_results\[LabSamples2025_Bioplastic_extra.xlsx]extra_Bioplastic'!E313)," ",'Q:\Abteilungsprojekte\Eng\EngData\PROJECT_Bioplastics\Renjie_Pan\05-Raw_Data\Lab_results\[LabSamples2025_Bioplastic_extra.xlsx]extra_Bioplastic'!E313)</f>
        <v/>
      </c>
      <c r="F313">
        <f>IF(ISBLANK('Q:\Abteilungsprojekte\Eng\EngData\PROJECT_Bioplastics\Renjie_Pan\05-Raw_Data\Lab_results\[LabSamples2025_Bioplastic_extra.xlsx]extra_Bioplastic'!F313)," ",'Q:\Abteilungsprojekte\Eng\EngData\PROJECT_Bioplastics\Renjie_Pan\05-Raw_Data\Lab_results\[LabSamples2025_Bioplastic_extra.xlsx]extra_Bioplastic'!F313)</f>
        <v/>
      </c>
      <c r="G313">
        <f>IF(ISBLANK('Q:\Abteilungsprojekte\Eng\EngData\PROJECT_Bioplastics\Renjie_Pan\05-Raw_Data\Lab_results\[LabSamples2025_Bioplastic_extra.xlsx]extra_Bioplastic'!G313)," ",'Q:\Abteilungsprojekte\Eng\EngData\PROJECT_Bioplastics\Renjie_Pan\05-Raw_Data\Lab_results\[LabSamples2025_Bioplastic_extra.xlsx]extra_Bioplastic'!G313)</f>
        <v/>
      </c>
      <c r="H313">
        <f>IF(ISBLANK('Q:\Abteilungsprojekte\Eng\EngData\PROJECT_Bioplastics\Renjie_Pan\05-Raw_Data\Lab_results\[LabSamples2025_Bioplastic_extra.xlsx]extra_Bioplastic'!H313)," ",'Q:\Abteilungsprojekte\Eng\EngData\PROJECT_Bioplastics\Renjie_Pan\05-Raw_Data\Lab_results\[LabSamples2025_Bioplastic_extra.xlsx]extra_Bioplastic'!H313)</f>
        <v/>
      </c>
    </row>
    <row r="314">
      <c r="A314">
        <f>IF(ISBLANK('Q:\Abteilungsprojekte\Eng\EngData\PROJECT_Bioplastics\Renjie_Pan\05-Raw_Data\Lab_results\[LabSamples2025_Bioplastic_extra.xlsx]extra_Bioplastic'!A314)," ",'Q:\Abteilungsprojekte\Eng\EngData\PROJECT_Bioplastics\Renjie_Pan\05-Raw_Data\Lab_results\[LabSamples2025_Bioplastic_extra.xlsx]extra_Bioplastic'!A314)</f>
        <v/>
      </c>
      <c r="B314">
        <f>IF(ISBLANK('Q:\Abteilungsprojekte\Eng\EngData\PROJECT_Bioplastics\Renjie_Pan\05-Raw_Data\Lab_results\[LabSamples2025_Bioplastic_extra.xlsx]extra_Bioplastic'!B314)," ",'Q:\Abteilungsprojekte\Eng\EngData\PROJECT_Bioplastics\Renjie_Pan\05-Raw_Data\Lab_results\[LabSamples2025_Bioplastic_extra.xlsx]extra_Bioplastic'!B314)</f>
        <v/>
      </c>
      <c r="C314">
        <f>IF(ISBLANK('Q:\Abteilungsprojekte\Eng\EngData\PROJECT_Bioplastics\Renjie_Pan\05-Raw_Data\Lab_results\[LabSamples2025_Bioplastic_extra.xlsx]extra_Bioplastic'!C314)," ",'Q:\Abteilungsprojekte\Eng\EngData\PROJECT_Bioplastics\Renjie_Pan\05-Raw_Data\Lab_results\[LabSamples2025_Bioplastic_extra.xlsx]extra_Bioplastic'!C314)</f>
        <v/>
      </c>
      <c r="D314">
        <f>IF(ISBLANK('Q:\Abteilungsprojekte\Eng\EngData\PROJECT_Bioplastics\Renjie_Pan\05-Raw_Data\Lab_results\[LabSamples2025_Bioplastic_extra.xlsx]extra_Bioplastic'!D314)," ",'Q:\Abteilungsprojekte\Eng\EngData\PROJECT_Bioplastics\Renjie_Pan\05-Raw_Data\Lab_results\[LabSamples2025_Bioplastic_extra.xlsx]extra_Bioplastic'!D314)</f>
        <v/>
      </c>
      <c r="E314">
        <f>IF(ISBLANK('Q:\Abteilungsprojekte\Eng\EngData\PROJECT_Bioplastics\Renjie_Pan\05-Raw_Data\Lab_results\[LabSamples2025_Bioplastic_extra.xlsx]extra_Bioplastic'!E314)," ",'Q:\Abteilungsprojekte\Eng\EngData\PROJECT_Bioplastics\Renjie_Pan\05-Raw_Data\Lab_results\[LabSamples2025_Bioplastic_extra.xlsx]extra_Bioplastic'!E314)</f>
        <v/>
      </c>
      <c r="F314">
        <f>IF(ISBLANK('Q:\Abteilungsprojekte\Eng\EngData\PROJECT_Bioplastics\Renjie_Pan\05-Raw_Data\Lab_results\[LabSamples2025_Bioplastic_extra.xlsx]extra_Bioplastic'!F314)," ",'Q:\Abteilungsprojekte\Eng\EngData\PROJECT_Bioplastics\Renjie_Pan\05-Raw_Data\Lab_results\[LabSamples2025_Bioplastic_extra.xlsx]extra_Bioplastic'!F314)</f>
        <v/>
      </c>
      <c r="G314">
        <f>IF(ISBLANK('Q:\Abteilungsprojekte\Eng\EngData\PROJECT_Bioplastics\Renjie_Pan\05-Raw_Data\Lab_results\[LabSamples2025_Bioplastic_extra.xlsx]extra_Bioplastic'!G314)," ",'Q:\Abteilungsprojekte\Eng\EngData\PROJECT_Bioplastics\Renjie_Pan\05-Raw_Data\Lab_results\[LabSamples2025_Bioplastic_extra.xlsx]extra_Bioplastic'!G314)</f>
        <v/>
      </c>
      <c r="H314">
        <f>IF(ISBLANK('Q:\Abteilungsprojekte\Eng\EngData\PROJECT_Bioplastics\Renjie_Pan\05-Raw_Data\Lab_results\[LabSamples2025_Bioplastic_extra.xlsx]extra_Bioplastic'!H314)," ",'Q:\Abteilungsprojekte\Eng\EngData\PROJECT_Bioplastics\Renjie_Pan\05-Raw_Data\Lab_results\[LabSamples2025_Bioplastic_extra.xlsx]extra_Bioplastic'!H314)</f>
        <v/>
      </c>
    </row>
    <row r="315">
      <c r="A315">
        <f>IF(ISBLANK('Q:\Abteilungsprojekte\Eng\EngData\PROJECT_Bioplastics\Renjie_Pan\05-Raw_Data\Lab_results\[LabSamples2025_Bioplastic_extra.xlsx]extra_Bioplastic'!A315)," ",'Q:\Abteilungsprojekte\Eng\EngData\PROJECT_Bioplastics\Renjie_Pan\05-Raw_Data\Lab_results\[LabSamples2025_Bioplastic_extra.xlsx]extra_Bioplastic'!A315)</f>
        <v/>
      </c>
      <c r="B315">
        <f>IF(ISBLANK('Q:\Abteilungsprojekte\Eng\EngData\PROJECT_Bioplastics\Renjie_Pan\05-Raw_Data\Lab_results\[LabSamples2025_Bioplastic_extra.xlsx]extra_Bioplastic'!B315)," ",'Q:\Abteilungsprojekte\Eng\EngData\PROJECT_Bioplastics\Renjie_Pan\05-Raw_Data\Lab_results\[LabSamples2025_Bioplastic_extra.xlsx]extra_Bioplastic'!B315)</f>
        <v/>
      </c>
      <c r="C315">
        <f>IF(ISBLANK('Q:\Abteilungsprojekte\Eng\EngData\PROJECT_Bioplastics\Renjie_Pan\05-Raw_Data\Lab_results\[LabSamples2025_Bioplastic_extra.xlsx]extra_Bioplastic'!C315)," ",'Q:\Abteilungsprojekte\Eng\EngData\PROJECT_Bioplastics\Renjie_Pan\05-Raw_Data\Lab_results\[LabSamples2025_Bioplastic_extra.xlsx]extra_Bioplastic'!C315)</f>
        <v/>
      </c>
      <c r="D315">
        <f>IF(ISBLANK('Q:\Abteilungsprojekte\Eng\EngData\PROJECT_Bioplastics\Renjie_Pan\05-Raw_Data\Lab_results\[LabSamples2025_Bioplastic_extra.xlsx]extra_Bioplastic'!D315)," ",'Q:\Abteilungsprojekte\Eng\EngData\PROJECT_Bioplastics\Renjie_Pan\05-Raw_Data\Lab_results\[LabSamples2025_Bioplastic_extra.xlsx]extra_Bioplastic'!D315)</f>
        <v/>
      </c>
      <c r="E315">
        <f>IF(ISBLANK('Q:\Abteilungsprojekte\Eng\EngData\PROJECT_Bioplastics\Renjie_Pan\05-Raw_Data\Lab_results\[LabSamples2025_Bioplastic_extra.xlsx]extra_Bioplastic'!E315)," ",'Q:\Abteilungsprojekte\Eng\EngData\PROJECT_Bioplastics\Renjie_Pan\05-Raw_Data\Lab_results\[LabSamples2025_Bioplastic_extra.xlsx]extra_Bioplastic'!E315)</f>
        <v/>
      </c>
      <c r="F315">
        <f>IF(ISBLANK('Q:\Abteilungsprojekte\Eng\EngData\PROJECT_Bioplastics\Renjie_Pan\05-Raw_Data\Lab_results\[LabSamples2025_Bioplastic_extra.xlsx]extra_Bioplastic'!F315)," ",'Q:\Abteilungsprojekte\Eng\EngData\PROJECT_Bioplastics\Renjie_Pan\05-Raw_Data\Lab_results\[LabSamples2025_Bioplastic_extra.xlsx]extra_Bioplastic'!F315)</f>
        <v/>
      </c>
      <c r="G315">
        <f>IF(ISBLANK('Q:\Abteilungsprojekte\Eng\EngData\PROJECT_Bioplastics\Renjie_Pan\05-Raw_Data\Lab_results\[LabSamples2025_Bioplastic_extra.xlsx]extra_Bioplastic'!G315)," ",'Q:\Abteilungsprojekte\Eng\EngData\PROJECT_Bioplastics\Renjie_Pan\05-Raw_Data\Lab_results\[LabSamples2025_Bioplastic_extra.xlsx]extra_Bioplastic'!G315)</f>
        <v/>
      </c>
      <c r="H315">
        <f>IF(ISBLANK('Q:\Abteilungsprojekte\Eng\EngData\PROJECT_Bioplastics\Renjie_Pan\05-Raw_Data\Lab_results\[LabSamples2025_Bioplastic_extra.xlsx]extra_Bioplastic'!H315)," ",'Q:\Abteilungsprojekte\Eng\EngData\PROJECT_Bioplastics\Renjie_Pan\05-Raw_Data\Lab_results\[LabSamples2025_Bioplastic_extra.xlsx]extra_Bioplastic'!H315)</f>
        <v/>
      </c>
    </row>
    <row r="316">
      <c r="A316">
        <f>IF(ISBLANK('Q:\Abteilungsprojekte\Eng\EngData\PROJECT_Bioplastics\Renjie_Pan\05-Raw_Data\Lab_results\[LabSamples2025_Bioplastic_extra.xlsx]extra_Bioplastic'!A316)," ",'Q:\Abteilungsprojekte\Eng\EngData\PROJECT_Bioplastics\Renjie_Pan\05-Raw_Data\Lab_results\[LabSamples2025_Bioplastic_extra.xlsx]extra_Bioplastic'!A316)</f>
        <v/>
      </c>
      <c r="B316">
        <f>IF(ISBLANK('Q:\Abteilungsprojekte\Eng\EngData\PROJECT_Bioplastics\Renjie_Pan\05-Raw_Data\Lab_results\[LabSamples2025_Bioplastic_extra.xlsx]extra_Bioplastic'!B316)," ",'Q:\Abteilungsprojekte\Eng\EngData\PROJECT_Bioplastics\Renjie_Pan\05-Raw_Data\Lab_results\[LabSamples2025_Bioplastic_extra.xlsx]extra_Bioplastic'!B316)</f>
        <v/>
      </c>
      <c r="C316">
        <f>IF(ISBLANK('Q:\Abteilungsprojekte\Eng\EngData\PROJECT_Bioplastics\Renjie_Pan\05-Raw_Data\Lab_results\[LabSamples2025_Bioplastic_extra.xlsx]extra_Bioplastic'!C316)," ",'Q:\Abteilungsprojekte\Eng\EngData\PROJECT_Bioplastics\Renjie_Pan\05-Raw_Data\Lab_results\[LabSamples2025_Bioplastic_extra.xlsx]extra_Bioplastic'!C316)</f>
        <v/>
      </c>
      <c r="D316">
        <f>IF(ISBLANK('Q:\Abteilungsprojekte\Eng\EngData\PROJECT_Bioplastics\Renjie_Pan\05-Raw_Data\Lab_results\[LabSamples2025_Bioplastic_extra.xlsx]extra_Bioplastic'!D316)," ",'Q:\Abteilungsprojekte\Eng\EngData\PROJECT_Bioplastics\Renjie_Pan\05-Raw_Data\Lab_results\[LabSamples2025_Bioplastic_extra.xlsx]extra_Bioplastic'!D316)</f>
        <v/>
      </c>
      <c r="E316">
        <f>IF(ISBLANK('Q:\Abteilungsprojekte\Eng\EngData\PROJECT_Bioplastics\Renjie_Pan\05-Raw_Data\Lab_results\[LabSamples2025_Bioplastic_extra.xlsx]extra_Bioplastic'!E316)," ",'Q:\Abteilungsprojekte\Eng\EngData\PROJECT_Bioplastics\Renjie_Pan\05-Raw_Data\Lab_results\[LabSamples2025_Bioplastic_extra.xlsx]extra_Bioplastic'!E316)</f>
        <v/>
      </c>
      <c r="F316">
        <f>IF(ISBLANK('Q:\Abteilungsprojekte\Eng\EngData\PROJECT_Bioplastics\Renjie_Pan\05-Raw_Data\Lab_results\[LabSamples2025_Bioplastic_extra.xlsx]extra_Bioplastic'!F316)," ",'Q:\Abteilungsprojekte\Eng\EngData\PROJECT_Bioplastics\Renjie_Pan\05-Raw_Data\Lab_results\[LabSamples2025_Bioplastic_extra.xlsx]extra_Bioplastic'!F316)</f>
        <v/>
      </c>
      <c r="G316">
        <f>IF(ISBLANK('Q:\Abteilungsprojekte\Eng\EngData\PROJECT_Bioplastics\Renjie_Pan\05-Raw_Data\Lab_results\[LabSamples2025_Bioplastic_extra.xlsx]extra_Bioplastic'!G316)," ",'Q:\Abteilungsprojekte\Eng\EngData\PROJECT_Bioplastics\Renjie_Pan\05-Raw_Data\Lab_results\[LabSamples2025_Bioplastic_extra.xlsx]extra_Bioplastic'!G316)</f>
        <v/>
      </c>
      <c r="H316">
        <f>IF(ISBLANK('Q:\Abteilungsprojekte\Eng\EngData\PROJECT_Bioplastics\Renjie_Pan\05-Raw_Data\Lab_results\[LabSamples2025_Bioplastic_extra.xlsx]extra_Bioplastic'!H316)," ",'Q:\Abteilungsprojekte\Eng\EngData\PROJECT_Bioplastics\Renjie_Pan\05-Raw_Data\Lab_results\[LabSamples2025_Bioplastic_extra.xlsx]extra_Bioplastic'!H316)</f>
        <v/>
      </c>
    </row>
    <row r="317">
      <c r="A317">
        <f>IF(ISBLANK('Q:\Abteilungsprojekte\Eng\EngData\PROJECT_Bioplastics\Renjie_Pan\05-Raw_Data\Lab_results\[LabSamples2025_Bioplastic_extra.xlsx]extra_Bioplastic'!A317)," ",'Q:\Abteilungsprojekte\Eng\EngData\PROJECT_Bioplastics\Renjie_Pan\05-Raw_Data\Lab_results\[LabSamples2025_Bioplastic_extra.xlsx]extra_Bioplastic'!A317)</f>
        <v/>
      </c>
      <c r="B317">
        <f>IF(ISBLANK('Q:\Abteilungsprojekte\Eng\EngData\PROJECT_Bioplastics\Renjie_Pan\05-Raw_Data\Lab_results\[LabSamples2025_Bioplastic_extra.xlsx]extra_Bioplastic'!B317)," ",'Q:\Abteilungsprojekte\Eng\EngData\PROJECT_Bioplastics\Renjie_Pan\05-Raw_Data\Lab_results\[LabSamples2025_Bioplastic_extra.xlsx]extra_Bioplastic'!B317)</f>
        <v/>
      </c>
      <c r="C317">
        <f>IF(ISBLANK('Q:\Abteilungsprojekte\Eng\EngData\PROJECT_Bioplastics\Renjie_Pan\05-Raw_Data\Lab_results\[LabSamples2025_Bioplastic_extra.xlsx]extra_Bioplastic'!C317)," ",'Q:\Abteilungsprojekte\Eng\EngData\PROJECT_Bioplastics\Renjie_Pan\05-Raw_Data\Lab_results\[LabSamples2025_Bioplastic_extra.xlsx]extra_Bioplastic'!C317)</f>
        <v/>
      </c>
      <c r="D317">
        <f>IF(ISBLANK('Q:\Abteilungsprojekte\Eng\EngData\PROJECT_Bioplastics\Renjie_Pan\05-Raw_Data\Lab_results\[LabSamples2025_Bioplastic_extra.xlsx]extra_Bioplastic'!D317)," ",'Q:\Abteilungsprojekte\Eng\EngData\PROJECT_Bioplastics\Renjie_Pan\05-Raw_Data\Lab_results\[LabSamples2025_Bioplastic_extra.xlsx]extra_Bioplastic'!D317)</f>
        <v/>
      </c>
      <c r="E317">
        <f>IF(ISBLANK('Q:\Abteilungsprojekte\Eng\EngData\PROJECT_Bioplastics\Renjie_Pan\05-Raw_Data\Lab_results\[LabSamples2025_Bioplastic_extra.xlsx]extra_Bioplastic'!E317)," ",'Q:\Abteilungsprojekte\Eng\EngData\PROJECT_Bioplastics\Renjie_Pan\05-Raw_Data\Lab_results\[LabSamples2025_Bioplastic_extra.xlsx]extra_Bioplastic'!E317)</f>
        <v/>
      </c>
      <c r="F317">
        <f>IF(ISBLANK('Q:\Abteilungsprojekte\Eng\EngData\PROJECT_Bioplastics\Renjie_Pan\05-Raw_Data\Lab_results\[LabSamples2025_Bioplastic_extra.xlsx]extra_Bioplastic'!F317)," ",'Q:\Abteilungsprojekte\Eng\EngData\PROJECT_Bioplastics\Renjie_Pan\05-Raw_Data\Lab_results\[LabSamples2025_Bioplastic_extra.xlsx]extra_Bioplastic'!F317)</f>
        <v/>
      </c>
      <c r="G317">
        <f>IF(ISBLANK('Q:\Abteilungsprojekte\Eng\EngData\PROJECT_Bioplastics\Renjie_Pan\05-Raw_Data\Lab_results\[LabSamples2025_Bioplastic_extra.xlsx]extra_Bioplastic'!G317)," ",'Q:\Abteilungsprojekte\Eng\EngData\PROJECT_Bioplastics\Renjie_Pan\05-Raw_Data\Lab_results\[LabSamples2025_Bioplastic_extra.xlsx]extra_Bioplastic'!G317)</f>
        <v/>
      </c>
      <c r="H317">
        <f>IF(ISBLANK('Q:\Abteilungsprojekte\Eng\EngData\PROJECT_Bioplastics\Renjie_Pan\05-Raw_Data\Lab_results\[LabSamples2025_Bioplastic_extra.xlsx]extra_Bioplastic'!H317)," ",'Q:\Abteilungsprojekte\Eng\EngData\PROJECT_Bioplastics\Renjie_Pan\05-Raw_Data\Lab_results\[LabSamples2025_Bioplastic_extra.xlsx]extra_Bioplastic'!H317)</f>
        <v/>
      </c>
    </row>
    <row r="318">
      <c r="A318">
        <f>IF(ISBLANK('Q:\Abteilungsprojekte\Eng\EngData\PROJECT_Bioplastics\Renjie_Pan\05-Raw_Data\Lab_results\[LabSamples2025_Bioplastic_extra.xlsx]extra_Bioplastic'!A318)," ",'Q:\Abteilungsprojekte\Eng\EngData\PROJECT_Bioplastics\Renjie_Pan\05-Raw_Data\Lab_results\[LabSamples2025_Bioplastic_extra.xlsx]extra_Bioplastic'!A318)</f>
        <v/>
      </c>
      <c r="B318">
        <f>IF(ISBLANK('Q:\Abteilungsprojekte\Eng\EngData\PROJECT_Bioplastics\Renjie_Pan\05-Raw_Data\Lab_results\[LabSamples2025_Bioplastic_extra.xlsx]extra_Bioplastic'!B318)," ",'Q:\Abteilungsprojekte\Eng\EngData\PROJECT_Bioplastics\Renjie_Pan\05-Raw_Data\Lab_results\[LabSamples2025_Bioplastic_extra.xlsx]extra_Bioplastic'!B318)</f>
        <v/>
      </c>
      <c r="C318">
        <f>IF(ISBLANK('Q:\Abteilungsprojekte\Eng\EngData\PROJECT_Bioplastics\Renjie_Pan\05-Raw_Data\Lab_results\[LabSamples2025_Bioplastic_extra.xlsx]extra_Bioplastic'!C318)," ",'Q:\Abteilungsprojekte\Eng\EngData\PROJECT_Bioplastics\Renjie_Pan\05-Raw_Data\Lab_results\[LabSamples2025_Bioplastic_extra.xlsx]extra_Bioplastic'!C318)</f>
        <v/>
      </c>
      <c r="D318">
        <f>IF(ISBLANK('Q:\Abteilungsprojekte\Eng\EngData\PROJECT_Bioplastics\Renjie_Pan\05-Raw_Data\Lab_results\[LabSamples2025_Bioplastic_extra.xlsx]extra_Bioplastic'!D318)," ",'Q:\Abteilungsprojekte\Eng\EngData\PROJECT_Bioplastics\Renjie_Pan\05-Raw_Data\Lab_results\[LabSamples2025_Bioplastic_extra.xlsx]extra_Bioplastic'!D318)</f>
        <v/>
      </c>
      <c r="E318">
        <f>IF(ISBLANK('Q:\Abteilungsprojekte\Eng\EngData\PROJECT_Bioplastics\Renjie_Pan\05-Raw_Data\Lab_results\[LabSamples2025_Bioplastic_extra.xlsx]extra_Bioplastic'!E318)," ",'Q:\Abteilungsprojekte\Eng\EngData\PROJECT_Bioplastics\Renjie_Pan\05-Raw_Data\Lab_results\[LabSamples2025_Bioplastic_extra.xlsx]extra_Bioplastic'!E318)</f>
        <v/>
      </c>
      <c r="F318">
        <f>IF(ISBLANK('Q:\Abteilungsprojekte\Eng\EngData\PROJECT_Bioplastics\Renjie_Pan\05-Raw_Data\Lab_results\[LabSamples2025_Bioplastic_extra.xlsx]extra_Bioplastic'!F318)," ",'Q:\Abteilungsprojekte\Eng\EngData\PROJECT_Bioplastics\Renjie_Pan\05-Raw_Data\Lab_results\[LabSamples2025_Bioplastic_extra.xlsx]extra_Bioplastic'!F318)</f>
        <v/>
      </c>
      <c r="G318">
        <f>IF(ISBLANK('Q:\Abteilungsprojekte\Eng\EngData\PROJECT_Bioplastics\Renjie_Pan\05-Raw_Data\Lab_results\[LabSamples2025_Bioplastic_extra.xlsx]extra_Bioplastic'!G318)," ",'Q:\Abteilungsprojekte\Eng\EngData\PROJECT_Bioplastics\Renjie_Pan\05-Raw_Data\Lab_results\[LabSamples2025_Bioplastic_extra.xlsx]extra_Bioplastic'!G318)</f>
        <v/>
      </c>
      <c r="H318">
        <f>IF(ISBLANK('Q:\Abteilungsprojekte\Eng\EngData\PROJECT_Bioplastics\Renjie_Pan\05-Raw_Data\Lab_results\[LabSamples2025_Bioplastic_extra.xlsx]extra_Bioplastic'!H318)," ",'Q:\Abteilungsprojekte\Eng\EngData\PROJECT_Bioplastics\Renjie_Pan\05-Raw_Data\Lab_results\[LabSamples2025_Bioplastic_extra.xlsx]extra_Bioplastic'!H318)</f>
        <v/>
      </c>
    </row>
    <row r="319">
      <c r="A319">
        <f>IF(ISBLANK('Q:\Abteilungsprojekte\Eng\EngData\PROJECT_Bioplastics\Renjie_Pan\05-Raw_Data\Lab_results\[LabSamples2025_Bioplastic_extra.xlsx]extra_Bioplastic'!A319)," ",'Q:\Abteilungsprojekte\Eng\EngData\PROJECT_Bioplastics\Renjie_Pan\05-Raw_Data\Lab_results\[LabSamples2025_Bioplastic_extra.xlsx]extra_Bioplastic'!A319)</f>
        <v/>
      </c>
      <c r="B319">
        <f>IF(ISBLANK('Q:\Abteilungsprojekte\Eng\EngData\PROJECT_Bioplastics\Renjie_Pan\05-Raw_Data\Lab_results\[LabSamples2025_Bioplastic_extra.xlsx]extra_Bioplastic'!B319)," ",'Q:\Abteilungsprojekte\Eng\EngData\PROJECT_Bioplastics\Renjie_Pan\05-Raw_Data\Lab_results\[LabSamples2025_Bioplastic_extra.xlsx]extra_Bioplastic'!B319)</f>
        <v/>
      </c>
      <c r="C319">
        <f>IF(ISBLANK('Q:\Abteilungsprojekte\Eng\EngData\PROJECT_Bioplastics\Renjie_Pan\05-Raw_Data\Lab_results\[LabSamples2025_Bioplastic_extra.xlsx]extra_Bioplastic'!C319)," ",'Q:\Abteilungsprojekte\Eng\EngData\PROJECT_Bioplastics\Renjie_Pan\05-Raw_Data\Lab_results\[LabSamples2025_Bioplastic_extra.xlsx]extra_Bioplastic'!C319)</f>
        <v/>
      </c>
      <c r="D319">
        <f>IF(ISBLANK('Q:\Abteilungsprojekte\Eng\EngData\PROJECT_Bioplastics\Renjie_Pan\05-Raw_Data\Lab_results\[LabSamples2025_Bioplastic_extra.xlsx]extra_Bioplastic'!D319)," ",'Q:\Abteilungsprojekte\Eng\EngData\PROJECT_Bioplastics\Renjie_Pan\05-Raw_Data\Lab_results\[LabSamples2025_Bioplastic_extra.xlsx]extra_Bioplastic'!D319)</f>
        <v/>
      </c>
      <c r="E319">
        <f>IF(ISBLANK('Q:\Abteilungsprojekte\Eng\EngData\PROJECT_Bioplastics\Renjie_Pan\05-Raw_Data\Lab_results\[LabSamples2025_Bioplastic_extra.xlsx]extra_Bioplastic'!E319)," ",'Q:\Abteilungsprojekte\Eng\EngData\PROJECT_Bioplastics\Renjie_Pan\05-Raw_Data\Lab_results\[LabSamples2025_Bioplastic_extra.xlsx]extra_Bioplastic'!E319)</f>
        <v/>
      </c>
      <c r="F319">
        <f>IF(ISBLANK('Q:\Abteilungsprojekte\Eng\EngData\PROJECT_Bioplastics\Renjie_Pan\05-Raw_Data\Lab_results\[LabSamples2025_Bioplastic_extra.xlsx]extra_Bioplastic'!F319)," ",'Q:\Abteilungsprojekte\Eng\EngData\PROJECT_Bioplastics\Renjie_Pan\05-Raw_Data\Lab_results\[LabSamples2025_Bioplastic_extra.xlsx]extra_Bioplastic'!F319)</f>
        <v/>
      </c>
      <c r="G319">
        <f>IF(ISBLANK('Q:\Abteilungsprojekte\Eng\EngData\PROJECT_Bioplastics\Renjie_Pan\05-Raw_Data\Lab_results\[LabSamples2025_Bioplastic_extra.xlsx]extra_Bioplastic'!G319)," ",'Q:\Abteilungsprojekte\Eng\EngData\PROJECT_Bioplastics\Renjie_Pan\05-Raw_Data\Lab_results\[LabSamples2025_Bioplastic_extra.xlsx]extra_Bioplastic'!G319)</f>
        <v/>
      </c>
      <c r="H319">
        <f>IF(ISBLANK('Q:\Abteilungsprojekte\Eng\EngData\PROJECT_Bioplastics\Renjie_Pan\05-Raw_Data\Lab_results\[LabSamples2025_Bioplastic_extra.xlsx]extra_Bioplastic'!H319)," ",'Q:\Abteilungsprojekte\Eng\EngData\PROJECT_Bioplastics\Renjie_Pan\05-Raw_Data\Lab_results\[LabSamples2025_Bioplastic_extra.xlsx]extra_Bioplastic'!H319)</f>
        <v/>
      </c>
    </row>
    <row r="320">
      <c r="A320">
        <f>IF(ISBLANK('Q:\Abteilungsprojekte\Eng\EngData\PROJECT_Bioplastics\Renjie_Pan\05-Raw_Data\Lab_results\[LabSamples2025_Bioplastic_extra.xlsx]extra_Bioplastic'!A320)," ",'Q:\Abteilungsprojekte\Eng\EngData\PROJECT_Bioplastics\Renjie_Pan\05-Raw_Data\Lab_results\[LabSamples2025_Bioplastic_extra.xlsx]extra_Bioplastic'!A320)</f>
        <v/>
      </c>
      <c r="B320">
        <f>IF(ISBLANK('Q:\Abteilungsprojekte\Eng\EngData\PROJECT_Bioplastics\Renjie_Pan\05-Raw_Data\Lab_results\[LabSamples2025_Bioplastic_extra.xlsx]extra_Bioplastic'!B320)," ",'Q:\Abteilungsprojekte\Eng\EngData\PROJECT_Bioplastics\Renjie_Pan\05-Raw_Data\Lab_results\[LabSamples2025_Bioplastic_extra.xlsx]extra_Bioplastic'!B320)</f>
        <v/>
      </c>
      <c r="C320">
        <f>IF(ISBLANK('Q:\Abteilungsprojekte\Eng\EngData\PROJECT_Bioplastics\Renjie_Pan\05-Raw_Data\Lab_results\[LabSamples2025_Bioplastic_extra.xlsx]extra_Bioplastic'!C320)," ",'Q:\Abteilungsprojekte\Eng\EngData\PROJECT_Bioplastics\Renjie_Pan\05-Raw_Data\Lab_results\[LabSamples2025_Bioplastic_extra.xlsx]extra_Bioplastic'!C320)</f>
        <v/>
      </c>
      <c r="D320">
        <f>IF(ISBLANK('Q:\Abteilungsprojekte\Eng\EngData\PROJECT_Bioplastics\Renjie_Pan\05-Raw_Data\Lab_results\[LabSamples2025_Bioplastic_extra.xlsx]extra_Bioplastic'!D320)," ",'Q:\Abteilungsprojekte\Eng\EngData\PROJECT_Bioplastics\Renjie_Pan\05-Raw_Data\Lab_results\[LabSamples2025_Bioplastic_extra.xlsx]extra_Bioplastic'!D320)</f>
        <v/>
      </c>
      <c r="E320">
        <f>IF(ISBLANK('Q:\Abteilungsprojekte\Eng\EngData\PROJECT_Bioplastics\Renjie_Pan\05-Raw_Data\Lab_results\[LabSamples2025_Bioplastic_extra.xlsx]extra_Bioplastic'!E320)," ",'Q:\Abteilungsprojekte\Eng\EngData\PROJECT_Bioplastics\Renjie_Pan\05-Raw_Data\Lab_results\[LabSamples2025_Bioplastic_extra.xlsx]extra_Bioplastic'!E320)</f>
        <v/>
      </c>
      <c r="F320">
        <f>IF(ISBLANK('Q:\Abteilungsprojekte\Eng\EngData\PROJECT_Bioplastics\Renjie_Pan\05-Raw_Data\Lab_results\[LabSamples2025_Bioplastic_extra.xlsx]extra_Bioplastic'!F320)," ",'Q:\Abteilungsprojekte\Eng\EngData\PROJECT_Bioplastics\Renjie_Pan\05-Raw_Data\Lab_results\[LabSamples2025_Bioplastic_extra.xlsx]extra_Bioplastic'!F320)</f>
        <v/>
      </c>
      <c r="G320">
        <f>IF(ISBLANK('Q:\Abteilungsprojekte\Eng\EngData\PROJECT_Bioplastics\Renjie_Pan\05-Raw_Data\Lab_results\[LabSamples2025_Bioplastic_extra.xlsx]extra_Bioplastic'!G320)," ",'Q:\Abteilungsprojekte\Eng\EngData\PROJECT_Bioplastics\Renjie_Pan\05-Raw_Data\Lab_results\[LabSamples2025_Bioplastic_extra.xlsx]extra_Bioplastic'!G320)</f>
        <v/>
      </c>
      <c r="H320">
        <f>IF(ISBLANK('Q:\Abteilungsprojekte\Eng\EngData\PROJECT_Bioplastics\Renjie_Pan\05-Raw_Data\Lab_results\[LabSamples2025_Bioplastic_extra.xlsx]extra_Bioplastic'!H320)," ",'Q:\Abteilungsprojekte\Eng\EngData\PROJECT_Bioplastics\Renjie_Pan\05-Raw_Data\Lab_results\[LabSamples2025_Bioplastic_extra.xlsx]extra_Bioplastic'!H320)</f>
        <v/>
      </c>
    </row>
    <row r="321">
      <c r="A321">
        <f>IF(ISBLANK('Q:\Abteilungsprojekte\Eng\EngData\PROJECT_Bioplastics\Renjie_Pan\05-Raw_Data\Lab_results\[LabSamples2025_Bioplastic_extra.xlsx]extra_Bioplastic'!A321)," ",'Q:\Abteilungsprojekte\Eng\EngData\PROJECT_Bioplastics\Renjie_Pan\05-Raw_Data\Lab_results\[LabSamples2025_Bioplastic_extra.xlsx]extra_Bioplastic'!A321)</f>
        <v/>
      </c>
      <c r="B321">
        <f>IF(ISBLANK('Q:\Abteilungsprojekte\Eng\EngData\PROJECT_Bioplastics\Renjie_Pan\05-Raw_Data\Lab_results\[LabSamples2025_Bioplastic_extra.xlsx]extra_Bioplastic'!B321)," ",'Q:\Abteilungsprojekte\Eng\EngData\PROJECT_Bioplastics\Renjie_Pan\05-Raw_Data\Lab_results\[LabSamples2025_Bioplastic_extra.xlsx]extra_Bioplastic'!B321)</f>
        <v/>
      </c>
      <c r="C321">
        <f>IF(ISBLANK('Q:\Abteilungsprojekte\Eng\EngData\PROJECT_Bioplastics\Renjie_Pan\05-Raw_Data\Lab_results\[LabSamples2025_Bioplastic_extra.xlsx]extra_Bioplastic'!C321)," ",'Q:\Abteilungsprojekte\Eng\EngData\PROJECT_Bioplastics\Renjie_Pan\05-Raw_Data\Lab_results\[LabSamples2025_Bioplastic_extra.xlsx]extra_Bioplastic'!C321)</f>
        <v/>
      </c>
      <c r="D321">
        <f>IF(ISBLANK('Q:\Abteilungsprojekte\Eng\EngData\PROJECT_Bioplastics\Renjie_Pan\05-Raw_Data\Lab_results\[LabSamples2025_Bioplastic_extra.xlsx]extra_Bioplastic'!D321)," ",'Q:\Abteilungsprojekte\Eng\EngData\PROJECT_Bioplastics\Renjie_Pan\05-Raw_Data\Lab_results\[LabSamples2025_Bioplastic_extra.xlsx]extra_Bioplastic'!D321)</f>
        <v/>
      </c>
      <c r="E321">
        <f>IF(ISBLANK('Q:\Abteilungsprojekte\Eng\EngData\PROJECT_Bioplastics\Renjie_Pan\05-Raw_Data\Lab_results\[LabSamples2025_Bioplastic_extra.xlsx]extra_Bioplastic'!E321)," ",'Q:\Abteilungsprojekte\Eng\EngData\PROJECT_Bioplastics\Renjie_Pan\05-Raw_Data\Lab_results\[LabSamples2025_Bioplastic_extra.xlsx]extra_Bioplastic'!E321)</f>
        <v/>
      </c>
      <c r="F321">
        <f>IF(ISBLANK('Q:\Abteilungsprojekte\Eng\EngData\PROJECT_Bioplastics\Renjie_Pan\05-Raw_Data\Lab_results\[LabSamples2025_Bioplastic_extra.xlsx]extra_Bioplastic'!F321)," ",'Q:\Abteilungsprojekte\Eng\EngData\PROJECT_Bioplastics\Renjie_Pan\05-Raw_Data\Lab_results\[LabSamples2025_Bioplastic_extra.xlsx]extra_Bioplastic'!F321)</f>
        <v/>
      </c>
      <c r="G321">
        <f>IF(ISBLANK('Q:\Abteilungsprojekte\Eng\EngData\PROJECT_Bioplastics\Renjie_Pan\05-Raw_Data\Lab_results\[LabSamples2025_Bioplastic_extra.xlsx]extra_Bioplastic'!G321)," ",'Q:\Abteilungsprojekte\Eng\EngData\PROJECT_Bioplastics\Renjie_Pan\05-Raw_Data\Lab_results\[LabSamples2025_Bioplastic_extra.xlsx]extra_Bioplastic'!G321)</f>
        <v/>
      </c>
      <c r="H321">
        <f>IF(ISBLANK('Q:\Abteilungsprojekte\Eng\EngData\PROJECT_Bioplastics\Renjie_Pan\05-Raw_Data\Lab_results\[LabSamples2025_Bioplastic_extra.xlsx]extra_Bioplastic'!H321)," ",'Q:\Abteilungsprojekte\Eng\EngData\PROJECT_Bioplastics\Renjie_Pan\05-Raw_Data\Lab_results\[LabSamples2025_Bioplastic_extra.xlsx]extra_Bioplastic'!H321)</f>
        <v/>
      </c>
    </row>
    <row r="322">
      <c r="A322">
        <f>IF(ISBLANK('Q:\Abteilungsprojekte\Eng\EngData\PROJECT_Bioplastics\Renjie_Pan\05-Raw_Data\Lab_results\[LabSamples2025_Bioplastic_extra.xlsx]extra_Bioplastic'!A322)," ",'Q:\Abteilungsprojekte\Eng\EngData\PROJECT_Bioplastics\Renjie_Pan\05-Raw_Data\Lab_results\[LabSamples2025_Bioplastic_extra.xlsx]extra_Bioplastic'!A322)</f>
        <v/>
      </c>
      <c r="B322">
        <f>IF(ISBLANK('Q:\Abteilungsprojekte\Eng\EngData\PROJECT_Bioplastics\Renjie_Pan\05-Raw_Data\Lab_results\[LabSamples2025_Bioplastic_extra.xlsx]extra_Bioplastic'!B322)," ",'Q:\Abteilungsprojekte\Eng\EngData\PROJECT_Bioplastics\Renjie_Pan\05-Raw_Data\Lab_results\[LabSamples2025_Bioplastic_extra.xlsx]extra_Bioplastic'!B322)</f>
        <v/>
      </c>
      <c r="C322">
        <f>IF(ISBLANK('Q:\Abteilungsprojekte\Eng\EngData\PROJECT_Bioplastics\Renjie_Pan\05-Raw_Data\Lab_results\[LabSamples2025_Bioplastic_extra.xlsx]extra_Bioplastic'!C322)," ",'Q:\Abteilungsprojekte\Eng\EngData\PROJECT_Bioplastics\Renjie_Pan\05-Raw_Data\Lab_results\[LabSamples2025_Bioplastic_extra.xlsx]extra_Bioplastic'!C322)</f>
        <v/>
      </c>
      <c r="D322">
        <f>IF(ISBLANK('Q:\Abteilungsprojekte\Eng\EngData\PROJECT_Bioplastics\Renjie_Pan\05-Raw_Data\Lab_results\[LabSamples2025_Bioplastic_extra.xlsx]extra_Bioplastic'!D322)," ",'Q:\Abteilungsprojekte\Eng\EngData\PROJECT_Bioplastics\Renjie_Pan\05-Raw_Data\Lab_results\[LabSamples2025_Bioplastic_extra.xlsx]extra_Bioplastic'!D322)</f>
        <v/>
      </c>
      <c r="E322">
        <f>IF(ISBLANK('Q:\Abteilungsprojekte\Eng\EngData\PROJECT_Bioplastics\Renjie_Pan\05-Raw_Data\Lab_results\[LabSamples2025_Bioplastic_extra.xlsx]extra_Bioplastic'!E322)," ",'Q:\Abteilungsprojekte\Eng\EngData\PROJECT_Bioplastics\Renjie_Pan\05-Raw_Data\Lab_results\[LabSamples2025_Bioplastic_extra.xlsx]extra_Bioplastic'!E322)</f>
        <v/>
      </c>
      <c r="F322">
        <f>IF(ISBLANK('Q:\Abteilungsprojekte\Eng\EngData\PROJECT_Bioplastics\Renjie_Pan\05-Raw_Data\Lab_results\[LabSamples2025_Bioplastic_extra.xlsx]extra_Bioplastic'!F322)," ",'Q:\Abteilungsprojekte\Eng\EngData\PROJECT_Bioplastics\Renjie_Pan\05-Raw_Data\Lab_results\[LabSamples2025_Bioplastic_extra.xlsx]extra_Bioplastic'!F322)</f>
        <v/>
      </c>
      <c r="G322">
        <f>IF(ISBLANK('Q:\Abteilungsprojekte\Eng\EngData\PROJECT_Bioplastics\Renjie_Pan\05-Raw_Data\Lab_results\[LabSamples2025_Bioplastic_extra.xlsx]extra_Bioplastic'!G322)," ",'Q:\Abteilungsprojekte\Eng\EngData\PROJECT_Bioplastics\Renjie_Pan\05-Raw_Data\Lab_results\[LabSamples2025_Bioplastic_extra.xlsx]extra_Bioplastic'!G322)</f>
        <v/>
      </c>
      <c r="H322">
        <f>IF(ISBLANK('Q:\Abteilungsprojekte\Eng\EngData\PROJECT_Bioplastics\Renjie_Pan\05-Raw_Data\Lab_results\[LabSamples2025_Bioplastic_extra.xlsx]extra_Bioplastic'!H322)," ",'Q:\Abteilungsprojekte\Eng\EngData\PROJECT_Bioplastics\Renjie_Pan\05-Raw_Data\Lab_results\[LabSamples2025_Bioplastic_extra.xlsx]extra_Bioplastic'!H322)</f>
        <v/>
      </c>
    </row>
    <row r="323">
      <c r="A323">
        <f>IF(ISBLANK('Q:\Abteilungsprojekte\Eng\EngData\PROJECT_Bioplastics\Renjie_Pan\05-Raw_Data\Lab_results\[LabSamples2025_Bioplastic_extra.xlsx]extra_Bioplastic'!A323)," ",'Q:\Abteilungsprojekte\Eng\EngData\PROJECT_Bioplastics\Renjie_Pan\05-Raw_Data\Lab_results\[LabSamples2025_Bioplastic_extra.xlsx]extra_Bioplastic'!A323)</f>
        <v/>
      </c>
      <c r="B323">
        <f>IF(ISBLANK('Q:\Abteilungsprojekte\Eng\EngData\PROJECT_Bioplastics\Renjie_Pan\05-Raw_Data\Lab_results\[LabSamples2025_Bioplastic_extra.xlsx]extra_Bioplastic'!B323)," ",'Q:\Abteilungsprojekte\Eng\EngData\PROJECT_Bioplastics\Renjie_Pan\05-Raw_Data\Lab_results\[LabSamples2025_Bioplastic_extra.xlsx]extra_Bioplastic'!B323)</f>
        <v/>
      </c>
      <c r="C323">
        <f>IF(ISBLANK('Q:\Abteilungsprojekte\Eng\EngData\PROJECT_Bioplastics\Renjie_Pan\05-Raw_Data\Lab_results\[LabSamples2025_Bioplastic_extra.xlsx]extra_Bioplastic'!C323)," ",'Q:\Abteilungsprojekte\Eng\EngData\PROJECT_Bioplastics\Renjie_Pan\05-Raw_Data\Lab_results\[LabSamples2025_Bioplastic_extra.xlsx]extra_Bioplastic'!C323)</f>
        <v/>
      </c>
      <c r="D323">
        <f>IF(ISBLANK('Q:\Abteilungsprojekte\Eng\EngData\PROJECT_Bioplastics\Renjie_Pan\05-Raw_Data\Lab_results\[LabSamples2025_Bioplastic_extra.xlsx]extra_Bioplastic'!D323)," ",'Q:\Abteilungsprojekte\Eng\EngData\PROJECT_Bioplastics\Renjie_Pan\05-Raw_Data\Lab_results\[LabSamples2025_Bioplastic_extra.xlsx]extra_Bioplastic'!D323)</f>
        <v/>
      </c>
      <c r="E323">
        <f>IF(ISBLANK('Q:\Abteilungsprojekte\Eng\EngData\PROJECT_Bioplastics\Renjie_Pan\05-Raw_Data\Lab_results\[LabSamples2025_Bioplastic_extra.xlsx]extra_Bioplastic'!E323)," ",'Q:\Abteilungsprojekte\Eng\EngData\PROJECT_Bioplastics\Renjie_Pan\05-Raw_Data\Lab_results\[LabSamples2025_Bioplastic_extra.xlsx]extra_Bioplastic'!E323)</f>
        <v/>
      </c>
      <c r="F323">
        <f>IF(ISBLANK('Q:\Abteilungsprojekte\Eng\EngData\PROJECT_Bioplastics\Renjie_Pan\05-Raw_Data\Lab_results\[LabSamples2025_Bioplastic_extra.xlsx]extra_Bioplastic'!F323)," ",'Q:\Abteilungsprojekte\Eng\EngData\PROJECT_Bioplastics\Renjie_Pan\05-Raw_Data\Lab_results\[LabSamples2025_Bioplastic_extra.xlsx]extra_Bioplastic'!F323)</f>
        <v/>
      </c>
      <c r="G323">
        <f>IF(ISBLANK('Q:\Abteilungsprojekte\Eng\EngData\PROJECT_Bioplastics\Renjie_Pan\05-Raw_Data\Lab_results\[LabSamples2025_Bioplastic_extra.xlsx]extra_Bioplastic'!G323)," ",'Q:\Abteilungsprojekte\Eng\EngData\PROJECT_Bioplastics\Renjie_Pan\05-Raw_Data\Lab_results\[LabSamples2025_Bioplastic_extra.xlsx]extra_Bioplastic'!G323)</f>
        <v/>
      </c>
      <c r="H323">
        <f>IF(ISBLANK('Q:\Abteilungsprojekte\Eng\EngData\PROJECT_Bioplastics\Renjie_Pan\05-Raw_Data\Lab_results\[LabSamples2025_Bioplastic_extra.xlsx]extra_Bioplastic'!H323)," ",'Q:\Abteilungsprojekte\Eng\EngData\PROJECT_Bioplastics\Renjie_Pan\05-Raw_Data\Lab_results\[LabSamples2025_Bioplastic_extra.xlsx]extra_Bioplastic'!H323)</f>
        <v/>
      </c>
    </row>
    <row r="324">
      <c r="A324">
        <f>IF(ISBLANK('Q:\Abteilungsprojekte\Eng\EngData\PROJECT_Bioplastics\Renjie_Pan\05-Raw_Data\Lab_results\[LabSamples2025_Bioplastic_extra.xlsx]extra_Bioplastic'!A324)," ",'Q:\Abteilungsprojekte\Eng\EngData\PROJECT_Bioplastics\Renjie_Pan\05-Raw_Data\Lab_results\[LabSamples2025_Bioplastic_extra.xlsx]extra_Bioplastic'!A324)</f>
        <v/>
      </c>
      <c r="B324">
        <f>IF(ISBLANK('Q:\Abteilungsprojekte\Eng\EngData\PROJECT_Bioplastics\Renjie_Pan\05-Raw_Data\Lab_results\[LabSamples2025_Bioplastic_extra.xlsx]extra_Bioplastic'!B324)," ",'Q:\Abteilungsprojekte\Eng\EngData\PROJECT_Bioplastics\Renjie_Pan\05-Raw_Data\Lab_results\[LabSamples2025_Bioplastic_extra.xlsx]extra_Bioplastic'!B324)</f>
        <v/>
      </c>
      <c r="C324">
        <f>IF(ISBLANK('Q:\Abteilungsprojekte\Eng\EngData\PROJECT_Bioplastics\Renjie_Pan\05-Raw_Data\Lab_results\[LabSamples2025_Bioplastic_extra.xlsx]extra_Bioplastic'!C324)," ",'Q:\Abteilungsprojekte\Eng\EngData\PROJECT_Bioplastics\Renjie_Pan\05-Raw_Data\Lab_results\[LabSamples2025_Bioplastic_extra.xlsx]extra_Bioplastic'!C324)</f>
        <v/>
      </c>
      <c r="D324">
        <f>IF(ISBLANK('Q:\Abteilungsprojekte\Eng\EngData\PROJECT_Bioplastics\Renjie_Pan\05-Raw_Data\Lab_results\[LabSamples2025_Bioplastic_extra.xlsx]extra_Bioplastic'!D324)," ",'Q:\Abteilungsprojekte\Eng\EngData\PROJECT_Bioplastics\Renjie_Pan\05-Raw_Data\Lab_results\[LabSamples2025_Bioplastic_extra.xlsx]extra_Bioplastic'!D324)</f>
        <v/>
      </c>
      <c r="E324">
        <f>IF(ISBLANK('Q:\Abteilungsprojekte\Eng\EngData\PROJECT_Bioplastics\Renjie_Pan\05-Raw_Data\Lab_results\[LabSamples2025_Bioplastic_extra.xlsx]extra_Bioplastic'!E324)," ",'Q:\Abteilungsprojekte\Eng\EngData\PROJECT_Bioplastics\Renjie_Pan\05-Raw_Data\Lab_results\[LabSamples2025_Bioplastic_extra.xlsx]extra_Bioplastic'!E324)</f>
        <v/>
      </c>
      <c r="F324">
        <f>IF(ISBLANK('Q:\Abteilungsprojekte\Eng\EngData\PROJECT_Bioplastics\Renjie_Pan\05-Raw_Data\Lab_results\[LabSamples2025_Bioplastic_extra.xlsx]extra_Bioplastic'!F324)," ",'Q:\Abteilungsprojekte\Eng\EngData\PROJECT_Bioplastics\Renjie_Pan\05-Raw_Data\Lab_results\[LabSamples2025_Bioplastic_extra.xlsx]extra_Bioplastic'!F324)</f>
        <v/>
      </c>
      <c r="G324">
        <f>IF(ISBLANK('Q:\Abteilungsprojekte\Eng\EngData\PROJECT_Bioplastics\Renjie_Pan\05-Raw_Data\Lab_results\[LabSamples2025_Bioplastic_extra.xlsx]extra_Bioplastic'!G324)," ",'Q:\Abteilungsprojekte\Eng\EngData\PROJECT_Bioplastics\Renjie_Pan\05-Raw_Data\Lab_results\[LabSamples2025_Bioplastic_extra.xlsx]extra_Bioplastic'!G324)</f>
        <v/>
      </c>
      <c r="H324">
        <f>IF(ISBLANK('Q:\Abteilungsprojekte\Eng\EngData\PROJECT_Bioplastics\Renjie_Pan\05-Raw_Data\Lab_results\[LabSamples2025_Bioplastic_extra.xlsx]extra_Bioplastic'!H324)," ",'Q:\Abteilungsprojekte\Eng\EngData\PROJECT_Bioplastics\Renjie_Pan\05-Raw_Data\Lab_results\[LabSamples2025_Bioplastic_extra.xlsx]extra_Bioplastic'!H324)</f>
        <v/>
      </c>
    </row>
    <row r="325">
      <c r="A325">
        <f>IF(ISBLANK('Q:\Abteilungsprojekte\Eng\EngData\PROJECT_Bioplastics\Renjie_Pan\05-Raw_Data\Lab_results\[LabSamples2025_Bioplastic_extra.xlsx]extra_Bioplastic'!A325)," ",'Q:\Abteilungsprojekte\Eng\EngData\PROJECT_Bioplastics\Renjie_Pan\05-Raw_Data\Lab_results\[LabSamples2025_Bioplastic_extra.xlsx]extra_Bioplastic'!A325)</f>
        <v/>
      </c>
      <c r="B325">
        <f>IF(ISBLANK('Q:\Abteilungsprojekte\Eng\EngData\PROJECT_Bioplastics\Renjie_Pan\05-Raw_Data\Lab_results\[LabSamples2025_Bioplastic_extra.xlsx]extra_Bioplastic'!B325)," ",'Q:\Abteilungsprojekte\Eng\EngData\PROJECT_Bioplastics\Renjie_Pan\05-Raw_Data\Lab_results\[LabSamples2025_Bioplastic_extra.xlsx]extra_Bioplastic'!B325)</f>
        <v/>
      </c>
      <c r="C325">
        <f>IF(ISBLANK('Q:\Abteilungsprojekte\Eng\EngData\PROJECT_Bioplastics\Renjie_Pan\05-Raw_Data\Lab_results\[LabSamples2025_Bioplastic_extra.xlsx]extra_Bioplastic'!C325)," ",'Q:\Abteilungsprojekte\Eng\EngData\PROJECT_Bioplastics\Renjie_Pan\05-Raw_Data\Lab_results\[LabSamples2025_Bioplastic_extra.xlsx]extra_Bioplastic'!C325)</f>
        <v/>
      </c>
      <c r="D325">
        <f>IF(ISBLANK('Q:\Abteilungsprojekte\Eng\EngData\PROJECT_Bioplastics\Renjie_Pan\05-Raw_Data\Lab_results\[LabSamples2025_Bioplastic_extra.xlsx]extra_Bioplastic'!D325)," ",'Q:\Abteilungsprojekte\Eng\EngData\PROJECT_Bioplastics\Renjie_Pan\05-Raw_Data\Lab_results\[LabSamples2025_Bioplastic_extra.xlsx]extra_Bioplastic'!D325)</f>
        <v/>
      </c>
      <c r="E325">
        <f>IF(ISBLANK('Q:\Abteilungsprojekte\Eng\EngData\PROJECT_Bioplastics\Renjie_Pan\05-Raw_Data\Lab_results\[LabSamples2025_Bioplastic_extra.xlsx]extra_Bioplastic'!E325)," ",'Q:\Abteilungsprojekte\Eng\EngData\PROJECT_Bioplastics\Renjie_Pan\05-Raw_Data\Lab_results\[LabSamples2025_Bioplastic_extra.xlsx]extra_Bioplastic'!E325)</f>
        <v/>
      </c>
      <c r="F325">
        <f>IF(ISBLANK('Q:\Abteilungsprojekte\Eng\EngData\PROJECT_Bioplastics\Renjie_Pan\05-Raw_Data\Lab_results\[LabSamples2025_Bioplastic_extra.xlsx]extra_Bioplastic'!F325)," ",'Q:\Abteilungsprojekte\Eng\EngData\PROJECT_Bioplastics\Renjie_Pan\05-Raw_Data\Lab_results\[LabSamples2025_Bioplastic_extra.xlsx]extra_Bioplastic'!F325)</f>
        <v/>
      </c>
      <c r="G325">
        <f>IF(ISBLANK('Q:\Abteilungsprojekte\Eng\EngData\PROJECT_Bioplastics\Renjie_Pan\05-Raw_Data\Lab_results\[LabSamples2025_Bioplastic_extra.xlsx]extra_Bioplastic'!G325)," ",'Q:\Abteilungsprojekte\Eng\EngData\PROJECT_Bioplastics\Renjie_Pan\05-Raw_Data\Lab_results\[LabSamples2025_Bioplastic_extra.xlsx]extra_Bioplastic'!G325)</f>
        <v/>
      </c>
      <c r="H325">
        <f>IF(ISBLANK('Q:\Abteilungsprojekte\Eng\EngData\PROJECT_Bioplastics\Renjie_Pan\05-Raw_Data\Lab_results\[LabSamples2025_Bioplastic_extra.xlsx]extra_Bioplastic'!H325)," ",'Q:\Abteilungsprojekte\Eng\EngData\PROJECT_Bioplastics\Renjie_Pan\05-Raw_Data\Lab_results\[LabSamples2025_Bioplastic_extra.xlsx]extra_Bioplastic'!H325)</f>
        <v/>
      </c>
    </row>
    <row r="326">
      <c r="A326">
        <f>IF(ISBLANK('Q:\Abteilungsprojekte\Eng\EngData\PROJECT_Bioplastics\Renjie_Pan\05-Raw_Data\Lab_results\[LabSamples2025_Bioplastic_extra.xlsx]extra_Bioplastic'!A326)," ",'Q:\Abteilungsprojekte\Eng\EngData\PROJECT_Bioplastics\Renjie_Pan\05-Raw_Data\Lab_results\[LabSamples2025_Bioplastic_extra.xlsx]extra_Bioplastic'!A326)</f>
        <v/>
      </c>
      <c r="B326">
        <f>IF(ISBLANK('Q:\Abteilungsprojekte\Eng\EngData\PROJECT_Bioplastics\Renjie_Pan\05-Raw_Data\Lab_results\[LabSamples2025_Bioplastic_extra.xlsx]extra_Bioplastic'!B326)," ",'Q:\Abteilungsprojekte\Eng\EngData\PROJECT_Bioplastics\Renjie_Pan\05-Raw_Data\Lab_results\[LabSamples2025_Bioplastic_extra.xlsx]extra_Bioplastic'!B326)</f>
        <v/>
      </c>
      <c r="C326">
        <f>IF(ISBLANK('Q:\Abteilungsprojekte\Eng\EngData\PROJECT_Bioplastics\Renjie_Pan\05-Raw_Data\Lab_results\[LabSamples2025_Bioplastic_extra.xlsx]extra_Bioplastic'!C326)," ",'Q:\Abteilungsprojekte\Eng\EngData\PROJECT_Bioplastics\Renjie_Pan\05-Raw_Data\Lab_results\[LabSamples2025_Bioplastic_extra.xlsx]extra_Bioplastic'!C326)</f>
        <v/>
      </c>
      <c r="D326">
        <f>IF(ISBLANK('Q:\Abteilungsprojekte\Eng\EngData\PROJECT_Bioplastics\Renjie_Pan\05-Raw_Data\Lab_results\[LabSamples2025_Bioplastic_extra.xlsx]extra_Bioplastic'!D326)," ",'Q:\Abteilungsprojekte\Eng\EngData\PROJECT_Bioplastics\Renjie_Pan\05-Raw_Data\Lab_results\[LabSamples2025_Bioplastic_extra.xlsx]extra_Bioplastic'!D326)</f>
        <v/>
      </c>
      <c r="E326">
        <f>IF(ISBLANK('Q:\Abteilungsprojekte\Eng\EngData\PROJECT_Bioplastics\Renjie_Pan\05-Raw_Data\Lab_results\[LabSamples2025_Bioplastic_extra.xlsx]extra_Bioplastic'!E326)," ",'Q:\Abteilungsprojekte\Eng\EngData\PROJECT_Bioplastics\Renjie_Pan\05-Raw_Data\Lab_results\[LabSamples2025_Bioplastic_extra.xlsx]extra_Bioplastic'!E326)</f>
        <v/>
      </c>
      <c r="F326">
        <f>IF(ISBLANK('Q:\Abteilungsprojekte\Eng\EngData\PROJECT_Bioplastics\Renjie_Pan\05-Raw_Data\Lab_results\[LabSamples2025_Bioplastic_extra.xlsx]extra_Bioplastic'!F326)," ",'Q:\Abteilungsprojekte\Eng\EngData\PROJECT_Bioplastics\Renjie_Pan\05-Raw_Data\Lab_results\[LabSamples2025_Bioplastic_extra.xlsx]extra_Bioplastic'!F326)</f>
        <v/>
      </c>
      <c r="G326">
        <f>IF(ISBLANK('Q:\Abteilungsprojekte\Eng\EngData\PROJECT_Bioplastics\Renjie_Pan\05-Raw_Data\Lab_results\[LabSamples2025_Bioplastic_extra.xlsx]extra_Bioplastic'!G326)," ",'Q:\Abteilungsprojekte\Eng\EngData\PROJECT_Bioplastics\Renjie_Pan\05-Raw_Data\Lab_results\[LabSamples2025_Bioplastic_extra.xlsx]extra_Bioplastic'!G326)</f>
        <v/>
      </c>
      <c r="H326">
        <f>IF(ISBLANK('Q:\Abteilungsprojekte\Eng\EngData\PROJECT_Bioplastics\Renjie_Pan\05-Raw_Data\Lab_results\[LabSamples2025_Bioplastic_extra.xlsx]extra_Bioplastic'!H326)," ",'Q:\Abteilungsprojekte\Eng\EngData\PROJECT_Bioplastics\Renjie_Pan\05-Raw_Data\Lab_results\[LabSamples2025_Bioplastic_extra.xlsx]extra_Bioplastic'!H326)</f>
        <v/>
      </c>
    </row>
    <row r="327">
      <c r="A327">
        <f>IF(ISBLANK('Q:\Abteilungsprojekte\Eng\EngData\PROJECT_Bioplastics\Renjie_Pan\05-Raw_Data\Lab_results\[LabSamples2025_Bioplastic_extra.xlsx]extra_Bioplastic'!A327)," ",'Q:\Abteilungsprojekte\Eng\EngData\PROJECT_Bioplastics\Renjie_Pan\05-Raw_Data\Lab_results\[LabSamples2025_Bioplastic_extra.xlsx]extra_Bioplastic'!A327)</f>
        <v/>
      </c>
      <c r="B327">
        <f>IF(ISBLANK('Q:\Abteilungsprojekte\Eng\EngData\PROJECT_Bioplastics\Renjie_Pan\05-Raw_Data\Lab_results\[LabSamples2025_Bioplastic_extra.xlsx]extra_Bioplastic'!B327)," ",'Q:\Abteilungsprojekte\Eng\EngData\PROJECT_Bioplastics\Renjie_Pan\05-Raw_Data\Lab_results\[LabSamples2025_Bioplastic_extra.xlsx]extra_Bioplastic'!B327)</f>
        <v/>
      </c>
      <c r="C327">
        <f>IF(ISBLANK('Q:\Abteilungsprojekte\Eng\EngData\PROJECT_Bioplastics\Renjie_Pan\05-Raw_Data\Lab_results\[LabSamples2025_Bioplastic_extra.xlsx]extra_Bioplastic'!C327)," ",'Q:\Abteilungsprojekte\Eng\EngData\PROJECT_Bioplastics\Renjie_Pan\05-Raw_Data\Lab_results\[LabSamples2025_Bioplastic_extra.xlsx]extra_Bioplastic'!C327)</f>
        <v/>
      </c>
      <c r="D327">
        <f>IF(ISBLANK('Q:\Abteilungsprojekte\Eng\EngData\PROJECT_Bioplastics\Renjie_Pan\05-Raw_Data\Lab_results\[LabSamples2025_Bioplastic_extra.xlsx]extra_Bioplastic'!D327)," ",'Q:\Abteilungsprojekte\Eng\EngData\PROJECT_Bioplastics\Renjie_Pan\05-Raw_Data\Lab_results\[LabSamples2025_Bioplastic_extra.xlsx]extra_Bioplastic'!D327)</f>
        <v/>
      </c>
      <c r="E327">
        <f>IF(ISBLANK('Q:\Abteilungsprojekte\Eng\EngData\PROJECT_Bioplastics\Renjie_Pan\05-Raw_Data\Lab_results\[LabSamples2025_Bioplastic_extra.xlsx]extra_Bioplastic'!E327)," ",'Q:\Abteilungsprojekte\Eng\EngData\PROJECT_Bioplastics\Renjie_Pan\05-Raw_Data\Lab_results\[LabSamples2025_Bioplastic_extra.xlsx]extra_Bioplastic'!E327)</f>
        <v/>
      </c>
      <c r="F327">
        <f>IF(ISBLANK('Q:\Abteilungsprojekte\Eng\EngData\PROJECT_Bioplastics\Renjie_Pan\05-Raw_Data\Lab_results\[LabSamples2025_Bioplastic_extra.xlsx]extra_Bioplastic'!F327)," ",'Q:\Abteilungsprojekte\Eng\EngData\PROJECT_Bioplastics\Renjie_Pan\05-Raw_Data\Lab_results\[LabSamples2025_Bioplastic_extra.xlsx]extra_Bioplastic'!F327)</f>
        <v/>
      </c>
      <c r="G327">
        <f>IF(ISBLANK('Q:\Abteilungsprojekte\Eng\EngData\PROJECT_Bioplastics\Renjie_Pan\05-Raw_Data\Lab_results\[LabSamples2025_Bioplastic_extra.xlsx]extra_Bioplastic'!G327)," ",'Q:\Abteilungsprojekte\Eng\EngData\PROJECT_Bioplastics\Renjie_Pan\05-Raw_Data\Lab_results\[LabSamples2025_Bioplastic_extra.xlsx]extra_Bioplastic'!G327)</f>
        <v/>
      </c>
      <c r="H327">
        <f>IF(ISBLANK('Q:\Abteilungsprojekte\Eng\EngData\PROJECT_Bioplastics\Renjie_Pan\05-Raw_Data\Lab_results\[LabSamples2025_Bioplastic_extra.xlsx]extra_Bioplastic'!H327)," ",'Q:\Abteilungsprojekte\Eng\EngData\PROJECT_Bioplastics\Renjie_Pan\05-Raw_Data\Lab_results\[LabSamples2025_Bioplastic_extra.xlsx]extra_Bioplastic'!H327)</f>
        <v/>
      </c>
    </row>
    <row r="328">
      <c r="A328">
        <f>IF(ISBLANK('Q:\Abteilungsprojekte\Eng\EngData\PROJECT_Bioplastics\Renjie_Pan\05-Raw_Data\Lab_results\[LabSamples2025_Bioplastic_extra.xlsx]extra_Bioplastic'!A328)," ",'Q:\Abteilungsprojekte\Eng\EngData\PROJECT_Bioplastics\Renjie_Pan\05-Raw_Data\Lab_results\[LabSamples2025_Bioplastic_extra.xlsx]extra_Bioplastic'!A328)</f>
        <v/>
      </c>
      <c r="B328">
        <f>IF(ISBLANK('Q:\Abteilungsprojekte\Eng\EngData\PROJECT_Bioplastics\Renjie_Pan\05-Raw_Data\Lab_results\[LabSamples2025_Bioplastic_extra.xlsx]extra_Bioplastic'!B328)," ",'Q:\Abteilungsprojekte\Eng\EngData\PROJECT_Bioplastics\Renjie_Pan\05-Raw_Data\Lab_results\[LabSamples2025_Bioplastic_extra.xlsx]extra_Bioplastic'!B328)</f>
        <v/>
      </c>
      <c r="C328">
        <f>IF(ISBLANK('Q:\Abteilungsprojekte\Eng\EngData\PROJECT_Bioplastics\Renjie_Pan\05-Raw_Data\Lab_results\[LabSamples2025_Bioplastic_extra.xlsx]extra_Bioplastic'!C328)," ",'Q:\Abteilungsprojekte\Eng\EngData\PROJECT_Bioplastics\Renjie_Pan\05-Raw_Data\Lab_results\[LabSamples2025_Bioplastic_extra.xlsx]extra_Bioplastic'!C328)</f>
        <v/>
      </c>
      <c r="D328">
        <f>IF(ISBLANK('Q:\Abteilungsprojekte\Eng\EngData\PROJECT_Bioplastics\Renjie_Pan\05-Raw_Data\Lab_results\[LabSamples2025_Bioplastic_extra.xlsx]extra_Bioplastic'!D328)," ",'Q:\Abteilungsprojekte\Eng\EngData\PROJECT_Bioplastics\Renjie_Pan\05-Raw_Data\Lab_results\[LabSamples2025_Bioplastic_extra.xlsx]extra_Bioplastic'!D328)</f>
        <v/>
      </c>
      <c r="E328">
        <f>IF(ISBLANK('Q:\Abteilungsprojekte\Eng\EngData\PROJECT_Bioplastics\Renjie_Pan\05-Raw_Data\Lab_results\[LabSamples2025_Bioplastic_extra.xlsx]extra_Bioplastic'!E328)," ",'Q:\Abteilungsprojekte\Eng\EngData\PROJECT_Bioplastics\Renjie_Pan\05-Raw_Data\Lab_results\[LabSamples2025_Bioplastic_extra.xlsx]extra_Bioplastic'!E328)</f>
        <v/>
      </c>
      <c r="F328">
        <f>IF(ISBLANK('Q:\Abteilungsprojekte\Eng\EngData\PROJECT_Bioplastics\Renjie_Pan\05-Raw_Data\Lab_results\[LabSamples2025_Bioplastic_extra.xlsx]extra_Bioplastic'!F328)," ",'Q:\Abteilungsprojekte\Eng\EngData\PROJECT_Bioplastics\Renjie_Pan\05-Raw_Data\Lab_results\[LabSamples2025_Bioplastic_extra.xlsx]extra_Bioplastic'!F328)</f>
        <v/>
      </c>
      <c r="G328">
        <f>IF(ISBLANK('Q:\Abteilungsprojekte\Eng\EngData\PROJECT_Bioplastics\Renjie_Pan\05-Raw_Data\Lab_results\[LabSamples2025_Bioplastic_extra.xlsx]extra_Bioplastic'!G328)," ",'Q:\Abteilungsprojekte\Eng\EngData\PROJECT_Bioplastics\Renjie_Pan\05-Raw_Data\Lab_results\[LabSamples2025_Bioplastic_extra.xlsx]extra_Bioplastic'!G328)</f>
        <v/>
      </c>
      <c r="H328">
        <f>IF(ISBLANK('Q:\Abteilungsprojekte\Eng\EngData\PROJECT_Bioplastics\Renjie_Pan\05-Raw_Data\Lab_results\[LabSamples2025_Bioplastic_extra.xlsx]extra_Bioplastic'!H328)," ",'Q:\Abteilungsprojekte\Eng\EngData\PROJECT_Bioplastics\Renjie_Pan\05-Raw_Data\Lab_results\[LabSamples2025_Bioplastic_extra.xlsx]extra_Bioplastic'!H328)</f>
        <v/>
      </c>
    </row>
    <row r="329">
      <c r="A329">
        <f>IF(ISBLANK('Q:\Abteilungsprojekte\Eng\EngData\PROJECT_Bioplastics\Renjie_Pan\05-Raw_Data\Lab_results\[LabSamples2025_Bioplastic_extra.xlsx]extra_Bioplastic'!A329)," ",'Q:\Abteilungsprojekte\Eng\EngData\PROJECT_Bioplastics\Renjie_Pan\05-Raw_Data\Lab_results\[LabSamples2025_Bioplastic_extra.xlsx]extra_Bioplastic'!A329)</f>
        <v/>
      </c>
      <c r="B329">
        <f>IF(ISBLANK('Q:\Abteilungsprojekte\Eng\EngData\PROJECT_Bioplastics\Renjie_Pan\05-Raw_Data\Lab_results\[LabSamples2025_Bioplastic_extra.xlsx]extra_Bioplastic'!B329)," ",'Q:\Abteilungsprojekte\Eng\EngData\PROJECT_Bioplastics\Renjie_Pan\05-Raw_Data\Lab_results\[LabSamples2025_Bioplastic_extra.xlsx]extra_Bioplastic'!B329)</f>
        <v/>
      </c>
      <c r="C329">
        <f>IF(ISBLANK('Q:\Abteilungsprojekte\Eng\EngData\PROJECT_Bioplastics\Renjie_Pan\05-Raw_Data\Lab_results\[LabSamples2025_Bioplastic_extra.xlsx]extra_Bioplastic'!C329)," ",'Q:\Abteilungsprojekte\Eng\EngData\PROJECT_Bioplastics\Renjie_Pan\05-Raw_Data\Lab_results\[LabSamples2025_Bioplastic_extra.xlsx]extra_Bioplastic'!C329)</f>
        <v/>
      </c>
      <c r="D329">
        <f>IF(ISBLANK('Q:\Abteilungsprojekte\Eng\EngData\PROJECT_Bioplastics\Renjie_Pan\05-Raw_Data\Lab_results\[LabSamples2025_Bioplastic_extra.xlsx]extra_Bioplastic'!D329)," ",'Q:\Abteilungsprojekte\Eng\EngData\PROJECT_Bioplastics\Renjie_Pan\05-Raw_Data\Lab_results\[LabSamples2025_Bioplastic_extra.xlsx]extra_Bioplastic'!D329)</f>
        <v/>
      </c>
      <c r="E329">
        <f>IF(ISBLANK('Q:\Abteilungsprojekte\Eng\EngData\PROJECT_Bioplastics\Renjie_Pan\05-Raw_Data\Lab_results\[LabSamples2025_Bioplastic_extra.xlsx]extra_Bioplastic'!E329)," ",'Q:\Abteilungsprojekte\Eng\EngData\PROJECT_Bioplastics\Renjie_Pan\05-Raw_Data\Lab_results\[LabSamples2025_Bioplastic_extra.xlsx]extra_Bioplastic'!E329)</f>
        <v/>
      </c>
      <c r="F329">
        <f>IF(ISBLANK('Q:\Abteilungsprojekte\Eng\EngData\PROJECT_Bioplastics\Renjie_Pan\05-Raw_Data\Lab_results\[LabSamples2025_Bioplastic_extra.xlsx]extra_Bioplastic'!F329)," ",'Q:\Abteilungsprojekte\Eng\EngData\PROJECT_Bioplastics\Renjie_Pan\05-Raw_Data\Lab_results\[LabSamples2025_Bioplastic_extra.xlsx]extra_Bioplastic'!F329)</f>
        <v/>
      </c>
      <c r="G329">
        <f>IF(ISBLANK('Q:\Abteilungsprojekte\Eng\EngData\PROJECT_Bioplastics\Renjie_Pan\05-Raw_Data\Lab_results\[LabSamples2025_Bioplastic_extra.xlsx]extra_Bioplastic'!G329)," ",'Q:\Abteilungsprojekte\Eng\EngData\PROJECT_Bioplastics\Renjie_Pan\05-Raw_Data\Lab_results\[LabSamples2025_Bioplastic_extra.xlsx]extra_Bioplastic'!G329)</f>
        <v/>
      </c>
      <c r="H329">
        <f>IF(ISBLANK('Q:\Abteilungsprojekte\Eng\EngData\PROJECT_Bioplastics\Renjie_Pan\05-Raw_Data\Lab_results\[LabSamples2025_Bioplastic_extra.xlsx]extra_Bioplastic'!H329)," ",'Q:\Abteilungsprojekte\Eng\EngData\PROJECT_Bioplastics\Renjie_Pan\05-Raw_Data\Lab_results\[LabSamples2025_Bioplastic_extra.xlsx]extra_Bioplastic'!H329)</f>
        <v/>
      </c>
    </row>
    <row r="330">
      <c r="A330">
        <f>IF(ISBLANK('Q:\Abteilungsprojekte\Eng\EngData\PROJECT_Bioplastics\Renjie_Pan\05-Raw_Data\Lab_results\[LabSamples2025_Bioplastic_extra.xlsx]extra_Bioplastic'!A330)," ",'Q:\Abteilungsprojekte\Eng\EngData\PROJECT_Bioplastics\Renjie_Pan\05-Raw_Data\Lab_results\[LabSamples2025_Bioplastic_extra.xlsx]extra_Bioplastic'!A330)</f>
        <v/>
      </c>
      <c r="B330">
        <f>IF(ISBLANK('Q:\Abteilungsprojekte\Eng\EngData\PROJECT_Bioplastics\Renjie_Pan\05-Raw_Data\Lab_results\[LabSamples2025_Bioplastic_extra.xlsx]extra_Bioplastic'!B330)," ",'Q:\Abteilungsprojekte\Eng\EngData\PROJECT_Bioplastics\Renjie_Pan\05-Raw_Data\Lab_results\[LabSamples2025_Bioplastic_extra.xlsx]extra_Bioplastic'!B330)</f>
        <v/>
      </c>
      <c r="C330">
        <f>IF(ISBLANK('Q:\Abteilungsprojekte\Eng\EngData\PROJECT_Bioplastics\Renjie_Pan\05-Raw_Data\Lab_results\[LabSamples2025_Bioplastic_extra.xlsx]extra_Bioplastic'!C330)," ",'Q:\Abteilungsprojekte\Eng\EngData\PROJECT_Bioplastics\Renjie_Pan\05-Raw_Data\Lab_results\[LabSamples2025_Bioplastic_extra.xlsx]extra_Bioplastic'!C330)</f>
        <v/>
      </c>
      <c r="D330">
        <f>IF(ISBLANK('Q:\Abteilungsprojekte\Eng\EngData\PROJECT_Bioplastics\Renjie_Pan\05-Raw_Data\Lab_results\[LabSamples2025_Bioplastic_extra.xlsx]extra_Bioplastic'!D330)," ",'Q:\Abteilungsprojekte\Eng\EngData\PROJECT_Bioplastics\Renjie_Pan\05-Raw_Data\Lab_results\[LabSamples2025_Bioplastic_extra.xlsx]extra_Bioplastic'!D330)</f>
        <v/>
      </c>
      <c r="E330">
        <f>IF(ISBLANK('Q:\Abteilungsprojekte\Eng\EngData\PROJECT_Bioplastics\Renjie_Pan\05-Raw_Data\Lab_results\[LabSamples2025_Bioplastic_extra.xlsx]extra_Bioplastic'!E330)," ",'Q:\Abteilungsprojekte\Eng\EngData\PROJECT_Bioplastics\Renjie_Pan\05-Raw_Data\Lab_results\[LabSamples2025_Bioplastic_extra.xlsx]extra_Bioplastic'!E330)</f>
        <v/>
      </c>
      <c r="F330">
        <f>IF(ISBLANK('Q:\Abteilungsprojekte\Eng\EngData\PROJECT_Bioplastics\Renjie_Pan\05-Raw_Data\Lab_results\[LabSamples2025_Bioplastic_extra.xlsx]extra_Bioplastic'!F330)," ",'Q:\Abteilungsprojekte\Eng\EngData\PROJECT_Bioplastics\Renjie_Pan\05-Raw_Data\Lab_results\[LabSamples2025_Bioplastic_extra.xlsx]extra_Bioplastic'!F330)</f>
        <v/>
      </c>
      <c r="G330">
        <f>IF(ISBLANK('Q:\Abteilungsprojekte\Eng\EngData\PROJECT_Bioplastics\Renjie_Pan\05-Raw_Data\Lab_results\[LabSamples2025_Bioplastic_extra.xlsx]extra_Bioplastic'!G330)," ",'Q:\Abteilungsprojekte\Eng\EngData\PROJECT_Bioplastics\Renjie_Pan\05-Raw_Data\Lab_results\[LabSamples2025_Bioplastic_extra.xlsx]extra_Bioplastic'!G330)</f>
        <v/>
      </c>
      <c r="H330">
        <f>IF(ISBLANK('Q:\Abteilungsprojekte\Eng\EngData\PROJECT_Bioplastics\Renjie_Pan\05-Raw_Data\Lab_results\[LabSamples2025_Bioplastic_extra.xlsx]extra_Bioplastic'!H330)," ",'Q:\Abteilungsprojekte\Eng\EngData\PROJECT_Bioplastics\Renjie_Pan\05-Raw_Data\Lab_results\[LabSamples2025_Bioplastic_extra.xlsx]extra_Bioplastic'!H330)</f>
        <v/>
      </c>
    </row>
    <row r="331">
      <c r="A331">
        <f>IF(ISBLANK('Q:\Abteilungsprojekte\Eng\EngData\PROJECT_Bioplastics\Renjie_Pan\05-Raw_Data\Lab_results\[LabSamples2025_Bioplastic_extra.xlsx]extra_Bioplastic'!A331)," ",'Q:\Abteilungsprojekte\Eng\EngData\PROJECT_Bioplastics\Renjie_Pan\05-Raw_Data\Lab_results\[LabSamples2025_Bioplastic_extra.xlsx]extra_Bioplastic'!A331)</f>
        <v/>
      </c>
      <c r="B331">
        <f>IF(ISBLANK('Q:\Abteilungsprojekte\Eng\EngData\PROJECT_Bioplastics\Renjie_Pan\05-Raw_Data\Lab_results\[LabSamples2025_Bioplastic_extra.xlsx]extra_Bioplastic'!B331)," ",'Q:\Abteilungsprojekte\Eng\EngData\PROJECT_Bioplastics\Renjie_Pan\05-Raw_Data\Lab_results\[LabSamples2025_Bioplastic_extra.xlsx]extra_Bioplastic'!B331)</f>
        <v/>
      </c>
      <c r="C331">
        <f>IF(ISBLANK('Q:\Abteilungsprojekte\Eng\EngData\PROJECT_Bioplastics\Renjie_Pan\05-Raw_Data\Lab_results\[LabSamples2025_Bioplastic_extra.xlsx]extra_Bioplastic'!C331)," ",'Q:\Abteilungsprojekte\Eng\EngData\PROJECT_Bioplastics\Renjie_Pan\05-Raw_Data\Lab_results\[LabSamples2025_Bioplastic_extra.xlsx]extra_Bioplastic'!C331)</f>
        <v/>
      </c>
      <c r="D331">
        <f>IF(ISBLANK('Q:\Abteilungsprojekte\Eng\EngData\PROJECT_Bioplastics\Renjie_Pan\05-Raw_Data\Lab_results\[LabSamples2025_Bioplastic_extra.xlsx]extra_Bioplastic'!D331)," ",'Q:\Abteilungsprojekte\Eng\EngData\PROJECT_Bioplastics\Renjie_Pan\05-Raw_Data\Lab_results\[LabSamples2025_Bioplastic_extra.xlsx]extra_Bioplastic'!D331)</f>
        <v/>
      </c>
      <c r="E331">
        <f>IF(ISBLANK('Q:\Abteilungsprojekte\Eng\EngData\PROJECT_Bioplastics\Renjie_Pan\05-Raw_Data\Lab_results\[LabSamples2025_Bioplastic_extra.xlsx]extra_Bioplastic'!E331)," ",'Q:\Abteilungsprojekte\Eng\EngData\PROJECT_Bioplastics\Renjie_Pan\05-Raw_Data\Lab_results\[LabSamples2025_Bioplastic_extra.xlsx]extra_Bioplastic'!E331)</f>
        <v/>
      </c>
      <c r="F331">
        <f>IF(ISBLANK('Q:\Abteilungsprojekte\Eng\EngData\PROJECT_Bioplastics\Renjie_Pan\05-Raw_Data\Lab_results\[LabSamples2025_Bioplastic_extra.xlsx]extra_Bioplastic'!F331)," ",'Q:\Abteilungsprojekte\Eng\EngData\PROJECT_Bioplastics\Renjie_Pan\05-Raw_Data\Lab_results\[LabSamples2025_Bioplastic_extra.xlsx]extra_Bioplastic'!F331)</f>
        <v/>
      </c>
      <c r="G331">
        <f>IF(ISBLANK('Q:\Abteilungsprojekte\Eng\EngData\PROJECT_Bioplastics\Renjie_Pan\05-Raw_Data\Lab_results\[LabSamples2025_Bioplastic_extra.xlsx]extra_Bioplastic'!G331)," ",'Q:\Abteilungsprojekte\Eng\EngData\PROJECT_Bioplastics\Renjie_Pan\05-Raw_Data\Lab_results\[LabSamples2025_Bioplastic_extra.xlsx]extra_Bioplastic'!G331)</f>
        <v/>
      </c>
      <c r="H331">
        <f>IF(ISBLANK('Q:\Abteilungsprojekte\Eng\EngData\PROJECT_Bioplastics\Renjie_Pan\05-Raw_Data\Lab_results\[LabSamples2025_Bioplastic_extra.xlsx]extra_Bioplastic'!H331)," ",'Q:\Abteilungsprojekte\Eng\EngData\PROJECT_Bioplastics\Renjie_Pan\05-Raw_Data\Lab_results\[LabSamples2025_Bioplastic_extra.xlsx]extra_Bioplastic'!H331)</f>
        <v/>
      </c>
    </row>
    <row r="332">
      <c r="A332">
        <f>IF(ISBLANK('Q:\Abteilungsprojekte\Eng\EngData\PROJECT_Bioplastics\Renjie_Pan\05-Raw_Data\Lab_results\[LabSamples2025_Bioplastic_extra.xlsx]extra_Bioplastic'!A332)," ",'Q:\Abteilungsprojekte\Eng\EngData\PROJECT_Bioplastics\Renjie_Pan\05-Raw_Data\Lab_results\[LabSamples2025_Bioplastic_extra.xlsx]extra_Bioplastic'!A332)</f>
        <v/>
      </c>
      <c r="B332">
        <f>IF(ISBLANK('Q:\Abteilungsprojekte\Eng\EngData\PROJECT_Bioplastics\Renjie_Pan\05-Raw_Data\Lab_results\[LabSamples2025_Bioplastic_extra.xlsx]extra_Bioplastic'!B332)," ",'Q:\Abteilungsprojekte\Eng\EngData\PROJECT_Bioplastics\Renjie_Pan\05-Raw_Data\Lab_results\[LabSamples2025_Bioplastic_extra.xlsx]extra_Bioplastic'!B332)</f>
        <v/>
      </c>
      <c r="C332">
        <f>IF(ISBLANK('Q:\Abteilungsprojekte\Eng\EngData\PROJECT_Bioplastics\Renjie_Pan\05-Raw_Data\Lab_results\[LabSamples2025_Bioplastic_extra.xlsx]extra_Bioplastic'!C332)," ",'Q:\Abteilungsprojekte\Eng\EngData\PROJECT_Bioplastics\Renjie_Pan\05-Raw_Data\Lab_results\[LabSamples2025_Bioplastic_extra.xlsx]extra_Bioplastic'!C332)</f>
        <v/>
      </c>
      <c r="D332">
        <f>IF(ISBLANK('Q:\Abteilungsprojekte\Eng\EngData\PROJECT_Bioplastics\Renjie_Pan\05-Raw_Data\Lab_results\[LabSamples2025_Bioplastic_extra.xlsx]extra_Bioplastic'!D332)," ",'Q:\Abteilungsprojekte\Eng\EngData\PROJECT_Bioplastics\Renjie_Pan\05-Raw_Data\Lab_results\[LabSamples2025_Bioplastic_extra.xlsx]extra_Bioplastic'!D332)</f>
        <v/>
      </c>
      <c r="E332">
        <f>IF(ISBLANK('Q:\Abteilungsprojekte\Eng\EngData\PROJECT_Bioplastics\Renjie_Pan\05-Raw_Data\Lab_results\[LabSamples2025_Bioplastic_extra.xlsx]extra_Bioplastic'!E332)," ",'Q:\Abteilungsprojekte\Eng\EngData\PROJECT_Bioplastics\Renjie_Pan\05-Raw_Data\Lab_results\[LabSamples2025_Bioplastic_extra.xlsx]extra_Bioplastic'!E332)</f>
        <v/>
      </c>
      <c r="F332">
        <f>IF(ISBLANK('Q:\Abteilungsprojekte\Eng\EngData\PROJECT_Bioplastics\Renjie_Pan\05-Raw_Data\Lab_results\[LabSamples2025_Bioplastic_extra.xlsx]extra_Bioplastic'!F332)," ",'Q:\Abteilungsprojekte\Eng\EngData\PROJECT_Bioplastics\Renjie_Pan\05-Raw_Data\Lab_results\[LabSamples2025_Bioplastic_extra.xlsx]extra_Bioplastic'!F332)</f>
        <v/>
      </c>
      <c r="G332">
        <f>IF(ISBLANK('Q:\Abteilungsprojekte\Eng\EngData\PROJECT_Bioplastics\Renjie_Pan\05-Raw_Data\Lab_results\[LabSamples2025_Bioplastic_extra.xlsx]extra_Bioplastic'!G332)," ",'Q:\Abteilungsprojekte\Eng\EngData\PROJECT_Bioplastics\Renjie_Pan\05-Raw_Data\Lab_results\[LabSamples2025_Bioplastic_extra.xlsx]extra_Bioplastic'!G332)</f>
        <v/>
      </c>
      <c r="H332">
        <f>IF(ISBLANK('Q:\Abteilungsprojekte\Eng\EngData\PROJECT_Bioplastics\Renjie_Pan\05-Raw_Data\Lab_results\[LabSamples2025_Bioplastic_extra.xlsx]extra_Bioplastic'!H332)," ",'Q:\Abteilungsprojekte\Eng\EngData\PROJECT_Bioplastics\Renjie_Pan\05-Raw_Data\Lab_results\[LabSamples2025_Bioplastic_extra.xlsx]extra_Bioplastic'!H332)</f>
        <v/>
      </c>
    </row>
    <row r="333">
      <c r="A333">
        <f>IF(ISBLANK('Q:\Abteilungsprojekte\Eng\EngData\PROJECT_Bioplastics\Renjie_Pan\05-Raw_Data\Lab_results\[LabSamples2025_Bioplastic_extra.xlsx]extra_Bioplastic'!A333)," ",'Q:\Abteilungsprojekte\Eng\EngData\PROJECT_Bioplastics\Renjie_Pan\05-Raw_Data\Lab_results\[LabSamples2025_Bioplastic_extra.xlsx]extra_Bioplastic'!A333)</f>
        <v/>
      </c>
      <c r="B333">
        <f>IF(ISBLANK('Q:\Abteilungsprojekte\Eng\EngData\PROJECT_Bioplastics\Renjie_Pan\05-Raw_Data\Lab_results\[LabSamples2025_Bioplastic_extra.xlsx]extra_Bioplastic'!B333)," ",'Q:\Abteilungsprojekte\Eng\EngData\PROJECT_Bioplastics\Renjie_Pan\05-Raw_Data\Lab_results\[LabSamples2025_Bioplastic_extra.xlsx]extra_Bioplastic'!B333)</f>
        <v/>
      </c>
      <c r="C333">
        <f>IF(ISBLANK('Q:\Abteilungsprojekte\Eng\EngData\PROJECT_Bioplastics\Renjie_Pan\05-Raw_Data\Lab_results\[LabSamples2025_Bioplastic_extra.xlsx]extra_Bioplastic'!C333)," ",'Q:\Abteilungsprojekte\Eng\EngData\PROJECT_Bioplastics\Renjie_Pan\05-Raw_Data\Lab_results\[LabSamples2025_Bioplastic_extra.xlsx]extra_Bioplastic'!C333)</f>
        <v/>
      </c>
      <c r="D333">
        <f>IF(ISBLANK('Q:\Abteilungsprojekte\Eng\EngData\PROJECT_Bioplastics\Renjie_Pan\05-Raw_Data\Lab_results\[LabSamples2025_Bioplastic_extra.xlsx]extra_Bioplastic'!D333)," ",'Q:\Abteilungsprojekte\Eng\EngData\PROJECT_Bioplastics\Renjie_Pan\05-Raw_Data\Lab_results\[LabSamples2025_Bioplastic_extra.xlsx]extra_Bioplastic'!D333)</f>
        <v/>
      </c>
      <c r="E333">
        <f>IF(ISBLANK('Q:\Abteilungsprojekte\Eng\EngData\PROJECT_Bioplastics\Renjie_Pan\05-Raw_Data\Lab_results\[LabSamples2025_Bioplastic_extra.xlsx]extra_Bioplastic'!E333)," ",'Q:\Abteilungsprojekte\Eng\EngData\PROJECT_Bioplastics\Renjie_Pan\05-Raw_Data\Lab_results\[LabSamples2025_Bioplastic_extra.xlsx]extra_Bioplastic'!E333)</f>
        <v/>
      </c>
      <c r="F333">
        <f>IF(ISBLANK('Q:\Abteilungsprojekte\Eng\EngData\PROJECT_Bioplastics\Renjie_Pan\05-Raw_Data\Lab_results\[LabSamples2025_Bioplastic_extra.xlsx]extra_Bioplastic'!F333)," ",'Q:\Abteilungsprojekte\Eng\EngData\PROJECT_Bioplastics\Renjie_Pan\05-Raw_Data\Lab_results\[LabSamples2025_Bioplastic_extra.xlsx]extra_Bioplastic'!F333)</f>
        <v/>
      </c>
      <c r="G333">
        <f>IF(ISBLANK('Q:\Abteilungsprojekte\Eng\EngData\PROJECT_Bioplastics\Renjie_Pan\05-Raw_Data\Lab_results\[LabSamples2025_Bioplastic_extra.xlsx]extra_Bioplastic'!G333)," ",'Q:\Abteilungsprojekte\Eng\EngData\PROJECT_Bioplastics\Renjie_Pan\05-Raw_Data\Lab_results\[LabSamples2025_Bioplastic_extra.xlsx]extra_Bioplastic'!G333)</f>
        <v/>
      </c>
      <c r="H333">
        <f>IF(ISBLANK('Q:\Abteilungsprojekte\Eng\EngData\PROJECT_Bioplastics\Renjie_Pan\05-Raw_Data\Lab_results\[LabSamples2025_Bioplastic_extra.xlsx]extra_Bioplastic'!H333)," ",'Q:\Abteilungsprojekte\Eng\EngData\PROJECT_Bioplastics\Renjie_Pan\05-Raw_Data\Lab_results\[LabSamples2025_Bioplastic_extra.xlsx]extra_Bioplastic'!H333)</f>
        <v/>
      </c>
    </row>
    <row r="334">
      <c r="A334">
        <f>IF(ISBLANK('Q:\Abteilungsprojekte\Eng\EngData\PROJECT_Bioplastics\Renjie_Pan\05-Raw_Data\Lab_results\[LabSamples2025_Bioplastic_extra.xlsx]extra_Bioplastic'!A334)," ",'Q:\Abteilungsprojekte\Eng\EngData\PROJECT_Bioplastics\Renjie_Pan\05-Raw_Data\Lab_results\[LabSamples2025_Bioplastic_extra.xlsx]extra_Bioplastic'!A334)</f>
        <v/>
      </c>
      <c r="B334">
        <f>IF(ISBLANK('Q:\Abteilungsprojekte\Eng\EngData\PROJECT_Bioplastics\Renjie_Pan\05-Raw_Data\Lab_results\[LabSamples2025_Bioplastic_extra.xlsx]extra_Bioplastic'!B334)," ",'Q:\Abteilungsprojekte\Eng\EngData\PROJECT_Bioplastics\Renjie_Pan\05-Raw_Data\Lab_results\[LabSamples2025_Bioplastic_extra.xlsx]extra_Bioplastic'!B334)</f>
        <v/>
      </c>
      <c r="C334">
        <f>IF(ISBLANK('Q:\Abteilungsprojekte\Eng\EngData\PROJECT_Bioplastics\Renjie_Pan\05-Raw_Data\Lab_results\[LabSamples2025_Bioplastic_extra.xlsx]extra_Bioplastic'!C334)," ",'Q:\Abteilungsprojekte\Eng\EngData\PROJECT_Bioplastics\Renjie_Pan\05-Raw_Data\Lab_results\[LabSamples2025_Bioplastic_extra.xlsx]extra_Bioplastic'!C334)</f>
        <v/>
      </c>
      <c r="D334">
        <f>IF(ISBLANK('Q:\Abteilungsprojekte\Eng\EngData\PROJECT_Bioplastics\Renjie_Pan\05-Raw_Data\Lab_results\[LabSamples2025_Bioplastic_extra.xlsx]extra_Bioplastic'!D334)," ",'Q:\Abteilungsprojekte\Eng\EngData\PROJECT_Bioplastics\Renjie_Pan\05-Raw_Data\Lab_results\[LabSamples2025_Bioplastic_extra.xlsx]extra_Bioplastic'!D334)</f>
        <v/>
      </c>
      <c r="E334">
        <f>IF(ISBLANK('Q:\Abteilungsprojekte\Eng\EngData\PROJECT_Bioplastics\Renjie_Pan\05-Raw_Data\Lab_results\[LabSamples2025_Bioplastic_extra.xlsx]extra_Bioplastic'!E334)," ",'Q:\Abteilungsprojekte\Eng\EngData\PROJECT_Bioplastics\Renjie_Pan\05-Raw_Data\Lab_results\[LabSamples2025_Bioplastic_extra.xlsx]extra_Bioplastic'!E334)</f>
        <v/>
      </c>
      <c r="F334">
        <f>IF(ISBLANK('Q:\Abteilungsprojekte\Eng\EngData\PROJECT_Bioplastics\Renjie_Pan\05-Raw_Data\Lab_results\[LabSamples2025_Bioplastic_extra.xlsx]extra_Bioplastic'!F334)," ",'Q:\Abteilungsprojekte\Eng\EngData\PROJECT_Bioplastics\Renjie_Pan\05-Raw_Data\Lab_results\[LabSamples2025_Bioplastic_extra.xlsx]extra_Bioplastic'!F334)</f>
        <v/>
      </c>
      <c r="G334">
        <f>IF(ISBLANK('Q:\Abteilungsprojekte\Eng\EngData\PROJECT_Bioplastics\Renjie_Pan\05-Raw_Data\Lab_results\[LabSamples2025_Bioplastic_extra.xlsx]extra_Bioplastic'!G334)," ",'Q:\Abteilungsprojekte\Eng\EngData\PROJECT_Bioplastics\Renjie_Pan\05-Raw_Data\Lab_results\[LabSamples2025_Bioplastic_extra.xlsx]extra_Bioplastic'!G334)</f>
        <v/>
      </c>
      <c r="H334">
        <f>IF(ISBLANK('Q:\Abteilungsprojekte\Eng\EngData\PROJECT_Bioplastics\Renjie_Pan\05-Raw_Data\Lab_results\[LabSamples2025_Bioplastic_extra.xlsx]extra_Bioplastic'!H334)," ",'Q:\Abteilungsprojekte\Eng\EngData\PROJECT_Bioplastics\Renjie_Pan\05-Raw_Data\Lab_results\[LabSamples2025_Bioplastic_extra.xlsx]extra_Bioplastic'!H334)</f>
        <v/>
      </c>
    </row>
    <row r="335">
      <c r="A335">
        <f>IF(ISBLANK('Q:\Abteilungsprojekte\Eng\EngData\PROJECT_Bioplastics\Renjie_Pan\05-Raw_Data\Lab_results\[LabSamples2025_Bioplastic_extra.xlsx]extra_Bioplastic'!A335)," ",'Q:\Abteilungsprojekte\Eng\EngData\PROJECT_Bioplastics\Renjie_Pan\05-Raw_Data\Lab_results\[LabSamples2025_Bioplastic_extra.xlsx]extra_Bioplastic'!A335)</f>
        <v/>
      </c>
      <c r="B335">
        <f>IF(ISBLANK('Q:\Abteilungsprojekte\Eng\EngData\PROJECT_Bioplastics\Renjie_Pan\05-Raw_Data\Lab_results\[LabSamples2025_Bioplastic_extra.xlsx]extra_Bioplastic'!B335)," ",'Q:\Abteilungsprojekte\Eng\EngData\PROJECT_Bioplastics\Renjie_Pan\05-Raw_Data\Lab_results\[LabSamples2025_Bioplastic_extra.xlsx]extra_Bioplastic'!B335)</f>
        <v/>
      </c>
      <c r="C335">
        <f>IF(ISBLANK('Q:\Abteilungsprojekte\Eng\EngData\PROJECT_Bioplastics\Renjie_Pan\05-Raw_Data\Lab_results\[LabSamples2025_Bioplastic_extra.xlsx]extra_Bioplastic'!C335)," ",'Q:\Abteilungsprojekte\Eng\EngData\PROJECT_Bioplastics\Renjie_Pan\05-Raw_Data\Lab_results\[LabSamples2025_Bioplastic_extra.xlsx]extra_Bioplastic'!C335)</f>
        <v/>
      </c>
      <c r="D335">
        <f>IF(ISBLANK('Q:\Abteilungsprojekte\Eng\EngData\PROJECT_Bioplastics\Renjie_Pan\05-Raw_Data\Lab_results\[LabSamples2025_Bioplastic_extra.xlsx]extra_Bioplastic'!D335)," ",'Q:\Abteilungsprojekte\Eng\EngData\PROJECT_Bioplastics\Renjie_Pan\05-Raw_Data\Lab_results\[LabSamples2025_Bioplastic_extra.xlsx]extra_Bioplastic'!D335)</f>
        <v/>
      </c>
      <c r="E335">
        <f>IF(ISBLANK('Q:\Abteilungsprojekte\Eng\EngData\PROJECT_Bioplastics\Renjie_Pan\05-Raw_Data\Lab_results\[LabSamples2025_Bioplastic_extra.xlsx]extra_Bioplastic'!E335)," ",'Q:\Abteilungsprojekte\Eng\EngData\PROJECT_Bioplastics\Renjie_Pan\05-Raw_Data\Lab_results\[LabSamples2025_Bioplastic_extra.xlsx]extra_Bioplastic'!E335)</f>
        <v/>
      </c>
      <c r="F335">
        <f>IF(ISBLANK('Q:\Abteilungsprojekte\Eng\EngData\PROJECT_Bioplastics\Renjie_Pan\05-Raw_Data\Lab_results\[LabSamples2025_Bioplastic_extra.xlsx]extra_Bioplastic'!F335)," ",'Q:\Abteilungsprojekte\Eng\EngData\PROJECT_Bioplastics\Renjie_Pan\05-Raw_Data\Lab_results\[LabSamples2025_Bioplastic_extra.xlsx]extra_Bioplastic'!F335)</f>
        <v/>
      </c>
      <c r="G335">
        <f>IF(ISBLANK('Q:\Abteilungsprojekte\Eng\EngData\PROJECT_Bioplastics\Renjie_Pan\05-Raw_Data\Lab_results\[LabSamples2025_Bioplastic_extra.xlsx]extra_Bioplastic'!G335)," ",'Q:\Abteilungsprojekte\Eng\EngData\PROJECT_Bioplastics\Renjie_Pan\05-Raw_Data\Lab_results\[LabSamples2025_Bioplastic_extra.xlsx]extra_Bioplastic'!G335)</f>
        <v/>
      </c>
      <c r="H335">
        <f>IF(ISBLANK('Q:\Abteilungsprojekte\Eng\EngData\PROJECT_Bioplastics\Renjie_Pan\05-Raw_Data\Lab_results\[LabSamples2025_Bioplastic_extra.xlsx]extra_Bioplastic'!H335)," ",'Q:\Abteilungsprojekte\Eng\EngData\PROJECT_Bioplastics\Renjie_Pan\05-Raw_Data\Lab_results\[LabSamples2025_Bioplastic_extra.xlsx]extra_Bioplastic'!H335)</f>
        <v/>
      </c>
    </row>
    <row r="336">
      <c r="A336">
        <f>IF(ISBLANK('Q:\Abteilungsprojekte\Eng\EngData\PROJECT_Bioplastics\Renjie_Pan\05-Raw_Data\Lab_results\[LabSamples2025_Bioplastic_extra.xlsx]extra_Bioplastic'!A336)," ",'Q:\Abteilungsprojekte\Eng\EngData\PROJECT_Bioplastics\Renjie_Pan\05-Raw_Data\Lab_results\[LabSamples2025_Bioplastic_extra.xlsx]extra_Bioplastic'!A336)</f>
        <v/>
      </c>
      <c r="B336">
        <f>IF(ISBLANK('Q:\Abteilungsprojekte\Eng\EngData\PROJECT_Bioplastics\Renjie_Pan\05-Raw_Data\Lab_results\[LabSamples2025_Bioplastic_extra.xlsx]extra_Bioplastic'!B336)," ",'Q:\Abteilungsprojekte\Eng\EngData\PROJECT_Bioplastics\Renjie_Pan\05-Raw_Data\Lab_results\[LabSamples2025_Bioplastic_extra.xlsx]extra_Bioplastic'!B336)</f>
        <v/>
      </c>
      <c r="C336">
        <f>IF(ISBLANK('Q:\Abteilungsprojekte\Eng\EngData\PROJECT_Bioplastics\Renjie_Pan\05-Raw_Data\Lab_results\[LabSamples2025_Bioplastic_extra.xlsx]extra_Bioplastic'!C336)," ",'Q:\Abteilungsprojekte\Eng\EngData\PROJECT_Bioplastics\Renjie_Pan\05-Raw_Data\Lab_results\[LabSamples2025_Bioplastic_extra.xlsx]extra_Bioplastic'!C336)</f>
        <v/>
      </c>
      <c r="D336">
        <f>IF(ISBLANK('Q:\Abteilungsprojekte\Eng\EngData\PROJECT_Bioplastics\Renjie_Pan\05-Raw_Data\Lab_results\[LabSamples2025_Bioplastic_extra.xlsx]extra_Bioplastic'!D336)," ",'Q:\Abteilungsprojekte\Eng\EngData\PROJECT_Bioplastics\Renjie_Pan\05-Raw_Data\Lab_results\[LabSamples2025_Bioplastic_extra.xlsx]extra_Bioplastic'!D336)</f>
        <v/>
      </c>
      <c r="E336">
        <f>IF(ISBLANK('Q:\Abteilungsprojekte\Eng\EngData\PROJECT_Bioplastics\Renjie_Pan\05-Raw_Data\Lab_results\[LabSamples2025_Bioplastic_extra.xlsx]extra_Bioplastic'!E336)," ",'Q:\Abteilungsprojekte\Eng\EngData\PROJECT_Bioplastics\Renjie_Pan\05-Raw_Data\Lab_results\[LabSamples2025_Bioplastic_extra.xlsx]extra_Bioplastic'!E336)</f>
        <v/>
      </c>
      <c r="F336">
        <f>IF(ISBLANK('Q:\Abteilungsprojekte\Eng\EngData\PROJECT_Bioplastics\Renjie_Pan\05-Raw_Data\Lab_results\[LabSamples2025_Bioplastic_extra.xlsx]extra_Bioplastic'!F336)," ",'Q:\Abteilungsprojekte\Eng\EngData\PROJECT_Bioplastics\Renjie_Pan\05-Raw_Data\Lab_results\[LabSamples2025_Bioplastic_extra.xlsx]extra_Bioplastic'!F336)</f>
        <v/>
      </c>
      <c r="G336">
        <f>IF(ISBLANK('Q:\Abteilungsprojekte\Eng\EngData\PROJECT_Bioplastics\Renjie_Pan\05-Raw_Data\Lab_results\[LabSamples2025_Bioplastic_extra.xlsx]extra_Bioplastic'!G336)," ",'Q:\Abteilungsprojekte\Eng\EngData\PROJECT_Bioplastics\Renjie_Pan\05-Raw_Data\Lab_results\[LabSamples2025_Bioplastic_extra.xlsx]extra_Bioplastic'!G336)</f>
        <v/>
      </c>
      <c r="H336">
        <f>IF(ISBLANK('Q:\Abteilungsprojekte\Eng\EngData\PROJECT_Bioplastics\Renjie_Pan\05-Raw_Data\Lab_results\[LabSamples2025_Bioplastic_extra.xlsx]extra_Bioplastic'!H336)," ",'Q:\Abteilungsprojekte\Eng\EngData\PROJECT_Bioplastics\Renjie_Pan\05-Raw_Data\Lab_results\[LabSamples2025_Bioplastic_extra.xlsx]extra_Bioplastic'!H336)</f>
        <v/>
      </c>
    </row>
    <row r="337">
      <c r="A337">
        <f>IF(ISBLANK('Q:\Abteilungsprojekte\Eng\EngData\PROJECT_Bioplastics\Renjie_Pan\05-Raw_Data\Lab_results\[LabSamples2025_Bioplastic_extra.xlsx]extra_Bioplastic'!A337)," ",'Q:\Abteilungsprojekte\Eng\EngData\PROJECT_Bioplastics\Renjie_Pan\05-Raw_Data\Lab_results\[LabSamples2025_Bioplastic_extra.xlsx]extra_Bioplastic'!A337)</f>
        <v/>
      </c>
      <c r="B337">
        <f>IF(ISBLANK('Q:\Abteilungsprojekte\Eng\EngData\PROJECT_Bioplastics\Renjie_Pan\05-Raw_Data\Lab_results\[LabSamples2025_Bioplastic_extra.xlsx]extra_Bioplastic'!B337)," ",'Q:\Abteilungsprojekte\Eng\EngData\PROJECT_Bioplastics\Renjie_Pan\05-Raw_Data\Lab_results\[LabSamples2025_Bioplastic_extra.xlsx]extra_Bioplastic'!B337)</f>
        <v/>
      </c>
      <c r="C337">
        <f>IF(ISBLANK('Q:\Abteilungsprojekte\Eng\EngData\PROJECT_Bioplastics\Renjie_Pan\05-Raw_Data\Lab_results\[LabSamples2025_Bioplastic_extra.xlsx]extra_Bioplastic'!C337)," ",'Q:\Abteilungsprojekte\Eng\EngData\PROJECT_Bioplastics\Renjie_Pan\05-Raw_Data\Lab_results\[LabSamples2025_Bioplastic_extra.xlsx]extra_Bioplastic'!C337)</f>
        <v/>
      </c>
      <c r="D337">
        <f>IF(ISBLANK('Q:\Abteilungsprojekte\Eng\EngData\PROJECT_Bioplastics\Renjie_Pan\05-Raw_Data\Lab_results\[LabSamples2025_Bioplastic_extra.xlsx]extra_Bioplastic'!D337)," ",'Q:\Abteilungsprojekte\Eng\EngData\PROJECT_Bioplastics\Renjie_Pan\05-Raw_Data\Lab_results\[LabSamples2025_Bioplastic_extra.xlsx]extra_Bioplastic'!D337)</f>
        <v/>
      </c>
      <c r="E337">
        <f>IF(ISBLANK('Q:\Abteilungsprojekte\Eng\EngData\PROJECT_Bioplastics\Renjie_Pan\05-Raw_Data\Lab_results\[LabSamples2025_Bioplastic_extra.xlsx]extra_Bioplastic'!E337)," ",'Q:\Abteilungsprojekte\Eng\EngData\PROJECT_Bioplastics\Renjie_Pan\05-Raw_Data\Lab_results\[LabSamples2025_Bioplastic_extra.xlsx]extra_Bioplastic'!E337)</f>
        <v/>
      </c>
      <c r="F337">
        <f>IF(ISBLANK('Q:\Abteilungsprojekte\Eng\EngData\PROJECT_Bioplastics\Renjie_Pan\05-Raw_Data\Lab_results\[LabSamples2025_Bioplastic_extra.xlsx]extra_Bioplastic'!F337)," ",'Q:\Abteilungsprojekte\Eng\EngData\PROJECT_Bioplastics\Renjie_Pan\05-Raw_Data\Lab_results\[LabSamples2025_Bioplastic_extra.xlsx]extra_Bioplastic'!F337)</f>
        <v/>
      </c>
      <c r="G337">
        <f>IF(ISBLANK('Q:\Abteilungsprojekte\Eng\EngData\PROJECT_Bioplastics\Renjie_Pan\05-Raw_Data\Lab_results\[LabSamples2025_Bioplastic_extra.xlsx]extra_Bioplastic'!G337)," ",'Q:\Abteilungsprojekte\Eng\EngData\PROJECT_Bioplastics\Renjie_Pan\05-Raw_Data\Lab_results\[LabSamples2025_Bioplastic_extra.xlsx]extra_Bioplastic'!G337)</f>
        <v/>
      </c>
      <c r="H337">
        <f>IF(ISBLANK('Q:\Abteilungsprojekte\Eng\EngData\PROJECT_Bioplastics\Renjie_Pan\05-Raw_Data\Lab_results\[LabSamples2025_Bioplastic_extra.xlsx]extra_Bioplastic'!H337)," ",'Q:\Abteilungsprojekte\Eng\EngData\PROJECT_Bioplastics\Renjie_Pan\05-Raw_Data\Lab_results\[LabSamples2025_Bioplastic_extra.xlsx]extra_Bioplastic'!H337)</f>
        <v/>
      </c>
    </row>
    <row r="338">
      <c r="A338">
        <f>IF(ISBLANK('Q:\Abteilungsprojekte\Eng\EngData\PROJECT_Bioplastics\Renjie_Pan\05-Raw_Data\Lab_results\[LabSamples2025_Bioplastic_extra.xlsx]extra_Bioplastic'!A338)," ",'Q:\Abteilungsprojekte\Eng\EngData\PROJECT_Bioplastics\Renjie_Pan\05-Raw_Data\Lab_results\[LabSamples2025_Bioplastic_extra.xlsx]extra_Bioplastic'!A338)</f>
        <v/>
      </c>
      <c r="B338">
        <f>IF(ISBLANK('Q:\Abteilungsprojekte\Eng\EngData\PROJECT_Bioplastics\Renjie_Pan\05-Raw_Data\Lab_results\[LabSamples2025_Bioplastic_extra.xlsx]extra_Bioplastic'!B338)," ",'Q:\Abteilungsprojekte\Eng\EngData\PROJECT_Bioplastics\Renjie_Pan\05-Raw_Data\Lab_results\[LabSamples2025_Bioplastic_extra.xlsx]extra_Bioplastic'!B338)</f>
        <v/>
      </c>
      <c r="C338">
        <f>IF(ISBLANK('Q:\Abteilungsprojekte\Eng\EngData\PROJECT_Bioplastics\Renjie_Pan\05-Raw_Data\Lab_results\[LabSamples2025_Bioplastic_extra.xlsx]extra_Bioplastic'!C338)," ",'Q:\Abteilungsprojekte\Eng\EngData\PROJECT_Bioplastics\Renjie_Pan\05-Raw_Data\Lab_results\[LabSamples2025_Bioplastic_extra.xlsx]extra_Bioplastic'!C338)</f>
        <v/>
      </c>
      <c r="D338">
        <f>IF(ISBLANK('Q:\Abteilungsprojekte\Eng\EngData\PROJECT_Bioplastics\Renjie_Pan\05-Raw_Data\Lab_results\[LabSamples2025_Bioplastic_extra.xlsx]extra_Bioplastic'!D338)," ",'Q:\Abteilungsprojekte\Eng\EngData\PROJECT_Bioplastics\Renjie_Pan\05-Raw_Data\Lab_results\[LabSamples2025_Bioplastic_extra.xlsx]extra_Bioplastic'!D338)</f>
        <v/>
      </c>
      <c r="E338">
        <f>IF(ISBLANK('Q:\Abteilungsprojekte\Eng\EngData\PROJECT_Bioplastics\Renjie_Pan\05-Raw_Data\Lab_results\[LabSamples2025_Bioplastic_extra.xlsx]extra_Bioplastic'!E338)," ",'Q:\Abteilungsprojekte\Eng\EngData\PROJECT_Bioplastics\Renjie_Pan\05-Raw_Data\Lab_results\[LabSamples2025_Bioplastic_extra.xlsx]extra_Bioplastic'!E338)</f>
        <v/>
      </c>
      <c r="F338">
        <f>IF(ISBLANK('Q:\Abteilungsprojekte\Eng\EngData\PROJECT_Bioplastics\Renjie_Pan\05-Raw_Data\Lab_results\[LabSamples2025_Bioplastic_extra.xlsx]extra_Bioplastic'!F338)," ",'Q:\Abteilungsprojekte\Eng\EngData\PROJECT_Bioplastics\Renjie_Pan\05-Raw_Data\Lab_results\[LabSamples2025_Bioplastic_extra.xlsx]extra_Bioplastic'!F338)</f>
        <v/>
      </c>
      <c r="G338">
        <f>IF(ISBLANK('Q:\Abteilungsprojekte\Eng\EngData\PROJECT_Bioplastics\Renjie_Pan\05-Raw_Data\Lab_results\[LabSamples2025_Bioplastic_extra.xlsx]extra_Bioplastic'!G338)," ",'Q:\Abteilungsprojekte\Eng\EngData\PROJECT_Bioplastics\Renjie_Pan\05-Raw_Data\Lab_results\[LabSamples2025_Bioplastic_extra.xlsx]extra_Bioplastic'!G338)</f>
        <v/>
      </c>
      <c r="H338">
        <f>IF(ISBLANK('Q:\Abteilungsprojekte\Eng\EngData\PROJECT_Bioplastics\Renjie_Pan\05-Raw_Data\Lab_results\[LabSamples2025_Bioplastic_extra.xlsx]extra_Bioplastic'!H338)," ",'Q:\Abteilungsprojekte\Eng\EngData\PROJECT_Bioplastics\Renjie_Pan\05-Raw_Data\Lab_results\[LabSamples2025_Bioplastic_extra.xlsx]extra_Bioplastic'!H338)</f>
        <v/>
      </c>
    </row>
    <row r="339">
      <c r="A339">
        <f>IF(ISBLANK('Q:\Abteilungsprojekte\Eng\EngData\PROJECT_Bioplastics\Renjie_Pan\05-Raw_Data\Lab_results\[LabSamples2025_Bioplastic_extra.xlsx]extra_Bioplastic'!A339)," ",'Q:\Abteilungsprojekte\Eng\EngData\PROJECT_Bioplastics\Renjie_Pan\05-Raw_Data\Lab_results\[LabSamples2025_Bioplastic_extra.xlsx]extra_Bioplastic'!A339)</f>
        <v/>
      </c>
      <c r="B339">
        <f>IF(ISBLANK('Q:\Abteilungsprojekte\Eng\EngData\PROJECT_Bioplastics\Renjie_Pan\05-Raw_Data\Lab_results\[LabSamples2025_Bioplastic_extra.xlsx]extra_Bioplastic'!B339)," ",'Q:\Abteilungsprojekte\Eng\EngData\PROJECT_Bioplastics\Renjie_Pan\05-Raw_Data\Lab_results\[LabSamples2025_Bioplastic_extra.xlsx]extra_Bioplastic'!B339)</f>
        <v/>
      </c>
      <c r="C339">
        <f>IF(ISBLANK('Q:\Abteilungsprojekte\Eng\EngData\PROJECT_Bioplastics\Renjie_Pan\05-Raw_Data\Lab_results\[LabSamples2025_Bioplastic_extra.xlsx]extra_Bioplastic'!C339)," ",'Q:\Abteilungsprojekte\Eng\EngData\PROJECT_Bioplastics\Renjie_Pan\05-Raw_Data\Lab_results\[LabSamples2025_Bioplastic_extra.xlsx]extra_Bioplastic'!C339)</f>
        <v/>
      </c>
      <c r="D339">
        <f>IF(ISBLANK('Q:\Abteilungsprojekte\Eng\EngData\PROJECT_Bioplastics\Renjie_Pan\05-Raw_Data\Lab_results\[LabSamples2025_Bioplastic_extra.xlsx]extra_Bioplastic'!D339)," ",'Q:\Abteilungsprojekte\Eng\EngData\PROJECT_Bioplastics\Renjie_Pan\05-Raw_Data\Lab_results\[LabSamples2025_Bioplastic_extra.xlsx]extra_Bioplastic'!D339)</f>
        <v/>
      </c>
      <c r="E339">
        <f>IF(ISBLANK('Q:\Abteilungsprojekte\Eng\EngData\PROJECT_Bioplastics\Renjie_Pan\05-Raw_Data\Lab_results\[LabSamples2025_Bioplastic_extra.xlsx]extra_Bioplastic'!E339)," ",'Q:\Abteilungsprojekte\Eng\EngData\PROJECT_Bioplastics\Renjie_Pan\05-Raw_Data\Lab_results\[LabSamples2025_Bioplastic_extra.xlsx]extra_Bioplastic'!E339)</f>
        <v/>
      </c>
      <c r="F339">
        <f>IF(ISBLANK('Q:\Abteilungsprojekte\Eng\EngData\PROJECT_Bioplastics\Renjie_Pan\05-Raw_Data\Lab_results\[LabSamples2025_Bioplastic_extra.xlsx]extra_Bioplastic'!F339)," ",'Q:\Abteilungsprojekte\Eng\EngData\PROJECT_Bioplastics\Renjie_Pan\05-Raw_Data\Lab_results\[LabSamples2025_Bioplastic_extra.xlsx]extra_Bioplastic'!F339)</f>
        <v/>
      </c>
      <c r="G339">
        <f>IF(ISBLANK('Q:\Abteilungsprojekte\Eng\EngData\PROJECT_Bioplastics\Renjie_Pan\05-Raw_Data\Lab_results\[LabSamples2025_Bioplastic_extra.xlsx]extra_Bioplastic'!G339)," ",'Q:\Abteilungsprojekte\Eng\EngData\PROJECT_Bioplastics\Renjie_Pan\05-Raw_Data\Lab_results\[LabSamples2025_Bioplastic_extra.xlsx]extra_Bioplastic'!G339)</f>
        <v/>
      </c>
      <c r="H339">
        <f>IF(ISBLANK('Q:\Abteilungsprojekte\Eng\EngData\PROJECT_Bioplastics\Renjie_Pan\05-Raw_Data\Lab_results\[LabSamples2025_Bioplastic_extra.xlsx]extra_Bioplastic'!H339)," ",'Q:\Abteilungsprojekte\Eng\EngData\PROJECT_Bioplastics\Renjie_Pan\05-Raw_Data\Lab_results\[LabSamples2025_Bioplastic_extra.xlsx]extra_Bioplastic'!H339)</f>
        <v/>
      </c>
    </row>
    <row r="340">
      <c r="A340">
        <f>IF(ISBLANK('Q:\Abteilungsprojekte\Eng\EngData\PROJECT_Bioplastics\Renjie_Pan\05-Raw_Data\Lab_results\[LabSamples2025_Bioplastic_extra.xlsx]extra_Bioplastic'!A340)," ",'Q:\Abteilungsprojekte\Eng\EngData\PROJECT_Bioplastics\Renjie_Pan\05-Raw_Data\Lab_results\[LabSamples2025_Bioplastic_extra.xlsx]extra_Bioplastic'!A340)</f>
        <v/>
      </c>
      <c r="B340">
        <f>IF(ISBLANK('Q:\Abteilungsprojekte\Eng\EngData\PROJECT_Bioplastics\Renjie_Pan\05-Raw_Data\Lab_results\[LabSamples2025_Bioplastic_extra.xlsx]extra_Bioplastic'!B340)," ",'Q:\Abteilungsprojekte\Eng\EngData\PROJECT_Bioplastics\Renjie_Pan\05-Raw_Data\Lab_results\[LabSamples2025_Bioplastic_extra.xlsx]extra_Bioplastic'!B340)</f>
        <v/>
      </c>
      <c r="C340">
        <f>IF(ISBLANK('Q:\Abteilungsprojekte\Eng\EngData\PROJECT_Bioplastics\Renjie_Pan\05-Raw_Data\Lab_results\[LabSamples2025_Bioplastic_extra.xlsx]extra_Bioplastic'!C340)," ",'Q:\Abteilungsprojekte\Eng\EngData\PROJECT_Bioplastics\Renjie_Pan\05-Raw_Data\Lab_results\[LabSamples2025_Bioplastic_extra.xlsx]extra_Bioplastic'!C340)</f>
        <v/>
      </c>
      <c r="D340">
        <f>IF(ISBLANK('Q:\Abteilungsprojekte\Eng\EngData\PROJECT_Bioplastics\Renjie_Pan\05-Raw_Data\Lab_results\[LabSamples2025_Bioplastic_extra.xlsx]extra_Bioplastic'!D340)," ",'Q:\Abteilungsprojekte\Eng\EngData\PROJECT_Bioplastics\Renjie_Pan\05-Raw_Data\Lab_results\[LabSamples2025_Bioplastic_extra.xlsx]extra_Bioplastic'!D340)</f>
        <v/>
      </c>
      <c r="E340">
        <f>IF(ISBLANK('Q:\Abteilungsprojekte\Eng\EngData\PROJECT_Bioplastics\Renjie_Pan\05-Raw_Data\Lab_results\[LabSamples2025_Bioplastic_extra.xlsx]extra_Bioplastic'!E340)," ",'Q:\Abteilungsprojekte\Eng\EngData\PROJECT_Bioplastics\Renjie_Pan\05-Raw_Data\Lab_results\[LabSamples2025_Bioplastic_extra.xlsx]extra_Bioplastic'!E340)</f>
        <v/>
      </c>
      <c r="F340">
        <f>IF(ISBLANK('Q:\Abteilungsprojekte\Eng\EngData\PROJECT_Bioplastics\Renjie_Pan\05-Raw_Data\Lab_results\[LabSamples2025_Bioplastic_extra.xlsx]extra_Bioplastic'!F340)," ",'Q:\Abteilungsprojekte\Eng\EngData\PROJECT_Bioplastics\Renjie_Pan\05-Raw_Data\Lab_results\[LabSamples2025_Bioplastic_extra.xlsx]extra_Bioplastic'!F340)</f>
        <v/>
      </c>
      <c r="G340">
        <f>IF(ISBLANK('Q:\Abteilungsprojekte\Eng\EngData\PROJECT_Bioplastics\Renjie_Pan\05-Raw_Data\Lab_results\[LabSamples2025_Bioplastic_extra.xlsx]extra_Bioplastic'!G340)," ",'Q:\Abteilungsprojekte\Eng\EngData\PROJECT_Bioplastics\Renjie_Pan\05-Raw_Data\Lab_results\[LabSamples2025_Bioplastic_extra.xlsx]extra_Bioplastic'!G340)</f>
        <v/>
      </c>
      <c r="H340">
        <f>IF(ISBLANK('Q:\Abteilungsprojekte\Eng\EngData\PROJECT_Bioplastics\Renjie_Pan\05-Raw_Data\Lab_results\[LabSamples2025_Bioplastic_extra.xlsx]extra_Bioplastic'!H340)," ",'Q:\Abteilungsprojekte\Eng\EngData\PROJECT_Bioplastics\Renjie_Pan\05-Raw_Data\Lab_results\[LabSamples2025_Bioplastic_extra.xlsx]extra_Bioplastic'!H340)</f>
        <v/>
      </c>
    </row>
    <row r="341">
      <c r="A341">
        <f>IF(ISBLANK('Q:\Abteilungsprojekte\Eng\EngData\PROJECT_Bioplastics\Renjie_Pan\05-Raw_Data\Lab_results\[LabSamples2025_Bioplastic_extra.xlsx]extra_Bioplastic'!A341)," ",'Q:\Abteilungsprojekte\Eng\EngData\PROJECT_Bioplastics\Renjie_Pan\05-Raw_Data\Lab_results\[LabSamples2025_Bioplastic_extra.xlsx]extra_Bioplastic'!A341)</f>
        <v/>
      </c>
      <c r="B341">
        <f>IF(ISBLANK('Q:\Abteilungsprojekte\Eng\EngData\PROJECT_Bioplastics\Renjie_Pan\05-Raw_Data\Lab_results\[LabSamples2025_Bioplastic_extra.xlsx]extra_Bioplastic'!B341)," ",'Q:\Abteilungsprojekte\Eng\EngData\PROJECT_Bioplastics\Renjie_Pan\05-Raw_Data\Lab_results\[LabSamples2025_Bioplastic_extra.xlsx]extra_Bioplastic'!B341)</f>
        <v/>
      </c>
      <c r="C341">
        <f>IF(ISBLANK('Q:\Abteilungsprojekte\Eng\EngData\PROJECT_Bioplastics\Renjie_Pan\05-Raw_Data\Lab_results\[LabSamples2025_Bioplastic_extra.xlsx]extra_Bioplastic'!C341)," ",'Q:\Abteilungsprojekte\Eng\EngData\PROJECT_Bioplastics\Renjie_Pan\05-Raw_Data\Lab_results\[LabSamples2025_Bioplastic_extra.xlsx]extra_Bioplastic'!C341)</f>
        <v/>
      </c>
      <c r="D341">
        <f>IF(ISBLANK('Q:\Abteilungsprojekte\Eng\EngData\PROJECT_Bioplastics\Renjie_Pan\05-Raw_Data\Lab_results\[LabSamples2025_Bioplastic_extra.xlsx]extra_Bioplastic'!D341)," ",'Q:\Abteilungsprojekte\Eng\EngData\PROJECT_Bioplastics\Renjie_Pan\05-Raw_Data\Lab_results\[LabSamples2025_Bioplastic_extra.xlsx]extra_Bioplastic'!D341)</f>
        <v/>
      </c>
      <c r="E341">
        <f>IF(ISBLANK('Q:\Abteilungsprojekte\Eng\EngData\PROJECT_Bioplastics\Renjie_Pan\05-Raw_Data\Lab_results\[LabSamples2025_Bioplastic_extra.xlsx]extra_Bioplastic'!E341)," ",'Q:\Abteilungsprojekte\Eng\EngData\PROJECT_Bioplastics\Renjie_Pan\05-Raw_Data\Lab_results\[LabSamples2025_Bioplastic_extra.xlsx]extra_Bioplastic'!E341)</f>
        <v/>
      </c>
      <c r="F341">
        <f>IF(ISBLANK('Q:\Abteilungsprojekte\Eng\EngData\PROJECT_Bioplastics\Renjie_Pan\05-Raw_Data\Lab_results\[LabSamples2025_Bioplastic_extra.xlsx]extra_Bioplastic'!F341)," ",'Q:\Abteilungsprojekte\Eng\EngData\PROJECT_Bioplastics\Renjie_Pan\05-Raw_Data\Lab_results\[LabSamples2025_Bioplastic_extra.xlsx]extra_Bioplastic'!F341)</f>
        <v/>
      </c>
      <c r="G341">
        <f>IF(ISBLANK('Q:\Abteilungsprojekte\Eng\EngData\PROJECT_Bioplastics\Renjie_Pan\05-Raw_Data\Lab_results\[LabSamples2025_Bioplastic_extra.xlsx]extra_Bioplastic'!G341)," ",'Q:\Abteilungsprojekte\Eng\EngData\PROJECT_Bioplastics\Renjie_Pan\05-Raw_Data\Lab_results\[LabSamples2025_Bioplastic_extra.xlsx]extra_Bioplastic'!G341)</f>
        <v/>
      </c>
      <c r="H341">
        <f>IF(ISBLANK('Q:\Abteilungsprojekte\Eng\EngData\PROJECT_Bioplastics\Renjie_Pan\05-Raw_Data\Lab_results\[LabSamples2025_Bioplastic_extra.xlsx]extra_Bioplastic'!H341)," ",'Q:\Abteilungsprojekte\Eng\EngData\PROJECT_Bioplastics\Renjie_Pan\05-Raw_Data\Lab_results\[LabSamples2025_Bioplastic_extra.xlsx]extra_Bioplastic'!H341)</f>
        <v/>
      </c>
    </row>
    <row r="342">
      <c r="A342">
        <f>IF(ISBLANK('Q:\Abteilungsprojekte\Eng\EngData\PROJECT_Bioplastics\Renjie_Pan\05-Raw_Data\Lab_results\[LabSamples2025_Bioplastic_extra.xlsx]extra_Bioplastic'!A342)," ",'Q:\Abteilungsprojekte\Eng\EngData\PROJECT_Bioplastics\Renjie_Pan\05-Raw_Data\Lab_results\[LabSamples2025_Bioplastic_extra.xlsx]extra_Bioplastic'!A342)</f>
        <v/>
      </c>
      <c r="B342">
        <f>IF(ISBLANK('Q:\Abteilungsprojekte\Eng\EngData\PROJECT_Bioplastics\Renjie_Pan\05-Raw_Data\Lab_results\[LabSamples2025_Bioplastic_extra.xlsx]extra_Bioplastic'!B342)," ",'Q:\Abteilungsprojekte\Eng\EngData\PROJECT_Bioplastics\Renjie_Pan\05-Raw_Data\Lab_results\[LabSamples2025_Bioplastic_extra.xlsx]extra_Bioplastic'!B342)</f>
        <v/>
      </c>
      <c r="C342">
        <f>IF(ISBLANK('Q:\Abteilungsprojekte\Eng\EngData\PROJECT_Bioplastics\Renjie_Pan\05-Raw_Data\Lab_results\[LabSamples2025_Bioplastic_extra.xlsx]extra_Bioplastic'!C342)," ",'Q:\Abteilungsprojekte\Eng\EngData\PROJECT_Bioplastics\Renjie_Pan\05-Raw_Data\Lab_results\[LabSamples2025_Bioplastic_extra.xlsx]extra_Bioplastic'!C342)</f>
        <v/>
      </c>
      <c r="D342">
        <f>IF(ISBLANK('Q:\Abteilungsprojekte\Eng\EngData\PROJECT_Bioplastics\Renjie_Pan\05-Raw_Data\Lab_results\[LabSamples2025_Bioplastic_extra.xlsx]extra_Bioplastic'!D342)," ",'Q:\Abteilungsprojekte\Eng\EngData\PROJECT_Bioplastics\Renjie_Pan\05-Raw_Data\Lab_results\[LabSamples2025_Bioplastic_extra.xlsx]extra_Bioplastic'!D342)</f>
        <v/>
      </c>
      <c r="E342">
        <f>IF(ISBLANK('Q:\Abteilungsprojekte\Eng\EngData\PROJECT_Bioplastics\Renjie_Pan\05-Raw_Data\Lab_results\[LabSamples2025_Bioplastic_extra.xlsx]extra_Bioplastic'!E342)," ",'Q:\Abteilungsprojekte\Eng\EngData\PROJECT_Bioplastics\Renjie_Pan\05-Raw_Data\Lab_results\[LabSamples2025_Bioplastic_extra.xlsx]extra_Bioplastic'!E342)</f>
        <v/>
      </c>
      <c r="F342">
        <f>IF(ISBLANK('Q:\Abteilungsprojekte\Eng\EngData\PROJECT_Bioplastics\Renjie_Pan\05-Raw_Data\Lab_results\[LabSamples2025_Bioplastic_extra.xlsx]extra_Bioplastic'!F342)," ",'Q:\Abteilungsprojekte\Eng\EngData\PROJECT_Bioplastics\Renjie_Pan\05-Raw_Data\Lab_results\[LabSamples2025_Bioplastic_extra.xlsx]extra_Bioplastic'!F342)</f>
        <v/>
      </c>
      <c r="G342">
        <f>IF(ISBLANK('Q:\Abteilungsprojekte\Eng\EngData\PROJECT_Bioplastics\Renjie_Pan\05-Raw_Data\Lab_results\[LabSamples2025_Bioplastic_extra.xlsx]extra_Bioplastic'!G342)," ",'Q:\Abteilungsprojekte\Eng\EngData\PROJECT_Bioplastics\Renjie_Pan\05-Raw_Data\Lab_results\[LabSamples2025_Bioplastic_extra.xlsx]extra_Bioplastic'!G342)</f>
        <v/>
      </c>
      <c r="H342">
        <f>IF(ISBLANK('Q:\Abteilungsprojekte\Eng\EngData\PROJECT_Bioplastics\Renjie_Pan\05-Raw_Data\Lab_results\[LabSamples2025_Bioplastic_extra.xlsx]extra_Bioplastic'!H342)," ",'Q:\Abteilungsprojekte\Eng\EngData\PROJECT_Bioplastics\Renjie_Pan\05-Raw_Data\Lab_results\[LabSamples2025_Bioplastic_extra.xlsx]extra_Bioplastic'!H342)</f>
        <v/>
      </c>
    </row>
    <row r="343">
      <c r="A343">
        <f>IF(ISBLANK('Q:\Abteilungsprojekte\Eng\EngData\PROJECT_Bioplastics\Renjie_Pan\05-Raw_Data\Lab_results\[LabSamples2025_Bioplastic_extra.xlsx]extra_Bioplastic'!A343)," ",'Q:\Abteilungsprojekte\Eng\EngData\PROJECT_Bioplastics\Renjie_Pan\05-Raw_Data\Lab_results\[LabSamples2025_Bioplastic_extra.xlsx]extra_Bioplastic'!A343)</f>
        <v/>
      </c>
      <c r="B343">
        <f>IF(ISBLANK('Q:\Abteilungsprojekte\Eng\EngData\PROJECT_Bioplastics\Renjie_Pan\05-Raw_Data\Lab_results\[LabSamples2025_Bioplastic_extra.xlsx]extra_Bioplastic'!B343)," ",'Q:\Abteilungsprojekte\Eng\EngData\PROJECT_Bioplastics\Renjie_Pan\05-Raw_Data\Lab_results\[LabSamples2025_Bioplastic_extra.xlsx]extra_Bioplastic'!B343)</f>
        <v/>
      </c>
      <c r="C343">
        <f>IF(ISBLANK('Q:\Abteilungsprojekte\Eng\EngData\PROJECT_Bioplastics\Renjie_Pan\05-Raw_Data\Lab_results\[LabSamples2025_Bioplastic_extra.xlsx]extra_Bioplastic'!C343)," ",'Q:\Abteilungsprojekte\Eng\EngData\PROJECT_Bioplastics\Renjie_Pan\05-Raw_Data\Lab_results\[LabSamples2025_Bioplastic_extra.xlsx]extra_Bioplastic'!C343)</f>
        <v/>
      </c>
      <c r="D343">
        <f>IF(ISBLANK('Q:\Abteilungsprojekte\Eng\EngData\PROJECT_Bioplastics\Renjie_Pan\05-Raw_Data\Lab_results\[LabSamples2025_Bioplastic_extra.xlsx]extra_Bioplastic'!D343)," ",'Q:\Abteilungsprojekte\Eng\EngData\PROJECT_Bioplastics\Renjie_Pan\05-Raw_Data\Lab_results\[LabSamples2025_Bioplastic_extra.xlsx]extra_Bioplastic'!D343)</f>
        <v/>
      </c>
      <c r="E343">
        <f>IF(ISBLANK('Q:\Abteilungsprojekte\Eng\EngData\PROJECT_Bioplastics\Renjie_Pan\05-Raw_Data\Lab_results\[LabSamples2025_Bioplastic_extra.xlsx]extra_Bioplastic'!E343)," ",'Q:\Abteilungsprojekte\Eng\EngData\PROJECT_Bioplastics\Renjie_Pan\05-Raw_Data\Lab_results\[LabSamples2025_Bioplastic_extra.xlsx]extra_Bioplastic'!E343)</f>
        <v/>
      </c>
      <c r="F343">
        <f>IF(ISBLANK('Q:\Abteilungsprojekte\Eng\EngData\PROJECT_Bioplastics\Renjie_Pan\05-Raw_Data\Lab_results\[LabSamples2025_Bioplastic_extra.xlsx]extra_Bioplastic'!F343)," ",'Q:\Abteilungsprojekte\Eng\EngData\PROJECT_Bioplastics\Renjie_Pan\05-Raw_Data\Lab_results\[LabSamples2025_Bioplastic_extra.xlsx]extra_Bioplastic'!F343)</f>
        <v/>
      </c>
      <c r="G343">
        <f>IF(ISBLANK('Q:\Abteilungsprojekte\Eng\EngData\PROJECT_Bioplastics\Renjie_Pan\05-Raw_Data\Lab_results\[LabSamples2025_Bioplastic_extra.xlsx]extra_Bioplastic'!G343)," ",'Q:\Abteilungsprojekte\Eng\EngData\PROJECT_Bioplastics\Renjie_Pan\05-Raw_Data\Lab_results\[LabSamples2025_Bioplastic_extra.xlsx]extra_Bioplastic'!G343)</f>
        <v/>
      </c>
      <c r="H343">
        <f>IF(ISBLANK('Q:\Abteilungsprojekte\Eng\EngData\PROJECT_Bioplastics\Renjie_Pan\05-Raw_Data\Lab_results\[LabSamples2025_Bioplastic_extra.xlsx]extra_Bioplastic'!H343)," ",'Q:\Abteilungsprojekte\Eng\EngData\PROJECT_Bioplastics\Renjie_Pan\05-Raw_Data\Lab_results\[LabSamples2025_Bioplastic_extra.xlsx]extra_Bioplastic'!H343)</f>
        <v/>
      </c>
    </row>
    <row r="344">
      <c r="A344">
        <f>IF(ISBLANK('Q:\Abteilungsprojekte\Eng\EngData\PROJECT_Bioplastics\Renjie_Pan\05-Raw_Data\Lab_results\[LabSamples2025_Bioplastic_extra.xlsx]extra_Bioplastic'!A344)," ",'Q:\Abteilungsprojekte\Eng\EngData\PROJECT_Bioplastics\Renjie_Pan\05-Raw_Data\Lab_results\[LabSamples2025_Bioplastic_extra.xlsx]extra_Bioplastic'!A344)</f>
        <v/>
      </c>
      <c r="B344">
        <f>IF(ISBLANK('Q:\Abteilungsprojekte\Eng\EngData\PROJECT_Bioplastics\Renjie_Pan\05-Raw_Data\Lab_results\[LabSamples2025_Bioplastic_extra.xlsx]extra_Bioplastic'!B344)," ",'Q:\Abteilungsprojekte\Eng\EngData\PROJECT_Bioplastics\Renjie_Pan\05-Raw_Data\Lab_results\[LabSamples2025_Bioplastic_extra.xlsx]extra_Bioplastic'!B344)</f>
        <v/>
      </c>
      <c r="C344">
        <f>IF(ISBLANK('Q:\Abteilungsprojekte\Eng\EngData\PROJECT_Bioplastics\Renjie_Pan\05-Raw_Data\Lab_results\[LabSamples2025_Bioplastic_extra.xlsx]extra_Bioplastic'!C344)," ",'Q:\Abteilungsprojekte\Eng\EngData\PROJECT_Bioplastics\Renjie_Pan\05-Raw_Data\Lab_results\[LabSamples2025_Bioplastic_extra.xlsx]extra_Bioplastic'!C344)</f>
        <v/>
      </c>
      <c r="D344">
        <f>IF(ISBLANK('Q:\Abteilungsprojekte\Eng\EngData\PROJECT_Bioplastics\Renjie_Pan\05-Raw_Data\Lab_results\[LabSamples2025_Bioplastic_extra.xlsx]extra_Bioplastic'!D344)," ",'Q:\Abteilungsprojekte\Eng\EngData\PROJECT_Bioplastics\Renjie_Pan\05-Raw_Data\Lab_results\[LabSamples2025_Bioplastic_extra.xlsx]extra_Bioplastic'!D344)</f>
        <v/>
      </c>
      <c r="E344">
        <f>IF(ISBLANK('Q:\Abteilungsprojekte\Eng\EngData\PROJECT_Bioplastics\Renjie_Pan\05-Raw_Data\Lab_results\[LabSamples2025_Bioplastic_extra.xlsx]extra_Bioplastic'!E344)," ",'Q:\Abteilungsprojekte\Eng\EngData\PROJECT_Bioplastics\Renjie_Pan\05-Raw_Data\Lab_results\[LabSamples2025_Bioplastic_extra.xlsx]extra_Bioplastic'!E344)</f>
        <v/>
      </c>
      <c r="F344">
        <f>IF(ISBLANK('Q:\Abteilungsprojekte\Eng\EngData\PROJECT_Bioplastics\Renjie_Pan\05-Raw_Data\Lab_results\[LabSamples2025_Bioplastic_extra.xlsx]extra_Bioplastic'!F344)," ",'Q:\Abteilungsprojekte\Eng\EngData\PROJECT_Bioplastics\Renjie_Pan\05-Raw_Data\Lab_results\[LabSamples2025_Bioplastic_extra.xlsx]extra_Bioplastic'!F344)</f>
        <v/>
      </c>
      <c r="G344">
        <f>IF(ISBLANK('Q:\Abteilungsprojekte\Eng\EngData\PROJECT_Bioplastics\Renjie_Pan\05-Raw_Data\Lab_results\[LabSamples2025_Bioplastic_extra.xlsx]extra_Bioplastic'!G344)," ",'Q:\Abteilungsprojekte\Eng\EngData\PROJECT_Bioplastics\Renjie_Pan\05-Raw_Data\Lab_results\[LabSamples2025_Bioplastic_extra.xlsx]extra_Bioplastic'!G344)</f>
        <v/>
      </c>
      <c r="H344">
        <f>IF(ISBLANK('Q:\Abteilungsprojekte\Eng\EngData\PROJECT_Bioplastics\Renjie_Pan\05-Raw_Data\Lab_results\[LabSamples2025_Bioplastic_extra.xlsx]extra_Bioplastic'!H344)," ",'Q:\Abteilungsprojekte\Eng\EngData\PROJECT_Bioplastics\Renjie_Pan\05-Raw_Data\Lab_results\[LabSamples2025_Bioplastic_extra.xlsx]extra_Bioplastic'!H344)</f>
        <v/>
      </c>
    </row>
    <row r="345">
      <c r="A345">
        <f>IF(ISBLANK('Q:\Abteilungsprojekte\Eng\EngData\PROJECT_Bioplastics\Renjie_Pan\05-Raw_Data\Lab_results\[LabSamples2025_Bioplastic_extra.xlsx]extra_Bioplastic'!A345)," ",'Q:\Abteilungsprojekte\Eng\EngData\PROJECT_Bioplastics\Renjie_Pan\05-Raw_Data\Lab_results\[LabSamples2025_Bioplastic_extra.xlsx]extra_Bioplastic'!A345)</f>
        <v/>
      </c>
      <c r="B345">
        <f>IF(ISBLANK('Q:\Abteilungsprojekte\Eng\EngData\PROJECT_Bioplastics\Renjie_Pan\05-Raw_Data\Lab_results\[LabSamples2025_Bioplastic_extra.xlsx]extra_Bioplastic'!B345)," ",'Q:\Abteilungsprojekte\Eng\EngData\PROJECT_Bioplastics\Renjie_Pan\05-Raw_Data\Lab_results\[LabSamples2025_Bioplastic_extra.xlsx]extra_Bioplastic'!B345)</f>
        <v/>
      </c>
      <c r="C345">
        <f>IF(ISBLANK('Q:\Abteilungsprojekte\Eng\EngData\PROJECT_Bioplastics\Renjie_Pan\05-Raw_Data\Lab_results\[LabSamples2025_Bioplastic_extra.xlsx]extra_Bioplastic'!C345)," ",'Q:\Abteilungsprojekte\Eng\EngData\PROJECT_Bioplastics\Renjie_Pan\05-Raw_Data\Lab_results\[LabSamples2025_Bioplastic_extra.xlsx]extra_Bioplastic'!C345)</f>
        <v/>
      </c>
      <c r="D345">
        <f>IF(ISBLANK('Q:\Abteilungsprojekte\Eng\EngData\PROJECT_Bioplastics\Renjie_Pan\05-Raw_Data\Lab_results\[LabSamples2025_Bioplastic_extra.xlsx]extra_Bioplastic'!D345)," ",'Q:\Abteilungsprojekte\Eng\EngData\PROJECT_Bioplastics\Renjie_Pan\05-Raw_Data\Lab_results\[LabSamples2025_Bioplastic_extra.xlsx]extra_Bioplastic'!D345)</f>
        <v/>
      </c>
      <c r="E345">
        <f>IF(ISBLANK('Q:\Abteilungsprojekte\Eng\EngData\PROJECT_Bioplastics\Renjie_Pan\05-Raw_Data\Lab_results\[LabSamples2025_Bioplastic_extra.xlsx]extra_Bioplastic'!E345)," ",'Q:\Abteilungsprojekte\Eng\EngData\PROJECT_Bioplastics\Renjie_Pan\05-Raw_Data\Lab_results\[LabSamples2025_Bioplastic_extra.xlsx]extra_Bioplastic'!E345)</f>
        <v/>
      </c>
      <c r="F345">
        <f>IF(ISBLANK('Q:\Abteilungsprojekte\Eng\EngData\PROJECT_Bioplastics\Renjie_Pan\05-Raw_Data\Lab_results\[LabSamples2025_Bioplastic_extra.xlsx]extra_Bioplastic'!F345)," ",'Q:\Abteilungsprojekte\Eng\EngData\PROJECT_Bioplastics\Renjie_Pan\05-Raw_Data\Lab_results\[LabSamples2025_Bioplastic_extra.xlsx]extra_Bioplastic'!F345)</f>
        <v/>
      </c>
      <c r="G345">
        <f>IF(ISBLANK('Q:\Abteilungsprojekte\Eng\EngData\PROJECT_Bioplastics\Renjie_Pan\05-Raw_Data\Lab_results\[LabSamples2025_Bioplastic_extra.xlsx]extra_Bioplastic'!G345)," ",'Q:\Abteilungsprojekte\Eng\EngData\PROJECT_Bioplastics\Renjie_Pan\05-Raw_Data\Lab_results\[LabSamples2025_Bioplastic_extra.xlsx]extra_Bioplastic'!G345)</f>
        <v/>
      </c>
      <c r="H345">
        <f>IF(ISBLANK('Q:\Abteilungsprojekte\Eng\EngData\PROJECT_Bioplastics\Renjie_Pan\05-Raw_Data\Lab_results\[LabSamples2025_Bioplastic_extra.xlsx]extra_Bioplastic'!H345)," ",'Q:\Abteilungsprojekte\Eng\EngData\PROJECT_Bioplastics\Renjie_Pan\05-Raw_Data\Lab_results\[LabSamples2025_Bioplastic_extra.xlsx]extra_Bioplastic'!H345)</f>
        <v/>
      </c>
    </row>
    <row r="346">
      <c r="A346">
        <f>IF(ISBLANK('Q:\Abteilungsprojekte\Eng\EngData\PROJECT_Bioplastics\Renjie_Pan\05-Raw_Data\Lab_results\[LabSamples2025_Bioplastic_extra.xlsx]extra_Bioplastic'!A346)," ",'Q:\Abteilungsprojekte\Eng\EngData\PROJECT_Bioplastics\Renjie_Pan\05-Raw_Data\Lab_results\[LabSamples2025_Bioplastic_extra.xlsx]extra_Bioplastic'!A346)</f>
        <v/>
      </c>
      <c r="B346">
        <f>IF(ISBLANK('Q:\Abteilungsprojekte\Eng\EngData\PROJECT_Bioplastics\Renjie_Pan\05-Raw_Data\Lab_results\[LabSamples2025_Bioplastic_extra.xlsx]extra_Bioplastic'!B346)," ",'Q:\Abteilungsprojekte\Eng\EngData\PROJECT_Bioplastics\Renjie_Pan\05-Raw_Data\Lab_results\[LabSamples2025_Bioplastic_extra.xlsx]extra_Bioplastic'!B346)</f>
        <v/>
      </c>
      <c r="C346">
        <f>IF(ISBLANK('Q:\Abteilungsprojekte\Eng\EngData\PROJECT_Bioplastics\Renjie_Pan\05-Raw_Data\Lab_results\[LabSamples2025_Bioplastic_extra.xlsx]extra_Bioplastic'!C346)," ",'Q:\Abteilungsprojekte\Eng\EngData\PROJECT_Bioplastics\Renjie_Pan\05-Raw_Data\Lab_results\[LabSamples2025_Bioplastic_extra.xlsx]extra_Bioplastic'!C346)</f>
        <v/>
      </c>
      <c r="D346">
        <f>IF(ISBLANK('Q:\Abteilungsprojekte\Eng\EngData\PROJECT_Bioplastics\Renjie_Pan\05-Raw_Data\Lab_results\[LabSamples2025_Bioplastic_extra.xlsx]extra_Bioplastic'!D346)," ",'Q:\Abteilungsprojekte\Eng\EngData\PROJECT_Bioplastics\Renjie_Pan\05-Raw_Data\Lab_results\[LabSamples2025_Bioplastic_extra.xlsx]extra_Bioplastic'!D346)</f>
        <v/>
      </c>
      <c r="E346">
        <f>IF(ISBLANK('Q:\Abteilungsprojekte\Eng\EngData\PROJECT_Bioplastics\Renjie_Pan\05-Raw_Data\Lab_results\[LabSamples2025_Bioplastic_extra.xlsx]extra_Bioplastic'!E346)," ",'Q:\Abteilungsprojekte\Eng\EngData\PROJECT_Bioplastics\Renjie_Pan\05-Raw_Data\Lab_results\[LabSamples2025_Bioplastic_extra.xlsx]extra_Bioplastic'!E346)</f>
        <v/>
      </c>
      <c r="F346">
        <f>IF(ISBLANK('Q:\Abteilungsprojekte\Eng\EngData\PROJECT_Bioplastics\Renjie_Pan\05-Raw_Data\Lab_results\[LabSamples2025_Bioplastic_extra.xlsx]extra_Bioplastic'!F346)," ",'Q:\Abteilungsprojekte\Eng\EngData\PROJECT_Bioplastics\Renjie_Pan\05-Raw_Data\Lab_results\[LabSamples2025_Bioplastic_extra.xlsx]extra_Bioplastic'!F346)</f>
        <v/>
      </c>
      <c r="G346">
        <f>IF(ISBLANK('Q:\Abteilungsprojekte\Eng\EngData\PROJECT_Bioplastics\Renjie_Pan\05-Raw_Data\Lab_results\[LabSamples2025_Bioplastic_extra.xlsx]extra_Bioplastic'!G346)," ",'Q:\Abteilungsprojekte\Eng\EngData\PROJECT_Bioplastics\Renjie_Pan\05-Raw_Data\Lab_results\[LabSamples2025_Bioplastic_extra.xlsx]extra_Bioplastic'!G346)</f>
        <v/>
      </c>
      <c r="H346">
        <f>IF(ISBLANK('Q:\Abteilungsprojekte\Eng\EngData\PROJECT_Bioplastics\Renjie_Pan\05-Raw_Data\Lab_results\[LabSamples2025_Bioplastic_extra.xlsx]extra_Bioplastic'!H346)," ",'Q:\Abteilungsprojekte\Eng\EngData\PROJECT_Bioplastics\Renjie_Pan\05-Raw_Data\Lab_results\[LabSamples2025_Bioplastic_extra.xlsx]extra_Bioplastic'!H346)</f>
        <v/>
      </c>
    </row>
    <row r="347">
      <c r="A347">
        <f>IF(ISBLANK('Q:\Abteilungsprojekte\Eng\EngData\PROJECT_Bioplastics\Renjie_Pan\05-Raw_Data\Lab_results\[LabSamples2025_Bioplastic_extra.xlsx]extra_Bioplastic'!A347)," ",'Q:\Abteilungsprojekte\Eng\EngData\PROJECT_Bioplastics\Renjie_Pan\05-Raw_Data\Lab_results\[LabSamples2025_Bioplastic_extra.xlsx]extra_Bioplastic'!A347)</f>
        <v/>
      </c>
      <c r="B347">
        <f>IF(ISBLANK('Q:\Abteilungsprojekte\Eng\EngData\PROJECT_Bioplastics\Renjie_Pan\05-Raw_Data\Lab_results\[LabSamples2025_Bioplastic_extra.xlsx]extra_Bioplastic'!B347)," ",'Q:\Abteilungsprojekte\Eng\EngData\PROJECT_Bioplastics\Renjie_Pan\05-Raw_Data\Lab_results\[LabSamples2025_Bioplastic_extra.xlsx]extra_Bioplastic'!B347)</f>
        <v/>
      </c>
      <c r="C347">
        <f>IF(ISBLANK('Q:\Abteilungsprojekte\Eng\EngData\PROJECT_Bioplastics\Renjie_Pan\05-Raw_Data\Lab_results\[LabSamples2025_Bioplastic_extra.xlsx]extra_Bioplastic'!C347)," ",'Q:\Abteilungsprojekte\Eng\EngData\PROJECT_Bioplastics\Renjie_Pan\05-Raw_Data\Lab_results\[LabSamples2025_Bioplastic_extra.xlsx]extra_Bioplastic'!C347)</f>
        <v/>
      </c>
      <c r="D347">
        <f>IF(ISBLANK('Q:\Abteilungsprojekte\Eng\EngData\PROJECT_Bioplastics\Renjie_Pan\05-Raw_Data\Lab_results\[LabSamples2025_Bioplastic_extra.xlsx]extra_Bioplastic'!D347)," ",'Q:\Abteilungsprojekte\Eng\EngData\PROJECT_Bioplastics\Renjie_Pan\05-Raw_Data\Lab_results\[LabSamples2025_Bioplastic_extra.xlsx]extra_Bioplastic'!D347)</f>
        <v/>
      </c>
      <c r="E347">
        <f>IF(ISBLANK('Q:\Abteilungsprojekte\Eng\EngData\PROJECT_Bioplastics\Renjie_Pan\05-Raw_Data\Lab_results\[LabSamples2025_Bioplastic_extra.xlsx]extra_Bioplastic'!E347)," ",'Q:\Abteilungsprojekte\Eng\EngData\PROJECT_Bioplastics\Renjie_Pan\05-Raw_Data\Lab_results\[LabSamples2025_Bioplastic_extra.xlsx]extra_Bioplastic'!E347)</f>
        <v/>
      </c>
      <c r="F347">
        <f>IF(ISBLANK('Q:\Abteilungsprojekte\Eng\EngData\PROJECT_Bioplastics\Renjie_Pan\05-Raw_Data\Lab_results\[LabSamples2025_Bioplastic_extra.xlsx]extra_Bioplastic'!F347)," ",'Q:\Abteilungsprojekte\Eng\EngData\PROJECT_Bioplastics\Renjie_Pan\05-Raw_Data\Lab_results\[LabSamples2025_Bioplastic_extra.xlsx]extra_Bioplastic'!F347)</f>
        <v/>
      </c>
      <c r="G347">
        <f>IF(ISBLANK('Q:\Abteilungsprojekte\Eng\EngData\PROJECT_Bioplastics\Renjie_Pan\05-Raw_Data\Lab_results\[LabSamples2025_Bioplastic_extra.xlsx]extra_Bioplastic'!G347)," ",'Q:\Abteilungsprojekte\Eng\EngData\PROJECT_Bioplastics\Renjie_Pan\05-Raw_Data\Lab_results\[LabSamples2025_Bioplastic_extra.xlsx]extra_Bioplastic'!G347)</f>
        <v/>
      </c>
      <c r="H347">
        <f>IF(ISBLANK('Q:\Abteilungsprojekte\Eng\EngData\PROJECT_Bioplastics\Renjie_Pan\05-Raw_Data\Lab_results\[LabSamples2025_Bioplastic_extra.xlsx]extra_Bioplastic'!H347)," ",'Q:\Abteilungsprojekte\Eng\EngData\PROJECT_Bioplastics\Renjie_Pan\05-Raw_Data\Lab_results\[LabSamples2025_Bioplastic_extra.xlsx]extra_Bioplastic'!H347)</f>
        <v/>
      </c>
    </row>
    <row r="348">
      <c r="A348">
        <f>IF(ISBLANK('Q:\Abteilungsprojekte\Eng\EngData\PROJECT_Bioplastics\Renjie_Pan\05-Raw_Data\Lab_results\[LabSamples2025_Bioplastic_extra.xlsx]extra_Bioplastic'!A348)," ",'Q:\Abteilungsprojekte\Eng\EngData\PROJECT_Bioplastics\Renjie_Pan\05-Raw_Data\Lab_results\[LabSamples2025_Bioplastic_extra.xlsx]extra_Bioplastic'!A348)</f>
        <v/>
      </c>
      <c r="B348">
        <f>IF(ISBLANK('Q:\Abteilungsprojekte\Eng\EngData\PROJECT_Bioplastics\Renjie_Pan\05-Raw_Data\Lab_results\[LabSamples2025_Bioplastic_extra.xlsx]extra_Bioplastic'!B348)," ",'Q:\Abteilungsprojekte\Eng\EngData\PROJECT_Bioplastics\Renjie_Pan\05-Raw_Data\Lab_results\[LabSamples2025_Bioplastic_extra.xlsx]extra_Bioplastic'!B348)</f>
        <v/>
      </c>
      <c r="C348">
        <f>IF(ISBLANK('Q:\Abteilungsprojekte\Eng\EngData\PROJECT_Bioplastics\Renjie_Pan\05-Raw_Data\Lab_results\[LabSamples2025_Bioplastic_extra.xlsx]extra_Bioplastic'!C348)," ",'Q:\Abteilungsprojekte\Eng\EngData\PROJECT_Bioplastics\Renjie_Pan\05-Raw_Data\Lab_results\[LabSamples2025_Bioplastic_extra.xlsx]extra_Bioplastic'!C348)</f>
        <v/>
      </c>
      <c r="D348">
        <f>IF(ISBLANK('Q:\Abteilungsprojekte\Eng\EngData\PROJECT_Bioplastics\Renjie_Pan\05-Raw_Data\Lab_results\[LabSamples2025_Bioplastic_extra.xlsx]extra_Bioplastic'!D348)," ",'Q:\Abteilungsprojekte\Eng\EngData\PROJECT_Bioplastics\Renjie_Pan\05-Raw_Data\Lab_results\[LabSamples2025_Bioplastic_extra.xlsx]extra_Bioplastic'!D348)</f>
        <v/>
      </c>
      <c r="E348">
        <f>IF(ISBLANK('Q:\Abteilungsprojekte\Eng\EngData\PROJECT_Bioplastics\Renjie_Pan\05-Raw_Data\Lab_results\[LabSamples2025_Bioplastic_extra.xlsx]extra_Bioplastic'!E348)," ",'Q:\Abteilungsprojekte\Eng\EngData\PROJECT_Bioplastics\Renjie_Pan\05-Raw_Data\Lab_results\[LabSamples2025_Bioplastic_extra.xlsx]extra_Bioplastic'!E348)</f>
        <v/>
      </c>
      <c r="F348">
        <f>IF(ISBLANK('Q:\Abteilungsprojekte\Eng\EngData\PROJECT_Bioplastics\Renjie_Pan\05-Raw_Data\Lab_results\[LabSamples2025_Bioplastic_extra.xlsx]extra_Bioplastic'!F348)," ",'Q:\Abteilungsprojekte\Eng\EngData\PROJECT_Bioplastics\Renjie_Pan\05-Raw_Data\Lab_results\[LabSamples2025_Bioplastic_extra.xlsx]extra_Bioplastic'!F348)</f>
        <v/>
      </c>
      <c r="G348">
        <f>IF(ISBLANK('Q:\Abteilungsprojekte\Eng\EngData\PROJECT_Bioplastics\Renjie_Pan\05-Raw_Data\Lab_results\[LabSamples2025_Bioplastic_extra.xlsx]extra_Bioplastic'!G348)," ",'Q:\Abteilungsprojekte\Eng\EngData\PROJECT_Bioplastics\Renjie_Pan\05-Raw_Data\Lab_results\[LabSamples2025_Bioplastic_extra.xlsx]extra_Bioplastic'!G348)</f>
        <v/>
      </c>
      <c r="H348">
        <f>IF(ISBLANK('Q:\Abteilungsprojekte\Eng\EngData\PROJECT_Bioplastics\Renjie_Pan\05-Raw_Data\Lab_results\[LabSamples2025_Bioplastic_extra.xlsx]extra_Bioplastic'!H348)," ",'Q:\Abteilungsprojekte\Eng\EngData\PROJECT_Bioplastics\Renjie_Pan\05-Raw_Data\Lab_results\[LabSamples2025_Bioplastic_extra.xlsx]extra_Bioplastic'!H348)</f>
        <v/>
      </c>
    </row>
    <row r="349">
      <c r="A349">
        <f>IF(ISBLANK('Q:\Abteilungsprojekte\Eng\EngData\PROJECT_Bioplastics\Renjie_Pan\05-Raw_Data\Lab_results\[LabSamples2025_Bioplastic_extra.xlsx]extra_Bioplastic'!A349)," ",'Q:\Abteilungsprojekte\Eng\EngData\PROJECT_Bioplastics\Renjie_Pan\05-Raw_Data\Lab_results\[LabSamples2025_Bioplastic_extra.xlsx]extra_Bioplastic'!A349)</f>
        <v/>
      </c>
      <c r="B349">
        <f>IF(ISBLANK('Q:\Abteilungsprojekte\Eng\EngData\PROJECT_Bioplastics\Renjie_Pan\05-Raw_Data\Lab_results\[LabSamples2025_Bioplastic_extra.xlsx]extra_Bioplastic'!B349)," ",'Q:\Abteilungsprojekte\Eng\EngData\PROJECT_Bioplastics\Renjie_Pan\05-Raw_Data\Lab_results\[LabSamples2025_Bioplastic_extra.xlsx]extra_Bioplastic'!B349)</f>
        <v/>
      </c>
      <c r="C349">
        <f>IF(ISBLANK('Q:\Abteilungsprojekte\Eng\EngData\PROJECT_Bioplastics\Renjie_Pan\05-Raw_Data\Lab_results\[LabSamples2025_Bioplastic_extra.xlsx]extra_Bioplastic'!C349)," ",'Q:\Abteilungsprojekte\Eng\EngData\PROJECT_Bioplastics\Renjie_Pan\05-Raw_Data\Lab_results\[LabSamples2025_Bioplastic_extra.xlsx]extra_Bioplastic'!C349)</f>
        <v/>
      </c>
      <c r="D349">
        <f>IF(ISBLANK('Q:\Abteilungsprojekte\Eng\EngData\PROJECT_Bioplastics\Renjie_Pan\05-Raw_Data\Lab_results\[LabSamples2025_Bioplastic_extra.xlsx]extra_Bioplastic'!D349)," ",'Q:\Abteilungsprojekte\Eng\EngData\PROJECT_Bioplastics\Renjie_Pan\05-Raw_Data\Lab_results\[LabSamples2025_Bioplastic_extra.xlsx]extra_Bioplastic'!D349)</f>
        <v/>
      </c>
      <c r="E349">
        <f>IF(ISBLANK('Q:\Abteilungsprojekte\Eng\EngData\PROJECT_Bioplastics\Renjie_Pan\05-Raw_Data\Lab_results\[LabSamples2025_Bioplastic_extra.xlsx]extra_Bioplastic'!E349)," ",'Q:\Abteilungsprojekte\Eng\EngData\PROJECT_Bioplastics\Renjie_Pan\05-Raw_Data\Lab_results\[LabSamples2025_Bioplastic_extra.xlsx]extra_Bioplastic'!E349)</f>
        <v/>
      </c>
      <c r="F349">
        <f>IF(ISBLANK('Q:\Abteilungsprojekte\Eng\EngData\PROJECT_Bioplastics\Renjie_Pan\05-Raw_Data\Lab_results\[LabSamples2025_Bioplastic_extra.xlsx]extra_Bioplastic'!F349)," ",'Q:\Abteilungsprojekte\Eng\EngData\PROJECT_Bioplastics\Renjie_Pan\05-Raw_Data\Lab_results\[LabSamples2025_Bioplastic_extra.xlsx]extra_Bioplastic'!F349)</f>
        <v/>
      </c>
      <c r="G349">
        <f>IF(ISBLANK('Q:\Abteilungsprojekte\Eng\EngData\PROJECT_Bioplastics\Renjie_Pan\05-Raw_Data\Lab_results\[LabSamples2025_Bioplastic_extra.xlsx]extra_Bioplastic'!G349)," ",'Q:\Abteilungsprojekte\Eng\EngData\PROJECT_Bioplastics\Renjie_Pan\05-Raw_Data\Lab_results\[LabSamples2025_Bioplastic_extra.xlsx]extra_Bioplastic'!G349)</f>
        <v/>
      </c>
      <c r="H349">
        <f>IF(ISBLANK('Q:\Abteilungsprojekte\Eng\EngData\PROJECT_Bioplastics\Renjie_Pan\05-Raw_Data\Lab_results\[LabSamples2025_Bioplastic_extra.xlsx]extra_Bioplastic'!H349)," ",'Q:\Abteilungsprojekte\Eng\EngData\PROJECT_Bioplastics\Renjie_Pan\05-Raw_Data\Lab_results\[LabSamples2025_Bioplastic_extra.xlsx]extra_Bioplastic'!H349)</f>
        <v/>
      </c>
    </row>
    <row r="350">
      <c r="A350">
        <f>IF(ISBLANK('Q:\Abteilungsprojekte\Eng\EngData\PROJECT_Bioplastics\Renjie_Pan\05-Raw_Data\Lab_results\[LabSamples2025_Bioplastic_extra.xlsx]extra_Bioplastic'!A350)," ",'Q:\Abteilungsprojekte\Eng\EngData\PROJECT_Bioplastics\Renjie_Pan\05-Raw_Data\Lab_results\[LabSamples2025_Bioplastic_extra.xlsx]extra_Bioplastic'!A350)</f>
        <v/>
      </c>
      <c r="B350">
        <f>IF(ISBLANK('Q:\Abteilungsprojekte\Eng\EngData\PROJECT_Bioplastics\Renjie_Pan\05-Raw_Data\Lab_results\[LabSamples2025_Bioplastic_extra.xlsx]extra_Bioplastic'!B350)," ",'Q:\Abteilungsprojekte\Eng\EngData\PROJECT_Bioplastics\Renjie_Pan\05-Raw_Data\Lab_results\[LabSamples2025_Bioplastic_extra.xlsx]extra_Bioplastic'!B350)</f>
        <v/>
      </c>
      <c r="C350">
        <f>IF(ISBLANK('Q:\Abteilungsprojekte\Eng\EngData\PROJECT_Bioplastics\Renjie_Pan\05-Raw_Data\Lab_results\[LabSamples2025_Bioplastic_extra.xlsx]extra_Bioplastic'!C350)," ",'Q:\Abteilungsprojekte\Eng\EngData\PROJECT_Bioplastics\Renjie_Pan\05-Raw_Data\Lab_results\[LabSamples2025_Bioplastic_extra.xlsx]extra_Bioplastic'!C350)</f>
        <v/>
      </c>
      <c r="D350">
        <f>IF(ISBLANK('Q:\Abteilungsprojekte\Eng\EngData\PROJECT_Bioplastics\Renjie_Pan\05-Raw_Data\Lab_results\[LabSamples2025_Bioplastic_extra.xlsx]extra_Bioplastic'!D350)," ",'Q:\Abteilungsprojekte\Eng\EngData\PROJECT_Bioplastics\Renjie_Pan\05-Raw_Data\Lab_results\[LabSamples2025_Bioplastic_extra.xlsx]extra_Bioplastic'!D350)</f>
        <v/>
      </c>
      <c r="E350">
        <f>IF(ISBLANK('Q:\Abteilungsprojekte\Eng\EngData\PROJECT_Bioplastics\Renjie_Pan\05-Raw_Data\Lab_results\[LabSamples2025_Bioplastic_extra.xlsx]extra_Bioplastic'!E350)," ",'Q:\Abteilungsprojekte\Eng\EngData\PROJECT_Bioplastics\Renjie_Pan\05-Raw_Data\Lab_results\[LabSamples2025_Bioplastic_extra.xlsx]extra_Bioplastic'!E350)</f>
        <v/>
      </c>
      <c r="F350">
        <f>IF(ISBLANK('Q:\Abteilungsprojekte\Eng\EngData\PROJECT_Bioplastics\Renjie_Pan\05-Raw_Data\Lab_results\[LabSamples2025_Bioplastic_extra.xlsx]extra_Bioplastic'!F350)," ",'Q:\Abteilungsprojekte\Eng\EngData\PROJECT_Bioplastics\Renjie_Pan\05-Raw_Data\Lab_results\[LabSamples2025_Bioplastic_extra.xlsx]extra_Bioplastic'!F350)</f>
        <v/>
      </c>
      <c r="G350">
        <f>IF(ISBLANK('Q:\Abteilungsprojekte\Eng\EngData\PROJECT_Bioplastics\Renjie_Pan\05-Raw_Data\Lab_results\[LabSamples2025_Bioplastic_extra.xlsx]extra_Bioplastic'!G350)," ",'Q:\Abteilungsprojekte\Eng\EngData\PROJECT_Bioplastics\Renjie_Pan\05-Raw_Data\Lab_results\[LabSamples2025_Bioplastic_extra.xlsx]extra_Bioplastic'!G350)</f>
        <v/>
      </c>
      <c r="H350">
        <f>IF(ISBLANK('Q:\Abteilungsprojekte\Eng\EngData\PROJECT_Bioplastics\Renjie_Pan\05-Raw_Data\Lab_results\[LabSamples2025_Bioplastic_extra.xlsx]extra_Bioplastic'!H350)," ",'Q:\Abteilungsprojekte\Eng\EngData\PROJECT_Bioplastics\Renjie_Pan\05-Raw_Data\Lab_results\[LabSamples2025_Bioplastic_extra.xlsx]extra_Bioplastic'!H350)</f>
        <v/>
      </c>
    </row>
    <row r="351">
      <c r="A351">
        <f>IF(ISBLANK('Q:\Abteilungsprojekte\Eng\EngData\PROJECT_Bioplastics\Renjie_Pan\05-Raw_Data\Lab_results\[LabSamples2025_Bioplastic_extra.xlsx]extra_Bioplastic'!A351)," ",'Q:\Abteilungsprojekte\Eng\EngData\PROJECT_Bioplastics\Renjie_Pan\05-Raw_Data\Lab_results\[LabSamples2025_Bioplastic_extra.xlsx]extra_Bioplastic'!A351)</f>
        <v/>
      </c>
      <c r="B351">
        <f>IF(ISBLANK('Q:\Abteilungsprojekte\Eng\EngData\PROJECT_Bioplastics\Renjie_Pan\05-Raw_Data\Lab_results\[LabSamples2025_Bioplastic_extra.xlsx]extra_Bioplastic'!B351)," ",'Q:\Abteilungsprojekte\Eng\EngData\PROJECT_Bioplastics\Renjie_Pan\05-Raw_Data\Lab_results\[LabSamples2025_Bioplastic_extra.xlsx]extra_Bioplastic'!B351)</f>
        <v/>
      </c>
      <c r="C351">
        <f>IF(ISBLANK('Q:\Abteilungsprojekte\Eng\EngData\PROJECT_Bioplastics\Renjie_Pan\05-Raw_Data\Lab_results\[LabSamples2025_Bioplastic_extra.xlsx]extra_Bioplastic'!C351)," ",'Q:\Abteilungsprojekte\Eng\EngData\PROJECT_Bioplastics\Renjie_Pan\05-Raw_Data\Lab_results\[LabSamples2025_Bioplastic_extra.xlsx]extra_Bioplastic'!C351)</f>
        <v/>
      </c>
      <c r="D351">
        <f>IF(ISBLANK('Q:\Abteilungsprojekte\Eng\EngData\PROJECT_Bioplastics\Renjie_Pan\05-Raw_Data\Lab_results\[LabSamples2025_Bioplastic_extra.xlsx]extra_Bioplastic'!D351)," ",'Q:\Abteilungsprojekte\Eng\EngData\PROJECT_Bioplastics\Renjie_Pan\05-Raw_Data\Lab_results\[LabSamples2025_Bioplastic_extra.xlsx]extra_Bioplastic'!D351)</f>
        <v/>
      </c>
      <c r="E351">
        <f>IF(ISBLANK('Q:\Abteilungsprojekte\Eng\EngData\PROJECT_Bioplastics\Renjie_Pan\05-Raw_Data\Lab_results\[LabSamples2025_Bioplastic_extra.xlsx]extra_Bioplastic'!E351)," ",'Q:\Abteilungsprojekte\Eng\EngData\PROJECT_Bioplastics\Renjie_Pan\05-Raw_Data\Lab_results\[LabSamples2025_Bioplastic_extra.xlsx]extra_Bioplastic'!E351)</f>
        <v/>
      </c>
      <c r="F351">
        <f>IF(ISBLANK('Q:\Abteilungsprojekte\Eng\EngData\PROJECT_Bioplastics\Renjie_Pan\05-Raw_Data\Lab_results\[LabSamples2025_Bioplastic_extra.xlsx]extra_Bioplastic'!F351)," ",'Q:\Abteilungsprojekte\Eng\EngData\PROJECT_Bioplastics\Renjie_Pan\05-Raw_Data\Lab_results\[LabSamples2025_Bioplastic_extra.xlsx]extra_Bioplastic'!F351)</f>
        <v/>
      </c>
      <c r="G351">
        <f>IF(ISBLANK('Q:\Abteilungsprojekte\Eng\EngData\PROJECT_Bioplastics\Renjie_Pan\05-Raw_Data\Lab_results\[LabSamples2025_Bioplastic_extra.xlsx]extra_Bioplastic'!G351)," ",'Q:\Abteilungsprojekte\Eng\EngData\PROJECT_Bioplastics\Renjie_Pan\05-Raw_Data\Lab_results\[LabSamples2025_Bioplastic_extra.xlsx]extra_Bioplastic'!G351)</f>
        <v/>
      </c>
      <c r="H351">
        <f>IF(ISBLANK('Q:\Abteilungsprojekte\Eng\EngData\PROJECT_Bioplastics\Renjie_Pan\05-Raw_Data\Lab_results\[LabSamples2025_Bioplastic_extra.xlsx]extra_Bioplastic'!H351)," ",'Q:\Abteilungsprojekte\Eng\EngData\PROJECT_Bioplastics\Renjie_Pan\05-Raw_Data\Lab_results\[LabSamples2025_Bioplastic_extra.xlsx]extra_Bioplastic'!H351)</f>
        <v/>
      </c>
    </row>
    <row r="352">
      <c r="A352">
        <f>IF(ISBLANK('Q:\Abteilungsprojekte\Eng\EngData\PROJECT_Bioplastics\Renjie_Pan\05-Raw_Data\Lab_results\[LabSamples2025_Bioplastic_extra.xlsx]extra_Bioplastic'!A352)," ",'Q:\Abteilungsprojekte\Eng\EngData\PROJECT_Bioplastics\Renjie_Pan\05-Raw_Data\Lab_results\[LabSamples2025_Bioplastic_extra.xlsx]extra_Bioplastic'!A352)</f>
        <v/>
      </c>
      <c r="B352">
        <f>IF(ISBLANK('Q:\Abteilungsprojekte\Eng\EngData\PROJECT_Bioplastics\Renjie_Pan\05-Raw_Data\Lab_results\[LabSamples2025_Bioplastic_extra.xlsx]extra_Bioplastic'!B352)," ",'Q:\Abteilungsprojekte\Eng\EngData\PROJECT_Bioplastics\Renjie_Pan\05-Raw_Data\Lab_results\[LabSamples2025_Bioplastic_extra.xlsx]extra_Bioplastic'!B352)</f>
        <v/>
      </c>
      <c r="C352">
        <f>IF(ISBLANK('Q:\Abteilungsprojekte\Eng\EngData\PROJECT_Bioplastics\Renjie_Pan\05-Raw_Data\Lab_results\[LabSamples2025_Bioplastic_extra.xlsx]extra_Bioplastic'!C352)," ",'Q:\Abteilungsprojekte\Eng\EngData\PROJECT_Bioplastics\Renjie_Pan\05-Raw_Data\Lab_results\[LabSamples2025_Bioplastic_extra.xlsx]extra_Bioplastic'!C352)</f>
        <v/>
      </c>
      <c r="D352">
        <f>IF(ISBLANK('Q:\Abteilungsprojekte\Eng\EngData\PROJECT_Bioplastics\Renjie_Pan\05-Raw_Data\Lab_results\[LabSamples2025_Bioplastic_extra.xlsx]extra_Bioplastic'!D352)," ",'Q:\Abteilungsprojekte\Eng\EngData\PROJECT_Bioplastics\Renjie_Pan\05-Raw_Data\Lab_results\[LabSamples2025_Bioplastic_extra.xlsx]extra_Bioplastic'!D352)</f>
        <v/>
      </c>
      <c r="E352">
        <f>IF(ISBLANK('Q:\Abteilungsprojekte\Eng\EngData\PROJECT_Bioplastics\Renjie_Pan\05-Raw_Data\Lab_results\[LabSamples2025_Bioplastic_extra.xlsx]extra_Bioplastic'!E352)," ",'Q:\Abteilungsprojekte\Eng\EngData\PROJECT_Bioplastics\Renjie_Pan\05-Raw_Data\Lab_results\[LabSamples2025_Bioplastic_extra.xlsx]extra_Bioplastic'!E352)</f>
        <v/>
      </c>
      <c r="F352">
        <f>IF(ISBLANK('Q:\Abteilungsprojekte\Eng\EngData\PROJECT_Bioplastics\Renjie_Pan\05-Raw_Data\Lab_results\[LabSamples2025_Bioplastic_extra.xlsx]extra_Bioplastic'!F352)," ",'Q:\Abteilungsprojekte\Eng\EngData\PROJECT_Bioplastics\Renjie_Pan\05-Raw_Data\Lab_results\[LabSamples2025_Bioplastic_extra.xlsx]extra_Bioplastic'!F352)</f>
        <v/>
      </c>
      <c r="G352">
        <f>IF(ISBLANK('Q:\Abteilungsprojekte\Eng\EngData\PROJECT_Bioplastics\Renjie_Pan\05-Raw_Data\Lab_results\[LabSamples2025_Bioplastic_extra.xlsx]extra_Bioplastic'!G352)," ",'Q:\Abteilungsprojekte\Eng\EngData\PROJECT_Bioplastics\Renjie_Pan\05-Raw_Data\Lab_results\[LabSamples2025_Bioplastic_extra.xlsx]extra_Bioplastic'!G352)</f>
        <v/>
      </c>
      <c r="H352">
        <f>IF(ISBLANK('Q:\Abteilungsprojekte\Eng\EngData\PROJECT_Bioplastics\Renjie_Pan\05-Raw_Data\Lab_results\[LabSamples2025_Bioplastic_extra.xlsx]extra_Bioplastic'!H352)," ",'Q:\Abteilungsprojekte\Eng\EngData\PROJECT_Bioplastics\Renjie_Pan\05-Raw_Data\Lab_results\[LabSamples2025_Bioplastic_extra.xlsx]extra_Bioplastic'!H352)</f>
        <v/>
      </c>
    </row>
    <row r="353">
      <c r="A353">
        <f>IF(ISBLANK('Q:\Abteilungsprojekte\Eng\EngData\PROJECT_Bioplastics\Renjie_Pan\05-Raw_Data\Lab_results\[LabSamples2025_Bioplastic_extra.xlsx]extra_Bioplastic'!A353)," ",'Q:\Abteilungsprojekte\Eng\EngData\PROJECT_Bioplastics\Renjie_Pan\05-Raw_Data\Lab_results\[LabSamples2025_Bioplastic_extra.xlsx]extra_Bioplastic'!A353)</f>
        <v/>
      </c>
      <c r="B353">
        <f>IF(ISBLANK('Q:\Abteilungsprojekte\Eng\EngData\PROJECT_Bioplastics\Renjie_Pan\05-Raw_Data\Lab_results\[LabSamples2025_Bioplastic_extra.xlsx]extra_Bioplastic'!B353)," ",'Q:\Abteilungsprojekte\Eng\EngData\PROJECT_Bioplastics\Renjie_Pan\05-Raw_Data\Lab_results\[LabSamples2025_Bioplastic_extra.xlsx]extra_Bioplastic'!B353)</f>
        <v/>
      </c>
      <c r="C353">
        <f>IF(ISBLANK('Q:\Abteilungsprojekte\Eng\EngData\PROJECT_Bioplastics\Renjie_Pan\05-Raw_Data\Lab_results\[LabSamples2025_Bioplastic_extra.xlsx]extra_Bioplastic'!C353)," ",'Q:\Abteilungsprojekte\Eng\EngData\PROJECT_Bioplastics\Renjie_Pan\05-Raw_Data\Lab_results\[LabSamples2025_Bioplastic_extra.xlsx]extra_Bioplastic'!C353)</f>
        <v/>
      </c>
      <c r="D353">
        <f>IF(ISBLANK('Q:\Abteilungsprojekte\Eng\EngData\PROJECT_Bioplastics\Renjie_Pan\05-Raw_Data\Lab_results\[LabSamples2025_Bioplastic_extra.xlsx]extra_Bioplastic'!D353)," ",'Q:\Abteilungsprojekte\Eng\EngData\PROJECT_Bioplastics\Renjie_Pan\05-Raw_Data\Lab_results\[LabSamples2025_Bioplastic_extra.xlsx]extra_Bioplastic'!D353)</f>
        <v/>
      </c>
      <c r="E353">
        <f>IF(ISBLANK('Q:\Abteilungsprojekte\Eng\EngData\PROJECT_Bioplastics\Renjie_Pan\05-Raw_Data\Lab_results\[LabSamples2025_Bioplastic_extra.xlsx]extra_Bioplastic'!E353)," ",'Q:\Abteilungsprojekte\Eng\EngData\PROJECT_Bioplastics\Renjie_Pan\05-Raw_Data\Lab_results\[LabSamples2025_Bioplastic_extra.xlsx]extra_Bioplastic'!E353)</f>
        <v/>
      </c>
      <c r="F353">
        <f>IF(ISBLANK('Q:\Abteilungsprojekte\Eng\EngData\PROJECT_Bioplastics\Renjie_Pan\05-Raw_Data\Lab_results\[LabSamples2025_Bioplastic_extra.xlsx]extra_Bioplastic'!F353)," ",'Q:\Abteilungsprojekte\Eng\EngData\PROJECT_Bioplastics\Renjie_Pan\05-Raw_Data\Lab_results\[LabSamples2025_Bioplastic_extra.xlsx]extra_Bioplastic'!F353)</f>
        <v/>
      </c>
      <c r="G353">
        <f>IF(ISBLANK('Q:\Abteilungsprojekte\Eng\EngData\PROJECT_Bioplastics\Renjie_Pan\05-Raw_Data\Lab_results\[LabSamples2025_Bioplastic_extra.xlsx]extra_Bioplastic'!G353)," ",'Q:\Abteilungsprojekte\Eng\EngData\PROJECT_Bioplastics\Renjie_Pan\05-Raw_Data\Lab_results\[LabSamples2025_Bioplastic_extra.xlsx]extra_Bioplastic'!G353)</f>
        <v/>
      </c>
      <c r="H353">
        <f>IF(ISBLANK('Q:\Abteilungsprojekte\Eng\EngData\PROJECT_Bioplastics\Renjie_Pan\05-Raw_Data\Lab_results\[LabSamples2025_Bioplastic_extra.xlsx]extra_Bioplastic'!H353)," ",'Q:\Abteilungsprojekte\Eng\EngData\PROJECT_Bioplastics\Renjie_Pan\05-Raw_Data\Lab_results\[LabSamples2025_Bioplastic_extra.xlsx]extra_Bioplastic'!H353)</f>
        <v/>
      </c>
    </row>
    <row r="354">
      <c r="A354">
        <f>IF(ISBLANK('Q:\Abteilungsprojekte\Eng\EngData\PROJECT_Bioplastics\Renjie_Pan\05-Raw_Data\Lab_results\[LabSamples2025_Bioplastic_extra.xlsx]extra_Bioplastic'!A354)," ",'Q:\Abteilungsprojekte\Eng\EngData\PROJECT_Bioplastics\Renjie_Pan\05-Raw_Data\Lab_results\[LabSamples2025_Bioplastic_extra.xlsx]extra_Bioplastic'!A354)</f>
        <v/>
      </c>
      <c r="B354">
        <f>IF(ISBLANK('Q:\Abteilungsprojekte\Eng\EngData\PROJECT_Bioplastics\Renjie_Pan\05-Raw_Data\Lab_results\[LabSamples2025_Bioplastic_extra.xlsx]extra_Bioplastic'!B354)," ",'Q:\Abteilungsprojekte\Eng\EngData\PROJECT_Bioplastics\Renjie_Pan\05-Raw_Data\Lab_results\[LabSamples2025_Bioplastic_extra.xlsx]extra_Bioplastic'!B354)</f>
        <v/>
      </c>
      <c r="C354">
        <f>IF(ISBLANK('Q:\Abteilungsprojekte\Eng\EngData\PROJECT_Bioplastics\Renjie_Pan\05-Raw_Data\Lab_results\[LabSamples2025_Bioplastic_extra.xlsx]extra_Bioplastic'!C354)," ",'Q:\Abteilungsprojekte\Eng\EngData\PROJECT_Bioplastics\Renjie_Pan\05-Raw_Data\Lab_results\[LabSamples2025_Bioplastic_extra.xlsx]extra_Bioplastic'!C354)</f>
        <v/>
      </c>
      <c r="D354">
        <f>IF(ISBLANK('Q:\Abteilungsprojekte\Eng\EngData\PROJECT_Bioplastics\Renjie_Pan\05-Raw_Data\Lab_results\[LabSamples2025_Bioplastic_extra.xlsx]extra_Bioplastic'!D354)," ",'Q:\Abteilungsprojekte\Eng\EngData\PROJECT_Bioplastics\Renjie_Pan\05-Raw_Data\Lab_results\[LabSamples2025_Bioplastic_extra.xlsx]extra_Bioplastic'!D354)</f>
        <v/>
      </c>
      <c r="E354">
        <f>IF(ISBLANK('Q:\Abteilungsprojekte\Eng\EngData\PROJECT_Bioplastics\Renjie_Pan\05-Raw_Data\Lab_results\[LabSamples2025_Bioplastic_extra.xlsx]extra_Bioplastic'!E354)," ",'Q:\Abteilungsprojekte\Eng\EngData\PROJECT_Bioplastics\Renjie_Pan\05-Raw_Data\Lab_results\[LabSamples2025_Bioplastic_extra.xlsx]extra_Bioplastic'!E354)</f>
        <v/>
      </c>
      <c r="F354">
        <f>IF(ISBLANK('Q:\Abteilungsprojekte\Eng\EngData\PROJECT_Bioplastics\Renjie_Pan\05-Raw_Data\Lab_results\[LabSamples2025_Bioplastic_extra.xlsx]extra_Bioplastic'!F354)," ",'Q:\Abteilungsprojekte\Eng\EngData\PROJECT_Bioplastics\Renjie_Pan\05-Raw_Data\Lab_results\[LabSamples2025_Bioplastic_extra.xlsx]extra_Bioplastic'!F354)</f>
        <v/>
      </c>
      <c r="G354">
        <f>IF(ISBLANK('Q:\Abteilungsprojekte\Eng\EngData\PROJECT_Bioplastics\Renjie_Pan\05-Raw_Data\Lab_results\[LabSamples2025_Bioplastic_extra.xlsx]extra_Bioplastic'!G354)," ",'Q:\Abteilungsprojekte\Eng\EngData\PROJECT_Bioplastics\Renjie_Pan\05-Raw_Data\Lab_results\[LabSamples2025_Bioplastic_extra.xlsx]extra_Bioplastic'!G354)</f>
        <v/>
      </c>
      <c r="H354">
        <f>IF(ISBLANK('Q:\Abteilungsprojekte\Eng\EngData\PROJECT_Bioplastics\Renjie_Pan\05-Raw_Data\Lab_results\[LabSamples2025_Bioplastic_extra.xlsx]extra_Bioplastic'!H354)," ",'Q:\Abteilungsprojekte\Eng\EngData\PROJECT_Bioplastics\Renjie_Pan\05-Raw_Data\Lab_results\[LabSamples2025_Bioplastic_extra.xlsx]extra_Bioplastic'!H354)</f>
        <v/>
      </c>
    </row>
    <row r="355">
      <c r="A355">
        <f>IF(ISBLANK('Q:\Abteilungsprojekte\Eng\EngData\PROJECT_Bioplastics\Renjie_Pan\05-Raw_Data\Lab_results\[LabSamples2025_Bioplastic_extra.xlsx]extra_Bioplastic'!A355)," ",'Q:\Abteilungsprojekte\Eng\EngData\PROJECT_Bioplastics\Renjie_Pan\05-Raw_Data\Lab_results\[LabSamples2025_Bioplastic_extra.xlsx]extra_Bioplastic'!A355)</f>
        <v/>
      </c>
      <c r="B355">
        <f>IF(ISBLANK('Q:\Abteilungsprojekte\Eng\EngData\PROJECT_Bioplastics\Renjie_Pan\05-Raw_Data\Lab_results\[LabSamples2025_Bioplastic_extra.xlsx]extra_Bioplastic'!B355)," ",'Q:\Abteilungsprojekte\Eng\EngData\PROJECT_Bioplastics\Renjie_Pan\05-Raw_Data\Lab_results\[LabSamples2025_Bioplastic_extra.xlsx]extra_Bioplastic'!B355)</f>
        <v/>
      </c>
      <c r="C355">
        <f>IF(ISBLANK('Q:\Abteilungsprojekte\Eng\EngData\PROJECT_Bioplastics\Renjie_Pan\05-Raw_Data\Lab_results\[LabSamples2025_Bioplastic_extra.xlsx]extra_Bioplastic'!C355)," ",'Q:\Abteilungsprojekte\Eng\EngData\PROJECT_Bioplastics\Renjie_Pan\05-Raw_Data\Lab_results\[LabSamples2025_Bioplastic_extra.xlsx]extra_Bioplastic'!C355)</f>
        <v/>
      </c>
      <c r="D355">
        <f>IF(ISBLANK('Q:\Abteilungsprojekte\Eng\EngData\PROJECT_Bioplastics\Renjie_Pan\05-Raw_Data\Lab_results\[LabSamples2025_Bioplastic_extra.xlsx]extra_Bioplastic'!D355)," ",'Q:\Abteilungsprojekte\Eng\EngData\PROJECT_Bioplastics\Renjie_Pan\05-Raw_Data\Lab_results\[LabSamples2025_Bioplastic_extra.xlsx]extra_Bioplastic'!D355)</f>
        <v/>
      </c>
      <c r="E355">
        <f>IF(ISBLANK('Q:\Abteilungsprojekte\Eng\EngData\PROJECT_Bioplastics\Renjie_Pan\05-Raw_Data\Lab_results\[LabSamples2025_Bioplastic_extra.xlsx]extra_Bioplastic'!E355)," ",'Q:\Abteilungsprojekte\Eng\EngData\PROJECT_Bioplastics\Renjie_Pan\05-Raw_Data\Lab_results\[LabSamples2025_Bioplastic_extra.xlsx]extra_Bioplastic'!E355)</f>
        <v/>
      </c>
      <c r="F355">
        <f>IF(ISBLANK('Q:\Abteilungsprojekte\Eng\EngData\PROJECT_Bioplastics\Renjie_Pan\05-Raw_Data\Lab_results\[LabSamples2025_Bioplastic_extra.xlsx]extra_Bioplastic'!F355)," ",'Q:\Abteilungsprojekte\Eng\EngData\PROJECT_Bioplastics\Renjie_Pan\05-Raw_Data\Lab_results\[LabSamples2025_Bioplastic_extra.xlsx]extra_Bioplastic'!F355)</f>
        <v/>
      </c>
      <c r="G355">
        <f>IF(ISBLANK('Q:\Abteilungsprojekte\Eng\EngData\PROJECT_Bioplastics\Renjie_Pan\05-Raw_Data\Lab_results\[LabSamples2025_Bioplastic_extra.xlsx]extra_Bioplastic'!G355)," ",'Q:\Abteilungsprojekte\Eng\EngData\PROJECT_Bioplastics\Renjie_Pan\05-Raw_Data\Lab_results\[LabSamples2025_Bioplastic_extra.xlsx]extra_Bioplastic'!G355)</f>
        <v/>
      </c>
      <c r="H355">
        <f>IF(ISBLANK('Q:\Abteilungsprojekte\Eng\EngData\PROJECT_Bioplastics\Renjie_Pan\05-Raw_Data\Lab_results\[LabSamples2025_Bioplastic_extra.xlsx]extra_Bioplastic'!H355)," ",'Q:\Abteilungsprojekte\Eng\EngData\PROJECT_Bioplastics\Renjie_Pan\05-Raw_Data\Lab_results\[LabSamples2025_Bioplastic_extra.xlsx]extra_Bioplastic'!H355)</f>
        <v/>
      </c>
    </row>
    <row r="356">
      <c r="A356">
        <f>IF(ISBLANK('Q:\Abteilungsprojekte\Eng\EngData\PROJECT_Bioplastics\Renjie_Pan\05-Raw_Data\Lab_results\[LabSamples2025_Bioplastic_extra.xlsx]extra_Bioplastic'!A356)," ",'Q:\Abteilungsprojekte\Eng\EngData\PROJECT_Bioplastics\Renjie_Pan\05-Raw_Data\Lab_results\[LabSamples2025_Bioplastic_extra.xlsx]extra_Bioplastic'!A356)</f>
        <v/>
      </c>
      <c r="B356">
        <f>IF(ISBLANK('Q:\Abteilungsprojekte\Eng\EngData\PROJECT_Bioplastics\Renjie_Pan\05-Raw_Data\Lab_results\[LabSamples2025_Bioplastic_extra.xlsx]extra_Bioplastic'!B356)," ",'Q:\Abteilungsprojekte\Eng\EngData\PROJECT_Bioplastics\Renjie_Pan\05-Raw_Data\Lab_results\[LabSamples2025_Bioplastic_extra.xlsx]extra_Bioplastic'!B356)</f>
        <v/>
      </c>
      <c r="C356">
        <f>IF(ISBLANK('Q:\Abteilungsprojekte\Eng\EngData\PROJECT_Bioplastics\Renjie_Pan\05-Raw_Data\Lab_results\[LabSamples2025_Bioplastic_extra.xlsx]extra_Bioplastic'!C356)," ",'Q:\Abteilungsprojekte\Eng\EngData\PROJECT_Bioplastics\Renjie_Pan\05-Raw_Data\Lab_results\[LabSamples2025_Bioplastic_extra.xlsx]extra_Bioplastic'!C356)</f>
        <v/>
      </c>
      <c r="D356">
        <f>IF(ISBLANK('Q:\Abteilungsprojekte\Eng\EngData\PROJECT_Bioplastics\Renjie_Pan\05-Raw_Data\Lab_results\[LabSamples2025_Bioplastic_extra.xlsx]extra_Bioplastic'!D356)," ",'Q:\Abteilungsprojekte\Eng\EngData\PROJECT_Bioplastics\Renjie_Pan\05-Raw_Data\Lab_results\[LabSamples2025_Bioplastic_extra.xlsx]extra_Bioplastic'!D356)</f>
        <v/>
      </c>
      <c r="E356">
        <f>IF(ISBLANK('Q:\Abteilungsprojekte\Eng\EngData\PROJECT_Bioplastics\Renjie_Pan\05-Raw_Data\Lab_results\[LabSamples2025_Bioplastic_extra.xlsx]extra_Bioplastic'!E356)," ",'Q:\Abteilungsprojekte\Eng\EngData\PROJECT_Bioplastics\Renjie_Pan\05-Raw_Data\Lab_results\[LabSamples2025_Bioplastic_extra.xlsx]extra_Bioplastic'!E356)</f>
        <v/>
      </c>
      <c r="F356">
        <f>IF(ISBLANK('Q:\Abteilungsprojekte\Eng\EngData\PROJECT_Bioplastics\Renjie_Pan\05-Raw_Data\Lab_results\[LabSamples2025_Bioplastic_extra.xlsx]extra_Bioplastic'!F356)," ",'Q:\Abteilungsprojekte\Eng\EngData\PROJECT_Bioplastics\Renjie_Pan\05-Raw_Data\Lab_results\[LabSamples2025_Bioplastic_extra.xlsx]extra_Bioplastic'!F356)</f>
        <v/>
      </c>
      <c r="G356">
        <f>IF(ISBLANK('Q:\Abteilungsprojekte\Eng\EngData\PROJECT_Bioplastics\Renjie_Pan\05-Raw_Data\Lab_results\[LabSamples2025_Bioplastic_extra.xlsx]extra_Bioplastic'!G356)," ",'Q:\Abteilungsprojekte\Eng\EngData\PROJECT_Bioplastics\Renjie_Pan\05-Raw_Data\Lab_results\[LabSamples2025_Bioplastic_extra.xlsx]extra_Bioplastic'!G356)</f>
        <v/>
      </c>
      <c r="H356">
        <f>IF(ISBLANK('Q:\Abteilungsprojekte\Eng\EngData\PROJECT_Bioplastics\Renjie_Pan\05-Raw_Data\Lab_results\[LabSamples2025_Bioplastic_extra.xlsx]extra_Bioplastic'!H356)," ",'Q:\Abteilungsprojekte\Eng\EngData\PROJECT_Bioplastics\Renjie_Pan\05-Raw_Data\Lab_results\[LabSamples2025_Bioplastic_extra.xlsx]extra_Bioplastic'!H356)</f>
        <v/>
      </c>
    </row>
    <row r="357">
      <c r="A357">
        <f>IF(ISBLANK('Q:\Abteilungsprojekte\Eng\EngData\PROJECT_Bioplastics\Renjie_Pan\05-Raw_Data\Lab_results\[LabSamples2025_Bioplastic_extra.xlsx]extra_Bioplastic'!A357)," ",'Q:\Abteilungsprojekte\Eng\EngData\PROJECT_Bioplastics\Renjie_Pan\05-Raw_Data\Lab_results\[LabSamples2025_Bioplastic_extra.xlsx]extra_Bioplastic'!A357)</f>
        <v/>
      </c>
      <c r="B357">
        <f>IF(ISBLANK('Q:\Abteilungsprojekte\Eng\EngData\PROJECT_Bioplastics\Renjie_Pan\05-Raw_Data\Lab_results\[LabSamples2025_Bioplastic_extra.xlsx]extra_Bioplastic'!B357)," ",'Q:\Abteilungsprojekte\Eng\EngData\PROJECT_Bioplastics\Renjie_Pan\05-Raw_Data\Lab_results\[LabSamples2025_Bioplastic_extra.xlsx]extra_Bioplastic'!B357)</f>
        <v/>
      </c>
      <c r="C357">
        <f>IF(ISBLANK('Q:\Abteilungsprojekte\Eng\EngData\PROJECT_Bioplastics\Renjie_Pan\05-Raw_Data\Lab_results\[LabSamples2025_Bioplastic_extra.xlsx]extra_Bioplastic'!C357)," ",'Q:\Abteilungsprojekte\Eng\EngData\PROJECT_Bioplastics\Renjie_Pan\05-Raw_Data\Lab_results\[LabSamples2025_Bioplastic_extra.xlsx]extra_Bioplastic'!C357)</f>
        <v/>
      </c>
      <c r="D357">
        <f>IF(ISBLANK('Q:\Abteilungsprojekte\Eng\EngData\PROJECT_Bioplastics\Renjie_Pan\05-Raw_Data\Lab_results\[LabSamples2025_Bioplastic_extra.xlsx]extra_Bioplastic'!D357)," ",'Q:\Abteilungsprojekte\Eng\EngData\PROJECT_Bioplastics\Renjie_Pan\05-Raw_Data\Lab_results\[LabSamples2025_Bioplastic_extra.xlsx]extra_Bioplastic'!D357)</f>
        <v/>
      </c>
      <c r="E357">
        <f>IF(ISBLANK('Q:\Abteilungsprojekte\Eng\EngData\PROJECT_Bioplastics\Renjie_Pan\05-Raw_Data\Lab_results\[LabSamples2025_Bioplastic_extra.xlsx]extra_Bioplastic'!E357)," ",'Q:\Abteilungsprojekte\Eng\EngData\PROJECT_Bioplastics\Renjie_Pan\05-Raw_Data\Lab_results\[LabSamples2025_Bioplastic_extra.xlsx]extra_Bioplastic'!E357)</f>
        <v/>
      </c>
      <c r="F357">
        <f>IF(ISBLANK('Q:\Abteilungsprojekte\Eng\EngData\PROJECT_Bioplastics\Renjie_Pan\05-Raw_Data\Lab_results\[LabSamples2025_Bioplastic_extra.xlsx]extra_Bioplastic'!F357)," ",'Q:\Abteilungsprojekte\Eng\EngData\PROJECT_Bioplastics\Renjie_Pan\05-Raw_Data\Lab_results\[LabSamples2025_Bioplastic_extra.xlsx]extra_Bioplastic'!F357)</f>
        <v/>
      </c>
      <c r="G357">
        <f>IF(ISBLANK('Q:\Abteilungsprojekte\Eng\EngData\PROJECT_Bioplastics\Renjie_Pan\05-Raw_Data\Lab_results\[LabSamples2025_Bioplastic_extra.xlsx]extra_Bioplastic'!G357)," ",'Q:\Abteilungsprojekte\Eng\EngData\PROJECT_Bioplastics\Renjie_Pan\05-Raw_Data\Lab_results\[LabSamples2025_Bioplastic_extra.xlsx]extra_Bioplastic'!G357)</f>
        <v/>
      </c>
      <c r="H357">
        <f>IF(ISBLANK('Q:\Abteilungsprojekte\Eng\EngData\PROJECT_Bioplastics\Renjie_Pan\05-Raw_Data\Lab_results\[LabSamples2025_Bioplastic_extra.xlsx]extra_Bioplastic'!H357)," ",'Q:\Abteilungsprojekte\Eng\EngData\PROJECT_Bioplastics\Renjie_Pan\05-Raw_Data\Lab_results\[LabSamples2025_Bioplastic_extra.xlsx]extra_Bioplastic'!H357)</f>
        <v/>
      </c>
    </row>
    <row r="358">
      <c r="A358">
        <f>IF(ISBLANK('Q:\Abteilungsprojekte\Eng\EngData\PROJECT_Bioplastics\Renjie_Pan\05-Raw_Data\Lab_results\[LabSamples2025_Bioplastic_extra.xlsx]extra_Bioplastic'!A358)," ",'Q:\Abteilungsprojekte\Eng\EngData\PROJECT_Bioplastics\Renjie_Pan\05-Raw_Data\Lab_results\[LabSamples2025_Bioplastic_extra.xlsx]extra_Bioplastic'!A358)</f>
        <v/>
      </c>
      <c r="B358">
        <f>IF(ISBLANK('Q:\Abteilungsprojekte\Eng\EngData\PROJECT_Bioplastics\Renjie_Pan\05-Raw_Data\Lab_results\[LabSamples2025_Bioplastic_extra.xlsx]extra_Bioplastic'!B358)," ",'Q:\Abteilungsprojekte\Eng\EngData\PROJECT_Bioplastics\Renjie_Pan\05-Raw_Data\Lab_results\[LabSamples2025_Bioplastic_extra.xlsx]extra_Bioplastic'!B358)</f>
        <v/>
      </c>
      <c r="C358">
        <f>IF(ISBLANK('Q:\Abteilungsprojekte\Eng\EngData\PROJECT_Bioplastics\Renjie_Pan\05-Raw_Data\Lab_results\[LabSamples2025_Bioplastic_extra.xlsx]extra_Bioplastic'!C358)," ",'Q:\Abteilungsprojekte\Eng\EngData\PROJECT_Bioplastics\Renjie_Pan\05-Raw_Data\Lab_results\[LabSamples2025_Bioplastic_extra.xlsx]extra_Bioplastic'!C358)</f>
        <v/>
      </c>
      <c r="D358">
        <f>IF(ISBLANK('Q:\Abteilungsprojekte\Eng\EngData\PROJECT_Bioplastics\Renjie_Pan\05-Raw_Data\Lab_results\[LabSamples2025_Bioplastic_extra.xlsx]extra_Bioplastic'!D358)," ",'Q:\Abteilungsprojekte\Eng\EngData\PROJECT_Bioplastics\Renjie_Pan\05-Raw_Data\Lab_results\[LabSamples2025_Bioplastic_extra.xlsx]extra_Bioplastic'!D358)</f>
        <v/>
      </c>
      <c r="E358">
        <f>IF(ISBLANK('Q:\Abteilungsprojekte\Eng\EngData\PROJECT_Bioplastics\Renjie_Pan\05-Raw_Data\Lab_results\[LabSamples2025_Bioplastic_extra.xlsx]extra_Bioplastic'!E358)," ",'Q:\Abteilungsprojekte\Eng\EngData\PROJECT_Bioplastics\Renjie_Pan\05-Raw_Data\Lab_results\[LabSamples2025_Bioplastic_extra.xlsx]extra_Bioplastic'!E358)</f>
        <v/>
      </c>
      <c r="F358">
        <f>IF(ISBLANK('Q:\Abteilungsprojekte\Eng\EngData\PROJECT_Bioplastics\Renjie_Pan\05-Raw_Data\Lab_results\[LabSamples2025_Bioplastic_extra.xlsx]extra_Bioplastic'!F358)," ",'Q:\Abteilungsprojekte\Eng\EngData\PROJECT_Bioplastics\Renjie_Pan\05-Raw_Data\Lab_results\[LabSamples2025_Bioplastic_extra.xlsx]extra_Bioplastic'!F358)</f>
        <v/>
      </c>
      <c r="G358">
        <f>IF(ISBLANK('Q:\Abteilungsprojekte\Eng\EngData\PROJECT_Bioplastics\Renjie_Pan\05-Raw_Data\Lab_results\[LabSamples2025_Bioplastic_extra.xlsx]extra_Bioplastic'!G358)," ",'Q:\Abteilungsprojekte\Eng\EngData\PROJECT_Bioplastics\Renjie_Pan\05-Raw_Data\Lab_results\[LabSamples2025_Bioplastic_extra.xlsx]extra_Bioplastic'!G358)</f>
        <v/>
      </c>
      <c r="H358">
        <f>IF(ISBLANK('Q:\Abteilungsprojekte\Eng\EngData\PROJECT_Bioplastics\Renjie_Pan\05-Raw_Data\Lab_results\[LabSamples2025_Bioplastic_extra.xlsx]extra_Bioplastic'!H358)," ",'Q:\Abteilungsprojekte\Eng\EngData\PROJECT_Bioplastics\Renjie_Pan\05-Raw_Data\Lab_results\[LabSamples2025_Bioplastic_extra.xlsx]extra_Bioplastic'!H358)</f>
        <v/>
      </c>
    </row>
    <row r="359">
      <c r="A359">
        <f>IF(ISBLANK('Q:\Abteilungsprojekte\Eng\EngData\PROJECT_Bioplastics\Renjie_Pan\05-Raw_Data\Lab_results\[LabSamples2025_Bioplastic_extra.xlsx]extra_Bioplastic'!A359)," ",'Q:\Abteilungsprojekte\Eng\EngData\PROJECT_Bioplastics\Renjie_Pan\05-Raw_Data\Lab_results\[LabSamples2025_Bioplastic_extra.xlsx]extra_Bioplastic'!A359)</f>
        <v/>
      </c>
      <c r="B359">
        <f>IF(ISBLANK('Q:\Abteilungsprojekte\Eng\EngData\PROJECT_Bioplastics\Renjie_Pan\05-Raw_Data\Lab_results\[LabSamples2025_Bioplastic_extra.xlsx]extra_Bioplastic'!B359)," ",'Q:\Abteilungsprojekte\Eng\EngData\PROJECT_Bioplastics\Renjie_Pan\05-Raw_Data\Lab_results\[LabSamples2025_Bioplastic_extra.xlsx]extra_Bioplastic'!B359)</f>
        <v/>
      </c>
      <c r="C359">
        <f>IF(ISBLANK('Q:\Abteilungsprojekte\Eng\EngData\PROJECT_Bioplastics\Renjie_Pan\05-Raw_Data\Lab_results\[LabSamples2025_Bioplastic_extra.xlsx]extra_Bioplastic'!C359)," ",'Q:\Abteilungsprojekte\Eng\EngData\PROJECT_Bioplastics\Renjie_Pan\05-Raw_Data\Lab_results\[LabSamples2025_Bioplastic_extra.xlsx]extra_Bioplastic'!C359)</f>
        <v/>
      </c>
      <c r="D359">
        <f>IF(ISBLANK('Q:\Abteilungsprojekte\Eng\EngData\PROJECT_Bioplastics\Renjie_Pan\05-Raw_Data\Lab_results\[LabSamples2025_Bioplastic_extra.xlsx]extra_Bioplastic'!D359)," ",'Q:\Abteilungsprojekte\Eng\EngData\PROJECT_Bioplastics\Renjie_Pan\05-Raw_Data\Lab_results\[LabSamples2025_Bioplastic_extra.xlsx]extra_Bioplastic'!D359)</f>
        <v/>
      </c>
      <c r="E359">
        <f>IF(ISBLANK('Q:\Abteilungsprojekte\Eng\EngData\PROJECT_Bioplastics\Renjie_Pan\05-Raw_Data\Lab_results\[LabSamples2025_Bioplastic_extra.xlsx]extra_Bioplastic'!E359)," ",'Q:\Abteilungsprojekte\Eng\EngData\PROJECT_Bioplastics\Renjie_Pan\05-Raw_Data\Lab_results\[LabSamples2025_Bioplastic_extra.xlsx]extra_Bioplastic'!E359)</f>
        <v/>
      </c>
      <c r="F359">
        <f>IF(ISBLANK('Q:\Abteilungsprojekte\Eng\EngData\PROJECT_Bioplastics\Renjie_Pan\05-Raw_Data\Lab_results\[LabSamples2025_Bioplastic_extra.xlsx]extra_Bioplastic'!F359)," ",'Q:\Abteilungsprojekte\Eng\EngData\PROJECT_Bioplastics\Renjie_Pan\05-Raw_Data\Lab_results\[LabSamples2025_Bioplastic_extra.xlsx]extra_Bioplastic'!F359)</f>
        <v/>
      </c>
      <c r="G359">
        <f>IF(ISBLANK('Q:\Abteilungsprojekte\Eng\EngData\PROJECT_Bioplastics\Renjie_Pan\05-Raw_Data\Lab_results\[LabSamples2025_Bioplastic_extra.xlsx]extra_Bioplastic'!G359)," ",'Q:\Abteilungsprojekte\Eng\EngData\PROJECT_Bioplastics\Renjie_Pan\05-Raw_Data\Lab_results\[LabSamples2025_Bioplastic_extra.xlsx]extra_Bioplastic'!G359)</f>
        <v/>
      </c>
      <c r="H359">
        <f>IF(ISBLANK('Q:\Abteilungsprojekte\Eng\EngData\PROJECT_Bioplastics\Renjie_Pan\05-Raw_Data\Lab_results\[LabSamples2025_Bioplastic_extra.xlsx]extra_Bioplastic'!H359)," ",'Q:\Abteilungsprojekte\Eng\EngData\PROJECT_Bioplastics\Renjie_Pan\05-Raw_Data\Lab_results\[LabSamples2025_Bioplastic_extra.xlsx]extra_Bioplastic'!H359)</f>
        <v/>
      </c>
    </row>
    <row r="360">
      <c r="A360">
        <f>IF(ISBLANK('Q:\Abteilungsprojekte\Eng\EngData\PROJECT_Bioplastics\Renjie_Pan\05-Raw_Data\Lab_results\[LabSamples2025_Bioplastic_extra.xlsx]extra_Bioplastic'!A360)," ",'Q:\Abteilungsprojekte\Eng\EngData\PROJECT_Bioplastics\Renjie_Pan\05-Raw_Data\Lab_results\[LabSamples2025_Bioplastic_extra.xlsx]extra_Bioplastic'!A360)</f>
        <v/>
      </c>
      <c r="B360">
        <f>IF(ISBLANK('Q:\Abteilungsprojekte\Eng\EngData\PROJECT_Bioplastics\Renjie_Pan\05-Raw_Data\Lab_results\[LabSamples2025_Bioplastic_extra.xlsx]extra_Bioplastic'!B360)," ",'Q:\Abteilungsprojekte\Eng\EngData\PROJECT_Bioplastics\Renjie_Pan\05-Raw_Data\Lab_results\[LabSamples2025_Bioplastic_extra.xlsx]extra_Bioplastic'!B360)</f>
        <v/>
      </c>
      <c r="C360">
        <f>IF(ISBLANK('Q:\Abteilungsprojekte\Eng\EngData\PROJECT_Bioplastics\Renjie_Pan\05-Raw_Data\Lab_results\[LabSamples2025_Bioplastic_extra.xlsx]extra_Bioplastic'!C360)," ",'Q:\Abteilungsprojekte\Eng\EngData\PROJECT_Bioplastics\Renjie_Pan\05-Raw_Data\Lab_results\[LabSamples2025_Bioplastic_extra.xlsx]extra_Bioplastic'!C360)</f>
        <v/>
      </c>
      <c r="D360">
        <f>IF(ISBLANK('Q:\Abteilungsprojekte\Eng\EngData\PROJECT_Bioplastics\Renjie_Pan\05-Raw_Data\Lab_results\[LabSamples2025_Bioplastic_extra.xlsx]extra_Bioplastic'!D360)," ",'Q:\Abteilungsprojekte\Eng\EngData\PROJECT_Bioplastics\Renjie_Pan\05-Raw_Data\Lab_results\[LabSamples2025_Bioplastic_extra.xlsx]extra_Bioplastic'!D360)</f>
        <v/>
      </c>
      <c r="E360">
        <f>IF(ISBLANK('Q:\Abteilungsprojekte\Eng\EngData\PROJECT_Bioplastics\Renjie_Pan\05-Raw_Data\Lab_results\[LabSamples2025_Bioplastic_extra.xlsx]extra_Bioplastic'!E360)," ",'Q:\Abteilungsprojekte\Eng\EngData\PROJECT_Bioplastics\Renjie_Pan\05-Raw_Data\Lab_results\[LabSamples2025_Bioplastic_extra.xlsx]extra_Bioplastic'!E360)</f>
        <v/>
      </c>
      <c r="F360">
        <f>IF(ISBLANK('Q:\Abteilungsprojekte\Eng\EngData\PROJECT_Bioplastics\Renjie_Pan\05-Raw_Data\Lab_results\[LabSamples2025_Bioplastic_extra.xlsx]extra_Bioplastic'!F360)," ",'Q:\Abteilungsprojekte\Eng\EngData\PROJECT_Bioplastics\Renjie_Pan\05-Raw_Data\Lab_results\[LabSamples2025_Bioplastic_extra.xlsx]extra_Bioplastic'!F360)</f>
        <v/>
      </c>
      <c r="G360">
        <f>IF(ISBLANK('Q:\Abteilungsprojekte\Eng\EngData\PROJECT_Bioplastics\Renjie_Pan\05-Raw_Data\Lab_results\[LabSamples2025_Bioplastic_extra.xlsx]extra_Bioplastic'!G360)," ",'Q:\Abteilungsprojekte\Eng\EngData\PROJECT_Bioplastics\Renjie_Pan\05-Raw_Data\Lab_results\[LabSamples2025_Bioplastic_extra.xlsx]extra_Bioplastic'!G360)</f>
        <v/>
      </c>
      <c r="H360">
        <f>IF(ISBLANK('Q:\Abteilungsprojekte\Eng\EngData\PROJECT_Bioplastics\Renjie_Pan\05-Raw_Data\Lab_results\[LabSamples2025_Bioplastic_extra.xlsx]extra_Bioplastic'!H360)," ",'Q:\Abteilungsprojekte\Eng\EngData\PROJECT_Bioplastics\Renjie_Pan\05-Raw_Data\Lab_results\[LabSamples2025_Bioplastic_extra.xlsx]extra_Bioplastic'!H360)</f>
        <v/>
      </c>
    </row>
    <row r="361">
      <c r="A361">
        <f>IF(ISBLANK('Q:\Abteilungsprojekte\Eng\EngData\PROJECT_Bioplastics\Renjie_Pan\05-Raw_Data\Lab_results\[LabSamples2025_Bioplastic_extra.xlsx]extra_Bioplastic'!A361)," ",'Q:\Abteilungsprojekte\Eng\EngData\PROJECT_Bioplastics\Renjie_Pan\05-Raw_Data\Lab_results\[LabSamples2025_Bioplastic_extra.xlsx]extra_Bioplastic'!A361)</f>
        <v/>
      </c>
      <c r="B361">
        <f>IF(ISBLANK('Q:\Abteilungsprojekte\Eng\EngData\PROJECT_Bioplastics\Renjie_Pan\05-Raw_Data\Lab_results\[LabSamples2025_Bioplastic_extra.xlsx]extra_Bioplastic'!B361)," ",'Q:\Abteilungsprojekte\Eng\EngData\PROJECT_Bioplastics\Renjie_Pan\05-Raw_Data\Lab_results\[LabSamples2025_Bioplastic_extra.xlsx]extra_Bioplastic'!B361)</f>
        <v/>
      </c>
      <c r="C361">
        <f>IF(ISBLANK('Q:\Abteilungsprojekte\Eng\EngData\PROJECT_Bioplastics\Renjie_Pan\05-Raw_Data\Lab_results\[LabSamples2025_Bioplastic_extra.xlsx]extra_Bioplastic'!C361)," ",'Q:\Abteilungsprojekte\Eng\EngData\PROJECT_Bioplastics\Renjie_Pan\05-Raw_Data\Lab_results\[LabSamples2025_Bioplastic_extra.xlsx]extra_Bioplastic'!C361)</f>
        <v/>
      </c>
      <c r="D361">
        <f>IF(ISBLANK('Q:\Abteilungsprojekte\Eng\EngData\PROJECT_Bioplastics\Renjie_Pan\05-Raw_Data\Lab_results\[LabSamples2025_Bioplastic_extra.xlsx]extra_Bioplastic'!D361)," ",'Q:\Abteilungsprojekte\Eng\EngData\PROJECT_Bioplastics\Renjie_Pan\05-Raw_Data\Lab_results\[LabSamples2025_Bioplastic_extra.xlsx]extra_Bioplastic'!D361)</f>
        <v/>
      </c>
      <c r="E361">
        <f>IF(ISBLANK('Q:\Abteilungsprojekte\Eng\EngData\PROJECT_Bioplastics\Renjie_Pan\05-Raw_Data\Lab_results\[LabSamples2025_Bioplastic_extra.xlsx]extra_Bioplastic'!E361)," ",'Q:\Abteilungsprojekte\Eng\EngData\PROJECT_Bioplastics\Renjie_Pan\05-Raw_Data\Lab_results\[LabSamples2025_Bioplastic_extra.xlsx]extra_Bioplastic'!E361)</f>
        <v/>
      </c>
      <c r="F361">
        <f>IF(ISBLANK('Q:\Abteilungsprojekte\Eng\EngData\PROJECT_Bioplastics\Renjie_Pan\05-Raw_Data\Lab_results\[LabSamples2025_Bioplastic_extra.xlsx]extra_Bioplastic'!F361)," ",'Q:\Abteilungsprojekte\Eng\EngData\PROJECT_Bioplastics\Renjie_Pan\05-Raw_Data\Lab_results\[LabSamples2025_Bioplastic_extra.xlsx]extra_Bioplastic'!F361)</f>
        <v/>
      </c>
      <c r="G361">
        <f>IF(ISBLANK('Q:\Abteilungsprojekte\Eng\EngData\PROJECT_Bioplastics\Renjie_Pan\05-Raw_Data\Lab_results\[LabSamples2025_Bioplastic_extra.xlsx]extra_Bioplastic'!G361)," ",'Q:\Abteilungsprojekte\Eng\EngData\PROJECT_Bioplastics\Renjie_Pan\05-Raw_Data\Lab_results\[LabSamples2025_Bioplastic_extra.xlsx]extra_Bioplastic'!G361)</f>
        <v/>
      </c>
      <c r="H361">
        <f>IF(ISBLANK('Q:\Abteilungsprojekte\Eng\EngData\PROJECT_Bioplastics\Renjie_Pan\05-Raw_Data\Lab_results\[LabSamples2025_Bioplastic_extra.xlsx]extra_Bioplastic'!H361)," ",'Q:\Abteilungsprojekte\Eng\EngData\PROJECT_Bioplastics\Renjie_Pan\05-Raw_Data\Lab_results\[LabSamples2025_Bioplastic_extra.xlsx]extra_Bioplastic'!H361)</f>
        <v/>
      </c>
    </row>
    <row r="362">
      <c r="A362">
        <f>IF(ISBLANK('Q:\Abteilungsprojekte\Eng\EngData\PROJECT_Bioplastics\Renjie_Pan\05-Raw_Data\Lab_results\[LabSamples2025_Bioplastic_extra.xlsx]extra_Bioplastic'!A362)," ",'Q:\Abteilungsprojekte\Eng\EngData\PROJECT_Bioplastics\Renjie_Pan\05-Raw_Data\Lab_results\[LabSamples2025_Bioplastic_extra.xlsx]extra_Bioplastic'!A362)</f>
        <v/>
      </c>
      <c r="B362">
        <f>IF(ISBLANK('Q:\Abteilungsprojekte\Eng\EngData\PROJECT_Bioplastics\Renjie_Pan\05-Raw_Data\Lab_results\[LabSamples2025_Bioplastic_extra.xlsx]extra_Bioplastic'!B362)," ",'Q:\Abteilungsprojekte\Eng\EngData\PROJECT_Bioplastics\Renjie_Pan\05-Raw_Data\Lab_results\[LabSamples2025_Bioplastic_extra.xlsx]extra_Bioplastic'!B362)</f>
        <v/>
      </c>
      <c r="C362">
        <f>IF(ISBLANK('Q:\Abteilungsprojekte\Eng\EngData\PROJECT_Bioplastics\Renjie_Pan\05-Raw_Data\Lab_results\[LabSamples2025_Bioplastic_extra.xlsx]extra_Bioplastic'!C362)," ",'Q:\Abteilungsprojekte\Eng\EngData\PROJECT_Bioplastics\Renjie_Pan\05-Raw_Data\Lab_results\[LabSamples2025_Bioplastic_extra.xlsx]extra_Bioplastic'!C362)</f>
        <v/>
      </c>
      <c r="D362">
        <f>IF(ISBLANK('Q:\Abteilungsprojekte\Eng\EngData\PROJECT_Bioplastics\Renjie_Pan\05-Raw_Data\Lab_results\[LabSamples2025_Bioplastic_extra.xlsx]extra_Bioplastic'!D362)," ",'Q:\Abteilungsprojekte\Eng\EngData\PROJECT_Bioplastics\Renjie_Pan\05-Raw_Data\Lab_results\[LabSamples2025_Bioplastic_extra.xlsx]extra_Bioplastic'!D362)</f>
        <v/>
      </c>
      <c r="E362">
        <f>IF(ISBLANK('Q:\Abteilungsprojekte\Eng\EngData\PROJECT_Bioplastics\Renjie_Pan\05-Raw_Data\Lab_results\[LabSamples2025_Bioplastic_extra.xlsx]extra_Bioplastic'!E362)," ",'Q:\Abteilungsprojekte\Eng\EngData\PROJECT_Bioplastics\Renjie_Pan\05-Raw_Data\Lab_results\[LabSamples2025_Bioplastic_extra.xlsx]extra_Bioplastic'!E362)</f>
        <v/>
      </c>
      <c r="F362">
        <f>IF(ISBLANK('Q:\Abteilungsprojekte\Eng\EngData\PROJECT_Bioplastics\Renjie_Pan\05-Raw_Data\Lab_results\[LabSamples2025_Bioplastic_extra.xlsx]extra_Bioplastic'!F362)," ",'Q:\Abteilungsprojekte\Eng\EngData\PROJECT_Bioplastics\Renjie_Pan\05-Raw_Data\Lab_results\[LabSamples2025_Bioplastic_extra.xlsx]extra_Bioplastic'!F362)</f>
        <v/>
      </c>
      <c r="G362">
        <f>IF(ISBLANK('Q:\Abteilungsprojekte\Eng\EngData\PROJECT_Bioplastics\Renjie_Pan\05-Raw_Data\Lab_results\[LabSamples2025_Bioplastic_extra.xlsx]extra_Bioplastic'!G362)," ",'Q:\Abteilungsprojekte\Eng\EngData\PROJECT_Bioplastics\Renjie_Pan\05-Raw_Data\Lab_results\[LabSamples2025_Bioplastic_extra.xlsx]extra_Bioplastic'!G362)</f>
        <v/>
      </c>
      <c r="H362">
        <f>IF(ISBLANK('Q:\Abteilungsprojekte\Eng\EngData\PROJECT_Bioplastics\Renjie_Pan\05-Raw_Data\Lab_results\[LabSamples2025_Bioplastic_extra.xlsx]extra_Bioplastic'!H362)," ",'Q:\Abteilungsprojekte\Eng\EngData\PROJECT_Bioplastics\Renjie_Pan\05-Raw_Data\Lab_results\[LabSamples2025_Bioplastic_extra.xlsx]extra_Bioplastic'!H362)</f>
        <v/>
      </c>
    </row>
    <row r="363">
      <c r="A363">
        <f>IF(ISBLANK('Q:\Abteilungsprojekte\Eng\EngData\PROJECT_Bioplastics\Renjie_Pan\05-Raw_Data\Lab_results\[LabSamples2025_Bioplastic_extra.xlsx]extra_Bioplastic'!A363)," ",'Q:\Abteilungsprojekte\Eng\EngData\PROJECT_Bioplastics\Renjie_Pan\05-Raw_Data\Lab_results\[LabSamples2025_Bioplastic_extra.xlsx]extra_Bioplastic'!A363)</f>
        <v/>
      </c>
      <c r="B363">
        <f>IF(ISBLANK('Q:\Abteilungsprojekte\Eng\EngData\PROJECT_Bioplastics\Renjie_Pan\05-Raw_Data\Lab_results\[LabSamples2025_Bioplastic_extra.xlsx]extra_Bioplastic'!B363)," ",'Q:\Abteilungsprojekte\Eng\EngData\PROJECT_Bioplastics\Renjie_Pan\05-Raw_Data\Lab_results\[LabSamples2025_Bioplastic_extra.xlsx]extra_Bioplastic'!B363)</f>
        <v/>
      </c>
      <c r="C363">
        <f>IF(ISBLANK('Q:\Abteilungsprojekte\Eng\EngData\PROJECT_Bioplastics\Renjie_Pan\05-Raw_Data\Lab_results\[LabSamples2025_Bioplastic_extra.xlsx]extra_Bioplastic'!C363)," ",'Q:\Abteilungsprojekte\Eng\EngData\PROJECT_Bioplastics\Renjie_Pan\05-Raw_Data\Lab_results\[LabSamples2025_Bioplastic_extra.xlsx]extra_Bioplastic'!C363)</f>
        <v/>
      </c>
      <c r="D363">
        <f>IF(ISBLANK('Q:\Abteilungsprojekte\Eng\EngData\PROJECT_Bioplastics\Renjie_Pan\05-Raw_Data\Lab_results\[LabSamples2025_Bioplastic_extra.xlsx]extra_Bioplastic'!D363)," ",'Q:\Abteilungsprojekte\Eng\EngData\PROJECT_Bioplastics\Renjie_Pan\05-Raw_Data\Lab_results\[LabSamples2025_Bioplastic_extra.xlsx]extra_Bioplastic'!D363)</f>
        <v/>
      </c>
      <c r="E363">
        <f>IF(ISBLANK('Q:\Abteilungsprojekte\Eng\EngData\PROJECT_Bioplastics\Renjie_Pan\05-Raw_Data\Lab_results\[LabSamples2025_Bioplastic_extra.xlsx]extra_Bioplastic'!E363)," ",'Q:\Abteilungsprojekte\Eng\EngData\PROJECT_Bioplastics\Renjie_Pan\05-Raw_Data\Lab_results\[LabSamples2025_Bioplastic_extra.xlsx]extra_Bioplastic'!E363)</f>
        <v/>
      </c>
      <c r="F363">
        <f>IF(ISBLANK('Q:\Abteilungsprojekte\Eng\EngData\PROJECT_Bioplastics\Renjie_Pan\05-Raw_Data\Lab_results\[LabSamples2025_Bioplastic_extra.xlsx]extra_Bioplastic'!F363)," ",'Q:\Abteilungsprojekte\Eng\EngData\PROJECT_Bioplastics\Renjie_Pan\05-Raw_Data\Lab_results\[LabSamples2025_Bioplastic_extra.xlsx]extra_Bioplastic'!F363)</f>
        <v/>
      </c>
      <c r="G363">
        <f>IF(ISBLANK('Q:\Abteilungsprojekte\Eng\EngData\PROJECT_Bioplastics\Renjie_Pan\05-Raw_Data\Lab_results\[LabSamples2025_Bioplastic_extra.xlsx]extra_Bioplastic'!G363)," ",'Q:\Abteilungsprojekte\Eng\EngData\PROJECT_Bioplastics\Renjie_Pan\05-Raw_Data\Lab_results\[LabSamples2025_Bioplastic_extra.xlsx]extra_Bioplastic'!G363)</f>
        <v/>
      </c>
      <c r="H363">
        <f>IF(ISBLANK('Q:\Abteilungsprojekte\Eng\EngData\PROJECT_Bioplastics\Renjie_Pan\05-Raw_Data\Lab_results\[LabSamples2025_Bioplastic_extra.xlsx]extra_Bioplastic'!H363)," ",'Q:\Abteilungsprojekte\Eng\EngData\PROJECT_Bioplastics\Renjie_Pan\05-Raw_Data\Lab_results\[LabSamples2025_Bioplastic_extra.xlsx]extra_Bioplastic'!H363)</f>
        <v/>
      </c>
    </row>
    <row r="364">
      <c r="A364">
        <f>IF(ISBLANK('Q:\Abteilungsprojekte\Eng\EngData\PROJECT_Bioplastics\Renjie_Pan\05-Raw_Data\Lab_results\[LabSamples2025_Bioplastic_extra.xlsx]extra_Bioplastic'!A364)," ",'Q:\Abteilungsprojekte\Eng\EngData\PROJECT_Bioplastics\Renjie_Pan\05-Raw_Data\Lab_results\[LabSamples2025_Bioplastic_extra.xlsx]extra_Bioplastic'!A364)</f>
        <v/>
      </c>
      <c r="B364">
        <f>IF(ISBLANK('Q:\Abteilungsprojekte\Eng\EngData\PROJECT_Bioplastics\Renjie_Pan\05-Raw_Data\Lab_results\[LabSamples2025_Bioplastic_extra.xlsx]extra_Bioplastic'!B364)," ",'Q:\Abteilungsprojekte\Eng\EngData\PROJECT_Bioplastics\Renjie_Pan\05-Raw_Data\Lab_results\[LabSamples2025_Bioplastic_extra.xlsx]extra_Bioplastic'!B364)</f>
        <v/>
      </c>
      <c r="C364">
        <f>IF(ISBLANK('Q:\Abteilungsprojekte\Eng\EngData\PROJECT_Bioplastics\Renjie_Pan\05-Raw_Data\Lab_results\[LabSamples2025_Bioplastic_extra.xlsx]extra_Bioplastic'!C364)," ",'Q:\Abteilungsprojekte\Eng\EngData\PROJECT_Bioplastics\Renjie_Pan\05-Raw_Data\Lab_results\[LabSamples2025_Bioplastic_extra.xlsx]extra_Bioplastic'!C364)</f>
        <v/>
      </c>
      <c r="D364">
        <f>IF(ISBLANK('Q:\Abteilungsprojekte\Eng\EngData\PROJECT_Bioplastics\Renjie_Pan\05-Raw_Data\Lab_results\[LabSamples2025_Bioplastic_extra.xlsx]extra_Bioplastic'!D364)," ",'Q:\Abteilungsprojekte\Eng\EngData\PROJECT_Bioplastics\Renjie_Pan\05-Raw_Data\Lab_results\[LabSamples2025_Bioplastic_extra.xlsx]extra_Bioplastic'!D364)</f>
        <v/>
      </c>
      <c r="E364">
        <f>IF(ISBLANK('Q:\Abteilungsprojekte\Eng\EngData\PROJECT_Bioplastics\Renjie_Pan\05-Raw_Data\Lab_results\[LabSamples2025_Bioplastic_extra.xlsx]extra_Bioplastic'!E364)," ",'Q:\Abteilungsprojekte\Eng\EngData\PROJECT_Bioplastics\Renjie_Pan\05-Raw_Data\Lab_results\[LabSamples2025_Bioplastic_extra.xlsx]extra_Bioplastic'!E364)</f>
        <v/>
      </c>
      <c r="F364">
        <f>IF(ISBLANK('Q:\Abteilungsprojekte\Eng\EngData\PROJECT_Bioplastics\Renjie_Pan\05-Raw_Data\Lab_results\[LabSamples2025_Bioplastic_extra.xlsx]extra_Bioplastic'!F364)," ",'Q:\Abteilungsprojekte\Eng\EngData\PROJECT_Bioplastics\Renjie_Pan\05-Raw_Data\Lab_results\[LabSamples2025_Bioplastic_extra.xlsx]extra_Bioplastic'!F364)</f>
        <v/>
      </c>
      <c r="G364">
        <f>IF(ISBLANK('Q:\Abteilungsprojekte\Eng\EngData\PROJECT_Bioplastics\Renjie_Pan\05-Raw_Data\Lab_results\[LabSamples2025_Bioplastic_extra.xlsx]extra_Bioplastic'!G364)," ",'Q:\Abteilungsprojekte\Eng\EngData\PROJECT_Bioplastics\Renjie_Pan\05-Raw_Data\Lab_results\[LabSamples2025_Bioplastic_extra.xlsx]extra_Bioplastic'!G364)</f>
        <v/>
      </c>
      <c r="H364">
        <f>IF(ISBLANK('Q:\Abteilungsprojekte\Eng\EngData\PROJECT_Bioplastics\Renjie_Pan\05-Raw_Data\Lab_results\[LabSamples2025_Bioplastic_extra.xlsx]extra_Bioplastic'!H364)," ",'Q:\Abteilungsprojekte\Eng\EngData\PROJECT_Bioplastics\Renjie_Pan\05-Raw_Data\Lab_results\[LabSamples2025_Bioplastic_extra.xlsx]extra_Bioplastic'!H364)</f>
        <v/>
      </c>
    </row>
    <row r="365">
      <c r="A365">
        <f>IF(ISBLANK('Q:\Abteilungsprojekte\Eng\EngData\PROJECT_Bioplastics\Renjie_Pan\05-Raw_Data\Lab_results\[LabSamples2025_Bioplastic_extra.xlsx]extra_Bioplastic'!A365)," ",'Q:\Abteilungsprojekte\Eng\EngData\PROJECT_Bioplastics\Renjie_Pan\05-Raw_Data\Lab_results\[LabSamples2025_Bioplastic_extra.xlsx]extra_Bioplastic'!A365)</f>
        <v/>
      </c>
      <c r="B365">
        <f>IF(ISBLANK('Q:\Abteilungsprojekte\Eng\EngData\PROJECT_Bioplastics\Renjie_Pan\05-Raw_Data\Lab_results\[LabSamples2025_Bioplastic_extra.xlsx]extra_Bioplastic'!B365)," ",'Q:\Abteilungsprojekte\Eng\EngData\PROJECT_Bioplastics\Renjie_Pan\05-Raw_Data\Lab_results\[LabSamples2025_Bioplastic_extra.xlsx]extra_Bioplastic'!B365)</f>
        <v/>
      </c>
      <c r="C365">
        <f>IF(ISBLANK('Q:\Abteilungsprojekte\Eng\EngData\PROJECT_Bioplastics\Renjie_Pan\05-Raw_Data\Lab_results\[LabSamples2025_Bioplastic_extra.xlsx]extra_Bioplastic'!C365)," ",'Q:\Abteilungsprojekte\Eng\EngData\PROJECT_Bioplastics\Renjie_Pan\05-Raw_Data\Lab_results\[LabSamples2025_Bioplastic_extra.xlsx]extra_Bioplastic'!C365)</f>
        <v/>
      </c>
      <c r="D365">
        <f>IF(ISBLANK('Q:\Abteilungsprojekte\Eng\EngData\PROJECT_Bioplastics\Renjie_Pan\05-Raw_Data\Lab_results\[LabSamples2025_Bioplastic_extra.xlsx]extra_Bioplastic'!D365)," ",'Q:\Abteilungsprojekte\Eng\EngData\PROJECT_Bioplastics\Renjie_Pan\05-Raw_Data\Lab_results\[LabSamples2025_Bioplastic_extra.xlsx]extra_Bioplastic'!D365)</f>
        <v/>
      </c>
      <c r="E365">
        <f>IF(ISBLANK('Q:\Abteilungsprojekte\Eng\EngData\PROJECT_Bioplastics\Renjie_Pan\05-Raw_Data\Lab_results\[LabSamples2025_Bioplastic_extra.xlsx]extra_Bioplastic'!E365)," ",'Q:\Abteilungsprojekte\Eng\EngData\PROJECT_Bioplastics\Renjie_Pan\05-Raw_Data\Lab_results\[LabSamples2025_Bioplastic_extra.xlsx]extra_Bioplastic'!E365)</f>
        <v/>
      </c>
      <c r="F365">
        <f>IF(ISBLANK('Q:\Abteilungsprojekte\Eng\EngData\PROJECT_Bioplastics\Renjie_Pan\05-Raw_Data\Lab_results\[LabSamples2025_Bioplastic_extra.xlsx]extra_Bioplastic'!F365)," ",'Q:\Abteilungsprojekte\Eng\EngData\PROJECT_Bioplastics\Renjie_Pan\05-Raw_Data\Lab_results\[LabSamples2025_Bioplastic_extra.xlsx]extra_Bioplastic'!F365)</f>
        <v/>
      </c>
      <c r="G365">
        <f>IF(ISBLANK('Q:\Abteilungsprojekte\Eng\EngData\PROJECT_Bioplastics\Renjie_Pan\05-Raw_Data\Lab_results\[LabSamples2025_Bioplastic_extra.xlsx]extra_Bioplastic'!G365)," ",'Q:\Abteilungsprojekte\Eng\EngData\PROJECT_Bioplastics\Renjie_Pan\05-Raw_Data\Lab_results\[LabSamples2025_Bioplastic_extra.xlsx]extra_Bioplastic'!G365)</f>
        <v/>
      </c>
      <c r="H365">
        <f>IF(ISBLANK('Q:\Abteilungsprojekte\Eng\EngData\PROJECT_Bioplastics\Renjie_Pan\05-Raw_Data\Lab_results\[LabSamples2025_Bioplastic_extra.xlsx]extra_Bioplastic'!H365)," ",'Q:\Abteilungsprojekte\Eng\EngData\PROJECT_Bioplastics\Renjie_Pan\05-Raw_Data\Lab_results\[LabSamples2025_Bioplastic_extra.xlsx]extra_Bioplastic'!H365)</f>
        <v/>
      </c>
    </row>
    <row r="366">
      <c r="A366">
        <f>IF(ISBLANK('Q:\Abteilungsprojekte\Eng\EngData\PROJECT_Bioplastics\Renjie_Pan\05-Raw_Data\Lab_results\[LabSamples2025_Bioplastic_extra.xlsx]extra_Bioplastic'!A366)," ",'Q:\Abteilungsprojekte\Eng\EngData\PROJECT_Bioplastics\Renjie_Pan\05-Raw_Data\Lab_results\[LabSamples2025_Bioplastic_extra.xlsx]extra_Bioplastic'!A366)</f>
        <v/>
      </c>
      <c r="B366">
        <f>IF(ISBLANK('Q:\Abteilungsprojekte\Eng\EngData\PROJECT_Bioplastics\Renjie_Pan\05-Raw_Data\Lab_results\[LabSamples2025_Bioplastic_extra.xlsx]extra_Bioplastic'!B366)," ",'Q:\Abteilungsprojekte\Eng\EngData\PROJECT_Bioplastics\Renjie_Pan\05-Raw_Data\Lab_results\[LabSamples2025_Bioplastic_extra.xlsx]extra_Bioplastic'!B366)</f>
        <v/>
      </c>
      <c r="C366">
        <f>IF(ISBLANK('Q:\Abteilungsprojekte\Eng\EngData\PROJECT_Bioplastics\Renjie_Pan\05-Raw_Data\Lab_results\[LabSamples2025_Bioplastic_extra.xlsx]extra_Bioplastic'!C366)," ",'Q:\Abteilungsprojekte\Eng\EngData\PROJECT_Bioplastics\Renjie_Pan\05-Raw_Data\Lab_results\[LabSamples2025_Bioplastic_extra.xlsx]extra_Bioplastic'!C366)</f>
        <v/>
      </c>
      <c r="D366">
        <f>IF(ISBLANK('Q:\Abteilungsprojekte\Eng\EngData\PROJECT_Bioplastics\Renjie_Pan\05-Raw_Data\Lab_results\[LabSamples2025_Bioplastic_extra.xlsx]extra_Bioplastic'!D366)," ",'Q:\Abteilungsprojekte\Eng\EngData\PROJECT_Bioplastics\Renjie_Pan\05-Raw_Data\Lab_results\[LabSamples2025_Bioplastic_extra.xlsx]extra_Bioplastic'!D366)</f>
        <v/>
      </c>
      <c r="E366">
        <f>IF(ISBLANK('Q:\Abteilungsprojekte\Eng\EngData\PROJECT_Bioplastics\Renjie_Pan\05-Raw_Data\Lab_results\[LabSamples2025_Bioplastic_extra.xlsx]extra_Bioplastic'!E366)," ",'Q:\Abteilungsprojekte\Eng\EngData\PROJECT_Bioplastics\Renjie_Pan\05-Raw_Data\Lab_results\[LabSamples2025_Bioplastic_extra.xlsx]extra_Bioplastic'!E366)</f>
        <v/>
      </c>
      <c r="F366">
        <f>IF(ISBLANK('Q:\Abteilungsprojekte\Eng\EngData\PROJECT_Bioplastics\Renjie_Pan\05-Raw_Data\Lab_results\[LabSamples2025_Bioplastic_extra.xlsx]extra_Bioplastic'!F366)," ",'Q:\Abteilungsprojekte\Eng\EngData\PROJECT_Bioplastics\Renjie_Pan\05-Raw_Data\Lab_results\[LabSamples2025_Bioplastic_extra.xlsx]extra_Bioplastic'!F366)</f>
        <v/>
      </c>
      <c r="G366">
        <f>IF(ISBLANK('Q:\Abteilungsprojekte\Eng\EngData\PROJECT_Bioplastics\Renjie_Pan\05-Raw_Data\Lab_results\[LabSamples2025_Bioplastic_extra.xlsx]extra_Bioplastic'!G366)," ",'Q:\Abteilungsprojekte\Eng\EngData\PROJECT_Bioplastics\Renjie_Pan\05-Raw_Data\Lab_results\[LabSamples2025_Bioplastic_extra.xlsx]extra_Bioplastic'!G366)</f>
        <v/>
      </c>
      <c r="H366">
        <f>IF(ISBLANK('Q:\Abteilungsprojekte\Eng\EngData\PROJECT_Bioplastics\Renjie_Pan\05-Raw_Data\Lab_results\[LabSamples2025_Bioplastic_extra.xlsx]extra_Bioplastic'!H366)," ",'Q:\Abteilungsprojekte\Eng\EngData\PROJECT_Bioplastics\Renjie_Pan\05-Raw_Data\Lab_results\[LabSamples2025_Bioplastic_extra.xlsx]extra_Bioplastic'!H366)</f>
        <v/>
      </c>
    </row>
    <row r="367">
      <c r="A367">
        <f>IF(ISBLANK('Q:\Abteilungsprojekte\Eng\EngData\PROJECT_Bioplastics\Renjie_Pan\05-Raw_Data\Lab_results\[LabSamples2025_Bioplastic_extra.xlsx]extra_Bioplastic'!A367)," ",'Q:\Abteilungsprojekte\Eng\EngData\PROJECT_Bioplastics\Renjie_Pan\05-Raw_Data\Lab_results\[LabSamples2025_Bioplastic_extra.xlsx]extra_Bioplastic'!A367)</f>
        <v/>
      </c>
      <c r="B367">
        <f>IF(ISBLANK('Q:\Abteilungsprojekte\Eng\EngData\PROJECT_Bioplastics\Renjie_Pan\05-Raw_Data\Lab_results\[LabSamples2025_Bioplastic_extra.xlsx]extra_Bioplastic'!B367)," ",'Q:\Abteilungsprojekte\Eng\EngData\PROJECT_Bioplastics\Renjie_Pan\05-Raw_Data\Lab_results\[LabSamples2025_Bioplastic_extra.xlsx]extra_Bioplastic'!B367)</f>
        <v/>
      </c>
      <c r="C367">
        <f>IF(ISBLANK('Q:\Abteilungsprojekte\Eng\EngData\PROJECT_Bioplastics\Renjie_Pan\05-Raw_Data\Lab_results\[LabSamples2025_Bioplastic_extra.xlsx]extra_Bioplastic'!C367)," ",'Q:\Abteilungsprojekte\Eng\EngData\PROJECT_Bioplastics\Renjie_Pan\05-Raw_Data\Lab_results\[LabSamples2025_Bioplastic_extra.xlsx]extra_Bioplastic'!C367)</f>
        <v/>
      </c>
      <c r="D367">
        <f>IF(ISBLANK('Q:\Abteilungsprojekte\Eng\EngData\PROJECT_Bioplastics\Renjie_Pan\05-Raw_Data\Lab_results\[LabSamples2025_Bioplastic_extra.xlsx]extra_Bioplastic'!D367)," ",'Q:\Abteilungsprojekte\Eng\EngData\PROJECT_Bioplastics\Renjie_Pan\05-Raw_Data\Lab_results\[LabSamples2025_Bioplastic_extra.xlsx]extra_Bioplastic'!D367)</f>
        <v/>
      </c>
      <c r="E367">
        <f>IF(ISBLANK('Q:\Abteilungsprojekte\Eng\EngData\PROJECT_Bioplastics\Renjie_Pan\05-Raw_Data\Lab_results\[LabSamples2025_Bioplastic_extra.xlsx]extra_Bioplastic'!E367)," ",'Q:\Abteilungsprojekte\Eng\EngData\PROJECT_Bioplastics\Renjie_Pan\05-Raw_Data\Lab_results\[LabSamples2025_Bioplastic_extra.xlsx]extra_Bioplastic'!E367)</f>
        <v/>
      </c>
      <c r="F367">
        <f>IF(ISBLANK('Q:\Abteilungsprojekte\Eng\EngData\PROJECT_Bioplastics\Renjie_Pan\05-Raw_Data\Lab_results\[LabSamples2025_Bioplastic_extra.xlsx]extra_Bioplastic'!F367)," ",'Q:\Abteilungsprojekte\Eng\EngData\PROJECT_Bioplastics\Renjie_Pan\05-Raw_Data\Lab_results\[LabSamples2025_Bioplastic_extra.xlsx]extra_Bioplastic'!F367)</f>
        <v/>
      </c>
      <c r="G367">
        <f>IF(ISBLANK('Q:\Abteilungsprojekte\Eng\EngData\PROJECT_Bioplastics\Renjie_Pan\05-Raw_Data\Lab_results\[LabSamples2025_Bioplastic_extra.xlsx]extra_Bioplastic'!G367)," ",'Q:\Abteilungsprojekte\Eng\EngData\PROJECT_Bioplastics\Renjie_Pan\05-Raw_Data\Lab_results\[LabSamples2025_Bioplastic_extra.xlsx]extra_Bioplastic'!G367)</f>
        <v/>
      </c>
      <c r="H367">
        <f>IF(ISBLANK('Q:\Abteilungsprojekte\Eng\EngData\PROJECT_Bioplastics\Renjie_Pan\05-Raw_Data\Lab_results\[LabSamples2025_Bioplastic_extra.xlsx]extra_Bioplastic'!H367)," ",'Q:\Abteilungsprojekte\Eng\EngData\PROJECT_Bioplastics\Renjie_Pan\05-Raw_Data\Lab_results\[LabSamples2025_Bioplastic_extra.xlsx]extra_Bioplastic'!H367)</f>
        <v/>
      </c>
    </row>
    <row r="368">
      <c r="A368">
        <f>IF(ISBLANK('Q:\Abteilungsprojekte\Eng\EngData\PROJECT_Bioplastics\Renjie_Pan\05-Raw_Data\Lab_results\[LabSamples2025_Bioplastic_extra.xlsx]extra_Bioplastic'!A368)," ",'Q:\Abteilungsprojekte\Eng\EngData\PROJECT_Bioplastics\Renjie_Pan\05-Raw_Data\Lab_results\[LabSamples2025_Bioplastic_extra.xlsx]extra_Bioplastic'!A368)</f>
        <v/>
      </c>
      <c r="B368">
        <f>IF(ISBLANK('Q:\Abteilungsprojekte\Eng\EngData\PROJECT_Bioplastics\Renjie_Pan\05-Raw_Data\Lab_results\[LabSamples2025_Bioplastic_extra.xlsx]extra_Bioplastic'!B368)," ",'Q:\Abteilungsprojekte\Eng\EngData\PROJECT_Bioplastics\Renjie_Pan\05-Raw_Data\Lab_results\[LabSamples2025_Bioplastic_extra.xlsx]extra_Bioplastic'!B368)</f>
        <v/>
      </c>
      <c r="C368">
        <f>IF(ISBLANK('Q:\Abteilungsprojekte\Eng\EngData\PROJECT_Bioplastics\Renjie_Pan\05-Raw_Data\Lab_results\[LabSamples2025_Bioplastic_extra.xlsx]extra_Bioplastic'!C368)," ",'Q:\Abteilungsprojekte\Eng\EngData\PROJECT_Bioplastics\Renjie_Pan\05-Raw_Data\Lab_results\[LabSamples2025_Bioplastic_extra.xlsx]extra_Bioplastic'!C368)</f>
        <v/>
      </c>
      <c r="D368">
        <f>IF(ISBLANK('Q:\Abteilungsprojekte\Eng\EngData\PROJECT_Bioplastics\Renjie_Pan\05-Raw_Data\Lab_results\[LabSamples2025_Bioplastic_extra.xlsx]extra_Bioplastic'!D368)," ",'Q:\Abteilungsprojekte\Eng\EngData\PROJECT_Bioplastics\Renjie_Pan\05-Raw_Data\Lab_results\[LabSamples2025_Bioplastic_extra.xlsx]extra_Bioplastic'!D368)</f>
        <v/>
      </c>
      <c r="E368">
        <f>IF(ISBLANK('Q:\Abteilungsprojekte\Eng\EngData\PROJECT_Bioplastics\Renjie_Pan\05-Raw_Data\Lab_results\[LabSamples2025_Bioplastic_extra.xlsx]extra_Bioplastic'!E368)," ",'Q:\Abteilungsprojekte\Eng\EngData\PROJECT_Bioplastics\Renjie_Pan\05-Raw_Data\Lab_results\[LabSamples2025_Bioplastic_extra.xlsx]extra_Bioplastic'!E368)</f>
        <v/>
      </c>
      <c r="F368">
        <f>IF(ISBLANK('Q:\Abteilungsprojekte\Eng\EngData\PROJECT_Bioplastics\Renjie_Pan\05-Raw_Data\Lab_results\[LabSamples2025_Bioplastic_extra.xlsx]extra_Bioplastic'!F368)," ",'Q:\Abteilungsprojekte\Eng\EngData\PROJECT_Bioplastics\Renjie_Pan\05-Raw_Data\Lab_results\[LabSamples2025_Bioplastic_extra.xlsx]extra_Bioplastic'!F368)</f>
        <v/>
      </c>
      <c r="G368">
        <f>IF(ISBLANK('Q:\Abteilungsprojekte\Eng\EngData\PROJECT_Bioplastics\Renjie_Pan\05-Raw_Data\Lab_results\[LabSamples2025_Bioplastic_extra.xlsx]extra_Bioplastic'!G368)," ",'Q:\Abteilungsprojekte\Eng\EngData\PROJECT_Bioplastics\Renjie_Pan\05-Raw_Data\Lab_results\[LabSamples2025_Bioplastic_extra.xlsx]extra_Bioplastic'!G368)</f>
        <v/>
      </c>
      <c r="H368">
        <f>IF(ISBLANK('Q:\Abteilungsprojekte\Eng\EngData\PROJECT_Bioplastics\Renjie_Pan\05-Raw_Data\Lab_results\[LabSamples2025_Bioplastic_extra.xlsx]extra_Bioplastic'!H368)," ",'Q:\Abteilungsprojekte\Eng\EngData\PROJECT_Bioplastics\Renjie_Pan\05-Raw_Data\Lab_results\[LabSamples2025_Bioplastic_extra.xlsx]extra_Bioplastic'!H368)</f>
        <v/>
      </c>
    </row>
    <row r="369">
      <c r="A369">
        <f>IF(ISBLANK('Q:\Abteilungsprojekte\Eng\EngData\PROJECT_Bioplastics\Renjie_Pan\05-Raw_Data\Lab_results\[LabSamples2025_Bioplastic_extra.xlsx]extra_Bioplastic'!A369)," ",'Q:\Abteilungsprojekte\Eng\EngData\PROJECT_Bioplastics\Renjie_Pan\05-Raw_Data\Lab_results\[LabSamples2025_Bioplastic_extra.xlsx]extra_Bioplastic'!A369)</f>
        <v/>
      </c>
      <c r="B369">
        <f>IF(ISBLANK('Q:\Abteilungsprojekte\Eng\EngData\PROJECT_Bioplastics\Renjie_Pan\05-Raw_Data\Lab_results\[LabSamples2025_Bioplastic_extra.xlsx]extra_Bioplastic'!B369)," ",'Q:\Abteilungsprojekte\Eng\EngData\PROJECT_Bioplastics\Renjie_Pan\05-Raw_Data\Lab_results\[LabSamples2025_Bioplastic_extra.xlsx]extra_Bioplastic'!B369)</f>
        <v/>
      </c>
      <c r="C369">
        <f>IF(ISBLANK('Q:\Abteilungsprojekte\Eng\EngData\PROJECT_Bioplastics\Renjie_Pan\05-Raw_Data\Lab_results\[LabSamples2025_Bioplastic_extra.xlsx]extra_Bioplastic'!C369)," ",'Q:\Abteilungsprojekte\Eng\EngData\PROJECT_Bioplastics\Renjie_Pan\05-Raw_Data\Lab_results\[LabSamples2025_Bioplastic_extra.xlsx]extra_Bioplastic'!C369)</f>
        <v/>
      </c>
      <c r="D369">
        <f>IF(ISBLANK('Q:\Abteilungsprojekte\Eng\EngData\PROJECT_Bioplastics\Renjie_Pan\05-Raw_Data\Lab_results\[LabSamples2025_Bioplastic_extra.xlsx]extra_Bioplastic'!D369)," ",'Q:\Abteilungsprojekte\Eng\EngData\PROJECT_Bioplastics\Renjie_Pan\05-Raw_Data\Lab_results\[LabSamples2025_Bioplastic_extra.xlsx]extra_Bioplastic'!D369)</f>
        <v/>
      </c>
      <c r="E369">
        <f>IF(ISBLANK('Q:\Abteilungsprojekte\Eng\EngData\PROJECT_Bioplastics\Renjie_Pan\05-Raw_Data\Lab_results\[LabSamples2025_Bioplastic_extra.xlsx]extra_Bioplastic'!E369)," ",'Q:\Abteilungsprojekte\Eng\EngData\PROJECT_Bioplastics\Renjie_Pan\05-Raw_Data\Lab_results\[LabSamples2025_Bioplastic_extra.xlsx]extra_Bioplastic'!E369)</f>
        <v/>
      </c>
      <c r="F369">
        <f>IF(ISBLANK('Q:\Abteilungsprojekte\Eng\EngData\PROJECT_Bioplastics\Renjie_Pan\05-Raw_Data\Lab_results\[LabSamples2025_Bioplastic_extra.xlsx]extra_Bioplastic'!F369)," ",'Q:\Abteilungsprojekte\Eng\EngData\PROJECT_Bioplastics\Renjie_Pan\05-Raw_Data\Lab_results\[LabSamples2025_Bioplastic_extra.xlsx]extra_Bioplastic'!F369)</f>
        <v/>
      </c>
      <c r="G369">
        <f>IF(ISBLANK('Q:\Abteilungsprojekte\Eng\EngData\PROJECT_Bioplastics\Renjie_Pan\05-Raw_Data\Lab_results\[LabSamples2025_Bioplastic_extra.xlsx]extra_Bioplastic'!G369)," ",'Q:\Abteilungsprojekte\Eng\EngData\PROJECT_Bioplastics\Renjie_Pan\05-Raw_Data\Lab_results\[LabSamples2025_Bioplastic_extra.xlsx]extra_Bioplastic'!G369)</f>
        <v/>
      </c>
      <c r="H369">
        <f>IF(ISBLANK('Q:\Abteilungsprojekte\Eng\EngData\PROJECT_Bioplastics\Renjie_Pan\05-Raw_Data\Lab_results\[LabSamples2025_Bioplastic_extra.xlsx]extra_Bioplastic'!H369)," ",'Q:\Abteilungsprojekte\Eng\EngData\PROJECT_Bioplastics\Renjie_Pan\05-Raw_Data\Lab_results\[LabSamples2025_Bioplastic_extra.xlsx]extra_Bioplastic'!H369)</f>
        <v/>
      </c>
    </row>
    <row r="370">
      <c r="A370">
        <f>IF(ISBLANK('Q:\Abteilungsprojekte\Eng\EngData\PROJECT_Bioplastics\Renjie_Pan\05-Raw_Data\Lab_results\[LabSamples2025_Bioplastic_extra.xlsx]extra_Bioplastic'!A370)," ",'Q:\Abteilungsprojekte\Eng\EngData\PROJECT_Bioplastics\Renjie_Pan\05-Raw_Data\Lab_results\[LabSamples2025_Bioplastic_extra.xlsx]extra_Bioplastic'!A370)</f>
        <v/>
      </c>
      <c r="B370">
        <f>IF(ISBLANK('Q:\Abteilungsprojekte\Eng\EngData\PROJECT_Bioplastics\Renjie_Pan\05-Raw_Data\Lab_results\[LabSamples2025_Bioplastic_extra.xlsx]extra_Bioplastic'!B370)," ",'Q:\Abteilungsprojekte\Eng\EngData\PROJECT_Bioplastics\Renjie_Pan\05-Raw_Data\Lab_results\[LabSamples2025_Bioplastic_extra.xlsx]extra_Bioplastic'!B370)</f>
        <v/>
      </c>
      <c r="C370">
        <f>IF(ISBLANK('Q:\Abteilungsprojekte\Eng\EngData\PROJECT_Bioplastics\Renjie_Pan\05-Raw_Data\Lab_results\[LabSamples2025_Bioplastic_extra.xlsx]extra_Bioplastic'!C370)," ",'Q:\Abteilungsprojekte\Eng\EngData\PROJECT_Bioplastics\Renjie_Pan\05-Raw_Data\Lab_results\[LabSamples2025_Bioplastic_extra.xlsx]extra_Bioplastic'!C370)</f>
        <v/>
      </c>
      <c r="D370">
        <f>IF(ISBLANK('Q:\Abteilungsprojekte\Eng\EngData\PROJECT_Bioplastics\Renjie_Pan\05-Raw_Data\Lab_results\[LabSamples2025_Bioplastic_extra.xlsx]extra_Bioplastic'!D370)," ",'Q:\Abteilungsprojekte\Eng\EngData\PROJECT_Bioplastics\Renjie_Pan\05-Raw_Data\Lab_results\[LabSamples2025_Bioplastic_extra.xlsx]extra_Bioplastic'!D370)</f>
        <v/>
      </c>
      <c r="E370">
        <f>IF(ISBLANK('Q:\Abteilungsprojekte\Eng\EngData\PROJECT_Bioplastics\Renjie_Pan\05-Raw_Data\Lab_results\[LabSamples2025_Bioplastic_extra.xlsx]extra_Bioplastic'!E370)," ",'Q:\Abteilungsprojekte\Eng\EngData\PROJECT_Bioplastics\Renjie_Pan\05-Raw_Data\Lab_results\[LabSamples2025_Bioplastic_extra.xlsx]extra_Bioplastic'!E370)</f>
        <v/>
      </c>
      <c r="F370">
        <f>IF(ISBLANK('Q:\Abteilungsprojekte\Eng\EngData\PROJECT_Bioplastics\Renjie_Pan\05-Raw_Data\Lab_results\[LabSamples2025_Bioplastic_extra.xlsx]extra_Bioplastic'!F370)," ",'Q:\Abteilungsprojekte\Eng\EngData\PROJECT_Bioplastics\Renjie_Pan\05-Raw_Data\Lab_results\[LabSamples2025_Bioplastic_extra.xlsx]extra_Bioplastic'!F370)</f>
        <v/>
      </c>
      <c r="G370">
        <f>IF(ISBLANK('Q:\Abteilungsprojekte\Eng\EngData\PROJECT_Bioplastics\Renjie_Pan\05-Raw_Data\Lab_results\[LabSamples2025_Bioplastic_extra.xlsx]extra_Bioplastic'!G370)," ",'Q:\Abteilungsprojekte\Eng\EngData\PROJECT_Bioplastics\Renjie_Pan\05-Raw_Data\Lab_results\[LabSamples2025_Bioplastic_extra.xlsx]extra_Bioplastic'!G370)</f>
        <v/>
      </c>
      <c r="H370">
        <f>IF(ISBLANK('Q:\Abteilungsprojekte\Eng\EngData\PROJECT_Bioplastics\Renjie_Pan\05-Raw_Data\Lab_results\[LabSamples2025_Bioplastic_extra.xlsx]extra_Bioplastic'!H370)," ",'Q:\Abteilungsprojekte\Eng\EngData\PROJECT_Bioplastics\Renjie_Pan\05-Raw_Data\Lab_results\[LabSamples2025_Bioplastic_extra.xlsx]extra_Bioplastic'!H370)</f>
        <v/>
      </c>
    </row>
    <row r="371">
      <c r="A371">
        <f>IF(ISBLANK('Q:\Abteilungsprojekte\Eng\EngData\PROJECT_Bioplastics\Renjie_Pan\05-Raw_Data\Lab_results\[LabSamples2025_Bioplastic_extra.xlsx]extra_Bioplastic'!A371)," ",'Q:\Abteilungsprojekte\Eng\EngData\PROJECT_Bioplastics\Renjie_Pan\05-Raw_Data\Lab_results\[LabSamples2025_Bioplastic_extra.xlsx]extra_Bioplastic'!A371)</f>
        <v/>
      </c>
      <c r="B371">
        <f>IF(ISBLANK('Q:\Abteilungsprojekte\Eng\EngData\PROJECT_Bioplastics\Renjie_Pan\05-Raw_Data\Lab_results\[LabSamples2025_Bioplastic_extra.xlsx]extra_Bioplastic'!B371)," ",'Q:\Abteilungsprojekte\Eng\EngData\PROJECT_Bioplastics\Renjie_Pan\05-Raw_Data\Lab_results\[LabSamples2025_Bioplastic_extra.xlsx]extra_Bioplastic'!B371)</f>
        <v/>
      </c>
      <c r="C371">
        <f>IF(ISBLANK('Q:\Abteilungsprojekte\Eng\EngData\PROJECT_Bioplastics\Renjie_Pan\05-Raw_Data\Lab_results\[LabSamples2025_Bioplastic_extra.xlsx]extra_Bioplastic'!C371)," ",'Q:\Abteilungsprojekte\Eng\EngData\PROJECT_Bioplastics\Renjie_Pan\05-Raw_Data\Lab_results\[LabSamples2025_Bioplastic_extra.xlsx]extra_Bioplastic'!C371)</f>
        <v/>
      </c>
      <c r="D371">
        <f>IF(ISBLANK('Q:\Abteilungsprojekte\Eng\EngData\PROJECT_Bioplastics\Renjie_Pan\05-Raw_Data\Lab_results\[LabSamples2025_Bioplastic_extra.xlsx]extra_Bioplastic'!D371)," ",'Q:\Abteilungsprojekte\Eng\EngData\PROJECT_Bioplastics\Renjie_Pan\05-Raw_Data\Lab_results\[LabSamples2025_Bioplastic_extra.xlsx]extra_Bioplastic'!D371)</f>
        <v/>
      </c>
      <c r="E371">
        <f>IF(ISBLANK('Q:\Abteilungsprojekte\Eng\EngData\PROJECT_Bioplastics\Renjie_Pan\05-Raw_Data\Lab_results\[LabSamples2025_Bioplastic_extra.xlsx]extra_Bioplastic'!E371)," ",'Q:\Abteilungsprojekte\Eng\EngData\PROJECT_Bioplastics\Renjie_Pan\05-Raw_Data\Lab_results\[LabSamples2025_Bioplastic_extra.xlsx]extra_Bioplastic'!E371)</f>
        <v/>
      </c>
      <c r="F371">
        <f>IF(ISBLANK('Q:\Abteilungsprojekte\Eng\EngData\PROJECT_Bioplastics\Renjie_Pan\05-Raw_Data\Lab_results\[LabSamples2025_Bioplastic_extra.xlsx]extra_Bioplastic'!F371)," ",'Q:\Abteilungsprojekte\Eng\EngData\PROJECT_Bioplastics\Renjie_Pan\05-Raw_Data\Lab_results\[LabSamples2025_Bioplastic_extra.xlsx]extra_Bioplastic'!F371)</f>
        <v/>
      </c>
      <c r="G371">
        <f>IF(ISBLANK('Q:\Abteilungsprojekte\Eng\EngData\PROJECT_Bioplastics\Renjie_Pan\05-Raw_Data\Lab_results\[LabSamples2025_Bioplastic_extra.xlsx]extra_Bioplastic'!G371)," ",'Q:\Abteilungsprojekte\Eng\EngData\PROJECT_Bioplastics\Renjie_Pan\05-Raw_Data\Lab_results\[LabSamples2025_Bioplastic_extra.xlsx]extra_Bioplastic'!G371)</f>
        <v/>
      </c>
      <c r="H371">
        <f>IF(ISBLANK('Q:\Abteilungsprojekte\Eng\EngData\PROJECT_Bioplastics\Renjie_Pan\05-Raw_Data\Lab_results\[LabSamples2025_Bioplastic_extra.xlsx]extra_Bioplastic'!H371)," ",'Q:\Abteilungsprojekte\Eng\EngData\PROJECT_Bioplastics\Renjie_Pan\05-Raw_Data\Lab_results\[LabSamples2025_Bioplastic_extra.xlsx]extra_Bioplastic'!H371)</f>
        <v/>
      </c>
    </row>
    <row r="372">
      <c r="A372">
        <f>IF(ISBLANK('Q:\Abteilungsprojekte\Eng\EngData\PROJECT_Bioplastics\Renjie_Pan\05-Raw_Data\Lab_results\[LabSamples2025_Bioplastic_extra.xlsx]extra_Bioplastic'!A372)," ",'Q:\Abteilungsprojekte\Eng\EngData\PROJECT_Bioplastics\Renjie_Pan\05-Raw_Data\Lab_results\[LabSamples2025_Bioplastic_extra.xlsx]extra_Bioplastic'!A372)</f>
        <v/>
      </c>
      <c r="B372">
        <f>IF(ISBLANK('Q:\Abteilungsprojekte\Eng\EngData\PROJECT_Bioplastics\Renjie_Pan\05-Raw_Data\Lab_results\[LabSamples2025_Bioplastic_extra.xlsx]extra_Bioplastic'!B372)," ",'Q:\Abteilungsprojekte\Eng\EngData\PROJECT_Bioplastics\Renjie_Pan\05-Raw_Data\Lab_results\[LabSamples2025_Bioplastic_extra.xlsx]extra_Bioplastic'!B372)</f>
        <v/>
      </c>
      <c r="C372">
        <f>IF(ISBLANK('Q:\Abteilungsprojekte\Eng\EngData\PROJECT_Bioplastics\Renjie_Pan\05-Raw_Data\Lab_results\[LabSamples2025_Bioplastic_extra.xlsx]extra_Bioplastic'!C372)," ",'Q:\Abteilungsprojekte\Eng\EngData\PROJECT_Bioplastics\Renjie_Pan\05-Raw_Data\Lab_results\[LabSamples2025_Bioplastic_extra.xlsx]extra_Bioplastic'!C372)</f>
        <v/>
      </c>
      <c r="D372">
        <f>IF(ISBLANK('Q:\Abteilungsprojekte\Eng\EngData\PROJECT_Bioplastics\Renjie_Pan\05-Raw_Data\Lab_results\[LabSamples2025_Bioplastic_extra.xlsx]extra_Bioplastic'!D372)," ",'Q:\Abteilungsprojekte\Eng\EngData\PROJECT_Bioplastics\Renjie_Pan\05-Raw_Data\Lab_results\[LabSamples2025_Bioplastic_extra.xlsx]extra_Bioplastic'!D372)</f>
        <v/>
      </c>
      <c r="E372">
        <f>IF(ISBLANK('Q:\Abteilungsprojekte\Eng\EngData\PROJECT_Bioplastics\Renjie_Pan\05-Raw_Data\Lab_results\[LabSamples2025_Bioplastic_extra.xlsx]extra_Bioplastic'!E372)," ",'Q:\Abteilungsprojekte\Eng\EngData\PROJECT_Bioplastics\Renjie_Pan\05-Raw_Data\Lab_results\[LabSamples2025_Bioplastic_extra.xlsx]extra_Bioplastic'!E372)</f>
        <v/>
      </c>
      <c r="F372">
        <f>IF(ISBLANK('Q:\Abteilungsprojekte\Eng\EngData\PROJECT_Bioplastics\Renjie_Pan\05-Raw_Data\Lab_results\[LabSamples2025_Bioplastic_extra.xlsx]extra_Bioplastic'!F372)," ",'Q:\Abteilungsprojekte\Eng\EngData\PROJECT_Bioplastics\Renjie_Pan\05-Raw_Data\Lab_results\[LabSamples2025_Bioplastic_extra.xlsx]extra_Bioplastic'!F372)</f>
        <v/>
      </c>
      <c r="G372">
        <f>IF(ISBLANK('Q:\Abteilungsprojekte\Eng\EngData\PROJECT_Bioplastics\Renjie_Pan\05-Raw_Data\Lab_results\[LabSamples2025_Bioplastic_extra.xlsx]extra_Bioplastic'!G372)," ",'Q:\Abteilungsprojekte\Eng\EngData\PROJECT_Bioplastics\Renjie_Pan\05-Raw_Data\Lab_results\[LabSamples2025_Bioplastic_extra.xlsx]extra_Bioplastic'!G372)</f>
        <v/>
      </c>
      <c r="H372">
        <f>IF(ISBLANK('Q:\Abteilungsprojekte\Eng\EngData\PROJECT_Bioplastics\Renjie_Pan\05-Raw_Data\Lab_results\[LabSamples2025_Bioplastic_extra.xlsx]extra_Bioplastic'!H372)," ",'Q:\Abteilungsprojekte\Eng\EngData\PROJECT_Bioplastics\Renjie_Pan\05-Raw_Data\Lab_results\[LabSamples2025_Bioplastic_extra.xlsx]extra_Bioplastic'!H372)</f>
        <v/>
      </c>
    </row>
    <row r="373">
      <c r="A373">
        <f>IF(ISBLANK('Q:\Abteilungsprojekte\Eng\EngData\PROJECT_Bioplastics\Renjie_Pan\05-Raw_Data\Lab_results\[LabSamples2025_Bioplastic_extra.xlsx]extra_Bioplastic'!A373)," ",'Q:\Abteilungsprojekte\Eng\EngData\PROJECT_Bioplastics\Renjie_Pan\05-Raw_Data\Lab_results\[LabSamples2025_Bioplastic_extra.xlsx]extra_Bioplastic'!A373)</f>
        <v/>
      </c>
      <c r="B373">
        <f>IF(ISBLANK('Q:\Abteilungsprojekte\Eng\EngData\PROJECT_Bioplastics\Renjie_Pan\05-Raw_Data\Lab_results\[LabSamples2025_Bioplastic_extra.xlsx]extra_Bioplastic'!B373)," ",'Q:\Abteilungsprojekte\Eng\EngData\PROJECT_Bioplastics\Renjie_Pan\05-Raw_Data\Lab_results\[LabSamples2025_Bioplastic_extra.xlsx]extra_Bioplastic'!B373)</f>
        <v/>
      </c>
      <c r="C373">
        <f>IF(ISBLANK('Q:\Abteilungsprojekte\Eng\EngData\PROJECT_Bioplastics\Renjie_Pan\05-Raw_Data\Lab_results\[LabSamples2025_Bioplastic_extra.xlsx]extra_Bioplastic'!C373)," ",'Q:\Abteilungsprojekte\Eng\EngData\PROJECT_Bioplastics\Renjie_Pan\05-Raw_Data\Lab_results\[LabSamples2025_Bioplastic_extra.xlsx]extra_Bioplastic'!C373)</f>
        <v/>
      </c>
      <c r="D373">
        <f>IF(ISBLANK('Q:\Abteilungsprojekte\Eng\EngData\PROJECT_Bioplastics\Renjie_Pan\05-Raw_Data\Lab_results\[LabSamples2025_Bioplastic_extra.xlsx]extra_Bioplastic'!D373)," ",'Q:\Abteilungsprojekte\Eng\EngData\PROJECT_Bioplastics\Renjie_Pan\05-Raw_Data\Lab_results\[LabSamples2025_Bioplastic_extra.xlsx]extra_Bioplastic'!D373)</f>
        <v/>
      </c>
      <c r="E373">
        <f>IF(ISBLANK('Q:\Abteilungsprojekte\Eng\EngData\PROJECT_Bioplastics\Renjie_Pan\05-Raw_Data\Lab_results\[LabSamples2025_Bioplastic_extra.xlsx]extra_Bioplastic'!E373)," ",'Q:\Abteilungsprojekte\Eng\EngData\PROJECT_Bioplastics\Renjie_Pan\05-Raw_Data\Lab_results\[LabSamples2025_Bioplastic_extra.xlsx]extra_Bioplastic'!E373)</f>
        <v/>
      </c>
      <c r="F373">
        <f>IF(ISBLANK('Q:\Abteilungsprojekte\Eng\EngData\PROJECT_Bioplastics\Renjie_Pan\05-Raw_Data\Lab_results\[LabSamples2025_Bioplastic_extra.xlsx]extra_Bioplastic'!F373)," ",'Q:\Abteilungsprojekte\Eng\EngData\PROJECT_Bioplastics\Renjie_Pan\05-Raw_Data\Lab_results\[LabSamples2025_Bioplastic_extra.xlsx]extra_Bioplastic'!F373)</f>
        <v/>
      </c>
      <c r="G373">
        <f>IF(ISBLANK('Q:\Abteilungsprojekte\Eng\EngData\PROJECT_Bioplastics\Renjie_Pan\05-Raw_Data\Lab_results\[LabSamples2025_Bioplastic_extra.xlsx]extra_Bioplastic'!G373)," ",'Q:\Abteilungsprojekte\Eng\EngData\PROJECT_Bioplastics\Renjie_Pan\05-Raw_Data\Lab_results\[LabSamples2025_Bioplastic_extra.xlsx]extra_Bioplastic'!G373)</f>
        <v/>
      </c>
      <c r="H373">
        <f>IF(ISBLANK('Q:\Abteilungsprojekte\Eng\EngData\PROJECT_Bioplastics\Renjie_Pan\05-Raw_Data\Lab_results\[LabSamples2025_Bioplastic_extra.xlsx]extra_Bioplastic'!H373)," ",'Q:\Abteilungsprojekte\Eng\EngData\PROJECT_Bioplastics\Renjie_Pan\05-Raw_Data\Lab_results\[LabSamples2025_Bioplastic_extra.xlsx]extra_Bioplastic'!H373)</f>
        <v/>
      </c>
    </row>
    <row r="374">
      <c r="A374">
        <f>IF(ISBLANK('Q:\Abteilungsprojekte\Eng\EngData\PROJECT_Bioplastics\Renjie_Pan\05-Raw_Data\Lab_results\[LabSamples2025_Bioplastic_extra.xlsx]extra_Bioplastic'!A374)," ",'Q:\Abteilungsprojekte\Eng\EngData\PROJECT_Bioplastics\Renjie_Pan\05-Raw_Data\Lab_results\[LabSamples2025_Bioplastic_extra.xlsx]extra_Bioplastic'!A374)</f>
        <v/>
      </c>
      <c r="B374">
        <f>IF(ISBLANK('Q:\Abteilungsprojekte\Eng\EngData\PROJECT_Bioplastics\Renjie_Pan\05-Raw_Data\Lab_results\[LabSamples2025_Bioplastic_extra.xlsx]extra_Bioplastic'!B374)," ",'Q:\Abteilungsprojekte\Eng\EngData\PROJECT_Bioplastics\Renjie_Pan\05-Raw_Data\Lab_results\[LabSamples2025_Bioplastic_extra.xlsx]extra_Bioplastic'!B374)</f>
        <v/>
      </c>
      <c r="C374">
        <f>IF(ISBLANK('Q:\Abteilungsprojekte\Eng\EngData\PROJECT_Bioplastics\Renjie_Pan\05-Raw_Data\Lab_results\[LabSamples2025_Bioplastic_extra.xlsx]extra_Bioplastic'!C374)," ",'Q:\Abteilungsprojekte\Eng\EngData\PROJECT_Bioplastics\Renjie_Pan\05-Raw_Data\Lab_results\[LabSamples2025_Bioplastic_extra.xlsx]extra_Bioplastic'!C374)</f>
        <v/>
      </c>
      <c r="D374">
        <f>IF(ISBLANK('Q:\Abteilungsprojekte\Eng\EngData\PROJECT_Bioplastics\Renjie_Pan\05-Raw_Data\Lab_results\[LabSamples2025_Bioplastic_extra.xlsx]extra_Bioplastic'!D374)," ",'Q:\Abteilungsprojekte\Eng\EngData\PROJECT_Bioplastics\Renjie_Pan\05-Raw_Data\Lab_results\[LabSamples2025_Bioplastic_extra.xlsx]extra_Bioplastic'!D374)</f>
        <v/>
      </c>
      <c r="E374">
        <f>IF(ISBLANK('Q:\Abteilungsprojekte\Eng\EngData\PROJECT_Bioplastics\Renjie_Pan\05-Raw_Data\Lab_results\[LabSamples2025_Bioplastic_extra.xlsx]extra_Bioplastic'!E374)," ",'Q:\Abteilungsprojekte\Eng\EngData\PROJECT_Bioplastics\Renjie_Pan\05-Raw_Data\Lab_results\[LabSamples2025_Bioplastic_extra.xlsx]extra_Bioplastic'!E374)</f>
        <v/>
      </c>
      <c r="F374">
        <f>IF(ISBLANK('Q:\Abteilungsprojekte\Eng\EngData\PROJECT_Bioplastics\Renjie_Pan\05-Raw_Data\Lab_results\[LabSamples2025_Bioplastic_extra.xlsx]extra_Bioplastic'!F374)," ",'Q:\Abteilungsprojekte\Eng\EngData\PROJECT_Bioplastics\Renjie_Pan\05-Raw_Data\Lab_results\[LabSamples2025_Bioplastic_extra.xlsx]extra_Bioplastic'!F374)</f>
        <v/>
      </c>
      <c r="G374">
        <f>IF(ISBLANK('Q:\Abteilungsprojekte\Eng\EngData\PROJECT_Bioplastics\Renjie_Pan\05-Raw_Data\Lab_results\[LabSamples2025_Bioplastic_extra.xlsx]extra_Bioplastic'!G374)," ",'Q:\Abteilungsprojekte\Eng\EngData\PROJECT_Bioplastics\Renjie_Pan\05-Raw_Data\Lab_results\[LabSamples2025_Bioplastic_extra.xlsx]extra_Bioplastic'!G374)</f>
        <v/>
      </c>
      <c r="H374">
        <f>IF(ISBLANK('Q:\Abteilungsprojekte\Eng\EngData\PROJECT_Bioplastics\Renjie_Pan\05-Raw_Data\Lab_results\[LabSamples2025_Bioplastic_extra.xlsx]extra_Bioplastic'!H374)," ",'Q:\Abteilungsprojekte\Eng\EngData\PROJECT_Bioplastics\Renjie_Pan\05-Raw_Data\Lab_results\[LabSamples2025_Bioplastic_extra.xlsx]extra_Bioplastic'!H374)</f>
        <v/>
      </c>
    </row>
    <row r="375">
      <c r="A375">
        <f>IF(ISBLANK('Q:\Abteilungsprojekte\Eng\EngData\PROJECT_Bioplastics\Renjie_Pan\05-Raw_Data\Lab_results\[LabSamples2025_Bioplastic_extra.xlsx]extra_Bioplastic'!A375)," ",'Q:\Abteilungsprojekte\Eng\EngData\PROJECT_Bioplastics\Renjie_Pan\05-Raw_Data\Lab_results\[LabSamples2025_Bioplastic_extra.xlsx]extra_Bioplastic'!A375)</f>
        <v/>
      </c>
      <c r="B375">
        <f>IF(ISBLANK('Q:\Abteilungsprojekte\Eng\EngData\PROJECT_Bioplastics\Renjie_Pan\05-Raw_Data\Lab_results\[LabSamples2025_Bioplastic_extra.xlsx]extra_Bioplastic'!B375)," ",'Q:\Abteilungsprojekte\Eng\EngData\PROJECT_Bioplastics\Renjie_Pan\05-Raw_Data\Lab_results\[LabSamples2025_Bioplastic_extra.xlsx]extra_Bioplastic'!B375)</f>
        <v/>
      </c>
      <c r="C375">
        <f>IF(ISBLANK('Q:\Abteilungsprojekte\Eng\EngData\PROJECT_Bioplastics\Renjie_Pan\05-Raw_Data\Lab_results\[LabSamples2025_Bioplastic_extra.xlsx]extra_Bioplastic'!C375)," ",'Q:\Abteilungsprojekte\Eng\EngData\PROJECT_Bioplastics\Renjie_Pan\05-Raw_Data\Lab_results\[LabSamples2025_Bioplastic_extra.xlsx]extra_Bioplastic'!C375)</f>
        <v/>
      </c>
      <c r="D375">
        <f>IF(ISBLANK('Q:\Abteilungsprojekte\Eng\EngData\PROJECT_Bioplastics\Renjie_Pan\05-Raw_Data\Lab_results\[LabSamples2025_Bioplastic_extra.xlsx]extra_Bioplastic'!D375)," ",'Q:\Abteilungsprojekte\Eng\EngData\PROJECT_Bioplastics\Renjie_Pan\05-Raw_Data\Lab_results\[LabSamples2025_Bioplastic_extra.xlsx]extra_Bioplastic'!D375)</f>
        <v/>
      </c>
      <c r="E375">
        <f>IF(ISBLANK('Q:\Abteilungsprojekte\Eng\EngData\PROJECT_Bioplastics\Renjie_Pan\05-Raw_Data\Lab_results\[LabSamples2025_Bioplastic_extra.xlsx]extra_Bioplastic'!E375)," ",'Q:\Abteilungsprojekte\Eng\EngData\PROJECT_Bioplastics\Renjie_Pan\05-Raw_Data\Lab_results\[LabSamples2025_Bioplastic_extra.xlsx]extra_Bioplastic'!E375)</f>
        <v/>
      </c>
      <c r="F375">
        <f>IF(ISBLANK('Q:\Abteilungsprojekte\Eng\EngData\PROJECT_Bioplastics\Renjie_Pan\05-Raw_Data\Lab_results\[LabSamples2025_Bioplastic_extra.xlsx]extra_Bioplastic'!F375)," ",'Q:\Abteilungsprojekte\Eng\EngData\PROJECT_Bioplastics\Renjie_Pan\05-Raw_Data\Lab_results\[LabSamples2025_Bioplastic_extra.xlsx]extra_Bioplastic'!F375)</f>
        <v/>
      </c>
      <c r="G375">
        <f>IF(ISBLANK('Q:\Abteilungsprojekte\Eng\EngData\PROJECT_Bioplastics\Renjie_Pan\05-Raw_Data\Lab_results\[LabSamples2025_Bioplastic_extra.xlsx]extra_Bioplastic'!G375)," ",'Q:\Abteilungsprojekte\Eng\EngData\PROJECT_Bioplastics\Renjie_Pan\05-Raw_Data\Lab_results\[LabSamples2025_Bioplastic_extra.xlsx]extra_Bioplastic'!G375)</f>
        <v/>
      </c>
      <c r="H375">
        <f>IF(ISBLANK('Q:\Abteilungsprojekte\Eng\EngData\PROJECT_Bioplastics\Renjie_Pan\05-Raw_Data\Lab_results\[LabSamples2025_Bioplastic_extra.xlsx]extra_Bioplastic'!H375)," ",'Q:\Abteilungsprojekte\Eng\EngData\PROJECT_Bioplastics\Renjie_Pan\05-Raw_Data\Lab_results\[LabSamples2025_Bioplastic_extra.xlsx]extra_Bioplastic'!H375)</f>
        <v/>
      </c>
    </row>
    <row r="376">
      <c r="A376">
        <f>IF(ISBLANK('Q:\Abteilungsprojekte\Eng\EngData\PROJECT_Bioplastics\Renjie_Pan\05-Raw_Data\Lab_results\[LabSamples2025_Bioplastic_extra.xlsx]extra_Bioplastic'!A376)," ",'Q:\Abteilungsprojekte\Eng\EngData\PROJECT_Bioplastics\Renjie_Pan\05-Raw_Data\Lab_results\[LabSamples2025_Bioplastic_extra.xlsx]extra_Bioplastic'!A376)</f>
        <v/>
      </c>
      <c r="B376">
        <f>IF(ISBLANK('Q:\Abteilungsprojekte\Eng\EngData\PROJECT_Bioplastics\Renjie_Pan\05-Raw_Data\Lab_results\[LabSamples2025_Bioplastic_extra.xlsx]extra_Bioplastic'!B376)," ",'Q:\Abteilungsprojekte\Eng\EngData\PROJECT_Bioplastics\Renjie_Pan\05-Raw_Data\Lab_results\[LabSamples2025_Bioplastic_extra.xlsx]extra_Bioplastic'!B376)</f>
        <v/>
      </c>
      <c r="C376">
        <f>IF(ISBLANK('Q:\Abteilungsprojekte\Eng\EngData\PROJECT_Bioplastics\Renjie_Pan\05-Raw_Data\Lab_results\[LabSamples2025_Bioplastic_extra.xlsx]extra_Bioplastic'!C376)," ",'Q:\Abteilungsprojekte\Eng\EngData\PROJECT_Bioplastics\Renjie_Pan\05-Raw_Data\Lab_results\[LabSamples2025_Bioplastic_extra.xlsx]extra_Bioplastic'!C376)</f>
        <v/>
      </c>
      <c r="D376">
        <f>IF(ISBLANK('Q:\Abteilungsprojekte\Eng\EngData\PROJECT_Bioplastics\Renjie_Pan\05-Raw_Data\Lab_results\[LabSamples2025_Bioplastic_extra.xlsx]extra_Bioplastic'!D376)," ",'Q:\Abteilungsprojekte\Eng\EngData\PROJECT_Bioplastics\Renjie_Pan\05-Raw_Data\Lab_results\[LabSamples2025_Bioplastic_extra.xlsx]extra_Bioplastic'!D376)</f>
        <v/>
      </c>
      <c r="E376">
        <f>IF(ISBLANK('Q:\Abteilungsprojekte\Eng\EngData\PROJECT_Bioplastics\Renjie_Pan\05-Raw_Data\Lab_results\[LabSamples2025_Bioplastic_extra.xlsx]extra_Bioplastic'!E376)," ",'Q:\Abteilungsprojekte\Eng\EngData\PROJECT_Bioplastics\Renjie_Pan\05-Raw_Data\Lab_results\[LabSamples2025_Bioplastic_extra.xlsx]extra_Bioplastic'!E376)</f>
        <v/>
      </c>
      <c r="F376">
        <f>IF(ISBLANK('Q:\Abteilungsprojekte\Eng\EngData\PROJECT_Bioplastics\Renjie_Pan\05-Raw_Data\Lab_results\[LabSamples2025_Bioplastic_extra.xlsx]extra_Bioplastic'!F376)," ",'Q:\Abteilungsprojekte\Eng\EngData\PROJECT_Bioplastics\Renjie_Pan\05-Raw_Data\Lab_results\[LabSamples2025_Bioplastic_extra.xlsx]extra_Bioplastic'!F376)</f>
        <v/>
      </c>
      <c r="G376">
        <f>IF(ISBLANK('Q:\Abteilungsprojekte\Eng\EngData\PROJECT_Bioplastics\Renjie_Pan\05-Raw_Data\Lab_results\[LabSamples2025_Bioplastic_extra.xlsx]extra_Bioplastic'!G376)," ",'Q:\Abteilungsprojekte\Eng\EngData\PROJECT_Bioplastics\Renjie_Pan\05-Raw_Data\Lab_results\[LabSamples2025_Bioplastic_extra.xlsx]extra_Bioplastic'!G376)</f>
        <v/>
      </c>
      <c r="H376">
        <f>IF(ISBLANK('Q:\Abteilungsprojekte\Eng\EngData\PROJECT_Bioplastics\Renjie_Pan\05-Raw_Data\Lab_results\[LabSamples2025_Bioplastic_extra.xlsx]extra_Bioplastic'!H376)," ",'Q:\Abteilungsprojekte\Eng\EngData\PROJECT_Bioplastics\Renjie_Pan\05-Raw_Data\Lab_results\[LabSamples2025_Bioplastic_extra.xlsx]extra_Bioplastic'!H376)</f>
        <v/>
      </c>
    </row>
    <row r="377">
      <c r="A377">
        <f>IF(ISBLANK('Q:\Abteilungsprojekte\Eng\EngData\PROJECT_Bioplastics\Renjie_Pan\05-Raw_Data\Lab_results\[LabSamples2025_Bioplastic_extra.xlsx]extra_Bioplastic'!A377)," ",'Q:\Abteilungsprojekte\Eng\EngData\PROJECT_Bioplastics\Renjie_Pan\05-Raw_Data\Lab_results\[LabSamples2025_Bioplastic_extra.xlsx]extra_Bioplastic'!A377)</f>
        <v/>
      </c>
      <c r="B377">
        <f>IF(ISBLANK('Q:\Abteilungsprojekte\Eng\EngData\PROJECT_Bioplastics\Renjie_Pan\05-Raw_Data\Lab_results\[LabSamples2025_Bioplastic_extra.xlsx]extra_Bioplastic'!B377)," ",'Q:\Abteilungsprojekte\Eng\EngData\PROJECT_Bioplastics\Renjie_Pan\05-Raw_Data\Lab_results\[LabSamples2025_Bioplastic_extra.xlsx]extra_Bioplastic'!B377)</f>
        <v/>
      </c>
      <c r="C377">
        <f>IF(ISBLANK('Q:\Abteilungsprojekte\Eng\EngData\PROJECT_Bioplastics\Renjie_Pan\05-Raw_Data\Lab_results\[LabSamples2025_Bioplastic_extra.xlsx]extra_Bioplastic'!C377)," ",'Q:\Abteilungsprojekte\Eng\EngData\PROJECT_Bioplastics\Renjie_Pan\05-Raw_Data\Lab_results\[LabSamples2025_Bioplastic_extra.xlsx]extra_Bioplastic'!C377)</f>
        <v/>
      </c>
      <c r="D377">
        <f>IF(ISBLANK('Q:\Abteilungsprojekte\Eng\EngData\PROJECT_Bioplastics\Renjie_Pan\05-Raw_Data\Lab_results\[LabSamples2025_Bioplastic_extra.xlsx]extra_Bioplastic'!D377)," ",'Q:\Abteilungsprojekte\Eng\EngData\PROJECT_Bioplastics\Renjie_Pan\05-Raw_Data\Lab_results\[LabSamples2025_Bioplastic_extra.xlsx]extra_Bioplastic'!D377)</f>
        <v/>
      </c>
      <c r="E377">
        <f>IF(ISBLANK('Q:\Abteilungsprojekte\Eng\EngData\PROJECT_Bioplastics\Renjie_Pan\05-Raw_Data\Lab_results\[LabSamples2025_Bioplastic_extra.xlsx]extra_Bioplastic'!E377)," ",'Q:\Abteilungsprojekte\Eng\EngData\PROJECT_Bioplastics\Renjie_Pan\05-Raw_Data\Lab_results\[LabSamples2025_Bioplastic_extra.xlsx]extra_Bioplastic'!E377)</f>
        <v/>
      </c>
      <c r="F377">
        <f>IF(ISBLANK('Q:\Abteilungsprojekte\Eng\EngData\PROJECT_Bioplastics\Renjie_Pan\05-Raw_Data\Lab_results\[LabSamples2025_Bioplastic_extra.xlsx]extra_Bioplastic'!F377)," ",'Q:\Abteilungsprojekte\Eng\EngData\PROJECT_Bioplastics\Renjie_Pan\05-Raw_Data\Lab_results\[LabSamples2025_Bioplastic_extra.xlsx]extra_Bioplastic'!F377)</f>
        <v/>
      </c>
      <c r="G377">
        <f>IF(ISBLANK('Q:\Abteilungsprojekte\Eng\EngData\PROJECT_Bioplastics\Renjie_Pan\05-Raw_Data\Lab_results\[LabSamples2025_Bioplastic_extra.xlsx]extra_Bioplastic'!G377)," ",'Q:\Abteilungsprojekte\Eng\EngData\PROJECT_Bioplastics\Renjie_Pan\05-Raw_Data\Lab_results\[LabSamples2025_Bioplastic_extra.xlsx]extra_Bioplastic'!G377)</f>
        <v/>
      </c>
      <c r="H377">
        <f>IF(ISBLANK('Q:\Abteilungsprojekte\Eng\EngData\PROJECT_Bioplastics\Renjie_Pan\05-Raw_Data\Lab_results\[LabSamples2025_Bioplastic_extra.xlsx]extra_Bioplastic'!H377)," ",'Q:\Abteilungsprojekte\Eng\EngData\PROJECT_Bioplastics\Renjie_Pan\05-Raw_Data\Lab_results\[LabSamples2025_Bioplastic_extra.xlsx]extra_Bioplastic'!H377)</f>
        <v/>
      </c>
    </row>
    <row r="378">
      <c r="A378">
        <f>IF(ISBLANK('Q:\Abteilungsprojekte\Eng\EngData\PROJECT_Bioplastics\Renjie_Pan\05-Raw_Data\Lab_results\[LabSamples2025_Bioplastic_extra.xlsx]extra_Bioplastic'!A378)," ",'Q:\Abteilungsprojekte\Eng\EngData\PROJECT_Bioplastics\Renjie_Pan\05-Raw_Data\Lab_results\[LabSamples2025_Bioplastic_extra.xlsx]extra_Bioplastic'!A378)</f>
        <v/>
      </c>
      <c r="B378">
        <f>IF(ISBLANK('Q:\Abteilungsprojekte\Eng\EngData\PROJECT_Bioplastics\Renjie_Pan\05-Raw_Data\Lab_results\[LabSamples2025_Bioplastic_extra.xlsx]extra_Bioplastic'!B378)," ",'Q:\Abteilungsprojekte\Eng\EngData\PROJECT_Bioplastics\Renjie_Pan\05-Raw_Data\Lab_results\[LabSamples2025_Bioplastic_extra.xlsx]extra_Bioplastic'!B378)</f>
        <v/>
      </c>
      <c r="C378">
        <f>IF(ISBLANK('Q:\Abteilungsprojekte\Eng\EngData\PROJECT_Bioplastics\Renjie_Pan\05-Raw_Data\Lab_results\[LabSamples2025_Bioplastic_extra.xlsx]extra_Bioplastic'!C378)," ",'Q:\Abteilungsprojekte\Eng\EngData\PROJECT_Bioplastics\Renjie_Pan\05-Raw_Data\Lab_results\[LabSamples2025_Bioplastic_extra.xlsx]extra_Bioplastic'!C378)</f>
        <v/>
      </c>
      <c r="D378">
        <f>IF(ISBLANK('Q:\Abteilungsprojekte\Eng\EngData\PROJECT_Bioplastics\Renjie_Pan\05-Raw_Data\Lab_results\[LabSamples2025_Bioplastic_extra.xlsx]extra_Bioplastic'!D378)," ",'Q:\Abteilungsprojekte\Eng\EngData\PROJECT_Bioplastics\Renjie_Pan\05-Raw_Data\Lab_results\[LabSamples2025_Bioplastic_extra.xlsx]extra_Bioplastic'!D378)</f>
        <v/>
      </c>
      <c r="E378">
        <f>IF(ISBLANK('Q:\Abteilungsprojekte\Eng\EngData\PROJECT_Bioplastics\Renjie_Pan\05-Raw_Data\Lab_results\[LabSamples2025_Bioplastic_extra.xlsx]extra_Bioplastic'!E378)," ",'Q:\Abteilungsprojekte\Eng\EngData\PROJECT_Bioplastics\Renjie_Pan\05-Raw_Data\Lab_results\[LabSamples2025_Bioplastic_extra.xlsx]extra_Bioplastic'!E378)</f>
        <v/>
      </c>
      <c r="F378">
        <f>IF(ISBLANK('Q:\Abteilungsprojekte\Eng\EngData\PROJECT_Bioplastics\Renjie_Pan\05-Raw_Data\Lab_results\[LabSamples2025_Bioplastic_extra.xlsx]extra_Bioplastic'!F378)," ",'Q:\Abteilungsprojekte\Eng\EngData\PROJECT_Bioplastics\Renjie_Pan\05-Raw_Data\Lab_results\[LabSamples2025_Bioplastic_extra.xlsx]extra_Bioplastic'!F378)</f>
        <v/>
      </c>
      <c r="G378">
        <f>IF(ISBLANK('Q:\Abteilungsprojekte\Eng\EngData\PROJECT_Bioplastics\Renjie_Pan\05-Raw_Data\Lab_results\[LabSamples2025_Bioplastic_extra.xlsx]extra_Bioplastic'!G378)," ",'Q:\Abteilungsprojekte\Eng\EngData\PROJECT_Bioplastics\Renjie_Pan\05-Raw_Data\Lab_results\[LabSamples2025_Bioplastic_extra.xlsx]extra_Bioplastic'!G378)</f>
        <v/>
      </c>
      <c r="H378">
        <f>IF(ISBLANK('Q:\Abteilungsprojekte\Eng\EngData\PROJECT_Bioplastics\Renjie_Pan\05-Raw_Data\Lab_results\[LabSamples2025_Bioplastic_extra.xlsx]extra_Bioplastic'!H378)," ",'Q:\Abteilungsprojekte\Eng\EngData\PROJECT_Bioplastics\Renjie_Pan\05-Raw_Data\Lab_results\[LabSamples2025_Bioplastic_extra.xlsx]extra_Bioplastic'!H378)</f>
        <v/>
      </c>
    </row>
    <row r="379">
      <c r="A379">
        <f>IF(ISBLANK('Q:\Abteilungsprojekte\Eng\EngData\PROJECT_Bioplastics\Renjie_Pan\05-Raw_Data\Lab_results\[LabSamples2025_Bioplastic_extra.xlsx]extra_Bioplastic'!A379)," ",'Q:\Abteilungsprojekte\Eng\EngData\PROJECT_Bioplastics\Renjie_Pan\05-Raw_Data\Lab_results\[LabSamples2025_Bioplastic_extra.xlsx]extra_Bioplastic'!A379)</f>
        <v/>
      </c>
      <c r="B379">
        <f>IF(ISBLANK('Q:\Abteilungsprojekte\Eng\EngData\PROJECT_Bioplastics\Renjie_Pan\05-Raw_Data\Lab_results\[LabSamples2025_Bioplastic_extra.xlsx]extra_Bioplastic'!B379)," ",'Q:\Abteilungsprojekte\Eng\EngData\PROJECT_Bioplastics\Renjie_Pan\05-Raw_Data\Lab_results\[LabSamples2025_Bioplastic_extra.xlsx]extra_Bioplastic'!B379)</f>
        <v/>
      </c>
      <c r="C379">
        <f>IF(ISBLANK('Q:\Abteilungsprojekte\Eng\EngData\PROJECT_Bioplastics\Renjie_Pan\05-Raw_Data\Lab_results\[LabSamples2025_Bioplastic_extra.xlsx]extra_Bioplastic'!C379)," ",'Q:\Abteilungsprojekte\Eng\EngData\PROJECT_Bioplastics\Renjie_Pan\05-Raw_Data\Lab_results\[LabSamples2025_Bioplastic_extra.xlsx]extra_Bioplastic'!C379)</f>
        <v/>
      </c>
      <c r="D379">
        <f>IF(ISBLANK('Q:\Abteilungsprojekte\Eng\EngData\PROJECT_Bioplastics\Renjie_Pan\05-Raw_Data\Lab_results\[LabSamples2025_Bioplastic_extra.xlsx]extra_Bioplastic'!D379)," ",'Q:\Abteilungsprojekte\Eng\EngData\PROJECT_Bioplastics\Renjie_Pan\05-Raw_Data\Lab_results\[LabSamples2025_Bioplastic_extra.xlsx]extra_Bioplastic'!D379)</f>
        <v/>
      </c>
      <c r="E379">
        <f>IF(ISBLANK('Q:\Abteilungsprojekte\Eng\EngData\PROJECT_Bioplastics\Renjie_Pan\05-Raw_Data\Lab_results\[LabSamples2025_Bioplastic_extra.xlsx]extra_Bioplastic'!E379)," ",'Q:\Abteilungsprojekte\Eng\EngData\PROJECT_Bioplastics\Renjie_Pan\05-Raw_Data\Lab_results\[LabSamples2025_Bioplastic_extra.xlsx]extra_Bioplastic'!E379)</f>
        <v/>
      </c>
      <c r="F379">
        <f>IF(ISBLANK('Q:\Abteilungsprojekte\Eng\EngData\PROJECT_Bioplastics\Renjie_Pan\05-Raw_Data\Lab_results\[LabSamples2025_Bioplastic_extra.xlsx]extra_Bioplastic'!F379)," ",'Q:\Abteilungsprojekte\Eng\EngData\PROJECT_Bioplastics\Renjie_Pan\05-Raw_Data\Lab_results\[LabSamples2025_Bioplastic_extra.xlsx]extra_Bioplastic'!F379)</f>
        <v/>
      </c>
      <c r="G379">
        <f>IF(ISBLANK('Q:\Abteilungsprojekte\Eng\EngData\PROJECT_Bioplastics\Renjie_Pan\05-Raw_Data\Lab_results\[LabSamples2025_Bioplastic_extra.xlsx]extra_Bioplastic'!G379)," ",'Q:\Abteilungsprojekte\Eng\EngData\PROJECT_Bioplastics\Renjie_Pan\05-Raw_Data\Lab_results\[LabSamples2025_Bioplastic_extra.xlsx]extra_Bioplastic'!G379)</f>
        <v/>
      </c>
      <c r="H379">
        <f>IF(ISBLANK('Q:\Abteilungsprojekte\Eng\EngData\PROJECT_Bioplastics\Renjie_Pan\05-Raw_Data\Lab_results\[LabSamples2025_Bioplastic_extra.xlsx]extra_Bioplastic'!H379)," ",'Q:\Abteilungsprojekte\Eng\EngData\PROJECT_Bioplastics\Renjie_Pan\05-Raw_Data\Lab_results\[LabSamples2025_Bioplastic_extra.xlsx]extra_Bioplastic'!H379)</f>
        <v/>
      </c>
    </row>
    <row r="380">
      <c r="A380">
        <f>IF(ISBLANK('Q:\Abteilungsprojekte\Eng\EngData\PROJECT_Bioplastics\Renjie_Pan\05-Raw_Data\Lab_results\[LabSamples2025_Bioplastic_extra.xlsx]extra_Bioplastic'!A380)," ",'Q:\Abteilungsprojekte\Eng\EngData\PROJECT_Bioplastics\Renjie_Pan\05-Raw_Data\Lab_results\[LabSamples2025_Bioplastic_extra.xlsx]extra_Bioplastic'!A380)</f>
        <v/>
      </c>
      <c r="B380">
        <f>IF(ISBLANK('Q:\Abteilungsprojekte\Eng\EngData\PROJECT_Bioplastics\Renjie_Pan\05-Raw_Data\Lab_results\[LabSamples2025_Bioplastic_extra.xlsx]extra_Bioplastic'!B380)," ",'Q:\Abteilungsprojekte\Eng\EngData\PROJECT_Bioplastics\Renjie_Pan\05-Raw_Data\Lab_results\[LabSamples2025_Bioplastic_extra.xlsx]extra_Bioplastic'!B380)</f>
        <v/>
      </c>
      <c r="C380">
        <f>IF(ISBLANK('Q:\Abteilungsprojekte\Eng\EngData\PROJECT_Bioplastics\Renjie_Pan\05-Raw_Data\Lab_results\[LabSamples2025_Bioplastic_extra.xlsx]extra_Bioplastic'!C380)," ",'Q:\Abteilungsprojekte\Eng\EngData\PROJECT_Bioplastics\Renjie_Pan\05-Raw_Data\Lab_results\[LabSamples2025_Bioplastic_extra.xlsx]extra_Bioplastic'!C380)</f>
        <v/>
      </c>
      <c r="D380">
        <f>IF(ISBLANK('Q:\Abteilungsprojekte\Eng\EngData\PROJECT_Bioplastics\Renjie_Pan\05-Raw_Data\Lab_results\[LabSamples2025_Bioplastic_extra.xlsx]extra_Bioplastic'!D380)," ",'Q:\Abteilungsprojekte\Eng\EngData\PROJECT_Bioplastics\Renjie_Pan\05-Raw_Data\Lab_results\[LabSamples2025_Bioplastic_extra.xlsx]extra_Bioplastic'!D380)</f>
        <v/>
      </c>
      <c r="E380">
        <f>IF(ISBLANK('Q:\Abteilungsprojekte\Eng\EngData\PROJECT_Bioplastics\Renjie_Pan\05-Raw_Data\Lab_results\[LabSamples2025_Bioplastic_extra.xlsx]extra_Bioplastic'!E380)," ",'Q:\Abteilungsprojekte\Eng\EngData\PROJECT_Bioplastics\Renjie_Pan\05-Raw_Data\Lab_results\[LabSamples2025_Bioplastic_extra.xlsx]extra_Bioplastic'!E380)</f>
        <v/>
      </c>
      <c r="F380">
        <f>IF(ISBLANK('Q:\Abteilungsprojekte\Eng\EngData\PROJECT_Bioplastics\Renjie_Pan\05-Raw_Data\Lab_results\[LabSamples2025_Bioplastic_extra.xlsx]extra_Bioplastic'!F380)," ",'Q:\Abteilungsprojekte\Eng\EngData\PROJECT_Bioplastics\Renjie_Pan\05-Raw_Data\Lab_results\[LabSamples2025_Bioplastic_extra.xlsx]extra_Bioplastic'!F380)</f>
        <v/>
      </c>
      <c r="G380">
        <f>IF(ISBLANK('Q:\Abteilungsprojekte\Eng\EngData\PROJECT_Bioplastics\Renjie_Pan\05-Raw_Data\Lab_results\[LabSamples2025_Bioplastic_extra.xlsx]extra_Bioplastic'!G380)," ",'Q:\Abteilungsprojekte\Eng\EngData\PROJECT_Bioplastics\Renjie_Pan\05-Raw_Data\Lab_results\[LabSamples2025_Bioplastic_extra.xlsx]extra_Bioplastic'!G380)</f>
        <v/>
      </c>
      <c r="H380">
        <f>IF(ISBLANK('Q:\Abteilungsprojekte\Eng\EngData\PROJECT_Bioplastics\Renjie_Pan\05-Raw_Data\Lab_results\[LabSamples2025_Bioplastic_extra.xlsx]extra_Bioplastic'!H380)," ",'Q:\Abteilungsprojekte\Eng\EngData\PROJECT_Bioplastics\Renjie_Pan\05-Raw_Data\Lab_results\[LabSamples2025_Bioplastic_extra.xlsx]extra_Bioplastic'!H380)</f>
        <v/>
      </c>
    </row>
    <row r="381">
      <c r="A381">
        <f>IF(ISBLANK('Q:\Abteilungsprojekte\Eng\EngData\PROJECT_Bioplastics\Renjie_Pan\05-Raw_Data\Lab_results\[LabSamples2025_Bioplastic_extra.xlsx]extra_Bioplastic'!A381)," ",'Q:\Abteilungsprojekte\Eng\EngData\PROJECT_Bioplastics\Renjie_Pan\05-Raw_Data\Lab_results\[LabSamples2025_Bioplastic_extra.xlsx]extra_Bioplastic'!A381)</f>
        <v/>
      </c>
      <c r="B381">
        <f>IF(ISBLANK('Q:\Abteilungsprojekte\Eng\EngData\PROJECT_Bioplastics\Renjie_Pan\05-Raw_Data\Lab_results\[LabSamples2025_Bioplastic_extra.xlsx]extra_Bioplastic'!B381)," ",'Q:\Abteilungsprojekte\Eng\EngData\PROJECT_Bioplastics\Renjie_Pan\05-Raw_Data\Lab_results\[LabSamples2025_Bioplastic_extra.xlsx]extra_Bioplastic'!B381)</f>
        <v/>
      </c>
      <c r="C381">
        <f>IF(ISBLANK('Q:\Abteilungsprojekte\Eng\EngData\PROJECT_Bioplastics\Renjie_Pan\05-Raw_Data\Lab_results\[LabSamples2025_Bioplastic_extra.xlsx]extra_Bioplastic'!C381)," ",'Q:\Abteilungsprojekte\Eng\EngData\PROJECT_Bioplastics\Renjie_Pan\05-Raw_Data\Lab_results\[LabSamples2025_Bioplastic_extra.xlsx]extra_Bioplastic'!C381)</f>
        <v/>
      </c>
      <c r="D381">
        <f>IF(ISBLANK('Q:\Abteilungsprojekte\Eng\EngData\PROJECT_Bioplastics\Renjie_Pan\05-Raw_Data\Lab_results\[LabSamples2025_Bioplastic_extra.xlsx]extra_Bioplastic'!D381)," ",'Q:\Abteilungsprojekte\Eng\EngData\PROJECT_Bioplastics\Renjie_Pan\05-Raw_Data\Lab_results\[LabSamples2025_Bioplastic_extra.xlsx]extra_Bioplastic'!D381)</f>
        <v/>
      </c>
      <c r="E381">
        <f>IF(ISBLANK('Q:\Abteilungsprojekte\Eng\EngData\PROJECT_Bioplastics\Renjie_Pan\05-Raw_Data\Lab_results\[LabSamples2025_Bioplastic_extra.xlsx]extra_Bioplastic'!E381)," ",'Q:\Abteilungsprojekte\Eng\EngData\PROJECT_Bioplastics\Renjie_Pan\05-Raw_Data\Lab_results\[LabSamples2025_Bioplastic_extra.xlsx]extra_Bioplastic'!E381)</f>
        <v/>
      </c>
      <c r="F381">
        <f>IF(ISBLANK('Q:\Abteilungsprojekte\Eng\EngData\PROJECT_Bioplastics\Renjie_Pan\05-Raw_Data\Lab_results\[LabSamples2025_Bioplastic_extra.xlsx]extra_Bioplastic'!F381)," ",'Q:\Abteilungsprojekte\Eng\EngData\PROJECT_Bioplastics\Renjie_Pan\05-Raw_Data\Lab_results\[LabSamples2025_Bioplastic_extra.xlsx]extra_Bioplastic'!F381)</f>
        <v/>
      </c>
      <c r="G381">
        <f>IF(ISBLANK('Q:\Abteilungsprojekte\Eng\EngData\PROJECT_Bioplastics\Renjie_Pan\05-Raw_Data\Lab_results\[LabSamples2025_Bioplastic_extra.xlsx]extra_Bioplastic'!G381)," ",'Q:\Abteilungsprojekte\Eng\EngData\PROJECT_Bioplastics\Renjie_Pan\05-Raw_Data\Lab_results\[LabSamples2025_Bioplastic_extra.xlsx]extra_Bioplastic'!G381)</f>
        <v/>
      </c>
      <c r="H381">
        <f>IF(ISBLANK('Q:\Abteilungsprojekte\Eng\EngData\PROJECT_Bioplastics\Renjie_Pan\05-Raw_Data\Lab_results\[LabSamples2025_Bioplastic_extra.xlsx]extra_Bioplastic'!H381)," ",'Q:\Abteilungsprojekte\Eng\EngData\PROJECT_Bioplastics\Renjie_Pan\05-Raw_Data\Lab_results\[LabSamples2025_Bioplastic_extra.xlsx]extra_Bioplastic'!H381)</f>
        <v/>
      </c>
    </row>
    <row r="382">
      <c r="A382">
        <f>IF(ISBLANK('Q:\Abteilungsprojekte\Eng\EngData\PROJECT_Bioplastics\Renjie_Pan\05-Raw_Data\Lab_results\[LabSamples2025_Bioplastic_extra.xlsx]extra_Bioplastic'!A382)," ",'Q:\Abteilungsprojekte\Eng\EngData\PROJECT_Bioplastics\Renjie_Pan\05-Raw_Data\Lab_results\[LabSamples2025_Bioplastic_extra.xlsx]extra_Bioplastic'!A382)</f>
        <v/>
      </c>
      <c r="B382">
        <f>IF(ISBLANK('Q:\Abteilungsprojekte\Eng\EngData\PROJECT_Bioplastics\Renjie_Pan\05-Raw_Data\Lab_results\[LabSamples2025_Bioplastic_extra.xlsx]extra_Bioplastic'!B382)," ",'Q:\Abteilungsprojekte\Eng\EngData\PROJECT_Bioplastics\Renjie_Pan\05-Raw_Data\Lab_results\[LabSamples2025_Bioplastic_extra.xlsx]extra_Bioplastic'!B382)</f>
        <v/>
      </c>
      <c r="C382">
        <f>IF(ISBLANK('Q:\Abteilungsprojekte\Eng\EngData\PROJECT_Bioplastics\Renjie_Pan\05-Raw_Data\Lab_results\[LabSamples2025_Bioplastic_extra.xlsx]extra_Bioplastic'!C382)," ",'Q:\Abteilungsprojekte\Eng\EngData\PROJECT_Bioplastics\Renjie_Pan\05-Raw_Data\Lab_results\[LabSamples2025_Bioplastic_extra.xlsx]extra_Bioplastic'!C382)</f>
        <v/>
      </c>
      <c r="D382">
        <f>IF(ISBLANK('Q:\Abteilungsprojekte\Eng\EngData\PROJECT_Bioplastics\Renjie_Pan\05-Raw_Data\Lab_results\[LabSamples2025_Bioplastic_extra.xlsx]extra_Bioplastic'!D382)," ",'Q:\Abteilungsprojekte\Eng\EngData\PROJECT_Bioplastics\Renjie_Pan\05-Raw_Data\Lab_results\[LabSamples2025_Bioplastic_extra.xlsx]extra_Bioplastic'!D382)</f>
        <v/>
      </c>
      <c r="E382">
        <f>IF(ISBLANK('Q:\Abteilungsprojekte\Eng\EngData\PROJECT_Bioplastics\Renjie_Pan\05-Raw_Data\Lab_results\[LabSamples2025_Bioplastic_extra.xlsx]extra_Bioplastic'!E382)," ",'Q:\Abteilungsprojekte\Eng\EngData\PROJECT_Bioplastics\Renjie_Pan\05-Raw_Data\Lab_results\[LabSamples2025_Bioplastic_extra.xlsx]extra_Bioplastic'!E382)</f>
        <v/>
      </c>
      <c r="F382">
        <f>IF(ISBLANK('Q:\Abteilungsprojekte\Eng\EngData\PROJECT_Bioplastics\Renjie_Pan\05-Raw_Data\Lab_results\[LabSamples2025_Bioplastic_extra.xlsx]extra_Bioplastic'!F382)," ",'Q:\Abteilungsprojekte\Eng\EngData\PROJECT_Bioplastics\Renjie_Pan\05-Raw_Data\Lab_results\[LabSamples2025_Bioplastic_extra.xlsx]extra_Bioplastic'!F382)</f>
        <v/>
      </c>
      <c r="G382">
        <f>IF(ISBLANK('Q:\Abteilungsprojekte\Eng\EngData\PROJECT_Bioplastics\Renjie_Pan\05-Raw_Data\Lab_results\[LabSamples2025_Bioplastic_extra.xlsx]extra_Bioplastic'!G382)," ",'Q:\Abteilungsprojekte\Eng\EngData\PROJECT_Bioplastics\Renjie_Pan\05-Raw_Data\Lab_results\[LabSamples2025_Bioplastic_extra.xlsx]extra_Bioplastic'!G382)</f>
        <v/>
      </c>
      <c r="H382">
        <f>IF(ISBLANK('Q:\Abteilungsprojekte\Eng\EngData\PROJECT_Bioplastics\Renjie_Pan\05-Raw_Data\Lab_results\[LabSamples2025_Bioplastic_extra.xlsx]extra_Bioplastic'!H382)," ",'Q:\Abteilungsprojekte\Eng\EngData\PROJECT_Bioplastics\Renjie_Pan\05-Raw_Data\Lab_results\[LabSamples2025_Bioplastic_extra.xlsx]extra_Bioplastic'!H382)</f>
        <v/>
      </c>
    </row>
    <row r="383">
      <c r="A383">
        <f>IF(ISBLANK('Q:\Abteilungsprojekte\Eng\EngData\PROJECT_Bioplastics\Renjie_Pan\05-Raw_Data\Lab_results\[LabSamples2025_Bioplastic_extra.xlsx]extra_Bioplastic'!A383)," ",'Q:\Abteilungsprojekte\Eng\EngData\PROJECT_Bioplastics\Renjie_Pan\05-Raw_Data\Lab_results\[LabSamples2025_Bioplastic_extra.xlsx]extra_Bioplastic'!A383)</f>
        <v/>
      </c>
      <c r="B383">
        <f>IF(ISBLANK('Q:\Abteilungsprojekte\Eng\EngData\PROJECT_Bioplastics\Renjie_Pan\05-Raw_Data\Lab_results\[LabSamples2025_Bioplastic_extra.xlsx]extra_Bioplastic'!B383)," ",'Q:\Abteilungsprojekte\Eng\EngData\PROJECT_Bioplastics\Renjie_Pan\05-Raw_Data\Lab_results\[LabSamples2025_Bioplastic_extra.xlsx]extra_Bioplastic'!B383)</f>
        <v/>
      </c>
      <c r="C383">
        <f>IF(ISBLANK('Q:\Abteilungsprojekte\Eng\EngData\PROJECT_Bioplastics\Renjie_Pan\05-Raw_Data\Lab_results\[LabSamples2025_Bioplastic_extra.xlsx]extra_Bioplastic'!C383)," ",'Q:\Abteilungsprojekte\Eng\EngData\PROJECT_Bioplastics\Renjie_Pan\05-Raw_Data\Lab_results\[LabSamples2025_Bioplastic_extra.xlsx]extra_Bioplastic'!C383)</f>
        <v/>
      </c>
      <c r="D383">
        <f>IF(ISBLANK('Q:\Abteilungsprojekte\Eng\EngData\PROJECT_Bioplastics\Renjie_Pan\05-Raw_Data\Lab_results\[LabSamples2025_Bioplastic_extra.xlsx]extra_Bioplastic'!D383)," ",'Q:\Abteilungsprojekte\Eng\EngData\PROJECT_Bioplastics\Renjie_Pan\05-Raw_Data\Lab_results\[LabSamples2025_Bioplastic_extra.xlsx]extra_Bioplastic'!D383)</f>
        <v/>
      </c>
      <c r="E383">
        <f>IF(ISBLANK('Q:\Abteilungsprojekte\Eng\EngData\PROJECT_Bioplastics\Renjie_Pan\05-Raw_Data\Lab_results\[LabSamples2025_Bioplastic_extra.xlsx]extra_Bioplastic'!E383)," ",'Q:\Abteilungsprojekte\Eng\EngData\PROJECT_Bioplastics\Renjie_Pan\05-Raw_Data\Lab_results\[LabSamples2025_Bioplastic_extra.xlsx]extra_Bioplastic'!E383)</f>
        <v/>
      </c>
      <c r="F383">
        <f>IF(ISBLANK('Q:\Abteilungsprojekte\Eng\EngData\PROJECT_Bioplastics\Renjie_Pan\05-Raw_Data\Lab_results\[LabSamples2025_Bioplastic_extra.xlsx]extra_Bioplastic'!F383)," ",'Q:\Abteilungsprojekte\Eng\EngData\PROJECT_Bioplastics\Renjie_Pan\05-Raw_Data\Lab_results\[LabSamples2025_Bioplastic_extra.xlsx]extra_Bioplastic'!F383)</f>
        <v/>
      </c>
      <c r="G383">
        <f>IF(ISBLANK('Q:\Abteilungsprojekte\Eng\EngData\PROJECT_Bioplastics\Renjie_Pan\05-Raw_Data\Lab_results\[LabSamples2025_Bioplastic_extra.xlsx]extra_Bioplastic'!G383)," ",'Q:\Abteilungsprojekte\Eng\EngData\PROJECT_Bioplastics\Renjie_Pan\05-Raw_Data\Lab_results\[LabSamples2025_Bioplastic_extra.xlsx]extra_Bioplastic'!G383)</f>
        <v/>
      </c>
      <c r="H383">
        <f>IF(ISBLANK('Q:\Abteilungsprojekte\Eng\EngData\PROJECT_Bioplastics\Renjie_Pan\05-Raw_Data\Lab_results\[LabSamples2025_Bioplastic_extra.xlsx]extra_Bioplastic'!H383)," ",'Q:\Abteilungsprojekte\Eng\EngData\PROJECT_Bioplastics\Renjie_Pan\05-Raw_Data\Lab_results\[LabSamples2025_Bioplastic_extra.xlsx]extra_Bioplastic'!H383)</f>
        <v/>
      </c>
    </row>
    <row r="384">
      <c r="A384">
        <f>IF(ISBLANK('Q:\Abteilungsprojekte\Eng\EngData\PROJECT_Bioplastics\Renjie_Pan\05-Raw_Data\Lab_results\[LabSamples2025_Bioplastic_extra.xlsx]extra_Bioplastic'!A384)," ",'Q:\Abteilungsprojekte\Eng\EngData\PROJECT_Bioplastics\Renjie_Pan\05-Raw_Data\Lab_results\[LabSamples2025_Bioplastic_extra.xlsx]extra_Bioplastic'!A384)</f>
        <v/>
      </c>
      <c r="B384">
        <f>IF(ISBLANK('Q:\Abteilungsprojekte\Eng\EngData\PROJECT_Bioplastics\Renjie_Pan\05-Raw_Data\Lab_results\[LabSamples2025_Bioplastic_extra.xlsx]extra_Bioplastic'!B384)," ",'Q:\Abteilungsprojekte\Eng\EngData\PROJECT_Bioplastics\Renjie_Pan\05-Raw_Data\Lab_results\[LabSamples2025_Bioplastic_extra.xlsx]extra_Bioplastic'!B384)</f>
        <v/>
      </c>
      <c r="C384">
        <f>IF(ISBLANK('Q:\Abteilungsprojekte\Eng\EngData\PROJECT_Bioplastics\Renjie_Pan\05-Raw_Data\Lab_results\[LabSamples2025_Bioplastic_extra.xlsx]extra_Bioplastic'!C384)," ",'Q:\Abteilungsprojekte\Eng\EngData\PROJECT_Bioplastics\Renjie_Pan\05-Raw_Data\Lab_results\[LabSamples2025_Bioplastic_extra.xlsx]extra_Bioplastic'!C384)</f>
        <v/>
      </c>
      <c r="D384">
        <f>IF(ISBLANK('Q:\Abteilungsprojekte\Eng\EngData\PROJECT_Bioplastics\Renjie_Pan\05-Raw_Data\Lab_results\[LabSamples2025_Bioplastic_extra.xlsx]extra_Bioplastic'!D384)," ",'Q:\Abteilungsprojekte\Eng\EngData\PROJECT_Bioplastics\Renjie_Pan\05-Raw_Data\Lab_results\[LabSamples2025_Bioplastic_extra.xlsx]extra_Bioplastic'!D384)</f>
        <v/>
      </c>
      <c r="E384">
        <f>IF(ISBLANK('Q:\Abteilungsprojekte\Eng\EngData\PROJECT_Bioplastics\Renjie_Pan\05-Raw_Data\Lab_results\[LabSamples2025_Bioplastic_extra.xlsx]extra_Bioplastic'!E384)," ",'Q:\Abteilungsprojekte\Eng\EngData\PROJECT_Bioplastics\Renjie_Pan\05-Raw_Data\Lab_results\[LabSamples2025_Bioplastic_extra.xlsx]extra_Bioplastic'!E384)</f>
        <v/>
      </c>
      <c r="F384">
        <f>IF(ISBLANK('Q:\Abteilungsprojekte\Eng\EngData\PROJECT_Bioplastics\Renjie_Pan\05-Raw_Data\Lab_results\[LabSamples2025_Bioplastic_extra.xlsx]extra_Bioplastic'!F384)," ",'Q:\Abteilungsprojekte\Eng\EngData\PROJECT_Bioplastics\Renjie_Pan\05-Raw_Data\Lab_results\[LabSamples2025_Bioplastic_extra.xlsx]extra_Bioplastic'!F384)</f>
        <v/>
      </c>
      <c r="G384">
        <f>IF(ISBLANK('Q:\Abteilungsprojekte\Eng\EngData\PROJECT_Bioplastics\Renjie_Pan\05-Raw_Data\Lab_results\[LabSamples2025_Bioplastic_extra.xlsx]extra_Bioplastic'!G384)," ",'Q:\Abteilungsprojekte\Eng\EngData\PROJECT_Bioplastics\Renjie_Pan\05-Raw_Data\Lab_results\[LabSamples2025_Bioplastic_extra.xlsx]extra_Bioplastic'!G384)</f>
        <v/>
      </c>
      <c r="H384">
        <f>IF(ISBLANK('Q:\Abteilungsprojekte\Eng\EngData\PROJECT_Bioplastics\Renjie_Pan\05-Raw_Data\Lab_results\[LabSamples2025_Bioplastic_extra.xlsx]extra_Bioplastic'!H384)," ",'Q:\Abteilungsprojekte\Eng\EngData\PROJECT_Bioplastics\Renjie_Pan\05-Raw_Data\Lab_results\[LabSamples2025_Bioplastic_extra.xlsx]extra_Bioplastic'!H384)</f>
        <v/>
      </c>
    </row>
    <row r="385">
      <c r="A385">
        <f>IF(ISBLANK('Q:\Abteilungsprojekte\Eng\EngData\PROJECT_Bioplastics\Renjie_Pan\05-Raw_Data\Lab_results\[LabSamples2025_Bioplastic_extra.xlsx]extra_Bioplastic'!A385)," ",'Q:\Abteilungsprojekte\Eng\EngData\PROJECT_Bioplastics\Renjie_Pan\05-Raw_Data\Lab_results\[LabSamples2025_Bioplastic_extra.xlsx]extra_Bioplastic'!A385)</f>
        <v/>
      </c>
      <c r="B385">
        <f>IF(ISBLANK('Q:\Abteilungsprojekte\Eng\EngData\PROJECT_Bioplastics\Renjie_Pan\05-Raw_Data\Lab_results\[LabSamples2025_Bioplastic_extra.xlsx]extra_Bioplastic'!B385)," ",'Q:\Abteilungsprojekte\Eng\EngData\PROJECT_Bioplastics\Renjie_Pan\05-Raw_Data\Lab_results\[LabSamples2025_Bioplastic_extra.xlsx]extra_Bioplastic'!B385)</f>
        <v/>
      </c>
      <c r="C385">
        <f>IF(ISBLANK('Q:\Abteilungsprojekte\Eng\EngData\PROJECT_Bioplastics\Renjie_Pan\05-Raw_Data\Lab_results\[LabSamples2025_Bioplastic_extra.xlsx]extra_Bioplastic'!C385)," ",'Q:\Abteilungsprojekte\Eng\EngData\PROJECT_Bioplastics\Renjie_Pan\05-Raw_Data\Lab_results\[LabSamples2025_Bioplastic_extra.xlsx]extra_Bioplastic'!C385)</f>
        <v/>
      </c>
      <c r="D385">
        <f>IF(ISBLANK('Q:\Abteilungsprojekte\Eng\EngData\PROJECT_Bioplastics\Renjie_Pan\05-Raw_Data\Lab_results\[LabSamples2025_Bioplastic_extra.xlsx]extra_Bioplastic'!D385)," ",'Q:\Abteilungsprojekte\Eng\EngData\PROJECT_Bioplastics\Renjie_Pan\05-Raw_Data\Lab_results\[LabSamples2025_Bioplastic_extra.xlsx]extra_Bioplastic'!D385)</f>
        <v/>
      </c>
      <c r="E385">
        <f>IF(ISBLANK('Q:\Abteilungsprojekte\Eng\EngData\PROJECT_Bioplastics\Renjie_Pan\05-Raw_Data\Lab_results\[LabSamples2025_Bioplastic_extra.xlsx]extra_Bioplastic'!E385)," ",'Q:\Abteilungsprojekte\Eng\EngData\PROJECT_Bioplastics\Renjie_Pan\05-Raw_Data\Lab_results\[LabSamples2025_Bioplastic_extra.xlsx]extra_Bioplastic'!E385)</f>
        <v/>
      </c>
      <c r="F385">
        <f>IF(ISBLANK('Q:\Abteilungsprojekte\Eng\EngData\PROJECT_Bioplastics\Renjie_Pan\05-Raw_Data\Lab_results\[LabSamples2025_Bioplastic_extra.xlsx]extra_Bioplastic'!F385)," ",'Q:\Abteilungsprojekte\Eng\EngData\PROJECT_Bioplastics\Renjie_Pan\05-Raw_Data\Lab_results\[LabSamples2025_Bioplastic_extra.xlsx]extra_Bioplastic'!F385)</f>
        <v/>
      </c>
      <c r="G385">
        <f>IF(ISBLANK('Q:\Abteilungsprojekte\Eng\EngData\PROJECT_Bioplastics\Renjie_Pan\05-Raw_Data\Lab_results\[LabSamples2025_Bioplastic_extra.xlsx]extra_Bioplastic'!G385)," ",'Q:\Abteilungsprojekte\Eng\EngData\PROJECT_Bioplastics\Renjie_Pan\05-Raw_Data\Lab_results\[LabSamples2025_Bioplastic_extra.xlsx]extra_Bioplastic'!G385)</f>
        <v/>
      </c>
      <c r="H385">
        <f>IF(ISBLANK('Q:\Abteilungsprojekte\Eng\EngData\PROJECT_Bioplastics\Renjie_Pan\05-Raw_Data\Lab_results\[LabSamples2025_Bioplastic_extra.xlsx]extra_Bioplastic'!H385)," ",'Q:\Abteilungsprojekte\Eng\EngData\PROJECT_Bioplastics\Renjie_Pan\05-Raw_Data\Lab_results\[LabSamples2025_Bioplastic_extra.xlsx]extra_Bioplastic'!H385)</f>
        <v/>
      </c>
    </row>
    <row r="386">
      <c r="A386">
        <f>IF(ISBLANK('Q:\Abteilungsprojekte\Eng\EngData\PROJECT_Bioplastics\Renjie_Pan\05-Raw_Data\Lab_results\[LabSamples2025_Bioplastic_extra.xlsx]extra_Bioplastic'!A386)," ",'Q:\Abteilungsprojekte\Eng\EngData\PROJECT_Bioplastics\Renjie_Pan\05-Raw_Data\Lab_results\[LabSamples2025_Bioplastic_extra.xlsx]extra_Bioplastic'!A386)</f>
        <v/>
      </c>
      <c r="B386">
        <f>IF(ISBLANK('Q:\Abteilungsprojekte\Eng\EngData\PROJECT_Bioplastics\Renjie_Pan\05-Raw_Data\Lab_results\[LabSamples2025_Bioplastic_extra.xlsx]extra_Bioplastic'!B386)," ",'Q:\Abteilungsprojekte\Eng\EngData\PROJECT_Bioplastics\Renjie_Pan\05-Raw_Data\Lab_results\[LabSamples2025_Bioplastic_extra.xlsx]extra_Bioplastic'!B386)</f>
        <v/>
      </c>
      <c r="C386">
        <f>IF(ISBLANK('Q:\Abteilungsprojekte\Eng\EngData\PROJECT_Bioplastics\Renjie_Pan\05-Raw_Data\Lab_results\[LabSamples2025_Bioplastic_extra.xlsx]extra_Bioplastic'!C386)," ",'Q:\Abteilungsprojekte\Eng\EngData\PROJECT_Bioplastics\Renjie_Pan\05-Raw_Data\Lab_results\[LabSamples2025_Bioplastic_extra.xlsx]extra_Bioplastic'!C386)</f>
        <v/>
      </c>
      <c r="D386">
        <f>IF(ISBLANK('Q:\Abteilungsprojekte\Eng\EngData\PROJECT_Bioplastics\Renjie_Pan\05-Raw_Data\Lab_results\[LabSamples2025_Bioplastic_extra.xlsx]extra_Bioplastic'!D386)," ",'Q:\Abteilungsprojekte\Eng\EngData\PROJECT_Bioplastics\Renjie_Pan\05-Raw_Data\Lab_results\[LabSamples2025_Bioplastic_extra.xlsx]extra_Bioplastic'!D386)</f>
        <v/>
      </c>
      <c r="E386">
        <f>IF(ISBLANK('Q:\Abteilungsprojekte\Eng\EngData\PROJECT_Bioplastics\Renjie_Pan\05-Raw_Data\Lab_results\[LabSamples2025_Bioplastic_extra.xlsx]extra_Bioplastic'!E386)," ",'Q:\Abteilungsprojekte\Eng\EngData\PROJECT_Bioplastics\Renjie_Pan\05-Raw_Data\Lab_results\[LabSamples2025_Bioplastic_extra.xlsx]extra_Bioplastic'!E386)</f>
        <v/>
      </c>
      <c r="F386">
        <f>IF(ISBLANK('Q:\Abteilungsprojekte\Eng\EngData\PROJECT_Bioplastics\Renjie_Pan\05-Raw_Data\Lab_results\[LabSamples2025_Bioplastic_extra.xlsx]extra_Bioplastic'!F386)," ",'Q:\Abteilungsprojekte\Eng\EngData\PROJECT_Bioplastics\Renjie_Pan\05-Raw_Data\Lab_results\[LabSamples2025_Bioplastic_extra.xlsx]extra_Bioplastic'!F386)</f>
        <v/>
      </c>
      <c r="G386">
        <f>IF(ISBLANK('Q:\Abteilungsprojekte\Eng\EngData\PROJECT_Bioplastics\Renjie_Pan\05-Raw_Data\Lab_results\[LabSamples2025_Bioplastic_extra.xlsx]extra_Bioplastic'!G386)," ",'Q:\Abteilungsprojekte\Eng\EngData\PROJECT_Bioplastics\Renjie_Pan\05-Raw_Data\Lab_results\[LabSamples2025_Bioplastic_extra.xlsx]extra_Bioplastic'!G386)</f>
        <v/>
      </c>
      <c r="H386">
        <f>IF(ISBLANK('Q:\Abteilungsprojekte\Eng\EngData\PROJECT_Bioplastics\Renjie_Pan\05-Raw_Data\Lab_results\[LabSamples2025_Bioplastic_extra.xlsx]extra_Bioplastic'!H386)," ",'Q:\Abteilungsprojekte\Eng\EngData\PROJECT_Bioplastics\Renjie_Pan\05-Raw_Data\Lab_results\[LabSamples2025_Bioplastic_extra.xlsx]extra_Bioplastic'!H386)</f>
        <v/>
      </c>
    </row>
    <row r="387">
      <c r="A387">
        <f>IF(ISBLANK('Q:\Abteilungsprojekte\Eng\EngData\PROJECT_Bioplastics\Renjie_Pan\05-Raw_Data\Lab_results\[LabSamples2025_Bioplastic_extra.xlsx]extra_Bioplastic'!A387)," ",'Q:\Abteilungsprojekte\Eng\EngData\PROJECT_Bioplastics\Renjie_Pan\05-Raw_Data\Lab_results\[LabSamples2025_Bioplastic_extra.xlsx]extra_Bioplastic'!A387)</f>
        <v/>
      </c>
      <c r="B387">
        <f>IF(ISBLANK('Q:\Abteilungsprojekte\Eng\EngData\PROJECT_Bioplastics\Renjie_Pan\05-Raw_Data\Lab_results\[LabSamples2025_Bioplastic_extra.xlsx]extra_Bioplastic'!B387)," ",'Q:\Abteilungsprojekte\Eng\EngData\PROJECT_Bioplastics\Renjie_Pan\05-Raw_Data\Lab_results\[LabSamples2025_Bioplastic_extra.xlsx]extra_Bioplastic'!B387)</f>
        <v/>
      </c>
      <c r="C387">
        <f>IF(ISBLANK('Q:\Abteilungsprojekte\Eng\EngData\PROJECT_Bioplastics\Renjie_Pan\05-Raw_Data\Lab_results\[LabSamples2025_Bioplastic_extra.xlsx]extra_Bioplastic'!C387)," ",'Q:\Abteilungsprojekte\Eng\EngData\PROJECT_Bioplastics\Renjie_Pan\05-Raw_Data\Lab_results\[LabSamples2025_Bioplastic_extra.xlsx]extra_Bioplastic'!C387)</f>
        <v/>
      </c>
      <c r="D387">
        <f>IF(ISBLANK('Q:\Abteilungsprojekte\Eng\EngData\PROJECT_Bioplastics\Renjie_Pan\05-Raw_Data\Lab_results\[LabSamples2025_Bioplastic_extra.xlsx]extra_Bioplastic'!D387)," ",'Q:\Abteilungsprojekte\Eng\EngData\PROJECT_Bioplastics\Renjie_Pan\05-Raw_Data\Lab_results\[LabSamples2025_Bioplastic_extra.xlsx]extra_Bioplastic'!D387)</f>
        <v/>
      </c>
      <c r="E387">
        <f>IF(ISBLANK('Q:\Abteilungsprojekte\Eng\EngData\PROJECT_Bioplastics\Renjie_Pan\05-Raw_Data\Lab_results\[LabSamples2025_Bioplastic_extra.xlsx]extra_Bioplastic'!E387)," ",'Q:\Abteilungsprojekte\Eng\EngData\PROJECT_Bioplastics\Renjie_Pan\05-Raw_Data\Lab_results\[LabSamples2025_Bioplastic_extra.xlsx]extra_Bioplastic'!E387)</f>
        <v/>
      </c>
      <c r="F387">
        <f>IF(ISBLANK('Q:\Abteilungsprojekte\Eng\EngData\PROJECT_Bioplastics\Renjie_Pan\05-Raw_Data\Lab_results\[LabSamples2025_Bioplastic_extra.xlsx]extra_Bioplastic'!F387)," ",'Q:\Abteilungsprojekte\Eng\EngData\PROJECT_Bioplastics\Renjie_Pan\05-Raw_Data\Lab_results\[LabSamples2025_Bioplastic_extra.xlsx]extra_Bioplastic'!F387)</f>
        <v/>
      </c>
      <c r="G387">
        <f>IF(ISBLANK('Q:\Abteilungsprojekte\Eng\EngData\PROJECT_Bioplastics\Renjie_Pan\05-Raw_Data\Lab_results\[LabSamples2025_Bioplastic_extra.xlsx]extra_Bioplastic'!G387)," ",'Q:\Abteilungsprojekte\Eng\EngData\PROJECT_Bioplastics\Renjie_Pan\05-Raw_Data\Lab_results\[LabSamples2025_Bioplastic_extra.xlsx]extra_Bioplastic'!G387)</f>
        <v/>
      </c>
      <c r="H387">
        <f>IF(ISBLANK('Q:\Abteilungsprojekte\Eng\EngData\PROJECT_Bioplastics\Renjie_Pan\05-Raw_Data\Lab_results\[LabSamples2025_Bioplastic_extra.xlsx]extra_Bioplastic'!H387)," ",'Q:\Abteilungsprojekte\Eng\EngData\PROJECT_Bioplastics\Renjie_Pan\05-Raw_Data\Lab_results\[LabSamples2025_Bioplastic_extra.xlsx]extra_Bioplastic'!H387)</f>
        <v/>
      </c>
    </row>
    <row r="388">
      <c r="A388">
        <f>IF(ISBLANK('Q:\Abteilungsprojekte\Eng\EngData\PROJECT_Bioplastics\Renjie_Pan\05-Raw_Data\Lab_results\[LabSamples2025_Bioplastic_extra.xlsx]extra_Bioplastic'!A388)," ",'Q:\Abteilungsprojekte\Eng\EngData\PROJECT_Bioplastics\Renjie_Pan\05-Raw_Data\Lab_results\[LabSamples2025_Bioplastic_extra.xlsx]extra_Bioplastic'!A388)</f>
        <v/>
      </c>
      <c r="B388">
        <f>IF(ISBLANK('Q:\Abteilungsprojekte\Eng\EngData\PROJECT_Bioplastics\Renjie_Pan\05-Raw_Data\Lab_results\[LabSamples2025_Bioplastic_extra.xlsx]extra_Bioplastic'!B388)," ",'Q:\Abteilungsprojekte\Eng\EngData\PROJECT_Bioplastics\Renjie_Pan\05-Raw_Data\Lab_results\[LabSamples2025_Bioplastic_extra.xlsx]extra_Bioplastic'!B388)</f>
        <v/>
      </c>
      <c r="C388">
        <f>IF(ISBLANK('Q:\Abteilungsprojekte\Eng\EngData\PROJECT_Bioplastics\Renjie_Pan\05-Raw_Data\Lab_results\[LabSamples2025_Bioplastic_extra.xlsx]extra_Bioplastic'!C388)," ",'Q:\Abteilungsprojekte\Eng\EngData\PROJECT_Bioplastics\Renjie_Pan\05-Raw_Data\Lab_results\[LabSamples2025_Bioplastic_extra.xlsx]extra_Bioplastic'!C388)</f>
        <v/>
      </c>
      <c r="D388">
        <f>IF(ISBLANK('Q:\Abteilungsprojekte\Eng\EngData\PROJECT_Bioplastics\Renjie_Pan\05-Raw_Data\Lab_results\[LabSamples2025_Bioplastic_extra.xlsx]extra_Bioplastic'!D388)," ",'Q:\Abteilungsprojekte\Eng\EngData\PROJECT_Bioplastics\Renjie_Pan\05-Raw_Data\Lab_results\[LabSamples2025_Bioplastic_extra.xlsx]extra_Bioplastic'!D388)</f>
        <v/>
      </c>
      <c r="E388">
        <f>IF(ISBLANK('Q:\Abteilungsprojekte\Eng\EngData\PROJECT_Bioplastics\Renjie_Pan\05-Raw_Data\Lab_results\[LabSamples2025_Bioplastic_extra.xlsx]extra_Bioplastic'!E388)," ",'Q:\Abteilungsprojekte\Eng\EngData\PROJECT_Bioplastics\Renjie_Pan\05-Raw_Data\Lab_results\[LabSamples2025_Bioplastic_extra.xlsx]extra_Bioplastic'!E388)</f>
        <v/>
      </c>
      <c r="F388">
        <f>IF(ISBLANK('Q:\Abteilungsprojekte\Eng\EngData\PROJECT_Bioplastics\Renjie_Pan\05-Raw_Data\Lab_results\[LabSamples2025_Bioplastic_extra.xlsx]extra_Bioplastic'!F388)," ",'Q:\Abteilungsprojekte\Eng\EngData\PROJECT_Bioplastics\Renjie_Pan\05-Raw_Data\Lab_results\[LabSamples2025_Bioplastic_extra.xlsx]extra_Bioplastic'!F388)</f>
        <v/>
      </c>
      <c r="G388">
        <f>IF(ISBLANK('Q:\Abteilungsprojekte\Eng\EngData\PROJECT_Bioplastics\Renjie_Pan\05-Raw_Data\Lab_results\[LabSamples2025_Bioplastic_extra.xlsx]extra_Bioplastic'!G388)," ",'Q:\Abteilungsprojekte\Eng\EngData\PROJECT_Bioplastics\Renjie_Pan\05-Raw_Data\Lab_results\[LabSamples2025_Bioplastic_extra.xlsx]extra_Bioplastic'!G388)</f>
        <v/>
      </c>
      <c r="H388">
        <f>IF(ISBLANK('Q:\Abteilungsprojekte\Eng\EngData\PROJECT_Bioplastics\Renjie_Pan\05-Raw_Data\Lab_results\[LabSamples2025_Bioplastic_extra.xlsx]extra_Bioplastic'!H388)," ",'Q:\Abteilungsprojekte\Eng\EngData\PROJECT_Bioplastics\Renjie_Pan\05-Raw_Data\Lab_results\[LabSamples2025_Bioplastic_extra.xlsx]extra_Bioplastic'!H388)</f>
        <v/>
      </c>
    </row>
    <row r="389">
      <c r="A389">
        <f>IF(ISBLANK('Q:\Abteilungsprojekte\Eng\EngData\PROJECT_Bioplastics\Renjie_Pan\05-Raw_Data\Lab_results\[LabSamples2025_Bioplastic_extra.xlsx]extra_Bioplastic'!A389)," ",'Q:\Abteilungsprojekte\Eng\EngData\PROJECT_Bioplastics\Renjie_Pan\05-Raw_Data\Lab_results\[LabSamples2025_Bioplastic_extra.xlsx]extra_Bioplastic'!A389)</f>
        <v/>
      </c>
      <c r="B389">
        <f>IF(ISBLANK('Q:\Abteilungsprojekte\Eng\EngData\PROJECT_Bioplastics\Renjie_Pan\05-Raw_Data\Lab_results\[LabSamples2025_Bioplastic_extra.xlsx]extra_Bioplastic'!B389)," ",'Q:\Abteilungsprojekte\Eng\EngData\PROJECT_Bioplastics\Renjie_Pan\05-Raw_Data\Lab_results\[LabSamples2025_Bioplastic_extra.xlsx]extra_Bioplastic'!B389)</f>
        <v/>
      </c>
      <c r="C389">
        <f>IF(ISBLANK('Q:\Abteilungsprojekte\Eng\EngData\PROJECT_Bioplastics\Renjie_Pan\05-Raw_Data\Lab_results\[LabSamples2025_Bioplastic_extra.xlsx]extra_Bioplastic'!C389)," ",'Q:\Abteilungsprojekte\Eng\EngData\PROJECT_Bioplastics\Renjie_Pan\05-Raw_Data\Lab_results\[LabSamples2025_Bioplastic_extra.xlsx]extra_Bioplastic'!C389)</f>
        <v/>
      </c>
      <c r="D389">
        <f>IF(ISBLANK('Q:\Abteilungsprojekte\Eng\EngData\PROJECT_Bioplastics\Renjie_Pan\05-Raw_Data\Lab_results\[LabSamples2025_Bioplastic_extra.xlsx]extra_Bioplastic'!D389)," ",'Q:\Abteilungsprojekte\Eng\EngData\PROJECT_Bioplastics\Renjie_Pan\05-Raw_Data\Lab_results\[LabSamples2025_Bioplastic_extra.xlsx]extra_Bioplastic'!D389)</f>
        <v/>
      </c>
      <c r="E389">
        <f>IF(ISBLANK('Q:\Abteilungsprojekte\Eng\EngData\PROJECT_Bioplastics\Renjie_Pan\05-Raw_Data\Lab_results\[LabSamples2025_Bioplastic_extra.xlsx]extra_Bioplastic'!E389)," ",'Q:\Abteilungsprojekte\Eng\EngData\PROJECT_Bioplastics\Renjie_Pan\05-Raw_Data\Lab_results\[LabSamples2025_Bioplastic_extra.xlsx]extra_Bioplastic'!E389)</f>
        <v/>
      </c>
      <c r="F389">
        <f>IF(ISBLANK('Q:\Abteilungsprojekte\Eng\EngData\PROJECT_Bioplastics\Renjie_Pan\05-Raw_Data\Lab_results\[LabSamples2025_Bioplastic_extra.xlsx]extra_Bioplastic'!F389)," ",'Q:\Abteilungsprojekte\Eng\EngData\PROJECT_Bioplastics\Renjie_Pan\05-Raw_Data\Lab_results\[LabSamples2025_Bioplastic_extra.xlsx]extra_Bioplastic'!F389)</f>
        <v/>
      </c>
      <c r="G389">
        <f>IF(ISBLANK('Q:\Abteilungsprojekte\Eng\EngData\PROJECT_Bioplastics\Renjie_Pan\05-Raw_Data\Lab_results\[LabSamples2025_Bioplastic_extra.xlsx]extra_Bioplastic'!G389)," ",'Q:\Abteilungsprojekte\Eng\EngData\PROJECT_Bioplastics\Renjie_Pan\05-Raw_Data\Lab_results\[LabSamples2025_Bioplastic_extra.xlsx]extra_Bioplastic'!G389)</f>
        <v/>
      </c>
      <c r="H389">
        <f>IF(ISBLANK('Q:\Abteilungsprojekte\Eng\EngData\PROJECT_Bioplastics\Renjie_Pan\05-Raw_Data\Lab_results\[LabSamples2025_Bioplastic_extra.xlsx]extra_Bioplastic'!H389)," ",'Q:\Abteilungsprojekte\Eng\EngData\PROJECT_Bioplastics\Renjie_Pan\05-Raw_Data\Lab_results\[LabSamples2025_Bioplastic_extra.xlsx]extra_Bioplastic'!H389)</f>
        <v/>
      </c>
    </row>
    <row r="390">
      <c r="A390">
        <f>IF(ISBLANK('Q:\Abteilungsprojekte\Eng\EngData\PROJECT_Bioplastics\Renjie_Pan\05-Raw_Data\Lab_results\[LabSamples2025_Bioplastic_extra.xlsx]extra_Bioplastic'!A390)," ",'Q:\Abteilungsprojekte\Eng\EngData\PROJECT_Bioplastics\Renjie_Pan\05-Raw_Data\Lab_results\[LabSamples2025_Bioplastic_extra.xlsx]extra_Bioplastic'!A390)</f>
        <v/>
      </c>
      <c r="B390">
        <f>IF(ISBLANK('Q:\Abteilungsprojekte\Eng\EngData\PROJECT_Bioplastics\Renjie_Pan\05-Raw_Data\Lab_results\[LabSamples2025_Bioplastic_extra.xlsx]extra_Bioplastic'!B390)," ",'Q:\Abteilungsprojekte\Eng\EngData\PROJECT_Bioplastics\Renjie_Pan\05-Raw_Data\Lab_results\[LabSamples2025_Bioplastic_extra.xlsx]extra_Bioplastic'!B390)</f>
        <v/>
      </c>
      <c r="C390">
        <f>IF(ISBLANK('Q:\Abteilungsprojekte\Eng\EngData\PROJECT_Bioplastics\Renjie_Pan\05-Raw_Data\Lab_results\[LabSamples2025_Bioplastic_extra.xlsx]extra_Bioplastic'!C390)," ",'Q:\Abteilungsprojekte\Eng\EngData\PROJECT_Bioplastics\Renjie_Pan\05-Raw_Data\Lab_results\[LabSamples2025_Bioplastic_extra.xlsx]extra_Bioplastic'!C390)</f>
        <v/>
      </c>
      <c r="D390">
        <f>IF(ISBLANK('Q:\Abteilungsprojekte\Eng\EngData\PROJECT_Bioplastics\Renjie_Pan\05-Raw_Data\Lab_results\[LabSamples2025_Bioplastic_extra.xlsx]extra_Bioplastic'!D390)," ",'Q:\Abteilungsprojekte\Eng\EngData\PROJECT_Bioplastics\Renjie_Pan\05-Raw_Data\Lab_results\[LabSamples2025_Bioplastic_extra.xlsx]extra_Bioplastic'!D390)</f>
        <v/>
      </c>
      <c r="E390">
        <f>IF(ISBLANK('Q:\Abteilungsprojekte\Eng\EngData\PROJECT_Bioplastics\Renjie_Pan\05-Raw_Data\Lab_results\[LabSamples2025_Bioplastic_extra.xlsx]extra_Bioplastic'!E390)," ",'Q:\Abteilungsprojekte\Eng\EngData\PROJECT_Bioplastics\Renjie_Pan\05-Raw_Data\Lab_results\[LabSamples2025_Bioplastic_extra.xlsx]extra_Bioplastic'!E390)</f>
        <v/>
      </c>
      <c r="F390">
        <f>IF(ISBLANK('Q:\Abteilungsprojekte\Eng\EngData\PROJECT_Bioplastics\Renjie_Pan\05-Raw_Data\Lab_results\[LabSamples2025_Bioplastic_extra.xlsx]extra_Bioplastic'!F390)," ",'Q:\Abteilungsprojekte\Eng\EngData\PROJECT_Bioplastics\Renjie_Pan\05-Raw_Data\Lab_results\[LabSamples2025_Bioplastic_extra.xlsx]extra_Bioplastic'!F390)</f>
        <v/>
      </c>
      <c r="G390">
        <f>IF(ISBLANK('Q:\Abteilungsprojekte\Eng\EngData\PROJECT_Bioplastics\Renjie_Pan\05-Raw_Data\Lab_results\[LabSamples2025_Bioplastic_extra.xlsx]extra_Bioplastic'!G390)," ",'Q:\Abteilungsprojekte\Eng\EngData\PROJECT_Bioplastics\Renjie_Pan\05-Raw_Data\Lab_results\[LabSamples2025_Bioplastic_extra.xlsx]extra_Bioplastic'!G390)</f>
        <v/>
      </c>
      <c r="H390">
        <f>IF(ISBLANK('Q:\Abteilungsprojekte\Eng\EngData\PROJECT_Bioplastics\Renjie_Pan\05-Raw_Data\Lab_results\[LabSamples2025_Bioplastic_extra.xlsx]extra_Bioplastic'!H390)," ",'Q:\Abteilungsprojekte\Eng\EngData\PROJECT_Bioplastics\Renjie_Pan\05-Raw_Data\Lab_results\[LabSamples2025_Bioplastic_extra.xlsx]extra_Bioplastic'!H390)</f>
        <v/>
      </c>
    </row>
    <row r="391">
      <c r="A391">
        <f>IF(ISBLANK('Q:\Abteilungsprojekte\Eng\EngData\PROJECT_Bioplastics\Renjie_Pan\05-Raw_Data\Lab_results\[LabSamples2025_Bioplastic_extra.xlsx]extra_Bioplastic'!A391)," ",'Q:\Abteilungsprojekte\Eng\EngData\PROJECT_Bioplastics\Renjie_Pan\05-Raw_Data\Lab_results\[LabSamples2025_Bioplastic_extra.xlsx]extra_Bioplastic'!A391)</f>
        <v/>
      </c>
      <c r="B391">
        <f>IF(ISBLANK('Q:\Abteilungsprojekte\Eng\EngData\PROJECT_Bioplastics\Renjie_Pan\05-Raw_Data\Lab_results\[LabSamples2025_Bioplastic_extra.xlsx]extra_Bioplastic'!B391)," ",'Q:\Abteilungsprojekte\Eng\EngData\PROJECT_Bioplastics\Renjie_Pan\05-Raw_Data\Lab_results\[LabSamples2025_Bioplastic_extra.xlsx]extra_Bioplastic'!B391)</f>
        <v/>
      </c>
      <c r="C391">
        <f>IF(ISBLANK('Q:\Abteilungsprojekte\Eng\EngData\PROJECT_Bioplastics\Renjie_Pan\05-Raw_Data\Lab_results\[LabSamples2025_Bioplastic_extra.xlsx]extra_Bioplastic'!C391)," ",'Q:\Abteilungsprojekte\Eng\EngData\PROJECT_Bioplastics\Renjie_Pan\05-Raw_Data\Lab_results\[LabSamples2025_Bioplastic_extra.xlsx]extra_Bioplastic'!C391)</f>
        <v/>
      </c>
      <c r="D391">
        <f>IF(ISBLANK('Q:\Abteilungsprojekte\Eng\EngData\PROJECT_Bioplastics\Renjie_Pan\05-Raw_Data\Lab_results\[LabSamples2025_Bioplastic_extra.xlsx]extra_Bioplastic'!D391)," ",'Q:\Abteilungsprojekte\Eng\EngData\PROJECT_Bioplastics\Renjie_Pan\05-Raw_Data\Lab_results\[LabSamples2025_Bioplastic_extra.xlsx]extra_Bioplastic'!D391)</f>
        <v/>
      </c>
      <c r="E391">
        <f>IF(ISBLANK('Q:\Abteilungsprojekte\Eng\EngData\PROJECT_Bioplastics\Renjie_Pan\05-Raw_Data\Lab_results\[LabSamples2025_Bioplastic_extra.xlsx]extra_Bioplastic'!E391)," ",'Q:\Abteilungsprojekte\Eng\EngData\PROJECT_Bioplastics\Renjie_Pan\05-Raw_Data\Lab_results\[LabSamples2025_Bioplastic_extra.xlsx]extra_Bioplastic'!E391)</f>
        <v/>
      </c>
      <c r="F391">
        <f>IF(ISBLANK('Q:\Abteilungsprojekte\Eng\EngData\PROJECT_Bioplastics\Renjie_Pan\05-Raw_Data\Lab_results\[LabSamples2025_Bioplastic_extra.xlsx]extra_Bioplastic'!F391)," ",'Q:\Abteilungsprojekte\Eng\EngData\PROJECT_Bioplastics\Renjie_Pan\05-Raw_Data\Lab_results\[LabSamples2025_Bioplastic_extra.xlsx]extra_Bioplastic'!F391)</f>
        <v/>
      </c>
      <c r="G391">
        <f>IF(ISBLANK('Q:\Abteilungsprojekte\Eng\EngData\PROJECT_Bioplastics\Renjie_Pan\05-Raw_Data\Lab_results\[LabSamples2025_Bioplastic_extra.xlsx]extra_Bioplastic'!G391)," ",'Q:\Abteilungsprojekte\Eng\EngData\PROJECT_Bioplastics\Renjie_Pan\05-Raw_Data\Lab_results\[LabSamples2025_Bioplastic_extra.xlsx]extra_Bioplastic'!G391)</f>
        <v/>
      </c>
      <c r="H391">
        <f>IF(ISBLANK('Q:\Abteilungsprojekte\Eng\EngData\PROJECT_Bioplastics\Renjie_Pan\05-Raw_Data\Lab_results\[LabSamples2025_Bioplastic_extra.xlsx]extra_Bioplastic'!H391)," ",'Q:\Abteilungsprojekte\Eng\EngData\PROJECT_Bioplastics\Renjie_Pan\05-Raw_Data\Lab_results\[LabSamples2025_Bioplastic_extra.xlsx]extra_Bioplastic'!H391)</f>
        <v/>
      </c>
    </row>
    <row r="392">
      <c r="A392">
        <f>IF(ISBLANK('Q:\Abteilungsprojekte\Eng\EngData\PROJECT_Bioplastics\Renjie_Pan\05-Raw_Data\Lab_results\[LabSamples2025_Bioplastic_extra.xlsx]extra_Bioplastic'!A392)," ",'Q:\Abteilungsprojekte\Eng\EngData\PROJECT_Bioplastics\Renjie_Pan\05-Raw_Data\Lab_results\[LabSamples2025_Bioplastic_extra.xlsx]extra_Bioplastic'!A392)</f>
        <v/>
      </c>
      <c r="B392">
        <f>IF(ISBLANK('Q:\Abteilungsprojekte\Eng\EngData\PROJECT_Bioplastics\Renjie_Pan\05-Raw_Data\Lab_results\[LabSamples2025_Bioplastic_extra.xlsx]extra_Bioplastic'!B392)," ",'Q:\Abteilungsprojekte\Eng\EngData\PROJECT_Bioplastics\Renjie_Pan\05-Raw_Data\Lab_results\[LabSamples2025_Bioplastic_extra.xlsx]extra_Bioplastic'!B392)</f>
        <v/>
      </c>
      <c r="C392">
        <f>IF(ISBLANK('Q:\Abteilungsprojekte\Eng\EngData\PROJECT_Bioplastics\Renjie_Pan\05-Raw_Data\Lab_results\[LabSamples2025_Bioplastic_extra.xlsx]extra_Bioplastic'!C392)," ",'Q:\Abteilungsprojekte\Eng\EngData\PROJECT_Bioplastics\Renjie_Pan\05-Raw_Data\Lab_results\[LabSamples2025_Bioplastic_extra.xlsx]extra_Bioplastic'!C392)</f>
        <v/>
      </c>
      <c r="D392">
        <f>IF(ISBLANK('Q:\Abteilungsprojekte\Eng\EngData\PROJECT_Bioplastics\Renjie_Pan\05-Raw_Data\Lab_results\[LabSamples2025_Bioplastic_extra.xlsx]extra_Bioplastic'!D392)," ",'Q:\Abteilungsprojekte\Eng\EngData\PROJECT_Bioplastics\Renjie_Pan\05-Raw_Data\Lab_results\[LabSamples2025_Bioplastic_extra.xlsx]extra_Bioplastic'!D392)</f>
        <v/>
      </c>
      <c r="E392">
        <f>IF(ISBLANK('Q:\Abteilungsprojekte\Eng\EngData\PROJECT_Bioplastics\Renjie_Pan\05-Raw_Data\Lab_results\[LabSamples2025_Bioplastic_extra.xlsx]extra_Bioplastic'!E392)," ",'Q:\Abteilungsprojekte\Eng\EngData\PROJECT_Bioplastics\Renjie_Pan\05-Raw_Data\Lab_results\[LabSamples2025_Bioplastic_extra.xlsx]extra_Bioplastic'!E392)</f>
        <v/>
      </c>
      <c r="F392">
        <f>IF(ISBLANK('Q:\Abteilungsprojekte\Eng\EngData\PROJECT_Bioplastics\Renjie_Pan\05-Raw_Data\Lab_results\[LabSamples2025_Bioplastic_extra.xlsx]extra_Bioplastic'!F392)," ",'Q:\Abteilungsprojekte\Eng\EngData\PROJECT_Bioplastics\Renjie_Pan\05-Raw_Data\Lab_results\[LabSamples2025_Bioplastic_extra.xlsx]extra_Bioplastic'!F392)</f>
        <v/>
      </c>
      <c r="G392">
        <f>IF(ISBLANK('Q:\Abteilungsprojekte\Eng\EngData\PROJECT_Bioplastics\Renjie_Pan\05-Raw_Data\Lab_results\[LabSamples2025_Bioplastic_extra.xlsx]extra_Bioplastic'!G392)," ",'Q:\Abteilungsprojekte\Eng\EngData\PROJECT_Bioplastics\Renjie_Pan\05-Raw_Data\Lab_results\[LabSamples2025_Bioplastic_extra.xlsx]extra_Bioplastic'!G392)</f>
        <v/>
      </c>
      <c r="H392">
        <f>IF(ISBLANK('Q:\Abteilungsprojekte\Eng\EngData\PROJECT_Bioplastics\Renjie_Pan\05-Raw_Data\Lab_results\[LabSamples2025_Bioplastic_extra.xlsx]extra_Bioplastic'!H392)," ",'Q:\Abteilungsprojekte\Eng\EngData\PROJECT_Bioplastics\Renjie_Pan\05-Raw_Data\Lab_results\[LabSamples2025_Bioplastic_extra.xlsx]extra_Bioplastic'!H392)</f>
        <v/>
      </c>
    </row>
    <row r="393">
      <c r="A393">
        <f>IF(ISBLANK('Q:\Abteilungsprojekte\Eng\EngData\PROJECT_Bioplastics\Renjie_Pan\05-Raw_Data\Lab_results\[LabSamples2025_Bioplastic_extra.xlsx]extra_Bioplastic'!A393)," ",'Q:\Abteilungsprojekte\Eng\EngData\PROJECT_Bioplastics\Renjie_Pan\05-Raw_Data\Lab_results\[LabSamples2025_Bioplastic_extra.xlsx]extra_Bioplastic'!A393)</f>
        <v/>
      </c>
      <c r="B393">
        <f>IF(ISBLANK('Q:\Abteilungsprojekte\Eng\EngData\PROJECT_Bioplastics\Renjie_Pan\05-Raw_Data\Lab_results\[LabSamples2025_Bioplastic_extra.xlsx]extra_Bioplastic'!B393)," ",'Q:\Abteilungsprojekte\Eng\EngData\PROJECT_Bioplastics\Renjie_Pan\05-Raw_Data\Lab_results\[LabSamples2025_Bioplastic_extra.xlsx]extra_Bioplastic'!B393)</f>
        <v/>
      </c>
      <c r="C393">
        <f>IF(ISBLANK('Q:\Abteilungsprojekte\Eng\EngData\PROJECT_Bioplastics\Renjie_Pan\05-Raw_Data\Lab_results\[LabSamples2025_Bioplastic_extra.xlsx]extra_Bioplastic'!C393)," ",'Q:\Abteilungsprojekte\Eng\EngData\PROJECT_Bioplastics\Renjie_Pan\05-Raw_Data\Lab_results\[LabSamples2025_Bioplastic_extra.xlsx]extra_Bioplastic'!C393)</f>
        <v/>
      </c>
      <c r="D393">
        <f>IF(ISBLANK('Q:\Abteilungsprojekte\Eng\EngData\PROJECT_Bioplastics\Renjie_Pan\05-Raw_Data\Lab_results\[LabSamples2025_Bioplastic_extra.xlsx]extra_Bioplastic'!D393)," ",'Q:\Abteilungsprojekte\Eng\EngData\PROJECT_Bioplastics\Renjie_Pan\05-Raw_Data\Lab_results\[LabSamples2025_Bioplastic_extra.xlsx]extra_Bioplastic'!D393)</f>
        <v/>
      </c>
      <c r="E393">
        <f>IF(ISBLANK('Q:\Abteilungsprojekte\Eng\EngData\PROJECT_Bioplastics\Renjie_Pan\05-Raw_Data\Lab_results\[LabSamples2025_Bioplastic_extra.xlsx]extra_Bioplastic'!E393)," ",'Q:\Abteilungsprojekte\Eng\EngData\PROJECT_Bioplastics\Renjie_Pan\05-Raw_Data\Lab_results\[LabSamples2025_Bioplastic_extra.xlsx]extra_Bioplastic'!E393)</f>
        <v/>
      </c>
      <c r="F393">
        <f>IF(ISBLANK('Q:\Abteilungsprojekte\Eng\EngData\PROJECT_Bioplastics\Renjie_Pan\05-Raw_Data\Lab_results\[LabSamples2025_Bioplastic_extra.xlsx]extra_Bioplastic'!F393)," ",'Q:\Abteilungsprojekte\Eng\EngData\PROJECT_Bioplastics\Renjie_Pan\05-Raw_Data\Lab_results\[LabSamples2025_Bioplastic_extra.xlsx]extra_Bioplastic'!F393)</f>
        <v/>
      </c>
      <c r="G393">
        <f>IF(ISBLANK('Q:\Abteilungsprojekte\Eng\EngData\PROJECT_Bioplastics\Renjie_Pan\05-Raw_Data\Lab_results\[LabSamples2025_Bioplastic_extra.xlsx]extra_Bioplastic'!G393)," ",'Q:\Abteilungsprojekte\Eng\EngData\PROJECT_Bioplastics\Renjie_Pan\05-Raw_Data\Lab_results\[LabSamples2025_Bioplastic_extra.xlsx]extra_Bioplastic'!G393)</f>
        <v/>
      </c>
      <c r="H393">
        <f>IF(ISBLANK('Q:\Abteilungsprojekte\Eng\EngData\PROJECT_Bioplastics\Renjie_Pan\05-Raw_Data\Lab_results\[LabSamples2025_Bioplastic_extra.xlsx]extra_Bioplastic'!H393)," ",'Q:\Abteilungsprojekte\Eng\EngData\PROJECT_Bioplastics\Renjie_Pan\05-Raw_Data\Lab_results\[LabSamples2025_Bioplastic_extra.xlsx]extra_Bioplastic'!H393)</f>
        <v/>
      </c>
    </row>
    <row r="394">
      <c r="A394">
        <f>IF(ISBLANK('Q:\Abteilungsprojekte\Eng\EngData\PROJECT_Bioplastics\Renjie_Pan\05-Raw_Data\Lab_results\[LabSamples2025_Bioplastic_extra.xlsx]extra_Bioplastic'!A394)," ",'Q:\Abteilungsprojekte\Eng\EngData\PROJECT_Bioplastics\Renjie_Pan\05-Raw_Data\Lab_results\[LabSamples2025_Bioplastic_extra.xlsx]extra_Bioplastic'!A394)</f>
        <v/>
      </c>
      <c r="B394">
        <f>IF(ISBLANK('Q:\Abteilungsprojekte\Eng\EngData\PROJECT_Bioplastics\Renjie_Pan\05-Raw_Data\Lab_results\[LabSamples2025_Bioplastic_extra.xlsx]extra_Bioplastic'!B394)," ",'Q:\Abteilungsprojekte\Eng\EngData\PROJECT_Bioplastics\Renjie_Pan\05-Raw_Data\Lab_results\[LabSamples2025_Bioplastic_extra.xlsx]extra_Bioplastic'!B394)</f>
        <v/>
      </c>
      <c r="C394">
        <f>IF(ISBLANK('Q:\Abteilungsprojekte\Eng\EngData\PROJECT_Bioplastics\Renjie_Pan\05-Raw_Data\Lab_results\[LabSamples2025_Bioplastic_extra.xlsx]extra_Bioplastic'!C394)," ",'Q:\Abteilungsprojekte\Eng\EngData\PROJECT_Bioplastics\Renjie_Pan\05-Raw_Data\Lab_results\[LabSamples2025_Bioplastic_extra.xlsx]extra_Bioplastic'!C394)</f>
        <v/>
      </c>
      <c r="D394">
        <f>IF(ISBLANK('Q:\Abteilungsprojekte\Eng\EngData\PROJECT_Bioplastics\Renjie_Pan\05-Raw_Data\Lab_results\[LabSamples2025_Bioplastic_extra.xlsx]extra_Bioplastic'!D394)," ",'Q:\Abteilungsprojekte\Eng\EngData\PROJECT_Bioplastics\Renjie_Pan\05-Raw_Data\Lab_results\[LabSamples2025_Bioplastic_extra.xlsx]extra_Bioplastic'!D394)</f>
        <v/>
      </c>
      <c r="E394">
        <f>IF(ISBLANK('Q:\Abteilungsprojekte\Eng\EngData\PROJECT_Bioplastics\Renjie_Pan\05-Raw_Data\Lab_results\[LabSamples2025_Bioplastic_extra.xlsx]extra_Bioplastic'!E394)," ",'Q:\Abteilungsprojekte\Eng\EngData\PROJECT_Bioplastics\Renjie_Pan\05-Raw_Data\Lab_results\[LabSamples2025_Bioplastic_extra.xlsx]extra_Bioplastic'!E394)</f>
        <v/>
      </c>
      <c r="F394">
        <f>IF(ISBLANK('Q:\Abteilungsprojekte\Eng\EngData\PROJECT_Bioplastics\Renjie_Pan\05-Raw_Data\Lab_results\[LabSamples2025_Bioplastic_extra.xlsx]extra_Bioplastic'!F394)," ",'Q:\Abteilungsprojekte\Eng\EngData\PROJECT_Bioplastics\Renjie_Pan\05-Raw_Data\Lab_results\[LabSamples2025_Bioplastic_extra.xlsx]extra_Bioplastic'!F394)</f>
        <v/>
      </c>
      <c r="G394">
        <f>IF(ISBLANK('Q:\Abteilungsprojekte\Eng\EngData\PROJECT_Bioplastics\Renjie_Pan\05-Raw_Data\Lab_results\[LabSamples2025_Bioplastic_extra.xlsx]extra_Bioplastic'!G394)," ",'Q:\Abteilungsprojekte\Eng\EngData\PROJECT_Bioplastics\Renjie_Pan\05-Raw_Data\Lab_results\[LabSamples2025_Bioplastic_extra.xlsx]extra_Bioplastic'!G394)</f>
        <v/>
      </c>
      <c r="H394">
        <f>IF(ISBLANK('Q:\Abteilungsprojekte\Eng\EngData\PROJECT_Bioplastics\Renjie_Pan\05-Raw_Data\Lab_results\[LabSamples2025_Bioplastic_extra.xlsx]extra_Bioplastic'!H394)," ",'Q:\Abteilungsprojekte\Eng\EngData\PROJECT_Bioplastics\Renjie_Pan\05-Raw_Data\Lab_results\[LabSamples2025_Bioplastic_extra.xlsx]extra_Bioplastic'!H394)</f>
        <v/>
      </c>
    </row>
    <row r="395">
      <c r="A395">
        <f>IF(ISBLANK('Q:\Abteilungsprojekte\Eng\EngData\PROJECT_Bioplastics\Renjie_Pan\05-Raw_Data\Lab_results\[LabSamples2025_Bioplastic_extra.xlsx]extra_Bioplastic'!A395)," ",'Q:\Abteilungsprojekte\Eng\EngData\PROJECT_Bioplastics\Renjie_Pan\05-Raw_Data\Lab_results\[LabSamples2025_Bioplastic_extra.xlsx]extra_Bioplastic'!A395)</f>
        <v/>
      </c>
      <c r="B395">
        <f>IF(ISBLANK('Q:\Abteilungsprojekte\Eng\EngData\PROJECT_Bioplastics\Renjie_Pan\05-Raw_Data\Lab_results\[LabSamples2025_Bioplastic_extra.xlsx]extra_Bioplastic'!B395)," ",'Q:\Abteilungsprojekte\Eng\EngData\PROJECT_Bioplastics\Renjie_Pan\05-Raw_Data\Lab_results\[LabSamples2025_Bioplastic_extra.xlsx]extra_Bioplastic'!B395)</f>
        <v/>
      </c>
      <c r="C395">
        <f>IF(ISBLANK('Q:\Abteilungsprojekte\Eng\EngData\PROJECT_Bioplastics\Renjie_Pan\05-Raw_Data\Lab_results\[LabSamples2025_Bioplastic_extra.xlsx]extra_Bioplastic'!C395)," ",'Q:\Abteilungsprojekte\Eng\EngData\PROJECT_Bioplastics\Renjie_Pan\05-Raw_Data\Lab_results\[LabSamples2025_Bioplastic_extra.xlsx]extra_Bioplastic'!C395)</f>
        <v/>
      </c>
      <c r="D395">
        <f>IF(ISBLANK('Q:\Abteilungsprojekte\Eng\EngData\PROJECT_Bioplastics\Renjie_Pan\05-Raw_Data\Lab_results\[LabSamples2025_Bioplastic_extra.xlsx]extra_Bioplastic'!D395)," ",'Q:\Abteilungsprojekte\Eng\EngData\PROJECT_Bioplastics\Renjie_Pan\05-Raw_Data\Lab_results\[LabSamples2025_Bioplastic_extra.xlsx]extra_Bioplastic'!D395)</f>
        <v/>
      </c>
      <c r="E395">
        <f>IF(ISBLANK('Q:\Abteilungsprojekte\Eng\EngData\PROJECT_Bioplastics\Renjie_Pan\05-Raw_Data\Lab_results\[LabSamples2025_Bioplastic_extra.xlsx]extra_Bioplastic'!E395)," ",'Q:\Abteilungsprojekte\Eng\EngData\PROJECT_Bioplastics\Renjie_Pan\05-Raw_Data\Lab_results\[LabSamples2025_Bioplastic_extra.xlsx]extra_Bioplastic'!E395)</f>
        <v/>
      </c>
      <c r="F395">
        <f>IF(ISBLANK('Q:\Abteilungsprojekte\Eng\EngData\PROJECT_Bioplastics\Renjie_Pan\05-Raw_Data\Lab_results\[LabSamples2025_Bioplastic_extra.xlsx]extra_Bioplastic'!F395)," ",'Q:\Abteilungsprojekte\Eng\EngData\PROJECT_Bioplastics\Renjie_Pan\05-Raw_Data\Lab_results\[LabSamples2025_Bioplastic_extra.xlsx]extra_Bioplastic'!F395)</f>
        <v/>
      </c>
      <c r="G395">
        <f>IF(ISBLANK('Q:\Abteilungsprojekte\Eng\EngData\PROJECT_Bioplastics\Renjie_Pan\05-Raw_Data\Lab_results\[LabSamples2025_Bioplastic_extra.xlsx]extra_Bioplastic'!G395)," ",'Q:\Abteilungsprojekte\Eng\EngData\PROJECT_Bioplastics\Renjie_Pan\05-Raw_Data\Lab_results\[LabSamples2025_Bioplastic_extra.xlsx]extra_Bioplastic'!G395)</f>
        <v/>
      </c>
      <c r="H395">
        <f>IF(ISBLANK('Q:\Abteilungsprojekte\Eng\EngData\PROJECT_Bioplastics\Renjie_Pan\05-Raw_Data\Lab_results\[LabSamples2025_Bioplastic_extra.xlsx]extra_Bioplastic'!H395)," ",'Q:\Abteilungsprojekte\Eng\EngData\PROJECT_Bioplastics\Renjie_Pan\05-Raw_Data\Lab_results\[LabSamples2025_Bioplastic_extra.xlsx]extra_Bioplastic'!H395)</f>
        <v/>
      </c>
    </row>
    <row r="396">
      <c r="A396">
        <f>IF(ISBLANK('Q:\Abteilungsprojekte\Eng\EngData\PROJECT_Bioplastics\Renjie_Pan\05-Raw_Data\Lab_results\[LabSamples2025_Bioplastic_extra.xlsx]extra_Bioplastic'!A396)," ",'Q:\Abteilungsprojekte\Eng\EngData\PROJECT_Bioplastics\Renjie_Pan\05-Raw_Data\Lab_results\[LabSamples2025_Bioplastic_extra.xlsx]extra_Bioplastic'!A396)</f>
        <v/>
      </c>
      <c r="B396">
        <f>IF(ISBLANK('Q:\Abteilungsprojekte\Eng\EngData\PROJECT_Bioplastics\Renjie_Pan\05-Raw_Data\Lab_results\[LabSamples2025_Bioplastic_extra.xlsx]extra_Bioplastic'!B396)," ",'Q:\Abteilungsprojekte\Eng\EngData\PROJECT_Bioplastics\Renjie_Pan\05-Raw_Data\Lab_results\[LabSamples2025_Bioplastic_extra.xlsx]extra_Bioplastic'!B396)</f>
        <v/>
      </c>
      <c r="C396">
        <f>IF(ISBLANK('Q:\Abteilungsprojekte\Eng\EngData\PROJECT_Bioplastics\Renjie_Pan\05-Raw_Data\Lab_results\[LabSamples2025_Bioplastic_extra.xlsx]extra_Bioplastic'!C396)," ",'Q:\Abteilungsprojekte\Eng\EngData\PROJECT_Bioplastics\Renjie_Pan\05-Raw_Data\Lab_results\[LabSamples2025_Bioplastic_extra.xlsx]extra_Bioplastic'!C396)</f>
        <v/>
      </c>
      <c r="D396">
        <f>IF(ISBLANK('Q:\Abteilungsprojekte\Eng\EngData\PROJECT_Bioplastics\Renjie_Pan\05-Raw_Data\Lab_results\[LabSamples2025_Bioplastic_extra.xlsx]extra_Bioplastic'!D396)," ",'Q:\Abteilungsprojekte\Eng\EngData\PROJECT_Bioplastics\Renjie_Pan\05-Raw_Data\Lab_results\[LabSamples2025_Bioplastic_extra.xlsx]extra_Bioplastic'!D396)</f>
        <v/>
      </c>
      <c r="E396">
        <f>IF(ISBLANK('Q:\Abteilungsprojekte\Eng\EngData\PROJECT_Bioplastics\Renjie_Pan\05-Raw_Data\Lab_results\[LabSamples2025_Bioplastic_extra.xlsx]extra_Bioplastic'!E396)," ",'Q:\Abteilungsprojekte\Eng\EngData\PROJECT_Bioplastics\Renjie_Pan\05-Raw_Data\Lab_results\[LabSamples2025_Bioplastic_extra.xlsx]extra_Bioplastic'!E396)</f>
        <v/>
      </c>
      <c r="F396">
        <f>IF(ISBLANK('Q:\Abteilungsprojekte\Eng\EngData\PROJECT_Bioplastics\Renjie_Pan\05-Raw_Data\Lab_results\[LabSamples2025_Bioplastic_extra.xlsx]extra_Bioplastic'!F396)," ",'Q:\Abteilungsprojekte\Eng\EngData\PROJECT_Bioplastics\Renjie_Pan\05-Raw_Data\Lab_results\[LabSamples2025_Bioplastic_extra.xlsx]extra_Bioplastic'!F396)</f>
        <v/>
      </c>
      <c r="G396">
        <f>IF(ISBLANK('Q:\Abteilungsprojekte\Eng\EngData\PROJECT_Bioplastics\Renjie_Pan\05-Raw_Data\Lab_results\[LabSamples2025_Bioplastic_extra.xlsx]extra_Bioplastic'!G396)," ",'Q:\Abteilungsprojekte\Eng\EngData\PROJECT_Bioplastics\Renjie_Pan\05-Raw_Data\Lab_results\[LabSamples2025_Bioplastic_extra.xlsx]extra_Bioplastic'!G396)</f>
        <v/>
      </c>
      <c r="H396">
        <f>IF(ISBLANK('Q:\Abteilungsprojekte\Eng\EngData\PROJECT_Bioplastics\Renjie_Pan\05-Raw_Data\Lab_results\[LabSamples2025_Bioplastic_extra.xlsx]extra_Bioplastic'!H396)," ",'Q:\Abteilungsprojekte\Eng\EngData\PROJECT_Bioplastics\Renjie_Pan\05-Raw_Data\Lab_results\[LabSamples2025_Bioplastic_extra.xlsx]extra_Bioplastic'!H396)</f>
        <v/>
      </c>
    </row>
    <row r="397">
      <c r="A397">
        <f>IF(ISBLANK('Q:\Abteilungsprojekte\Eng\EngData\PROJECT_Bioplastics\Renjie_Pan\05-Raw_Data\Lab_results\[LabSamples2025_Bioplastic_extra.xlsx]extra_Bioplastic'!A397)," ",'Q:\Abteilungsprojekte\Eng\EngData\PROJECT_Bioplastics\Renjie_Pan\05-Raw_Data\Lab_results\[LabSamples2025_Bioplastic_extra.xlsx]extra_Bioplastic'!A397)</f>
        <v/>
      </c>
      <c r="B397">
        <f>IF(ISBLANK('Q:\Abteilungsprojekte\Eng\EngData\PROJECT_Bioplastics\Renjie_Pan\05-Raw_Data\Lab_results\[LabSamples2025_Bioplastic_extra.xlsx]extra_Bioplastic'!B397)," ",'Q:\Abteilungsprojekte\Eng\EngData\PROJECT_Bioplastics\Renjie_Pan\05-Raw_Data\Lab_results\[LabSamples2025_Bioplastic_extra.xlsx]extra_Bioplastic'!B397)</f>
        <v/>
      </c>
      <c r="C397">
        <f>IF(ISBLANK('Q:\Abteilungsprojekte\Eng\EngData\PROJECT_Bioplastics\Renjie_Pan\05-Raw_Data\Lab_results\[LabSamples2025_Bioplastic_extra.xlsx]extra_Bioplastic'!C397)," ",'Q:\Abteilungsprojekte\Eng\EngData\PROJECT_Bioplastics\Renjie_Pan\05-Raw_Data\Lab_results\[LabSamples2025_Bioplastic_extra.xlsx]extra_Bioplastic'!C397)</f>
        <v/>
      </c>
      <c r="D397">
        <f>IF(ISBLANK('Q:\Abteilungsprojekte\Eng\EngData\PROJECT_Bioplastics\Renjie_Pan\05-Raw_Data\Lab_results\[LabSamples2025_Bioplastic_extra.xlsx]extra_Bioplastic'!D397)," ",'Q:\Abteilungsprojekte\Eng\EngData\PROJECT_Bioplastics\Renjie_Pan\05-Raw_Data\Lab_results\[LabSamples2025_Bioplastic_extra.xlsx]extra_Bioplastic'!D397)</f>
        <v/>
      </c>
      <c r="E397">
        <f>IF(ISBLANK('Q:\Abteilungsprojekte\Eng\EngData\PROJECT_Bioplastics\Renjie_Pan\05-Raw_Data\Lab_results\[LabSamples2025_Bioplastic_extra.xlsx]extra_Bioplastic'!E397)," ",'Q:\Abteilungsprojekte\Eng\EngData\PROJECT_Bioplastics\Renjie_Pan\05-Raw_Data\Lab_results\[LabSamples2025_Bioplastic_extra.xlsx]extra_Bioplastic'!E397)</f>
        <v/>
      </c>
      <c r="F397">
        <f>IF(ISBLANK('Q:\Abteilungsprojekte\Eng\EngData\PROJECT_Bioplastics\Renjie_Pan\05-Raw_Data\Lab_results\[LabSamples2025_Bioplastic_extra.xlsx]extra_Bioplastic'!F397)," ",'Q:\Abteilungsprojekte\Eng\EngData\PROJECT_Bioplastics\Renjie_Pan\05-Raw_Data\Lab_results\[LabSamples2025_Bioplastic_extra.xlsx]extra_Bioplastic'!F397)</f>
        <v/>
      </c>
      <c r="G397">
        <f>IF(ISBLANK('Q:\Abteilungsprojekte\Eng\EngData\PROJECT_Bioplastics\Renjie_Pan\05-Raw_Data\Lab_results\[LabSamples2025_Bioplastic_extra.xlsx]extra_Bioplastic'!G397)," ",'Q:\Abteilungsprojekte\Eng\EngData\PROJECT_Bioplastics\Renjie_Pan\05-Raw_Data\Lab_results\[LabSamples2025_Bioplastic_extra.xlsx]extra_Bioplastic'!G397)</f>
        <v/>
      </c>
      <c r="H397">
        <f>IF(ISBLANK('Q:\Abteilungsprojekte\Eng\EngData\PROJECT_Bioplastics\Renjie_Pan\05-Raw_Data\Lab_results\[LabSamples2025_Bioplastic_extra.xlsx]extra_Bioplastic'!H397)," ",'Q:\Abteilungsprojekte\Eng\EngData\PROJECT_Bioplastics\Renjie_Pan\05-Raw_Data\Lab_results\[LabSamples2025_Bioplastic_extra.xlsx]extra_Bioplastic'!H397)</f>
        <v/>
      </c>
    </row>
    <row r="398">
      <c r="A398">
        <f>IF(ISBLANK('Q:\Abteilungsprojekte\Eng\EngData\PROJECT_Bioplastics\Renjie_Pan\05-Raw_Data\Lab_results\[LabSamples2025_Bioplastic_extra.xlsx]extra_Bioplastic'!A398)," ",'Q:\Abteilungsprojekte\Eng\EngData\PROJECT_Bioplastics\Renjie_Pan\05-Raw_Data\Lab_results\[LabSamples2025_Bioplastic_extra.xlsx]extra_Bioplastic'!A398)</f>
        <v/>
      </c>
      <c r="B398">
        <f>IF(ISBLANK('Q:\Abteilungsprojekte\Eng\EngData\PROJECT_Bioplastics\Renjie_Pan\05-Raw_Data\Lab_results\[LabSamples2025_Bioplastic_extra.xlsx]extra_Bioplastic'!B398)," ",'Q:\Abteilungsprojekte\Eng\EngData\PROJECT_Bioplastics\Renjie_Pan\05-Raw_Data\Lab_results\[LabSamples2025_Bioplastic_extra.xlsx]extra_Bioplastic'!B398)</f>
        <v/>
      </c>
      <c r="C398">
        <f>IF(ISBLANK('Q:\Abteilungsprojekte\Eng\EngData\PROJECT_Bioplastics\Renjie_Pan\05-Raw_Data\Lab_results\[LabSamples2025_Bioplastic_extra.xlsx]extra_Bioplastic'!C398)," ",'Q:\Abteilungsprojekte\Eng\EngData\PROJECT_Bioplastics\Renjie_Pan\05-Raw_Data\Lab_results\[LabSamples2025_Bioplastic_extra.xlsx]extra_Bioplastic'!C398)</f>
        <v/>
      </c>
      <c r="D398">
        <f>IF(ISBLANK('Q:\Abteilungsprojekte\Eng\EngData\PROJECT_Bioplastics\Renjie_Pan\05-Raw_Data\Lab_results\[LabSamples2025_Bioplastic_extra.xlsx]extra_Bioplastic'!D398)," ",'Q:\Abteilungsprojekte\Eng\EngData\PROJECT_Bioplastics\Renjie_Pan\05-Raw_Data\Lab_results\[LabSamples2025_Bioplastic_extra.xlsx]extra_Bioplastic'!D398)</f>
        <v/>
      </c>
      <c r="E398">
        <f>IF(ISBLANK('Q:\Abteilungsprojekte\Eng\EngData\PROJECT_Bioplastics\Renjie_Pan\05-Raw_Data\Lab_results\[LabSamples2025_Bioplastic_extra.xlsx]extra_Bioplastic'!E398)," ",'Q:\Abteilungsprojekte\Eng\EngData\PROJECT_Bioplastics\Renjie_Pan\05-Raw_Data\Lab_results\[LabSamples2025_Bioplastic_extra.xlsx]extra_Bioplastic'!E398)</f>
        <v/>
      </c>
      <c r="F398">
        <f>IF(ISBLANK('Q:\Abteilungsprojekte\Eng\EngData\PROJECT_Bioplastics\Renjie_Pan\05-Raw_Data\Lab_results\[LabSamples2025_Bioplastic_extra.xlsx]extra_Bioplastic'!F398)," ",'Q:\Abteilungsprojekte\Eng\EngData\PROJECT_Bioplastics\Renjie_Pan\05-Raw_Data\Lab_results\[LabSamples2025_Bioplastic_extra.xlsx]extra_Bioplastic'!F398)</f>
        <v/>
      </c>
      <c r="G398">
        <f>IF(ISBLANK('Q:\Abteilungsprojekte\Eng\EngData\PROJECT_Bioplastics\Renjie_Pan\05-Raw_Data\Lab_results\[LabSamples2025_Bioplastic_extra.xlsx]extra_Bioplastic'!G398)," ",'Q:\Abteilungsprojekte\Eng\EngData\PROJECT_Bioplastics\Renjie_Pan\05-Raw_Data\Lab_results\[LabSamples2025_Bioplastic_extra.xlsx]extra_Bioplastic'!G398)</f>
        <v/>
      </c>
      <c r="H398">
        <f>IF(ISBLANK('Q:\Abteilungsprojekte\Eng\EngData\PROJECT_Bioplastics\Renjie_Pan\05-Raw_Data\Lab_results\[LabSamples2025_Bioplastic_extra.xlsx]extra_Bioplastic'!H398)," ",'Q:\Abteilungsprojekte\Eng\EngData\PROJECT_Bioplastics\Renjie_Pan\05-Raw_Data\Lab_results\[LabSamples2025_Bioplastic_extra.xlsx]extra_Bioplastic'!H398)</f>
        <v/>
      </c>
    </row>
    <row r="399">
      <c r="A399">
        <f>IF(ISBLANK('Q:\Abteilungsprojekte\Eng\EngData\PROJECT_Bioplastics\Renjie_Pan\05-Raw_Data\Lab_results\[LabSamples2025_Bioplastic_extra.xlsx]extra_Bioplastic'!A399)," ",'Q:\Abteilungsprojekte\Eng\EngData\PROJECT_Bioplastics\Renjie_Pan\05-Raw_Data\Lab_results\[LabSamples2025_Bioplastic_extra.xlsx]extra_Bioplastic'!A399)</f>
        <v/>
      </c>
      <c r="B399">
        <f>IF(ISBLANK('Q:\Abteilungsprojekte\Eng\EngData\PROJECT_Bioplastics\Renjie_Pan\05-Raw_Data\Lab_results\[LabSamples2025_Bioplastic_extra.xlsx]extra_Bioplastic'!B399)," ",'Q:\Abteilungsprojekte\Eng\EngData\PROJECT_Bioplastics\Renjie_Pan\05-Raw_Data\Lab_results\[LabSamples2025_Bioplastic_extra.xlsx]extra_Bioplastic'!B399)</f>
        <v/>
      </c>
      <c r="C399">
        <f>IF(ISBLANK('Q:\Abteilungsprojekte\Eng\EngData\PROJECT_Bioplastics\Renjie_Pan\05-Raw_Data\Lab_results\[LabSamples2025_Bioplastic_extra.xlsx]extra_Bioplastic'!C399)," ",'Q:\Abteilungsprojekte\Eng\EngData\PROJECT_Bioplastics\Renjie_Pan\05-Raw_Data\Lab_results\[LabSamples2025_Bioplastic_extra.xlsx]extra_Bioplastic'!C399)</f>
        <v/>
      </c>
      <c r="D399">
        <f>IF(ISBLANK('Q:\Abteilungsprojekte\Eng\EngData\PROJECT_Bioplastics\Renjie_Pan\05-Raw_Data\Lab_results\[LabSamples2025_Bioplastic_extra.xlsx]extra_Bioplastic'!D399)," ",'Q:\Abteilungsprojekte\Eng\EngData\PROJECT_Bioplastics\Renjie_Pan\05-Raw_Data\Lab_results\[LabSamples2025_Bioplastic_extra.xlsx]extra_Bioplastic'!D399)</f>
        <v/>
      </c>
      <c r="E399">
        <f>IF(ISBLANK('Q:\Abteilungsprojekte\Eng\EngData\PROJECT_Bioplastics\Renjie_Pan\05-Raw_Data\Lab_results\[LabSamples2025_Bioplastic_extra.xlsx]extra_Bioplastic'!E399)," ",'Q:\Abteilungsprojekte\Eng\EngData\PROJECT_Bioplastics\Renjie_Pan\05-Raw_Data\Lab_results\[LabSamples2025_Bioplastic_extra.xlsx]extra_Bioplastic'!E399)</f>
        <v/>
      </c>
      <c r="F399">
        <f>IF(ISBLANK('Q:\Abteilungsprojekte\Eng\EngData\PROJECT_Bioplastics\Renjie_Pan\05-Raw_Data\Lab_results\[LabSamples2025_Bioplastic_extra.xlsx]extra_Bioplastic'!F399)," ",'Q:\Abteilungsprojekte\Eng\EngData\PROJECT_Bioplastics\Renjie_Pan\05-Raw_Data\Lab_results\[LabSamples2025_Bioplastic_extra.xlsx]extra_Bioplastic'!F399)</f>
        <v/>
      </c>
      <c r="G399">
        <f>IF(ISBLANK('Q:\Abteilungsprojekte\Eng\EngData\PROJECT_Bioplastics\Renjie_Pan\05-Raw_Data\Lab_results\[LabSamples2025_Bioplastic_extra.xlsx]extra_Bioplastic'!G399)," ",'Q:\Abteilungsprojekte\Eng\EngData\PROJECT_Bioplastics\Renjie_Pan\05-Raw_Data\Lab_results\[LabSamples2025_Bioplastic_extra.xlsx]extra_Bioplastic'!G399)</f>
        <v/>
      </c>
      <c r="H399">
        <f>IF(ISBLANK('Q:\Abteilungsprojekte\Eng\EngData\PROJECT_Bioplastics\Renjie_Pan\05-Raw_Data\Lab_results\[LabSamples2025_Bioplastic_extra.xlsx]extra_Bioplastic'!H399)," ",'Q:\Abteilungsprojekte\Eng\EngData\PROJECT_Bioplastics\Renjie_Pan\05-Raw_Data\Lab_results\[LabSamples2025_Bioplastic_extra.xlsx]extra_Bioplastic'!H399)</f>
        <v/>
      </c>
    </row>
    <row r="400">
      <c r="A400">
        <f>IF(ISBLANK('Q:\Abteilungsprojekte\Eng\EngData\PROJECT_Bioplastics\Renjie_Pan\05-Raw_Data\Lab_results\[LabSamples2025_Bioplastic_extra.xlsx]extra_Bioplastic'!A400)," ",'Q:\Abteilungsprojekte\Eng\EngData\PROJECT_Bioplastics\Renjie_Pan\05-Raw_Data\Lab_results\[LabSamples2025_Bioplastic_extra.xlsx]extra_Bioplastic'!A400)</f>
        <v/>
      </c>
      <c r="B400">
        <f>IF(ISBLANK('Q:\Abteilungsprojekte\Eng\EngData\PROJECT_Bioplastics\Renjie_Pan\05-Raw_Data\Lab_results\[LabSamples2025_Bioplastic_extra.xlsx]extra_Bioplastic'!B400)," ",'Q:\Abteilungsprojekte\Eng\EngData\PROJECT_Bioplastics\Renjie_Pan\05-Raw_Data\Lab_results\[LabSamples2025_Bioplastic_extra.xlsx]extra_Bioplastic'!B400)</f>
        <v/>
      </c>
      <c r="C400">
        <f>IF(ISBLANK('Q:\Abteilungsprojekte\Eng\EngData\PROJECT_Bioplastics\Renjie_Pan\05-Raw_Data\Lab_results\[LabSamples2025_Bioplastic_extra.xlsx]extra_Bioplastic'!C400)," ",'Q:\Abteilungsprojekte\Eng\EngData\PROJECT_Bioplastics\Renjie_Pan\05-Raw_Data\Lab_results\[LabSamples2025_Bioplastic_extra.xlsx]extra_Bioplastic'!C400)</f>
        <v/>
      </c>
      <c r="D400">
        <f>IF(ISBLANK('Q:\Abteilungsprojekte\Eng\EngData\PROJECT_Bioplastics\Renjie_Pan\05-Raw_Data\Lab_results\[LabSamples2025_Bioplastic_extra.xlsx]extra_Bioplastic'!D400)," ",'Q:\Abteilungsprojekte\Eng\EngData\PROJECT_Bioplastics\Renjie_Pan\05-Raw_Data\Lab_results\[LabSamples2025_Bioplastic_extra.xlsx]extra_Bioplastic'!D400)</f>
        <v/>
      </c>
      <c r="E400">
        <f>IF(ISBLANK('Q:\Abteilungsprojekte\Eng\EngData\PROJECT_Bioplastics\Renjie_Pan\05-Raw_Data\Lab_results\[LabSamples2025_Bioplastic_extra.xlsx]extra_Bioplastic'!E400)," ",'Q:\Abteilungsprojekte\Eng\EngData\PROJECT_Bioplastics\Renjie_Pan\05-Raw_Data\Lab_results\[LabSamples2025_Bioplastic_extra.xlsx]extra_Bioplastic'!E400)</f>
        <v/>
      </c>
      <c r="F400">
        <f>IF(ISBLANK('Q:\Abteilungsprojekte\Eng\EngData\PROJECT_Bioplastics\Renjie_Pan\05-Raw_Data\Lab_results\[LabSamples2025_Bioplastic_extra.xlsx]extra_Bioplastic'!F400)," ",'Q:\Abteilungsprojekte\Eng\EngData\PROJECT_Bioplastics\Renjie_Pan\05-Raw_Data\Lab_results\[LabSamples2025_Bioplastic_extra.xlsx]extra_Bioplastic'!F400)</f>
        <v/>
      </c>
      <c r="G400">
        <f>IF(ISBLANK('Q:\Abteilungsprojekte\Eng\EngData\PROJECT_Bioplastics\Renjie_Pan\05-Raw_Data\Lab_results\[LabSamples2025_Bioplastic_extra.xlsx]extra_Bioplastic'!G400)," ",'Q:\Abteilungsprojekte\Eng\EngData\PROJECT_Bioplastics\Renjie_Pan\05-Raw_Data\Lab_results\[LabSamples2025_Bioplastic_extra.xlsx]extra_Bioplastic'!G400)</f>
        <v/>
      </c>
      <c r="H400">
        <f>IF(ISBLANK('Q:\Abteilungsprojekte\Eng\EngData\PROJECT_Bioplastics\Renjie_Pan\05-Raw_Data\Lab_results\[LabSamples2025_Bioplastic_extra.xlsx]extra_Bioplastic'!H400)," ",'Q:\Abteilungsprojekte\Eng\EngData\PROJECT_Bioplastics\Renjie_Pan\05-Raw_Data\Lab_results\[LabSamples2025_Bioplastic_extra.xlsx]extra_Bioplastic'!H400)</f>
        <v/>
      </c>
    </row>
    <row r="401">
      <c r="A401">
        <f>IF(ISBLANK('Q:\Abteilungsprojekte\Eng\EngData\PROJECT_Bioplastics\Renjie_Pan\05-Raw_Data\Lab_results\[LabSamples2025_Bioplastic_extra.xlsx]extra_Bioplastic'!A401)," ",'Q:\Abteilungsprojekte\Eng\EngData\PROJECT_Bioplastics\Renjie_Pan\05-Raw_Data\Lab_results\[LabSamples2025_Bioplastic_extra.xlsx]extra_Bioplastic'!A401)</f>
        <v/>
      </c>
      <c r="B401">
        <f>IF(ISBLANK('Q:\Abteilungsprojekte\Eng\EngData\PROJECT_Bioplastics\Renjie_Pan\05-Raw_Data\Lab_results\[LabSamples2025_Bioplastic_extra.xlsx]extra_Bioplastic'!B401)," ",'Q:\Abteilungsprojekte\Eng\EngData\PROJECT_Bioplastics\Renjie_Pan\05-Raw_Data\Lab_results\[LabSamples2025_Bioplastic_extra.xlsx]extra_Bioplastic'!B401)</f>
        <v/>
      </c>
      <c r="C401">
        <f>IF(ISBLANK('Q:\Abteilungsprojekte\Eng\EngData\PROJECT_Bioplastics\Renjie_Pan\05-Raw_Data\Lab_results\[LabSamples2025_Bioplastic_extra.xlsx]extra_Bioplastic'!C401)," ",'Q:\Abteilungsprojekte\Eng\EngData\PROJECT_Bioplastics\Renjie_Pan\05-Raw_Data\Lab_results\[LabSamples2025_Bioplastic_extra.xlsx]extra_Bioplastic'!C401)</f>
        <v/>
      </c>
      <c r="D401">
        <f>IF(ISBLANK('Q:\Abteilungsprojekte\Eng\EngData\PROJECT_Bioplastics\Renjie_Pan\05-Raw_Data\Lab_results\[LabSamples2025_Bioplastic_extra.xlsx]extra_Bioplastic'!D401)," ",'Q:\Abteilungsprojekte\Eng\EngData\PROJECT_Bioplastics\Renjie_Pan\05-Raw_Data\Lab_results\[LabSamples2025_Bioplastic_extra.xlsx]extra_Bioplastic'!D401)</f>
        <v/>
      </c>
      <c r="E401">
        <f>IF(ISBLANK('Q:\Abteilungsprojekte\Eng\EngData\PROJECT_Bioplastics\Renjie_Pan\05-Raw_Data\Lab_results\[LabSamples2025_Bioplastic_extra.xlsx]extra_Bioplastic'!E401)," ",'Q:\Abteilungsprojekte\Eng\EngData\PROJECT_Bioplastics\Renjie_Pan\05-Raw_Data\Lab_results\[LabSamples2025_Bioplastic_extra.xlsx]extra_Bioplastic'!E401)</f>
        <v/>
      </c>
      <c r="F401">
        <f>IF(ISBLANK('Q:\Abteilungsprojekte\Eng\EngData\PROJECT_Bioplastics\Renjie_Pan\05-Raw_Data\Lab_results\[LabSamples2025_Bioplastic_extra.xlsx]extra_Bioplastic'!F401)," ",'Q:\Abteilungsprojekte\Eng\EngData\PROJECT_Bioplastics\Renjie_Pan\05-Raw_Data\Lab_results\[LabSamples2025_Bioplastic_extra.xlsx]extra_Bioplastic'!F401)</f>
        <v/>
      </c>
      <c r="G401">
        <f>IF(ISBLANK('Q:\Abteilungsprojekte\Eng\EngData\PROJECT_Bioplastics\Renjie_Pan\05-Raw_Data\Lab_results\[LabSamples2025_Bioplastic_extra.xlsx]extra_Bioplastic'!G401)," ",'Q:\Abteilungsprojekte\Eng\EngData\PROJECT_Bioplastics\Renjie_Pan\05-Raw_Data\Lab_results\[LabSamples2025_Bioplastic_extra.xlsx]extra_Bioplastic'!G401)</f>
        <v/>
      </c>
      <c r="H401">
        <f>IF(ISBLANK('Q:\Abteilungsprojekte\Eng\EngData\PROJECT_Bioplastics\Renjie_Pan\05-Raw_Data\Lab_results\[LabSamples2025_Bioplastic_extra.xlsx]extra_Bioplastic'!H401)," ",'Q:\Abteilungsprojekte\Eng\EngData\PROJECT_Bioplastics\Renjie_Pan\05-Raw_Data\Lab_results\[LabSamples2025_Bioplastic_extra.xlsx]extra_Bioplastic'!H401)</f>
        <v/>
      </c>
    </row>
    <row r="402">
      <c r="A402">
        <f>IF(ISBLANK('Q:\Abteilungsprojekte\Eng\EngData\PROJECT_Bioplastics\Renjie_Pan\05-Raw_Data\Lab_results\[LabSamples2025_Bioplastic_extra.xlsx]extra_Bioplastic'!A402)," ",'Q:\Abteilungsprojekte\Eng\EngData\PROJECT_Bioplastics\Renjie_Pan\05-Raw_Data\Lab_results\[LabSamples2025_Bioplastic_extra.xlsx]extra_Bioplastic'!A402)</f>
        <v/>
      </c>
      <c r="B402">
        <f>IF(ISBLANK('Q:\Abteilungsprojekte\Eng\EngData\PROJECT_Bioplastics\Renjie_Pan\05-Raw_Data\Lab_results\[LabSamples2025_Bioplastic_extra.xlsx]extra_Bioplastic'!B402)," ",'Q:\Abteilungsprojekte\Eng\EngData\PROJECT_Bioplastics\Renjie_Pan\05-Raw_Data\Lab_results\[LabSamples2025_Bioplastic_extra.xlsx]extra_Bioplastic'!B402)</f>
        <v/>
      </c>
      <c r="C402">
        <f>IF(ISBLANK('Q:\Abteilungsprojekte\Eng\EngData\PROJECT_Bioplastics\Renjie_Pan\05-Raw_Data\Lab_results\[LabSamples2025_Bioplastic_extra.xlsx]extra_Bioplastic'!C402)," ",'Q:\Abteilungsprojekte\Eng\EngData\PROJECT_Bioplastics\Renjie_Pan\05-Raw_Data\Lab_results\[LabSamples2025_Bioplastic_extra.xlsx]extra_Bioplastic'!C402)</f>
        <v/>
      </c>
      <c r="D402">
        <f>IF(ISBLANK('Q:\Abteilungsprojekte\Eng\EngData\PROJECT_Bioplastics\Renjie_Pan\05-Raw_Data\Lab_results\[LabSamples2025_Bioplastic_extra.xlsx]extra_Bioplastic'!D402)," ",'Q:\Abteilungsprojekte\Eng\EngData\PROJECT_Bioplastics\Renjie_Pan\05-Raw_Data\Lab_results\[LabSamples2025_Bioplastic_extra.xlsx]extra_Bioplastic'!D402)</f>
        <v/>
      </c>
      <c r="E402">
        <f>IF(ISBLANK('Q:\Abteilungsprojekte\Eng\EngData\PROJECT_Bioplastics\Renjie_Pan\05-Raw_Data\Lab_results\[LabSamples2025_Bioplastic_extra.xlsx]extra_Bioplastic'!E402)," ",'Q:\Abteilungsprojekte\Eng\EngData\PROJECT_Bioplastics\Renjie_Pan\05-Raw_Data\Lab_results\[LabSamples2025_Bioplastic_extra.xlsx]extra_Bioplastic'!E402)</f>
        <v/>
      </c>
      <c r="F402">
        <f>IF(ISBLANK('Q:\Abteilungsprojekte\Eng\EngData\PROJECT_Bioplastics\Renjie_Pan\05-Raw_Data\Lab_results\[LabSamples2025_Bioplastic_extra.xlsx]extra_Bioplastic'!F402)," ",'Q:\Abteilungsprojekte\Eng\EngData\PROJECT_Bioplastics\Renjie_Pan\05-Raw_Data\Lab_results\[LabSamples2025_Bioplastic_extra.xlsx]extra_Bioplastic'!F402)</f>
        <v/>
      </c>
      <c r="G402">
        <f>IF(ISBLANK('Q:\Abteilungsprojekte\Eng\EngData\PROJECT_Bioplastics\Renjie_Pan\05-Raw_Data\Lab_results\[LabSamples2025_Bioplastic_extra.xlsx]extra_Bioplastic'!G402)," ",'Q:\Abteilungsprojekte\Eng\EngData\PROJECT_Bioplastics\Renjie_Pan\05-Raw_Data\Lab_results\[LabSamples2025_Bioplastic_extra.xlsx]extra_Bioplastic'!G402)</f>
        <v/>
      </c>
      <c r="H402">
        <f>IF(ISBLANK('Q:\Abteilungsprojekte\Eng\EngData\PROJECT_Bioplastics\Renjie_Pan\05-Raw_Data\Lab_results\[LabSamples2025_Bioplastic_extra.xlsx]extra_Bioplastic'!H402)," ",'Q:\Abteilungsprojekte\Eng\EngData\PROJECT_Bioplastics\Renjie_Pan\05-Raw_Data\Lab_results\[LabSamples2025_Bioplastic_extra.xlsx]extra_Bioplastic'!H402)</f>
        <v/>
      </c>
    </row>
    <row r="403">
      <c r="A403">
        <f>IF(ISBLANK('Q:\Abteilungsprojekte\Eng\EngData\PROJECT_Bioplastics\Renjie_Pan\05-Raw_Data\Lab_results\[LabSamples2025_Bioplastic_extra.xlsx]extra_Bioplastic'!A403)," ",'Q:\Abteilungsprojekte\Eng\EngData\PROJECT_Bioplastics\Renjie_Pan\05-Raw_Data\Lab_results\[LabSamples2025_Bioplastic_extra.xlsx]extra_Bioplastic'!A403)</f>
        <v/>
      </c>
      <c r="B403">
        <f>IF(ISBLANK('Q:\Abteilungsprojekte\Eng\EngData\PROJECT_Bioplastics\Renjie_Pan\05-Raw_Data\Lab_results\[LabSamples2025_Bioplastic_extra.xlsx]extra_Bioplastic'!B403)," ",'Q:\Abteilungsprojekte\Eng\EngData\PROJECT_Bioplastics\Renjie_Pan\05-Raw_Data\Lab_results\[LabSamples2025_Bioplastic_extra.xlsx]extra_Bioplastic'!B403)</f>
        <v/>
      </c>
      <c r="C403">
        <f>IF(ISBLANK('Q:\Abteilungsprojekte\Eng\EngData\PROJECT_Bioplastics\Renjie_Pan\05-Raw_Data\Lab_results\[LabSamples2025_Bioplastic_extra.xlsx]extra_Bioplastic'!C403)," ",'Q:\Abteilungsprojekte\Eng\EngData\PROJECT_Bioplastics\Renjie_Pan\05-Raw_Data\Lab_results\[LabSamples2025_Bioplastic_extra.xlsx]extra_Bioplastic'!C403)</f>
        <v/>
      </c>
      <c r="D403">
        <f>IF(ISBLANK('Q:\Abteilungsprojekte\Eng\EngData\PROJECT_Bioplastics\Renjie_Pan\05-Raw_Data\Lab_results\[LabSamples2025_Bioplastic_extra.xlsx]extra_Bioplastic'!D403)," ",'Q:\Abteilungsprojekte\Eng\EngData\PROJECT_Bioplastics\Renjie_Pan\05-Raw_Data\Lab_results\[LabSamples2025_Bioplastic_extra.xlsx]extra_Bioplastic'!D403)</f>
        <v/>
      </c>
      <c r="E403">
        <f>IF(ISBLANK('Q:\Abteilungsprojekte\Eng\EngData\PROJECT_Bioplastics\Renjie_Pan\05-Raw_Data\Lab_results\[LabSamples2025_Bioplastic_extra.xlsx]extra_Bioplastic'!E403)," ",'Q:\Abteilungsprojekte\Eng\EngData\PROJECT_Bioplastics\Renjie_Pan\05-Raw_Data\Lab_results\[LabSamples2025_Bioplastic_extra.xlsx]extra_Bioplastic'!E403)</f>
        <v/>
      </c>
      <c r="F403">
        <f>IF(ISBLANK('Q:\Abteilungsprojekte\Eng\EngData\PROJECT_Bioplastics\Renjie_Pan\05-Raw_Data\Lab_results\[LabSamples2025_Bioplastic_extra.xlsx]extra_Bioplastic'!F403)," ",'Q:\Abteilungsprojekte\Eng\EngData\PROJECT_Bioplastics\Renjie_Pan\05-Raw_Data\Lab_results\[LabSamples2025_Bioplastic_extra.xlsx]extra_Bioplastic'!F403)</f>
        <v/>
      </c>
      <c r="G403">
        <f>IF(ISBLANK('Q:\Abteilungsprojekte\Eng\EngData\PROJECT_Bioplastics\Renjie_Pan\05-Raw_Data\Lab_results\[LabSamples2025_Bioplastic_extra.xlsx]extra_Bioplastic'!G403)," ",'Q:\Abteilungsprojekte\Eng\EngData\PROJECT_Bioplastics\Renjie_Pan\05-Raw_Data\Lab_results\[LabSamples2025_Bioplastic_extra.xlsx]extra_Bioplastic'!G403)</f>
        <v/>
      </c>
      <c r="H403">
        <f>IF(ISBLANK('Q:\Abteilungsprojekte\Eng\EngData\PROJECT_Bioplastics\Renjie_Pan\05-Raw_Data\Lab_results\[LabSamples2025_Bioplastic_extra.xlsx]extra_Bioplastic'!H403)," ",'Q:\Abteilungsprojekte\Eng\EngData\PROJECT_Bioplastics\Renjie_Pan\05-Raw_Data\Lab_results\[LabSamples2025_Bioplastic_extra.xlsx]extra_Bioplastic'!H403)</f>
        <v/>
      </c>
    </row>
    <row r="404">
      <c r="A404">
        <f>IF(ISBLANK('Q:\Abteilungsprojekte\Eng\EngData\PROJECT_Bioplastics\Renjie_Pan\05-Raw_Data\Lab_results\[LabSamples2025_Bioplastic_extra.xlsx]extra_Bioplastic'!A404)," ",'Q:\Abteilungsprojekte\Eng\EngData\PROJECT_Bioplastics\Renjie_Pan\05-Raw_Data\Lab_results\[LabSamples2025_Bioplastic_extra.xlsx]extra_Bioplastic'!A404)</f>
        <v/>
      </c>
      <c r="B404">
        <f>IF(ISBLANK('Q:\Abteilungsprojekte\Eng\EngData\PROJECT_Bioplastics\Renjie_Pan\05-Raw_Data\Lab_results\[LabSamples2025_Bioplastic_extra.xlsx]extra_Bioplastic'!B404)," ",'Q:\Abteilungsprojekte\Eng\EngData\PROJECT_Bioplastics\Renjie_Pan\05-Raw_Data\Lab_results\[LabSamples2025_Bioplastic_extra.xlsx]extra_Bioplastic'!B404)</f>
        <v/>
      </c>
      <c r="C404">
        <f>IF(ISBLANK('Q:\Abteilungsprojekte\Eng\EngData\PROJECT_Bioplastics\Renjie_Pan\05-Raw_Data\Lab_results\[LabSamples2025_Bioplastic_extra.xlsx]extra_Bioplastic'!C404)," ",'Q:\Abteilungsprojekte\Eng\EngData\PROJECT_Bioplastics\Renjie_Pan\05-Raw_Data\Lab_results\[LabSamples2025_Bioplastic_extra.xlsx]extra_Bioplastic'!C404)</f>
        <v/>
      </c>
      <c r="D404">
        <f>IF(ISBLANK('Q:\Abteilungsprojekte\Eng\EngData\PROJECT_Bioplastics\Renjie_Pan\05-Raw_Data\Lab_results\[LabSamples2025_Bioplastic_extra.xlsx]extra_Bioplastic'!D404)," ",'Q:\Abteilungsprojekte\Eng\EngData\PROJECT_Bioplastics\Renjie_Pan\05-Raw_Data\Lab_results\[LabSamples2025_Bioplastic_extra.xlsx]extra_Bioplastic'!D404)</f>
        <v/>
      </c>
      <c r="E404">
        <f>IF(ISBLANK('Q:\Abteilungsprojekte\Eng\EngData\PROJECT_Bioplastics\Renjie_Pan\05-Raw_Data\Lab_results\[LabSamples2025_Bioplastic_extra.xlsx]extra_Bioplastic'!E404)," ",'Q:\Abteilungsprojekte\Eng\EngData\PROJECT_Bioplastics\Renjie_Pan\05-Raw_Data\Lab_results\[LabSamples2025_Bioplastic_extra.xlsx]extra_Bioplastic'!E404)</f>
        <v/>
      </c>
      <c r="F404">
        <f>IF(ISBLANK('Q:\Abteilungsprojekte\Eng\EngData\PROJECT_Bioplastics\Renjie_Pan\05-Raw_Data\Lab_results\[LabSamples2025_Bioplastic_extra.xlsx]extra_Bioplastic'!F404)," ",'Q:\Abteilungsprojekte\Eng\EngData\PROJECT_Bioplastics\Renjie_Pan\05-Raw_Data\Lab_results\[LabSamples2025_Bioplastic_extra.xlsx]extra_Bioplastic'!F404)</f>
        <v/>
      </c>
      <c r="G404">
        <f>IF(ISBLANK('Q:\Abteilungsprojekte\Eng\EngData\PROJECT_Bioplastics\Renjie_Pan\05-Raw_Data\Lab_results\[LabSamples2025_Bioplastic_extra.xlsx]extra_Bioplastic'!G404)," ",'Q:\Abteilungsprojekte\Eng\EngData\PROJECT_Bioplastics\Renjie_Pan\05-Raw_Data\Lab_results\[LabSamples2025_Bioplastic_extra.xlsx]extra_Bioplastic'!G404)</f>
        <v/>
      </c>
      <c r="H404">
        <f>IF(ISBLANK('Q:\Abteilungsprojekte\Eng\EngData\PROJECT_Bioplastics\Renjie_Pan\05-Raw_Data\Lab_results\[LabSamples2025_Bioplastic_extra.xlsx]extra_Bioplastic'!H404)," ",'Q:\Abteilungsprojekte\Eng\EngData\PROJECT_Bioplastics\Renjie_Pan\05-Raw_Data\Lab_results\[LabSamples2025_Bioplastic_extra.xlsx]extra_Bioplastic'!H404)</f>
        <v/>
      </c>
    </row>
    <row r="405">
      <c r="A405">
        <f>IF(ISBLANK('Q:\Abteilungsprojekte\Eng\EngData\PROJECT_Bioplastics\Renjie_Pan\05-Raw_Data\Lab_results\[LabSamples2025_Bioplastic_extra.xlsx]extra_Bioplastic'!A405)," ",'Q:\Abteilungsprojekte\Eng\EngData\PROJECT_Bioplastics\Renjie_Pan\05-Raw_Data\Lab_results\[LabSamples2025_Bioplastic_extra.xlsx]extra_Bioplastic'!A405)</f>
        <v/>
      </c>
      <c r="B405">
        <f>IF(ISBLANK('Q:\Abteilungsprojekte\Eng\EngData\PROJECT_Bioplastics\Renjie_Pan\05-Raw_Data\Lab_results\[LabSamples2025_Bioplastic_extra.xlsx]extra_Bioplastic'!B405)," ",'Q:\Abteilungsprojekte\Eng\EngData\PROJECT_Bioplastics\Renjie_Pan\05-Raw_Data\Lab_results\[LabSamples2025_Bioplastic_extra.xlsx]extra_Bioplastic'!B405)</f>
        <v/>
      </c>
      <c r="C405">
        <f>IF(ISBLANK('Q:\Abteilungsprojekte\Eng\EngData\PROJECT_Bioplastics\Renjie_Pan\05-Raw_Data\Lab_results\[LabSamples2025_Bioplastic_extra.xlsx]extra_Bioplastic'!C405)," ",'Q:\Abteilungsprojekte\Eng\EngData\PROJECT_Bioplastics\Renjie_Pan\05-Raw_Data\Lab_results\[LabSamples2025_Bioplastic_extra.xlsx]extra_Bioplastic'!C405)</f>
        <v/>
      </c>
      <c r="D405">
        <f>IF(ISBLANK('Q:\Abteilungsprojekte\Eng\EngData\PROJECT_Bioplastics\Renjie_Pan\05-Raw_Data\Lab_results\[LabSamples2025_Bioplastic_extra.xlsx]extra_Bioplastic'!D405)," ",'Q:\Abteilungsprojekte\Eng\EngData\PROJECT_Bioplastics\Renjie_Pan\05-Raw_Data\Lab_results\[LabSamples2025_Bioplastic_extra.xlsx]extra_Bioplastic'!D405)</f>
        <v/>
      </c>
      <c r="E405">
        <f>IF(ISBLANK('Q:\Abteilungsprojekte\Eng\EngData\PROJECT_Bioplastics\Renjie_Pan\05-Raw_Data\Lab_results\[LabSamples2025_Bioplastic_extra.xlsx]extra_Bioplastic'!E405)," ",'Q:\Abteilungsprojekte\Eng\EngData\PROJECT_Bioplastics\Renjie_Pan\05-Raw_Data\Lab_results\[LabSamples2025_Bioplastic_extra.xlsx]extra_Bioplastic'!E405)</f>
        <v/>
      </c>
      <c r="F405">
        <f>IF(ISBLANK('Q:\Abteilungsprojekte\Eng\EngData\PROJECT_Bioplastics\Renjie_Pan\05-Raw_Data\Lab_results\[LabSamples2025_Bioplastic_extra.xlsx]extra_Bioplastic'!F405)," ",'Q:\Abteilungsprojekte\Eng\EngData\PROJECT_Bioplastics\Renjie_Pan\05-Raw_Data\Lab_results\[LabSamples2025_Bioplastic_extra.xlsx]extra_Bioplastic'!F405)</f>
        <v/>
      </c>
      <c r="G405">
        <f>IF(ISBLANK('Q:\Abteilungsprojekte\Eng\EngData\PROJECT_Bioplastics\Renjie_Pan\05-Raw_Data\Lab_results\[LabSamples2025_Bioplastic_extra.xlsx]extra_Bioplastic'!G405)," ",'Q:\Abteilungsprojekte\Eng\EngData\PROJECT_Bioplastics\Renjie_Pan\05-Raw_Data\Lab_results\[LabSamples2025_Bioplastic_extra.xlsx]extra_Bioplastic'!G405)</f>
        <v/>
      </c>
      <c r="H405">
        <f>IF(ISBLANK('Q:\Abteilungsprojekte\Eng\EngData\PROJECT_Bioplastics\Renjie_Pan\05-Raw_Data\Lab_results\[LabSamples2025_Bioplastic_extra.xlsx]extra_Bioplastic'!H405)," ",'Q:\Abteilungsprojekte\Eng\EngData\PROJECT_Bioplastics\Renjie_Pan\05-Raw_Data\Lab_results\[LabSamples2025_Bioplastic_extra.xlsx]extra_Bioplastic'!H405)</f>
        <v/>
      </c>
    </row>
    <row r="406">
      <c r="A406">
        <f>IF(ISBLANK('Q:\Abteilungsprojekte\Eng\EngData\PROJECT_Bioplastics\Renjie_Pan\05-Raw_Data\Lab_results\[LabSamples2025_Bioplastic_extra.xlsx]extra_Bioplastic'!A406)," ",'Q:\Abteilungsprojekte\Eng\EngData\PROJECT_Bioplastics\Renjie_Pan\05-Raw_Data\Lab_results\[LabSamples2025_Bioplastic_extra.xlsx]extra_Bioplastic'!A406)</f>
        <v/>
      </c>
      <c r="B406">
        <f>IF(ISBLANK('Q:\Abteilungsprojekte\Eng\EngData\PROJECT_Bioplastics\Renjie_Pan\05-Raw_Data\Lab_results\[LabSamples2025_Bioplastic_extra.xlsx]extra_Bioplastic'!B406)," ",'Q:\Abteilungsprojekte\Eng\EngData\PROJECT_Bioplastics\Renjie_Pan\05-Raw_Data\Lab_results\[LabSamples2025_Bioplastic_extra.xlsx]extra_Bioplastic'!B406)</f>
        <v/>
      </c>
      <c r="C406">
        <f>IF(ISBLANK('Q:\Abteilungsprojekte\Eng\EngData\PROJECT_Bioplastics\Renjie_Pan\05-Raw_Data\Lab_results\[LabSamples2025_Bioplastic_extra.xlsx]extra_Bioplastic'!C406)," ",'Q:\Abteilungsprojekte\Eng\EngData\PROJECT_Bioplastics\Renjie_Pan\05-Raw_Data\Lab_results\[LabSamples2025_Bioplastic_extra.xlsx]extra_Bioplastic'!C406)</f>
        <v/>
      </c>
      <c r="D406">
        <f>IF(ISBLANK('Q:\Abteilungsprojekte\Eng\EngData\PROJECT_Bioplastics\Renjie_Pan\05-Raw_Data\Lab_results\[LabSamples2025_Bioplastic_extra.xlsx]extra_Bioplastic'!D406)," ",'Q:\Abteilungsprojekte\Eng\EngData\PROJECT_Bioplastics\Renjie_Pan\05-Raw_Data\Lab_results\[LabSamples2025_Bioplastic_extra.xlsx]extra_Bioplastic'!D406)</f>
        <v/>
      </c>
      <c r="E406">
        <f>IF(ISBLANK('Q:\Abteilungsprojekte\Eng\EngData\PROJECT_Bioplastics\Renjie_Pan\05-Raw_Data\Lab_results\[LabSamples2025_Bioplastic_extra.xlsx]extra_Bioplastic'!E406)," ",'Q:\Abteilungsprojekte\Eng\EngData\PROJECT_Bioplastics\Renjie_Pan\05-Raw_Data\Lab_results\[LabSamples2025_Bioplastic_extra.xlsx]extra_Bioplastic'!E406)</f>
        <v/>
      </c>
      <c r="F406">
        <f>IF(ISBLANK('Q:\Abteilungsprojekte\Eng\EngData\PROJECT_Bioplastics\Renjie_Pan\05-Raw_Data\Lab_results\[LabSamples2025_Bioplastic_extra.xlsx]extra_Bioplastic'!F406)," ",'Q:\Abteilungsprojekte\Eng\EngData\PROJECT_Bioplastics\Renjie_Pan\05-Raw_Data\Lab_results\[LabSamples2025_Bioplastic_extra.xlsx]extra_Bioplastic'!F406)</f>
        <v/>
      </c>
      <c r="G406">
        <f>IF(ISBLANK('Q:\Abteilungsprojekte\Eng\EngData\PROJECT_Bioplastics\Renjie_Pan\05-Raw_Data\Lab_results\[LabSamples2025_Bioplastic_extra.xlsx]extra_Bioplastic'!G406)," ",'Q:\Abteilungsprojekte\Eng\EngData\PROJECT_Bioplastics\Renjie_Pan\05-Raw_Data\Lab_results\[LabSamples2025_Bioplastic_extra.xlsx]extra_Bioplastic'!G406)</f>
        <v/>
      </c>
      <c r="H406">
        <f>IF(ISBLANK('Q:\Abteilungsprojekte\Eng\EngData\PROJECT_Bioplastics\Renjie_Pan\05-Raw_Data\Lab_results\[LabSamples2025_Bioplastic_extra.xlsx]extra_Bioplastic'!H406)," ",'Q:\Abteilungsprojekte\Eng\EngData\PROJECT_Bioplastics\Renjie_Pan\05-Raw_Data\Lab_results\[LabSamples2025_Bioplastic_extra.xlsx]extra_Bioplastic'!H406)</f>
        <v/>
      </c>
    </row>
    <row r="407">
      <c r="A407">
        <f>IF(ISBLANK('Q:\Abteilungsprojekte\Eng\EngData\PROJECT_Bioplastics\Renjie_Pan\05-Raw_Data\Lab_results\[LabSamples2025_Bioplastic_extra.xlsx]extra_Bioplastic'!A407)," ",'Q:\Abteilungsprojekte\Eng\EngData\PROJECT_Bioplastics\Renjie_Pan\05-Raw_Data\Lab_results\[LabSamples2025_Bioplastic_extra.xlsx]extra_Bioplastic'!A407)</f>
        <v/>
      </c>
      <c r="B407">
        <f>IF(ISBLANK('Q:\Abteilungsprojekte\Eng\EngData\PROJECT_Bioplastics\Renjie_Pan\05-Raw_Data\Lab_results\[LabSamples2025_Bioplastic_extra.xlsx]extra_Bioplastic'!B407)," ",'Q:\Abteilungsprojekte\Eng\EngData\PROJECT_Bioplastics\Renjie_Pan\05-Raw_Data\Lab_results\[LabSamples2025_Bioplastic_extra.xlsx]extra_Bioplastic'!B407)</f>
        <v/>
      </c>
      <c r="C407">
        <f>IF(ISBLANK('Q:\Abteilungsprojekte\Eng\EngData\PROJECT_Bioplastics\Renjie_Pan\05-Raw_Data\Lab_results\[LabSamples2025_Bioplastic_extra.xlsx]extra_Bioplastic'!C407)," ",'Q:\Abteilungsprojekte\Eng\EngData\PROJECT_Bioplastics\Renjie_Pan\05-Raw_Data\Lab_results\[LabSamples2025_Bioplastic_extra.xlsx]extra_Bioplastic'!C407)</f>
        <v/>
      </c>
      <c r="D407">
        <f>IF(ISBLANK('Q:\Abteilungsprojekte\Eng\EngData\PROJECT_Bioplastics\Renjie_Pan\05-Raw_Data\Lab_results\[LabSamples2025_Bioplastic_extra.xlsx]extra_Bioplastic'!D407)," ",'Q:\Abteilungsprojekte\Eng\EngData\PROJECT_Bioplastics\Renjie_Pan\05-Raw_Data\Lab_results\[LabSamples2025_Bioplastic_extra.xlsx]extra_Bioplastic'!D407)</f>
        <v/>
      </c>
      <c r="E407">
        <f>IF(ISBLANK('Q:\Abteilungsprojekte\Eng\EngData\PROJECT_Bioplastics\Renjie_Pan\05-Raw_Data\Lab_results\[LabSamples2025_Bioplastic_extra.xlsx]extra_Bioplastic'!E407)," ",'Q:\Abteilungsprojekte\Eng\EngData\PROJECT_Bioplastics\Renjie_Pan\05-Raw_Data\Lab_results\[LabSamples2025_Bioplastic_extra.xlsx]extra_Bioplastic'!E407)</f>
        <v/>
      </c>
      <c r="F407">
        <f>IF(ISBLANK('Q:\Abteilungsprojekte\Eng\EngData\PROJECT_Bioplastics\Renjie_Pan\05-Raw_Data\Lab_results\[LabSamples2025_Bioplastic_extra.xlsx]extra_Bioplastic'!F407)," ",'Q:\Abteilungsprojekte\Eng\EngData\PROJECT_Bioplastics\Renjie_Pan\05-Raw_Data\Lab_results\[LabSamples2025_Bioplastic_extra.xlsx]extra_Bioplastic'!F407)</f>
        <v/>
      </c>
      <c r="G407">
        <f>IF(ISBLANK('Q:\Abteilungsprojekte\Eng\EngData\PROJECT_Bioplastics\Renjie_Pan\05-Raw_Data\Lab_results\[LabSamples2025_Bioplastic_extra.xlsx]extra_Bioplastic'!G407)," ",'Q:\Abteilungsprojekte\Eng\EngData\PROJECT_Bioplastics\Renjie_Pan\05-Raw_Data\Lab_results\[LabSamples2025_Bioplastic_extra.xlsx]extra_Bioplastic'!G407)</f>
        <v/>
      </c>
      <c r="H407">
        <f>IF(ISBLANK('Q:\Abteilungsprojekte\Eng\EngData\PROJECT_Bioplastics\Renjie_Pan\05-Raw_Data\Lab_results\[LabSamples2025_Bioplastic_extra.xlsx]extra_Bioplastic'!H407)," ",'Q:\Abteilungsprojekte\Eng\EngData\PROJECT_Bioplastics\Renjie_Pan\05-Raw_Data\Lab_results\[LabSamples2025_Bioplastic_extra.xlsx]extra_Bioplastic'!H407)</f>
        <v/>
      </c>
    </row>
    <row r="408">
      <c r="A408">
        <f>IF(ISBLANK('Q:\Abteilungsprojekte\Eng\EngData\PROJECT_Bioplastics\Renjie_Pan\05-Raw_Data\Lab_results\[LabSamples2025_Bioplastic_extra.xlsx]extra_Bioplastic'!A408)," ",'Q:\Abteilungsprojekte\Eng\EngData\PROJECT_Bioplastics\Renjie_Pan\05-Raw_Data\Lab_results\[LabSamples2025_Bioplastic_extra.xlsx]extra_Bioplastic'!A408)</f>
        <v/>
      </c>
      <c r="B408">
        <f>IF(ISBLANK('Q:\Abteilungsprojekte\Eng\EngData\PROJECT_Bioplastics\Renjie_Pan\05-Raw_Data\Lab_results\[LabSamples2025_Bioplastic_extra.xlsx]extra_Bioplastic'!B408)," ",'Q:\Abteilungsprojekte\Eng\EngData\PROJECT_Bioplastics\Renjie_Pan\05-Raw_Data\Lab_results\[LabSamples2025_Bioplastic_extra.xlsx]extra_Bioplastic'!B408)</f>
        <v/>
      </c>
      <c r="C408">
        <f>IF(ISBLANK('Q:\Abteilungsprojekte\Eng\EngData\PROJECT_Bioplastics\Renjie_Pan\05-Raw_Data\Lab_results\[LabSamples2025_Bioplastic_extra.xlsx]extra_Bioplastic'!C408)," ",'Q:\Abteilungsprojekte\Eng\EngData\PROJECT_Bioplastics\Renjie_Pan\05-Raw_Data\Lab_results\[LabSamples2025_Bioplastic_extra.xlsx]extra_Bioplastic'!C408)</f>
        <v/>
      </c>
      <c r="D408">
        <f>IF(ISBLANK('Q:\Abteilungsprojekte\Eng\EngData\PROJECT_Bioplastics\Renjie_Pan\05-Raw_Data\Lab_results\[LabSamples2025_Bioplastic_extra.xlsx]extra_Bioplastic'!D408)," ",'Q:\Abteilungsprojekte\Eng\EngData\PROJECT_Bioplastics\Renjie_Pan\05-Raw_Data\Lab_results\[LabSamples2025_Bioplastic_extra.xlsx]extra_Bioplastic'!D408)</f>
        <v/>
      </c>
      <c r="E408">
        <f>IF(ISBLANK('Q:\Abteilungsprojekte\Eng\EngData\PROJECT_Bioplastics\Renjie_Pan\05-Raw_Data\Lab_results\[LabSamples2025_Bioplastic_extra.xlsx]extra_Bioplastic'!E408)," ",'Q:\Abteilungsprojekte\Eng\EngData\PROJECT_Bioplastics\Renjie_Pan\05-Raw_Data\Lab_results\[LabSamples2025_Bioplastic_extra.xlsx]extra_Bioplastic'!E408)</f>
        <v/>
      </c>
      <c r="F408">
        <f>IF(ISBLANK('Q:\Abteilungsprojekte\Eng\EngData\PROJECT_Bioplastics\Renjie_Pan\05-Raw_Data\Lab_results\[LabSamples2025_Bioplastic_extra.xlsx]extra_Bioplastic'!F408)," ",'Q:\Abteilungsprojekte\Eng\EngData\PROJECT_Bioplastics\Renjie_Pan\05-Raw_Data\Lab_results\[LabSamples2025_Bioplastic_extra.xlsx]extra_Bioplastic'!F408)</f>
        <v/>
      </c>
      <c r="G408">
        <f>IF(ISBLANK('Q:\Abteilungsprojekte\Eng\EngData\PROJECT_Bioplastics\Renjie_Pan\05-Raw_Data\Lab_results\[LabSamples2025_Bioplastic_extra.xlsx]extra_Bioplastic'!G408)," ",'Q:\Abteilungsprojekte\Eng\EngData\PROJECT_Bioplastics\Renjie_Pan\05-Raw_Data\Lab_results\[LabSamples2025_Bioplastic_extra.xlsx]extra_Bioplastic'!G408)</f>
        <v/>
      </c>
      <c r="H408">
        <f>IF(ISBLANK('Q:\Abteilungsprojekte\Eng\EngData\PROJECT_Bioplastics\Renjie_Pan\05-Raw_Data\Lab_results\[LabSamples2025_Bioplastic_extra.xlsx]extra_Bioplastic'!H408)," ",'Q:\Abteilungsprojekte\Eng\EngData\PROJECT_Bioplastics\Renjie_Pan\05-Raw_Data\Lab_results\[LabSamples2025_Bioplastic_extra.xlsx]extra_Bioplastic'!H408)</f>
        <v/>
      </c>
    </row>
    <row r="409">
      <c r="A409">
        <f>IF(ISBLANK('Q:\Abteilungsprojekte\Eng\EngData\PROJECT_Bioplastics\Renjie_Pan\05-Raw_Data\Lab_results\[LabSamples2025_Bioplastic_extra.xlsx]extra_Bioplastic'!A409)," ",'Q:\Abteilungsprojekte\Eng\EngData\PROJECT_Bioplastics\Renjie_Pan\05-Raw_Data\Lab_results\[LabSamples2025_Bioplastic_extra.xlsx]extra_Bioplastic'!A409)</f>
        <v/>
      </c>
      <c r="B409">
        <f>IF(ISBLANK('Q:\Abteilungsprojekte\Eng\EngData\PROJECT_Bioplastics\Renjie_Pan\05-Raw_Data\Lab_results\[LabSamples2025_Bioplastic_extra.xlsx]extra_Bioplastic'!B409)," ",'Q:\Abteilungsprojekte\Eng\EngData\PROJECT_Bioplastics\Renjie_Pan\05-Raw_Data\Lab_results\[LabSamples2025_Bioplastic_extra.xlsx]extra_Bioplastic'!B409)</f>
        <v/>
      </c>
      <c r="C409">
        <f>IF(ISBLANK('Q:\Abteilungsprojekte\Eng\EngData\PROJECT_Bioplastics\Renjie_Pan\05-Raw_Data\Lab_results\[LabSamples2025_Bioplastic_extra.xlsx]extra_Bioplastic'!C409)," ",'Q:\Abteilungsprojekte\Eng\EngData\PROJECT_Bioplastics\Renjie_Pan\05-Raw_Data\Lab_results\[LabSamples2025_Bioplastic_extra.xlsx]extra_Bioplastic'!C409)</f>
        <v/>
      </c>
      <c r="D409">
        <f>IF(ISBLANK('Q:\Abteilungsprojekte\Eng\EngData\PROJECT_Bioplastics\Renjie_Pan\05-Raw_Data\Lab_results\[LabSamples2025_Bioplastic_extra.xlsx]extra_Bioplastic'!D409)," ",'Q:\Abteilungsprojekte\Eng\EngData\PROJECT_Bioplastics\Renjie_Pan\05-Raw_Data\Lab_results\[LabSamples2025_Bioplastic_extra.xlsx]extra_Bioplastic'!D409)</f>
        <v/>
      </c>
      <c r="E409">
        <f>IF(ISBLANK('Q:\Abteilungsprojekte\Eng\EngData\PROJECT_Bioplastics\Renjie_Pan\05-Raw_Data\Lab_results\[LabSamples2025_Bioplastic_extra.xlsx]extra_Bioplastic'!E409)," ",'Q:\Abteilungsprojekte\Eng\EngData\PROJECT_Bioplastics\Renjie_Pan\05-Raw_Data\Lab_results\[LabSamples2025_Bioplastic_extra.xlsx]extra_Bioplastic'!E409)</f>
        <v/>
      </c>
      <c r="F409">
        <f>IF(ISBLANK('Q:\Abteilungsprojekte\Eng\EngData\PROJECT_Bioplastics\Renjie_Pan\05-Raw_Data\Lab_results\[LabSamples2025_Bioplastic_extra.xlsx]extra_Bioplastic'!F409)," ",'Q:\Abteilungsprojekte\Eng\EngData\PROJECT_Bioplastics\Renjie_Pan\05-Raw_Data\Lab_results\[LabSamples2025_Bioplastic_extra.xlsx]extra_Bioplastic'!F409)</f>
        <v/>
      </c>
      <c r="G409">
        <f>IF(ISBLANK('Q:\Abteilungsprojekte\Eng\EngData\PROJECT_Bioplastics\Renjie_Pan\05-Raw_Data\Lab_results\[LabSamples2025_Bioplastic_extra.xlsx]extra_Bioplastic'!G409)," ",'Q:\Abteilungsprojekte\Eng\EngData\PROJECT_Bioplastics\Renjie_Pan\05-Raw_Data\Lab_results\[LabSamples2025_Bioplastic_extra.xlsx]extra_Bioplastic'!G409)</f>
        <v/>
      </c>
      <c r="H409">
        <f>IF(ISBLANK('Q:\Abteilungsprojekte\Eng\EngData\PROJECT_Bioplastics\Renjie_Pan\05-Raw_Data\Lab_results\[LabSamples2025_Bioplastic_extra.xlsx]extra_Bioplastic'!H409)," ",'Q:\Abteilungsprojekte\Eng\EngData\PROJECT_Bioplastics\Renjie_Pan\05-Raw_Data\Lab_results\[LabSamples2025_Bioplastic_extra.xlsx]extra_Bioplastic'!H409)</f>
        <v/>
      </c>
    </row>
    <row r="410">
      <c r="A410">
        <f>IF(ISBLANK('Q:\Abteilungsprojekte\Eng\EngData\PROJECT_Bioplastics\Renjie_Pan\05-Raw_Data\Lab_results\[LabSamples2025_Bioplastic_extra.xlsx]extra_Bioplastic'!A410)," ",'Q:\Abteilungsprojekte\Eng\EngData\PROJECT_Bioplastics\Renjie_Pan\05-Raw_Data\Lab_results\[LabSamples2025_Bioplastic_extra.xlsx]extra_Bioplastic'!A410)</f>
        <v/>
      </c>
      <c r="B410">
        <f>IF(ISBLANK('Q:\Abteilungsprojekte\Eng\EngData\PROJECT_Bioplastics\Renjie_Pan\05-Raw_Data\Lab_results\[LabSamples2025_Bioplastic_extra.xlsx]extra_Bioplastic'!B410)," ",'Q:\Abteilungsprojekte\Eng\EngData\PROJECT_Bioplastics\Renjie_Pan\05-Raw_Data\Lab_results\[LabSamples2025_Bioplastic_extra.xlsx]extra_Bioplastic'!B410)</f>
        <v/>
      </c>
      <c r="C410">
        <f>IF(ISBLANK('Q:\Abteilungsprojekte\Eng\EngData\PROJECT_Bioplastics\Renjie_Pan\05-Raw_Data\Lab_results\[LabSamples2025_Bioplastic_extra.xlsx]extra_Bioplastic'!C410)," ",'Q:\Abteilungsprojekte\Eng\EngData\PROJECT_Bioplastics\Renjie_Pan\05-Raw_Data\Lab_results\[LabSamples2025_Bioplastic_extra.xlsx]extra_Bioplastic'!C410)</f>
        <v/>
      </c>
      <c r="D410">
        <f>IF(ISBLANK('Q:\Abteilungsprojekte\Eng\EngData\PROJECT_Bioplastics\Renjie_Pan\05-Raw_Data\Lab_results\[LabSamples2025_Bioplastic_extra.xlsx]extra_Bioplastic'!D410)," ",'Q:\Abteilungsprojekte\Eng\EngData\PROJECT_Bioplastics\Renjie_Pan\05-Raw_Data\Lab_results\[LabSamples2025_Bioplastic_extra.xlsx]extra_Bioplastic'!D410)</f>
        <v/>
      </c>
      <c r="E410">
        <f>IF(ISBLANK('Q:\Abteilungsprojekte\Eng\EngData\PROJECT_Bioplastics\Renjie_Pan\05-Raw_Data\Lab_results\[LabSamples2025_Bioplastic_extra.xlsx]extra_Bioplastic'!E410)," ",'Q:\Abteilungsprojekte\Eng\EngData\PROJECT_Bioplastics\Renjie_Pan\05-Raw_Data\Lab_results\[LabSamples2025_Bioplastic_extra.xlsx]extra_Bioplastic'!E410)</f>
        <v/>
      </c>
      <c r="F410">
        <f>IF(ISBLANK('Q:\Abteilungsprojekte\Eng\EngData\PROJECT_Bioplastics\Renjie_Pan\05-Raw_Data\Lab_results\[LabSamples2025_Bioplastic_extra.xlsx]extra_Bioplastic'!F410)," ",'Q:\Abteilungsprojekte\Eng\EngData\PROJECT_Bioplastics\Renjie_Pan\05-Raw_Data\Lab_results\[LabSamples2025_Bioplastic_extra.xlsx]extra_Bioplastic'!F410)</f>
        <v/>
      </c>
      <c r="G410">
        <f>IF(ISBLANK('Q:\Abteilungsprojekte\Eng\EngData\PROJECT_Bioplastics\Renjie_Pan\05-Raw_Data\Lab_results\[LabSamples2025_Bioplastic_extra.xlsx]extra_Bioplastic'!G410)," ",'Q:\Abteilungsprojekte\Eng\EngData\PROJECT_Bioplastics\Renjie_Pan\05-Raw_Data\Lab_results\[LabSamples2025_Bioplastic_extra.xlsx]extra_Bioplastic'!G410)</f>
        <v/>
      </c>
      <c r="H410">
        <f>IF(ISBLANK('Q:\Abteilungsprojekte\Eng\EngData\PROJECT_Bioplastics\Renjie_Pan\05-Raw_Data\Lab_results\[LabSamples2025_Bioplastic_extra.xlsx]extra_Bioplastic'!H410)," ",'Q:\Abteilungsprojekte\Eng\EngData\PROJECT_Bioplastics\Renjie_Pan\05-Raw_Data\Lab_results\[LabSamples2025_Bioplastic_extra.xlsx]extra_Bioplastic'!H410)</f>
        <v/>
      </c>
    </row>
    <row r="411">
      <c r="A411">
        <f>IF(ISBLANK('Q:\Abteilungsprojekte\Eng\EngData\PROJECT_Bioplastics\Renjie_Pan\05-Raw_Data\Lab_results\[LabSamples2025_Bioplastic_extra.xlsx]extra_Bioplastic'!A411)," ",'Q:\Abteilungsprojekte\Eng\EngData\PROJECT_Bioplastics\Renjie_Pan\05-Raw_Data\Lab_results\[LabSamples2025_Bioplastic_extra.xlsx]extra_Bioplastic'!A411)</f>
        <v/>
      </c>
      <c r="B411">
        <f>IF(ISBLANK('Q:\Abteilungsprojekte\Eng\EngData\PROJECT_Bioplastics\Renjie_Pan\05-Raw_Data\Lab_results\[LabSamples2025_Bioplastic_extra.xlsx]extra_Bioplastic'!B411)," ",'Q:\Abteilungsprojekte\Eng\EngData\PROJECT_Bioplastics\Renjie_Pan\05-Raw_Data\Lab_results\[LabSamples2025_Bioplastic_extra.xlsx]extra_Bioplastic'!B411)</f>
        <v/>
      </c>
      <c r="C411">
        <f>IF(ISBLANK('Q:\Abteilungsprojekte\Eng\EngData\PROJECT_Bioplastics\Renjie_Pan\05-Raw_Data\Lab_results\[LabSamples2025_Bioplastic_extra.xlsx]extra_Bioplastic'!C411)," ",'Q:\Abteilungsprojekte\Eng\EngData\PROJECT_Bioplastics\Renjie_Pan\05-Raw_Data\Lab_results\[LabSamples2025_Bioplastic_extra.xlsx]extra_Bioplastic'!C411)</f>
        <v/>
      </c>
      <c r="D411">
        <f>IF(ISBLANK('Q:\Abteilungsprojekte\Eng\EngData\PROJECT_Bioplastics\Renjie_Pan\05-Raw_Data\Lab_results\[LabSamples2025_Bioplastic_extra.xlsx]extra_Bioplastic'!D411)," ",'Q:\Abteilungsprojekte\Eng\EngData\PROJECT_Bioplastics\Renjie_Pan\05-Raw_Data\Lab_results\[LabSamples2025_Bioplastic_extra.xlsx]extra_Bioplastic'!D411)</f>
        <v/>
      </c>
      <c r="E411">
        <f>IF(ISBLANK('Q:\Abteilungsprojekte\Eng\EngData\PROJECT_Bioplastics\Renjie_Pan\05-Raw_Data\Lab_results\[LabSamples2025_Bioplastic_extra.xlsx]extra_Bioplastic'!E411)," ",'Q:\Abteilungsprojekte\Eng\EngData\PROJECT_Bioplastics\Renjie_Pan\05-Raw_Data\Lab_results\[LabSamples2025_Bioplastic_extra.xlsx]extra_Bioplastic'!E411)</f>
        <v/>
      </c>
      <c r="F411">
        <f>IF(ISBLANK('Q:\Abteilungsprojekte\Eng\EngData\PROJECT_Bioplastics\Renjie_Pan\05-Raw_Data\Lab_results\[LabSamples2025_Bioplastic_extra.xlsx]extra_Bioplastic'!F411)," ",'Q:\Abteilungsprojekte\Eng\EngData\PROJECT_Bioplastics\Renjie_Pan\05-Raw_Data\Lab_results\[LabSamples2025_Bioplastic_extra.xlsx]extra_Bioplastic'!F411)</f>
        <v/>
      </c>
      <c r="G411">
        <f>IF(ISBLANK('Q:\Abteilungsprojekte\Eng\EngData\PROJECT_Bioplastics\Renjie_Pan\05-Raw_Data\Lab_results\[LabSamples2025_Bioplastic_extra.xlsx]extra_Bioplastic'!G411)," ",'Q:\Abteilungsprojekte\Eng\EngData\PROJECT_Bioplastics\Renjie_Pan\05-Raw_Data\Lab_results\[LabSamples2025_Bioplastic_extra.xlsx]extra_Bioplastic'!G411)</f>
        <v/>
      </c>
      <c r="H411">
        <f>IF(ISBLANK('Q:\Abteilungsprojekte\Eng\EngData\PROJECT_Bioplastics\Renjie_Pan\05-Raw_Data\Lab_results\[LabSamples2025_Bioplastic_extra.xlsx]extra_Bioplastic'!H411)," ",'Q:\Abteilungsprojekte\Eng\EngData\PROJECT_Bioplastics\Renjie_Pan\05-Raw_Data\Lab_results\[LabSamples2025_Bioplastic_extra.xlsx]extra_Bioplastic'!H411)</f>
        <v/>
      </c>
    </row>
    <row r="412">
      <c r="A412">
        <f>IF(ISBLANK('Q:\Abteilungsprojekte\Eng\EngData\PROJECT_Bioplastics\Renjie_Pan\05-Raw_Data\Lab_results\[LabSamples2025_Bioplastic_extra.xlsx]extra_Bioplastic'!A412)," ",'Q:\Abteilungsprojekte\Eng\EngData\PROJECT_Bioplastics\Renjie_Pan\05-Raw_Data\Lab_results\[LabSamples2025_Bioplastic_extra.xlsx]extra_Bioplastic'!A412)</f>
        <v/>
      </c>
      <c r="B412">
        <f>IF(ISBLANK('Q:\Abteilungsprojekte\Eng\EngData\PROJECT_Bioplastics\Renjie_Pan\05-Raw_Data\Lab_results\[LabSamples2025_Bioplastic_extra.xlsx]extra_Bioplastic'!B412)," ",'Q:\Abteilungsprojekte\Eng\EngData\PROJECT_Bioplastics\Renjie_Pan\05-Raw_Data\Lab_results\[LabSamples2025_Bioplastic_extra.xlsx]extra_Bioplastic'!B412)</f>
        <v/>
      </c>
      <c r="C412">
        <f>IF(ISBLANK('Q:\Abteilungsprojekte\Eng\EngData\PROJECT_Bioplastics\Renjie_Pan\05-Raw_Data\Lab_results\[LabSamples2025_Bioplastic_extra.xlsx]extra_Bioplastic'!C412)," ",'Q:\Abteilungsprojekte\Eng\EngData\PROJECT_Bioplastics\Renjie_Pan\05-Raw_Data\Lab_results\[LabSamples2025_Bioplastic_extra.xlsx]extra_Bioplastic'!C412)</f>
        <v/>
      </c>
      <c r="D412">
        <f>IF(ISBLANK('Q:\Abteilungsprojekte\Eng\EngData\PROJECT_Bioplastics\Renjie_Pan\05-Raw_Data\Lab_results\[LabSamples2025_Bioplastic_extra.xlsx]extra_Bioplastic'!D412)," ",'Q:\Abteilungsprojekte\Eng\EngData\PROJECT_Bioplastics\Renjie_Pan\05-Raw_Data\Lab_results\[LabSamples2025_Bioplastic_extra.xlsx]extra_Bioplastic'!D412)</f>
        <v/>
      </c>
      <c r="E412">
        <f>IF(ISBLANK('Q:\Abteilungsprojekte\Eng\EngData\PROJECT_Bioplastics\Renjie_Pan\05-Raw_Data\Lab_results\[LabSamples2025_Bioplastic_extra.xlsx]extra_Bioplastic'!E412)," ",'Q:\Abteilungsprojekte\Eng\EngData\PROJECT_Bioplastics\Renjie_Pan\05-Raw_Data\Lab_results\[LabSamples2025_Bioplastic_extra.xlsx]extra_Bioplastic'!E412)</f>
        <v/>
      </c>
      <c r="F412">
        <f>IF(ISBLANK('Q:\Abteilungsprojekte\Eng\EngData\PROJECT_Bioplastics\Renjie_Pan\05-Raw_Data\Lab_results\[LabSamples2025_Bioplastic_extra.xlsx]extra_Bioplastic'!F412)," ",'Q:\Abteilungsprojekte\Eng\EngData\PROJECT_Bioplastics\Renjie_Pan\05-Raw_Data\Lab_results\[LabSamples2025_Bioplastic_extra.xlsx]extra_Bioplastic'!F412)</f>
        <v/>
      </c>
      <c r="G412">
        <f>IF(ISBLANK('Q:\Abteilungsprojekte\Eng\EngData\PROJECT_Bioplastics\Renjie_Pan\05-Raw_Data\Lab_results\[LabSamples2025_Bioplastic_extra.xlsx]extra_Bioplastic'!G412)," ",'Q:\Abteilungsprojekte\Eng\EngData\PROJECT_Bioplastics\Renjie_Pan\05-Raw_Data\Lab_results\[LabSamples2025_Bioplastic_extra.xlsx]extra_Bioplastic'!G412)</f>
        <v/>
      </c>
      <c r="H412">
        <f>IF(ISBLANK('Q:\Abteilungsprojekte\Eng\EngData\PROJECT_Bioplastics\Renjie_Pan\05-Raw_Data\Lab_results\[LabSamples2025_Bioplastic_extra.xlsx]extra_Bioplastic'!H412)," ",'Q:\Abteilungsprojekte\Eng\EngData\PROJECT_Bioplastics\Renjie_Pan\05-Raw_Data\Lab_results\[LabSamples2025_Bioplastic_extra.xlsx]extra_Bioplastic'!H412)</f>
        <v/>
      </c>
    </row>
    <row r="413">
      <c r="A413">
        <f>IF(ISBLANK('Q:\Abteilungsprojekte\Eng\EngData\PROJECT_Bioplastics\Renjie_Pan\05-Raw_Data\Lab_results\[LabSamples2025_Bioplastic_extra.xlsx]extra_Bioplastic'!A413)," ",'Q:\Abteilungsprojekte\Eng\EngData\PROJECT_Bioplastics\Renjie_Pan\05-Raw_Data\Lab_results\[LabSamples2025_Bioplastic_extra.xlsx]extra_Bioplastic'!A413)</f>
        <v/>
      </c>
      <c r="B413">
        <f>IF(ISBLANK('Q:\Abteilungsprojekte\Eng\EngData\PROJECT_Bioplastics\Renjie_Pan\05-Raw_Data\Lab_results\[LabSamples2025_Bioplastic_extra.xlsx]extra_Bioplastic'!B413)," ",'Q:\Abteilungsprojekte\Eng\EngData\PROJECT_Bioplastics\Renjie_Pan\05-Raw_Data\Lab_results\[LabSamples2025_Bioplastic_extra.xlsx]extra_Bioplastic'!B413)</f>
        <v/>
      </c>
      <c r="C413">
        <f>IF(ISBLANK('Q:\Abteilungsprojekte\Eng\EngData\PROJECT_Bioplastics\Renjie_Pan\05-Raw_Data\Lab_results\[LabSamples2025_Bioplastic_extra.xlsx]extra_Bioplastic'!C413)," ",'Q:\Abteilungsprojekte\Eng\EngData\PROJECT_Bioplastics\Renjie_Pan\05-Raw_Data\Lab_results\[LabSamples2025_Bioplastic_extra.xlsx]extra_Bioplastic'!C413)</f>
        <v/>
      </c>
      <c r="D413">
        <f>IF(ISBLANK('Q:\Abteilungsprojekte\Eng\EngData\PROJECT_Bioplastics\Renjie_Pan\05-Raw_Data\Lab_results\[LabSamples2025_Bioplastic_extra.xlsx]extra_Bioplastic'!D413)," ",'Q:\Abteilungsprojekte\Eng\EngData\PROJECT_Bioplastics\Renjie_Pan\05-Raw_Data\Lab_results\[LabSamples2025_Bioplastic_extra.xlsx]extra_Bioplastic'!D413)</f>
        <v/>
      </c>
      <c r="E413">
        <f>IF(ISBLANK('Q:\Abteilungsprojekte\Eng\EngData\PROJECT_Bioplastics\Renjie_Pan\05-Raw_Data\Lab_results\[LabSamples2025_Bioplastic_extra.xlsx]extra_Bioplastic'!E413)," ",'Q:\Abteilungsprojekte\Eng\EngData\PROJECT_Bioplastics\Renjie_Pan\05-Raw_Data\Lab_results\[LabSamples2025_Bioplastic_extra.xlsx]extra_Bioplastic'!E413)</f>
        <v/>
      </c>
      <c r="F413">
        <f>IF(ISBLANK('Q:\Abteilungsprojekte\Eng\EngData\PROJECT_Bioplastics\Renjie_Pan\05-Raw_Data\Lab_results\[LabSamples2025_Bioplastic_extra.xlsx]extra_Bioplastic'!F413)," ",'Q:\Abteilungsprojekte\Eng\EngData\PROJECT_Bioplastics\Renjie_Pan\05-Raw_Data\Lab_results\[LabSamples2025_Bioplastic_extra.xlsx]extra_Bioplastic'!F413)</f>
        <v/>
      </c>
      <c r="G413">
        <f>IF(ISBLANK('Q:\Abteilungsprojekte\Eng\EngData\PROJECT_Bioplastics\Renjie_Pan\05-Raw_Data\Lab_results\[LabSamples2025_Bioplastic_extra.xlsx]extra_Bioplastic'!G413)," ",'Q:\Abteilungsprojekte\Eng\EngData\PROJECT_Bioplastics\Renjie_Pan\05-Raw_Data\Lab_results\[LabSamples2025_Bioplastic_extra.xlsx]extra_Bioplastic'!G413)</f>
        <v/>
      </c>
      <c r="H413">
        <f>IF(ISBLANK('Q:\Abteilungsprojekte\Eng\EngData\PROJECT_Bioplastics\Renjie_Pan\05-Raw_Data\Lab_results\[LabSamples2025_Bioplastic_extra.xlsx]extra_Bioplastic'!H413)," ",'Q:\Abteilungsprojekte\Eng\EngData\PROJECT_Bioplastics\Renjie_Pan\05-Raw_Data\Lab_results\[LabSamples2025_Bioplastic_extra.xlsx]extra_Bioplastic'!H413)</f>
        <v/>
      </c>
    </row>
    <row r="414">
      <c r="A414">
        <f>IF(ISBLANK('Q:\Abteilungsprojekte\Eng\EngData\PROJECT_Bioplastics\Renjie_Pan\05-Raw_Data\Lab_results\[LabSamples2025_Bioplastic_extra.xlsx]extra_Bioplastic'!A414)," ",'Q:\Abteilungsprojekte\Eng\EngData\PROJECT_Bioplastics\Renjie_Pan\05-Raw_Data\Lab_results\[LabSamples2025_Bioplastic_extra.xlsx]extra_Bioplastic'!A414)</f>
        <v/>
      </c>
      <c r="B414">
        <f>IF(ISBLANK('Q:\Abteilungsprojekte\Eng\EngData\PROJECT_Bioplastics\Renjie_Pan\05-Raw_Data\Lab_results\[LabSamples2025_Bioplastic_extra.xlsx]extra_Bioplastic'!B414)," ",'Q:\Abteilungsprojekte\Eng\EngData\PROJECT_Bioplastics\Renjie_Pan\05-Raw_Data\Lab_results\[LabSamples2025_Bioplastic_extra.xlsx]extra_Bioplastic'!B414)</f>
        <v/>
      </c>
      <c r="C414">
        <f>IF(ISBLANK('Q:\Abteilungsprojekte\Eng\EngData\PROJECT_Bioplastics\Renjie_Pan\05-Raw_Data\Lab_results\[LabSamples2025_Bioplastic_extra.xlsx]extra_Bioplastic'!C414)," ",'Q:\Abteilungsprojekte\Eng\EngData\PROJECT_Bioplastics\Renjie_Pan\05-Raw_Data\Lab_results\[LabSamples2025_Bioplastic_extra.xlsx]extra_Bioplastic'!C414)</f>
        <v/>
      </c>
      <c r="D414">
        <f>IF(ISBLANK('Q:\Abteilungsprojekte\Eng\EngData\PROJECT_Bioplastics\Renjie_Pan\05-Raw_Data\Lab_results\[LabSamples2025_Bioplastic_extra.xlsx]extra_Bioplastic'!D414)," ",'Q:\Abteilungsprojekte\Eng\EngData\PROJECT_Bioplastics\Renjie_Pan\05-Raw_Data\Lab_results\[LabSamples2025_Bioplastic_extra.xlsx]extra_Bioplastic'!D414)</f>
        <v/>
      </c>
      <c r="E414">
        <f>IF(ISBLANK('Q:\Abteilungsprojekte\Eng\EngData\PROJECT_Bioplastics\Renjie_Pan\05-Raw_Data\Lab_results\[LabSamples2025_Bioplastic_extra.xlsx]extra_Bioplastic'!E414)," ",'Q:\Abteilungsprojekte\Eng\EngData\PROJECT_Bioplastics\Renjie_Pan\05-Raw_Data\Lab_results\[LabSamples2025_Bioplastic_extra.xlsx]extra_Bioplastic'!E414)</f>
        <v/>
      </c>
      <c r="F414">
        <f>IF(ISBLANK('Q:\Abteilungsprojekte\Eng\EngData\PROJECT_Bioplastics\Renjie_Pan\05-Raw_Data\Lab_results\[LabSamples2025_Bioplastic_extra.xlsx]extra_Bioplastic'!F414)," ",'Q:\Abteilungsprojekte\Eng\EngData\PROJECT_Bioplastics\Renjie_Pan\05-Raw_Data\Lab_results\[LabSamples2025_Bioplastic_extra.xlsx]extra_Bioplastic'!F414)</f>
        <v/>
      </c>
      <c r="G414">
        <f>IF(ISBLANK('Q:\Abteilungsprojekte\Eng\EngData\PROJECT_Bioplastics\Renjie_Pan\05-Raw_Data\Lab_results\[LabSamples2025_Bioplastic_extra.xlsx]extra_Bioplastic'!G414)," ",'Q:\Abteilungsprojekte\Eng\EngData\PROJECT_Bioplastics\Renjie_Pan\05-Raw_Data\Lab_results\[LabSamples2025_Bioplastic_extra.xlsx]extra_Bioplastic'!G414)</f>
        <v/>
      </c>
      <c r="H414">
        <f>IF(ISBLANK('Q:\Abteilungsprojekte\Eng\EngData\PROJECT_Bioplastics\Renjie_Pan\05-Raw_Data\Lab_results\[LabSamples2025_Bioplastic_extra.xlsx]extra_Bioplastic'!H414)," ",'Q:\Abteilungsprojekte\Eng\EngData\PROJECT_Bioplastics\Renjie_Pan\05-Raw_Data\Lab_results\[LabSamples2025_Bioplastic_extra.xlsx]extra_Bioplastic'!H414)</f>
        <v/>
      </c>
    </row>
    <row r="415">
      <c r="A415">
        <f>IF(ISBLANK('Q:\Abteilungsprojekte\Eng\EngData\PROJECT_Bioplastics\Renjie_Pan\05-Raw_Data\Lab_results\[LabSamples2025_Bioplastic_extra.xlsx]extra_Bioplastic'!A415)," ",'Q:\Abteilungsprojekte\Eng\EngData\PROJECT_Bioplastics\Renjie_Pan\05-Raw_Data\Lab_results\[LabSamples2025_Bioplastic_extra.xlsx]extra_Bioplastic'!A415)</f>
        <v/>
      </c>
      <c r="B415">
        <f>IF(ISBLANK('Q:\Abteilungsprojekte\Eng\EngData\PROJECT_Bioplastics\Renjie_Pan\05-Raw_Data\Lab_results\[LabSamples2025_Bioplastic_extra.xlsx]extra_Bioplastic'!B415)," ",'Q:\Abteilungsprojekte\Eng\EngData\PROJECT_Bioplastics\Renjie_Pan\05-Raw_Data\Lab_results\[LabSamples2025_Bioplastic_extra.xlsx]extra_Bioplastic'!B415)</f>
        <v/>
      </c>
      <c r="C415">
        <f>IF(ISBLANK('Q:\Abteilungsprojekte\Eng\EngData\PROJECT_Bioplastics\Renjie_Pan\05-Raw_Data\Lab_results\[LabSamples2025_Bioplastic_extra.xlsx]extra_Bioplastic'!C415)," ",'Q:\Abteilungsprojekte\Eng\EngData\PROJECT_Bioplastics\Renjie_Pan\05-Raw_Data\Lab_results\[LabSamples2025_Bioplastic_extra.xlsx]extra_Bioplastic'!C415)</f>
        <v/>
      </c>
      <c r="D415">
        <f>IF(ISBLANK('Q:\Abteilungsprojekte\Eng\EngData\PROJECT_Bioplastics\Renjie_Pan\05-Raw_Data\Lab_results\[LabSamples2025_Bioplastic_extra.xlsx]extra_Bioplastic'!D415)," ",'Q:\Abteilungsprojekte\Eng\EngData\PROJECT_Bioplastics\Renjie_Pan\05-Raw_Data\Lab_results\[LabSamples2025_Bioplastic_extra.xlsx]extra_Bioplastic'!D415)</f>
        <v/>
      </c>
      <c r="E415">
        <f>IF(ISBLANK('Q:\Abteilungsprojekte\Eng\EngData\PROJECT_Bioplastics\Renjie_Pan\05-Raw_Data\Lab_results\[LabSamples2025_Bioplastic_extra.xlsx]extra_Bioplastic'!E415)," ",'Q:\Abteilungsprojekte\Eng\EngData\PROJECT_Bioplastics\Renjie_Pan\05-Raw_Data\Lab_results\[LabSamples2025_Bioplastic_extra.xlsx]extra_Bioplastic'!E415)</f>
        <v/>
      </c>
      <c r="F415">
        <f>IF(ISBLANK('Q:\Abteilungsprojekte\Eng\EngData\PROJECT_Bioplastics\Renjie_Pan\05-Raw_Data\Lab_results\[LabSamples2025_Bioplastic_extra.xlsx]extra_Bioplastic'!F415)," ",'Q:\Abteilungsprojekte\Eng\EngData\PROJECT_Bioplastics\Renjie_Pan\05-Raw_Data\Lab_results\[LabSamples2025_Bioplastic_extra.xlsx]extra_Bioplastic'!F415)</f>
        <v/>
      </c>
      <c r="G415">
        <f>IF(ISBLANK('Q:\Abteilungsprojekte\Eng\EngData\PROJECT_Bioplastics\Renjie_Pan\05-Raw_Data\Lab_results\[LabSamples2025_Bioplastic_extra.xlsx]extra_Bioplastic'!G415)," ",'Q:\Abteilungsprojekte\Eng\EngData\PROJECT_Bioplastics\Renjie_Pan\05-Raw_Data\Lab_results\[LabSamples2025_Bioplastic_extra.xlsx]extra_Bioplastic'!G415)</f>
        <v/>
      </c>
      <c r="H415">
        <f>IF(ISBLANK('Q:\Abteilungsprojekte\Eng\EngData\PROJECT_Bioplastics\Renjie_Pan\05-Raw_Data\Lab_results\[LabSamples2025_Bioplastic_extra.xlsx]extra_Bioplastic'!H415)," ",'Q:\Abteilungsprojekte\Eng\EngData\PROJECT_Bioplastics\Renjie_Pan\05-Raw_Data\Lab_results\[LabSamples2025_Bioplastic_extra.xlsx]extra_Bioplastic'!H415)</f>
        <v/>
      </c>
    </row>
    <row r="416">
      <c r="A416">
        <f>IF(ISBLANK('Q:\Abteilungsprojekte\Eng\EngData\PROJECT_Bioplastics\Renjie_Pan\05-Raw_Data\Lab_results\[LabSamples2025_Bioplastic_extra.xlsx]extra_Bioplastic'!A416)," ",'Q:\Abteilungsprojekte\Eng\EngData\PROJECT_Bioplastics\Renjie_Pan\05-Raw_Data\Lab_results\[LabSamples2025_Bioplastic_extra.xlsx]extra_Bioplastic'!A416)</f>
        <v/>
      </c>
      <c r="B416">
        <f>IF(ISBLANK('Q:\Abteilungsprojekte\Eng\EngData\PROJECT_Bioplastics\Renjie_Pan\05-Raw_Data\Lab_results\[LabSamples2025_Bioplastic_extra.xlsx]extra_Bioplastic'!B416)," ",'Q:\Abteilungsprojekte\Eng\EngData\PROJECT_Bioplastics\Renjie_Pan\05-Raw_Data\Lab_results\[LabSamples2025_Bioplastic_extra.xlsx]extra_Bioplastic'!B416)</f>
        <v/>
      </c>
      <c r="C416">
        <f>IF(ISBLANK('Q:\Abteilungsprojekte\Eng\EngData\PROJECT_Bioplastics\Renjie_Pan\05-Raw_Data\Lab_results\[LabSamples2025_Bioplastic_extra.xlsx]extra_Bioplastic'!C416)," ",'Q:\Abteilungsprojekte\Eng\EngData\PROJECT_Bioplastics\Renjie_Pan\05-Raw_Data\Lab_results\[LabSamples2025_Bioplastic_extra.xlsx]extra_Bioplastic'!C416)</f>
        <v/>
      </c>
      <c r="D416">
        <f>IF(ISBLANK('Q:\Abteilungsprojekte\Eng\EngData\PROJECT_Bioplastics\Renjie_Pan\05-Raw_Data\Lab_results\[LabSamples2025_Bioplastic_extra.xlsx]extra_Bioplastic'!D416)," ",'Q:\Abteilungsprojekte\Eng\EngData\PROJECT_Bioplastics\Renjie_Pan\05-Raw_Data\Lab_results\[LabSamples2025_Bioplastic_extra.xlsx]extra_Bioplastic'!D416)</f>
        <v/>
      </c>
      <c r="E416">
        <f>IF(ISBLANK('Q:\Abteilungsprojekte\Eng\EngData\PROJECT_Bioplastics\Renjie_Pan\05-Raw_Data\Lab_results\[LabSamples2025_Bioplastic_extra.xlsx]extra_Bioplastic'!E416)," ",'Q:\Abteilungsprojekte\Eng\EngData\PROJECT_Bioplastics\Renjie_Pan\05-Raw_Data\Lab_results\[LabSamples2025_Bioplastic_extra.xlsx]extra_Bioplastic'!E416)</f>
        <v/>
      </c>
      <c r="F416">
        <f>IF(ISBLANK('Q:\Abteilungsprojekte\Eng\EngData\PROJECT_Bioplastics\Renjie_Pan\05-Raw_Data\Lab_results\[LabSamples2025_Bioplastic_extra.xlsx]extra_Bioplastic'!F416)," ",'Q:\Abteilungsprojekte\Eng\EngData\PROJECT_Bioplastics\Renjie_Pan\05-Raw_Data\Lab_results\[LabSamples2025_Bioplastic_extra.xlsx]extra_Bioplastic'!F416)</f>
        <v/>
      </c>
      <c r="G416">
        <f>IF(ISBLANK('Q:\Abteilungsprojekte\Eng\EngData\PROJECT_Bioplastics\Renjie_Pan\05-Raw_Data\Lab_results\[LabSamples2025_Bioplastic_extra.xlsx]extra_Bioplastic'!G416)," ",'Q:\Abteilungsprojekte\Eng\EngData\PROJECT_Bioplastics\Renjie_Pan\05-Raw_Data\Lab_results\[LabSamples2025_Bioplastic_extra.xlsx]extra_Bioplastic'!G416)</f>
        <v/>
      </c>
      <c r="H416">
        <f>IF(ISBLANK('Q:\Abteilungsprojekte\Eng\EngData\PROJECT_Bioplastics\Renjie_Pan\05-Raw_Data\Lab_results\[LabSamples2025_Bioplastic_extra.xlsx]extra_Bioplastic'!H416)," ",'Q:\Abteilungsprojekte\Eng\EngData\PROJECT_Bioplastics\Renjie_Pan\05-Raw_Data\Lab_results\[LabSamples2025_Bioplastic_extra.xlsx]extra_Bioplastic'!H416)</f>
        <v/>
      </c>
    </row>
    <row r="417">
      <c r="A417">
        <f>IF(ISBLANK('Q:\Abteilungsprojekte\Eng\EngData\PROJECT_Bioplastics\Renjie_Pan\05-Raw_Data\Lab_results\[LabSamples2025_Bioplastic_extra.xlsx]extra_Bioplastic'!A417)," ",'Q:\Abteilungsprojekte\Eng\EngData\PROJECT_Bioplastics\Renjie_Pan\05-Raw_Data\Lab_results\[LabSamples2025_Bioplastic_extra.xlsx]extra_Bioplastic'!A417)</f>
        <v/>
      </c>
      <c r="B417">
        <f>IF(ISBLANK('Q:\Abteilungsprojekte\Eng\EngData\PROJECT_Bioplastics\Renjie_Pan\05-Raw_Data\Lab_results\[LabSamples2025_Bioplastic_extra.xlsx]extra_Bioplastic'!B417)," ",'Q:\Abteilungsprojekte\Eng\EngData\PROJECT_Bioplastics\Renjie_Pan\05-Raw_Data\Lab_results\[LabSamples2025_Bioplastic_extra.xlsx]extra_Bioplastic'!B417)</f>
        <v/>
      </c>
      <c r="C417">
        <f>IF(ISBLANK('Q:\Abteilungsprojekte\Eng\EngData\PROJECT_Bioplastics\Renjie_Pan\05-Raw_Data\Lab_results\[LabSamples2025_Bioplastic_extra.xlsx]extra_Bioplastic'!C417)," ",'Q:\Abteilungsprojekte\Eng\EngData\PROJECT_Bioplastics\Renjie_Pan\05-Raw_Data\Lab_results\[LabSamples2025_Bioplastic_extra.xlsx]extra_Bioplastic'!C417)</f>
        <v/>
      </c>
      <c r="D417">
        <f>IF(ISBLANK('Q:\Abteilungsprojekte\Eng\EngData\PROJECT_Bioplastics\Renjie_Pan\05-Raw_Data\Lab_results\[LabSamples2025_Bioplastic_extra.xlsx]extra_Bioplastic'!D417)," ",'Q:\Abteilungsprojekte\Eng\EngData\PROJECT_Bioplastics\Renjie_Pan\05-Raw_Data\Lab_results\[LabSamples2025_Bioplastic_extra.xlsx]extra_Bioplastic'!D417)</f>
        <v/>
      </c>
      <c r="E417">
        <f>IF(ISBLANK('Q:\Abteilungsprojekte\Eng\EngData\PROJECT_Bioplastics\Renjie_Pan\05-Raw_Data\Lab_results\[LabSamples2025_Bioplastic_extra.xlsx]extra_Bioplastic'!E417)," ",'Q:\Abteilungsprojekte\Eng\EngData\PROJECT_Bioplastics\Renjie_Pan\05-Raw_Data\Lab_results\[LabSamples2025_Bioplastic_extra.xlsx]extra_Bioplastic'!E417)</f>
        <v/>
      </c>
      <c r="F417">
        <f>IF(ISBLANK('Q:\Abteilungsprojekte\Eng\EngData\PROJECT_Bioplastics\Renjie_Pan\05-Raw_Data\Lab_results\[LabSamples2025_Bioplastic_extra.xlsx]extra_Bioplastic'!F417)," ",'Q:\Abteilungsprojekte\Eng\EngData\PROJECT_Bioplastics\Renjie_Pan\05-Raw_Data\Lab_results\[LabSamples2025_Bioplastic_extra.xlsx]extra_Bioplastic'!F417)</f>
        <v/>
      </c>
      <c r="G417">
        <f>IF(ISBLANK('Q:\Abteilungsprojekte\Eng\EngData\PROJECT_Bioplastics\Renjie_Pan\05-Raw_Data\Lab_results\[LabSamples2025_Bioplastic_extra.xlsx]extra_Bioplastic'!G417)," ",'Q:\Abteilungsprojekte\Eng\EngData\PROJECT_Bioplastics\Renjie_Pan\05-Raw_Data\Lab_results\[LabSamples2025_Bioplastic_extra.xlsx]extra_Bioplastic'!G417)</f>
        <v/>
      </c>
      <c r="H417">
        <f>IF(ISBLANK('Q:\Abteilungsprojekte\Eng\EngData\PROJECT_Bioplastics\Renjie_Pan\05-Raw_Data\Lab_results\[LabSamples2025_Bioplastic_extra.xlsx]extra_Bioplastic'!H417)," ",'Q:\Abteilungsprojekte\Eng\EngData\PROJECT_Bioplastics\Renjie_Pan\05-Raw_Data\Lab_results\[LabSamples2025_Bioplastic_extra.xlsx]extra_Bioplastic'!H417)</f>
        <v/>
      </c>
    </row>
    <row r="418">
      <c r="A418">
        <f>IF(ISBLANK('Q:\Abteilungsprojekte\Eng\EngData\PROJECT_Bioplastics\Renjie_Pan\05-Raw_Data\Lab_results\[LabSamples2025_Bioplastic_extra.xlsx]extra_Bioplastic'!A418)," ",'Q:\Abteilungsprojekte\Eng\EngData\PROJECT_Bioplastics\Renjie_Pan\05-Raw_Data\Lab_results\[LabSamples2025_Bioplastic_extra.xlsx]extra_Bioplastic'!A418)</f>
        <v/>
      </c>
      <c r="B418">
        <f>IF(ISBLANK('Q:\Abteilungsprojekte\Eng\EngData\PROJECT_Bioplastics\Renjie_Pan\05-Raw_Data\Lab_results\[LabSamples2025_Bioplastic_extra.xlsx]extra_Bioplastic'!B418)," ",'Q:\Abteilungsprojekte\Eng\EngData\PROJECT_Bioplastics\Renjie_Pan\05-Raw_Data\Lab_results\[LabSamples2025_Bioplastic_extra.xlsx]extra_Bioplastic'!B418)</f>
        <v/>
      </c>
      <c r="C418">
        <f>IF(ISBLANK('Q:\Abteilungsprojekte\Eng\EngData\PROJECT_Bioplastics\Renjie_Pan\05-Raw_Data\Lab_results\[LabSamples2025_Bioplastic_extra.xlsx]extra_Bioplastic'!C418)," ",'Q:\Abteilungsprojekte\Eng\EngData\PROJECT_Bioplastics\Renjie_Pan\05-Raw_Data\Lab_results\[LabSamples2025_Bioplastic_extra.xlsx]extra_Bioplastic'!C418)</f>
        <v/>
      </c>
      <c r="D418">
        <f>IF(ISBLANK('Q:\Abteilungsprojekte\Eng\EngData\PROJECT_Bioplastics\Renjie_Pan\05-Raw_Data\Lab_results\[LabSamples2025_Bioplastic_extra.xlsx]extra_Bioplastic'!D418)," ",'Q:\Abteilungsprojekte\Eng\EngData\PROJECT_Bioplastics\Renjie_Pan\05-Raw_Data\Lab_results\[LabSamples2025_Bioplastic_extra.xlsx]extra_Bioplastic'!D418)</f>
        <v/>
      </c>
      <c r="E418">
        <f>IF(ISBLANK('Q:\Abteilungsprojekte\Eng\EngData\PROJECT_Bioplastics\Renjie_Pan\05-Raw_Data\Lab_results\[LabSamples2025_Bioplastic_extra.xlsx]extra_Bioplastic'!E418)," ",'Q:\Abteilungsprojekte\Eng\EngData\PROJECT_Bioplastics\Renjie_Pan\05-Raw_Data\Lab_results\[LabSamples2025_Bioplastic_extra.xlsx]extra_Bioplastic'!E418)</f>
        <v/>
      </c>
      <c r="F418">
        <f>IF(ISBLANK('Q:\Abteilungsprojekte\Eng\EngData\PROJECT_Bioplastics\Renjie_Pan\05-Raw_Data\Lab_results\[LabSamples2025_Bioplastic_extra.xlsx]extra_Bioplastic'!F418)," ",'Q:\Abteilungsprojekte\Eng\EngData\PROJECT_Bioplastics\Renjie_Pan\05-Raw_Data\Lab_results\[LabSamples2025_Bioplastic_extra.xlsx]extra_Bioplastic'!F418)</f>
        <v/>
      </c>
      <c r="G418">
        <f>IF(ISBLANK('Q:\Abteilungsprojekte\Eng\EngData\PROJECT_Bioplastics\Renjie_Pan\05-Raw_Data\Lab_results\[LabSamples2025_Bioplastic_extra.xlsx]extra_Bioplastic'!G418)," ",'Q:\Abteilungsprojekte\Eng\EngData\PROJECT_Bioplastics\Renjie_Pan\05-Raw_Data\Lab_results\[LabSamples2025_Bioplastic_extra.xlsx]extra_Bioplastic'!G418)</f>
        <v/>
      </c>
      <c r="H418">
        <f>IF(ISBLANK('Q:\Abteilungsprojekte\Eng\EngData\PROJECT_Bioplastics\Renjie_Pan\05-Raw_Data\Lab_results\[LabSamples2025_Bioplastic_extra.xlsx]extra_Bioplastic'!H418)," ",'Q:\Abteilungsprojekte\Eng\EngData\PROJECT_Bioplastics\Renjie_Pan\05-Raw_Data\Lab_results\[LabSamples2025_Bioplastic_extra.xlsx]extra_Bioplastic'!H418)</f>
        <v/>
      </c>
    </row>
    <row r="419">
      <c r="A419">
        <f>IF(ISBLANK('Q:\Abteilungsprojekte\Eng\EngData\PROJECT_Bioplastics\Renjie_Pan\05-Raw_Data\Lab_results\[LabSamples2025_Bioplastic_extra.xlsx]extra_Bioplastic'!A419)," ",'Q:\Abteilungsprojekte\Eng\EngData\PROJECT_Bioplastics\Renjie_Pan\05-Raw_Data\Lab_results\[LabSamples2025_Bioplastic_extra.xlsx]extra_Bioplastic'!A419)</f>
        <v/>
      </c>
      <c r="B419">
        <f>IF(ISBLANK('Q:\Abteilungsprojekte\Eng\EngData\PROJECT_Bioplastics\Renjie_Pan\05-Raw_Data\Lab_results\[LabSamples2025_Bioplastic_extra.xlsx]extra_Bioplastic'!B419)," ",'Q:\Abteilungsprojekte\Eng\EngData\PROJECT_Bioplastics\Renjie_Pan\05-Raw_Data\Lab_results\[LabSamples2025_Bioplastic_extra.xlsx]extra_Bioplastic'!B419)</f>
        <v/>
      </c>
      <c r="C419">
        <f>IF(ISBLANK('Q:\Abteilungsprojekte\Eng\EngData\PROJECT_Bioplastics\Renjie_Pan\05-Raw_Data\Lab_results\[LabSamples2025_Bioplastic_extra.xlsx]extra_Bioplastic'!C419)," ",'Q:\Abteilungsprojekte\Eng\EngData\PROJECT_Bioplastics\Renjie_Pan\05-Raw_Data\Lab_results\[LabSamples2025_Bioplastic_extra.xlsx]extra_Bioplastic'!C419)</f>
        <v/>
      </c>
      <c r="D419">
        <f>IF(ISBLANK('Q:\Abteilungsprojekte\Eng\EngData\PROJECT_Bioplastics\Renjie_Pan\05-Raw_Data\Lab_results\[LabSamples2025_Bioplastic_extra.xlsx]extra_Bioplastic'!D419)," ",'Q:\Abteilungsprojekte\Eng\EngData\PROJECT_Bioplastics\Renjie_Pan\05-Raw_Data\Lab_results\[LabSamples2025_Bioplastic_extra.xlsx]extra_Bioplastic'!D419)</f>
        <v/>
      </c>
      <c r="E419">
        <f>IF(ISBLANK('Q:\Abteilungsprojekte\Eng\EngData\PROJECT_Bioplastics\Renjie_Pan\05-Raw_Data\Lab_results\[LabSamples2025_Bioplastic_extra.xlsx]extra_Bioplastic'!E419)," ",'Q:\Abteilungsprojekte\Eng\EngData\PROJECT_Bioplastics\Renjie_Pan\05-Raw_Data\Lab_results\[LabSamples2025_Bioplastic_extra.xlsx]extra_Bioplastic'!E419)</f>
        <v/>
      </c>
      <c r="F419">
        <f>IF(ISBLANK('Q:\Abteilungsprojekte\Eng\EngData\PROJECT_Bioplastics\Renjie_Pan\05-Raw_Data\Lab_results\[LabSamples2025_Bioplastic_extra.xlsx]extra_Bioplastic'!F419)," ",'Q:\Abteilungsprojekte\Eng\EngData\PROJECT_Bioplastics\Renjie_Pan\05-Raw_Data\Lab_results\[LabSamples2025_Bioplastic_extra.xlsx]extra_Bioplastic'!F419)</f>
        <v/>
      </c>
      <c r="G419">
        <f>IF(ISBLANK('Q:\Abteilungsprojekte\Eng\EngData\PROJECT_Bioplastics\Renjie_Pan\05-Raw_Data\Lab_results\[LabSamples2025_Bioplastic_extra.xlsx]extra_Bioplastic'!G419)," ",'Q:\Abteilungsprojekte\Eng\EngData\PROJECT_Bioplastics\Renjie_Pan\05-Raw_Data\Lab_results\[LabSamples2025_Bioplastic_extra.xlsx]extra_Bioplastic'!G419)</f>
        <v/>
      </c>
      <c r="H419">
        <f>IF(ISBLANK('Q:\Abteilungsprojekte\Eng\EngData\PROJECT_Bioplastics\Renjie_Pan\05-Raw_Data\Lab_results\[LabSamples2025_Bioplastic_extra.xlsx]extra_Bioplastic'!H419)," ",'Q:\Abteilungsprojekte\Eng\EngData\PROJECT_Bioplastics\Renjie_Pan\05-Raw_Data\Lab_results\[LabSamples2025_Bioplastic_extra.xlsx]extra_Bioplastic'!H419)</f>
        <v/>
      </c>
    </row>
    <row r="420">
      <c r="A420">
        <f>IF(ISBLANK('Q:\Abteilungsprojekte\Eng\EngData\PROJECT_Bioplastics\Renjie_Pan\05-Raw_Data\Lab_results\[LabSamples2025_Bioplastic_extra.xlsx]extra_Bioplastic'!A420)," ",'Q:\Abteilungsprojekte\Eng\EngData\PROJECT_Bioplastics\Renjie_Pan\05-Raw_Data\Lab_results\[LabSamples2025_Bioplastic_extra.xlsx]extra_Bioplastic'!A420)</f>
        <v/>
      </c>
      <c r="B420">
        <f>IF(ISBLANK('Q:\Abteilungsprojekte\Eng\EngData\PROJECT_Bioplastics\Renjie_Pan\05-Raw_Data\Lab_results\[LabSamples2025_Bioplastic_extra.xlsx]extra_Bioplastic'!B420)," ",'Q:\Abteilungsprojekte\Eng\EngData\PROJECT_Bioplastics\Renjie_Pan\05-Raw_Data\Lab_results\[LabSamples2025_Bioplastic_extra.xlsx]extra_Bioplastic'!B420)</f>
        <v/>
      </c>
      <c r="C420">
        <f>IF(ISBLANK('Q:\Abteilungsprojekte\Eng\EngData\PROJECT_Bioplastics\Renjie_Pan\05-Raw_Data\Lab_results\[LabSamples2025_Bioplastic_extra.xlsx]extra_Bioplastic'!C420)," ",'Q:\Abteilungsprojekte\Eng\EngData\PROJECT_Bioplastics\Renjie_Pan\05-Raw_Data\Lab_results\[LabSamples2025_Bioplastic_extra.xlsx]extra_Bioplastic'!C420)</f>
        <v/>
      </c>
      <c r="D420">
        <f>IF(ISBLANK('Q:\Abteilungsprojekte\Eng\EngData\PROJECT_Bioplastics\Renjie_Pan\05-Raw_Data\Lab_results\[LabSamples2025_Bioplastic_extra.xlsx]extra_Bioplastic'!D420)," ",'Q:\Abteilungsprojekte\Eng\EngData\PROJECT_Bioplastics\Renjie_Pan\05-Raw_Data\Lab_results\[LabSamples2025_Bioplastic_extra.xlsx]extra_Bioplastic'!D420)</f>
        <v/>
      </c>
      <c r="E420">
        <f>IF(ISBLANK('Q:\Abteilungsprojekte\Eng\EngData\PROJECT_Bioplastics\Renjie_Pan\05-Raw_Data\Lab_results\[LabSamples2025_Bioplastic_extra.xlsx]extra_Bioplastic'!E420)," ",'Q:\Abteilungsprojekte\Eng\EngData\PROJECT_Bioplastics\Renjie_Pan\05-Raw_Data\Lab_results\[LabSamples2025_Bioplastic_extra.xlsx]extra_Bioplastic'!E420)</f>
        <v/>
      </c>
      <c r="F420">
        <f>IF(ISBLANK('Q:\Abteilungsprojekte\Eng\EngData\PROJECT_Bioplastics\Renjie_Pan\05-Raw_Data\Lab_results\[LabSamples2025_Bioplastic_extra.xlsx]extra_Bioplastic'!F420)," ",'Q:\Abteilungsprojekte\Eng\EngData\PROJECT_Bioplastics\Renjie_Pan\05-Raw_Data\Lab_results\[LabSamples2025_Bioplastic_extra.xlsx]extra_Bioplastic'!F420)</f>
        <v/>
      </c>
      <c r="G420">
        <f>IF(ISBLANK('Q:\Abteilungsprojekte\Eng\EngData\PROJECT_Bioplastics\Renjie_Pan\05-Raw_Data\Lab_results\[LabSamples2025_Bioplastic_extra.xlsx]extra_Bioplastic'!G420)," ",'Q:\Abteilungsprojekte\Eng\EngData\PROJECT_Bioplastics\Renjie_Pan\05-Raw_Data\Lab_results\[LabSamples2025_Bioplastic_extra.xlsx]extra_Bioplastic'!G420)</f>
        <v/>
      </c>
      <c r="H420">
        <f>IF(ISBLANK('Q:\Abteilungsprojekte\Eng\EngData\PROJECT_Bioplastics\Renjie_Pan\05-Raw_Data\Lab_results\[LabSamples2025_Bioplastic_extra.xlsx]extra_Bioplastic'!H420)," ",'Q:\Abteilungsprojekte\Eng\EngData\PROJECT_Bioplastics\Renjie_Pan\05-Raw_Data\Lab_results\[LabSamples2025_Bioplastic_extra.xlsx]extra_Bioplastic'!H420)</f>
        <v/>
      </c>
    </row>
    <row r="421">
      <c r="A421">
        <f>IF(ISBLANK('Q:\Abteilungsprojekte\Eng\EngData\PROJECT_Bioplastics\Renjie_Pan\05-Raw_Data\Lab_results\[LabSamples2025_Bioplastic_extra.xlsx]extra_Bioplastic'!A421)," ",'Q:\Abteilungsprojekte\Eng\EngData\PROJECT_Bioplastics\Renjie_Pan\05-Raw_Data\Lab_results\[LabSamples2025_Bioplastic_extra.xlsx]extra_Bioplastic'!A421)</f>
        <v/>
      </c>
      <c r="B421">
        <f>IF(ISBLANK('Q:\Abteilungsprojekte\Eng\EngData\PROJECT_Bioplastics\Renjie_Pan\05-Raw_Data\Lab_results\[LabSamples2025_Bioplastic_extra.xlsx]extra_Bioplastic'!B421)," ",'Q:\Abteilungsprojekte\Eng\EngData\PROJECT_Bioplastics\Renjie_Pan\05-Raw_Data\Lab_results\[LabSamples2025_Bioplastic_extra.xlsx]extra_Bioplastic'!B421)</f>
        <v/>
      </c>
      <c r="C421">
        <f>IF(ISBLANK('Q:\Abteilungsprojekte\Eng\EngData\PROJECT_Bioplastics\Renjie_Pan\05-Raw_Data\Lab_results\[LabSamples2025_Bioplastic_extra.xlsx]extra_Bioplastic'!C421)," ",'Q:\Abteilungsprojekte\Eng\EngData\PROJECT_Bioplastics\Renjie_Pan\05-Raw_Data\Lab_results\[LabSamples2025_Bioplastic_extra.xlsx]extra_Bioplastic'!C421)</f>
        <v/>
      </c>
      <c r="D421">
        <f>IF(ISBLANK('Q:\Abteilungsprojekte\Eng\EngData\PROJECT_Bioplastics\Renjie_Pan\05-Raw_Data\Lab_results\[LabSamples2025_Bioplastic_extra.xlsx]extra_Bioplastic'!D421)," ",'Q:\Abteilungsprojekte\Eng\EngData\PROJECT_Bioplastics\Renjie_Pan\05-Raw_Data\Lab_results\[LabSamples2025_Bioplastic_extra.xlsx]extra_Bioplastic'!D421)</f>
        <v/>
      </c>
      <c r="E421">
        <f>IF(ISBLANK('Q:\Abteilungsprojekte\Eng\EngData\PROJECT_Bioplastics\Renjie_Pan\05-Raw_Data\Lab_results\[LabSamples2025_Bioplastic_extra.xlsx]extra_Bioplastic'!E421)," ",'Q:\Abteilungsprojekte\Eng\EngData\PROJECT_Bioplastics\Renjie_Pan\05-Raw_Data\Lab_results\[LabSamples2025_Bioplastic_extra.xlsx]extra_Bioplastic'!E421)</f>
        <v/>
      </c>
      <c r="F421">
        <f>IF(ISBLANK('Q:\Abteilungsprojekte\Eng\EngData\PROJECT_Bioplastics\Renjie_Pan\05-Raw_Data\Lab_results\[LabSamples2025_Bioplastic_extra.xlsx]extra_Bioplastic'!F421)," ",'Q:\Abteilungsprojekte\Eng\EngData\PROJECT_Bioplastics\Renjie_Pan\05-Raw_Data\Lab_results\[LabSamples2025_Bioplastic_extra.xlsx]extra_Bioplastic'!F421)</f>
        <v/>
      </c>
      <c r="G421">
        <f>IF(ISBLANK('Q:\Abteilungsprojekte\Eng\EngData\PROJECT_Bioplastics\Renjie_Pan\05-Raw_Data\Lab_results\[LabSamples2025_Bioplastic_extra.xlsx]extra_Bioplastic'!G421)," ",'Q:\Abteilungsprojekte\Eng\EngData\PROJECT_Bioplastics\Renjie_Pan\05-Raw_Data\Lab_results\[LabSamples2025_Bioplastic_extra.xlsx]extra_Bioplastic'!G421)</f>
        <v/>
      </c>
      <c r="H421">
        <f>IF(ISBLANK('Q:\Abteilungsprojekte\Eng\EngData\PROJECT_Bioplastics\Renjie_Pan\05-Raw_Data\Lab_results\[LabSamples2025_Bioplastic_extra.xlsx]extra_Bioplastic'!H421)," ",'Q:\Abteilungsprojekte\Eng\EngData\PROJECT_Bioplastics\Renjie_Pan\05-Raw_Data\Lab_results\[LabSamples2025_Bioplastic_extra.xlsx]extra_Bioplastic'!H421)</f>
        <v/>
      </c>
    </row>
    <row r="422">
      <c r="A422">
        <f>IF(ISBLANK('Q:\Abteilungsprojekte\Eng\EngData\PROJECT_Bioplastics\Renjie_Pan\05-Raw_Data\Lab_results\[LabSamples2025_Bioplastic_extra.xlsx]extra_Bioplastic'!A422)," ",'Q:\Abteilungsprojekte\Eng\EngData\PROJECT_Bioplastics\Renjie_Pan\05-Raw_Data\Lab_results\[LabSamples2025_Bioplastic_extra.xlsx]extra_Bioplastic'!A422)</f>
        <v/>
      </c>
      <c r="B422">
        <f>IF(ISBLANK('Q:\Abteilungsprojekte\Eng\EngData\PROJECT_Bioplastics\Renjie_Pan\05-Raw_Data\Lab_results\[LabSamples2025_Bioplastic_extra.xlsx]extra_Bioplastic'!B422)," ",'Q:\Abteilungsprojekte\Eng\EngData\PROJECT_Bioplastics\Renjie_Pan\05-Raw_Data\Lab_results\[LabSamples2025_Bioplastic_extra.xlsx]extra_Bioplastic'!B422)</f>
        <v/>
      </c>
      <c r="C422">
        <f>IF(ISBLANK('Q:\Abteilungsprojekte\Eng\EngData\PROJECT_Bioplastics\Renjie_Pan\05-Raw_Data\Lab_results\[LabSamples2025_Bioplastic_extra.xlsx]extra_Bioplastic'!C422)," ",'Q:\Abteilungsprojekte\Eng\EngData\PROJECT_Bioplastics\Renjie_Pan\05-Raw_Data\Lab_results\[LabSamples2025_Bioplastic_extra.xlsx]extra_Bioplastic'!C422)</f>
        <v/>
      </c>
      <c r="D422">
        <f>IF(ISBLANK('Q:\Abteilungsprojekte\Eng\EngData\PROJECT_Bioplastics\Renjie_Pan\05-Raw_Data\Lab_results\[LabSamples2025_Bioplastic_extra.xlsx]extra_Bioplastic'!D422)," ",'Q:\Abteilungsprojekte\Eng\EngData\PROJECT_Bioplastics\Renjie_Pan\05-Raw_Data\Lab_results\[LabSamples2025_Bioplastic_extra.xlsx]extra_Bioplastic'!D422)</f>
        <v/>
      </c>
      <c r="E422">
        <f>IF(ISBLANK('Q:\Abteilungsprojekte\Eng\EngData\PROJECT_Bioplastics\Renjie_Pan\05-Raw_Data\Lab_results\[LabSamples2025_Bioplastic_extra.xlsx]extra_Bioplastic'!E422)," ",'Q:\Abteilungsprojekte\Eng\EngData\PROJECT_Bioplastics\Renjie_Pan\05-Raw_Data\Lab_results\[LabSamples2025_Bioplastic_extra.xlsx]extra_Bioplastic'!E422)</f>
        <v/>
      </c>
      <c r="F422">
        <f>IF(ISBLANK('Q:\Abteilungsprojekte\Eng\EngData\PROJECT_Bioplastics\Renjie_Pan\05-Raw_Data\Lab_results\[LabSamples2025_Bioplastic_extra.xlsx]extra_Bioplastic'!F422)," ",'Q:\Abteilungsprojekte\Eng\EngData\PROJECT_Bioplastics\Renjie_Pan\05-Raw_Data\Lab_results\[LabSamples2025_Bioplastic_extra.xlsx]extra_Bioplastic'!F422)</f>
        <v/>
      </c>
      <c r="G422">
        <f>IF(ISBLANK('Q:\Abteilungsprojekte\Eng\EngData\PROJECT_Bioplastics\Renjie_Pan\05-Raw_Data\Lab_results\[LabSamples2025_Bioplastic_extra.xlsx]extra_Bioplastic'!G422)," ",'Q:\Abteilungsprojekte\Eng\EngData\PROJECT_Bioplastics\Renjie_Pan\05-Raw_Data\Lab_results\[LabSamples2025_Bioplastic_extra.xlsx]extra_Bioplastic'!G422)</f>
        <v/>
      </c>
      <c r="H422">
        <f>IF(ISBLANK('Q:\Abteilungsprojekte\Eng\EngData\PROJECT_Bioplastics\Renjie_Pan\05-Raw_Data\Lab_results\[LabSamples2025_Bioplastic_extra.xlsx]extra_Bioplastic'!H422)," ",'Q:\Abteilungsprojekte\Eng\EngData\PROJECT_Bioplastics\Renjie_Pan\05-Raw_Data\Lab_results\[LabSamples2025_Bioplastic_extra.xlsx]extra_Bioplastic'!H422)</f>
        <v/>
      </c>
    </row>
    <row r="423">
      <c r="A423">
        <f>IF(ISBLANK('Q:\Abteilungsprojekte\Eng\EngData\PROJECT_Bioplastics\Renjie_Pan\05-Raw_Data\Lab_results\[LabSamples2025_Bioplastic_extra.xlsx]extra_Bioplastic'!A423)," ",'Q:\Abteilungsprojekte\Eng\EngData\PROJECT_Bioplastics\Renjie_Pan\05-Raw_Data\Lab_results\[LabSamples2025_Bioplastic_extra.xlsx]extra_Bioplastic'!A423)</f>
        <v/>
      </c>
      <c r="B423">
        <f>IF(ISBLANK('Q:\Abteilungsprojekte\Eng\EngData\PROJECT_Bioplastics\Renjie_Pan\05-Raw_Data\Lab_results\[LabSamples2025_Bioplastic_extra.xlsx]extra_Bioplastic'!B423)," ",'Q:\Abteilungsprojekte\Eng\EngData\PROJECT_Bioplastics\Renjie_Pan\05-Raw_Data\Lab_results\[LabSamples2025_Bioplastic_extra.xlsx]extra_Bioplastic'!B423)</f>
        <v/>
      </c>
      <c r="C423">
        <f>IF(ISBLANK('Q:\Abteilungsprojekte\Eng\EngData\PROJECT_Bioplastics\Renjie_Pan\05-Raw_Data\Lab_results\[LabSamples2025_Bioplastic_extra.xlsx]extra_Bioplastic'!C423)," ",'Q:\Abteilungsprojekte\Eng\EngData\PROJECT_Bioplastics\Renjie_Pan\05-Raw_Data\Lab_results\[LabSamples2025_Bioplastic_extra.xlsx]extra_Bioplastic'!C423)</f>
        <v/>
      </c>
      <c r="D423">
        <f>IF(ISBLANK('Q:\Abteilungsprojekte\Eng\EngData\PROJECT_Bioplastics\Renjie_Pan\05-Raw_Data\Lab_results\[LabSamples2025_Bioplastic_extra.xlsx]extra_Bioplastic'!D423)," ",'Q:\Abteilungsprojekte\Eng\EngData\PROJECT_Bioplastics\Renjie_Pan\05-Raw_Data\Lab_results\[LabSamples2025_Bioplastic_extra.xlsx]extra_Bioplastic'!D423)</f>
        <v/>
      </c>
      <c r="E423">
        <f>IF(ISBLANK('Q:\Abteilungsprojekte\Eng\EngData\PROJECT_Bioplastics\Renjie_Pan\05-Raw_Data\Lab_results\[LabSamples2025_Bioplastic_extra.xlsx]extra_Bioplastic'!E423)," ",'Q:\Abteilungsprojekte\Eng\EngData\PROJECT_Bioplastics\Renjie_Pan\05-Raw_Data\Lab_results\[LabSamples2025_Bioplastic_extra.xlsx]extra_Bioplastic'!E423)</f>
        <v/>
      </c>
      <c r="F423">
        <f>IF(ISBLANK('Q:\Abteilungsprojekte\Eng\EngData\PROJECT_Bioplastics\Renjie_Pan\05-Raw_Data\Lab_results\[LabSamples2025_Bioplastic_extra.xlsx]extra_Bioplastic'!F423)," ",'Q:\Abteilungsprojekte\Eng\EngData\PROJECT_Bioplastics\Renjie_Pan\05-Raw_Data\Lab_results\[LabSamples2025_Bioplastic_extra.xlsx]extra_Bioplastic'!F423)</f>
        <v/>
      </c>
      <c r="G423">
        <f>IF(ISBLANK('Q:\Abteilungsprojekte\Eng\EngData\PROJECT_Bioplastics\Renjie_Pan\05-Raw_Data\Lab_results\[LabSamples2025_Bioplastic_extra.xlsx]extra_Bioplastic'!G423)," ",'Q:\Abteilungsprojekte\Eng\EngData\PROJECT_Bioplastics\Renjie_Pan\05-Raw_Data\Lab_results\[LabSamples2025_Bioplastic_extra.xlsx]extra_Bioplastic'!G423)</f>
        <v/>
      </c>
      <c r="H423">
        <f>IF(ISBLANK('Q:\Abteilungsprojekte\Eng\EngData\PROJECT_Bioplastics\Renjie_Pan\05-Raw_Data\Lab_results\[LabSamples2025_Bioplastic_extra.xlsx]extra_Bioplastic'!H423)," ",'Q:\Abteilungsprojekte\Eng\EngData\PROJECT_Bioplastics\Renjie_Pan\05-Raw_Data\Lab_results\[LabSamples2025_Bioplastic_extra.xlsx]extra_Bioplastic'!H423)</f>
        <v/>
      </c>
    </row>
    <row r="424">
      <c r="A424">
        <f>IF(ISBLANK('Q:\Abteilungsprojekte\Eng\EngData\PROJECT_Bioplastics\Renjie_Pan\05-Raw_Data\Lab_results\[LabSamples2025_Bioplastic_extra.xlsx]extra_Bioplastic'!A424)," ",'Q:\Abteilungsprojekte\Eng\EngData\PROJECT_Bioplastics\Renjie_Pan\05-Raw_Data\Lab_results\[LabSamples2025_Bioplastic_extra.xlsx]extra_Bioplastic'!A424)</f>
        <v/>
      </c>
      <c r="B424">
        <f>IF(ISBLANK('Q:\Abteilungsprojekte\Eng\EngData\PROJECT_Bioplastics\Renjie_Pan\05-Raw_Data\Lab_results\[LabSamples2025_Bioplastic_extra.xlsx]extra_Bioplastic'!B424)," ",'Q:\Abteilungsprojekte\Eng\EngData\PROJECT_Bioplastics\Renjie_Pan\05-Raw_Data\Lab_results\[LabSamples2025_Bioplastic_extra.xlsx]extra_Bioplastic'!B424)</f>
        <v/>
      </c>
      <c r="C424">
        <f>IF(ISBLANK('Q:\Abteilungsprojekte\Eng\EngData\PROJECT_Bioplastics\Renjie_Pan\05-Raw_Data\Lab_results\[LabSamples2025_Bioplastic_extra.xlsx]extra_Bioplastic'!C424)," ",'Q:\Abteilungsprojekte\Eng\EngData\PROJECT_Bioplastics\Renjie_Pan\05-Raw_Data\Lab_results\[LabSamples2025_Bioplastic_extra.xlsx]extra_Bioplastic'!C424)</f>
        <v/>
      </c>
      <c r="D424">
        <f>IF(ISBLANK('Q:\Abteilungsprojekte\Eng\EngData\PROJECT_Bioplastics\Renjie_Pan\05-Raw_Data\Lab_results\[LabSamples2025_Bioplastic_extra.xlsx]extra_Bioplastic'!D424)," ",'Q:\Abteilungsprojekte\Eng\EngData\PROJECT_Bioplastics\Renjie_Pan\05-Raw_Data\Lab_results\[LabSamples2025_Bioplastic_extra.xlsx]extra_Bioplastic'!D424)</f>
        <v/>
      </c>
      <c r="E424">
        <f>IF(ISBLANK('Q:\Abteilungsprojekte\Eng\EngData\PROJECT_Bioplastics\Renjie_Pan\05-Raw_Data\Lab_results\[LabSamples2025_Bioplastic_extra.xlsx]extra_Bioplastic'!E424)," ",'Q:\Abteilungsprojekte\Eng\EngData\PROJECT_Bioplastics\Renjie_Pan\05-Raw_Data\Lab_results\[LabSamples2025_Bioplastic_extra.xlsx]extra_Bioplastic'!E424)</f>
        <v/>
      </c>
      <c r="F424">
        <f>IF(ISBLANK('Q:\Abteilungsprojekte\Eng\EngData\PROJECT_Bioplastics\Renjie_Pan\05-Raw_Data\Lab_results\[LabSamples2025_Bioplastic_extra.xlsx]extra_Bioplastic'!F424)," ",'Q:\Abteilungsprojekte\Eng\EngData\PROJECT_Bioplastics\Renjie_Pan\05-Raw_Data\Lab_results\[LabSamples2025_Bioplastic_extra.xlsx]extra_Bioplastic'!F424)</f>
        <v/>
      </c>
      <c r="G424">
        <f>IF(ISBLANK('Q:\Abteilungsprojekte\Eng\EngData\PROJECT_Bioplastics\Renjie_Pan\05-Raw_Data\Lab_results\[LabSamples2025_Bioplastic_extra.xlsx]extra_Bioplastic'!G424)," ",'Q:\Abteilungsprojekte\Eng\EngData\PROJECT_Bioplastics\Renjie_Pan\05-Raw_Data\Lab_results\[LabSamples2025_Bioplastic_extra.xlsx]extra_Bioplastic'!G424)</f>
        <v/>
      </c>
      <c r="H424">
        <f>IF(ISBLANK('Q:\Abteilungsprojekte\Eng\EngData\PROJECT_Bioplastics\Renjie_Pan\05-Raw_Data\Lab_results\[LabSamples2025_Bioplastic_extra.xlsx]extra_Bioplastic'!H424)," ",'Q:\Abteilungsprojekte\Eng\EngData\PROJECT_Bioplastics\Renjie_Pan\05-Raw_Data\Lab_results\[LabSamples2025_Bioplastic_extra.xlsx]extra_Bioplastic'!H424)</f>
        <v/>
      </c>
    </row>
    <row r="425">
      <c r="A425">
        <f>IF(ISBLANK('Q:\Abteilungsprojekte\Eng\EngData\PROJECT_Bioplastics\Renjie_Pan\05-Raw_Data\Lab_results\[LabSamples2025_Bioplastic_extra.xlsx]extra_Bioplastic'!A425)," ",'Q:\Abteilungsprojekte\Eng\EngData\PROJECT_Bioplastics\Renjie_Pan\05-Raw_Data\Lab_results\[LabSamples2025_Bioplastic_extra.xlsx]extra_Bioplastic'!A425)</f>
        <v/>
      </c>
      <c r="B425">
        <f>IF(ISBLANK('Q:\Abteilungsprojekte\Eng\EngData\PROJECT_Bioplastics\Renjie_Pan\05-Raw_Data\Lab_results\[LabSamples2025_Bioplastic_extra.xlsx]extra_Bioplastic'!B425)," ",'Q:\Abteilungsprojekte\Eng\EngData\PROJECT_Bioplastics\Renjie_Pan\05-Raw_Data\Lab_results\[LabSamples2025_Bioplastic_extra.xlsx]extra_Bioplastic'!B425)</f>
        <v/>
      </c>
      <c r="C425">
        <f>IF(ISBLANK('Q:\Abteilungsprojekte\Eng\EngData\PROJECT_Bioplastics\Renjie_Pan\05-Raw_Data\Lab_results\[LabSamples2025_Bioplastic_extra.xlsx]extra_Bioplastic'!C425)," ",'Q:\Abteilungsprojekte\Eng\EngData\PROJECT_Bioplastics\Renjie_Pan\05-Raw_Data\Lab_results\[LabSamples2025_Bioplastic_extra.xlsx]extra_Bioplastic'!C425)</f>
        <v/>
      </c>
      <c r="D425">
        <f>IF(ISBLANK('Q:\Abteilungsprojekte\Eng\EngData\PROJECT_Bioplastics\Renjie_Pan\05-Raw_Data\Lab_results\[LabSamples2025_Bioplastic_extra.xlsx]extra_Bioplastic'!D425)," ",'Q:\Abteilungsprojekte\Eng\EngData\PROJECT_Bioplastics\Renjie_Pan\05-Raw_Data\Lab_results\[LabSamples2025_Bioplastic_extra.xlsx]extra_Bioplastic'!D425)</f>
        <v/>
      </c>
      <c r="E425">
        <f>IF(ISBLANK('Q:\Abteilungsprojekte\Eng\EngData\PROJECT_Bioplastics\Renjie_Pan\05-Raw_Data\Lab_results\[LabSamples2025_Bioplastic_extra.xlsx]extra_Bioplastic'!E425)," ",'Q:\Abteilungsprojekte\Eng\EngData\PROJECT_Bioplastics\Renjie_Pan\05-Raw_Data\Lab_results\[LabSamples2025_Bioplastic_extra.xlsx]extra_Bioplastic'!E425)</f>
        <v/>
      </c>
      <c r="F425">
        <f>IF(ISBLANK('Q:\Abteilungsprojekte\Eng\EngData\PROJECT_Bioplastics\Renjie_Pan\05-Raw_Data\Lab_results\[LabSamples2025_Bioplastic_extra.xlsx]extra_Bioplastic'!F425)," ",'Q:\Abteilungsprojekte\Eng\EngData\PROJECT_Bioplastics\Renjie_Pan\05-Raw_Data\Lab_results\[LabSamples2025_Bioplastic_extra.xlsx]extra_Bioplastic'!F425)</f>
        <v/>
      </c>
      <c r="G425">
        <f>IF(ISBLANK('Q:\Abteilungsprojekte\Eng\EngData\PROJECT_Bioplastics\Renjie_Pan\05-Raw_Data\Lab_results\[LabSamples2025_Bioplastic_extra.xlsx]extra_Bioplastic'!G425)," ",'Q:\Abteilungsprojekte\Eng\EngData\PROJECT_Bioplastics\Renjie_Pan\05-Raw_Data\Lab_results\[LabSamples2025_Bioplastic_extra.xlsx]extra_Bioplastic'!G425)</f>
        <v/>
      </c>
      <c r="H425">
        <f>IF(ISBLANK('Q:\Abteilungsprojekte\Eng\EngData\PROJECT_Bioplastics\Renjie_Pan\05-Raw_Data\Lab_results\[LabSamples2025_Bioplastic_extra.xlsx]extra_Bioplastic'!H425)," ",'Q:\Abteilungsprojekte\Eng\EngData\PROJECT_Bioplastics\Renjie_Pan\05-Raw_Data\Lab_results\[LabSamples2025_Bioplastic_extra.xlsx]extra_Bioplastic'!H425)</f>
        <v/>
      </c>
    </row>
    <row r="426">
      <c r="A426">
        <f>IF(ISBLANK('Q:\Abteilungsprojekte\Eng\EngData\PROJECT_Bioplastics\Renjie_Pan\05-Raw_Data\Lab_results\[LabSamples2025_Bioplastic_extra.xlsx]extra_Bioplastic'!A426)," ",'Q:\Abteilungsprojekte\Eng\EngData\PROJECT_Bioplastics\Renjie_Pan\05-Raw_Data\Lab_results\[LabSamples2025_Bioplastic_extra.xlsx]extra_Bioplastic'!A426)</f>
        <v/>
      </c>
      <c r="B426">
        <f>IF(ISBLANK('Q:\Abteilungsprojekte\Eng\EngData\PROJECT_Bioplastics\Renjie_Pan\05-Raw_Data\Lab_results\[LabSamples2025_Bioplastic_extra.xlsx]extra_Bioplastic'!B426)," ",'Q:\Abteilungsprojekte\Eng\EngData\PROJECT_Bioplastics\Renjie_Pan\05-Raw_Data\Lab_results\[LabSamples2025_Bioplastic_extra.xlsx]extra_Bioplastic'!B426)</f>
        <v/>
      </c>
      <c r="C426">
        <f>IF(ISBLANK('Q:\Abteilungsprojekte\Eng\EngData\PROJECT_Bioplastics\Renjie_Pan\05-Raw_Data\Lab_results\[LabSamples2025_Bioplastic_extra.xlsx]extra_Bioplastic'!C426)," ",'Q:\Abteilungsprojekte\Eng\EngData\PROJECT_Bioplastics\Renjie_Pan\05-Raw_Data\Lab_results\[LabSamples2025_Bioplastic_extra.xlsx]extra_Bioplastic'!C426)</f>
        <v/>
      </c>
      <c r="D426">
        <f>IF(ISBLANK('Q:\Abteilungsprojekte\Eng\EngData\PROJECT_Bioplastics\Renjie_Pan\05-Raw_Data\Lab_results\[LabSamples2025_Bioplastic_extra.xlsx]extra_Bioplastic'!D426)," ",'Q:\Abteilungsprojekte\Eng\EngData\PROJECT_Bioplastics\Renjie_Pan\05-Raw_Data\Lab_results\[LabSamples2025_Bioplastic_extra.xlsx]extra_Bioplastic'!D426)</f>
        <v/>
      </c>
      <c r="E426">
        <f>IF(ISBLANK('Q:\Abteilungsprojekte\Eng\EngData\PROJECT_Bioplastics\Renjie_Pan\05-Raw_Data\Lab_results\[LabSamples2025_Bioplastic_extra.xlsx]extra_Bioplastic'!E426)," ",'Q:\Abteilungsprojekte\Eng\EngData\PROJECT_Bioplastics\Renjie_Pan\05-Raw_Data\Lab_results\[LabSamples2025_Bioplastic_extra.xlsx]extra_Bioplastic'!E426)</f>
        <v/>
      </c>
      <c r="F426">
        <f>IF(ISBLANK('Q:\Abteilungsprojekte\Eng\EngData\PROJECT_Bioplastics\Renjie_Pan\05-Raw_Data\Lab_results\[LabSamples2025_Bioplastic_extra.xlsx]extra_Bioplastic'!F426)," ",'Q:\Abteilungsprojekte\Eng\EngData\PROJECT_Bioplastics\Renjie_Pan\05-Raw_Data\Lab_results\[LabSamples2025_Bioplastic_extra.xlsx]extra_Bioplastic'!F426)</f>
        <v/>
      </c>
      <c r="G426">
        <f>IF(ISBLANK('Q:\Abteilungsprojekte\Eng\EngData\PROJECT_Bioplastics\Renjie_Pan\05-Raw_Data\Lab_results\[LabSamples2025_Bioplastic_extra.xlsx]extra_Bioplastic'!G426)," ",'Q:\Abteilungsprojekte\Eng\EngData\PROJECT_Bioplastics\Renjie_Pan\05-Raw_Data\Lab_results\[LabSamples2025_Bioplastic_extra.xlsx]extra_Bioplastic'!G426)</f>
        <v/>
      </c>
      <c r="H426">
        <f>IF(ISBLANK('Q:\Abteilungsprojekte\Eng\EngData\PROJECT_Bioplastics\Renjie_Pan\05-Raw_Data\Lab_results\[LabSamples2025_Bioplastic_extra.xlsx]extra_Bioplastic'!H426)," ",'Q:\Abteilungsprojekte\Eng\EngData\PROJECT_Bioplastics\Renjie_Pan\05-Raw_Data\Lab_results\[LabSamples2025_Bioplastic_extra.xlsx]extra_Bioplastic'!H426)</f>
        <v/>
      </c>
    </row>
    <row r="427">
      <c r="A427">
        <f>IF(ISBLANK('Q:\Abteilungsprojekte\Eng\EngData\PROJECT_Bioplastics\Renjie_Pan\05-Raw_Data\Lab_results\[LabSamples2025_Bioplastic_extra.xlsx]extra_Bioplastic'!A427)," ",'Q:\Abteilungsprojekte\Eng\EngData\PROJECT_Bioplastics\Renjie_Pan\05-Raw_Data\Lab_results\[LabSamples2025_Bioplastic_extra.xlsx]extra_Bioplastic'!A427)</f>
        <v/>
      </c>
      <c r="B427">
        <f>IF(ISBLANK('Q:\Abteilungsprojekte\Eng\EngData\PROJECT_Bioplastics\Renjie_Pan\05-Raw_Data\Lab_results\[LabSamples2025_Bioplastic_extra.xlsx]extra_Bioplastic'!B427)," ",'Q:\Abteilungsprojekte\Eng\EngData\PROJECT_Bioplastics\Renjie_Pan\05-Raw_Data\Lab_results\[LabSamples2025_Bioplastic_extra.xlsx]extra_Bioplastic'!B427)</f>
        <v/>
      </c>
      <c r="C427">
        <f>IF(ISBLANK('Q:\Abteilungsprojekte\Eng\EngData\PROJECT_Bioplastics\Renjie_Pan\05-Raw_Data\Lab_results\[LabSamples2025_Bioplastic_extra.xlsx]extra_Bioplastic'!C427)," ",'Q:\Abteilungsprojekte\Eng\EngData\PROJECT_Bioplastics\Renjie_Pan\05-Raw_Data\Lab_results\[LabSamples2025_Bioplastic_extra.xlsx]extra_Bioplastic'!C427)</f>
        <v/>
      </c>
      <c r="D427">
        <f>IF(ISBLANK('Q:\Abteilungsprojekte\Eng\EngData\PROJECT_Bioplastics\Renjie_Pan\05-Raw_Data\Lab_results\[LabSamples2025_Bioplastic_extra.xlsx]extra_Bioplastic'!D427)," ",'Q:\Abteilungsprojekte\Eng\EngData\PROJECT_Bioplastics\Renjie_Pan\05-Raw_Data\Lab_results\[LabSamples2025_Bioplastic_extra.xlsx]extra_Bioplastic'!D427)</f>
        <v/>
      </c>
      <c r="E427">
        <f>IF(ISBLANK('Q:\Abteilungsprojekte\Eng\EngData\PROJECT_Bioplastics\Renjie_Pan\05-Raw_Data\Lab_results\[LabSamples2025_Bioplastic_extra.xlsx]extra_Bioplastic'!E427)," ",'Q:\Abteilungsprojekte\Eng\EngData\PROJECT_Bioplastics\Renjie_Pan\05-Raw_Data\Lab_results\[LabSamples2025_Bioplastic_extra.xlsx]extra_Bioplastic'!E427)</f>
        <v/>
      </c>
      <c r="F427">
        <f>IF(ISBLANK('Q:\Abteilungsprojekte\Eng\EngData\PROJECT_Bioplastics\Renjie_Pan\05-Raw_Data\Lab_results\[LabSamples2025_Bioplastic_extra.xlsx]extra_Bioplastic'!F427)," ",'Q:\Abteilungsprojekte\Eng\EngData\PROJECT_Bioplastics\Renjie_Pan\05-Raw_Data\Lab_results\[LabSamples2025_Bioplastic_extra.xlsx]extra_Bioplastic'!F427)</f>
        <v/>
      </c>
      <c r="G427">
        <f>IF(ISBLANK('Q:\Abteilungsprojekte\Eng\EngData\PROJECT_Bioplastics\Renjie_Pan\05-Raw_Data\Lab_results\[LabSamples2025_Bioplastic_extra.xlsx]extra_Bioplastic'!G427)," ",'Q:\Abteilungsprojekte\Eng\EngData\PROJECT_Bioplastics\Renjie_Pan\05-Raw_Data\Lab_results\[LabSamples2025_Bioplastic_extra.xlsx]extra_Bioplastic'!G427)</f>
        <v/>
      </c>
      <c r="H427">
        <f>IF(ISBLANK('Q:\Abteilungsprojekte\Eng\EngData\PROJECT_Bioplastics\Renjie_Pan\05-Raw_Data\Lab_results\[LabSamples2025_Bioplastic_extra.xlsx]extra_Bioplastic'!H427)," ",'Q:\Abteilungsprojekte\Eng\EngData\PROJECT_Bioplastics\Renjie_Pan\05-Raw_Data\Lab_results\[LabSamples2025_Bioplastic_extra.xlsx]extra_Bioplastic'!H427)</f>
        <v/>
      </c>
    </row>
    <row r="428">
      <c r="A428">
        <f>IF(ISBLANK('Q:\Abteilungsprojekte\Eng\EngData\PROJECT_Bioplastics\Renjie_Pan\05-Raw_Data\Lab_results\[LabSamples2025_Bioplastic_extra.xlsx]extra_Bioplastic'!A428)," ",'Q:\Abteilungsprojekte\Eng\EngData\PROJECT_Bioplastics\Renjie_Pan\05-Raw_Data\Lab_results\[LabSamples2025_Bioplastic_extra.xlsx]extra_Bioplastic'!A428)</f>
        <v/>
      </c>
      <c r="B428">
        <f>IF(ISBLANK('Q:\Abteilungsprojekte\Eng\EngData\PROJECT_Bioplastics\Renjie_Pan\05-Raw_Data\Lab_results\[LabSamples2025_Bioplastic_extra.xlsx]extra_Bioplastic'!B428)," ",'Q:\Abteilungsprojekte\Eng\EngData\PROJECT_Bioplastics\Renjie_Pan\05-Raw_Data\Lab_results\[LabSamples2025_Bioplastic_extra.xlsx]extra_Bioplastic'!B428)</f>
        <v/>
      </c>
      <c r="C428">
        <f>IF(ISBLANK('Q:\Abteilungsprojekte\Eng\EngData\PROJECT_Bioplastics\Renjie_Pan\05-Raw_Data\Lab_results\[LabSamples2025_Bioplastic_extra.xlsx]extra_Bioplastic'!C428)," ",'Q:\Abteilungsprojekte\Eng\EngData\PROJECT_Bioplastics\Renjie_Pan\05-Raw_Data\Lab_results\[LabSamples2025_Bioplastic_extra.xlsx]extra_Bioplastic'!C428)</f>
        <v/>
      </c>
      <c r="D428">
        <f>IF(ISBLANK('Q:\Abteilungsprojekte\Eng\EngData\PROJECT_Bioplastics\Renjie_Pan\05-Raw_Data\Lab_results\[LabSamples2025_Bioplastic_extra.xlsx]extra_Bioplastic'!D428)," ",'Q:\Abteilungsprojekte\Eng\EngData\PROJECT_Bioplastics\Renjie_Pan\05-Raw_Data\Lab_results\[LabSamples2025_Bioplastic_extra.xlsx]extra_Bioplastic'!D428)</f>
        <v/>
      </c>
      <c r="E428">
        <f>IF(ISBLANK('Q:\Abteilungsprojekte\Eng\EngData\PROJECT_Bioplastics\Renjie_Pan\05-Raw_Data\Lab_results\[LabSamples2025_Bioplastic_extra.xlsx]extra_Bioplastic'!E428)," ",'Q:\Abteilungsprojekte\Eng\EngData\PROJECT_Bioplastics\Renjie_Pan\05-Raw_Data\Lab_results\[LabSamples2025_Bioplastic_extra.xlsx]extra_Bioplastic'!E428)</f>
        <v/>
      </c>
      <c r="F428">
        <f>IF(ISBLANK('Q:\Abteilungsprojekte\Eng\EngData\PROJECT_Bioplastics\Renjie_Pan\05-Raw_Data\Lab_results\[LabSamples2025_Bioplastic_extra.xlsx]extra_Bioplastic'!F428)," ",'Q:\Abteilungsprojekte\Eng\EngData\PROJECT_Bioplastics\Renjie_Pan\05-Raw_Data\Lab_results\[LabSamples2025_Bioplastic_extra.xlsx]extra_Bioplastic'!F428)</f>
        <v/>
      </c>
      <c r="G428">
        <f>IF(ISBLANK('Q:\Abteilungsprojekte\Eng\EngData\PROJECT_Bioplastics\Renjie_Pan\05-Raw_Data\Lab_results\[LabSamples2025_Bioplastic_extra.xlsx]extra_Bioplastic'!G428)," ",'Q:\Abteilungsprojekte\Eng\EngData\PROJECT_Bioplastics\Renjie_Pan\05-Raw_Data\Lab_results\[LabSamples2025_Bioplastic_extra.xlsx]extra_Bioplastic'!G428)</f>
        <v/>
      </c>
      <c r="H428">
        <f>IF(ISBLANK('Q:\Abteilungsprojekte\Eng\EngData\PROJECT_Bioplastics\Renjie_Pan\05-Raw_Data\Lab_results\[LabSamples2025_Bioplastic_extra.xlsx]extra_Bioplastic'!H428)," ",'Q:\Abteilungsprojekte\Eng\EngData\PROJECT_Bioplastics\Renjie_Pan\05-Raw_Data\Lab_results\[LabSamples2025_Bioplastic_extra.xlsx]extra_Bioplastic'!H428)</f>
        <v/>
      </c>
    </row>
    <row r="429">
      <c r="A429">
        <f>IF(ISBLANK('Q:\Abteilungsprojekte\Eng\EngData\PROJECT_Bioplastics\Renjie_Pan\05-Raw_Data\Lab_results\[LabSamples2025_Bioplastic_extra.xlsx]extra_Bioplastic'!A429)," ",'Q:\Abteilungsprojekte\Eng\EngData\PROJECT_Bioplastics\Renjie_Pan\05-Raw_Data\Lab_results\[LabSamples2025_Bioplastic_extra.xlsx]extra_Bioplastic'!A429)</f>
        <v/>
      </c>
      <c r="B429">
        <f>IF(ISBLANK('Q:\Abteilungsprojekte\Eng\EngData\PROJECT_Bioplastics\Renjie_Pan\05-Raw_Data\Lab_results\[LabSamples2025_Bioplastic_extra.xlsx]extra_Bioplastic'!B429)," ",'Q:\Abteilungsprojekte\Eng\EngData\PROJECT_Bioplastics\Renjie_Pan\05-Raw_Data\Lab_results\[LabSamples2025_Bioplastic_extra.xlsx]extra_Bioplastic'!B429)</f>
        <v/>
      </c>
      <c r="C429">
        <f>IF(ISBLANK('Q:\Abteilungsprojekte\Eng\EngData\PROJECT_Bioplastics\Renjie_Pan\05-Raw_Data\Lab_results\[LabSamples2025_Bioplastic_extra.xlsx]extra_Bioplastic'!C429)," ",'Q:\Abteilungsprojekte\Eng\EngData\PROJECT_Bioplastics\Renjie_Pan\05-Raw_Data\Lab_results\[LabSamples2025_Bioplastic_extra.xlsx]extra_Bioplastic'!C429)</f>
        <v/>
      </c>
      <c r="D429">
        <f>IF(ISBLANK('Q:\Abteilungsprojekte\Eng\EngData\PROJECT_Bioplastics\Renjie_Pan\05-Raw_Data\Lab_results\[LabSamples2025_Bioplastic_extra.xlsx]extra_Bioplastic'!D429)," ",'Q:\Abteilungsprojekte\Eng\EngData\PROJECT_Bioplastics\Renjie_Pan\05-Raw_Data\Lab_results\[LabSamples2025_Bioplastic_extra.xlsx]extra_Bioplastic'!D429)</f>
        <v/>
      </c>
      <c r="E429">
        <f>IF(ISBLANK('Q:\Abteilungsprojekte\Eng\EngData\PROJECT_Bioplastics\Renjie_Pan\05-Raw_Data\Lab_results\[LabSamples2025_Bioplastic_extra.xlsx]extra_Bioplastic'!E429)," ",'Q:\Abteilungsprojekte\Eng\EngData\PROJECT_Bioplastics\Renjie_Pan\05-Raw_Data\Lab_results\[LabSamples2025_Bioplastic_extra.xlsx]extra_Bioplastic'!E429)</f>
        <v/>
      </c>
      <c r="F429">
        <f>IF(ISBLANK('Q:\Abteilungsprojekte\Eng\EngData\PROJECT_Bioplastics\Renjie_Pan\05-Raw_Data\Lab_results\[LabSamples2025_Bioplastic_extra.xlsx]extra_Bioplastic'!F429)," ",'Q:\Abteilungsprojekte\Eng\EngData\PROJECT_Bioplastics\Renjie_Pan\05-Raw_Data\Lab_results\[LabSamples2025_Bioplastic_extra.xlsx]extra_Bioplastic'!F429)</f>
        <v/>
      </c>
      <c r="G429">
        <f>IF(ISBLANK('Q:\Abteilungsprojekte\Eng\EngData\PROJECT_Bioplastics\Renjie_Pan\05-Raw_Data\Lab_results\[LabSamples2025_Bioplastic_extra.xlsx]extra_Bioplastic'!G429)," ",'Q:\Abteilungsprojekte\Eng\EngData\PROJECT_Bioplastics\Renjie_Pan\05-Raw_Data\Lab_results\[LabSamples2025_Bioplastic_extra.xlsx]extra_Bioplastic'!G429)</f>
        <v/>
      </c>
      <c r="H429">
        <f>IF(ISBLANK('Q:\Abteilungsprojekte\Eng\EngData\PROJECT_Bioplastics\Renjie_Pan\05-Raw_Data\Lab_results\[LabSamples2025_Bioplastic_extra.xlsx]extra_Bioplastic'!H429)," ",'Q:\Abteilungsprojekte\Eng\EngData\PROJECT_Bioplastics\Renjie_Pan\05-Raw_Data\Lab_results\[LabSamples2025_Bioplastic_extra.xlsx]extra_Bioplastic'!H429)</f>
        <v/>
      </c>
    </row>
    <row r="430">
      <c r="A430">
        <f>IF(ISBLANK('Q:\Abteilungsprojekte\Eng\EngData\PROJECT_Bioplastics\Renjie_Pan\05-Raw_Data\Lab_results\[LabSamples2025_Bioplastic_extra.xlsx]extra_Bioplastic'!A430)," ",'Q:\Abteilungsprojekte\Eng\EngData\PROJECT_Bioplastics\Renjie_Pan\05-Raw_Data\Lab_results\[LabSamples2025_Bioplastic_extra.xlsx]extra_Bioplastic'!A430)</f>
        <v/>
      </c>
      <c r="B430">
        <f>IF(ISBLANK('Q:\Abteilungsprojekte\Eng\EngData\PROJECT_Bioplastics\Renjie_Pan\05-Raw_Data\Lab_results\[LabSamples2025_Bioplastic_extra.xlsx]extra_Bioplastic'!B430)," ",'Q:\Abteilungsprojekte\Eng\EngData\PROJECT_Bioplastics\Renjie_Pan\05-Raw_Data\Lab_results\[LabSamples2025_Bioplastic_extra.xlsx]extra_Bioplastic'!B430)</f>
        <v/>
      </c>
      <c r="C430">
        <f>IF(ISBLANK('Q:\Abteilungsprojekte\Eng\EngData\PROJECT_Bioplastics\Renjie_Pan\05-Raw_Data\Lab_results\[LabSamples2025_Bioplastic_extra.xlsx]extra_Bioplastic'!C430)," ",'Q:\Abteilungsprojekte\Eng\EngData\PROJECT_Bioplastics\Renjie_Pan\05-Raw_Data\Lab_results\[LabSamples2025_Bioplastic_extra.xlsx]extra_Bioplastic'!C430)</f>
        <v/>
      </c>
      <c r="D430">
        <f>IF(ISBLANK('Q:\Abteilungsprojekte\Eng\EngData\PROJECT_Bioplastics\Renjie_Pan\05-Raw_Data\Lab_results\[LabSamples2025_Bioplastic_extra.xlsx]extra_Bioplastic'!D430)," ",'Q:\Abteilungsprojekte\Eng\EngData\PROJECT_Bioplastics\Renjie_Pan\05-Raw_Data\Lab_results\[LabSamples2025_Bioplastic_extra.xlsx]extra_Bioplastic'!D430)</f>
        <v/>
      </c>
      <c r="E430">
        <f>IF(ISBLANK('Q:\Abteilungsprojekte\Eng\EngData\PROJECT_Bioplastics\Renjie_Pan\05-Raw_Data\Lab_results\[LabSamples2025_Bioplastic_extra.xlsx]extra_Bioplastic'!E430)," ",'Q:\Abteilungsprojekte\Eng\EngData\PROJECT_Bioplastics\Renjie_Pan\05-Raw_Data\Lab_results\[LabSamples2025_Bioplastic_extra.xlsx]extra_Bioplastic'!E430)</f>
        <v/>
      </c>
      <c r="F430">
        <f>IF(ISBLANK('Q:\Abteilungsprojekte\Eng\EngData\PROJECT_Bioplastics\Renjie_Pan\05-Raw_Data\Lab_results\[LabSamples2025_Bioplastic_extra.xlsx]extra_Bioplastic'!F430)," ",'Q:\Abteilungsprojekte\Eng\EngData\PROJECT_Bioplastics\Renjie_Pan\05-Raw_Data\Lab_results\[LabSamples2025_Bioplastic_extra.xlsx]extra_Bioplastic'!F430)</f>
        <v/>
      </c>
      <c r="G430">
        <f>IF(ISBLANK('Q:\Abteilungsprojekte\Eng\EngData\PROJECT_Bioplastics\Renjie_Pan\05-Raw_Data\Lab_results\[LabSamples2025_Bioplastic_extra.xlsx]extra_Bioplastic'!G430)," ",'Q:\Abteilungsprojekte\Eng\EngData\PROJECT_Bioplastics\Renjie_Pan\05-Raw_Data\Lab_results\[LabSamples2025_Bioplastic_extra.xlsx]extra_Bioplastic'!G430)</f>
        <v/>
      </c>
      <c r="H430">
        <f>IF(ISBLANK('Q:\Abteilungsprojekte\Eng\EngData\PROJECT_Bioplastics\Renjie_Pan\05-Raw_Data\Lab_results\[LabSamples2025_Bioplastic_extra.xlsx]extra_Bioplastic'!H430)," ",'Q:\Abteilungsprojekte\Eng\EngData\PROJECT_Bioplastics\Renjie_Pan\05-Raw_Data\Lab_results\[LabSamples2025_Bioplastic_extra.xlsx]extra_Bioplastic'!H430)</f>
        <v/>
      </c>
    </row>
    <row r="431">
      <c r="A431">
        <f>IF(ISBLANK('Q:\Abteilungsprojekte\Eng\EngData\PROJECT_Bioplastics\Renjie_Pan\05-Raw_Data\Lab_results\[LabSamples2025_Bioplastic_extra.xlsx]extra_Bioplastic'!A431)," ",'Q:\Abteilungsprojekte\Eng\EngData\PROJECT_Bioplastics\Renjie_Pan\05-Raw_Data\Lab_results\[LabSamples2025_Bioplastic_extra.xlsx]extra_Bioplastic'!A431)</f>
        <v/>
      </c>
      <c r="B431">
        <f>IF(ISBLANK('Q:\Abteilungsprojekte\Eng\EngData\PROJECT_Bioplastics\Renjie_Pan\05-Raw_Data\Lab_results\[LabSamples2025_Bioplastic_extra.xlsx]extra_Bioplastic'!B431)," ",'Q:\Abteilungsprojekte\Eng\EngData\PROJECT_Bioplastics\Renjie_Pan\05-Raw_Data\Lab_results\[LabSamples2025_Bioplastic_extra.xlsx]extra_Bioplastic'!B431)</f>
        <v/>
      </c>
      <c r="C431">
        <f>IF(ISBLANK('Q:\Abteilungsprojekte\Eng\EngData\PROJECT_Bioplastics\Renjie_Pan\05-Raw_Data\Lab_results\[LabSamples2025_Bioplastic_extra.xlsx]extra_Bioplastic'!C431)," ",'Q:\Abteilungsprojekte\Eng\EngData\PROJECT_Bioplastics\Renjie_Pan\05-Raw_Data\Lab_results\[LabSamples2025_Bioplastic_extra.xlsx]extra_Bioplastic'!C431)</f>
        <v/>
      </c>
      <c r="D431">
        <f>IF(ISBLANK('Q:\Abteilungsprojekte\Eng\EngData\PROJECT_Bioplastics\Renjie_Pan\05-Raw_Data\Lab_results\[LabSamples2025_Bioplastic_extra.xlsx]extra_Bioplastic'!D431)," ",'Q:\Abteilungsprojekte\Eng\EngData\PROJECT_Bioplastics\Renjie_Pan\05-Raw_Data\Lab_results\[LabSamples2025_Bioplastic_extra.xlsx]extra_Bioplastic'!D431)</f>
        <v/>
      </c>
      <c r="E431">
        <f>IF(ISBLANK('Q:\Abteilungsprojekte\Eng\EngData\PROJECT_Bioplastics\Renjie_Pan\05-Raw_Data\Lab_results\[LabSamples2025_Bioplastic_extra.xlsx]extra_Bioplastic'!E431)," ",'Q:\Abteilungsprojekte\Eng\EngData\PROJECT_Bioplastics\Renjie_Pan\05-Raw_Data\Lab_results\[LabSamples2025_Bioplastic_extra.xlsx]extra_Bioplastic'!E431)</f>
        <v/>
      </c>
      <c r="F431">
        <f>IF(ISBLANK('Q:\Abteilungsprojekte\Eng\EngData\PROJECT_Bioplastics\Renjie_Pan\05-Raw_Data\Lab_results\[LabSamples2025_Bioplastic_extra.xlsx]extra_Bioplastic'!F431)," ",'Q:\Abteilungsprojekte\Eng\EngData\PROJECT_Bioplastics\Renjie_Pan\05-Raw_Data\Lab_results\[LabSamples2025_Bioplastic_extra.xlsx]extra_Bioplastic'!F431)</f>
        <v/>
      </c>
      <c r="G431">
        <f>IF(ISBLANK('Q:\Abteilungsprojekte\Eng\EngData\PROJECT_Bioplastics\Renjie_Pan\05-Raw_Data\Lab_results\[LabSamples2025_Bioplastic_extra.xlsx]extra_Bioplastic'!G431)," ",'Q:\Abteilungsprojekte\Eng\EngData\PROJECT_Bioplastics\Renjie_Pan\05-Raw_Data\Lab_results\[LabSamples2025_Bioplastic_extra.xlsx]extra_Bioplastic'!G431)</f>
        <v/>
      </c>
      <c r="H431">
        <f>IF(ISBLANK('Q:\Abteilungsprojekte\Eng\EngData\PROJECT_Bioplastics\Renjie_Pan\05-Raw_Data\Lab_results\[LabSamples2025_Bioplastic_extra.xlsx]extra_Bioplastic'!H431)," ",'Q:\Abteilungsprojekte\Eng\EngData\PROJECT_Bioplastics\Renjie_Pan\05-Raw_Data\Lab_results\[LabSamples2025_Bioplastic_extra.xlsx]extra_Bioplastic'!H431)</f>
        <v/>
      </c>
    </row>
    <row r="432">
      <c r="A432">
        <f>IF(ISBLANK('Q:\Abteilungsprojekte\Eng\EngData\PROJECT_Bioplastics\Renjie_Pan\05-Raw_Data\Lab_results\[LabSamples2025_Bioplastic_extra.xlsx]extra_Bioplastic'!A432)," ",'Q:\Abteilungsprojekte\Eng\EngData\PROJECT_Bioplastics\Renjie_Pan\05-Raw_Data\Lab_results\[LabSamples2025_Bioplastic_extra.xlsx]extra_Bioplastic'!A432)</f>
        <v/>
      </c>
      <c r="B432">
        <f>IF(ISBLANK('Q:\Abteilungsprojekte\Eng\EngData\PROJECT_Bioplastics\Renjie_Pan\05-Raw_Data\Lab_results\[LabSamples2025_Bioplastic_extra.xlsx]extra_Bioplastic'!B432)," ",'Q:\Abteilungsprojekte\Eng\EngData\PROJECT_Bioplastics\Renjie_Pan\05-Raw_Data\Lab_results\[LabSamples2025_Bioplastic_extra.xlsx]extra_Bioplastic'!B432)</f>
        <v/>
      </c>
      <c r="C432">
        <f>IF(ISBLANK('Q:\Abteilungsprojekte\Eng\EngData\PROJECT_Bioplastics\Renjie_Pan\05-Raw_Data\Lab_results\[LabSamples2025_Bioplastic_extra.xlsx]extra_Bioplastic'!C432)," ",'Q:\Abteilungsprojekte\Eng\EngData\PROJECT_Bioplastics\Renjie_Pan\05-Raw_Data\Lab_results\[LabSamples2025_Bioplastic_extra.xlsx]extra_Bioplastic'!C432)</f>
        <v/>
      </c>
      <c r="D432">
        <f>IF(ISBLANK('Q:\Abteilungsprojekte\Eng\EngData\PROJECT_Bioplastics\Renjie_Pan\05-Raw_Data\Lab_results\[LabSamples2025_Bioplastic_extra.xlsx]extra_Bioplastic'!D432)," ",'Q:\Abteilungsprojekte\Eng\EngData\PROJECT_Bioplastics\Renjie_Pan\05-Raw_Data\Lab_results\[LabSamples2025_Bioplastic_extra.xlsx]extra_Bioplastic'!D432)</f>
        <v/>
      </c>
      <c r="E432">
        <f>IF(ISBLANK('Q:\Abteilungsprojekte\Eng\EngData\PROJECT_Bioplastics\Renjie_Pan\05-Raw_Data\Lab_results\[LabSamples2025_Bioplastic_extra.xlsx]extra_Bioplastic'!E432)," ",'Q:\Abteilungsprojekte\Eng\EngData\PROJECT_Bioplastics\Renjie_Pan\05-Raw_Data\Lab_results\[LabSamples2025_Bioplastic_extra.xlsx]extra_Bioplastic'!E432)</f>
        <v/>
      </c>
      <c r="F432">
        <f>IF(ISBLANK('Q:\Abteilungsprojekte\Eng\EngData\PROJECT_Bioplastics\Renjie_Pan\05-Raw_Data\Lab_results\[LabSamples2025_Bioplastic_extra.xlsx]extra_Bioplastic'!F432)," ",'Q:\Abteilungsprojekte\Eng\EngData\PROJECT_Bioplastics\Renjie_Pan\05-Raw_Data\Lab_results\[LabSamples2025_Bioplastic_extra.xlsx]extra_Bioplastic'!F432)</f>
        <v/>
      </c>
      <c r="G432">
        <f>IF(ISBLANK('Q:\Abteilungsprojekte\Eng\EngData\PROJECT_Bioplastics\Renjie_Pan\05-Raw_Data\Lab_results\[LabSamples2025_Bioplastic_extra.xlsx]extra_Bioplastic'!G432)," ",'Q:\Abteilungsprojekte\Eng\EngData\PROJECT_Bioplastics\Renjie_Pan\05-Raw_Data\Lab_results\[LabSamples2025_Bioplastic_extra.xlsx]extra_Bioplastic'!G432)</f>
        <v/>
      </c>
      <c r="H432">
        <f>IF(ISBLANK('Q:\Abteilungsprojekte\Eng\EngData\PROJECT_Bioplastics\Renjie_Pan\05-Raw_Data\Lab_results\[LabSamples2025_Bioplastic_extra.xlsx]extra_Bioplastic'!H432)," ",'Q:\Abteilungsprojekte\Eng\EngData\PROJECT_Bioplastics\Renjie_Pan\05-Raw_Data\Lab_results\[LabSamples2025_Bioplastic_extra.xlsx]extra_Bioplastic'!H432)</f>
        <v/>
      </c>
    </row>
    <row r="433">
      <c r="A433">
        <f>IF(ISBLANK('Q:\Abteilungsprojekte\Eng\EngData\PROJECT_Bioplastics\Renjie_Pan\05-Raw_Data\Lab_results\[LabSamples2025_Bioplastic_extra.xlsx]extra_Bioplastic'!A433)," ",'Q:\Abteilungsprojekte\Eng\EngData\PROJECT_Bioplastics\Renjie_Pan\05-Raw_Data\Lab_results\[LabSamples2025_Bioplastic_extra.xlsx]extra_Bioplastic'!A433)</f>
        <v/>
      </c>
      <c r="B433">
        <f>IF(ISBLANK('Q:\Abteilungsprojekte\Eng\EngData\PROJECT_Bioplastics\Renjie_Pan\05-Raw_Data\Lab_results\[LabSamples2025_Bioplastic_extra.xlsx]extra_Bioplastic'!B433)," ",'Q:\Abteilungsprojekte\Eng\EngData\PROJECT_Bioplastics\Renjie_Pan\05-Raw_Data\Lab_results\[LabSamples2025_Bioplastic_extra.xlsx]extra_Bioplastic'!B433)</f>
        <v/>
      </c>
      <c r="C433">
        <f>IF(ISBLANK('Q:\Abteilungsprojekte\Eng\EngData\PROJECT_Bioplastics\Renjie_Pan\05-Raw_Data\Lab_results\[LabSamples2025_Bioplastic_extra.xlsx]extra_Bioplastic'!C433)," ",'Q:\Abteilungsprojekte\Eng\EngData\PROJECT_Bioplastics\Renjie_Pan\05-Raw_Data\Lab_results\[LabSamples2025_Bioplastic_extra.xlsx]extra_Bioplastic'!C433)</f>
        <v/>
      </c>
      <c r="D433">
        <f>IF(ISBLANK('Q:\Abteilungsprojekte\Eng\EngData\PROJECT_Bioplastics\Renjie_Pan\05-Raw_Data\Lab_results\[LabSamples2025_Bioplastic_extra.xlsx]extra_Bioplastic'!D433)," ",'Q:\Abteilungsprojekte\Eng\EngData\PROJECT_Bioplastics\Renjie_Pan\05-Raw_Data\Lab_results\[LabSamples2025_Bioplastic_extra.xlsx]extra_Bioplastic'!D433)</f>
        <v/>
      </c>
      <c r="E433">
        <f>IF(ISBLANK('Q:\Abteilungsprojekte\Eng\EngData\PROJECT_Bioplastics\Renjie_Pan\05-Raw_Data\Lab_results\[LabSamples2025_Bioplastic_extra.xlsx]extra_Bioplastic'!E433)," ",'Q:\Abteilungsprojekte\Eng\EngData\PROJECT_Bioplastics\Renjie_Pan\05-Raw_Data\Lab_results\[LabSamples2025_Bioplastic_extra.xlsx]extra_Bioplastic'!E433)</f>
        <v/>
      </c>
      <c r="F433">
        <f>IF(ISBLANK('Q:\Abteilungsprojekte\Eng\EngData\PROJECT_Bioplastics\Renjie_Pan\05-Raw_Data\Lab_results\[LabSamples2025_Bioplastic_extra.xlsx]extra_Bioplastic'!F433)," ",'Q:\Abteilungsprojekte\Eng\EngData\PROJECT_Bioplastics\Renjie_Pan\05-Raw_Data\Lab_results\[LabSamples2025_Bioplastic_extra.xlsx]extra_Bioplastic'!F433)</f>
        <v/>
      </c>
      <c r="G433">
        <f>IF(ISBLANK('Q:\Abteilungsprojekte\Eng\EngData\PROJECT_Bioplastics\Renjie_Pan\05-Raw_Data\Lab_results\[LabSamples2025_Bioplastic_extra.xlsx]extra_Bioplastic'!G433)," ",'Q:\Abteilungsprojekte\Eng\EngData\PROJECT_Bioplastics\Renjie_Pan\05-Raw_Data\Lab_results\[LabSamples2025_Bioplastic_extra.xlsx]extra_Bioplastic'!G433)</f>
        <v/>
      </c>
      <c r="H433">
        <f>IF(ISBLANK('Q:\Abteilungsprojekte\Eng\EngData\PROJECT_Bioplastics\Renjie_Pan\05-Raw_Data\Lab_results\[LabSamples2025_Bioplastic_extra.xlsx]extra_Bioplastic'!H433)," ",'Q:\Abteilungsprojekte\Eng\EngData\PROJECT_Bioplastics\Renjie_Pan\05-Raw_Data\Lab_results\[LabSamples2025_Bioplastic_extra.xlsx]extra_Bioplastic'!H433)</f>
        <v/>
      </c>
    </row>
    <row r="434">
      <c r="A434">
        <f>IF(ISBLANK('Q:\Abteilungsprojekte\Eng\EngData\PROJECT_Bioplastics\Renjie_Pan\05-Raw_Data\Lab_results\[LabSamples2025_Bioplastic_extra.xlsx]extra_Bioplastic'!A434)," ",'Q:\Abteilungsprojekte\Eng\EngData\PROJECT_Bioplastics\Renjie_Pan\05-Raw_Data\Lab_results\[LabSamples2025_Bioplastic_extra.xlsx]extra_Bioplastic'!A434)</f>
        <v/>
      </c>
      <c r="B434">
        <f>IF(ISBLANK('Q:\Abteilungsprojekte\Eng\EngData\PROJECT_Bioplastics\Renjie_Pan\05-Raw_Data\Lab_results\[LabSamples2025_Bioplastic_extra.xlsx]extra_Bioplastic'!B434)," ",'Q:\Abteilungsprojekte\Eng\EngData\PROJECT_Bioplastics\Renjie_Pan\05-Raw_Data\Lab_results\[LabSamples2025_Bioplastic_extra.xlsx]extra_Bioplastic'!B434)</f>
        <v/>
      </c>
      <c r="C434">
        <f>IF(ISBLANK('Q:\Abteilungsprojekte\Eng\EngData\PROJECT_Bioplastics\Renjie_Pan\05-Raw_Data\Lab_results\[LabSamples2025_Bioplastic_extra.xlsx]extra_Bioplastic'!C434)," ",'Q:\Abteilungsprojekte\Eng\EngData\PROJECT_Bioplastics\Renjie_Pan\05-Raw_Data\Lab_results\[LabSamples2025_Bioplastic_extra.xlsx]extra_Bioplastic'!C434)</f>
        <v/>
      </c>
      <c r="D434">
        <f>IF(ISBLANK('Q:\Abteilungsprojekte\Eng\EngData\PROJECT_Bioplastics\Renjie_Pan\05-Raw_Data\Lab_results\[LabSamples2025_Bioplastic_extra.xlsx]extra_Bioplastic'!D434)," ",'Q:\Abteilungsprojekte\Eng\EngData\PROJECT_Bioplastics\Renjie_Pan\05-Raw_Data\Lab_results\[LabSamples2025_Bioplastic_extra.xlsx]extra_Bioplastic'!D434)</f>
        <v/>
      </c>
      <c r="E434">
        <f>IF(ISBLANK('Q:\Abteilungsprojekte\Eng\EngData\PROJECT_Bioplastics\Renjie_Pan\05-Raw_Data\Lab_results\[LabSamples2025_Bioplastic_extra.xlsx]extra_Bioplastic'!E434)," ",'Q:\Abteilungsprojekte\Eng\EngData\PROJECT_Bioplastics\Renjie_Pan\05-Raw_Data\Lab_results\[LabSamples2025_Bioplastic_extra.xlsx]extra_Bioplastic'!E434)</f>
        <v/>
      </c>
      <c r="F434">
        <f>IF(ISBLANK('Q:\Abteilungsprojekte\Eng\EngData\PROJECT_Bioplastics\Renjie_Pan\05-Raw_Data\Lab_results\[LabSamples2025_Bioplastic_extra.xlsx]extra_Bioplastic'!F434)," ",'Q:\Abteilungsprojekte\Eng\EngData\PROJECT_Bioplastics\Renjie_Pan\05-Raw_Data\Lab_results\[LabSamples2025_Bioplastic_extra.xlsx]extra_Bioplastic'!F434)</f>
        <v/>
      </c>
      <c r="G434">
        <f>IF(ISBLANK('Q:\Abteilungsprojekte\Eng\EngData\PROJECT_Bioplastics\Renjie_Pan\05-Raw_Data\Lab_results\[LabSamples2025_Bioplastic_extra.xlsx]extra_Bioplastic'!G434)," ",'Q:\Abteilungsprojekte\Eng\EngData\PROJECT_Bioplastics\Renjie_Pan\05-Raw_Data\Lab_results\[LabSamples2025_Bioplastic_extra.xlsx]extra_Bioplastic'!G434)</f>
        <v/>
      </c>
      <c r="H434">
        <f>IF(ISBLANK('Q:\Abteilungsprojekte\Eng\EngData\PROJECT_Bioplastics\Renjie_Pan\05-Raw_Data\Lab_results\[LabSamples2025_Bioplastic_extra.xlsx]extra_Bioplastic'!H434)," ",'Q:\Abteilungsprojekte\Eng\EngData\PROJECT_Bioplastics\Renjie_Pan\05-Raw_Data\Lab_results\[LabSamples2025_Bioplastic_extra.xlsx]extra_Bioplastic'!H434)</f>
        <v/>
      </c>
    </row>
    <row r="435">
      <c r="A435">
        <f>IF(ISBLANK('Q:\Abteilungsprojekte\Eng\EngData\PROJECT_Bioplastics\Renjie_Pan\05-Raw_Data\Lab_results\[LabSamples2025_Bioplastic_extra.xlsx]extra_Bioplastic'!A435)," ",'Q:\Abteilungsprojekte\Eng\EngData\PROJECT_Bioplastics\Renjie_Pan\05-Raw_Data\Lab_results\[LabSamples2025_Bioplastic_extra.xlsx]extra_Bioplastic'!A435)</f>
        <v/>
      </c>
      <c r="B435">
        <f>IF(ISBLANK('Q:\Abteilungsprojekte\Eng\EngData\PROJECT_Bioplastics\Renjie_Pan\05-Raw_Data\Lab_results\[LabSamples2025_Bioplastic_extra.xlsx]extra_Bioplastic'!B435)," ",'Q:\Abteilungsprojekte\Eng\EngData\PROJECT_Bioplastics\Renjie_Pan\05-Raw_Data\Lab_results\[LabSamples2025_Bioplastic_extra.xlsx]extra_Bioplastic'!B435)</f>
        <v/>
      </c>
      <c r="C435">
        <f>IF(ISBLANK('Q:\Abteilungsprojekte\Eng\EngData\PROJECT_Bioplastics\Renjie_Pan\05-Raw_Data\Lab_results\[LabSamples2025_Bioplastic_extra.xlsx]extra_Bioplastic'!C435)," ",'Q:\Abteilungsprojekte\Eng\EngData\PROJECT_Bioplastics\Renjie_Pan\05-Raw_Data\Lab_results\[LabSamples2025_Bioplastic_extra.xlsx]extra_Bioplastic'!C435)</f>
        <v/>
      </c>
      <c r="D435">
        <f>IF(ISBLANK('Q:\Abteilungsprojekte\Eng\EngData\PROJECT_Bioplastics\Renjie_Pan\05-Raw_Data\Lab_results\[LabSamples2025_Bioplastic_extra.xlsx]extra_Bioplastic'!D435)," ",'Q:\Abteilungsprojekte\Eng\EngData\PROJECT_Bioplastics\Renjie_Pan\05-Raw_Data\Lab_results\[LabSamples2025_Bioplastic_extra.xlsx]extra_Bioplastic'!D435)</f>
        <v/>
      </c>
      <c r="E435">
        <f>IF(ISBLANK('Q:\Abteilungsprojekte\Eng\EngData\PROJECT_Bioplastics\Renjie_Pan\05-Raw_Data\Lab_results\[LabSamples2025_Bioplastic_extra.xlsx]extra_Bioplastic'!E435)," ",'Q:\Abteilungsprojekte\Eng\EngData\PROJECT_Bioplastics\Renjie_Pan\05-Raw_Data\Lab_results\[LabSamples2025_Bioplastic_extra.xlsx]extra_Bioplastic'!E435)</f>
        <v/>
      </c>
      <c r="F435">
        <f>IF(ISBLANK('Q:\Abteilungsprojekte\Eng\EngData\PROJECT_Bioplastics\Renjie_Pan\05-Raw_Data\Lab_results\[LabSamples2025_Bioplastic_extra.xlsx]extra_Bioplastic'!F435)," ",'Q:\Abteilungsprojekte\Eng\EngData\PROJECT_Bioplastics\Renjie_Pan\05-Raw_Data\Lab_results\[LabSamples2025_Bioplastic_extra.xlsx]extra_Bioplastic'!F435)</f>
        <v/>
      </c>
      <c r="G435">
        <f>IF(ISBLANK('Q:\Abteilungsprojekte\Eng\EngData\PROJECT_Bioplastics\Renjie_Pan\05-Raw_Data\Lab_results\[LabSamples2025_Bioplastic_extra.xlsx]extra_Bioplastic'!G435)," ",'Q:\Abteilungsprojekte\Eng\EngData\PROJECT_Bioplastics\Renjie_Pan\05-Raw_Data\Lab_results\[LabSamples2025_Bioplastic_extra.xlsx]extra_Bioplastic'!G435)</f>
        <v/>
      </c>
      <c r="H435">
        <f>IF(ISBLANK('Q:\Abteilungsprojekte\Eng\EngData\PROJECT_Bioplastics\Renjie_Pan\05-Raw_Data\Lab_results\[LabSamples2025_Bioplastic_extra.xlsx]extra_Bioplastic'!H435)," ",'Q:\Abteilungsprojekte\Eng\EngData\PROJECT_Bioplastics\Renjie_Pan\05-Raw_Data\Lab_results\[LabSamples2025_Bioplastic_extra.xlsx]extra_Bioplastic'!H435)</f>
        <v/>
      </c>
    </row>
    <row r="436">
      <c r="A436">
        <f>IF(ISBLANK('Q:\Abteilungsprojekte\Eng\EngData\PROJECT_Bioplastics\Renjie_Pan\05-Raw_Data\Lab_results\[LabSamples2025_Bioplastic_extra.xlsx]extra_Bioplastic'!A436)," ",'Q:\Abteilungsprojekte\Eng\EngData\PROJECT_Bioplastics\Renjie_Pan\05-Raw_Data\Lab_results\[LabSamples2025_Bioplastic_extra.xlsx]extra_Bioplastic'!A436)</f>
        <v/>
      </c>
      <c r="B436">
        <f>IF(ISBLANK('Q:\Abteilungsprojekte\Eng\EngData\PROJECT_Bioplastics\Renjie_Pan\05-Raw_Data\Lab_results\[LabSamples2025_Bioplastic_extra.xlsx]extra_Bioplastic'!B436)," ",'Q:\Abteilungsprojekte\Eng\EngData\PROJECT_Bioplastics\Renjie_Pan\05-Raw_Data\Lab_results\[LabSamples2025_Bioplastic_extra.xlsx]extra_Bioplastic'!B436)</f>
        <v/>
      </c>
      <c r="C436">
        <f>IF(ISBLANK('Q:\Abteilungsprojekte\Eng\EngData\PROJECT_Bioplastics\Renjie_Pan\05-Raw_Data\Lab_results\[LabSamples2025_Bioplastic_extra.xlsx]extra_Bioplastic'!C436)," ",'Q:\Abteilungsprojekte\Eng\EngData\PROJECT_Bioplastics\Renjie_Pan\05-Raw_Data\Lab_results\[LabSamples2025_Bioplastic_extra.xlsx]extra_Bioplastic'!C436)</f>
        <v/>
      </c>
      <c r="D436">
        <f>IF(ISBLANK('Q:\Abteilungsprojekte\Eng\EngData\PROJECT_Bioplastics\Renjie_Pan\05-Raw_Data\Lab_results\[LabSamples2025_Bioplastic_extra.xlsx]extra_Bioplastic'!D436)," ",'Q:\Abteilungsprojekte\Eng\EngData\PROJECT_Bioplastics\Renjie_Pan\05-Raw_Data\Lab_results\[LabSamples2025_Bioplastic_extra.xlsx]extra_Bioplastic'!D436)</f>
        <v/>
      </c>
      <c r="E436">
        <f>IF(ISBLANK('Q:\Abteilungsprojekte\Eng\EngData\PROJECT_Bioplastics\Renjie_Pan\05-Raw_Data\Lab_results\[LabSamples2025_Bioplastic_extra.xlsx]extra_Bioplastic'!E436)," ",'Q:\Abteilungsprojekte\Eng\EngData\PROJECT_Bioplastics\Renjie_Pan\05-Raw_Data\Lab_results\[LabSamples2025_Bioplastic_extra.xlsx]extra_Bioplastic'!E436)</f>
        <v/>
      </c>
      <c r="F436">
        <f>IF(ISBLANK('Q:\Abteilungsprojekte\Eng\EngData\PROJECT_Bioplastics\Renjie_Pan\05-Raw_Data\Lab_results\[LabSamples2025_Bioplastic_extra.xlsx]extra_Bioplastic'!F436)," ",'Q:\Abteilungsprojekte\Eng\EngData\PROJECT_Bioplastics\Renjie_Pan\05-Raw_Data\Lab_results\[LabSamples2025_Bioplastic_extra.xlsx]extra_Bioplastic'!F436)</f>
        <v/>
      </c>
      <c r="G436">
        <f>IF(ISBLANK('Q:\Abteilungsprojekte\Eng\EngData\PROJECT_Bioplastics\Renjie_Pan\05-Raw_Data\Lab_results\[LabSamples2025_Bioplastic_extra.xlsx]extra_Bioplastic'!G436)," ",'Q:\Abteilungsprojekte\Eng\EngData\PROJECT_Bioplastics\Renjie_Pan\05-Raw_Data\Lab_results\[LabSamples2025_Bioplastic_extra.xlsx]extra_Bioplastic'!G436)</f>
        <v/>
      </c>
      <c r="H436">
        <f>IF(ISBLANK('Q:\Abteilungsprojekte\Eng\EngData\PROJECT_Bioplastics\Renjie_Pan\05-Raw_Data\Lab_results\[LabSamples2025_Bioplastic_extra.xlsx]extra_Bioplastic'!H436)," ",'Q:\Abteilungsprojekte\Eng\EngData\PROJECT_Bioplastics\Renjie_Pan\05-Raw_Data\Lab_results\[LabSamples2025_Bioplastic_extra.xlsx]extra_Bioplastic'!H436)</f>
        <v/>
      </c>
    </row>
    <row r="437">
      <c r="A437">
        <f>IF(ISBLANK('Q:\Abteilungsprojekte\Eng\EngData\PROJECT_Bioplastics\Renjie_Pan\05-Raw_Data\Lab_results\[LabSamples2025_Bioplastic_extra.xlsx]extra_Bioplastic'!A437)," ",'Q:\Abteilungsprojekte\Eng\EngData\PROJECT_Bioplastics\Renjie_Pan\05-Raw_Data\Lab_results\[LabSamples2025_Bioplastic_extra.xlsx]extra_Bioplastic'!A437)</f>
        <v/>
      </c>
      <c r="B437">
        <f>IF(ISBLANK('Q:\Abteilungsprojekte\Eng\EngData\PROJECT_Bioplastics\Renjie_Pan\05-Raw_Data\Lab_results\[LabSamples2025_Bioplastic_extra.xlsx]extra_Bioplastic'!B437)," ",'Q:\Abteilungsprojekte\Eng\EngData\PROJECT_Bioplastics\Renjie_Pan\05-Raw_Data\Lab_results\[LabSamples2025_Bioplastic_extra.xlsx]extra_Bioplastic'!B437)</f>
        <v/>
      </c>
      <c r="C437">
        <f>IF(ISBLANK('Q:\Abteilungsprojekte\Eng\EngData\PROJECT_Bioplastics\Renjie_Pan\05-Raw_Data\Lab_results\[LabSamples2025_Bioplastic_extra.xlsx]extra_Bioplastic'!C437)," ",'Q:\Abteilungsprojekte\Eng\EngData\PROJECT_Bioplastics\Renjie_Pan\05-Raw_Data\Lab_results\[LabSamples2025_Bioplastic_extra.xlsx]extra_Bioplastic'!C437)</f>
        <v/>
      </c>
      <c r="D437">
        <f>IF(ISBLANK('Q:\Abteilungsprojekte\Eng\EngData\PROJECT_Bioplastics\Renjie_Pan\05-Raw_Data\Lab_results\[LabSamples2025_Bioplastic_extra.xlsx]extra_Bioplastic'!D437)," ",'Q:\Abteilungsprojekte\Eng\EngData\PROJECT_Bioplastics\Renjie_Pan\05-Raw_Data\Lab_results\[LabSamples2025_Bioplastic_extra.xlsx]extra_Bioplastic'!D437)</f>
        <v/>
      </c>
      <c r="E437">
        <f>IF(ISBLANK('Q:\Abteilungsprojekte\Eng\EngData\PROJECT_Bioplastics\Renjie_Pan\05-Raw_Data\Lab_results\[LabSamples2025_Bioplastic_extra.xlsx]extra_Bioplastic'!E437)," ",'Q:\Abteilungsprojekte\Eng\EngData\PROJECT_Bioplastics\Renjie_Pan\05-Raw_Data\Lab_results\[LabSamples2025_Bioplastic_extra.xlsx]extra_Bioplastic'!E437)</f>
        <v/>
      </c>
      <c r="F437">
        <f>IF(ISBLANK('Q:\Abteilungsprojekte\Eng\EngData\PROJECT_Bioplastics\Renjie_Pan\05-Raw_Data\Lab_results\[LabSamples2025_Bioplastic_extra.xlsx]extra_Bioplastic'!F437)," ",'Q:\Abteilungsprojekte\Eng\EngData\PROJECT_Bioplastics\Renjie_Pan\05-Raw_Data\Lab_results\[LabSamples2025_Bioplastic_extra.xlsx]extra_Bioplastic'!F437)</f>
        <v/>
      </c>
      <c r="G437">
        <f>IF(ISBLANK('Q:\Abteilungsprojekte\Eng\EngData\PROJECT_Bioplastics\Renjie_Pan\05-Raw_Data\Lab_results\[LabSamples2025_Bioplastic_extra.xlsx]extra_Bioplastic'!G437)," ",'Q:\Abteilungsprojekte\Eng\EngData\PROJECT_Bioplastics\Renjie_Pan\05-Raw_Data\Lab_results\[LabSamples2025_Bioplastic_extra.xlsx]extra_Bioplastic'!G437)</f>
        <v/>
      </c>
      <c r="H437">
        <f>IF(ISBLANK('Q:\Abteilungsprojekte\Eng\EngData\PROJECT_Bioplastics\Renjie_Pan\05-Raw_Data\Lab_results\[LabSamples2025_Bioplastic_extra.xlsx]extra_Bioplastic'!H437)," ",'Q:\Abteilungsprojekte\Eng\EngData\PROJECT_Bioplastics\Renjie_Pan\05-Raw_Data\Lab_results\[LabSamples2025_Bioplastic_extra.xlsx]extra_Bioplastic'!H437)</f>
        <v/>
      </c>
    </row>
    <row r="438">
      <c r="A438">
        <f>IF(ISBLANK('Q:\Abteilungsprojekte\Eng\EngData\PROJECT_Bioplastics\Renjie_Pan\05-Raw_Data\Lab_results\[LabSamples2025_Bioplastic_extra.xlsx]extra_Bioplastic'!A438)," ",'Q:\Abteilungsprojekte\Eng\EngData\PROJECT_Bioplastics\Renjie_Pan\05-Raw_Data\Lab_results\[LabSamples2025_Bioplastic_extra.xlsx]extra_Bioplastic'!A438)</f>
        <v/>
      </c>
      <c r="B438">
        <f>IF(ISBLANK('Q:\Abteilungsprojekte\Eng\EngData\PROJECT_Bioplastics\Renjie_Pan\05-Raw_Data\Lab_results\[LabSamples2025_Bioplastic_extra.xlsx]extra_Bioplastic'!B438)," ",'Q:\Abteilungsprojekte\Eng\EngData\PROJECT_Bioplastics\Renjie_Pan\05-Raw_Data\Lab_results\[LabSamples2025_Bioplastic_extra.xlsx]extra_Bioplastic'!B438)</f>
        <v/>
      </c>
      <c r="C438">
        <f>IF(ISBLANK('Q:\Abteilungsprojekte\Eng\EngData\PROJECT_Bioplastics\Renjie_Pan\05-Raw_Data\Lab_results\[LabSamples2025_Bioplastic_extra.xlsx]extra_Bioplastic'!C438)," ",'Q:\Abteilungsprojekte\Eng\EngData\PROJECT_Bioplastics\Renjie_Pan\05-Raw_Data\Lab_results\[LabSamples2025_Bioplastic_extra.xlsx]extra_Bioplastic'!C438)</f>
        <v/>
      </c>
      <c r="D438">
        <f>IF(ISBLANK('Q:\Abteilungsprojekte\Eng\EngData\PROJECT_Bioplastics\Renjie_Pan\05-Raw_Data\Lab_results\[LabSamples2025_Bioplastic_extra.xlsx]extra_Bioplastic'!D438)," ",'Q:\Abteilungsprojekte\Eng\EngData\PROJECT_Bioplastics\Renjie_Pan\05-Raw_Data\Lab_results\[LabSamples2025_Bioplastic_extra.xlsx]extra_Bioplastic'!D438)</f>
        <v/>
      </c>
      <c r="E438">
        <f>IF(ISBLANK('Q:\Abteilungsprojekte\Eng\EngData\PROJECT_Bioplastics\Renjie_Pan\05-Raw_Data\Lab_results\[LabSamples2025_Bioplastic_extra.xlsx]extra_Bioplastic'!E438)," ",'Q:\Abteilungsprojekte\Eng\EngData\PROJECT_Bioplastics\Renjie_Pan\05-Raw_Data\Lab_results\[LabSamples2025_Bioplastic_extra.xlsx]extra_Bioplastic'!E438)</f>
        <v/>
      </c>
      <c r="F438">
        <f>IF(ISBLANK('Q:\Abteilungsprojekte\Eng\EngData\PROJECT_Bioplastics\Renjie_Pan\05-Raw_Data\Lab_results\[LabSamples2025_Bioplastic_extra.xlsx]extra_Bioplastic'!F438)," ",'Q:\Abteilungsprojekte\Eng\EngData\PROJECT_Bioplastics\Renjie_Pan\05-Raw_Data\Lab_results\[LabSamples2025_Bioplastic_extra.xlsx]extra_Bioplastic'!F438)</f>
        <v/>
      </c>
      <c r="G438">
        <f>IF(ISBLANK('Q:\Abteilungsprojekte\Eng\EngData\PROJECT_Bioplastics\Renjie_Pan\05-Raw_Data\Lab_results\[LabSamples2025_Bioplastic_extra.xlsx]extra_Bioplastic'!G438)," ",'Q:\Abteilungsprojekte\Eng\EngData\PROJECT_Bioplastics\Renjie_Pan\05-Raw_Data\Lab_results\[LabSamples2025_Bioplastic_extra.xlsx]extra_Bioplastic'!G438)</f>
        <v/>
      </c>
      <c r="H438">
        <f>IF(ISBLANK('Q:\Abteilungsprojekte\Eng\EngData\PROJECT_Bioplastics\Renjie_Pan\05-Raw_Data\Lab_results\[LabSamples2025_Bioplastic_extra.xlsx]extra_Bioplastic'!H438)," ",'Q:\Abteilungsprojekte\Eng\EngData\PROJECT_Bioplastics\Renjie_Pan\05-Raw_Data\Lab_results\[LabSamples2025_Bioplastic_extra.xlsx]extra_Bioplastic'!H438)</f>
        <v/>
      </c>
    </row>
    <row r="439">
      <c r="A439">
        <f>IF(ISBLANK('Q:\Abteilungsprojekte\Eng\EngData\PROJECT_Bioplastics\Renjie_Pan\05-Raw_Data\Lab_results\[LabSamples2025_Bioplastic_extra.xlsx]extra_Bioplastic'!A439)," ",'Q:\Abteilungsprojekte\Eng\EngData\PROJECT_Bioplastics\Renjie_Pan\05-Raw_Data\Lab_results\[LabSamples2025_Bioplastic_extra.xlsx]extra_Bioplastic'!A439)</f>
        <v/>
      </c>
      <c r="B439">
        <f>IF(ISBLANK('Q:\Abteilungsprojekte\Eng\EngData\PROJECT_Bioplastics\Renjie_Pan\05-Raw_Data\Lab_results\[LabSamples2025_Bioplastic_extra.xlsx]extra_Bioplastic'!B439)," ",'Q:\Abteilungsprojekte\Eng\EngData\PROJECT_Bioplastics\Renjie_Pan\05-Raw_Data\Lab_results\[LabSamples2025_Bioplastic_extra.xlsx]extra_Bioplastic'!B439)</f>
        <v/>
      </c>
      <c r="C439">
        <f>IF(ISBLANK('Q:\Abteilungsprojekte\Eng\EngData\PROJECT_Bioplastics\Renjie_Pan\05-Raw_Data\Lab_results\[LabSamples2025_Bioplastic_extra.xlsx]extra_Bioplastic'!C439)," ",'Q:\Abteilungsprojekte\Eng\EngData\PROJECT_Bioplastics\Renjie_Pan\05-Raw_Data\Lab_results\[LabSamples2025_Bioplastic_extra.xlsx]extra_Bioplastic'!C439)</f>
        <v/>
      </c>
      <c r="D439">
        <f>IF(ISBLANK('Q:\Abteilungsprojekte\Eng\EngData\PROJECT_Bioplastics\Renjie_Pan\05-Raw_Data\Lab_results\[LabSamples2025_Bioplastic_extra.xlsx]extra_Bioplastic'!D439)," ",'Q:\Abteilungsprojekte\Eng\EngData\PROJECT_Bioplastics\Renjie_Pan\05-Raw_Data\Lab_results\[LabSamples2025_Bioplastic_extra.xlsx]extra_Bioplastic'!D439)</f>
        <v/>
      </c>
      <c r="E439">
        <f>IF(ISBLANK('Q:\Abteilungsprojekte\Eng\EngData\PROJECT_Bioplastics\Renjie_Pan\05-Raw_Data\Lab_results\[LabSamples2025_Bioplastic_extra.xlsx]extra_Bioplastic'!E439)," ",'Q:\Abteilungsprojekte\Eng\EngData\PROJECT_Bioplastics\Renjie_Pan\05-Raw_Data\Lab_results\[LabSamples2025_Bioplastic_extra.xlsx]extra_Bioplastic'!E439)</f>
        <v/>
      </c>
      <c r="F439">
        <f>IF(ISBLANK('Q:\Abteilungsprojekte\Eng\EngData\PROJECT_Bioplastics\Renjie_Pan\05-Raw_Data\Lab_results\[LabSamples2025_Bioplastic_extra.xlsx]extra_Bioplastic'!F439)," ",'Q:\Abteilungsprojekte\Eng\EngData\PROJECT_Bioplastics\Renjie_Pan\05-Raw_Data\Lab_results\[LabSamples2025_Bioplastic_extra.xlsx]extra_Bioplastic'!F439)</f>
        <v/>
      </c>
      <c r="G439">
        <f>IF(ISBLANK('Q:\Abteilungsprojekte\Eng\EngData\PROJECT_Bioplastics\Renjie_Pan\05-Raw_Data\Lab_results\[LabSamples2025_Bioplastic_extra.xlsx]extra_Bioplastic'!G439)," ",'Q:\Abteilungsprojekte\Eng\EngData\PROJECT_Bioplastics\Renjie_Pan\05-Raw_Data\Lab_results\[LabSamples2025_Bioplastic_extra.xlsx]extra_Bioplastic'!G439)</f>
        <v/>
      </c>
      <c r="H439">
        <f>IF(ISBLANK('Q:\Abteilungsprojekte\Eng\EngData\PROJECT_Bioplastics\Renjie_Pan\05-Raw_Data\Lab_results\[LabSamples2025_Bioplastic_extra.xlsx]extra_Bioplastic'!H439)," ",'Q:\Abteilungsprojekte\Eng\EngData\PROJECT_Bioplastics\Renjie_Pan\05-Raw_Data\Lab_results\[LabSamples2025_Bioplastic_extra.xlsx]extra_Bioplastic'!H439)</f>
        <v/>
      </c>
    </row>
    <row r="440">
      <c r="A440">
        <f>IF(ISBLANK('Q:\Abteilungsprojekte\Eng\EngData\PROJECT_Bioplastics\Renjie_Pan\05-Raw_Data\Lab_results\[LabSamples2025_Bioplastic_extra.xlsx]extra_Bioplastic'!A440)," ",'Q:\Abteilungsprojekte\Eng\EngData\PROJECT_Bioplastics\Renjie_Pan\05-Raw_Data\Lab_results\[LabSamples2025_Bioplastic_extra.xlsx]extra_Bioplastic'!A440)</f>
        <v/>
      </c>
      <c r="B440">
        <f>IF(ISBLANK('Q:\Abteilungsprojekte\Eng\EngData\PROJECT_Bioplastics\Renjie_Pan\05-Raw_Data\Lab_results\[LabSamples2025_Bioplastic_extra.xlsx]extra_Bioplastic'!B440)," ",'Q:\Abteilungsprojekte\Eng\EngData\PROJECT_Bioplastics\Renjie_Pan\05-Raw_Data\Lab_results\[LabSamples2025_Bioplastic_extra.xlsx]extra_Bioplastic'!B440)</f>
        <v/>
      </c>
      <c r="C440">
        <f>IF(ISBLANK('Q:\Abteilungsprojekte\Eng\EngData\PROJECT_Bioplastics\Renjie_Pan\05-Raw_Data\Lab_results\[LabSamples2025_Bioplastic_extra.xlsx]extra_Bioplastic'!C440)," ",'Q:\Abteilungsprojekte\Eng\EngData\PROJECT_Bioplastics\Renjie_Pan\05-Raw_Data\Lab_results\[LabSamples2025_Bioplastic_extra.xlsx]extra_Bioplastic'!C440)</f>
        <v/>
      </c>
      <c r="D440">
        <f>IF(ISBLANK('Q:\Abteilungsprojekte\Eng\EngData\PROJECT_Bioplastics\Renjie_Pan\05-Raw_Data\Lab_results\[LabSamples2025_Bioplastic_extra.xlsx]extra_Bioplastic'!D440)," ",'Q:\Abteilungsprojekte\Eng\EngData\PROJECT_Bioplastics\Renjie_Pan\05-Raw_Data\Lab_results\[LabSamples2025_Bioplastic_extra.xlsx]extra_Bioplastic'!D440)</f>
        <v/>
      </c>
      <c r="E440">
        <f>IF(ISBLANK('Q:\Abteilungsprojekte\Eng\EngData\PROJECT_Bioplastics\Renjie_Pan\05-Raw_Data\Lab_results\[LabSamples2025_Bioplastic_extra.xlsx]extra_Bioplastic'!E440)," ",'Q:\Abteilungsprojekte\Eng\EngData\PROJECT_Bioplastics\Renjie_Pan\05-Raw_Data\Lab_results\[LabSamples2025_Bioplastic_extra.xlsx]extra_Bioplastic'!E440)</f>
        <v/>
      </c>
      <c r="F440">
        <f>IF(ISBLANK('Q:\Abteilungsprojekte\Eng\EngData\PROJECT_Bioplastics\Renjie_Pan\05-Raw_Data\Lab_results\[LabSamples2025_Bioplastic_extra.xlsx]extra_Bioplastic'!F440)," ",'Q:\Abteilungsprojekte\Eng\EngData\PROJECT_Bioplastics\Renjie_Pan\05-Raw_Data\Lab_results\[LabSamples2025_Bioplastic_extra.xlsx]extra_Bioplastic'!F440)</f>
        <v/>
      </c>
      <c r="G440">
        <f>IF(ISBLANK('Q:\Abteilungsprojekte\Eng\EngData\PROJECT_Bioplastics\Renjie_Pan\05-Raw_Data\Lab_results\[LabSamples2025_Bioplastic_extra.xlsx]extra_Bioplastic'!G440)," ",'Q:\Abteilungsprojekte\Eng\EngData\PROJECT_Bioplastics\Renjie_Pan\05-Raw_Data\Lab_results\[LabSamples2025_Bioplastic_extra.xlsx]extra_Bioplastic'!G440)</f>
        <v/>
      </c>
      <c r="H440">
        <f>IF(ISBLANK('Q:\Abteilungsprojekte\Eng\EngData\PROJECT_Bioplastics\Renjie_Pan\05-Raw_Data\Lab_results\[LabSamples2025_Bioplastic_extra.xlsx]extra_Bioplastic'!H440)," ",'Q:\Abteilungsprojekte\Eng\EngData\PROJECT_Bioplastics\Renjie_Pan\05-Raw_Data\Lab_results\[LabSamples2025_Bioplastic_extra.xlsx]extra_Bioplastic'!H440)</f>
        <v/>
      </c>
    </row>
    <row r="441">
      <c r="A441">
        <f>IF(ISBLANK('Q:\Abteilungsprojekte\Eng\EngData\PROJECT_Bioplastics\Renjie_Pan\05-Raw_Data\Lab_results\[LabSamples2025_Bioplastic_extra.xlsx]extra_Bioplastic'!A441)," ",'Q:\Abteilungsprojekte\Eng\EngData\PROJECT_Bioplastics\Renjie_Pan\05-Raw_Data\Lab_results\[LabSamples2025_Bioplastic_extra.xlsx]extra_Bioplastic'!A441)</f>
        <v/>
      </c>
      <c r="B441">
        <f>IF(ISBLANK('Q:\Abteilungsprojekte\Eng\EngData\PROJECT_Bioplastics\Renjie_Pan\05-Raw_Data\Lab_results\[LabSamples2025_Bioplastic_extra.xlsx]extra_Bioplastic'!B441)," ",'Q:\Abteilungsprojekte\Eng\EngData\PROJECT_Bioplastics\Renjie_Pan\05-Raw_Data\Lab_results\[LabSamples2025_Bioplastic_extra.xlsx]extra_Bioplastic'!B441)</f>
        <v/>
      </c>
      <c r="C441">
        <f>IF(ISBLANK('Q:\Abteilungsprojekte\Eng\EngData\PROJECT_Bioplastics\Renjie_Pan\05-Raw_Data\Lab_results\[LabSamples2025_Bioplastic_extra.xlsx]extra_Bioplastic'!C441)," ",'Q:\Abteilungsprojekte\Eng\EngData\PROJECT_Bioplastics\Renjie_Pan\05-Raw_Data\Lab_results\[LabSamples2025_Bioplastic_extra.xlsx]extra_Bioplastic'!C441)</f>
        <v/>
      </c>
      <c r="D441">
        <f>IF(ISBLANK('Q:\Abteilungsprojekte\Eng\EngData\PROJECT_Bioplastics\Renjie_Pan\05-Raw_Data\Lab_results\[LabSamples2025_Bioplastic_extra.xlsx]extra_Bioplastic'!D441)," ",'Q:\Abteilungsprojekte\Eng\EngData\PROJECT_Bioplastics\Renjie_Pan\05-Raw_Data\Lab_results\[LabSamples2025_Bioplastic_extra.xlsx]extra_Bioplastic'!D441)</f>
        <v/>
      </c>
      <c r="E441">
        <f>IF(ISBLANK('Q:\Abteilungsprojekte\Eng\EngData\PROJECT_Bioplastics\Renjie_Pan\05-Raw_Data\Lab_results\[LabSamples2025_Bioplastic_extra.xlsx]extra_Bioplastic'!E441)," ",'Q:\Abteilungsprojekte\Eng\EngData\PROJECT_Bioplastics\Renjie_Pan\05-Raw_Data\Lab_results\[LabSamples2025_Bioplastic_extra.xlsx]extra_Bioplastic'!E441)</f>
        <v/>
      </c>
      <c r="F441">
        <f>IF(ISBLANK('Q:\Abteilungsprojekte\Eng\EngData\PROJECT_Bioplastics\Renjie_Pan\05-Raw_Data\Lab_results\[LabSamples2025_Bioplastic_extra.xlsx]extra_Bioplastic'!F441)," ",'Q:\Abteilungsprojekte\Eng\EngData\PROJECT_Bioplastics\Renjie_Pan\05-Raw_Data\Lab_results\[LabSamples2025_Bioplastic_extra.xlsx]extra_Bioplastic'!F441)</f>
        <v/>
      </c>
      <c r="G441">
        <f>IF(ISBLANK('Q:\Abteilungsprojekte\Eng\EngData\PROJECT_Bioplastics\Renjie_Pan\05-Raw_Data\Lab_results\[LabSamples2025_Bioplastic_extra.xlsx]extra_Bioplastic'!G441)," ",'Q:\Abteilungsprojekte\Eng\EngData\PROJECT_Bioplastics\Renjie_Pan\05-Raw_Data\Lab_results\[LabSamples2025_Bioplastic_extra.xlsx]extra_Bioplastic'!G441)</f>
        <v/>
      </c>
      <c r="H441">
        <f>IF(ISBLANK('Q:\Abteilungsprojekte\Eng\EngData\PROJECT_Bioplastics\Renjie_Pan\05-Raw_Data\Lab_results\[LabSamples2025_Bioplastic_extra.xlsx]extra_Bioplastic'!H441)," ",'Q:\Abteilungsprojekte\Eng\EngData\PROJECT_Bioplastics\Renjie_Pan\05-Raw_Data\Lab_results\[LabSamples2025_Bioplastic_extra.xlsx]extra_Bioplastic'!H441)</f>
        <v/>
      </c>
    </row>
    <row r="442">
      <c r="A442">
        <f>IF(ISBLANK('Q:\Abteilungsprojekte\Eng\EngData\PROJECT_Bioplastics\Renjie_Pan\05-Raw_Data\Lab_results\[LabSamples2025_Bioplastic_extra.xlsx]extra_Bioplastic'!A442)," ",'Q:\Abteilungsprojekte\Eng\EngData\PROJECT_Bioplastics\Renjie_Pan\05-Raw_Data\Lab_results\[LabSamples2025_Bioplastic_extra.xlsx]extra_Bioplastic'!A442)</f>
        <v/>
      </c>
      <c r="B442">
        <f>IF(ISBLANK('Q:\Abteilungsprojekte\Eng\EngData\PROJECT_Bioplastics\Renjie_Pan\05-Raw_Data\Lab_results\[LabSamples2025_Bioplastic_extra.xlsx]extra_Bioplastic'!B442)," ",'Q:\Abteilungsprojekte\Eng\EngData\PROJECT_Bioplastics\Renjie_Pan\05-Raw_Data\Lab_results\[LabSamples2025_Bioplastic_extra.xlsx]extra_Bioplastic'!B442)</f>
        <v/>
      </c>
      <c r="C442">
        <f>IF(ISBLANK('Q:\Abteilungsprojekte\Eng\EngData\PROJECT_Bioplastics\Renjie_Pan\05-Raw_Data\Lab_results\[LabSamples2025_Bioplastic_extra.xlsx]extra_Bioplastic'!C442)," ",'Q:\Abteilungsprojekte\Eng\EngData\PROJECT_Bioplastics\Renjie_Pan\05-Raw_Data\Lab_results\[LabSamples2025_Bioplastic_extra.xlsx]extra_Bioplastic'!C442)</f>
        <v/>
      </c>
      <c r="D442">
        <f>IF(ISBLANK('Q:\Abteilungsprojekte\Eng\EngData\PROJECT_Bioplastics\Renjie_Pan\05-Raw_Data\Lab_results\[LabSamples2025_Bioplastic_extra.xlsx]extra_Bioplastic'!D442)," ",'Q:\Abteilungsprojekte\Eng\EngData\PROJECT_Bioplastics\Renjie_Pan\05-Raw_Data\Lab_results\[LabSamples2025_Bioplastic_extra.xlsx]extra_Bioplastic'!D442)</f>
        <v/>
      </c>
      <c r="E442">
        <f>IF(ISBLANK('Q:\Abteilungsprojekte\Eng\EngData\PROJECT_Bioplastics\Renjie_Pan\05-Raw_Data\Lab_results\[LabSamples2025_Bioplastic_extra.xlsx]extra_Bioplastic'!E442)," ",'Q:\Abteilungsprojekte\Eng\EngData\PROJECT_Bioplastics\Renjie_Pan\05-Raw_Data\Lab_results\[LabSamples2025_Bioplastic_extra.xlsx]extra_Bioplastic'!E442)</f>
        <v/>
      </c>
      <c r="F442">
        <f>IF(ISBLANK('Q:\Abteilungsprojekte\Eng\EngData\PROJECT_Bioplastics\Renjie_Pan\05-Raw_Data\Lab_results\[LabSamples2025_Bioplastic_extra.xlsx]extra_Bioplastic'!F442)," ",'Q:\Abteilungsprojekte\Eng\EngData\PROJECT_Bioplastics\Renjie_Pan\05-Raw_Data\Lab_results\[LabSamples2025_Bioplastic_extra.xlsx]extra_Bioplastic'!F442)</f>
        <v/>
      </c>
      <c r="G442">
        <f>IF(ISBLANK('Q:\Abteilungsprojekte\Eng\EngData\PROJECT_Bioplastics\Renjie_Pan\05-Raw_Data\Lab_results\[LabSamples2025_Bioplastic_extra.xlsx]extra_Bioplastic'!G442)," ",'Q:\Abteilungsprojekte\Eng\EngData\PROJECT_Bioplastics\Renjie_Pan\05-Raw_Data\Lab_results\[LabSamples2025_Bioplastic_extra.xlsx]extra_Bioplastic'!G442)</f>
        <v/>
      </c>
      <c r="H442">
        <f>IF(ISBLANK('Q:\Abteilungsprojekte\Eng\EngData\PROJECT_Bioplastics\Renjie_Pan\05-Raw_Data\Lab_results\[LabSamples2025_Bioplastic_extra.xlsx]extra_Bioplastic'!H442)," ",'Q:\Abteilungsprojekte\Eng\EngData\PROJECT_Bioplastics\Renjie_Pan\05-Raw_Data\Lab_results\[LabSamples2025_Bioplastic_extra.xlsx]extra_Bioplastic'!H442)</f>
        <v/>
      </c>
    </row>
    <row r="443">
      <c r="A443">
        <f>IF(ISBLANK('Q:\Abteilungsprojekte\Eng\EngData\PROJECT_Bioplastics\Renjie_Pan\05-Raw_Data\Lab_results\[LabSamples2025_Bioplastic_extra.xlsx]extra_Bioplastic'!A443)," ",'Q:\Abteilungsprojekte\Eng\EngData\PROJECT_Bioplastics\Renjie_Pan\05-Raw_Data\Lab_results\[LabSamples2025_Bioplastic_extra.xlsx]extra_Bioplastic'!A443)</f>
        <v/>
      </c>
      <c r="B443">
        <f>IF(ISBLANK('Q:\Abteilungsprojekte\Eng\EngData\PROJECT_Bioplastics\Renjie_Pan\05-Raw_Data\Lab_results\[LabSamples2025_Bioplastic_extra.xlsx]extra_Bioplastic'!B443)," ",'Q:\Abteilungsprojekte\Eng\EngData\PROJECT_Bioplastics\Renjie_Pan\05-Raw_Data\Lab_results\[LabSamples2025_Bioplastic_extra.xlsx]extra_Bioplastic'!B443)</f>
        <v/>
      </c>
      <c r="C443">
        <f>IF(ISBLANK('Q:\Abteilungsprojekte\Eng\EngData\PROJECT_Bioplastics\Renjie_Pan\05-Raw_Data\Lab_results\[LabSamples2025_Bioplastic_extra.xlsx]extra_Bioplastic'!C443)," ",'Q:\Abteilungsprojekte\Eng\EngData\PROJECT_Bioplastics\Renjie_Pan\05-Raw_Data\Lab_results\[LabSamples2025_Bioplastic_extra.xlsx]extra_Bioplastic'!C443)</f>
        <v/>
      </c>
      <c r="D443">
        <f>IF(ISBLANK('Q:\Abteilungsprojekte\Eng\EngData\PROJECT_Bioplastics\Renjie_Pan\05-Raw_Data\Lab_results\[LabSamples2025_Bioplastic_extra.xlsx]extra_Bioplastic'!D443)," ",'Q:\Abteilungsprojekte\Eng\EngData\PROJECT_Bioplastics\Renjie_Pan\05-Raw_Data\Lab_results\[LabSamples2025_Bioplastic_extra.xlsx]extra_Bioplastic'!D443)</f>
        <v/>
      </c>
      <c r="E443">
        <f>IF(ISBLANK('Q:\Abteilungsprojekte\Eng\EngData\PROJECT_Bioplastics\Renjie_Pan\05-Raw_Data\Lab_results\[LabSamples2025_Bioplastic_extra.xlsx]extra_Bioplastic'!E443)," ",'Q:\Abteilungsprojekte\Eng\EngData\PROJECT_Bioplastics\Renjie_Pan\05-Raw_Data\Lab_results\[LabSamples2025_Bioplastic_extra.xlsx]extra_Bioplastic'!E443)</f>
        <v/>
      </c>
      <c r="F443">
        <f>IF(ISBLANK('Q:\Abteilungsprojekte\Eng\EngData\PROJECT_Bioplastics\Renjie_Pan\05-Raw_Data\Lab_results\[LabSamples2025_Bioplastic_extra.xlsx]extra_Bioplastic'!F443)," ",'Q:\Abteilungsprojekte\Eng\EngData\PROJECT_Bioplastics\Renjie_Pan\05-Raw_Data\Lab_results\[LabSamples2025_Bioplastic_extra.xlsx]extra_Bioplastic'!F443)</f>
        <v/>
      </c>
      <c r="G443">
        <f>IF(ISBLANK('Q:\Abteilungsprojekte\Eng\EngData\PROJECT_Bioplastics\Renjie_Pan\05-Raw_Data\Lab_results\[LabSamples2025_Bioplastic_extra.xlsx]extra_Bioplastic'!G443)," ",'Q:\Abteilungsprojekte\Eng\EngData\PROJECT_Bioplastics\Renjie_Pan\05-Raw_Data\Lab_results\[LabSamples2025_Bioplastic_extra.xlsx]extra_Bioplastic'!G443)</f>
        <v/>
      </c>
      <c r="H443">
        <f>IF(ISBLANK('Q:\Abteilungsprojekte\Eng\EngData\PROJECT_Bioplastics\Renjie_Pan\05-Raw_Data\Lab_results\[LabSamples2025_Bioplastic_extra.xlsx]extra_Bioplastic'!H443)," ",'Q:\Abteilungsprojekte\Eng\EngData\PROJECT_Bioplastics\Renjie_Pan\05-Raw_Data\Lab_results\[LabSamples2025_Bioplastic_extra.xlsx]extra_Bioplastic'!H443)</f>
        <v/>
      </c>
    </row>
    <row r="444">
      <c r="A444">
        <f>IF(ISBLANK('Q:\Abteilungsprojekte\Eng\EngData\PROJECT_Bioplastics\Renjie_Pan\05-Raw_Data\Lab_results\[LabSamples2025_Bioplastic_extra.xlsx]extra_Bioplastic'!A444)," ",'Q:\Abteilungsprojekte\Eng\EngData\PROJECT_Bioplastics\Renjie_Pan\05-Raw_Data\Lab_results\[LabSamples2025_Bioplastic_extra.xlsx]extra_Bioplastic'!A444)</f>
        <v/>
      </c>
      <c r="B444">
        <f>IF(ISBLANK('Q:\Abteilungsprojekte\Eng\EngData\PROJECT_Bioplastics\Renjie_Pan\05-Raw_Data\Lab_results\[LabSamples2025_Bioplastic_extra.xlsx]extra_Bioplastic'!B444)," ",'Q:\Abteilungsprojekte\Eng\EngData\PROJECT_Bioplastics\Renjie_Pan\05-Raw_Data\Lab_results\[LabSamples2025_Bioplastic_extra.xlsx]extra_Bioplastic'!B444)</f>
        <v/>
      </c>
      <c r="C444">
        <f>IF(ISBLANK('Q:\Abteilungsprojekte\Eng\EngData\PROJECT_Bioplastics\Renjie_Pan\05-Raw_Data\Lab_results\[LabSamples2025_Bioplastic_extra.xlsx]extra_Bioplastic'!C444)," ",'Q:\Abteilungsprojekte\Eng\EngData\PROJECT_Bioplastics\Renjie_Pan\05-Raw_Data\Lab_results\[LabSamples2025_Bioplastic_extra.xlsx]extra_Bioplastic'!C444)</f>
        <v/>
      </c>
      <c r="D444">
        <f>IF(ISBLANK('Q:\Abteilungsprojekte\Eng\EngData\PROJECT_Bioplastics\Renjie_Pan\05-Raw_Data\Lab_results\[LabSamples2025_Bioplastic_extra.xlsx]extra_Bioplastic'!D444)," ",'Q:\Abteilungsprojekte\Eng\EngData\PROJECT_Bioplastics\Renjie_Pan\05-Raw_Data\Lab_results\[LabSamples2025_Bioplastic_extra.xlsx]extra_Bioplastic'!D444)</f>
        <v/>
      </c>
      <c r="E444">
        <f>IF(ISBLANK('Q:\Abteilungsprojekte\Eng\EngData\PROJECT_Bioplastics\Renjie_Pan\05-Raw_Data\Lab_results\[LabSamples2025_Bioplastic_extra.xlsx]extra_Bioplastic'!E444)," ",'Q:\Abteilungsprojekte\Eng\EngData\PROJECT_Bioplastics\Renjie_Pan\05-Raw_Data\Lab_results\[LabSamples2025_Bioplastic_extra.xlsx]extra_Bioplastic'!E444)</f>
        <v/>
      </c>
      <c r="F444">
        <f>IF(ISBLANK('Q:\Abteilungsprojekte\Eng\EngData\PROJECT_Bioplastics\Renjie_Pan\05-Raw_Data\Lab_results\[LabSamples2025_Bioplastic_extra.xlsx]extra_Bioplastic'!F444)," ",'Q:\Abteilungsprojekte\Eng\EngData\PROJECT_Bioplastics\Renjie_Pan\05-Raw_Data\Lab_results\[LabSamples2025_Bioplastic_extra.xlsx]extra_Bioplastic'!F444)</f>
        <v/>
      </c>
      <c r="G444">
        <f>IF(ISBLANK('Q:\Abteilungsprojekte\Eng\EngData\PROJECT_Bioplastics\Renjie_Pan\05-Raw_Data\Lab_results\[LabSamples2025_Bioplastic_extra.xlsx]extra_Bioplastic'!G444)," ",'Q:\Abteilungsprojekte\Eng\EngData\PROJECT_Bioplastics\Renjie_Pan\05-Raw_Data\Lab_results\[LabSamples2025_Bioplastic_extra.xlsx]extra_Bioplastic'!G444)</f>
        <v/>
      </c>
      <c r="H444">
        <f>IF(ISBLANK('Q:\Abteilungsprojekte\Eng\EngData\PROJECT_Bioplastics\Renjie_Pan\05-Raw_Data\Lab_results\[LabSamples2025_Bioplastic_extra.xlsx]extra_Bioplastic'!H444)," ",'Q:\Abteilungsprojekte\Eng\EngData\PROJECT_Bioplastics\Renjie_Pan\05-Raw_Data\Lab_results\[LabSamples2025_Bioplastic_extra.xlsx]extra_Bioplastic'!H444)</f>
        <v/>
      </c>
    </row>
    <row r="445">
      <c r="A445">
        <f>IF(ISBLANK('Q:\Abteilungsprojekte\Eng\EngData\PROJECT_Bioplastics\Renjie_Pan\05-Raw_Data\Lab_results\[LabSamples2025_Bioplastic_extra.xlsx]extra_Bioplastic'!A445)," ",'Q:\Abteilungsprojekte\Eng\EngData\PROJECT_Bioplastics\Renjie_Pan\05-Raw_Data\Lab_results\[LabSamples2025_Bioplastic_extra.xlsx]extra_Bioplastic'!A445)</f>
        <v/>
      </c>
      <c r="B445">
        <f>IF(ISBLANK('Q:\Abteilungsprojekte\Eng\EngData\PROJECT_Bioplastics\Renjie_Pan\05-Raw_Data\Lab_results\[LabSamples2025_Bioplastic_extra.xlsx]extra_Bioplastic'!B445)," ",'Q:\Abteilungsprojekte\Eng\EngData\PROJECT_Bioplastics\Renjie_Pan\05-Raw_Data\Lab_results\[LabSamples2025_Bioplastic_extra.xlsx]extra_Bioplastic'!B445)</f>
        <v/>
      </c>
      <c r="C445">
        <f>IF(ISBLANK('Q:\Abteilungsprojekte\Eng\EngData\PROJECT_Bioplastics\Renjie_Pan\05-Raw_Data\Lab_results\[LabSamples2025_Bioplastic_extra.xlsx]extra_Bioplastic'!C445)," ",'Q:\Abteilungsprojekte\Eng\EngData\PROJECT_Bioplastics\Renjie_Pan\05-Raw_Data\Lab_results\[LabSamples2025_Bioplastic_extra.xlsx]extra_Bioplastic'!C445)</f>
        <v/>
      </c>
      <c r="D445">
        <f>IF(ISBLANK('Q:\Abteilungsprojekte\Eng\EngData\PROJECT_Bioplastics\Renjie_Pan\05-Raw_Data\Lab_results\[LabSamples2025_Bioplastic_extra.xlsx]extra_Bioplastic'!D445)," ",'Q:\Abteilungsprojekte\Eng\EngData\PROJECT_Bioplastics\Renjie_Pan\05-Raw_Data\Lab_results\[LabSamples2025_Bioplastic_extra.xlsx]extra_Bioplastic'!D445)</f>
        <v/>
      </c>
      <c r="E445">
        <f>IF(ISBLANK('Q:\Abteilungsprojekte\Eng\EngData\PROJECT_Bioplastics\Renjie_Pan\05-Raw_Data\Lab_results\[LabSamples2025_Bioplastic_extra.xlsx]extra_Bioplastic'!E445)," ",'Q:\Abteilungsprojekte\Eng\EngData\PROJECT_Bioplastics\Renjie_Pan\05-Raw_Data\Lab_results\[LabSamples2025_Bioplastic_extra.xlsx]extra_Bioplastic'!E445)</f>
        <v/>
      </c>
      <c r="F445">
        <f>IF(ISBLANK('Q:\Abteilungsprojekte\Eng\EngData\PROJECT_Bioplastics\Renjie_Pan\05-Raw_Data\Lab_results\[LabSamples2025_Bioplastic_extra.xlsx]extra_Bioplastic'!F445)," ",'Q:\Abteilungsprojekte\Eng\EngData\PROJECT_Bioplastics\Renjie_Pan\05-Raw_Data\Lab_results\[LabSamples2025_Bioplastic_extra.xlsx]extra_Bioplastic'!F445)</f>
        <v/>
      </c>
      <c r="G445">
        <f>IF(ISBLANK('Q:\Abteilungsprojekte\Eng\EngData\PROJECT_Bioplastics\Renjie_Pan\05-Raw_Data\Lab_results\[LabSamples2025_Bioplastic_extra.xlsx]extra_Bioplastic'!G445)," ",'Q:\Abteilungsprojekte\Eng\EngData\PROJECT_Bioplastics\Renjie_Pan\05-Raw_Data\Lab_results\[LabSamples2025_Bioplastic_extra.xlsx]extra_Bioplastic'!G445)</f>
        <v/>
      </c>
      <c r="H445">
        <f>IF(ISBLANK('Q:\Abteilungsprojekte\Eng\EngData\PROJECT_Bioplastics\Renjie_Pan\05-Raw_Data\Lab_results\[LabSamples2025_Bioplastic_extra.xlsx]extra_Bioplastic'!H445)," ",'Q:\Abteilungsprojekte\Eng\EngData\PROJECT_Bioplastics\Renjie_Pan\05-Raw_Data\Lab_results\[LabSamples2025_Bioplastic_extra.xlsx]extra_Bioplastic'!H445)</f>
        <v/>
      </c>
    </row>
    <row r="446">
      <c r="A446">
        <f>IF(ISBLANK('Q:\Abteilungsprojekte\Eng\EngData\PROJECT_Bioplastics\Renjie_Pan\05-Raw_Data\Lab_results\[LabSamples2025_Bioplastic_extra.xlsx]extra_Bioplastic'!A446)," ",'Q:\Abteilungsprojekte\Eng\EngData\PROJECT_Bioplastics\Renjie_Pan\05-Raw_Data\Lab_results\[LabSamples2025_Bioplastic_extra.xlsx]extra_Bioplastic'!A446)</f>
        <v/>
      </c>
      <c r="B446">
        <f>IF(ISBLANK('Q:\Abteilungsprojekte\Eng\EngData\PROJECT_Bioplastics\Renjie_Pan\05-Raw_Data\Lab_results\[LabSamples2025_Bioplastic_extra.xlsx]extra_Bioplastic'!B446)," ",'Q:\Abteilungsprojekte\Eng\EngData\PROJECT_Bioplastics\Renjie_Pan\05-Raw_Data\Lab_results\[LabSamples2025_Bioplastic_extra.xlsx]extra_Bioplastic'!B446)</f>
        <v/>
      </c>
      <c r="C446">
        <f>IF(ISBLANK('Q:\Abteilungsprojekte\Eng\EngData\PROJECT_Bioplastics\Renjie_Pan\05-Raw_Data\Lab_results\[LabSamples2025_Bioplastic_extra.xlsx]extra_Bioplastic'!C446)," ",'Q:\Abteilungsprojekte\Eng\EngData\PROJECT_Bioplastics\Renjie_Pan\05-Raw_Data\Lab_results\[LabSamples2025_Bioplastic_extra.xlsx]extra_Bioplastic'!C446)</f>
        <v/>
      </c>
      <c r="D446">
        <f>IF(ISBLANK('Q:\Abteilungsprojekte\Eng\EngData\PROJECT_Bioplastics\Renjie_Pan\05-Raw_Data\Lab_results\[LabSamples2025_Bioplastic_extra.xlsx]extra_Bioplastic'!D446)," ",'Q:\Abteilungsprojekte\Eng\EngData\PROJECT_Bioplastics\Renjie_Pan\05-Raw_Data\Lab_results\[LabSamples2025_Bioplastic_extra.xlsx]extra_Bioplastic'!D446)</f>
        <v/>
      </c>
      <c r="E446">
        <f>IF(ISBLANK('Q:\Abteilungsprojekte\Eng\EngData\PROJECT_Bioplastics\Renjie_Pan\05-Raw_Data\Lab_results\[LabSamples2025_Bioplastic_extra.xlsx]extra_Bioplastic'!E446)," ",'Q:\Abteilungsprojekte\Eng\EngData\PROJECT_Bioplastics\Renjie_Pan\05-Raw_Data\Lab_results\[LabSamples2025_Bioplastic_extra.xlsx]extra_Bioplastic'!E446)</f>
        <v/>
      </c>
      <c r="F446">
        <f>IF(ISBLANK('Q:\Abteilungsprojekte\Eng\EngData\PROJECT_Bioplastics\Renjie_Pan\05-Raw_Data\Lab_results\[LabSamples2025_Bioplastic_extra.xlsx]extra_Bioplastic'!F446)," ",'Q:\Abteilungsprojekte\Eng\EngData\PROJECT_Bioplastics\Renjie_Pan\05-Raw_Data\Lab_results\[LabSamples2025_Bioplastic_extra.xlsx]extra_Bioplastic'!F446)</f>
        <v/>
      </c>
      <c r="G446">
        <f>IF(ISBLANK('Q:\Abteilungsprojekte\Eng\EngData\PROJECT_Bioplastics\Renjie_Pan\05-Raw_Data\Lab_results\[LabSamples2025_Bioplastic_extra.xlsx]extra_Bioplastic'!G446)," ",'Q:\Abteilungsprojekte\Eng\EngData\PROJECT_Bioplastics\Renjie_Pan\05-Raw_Data\Lab_results\[LabSamples2025_Bioplastic_extra.xlsx]extra_Bioplastic'!G446)</f>
        <v/>
      </c>
      <c r="H446">
        <f>IF(ISBLANK('Q:\Abteilungsprojekte\Eng\EngData\PROJECT_Bioplastics\Renjie_Pan\05-Raw_Data\Lab_results\[LabSamples2025_Bioplastic_extra.xlsx]extra_Bioplastic'!H446)," ",'Q:\Abteilungsprojekte\Eng\EngData\PROJECT_Bioplastics\Renjie_Pan\05-Raw_Data\Lab_results\[LabSamples2025_Bioplastic_extra.xlsx]extra_Bioplastic'!H446)</f>
        <v/>
      </c>
    </row>
    <row r="447">
      <c r="A447">
        <f>IF(ISBLANK('Q:\Abteilungsprojekte\Eng\EngData\PROJECT_Bioplastics\Renjie_Pan\05-Raw_Data\Lab_results\[LabSamples2025_Bioplastic_extra.xlsx]extra_Bioplastic'!A447)," ",'Q:\Abteilungsprojekte\Eng\EngData\PROJECT_Bioplastics\Renjie_Pan\05-Raw_Data\Lab_results\[LabSamples2025_Bioplastic_extra.xlsx]extra_Bioplastic'!A447)</f>
        <v/>
      </c>
      <c r="B447">
        <f>IF(ISBLANK('Q:\Abteilungsprojekte\Eng\EngData\PROJECT_Bioplastics\Renjie_Pan\05-Raw_Data\Lab_results\[LabSamples2025_Bioplastic_extra.xlsx]extra_Bioplastic'!B447)," ",'Q:\Abteilungsprojekte\Eng\EngData\PROJECT_Bioplastics\Renjie_Pan\05-Raw_Data\Lab_results\[LabSamples2025_Bioplastic_extra.xlsx]extra_Bioplastic'!B447)</f>
        <v/>
      </c>
      <c r="C447">
        <f>IF(ISBLANK('Q:\Abteilungsprojekte\Eng\EngData\PROJECT_Bioplastics\Renjie_Pan\05-Raw_Data\Lab_results\[LabSamples2025_Bioplastic_extra.xlsx]extra_Bioplastic'!C447)," ",'Q:\Abteilungsprojekte\Eng\EngData\PROJECT_Bioplastics\Renjie_Pan\05-Raw_Data\Lab_results\[LabSamples2025_Bioplastic_extra.xlsx]extra_Bioplastic'!C447)</f>
        <v/>
      </c>
      <c r="D447">
        <f>IF(ISBLANK('Q:\Abteilungsprojekte\Eng\EngData\PROJECT_Bioplastics\Renjie_Pan\05-Raw_Data\Lab_results\[LabSamples2025_Bioplastic_extra.xlsx]extra_Bioplastic'!D447)," ",'Q:\Abteilungsprojekte\Eng\EngData\PROJECT_Bioplastics\Renjie_Pan\05-Raw_Data\Lab_results\[LabSamples2025_Bioplastic_extra.xlsx]extra_Bioplastic'!D447)</f>
        <v/>
      </c>
      <c r="E447">
        <f>IF(ISBLANK('Q:\Abteilungsprojekte\Eng\EngData\PROJECT_Bioplastics\Renjie_Pan\05-Raw_Data\Lab_results\[LabSamples2025_Bioplastic_extra.xlsx]extra_Bioplastic'!E447)," ",'Q:\Abteilungsprojekte\Eng\EngData\PROJECT_Bioplastics\Renjie_Pan\05-Raw_Data\Lab_results\[LabSamples2025_Bioplastic_extra.xlsx]extra_Bioplastic'!E447)</f>
        <v/>
      </c>
      <c r="F447">
        <f>IF(ISBLANK('Q:\Abteilungsprojekte\Eng\EngData\PROJECT_Bioplastics\Renjie_Pan\05-Raw_Data\Lab_results\[LabSamples2025_Bioplastic_extra.xlsx]extra_Bioplastic'!F447)," ",'Q:\Abteilungsprojekte\Eng\EngData\PROJECT_Bioplastics\Renjie_Pan\05-Raw_Data\Lab_results\[LabSamples2025_Bioplastic_extra.xlsx]extra_Bioplastic'!F447)</f>
        <v/>
      </c>
      <c r="G447">
        <f>IF(ISBLANK('Q:\Abteilungsprojekte\Eng\EngData\PROJECT_Bioplastics\Renjie_Pan\05-Raw_Data\Lab_results\[LabSamples2025_Bioplastic_extra.xlsx]extra_Bioplastic'!G447)," ",'Q:\Abteilungsprojekte\Eng\EngData\PROJECT_Bioplastics\Renjie_Pan\05-Raw_Data\Lab_results\[LabSamples2025_Bioplastic_extra.xlsx]extra_Bioplastic'!G447)</f>
        <v/>
      </c>
      <c r="H447">
        <f>IF(ISBLANK('Q:\Abteilungsprojekte\Eng\EngData\PROJECT_Bioplastics\Renjie_Pan\05-Raw_Data\Lab_results\[LabSamples2025_Bioplastic_extra.xlsx]extra_Bioplastic'!H447)," ",'Q:\Abteilungsprojekte\Eng\EngData\PROJECT_Bioplastics\Renjie_Pan\05-Raw_Data\Lab_results\[LabSamples2025_Bioplastic_extra.xlsx]extra_Bioplastic'!H447)</f>
        <v/>
      </c>
    </row>
    <row r="448">
      <c r="A448">
        <f>IF(ISBLANK('Q:\Abteilungsprojekte\Eng\EngData\PROJECT_Bioplastics\Renjie_Pan\05-Raw_Data\Lab_results\[LabSamples2025_Bioplastic_extra.xlsx]extra_Bioplastic'!A448)," ",'Q:\Abteilungsprojekte\Eng\EngData\PROJECT_Bioplastics\Renjie_Pan\05-Raw_Data\Lab_results\[LabSamples2025_Bioplastic_extra.xlsx]extra_Bioplastic'!A448)</f>
        <v/>
      </c>
      <c r="B448">
        <f>IF(ISBLANK('Q:\Abteilungsprojekte\Eng\EngData\PROJECT_Bioplastics\Renjie_Pan\05-Raw_Data\Lab_results\[LabSamples2025_Bioplastic_extra.xlsx]extra_Bioplastic'!B448)," ",'Q:\Abteilungsprojekte\Eng\EngData\PROJECT_Bioplastics\Renjie_Pan\05-Raw_Data\Lab_results\[LabSamples2025_Bioplastic_extra.xlsx]extra_Bioplastic'!B448)</f>
        <v/>
      </c>
      <c r="C448">
        <f>IF(ISBLANK('Q:\Abteilungsprojekte\Eng\EngData\PROJECT_Bioplastics\Renjie_Pan\05-Raw_Data\Lab_results\[LabSamples2025_Bioplastic_extra.xlsx]extra_Bioplastic'!C448)," ",'Q:\Abteilungsprojekte\Eng\EngData\PROJECT_Bioplastics\Renjie_Pan\05-Raw_Data\Lab_results\[LabSamples2025_Bioplastic_extra.xlsx]extra_Bioplastic'!C448)</f>
        <v/>
      </c>
      <c r="D448">
        <f>IF(ISBLANK('Q:\Abteilungsprojekte\Eng\EngData\PROJECT_Bioplastics\Renjie_Pan\05-Raw_Data\Lab_results\[LabSamples2025_Bioplastic_extra.xlsx]extra_Bioplastic'!D448)," ",'Q:\Abteilungsprojekte\Eng\EngData\PROJECT_Bioplastics\Renjie_Pan\05-Raw_Data\Lab_results\[LabSamples2025_Bioplastic_extra.xlsx]extra_Bioplastic'!D448)</f>
        <v/>
      </c>
      <c r="E448">
        <f>IF(ISBLANK('Q:\Abteilungsprojekte\Eng\EngData\PROJECT_Bioplastics\Renjie_Pan\05-Raw_Data\Lab_results\[LabSamples2025_Bioplastic_extra.xlsx]extra_Bioplastic'!E448)," ",'Q:\Abteilungsprojekte\Eng\EngData\PROJECT_Bioplastics\Renjie_Pan\05-Raw_Data\Lab_results\[LabSamples2025_Bioplastic_extra.xlsx]extra_Bioplastic'!E448)</f>
        <v/>
      </c>
      <c r="F448">
        <f>IF(ISBLANK('Q:\Abteilungsprojekte\Eng\EngData\PROJECT_Bioplastics\Renjie_Pan\05-Raw_Data\Lab_results\[LabSamples2025_Bioplastic_extra.xlsx]extra_Bioplastic'!F448)," ",'Q:\Abteilungsprojekte\Eng\EngData\PROJECT_Bioplastics\Renjie_Pan\05-Raw_Data\Lab_results\[LabSamples2025_Bioplastic_extra.xlsx]extra_Bioplastic'!F448)</f>
        <v/>
      </c>
      <c r="G448">
        <f>IF(ISBLANK('Q:\Abteilungsprojekte\Eng\EngData\PROJECT_Bioplastics\Renjie_Pan\05-Raw_Data\Lab_results\[LabSamples2025_Bioplastic_extra.xlsx]extra_Bioplastic'!G448)," ",'Q:\Abteilungsprojekte\Eng\EngData\PROJECT_Bioplastics\Renjie_Pan\05-Raw_Data\Lab_results\[LabSamples2025_Bioplastic_extra.xlsx]extra_Bioplastic'!G448)</f>
        <v/>
      </c>
      <c r="H448">
        <f>IF(ISBLANK('Q:\Abteilungsprojekte\Eng\EngData\PROJECT_Bioplastics\Renjie_Pan\05-Raw_Data\Lab_results\[LabSamples2025_Bioplastic_extra.xlsx]extra_Bioplastic'!H448)," ",'Q:\Abteilungsprojekte\Eng\EngData\PROJECT_Bioplastics\Renjie_Pan\05-Raw_Data\Lab_results\[LabSamples2025_Bioplastic_extra.xlsx]extra_Bioplastic'!H448)</f>
        <v/>
      </c>
    </row>
    <row r="449">
      <c r="A449">
        <f>IF(ISBLANK('Q:\Abteilungsprojekte\Eng\EngData\PROJECT_Bioplastics\Renjie_Pan\05-Raw_Data\Lab_results\[LabSamples2025_Bioplastic_extra.xlsx]extra_Bioplastic'!A449)," ",'Q:\Abteilungsprojekte\Eng\EngData\PROJECT_Bioplastics\Renjie_Pan\05-Raw_Data\Lab_results\[LabSamples2025_Bioplastic_extra.xlsx]extra_Bioplastic'!A449)</f>
        <v/>
      </c>
      <c r="B449">
        <f>IF(ISBLANK('Q:\Abteilungsprojekte\Eng\EngData\PROJECT_Bioplastics\Renjie_Pan\05-Raw_Data\Lab_results\[LabSamples2025_Bioplastic_extra.xlsx]extra_Bioplastic'!B449)," ",'Q:\Abteilungsprojekte\Eng\EngData\PROJECT_Bioplastics\Renjie_Pan\05-Raw_Data\Lab_results\[LabSamples2025_Bioplastic_extra.xlsx]extra_Bioplastic'!B449)</f>
        <v/>
      </c>
      <c r="C449">
        <f>IF(ISBLANK('Q:\Abteilungsprojekte\Eng\EngData\PROJECT_Bioplastics\Renjie_Pan\05-Raw_Data\Lab_results\[LabSamples2025_Bioplastic_extra.xlsx]extra_Bioplastic'!C449)," ",'Q:\Abteilungsprojekte\Eng\EngData\PROJECT_Bioplastics\Renjie_Pan\05-Raw_Data\Lab_results\[LabSamples2025_Bioplastic_extra.xlsx]extra_Bioplastic'!C449)</f>
        <v/>
      </c>
      <c r="D449">
        <f>IF(ISBLANK('Q:\Abteilungsprojekte\Eng\EngData\PROJECT_Bioplastics\Renjie_Pan\05-Raw_Data\Lab_results\[LabSamples2025_Bioplastic_extra.xlsx]extra_Bioplastic'!D449)," ",'Q:\Abteilungsprojekte\Eng\EngData\PROJECT_Bioplastics\Renjie_Pan\05-Raw_Data\Lab_results\[LabSamples2025_Bioplastic_extra.xlsx]extra_Bioplastic'!D449)</f>
        <v/>
      </c>
      <c r="E449">
        <f>IF(ISBLANK('Q:\Abteilungsprojekte\Eng\EngData\PROJECT_Bioplastics\Renjie_Pan\05-Raw_Data\Lab_results\[LabSamples2025_Bioplastic_extra.xlsx]extra_Bioplastic'!E449)," ",'Q:\Abteilungsprojekte\Eng\EngData\PROJECT_Bioplastics\Renjie_Pan\05-Raw_Data\Lab_results\[LabSamples2025_Bioplastic_extra.xlsx]extra_Bioplastic'!E449)</f>
        <v/>
      </c>
      <c r="F449">
        <f>IF(ISBLANK('Q:\Abteilungsprojekte\Eng\EngData\PROJECT_Bioplastics\Renjie_Pan\05-Raw_Data\Lab_results\[LabSamples2025_Bioplastic_extra.xlsx]extra_Bioplastic'!F449)," ",'Q:\Abteilungsprojekte\Eng\EngData\PROJECT_Bioplastics\Renjie_Pan\05-Raw_Data\Lab_results\[LabSamples2025_Bioplastic_extra.xlsx]extra_Bioplastic'!F449)</f>
        <v/>
      </c>
      <c r="G449">
        <f>IF(ISBLANK('Q:\Abteilungsprojekte\Eng\EngData\PROJECT_Bioplastics\Renjie_Pan\05-Raw_Data\Lab_results\[LabSamples2025_Bioplastic_extra.xlsx]extra_Bioplastic'!G449)," ",'Q:\Abteilungsprojekte\Eng\EngData\PROJECT_Bioplastics\Renjie_Pan\05-Raw_Data\Lab_results\[LabSamples2025_Bioplastic_extra.xlsx]extra_Bioplastic'!G449)</f>
        <v/>
      </c>
      <c r="H449">
        <f>IF(ISBLANK('Q:\Abteilungsprojekte\Eng\EngData\PROJECT_Bioplastics\Renjie_Pan\05-Raw_Data\Lab_results\[LabSamples2025_Bioplastic_extra.xlsx]extra_Bioplastic'!H449)," ",'Q:\Abteilungsprojekte\Eng\EngData\PROJECT_Bioplastics\Renjie_Pan\05-Raw_Data\Lab_results\[LabSamples2025_Bioplastic_extra.xlsx]extra_Bioplastic'!H449)</f>
        <v/>
      </c>
    </row>
    <row r="450">
      <c r="A450">
        <f>IF(ISBLANK('Q:\Abteilungsprojekte\Eng\EngData\PROJECT_Bioplastics\Renjie_Pan\05-Raw_Data\Lab_results\[LabSamples2025_Bioplastic_extra.xlsx]extra_Bioplastic'!A450)," ",'Q:\Abteilungsprojekte\Eng\EngData\PROJECT_Bioplastics\Renjie_Pan\05-Raw_Data\Lab_results\[LabSamples2025_Bioplastic_extra.xlsx]extra_Bioplastic'!A450)</f>
        <v/>
      </c>
      <c r="B450">
        <f>IF(ISBLANK('Q:\Abteilungsprojekte\Eng\EngData\PROJECT_Bioplastics\Renjie_Pan\05-Raw_Data\Lab_results\[LabSamples2025_Bioplastic_extra.xlsx]extra_Bioplastic'!B450)," ",'Q:\Abteilungsprojekte\Eng\EngData\PROJECT_Bioplastics\Renjie_Pan\05-Raw_Data\Lab_results\[LabSamples2025_Bioplastic_extra.xlsx]extra_Bioplastic'!B450)</f>
        <v/>
      </c>
      <c r="C450">
        <f>IF(ISBLANK('Q:\Abteilungsprojekte\Eng\EngData\PROJECT_Bioplastics\Renjie_Pan\05-Raw_Data\Lab_results\[LabSamples2025_Bioplastic_extra.xlsx]extra_Bioplastic'!C450)," ",'Q:\Abteilungsprojekte\Eng\EngData\PROJECT_Bioplastics\Renjie_Pan\05-Raw_Data\Lab_results\[LabSamples2025_Bioplastic_extra.xlsx]extra_Bioplastic'!C450)</f>
        <v/>
      </c>
      <c r="D450">
        <f>IF(ISBLANK('Q:\Abteilungsprojekte\Eng\EngData\PROJECT_Bioplastics\Renjie_Pan\05-Raw_Data\Lab_results\[LabSamples2025_Bioplastic_extra.xlsx]extra_Bioplastic'!D450)," ",'Q:\Abteilungsprojekte\Eng\EngData\PROJECT_Bioplastics\Renjie_Pan\05-Raw_Data\Lab_results\[LabSamples2025_Bioplastic_extra.xlsx]extra_Bioplastic'!D450)</f>
        <v/>
      </c>
      <c r="E450">
        <f>IF(ISBLANK('Q:\Abteilungsprojekte\Eng\EngData\PROJECT_Bioplastics\Renjie_Pan\05-Raw_Data\Lab_results\[LabSamples2025_Bioplastic_extra.xlsx]extra_Bioplastic'!E450)," ",'Q:\Abteilungsprojekte\Eng\EngData\PROJECT_Bioplastics\Renjie_Pan\05-Raw_Data\Lab_results\[LabSamples2025_Bioplastic_extra.xlsx]extra_Bioplastic'!E450)</f>
        <v/>
      </c>
      <c r="F450">
        <f>IF(ISBLANK('Q:\Abteilungsprojekte\Eng\EngData\PROJECT_Bioplastics\Renjie_Pan\05-Raw_Data\Lab_results\[LabSamples2025_Bioplastic_extra.xlsx]extra_Bioplastic'!F450)," ",'Q:\Abteilungsprojekte\Eng\EngData\PROJECT_Bioplastics\Renjie_Pan\05-Raw_Data\Lab_results\[LabSamples2025_Bioplastic_extra.xlsx]extra_Bioplastic'!F450)</f>
        <v/>
      </c>
      <c r="G450">
        <f>IF(ISBLANK('Q:\Abteilungsprojekte\Eng\EngData\PROJECT_Bioplastics\Renjie_Pan\05-Raw_Data\Lab_results\[LabSamples2025_Bioplastic_extra.xlsx]extra_Bioplastic'!G450)," ",'Q:\Abteilungsprojekte\Eng\EngData\PROJECT_Bioplastics\Renjie_Pan\05-Raw_Data\Lab_results\[LabSamples2025_Bioplastic_extra.xlsx]extra_Bioplastic'!G450)</f>
        <v/>
      </c>
      <c r="H450">
        <f>IF(ISBLANK('Q:\Abteilungsprojekte\Eng\EngData\PROJECT_Bioplastics\Renjie_Pan\05-Raw_Data\Lab_results\[LabSamples2025_Bioplastic_extra.xlsx]extra_Bioplastic'!H450)," ",'Q:\Abteilungsprojekte\Eng\EngData\PROJECT_Bioplastics\Renjie_Pan\05-Raw_Data\Lab_results\[LabSamples2025_Bioplastic_extra.xlsx]extra_Bioplastic'!H450)</f>
        <v/>
      </c>
    </row>
    <row r="451">
      <c r="A451">
        <f>IF(ISBLANK('Q:\Abteilungsprojekte\Eng\EngData\PROJECT_Bioplastics\Renjie_Pan\05-Raw_Data\Lab_results\[LabSamples2025_Bioplastic_extra.xlsx]extra_Bioplastic'!A451)," ",'Q:\Abteilungsprojekte\Eng\EngData\PROJECT_Bioplastics\Renjie_Pan\05-Raw_Data\Lab_results\[LabSamples2025_Bioplastic_extra.xlsx]extra_Bioplastic'!A451)</f>
        <v/>
      </c>
      <c r="B451">
        <f>IF(ISBLANK('Q:\Abteilungsprojekte\Eng\EngData\PROJECT_Bioplastics\Renjie_Pan\05-Raw_Data\Lab_results\[LabSamples2025_Bioplastic_extra.xlsx]extra_Bioplastic'!B451)," ",'Q:\Abteilungsprojekte\Eng\EngData\PROJECT_Bioplastics\Renjie_Pan\05-Raw_Data\Lab_results\[LabSamples2025_Bioplastic_extra.xlsx]extra_Bioplastic'!B451)</f>
        <v/>
      </c>
      <c r="C451">
        <f>IF(ISBLANK('Q:\Abteilungsprojekte\Eng\EngData\PROJECT_Bioplastics\Renjie_Pan\05-Raw_Data\Lab_results\[LabSamples2025_Bioplastic_extra.xlsx]extra_Bioplastic'!C451)," ",'Q:\Abteilungsprojekte\Eng\EngData\PROJECT_Bioplastics\Renjie_Pan\05-Raw_Data\Lab_results\[LabSamples2025_Bioplastic_extra.xlsx]extra_Bioplastic'!C451)</f>
        <v/>
      </c>
      <c r="D451">
        <f>IF(ISBLANK('Q:\Abteilungsprojekte\Eng\EngData\PROJECT_Bioplastics\Renjie_Pan\05-Raw_Data\Lab_results\[LabSamples2025_Bioplastic_extra.xlsx]extra_Bioplastic'!D451)," ",'Q:\Abteilungsprojekte\Eng\EngData\PROJECT_Bioplastics\Renjie_Pan\05-Raw_Data\Lab_results\[LabSamples2025_Bioplastic_extra.xlsx]extra_Bioplastic'!D451)</f>
        <v/>
      </c>
      <c r="E451">
        <f>IF(ISBLANK('Q:\Abteilungsprojekte\Eng\EngData\PROJECT_Bioplastics\Renjie_Pan\05-Raw_Data\Lab_results\[LabSamples2025_Bioplastic_extra.xlsx]extra_Bioplastic'!E451)," ",'Q:\Abteilungsprojekte\Eng\EngData\PROJECT_Bioplastics\Renjie_Pan\05-Raw_Data\Lab_results\[LabSamples2025_Bioplastic_extra.xlsx]extra_Bioplastic'!E451)</f>
        <v/>
      </c>
      <c r="F451">
        <f>IF(ISBLANK('Q:\Abteilungsprojekte\Eng\EngData\PROJECT_Bioplastics\Renjie_Pan\05-Raw_Data\Lab_results\[LabSamples2025_Bioplastic_extra.xlsx]extra_Bioplastic'!F451)," ",'Q:\Abteilungsprojekte\Eng\EngData\PROJECT_Bioplastics\Renjie_Pan\05-Raw_Data\Lab_results\[LabSamples2025_Bioplastic_extra.xlsx]extra_Bioplastic'!F451)</f>
        <v/>
      </c>
      <c r="G451">
        <f>IF(ISBLANK('Q:\Abteilungsprojekte\Eng\EngData\PROJECT_Bioplastics\Renjie_Pan\05-Raw_Data\Lab_results\[LabSamples2025_Bioplastic_extra.xlsx]extra_Bioplastic'!G451)," ",'Q:\Abteilungsprojekte\Eng\EngData\PROJECT_Bioplastics\Renjie_Pan\05-Raw_Data\Lab_results\[LabSamples2025_Bioplastic_extra.xlsx]extra_Bioplastic'!G451)</f>
        <v/>
      </c>
      <c r="H451">
        <f>IF(ISBLANK('Q:\Abteilungsprojekte\Eng\EngData\PROJECT_Bioplastics\Renjie_Pan\05-Raw_Data\Lab_results\[LabSamples2025_Bioplastic_extra.xlsx]extra_Bioplastic'!H451)," ",'Q:\Abteilungsprojekte\Eng\EngData\PROJECT_Bioplastics\Renjie_Pan\05-Raw_Data\Lab_results\[LabSamples2025_Bioplastic_extra.xlsx]extra_Bioplastic'!H451)</f>
        <v/>
      </c>
    </row>
    <row r="452">
      <c r="A452">
        <f>IF(ISBLANK('Q:\Abteilungsprojekte\Eng\EngData\PROJECT_Bioplastics\Renjie_Pan\05-Raw_Data\Lab_results\[LabSamples2025_Bioplastic_extra.xlsx]extra_Bioplastic'!A452)," ",'Q:\Abteilungsprojekte\Eng\EngData\PROJECT_Bioplastics\Renjie_Pan\05-Raw_Data\Lab_results\[LabSamples2025_Bioplastic_extra.xlsx]extra_Bioplastic'!A452)</f>
        <v/>
      </c>
      <c r="B452">
        <f>IF(ISBLANK('Q:\Abteilungsprojekte\Eng\EngData\PROJECT_Bioplastics\Renjie_Pan\05-Raw_Data\Lab_results\[LabSamples2025_Bioplastic_extra.xlsx]extra_Bioplastic'!B452)," ",'Q:\Abteilungsprojekte\Eng\EngData\PROJECT_Bioplastics\Renjie_Pan\05-Raw_Data\Lab_results\[LabSamples2025_Bioplastic_extra.xlsx]extra_Bioplastic'!B452)</f>
        <v/>
      </c>
      <c r="C452">
        <f>IF(ISBLANK('Q:\Abteilungsprojekte\Eng\EngData\PROJECT_Bioplastics\Renjie_Pan\05-Raw_Data\Lab_results\[LabSamples2025_Bioplastic_extra.xlsx]extra_Bioplastic'!C452)," ",'Q:\Abteilungsprojekte\Eng\EngData\PROJECT_Bioplastics\Renjie_Pan\05-Raw_Data\Lab_results\[LabSamples2025_Bioplastic_extra.xlsx]extra_Bioplastic'!C452)</f>
        <v/>
      </c>
      <c r="D452">
        <f>IF(ISBLANK('Q:\Abteilungsprojekte\Eng\EngData\PROJECT_Bioplastics\Renjie_Pan\05-Raw_Data\Lab_results\[LabSamples2025_Bioplastic_extra.xlsx]extra_Bioplastic'!D452)," ",'Q:\Abteilungsprojekte\Eng\EngData\PROJECT_Bioplastics\Renjie_Pan\05-Raw_Data\Lab_results\[LabSamples2025_Bioplastic_extra.xlsx]extra_Bioplastic'!D452)</f>
        <v/>
      </c>
      <c r="E452">
        <f>IF(ISBLANK('Q:\Abteilungsprojekte\Eng\EngData\PROJECT_Bioplastics\Renjie_Pan\05-Raw_Data\Lab_results\[LabSamples2025_Bioplastic_extra.xlsx]extra_Bioplastic'!E452)," ",'Q:\Abteilungsprojekte\Eng\EngData\PROJECT_Bioplastics\Renjie_Pan\05-Raw_Data\Lab_results\[LabSamples2025_Bioplastic_extra.xlsx]extra_Bioplastic'!E452)</f>
        <v/>
      </c>
      <c r="F452">
        <f>IF(ISBLANK('Q:\Abteilungsprojekte\Eng\EngData\PROJECT_Bioplastics\Renjie_Pan\05-Raw_Data\Lab_results\[LabSamples2025_Bioplastic_extra.xlsx]extra_Bioplastic'!F452)," ",'Q:\Abteilungsprojekte\Eng\EngData\PROJECT_Bioplastics\Renjie_Pan\05-Raw_Data\Lab_results\[LabSamples2025_Bioplastic_extra.xlsx]extra_Bioplastic'!F452)</f>
        <v/>
      </c>
      <c r="G452">
        <f>IF(ISBLANK('Q:\Abteilungsprojekte\Eng\EngData\PROJECT_Bioplastics\Renjie_Pan\05-Raw_Data\Lab_results\[LabSamples2025_Bioplastic_extra.xlsx]extra_Bioplastic'!G452)," ",'Q:\Abteilungsprojekte\Eng\EngData\PROJECT_Bioplastics\Renjie_Pan\05-Raw_Data\Lab_results\[LabSamples2025_Bioplastic_extra.xlsx]extra_Bioplastic'!G452)</f>
        <v/>
      </c>
      <c r="H452">
        <f>IF(ISBLANK('Q:\Abteilungsprojekte\Eng\EngData\PROJECT_Bioplastics\Renjie_Pan\05-Raw_Data\Lab_results\[LabSamples2025_Bioplastic_extra.xlsx]extra_Bioplastic'!H452)," ",'Q:\Abteilungsprojekte\Eng\EngData\PROJECT_Bioplastics\Renjie_Pan\05-Raw_Data\Lab_results\[LabSamples2025_Bioplastic_extra.xlsx]extra_Bioplastic'!H452)</f>
        <v/>
      </c>
    </row>
    <row r="453">
      <c r="A453">
        <f>IF(ISBLANK('Q:\Abteilungsprojekte\Eng\EngData\PROJECT_Bioplastics\Renjie_Pan\05-Raw_Data\Lab_results\[LabSamples2025_Bioplastic_extra.xlsx]extra_Bioplastic'!A453)," ",'Q:\Abteilungsprojekte\Eng\EngData\PROJECT_Bioplastics\Renjie_Pan\05-Raw_Data\Lab_results\[LabSamples2025_Bioplastic_extra.xlsx]extra_Bioplastic'!A453)</f>
        <v/>
      </c>
      <c r="B453">
        <f>IF(ISBLANK('Q:\Abteilungsprojekte\Eng\EngData\PROJECT_Bioplastics\Renjie_Pan\05-Raw_Data\Lab_results\[LabSamples2025_Bioplastic_extra.xlsx]extra_Bioplastic'!B453)," ",'Q:\Abteilungsprojekte\Eng\EngData\PROJECT_Bioplastics\Renjie_Pan\05-Raw_Data\Lab_results\[LabSamples2025_Bioplastic_extra.xlsx]extra_Bioplastic'!B453)</f>
        <v/>
      </c>
      <c r="C453">
        <f>IF(ISBLANK('Q:\Abteilungsprojekte\Eng\EngData\PROJECT_Bioplastics\Renjie_Pan\05-Raw_Data\Lab_results\[LabSamples2025_Bioplastic_extra.xlsx]extra_Bioplastic'!C453)," ",'Q:\Abteilungsprojekte\Eng\EngData\PROJECT_Bioplastics\Renjie_Pan\05-Raw_Data\Lab_results\[LabSamples2025_Bioplastic_extra.xlsx]extra_Bioplastic'!C453)</f>
        <v/>
      </c>
      <c r="D453">
        <f>IF(ISBLANK('Q:\Abteilungsprojekte\Eng\EngData\PROJECT_Bioplastics\Renjie_Pan\05-Raw_Data\Lab_results\[LabSamples2025_Bioplastic_extra.xlsx]extra_Bioplastic'!D453)," ",'Q:\Abteilungsprojekte\Eng\EngData\PROJECT_Bioplastics\Renjie_Pan\05-Raw_Data\Lab_results\[LabSamples2025_Bioplastic_extra.xlsx]extra_Bioplastic'!D453)</f>
        <v/>
      </c>
      <c r="E453">
        <f>IF(ISBLANK('Q:\Abteilungsprojekte\Eng\EngData\PROJECT_Bioplastics\Renjie_Pan\05-Raw_Data\Lab_results\[LabSamples2025_Bioplastic_extra.xlsx]extra_Bioplastic'!E453)," ",'Q:\Abteilungsprojekte\Eng\EngData\PROJECT_Bioplastics\Renjie_Pan\05-Raw_Data\Lab_results\[LabSamples2025_Bioplastic_extra.xlsx]extra_Bioplastic'!E453)</f>
        <v/>
      </c>
      <c r="F453">
        <f>IF(ISBLANK('Q:\Abteilungsprojekte\Eng\EngData\PROJECT_Bioplastics\Renjie_Pan\05-Raw_Data\Lab_results\[LabSamples2025_Bioplastic_extra.xlsx]extra_Bioplastic'!F453)," ",'Q:\Abteilungsprojekte\Eng\EngData\PROJECT_Bioplastics\Renjie_Pan\05-Raw_Data\Lab_results\[LabSamples2025_Bioplastic_extra.xlsx]extra_Bioplastic'!F453)</f>
        <v/>
      </c>
      <c r="G453">
        <f>IF(ISBLANK('Q:\Abteilungsprojekte\Eng\EngData\PROJECT_Bioplastics\Renjie_Pan\05-Raw_Data\Lab_results\[LabSamples2025_Bioplastic_extra.xlsx]extra_Bioplastic'!G453)," ",'Q:\Abteilungsprojekte\Eng\EngData\PROJECT_Bioplastics\Renjie_Pan\05-Raw_Data\Lab_results\[LabSamples2025_Bioplastic_extra.xlsx]extra_Bioplastic'!G453)</f>
        <v/>
      </c>
      <c r="H453">
        <f>IF(ISBLANK('Q:\Abteilungsprojekte\Eng\EngData\PROJECT_Bioplastics\Renjie_Pan\05-Raw_Data\Lab_results\[LabSamples2025_Bioplastic_extra.xlsx]extra_Bioplastic'!H453)," ",'Q:\Abteilungsprojekte\Eng\EngData\PROJECT_Bioplastics\Renjie_Pan\05-Raw_Data\Lab_results\[LabSamples2025_Bioplastic_extra.xlsx]extra_Bioplastic'!H453)</f>
        <v/>
      </c>
    </row>
    <row r="454">
      <c r="A454">
        <f>IF(ISBLANK('Q:\Abteilungsprojekte\Eng\EngData\PROJECT_Bioplastics\Renjie_Pan\05-Raw_Data\Lab_results\[LabSamples2025_Bioplastic_extra.xlsx]extra_Bioplastic'!A454)," ",'Q:\Abteilungsprojekte\Eng\EngData\PROJECT_Bioplastics\Renjie_Pan\05-Raw_Data\Lab_results\[LabSamples2025_Bioplastic_extra.xlsx]extra_Bioplastic'!A454)</f>
        <v/>
      </c>
      <c r="B454">
        <f>IF(ISBLANK('Q:\Abteilungsprojekte\Eng\EngData\PROJECT_Bioplastics\Renjie_Pan\05-Raw_Data\Lab_results\[LabSamples2025_Bioplastic_extra.xlsx]extra_Bioplastic'!B454)," ",'Q:\Abteilungsprojekte\Eng\EngData\PROJECT_Bioplastics\Renjie_Pan\05-Raw_Data\Lab_results\[LabSamples2025_Bioplastic_extra.xlsx]extra_Bioplastic'!B454)</f>
        <v/>
      </c>
      <c r="C454">
        <f>IF(ISBLANK('Q:\Abteilungsprojekte\Eng\EngData\PROJECT_Bioplastics\Renjie_Pan\05-Raw_Data\Lab_results\[LabSamples2025_Bioplastic_extra.xlsx]extra_Bioplastic'!C454)," ",'Q:\Abteilungsprojekte\Eng\EngData\PROJECT_Bioplastics\Renjie_Pan\05-Raw_Data\Lab_results\[LabSamples2025_Bioplastic_extra.xlsx]extra_Bioplastic'!C454)</f>
        <v/>
      </c>
      <c r="D454">
        <f>IF(ISBLANK('Q:\Abteilungsprojekte\Eng\EngData\PROJECT_Bioplastics\Renjie_Pan\05-Raw_Data\Lab_results\[LabSamples2025_Bioplastic_extra.xlsx]extra_Bioplastic'!D454)," ",'Q:\Abteilungsprojekte\Eng\EngData\PROJECT_Bioplastics\Renjie_Pan\05-Raw_Data\Lab_results\[LabSamples2025_Bioplastic_extra.xlsx]extra_Bioplastic'!D454)</f>
        <v/>
      </c>
      <c r="E454">
        <f>IF(ISBLANK('Q:\Abteilungsprojekte\Eng\EngData\PROJECT_Bioplastics\Renjie_Pan\05-Raw_Data\Lab_results\[LabSamples2025_Bioplastic_extra.xlsx]extra_Bioplastic'!E454)," ",'Q:\Abteilungsprojekte\Eng\EngData\PROJECT_Bioplastics\Renjie_Pan\05-Raw_Data\Lab_results\[LabSamples2025_Bioplastic_extra.xlsx]extra_Bioplastic'!E454)</f>
        <v/>
      </c>
      <c r="F454">
        <f>IF(ISBLANK('Q:\Abteilungsprojekte\Eng\EngData\PROJECT_Bioplastics\Renjie_Pan\05-Raw_Data\Lab_results\[LabSamples2025_Bioplastic_extra.xlsx]extra_Bioplastic'!F454)," ",'Q:\Abteilungsprojekte\Eng\EngData\PROJECT_Bioplastics\Renjie_Pan\05-Raw_Data\Lab_results\[LabSamples2025_Bioplastic_extra.xlsx]extra_Bioplastic'!F454)</f>
        <v/>
      </c>
      <c r="G454">
        <f>IF(ISBLANK('Q:\Abteilungsprojekte\Eng\EngData\PROJECT_Bioplastics\Renjie_Pan\05-Raw_Data\Lab_results\[LabSamples2025_Bioplastic_extra.xlsx]extra_Bioplastic'!G454)," ",'Q:\Abteilungsprojekte\Eng\EngData\PROJECT_Bioplastics\Renjie_Pan\05-Raw_Data\Lab_results\[LabSamples2025_Bioplastic_extra.xlsx]extra_Bioplastic'!G454)</f>
        <v/>
      </c>
      <c r="H454">
        <f>IF(ISBLANK('Q:\Abteilungsprojekte\Eng\EngData\PROJECT_Bioplastics\Renjie_Pan\05-Raw_Data\Lab_results\[LabSamples2025_Bioplastic_extra.xlsx]extra_Bioplastic'!H454)," ",'Q:\Abteilungsprojekte\Eng\EngData\PROJECT_Bioplastics\Renjie_Pan\05-Raw_Data\Lab_results\[LabSamples2025_Bioplastic_extra.xlsx]extra_Bioplastic'!H454)</f>
        <v/>
      </c>
    </row>
    <row r="455">
      <c r="A455">
        <f>IF(ISBLANK('Q:\Abteilungsprojekte\Eng\EngData\PROJECT_Bioplastics\Renjie_Pan\05-Raw_Data\Lab_results\[LabSamples2025_Bioplastic_extra.xlsx]extra_Bioplastic'!A455)," ",'Q:\Abteilungsprojekte\Eng\EngData\PROJECT_Bioplastics\Renjie_Pan\05-Raw_Data\Lab_results\[LabSamples2025_Bioplastic_extra.xlsx]extra_Bioplastic'!A455)</f>
        <v/>
      </c>
      <c r="B455">
        <f>IF(ISBLANK('Q:\Abteilungsprojekte\Eng\EngData\PROJECT_Bioplastics\Renjie_Pan\05-Raw_Data\Lab_results\[LabSamples2025_Bioplastic_extra.xlsx]extra_Bioplastic'!B455)," ",'Q:\Abteilungsprojekte\Eng\EngData\PROJECT_Bioplastics\Renjie_Pan\05-Raw_Data\Lab_results\[LabSamples2025_Bioplastic_extra.xlsx]extra_Bioplastic'!B455)</f>
        <v/>
      </c>
      <c r="C455">
        <f>IF(ISBLANK('Q:\Abteilungsprojekte\Eng\EngData\PROJECT_Bioplastics\Renjie_Pan\05-Raw_Data\Lab_results\[LabSamples2025_Bioplastic_extra.xlsx]extra_Bioplastic'!C455)," ",'Q:\Abteilungsprojekte\Eng\EngData\PROJECT_Bioplastics\Renjie_Pan\05-Raw_Data\Lab_results\[LabSamples2025_Bioplastic_extra.xlsx]extra_Bioplastic'!C455)</f>
        <v/>
      </c>
      <c r="D455">
        <f>IF(ISBLANK('Q:\Abteilungsprojekte\Eng\EngData\PROJECT_Bioplastics\Renjie_Pan\05-Raw_Data\Lab_results\[LabSamples2025_Bioplastic_extra.xlsx]extra_Bioplastic'!D455)," ",'Q:\Abteilungsprojekte\Eng\EngData\PROJECT_Bioplastics\Renjie_Pan\05-Raw_Data\Lab_results\[LabSamples2025_Bioplastic_extra.xlsx]extra_Bioplastic'!D455)</f>
        <v/>
      </c>
      <c r="E455">
        <f>IF(ISBLANK('Q:\Abteilungsprojekte\Eng\EngData\PROJECT_Bioplastics\Renjie_Pan\05-Raw_Data\Lab_results\[LabSamples2025_Bioplastic_extra.xlsx]extra_Bioplastic'!E455)," ",'Q:\Abteilungsprojekte\Eng\EngData\PROJECT_Bioplastics\Renjie_Pan\05-Raw_Data\Lab_results\[LabSamples2025_Bioplastic_extra.xlsx]extra_Bioplastic'!E455)</f>
        <v/>
      </c>
      <c r="F455">
        <f>IF(ISBLANK('Q:\Abteilungsprojekte\Eng\EngData\PROJECT_Bioplastics\Renjie_Pan\05-Raw_Data\Lab_results\[LabSamples2025_Bioplastic_extra.xlsx]extra_Bioplastic'!F455)," ",'Q:\Abteilungsprojekte\Eng\EngData\PROJECT_Bioplastics\Renjie_Pan\05-Raw_Data\Lab_results\[LabSamples2025_Bioplastic_extra.xlsx]extra_Bioplastic'!F455)</f>
        <v/>
      </c>
      <c r="G455">
        <f>IF(ISBLANK('Q:\Abteilungsprojekte\Eng\EngData\PROJECT_Bioplastics\Renjie_Pan\05-Raw_Data\Lab_results\[LabSamples2025_Bioplastic_extra.xlsx]extra_Bioplastic'!G455)," ",'Q:\Abteilungsprojekte\Eng\EngData\PROJECT_Bioplastics\Renjie_Pan\05-Raw_Data\Lab_results\[LabSamples2025_Bioplastic_extra.xlsx]extra_Bioplastic'!G455)</f>
        <v/>
      </c>
      <c r="H455">
        <f>IF(ISBLANK('Q:\Abteilungsprojekte\Eng\EngData\PROJECT_Bioplastics\Renjie_Pan\05-Raw_Data\Lab_results\[LabSamples2025_Bioplastic_extra.xlsx]extra_Bioplastic'!H455)," ",'Q:\Abteilungsprojekte\Eng\EngData\PROJECT_Bioplastics\Renjie_Pan\05-Raw_Data\Lab_results\[LabSamples2025_Bioplastic_extra.xlsx]extra_Bioplastic'!H455)</f>
        <v/>
      </c>
    </row>
    <row r="456">
      <c r="A456">
        <f>IF(ISBLANK('Q:\Abteilungsprojekte\Eng\EngData\PROJECT_Bioplastics\Renjie_Pan\05-Raw_Data\Lab_results\[LabSamples2025_Bioplastic_extra.xlsx]extra_Bioplastic'!A456)," ",'Q:\Abteilungsprojekte\Eng\EngData\PROJECT_Bioplastics\Renjie_Pan\05-Raw_Data\Lab_results\[LabSamples2025_Bioplastic_extra.xlsx]extra_Bioplastic'!A456)</f>
        <v/>
      </c>
      <c r="B456">
        <f>IF(ISBLANK('Q:\Abteilungsprojekte\Eng\EngData\PROJECT_Bioplastics\Renjie_Pan\05-Raw_Data\Lab_results\[LabSamples2025_Bioplastic_extra.xlsx]extra_Bioplastic'!B456)," ",'Q:\Abteilungsprojekte\Eng\EngData\PROJECT_Bioplastics\Renjie_Pan\05-Raw_Data\Lab_results\[LabSamples2025_Bioplastic_extra.xlsx]extra_Bioplastic'!B456)</f>
        <v/>
      </c>
      <c r="C456">
        <f>IF(ISBLANK('Q:\Abteilungsprojekte\Eng\EngData\PROJECT_Bioplastics\Renjie_Pan\05-Raw_Data\Lab_results\[LabSamples2025_Bioplastic_extra.xlsx]extra_Bioplastic'!C456)," ",'Q:\Abteilungsprojekte\Eng\EngData\PROJECT_Bioplastics\Renjie_Pan\05-Raw_Data\Lab_results\[LabSamples2025_Bioplastic_extra.xlsx]extra_Bioplastic'!C456)</f>
        <v/>
      </c>
      <c r="D456">
        <f>IF(ISBLANK('Q:\Abteilungsprojekte\Eng\EngData\PROJECT_Bioplastics\Renjie_Pan\05-Raw_Data\Lab_results\[LabSamples2025_Bioplastic_extra.xlsx]extra_Bioplastic'!D456)," ",'Q:\Abteilungsprojekte\Eng\EngData\PROJECT_Bioplastics\Renjie_Pan\05-Raw_Data\Lab_results\[LabSamples2025_Bioplastic_extra.xlsx]extra_Bioplastic'!D456)</f>
        <v/>
      </c>
      <c r="E456">
        <f>IF(ISBLANK('Q:\Abteilungsprojekte\Eng\EngData\PROJECT_Bioplastics\Renjie_Pan\05-Raw_Data\Lab_results\[LabSamples2025_Bioplastic_extra.xlsx]extra_Bioplastic'!E456)," ",'Q:\Abteilungsprojekte\Eng\EngData\PROJECT_Bioplastics\Renjie_Pan\05-Raw_Data\Lab_results\[LabSamples2025_Bioplastic_extra.xlsx]extra_Bioplastic'!E456)</f>
        <v/>
      </c>
      <c r="F456">
        <f>IF(ISBLANK('Q:\Abteilungsprojekte\Eng\EngData\PROJECT_Bioplastics\Renjie_Pan\05-Raw_Data\Lab_results\[LabSamples2025_Bioplastic_extra.xlsx]extra_Bioplastic'!F456)," ",'Q:\Abteilungsprojekte\Eng\EngData\PROJECT_Bioplastics\Renjie_Pan\05-Raw_Data\Lab_results\[LabSamples2025_Bioplastic_extra.xlsx]extra_Bioplastic'!F456)</f>
        <v/>
      </c>
      <c r="G456">
        <f>IF(ISBLANK('Q:\Abteilungsprojekte\Eng\EngData\PROJECT_Bioplastics\Renjie_Pan\05-Raw_Data\Lab_results\[LabSamples2025_Bioplastic_extra.xlsx]extra_Bioplastic'!G456)," ",'Q:\Abteilungsprojekte\Eng\EngData\PROJECT_Bioplastics\Renjie_Pan\05-Raw_Data\Lab_results\[LabSamples2025_Bioplastic_extra.xlsx]extra_Bioplastic'!G456)</f>
        <v/>
      </c>
      <c r="H456">
        <f>IF(ISBLANK('Q:\Abteilungsprojekte\Eng\EngData\PROJECT_Bioplastics\Renjie_Pan\05-Raw_Data\Lab_results\[LabSamples2025_Bioplastic_extra.xlsx]extra_Bioplastic'!H456)," ",'Q:\Abteilungsprojekte\Eng\EngData\PROJECT_Bioplastics\Renjie_Pan\05-Raw_Data\Lab_results\[LabSamples2025_Bioplastic_extra.xlsx]extra_Bioplastic'!H456)</f>
        <v/>
      </c>
    </row>
    <row r="457">
      <c r="A457">
        <f>IF(ISBLANK('Q:\Abteilungsprojekte\Eng\EngData\PROJECT_Bioplastics\Renjie_Pan\05-Raw_Data\Lab_results\[LabSamples2025_Bioplastic_extra.xlsx]extra_Bioplastic'!A457)," ",'Q:\Abteilungsprojekte\Eng\EngData\PROJECT_Bioplastics\Renjie_Pan\05-Raw_Data\Lab_results\[LabSamples2025_Bioplastic_extra.xlsx]extra_Bioplastic'!A457)</f>
        <v/>
      </c>
      <c r="B457">
        <f>IF(ISBLANK('Q:\Abteilungsprojekte\Eng\EngData\PROJECT_Bioplastics\Renjie_Pan\05-Raw_Data\Lab_results\[LabSamples2025_Bioplastic_extra.xlsx]extra_Bioplastic'!B457)," ",'Q:\Abteilungsprojekte\Eng\EngData\PROJECT_Bioplastics\Renjie_Pan\05-Raw_Data\Lab_results\[LabSamples2025_Bioplastic_extra.xlsx]extra_Bioplastic'!B457)</f>
        <v/>
      </c>
      <c r="C457">
        <f>IF(ISBLANK('Q:\Abteilungsprojekte\Eng\EngData\PROJECT_Bioplastics\Renjie_Pan\05-Raw_Data\Lab_results\[LabSamples2025_Bioplastic_extra.xlsx]extra_Bioplastic'!C457)," ",'Q:\Abteilungsprojekte\Eng\EngData\PROJECT_Bioplastics\Renjie_Pan\05-Raw_Data\Lab_results\[LabSamples2025_Bioplastic_extra.xlsx]extra_Bioplastic'!C457)</f>
        <v/>
      </c>
      <c r="D457">
        <f>IF(ISBLANK('Q:\Abteilungsprojekte\Eng\EngData\PROJECT_Bioplastics\Renjie_Pan\05-Raw_Data\Lab_results\[LabSamples2025_Bioplastic_extra.xlsx]extra_Bioplastic'!D457)," ",'Q:\Abteilungsprojekte\Eng\EngData\PROJECT_Bioplastics\Renjie_Pan\05-Raw_Data\Lab_results\[LabSamples2025_Bioplastic_extra.xlsx]extra_Bioplastic'!D457)</f>
        <v/>
      </c>
      <c r="E457">
        <f>IF(ISBLANK('Q:\Abteilungsprojekte\Eng\EngData\PROJECT_Bioplastics\Renjie_Pan\05-Raw_Data\Lab_results\[LabSamples2025_Bioplastic_extra.xlsx]extra_Bioplastic'!E457)," ",'Q:\Abteilungsprojekte\Eng\EngData\PROJECT_Bioplastics\Renjie_Pan\05-Raw_Data\Lab_results\[LabSamples2025_Bioplastic_extra.xlsx]extra_Bioplastic'!E457)</f>
        <v/>
      </c>
      <c r="F457">
        <f>IF(ISBLANK('Q:\Abteilungsprojekte\Eng\EngData\PROJECT_Bioplastics\Renjie_Pan\05-Raw_Data\Lab_results\[LabSamples2025_Bioplastic_extra.xlsx]extra_Bioplastic'!F457)," ",'Q:\Abteilungsprojekte\Eng\EngData\PROJECT_Bioplastics\Renjie_Pan\05-Raw_Data\Lab_results\[LabSamples2025_Bioplastic_extra.xlsx]extra_Bioplastic'!F457)</f>
        <v/>
      </c>
      <c r="G457">
        <f>IF(ISBLANK('Q:\Abteilungsprojekte\Eng\EngData\PROJECT_Bioplastics\Renjie_Pan\05-Raw_Data\Lab_results\[LabSamples2025_Bioplastic_extra.xlsx]extra_Bioplastic'!G457)," ",'Q:\Abteilungsprojekte\Eng\EngData\PROJECT_Bioplastics\Renjie_Pan\05-Raw_Data\Lab_results\[LabSamples2025_Bioplastic_extra.xlsx]extra_Bioplastic'!G457)</f>
        <v/>
      </c>
      <c r="H457">
        <f>IF(ISBLANK('Q:\Abteilungsprojekte\Eng\EngData\PROJECT_Bioplastics\Renjie_Pan\05-Raw_Data\Lab_results\[LabSamples2025_Bioplastic_extra.xlsx]extra_Bioplastic'!H457)," ",'Q:\Abteilungsprojekte\Eng\EngData\PROJECT_Bioplastics\Renjie_Pan\05-Raw_Data\Lab_results\[LabSamples2025_Bioplastic_extra.xlsx]extra_Bioplastic'!H457)</f>
        <v/>
      </c>
    </row>
    <row r="458">
      <c r="A458">
        <f>IF(ISBLANK('Q:\Abteilungsprojekte\Eng\EngData\PROJECT_Bioplastics\Renjie_Pan\05-Raw_Data\Lab_results\[LabSamples2025_Bioplastic_extra.xlsx]extra_Bioplastic'!A458)," ",'Q:\Abteilungsprojekte\Eng\EngData\PROJECT_Bioplastics\Renjie_Pan\05-Raw_Data\Lab_results\[LabSamples2025_Bioplastic_extra.xlsx]extra_Bioplastic'!A458)</f>
        <v/>
      </c>
      <c r="B458">
        <f>IF(ISBLANK('Q:\Abteilungsprojekte\Eng\EngData\PROJECT_Bioplastics\Renjie_Pan\05-Raw_Data\Lab_results\[LabSamples2025_Bioplastic_extra.xlsx]extra_Bioplastic'!B458)," ",'Q:\Abteilungsprojekte\Eng\EngData\PROJECT_Bioplastics\Renjie_Pan\05-Raw_Data\Lab_results\[LabSamples2025_Bioplastic_extra.xlsx]extra_Bioplastic'!B458)</f>
        <v/>
      </c>
      <c r="C458">
        <f>IF(ISBLANK('Q:\Abteilungsprojekte\Eng\EngData\PROJECT_Bioplastics\Renjie_Pan\05-Raw_Data\Lab_results\[LabSamples2025_Bioplastic_extra.xlsx]extra_Bioplastic'!C458)," ",'Q:\Abteilungsprojekte\Eng\EngData\PROJECT_Bioplastics\Renjie_Pan\05-Raw_Data\Lab_results\[LabSamples2025_Bioplastic_extra.xlsx]extra_Bioplastic'!C458)</f>
        <v/>
      </c>
      <c r="D458">
        <f>IF(ISBLANK('Q:\Abteilungsprojekte\Eng\EngData\PROJECT_Bioplastics\Renjie_Pan\05-Raw_Data\Lab_results\[LabSamples2025_Bioplastic_extra.xlsx]extra_Bioplastic'!D458)," ",'Q:\Abteilungsprojekte\Eng\EngData\PROJECT_Bioplastics\Renjie_Pan\05-Raw_Data\Lab_results\[LabSamples2025_Bioplastic_extra.xlsx]extra_Bioplastic'!D458)</f>
        <v/>
      </c>
      <c r="E458">
        <f>IF(ISBLANK('Q:\Abteilungsprojekte\Eng\EngData\PROJECT_Bioplastics\Renjie_Pan\05-Raw_Data\Lab_results\[LabSamples2025_Bioplastic_extra.xlsx]extra_Bioplastic'!E458)," ",'Q:\Abteilungsprojekte\Eng\EngData\PROJECT_Bioplastics\Renjie_Pan\05-Raw_Data\Lab_results\[LabSamples2025_Bioplastic_extra.xlsx]extra_Bioplastic'!E458)</f>
        <v/>
      </c>
      <c r="F458">
        <f>IF(ISBLANK('Q:\Abteilungsprojekte\Eng\EngData\PROJECT_Bioplastics\Renjie_Pan\05-Raw_Data\Lab_results\[LabSamples2025_Bioplastic_extra.xlsx]extra_Bioplastic'!F458)," ",'Q:\Abteilungsprojekte\Eng\EngData\PROJECT_Bioplastics\Renjie_Pan\05-Raw_Data\Lab_results\[LabSamples2025_Bioplastic_extra.xlsx]extra_Bioplastic'!F458)</f>
        <v/>
      </c>
      <c r="G458">
        <f>IF(ISBLANK('Q:\Abteilungsprojekte\Eng\EngData\PROJECT_Bioplastics\Renjie_Pan\05-Raw_Data\Lab_results\[LabSamples2025_Bioplastic_extra.xlsx]extra_Bioplastic'!G458)," ",'Q:\Abteilungsprojekte\Eng\EngData\PROJECT_Bioplastics\Renjie_Pan\05-Raw_Data\Lab_results\[LabSamples2025_Bioplastic_extra.xlsx]extra_Bioplastic'!G458)</f>
        <v/>
      </c>
      <c r="H458">
        <f>IF(ISBLANK('Q:\Abteilungsprojekte\Eng\EngData\PROJECT_Bioplastics\Renjie_Pan\05-Raw_Data\Lab_results\[LabSamples2025_Bioplastic_extra.xlsx]extra_Bioplastic'!H458)," ",'Q:\Abteilungsprojekte\Eng\EngData\PROJECT_Bioplastics\Renjie_Pan\05-Raw_Data\Lab_results\[LabSamples2025_Bioplastic_extra.xlsx]extra_Bioplastic'!H458)</f>
        <v/>
      </c>
    </row>
    <row r="459">
      <c r="A459">
        <f>IF(ISBLANK('Q:\Abteilungsprojekte\Eng\EngData\PROJECT_Bioplastics\Renjie_Pan\05-Raw_Data\Lab_results\[LabSamples2025_Bioplastic_extra.xlsx]extra_Bioplastic'!A459)," ",'Q:\Abteilungsprojekte\Eng\EngData\PROJECT_Bioplastics\Renjie_Pan\05-Raw_Data\Lab_results\[LabSamples2025_Bioplastic_extra.xlsx]extra_Bioplastic'!A459)</f>
        <v/>
      </c>
      <c r="B459">
        <f>IF(ISBLANK('Q:\Abteilungsprojekte\Eng\EngData\PROJECT_Bioplastics\Renjie_Pan\05-Raw_Data\Lab_results\[LabSamples2025_Bioplastic_extra.xlsx]extra_Bioplastic'!B459)," ",'Q:\Abteilungsprojekte\Eng\EngData\PROJECT_Bioplastics\Renjie_Pan\05-Raw_Data\Lab_results\[LabSamples2025_Bioplastic_extra.xlsx]extra_Bioplastic'!B459)</f>
        <v/>
      </c>
      <c r="C459">
        <f>IF(ISBLANK('Q:\Abteilungsprojekte\Eng\EngData\PROJECT_Bioplastics\Renjie_Pan\05-Raw_Data\Lab_results\[LabSamples2025_Bioplastic_extra.xlsx]extra_Bioplastic'!C459)," ",'Q:\Abteilungsprojekte\Eng\EngData\PROJECT_Bioplastics\Renjie_Pan\05-Raw_Data\Lab_results\[LabSamples2025_Bioplastic_extra.xlsx]extra_Bioplastic'!C459)</f>
        <v/>
      </c>
      <c r="D459">
        <f>IF(ISBLANK('Q:\Abteilungsprojekte\Eng\EngData\PROJECT_Bioplastics\Renjie_Pan\05-Raw_Data\Lab_results\[LabSamples2025_Bioplastic_extra.xlsx]extra_Bioplastic'!D459)," ",'Q:\Abteilungsprojekte\Eng\EngData\PROJECT_Bioplastics\Renjie_Pan\05-Raw_Data\Lab_results\[LabSamples2025_Bioplastic_extra.xlsx]extra_Bioplastic'!D459)</f>
        <v/>
      </c>
      <c r="E459">
        <f>IF(ISBLANK('Q:\Abteilungsprojekte\Eng\EngData\PROJECT_Bioplastics\Renjie_Pan\05-Raw_Data\Lab_results\[LabSamples2025_Bioplastic_extra.xlsx]extra_Bioplastic'!E459)," ",'Q:\Abteilungsprojekte\Eng\EngData\PROJECT_Bioplastics\Renjie_Pan\05-Raw_Data\Lab_results\[LabSamples2025_Bioplastic_extra.xlsx]extra_Bioplastic'!E459)</f>
        <v/>
      </c>
      <c r="F459">
        <f>IF(ISBLANK('Q:\Abteilungsprojekte\Eng\EngData\PROJECT_Bioplastics\Renjie_Pan\05-Raw_Data\Lab_results\[LabSamples2025_Bioplastic_extra.xlsx]extra_Bioplastic'!F459)," ",'Q:\Abteilungsprojekte\Eng\EngData\PROJECT_Bioplastics\Renjie_Pan\05-Raw_Data\Lab_results\[LabSamples2025_Bioplastic_extra.xlsx]extra_Bioplastic'!F459)</f>
        <v/>
      </c>
      <c r="G459">
        <f>IF(ISBLANK('Q:\Abteilungsprojekte\Eng\EngData\PROJECT_Bioplastics\Renjie_Pan\05-Raw_Data\Lab_results\[LabSamples2025_Bioplastic_extra.xlsx]extra_Bioplastic'!G459)," ",'Q:\Abteilungsprojekte\Eng\EngData\PROJECT_Bioplastics\Renjie_Pan\05-Raw_Data\Lab_results\[LabSamples2025_Bioplastic_extra.xlsx]extra_Bioplastic'!G459)</f>
        <v/>
      </c>
      <c r="H459">
        <f>IF(ISBLANK('Q:\Abteilungsprojekte\Eng\EngData\PROJECT_Bioplastics\Renjie_Pan\05-Raw_Data\Lab_results\[LabSamples2025_Bioplastic_extra.xlsx]extra_Bioplastic'!H459)," ",'Q:\Abteilungsprojekte\Eng\EngData\PROJECT_Bioplastics\Renjie_Pan\05-Raw_Data\Lab_results\[LabSamples2025_Bioplastic_extra.xlsx]extra_Bioplastic'!H459)</f>
        <v/>
      </c>
    </row>
    <row r="460">
      <c r="A460">
        <f>IF(ISBLANK('Q:\Abteilungsprojekte\Eng\EngData\PROJECT_Bioplastics\Renjie_Pan\05-Raw_Data\Lab_results\[LabSamples2025_Bioplastic_extra.xlsx]extra_Bioplastic'!A460)," ",'Q:\Abteilungsprojekte\Eng\EngData\PROJECT_Bioplastics\Renjie_Pan\05-Raw_Data\Lab_results\[LabSamples2025_Bioplastic_extra.xlsx]extra_Bioplastic'!A460)</f>
        <v/>
      </c>
      <c r="B460">
        <f>IF(ISBLANK('Q:\Abteilungsprojekte\Eng\EngData\PROJECT_Bioplastics\Renjie_Pan\05-Raw_Data\Lab_results\[LabSamples2025_Bioplastic_extra.xlsx]extra_Bioplastic'!B460)," ",'Q:\Abteilungsprojekte\Eng\EngData\PROJECT_Bioplastics\Renjie_Pan\05-Raw_Data\Lab_results\[LabSamples2025_Bioplastic_extra.xlsx]extra_Bioplastic'!B460)</f>
        <v/>
      </c>
      <c r="C460">
        <f>IF(ISBLANK('Q:\Abteilungsprojekte\Eng\EngData\PROJECT_Bioplastics\Renjie_Pan\05-Raw_Data\Lab_results\[LabSamples2025_Bioplastic_extra.xlsx]extra_Bioplastic'!C460)," ",'Q:\Abteilungsprojekte\Eng\EngData\PROJECT_Bioplastics\Renjie_Pan\05-Raw_Data\Lab_results\[LabSamples2025_Bioplastic_extra.xlsx]extra_Bioplastic'!C460)</f>
        <v/>
      </c>
      <c r="D460">
        <f>IF(ISBLANK('Q:\Abteilungsprojekte\Eng\EngData\PROJECT_Bioplastics\Renjie_Pan\05-Raw_Data\Lab_results\[LabSamples2025_Bioplastic_extra.xlsx]extra_Bioplastic'!D460)," ",'Q:\Abteilungsprojekte\Eng\EngData\PROJECT_Bioplastics\Renjie_Pan\05-Raw_Data\Lab_results\[LabSamples2025_Bioplastic_extra.xlsx]extra_Bioplastic'!D460)</f>
        <v/>
      </c>
      <c r="E460">
        <f>IF(ISBLANK('Q:\Abteilungsprojekte\Eng\EngData\PROJECT_Bioplastics\Renjie_Pan\05-Raw_Data\Lab_results\[LabSamples2025_Bioplastic_extra.xlsx]extra_Bioplastic'!E460)," ",'Q:\Abteilungsprojekte\Eng\EngData\PROJECT_Bioplastics\Renjie_Pan\05-Raw_Data\Lab_results\[LabSamples2025_Bioplastic_extra.xlsx]extra_Bioplastic'!E460)</f>
        <v/>
      </c>
      <c r="F460">
        <f>IF(ISBLANK('Q:\Abteilungsprojekte\Eng\EngData\PROJECT_Bioplastics\Renjie_Pan\05-Raw_Data\Lab_results\[LabSamples2025_Bioplastic_extra.xlsx]extra_Bioplastic'!F460)," ",'Q:\Abteilungsprojekte\Eng\EngData\PROJECT_Bioplastics\Renjie_Pan\05-Raw_Data\Lab_results\[LabSamples2025_Bioplastic_extra.xlsx]extra_Bioplastic'!F460)</f>
        <v/>
      </c>
      <c r="G460">
        <f>IF(ISBLANK('Q:\Abteilungsprojekte\Eng\EngData\PROJECT_Bioplastics\Renjie_Pan\05-Raw_Data\Lab_results\[LabSamples2025_Bioplastic_extra.xlsx]extra_Bioplastic'!G460)," ",'Q:\Abteilungsprojekte\Eng\EngData\PROJECT_Bioplastics\Renjie_Pan\05-Raw_Data\Lab_results\[LabSamples2025_Bioplastic_extra.xlsx]extra_Bioplastic'!G460)</f>
        <v/>
      </c>
      <c r="H460">
        <f>IF(ISBLANK('Q:\Abteilungsprojekte\Eng\EngData\PROJECT_Bioplastics\Renjie_Pan\05-Raw_Data\Lab_results\[LabSamples2025_Bioplastic_extra.xlsx]extra_Bioplastic'!H460)," ",'Q:\Abteilungsprojekte\Eng\EngData\PROJECT_Bioplastics\Renjie_Pan\05-Raw_Data\Lab_results\[LabSamples2025_Bioplastic_extra.xlsx]extra_Bioplastic'!H460)</f>
        <v/>
      </c>
    </row>
    <row r="461">
      <c r="A461">
        <f>IF(ISBLANK('Q:\Abteilungsprojekte\Eng\EngData\PROJECT_Bioplastics\Renjie_Pan\05-Raw_Data\Lab_results\[LabSamples2025_Bioplastic_extra.xlsx]extra_Bioplastic'!A461)," ",'Q:\Abteilungsprojekte\Eng\EngData\PROJECT_Bioplastics\Renjie_Pan\05-Raw_Data\Lab_results\[LabSamples2025_Bioplastic_extra.xlsx]extra_Bioplastic'!A461)</f>
        <v/>
      </c>
      <c r="B461">
        <f>IF(ISBLANK('Q:\Abteilungsprojekte\Eng\EngData\PROJECT_Bioplastics\Renjie_Pan\05-Raw_Data\Lab_results\[LabSamples2025_Bioplastic_extra.xlsx]extra_Bioplastic'!B461)," ",'Q:\Abteilungsprojekte\Eng\EngData\PROJECT_Bioplastics\Renjie_Pan\05-Raw_Data\Lab_results\[LabSamples2025_Bioplastic_extra.xlsx]extra_Bioplastic'!B461)</f>
        <v/>
      </c>
      <c r="C461">
        <f>IF(ISBLANK('Q:\Abteilungsprojekte\Eng\EngData\PROJECT_Bioplastics\Renjie_Pan\05-Raw_Data\Lab_results\[LabSamples2025_Bioplastic_extra.xlsx]extra_Bioplastic'!C461)," ",'Q:\Abteilungsprojekte\Eng\EngData\PROJECT_Bioplastics\Renjie_Pan\05-Raw_Data\Lab_results\[LabSamples2025_Bioplastic_extra.xlsx]extra_Bioplastic'!C461)</f>
        <v/>
      </c>
      <c r="D461">
        <f>IF(ISBLANK('Q:\Abteilungsprojekte\Eng\EngData\PROJECT_Bioplastics\Renjie_Pan\05-Raw_Data\Lab_results\[LabSamples2025_Bioplastic_extra.xlsx]extra_Bioplastic'!D461)," ",'Q:\Abteilungsprojekte\Eng\EngData\PROJECT_Bioplastics\Renjie_Pan\05-Raw_Data\Lab_results\[LabSamples2025_Bioplastic_extra.xlsx]extra_Bioplastic'!D461)</f>
        <v/>
      </c>
      <c r="E461">
        <f>IF(ISBLANK('Q:\Abteilungsprojekte\Eng\EngData\PROJECT_Bioplastics\Renjie_Pan\05-Raw_Data\Lab_results\[LabSamples2025_Bioplastic_extra.xlsx]extra_Bioplastic'!E461)," ",'Q:\Abteilungsprojekte\Eng\EngData\PROJECT_Bioplastics\Renjie_Pan\05-Raw_Data\Lab_results\[LabSamples2025_Bioplastic_extra.xlsx]extra_Bioplastic'!E461)</f>
        <v/>
      </c>
      <c r="F461">
        <f>IF(ISBLANK('Q:\Abteilungsprojekte\Eng\EngData\PROJECT_Bioplastics\Renjie_Pan\05-Raw_Data\Lab_results\[LabSamples2025_Bioplastic_extra.xlsx]extra_Bioplastic'!F461)," ",'Q:\Abteilungsprojekte\Eng\EngData\PROJECT_Bioplastics\Renjie_Pan\05-Raw_Data\Lab_results\[LabSamples2025_Bioplastic_extra.xlsx]extra_Bioplastic'!F461)</f>
        <v/>
      </c>
      <c r="G461">
        <f>IF(ISBLANK('Q:\Abteilungsprojekte\Eng\EngData\PROJECT_Bioplastics\Renjie_Pan\05-Raw_Data\Lab_results\[LabSamples2025_Bioplastic_extra.xlsx]extra_Bioplastic'!G461)," ",'Q:\Abteilungsprojekte\Eng\EngData\PROJECT_Bioplastics\Renjie_Pan\05-Raw_Data\Lab_results\[LabSamples2025_Bioplastic_extra.xlsx]extra_Bioplastic'!G461)</f>
        <v/>
      </c>
      <c r="H461">
        <f>IF(ISBLANK('Q:\Abteilungsprojekte\Eng\EngData\PROJECT_Bioplastics\Renjie_Pan\05-Raw_Data\Lab_results\[LabSamples2025_Bioplastic_extra.xlsx]extra_Bioplastic'!H461)," ",'Q:\Abteilungsprojekte\Eng\EngData\PROJECT_Bioplastics\Renjie_Pan\05-Raw_Data\Lab_results\[LabSamples2025_Bioplastic_extra.xlsx]extra_Bioplastic'!H461)</f>
        <v/>
      </c>
    </row>
    <row r="462">
      <c r="A462">
        <f>IF(ISBLANK('Q:\Abteilungsprojekte\Eng\EngData\PROJECT_Bioplastics\Renjie_Pan\05-Raw_Data\Lab_results\[LabSamples2025_Bioplastic_extra.xlsx]extra_Bioplastic'!A462)," ",'Q:\Abteilungsprojekte\Eng\EngData\PROJECT_Bioplastics\Renjie_Pan\05-Raw_Data\Lab_results\[LabSamples2025_Bioplastic_extra.xlsx]extra_Bioplastic'!A462)</f>
        <v/>
      </c>
      <c r="B462">
        <f>IF(ISBLANK('Q:\Abteilungsprojekte\Eng\EngData\PROJECT_Bioplastics\Renjie_Pan\05-Raw_Data\Lab_results\[LabSamples2025_Bioplastic_extra.xlsx]extra_Bioplastic'!B462)," ",'Q:\Abteilungsprojekte\Eng\EngData\PROJECT_Bioplastics\Renjie_Pan\05-Raw_Data\Lab_results\[LabSamples2025_Bioplastic_extra.xlsx]extra_Bioplastic'!B462)</f>
        <v/>
      </c>
      <c r="C462">
        <f>IF(ISBLANK('Q:\Abteilungsprojekte\Eng\EngData\PROJECT_Bioplastics\Renjie_Pan\05-Raw_Data\Lab_results\[LabSamples2025_Bioplastic_extra.xlsx]extra_Bioplastic'!C462)," ",'Q:\Abteilungsprojekte\Eng\EngData\PROJECT_Bioplastics\Renjie_Pan\05-Raw_Data\Lab_results\[LabSamples2025_Bioplastic_extra.xlsx]extra_Bioplastic'!C462)</f>
        <v/>
      </c>
      <c r="D462">
        <f>IF(ISBLANK('Q:\Abteilungsprojekte\Eng\EngData\PROJECT_Bioplastics\Renjie_Pan\05-Raw_Data\Lab_results\[LabSamples2025_Bioplastic_extra.xlsx]extra_Bioplastic'!D462)," ",'Q:\Abteilungsprojekte\Eng\EngData\PROJECT_Bioplastics\Renjie_Pan\05-Raw_Data\Lab_results\[LabSamples2025_Bioplastic_extra.xlsx]extra_Bioplastic'!D462)</f>
        <v/>
      </c>
      <c r="E462">
        <f>IF(ISBLANK('Q:\Abteilungsprojekte\Eng\EngData\PROJECT_Bioplastics\Renjie_Pan\05-Raw_Data\Lab_results\[LabSamples2025_Bioplastic_extra.xlsx]extra_Bioplastic'!E462)," ",'Q:\Abteilungsprojekte\Eng\EngData\PROJECT_Bioplastics\Renjie_Pan\05-Raw_Data\Lab_results\[LabSamples2025_Bioplastic_extra.xlsx]extra_Bioplastic'!E462)</f>
        <v/>
      </c>
      <c r="F462">
        <f>IF(ISBLANK('Q:\Abteilungsprojekte\Eng\EngData\PROJECT_Bioplastics\Renjie_Pan\05-Raw_Data\Lab_results\[LabSamples2025_Bioplastic_extra.xlsx]extra_Bioplastic'!F462)," ",'Q:\Abteilungsprojekte\Eng\EngData\PROJECT_Bioplastics\Renjie_Pan\05-Raw_Data\Lab_results\[LabSamples2025_Bioplastic_extra.xlsx]extra_Bioplastic'!F462)</f>
        <v/>
      </c>
      <c r="G462">
        <f>IF(ISBLANK('Q:\Abteilungsprojekte\Eng\EngData\PROJECT_Bioplastics\Renjie_Pan\05-Raw_Data\Lab_results\[LabSamples2025_Bioplastic_extra.xlsx]extra_Bioplastic'!G462)," ",'Q:\Abteilungsprojekte\Eng\EngData\PROJECT_Bioplastics\Renjie_Pan\05-Raw_Data\Lab_results\[LabSamples2025_Bioplastic_extra.xlsx]extra_Bioplastic'!G462)</f>
        <v/>
      </c>
      <c r="H462">
        <f>IF(ISBLANK('Q:\Abteilungsprojekte\Eng\EngData\PROJECT_Bioplastics\Renjie_Pan\05-Raw_Data\Lab_results\[LabSamples2025_Bioplastic_extra.xlsx]extra_Bioplastic'!H462)," ",'Q:\Abteilungsprojekte\Eng\EngData\PROJECT_Bioplastics\Renjie_Pan\05-Raw_Data\Lab_results\[LabSamples2025_Bioplastic_extra.xlsx]extra_Bioplastic'!H462)</f>
        <v/>
      </c>
    </row>
    <row r="463">
      <c r="A463">
        <f>IF(ISBLANK('Q:\Abteilungsprojekte\Eng\EngData\PROJECT_Bioplastics\Renjie_Pan\05-Raw_Data\Lab_results\[LabSamples2025_Bioplastic_extra.xlsx]extra_Bioplastic'!A463)," ",'Q:\Abteilungsprojekte\Eng\EngData\PROJECT_Bioplastics\Renjie_Pan\05-Raw_Data\Lab_results\[LabSamples2025_Bioplastic_extra.xlsx]extra_Bioplastic'!A463)</f>
        <v/>
      </c>
      <c r="B463">
        <f>IF(ISBLANK('Q:\Abteilungsprojekte\Eng\EngData\PROJECT_Bioplastics\Renjie_Pan\05-Raw_Data\Lab_results\[LabSamples2025_Bioplastic_extra.xlsx]extra_Bioplastic'!B463)," ",'Q:\Abteilungsprojekte\Eng\EngData\PROJECT_Bioplastics\Renjie_Pan\05-Raw_Data\Lab_results\[LabSamples2025_Bioplastic_extra.xlsx]extra_Bioplastic'!B463)</f>
        <v/>
      </c>
      <c r="C463">
        <f>IF(ISBLANK('Q:\Abteilungsprojekte\Eng\EngData\PROJECT_Bioplastics\Renjie_Pan\05-Raw_Data\Lab_results\[LabSamples2025_Bioplastic_extra.xlsx]extra_Bioplastic'!C463)," ",'Q:\Abteilungsprojekte\Eng\EngData\PROJECT_Bioplastics\Renjie_Pan\05-Raw_Data\Lab_results\[LabSamples2025_Bioplastic_extra.xlsx]extra_Bioplastic'!C463)</f>
        <v/>
      </c>
      <c r="D463">
        <f>IF(ISBLANK('Q:\Abteilungsprojekte\Eng\EngData\PROJECT_Bioplastics\Renjie_Pan\05-Raw_Data\Lab_results\[LabSamples2025_Bioplastic_extra.xlsx]extra_Bioplastic'!D463)," ",'Q:\Abteilungsprojekte\Eng\EngData\PROJECT_Bioplastics\Renjie_Pan\05-Raw_Data\Lab_results\[LabSamples2025_Bioplastic_extra.xlsx]extra_Bioplastic'!D463)</f>
        <v/>
      </c>
      <c r="E463">
        <f>IF(ISBLANK('Q:\Abteilungsprojekte\Eng\EngData\PROJECT_Bioplastics\Renjie_Pan\05-Raw_Data\Lab_results\[LabSamples2025_Bioplastic_extra.xlsx]extra_Bioplastic'!E463)," ",'Q:\Abteilungsprojekte\Eng\EngData\PROJECT_Bioplastics\Renjie_Pan\05-Raw_Data\Lab_results\[LabSamples2025_Bioplastic_extra.xlsx]extra_Bioplastic'!E463)</f>
        <v/>
      </c>
      <c r="F463">
        <f>IF(ISBLANK('Q:\Abteilungsprojekte\Eng\EngData\PROJECT_Bioplastics\Renjie_Pan\05-Raw_Data\Lab_results\[LabSamples2025_Bioplastic_extra.xlsx]extra_Bioplastic'!F463)," ",'Q:\Abteilungsprojekte\Eng\EngData\PROJECT_Bioplastics\Renjie_Pan\05-Raw_Data\Lab_results\[LabSamples2025_Bioplastic_extra.xlsx]extra_Bioplastic'!F463)</f>
        <v/>
      </c>
      <c r="G463">
        <f>IF(ISBLANK('Q:\Abteilungsprojekte\Eng\EngData\PROJECT_Bioplastics\Renjie_Pan\05-Raw_Data\Lab_results\[LabSamples2025_Bioplastic_extra.xlsx]extra_Bioplastic'!G463)," ",'Q:\Abteilungsprojekte\Eng\EngData\PROJECT_Bioplastics\Renjie_Pan\05-Raw_Data\Lab_results\[LabSamples2025_Bioplastic_extra.xlsx]extra_Bioplastic'!G463)</f>
        <v/>
      </c>
      <c r="H463">
        <f>IF(ISBLANK('Q:\Abteilungsprojekte\Eng\EngData\PROJECT_Bioplastics\Renjie_Pan\05-Raw_Data\Lab_results\[LabSamples2025_Bioplastic_extra.xlsx]extra_Bioplastic'!H463)," ",'Q:\Abteilungsprojekte\Eng\EngData\PROJECT_Bioplastics\Renjie_Pan\05-Raw_Data\Lab_results\[LabSamples2025_Bioplastic_extra.xlsx]extra_Bioplastic'!H463)</f>
        <v/>
      </c>
    </row>
    <row r="464">
      <c r="A464">
        <f>IF(ISBLANK('Q:\Abteilungsprojekte\Eng\EngData\PROJECT_Bioplastics\Renjie_Pan\05-Raw_Data\Lab_results\[LabSamples2025_Bioplastic_extra.xlsx]extra_Bioplastic'!A464)," ",'Q:\Abteilungsprojekte\Eng\EngData\PROJECT_Bioplastics\Renjie_Pan\05-Raw_Data\Lab_results\[LabSamples2025_Bioplastic_extra.xlsx]extra_Bioplastic'!A464)</f>
        <v/>
      </c>
      <c r="B464">
        <f>IF(ISBLANK('Q:\Abteilungsprojekte\Eng\EngData\PROJECT_Bioplastics\Renjie_Pan\05-Raw_Data\Lab_results\[LabSamples2025_Bioplastic_extra.xlsx]extra_Bioplastic'!B464)," ",'Q:\Abteilungsprojekte\Eng\EngData\PROJECT_Bioplastics\Renjie_Pan\05-Raw_Data\Lab_results\[LabSamples2025_Bioplastic_extra.xlsx]extra_Bioplastic'!B464)</f>
        <v/>
      </c>
      <c r="C464">
        <f>IF(ISBLANK('Q:\Abteilungsprojekte\Eng\EngData\PROJECT_Bioplastics\Renjie_Pan\05-Raw_Data\Lab_results\[LabSamples2025_Bioplastic_extra.xlsx]extra_Bioplastic'!C464)," ",'Q:\Abteilungsprojekte\Eng\EngData\PROJECT_Bioplastics\Renjie_Pan\05-Raw_Data\Lab_results\[LabSamples2025_Bioplastic_extra.xlsx]extra_Bioplastic'!C464)</f>
        <v/>
      </c>
      <c r="D464">
        <f>IF(ISBLANK('Q:\Abteilungsprojekte\Eng\EngData\PROJECT_Bioplastics\Renjie_Pan\05-Raw_Data\Lab_results\[LabSamples2025_Bioplastic_extra.xlsx]extra_Bioplastic'!D464)," ",'Q:\Abteilungsprojekte\Eng\EngData\PROJECT_Bioplastics\Renjie_Pan\05-Raw_Data\Lab_results\[LabSamples2025_Bioplastic_extra.xlsx]extra_Bioplastic'!D464)</f>
        <v/>
      </c>
      <c r="E464">
        <f>IF(ISBLANK('Q:\Abteilungsprojekte\Eng\EngData\PROJECT_Bioplastics\Renjie_Pan\05-Raw_Data\Lab_results\[LabSamples2025_Bioplastic_extra.xlsx]extra_Bioplastic'!E464)," ",'Q:\Abteilungsprojekte\Eng\EngData\PROJECT_Bioplastics\Renjie_Pan\05-Raw_Data\Lab_results\[LabSamples2025_Bioplastic_extra.xlsx]extra_Bioplastic'!E464)</f>
        <v/>
      </c>
      <c r="F464">
        <f>IF(ISBLANK('Q:\Abteilungsprojekte\Eng\EngData\PROJECT_Bioplastics\Renjie_Pan\05-Raw_Data\Lab_results\[LabSamples2025_Bioplastic_extra.xlsx]extra_Bioplastic'!F464)," ",'Q:\Abteilungsprojekte\Eng\EngData\PROJECT_Bioplastics\Renjie_Pan\05-Raw_Data\Lab_results\[LabSamples2025_Bioplastic_extra.xlsx]extra_Bioplastic'!F464)</f>
        <v/>
      </c>
      <c r="G464">
        <f>IF(ISBLANK('Q:\Abteilungsprojekte\Eng\EngData\PROJECT_Bioplastics\Renjie_Pan\05-Raw_Data\Lab_results\[LabSamples2025_Bioplastic_extra.xlsx]extra_Bioplastic'!G464)," ",'Q:\Abteilungsprojekte\Eng\EngData\PROJECT_Bioplastics\Renjie_Pan\05-Raw_Data\Lab_results\[LabSamples2025_Bioplastic_extra.xlsx]extra_Bioplastic'!G464)</f>
        <v/>
      </c>
      <c r="H464">
        <f>IF(ISBLANK('Q:\Abteilungsprojekte\Eng\EngData\PROJECT_Bioplastics\Renjie_Pan\05-Raw_Data\Lab_results\[LabSamples2025_Bioplastic_extra.xlsx]extra_Bioplastic'!H464)," ",'Q:\Abteilungsprojekte\Eng\EngData\PROJECT_Bioplastics\Renjie_Pan\05-Raw_Data\Lab_results\[LabSamples2025_Bioplastic_extra.xlsx]extra_Bioplastic'!H464)</f>
        <v/>
      </c>
    </row>
    <row r="465">
      <c r="A465">
        <f>IF(ISBLANK('Q:\Abteilungsprojekte\Eng\EngData\PROJECT_Bioplastics\Renjie_Pan\05-Raw_Data\Lab_results\[LabSamples2025_Bioplastic_extra.xlsx]extra_Bioplastic'!A465)," ",'Q:\Abteilungsprojekte\Eng\EngData\PROJECT_Bioplastics\Renjie_Pan\05-Raw_Data\Lab_results\[LabSamples2025_Bioplastic_extra.xlsx]extra_Bioplastic'!A465)</f>
        <v/>
      </c>
      <c r="B465">
        <f>IF(ISBLANK('Q:\Abteilungsprojekte\Eng\EngData\PROJECT_Bioplastics\Renjie_Pan\05-Raw_Data\Lab_results\[LabSamples2025_Bioplastic_extra.xlsx]extra_Bioplastic'!B465)," ",'Q:\Abteilungsprojekte\Eng\EngData\PROJECT_Bioplastics\Renjie_Pan\05-Raw_Data\Lab_results\[LabSamples2025_Bioplastic_extra.xlsx]extra_Bioplastic'!B465)</f>
        <v/>
      </c>
      <c r="C465">
        <f>IF(ISBLANK('Q:\Abteilungsprojekte\Eng\EngData\PROJECT_Bioplastics\Renjie_Pan\05-Raw_Data\Lab_results\[LabSamples2025_Bioplastic_extra.xlsx]extra_Bioplastic'!C465)," ",'Q:\Abteilungsprojekte\Eng\EngData\PROJECT_Bioplastics\Renjie_Pan\05-Raw_Data\Lab_results\[LabSamples2025_Bioplastic_extra.xlsx]extra_Bioplastic'!C465)</f>
        <v/>
      </c>
      <c r="D465">
        <f>IF(ISBLANK('Q:\Abteilungsprojekte\Eng\EngData\PROJECT_Bioplastics\Renjie_Pan\05-Raw_Data\Lab_results\[LabSamples2025_Bioplastic_extra.xlsx]extra_Bioplastic'!D465)," ",'Q:\Abteilungsprojekte\Eng\EngData\PROJECT_Bioplastics\Renjie_Pan\05-Raw_Data\Lab_results\[LabSamples2025_Bioplastic_extra.xlsx]extra_Bioplastic'!D465)</f>
        <v/>
      </c>
      <c r="E465">
        <f>IF(ISBLANK('Q:\Abteilungsprojekte\Eng\EngData\PROJECT_Bioplastics\Renjie_Pan\05-Raw_Data\Lab_results\[LabSamples2025_Bioplastic_extra.xlsx]extra_Bioplastic'!E465)," ",'Q:\Abteilungsprojekte\Eng\EngData\PROJECT_Bioplastics\Renjie_Pan\05-Raw_Data\Lab_results\[LabSamples2025_Bioplastic_extra.xlsx]extra_Bioplastic'!E465)</f>
        <v/>
      </c>
      <c r="F465">
        <f>IF(ISBLANK('Q:\Abteilungsprojekte\Eng\EngData\PROJECT_Bioplastics\Renjie_Pan\05-Raw_Data\Lab_results\[LabSamples2025_Bioplastic_extra.xlsx]extra_Bioplastic'!F465)," ",'Q:\Abteilungsprojekte\Eng\EngData\PROJECT_Bioplastics\Renjie_Pan\05-Raw_Data\Lab_results\[LabSamples2025_Bioplastic_extra.xlsx]extra_Bioplastic'!F465)</f>
        <v/>
      </c>
      <c r="G465">
        <f>IF(ISBLANK('Q:\Abteilungsprojekte\Eng\EngData\PROJECT_Bioplastics\Renjie_Pan\05-Raw_Data\Lab_results\[LabSamples2025_Bioplastic_extra.xlsx]extra_Bioplastic'!G465)," ",'Q:\Abteilungsprojekte\Eng\EngData\PROJECT_Bioplastics\Renjie_Pan\05-Raw_Data\Lab_results\[LabSamples2025_Bioplastic_extra.xlsx]extra_Bioplastic'!G465)</f>
        <v/>
      </c>
      <c r="H465">
        <f>IF(ISBLANK('Q:\Abteilungsprojekte\Eng\EngData\PROJECT_Bioplastics\Renjie_Pan\05-Raw_Data\Lab_results\[LabSamples2025_Bioplastic_extra.xlsx]extra_Bioplastic'!H465)," ",'Q:\Abteilungsprojekte\Eng\EngData\PROJECT_Bioplastics\Renjie_Pan\05-Raw_Data\Lab_results\[LabSamples2025_Bioplastic_extra.xlsx]extra_Bioplastic'!H465)</f>
        <v/>
      </c>
    </row>
    <row r="466">
      <c r="A466">
        <f>IF(ISBLANK('Q:\Abteilungsprojekte\Eng\EngData\PROJECT_Bioplastics\Renjie_Pan\05-Raw_Data\Lab_results\[LabSamples2025_Bioplastic_extra.xlsx]extra_Bioplastic'!A466)," ",'Q:\Abteilungsprojekte\Eng\EngData\PROJECT_Bioplastics\Renjie_Pan\05-Raw_Data\Lab_results\[LabSamples2025_Bioplastic_extra.xlsx]extra_Bioplastic'!A466)</f>
        <v/>
      </c>
      <c r="B466">
        <f>IF(ISBLANK('Q:\Abteilungsprojekte\Eng\EngData\PROJECT_Bioplastics\Renjie_Pan\05-Raw_Data\Lab_results\[LabSamples2025_Bioplastic_extra.xlsx]extra_Bioplastic'!B466)," ",'Q:\Abteilungsprojekte\Eng\EngData\PROJECT_Bioplastics\Renjie_Pan\05-Raw_Data\Lab_results\[LabSamples2025_Bioplastic_extra.xlsx]extra_Bioplastic'!B466)</f>
        <v/>
      </c>
      <c r="C466">
        <f>IF(ISBLANK('Q:\Abteilungsprojekte\Eng\EngData\PROJECT_Bioplastics\Renjie_Pan\05-Raw_Data\Lab_results\[LabSamples2025_Bioplastic_extra.xlsx]extra_Bioplastic'!C466)," ",'Q:\Abteilungsprojekte\Eng\EngData\PROJECT_Bioplastics\Renjie_Pan\05-Raw_Data\Lab_results\[LabSamples2025_Bioplastic_extra.xlsx]extra_Bioplastic'!C466)</f>
        <v/>
      </c>
      <c r="D466">
        <f>IF(ISBLANK('Q:\Abteilungsprojekte\Eng\EngData\PROJECT_Bioplastics\Renjie_Pan\05-Raw_Data\Lab_results\[LabSamples2025_Bioplastic_extra.xlsx]extra_Bioplastic'!D466)," ",'Q:\Abteilungsprojekte\Eng\EngData\PROJECT_Bioplastics\Renjie_Pan\05-Raw_Data\Lab_results\[LabSamples2025_Bioplastic_extra.xlsx]extra_Bioplastic'!D466)</f>
        <v/>
      </c>
      <c r="E466">
        <f>IF(ISBLANK('Q:\Abteilungsprojekte\Eng\EngData\PROJECT_Bioplastics\Renjie_Pan\05-Raw_Data\Lab_results\[LabSamples2025_Bioplastic_extra.xlsx]extra_Bioplastic'!E466)," ",'Q:\Abteilungsprojekte\Eng\EngData\PROJECT_Bioplastics\Renjie_Pan\05-Raw_Data\Lab_results\[LabSamples2025_Bioplastic_extra.xlsx]extra_Bioplastic'!E466)</f>
        <v/>
      </c>
      <c r="F466">
        <f>IF(ISBLANK('Q:\Abteilungsprojekte\Eng\EngData\PROJECT_Bioplastics\Renjie_Pan\05-Raw_Data\Lab_results\[LabSamples2025_Bioplastic_extra.xlsx]extra_Bioplastic'!F466)," ",'Q:\Abteilungsprojekte\Eng\EngData\PROJECT_Bioplastics\Renjie_Pan\05-Raw_Data\Lab_results\[LabSamples2025_Bioplastic_extra.xlsx]extra_Bioplastic'!F466)</f>
        <v/>
      </c>
      <c r="G466">
        <f>IF(ISBLANK('Q:\Abteilungsprojekte\Eng\EngData\PROJECT_Bioplastics\Renjie_Pan\05-Raw_Data\Lab_results\[LabSamples2025_Bioplastic_extra.xlsx]extra_Bioplastic'!G466)," ",'Q:\Abteilungsprojekte\Eng\EngData\PROJECT_Bioplastics\Renjie_Pan\05-Raw_Data\Lab_results\[LabSamples2025_Bioplastic_extra.xlsx]extra_Bioplastic'!G466)</f>
        <v/>
      </c>
      <c r="H466">
        <f>IF(ISBLANK('Q:\Abteilungsprojekte\Eng\EngData\PROJECT_Bioplastics\Renjie_Pan\05-Raw_Data\Lab_results\[LabSamples2025_Bioplastic_extra.xlsx]extra_Bioplastic'!H466)," ",'Q:\Abteilungsprojekte\Eng\EngData\PROJECT_Bioplastics\Renjie_Pan\05-Raw_Data\Lab_results\[LabSamples2025_Bioplastic_extra.xlsx]extra_Bioplastic'!H466)</f>
        <v/>
      </c>
    </row>
    <row r="467">
      <c r="A467">
        <f>IF(ISBLANK('Q:\Abteilungsprojekte\Eng\EngData\PROJECT_Bioplastics\Renjie_Pan\05-Raw_Data\Lab_results\[LabSamples2025_Bioplastic_extra.xlsx]extra_Bioplastic'!A467)," ",'Q:\Abteilungsprojekte\Eng\EngData\PROJECT_Bioplastics\Renjie_Pan\05-Raw_Data\Lab_results\[LabSamples2025_Bioplastic_extra.xlsx]extra_Bioplastic'!A467)</f>
        <v/>
      </c>
      <c r="B467">
        <f>IF(ISBLANK('Q:\Abteilungsprojekte\Eng\EngData\PROJECT_Bioplastics\Renjie_Pan\05-Raw_Data\Lab_results\[LabSamples2025_Bioplastic_extra.xlsx]extra_Bioplastic'!B467)," ",'Q:\Abteilungsprojekte\Eng\EngData\PROJECT_Bioplastics\Renjie_Pan\05-Raw_Data\Lab_results\[LabSamples2025_Bioplastic_extra.xlsx]extra_Bioplastic'!B467)</f>
        <v/>
      </c>
      <c r="C467">
        <f>IF(ISBLANK('Q:\Abteilungsprojekte\Eng\EngData\PROJECT_Bioplastics\Renjie_Pan\05-Raw_Data\Lab_results\[LabSamples2025_Bioplastic_extra.xlsx]extra_Bioplastic'!C467)," ",'Q:\Abteilungsprojekte\Eng\EngData\PROJECT_Bioplastics\Renjie_Pan\05-Raw_Data\Lab_results\[LabSamples2025_Bioplastic_extra.xlsx]extra_Bioplastic'!C467)</f>
        <v/>
      </c>
      <c r="D467">
        <f>IF(ISBLANK('Q:\Abteilungsprojekte\Eng\EngData\PROJECT_Bioplastics\Renjie_Pan\05-Raw_Data\Lab_results\[LabSamples2025_Bioplastic_extra.xlsx]extra_Bioplastic'!D467)," ",'Q:\Abteilungsprojekte\Eng\EngData\PROJECT_Bioplastics\Renjie_Pan\05-Raw_Data\Lab_results\[LabSamples2025_Bioplastic_extra.xlsx]extra_Bioplastic'!D467)</f>
        <v/>
      </c>
      <c r="E467">
        <f>IF(ISBLANK('Q:\Abteilungsprojekte\Eng\EngData\PROJECT_Bioplastics\Renjie_Pan\05-Raw_Data\Lab_results\[LabSamples2025_Bioplastic_extra.xlsx]extra_Bioplastic'!E467)," ",'Q:\Abteilungsprojekte\Eng\EngData\PROJECT_Bioplastics\Renjie_Pan\05-Raw_Data\Lab_results\[LabSamples2025_Bioplastic_extra.xlsx]extra_Bioplastic'!E467)</f>
        <v/>
      </c>
      <c r="F467">
        <f>IF(ISBLANK('Q:\Abteilungsprojekte\Eng\EngData\PROJECT_Bioplastics\Renjie_Pan\05-Raw_Data\Lab_results\[LabSamples2025_Bioplastic_extra.xlsx]extra_Bioplastic'!F467)," ",'Q:\Abteilungsprojekte\Eng\EngData\PROJECT_Bioplastics\Renjie_Pan\05-Raw_Data\Lab_results\[LabSamples2025_Bioplastic_extra.xlsx]extra_Bioplastic'!F467)</f>
        <v/>
      </c>
      <c r="G467">
        <f>IF(ISBLANK('Q:\Abteilungsprojekte\Eng\EngData\PROJECT_Bioplastics\Renjie_Pan\05-Raw_Data\Lab_results\[LabSamples2025_Bioplastic_extra.xlsx]extra_Bioplastic'!G467)," ",'Q:\Abteilungsprojekte\Eng\EngData\PROJECT_Bioplastics\Renjie_Pan\05-Raw_Data\Lab_results\[LabSamples2025_Bioplastic_extra.xlsx]extra_Bioplastic'!G467)</f>
        <v/>
      </c>
      <c r="H467">
        <f>IF(ISBLANK('Q:\Abteilungsprojekte\Eng\EngData\PROJECT_Bioplastics\Renjie_Pan\05-Raw_Data\Lab_results\[LabSamples2025_Bioplastic_extra.xlsx]extra_Bioplastic'!H467)," ",'Q:\Abteilungsprojekte\Eng\EngData\PROJECT_Bioplastics\Renjie_Pan\05-Raw_Data\Lab_results\[LabSamples2025_Bioplastic_extra.xlsx]extra_Bioplastic'!H467)</f>
        <v/>
      </c>
    </row>
    <row r="468">
      <c r="A468">
        <f>IF(ISBLANK('Q:\Abteilungsprojekte\Eng\EngData\PROJECT_Bioplastics\Renjie_Pan\05-Raw_Data\Lab_results\[LabSamples2025_Bioplastic_extra.xlsx]extra_Bioplastic'!A468)," ",'Q:\Abteilungsprojekte\Eng\EngData\PROJECT_Bioplastics\Renjie_Pan\05-Raw_Data\Lab_results\[LabSamples2025_Bioplastic_extra.xlsx]extra_Bioplastic'!A468)</f>
        <v/>
      </c>
      <c r="B468">
        <f>IF(ISBLANK('Q:\Abteilungsprojekte\Eng\EngData\PROJECT_Bioplastics\Renjie_Pan\05-Raw_Data\Lab_results\[LabSamples2025_Bioplastic_extra.xlsx]extra_Bioplastic'!B468)," ",'Q:\Abteilungsprojekte\Eng\EngData\PROJECT_Bioplastics\Renjie_Pan\05-Raw_Data\Lab_results\[LabSamples2025_Bioplastic_extra.xlsx]extra_Bioplastic'!B468)</f>
        <v/>
      </c>
      <c r="C468">
        <f>IF(ISBLANK('Q:\Abteilungsprojekte\Eng\EngData\PROJECT_Bioplastics\Renjie_Pan\05-Raw_Data\Lab_results\[LabSamples2025_Bioplastic_extra.xlsx]extra_Bioplastic'!C468)," ",'Q:\Abteilungsprojekte\Eng\EngData\PROJECT_Bioplastics\Renjie_Pan\05-Raw_Data\Lab_results\[LabSamples2025_Bioplastic_extra.xlsx]extra_Bioplastic'!C468)</f>
        <v/>
      </c>
      <c r="D468">
        <f>IF(ISBLANK('Q:\Abteilungsprojekte\Eng\EngData\PROJECT_Bioplastics\Renjie_Pan\05-Raw_Data\Lab_results\[LabSamples2025_Bioplastic_extra.xlsx]extra_Bioplastic'!D468)," ",'Q:\Abteilungsprojekte\Eng\EngData\PROJECT_Bioplastics\Renjie_Pan\05-Raw_Data\Lab_results\[LabSamples2025_Bioplastic_extra.xlsx]extra_Bioplastic'!D468)</f>
        <v/>
      </c>
      <c r="E468">
        <f>IF(ISBLANK('Q:\Abteilungsprojekte\Eng\EngData\PROJECT_Bioplastics\Renjie_Pan\05-Raw_Data\Lab_results\[LabSamples2025_Bioplastic_extra.xlsx]extra_Bioplastic'!E468)," ",'Q:\Abteilungsprojekte\Eng\EngData\PROJECT_Bioplastics\Renjie_Pan\05-Raw_Data\Lab_results\[LabSamples2025_Bioplastic_extra.xlsx]extra_Bioplastic'!E468)</f>
        <v/>
      </c>
      <c r="F468">
        <f>IF(ISBLANK('Q:\Abteilungsprojekte\Eng\EngData\PROJECT_Bioplastics\Renjie_Pan\05-Raw_Data\Lab_results\[LabSamples2025_Bioplastic_extra.xlsx]extra_Bioplastic'!F468)," ",'Q:\Abteilungsprojekte\Eng\EngData\PROJECT_Bioplastics\Renjie_Pan\05-Raw_Data\Lab_results\[LabSamples2025_Bioplastic_extra.xlsx]extra_Bioplastic'!F468)</f>
        <v/>
      </c>
      <c r="G468">
        <f>IF(ISBLANK('Q:\Abteilungsprojekte\Eng\EngData\PROJECT_Bioplastics\Renjie_Pan\05-Raw_Data\Lab_results\[LabSamples2025_Bioplastic_extra.xlsx]extra_Bioplastic'!G468)," ",'Q:\Abteilungsprojekte\Eng\EngData\PROJECT_Bioplastics\Renjie_Pan\05-Raw_Data\Lab_results\[LabSamples2025_Bioplastic_extra.xlsx]extra_Bioplastic'!G468)</f>
        <v/>
      </c>
      <c r="H468">
        <f>IF(ISBLANK('Q:\Abteilungsprojekte\Eng\EngData\PROJECT_Bioplastics\Renjie_Pan\05-Raw_Data\Lab_results\[LabSamples2025_Bioplastic_extra.xlsx]extra_Bioplastic'!H468)," ",'Q:\Abteilungsprojekte\Eng\EngData\PROJECT_Bioplastics\Renjie_Pan\05-Raw_Data\Lab_results\[LabSamples2025_Bioplastic_extra.xlsx]extra_Bioplastic'!H468)</f>
        <v/>
      </c>
    </row>
    <row r="469">
      <c r="A469">
        <f>IF(ISBLANK('Q:\Abteilungsprojekte\Eng\EngData\PROJECT_Bioplastics\Renjie_Pan\05-Raw_Data\Lab_results\[LabSamples2025_Bioplastic_extra.xlsx]extra_Bioplastic'!A469)," ",'Q:\Abteilungsprojekte\Eng\EngData\PROJECT_Bioplastics\Renjie_Pan\05-Raw_Data\Lab_results\[LabSamples2025_Bioplastic_extra.xlsx]extra_Bioplastic'!A469)</f>
        <v/>
      </c>
      <c r="B469">
        <f>IF(ISBLANK('Q:\Abteilungsprojekte\Eng\EngData\PROJECT_Bioplastics\Renjie_Pan\05-Raw_Data\Lab_results\[LabSamples2025_Bioplastic_extra.xlsx]extra_Bioplastic'!B469)," ",'Q:\Abteilungsprojekte\Eng\EngData\PROJECT_Bioplastics\Renjie_Pan\05-Raw_Data\Lab_results\[LabSamples2025_Bioplastic_extra.xlsx]extra_Bioplastic'!B469)</f>
        <v/>
      </c>
      <c r="C469">
        <f>IF(ISBLANK('Q:\Abteilungsprojekte\Eng\EngData\PROJECT_Bioplastics\Renjie_Pan\05-Raw_Data\Lab_results\[LabSamples2025_Bioplastic_extra.xlsx]extra_Bioplastic'!C469)," ",'Q:\Abteilungsprojekte\Eng\EngData\PROJECT_Bioplastics\Renjie_Pan\05-Raw_Data\Lab_results\[LabSamples2025_Bioplastic_extra.xlsx]extra_Bioplastic'!C469)</f>
        <v/>
      </c>
      <c r="D469">
        <f>IF(ISBLANK('Q:\Abteilungsprojekte\Eng\EngData\PROJECT_Bioplastics\Renjie_Pan\05-Raw_Data\Lab_results\[LabSamples2025_Bioplastic_extra.xlsx]extra_Bioplastic'!D469)," ",'Q:\Abteilungsprojekte\Eng\EngData\PROJECT_Bioplastics\Renjie_Pan\05-Raw_Data\Lab_results\[LabSamples2025_Bioplastic_extra.xlsx]extra_Bioplastic'!D469)</f>
        <v/>
      </c>
      <c r="E469">
        <f>IF(ISBLANK('Q:\Abteilungsprojekte\Eng\EngData\PROJECT_Bioplastics\Renjie_Pan\05-Raw_Data\Lab_results\[LabSamples2025_Bioplastic_extra.xlsx]extra_Bioplastic'!E469)," ",'Q:\Abteilungsprojekte\Eng\EngData\PROJECT_Bioplastics\Renjie_Pan\05-Raw_Data\Lab_results\[LabSamples2025_Bioplastic_extra.xlsx]extra_Bioplastic'!E469)</f>
        <v/>
      </c>
      <c r="F469">
        <f>IF(ISBLANK('Q:\Abteilungsprojekte\Eng\EngData\PROJECT_Bioplastics\Renjie_Pan\05-Raw_Data\Lab_results\[LabSamples2025_Bioplastic_extra.xlsx]extra_Bioplastic'!F469)," ",'Q:\Abteilungsprojekte\Eng\EngData\PROJECT_Bioplastics\Renjie_Pan\05-Raw_Data\Lab_results\[LabSamples2025_Bioplastic_extra.xlsx]extra_Bioplastic'!F469)</f>
        <v/>
      </c>
      <c r="G469">
        <f>IF(ISBLANK('Q:\Abteilungsprojekte\Eng\EngData\PROJECT_Bioplastics\Renjie_Pan\05-Raw_Data\Lab_results\[LabSamples2025_Bioplastic_extra.xlsx]extra_Bioplastic'!G469)," ",'Q:\Abteilungsprojekte\Eng\EngData\PROJECT_Bioplastics\Renjie_Pan\05-Raw_Data\Lab_results\[LabSamples2025_Bioplastic_extra.xlsx]extra_Bioplastic'!G469)</f>
        <v/>
      </c>
      <c r="H469">
        <f>IF(ISBLANK('Q:\Abteilungsprojekte\Eng\EngData\PROJECT_Bioplastics\Renjie_Pan\05-Raw_Data\Lab_results\[LabSamples2025_Bioplastic_extra.xlsx]extra_Bioplastic'!H469)," ",'Q:\Abteilungsprojekte\Eng\EngData\PROJECT_Bioplastics\Renjie_Pan\05-Raw_Data\Lab_results\[LabSamples2025_Bioplastic_extra.xlsx]extra_Bioplastic'!H469)</f>
        <v/>
      </c>
    </row>
    <row r="470">
      <c r="A470">
        <f>IF(ISBLANK('Q:\Abteilungsprojekte\Eng\EngData\PROJECT_Bioplastics\Renjie_Pan\05-Raw_Data\Lab_results\[LabSamples2025_Bioplastic_extra.xlsx]extra_Bioplastic'!A470)," ",'Q:\Abteilungsprojekte\Eng\EngData\PROJECT_Bioplastics\Renjie_Pan\05-Raw_Data\Lab_results\[LabSamples2025_Bioplastic_extra.xlsx]extra_Bioplastic'!A470)</f>
        <v/>
      </c>
      <c r="B470">
        <f>IF(ISBLANK('Q:\Abteilungsprojekte\Eng\EngData\PROJECT_Bioplastics\Renjie_Pan\05-Raw_Data\Lab_results\[LabSamples2025_Bioplastic_extra.xlsx]extra_Bioplastic'!B470)," ",'Q:\Abteilungsprojekte\Eng\EngData\PROJECT_Bioplastics\Renjie_Pan\05-Raw_Data\Lab_results\[LabSamples2025_Bioplastic_extra.xlsx]extra_Bioplastic'!B470)</f>
        <v/>
      </c>
      <c r="C470">
        <f>IF(ISBLANK('Q:\Abteilungsprojekte\Eng\EngData\PROJECT_Bioplastics\Renjie_Pan\05-Raw_Data\Lab_results\[LabSamples2025_Bioplastic_extra.xlsx]extra_Bioplastic'!C470)," ",'Q:\Abteilungsprojekte\Eng\EngData\PROJECT_Bioplastics\Renjie_Pan\05-Raw_Data\Lab_results\[LabSamples2025_Bioplastic_extra.xlsx]extra_Bioplastic'!C470)</f>
        <v/>
      </c>
      <c r="D470">
        <f>IF(ISBLANK('Q:\Abteilungsprojekte\Eng\EngData\PROJECT_Bioplastics\Renjie_Pan\05-Raw_Data\Lab_results\[LabSamples2025_Bioplastic_extra.xlsx]extra_Bioplastic'!D470)," ",'Q:\Abteilungsprojekte\Eng\EngData\PROJECT_Bioplastics\Renjie_Pan\05-Raw_Data\Lab_results\[LabSamples2025_Bioplastic_extra.xlsx]extra_Bioplastic'!D470)</f>
        <v/>
      </c>
      <c r="E470">
        <f>IF(ISBLANK('Q:\Abteilungsprojekte\Eng\EngData\PROJECT_Bioplastics\Renjie_Pan\05-Raw_Data\Lab_results\[LabSamples2025_Bioplastic_extra.xlsx]extra_Bioplastic'!E470)," ",'Q:\Abteilungsprojekte\Eng\EngData\PROJECT_Bioplastics\Renjie_Pan\05-Raw_Data\Lab_results\[LabSamples2025_Bioplastic_extra.xlsx]extra_Bioplastic'!E470)</f>
        <v/>
      </c>
      <c r="F470">
        <f>IF(ISBLANK('Q:\Abteilungsprojekte\Eng\EngData\PROJECT_Bioplastics\Renjie_Pan\05-Raw_Data\Lab_results\[LabSamples2025_Bioplastic_extra.xlsx]extra_Bioplastic'!F470)," ",'Q:\Abteilungsprojekte\Eng\EngData\PROJECT_Bioplastics\Renjie_Pan\05-Raw_Data\Lab_results\[LabSamples2025_Bioplastic_extra.xlsx]extra_Bioplastic'!F470)</f>
        <v/>
      </c>
      <c r="G470">
        <f>IF(ISBLANK('Q:\Abteilungsprojekte\Eng\EngData\PROJECT_Bioplastics\Renjie_Pan\05-Raw_Data\Lab_results\[LabSamples2025_Bioplastic_extra.xlsx]extra_Bioplastic'!G470)," ",'Q:\Abteilungsprojekte\Eng\EngData\PROJECT_Bioplastics\Renjie_Pan\05-Raw_Data\Lab_results\[LabSamples2025_Bioplastic_extra.xlsx]extra_Bioplastic'!G470)</f>
        <v/>
      </c>
      <c r="H470">
        <f>IF(ISBLANK('Q:\Abteilungsprojekte\Eng\EngData\PROJECT_Bioplastics\Renjie_Pan\05-Raw_Data\Lab_results\[LabSamples2025_Bioplastic_extra.xlsx]extra_Bioplastic'!H470)," ",'Q:\Abteilungsprojekte\Eng\EngData\PROJECT_Bioplastics\Renjie_Pan\05-Raw_Data\Lab_results\[LabSamples2025_Bioplastic_extra.xlsx]extra_Bioplastic'!H470)</f>
        <v/>
      </c>
    </row>
    <row r="471">
      <c r="A471">
        <f>IF(ISBLANK('Q:\Abteilungsprojekte\Eng\EngData\PROJECT_Bioplastics\Renjie_Pan\05-Raw_Data\Lab_results\[LabSamples2025_Bioplastic_extra.xlsx]extra_Bioplastic'!A471)," ",'Q:\Abteilungsprojekte\Eng\EngData\PROJECT_Bioplastics\Renjie_Pan\05-Raw_Data\Lab_results\[LabSamples2025_Bioplastic_extra.xlsx]extra_Bioplastic'!A471)</f>
        <v/>
      </c>
      <c r="B471">
        <f>IF(ISBLANK('Q:\Abteilungsprojekte\Eng\EngData\PROJECT_Bioplastics\Renjie_Pan\05-Raw_Data\Lab_results\[LabSamples2025_Bioplastic_extra.xlsx]extra_Bioplastic'!B471)," ",'Q:\Abteilungsprojekte\Eng\EngData\PROJECT_Bioplastics\Renjie_Pan\05-Raw_Data\Lab_results\[LabSamples2025_Bioplastic_extra.xlsx]extra_Bioplastic'!B471)</f>
        <v/>
      </c>
      <c r="C471">
        <f>IF(ISBLANK('Q:\Abteilungsprojekte\Eng\EngData\PROJECT_Bioplastics\Renjie_Pan\05-Raw_Data\Lab_results\[LabSamples2025_Bioplastic_extra.xlsx]extra_Bioplastic'!C471)," ",'Q:\Abteilungsprojekte\Eng\EngData\PROJECT_Bioplastics\Renjie_Pan\05-Raw_Data\Lab_results\[LabSamples2025_Bioplastic_extra.xlsx]extra_Bioplastic'!C471)</f>
        <v/>
      </c>
      <c r="D471">
        <f>IF(ISBLANK('Q:\Abteilungsprojekte\Eng\EngData\PROJECT_Bioplastics\Renjie_Pan\05-Raw_Data\Lab_results\[LabSamples2025_Bioplastic_extra.xlsx]extra_Bioplastic'!D471)," ",'Q:\Abteilungsprojekte\Eng\EngData\PROJECT_Bioplastics\Renjie_Pan\05-Raw_Data\Lab_results\[LabSamples2025_Bioplastic_extra.xlsx]extra_Bioplastic'!D471)</f>
        <v/>
      </c>
      <c r="E471">
        <f>IF(ISBLANK('Q:\Abteilungsprojekte\Eng\EngData\PROJECT_Bioplastics\Renjie_Pan\05-Raw_Data\Lab_results\[LabSamples2025_Bioplastic_extra.xlsx]extra_Bioplastic'!E471)," ",'Q:\Abteilungsprojekte\Eng\EngData\PROJECT_Bioplastics\Renjie_Pan\05-Raw_Data\Lab_results\[LabSamples2025_Bioplastic_extra.xlsx]extra_Bioplastic'!E471)</f>
        <v/>
      </c>
      <c r="F471">
        <f>IF(ISBLANK('Q:\Abteilungsprojekte\Eng\EngData\PROJECT_Bioplastics\Renjie_Pan\05-Raw_Data\Lab_results\[LabSamples2025_Bioplastic_extra.xlsx]extra_Bioplastic'!F471)," ",'Q:\Abteilungsprojekte\Eng\EngData\PROJECT_Bioplastics\Renjie_Pan\05-Raw_Data\Lab_results\[LabSamples2025_Bioplastic_extra.xlsx]extra_Bioplastic'!F471)</f>
        <v/>
      </c>
      <c r="G471">
        <f>IF(ISBLANK('Q:\Abteilungsprojekte\Eng\EngData\PROJECT_Bioplastics\Renjie_Pan\05-Raw_Data\Lab_results\[LabSamples2025_Bioplastic_extra.xlsx]extra_Bioplastic'!G471)," ",'Q:\Abteilungsprojekte\Eng\EngData\PROJECT_Bioplastics\Renjie_Pan\05-Raw_Data\Lab_results\[LabSamples2025_Bioplastic_extra.xlsx]extra_Bioplastic'!G471)</f>
        <v/>
      </c>
      <c r="H471">
        <f>IF(ISBLANK('Q:\Abteilungsprojekte\Eng\EngData\PROJECT_Bioplastics\Renjie_Pan\05-Raw_Data\Lab_results\[LabSamples2025_Bioplastic_extra.xlsx]extra_Bioplastic'!H471)," ",'Q:\Abteilungsprojekte\Eng\EngData\PROJECT_Bioplastics\Renjie_Pan\05-Raw_Data\Lab_results\[LabSamples2025_Bioplastic_extra.xlsx]extra_Bioplastic'!H471)</f>
        <v/>
      </c>
    </row>
    <row r="472">
      <c r="A472">
        <f>IF(ISBLANK('Q:\Abteilungsprojekte\Eng\EngData\PROJECT_Bioplastics\Renjie_Pan\05-Raw_Data\Lab_results\[LabSamples2025_Bioplastic_extra.xlsx]extra_Bioplastic'!A472)," ",'Q:\Abteilungsprojekte\Eng\EngData\PROJECT_Bioplastics\Renjie_Pan\05-Raw_Data\Lab_results\[LabSamples2025_Bioplastic_extra.xlsx]extra_Bioplastic'!A472)</f>
        <v/>
      </c>
      <c r="B472">
        <f>IF(ISBLANK('Q:\Abteilungsprojekte\Eng\EngData\PROJECT_Bioplastics\Renjie_Pan\05-Raw_Data\Lab_results\[LabSamples2025_Bioplastic_extra.xlsx]extra_Bioplastic'!B472)," ",'Q:\Abteilungsprojekte\Eng\EngData\PROJECT_Bioplastics\Renjie_Pan\05-Raw_Data\Lab_results\[LabSamples2025_Bioplastic_extra.xlsx]extra_Bioplastic'!B472)</f>
        <v/>
      </c>
      <c r="C472">
        <f>IF(ISBLANK('Q:\Abteilungsprojekte\Eng\EngData\PROJECT_Bioplastics\Renjie_Pan\05-Raw_Data\Lab_results\[LabSamples2025_Bioplastic_extra.xlsx]extra_Bioplastic'!C472)," ",'Q:\Abteilungsprojekte\Eng\EngData\PROJECT_Bioplastics\Renjie_Pan\05-Raw_Data\Lab_results\[LabSamples2025_Bioplastic_extra.xlsx]extra_Bioplastic'!C472)</f>
        <v/>
      </c>
      <c r="D472">
        <f>IF(ISBLANK('Q:\Abteilungsprojekte\Eng\EngData\PROJECT_Bioplastics\Renjie_Pan\05-Raw_Data\Lab_results\[LabSamples2025_Bioplastic_extra.xlsx]extra_Bioplastic'!D472)," ",'Q:\Abteilungsprojekte\Eng\EngData\PROJECT_Bioplastics\Renjie_Pan\05-Raw_Data\Lab_results\[LabSamples2025_Bioplastic_extra.xlsx]extra_Bioplastic'!D472)</f>
        <v/>
      </c>
      <c r="E472">
        <f>IF(ISBLANK('Q:\Abteilungsprojekte\Eng\EngData\PROJECT_Bioplastics\Renjie_Pan\05-Raw_Data\Lab_results\[LabSamples2025_Bioplastic_extra.xlsx]extra_Bioplastic'!E472)," ",'Q:\Abteilungsprojekte\Eng\EngData\PROJECT_Bioplastics\Renjie_Pan\05-Raw_Data\Lab_results\[LabSamples2025_Bioplastic_extra.xlsx]extra_Bioplastic'!E472)</f>
        <v/>
      </c>
      <c r="F472">
        <f>IF(ISBLANK('Q:\Abteilungsprojekte\Eng\EngData\PROJECT_Bioplastics\Renjie_Pan\05-Raw_Data\Lab_results\[LabSamples2025_Bioplastic_extra.xlsx]extra_Bioplastic'!F472)," ",'Q:\Abteilungsprojekte\Eng\EngData\PROJECT_Bioplastics\Renjie_Pan\05-Raw_Data\Lab_results\[LabSamples2025_Bioplastic_extra.xlsx]extra_Bioplastic'!F472)</f>
        <v/>
      </c>
      <c r="G472">
        <f>IF(ISBLANK('Q:\Abteilungsprojekte\Eng\EngData\PROJECT_Bioplastics\Renjie_Pan\05-Raw_Data\Lab_results\[LabSamples2025_Bioplastic_extra.xlsx]extra_Bioplastic'!G472)," ",'Q:\Abteilungsprojekte\Eng\EngData\PROJECT_Bioplastics\Renjie_Pan\05-Raw_Data\Lab_results\[LabSamples2025_Bioplastic_extra.xlsx]extra_Bioplastic'!G472)</f>
        <v/>
      </c>
      <c r="H472">
        <f>IF(ISBLANK('Q:\Abteilungsprojekte\Eng\EngData\PROJECT_Bioplastics\Renjie_Pan\05-Raw_Data\Lab_results\[LabSamples2025_Bioplastic_extra.xlsx]extra_Bioplastic'!H472)," ",'Q:\Abteilungsprojekte\Eng\EngData\PROJECT_Bioplastics\Renjie_Pan\05-Raw_Data\Lab_results\[LabSamples2025_Bioplastic_extra.xlsx]extra_Bioplastic'!H472)</f>
        <v/>
      </c>
    </row>
    <row r="473">
      <c r="A473">
        <f>IF(ISBLANK('Q:\Abteilungsprojekte\Eng\EngData\PROJECT_Bioplastics\Renjie_Pan\05-Raw_Data\Lab_results\[LabSamples2025_Bioplastic_extra.xlsx]extra_Bioplastic'!A473)," ",'Q:\Abteilungsprojekte\Eng\EngData\PROJECT_Bioplastics\Renjie_Pan\05-Raw_Data\Lab_results\[LabSamples2025_Bioplastic_extra.xlsx]extra_Bioplastic'!A473)</f>
        <v/>
      </c>
      <c r="B473">
        <f>IF(ISBLANK('Q:\Abteilungsprojekte\Eng\EngData\PROJECT_Bioplastics\Renjie_Pan\05-Raw_Data\Lab_results\[LabSamples2025_Bioplastic_extra.xlsx]extra_Bioplastic'!B473)," ",'Q:\Abteilungsprojekte\Eng\EngData\PROJECT_Bioplastics\Renjie_Pan\05-Raw_Data\Lab_results\[LabSamples2025_Bioplastic_extra.xlsx]extra_Bioplastic'!B473)</f>
        <v/>
      </c>
      <c r="C473">
        <f>IF(ISBLANK('Q:\Abteilungsprojekte\Eng\EngData\PROJECT_Bioplastics\Renjie_Pan\05-Raw_Data\Lab_results\[LabSamples2025_Bioplastic_extra.xlsx]extra_Bioplastic'!C473)," ",'Q:\Abteilungsprojekte\Eng\EngData\PROJECT_Bioplastics\Renjie_Pan\05-Raw_Data\Lab_results\[LabSamples2025_Bioplastic_extra.xlsx]extra_Bioplastic'!C473)</f>
        <v/>
      </c>
      <c r="D473">
        <f>IF(ISBLANK('Q:\Abteilungsprojekte\Eng\EngData\PROJECT_Bioplastics\Renjie_Pan\05-Raw_Data\Lab_results\[LabSamples2025_Bioplastic_extra.xlsx]extra_Bioplastic'!D473)," ",'Q:\Abteilungsprojekte\Eng\EngData\PROJECT_Bioplastics\Renjie_Pan\05-Raw_Data\Lab_results\[LabSamples2025_Bioplastic_extra.xlsx]extra_Bioplastic'!D473)</f>
        <v/>
      </c>
      <c r="E473">
        <f>IF(ISBLANK('Q:\Abteilungsprojekte\Eng\EngData\PROJECT_Bioplastics\Renjie_Pan\05-Raw_Data\Lab_results\[LabSamples2025_Bioplastic_extra.xlsx]extra_Bioplastic'!E473)," ",'Q:\Abteilungsprojekte\Eng\EngData\PROJECT_Bioplastics\Renjie_Pan\05-Raw_Data\Lab_results\[LabSamples2025_Bioplastic_extra.xlsx]extra_Bioplastic'!E473)</f>
        <v/>
      </c>
      <c r="F473">
        <f>IF(ISBLANK('Q:\Abteilungsprojekte\Eng\EngData\PROJECT_Bioplastics\Renjie_Pan\05-Raw_Data\Lab_results\[LabSamples2025_Bioplastic_extra.xlsx]extra_Bioplastic'!F473)," ",'Q:\Abteilungsprojekte\Eng\EngData\PROJECT_Bioplastics\Renjie_Pan\05-Raw_Data\Lab_results\[LabSamples2025_Bioplastic_extra.xlsx]extra_Bioplastic'!F473)</f>
        <v/>
      </c>
      <c r="G473">
        <f>IF(ISBLANK('Q:\Abteilungsprojekte\Eng\EngData\PROJECT_Bioplastics\Renjie_Pan\05-Raw_Data\Lab_results\[LabSamples2025_Bioplastic_extra.xlsx]extra_Bioplastic'!G473)," ",'Q:\Abteilungsprojekte\Eng\EngData\PROJECT_Bioplastics\Renjie_Pan\05-Raw_Data\Lab_results\[LabSamples2025_Bioplastic_extra.xlsx]extra_Bioplastic'!G473)</f>
        <v/>
      </c>
      <c r="H473">
        <f>IF(ISBLANK('Q:\Abteilungsprojekte\Eng\EngData\PROJECT_Bioplastics\Renjie_Pan\05-Raw_Data\Lab_results\[LabSamples2025_Bioplastic_extra.xlsx]extra_Bioplastic'!H473)," ",'Q:\Abteilungsprojekte\Eng\EngData\PROJECT_Bioplastics\Renjie_Pan\05-Raw_Data\Lab_results\[LabSamples2025_Bioplastic_extra.xlsx]extra_Bioplastic'!H473)</f>
        <v/>
      </c>
    </row>
    <row r="474">
      <c r="A474">
        <f>IF(ISBLANK('Q:\Abteilungsprojekte\Eng\EngData\PROJECT_Bioplastics\Renjie_Pan\05-Raw_Data\Lab_results\[LabSamples2025_Bioplastic_extra.xlsx]extra_Bioplastic'!A474)," ",'Q:\Abteilungsprojekte\Eng\EngData\PROJECT_Bioplastics\Renjie_Pan\05-Raw_Data\Lab_results\[LabSamples2025_Bioplastic_extra.xlsx]extra_Bioplastic'!A474)</f>
        <v/>
      </c>
      <c r="B474">
        <f>IF(ISBLANK('Q:\Abteilungsprojekte\Eng\EngData\PROJECT_Bioplastics\Renjie_Pan\05-Raw_Data\Lab_results\[LabSamples2025_Bioplastic_extra.xlsx]extra_Bioplastic'!B474)," ",'Q:\Abteilungsprojekte\Eng\EngData\PROJECT_Bioplastics\Renjie_Pan\05-Raw_Data\Lab_results\[LabSamples2025_Bioplastic_extra.xlsx]extra_Bioplastic'!B474)</f>
        <v/>
      </c>
      <c r="C474">
        <f>IF(ISBLANK('Q:\Abteilungsprojekte\Eng\EngData\PROJECT_Bioplastics\Renjie_Pan\05-Raw_Data\Lab_results\[LabSamples2025_Bioplastic_extra.xlsx]extra_Bioplastic'!C474)," ",'Q:\Abteilungsprojekte\Eng\EngData\PROJECT_Bioplastics\Renjie_Pan\05-Raw_Data\Lab_results\[LabSamples2025_Bioplastic_extra.xlsx]extra_Bioplastic'!C474)</f>
        <v/>
      </c>
      <c r="D474">
        <f>IF(ISBLANK('Q:\Abteilungsprojekte\Eng\EngData\PROJECT_Bioplastics\Renjie_Pan\05-Raw_Data\Lab_results\[LabSamples2025_Bioplastic_extra.xlsx]extra_Bioplastic'!D474)," ",'Q:\Abteilungsprojekte\Eng\EngData\PROJECT_Bioplastics\Renjie_Pan\05-Raw_Data\Lab_results\[LabSamples2025_Bioplastic_extra.xlsx]extra_Bioplastic'!D474)</f>
        <v/>
      </c>
      <c r="E474">
        <f>IF(ISBLANK('Q:\Abteilungsprojekte\Eng\EngData\PROJECT_Bioplastics\Renjie_Pan\05-Raw_Data\Lab_results\[LabSamples2025_Bioplastic_extra.xlsx]extra_Bioplastic'!E474)," ",'Q:\Abteilungsprojekte\Eng\EngData\PROJECT_Bioplastics\Renjie_Pan\05-Raw_Data\Lab_results\[LabSamples2025_Bioplastic_extra.xlsx]extra_Bioplastic'!E474)</f>
        <v/>
      </c>
      <c r="F474">
        <f>IF(ISBLANK('Q:\Abteilungsprojekte\Eng\EngData\PROJECT_Bioplastics\Renjie_Pan\05-Raw_Data\Lab_results\[LabSamples2025_Bioplastic_extra.xlsx]extra_Bioplastic'!F474)," ",'Q:\Abteilungsprojekte\Eng\EngData\PROJECT_Bioplastics\Renjie_Pan\05-Raw_Data\Lab_results\[LabSamples2025_Bioplastic_extra.xlsx]extra_Bioplastic'!F474)</f>
        <v/>
      </c>
      <c r="G474">
        <f>IF(ISBLANK('Q:\Abteilungsprojekte\Eng\EngData\PROJECT_Bioplastics\Renjie_Pan\05-Raw_Data\Lab_results\[LabSamples2025_Bioplastic_extra.xlsx]extra_Bioplastic'!G474)," ",'Q:\Abteilungsprojekte\Eng\EngData\PROJECT_Bioplastics\Renjie_Pan\05-Raw_Data\Lab_results\[LabSamples2025_Bioplastic_extra.xlsx]extra_Bioplastic'!G474)</f>
        <v/>
      </c>
      <c r="H474">
        <f>IF(ISBLANK('Q:\Abteilungsprojekte\Eng\EngData\PROJECT_Bioplastics\Renjie_Pan\05-Raw_Data\Lab_results\[LabSamples2025_Bioplastic_extra.xlsx]extra_Bioplastic'!H474)," ",'Q:\Abteilungsprojekte\Eng\EngData\PROJECT_Bioplastics\Renjie_Pan\05-Raw_Data\Lab_results\[LabSamples2025_Bioplastic_extra.xlsx]extra_Bioplastic'!H474)</f>
        <v/>
      </c>
    </row>
    <row r="475">
      <c r="A475">
        <f>IF(ISBLANK('Q:\Abteilungsprojekte\Eng\EngData\PROJECT_Bioplastics\Renjie_Pan\05-Raw_Data\Lab_results\[LabSamples2025_Bioplastic_extra.xlsx]extra_Bioplastic'!A475)," ",'Q:\Abteilungsprojekte\Eng\EngData\PROJECT_Bioplastics\Renjie_Pan\05-Raw_Data\Lab_results\[LabSamples2025_Bioplastic_extra.xlsx]extra_Bioplastic'!A475)</f>
        <v/>
      </c>
      <c r="B475">
        <f>IF(ISBLANK('Q:\Abteilungsprojekte\Eng\EngData\PROJECT_Bioplastics\Renjie_Pan\05-Raw_Data\Lab_results\[LabSamples2025_Bioplastic_extra.xlsx]extra_Bioplastic'!B475)," ",'Q:\Abteilungsprojekte\Eng\EngData\PROJECT_Bioplastics\Renjie_Pan\05-Raw_Data\Lab_results\[LabSamples2025_Bioplastic_extra.xlsx]extra_Bioplastic'!B475)</f>
        <v/>
      </c>
      <c r="C475">
        <f>IF(ISBLANK('Q:\Abteilungsprojekte\Eng\EngData\PROJECT_Bioplastics\Renjie_Pan\05-Raw_Data\Lab_results\[LabSamples2025_Bioplastic_extra.xlsx]extra_Bioplastic'!C475)," ",'Q:\Abteilungsprojekte\Eng\EngData\PROJECT_Bioplastics\Renjie_Pan\05-Raw_Data\Lab_results\[LabSamples2025_Bioplastic_extra.xlsx]extra_Bioplastic'!C475)</f>
        <v/>
      </c>
      <c r="D475">
        <f>IF(ISBLANK('Q:\Abteilungsprojekte\Eng\EngData\PROJECT_Bioplastics\Renjie_Pan\05-Raw_Data\Lab_results\[LabSamples2025_Bioplastic_extra.xlsx]extra_Bioplastic'!D475)," ",'Q:\Abteilungsprojekte\Eng\EngData\PROJECT_Bioplastics\Renjie_Pan\05-Raw_Data\Lab_results\[LabSamples2025_Bioplastic_extra.xlsx]extra_Bioplastic'!D475)</f>
        <v/>
      </c>
      <c r="E475">
        <f>IF(ISBLANK('Q:\Abteilungsprojekte\Eng\EngData\PROJECT_Bioplastics\Renjie_Pan\05-Raw_Data\Lab_results\[LabSamples2025_Bioplastic_extra.xlsx]extra_Bioplastic'!E475)," ",'Q:\Abteilungsprojekte\Eng\EngData\PROJECT_Bioplastics\Renjie_Pan\05-Raw_Data\Lab_results\[LabSamples2025_Bioplastic_extra.xlsx]extra_Bioplastic'!E475)</f>
        <v/>
      </c>
      <c r="F475">
        <f>IF(ISBLANK('Q:\Abteilungsprojekte\Eng\EngData\PROJECT_Bioplastics\Renjie_Pan\05-Raw_Data\Lab_results\[LabSamples2025_Bioplastic_extra.xlsx]extra_Bioplastic'!F475)," ",'Q:\Abteilungsprojekte\Eng\EngData\PROJECT_Bioplastics\Renjie_Pan\05-Raw_Data\Lab_results\[LabSamples2025_Bioplastic_extra.xlsx]extra_Bioplastic'!F475)</f>
        <v/>
      </c>
      <c r="G475">
        <f>IF(ISBLANK('Q:\Abteilungsprojekte\Eng\EngData\PROJECT_Bioplastics\Renjie_Pan\05-Raw_Data\Lab_results\[LabSamples2025_Bioplastic_extra.xlsx]extra_Bioplastic'!G475)," ",'Q:\Abteilungsprojekte\Eng\EngData\PROJECT_Bioplastics\Renjie_Pan\05-Raw_Data\Lab_results\[LabSamples2025_Bioplastic_extra.xlsx]extra_Bioplastic'!G475)</f>
        <v/>
      </c>
      <c r="H475">
        <f>IF(ISBLANK('Q:\Abteilungsprojekte\Eng\EngData\PROJECT_Bioplastics\Renjie_Pan\05-Raw_Data\Lab_results\[LabSamples2025_Bioplastic_extra.xlsx]extra_Bioplastic'!H475)," ",'Q:\Abteilungsprojekte\Eng\EngData\PROJECT_Bioplastics\Renjie_Pan\05-Raw_Data\Lab_results\[LabSamples2025_Bioplastic_extra.xlsx]extra_Bioplastic'!H475)</f>
        <v/>
      </c>
    </row>
    <row r="476">
      <c r="A476">
        <f>IF(ISBLANK('Q:\Abteilungsprojekte\Eng\EngData\PROJECT_Bioplastics\Renjie_Pan\05-Raw_Data\Lab_results\[LabSamples2025_Bioplastic_extra.xlsx]extra_Bioplastic'!A476)," ",'Q:\Abteilungsprojekte\Eng\EngData\PROJECT_Bioplastics\Renjie_Pan\05-Raw_Data\Lab_results\[LabSamples2025_Bioplastic_extra.xlsx]extra_Bioplastic'!A476)</f>
        <v/>
      </c>
      <c r="B476">
        <f>IF(ISBLANK('Q:\Abteilungsprojekte\Eng\EngData\PROJECT_Bioplastics\Renjie_Pan\05-Raw_Data\Lab_results\[LabSamples2025_Bioplastic_extra.xlsx]extra_Bioplastic'!B476)," ",'Q:\Abteilungsprojekte\Eng\EngData\PROJECT_Bioplastics\Renjie_Pan\05-Raw_Data\Lab_results\[LabSamples2025_Bioplastic_extra.xlsx]extra_Bioplastic'!B476)</f>
        <v/>
      </c>
      <c r="C476">
        <f>IF(ISBLANK('Q:\Abteilungsprojekte\Eng\EngData\PROJECT_Bioplastics\Renjie_Pan\05-Raw_Data\Lab_results\[LabSamples2025_Bioplastic_extra.xlsx]extra_Bioplastic'!C476)," ",'Q:\Abteilungsprojekte\Eng\EngData\PROJECT_Bioplastics\Renjie_Pan\05-Raw_Data\Lab_results\[LabSamples2025_Bioplastic_extra.xlsx]extra_Bioplastic'!C476)</f>
        <v/>
      </c>
      <c r="D476">
        <f>IF(ISBLANK('Q:\Abteilungsprojekte\Eng\EngData\PROJECT_Bioplastics\Renjie_Pan\05-Raw_Data\Lab_results\[LabSamples2025_Bioplastic_extra.xlsx]extra_Bioplastic'!D476)," ",'Q:\Abteilungsprojekte\Eng\EngData\PROJECT_Bioplastics\Renjie_Pan\05-Raw_Data\Lab_results\[LabSamples2025_Bioplastic_extra.xlsx]extra_Bioplastic'!D476)</f>
        <v/>
      </c>
      <c r="E476">
        <f>IF(ISBLANK('Q:\Abteilungsprojekte\Eng\EngData\PROJECT_Bioplastics\Renjie_Pan\05-Raw_Data\Lab_results\[LabSamples2025_Bioplastic_extra.xlsx]extra_Bioplastic'!E476)," ",'Q:\Abteilungsprojekte\Eng\EngData\PROJECT_Bioplastics\Renjie_Pan\05-Raw_Data\Lab_results\[LabSamples2025_Bioplastic_extra.xlsx]extra_Bioplastic'!E476)</f>
        <v/>
      </c>
      <c r="F476">
        <f>IF(ISBLANK('Q:\Abteilungsprojekte\Eng\EngData\PROJECT_Bioplastics\Renjie_Pan\05-Raw_Data\Lab_results\[LabSamples2025_Bioplastic_extra.xlsx]extra_Bioplastic'!F476)," ",'Q:\Abteilungsprojekte\Eng\EngData\PROJECT_Bioplastics\Renjie_Pan\05-Raw_Data\Lab_results\[LabSamples2025_Bioplastic_extra.xlsx]extra_Bioplastic'!F476)</f>
        <v/>
      </c>
      <c r="G476">
        <f>IF(ISBLANK('Q:\Abteilungsprojekte\Eng\EngData\PROJECT_Bioplastics\Renjie_Pan\05-Raw_Data\Lab_results\[LabSamples2025_Bioplastic_extra.xlsx]extra_Bioplastic'!G476)," ",'Q:\Abteilungsprojekte\Eng\EngData\PROJECT_Bioplastics\Renjie_Pan\05-Raw_Data\Lab_results\[LabSamples2025_Bioplastic_extra.xlsx]extra_Bioplastic'!G476)</f>
        <v/>
      </c>
      <c r="H476">
        <f>IF(ISBLANK('Q:\Abteilungsprojekte\Eng\EngData\PROJECT_Bioplastics\Renjie_Pan\05-Raw_Data\Lab_results\[LabSamples2025_Bioplastic_extra.xlsx]extra_Bioplastic'!H476)," ",'Q:\Abteilungsprojekte\Eng\EngData\PROJECT_Bioplastics\Renjie_Pan\05-Raw_Data\Lab_results\[LabSamples2025_Bioplastic_extra.xlsx]extra_Bioplastic'!H476)</f>
        <v/>
      </c>
    </row>
    <row r="477">
      <c r="A477">
        <f>IF(ISBLANK('Q:\Abteilungsprojekte\Eng\EngData\PROJECT_Bioplastics\Renjie_Pan\05-Raw_Data\Lab_results\[LabSamples2025_Bioplastic_extra.xlsx]extra_Bioplastic'!A477)," ",'Q:\Abteilungsprojekte\Eng\EngData\PROJECT_Bioplastics\Renjie_Pan\05-Raw_Data\Lab_results\[LabSamples2025_Bioplastic_extra.xlsx]extra_Bioplastic'!A477)</f>
        <v/>
      </c>
      <c r="B477">
        <f>IF(ISBLANK('Q:\Abteilungsprojekte\Eng\EngData\PROJECT_Bioplastics\Renjie_Pan\05-Raw_Data\Lab_results\[LabSamples2025_Bioplastic_extra.xlsx]extra_Bioplastic'!B477)," ",'Q:\Abteilungsprojekte\Eng\EngData\PROJECT_Bioplastics\Renjie_Pan\05-Raw_Data\Lab_results\[LabSamples2025_Bioplastic_extra.xlsx]extra_Bioplastic'!B477)</f>
        <v/>
      </c>
      <c r="C477">
        <f>IF(ISBLANK('Q:\Abteilungsprojekte\Eng\EngData\PROJECT_Bioplastics\Renjie_Pan\05-Raw_Data\Lab_results\[LabSamples2025_Bioplastic_extra.xlsx]extra_Bioplastic'!C477)," ",'Q:\Abteilungsprojekte\Eng\EngData\PROJECT_Bioplastics\Renjie_Pan\05-Raw_Data\Lab_results\[LabSamples2025_Bioplastic_extra.xlsx]extra_Bioplastic'!C477)</f>
        <v/>
      </c>
      <c r="D477">
        <f>IF(ISBLANK('Q:\Abteilungsprojekte\Eng\EngData\PROJECT_Bioplastics\Renjie_Pan\05-Raw_Data\Lab_results\[LabSamples2025_Bioplastic_extra.xlsx]extra_Bioplastic'!D477)," ",'Q:\Abteilungsprojekte\Eng\EngData\PROJECT_Bioplastics\Renjie_Pan\05-Raw_Data\Lab_results\[LabSamples2025_Bioplastic_extra.xlsx]extra_Bioplastic'!D477)</f>
        <v/>
      </c>
      <c r="E477">
        <f>IF(ISBLANK('Q:\Abteilungsprojekte\Eng\EngData\PROJECT_Bioplastics\Renjie_Pan\05-Raw_Data\Lab_results\[LabSamples2025_Bioplastic_extra.xlsx]extra_Bioplastic'!E477)," ",'Q:\Abteilungsprojekte\Eng\EngData\PROJECT_Bioplastics\Renjie_Pan\05-Raw_Data\Lab_results\[LabSamples2025_Bioplastic_extra.xlsx]extra_Bioplastic'!E477)</f>
        <v/>
      </c>
      <c r="F477">
        <f>IF(ISBLANK('Q:\Abteilungsprojekte\Eng\EngData\PROJECT_Bioplastics\Renjie_Pan\05-Raw_Data\Lab_results\[LabSamples2025_Bioplastic_extra.xlsx]extra_Bioplastic'!F477)," ",'Q:\Abteilungsprojekte\Eng\EngData\PROJECT_Bioplastics\Renjie_Pan\05-Raw_Data\Lab_results\[LabSamples2025_Bioplastic_extra.xlsx]extra_Bioplastic'!F477)</f>
        <v/>
      </c>
      <c r="G477">
        <f>IF(ISBLANK('Q:\Abteilungsprojekte\Eng\EngData\PROJECT_Bioplastics\Renjie_Pan\05-Raw_Data\Lab_results\[LabSamples2025_Bioplastic_extra.xlsx]extra_Bioplastic'!G477)," ",'Q:\Abteilungsprojekte\Eng\EngData\PROJECT_Bioplastics\Renjie_Pan\05-Raw_Data\Lab_results\[LabSamples2025_Bioplastic_extra.xlsx]extra_Bioplastic'!G477)</f>
        <v/>
      </c>
      <c r="H477">
        <f>IF(ISBLANK('Q:\Abteilungsprojekte\Eng\EngData\PROJECT_Bioplastics\Renjie_Pan\05-Raw_Data\Lab_results\[LabSamples2025_Bioplastic_extra.xlsx]extra_Bioplastic'!H477)," ",'Q:\Abteilungsprojekte\Eng\EngData\PROJECT_Bioplastics\Renjie_Pan\05-Raw_Data\Lab_results\[LabSamples2025_Bioplastic_extra.xlsx]extra_Bioplastic'!H477)</f>
        <v/>
      </c>
    </row>
    <row r="478">
      <c r="A478">
        <f>IF(ISBLANK('Q:\Abteilungsprojekte\Eng\EngData\PROJECT_Bioplastics\Renjie_Pan\05-Raw_Data\Lab_results\[LabSamples2025_Bioplastic_extra.xlsx]extra_Bioplastic'!A478)," ",'Q:\Abteilungsprojekte\Eng\EngData\PROJECT_Bioplastics\Renjie_Pan\05-Raw_Data\Lab_results\[LabSamples2025_Bioplastic_extra.xlsx]extra_Bioplastic'!A478)</f>
        <v/>
      </c>
      <c r="B478">
        <f>IF(ISBLANK('Q:\Abteilungsprojekte\Eng\EngData\PROJECT_Bioplastics\Renjie_Pan\05-Raw_Data\Lab_results\[LabSamples2025_Bioplastic_extra.xlsx]extra_Bioplastic'!B478)," ",'Q:\Abteilungsprojekte\Eng\EngData\PROJECT_Bioplastics\Renjie_Pan\05-Raw_Data\Lab_results\[LabSamples2025_Bioplastic_extra.xlsx]extra_Bioplastic'!B478)</f>
        <v/>
      </c>
      <c r="C478">
        <f>IF(ISBLANK('Q:\Abteilungsprojekte\Eng\EngData\PROJECT_Bioplastics\Renjie_Pan\05-Raw_Data\Lab_results\[LabSamples2025_Bioplastic_extra.xlsx]extra_Bioplastic'!C478)," ",'Q:\Abteilungsprojekte\Eng\EngData\PROJECT_Bioplastics\Renjie_Pan\05-Raw_Data\Lab_results\[LabSamples2025_Bioplastic_extra.xlsx]extra_Bioplastic'!C478)</f>
        <v/>
      </c>
      <c r="D478">
        <f>IF(ISBLANK('Q:\Abteilungsprojekte\Eng\EngData\PROJECT_Bioplastics\Renjie_Pan\05-Raw_Data\Lab_results\[LabSamples2025_Bioplastic_extra.xlsx]extra_Bioplastic'!D478)," ",'Q:\Abteilungsprojekte\Eng\EngData\PROJECT_Bioplastics\Renjie_Pan\05-Raw_Data\Lab_results\[LabSamples2025_Bioplastic_extra.xlsx]extra_Bioplastic'!D478)</f>
        <v/>
      </c>
      <c r="E478">
        <f>IF(ISBLANK('Q:\Abteilungsprojekte\Eng\EngData\PROJECT_Bioplastics\Renjie_Pan\05-Raw_Data\Lab_results\[LabSamples2025_Bioplastic_extra.xlsx]extra_Bioplastic'!E478)," ",'Q:\Abteilungsprojekte\Eng\EngData\PROJECT_Bioplastics\Renjie_Pan\05-Raw_Data\Lab_results\[LabSamples2025_Bioplastic_extra.xlsx]extra_Bioplastic'!E478)</f>
        <v/>
      </c>
      <c r="F478">
        <f>IF(ISBLANK('Q:\Abteilungsprojekte\Eng\EngData\PROJECT_Bioplastics\Renjie_Pan\05-Raw_Data\Lab_results\[LabSamples2025_Bioplastic_extra.xlsx]extra_Bioplastic'!F478)," ",'Q:\Abteilungsprojekte\Eng\EngData\PROJECT_Bioplastics\Renjie_Pan\05-Raw_Data\Lab_results\[LabSamples2025_Bioplastic_extra.xlsx]extra_Bioplastic'!F478)</f>
        <v/>
      </c>
      <c r="G478">
        <f>IF(ISBLANK('Q:\Abteilungsprojekte\Eng\EngData\PROJECT_Bioplastics\Renjie_Pan\05-Raw_Data\Lab_results\[LabSamples2025_Bioplastic_extra.xlsx]extra_Bioplastic'!G478)," ",'Q:\Abteilungsprojekte\Eng\EngData\PROJECT_Bioplastics\Renjie_Pan\05-Raw_Data\Lab_results\[LabSamples2025_Bioplastic_extra.xlsx]extra_Bioplastic'!G478)</f>
        <v/>
      </c>
      <c r="H478">
        <f>IF(ISBLANK('Q:\Abteilungsprojekte\Eng\EngData\PROJECT_Bioplastics\Renjie_Pan\05-Raw_Data\Lab_results\[LabSamples2025_Bioplastic_extra.xlsx]extra_Bioplastic'!H478)," ",'Q:\Abteilungsprojekte\Eng\EngData\PROJECT_Bioplastics\Renjie_Pan\05-Raw_Data\Lab_results\[LabSamples2025_Bioplastic_extra.xlsx]extra_Bioplastic'!H478)</f>
        <v/>
      </c>
    </row>
    <row r="479">
      <c r="A479">
        <f>IF(ISBLANK('Q:\Abteilungsprojekte\Eng\EngData\PROJECT_Bioplastics\Renjie_Pan\05-Raw_Data\Lab_results\[LabSamples2025_Bioplastic_extra.xlsx]extra_Bioplastic'!A479)," ",'Q:\Abteilungsprojekte\Eng\EngData\PROJECT_Bioplastics\Renjie_Pan\05-Raw_Data\Lab_results\[LabSamples2025_Bioplastic_extra.xlsx]extra_Bioplastic'!A479)</f>
        <v/>
      </c>
      <c r="B479">
        <f>IF(ISBLANK('Q:\Abteilungsprojekte\Eng\EngData\PROJECT_Bioplastics\Renjie_Pan\05-Raw_Data\Lab_results\[LabSamples2025_Bioplastic_extra.xlsx]extra_Bioplastic'!B479)," ",'Q:\Abteilungsprojekte\Eng\EngData\PROJECT_Bioplastics\Renjie_Pan\05-Raw_Data\Lab_results\[LabSamples2025_Bioplastic_extra.xlsx]extra_Bioplastic'!B479)</f>
        <v/>
      </c>
      <c r="C479">
        <f>IF(ISBLANK('Q:\Abteilungsprojekte\Eng\EngData\PROJECT_Bioplastics\Renjie_Pan\05-Raw_Data\Lab_results\[LabSamples2025_Bioplastic_extra.xlsx]extra_Bioplastic'!C479)," ",'Q:\Abteilungsprojekte\Eng\EngData\PROJECT_Bioplastics\Renjie_Pan\05-Raw_Data\Lab_results\[LabSamples2025_Bioplastic_extra.xlsx]extra_Bioplastic'!C479)</f>
        <v/>
      </c>
      <c r="D479">
        <f>IF(ISBLANK('Q:\Abteilungsprojekte\Eng\EngData\PROJECT_Bioplastics\Renjie_Pan\05-Raw_Data\Lab_results\[LabSamples2025_Bioplastic_extra.xlsx]extra_Bioplastic'!D479)," ",'Q:\Abteilungsprojekte\Eng\EngData\PROJECT_Bioplastics\Renjie_Pan\05-Raw_Data\Lab_results\[LabSamples2025_Bioplastic_extra.xlsx]extra_Bioplastic'!D479)</f>
        <v/>
      </c>
      <c r="E479">
        <f>IF(ISBLANK('Q:\Abteilungsprojekte\Eng\EngData\PROJECT_Bioplastics\Renjie_Pan\05-Raw_Data\Lab_results\[LabSamples2025_Bioplastic_extra.xlsx]extra_Bioplastic'!E479)," ",'Q:\Abteilungsprojekte\Eng\EngData\PROJECT_Bioplastics\Renjie_Pan\05-Raw_Data\Lab_results\[LabSamples2025_Bioplastic_extra.xlsx]extra_Bioplastic'!E479)</f>
        <v/>
      </c>
      <c r="F479">
        <f>IF(ISBLANK('Q:\Abteilungsprojekte\Eng\EngData\PROJECT_Bioplastics\Renjie_Pan\05-Raw_Data\Lab_results\[LabSamples2025_Bioplastic_extra.xlsx]extra_Bioplastic'!F479)," ",'Q:\Abteilungsprojekte\Eng\EngData\PROJECT_Bioplastics\Renjie_Pan\05-Raw_Data\Lab_results\[LabSamples2025_Bioplastic_extra.xlsx]extra_Bioplastic'!F479)</f>
        <v/>
      </c>
      <c r="G479">
        <f>IF(ISBLANK('Q:\Abteilungsprojekte\Eng\EngData\PROJECT_Bioplastics\Renjie_Pan\05-Raw_Data\Lab_results\[LabSamples2025_Bioplastic_extra.xlsx]extra_Bioplastic'!G479)," ",'Q:\Abteilungsprojekte\Eng\EngData\PROJECT_Bioplastics\Renjie_Pan\05-Raw_Data\Lab_results\[LabSamples2025_Bioplastic_extra.xlsx]extra_Bioplastic'!G479)</f>
        <v/>
      </c>
      <c r="H479">
        <f>IF(ISBLANK('Q:\Abteilungsprojekte\Eng\EngData\PROJECT_Bioplastics\Renjie_Pan\05-Raw_Data\Lab_results\[LabSamples2025_Bioplastic_extra.xlsx]extra_Bioplastic'!H479)," ",'Q:\Abteilungsprojekte\Eng\EngData\PROJECT_Bioplastics\Renjie_Pan\05-Raw_Data\Lab_results\[LabSamples2025_Bioplastic_extra.xlsx]extra_Bioplastic'!H479)</f>
        <v/>
      </c>
    </row>
    <row r="480">
      <c r="A480">
        <f>IF(ISBLANK('Q:\Abteilungsprojekte\Eng\EngData\PROJECT_Bioplastics\Renjie_Pan\05-Raw_Data\Lab_results\[LabSamples2025_Bioplastic_extra.xlsx]extra_Bioplastic'!A480)," ",'Q:\Abteilungsprojekte\Eng\EngData\PROJECT_Bioplastics\Renjie_Pan\05-Raw_Data\Lab_results\[LabSamples2025_Bioplastic_extra.xlsx]extra_Bioplastic'!A480)</f>
        <v/>
      </c>
      <c r="B480">
        <f>IF(ISBLANK('Q:\Abteilungsprojekte\Eng\EngData\PROJECT_Bioplastics\Renjie_Pan\05-Raw_Data\Lab_results\[LabSamples2025_Bioplastic_extra.xlsx]extra_Bioplastic'!B480)," ",'Q:\Abteilungsprojekte\Eng\EngData\PROJECT_Bioplastics\Renjie_Pan\05-Raw_Data\Lab_results\[LabSamples2025_Bioplastic_extra.xlsx]extra_Bioplastic'!B480)</f>
        <v/>
      </c>
      <c r="C480">
        <f>IF(ISBLANK('Q:\Abteilungsprojekte\Eng\EngData\PROJECT_Bioplastics\Renjie_Pan\05-Raw_Data\Lab_results\[LabSamples2025_Bioplastic_extra.xlsx]extra_Bioplastic'!C480)," ",'Q:\Abteilungsprojekte\Eng\EngData\PROJECT_Bioplastics\Renjie_Pan\05-Raw_Data\Lab_results\[LabSamples2025_Bioplastic_extra.xlsx]extra_Bioplastic'!C480)</f>
        <v/>
      </c>
      <c r="D480">
        <f>IF(ISBLANK('Q:\Abteilungsprojekte\Eng\EngData\PROJECT_Bioplastics\Renjie_Pan\05-Raw_Data\Lab_results\[LabSamples2025_Bioplastic_extra.xlsx]extra_Bioplastic'!D480)," ",'Q:\Abteilungsprojekte\Eng\EngData\PROJECT_Bioplastics\Renjie_Pan\05-Raw_Data\Lab_results\[LabSamples2025_Bioplastic_extra.xlsx]extra_Bioplastic'!D480)</f>
        <v/>
      </c>
      <c r="E480">
        <f>IF(ISBLANK('Q:\Abteilungsprojekte\Eng\EngData\PROJECT_Bioplastics\Renjie_Pan\05-Raw_Data\Lab_results\[LabSamples2025_Bioplastic_extra.xlsx]extra_Bioplastic'!E480)," ",'Q:\Abteilungsprojekte\Eng\EngData\PROJECT_Bioplastics\Renjie_Pan\05-Raw_Data\Lab_results\[LabSamples2025_Bioplastic_extra.xlsx]extra_Bioplastic'!E480)</f>
        <v/>
      </c>
      <c r="F480">
        <f>IF(ISBLANK('Q:\Abteilungsprojekte\Eng\EngData\PROJECT_Bioplastics\Renjie_Pan\05-Raw_Data\Lab_results\[LabSamples2025_Bioplastic_extra.xlsx]extra_Bioplastic'!F480)," ",'Q:\Abteilungsprojekte\Eng\EngData\PROJECT_Bioplastics\Renjie_Pan\05-Raw_Data\Lab_results\[LabSamples2025_Bioplastic_extra.xlsx]extra_Bioplastic'!F480)</f>
        <v/>
      </c>
      <c r="G480">
        <f>IF(ISBLANK('Q:\Abteilungsprojekte\Eng\EngData\PROJECT_Bioplastics\Renjie_Pan\05-Raw_Data\Lab_results\[LabSamples2025_Bioplastic_extra.xlsx]extra_Bioplastic'!G480)," ",'Q:\Abteilungsprojekte\Eng\EngData\PROJECT_Bioplastics\Renjie_Pan\05-Raw_Data\Lab_results\[LabSamples2025_Bioplastic_extra.xlsx]extra_Bioplastic'!G480)</f>
        <v/>
      </c>
      <c r="H480">
        <f>IF(ISBLANK('Q:\Abteilungsprojekte\Eng\EngData\PROJECT_Bioplastics\Renjie_Pan\05-Raw_Data\Lab_results\[LabSamples2025_Bioplastic_extra.xlsx]extra_Bioplastic'!H480)," ",'Q:\Abteilungsprojekte\Eng\EngData\PROJECT_Bioplastics\Renjie_Pan\05-Raw_Data\Lab_results\[LabSamples2025_Bioplastic_extra.xlsx]extra_Bioplastic'!H480)</f>
        <v/>
      </c>
    </row>
    <row r="481">
      <c r="A481">
        <f>IF(ISBLANK('Q:\Abteilungsprojekte\Eng\EngData\PROJECT_Bioplastics\Renjie_Pan\05-Raw_Data\Lab_results\[LabSamples2025_Bioplastic_extra.xlsx]extra_Bioplastic'!A481)," ",'Q:\Abteilungsprojekte\Eng\EngData\PROJECT_Bioplastics\Renjie_Pan\05-Raw_Data\Lab_results\[LabSamples2025_Bioplastic_extra.xlsx]extra_Bioplastic'!A481)</f>
        <v/>
      </c>
      <c r="B481">
        <f>IF(ISBLANK('Q:\Abteilungsprojekte\Eng\EngData\PROJECT_Bioplastics\Renjie_Pan\05-Raw_Data\Lab_results\[LabSamples2025_Bioplastic_extra.xlsx]extra_Bioplastic'!B481)," ",'Q:\Abteilungsprojekte\Eng\EngData\PROJECT_Bioplastics\Renjie_Pan\05-Raw_Data\Lab_results\[LabSamples2025_Bioplastic_extra.xlsx]extra_Bioplastic'!B481)</f>
        <v/>
      </c>
      <c r="C481">
        <f>IF(ISBLANK('Q:\Abteilungsprojekte\Eng\EngData\PROJECT_Bioplastics\Renjie_Pan\05-Raw_Data\Lab_results\[LabSamples2025_Bioplastic_extra.xlsx]extra_Bioplastic'!C481)," ",'Q:\Abteilungsprojekte\Eng\EngData\PROJECT_Bioplastics\Renjie_Pan\05-Raw_Data\Lab_results\[LabSamples2025_Bioplastic_extra.xlsx]extra_Bioplastic'!C481)</f>
        <v/>
      </c>
      <c r="D481">
        <f>IF(ISBLANK('Q:\Abteilungsprojekte\Eng\EngData\PROJECT_Bioplastics\Renjie_Pan\05-Raw_Data\Lab_results\[LabSamples2025_Bioplastic_extra.xlsx]extra_Bioplastic'!D481)," ",'Q:\Abteilungsprojekte\Eng\EngData\PROJECT_Bioplastics\Renjie_Pan\05-Raw_Data\Lab_results\[LabSamples2025_Bioplastic_extra.xlsx]extra_Bioplastic'!D481)</f>
        <v/>
      </c>
      <c r="E481">
        <f>IF(ISBLANK('Q:\Abteilungsprojekte\Eng\EngData\PROJECT_Bioplastics\Renjie_Pan\05-Raw_Data\Lab_results\[LabSamples2025_Bioplastic_extra.xlsx]extra_Bioplastic'!E481)," ",'Q:\Abteilungsprojekte\Eng\EngData\PROJECT_Bioplastics\Renjie_Pan\05-Raw_Data\Lab_results\[LabSamples2025_Bioplastic_extra.xlsx]extra_Bioplastic'!E481)</f>
        <v/>
      </c>
      <c r="F481">
        <f>IF(ISBLANK('Q:\Abteilungsprojekte\Eng\EngData\PROJECT_Bioplastics\Renjie_Pan\05-Raw_Data\Lab_results\[LabSamples2025_Bioplastic_extra.xlsx]extra_Bioplastic'!F481)," ",'Q:\Abteilungsprojekte\Eng\EngData\PROJECT_Bioplastics\Renjie_Pan\05-Raw_Data\Lab_results\[LabSamples2025_Bioplastic_extra.xlsx]extra_Bioplastic'!F481)</f>
        <v/>
      </c>
      <c r="G481">
        <f>IF(ISBLANK('Q:\Abteilungsprojekte\Eng\EngData\PROJECT_Bioplastics\Renjie_Pan\05-Raw_Data\Lab_results\[LabSamples2025_Bioplastic_extra.xlsx]extra_Bioplastic'!G481)," ",'Q:\Abteilungsprojekte\Eng\EngData\PROJECT_Bioplastics\Renjie_Pan\05-Raw_Data\Lab_results\[LabSamples2025_Bioplastic_extra.xlsx]extra_Bioplastic'!G481)</f>
        <v/>
      </c>
      <c r="H481">
        <f>IF(ISBLANK('Q:\Abteilungsprojekte\Eng\EngData\PROJECT_Bioplastics\Renjie_Pan\05-Raw_Data\Lab_results\[LabSamples2025_Bioplastic_extra.xlsx]extra_Bioplastic'!H481)," ",'Q:\Abteilungsprojekte\Eng\EngData\PROJECT_Bioplastics\Renjie_Pan\05-Raw_Data\Lab_results\[LabSamples2025_Bioplastic_extra.xlsx]extra_Bioplastic'!H481)</f>
        <v/>
      </c>
    </row>
    <row r="482">
      <c r="A482">
        <f>IF(ISBLANK('Q:\Abteilungsprojekte\Eng\EngData\PROJECT_Bioplastics\Renjie_Pan\05-Raw_Data\Lab_results\[LabSamples2025_Bioplastic_extra.xlsx]extra_Bioplastic'!A482)," ",'Q:\Abteilungsprojekte\Eng\EngData\PROJECT_Bioplastics\Renjie_Pan\05-Raw_Data\Lab_results\[LabSamples2025_Bioplastic_extra.xlsx]extra_Bioplastic'!A482)</f>
        <v/>
      </c>
      <c r="B482">
        <f>IF(ISBLANK('Q:\Abteilungsprojekte\Eng\EngData\PROJECT_Bioplastics\Renjie_Pan\05-Raw_Data\Lab_results\[LabSamples2025_Bioplastic_extra.xlsx]extra_Bioplastic'!B482)," ",'Q:\Abteilungsprojekte\Eng\EngData\PROJECT_Bioplastics\Renjie_Pan\05-Raw_Data\Lab_results\[LabSamples2025_Bioplastic_extra.xlsx]extra_Bioplastic'!B482)</f>
        <v/>
      </c>
      <c r="C482">
        <f>IF(ISBLANK('Q:\Abteilungsprojekte\Eng\EngData\PROJECT_Bioplastics\Renjie_Pan\05-Raw_Data\Lab_results\[LabSamples2025_Bioplastic_extra.xlsx]extra_Bioplastic'!C482)," ",'Q:\Abteilungsprojekte\Eng\EngData\PROJECT_Bioplastics\Renjie_Pan\05-Raw_Data\Lab_results\[LabSamples2025_Bioplastic_extra.xlsx]extra_Bioplastic'!C482)</f>
        <v/>
      </c>
      <c r="D482">
        <f>IF(ISBLANK('Q:\Abteilungsprojekte\Eng\EngData\PROJECT_Bioplastics\Renjie_Pan\05-Raw_Data\Lab_results\[LabSamples2025_Bioplastic_extra.xlsx]extra_Bioplastic'!D482)," ",'Q:\Abteilungsprojekte\Eng\EngData\PROJECT_Bioplastics\Renjie_Pan\05-Raw_Data\Lab_results\[LabSamples2025_Bioplastic_extra.xlsx]extra_Bioplastic'!D482)</f>
        <v/>
      </c>
      <c r="E482">
        <f>IF(ISBLANK('Q:\Abteilungsprojekte\Eng\EngData\PROJECT_Bioplastics\Renjie_Pan\05-Raw_Data\Lab_results\[LabSamples2025_Bioplastic_extra.xlsx]extra_Bioplastic'!E482)," ",'Q:\Abteilungsprojekte\Eng\EngData\PROJECT_Bioplastics\Renjie_Pan\05-Raw_Data\Lab_results\[LabSamples2025_Bioplastic_extra.xlsx]extra_Bioplastic'!E482)</f>
        <v/>
      </c>
      <c r="F482">
        <f>IF(ISBLANK('Q:\Abteilungsprojekte\Eng\EngData\PROJECT_Bioplastics\Renjie_Pan\05-Raw_Data\Lab_results\[LabSamples2025_Bioplastic_extra.xlsx]extra_Bioplastic'!F482)," ",'Q:\Abteilungsprojekte\Eng\EngData\PROJECT_Bioplastics\Renjie_Pan\05-Raw_Data\Lab_results\[LabSamples2025_Bioplastic_extra.xlsx]extra_Bioplastic'!F482)</f>
        <v/>
      </c>
      <c r="G482">
        <f>IF(ISBLANK('Q:\Abteilungsprojekte\Eng\EngData\PROJECT_Bioplastics\Renjie_Pan\05-Raw_Data\Lab_results\[LabSamples2025_Bioplastic_extra.xlsx]extra_Bioplastic'!G482)," ",'Q:\Abteilungsprojekte\Eng\EngData\PROJECT_Bioplastics\Renjie_Pan\05-Raw_Data\Lab_results\[LabSamples2025_Bioplastic_extra.xlsx]extra_Bioplastic'!G482)</f>
        <v/>
      </c>
      <c r="H482">
        <f>IF(ISBLANK('Q:\Abteilungsprojekte\Eng\EngData\PROJECT_Bioplastics\Renjie_Pan\05-Raw_Data\Lab_results\[LabSamples2025_Bioplastic_extra.xlsx]extra_Bioplastic'!H482)," ",'Q:\Abteilungsprojekte\Eng\EngData\PROJECT_Bioplastics\Renjie_Pan\05-Raw_Data\Lab_results\[LabSamples2025_Bioplastic_extra.xlsx]extra_Bioplastic'!H482)</f>
        <v/>
      </c>
    </row>
    <row r="483">
      <c r="A483">
        <f>IF(ISBLANK('Q:\Abteilungsprojekte\Eng\EngData\PROJECT_Bioplastics\Renjie_Pan\05-Raw_Data\Lab_results\[LabSamples2025_Bioplastic_extra.xlsx]extra_Bioplastic'!A483)," ",'Q:\Abteilungsprojekte\Eng\EngData\PROJECT_Bioplastics\Renjie_Pan\05-Raw_Data\Lab_results\[LabSamples2025_Bioplastic_extra.xlsx]extra_Bioplastic'!A483)</f>
        <v/>
      </c>
      <c r="B483">
        <f>IF(ISBLANK('Q:\Abteilungsprojekte\Eng\EngData\PROJECT_Bioplastics\Renjie_Pan\05-Raw_Data\Lab_results\[LabSamples2025_Bioplastic_extra.xlsx]extra_Bioplastic'!B483)," ",'Q:\Abteilungsprojekte\Eng\EngData\PROJECT_Bioplastics\Renjie_Pan\05-Raw_Data\Lab_results\[LabSamples2025_Bioplastic_extra.xlsx]extra_Bioplastic'!B483)</f>
        <v/>
      </c>
      <c r="C483">
        <f>IF(ISBLANK('Q:\Abteilungsprojekte\Eng\EngData\PROJECT_Bioplastics\Renjie_Pan\05-Raw_Data\Lab_results\[LabSamples2025_Bioplastic_extra.xlsx]extra_Bioplastic'!C483)," ",'Q:\Abteilungsprojekte\Eng\EngData\PROJECT_Bioplastics\Renjie_Pan\05-Raw_Data\Lab_results\[LabSamples2025_Bioplastic_extra.xlsx]extra_Bioplastic'!C483)</f>
        <v/>
      </c>
      <c r="D483">
        <f>IF(ISBLANK('Q:\Abteilungsprojekte\Eng\EngData\PROJECT_Bioplastics\Renjie_Pan\05-Raw_Data\Lab_results\[LabSamples2025_Bioplastic_extra.xlsx]extra_Bioplastic'!D483)," ",'Q:\Abteilungsprojekte\Eng\EngData\PROJECT_Bioplastics\Renjie_Pan\05-Raw_Data\Lab_results\[LabSamples2025_Bioplastic_extra.xlsx]extra_Bioplastic'!D483)</f>
        <v/>
      </c>
      <c r="E483">
        <f>IF(ISBLANK('Q:\Abteilungsprojekte\Eng\EngData\PROJECT_Bioplastics\Renjie_Pan\05-Raw_Data\Lab_results\[LabSamples2025_Bioplastic_extra.xlsx]extra_Bioplastic'!E483)," ",'Q:\Abteilungsprojekte\Eng\EngData\PROJECT_Bioplastics\Renjie_Pan\05-Raw_Data\Lab_results\[LabSamples2025_Bioplastic_extra.xlsx]extra_Bioplastic'!E483)</f>
        <v/>
      </c>
      <c r="F483">
        <f>IF(ISBLANK('Q:\Abteilungsprojekte\Eng\EngData\PROJECT_Bioplastics\Renjie_Pan\05-Raw_Data\Lab_results\[LabSamples2025_Bioplastic_extra.xlsx]extra_Bioplastic'!F483)," ",'Q:\Abteilungsprojekte\Eng\EngData\PROJECT_Bioplastics\Renjie_Pan\05-Raw_Data\Lab_results\[LabSamples2025_Bioplastic_extra.xlsx]extra_Bioplastic'!F483)</f>
        <v/>
      </c>
      <c r="G483">
        <f>IF(ISBLANK('Q:\Abteilungsprojekte\Eng\EngData\PROJECT_Bioplastics\Renjie_Pan\05-Raw_Data\Lab_results\[LabSamples2025_Bioplastic_extra.xlsx]extra_Bioplastic'!G483)," ",'Q:\Abteilungsprojekte\Eng\EngData\PROJECT_Bioplastics\Renjie_Pan\05-Raw_Data\Lab_results\[LabSamples2025_Bioplastic_extra.xlsx]extra_Bioplastic'!G483)</f>
        <v/>
      </c>
      <c r="H483">
        <f>IF(ISBLANK('Q:\Abteilungsprojekte\Eng\EngData\PROJECT_Bioplastics\Renjie_Pan\05-Raw_Data\Lab_results\[LabSamples2025_Bioplastic_extra.xlsx]extra_Bioplastic'!H483)," ",'Q:\Abteilungsprojekte\Eng\EngData\PROJECT_Bioplastics\Renjie_Pan\05-Raw_Data\Lab_results\[LabSamples2025_Bioplastic_extra.xlsx]extra_Bioplastic'!H483)</f>
        <v/>
      </c>
    </row>
    <row r="484">
      <c r="A484">
        <f>IF(ISBLANK('Q:\Abteilungsprojekte\Eng\EngData\PROJECT_Bioplastics\Renjie_Pan\05-Raw_Data\Lab_results\[LabSamples2025_Bioplastic_extra.xlsx]extra_Bioplastic'!A484)," ",'Q:\Abteilungsprojekte\Eng\EngData\PROJECT_Bioplastics\Renjie_Pan\05-Raw_Data\Lab_results\[LabSamples2025_Bioplastic_extra.xlsx]extra_Bioplastic'!A484)</f>
        <v/>
      </c>
      <c r="B484">
        <f>IF(ISBLANK('Q:\Abteilungsprojekte\Eng\EngData\PROJECT_Bioplastics\Renjie_Pan\05-Raw_Data\Lab_results\[LabSamples2025_Bioplastic_extra.xlsx]extra_Bioplastic'!B484)," ",'Q:\Abteilungsprojekte\Eng\EngData\PROJECT_Bioplastics\Renjie_Pan\05-Raw_Data\Lab_results\[LabSamples2025_Bioplastic_extra.xlsx]extra_Bioplastic'!B484)</f>
        <v/>
      </c>
      <c r="C484">
        <f>IF(ISBLANK('Q:\Abteilungsprojekte\Eng\EngData\PROJECT_Bioplastics\Renjie_Pan\05-Raw_Data\Lab_results\[LabSamples2025_Bioplastic_extra.xlsx]extra_Bioplastic'!C484)," ",'Q:\Abteilungsprojekte\Eng\EngData\PROJECT_Bioplastics\Renjie_Pan\05-Raw_Data\Lab_results\[LabSamples2025_Bioplastic_extra.xlsx]extra_Bioplastic'!C484)</f>
        <v/>
      </c>
      <c r="D484">
        <f>IF(ISBLANK('Q:\Abteilungsprojekte\Eng\EngData\PROJECT_Bioplastics\Renjie_Pan\05-Raw_Data\Lab_results\[LabSamples2025_Bioplastic_extra.xlsx]extra_Bioplastic'!D484)," ",'Q:\Abteilungsprojekte\Eng\EngData\PROJECT_Bioplastics\Renjie_Pan\05-Raw_Data\Lab_results\[LabSamples2025_Bioplastic_extra.xlsx]extra_Bioplastic'!D484)</f>
        <v/>
      </c>
      <c r="E484">
        <f>IF(ISBLANK('Q:\Abteilungsprojekte\Eng\EngData\PROJECT_Bioplastics\Renjie_Pan\05-Raw_Data\Lab_results\[LabSamples2025_Bioplastic_extra.xlsx]extra_Bioplastic'!E484)," ",'Q:\Abteilungsprojekte\Eng\EngData\PROJECT_Bioplastics\Renjie_Pan\05-Raw_Data\Lab_results\[LabSamples2025_Bioplastic_extra.xlsx]extra_Bioplastic'!E484)</f>
        <v/>
      </c>
      <c r="F484">
        <f>IF(ISBLANK('Q:\Abteilungsprojekte\Eng\EngData\PROJECT_Bioplastics\Renjie_Pan\05-Raw_Data\Lab_results\[LabSamples2025_Bioplastic_extra.xlsx]extra_Bioplastic'!F484)," ",'Q:\Abteilungsprojekte\Eng\EngData\PROJECT_Bioplastics\Renjie_Pan\05-Raw_Data\Lab_results\[LabSamples2025_Bioplastic_extra.xlsx]extra_Bioplastic'!F484)</f>
        <v/>
      </c>
      <c r="G484">
        <f>IF(ISBLANK('Q:\Abteilungsprojekte\Eng\EngData\PROJECT_Bioplastics\Renjie_Pan\05-Raw_Data\Lab_results\[LabSamples2025_Bioplastic_extra.xlsx]extra_Bioplastic'!G484)," ",'Q:\Abteilungsprojekte\Eng\EngData\PROJECT_Bioplastics\Renjie_Pan\05-Raw_Data\Lab_results\[LabSamples2025_Bioplastic_extra.xlsx]extra_Bioplastic'!G484)</f>
        <v/>
      </c>
      <c r="H484">
        <f>IF(ISBLANK('Q:\Abteilungsprojekte\Eng\EngData\PROJECT_Bioplastics\Renjie_Pan\05-Raw_Data\Lab_results\[LabSamples2025_Bioplastic_extra.xlsx]extra_Bioplastic'!H484)," ",'Q:\Abteilungsprojekte\Eng\EngData\PROJECT_Bioplastics\Renjie_Pan\05-Raw_Data\Lab_results\[LabSamples2025_Bioplastic_extra.xlsx]extra_Bioplastic'!H484)</f>
        <v/>
      </c>
    </row>
    <row r="485">
      <c r="A485">
        <f>IF(ISBLANK('Q:\Abteilungsprojekte\Eng\EngData\PROJECT_Bioplastics\Renjie_Pan\05-Raw_Data\Lab_results\[LabSamples2025_Bioplastic_extra.xlsx]extra_Bioplastic'!A485)," ",'Q:\Abteilungsprojekte\Eng\EngData\PROJECT_Bioplastics\Renjie_Pan\05-Raw_Data\Lab_results\[LabSamples2025_Bioplastic_extra.xlsx]extra_Bioplastic'!A485)</f>
        <v/>
      </c>
      <c r="B485">
        <f>IF(ISBLANK('Q:\Abteilungsprojekte\Eng\EngData\PROJECT_Bioplastics\Renjie_Pan\05-Raw_Data\Lab_results\[LabSamples2025_Bioplastic_extra.xlsx]extra_Bioplastic'!B485)," ",'Q:\Abteilungsprojekte\Eng\EngData\PROJECT_Bioplastics\Renjie_Pan\05-Raw_Data\Lab_results\[LabSamples2025_Bioplastic_extra.xlsx]extra_Bioplastic'!B485)</f>
        <v/>
      </c>
      <c r="C485">
        <f>IF(ISBLANK('Q:\Abteilungsprojekte\Eng\EngData\PROJECT_Bioplastics\Renjie_Pan\05-Raw_Data\Lab_results\[LabSamples2025_Bioplastic_extra.xlsx]extra_Bioplastic'!C485)," ",'Q:\Abteilungsprojekte\Eng\EngData\PROJECT_Bioplastics\Renjie_Pan\05-Raw_Data\Lab_results\[LabSamples2025_Bioplastic_extra.xlsx]extra_Bioplastic'!C485)</f>
        <v/>
      </c>
      <c r="D485">
        <f>IF(ISBLANK('Q:\Abteilungsprojekte\Eng\EngData\PROJECT_Bioplastics\Renjie_Pan\05-Raw_Data\Lab_results\[LabSamples2025_Bioplastic_extra.xlsx]extra_Bioplastic'!D485)," ",'Q:\Abteilungsprojekte\Eng\EngData\PROJECT_Bioplastics\Renjie_Pan\05-Raw_Data\Lab_results\[LabSamples2025_Bioplastic_extra.xlsx]extra_Bioplastic'!D485)</f>
        <v/>
      </c>
      <c r="E485">
        <f>IF(ISBLANK('Q:\Abteilungsprojekte\Eng\EngData\PROJECT_Bioplastics\Renjie_Pan\05-Raw_Data\Lab_results\[LabSamples2025_Bioplastic_extra.xlsx]extra_Bioplastic'!E485)," ",'Q:\Abteilungsprojekte\Eng\EngData\PROJECT_Bioplastics\Renjie_Pan\05-Raw_Data\Lab_results\[LabSamples2025_Bioplastic_extra.xlsx]extra_Bioplastic'!E485)</f>
        <v/>
      </c>
      <c r="F485">
        <f>IF(ISBLANK('Q:\Abteilungsprojekte\Eng\EngData\PROJECT_Bioplastics\Renjie_Pan\05-Raw_Data\Lab_results\[LabSamples2025_Bioplastic_extra.xlsx]extra_Bioplastic'!F485)," ",'Q:\Abteilungsprojekte\Eng\EngData\PROJECT_Bioplastics\Renjie_Pan\05-Raw_Data\Lab_results\[LabSamples2025_Bioplastic_extra.xlsx]extra_Bioplastic'!F485)</f>
        <v/>
      </c>
      <c r="G485">
        <f>IF(ISBLANK('Q:\Abteilungsprojekte\Eng\EngData\PROJECT_Bioplastics\Renjie_Pan\05-Raw_Data\Lab_results\[LabSamples2025_Bioplastic_extra.xlsx]extra_Bioplastic'!G485)," ",'Q:\Abteilungsprojekte\Eng\EngData\PROJECT_Bioplastics\Renjie_Pan\05-Raw_Data\Lab_results\[LabSamples2025_Bioplastic_extra.xlsx]extra_Bioplastic'!G485)</f>
        <v/>
      </c>
      <c r="H485">
        <f>IF(ISBLANK('Q:\Abteilungsprojekte\Eng\EngData\PROJECT_Bioplastics\Renjie_Pan\05-Raw_Data\Lab_results\[LabSamples2025_Bioplastic_extra.xlsx]extra_Bioplastic'!H485)," ",'Q:\Abteilungsprojekte\Eng\EngData\PROJECT_Bioplastics\Renjie_Pan\05-Raw_Data\Lab_results\[LabSamples2025_Bioplastic_extra.xlsx]extra_Bioplastic'!H485)</f>
        <v/>
      </c>
    </row>
    <row r="486">
      <c r="A486">
        <f>IF(ISBLANK('Q:\Abteilungsprojekte\Eng\EngData\PROJECT_Bioplastics\Renjie_Pan\05-Raw_Data\Lab_results\[LabSamples2025_Bioplastic_extra.xlsx]extra_Bioplastic'!A486)," ",'Q:\Abteilungsprojekte\Eng\EngData\PROJECT_Bioplastics\Renjie_Pan\05-Raw_Data\Lab_results\[LabSamples2025_Bioplastic_extra.xlsx]extra_Bioplastic'!A486)</f>
        <v/>
      </c>
      <c r="B486">
        <f>IF(ISBLANK('Q:\Abteilungsprojekte\Eng\EngData\PROJECT_Bioplastics\Renjie_Pan\05-Raw_Data\Lab_results\[LabSamples2025_Bioplastic_extra.xlsx]extra_Bioplastic'!B486)," ",'Q:\Abteilungsprojekte\Eng\EngData\PROJECT_Bioplastics\Renjie_Pan\05-Raw_Data\Lab_results\[LabSamples2025_Bioplastic_extra.xlsx]extra_Bioplastic'!B486)</f>
        <v/>
      </c>
      <c r="C486">
        <f>IF(ISBLANK('Q:\Abteilungsprojekte\Eng\EngData\PROJECT_Bioplastics\Renjie_Pan\05-Raw_Data\Lab_results\[LabSamples2025_Bioplastic_extra.xlsx]extra_Bioplastic'!C486)," ",'Q:\Abteilungsprojekte\Eng\EngData\PROJECT_Bioplastics\Renjie_Pan\05-Raw_Data\Lab_results\[LabSamples2025_Bioplastic_extra.xlsx]extra_Bioplastic'!C486)</f>
        <v/>
      </c>
      <c r="D486">
        <f>IF(ISBLANK('Q:\Abteilungsprojekte\Eng\EngData\PROJECT_Bioplastics\Renjie_Pan\05-Raw_Data\Lab_results\[LabSamples2025_Bioplastic_extra.xlsx]extra_Bioplastic'!D486)," ",'Q:\Abteilungsprojekte\Eng\EngData\PROJECT_Bioplastics\Renjie_Pan\05-Raw_Data\Lab_results\[LabSamples2025_Bioplastic_extra.xlsx]extra_Bioplastic'!D486)</f>
        <v/>
      </c>
      <c r="E486">
        <f>IF(ISBLANK('Q:\Abteilungsprojekte\Eng\EngData\PROJECT_Bioplastics\Renjie_Pan\05-Raw_Data\Lab_results\[LabSamples2025_Bioplastic_extra.xlsx]extra_Bioplastic'!E486)," ",'Q:\Abteilungsprojekte\Eng\EngData\PROJECT_Bioplastics\Renjie_Pan\05-Raw_Data\Lab_results\[LabSamples2025_Bioplastic_extra.xlsx]extra_Bioplastic'!E486)</f>
        <v/>
      </c>
      <c r="F486">
        <f>IF(ISBLANK('Q:\Abteilungsprojekte\Eng\EngData\PROJECT_Bioplastics\Renjie_Pan\05-Raw_Data\Lab_results\[LabSamples2025_Bioplastic_extra.xlsx]extra_Bioplastic'!F486)," ",'Q:\Abteilungsprojekte\Eng\EngData\PROJECT_Bioplastics\Renjie_Pan\05-Raw_Data\Lab_results\[LabSamples2025_Bioplastic_extra.xlsx]extra_Bioplastic'!F486)</f>
        <v/>
      </c>
      <c r="G486">
        <f>IF(ISBLANK('Q:\Abteilungsprojekte\Eng\EngData\PROJECT_Bioplastics\Renjie_Pan\05-Raw_Data\Lab_results\[LabSamples2025_Bioplastic_extra.xlsx]extra_Bioplastic'!G486)," ",'Q:\Abteilungsprojekte\Eng\EngData\PROJECT_Bioplastics\Renjie_Pan\05-Raw_Data\Lab_results\[LabSamples2025_Bioplastic_extra.xlsx]extra_Bioplastic'!G486)</f>
        <v/>
      </c>
      <c r="H486">
        <f>IF(ISBLANK('Q:\Abteilungsprojekte\Eng\EngData\PROJECT_Bioplastics\Renjie_Pan\05-Raw_Data\Lab_results\[LabSamples2025_Bioplastic_extra.xlsx]extra_Bioplastic'!H486)," ",'Q:\Abteilungsprojekte\Eng\EngData\PROJECT_Bioplastics\Renjie_Pan\05-Raw_Data\Lab_results\[LabSamples2025_Bioplastic_extra.xlsx]extra_Bioplastic'!H486)</f>
        <v/>
      </c>
    </row>
    <row r="487">
      <c r="A487">
        <f>IF(ISBLANK('Q:\Abteilungsprojekte\Eng\EngData\PROJECT_Bioplastics\Renjie_Pan\05-Raw_Data\Lab_results\[LabSamples2025_Bioplastic_extra.xlsx]extra_Bioplastic'!A487)," ",'Q:\Abteilungsprojekte\Eng\EngData\PROJECT_Bioplastics\Renjie_Pan\05-Raw_Data\Lab_results\[LabSamples2025_Bioplastic_extra.xlsx]extra_Bioplastic'!A487)</f>
        <v/>
      </c>
      <c r="B487">
        <f>IF(ISBLANK('Q:\Abteilungsprojekte\Eng\EngData\PROJECT_Bioplastics\Renjie_Pan\05-Raw_Data\Lab_results\[LabSamples2025_Bioplastic_extra.xlsx]extra_Bioplastic'!B487)," ",'Q:\Abteilungsprojekte\Eng\EngData\PROJECT_Bioplastics\Renjie_Pan\05-Raw_Data\Lab_results\[LabSamples2025_Bioplastic_extra.xlsx]extra_Bioplastic'!B487)</f>
        <v/>
      </c>
      <c r="C487">
        <f>IF(ISBLANK('Q:\Abteilungsprojekte\Eng\EngData\PROJECT_Bioplastics\Renjie_Pan\05-Raw_Data\Lab_results\[LabSamples2025_Bioplastic_extra.xlsx]extra_Bioplastic'!C487)," ",'Q:\Abteilungsprojekte\Eng\EngData\PROJECT_Bioplastics\Renjie_Pan\05-Raw_Data\Lab_results\[LabSamples2025_Bioplastic_extra.xlsx]extra_Bioplastic'!C487)</f>
        <v/>
      </c>
      <c r="D487">
        <f>IF(ISBLANK('Q:\Abteilungsprojekte\Eng\EngData\PROJECT_Bioplastics\Renjie_Pan\05-Raw_Data\Lab_results\[LabSamples2025_Bioplastic_extra.xlsx]extra_Bioplastic'!D487)," ",'Q:\Abteilungsprojekte\Eng\EngData\PROJECT_Bioplastics\Renjie_Pan\05-Raw_Data\Lab_results\[LabSamples2025_Bioplastic_extra.xlsx]extra_Bioplastic'!D487)</f>
        <v/>
      </c>
      <c r="E487">
        <f>IF(ISBLANK('Q:\Abteilungsprojekte\Eng\EngData\PROJECT_Bioplastics\Renjie_Pan\05-Raw_Data\Lab_results\[LabSamples2025_Bioplastic_extra.xlsx]extra_Bioplastic'!E487)," ",'Q:\Abteilungsprojekte\Eng\EngData\PROJECT_Bioplastics\Renjie_Pan\05-Raw_Data\Lab_results\[LabSamples2025_Bioplastic_extra.xlsx]extra_Bioplastic'!E487)</f>
        <v/>
      </c>
      <c r="F487">
        <f>IF(ISBLANK('Q:\Abteilungsprojekte\Eng\EngData\PROJECT_Bioplastics\Renjie_Pan\05-Raw_Data\Lab_results\[LabSamples2025_Bioplastic_extra.xlsx]extra_Bioplastic'!F487)," ",'Q:\Abteilungsprojekte\Eng\EngData\PROJECT_Bioplastics\Renjie_Pan\05-Raw_Data\Lab_results\[LabSamples2025_Bioplastic_extra.xlsx]extra_Bioplastic'!F487)</f>
        <v/>
      </c>
      <c r="G487">
        <f>IF(ISBLANK('Q:\Abteilungsprojekte\Eng\EngData\PROJECT_Bioplastics\Renjie_Pan\05-Raw_Data\Lab_results\[LabSamples2025_Bioplastic_extra.xlsx]extra_Bioplastic'!G487)," ",'Q:\Abteilungsprojekte\Eng\EngData\PROJECT_Bioplastics\Renjie_Pan\05-Raw_Data\Lab_results\[LabSamples2025_Bioplastic_extra.xlsx]extra_Bioplastic'!G487)</f>
        <v/>
      </c>
      <c r="H487">
        <f>IF(ISBLANK('Q:\Abteilungsprojekte\Eng\EngData\PROJECT_Bioplastics\Renjie_Pan\05-Raw_Data\Lab_results\[LabSamples2025_Bioplastic_extra.xlsx]extra_Bioplastic'!H487)," ",'Q:\Abteilungsprojekte\Eng\EngData\PROJECT_Bioplastics\Renjie_Pan\05-Raw_Data\Lab_results\[LabSamples2025_Bioplastic_extra.xlsx]extra_Bioplastic'!H487)</f>
        <v/>
      </c>
    </row>
    <row r="488">
      <c r="A488">
        <f>IF(ISBLANK('Q:\Abteilungsprojekte\Eng\EngData\PROJECT_Bioplastics\Renjie_Pan\05-Raw_Data\Lab_results\[LabSamples2025_Bioplastic_extra.xlsx]extra_Bioplastic'!A488)," ",'Q:\Abteilungsprojekte\Eng\EngData\PROJECT_Bioplastics\Renjie_Pan\05-Raw_Data\Lab_results\[LabSamples2025_Bioplastic_extra.xlsx]extra_Bioplastic'!A488)</f>
        <v/>
      </c>
      <c r="B488">
        <f>IF(ISBLANK('Q:\Abteilungsprojekte\Eng\EngData\PROJECT_Bioplastics\Renjie_Pan\05-Raw_Data\Lab_results\[LabSamples2025_Bioplastic_extra.xlsx]extra_Bioplastic'!B488)," ",'Q:\Abteilungsprojekte\Eng\EngData\PROJECT_Bioplastics\Renjie_Pan\05-Raw_Data\Lab_results\[LabSamples2025_Bioplastic_extra.xlsx]extra_Bioplastic'!B488)</f>
        <v/>
      </c>
      <c r="C488">
        <f>IF(ISBLANK('Q:\Abteilungsprojekte\Eng\EngData\PROJECT_Bioplastics\Renjie_Pan\05-Raw_Data\Lab_results\[LabSamples2025_Bioplastic_extra.xlsx]extra_Bioplastic'!C488)," ",'Q:\Abteilungsprojekte\Eng\EngData\PROJECT_Bioplastics\Renjie_Pan\05-Raw_Data\Lab_results\[LabSamples2025_Bioplastic_extra.xlsx]extra_Bioplastic'!C488)</f>
        <v/>
      </c>
      <c r="D488">
        <f>IF(ISBLANK('Q:\Abteilungsprojekte\Eng\EngData\PROJECT_Bioplastics\Renjie_Pan\05-Raw_Data\Lab_results\[LabSamples2025_Bioplastic_extra.xlsx]extra_Bioplastic'!D488)," ",'Q:\Abteilungsprojekte\Eng\EngData\PROJECT_Bioplastics\Renjie_Pan\05-Raw_Data\Lab_results\[LabSamples2025_Bioplastic_extra.xlsx]extra_Bioplastic'!D488)</f>
        <v/>
      </c>
      <c r="E488">
        <f>IF(ISBLANK('Q:\Abteilungsprojekte\Eng\EngData\PROJECT_Bioplastics\Renjie_Pan\05-Raw_Data\Lab_results\[LabSamples2025_Bioplastic_extra.xlsx]extra_Bioplastic'!E488)," ",'Q:\Abteilungsprojekte\Eng\EngData\PROJECT_Bioplastics\Renjie_Pan\05-Raw_Data\Lab_results\[LabSamples2025_Bioplastic_extra.xlsx]extra_Bioplastic'!E488)</f>
        <v/>
      </c>
      <c r="F488">
        <f>IF(ISBLANK('Q:\Abteilungsprojekte\Eng\EngData\PROJECT_Bioplastics\Renjie_Pan\05-Raw_Data\Lab_results\[LabSamples2025_Bioplastic_extra.xlsx]extra_Bioplastic'!F488)," ",'Q:\Abteilungsprojekte\Eng\EngData\PROJECT_Bioplastics\Renjie_Pan\05-Raw_Data\Lab_results\[LabSamples2025_Bioplastic_extra.xlsx]extra_Bioplastic'!F488)</f>
        <v/>
      </c>
      <c r="G488">
        <f>IF(ISBLANK('Q:\Abteilungsprojekte\Eng\EngData\PROJECT_Bioplastics\Renjie_Pan\05-Raw_Data\Lab_results\[LabSamples2025_Bioplastic_extra.xlsx]extra_Bioplastic'!G488)," ",'Q:\Abteilungsprojekte\Eng\EngData\PROJECT_Bioplastics\Renjie_Pan\05-Raw_Data\Lab_results\[LabSamples2025_Bioplastic_extra.xlsx]extra_Bioplastic'!G488)</f>
        <v/>
      </c>
      <c r="H488">
        <f>IF(ISBLANK('Q:\Abteilungsprojekte\Eng\EngData\PROJECT_Bioplastics\Renjie_Pan\05-Raw_Data\Lab_results\[LabSamples2025_Bioplastic_extra.xlsx]extra_Bioplastic'!H488)," ",'Q:\Abteilungsprojekte\Eng\EngData\PROJECT_Bioplastics\Renjie_Pan\05-Raw_Data\Lab_results\[LabSamples2025_Bioplastic_extra.xlsx]extra_Bioplastic'!H488)</f>
        <v/>
      </c>
    </row>
    <row r="489">
      <c r="A489">
        <f>IF(ISBLANK('Q:\Abteilungsprojekte\Eng\EngData\PROJECT_Bioplastics\Renjie_Pan\05-Raw_Data\Lab_results\[LabSamples2025_Bioplastic_extra.xlsx]extra_Bioplastic'!A489)," ",'Q:\Abteilungsprojekte\Eng\EngData\PROJECT_Bioplastics\Renjie_Pan\05-Raw_Data\Lab_results\[LabSamples2025_Bioplastic_extra.xlsx]extra_Bioplastic'!A489)</f>
        <v/>
      </c>
      <c r="B489">
        <f>IF(ISBLANK('Q:\Abteilungsprojekte\Eng\EngData\PROJECT_Bioplastics\Renjie_Pan\05-Raw_Data\Lab_results\[LabSamples2025_Bioplastic_extra.xlsx]extra_Bioplastic'!B489)," ",'Q:\Abteilungsprojekte\Eng\EngData\PROJECT_Bioplastics\Renjie_Pan\05-Raw_Data\Lab_results\[LabSamples2025_Bioplastic_extra.xlsx]extra_Bioplastic'!B489)</f>
        <v/>
      </c>
      <c r="C489">
        <f>IF(ISBLANK('Q:\Abteilungsprojekte\Eng\EngData\PROJECT_Bioplastics\Renjie_Pan\05-Raw_Data\Lab_results\[LabSamples2025_Bioplastic_extra.xlsx]extra_Bioplastic'!C489)," ",'Q:\Abteilungsprojekte\Eng\EngData\PROJECT_Bioplastics\Renjie_Pan\05-Raw_Data\Lab_results\[LabSamples2025_Bioplastic_extra.xlsx]extra_Bioplastic'!C489)</f>
        <v/>
      </c>
      <c r="D489">
        <f>IF(ISBLANK('Q:\Abteilungsprojekte\Eng\EngData\PROJECT_Bioplastics\Renjie_Pan\05-Raw_Data\Lab_results\[LabSamples2025_Bioplastic_extra.xlsx]extra_Bioplastic'!D489)," ",'Q:\Abteilungsprojekte\Eng\EngData\PROJECT_Bioplastics\Renjie_Pan\05-Raw_Data\Lab_results\[LabSamples2025_Bioplastic_extra.xlsx]extra_Bioplastic'!D489)</f>
        <v/>
      </c>
      <c r="E489">
        <f>IF(ISBLANK('Q:\Abteilungsprojekte\Eng\EngData\PROJECT_Bioplastics\Renjie_Pan\05-Raw_Data\Lab_results\[LabSamples2025_Bioplastic_extra.xlsx]extra_Bioplastic'!E489)," ",'Q:\Abteilungsprojekte\Eng\EngData\PROJECT_Bioplastics\Renjie_Pan\05-Raw_Data\Lab_results\[LabSamples2025_Bioplastic_extra.xlsx]extra_Bioplastic'!E489)</f>
        <v/>
      </c>
      <c r="F489">
        <f>IF(ISBLANK('Q:\Abteilungsprojekte\Eng\EngData\PROJECT_Bioplastics\Renjie_Pan\05-Raw_Data\Lab_results\[LabSamples2025_Bioplastic_extra.xlsx]extra_Bioplastic'!F489)," ",'Q:\Abteilungsprojekte\Eng\EngData\PROJECT_Bioplastics\Renjie_Pan\05-Raw_Data\Lab_results\[LabSamples2025_Bioplastic_extra.xlsx]extra_Bioplastic'!F489)</f>
        <v/>
      </c>
      <c r="G489">
        <f>IF(ISBLANK('Q:\Abteilungsprojekte\Eng\EngData\PROJECT_Bioplastics\Renjie_Pan\05-Raw_Data\Lab_results\[LabSamples2025_Bioplastic_extra.xlsx]extra_Bioplastic'!G489)," ",'Q:\Abteilungsprojekte\Eng\EngData\PROJECT_Bioplastics\Renjie_Pan\05-Raw_Data\Lab_results\[LabSamples2025_Bioplastic_extra.xlsx]extra_Bioplastic'!G489)</f>
        <v/>
      </c>
      <c r="H489">
        <f>IF(ISBLANK('Q:\Abteilungsprojekte\Eng\EngData\PROJECT_Bioplastics\Renjie_Pan\05-Raw_Data\Lab_results\[LabSamples2025_Bioplastic_extra.xlsx]extra_Bioplastic'!H489)," ",'Q:\Abteilungsprojekte\Eng\EngData\PROJECT_Bioplastics\Renjie_Pan\05-Raw_Data\Lab_results\[LabSamples2025_Bioplastic_extra.xlsx]extra_Bioplastic'!H489)</f>
        <v/>
      </c>
    </row>
    <row r="490">
      <c r="A490">
        <f>IF(ISBLANK('Q:\Abteilungsprojekte\Eng\EngData\PROJECT_Bioplastics\Renjie_Pan\05-Raw_Data\Lab_results\[LabSamples2025_Bioplastic_extra.xlsx]extra_Bioplastic'!A490)," ",'Q:\Abteilungsprojekte\Eng\EngData\PROJECT_Bioplastics\Renjie_Pan\05-Raw_Data\Lab_results\[LabSamples2025_Bioplastic_extra.xlsx]extra_Bioplastic'!A490)</f>
        <v/>
      </c>
      <c r="B490">
        <f>IF(ISBLANK('Q:\Abteilungsprojekte\Eng\EngData\PROJECT_Bioplastics\Renjie_Pan\05-Raw_Data\Lab_results\[LabSamples2025_Bioplastic_extra.xlsx]extra_Bioplastic'!B490)," ",'Q:\Abteilungsprojekte\Eng\EngData\PROJECT_Bioplastics\Renjie_Pan\05-Raw_Data\Lab_results\[LabSamples2025_Bioplastic_extra.xlsx]extra_Bioplastic'!B490)</f>
        <v/>
      </c>
      <c r="C490">
        <f>IF(ISBLANK('Q:\Abteilungsprojekte\Eng\EngData\PROJECT_Bioplastics\Renjie_Pan\05-Raw_Data\Lab_results\[LabSamples2025_Bioplastic_extra.xlsx]extra_Bioplastic'!C490)," ",'Q:\Abteilungsprojekte\Eng\EngData\PROJECT_Bioplastics\Renjie_Pan\05-Raw_Data\Lab_results\[LabSamples2025_Bioplastic_extra.xlsx]extra_Bioplastic'!C490)</f>
        <v/>
      </c>
      <c r="D490">
        <f>IF(ISBLANK('Q:\Abteilungsprojekte\Eng\EngData\PROJECT_Bioplastics\Renjie_Pan\05-Raw_Data\Lab_results\[LabSamples2025_Bioplastic_extra.xlsx]extra_Bioplastic'!D490)," ",'Q:\Abteilungsprojekte\Eng\EngData\PROJECT_Bioplastics\Renjie_Pan\05-Raw_Data\Lab_results\[LabSamples2025_Bioplastic_extra.xlsx]extra_Bioplastic'!D490)</f>
        <v/>
      </c>
      <c r="E490">
        <f>IF(ISBLANK('Q:\Abteilungsprojekte\Eng\EngData\PROJECT_Bioplastics\Renjie_Pan\05-Raw_Data\Lab_results\[LabSamples2025_Bioplastic_extra.xlsx]extra_Bioplastic'!E490)," ",'Q:\Abteilungsprojekte\Eng\EngData\PROJECT_Bioplastics\Renjie_Pan\05-Raw_Data\Lab_results\[LabSamples2025_Bioplastic_extra.xlsx]extra_Bioplastic'!E490)</f>
        <v/>
      </c>
      <c r="F490">
        <f>IF(ISBLANK('Q:\Abteilungsprojekte\Eng\EngData\PROJECT_Bioplastics\Renjie_Pan\05-Raw_Data\Lab_results\[LabSamples2025_Bioplastic_extra.xlsx]extra_Bioplastic'!F490)," ",'Q:\Abteilungsprojekte\Eng\EngData\PROJECT_Bioplastics\Renjie_Pan\05-Raw_Data\Lab_results\[LabSamples2025_Bioplastic_extra.xlsx]extra_Bioplastic'!F490)</f>
        <v/>
      </c>
      <c r="G490">
        <f>IF(ISBLANK('Q:\Abteilungsprojekte\Eng\EngData\PROJECT_Bioplastics\Renjie_Pan\05-Raw_Data\Lab_results\[LabSamples2025_Bioplastic_extra.xlsx]extra_Bioplastic'!G490)," ",'Q:\Abteilungsprojekte\Eng\EngData\PROJECT_Bioplastics\Renjie_Pan\05-Raw_Data\Lab_results\[LabSamples2025_Bioplastic_extra.xlsx]extra_Bioplastic'!G490)</f>
        <v/>
      </c>
      <c r="H490">
        <f>IF(ISBLANK('Q:\Abteilungsprojekte\Eng\EngData\PROJECT_Bioplastics\Renjie_Pan\05-Raw_Data\Lab_results\[LabSamples2025_Bioplastic_extra.xlsx]extra_Bioplastic'!H490)," ",'Q:\Abteilungsprojekte\Eng\EngData\PROJECT_Bioplastics\Renjie_Pan\05-Raw_Data\Lab_results\[LabSamples2025_Bioplastic_extra.xlsx]extra_Bioplastic'!H490)</f>
        <v/>
      </c>
    </row>
    <row r="491">
      <c r="A491">
        <f>IF(ISBLANK('Q:\Abteilungsprojekte\Eng\EngData\PROJECT_Bioplastics\Renjie_Pan\05-Raw_Data\Lab_results\[LabSamples2025_Bioplastic_extra.xlsx]extra_Bioplastic'!A491)," ",'Q:\Abteilungsprojekte\Eng\EngData\PROJECT_Bioplastics\Renjie_Pan\05-Raw_Data\Lab_results\[LabSamples2025_Bioplastic_extra.xlsx]extra_Bioplastic'!A491)</f>
        <v/>
      </c>
      <c r="B491">
        <f>IF(ISBLANK('Q:\Abteilungsprojekte\Eng\EngData\PROJECT_Bioplastics\Renjie_Pan\05-Raw_Data\Lab_results\[LabSamples2025_Bioplastic_extra.xlsx]extra_Bioplastic'!B491)," ",'Q:\Abteilungsprojekte\Eng\EngData\PROJECT_Bioplastics\Renjie_Pan\05-Raw_Data\Lab_results\[LabSamples2025_Bioplastic_extra.xlsx]extra_Bioplastic'!B491)</f>
        <v/>
      </c>
      <c r="C491">
        <f>IF(ISBLANK('Q:\Abteilungsprojekte\Eng\EngData\PROJECT_Bioplastics\Renjie_Pan\05-Raw_Data\Lab_results\[LabSamples2025_Bioplastic_extra.xlsx]extra_Bioplastic'!C491)," ",'Q:\Abteilungsprojekte\Eng\EngData\PROJECT_Bioplastics\Renjie_Pan\05-Raw_Data\Lab_results\[LabSamples2025_Bioplastic_extra.xlsx]extra_Bioplastic'!C491)</f>
        <v/>
      </c>
      <c r="D491">
        <f>IF(ISBLANK('Q:\Abteilungsprojekte\Eng\EngData\PROJECT_Bioplastics\Renjie_Pan\05-Raw_Data\Lab_results\[LabSamples2025_Bioplastic_extra.xlsx]extra_Bioplastic'!D491)," ",'Q:\Abteilungsprojekte\Eng\EngData\PROJECT_Bioplastics\Renjie_Pan\05-Raw_Data\Lab_results\[LabSamples2025_Bioplastic_extra.xlsx]extra_Bioplastic'!D491)</f>
        <v/>
      </c>
      <c r="E491">
        <f>IF(ISBLANK('Q:\Abteilungsprojekte\Eng\EngData\PROJECT_Bioplastics\Renjie_Pan\05-Raw_Data\Lab_results\[LabSamples2025_Bioplastic_extra.xlsx]extra_Bioplastic'!E491)," ",'Q:\Abteilungsprojekte\Eng\EngData\PROJECT_Bioplastics\Renjie_Pan\05-Raw_Data\Lab_results\[LabSamples2025_Bioplastic_extra.xlsx]extra_Bioplastic'!E491)</f>
        <v/>
      </c>
      <c r="F491">
        <f>IF(ISBLANK('Q:\Abteilungsprojekte\Eng\EngData\PROJECT_Bioplastics\Renjie_Pan\05-Raw_Data\Lab_results\[LabSamples2025_Bioplastic_extra.xlsx]extra_Bioplastic'!F491)," ",'Q:\Abteilungsprojekte\Eng\EngData\PROJECT_Bioplastics\Renjie_Pan\05-Raw_Data\Lab_results\[LabSamples2025_Bioplastic_extra.xlsx]extra_Bioplastic'!F491)</f>
        <v/>
      </c>
      <c r="G491">
        <f>IF(ISBLANK('Q:\Abteilungsprojekte\Eng\EngData\PROJECT_Bioplastics\Renjie_Pan\05-Raw_Data\Lab_results\[LabSamples2025_Bioplastic_extra.xlsx]extra_Bioplastic'!G491)," ",'Q:\Abteilungsprojekte\Eng\EngData\PROJECT_Bioplastics\Renjie_Pan\05-Raw_Data\Lab_results\[LabSamples2025_Bioplastic_extra.xlsx]extra_Bioplastic'!G491)</f>
        <v/>
      </c>
      <c r="H491">
        <f>IF(ISBLANK('Q:\Abteilungsprojekte\Eng\EngData\PROJECT_Bioplastics\Renjie_Pan\05-Raw_Data\Lab_results\[LabSamples2025_Bioplastic_extra.xlsx]extra_Bioplastic'!H491)," ",'Q:\Abteilungsprojekte\Eng\EngData\PROJECT_Bioplastics\Renjie_Pan\05-Raw_Data\Lab_results\[LabSamples2025_Bioplastic_extra.xlsx]extra_Bioplastic'!H491)</f>
        <v/>
      </c>
    </row>
    <row r="492">
      <c r="A492">
        <f>IF(ISBLANK('Q:\Abteilungsprojekte\Eng\EngData\PROJECT_Bioplastics\Renjie_Pan\05-Raw_Data\Lab_results\[LabSamples2025_Bioplastic_extra.xlsx]extra_Bioplastic'!A492)," ",'Q:\Abteilungsprojekte\Eng\EngData\PROJECT_Bioplastics\Renjie_Pan\05-Raw_Data\Lab_results\[LabSamples2025_Bioplastic_extra.xlsx]extra_Bioplastic'!A492)</f>
        <v/>
      </c>
      <c r="B492">
        <f>IF(ISBLANK('Q:\Abteilungsprojekte\Eng\EngData\PROJECT_Bioplastics\Renjie_Pan\05-Raw_Data\Lab_results\[LabSamples2025_Bioplastic_extra.xlsx]extra_Bioplastic'!B492)," ",'Q:\Abteilungsprojekte\Eng\EngData\PROJECT_Bioplastics\Renjie_Pan\05-Raw_Data\Lab_results\[LabSamples2025_Bioplastic_extra.xlsx]extra_Bioplastic'!B492)</f>
        <v/>
      </c>
      <c r="C492">
        <f>IF(ISBLANK('Q:\Abteilungsprojekte\Eng\EngData\PROJECT_Bioplastics\Renjie_Pan\05-Raw_Data\Lab_results\[LabSamples2025_Bioplastic_extra.xlsx]extra_Bioplastic'!C492)," ",'Q:\Abteilungsprojekte\Eng\EngData\PROJECT_Bioplastics\Renjie_Pan\05-Raw_Data\Lab_results\[LabSamples2025_Bioplastic_extra.xlsx]extra_Bioplastic'!C492)</f>
        <v/>
      </c>
      <c r="D492">
        <f>IF(ISBLANK('Q:\Abteilungsprojekte\Eng\EngData\PROJECT_Bioplastics\Renjie_Pan\05-Raw_Data\Lab_results\[LabSamples2025_Bioplastic_extra.xlsx]extra_Bioplastic'!D492)," ",'Q:\Abteilungsprojekte\Eng\EngData\PROJECT_Bioplastics\Renjie_Pan\05-Raw_Data\Lab_results\[LabSamples2025_Bioplastic_extra.xlsx]extra_Bioplastic'!D492)</f>
        <v/>
      </c>
      <c r="E492">
        <f>IF(ISBLANK('Q:\Abteilungsprojekte\Eng\EngData\PROJECT_Bioplastics\Renjie_Pan\05-Raw_Data\Lab_results\[LabSamples2025_Bioplastic_extra.xlsx]extra_Bioplastic'!E492)," ",'Q:\Abteilungsprojekte\Eng\EngData\PROJECT_Bioplastics\Renjie_Pan\05-Raw_Data\Lab_results\[LabSamples2025_Bioplastic_extra.xlsx]extra_Bioplastic'!E492)</f>
        <v/>
      </c>
      <c r="F492">
        <f>IF(ISBLANK('Q:\Abteilungsprojekte\Eng\EngData\PROJECT_Bioplastics\Renjie_Pan\05-Raw_Data\Lab_results\[LabSamples2025_Bioplastic_extra.xlsx]extra_Bioplastic'!F492)," ",'Q:\Abteilungsprojekte\Eng\EngData\PROJECT_Bioplastics\Renjie_Pan\05-Raw_Data\Lab_results\[LabSamples2025_Bioplastic_extra.xlsx]extra_Bioplastic'!F492)</f>
        <v/>
      </c>
      <c r="G492">
        <f>IF(ISBLANK('Q:\Abteilungsprojekte\Eng\EngData\PROJECT_Bioplastics\Renjie_Pan\05-Raw_Data\Lab_results\[LabSamples2025_Bioplastic_extra.xlsx]extra_Bioplastic'!G492)," ",'Q:\Abteilungsprojekte\Eng\EngData\PROJECT_Bioplastics\Renjie_Pan\05-Raw_Data\Lab_results\[LabSamples2025_Bioplastic_extra.xlsx]extra_Bioplastic'!G492)</f>
        <v/>
      </c>
      <c r="H492">
        <f>IF(ISBLANK('Q:\Abteilungsprojekte\Eng\EngData\PROJECT_Bioplastics\Renjie_Pan\05-Raw_Data\Lab_results\[LabSamples2025_Bioplastic_extra.xlsx]extra_Bioplastic'!H492)," ",'Q:\Abteilungsprojekte\Eng\EngData\PROJECT_Bioplastics\Renjie_Pan\05-Raw_Data\Lab_results\[LabSamples2025_Bioplastic_extra.xlsx]extra_Bioplastic'!H492)</f>
        <v/>
      </c>
    </row>
    <row r="493">
      <c r="A493">
        <f>IF(ISBLANK('Q:\Abteilungsprojekte\Eng\EngData\PROJECT_Bioplastics\Renjie_Pan\05-Raw_Data\Lab_results\[LabSamples2025_Bioplastic_extra.xlsx]extra_Bioplastic'!A493)," ",'Q:\Abteilungsprojekte\Eng\EngData\PROJECT_Bioplastics\Renjie_Pan\05-Raw_Data\Lab_results\[LabSamples2025_Bioplastic_extra.xlsx]extra_Bioplastic'!A493)</f>
        <v/>
      </c>
      <c r="B493">
        <f>IF(ISBLANK('Q:\Abteilungsprojekte\Eng\EngData\PROJECT_Bioplastics\Renjie_Pan\05-Raw_Data\Lab_results\[LabSamples2025_Bioplastic_extra.xlsx]extra_Bioplastic'!B493)," ",'Q:\Abteilungsprojekte\Eng\EngData\PROJECT_Bioplastics\Renjie_Pan\05-Raw_Data\Lab_results\[LabSamples2025_Bioplastic_extra.xlsx]extra_Bioplastic'!B493)</f>
        <v/>
      </c>
      <c r="C493">
        <f>IF(ISBLANK('Q:\Abteilungsprojekte\Eng\EngData\PROJECT_Bioplastics\Renjie_Pan\05-Raw_Data\Lab_results\[LabSamples2025_Bioplastic_extra.xlsx]extra_Bioplastic'!C493)," ",'Q:\Abteilungsprojekte\Eng\EngData\PROJECT_Bioplastics\Renjie_Pan\05-Raw_Data\Lab_results\[LabSamples2025_Bioplastic_extra.xlsx]extra_Bioplastic'!C493)</f>
        <v/>
      </c>
      <c r="D493">
        <f>IF(ISBLANK('Q:\Abteilungsprojekte\Eng\EngData\PROJECT_Bioplastics\Renjie_Pan\05-Raw_Data\Lab_results\[LabSamples2025_Bioplastic_extra.xlsx]extra_Bioplastic'!D493)," ",'Q:\Abteilungsprojekte\Eng\EngData\PROJECT_Bioplastics\Renjie_Pan\05-Raw_Data\Lab_results\[LabSamples2025_Bioplastic_extra.xlsx]extra_Bioplastic'!D493)</f>
        <v/>
      </c>
      <c r="E493">
        <f>IF(ISBLANK('Q:\Abteilungsprojekte\Eng\EngData\PROJECT_Bioplastics\Renjie_Pan\05-Raw_Data\Lab_results\[LabSamples2025_Bioplastic_extra.xlsx]extra_Bioplastic'!E493)," ",'Q:\Abteilungsprojekte\Eng\EngData\PROJECT_Bioplastics\Renjie_Pan\05-Raw_Data\Lab_results\[LabSamples2025_Bioplastic_extra.xlsx]extra_Bioplastic'!E493)</f>
        <v/>
      </c>
      <c r="F493">
        <f>IF(ISBLANK('Q:\Abteilungsprojekte\Eng\EngData\PROJECT_Bioplastics\Renjie_Pan\05-Raw_Data\Lab_results\[LabSamples2025_Bioplastic_extra.xlsx]extra_Bioplastic'!F493)," ",'Q:\Abteilungsprojekte\Eng\EngData\PROJECT_Bioplastics\Renjie_Pan\05-Raw_Data\Lab_results\[LabSamples2025_Bioplastic_extra.xlsx]extra_Bioplastic'!F493)</f>
        <v/>
      </c>
      <c r="G493">
        <f>IF(ISBLANK('Q:\Abteilungsprojekte\Eng\EngData\PROJECT_Bioplastics\Renjie_Pan\05-Raw_Data\Lab_results\[LabSamples2025_Bioplastic_extra.xlsx]extra_Bioplastic'!G493)," ",'Q:\Abteilungsprojekte\Eng\EngData\PROJECT_Bioplastics\Renjie_Pan\05-Raw_Data\Lab_results\[LabSamples2025_Bioplastic_extra.xlsx]extra_Bioplastic'!G493)</f>
        <v/>
      </c>
      <c r="H493">
        <f>IF(ISBLANK('Q:\Abteilungsprojekte\Eng\EngData\PROJECT_Bioplastics\Renjie_Pan\05-Raw_Data\Lab_results\[LabSamples2025_Bioplastic_extra.xlsx]extra_Bioplastic'!H493)," ",'Q:\Abteilungsprojekte\Eng\EngData\PROJECT_Bioplastics\Renjie_Pan\05-Raw_Data\Lab_results\[LabSamples2025_Bioplastic_extra.xlsx]extra_Bioplastic'!H493)</f>
        <v/>
      </c>
    </row>
    <row r="494">
      <c r="A494">
        <f>IF(ISBLANK('Q:\Abteilungsprojekte\Eng\EngData\PROJECT_Bioplastics\Renjie_Pan\05-Raw_Data\Lab_results\[LabSamples2025_Bioplastic_extra.xlsx]extra_Bioplastic'!A494)," ",'Q:\Abteilungsprojekte\Eng\EngData\PROJECT_Bioplastics\Renjie_Pan\05-Raw_Data\Lab_results\[LabSamples2025_Bioplastic_extra.xlsx]extra_Bioplastic'!A494)</f>
        <v/>
      </c>
      <c r="B494">
        <f>IF(ISBLANK('Q:\Abteilungsprojekte\Eng\EngData\PROJECT_Bioplastics\Renjie_Pan\05-Raw_Data\Lab_results\[LabSamples2025_Bioplastic_extra.xlsx]extra_Bioplastic'!B494)," ",'Q:\Abteilungsprojekte\Eng\EngData\PROJECT_Bioplastics\Renjie_Pan\05-Raw_Data\Lab_results\[LabSamples2025_Bioplastic_extra.xlsx]extra_Bioplastic'!B494)</f>
        <v/>
      </c>
      <c r="C494">
        <f>IF(ISBLANK('Q:\Abteilungsprojekte\Eng\EngData\PROJECT_Bioplastics\Renjie_Pan\05-Raw_Data\Lab_results\[LabSamples2025_Bioplastic_extra.xlsx]extra_Bioplastic'!C494)," ",'Q:\Abteilungsprojekte\Eng\EngData\PROJECT_Bioplastics\Renjie_Pan\05-Raw_Data\Lab_results\[LabSamples2025_Bioplastic_extra.xlsx]extra_Bioplastic'!C494)</f>
        <v/>
      </c>
      <c r="D494">
        <f>IF(ISBLANK('Q:\Abteilungsprojekte\Eng\EngData\PROJECT_Bioplastics\Renjie_Pan\05-Raw_Data\Lab_results\[LabSamples2025_Bioplastic_extra.xlsx]extra_Bioplastic'!D494)," ",'Q:\Abteilungsprojekte\Eng\EngData\PROJECT_Bioplastics\Renjie_Pan\05-Raw_Data\Lab_results\[LabSamples2025_Bioplastic_extra.xlsx]extra_Bioplastic'!D494)</f>
        <v/>
      </c>
      <c r="E494">
        <f>IF(ISBLANK('Q:\Abteilungsprojekte\Eng\EngData\PROJECT_Bioplastics\Renjie_Pan\05-Raw_Data\Lab_results\[LabSamples2025_Bioplastic_extra.xlsx]extra_Bioplastic'!E494)," ",'Q:\Abteilungsprojekte\Eng\EngData\PROJECT_Bioplastics\Renjie_Pan\05-Raw_Data\Lab_results\[LabSamples2025_Bioplastic_extra.xlsx]extra_Bioplastic'!E494)</f>
        <v/>
      </c>
      <c r="F494">
        <f>IF(ISBLANK('Q:\Abteilungsprojekte\Eng\EngData\PROJECT_Bioplastics\Renjie_Pan\05-Raw_Data\Lab_results\[LabSamples2025_Bioplastic_extra.xlsx]extra_Bioplastic'!F494)," ",'Q:\Abteilungsprojekte\Eng\EngData\PROJECT_Bioplastics\Renjie_Pan\05-Raw_Data\Lab_results\[LabSamples2025_Bioplastic_extra.xlsx]extra_Bioplastic'!F494)</f>
        <v/>
      </c>
      <c r="G494">
        <f>IF(ISBLANK('Q:\Abteilungsprojekte\Eng\EngData\PROJECT_Bioplastics\Renjie_Pan\05-Raw_Data\Lab_results\[LabSamples2025_Bioplastic_extra.xlsx]extra_Bioplastic'!G494)," ",'Q:\Abteilungsprojekte\Eng\EngData\PROJECT_Bioplastics\Renjie_Pan\05-Raw_Data\Lab_results\[LabSamples2025_Bioplastic_extra.xlsx]extra_Bioplastic'!G494)</f>
        <v/>
      </c>
      <c r="H494">
        <f>IF(ISBLANK('Q:\Abteilungsprojekte\Eng\EngData\PROJECT_Bioplastics\Renjie_Pan\05-Raw_Data\Lab_results\[LabSamples2025_Bioplastic_extra.xlsx]extra_Bioplastic'!H494)," ",'Q:\Abteilungsprojekte\Eng\EngData\PROJECT_Bioplastics\Renjie_Pan\05-Raw_Data\Lab_results\[LabSamples2025_Bioplastic_extra.xlsx]extra_Bioplastic'!H494)</f>
        <v/>
      </c>
    </row>
    <row r="495">
      <c r="A495">
        <f>IF(ISBLANK('Q:\Abteilungsprojekte\Eng\EngData\PROJECT_Bioplastics\Renjie_Pan\05-Raw_Data\Lab_results\[LabSamples2025_Bioplastic_extra.xlsx]extra_Bioplastic'!A495)," ",'Q:\Abteilungsprojekte\Eng\EngData\PROJECT_Bioplastics\Renjie_Pan\05-Raw_Data\Lab_results\[LabSamples2025_Bioplastic_extra.xlsx]extra_Bioplastic'!A495)</f>
        <v/>
      </c>
      <c r="B495">
        <f>IF(ISBLANK('Q:\Abteilungsprojekte\Eng\EngData\PROJECT_Bioplastics\Renjie_Pan\05-Raw_Data\Lab_results\[LabSamples2025_Bioplastic_extra.xlsx]extra_Bioplastic'!B495)," ",'Q:\Abteilungsprojekte\Eng\EngData\PROJECT_Bioplastics\Renjie_Pan\05-Raw_Data\Lab_results\[LabSamples2025_Bioplastic_extra.xlsx]extra_Bioplastic'!B495)</f>
        <v/>
      </c>
      <c r="C495">
        <f>IF(ISBLANK('Q:\Abteilungsprojekte\Eng\EngData\PROJECT_Bioplastics\Renjie_Pan\05-Raw_Data\Lab_results\[LabSamples2025_Bioplastic_extra.xlsx]extra_Bioplastic'!C495)," ",'Q:\Abteilungsprojekte\Eng\EngData\PROJECT_Bioplastics\Renjie_Pan\05-Raw_Data\Lab_results\[LabSamples2025_Bioplastic_extra.xlsx]extra_Bioplastic'!C495)</f>
        <v/>
      </c>
      <c r="D495">
        <f>IF(ISBLANK('Q:\Abteilungsprojekte\Eng\EngData\PROJECT_Bioplastics\Renjie_Pan\05-Raw_Data\Lab_results\[LabSamples2025_Bioplastic_extra.xlsx]extra_Bioplastic'!D495)," ",'Q:\Abteilungsprojekte\Eng\EngData\PROJECT_Bioplastics\Renjie_Pan\05-Raw_Data\Lab_results\[LabSamples2025_Bioplastic_extra.xlsx]extra_Bioplastic'!D495)</f>
        <v/>
      </c>
      <c r="E495">
        <f>IF(ISBLANK('Q:\Abteilungsprojekte\Eng\EngData\PROJECT_Bioplastics\Renjie_Pan\05-Raw_Data\Lab_results\[LabSamples2025_Bioplastic_extra.xlsx]extra_Bioplastic'!E495)," ",'Q:\Abteilungsprojekte\Eng\EngData\PROJECT_Bioplastics\Renjie_Pan\05-Raw_Data\Lab_results\[LabSamples2025_Bioplastic_extra.xlsx]extra_Bioplastic'!E495)</f>
        <v/>
      </c>
      <c r="F495">
        <f>IF(ISBLANK('Q:\Abteilungsprojekte\Eng\EngData\PROJECT_Bioplastics\Renjie_Pan\05-Raw_Data\Lab_results\[LabSamples2025_Bioplastic_extra.xlsx]extra_Bioplastic'!F495)," ",'Q:\Abteilungsprojekte\Eng\EngData\PROJECT_Bioplastics\Renjie_Pan\05-Raw_Data\Lab_results\[LabSamples2025_Bioplastic_extra.xlsx]extra_Bioplastic'!F495)</f>
        <v/>
      </c>
      <c r="G495">
        <f>IF(ISBLANK('Q:\Abteilungsprojekte\Eng\EngData\PROJECT_Bioplastics\Renjie_Pan\05-Raw_Data\Lab_results\[LabSamples2025_Bioplastic_extra.xlsx]extra_Bioplastic'!G495)," ",'Q:\Abteilungsprojekte\Eng\EngData\PROJECT_Bioplastics\Renjie_Pan\05-Raw_Data\Lab_results\[LabSamples2025_Bioplastic_extra.xlsx]extra_Bioplastic'!G495)</f>
        <v/>
      </c>
      <c r="H495">
        <f>IF(ISBLANK('Q:\Abteilungsprojekte\Eng\EngData\PROJECT_Bioplastics\Renjie_Pan\05-Raw_Data\Lab_results\[LabSamples2025_Bioplastic_extra.xlsx]extra_Bioplastic'!H495)," ",'Q:\Abteilungsprojekte\Eng\EngData\PROJECT_Bioplastics\Renjie_Pan\05-Raw_Data\Lab_results\[LabSamples2025_Bioplastic_extra.xlsx]extra_Bioplastic'!H495)</f>
        <v/>
      </c>
    </row>
    <row r="496">
      <c r="A496">
        <f>IF(ISBLANK('Q:\Abteilungsprojekte\Eng\EngData\PROJECT_Bioplastics\Renjie_Pan\05-Raw_Data\Lab_results\[LabSamples2025_Bioplastic_extra.xlsx]extra_Bioplastic'!A496)," ",'Q:\Abteilungsprojekte\Eng\EngData\PROJECT_Bioplastics\Renjie_Pan\05-Raw_Data\Lab_results\[LabSamples2025_Bioplastic_extra.xlsx]extra_Bioplastic'!A496)</f>
        <v/>
      </c>
      <c r="B496">
        <f>IF(ISBLANK('Q:\Abteilungsprojekte\Eng\EngData\PROJECT_Bioplastics\Renjie_Pan\05-Raw_Data\Lab_results\[LabSamples2025_Bioplastic_extra.xlsx]extra_Bioplastic'!B496)," ",'Q:\Abteilungsprojekte\Eng\EngData\PROJECT_Bioplastics\Renjie_Pan\05-Raw_Data\Lab_results\[LabSamples2025_Bioplastic_extra.xlsx]extra_Bioplastic'!B496)</f>
        <v/>
      </c>
      <c r="C496">
        <f>IF(ISBLANK('Q:\Abteilungsprojekte\Eng\EngData\PROJECT_Bioplastics\Renjie_Pan\05-Raw_Data\Lab_results\[LabSamples2025_Bioplastic_extra.xlsx]extra_Bioplastic'!C496)," ",'Q:\Abteilungsprojekte\Eng\EngData\PROJECT_Bioplastics\Renjie_Pan\05-Raw_Data\Lab_results\[LabSamples2025_Bioplastic_extra.xlsx]extra_Bioplastic'!C496)</f>
        <v/>
      </c>
      <c r="D496">
        <f>IF(ISBLANK('Q:\Abteilungsprojekte\Eng\EngData\PROJECT_Bioplastics\Renjie_Pan\05-Raw_Data\Lab_results\[LabSamples2025_Bioplastic_extra.xlsx]extra_Bioplastic'!D496)," ",'Q:\Abteilungsprojekte\Eng\EngData\PROJECT_Bioplastics\Renjie_Pan\05-Raw_Data\Lab_results\[LabSamples2025_Bioplastic_extra.xlsx]extra_Bioplastic'!D496)</f>
        <v/>
      </c>
      <c r="E496">
        <f>IF(ISBLANK('Q:\Abteilungsprojekte\Eng\EngData\PROJECT_Bioplastics\Renjie_Pan\05-Raw_Data\Lab_results\[LabSamples2025_Bioplastic_extra.xlsx]extra_Bioplastic'!E496)," ",'Q:\Abteilungsprojekte\Eng\EngData\PROJECT_Bioplastics\Renjie_Pan\05-Raw_Data\Lab_results\[LabSamples2025_Bioplastic_extra.xlsx]extra_Bioplastic'!E496)</f>
        <v/>
      </c>
      <c r="F496">
        <f>IF(ISBLANK('Q:\Abteilungsprojekte\Eng\EngData\PROJECT_Bioplastics\Renjie_Pan\05-Raw_Data\Lab_results\[LabSamples2025_Bioplastic_extra.xlsx]extra_Bioplastic'!F496)," ",'Q:\Abteilungsprojekte\Eng\EngData\PROJECT_Bioplastics\Renjie_Pan\05-Raw_Data\Lab_results\[LabSamples2025_Bioplastic_extra.xlsx]extra_Bioplastic'!F496)</f>
        <v/>
      </c>
      <c r="G496">
        <f>IF(ISBLANK('Q:\Abteilungsprojekte\Eng\EngData\PROJECT_Bioplastics\Renjie_Pan\05-Raw_Data\Lab_results\[LabSamples2025_Bioplastic_extra.xlsx]extra_Bioplastic'!G496)," ",'Q:\Abteilungsprojekte\Eng\EngData\PROJECT_Bioplastics\Renjie_Pan\05-Raw_Data\Lab_results\[LabSamples2025_Bioplastic_extra.xlsx]extra_Bioplastic'!G496)</f>
        <v/>
      </c>
      <c r="H496">
        <f>IF(ISBLANK('Q:\Abteilungsprojekte\Eng\EngData\PROJECT_Bioplastics\Renjie_Pan\05-Raw_Data\Lab_results\[LabSamples2025_Bioplastic_extra.xlsx]extra_Bioplastic'!H496)," ",'Q:\Abteilungsprojekte\Eng\EngData\PROJECT_Bioplastics\Renjie_Pan\05-Raw_Data\Lab_results\[LabSamples2025_Bioplastic_extra.xlsx]extra_Bioplastic'!H496)</f>
        <v/>
      </c>
    </row>
    <row r="497">
      <c r="A497">
        <f>IF(ISBLANK('Q:\Abteilungsprojekte\Eng\EngData\PROJECT_Bioplastics\Renjie_Pan\05-Raw_Data\Lab_results\[LabSamples2025_Bioplastic_extra.xlsx]extra_Bioplastic'!A497)," ",'Q:\Abteilungsprojekte\Eng\EngData\PROJECT_Bioplastics\Renjie_Pan\05-Raw_Data\Lab_results\[LabSamples2025_Bioplastic_extra.xlsx]extra_Bioplastic'!A497)</f>
        <v/>
      </c>
      <c r="B497">
        <f>IF(ISBLANK('Q:\Abteilungsprojekte\Eng\EngData\PROJECT_Bioplastics\Renjie_Pan\05-Raw_Data\Lab_results\[LabSamples2025_Bioplastic_extra.xlsx]extra_Bioplastic'!B497)," ",'Q:\Abteilungsprojekte\Eng\EngData\PROJECT_Bioplastics\Renjie_Pan\05-Raw_Data\Lab_results\[LabSamples2025_Bioplastic_extra.xlsx]extra_Bioplastic'!B497)</f>
        <v/>
      </c>
      <c r="C497">
        <f>IF(ISBLANK('Q:\Abteilungsprojekte\Eng\EngData\PROJECT_Bioplastics\Renjie_Pan\05-Raw_Data\Lab_results\[LabSamples2025_Bioplastic_extra.xlsx]extra_Bioplastic'!C497)," ",'Q:\Abteilungsprojekte\Eng\EngData\PROJECT_Bioplastics\Renjie_Pan\05-Raw_Data\Lab_results\[LabSamples2025_Bioplastic_extra.xlsx]extra_Bioplastic'!C497)</f>
        <v/>
      </c>
      <c r="D497">
        <f>IF(ISBLANK('Q:\Abteilungsprojekte\Eng\EngData\PROJECT_Bioplastics\Renjie_Pan\05-Raw_Data\Lab_results\[LabSamples2025_Bioplastic_extra.xlsx]extra_Bioplastic'!D497)," ",'Q:\Abteilungsprojekte\Eng\EngData\PROJECT_Bioplastics\Renjie_Pan\05-Raw_Data\Lab_results\[LabSamples2025_Bioplastic_extra.xlsx]extra_Bioplastic'!D497)</f>
        <v/>
      </c>
      <c r="E497">
        <f>IF(ISBLANK('Q:\Abteilungsprojekte\Eng\EngData\PROJECT_Bioplastics\Renjie_Pan\05-Raw_Data\Lab_results\[LabSamples2025_Bioplastic_extra.xlsx]extra_Bioplastic'!E497)," ",'Q:\Abteilungsprojekte\Eng\EngData\PROJECT_Bioplastics\Renjie_Pan\05-Raw_Data\Lab_results\[LabSamples2025_Bioplastic_extra.xlsx]extra_Bioplastic'!E497)</f>
        <v/>
      </c>
      <c r="F497">
        <f>IF(ISBLANK('Q:\Abteilungsprojekte\Eng\EngData\PROJECT_Bioplastics\Renjie_Pan\05-Raw_Data\Lab_results\[LabSamples2025_Bioplastic_extra.xlsx]extra_Bioplastic'!F497)," ",'Q:\Abteilungsprojekte\Eng\EngData\PROJECT_Bioplastics\Renjie_Pan\05-Raw_Data\Lab_results\[LabSamples2025_Bioplastic_extra.xlsx]extra_Bioplastic'!F497)</f>
        <v/>
      </c>
      <c r="G497">
        <f>IF(ISBLANK('Q:\Abteilungsprojekte\Eng\EngData\PROJECT_Bioplastics\Renjie_Pan\05-Raw_Data\Lab_results\[LabSamples2025_Bioplastic_extra.xlsx]extra_Bioplastic'!G497)," ",'Q:\Abteilungsprojekte\Eng\EngData\PROJECT_Bioplastics\Renjie_Pan\05-Raw_Data\Lab_results\[LabSamples2025_Bioplastic_extra.xlsx]extra_Bioplastic'!G497)</f>
        <v/>
      </c>
      <c r="H497">
        <f>IF(ISBLANK('Q:\Abteilungsprojekte\Eng\EngData\PROJECT_Bioplastics\Renjie_Pan\05-Raw_Data\Lab_results\[LabSamples2025_Bioplastic_extra.xlsx]extra_Bioplastic'!H497)," ",'Q:\Abteilungsprojekte\Eng\EngData\PROJECT_Bioplastics\Renjie_Pan\05-Raw_Data\Lab_results\[LabSamples2025_Bioplastic_extra.xlsx]extra_Bioplastic'!H497)</f>
        <v/>
      </c>
    </row>
    <row r="498">
      <c r="A498">
        <f>IF(ISBLANK('Q:\Abteilungsprojekte\Eng\EngData\PROJECT_Bioplastics\Renjie_Pan\05-Raw_Data\Lab_results\[LabSamples2025_Bioplastic_extra.xlsx]extra_Bioplastic'!A498)," ",'Q:\Abteilungsprojekte\Eng\EngData\PROJECT_Bioplastics\Renjie_Pan\05-Raw_Data\Lab_results\[LabSamples2025_Bioplastic_extra.xlsx]extra_Bioplastic'!A498)</f>
        <v/>
      </c>
      <c r="B498">
        <f>IF(ISBLANK('Q:\Abteilungsprojekte\Eng\EngData\PROJECT_Bioplastics\Renjie_Pan\05-Raw_Data\Lab_results\[LabSamples2025_Bioplastic_extra.xlsx]extra_Bioplastic'!B498)," ",'Q:\Abteilungsprojekte\Eng\EngData\PROJECT_Bioplastics\Renjie_Pan\05-Raw_Data\Lab_results\[LabSamples2025_Bioplastic_extra.xlsx]extra_Bioplastic'!B498)</f>
        <v/>
      </c>
      <c r="C498">
        <f>IF(ISBLANK('Q:\Abteilungsprojekte\Eng\EngData\PROJECT_Bioplastics\Renjie_Pan\05-Raw_Data\Lab_results\[LabSamples2025_Bioplastic_extra.xlsx]extra_Bioplastic'!C498)," ",'Q:\Abteilungsprojekte\Eng\EngData\PROJECT_Bioplastics\Renjie_Pan\05-Raw_Data\Lab_results\[LabSamples2025_Bioplastic_extra.xlsx]extra_Bioplastic'!C498)</f>
        <v/>
      </c>
      <c r="D498">
        <f>IF(ISBLANK('Q:\Abteilungsprojekte\Eng\EngData\PROJECT_Bioplastics\Renjie_Pan\05-Raw_Data\Lab_results\[LabSamples2025_Bioplastic_extra.xlsx]extra_Bioplastic'!D498)," ",'Q:\Abteilungsprojekte\Eng\EngData\PROJECT_Bioplastics\Renjie_Pan\05-Raw_Data\Lab_results\[LabSamples2025_Bioplastic_extra.xlsx]extra_Bioplastic'!D498)</f>
        <v/>
      </c>
      <c r="E498">
        <f>IF(ISBLANK('Q:\Abteilungsprojekte\Eng\EngData\PROJECT_Bioplastics\Renjie_Pan\05-Raw_Data\Lab_results\[LabSamples2025_Bioplastic_extra.xlsx]extra_Bioplastic'!E498)," ",'Q:\Abteilungsprojekte\Eng\EngData\PROJECT_Bioplastics\Renjie_Pan\05-Raw_Data\Lab_results\[LabSamples2025_Bioplastic_extra.xlsx]extra_Bioplastic'!E498)</f>
        <v/>
      </c>
      <c r="F498">
        <f>IF(ISBLANK('Q:\Abteilungsprojekte\Eng\EngData\PROJECT_Bioplastics\Renjie_Pan\05-Raw_Data\Lab_results\[LabSamples2025_Bioplastic_extra.xlsx]extra_Bioplastic'!F498)," ",'Q:\Abteilungsprojekte\Eng\EngData\PROJECT_Bioplastics\Renjie_Pan\05-Raw_Data\Lab_results\[LabSamples2025_Bioplastic_extra.xlsx]extra_Bioplastic'!F498)</f>
        <v/>
      </c>
      <c r="G498">
        <f>IF(ISBLANK('Q:\Abteilungsprojekte\Eng\EngData\PROJECT_Bioplastics\Renjie_Pan\05-Raw_Data\Lab_results\[LabSamples2025_Bioplastic_extra.xlsx]extra_Bioplastic'!G498)," ",'Q:\Abteilungsprojekte\Eng\EngData\PROJECT_Bioplastics\Renjie_Pan\05-Raw_Data\Lab_results\[LabSamples2025_Bioplastic_extra.xlsx]extra_Bioplastic'!G498)</f>
        <v/>
      </c>
      <c r="H498">
        <f>IF(ISBLANK('Q:\Abteilungsprojekte\Eng\EngData\PROJECT_Bioplastics\Renjie_Pan\05-Raw_Data\Lab_results\[LabSamples2025_Bioplastic_extra.xlsx]extra_Bioplastic'!H498)," ",'Q:\Abteilungsprojekte\Eng\EngData\PROJECT_Bioplastics\Renjie_Pan\05-Raw_Data\Lab_results\[LabSamples2025_Bioplastic_extra.xlsx]extra_Bioplastic'!H498)</f>
        <v/>
      </c>
    </row>
    <row r="499">
      <c r="A499">
        <f>IF(ISBLANK('Q:\Abteilungsprojekte\Eng\EngData\PROJECT_Bioplastics\Renjie_Pan\05-Raw_Data\Lab_results\[LabSamples2025_Bioplastic_extra.xlsx]extra_Bioplastic'!A499)," ",'Q:\Abteilungsprojekte\Eng\EngData\PROJECT_Bioplastics\Renjie_Pan\05-Raw_Data\Lab_results\[LabSamples2025_Bioplastic_extra.xlsx]extra_Bioplastic'!A499)</f>
        <v/>
      </c>
      <c r="B499">
        <f>IF(ISBLANK('Q:\Abteilungsprojekte\Eng\EngData\PROJECT_Bioplastics\Renjie_Pan\05-Raw_Data\Lab_results\[LabSamples2025_Bioplastic_extra.xlsx]extra_Bioplastic'!B499)," ",'Q:\Abteilungsprojekte\Eng\EngData\PROJECT_Bioplastics\Renjie_Pan\05-Raw_Data\Lab_results\[LabSamples2025_Bioplastic_extra.xlsx]extra_Bioplastic'!B499)</f>
        <v/>
      </c>
      <c r="C499">
        <f>IF(ISBLANK('Q:\Abteilungsprojekte\Eng\EngData\PROJECT_Bioplastics\Renjie_Pan\05-Raw_Data\Lab_results\[LabSamples2025_Bioplastic_extra.xlsx]extra_Bioplastic'!C499)," ",'Q:\Abteilungsprojekte\Eng\EngData\PROJECT_Bioplastics\Renjie_Pan\05-Raw_Data\Lab_results\[LabSamples2025_Bioplastic_extra.xlsx]extra_Bioplastic'!C499)</f>
        <v/>
      </c>
      <c r="D499">
        <f>IF(ISBLANK('Q:\Abteilungsprojekte\Eng\EngData\PROJECT_Bioplastics\Renjie_Pan\05-Raw_Data\Lab_results\[LabSamples2025_Bioplastic_extra.xlsx]extra_Bioplastic'!D499)," ",'Q:\Abteilungsprojekte\Eng\EngData\PROJECT_Bioplastics\Renjie_Pan\05-Raw_Data\Lab_results\[LabSamples2025_Bioplastic_extra.xlsx]extra_Bioplastic'!D499)</f>
        <v/>
      </c>
      <c r="E499">
        <f>IF(ISBLANK('Q:\Abteilungsprojekte\Eng\EngData\PROJECT_Bioplastics\Renjie_Pan\05-Raw_Data\Lab_results\[LabSamples2025_Bioplastic_extra.xlsx]extra_Bioplastic'!E499)," ",'Q:\Abteilungsprojekte\Eng\EngData\PROJECT_Bioplastics\Renjie_Pan\05-Raw_Data\Lab_results\[LabSamples2025_Bioplastic_extra.xlsx]extra_Bioplastic'!E499)</f>
        <v/>
      </c>
      <c r="F499">
        <f>IF(ISBLANK('Q:\Abteilungsprojekte\Eng\EngData\PROJECT_Bioplastics\Renjie_Pan\05-Raw_Data\Lab_results\[LabSamples2025_Bioplastic_extra.xlsx]extra_Bioplastic'!F499)," ",'Q:\Abteilungsprojekte\Eng\EngData\PROJECT_Bioplastics\Renjie_Pan\05-Raw_Data\Lab_results\[LabSamples2025_Bioplastic_extra.xlsx]extra_Bioplastic'!F499)</f>
        <v/>
      </c>
      <c r="G499">
        <f>IF(ISBLANK('Q:\Abteilungsprojekte\Eng\EngData\PROJECT_Bioplastics\Renjie_Pan\05-Raw_Data\Lab_results\[LabSamples2025_Bioplastic_extra.xlsx]extra_Bioplastic'!G499)," ",'Q:\Abteilungsprojekte\Eng\EngData\PROJECT_Bioplastics\Renjie_Pan\05-Raw_Data\Lab_results\[LabSamples2025_Bioplastic_extra.xlsx]extra_Bioplastic'!G499)</f>
        <v/>
      </c>
      <c r="H499">
        <f>IF(ISBLANK('Q:\Abteilungsprojekte\Eng\EngData\PROJECT_Bioplastics\Renjie_Pan\05-Raw_Data\Lab_results\[LabSamples2025_Bioplastic_extra.xlsx]extra_Bioplastic'!H499)," ",'Q:\Abteilungsprojekte\Eng\EngData\PROJECT_Bioplastics\Renjie_Pan\05-Raw_Data\Lab_results\[LabSamples2025_Bioplastic_extra.xlsx]extra_Bioplastic'!H499)</f>
        <v/>
      </c>
    </row>
    <row r="500">
      <c r="A500">
        <f>IF(ISBLANK('Q:\Abteilungsprojekte\Eng\EngData\PROJECT_Bioplastics\Renjie_Pan\05-Raw_Data\Lab_results\[LabSamples2025_Bioplastic_extra.xlsx]extra_Bioplastic'!A500)," ",'Q:\Abteilungsprojekte\Eng\EngData\PROJECT_Bioplastics\Renjie_Pan\05-Raw_Data\Lab_results\[LabSamples2025_Bioplastic_extra.xlsx]extra_Bioplastic'!A500)</f>
        <v/>
      </c>
      <c r="B500">
        <f>IF(ISBLANK('Q:\Abteilungsprojekte\Eng\EngData\PROJECT_Bioplastics\Renjie_Pan\05-Raw_Data\Lab_results\[LabSamples2025_Bioplastic_extra.xlsx]extra_Bioplastic'!B500)," ",'Q:\Abteilungsprojekte\Eng\EngData\PROJECT_Bioplastics\Renjie_Pan\05-Raw_Data\Lab_results\[LabSamples2025_Bioplastic_extra.xlsx]extra_Bioplastic'!B500)</f>
        <v/>
      </c>
      <c r="C500">
        <f>IF(ISBLANK('Q:\Abteilungsprojekte\Eng\EngData\PROJECT_Bioplastics\Renjie_Pan\05-Raw_Data\Lab_results\[LabSamples2025_Bioplastic_extra.xlsx]extra_Bioplastic'!C500)," ",'Q:\Abteilungsprojekte\Eng\EngData\PROJECT_Bioplastics\Renjie_Pan\05-Raw_Data\Lab_results\[LabSamples2025_Bioplastic_extra.xlsx]extra_Bioplastic'!C500)</f>
        <v/>
      </c>
      <c r="D500">
        <f>IF(ISBLANK('Q:\Abteilungsprojekte\Eng\EngData\PROJECT_Bioplastics\Renjie_Pan\05-Raw_Data\Lab_results\[LabSamples2025_Bioplastic_extra.xlsx]extra_Bioplastic'!D500)," ",'Q:\Abteilungsprojekte\Eng\EngData\PROJECT_Bioplastics\Renjie_Pan\05-Raw_Data\Lab_results\[LabSamples2025_Bioplastic_extra.xlsx]extra_Bioplastic'!D500)</f>
        <v/>
      </c>
      <c r="E500">
        <f>IF(ISBLANK('Q:\Abteilungsprojekte\Eng\EngData\PROJECT_Bioplastics\Renjie_Pan\05-Raw_Data\Lab_results\[LabSamples2025_Bioplastic_extra.xlsx]extra_Bioplastic'!E500)," ",'Q:\Abteilungsprojekte\Eng\EngData\PROJECT_Bioplastics\Renjie_Pan\05-Raw_Data\Lab_results\[LabSamples2025_Bioplastic_extra.xlsx]extra_Bioplastic'!E500)</f>
        <v/>
      </c>
      <c r="F500">
        <f>IF(ISBLANK('Q:\Abteilungsprojekte\Eng\EngData\PROJECT_Bioplastics\Renjie_Pan\05-Raw_Data\Lab_results\[LabSamples2025_Bioplastic_extra.xlsx]extra_Bioplastic'!F500)," ",'Q:\Abteilungsprojekte\Eng\EngData\PROJECT_Bioplastics\Renjie_Pan\05-Raw_Data\Lab_results\[LabSamples2025_Bioplastic_extra.xlsx]extra_Bioplastic'!F500)</f>
        <v/>
      </c>
      <c r="G500">
        <f>IF(ISBLANK('Q:\Abteilungsprojekte\Eng\EngData\PROJECT_Bioplastics\Renjie_Pan\05-Raw_Data\Lab_results\[LabSamples2025_Bioplastic_extra.xlsx]extra_Bioplastic'!G500)," ",'Q:\Abteilungsprojekte\Eng\EngData\PROJECT_Bioplastics\Renjie_Pan\05-Raw_Data\Lab_results\[LabSamples2025_Bioplastic_extra.xlsx]extra_Bioplastic'!G500)</f>
        <v/>
      </c>
      <c r="H500">
        <f>IF(ISBLANK('Q:\Abteilungsprojekte\Eng\EngData\PROJECT_Bioplastics\Renjie_Pan\05-Raw_Data\Lab_results\[LabSamples2025_Bioplastic_extra.xlsx]extra_Bioplastic'!H500)," ",'Q:\Abteilungsprojekte\Eng\EngData\PROJECT_Bioplastics\Renjie_Pan\05-Raw_Data\Lab_results\[LabSamples2025_Bioplastic_extra.xlsx]extra_Bioplastic'!H500)</f>
        <v/>
      </c>
    </row>
    <row r="501">
      <c r="A501">
        <f>IF(ISBLANK('Q:\Abteilungsprojekte\Eng\EngData\PROJECT_Bioplastics\Renjie_Pan\05-Raw_Data\Lab_results\[LabSamples2025_Bioplastic_extra.xlsx]extra_Bioplastic'!A501)," ",'Q:\Abteilungsprojekte\Eng\EngData\PROJECT_Bioplastics\Renjie_Pan\05-Raw_Data\Lab_results\[LabSamples2025_Bioplastic_extra.xlsx]extra_Bioplastic'!A501)</f>
        <v/>
      </c>
      <c r="B501">
        <f>IF(ISBLANK('Q:\Abteilungsprojekte\Eng\EngData\PROJECT_Bioplastics\Renjie_Pan\05-Raw_Data\Lab_results\[LabSamples2025_Bioplastic_extra.xlsx]extra_Bioplastic'!B501)," ",'Q:\Abteilungsprojekte\Eng\EngData\PROJECT_Bioplastics\Renjie_Pan\05-Raw_Data\Lab_results\[LabSamples2025_Bioplastic_extra.xlsx]extra_Bioplastic'!B501)</f>
        <v/>
      </c>
      <c r="C501">
        <f>IF(ISBLANK('Q:\Abteilungsprojekte\Eng\EngData\PROJECT_Bioplastics\Renjie_Pan\05-Raw_Data\Lab_results\[LabSamples2025_Bioplastic_extra.xlsx]extra_Bioplastic'!C501)," ",'Q:\Abteilungsprojekte\Eng\EngData\PROJECT_Bioplastics\Renjie_Pan\05-Raw_Data\Lab_results\[LabSamples2025_Bioplastic_extra.xlsx]extra_Bioplastic'!C501)</f>
        <v/>
      </c>
      <c r="D501">
        <f>IF(ISBLANK('Q:\Abteilungsprojekte\Eng\EngData\PROJECT_Bioplastics\Renjie_Pan\05-Raw_Data\Lab_results\[LabSamples2025_Bioplastic_extra.xlsx]extra_Bioplastic'!D501)," ",'Q:\Abteilungsprojekte\Eng\EngData\PROJECT_Bioplastics\Renjie_Pan\05-Raw_Data\Lab_results\[LabSamples2025_Bioplastic_extra.xlsx]extra_Bioplastic'!D501)</f>
        <v/>
      </c>
      <c r="E501">
        <f>IF(ISBLANK('Q:\Abteilungsprojekte\Eng\EngData\PROJECT_Bioplastics\Renjie_Pan\05-Raw_Data\Lab_results\[LabSamples2025_Bioplastic_extra.xlsx]extra_Bioplastic'!E501)," ",'Q:\Abteilungsprojekte\Eng\EngData\PROJECT_Bioplastics\Renjie_Pan\05-Raw_Data\Lab_results\[LabSamples2025_Bioplastic_extra.xlsx]extra_Bioplastic'!E501)</f>
        <v/>
      </c>
      <c r="F501">
        <f>IF(ISBLANK('Q:\Abteilungsprojekte\Eng\EngData\PROJECT_Bioplastics\Renjie_Pan\05-Raw_Data\Lab_results\[LabSamples2025_Bioplastic_extra.xlsx]extra_Bioplastic'!F501)," ",'Q:\Abteilungsprojekte\Eng\EngData\PROJECT_Bioplastics\Renjie_Pan\05-Raw_Data\Lab_results\[LabSamples2025_Bioplastic_extra.xlsx]extra_Bioplastic'!F501)</f>
        <v/>
      </c>
      <c r="G501">
        <f>IF(ISBLANK('Q:\Abteilungsprojekte\Eng\EngData\PROJECT_Bioplastics\Renjie_Pan\05-Raw_Data\Lab_results\[LabSamples2025_Bioplastic_extra.xlsx]extra_Bioplastic'!G501)," ",'Q:\Abteilungsprojekte\Eng\EngData\PROJECT_Bioplastics\Renjie_Pan\05-Raw_Data\Lab_results\[LabSamples2025_Bioplastic_extra.xlsx]extra_Bioplastic'!G501)</f>
        <v/>
      </c>
      <c r="H501">
        <f>IF(ISBLANK('Q:\Abteilungsprojekte\Eng\EngData\PROJECT_Bioplastics\Renjie_Pan\05-Raw_Data\Lab_results\[LabSamples2025_Bioplastic_extra.xlsx]extra_Bioplastic'!H501)," ",'Q:\Abteilungsprojekte\Eng\EngData\PROJECT_Bioplastics\Renjie_Pan\05-Raw_Data\Lab_results\[LabSamples2025_Bioplastic_extra.xlsx]extra_Bioplastic'!H501)</f>
        <v/>
      </c>
    </row>
    <row r="502">
      <c r="A502">
        <f>IF(ISBLANK('Q:\Abteilungsprojekte\Eng\EngData\PROJECT_Bioplastics\Renjie_Pan\05-Raw_Data\Lab_results\[LabSamples2025_Bioplastic_extra.xlsx]extra_Bioplastic'!A502)," ",'Q:\Abteilungsprojekte\Eng\EngData\PROJECT_Bioplastics\Renjie_Pan\05-Raw_Data\Lab_results\[LabSamples2025_Bioplastic_extra.xlsx]extra_Bioplastic'!A502)</f>
        <v/>
      </c>
      <c r="B502">
        <f>IF(ISBLANK('Q:\Abteilungsprojekte\Eng\EngData\PROJECT_Bioplastics\Renjie_Pan\05-Raw_Data\Lab_results\[LabSamples2025_Bioplastic_extra.xlsx]extra_Bioplastic'!B502)," ",'Q:\Abteilungsprojekte\Eng\EngData\PROJECT_Bioplastics\Renjie_Pan\05-Raw_Data\Lab_results\[LabSamples2025_Bioplastic_extra.xlsx]extra_Bioplastic'!B502)</f>
        <v/>
      </c>
      <c r="C502">
        <f>IF(ISBLANK('Q:\Abteilungsprojekte\Eng\EngData\PROJECT_Bioplastics\Renjie_Pan\05-Raw_Data\Lab_results\[LabSamples2025_Bioplastic_extra.xlsx]extra_Bioplastic'!C502)," ",'Q:\Abteilungsprojekte\Eng\EngData\PROJECT_Bioplastics\Renjie_Pan\05-Raw_Data\Lab_results\[LabSamples2025_Bioplastic_extra.xlsx]extra_Bioplastic'!C502)</f>
        <v/>
      </c>
      <c r="D502">
        <f>IF(ISBLANK('Q:\Abteilungsprojekte\Eng\EngData\PROJECT_Bioplastics\Renjie_Pan\05-Raw_Data\Lab_results\[LabSamples2025_Bioplastic_extra.xlsx]extra_Bioplastic'!D502)," ",'Q:\Abteilungsprojekte\Eng\EngData\PROJECT_Bioplastics\Renjie_Pan\05-Raw_Data\Lab_results\[LabSamples2025_Bioplastic_extra.xlsx]extra_Bioplastic'!D502)</f>
        <v/>
      </c>
      <c r="E502">
        <f>IF(ISBLANK('Q:\Abteilungsprojekte\Eng\EngData\PROJECT_Bioplastics\Renjie_Pan\05-Raw_Data\Lab_results\[LabSamples2025_Bioplastic_extra.xlsx]extra_Bioplastic'!E502)," ",'Q:\Abteilungsprojekte\Eng\EngData\PROJECT_Bioplastics\Renjie_Pan\05-Raw_Data\Lab_results\[LabSamples2025_Bioplastic_extra.xlsx]extra_Bioplastic'!E502)</f>
        <v/>
      </c>
      <c r="F502">
        <f>IF(ISBLANK('Q:\Abteilungsprojekte\Eng\EngData\PROJECT_Bioplastics\Renjie_Pan\05-Raw_Data\Lab_results\[LabSamples2025_Bioplastic_extra.xlsx]extra_Bioplastic'!F502)," ",'Q:\Abteilungsprojekte\Eng\EngData\PROJECT_Bioplastics\Renjie_Pan\05-Raw_Data\Lab_results\[LabSamples2025_Bioplastic_extra.xlsx]extra_Bioplastic'!F502)</f>
        <v/>
      </c>
      <c r="G502">
        <f>IF(ISBLANK('Q:\Abteilungsprojekte\Eng\EngData\PROJECT_Bioplastics\Renjie_Pan\05-Raw_Data\Lab_results\[LabSamples2025_Bioplastic_extra.xlsx]extra_Bioplastic'!G502)," ",'Q:\Abteilungsprojekte\Eng\EngData\PROJECT_Bioplastics\Renjie_Pan\05-Raw_Data\Lab_results\[LabSamples2025_Bioplastic_extra.xlsx]extra_Bioplastic'!G502)</f>
        <v/>
      </c>
      <c r="H502">
        <f>IF(ISBLANK('Q:\Abteilungsprojekte\Eng\EngData\PROJECT_Bioplastics\Renjie_Pan\05-Raw_Data\Lab_results\[LabSamples2025_Bioplastic_extra.xlsx]extra_Bioplastic'!H502)," ",'Q:\Abteilungsprojekte\Eng\EngData\PROJECT_Bioplastics\Renjie_Pan\05-Raw_Data\Lab_results\[LabSamples2025_Bioplastic_extra.xlsx]extra_Bioplastic'!H502)</f>
        <v/>
      </c>
    </row>
    <row r="503">
      <c r="A503">
        <f>IF(ISBLANK('Q:\Abteilungsprojekte\Eng\EngData\PROJECT_Bioplastics\Renjie_Pan\05-Raw_Data\Lab_results\[LabSamples2025_Bioplastic_extra.xlsx]extra_Bioplastic'!A503)," ",'Q:\Abteilungsprojekte\Eng\EngData\PROJECT_Bioplastics\Renjie_Pan\05-Raw_Data\Lab_results\[LabSamples2025_Bioplastic_extra.xlsx]extra_Bioplastic'!A503)</f>
        <v/>
      </c>
      <c r="B503">
        <f>IF(ISBLANK('Q:\Abteilungsprojekte\Eng\EngData\PROJECT_Bioplastics\Renjie_Pan\05-Raw_Data\Lab_results\[LabSamples2025_Bioplastic_extra.xlsx]extra_Bioplastic'!B503)," ",'Q:\Abteilungsprojekte\Eng\EngData\PROJECT_Bioplastics\Renjie_Pan\05-Raw_Data\Lab_results\[LabSamples2025_Bioplastic_extra.xlsx]extra_Bioplastic'!B503)</f>
        <v/>
      </c>
      <c r="C503">
        <f>IF(ISBLANK('Q:\Abteilungsprojekte\Eng\EngData\PROJECT_Bioplastics\Renjie_Pan\05-Raw_Data\Lab_results\[LabSamples2025_Bioplastic_extra.xlsx]extra_Bioplastic'!C503)," ",'Q:\Abteilungsprojekte\Eng\EngData\PROJECT_Bioplastics\Renjie_Pan\05-Raw_Data\Lab_results\[LabSamples2025_Bioplastic_extra.xlsx]extra_Bioplastic'!C503)</f>
        <v/>
      </c>
      <c r="D503">
        <f>IF(ISBLANK('Q:\Abteilungsprojekte\Eng\EngData\PROJECT_Bioplastics\Renjie_Pan\05-Raw_Data\Lab_results\[LabSamples2025_Bioplastic_extra.xlsx]extra_Bioplastic'!D503)," ",'Q:\Abteilungsprojekte\Eng\EngData\PROJECT_Bioplastics\Renjie_Pan\05-Raw_Data\Lab_results\[LabSamples2025_Bioplastic_extra.xlsx]extra_Bioplastic'!D503)</f>
        <v/>
      </c>
      <c r="E503">
        <f>IF(ISBLANK('Q:\Abteilungsprojekte\Eng\EngData\PROJECT_Bioplastics\Renjie_Pan\05-Raw_Data\Lab_results\[LabSamples2025_Bioplastic_extra.xlsx]extra_Bioplastic'!E503)," ",'Q:\Abteilungsprojekte\Eng\EngData\PROJECT_Bioplastics\Renjie_Pan\05-Raw_Data\Lab_results\[LabSamples2025_Bioplastic_extra.xlsx]extra_Bioplastic'!E503)</f>
        <v/>
      </c>
      <c r="F503">
        <f>IF(ISBLANK('Q:\Abteilungsprojekte\Eng\EngData\PROJECT_Bioplastics\Renjie_Pan\05-Raw_Data\Lab_results\[LabSamples2025_Bioplastic_extra.xlsx]extra_Bioplastic'!F503)," ",'Q:\Abteilungsprojekte\Eng\EngData\PROJECT_Bioplastics\Renjie_Pan\05-Raw_Data\Lab_results\[LabSamples2025_Bioplastic_extra.xlsx]extra_Bioplastic'!F503)</f>
        <v/>
      </c>
      <c r="G503">
        <f>IF(ISBLANK('Q:\Abteilungsprojekte\Eng\EngData\PROJECT_Bioplastics\Renjie_Pan\05-Raw_Data\Lab_results\[LabSamples2025_Bioplastic_extra.xlsx]extra_Bioplastic'!G503)," ",'Q:\Abteilungsprojekte\Eng\EngData\PROJECT_Bioplastics\Renjie_Pan\05-Raw_Data\Lab_results\[LabSamples2025_Bioplastic_extra.xlsx]extra_Bioplastic'!G503)</f>
        <v/>
      </c>
      <c r="H503">
        <f>IF(ISBLANK('Q:\Abteilungsprojekte\Eng\EngData\PROJECT_Bioplastics\Renjie_Pan\05-Raw_Data\Lab_results\[LabSamples2025_Bioplastic_extra.xlsx]extra_Bioplastic'!H503)," ",'Q:\Abteilungsprojekte\Eng\EngData\PROJECT_Bioplastics\Renjie_Pan\05-Raw_Data\Lab_results\[LabSamples2025_Bioplastic_extra.xlsx]extra_Bioplastic'!H503)</f>
        <v/>
      </c>
    </row>
    <row r="504">
      <c r="A504">
        <f>IF(ISBLANK('Q:\Abteilungsprojekte\Eng\EngData\PROJECT_Bioplastics\Renjie_Pan\05-Raw_Data\Lab_results\[LabSamples2025_Bioplastic_extra.xlsx]extra_Bioplastic'!A504)," ",'Q:\Abteilungsprojekte\Eng\EngData\PROJECT_Bioplastics\Renjie_Pan\05-Raw_Data\Lab_results\[LabSamples2025_Bioplastic_extra.xlsx]extra_Bioplastic'!A504)</f>
        <v/>
      </c>
      <c r="B504">
        <f>IF(ISBLANK('Q:\Abteilungsprojekte\Eng\EngData\PROJECT_Bioplastics\Renjie_Pan\05-Raw_Data\Lab_results\[LabSamples2025_Bioplastic_extra.xlsx]extra_Bioplastic'!B504)," ",'Q:\Abteilungsprojekte\Eng\EngData\PROJECT_Bioplastics\Renjie_Pan\05-Raw_Data\Lab_results\[LabSamples2025_Bioplastic_extra.xlsx]extra_Bioplastic'!B504)</f>
        <v/>
      </c>
      <c r="C504">
        <f>IF(ISBLANK('Q:\Abteilungsprojekte\Eng\EngData\PROJECT_Bioplastics\Renjie_Pan\05-Raw_Data\Lab_results\[LabSamples2025_Bioplastic_extra.xlsx]extra_Bioplastic'!C504)," ",'Q:\Abteilungsprojekte\Eng\EngData\PROJECT_Bioplastics\Renjie_Pan\05-Raw_Data\Lab_results\[LabSamples2025_Bioplastic_extra.xlsx]extra_Bioplastic'!C504)</f>
        <v/>
      </c>
      <c r="D504">
        <f>IF(ISBLANK('Q:\Abteilungsprojekte\Eng\EngData\PROJECT_Bioplastics\Renjie_Pan\05-Raw_Data\Lab_results\[LabSamples2025_Bioplastic_extra.xlsx]extra_Bioplastic'!D504)," ",'Q:\Abteilungsprojekte\Eng\EngData\PROJECT_Bioplastics\Renjie_Pan\05-Raw_Data\Lab_results\[LabSamples2025_Bioplastic_extra.xlsx]extra_Bioplastic'!D504)</f>
        <v/>
      </c>
      <c r="E504">
        <f>IF(ISBLANK('Q:\Abteilungsprojekte\Eng\EngData\PROJECT_Bioplastics\Renjie_Pan\05-Raw_Data\Lab_results\[LabSamples2025_Bioplastic_extra.xlsx]extra_Bioplastic'!E504)," ",'Q:\Abteilungsprojekte\Eng\EngData\PROJECT_Bioplastics\Renjie_Pan\05-Raw_Data\Lab_results\[LabSamples2025_Bioplastic_extra.xlsx]extra_Bioplastic'!E504)</f>
        <v/>
      </c>
      <c r="F504">
        <f>IF(ISBLANK('Q:\Abteilungsprojekte\Eng\EngData\PROJECT_Bioplastics\Renjie_Pan\05-Raw_Data\Lab_results\[LabSamples2025_Bioplastic_extra.xlsx]extra_Bioplastic'!F504)," ",'Q:\Abteilungsprojekte\Eng\EngData\PROJECT_Bioplastics\Renjie_Pan\05-Raw_Data\Lab_results\[LabSamples2025_Bioplastic_extra.xlsx]extra_Bioplastic'!F504)</f>
        <v/>
      </c>
      <c r="G504">
        <f>IF(ISBLANK('Q:\Abteilungsprojekte\Eng\EngData\PROJECT_Bioplastics\Renjie_Pan\05-Raw_Data\Lab_results\[LabSamples2025_Bioplastic_extra.xlsx]extra_Bioplastic'!G504)," ",'Q:\Abteilungsprojekte\Eng\EngData\PROJECT_Bioplastics\Renjie_Pan\05-Raw_Data\Lab_results\[LabSamples2025_Bioplastic_extra.xlsx]extra_Bioplastic'!G504)</f>
        <v/>
      </c>
      <c r="H504">
        <f>IF(ISBLANK('Q:\Abteilungsprojekte\Eng\EngData\PROJECT_Bioplastics\Renjie_Pan\05-Raw_Data\Lab_results\[LabSamples2025_Bioplastic_extra.xlsx]extra_Bioplastic'!H504)," ",'Q:\Abteilungsprojekte\Eng\EngData\PROJECT_Bioplastics\Renjie_Pan\05-Raw_Data\Lab_results\[LabSamples2025_Bioplastic_extra.xlsx]extra_Bioplastic'!H504)</f>
        <v/>
      </c>
    </row>
    <row r="505">
      <c r="A505">
        <f>IF(ISBLANK('Q:\Abteilungsprojekte\Eng\EngData\PROJECT_Bioplastics\Renjie_Pan\05-Raw_Data\Lab_results\[LabSamples2025_Bioplastic_extra.xlsx]extra_Bioplastic'!A505)," ",'Q:\Abteilungsprojekte\Eng\EngData\PROJECT_Bioplastics\Renjie_Pan\05-Raw_Data\Lab_results\[LabSamples2025_Bioplastic_extra.xlsx]extra_Bioplastic'!A505)</f>
        <v/>
      </c>
      <c r="B505">
        <f>IF(ISBLANK('Q:\Abteilungsprojekte\Eng\EngData\PROJECT_Bioplastics\Renjie_Pan\05-Raw_Data\Lab_results\[LabSamples2025_Bioplastic_extra.xlsx]extra_Bioplastic'!B505)," ",'Q:\Abteilungsprojekte\Eng\EngData\PROJECT_Bioplastics\Renjie_Pan\05-Raw_Data\Lab_results\[LabSamples2025_Bioplastic_extra.xlsx]extra_Bioplastic'!B505)</f>
        <v/>
      </c>
      <c r="C505">
        <f>IF(ISBLANK('Q:\Abteilungsprojekte\Eng\EngData\PROJECT_Bioplastics\Renjie_Pan\05-Raw_Data\Lab_results\[LabSamples2025_Bioplastic_extra.xlsx]extra_Bioplastic'!C505)," ",'Q:\Abteilungsprojekte\Eng\EngData\PROJECT_Bioplastics\Renjie_Pan\05-Raw_Data\Lab_results\[LabSamples2025_Bioplastic_extra.xlsx]extra_Bioplastic'!C505)</f>
        <v/>
      </c>
      <c r="D505">
        <f>IF(ISBLANK('Q:\Abteilungsprojekte\Eng\EngData\PROJECT_Bioplastics\Renjie_Pan\05-Raw_Data\Lab_results\[LabSamples2025_Bioplastic_extra.xlsx]extra_Bioplastic'!D505)," ",'Q:\Abteilungsprojekte\Eng\EngData\PROJECT_Bioplastics\Renjie_Pan\05-Raw_Data\Lab_results\[LabSamples2025_Bioplastic_extra.xlsx]extra_Bioplastic'!D505)</f>
        <v/>
      </c>
      <c r="E505">
        <f>IF(ISBLANK('Q:\Abteilungsprojekte\Eng\EngData\PROJECT_Bioplastics\Renjie_Pan\05-Raw_Data\Lab_results\[LabSamples2025_Bioplastic_extra.xlsx]extra_Bioplastic'!E505)," ",'Q:\Abteilungsprojekte\Eng\EngData\PROJECT_Bioplastics\Renjie_Pan\05-Raw_Data\Lab_results\[LabSamples2025_Bioplastic_extra.xlsx]extra_Bioplastic'!E505)</f>
        <v/>
      </c>
      <c r="F505">
        <f>IF(ISBLANK('Q:\Abteilungsprojekte\Eng\EngData\PROJECT_Bioplastics\Renjie_Pan\05-Raw_Data\Lab_results\[LabSamples2025_Bioplastic_extra.xlsx]extra_Bioplastic'!F505)," ",'Q:\Abteilungsprojekte\Eng\EngData\PROJECT_Bioplastics\Renjie_Pan\05-Raw_Data\Lab_results\[LabSamples2025_Bioplastic_extra.xlsx]extra_Bioplastic'!F505)</f>
        <v/>
      </c>
      <c r="G505">
        <f>IF(ISBLANK('Q:\Abteilungsprojekte\Eng\EngData\PROJECT_Bioplastics\Renjie_Pan\05-Raw_Data\Lab_results\[LabSamples2025_Bioplastic_extra.xlsx]extra_Bioplastic'!G505)," ",'Q:\Abteilungsprojekte\Eng\EngData\PROJECT_Bioplastics\Renjie_Pan\05-Raw_Data\Lab_results\[LabSamples2025_Bioplastic_extra.xlsx]extra_Bioplastic'!G505)</f>
        <v/>
      </c>
      <c r="H505">
        <f>IF(ISBLANK('Q:\Abteilungsprojekte\Eng\EngData\PROJECT_Bioplastics\Renjie_Pan\05-Raw_Data\Lab_results\[LabSamples2025_Bioplastic_extra.xlsx]extra_Bioplastic'!H505)," ",'Q:\Abteilungsprojekte\Eng\EngData\PROJECT_Bioplastics\Renjie_Pan\05-Raw_Data\Lab_results\[LabSamples2025_Bioplastic_extra.xlsx]extra_Bioplastic'!H505)</f>
        <v/>
      </c>
    </row>
    <row r="506">
      <c r="A506">
        <f>IF(ISBLANK('Q:\Abteilungsprojekte\Eng\EngData\PROJECT_Bioplastics\Renjie_Pan\05-Raw_Data\Lab_results\[LabSamples2025_Bioplastic_extra.xlsx]extra_Bioplastic'!A506)," ",'Q:\Abteilungsprojekte\Eng\EngData\PROJECT_Bioplastics\Renjie_Pan\05-Raw_Data\Lab_results\[LabSamples2025_Bioplastic_extra.xlsx]extra_Bioplastic'!A506)</f>
        <v/>
      </c>
      <c r="B506">
        <f>IF(ISBLANK('Q:\Abteilungsprojekte\Eng\EngData\PROJECT_Bioplastics\Renjie_Pan\05-Raw_Data\Lab_results\[LabSamples2025_Bioplastic_extra.xlsx]extra_Bioplastic'!B506)," ",'Q:\Abteilungsprojekte\Eng\EngData\PROJECT_Bioplastics\Renjie_Pan\05-Raw_Data\Lab_results\[LabSamples2025_Bioplastic_extra.xlsx]extra_Bioplastic'!B506)</f>
        <v/>
      </c>
      <c r="C506">
        <f>IF(ISBLANK('Q:\Abteilungsprojekte\Eng\EngData\PROJECT_Bioplastics\Renjie_Pan\05-Raw_Data\Lab_results\[LabSamples2025_Bioplastic_extra.xlsx]extra_Bioplastic'!C506)," ",'Q:\Abteilungsprojekte\Eng\EngData\PROJECT_Bioplastics\Renjie_Pan\05-Raw_Data\Lab_results\[LabSamples2025_Bioplastic_extra.xlsx]extra_Bioplastic'!C506)</f>
        <v/>
      </c>
      <c r="D506">
        <f>IF(ISBLANK('Q:\Abteilungsprojekte\Eng\EngData\PROJECT_Bioplastics\Renjie_Pan\05-Raw_Data\Lab_results\[LabSamples2025_Bioplastic_extra.xlsx]extra_Bioplastic'!D506)," ",'Q:\Abteilungsprojekte\Eng\EngData\PROJECT_Bioplastics\Renjie_Pan\05-Raw_Data\Lab_results\[LabSamples2025_Bioplastic_extra.xlsx]extra_Bioplastic'!D506)</f>
        <v/>
      </c>
      <c r="E506">
        <f>IF(ISBLANK('Q:\Abteilungsprojekte\Eng\EngData\PROJECT_Bioplastics\Renjie_Pan\05-Raw_Data\Lab_results\[LabSamples2025_Bioplastic_extra.xlsx]extra_Bioplastic'!E506)," ",'Q:\Abteilungsprojekte\Eng\EngData\PROJECT_Bioplastics\Renjie_Pan\05-Raw_Data\Lab_results\[LabSamples2025_Bioplastic_extra.xlsx]extra_Bioplastic'!E506)</f>
        <v/>
      </c>
      <c r="F506">
        <f>IF(ISBLANK('Q:\Abteilungsprojekte\Eng\EngData\PROJECT_Bioplastics\Renjie_Pan\05-Raw_Data\Lab_results\[LabSamples2025_Bioplastic_extra.xlsx]extra_Bioplastic'!F506)," ",'Q:\Abteilungsprojekte\Eng\EngData\PROJECT_Bioplastics\Renjie_Pan\05-Raw_Data\Lab_results\[LabSamples2025_Bioplastic_extra.xlsx]extra_Bioplastic'!F506)</f>
        <v/>
      </c>
      <c r="G506">
        <f>IF(ISBLANK('Q:\Abteilungsprojekte\Eng\EngData\PROJECT_Bioplastics\Renjie_Pan\05-Raw_Data\Lab_results\[LabSamples2025_Bioplastic_extra.xlsx]extra_Bioplastic'!G506)," ",'Q:\Abteilungsprojekte\Eng\EngData\PROJECT_Bioplastics\Renjie_Pan\05-Raw_Data\Lab_results\[LabSamples2025_Bioplastic_extra.xlsx]extra_Bioplastic'!G506)</f>
        <v/>
      </c>
      <c r="H506">
        <f>IF(ISBLANK('Q:\Abteilungsprojekte\Eng\EngData\PROJECT_Bioplastics\Renjie_Pan\05-Raw_Data\Lab_results\[LabSamples2025_Bioplastic_extra.xlsx]extra_Bioplastic'!H506)," ",'Q:\Abteilungsprojekte\Eng\EngData\PROJECT_Bioplastics\Renjie_Pan\05-Raw_Data\Lab_results\[LabSamples2025_Bioplastic_extra.xlsx]extra_Bioplastic'!H506)</f>
        <v/>
      </c>
    </row>
    <row r="507">
      <c r="A507">
        <f>IF(ISBLANK('Q:\Abteilungsprojekte\Eng\EngData\PROJECT_Bioplastics\Renjie_Pan\05-Raw_Data\Lab_results\[LabSamples2025_Bioplastic_extra.xlsx]extra_Bioplastic'!A507)," ",'Q:\Abteilungsprojekte\Eng\EngData\PROJECT_Bioplastics\Renjie_Pan\05-Raw_Data\Lab_results\[LabSamples2025_Bioplastic_extra.xlsx]extra_Bioplastic'!A507)</f>
        <v/>
      </c>
      <c r="B507">
        <f>IF(ISBLANK('Q:\Abteilungsprojekte\Eng\EngData\PROJECT_Bioplastics\Renjie_Pan\05-Raw_Data\Lab_results\[LabSamples2025_Bioplastic_extra.xlsx]extra_Bioplastic'!B507)," ",'Q:\Abteilungsprojekte\Eng\EngData\PROJECT_Bioplastics\Renjie_Pan\05-Raw_Data\Lab_results\[LabSamples2025_Bioplastic_extra.xlsx]extra_Bioplastic'!B507)</f>
        <v/>
      </c>
      <c r="C507">
        <f>IF(ISBLANK('Q:\Abteilungsprojekte\Eng\EngData\PROJECT_Bioplastics\Renjie_Pan\05-Raw_Data\Lab_results\[LabSamples2025_Bioplastic_extra.xlsx]extra_Bioplastic'!C507)," ",'Q:\Abteilungsprojekte\Eng\EngData\PROJECT_Bioplastics\Renjie_Pan\05-Raw_Data\Lab_results\[LabSamples2025_Bioplastic_extra.xlsx]extra_Bioplastic'!C507)</f>
        <v/>
      </c>
      <c r="D507">
        <f>IF(ISBLANK('Q:\Abteilungsprojekte\Eng\EngData\PROJECT_Bioplastics\Renjie_Pan\05-Raw_Data\Lab_results\[LabSamples2025_Bioplastic_extra.xlsx]extra_Bioplastic'!D507)," ",'Q:\Abteilungsprojekte\Eng\EngData\PROJECT_Bioplastics\Renjie_Pan\05-Raw_Data\Lab_results\[LabSamples2025_Bioplastic_extra.xlsx]extra_Bioplastic'!D507)</f>
        <v/>
      </c>
      <c r="E507">
        <f>IF(ISBLANK('Q:\Abteilungsprojekte\Eng\EngData\PROJECT_Bioplastics\Renjie_Pan\05-Raw_Data\Lab_results\[LabSamples2025_Bioplastic_extra.xlsx]extra_Bioplastic'!E507)," ",'Q:\Abteilungsprojekte\Eng\EngData\PROJECT_Bioplastics\Renjie_Pan\05-Raw_Data\Lab_results\[LabSamples2025_Bioplastic_extra.xlsx]extra_Bioplastic'!E507)</f>
        <v/>
      </c>
      <c r="F507">
        <f>IF(ISBLANK('Q:\Abteilungsprojekte\Eng\EngData\PROJECT_Bioplastics\Renjie_Pan\05-Raw_Data\Lab_results\[LabSamples2025_Bioplastic_extra.xlsx]extra_Bioplastic'!F507)," ",'Q:\Abteilungsprojekte\Eng\EngData\PROJECT_Bioplastics\Renjie_Pan\05-Raw_Data\Lab_results\[LabSamples2025_Bioplastic_extra.xlsx]extra_Bioplastic'!F507)</f>
        <v/>
      </c>
      <c r="G507">
        <f>IF(ISBLANK('Q:\Abteilungsprojekte\Eng\EngData\PROJECT_Bioplastics\Renjie_Pan\05-Raw_Data\Lab_results\[LabSamples2025_Bioplastic_extra.xlsx]extra_Bioplastic'!G507)," ",'Q:\Abteilungsprojekte\Eng\EngData\PROJECT_Bioplastics\Renjie_Pan\05-Raw_Data\Lab_results\[LabSamples2025_Bioplastic_extra.xlsx]extra_Bioplastic'!G507)</f>
        <v/>
      </c>
      <c r="H507">
        <f>IF(ISBLANK('Q:\Abteilungsprojekte\Eng\EngData\PROJECT_Bioplastics\Renjie_Pan\05-Raw_Data\Lab_results\[LabSamples2025_Bioplastic_extra.xlsx]extra_Bioplastic'!H507)," ",'Q:\Abteilungsprojekte\Eng\EngData\PROJECT_Bioplastics\Renjie_Pan\05-Raw_Data\Lab_results\[LabSamples2025_Bioplastic_extra.xlsx]extra_Bioplastic'!H507)</f>
        <v/>
      </c>
    </row>
    <row r="508">
      <c r="A508">
        <f>IF(ISBLANK('Q:\Abteilungsprojekte\Eng\EngData\PROJECT_Bioplastics\Renjie_Pan\05-Raw_Data\Lab_results\[LabSamples2025_Bioplastic_extra.xlsx]extra_Bioplastic'!A508)," ",'Q:\Abteilungsprojekte\Eng\EngData\PROJECT_Bioplastics\Renjie_Pan\05-Raw_Data\Lab_results\[LabSamples2025_Bioplastic_extra.xlsx]extra_Bioplastic'!A508)</f>
        <v/>
      </c>
      <c r="B508">
        <f>IF(ISBLANK('Q:\Abteilungsprojekte\Eng\EngData\PROJECT_Bioplastics\Renjie_Pan\05-Raw_Data\Lab_results\[LabSamples2025_Bioplastic_extra.xlsx]extra_Bioplastic'!B508)," ",'Q:\Abteilungsprojekte\Eng\EngData\PROJECT_Bioplastics\Renjie_Pan\05-Raw_Data\Lab_results\[LabSamples2025_Bioplastic_extra.xlsx]extra_Bioplastic'!B508)</f>
        <v/>
      </c>
      <c r="C508">
        <f>IF(ISBLANK('Q:\Abteilungsprojekte\Eng\EngData\PROJECT_Bioplastics\Renjie_Pan\05-Raw_Data\Lab_results\[LabSamples2025_Bioplastic_extra.xlsx]extra_Bioplastic'!C508)," ",'Q:\Abteilungsprojekte\Eng\EngData\PROJECT_Bioplastics\Renjie_Pan\05-Raw_Data\Lab_results\[LabSamples2025_Bioplastic_extra.xlsx]extra_Bioplastic'!C508)</f>
        <v/>
      </c>
      <c r="D508">
        <f>IF(ISBLANK('Q:\Abteilungsprojekte\Eng\EngData\PROJECT_Bioplastics\Renjie_Pan\05-Raw_Data\Lab_results\[LabSamples2025_Bioplastic_extra.xlsx]extra_Bioplastic'!D508)," ",'Q:\Abteilungsprojekte\Eng\EngData\PROJECT_Bioplastics\Renjie_Pan\05-Raw_Data\Lab_results\[LabSamples2025_Bioplastic_extra.xlsx]extra_Bioplastic'!D508)</f>
        <v/>
      </c>
      <c r="E508">
        <f>IF(ISBLANK('Q:\Abteilungsprojekte\Eng\EngData\PROJECT_Bioplastics\Renjie_Pan\05-Raw_Data\Lab_results\[LabSamples2025_Bioplastic_extra.xlsx]extra_Bioplastic'!E508)," ",'Q:\Abteilungsprojekte\Eng\EngData\PROJECT_Bioplastics\Renjie_Pan\05-Raw_Data\Lab_results\[LabSamples2025_Bioplastic_extra.xlsx]extra_Bioplastic'!E508)</f>
        <v/>
      </c>
      <c r="F508">
        <f>IF(ISBLANK('Q:\Abteilungsprojekte\Eng\EngData\PROJECT_Bioplastics\Renjie_Pan\05-Raw_Data\Lab_results\[LabSamples2025_Bioplastic_extra.xlsx]extra_Bioplastic'!F508)," ",'Q:\Abteilungsprojekte\Eng\EngData\PROJECT_Bioplastics\Renjie_Pan\05-Raw_Data\Lab_results\[LabSamples2025_Bioplastic_extra.xlsx]extra_Bioplastic'!F508)</f>
        <v/>
      </c>
      <c r="G508">
        <f>IF(ISBLANK('Q:\Abteilungsprojekte\Eng\EngData\PROJECT_Bioplastics\Renjie_Pan\05-Raw_Data\Lab_results\[LabSamples2025_Bioplastic_extra.xlsx]extra_Bioplastic'!G508)," ",'Q:\Abteilungsprojekte\Eng\EngData\PROJECT_Bioplastics\Renjie_Pan\05-Raw_Data\Lab_results\[LabSamples2025_Bioplastic_extra.xlsx]extra_Bioplastic'!G508)</f>
        <v/>
      </c>
      <c r="H508">
        <f>IF(ISBLANK('Q:\Abteilungsprojekte\Eng\EngData\PROJECT_Bioplastics\Renjie_Pan\05-Raw_Data\Lab_results\[LabSamples2025_Bioplastic_extra.xlsx]extra_Bioplastic'!H508)," ",'Q:\Abteilungsprojekte\Eng\EngData\PROJECT_Bioplastics\Renjie_Pan\05-Raw_Data\Lab_results\[LabSamples2025_Bioplastic_extra.xlsx]extra_Bioplastic'!H508)</f>
        <v/>
      </c>
    </row>
    <row r="509">
      <c r="A509">
        <f>IF(ISBLANK('Q:\Abteilungsprojekte\Eng\EngData\PROJECT_Bioplastics\Renjie_Pan\05-Raw_Data\Lab_results\[LabSamples2025_Bioplastic_extra.xlsx]extra_Bioplastic'!A509)," ",'Q:\Abteilungsprojekte\Eng\EngData\PROJECT_Bioplastics\Renjie_Pan\05-Raw_Data\Lab_results\[LabSamples2025_Bioplastic_extra.xlsx]extra_Bioplastic'!A509)</f>
        <v/>
      </c>
      <c r="B509">
        <f>IF(ISBLANK('Q:\Abteilungsprojekte\Eng\EngData\PROJECT_Bioplastics\Renjie_Pan\05-Raw_Data\Lab_results\[LabSamples2025_Bioplastic_extra.xlsx]extra_Bioplastic'!B509)," ",'Q:\Abteilungsprojekte\Eng\EngData\PROJECT_Bioplastics\Renjie_Pan\05-Raw_Data\Lab_results\[LabSamples2025_Bioplastic_extra.xlsx]extra_Bioplastic'!B509)</f>
        <v/>
      </c>
      <c r="C509">
        <f>IF(ISBLANK('Q:\Abteilungsprojekte\Eng\EngData\PROJECT_Bioplastics\Renjie_Pan\05-Raw_Data\Lab_results\[LabSamples2025_Bioplastic_extra.xlsx]extra_Bioplastic'!C509)," ",'Q:\Abteilungsprojekte\Eng\EngData\PROJECT_Bioplastics\Renjie_Pan\05-Raw_Data\Lab_results\[LabSamples2025_Bioplastic_extra.xlsx]extra_Bioplastic'!C509)</f>
        <v/>
      </c>
      <c r="D509">
        <f>IF(ISBLANK('Q:\Abteilungsprojekte\Eng\EngData\PROJECT_Bioplastics\Renjie_Pan\05-Raw_Data\Lab_results\[LabSamples2025_Bioplastic_extra.xlsx]extra_Bioplastic'!D509)," ",'Q:\Abteilungsprojekte\Eng\EngData\PROJECT_Bioplastics\Renjie_Pan\05-Raw_Data\Lab_results\[LabSamples2025_Bioplastic_extra.xlsx]extra_Bioplastic'!D509)</f>
        <v/>
      </c>
      <c r="E509">
        <f>IF(ISBLANK('Q:\Abteilungsprojekte\Eng\EngData\PROJECT_Bioplastics\Renjie_Pan\05-Raw_Data\Lab_results\[LabSamples2025_Bioplastic_extra.xlsx]extra_Bioplastic'!E509)," ",'Q:\Abteilungsprojekte\Eng\EngData\PROJECT_Bioplastics\Renjie_Pan\05-Raw_Data\Lab_results\[LabSamples2025_Bioplastic_extra.xlsx]extra_Bioplastic'!E509)</f>
        <v/>
      </c>
      <c r="F509">
        <f>IF(ISBLANK('Q:\Abteilungsprojekte\Eng\EngData\PROJECT_Bioplastics\Renjie_Pan\05-Raw_Data\Lab_results\[LabSamples2025_Bioplastic_extra.xlsx]extra_Bioplastic'!F509)," ",'Q:\Abteilungsprojekte\Eng\EngData\PROJECT_Bioplastics\Renjie_Pan\05-Raw_Data\Lab_results\[LabSamples2025_Bioplastic_extra.xlsx]extra_Bioplastic'!F509)</f>
        <v/>
      </c>
      <c r="G509">
        <f>IF(ISBLANK('Q:\Abteilungsprojekte\Eng\EngData\PROJECT_Bioplastics\Renjie_Pan\05-Raw_Data\Lab_results\[LabSamples2025_Bioplastic_extra.xlsx]extra_Bioplastic'!G509)," ",'Q:\Abteilungsprojekte\Eng\EngData\PROJECT_Bioplastics\Renjie_Pan\05-Raw_Data\Lab_results\[LabSamples2025_Bioplastic_extra.xlsx]extra_Bioplastic'!G509)</f>
        <v/>
      </c>
      <c r="H509">
        <f>IF(ISBLANK('Q:\Abteilungsprojekte\Eng\EngData\PROJECT_Bioplastics\Renjie_Pan\05-Raw_Data\Lab_results\[LabSamples2025_Bioplastic_extra.xlsx]extra_Bioplastic'!H509)," ",'Q:\Abteilungsprojekte\Eng\EngData\PROJECT_Bioplastics\Renjie_Pan\05-Raw_Data\Lab_results\[LabSamples2025_Bioplastic_extra.xlsx]extra_Bioplastic'!H509)</f>
        <v/>
      </c>
    </row>
    <row r="510">
      <c r="A510">
        <f>IF(ISBLANK('Q:\Abteilungsprojekte\Eng\EngData\PROJECT_Bioplastics\Renjie_Pan\05-Raw_Data\Lab_results\[LabSamples2025_Bioplastic_extra.xlsx]extra_Bioplastic'!A510)," ",'Q:\Abteilungsprojekte\Eng\EngData\PROJECT_Bioplastics\Renjie_Pan\05-Raw_Data\Lab_results\[LabSamples2025_Bioplastic_extra.xlsx]extra_Bioplastic'!A510)</f>
        <v/>
      </c>
      <c r="B510">
        <f>IF(ISBLANK('Q:\Abteilungsprojekte\Eng\EngData\PROJECT_Bioplastics\Renjie_Pan\05-Raw_Data\Lab_results\[LabSamples2025_Bioplastic_extra.xlsx]extra_Bioplastic'!B510)," ",'Q:\Abteilungsprojekte\Eng\EngData\PROJECT_Bioplastics\Renjie_Pan\05-Raw_Data\Lab_results\[LabSamples2025_Bioplastic_extra.xlsx]extra_Bioplastic'!B510)</f>
        <v/>
      </c>
      <c r="C510">
        <f>IF(ISBLANK('Q:\Abteilungsprojekte\Eng\EngData\PROJECT_Bioplastics\Renjie_Pan\05-Raw_Data\Lab_results\[LabSamples2025_Bioplastic_extra.xlsx]extra_Bioplastic'!C510)," ",'Q:\Abteilungsprojekte\Eng\EngData\PROJECT_Bioplastics\Renjie_Pan\05-Raw_Data\Lab_results\[LabSamples2025_Bioplastic_extra.xlsx]extra_Bioplastic'!C510)</f>
        <v/>
      </c>
      <c r="D510">
        <f>IF(ISBLANK('Q:\Abteilungsprojekte\Eng\EngData\PROJECT_Bioplastics\Renjie_Pan\05-Raw_Data\Lab_results\[LabSamples2025_Bioplastic_extra.xlsx]extra_Bioplastic'!D510)," ",'Q:\Abteilungsprojekte\Eng\EngData\PROJECT_Bioplastics\Renjie_Pan\05-Raw_Data\Lab_results\[LabSamples2025_Bioplastic_extra.xlsx]extra_Bioplastic'!D510)</f>
        <v/>
      </c>
      <c r="E510">
        <f>IF(ISBLANK('Q:\Abteilungsprojekte\Eng\EngData\PROJECT_Bioplastics\Renjie_Pan\05-Raw_Data\Lab_results\[LabSamples2025_Bioplastic_extra.xlsx]extra_Bioplastic'!E510)," ",'Q:\Abteilungsprojekte\Eng\EngData\PROJECT_Bioplastics\Renjie_Pan\05-Raw_Data\Lab_results\[LabSamples2025_Bioplastic_extra.xlsx]extra_Bioplastic'!E510)</f>
        <v/>
      </c>
      <c r="F510">
        <f>IF(ISBLANK('Q:\Abteilungsprojekte\Eng\EngData\PROJECT_Bioplastics\Renjie_Pan\05-Raw_Data\Lab_results\[LabSamples2025_Bioplastic_extra.xlsx]extra_Bioplastic'!F510)," ",'Q:\Abteilungsprojekte\Eng\EngData\PROJECT_Bioplastics\Renjie_Pan\05-Raw_Data\Lab_results\[LabSamples2025_Bioplastic_extra.xlsx]extra_Bioplastic'!F510)</f>
        <v/>
      </c>
      <c r="G510">
        <f>IF(ISBLANK('Q:\Abteilungsprojekte\Eng\EngData\PROJECT_Bioplastics\Renjie_Pan\05-Raw_Data\Lab_results\[LabSamples2025_Bioplastic_extra.xlsx]extra_Bioplastic'!G510)," ",'Q:\Abteilungsprojekte\Eng\EngData\PROJECT_Bioplastics\Renjie_Pan\05-Raw_Data\Lab_results\[LabSamples2025_Bioplastic_extra.xlsx]extra_Bioplastic'!G510)</f>
        <v/>
      </c>
      <c r="H510">
        <f>IF(ISBLANK('Q:\Abteilungsprojekte\Eng\EngData\PROJECT_Bioplastics\Renjie_Pan\05-Raw_Data\Lab_results\[LabSamples2025_Bioplastic_extra.xlsx]extra_Bioplastic'!H510)," ",'Q:\Abteilungsprojekte\Eng\EngData\PROJECT_Bioplastics\Renjie_Pan\05-Raw_Data\Lab_results\[LabSamples2025_Bioplastic_extra.xlsx]extra_Bioplastic'!H510)</f>
        <v/>
      </c>
    </row>
    <row r="511">
      <c r="A511">
        <f>IF(ISBLANK('Q:\Abteilungsprojekte\Eng\EngData\PROJECT_Bioplastics\Renjie_Pan\05-Raw_Data\Lab_results\[LabSamples2025_Bioplastic_extra.xlsx]extra_Bioplastic'!A511)," ",'Q:\Abteilungsprojekte\Eng\EngData\PROJECT_Bioplastics\Renjie_Pan\05-Raw_Data\Lab_results\[LabSamples2025_Bioplastic_extra.xlsx]extra_Bioplastic'!A511)</f>
        <v/>
      </c>
      <c r="B511">
        <f>IF(ISBLANK('Q:\Abteilungsprojekte\Eng\EngData\PROJECT_Bioplastics\Renjie_Pan\05-Raw_Data\Lab_results\[LabSamples2025_Bioplastic_extra.xlsx]extra_Bioplastic'!B511)," ",'Q:\Abteilungsprojekte\Eng\EngData\PROJECT_Bioplastics\Renjie_Pan\05-Raw_Data\Lab_results\[LabSamples2025_Bioplastic_extra.xlsx]extra_Bioplastic'!B511)</f>
        <v/>
      </c>
      <c r="C511">
        <f>IF(ISBLANK('Q:\Abteilungsprojekte\Eng\EngData\PROJECT_Bioplastics\Renjie_Pan\05-Raw_Data\Lab_results\[LabSamples2025_Bioplastic_extra.xlsx]extra_Bioplastic'!C511)," ",'Q:\Abteilungsprojekte\Eng\EngData\PROJECT_Bioplastics\Renjie_Pan\05-Raw_Data\Lab_results\[LabSamples2025_Bioplastic_extra.xlsx]extra_Bioplastic'!C511)</f>
        <v/>
      </c>
      <c r="D511">
        <f>IF(ISBLANK('Q:\Abteilungsprojekte\Eng\EngData\PROJECT_Bioplastics\Renjie_Pan\05-Raw_Data\Lab_results\[LabSamples2025_Bioplastic_extra.xlsx]extra_Bioplastic'!D511)," ",'Q:\Abteilungsprojekte\Eng\EngData\PROJECT_Bioplastics\Renjie_Pan\05-Raw_Data\Lab_results\[LabSamples2025_Bioplastic_extra.xlsx]extra_Bioplastic'!D511)</f>
        <v/>
      </c>
      <c r="E511">
        <f>IF(ISBLANK('Q:\Abteilungsprojekte\Eng\EngData\PROJECT_Bioplastics\Renjie_Pan\05-Raw_Data\Lab_results\[LabSamples2025_Bioplastic_extra.xlsx]extra_Bioplastic'!E511)," ",'Q:\Abteilungsprojekte\Eng\EngData\PROJECT_Bioplastics\Renjie_Pan\05-Raw_Data\Lab_results\[LabSamples2025_Bioplastic_extra.xlsx]extra_Bioplastic'!E511)</f>
        <v/>
      </c>
      <c r="F511">
        <f>IF(ISBLANK('Q:\Abteilungsprojekte\Eng\EngData\PROJECT_Bioplastics\Renjie_Pan\05-Raw_Data\Lab_results\[LabSamples2025_Bioplastic_extra.xlsx]extra_Bioplastic'!F511)," ",'Q:\Abteilungsprojekte\Eng\EngData\PROJECT_Bioplastics\Renjie_Pan\05-Raw_Data\Lab_results\[LabSamples2025_Bioplastic_extra.xlsx]extra_Bioplastic'!F511)</f>
        <v/>
      </c>
      <c r="G511">
        <f>IF(ISBLANK('Q:\Abteilungsprojekte\Eng\EngData\PROJECT_Bioplastics\Renjie_Pan\05-Raw_Data\Lab_results\[LabSamples2025_Bioplastic_extra.xlsx]extra_Bioplastic'!G511)," ",'Q:\Abteilungsprojekte\Eng\EngData\PROJECT_Bioplastics\Renjie_Pan\05-Raw_Data\Lab_results\[LabSamples2025_Bioplastic_extra.xlsx]extra_Bioplastic'!G511)</f>
        <v/>
      </c>
      <c r="H511">
        <f>IF(ISBLANK('Q:\Abteilungsprojekte\Eng\EngData\PROJECT_Bioplastics\Renjie_Pan\05-Raw_Data\Lab_results\[LabSamples2025_Bioplastic_extra.xlsx]extra_Bioplastic'!H511)," ",'Q:\Abteilungsprojekte\Eng\EngData\PROJECT_Bioplastics\Renjie_Pan\05-Raw_Data\Lab_results\[LabSamples2025_Bioplastic_extra.xlsx]extra_Bioplastic'!H511)</f>
        <v/>
      </c>
    </row>
    <row r="512">
      <c r="A512">
        <f>IF(ISBLANK('Q:\Abteilungsprojekte\Eng\EngData\PROJECT_Bioplastics\Renjie_Pan\05-Raw_Data\Lab_results\[LabSamples2025_Bioplastic_extra.xlsx]extra_Bioplastic'!A512)," ",'Q:\Abteilungsprojekte\Eng\EngData\PROJECT_Bioplastics\Renjie_Pan\05-Raw_Data\Lab_results\[LabSamples2025_Bioplastic_extra.xlsx]extra_Bioplastic'!A512)</f>
        <v/>
      </c>
      <c r="B512">
        <f>IF(ISBLANK('Q:\Abteilungsprojekte\Eng\EngData\PROJECT_Bioplastics\Renjie_Pan\05-Raw_Data\Lab_results\[LabSamples2025_Bioplastic_extra.xlsx]extra_Bioplastic'!B512)," ",'Q:\Abteilungsprojekte\Eng\EngData\PROJECT_Bioplastics\Renjie_Pan\05-Raw_Data\Lab_results\[LabSamples2025_Bioplastic_extra.xlsx]extra_Bioplastic'!B512)</f>
        <v/>
      </c>
      <c r="C512">
        <f>IF(ISBLANK('Q:\Abteilungsprojekte\Eng\EngData\PROJECT_Bioplastics\Renjie_Pan\05-Raw_Data\Lab_results\[LabSamples2025_Bioplastic_extra.xlsx]extra_Bioplastic'!C512)," ",'Q:\Abteilungsprojekte\Eng\EngData\PROJECT_Bioplastics\Renjie_Pan\05-Raw_Data\Lab_results\[LabSamples2025_Bioplastic_extra.xlsx]extra_Bioplastic'!C512)</f>
        <v/>
      </c>
      <c r="D512">
        <f>IF(ISBLANK('Q:\Abteilungsprojekte\Eng\EngData\PROJECT_Bioplastics\Renjie_Pan\05-Raw_Data\Lab_results\[LabSamples2025_Bioplastic_extra.xlsx]extra_Bioplastic'!D512)," ",'Q:\Abteilungsprojekte\Eng\EngData\PROJECT_Bioplastics\Renjie_Pan\05-Raw_Data\Lab_results\[LabSamples2025_Bioplastic_extra.xlsx]extra_Bioplastic'!D512)</f>
        <v/>
      </c>
      <c r="E512">
        <f>IF(ISBLANK('Q:\Abteilungsprojekte\Eng\EngData\PROJECT_Bioplastics\Renjie_Pan\05-Raw_Data\Lab_results\[LabSamples2025_Bioplastic_extra.xlsx]extra_Bioplastic'!E512)," ",'Q:\Abteilungsprojekte\Eng\EngData\PROJECT_Bioplastics\Renjie_Pan\05-Raw_Data\Lab_results\[LabSamples2025_Bioplastic_extra.xlsx]extra_Bioplastic'!E512)</f>
        <v/>
      </c>
      <c r="F512">
        <f>IF(ISBLANK('Q:\Abteilungsprojekte\Eng\EngData\PROJECT_Bioplastics\Renjie_Pan\05-Raw_Data\Lab_results\[LabSamples2025_Bioplastic_extra.xlsx]extra_Bioplastic'!F512)," ",'Q:\Abteilungsprojekte\Eng\EngData\PROJECT_Bioplastics\Renjie_Pan\05-Raw_Data\Lab_results\[LabSamples2025_Bioplastic_extra.xlsx]extra_Bioplastic'!F512)</f>
        <v/>
      </c>
      <c r="G512">
        <f>IF(ISBLANK('Q:\Abteilungsprojekte\Eng\EngData\PROJECT_Bioplastics\Renjie_Pan\05-Raw_Data\Lab_results\[LabSamples2025_Bioplastic_extra.xlsx]extra_Bioplastic'!G512)," ",'Q:\Abteilungsprojekte\Eng\EngData\PROJECT_Bioplastics\Renjie_Pan\05-Raw_Data\Lab_results\[LabSamples2025_Bioplastic_extra.xlsx]extra_Bioplastic'!G512)</f>
        <v/>
      </c>
      <c r="H512">
        <f>IF(ISBLANK('Q:\Abteilungsprojekte\Eng\EngData\PROJECT_Bioplastics\Renjie_Pan\05-Raw_Data\Lab_results\[LabSamples2025_Bioplastic_extra.xlsx]extra_Bioplastic'!H512)," ",'Q:\Abteilungsprojekte\Eng\EngData\PROJECT_Bioplastics\Renjie_Pan\05-Raw_Data\Lab_results\[LabSamples2025_Bioplastic_extra.xlsx]extra_Bioplastic'!H512)</f>
        <v/>
      </c>
    </row>
    <row r="513">
      <c r="A513">
        <f>IF(ISBLANK('Q:\Abteilungsprojekte\Eng\EngData\PROJECT_Bioplastics\Renjie_Pan\05-Raw_Data\Lab_results\[LabSamples2025_Bioplastic_extra.xlsx]extra_Bioplastic'!A513)," ",'Q:\Abteilungsprojekte\Eng\EngData\PROJECT_Bioplastics\Renjie_Pan\05-Raw_Data\Lab_results\[LabSamples2025_Bioplastic_extra.xlsx]extra_Bioplastic'!A513)</f>
        <v/>
      </c>
      <c r="B513">
        <f>IF(ISBLANK('Q:\Abteilungsprojekte\Eng\EngData\PROJECT_Bioplastics\Renjie_Pan\05-Raw_Data\Lab_results\[LabSamples2025_Bioplastic_extra.xlsx]extra_Bioplastic'!B513)," ",'Q:\Abteilungsprojekte\Eng\EngData\PROJECT_Bioplastics\Renjie_Pan\05-Raw_Data\Lab_results\[LabSamples2025_Bioplastic_extra.xlsx]extra_Bioplastic'!B513)</f>
        <v/>
      </c>
      <c r="C513">
        <f>IF(ISBLANK('Q:\Abteilungsprojekte\Eng\EngData\PROJECT_Bioplastics\Renjie_Pan\05-Raw_Data\Lab_results\[LabSamples2025_Bioplastic_extra.xlsx]extra_Bioplastic'!C513)," ",'Q:\Abteilungsprojekte\Eng\EngData\PROJECT_Bioplastics\Renjie_Pan\05-Raw_Data\Lab_results\[LabSamples2025_Bioplastic_extra.xlsx]extra_Bioplastic'!C513)</f>
        <v/>
      </c>
      <c r="D513">
        <f>IF(ISBLANK('Q:\Abteilungsprojekte\Eng\EngData\PROJECT_Bioplastics\Renjie_Pan\05-Raw_Data\Lab_results\[LabSamples2025_Bioplastic_extra.xlsx]extra_Bioplastic'!D513)," ",'Q:\Abteilungsprojekte\Eng\EngData\PROJECT_Bioplastics\Renjie_Pan\05-Raw_Data\Lab_results\[LabSamples2025_Bioplastic_extra.xlsx]extra_Bioplastic'!D513)</f>
        <v/>
      </c>
      <c r="E513">
        <f>IF(ISBLANK('Q:\Abteilungsprojekte\Eng\EngData\PROJECT_Bioplastics\Renjie_Pan\05-Raw_Data\Lab_results\[LabSamples2025_Bioplastic_extra.xlsx]extra_Bioplastic'!E513)," ",'Q:\Abteilungsprojekte\Eng\EngData\PROJECT_Bioplastics\Renjie_Pan\05-Raw_Data\Lab_results\[LabSamples2025_Bioplastic_extra.xlsx]extra_Bioplastic'!E513)</f>
        <v/>
      </c>
      <c r="F513">
        <f>IF(ISBLANK('Q:\Abteilungsprojekte\Eng\EngData\PROJECT_Bioplastics\Renjie_Pan\05-Raw_Data\Lab_results\[LabSamples2025_Bioplastic_extra.xlsx]extra_Bioplastic'!F513)," ",'Q:\Abteilungsprojekte\Eng\EngData\PROJECT_Bioplastics\Renjie_Pan\05-Raw_Data\Lab_results\[LabSamples2025_Bioplastic_extra.xlsx]extra_Bioplastic'!F513)</f>
        <v/>
      </c>
      <c r="G513">
        <f>IF(ISBLANK('Q:\Abteilungsprojekte\Eng\EngData\PROJECT_Bioplastics\Renjie_Pan\05-Raw_Data\Lab_results\[LabSamples2025_Bioplastic_extra.xlsx]extra_Bioplastic'!G513)," ",'Q:\Abteilungsprojekte\Eng\EngData\PROJECT_Bioplastics\Renjie_Pan\05-Raw_Data\Lab_results\[LabSamples2025_Bioplastic_extra.xlsx]extra_Bioplastic'!G513)</f>
        <v/>
      </c>
      <c r="H513">
        <f>IF(ISBLANK('Q:\Abteilungsprojekte\Eng\EngData\PROJECT_Bioplastics\Renjie_Pan\05-Raw_Data\Lab_results\[LabSamples2025_Bioplastic_extra.xlsx]extra_Bioplastic'!H513)," ",'Q:\Abteilungsprojekte\Eng\EngData\PROJECT_Bioplastics\Renjie_Pan\05-Raw_Data\Lab_results\[LabSamples2025_Bioplastic_extra.xlsx]extra_Bioplastic'!H513)</f>
        <v/>
      </c>
    </row>
    <row r="514">
      <c r="A514">
        <f>IF(ISBLANK('Q:\Abteilungsprojekte\Eng\EngData\PROJECT_Bioplastics\Renjie_Pan\05-Raw_Data\Lab_results\[LabSamples2025_Bioplastic_extra.xlsx]extra_Bioplastic'!A514)," ",'Q:\Abteilungsprojekte\Eng\EngData\PROJECT_Bioplastics\Renjie_Pan\05-Raw_Data\Lab_results\[LabSamples2025_Bioplastic_extra.xlsx]extra_Bioplastic'!A514)</f>
        <v/>
      </c>
      <c r="B514">
        <f>IF(ISBLANK('Q:\Abteilungsprojekte\Eng\EngData\PROJECT_Bioplastics\Renjie_Pan\05-Raw_Data\Lab_results\[LabSamples2025_Bioplastic_extra.xlsx]extra_Bioplastic'!B514)," ",'Q:\Abteilungsprojekte\Eng\EngData\PROJECT_Bioplastics\Renjie_Pan\05-Raw_Data\Lab_results\[LabSamples2025_Bioplastic_extra.xlsx]extra_Bioplastic'!B514)</f>
        <v/>
      </c>
      <c r="C514">
        <f>IF(ISBLANK('Q:\Abteilungsprojekte\Eng\EngData\PROJECT_Bioplastics\Renjie_Pan\05-Raw_Data\Lab_results\[LabSamples2025_Bioplastic_extra.xlsx]extra_Bioplastic'!C514)," ",'Q:\Abteilungsprojekte\Eng\EngData\PROJECT_Bioplastics\Renjie_Pan\05-Raw_Data\Lab_results\[LabSamples2025_Bioplastic_extra.xlsx]extra_Bioplastic'!C514)</f>
        <v/>
      </c>
      <c r="D514">
        <f>IF(ISBLANK('Q:\Abteilungsprojekte\Eng\EngData\PROJECT_Bioplastics\Renjie_Pan\05-Raw_Data\Lab_results\[LabSamples2025_Bioplastic_extra.xlsx]extra_Bioplastic'!D514)," ",'Q:\Abteilungsprojekte\Eng\EngData\PROJECT_Bioplastics\Renjie_Pan\05-Raw_Data\Lab_results\[LabSamples2025_Bioplastic_extra.xlsx]extra_Bioplastic'!D514)</f>
        <v/>
      </c>
      <c r="E514">
        <f>IF(ISBLANK('Q:\Abteilungsprojekte\Eng\EngData\PROJECT_Bioplastics\Renjie_Pan\05-Raw_Data\Lab_results\[LabSamples2025_Bioplastic_extra.xlsx]extra_Bioplastic'!E514)," ",'Q:\Abteilungsprojekte\Eng\EngData\PROJECT_Bioplastics\Renjie_Pan\05-Raw_Data\Lab_results\[LabSamples2025_Bioplastic_extra.xlsx]extra_Bioplastic'!E514)</f>
        <v/>
      </c>
      <c r="F514">
        <f>IF(ISBLANK('Q:\Abteilungsprojekte\Eng\EngData\PROJECT_Bioplastics\Renjie_Pan\05-Raw_Data\Lab_results\[LabSamples2025_Bioplastic_extra.xlsx]extra_Bioplastic'!F514)," ",'Q:\Abteilungsprojekte\Eng\EngData\PROJECT_Bioplastics\Renjie_Pan\05-Raw_Data\Lab_results\[LabSamples2025_Bioplastic_extra.xlsx]extra_Bioplastic'!F514)</f>
        <v/>
      </c>
      <c r="G514">
        <f>IF(ISBLANK('Q:\Abteilungsprojekte\Eng\EngData\PROJECT_Bioplastics\Renjie_Pan\05-Raw_Data\Lab_results\[LabSamples2025_Bioplastic_extra.xlsx]extra_Bioplastic'!G514)," ",'Q:\Abteilungsprojekte\Eng\EngData\PROJECT_Bioplastics\Renjie_Pan\05-Raw_Data\Lab_results\[LabSamples2025_Bioplastic_extra.xlsx]extra_Bioplastic'!G514)</f>
        <v/>
      </c>
      <c r="H514">
        <f>IF(ISBLANK('Q:\Abteilungsprojekte\Eng\EngData\PROJECT_Bioplastics\Renjie_Pan\05-Raw_Data\Lab_results\[LabSamples2025_Bioplastic_extra.xlsx]extra_Bioplastic'!H514)," ",'Q:\Abteilungsprojekte\Eng\EngData\PROJECT_Bioplastics\Renjie_Pan\05-Raw_Data\Lab_results\[LabSamples2025_Bioplastic_extra.xlsx]extra_Bioplastic'!H514)</f>
        <v/>
      </c>
    </row>
    <row r="515">
      <c r="A515">
        <f>IF(ISBLANK('Q:\Abteilungsprojekte\Eng\EngData\PROJECT_Bioplastics\Renjie_Pan\05-Raw_Data\Lab_results\[LabSamples2025_Bioplastic_extra.xlsx]extra_Bioplastic'!A515)," ",'Q:\Abteilungsprojekte\Eng\EngData\PROJECT_Bioplastics\Renjie_Pan\05-Raw_Data\Lab_results\[LabSamples2025_Bioplastic_extra.xlsx]extra_Bioplastic'!A515)</f>
        <v/>
      </c>
      <c r="B515">
        <f>IF(ISBLANK('Q:\Abteilungsprojekte\Eng\EngData\PROJECT_Bioplastics\Renjie_Pan\05-Raw_Data\Lab_results\[LabSamples2025_Bioplastic_extra.xlsx]extra_Bioplastic'!B515)," ",'Q:\Abteilungsprojekte\Eng\EngData\PROJECT_Bioplastics\Renjie_Pan\05-Raw_Data\Lab_results\[LabSamples2025_Bioplastic_extra.xlsx]extra_Bioplastic'!B515)</f>
        <v/>
      </c>
      <c r="C515">
        <f>IF(ISBLANK('Q:\Abteilungsprojekte\Eng\EngData\PROJECT_Bioplastics\Renjie_Pan\05-Raw_Data\Lab_results\[LabSamples2025_Bioplastic_extra.xlsx]extra_Bioplastic'!C515)," ",'Q:\Abteilungsprojekte\Eng\EngData\PROJECT_Bioplastics\Renjie_Pan\05-Raw_Data\Lab_results\[LabSamples2025_Bioplastic_extra.xlsx]extra_Bioplastic'!C515)</f>
        <v/>
      </c>
      <c r="D515">
        <f>IF(ISBLANK('Q:\Abteilungsprojekte\Eng\EngData\PROJECT_Bioplastics\Renjie_Pan\05-Raw_Data\Lab_results\[LabSamples2025_Bioplastic_extra.xlsx]extra_Bioplastic'!D515)," ",'Q:\Abteilungsprojekte\Eng\EngData\PROJECT_Bioplastics\Renjie_Pan\05-Raw_Data\Lab_results\[LabSamples2025_Bioplastic_extra.xlsx]extra_Bioplastic'!D515)</f>
        <v/>
      </c>
      <c r="E515">
        <f>IF(ISBLANK('Q:\Abteilungsprojekte\Eng\EngData\PROJECT_Bioplastics\Renjie_Pan\05-Raw_Data\Lab_results\[LabSamples2025_Bioplastic_extra.xlsx]extra_Bioplastic'!E515)," ",'Q:\Abteilungsprojekte\Eng\EngData\PROJECT_Bioplastics\Renjie_Pan\05-Raw_Data\Lab_results\[LabSamples2025_Bioplastic_extra.xlsx]extra_Bioplastic'!E515)</f>
        <v/>
      </c>
      <c r="F515">
        <f>IF(ISBLANK('Q:\Abteilungsprojekte\Eng\EngData\PROJECT_Bioplastics\Renjie_Pan\05-Raw_Data\Lab_results\[LabSamples2025_Bioplastic_extra.xlsx]extra_Bioplastic'!F515)," ",'Q:\Abteilungsprojekte\Eng\EngData\PROJECT_Bioplastics\Renjie_Pan\05-Raw_Data\Lab_results\[LabSamples2025_Bioplastic_extra.xlsx]extra_Bioplastic'!F515)</f>
        <v/>
      </c>
      <c r="G515">
        <f>IF(ISBLANK('Q:\Abteilungsprojekte\Eng\EngData\PROJECT_Bioplastics\Renjie_Pan\05-Raw_Data\Lab_results\[LabSamples2025_Bioplastic_extra.xlsx]extra_Bioplastic'!G515)," ",'Q:\Abteilungsprojekte\Eng\EngData\PROJECT_Bioplastics\Renjie_Pan\05-Raw_Data\Lab_results\[LabSamples2025_Bioplastic_extra.xlsx]extra_Bioplastic'!G515)</f>
        <v/>
      </c>
      <c r="H515">
        <f>IF(ISBLANK('Q:\Abteilungsprojekte\Eng\EngData\PROJECT_Bioplastics\Renjie_Pan\05-Raw_Data\Lab_results\[LabSamples2025_Bioplastic_extra.xlsx]extra_Bioplastic'!H515)," ",'Q:\Abteilungsprojekte\Eng\EngData\PROJECT_Bioplastics\Renjie_Pan\05-Raw_Data\Lab_results\[LabSamples2025_Bioplastic_extra.xlsx]extra_Bioplastic'!H515)</f>
        <v/>
      </c>
    </row>
    <row r="516">
      <c r="A516">
        <f>IF(ISBLANK('Q:\Abteilungsprojekte\Eng\EngData\PROJECT_Bioplastics\Renjie_Pan\05-Raw_Data\Lab_results\[LabSamples2025_Bioplastic_extra.xlsx]extra_Bioplastic'!A516)," ",'Q:\Abteilungsprojekte\Eng\EngData\PROJECT_Bioplastics\Renjie_Pan\05-Raw_Data\Lab_results\[LabSamples2025_Bioplastic_extra.xlsx]extra_Bioplastic'!A516)</f>
        <v/>
      </c>
      <c r="B516">
        <f>IF(ISBLANK('Q:\Abteilungsprojekte\Eng\EngData\PROJECT_Bioplastics\Renjie_Pan\05-Raw_Data\Lab_results\[LabSamples2025_Bioplastic_extra.xlsx]extra_Bioplastic'!B516)," ",'Q:\Abteilungsprojekte\Eng\EngData\PROJECT_Bioplastics\Renjie_Pan\05-Raw_Data\Lab_results\[LabSamples2025_Bioplastic_extra.xlsx]extra_Bioplastic'!B516)</f>
        <v/>
      </c>
      <c r="C516">
        <f>IF(ISBLANK('Q:\Abteilungsprojekte\Eng\EngData\PROJECT_Bioplastics\Renjie_Pan\05-Raw_Data\Lab_results\[LabSamples2025_Bioplastic_extra.xlsx]extra_Bioplastic'!C516)," ",'Q:\Abteilungsprojekte\Eng\EngData\PROJECT_Bioplastics\Renjie_Pan\05-Raw_Data\Lab_results\[LabSamples2025_Bioplastic_extra.xlsx]extra_Bioplastic'!C516)</f>
        <v/>
      </c>
      <c r="D516">
        <f>IF(ISBLANK('Q:\Abteilungsprojekte\Eng\EngData\PROJECT_Bioplastics\Renjie_Pan\05-Raw_Data\Lab_results\[LabSamples2025_Bioplastic_extra.xlsx]extra_Bioplastic'!D516)," ",'Q:\Abteilungsprojekte\Eng\EngData\PROJECT_Bioplastics\Renjie_Pan\05-Raw_Data\Lab_results\[LabSamples2025_Bioplastic_extra.xlsx]extra_Bioplastic'!D516)</f>
        <v/>
      </c>
      <c r="E516">
        <f>IF(ISBLANK('Q:\Abteilungsprojekte\Eng\EngData\PROJECT_Bioplastics\Renjie_Pan\05-Raw_Data\Lab_results\[LabSamples2025_Bioplastic_extra.xlsx]extra_Bioplastic'!E516)," ",'Q:\Abteilungsprojekte\Eng\EngData\PROJECT_Bioplastics\Renjie_Pan\05-Raw_Data\Lab_results\[LabSamples2025_Bioplastic_extra.xlsx]extra_Bioplastic'!E516)</f>
        <v/>
      </c>
      <c r="F516">
        <f>IF(ISBLANK('Q:\Abteilungsprojekte\Eng\EngData\PROJECT_Bioplastics\Renjie_Pan\05-Raw_Data\Lab_results\[LabSamples2025_Bioplastic_extra.xlsx]extra_Bioplastic'!F516)," ",'Q:\Abteilungsprojekte\Eng\EngData\PROJECT_Bioplastics\Renjie_Pan\05-Raw_Data\Lab_results\[LabSamples2025_Bioplastic_extra.xlsx]extra_Bioplastic'!F516)</f>
        <v/>
      </c>
      <c r="G516">
        <f>IF(ISBLANK('Q:\Abteilungsprojekte\Eng\EngData\PROJECT_Bioplastics\Renjie_Pan\05-Raw_Data\Lab_results\[LabSamples2025_Bioplastic_extra.xlsx]extra_Bioplastic'!G516)," ",'Q:\Abteilungsprojekte\Eng\EngData\PROJECT_Bioplastics\Renjie_Pan\05-Raw_Data\Lab_results\[LabSamples2025_Bioplastic_extra.xlsx]extra_Bioplastic'!G516)</f>
        <v/>
      </c>
      <c r="H516">
        <f>IF(ISBLANK('Q:\Abteilungsprojekte\Eng\EngData\PROJECT_Bioplastics\Renjie_Pan\05-Raw_Data\Lab_results\[LabSamples2025_Bioplastic_extra.xlsx]extra_Bioplastic'!H516)," ",'Q:\Abteilungsprojekte\Eng\EngData\PROJECT_Bioplastics\Renjie_Pan\05-Raw_Data\Lab_results\[LabSamples2025_Bioplastic_extra.xlsx]extra_Bioplastic'!H516)</f>
        <v/>
      </c>
    </row>
    <row r="517">
      <c r="A517">
        <f>IF(ISBLANK('Q:\Abteilungsprojekte\Eng\EngData\PROJECT_Bioplastics\Renjie_Pan\05-Raw_Data\Lab_results\[LabSamples2025_Bioplastic_extra.xlsx]extra_Bioplastic'!A517)," ",'Q:\Abteilungsprojekte\Eng\EngData\PROJECT_Bioplastics\Renjie_Pan\05-Raw_Data\Lab_results\[LabSamples2025_Bioplastic_extra.xlsx]extra_Bioplastic'!A517)</f>
        <v/>
      </c>
      <c r="B517">
        <f>IF(ISBLANK('Q:\Abteilungsprojekte\Eng\EngData\PROJECT_Bioplastics\Renjie_Pan\05-Raw_Data\Lab_results\[LabSamples2025_Bioplastic_extra.xlsx]extra_Bioplastic'!B517)," ",'Q:\Abteilungsprojekte\Eng\EngData\PROJECT_Bioplastics\Renjie_Pan\05-Raw_Data\Lab_results\[LabSamples2025_Bioplastic_extra.xlsx]extra_Bioplastic'!B517)</f>
        <v/>
      </c>
      <c r="C517">
        <f>IF(ISBLANK('Q:\Abteilungsprojekte\Eng\EngData\PROJECT_Bioplastics\Renjie_Pan\05-Raw_Data\Lab_results\[LabSamples2025_Bioplastic_extra.xlsx]extra_Bioplastic'!C517)," ",'Q:\Abteilungsprojekte\Eng\EngData\PROJECT_Bioplastics\Renjie_Pan\05-Raw_Data\Lab_results\[LabSamples2025_Bioplastic_extra.xlsx]extra_Bioplastic'!C517)</f>
        <v/>
      </c>
      <c r="D517">
        <f>IF(ISBLANK('Q:\Abteilungsprojekte\Eng\EngData\PROJECT_Bioplastics\Renjie_Pan\05-Raw_Data\Lab_results\[LabSamples2025_Bioplastic_extra.xlsx]extra_Bioplastic'!D517)," ",'Q:\Abteilungsprojekte\Eng\EngData\PROJECT_Bioplastics\Renjie_Pan\05-Raw_Data\Lab_results\[LabSamples2025_Bioplastic_extra.xlsx]extra_Bioplastic'!D517)</f>
        <v/>
      </c>
      <c r="E517">
        <f>IF(ISBLANK('Q:\Abteilungsprojekte\Eng\EngData\PROJECT_Bioplastics\Renjie_Pan\05-Raw_Data\Lab_results\[LabSamples2025_Bioplastic_extra.xlsx]extra_Bioplastic'!E517)," ",'Q:\Abteilungsprojekte\Eng\EngData\PROJECT_Bioplastics\Renjie_Pan\05-Raw_Data\Lab_results\[LabSamples2025_Bioplastic_extra.xlsx]extra_Bioplastic'!E517)</f>
        <v/>
      </c>
      <c r="F517">
        <f>IF(ISBLANK('Q:\Abteilungsprojekte\Eng\EngData\PROJECT_Bioplastics\Renjie_Pan\05-Raw_Data\Lab_results\[LabSamples2025_Bioplastic_extra.xlsx]extra_Bioplastic'!F517)," ",'Q:\Abteilungsprojekte\Eng\EngData\PROJECT_Bioplastics\Renjie_Pan\05-Raw_Data\Lab_results\[LabSamples2025_Bioplastic_extra.xlsx]extra_Bioplastic'!F517)</f>
        <v/>
      </c>
      <c r="G517">
        <f>IF(ISBLANK('Q:\Abteilungsprojekte\Eng\EngData\PROJECT_Bioplastics\Renjie_Pan\05-Raw_Data\Lab_results\[LabSamples2025_Bioplastic_extra.xlsx]extra_Bioplastic'!G517)," ",'Q:\Abteilungsprojekte\Eng\EngData\PROJECT_Bioplastics\Renjie_Pan\05-Raw_Data\Lab_results\[LabSamples2025_Bioplastic_extra.xlsx]extra_Bioplastic'!G517)</f>
        <v/>
      </c>
      <c r="H517">
        <f>IF(ISBLANK('Q:\Abteilungsprojekte\Eng\EngData\PROJECT_Bioplastics\Renjie_Pan\05-Raw_Data\Lab_results\[LabSamples2025_Bioplastic_extra.xlsx]extra_Bioplastic'!H517)," ",'Q:\Abteilungsprojekte\Eng\EngData\PROJECT_Bioplastics\Renjie_Pan\05-Raw_Data\Lab_results\[LabSamples2025_Bioplastic_extra.xlsx]extra_Bioplastic'!H517)</f>
        <v/>
      </c>
    </row>
    <row r="518">
      <c r="A518">
        <f>IF(ISBLANK('Q:\Abteilungsprojekte\Eng\EngData\PROJECT_Bioplastics\Renjie_Pan\05-Raw_Data\Lab_results\[LabSamples2025_Bioplastic_extra.xlsx]extra_Bioplastic'!A518)," ",'Q:\Abteilungsprojekte\Eng\EngData\PROJECT_Bioplastics\Renjie_Pan\05-Raw_Data\Lab_results\[LabSamples2025_Bioplastic_extra.xlsx]extra_Bioplastic'!A518)</f>
        <v/>
      </c>
      <c r="B518">
        <f>IF(ISBLANK('Q:\Abteilungsprojekte\Eng\EngData\PROJECT_Bioplastics\Renjie_Pan\05-Raw_Data\Lab_results\[LabSamples2025_Bioplastic_extra.xlsx]extra_Bioplastic'!B518)," ",'Q:\Abteilungsprojekte\Eng\EngData\PROJECT_Bioplastics\Renjie_Pan\05-Raw_Data\Lab_results\[LabSamples2025_Bioplastic_extra.xlsx]extra_Bioplastic'!B518)</f>
        <v/>
      </c>
      <c r="C518">
        <f>IF(ISBLANK('Q:\Abteilungsprojekte\Eng\EngData\PROJECT_Bioplastics\Renjie_Pan\05-Raw_Data\Lab_results\[LabSamples2025_Bioplastic_extra.xlsx]extra_Bioplastic'!C518)," ",'Q:\Abteilungsprojekte\Eng\EngData\PROJECT_Bioplastics\Renjie_Pan\05-Raw_Data\Lab_results\[LabSamples2025_Bioplastic_extra.xlsx]extra_Bioplastic'!C518)</f>
        <v/>
      </c>
      <c r="D518">
        <f>IF(ISBLANK('Q:\Abteilungsprojekte\Eng\EngData\PROJECT_Bioplastics\Renjie_Pan\05-Raw_Data\Lab_results\[LabSamples2025_Bioplastic_extra.xlsx]extra_Bioplastic'!D518)," ",'Q:\Abteilungsprojekte\Eng\EngData\PROJECT_Bioplastics\Renjie_Pan\05-Raw_Data\Lab_results\[LabSamples2025_Bioplastic_extra.xlsx]extra_Bioplastic'!D518)</f>
        <v/>
      </c>
      <c r="E518">
        <f>IF(ISBLANK('Q:\Abteilungsprojekte\Eng\EngData\PROJECT_Bioplastics\Renjie_Pan\05-Raw_Data\Lab_results\[LabSamples2025_Bioplastic_extra.xlsx]extra_Bioplastic'!E518)," ",'Q:\Abteilungsprojekte\Eng\EngData\PROJECT_Bioplastics\Renjie_Pan\05-Raw_Data\Lab_results\[LabSamples2025_Bioplastic_extra.xlsx]extra_Bioplastic'!E518)</f>
        <v/>
      </c>
      <c r="F518">
        <f>IF(ISBLANK('Q:\Abteilungsprojekte\Eng\EngData\PROJECT_Bioplastics\Renjie_Pan\05-Raw_Data\Lab_results\[LabSamples2025_Bioplastic_extra.xlsx]extra_Bioplastic'!F518)," ",'Q:\Abteilungsprojekte\Eng\EngData\PROJECT_Bioplastics\Renjie_Pan\05-Raw_Data\Lab_results\[LabSamples2025_Bioplastic_extra.xlsx]extra_Bioplastic'!F518)</f>
        <v/>
      </c>
      <c r="G518">
        <f>IF(ISBLANK('Q:\Abteilungsprojekte\Eng\EngData\PROJECT_Bioplastics\Renjie_Pan\05-Raw_Data\Lab_results\[LabSamples2025_Bioplastic_extra.xlsx]extra_Bioplastic'!G518)," ",'Q:\Abteilungsprojekte\Eng\EngData\PROJECT_Bioplastics\Renjie_Pan\05-Raw_Data\Lab_results\[LabSamples2025_Bioplastic_extra.xlsx]extra_Bioplastic'!G518)</f>
        <v/>
      </c>
      <c r="H518">
        <f>IF(ISBLANK('Q:\Abteilungsprojekte\Eng\EngData\PROJECT_Bioplastics\Renjie_Pan\05-Raw_Data\Lab_results\[LabSamples2025_Bioplastic_extra.xlsx]extra_Bioplastic'!H518)," ",'Q:\Abteilungsprojekte\Eng\EngData\PROJECT_Bioplastics\Renjie_Pan\05-Raw_Data\Lab_results\[LabSamples2025_Bioplastic_extra.xlsx]extra_Bioplastic'!H518)</f>
        <v/>
      </c>
    </row>
    <row r="519">
      <c r="A519">
        <f>IF(ISBLANK('Q:\Abteilungsprojekte\Eng\EngData\PROJECT_Bioplastics\Renjie_Pan\05-Raw_Data\Lab_results\[LabSamples2025_Bioplastic_extra.xlsx]extra_Bioplastic'!A519)," ",'Q:\Abteilungsprojekte\Eng\EngData\PROJECT_Bioplastics\Renjie_Pan\05-Raw_Data\Lab_results\[LabSamples2025_Bioplastic_extra.xlsx]extra_Bioplastic'!A519)</f>
        <v/>
      </c>
      <c r="B519">
        <f>IF(ISBLANK('Q:\Abteilungsprojekte\Eng\EngData\PROJECT_Bioplastics\Renjie_Pan\05-Raw_Data\Lab_results\[LabSamples2025_Bioplastic_extra.xlsx]extra_Bioplastic'!B519)," ",'Q:\Abteilungsprojekte\Eng\EngData\PROJECT_Bioplastics\Renjie_Pan\05-Raw_Data\Lab_results\[LabSamples2025_Bioplastic_extra.xlsx]extra_Bioplastic'!B519)</f>
        <v/>
      </c>
      <c r="C519">
        <f>IF(ISBLANK('Q:\Abteilungsprojekte\Eng\EngData\PROJECT_Bioplastics\Renjie_Pan\05-Raw_Data\Lab_results\[LabSamples2025_Bioplastic_extra.xlsx]extra_Bioplastic'!C519)," ",'Q:\Abteilungsprojekte\Eng\EngData\PROJECT_Bioplastics\Renjie_Pan\05-Raw_Data\Lab_results\[LabSamples2025_Bioplastic_extra.xlsx]extra_Bioplastic'!C519)</f>
        <v/>
      </c>
      <c r="D519">
        <f>IF(ISBLANK('Q:\Abteilungsprojekte\Eng\EngData\PROJECT_Bioplastics\Renjie_Pan\05-Raw_Data\Lab_results\[LabSamples2025_Bioplastic_extra.xlsx]extra_Bioplastic'!D519)," ",'Q:\Abteilungsprojekte\Eng\EngData\PROJECT_Bioplastics\Renjie_Pan\05-Raw_Data\Lab_results\[LabSamples2025_Bioplastic_extra.xlsx]extra_Bioplastic'!D519)</f>
        <v/>
      </c>
      <c r="E519">
        <f>IF(ISBLANK('Q:\Abteilungsprojekte\Eng\EngData\PROJECT_Bioplastics\Renjie_Pan\05-Raw_Data\Lab_results\[LabSamples2025_Bioplastic_extra.xlsx]extra_Bioplastic'!E519)," ",'Q:\Abteilungsprojekte\Eng\EngData\PROJECT_Bioplastics\Renjie_Pan\05-Raw_Data\Lab_results\[LabSamples2025_Bioplastic_extra.xlsx]extra_Bioplastic'!E519)</f>
        <v/>
      </c>
      <c r="F519">
        <f>IF(ISBLANK('Q:\Abteilungsprojekte\Eng\EngData\PROJECT_Bioplastics\Renjie_Pan\05-Raw_Data\Lab_results\[LabSamples2025_Bioplastic_extra.xlsx]extra_Bioplastic'!F519)," ",'Q:\Abteilungsprojekte\Eng\EngData\PROJECT_Bioplastics\Renjie_Pan\05-Raw_Data\Lab_results\[LabSamples2025_Bioplastic_extra.xlsx]extra_Bioplastic'!F519)</f>
        <v/>
      </c>
      <c r="G519">
        <f>IF(ISBLANK('Q:\Abteilungsprojekte\Eng\EngData\PROJECT_Bioplastics\Renjie_Pan\05-Raw_Data\Lab_results\[LabSamples2025_Bioplastic_extra.xlsx]extra_Bioplastic'!G519)," ",'Q:\Abteilungsprojekte\Eng\EngData\PROJECT_Bioplastics\Renjie_Pan\05-Raw_Data\Lab_results\[LabSamples2025_Bioplastic_extra.xlsx]extra_Bioplastic'!G519)</f>
        <v/>
      </c>
      <c r="H519">
        <f>IF(ISBLANK('Q:\Abteilungsprojekte\Eng\EngData\PROJECT_Bioplastics\Renjie_Pan\05-Raw_Data\Lab_results\[LabSamples2025_Bioplastic_extra.xlsx]extra_Bioplastic'!H519)," ",'Q:\Abteilungsprojekte\Eng\EngData\PROJECT_Bioplastics\Renjie_Pan\05-Raw_Data\Lab_results\[LabSamples2025_Bioplastic_extra.xlsx]extra_Bioplastic'!H519)</f>
        <v/>
      </c>
    </row>
    <row r="520">
      <c r="A520">
        <f>IF(ISBLANK('Q:\Abteilungsprojekte\Eng\EngData\PROJECT_Bioplastics\Renjie_Pan\05-Raw_Data\Lab_results\[LabSamples2025_Bioplastic_extra.xlsx]extra_Bioplastic'!A520)," ",'Q:\Abteilungsprojekte\Eng\EngData\PROJECT_Bioplastics\Renjie_Pan\05-Raw_Data\Lab_results\[LabSamples2025_Bioplastic_extra.xlsx]extra_Bioplastic'!A520)</f>
        <v/>
      </c>
      <c r="B520">
        <f>IF(ISBLANK('Q:\Abteilungsprojekte\Eng\EngData\PROJECT_Bioplastics\Renjie_Pan\05-Raw_Data\Lab_results\[LabSamples2025_Bioplastic_extra.xlsx]extra_Bioplastic'!B520)," ",'Q:\Abteilungsprojekte\Eng\EngData\PROJECT_Bioplastics\Renjie_Pan\05-Raw_Data\Lab_results\[LabSamples2025_Bioplastic_extra.xlsx]extra_Bioplastic'!B520)</f>
        <v/>
      </c>
      <c r="C520">
        <f>IF(ISBLANK('Q:\Abteilungsprojekte\Eng\EngData\PROJECT_Bioplastics\Renjie_Pan\05-Raw_Data\Lab_results\[LabSamples2025_Bioplastic_extra.xlsx]extra_Bioplastic'!C520)," ",'Q:\Abteilungsprojekte\Eng\EngData\PROJECT_Bioplastics\Renjie_Pan\05-Raw_Data\Lab_results\[LabSamples2025_Bioplastic_extra.xlsx]extra_Bioplastic'!C520)</f>
        <v/>
      </c>
      <c r="D520">
        <f>IF(ISBLANK('Q:\Abteilungsprojekte\Eng\EngData\PROJECT_Bioplastics\Renjie_Pan\05-Raw_Data\Lab_results\[LabSamples2025_Bioplastic_extra.xlsx]extra_Bioplastic'!D520)," ",'Q:\Abteilungsprojekte\Eng\EngData\PROJECT_Bioplastics\Renjie_Pan\05-Raw_Data\Lab_results\[LabSamples2025_Bioplastic_extra.xlsx]extra_Bioplastic'!D520)</f>
        <v/>
      </c>
      <c r="E520">
        <f>IF(ISBLANK('Q:\Abteilungsprojekte\Eng\EngData\PROJECT_Bioplastics\Renjie_Pan\05-Raw_Data\Lab_results\[LabSamples2025_Bioplastic_extra.xlsx]extra_Bioplastic'!E520)," ",'Q:\Abteilungsprojekte\Eng\EngData\PROJECT_Bioplastics\Renjie_Pan\05-Raw_Data\Lab_results\[LabSamples2025_Bioplastic_extra.xlsx]extra_Bioplastic'!E520)</f>
        <v/>
      </c>
      <c r="F520">
        <f>IF(ISBLANK('Q:\Abteilungsprojekte\Eng\EngData\PROJECT_Bioplastics\Renjie_Pan\05-Raw_Data\Lab_results\[LabSamples2025_Bioplastic_extra.xlsx]extra_Bioplastic'!F520)," ",'Q:\Abteilungsprojekte\Eng\EngData\PROJECT_Bioplastics\Renjie_Pan\05-Raw_Data\Lab_results\[LabSamples2025_Bioplastic_extra.xlsx]extra_Bioplastic'!F520)</f>
        <v/>
      </c>
      <c r="G520">
        <f>IF(ISBLANK('Q:\Abteilungsprojekte\Eng\EngData\PROJECT_Bioplastics\Renjie_Pan\05-Raw_Data\Lab_results\[LabSamples2025_Bioplastic_extra.xlsx]extra_Bioplastic'!G520)," ",'Q:\Abteilungsprojekte\Eng\EngData\PROJECT_Bioplastics\Renjie_Pan\05-Raw_Data\Lab_results\[LabSamples2025_Bioplastic_extra.xlsx]extra_Bioplastic'!G520)</f>
        <v/>
      </c>
      <c r="H520">
        <f>IF(ISBLANK('Q:\Abteilungsprojekte\Eng\EngData\PROJECT_Bioplastics\Renjie_Pan\05-Raw_Data\Lab_results\[LabSamples2025_Bioplastic_extra.xlsx]extra_Bioplastic'!H520)," ",'Q:\Abteilungsprojekte\Eng\EngData\PROJECT_Bioplastics\Renjie_Pan\05-Raw_Data\Lab_results\[LabSamples2025_Bioplastic_extra.xlsx]extra_Bioplastic'!H520)</f>
        <v/>
      </c>
    </row>
    <row r="521">
      <c r="A521">
        <f>IF(ISBLANK('Q:\Abteilungsprojekte\Eng\EngData\PROJECT_Bioplastics\Renjie_Pan\05-Raw_Data\Lab_results\[LabSamples2025_Bioplastic_extra.xlsx]extra_Bioplastic'!A521)," ",'Q:\Abteilungsprojekte\Eng\EngData\PROJECT_Bioplastics\Renjie_Pan\05-Raw_Data\Lab_results\[LabSamples2025_Bioplastic_extra.xlsx]extra_Bioplastic'!A521)</f>
        <v/>
      </c>
      <c r="B521">
        <f>IF(ISBLANK('Q:\Abteilungsprojekte\Eng\EngData\PROJECT_Bioplastics\Renjie_Pan\05-Raw_Data\Lab_results\[LabSamples2025_Bioplastic_extra.xlsx]extra_Bioplastic'!B521)," ",'Q:\Abteilungsprojekte\Eng\EngData\PROJECT_Bioplastics\Renjie_Pan\05-Raw_Data\Lab_results\[LabSamples2025_Bioplastic_extra.xlsx]extra_Bioplastic'!B521)</f>
        <v/>
      </c>
      <c r="C521">
        <f>IF(ISBLANK('Q:\Abteilungsprojekte\Eng\EngData\PROJECT_Bioplastics\Renjie_Pan\05-Raw_Data\Lab_results\[LabSamples2025_Bioplastic_extra.xlsx]extra_Bioplastic'!C521)," ",'Q:\Abteilungsprojekte\Eng\EngData\PROJECT_Bioplastics\Renjie_Pan\05-Raw_Data\Lab_results\[LabSamples2025_Bioplastic_extra.xlsx]extra_Bioplastic'!C521)</f>
        <v/>
      </c>
      <c r="D521">
        <f>IF(ISBLANK('Q:\Abteilungsprojekte\Eng\EngData\PROJECT_Bioplastics\Renjie_Pan\05-Raw_Data\Lab_results\[LabSamples2025_Bioplastic_extra.xlsx]extra_Bioplastic'!D521)," ",'Q:\Abteilungsprojekte\Eng\EngData\PROJECT_Bioplastics\Renjie_Pan\05-Raw_Data\Lab_results\[LabSamples2025_Bioplastic_extra.xlsx]extra_Bioplastic'!D521)</f>
        <v/>
      </c>
      <c r="E521">
        <f>IF(ISBLANK('Q:\Abteilungsprojekte\Eng\EngData\PROJECT_Bioplastics\Renjie_Pan\05-Raw_Data\Lab_results\[LabSamples2025_Bioplastic_extra.xlsx]extra_Bioplastic'!E521)," ",'Q:\Abteilungsprojekte\Eng\EngData\PROJECT_Bioplastics\Renjie_Pan\05-Raw_Data\Lab_results\[LabSamples2025_Bioplastic_extra.xlsx]extra_Bioplastic'!E521)</f>
        <v/>
      </c>
      <c r="F521">
        <f>IF(ISBLANK('Q:\Abteilungsprojekte\Eng\EngData\PROJECT_Bioplastics\Renjie_Pan\05-Raw_Data\Lab_results\[LabSamples2025_Bioplastic_extra.xlsx]extra_Bioplastic'!F521)," ",'Q:\Abteilungsprojekte\Eng\EngData\PROJECT_Bioplastics\Renjie_Pan\05-Raw_Data\Lab_results\[LabSamples2025_Bioplastic_extra.xlsx]extra_Bioplastic'!F521)</f>
        <v/>
      </c>
      <c r="G521">
        <f>IF(ISBLANK('Q:\Abteilungsprojekte\Eng\EngData\PROJECT_Bioplastics\Renjie_Pan\05-Raw_Data\Lab_results\[LabSamples2025_Bioplastic_extra.xlsx]extra_Bioplastic'!G521)," ",'Q:\Abteilungsprojekte\Eng\EngData\PROJECT_Bioplastics\Renjie_Pan\05-Raw_Data\Lab_results\[LabSamples2025_Bioplastic_extra.xlsx]extra_Bioplastic'!G521)</f>
        <v/>
      </c>
      <c r="H521">
        <f>IF(ISBLANK('Q:\Abteilungsprojekte\Eng\EngData\PROJECT_Bioplastics\Renjie_Pan\05-Raw_Data\Lab_results\[LabSamples2025_Bioplastic_extra.xlsx]extra_Bioplastic'!H521)," ",'Q:\Abteilungsprojekte\Eng\EngData\PROJECT_Bioplastics\Renjie_Pan\05-Raw_Data\Lab_results\[LabSamples2025_Bioplastic_extra.xlsx]extra_Bioplastic'!H521)</f>
        <v/>
      </c>
    </row>
    <row r="522">
      <c r="A522">
        <f>IF(ISBLANK('Q:\Abteilungsprojekte\Eng\EngData\PROJECT_Bioplastics\Renjie_Pan\05-Raw_Data\Lab_results\[LabSamples2025_Bioplastic_extra.xlsx]extra_Bioplastic'!A522)," ",'Q:\Abteilungsprojekte\Eng\EngData\PROJECT_Bioplastics\Renjie_Pan\05-Raw_Data\Lab_results\[LabSamples2025_Bioplastic_extra.xlsx]extra_Bioplastic'!A522)</f>
        <v/>
      </c>
      <c r="B522">
        <f>IF(ISBLANK('Q:\Abteilungsprojekte\Eng\EngData\PROJECT_Bioplastics\Renjie_Pan\05-Raw_Data\Lab_results\[LabSamples2025_Bioplastic_extra.xlsx]extra_Bioplastic'!B522)," ",'Q:\Abteilungsprojekte\Eng\EngData\PROJECT_Bioplastics\Renjie_Pan\05-Raw_Data\Lab_results\[LabSamples2025_Bioplastic_extra.xlsx]extra_Bioplastic'!B522)</f>
        <v/>
      </c>
      <c r="C522">
        <f>IF(ISBLANK('Q:\Abteilungsprojekte\Eng\EngData\PROJECT_Bioplastics\Renjie_Pan\05-Raw_Data\Lab_results\[LabSamples2025_Bioplastic_extra.xlsx]extra_Bioplastic'!C522)," ",'Q:\Abteilungsprojekte\Eng\EngData\PROJECT_Bioplastics\Renjie_Pan\05-Raw_Data\Lab_results\[LabSamples2025_Bioplastic_extra.xlsx]extra_Bioplastic'!C522)</f>
        <v/>
      </c>
      <c r="D522">
        <f>IF(ISBLANK('Q:\Abteilungsprojekte\Eng\EngData\PROJECT_Bioplastics\Renjie_Pan\05-Raw_Data\Lab_results\[LabSamples2025_Bioplastic_extra.xlsx]extra_Bioplastic'!D522)," ",'Q:\Abteilungsprojekte\Eng\EngData\PROJECT_Bioplastics\Renjie_Pan\05-Raw_Data\Lab_results\[LabSamples2025_Bioplastic_extra.xlsx]extra_Bioplastic'!D522)</f>
        <v/>
      </c>
      <c r="E522">
        <f>IF(ISBLANK('Q:\Abteilungsprojekte\Eng\EngData\PROJECT_Bioplastics\Renjie_Pan\05-Raw_Data\Lab_results\[LabSamples2025_Bioplastic_extra.xlsx]extra_Bioplastic'!E522)," ",'Q:\Abteilungsprojekte\Eng\EngData\PROJECT_Bioplastics\Renjie_Pan\05-Raw_Data\Lab_results\[LabSamples2025_Bioplastic_extra.xlsx]extra_Bioplastic'!E522)</f>
        <v/>
      </c>
      <c r="F522">
        <f>IF(ISBLANK('Q:\Abteilungsprojekte\Eng\EngData\PROJECT_Bioplastics\Renjie_Pan\05-Raw_Data\Lab_results\[LabSamples2025_Bioplastic_extra.xlsx]extra_Bioplastic'!F522)," ",'Q:\Abteilungsprojekte\Eng\EngData\PROJECT_Bioplastics\Renjie_Pan\05-Raw_Data\Lab_results\[LabSamples2025_Bioplastic_extra.xlsx]extra_Bioplastic'!F522)</f>
        <v/>
      </c>
      <c r="G522">
        <f>IF(ISBLANK('Q:\Abteilungsprojekte\Eng\EngData\PROJECT_Bioplastics\Renjie_Pan\05-Raw_Data\Lab_results\[LabSamples2025_Bioplastic_extra.xlsx]extra_Bioplastic'!G522)," ",'Q:\Abteilungsprojekte\Eng\EngData\PROJECT_Bioplastics\Renjie_Pan\05-Raw_Data\Lab_results\[LabSamples2025_Bioplastic_extra.xlsx]extra_Bioplastic'!G522)</f>
        <v/>
      </c>
      <c r="H522">
        <f>IF(ISBLANK('Q:\Abteilungsprojekte\Eng\EngData\PROJECT_Bioplastics\Renjie_Pan\05-Raw_Data\Lab_results\[LabSamples2025_Bioplastic_extra.xlsx]extra_Bioplastic'!H522)," ",'Q:\Abteilungsprojekte\Eng\EngData\PROJECT_Bioplastics\Renjie_Pan\05-Raw_Data\Lab_results\[LabSamples2025_Bioplastic_extra.xlsx]extra_Bioplastic'!H522)</f>
        <v/>
      </c>
    </row>
    <row r="523">
      <c r="A523">
        <f>IF(ISBLANK('Q:\Abteilungsprojekte\Eng\EngData\PROJECT_Bioplastics\Renjie_Pan\05-Raw_Data\Lab_results\[LabSamples2025_Bioplastic_extra.xlsx]extra_Bioplastic'!A523)," ",'Q:\Abteilungsprojekte\Eng\EngData\PROJECT_Bioplastics\Renjie_Pan\05-Raw_Data\Lab_results\[LabSamples2025_Bioplastic_extra.xlsx]extra_Bioplastic'!A523)</f>
        <v/>
      </c>
      <c r="B523">
        <f>IF(ISBLANK('Q:\Abteilungsprojekte\Eng\EngData\PROJECT_Bioplastics\Renjie_Pan\05-Raw_Data\Lab_results\[LabSamples2025_Bioplastic_extra.xlsx]extra_Bioplastic'!B523)," ",'Q:\Abteilungsprojekte\Eng\EngData\PROJECT_Bioplastics\Renjie_Pan\05-Raw_Data\Lab_results\[LabSamples2025_Bioplastic_extra.xlsx]extra_Bioplastic'!B523)</f>
        <v/>
      </c>
      <c r="C523">
        <f>IF(ISBLANK('Q:\Abteilungsprojekte\Eng\EngData\PROJECT_Bioplastics\Renjie_Pan\05-Raw_Data\Lab_results\[LabSamples2025_Bioplastic_extra.xlsx]extra_Bioplastic'!C523)," ",'Q:\Abteilungsprojekte\Eng\EngData\PROJECT_Bioplastics\Renjie_Pan\05-Raw_Data\Lab_results\[LabSamples2025_Bioplastic_extra.xlsx]extra_Bioplastic'!C523)</f>
        <v/>
      </c>
      <c r="D523">
        <f>IF(ISBLANK('Q:\Abteilungsprojekte\Eng\EngData\PROJECT_Bioplastics\Renjie_Pan\05-Raw_Data\Lab_results\[LabSamples2025_Bioplastic_extra.xlsx]extra_Bioplastic'!D523)," ",'Q:\Abteilungsprojekte\Eng\EngData\PROJECT_Bioplastics\Renjie_Pan\05-Raw_Data\Lab_results\[LabSamples2025_Bioplastic_extra.xlsx]extra_Bioplastic'!D523)</f>
        <v/>
      </c>
      <c r="E523">
        <f>IF(ISBLANK('Q:\Abteilungsprojekte\Eng\EngData\PROJECT_Bioplastics\Renjie_Pan\05-Raw_Data\Lab_results\[LabSamples2025_Bioplastic_extra.xlsx]extra_Bioplastic'!E523)," ",'Q:\Abteilungsprojekte\Eng\EngData\PROJECT_Bioplastics\Renjie_Pan\05-Raw_Data\Lab_results\[LabSamples2025_Bioplastic_extra.xlsx]extra_Bioplastic'!E523)</f>
        <v/>
      </c>
      <c r="F523">
        <f>IF(ISBLANK('Q:\Abteilungsprojekte\Eng\EngData\PROJECT_Bioplastics\Renjie_Pan\05-Raw_Data\Lab_results\[LabSamples2025_Bioplastic_extra.xlsx]extra_Bioplastic'!F523)," ",'Q:\Abteilungsprojekte\Eng\EngData\PROJECT_Bioplastics\Renjie_Pan\05-Raw_Data\Lab_results\[LabSamples2025_Bioplastic_extra.xlsx]extra_Bioplastic'!F523)</f>
        <v/>
      </c>
      <c r="G523">
        <f>IF(ISBLANK('Q:\Abteilungsprojekte\Eng\EngData\PROJECT_Bioplastics\Renjie_Pan\05-Raw_Data\Lab_results\[LabSamples2025_Bioplastic_extra.xlsx]extra_Bioplastic'!G523)," ",'Q:\Abteilungsprojekte\Eng\EngData\PROJECT_Bioplastics\Renjie_Pan\05-Raw_Data\Lab_results\[LabSamples2025_Bioplastic_extra.xlsx]extra_Bioplastic'!G523)</f>
        <v/>
      </c>
      <c r="H523">
        <f>IF(ISBLANK('Q:\Abteilungsprojekte\Eng\EngData\PROJECT_Bioplastics\Renjie_Pan\05-Raw_Data\Lab_results\[LabSamples2025_Bioplastic_extra.xlsx]extra_Bioplastic'!H523)," ",'Q:\Abteilungsprojekte\Eng\EngData\PROJECT_Bioplastics\Renjie_Pan\05-Raw_Data\Lab_results\[LabSamples2025_Bioplastic_extra.xlsx]extra_Bioplastic'!H523)</f>
        <v/>
      </c>
    </row>
    <row r="524">
      <c r="A524">
        <f>IF(ISBLANK('Q:\Abteilungsprojekte\Eng\EngData\PROJECT_Bioplastics\Renjie_Pan\05-Raw_Data\Lab_results\[LabSamples2025_Bioplastic_extra.xlsx]extra_Bioplastic'!A524)," ",'Q:\Abteilungsprojekte\Eng\EngData\PROJECT_Bioplastics\Renjie_Pan\05-Raw_Data\Lab_results\[LabSamples2025_Bioplastic_extra.xlsx]extra_Bioplastic'!A524)</f>
        <v/>
      </c>
      <c r="B524">
        <f>IF(ISBLANK('Q:\Abteilungsprojekte\Eng\EngData\PROJECT_Bioplastics\Renjie_Pan\05-Raw_Data\Lab_results\[LabSamples2025_Bioplastic_extra.xlsx]extra_Bioplastic'!B524)," ",'Q:\Abteilungsprojekte\Eng\EngData\PROJECT_Bioplastics\Renjie_Pan\05-Raw_Data\Lab_results\[LabSamples2025_Bioplastic_extra.xlsx]extra_Bioplastic'!B524)</f>
        <v/>
      </c>
      <c r="C524">
        <f>IF(ISBLANK('Q:\Abteilungsprojekte\Eng\EngData\PROJECT_Bioplastics\Renjie_Pan\05-Raw_Data\Lab_results\[LabSamples2025_Bioplastic_extra.xlsx]extra_Bioplastic'!C524)," ",'Q:\Abteilungsprojekte\Eng\EngData\PROJECT_Bioplastics\Renjie_Pan\05-Raw_Data\Lab_results\[LabSamples2025_Bioplastic_extra.xlsx]extra_Bioplastic'!C524)</f>
        <v/>
      </c>
      <c r="D524">
        <f>IF(ISBLANK('Q:\Abteilungsprojekte\Eng\EngData\PROJECT_Bioplastics\Renjie_Pan\05-Raw_Data\Lab_results\[LabSamples2025_Bioplastic_extra.xlsx]extra_Bioplastic'!D524)," ",'Q:\Abteilungsprojekte\Eng\EngData\PROJECT_Bioplastics\Renjie_Pan\05-Raw_Data\Lab_results\[LabSamples2025_Bioplastic_extra.xlsx]extra_Bioplastic'!D524)</f>
        <v/>
      </c>
      <c r="E524">
        <f>IF(ISBLANK('Q:\Abteilungsprojekte\Eng\EngData\PROJECT_Bioplastics\Renjie_Pan\05-Raw_Data\Lab_results\[LabSamples2025_Bioplastic_extra.xlsx]extra_Bioplastic'!E524)," ",'Q:\Abteilungsprojekte\Eng\EngData\PROJECT_Bioplastics\Renjie_Pan\05-Raw_Data\Lab_results\[LabSamples2025_Bioplastic_extra.xlsx]extra_Bioplastic'!E524)</f>
        <v/>
      </c>
      <c r="F524">
        <f>IF(ISBLANK('Q:\Abteilungsprojekte\Eng\EngData\PROJECT_Bioplastics\Renjie_Pan\05-Raw_Data\Lab_results\[LabSamples2025_Bioplastic_extra.xlsx]extra_Bioplastic'!F524)," ",'Q:\Abteilungsprojekte\Eng\EngData\PROJECT_Bioplastics\Renjie_Pan\05-Raw_Data\Lab_results\[LabSamples2025_Bioplastic_extra.xlsx]extra_Bioplastic'!F524)</f>
        <v/>
      </c>
      <c r="G524">
        <f>IF(ISBLANK('Q:\Abteilungsprojekte\Eng\EngData\PROJECT_Bioplastics\Renjie_Pan\05-Raw_Data\Lab_results\[LabSamples2025_Bioplastic_extra.xlsx]extra_Bioplastic'!G524)," ",'Q:\Abteilungsprojekte\Eng\EngData\PROJECT_Bioplastics\Renjie_Pan\05-Raw_Data\Lab_results\[LabSamples2025_Bioplastic_extra.xlsx]extra_Bioplastic'!G524)</f>
        <v/>
      </c>
      <c r="H524">
        <f>IF(ISBLANK('Q:\Abteilungsprojekte\Eng\EngData\PROJECT_Bioplastics\Renjie_Pan\05-Raw_Data\Lab_results\[LabSamples2025_Bioplastic_extra.xlsx]extra_Bioplastic'!H524)," ",'Q:\Abteilungsprojekte\Eng\EngData\PROJECT_Bioplastics\Renjie_Pan\05-Raw_Data\Lab_results\[LabSamples2025_Bioplastic_extra.xlsx]extra_Bioplastic'!H524)</f>
        <v/>
      </c>
    </row>
    <row r="525">
      <c r="A525">
        <f>IF(ISBLANK('Q:\Abteilungsprojekte\Eng\EngData\PROJECT_Bioplastics\Renjie_Pan\05-Raw_Data\Lab_results\[LabSamples2025_Bioplastic_extra.xlsx]extra_Bioplastic'!A525)," ",'Q:\Abteilungsprojekte\Eng\EngData\PROJECT_Bioplastics\Renjie_Pan\05-Raw_Data\Lab_results\[LabSamples2025_Bioplastic_extra.xlsx]extra_Bioplastic'!A525)</f>
        <v/>
      </c>
      <c r="B525">
        <f>IF(ISBLANK('Q:\Abteilungsprojekte\Eng\EngData\PROJECT_Bioplastics\Renjie_Pan\05-Raw_Data\Lab_results\[LabSamples2025_Bioplastic_extra.xlsx]extra_Bioplastic'!B525)," ",'Q:\Abteilungsprojekte\Eng\EngData\PROJECT_Bioplastics\Renjie_Pan\05-Raw_Data\Lab_results\[LabSamples2025_Bioplastic_extra.xlsx]extra_Bioplastic'!B525)</f>
        <v/>
      </c>
      <c r="C525">
        <f>IF(ISBLANK('Q:\Abteilungsprojekte\Eng\EngData\PROJECT_Bioplastics\Renjie_Pan\05-Raw_Data\Lab_results\[LabSamples2025_Bioplastic_extra.xlsx]extra_Bioplastic'!C525)," ",'Q:\Abteilungsprojekte\Eng\EngData\PROJECT_Bioplastics\Renjie_Pan\05-Raw_Data\Lab_results\[LabSamples2025_Bioplastic_extra.xlsx]extra_Bioplastic'!C525)</f>
        <v/>
      </c>
      <c r="D525">
        <f>IF(ISBLANK('Q:\Abteilungsprojekte\Eng\EngData\PROJECT_Bioplastics\Renjie_Pan\05-Raw_Data\Lab_results\[LabSamples2025_Bioplastic_extra.xlsx]extra_Bioplastic'!D525)," ",'Q:\Abteilungsprojekte\Eng\EngData\PROJECT_Bioplastics\Renjie_Pan\05-Raw_Data\Lab_results\[LabSamples2025_Bioplastic_extra.xlsx]extra_Bioplastic'!D525)</f>
        <v/>
      </c>
      <c r="E525">
        <f>IF(ISBLANK('Q:\Abteilungsprojekte\Eng\EngData\PROJECT_Bioplastics\Renjie_Pan\05-Raw_Data\Lab_results\[LabSamples2025_Bioplastic_extra.xlsx]extra_Bioplastic'!E525)," ",'Q:\Abteilungsprojekte\Eng\EngData\PROJECT_Bioplastics\Renjie_Pan\05-Raw_Data\Lab_results\[LabSamples2025_Bioplastic_extra.xlsx]extra_Bioplastic'!E525)</f>
        <v/>
      </c>
      <c r="F525">
        <f>IF(ISBLANK('Q:\Abteilungsprojekte\Eng\EngData\PROJECT_Bioplastics\Renjie_Pan\05-Raw_Data\Lab_results\[LabSamples2025_Bioplastic_extra.xlsx]extra_Bioplastic'!F525)," ",'Q:\Abteilungsprojekte\Eng\EngData\PROJECT_Bioplastics\Renjie_Pan\05-Raw_Data\Lab_results\[LabSamples2025_Bioplastic_extra.xlsx]extra_Bioplastic'!F525)</f>
        <v/>
      </c>
      <c r="G525">
        <f>IF(ISBLANK('Q:\Abteilungsprojekte\Eng\EngData\PROJECT_Bioplastics\Renjie_Pan\05-Raw_Data\Lab_results\[LabSamples2025_Bioplastic_extra.xlsx]extra_Bioplastic'!G525)," ",'Q:\Abteilungsprojekte\Eng\EngData\PROJECT_Bioplastics\Renjie_Pan\05-Raw_Data\Lab_results\[LabSamples2025_Bioplastic_extra.xlsx]extra_Bioplastic'!G525)</f>
        <v/>
      </c>
      <c r="H525">
        <f>IF(ISBLANK('Q:\Abteilungsprojekte\Eng\EngData\PROJECT_Bioplastics\Renjie_Pan\05-Raw_Data\Lab_results\[LabSamples2025_Bioplastic_extra.xlsx]extra_Bioplastic'!H525)," ",'Q:\Abteilungsprojekte\Eng\EngData\PROJECT_Bioplastics\Renjie_Pan\05-Raw_Data\Lab_results\[LabSamples2025_Bioplastic_extra.xlsx]extra_Bioplastic'!H525)</f>
        <v/>
      </c>
    </row>
    <row r="526">
      <c r="A526">
        <f>IF(ISBLANK('Q:\Abteilungsprojekte\Eng\EngData\PROJECT_Bioplastics\Renjie_Pan\05-Raw_Data\Lab_results\[LabSamples2025_Bioplastic_extra.xlsx]extra_Bioplastic'!A526)," ",'Q:\Abteilungsprojekte\Eng\EngData\PROJECT_Bioplastics\Renjie_Pan\05-Raw_Data\Lab_results\[LabSamples2025_Bioplastic_extra.xlsx]extra_Bioplastic'!A526)</f>
        <v/>
      </c>
      <c r="B526">
        <f>IF(ISBLANK('Q:\Abteilungsprojekte\Eng\EngData\PROJECT_Bioplastics\Renjie_Pan\05-Raw_Data\Lab_results\[LabSamples2025_Bioplastic_extra.xlsx]extra_Bioplastic'!B526)," ",'Q:\Abteilungsprojekte\Eng\EngData\PROJECT_Bioplastics\Renjie_Pan\05-Raw_Data\Lab_results\[LabSamples2025_Bioplastic_extra.xlsx]extra_Bioplastic'!B526)</f>
        <v/>
      </c>
      <c r="C526">
        <f>IF(ISBLANK('Q:\Abteilungsprojekte\Eng\EngData\PROJECT_Bioplastics\Renjie_Pan\05-Raw_Data\Lab_results\[LabSamples2025_Bioplastic_extra.xlsx]extra_Bioplastic'!C526)," ",'Q:\Abteilungsprojekte\Eng\EngData\PROJECT_Bioplastics\Renjie_Pan\05-Raw_Data\Lab_results\[LabSamples2025_Bioplastic_extra.xlsx]extra_Bioplastic'!C526)</f>
        <v/>
      </c>
      <c r="D526">
        <f>IF(ISBLANK('Q:\Abteilungsprojekte\Eng\EngData\PROJECT_Bioplastics\Renjie_Pan\05-Raw_Data\Lab_results\[LabSamples2025_Bioplastic_extra.xlsx]extra_Bioplastic'!D526)," ",'Q:\Abteilungsprojekte\Eng\EngData\PROJECT_Bioplastics\Renjie_Pan\05-Raw_Data\Lab_results\[LabSamples2025_Bioplastic_extra.xlsx]extra_Bioplastic'!D526)</f>
        <v/>
      </c>
      <c r="E526">
        <f>IF(ISBLANK('Q:\Abteilungsprojekte\Eng\EngData\PROJECT_Bioplastics\Renjie_Pan\05-Raw_Data\Lab_results\[LabSamples2025_Bioplastic_extra.xlsx]extra_Bioplastic'!E526)," ",'Q:\Abteilungsprojekte\Eng\EngData\PROJECT_Bioplastics\Renjie_Pan\05-Raw_Data\Lab_results\[LabSamples2025_Bioplastic_extra.xlsx]extra_Bioplastic'!E526)</f>
        <v/>
      </c>
      <c r="F526">
        <f>IF(ISBLANK('Q:\Abteilungsprojekte\Eng\EngData\PROJECT_Bioplastics\Renjie_Pan\05-Raw_Data\Lab_results\[LabSamples2025_Bioplastic_extra.xlsx]extra_Bioplastic'!F526)," ",'Q:\Abteilungsprojekte\Eng\EngData\PROJECT_Bioplastics\Renjie_Pan\05-Raw_Data\Lab_results\[LabSamples2025_Bioplastic_extra.xlsx]extra_Bioplastic'!F526)</f>
        <v/>
      </c>
      <c r="G526">
        <f>IF(ISBLANK('Q:\Abteilungsprojekte\Eng\EngData\PROJECT_Bioplastics\Renjie_Pan\05-Raw_Data\Lab_results\[LabSamples2025_Bioplastic_extra.xlsx]extra_Bioplastic'!G526)," ",'Q:\Abteilungsprojekte\Eng\EngData\PROJECT_Bioplastics\Renjie_Pan\05-Raw_Data\Lab_results\[LabSamples2025_Bioplastic_extra.xlsx]extra_Bioplastic'!G526)</f>
        <v/>
      </c>
      <c r="H526">
        <f>IF(ISBLANK('Q:\Abteilungsprojekte\Eng\EngData\PROJECT_Bioplastics\Renjie_Pan\05-Raw_Data\Lab_results\[LabSamples2025_Bioplastic_extra.xlsx]extra_Bioplastic'!H526)," ",'Q:\Abteilungsprojekte\Eng\EngData\PROJECT_Bioplastics\Renjie_Pan\05-Raw_Data\Lab_results\[LabSamples2025_Bioplastic_extra.xlsx]extra_Bioplastic'!H526)</f>
        <v/>
      </c>
    </row>
    <row r="527">
      <c r="A527">
        <f>IF(ISBLANK('Q:\Abteilungsprojekte\Eng\EngData\PROJECT_Bioplastics\Renjie_Pan\05-Raw_Data\Lab_results\[LabSamples2025_Bioplastic_extra.xlsx]extra_Bioplastic'!A527)," ",'Q:\Abteilungsprojekte\Eng\EngData\PROJECT_Bioplastics\Renjie_Pan\05-Raw_Data\Lab_results\[LabSamples2025_Bioplastic_extra.xlsx]extra_Bioplastic'!A527)</f>
        <v/>
      </c>
      <c r="B527">
        <f>IF(ISBLANK('Q:\Abteilungsprojekte\Eng\EngData\PROJECT_Bioplastics\Renjie_Pan\05-Raw_Data\Lab_results\[LabSamples2025_Bioplastic_extra.xlsx]extra_Bioplastic'!B527)," ",'Q:\Abteilungsprojekte\Eng\EngData\PROJECT_Bioplastics\Renjie_Pan\05-Raw_Data\Lab_results\[LabSamples2025_Bioplastic_extra.xlsx]extra_Bioplastic'!B527)</f>
        <v/>
      </c>
      <c r="C527">
        <f>IF(ISBLANK('Q:\Abteilungsprojekte\Eng\EngData\PROJECT_Bioplastics\Renjie_Pan\05-Raw_Data\Lab_results\[LabSamples2025_Bioplastic_extra.xlsx]extra_Bioplastic'!C527)," ",'Q:\Abteilungsprojekte\Eng\EngData\PROJECT_Bioplastics\Renjie_Pan\05-Raw_Data\Lab_results\[LabSamples2025_Bioplastic_extra.xlsx]extra_Bioplastic'!C527)</f>
        <v/>
      </c>
      <c r="D527">
        <f>IF(ISBLANK('Q:\Abteilungsprojekte\Eng\EngData\PROJECT_Bioplastics\Renjie_Pan\05-Raw_Data\Lab_results\[LabSamples2025_Bioplastic_extra.xlsx]extra_Bioplastic'!D527)," ",'Q:\Abteilungsprojekte\Eng\EngData\PROJECT_Bioplastics\Renjie_Pan\05-Raw_Data\Lab_results\[LabSamples2025_Bioplastic_extra.xlsx]extra_Bioplastic'!D527)</f>
        <v/>
      </c>
      <c r="E527">
        <f>IF(ISBLANK('Q:\Abteilungsprojekte\Eng\EngData\PROJECT_Bioplastics\Renjie_Pan\05-Raw_Data\Lab_results\[LabSamples2025_Bioplastic_extra.xlsx]extra_Bioplastic'!E527)," ",'Q:\Abteilungsprojekte\Eng\EngData\PROJECT_Bioplastics\Renjie_Pan\05-Raw_Data\Lab_results\[LabSamples2025_Bioplastic_extra.xlsx]extra_Bioplastic'!E527)</f>
        <v/>
      </c>
      <c r="F527">
        <f>IF(ISBLANK('Q:\Abteilungsprojekte\Eng\EngData\PROJECT_Bioplastics\Renjie_Pan\05-Raw_Data\Lab_results\[LabSamples2025_Bioplastic_extra.xlsx]extra_Bioplastic'!F527)," ",'Q:\Abteilungsprojekte\Eng\EngData\PROJECT_Bioplastics\Renjie_Pan\05-Raw_Data\Lab_results\[LabSamples2025_Bioplastic_extra.xlsx]extra_Bioplastic'!F527)</f>
        <v/>
      </c>
      <c r="G527">
        <f>IF(ISBLANK('Q:\Abteilungsprojekte\Eng\EngData\PROJECT_Bioplastics\Renjie_Pan\05-Raw_Data\Lab_results\[LabSamples2025_Bioplastic_extra.xlsx]extra_Bioplastic'!G527)," ",'Q:\Abteilungsprojekte\Eng\EngData\PROJECT_Bioplastics\Renjie_Pan\05-Raw_Data\Lab_results\[LabSamples2025_Bioplastic_extra.xlsx]extra_Bioplastic'!G527)</f>
        <v/>
      </c>
      <c r="H527">
        <f>IF(ISBLANK('Q:\Abteilungsprojekte\Eng\EngData\PROJECT_Bioplastics\Renjie_Pan\05-Raw_Data\Lab_results\[LabSamples2025_Bioplastic_extra.xlsx]extra_Bioplastic'!H527)," ",'Q:\Abteilungsprojekte\Eng\EngData\PROJECT_Bioplastics\Renjie_Pan\05-Raw_Data\Lab_results\[LabSamples2025_Bioplastic_extra.xlsx]extra_Bioplastic'!H527)</f>
        <v/>
      </c>
    </row>
    <row r="528">
      <c r="A528">
        <f>IF(ISBLANK('Q:\Abteilungsprojekte\Eng\EngData\PROJECT_Bioplastics\Renjie_Pan\05-Raw_Data\Lab_results\[LabSamples2025_Bioplastic_extra.xlsx]extra_Bioplastic'!A528)," ",'Q:\Abteilungsprojekte\Eng\EngData\PROJECT_Bioplastics\Renjie_Pan\05-Raw_Data\Lab_results\[LabSamples2025_Bioplastic_extra.xlsx]extra_Bioplastic'!A528)</f>
        <v/>
      </c>
      <c r="B528">
        <f>IF(ISBLANK('Q:\Abteilungsprojekte\Eng\EngData\PROJECT_Bioplastics\Renjie_Pan\05-Raw_Data\Lab_results\[LabSamples2025_Bioplastic_extra.xlsx]extra_Bioplastic'!B528)," ",'Q:\Abteilungsprojekte\Eng\EngData\PROJECT_Bioplastics\Renjie_Pan\05-Raw_Data\Lab_results\[LabSamples2025_Bioplastic_extra.xlsx]extra_Bioplastic'!B528)</f>
        <v/>
      </c>
      <c r="C528">
        <f>IF(ISBLANK('Q:\Abteilungsprojekte\Eng\EngData\PROJECT_Bioplastics\Renjie_Pan\05-Raw_Data\Lab_results\[LabSamples2025_Bioplastic_extra.xlsx]extra_Bioplastic'!C528)," ",'Q:\Abteilungsprojekte\Eng\EngData\PROJECT_Bioplastics\Renjie_Pan\05-Raw_Data\Lab_results\[LabSamples2025_Bioplastic_extra.xlsx]extra_Bioplastic'!C528)</f>
        <v/>
      </c>
      <c r="D528">
        <f>IF(ISBLANK('Q:\Abteilungsprojekte\Eng\EngData\PROJECT_Bioplastics\Renjie_Pan\05-Raw_Data\Lab_results\[LabSamples2025_Bioplastic_extra.xlsx]extra_Bioplastic'!D528)," ",'Q:\Abteilungsprojekte\Eng\EngData\PROJECT_Bioplastics\Renjie_Pan\05-Raw_Data\Lab_results\[LabSamples2025_Bioplastic_extra.xlsx]extra_Bioplastic'!D528)</f>
        <v/>
      </c>
      <c r="E528">
        <f>IF(ISBLANK('Q:\Abteilungsprojekte\Eng\EngData\PROJECT_Bioplastics\Renjie_Pan\05-Raw_Data\Lab_results\[LabSamples2025_Bioplastic_extra.xlsx]extra_Bioplastic'!E528)," ",'Q:\Abteilungsprojekte\Eng\EngData\PROJECT_Bioplastics\Renjie_Pan\05-Raw_Data\Lab_results\[LabSamples2025_Bioplastic_extra.xlsx]extra_Bioplastic'!E528)</f>
        <v/>
      </c>
      <c r="F528">
        <f>IF(ISBLANK('Q:\Abteilungsprojekte\Eng\EngData\PROJECT_Bioplastics\Renjie_Pan\05-Raw_Data\Lab_results\[LabSamples2025_Bioplastic_extra.xlsx]extra_Bioplastic'!F528)," ",'Q:\Abteilungsprojekte\Eng\EngData\PROJECT_Bioplastics\Renjie_Pan\05-Raw_Data\Lab_results\[LabSamples2025_Bioplastic_extra.xlsx]extra_Bioplastic'!F528)</f>
        <v/>
      </c>
      <c r="G528">
        <f>IF(ISBLANK('Q:\Abteilungsprojekte\Eng\EngData\PROJECT_Bioplastics\Renjie_Pan\05-Raw_Data\Lab_results\[LabSamples2025_Bioplastic_extra.xlsx]extra_Bioplastic'!G528)," ",'Q:\Abteilungsprojekte\Eng\EngData\PROJECT_Bioplastics\Renjie_Pan\05-Raw_Data\Lab_results\[LabSamples2025_Bioplastic_extra.xlsx]extra_Bioplastic'!G528)</f>
        <v/>
      </c>
      <c r="H528">
        <f>IF(ISBLANK('Q:\Abteilungsprojekte\Eng\EngData\PROJECT_Bioplastics\Renjie_Pan\05-Raw_Data\Lab_results\[LabSamples2025_Bioplastic_extra.xlsx]extra_Bioplastic'!H528)," ",'Q:\Abteilungsprojekte\Eng\EngData\PROJECT_Bioplastics\Renjie_Pan\05-Raw_Data\Lab_results\[LabSamples2025_Bioplastic_extra.xlsx]extra_Bioplastic'!H528)</f>
        <v/>
      </c>
    </row>
    <row r="529">
      <c r="A529">
        <f>IF(ISBLANK('Q:\Abteilungsprojekte\Eng\EngData\PROJECT_Bioplastics\Renjie_Pan\05-Raw_Data\Lab_results\[LabSamples2025_Bioplastic_extra.xlsx]extra_Bioplastic'!A529)," ",'Q:\Abteilungsprojekte\Eng\EngData\PROJECT_Bioplastics\Renjie_Pan\05-Raw_Data\Lab_results\[LabSamples2025_Bioplastic_extra.xlsx]extra_Bioplastic'!A529)</f>
        <v/>
      </c>
      <c r="B529">
        <f>IF(ISBLANK('Q:\Abteilungsprojekte\Eng\EngData\PROJECT_Bioplastics\Renjie_Pan\05-Raw_Data\Lab_results\[LabSamples2025_Bioplastic_extra.xlsx]extra_Bioplastic'!B529)," ",'Q:\Abteilungsprojekte\Eng\EngData\PROJECT_Bioplastics\Renjie_Pan\05-Raw_Data\Lab_results\[LabSamples2025_Bioplastic_extra.xlsx]extra_Bioplastic'!B529)</f>
        <v/>
      </c>
      <c r="C529">
        <f>IF(ISBLANK('Q:\Abteilungsprojekte\Eng\EngData\PROJECT_Bioplastics\Renjie_Pan\05-Raw_Data\Lab_results\[LabSamples2025_Bioplastic_extra.xlsx]extra_Bioplastic'!C529)," ",'Q:\Abteilungsprojekte\Eng\EngData\PROJECT_Bioplastics\Renjie_Pan\05-Raw_Data\Lab_results\[LabSamples2025_Bioplastic_extra.xlsx]extra_Bioplastic'!C529)</f>
        <v/>
      </c>
      <c r="D529">
        <f>IF(ISBLANK('Q:\Abteilungsprojekte\Eng\EngData\PROJECT_Bioplastics\Renjie_Pan\05-Raw_Data\Lab_results\[LabSamples2025_Bioplastic_extra.xlsx]extra_Bioplastic'!D529)," ",'Q:\Abteilungsprojekte\Eng\EngData\PROJECT_Bioplastics\Renjie_Pan\05-Raw_Data\Lab_results\[LabSamples2025_Bioplastic_extra.xlsx]extra_Bioplastic'!D529)</f>
        <v/>
      </c>
      <c r="E529">
        <f>IF(ISBLANK('Q:\Abteilungsprojekte\Eng\EngData\PROJECT_Bioplastics\Renjie_Pan\05-Raw_Data\Lab_results\[LabSamples2025_Bioplastic_extra.xlsx]extra_Bioplastic'!E529)," ",'Q:\Abteilungsprojekte\Eng\EngData\PROJECT_Bioplastics\Renjie_Pan\05-Raw_Data\Lab_results\[LabSamples2025_Bioplastic_extra.xlsx]extra_Bioplastic'!E529)</f>
        <v/>
      </c>
      <c r="F529">
        <f>IF(ISBLANK('Q:\Abteilungsprojekte\Eng\EngData\PROJECT_Bioplastics\Renjie_Pan\05-Raw_Data\Lab_results\[LabSamples2025_Bioplastic_extra.xlsx]extra_Bioplastic'!F529)," ",'Q:\Abteilungsprojekte\Eng\EngData\PROJECT_Bioplastics\Renjie_Pan\05-Raw_Data\Lab_results\[LabSamples2025_Bioplastic_extra.xlsx]extra_Bioplastic'!F529)</f>
        <v/>
      </c>
      <c r="G529">
        <f>IF(ISBLANK('Q:\Abteilungsprojekte\Eng\EngData\PROJECT_Bioplastics\Renjie_Pan\05-Raw_Data\Lab_results\[LabSamples2025_Bioplastic_extra.xlsx]extra_Bioplastic'!G529)," ",'Q:\Abteilungsprojekte\Eng\EngData\PROJECT_Bioplastics\Renjie_Pan\05-Raw_Data\Lab_results\[LabSamples2025_Bioplastic_extra.xlsx]extra_Bioplastic'!G529)</f>
        <v/>
      </c>
      <c r="H529">
        <f>IF(ISBLANK('Q:\Abteilungsprojekte\Eng\EngData\PROJECT_Bioplastics\Renjie_Pan\05-Raw_Data\Lab_results\[LabSamples2025_Bioplastic_extra.xlsx]extra_Bioplastic'!H529)," ",'Q:\Abteilungsprojekte\Eng\EngData\PROJECT_Bioplastics\Renjie_Pan\05-Raw_Data\Lab_results\[LabSamples2025_Bioplastic_extra.xlsx]extra_Bioplastic'!H529)</f>
        <v/>
      </c>
    </row>
    <row r="530">
      <c r="A530">
        <f>IF(ISBLANK('Q:\Abteilungsprojekte\Eng\EngData\PROJECT_Bioplastics\Renjie_Pan\05-Raw_Data\Lab_results\[LabSamples2025_Bioplastic_extra.xlsx]extra_Bioplastic'!A530)," ",'Q:\Abteilungsprojekte\Eng\EngData\PROJECT_Bioplastics\Renjie_Pan\05-Raw_Data\Lab_results\[LabSamples2025_Bioplastic_extra.xlsx]extra_Bioplastic'!A530)</f>
        <v/>
      </c>
      <c r="B530">
        <f>IF(ISBLANK('Q:\Abteilungsprojekte\Eng\EngData\PROJECT_Bioplastics\Renjie_Pan\05-Raw_Data\Lab_results\[LabSamples2025_Bioplastic_extra.xlsx]extra_Bioplastic'!B530)," ",'Q:\Abteilungsprojekte\Eng\EngData\PROJECT_Bioplastics\Renjie_Pan\05-Raw_Data\Lab_results\[LabSamples2025_Bioplastic_extra.xlsx]extra_Bioplastic'!B530)</f>
        <v/>
      </c>
      <c r="C530">
        <f>IF(ISBLANK('Q:\Abteilungsprojekte\Eng\EngData\PROJECT_Bioplastics\Renjie_Pan\05-Raw_Data\Lab_results\[LabSamples2025_Bioplastic_extra.xlsx]extra_Bioplastic'!C530)," ",'Q:\Abteilungsprojekte\Eng\EngData\PROJECT_Bioplastics\Renjie_Pan\05-Raw_Data\Lab_results\[LabSamples2025_Bioplastic_extra.xlsx]extra_Bioplastic'!C530)</f>
        <v/>
      </c>
      <c r="D530">
        <f>IF(ISBLANK('Q:\Abteilungsprojekte\Eng\EngData\PROJECT_Bioplastics\Renjie_Pan\05-Raw_Data\Lab_results\[LabSamples2025_Bioplastic_extra.xlsx]extra_Bioplastic'!D530)," ",'Q:\Abteilungsprojekte\Eng\EngData\PROJECT_Bioplastics\Renjie_Pan\05-Raw_Data\Lab_results\[LabSamples2025_Bioplastic_extra.xlsx]extra_Bioplastic'!D530)</f>
        <v/>
      </c>
      <c r="E530">
        <f>IF(ISBLANK('Q:\Abteilungsprojekte\Eng\EngData\PROJECT_Bioplastics\Renjie_Pan\05-Raw_Data\Lab_results\[LabSamples2025_Bioplastic_extra.xlsx]extra_Bioplastic'!E530)," ",'Q:\Abteilungsprojekte\Eng\EngData\PROJECT_Bioplastics\Renjie_Pan\05-Raw_Data\Lab_results\[LabSamples2025_Bioplastic_extra.xlsx]extra_Bioplastic'!E530)</f>
        <v/>
      </c>
      <c r="F530">
        <f>IF(ISBLANK('Q:\Abteilungsprojekte\Eng\EngData\PROJECT_Bioplastics\Renjie_Pan\05-Raw_Data\Lab_results\[LabSamples2025_Bioplastic_extra.xlsx]extra_Bioplastic'!F530)," ",'Q:\Abteilungsprojekte\Eng\EngData\PROJECT_Bioplastics\Renjie_Pan\05-Raw_Data\Lab_results\[LabSamples2025_Bioplastic_extra.xlsx]extra_Bioplastic'!F530)</f>
        <v/>
      </c>
      <c r="G530">
        <f>IF(ISBLANK('Q:\Abteilungsprojekte\Eng\EngData\PROJECT_Bioplastics\Renjie_Pan\05-Raw_Data\Lab_results\[LabSamples2025_Bioplastic_extra.xlsx]extra_Bioplastic'!G530)," ",'Q:\Abteilungsprojekte\Eng\EngData\PROJECT_Bioplastics\Renjie_Pan\05-Raw_Data\Lab_results\[LabSamples2025_Bioplastic_extra.xlsx]extra_Bioplastic'!G530)</f>
        <v/>
      </c>
      <c r="H530">
        <f>IF(ISBLANK('Q:\Abteilungsprojekte\Eng\EngData\PROJECT_Bioplastics\Renjie_Pan\05-Raw_Data\Lab_results\[LabSamples2025_Bioplastic_extra.xlsx]extra_Bioplastic'!H530)," ",'Q:\Abteilungsprojekte\Eng\EngData\PROJECT_Bioplastics\Renjie_Pan\05-Raw_Data\Lab_results\[LabSamples2025_Bioplastic_extra.xlsx]extra_Bioplastic'!H530)</f>
        <v/>
      </c>
    </row>
    <row r="531">
      <c r="A531">
        <f>IF(ISBLANK('Q:\Abteilungsprojekte\Eng\EngData\PROJECT_Bioplastics\Renjie_Pan\05-Raw_Data\Lab_results\[LabSamples2025_Bioplastic_extra.xlsx]extra_Bioplastic'!A531)," ",'Q:\Abteilungsprojekte\Eng\EngData\PROJECT_Bioplastics\Renjie_Pan\05-Raw_Data\Lab_results\[LabSamples2025_Bioplastic_extra.xlsx]extra_Bioplastic'!A531)</f>
        <v/>
      </c>
      <c r="B531">
        <f>IF(ISBLANK('Q:\Abteilungsprojekte\Eng\EngData\PROJECT_Bioplastics\Renjie_Pan\05-Raw_Data\Lab_results\[LabSamples2025_Bioplastic_extra.xlsx]extra_Bioplastic'!B531)," ",'Q:\Abteilungsprojekte\Eng\EngData\PROJECT_Bioplastics\Renjie_Pan\05-Raw_Data\Lab_results\[LabSamples2025_Bioplastic_extra.xlsx]extra_Bioplastic'!B531)</f>
        <v/>
      </c>
      <c r="C531">
        <f>IF(ISBLANK('Q:\Abteilungsprojekte\Eng\EngData\PROJECT_Bioplastics\Renjie_Pan\05-Raw_Data\Lab_results\[LabSamples2025_Bioplastic_extra.xlsx]extra_Bioplastic'!C531)," ",'Q:\Abteilungsprojekte\Eng\EngData\PROJECT_Bioplastics\Renjie_Pan\05-Raw_Data\Lab_results\[LabSamples2025_Bioplastic_extra.xlsx]extra_Bioplastic'!C531)</f>
        <v/>
      </c>
      <c r="D531">
        <f>IF(ISBLANK('Q:\Abteilungsprojekte\Eng\EngData\PROJECT_Bioplastics\Renjie_Pan\05-Raw_Data\Lab_results\[LabSamples2025_Bioplastic_extra.xlsx]extra_Bioplastic'!D531)," ",'Q:\Abteilungsprojekte\Eng\EngData\PROJECT_Bioplastics\Renjie_Pan\05-Raw_Data\Lab_results\[LabSamples2025_Bioplastic_extra.xlsx]extra_Bioplastic'!D531)</f>
        <v/>
      </c>
      <c r="E531">
        <f>IF(ISBLANK('Q:\Abteilungsprojekte\Eng\EngData\PROJECT_Bioplastics\Renjie_Pan\05-Raw_Data\Lab_results\[LabSamples2025_Bioplastic_extra.xlsx]extra_Bioplastic'!E531)," ",'Q:\Abteilungsprojekte\Eng\EngData\PROJECT_Bioplastics\Renjie_Pan\05-Raw_Data\Lab_results\[LabSamples2025_Bioplastic_extra.xlsx]extra_Bioplastic'!E531)</f>
        <v/>
      </c>
      <c r="F531">
        <f>IF(ISBLANK('Q:\Abteilungsprojekte\Eng\EngData\PROJECT_Bioplastics\Renjie_Pan\05-Raw_Data\Lab_results\[LabSamples2025_Bioplastic_extra.xlsx]extra_Bioplastic'!F531)," ",'Q:\Abteilungsprojekte\Eng\EngData\PROJECT_Bioplastics\Renjie_Pan\05-Raw_Data\Lab_results\[LabSamples2025_Bioplastic_extra.xlsx]extra_Bioplastic'!F531)</f>
        <v/>
      </c>
      <c r="G531">
        <f>IF(ISBLANK('Q:\Abteilungsprojekte\Eng\EngData\PROJECT_Bioplastics\Renjie_Pan\05-Raw_Data\Lab_results\[LabSamples2025_Bioplastic_extra.xlsx]extra_Bioplastic'!G531)," ",'Q:\Abteilungsprojekte\Eng\EngData\PROJECT_Bioplastics\Renjie_Pan\05-Raw_Data\Lab_results\[LabSamples2025_Bioplastic_extra.xlsx]extra_Bioplastic'!G531)</f>
        <v/>
      </c>
      <c r="H531">
        <f>IF(ISBLANK('Q:\Abteilungsprojekte\Eng\EngData\PROJECT_Bioplastics\Renjie_Pan\05-Raw_Data\Lab_results\[LabSamples2025_Bioplastic_extra.xlsx]extra_Bioplastic'!H531)," ",'Q:\Abteilungsprojekte\Eng\EngData\PROJECT_Bioplastics\Renjie_Pan\05-Raw_Data\Lab_results\[LabSamples2025_Bioplastic_extra.xlsx]extra_Bioplastic'!H531)</f>
        <v/>
      </c>
    </row>
    <row r="532">
      <c r="A532">
        <f>IF(ISBLANK('Q:\Abteilungsprojekte\Eng\EngData\PROJECT_Bioplastics\Renjie_Pan\05-Raw_Data\Lab_results\[LabSamples2025_Bioplastic_extra.xlsx]extra_Bioplastic'!A532)," ",'Q:\Abteilungsprojekte\Eng\EngData\PROJECT_Bioplastics\Renjie_Pan\05-Raw_Data\Lab_results\[LabSamples2025_Bioplastic_extra.xlsx]extra_Bioplastic'!A532)</f>
        <v/>
      </c>
      <c r="B532">
        <f>IF(ISBLANK('Q:\Abteilungsprojekte\Eng\EngData\PROJECT_Bioplastics\Renjie_Pan\05-Raw_Data\Lab_results\[LabSamples2025_Bioplastic_extra.xlsx]extra_Bioplastic'!B532)," ",'Q:\Abteilungsprojekte\Eng\EngData\PROJECT_Bioplastics\Renjie_Pan\05-Raw_Data\Lab_results\[LabSamples2025_Bioplastic_extra.xlsx]extra_Bioplastic'!B532)</f>
        <v/>
      </c>
      <c r="C532">
        <f>IF(ISBLANK('Q:\Abteilungsprojekte\Eng\EngData\PROJECT_Bioplastics\Renjie_Pan\05-Raw_Data\Lab_results\[LabSamples2025_Bioplastic_extra.xlsx]extra_Bioplastic'!C532)," ",'Q:\Abteilungsprojekte\Eng\EngData\PROJECT_Bioplastics\Renjie_Pan\05-Raw_Data\Lab_results\[LabSamples2025_Bioplastic_extra.xlsx]extra_Bioplastic'!C532)</f>
        <v/>
      </c>
      <c r="D532">
        <f>IF(ISBLANK('Q:\Abteilungsprojekte\Eng\EngData\PROJECT_Bioplastics\Renjie_Pan\05-Raw_Data\Lab_results\[LabSamples2025_Bioplastic_extra.xlsx]extra_Bioplastic'!D532)," ",'Q:\Abteilungsprojekte\Eng\EngData\PROJECT_Bioplastics\Renjie_Pan\05-Raw_Data\Lab_results\[LabSamples2025_Bioplastic_extra.xlsx]extra_Bioplastic'!D532)</f>
        <v/>
      </c>
      <c r="E532">
        <f>IF(ISBLANK('Q:\Abteilungsprojekte\Eng\EngData\PROJECT_Bioplastics\Renjie_Pan\05-Raw_Data\Lab_results\[LabSamples2025_Bioplastic_extra.xlsx]extra_Bioplastic'!E532)," ",'Q:\Abteilungsprojekte\Eng\EngData\PROJECT_Bioplastics\Renjie_Pan\05-Raw_Data\Lab_results\[LabSamples2025_Bioplastic_extra.xlsx]extra_Bioplastic'!E532)</f>
        <v/>
      </c>
      <c r="F532">
        <f>IF(ISBLANK('Q:\Abteilungsprojekte\Eng\EngData\PROJECT_Bioplastics\Renjie_Pan\05-Raw_Data\Lab_results\[LabSamples2025_Bioplastic_extra.xlsx]extra_Bioplastic'!F532)," ",'Q:\Abteilungsprojekte\Eng\EngData\PROJECT_Bioplastics\Renjie_Pan\05-Raw_Data\Lab_results\[LabSamples2025_Bioplastic_extra.xlsx]extra_Bioplastic'!F532)</f>
        <v/>
      </c>
      <c r="G532">
        <f>IF(ISBLANK('Q:\Abteilungsprojekte\Eng\EngData\PROJECT_Bioplastics\Renjie_Pan\05-Raw_Data\Lab_results\[LabSamples2025_Bioplastic_extra.xlsx]extra_Bioplastic'!G532)," ",'Q:\Abteilungsprojekte\Eng\EngData\PROJECT_Bioplastics\Renjie_Pan\05-Raw_Data\Lab_results\[LabSamples2025_Bioplastic_extra.xlsx]extra_Bioplastic'!G532)</f>
        <v/>
      </c>
      <c r="H532">
        <f>IF(ISBLANK('Q:\Abteilungsprojekte\Eng\EngData\PROJECT_Bioplastics\Renjie_Pan\05-Raw_Data\Lab_results\[LabSamples2025_Bioplastic_extra.xlsx]extra_Bioplastic'!H532)," ",'Q:\Abteilungsprojekte\Eng\EngData\PROJECT_Bioplastics\Renjie_Pan\05-Raw_Data\Lab_results\[LabSamples2025_Bioplastic_extra.xlsx]extra_Bioplastic'!H532)</f>
        <v/>
      </c>
    </row>
    <row r="533">
      <c r="A533">
        <f>IF(ISBLANK('Q:\Abteilungsprojekte\Eng\EngData\PROJECT_Bioplastics\Renjie_Pan\05-Raw_Data\Lab_results\[LabSamples2025_Bioplastic_extra.xlsx]extra_Bioplastic'!A533)," ",'Q:\Abteilungsprojekte\Eng\EngData\PROJECT_Bioplastics\Renjie_Pan\05-Raw_Data\Lab_results\[LabSamples2025_Bioplastic_extra.xlsx]extra_Bioplastic'!A533)</f>
        <v/>
      </c>
      <c r="B533">
        <f>IF(ISBLANK('Q:\Abteilungsprojekte\Eng\EngData\PROJECT_Bioplastics\Renjie_Pan\05-Raw_Data\Lab_results\[LabSamples2025_Bioplastic_extra.xlsx]extra_Bioplastic'!B533)," ",'Q:\Abteilungsprojekte\Eng\EngData\PROJECT_Bioplastics\Renjie_Pan\05-Raw_Data\Lab_results\[LabSamples2025_Bioplastic_extra.xlsx]extra_Bioplastic'!B533)</f>
        <v/>
      </c>
      <c r="C533">
        <f>IF(ISBLANK('Q:\Abteilungsprojekte\Eng\EngData\PROJECT_Bioplastics\Renjie_Pan\05-Raw_Data\Lab_results\[LabSamples2025_Bioplastic_extra.xlsx]extra_Bioplastic'!C533)," ",'Q:\Abteilungsprojekte\Eng\EngData\PROJECT_Bioplastics\Renjie_Pan\05-Raw_Data\Lab_results\[LabSamples2025_Bioplastic_extra.xlsx]extra_Bioplastic'!C533)</f>
        <v/>
      </c>
      <c r="D533">
        <f>IF(ISBLANK('Q:\Abteilungsprojekte\Eng\EngData\PROJECT_Bioplastics\Renjie_Pan\05-Raw_Data\Lab_results\[LabSamples2025_Bioplastic_extra.xlsx]extra_Bioplastic'!D533)," ",'Q:\Abteilungsprojekte\Eng\EngData\PROJECT_Bioplastics\Renjie_Pan\05-Raw_Data\Lab_results\[LabSamples2025_Bioplastic_extra.xlsx]extra_Bioplastic'!D533)</f>
        <v/>
      </c>
      <c r="E533">
        <f>IF(ISBLANK('Q:\Abteilungsprojekte\Eng\EngData\PROJECT_Bioplastics\Renjie_Pan\05-Raw_Data\Lab_results\[LabSamples2025_Bioplastic_extra.xlsx]extra_Bioplastic'!E533)," ",'Q:\Abteilungsprojekte\Eng\EngData\PROJECT_Bioplastics\Renjie_Pan\05-Raw_Data\Lab_results\[LabSamples2025_Bioplastic_extra.xlsx]extra_Bioplastic'!E533)</f>
        <v/>
      </c>
      <c r="F533">
        <f>IF(ISBLANK('Q:\Abteilungsprojekte\Eng\EngData\PROJECT_Bioplastics\Renjie_Pan\05-Raw_Data\Lab_results\[LabSamples2025_Bioplastic_extra.xlsx]extra_Bioplastic'!F533)," ",'Q:\Abteilungsprojekte\Eng\EngData\PROJECT_Bioplastics\Renjie_Pan\05-Raw_Data\Lab_results\[LabSamples2025_Bioplastic_extra.xlsx]extra_Bioplastic'!F533)</f>
        <v/>
      </c>
      <c r="G533">
        <f>IF(ISBLANK('Q:\Abteilungsprojekte\Eng\EngData\PROJECT_Bioplastics\Renjie_Pan\05-Raw_Data\Lab_results\[LabSamples2025_Bioplastic_extra.xlsx]extra_Bioplastic'!G533)," ",'Q:\Abteilungsprojekte\Eng\EngData\PROJECT_Bioplastics\Renjie_Pan\05-Raw_Data\Lab_results\[LabSamples2025_Bioplastic_extra.xlsx]extra_Bioplastic'!G533)</f>
        <v/>
      </c>
      <c r="H533">
        <f>IF(ISBLANK('Q:\Abteilungsprojekte\Eng\EngData\PROJECT_Bioplastics\Renjie_Pan\05-Raw_Data\Lab_results\[LabSamples2025_Bioplastic_extra.xlsx]extra_Bioplastic'!H533)," ",'Q:\Abteilungsprojekte\Eng\EngData\PROJECT_Bioplastics\Renjie_Pan\05-Raw_Data\Lab_results\[LabSamples2025_Bioplastic_extra.xlsx]extra_Bioplastic'!H533)</f>
        <v/>
      </c>
    </row>
    <row r="534">
      <c r="A534">
        <f>IF(ISBLANK('Q:\Abteilungsprojekte\Eng\EngData\PROJECT_Bioplastics\Renjie_Pan\05-Raw_Data\Lab_results\[LabSamples2025_Bioplastic_extra.xlsx]extra_Bioplastic'!A534)," ",'Q:\Abteilungsprojekte\Eng\EngData\PROJECT_Bioplastics\Renjie_Pan\05-Raw_Data\Lab_results\[LabSamples2025_Bioplastic_extra.xlsx]extra_Bioplastic'!A534)</f>
        <v/>
      </c>
      <c r="B534">
        <f>IF(ISBLANK('Q:\Abteilungsprojekte\Eng\EngData\PROJECT_Bioplastics\Renjie_Pan\05-Raw_Data\Lab_results\[LabSamples2025_Bioplastic_extra.xlsx]extra_Bioplastic'!B534)," ",'Q:\Abteilungsprojekte\Eng\EngData\PROJECT_Bioplastics\Renjie_Pan\05-Raw_Data\Lab_results\[LabSamples2025_Bioplastic_extra.xlsx]extra_Bioplastic'!B534)</f>
        <v/>
      </c>
      <c r="C534">
        <f>IF(ISBLANK('Q:\Abteilungsprojekte\Eng\EngData\PROJECT_Bioplastics\Renjie_Pan\05-Raw_Data\Lab_results\[LabSamples2025_Bioplastic_extra.xlsx]extra_Bioplastic'!C534)," ",'Q:\Abteilungsprojekte\Eng\EngData\PROJECT_Bioplastics\Renjie_Pan\05-Raw_Data\Lab_results\[LabSamples2025_Bioplastic_extra.xlsx]extra_Bioplastic'!C534)</f>
        <v/>
      </c>
      <c r="D534">
        <f>IF(ISBLANK('Q:\Abteilungsprojekte\Eng\EngData\PROJECT_Bioplastics\Renjie_Pan\05-Raw_Data\Lab_results\[LabSamples2025_Bioplastic_extra.xlsx]extra_Bioplastic'!D534)," ",'Q:\Abteilungsprojekte\Eng\EngData\PROJECT_Bioplastics\Renjie_Pan\05-Raw_Data\Lab_results\[LabSamples2025_Bioplastic_extra.xlsx]extra_Bioplastic'!D534)</f>
        <v/>
      </c>
      <c r="E534">
        <f>IF(ISBLANK('Q:\Abteilungsprojekte\Eng\EngData\PROJECT_Bioplastics\Renjie_Pan\05-Raw_Data\Lab_results\[LabSamples2025_Bioplastic_extra.xlsx]extra_Bioplastic'!E534)," ",'Q:\Abteilungsprojekte\Eng\EngData\PROJECT_Bioplastics\Renjie_Pan\05-Raw_Data\Lab_results\[LabSamples2025_Bioplastic_extra.xlsx]extra_Bioplastic'!E534)</f>
        <v/>
      </c>
      <c r="F534">
        <f>IF(ISBLANK('Q:\Abteilungsprojekte\Eng\EngData\PROJECT_Bioplastics\Renjie_Pan\05-Raw_Data\Lab_results\[LabSamples2025_Bioplastic_extra.xlsx]extra_Bioplastic'!F534)," ",'Q:\Abteilungsprojekte\Eng\EngData\PROJECT_Bioplastics\Renjie_Pan\05-Raw_Data\Lab_results\[LabSamples2025_Bioplastic_extra.xlsx]extra_Bioplastic'!F534)</f>
        <v/>
      </c>
      <c r="G534">
        <f>IF(ISBLANK('Q:\Abteilungsprojekte\Eng\EngData\PROJECT_Bioplastics\Renjie_Pan\05-Raw_Data\Lab_results\[LabSamples2025_Bioplastic_extra.xlsx]extra_Bioplastic'!G534)," ",'Q:\Abteilungsprojekte\Eng\EngData\PROJECT_Bioplastics\Renjie_Pan\05-Raw_Data\Lab_results\[LabSamples2025_Bioplastic_extra.xlsx]extra_Bioplastic'!G534)</f>
        <v/>
      </c>
      <c r="H534">
        <f>IF(ISBLANK('Q:\Abteilungsprojekte\Eng\EngData\PROJECT_Bioplastics\Renjie_Pan\05-Raw_Data\Lab_results\[LabSamples2025_Bioplastic_extra.xlsx]extra_Bioplastic'!H534)," ",'Q:\Abteilungsprojekte\Eng\EngData\PROJECT_Bioplastics\Renjie_Pan\05-Raw_Data\Lab_results\[LabSamples2025_Bioplastic_extra.xlsx]extra_Bioplastic'!H534)</f>
        <v/>
      </c>
    </row>
    <row r="535">
      <c r="A535">
        <f>IF(ISBLANK('Q:\Abteilungsprojekte\Eng\EngData\PROJECT_Bioplastics\Renjie_Pan\05-Raw_Data\Lab_results\[LabSamples2025_Bioplastic_extra.xlsx]extra_Bioplastic'!A535)," ",'Q:\Abteilungsprojekte\Eng\EngData\PROJECT_Bioplastics\Renjie_Pan\05-Raw_Data\Lab_results\[LabSamples2025_Bioplastic_extra.xlsx]extra_Bioplastic'!A535)</f>
        <v/>
      </c>
      <c r="B535">
        <f>IF(ISBLANK('Q:\Abteilungsprojekte\Eng\EngData\PROJECT_Bioplastics\Renjie_Pan\05-Raw_Data\Lab_results\[LabSamples2025_Bioplastic_extra.xlsx]extra_Bioplastic'!B535)," ",'Q:\Abteilungsprojekte\Eng\EngData\PROJECT_Bioplastics\Renjie_Pan\05-Raw_Data\Lab_results\[LabSamples2025_Bioplastic_extra.xlsx]extra_Bioplastic'!B535)</f>
        <v/>
      </c>
      <c r="C535">
        <f>IF(ISBLANK('Q:\Abteilungsprojekte\Eng\EngData\PROJECT_Bioplastics\Renjie_Pan\05-Raw_Data\Lab_results\[LabSamples2025_Bioplastic_extra.xlsx]extra_Bioplastic'!C535)," ",'Q:\Abteilungsprojekte\Eng\EngData\PROJECT_Bioplastics\Renjie_Pan\05-Raw_Data\Lab_results\[LabSamples2025_Bioplastic_extra.xlsx]extra_Bioplastic'!C535)</f>
        <v/>
      </c>
      <c r="D535">
        <f>IF(ISBLANK('Q:\Abteilungsprojekte\Eng\EngData\PROJECT_Bioplastics\Renjie_Pan\05-Raw_Data\Lab_results\[LabSamples2025_Bioplastic_extra.xlsx]extra_Bioplastic'!D535)," ",'Q:\Abteilungsprojekte\Eng\EngData\PROJECT_Bioplastics\Renjie_Pan\05-Raw_Data\Lab_results\[LabSamples2025_Bioplastic_extra.xlsx]extra_Bioplastic'!D535)</f>
        <v/>
      </c>
      <c r="E535">
        <f>IF(ISBLANK('Q:\Abteilungsprojekte\Eng\EngData\PROJECT_Bioplastics\Renjie_Pan\05-Raw_Data\Lab_results\[LabSamples2025_Bioplastic_extra.xlsx]extra_Bioplastic'!E535)," ",'Q:\Abteilungsprojekte\Eng\EngData\PROJECT_Bioplastics\Renjie_Pan\05-Raw_Data\Lab_results\[LabSamples2025_Bioplastic_extra.xlsx]extra_Bioplastic'!E535)</f>
        <v/>
      </c>
      <c r="F535">
        <f>IF(ISBLANK('Q:\Abteilungsprojekte\Eng\EngData\PROJECT_Bioplastics\Renjie_Pan\05-Raw_Data\Lab_results\[LabSamples2025_Bioplastic_extra.xlsx]extra_Bioplastic'!F535)," ",'Q:\Abteilungsprojekte\Eng\EngData\PROJECT_Bioplastics\Renjie_Pan\05-Raw_Data\Lab_results\[LabSamples2025_Bioplastic_extra.xlsx]extra_Bioplastic'!F535)</f>
        <v/>
      </c>
      <c r="G535">
        <f>IF(ISBLANK('Q:\Abteilungsprojekte\Eng\EngData\PROJECT_Bioplastics\Renjie_Pan\05-Raw_Data\Lab_results\[LabSamples2025_Bioplastic_extra.xlsx]extra_Bioplastic'!G535)," ",'Q:\Abteilungsprojekte\Eng\EngData\PROJECT_Bioplastics\Renjie_Pan\05-Raw_Data\Lab_results\[LabSamples2025_Bioplastic_extra.xlsx]extra_Bioplastic'!G535)</f>
        <v/>
      </c>
      <c r="H535">
        <f>IF(ISBLANK('Q:\Abteilungsprojekte\Eng\EngData\PROJECT_Bioplastics\Renjie_Pan\05-Raw_Data\Lab_results\[LabSamples2025_Bioplastic_extra.xlsx]extra_Bioplastic'!H535)," ",'Q:\Abteilungsprojekte\Eng\EngData\PROJECT_Bioplastics\Renjie_Pan\05-Raw_Data\Lab_results\[LabSamples2025_Bioplastic_extra.xlsx]extra_Bioplastic'!H535)</f>
        <v/>
      </c>
    </row>
    <row r="536">
      <c r="A536">
        <f>IF(ISBLANK('Q:\Abteilungsprojekte\Eng\EngData\PROJECT_Bioplastics\Renjie_Pan\05-Raw_Data\Lab_results\[LabSamples2025_Bioplastic_extra.xlsx]extra_Bioplastic'!A536)," ",'Q:\Abteilungsprojekte\Eng\EngData\PROJECT_Bioplastics\Renjie_Pan\05-Raw_Data\Lab_results\[LabSamples2025_Bioplastic_extra.xlsx]extra_Bioplastic'!A536)</f>
        <v/>
      </c>
      <c r="B536">
        <f>IF(ISBLANK('Q:\Abteilungsprojekte\Eng\EngData\PROJECT_Bioplastics\Renjie_Pan\05-Raw_Data\Lab_results\[LabSamples2025_Bioplastic_extra.xlsx]extra_Bioplastic'!B536)," ",'Q:\Abteilungsprojekte\Eng\EngData\PROJECT_Bioplastics\Renjie_Pan\05-Raw_Data\Lab_results\[LabSamples2025_Bioplastic_extra.xlsx]extra_Bioplastic'!B536)</f>
        <v/>
      </c>
      <c r="C536">
        <f>IF(ISBLANK('Q:\Abteilungsprojekte\Eng\EngData\PROJECT_Bioplastics\Renjie_Pan\05-Raw_Data\Lab_results\[LabSamples2025_Bioplastic_extra.xlsx]extra_Bioplastic'!C536)," ",'Q:\Abteilungsprojekte\Eng\EngData\PROJECT_Bioplastics\Renjie_Pan\05-Raw_Data\Lab_results\[LabSamples2025_Bioplastic_extra.xlsx]extra_Bioplastic'!C536)</f>
        <v/>
      </c>
      <c r="D536">
        <f>IF(ISBLANK('Q:\Abteilungsprojekte\Eng\EngData\PROJECT_Bioplastics\Renjie_Pan\05-Raw_Data\Lab_results\[LabSamples2025_Bioplastic_extra.xlsx]extra_Bioplastic'!D536)," ",'Q:\Abteilungsprojekte\Eng\EngData\PROJECT_Bioplastics\Renjie_Pan\05-Raw_Data\Lab_results\[LabSamples2025_Bioplastic_extra.xlsx]extra_Bioplastic'!D536)</f>
        <v/>
      </c>
      <c r="E536">
        <f>IF(ISBLANK('Q:\Abteilungsprojekte\Eng\EngData\PROJECT_Bioplastics\Renjie_Pan\05-Raw_Data\Lab_results\[LabSamples2025_Bioplastic_extra.xlsx]extra_Bioplastic'!E536)," ",'Q:\Abteilungsprojekte\Eng\EngData\PROJECT_Bioplastics\Renjie_Pan\05-Raw_Data\Lab_results\[LabSamples2025_Bioplastic_extra.xlsx]extra_Bioplastic'!E536)</f>
        <v/>
      </c>
      <c r="F536">
        <f>IF(ISBLANK('Q:\Abteilungsprojekte\Eng\EngData\PROJECT_Bioplastics\Renjie_Pan\05-Raw_Data\Lab_results\[LabSamples2025_Bioplastic_extra.xlsx]extra_Bioplastic'!F536)," ",'Q:\Abteilungsprojekte\Eng\EngData\PROJECT_Bioplastics\Renjie_Pan\05-Raw_Data\Lab_results\[LabSamples2025_Bioplastic_extra.xlsx]extra_Bioplastic'!F536)</f>
        <v/>
      </c>
      <c r="G536">
        <f>IF(ISBLANK('Q:\Abteilungsprojekte\Eng\EngData\PROJECT_Bioplastics\Renjie_Pan\05-Raw_Data\Lab_results\[LabSamples2025_Bioplastic_extra.xlsx]extra_Bioplastic'!G536)," ",'Q:\Abteilungsprojekte\Eng\EngData\PROJECT_Bioplastics\Renjie_Pan\05-Raw_Data\Lab_results\[LabSamples2025_Bioplastic_extra.xlsx]extra_Bioplastic'!G536)</f>
        <v/>
      </c>
      <c r="H536">
        <f>IF(ISBLANK('Q:\Abteilungsprojekte\Eng\EngData\PROJECT_Bioplastics\Renjie_Pan\05-Raw_Data\Lab_results\[LabSamples2025_Bioplastic_extra.xlsx]extra_Bioplastic'!H536)," ",'Q:\Abteilungsprojekte\Eng\EngData\PROJECT_Bioplastics\Renjie_Pan\05-Raw_Data\Lab_results\[LabSamples2025_Bioplastic_extra.xlsx]extra_Bioplastic'!H536)</f>
        <v/>
      </c>
    </row>
    <row r="537">
      <c r="A537">
        <f>IF(ISBLANK('Q:\Abteilungsprojekte\Eng\EngData\PROJECT_Bioplastics\Renjie_Pan\05-Raw_Data\Lab_results\[LabSamples2025_Bioplastic_extra.xlsx]extra_Bioplastic'!A537)," ",'Q:\Abteilungsprojekte\Eng\EngData\PROJECT_Bioplastics\Renjie_Pan\05-Raw_Data\Lab_results\[LabSamples2025_Bioplastic_extra.xlsx]extra_Bioplastic'!A537)</f>
        <v/>
      </c>
      <c r="B537">
        <f>IF(ISBLANK('Q:\Abteilungsprojekte\Eng\EngData\PROJECT_Bioplastics\Renjie_Pan\05-Raw_Data\Lab_results\[LabSamples2025_Bioplastic_extra.xlsx]extra_Bioplastic'!B537)," ",'Q:\Abteilungsprojekte\Eng\EngData\PROJECT_Bioplastics\Renjie_Pan\05-Raw_Data\Lab_results\[LabSamples2025_Bioplastic_extra.xlsx]extra_Bioplastic'!B537)</f>
        <v/>
      </c>
      <c r="C537">
        <f>IF(ISBLANK('Q:\Abteilungsprojekte\Eng\EngData\PROJECT_Bioplastics\Renjie_Pan\05-Raw_Data\Lab_results\[LabSamples2025_Bioplastic_extra.xlsx]extra_Bioplastic'!C537)," ",'Q:\Abteilungsprojekte\Eng\EngData\PROJECT_Bioplastics\Renjie_Pan\05-Raw_Data\Lab_results\[LabSamples2025_Bioplastic_extra.xlsx]extra_Bioplastic'!C537)</f>
        <v/>
      </c>
      <c r="D537">
        <f>IF(ISBLANK('Q:\Abteilungsprojekte\Eng\EngData\PROJECT_Bioplastics\Renjie_Pan\05-Raw_Data\Lab_results\[LabSamples2025_Bioplastic_extra.xlsx]extra_Bioplastic'!D537)," ",'Q:\Abteilungsprojekte\Eng\EngData\PROJECT_Bioplastics\Renjie_Pan\05-Raw_Data\Lab_results\[LabSamples2025_Bioplastic_extra.xlsx]extra_Bioplastic'!D537)</f>
        <v/>
      </c>
      <c r="E537">
        <f>IF(ISBLANK('Q:\Abteilungsprojekte\Eng\EngData\PROJECT_Bioplastics\Renjie_Pan\05-Raw_Data\Lab_results\[LabSamples2025_Bioplastic_extra.xlsx]extra_Bioplastic'!E537)," ",'Q:\Abteilungsprojekte\Eng\EngData\PROJECT_Bioplastics\Renjie_Pan\05-Raw_Data\Lab_results\[LabSamples2025_Bioplastic_extra.xlsx]extra_Bioplastic'!E537)</f>
        <v/>
      </c>
      <c r="F537">
        <f>IF(ISBLANK('Q:\Abteilungsprojekte\Eng\EngData\PROJECT_Bioplastics\Renjie_Pan\05-Raw_Data\Lab_results\[LabSamples2025_Bioplastic_extra.xlsx]extra_Bioplastic'!F537)," ",'Q:\Abteilungsprojekte\Eng\EngData\PROJECT_Bioplastics\Renjie_Pan\05-Raw_Data\Lab_results\[LabSamples2025_Bioplastic_extra.xlsx]extra_Bioplastic'!F537)</f>
        <v/>
      </c>
      <c r="G537">
        <f>IF(ISBLANK('Q:\Abteilungsprojekte\Eng\EngData\PROJECT_Bioplastics\Renjie_Pan\05-Raw_Data\Lab_results\[LabSamples2025_Bioplastic_extra.xlsx]extra_Bioplastic'!G537)," ",'Q:\Abteilungsprojekte\Eng\EngData\PROJECT_Bioplastics\Renjie_Pan\05-Raw_Data\Lab_results\[LabSamples2025_Bioplastic_extra.xlsx]extra_Bioplastic'!G537)</f>
        <v/>
      </c>
      <c r="H537">
        <f>IF(ISBLANK('Q:\Abteilungsprojekte\Eng\EngData\PROJECT_Bioplastics\Renjie_Pan\05-Raw_Data\Lab_results\[LabSamples2025_Bioplastic_extra.xlsx]extra_Bioplastic'!H537)," ",'Q:\Abteilungsprojekte\Eng\EngData\PROJECT_Bioplastics\Renjie_Pan\05-Raw_Data\Lab_results\[LabSamples2025_Bioplastic_extra.xlsx]extra_Bioplastic'!H537)</f>
        <v/>
      </c>
    </row>
    <row r="538">
      <c r="A538">
        <f>IF(ISBLANK('Q:\Abteilungsprojekte\Eng\EngData\PROJECT_Bioplastics\Renjie_Pan\05-Raw_Data\Lab_results\[LabSamples2025_Bioplastic_extra.xlsx]extra_Bioplastic'!A538)," ",'Q:\Abteilungsprojekte\Eng\EngData\PROJECT_Bioplastics\Renjie_Pan\05-Raw_Data\Lab_results\[LabSamples2025_Bioplastic_extra.xlsx]extra_Bioplastic'!A538)</f>
        <v/>
      </c>
      <c r="B538">
        <f>IF(ISBLANK('Q:\Abteilungsprojekte\Eng\EngData\PROJECT_Bioplastics\Renjie_Pan\05-Raw_Data\Lab_results\[LabSamples2025_Bioplastic_extra.xlsx]extra_Bioplastic'!B538)," ",'Q:\Abteilungsprojekte\Eng\EngData\PROJECT_Bioplastics\Renjie_Pan\05-Raw_Data\Lab_results\[LabSamples2025_Bioplastic_extra.xlsx]extra_Bioplastic'!B538)</f>
        <v/>
      </c>
      <c r="C538">
        <f>IF(ISBLANK('Q:\Abteilungsprojekte\Eng\EngData\PROJECT_Bioplastics\Renjie_Pan\05-Raw_Data\Lab_results\[LabSamples2025_Bioplastic_extra.xlsx]extra_Bioplastic'!C538)," ",'Q:\Abteilungsprojekte\Eng\EngData\PROJECT_Bioplastics\Renjie_Pan\05-Raw_Data\Lab_results\[LabSamples2025_Bioplastic_extra.xlsx]extra_Bioplastic'!C538)</f>
        <v/>
      </c>
      <c r="D538">
        <f>IF(ISBLANK('Q:\Abteilungsprojekte\Eng\EngData\PROJECT_Bioplastics\Renjie_Pan\05-Raw_Data\Lab_results\[LabSamples2025_Bioplastic_extra.xlsx]extra_Bioplastic'!D538)," ",'Q:\Abteilungsprojekte\Eng\EngData\PROJECT_Bioplastics\Renjie_Pan\05-Raw_Data\Lab_results\[LabSamples2025_Bioplastic_extra.xlsx]extra_Bioplastic'!D538)</f>
        <v/>
      </c>
      <c r="E538">
        <f>IF(ISBLANK('Q:\Abteilungsprojekte\Eng\EngData\PROJECT_Bioplastics\Renjie_Pan\05-Raw_Data\Lab_results\[LabSamples2025_Bioplastic_extra.xlsx]extra_Bioplastic'!E538)," ",'Q:\Abteilungsprojekte\Eng\EngData\PROJECT_Bioplastics\Renjie_Pan\05-Raw_Data\Lab_results\[LabSamples2025_Bioplastic_extra.xlsx]extra_Bioplastic'!E538)</f>
        <v/>
      </c>
      <c r="F538">
        <f>IF(ISBLANK('Q:\Abteilungsprojekte\Eng\EngData\PROJECT_Bioplastics\Renjie_Pan\05-Raw_Data\Lab_results\[LabSamples2025_Bioplastic_extra.xlsx]extra_Bioplastic'!F538)," ",'Q:\Abteilungsprojekte\Eng\EngData\PROJECT_Bioplastics\Renjie_Pan\05-Raw_Data\Lab_results\[LabSamples2025_Bioplastic_extra.xlsx]extra_Bioplastic'!F538)</f>
        <v/>
      </c>
      <c r="G538">
        <f>IF(ISBLANK('Q:\Abteilungsprojekte\Eng\EngData\PROJECT_Bioplastics\Renjie_Pan\05-Raw_Data\Lab_results\[LabSamples2025_Bioplastic_extra.xlsx]extra_Bioplastic'!G538)," ",'Q:\Abteilungsprojekte\Eng\EngData\PROJECT_Bioplastics\Renjie_Pan\05-Raw_Data\Lab_results\[LabSamples2025_Bioplastic_extra.xlsx]extra_Bioplastic'!G538)</f>
        <v/>
      </c>
      <c r="H538">
        <f>IF(ISBLANK('Q:\Abteilungsprojekte\Eng\EngData\PROJECT_Bioplastics\Renjie_Pan\05-Raw_Data\Lab_results\[LabSamples2025_Bioplastic_extra.xlsx]extra_Bioplastic'!H538)," ",'Q:\Abteilungsprojekte\Eng\EngData\PROJECT_Bioplastics\Renjie_Pan\05-Raw_Data\Lab_results\[LabSamples2025_Bioplastic_extra.xlsx]extra_Bioplastic'!H538)</f>
        <v/>
      </c>
    </row>
    <row r="539">
      <c r="A539">
        <f>IF(ISBLANK('Q:\Abteilungsprojekte\Eng\EngData\PROJECT_Bioplastics\Renjie_Pan\05-Raw_Data\Lab_results\[LabSamples2025_Bioplastic_extra.xlsx]extra_Bioplastic'!A539)," ",'Q:\Abteilungsprojekte\Eng\EngData\PROJECT_Bioplastics\Renjie_Pan\05-Raw_Data\Lab_results\[LabSamples2025_Bioplastic_extra.xlsx]extra_Bioplastic'!A539)</f>
        <v/>
      </c>
      <c r="B539">
        <f>IF(ISBLANK('Q:\Abteilungsprojekte\Eng\EngData\PROJECT_Bioplastics\Renjie_Pan\05-Raw_Data\Lab_results\[LabSamples2025_Bioplastic_extra.xlsx]extra_Bioplastic'!B539)," ",'Q:\Abteilungsprojekte\Eng\EngData\PROJECT_Bioplastics\Renjie_Pan\05-Raw_Data\Lab_results\[LabSamples2025_Bioplastic_extra.xlsx]extra_Bioplastic'!B539)</f>
        <v/>
      </c>
      <c r="C539">
        <f>IF(ISBLANK('Q:\Abteilungsprojekte\Eng\EngData\PROJECT_Bioplastics\Renjie_Pan\05-Raw_Data\Lab_results\[LabSamples2025_Bioplastic_extra.xlsx]extra_Bioplastic'!C539)," ",'Q:\Abteilungsprojekte\Eng\EngData\PROJECT_Bioplastics\Renjie_Pan\05-Raw_Data\Lab_results\[LabSamples2025_Bioplastic_extra.xlsx]extra_Bioplastic'!C539)</f>
        <v/>
      </c>
      <c r="D539">
        <f>IF(ISBLANK('Q:\Abteilungsprojekte\Eng\EngData\PROJECT_Bioplastics\Renjie_Pan\05-Raw_Data\Lab_results\[LabSamples2025_Bioplastic_extra.xlsx]extra_Bioplastic'!D539)," ",'Q:\Abteilungsprojekte\Eng\EngData\PROJECT_Bioplastics\Renjie_Pan\05-Raw_Data\Lab_results\[LabSamples2025_Bioplastic_extra.xlsx]extra_Bioplastic'!D539)</f>
        <v/>
      </c>
      <c r="E539">
        <f>IF(ISBLANK('Q:\Abteilungsprojekte\Eng\EngData\PROJECT_Bioplastics\Renjie_Pan\05-Raw_Data\Lab_results\[LabSamples2025_Bioplastic_extra.xlsx]extra_Bioplastic'!E539)," ",'Q:\Abteilungsprojekte\Eng\EngData\PROJECT_Bioplastics\Renjie_Pan\05-Raw_Data\Lab_results\[LabSamples2025_Bioplastic_extra.xlsx]extra_Bioplastic'!E539)</f>
        <v/>
      </c>
      <c r="F539">
        <f>IF(ISBLANK('Q:\Abteilungsprojekte\Eng\EngData\PROJECT_Bioplastics\Renjie_Pan\05-Raw_Data\Lab_results\[LabSamples2025_Bioplastic_extra.xlsx]extra_Bioplastic'!F539)," ",'Q:\Abteilungsprojekte\Eng\EngData\PROJECT_Bioplastics\Renjie_Pan\05-Raw_Data\Lab_results\[LabSamples2025_Bioplastic_extra.xlsx]extra_Bioplastic'!F539)</f>
        <v/>
      </c>
      <c r="G539">
        <f>IF(ISBLANK('Q:\Abteilungsprojekte\Eng\EngData\PROJECT_Bioplastics\Renjie_Pan\05-Raw_Data\Lab_results\[LabSamples2025_Bioplastic_extra.xlsx]extra_Bioplastic'!G539)," ",'Q:\Abteilungsprojekte\Eng\EngData\PROJECT_Bioplastics\Renjie_Pan\05-Raw_Data\Lab_results\[LabSamples2025_Bioplastic_extra.xlsx]extra_Bioplastic'!G539)</f>
        <v/>
      </c>
      <c r="H539">
        <f>IF(ISBLANK('Q:\Abteilungsprojekte\Eng\EngData\PROJECT_Bioplastics\Renjie_Pan\05-Raw_Data\Lab_results\[LabSamples2025_Bioplastic_extra.xlsx]extra_Bioplastic'!H539)," ",'Q:\Abteilungsprojekte\Eng\EngData\PROJECT_Bioplastics\Renjie_Pan\05-Raw_Data\Lab_results\[LabSamples2025_Bioplastic_extra.xlsx]extra_Bioplastic'!H539)</f>
        <v/>
      </c>
    </row>
    <row r="540">
      <c r="A540">
        <f>IF(ISBLANK('Q:\Abteilungsprojekte\Eng\EngData\PROJECT_Bioplastics\Renjie_Pan\05-Raw_Data\Lab_results\[LabSamples2025_Bioplastic_extra.xlsx]extra_Bioplastic'!A540)," ",'Q:\Abteilungsprojekte\Eng\EngData\PROJECT_Bioplastics\Renjie_Pan\05-Raw_Data\Lab_results\[LabSamples2025_Bioplastic_extra.xlsx]extra_Bioplastic'!A540)</f>
        <v/>
      </c>
      <c r="B540">
        <f>IF(ISBLANK('Q:\Abteilungsprojekte\Eng\EngData\PROJECT_Bioplastics\Renjie_Pan\05-Raw_Data\Lab_results\[LabSamples2025_Bioplastic_extra.xlsx]extra_Bioplastic'!B540)," ",'Q:\Abteilungsprojekte\Eng\EngData\PROJECT_Bioplastics\Renjie_Pan\05-Raw_Data\Lab_results\[LabSamples2025_Bioplastic_extra.xlsx]extra_Bioplastic'!B540)</f>
        <v/>
      </c>
      <c r="C540">
        <f>IF(ISBLANK('Q:\Abteilungsprojekte\Eng\EngData\PROJECT_Bioplastics\Renjie_Pan\05-Raw_Data\Lab_results\[LabSamples2025_Bioplastic_extra.xlsx]extra_Bioplastic'!C540)," ",'Q:\Abteilungsprojekte\Eng\EngData\PROJECT_Bioplastics\Renjie_Pan\05-Raw_Data\Lab_results\[LabSamples2025_Bioplastic_extra.xlsx]extra_Bioplastic'!C540)</f>
        <v/>
      </c>
      <c r="D540">
        <f>IF(ISBLANK('Q:\Abteilungsprojekte\Eng\EngData\PROJECT_Bioplastics\Renjie_Pan\05-Raw_Data\Lab_results\[LabSamples2025_Bioplastic_extra.xlsx]extra_Bioplastic'!D540)," ",'Q:\Abteilungsprojekte\Eng\EngData\PROJECT_Bioplastics\Renjie_Pan\05-Raw_Data\Lab_results\[LabSamples2025_Bioplastic_extra.xlsx]extra_Bioplastic'!D540)</f>
        <v/>
      </c>
      <c r="E540">
        <f>IF(ISBLANK('Q:\Abteilungsprojekte\Eng\EngData\PROJECT_Bioplastics\Renjie_Pan\05-Raw_Data\Lab_results\[LabSamples2025_Bioplastic_extra.xlsx]extra_Bioplastic'!E540)," ",'Q:\Abteilungsprojekte\Eng\EngData\PROJECT_Bioplastics\Renjie_Pan\05-Raw_Data\Lab_results\[LabSamples2025_Bioplastic_extra.xlsx]extra_Bioplastic'!E540)</f>
        <v/>
      </c>
      <c r="F540">
        <f>IF(ISBLANK('Q:\Abteilungsprojekte\Eng\EngData\PROJECT_Bioplastics\Renjie_Pan\05-Raw_Data\Lab_results\[LabSamples2025_Bioplastic_extra.xlsx]extra_Bioplastic'!F540)," ",'Q:\Abteilungsprojekte\Eng\EngData\PROJECT_Bioplastics\Renjie_Pan\05-Raw_Data\Lab_results\[LabSamples2025_Bioplastic_extra.xlsx]extra_Bioplastic'!F540)</f>
        <v/>
      </c>
      <c r="G540">
        <f>IF(ISBLANK('Q:\Abteilungsprojekte\Eng\EngData\PROJECT_Bioplastics\Renjie_Pan\05-Raw_Data\Lab_results\[LabSamples2025_Bioplastic_extra.xlsx]extra_Bioplastic'!G540)," ",'Q:\Abteilungsprojekte\Eng\EngData\PROJECT_Bioplastics\Renjie_Pan\05-Raw_Data\Lab_results\[LabSamples2025_Bioplastic_extra.xlsx]extra_Bioplastic'!G540)</f>
        <v/>
      </c>
      <c r="H540">
        <f>IF(ISBLANK('Q:\Abteilungsprojekte\Eng\EngData\PROJECT_Bioplastics\Renjie_Pan\05-Raw_Data\Lab_results\[LabSamples2025_Bioplastic_extra.xlsx]extra_Bioplastic'!H540)," ",'Q:\Abteilungsprojekte\Eng\EngData\PROJECT_Bioplastics\Renjie_Pan\05-Raw_Data\Lab_results\[LabSamples2025_Bioplastic_extra.xlsx]extra_Bioplastic'!H540)</f>
        <v/>
      </c>
    </row>
    <row r="541">
      <c r="A541">
        <f>IF(ISBLANK('Q:\Abteilungsprojekte\Eng\EngData\PROJECT_Bioplastics\Renjie_Pan\05-Raw_Data\Lab_results\[LabSamples2025_Bioplastic_extra.xlsx]extra_Bioplastic'!A541)," ",'Q:\Abteilungsprojekte\Eng\EngData\PROJECT_Bioplastics\Renjie_Pan\05-Raw_Data\Lab_results\[LabSamples2025_Bioplastic_extra.xlsx]extra_Bioplastic'!A541)</f>
        <v/>
      </c>
      <c r="B541">
        <f>IF(ISBLANK('Q:\Abteilungsprojekte\Eng\EngData\PROJECT_Bioplastics\Renjie_Pan\05-Raw_Data\Lab_results\[LabSamples2025_Bioplastic_extra.xlsx]extra_Bioplastic'!B541)," ",'Q:\Abteilungsprojekte\Eng\EngData\PROJECT_Bioplastics\Renjie_Pan\05-Raw_Data\Lab_results\[LabSamples2025_Bioplastic_extra.xlsx]extra_Bioplastic'!B541)</f>
        <v/>
      </c>
      <c r="C541">
        <f>IF(ISBLANK('Q:\Abteilungsprojekte\Eng\EngData\PROJECT_Bioplastics\Renjie_Pan\05-Raw_Data\Lab_results\[LabSamples2025_Bioplastic_extra.xlsx]extra_Bioplastic'!C541)," ",'Q:\Abteilungsprojekte\Eng\EngData\PROJECT_Bioplastics\Renjie_Pan\05-Raw_Data\Lab_results\[LabSamples2025_Bioplastic_extra.xlsx]extra_Bioplastic'!C541)</f>
        <v/>
      </c>
      <c r="D541">
        <f>IF(ISBLANK('Q:\Abteilungsprojekte\Eng\EngData\PROJECT_Bioplastics\Renjie_Pan\05-Raw_Data\Lab_results\[LabSamples2025_Bioplastic_extra.xlsx]extra_Bioplastic'!D541)," ",'Q:\Abteilungsprojekte\Eng\EngData\PROJECT_Bioplastics\Renjie_Pan\05-Raw_Data\Lab_results\[LabSamples2025_Bioplastic_extra.xlsx]extra_Bioplastic'!D541)</f>
        <v/>
      </c>
      <c r="E541">
        <f>IF(ISBLANK('Q:\Abteilungsprojekte\Eng\EngData\PROJECT_Bioplastics\Renjie_Pan\05-Raw_Data\Lab_results\[LabSamples2025_Bioplastic_extra.xlsx]extra_Bioplastic'!E541)," ",'Q:\Abteilungsprojekte\Eng\EngData\PROJECT_Bioplastics\Renjie_Pan\05-Raw_Data\Lab_results\[LabSamples2025_Bioplastic_extra.xlsx]extra_Bioplastic'!E541)</f>
        <v/>
      </c>
      <c r="F541">
        <f>IF(ISBLANK('Q:\Abteilungsprojekte\Eng\EngData\PROJECT_Bioplastics\Renjie_Pan\05-Raw_Data\Lab_results\[LabSamples2025_Bioplastic_extra.xlsx]extra_Bioplastic'!F541)," ",'Q:\Abteilungsprojekte\Eng\EngData\PROJECT_Bioplastics\Renjie_Pan\05-Raw_Data\Lab_results\[LabSamples2025_Bioplastic_extra.xlsx]extra_Bioplastic'!F541)</f>
        <v/>
      </c>
      <c r="G541">
        <f>IF(ISBLANK('Q:\Abteilungsprojekte\Eng\EngData\PROJECT_Bioplastics\Renjie_Pan\05-Raw_Data\Lab_results\[LabSamples2025_Bioplastic_extra.xlsx]extra_Bioplastic'!G541)," ",'Q:\Abteilungsprojekte\Eng\EngData\PROJECT_Bioplastics\Renjie_Pan\05-Raw_Data\Lab_results\[LabSamples2025_Bioplastic_extra.xlsx]extra_Bioplastic'!G541)</f>
        <v/>
      </c>
      <c r="H541">
        <f>IF(ISBLANK('Q:\Abteilungsprojekte\Eng\EngData\PROJECT_Bioplastics\Renjie_Pan\05-Raw_Data\Lab_results\[LabSamples2025_Bioplastic_extra.xlsx]extra_Bioplastic'!H541)," ",'Q:\Abteilungsprojekte\Eng\EngData\PROJECT_Bioplastics\Renjie_Pan\05-Raw_Data\Lab_results\[LabSamples2025_Bioplastic_extra.xlsx]extra_Bioplastic'!H541)</f>
        <v/>
      </c>
    </row>
    <row r="542">
      <c r="A542">
        <f>IF(ISBLANK('Q:\Abteilungsprojekte\Eng\EngData\PROJECT_Bioplastics\Renjie_Pan\05-Raw_Data\Lab_results\[LabSamples2025_Bioplastic_extra.xlsx]extra_Bioplastic'!A542)," ",'Q:\Abteilungsprojekte\Eng\EngData\PROJECT_Bioplastics\Renjie_Pan\05-Raw_Data\Lab_results\[LabSamples2025_Bioplastic_extra.xlsx]extra_Bioplastic'!A542)</f>
        <v/>
      </c>
      <c r="B542">
        <f>IF(ISBLANK('Q:\Abteilungsprojekte\Eng\EngData\PROJECT_Bioplastics\Renjie_Pan\05-Raw_Data\Lab_results\[LabSamples2025_Bioplastic_extra.xlsx]extra_Bioplastic'!B542)," ",'Q:\Abteilungsprojekte\Eng\EngData\PROJECT_Bioplastics\Renjie_Pan\05-Raw_Data\Lab_results\[LabSamples2025_Bioplastic_extra.xlsx]extra_Bioplastic'!B542)</f>
        <v/>
      </c>
      <c r="C542">
        <f>IF(ISBLANK('Q:\Abteilungsprojekte\Eng\EngData\PROJECT_Bioplastics\Renjie_Pan\05-Raw_Data\Lab_results\[LabSamples2025_Bioplastic_extra.xlsx]extra_Bioplastic'!C542)," ",'Q:\Abteilungsprojekte\Eng\EngData\PROJECT_Bioplastics\Renjie_Pan\05-Raw_Data\Lab_results\[LabSamples2025_Bioplastic_extra.xlsx]extra_Bioplastic'!C542)</f>
        <v/>
      </c>
      <c r="D542">
        <f>IF(ISBLANK('Q:\Abteilungsprojekte\Eng\EngData\PROJECT_Bioplastics\Renjie_Pan\05-Raw_Data\Lab_results\[LabSamples2025_Bioplastic_extra.xlsx]extra_Bioplastic'!D542)," ",'Q:\Abteilungsprojekte\Eng\EngData\PROJECT_Bioplastics\Renjie_Pan\05-Raw_Data\Lab_results\[LabSamples2025_Bioplastic_extra.xlsx]extra_Bioplastic'!D542)</f>
        <v/>
      </c>
      <c r="E542">
        <f>IF(ISBLANK('Q:\Abteilungsprojekte\Eng\EngData\PROJECT_Bioplastics\Renjie_Pan\05-Raw_Data\Lab_results\[LabSamples2025_Bioplastic_extra.xlsx]extra_Bioplastic'!E542)," ",'Q:\Abteilungsprojekte\Eng\EngData\PROJECT_Bioplastics\Renjie_Pan\05-Raw_Data\Lab_results\[LabSamples2025_Bioplastic_extra.xlsx]extra_Bioplastic'!E542)</f>
        <v/>
      </c>
      <c r="F542">
        <f>IF(ISBLANK('Q:\Abteilungsprojekte\Eng\EngData\PROJECT_Bioplastics\Renjie_Pan\05-Raw_Data\Lab_results\[LabSamples2025_Bioplastic_extra.xlsx]extra_Bioplastic'!F542)," ",'Q:\Abteilungsprojekte\Eng\EngData\PROJECT_Bioplastics\Renjie_Pan\05-Raw_Data\Lab_results\[LabSamples2025_Bioplastic_extra.xlsx]extra_Bioplastic'!F542)</f>
        <v/>
      </c>
      <c r="G542">
        <f>IF(ISBLANK('Q:\Abteilungsprojekte\Eng\EngData\PROJECT_Bioplastics\Renjie_Pan\05-Raw_Data\Lab_results\[LabSamples2025_Bioplastic_extra.xlsx]extra_Bioplastic'!G542)," ",'Q:\Abteilungsprojekte\Eng\EngData\PROJECT_Bioplastics\Renjie_Pan\05-Raw_Data\Lab_results\[LabSamples2025_Bioplastic_extra.xlsx]extra_Bioplastic'!G542)</f>
        <v/>
      </c>
      <c r="H542">
        <f>IF(ISBLANK('Q:\Abteilungsprojekte\Eng\EngData\PROJECT_Bioplastics\Renjie_Pan\05-Raw_Data\Lab_results\[LabSamples2025_Bioplastic_extra.xlsx]extra_Bioplastic'!H542)," ",'Q:\Abteilungsprojekte\Eng\EngData\PROJECT_Bioplastics\Renjie_Pan\05-Raw_Data\Lab_results\[LabSamples2025_Bioplastic_extra.xlsx]extra_Bioplastic'!H542)</f>
        <v/>
      </c>
    </row>
    <row r="543">
      <c r="A543">
        <f>IF(ISBLANK('Q:\Abteilungsprojekte\Eng\EngData\PROJECT_Bioplastics\Renjie_Pan\05-Raw_Data\Lab_results\[LabSamples2025_Bioplastic_extra.xlsx]extra_Bioplastic'!A543)," ",'Q:\Abteilungsprojekte\Eng\EngData\PROJECT_Bioplastics\Renjie_Pan\05-Raw_Data\Lab_results\[LabSamples2025_Bioplastic_extra.xlsx]extra_Bioplastic'!A543)</f>
        <v/>
      </c>
      <c r="B543">
        <f>IF(ISBLANK('Q:\Abteilungsprojekte\Eng\EngData\PROJECT_Bioplastics\Renjie_Pan\05-Raw_Data\Lab_results\[LabSamples2025_Bioplastic_extra.xlsx]extra_Bioplastic'!B543)," ",'Q:\Abteilungsprojekte\Eng\EngData\PROJECT_Bioplastics\Renjie_Pan\05-Raw_Data\Lab_results\[LabSamples2025_Bioplastic_extra.xlsx]extra_Bioplastic'!B543)</f>
        <v/>
      </c>
      <c r="C543">
        <f>IF(ISBLANK('Q:\Abteilungsprojekte\Eng\EngData\PROJECT_Bioplastics\Renjie_Pan\05-Raw_Data\Lab_results\[LabSamples2025_Bioplastic_extra.xlsx]extra_Bioplastic'!C543)," ",'Q:\Abteilungsprojekte\Eng\EngData\PROJECT_Bioplastics\Renjie_Pan\05-Raw_Data\Lab_results\[LabSamples2025_Bioplastic_extra.xlsx]extra_Bioplastic'!C543)</f>
        <v/>
      </c>
      <c r="D543">
        <f>IF(ISBLANK('Q:\Abteilungsprojekte\Eng\EngData\PROJECT_Bioplastics\Renjie_Pan\05-Raw_Data\Lab_results\[LabSamples2025_Bioplastic_extra.xlsx]extra_Bioplastic'!D543)," ",'Q:\Abteilungsprojekte\Eng\EngData\PROJECT_Bioplastics\Renjie_Pan\05-Raw_Data\Lab_results\[LabSamples2025_Bioplastic_extra.xlsx]extra_Bioplastic'!D543)</f>
        <v/>
      </c>
      <c r="E543">
        <f>IF(ISBLANK('Q:\Abteilungsprojekte\Eng\EngData\PROJECT_Bioplastics\Renjie_Pan\05-Raw_Data\Lab_results\[LabSamples2025_Bioplastic_extra.xlsx]extra_Bioplastic'!E543)," ",'Q:\Abteilungsprojekte\Eng\EngData\PROJECT_Bioplastics\Renjie_Pan\05-Raw_Data\Lab_results\[LabSamples2025_Bioplastic_extra.xlsx]extra_Bioplastic'!E543)</f>
        <v/>
      </c>
      <c r="F543">
        <f>IF(ISBLANK('Q:\Abteilungsprojekte\Eng\EngData\PROJECT_Bioplastics\Renjie_Pan\05-Raw_Data\Lab_results\[LabSamples2025_Bioplastic_extra.xlsx]extra_Bioplastic'!F543)," ",'Q:\Abteilungsprojekte\Eng\EngData\PROJECT_Bioplastics\Renjie_Pan\05-Raw_Data\Lab_results\[LabSamples2025_Bioplastic_extra.xlsx]extra_Bioplastic'!F543)</f>
        <v/>
      </c>
      <c r="G543">
        <f>IF(ISBLANK('Q:\Abteilungsprojekte\Eng\EngData\PROJECT_Bioplastics\Renjie_Pan\05-Raw_Data\Lab_results\[LabSamples2025_Bioplastic_extra.xlsx]extra_Bioplastic'!G543)," ",'Q:\Abteilungsprojekte\Eng\EngData\PROJECT_Bioplastics\Renjie_Pan\05-Raw_Data\Lab_results\[LabSamples2025_Bioplastic_extra.xlsx]extra_Bioplastic'!G543)</f>
        <v/>
      </c>
      <c r="H543">
        <f>IF(ISBLANK('Q:\Abteilungsprojekte\Eng\EngData\PROJECT_Bioplastics\Renjie_Pan\05-Raw_Data\Lab_results\[LabSamples2025_Bioplastic_extra.xlsx]extra_Bioplastic'!H543)," ",'Q:\Abteilungsprojekte\Eng\EngData\PROJECT_Bioplastics\Renjie_Pan\05-Raw_Data\Lab_results\[LabSamples2025_Bioplastic_extra.xlsx]extra_Bioplastic'!H543)</f>
        <v/>
      </c>
    </row>
    <row r="544">
      <c r="A544">
        <f>IF(ISBLANK('Q:\Abteilungsprojekte\Eng\EngData\PROJECT_Bioplastics\Renjie_Pan\05-Raw_Data\Lab_results\[LabSamples2025_Bioplastic_extra.xlsx]extra_Bioplastic'!A544)," ",'Q:\Abteilungsprojekte\Eng\EngData\PROJECT_Bioplastics\Renjie_Pan\05-Raw_Data\Lab_results\[LabSamples2025_Bioplastic_extra.xlsx]extra_Bioplastic'!A544)</f>
        <v/>
      </c>
      <c r="B544">
        <f>IF(ISBLANK('Q:\Abteilungsprojekte\Eng\EngData\PROJECT_Bioplastics\Renjie_Pan\05-Raw_Data\Lab_results\[LabSamples2025_Bioplastic_extra.xlsx]extra_Bioplastic'!B544)," ",'Q:\Abteilungsprojekte\Eng\EngData\PROJECT_Bioplastics\Renjie_Pan\05-Raw_Data\Lab_results\[LabSamples2025_Bioplastic_extra.xlsx]extra_Bioplastic'!B544)</f>
        <v/>
      </c>
      <c r="C544">
        <f>IF(ISBLANK('Q:\Abteilungsprojekte\Eng\EngData\PROJECT_Bioplastics\Renjie_Pan\05-Raw_Data\Lab_results\[LabSamples2025_Bioplastic_extra.xlsx]extra_Bioplastic'!C544)," ",'Q:\Abteilungsprojekte\Eng\EngData\PROJECT_Bioplastics\Renjie_Pan\05-Raw_Data\Lab_results\[LabSamples2025_Bioplastic_extra.xlsx]extra_Bioplastic'!C544)</f>
        <v/>
      </c>
      <c r="D544">
        <f>IF(ISBLANK('Q:\Abteilungsprojekte\Eng\EngData\PROJECT_Bioplastics\Renjie_Pan\05-Raw_Data\Lab_results\[LabSamples2025_Bioplastic_extra.xlsx]extra_Bioplastic'!D544)," ",'Q:\Abteilungsprojekte\Eng\EngData\PROJECT_Bioplastics\Renjie_Pan\05-Raw_Data\Lab_results\[LabSamples2025_Bioplastic_extra.xlsx]extra_Bioplastic'!D544)</f>
        <v/>
      </c>
      <c r="E544">
        <f>IF(ISBLANK('Q:\Abteilungsprojekte\Eng\EngData\PROJECT_Bioplastics\Renjie_Pan\05-Raw_Data\Lab_results\[LabSamples2025_Bioplastic_extra.xlsx]extra_Bioplastic'!E544)," ",'Q:\Abteilungsprojekte\Eng\EngData\PROJECT_Bioplastics\Renjie_Pan\05-Raw_Data\Lab_results\[LabSamples2025_Bioplastic_extra.xlsx]extra_Bioplastic'!E544)</f>
        <v/>
      </c>
      <c r="F544">
        <f>IF(ISBLANK('Q:\Abteilungsprojekte\Eng\EngData\PROJECT_Bioplastics\Renjie_Pan\05-Raw_Data\Lab_results\[LabSamples2025_Bioplastic_extra.xlsx]extra_Bioplastic'!F544)," ",'Q:\Abteilungsprojekte\Eng\EngData\PROJECT_Bioplastics\Renjie_Pan\05-Raw_Data\Lab_results\[LabSamples2025_Bioplastic_extra.xlsx]extra_Bioplastic'!F544)</f>
        <v/>
      </c>
      <c r="G544">
        <f>IF(ISBLANK('Q:\Abteilungsprojekte\Eng\EngData\PROJECT_Bioplastics\Renjie_Pan\05-Raw_Data\Lab_results\[LabSamples2025_Bioplastic_extra.xlsx]extra_Bioplastic'!G544)," ",'Q:\Abteilungsprojekte\Eng\EngData\PROJECT_Bioplastics\Renjie_Pan\05-Raw_Data\Lab_results\[LabSamples2025_Bioplastic_extra.xlsx]extra_Bioplastic'!G544)</f>
        <v/>
      </c>
      <c r="H544">
        <f>IF(ISBLANK('Q:\Abteilungsprojekte\Eng\EngData\PROJECT_Bioplastics\Renjie_Pan\05-Raw_Data\Lab_results\[LabSamples2025_Bioplastic_extra.xlsx]extra_Bioplastic'!H544)," ",'Q:\Abteilungsprojekte\Eng\EngData\PROJECT_Bioplastics\Renjie_Pan\05-Raw_Data\Lab_results\[LabSamples2025_Bioplastic_extra.xlsx]extra_Bioplastic'!H544)</f>
        <v/>
      </c>
    </row>
    <row r="545">
      <c r="A545">
        <f>IF(ISBLANK('Q:\Abteilungsprojekte\Eng\EngData\PROJECT_Bioplastics\Renjie_Pan\05-Raw_Data\Lab_results\[LabSamples2025_Bioplastic_extra.xlsx]extra_Bioplastic'!A545)," ",'Q:\Abteilungsprojekte\Eng\EngData\PROJECT_Bioplastics\Renjie_Pan\05-Raw_Data\Lab_results\[LabSamples2025_Bioplastic_extra.xlsx]extra_Bioplastic'!A545)</f>
        <v/>
      </c>
      <c r="B545">
        <f>IF(ISBLANK('Q:\Abteilungsprojekte\Eng\EngData\PROJECT_Bioplastics\Renjie_Pan\05-Raw_Data\Lab_results\[LabSamples2025_Bioplastic_extra.xlsx]extra_Bioplastic'!B545)," ",'Q:\Abteilungsprojekte\Eng\EngData\PROJECT_Bioplastics\Renjie_Pan\05-Raw_Data\Lab_results\[LabSamples2025_Bioplastic_extra.xlsx]extra_Bioplastic'!B545)</f>
        <v/>
      </c>
      <c r="C545">
        <f>IF(ISBLANK('Q:\Abteilungsprojekte\Eng\EngData\PROJECT_Bioplastics\Renjie_Pan\05-Raw_Data\Lab_results\[LabSamples2025_Bioplastic_extra.xlsx]extra_Bioplastic'!C545)," ",'Q:\Abteilungsprojekte\Eng\EngData\PROJECT_Bioplastics\Renjie_Pan\05-Raw_Data\Lab_results\[LabSamples2025_Bioplastic_extra.xlsx]extra_Bioplastic'!C545)</f>
        <v/>
      </c>
      <c r="D545">
        <f>IF(ISBLANK('Q:\Abteilungsprojekte\Eng\EngData\PROJECT_Bioplastics\Renjie_Pan\05-Raw_Data\Lab_results\[LabSamples2025_Bioplastic_extra.xlsx]extra_Bioplastic'!D545)," ",'Q:\Abteilungsprojekte\Eng\EngData\PROJECT_Bioplastics\Renjie_Pan\05-Raw_Data\Lab_results\[LabSamples2025_Bioplastic_extra.xlsx]extra_Bioplastic'!D545)</f>
        <v/>
      </c>
      <c r="E545">
        <f>IF(ISBLANK('Q:\Abteilungsprojekte\Eng\EngData\PROJECT_Bioplastics\Renjie_Pan\05-Raw_Data\Lab_results\[LabSamples2025_Bioplastic_extra.xlsx]extra_Bioplastic'!E545)," ",'Q:\Abteilungsprojekte\Eng\EngData\PROJECT_Bioplastics\Renjie_Pan\05-Raw_Data\Lab_results\[LabSamples2025_Bioplastic_extra.xlsx]extra_Bioplastic'!E545)</f>
        <v/>
      </c>
      <c r="F545">
        <f>IF(ISBLANK('Q:\Abteilungsprojekte\Eng\EngData\PROJECT_Bioplastics\Renjie_Pan\05-Raw_Data\Lab_results\[LabSamples2025_Bioplastic_extra.xlsx]extra_Bioplastic'!F545)," ",'Q:\Abteilungsprojekte\Eng\EngData\PROJECT_Bioplastics\Renjie_Pan\05-Raw_Data\Lab_results\[LabSamples2025_Bioplastic_extra.xlsx]extra_Bioplastic'!F545)</f>
        <v/>
      </c>
      <c r="G545">
        <f>IF(ISBLANK('Q:\Abteilungsprojekte\Eng\EngData\PROJECT_Bioplastics\Renjie_Pan\05-Raw_Data\Lab_results\[LabSamples2025_Bioplastic_extra.xlsx]extra_Bioplastic'!G545)," ",'Q:\Abteilungsprojekte\Eng\EngData\PROJECT_Bioplastics\Renjie_Pan\05-Raw_Data\Lab_results\[LabSamples2025_Bioplastic_extra.xlsx]extra_Bioplastic'!G545)</f>
        <v/>
      </c>
      <c r="H545">
        <f>IF(ISBLANK('Q:\Abteilungsprojekte\Eng\EngData\PROJECT_Bioplastics\Renjie_Pan\05-Raw_Data\Lab_results\[LabSamples2025_Bioplastic_extra.xlsx]extra_Bioplastic'!H545)," ",'Q:\Abteilungsprojekte\Eng\EngData\PROJECT_Bioplastics\Renjie_Pan\05-Raw_Data\Lab_results\[LabSamples2025_Bioplastic_extra.xlsx]extra_Bioplastic'!H545)</f>
        <v/>
      </c>
    </row>
    <row r="546">
      <c r="A546">
        <f>IF(ISBLANK('Q:\Abteilungsprojekte\Eng\EngData\PROJECT_Bioplastics\Renjie_Pan\05-Raw_Data\Lab_results\[LabSamples2025_Bioplastic_extra.xlsx]extra_Bioplastic'!A546)," ",'Q:\Abteilungsprojekte\Eng\EngData\PROJECT_Bioplastics\Renjie_Pan\05-Raw_Data\Lab_results\[LabSamples2025_Bioplastic_extra.xlsx]extra_Bioplastic'!A546)</f>
        <v/>
      </c>
      <c r="B546">
        <f>IF(ISBLANK('Q:\Abteilungsprojekte\Eng\EngData\PROJECT_Bioplastics\Renjie_Pan\05-Raw_Data\Lab_results\[LabSamples2025_Bioplastic_extra.xlsx]extra_Bioplastic'!B546)," ",'Q:\Abteilungsprojekte\Eng\EngData\PROJECT_Bioplastics\Renjie_Pan\05-Raw_Data\Lab_results\[LabSamples2025_Bioplastic_extra.xlsx]extra_Bioplastic'!B546)</f>
        <v/>
      </c>
      <c r="C546">
        <f>IF(ISBLANK('Q:\Abteilungsprojekte\Eng\EngData\PROJECT_Bioplastics\Renjie_Pan\05-Raw_Data\Lab_results\[LabSamples2025_Bioplastic_extra.xlsx]extra_Bioplastic'!C546)," ",'Q:\Abteilungsprojekte\Eng\EngData\PROJECT_Bioplastics\Renjie_Pan\05-Raw_Data\Lab_results\[LabSamples2025_Bioplastic_extra.xlsx]extra_Bioplastic'!C546)</f>
        <v/>
      </c>
      <c r="D546">
        <f>IF(ISBLANK('Q:\Abteilungsprojekte\Eng\EngData\PROJECT_Bioplastics\Renjie_Pan\05-Raw_Data\Lab_results\[LabSamples2025_Bioplastic_extra.xlsx]extra_Bioplastic'!D546)," ",'Q:\Abteilungsprojekte\Eng\EngData\PROJECT_Bioplastics\Renjie_Pan\05-Raw_Data\Lab_results\[LabSamples2025_Bioplastic_extra.xlsx]extra_Bioplastic'!D546)</f>
        <v/>
      </c>
      <c r="E546">
        <f>IF(ISBLANK('Q:\Abteilungsprojekte\Eng\EngData\PROJECT_Bioplastics\Renjie_Pan\05-Raw_Data\Lab_results\[LabSamples2025_Bioplastic_extra.xlsx]extra_Bioplastic'!E546)," ",'Q:\Abteilungsprojekte\Eng\EngData\PROJECT_Bioplastics\Renjie_Pan\05-Raw_Data\Lab_results\[LabSamples2025_Bioplastic_extra.xlsx]extra_Bioplastic'!E546)</f>
        <v/>
      </c>
      <c r="F546">
        <f>IF(ISBLANK('Q:\Abteilungsprojekte\Eng\EngData\PROJECT_Bioplastics\Renjie_Pan\05-Raw_Data\Lab_results\[LabSamples2025_Bioplastic_extra.xlsx]extra_Bioplastic'!F546)," ",'Q:\Abteilungsprojekte\Eng\EngData\PROJECT_Bioplastics\Renjie_Pan\05-Raw_Data\Lab_results\[LabSamples2025_Bioplastic_extra.xlsx]extra_Bioplastic'!F546)</f>
        <v/>
      </c>
      <c r="G546">
        <f>IF(ISBLANK('Q:\Abteilungsprojekte\Eng\EngData\PROJECT_Bioplastics\Renjie_Pan\05-Raw_Data\Lab_results\[LabSamples2025_Bioplastic_extra.xlsx]extra_Bioplastic'!G546)," ",'Q:\Abteilungsprojekte\Eng\EngData\PROJECT_Bioplastics\Renjie_Pan\05-Raw_Data\Lab_results\[LabSamples2025_Bioplastic_extra.xlsx]extra_Bioplastic'!G546)</f>
        <v/>
      </c>
      <c r="H546">
        <f>IF(ISBLANK('Q:\Abteilungsprojekte\Eng\EngData\PROJECT_Bioplastics\Renjie_Pan\05-Raw_Data\Lab_results\[LabSamples2025_Bioplastic_extra.xlsx]extra_Bioplastic'!H546)," ",'Q:\Abteilungsprojekte\Eng\EngData\PROJECT_Bioplastics\Renjie_Pan\05-Raw_Data\Lab_results\[LabSamples2025_Bioplastic_extra.xlsx]extra_Bioplastic'!H546)</f>
        <v/>
      </c>
    </row>
    <row r="547">
      <c r="A547">
        <f>IF(ISBLANK('Q:\Abteilungsprojekte\Eng\EngData\PROJECT_Bioplastics\Renjie_Pan\05-Raw_Data\Lab_results\[LabSamples2025_Bioplastic_extra.xlsx]extra_Bioplastic'!A547)," ",'Q:\Abteilungsprojekte\Eng\EngData\PROJECT_Bioplastics\Renjie_Pan\05-Raw_Data\Lab_results\[LabSamples2025_Bioplastic_extra.xlsx]extra_Bioplastic'!A547)</f>
        <v/>
      </c>
      <c r="B547">
        <f>IF(ISBLANK('Q:\Abteilungsprojekte\Eng\EngData\PROJECT_Bioplastics\Renjie_Pan\05-Raw_Data\Lab_results\[LabSamples2025_Bioplastic_extra.xlsx]extra_Bioplastic'!B547)," ",'Q:\Abteilungsprojekte\Eng\EngData\PROJECT_Bioplastics\Renjie_Pan\05-Raw_Data\Lab_results\[LabSamples2025_Bioplastic_extra.xlsx]extra_Bioplastic'!B547)</f>
        <v/>
      </c>
      <c r="C547">
        <f>IF(ISBLANK('Q:\Abteilungsprojekte\Eng\EngData\PROJECT_Bioplastics\Renjie_Pan\05-Raw_Data\Lab_results\[LabSamples2025_Bioplastic_extra.xlsx]extra_Bioplastic'!C547)," ",'Q:\Abteilungsprojekte\Eng\EngData\PROJECT_Bioplastics\Renjie_Pan\05-Raw_Data\Lab_results\[LabSamples2025_Bioplastic_extra.xlsx]extra_Bioplastic'!C547)</f>
        <v/>
      </c>
      <c r="D547">
        <f>IF(ISBLANK('Q:\Abteilungsprojekte\Eng\EngData\PROJECT_Bioplastics\Renjie_Pan\05-Raw_Data\Lab_results\[LabSamples2025_Bioplastic_extra.xlsx]extra_Bioplastic'!D547)," ",'Q:\Abteilungsprojekte\Eng\EngData\PROJECT_Bioplastics\Renjie_Pan\05-Raw_Data\Lab_results\[LabSamples2025_Bioplastic_extra.xlsx]extra_Bioplastic'!D547)</f>
        <v/>
      </c>
      <c r="E547">
        <f>IF(ISBLANK('Q:\Abteilungsprojekte\Eng\EngData\PROJECT_Bioplastics\Renjie_Pan\05-Raw_Data\Lab_results\[LabSamples2025_Bioplastic_extra.xlsx]extra_Bioplastic'!E547)," ",'Q:\Abteilungsprojekte\Eng\EngData\PROJECT_Bioplastics\Renjie_Pan\05-Raw_Data\Lab_results\[LabSamples2025_Bioplastic_extra.xlsx]extra_Bioplastic'!E547)</f>
        <v/>
      </c>
      <c r="F547">
        <f>IF(ISBLANK('Q:\Abteilungsprojekte\Eng\EngData\PROJECT_Bioplastics\Renjie_Pan\05-Raw_Data\Lab_results\[LabSamples2025_Bioplastic_extra.xlsx]extra_Bioplastic'!F547)," ",'Q:\Abteilungsprojekte\Eng\EngData\PROJECT_Bioplastics\Renjie_Pan\05-Raw_Data\Lab_results\[LabSamples2025_Bioplastic_extra.xlsx]extra_Bioplastic'!F547)</f>
        <v/>
      </c>
      <c r="G547">
        <f>IF(ISBLANK('Q:\Abteilungsprojekte\Eng\EngData\PROJECT_Bioplastics\Renjie_Pan\05-Raw_Data\Lab_results\[LabSamples2025_Bioplastic_extra.xlsx]extra_Bioplastic'!G547)," ",'Q:\Abteilungsprojekte\Eng\EngData\PROJECT_Bioplastics\Renjie_Pan\05-Raw_Data\Lab_results\[LabSamples2025_Bioplastic_extra.xlsx]extra_Bioplastic'!G547)</f>
        <v/>
      </c>
      <c r="H547">
        <f>IF(ISBLANK('Q:\Abteilungsprojekte\Eng\EngData\PROJECT_Bioplastics\Renjie_Pan\05-Raw_Data\Lab_results\[LabSamples2025_Bioplastic_extra.xlsx]extra_Bioplastic'!H547)," ",'Q:\Abteilungsprojekte\Eng\EngData\PROJECT_Bioplastics\Renjie_Pan\05-Raw_Data\Lab_results\[LabSamples2025_Bioplastic_extra.xlsx]extra_Bioplastic'!H547)</f>
        <v/>
      </c>
    </row>
    <row r="548">
      <c r="A548">
        <f>IF(ISBLANK('Q:\Abteilungsprojekte\Eng\EngData\PROJECT_Bioplastics\Renjie_Pan\05-Raw_Data\Lab_results\[LabSamples2025_Bioplastic_extra.xlsx]extra_Bioplastic'!A548)," ",'Q:\Abteilungsprojekte\Eng\EngData\PROJECT_Bioplastics\Renjie_Pan\05-Raw_Data\Lab_results\[LabSamples2025_Bioplastic_extra.xlsx]extra_Bioplastic'!A548)</f>
        <v/>
      </c>
      <c r="B548">
        <f>IF(ISBLANK('Q:\Abteilungsprojekte\Eng\EngData\PROJECT_Bioplastics\Renjie_Pan\05-Raw_Data\Lab_results\[LabSamples2025_Bioplastic_extra.xlsx]extra_Bioplastic'!B548)," ",'Q:\Abteilungsprojekte\Eng\EngData\PROJECT_Bioplastics\Renjie_Pan\05-Raw_Data\Lab_results\[LabSamples2025_Bioplastic_extra.xlsx]extra_Bioplastic'!B548)</f>
        <v/>
      </c>
      <c r="C548">
        <f>IF(ISBLANK('Q:\Abteilungsprojekte\Eng\EngData\PROJECT_Bioplastics\Renjie_Pan\05-Raw_Data\Lab_results\[LabSamples2025_Bioplastic_extra.xlsx]extra_Bioplastic'!C548)," ",'Q:\Abteilungsprojekte\Eng\EngData\PROJECT_Bioplastics\Renjie_Pan\05-Raw_Data\Lab_results\[LabSamples2025_Bioplastic_extra.xlsx]extra_Bioplastic'!C548)</f>
        <v/>
      </c>
      <c r="D548">
        <f>IF(ISBLANK('Q:\Abteilungsprojekte\Eng\EngData\PROJECT_Bioplastics\Renjie_Pan\05-Raw_Data\Lab_results\[LabSamples2025_Bioplastic_extra.xlsx]extra_Bioplastic'!D548)," ",'Q:\Abteilungsprojekte\Eng\EngData\PROJECT_Bioplastics\Renjie_Pan\05-Raw_Data\Lab_results\[LabSamples2025_Bioplastic_extra.xlsx]extra_Bioplastic'!D548)</f>
        <v/>
      </c>
      <c r="E548">
        <f>IF(ISBLANK('Q:\Abteilungsprojekte\Eng\EngData\PROJECT_Bioplastics\Renjie_Pan\05-Raw_Data\Lab_results\[LabSamples2025_Bioplastic_extra.xlsx]extra_Bioplastic'!E548)," ",'Q:\Abteilungsprojekte\Eng\EngData\PROJECT_Bioplastics\Renjie_Pan\05-Raw_Data\Lab_results\[LabSamples2025_Bioplastic_extra.xlsx]extra_Bioplastic'!E548)</f>
        <v/>
      </c>
      <c r="F548">
        <f>IF(ISBLANK('Q:\Abteilungsprojekte\Eng\EngData\PROJECT_Bioplastics\Renjie_Pan\05-Raw_Data\Lab_results\[LabSamples2025_Bioplastic_extra.xlsx]extra_Bioplastic'!F548)," ",'Q:\Abteilungsprojekte\Eng\EngData\PROJECT_Bioplastics\Renjie_Pan\05-Raw_Data\Lab_results\[LabSamples2025_Bioplastic_extra.xlsx]extra_Bioplastic'!F548)</f>
        <v/>
      </c>
      <c r="G548">
        <f>IF(ISBLANK('Q:\Abteilungsprojekte\Eng\EngData\PROJECT_Bioplastics\Renjie_Pan\05-Raw_Data\Lab_results\[LabSamples2025_Bioplastic_extra.xlsx]extra_Bioplastic'!G548)," ",'Q:\Abteilungsprojekte\Eng\EngData\PROJECT_Bioplastics\Renjie_Pan\05-Raw_Data\Lab_results\[LabSamples2025_Bioplastic_extra.xlsx]extra_Bioplastic'!G548)</f>
        <v/>
      </c>
      <c r="H548">
        <f>IF(ISBLANK('Q:\Abteilungsprojekte\Eng\EngData\PROJECT_Bioplastics\Renjie_Pan\05-Raw_Data\Lab_results\[LabSamples2025_Bioplastic_extra.xlsx]extra_Bioplastic'!H548)," ",'Q:\Abteilungsprojekte\Eng\EngData\PROJECT_Bioplastics\Renjie_Pan\05-Raw_Data\Lab_results\[LabSamples2025_Bioplastic_extra.xlsx]extra_Bioplastic'!H548)</f>
        <v/>
      </c>
    </row>
    <row r="549">
      <c r="A549">
        <f>IF(ISBLANK('Q:\Abteilungsprojekte\Eng\EngData\PROJECT_Bioplastics\Renjie_Pan\05-Raw_Data\Lab_results\[LabSamples2025_Bioplastic_extra.xlsx]extra_Bioplastic'!A549)," ",'Q:\Abteilungsprojekte\Eng\EngData\PROJECT_Bioplastics\Renjie_Pan\05-Raw_Data\Lab_results\[LabSamples2025_Bioplastic_extra.xlsx]extra_Bioplastic'!A549)</f>
        <v/>
      </c>
      <c r="B549">
        <f>IF(ISBLANK('Q:\Abteilungsprojekte\Eng\EngData\PROJECT_Bioplastics\Renjie_Pan\05-Raw_Data\Lab_results\[LabSamples2025_Bioplastic_extra.xlsx]extra_Bioplastic'!B549)," ",'Q:\Abteilungsprojekte\Eng\EngData\PROJECT_Bioplastics\Renjie_Pan\05-Raw_Data\Lab_results\[LabSamples2025_Bioplastic_extra.xlsx]extra_Bioplastic'!B549)</f>
        <v/>
      </c>
      <c r="C549">
        <f>IF(ISBLANK('Q:\Abteilungsprojekte\Eng\EngData\PROJECT_Bioplastics\Renjie_Pan\05-Raw_Data\Lab_results\[LabSamples2025_Bioplastic_extra.xlsx]extra_Bioplastic'!C549)," ",'Q:\Abteilungsprojekte\Eng\EngData\PROJECT_Bioplastics\Renjie_Pan\05-Raw_Data\Lab_results\[LabSamples2025_Bioplastic_extra.xlsx]extra_Bioplastic'!C549)</f>
        <v/>
      </c>
      <c r="D549">
        <f>IF(ISBLANK('Q:\Abteilungsprojekte\Eng\EngData\PROJECT_Bioplastics\Renjie_Pan\05-Raw_Data\Lab_results\[LabSamples2025_Bioplastic_extra.xlsx]extra_Bioplastic'!D549)," ",'Q:\Abteilungsprojekte\Eng\EngData\PROJECT_Bioplastics\Renjie_Pan\05-Raw_Data\Lab_results\[LabSamples2025_Bioplastic_extra.xlsx]extra_Bioplastic'!D549)</f>
        <v/>
      </c>
      <c r="E549">
        <f>IF(ISBLANK('Q:\Abteilungsprojekte\Eng\EngData\PROJECT_Bioplastics\Renjie_Pan\05-Raw_Data\Lab_results\[LabSamples2025_Bioplastic_extra.xlsx]extra_Bioplastic'!E549)," ",'Q:\Abteilungsprojekte\Eng\EngData\PROJECT_Bioplastics\Renjie_Pan\05-Raw_Data\Lab_results\[LabSamples2025_Bioplastic_extra.xlsx]extra_Bioplastic'!E549)</f>
        <v/>
      </c>
      <c r="F549">
        <f>IF(ISBLANK('Q:\Abteilungsprojekte\Eng\EngData\PROJECT_Bioplastics\Renjie_Pan\05-Raw_Data\Lab_results\[LabSamples2025_Bioplastic_extra.xlsx]extra_Bioplastic'!F549)," ",'Q:\Abteilungsprojekte\Eng\EngData\PROJECT_Bioplastics\Renjie_Pan\05-Raw_Data\Lab_results\[LabSamples2025_Bioplastic_extra.xlsx]extra_Bioplastic'!F549)</f>
        <v/>
      </c>
      <c r="G549">
        <f>IF(ISBLANK('Q:\Abteilungsprojekte\Eng\EngData\PROJECT_Bioplastics\Renjie_Pan\05-Raw_Data\Lab_results\[LabSamples2025_Bioplastic_extra.xlsx]extra_Bioplastic'!G549)," ",'Q:\Abteilungsprojekte\Eng\EngData\PROJECT_Bioplastics\Renjie_Pan\05-Raw_Data\Lab_results\[LabSamples2025_Bioplastic_extra.xlsx]extra_Bioplastic'!G549)</f>
        <v/>
      </c>
      <c r="H549">
        <f>IF(ISBLANK('Q:\Abteilungsprojekte\Eng\EngData\PROJECT_Bioplastics\Renjie_Pan\05-Raw_Data\Lab_results\[LabSamples2025_Bioplastic_extra.xlsx]extra_Bioplastic'!H549)," ",'Q:\Abteilungsprojekte\Eng\EngData\PROJECT_Bioplastics\Renjie_Pan\05-Raw_Data\Lab_results\[LabSamples2025_Bioplastic_extra.xlsx]extra_Bioplastic'!H549)</f>
        <v/>
      </c>
    </row>
    <row r="550">
      <c r="A550">
        <f>IF(ISBLANK('Q:\Abteilungsprojekte\Eng\EngData\PROJECT_Bioplastics\Renjie_Pan\05-Raw_Data\Lab_results\[LabSamples2025_Bioplastic_extra.xlsx]extra_Bioplastic'!A550)," ",'Q:\Abteilungsprojekte\Eng\EngData\PROJECT_Bioplastics\Renjie_Pan\05-Raw_Data\Lab_results\[LabSamples2025_Bioplastic_extra.xlsx]extra_Bioplastic'!A550)</f>
        <v/>
      </c>
      <c r="B550">
        <f>IF(ISBLANK('Q:\Abteilungsprojekte\Eng\EngData\PROJECT_Bioplastics\Renjie_Pan\05-Raw_Data\Lab_results\[LabSamples2025_Bioplastic_extra.xlsx]extra_Bioplastic'!B550)," ",'Q:\Abteilungsprojekte\Eng\EngData\PROJECT_Bioplastics\Renjie_Pan\05-Raw_Data\Lab_results\[LabSamples2025_Bioplastic_extra.xlsx]extra_Bioplastic'!B550)</f>
        <v/>
      </c>
      <c r="C550">
        <f>IF(ISBLANK('Q:\Abteilungsprojekte\Eng\EngData\PROJECT_Bioplastics\Renjie_Pan\05-Raw_Data\Lab_results\[LabSamples2025_Bioplastic_extra.xlsx]extra_Bioplastic'!C550)," ",'Q:\Abteilungsprojekte\Eng\EngData\PROJECT_Bioplastics\Renjie_Pan\05-Raw_Data\Lab_results\[LabSamples2025_Bioplastic_extra.xlsx]extra_Bioplastic'!C550)</f>
        <v/>
      </c>
      <c r="D550">
        <f>IF(ISBLANK('Q:\Abteilungsprojekte\Eng\EngData\PROJECT_Bioplastics\Renjie_Pan\05-Raw_Data\Lab_results\[LabSamples2025_Bioplastic_extra.xlsx]extra_Bioplastic'!D550)," ",'Q:\Abteilungsprojekte\Eng\EngData\PROJECT_Bioplastics\Renjie_Pan\05-Raw_Data\Lab_results\[LabSamples2025_Bioplastic_extra.xlsx]extra_Bioplastic'!D550)</f>
        <v/>
      </c>
      <c r="E550">
        <f>IF(ISBLANK('Q:\Abteilungsprojekte\Eng\EngData\PROJECT_Bioplastics\Renjie_Pan\05-Raw_Data\Lab_results\[LabSamples2025_Bioplastic_extra.xlsx]extra_Bioplastic'!E550)," ",'Q:\Abteilungsprojekte\Eng\EngData\PROJECT_Bioplastics\Renjie_Pan\05-Raw_Data\Lab_results\[LabSamples2025_Bioplastic_extra.xlsx]extra_Bioplastic'!E550)</f>
        <v/>
      </c>
      <c r="F550">
        <f>IF(ISBLANK('Q:\Abteilungsprojekte\Eng\EngData\PROJECT_Bioplastics\Renjie_Pan\05-Raw_Data\Lab_results\[LabSamples2025_Bioplastic_extra.xlsx]extra_Bioplastic'!F550)," ",'Q:\Abteilungsprojekte\Eng\EngData\PROJECT_Bioplastics\Renjie_Pan\05-Raw_Data\Lab_results\[LabSamples2025_Bioplastic_extra.xlsx]extra_Bioplastic'!F550)</f>
        <v/>
      </c>
      <c r="G550">
        <f>IF(ISBLANK('Q:\Abteilungsprojekte\Eng\EngData\PROJECT_Bioplastics\Renjie_Pan\05-Raw_Data\Lab_results\[LabSamples2025_Bioplastic_extra.xlsx]extra_Bioplastic'!G550)," ",'Q:\Abteilungsprojekte\Eng\EngData\PROJECT_Bioplastics\Renjie_Pan\05-Raw_Data\Lab_results\[LabSamples2025_Bioplastic_extra.xlsx]extra_Bioplastic'!G550)</f>
        <v/>
      </c>
      <c r="H550">
        <f>IF(ISBLANK('Q:\Abteilungsprojekte\Eng\EngData\PROJECT_Bioplastics\Renjie_Pan\05-Raw_Data\Lab_results\[LabSamples2025_Bioplastic_extra.xlsx]extra_Bioplastic'!H550)," ",'Q:\Abteilungsprojekte\Eng\EngData\PROJECT_Bioplastics\Renjie_Pan\05-Raw_Data\Lab_results\[LabSamples2025_Bioplastic_extra.xlsx]extra_Bioplastic'!H550)</f>
        <v/>
      </c>
    </row>
    <row r="551">
      <c r="A551">
        <f>IF(ISBLANK('Q:\Abteilungsprojekte\Eng\EngData\PROJECT_Bioplastics\Renjie_Pan\05-Raw_Data\Lab_results\[LabSamples2025_Bioplastic_extra.xlsx]extra_Bioplastic'!A551)," ",'Q:\Abteilungsprojekte\Eng\EngData\PROJECT_Bioplastics\Renjie_Pan\05-Raw_Data\Lab_results\[LabSamples2025_Bioplastic_extra.xlsx]extra_Bioplastic'!A551)</f>
        <v/>
      </c>
      <c r="B551">
        <f>IF(ISBLANK('Q:\Abteilungsprojekte\Eng\EngData\PROJECT_Bioplastics\Renjie_Pan\05-Raw_Data\Lab_results\[LabSamples2025_Bioplastic_extra.xlsx]extra_Bioplastic'!B551)," ",'Q:\Abteilungsprojekte\Eng\EngData\PROJECT_Bioplastics\Renjie_Pan\05-Raw_Data\Lab_results\[LabSamples2025_Bioplastic_extra.xlsx]extra_Bioplastic'!B551)</f>
        <v/>
      </c>
      <c r="C551">
        <f>IF(ISBLANK('Q:\Abteilungsprojekte\Eng\EngData\PROJECT_Bioplastics\Renjie_Pan\05-Raw_Data\Lab_results\[LabSamples2025_Bioplastic_extra.xlsx]extra_Bioplastic'!C551)," ",'Q:\Abteilungsprojekte\Eng\EngData\PROJECT_Bioplastics\Renjie_Pan\05-Raw_Data\Lab_results\[LabSamples2025_Bioplastic_extra.xlsx]extra_Bioplastic'!C551)</f>
        <v/>
      </c>
      <c r="D551">
        <f>IF(ISBLANK('Q:\Abteilungsprojekte\Eng\EngData\PROJECT_Bioplastics\Renjie_Pan\05-Raw_Data\Lab_results\[LabSamples2025_Bioplastic_extra.xlsx]extra_Bioplastic'!D551)," ",'Q:\Abteilungsprojekte\Eng\EngData\PROJECT_Bioplastics\Renjie_Pan\05-Raw_Data\Lab_results\[LabSamples2025_Bioplastic_extra.xlsx]extra_Bioplastic'!D551)</f>
        <v/>
      </c>
      <c r="E551">
        <f>IF(ISBLANK('Q:\Abteilungsprojekte\Eng\EngData\PROJECT_Bioplastics\Renjie_Pan\05-Raw_Data\Lab_results\[LabSamples2025_Bioplastic_extra.xlsx]extra_Bioplastic'!E551)," ",'Q:\Abteilungsprojekte\Eng\EngData\PROJECT_Bioplastics\Renjie_Pan\05-Raw_Data\Lab_results\[LabSamples2025_Bioplastic_extra.xlsx]extra_Bioplastic'!E551)</f>
        <v/>
      </c>
      <c r="F551">
        <f>IF(ISBLANK('Q:\Abteilungsprojekte\Eng\EngData\PROJECT_Bioplastics\Renjie_Pan\05-Raw_Data\Lab_results\[LabSamples2025_Bioplastic_extra.xlsx]extra_Bioplastic'!F551)," ",'Q:\Abteilungsprojekte\Eng\EngData\PROJECT_Bioplastics\Renjie_Pan\05-Raw_Data\Lab_results\[LabSamples2025_Bioplastic_extra.xlsx]extra_Bioplastic'!F551)</f>
        <v/>
      </c>
      <c r="G551">
        <f>IF(ISBLANK('Q:\Abteilungsprojekte\Eng\EngData\PROJECT_Bioplastics\Renjie_Pan\05-Raw_Data\Lab_results\[LabSamples2025_Bioplastic_extra.xlsx]extra_Bioplastic'!G551)," ",'Q:\Abteilungsprojekte\Eng\EngData\PROJECT_Bioplastics\Renjie_Pan\05-Raw_Data\Lab_results\[LabSamples2025_Bioplastic_extra.xlsx]extra_Bioplastic'!G551)</f>
        <v/>
      </c>
      <c r="H551">
        <f>IF(ISBLANK('Q:\Abteilungsprojekte\Eng\EngData\PROJECT_Bioplastics\Renjie_Pan\05-Raw_Data\Lab_results\[LabSamples2025_Bioplastic_extra.xlsx]extra_Bioplastic'!H551)," ",'Q:\Abteilungsprojekte\Eng\EngData\PROJECT_Bioplastics\Renjie_Pan\05-Raw_Data\Lab_results\[LabSamples2025_Bioplastic_extra.xlsx]extra_Bioplastic'!H551)</f>
        <v/>
      </c>
    </row>
    <row r="552">
      <c r="A552">
        <f>IF(ISBLANK('Q:\Abteilungsprojekte\Eng\EngData\PROJECT_Bioplastics\Renjie_Pan\05-Raw_Data\Lab_results\[LabSamples2025_Bioplastic_extra.xlsx]extra_Bioplastic'!A552)," ",'Q:\Abteilungsprojekte\Eng\EngData\PROJECT_Bioplastics\Renjie_Pan\05-Raw_Data\Lab_results\[LabSamples2025_Bioplastic_extra.xlsx]extra_Bioplastic'!A552)</f>
        <v/>
      </c>
      <c r="B552">
        <f>IF(ISBLANK('Q:\Abteilungsprojekte\Eng\EngData\PROJECT_Bioplastics\Renjie_Pan\05-Raw_Data\Lab_results\[LabSamples2025_Bioplastic_extra.xlsx]extra_Bioplastic'!B552)," ",'Q:\Abteilungsprojekte\Eng\EngData\PROJECT_Bioplastics\Renjie_Pan\05-Raw_Data\Lab_results\[LabSamples2025_Bioplastic_extra.xlsx]extra_Bioplastic'!B552)</f>
        <v/>
      </c>
      <c r="C552">
        <f>IF(ISBLANK('Q:\Abteilungsprojekte\Eng\EngData\PROJECT_Bioplastics\Renjie_Pan\05-Raw_Data\Lab_results\[LabSamples2025_Bioplastic_extra.xlsx]extra_Bioplastic'!C552)," ",'Q:\Abteilungsprojekte\Eng\EngData\PROJECT_Bioplastics\Renjie_Pan\05-Raw_Data\Lab_results\[LabSamples2025_Bioplastic_extra.xlsx]extra_Bioplastic'!C552)</f>
        <v/>
      </c>
      <c r="D552">
        <f>IF(ISBLANK('Q:\Abteilungsprojekte\Eng\EngData\PROJECT_Bioplastics\Renjie_Pan\05-Raw_Data\Lab_results\[LabSamples2025_Bioplastic_extra.xlsx]extra_Bioplastic'!D552)," ",'Q:\Abteilungsprojekte\Eng\EngData\PROJECT_Bioplastics\Renjie_Pan\05-Raw_Data\Lab_results\[LabSamples2025_Bioplastic_extra.xlsx]extra_Bioplastic'!D552)</f>
        <v/>
      </c>
      <c r="E552">
        <f>IF(ISBLANK('Q:\Abteilungsprojekte\Eng\EngData\PROJECT_Bioplastics\Renjie_Pan\05-Raw_Data\Lab_results\[LabSamples2025_Bioplastic_extra.xlsx]extra_Bioplastic'!E552)," ",'Q:\Abteilungsprojekte\Eng\EngData\PROJECT_Bioplastics\Renjie_Pan\05-Raw_Data\Lab_results\[LabSamples2025_Bioplastic_extra.xlsx]extra_Bioplastic'!E552)</f>
        <v/>
      </c>
      <c r="F552">
        <f>IF(ISBLANK('Q:\Abteilungsprojekte\Eng\EngData\PROJECT_Bioplastics\Renjie_Pan\05-Raw_Data\Lab_results\[LabSamples2025_Bioplastic_extra.xlsx]extra_Bioplastic'!F552)," ",'Q:\Abteilungsprojekte\Eng\EngData\PROJECT_Bioplastics\Renjie_Pan\05-Raw_Data\Lab_results\[LabSamples2025_Bioplastic_extra.xlsx]extra_Bioplastic'!F552)</f>
        <v/>
      </c>
      <c r="G552">
        <f>IF(ISBLANK('Q:\Abteilungsprojekte\Eng\EngData\PROJECT_Bioplastics\Renjie_Pan\05-Raw_Data\Lab_results\[LabSamples2025_Bioplastic_extra.xlsx]extra_Bioplastic'!G552)," ",'Q:\Abteilungsprojekte\Eng\EngData\PROJECT_Bioplastics\Renjie_Pan\05-Raw_Data\Lab_results\[LabSamples2025_Bioplastic_extra.xlsx]extra_Bioplastic'!G552)</f>
        <v/>
      </c>
      <c r="H552">
        <f>IF(ISBLANK('Q:\Abteilungsprojekte\Eng\EngData\PROJECT_Bioplastics\Renjie_Pan\05-Raw_Data\Lab_results\[LabSamples2025_Bioplastic_extra.xlsx]extra_Bioplastic'!H552)," ",'Q:\Abteilungsprojekte\Eng\EngData\PROJECT_Bioplastics\Renjie_Pan\05-Raw_Data\Lab_results\[LabSamples2025_Bioplastic_extra.xlsx]extra_Bioplastic'!H552)</f>
        <v/>
      </c>
    </row>
    <row r="553">
      <c r="A553">
        <f>IF(ISBLANK('Q:\Abteilungsprojekte\Eng\EngData\PROJECT_Bioplastics\Renjie_Pan\05-Raw_Data\Lab_results\[LabSamples2025_Bioplastic_extra.xlsx]extra_Bioplastic'!A553)," ",'Q:\Abteilungsprojekte\Eng\EngData\PROJECT_Bioplastics\Renjie_Pan\05-Raw_Data\Lab_results\[LabSamples2025_Bioplastic_extra.xlsx]extra_Bioplastic'!A553)</f>
        <v/>
      </c>
      <c r="B553">
        <f>IF(ISBLANK('Q:\Abteilungsprojekte\Eng\EngData\PROJECT_Bioplastics\Renjie_Pan\05-Raw_Data\Lab_results\[LabSamples2025_Bioplastic_extra.xlsx]extra_Bioplastic'!B553)," ",'Q:\Abteilungsprojekte\Eng\EngData\PROJECT_Bioplastics\Renjie_Pan\05-Raw_Data\Lab_results\[LabSamples2025_Bioplastic_extra.xlsx]extra_Bioplastic'!B553)</f>
        <v/>
      </c>
      <c r="C553">
        <f>IF(ISBLANK('Q:\Abteilungsprojekte\Eng\EngData\PROJECT_Bioplastics\Renjie_Pan\05-Raw_Data\Lab_results\[LabSamples2025_Bioplastic_extra.xlsx]extra_Bioplastic'!C553)," ",'Q:\Abteilungsprojekte\Eng\EngData\PROJECT_Bioplastics\Renjie_Pan\05-Raw_Data\Lab_results\[LabSamples2025_Bioplastic_extra.xlsx]extra_Bioplastic'!C553)</f>
        <v/>
      </c>
      <c r="D553">
        <f>IF(ISBLANK('Q:\Abteilungsprojekte\Eng\EngData\PROJECT_Bioplastics\Renjie_Pan\05-Raw_Data\Lab_results\[LabSamples2025_Bioplastic_extra.xlsx]extra_Bioplastic'!D553)," ",'Q:\Abteilungsprojekte\Eng\EngData\PROJECT_Bioplastics\Renjie_Pan\05-Raw_Data\Lab_results\[LabSamples2025_Bioplastic_extra.xlsx]extra_Bioplastic'!D553)</f>
        <v/>
      </c>
      <c r="E553">
        <f>IF(ISBLANK('Q:\Abteilungsprojekte\Eng\EngData\PROJECT_Bioplastics\Renjie_Pan\05-Raw_Data\Lab_results\[LabSamples2025_Bioplastic_extra.xlsx]extra_Bioplastic'!E553)," ",'Q:\Abteilungsprojekte\Eng\EngData\PROJECT_Bioplastics\Renjie_Pan\05-Raw_Data\Lab_results\[LabSamples2025_Bioplastic_extra.xlsx]extra_Bioplastic'!E553)</f>
        <v/>
      </c>
      <c r="F553">
        <f>IF(ISBLANK('Q:\Abteilungsprojekte\Eng\EngData\PROJECT_Bioplastics\Renjie_Pan\05-Raw_Data\Lab_results\[LabSamples2025_Bioplastic_extra.xlsx]extra_Bioplastic'!F553)," ",'Q:\Abteilungsprojekte\Eng\EngData\PROJECT_Bioplastics\Renjie_Pan\05-Raw_Data\Lab_results\[LabSamples2025_Bioplastic_extra.xlsx]extra_Bioplastic'!F553)</f>
        <v/>
      </c>
      <c r="G553">
        <f>IF(ISBLANK('Q:\Abteilungsprojekte\Eng\EngData\PROJECT_Bioplastics\Renjie_Pan\05-Raw_Data\Lab_results\[LabSamples2025_Bioplastic_extra.xlsx]extra_Bioplastic'!G553)," ",'Q:\Abteilungsprojekte\Eng\EngData\PROJECT_Bioplastics\Renjie_Pan\05-Raw_Data\Lab_results\[LabSamples2025_Bioplastic_extra.xlsx]extra_Bioplastic'!G553)</f>
        <v/>
      </c>
      <c r="H553">
        <f>IF(ISBLANK('Q:\Abteilungsprojekte\Eng\EngData\PROJECT_Bioplastics\Renjie_Pan\05-Raw_Data\Lab_results\[LabSamples2025_Bioplastic_extra.xlsx]extra_Bioplastic'!H553)," ",'Q:\Abteilungsprojekte\Eng\EngData\PROJECT_Bioplastics\Renjie_Pan\05-Raw_Data\Lab_results\[LabSamples2025_Bioplastic_extra.xlsx]extra_Bioplastic'!H553)</f>
        <v/>
      </c>
    </row>
    <row r="554">
      <c r="A554">
        <f>IF(ISBLANK('Q:\Abteilungsprojekte\Eng\EngData\PROJECT_Bioplastics\Renjie_Pan\05-Raw_Data\Lab_results\[LabSamples2025_Bioplastic_extra.xlsx]extra_Bioplastic'!A554)," ",'Q:\Abteilungsprojekte\Eng\EngData\PROJECT_Bioplastics\Renjie_Pan\05-Raw_Data\Lab_results\[LabSamples2025_Bioplastic_extra.xlsx]extra_Bioplastic'!A554)</f>
        <v/>
      </c>
      <c r="B554">
        <f>IF(ISBLANK('Q:\Abteilungsprojekte\Eng\EngData\PROJECT_Bioplastics\Renjie_Pan\05-Raw_Data\Lab_results\[LabSamples2025_Bioplastic_extra.xlsx]extra_Bioplastic'!B554)," ",'Q:\Abteilungsprojekte\Eng\EngData\PROJECT_Bioplastics\Renjie_Pan\05-Raw_Data\Lab_results\[LabSamples2025_Bioplastic_extra.xlsx]extra_Bioplastic'!B554)</f>
        <v/>
      </c>
      <c r="C554">
        <f>IF(ISBLANK('Q:\Abteilungsprojekte\Eng\EngData\PROJECT_Bioplastics\Renjie_Pan\05-Raw_Data\Lab_results\[LabSamples2025_Bioplastic_extra.xlsx]extra_Bioplastic'!C554)," ",'Q:\Abteilungsprojekte\Eng\EngData\PROJECT_Bioplastics\Renjie_Pan\05-Raw_Data\Lab_results\[LabSamples2025_Bioplastic_extra.xlsx]extra_Bioplastic'!C554)</f>
        <v/>
      </c>
      <c r="D554">
        <f>IF(ISBLANK('Q:\Abteilungsprojekte\Eng\EngData\PROJECT_Bioplastics\Renjie_Pan\05-Raw_Data\Lab_results\[LabSamples2025_Bioplastic_extra.xlsx]extra_Bioplastic'!D554)," ",'Q:\Abteilungsprojekte\Eng\EngData\PROJECT_Bioplastics\Renjie_Pan\05-Raw_Data\Lab_results\[LabSamples2025_Bioplastic_extra.xlsx]extra_Bioplastic'!D554)</f>
        <v/>
      </c>
      <c r="E554">
        <f>IF(ISBLANK('Q:\Abteilungsprojekte\Eng\EngData\PROJECT_Bioplastics\Renjie_Pan\05-Raw_Data\Lab_results\[LabSamples2025_Bioplastic_extra.xlsx]extra_Bioplastic'!E554)," ",'Q:\Abteilungsprojekte\Eng\EngData\PROJECT_Bioplastics\Renjie_Pan\05-Raw_Data\Lab_results\[LabSamples2025_Bioplastic_extra.xlsx]extra_Bioplastic'!E554)</f>
        <v/>
      </c>
      <c r="F554">
        <f>IF(ISBLANK('Q:\Abteilungsprojekte\Eng\EngData\PROJECT_Bioplastics\Renjie_Pan\05-Raw_Data\Lab_results\[LabSamples2025_Bioplastic_extra.xlsx]extra_Bioplastic'!F554)," ",'Q:\Abteilungsprojekte\Eng\EngData\PROJECT_Bioplastics\Renjie_Pan\05-Raw_Data\Lab_results\[LabSamples2025_Bioplastic_extra.xlsx]extra_Bioplastic'!F554)</f>
        <v/>
      </c>
      <c r="G554">
        <f>IF(ISBLANK('Q:\Abteilungsprojekte\Eng\EngData\PROJECT_Bioplastics\Renjie_Pan\05-Raw_Data\Lab_results\[LabSamples2025_Bioplastic_extra.xlsx]extra_Bioplastic'!G554)," ",'Q:\Abteilungsprojekte\Eng\EngData\PROJECT_Bioplastics\Renjie_Pan\05-Raw_Data\Lab_results\[LabSamples2025_Bioplastic_extra.xlsx]extra_Bioplastic'!G554)</f>
        <v/>
      </c>
      <c r="H554">
        <f>IF(ISBLANK('Q:\Abteilungsprojekte\Eng\EngData\PROJECT_Bioplastics\Renjie_Pan\05-Raw_Data\Lab_results\[LabSamples2025_Bioplastic_extra.xlsx]extra_Bioplastic'!H554)," ",'Q:\Abteilungsprojekte\Eng\EngData\PROJECT_Bioplastics\Renjie_Pan\05-Raw_Data\Lab_results\[LabSamples2025_Bioplastic_extra.xlsx]extra_Bioplastic'!H554)</f>
        <v/>
      </c>
    </row>
    <row r="555">
      <c r="A555">
        <f>IF(ISBLANK('Q:\Abteilungsprojekte\Eng\EngData\PROJECT_Bioplastics\Renjie_Pan\05-Raw_Data\Lab_results\[LabSamples2025_Bioplastic_extra.xlsx]extra_Bioplastic'!A555)," ",'Q:\Abteilungsprojekte\Eng\EngData\PROJECT_Bioplastics\Renjie_Pan\05-Raw_Data\Lab_results\[LabSamples2025_Bioplastic_extra.xlsx]extra_Bioplastic'!A555)</f>
        <v/>
      </c>
      <c r="B555">
        <f>IF(ISBLANK('Q:\Abteilungsprojekte\Eng\EngData\PROJECT_Bioplastics\Renjie_Pan\05-Raw_Data\Lab_results\[LabSamples2025_Bioplastic_extra.xlsx]extra_Bioplastic'!B555)," ",'Q:\Abteilungsprojekte\Eng\EngData\PROJECT_Bioplastics\Renjie_Pan\05-Raw_Data\Lab_results\[LabSamples2025_Bioplastic_extra.xlsx]extra_Bioplastic'!B555)</f>
        <v/>
      </c>
      <c r="C555">
        <f>IF(ISBLANK('Q:\Abteilungsprojekte\Eng\EngData\PROJECT_Bioplastics\Renjie_Pan\05-Raw_Data\Lab_results\[LabSamples2025_Bioplastic_extra.xlsx]extra_Bioplastic'!C555)," ",'Q:\Abteilungsprojekte\Eng\EngData\PROJECT_Bioplastics\Renjie_Pan\05-Raw_Data\Lab_results\[LabSamples2025_Bioplastic_extra.xlsx]extra_Bioplastic'!C555)</f>
        <v/>
      </c>
      <c r="D555">
        <f>IF(ISBLANK('Q:\Abteilungsprojekte\Eng\EngData\PROJECT_Bioplastics\Renjie_Pan\05-Raw_Data\Lab_results\[LabSamples2025_Bioplastic_extra.xlsx]extra_Bioplastic'!D555)," ",'Q:\Abteilungsprojekte\Eng\EngData\PROJECT_Bioplastics\Renjie_Pan\05-Raw_Data\Lab_results\[LabSamples2025_Bioplastic_extra.xlsx]extra_Bioplastic'!D555)</f>
        <v/>
      </c>
      <c r="E555">
        <f>IF(ISBLANK('Q:\Abteilungsprojekte\Eng\EngData\PROJECT_Bioplastics\Renjie_Pan\05-Raw_Data\Lab_results\[LabSamples2025_Bioplastic_extra.xlsx]extra_Bioplastic'!E555)," ",'Q:\Abteilungsprojekte\Eng\EngData\PROJECT_Bioplastics\Renjie_Pan\05-Raw_Data\Lab_results\[LabSamples2025_Bioplastic_extra.xlsx]extra_Bioplastic'!E555)</f>
        <v/>
      </c>
      <c r="F555">
        <f>IF(ISBLANK('Q:\Abteilungsprojekte\Eng\EngData\PROJECT_Bioplastics\Renjie_Pan\05-Raw_Data\Lab_results\[LabSamples2025_Bioplastic_extra.xlsx]extra_Bioplastic'!F555)," ",'Q:\Abteilungsprojekte\Eng\EngData\PROJECT_Bioplastics\Renjie_Pan\05-Raw_Data\Lab_results\[LabSamples2025_Bioplastic_extra.xlsx]extra_Bioplastic'!F555)</f>
        <v/>
      </c>
      <c r="G555">
        <f>IF(ISBLANK('Q:\Abteilungsprojekte\Eng\EngData\PROJECT_Bioplastics\Renjie_Pan\05-Raw_Data\Lab_results\[LabSamples2025_Bioplastic_extra.xlsx]extra_Bioplastic'!G555)," ",'Q:\Abteilungsprojekte\Eng\EngData\PROJECT_Bioplastics\Renjie_Pan\05-Raw_Data\Lab_results\[LabSamples2025_Bioplastic_extra.xlsx]extra_Bioplastic'!G555)</f>
        <v/>
      </c>
      <c r="H555">
        <f>IF(ISBLANK('Q:\Abteilungsprojekte\Eng\EngData\PROJECT_Bioplastics\Renjie_Pan\05-Raw_Data\Lab_results\[LabSamples2025_Bioplastic_extra.xlsx]extra_Bioplastic'!H555)," ",'Q:\Abteilungsprojekte\Eng\EngData\PROJECT_Bioplastics\Renjie_Pan\05-Raw_Data\Lab_results\[LabSamples2025_Bioplastic_extra.xlsx]extra_Bioplastic'!H555)</f>
        <v/>
      </c>
    </row>
    <row r="556">
      <c r="A556">
        <f>IF(ISBLANK('Q:\Abteilungsprojekte\Eng\EngData\PROJECT_Bioplastics\Renjie_Pan\05-Raw_Data\Lab_results\[LabSamples2025_Bioplastic_extra.xlsx]extra_Bioplastic'!A556)," ",'Q:\Abteilungsprojekte\Eng\EngData\PROJECT_Bioplastics\Renjie_Pan\05-Raw_Data\Lab_results\[LabSamples2025_Bioplastic_extra.xlsx]extra_Bioplastic'!A556)</f>
        <v/>
      </c>
      <c r="B556">
        <f>IF(ISBLANK('Q:\Abteilungsprojekte\Eng\EngData\PROJECT_Bioplastics\Renjie_Pan\05-Raw_Data\Lab_results\[LabSamples2025_Bioplastic_extra.xlsx]extra_Bioplastic'!B556)," ",'Q:\Abteilungsprojekte\Eng\EngData\PROJECT_Bioplastics\Renjie_Pan\05-Raw_Data\Lab_results\[LabSamples2025_Bioplastic_extra.xlsx]extra_Bioplastic'!B556)</f>
        <v/>
      </c>
      <c r="C556">
        <f>IF(ISBLANK('Q:\Abteilungsprojekte\Eng\EngData\PROJECT_Bioplastics\Renjie_Pan\05-Raw_Data\Lab_results\[LabSamples2025_Bioplastic_extra.xlsx]extra_Bioplastic'!C556)," ",'Q:\Abteilungsprojekte\Eng\EngData\PROJECT_Bioplastics\Renjie_Pan\05-Raw_Data\Lab_results\[LabSamples2025_Bioplastic_extra.xlsx]extra_Bioplastic'!C556)</f>
        <v/>
      </c>
      <c r="D556">
        <f>IF(ISBLANK('Q:\Abteilungsprojekte\Eng\EngData\PROJECT_Bioplastics\Renjie_Pan\05-Raw_Data\Lab_results\[LabSamples2025_Bioplastic_extra.xlsx]extra_Bioplastic'!D556)," ",'Q:\Abteilungsprojekte\Eng\EngData\PROJECT_Bioplastics\Renjie_Pan\05-Raw_Data\Lab_results\[LabSamples2025_Bioplastic_extra.xlsx]extra_Bioplastic'!D556)</f>
        <v/>
      </c>
      <c r="E556">
        <f>IF(ISBLANK('Q:\Abteilungsprojekte\Eng\EngData\PROJECT_Bioplastics\Renjie_Pan\05-Raw_Data\Lab_results\[LabSamples2025_Bioplastic_extra.xlsx]extra_Bioplastic'!E556)," ",'Q:\Abteilungsprojekte\Eng\EngData\PROJECT_Bioplastics\Renjie_Pan\05-Raw_Data\Lab_results\[LabSamples2025_Bioplastic_extra.xlsx]extra_Bioplastic'!E556)</f>
        <v/>
      </c>
      <c r="F556">
        <f>IF(ISBLANK('Q:\Abteilungsprojekte\Eng\EngData\PROJECT_Bioplastics\Renjie_Pan\05-Raw_Data\Lab_results\[LabSamples2025_Bioplastic_extra.xlsx]extra_Bioplastic'!F556)," ",'Q:\Abteilungsprojekte\Eng\EngData\PROJECT_Bioplastics\Renjie_Pan\05-Raw_Data\Lab_results\[LabSamples2025_Bioplastic_extra.xlsx]extra_Bioplastic'!F556)</f>
        <v/>
      </c>
      <c r="G556">
        <f>IF(ISBLANK('Q:\Abteilungsprojekte\Eng\EngData\PROJECT_Bioplastics\Renjie_Pan\05-Raw_Data\Lab_results\[LabSamples2025_Bioplastic_extra.xlsx]extra_Bioplastic'!G556)," ",'Q:\Abteilungsprojekte\Eng\EngData\PROJECT_Bioplastics\Renjie_Pan\05-Raw_Data\Lab_results\[LabSamples2025_Bioplastic_extra.xlsx]extra_Bioplastic'!G556)</f>
        <v/>
      </c>
      <c r="H556">
        <f>IF(ISBLANK('Q:\Abteilungsprojekte\Eng\EngData\PROJECT_Bioplastics\Renjie_Pan\05-Raw_Data\Lab_results\[LabSamples2025_Bioplastic_extra.xlsx]extra_Bioplastic'!H556)," ",'Q:\Abteilungsprojekte\Eng\EngData\PROJECT_Bioplastics\Renjie_Pan\05-Raw_Data\Lab_results\[LabSamples2025_Bioplastic_extra.xlsx]extra_Bioplastic'!H556)</f>
        <v/>
      </c>
    </row>
    <row r="557">
      <c r="A557">
        <f>IF(ISBLANK('Q:\Abteilungsprojekte\Eng\EngData\PROJECT_Bioplastics\Renjie_Pan\05-Raw_Data\Lab_results\[LabSamples2025_Bioplastic_extra.xlsx]extra_Bioplastic'!A557)," ",'Q:\Abteilungsprojekte\Eng\EngData\PROJECT_Bioplastics\Renjie_Pan\05-Raw_Data\Lab_results\[LabSamples2025_Bioplastic_extra.xlsx]extra_Bioplastic'!A557)</f>
        <v/>
      </c>
      <c r="B557">
        <f>IF(ISBLANK('Q:\Abteilungsprojekte\Eng\EngData\PROJECT_Bioplastics\Renjie_Pan\05-Raw_Data\Lab_results\[LabSamples2025_Bioplastic_extra.xlsx]extra_Bioplastic'!B557)," ",'Q:\Abteilungsprojekte\Eng\EngData\PROJECT_Bioplastics\Renjie_Pan\05-Raw_Data\Lab_results\[LabSamples2025_Bioplastic_extra.xlsx]extra_Bioplastic'!B557)</f>
        <v/>
      </c>
      <c r="C557">
        <f>IF(ISBLANK('Q:\Abteilungsprojekte\Eng\EngData\PROJECT_Bioplastics\Renjie_Pan\05-Raw_Data\Lab_results\[LabSamples2025_Bioplastic_extra.xlsx]extra_Bioplastic'!C557)," ",'Q:\Abteilungsprojekte\Eng\EngData\PROJECT_Bioplastics\Renjie_Pan\05-Raw_Data\Lab_results\[LabSamples2025_Bioplastic_extra.xlsx]extra_Bioplastic'!C557)</f>
        <v/>
      </c>
      <c r="D557">
        <f>IF(ISBLANK('Q:\Abteilungsprojekte\Eng\EngData\PROJECT_Bioplastics\Renjie_Pan\05-Raw_Data\Lab_results\[LabSamples2025_Bioplastic_extra.xlsx]extra_Bioplastic'!D557)," ",'Q:\Abteilungsprojekte\Eng\EngData\PROJECT_Bioplastics\Renjie_Pan\05-Raw_Data\Lab_results\[LabSamples2025_Bioplastic_extra.xlsx]extra_Bioplastic'!D557)</f>
        <v/>
      </c>
      <c r="E557">
        <f>IF(ISBLANK('Q:\Abteilungsprojekte\Eng\EngData\PROJECT_Bioplastics\Renjie_Pan\05-Raw_Data\Lab_results\[LabSamples2025_Bioplastic_extra.xlsx]extra_Bioplastic'!E557)," ",'Q:\Abteilungsprojekte\Eng\EngData\PROJECT_Bioplastics\Renjie_Pan\05-Raw_Data\Lab_results\[LabSamples2025_Bioplastic_extra.xlsx]extra_Bioplastic'!E557)</f>
        <v/>
      </c>
      <c r="F557">
        <f>IF(ISBLANK('Q:\Abteilungsprojekte\Eng\EngData\PROJECT_Bioplastics\Renjie_Pan\05-Raw_Data\Lab_results\[LabSamples2025_Bioplastic_extra.xlsx]extra_Bioplastic'!F557)," ",'Q:\Abteilungsprojekte\Eng\EngData\PROJECT_Bioplastics\Renjie_Pan\05-Raw_Data\Lab_results\[LabSamples2025_Bioplastic_extra.xlsx]extra_Bioplastic'!F557)</f>
        <v/>
      </c>
      <c r="G557">
        <f>IF(ISBLANK('Q:\Abteilungsprojekte\Eng\EngData\PROJECT_Bioplastics\Renjie_Pan\05-Raw_Data\Lab_results\[LabSamples2025_Bioplastic_extra.xlsx]extra_Bioplastic'!G557)," ",'Q:\Abteilungsprojekte\Eng\EngData\PROJECT_Bioplastics\Renjie_Pan\05-Raw_Data\Lab_results\[LabSamples2025_Bioplastic_extra.xlsx]extra_Bioplastic'!G557)</f>
        <v/>
      </c>
      <c r="H557">
        <f>IF(ISBLANK('Q:\Abteilungsprojekte\Eng\EngData\PROJECT_Bioplastics\Renjie_Pan\05-Raw_Data\Lab_results\[LabSamples2025_Bioplastic_extra.xlsx]extra_Bioplastic'!H557)," ",'Q:\Abteilungsprojekte\Eng\EngData\PROJECT_Bioplastics\Renjie_Pan\05-Raw_Data\Lab_results\[LabSamples2025_Bioplastic_extra.xlsx]extra_Bioplastic'!H557)</f>
        <v/>
      </c>
    </row>
    <row r="558">
      <c r="A558">
        <f>IF(ISBLANK('Q:\Abteilungsprojekte\Eng\EngData\PROJECT_Bioplastics\Renjie_Pan\05-Raw_Data\Lab_results\[LabSamples2025_Bioplastic_extra.xlsx]extra_Bioplastic'!A558)," ",'Q:\Abteilungsprojekte\Eng\EngData\PROJECT_Bioplastics\Renjie_Pan\05-Raw_Data\Lab_results\[LabSamples2025_Bioplastic_extra.xlsx]extra_Bioplastic'!A558)</f>
        <v/>
      </c>
      <c r="B558">
        <f>IF(ISBLANK('Q:\Abteilungsprojekte\Eng\EngData\PROJECT_Bioplastics\Renjie_Pan\05-Raw_Data\Lab_results\[LabSamples2025_Bioplastic_extra.xlsx]extra_Bioplastic'!B558)," ",'Q:\Abteilungsprojekte\Eng\EngData\PROJECT_Bioplastics\Renjie_Pan\05-Raw_Data\Lab_results\[LabSamples2025_Bioplastic_extra.xlsx]extra_Bioplastic'!B558)</f>
        <v/>
      </c>
      <c r="C558">
        <f>IF(ISBLANK('Q:\Abteilungsprojekte\Eng\EngData\PROJECT_Bioplastics\Renjie_Pan\05-Raw_Data\Lab_results\[LabSamples2025_Bioplastic_extra.xlsx]extra_Bioplastic'!C558)," ",'Q:\Abteilungsprojekte\Eng\EngData\PROJECT_Bioplastics\Renjie_Pan\05-Raw_Data\Lab_results\[LabSamples2025_Bioplastic_extra.xlsx]extra_Bioplastic'!C558)</f>
        <v/>
      </c>
      <c r="D558">
        <f>IF(ISBLANK('Q:\Abteilungsprojekte\Eng\EngData\PROJECT_Bioplastics\Renjie_Pan\05-Raw_Data\Lab_results\[LabSamples2025_Bioplastic_extra.xlsx]extra_Bioplastic'!D558)," ",'Q:\Abteilungsprojekte\Eng\EngData\PROJECT_Bioplastics\Renjie_Pan\05-Raw_Data\Lab_results\[LabSamples2025_Bioplastic_extra.xlsx]extra_Bioplastic'!D558)</f>
        <v/>
      </c>
      <c r="E558">
        <f>IF(ISBLANK('Q:\Abteilungsprojekte\Eng\EngData\PROJECT_Bioplastics\Renjie_Pan\05-Raw_Data\Lab_results\[LabSamples2025_Bioplastic_extra.xlsx]extra_Bioplastic'!E558)," ",'Q:\Abteilungsprojekte\Eng\EngData\PROJECT_Bioplastics\Renjie_Pan\05-Raw_Data\Lab_results\[LabSamples2025_Bioplastic_extra.xlsx]extra_Bioplastic'!E558)</f>
        <v/>
      </c>
      <c r="F558">
        <f>IF(ISBLANK('Q:\Abteilungsprojekte\Eng\EngData\PROJECT_Bioplastics\Renjie_Pan\05-Raw_Data\Lab_results\[LabSamples2025_Bioplastic_extra.xlsx]extra_Bioplastic'!F558)," ",'Q:\Abteilungsprojekte\Eng\EngData\PROJECT_Bioplastics\Renjie_Pan\05-Raw_Data\Lab_results\[LabSamples2025_Bioplastic_extra.xlsx]extra_Bioplastic'!F558)</f>
        <v/>
      </c>
      <c r="G558">
        <f>IF(ISBLANK('Q:\Abteilungsprojekte\Eng\EngData\PROJECT_Bioplastics\Renjie_Pan\05-Raw_Data\Lab_results\[LabSamples2025_Bioplastic_extra.xlsx]extra_Bioplastic'!G558)," ",'Q:\Abteilungsprojekte\Eng\EngData\PROJECT_Bioplastics\Renjie_Pan\05-Raw_Data\Lab_results\[LabSamples2025_Bioplastic_extra.xlsx]extra_Bioplastic'!G558)</f>
        <v/>
      </c>
      <c r="H558">
        <f>IF(ISBLANK('Q:\Abteilungsprojekte\Eng\EngData\PROJECT_Bioplastics\Renjie_Pan\05-Raw_Data\Lab_results\[LabSamples2025_Bioplastic_extra.xlsx]extra_Bioplastic'!H558)," ",'Q:\Abteilungsprojekte\Eng\EngData\PROJECT_Bioplastics\Renjie_Pan\05-Raw_Data\Lab_results\[LabSamples2025_Bioplastic_extra.xlsx]extra_Bioplastic'!H558)</f>
        <v/>
      </c>
    </row>
    <row r="559">
      <c r="A559">
        <f>IF(ISBLANK('Q:\Abteilungsprojekte\Eng\EngData\PROJECT_Bioplastics\Renjie_Pan\05-Raw_Data\Lab_results\[LabSamples2025_Bioplastic_extra.xlsx]extra_Bioplastic'!A559)," ",'Q:\Abteilungsprojekte\Eng\EngData\PROJECT_Bioplastics\Renjie_Pan\05-Raw_Data\Lab_results\[LabSamples2025_Bioplastic_extra.xlsx]extra_Bioplastic'!A559)</f>
        <v/>
      </c>
      <c r="B559">
        <f>IF(ISBLANK('Q:\Abteilungsprojekte\Eng\EngData\PROJECT_Bioplastics\Renjie_Pan\05-Raw_Data\Lab_results\[LabSamples2025_Bioplastic_extra.xlsx]extra_Bioplastic'!B559)," ",'Q:\Abteilungsprojekte\Eng\EngData\PROJECT_Bioplastics\Renjie_Pan\05-Raw_Data\Lab_results\[LabSamples2025_Bioplastic_extra.xlsx]extra_Bioplastic'!B559)</f>
        <v/>
      </c>
      <c r="C559">
        <f>IF(ISBLANK('Q:\Abteilungsprojekte\Eng\EngData\PROJECT_Bioplastics\Renjie_Pan\05-Raw_Data\Lab_results\[LabSamples2025_Bioplastic_extra.xlsx]extra_Bioplastic'!C559)," ",'Q:\Abteilungsprojekte\Eng\EngData\PROJECT_Bioplastics\Renjie_Pan\05-Raw_Data\Lab_results\[LabSamples2025_Bioplastic_extra.xlsx]extra_Bioplastic'!C559)</f>
        <v/>
      </c>
      <c r="D559">
        <f>IF(ISBLANK('Q:\Abteilungsprojekte\Eng\EngData\PROJECT_Bioplastics\Renjie_Pan\05-Raw_Data\Lab_results\[LabSamples2025_Bioplastic_extra.xlsx]extra_Bioplastic'!D559)," ",'Q:\Abteilungsprojekte\Eng\EngData\PROJECT_Bioplastics\Renjie_Pan\05-Raw_Data\Lab_results\[LabSamples2025_Bioplastic_extra.xlsx]extra_Bioplastic'!D559)</f>
        <v/>
      </c>
      <c r="E559">
        <f>IF(ISBLANK('Q:\Abteilungsprojekte\Eng\EngData\PROJECT_Bioplastics\Renjie_Pan\05-Raw_Data\Lab_results\[LabSamples2025_Bioplastic_extra.xlsx]extra_Bioplastic'!E559)," ",'Q:\Abteilungsprojekte\Eng\EngData\PROJECT_Bioplastics\Renjie_Pan\05-Raw_Data\Lab_results\[LabSamples2025_Bioplastic_extra.xlsx]extra_Bioplastic'!E559)</f>
        <v/>
      </c>
      <c r="F559">
        <f>IF(ISBLANK('Q:\Abteilungsprojekte\Eng\EngData\PROJECT_Bioplastics\Renjie_Pan\05-Raw_Data\Lab_results\[LabSamples2025_Bioplastic_extra.xlsx]extra_Bioplastic'!F559)," ",'Q:\Abteilungsprojekte\Eng\EngData\PROJECT_Bioplastics\Renjie_Pan\05-Raw_Data\Lab_results\[LabSamples2025_Bioplastic_extra.xlsx]extra_Bioplastic'!F559)</f>
        <v/>
      </c>
      <c r="G559">
        <f>IF(ISBLANK('Q:\Abteilungsprojekte\Eng\EngData\PROJECT_Bioplastics\Renjie_Pan\05-Raw_Data\Lab_results\[LabSamples2025_Bioplastic_extra.xlsx]extra_Bioplastic'!G559)," ",'Q:\Abteilungsprojekte\Eng\EngData\PROJECT_Bioplastics\Renjie_Pan\05-Raw_Data\Lab_results\[LabSamples2025_Bioplastic_extra.xlsx]extra_Bioplastic'!G559)</f>
        <v/>
      </c>
      <c r="H559">
        <f>IF(ISBLANK('Q:\Abteilungsprojekte\Eng\EngData\PROJECT_Bioplastics\Renjie_Pan\05-Raw_Data\Lab_results\[LabSamples2025_Bioplastic_extra.xlsx]extra_Bioplastic'!H559)," ",'Q:\Abteilungsprojekte\Eng\EngData\PROJECT_Bioplastics\Renjie_Pan\05-Raw_Data\Lab_results\[LabSamples2025_Bioplastic_extra.xlsx]extra_Bioplastic'!H559)</f>
        <v/>
      </c>
    </row>
    <row r="560">
      <c r="A560">
        <f>IF(ISBLANK('Q:\Abteilungsprojekte\Eng\EngData\PROJECT_Bioplastics\Renjie_Pan\05-Raw_Data\Lab_results\[LabSamples2025_Bioplastic_extra.xlsx]extra_Bioplastic'!A560)," ",'Q:\Abteilungsprojekte\Eng\EngData\PROJECT_Bioplastics\Renjie_Pan\05-Raw_Data\Lab_results\[LabSamples2025_Bioplastic_extra.xlsx]extra_Bioplastic'!A560)</f>
        <v/>
      </c>
      <c r="B560">
        <f>IF(ISBLANK('Q:\Abteilungsprojekte\Eng\EngData\PROJECT_Bioplastics\Renjie_Pan\05-Raw_Data\Lab_results\[LabSamples2025_Bioplastic_extra.xlsx]extra_Bioplastic'!B560)," ",'Q:\Abteilungsprojekte\Eng\EngData\PROJECT_Bioplastics\Renjie_Pan\05-Raw_Data\Lab_results\[LabSamples2025_Bioplastic_extra.xlsx]extra_Bioplastic'!B560)</f>
        <v/>
      </c>
      <c r="C560">
        <f>IF(ISBLANK('Q:\Abteilungsprojekte\Eng\EngData\PROJECT_Bioplastics\Renjie_Pan\05-Raw_Data\Lab_results\[LabSamples2025_Bioplastic_extra.xlsx]extra_Bioplastic'!C560)," ",'Q:\Abteilungsprojekte\Eng\EngData\PROJECT_Bioplastics\Renjie_Pan\05-Raw_Data\Lab_results\[LabSamples2025_Bioplastic_extra.xlsx]extra_Bioplastic'!C560)</f>
        <v/>
      </c>
      <c r="D560">
        <f>IF(ISBLANK('Q:\Abteilungsprojekte\Eng\EngData\PROJECT_Bioplastics\Renjie_Pan\05-Raw_Data\Lab_results\[LabSamples2025_Bioplastic_extra.xlsx]extra_Bioplastic'!D560)," ",'Q:\Abteilungsprojekte\Eng\EngData\PROJECT_Bioplastics\Renjie_Pan\05-Raw_Data\Lab_results\[LabSamples2025_Bioplastic_extra.xlsx]extra_Bioplastic'!D560)</f>
        <v/>
      </c>
      <c r="E560">
        <f>IF(ISBLANK('Q:\Abteilungsprojekte\Eng\EngData\PROJECT_Bioplastics\Renjie_Pan\05-Raw_Data\Lab_results\[LabSamples2025_Bioplastic_extra.xlsx]extra_Bioplastic'!E560)," ",'Q:\Abteilungsprojekte\Eng\EngData\PROJECT_Bioplastics\Renjie_Pan\05-Raw_Data\Lab_results\[LabSamples2025_Bioplastic_extra.xlsx]extra_Bioplastic'!E560)</f>
        <v/>
      </c>
      <c r="F560">
        <f>IF(ISBLANK('Q:\Abteilungsprojekte\Eng\EngData\PROJECT_Bioplastics\Renjie_Pan\05-Raw_Data\Lab_results\[LabSamples2025_Bioplastic_extra.xlsx]extra_Bioplastic'!F560)," ",'Q:\Abteilungsprojekte\Eng\EngData\PROJECT_Bioplastics\Renjie_Pan\05-Raw_Data\Lab_results\[LabSamples2025_Bioplastic_extra.xlsx]extra_Bioplastic'!F560)</f>
        <v/>
      </c>
      <c r="G560">
        <f>IF(ISBLANK('Q:\Abteilungsprojekte\Eng\EngData\PROJECT_Bioplastics\Renjie_Pan\05-Raw_Data\Lab_results\[LabSamples2025_Bioplastic_extra.xlsx]extra_Bioplastic'!G560)," ",'Q:\Abteilungsprojekte\Eng\EngData\PROJECT_Bioplastics\Renjie_Pan\05-Raw_Data\Lab_results\[LabSamples2025_Bioplastic_extra.xlsx]extra_Bioplastic'!G560)</f>
        <v/>
      </c>
      <c r="H560">
        <f>IF(ISBLANK('Q:\Abteilungsprojekte\Eng\EngData\PROJECT_Bioplastics\Renjie_Pan\05-Raw_Data\Lab_results\[LabSamples2025_Bioplastic_extra.xlsx]extra_Bioplastic'!H560)," ",'Q:\Abteilungsprojekte\Eng\EngData\PROJECT_Bioplastics\Renjie_Pan\05-Raw_Data\Lab_results\[LabSamples2025_Bioplastic_extra.xlsx]extra_Bioplastic'!H560)</f>
        <v/>
      </c>
    </row>
    <row r="561">
      <c r="A561">
        <f>IF(ISBLANK('Q:\Abteilungsprojekte\Eng\EngData\PROJECT_Bioplastics\Renjie_Pan\05-Raw_Data\Lab_results\[LabSamples2025_Bioplastic_extra.xlsx]extra_Bioplastic'!A561)," ",'Q:\Abteilungsprojekte\Eng\EngData\PROJECT_Bioplastics\Renjie_Pan\05-Raw_Data\Lab_results\[LabSamples2025_Bioplastic_extra.xlsx]extra_Bioplastic'!A561)</f>
        <v/>
      </c>
      <c r="B561">
        <f>IF(ISBLANK('Q:\Abteilungsprojekte\Eng\EngData\PROJECT_Bioplastics\Renjie_Pan\05-Raw_Data\Lab_results\[LabSamples2025_Bioplastic_extra.xlsx]extra_Bioplastic'!B561)," ",'Q:\Abteilungsprojekte\Eng\EngData\PROJECT_Bioplastics\Renjie_Pan\05-Raw_Data\Lab_results\[LabSamples2025_Bioplastic_extra.xlsx]extra_Bioplastic'!B561)</f>
        <v/>
      </c>
      <c r="C561">
        <f>IF(ISBLANK('Q:\Abteilungsprojekte\Eng\EngData\PROJECT_Bioplastics\Renjie_Pan\05-Raw_Data\Lab_results\[LabSamples2025_Bioplastic_extra.xlsx]extra_Bioplastic'!C561)," ",'Q:\Abteilungsprojekte\Eng\EngData\PROJECT_Bioplastics\Renjie_Pan\05-Raw_Data\Lab_results\[LabSamples2025_Bioplastic_extra.xlsx]extra_Bioplastic'!C561)</f>
        <v/>
      </c>
      <c r="D561">
        <f>IF(ISBLANK('Q:\Abteilungsprojekte\Eng\EngData\PROJECT_Bioplastics\Renjie_Pan\05-Raw_Data\Lab_results\[LabSamples2025_Bioplastic_extra.xlsx]extra_Bioplastic'!D561)," ",'Q:\Abteilungsprojekte\Eng\EngData\PROJECT_Bioplastics\Renjie_Pan\05-Raw_Data\Lab_results\[LabSamples2025_Bioplastic_extra.xlsx]extra_Bioplastic'!D561)</f>
        <v/>
      </c>
      <c r="E561">
        <f>IF(ISBLANK('Q:\Abteilungsprojekte\Eng\EngData\PROJECT_Bioplastics\Renjie_Pan\05-Raw_Data\Lab_results\[LabSamples2025_Bioplastic_extra.xlsx]extra_Bioplastic'!E561)," ",'Q:\Abteilungsprojekte\Eng\EngData\PROJECT_Bioplastics\Renjie_Pan\05-Raw_Data\Lab_results\[LabSamples2025_Bioplastic_extra.xlsx]extra_Bioplastic'!E561)</f>
        <v/>
      </c>
      <c r="F561">
        <f>IF(ISBLANK('Q:\Abteilungsprojekte\Eng\EngData\PROJECT_Bioplastics\Renjie_Pan\05-Raw_Data\Lab_results\[LabSamples2025_Bioplastic_extra.xlsx]extra_Bioplastic'!F561)," ",'Q:\Abteilungsprojekte\Eng\EngData\PROJECT_Bioplastics\Renjie_Pan\05-Raw_Data\Lab_results\[LabSamples2025_Bioplastic_extra.xlsx]extra_Bioplastic'!F561)</f>
        <v/>
      </c>
      <c r="G561">
        <f>IF(ISBLANK('Q:\Abteilungsprojekte\Eng\EngData\PROJECT_Bioplastics\Renjie_Pan\05-Raw_Data\Lab_results\[LabSamples2025_Bioplastic_extra.xlsx]extra_Bioplastic'!G561)," ",'Q:\Abteilungsprojekte\Eng\EngData\PROJECT_Bioplastics\Renjie_Pan\05-Raw_Data\Lab_results\[LabSamples2025_Bioplastic_extra.xlsx]extra_Bioplastic'!G561)</f>
        <v/>
      </c>
      <c r="H561">
        <f>IF(ISBLANK('Q:\Abteilungsprojekte\Eng\EngData\PROJECT_Bioplastics\Renjie_Pan\05-Raw_Data\Lab_results\[LabSamples2025_Bioplastic_extra.xlsx]extra_Bioplastic'!H561)," ",'Q:\Abteilungsprojekte\Eng\EngData\PROJECT_Bioplastics\Renjie_Pan\05-Raw_Data\Lab_results\[LabSamples2025_Bioplastic_extra.xlsx]extra_Bioplastic'!H561)</f>
        <v/>
      </c>
    </row>
    <row r="562">
      <c r="A562">
        <f>IF(ISBLANK('Q:\Abteilungsprojekte\Eng\EngData\PROJECT_Bioplastics\Renjie_Pan\05-Raw_Data\Lab_results\[LabSamples2025_Bioplastic_extra.xlsx]extra_Bioplastic'!A562)," ",'Q:\Abteilungsprojekte\Eng\EngData\PROJECT_Bioplastics\Renjie_Pan\05-Raw_Data\Lab_results\[LabSamples2025_Bioplastic_extra.xlsx]extra_Bioplastic'!A562)</f>
        <v/>
      </c>
      <c r="B562">
        <f>IF(ISBLANK('Q:\Abteilungsprojekte\Eng\EngData\PROJECT_Bioplastics\Renjie_Pan\05-Raw_Data\Lab_results\[LabSamples2025_Bioplastic_extra.xlsx]extra_Bioplastic'!B562)," ",'Q:\Abteilungsprojekte\Eng\EngData\PROJECT_Bioplastics\Renjie_Pan\05-Raw_Data\Lab_results\[LabSamples2025_Bioplastic_extra.xlsx]extra_Bioplastic'!B562)</f>
        <v/>
      </c>
      <c r="C562">
        <f>IF(ISBLANK('Q:\Abteilungsprojekte\Eng\EngData\PROJECT_Bioplastics\Renjie_Pan\05-Raw_Data\Lab_results\[LabSamples2025_Bioplastic_extra.xlsx]extra_Bioplastic'!C562)," ",'Q:\Abteilungsprojekte\Eng\EngData\PROJECT_Bioplastics\Renjie_Pan\05-Raw_Data\Lab_results\[LabSamples2025_Bioplastic_extra.xlsx]extra_Bioplastic'!C562)</f>
        <v/>
      </c>
      <c r="D562">
        <f>IF(ISBLANK('Q:\Abteilungsprojekte\Eng\EngData\PROJECT_Bioplastics\Renjie_Pan\05-Raw_Data\Lab_results\[LabSamples2025_Bioplastic_extra.xlsx]extra_Bioplastic'!D562)," ",'Q:\Abteilungsprojekte\Eng\EngData\PROJECT_Bioplastics\Renjie_Pan\05-Raw_Data\Lab_results\[LabSamples2025_Bioplastic_extra.xlsx]extra_Bioplastic'!D562)</f>
        <v/>
      </c>
      <c r="E562">
        <f>IF(ISBLANK('Q:\Abteilungsprojekte\Eng\EngData\PROJECT_Bioplastics\Renjie_Pan\05-Raw_Data\Lab_results\[LabSamples2025_Bioplastic_extra.xlsx]extra_Bioplastic'!E562)," ",'Q:\Abteilungsprojekte\Eng\EngData\PROJECT_Bioplastics\Renjie_Pan\05-Raw_Data\Lab_results\[LabSamples2025_Bioplastic_extra.xlsx]extra_Bioplastic'!E562)</f>
        <v/>
      </c>
      <c r="F562">
        <f>IF(ISBLANK('Q:\Abteilungsprojekte\Eng\EngData\PROJECT_Bioplastics\Renjie_Pan\05-Raw_Data\Lab_results\[LabSamples2025_Bioplastic_extra.xlsx]extra_Bioplastic'!F562)," ",'Q:\Abteilungsprojekte\Eng\EngData\PROJECT_Bioplastics\Renjie_Pan\05-Raw_Data\Lab_results\[LabSamples2025_Bioplastic_extra.xlsx]extra_Bioplastic'!F562)</f>
        <v/>
      </c>
      <c r="G562">
        <f>IF(ISBLANK('Q:\Abteilungsprojekte\Eng\EngData\PROJECT_Bioplastics\Renjie_Pan\05-Raw_Data\Lab_results\[LabSamples2025_Bioplastic_extra.xlsx]extra_Bioplastic'!G562)," ",'Q:\Abteilungsprojekte\Eng\EngData\PROJECT_Bioplastics\Renjie_Pan\05-Raw_Data\Lab_results\[LabSamples2025_Bioplastic_extra.xlsx]extra_Bioplastic'!G562)</f>
        <v/>
      </c>
      <c r="H562">
        <f>IF(ISBLANK('Q:\Abteilungsprojekte\Eng\EngData\PROJECT_Bioplastics\Renjie_Pan\05-Raw_Data\Lab_results\[LabSamples2025_Bioplastic_extra.xlsx]extra_Bioplastic'!H562)," ",'Q:\Abteilungsprojekte\Eng\EngData\PROJECT_Bioplastics\Renjie_Pan\05-Raw_Data\Lab_results\[LabSamples2025_Bioplastic_extra.xlsx]extra_Bioplastic'!H562)</f>
        <v/>
      </c>
    </row>
    <row r="563">
      <c r="A563">
        <f>IF(ISBLANK('Q:\Abteilungsprojekte\Eng\EngData\PROJECT_Bioplastics\Renjie_Pan\05-Raw_Data\Lab_results\[LabSamples2025_Bioplastic_extra.xlsx]extra_Bioplastic'!A563)," ",'Q:\Abteilungsprojekte\Eng\EngData\PROJECT_Bioplastics\Renjie_Pan\05-Raw_Data\Lab_results\[LabSamples2025_Bioplastic_extra.xlsx]extra_Bioplastic'!A563)</f>
        <v/>
      </c>
      <c r="B563">
        <f>IF(ISBLANK('Q:\Abteilungsprojekte\Eng\EngData\PROJECT_Bioplastics\Renjie_Pan\05-Raw_Data\Lab_results\[LabSamples2025_Bioplastic_extra.xlsx]extra_Bioplastic'!B563)," ",'Q:\Abteilungsprojekte\Eng\EngData\PROJECT_Bioplastics\Renjie_Pan\05-Raw_Data\Lab_results\[LabSamples2025_Bioplastic_extra.xlsx]extra_Bioplastic'!B563)</f>
        <v/>
      </c>
      <c r="C563">
        <f>IF(ISBLANK('Q:\Abteilungsprojekte\Eng\EngData\PROJECT_Bioplastics\Renjie_Pan\05-Raw_Data\Lab_results\[LabSamples2025_Bioplastic_extra.xlsx]extra_Bioplastic'!C563)," ",'Q:\Abteilungsprojekte\Eng\EngData\PROJECT_Bioplastics\Renjie_Pan\05-Raw_Data\Lab_results\[LabSamples2025_Bioplastic_extra.xlsx]extra_Bioplastic'!C563)</f>
        <v/>
      </c>
      <c r="D563">
        <f>IF(ISBLANK('Q:\Abteilungsprojekte\Eng\EngData\PROJECT_Bioplastics\Renjie_Pan\05-Raw_Data\Lab_results\[LabSamples2025_Bioplastic_extra.xlsx]extra_Bioplastic'!D563)," ",'Q:\Abteilungsprojekte\Eng\EngData\PROJECT_Bioplastics\Renjie_Pan\05-Raw_Data\Lab_results\[LabSamples2025_Bioplastic_extra.xlsx]extra_Bioplastic'!D563)</f>
        <v/>
      </c>
      <c r="E563">
        <f>IF(ISBLANK('Q:\Abteilungsprojekte\Eng\EngData\PROJECT_Bioplastics\Renjie_Pan\05-Raw_Data\Lab_results\[LabSamples2025_Bioplastic_extra.xlsx]extra_Bioplastic'!E563)," ",'Q:\Abteilungsprojekte\Eng\EngData\PROJECT_Bioplastics\Renjie_Pan\05-Raw_Data\Lab_results\[LabSamples2025_Bioplastic_extra.xlsx]extra_Bioplastic'!E563)</f>
        <v/>
      </c>
      <c r="F563">
        <f>IF(ISBLANK('Q:\Abteilungsprojekte\Eng\EngData\PROJECT_Bioplastics\Renjie_Pan\05-Raw_Data\Lab_results\[LabSamples2025_Bioplastic_extra.xlsx]extra_Bioplastic'!F563)," ",'Q:\Abteilungsprojekte\Eng\EngData\PROJECT_Bioplastics\Renjie_Pan\05-Raw_Data\Lab_results\[LabSamples2025_Bioplastic_extra.xlsx]extra_Bioplastic'!F563)</f>
        <v/>
      </c>
      <c r="G563">
        <f>IF(ISBLANK('Q:\Abteilungsprojekte\Eng\EngData\PROJECT_Bioplastics\Renjie_Pan\05-Raw_Data\Lab_results\[LabSamples2025_Bioplastic_extra.xlsx]extra_Bioplastic'!G563)," ",'Q:\Abteilungsprojekte\Eng\EngData\PROJECT_Bioplastics\Renjie_Pan\05-Raw_Data\Lab_results\[LabSamples2025_Bioplastic_extra.xlsx]extra_Bioplastic'!G563)</f>
        <v/>
      </c>
      <c r="H563">
        <f>IF(ISBLANK('Q:\Abteilungsprojekte\Eng\EngData\PROJECT_Bioplastics\Renjie_Pan\05-Raw_Data\Lab_results\[LabSamples2025_Bioplastic_extra.xlsx]extra_Bioplastic'!H563)," ",'Q:\Abteilungsprojekte\Eng\EngData\PROJECT_Bioplastics\Renjie_Pan\05-Raw_Data\Lab_results\[LabSamples2025_Bioplastic_extra.xlsx]extra_Bioplastic'!H563)</f>
        <v/>
      </c>
    </row>
    <row r="564">
      <c r="A564">
        <f>IF(ISBLANK('Q:\Abteilungsprojekte\Eng\EngData\PROJECT_Bioplastics\Renjie_Pan\05-Raw_Data\Lab_results\[LabSamples2025_Bioplastic_extra.xlsx]extra_Bioplastic'!A564)," ",'Q:\Abteilungsprojekte\Eng\EngData\PROJECT_Bioplastics\Renjie_Pan\05-Raw_Data\Lab_results\[LabSamples2025_Bioplastic_extra.xlsx]extra_Bioplastic'!A564)</f>
        <v/>
      </c>
      <c r="B564">
        <f>IF(ISBLANK('Q:\Abteilungsprojekte\Eng\EngData\PROJECT_Bioplastics\Renjie_Pan\05-Raw_Data\Lab_results\[LabSamples2025_Bioplastic_extra.xlsx]extra_Bioplastic'!B564)," ",'Q:\Abteilungsprojekte\Eng\EngData\PROJECT_Bioplastics\Renjie_Pan\05-Raw_Data\Lab_results\[LabSamples2025_Bioplastic_extra.xlsx]extra_Bioplastic'!B564)</f>
        <v/>
      </c>
      <c r="C564">
        <f>IF(ISBLANK('Q:\Abteilungsprojekte\Eng\EngData\PROJECT_Bioplastics\Renjie_Pan\05-Raw_Data\Lab_results\[LabSamples2025_Bioplastic_extra.xlsx]extra_Bioplastic'!C564)," ",'Q:\Abteilungsprojekte\Eng\EngData\PROJECT_Bioplastics\Renjie_Pan\05-Raw_Data\Lab_results\[LabSamples2025_Bioplastic_extra.xlsx]extra_Bioplastic'!C564)</f>
        <v/>
      </c>
      <c r="D564">
        <f>IF(ISBLANK('Q:\Abteilungsprojekte\Eng\EngData\PROJECT_Bioplastics\Renjie_Pan\05-Raw_Data\Lab_results\[LabSamples2025_Bioplastic_extra.xlsx]extra_Bioplastic'!D564)," ",'Q:\Abteilungsprojekte\Eng\EngData\PROJECT_Bioplastics\Renjie_Pan\05-Raw_Data\Lab_results\[LabSamples2025_Bioplastic_extra.xlsx]extra_Bioplastic'!D564)</f>
        <v/>
      </c>
      <c r="E564">
        <f>IF(ISBLANK('Q:\Abteilungsprojekte\Eng\EngData\PROJECT_Bioplastics\Renjie_Pan\05-Raw_Data\Lab_results\[LabSamples2025_Bioplastic_extra.xlsx]extra_Bioplastic'!E564)," ",'Q:\Abteilungsprojekte\Eng\EngData\PROJECT_Bioplastics\Renjie_Pan\05-Raw_Data\Lab_results\[LabSamples2025_Bioplastic_extra.xlsx]extra_Bioplastic'!E564)</f>
        <v/>
      </c>
      <c r="F564">
        <f>IF(ISBLANK('Q:\Abteilungsprojekte\Eng\EngData\PROJECT_Bioplastics\Renjie_Pan\05-Raw_Data\Lab_results\[LabSamples2025_Bioplastic_extra.xlsx]extra_Bioplastic'!F564)," ",'Q:\Abteilungsprojekte\Eng\EngData\PROJECT_Bioplastics\Renjie_Pan\05-Raw_Data\Lab_results\[LabSamples2025_Bioplastic_extra.xlsx]extra_Bioplastic'!F564)</f>
        <v/>
      </c>
      <c r="G564">
        <f>IF(ISBLANK('Q:\Abteilungsprojekte\Eng\EngData\PROJECT_Bioplastics\Renjie_Pan\05-Raw_Data\Lab_results\[LabSamples2025_Bioplastic_extra.xlsx]extra_Bioplastic'!G564)," ",'Q:\Abteilungsprojekte\Eng\EngData\PROJECT_Bioplastics\Renjie_Pan\05-Raw_Data\Lab_results\[LabSamples2025_Bioplastic_extra.xlsx]extra_Bioplastic'!G564)</f>
        <v/>
      </c>
      <c r="H564">
        <f>IF(ISBLANK('Q:\Abteilungsprojekte\Eng\EngData\PROJECT_Bioplastics\Renjie_Pan\05-Raw_Data\Lab_results\[LabSamples2025_Bioplastic_extra.xlsx]extra_Bioplastic'!H564)," ",'Q:\Abteilungsprojekte\Eng\EngData\PROJECT_Bioplastics\Renjie_Pan\05-Raw_Data\Lab_results\[LabSamples2025_Bioplastic_extra.xlsx]extra_Bioplastic'!H564)</f>
        <v/>
      </c>
    </row>
    <row r="565">
      <c r="A565">
        <f>IF(ISBLANK('Q:\Abteilungsprojekte\Eng\EngData\PROJECT_Bioplastics\Renjie_Pan\05-Raw_Data\Lab_results\[LabSamples2025_Bioplastic_extra.xlsx]extra_Bioplastic'!A565)," ",'Q:\Abteilungsprojekte\Eng\EngData\PROJECT_Bioplastics\Renjie_Pan\05-Raw_Data\Lab_results\[LabSamples2025_Bioplastic_extra.xlsx]extra_Bioplastic'!A565)</f>
        <v/>
      </c>
      <c r="B565">
        <f>IF(ISBLANK('Q:\Abteilungsprojekte\Eng\EngData\PROJECT_Bioplastics\Renjie_Pan\05-Raw_Data\Lab_results\[LabSamples2025_Bioplastic_extra.xlsx]extra_Bioplastic'!B565)," ",'Q:\Abteilungsprojekte\Eng\EngData\PROJECT_Bioplastics\Renjie_Pan\05-Raw_Data\Lab_results\[LabSamples2025_Bioplastic_extra.xlsx]extra_Bioplastic'!B565)</f>
        <v/>
      </c>
      <c r="C565">
        <f>IF(ISBLANK('Q:\Abteilungsprojekte\Eng\EngData\PROJECT_Bioplastics\Renjie_Pan\05-Raw_Data\Lab_results\[LabSamples2025_Bioplastic_extra.xlsx]extra_Bioplastic'!C565)," ",'Q:\Abteilungsprojekte\Eng\EngData\PROJECT_Bioplastics\Renjie_Pan\05-Raw_Data\Lab_results\[LabSamples2025_Bioplastic_extra.xlsx]extra_Bioplastic'!C565)</f>
        <v/>
      </c>
      <c r="D565">
        <f>IF(ISBLANK('Q:\Abteilungsprojekte\Eng\EngData\PROJECT_Bioplastics\Renjie_Pan\05-Raw_Data\Lab_results\[LabSamples2025_Bioplastic_extra.xlsx]extra_Bioplastic'!D565)," ",'Q:\Abteilungsprojekte\Eng\EngData\PROJECT_Bioplastics\Renjie_Pan\05-Raw_Data\Lab_results\[LabSamples2025_Bioplastic_extra.xlsx]extra_Bioplastic'!D565)</f>
        <v/>
      </c>
      <c r="E565">
        <f>IF(ISBLANK('Q:\Abteilungsprojekte\Eng\EngData\PROJECT_Bioplastics\Renjie_Pan\05-Raw_Data\Lab_results\[LabSamples2025_Bioplastic_extra.xlsx]extra_Bioplastic'!E565)," ",'Q:\Abteilungsprojekte\Eng\EngData\PROJECT_Bioplastics\Renjie_Pan\05-Raw_Data\Lab_results\[LabSamples2025_Bioplastic_extra.xlsx]extra_Bioplastic'!E565)</f>
        <v/>
      </c>
      <c r="F565">
        <f>IF(ISBLANK('Q:\Abteilungsprojekte\Eng\EngData\PROJECT_Bioplastics\Renjie_Pan\05-Raw_Data\Lab_results\[LabSamples2025_Bioplastic_extra.xlsx]extra_Bioplastic'!F565)," ",'Q:\Abteilungsprojekte\Eng\EngData\PROJECT_Bioplastics\Renjie_Pan\05-Raw_Data\Lab_results\[LabSamples2025_Bioplastic_extra.xlsx]extra_Bioplastic'!F565)</f>
        <v/>
      </c>
      <c r="G565">
        <f>IF(ISBLANK('Q:\Abteilungsprojekte\Eng\EngData\PROJECT_Bioplastics\Renjie_Pan\05-Raw_Data\Lab_results\[LabSamples2025_Bioplastic_extra.xlsx]extra_Bioplastic'!G565)," ",'Q:\Abteilungsprojekte\Eng\EngData\PROJECT_Bioplastics\Renjie_Pan\05-Raw_Data\Lab_results\[LabSamples2025_Bioplastic_extra.xlsx]extra_Bioplastic'!G565)</f>
        <v/>
      </c>
      <c r="H565">
        <f>IF(ISBLANK('Q:\Abteilungsprojekte\Eng\EngData\PROJECT_Bioplastics\Renjie_Pan\05-Raw_Data\Lab_results\[LabSamples2025_Bioplastic_extra.xlsx]extra_Bioplastic'!H565)," ",'Q:\Abteilungsprojekte\Eng\EngData\PROJECT_Bioplastics\Renjie_Pan\05-Raw_Data\Lab_results\[LabSamples2025_Bioplastic_extra.xlsx]extra_Bioplastic'!H565)</f>
        <v/>
      </c>
    </row>
    <row r="566">
      <c r="A566">
        <f>IF(ISBLANK('Q:\Abteilungsprojekte\Eng\EngData\PROJECT_Bioplastics\Renjie_Pan\05-Raw_Data\Lab_results\[LabSamples2025_Bioplastic_extra.xlsx]extra_Bioplastic'!A566)," ",'Q:\Abteilungsprojekte\Eng\EngData\PROJECT_Bioplastics\Renjie_Pan\05-Raw_Data\Lab_results\[LabSamples2025_Bioplastic_extra.xlsx]extra_Bioplastic'!A566)</f>
        <v/>
      </c>
      <c r="B566">
        <f>IF(ISBLANK('Q:\Abteilungsprojekte\Eng\EngData\PROJECT_Bioplastics\Renjie_Pan\05-Raw_Data\Lab_results\[LabSamples2025_Bioplastic_extra.xlsx]extra_Bioplastic'!B566)," ",'Q:\Abteilungsprojekte\Eng\EngData\PROJECT_Bioplastics\Renjie_Pan\05-Raw_Data\Lab_results\[LabSamples2025_Bioplastic_extra.xlsx]extra_Bioplastic'!B566)</f>
        <v/>
      </c>
      <c r="C566">
        <f>IF(ISBLANK('Q:\Abteilungsprojekte\Eng\EngData\PROJECT_Bioplastics\Renjie_Pan\05-Raw_Data\Lab_results\[LabSamples2025_Bioplastic_extra.xlsx]extra_Bioplastic'!C566)," ",'Q:\Abteilungsprojekte\Eng\EngData\PROJECT_Bioplastics\Renjie_Pan\05-Raw_Data\Lab_results\[LabSamples2025_Bioplastic_extra.xlsx]extra_Bioplastic'!C566)</f>
        <v/>
      </c>
      <c r="D566">
        <f>IF(ISBLANK('Q:\Abteilungsprojekte\Eng\EngData\PROJECT_Bioplastics\Renjie_Pan\05-Raw_Data\Lab_results\[LabSamples2025_Bioplastic_extra.xlsx]extra_Bioplastic'!D566)," ",'Q:\Abteilungsprojekte\Eng\EngData\PROJECT_Bioplastics\Renjie_Pan\05-Raw_Data\Lab_results\[LabSamples2025_Bioplastic_extra.xlsx]extra_Bioplastic'!D566)</f>
        <v/>
      </c>
      <c r="E566">
        <f>IF(ISBLANK('Q:\Abteilungsprojekte\Eng\EngData\PROJECT_Bioplastics\Renjie_Pan\05-Raw_Data\Lab_results\[LabSamples2025_Bioplastic_extra.xlsx]extra_Bioplastic'!E566)," ",'Q:\Abteilungsprojekte\Eng\EngData\PROJECT_Bioplastics\Renjie_Pan\05-Raw_Data\Lab_results\[LabSamples2025_Bioplastic_extra.xlsx]extra_Bioplastic'!E566)</f>
        <v/>
      </c>
      <c r="F566">
        <f>IF(ISBLANK('Q:\Abteilungsprojekte\Eng\EngData\PROJECT_Bioplastics\Renjie_Pan\05-Raw_Data\Lab_results\[LabSamples2025_Bioplastic_extra.xlsx]extra_Bioplastic'!F566)," ",'Q:\Abteilungsprojekte\Eng\EngData\PROJECT_Bioplastics\Renjie_Pan\05-Raw_Data\Lab_results\[LabSamples2025_Bioplastic_extra.xlsx]extra_Bioplastic'!F566)</f>
        <v/>
      </c>
      <c r="G566">
        <f>IF(ISBLANK('Q:\Abteilungsprojekte\Eng\EngData\PROJECT_Bioplastics\Renjie_Pan\05-Raw_Data\Lab_results\[LabSamples2025_Bioplastic_extra.xlsx]extra_Bioplastic'!G566)," ",'Q:\Abteilungsprojekte\Eng\EngData\PROJECT_Bioplastics\Renjie_Pan\05-Raw_Data\Lab_results\[LabSamples2025_Bioplastic_extra.xlsx]extra_Bioplastic'!G566)</f>
        <v/>
      </c>
      <c r="H566">
        <f>IF(ISBLANK('Q:\Abteilungsprojekte\Eng\EngData\PROJECT_Bioplastics\Renjie_Pan\05-Raw_Data\Lab_results\[LabSamples2025_Bioplastic_extra.xlsx]extra_Bioplastic'!H566)," ",'Q:\Abteilungsprojekte\Eng\EngData\PROJECT_Bioplastics\Renjie_Pan\05-Raw_Data\Lab_results\[LabSamples2025_Bioplastic_extra.xlsx]extra_Bioplastic'!H566)</f>
        <v/>
      </c>
    </row>
    <row r="567">
      <c r="A567">
        <f>IF(ISBLANK('Q:\Abteilungsprojekte\Eng\EngData\PROJECT_Bioplastics\Renjie_Pan\05-Raw_Data\Lab_results\[LabSamples2025_Bioplastic_extra.xlsx]extra_Bioplastic'!A567)," ",'Q:\Abteilungsprojekte\Eng\EngData\PROJECT_Bioplastics\Renjie_Pan\05-Raw_Data\Lab_results\[LabSamples2025_Bioplastic_extra.xlsx]extra_Bioplastic'!A567)</f>
        <v/>
      </c>
      <c r="B567">
        <f>IF(ISBLANK('Q:\Abteilungsprojekte\Eng\EngData\PROJECT_Bioplastics\Renjie_Pan\05-Raw_Data\Lab_results\[LabSamples2025_Bioplastic_extra.xlsx]extra_Bioplastic'!B567)," ",'Q:\Abteilungsprojekte\Eng\EngData\PROJECT_Bioplastics\Renjie_Pan\05-Raw_Data\Lab_results\[LabSamples2025_Bioplastic_extra.xlsx]extra_Bioplastic'!B567)</f>
        <v/>
      </c>
      <c r="C567">
        <f>IF(ISBLANK('Q:\Abteilungsprojekte\Eng\EngData\PROJECT_Bioplastics\Renjie_Pan\05-Raw_Data\Lab_results\[LabSamples2025_Bioplastic_extra.xlsx]extra_Bioplastic'!C567)," ",'Q:\Abteilungsprojekte\Eng\EngData\PROJECT_Bioplastics\Renjie_Pan\05-Raw_Data\Lab_results\[LabSamples2025_Bioplastic_extra.xlsx]extra_Bioplastic'!C567)</f>
        <v/>
      </c>
      <c r="D567">
        <f>IF(ISBLANK('Q:\Abteilungsprojekte\Eng\EngData\PROJECT_Bioplastics\Renjie_Pan\05-Raw_Data\Lab_results\[LabSamples2025_Bioplastic_extra.xlsx]extra_Bioplastic'!D567)," ",'Q:\Abteilungsprojekte\Eng\EngData\PROJECT_Bioplastics\Renjie_Pan\05-Raw_Data\Lab_results\[LabSamples2025_Bioplastic_extra.xlsx]extra_Bioplastic'!D567)</f>
        <v/>
      </c>
      <c r="E567">
        <f>IF(ISBLANK('Q:\Abteilungsprojekte\Eng\EngData\PROJECT_Bioplastics\Renjie_Pan\05-Raw_Data\Lab_results\[LabSamples2025_Bioplastic_extra.xlsx]extra_Bioplastic'!E567)," ",'Q:\Abteilungsprojekte\Eng\EngData\PROJECT_Bioplastics\Renjie_Pan\05-Raw_Data\Lab_results\[LabSamples2025_Bioplastic_extra.xlsx]extra_Bioplastic'!E567)</f>
        <v/>
      </c>
      <c r="F567">
        <f>IF(ISBLANK('Q:\Abteilungsprojekte\Eng\EngData\PROJECT_Bioplastics\Renjie_Pan\05-Raw_Data\Lab_results\[LabSamples2025_Bioplastic_extra.xlsx]extra_Bioplastic'!F567)," ",'Q:\Abteilungsprojekte\Eng\EngData\PROJECT_Bioplastics\Renjie_Pan\05-Raw_Data\Lab_results\[LabSamples2025_Bioplastic_extra.xlsx]extra_Bioplastic'!F567)</f>
        <v/>
      </c>
      <c r="G567">
        <f>IF(ISBLANK('Q:\Abteilungsprojekte\Eng\EngData\PROJECT_Bioplastics\Renjie_Pan\05-Raw_Data\Lab_results\[LabSamples2025_Bioplastic_extra.xlsx]extra_Bioplastic'!G567)," ",'Q:\Abteilungsprojekte\Eng\EngData\PROJECT_Bioplastics\Renjie_Pan\05-Raw_Data\Lab_results\[LabSamples2025_Bioplastic_extra.xlsx]extra_Bioplastic'!G567)</f>
        <v/>
      </c>
      <c r="H567">
        <f>IF(ISBLANK('Q:\Abteilungsprojekte\Eng\EngData\PROJECT_Bioplastics\Renjie_Pan\05-Raw_Data\Lab_results\[LabSamples2025_Bioplastic_extra.xlsx]extra_Bioplastic'!H567)," ",'Q:\Abteilungsprojekte\Eng\EngData\PROJECT_Bioplastics\Renjie_Pan\05-Raw_Data\Lab_results\[LabSamples2025_Bioplastic_extra.xlsx]extra_Bioplastic'!H567)</f>
        <v/>
      </c>
    </row>
    <row r="568">
      <c r="A568">
        <f>IF(ISBLANK('Q:\Abteilungsprojekte\Eng\EngData\PROJECT_Bioplastics\Renjie_Pan\05-Raw_Data\Lab_results\[LabSamples2025_Bioplastic_extra.xlsx]extra_Bioplastic'!A568)," ",'Q:\Abteilungsprojekte\Eng\EngData\PROJECT_Bioplastics\Renjie_Pan\05-Raw_Data\Lab_results\[LabSamples2025_Bioplastic_extra.xlsx]extra_Bioplastic'!A568)</f>
        <v/>
      </c>
      <c r="B568">
        <f>IF(ISBLANK('Q:\Abteilungsprojekte\Eng\EngData\PROJECT_Bioplastics\Renjie_Pan\05-Raw_Data\Lab_results\[LabSamples2025_Bioplastic_extra.xlsx]extra_Bioplastic'!B568)," ",'Q:\Abteilungsprojekte\Eng\EngData\PROJECT_Bioplastics\Renjie_Pan\05-Raw_Data\Lab_results\[LabSamples2025_Bioplastic_extra.xlsx]extra_Bioplastic'!B568)</f>
        <v/>
      </c>
      <c r="C568">
        <f>IF(ISBLANK('Q:\Abteilungsprojekte\Eng\EngData\PROJECT_Bioplastics\Renjie_Pan\05-Raw_Data\Lab_results\[LabSamples2025_Bioplastic_extra.xlsx]extra_Bioplastic'!C568)," ",'Q:\Abteilungsprojekte\Eng\EngData\PROJECT_Bioplastics\Renjie_Pan\05-Raw_Data\Lab_results\[LabSamples2025_Bioplastic_extra.xlsx]extra_Bioplastic'!C568)</f>
        <v/>
      </c>
      <c r="D568">
        <f>IF(ISBLANK('Q:\Abteilungsprojekte\Eng\EngData\PROJECT_Bioplastics\Renjie_Pan\05-Raw_Data\Lab_results\[LabSamples2025_Bioplastic_extra.xlsx]extra_Bioplastic'!D568)," ",'Q:\Abteilungsprojekte\Eng\EngData\PROJECT_Bioplastics\Renjie_Pan\05-Raw_Data\Lab_results\[LabSamples2025_Bioplastic_extra.xlsx]extra_Bioplastic'!D568)</f>
        <v/>
      </c>
      <c r="E568">
        <f>IF(ISBLANK('Q:\Abteilungsprojekte\Eng\EngData\PROJECT_Bioplastics\Renjie_Pan\05-Raw_Data\Lab_results\[LabSamples2025_Bioplastic_extra.xlsx]extra_Bioplastic'!E568)," ",'Q:\Abteilungsprojekte\Eng\EngData\PROJECT_Bioplastics\Renjie_Pan\05-Raw_Data\Lab_results\[LabSamples2025_Bioplastic_extra.xlsx]extra_Bioplastic'!E568)</f>
        <v/>
      </c>
      <c r="F568">
        <f>IF(ISBLANK('Q:\Abteilungsprojekte\Eng\EngData\PROJECT_Bioplastics\Renjie_Pan\05-Raw_Data\Lab_results\[LabSamples2025_Bioplastic_extra.xlsx]extra_Bioplastic'!F568)," ",'Q:\Abteilungsprojekte\Eng\EngData\PROJECT_Bioplastics\Renjie_Pan\05-Raw_Data\Lab_results\[LabSamples2025_Bioplastic_extra.xlsx]extra_Bioplastic'!F568)</f>
        <v/>
      </c>
      <c r="G568">
        <f>IF(ISBLANK('Q:\Abteilungsprojekte\Eng\EngData\PROJECT_Bioplastics\Renjie_Pan\05-Raw_Data\Lab_results\[LabSamples2025_Bioplastic_extra.xlsx]extra_Bioplastic'!G568)," ",'Q:\Abteilungsprojekte\Eng\EngData\PROJECT_Bioplastics\Renjie_Pan\05-Raw_Data\Lab_results\[LabSamples2025_Bioplastic_extra.xlsx]extra_Bioplastic'!G568)</f>
        <v/>
      </c>
      <c r="H568">
        <f>IF(ISBLANK('Q:\Abteilungsprojekte\Eng\EngData\PROJECT_Bioplastics\Renjie_Pan\05-Raw_Data\Lab_results\[LabSamples2025_Bioplastic_extra.xlsx]extra_Bioplastic'!H568)," ",'Q:\Abteilungsprojekte\Eng\EngData\PROJECT_Bioplastics\Renjie_Pan\05-Raw_Data\Lab_results\[LabSamples2025_Bioplastic_extra.xlsx]extra_Bioplastic'!H568)</f>
        <v/>
      </c>
    </row>
    <row r="569">
      <c r="A569">
        <f>IF(ISBLANK('Q:\Abteilungsprojekte\Eng\EngData\PROJECT_Bioplastics\Renjie_Pan\05-Raw_Data\Lab_results\[LabSamples2025_Bioplastic_extra.xlsx]extra_Bioplastic'!A569)," ",'Q:\Abteilungsprojekte\Eng\EngData\PROJECT_Bioplastics\Renjie_Pan\05-Raw_Data\Lab_results\[LabSamples2025_Bioplastic_extra.xlsx]extra_Bioplastic'!A569)</f>
        <v/>
      </c>
      <c r="B569">
        <f>IF(ISBLANK('Q:\Abteilungsprojekte\Eng\EngData\PROJECT_Bioplastics\Renjie_Pan\05-Raw_Data\Lab_results\[LabSamples2025_Bioplastic_extra.xlsx]extra_Bioplastic'!B569)," ",'Q:\Abteilungsprojekte\Eng\EngData\PROJECT_Bioplastics\Renjie_Pan\05-Raw_Data\Lab_results\[LabSamples2025_Bioplastic_extra.xlsx]extra_Bioplastic'!B569)</f>
        <v/>
      </c>
      <c r="C569">
        <f>IF(ISBLANK('Q:\Abteilungsprojekte\Eng\EngData\PROJECT_Bioplastics\Renjie_Pan\05-Raw_Data\Lab_results\[LabSamples2025_Bioplastic_extra.xlsx]extra_Bioplastic'!C569)," ",'Q:\Abteilungsprojekte\Eng\EngData\PROJECT_Bioplastics\Renjie_Pan\05-Raw_Data\Lab_results\[LabSamples2025_Bioplastic_extra.xlsx]extra_Bioplastic'!C569)</f>
        <v/>
      </c>
      <c r="D569">
        <f>IF(ISBLANK('Q:\Abteilungsprojekte\Eng\EngData\PROJECT_Bioplastics\Renjie_Pan\05-Raw_Data\Lab_results\[LabSamples2025_Bioplastic_extra.xlsx]extra_Bioplastic'!D569)," ",'Q:\Abteilungsprojekte\Eng\EngData\PROJECT_Bioplastics\Renjie_Pan\05-Raw_Data\Lab_results\[LabSamples2025_Bioplastic_extra.xlsx]extra_Bioplastic'!D569)</f>
        <v/>
      </c>
      <c r="E569">
        <f>IF(ISBLANK('Q:\Abteilungsprojekte\Eng\EngData\PROJECT_Bioplastics\Renjie_Pan\05-Raw_Data\Lab_results\[LabSamples2025_Bioplastic_extra.xlsx]extra_Bioplastic'!E569)," ",'Q:\Abteilungsprojekte\Eng\EngData\PROJECT_Bioplastics\Renjie_Pan\05-Raw_Data\Lab_results\[LabSamples2025_Bioplastic_extra.xlsx]extra_Bioplastic'!E569)</f>
        <v/>
      </c>
      <c r="F569">
        <f>IF(ISBLANK('Q:\Abteilungsprojekte\Eng\EngData\PROJECT_Bioplastics\Renjie_Pan\05-Raw_Data\Lab_results\[LabSamples2025_Bioplastic_extra.xlsx]extra_Bioplastic'!F569)," ",'Q:\Abteilungsprojekte\Eng\EngData\PROJECT_Bioplastics\Renjie_Pan\05-Raw_Data\Lab_results\[LabSamples2025_Bioplastic_extra.xlsx]extra_Bioplastic'!F569)</f>
        <v/>
      </c>
      <c r="G569">
        <f>IF(ISBLANK('Q:\Abteilungsprojekte\Eng\EngData\PROJECT_Bioplastics\Renjie_Pan\05-Raw_Data\Lab_results\[LabSamples2025_Bioplastic_extra.xlsx]extra_Bioplastic'!G569)," ",'Q:\Abteilungsprojekte\Eng\EngData\PROJECT_Bioplastics\Renjie_Pan\05-Raw_Data\Lab_results\[LabSamples2025_Bioplastic_extra.xlsx]extra_Bioplastic'!G569)</f>
        <v/>
      </c>
      <c r="H569">
        <f>IF(ISBLANK('Q:\Abteilungsprojekte\Eng\EngData\PROJECT_Bioplastics\Renjie_Pan\05-Raw_Data\Lab_results\[LabSamples2025_Bioplastic_extra.xlsx]extra_Bioplastic'!H569)," ",'Q:\Abteilungsprojekte\Eng\EngData\PROJECT_Bioplastics\Renjie_Pan\05-Raw_Data\Lab_results\[LabSamples2025_Bioplastic_extra.xlsx]extra_Bioplastic'!H569)</f>
        <v/>
      </c>
    </row>
    <row r="570">
      <c r="A570">
        <f>IF(ISBLANK('Q:\Abteilungsprojekte\Eng\EngData\PROJECT_Bioplastics\Renjie_Pan\05-Raw_Data\Lab_results\[LabSamples2025_Bioplastic_extra.xlsx]extra_Bioplastic'!A570)," ",'Q:\Abteilungsprojekte\Eng\EngData\PROJECT_Bioplastics\Renjie_Pan\05-Raw_Data\Lab_results\[LabSamples2025_Bioplastic_extra.xlsx]extra_Bioplastic'!A570)</f>
        <v/>
      </c>
      <c r="B570">
        <f>IF(ISBLANK('Q:\Abteilungsprojekte\Eng\EngData\PROJECT_Bioplastics\Renjie_Pan\05-Raw_Data\Lab_results\[LabSamples2025_Bioplastic_extra.xlsx]extra_Bioplastic'!B570)," ",'Q:\Abteilungsprojekte\Eng\EngData\PROJECT_Bioplastics\Renjie_Pan\05-Raw_Data\Lab_results\[LabSamples2025_Bioplastic_extra.xlsx]extra_Bioplastic'!B570)</f>
        <v/>
      </c>
      <c r="C570">
        <f>IF(ISBLANK('Q:\Abteilungsprojekte\Eng\EngData\PROJECT_Bioplastics\Renjie_Pan\05-Raw_Data\Lab_results\[LabSamples2025_Bioplastic_extra.xlsx]extra_Bioplastic'!C570)," ",'Q:\Abteilungsprojekte\Eng\EngData\PROJECT_Bioplastics\Renjie_Pan\05-Raw_Data\Lab_results\[LabSamples2025_Bioplastic_extra.xlsx]extra_Bioplastic'!C570)</f>
        <v/>
      </c>
      <c r="D570">
        <f>IF(ISBLANK('Q:\Abteilungsprojekte\Eng\EngData\PROJECT_Bioplastics\Renjie_Pan\05-Raw_Data\Lab_results\[LabSamples2025_Bioplastic_extra.xlsx]extra_Bioplastic'!D570)," ",'Q:\Abteilungsprojekte\Eng\EngData\PROJECT_Bioplastics\Renjie_Pan\05-Raw_Data\Lab_results\[LabSamples2025_Bioplastic_extra.xlsx]extra_Bioplastic'!D570)</f>
        <v/>
      </c>
      <c r="E570">
        <f>IF(ISBLANK('Q:\Abteilungsprojekte\Eng\EngData\PROJECT_Bioplastics\Renjie_Pan\05-Raw_Data\Lab_results\[LabSamples2025_Bioplastic_extra.xlsx]extra_Bioplastic'!E570)," ",'Q:\Abteilungsprojekte\Eng\EngData\PROJECT_Bioplastics\Renjie_Pan\05-Raw_Data\Lab_results\[LabSamples2025_Bioplastic_extra.xlsx]extra_Bioplastic'!E570)</f>
        <v/>
      </c>
      <c r="F570">
        <f>IF(ISBLANK('Q:\Abteilungsprojekte\Eng\EngData\PROJECT_Bioplastics\Renjie_Pan\05-Raw_Data\Lab_results\[LabSamples2025_Bioplastic_extra.xlsx]extra_Bioplastic'!F570)," ",'Q:\Abteilungsprojekte\Eng\EngData\PROJECT_Bioplastics\Renjie_Pan\05-Raw_Data\Lab_results\[LabSamples2025_Bioplastic_extra.xlsx]extra_Bioplastic'!F570)</f>
        <v/>
      </c>
      <c r="G570">
        <f>IF(ISBLANK('Q:\Abteilungsprojekte\Eng\EngData\PROJECT_Bioplastics\Renjie_Pan\05-Raw_Data\Lab_results\[LabSamples2025_Bioplastic_extra.xlsx]extra_Bioplastic'!G570)," ",'Q:\Abteilungsprojekte\Eng\EngData\PROJECT_Bioplastics\Renjie_Pan\05-Raw_Data\Lab_results\[LabSamples2025_Bioplastic_extra.xlsx]extra_Bioplastic'!G570)</f>
        <v/>
      </c>
      <c r="H570">
        <f>IF(ISBLANK('Q:\Abteilungsprojekte\Eng\EngData\PROJECT_Bioplastics\Renjie_Pan\05-Raw_Data\Lab_results\[LabSamples2025_Bioplastic_extra.xlsx]extra_Bioplastic'!H570)," ",'Q:\Abteilungsprojekte\Eng\EngData\PROJECT_Bioplastics\Renjie_Pan\05-Raw_Data\Lab_results\[LabSamples2025_Bioplastic_extra.xlsx]extra_Bioplastic'!H570)</f>
        <v/>
      </c>
    </row>
    <row r="571">
      <c r="A571">
        <f>IF(ISBLANK('Q:\Abteilungsprojekte\Eng\EngData\PROJECT_Bioplastics\Renjie_Pan\05-Raw_Data\Lab_results\[LabSamples2025_Bioplastic_extra.xlsx]extra_Bioplastic'!A571)," ",'Q:\Abteilungsprojekte\Eng\EngData\PROJECT_Bioplastics\Renjie_Pan\05-Raw_Data\Lab_results\[LabSamples2025_Bioplastic_extra.xlsx]extra_Bioplastic'!A571)</f>
        <v/>
      </c>
      <c r="B571">
        <f>IF(ISBLANK('Q:\Abteilungsprojekte\Eng\EngData\PROJECT_Bioplastics\Renjie_Pan\05-Raw_Data\Lab_results\[LabSamples2025_Bioplastic_extra.xlsx]extra_Bioplastic'!B571)," ",'Q:\Abteilungsprojekte\Eng\EngData\PROJECT_Bioplastics\Renjie_Pan\05-Raw_Data\Lab_results\[LabSamples2025_Bioplastic_extra.xlsx]extra_Bioplastic'!B571)</f>
        <v/>
      </c>
      <c r="C571">
        <f>IF(ISBLANK('Q:\Abteilungsprojekte\Eng\EngData\PROJECT_Bioplastics\Renjie_Pan\05-Raw_Data\Lab_results\[LabSamples2025_Bioplastic_extra.xlsx]extra_Bioplastic'!C571)," ",'Q:\Abteilungsprojekte\Eng\EngData\PROJECT_Bioplastics\Renjie_Pan\05-Raw_Data\Lab_results\[LabSamples2025_Bioplastic_extra.xlsx]extra_Bioplastic'!C571)</f>
        <v/>
      </c>
      <c r="D571">
        <f>IF(ISBLANK('Q:\Abteilungsprojekte\Eng\EngData\PROJECT_Bioplastics\Renjie_Pan\05-Raw_Data\Lab_results\[LabSamples2025_Bioplastic_extra.xlsx]extra_Bioplastic'!D571)," ",'Q:\Abteilungsprojekte\Eng\EngData\PROJECT_Bioplastics\Renjie_Pan\05-Raw_Data\Lab_results\[LabSamples2025_Bioplastic_extra.xlsx]extra_Bioplastic'!D571)</f>
        <v/>
      </c>
      <c r="E571">
        <f>IF(ISBLANK('Q:\Abteilungsprojekte\Eng\EngData\PROJECT_Bioplastics\Renjie_Pan\05-Raw_Data\Lab_results\[LabSamples2025_Bioplastic_extra.xlsx]extra_Bioplastic'!E571)," ",'Q:\Abteilungsprojekte\Eng\EngData\PROJECT_Bioplastics\Renjie_Pan\05-Raw_Data\Lab_results\[LabSamples2025_Bioplastic_extra.xlsx]extra_Bioplastic'!E571)</f>
        <v/>
      </c>
      <c r="F571">
        <f>IF(ISBLANK('Q:\Abteilungsprojekte\Eng\EngData\PROJECT_Bioplastics\Renjie_Pan\05-Raw_Data\Lab_results\[LabSamples2025_Bioplastic_extra.xlsx]extra_Bioplastic'!F571)," ",'Q:\Abteilungsprojekte\Eng\EngData\PROJECT_Bioplastics\Renjie_Pan\05-Raw_Data\Lab_results\[LabSamples2025_Bioplastic_extra.xlsx]extra_Bioplastic'!F571)</f>
        <v/>
      </c>
      <c r="G571">
        <f>IF(ISBLANK('Q:\Abteilungsprojekte\Eng\EngData\PROJECT_Bioplastics\Renjie_Pan\05-Raw_Data\Lab_results\[LabSamples2025_Bioplastic_extra.xlsx]extra_Bioplastic'!G571)," ",'Q:\Abteilungsprojekte\Eng\EngData\PROJECT_Bioplastics\Renjie_Pan\05-Raw_Data\Lab_results\[LabSamples2025_Bioplastic_extra.xlsx]extra_Bioplastic'!G571)</f>
        <v/>
      </c>
      <c r="H571">
        <f>IF(ISBLANK('Q:\Abteilungsprojekte\Eng\EngData\PROJECT_Bioplastics\Renjie_Pan\05-Raw_Data\Lab_results\[LabSamples2025_Bioplastic_extra.xlsx]extra_Bioplastic'!H571)," ",'Q:\Abteilungsprojekte\Eng\EngData\PROJECT_Bioplastics\Renjie_Pan\05-Raw_Data\Lab_results\[LabSamples2025_Bioplastic_extra.xlsx]extra_Bioplastic'!H571)</f>
        <v/>
      </c>
    </row>
    <row r="572">
      <c r="A572">
        <f>IF(ISBLANK('Q:\Abteilungsprojekte\Eng\EngData\PROJECT_Bioplastics\Renjie_Pan\05-Raw_Data\Lab_results\[LabSamples2025_Bioplastic_extra.xlsx]extra_Bioplastic'!A572)," ",'Q:\Abteilungsprojekte\Eng\EngData\PROJECT_Bioplastics\Renjie_Pan\05-Raw_Data\Lab_results\[LabSamples2025_Bioplastic_extra.xlsx]extra_Bioplastic'!A572)</f>
        <v/>
      </c>
      <c r="B572">
        <f>IF(ISBLANK('Q:\Abteilungsprojekte\Eng\EngData\PROJECT_Bioplastics\Renjie_Pan\05-Raw_Data\Lab_results\[LabSamples2025_Bioplastic_extra.xlsx]extra_Bioplastic'!B572)," ",'Q:\Abteilungsprojekte\Eng\EngData\PROJECT_Bioplastics\Renjie_Pan\05-Raw_Data\Lab_results\[LabSamples2025_Bioplastic_extra.xlsx]extra_Bioplastic'!B572)</f>
        <v/>
      </c>
      <c r="C572">
        <f>IF(ISBLANK('Q:\Abteilungsprojekte\Eng\EngData\PROJECT_Bioplastics\Renjie_Pan\05-Raw_Data\Lab_results\[LabSamples2025_Bioplastic_extra.xlsx]extra_Bioplastic'!C572)," ",'Q:\Abteilungsprojekte\Eng\EngData\PROJECT_Bioplastics\Renjie_Pan\05-Raw_Data\Lab_results\[LabSamples2025_Bioplastic_extra.xlsx]extra_Bioplastic'!C572)</f>
        <v/>
      </c>
      <c r="D572">
        <f>IF(ISBLANK('Q:\Abteilungsprojekte\Eng\EngData\PROJECT_Bioplastics\Renjie_Pan\05-Raw_Data\Lab_results\[LabSamples2025_Bioplastic_extra.xlsx]extra_Bioplastic'!D572)," ",'Q:\Abteilungsprojekte\Eng\EngData\PROJECT_Bioplastics\Renjie_Pan\05-Raw_Data\Lab_results\[LabSamples2025_Bioplastic_extra.xlsx]extra_Bioplastic'!D572)</f>
        <v/>
      </c>
      <c r="E572">
        <f>IF(ISBLANK('Q:\Abteilungsprojekte\Eng\EngData\PROJECT_Bioplastics\Renjie_Pan\05-Raw_Data\Lab_results\[LabSamples2025_Bioplastic_extra.xlsx]extra_Bioplastic'!E572)," ",'Q:\Abteilungsprojekte\Eng\EngData\PROJECT_Bioplastics\Renjie_Pan\05-Raw_Data\Lab_results\[LabSamples2025_Bioplastic_extra.xlsx]extra_Bioplastic'!E572)</f>
        <v/>
      </c>
      <c r="F572">
        <f>IF(ISBLANK('Q:\Abteilungsprojekte\Eng\EngData\PROJECT_Bioplastics\Renjie_Pan\05-Raw_Data\Lab_results\[LabSamples2025_Bioplastic_extra.xlsx]extra_Bioplastic'!F572)," ",'Q:\Abteilungsprojekte\Eng\EngData\PROJECT_Bioplastics\Renjie_Pan\05-Raw_Data\Lab_results\[LabSamples2025_Bioplastic_extra.xlsx]extra_Bioplastic'!F572)</f>
        <v/>
      </c>
      <c r="G572">
        <f>IF(ISBLANK('Q:\Abteilungsprojekte\Eng\EngData\PROJECT_Bioplastics\Renjie_Pan\05-Raw_Data\Lab_results\[LabSamples2025_Bioplastic_extra.xlsx]extra_Bioplastic'!G572)," ",'Q:\Abteilungsprojekte\Eng\EngData\PROJECT_Bioplastics\Renjie_Pan\05-Raw_Data\Lab_results\[LabSamples2025_Bioplastic_extra.xlsx]extra_Bioplastic'!G572)</f>
        <v/>
      </c>
      <c r="H572">
        <f>IF(ISBLANK('Q:\Abteilungsprojekte\Eng\EngData\PROJECT_Bioplastics\Renjie_Pan\05-Raw_Data\Lab_results\[LabSamples2025_Bioplastic_extra.xlsx]extra_Bioplastic'!H572)," ",'Q:\Abteilungsprojekte\Eng\EngData\PROJECT_Bioplastics\Renjie_Pan\05-Raw_Data\Lab_results\[LabSamples2025_Bioplastic_extra.xlsx]extra_Bioplastic'!H572)</f>
        <v/>
      </c>
    </row>
    <row r="573">
      <c r="A573">
        <f>IF(ISBLANK('Q:\Abteilungsprojekte\Eng\EngData\PROJECT_Bioplastics\Renjie_Pan\05-Raw_Data\Lab_results\[LabSamples2025_Bioplastic_extra.xlsx]extra_Bioplastic'!A573)," ",'Q:\Abteilungsprojekte\Eng\EngData\PROJECT_Bioplastics\Renjie_Pan\05-Raw_Data\Lab_results\[LabSamples2025_Bioplastic_extra.xlsx]extra_Bioplastic'!A573)</f>
        <v/>
      </c>
      <c r="B573">
        <f>IF(ISBLANK('Q:\Abteilungsprojekte\Eng\EngData\PROJECT_Bioplastics\Renjie_Pan\05-Raw_Data\Lab_results\[LabSamples2025_Bioplastic_extra.xlsx]extra_Bioplastic'!B573)," ",'Q:\Abteilungsprojekte\Eng\EngData\PROJECT_Bioplastics\Renjie_Pan\05-Raw_Data\Lab_results\[LabSamples2025_Bioplastic_extra.xlsx]extra_Bioplastic'!B573)</f>
        <v/>
      </c>
      <c r="C573">
        <f>IF(ISBLANK('Q:\Abteilungsprojekte\Eng\EngData\PROJECT_Bioplastics\Renjie_Pan\05-Raw_Data\Lab_results\[LabSamples2025_Bioplastic_extra.xlsx]extra_Bioplastic'!C573)," ",'Q:\Abteilungsprojekte\Eng\EngData\PROJECT_Bioplastics\Renjie_Pan\05-Raw_Data\Lab_results\[LabSamples2025_Bioplastic_extra.xlsx]extra_Bioplastic'!C573)</f>
        <v/>
      </c>
      <c r="D573">
        <f>IF(ISBLANK('Q:\Abteilungsprojekte\Eng\EngData\PROJECT_Bioplastics\Renjie_Pan\05-Raw_Data\Lab_results\[LabSamples2025_Bioplastic_extra.xlsx]extra_Bioplastic'!D573)," ",'Q:\Abteilungsprojekte\Eng\EngData\PROJECT_Bioplastics\Renjie_Pan\05-Raw_Data\Lab_results\[LabSamples2025_Bioplastic_extra.xlsx]extra_Bioplastic'!D573)</f>
        <v/>
      </c>
      <c r="E573">
        <f>IF(ISBLANK('Q:\Abteilungsprojekte\Eng\EngData\PROJECT_Bioplastics\Renjie_Pan\05-Raw_Data\Lab_results\[LabSamples2025_Bioplastic_extra.xlsx]extra_Bioplastic'!E573)," ",'Q:\Abteilungsprojekte\Eng\EngData\PROJECT_Bioplastics\Renjie_Pan\05-Raw_Data\Lab_results\[LabSamples2025_Bioplastic_extra.xlsx]extra_Bioplastic'!E573)</f>
        <v/>
      </c>
      <c r="F573">
        <f>IF(ISBLANK('Q:\Abteilungsprojekte\Eng\EngData\PROJECT_Bioplastics\Renjie_Pan\05-Raw_Data\Lab_results\[LabSamples2025_Bioplastic_extra.xlsx]extra_Bioplastic'!F573)," ",'Q:\Abteilungsprojekte\Eng\EngData\PROJECT_Bioplastics\Renjie_Pan\05-Raw_Data\Lab_results\[LabSamples2025_Bioplastic_extra.xlsx]extra_Bioplastic'!F573)</f>
        <v/>
      </c>
      <c r="G573">
        <f>IF(ISBLANK('Q:\Abteilungsprojekte\Eng\EngData\PROJECT_Bioplastics\Renjie_Pan\05-Raw_Data\Lab_results\[LabSamples2025_Bioplastic_extra.xlsx]extra_Bioplastic'!G573)," ",'Q:\Abteilungsprojekte\Eng\EngData\PROJECT_Bioplastics\Renjie_Pan\05-Raw_Data\Lab_results\[LabSamples2025_Bioplastic_extra.xlsx]extra_Bioplastic'!G573)</f>
        <v/>
      </c>
      <c r="H573">
        <f>IF(ISBLANK('Q:\Abteilungsprojekte\Eng\EngData\PROJECT_Bioplastics\Renjie_Pan\05-Raw_Data\Lab_results\[LabSamples2025_Bioplastic_extra.xlsx]extra_Bioplastic'!H573)," ",'Q:\Abteilungsprojekte\Eng\EngData\PROJECT_Bioplastics\Renjie_Pan\05-Raw_Data\Lab_results\[LabSamples2025_Bioplastic_extra.xlsx]extra_Bioplastic'!H573)</f>
        <v/>
      </c>
    </row>
    <row r="574">
      <c r="A574">
        <f>IF(ISBLANK('Q:\Abteilungsprojekte\Eng\EngData\PROJECT_Bioplastics\Renjie_Pan\05-Raw_Data\Lab_results\[LabSamples2025_Bioplastic_extra.xlsx]extra_Bioplastic'!A574)," ",'Q:\Abteilungsprojekte\Eng\EngData\PROJECT_Bioplastics\Renjie_Pan\05-Raw_Data\Lab_results\[LabSamples2025_Bioplastic_extra.xlsx]extra_Bioplastic'!A574)</f>
        <v/>
      </c>
      <c r="B574">
        <f>IF(ISBLANK('Q:\Abteilungsprojekte\Eng\EngData\PROJECT_Bioplastics\Renjie_Pan\05-Raw_Data\Lab_results\[LabSamples2025_Bioplastic_extra.xlsx]extra_Bioplastic'!B574)," ",'Q:\Abteilungsprojekte\Eng\EngData\PROJECT_Bioplastics\Renjie_Pan\05-Raw_Data\Lab_results\[LabSamples2025_Bioplastic_extra.xlsx]extra_Bioplastic'!B574)</f>
        <v/>
      </c>
      <c r="C574">
        <f>IF(ISBLANK('Q:\Abteilungsprojekte\Eng\EngData\PROJECT_Bioplastics\Renjie_Pan\05-Raw_Data\Lab_results\[LabSamples2025_Bioplastic_extra.xlsx]extra_Bioplastic'!C574)," ",'Q:\Abteilungsprojekte\Eng\EngData\PROJECT_Bioplastics\Renjie_Pan\05-Raw_Data\Lab_results\[LabSamples2025_Bioplastic_extra.xlsx]extra_Bioplastic'!C574)</f>
        <v/>
      </c>
      <c r="D574">
        <f>IF(ISBLANK('Q:\Abteilungsprojekte\Eng\EngData\PROJECT_Bioplastics\Renjie_Pan\05-Raw_Data\Lab_results\[LabSamples2025_Bioplastic_extra.xlsx]extra_Bioplastic'!D574)," ",'Q:\Abteilungsprojekte\Eng\EngData\PROJECT_Bioplastics\Renjie_Pan\05-Raw_Data\Lab_results\[LabSamples2025_Bioplastic_extra.xlsx]extra_Bioplastic'!D574)</f>
        <v/>
      </c>
      <c r="E574">
        <f>IF(ISBLANK('Q:\Abteilungsprojekte\Eng\EngData\PROJECT_Bioplastics\Renjie_Pan\05-Raw_Data\Lab_results\[LabSamples2025_Bioplastic_extra.xlsx]extra_Bioplastic'!E574)," ",'Q:\Abteilungsprojekte\Eng\EngData\PROJECT_Bioplastics\Renjie_Pan\05-Raw_Data\Lab_results\[LabSamples2025_Bioplastic_extra.xlsx]extra_Bioplastic'!E574)</f>
        <v/>
      </c>
      <c r="F574">
        <f>IF(ISBLANK('Q:\Abteilungsprojekte\Eng\EngData\PROJECT_Bioplastics\Renjie_Pan\05-Raw_Data\Lab_results\[LabSamples2025_Bioplastic_extra.xlsx]extra_Bioplastic'!F574)," ",'Q:\Abteilungsprojekte\Eng\EngData\PROJECT_Bioplastics\Renjie_Pan\05-Raw_Data\Lab_results\[LabSamples2025_Bioplastic_extra.xlsx]extra_Bioplastic'!F574)</f>
        <v/>
      </c>
      <c r="G574">
        <f>IF(ISBLANK('Q:\Abteilungsprojekte\Eng\EngData\PROJECT_Bioplastics\Renjie_Pan\05-Raw_Data\Lab_results\[LabSamples2025_Bioplastic_extra.xlsx]extra_Bioplastic'!G574)," ",'Q:\Abteilungsprojekte\Eng\EngData\PROJECT_Bioplastics\Renjie_Pan\05-Raw_Data\Lab_results\[LabSamples2025_Bioplastic_extra.xlsx]extra_Bioplastic'!G574)</f>
        <v/>
      </c>
      <c r="H574">
        <f>IF(ISBLANK('Q:\Abteilungsprojekte\Eng\EngData\PROJECT_Bioplastics\Renjie_Pan\05-Raw_Data\Lab_results\[LabSamples2025_Bioplastic_extra.xlsx]extra_Bioplastic'!H574)," ",'Q:\Abteilungsprojekte\Eng\EngData\PROJECT_Bioplastics\Renjie_Pan\05-Raw_Data\Lab_results\[LabSamples2025_Bioplastic_extra.xlsx]extra_Bioplastic'!H574)</f>
        <v/>
      </c>
    </row>
    <row r="575">
      <c r="A575">
        <f>IF(ISBLANK('Q:\Abteilungsprojekte\Eng\EngData\PROJECT_Bioplastics\Renjie_Pan\05-Raw_Data\Lab_results\[LabSamples2025_Bioplastic_extra.xlsx]extra_Bioplastic'!A575)," ",'Q:\Abteilungsprojekte\Eng\EngData\PROJECT_Bioplastics\Renjie_Pan\05-Raw_Data\Lab_results\[LabSamples2025_Bioplastic_extra.xlsx]extra_Bioplastic'!A575)</f>
        <v/>
      </c>
      <c r="B575">
        <f>IF(ISBLANK('Q:\Abteilungsprojekte\Eng\EngData\PROJECT_Bioplastics\Renjie_Pan\05-Raw_Data\Lab_results\[LabSamples2025_Bioplastic_extra.xlsx]extra_Bioplastic'!B575)," ",'Q:\Abteilungsprojekte\Eng\EngData\PROJECT_Bioplastics\Renjie_Pan\05-Raw_Data\Lab_results\[LabSamples2025_Bioplastic_extra.xlsx]extra_Bioplastic'!B575)</f>
        <v/>
      </c>
      <c r="C575">
        <f>IF(ISBLANK('Q:\Abteilungsprojekte\Eng\EngData\PROJECT_Bioplastics\Renjie_Pan\05-Raw_Data\Lab_results\[LabSamples2025_Bioplastic_extra.xlsx]extra_Bioplastic'!C575)," ",'Q:\Abteilungsprojekte\Eng\EngData\PROJECT_Bioplastics\Renjie_Pan\05-Raw_Data\Lab_results\[LabSamples2025_Bioplastic_extra.xlsx]extra_Bioplastic'!C575)</f>
        <v/>
      </c>
      <c r="D575">
        <f>IF(ISBLANK('Q:\Abteilungsprojekte\Eng\EngData\PROJECT_Bioplastics\Renjie_Pan\05-Raw_Data\Lab_results\[LabSamples2025_Bioplastic_extra.xlsx]extra_Bioplastic'!D575)," ",'Q:\Abteilungsprojekte\Eng\EngData\PROJECT_Bioplastics\Renjie_Pan\05-Raw_Data\Lab_results\[LabSamples2025_Bioplastic_extra.xlsx]extra_Bioplastic'!D575)</f>
        <v/>
      </c>
      <c r="E575">
        <f>IF(ISBLANK('Q:\Abteilungsprojekte\Eng\EngData\PROJECT_Bioplastics\Renjie_Pan\05-Raw_Data\Lab_results\[LabSamples2025_Bioplastic_extra.xlsx]extra_Bioplastic'!E575)," ",'Q:\Abteilungsprojekte\Eng\EngData\PROJECT_Bioplastics\Renjie_Pan\05-Raw_Data\Lab_results\[LabSamples2025_Bioplastic_extra.xlsx]extra_Bioplastic'!E575)</f>
        <v/>
      </c>
      <c r="F575">
        <f>IF(ISBLANK('Q:\Abteilungsprojekte\Eng\EngData\PROJECT_Bioplastics\Renjie_Pan\05-Raw_Data\Lab_results\[LabSamples2025_Bioplastic_extra.xlsx]extra_Bioplastic'!F575)," ",'Q:\Abteilungsprojekte\Eng\EngData\PROJECT_Bioplastics\Renjie_Pan\05-Raw_Data\Lab_results\[LabSamples2025_Bioplastic_extra.xlsx]extra_Bioplastic'!F575)</f>
        <v/>
      </c>
      <c r="G575">
        <f>IF(ISBLANK('Q:\Abteilungsprojekte\Eng\EngData\PROJECT_Bioplastics\Renjie_Pan\05-Raw_Data\Lab_results\[LabSamples2025_Bioplastic_extra.xlsx]extra_Bioplastic'!G575)," ",'Q:\Abteilungsprojekte\Eng\EngData\PROJECT_Bioplastics\Renjie_Pan\05-Raw_Data\Lab_results\[LabSamples2025_Bioplastic_extra.xlsx]extra_Bioplastic'!G575)</f>
        <v/>
      </c>
      <c r="H575">
        <f>IF(ISBLANK('Q:\Abteilungsprojekte\Eng\EngData\PROJECT_Bioplastics\Renjie_Pan\05-Raw_Data\Lab_results\[LabSamples2025_Bioplastic_extra.xlsx]extra_Bioplastic'!H575)," ",'Q:\Abteilungsprojekte\Eng\EngData\PROJECT_Bioplastics\Renjie_Pan\05-Raw_Data\Lab_results\[LabSamples2025_Bioplastic_extra.xlsx]extra_Bioplastic'!H575)</f>
        <v/>
      </c>
    </row>
    <row r="576">
      <c r="A576">
        <f>IF(ISBLANK('Q:\Abteilungsprojekte\Eng\EngData\PROJECT_Bioplastics\Renjie_Pan\05-Raw_Data\Lab_results\[LabSamples2025_Bioplastic_extra.xlsx]extra_Bioplastic'!A576)," ",'Q:\Abteilungsprojekte\Eng\EngData\PROJECT_Bioplastics\Renjie_Pan\05-Raw_Data\Lab_results\[LabSamples2025_Bioplastic_extra.xlsx]extra_Bioplastic'!A576)</f>
        <v/>
      </c>
      <c r="B576">
        <f>IF(ISBLANK('Q:\Abteilungsprojekte\Eng\EngData\PROJECT_Bioplastics\Renjie_Pan\05-Raw_Data\Lab_results\[LabSamples2025_Bioplastic_extra.xlsx]extra_Bioplastic'!B576)," ",'Q:\Abteilungsprojekte\Eng\EngData\PROJECT_Bioplastics\Renjie_Pan\05-Raw_Data\Lab_results\[LabSamples2025_Bioplastic_extra.xlsx]extra_Bioplastic'!B576)</f>
        <v/>
      </c>
      <c r="C576">
        <f>IF(ISBLANK('Q:\Abteilungsprojekte\Eng\EngData\PROJECT_Bioplastics\Renjie_Pan\05-Raw_Data\Lab_results\[LabSamples2025_Bioplastic_extra.xlsx]extra_Bioplastic'!C576)," ",'Q:\Abteilungsprojekte\Eng\EngData\PROJECT_Bioplastics\Renjie_Pan\05-Raw_Data\Lab_results\[LabSamples2025_Bioplastic_extra.xlsx]extra_Bioplastic'!C576)</f>
        <v/>
      </c>
      <c r="D576">
        <f>IF(ISBLANK('Q:\Abteilungsprojekte\Eng\EngData\PROJECT_Bioplastics\Renjie_Pan\05-Raw_Data\Lab_results\[LabSamples2025_Bioplastic_extra.xlsx]extra_Bioplastic'!D576)," ",'Q:\Abteilungsprojekte\Eng\EngData\PROJECT_Bioplastics\Renjie_Pan\05-Raw_Data\Lab_results\[LabSamples2025_Bioplastic_extra.xlsx]extra_Bioplastic'!D576)</f>
        <v/>
      </c>
      <c r="E576">
        <f>IF(ISBLANK('Q:\Abteilungsprojekte\Eng\EngData\PROJECT_Bioplastics\Renjie_Pan\05-Raw_Data\Lab_results\[LabSamples2025_Bioplastic_extra.xlsx]extra_Bioplastic'!E576)," ",'Q:\Abteilungsprojekte\Eng\EngData\PROJECT_Bioplastics\Renjie_Pan\05-Raw_Data\Lab_results\[LabSamples2025_Bioplastic_extra.xlsx]extra_Bioplastic'!E576)</f>
        <v/>
      </c>
      <c r="F576">
        <f>IF(ISBLANK('Q:\Abteilungsprojekte\Eng\EngData\PROJECT_Bioplastics\Renjie_Pan\05-Raw_Data\Lab_results\[LabSamples2025_Bioplastic_extra.xlsx]extra_Bioplastic'!F576)," ",'Q:\Abteilungsprojekte\Eng\EngData\PROJECT_Bioplastics\Renjie_Pan\05-Raw_Data\Lab_results\[LabSamples2025_Bioplastic_extra.xlsx]extra_Bioplastic'!F576)</f>
        <v/>
      </c>
      <c r="G576">
        <f>IF(ISBLANK('Q:\Abteilungsprojekte\Eng\EngData\PROJECT_Bioplastics\Renjie_Pan\05-Raw_Data\Lab_results\[LabSamples2025_Bioplastic_extra.xlsx]extra_Bioplastic'!G576)," ",'Q:\Abteilungsprojekte\Eng\EngData\PROJECT_Bioplastics\Renjie_Pan\05-Raw_Data\Lab_results\[LabSamples2025_Bioplastic_extra.xlsx]extra_Bioplastic'!G576)</f>
        <v/>
      </c>
      <c r="H576">
        <f>IF(ISBLANK('Q:\Abteilungsprojekte\Eng\EngData\PROJECT_Bioplastics\Renjie_Pan\05-Raw_Data\Lab_results\[LabSamples2025_Bioplastic_extra.xlsx]extra_Bioplastic'!H576)," ",'Q:\Abteilungsprojekte\Eng\EngData\PROJECT_Bioplastics\Renjie_Pan\05-Raw_Data\Lab_results\[LabSamples2025_Bioplastic_extra.xlsx]extra_Bioplastic'!H576)</f>
        <v/>
      </c>
    </row>
    <row r="577">
      <c r="A577">
        <f>IF(ISBLANK('Q:\Abteilungsprojekte\Eng\EngData\PROJECT_Bioplastics\Renjie_Pan\05-Raw_Data\Lab_results\[LabSamples2025_Bioplastic_extra.xlsx]extra_Bioplastic'!A577)," ",'Q:\Abteilungsprojekte\Eng\EngData\PROJECT_Bioplastics\Renjie_Pan\05-Raw_Data\Lab_results\[LabSamples2025_Bioplastic_extra.xlsx]extra_Bioplastic'!A577)</f>
        <v/>
      </c>
      <c r="B577">
        <f>IF(ISBLANK('Q:\Abteilungsprojekte\Eng\EngData\PROJECT_Bioplastics\Renjie_Pan\05-Raw_Data\Lab_results\[LabSamples2025_Bioplastic_extra.xlsx]extra_Bioplastic'!B577)," ",'Q:\Abteilungsprojekte\Eng\EngData\PROJECT_Bioplastics\Renjie_Pan\05-Raw_Data\Lab_results\[LabSamples2025_Bioplastic_extra.xlsx]extra_Bioplastic'!B577)</f>
        <v/>
      </c>
      <c r="C577">
        <f>IF(ISBLANK('Q:\Abteilungsprojekte\Eng\EngData\PROJECT_Bioplastics\Renjie_Pan\05-Raw_Data\Lab_results\[LabSamples2025_Bioplastic_extra.xlsx]extra_Bioplastic'!C577)," ",'Q:\Abteilungsprojekte\Eng\EngData\PROJECT_Bioplastics\Renjie_Pan\05-Raw_Data\Lab_results\[LabSamples2025_Bioplastic_extra.xlsx]extra_Bioplastic'!C577)</f>
        <v/>
      </c>
      <c r="D577">
        <f>IF(ISBLANK('Q:\Abteilungsprojekte\Eng\EngData\PROJECT_Bioplastics\Renjie_Pan\05-Raw_Data\Lab_results\[LabSamples2025_Bioplastic_extra.xlsx]extra_Bioplastic'!D577)," ",'Q:\Abteilungsprojekte\Eng\EngData\PROJECT_Bioplastics\Renjie_Pan\05-Raw_Data\Lab_results\[LabSamples2025_Bioplastic_extra.xlsx]extra_Bioplastic'!D577)</f>
        <v/>
      </c>
      <c r="E577">
        <f>IF(ISBLANK('Q:\Abteilungsprojekte\Eng\EngData\PROJECT_Bioplastics\Renjie_Pan\05-Raw_Data\Lab_results\[LabSamples2025_Bioplastic_extra.xlsx]extra_Bioplastic'!E577)," ",'Q:\Abteilungsprojekte\Eng\EngData\PROJECT_Bioplastics\Renjie_Pan\05-Raw_Data\Lab_results\[LabSamples2025_Bioplastic_extra.xlsx]extra_Bioplastic'!E577)</f>
        <v/>
      </c>
      <c r="F577">
        <f>IF(ISBLANK('Q:\Abteilungsprojekte\Eng\EngData\PROJECT_Bioplastics\Renjie_Pan\05-Raw_Data\Lab_results\[LabSamples2025_Bioplastic_extra.xlsx]extra_Bioplastic'!F577)," ",'Q:\Abteilungsprojekte\Eng\EngData\PROJECT_Bioplastics\Renjie_Pan\05-Raw_Data\Lab_results\[LabSamples2025_Bioplastic_extra.xlsx]extra_Bioplastic'!F577)</f>
        <v/>
      </c>
      <c r="G577">
        <f>IF(ISBLANK('Q:\Abteilungsprojekte\Eng\EngData\PROJECT_Bioplastics\Renjie_Pan\05-Raw_Data\Lab_results\[LabSamples2025_Bioplastic_extra.xlsx]extra_Bioplastic'!G577)," ",'Q:\Abteilungsprojekte\Eng\EngData\PROJECT_Bioplastics\Renjie_Pan\05-Raw_Data\Lab_results\[LabSamples2025_Bioplastic_extra.xlsx]extra_Bioplastic'!G577)</f>
        <v/>
      </c>
      <c r="H577">
        <f>IF(ISBLANK('Q:\Abteilungsprojekte\Eng\EngData\PROJECT_Bioplastics\Renjie_Pan\05-Raw_Data\Lab_results\[LabSamples2025_Bioplastic_extra.xlsx]extra_Bioplastic'!H577)," ",'Q:\Abteilungsprojekte\Eng\EngData\PROJECT_Bioplastics\Renjie_Pan\05-Raw_Data\Lab_results\[LabSamples2025_Bioplastic_extra.xlsx]extra_Bioplastic'!H577)</f>
        <v/>
      </c>
    </row>
    <row r="578">
      <c r="A578">
        <f>IF(ISBLANK('Q:\Abteilungsprojekte\Eng\EngData\PROJECT_Bioplastics\Renjie_Pan\05-Raw_Data\Lab_results\[LabSamples2025_Bioplastic_extra.xlsx]extra_Bioplastic'!A578)," ",'Q:\Abteilungsprojekte\Eng\EngData\PROJECT_Bioplastics\Renjie_Pan\05-Raw_Data\Lab_results\[LabSamples2025_Bioplastic_extra.xlsx]extra_Bioplastic'!A578)</f>
        <v/>
      </c>
      <c r="B578">
        <f>IF(ISBLANK('Q:\Abteilungsprojekte\Eng\EngData\PROJECT_Bioplastics\Renjie_Pan\05-Raw_Data\Lab_results\[LabSamples2025_Bioplastic_extra.xlsx]extra_Bioplastic'!B578)," ",'Q:\Abteilungsprojekte\Eng\EngData\PROJECT_Bioplastics\Renjie_Pan\05-Raw_Data\Lab_results\[LabSamples2025_Bioplastic_extra.xlsx]extra_Bioplastic'!B578)</f>
        <v/>
      </c>
      <c r="C578">
        <f>IF(ISBLANK('Q:\Abteilungsprojekte\Eng\EngData\PROJECT_Bioplastics\Renjie_Pan\05-Raw_Data\Lab_results\[LabSamples2025_Bioplastic_extra.xlsx]extra_Bioplastic'!C578)," ",'Q:\Abteilungsprojekte\Eng\EngData\PROJECT_Bioplastics\Renjie_Pan\05-Raw_Data\Lab_results\[LabSamples2025_Bioplastic_extra.xlsx]extra_Bioplastic'!C578)</f>
        <v/>
      </c>
      <c r="D578">
        <f>IF(ISBLANK('Q:\Abteilungsprojekte\Eng\EngData\PROJECT_Bioplastics\Renjie_Pan\05-Raw_Data\Lab_results\[LabSamples2025_Bioplastic_extra.xlsx]extra_Bioplastic'!D578)," ",'Q:\Abteilungsprojekte\Eng\EngData\PROJECT_Bioplastics\Renjie_Pan\05-Raw_Data\Lab_results\[LabSamples2025_Bioplastic_extra.xlsx]extra_Bioplastic'!D578)</f>
        <v/>
      </c>
      <c r="E578">
        <f>IF(ISBLANK('Q:\Abteilungsprojekte\Eng\EngData\PROJECT_Bioplastics\Renjie_Pan\05-Raw_Data\Lab_results\[LabSamples2025_Bioplastic_extra.xlsx]extra_Bioplastic'!E578)," ",'Q:\Abteilungsprojekte\Eng\EngData\PROJECT_Bioplastics\Renjie_Pan\05-Raw_Data\Lab_results\[LabSamples2025_Bioplastic_extra.xlsx]extra_Bioplastic'!E578)</f>
        <v/>
      </c>
      <c r="F578">
        <f>IF(ISBLANK('Q:\Abteilungsprojekte\Eng\EngData\PROJECT_Bioplastics\Renjie_Pan\05-Raw_Data\Lab_results\[LabSamples2025_Bioplastic_extra.xlsx]extra_Bioplastic'!F578)," ",'Q:\Abteilungsprojekte\Eng\EngData\PROJECT_Bioplastics\Renjie_Pan\05-Raw_Data\Lab_results\[LabSamples2025_Bioplastic_extra.xlsx]extra_Bioplastic'!F578)</f>
        <v/>
      </c>
      <c r="G578">
        <f>IF(ISBLANK('Q:\Abteilungsprojekte\Eng\EngData\PROJECT_Bioplastics\Renjie_Pan\05-Raw_Data\Lab_results\[LabSamples2025_Bioplastic_extra.xlsx]extra_Bioplastic'!G578)," ",'Q:\Abteilungsprojekte\Eng\EngData\PROJECT_Bioplastics\Renjie_Pan\05-Raw_Data\Lab_results\[LabSamples2025_Bioplastic_extra.xlsx]extra_Bioplastic'!G578)</f>
        <v/>
      </c>
      <c r="H578">
        <f>IF(ISBLANK('Q:\Abteilungsprojekte\Eng\EngData\PROJECT_Bioplastics\Renjie_Pan\05-Raw_Data\Lab_results\[LabSamples2025_Bioplastic_extra.xlsx]extra_Bioplastic'!H578)," ",'Q:\Abteilungsprojekte\Eng\EngData\PROJECT_Bioplastics\Renjie_Pan\05-Raw_Data\Lab_results\[LabSamples2025_Bioplastic_extra.xlsx]extra_Bioplastic'!H578)</f>
        <v/>
      </c>
    </row>
    <row r="579">
      <c r="A579">
        <f>IF(ISBLANK('Q:\Abteilungsprojekte\Eng\EngData\PROJECT_Bioplastics\Renjie_Pan\05-Raw_Data\Lab_results\[LabSamples2025_Bioplastic_extra.xlsx]extra_Bioplastic'!A579)," ",'Q:\Abteilungsprojekte\Eng\EngData\PROJECT_Bioplastics\Renjie_Pan\05-Raw_Data\Lab_results\[LabSamples2025_Bioplastic_extra.xlsx]extra_Bioplastic'!A579)</f>
        <v/>
      </c>
      <c r="B579">
        <f>IF(ISBLANK('Q:\Abteilungsprojekte\Eng\EngData\PROJECT_Bioplastics\Renjie_Pan\05-Raw_Data\Lab_results\[LabSamples2025_Bioplastic_extra.xlsx]extra_Bioplastic'!B579)," ",'Q:\Abteilungsprojekte\Eng\EngData\PROJECT_Bioplastics\Renjie_Pan\05-Raw_Data\Lab_results\[LabSamples2025_Bioplastic_extra.xlsx]extra_Bioplastic'!B579)</f>
        <v/>
      </c>
      <c r="C579">
        <f>IF(ISBLANK('Q:\Abteilungsprojekte\Eng\EngData\PROJECT_Bioplastics\Renjie_Pan\05-Raw_Data\Lab_results\[LabSamples2025_Bioplastic_extra.xlsx]extra_Bioplastic'!C579)," ",'Q:\Abteilungsprojekte\Eng\EngData\PROJECT_Bioplastics\Renjie_Pan\05-Raw_Data\Lab_results\[LabSamples2025_Bioplastic_extra.xlsx]extra_Bioplastic'!C579)</f>
        <v/>
      </c>
      <c r="D579">
        <f>IF(ISBLANK('Q:\Abteilungsprojekte\Eng\EngData\PROJECT_Bioplastics\Renjie_Pan\05-Raw_Data\Lab_results\[LabSamples2025_Bioplastic_extra.xlsx]extra_Bioplastic'!D579)," ",'Q:\Abteilungsprojekte\Eng\EngData\PROJECT_Bioplastics\Renjie_Pan\05-Raw_Data\Lab_results\[LabSamples2025_Bioplastic_extra.xlsx]extra_Bioplastic'!D579)</f>
        <v/>
      </c>
      <c r="E579">
        <f>IF(ISBLANK('Q:\Abteilungsprojekte\Eng\EngData\PROJECT_Bioplastics\Renjie_Pan\05-Raw_Data\Lab_results\[LabSamples2025_Bioplastic_extra.xlsx]extra_Bioplastic'!E579)," ",'Q:\Abteilungsprojekte\Eng\EngData\PROJECT_Bioplastics\Renjie_Pan\05-Raw_Data\Lab_results\[LabSamples2025_Bioplastic_extra.xlsx]extra_Bioplastic'!E579)</f>
        <v/>
      </c>
      <c r="F579">
        <f>IF(ISBLANK('Q:\Abteilungsprojekte\Eng\EngData\PROJECT_Bioplastics\Renjie_Pan\05-Raw_Data\Lab_results\[LabSamples2025_Bioplastic_extra.xlsx]extra_Bioplastic'!F579)," ",'Q:\Abteilungsprojekte\Eng\EngData\PROJECT_Bioplastics\Renjie_Pan\05-Raw_Data\Lab_results\[LabSamples2025_Bioplastic_extra.xlsx]extra_Bioplastic'!F579)</f>
        <v/>
      </c>
      <c r="G579">
        <f>IF(ISBLANK('Q:\Abteilungsprojekte\Eng\EngData\PROJECT_Bioplastics\Renjie_Pan\05-Raw_Data\Lab_results\[LabSamples2025_Bioplastic_extra.xlsx]extra_Bioplastic'!G579)," ",'Q:\Abteilungsprojekte\Eng\EngData\PROJECT_Bioplastics\Renjie_Pan\05-Raw_Data\Lab_results\[LabSamples2025_Bioplastic_extra.xlsx]extra_Bioplastic'!G579)</f>
        <v/>
      </c>
      <c r="H579">
        <f>IF(ISBLANK('Q:\Abteilungsprojekte\Eng\EngData\PROJECT_Bioplastics\Renjie_Pan\05-Raw_Data\Lab_results\[LabSamples2025_Bioplastic_extra.xlsx]extra_Bioplastic'!H579)," ",'Q:\Abteilungsprojekte\Eng\EngData\PROJECT_Bioplastics\Renjie_Pan\05-Raw_Data\Lab_results\[LabSamples2025_Bioplastic_extra.xlsx]extra_Bioplastic'!H579)</f>
        <v/>
      </c>
    </row>
    <row r="580">
      <c r="A580">
        <f>IF(ISBLANK('Q:\Abteilungsprojekte\Eng\EngData\PROJECT_Bioplastics\Renjie_Pan\05-Raw_Data\Lab_results\[LabSamples2025_Bioplastic_extra.xlsx]extra_Bioplastic'!A580)," ",'Q:\Abteilungsprojekte\Eng\EngData\PROJECT_Bioplastics\Renjie_Pan\05-Raw_Data\Lab_results\[LabSamples2025_Bioplastic_extra.xlsx]extra_Bioplastic'!A580)</f>
        <v/>
      </c>
      <c r="B580">
        <f>IF(ISBLANK('Q:\Abteilungsprojekte\Eng\EngData\PROJECT_Bioplastics\Renjie_Pan\05-Raw_Data\Lab_results\[LabSamples2025_Bioplastic_extra.xlsx]extra_Bioplastic'!B580)," ",'Q:\Abteilungsprojekte\Eng\EngData\PROJECT_Bioplastics\Renjie_Pan\05-Raw_Data\Lab_results\[LabSamples2025_Bioplastic_extra.xlsx]extra_Bioplastic'!B580)</f>
        <v/>
      </c>
      <c r="C580">
        <f>IF(ISBLANK('Q:\Abteilungsprojekte\Eng\EngData\PROJECT_Bioplastics\Renjie_Pan\05-Raw_Data\Lab_results\[LabSamples2025_Bioplastic_extra.xlsx]extra_Bioplastic'!C580)," ",'Q:\Abteilungsprojekte\Eng\EngData\PROJECT_Bioplastics\Renjie_Pan\05-Raw_Data\Lab_results\[LabSamples2025_Bioplastic_extra.xlsx]extra_Bioplastic'!C580)</f>
        <v/>
      </c>
      <c r="D580">
        <f>IF(ISBLANK('Q:\Abteilungsprojekte\Eng\EngData\PROJECT_Bioplastics\Renjie_Pan\05-Raw_Data\Lab_results\[LabSamples2025_Bioplastic_extra.xlsx]extra_Bioplastic'!D580)," ",'Q:\Abteilungsprojekte\Eng\EngData\PROJECT_Bioplastics\Renjie_Pan\05-Raw_Data\Lab_results\[LabSamples2025_Bioplastic_extra.xlsx]extra_Bioplastic'!D580)</f>
        <v/>
      </c>
      <c r="E580">
        <f>IF(ISBLANK('Q:\Abteilungsprojekte\Eng\EngData\PROJECT_Bioplastics\Renjie_Pan\05-Raw_Data\Lab_results\[LabSamples2025_Bioplastic_extra.xlsx]extra_Bioplastic'!E580)," ",'Q:\Abteilungsprojekte\Eng\EngData\PROJECT_Bioplastics\Renjie_Pan\05-Raw_Data\Lab_results\[LabSamples2025_Bioplastic_extra.xlsx]extra_Bioplastic'!E580)</f>
        <v/>
      </c>
      <c r="F580">
        <f>IF(ISBLANK('Q:\Abteilungsprojekte\Eng\EngData\PROJECT_Bioplastics\Renjie_Pan\05-Raw_Data\Lab_results\[LabSamples2025_Bioplastic_extra.xlsx]extra_Bioplastic'!F580)," ",'Q:\Abteilungsprojekte\Eng\EngData\PROJECT_Bioplastics\Renjie_Pan\05-Raw_Data\Lab_results\[LabSamples2025_Bioplastic_extra.xlsx]extra_Bioplastic'!F580)</f>
        <v/>
      </c>
      <c r="G580">
        <f>IF(ISBLANK('Q:\Abteilungsprojekte\Eng\EngData\PROJECT_Bioplastics\Renjie_Pan\05-Raw_Data\Lab_results\[LabSamples2025_Bioplastic_extra.xlsx]extra_Bioplastic'!G580)," ",'Q:\Abteilungsprojekte\Eng\EngData\PROJECT_Bioplastics\Renjie_Pan\05-Raw_Data\Lab_results\[LabSamples2025_Bioplastic_extra.xlsx]extra_Bioplastic'!G580)</f>
        <v/>
      </c>
      <c r="H580">
        <f>IF(ISBLANK('Q:\Abteilungsprojekte\Eng\EngData\PROJECT_Bioplastics\Renjie_Pan\05-Raw_Data\Lab_results\[LabSamples2025_Bioplastic_extra.xlsx]extra_Bioplastic'!H580)," ",'Q:\Abteilungsprojekte\Eng\EngData\PROJECT_Bioplastics\Renjie_Pan\05-Raw_Data\Lab_results\[LabSamples2025_Bioplastic_extra.xlsx]extra_Bioplastic'!H580)</f>
        <v/>
      </c>
    </row>
    <row r="581">
      <c r="A581">
        <f>IF(ISBLANK('Q:\Abteilungsprojekte\Eng\EngData\PROJECT_Bioplastics\Renjie_Pan\05-Raw_Data\Lab_results\[LabSamples2025_Bioplastic_extra.xlsx]extra_Bioplastic'!A581)," ",'Q:\Abteilungsprojekte\Eng\EngData\PROJECT_Bioplastics\Renjie_Pan\05-Raw_Data\Lab_results\[LabSamples2025_Bioplastic_extra.xlsx]extra_Bioplastic'!A581)</f>
        <v/>
      </c>
      <c r="B581">
        <f>IF(ISBLANK('Q:\Abteilungsprojekte\Eng\EngData\PROJECT_Bioplastics\Renjie_Pan\05-Raw_Data\Lab_results\[LabSamples2025_Bioplastic_extra.xlsx]extra_Bioplastic'!B581)," ",'Q:\Abteilungsprojekte\Eng\EngData\PROJECT_Bioplastics\Renjie_Pan\05-Raw_Data\Lab_results\[LabSamples2025_Bioplastic_extra.xlsx]extra_Bioplastic'!B581)</f>
        <v/>
      </c>
      <c r="C581">
        <f>IF(ISBLANK('Q:\Abteilungsprojekte\Eng\EngData\PROJECT_Bioplastics\Renjie_Pan\05-Raw_Data\Lab_results\[LabSamples2025_Bioplastic_extra.xlsx]extra_Bioplastic'!C581)," ",'Q:\Abteilungsprojekte\Eng\EngData\PROJECT_Bioplastics\Renjie_Pan\05-Raw_Data\Lab_results\[LabSamples2025_Bioplastic_extra.xlsx]extra_Bioplastic'!C581)</f>
        <v/>
      </c>
      <c r="D581">
        <f>IF(ISBLANK('Q:\Abteilungsprojekte\Eng\EngData\PROJECT_Bioplastics\Renjie_Pan\05-Raw_Data\Lab_results\[LabSamples2025_Bioplastic_extra.xlsx]extra_Bioplastic'!D581)," ",'Q:\Abteilungsprojekte\Eng\EngData\PROJECT_Bioplastics\Renjie_Pan\05-Raw_Data\Lab_results\[LabSamples2025_Bioplastic_extra.xlsx]extra_Bioplastic'!D581)</f>
        <v/>
      </c>
      <c r="E581">
        <f>IF(ISBLANK('Q:\Abteilungsprojekte\Eng\EngData\PROJECT_Bioplastics\Renjie_Pan\05-Raw_Data\Lab_results\[LabSamples2025_Bioplastic_extra.xlsx]extra_Bioplastic'!E581)," ",'Q:\Abteilungsprojekte\Eng\EngData\PROJECT_Bioplastics\Renjie_Pan\05-Raw_Data\Lab_results\[LabSamples2025_Bioplastic_extra.xlsx]extra_Bioplastic'!E581)</f>
        <v/>
      </c>
      <c r="F581">
        <f>IF(ISBLANK('Q:\Abteilungsprojekte\Eng\EngData\PROJECT_Bioplastics\Renjie_Pan\05-Raw_Data\Lab_results\[LabSamples2025_Bioplastic_extra.xlsx]extra_Bioplastic'!F581)," ",'Q:\Abteilungsprojekte\Eng\EngData\PROJECT_Bioplastics\Renjie_Pan\05-Raw_Data\Lab_results\[LabSamples2025_Bioplastic_extra.xlsx]extra_Bioplastic'!F581)</f>
        <v/>
      </c>
      <c r="G581">
        <f>IF(ISBLANK('Q:\Abteilungsprojekte\Eng\EngData\PROJECT_Bioplastics\Renjie_Pan\05-Raw_Data\Lab_results\[LabSamples2025_Bioplastic_extra.xlsx]extra_Bioplastic'!G581)," ",'Q:\Abteilungsprojekte\Eng\EngData\PROJECT_Bioplastics\Renjie_Pan\05-Raw_Data\Lab_results\[LabSamples2025_Bioplastic_extra.xlsx]extra_Bioplastic'!G581)</f>
        <v/>
      </c>
      <c r="H581">
        <f>IF(ISBLANK('Q:\Abteilungsprojekte\Eng\EngData\PROJECT_Bioplastics\Renjie_Pan\05-Raw_Data\Lab_results\[LabSamples2025_Bioplastic_extra.xlsx]extra_Bioplastic'!H581)," ",'Q:\Abteilungsprojekte\Eng\EngData\PROJECT_Bioplastics\Renjie_Pan\05-Raw_Data\Lab_results\[LabSamples2025_Bioplastic_extra.xlsx]extra_Bioplastic'!H581)</f>
        <v/>
      </c>
    </row>
    <row r="582">
      <c r="A582">
        <f>IF(ISBLANK('Q:\Abteilungsprojekte\Eng\EngData\PROJECT_Bioplastics\Renjie_Pan\05-Raw_Data\Lab_results\[LabSamples2025_Bioplastic_extra.xlsx]extra_Bioplastic'!A582)," ",'Q:\Abteilungsprojekte\Eng\EngData\PROJECT_Bioplastics\Renjie_Pan\05-Raw_Data\Lab_results\[LabSamples2025_Bioplastic_extra.xlsx]extra_Bioplastic'!A582)</f>
        <v/>
      </c>
      <c r="B582">
        <f>IF(ISBLANK('Q:\Abteilungsprojekte\Eng\EngData\PROJECT_Bioplastics\Renjie_Pan\05-Raw_Data\Lab_results\[LabSamples2025_Bioplastic_extra.xlsx]extra_Bioplastic'!B582)," ",'Q:\Abteilungsprojekte\Eng\EngData\PROJECT_Bioplastics\Renjie_Pan\05-Raw_Data\Lab_results\[LabSamples2025_Bioplastic_extra.xlsx]extra_Bioplastic'!B582)</f>
        <v/>
      </c>
      <c r="C582">
        <f>IF(ISBLANK('Q:\Abteilungsprojekte\Eng\EngData\PROJECT_Bioplastics\Renjie_Pan\05-Raw_Data\Lab_results\[LabSamples2025_Bioplastic_extra.xlsx]extra_Bioplastic'!C582)," ",'Q:\Abteilungsprojekte\Eng\EngData\PROJECT_Bioplastics\Renjie_Pan\05-Raw_Data\Lab_results\[LabSamples2025_Bioplastic_extra.xlsx]extra_Bioplastic'!C582)</f>
        <v/>
      </c>
      <c r="D582">
        <f>IF(ISBLANK('Q:\Abteilungsprojekte\Eng\EngData\PROJECT_Bioplastics\Renjie_Pan\05-Raw_Data\Lab_results\[LabSamples2025_Bioplastic_extra.xlsx]extra_Bioplastic'!D582)," ",'Q:\Abteilungsprojekte\Eng\EngData\PROJECT_Bioplastics\Renjie_Pan\05-Raw_Data\Lab_results\[LabSamples2025_Bioplastic_extra.xlsx]extra_Bioplastic'!D582)</f>
        <v/>
      </c>
      <c r="E582">
        <f>IF(ISBLANK('Q:\Abteilungsprojekte\Eng\EngData\PROJECT_Bioplastics\Renjie_Pan\05-Raw_Data\Lab_results\[LabSamples2025_Bioplastic_extra.xlsx]extra_Bioplastic'!E582)," ",'Q:\Abteilungsprojekte\Eng\EngData\PROJECT_Bioplastics\Renjie_Pan\05-Raw_Data\Lab_results\[LabSamples2025_Bioplastic_extra.xlsx]extra_Bioplastic'!E582)</f>
        <v/>
      </c>
      <c r="F582">
        <f>IF(ISBLANK('Q:\Abteilungsprojekte\Eng\EngData\PROJECT_Bioplastics\Renjie_Pan\05-Raw_Data\Lab_results\[LabSamples2025_Bioplastic_extra.xlsx]extra_Bioplastic'!F582)," ",'Q:\Abteilungsprojekte\Eng\EngData\PROJECT_Bioplastics\Renjie_Pan\05-Raw_Data\Lab_results\[LabSamples2025_Bioplastic_extra.xlsx]extra_Bioplastic'!F582)</f>
        <v/>
      </c>
      <c r="G582">
        <f>IF(ISBLANK('Q:\Abteilungsprojekte\Eng\EngData\PROJECT_Bioplastics\Renjie_Pan\05-Raw_Data\Lab_results\[LabSamples2025_Bioplastic_extra.xlsx]extra_Bioplastic'!G582)," ",'Q:\Abteilungsprojekte\Eng\EngData\PROJECT_Bioplastics\Renjie_Pan\05-Raw_Data\Lab_results\[LabSamples2025_Bioplastic_extra.xlsx]extra_Bioplastic'!G582)</f>
        <v/>
      </c>
      <c r="H582">
        <f>IF(ISBLANK('Q:\Abteilungsprojekte\Eng\EngData\PROJECT_Bioplastics\Renjie_Pan\05-Raw_Data\Lab_results\[LabSamples2025_Bioplastic_extra.xlsx]extra_Bioplastic'!H582)," ",'Q:\Abteilungsprojekte\Eng\EngData\PROJECT_Bioplastics\Renjie_Pan\05-Raw_Data\Lab_results\[LabSamples2025_Bioplastic_extra.xlsx]extra_Bioplastic'!H582)</f>
        <v/>
      </c>
    </row>
    <row r="583">
      <c r="A583">
        <f>IF(ISBLANK('Q:\Abteilungsprojekte\Eng\EngData\PROJECT_Bioplastics\Renjie_Pan\05-Raw_Data\Lab_results\[LabSamples2025_Bioplastic_extra.xlsx]extra_Bioplastic'!A583)," ",'Q:\Abteilungsprojekte\Eng\EngData\PROJECT_Bioplastics\Renjie_Pan\05-Raw_Data\Lab_results\[LabSamples2025_Bioplastic_extra.xlsx]extra_Bioplastic'!A583)</f>
        <v/>
      </c>
      <c r="B583">
        <f>IF(ISBLANK('Q:\Abteilungsprojekte\Eng\EngData\PROJECT_Bioplastics\Renjie_Pan\05-Raw_Data\Lab_results\[LabSamples2025_Bioplastic_extra.xlsx]extra_Bioplastic'!B583)," ",'Q:\Abteilungsprojekte\Eng\EngData\PROJECT_Bioplastics\Renjie_Pan\05-Raw_Data\Lab_results\[LabSamples2025_Bioplastic_extra.xlsx]extra_Bioplastic'!B583)</f>
        <v/>
      </c>
      <c r="C583">
        <f>IF(ISBLANK('Q:\Abteilungsprojekte\Eng\EngData\PROJECT_Bioplastics\Renjie_Pan\05-Raw_Data\Lab_results\[LabSamples2025_Bioplastic_extra.xlsx]extra_Bioplastic'!C583)," ",'Q:\Abteilungsprojekte\Eng\EngData\PROJECT_Bioplastics\Renjie_Pan\05-Raw_Data\Lab_results\[LabSamples2025_Bioplastic_extra.xlsx]extra_Bioplastic'!C583)</f>
        <v/>
      </c>
      <c r="D583">
        <f>IF(ISBLANK('Q:\Abteilungsprojekte\Eng\EngData\PROJECT_Bioplastics\Renjie_Pan\05-Raw_Data\Lab_results\[LabSamples2025_Bioplastic_extra.xlsx]extra_Bioplastic'!D583)," ",'Q:\Abteilungsprojekte\Eng\EngData\PROJECT_Bioplastics\Renjie_Pan\05-Raw_Data\Lab_results\[LabSamples2025_Bioplastic_extra.xlsx]extra_Bioplastic'!D583)</f>
        <v/>
      </c>
      <c r="E583">
        <f>IF(ISBLANK('Q:\Abteilungsprojekte\Eng\EngData\PROJECT_Bioplastics\Renjie_Pan\05-Raw_Data\Lab_results\[LabSamples2025_Bioplastic_extra.xlsx]extra_Bioplastic'!E583)," ",'Q:\Abteilungsprojekte\Eng\EngData\PROJECT_Bioplastics\Renjie_Pan\05-Raw_Data\Lab_results\[LabSamples2025_Bioplastic_extra.xlsx]extra_Bioplastic'!E583)</f>
        <v/>
      </c>
      <c r="F583">
        <f>IF(ISBLANK('Q:\Abteilungsprojekte\Eng\EngData\PROJECT_Bioplastics\Renjie_Pan\05-Raw_Data\Lab_results\[LabSamples2025_Bioplastic_extra.xlsx]extra_Bioplastic'!F583)," ",'Q:\Abteilungsprojekte\Eng\EngData\PROJECT_Bioplastics\Renjie_Pan\05-Raw_Data\Lab_results\[LabSamples2025_Bioplastic_extra.xlsx]extra_Bioplastic'!F583)</f>
        <v/>
      </c>
      <c r="G583">
        <f>IF(ISBLANK('Q:\Abteilungsprojekte\Eng\EngData\PROJECT_Bioplastics\Renjie_Pan\05-Raw_Data\Lab_results\[LabSamples2025_Bioplastic_extra.xlsx]extra_Bioplastic'!G583)," ",'Q:\Abteilungsprojekte\Eng\EngData\PROJECT_Bioplastics\Renjie_Pan\05-Raw_Data\Lab_results\[LabSamples2025_Bioplastic_extra.xlsx]extra_Bioplastic'!G583)</f>
        <v/>
      </c>
      <c r="H583">
        <f>IF(ISBLANK('Q:\Abteilungsprojekte\Eng\EngData\PROJECT_Bioplastics\Renjie_Pan\05-Raw_Data\Lab_results\[LabSamples2025_Bioplastic_extra.xlsx]extra_Bioplastic'!H583)," ",'Q:\Abteilungsprojekte\Eng\EngData\PROJECT_Bioplastics\Renjie_Pan\05-Raw_Data\Lab_results\[LabSamples2025_Bioplastic_extra.xlsx]extra_Bioplastic'!H583)</f>
        <v/>
      </c>
    </row>
    <row r="584">
      <c r="A584">
        <f>IF(ISBLANK('Q:\Abteilungsprojekte\Eng\EngData\PROJECT_Bioplastics\Renjie_Pan\05-Raw_Data\Lab_results\[LabSamples2025_Bioplastic_extra.xlsx]extra_Bioplastic'!A584)," ",'Q:\Abteilungsprojekte\Eng\EngData\PROJECT_Bioplastics\Renjie_Pan\05-Raw_Data\Lab_results\[LabSamples2025_Bioplastic_extra.xlsx]extra_Bioplastic'!A584)</f>
        <v/>
      </c>
      <c r="B584">
        <f>IF(ISBLANK('Q:\Abteilungsprojekte\Eng\EngData\PROJECT_Bioplastics\Renjie_Pan\05-Raw_Data\Lab_results\[LabSamples2025_Bioplastic_extra.xlsx]extra_Bioplastic'!B584)," ",'Q:\Abteilungsprojekte\Eng\EngData\PROJECT_Bioplastics\Renjie_Pan\05-Raw_Data\Lab_results\[LabSamples2025_Bioplastic_extra.xlsx]extra_Bioplastic'!B584)</f>
        <v/>
      </c>
      <c r="C584">
        <f>IF(ISBLANK('Q:\Abteilungsprojekte\Eng\EngData\PROJECT_Bioplastics\Renjie_Pan\05-Raw_Data\Lab_results\[LabSamples2025_Bioplastic_extra.xlsx]extra_Bioplastic'!C584)," ",'Q:\Abteilungsprojekte\Eng\EngData\PROJECT_Bioplastics\Renjie_Pan\05-Raw_Data\Lab_results\[LabSamples2025_Bioplastic_extra.xlsx]extra_Bioplastic'!C584)</f>
        <v/>
      </c>
      <c r="D584">
        <f>IF(ISBLANK('Q:\Abteilungsprojekte\Eng\EngData\PROJECT_Bioplastics\Renjie_Pan\05-Raw_Data\Lab_results\[LabSamples2025_Bioplastic_extra.xlsx]extra_Bioplastic'!D584)," ",'Q:\Abteilungsprojekte\Eng\EngData\PROJECT_Bioplastics\Renjie_Pan\05-Raw_Data\Lab_results\[LabSamples2025_Bioplastic_extra.xlsx]extra_Bioplastic'!D584)</f>
        <v/>
      </c>
      <c r="E584">
        <f>IF(ISBLANK('Q:\Abteilungsprojekte\Eng\EngData\PROJECT_Bioplastics\Renjie_Pan\05-Raw_Data\Lab_results\[LabSamples2025_Bioplastic_extra.xlsx]extra_Bioplastic'!E584)," ",'Q:\Abteilungsprojekte\Eng\EngData\PROJECT_Bioplastics\Renjie_Pan\05-Raw_Data\Lab_results\[LabSamples2025_Bioplastic_extra.xlsx]extra_Bioplastic'!E584)</f>
        <v/>
      </c>
      <c r="F584">
        <f>IF(ISBLANK('Q:\Abteilungsprojekte\Eng\EngData\PROJECT_Bioplastics\Renjie_Pan\05-Raw_Data\Lab_results\[LabSamples2025_Bioplastic_extra.xlsx]extra_Bioplastic'!F584)," ",'Q:\Abteilungsprojekte\Eng\EngData\PROJECT_Bioplastics\Renjie_Pan\05-Raw_Data\Lab_results\[LabSamples2025_Bioplastic_extra.xlsx]extra_Bioplastic'!F584)</f>
        <v/>
      </c>
      <c r="G584">
        <f>IF(ISBLANK('Q:\Abteilungsprojekte\Eng\EngData\PROJECT_Bioplastics\Renjie_Pan\05-Raw_Data\Lab_results\[LabSamples2025_Bioplastic_extra.xlsx]extra_Bioplastic'!G584)," ",'Q:\Abteilungsprojekte\Eng\EngData\PROJECT_Bioplastics\Renjie_Pan\05-Raw_Data\Lab_results\[LabSamples2025_Bioplastic_extra.xlsx]extra_Bioplastic'!G584)</f>
        <v/>
      </c>
      <c r="H584">
        <f>IF(ISBLANK('Q:\Abteilungsprojekte\Eng\EngData\PROJECT_Bioplastics\Renjie_Pan\05-Raw_Data\Lab_results\[LabSamples2025_Bioplastic_extra.xlsx]extra_Bioplastic'!H584)," ",'Q:\Abteilungsprojekte\Eng\EngData\PROJECT_Bioplastics\Renjie_Pan\05-Raw_Data\Lab_results\[LabSamples2025_Bioplastic_extra.xlsx]extra_Bioplastic'!H584)</f>
        <v/>
      </c>
    </row>
    <row r="585">
      <c r="A585">
        <f>IF(ISBLANK('Q:\Abteilungsprojekte\Eng\EngData\PROJECT_Bioplastics\Renjie_Pan\05-Raw_Data\Lab_results\[LabSamples2025_Bioplastic_extra.xlsx]extra_Bioplastic'!A585)," ",'Q:\Abteilungsprojekte\Eng\EngData\PROJECT_Bioplastics\Renjie_Pan\05-Raw_Data\Lab_results\[LabSamples2025_Bioplastic_extra.xlsx]extra_Bioplastic'!A585)</f>
        <v/>
      </c>
      <c r="B585">
        <f>IF(ISBLANK('Q:\Abteilungsprojekte\Eng\EngData\PROJECT_Bioplastics\Renjie_Pan\05-Raw_Data\Lab_results\[LabSamples2025_Bioplastic_extra.xlsx]extra_Bioplastic'!B585)," ",'Q:\Abteilungsprojekte\Eng\EngData\PROJECT_Bioplastics\Renjie_Pan\05-Raw_Data\Lab_results\[LabSamples2025_Bioplastic_extra.xlsx]extra_Bioplastic'!B585)</f>
        <v/>
      </c>
      <c r="C585">
        <f>IF(ISBLANK('Q:\Abteilungsprojekte\Eng\EngData\PROJECT_Bioplastics\Renjie_Pan\05-Raw_Data\Lab_results\[LabSamples2025_Bioplastic_extra.xlsx]extra_Bioplastic'!C585)," ",'Q:\Abteilungsprojekte\Eng\EngData\PROJECT_Bioplastics\Renjie_Pan\05-Raw_Data\Lab_results\[LabSamples2025_Bioplastic_extra.xlsx]extra_Bioplastic'!C585)</f>
        <v/>
      </c>
      <c r="D585">
        <f>IF(ISBLANK('Q:\Abteilungsprojekte\Eng\EngData\PROJECT_Bioplastics\Renjie_Pan\05-Raw_Data\Lab_results\[LabSamples2025_Bioplastic_extra.xlsx]extra_Bioplastic'!D585)," ",'Q:\Abteilungsprojekte\Eng\EngData\PROJECT_Bioplastics\Renjie_Pan\05-Raw_Data\Lab_results\[LabSamples2025_Bioplastic_extra.xlsx]extra_Bioplastic'!D585)</f>
        <v/>
      </c>
      <c r="E585">
        <f>IF(ISBLANK('Q:\Abteilungsprojekte\Eng\EngData\PROJECT_Bioplastics\Renjie_Pan\05-Raw_Data\Lab_results\[LabSamples2025_Bioplastic_extra.xlsx]extra_Bioplastic'!E585)," ",'Q:\Abteilungsprojekte\Eng\EngData\PROJECT_Bioplastics\Renjie_Pan\05-Raw_Data\Lab_results\[LabSamples2025_Bioplastic_extra.xlsx]extra_Bioplastic'!E585)</f>
        <v/>
      </c>
      <c r="F585">
        <f>IF(ISBLANK('Q:\Abteilungsprojekte\Eng\EngData\PROJECT_Bioplastics\Renjie_Pan\05-Raw_Data\Lab_results\[LabSamples2025_Bioplastic_extra.xlsx]extra_Bioplastic'!F585)," ",'Q:\Abteilungsprojekte\Eng\EngData\PROJECT_Bioplastics\Renjie_Pan\05-Raw_Data\Lab_results\[LabSamples2025_Bioplastic_extra.xlsx]extra_Bioplastic'!F585)</f>
        <v/>
      </c>
      <c r="G585">
        <f>IF(ISBLANK('Q:\Abteilungsprojekte\Eng\EngData\PROJECT_Bioplastics\Renjie_Pan\05-Raw_Data\Lab_results\[LabSamples2025_Bioplastic_extra.xlsx]extra_Bioplastic'!G585)," ",'Q:\Abteilungsprojekte\Eng\EngData\PROJECT_Bioplastics\Renjie_Pan\05-Raw_Data\Lab_results\[LabSamples2025_Bioplastic_extra.xlsx]extra_Bioplastic'!G585)</f>
        <v/>
      </c>
      <c r="H585">
        <f>IF(ISBLANK('Q:\Abteilungsprojekte\Eng\EngData\PROJECT_Bioplastics\Renjie_Pan\05-Raw_Data\Lab_results\[LabSamples2025_Bioplastic_extra.xlsx]extra_Bioplastic'!H585)," ",'Q:\Abteilungsprojekte\Eng\EngData\PROJECT_Bioplastics\Renjie_Pan\05-Raw_Data\Lab_results\[LabSamples2025_Bioplastic_extra.xlsx]extra_Bioplastic'!H585)</f>
        <v/>
      </c>
    </row>
    <row r="586">
      <c r="A586">
        <f>IF(ISBLANK('Q:\Abteilungsprojekte\Eng\EngData\PROJECT_Bioplastics\Renjie_Pan\05-Raw_Data\Lab_results\[LabSamples2025_Bioplastic_extra.xlsx]extra_Bioplastic'!A586)," ",'Q:\Abteilungsprojekte\Eng\EngData\PROJECT_Bioplastics\Renjie_Pan\05-Raw_Data\Lab_results\[LabSamples2025_Bioplastic_extra.xlsx]extra_Bioplastic'!A586)</f>
        <v/>
      </c>
      <c r="B586">
        <f>IF(ISBLANK('Q:\Abteilungsprojekte\Eng\EngData\PROJECT_Bioplastics\Renjie_Pan\05-Raw_Data\Lab_results\[LabSamples2025_Bioplastic_extra.xlsx]extra_Bioplastic'!B586)," ",'Q:\Abteilungsprojekte\Eng\EngData\PROJECT_Bioplastics\Renjie_Pan\05-Raw_Data\Lab_results\[LabSamples2025_Bioplastic_extra.xlsx]extra_Bioplastic'!B586)</f>
        <v/>
      </c>
      <c r="C586">
        <f>IF(ISBLANK('Q:\Abteilungsprojekte\Eng\EngData\PROJECT_Bioplastics\Renjie_Pan\05-Raw_Data\Lab_results\[LabSamples2025_Bioplastic_extra.xlsx]extra_Bioplastic'!C586)," ",'Q:\Abteilungsprojekte\Eng\EngData\PROJECT_Bioplastics\Renjie_Pan\05-Raw_Data\Lab_results\[LabSamples2025_Bioplastic_extra.xlsx]extra_Bioplastic'!C586)</f>
        <v/>
      </c>
      <c r="D586">
        <f>IF(ISBLANK('Q:\Abteilungsprojekte\Eng\EngData\PROJECT_Bioplastics\Renjie_Pan\05-Raw_Data\Lab_results\[LabSamples2025_Bioplastic_extra.xlsx]extra_Bioplastic'!D586)," ",'Q:\Abteilungsprojekte\Eng\EngData\PROJECT_Bioplastics\Renjie_Pan\05-Raw_Data\Lab_results\[LabSamples2025_Bioplastic_extra.xlsx]extra_Bioplastic'!D586)</f>
        <v/>
      </c>
      <c r="E586">
        <f>IF(ISBLANK('Q:\Abteilungsprojekte\Eng\EngData\PROJECT_Bioplastics\Renjie_Pan\05-Raw_Data\Lab_results\[LabSamples2025_Bioplastic_extra.xlsx]extra_Bioplastic'!E586)," ",'Q:\Abteilungsprojekte\Eng\EngData\PROJECT_Bioplastics\Renjie_Pan\05-Raw_Data\Lab_results\[LabSamples2025_Bioplastic_extra.xlsx]extra_Bioplastic'!E586)</f>
        <v/>
      </c>
      <c r="F586">
        <f>IF(ISBLANK('Q:\Abteilungsprojekte\Eng\EngData\PROJECT_Bioplastics\Renjie_Pan\05-Raw_Data\Lab_results\[LabSamples2025_Bioplastic_extra.xlsx]extra_Bioplastic'!F586)," ",'Q:\Abteilungsprojekte\Eng\EngData\PROJECT_Bioplastics\Renjie_Pan\05-Raw_Data\Lab_results\[LabSamples2025_Bioplastic_extra.xlsx]extra_Bioplastic'!F586)</f>
        <v/>
      </c>
      <c r="G586">
        <f>IF(ISBLANK('Q:\Abteilungsprojekte\Eng\EngData\PROJECT_Bioplastics\Renjie_Pan\05-Raw_Data\Lab_results\[LabSamples2025_Bioplastic_extra.xlsx]extra_Bioplastic'!G586)," ",'Q:\Abteilungsprojekte\Eng\EngData\PROJECT_Bioplastics\Renjie_Pan\05-Raw_Data\Lab_results\[LabSamples2025_Bioplastic_extra.xlsx]extra_Bioplastic'!G586)</f>
        <v/>
      </c>
      <c r="H586">
        <f>IF(ISBLANK('Q:\Abteilungsprojekte\Eng\EngData\PROJECT_Bioplastics\Renjie_Pan\05-Raw_Data\Lab_results\[LabSamples2025_Bioplastic_extra.xlsx]extra_Bioplastic'!H586)," ",'Q:\Abteilungsprojekte\Eng\EngData\PROJECT_Bioplastics\Renjie_Pan\05-Raw_Data\Lab_results\[LabSamples2025_Bioplastic_extra.xlsx]extra_Bioplastic'!H586)</f>
        <v/>
      </c>
    </row>
    <row r="587">
      <c r="A587">
        <f>IF(ISBLANK('Q:\Abteilungsprojekte\Eng\EngData\PROJECT_Bioplastics\Renjie_Pan\05-Raw_Data\Lab_results\[LabSamples2025_Bioplastic_extra.xlsx]extra_Bioplastic'!A587)," ",'Q:\Abteilungsprojekte\Eng\EngData\PROJECT_Bioplastics\Renjie_Pan\05-Raw_Data\Lab_results\[LabSamples2025_Bioplastic_extra.xlsx]extra_Bioplastic'!A587)</f>
        <v/>
      </c>
      <c r="B587">
        <f>IF(ISBLANK('Q:\Abteilungsprojekte\Eng\EngData\PROJECT_Bioplastics\Renjie_Pan\05-Raw_Data\Lab_results\[LabSamples2025_Bioplastic_extra.xlsx]extra_Bioplastic'!B587)," ",'Q:\Abteilungsprojekte\Eng\EngData\PROJECT_Bioplastics\Renjie_Pan\05-Raw_Data\Lab_results\[LabSamples2025_Bioplastic_extra.xlsx]extra_Bioplastic'!B587)</f>
        <v/>
      </c>
      <c r="C587">
        <f>IF(ISBLANK('Q:\Abteilungsprojekte\Eng\EngData\PROJECT_Bioplastics\Renjie_Pan\05-Raw_Data\Lab_results\[LabSamples2025_Bioplastic_extra.xlsx]extra_Bioplastic'!C587)," ",'Q:\Abteilungsprojekte\Eng\EngData\PROJECT_Bioplastics\Renjie_Pan\05-Raw_Data\Lab_results\[LabSamples2025_Bioplastic_extra.xlsx]extra_Bioplastic'!C587)</f>
        <v/>
      </c>
      <c r="D587">
        <f>IF(ISBLANK('Q:\Abteilungsprojekte\Eng\EngData\PROJECT_Bioplastics\Renjie_Pan\05-Raw_Data\Lab_results\[LabSamples2025_Bioplastic_extra.xlsx]extra_Bioplastic'!D587)," ",'Q:\Abteilungsprojekte\Eng\EngData\PROJECT_Bioplastics\Renjie_Pan\05-Raw_Data\Lab_results\[LabSamples2025_Bioplastic_extra.xlsx]extra_Bioplastic'!D587)</f>
        <v/>
      </c>
      <c r="E587">
        <f>IF(ISBLANK('Q:\Abteilungsprojekte\Eng\EngData\PROJECT_Bioplastics\Renjie_Pan\05-Raw_Data\Lab_results\[LabSamples2025_Bioplastic_extra.xlsx]extra_Bioplastic'!E587)," ",'Q:\Abteilungsprojekte\Eng\EngData\PROJECT_Bioplastics\Renjie_Pan\05-Raw_Data\Lab_results\[LabSamples2025_Bioplastic_extra.xlsx]extra_Bioplastic'!E587)</f>
        <v/>
      </c>
      <c r="F587">
        <f>IF(ISBLANK('Q:\Abteilungsprojekte\Eng\EngData\PROJECT_Bioplastics\Renjie_Pan\05-Raw_Data\Lab_results\[LabSamples2025_Bioplastic_extra.xlsx]extra_Bioplastic'!F587)," ",'Q:\Abteilungsprojekte\Eng\EngData\PROJECT_Bioplastics\Renjie_Pan\05-Raw_Data\Lab_results\[LabSamples2025_Bioplastic_extra.xlsx]extra_Bioplastic'!F587)</f>
        <v/>
      </c>
      <c r="G587">
        <f>IF(ISBLANK('Q:\Abteilungsprojekte\Eng\EngData\PROJECT_Bioplastics\Renjie_Pan\05-Raw_Data\Lab_results\[LabSamples2025_Bioplastic_extra.xlsx]extra_Bioplastic'!G587)," ",'Q:\Abteilungsprojekte\Eng\EngData\PROJECT_Bioplastics\Renjie_Pan\05-Raw_Data\Lab_results\[LabSamples2025_Bioplastic_extra.xlsx]extra_Bioplastic'!G587)</f>
        <v/>
      </c>
      <c r="H587">
        <f>IF(ISBLANK('Q:\Abteilungsprojekte\Eng\EngData\PROJECT_Bioplastics\Renjie_Pan\05-Raw_Data\Lab_results\[LabSamples2025_Bioplastic_extra.xlsx]extra_Bioplastic'!H587)," ",'Q:\Abteilungsprojekte\Eng\EngData\PROJECT_Bioplastics\Renjie_Pan\05-Raw_Data\Lab_results\[LabSamples2025_Bioplastic_extra.xlsx]extra_Bioplastic'!H587)</f>
        <v/>
      </c>
    </row>
    <row r="588">
      <c r="A588">
        <f>IF(ISBLANK('Q:\Abteilungsprojekte\Eng\EngData\PROJECT_Bioplastics\Renjie_Pan\05-Raw_Data\Lab_results\[LabSamples2025_Bioplastic_extra.xlsx]extra_Bioplastic'!A588)," ",'Q:\Abteilungsprojekte\Eng\EngData\PROJECT_Bioplastics\Renjie_Pan\05-Raw_Data\Lab_results\[LabSamples2025_Bioplastic_extra.xlsx]extra_Bioplastic'!A588)</f>
        <v/>
      </c>
      <c r="B588">
        <f>IF(ISBLANK('Q:\Abteilungsprojekte\Eng\EngData\PROJECT_Bioplastics\Renjie_Pan\05-Raw_Data\Lab_results\[LabSamples2025_Bioplastic_extra.xlsx]extra_Bioplastic'!B588)," ",'Q:\Abteilungsprojekte\Eng\EngData\PROJECT_Bioplastics\Renjie_Pan\05-Raw_Data\Lab_results\[LabSamples2025_Bioplastic_extra.xlsx]extra_Bioplastic'!B588)</f>
        <v/>
      </c>
      <c r="C588">
        <f>IF(ISBLANK('Q:\Abteilungsprojekte\Eng\EngData\PROJECT_Bioplastics\Renjie_Pan\05-Raw_Data\Lab_results\[LabSamples2025_Bioplastic_extra.xlsx]extra_Bioplastic'!C588)," ",'Q:\Abteilungsprojekte\Eng\EngData\PROJECT_Bioplastics\Renjie_Pan\05-Raw_Data\Lab_results\[LabSamples2025_Bioplastic_extra.xlsx]extra_Bioplastic'!C588)</f>
        <v/>
      </c>
      <c r="D588">
        <f>IF(ISBLANK('Q:\Abteilungsprojekte\Eng\EngData\PROJECT_Bioplastics\Renjie_Pan\05-Raw_Data\Lab_results\[LabSamples2025_Bioplastic_extra.xlsx]extra_Bioplastic'!D588)," ",'Q:\Abteilungsprojekte\Eng\EngData\PROJECT_Bioplastics\Renjie_Pan\05-Raw_Data\Lab_results\[LabSamples2025_Bioplastic_extra.xlsx]extra_Bioplastic'!D588)</f>
        <v/>
      </c>
      <c r="E588">
        <f>IF(ISBLANK('Q:\Abteilungsprojekte\Eng\EngData\PROJECT_Bioplastics\Renjie_Pan\05-Raw_Data\Lab_results\[LabSamples2025_Bioplastic_extra.xlsx]extra_Bioplastic'!E588)," ",'Q:\Abteilungsprojekte\Eng\EngData\PROJECT_Bioplastics\Renjie_Pan\05-Raw_Data\Lab_results\[LabSamples2025_Bioplastic_extra.xlsx]extra_Bioplastic'!E588)</f>
        <v/>
      </c>
      <c r="F588">
        <f>IF(ISBLANK('Q:\Abteilungsprojekte\Eng\EngData\PROJECT_Bioplastics\Renjie_Pan\05-Raw_Data\Lab_results\[LabSamples2025_Bioplastic_extra.xlsx]extra_Bioplastic'!F588)," ",'Q:\Abteilungsprojekte\Eng\EngData\PROJECT_Bioplastics\Renjie_Pan\05-Raw_Data\Lab_results\[LabSamples2025_Bioplastic_extra.xlsx]extra_Bioplastic'!F588)</f>
        <v/>
      </c>
      <c r="G588">
        <f>IF(ISBLANK('Q:\Abteilungsprojekte\Eng\EngData\PROJECT_Bioplastics\Renjie_Pan\05-Raw_Data\Lab_results\[LabSamples2025_Bioplastic_extra.xlsx]extra_Bioplastic'!G588)," ",'Q:\Abteilungsprojekte\Eng\EngData\PROJECT_Bioplastics\Renjie_Pan\05-Raw_Data\Lab_results\[LabSamples2025_Bioplastic_extra.xlsx]extra_Bioplastic'!G588)</f>
        <v/>
      </c>
      <c r="H588">
        <f>IF(ISBLANK('Q:\Abteilungsprojekte\Eng\EngData\PROJECT_Bioplastics\Renjie_Pan\05-Raw_Data\Lab_results\[LabSamples2025_Bioplastic_extra.xlsx]extra_Bioplastic'!H588)," ",'Q:\Abteilungsprojekte\Eng\EngData\PROJECT_Bioplastics\Renjie_Pan\05-Raw_Data\Lab_results\[LabSamples2025_Bioplastic_extra.xlsx]extra_Bioplastic'!H588)</f>
        <v/>
      </c>
    </row>
    <row r="589">
      <c r="A589">
        <f>IF(ISBLANK('Q:\Abteilungsprojekte\Eng\EngData\PROJECT_Bioplastics\Renjie_Pan\05-Raw_Data\Lab_results\[LabSamples2025_Bioplastic_extra.xlsx]extra_Bioplastic'!A589)," ",'Q:\Abteilungsprojekte\Eng\EngData\PROJECT_Bioplastics\Renjie_Pan\05-Raw_Data\Lab_results\[LabSamples2025_Bioplastic_extra.xlsx]extra_Bioplastic'!A589)</f>
        <v/>
      </c>
      <c r="B589">
        <f>IF(ISBLANK('Q:\Abteilungsprojekte\Eng\EngData\PROJECT_Bioplastics\Renjie_Pan\05-Raw_Data\Lab_results\[LabSamples2025_Bioplastic_extra.xlsx]extra_Bioplastic'!B589)," ",'Q:\Abteilungsprojekte\Eng\EngData\PROJECT_Bioplastics\Renjie_Pan\05-Raw_Data\Lab_results\[LabSamples2025_Bioplastic_extra.xlsx]extra_Bioplastic'!B589)</f>
        <v/>
      </c>
      <c r="C589">
        <f>IF(ISBLANK('Q:\Abteilungsprojekte\Eng\EngData\PROJECT_Bioplastics\Renjie_Pan\05-Raw_Data\Lab_results\[LabSamples2025_Bioplastic_extra.xlsx]extra_Bioplastic'!C589)," ",'Q:\Abteilungsprojekte\Eng\EngData\PROJECT_Bioplastics\Renjie_Pan\05-Raw_Data\Lab_results\[LabSamples2025_Bioplastic_extra.xlsx]extra_Bioplastic'!C589)</f>
        <v/>
      </c>
      <c r="D589">
        <f>IF(ISBLANK('Q:\Abteilungsprojekte\Eng\EngData\PROJECT_Bioplastics\Renjie_Pan\05-Raw_Data\Lab_results\[LabSamples2025_Bioplastic_extra.xlsx]extra_Bioplastic'!D589)," ",'Q:\Abteilungsprojekte\Eng\EngData\PROJECT_Bioplastics\Renjie_Pan\05-Raw_Data\Lab_results\[LabSamples2025_Bioplastic_extra.xlsx]extra_Bioplastic'!D589)</f>
        <v/>
      </c>
      <c r="E589">
        <f>IF(ISBLANK('Q:\Abteilungsprojekte\Eng\EngData\PROJECT_Bioplastics\Renjie_Pan\05-Raw_Data\Lab_results\[LabSamples2025_Bioplastic_extra.xlsx]extra_Bioplastic'!E589)," ",'Q:\Abteilungsprojekte\Eng\EngData\PROJECT_Bioplastics\Renjie_Pan\05-Raw_Data\Lab_results\[LabSamples2025_Bioplastic_extra.xlsx]extra_Bioplastic'!E589)</f>
        <v/>
      </c>
      <c r="F589">
        <f>IF(ISBLANK('Q:\Abteilungsprojekte\Eng\EngData\PROJECT_Bioplastics\Renjie_Pan\05-Raw_Data\Lab_results\[LabSamples2025_Bioplastic_extra.xlsx]extra_Bioplastic'!F589)," ",'Q:\Abteilungsprojekte\Eng\EngData\PROJECT_Bioplastics\Renjie_Pan\05-Raw_Data\Lab_results\[LabSamples2025_Bioplastic_extra.xlsx]extra_Bioplastic'!F589)</f>
        <v/>
      </c>
      <c r="G589">
        <f>IF(ISBLANK('Q:\Abteilungsprojekte\Eng\EngData\PROJECT_Bioplastics\Renjie_Pan\05-Raw_Data\Lab_results\[LabSamples2025_Bioplastic_extra.xlsx]extra_Bioplastic'!G589)," ",'Q:\Abteilungsprojekte\Eng\EngData\PROJECT_Bioplastics\Renjie_Pan\05-Raw_Data\Lab_results\[LabSamples2025_Bioplastic_extra.xlsx]extra_Bioplastic'!G589)</f>
        <v/>
      </c>
      <c r="H589">
        <f>IF(ISBLANK('Q:\Abteilungsprojekte\Eng\EngData\PROJECT_Bioplastics\Renjie_Pan\05-Raw_Data\Lab_results\[LabSamples2025_Bioplastic_extra.xlsx]extra_Bioplastic'!H589)," ",'Q:\Abteilungsprojekte\Eng\EngData\PROJECT_Bioplastics\Renjie_Pan\05-Raw_Data\Lab_results\[LabSamples2025_Bioplastic_extra.xlsx]extra_Bioplastic'!H589)</f>
        <v/>
      </c>
    </row>
    <row r="590">
      <c r="A590">
        <f>IF(ISBLANK('Q:\Abteilungsprojekte\Eng\EngData\PROJECT_Bioplastics\Renjie_Pan\05-Raw_Data\Lab_results\[LabSamples2025_Bioplastic_extra.xlsx]extra_Bioplastic'!A590)," ",'Q:\Abteilungsprojekte\Eng\EngData\PROJECT_Bioplastics\Renjie_Pan\05-Raw_Data\Lab_results\[LabSamples2025_Bioplastic_extra.xlsx]extra_Bioplastic'!A590)</f>
        <v/>
      </c>
      <c r="B590">
        <f>IF(ISBLANK('Q:\Abteilungsprojekte\Eng\EngData\PROJECT_Bioplastics\Renjie_Pan\05-Raw_Data\Lab_results\[LabSamples2025_Bioplastic_extra.xlsx]extra_Bioplastic'!B590)," ",'Q:\Abteilungsprojekte\Eng\EngData\PROJECT_Bioplastics\Renjie_Pan\05-Raw_Data\Lab_results\[LabSamples2025_Bioplastic_extra.xlsx]extra_Bioplastic'!B590)</f>
        <v/>
      </c>
      <c r="C590">
        <f>IF(ISBLANK('Q:\Abteilungsprojekte\Eng\EngData\PROJECT_Bioplastics\Renjie_Pan\05-Raw_Data\Lab_results\[LabSamples2025_Bioplastic_extra.xlsx]extra_Bioplastic'!C590)," ",'Q:\Abteilungsprojekte\Eng\EngData\PROJECT_Bioplastics\Renjie_Pan\05-Raw_Data\Lab_results\[LabSamples2025_Bioplastic_extra.xlsx]extra_Bioplastic'!C590)</f>
        <v/>
      </c>
      <c r="D590">
        <f>IF(ISBLANK('Q:\Abteilungsprojekte\Eng\EngData\PROJECT_Bioplastics\Renjie_Pan\05-Raw_Data\Lab_results\[LabSamples2025_Bioplastic_extra.xlsx]extra_Bioplastic'!D590)," ",'Q:\Abteilungsprojekte\Eng\EngData\PROJECT_Bioplastics\Renjie_Pan\05-Raw_Data\Lab_results\[LabSamples2025_Bioplastic_extra.xlsx]extra_Bioplastic'!D590)</f>
        <v/>
      </c>
      <c r="E590">
        <f>IF(ISBLANK('Q:\Abteilungsprojekte\Eng\EngData\PROJECT_Bioplastics\Renjie_Pan\05-Raw_Data\Lab_results\[LabSamples2025_Bioplastic_extra.xlsx]extra_Bioplastic'!E590)," ",'Q:\Abteilungsprojekte\Eng\EngData\PROJECT_Bioplastics\Renjie_Pan\05-Raw_Data\Lab_results\[LabSamples2025_Bioplastic_extra.xlsx]extra_Bioplastic'!E590)</f>
        <v/>
      </c>
      <c r="F590">
        <f>IF(ISBLANK('Q:\Abteilungsprojekte\Eng\EngData\PROJECT_Bioplastics\Renjie_Pan\05-Raw_Data\Lab_results\[LabSamples2025_Bioplastic_extra.xlsx]extra_Bioplastic'!F590)," ",'Q:\Abteilungsprojekte\Eng\EngData\PROJECT_Bioplastics\Renjie_Pan\05-Raw_Data\Lab_results\[LabSamples2025_Bioplastic_extra.xlsx]extra_Bioplastic'!F590)</f>
        <v/>
      </c>
      <c r="G590">
        <f>IF(ISBLANK('Q:\Abteilungsprojekte\Eng\EngData\PROJECT_Bioplastics\Renjie_Pan\05-Raw_Data\Lab_results\[LabSamples2025_Bioplastic_extra.xlsx]extra_Bioplastic'!G590)," ",'Q:\Abteilungsprojekte\Eng\EngData\PROJECT_Bioplastics\Renjie_Pan\05-Raw_Data\Lab_results\[LabSamples2025_Bioplastic_extra.xlsx]extra_Bioplastic'!G590)</f>
        <v/>
      </c>
      <c r="H590">
        <f>IF(ISBLANK('Q:\Abteilungsprojekte\Eng\EngData\PROJECT_Bioplastics\Renjie_Pan\05-Raw_Data\Lab_results\[LabSamples2025_Bioplastic_extra.xlsx]extra_Bioplastic'!H590)," ",'Q:\Abteilungsprojekte\Eng\EngData\PROJECT_Bioplastics\Renjie_Pan\05-Raw_Data\Lab_results\[LabSamples2025_Bioplastic_extra.xlsx]extra_Bioplastic'!H590)</f>
        <v/>
      </c>
    </row>
    <row r="591">
      <c r="A591">
        <f>IF(ISBLANK('Q:\Abteilungsprojekte\Eng\EngData\PROJECT_Bioplastics\Renjie_Pan\05-Raw_Data\Lab_results\[LabSamples2025_Bioplastic_extra.xlsx]extra_Bioplastic'!A591)," ",'Q:\Abteilungsprojekte\Eng\EngData\PROJECT_Bioplastics\Renjie_Pan\05-Raw_Data\Lab_results\[LabSamples2025_Bioplastic_extra.xlsx]extra_Bioplastic'!A591)</f>
        <v/>
      </c>
      <c r="B591">
        <f>IF(ISBLANK('Q:\Abteilungsprojekte\Eng\EngData\PROJECT_Bioplastics\Renjie_Pan\05-Raw_Data\Lab_results\[LabSamples2025_Bioplastic_extra.xlsx]extra_Bioplastic'!B591)," ",'Q:\Abteilungsprojekte\Eng\EngData\PROJECT_Bioplastics\Renjie_Pan\05-Raw_Data\Lab_results\[LabSamples2025_Bioplastic_extra.xlsx]extra_Bioplastic'!B591)</f>
        <v/>
      </c>
      <c r="C591">
        <f>IF(ISBLANK('Q:\Abteilungsprojekte\Eng\EngData\PROJECT_Bioplastics\Renjie_Pan\05-Raw_Data\Lab_results\[LabSamples2025_Bioplastic_extra.xlsx]extra_Bioplastic'!C591)," ",'Q:\Abteilungsprojekte\Eng\EngData\PROJECT_Bioplastics\Renjie_Pan\05-Raw_Data\Lab_results\[LabSamples2025_Bioplastic_extra.xlsx]extra_Bioplastic'!C591)</f>
        <v/>
      </c>
      <c r="D591">
        <f>IF(ISBLANK('Q:\Abteilungsprojekte\Eng\EngData\PROJECT_Bioplastics\Renjie_Pan\05-Raw_Data\Lab_results\[LabSamples2025_Bioplastic_extra.xlsx]extra_Bioplastic'!D591)," ",'Q:\Abteilungsprojekte\Eng\EngData\PROJECT_Bioplastics\Renjie_Pan\05-Raw_Data\Lab_results\[LabSamples2025_Bioplastic_extra.xlsx]extra_Bioplastic'!D591)</f>
        <v/>
      </c>
      <c r="E591">
        <f>IF(ISBLANK('Q:\Abteilungsprojekte\Eng\EngData\PROJECT_Bioplastics\Renjie_Pan\05-Raw_Data\Lab_results\[LabSamples2025_Bioplastic_extra.xlsx]extra_Bioplastic'!E591)," ",'Q:\Abteilungsprojekte\Eng\EngData\PROJECT_Bioplastics\Renjie_Pan\05-Raw_Data\Lab_results\[LabSamples2025_Bioplastic_extra.xlsx]extra_Bioplastic'!E591)</f>
        <v/>
      </c>
      <c r="F591">
        <f>IF(ISBLANK('Q:\Abteilungsprojekte\Eng\EngData\PROJECT_Bioplastics\Renjie_Pan\05-Raw_Data\Lab_results\[LabSamples2025_Bioplastic_extra.xlsx]extra_Bioplastic'!F591)," ",'Q:\Abteilungsprojekte\Eng\EngData\PROJECT_Bioplastics\Renjie_Pan\05-Raw_Data\Lab_results\[LabSamples2025_Bioplastic_extra.xlsx]extra_Bioplastic'!F591)</f>
        <v/>
      </c>
      <c r="G591">
        <f>IF(ISBLANK('Q:\Abteilungsprojekte\Eng\EngData\PROJECT_Bioplastics\Renjie_Pan\05-Raw_Data\Lab_results\[LabSamples2025_Bioplastic_extra.xlsx]extra_Bioplastic'!G591)," ",'Q:\Abteilungsprojekte\Eng\EngData\PROJECT_Bioplastics\Renjie_Pan\05-Raw_Data\Lab_results\[LabSamples2025_Bioplastic_extra.xlsx]extra_Bioplastic'!G591)</f>
        <v/>
      </c>
      <c r="H591">
        <f>IF(ISBLANK('Q:\Abteilungsprojekte\Eng\EngData\PROJECT_Bioplastics\Renjie_Pan\05-Raw_Data\Lab_results\[LabSamples2025_Bioplastic_extra.xlsx]extra_Bioplastic'!H591)," ",'Q:\Abteilungsprojekte\Eng\EngData\PROJECT_Bioplastics\Renjie_Pan\05-Raw_Data\Lab_results\[LabSamples2025_Bioplastic_extra.xlsx]extra_Bioplastic'!H591)</f>
        <v/>
      </c>
    </row>
    <row r="592">
      <c r="A592">
        <f>IF(ISBLANK('Q:\Abteilungsprojekte\Eng\EngData\PROJECT_Bioplastics\Renjie_Pan\05-Raw_Data\Lab_results\[LabSamples2025_Bioplastic_extra.xlsx]extra_Bioplastic'!A592)," ",'Q:\Abteilungsprojekte\Eng\EngData\PROJECT_Bioplastics\Renjie_Pan\05-Raw_Data\Lab_results\[LabSamples2025_Bioplastic_extra.xlsx]extra_Bioplastic'!A592)</f>
        <v/>
      </c>
      <c r="B592">
        <f>IF(ISBLANK('Q:\Abteilungsprojekte\Eng\EngData\PROJECT_Bioplastics\Renjie_Pan\05-Raw_Data\Lab_results\[LabSamples2025_Bioplastic_extra.xlsx]extra_Bioplastic'!B592)," ",'Q:\Abteilungsprojekte\Eng\EngData\PROJECT_Bioplastics\Renjie_Pan\05-Raw_Data\Lab_results\[LabSamples2025_Bioplastic_extra.xlsx]extra_Bioplastic'!B592)</f>
        <v/>
      </c>
      <c r="C592">
        <f>IF(ISBLANK('Q:\Abteilungsprojekte\Eng\EngData\PROJECT_Bioplastics\Renjie_Pan\05-Raw_Data\Lab_results\[LabSamples2025_Bioplastic_extra.xlsx]extra_Bioplastic'!C592)," ",'Q:\Abteilungsprojekte\Eng\EngData\PROJECT_Bioplastics\Renjie_Pan\05-Raw_Data\Lab_results\[LabSamples2025_Bioplastic_extra.xlsx]extra_Bioplastic'!C592)</f>
        <v/>
      </c>
      <c r="D592">
        <f>IF(ISBLANK('Q:\Abteilungsprojekte\Eng\EngData\PROJECT_Bioplastics\Renjie_Pan\05-Raw_Data\Lab_results\[LabSamples2025_Bioplastic_extra.xlsx]extra_Bioplastic'!D592)," ",'Q:\Abteilungsprojekte\Eng\EngData\PROJECT_Bioplastics\Renjie_Pan\05-Raw_Data\Lab_results\[LabSamples2025_Bioplastic_extra.xlsx]extra_Bioplastic'!D592)</f>
        <v/>
      </c>
      <c r="E592">
        <f>IF(ISBLANK('Q:\Abteilungsprojekte\Eng\EngData\PROJECT_Bioplastics\Renjie_Pan\05-Raw_Data\Lab_results\[LabSamples2025_Bioplastic_extra.xlsx]extra_Bioplastic'!E592)," ",'Q:\Abteilungsprojekte\Eng\EngData\PROJECT_Bioplastics\Renjie_Pan\05-Raw_Data\Lab_results\[LabSamples2025_Bioplastic_extra.xlsx]extra_Bioplastic'!E592)</f>
        <v/>
      </c>
      <c r="F592">
        <f>IF(ISBLANK('Q:\Abteilungsprojekte\Eng\EngData\PROJECT_Bioplastics\Renjie_Pan\05-Raw_Data\Lab_results\[LabSamples2025_Bioplastic_extra.xlsx]extra_Bioplastic'!F592)," ",'Q:\Abteilungsprojekte\Eng\EngData\PROJECT_Bioplastics\Renjie_Pan\05-Raw_Data\Lab_results\[LabSamples2025_Bioplastic_extra.xlsx]extra_Bioplastic'!F592)</f>
        <v/>
      </c>
      <c r="G592">
        <f>IF(ISBLANK('Q:\Abteilungsprojekte\Eng\EngData\PROJECT_Bioplastics\Renjie_Pan\05-Raw_Data\Lab_results\[LabSamples2025_Bioplastic_extra.xlsx]extra_Bioplastic'!G592)," ",'Q:\Abteilungsprojekte\Eng\EngData\PROJECT_Bioplastics\Renjie_Pan\05-Raw_Data\Lab_results\[LabSamples2025_Bioplastic_extra.xlsx]extra_Bioplastic'!G592)</f>
        <v/>
      </c>
      <c r="H592">
        <f>IF(ISBLANK('Q:\Abteilungsprojekte\Eng\EngData\PROJECT_Bioplastics\Renjie_Pan\05-Raw_Data\Lab_results\[LabSamples2025_Bioplastic_extra.xlsx]extra_Bioplastic'!H592)," ",'Q:\Abteilungsprojekte\Eng\EngData\PROJECT_Bioplastics\Renjie_Pan\05-Raw_Data\Lab_results\[LabSamples2025_Bioplastic_extra.xlsx]extra_Bioplastic'!H592)</f>
        <v/>
      </c>
    </row>
    <row r="593">
      <c r="A593">
        <f>IF(ISBLANK('Q:\Abteilungsprojekte\Eng\EngData\PROJECT_Bioplastics\Renjie_Pan\05-Raw_Data\Lab_results\[LabSamples2025_Bioplastic_extra.xlsx]extra_Bioplastic'!A593)," ",'Q:\Abteilungsprojekte\Eng\EngData\PROJECT_Bioplastics\Renjie_Pan\05-Raw_Data\Lab_results\[LabSamples2025_Bioplastic_extra.xlsx]extra_Bioplastic'!A593)</f>
        <v/>
      </c>
      <c r="B593">
        <f>IF(ISBLANK('Q:\Abteilungsprojekte\Eng\EngData\PROJECT_Bioplastics\Renjie_Pan\05-Raw_Data\Lab_results\[LabSamples2025_Bioplastic_extra.xlsx]extra_Bioplastic'!B593)," ",'Q:\Abteilungsprojekte\Eng\EngData\PROJECT_Bioplastics\Renjie_Pan\05-Raw_Data\Lab_results\[LabSamples2025_Bioplastic_extra.xlsx]extra_Bioplastic'!B593)</f>
        <v/>
      </c>
      <c r="C593">
        <f>IF(ISBLANK('Q:\Abteilungsprojekte\Eng\EngData\PROJECT_Bioplastics\Renjie_Pan\05-Raw_Data\Lab_results\[LabSamples2025_Bioplastic_extra.xlsx]extra_Bioplastic'!C593)," ",'Q:\Abteilungsprojekte\Eng\EngData\PROJECT_Bioplastics\Renjie_Pan\05-Raw_Data\Lab_results\[LabSamples2025_Bioplastic_extra.xlsx]extra_Bioplastic'!C593)</f>
        <v/>
      </c>
      <c r="D593">
        <f>IF(ISBLANK('Q:\Abteilungsprojekte\Eng\EngData\PROJECT_Bioplastics\Renjie_Pan\05-Raw_Data\Lab_results\[LabSamples2025_Bioplastic_extra.xlsx]extra_Bioplastic'!D593)," ",'Q:\Abteilungsprojekte\Eng\EngData\PROJECT_Bioplastics\Renjie_Pan\05-Raw_Data\Lab_results\[LabSamples2025_Bioplastic_extra.xlsx]extra_Bioplastic'!D593)</f>
        <v/>
      </c>
      <c r="E593">
        <f>IF(ISBLANK('Q:\Abteilungsprojekte\Eng\EngData\PROJECT_Bioplastics\Renjie_Pan\05-Raw_Data\Lab_results\[LabSamples2025_Bioplastic_extra.xlsx]extra_Bioplastic'!E593)," ",'Q:\Abteilungsprojekte\Eng\EngData\PROJECT_Bioplastics\Renjie_Pan\05-Raw_Data\Lab_results\[LabSamples2025_Bioplastic_extra.xlsx]extra_Bioplastic'!E593)</f>
        <v/>
      </c>
      <c r="F593">
        <f>IF(ISBLANK('Q:\Abteilungsprojekte\Eng\EngData\PROJECT_Bioplastics\Renjie_Pan\05-Raw_Data\Lab_results\[LabSamples2025_Bioplastic_extra.xlsx]extra_Bioplastic'!F593)," ",'Q:\Abteilungsprojekte\Eng\EngData\PROJECT_Bioplastics\Renjie_Pan\05-Raw_Data\Lab_results\[LabSamples2025_Bioplastic_extra.xlsx]extra_Bioplastic'!F593)</f>
        <v/>
      </c>
      <c r="G593">
        <f>IF(ISBLANK('Q:\Abteilungsprojekte\Eng\EngData\PROJECT_Bioplastics\Renjie_Pan\05-Raw_Data\Lab_results\[LabSamples2025_Bioplastic_extra.xlsx]extra_Bioplastic'!G593)," ",'Q:\Abteilungsprojekte\Eng\EngData\PROJECT_Bioplastics\Renjie_Pan\05-Raw_Data\Lab_results\[LabSamples2025_Bioplastic_extra.xlsx]extra_Bioplastic'!G593)</f>
        <v/>
      </c>
      <c r="H593">
        <f>IF(ISBLANK('Q:\Abteilungsprojekte\Eng\EngData\PROJECT_Bioplastics\Renjie_Pan\05-Raw_Data\Lab_results\[LabSamples2025_Bioplastic_extra.xlsx]extra_Bioplastic'!H593)," ",'Q:\Abteilungsprojekte\Eng\EngData\PROJECT_Bioplastics\Renjie_Pan\05-Raw_Data\Lab_results\[LabSamples2025_Bioplastic_extra.xlsx]extra_Bioplastic'!H593)</f>
        <v/>
      </c>
    </row>
    <row r="594">
      <c r="A594">
        <f>IF(ISBLANK('Q:\Abteilungsprojekte\Eng\EngData\PROJECT_Bioplastics\Renjie_Pan\05-Raw_Data\Lab_results\[LabSamples2025_Bioplastic_extra.xlsx]extra_Bioplastic'!A594)," ",'Q:\Abteilungsprojekte\Eng\EngData\PROJECT_Bioplastics\Renjie_Pan\05-Raw_Data\Lab_results\[LabSamples2025_Bioplastic_extra.xlsx]extra_Bioplastic'!A594)</f>
        <v/>
      </c>
      <c r="B594">
        <f>IF(ISBLANK('Q:\Abteilungsprojekte\Eng\EngData\PROJECT_Bioplastics\Renjie_Pan\05-Raw_Data\Lab_results\[LabSamples2025_Bioplastic_extra.xlsx]extra_Bioplastic'!B594)," ",'Q:\Abteilungsprojekte\Eng\EngData\PROJECT_Bioplastics\Renjie_Pan\05-Raw_Data\Lab_results\[LabSamples2025_Bioplastic_extra.xlsx]extra_Bioplastic'!B594)</f>
        <v/>
      </c>
      <c r="C594">
        <f>IF(ISBLANK('Q:\Abteilungsprojekte\Eng\EngData\PROJECT_Bioplastics\Renjie_Pan\05-Raw_Data\Lab_results\[LabSamples2025_Bioplastic_extra.xlsx]extra_Bioplastic'!C594)," ",'Q:\Abteilungsprojekte\Eng\EngData\PROJECT_Bioplastics\Renjie_Pan\05-Raw_Data\Lab_results\[LabSamples2025_Bioplastic_extra.xlsx]extra_Bioplastic'!C594)</f>
        <v/>
      </c>
      <c r="D594">
        <f>IF(ISBLANK('Q:\Abteilungsprojekte\Eng\EngData\PROJECT_Bioplastics\Renjie_Pan\05-Raw_Data\Lab_results\[LabSamples2025_Bioplastic_extra.xlsx]extra_Bioplastic'!D594)," ",'Q:\Abteilungsprojekte\Eng\EngData\PROJECT_Bioplastics\Renjie_Pan\05-Raw_Data\Lab_results\[LabSamples2025_Bioplastic_extra.xlsx]extra_Bioplastic'!D594)</f>
        <v/>
      </c>
      <c r="E594">
        <f>IF(ISBLANK('Q:\Abteilungsprojekte\Eng\EngData\PROJECT_Bioplastics\Renjie_Pan\05-Raw_Data\Lab_results\[LabSamples2025_Bioplastic_extra.xlsx]extra_Bioplastic'!E594)," ",'Q:\Abteilungsprojekte\Eng\EngData\PROJECT_Bioplastics\Renjie_Pan\05-Raw_Data\Lab_results\[LabSamples2025_Bioplastic_extra.xlsx]extra_Bioplastic'!E594)</f>
        <v/>
      </c>
      <c r="F594">
        <f>IF(ISBLANK('Q:\Abteilungsprojekte\Eng\EngData\PROJECT_Bioplastics\Renjie_Pan\05-Raw_Data\Lab_results\[LabSamples2025_Bioplastic_extra.xlsx]extra_Bioplastic'!F594)," ",'Q:\Abteilungsprojekte\Eng\EngData\PROJECT_Bioplastics\Renjie_Pan\05-Raw_Data\Lab_results\[LabSamples2025_Bioplastic_extra.xlsx]extra_Bioplastic'!F594)</f>
        <v/>
      </c>
      <c r="G594">
        <f>IF(ISBLANK('Q:\Abteilungsprojekte\Eng\EngData\PROJECT_Bioplastics\Renjie_Pan\05-Raw_Data\Lab_results\[LabSamples2025_Bioplastic_extra.xlsx]extra_Bioplastic'!G594)," ",'Q:\Abteilungsprojekte\Eng\EngData\PROJECT_Bioplastics\Renjie_Pan\05-Raw_Data\Lab_results\[LabSamples2025_Bioplastic_extra.xlsx]extra_Bioplastic'!G594)</f>
        <v/>
      </c>
      <c r="H594">
        <f>IF(ISBLANK('Q:\Abteilungsprojekte\Eng\EngData\PROJECT_Bioplastics\Renjie_Pan\05-Raw_Data\Lab_results\[LabSamples2025_Bioplastic_extra.xlsx]extra_Bioplastic'!H594)," ",'Q:\Abteilungsprojekte\Eng\EngData\PROJECT_Bioplastics\Renjie_Pan\05-Raw_Data\Lab_results\[LabSamples2025_Bioplastic_extra.xlsx]extra_Bioplastic'!H594)</f>
        <v/>
      </c>
    </row>
    <row r="595">
      <c r="A595">
        <f>IF(ISBLANK('Q:\Abteilungsprojekte\Eng\EngData\PROJECT_Bioplastics\Renjie_Pan\05-Raw_Data\Lab_results\[LabSamples2025_Bioplastic_extra.xlsx]extra_Bioplastic'!A595)," ",'Q:\Abteilungsprojekte\Eng\EngData\PROJECT_Bioplastics\Renjie_Pan\05-Raw_Data\Lab_results\[LabSamples2025_Bioplastic_extra.xlsx]extra_Bioplastic'!A595)</f>
        <v/>
      </c>
      <c r="B595">
        <f>IF(ISBLANK('Q:\Abteilungsprojekte\Eng\EngData\PROJECT_Bioplastics\Renjie_Pan\05-Raw_Data\Lab_results\[LabSamples2025_Bioplastic_extra.xlsx]extra_Bioplastic'!B595)," ",'Q:\Abteilungsprojekte\Eng\EngData\PROJECT_Bioplastics\Renjie_Pan\05-Raw_Data\Lab_results\[LabSamples2025_Bioplastic_extra.xlsx]extra_Bioplastic'!B595)</f>
        <v/>
      </c>
      <c r="C595">
        <f>IF(ISBLANK('Q:\Abteilungsprojekte\Eng\EngData\PROJECT_Bioplastics\Renjie_Pan\05-Raw_Data\Lab_results\[LabSamples2025_Bioplastic_extra.xlsx]extra_Bioplastic'!C595)," ",'Q:\Abteilungsprojekte\Eng\EngData\PROJECT_Bioplastics\Renjie_Pan\05-Raw_Data\Lab_results\[LabSamples2025_Bioplastic_extra.xlsx]extra_Bioplastic'!C595)</f>
        <v/>
      </c>
      <c r="D595">
        <f>IF(ISBLANK('Q:\Abteilungsprojekte\Eng\EngData\PROJECT_Bioplastics\Renjie_Pan\05-Raw_Data\Lab_results\[LabSamples2025_Bioplastic_extra.xlsx]extra_Bioplastic'!D595)," ",'Q:\Abteilungsprojekte\Eng\EngData\PROJECT_Bioplastics\Renjie_Pan\05-Raw_Data\Lab_results\[LabSamples2025_Bioplastic_extra.xlsx]extra_Bioplastic'!D595)</f>
        <v/>
      </c>
      <c r="E595">
        <f>IF(ISBLANK('Q:\Abteilungsprojekte\Eng\EngData\PROJECT_Bioplastics\Renjie_Pan\05-Raw_Data\Lab_results\[LabSamples2025_Bioplastic_extra.xlsx]extra_Bioplastic'!E595)," ",'Q:\Abteilungsprojekte\Eng\EngData\PROJECT_Bioplastics\Renjie_Pan\05-Raw_Data\Lab_results\[LabSamples2025_Bioplastic_extra.xlsx]extra_Bioplastic'!E595)</f>
        <v/>
      </c>
      <c r="F595">
        <f>IF(ISBLANK('Q:\Abteilungsprojekte\Eng\EngData\PROJECT_Bioplastics\Renjie_Pan\05-Raw_Data\Lab_results\[LabSamples2025_Bioplastic_extra.xlsx]extra_Bioplastic'!F595)," ",'Q:\Abteilungsprojekte\Eng\EngData\PROJECT_Bioplastics\Renjie_Pan\05-Raw_Data\Lab_results\[LabSamples2025_Bioplastic_extra.xlsx]extra_Bioplastic'!F595)</f>
        <v/>
      </c>
      <c r="G595">
        <f>IF(ISBLANK('Q:\Abteilungsprojekte\Eng\EngData\PROJECT_Bioplastics\Renjie_Pan\05-Raw_Data\Lab_results\[LabSamples2025_Bioplastic_extra.xlsx]extra_Bioplastic'!G595)," ",'Q:\Abteilungsprojekte\Eng\EngData\PROJECT_Bioplastics\Renjie_Pan\05-Raw_Data\Lab_results\[LabSamples2025_Bioplastic_extra.xlsx]extra_Bioplastic'!G595)</f>
        <v/>
      </c>
      <c r="H595">
        <f>IF(ISBLANK('Q:\Abteilungsprojekte\Eng\EngData\PROJECT_Bioplastics\Renjie_Pan\05-Raw_Data\Lab_results\[LabSamples2025_Bioplastic_extra.xlsx]extra_Bioplastic'!H595)," ",'Q:\Abteilungsprojekte\Eng\EngData\PROJECT_Bioplastics\Renjie_Pan\05-Raw_Data\Lab_results\[LabSamples2025_Bioplastic_extra.xlsx]extra_Bioplastic'!H595)</f>
        <v/>
      </c>
    </row>
    <row r="596">
      <c r="A596">
        <f>IF(ISBLANK('Q:\Abteilungsprojekte\Eng\EngData\PROJECT_Bioplastics\Renjie_Pan\05-Raw_Data\Lab_results\[LabSamples2025_Bioplastic_extra.xlsx]extra_Bioplastic'!A596)," ",'Q:\Abteilungsprojekte\Eng\EngData\PROJECT_Bioplastics\Renjie_Pan\05-Raw_Data\Lab_results\[LabSamples2025_Bioplastic_extra.xlsx]extra_Bioplastic'!A596)</f>
        <v/>
      </c>
      <c r="B596">
        <f>IF(ISBLANK('Q:\Abteilungsprojekte\Eng\EngData\PROJECT_Bioplastics\Renjie_Pan\05-Raw_Data\Lab_results\[LabSamples2025_Bioplastic_extra.xlsx]extra_Bioplastic'!B596)," ",'Q:\Abteilungsprojekte\Eng\EngData\PROJECT_Bioplastics\Renjie_Pan\05-Raw_Data\Lab_results\[LabSamples2025_Bioplastic_extra.xlsx]extra_Bioplastic'!B596)</f>
        <v/>
      </c>
      <c r="C596">
        <f>IF(ISBLANK('Q:\Abteilungsprojekte\Eng\EngData\PROJECT_Bioplastics\Renjie_Pan\05-Raw_Data\Lab_results\[LabSamples2025_Bioplastic_extra.xlsx]extra_Bioplastic'!C596)," ",'Q:\Abteilungsprojekte\Eng\EngData\PROJECT_Bioplastics\Renjie_Pan\05-Raw_Data\Lab_results\[LabSamples2025_Bioplastic_extra.xlsx]extra_Bioplastic'!C596)</f>
        <v/>
      </c>
      <c r="D596">
        <f>IF(ISBLANK('Q:\Abteilungsprojekte\Eng\EngData\PROJECT_Bioplastics\Renjie_Pan\05-Raw_Data\Lab_results\[LabSamples2025_Bioplastic_extra.xlsx]extra_Bioplastic'!D596)," ",'Q:\Abteilungsprojekte\Eng\EngData\PROJECT_Bioplastics\Renjie_Pan\05-Raw_Data\Lab_results\[LabSamples2025_Bioplastic_extra.xlsx]extra_Bioplastic'!D596)</f>
        <v/>
      </c>
      <c r="E596">
        <f>IF(ISBLANK('Q:\Abteilungsprojekte\Eng\EngData\PROJECT_Bioplastics\Renjie_Pan\05-Raw_Data\Lab_results\[LabSamples2025_Bioplastic_extra.xlsx]extra_Bioplastic'!E596)," ",'Q:\Abteilungsprojekte\Eng\EngData\PROJECT_Bioplastics\Renjie_Pan\05-Raw_Data\Lab_results\[LabSamples2025_Bioplastic_extra.xlsx]extra_Bioplastic'!E596)</f>
        <v/>
      </c>
      <c r="F596">
        <f>IF(ISBLANK('Q:\Abteilungsprojekte\Eng\EngData\PROJECT_Bioplastics\Renjie_Pan\05-Raw_Data\Lab_results\[LabSamples2025_Bioplastic_extra.xlsx]extra_Bioplastic'!F596)," ",'Q:\Abteilungsprojekte\Eng\EngData\PROJECT_Bioplastics\Renjie_Pan\05-Raw_Data\Lab_results\[LabSamples2025_Bioplastic_extra.xlsx]extra_Bioplastic'!F596)</f>
        <v/>
      </c>
      <c r="G596">
        <f>IF(ISBLANK('Q:\Abteilungsprojekte\Eng\EngData\PROJECT_Bioplastics\Renjie_Pan\05-Raw_Data\Lab_results\[LabSamples2025_Bioplastic_extra.xlsx]extra_Bioplastic'!G596)," ",'Q:\Abteilungsprojekte\Eng\EngData\PROJECT_Bioplastics\Renjie_Pan\05-Raw_Data\Lab_results\[LabSamples2025_Bioplastic_extra.xlsx]extra_Bioplastic'!G596)</f>
        <v/>
      </c>
      <c r="H596">
        <f>IF(ISBLANK('Q:\Abteilungsprojekte\Eng\EngData\PROJECT_Bioplastics\Renjie_Pan\05-Raw_Data\Lab_results\[LabSamples2025_Bioplastic_extra.xlsx]extra_Bioplastic'!H596)," ",'Q:\Abteilungsprojekte\Eng\EngData\PROJECT_Bioplastics\Renjie_Pan\05-Raw_Data\Lab_results\[LabSamples2025_Bioplastic_extra.xlsx]extra_Bioplastic'!H596)</f>
        <v/>
      </c>
    </row>
    <row r="597">
      <c r="A597">
        <f>IF(ISBLANK('Q:\Abteilungsprojekte\Eng\EngData\PROJECT_Bioplastics\Renjie_Pan\05-Raw_Data\Lab_results\[LabSamples2025_Bioplastic_extra.xlsx]extra_Bioplastic'!A597)," ",'Q:\Abteilungsprojekte\Eng\EngData\PROJECT_Bioplastics\Renjie_Pan\05-Raw_Data\Lab_results\[LabSamples2025_Bioplastic_extra.xlsx]extra_Bioplastic'!A597)</f>
        <v/>
      </c>
      <c r="B597">
        <f>IF(ISBLANK('Q:\Abteilungsprojekte\Eng\EngData\PROJECT_Bioplastics\Renjie_Pan\05-Raw_Data\Lab_results\[LabSamples2025_Bioplastic_extra.xlsx]extra_Bioplastic'!B597)," ",'Q:\Abteilungsprojekte\Eng\EngData\PROJECT_Bioplastics\Renjie_Pan\05-Raw_Data\Lab_results\[LabSamples2025_Bioplastic_extra.xlsx]extra_Bioplastic'!B597)</f>
        <v/>
      </c>
      <c r="C597">
        <f>IF(ISBLANK('Q:\Abteilungsprojekte\Eng\EngData\PROJECT_Bioplastics\Renjie_Pan\05-Raw_Data\Lab_results\[LabSamples2025_Bioplastic_extra.xlsx]extra_Bioplastic'!C597)," ",'Q:\Abteilungsprojekte\Eng\EngData\PROJECT_Bioplastics\Renjie_Pan\05-Raw_Data\Lab_results\[LabSamples2025_Bioplastic_extra.xlsx]extra_Bioplastic'!C597)</f>
        <v/>
      </c>
      <c r="D597">
        <f>IF(ISBLANK('Q:\Abteilungsprojekte\Eng\EngData\PROJECT_Bioplastics\Renjie_Pan\05-Raw_Data\Lab_results\[LabSamples2025_Bioplastic_extra.xlsx]extra_Bioplastic'!D597)," ",'Q:\Abteilungsprojekte\Eng\EngData\PROJECT_Bioplastics\Renjie_Pan\05-Raw_Data\Lab_results\[LabSamples2025_Bioplastic_extra.xlsx]extra_Bioplastic'!D597)</f>
        <v/>
      </c>
      <c r="E597">
        <f>IF(ISBLANK('Q:\Abteilungsprojekte\Eng\EngData\PROJECT_Bioplastics\Renjie_Pan\05-Raw_Data\Lab_results\[LabSamples2025_Bioplastic_extra.xlsx]extra_Bioplastic'!E597)," ",'Q:\Abteilungsprojekte\Eng\EngData\PROJECT_Bioplastics\Renjie_Pan\05-Raw_Data\Lab_results\[LabSamples2025_Bioplastic_extra.xlsx]extra_Bioplastic'!E597)</f>
        <v/>
      </c>
      <c r="F597">
        <f>IF(ISBLANK('Q:\Abteilungsprojekte\Eng\EngData\PROJECT_Bioplastics\Renjie_Pan\05-Raw_Data\Lab_results\[LabSamples2025_Bioplastic_extra.xlsx]extra_Bioplastic'!F597)," ",'Q:\Abteilungsprojekte\Eng\EngData\PROJECT_Bioplastics\Renjie_Pan\05-Raw_Data\Lab_results\[LabSamples2025_Bioplastic_extra.xlsx]extra_Bioplastic'!F597)</f>
        <v/>
      </c>
      <c r="G597">
        <f>IF(ISBLANK('Q:\Abteilungsprojekte\Eng\EngData\PROJECT_Bioplastics\Renjie_Pan\05-Raw_Data\Lab_results\[LabSamples2025_Bioplastic_extra.xlsx]extra_Bioplastic'!G597)," ",'Q:\Abteilungsprojekte\Eng\EngData\PROJECT_Bioplastics\Renjie_Pan\05-Raw_Data\Lab_results\[LabSamples2025_Bioplastic_extra.xlsx]extra_Bioplastic'!G597)</f>
        <v/>
      </c>
      <c r="H597">
        <f>IF(ISBLANK('Q:\Abteilungsprojekte\Eng\EngData\PROJECT_Bioplastics\Renjie_Pan\05-Raw_Data\Lab_results\[LabSamples2025_Bioplastic_extra.xlsx]extra_Bioplastic'!H597)," ",'Q:\Abteilungsprojekte\Eng\EngData\PROJECT_Bioplastics\Renjie_Pan\05-Raw_Data\Lab_results\[LabSamples2025_Bioplastic_extra.xlsx]extra_Bioplastic'!H597)</f>
        <v/>
      </c>
    </row>
    <row r="598">
      <c r="A598">
        <f>IF(ISBLANK('Q:\Abteilungsprojekte\Eng\EngData\PROJECT_Bioplastics\Renjie_Pan\05-Raw_Data\Lab_results\[LabSamples2025_Bioplastic_extra.xlsx]extra_Bioplastic'!A598)," ",'Q:\Abteilungsprojekte\Eng\EngData\PROJECT_Bioplastics\Renjie_Pan\05-Raw_Data\Lab_results\[LabSamples2025_Bioplastic_extra.xlsx]extra_Bioplastic'!A598)</f>
        <v/>
      </c>
      <c r="B598">
        <f>IF(ISBLANK('Q:\Abteilungsprojekte\Eng\EngData\PROJECT_Bioplastics\Renjie_Pan\05-Raw_Data\Lab_results\[LabSamples2025_Bioplastic_extra.xlsx]extra_Bioplastic'!B598)," ",'Q:\Abteilungsprojekte\Eng\EngData\PROJECT_Bioplastics\Renjie_Pan\05-Raw_Data\Lab_results\[LabSamples2025_Bioplastic_extra.xlsx]extra_Bioplastic'!B598)</f>
        <v/>
      </c>
      <c r="C598">
        <f>IF(ISBLANK('Q:\Abteilungsprojekte\Eng\EngData\PROJECT_Bioplastics\Renjie_Pan\05-Raw_Data\Lab_results\[LabSamples2025_Bioplastic_extra.xlsx]extra_Bioplastic'!C598)," ",'Q:\Abteilungsprojekte\Eng\EngData\PROJECT_Bioplastics\Renjie_Pan\05-Raw_Data\Lab_results\[LabSamples2025_Bioplastic_extra.xlsx]extra_Bioplastic'!C598)</f>
        <v/>
      </c>
      <c r="D598">
        <f>IF(ISBLANK('Q:\Abteilungsprojekte\Eng\EngData\PROJECT_Bioplastics\Renjie_Pan\05-Raw_Data\Lab_results\[LabSamples2025_Bioplastic_extra.xlsx]extra_Bioplastic'!D598)," ",'Q:\Abteilungsprojekte\Eng\EngData\PROJECT_Bioplastics\Renjie_Pan\05-Raw_Data\Lab_results\[LabSamples2025_Bioplastic_extra.xlsx]extra_Bioplastic'!D598)</f>
        <v/>
      </c>
      <c r="E598">
        <f>IF(ISBLANK('Q:\Abteilungsprojekte\Eng\EngData\PROJECT_Bioplastics\Renjie_Pan\05-Raw_Data\Lab_results\[LabSamples2025_Bioplastic_extra.xlsx]extra_Bioplastic'!E598)," ",'Q:\Abteilungsprojekte\Eng\EngData\PROJECT_Bioplastics\Renjie_Pan\05-Raw_Data\Lab_results\[LabSamples2025_Bioplastic_extra.xlsx]extra_Bioplastic'!E598)</f>
        <v/>
      </c>
      <c r="F598">
        <f>IF(ISBLANK('Q:\Abteilungsprojekte\Eng\EngData\PROJECT_Bioplastics\Renjie_Pan\05-Raw_Data\Lab_results\[LabSamples2025_Bioplastic_extra.xlsx]extra_Bioplastic'!F598)," ",'Q:\Abteilungsprojekte\Eng\EngData\PROJECT_Bioplastics\Renjie_Pan\05-Raw_Data\Lab_results\[LabSamples2025_Bioplastic_extra.xlsx]extra_Bioplastic'!F598)</f>
        <v/>
      </c>
      <c r="G598">
        <f>IF(ISBLANK('Q:\Abteilungsprojekte\Eng\EngData\PROJECT_Bioplastics\Renjie_Pan\05-Raw_Data\Lab_results\[LabSamples2025_Bioplastic_extra.xlsx]extra_Bioplastic'!G598)," ",'Q:\Abteilungsprojekte\Eng\EngData\PROJECT_Bioplastics\Renjie_Pan\05-Raw_Data\Lab_results\[LabSamples2025_Bioplastic_extra.xlsx]extra_Bioplastic'!G598)</f>
        <v/>
      </c>
      <c r="H598">
        <f>IF(ISBLANK('Q:\Abteilungsprojekte\Eng\EngData\PROJECT_Bioplastics\Renjie_Pan\05-Raw_Data\Lab_results\[LabSamples2025_Bioplastic_extra.xlsx]extra_Bioplastic'!H598)," ",'Q:\Abteilungsprojekte\Eng\EngData\PROJECT_Bioplastics\Renjie_Pan\05-Raw_Data\Lab_results\[LabSamples2025_Bioplastic_extra.xlsx]extra_Bioplastic'!H598)</f>
        <v/>
      </c>
    </row>
    <row r="599">
      <c r="A599">
        <f>IF(ISBLANK('Q:\Abteilungsprojekte\Eng\EngData\PROJECT_Bioplastics\Renjie_Pan\05-Raw_Data\Lab_results\[LabSamples2025_Bioplastic_extra.xlsx]extra_Bioplastic'!A599)," ",'Q:\Abteilungsprojekte\Eng\EngData\PROJECT_Bioplastics\Renjie_Pan\05-Raw_Data\Lab_results\[LabSamples2025_Bioplastic_extra.xlsx]extra_Bioplastic'!A599)</f>
        <v/>
      </c>
      <c r="B599">
        <f>IF(ISBLANK('Q:\Abteilungsprojekte\Eng\EngData\PROJECT_Bioplastics\Renjie_Pan\05-Raw_Data\Lab_results\[LabSamples2025_Bioplastic_extra.xlsx]extra_Bioplastic'!B599)," ",'Q:\Abteilungsprojekte\Eng\EngData\PROJECT_Bioplastics\Renjie_Pan\05-Raw_Data\Lab_results\[LabSamples2025_Bioplastic_extra.xlsx]extra_Bioplastic'!B599)</f>
        <v/>
      </c>
      <c r="C599">
        <f>IF(ISBLANK('Q:\Abteilungsprojekte\Eng\EngData\PROJECT_Bioplastics\Renjie_Pan\05-Raw_Data\Lab_results\[LabSamples2025_Bioplastic_extra.xlsx]extra_Bioplastic'!C599)," ",'Q:\Abteilungsprojekte\Eng\EngData\PROJECT_Bioplastics\Renjie_Pan\05-Raw_Data\Lab_results\[LabSamples2025_Bioplastic_extra.xlsx]extra_Bioplastic'!C599)</f>
        <v/>
      </c>
      <c r="D599">
        <f>IF(ISBLANK('Q:\Abteilungsprojekte\Eng\EngData\PROJECT_Bioplastics\Renjie_Pan\05-Raw_Data\Lab_results\[LabSamples2025_Bioplastic_extra.xlsx]extra_Bioplastic'!D599)," ",'Q:\Abteilungsprojekte\Eng\EngData\PROJECT_Bioplastics\Renjie_Pan\05-Raw_Data\Lab_results\[LabSamples2025_Bioplastic_extra.xlsx]extra_Bioplastic'!D599)</f>
        <v/>
      </c>
      <c r="E599">
        <f>IF(ISBLANK('Q:\Abteilungsprojekte\Eng\EngData\PROJECT_Bioplastics\Renjie_Pan\05-Raw_Data\Lab_results\[LabSamples2025_Bioplastic_extra.xlsx]extra_Bioplastic'!E599)," ",'Q:\Abteilungsprojekte\Eng\EngData\PROJECT_Bioplastics\Renjie_Pan\05-Raw_Data\Lab_results\[LabSamples2025_Bioplastic_extra.xlsx]extra_Bioplastic'!E599)</f>
        <v/>
      </c>
      <c r="F599">
        <f>IF(ISBLANK('Q:\Abteilungsprojekte\Eng\EngData\PROJECT_Bioplastics\Renjie_Pan\05-Raw_Data\Lab_results\[LabSamples2025_Bioplastic_extra.xlsx]extra_Bioplastic'!F599)," ",'Q:\Abteilungsprojekte\Eng\EngData\PROJECT_Bioplastics\Renjie_Pan\05-Raw_Data\Lab_results\[LabSamples2025_Bioplastic_extra.xlsx]extra_Bioplastic'!F599)</f>
        <v/>
      </c>
      <c r="G599">
        <f>IF(ISBLANK('Q:\Abteilungsprojekte\Eng\EngData\PROJECT_Bioplastics\Renjie_Pan\05-Raw_Data\Lab_results\[LabSamples2025_Bioplastic_extra.xlsx]extra_Bioplastic'!G599)," ",'Q:\Abteilungsprojekte\Eng\EngData\PROJECT_Bioplastics\Renjie_Pan\05-Raw_Data\Lab_results\[LabSamples2025_Bioplastic_extra.xlsx]extra_Bioplastic'!G599)</f>
        <v/>
      </c>
      <c r="H599">
        <f>IF(ISBLANK('Q:\Abteilungsprojekte\Eng\EngData\PROJECT_Bioplastics\Renjie_Pan\05-Raw_Data\Lab_results\[LabSamples2025_Bioplastic_extra.xlsx]extra_Bioplastic'!H599)," ",'Q:\Abteilungsprojekte\Eng\EngData\PROJECT_Bioplastics\Renjie_Pan\05-Raw_Data\Lab_results\[LabSamples2025_Bioplastic_extra.xlsx]extra_Bioplastic'!H599)</f>
        <v/>
      </c>
    </row>
    <row r="600">
      <c r="A600">
        <f>IF(ISBLANK('Q:\Abteilungsprojekte\Eng\EngData\PROJECT_Bioplastics\Renjie_Pan\05-Raw_Data\Lab_results\[LabSamples2025_Bioplastic_extra.xlsx]extra_Bioplastic'!A600)," ",'Q:\Abteilungsprojekte\Eng\EngData\PROJECT_Bioplastics\Renjie_Pan\05-Raw_Data\Lab_results\[LabSamples2025_Bioplastic_extra.xlsx]extra_Bioplastic'!A600)</f>
        <v/>
      </c>
      <c r="B600">
        <f>IF(ISBLANK('Q:\Abteilungsprojekte\Eng\EngData\PROJECT_Bioplastics\Renjie_Pan\05-Raw_Data\Lab_results\[LabSamples2025_Bioplastic_extra.xlsx]extra_Bioplastic'!B600)," ",'Q:\Abteilungsprojekte\Eng\EngData\PROJECT_Bioplastics\Renjie_Pan\05-Raw_Data\Lab_results\[LabSamples2025_Bioplastic_extra.xlsx]extra_Bioplastic'!B600)</f>
        <v/>
      </c>
      <c r="C600">
        <f>IF(ISBLANK('Q:\Abteilungsprojekte\Eng\EngData\PROJECT_Bioplastics\Renjie_Pan\05-Raw_Data\Lab_results\[LabSamples2025_Bioplastic_extra.xlsx]extra_Bioplastic'!C600)," ",'Q:\Abteilungsprojekte\Eng\EngData\PROJECT_Bioplastics\Renjie_Pan\05-Raw_Data\Lab_results\[LabSamples2025_Bioplastic_extra.xlsx]extra_Bioplastic'!C600)</f>
        <v/>
      </c>
      <c r="D600">
        <f>IF(ISBLANK('Q:\Abteilungsprojekte\Eng\EngData\PROJECT_Bioplastics\Renjie_Pan\05-Raw_Data\Lab_results\[LabSamples2025_Bioplastic_extra.xlsx]extra_Bioplastic'!D600)," ",'Q:\Abteilungsprojekte\Eng\EngData\PROJECT_Bioplastics\Renjie_Pan\05-Raw_Data\Lab_results\[LabSamples2025_Bioplastic_extra.xlsx]extra_Bioplastic'!D600)</f>
        <v/>
      </c>
      <c r="E600">
        <f>IF(ISBLANK('Q:\Abteilungsprojekte\Eng\EngData\PROJECT_Bioplastics\Renjie_Pan\05-Raw_Data\Lab_results\[LabSamples2025_Bioplastic_extra.xlsx]extra_Bioplastic'!E600)," ",'Q:\Abteilungsprojekte\Eng\EngData\PROJECT_Bioplastics\Renjie_Pan\05-Raw_Data\Lab_results\[LabSamples2025_Bioplastic_extra.xlsx]extra_Bioplastic'!E600)</f>
        <v/>
      </c>
      <c r="F600">
        <f>IF(ISBLANK('Q:\Abteilungsprojekte\Eng\EngData\PROJECT_Bioplastics\Renjie_Pan\05-Raw_Data\Lab_results\[LabSamples2025_Bioplastic_extra.xlsx]extra_Bioplastic'!F600)," ",'Q:\Abteilungsprojekte\Eng\EngData\PROJECT_Bioplastics\Renjie_Pan\05-Raw_Data\Lab_results\[LabSamples2025_Bioplastic_extra.xlsx]extra_Bioplastic'!F600)</f>
        <v/>
      </c>
      <c r="G600">
        <f>IF(ISBLANK('Q:\Abteilungsprojekte\Eng\EngData\PROJECT_Bioplastics\Renjie_Pan\05-Raw_Data\Lab_results\[LabSamples2025_Bioplastic_extra.xlsx]extra_Bioplastic'!G600)," ",'Q:\Abteilungsprojekte\Eng\EngData\PROJECT_Bioplastics\Renjie_Pan\05-Raw_Data\Lab_results\[LabSamples2025_Bioplastic_extra.xlsx]extra_Bioplastic'!G600)</f>
        <v/>
      </c>
      <c r="H600">
        <f>IF(ISBLANK('Q:\Abteilungsprojekte\Eng\EngData\PROJECT_Bioplastics\Renjie_Pan\05-Raw_Data\Lab_results\[LabSamples2025_Bioplastic_extra.xlsx]extra_Bioplastic'!H600)," ",'Q:\Abteilungsprojekte\Eng\EngData\PROJECT_Bioplastics\Renjie_Pan\05-Raw_Data\Lab_results\[LabSamples2025_Bioplastic_extra.xlsx]extra_Bioplastic'!H600)</f>
        <v/>
      </c>
    </row>
    <row r="601">
      <c r="A601">
        <f>IF(ISBLANK('Q:\Abteilungsprojekte\Eng\EngData\PROJECT_Bioplastics\Renjie_Pan\05-Raw_Data\Lab_results\[LabSamples2025_Bioplastic_extra.xlsx]extra_Bioplastic'!A601)," ",'Q:\Abteilungsprojekte\Eng\EngData\PROJECT_Bioplastics\Renjie_Pan\05-Raw_Data\Lab_results\[LabSamples2025_Bioplastic_extra.xlsx]extra_Bioplastic'!A601)</f>
        <v/>
      </c>
      <c r="B601">
        <f>IF(ISBLANK('Q:\Abteilungsprojekte\Eng\EngData\PROJECT_Bioplastics\Renjie_Pan\05-Raw_Data\Lab_results\[LabSamples2025_Bioplastic_extra.xlsx]extra_Bioplastic'!B601)," ",'Q:\Abteilungsprojekte\Eng\EngData\PROJECT_Bioplastics\Renjie_Pan\05-Raw_Data\Lab_results\[LabSamples2025_Bioplastic_extra.xlsx]extra_Bioplastic'!B601)</f>
        <v/>
      </c>
      <c r="C601">
        <f>IF(ISBLANK('Q:\Abteilungsprojekte\Eng\EngData\PROJECT_Bioplastics\Renjie_Pan\05-Raw_Data\Lab_results\[LabSamples2025_Bioplastic_extra.xlsx]extra_Bioplastic'!C601)," ",'Q:\Abteilungsprojekte\Eng\EngData\PROJECT_Bioplastics\Renjie_Pan\05-Raw_Data\Lab_results\[LabSamples2025_Bioplastic_extra.xlsx]extra_Bioplastic'!C601)</f>
        <v/>
      </c>
      <c r="D601">
        <f>IF(ISBLANK('Q:\Abteilungsprojekte\Eng\EngData\PROJECT_Bioplastics\Renjie_Pan\05-Raw_Data\Lab_results\[LabSamples2025_Bioplastic_extra.xlsx]extra_Bioplastic'!D601)," ",'Q:\Abteilungsprojekte\Eng\EngData\PROJECT_Bioplastics\Renjie_Pan\05-Raw_Data\Lab_results\[LabSamples2025_Bioplastic_extra.xlsx]extra_Bioplastic'!D601)</f>
        <v/>
      </c>
      <c r="E601">
        <f>IF(ISBLANK('Q:\Abteilungsprojekte\Eng\EngData\PROJECT_Bioplastics\Renjie_Pan\05-Raw_Data\Lab_results\[LabSamples2025_Bioplastic_extra.xlsx]extra_Bioplastic'!E601)," ",'Q:\Abteilungsprojekte\Eng\EngData\PROJECT_Bioplastics\Renjie_Pan\05-Raw_Data\Lab_results\[LabSamples2025_Bioplastic_extra.xlsx]extra_Bioplastic'!E601)</f>
        <v/>
      </c>
      <c r="F601">
        <f>IF(ISBLANK('Q:\Abteilungsprojekte\Eng\EngData\PROJECT_Bioplastics\Renjie_Pan\05-Raw_Data\Lab_results\[LabSamples2025_Bioplastic_extra.xlsx]extra_Bioplastic'!F601)," ",'Q:\Abteilungsprojekte\Eng\EngData\PROJECT_Bioplastics\Renjie_Pan\05-Raw_Data\Lab_results\[LabSamples2025_Bioplastic_extra.xlsx]extra_Bioplastic'!F601)</f>
        <v/>
      </c>
      <c r="G601">
        <f>IF(ISBLANK('Q:\Abteilungsprojekte\Eng\EngData\PROJECT_Bioplastics\Renjie_Pan\05-Raw_Data\Lab_results\[LabSamples2025_Bioplastic_extra.xlsx]extra_Bioplastic'!G601)," ",'Q:\Abteilungsprojekte\Eng\EngData\PROJECT_Bioplastics\Renjie_Pan\05-Raw_Data\Lab_results\[LabSamples2025_Bioplastic_extra.xlsx]extra_Bioplastic'!G601)</f>
        <v/>
      </c>
      <c r="H601">
        <f>IF(ISBLANK('Q:\Abteilungsprojekte\Eng\EngData\PROJECT_Bioplastics\Renjie_Pan\05-Raw_Data\Lab_results\[LabSamples2025_Bioplastic_extra.xlsx]extra_Bioplastic'!H601)," ",'Q:\Abteilungsprojekte\Eng\EngData\PROJECT_Bioplastics\Renjie_Pan\05-Raw_Data\Lab_results\[LabSamples2025_Bioplastic_extra.xlsx]extra_Bioplastic'!H601)</f>
        <v/>
      </c>
    </row>
    <row r="602">
      <c r="A602">
        <f>IF(ISBLANK('Q:\Abteilungsprojekte\Eng\EngData\PROJECT_Bioplastics\Renjie_Pan\05-Raw_Data\Lab_results\[LabSamples2025_Bioplastic_extra.xlsx]extra_Bioplastic'!A602)," ",'Q:\Abteilungsprojekte\Eng\EngData\PROJECT_Bioplastics\Renjie_Pan\05-Raw_Data\Lab_results\[LabSamples2025_Bioplastic_extra.xlsx]extra_Bioplastic'!A602)</f>
        <v/>
      </c>
      <c r="B602">
        <f>IF(ISBLANK('Q:\Abteilungsprojekte\Eng\EngData\PROJECT_Bioplastics\Renjie_Pan\05-Raw_Data\Lab_results\[LabSamples2025_Bioplastic_extra.xlsx]extra_Bioplastic'!B602)," ",'Q:\Abteilungsprojekte\Eng\EngData\PROJECT_Bioplastics\Renjie_Pan\05-Raw_Data\Lab_results\[LabSamples2025_Bioplastic_extra.xlsx]extra_Bioplastic'!B602)</f>
        <v/>
      </c>
      <c r="C602">
        <f>IF(ISBLANK('Q:\Abteilungsprojekte\Eng\EngData\PROJECT_Bioplastics\Renjie_Pan\05-Raw_Data\Lab_results\[LabSamples2025_Bioplastic_extra.xlsx]extra_Bioplastic'!C602)," ",'Q:\Abteilungsprojekte\Eng\EngData\PROJECT_Bioplastics\Renjie_Pan\05-Raw_Data\Lab_results\[LabSamples2025_Bioplastic_extra.xlsx]extra_Bioplastic'!C602)</f>
        <v/>
      </c>
      <c r="D602">
        <f>IF(ISBLANK('Q:\Abteilungsprojekte\Eng\EngData\PROJECT_Bioplastics\Renjie_Pan\05-Raw_Data\Lab_results\[LabSamples2025_Bioplastic_extra.xlsx]extra_Bioplastic'!D602)," ",'Q:\Abteilungsprojekte\Eng\EngData\PROJECT_Bioplastics\Renjie_Pan\05-Raw_Data\Lab_results\[LabSamples2025_Bioplastic_extra.xlsx]extra_Bioplastic'!D602)</f>
        <v/>
      </c>
      <c r="E602">
        <f>IF(ISBLANK('Q:\Abteilungsprojekte\Eng\EngData\PROJECT_Bioplastics\Renjie_Pan\05-Raw_Data\Lab_results\[LabSamples2025_Bioplastic_extra.xlsx]extra_Bioplastic'!E602)," ",'Q:\Abteilungsprojekte\Eng\EngData\PROJECT_Bioplastics\Renjie_Pan\05-Raw_Data\Lab_results\[LabSamples2025_Bioplastic_extra.xlsx]extra_Bioplastic'!E602)</f>
        <v/>
      </c>
      <c r="F602">
        <f>IF(ISBLANK('Q:\Abteilungsprojekte\Eng\EngData\PROJECT_Bioplastics\Renjie_Pan\05-Raw_Data\Lab_results\[LabSamples2025_Bioplastic_extra.xlsx]extra_Bioplastic'!F602)," ",'Q:\Abteilungsprojekte\Eng\EngData\PROJECT_Bioplastics\Renjie_Pan\05-Raw_Data\Lab_results\[LabSamples2025_Bioplastic_extra.xlsx]extra_Bioplastic'!F602)</f>
        <v/>
      </c>
      <c r="G602">
        <f>IF(ISBLANK('Q:\Abteilungsprojekte\Eng\EngData\PROJECT_Bioplastics\Renjie_Pan\05-Raw_Data\Lab_results\[LabSamples2025_Bioplastic_extra.xlsx]extra_Bioplastic'!G602)," ",'Q:\Abteilungsprojekte\Eng\EngData\PROJECT_Bioplastics\Renjie_Pan\05-Raw_Data\Lab_results\[LabSamples2025_Bioplastic_extra.xlsx]extra_Bioplastic'!G602)</f>
        <v/>
      </c>
      <c r="H602">
        <f>IF(ISBLANK('Q:\Abteilungsprojekte\Eng\EngData\PROJECT_Bioplastics\Renjie_Pan\05-Raw_Data\Lab_results\[LabSamples2025_Bioplastic_extra.xlsx]extra_Bioplastic'!H602)," ",'Q:\Abteilungsprojekte\Eng\EngData\PROJECT_Bioplastics\Renjie_Pan\05-Raw_Data\Lab_results\[LabSamples2025_Bioplastic_extra.xlsx]extra_Bioplastic'!H602)</f>
        <v/>
      </c>
    </row>
    <row r="603">
      <c r="A603">
        <f>IF(ISBLANK('Q:\Abteilungsprojekte\Eng\EngData\PROJECT_Bioplastics\Renjie_Pan\05-Raw_Data\Lab_results\[LabSamples2025_Bioplastic_extra.xlsx]extra_Bioplastic'!A603)," ",'Q:\Abteilungsprojekte\Eng\EngData\PROJECT_Bioplastics\Renjie_Pan\05-Raw_Data\Lab_results\[LabSamples2025_Bioplastic_extra.xlsx]extra_Bioplastic'!A603)</f>
        <v/>
      </c>
      <c r="B603">
        <f>IF(ISBLANK('Q:\Abteilungsprojekte\Eng\EngData\PROJECT_Bioplastics\Renjie_Pan\05-Raw_Data\Lab_results\[LabSamples2025_Bioplastic_extra.xlsx]extra_Bioplastic'!B603)," ",'Q:\Abteilungsprojekte\Eng\EngData\PROJECT_Bioplastics\Renjie_Pan\05-Raw_Data\Lab_results\[LabSamples2025_Bioplastic_extra.xlsx]extra_Bioplastic'!B603)</f>
        <v/>
      </c>
      <c r="C603">
        <f>IF(ISBLANK('Q:\Abteilungsprojekte\Eng\EngData\PROJECT_Bioplastics\Renjie_Pan\05-Raw_Data\Lab_results\[LabSamples2025_Bioplastic_extra.xlsx]extra_Bioplastic'!C603)," ",'Q:\Abteilungsprojekte\Eng\EngData\PROJECT_Bioplastics\Renjie_Pan\05-Raw_Data\Lab_results\[LabSamples2025_Bioplastic_extra.xlsx]extra_Bioplastic'!C603)</f>
        <v/>
      </c>
      <c r="D603">
        <f>IF(ISBLANK('Q:\Abteilungsprojekte\Eng\EngData\PROJECT_Bioplastics\Renjie_Pan\05-Raw_Data\Lab_results\[LabSamples2025_Bioplastic_extra.xlsx]extra_Bioplastic'!D603)," ",'Q:\Abteilungsprojekte\Eng\EngData\PROJECT_Bioplastics\Renjie_Pan\05-Raw_Data\Lab_results\[LabSamples2025_Bioplastic_extra.xlsx]extra_Bioplastic'!D603)</f>
        <v/>
      </c>
      <c r="E603">
        <f>IF(ISBLANK('Q:\Abteilungsprojekte\Eng\EngData\PROJECT_Bioplastics\Renjie_Pan\05-Raw_Data\Lab_results\[LabSamples2025_Bioplastic_extra.xlsx]extra_Bioplastic'!E603)," ",'Q:\Abteilungsprojekte\Eng\EngData\PROJECT_Bioplastics\Renjie_Pan\05-Raw_Data\Lab_results\[LabSamples2025_Bioplastic_extra.xlsx]extra_Bioplastic'!E603)</f>
        <v/>
      </c>
      <c r="F603">
        <f>IF(ISBLANK('Q:\Abteilungsprojekte\Eng\EngData\PROJECT_Bioplastics\Renjie_Pan\05-Raw_Data\Lab_results\[LabSamples2025_Bioplastic_extra.xlsx]extra_Bioplastic'!F603)," ",'Q:\Abteilungsprojekte\Eng\EngData\PROJECT_Bioplastics\Renjie_Pan\05-Raw_Data\Lab_results\[LabSamples2025_Bioplastic_extra.xlsx]extra_Bioplastic'!F603)</f>
        <v/>
      </c>
      <c r="G603">
        <f>IF(ISBLANK('Q:\Abteilungsprojekte\Eng\EngData\PROJECT_Bioplastics\Renjie_Pan\05-Raw_Data\Lab_results\[LabSamples2025_Bioplastic_extra.xlsx]extra_Bioplastic'!G603)," ",'Q:\Abteilungsprojekte\Eng\EngData\PROJECT_Bioplastics\Renjie_Pan\05-Raw_Data\Lab_results\[LabSamples2025_Bioplastic_extra.xlsx]extra_Bioplastic'!G603)</f>
        <v/>
      </c>
      <c r="H603">
        <f>IF(ISBLANK('Q:\Abteilungsprojekte\Eng\EngData\PROJECT_Bioplastics\Renjie_Pan\05-Raw_Data\Lab_results\[LabSamples2025_Bioplastic_extra.xlsx]extra_Bioplastic'!H603)," ",'Q:\Abteilungsprojekte\Eng\EngData\PROJECT_Bioplastics\Renjie_Pan\05-Raw_Data\Lab_results\[LabSamples2025_Bioplastic_extra.xlsx]extra_Bioplastic'!H603)</f>
        <v/>
      </c>
    </row>
    <row r="604">
      <c r="A604">
        <f>IF(ISBLANK('Q:\Abteilungsprojekte\Eng\EngData\PROJECT_Bioplastics\Renjie_Pan\05-Raw_Data\Lab_results\[LabSamples2025_Bioplastic_extra.xlsx]extra_Bioplastic'!A604)," ",'Q:\Abteilungsprojekte\Eng\EngData\PROJECT_Bioplastics\Renjie_Pan\05-Raw_Data\Lab_results\[LabSamples2025_Bioplastic_extra.xlsx]extra_Bioplastic'!A604)</f>
        <v/>
      </c>
      <c r="B604">
        <f>IF(ISBLANK('Q:\Abteilungsprojekte\Eng\EngData\PROJECT_Bioplastics\Renjie_Pan\05-Raw_Data\Lab_results\[LabSamples2025_Bioplastic_extra.xlsx]extra_Bioplastic'!B604)," ",'Q:\Abteilungsprojekte\Eng\EngData\PROJECT_Bioplastics\Renjie_Pan\05-Raw_Data\Lab_results\[LabSamples2025_Bioplastic_extra.xlsx]extra_Bioplastic'!B604)</f>
        <v/>
      </c>
      <c r="C604">
        <f>IF(ISBLANK('Q:\Abteilungsprojekte\Eng\EngData\PROJECT_Bioplastics\Renjie_Pan\05-Raw_Data\Lab_results\[LabSamples2025_Bioplastic_extra.xlsx]extra_Bioplastic'!C604)," ",'Q:\Abteilungsprojekte\Eng\EngData\PROJECT_Bioplastics\Renjie_Pan\05-Raw_Data\Lab_results\[LabSamples2025_Bioplastic_extra.xlsx]extra_Bioplastic'!C604)</f>
        <v/>
      </c>
      <c r="D604">
        <f>IF(ISBLANK('Q:\Abteilungsprojekte\Eng\EngData\PROJECT_Bioplastics\Renjie_Pan\05-Raw_Data\Lab_results\[LabSamples2025_Bioplastic_extra.xlsx]extra_Bioplastic'!D604)," ",'Q:\Abteilungsprojekte\Eng\EngData\PROJECT_Bioplastics\Renjie_Pan\05-Raw_Data\Lab_results\[LabSamples2025_Bioplastic_extra.xlsx]extra_Bioplastic'!D604)</f>
        <v/>
      </c>
      <c r="E604">
        <f>IF(ISBLANK('Q:\Abteilungsprojekte\Eng\EngData\PROJECT_Bioplastics\Renjie_Pan\05-Raw_Data\Lab_results\[LabSamples2025_Bioplastic_extra.xlsx]extra_Bioplastic'!E604)," ",'Q:\Abteilungsprojekte\Eng\EngData\PROJECT_Bioplastics\Renjie_Pan\05-Raw_Data\Lab_results\[LabSamples2025_Bioplastic_extra.xlsx]extra_Bioplastic'!E604)</f>
        <v/>
      </c>
      <c r="F604">
        <f>IF(ISBLANK('Q:\Abteilungsprojekte\Eng\EngData\PROJECT_Bioplastics\Renjie_Pan\05-Raw_Data\Lab_results\[LabSamples2025_Bioplastic_extra.xlsx]extra_Bioplastic'!F604)," ",'Q:\Abteilungsprojekte\Eng\EngData\PROJECT_Bioplastics\Renjie_Pan\05-Raw_Data\Lab_results\[LabSamples2025_Bioplastic_extra.xlsx]extra_Bioplastic'!F604)</f>
        <v/>
      </c>
      <c r="G604">
        <f>IF(ISBLANK('Q:\Abteilungsprojekte\Eng\EngData\PROJECT_Bioplastics\Renjie_Pan\05-Raw_Data\Lab_results\[LabSamples2025_Bioplastic_extra.xlsx]extra_Bioplastic'!G604)," ",'Q:\Abteilungsprojekte\Eng\EngData\PROJECT_Bioplastics\Renjie_Pan\05-Raw_Data\Lab_results\[LabSamples2025_Bioplastic_extra.xlsx]extra_Bioplastic'!G604)</f>
        <v/>
      </c>
      <c r="H604">
        <f>IF(ISBLANK('Q:\Abteilungsprojekte\Eng\EngData\PROJECT_Bioplastics\Renjie_Pan\05-Raw_Data\Lab_results\[LabSamples2025_Bioplastic_extra.xlsx]extra_Bioplastic'!H604)," ",'Q:\Abteilungsprojekte\Eng\EngData\PROJECT_Bioplastics\Renjie_Pan\05-Raw_Data\Lab_results\[LabSamples2025_Bioplastic_extra.xlsx]extra_Bioplastic'!H604)</f>
        <v/>
      </c>
    </row>
    <row r="605">
      <c r="A605">
        <f>IF(ISBLANK('Q:\Abteilungsprojekte\Eng\EngData\PROJECT_Bioplastics\Renjie_Pan\05-Raw_Data\Lab_results\[LabSamples2025_Bioplastic_extra.xlsx]extra_Bioplastic'!A605)," ",'Q:\Abteilungsprojekte\Eng\EngData\PROJECT_Bioplastics\Renjie_Pan\05-Raw_Data\Lab_results\[LabSamples2025_Bioplastic_extra.xlsx]extra_Bioplastic'!A605)</f>
        <v/>
      </c>
      <c r="B605">
        <f>IF(ISBLANK('Q:\Abteilungsprojekte\Eng\EngData\PROJECT_Bioplastics\Renjie_Pan\05-Raw_Data\Lab_results\[LabSamples2025_Bioplastic_extra.xlsx]extra_Bioplastic'!B605)," ",'Q:\Abteilungsprojekte\Eng\EngData\PROJECT_Bioplastics\Renjie_Pan\05-Raw_Data\Lab_results\[LabSamples2025_Bioplastic_extra.xlsx]extra_Bioplastic'!B605)</f>
        <v/>
      </c>
      <c r="C605">
        <f>IF(ISBLANK('Q:\Abteilungsprojekte\Eng\EngData\PROJECT_Bioplastics\Renjie_Pan\05-Raw_Data\Lab_results\[LabSamples2025_Bioplastic_extra.xlsx]extra_Bioplastic'!C605)," ",'Q:\Abteilungsprojekte\Eng\EngData\PROJECT_Bioplastics\Renjie_Pan\05-Raw_Data\Lab_results\[LabSamples2025_Bioplastic_extra.xlsx]extra_Bioplastic'!C605)</f>
        <v/>
      </c>
      <c r="D605">
        <f>IF(ISBLANK('Q:\Abteilungsprojekte\Eng\EngData\PROJECT_Bioplastics\Renjie_Pan\05-Raw_Data\Lab_results\[LabSamples2025_Bioplastic_extra.xlsx]extra_Bioplastic'!D605)," ",'Q:\Abteilungsprojekte\Eng\EngData\PROJECT_Bioplastics\Renjie_Pan\05-Raw_Data\Lab_results\[LabSamples2025_Bioplastic_extra.xlsx]extra_Bioplastic'!D605)</f>
        <v/>
      </c>
      <c r="E605">
        <f>IF(ISBLANK('Q:\Abteilungsprojekte\Eng\EngData\PROJECT_Bioplastics\Renjie_Pan\05-Raw_Data\Lab_results\[LabSamples2025_Bioplastic_extra.xlsx]extra_Bioplastic'!E605)," ",'Q:\Abteilungsprojekte\Eng\EngData\PROJECT_Bioplastics\Renjie_Pan\05-Raw_Data\Lab_results\[LabSamples2025_Bioplastic_extra.xlsx]extra_Bioplastic'!E605)</f>
        <v/>
      </c>
      <c r="F605">
        <f>IF(ISBLANK('Q:\Abteilungsprojekte\Eng\EngData\PROJECT_Bioplastics\Renjie_Pan\05-Raw_Data\Lab_results\[LabSamples2025_Bioplastic_extra.xlsx]extra_Bioplastic'!F605)," ",'Q:\Abteilungsprojekte\Eng\EngData\PROJECT_Bioplastics\Renjie_Pan\05-Raw_Data\Lab_results\[LabSamples2025_Bioplastic_extra.xlsx]extra_Bioplastic'!F605)</f>
        <v/>
      </c>
      <c r="G605">
        <f>IF(ISBLANK('Q:\Abteilungsprojekte\Eng\EngData\PROJECT_Bioplastics\Renjie_Pan\05-Raw_Data\Lab_results\[LabSamples2025_Bioplastic_extra.xlsx]extra_Bioplastic'!G605)," ",'Q:\Abteilungsprojekte\Eng\EngData\PROJECT_Bioplastics\Renjie_Pan\05-Raw_Data\Lab_results\[LabSamples2025_Bioplastic_extra.xlsx]extra_Bioplastic'!G605)</f>
        <v/>
      </c>
      <c r="H605">
        <f>IF(ISBLANK('Q:\Abteilungsprojekte\Eng\EngData\PROJECT_Bioplastics\Renjie_Pan\05-Raw_Data\Lab_results\[LabSamples2025_Bioplastic_extra.xlsx]extra_Bioplastic'!H605)," ",'Q:\Abteilungsprojekte\Eng\EngData\PROJECT_Bioplastics\Renjie_Pan\05-Raw_Data\Lab_results\[LabSamples2025_Bioplastic_extra.xlsx]extra_Bioplastic'!H605)</f>
        <v/>
      </c>
    </row>
    <row r="606">
      <c r="A606">
        <f>IF(ISBLANK('Q:\Abteilungsprojekte\Eng\EngData\PROJECT_Bioplastics\Renjie_Pan\05-Raw_Data\Lab_results\[LabSamples2025_Bioplastic_extra.xlsx]extra_Bioplastic'!A606)," ",'Q:\Abteilungsprojekte\Eng\EngData\PROJECT_Bioplastics\Renjie_Pan\05-Raw_Data\Lab_results\[LabSamples2025_Bioplastic_extra.xlsx]extra_Bioplastic'!A606)</f>
        <v/>
      </c>
      <c r="B606">
        <f>IF(ISBLANK('Q:\Abteilungsprojekte\Eng\EngData\PROJECT_Bioplastics\Renjie_Pan\05-Raw_Data\Lab_results\[LabSamples2025_Bioplastic_extra.xlsx]extra_Bioplastic'!B606)," ",'Q:\Abteilungsprojekte\Eng\EngData\PROJECT_Bioplastics\Renjie_Pan\05-Raw_Data\Lab_results\[LabSamples2025_Bioplastic_extra.xlsx]extra_Bioplastic'!B606)</f>
        <v/>
      </c>
      <c r="C606">
        <f>IF(ISBLANK('Q:\Abteilungsprojekte\Eng\EngData\PROJECT_Bioplastics\Renjie_Pan\05-Raw_Data\Lab_results\[LabSamples2025_Bioplastic_extra.xlsx]extra_Bioplastic'!C606)," ",'Q:\Abteilungsprojekte\Eng\EngData\PROJECT_Bioplastics\Renjie_Pan\05-Raw_Data\Lab_results\[LabSamples2025_Bioplastic_extra.xlsx]extra_Bioplastic'!C606)</f>
        <v/>
      </c>
      <c r="D606">
        <f>IF(ISBLANK('Q:\Abteilungsprojekte\Eng\EngData\PROJECT_Bioplastics\Renjie_Pan\05-Raw_Data\Lab_results\[LabSamples2025_Bioplastic_extra.xlsx]extra_Bioplastic'!D606)," ",'Q:\Abteilungsprojekte\Eng\EngData\PROJECT_Bioplastics\Renjie_Pan\05-Raw_Data\Lab_results\[LabSamples2025_Bioplastic_extra.xlsx]extra_Bioplastic'!D606)</f>
        <v/>
      </c>
      <c r="E606">
        <f>IF(ISBLANK('Q:\Abteilungsprojekte\Eng\EngData\PROJECT_Bioplastics\Renjie_Pan\05-Raw_Data\Lab_results\[LabSamples2025_Bioplastic_extra.xlsx]extra_Bioplastic'!E606)," ",'Q:\Abteilungsprojekte\Eng\EngData\PROJECT_Bioplastics\Renjie_Pan\05-Raw_Data\Lab_results\[LabSamples2025_Bioplastic_extra.xlsx]extra_Bioplastic'!E606)</f>
        <v/>
      </c>
      <c r="F606">
        <f>IF(ISBLANK('Q:\Abteilungsprojekte\Eng\EngData\PROJECT_Bioplastics\Renjie_Pan\05-Raw_Data\Lab_results\[LabSamples2025_Bioplastic_extra.xlsx]extra_Bioplastic'!F606)," ",'Q:\Abteilungsprojekte\Eng\EngData\PROJECT_Bioplastics\Renjie_Pan\05-Raw_Data\Lab_results\[LabSamples2025_Bioplastic_extra.xlsx]extra_Bioplastic'!F606)</f>
        <v/>
      </c>
      <c r="G606">
        <f>IF(ISBLANK('Q:\Abteilungsprojekte\Eng\EngData\PROJECT_Bioplastics\Renjie_Pan\05-Raw_Data\Lab_results\[LabSamples2025_Bioplastic_extra.xlsx]extra_Bioplastic'!G606)," ",'Q:\Abteilungsprojekte\Eng\EngData\PROJECT_Bioplastics\Renjie_Pan\05-Raw_Data\Lab_results\[LabSamples2025_Bioplastic_extra.xlsx]extra_Bioplastic'!G606)</f>
        <v/>
      </c>
      <c r="H606">
        <f>IF(ISBLANK('Q:\Abteilungsprojekte\Eng\EngData\PROJECT_Bioplastics\Renjie_Pan\05-Raw_Data\Lab_results\[LabSamples2025_Bioplastic_extra.xlsx]extra_Bioplastic'!H606)," ",'Q:\Abteilungsprojekte\Eng\EngData\PROJECT_Bioplastics\Renjie_Pan\05-Raw_Data\Lab_results\[LabSamples2025_Bioplastic_extra.xlsx]extra_Bioplastic'!H606)</f>
        <v/>
      </c>
    </row>
    <row r="607">
      <c r="A607">
        <f>IF(ISBLANK('Q:\Abteilungsprojekte\Eng\EngData\PROJECT_Bioplastics\Renjie_Pan\05-Raw_Data\Lab_results\[LabSamples2025_Bioplastic_extra.xlsx]extra_Bioplastic'!A607)," ",'Q:\Abteilungsprojekte\Eng\EngData\PROJECT_Bioplastics\Renjie_Pan\05-Raw_Data\Lab_results\[LabSamples2025_Bioplastic_extra.xlsx]extra_Bioplastic'!A607)</f>
        <v/>
      </c>
      <c r="B607">
        <f>IF(ISBLANK('Q:\Abteilungsprojekte\Eng\EngData\PROJECT_Bioplastics\Renjie_Pan\05-Raw_Data\Lab_results\[LabSamples2025_Bioplastic_extra.xlsx]extra_Bioplastic'!B607)," ",'Q:\Abteilungsprojekte\Eng\EngData\PROJECT_Bioplastics\Renjie_Pan\05-Raw_Data\Lab_results\[LabSamples2025_Bioplastic_extra.xlsx]extra_Bioplastic'!B607)</f>
        <v/>
      </c>
      <c r="C607">
        <f>IF(ISBLANK('Q:\Abteilungsprojekte\Eng\EngData\PROJECT_Bioplastics\Renjie_Pan\05-Raw_Data\Lab_results\[LabSamples2025_Bioplastic_extra.xlsx]extra_Bioplastic'!C607)," ",'Q:\Abteilungsprojekte\Eng\EngData\PROJECT_Bioplastics\Renjie_Pan\05-Raw_Data\Lab_results\[LabSamples2025_Bioplastic_extra.xlsx]extra_Bioplastic'!C607)</f>
        <v/>
      </c>
      <c r="D607">
        <f>IF(ISBLANK('Q:\Abteilungsprojekte\Eng\EngData\PROJECT_Bioplastics\Renjie_Pan\05-Raw_Data\Lab_results\[LabSamples2025_Bioplastic_extra.xlsx]extra_Bioplastic'!D607)," ",'Q:\Abteilungsprojekte\Eng\EngData\PROJECT_Bioplastics\Renjie_Pan\05-Raw_Data\Lab_results\[LabSamples2025_Bioplastic_extra.xlsx]extra_Bioplastic'!D607)</f>
        <v/>
      </c>
      <c r="E607">
        <f>IF(ISBLANK('Q:\Abteilungsprojekte\Eng\EngData\PROJECT_Bioplastics\Renjie_Pan\05-Raw_Data\Lab_results\[LabSamples2025_Bioplastic_extra.xlsx]extra_Bioplastic'!E607)," ",'Q:\Abteilungsprojekte\Eng\EngData\PROJECT_Bioplastics\Renjie_Pan\05-Raw_Data\Lab_results\[LabSamples2025_Bioplastic_extra.xlsx]extra_Bioplastic'!E607)</f>
        <v/>
      </c>
      <c r="F607">
        <f>IF(ISBLANK('Q:\Abteilungsprojekte\Eng\EngData\PROJECT_Bioplastics\Renjie_Pan\05-Raw_Data\Lab_results\[LabSamples2025_Bioplastic_extra.xlsx]extra_Bioplastic'!F607)," ",'Q:\Abteilungsprojekte\Eng\EngData\PROJECT_Bioplastics\Renjie_Pan\05-Raw_Data\Lab_results\[LabSamples2025_Bioplastic_extra.xlsx]extra_Bioplastic'!F607)</f>
        <v/>
      </c>
      <c r="G607">
        <f>IF(ISBLANK('Q:\Abteilungsprojekte\Eng\EngData\PROJECT_Bioplastics\Renjie_Pan\05-Raw_Data\Lab_results\[LabSamples2025_Bioplastic_extra.xlsx]extra_Bioplastic'!G607)," ",'Q:\Abteilungsprojekte\Eng\EngData\PROJECT_Bioplastics\Renjie_Pan\05-Raw_Data\Lab_results\[LabSamples2025_Bioplastic_extra.xlsx]extra_Bioplastic'!G607)</f>
        <v/>
      </c>
      <c r="H607">
        <f>IF(ISBLANK('Q:\Abteilungsprojekte\Eng\EngData\PROJECT_Bioplastics\Renjie_Pan\05-Raw_Data\Lab_results\[LabSamples2025_Bioplastic_extra.xlsx]extra_Bioplastic'!H607)," ",'Q:\Abteilungsprojekte\Eng\EngData\PROJECT_Bioplastics\Renjie_Pan\05-Raw_Data\Lab_results\[LabSamples2025_Bioplastic_extra.xlsx]extra_Bioplastic'!H607)</f>
        <v/>
      </c>
    </row>
    <row r="608">
      <c r="A608">
        <f>IF(ISBLANK('Q:\Abteilungsprojekte\Eng\EngData\PROJECT_Bioplastics\Renjie_Pan\05-Raw_Data\Lab_results\[LabSamples2025_Bioplastic_extra.xlsx]extra_Bioplastic'!A608)," ",'Q:\Abteilungsprojekte\Eng\EngData\PROJECT_Bioplastics\Renjie_Pan\05-Raw_Data\Lab_results\[LabSamples2025_Bioplastic_extra.xlsx]extra_Bioplastic'!A608)</f>
        <v/>
      </c>
      <c r="B608">
        <f>IF(ISBLANK('Q:\Abteilungsprojekte\Eng\EngData\PROJECT_Bioplastics\Renjie_Pan\05-Raw_Data\Lab_results\[LabSamples2025_Bioplastic_extra.xlsx]extra_Bioplastic'!B608)," ",'Q:\Abteilungsprojekte\Eng\EngData\PROJECT_Bioplastics\Renjie_Pan\05-Raw_Data\Lab_results\[LabSamples2025_Bioplastic_extra.xlsx]extra_Bioplastic'!B608)</f>
        <v/>
      </c>
      <c r="C608">
        <f>IF(ISBLANK('Q:\Abteilungsprojekte\Eng\EngData\PROJECT_Bioplastics\Renjie_Pan\05-Raw_Data\Lab_results\[LabSamples2025_Bioplastic_extra.xlsx]extra_Bioplastic'!C608)," ",'Q:\Abteilungsprojekte\Eng\EngData\PROJECT_Bioplastics\Renjie_Pan\05-Raw_Data\Lab_results\[LabSamples2025_Bioplastic_extra.xlsx]extra_Bioplastic'!C608)</f>
        <v/>
      </c>
      <c r="D608">
        <f>IF(ISBLANK('Q:\Abteilungsprojekte\Eng\EngData\PROJECT_Bioplastics\Renjie_Pan\05-Raw_Data\Lab_results\[LabSamples2025_Bioplastic_extra.xlsx]extra_Bioplastic'!D608)," ",'Q:\Abteilungsprojekte\Eng\EngData\PROJECT_Bioplastics\Renjie_Pan\05-Raw_Data\Lab_results\[LabSamples2025_Bioplastic_extra.xlsx]extra_Bioplastic'!D608)</f>
        <v/>
      </c>
      <c r="E608">
        <f>IF(ISBLANK('Q:\Abteilungsprojekte\Eng\EngData\PROJECT_Bioplastics\Renjie_Pan\05-Raw_Data\Lab_results\[LabSamples2025_Bioplastic_extra.xlsx]extra_Bioplastic'!E608)," ",'Q:\Abteilungsprojekte\Eng\EngData\PROJECT_Bioplastics\Renjie_Pan\05-Raw_Data\Lab_results\[LabSamples2025_Bioplastic_extra.xlsx]extra_Bioplastic'!E608)</f>
        <v/>
      </c>
      <c r="F608">
        <f>IF(ISBLANK('Q:\Abteilungsprojekte\Eng\EngData\PROJECT_Bioplastics\Renjie_Pan\05-Raw_Data\Lab_results\[LabSamples2025_Bioplastic_extra.xlsx]extra_Bioplastic'!F608)," ",'Q:\Abteilungsprojekte\Eng\EngData\PROJECT_Bioplastics\Renjie_Pan\05-Raw_Data\Lab_results\[LabSamples2025_Bioplastic_extra.xlsx]extra_Bioplastic'!F608)</f>
        <v/>
      </c>
      <c r="G608">
        <f>IF(ISBLANK('Q:\Abteilungsprojekte\Eng\EngData\PROJECT_Bioplastics\Renjie_Pan\05-Raw_Data\Lab_results\[LabSamples2025_Bioplastic_extra.xlsx]extra_Bioplastic'!G608)," ",'Q:\Abteilungsprojekte\Eng\EngData\PROJECT_Bioplastics\Renjie_Pan\05-Raw_Data\Lab_results\[LabSamples2025_Bioplastic_extra.xlsx]extra_Bioplastic'!G608)</f>
        <v/>
      </c>
      <c r="H608">
        <f>IF(ISBLANK('Q:\Abteilungsprojekte\Eng\EngData\PROJECT_Bioplastics\Renjie_Pan\05-Raw_Data\Lab_results\[LabSamples2025_Bioplastic_extra.xlsx]extra_Bioplastic'!H608)," ",'Q:\Abteilungsprojekte\Eng\EngData\PROJECT_Bioplastics\Renjie_Pan\05-Raw_Data\Lab_results\[LabSamples2025_Bioplastic_extra.xlsx]extra_Bioplastic'!H608)</f>
        <v/>
      </c>
    </row>
    <row r="609">
      <c r="A609">
        <f>IF(ISBLANK('Q:\Abteilungsprojekte\Eng\EngData\PROJECT_Bioplastics\Renjie_Pan\05-Raw_Data\Lab_results\[LabSamples2025_Bioplastic_extra.xlsx]extra_Bioplastic'!A609)," ",'Q:\Abteilungsprojekte\Eng\EngData\PROJECT_Bioplastics\Renjie_Pan\05-Raw_Data\Lab_results\[LabSamples2025_Bioplastic_extra.xlsx]extra_Bioplastic'!A609)</f>
        <v/>
      </c>
      <c r="B609">
        <f>IF(ISBLANK('Q:\Abteilungsprojekte\Eng\EngData\PROJECT_Bioplastics\Renjie_Pan\05-Raw_Data\Lab_results\[LabSamples2025_Bioplastic_extra.xlsx]extra_Bioplastic'!B609)," ",'Q:\Abteilungsprojekte\Eng\EngData\PROJECT_Bioplastics\Renjie_Pan\05-Raw_Data\Lab_results\[LabSamples2025_Bioplastic_extra.xlsx]extra_Bioplastic'!B609)</f>
        <v/>
      </c>
      <c r="C609">
        <f>IF(ISBLANK('Q:\Abteilungsprojekte\Eng\EngData\PROJECT_Bioplastics\Renjie_Pan\05-Raw_Data\Lab_results\[LabSamples2025_Bioplastic_extra.xlsx]extra_Bioplastic'!C609)," ",'Q:\Abteilungsprojekte\Eng\EngData\PROJECT_Bioplastics\Renjie_Pan\05-Raw_Data\Lab_results\[LabSamples2025_Bioplastic_extra.xlsx]extra_Bioplastic'!C609)</f>
        <v/>
      </c>
      <c r="D609">
        <f>IF(ISBLANK('Q:\Abteilungsprojekte\Eng\EngData\PROJECT_Bioplastics\Renjie_Pan\05-Raw_Data\Lab_results\[LabSamples2025_Bioplastic_extra.xlsx]extra_Bioplastic'!D609)," ",'Q:\Abteilungsprojekte\Eng\EngData\PROJECT_Bioplastics\Renjie_Pan\05-Raw_Data\Lab_results\[LabSamples2025_Bioplastic_extra.xlsx]extra_Bioplastic'!D609)</f>
        <v/>
      </c>
      <c r="E609">
        <f>IF(ISBLANK('Q:\Abteilungsprojekte\Eng\EngData\PROJECT_Bioplastics\Renjie_Pan\05-Raw_Data\Lab_results\[LabSamples2025_Bioplastic_extra.xlsx]extra_Bioplastic'!E609)," ",'Q:\Abteilungsprojekte\Eng\EngData\PROJECT_Bioplastics\Renjie_Pan\05-Raw_Data\Lab_results\[LabSamples2025_Bioplastic_extra.xlsx]extra_Bioplastic'!E609)</f>
        <v/>
      </c>
      <c r="F609">
        <f>IF(ISBLANK('Q:\Abteilungsprojekte\Eng\EngData\PROJECT_Bioplastics\Renjie_Pan\05-Raw_Data\Lab_results\[LabSamples2025_Bioplastic_extra.xlsx]extra_Bioplastic'!F609)," ",'Q:\Abteilungsprojekte\Eng\EngData\PROJECT_Bioplastics\Renjie_Pan\05-Raw_Data\Lab_results\[LabSamples2025_Bioplastic_extra.xlsx]extra_Bioplastic'!F609)</f>
        <v/>
      </c>
      <c r="G609">
        <f>IF(ISBLANK('Q:\Abteilungsprojekte\Eng\EngData\PROJECT_Bioplastics\Renjie_Pan\05-Raw_Data\Lab_results\[LabSamples2025_Bioplastic_extra.xlsx]extra_Bioplastic'!G609)," ",'Q:\Abteilungsprojekte\Eng\EngData\PROJECT_Bioplastics\Renjie_Pan\05-Raw_Data\Lab_results\[LabSamples2025_Bioplastic_extra.xlsx]extra_Bioplastic'!G609)</f>
        <v/>
      </c>
      <c r="H609">
        <f>IF(ISBLANK('Q:\Abteilungsprojekte\Eng\EngData\PROJECT_Bioplastics\Renjie_Pan\05-Raw_Data\Lab_results\[LabSamples2025_Bioplastic_extra.xlsx]extra_Bioplastic'!H609)," ",'Q:\Abteilungsprojekte\Eng\EngData\PROJECT_Bioplastics\Renjie_Pan\05-Raw_Data\Lab_results\[LabSamples2025_Bioplastic_extra.xlsx]extra_Bioplastic'!H609)</f>
        <v/>
      </c>
    </row>
    <row r="610">
      <c r="A610">
        <f>IF(ISBLANK('Q:\Abteilungsprojekte\Eng\EngData\PROJECT_Bioplastics\Renjie_Pan\05-Raw_Data\Lab_results\[LabSamples2025_Bioplastic_extra.xlsx]extra_Bioplastic'!A610)," ",'Q:\Abteilungsprojekte\Eng\EngData\PROJECT_Bioplastics\Renjie_Pan\05-Raw_Data\Lab_results\[LabSamples2025_Bioplastic_extra.xlsx]extra_Bioplastic'!A610)</f>
        <v/>
      </c>
      <c r="B610">
        <f>IF(ISBLANK('Q:\Abteilungsprojekte\Eng\EngData\PROJECT_Bioplastics\Renjie_Pan\05-Raw_Data\Lab_results\[LabSamples2025_Bioplastic_extra.xlsx]extra_Bioplastic'!B610)," ",'Q:\Abteilungsprojekte\Eng\EngData\PROJECT_Bioplastics\Renjie_Pan\05-Raw_Data\Lab_results\[LabSamples2025_Bioplastic_extra.xlsx]extra_Bioplastic'!B610)</f>
        <v/>
      </c>
      <c r="C610">
        <f>IF(ISBLANK('Q:\Abteilungsprojekte\Eng\EngData\PROJECT_Bioplastics\Renjie_Pan\05-Raw_Data\Lab_results\[LabSamples2025_Bioplastic_extra.xlsx]extra_Bioplastic'!C610)," ",'Q:\Abteilungsprojekte\Eng\EngData\PROJECT_Bioplastics\Renjie_Pan\05-Raw_Data\Lab_results\[LabSamples2025_Bioplastic_extra.xlsx]extra_Bioplastic'!C610)</f>
        <v/>
      </c>
      <c r="D610">
        <f>IF(ISBLANK('Q:\Abteilungsprojekte\Eng\EngData\PROJECT_Bioplastics\Renjie_Pan\05-Raw_Data\Lab_results\[LabSamples2025_Bioplastic_extra.xlsx]extra_Bioplastic'!D610)," ",'Q:\Abteilungsprojekte\Eng\EngData\PROJECT_Bioplastics\Renjie_Pan\05-Raw_Data\Lab_results\[LabSamples2025_Bioplastic_extra.xlsx]extra_Bioplastic'!D610)</f>
        <v/>
      </c>
      <c r="E610">
        <f>IF(ISBLANK('Q:\Abteilungsprojekte\Eng\EngData\PROJECT_Bioplastics\Renjie_Pan\05-Raw_Data\Lab_results\[LabSamples2025_Bioplastic_extra.xlsx]extra_Bioplastic'!E610)," ",'Q:\Abteilungsprojekte\Eng\EngData\PROJECT_Bioplastics\Renjie_Pan\05-Raw_Data\Lab_results\[LabSamples2025_Bioplastic_extra.xlsx]extra_Bioplastic'!E610)</f>
        <v/>
      </c>
      <c r="F610">
        <f>IF(ISBLANK('Q:\Abteilungsprojekte\Eng\EngData\PROJECT_Bioplastics\Renjie_Pan\05-Raw_Data\Lab_results\[LabSamples2025_Bioplastic_extra.xlsx]extra_Bioplastic'!F610)," ",'Q:\Abteilungsprojekte\Eng\EngData\PROJECT_Bioplastics\Renjie_Pan\05-Raw_Data\Lab_results\[LabSamples2025_Bioplastic_extra.xlsx]extra_Bioplastic'!F610)</f>
        <v/>
      </c>
      <c r="G610">
        <f>IF(ISBLANK('Q:\Abteilungsprojekte\Eng\EngData\PROJECT_Bioplastics\Renjie_Pan\05-Raw_Data\Lab_results\[LabSamples2025_Bioplastic_extra.xlsx]extra_Bioplastic'!G610)," ",'Q:\Abteilungsprojekte\Eng\EngData\PROJECT_Bioplastics\Renjie_Pan\05-Raw_Data\Lab_results\[LabSamples2025_Bioplastic_extra.xlsx]extra_Bioplastic'!G610)</f>
        <v/>
      </c>
      <c r="H610">
        <f>IF(ISBLANK('Q:\Abteilungsprojekte\Eng\EngData\PROJECT_Bioplastics\Renjie_Pan\05-Raw_Data\Lab_results\[LabSamples2025_Bioplastic_extra.xlsx]extra_Bioplastic'!H610)," ",'Q:\Abteilungsprojekte\Eng\EngData\PROJECT_Bioplastics\Renjie_Pan\05-Raw_Data\Lab_results\[LabSamples2025_Bioplastic_extra.xlsx]extra_Bioplastic'!H610)</f>
        <v/>
      </c>
    </row>
    <row r="611">
      <c r="A611">
        <f>IF(ISBLANK('Q:\Abteilungsprojekte\Eng\EngData\PROJECT_Bioplastics\Renjie_Pan\05-Raw_Data\Lab_results\[LabSamples2025_Bioplastic_extra.xlsx]extra_Bioplastic'!A611)," ",'Q:\Abteilungsprojekte\Eng\EngData\PROJECT_Bioplastics\Renjie_Pan\05-Raw_Data\Lab_results\[LabSamples2025_Bioplastic_extra.xlsx]extra_Bioplastic'!A611)</f>
        <v/>
      </c>
      <c r="B611">
        <f>IF(ISBLANK('Q:\Abteilungsprojekte\Eng\EngData\PROJECT_Bioplastics\Renjie_Pan\05-Raw_Data\Lab_results\[LabSamples2025_Bioplastic_extra.xlsx]extra_Bioplastic'!B611)," ",'Q:\Abteilungsprojekte\Eng\EngData\PROJECT_Bioplastics\Renjie_Pan\05-Raw_Data\Lab_results\[LabSamples2025_Bioplastic_extra.xlsx]extra_Bioplastic'!B611)</f>
        <v/>
      </c>
      <c r="C611">
        <f>IF(ISBLANK('Q:\Abteilungsprojekte\Eng\EngData\PROJECT_Bioplastics\Renjie_Pan\05-Raw_Data\Lab_results\[LabSamples2025_Bioplastic_extra.xlsx]extra_Bioplastic'!C611)," ",'Q:\Abteilungsprojekte\Eng\EngData\PROJECT_Bioplastics\Renjie_Pan\05-Raw_Data\Lab_results\[LabSamples2025_Bioplastic_extra.xlsx]extra_Bioplastic'!C611)</f>
        <v/>
      </c>
      <c r="D611">
        <f>IF(ISBLANK('Q:\Abteilungsprojekte\Eng\EngData\PROJECT_Bioplastics\Renjie_Pan\05-Raw_Data\Lab_results\[LabSamples2025_Bioplastic_extra.xlsx]extra_Bioplastic'!D611)," ",'Q:\Abteilungsprojekte\Eng\EngData\PROJECT_Bioplastics\Renjie_Pan\05-Raw_Data\Lab_results\[LabSamples2025_Bioplastic_extra.xlsx]extra_Bioplastic'!D611)</f>
        <v/>
      </c>
      <c r="E611">
        <f>IF(ISBLANK('Q:\Abteilungsprojekte\Eng\EngData\PROJECT_Bioplastics\Renjie_Pan\05-Raw_Data\Lab_results\[LabSamples2025_Bioplastic_extra.xlsx]extra_Bioplastic'!E611)," ",'Q:\Abteilungsprojekte\Eng\EngData\PROJECT_Bioplastics\Renjie_Pan\05-Raw_Data\Lab_results\[LabSamples2025_Bioplastic_extra.xlsx]extra_Bioplastic'!E611)</f>
        <v/>
      </c>
      <c r="F611">
        <f>IF(ISBLANK('Q:\Abteilungsprojekte\Eng\EngData\PROJECT_Bioplastics\Renjie_Pan\05-Raw_Data\Lab_results\[LabSamples2025_Bioplastic_extra.xlsx]extra_Bioplastic'!F611)," ",'Q:\Abteilungsprojekte\Eng\EngData\PROJECT_Bioplastics\Renjie_Pan\05-Raw_Data\Lab_results\[LabSamples2025_Bioplastic_extra.xlsx]extra_Bioplastic'!F611)</f>
        <v/>
      </c>
      <c r="G611">
        <f>IF(ISBLANK('Q:\Abteilungsprojekte\Eng\EngData\PROJECT_Bioplastics\Renjie_Pan\05-Raw_Data\Lab_results\[LabSamples2025_Bioplastic_extra.xlsx]extra_Bioplastic'!G611)," ",'Q:\Abteilungsprojekte\Eng\EngData\PROJECT_Bioplastics\Renjie_Pan\05-Raw_Data\Lab_results\[LabSamples2025_Bioplastic_extra.xlsx]extra_Bioplastic'!G611)</f>
        <v/>
      </c>
      <c r="H611">
        <f>IF(ISBLANK('Q:\Abteilungsprojekte\Eng\EngData\PROJECT_Bioplastics\Renjie_Pan\05-Raw_Data\Lab_results\[LabSamples2025_Bioplastic_extra.xlsx]extra_Bioplastic'!H611)," ",'Q:\Abteilungsprojekte\Eng\EngData\PROJECT_Bioplastics\Renjie_Pan\05-Raw_Data\Lab_results\[LabSamples2025_Bioplastic_extra.xlsx]extra_Bioplastic'!H611)</f>
        <v/>
      </c>
    </row>
    <row r="612">
      <c r="A612">
        <f>IF(ISBLANK('Q:\Abteilungsprojekte\Eng\EngData\PROJECT_Bioplastics\Renjie_Pan\05-Raw_Data\Lab_results\[LabSamples2025_Bioplastic_extra.xlsx]extra_Bioplastic'!A612)," ",'Q:\Abteilungsprojekte\Eng\EngData\PROJECT_Bioplastics\Renjie_Pan\05-Raw_Data\Lab_results\[LabSamples2025_Bioplastic_extra.xlsx]extra_Bioplastic'!A612)</f>
        <v/>
      </c>
      <c r="B612">
        <f>IF(ISBLANK('Q:\Abteilungsprojekte\Eng\EngData\PROJECT_Bioplastics\Renjie_Pan\05-Raw_Data\Lab_results\[LabSamples2025_Bioplastic_extra.xlsx]extra_Bioplastic'!B612)," ",'Q:\Abteilungsprojekte\Eng\EngData\PROJECT_Bioplastics\Renjie_Pan\05-Raw_Data\Lab_results\[LabSamples2025_Bioplastic_extra.xlsx]extra_Bioplastic'!B612)</f>
        <v/>
      </c>
      <c r="C612">
        <f>IF(ISBLANK('Q:\Abteilungsprojekte\Eng\EngData\PROJECT_Bioplastics\Renjie_Pan\05-Raw_Data\Lab_results\[LabSamples2025_Bioplastic_extra.xlsx]extra_Bioplastic'!C612)," ",'Q:\Abteilungsprojekte\Eng\EngData\PROJECT_Bioplastics\Renjie_Pan\05-Raw_Data\Lab_results\[LabSamples2025_Bioplastic_extra.xlsx]extra_Bioplastic'!C612)</f>
        <v/>
      </c>
      <c r="D612">
        <f>IF(ISBLANK('Q:\Abteilungsprojekte\Eng\EngData\PROJECT_Bioplastics\Renjie_Pan\05-Raw_Data\Lab_results\[LabSamples2025_Bioplastic_extra.xlsx]extra_Bioplastic'!D612)," ",'Q:\Abteilungsprojekte\Eng\EngData\PROJECT_Bioplastics\Renjie_Pan\05-Raw_Data\Lab_results\[LabSamples2025_Bioplastic_extra.xlsx]extra_Bioplastic'!D612)</f>
        <v/>
      </c>
      <c r="E612">
        <f>IF(ISBLANK('Q:\Abteilungsprojekte\Eng\EngData\PROJECT_Bioplastics\Renjie_Pan\05-Raw_Data\Lab_results\[LabSamples2025_Bioplastic_extra.xlsx]extra_Bioplastic'!E612)," ",'Q:\Abteilungsprojekte\Eng\EngData\PROJECT_Bioplastics\Renjie_Pan\05-Raw_Data\Lab_results\[LabSamples2025_Bioplastic_extra.xlsx]extra_Bioplastic'!E612)</f>
        <v/>
      </c>
      <c r="F612">
        <f>IF(ISBLANK('Q:\Abteilungsprojekte\Eng\EngData\PROJECT_Bioplastics\Renjie_Pan\05-Raw_Data\Lab_results\[LabSamples2025_Bioplastic_extra.xlsx]extra_Bioplastic'!F612)," ",'Q:\Abteilungsprojekte\Eng\EngData\PROJECT_Bioplastics\Renjie_Pan\05-Raw_Data\Lab_results\[LabSamples2025_Bioplastic_extra.xlsx]extra_Bioplastic'!F612)</f>
        <v/>
      </c>
      <c r="G612">
        <f>IF(ISBLANK('Q:\Abteilungsprojekte\Eng\EngData\PROJECT_Bioplastics\Renjie_Pan\05-Raw_Data\Lab_results\[LabSamples2025_Bioplastic_extra.xlsx]extra_Bioplastic'!G612)," ",'Q:\Abteilungsprojekte\Eng\EngData\PROJECT_Bioplastics\Renjie_Pan\05-Raw_Data\Lab_results\[LabSamples2025_Bioplastic_extra.xlsx]extra_Bioplastic'!G612)</f>
        <v/>
      </c>
      <c r="H612">
        <f>IF(ISBLANK('Q:\Abteilungsprojekte\Eng\EngData\PROJECT_Bioplastics\Renjie_Pan\05-Raw_Data\Lab_results\[LabSamples2025_Bioplastic_extra.xlsx]extra_Bioplastic'!H612)," ",'Q:\Abteilungsprojekte\Eng\EngData\PROJECT_Bioplastics\Renjie_Pan\05-Raw_Data\Lab_results\[LabSamples2025_Bioplastic_extra.xlsx]extra_Bioplastic'!H612)</f>
        <v/>
      </c>
    </row>
    <row r="613">
      <c r="A613">
        <f>IF(ISBLANK('Q:\Abteilungsprojekte\Eng\EngData\PROJECT_Bioplastics\Renjie_Pan\05-Raw_Data\Lab_results\[LabSamples2025_Bioplastic_extra.xlsx]extra_Bioplastic'!A613)," ",'Q:\Abteilungsprojekte\Eng\EngData\PROJECT_Bioplastics\Renjie_Pan\05-Raw_Data\Lab_results\[LabSamples2025_Bioplastic_extra.xlsx]extra_Bioplastic'!A613)</f>
        <v/>
      </c>
      <c r="B613">
        <f>IF(ISBLANK('Q:\Abteilungsprojekte\Eng\EngData\PROJECT_Bioplastics\Renjie_Pan\05-Raw_Data\Lab_results\[LabSamples2025_Bioplastic_extra.xlsx]extra_Bioplastic'!B613)," ",'Q:\Abteilungsprojekte\Eng\EngData\PROJECT_Bioplastics\Renjie_Pan\05-Raw_Data\Lab_results\[LabSamples2025_Bioplastic_extra.xlsx]extra_Bioplastic'!B613)</f>
        <v/>
      </c>
      <c r="C613">
        <f>IF(ISBLANK('Q:\Abteilungsprojekte\Eng\EngData\PROJECT_Bioplastics\Renjie_Pan\05-Raw_Data\Lab_results\[LabSamples2025_Bioplastic_extra.xlsx]extra_Bioplastic'!C613)," ",'Q:\Abteilungsprojekte\Eng\EngData\PROJECT_Bioplastics\Renjie_Pan\05-Raw_Data\Lab_results\[LabSamples2025_Bioplastic_extra.xlsx]extra_Bioplastic'!C613)</f>
        <v/>
      </c>
      <c r="D613">
        <f>IF(ISBLANK('Q:\Abteilungsprojekte\Eng\EngData\PROJECT_Bioplastics\Renjie_Pan\05-Raw_Data\Lab_results\[LabSamples2025_Bioplastic_extra.xlsx]extra_Bioplastic'!D613)," ",'Q:\Abteilungsprojekte\Eng\EngData\PROJECT_Bioplastics\Renjie_Pan\05-Raw_Data\Lab_results\[LabSamples2025_Bioplastic_extra.xlsx]extra_Bioplastic'!D613)</f>
        <v/>
      </c>
      <c r="E613">
        <f>IF(ISBLANK('Q:\Abteilungsprojekte\Eng\EngData\PROJECT_Bioplastics\Renjie_Pan\05-Raw_Data\Lab_results\[LabSamples2025_Bioplastic_extra.xlsx]extra_Bioplastic'!E613)," ",'Q:\Abteilungsprojekte\Eng\EngData\PROJECT_Bioplastics\Renjie_Pan\05-Raw_Data\Lab_results\[LabSamples2025_Bioplastic_extra.xlsx]extra_Bioplastic'!E613)</f>
        <v/>
      </c>
      <c r="F613">
        <f>IF(ISBLANK('Q:\Abteilungsprojekte\Eng\EngData\PROJECT_Bioplastics\Renjie_Pan\05-Raw_Data\Lab_results\[LabSamples2025_Bioplastic_extra.xlsx]extra_Bioplastic'!F613)," ",'Q:\Abteilungsprojekte\Eng\EngData\PROJECT_Bioplastics\Renjie_Pan\05-Raw_Data\Lab_results\[LabSamples2025_Bioplastic_extra.xlsx]extra_Bioplastic'!F613)</f>
        <v/>
      </c>
      <c r="G613">
        <f>IF(ISBLANK('Q:\Abteilungsprojekte\Eng\EngData\PROJECT_Bioplastics\Renjie_Pan\05-Raw_Data\Lab_results\[LabSamples2025_Bioplastic_extra.xlsx]extra_Bioplastic'!G613)," ",'Q:\Abteilungsprojekte\Eng\EngData\PROJECT_Bioplastics\Renjie_Pan\05-Raw_Data\Lab_results\[LabSamples2025_Bioplastic_extra.xlsx]extra_Bioplastic'!G613)</f>
        <v/>
      </c>
      <c r="H613">
        <f>IF(ISBLANK('Q:\Abteilungsprojekte\Eng\EngData\PROJECT_Bioplastics\Renjie_Pan\05-Raw_Data\Lab_results\[LabSamples2025_Bioplastic_extra.xlsx]extra_Bioplastic'!H613)," ",'Q:\Abteilungsprojekte\Eng\EngData\PROJECT_Bioplastics\Renjie_Pan\05-Raw_Data\Lab_results\[LabSamples2025_Bioplastic_extra.xlsx]extra_Bioplastic'!H613)</f>
        <v/>
      </c>
    </row>
    <row r="614">
      <c r="A614">
        <f>IF(ISBLANK('Q:\Abteilungsprojekte\Eng\EngData\PROJECT_Bioplastics\Renjie_Pan\05-Raw_Data\Lab_results\[LabSamples2025_Bioplastic_extra.xlsx]extra_Bioplastic'!A614)," ",'Q:\Abteilungsprojekte\Eng\EngData\PROJECT_Bioplastics\Renjie_Pan\05-Raw_Data\Lab_results\[LabSamples2025_Bioplastic_extra.xlsx]extra_Bioplastic'!A614)</f>
        <v/>
      </c>
      <c r="B614">
        <f>IF(ISBLANK('Q:\Abteilungsprojekte\Eng\EngData\PROJECT_Bioplastics\Renjie_Pan\05-Raw_Data\Lab_results\[LabSamples2025_Bioplastic_extra.xlsx]extra_Bioplastic'!B614)," ",'Q:\Abteilungsprojekte\Eng\EngData\PROJECT_Bioplastics\Renjie_Pan\05-Raw_Data\Lab_results\[LabSamples2025_Bioplastic_extra.xlsx]extra_Bioplastic'!B614)</f>
        <v/>
      </c>
      <c r="C614">
        <f>IF(ISBLANK('Q:\Abteilungsprojekte\Eng\EngData\PROJECT_Bioplastics\Renjie_Pan\05-Raw_Data\Lab_results\[LabSamples2025_Bioplastic_extra.xlsx]extra_Bioplastic'!C614)," ",'Q:\Abteilungsprojekte\Eng\EngData\PROJECT_Bioplastics\Renjie_Pan\05-Raw_Data\Lab_results\[LabSamples2025_Bioplastic_extra.xlsx]extra_Bioplastic'!C614)</f>
        <v/>
      </c>
      <c r="D614">
        <f>IF(ISBLANK('Q:\Abteilungsprojekte\Eng\EngData\PROJECT_Bioplastics\Renjie_Pan\05-Raw_Data\Lab_results\[LabSamples2025_Bioplastic_extra.xlsx]extra_Bioplastic'!D614)," ",'Q:\Abteilungsprojekte\Eng\EngData\PROJECT_Bioplastics\Renjie_Pan\05-Raw_Data\Lab_results\[LabSamples2025_Bioplastic_extra.xlsx]extra_Bioplastic'!D614)</f>
        <v/>
      </c>
      <c r="E614">
        <f>IF(ISBLANK('Q:\Abteilungsprojekte\Eng\EngData\PROJECT_Bioplastics\Renjie_Pan\05-Raw_Data\Lab_results\[LabSamples2025_Bioplastic_extra.xlsx]extra_Bioplastic'!E614)," ",'Q:\Abteilungsprojekte\Eng\EngData\PROJECT_Bioplastics\Renjie_Pan\05-Raw_Data\Lab_results\[LabSamples2025_Bioplastic_extra.xlsx]extra_Bioplastic'!E614)</f>
        <v/>
      </c>
      <c r="F614">
        <f>IF(ISBLANK('Q:\Abteilungsprojekte\Eng\EngData\PROJECT_Bioplastics\Renjie_Pan\05-Raw_Data\Lab_results\[LabSamples2025_Bioplastic_extra.xlsx]extra_Bioplastic'!F614)," ",'Q:\Abteilungsprojekte\Eng\EngData\PROJECT_Bioplastics\Renjie_Pan\05-Raw_Data\Lab_results\[LabSamples2025_Bioplastic_extra.xlsx]extra_Bioplastic'!F614)</f>
        <v/>
      </c>
      <c r="G614">
        <f>IF(ISBLANK('Q:\Abteilungsprojekte\Eng\EngData\PROJECT_Bioplastics\Renjie_Pan\05-Raw_Data\Lab_results\[LabSamples2025_Bioplastic_extra.xlsx]extra_Bioplastic'!G614)," ",'Q:\Abteilungsprojekte\Eng\EngData\PROJECT_Bioplastics\Renjie_Pan\05-Raw_Data\Lab_results\[LabSamples2025_Bioplastic_extra.xlsx]extra_Bioplastic'!G614)</f>
        <v/>
      </c>
      <c r="H614">
        <f>IF(ISBLANK('Q:\Abteilungsprojekte\Eng\EngData\PROJECT_Bioplastics\Renjie_Pan\05-Raw_Data\Lab_results\[LabSamples2025_Bioplastic_extra.xlsx]extra_Bioplastic'!H614)," ",'Q:\Abteilungsprojekte\Eng\EngData\PROJECT_Bioplastics\Renjie_Pan\05-Raw_Data\Lab_results\[LabSamples2025_Bioplastic_extra.xlsx]extra_Bioplastic'!H614)</f>
        <v/>
      </c>
    </row>
    <row r="615">
      <c r="A615">
        <f>IF(ISBLANK('Q:\Abteilungsprojekte\Eng\EngData\PROJECT_Bioplastics\Renjie_Pan\05-Raw_Data\Lab_results\[LabSamples2025_Bioplastic_extra.xlsx]extra_Bioplastic'!A615)," ",'Q:\Abteilungsprojekte\Eng\EngData\PROJECT_Bioplastics\Renjie_Pan\05-Raw_Data\Lab_results\[LabSamples2025_Bioplastic_extra.xlsx]extra_Bioplastic'!A615)</f>
        <v/>
      </c>
      <c r="B615">
        <f>IF(ISBLANK('Q:\Abteilungsprojekte\Eng\EngData\PROJECT_Bioplastics\Renjie_Pan\05-Raw_Data\Lab_results\[LabSamples2025_Bioplastic_extra.xlsx]extra_Bioplastic'!B615)," ",'Q:\Abteilungsprojekte\Eng\EngData\PROJECT_Bioplastics\Renjie_Pan\05-Raw_Data\Lab_results\[LabSamples2025_Bioplastic_extra.xlsx]extra_Bioplastic'!B615)</f>
        <v/>
      </c>
      <c r="C615">
        <f>IF(ISBLANK('Q:\Abteilungsprojekte\Eng\EngData\PROJECT_Bioplastics\Renjie_Pan\05-Raw_Data\Lab_results\[LabSamples2025_Bioplastic_extra.xlsx]extra_Bioplastic'!C615)," ",'Q:\Abteilungsprojekte\Eng\EngData\PROJECT_Bioplastics\Renjie_Pan\05-Raw_Data\Lab_results\[LabSamples2025_Bioplastic_extra.xlsx]extra_Bioplastic'!C615)</f>
        <v/>
      </c>
      <c r="D615">
        <f>IF(ISBLANK('Q:\Abteilungsprojekte\Eng\EngData\PROJECT_Bioplastics\Renjie_Pan\05-Raw_Data\Lab_results\[LabSamples2025_Bioplastic_extra.xlsx]extra_Bioplastic'!D615)," ",'Q:\Abteilungsprojekte\Eng\EngData\PROJECT_Bioplastics\Renjie_Pan\05-Raw_Data\Lab_results\[LabSamples2025_Bioplastic_extra.xlsx]extra_Bioplastic'!D615)</f>
        <v/>
      </c>
      <c r="E615">
        <f>IF(ISBLANK('Q:\Abteilungsprojekte\Eng\EngData\PROJECT_Bioplastics\Renjie_Pan\05-Raw_Data\Lab_results\[LabSamples2025_Bioplastic_extra.xlsx]extra_Bioplastic'!E615)," ",'Q:\Abteilungsprojekte\Eng\EngData\PROJECT_Bioplastics\Renjie_Pan\05-Raw_Data\Lab_results\[LabSamples2025_Bioplastic_extra.xlsx]extra_Bioplastic'!E615)</f>
        <v/>
      </c>
      <c r="F615">
        <f>IF(ISBLANK('Q:\Abteilungsprojekte\Eng\EngData\PROJECT_Bioplastics\Renjie_Pan\05-Raw_Data\Lab_results\[LabSamples2025_Bioplastic_extra.xlsx]extra_Bioplastic'!F615)," ",'Q:\Abteilungsprojekte\Eng\EngData\PROJECT_Bioplastics\Renjie_Pan\05-Raw_Data\Lab_results\[LabSamples2025_Bioplastic_extra.xlsx]extra_Bioplastic'!F615)</f>
        <v/>
      </c>
      <c r="G615">
        <f>IF(ISBLANK('Q:\Abteilungsprojekte\Eng\EngData\PROJECT_Bioplastics\Renjie_Pan\05-Raw_Data\Lab_results\[LabSamples2025_Bioplastic_extra.xlsx]extra_Bioplastic'!G615)," ",'Q:\Abteilungsprojekte\Eng\EngData\PROJECT_Bioplastics\Renjie_Pan\05-Raw_Data\Lab_results\[LabSamples2025_Bioplastic_extra.xlsx]extra_Bioplastic'!G615)</f>
        <v/>
      </c>
      <c r="H615">
        <f>IF(ISBLANK('Q:\Abteilungsprojekte\Eng\EngData\PROJECT_Bioplastics\Renjie_Pan\05-Raw_Data\Lab_results\[LabSamples2025_Bioplastic_extra.xlsx]extra_Bioplastic'!H615)," ",'Q:\Abteilungsprojekte\Eng\EngData\PROJECT_Bioplastics\Renjie_Pan\05-Raw_Data\Lab_results\[LabSamples2025_Bioplastic_extra.xlsx]extra_Bioplastic'!H615)</f>
        <v/>
      </c>
    </row>
    <row r="616">
      <c r="A616">
        <f>IF(ISBLANK('Q:\Abteilungsprojekte\Eng\EngData\PROJECT_Bioplastics\Renjie_Pan\05-Raw_Data\Lab_results\[LabSamples2025_Bioplastic_extra.xlsx]extra_Bioplastic'!A616)," ",'Q:\Abteilungsprojekte\Eng\EngData\PROJECT_Bioplastics\Renjie_Pan\05-Raw_Data\Lab_results\[LabSamples2025_Bioplastic_extra.xlsx]extra_Bioplastic'!A616)</f>
        <v/>
      </c>
      <c r="B616">
        <f>IF(ISBLANK('Q:\Abteilungsprojekte\Eng\EngData\PROJECT_Bioplastics\Renjie_Pan\05-Raw_Data\Lab_results\[LabSamples2025_Bioplastic_extra.xlsx]extra_Bioplastic'!B616)," ",'Q:\Abteilungsprojekte\Eng\EngData\PROJECT_Bioplastics\Renjie_Pan\05-Raw_Data\Lab_results\[LabSamples2025_Bioplastic_extra.xlsx]extra_Bioplastic'!B616)</f>
        <v/>
      </c>
      <c r="C616">
        <f>IF(ISBLANK('Q:\Abteilungsprojekte\Eng\EngData\PROJECT_Bioplastics\Renjie_Pan\05-Raw_Data\Lab_results\[LabSamples2025_Bioplastic_extra.xlsx]extra_Bioplastic'!C616)," ",'Q:\Abteilungsprojekte\Eng\EngData\PROJECT_Bioplastics\Renjie_Pan\05-Raw_Data\Lab_results\[LabSamples2025_Bioplastic_extra.xlsx]extra_Bioplastic'!C616)</f>
        <v/>
      </c>
      <c r="D616">
        <f>IF(ISBLANK('Q:\Abteilungsprojekte\Eng\EngData\PROJECT_Bioplastics\Renjie_Pan\05-Raw_Data\Lab_results\[LabSamples2025_Bioplastic_extra.xlsx]extra_Bioplastic'!D616)," ",'Q:\Abteilungsprojekte\Eng\EngData\PROJECT_Bioplastics\Renjie_Pan\05-Raw_Data\Lab_results\[LabSamples2025_Bioplastic_extra.xlsx]extra_Bioplastic'!D616)</f>
        <v/>
      </c>
      <c r="E616">
        <f>IF(ISBLANK('Q:\Abteilungsprojekte\Eng\EngData\PROJECT_Bioplastics\Renjie_Pan\05-Raw_Data\Lab_results\[LabSamples2025_Bioplastic_extra.xlsx]extra_Bioplastic'!E616)," ",'Q:\Abteilungsprojekte\Eng\EngData\PROJECT_Bioplastics\Renjie_Pan\05-Raw_Data\Lab_results\[LabSamples2025_Bioplastic_extra.xlsx]extra_Bioplastic'!E616)</f>
        <v/>
      </c>
      <c r="F616">
        <f>IF(ISBLANK('Q:\Abteilungsprojekte\Eng\EngData\PROJECT_Bioplastics\Renjie_Pan\05-Raw_Data\Lab_results\[LabSamples2025_Bioplastic_extra.xlsx]extra_Bioplastic'!F616)," ",'Q:\Abteilungsprojekte\Eng\EngData\PROJECT_Bioplastics\Renjie_Pan\05-Raw_Data\Lab_results\[LabSamples2025_Bioplastic_extra.xlsx]extra_Bioplastic'!F616)</f>
        <v/>
      </c>
      <c r="G616">
        <f>IF(ISBLANK('Q:\Abteilungsprojekte\Eng\EngData\PROJECT_Bioplastics\Renjie_Pan\05-Raw_Data\Lab_results\[LabSamples2025_Bioplastic_extra.xlsx]extra_Bioplastic'!G616)," ",'Q:\Abteilungsprojekte\Eng\EngData\PROJECT_Bioplastics\Renjie_Pan\05-Raw_Data\Lab_results\[LabSamples2025_Bioplastic_extra.xlsx]extra_Bioplastic'!G616)</f>
        <v/>
      </c>
      <c r="H616">
        <f>IF(ISBLANK('Q:\Abteilungsprojekte\Eng\EngData\PROJECT_Bioplastics\Renjie_Pan\05-Raw_Data\Lab_results\[LabSamples2025_Bioplastic_extra.xlsx]extra_Bioplastic'!H616)," ",'Q:\Abteilungsprojekte\Eng\EngData\PROJECT_Bioplastics\Renjie_Pan\05-Raw_Data\Lab_results\[LabSamples2025_Bioplastic_extra.xlsx]extra_Bioplastic'!H616)</f>
        <v/>
      </c>
    </row>
    <row r="617">
      <c r="A617">
        <f>IF(ISBLANK('Q:\Abteilungsprojekte\Eng\EngData\PROJECT_Bioplastics\Renjie_Pan\05-Raw_Data\Lab_results\[LabSamples2025_Bioplastic_extra.xlsx]extra_Bioplastic'!A617)," ",'Q:\Abteilungsprojekte\Eng\EngData\PROJECT_Bioplastics\Renjie_Pan\05-Raw_Data\Lab_results\[LabSamples2025_Bioplastic_extra.xlsx]extra_Bioplastic'!A617)</f>
        <v/>
      </c>
      <c r="B617">
        <f>IF(ISBLANK('Q:\Abteilungsprojekte\Eng\EngData\PROJECT_Bioplastics\Renjie_Pan\05-Raw_Data\Lab_results\[LabSamples2025_Bioplastic_extra.xlsx]extra_Bioplastic'!B617)," ",'Q:\Abteilungsprojekte\Eng\EngData\PROJECT_Bioplastics\Renjie_Pan\05-Raw_Data\Lab_results\[LabSamples2025_Bioplastic_extra.xlsx]extra_Bioplastic'!B617)</f>
        <v/>
      </c>
      <c r="C617">
        <f>IF(ISBLANK('Q:\Abteilungsprojekte\Eng\EngData\PROJECT_Bioplastics\Renjie_Pan\05-Raw_Data\Lab_results\[LabSamples2025_Bioplastic_extra.xlsx]extra_Bioplastic'!C617)," ",'Q:\Abteilungsprojekte\Eng\EngData\PROJECT_Bioplastics\Renjie_Pan\05-Raw_Data\Lab_results\[LabSamples2025_Bioplastic_extra.xlsx]extra_Bioplastic'!C617)</f>
        <v/>
      </c>
      <c r="D617">
        <f>IF(ISBLANK('Q:\Abteilungsprojekte\Eng\EngData\PROJECT_Bioplastics\Renjie_Pan\05-Raw_Data\Lab_results\[LabSamples2025_Bioplastic_extra.xlsx]extra_Bioplastic'!D617)," ",'Q:\Abteilungsprojekte\Eng\EngData\PROJECT_Bioplastics\Renjie_Pan\05-Raw_Data\Lab_results\[LabSamples2025_Bioplastic_extra.xlsx]extra_Bioplastic'!D617)</f>
        <v/>
      </c>
      <c r="E617">
        <f>IF(ISBLANK('Q:\Abteilungsprojekte\Eng\EngData\PROJECT_Bioplastics\Renjie_Pan\05-Raw_Data\Lab_results\[LabSamples2025_Bioplastic_extra.xlsx]extra_Bioplastic'!E617)," ",'Q:\Abteilungsprojekte\Eng\EngData\PROJECT_Bioplastics\Renjie_Pan\05-Raw_Data\Lab_results\[LabSamples2025_Bioplastic_extra.xlsx]extra_Bioplastic'!E617)</f>
        <v/>
      </c>
      <c r="F617">
        <f>IF(ISBLANK('Q:\Abteilungsprojekte\Eng\EngData\PROJECT_Bioplastics\Renjie_Pan\05-Raw_Data\Lab_results\[LabSamples2025_Bioplastic_extra.xlsx]extra_Bioplastic'!F617)," ",'Q:\Abteilungsprojekte\Eng\EngData\PROJECT_Bioplastics\Renjie_Pan\05-Raw_Data\Lab_results\[LabSamples2025_Bioplastic_extra.xlsx]extra_Bioplastic'!F617)</f>
        <v/>
      </c>
      <c r="G617">
        <f>IF(ISBLANK('Q:\Abteilungsprojekte\Eng\EngData\PROJECT_Bioplastics\Renjie_Pan\05-Raw_Data\Lab_results\[LabSamples2025_Bioplastic_extra.xlsx]extra_Bioplastic'!G617)," ",'Q:\Abteilungsprojekte\Eng\EngData\PROJECT_Bioplastics\Renjie_Pan\05-Raw_Data\Lab_results\[LabSamples2025_Bioplastic_extra.xlsx]extra_Bioplastic'!G617)</f>
        <v/>
      </c>
      <c r="H617">
        <f>IF(ISBLANK('Q:\Abteilungsprojekte\Eng\EngData\PROJECT_Bioplastics\Renjie_Pan\05-Raw_Data\Lab_results\[LabSamples2025_Bioplastic_extra.xlsx]extra_Bioplastic'!H617)," ",'Q:\Abteilungsprojekte\Eng\EngData\PROJECT_Bioplastics\Renjie_Pan\05-Raw_Data\Lab_results\[LabSamples2025_Bioplastic_extra.xlsx]extra_Bioplastic'!H617)</f>
        <v/>
      </c>
    </row>
    <row r="618">
      <c r="A618">
        <f>IF(ISBLANK('Q:\Abteilungsprojekte\Eng\EngData\PROJECT_Bioplastics\Renjie_Pan\05-Raw_Data\Lab_results\[LabSamples2025_Bioplastic_extra.xlsx]extra_Bioplastic'!A618)," ",'Q:\Abteilungsprojekte\Eng\EngData\PROJECT_Bioplastics\Renjie_Pan\05-Raw_Data\Lab_results\[LabSamples2025_Bioplastic_extra.xlsx]extra_Bioplastic'!A618)</f>
        <v/>
      </c>
      <c r="B618">
        <f>IF(ISBLANK('Q:\Abteilungsprojekte\Eng\EngData\PROJECT_Bioplastics\Renjie_Pan\05-Raw_Data\Lab_results\[LabSamples2025_Bioplastic_extra.xlsx]extra_Bioplastic'!B618)," ",'Q:\Abteilungsprojekte\Eng\EngData\PROJECT_Bioplastics\Renjie_Pan\05-Raw_Data\Lab_results\[LabSamples2025_Bioplastic_extra.xlsx]extra_Bioplastic'!B618)</f>
        <v/>
      </c>
      <c r="C618">
        <f>IF(ISBLANK('Q:\Abteilungsprojekte\Eng\EngData\PROJECT_Bioplastics\Renjie_Pan\05-Raw_Data\Lab_results\[LabSamples2025_Bioplastic_extra.xlsx]extra_Bioplastic'!C618)," ",'Q:\Abteilungsprojekte\Eng\EngData\PROJECT_Bioplastics\Renjie_Pan\05-Raw_Data\Lab_results\[LabSamples2025_Bioplastic_extra.xlsx]extra_Bioplastic'!C618)</f>
        <v/>
      </c>
      <c r="D618">
        <f>IF(ISBLANK('Q:\Abteilungsprojekte\Eng\EngData\PROJECT_Bioplastics\Renjie_Pan\05-Raw_Data\Lab_results\[LabSamples2025_Bioplastic_extra.xlsx]extra_Bioplastic'!D618)," ",'Q:\Abteilungsprojekte\Eng\EngData\PROJECT_Bioplastics\Renjie_Pan\05-Raw_Data\Lab_results\[LabSamples2025_Bioplastic_extra.xlsx]extra_Bioplastic'!D618)</f>
        <v/>
      </c>
      <c r="E618">
        <f>IF(ISBLANK('Q:\Abteilungsprojekte\Eng\EngData\PROJECT_Bioplastics\Renjie_Pan\05-Raw_Data\Lab_results\[LabSamples2025_Bioplastic_extra.xlsx]extra_Bioplastic'!E618)," ",'Q:\Abteilungsprojekte\Eng\EngData\PROJECT_Bioplastics\Renjie_Pan\05-Raw_Data\Lab_results\[LabSamples2025_Bioplastic_extra.xlsx]extra_Bioplastic'!E618)</f>
        <v/>
      </c>
      <c r="F618">
        <f>IF(ISBLANK('Q:\Abteilungsprojekte\Eng\EngData\PROJECT_Bioplastics\Renjie_Pan\05-Raw_Data\Lab_results\[LabSamples2025_Bioplastic_extra.xlsx]extra_Bioplastic'!F618)," ",'Q:\Abteilungsprojekte\Eng\EngData\PROJECT_Bioplastics\Renjie_Pan\05-Raw_Data\Lab_results\[LabSamples2025_Bioplastic_extra.xlsx]extra_Bioplastic'!F618)</f>
        <v/>
      </c>
      <c r="G618">
        <f>IF(ISBLANK('Q:\Abteilungsprojekte\Eng\EngData\PROJECT_Bioplastics\Renjie_Pan\05-Raw_Data\Lab_results\[LabSamples2025_Bioplastic_extra.xlsx]extra_Bioplastic'!G618)," ",'Q:\Abteilungsprojekte\Eng\EngData\PROJECT_Bioplastics\Renjie_Pan\05-Raw_Data\Lab_results\[LabSamples2025_Bioplastic_extra.xlsx]extra_Bioplastic'!G618)</f>
        <v/>
      </c>
      <c r="H618">
        <f>IF(ISBLANK('Q:\Abteilungsprojekte\Eng\EngData\PROJECT_Bioplastics\Renjie_Pan\05-Raw_Data\Lab_results\[LabSamples2025_Bioplastic_extra.xlsx]extra_Bioplastic'!H618)," ",'Q:\Abteilungsprojekte\Eng\EngData\PROJECT_Bioplastics\Renjie_Pan\05-Raw_Data\Lab_results\[LabSamples2025_Bioplastic_extra.xlsx]extra_Bioplastic'!H618)</f>
        <v/>
      </c>
    </row>
    <row r="619">
      <c r="A619">
        <f>IF(ISBLANK('Q:\Abteilungsprojekte\Eng\EngData\PROJECT_Bioplastics\Renjie_Pan\05-Raw_Data\Lab_results\[LabSamples2025_Bioplastic_extra.xlsx]extra_Bioplastic'!A619)," ",'Q:\Abteilungsprojekte\Eng\EngData\PROJECT_Bioplastics\Renjie_Pan\05-Raw_Data\Lab_results\[LabSamples2025_Bioplastic_extra.xlsx]extra_Bioplastic'!A619)</f>
        <v/>
      </c>
      <c r="B619">
        <f>IF(ISBLANK('Q:\Abteilungsprojekte\Eng\EngData\PROJECT_Bioplastics\Renjie_Pan\05-Raw_Data\Lab_results\[LabSamples2025_Bioplastic_extra.xlsx]extra_Bioplastic'!B619)," ",'Q:\Abteilungsprojekte\Eng\EngData\PROJECT_Bioplastics\Renjie_Pan\05-Raw_Data\Lab_results\[LabSamples2025_Bioplastic_extra.xlsx]extra_Bioplastic'!B619)</f>
        <v/>
      </c>
      <c r="C619">
        <f>IF(ISBLANK('Q:\Abteilungsprojekte\Eng\EngData\PROJECT_Bioplastics\Renjie_Pan\05-Raw_Data\Lab_results\[LabSamples2025_Bioplastic_extra.xlsx]extra_Bioplastic'!C619)," ",'Q:\Abteilungsprojekte\Eng\EngData\PROJECT_Bioplastics\Renjie_Pan\05-Raw_Data\Lab_results\[LabSamples2025_Bioplastic_extra.xlsx]extra_Bioplastic'!C619)</f>
        <v/>
      </c>
      <c r="D619">
        <f>IF(ISBLANK('Q:\Abteilungsprojekte\Eng\EngData\PROJECT_Bioplastics\Renjie_Pan\05-Raw_Data\Lab_results\[LabSamples2025_Bioplastic_extra.xlsx]extra_Bioplastic'!D619)," ",'Q:\Abteilungsprojekte\Eng\EngData\PROJECT_Bioplastics\Renjie_Pan\05-Raw_Data\Lab_results\[LabSamples2025_Bioplastic_extra.xlsx]extra_Bioplastic'!D619)</f>
        <v/>
      </c>
      <c r="E619">
        <f>IF(ISBLANK('Q:\Abteilungsprojekte\Eng\EngData\PROJECT_Bioplastics\Renjie_Pan\05-Raw_Data\Lab_results\[LabSamples2025_Bioplastic_extra.xlsx]extra_Bioplastic'!E619)," ",'Q:\Abteilungsprojekte\Eng\EngData\PROJECT_Bioplastics\Renjie_Pan\05-Raw_Data\Lab_results\[LabSamples2025_Bioplastic_extra.xlsx]extra_Bioplastic'!E619)</f>
        <v/>
      </c>
      <c r="F619">
        <f>IF(ISBLANK('Q:\Abteilungsprojekte\Eng\EngData\PROJECT_Bioplastics\Renjie_Pan\05-Raw_Data\Lab_results\[LabSamples2025_Bioplastic_extra.xlsx]extra_Bioplastic'!F619)," ",'Q:\Abteilungsprojekte\Eng\EngData\PROJECT_Bioplastics\Renjie_Pan\05-Raw_Data\Lab_results\[LabSamples2025_Bioplastic_extra.xlsx]extra_Bioplastic'!F619)</f>
        <v/>
      </c>
      <c r="G619">
        <f>IF(ISBLANK('Q:\Abteilungsprojekte\Eng\EngData\PROJECT_Bioplastics\Renjie_Pan\05-Raw_Data\Lab_results\[LabSamples2025_Bioplastic_extra.xlsx]extra_Bioplastic'!G619)," ",'Q:\Abteilungsprojekte\Eng\EngData\PROJECT_Bioplastics\Renjie_Pan\05-Raw_Data\Lab_results\[LabSamples2025_Bioplastic_extra.xlsx]extra_Bioplastic'!G619)</f>
        <v/>
      </c>
      <c r="H619">
        <f>IF(ISBLANK('Q:\Abteilungsprojekte\Eng\EngData\PROJECT_Bioplastics\Renjie_Pan\05-Raw_Data\Lab_results\[LabSamples2025_Bioplastic_extra.xlsx]extra_Bioplastic'!H619)," ",'Q:\Abteilungsprojekte\Eng\EngData\PROJECT_Bioplastics\Renjie_Pan\05-Raw_Data\Lab_results\[LabSamples2025_Bioplastic_extra.xlsx]extra_Bioplastic'!H619)</f>
        <v/>
      </c>
    </row>
    <row r="620">
      <c r="A620">
        <f>IF(ISBLANK('Q:\Abteilungsprojekte\Eng\EngData\PROJECT_Bioplastics\Renjie_Pan\05-Raw_Data\Lab_results\[LabSamples2025_Bioplastic_extra.xlsx]extra_Bioplastic'!A620)," ",'Q:\Abteilungsprojekte\Eng\EngData\PROJECT_Bioplastics\Renjie_Pan\05-Raw_Data\Lab_results\[LabSamples2025_Bioplastic_extra.xlsx]extra_Bioplastic'!A620)</f>
        <v/>
      </c>
      <c r="B620">
        <f>IF(ISBLANK('Q:\Abteilungsprojekte\Eng\EngData\PROJECT_Bioplastics\Renjie_Pan\05-Raw_Data\Lab_results\[LabSamples2025_Bioplastic_extra.xlsx]extra_Bioplastic'!B620)," ",'Q:\Abteilungsprojekte\Eng\EngData\PROJECT_Bioplastics\Renjie_Pan\05-Raw_Data\Lab_results\[LabSamples2025_Bioplastic_extra.xlsx]extra_Bioplastic'!B620)</f>
        <v/>
      </c>
      <c r="C620">
        <f>IF(ISBLANK('Q:\Abteilungsprojekte\Eng\EngData\PROJECT_Bioplastics\Renjie_Pan\05-Raw_Data\Lab_results\[LabSamples2025_Bioplastic_extra.xlsx]extra_Bioplastic'!C620)," ",'Q:\Abteilungsprojekte\Eng\EngData\PROJECT_Bioplastics\Renjie_Pan\05-Raw_Data\Lab_results\[LabSamples2025_Bioplastic_extra.xlsx]extra_Bioplastic'!C620)</f>
        <v/>
      </c>
      <c r="D620">
        <f>IF(ISBLANK('Q:\Abteilungsprojekte\Eng\EngData\PROJECT_Bioplastics\Renjie_Pan\05-Raw_Data\Lab_results\[LabSamples2025_Bioplastic_extra.xlsx]extra_Bioplastic'!D620)," ",'Q:\Abteilungsprojekte\Eng\EngData\PROJECT_Bioplastics\Renjie_Pan\05-Raw_Data\Lab_results\[LabSamples2025_Bioplastic_extra.xlsx]extra_Bioplastic'!D620)</f>
        <v/>
      </c>
      <c r="E620">
        <f>IF(ISBLANK('Q:\Abteilungsprojekte\Eng\EngData\PROJECT_Bioplastics\Renjie_Pan\05-Raw_Data\Lab_results\[LabSamples2025_Bioplastic_extra.xlsx]extra_Bioplastic'!E620)," ",'Q:\Abteilungsprojekte\Eng\EngData\PROJECT_Bioplastics\Renjie_Pan\05-Raw_Data\Lab_results\[LabSamples2025_Bioplastic_extra.xlsx]extra_Bioplastic'!E620)</f>
        <v/>
      </c>
      <c r="F620">
        <f>IF(ISBLANK('Q:\Abteilungsprojekte\Eng\EngData\PROJECT_Bioplastics\Renjie_Pan\05-Raw_Data\Lab_results\[LabSamples2025_Bioplastic_extra.xlsx]extra_Bioplastic'!F620)," ",'Q:\Abteilungsprojekte\Eng\EngData\PROJECT_Bioplastics\Renjie_Pan\05-Raw_Data\Lab_results\[LabSamples2025_Bioplastic_extra.xlsx]extra_Bioplastic'!F620)</f>
        <v/>
      </c>
      <c r="G620">
        <f>IF(ISBLANK('Q:\Abteilungsprojekte\Eng\EngData\PROJECT_Bioplastics\Renjie_Pan\05-Raw_Data\Lab_results\[LabSamples2025_Bioplastic_extra.xlsx]extra_Bioplastic'!G620)," ",'Q:\Abteilungsprojekte\Eng\EngData\PROJECT_Bioplastics\Renjie_Pan\05-Raw_Data\Lab_results\[LabSamples2025_Bioplastic_extra.xlsx]extra_Bioplastic'!G620)</f>
        <v/>
      </c>
      <c r="H620">
        <f>IF(ISBLANK('Q:\Abteilungsprojekte\Eng\EngData\PROJECT_Bioplastics\Renjie_Pan\05-Raw_Data\Lab_results\[LabSamples2025_Bioplastic_extra.xlsx]extra_Bioplastic'!H620)," ",'Q:\Abteilungsprojekte\Eng\EngData\PROJECT_Bioplastics\Renjie_Pan\05-Raw_Data\Lab_results\[LabSamples2025_Bioplastic_extra.xlsx]extra_Bioplastic'!H620)</f>
        <v/>
      </c>
    </row>
    <row r="621">
      <c r="A621">
        <f>IF(ISBLANK('Q:\Abteilungsprojekte\Eng\EngData\PROJECT_Bioplastics\Renjie_Pan\05-Raw_Data\Lab_results\[LabSamples2025_Bioplastic_extra.xlsx]extra_Bioplastic'!A621)," ",'Q:\Abteilungsprojekte\Eng\EngData\PROJECT_Bioplastics\Renjie_Pan\05-Raw_Data\Lab_results\[LabSamples2025_Bioplastic_extra.xlsx]extra_Bioplastic'!A621)</f>
        <v/>
      </c>
      <c r="B621">
        <f>IF(ISBLANK('Q:\Abteilungsprojekte\Eng\EngData\PROJECT_Bioplastics\Renjie_Pan\05-Raw_Data\Lab_results\[LabSamples2025_Bioplastic_extra.xlsx]extra_Bioplastic'!B621)," ",'Q:\Abteilungsprojekte\Eng\EngData\PROJECT_Bioplastics\Renjie_Pan\05-Raw_Data\Lab_results\[LabSamples2025_Bioplastic_extra.xlsx]extra_Bioplastic'!B621)</f>
        <v/>
      </c>
      <c r="C621">
        <f>IF(ISBLANK('Q:\Abteilungsprojekte\Eng\EngData\PROJECT_Bioplastics\Renjie_Pan\05-Raw_Data\Lab_results\[LabSamples2025_Bioplastic_extra.xlsx]extra_Bioplastic'!C621)," ",'Q:\Abteilungsprojekte\Eng\EngData\PROJECT_Bioplastics\Renjie_Pan\05-Raw_Data\Lab_results\[LabSamples2025_Bioplastic_extra.xlsx]extra_Bioplastic'!C621)</f>
        <v/>
      </c>
      <c r="D621">
        <f>IF(ISBLANK('Q:\Abteilungsprojekte\Eng\EngData\PROJECT_Bioplastics\Renjie_Pan\05-Raw_Data\Lab_results\[LabSamples2025_Bioplastic_extra.xlsx]extra_Bioplastic'!D621)," ",'Q:\Abteilungsprojekte\Eng\EngData\PROJECT_Bioplastics\Renjie_Pan\05-Raw_Data\Lab_results\[LabSamples2025_Bioplastic_extra.xlsx]extra_Bioplastic'!D621)</f>
        <v/>
      </c>
      <c r="E621">
        <f>IF(ISBLANK('Q:\Abteilungsprojekte\Eng\EngData\PROJECT_Bioplastics\Renjie_Pan\05-Raw_Data\Lab_results\[LabSamples2025_Bioplastic_extra.xlsx]extra_Bioplastic'!E621)," ",'Q:\Abteilungsprojekte\Eng\EngData\PROJECT_Bioplastics\Renjie_Pan\05-Raw_Data\Lab_results\[LabSamples2025_Bioplastic_extra.xlsx]extra_Bioplastic'!E621)</f>
        <v/>
      </c>
      <c r="F621">
        <f>IF(ISBLANK('Q:\Abteilungsprojekte\Eng\EngData\PROJECT_Bioplastics\Renjie_Pan\05-Raw_Data\Lab_results\[LabSamples2025_Bioplastic_extra.xlsx]extra_Bioplastic'!F621)," ",'Q:\Abteilungsprojekte\Eng\EngData\PROJECT_Bioplastics\Renjie_Pan\05-Raw_Data\Lab_results\[LabSamples2025_Bioplastic_extra.xlsx]extra_Bioplastic'!F621)</f>
        <v/>
      </c>
      <c r="G621">
        <f>IF(ISBLANK('Q:\Abteilungsprojekte\Eng\EngData\PROJECT_Bioplastics\Renjie_Pan\05-Raw_Data\Lab_results\[LabSamples2025_Bioplastic_extra.xlsx]extra_Bioplastic'!G621)," ",'Q:\Abteilungsprojekte\Eng\EngData\PROJECT_Bioplastics\Renjie_Pan\05-Raw_Data\Lab_results\[LabSamples2025_Bioplastic_extra.xlsx]extra_Bioplastic'!G621)</f>
        <v/>
      </c>
      <c r="H621">
        <f>IF(ISBLANK('Q:\Abteilungsprojekte\Eng\EngData\PROJECT_Bioplastics\Renjie_Pan\05-Raw_Data\Lab_results\[LabSamples2025_Bioplastic_extra.xlsx]extra_Bioplastic'!H621)," ",'Q:\Abteilungsprojekte\Eng\EngData\PROJECT_Bioplastics\Renjie_Pan\05-Raw_Data\Lab_results\[LabSamples2025_Bioplastic_extra.xlsx]extra_Bioplastic'!H621)</f>
        <v/>
      </c>
    </row>
    <row r="622">
      <c r="A622">
        <f>IF(ISBLANK('Q:\Abteilungsprojekte\Eng\EngData\PROJECT_Bioplastics\Renjie_Pan\05-Raw_Data\Lab_results\[LabSamples2025_Bioplastic_extra.xlsx]extra_Bioplastic'!A622)," ",'Q:\Abteilungsprojekte\Eng\EngData\PROJECT_Bioplastics\Renjie_Pan\05-Raw_Data\Lab_results\[LabSamples2025_Bioplastic_extra.xlsx]extra_Bioplastic'!A622)</f>
        <v/>
      </c>
      <c r="B622">
        <f>IF(ISBLANK('Q:\Abteilungsprojekte\Eng\EngData\PROJECT_Bioplastics\Renjie_Pan\05-Raw_Data\Lab_results\[LabSamples2025_Bioplastic_extra.xlsx]extra_Bioplastic'!B622)," ",'Q:\Abteilungsprojekte\Eng\EngData\PROJECT_Bioplastics\Renjie_Pan\05-Raw_Data\Lab_results\[LabSamples2025_Bioplastic_extra.xlsx]extra_Bioplastic'!B622)</f>
        <v/>
      </c>
      <c r="C622">
        <f>IF(ISBLANK('Q:\Abteilungsprojekte\Eng\EngData\PROJECT_Bioplastics\Renjie_Pan\05-Raw_Data\Lab_results\[LabSamples2025_Bioplastic_extra.xlsx]extra_Bioplastic'!C622)," ",'Q:\Abteilungsprojekte\Eng\EngData\PROJECT_Bioplastics\Renjie_Pan\05-Raw_Data\Lab_results\[LabSamples2025_Bioplastic_extra.xlsx]extra_Bioplastic'!C622)</f>
        <v/>
      </c>
      <c r="D622">
        <f>IF(ISBLANK('Q:\Abteilungsprojekte\Eng\EngData\PROJECT_Bioplastics\Renjie_Pan\05-Raw_Data\Lab_results\[LabSamples2025_Bioplastic_extra.xlsx]extra_Bioplastic'!D622)," ",'Q:\Abteilungsprojekte\Eng\EngData\PROJECT_Bioplastics\Renjie_Pan\05-Raw_Data\Lab_results\[LabSamples2025_Bioplastic_extra.xlsx]extra_Bioplastic'!D622)</f>
        <v/>
      </c>
      <c r="E622">
        <f>IF(ISBLANK('Q:\Abteilungsprojekte\Eng\EngData\PROJECT_Bioplastics\Renjie_Pan\05-Raw_Data\Lab_results\[LabSamples2025_Bioplastic_extra.xlsx]extra_Bioplastic'!E622)," ",'Q:\Abteilungsprojekte\Eng\EngData\PROJECT_Bioplastics\Renjie_Pan\05-Raw_Data\Lab_results\[LabSamples2025_Bioplastic_extra.xlsx]extra_Bioplastic'!E622)</f>
        <v/>
      </c>
      <c r="F622">
        <f>IF(ISBLANK('Q:\Abteilungsprojekte\Eng\EngData\PROJECT_Bioplastics\Renjie_Pan\05-Raw_Data\Lab_results\[LabSamples2025_Bioplastic_extra.xlsx]extra_Bioplastic'!F622)," ",'Q:\Abteilungsprojekte\Eng\EngData\PROJECT_Bioplastics\Renjie_Pan\05-Raw_Data\Lab_results\[LabSamples2025_Bioplastic_extra.xlsx]extra_Bioplastic'!F622)</f>
        <v/>
      </c>
      <c r="G622">
        <f>IF(ISBLANK('Q:\Abteilungsprojekte\Eng\EngData\PROJECT_Bioplastics\Renjie_Pan\05-Raw_Data\Lab_results\[LabSamples2025_Bioplastic_extra.xlsx]extra_Bioplastic'!G622)," ",'Q:\Abteilungsprojekte\Eng\EngData\PROJECT_Bioplastics\Renjie_Pan\05-Raw_Data\Lab_results\[LabSamples2025_Bioplastic_extra.xlsx]extra_Bioplastic'!G622)</f>
        <v/>
      </c>
      <c r="H622">
        <f>IF(ISBLANK('Q:\Abteilungsprojekte\Eng\EngData\PROJECT_Bioplastics\Renjie_Pan\05-Raw_Data\Lab_results\[LabSamples2025_Bioplastic_extra.xlsx]extra_Bioplastic'!H622)," ",'Q:\Abteilungsprojekte\Eng\EngData\PROJECT_Bioplastics\Renjie_Pan\05-Raw_Data\Lab_results\[LabSamples2025_Bioplastic_extra.xlsx]extra_Bioplastic'!H622)</f>
        <v/>
      </c>
    </row>
    <row r="623">
      <c r="A623">
        <f>IF(ISBLANK('Q:\Abteilungsprojekte\Eng\EngData\PROJECT_Bioplastics\Renjie_Pan\05-Raw_Data\Lab_results\[LabSamples2025_Bioplastic_extra.xlsx]extra_Bioplastic'!A623)," ",'Q:\Abteilungsprojekte\Eng\EngData\PROJECT_Bioplastics\Renjie_Pan\05-Raw_Data\Lab_results\[LabSamples2025_Bioplastic_extra.xlsx]extra_Bioplastic'!A623)</f>
        <v/>
      </c>
      <c r="B623">
        <f>IF(ISBLANK('Q:\Abteilungsprojekte\Eng\EngData\PROJECT_Bioplastics\Renjie_Pan\05-Raw_Data\Lab_results\[LabSamples2025_Bioplastic_extra.xlsx]extra_Bioplastic'!B623)," ",'Q:\Abteilungsprojekte\Eng\EngData\PROJECT_Bioplastics\Renjie_Pan\05-Raw_Data\Lab_results\[LabSamples2025_Bioplastic_extra.xlsx]extra_Bioplastic'!B623)</f>
        <v/>
      </c>
      <c r="C623">
        <f>IF(ISBLANK('Q:\Abteilungsprojekte\Eng\EngData\PROJECT_Bioplastics\Renjie_Pan\05-Raw_Data\Lab_results\[LabSamples2025_Bioplastic_extra.xlsx]extra_Bioplastic'!C623)," ",'Q:\Abteilungsprojekte\Eng\EngData\PROJECT_Bioplastics\Renjie_Pan\05-Raw_Data\Lab_results\[LabSamples2025_Bioplastic_extra.xlsx]extra_Bioplastic'!C623)</f>
        <v/>
      </c>
      <c r="D623">
        <f>IF(ISBLANK('Q:\Abteilungsprojekte\Eng\EngData\PROJECT_Bioplastics\Renjie_Pan\05-Raw_Data\Lab_results\[LabSamples2025_Bioplastic_extra.xlsx]extra_Bioplastic'!D623)," ",'Q:\Abteilungsprojekte\Eng\EngData\PROJECT_Bioplastics\Renjie_Pan\05-Raw_Data\Lab_results\[LabSamples2025_Bioplastic_extra.xlsx]extra_Bioplastic'!D623)</f>
        <v/>
      </c>
      <c r="E623">
        <f>IF(ISBLANK('Q:\Abteilungsprojekte\Eng\EngData\PROJECT_Bioplastics\Renjie_Pan\05-Raw_Data\Lab_results\[LabSamples2025_Bioplastic_extra.xlsx]extra_Bioplastic'!E623)," ",'Q:\Abteilungsprojekte\Eng\EngData\PROJECT_Bioplastics\Renjie_Pan\05-Raw_Data\Lab_results\[LabSamples2025_Bioplastic_extra.xlsx]extra_Bioplastic'!E623)</f>
        <v/>
      </c>
      <c r="F623">
        <f>IF(ISBLANK('Q:\Abteilungsprojekte\Eng\EngData\PROJECT_Bioplastics\Renjie_Pan\05-Raw_Data\Lab_results\[LabSamples2025_Bioplastic_extra.xlsx]extra_Bioplastic'!F623)," ",'Q:\Abteilungsprojekte\Eng\EngData\PROJECT_Bioplastics\Renjie_Pan\05-Raw_Data\Lab_results\[LabSamples2025_Bioplastic_extra.xlsx]extra_Bioplastic'!F623)</f>
        <v/>
      </c>
      <c r="G623">
        <f>IF(ISBLANK('Q:\Abteilungsprojekte\Eng\EngData\PROJECT_Bioplastics\Renjie_Pan\05-Raw_Data\Lab_results\[LabSamples2025_Bioplastic_extra.xlsx]extra_Bioplastic'!G623)," ",'Q:\Abteilungsprojekte\Eng\EngData\PROJECT_Bioplastics\Renjie_Pan\05-Raw_Data\Lab_results\[LabSamples2025_Bioplastic_extra.xlsx]extra_Bioplastic'!G623)</f>
        <v/>
      </c>
      <c r="H623">
        <f>IF(ISBLANK('Q:\Abteilungsprojekte\Eng\EngData\PROJECT_Bioplastics\Renjie_Pan\05-Raw_Data\Lab_results\[LabSamples2025_Bioplastic_extra.xlsx]extra_Bioplastic'!H623)," ",'Q:\Abteilungsprojekte\Eng\EngData\PROJECT_Bioplastics\Renjie_Pan\05-Raw_Data\Lab_results\[LabSamples2025_Bioplastic_extra.xlsx]extra_Bioplastic'!H623)</f>
        <v/>
      </c>
    </row>
    <row r="624">
      <c r="A624">
        <f>IF(ISBLANK('Q:\Abteilungsprojekte\Eng\EngData\PROJECT_Bioplastics\Renjie_Pan\05-Raw_Data\Lab_results\[LabSamples2025_Bioplastic_extra.xlsx]extra_Bioplastic'!A624)," ",'Q:\Abteilungsprojekte\Eng\EngData\PROJECT_Bioplastics\Renjie_Pan\05-Raw_Data\Lab_results\[LabSamples2025_Bioplastic_extra.xlsx]extra_Bioplastic'!A624)</f>
        <v/>
      </c>
      <c r="B624">
        <f>IF(ISBLANK('Q:\Abteilungsprojekte\Eng\EngData\PROJECT_Bioplastics\Renjie_Pan\05-Raw_Data\Lab_results\[LabSamples2025_Bioplastic_extra.xlsx]extra_Bioplastic'!B624)," ",'Q:\Abteilungsprojekte\Eng\EngData\PROJECT_Bioplastics\Renjie_Pan\05-Raw_Data\Lab_results\[LabSamples2025_Bioplastic_extra.xlsx]extra_Bioplastic'!B624)</f>
        <v/>
      </c>
      <c r="C624">
        <f>IF(ISBLANK('Q:\Abteilungsprojekte\Eng\EngData\PROJECT_Bioplastics\Renjie_Pan\05-Raw_Data\Lab_results\[LabSamples2025_Bioplastic_extra.xlsx]extra_Bioplastic'!C624)," ",'Q:\Abteilungsprojekte\Eng\EngData\PROJECT_Bioplastics\Renjie_Pan\05-Raw_Data\Lab_results\[LabSamples2025_Bioplastic_extra.xlsx]extra_Bioplastic'!C624)</f>
        <v/>
      </c>
      <c r="D624">
        <f>IF(ISBLANK('Q:\Abteilungsprojekte\Eng\EngData\PROJECT_Bioplastics\Renjie_Pan\05-Raw_Data\Lab_results\[LabSamples2025_Bioplastic_extra.xlsx]extra_Bioplastic'!D624)," ",'Q:\Abteilungsprojekte\Eng\EngData\PROJECT_Bioplastics\Renjie_Pan\05-Raw_Data\Lab_results\[LabSamples2025_Bioplastic_extra.xlsx]extra_Bioplastic'!D624)</f>
        <v/>
      </c>
      <c r="E624">
        <f>IF(ISBLANK('Q:\Abteilungsprojekte\Eng\EngData\PROJECT_Bioplastics\Renjie_Pan\05-Raw_Data\Lab_results\[LabSamples2025_Bioplastic_extra.xlsx]extra_Bioplastic'!E624)," ",'Q:\Abteilungsprojekte\Eng\EngData\PROJECT_Bioplastics\Renjie_Pan\05-Raw_Data\Lab_results\[LabSamples2025_Bioplastic_extra.xlsx]extra_Bioplastic'!E624)</f>
        <v/>
      </c>
      <c r="F624">
        <f>IF(ISBLANK('Q:\Abteilungsprojekte\Eng\EngData\PROJECT_Bioplastics\Renjie_Pan\05-Raw_Data\Lab_results\[LabSamples2025_Bioplastic_extra.xlsx]extra_Bioplastic'!F624)," ",'Q:\Abteilungsprojekte\Eng\EngData\PROJECT_Bioplastics\Renjie_Pan\05-Raw_Data\Lab_results\[LabSamples2025_Bioplastic_extra.xlsx]extra_Bioplastic'!F624)</f>
        <v/>
      </c>
      <c r="G624">
        <f>IF(ISBLANK('Q:\Abteilungsprojekte\Eng\EngData\PROJECT_Bioplastics\Renjie_Pan\05-Raw_Data\Lab_results\[LabSamples2025_Bioplastic_extra.xlsx]extra_Bioplastic'!G624)," ",'Q:\Abteilungsprojekte\Eng\EngData\PROJECT_Bioplastics\Renjie_Pan\05-Raw_Data\Lab_results\[LabSamples2025_Bioplastic_extra.xlsx]extra_Bioplastic'!G624)</f>
        <v/>
      </c>
      <c r="H624">
        <f>IF(ISBLANK('Q:\Abteilungsprojekte\Eng\EngData\PROJECT_Bioplastics\Renjie_Pan\05-Raw_Data\Lab_results\[LabSamples2025_Bioplastic_extra.xlsx]extra_Bioplastic'!H624)," ",'Q:\Abteilungsprojekte\Eng\EngData\PROJECT_Bioplastics\Renjie_Pan\05-Raw_Data\Lab_results\[LabSamples2025_Bioplastic_extra.xlsx]extra_Bioplastic'!H624)</f>
        <v/>
      </c>
    </row>
    <row r="625">
      <c r="A625">
        <f>IF(ISBLANK('Q:\Abteilungsprojekte\Eng\EngData\PROJECT_Bioplastics\Renjie_Pan\05-Raw_Data\Lab_results\[LabSamples2025_Bioplastic_extra.xlsx]extra_Bioplastic'!A625)," ",'Q:\Abteilungsprojekte\Eng\EngData\PROJECT_Bioplastics\Renjie_Pan\05-Raw_Data\Lab_results\[LabSamples2025_Bioplastic_extra.xlsx]extra_Bioplastic'!A625)</f>
        <v/>
      </c>
      <c r="B625">
        <f>IF(ISBLANK('Q:\Abteilungsprojekte\Eng\EngData\PROJECT_Bioplastics\Renjie_Pan\05-Raw_Data\Lab_results\[LabSamples2025_Bioplastic_extra.xlsx]extra_Bioplastic'!B625)," ",'Q:\Abteilungsprojekte\Eng\EngData\PROJECT_Bioplastics\Renjie_Pan\05-Raw_Data\Lab_results\[LabSamples2025_Bioplastic_extra.xlsx]extra_Bioplastic'!B625)</f>
        <v/>
      </c>
      <c r="C625">
        <f>IF(ISBLANK('Q:\Abteilungsprojekte\Eng\EngData\PROJECT_Bioplastics\Renjie_Pan\05-Raw_Data\Lab_results\[LabSamples2025_Bioplastic_extra.xlsx]extra_Bioplastic'!C625)," ",'Q:\Abteilungsprojekte\Eng\EngData\PROJECT_Bioplastics\Renjie_Pan\05-Raw_Data\Lab_results\[LabSamples2025_Bioplastic_extra.xlsx]extra_Bioplastic'!C625)</f>
        <v/>
      </c>
      <c r="D625">
        <f>IF(ISBLANK('Q:\Abteilungsprojekte\Eng\EngData\PROJECT_Bioplastics\Renjie_Pan\05-Raw_Data\Lab_results\[LabSamples2025_Bioplastic_extra.xlsx]extra_Bioplastic'!D625)," ",'Q:\Abteilungsprojekte\Eng\EngData\PROJECT_Bioplastics\Renjie_Pan\05-Raw_Data\Lab_results\[LabSamples2025_Bioplastic_extra.xlsx]extra_Bioplastic'!D625)</f>
        <v/>
      </c>
      <c r="E625">
        <f>IF(ISBLANK('Q:\Abteilungsprojekte\Eng\EngData\PROJECT_Bioplastics\Renjie_Pan\05-Raw_Data\Lab_results\[LabSamples2025_Bioplastic_extra.xlsx]extra_Bioplastic'!E625)," ",'Q:\Abteilungsprojekte\Eng\EngData\PROJECT_Bioplastics\Renjie_Pan\05-Raw_Data\Lab_results\[LabSamples2025_Bioplastic_extra.xlsx]extra_Bioplastic'!E625)</f>
        <v/>
      </c>
      <c r="F625">
        <f>IF(ISBLANK('Q:\Abteilungsprojekte\Eng\EngData\PROJECT_Bioplastics\Renjie_Pan\05-Raw_Data\Lab_results\[LabSamples2025_Bioplastic_extra.xlsx]extra_Bioplastic'!F625)," ",'Q:\Abteilungsprojekte\Eng\EngData\PROJECT_Bioplastics\Renjie_Pan\05-Raw_Data\Lab_results\[LabSamples2025_Bioplastic_extra.xlsx]extra_Bioplastic'!F625)</f>
        <v/>
      </c>
      <c r="G625">
        <f>IF(ISBLANK('Q:\Abteilungsprojekte\Eng\EngData\PROJECT_Bioplastics\Renjie_Pan\05-Raw_Data\Lab_results\[LabSamples2025_Bioplastic_extra.xlsx]extra_Bioplastic'!G625)," ",'Q:\Abteilungsprojekte\Eng\EngData\PROJECT_Bioplastics\Renjie_Pan\05-Raw_Data\Lab_results\[LabSamples2025_Bioplastic_extra.xlsx]extra_Bioplastic'!G625)</f>
        <v/>
      </c>
      <c r="H625">
        <f>IF(ISBLANK('Q:\Abteilungsprojekte\Eng\EngData\PROJECT_Bioplastics\Renjie_Pan\05-Raw_Data\Lab_results\[LabSamples2025_Bioplastic_extra.xlsx]extra_Bioplastic'!H625)," ",'Q:\Abteilungsprojekte\Eng\EngData\PROJECT_Bioplastics\Renjie_Pan\05-Raw_Data\Lab_results\[LabSamples2025_Bioplastic_extra.xlsx]extra_Bioplastic'!H625)</f>
        <v/>
      </c>
    </row>
    <row r="626">
      <c r="A626">
        <f>IF(ISBLANK('Q:\Abteilungsprojekte\Eng\EngData\PROJECT_Bioplastics\Renjie_Pan\05-Raw_Data\Lab_results\[LabSamples2025_Bioplastic_extra.xlsx]extra_Bioplastic'!A626)," ",'Q:\Abteilungsprojekte\Eng\EngData\PROJECT_Bioplastics\Renjie_Pan\05-Raw_Data\Lab_results\[LabSamples2025_Bioplastic_extra.xlsx]extra_Bioplastic'!A626)</f>
        <v/>
      </c>
      <c r="B626">
        <f>IF(ISBLANK('Q:\Abteilungsprojekte\Eng\EngData\PROJECT_Bioplastics\Renjie_Pan\05-Raw_Data\Lab_results\[LabSamples2025_Bioplastic_extra.xlsx]extra_Bioplastic'!B626)," ",'Q:\Abteilungsprojekte\Eng\EngData\PROJECT_Bioplastics\Renjie_Pan\05-Raw_Data\Lab_results\[LabSamples2025_Bioplastic_extra.xlsx]extra_Bioplastic'!B626)</f>
        <v/>
      </c>
      <c r="C626">
        <f>IF(ISBLANK('Q:\Abteilungsprojekte\Eng\EngData\PROJECT_Bioplastics\Renjie_Pan\05-Raw_Data\Lab_results\[LabSamples2025_Bioplastic_extra.xlsx]extra_Bioplastic'!C626)," ",'Q:\Abteilungsprojekte\Eng\EngData\PROJECT_Bioplastics\Renjie_Pan\05-Raw_Data\Lab_results\[LabSamples2025_Bioplastic_extra.xlsx]extra_Bioplastic'!C626)</f>
        <v/>
      </c>
      <c r="D626">
        <f>IF(ISBLANK('Q:\Abteilungsprojekte\Eng\EngData\PROJECT_Bioplastics\Renjie_Pan\05-Raw_Data\Lab_results\[LabSamples2025_Bioplastic_extra.xlsx]extra_Bioplastic'!D626)," ",'Q:\Abteilungsprojekte\Eng\EngData\PROJECT_Bioplastics\Renjie_Pan\05-Raw_Data\Lab_results\[LabSamples2025_Bioplastic_extra.xlsx]extra_Bioplastic'!D626)</f>
        <v/>
      </c>
      <c r="E626">
        <f>IF(ISBLANK('Q:\Abteilungsprojekte\Eng\EngData\PROJECT_Bioplastics\Renjie_Pan\05-Raw_Data\Lab_results\[LabSamples2025_Bioplastic_extra.xlsx]extra_Bioplastic'!E626)," ",'Q:\Abteilungsprojekte\Eng\EngData\PROJECT_Bioplastics\Renjie_Pan\05-Raw_Data\Lab_results\[LabSamples2025_Bioplastic_extra.xlsx]extra_Bioplastic'!E626)</f>
        <v/>
      </c>
      <c r="F626">
        <f>IF(ISBLANK('Q:\Abteilungsprojekte\Eng\EngData\PROJECT_Bioplastics\Renjie_Pan\05-Raw_Data\Lab_results\[LabSamples2025_Bioplastic_extra.xlsx]extra_Bioplastic'!F626)," ",'Q:\Abteilungsprojekte\Eng\EngData\PROJECT_Bioplastics\Renjie_Pan\05-Raw_Data\Lab_results\[LabSamples2025_Bioplastic_extra.xlsx]extra_Bioplastic'!F626)</f>
        <v/>
      </c>
      <c r="G626">
        <f>IF(ISBLANK('Q:\Abteilungsprojekte\Eng\EngData\PROJECT_Bioplastics\Renjie_Pan\05-Raw_Data\Lab_results\[LabSamples2025_Bioplastic_extra.xlsx]extra_Bioplastic'!G626)," ",'Q:\Abteilungsprojekte\Eng\EngData\PROJECT_Bioplastics\Renjie_Pan\05-Raw_Data\Lab_results\[LabSamples2025_Bioplastic_extra.xlsx]extra_Bioplastic'!G626)</f>
        <v/>
      </c>
      <c r="H626">
        <f>IF(ISBLANK('Q:\Abteilungsprojekte\Eng\EngData\PROJECT_Bioplastics\Renjie_Pan\05-Raw_Data\Lab_results\[LabSamples2025_Bioplastic_extra.xlsx]extra_Bioplastic'!H626)," ",'Q:\Abteilungsprojekte\Eng\EngData\PROJECT_Bioplastics\Renjie_Pan\05-Raw_Data\Lab_results\[LabSamples2025_Bioplastic_extra.xlsx]extra_Bioplastic'!H626)</f>
        <v/>
      </c>
    </row>
    <row r="627">
      <c r="A627">
        <f>IF(ISBLANK('Q:\Abteilungsprojekte\Eng\EngData\PROJECT_Bioplastics\Renjie_Pan\05-Raw_Data\Lab_results\[LabSamples2025_Bioplastic_extra.xlsx]extra_Bioplastic'!A627)," ",'Q:\Abteilungsprojekte\Eng\EngData\PROJECT_Bioplastics\Renjie_Pan\05-Raw_Data\Lab_results\[LabSamples2025_Bioplastic_extra.xlsx]extra_Bioplastic'!A627)</f>
        <v/>
      </c>
      <c r="B627">
        <f>IF(ISBLANK('Q:\Abteilungsprojekte\Eng\EngData\PROJECT_Bioplastics\Renjie_Pan\05-Raw_Data\Lab_results\[LabSamples2025_Bioplastic_extra.xlsx]extra_Bioplastic'!B627)," ",'Q:\Abteilungsprojekte\Eng\EngData\PROJECT_Bioplastics\Renjie_Pan\05-Raw_Data\Lab_results\[LabSamples2025_Bioplastic_extra.xlsx]extra_Bioplastic'!B627)</f>
        <v/>
      </c>
      <c r="C627">
        <f>IF(ISBLANK('Q:\Abteilungsprojekte\Eng\EngData\PROJECT_Bioplastics\Renjie_Pan\05-Raw_Data\Lab_results\[LabSamples2025_Bioplastic_extra.xlsx]extra_Bioplastic'!C627)," ",'Q:\Abteilungsprojekte\Eng\EngData\PROJECT_Bioplastics\Renjie_Pan\05-Raw_Data\Lab_results\[LabSamples2025_Bioplastic_extra.xlsx]extra_Bioplastic'!C627)</f>
        <v/>
      </c>
      <c r="D627">
        <f>IF(ISBLANK('Q:\Abteilungsprojekte\Eng\EngData\PROJECT_Bioplastics\Renjie_Pan\05-Raw_Data\Lab_results\[LabSamples2025_Bioplastic_extra.xlsx]extra_Bioplastic'!D627)," ",'Q:\Abteilungsprojekte\Eng\EngData\PROJECT_Bioplastics\Renjie_Pan\05-Raw_Data\Lab_results\[LabSamples2025_Bioplastic_extra.xlsx]extra_Bioplastic'!D627)</f>
        <v/>
      </c>
      <c r="E627">
        <f>IF(ISBLANK('Q:\Abteilungsprojekte\Eng\EngData\PROJECT_Bioplastics\Renjie_Pan\05-Raw_Data\Lab_results\[LabSamples2025_Bioplastic_extra.xlsx]extra_Bioplastic'!E627)," ",'Q:\Abteilungsprojekte\Eng\EngData\PROJECT_Bioplastics\Renjie_Pan\05-Raw_Data\Lab_results\[LabSamples2025_Bioplastic_extra.xlsx]extra_Bioplastic'!E627)</f>
        <v/>
      </c>
      <c r="F627">
        <f>IF(ISBLANK('Q:\Abteilungsprojekte\Eng\EngData\PROJECT_Bioplastics\Renjie_Pan\05-Raw_Data\Lab_results\[LabSamples2025_Bioplastic_extra.xlsx]extra_Bioplastic'!F627)," ",'Q:\Abteilungsprojekte\Eng\EngData\PROJECT_Bioplastics\Renjie_Pan\05-Raw_Data\Lab_results\[LabSamples2025_Bioplastic_extra.xlsx]extra_Bioplastic'!F627)</f>
        <v/>
      </c>
      <c r="G627">
        <f>IF(ISBLANK('Q:\Abteilungsprojekte\Eng\EngData\PROJECT_Bioplastics\Renjie_Pan\05-Raw_Data\Lab_results\[LabSamples2025_Bioplastic_extra.xlsx]extra_Bioplastic'!G627)," ",'Q:\Abteilungsprojekte\Eng\EngData\PROJECT_Bioplastics\Renjie_Pan\05-Raw_Data\Lab_results\[LabSamples2025_Bioplastic_extra.xlsx]extra_Bioplastic'!G627)</f>
        <v/>
      </c>
      <c r="H627">
        <f>IF(ISBLANK('Q:\Abteilungsprojekte\Eng\EngData\PROJECT_Bioplastics\Renjie_Pan\05-Raw_Data\Lab_results\[LabSamples2025_Bioplastic_extra.xlsx]extra_Bioplastic'!H627)," ",'Q:\Abteilungsprojekte\Eng\EngData\PROJECT_Bioplastics\Renjie_Pan\05-Raw_Data\Lab_results\[LabSamples2025_Bioplastic_extra.xlsx]extra_Bioplastic'!H627)</f>
        <v/>
      </c>
    </row>
    <row r="628">
      <c r="A628">
        <f>IF(ISBLANK('Q:\Abteilungsprojekte\Eng\EngData\PROJECT_Bioplastics\Renjie_Pan\05-Raw_Data\Lab_results\[LabSamples2025_Bioplastic_extra.xlsx]extra_Bioplastic'!A628)," ",'Q:\Abteilungsprojekte\Eng\EngData\PROJECT_Bioplastics\Renjie_Pan\05-Raw_Data\Lab_results\[LabSamples2025_Bioplastic_extra.xlsx]extra_Bioplastic'!A628)</f>
        <v/>
      </c>
      <c r="B628">
        <f>IF(ISBLANK('Q:\Abteilungsprojekte\Eng\EngData\PROJECT_Bioplastics\Renjie_Pan\05-Raw_Data\Lab_results\[LabSamples2025_Bioplastic_extra.xlsx]extra_Bioplastic'!B628)," ",'Q:\Abteilungsprojekte\Eng\EngData\PROJECT_Bioplastics\Renjie_Pan\05-Raw_Data\Lab_results\[LabSamples2025_Bioplastic_extra.xlsx]extra_Bioplastic'!B628)</f>
        <v/>
      </c>
      <c r="C628">
        <f>IF(ISBLANK('Q:\Abteilungsprojekte\Eng\EngData\PROJECT_Bioplastics\Renjie_Pan\05-Raw_Data\Lab_results\[LabSamples2025_Bioplastic_extra.xlsx]extra_Bioplastic'!C628)," ",'Q:\Abteilungsprojekte\Eng\EngData\PROJECT_Bioplastics\Renjie_Pan\05-Raw_Data\Lab_results\[LabSamples2025_Bioplastic_extra.xlsx]extra_Bioplastic'!C628)</f>
        <v/>
      </c>
      <c r="D628">
        <f>IF(ISBLANK('Q:\Abteilungsprojekte\Eng\EngData\PROJECT_Bioplastics\Renjie_Pan\05-Raw_Data\Lab_results\[LabSamples2025_Bioplastic_extra.xlsx]extra_Bioplastic'!D628)," ",'Q:\Abteilungsprojekte\Eng\EngData\PROJECT_Bioplastics\Renjie_Pan\05-Raw_Data\Lab_results\[LabSamples2025_Bioplastic_extra.xlsx]extra_Bioplastic'!D628)</f>
        <v/>
      </c>
      <c r="E628">
        <f>IF(ISBLANK('Q:\Abteilungsprojekte\Eng\EngData\PROJECT_Bioplastics\Renjie_Pan\05-Raw_Data\Lab_results\[LabSamples2025_Bioplastic_extra.xlsx]extra_Bioplastic'!E628)," ",'Q:\Abteilungsprojekte\Eng\EngData\PROJECT_Bioplastics\Renjie_Pan\05-Raw_Data\Lab_results\[LabSamples2025_Bioplastic_extra.xlsx]extra_Bioplastic'!E628)</f>
        <v/>
      </c>
      <c r="F628">
        <f>IF(ISBLANK('Q:\Abteilungsprojekte\Eng\EngData\PROJECT_Bioplastics\Renjie_Pan\05-Raw_Data\Lab_results\[LabSamples2025_Bioplastic_extra.xlsx]extra_Bioplastic'!F628)," ",'Q:\Abteilungsprojekte\Eng\EngData\PROJECT_Bioplastics\Renjie_Pan\05-Raw_Data\Lab_results\[LabSamples2025_Bioplastic_extra.xlsx]extra_Bioplastic'!F628)</f>
        <v/>
      </c>
      <c r="G628">
        <f>IF(ISBLANK('Q:\Abteilungsprojekte\Eng\EngData\PROJECT_Bioplastics\Renjie_Pan\05-Raw_Data\Lab_results\[LabSamples2025_Bioplastic_extra.xlsx]extra_Bioplastic'!G628)," ",'Q:\Abteilungsprojekte\Eng\EngData\PROJECT_Bioplastics\Renjie_Pan\05-Raw_Data\Lab_results\[LabSamples2025_Bioplastic_extra.xlsx]extra_Bioplastic'!G628)</f>
        <v/>
      </c>
      <c r="H628">
        <f>IF(ISBLANK('Q:\Abteilungsprojekte\Eng\EngData\PROJECT_Bioplastics\Renjie_Pan\05-Raw_Data\Lab_results\[LabSamples2025_Bioplastic_extra.xlsx]extra_Bioplastic'!H628)," ",'Q:\Abteilungsprojekte\Eng\EngData\PROJECT_Bioplastics\Renjie_Pan\05-Raw_Data\Lab_results\[LabSamples2025_Bioplastic_extra.xlsx]extra_Bioplastic'!H628)</f>
        <v/>
      </c>
    </row>
    <row r="629">
      <c r="A629">
        <f>IF(ISBLANK('Q:\Abteilungsprojekte\Eng\EngData\PROJECT_Bioplastics\Renjie_Pan\05-Raw_Data\Lab_results\[LabSamples2025_Bioplastic_extra.xlsx]extra_Bioplastic'!A629)," ",'Q:\Abteilungsprojekte\Eng\EngData\PROJECT_Bioplastics\Renjie_Pan\05-Raw_Data\Lab_results\[LabSamples2025_Bioplastic_extra.xlsx]extra_Bioplastic'!A629)</f>
        <v/>
      </c>
      <c r="B629">
        <f>IF(ISBLANK('Q:\Abteilungsprojekte\Eng\EngData\PROJECT_Bioplastics\Renjie_Pan\05-Raw_Data\Lab_results\[LabSamples2025_Bioplastic_extra.xlsx]extra_Bioplastic'!B629)," ",'Q:\Abteilungsprojekte\Eng\EngData\PROJECT_Bioplastics\Renjie_Pan\05-Raw_Data\Lab_results\[LabSamples2025_Bioplastic_extra.xlsx]extra_Bioplastic'!B629)</f>
        <v/>
      </c>
      <c r="C629">
        <f>IF(ISBLANK('Q:\Abteilungsprojekte\Eng\EngData\PROJECT_Bioplastics\Renjie_Pan\05-Raw_Data\Lab_results\[LabSamples2025_Bioplastic_extra.xlsx]extra_Bioplastic'!C629)," ",'Q:\Abteilungsprojekte\Eng\EngData\PROJECT_Bioplastics\Renjie_Pan\05-Raw_Data\Lab_results\[LabSamples2025_Bioplastic_extra.xlsx]extra_Bioplastic'!C629)</f>
        <v/>
      </c>
      <c r="D629">
        <f>IF(ISBLANK('Q:\Abteilungsprojekte\Eng\EngData\PROJECT_Bioplastics\Renjie_Pan\05-Raw_Data\Lab_results\[LabSamples2025_Bioplastic_extra.xlsx]extra_Bioplastic'!D629)," ",'Q:\Abteilungsprojekte\Eng\EngData\PROJECT_Bioplastics\Renjie_Pan\05-Raw_Data\Lab_results\[LabSamples2025_Bioplastic_extra.xlsx]extra_Bioplastic'!D629)</f>
        <v/>
      </c>
      <c r="E629">
        <f>IF(ISBLANK('Q:\Abteilungsprojekte\Eng\EngData\PROJECT_Bioplastics\Renjie_Pan\05-Raw_Data\Lab_results\[LabSamples2025_Bioplastic_extra.xlsx]extra_Bioplastic'!E629)," ",'Q:\Abteilungsprojekte\Eng\EngData\PROJECT_Bioplastics\Renjie_Pan\05-Raw_Data\Lab_results\[LabSamples2025_Bioplastic_extra.xlsx]extra_Bioplastic'!E629)</f>
        <v/>
      </c>
      <c r="F629">
        <f>IF(ISBLANK('Q:\Abteilungsprojekte\Eng\EngData\PROJECT_Bioplastics\Renjie_Pan\05-Raw_Data\Lab_results\[LabSamples2025_Bioplastic_extra.xlsx]extra_Bioplastic'!F629)," ",'Q:\Abteilungsprojekte\Eng\EngData\PROJECT_Bioplastics\Renjie_Pan\05-Raw_Data\Lab_results\[LabSamples2025_Bioplastic_extra.xlsx]extra_Bioplastic'!F629)</f>
        <v/>
      </c>
      <c r="G629">
        <f>IF(ISBLANK('Q:\Abteilungsprojekte\Eng\EngData\PROJECT_Bioplastics\Renjie_Pan\05-Raw_Data\Lab_results\[LabSamples2025_Bioplastic_extra.xlsx]extra_Bioplastic'!G629)," ",'Q:\Abteilungsprojekte\Eng\EngData\PROJECT_Bioplastics\Renjie_Pan\05-Raw_Data\Lab_results\[LabSamples2025_Bioplastic_extra.xlsx]extra_Bioplastic'!G629)</f>
        <v/>
      </c>
      <c r="H629">
        <f>IF(ISBLANK('Q:\Abteilungsprojekte\Eng\EngData\PROJECT_Bioplastics\Renjie_Pan\05-Raw_Data\Lab_results\[LabSamples2025_Bioplastic_extra.xlsx]extra_Bioplastic'!H629)," ",'Q:\Abteilungsprojekte\Eng\EngData\PROJECT_Bioplastics\Renjie_Pan\05-Raw_Data\Lab_results\[LabSamples2025_Bioplastic_extra.xlsx]extra_Bioplastic'!H629)</f>
        <v/>
      </c>
    </row>
    <row r="630">
      <c r="A630">
        <f>IF(ISBLANK('Q:\Abteilungsprojekte\Eng\EngData\PROJECT_Bioplastics\Renjie_Pan\05-Raw_Data\Lab_results\[LabSamples2025_Bioplastic_extra.xlsx]extra_Bioplastic'!A630)," ",'Q:\Abteilungsprojekte\Eng\EngData\PROJECT_Bioplastics\Renjie_Pan\05-Raw_Data\Lab_results\[LabSamples2025_Bioplastic_extra.xlsx]extra_Bioplastic'!A630)</f>
        <v/>
      </c>
      <c r="B630">
        <f>IF(ISBLANK('Q:\Abteilungsprojekte\Eng\EngData\PROJECT_Bioplastics\Renjie_Pan\05-Raw_Data\Lab_results\[LabSamples2025_Bioplastic_extra.xlsx]extra_Bioplastic'!B630)," ",'Q:\Abteilungsprojekte\Eng\EngData\PROJECT_Bioplastics\Renjie_Pan\05-Raw_Data\Lab_results\[LabSamples2025_Bioplastic_extra.xlsx]extra_Bioplastic'!B630)</f>
        <v/>
      </c>
      <c r="C630">
        <f>IF(ISBLANK('Q:\Abteilungsprojekte\Eng\EngData\PROJECT_Bioplastics\Renjie_Pan\05-Raw_Data\Lab_results\[LabSamples2025_Bioplastic_extra.xlsx]extra_Bioplastic'!C630)," ",'Q:\Abteilungsprojekte\Eng\EngData\PROJECT_Bioplastics\Renjie_Pan\05-Raw_Data\Lab_results\[LabSamples2025_Bioplastic_extra.xlsx]extra_Bioplastic'!C630)</f>
        <v/>
      </c>
      <c r="D630">
        <f>IF(ISBLANK('Q:\Abteilungsprojekte\Eng\EngData\PROJECT_Bioplastics\Renjie_Pan\05-Raw_Data\Lab_results\[LabSamples2025_Bioplastic_extra.xlsx]extra_Bioplastic'!D630)," ",'Q:\Abteilungsprojekte\Eng\EngData\PROJECT_Bioplastics\Renjie_Pan\05-Raw_Data\Lab_results\[LabSamples2025_Bioplastic_extra.xlsx]extra_Bioplastic'!D630)</f>
        <v/>
      </c>
      <c r="E630">
        <f>IF(ISBLANK('Q:\Abteilungsprojekte\Eng\EngData\PROJECT_Bioplastics\Renjie_Pan\05-Raw_Data\Lab_results\[LabSamples2025_Bioplastic_extra.xlsx]extra_Bioplastic'!E630)," ",'Q:\Abteilungsprojekte\Eng\EngData\PROJECT_Bioplastics\Renjie_Pan\05-Raw_Data\Lab_results\[LabSamples2025_Bioplastic_extra.xlsx]extra_Bioplastic'!E630)</f>
        <v/>
      </c>
      <c r="F630">
        <f>IF(ISBLANK('Q:\Abteilungsprojekte\Eng\EngData\PROJECT_Bioplastics\Renjie_Pan\05-Raw_Data\Lab_results\[LabSamples2025_Bioplastic_extra.xlsx]extra_Bioplastic'!F630)," ",'Q:\Abteilungsprojekte\Eng\EngData\PROJECT_Bioplastics\Renjie_Pan\05-Raw_Data\Lab_results\[LabSamples2025_Bioplastic_extra.xlsx]extra_Bioplastic'!F630)</f>
        <v/>
      </c>
      <c r="G630">
        <f>IF(ISBLANK('Q:\Abteilungsprojekte\Eng\EngData\PROJECT_Bioplastics\Renjie_Pan\05-Raw_Data\Lab_results\[LabSamples2025_Bioplastic_extra.xlsx]extra_Bioplastic'!G630)," ",'Q:\Abteilungsprojekte\Eng\EngData\PROJECT_Bioplastics\Renjie_Pan\05-Raw_Data\Lab_results\[LabSamples2025_Bioplastic_extra.xlsx]extra_Bioplastic'!G630)</f>
        <v/>
      </c>
      <c r="H630">
        <f>IF(ISBLANK('Q:\Abteilungsprojekte\Eng\EngData\PROJECT_Bioplastics\Renjie_Pan\05-Raw_Data\Lab_results\[LabSamples2025_Bioplastic_extra.xlsx]extra_Bioplastic'!H630)," ",'Q:\Abteilungsprojekte\Eng\EngData\PROJECT_Bioplastics\Renjie_Pan\05-Raw_Data\Lab_results\[LabSamples2025_Bioplastic_extra.xlsx]extra_Bioplastic'!H630)</f>
        <v/>
      </c>
    </row>
    <row r="631">
      <c r="A631">
        <f>IF(ISBLANK('Q:\Abteilungsprojekte\Eng\EngData\PROJECT_Bioplastics\Renjie_Pan\05-Raw_Data\Lab_results\[LabSamples2025_Bioplastic_extra.xlsx]extra_Bioplastic'!A631)," ",'Q:\Abteilungsprojekte\Eng\EngData\PROJECT_Bioplastics\Renjie_Pan\05-Raw_Data\Lab_results\[LabSamples2025_Bioplastic_extra.xlsx]extra_Bioplastic'!A631)</f>
        <v/>
      </c>
      <c r="B631">
        <f>IF(ISBLANK('Q:\Abteilungsprojekte\Eng\EngData\PROJECT_Bioplastics\Renjie_Pan\05-Raw_Data\Lab_results\[LabSamples2025_Bioplastic_extra.xlsx]extra_Bioplastic'!B631)," ",'Q:\Abteilungsprojekte\Eng\EngData\PROJECT_Bioplastics\Renjie_Pan\05-Raw_Data\Lab_results\[LabSamples2025_Bioplastic_extra.xlsx]extra_Bioplastic'!B631)</f>
        <v/>
      </c>
      <c r="C631">
        <f>IF(ISBLANK('Q:\Abteilungsprojekte\Eng\EngData\PROJECT_Bioplastics\Renjie_Pan\05-Raw_Data\Lab_results\[LabSamples2025_Bioplastic_extra.xlsx]extra_Bioplastic'!C631)," ",'Q:\Abteilungsprojekte\Eng\EngData\PROJECT_Bioplastics\Renjie_Pan\05-Raw_Data\Lab_results\[LabSamples2025_Bioplastic_extra.xlsx]extra_Bioplastic'!C631)</f>
        <v/>
      </c>
      <c r="D631">
        <f>IF(ISBLANK('Q:\Abteilungsprojekte\Eng\EngData\PROJECT_Bioplastics\Renjie_Pan\05-Raw_Data\Lab_results\[LabSamples2025_Bioplastic_extra.xlsx]extra_Bioplastic'!D631)," ",'Q:\Abteilungsprojekte\Eng\EngData\PROJECT_Bioplastics\Renjie_Pan\05-Raw_Data\Lab_results\[LabSamples2025_Bioplastic_extra.xlsx]extra_Bioplastic'!D631)</f>
        <v/>
      </c>
      <c r="E631">
        <f>IF(ISBLANK('Q:\Abteilungsprojekte\Eng\EngData\PROJECT_Bioplastics\Renjie_Pan\05-Raw_Data\Lab_results\[LabSamples2025_Bioplastic_extra.xlsx]extra_Bioplastic'!E631)," ",'Q:\Abteilungsprojekte\Eng\EngData\PROJECT_Bioplastics\Renjie_Pan\05-Raw_Data\Lab_results\[LabSamples2025_Bioplastic_extra.xlsx]extra_Bioplastic'!E631)</f>
        <v/>
      </c>
      <c r="F631">
        <f>IF(ISBLANK('Q:\Abteilungsprojekte\Eng\EngData\PROJECT_Bioplastics\Renjie_Pan\05-Raw_Data\Lab_results\[LabSamples2025_Bioplastic_extra.xlsx]extra_Bioplastic'!F631)," ",'Q:\Abteilungsprojekte\Eng\EngData\PROJECT_Bioplastics\Renjie_Pan\05-Raw_Data\Lab_results\[LabSamples2025_Bioplastic_extra.xlsx]extra_Bioplastic'!F631)</f>
        <v/>
      </c>
      <c r="G631">
        <f>IF(ISBLANK('Q:\Abteilungsprojekte\Eng\EngData\PROJECT_Bioplastics\Renjie_Pan\05-Raw_Data\Lab_results\[LabSamples2025_Bioplastic_extra.xlsx]extra_Bioplastic'!G631)," ",'Q:\Abteilungsprojekte\Eng\EngData\PROJECT_Bioplastics\Renjie_Pan\05-Raw_Data\Lab_results\[LabSamples2025_Bioplastic_extra.xlsx]extra_Bioplastic'!G631)</f>
        <v/>
      </c>
      <c r="H631">
        <f>IF(ISBLANK('Q:\Abteilungsprojekte\Eng\EngData\PROJECT_Bioplastics\Renjie_Pan\05-Raw_Data\Lab_results\[LabSamples2025_Bioplastic_extra.xlsx]extra_Bioplastic'!H631)," ",'Q:\Abteilungsprojekte\Eng\EngData\PROJECT_Bioplastics\Renjie_Pan\05-Raw_Data\Lab_results\[LabSamples2025_Bioplastic_extra.xlsx]extra_Bioplastic'!H631)</f>
        <v/>
      </c>
    </row>
    <row r="632">
      <c r="A632">
        <f>IF(ISBLANK('Q:\Abteilungsprojekte\Eng\EngData\PROJECT_Bioplastics\Renjie_Pan\05-Raw_Data\Lab_results\[LabSamples2025_Bioplastic_extra.xlsx]extra_Bioplastic'!A632)," ",'Q:\Abteilungsprojekte\Eng\EngData\PROJECT_Bioplastics\Renjie_Pan\05-Raw_Data\Lab_results\[LabSamples2025_Bioplastic_extra.xlsx]extra_Bioplastic'!A632)</f>
        <v/>
      </c>
      <c r="B632">
        <f>IF(ISBLANK('Q:\Abteilungsprojekte\Eng\EngData\PROJECT_Bioplastics\Renjie_Pan\05-Raw_Data\Lab_results\[LabSamples2025_Bioplastic_extra.xlsx]extra_Bioplastic'!B632)," ",'Q:\Abteilungsprojekte\Eng\EngData\PROJECT_Bioplastics\Renjie_Pan\05-Raw_Data\Lab_results\[LabSamples2025_Bioplastic_extra.xlsx]extra_Bioplastic'!B632)</f>
        <v/>
      </c>
      <c r="C632">
        <f>IF(ISBLANK('Q:\Abteilungsprojekte\Eng\EngData\PROJECT_Bioplastics\Renjie_Pan\05-Raw_Data\Lab_results\[LabSamples2025_Bioplastic_extra.xlsx]extra_Bioplastic'!C632)," ",'Q:\Abteilungsprojekte\Eng\EngData\PROJECT_Bioplastics\Renjie_Pan\05-Raw_Data\Lab_results\[LabSamples2025_Bioplastic_extra.xlsx]extra_Bioplastic'!C632)</f>
        <v/>
      </c>
      <c r="D632">
        <f>IF(ISBLANK('Q:\Abteilungsprojekte\Eng\EngData\PROJECT_Bioplastics\Renjie_Pan\05-Raw_Data\Lab_results\[LabSamples2025_Bioplastic_extra.xlsx]extra_Bioplastic'!D632)," ",'Q:\Abteilungsprojekte\Eng\EngData\PROJECT_Bioplastics\Renjie_Pan\05-Raw_Data\Lab_results\[LabSamples2025_Bioplastic_extra.xlsx]extra_Bioplastic'!D632)</f>
        <v/>
      </c>
      <c r="E632">
        <f>IF(ISBLANK('Q:\Abteilungsprojekte\Eng\EngData\PROJECT_Bioplastics\Renjie_Pan\05-Raw_Data\Lab_results\[LabSamples2025_Bioplastic_extra.xlsx]extra_Bioplastic'!E632)," ",'Q:\Abteilungsprojekte\Eng\EngData\PROJECT_Bioplastics\Renjie_Pan\05-Raw_Data\Lab_results\[LabSamples2025_Bioplastic_extra.xlsx]extra_Bioplastic'!E632)</f>
        <v/>
      </c>
      <c r="F632">
        <f>IF(ISBLANK('Q:\Abteilungsprojekte\Eng\EngData\PROJECT_Bioplastics\Renjie_Pan\05-Raw_Data\Lab_results\[LabSamples2025_Bioplastic_extra.xlsx]extra_Bioplastic'!F632)," ",'Q:\Abteilungsprojekte\Eng\EngData\PROJECT_Bioplastics\Renjie_Pan\05-Raw_Data\Lab_results\[LabSamples2025_Bioplastic_extra.xlsx]extra_Bioplastic'!F632)</f>
        <v/>
      </c>
      <c r="G632">
        <f>IF(ISBLANK('Q:\Abteilungsprojekte\Eng\EngData\PROJECT_Bioplastics\Renjie_Pan\05-Raw_Data\Lab_results\[LabSamples2025_Bioplastic_extra.xlsx]extra_Bioplastic'!G632)," ",'Q:\Abteilungsprojekte\Eng\EngData\PROJECT_Bioplastics\Renjie_Pan\05-Raw_Data\Lab_results\[LabSamples2025_Bioplastic_extra.xlsx]extra_Bioplastic'!G632)</f>
        <v/>
      </c>
      <c r="H632">
        <f>IF(ISBLANK('Q:\Abteilungsprojekte\Eng\EngData\PROJECT_Bioplastics\Renjie_Pan\05-Raw_Data\Lab_results\[LabSamples2025_Bioplastic_extra.xlsx]extra_Bioplastic'!H632)," ",'Q:\Abteilungsprojekte\Eng\EngData\PROJECT_Bioplastics\Renjie_Pan\05-Raw_Data\Lab_results\[LabSamples2025_Bioplastic_extra.xlsx]extra_Bioplastic'!H632)</f>
        <v/>
      </c>
    </row>
    <row r="633">
      <c r="A633">
        <f>IF(ISBLANK('Q:\Abteilungsprojekte\Eng\EngData\PROJECT_Bioplastics\Renjie_Pan\05-Raw_Data\Lab_results\[LabSamples2025_Bioplastic_extra.xlsx]extra_Bioplastic'!A633)," ",'Q:\Abteilungsprojekte\Eng\EngData\PROJECT_Bioplastics\Renjie_Pan\05-Raw_Data\Lab_results\[LabSamples2025_Bioplastic_extra.xlsx]extra_Bioplastic'!A633)</f>
        <v/>
      </c>
      <c r="B633">
        <f>IF(ISBLANK('Q:\Abteilungsprojekte\Eng\EngData\PROJECT_Bioplastics\Renjie_Pan\05-Raw_Data\Lab_results\[LabSamples2025_Bioplastic_extra.xlsx]extra_Bioplastic'!B633)," ",'Q:\Abteilungsprojekte\Eng\EngData\PROJECT_Bioplastics\Renjie_Pan\05-Raw_Data\Lab_results\[LabSamples2025_Bioplastic_extra.xlsx]extra_Bioplastic'!B633)</f>
        <v/>
      </c>
      <c r="C633">
        <f>IF(ISBLANK('Q:\Abteilungsprojekte\Eng\EngData\PROJECT_Bioplastics\Renjie_Pan\05-Raw_Data\Lab_results\[LabSamples2025_Bioplastic_extra.xlsx]extra_Bioplastic'!C633)," ",'Q:\Abteilungsprojekte\Eng\EngData\PROJECT_Bioplastics\Renjie_Pan\05-Raw_Data\Lab_results\[LabSamples2025_Bioplastic_extra.xlsx]extra_Bioplastic'!C633)</f>
        <v/>
      </c>
      <c r="D633">
        <f>IF(ISBLANK('Q:\Abteilungsprojekte\Eng\EngData\PROJECT_Bioplastics\Renjie_Pan\05-Raw_Data\Lab_results\[LabSamples2025_Bioplastic_extra.xlsx]extra_Bioplastic'!D633)," ",'Q:\Abteilungsprojekte\Eng\EngData\PROJECT_Bioplastics\Renjie_Pan\05-Raw_Data\Lab_results\[LabSamples2025_Bioplastic_extra.xlsx]extra_Bioplastic'!D633)</f>
        <v/>
      </c>
      <c r="E633">
        <f>IF(ISBLANK('Q:\Abteilungsprojekte\Eng\EngData\PROJECT_Bioplastics\Renjie_Pan\05-Raw_Data\Lab_results\[LabSamples2025_Bioplastic_extra.xlsx]extra_Bioplastic'!E633)," ",'Q:\Abteilungsprojekte\Eng\EngData\PROJECT_Bioplastics\Renjie_Pan\05-Raw_Data\Lab_results\[LabSamples2025_Bioplastic_extra.xlsx]extra_Bioplastic'!E633)</f>
        <v/>
      </c>
      <c r="F633">
        <f>IF(ISBLANK('Q:\Abteilungsprojekte\Eng\EngData\PROJECT_Bioplastics\Renjie_Pan\05-Raw_Data\Lab_results\[LabSamples2025_Bioplastic_extra.xlsx]extra_Bioplastic'!F633)," ",'Q:\Abteilungsprojekte\Eng\EngData\PROJECT_Bioplastics\Renjie_Pan\05-Raw_Data\Lab_results\[LabSamples2025_Bioplastic_extra.xlsx]extra_Bioplastic'!F633)</f>
        <v/>
      </c>
      <c r="G633">
        <f>IF(ISBLANK('Q:\Abteilungsprojekte\Eng\EngData\PROJECT_Bioplastics\Renjie_Pan\05-Raw_Data\Lab_results\[LabSamples2025_Bioplastic_extra.xlsx]extra_Bioplastic'!G633)," ",'Q:\Abteilungsprojekte\Eng\EngData\PROJECT_Bioplastics\Renjie_Pan\05-Raw_Data\Lab_results\[LabSamples2025_Bioplastic_extra.xlsx]extra_Bioplastic'!G633)</f>
        <v/>
      </c>
      <c r="H633">
        <f>IF(ISBLANK('Q:\Abteilungsprojekte\Eng\EngData\PROJECT_Bioplastics\Renjie_Pan\05-Raw_Data\Lab_results\[LabSamples2025_Bioplastic_extra.xlsx]extra_Bioplastic'!H633)," ",'Q:\Abteilungsprojekte\Eng\EngData\PROJECT_Bioplastics\Renjie_Pan\05-Raw_Data\Lab_results\[LabSamples2025_Bioplastic_extra.xlsx]extra_Bioplastic'!H633)</f>
        <v/>
      </c>
    </row>
    <row r="634">
      <c r="A634">
        <f>IF(ISBLANK('Q:\Abteilungsprojekte\Eng\EngData\PROJECT_Bioplastics\Renjie_Pan\05-Raw_Data\Lab_results\[LabSamples2025_Bioplastic_extra.xlsx]extra_Bioplastic'!A634)," ",'Q:\Abteilungsprojekte\Eng\EngData\PROJECT_Bioplastics\Renjie_Pan\05-Raw_Data\Lab_results\[LabSamples2025_Bioplastic_extra.xlsx]extra_Bioplastic'!A634)</f>
        <v/>
      </c>
      <c r="B634">
        <f>IF(ISBLANK('Q:\Abteilungsprojekte\Eng\EngData\PROJECT_Bioplastics\Renjie_Pan\05-Raw_Data\Lab_results\[LabSamples2025_Bioplastic_extra.xlsx]extra_Bioplastic'!B634)," ",'Q:\Abteilungsprojekte\Eng\EngData\PROJECT_Bioplastics\Renjie_Pan\05-Raw_Data\Lab_results\[LabSamples2025_Bioplastic_extra.xlsx]extra_Bioplastic'!B634)</f>
        <v/>
      </c>
      <c r="C634">
        <f>IF(ISBLANK('Q:\Abteilungsprojekte\Eng\EngData\PROJECT_Bioplastics\Renjie_Pan\05-Raw_Data\Lab_results\[LabSamples2025_Bioplastic_extra.xlsx]extra_Bioplastic'!C634)," ",'Q:\Abteilungsprojekte\Eng\EngData\PROJECT_Bioplastics\Renjie_Pan\05-Raw_Data\Lab_results\[LabSamples2025_Bioplastic_extra.xlsx]extra_Bioplastic'!C634)</f>
        <v/>
      </c>
      <c r="D634">
        <f>IF(ISBLANK('Q:\Abteilungsprojekte\Eng\EngData\PROJECT_Bioplastics\Renjie_Pan\05-Raw_Data\Lab_results\[LabSamples2025_Bioplastic_extra.xlsx]extra_Bioplastic'!D634)," ",'Q:\Abteilungsprojekte\Eng\EngData\PROJECT_Bioplastics\Renjie_Pan\05-Raw_Data\Lab_results\[LabSamples2025_Bioplastic_extra.xlsx]extra_Bioplastic'!D634)</f>
        <v/>
      </c>
      <c r="E634">
        <f>IF(ISBLANK('Q:\Abteilungsprojekte\Eng\EngData\PROJECT_Bioplastics\Renjie_Pan\05-Raw_Data\Lab_results\[LabSamples2025_Bioplastic_extra.xlsx]extra_Bioplastic'!E634)," ",'Q:\Abteilungsprojekte\Eng\EngData\PROJECT_Bioplastics\Renjie_Pan\05-Raw_Data\Lab_results\[LabSamples2025_Bioplastic_extra.xlsx]extra_Bioplastic'!E634)</f>
        <v/>
      </c>
      <c r="F634">
        <f>IF(ISBLANK('Q:\Abteilungsprojekte\Eng\EngData\PROJECT_Bioplastics\Renjie_Pan\05-Raw_Data\Lab_results\[LabSamples2025_Bioplastic_extra.xlsx]extra_Bioplastic'!F634)," ",'Q:\Abteilungsprojekte\Eng\EngData\PROJECT_Bioplastics\Renjie_Pan\05-Raw_Data\Lab_results\[LabSamples2025_Bioplastic_extra.xlsx]extra_Bioplastic'!F634)</f>
        <v/>
      </c>
      <c r="G634">
        <f>IF(ISBLANK('Q:\Abteilungsprojekte\Eng\EngData\PROJECT_Bioplastics\Renjie_Pan\05-Raw_Data\Lab_results\[LabSamples2025_Bioplastic_extra.xlsx]extra_Bioplastic'!G634)," ",'Q:\Abteilungsprojekte\Eng\EngData\PROJECT_Bioplastics\Renjie_Pan\05-Raw_Data\Lab_results\[LabSamples2025_Bioplastic_extra.xlsx]extra_Bioplastic'!G634)</f>
        <v/>
      </c>
      <c r="H634">
        <f>IF(ISBLANK('Q:\Abteilungsprojekte\Eng\EngData\PROJECT_Bioplastics\Renjie_Pan\05-Raw_Data\Lab_results\[LabSamples2025_Bioplastic_extra.xlsx]extra_Bioplastic'!H634)," ",'Q:\Abteilungsprojekte\Eng\EngData\PROJECT_Bioplastics\Renjie_Pan\05-Raw_Data\Lab_results\[LabSamples2025_Bioplastic_extra.xlsx]extra_Bioplastic'!H634)</f>
        <v/>
      </c>
    </row>
    <row r="635">
      <c r="A635">
        <f>IF(ISBLANK('Q:\Abteilungsprojekte\Eng\EngData\PROJECT_Bioplastics\Renjie_Pan\05-Raw_Data\Lab_results\[LabSamples2025_Bioplastic_extra.xlsx]extra_Bioplastic'!A635)," ",'Q:\Abteilungsprojekte\Eng\EngData\PROJECT_Bioplastics\Renjie_Pan\05-Raw_Data\Lab_results\[LabSamples2025_Bioplastic_extra.xlsx]extra_Bioplastic'!A635)</f>
        <v/>
      </c>
      <c r="B635">
        <f>IF(ISBLANK('Q:\Abteilungsprojekte\Eng\EngData\PROJECT_Bioplastics\Renjie_Pan\05-Raw_Data\Lab_results\[LabSamples2025_Bioplastic_extra.xlsx]extra_Bioplastic'!B635)," ",'Q:\Abteilungsprojekte\Eng\EngData\PROJECT_Bioplastics\Renjie_Pan\05-Raw_Data\Lab_results\[LabSamples2025_Bioplastic_extra.xlsx]extra_Bioplastic'!B635)</f>
        <v/>
      </c>
      <c r="C635">
        <f>IF(ISBLANK('Q:\Abteilungsprojekte\Eng\EngData\PROJECT_Bioplastics\Renjie_Pan\05-Raw_Data\Lab_results\[LabSamples2025_Bioplastic_extra.xlsx]extra_Bioplastic'!C635)," ",'Q:\Abteilungsprojekte\Eng\EngData\PROJECT_Bioplastics\Renjie_Pan\05-Raw_Data\Lab_results\[LabSamples2025_Bioplastic_extra.xlsx]extra_Bioplastic'!C635)</f>
        <v/>
      </c>
      <c r="D635">
        <f>IF(ISBLANK('Q:\Abteilungsprojekte\Eng\EngData\PROJECT_Bioplastics\Renjie_Pan\05-Raw_Data\Lab_results\[LabSamples2025_Bioplastic_extra.xlsx]extra_Bioplastic'!D635)," ",'Q:\Abteilungsprojekte\Eng\EngData\PROJECT_Bioplastics\Renjie_Pan\05-Raw_Data\Lab_results\[LabSamples2025_Bioplastic_extra.xlsx]extra_Bioplastic'!D635)</f>
        <v/>
      </c>
      <c r="E635">
        <f>IF(ISBLANK('Q:\Abteilungsprojekte\Eng\EngData\PROJECT_Bioplastics\Renjie_Pan\05-Raw_Data\Lab_results\[LabSamples2025_Bioplastic_extra.xlsx]extra_Bioplastic'!E635)," ",'Q:\Abteilungsprojekte\Eng\EngData\PROJECT_Bioplastics\Renjie_Pan\05-Raw_Data\Lab_results\[LabSamples2025_Bioplastic_extra.xlsx]extra_Bioplastic'!E635)</f>
        <v/>
      </c>
      <c r="F635">
        <f>IF(ISBLANK('Q:\Abteilungsprojekte\Eng\EngData\PROJECT_Bioplastics\Renjie_Pan\05-Raw_Data\Lab_results\[LabSamples2025_Bioplastic_extra.xlsx]extra_Bioplastic'!F635)," ",'Q:\Abteilungsprojekte\Eng\EngData\PROJECT_Bioplastics\Renjie_Pan\05-Raw_Data\Lab_results\[LabSamples2025_Bioplastic_extra.xlsx]extra_Bioplastic'!F635)</f>
        <v/>
      </c>
      <c r="G635">
        <f>IF(ISBLANK('Q:\Abteilungsprojekte\Eng\EngData\PROJECT_Bioplastics\Renjie_Pan\05-Raw_Data\Lab_results\[LabSamples2025_Bioplastic_extra.xlsx]extra_Bioplastic'!G635)," ",'Q:\Abteilungsprojekte\Eng\EngData\PROJECT_Bioplastics\Renjie_Pan\05-Raw_Data\Lab_results\[LabSamples2025_Bioplastic_extra.xlsx]extra_Bioplastic'!G635)</f>
        <v/>
      </c>
      <c r="H635">
        <f>IF(ISBLANK('Q:\Abteilungsprojekte\Eng\EngData\PROJECT_Bioplastics\Renjie_Pan\05-Raw_Data\Lab_results\[LabSamples2025_Bioplastic_extra.xlsx]extra_Bioplastic'!H635)," ",'Q:\Abteilungsprojekte\Eng\EngData\PROJECT_Bioplastics\Renjie_Pan\05-Raw_Data\Lab_results\[LabSamples2025_Bioplastic_extra.xlsx]extra_Bioplastic'!H635)</f>
        <v/>
      </c>
    </row>
    <row r="636">
      <c r="A636">
        <f>IF(ISBLANK('Q:\Abteilungsprojekte\Eng\EngData\PROJECT_Bioplastics\Renjie_Pan\05-Raw_Data\Lab_results\[LabSamples2025_Bioplastic_extra.xlsx]extra_Bioplastic'!A636)," ",'Q:\Abteilungsprojekte\Eng\EngData\PROJECT_Bioplastics\Renjie_Pan\05-Raw_Data\Lab_results\[LabSamples2025_Bioplastic_extra.xlsx]extra_Bioplastic'!A636)</f>
        <v/>
      </c>
      <c r="B636">
        <f>IF(ISBLANK('Q:\Abteilungsprojekte\Eng\EngData\PROJECT_Bioplastics\Renjie_Pan\05-Raw_Data\Lab_results\[LabSamples2025_Bioplastic_extra.xlsx]extra_Bioplastic'!B636)," ",'Q:\Abteilungsprojekte\Eng\EngData\PROJECT_Bioplastics\Renjie_Pan\05-Raw_Data\Lab_results\[LabSamples2025_Bioplastic_extra.xlsx]extra_Bioplastic'!B636)</f>
        <v/>
      </c>
      <c r="C636">
        <f>IF(ISBLANK('Q:\Abteilungsprojekte\Eng\EngData\PROJECT_Bioplastics\Renjie_Pan\05-Raw_Data\Lab_results\[LabSamples2025_Bioplastic_extra.xlsx]extra_Bioplastic'!C636)," ",'Q:\Abteilungsprojekte\Eng\EngData\PROJECT_Bioplastics\Renjie_Pan\05-Raw_Data\Lab_results\[LabSamples2025_Bioplastic_extra.xlsx]extra_Bioplastic'!C636)</f>
        <v/>
      </c>
      <c r="D636">
        <f>IF(ISBLANK('Q:\Abteilungsprojekte\Eng\EngData\PROJECT_Bioplastics\Renjie_Pan\05-Raw_Data\Lab_results\[LabSamples2025_Bioplastic_extra.xlsx]extra_Bioplastic'!D636)," ",'Q:\Abteilungsprojekte\Eng\EngData\PROJECT_Bioplastics\Renjie_Pan\05-Raw_Data\Lab_results\[LabSamples2025_Bioplastic_extra.xlsx]extra_Bioplastic'!D636)</f>
        <v/>
      </c>
      <c r="E636">
        <f>IF(ISBLANK('Q:\Abteilungsprojekte\Eng\EngData\PROJECT_Bioplastics\Renjie_Pan\05-Raw_Data\Lab_results\[LabSamples2025_Bioplastic_extra.xlsx]extra_Bioplastic'!E636)," ",'Q:\Abteilungsprojekte\Eng\EngData\PROJECT_Bioplastics\Renjie_Pan\05-Raw_Data\Lab_results\[LabSamples2025_Bioplastic_extra.xlsx]extra_Bioplastic'!E636)</f>
        <v/>
      </c>
      <c r="F636">
        <f>IF(ISBLANK('Q:\Abteilungsprojekte\Eng\EngData\PROJECT_Bioplastics\Renjie_Pan\05-Raw_Data\Lab_results\[LabSamples2025_Bioplastic_extra.xlsx]extra_Bioplastic'!F636)," ",'Q:\Abteilungsprojekte\Eng\EngData\PROJECT_Bioplastics\Renjie_Pan\05-Raw_Data\Lab_results\[LabSamples2025_Bioplastic_extra.xlsx]extra_Bioplastic'!F636)</f>
        <v/>
      </c>
      <c r="G636">
        <f>IF(ISBLANK('Q:\Abteilungsprojekte\Eng\EngData\PROJECT_Bioplastics\Renjie_Pan\05-Raw_Data\Lab_results\[LabSamples2025_Bioplastic_extra.xlsx]extra_Bioplastic'!G636)," ",'Q:\Abteilungsprojekte\Eng\EngData\PROJECT_Bioplastics\Renjie_Pan\05-Raw_Data\Lab_results\[LabSamples2025_Bioplastic_extra.xlsx]extra_Bioplastic'!G636)</f>
        <v/>
      </c>
      <c r="H636">
        <f>IF(ISBLANK('Q:\Abteilungsprojekte\Eng\EngData\PROJECT_Bioplastics\Renjie_Pan\05-Raw_Data\Lab_results\[LabSamples2025_Bioplastic_extra.xlsx]extra_Bioplastic'!H636)," ",'Q:\Abteilungsprojekte\Eng\EngData\PROJECT_Bioplastics\Renjie_Pan\05-Raw_Data\Lab_results\[LabSamples2025_Bioplastic_extra.xlsx]extra_Bioplastic'!H636)</f>
        <v/>
      </c>
    </row>
    <row r="637">
      <c r="A637">
        <f>IF(ISBLANK('Q:\Abteilungsprojekte\Eng\EngData\PROJECT_Bioplastics\Renjie_Pan\05-Raw_Data\Lab_results\[LabSamples2025_Bioplastic_extra.xlsx]extra_Bioplastic'!A637)," ",'Q:\Abteilungsprojekte\Eng\EngData\PROJECT_Bioplastics\Renjie_Pan\05-Raw_Data\Lab_results\[LabSamples2025_Bioplastic_extra.xlsx]extra_Bioplastic'!A637)</f>
        <v/>
      </c>
      <c r="B637">
        <f>IF(ISBLANK('Q:\Abteilungsprojekte\Eng\EngData\PROJECT_Bioplastics\Renjie_Pan\05-Raw_Data\Lab_results\[LabSamples2025_Bioplastic_extra.xlsx]extra_Bioplastic'!B637)," ",'Q:\Abteilungsprojekte\Eng\EngData\PROJECT_Bioplastics\Renjie_Pan\05-Raw_Data\Lab_results\[LabSamples2025_Bioplastic_extra.xlsx]extra_Bioplastic'!B637)</f>
        <v/>
      </c>
      <c r="C637">
        <f>IF(ISBLANK('Q:\Abteilungsprojekte\Eng\EngData\PROJECT_Bioplastics\Renjie_Pan\05-Raw_Data\Lab_results\[LabSamples2025_Bioplastic_extra.xlsx]extra_Bioplastic'!C637)," ",'Q:\Abteilungsprojekte\Eng\EngData\PROJECT_Bioplastics\Renjie_Pan\05-Raw_Data\Lab_results\[LabSamples2025_Bioplastic_extra.xlsx]extra_Bioplastic'!C637)</f>
        <v/>
      </c>
      <c r="D637">
        <f>IF(ISBLANK('Q:\Abteilungsprojekte\Eng\EngData\PROJECT_Bioplastics\Renjie_Pan\05-Raw_Data\Lab_results\[LabSamples2025_Bioplastic_extra.xlsx]extra_Bioplastic'!D637)," ",'Q:\Abteilungsprojekte\Eng\EngData\PROJECT_Bioplastics\Renjie_Pan\05-Raw_Data\Lab_results\[LabSamples2025_Bioplastic_extra.xlsx]extra_Bioplastic'!D637)</f>
        <v/>
      </c>
      <c r="E637">
        <f>IF(ISBLANK('Q:\Abteilungsprojekte\Eng\EngData\PROJECT_Bioplastics\Renjie_Pan\05-Raw_Data\Lab_results\[LabSamples2025_Bioplastic_extra.xlsx]extra_Bioplastic'!E637)," ",'Q:\Abteilungsprojekte\Eng\EngData\PROJECT_Bioplastics\Renjie_Pan\05-Raw_Data\Lab_results\[LabSamples2025_Bioplastic_extra.xlsx]extra_Bioplastic'!E637)</f>
        <v/>
      </c>
      <c r="F637">
        <f>IF(ISBLANK('Q:\Abteilungsprojekte\Eng\EngData\PROJECT_Bioplastics\Renjie_Pan\05-Raw_Data\Lab_results\[LabSamples2025_Bioplastic_extra.xlsx]extra_Bioplastic'!F637)," ",'Q:\Abteilungsprojekte\Eng\EngData\PROJECT_Bioplastics\Renjie_Pan\05-Raw_Data\Lab_results\[LabSamples2025_Bioplastic_extra.xlsx]extra_Bioplastic'!F637)</f>
        <v/>
      </c>
      <c r="G637">
        <f>IF(ISBLANK('Q:\Abteilungsprojekte\Eng\EngData\PROJECT_Bioplastics\Renjie_Pan\05-Raw_Data\Lab_results\[LabSamples2025_Bioplastic_extra.xlsx]extra_Bioplastic'!G637)," ",'Q:\Abteilungsprojekte\Eng\EngData\PROJECT_Bioplastics\Renjie_Pan\05-Raw_Data\Lab_results\[LabSamples2025_Bioplastic_extra.xlsx]extra_Bioplastic'!G637)</f>
        <v/>
      </c>
      <c r="H637">
        <f>IF(ISBLANK('Q:\Abteilungsprojekte\Eng\EngData\PROJECT_Bioplastics\Renjie_Pan\05-Raw_Data\Lab_results\[LabSamples2025_Bioplastic_extra.xlsx]extra_Bioplastic'!H637)," ",'Q:\Abteilungsprojekte\Eng\EngData\PROJECT_Bioplastics\Renjie_Pan\05-Raw_Data\Lab_results\[LabSamples2025_Bioplastic_extra.xlsx]extra_Bioplastic'!H637)</f>
        <v/>
      </c>
    </row>
    <row r="638">
      <c r="A638">
        <f>IF(ISBLANK('Q:\Abteilungsprojekte\Eng\EngData\PROJECT_Bioplastics\Renjie_Pan\05-Raw_Data\Lab_results\[LabSamples2025_Bioplastic_extra.xlsx]extra_Bioplastic'!A638)," ",'Q:\Abteilungsprojekte\Eng\EngData\PROJECT_Bioplastics\Renjie_Pan\05-Raw_Data\Lab_results\[LabSamples2025_Bioplastic_extra.xlsx]extra_Bioplastic'!A638)</f>
        <v/>
      </c>
      <c r="B638">
        <f>IF(ISBLANK('Q:\Abteilungsprojekte\Eng\EngData\PROJECT_Bioplastics\Renjie_Pan\05-Raw_Data\Lab_results\[LabSamples2025_Bioplastic_extra.xlsx]extra_Bioplastic'!B638)," ",'Q:\Abteilungsprojekte\Eng\EngData\PROJECT_Bioplastics\Renjie_Pan\05-Raw_Data\Lab_results\[LabSamples2025_Bioplastic_extra.xlsx]extra_Bioplastic'!B638)</f>
        <v/>
      </c>
      <c r="C638">
        <f>IF(ISBLANK('Q:\Abteilungsprojekte\Eng\EngData\PROJECT_Bioplastics\Renjie_Pan\05-Raw_Data\Lab_results\[LabSamples2025_Bioplastic_extra.xlsx]extra_Bioplastic'!C638)," ",'Q:\Abteilungsprojekte\Eng\EngData\PROJECT_Bioplastics\Renjie_Pan\05-Raw_Data\Lab_results\[LabSamples2025_Bioplastic_extra.xlsx]extra_Bioplastic'!C638)</f>
        <v/>
      </c>
      <c r="D638">
        <f>IF(ISBLANK('Q:\Abteilungsprojekte\Eng\EngData\PROJECT_Bioplastics\Renjie_Pan\05-Raw_Data\Lab_results\[LabSamples2025_Bioplastic_extra.xlsx]extra_Bioplastic'!D638)," ",'Q:\Abteilungsprojekte\Eng\EngData\PROJECT_Bioplastics\Renjie_Pan\05-Raw_Data\Lab_results\[LabSamples2025_Bioplastic_extra.xlsx]extra_Bioplastic'!D638)</f>
        <v/>
      </c>
      <c r="E638">
        <f>IF(ISBLANK('Q:\Abteilungsprojekte\Eng\EngData\PROJECT_Bioplastics\Renjie_Pan\05-Raw_Data\Lab_results\[LabSamples2025_Bioplastic_extra.xlsx]extra_Bioplastic'!E638)," ",'Q:\Abteilungsprojekte\Eng\EngData\PROJECT_Bioplastics\Renjie_Pan\05-Raw_Data\Lab_results\[LabSamples2025_Bioplastic_extra.xlsx]extra_Bioplastic'!E638)</f>
        <v/>
      </c>
      <c r="F638">
        <f>IF(ISBLANK('Q:\Abteilungsprojekte\Eng\EngData\PROJECT_Bioplastics\Renjie_Pan\05-Raw_Data\Lab_results\[LabSamples2025_Bioplastic_extra.xlsx]extra_Bioplastic'!F638)," ",'Q:\Abteilungsprojekte\Eng\EngData\PROJECT_Bioplastics\Renjie_Pan\05-Raw_Data\Lab_results\[LabSamples2025_Bioplastic_extra.xlsx]extra_Bioplastic'!F638)</f>
        <v/>
      </c>
      <c r="G638">
        <f>IF(ISBLANK('Q:\Abteilungsprojekte\Eng\EngData\PROJECT_Bioplastics\Renjie_Pan\05-Raw_Data\Lab_results\[LabSamples2025_Bioplastic_extra.xlsx]extra_Bioplastic'!G638)," ",'Q:\Abteilungsprojekte\Eng\EngData\PROJECT_Bioplastics\Renjie_Pan\05-Raw_Data\Lab_results\[LabSamples2025_Bioplastic_extra.xlsx]extra_Bioplastic'!G638)</f>
        <v/>
      </c>
      <c r="H638">
        <f>IF(ISBLANK('Q:\Abteilungsprojekte\Eng\EngData\PROJECT_Bioplastics\Renjie_Pan\05-Raw_Data\Lab_results\[LabSamples2025_Bioplastic_extra.xlsx]extra_Bioplastic'!H638)," ",'Q:\Abteilungsprojekte\Eng\EngData\PROJECT_Bioplastics\Renjie_Pan\05-Raw_Data\Lab_results\[LabSamples2025_Bioplastic_extra.xlsx]extra_Bioplastic'!H638)</f>
        <v/>
      </c>
    </row>
    <row r="639">
      <c r="A639">
        <f>IF(ISBLANK('Q:\Abteilungsprojekte\Eng\EngData\PROJECT_Bioplastics\Renjie_Pan\05-Raw_Data\Lab_results\[LabSamples2025_Bioplastic_extra.xlsx]extra_Bioplastic'!A639)," ",'Q:\Abteilungsprojekte\Eng\EngData\PROJECT_Bioplastics\Renjie_Pan\05-Raw_Data\Lab_results\[LabSamples2025_Bioplastic_extra.xlsx]extra_Bioplastic'!A639)</f>
        <v/>
      </c>
      <c r="B639">
        <f>IF(ISBLANK('Q:\Abteilungsprojekte\Eng\EngData\PROJECT_Bioplastics\Renjie_Pan\05-Raw_Data\Lab_results\[LabSamples2025_Bioplastic_extra.xlsx]extra_Bioplastic'!B639)," ",'Q:\Abteilungsprojekte\Eng\EngData\PROJECT_Bioplastics\Renjie_Pan\05-Raw_Data\Lab_results\[LabSamples2025_Bioplastic_extra.xlsx]extra_Bioplastic'!B639)</f>
        <v/>
      </c>
      <c r="C639">
        <f>IF(ISBLANK('Q:\Abteilungsprojekte\Eng\EngData\PROJECT_Bioplastics\Renjie_Pan\05-Raw_Data\Lab_results\[LabSamples2025_Bioplastic_extra.xlsx]extra_Bioplastic'!C639)," ",'Q:\Abteilungsprojekte\Eng\EngData\PROJECT_Bioplastics\Renjie_Pan\05-Raw_Data\Lab_results\[LabSamples2025_Bioplastic_extra.xlsx]extra_Bioplastic'!C639)</f>
        <v/>
      </c>
      <c r="D639">
        <f>IF(ISBLANK('Q:\Abteilungsprojekte\Eng\EngData\PROJECT_Bioplastics\Renjie_Pan\05-Raw_Data\Lab_results\[LabSamples2025_Bioplastic_extra.xlsx]extra_Bioplastic'!D639)," ",'Q:\Abteilungsprojekte\Eng\EngData\PROJECT_Bioplastics\Renjie_Pan\05-Raw_Data\Lab_results\[LabSamples2025_Bioplastic_extra.xlsx]extra_Bioplastic'!D639)</f>
        <v/>
      </c>
      <c r="E639">
        <f>IF(ISBLANK('Q:\Abteilungsprojekte\Eng\EngData\PROJECT_Bioplastics\Renjie_Pan\05-Raw_Data\Lab_results\[LabSamples2025_Bioplastic_extra.xlsx]extra_Bioplastic'!E639)," ",'Q:\Abteilungsprojekte\Eng\EngData\PROJECT_Bioplastics\Renjie_Pan\05-Raw_Data\Lab_results\[LabSamples2025_Bioplastic_extra.xlsx]extra_Bioplastic'!E639)</f>
        <v/>
      </c>
      <c r="F639">
        <f>IF(ISBLANK('Q:\Abteilungsprojekte\Eng\EngData\PROJECT_Bioplastics\Renjie_Pan\05-Raw_Data\Lab_results\[LabSamples2025_Bioplastic_extra.xlsx]extra_Bioplastic'!F639)," ",'Q:\Abteilungsprojekte\Eng\EngData\PROJECT_Bioplastics\Renjie_Pan\05-Raw_Data\Lab_results\[LabSamples2025_Bioplastic_extra.xlsx]extra_Bioplastic'!F639)</f>
        <v/>
      </c>
      <c r="G639">
        <f>IF(ISBLANK('Q:\Abteilungsprojekte\Eng\EngData\PROJECT_Bioplastics\Renjie_Pan\05-Raw_Data\Lab_results\[LabSamples2025_Bioplastic_extra.xlsx]extra_Bioplastic'!G639)," ",'Q:\Abteilungsprojekte\Eng\EngData\PROJECT_Bioplastics\Renjie_Pan\05-Raw_Data\Lab_results\[LabSamples2025_Bioplastic_extra.xlsx]extra_Bioplastic'!G639)</f>
        <v/>
      </c>
      <c r="H639">
        <f>IF(ISBLANK('Q:\Abteilungsprojekte\Eng\EngData\PROJECT_Bioplastics\Renjie_Pan\05-Raw_Data\Lab_results\[LabSamples2025_Bioplastic_extra.xlsx]extra_Bioplastic'!H639)," ",'Q:\Abteilungsprojekte\Eng\EngData\PROJECT_Bioplastics\Renjie_Pan\05-Raw_Data\Lab_results\[LabSamples2025_Bioplastic_extra.xlsx]extra_Bioplastic'!H639)</f>
        <v/>
      </c>
    </row>
    <row r="640">
      <c r="A640">
        <f>IF(ISBLANK('Q:\Abteilungsprojekte\Eng\EngData\PROJECT_Bioplastics\Renjie_Pan\05-Raw_Data\Lab_results\[LabSamples2025_Bioplastic_extra.xlsx]extra_Bioplastic'!A640)," ",'Q:\Abteilungsprojekte\Eng\EngData\PROJECT_Bioplastics\Renjie_Pan\05-Raw_Data\Lab_results\[LabSamples2025_Bioplastic_extra.xlsx]extra_Bioplastic'!A640)</f>
        <v/>
      </c>
      <c r="B640">
        <f>IF(ISBLANK('Q:\Abteilungsprojekte\Eng\EngData\PROJECT_Bioplastics\Renjie_Pan\05-Raw_Data\Lab_results\[LabSamples2025_Bioplastic_extra.xlsx]extra_Bioplastic'!B640)," ",'Q:\Abteilungsprojekte\Eng\EngData\PROJECT_Bioplastics\Renjie_Pan\05-Raw_Data\Lab_results\[LabSamples2025_Bioplastic_extra.xlsx]extra_Bioplastic'!B640)</f>
        <v/>
      </c>
      <c r="C640">
        <f>IF(ISBLANK('Q:\Abteilungsprojekte\Eng\EngData\PROJECT_Bioplastics\Renjie_Pan\05-Raw_Data\Lab_results\[LabSamples2025_Bioplastic_extra.xlsx]extra_Bioplastic'!C640)," ",'Q:\Abteilungsprojekte\Eng\EngData\PROJECT_Bioplastics\Renjie_Pan\05-Raw_Data\Lab_results\[LabSamples2025_Bioplastic_extra.xlsx]extra_Bioplastic'!C640)</f>
        <v/>
      </c>
      <c r="D640">
        <f>IF(ISBLANK('Q:\Abteilungsprojekte\Eng\EngData\PROJECT_Bioplastics\Renjie_Pan\05-Raw_Data\Lab_results\[LabSamples2025_Bioplastic_extra.xlsx]extra_Bioplastic'!D640)," ",'Q:\Abteilungsprojekte\Eng\EngData\PROJECT_Bioplastics\Renjie_Pan\05-Raw_Data\Lab_results\[LabSamples2025_Bioplastic_extra.xlsx]extra_Bioplastic'!D640)</f>
        <v/>
      </c>
      <c r="E640">
        <f>IF(ISBLANK('Q:\Abteilungsprojekte\Eng\EngData\PROJECT_Bioplastics\Renjie_Pan\05-Raw_Data\Lab_results\[LabSamples2025_Bioplastic_extra.xlsx]extra_Bioplastic'!E640)," ",'Q:\Abteilungsprojekte\Eng\EngData\PROJECT_Bioplastics\Renjie_Pan\05-Raw_Data\Lab_results\[LabSamples2025_Bioplastic_extra.xlsx]extra_Bioplastic'!E640)</f>
        <v/>
      </c>
      <c r="F640">
        <f>IF(ISBLANK('Q:\Abteilungsprojekte\Eng\EngData\PROJECT_Bioplastics\Renjie_Pan\05-Raw_Data\Lab_results\[LabSamples2025_Bioplastic_extra.xlsx]extra_Bioplastic'!F640)," ",'Q:\Abteilungsprojekte\Eng\EngData\PROJECT_Bioplastics\Renjie_Pan\05-Raw_Data\Lab_results\[LabSamples2025_Bioplastic_extra.xlsx]extra_Bioplastic'!F640)</f>
        <v/>
      </c>
      <c r="G640">
        <f>IF(ISBLANK('Q:\Abteilungsprojekte\Eng\EngData\PROJECT_Bioplastics\Renjie_Pan\05-Raw_Data\Lab_results\[LabSamples2025_Bioplastic_extra.xlsx]extra_Bioplastic'!G640)," ",'Q:\Abteilungsprojekte\Eng\EngData\PROJECT_Bioplastics\Renjie_Pan\05-Raw_Data\Lab_results\[LabSamples2025_Bioplastic_extra.xlsx]extra_Bioplastic'!G640)</f>
        <v/>
      </c>
      <c r="H640">
        <f>IF(ISBLANK('Q:\Abteilungsprojekte\Eng\EngData\PROJECT_Bioplastics\Renjie_Pan\05-Raw_Data\Lab_results\[LabSamples2025_Bioplastic_extra.xlsx]extra_Bioplastic'!H640)," ",'Q:\Abteilungsprojekte\Eng\EngData\PROJECT_Bioplastics\Renjie_Pan\05-Raw_Data\Lab_results\[LabSamples2025_Bioplastic_extra.xlsx]extra_Bioplastic'!H640)</f>
        <v/>
      </c>
    </row>
    <row r="641">
      <c r="A641">
        <f>IF(ISBLANK('Q:\Abteilungsprojekte\Eng\EngData\PROJECT_Bioplastics\Renjie_Pan\05-Raw_Data\Lab_results\[LabSamples2025_Bioplastic_extra.xlsx]extra_Bioplastic'!A641)," ",'Q:\Abteilungsprojekte\Eng\EngData\PROJECT_Bioplastics\Renjie_Pan\05-Raw_Data\Lab_results\[LabSamples2025_Bioplastic_extra.xlsx]extra_Bioplastic'!A641)</f>
        <v/>
      </c>
      <c r="B641">
        <f>IF(ISBLANK('Q:\Abteilungsprojekte\Eng\EngData\PROJECT_Bioplastics\Renjie_Pan\05-Raw_Data\Lab_results\[LabSamples2025_Bioplastic_extra.xlsx]extra_Bioplastic'!B641)," ",'Q:\Abteilungsprojekte\Eng\EngData\PROJECT_Bioplastics\Renjie_Pan\05-Raw_Data\Lab_results\[LabSamples2025_Bioplastic_extra.xlsx]extra_Bioplastic'!B641)</f>
        <v/>
      </c>
      <c r="C641">
        <f>IF(ISBLANK('Q:\Abteilungsprojekte\Eng\EngData\PROJECT_Bioplastics\Renjie_Pan\05-Raw_Data\Lab_results\[LabSamples2025_Bioplastic_extra.xlsx]extra_Bioplastic'!C641)," ",'Q:\Abteilungsprojekte\Eng\EngData\PROJECT_Bioplastics\Renjie_Pan\05-Raw_Data\Lab_results\[LabSamples2025_Bioplastic_extra.xlsx]extra_Bioplastic'!C641)</f>
        <v/>
      </c>
      <c r="D641">
        <f>IF(ISBLANK('Q:\Abteilungsprojekte\Eng\EngData\PROJECT_Bioplastics\Renjie_Pan\05-Raw_Data\Lab_results\[LabSamples2025_Bioplastic_extra.xlsx]extra_Bioplastic'!D641)," ",'Q:\Abteilungsprojekte\Eng\EngData\PROJECT_Bioplastics\Renjie_Pan\05-Raw_Data\Lab_results\[LabSamples2025_Bioplastic_extra.xlsx]extra_Bioplastic'!D641)</f>
        <v/>
      </c>
      <c r="E641">
        <f>IF(ISBLANK('Q:\Abteilungsprojekte\Eng\EngData\PROJECT_Bioplastics\Renjie_Pan\05-Raw_Data\Lab_results\[LabSamples2025_Bioplastic_extra.xlsx]extra_Bioplastic'!E641)," ",'Q:\Abteilungsprojekte\Eng\EngData\PROJECT_Bioplastics\Renjie_Pan\05-Raw_Data\Lab_results\[LabSamples2025_Bioplastic_extra.xlsx]extra_Bioplastic'!E641)</f>
        <v/>
      </c>
      <c r="F641">
        <f>IF(ISBLANK('Q:\Abteilungsprojekte\Eng\EngData\PROJECT_Bioplastics\Renjie_Pan\05-Raw_Data\Lab_results\[LabSamples2025_Bioplastic_extra.xlsx]extra_Bioplastic'!F641)," ",'Q:\Abteilungsprojekte\Eng\EngData\PROJECT_Bioplastics\Renjie_Pan\05-Raw_Data\Lab_results\[LabSamples2025_Bioplastic_extra.xlsx]extra_Bioplastic'!F641)</f>
        <v/>
      </c>
      <c r="G641">
        <f>IF(ISBLANK('Q:\Abteilungsprojekte\Eng\EngData\PROJECT_Bioplastics\Renjie_Pan\05-Raw_Data\Lab_results\[LabSamples2025_Bioplastic_extra.xlsx]extra_Bioplastic'!G641)," ",'Q:\Abteilungsprojekte\Eng\EngData\PROJECT_Bioplastics\Renjie_Pan\05-Raw_Data\Lab_results\[LabSamples2025_Bioplastic_extra.xlsx]extra_Bioplastic'!G641)</f>
        <v/>
      </c>
      <c r="H641">
        <f>IF(ISBLANK('Q:\Abteilungsprojekte\Eng\EngData\PROJECT_Bioplastics\Renjie_Pan\05-Raw_Data\Lab_results\[LabSamples2025_Bioplastic_extra.xlsx]extra_Bioplastic'!H641)," ",'Q:\Abteilungsprojekte\Eng\EngData\PROJECT_Bioplastics\Renjie_Pan\05-Raw_Data\Lab_results\[LabSamples2025_Bioplastic_extra.xlsx]extra_Bioplastic'!H641)</f>
        <v/>
      </c>
    </row>
    <row r="642">
      <c r="A642">
        <f>IF(ISBLANK('Q:\Abteilungsprojekte\Eng\EngData\PROJECT_Bioplastics\Renjie_Pan\05-Raw_Data\Lab_results\[LabSamples2025_Bioplastic_extra.xlsx]extra_Bioplastic'!A642)," ",'Q:\Abteilungsprojekte\Eng\EngData\PROJECT_Bioplastics\Renjie_Pan\05-Raw_Data\Lab_results\[LabSamples2025_Bioplastic_extra.xlsx]extra_Bioplastic'!A642)</f>
        <v/>
      </c>
      <c r="B642">
        <f>IF(ISBLANK('Q:\Abteilungsprojekte\Eng\EngData\PROJECT_Bioplastics\Renjie_Pan\05-Raw_Data\Lab_results\[LabSamples2025_Bioplastic_extra.xlsx]extra_Bioplastic'!B642)," ",'Q:\Abteilungsprojekte\Eng\EngData\PROJECT_Bioplastics\Renjie_Pan\05-Raw_Data\Lab_results\[LabSamples2025_Bioplastic_extra.xlsx]extra_Bioplastic'!B642)</f>
        <v/>
      </c>
      <c r="C642">
        <f>IF(ISBLANK('Q:\Abteilungsprojekte\Eng\EngData\PROJECT_Bioplastics\Renjie_Pan\05-Raw_Data\Lab_results\[LabSamples2025_Bioplastic_extra.xlsx]extra_Bioplastic'!C642)," ",'Q:\Abteilungsprojekte\Eng\EngData\PROJECT_Bioplastics\Renjie_Pan\05-Raw_Data\Lab_results\[LabSamples2025_Bioplastic_extra.xlsx]extra_Bioplastic'!C642)</f>
        <v/>
      </c>
      <c r="D642">
        <f>IF(ISBLANK('Q:\Abteilungsprojekte\Eng\EngData\PROJECT_Bioplastics\Renjie_Pan\05-Raw_Data\Lab_results\[LabSamples2025_Bioplastic_extra.xlsx]extra_Bioplastic'!D642)," ",'Q:\Abteilungsprojekte\Eng\EngData\PROJECT_Bioplastics\Renjie_Pan\05-Raw_Data\Lab_results\[LabSamples2025_Bioplastic_extra.xlsx]extra_Bioplastic'!D642)</f>
        <v/>
      </c>
      <c r="E642">
        <f>IF(ISBLANK('Q:\Abteilungsprojekte\Eng\EngData\PROJECT_Bioplastics\Renjie_Pan\05-Raw_Data\Lab_results\[LabSamples2025_Bioplastic_extra.xlsx]extra_Bioplastic'!E642)," ",'Q:\Abteilungsprojekte\Eng\EngData\PROJECT_Bioplastics\Renjie_Pan\05-Raw_Data\Lab_results\[LabSamples2025_Bioplastic_extra.xlsx]extra_Bioplastic'!E642)</f>
        <v/>
      </c>
      <c r="F642">
        <f>IF(ISBLANK('Q:\Abteilungsprojekte\Eng\EngData\PROJECT_Bioplastics\Renjie_Pan\05-Raw_Data\Lab_results\[LabSamples2025_Bioplastic_extra.xlsx]extra_Bioplastic'!F642)," ",'Q:\Abteilungsprojekte\Eng\EngData\PROJECT_Bioplastics\Renjie_Pan\05-Raw_Data\Lab_results\[LabSamples2025_Bioplastic_extra.xlsx]extra_Bioplastic'!F642)</f>
        <v/>
      </c>
      <c r="G642">
        <f>IF(ISBLANK('Q:\Abteilungsprojekte\Eng\EngData\PROJECT_Bioplastics\Renjie_Pan\05-Raw_Data\Lab_results\[LabSamples2025_Bioplastic_extra.xlsx]extra_Bioplastic'!G642)," ",'Q:\Abteilungsprojekte\Eng\EngData\PROJECT_Bioplastics\Renjie_Pan\05-Raw_Data\Lab_results\[LabSamples2025_Bioplastic_extra.xlsx]extra_Bioplastic'!G642)</f>
        <v/>
      </c>
      <c r="H642">
        <f>IF(ISBLANK('Q:\Abteilungsprojekte\Eng\EngData\PROJECT_Bioplastics\Renjie_Pan\05-Raw_Data\Lab_results\[LabSamples2025_Bioplastic_extra.xlsx]extra_Bioplastic'!H642)," ",'Q:\Abteilungsprojekte\Eng\EngData\PROJECT_Bioplastics\Renjie_Pan\05-Raw_Data\Lab_results\[LabSamples2025_Bioplastic_extra.xlsx]extra_Bioplastic'!H642)</f>
        <v/>
      </c>
    </row>
    <row r="643">
      <c r="A643">
        <f>IF(ISBLANK('Q:\Abteilungsprojekte\Eng\EngData\PROJECT_Bioplastics\Renjie_Pan\05-Raw_Data\Lab_results\[LabSamples2025_Bioplastic_extra.xlsx]extra_Bioplastic'!A643)," ",'Q:\Abteilungsprojekte\Eng\EngData\PROJECT_Bioplastics\Renjie_Pan\05-Raw_Data\Lab_results\[LabSamples2025_Bioplastic_extra.xlsx]extra_Bioplastic'!A643)</f>
        <v/>
      </c>
      <c r="B643">
        <f>IF(ISBLANK('Q:\Abteilungsprojekte\Eng\EngData\PROJECT_Bioplastics\Renjie_Pan\05-Raw_Data\Lab_results\[LabSamples2025_Bioplastic_extra.xlsx]extra_Bioplastic'!B643)," ",'Q:\Abteilungsprojekte\Eng\EngData\PROJECT_Bioplastics\Renjie_Pan\05-Raw_Data\Lab_results\[LabSamples2025_Bioplastic_extra.xlsx]extra_Bioplastic'!B643)</f>
        <v/>
      </c>
      <c r="C643">
        <f>IF(ISBLANK('Q:\Abteilungsprojekte\Eng\EngData\PROJECT_Bioplastics\Renjie_Pan\05-Raw_Data\Lab_results\[LabSamples2025_Bioplastic_extra.xlsx]extra_Bioplastic'!C643)," ",'Q:\Abteilungsprojekte\Eng\EngData\PROJECT_Bioplastics\Renjie_Pan\05-Raw_Data\Lab_results\[LabSamples2025_Bioplastic_extra.xlsx]extra_Bioplastic'!C643)</f>
        <v/>
      </c>
      <c r="D643">
        <f>IF(ISBLANK('Q:\Abteilungsprojekte\Eng\EngData\PROJECT_Bioplastics\Renjie_Pan\05-Raw_Data\Lab_results\[LabSamples2025_Bioplastic_extra.xlsx]extra_Bioplastic'!D643)," ",'Q:\Abteilungsprojekte\Eng\EngData\PROJECT_Bioplastics\Renjie_Pan\05-Raw_Data\Lab_results\[LabSamples2025_Bioplastic_extra.xlsx]extra_Bioplastic'!D643)</f>
        <v/>
      </c>
      <c r="E643">
        <f>IF(ISBLANK('Q:\Abteilungsprojekte\Eng\EngData\PROJECT_Bioplastics\Renjie_Pan\05-Raw_Data\Lab_results\[LabSamples2025_Bioplastic_extra.xlsx]extra_Bioplastic'!E643)," ",'Q:\Abteilungsprojekte\Eng\EngData\PROJECT_Bioplastics\Renjie_Pan\05-Raw_Data\Lab_results\[LabSamples2025_Bioplastic_extra.xlsx]extra_Bioplastic'!E643)</f>
        <v/>
      </c>
      <c r="F643">
        <f>IF(ISBLANK('Q:\Abteilungsprojekte\Eng\EngData\PROJECT_Bioplastics\Renjie_Pan\05-Raw_Data\Lab_results\[LabSamples2025_Bioplastic_extra.xlsx]extra_Bioplastic'!F643)," ",'Q:\Abteilungsprojekte\Eng\EngData\PROJECT_Bioplastics\Renjie_Pan\05-Raw_Data\Lab_results\[LabSamples2025_Bioplastic_extra.xlsx]extra_Bioplastic'!F643)</f>
        <v/>
      </c>
      <c r="G643">
        <f>IF(ISBLANK('Q:\Abteilungsprojekte\Eng\EngData\PROJECT_Bioplastics\Renjie_Pan\05-Raw_Data\Lab_results\[LabSamples2025_Bioplastic_extra.xlsx]extra_Bioplastic'!G643)," ",'Q:\Abteilungsprojekte\Eng\EngData\PROJECT_Bioplastics\Renjie_Pan\05-Raw_Data\Lab_results\[LabSamples2025_Bioplastic_extra.xlsx]extra_Bioplastic'!G643)</f>
        <v/>
      </c>
      <c r="H643">
        <f>IF(ISBLANK('Q:\Abteilungsprojekte\Eng\EngData\PROJECT_Bioplastics\Renjie_Pan\05-Raw_Data\Lab_results\[LabSamples2025_Bioplastic_extra.xlsx]extra_Bioplastic'!H643)," ",'Q:\Abteilungsprojekte\Eng\EngData\PROJECT_Bioplastics\Renjie_Pan\05-Raw_Data\Lab_results\[LabSamples2025_Bioplastic_extra.xlsx]extra_Bioplastic'!H643)</f>
        <v/>
      </c>
    </row>
    <row r="644">
      <c r="A644">
        <f>IF(ISBLANK('Q:\Abteilungsprojekte\Eng\EngData\PROJECT_Bioplastics\Renjie_Pan\05-Raw_Data\Lab_results\[LabSamples2025_Bioplastic_extra.xlsx]extra_Bioplastic'!A644)," ",'Q:\Abteilungsprojekte\Eng\EngData\PROJECT_Bioplastics\Renjie_Pan\05-Raw_Data\Lab_results\[LabSamples2025_Bioplastic_extra.xlsx]extra_Bioplastic'!A644)</f>
        <v/>
      </c>
      <c r="B644">
        <f>IF(ISBLANK('Q:\Abteilungsprojekte\Eng\EngData\PROJECT_Bioplastics\Renjie_Pan\05-Raw_Data\Lab_results\[LabSamples2025_Bioplastic_extra.xlsx]extra_Bioplastic'!B644)," ",'Q:\Abteilungsprojekte\Eng\EngData\PROJECT_Bioplastics\Renjie_Pan\05-Raw_Data\Lab_results\[LabSamples2025_Bioplastic_extra.xlsx]extra_Bioplastic'!B644)</f>
        <v/>
      </c>
      <c r="C644">
        <f>IF(ISBLANK('Q:\Abteilungsprojekte\Eng\EngData\PROJECT_Bioplastics\Renjie_Pan\05-Raw_Data\Lab_results\[LabSamples2025_Bioplastic_extra.xlsx]extra_Bioplastic'!C644)," ",'Q:\Abteilungsprojekte\Eng\EngData\PROJECT_Bioplastics\Renjie_Pan\05-Raw_Data\Lab_results\[LabSamples2025_Bioplastic_extra.xlsx]extra_Bioplastic'!C644)</f>
        <v/>
      </c>
      <c r="D644">
        <f>IF(ISBLANK('Q:\Abteilungsprojekte\Eng\EngData\PROJECT_Bioplastics\Renjie_Pan\05-Raw_Data\Lab_results\[LabSamples2025_Bioplastic_extra.xlsx]extra_Bioplastic'!D644)," ",'Q:\Abteilungsprojekte\Eng\EngData\PROJECT_Bioplastics\Renjie_Pan\05-Raw_Data\Lab_results\[LabSamples2025_Bioplastic_extra.xlsx]extra_Bioplastic'!D644)</f>
        <v/>
      </c>
      <c r="E644">
        <f>IF(ISBLANK('Q:\Abteilungsprojekte\Eng\EngData\PROJECT_Bioplastics\Renjie_Pan\05-Raw_Data\Lab_results\[LabSamples2025_Bioplastic_extra.xlsx]extra_Bioplastic'!E644)," ",'Q:\Abteilungsprojekte\Eng\EngData\PROJECT_Bioplastics\Renjie_Pan\05-Raw_Data\Lab_results\[LabSamples2025_Bioplastic_extra.xlsx]extra_Bioplastic'!E644)</f>
        <v/>
      </c>
      <c r="F644">
        <f>IF(ISBLANK('Q:\Abteilungsprojekte\Eng\EngData\PROJECT_Bioplastics\Renjie_Pan\05-Raw_Data\Lab_results\[LabSamples2025_Bioplastic_extra.xlsx]extra_Bioplastic'!F644)," ",'Q:\Abteilungsprojekte\Eng\EngData\PROJECT_Bioplastics\Renjie_Pan\05-Raw_Data\Lab_results\[LabSamples2025_Bioplastic_extra.xlsx]extra_Bioplastic'!F644)</f>
        <v/>
      </c>
      <c r="G644">
        <f>IF(ISBLANK('Q:\Abteilungsprojekte\Eng\EngData\PROJECT_Bioplastics\Renjie_Pan\05-Raw_Data\Lab_results\[LabSamples2025_Bioplastic_extra.xlsx]extra_Bioplastic'!G644)," ",'Q:\Abteilungsprojekte\Eng\EngData\PROJECT_Bioplastics\Renjie_Pan\05-Raw_Data\Lab_results\[LabSamples2025_Bioplastic_extra.xlsx]extra_Bioplastic'!G644)</f>
        <v/>
      </c>
      <c r="H644">
        <f>IF(ISBLANK('Q:\Abteilungsprojekte\Eng\EngData\PROJECT_Bioplastics\Renjie_Pan\05-Raw_Data\Lab_results\[LabSamples2025_Bioplastic_extra.xlsx]extra_Bioplastic'!H644)," ",'Q:\Abteilungsprojekte\Eng\EngData\PROJECT_Bioplastics\Renjie_Pan\05-Raw_Data\Lab_results\[LabSamples2025_Bioplastic_extra.xlsx]extra_Bioplastic'!H644)</f>
        <v/>
      </c>
    </row>
    <row r="645">
      <c r="A645">
        <f>IF(ISBLANK('Q:\Abteilungsprojekte\Eng\EngData\PROJECT_Bioplastics\Renjie_Pan\05-Raw_Data\Lab_results\[LabSamples2025_Bioplastic_extra.xlsx]extra_Bioplastic'!A645)," ",'Q:\Abteilungsprojekte\Eng\EngData\PROJECT_Bioplastics\Renjie_Pan\05-Raw_Data\Lab_results\[LabSamples2025_Bioplastic_extra.xlsx]extra_Bioplastic'!A645)</f>
        <v/>
      </c>
      <c r="B645">
        <f>IF(ISBLANK('Q:\Abteilungsprojekte\Eng\EngData\PROJECT_Bioplastics\Renjie_Pan\05-Raw_Data\Lab_results\[LabSamples2025_Bioplastic_extra.xlsx]extra_Bioplastic'!B645)," ",'Q:\Abteilungsprojekte\Eng\EngData\PROJECT_Bioplastics\Renjie_Pan\05-Raw_Data\Lab_results\[LabSamples2025_Bioplastic_extra.xlsx]extra_Bioplastic'!B645)</f>
        <v/>
      </c>
      <c r="C645">
        <f>IF(ISBLANK('Q:\Abteilungsprojekte\Eng\EngData\PROJECT_Bioplastics\Renjie_Pan\05-Raw_Data\Lab_results\[LabSamples2025_Bioplastic_extra.xlsx]extra_Bioplastic'!C645)," ",'Q:\Abteilungsprojekte\Eng\EngData\PROJECT_Bioplastics\Renjie_Pan\05-Raw_Data\Lab_results\[LabSamples2025_Bioplastic_extra.xlsx]extra_Bioplastic'!C645)</f>
        <v/>
      </c>
      <c r="D645">
        <f>IF(ISBLANK('Q:\Abteilungsprojekte\Eng\EngData\PROJECT_Bioplastics\Renjie_Pan\05-Raw_Data\Lab_results\[LabSamples2025_Bioplastic_extra.xlsx]extra_Bioplastic'!D645)," ",'Q:\Abteilungsprojekte\Eng\EngData\PROJECT_Bioplastics\Renjie_Pan\05-Raw_Data\Lab_results\[LabSamples2025_Bioplastic_extra.xlsx]extra_Bioplastic'!D645)</f>
        <v/>
      </c>
      <c r="E645">
        <f>IF(ISBLANK('Q:\Abteilungsprojekte\Eng\EngData\PROJECT_Bioplastics\Renjie_Pan\05-Raw_Data\Lab_results\[LabSamples2025_Bioplastic_extra.xlsx]extra_Bioplastic'!E645)," ",'Q:\Abteilungsprojekte\Eng\EngData\PROJECT_Bioplastics\Renjie_Pan\05-Raw_Data\Lab_results\[LabSamples2025_Bioplastic_extra.xlsx]extra_Bioplastic'!E645)</f>
        <v/>
      </c>
      <c r="F645">
        <f>IF(ISBLANK('Q:\Abteilungsprojekte\Eng\EngData\PROJECT_Bioplastics\Renjie_Pan\05-Raw_Data\Lab_results\[LabSamples2025_Bioplastic_extra.xlsx]extra_Bioplastic'!F645)," ",'Q:\Abteilungsprojekte\Eng\EngData\PROJECT_Bioplastics\Renjie_Pan\05-Raw_Data\Lab_results\[LabSamples2025_Bioplastic_extra.xlsx]extra_Bioplastic'!F645)</f>
        <v/>
      </c>
      <c r="G645">
        <f>IF(ISBLANK('Q:\Abteilungsprojekte\Eng\EngData\PROJECT_Bioplastics\Renjie_Pan\05-Raw_Data\Lab_results\[LabSamples2025_Bioplastic_extra.xlsx]extra_Bioplastic'!G645)," ",'Q:\Abteilungsprojekte\Eng\EngData\PROJECT_Bioplastics\Renjie_Pan\05-Raw_Data\Lab_results\[LabSamples2025_Bioplastic_extra.xlsx]extra_Bioplastic'!G645)</f>
        <v/>
      </c>
      <c r="H645">
        <f>IF(ISBLANK('Q:\Abteilungsprojekte\Eng\EngData\PROJECT_Bioplastics\Renjie_Pan\05-Raw_Data\Lab_results\[LabSamples2025_Bioplastic_extra.xlsx]extra_Bioplastic'!H645)," ",'Q:\Abteilungsprojekte\Eng\EngData\PROJECT_Bioplastics\Renjie_Pan\05-Raw_Data\Lab_results\[LabSamples2025_Bioplastic_extra.xlsx]extra_Bioplastic'!H645)</f>
        <v/>
      </c>
    </row>
    <row r="646">
      <c r="A646">
        <f>IF(ISBLANK('Q:\Abteilungsprojekte\Eng\EngData\PROJECT_Bioplastics\Renjie_Pan\05-Raw_Data\Lab_results\[LabSamples2025_Bioplastic_extra.xlsx]extra_Bioplastic'!A646)," ",'Q:\Abteilungsprojekte\Eng\EngData\PROJECT_Bioplastics\Renjie_Pan\05-Raw_Data\Lab_results\[LabSamples2025_Bioplastic_extra.xlsx]extra_Bioplastic'!A646)</f>
        <v/>
      </c>
      <c r="B646">
        <f>IF(ISBLANK('Q:\Abteilungsprojekte\Eng\EngData\PROJECT_Bioplastics\Renjie_Pan\05-Raw_Data\Lab_results\[LabSamples2025_Bioplastic_extra.xlsx]extra_Bioplastic'!B646)," ",'Q:\Abteilungsprojekte\Eng\EngData\PROJECT_Bioplastics\Renjie_Pan\05-Raw_Data\Lab_results\[LabSamples2025_Bioplastic_extra.xlsx]extra_Bioplastic'!B646)</f>
        <v/>
      </c>
      <c r="C646">
        <f>IF(ISBLANK('Q:\Abteilungsprojekte\Eng\EngData\PROJECT_Bioplastics\Renjie_Pan\05-Raw_Data\Lab_results\[LabSamples2025_Bioplastic_extra.xlsx]extra_Bioplastic'!C646)," ",'Q:\Abteilungsprojekte\Eng\EngData\PROJECT_Bioplastics\Renjie_Pan\05-Raw_Data\Lab_results\[LabSamples2025_Bioplastic_extra.xlsx]extra_Bioplastic'!C646)</f>
        <v/>
      </c>
      <c r="D646">
        <f>IF(ISBLANK('Q:\Abteilungsprojekte\Eng\EngData\PROJECT_Bioplastics\Renjie_Pan\05-Raw_Data\Lab_results\[LabSamples2025_Bioplastic_extra.xlsx]extra_Bioplastic'!D646)," ",'Q:\Abteilungsprojekte\Eng\EngData\PROJECT_Bioplastics\Renjie_Pan\05-Raw_Data\Lab_results\[LabSamples2025_Bioplastic_extra.xlsx]extra_Bioplastic'!D646)</f>
        <v/>
      </c>
      <c r="E646">
        <f>IF(ISBLANK('Q:\Abteilungsprojekte\Eng\EngData\PROJECT_Bioplastics\Renjie_Pan\05-Raw_Data\Lab_results\[LabSamples2025_Bioplastic_extra.xlsx]extra_Bioplastic'!E646)," ",'Q:\Abteilungsprojekte\Eng\EngData\PROJECT_Bioplastics\Renjie_Pan\05-Raw_Data\Lab_results\[LabSamples2025_Bioplastic_extra.xlsx]extra_Bioplastic'!E646)</f>
        <v/>
      </c>
      <c r="F646">
        <f>IF(ISBLANK('Q:\Abteilungsprojekte\Eng\EngData\PROJECT_Bioplastics\Renjie_Pan\05-Raw_Data\Lab_results\[LabSamples2025_Bioplastic_extra.xlsx]extra_Bioplastic'!F646)," ",'Q:\Abteilungsprojekte\Eng\EngData\PROJECT_Bioplastics\Renjie_Pan\05-Raw_Data\Lab_results\[LabSamples2025_Bioplastic_extra.xlsx]extra_Bioplastic'!F646)</f>
        <v/>
      </c>
      <c r="G646">
        <f>IF(ISBLANK('Q:\Abteilungsprojekte\Eng\EngData\PROJECT_Bioplastics\Renjie_Pan\05-Raw_Data\Lab_results\[LabSamples2025_Bioplastic_extra.xlsx]extra_Bioplastic'!G646)," ",'Q:\Abteilungsprojekte\Eng\EngData\PROJECT_Bioplastics\Renjie_Pan\05-Raw_Data\Lab_results\[LabSamples2025_Bioplastic_extra.xlsx]extra_Bioplastic'!G646)</f>
        <v/>
      </c>
      <c r="H646">
        <f>IF(ISBLANK('Q:\Abteilungsprojekte\Eng\EngData\PROJECT_Bioplastics\Renjie_Pan\05-Raw_Data\Lab_results\[LabSamples2025_Bioplastic_extra.xlsx]extra_Bioplastic'!H646)," ",'Q:\Abteilungsprojekte\Eng\EngData\PROJECT_Bioplastics\Renjie_Pan\05-Raw_Data\Lab_results\[LabSamples2025_Bioplastic_extra.xlsx]extra_Bioplastic'!H646)</f>
        <v/>
      </c>
    </row>
    <row r="647">
      <c r="A647">
        <f>IF(ISBLANK('Q:\Abteilungsprojekte\Eng\EngData\PROJECT_Bioplastics\Renjie_Pan\05-Raw_Data\Lab_results\[LabSamples2025_Bioplastic_extra.xlsx]extra_Bioplastic'!A647)," ",'Q:\Abteilungsprojekte\Eng\EngData\PROJECT_Bioplastics\Renjie_Pan\05-Raw_Data\Lab_results\[LabSamples2025_Bioplastic_extra.xlsx]extra_Bioplastic'!A647)</f>
        <v/>
      </c>
      <c r="B647">
        <f>IF(ISBLANK('Q:\Abteilungsprojekte\Eng\EngData\PROJECT_Bioplastics\Renjie_Pan\05-Raw_Data\Lab_results\[LabSamples2025_Bioplastic_extra.xlsx]extra_Bioplastic'!B647)," ",'Q:\Abteilungsprojekte\Eng\EngData\PROJECT_Bioplastics\Renjie_Pan\05-Raw_Data\Lab_results\[LabSamples2025_Bioplastic_extra.xlsx]extra_Bioplastic'!B647)</f>
        <v/>
      </c>
      <c r="C647">
        <f>IF(ISBLANK('Q:\Abteilungsprojekte\Eng\EngData\PROJECT_Bioplastics\Renjie_Pan\05-Raw_Data\Lab_results\[LabSamples2025_Bioplastic_extra.xlsx]extra_Bioplastic'!C647)," ",'Q:\Abteilungsprojekte\Eng\EngData\PROJECT_Bioplastics\Renjie_Pan\05-Raw_Data\Lab_results\[LabSamples2025_Bioplastic_extra.xlsx]extra_Bioplastic'!C647)</f>
        <v/>
      </c>
      <c r="D647">
        <f>IF(ISBLANK('Q:\Abteilungsprojekte\Eng\EngData\PROJECT_Bioplastics\Renjie_Pan\05-Raw_Data\Lab_results\[LabSamples2025_Bioplastic_extra.xlsx]extra_Bioplastic'!D647)," ",'Q:\Abteilungsprojekte\Eng\EngData\PROJECT_Bioplastics\Renjie_Pan\05-Raw_Data\Lab_results\[LabSamples2025_Bioplastic_extra.xlsx]extra_Bioplastic'!D647)</f>
        <v/>
      </c>
      <c r="E647">
        <f>IF(ISBLANK('Q:\Abteilungsprojekte\Eng\EngData\PROJECT_Bioplastics\Renjie_Pan\05-Raw_Data\Lab_results\[LabSamples2025_Bioplastic_extra.xlsx]extra_Bioplastic'!E647)," ",'Q:\Abteilungsprojekte\Eng\EngData\PROJECT_Bioplastics\Renjie_Pan\05-Raw_Data\Lab_results\[LabSamples2025_Bioplastic_extra.xlsx]extra_Bioplastic'!E647)</f>
        <v/>
      </c>
      <c r="F647">
        <f>IF(ISBLANK('Q:\Abteilungsprojekte\Eng\EngData\PROJECT_Bioplastics\Renjie_Pan\05-Raw_Data\Lab_results\[LabSamples2025_Bioplastic_extra.xlsx]extra_Bioplastic'!F647)," ",'Q:\Abteilungsprojekte\Eng\EngData\PROJECT_Bioplastics\Renjie_Pan\05-Raw_Data\Lab_results\[LabSamples2025_Bioplastic_extra.xlsx]extra_Bioplastic'!F647)</f>
        <v/>
      </c>
      <c r="G647">
        <f>IF(ISBLANK('Q:\Abteilungsprojekte\Eng\EngData\PROJECT_Bioplastics\Renjie_Pan\05-Raw_Data\Lab_results\[LabSamples2025_Bioplastic_extra.xlsx]extra_Bioplastic'!G647)," ",'Q:\Abteilungsprojekte\Eng\EngData\PROJECT_Bioplastics\Renjie_Pan\05-Raw_Data\Lab_results\[LabSamples2025_Bioplastic_extra.xlsx]extra_Bioplastic'!G647)</f>
        <v/>
      </c>
      <c r="H647">
        <f>IF(ISBLANK('Q:\Abteilungsprojekte\Eng\EngData\PROJECT_Bioplastics\Renjie_Pan\05-Raw_Data\Lab_results\[LabSamples2025_Bioplastic_extra.xlsx]extra_Bioplastic'!H647)," ",'Q:\Abteilungsprojekte\Eng\EngData\PROJECT_Bioplastics\Renjie_Pan\05-Raw_Data\Lab_results\[LabSamples2025_Bioplastic_extra.xlsx]extra_Bioplastic'!H647)</f>
        <v/>
      </c>
    </row>
    <row r="648">
      <c r="A648">
        <f>IF(ISBLANK('Q:\Abteilungsprojekte\Eng\EngData\PROJECT_Bioplastics\Renjie_Pan\05-Raw_Data\Lab_results\[LabSamples2025_Bioplastic_extra.xlsx]extra_Bioplastic'!A648)," ",'Q:\Abteilungsprojekte\Eng\EngData\PROJECT_Bioplastics\Renjie_Pan\05-Raw_Data\Lab_results\[LabSamples2025_Bioplastic_extra.xlsx]extra_Bioplastic'!A648)</f>
        <v/>
      </c>
      <c r="B648">
        <f>IF(ISBLANK('Q:\Abteilungsprojekte\Eng\EngData\PROJECT_Bioplastics\Renjie_Pan\05-Raw_Data\Lab_results\[LabSamples2025_Bioplastic_extra.xlsx]extra_Bioplastic'!B648)," ",'Q:\Abteilungsprojekte\Eng\EngData\PROJECT_Bioplastics\Renjie_Pan\05-Raw_Data\Lab_results\[LabSamples2025_Bioplastic_extra.xlsx]extra_Bioplastic'!B648)</f>
        <v/>
      </c>
      <c r="C648">
        <f>IF(ISBLANK('Q:\Abteilungsprojekte\Eng\EngData\PROJECT_Bioplastics\Renjie_Pan\05-Raw_Data\Lab_results\[LabSamples2025_Bioplastic_extra.xlsx]extra_Bioplastic'!C648)," ",'Q:\Abteilungsprojekte\Eng\EngData\PROJECT_Bioplastics\Renjie_Pan\05-Raw_Data\Lab_results\[LabSamples2025_Bioplastic_extra.xlsx]extra_Bioplastic'!C648)</f>
        <v/>
      </c>
      <c r="D648">
        <f>IF(ISBLANK('Q:\Abteilungsprojekte\Eng\EngData\PROJECT_Bioplastics\Renjie_Pan\05-Raw_Data\Lab_results\[LabSamples2025_Bioplastic_extra.xlsx]extra_Bioplastic'!D648)," ",'Q:\Abteilungsprojekte\Eng\EngData\PROJECT_Bioplastics\Renjie_Pan\05-Raw_Data\Lab_results\[LabSamples2025_Bioplastic_extra.xlsx]extra_Bioplastic'!D648)</f>
        <v/>
      </c>
      <c r="E648">
        <f>IF(ISBLANK('Q:\Abteilungsprojekte\Eng\EngData\PROJECT_Bioplastics\Renjie_Pan\05-Raw_Data\Lab_results\[LabSamples2025_Bioplastic_extra.xlsx]extra_Bioplastic'!E648)," ",'Q:\Abteilungsprojekte\Eng\EngData\PROJECT_Bioplastics\Renjie_Pan\05-Raw_Data\Lab_results\[LabSamples2025_Bioplastic_extra.xlsx]extra_Bioplastic'!E648)</f>
        <v/>
      </c>
      <c r="F648">
        <f>IF(ISBLANK('Q:\Abteilungsprojekte\Eng\EngData\PROJECT_Bioplastics\Renjie_Pan\05-Raw_Data\Lab_results\[LabSamples2025_Bioplastic_extra.xlsx]extra_Bioplastic'!F648)," ",'Q:\Abteilungsprojekte\Eng\EngData\PROJECT_Bioplastics\Renjie_Pan\05-Raw_Data\Lab_results\[LabSamples2025_Bioplastic_extra.xlsx]extra_Bioplastic'!F648)</f>
        <v/>
      </c>
      <c r="G648">
        <f>IF(ISBLANK('Q:\Abteilungsprojekte\Eng\EngData\PROJECT_Bioplastics\Renjie_Pan\05-Raw_Data\Lab_results\[LabSamples2025_Bioplastic_extra.xlsx]extra_Bioplastic'!G648)," ",'Q:\Abteilungsprojekte\Eng\EngData\PROJECT_Bioplastics\Renjie_Pan\05-Raw_Data\Lab_results\[LabSamples2025_Bioplastic_extra.xlsx]extra_Bioplastic'!G648)</f>
        <v/>
      </c>
      <c r="H648">
        <f>IF(ISBLANK('Q:\Abteilungsprojekte\Eng\EngData\PROJECT_Bioplastics\Renjie_Pan\05-Raw_Data\Lab_results\[LabSamples2025_Bioplastic_extra.xlsx]extra_Bioplastic'!H648)," ",'Q:\Abteilungsprojekte\Eng\EngData\PROJECT_Bioplastics\Renjie_Pan\05-Raw_Data\Lab_results\[LabSamples2025_Bioplastic_extra.xlsx]extra_Bioplastic'!H648)</f>
        <v/>
      </c>
    </row>
    <row r="649">
      <c r="A649">
        <f>IF(ISBLANK('Q:\Abteilungsprojekte\Eng\EngData\PROJECT_Bioplastics\Renjie_Pan\05-Raw_Data\Lab_results\[LabSamples2025_Bioplastic_extra.xlsx]extra_Bioplastic'!A649)," ",'Q:\Abteilungsprojekte\Eng\EngData\PROJECT_Bioplastics\Renjie_Pan\05-Raw_Data\Lab_results\[LabSamples2025_Bioplastic_extra.xlsx]extra_Bioplastic'!A649)</f>
        <v/>
      </c>
      <c r="B649">
        <f>IF(ISBLANK('Q:\Abteilungsprojekte\Eng\EngData\PROJECT_Bioplastics\Renjie_Pan\05-Raw_Data\Lab_results\[LabSamples2025_Bioplastic_extra.xlsx]extra_Bioplastic'!B649)," ",'Q:\Abteilungsprojekte\Eng\EngData\PROJECT_Bioplastics\Renjie_Pan\05-Raw_Data\Lab_results\[LabSamples2025_Bioplastic_extra.xlsx]extra_Bioplastic'!B649)</f>
        <v/>
      </c>
      <c r="C649">
        <f>IF(ISBLANK('Q:\Abteilungsprojekte\Eng\EngData\PROJECT_Bioplastics\Renjie_Pan\05-Raw_Data\Lab_results\[LabSamples2025_Bioplastic_extra.xlsx]extra_Bioplastic'!C649)," ",'Q:\Abteilungsprojekte\Eng\EngData\PROJECT_Bioplastics\Renjie_Pan\05-Raw_Data\Lab_results\[LabSamples2025_Bioplastic_extra.xlsx]extra_Bioplastic'!C649)</f>
        <v/>
      </c>
      <c r="D649">
        <f>IF(ISBLANK('Q:\Abteilungsprojekte\Eng\EngData\PROJECT_Bioplastics\Renjie_Pan\05-Raw_Data\Lab_results\[LabSamples2025_Bioplastic_extra.xlsx]extra_Bioplastic'!D649)," ",'Q:\Abteilungsprojekte\Eng\EngData\PROJECT_Bioplastics\Renjie_Pan\05-Raw_Data\Lab_results\[LabSamples2025_Bioplastic_extra.xlsx]extra_Bioplastic'!D649)</f>
        <v/>
      </c>
      <c r="E649">
        <f>IF(ISBLANK('Q:\Abteilungsprojekte\Eng\EngData\PROJECT_Bioplastics\Renjie_Pan\05-Raw_Data\Lab_results\[LabSamples2025_Bioplastic_extra.xlsx]extra_Bioplastic'!E649)," ",'Q:\Abteilungsprojekte\Eng\EngData\PROJECT_Bioplastics\Renjie_Pan\05-Raw_Data\Lab_results\[LabSamples2025_Bioplastic_extra.xlsx]extra_Bioplastic'!E649)</f>
        <v/>
      </c>
      <c r="F649">
        <f>IF(ISBLANK('Q:\Abteilungsprojekte\Eng\EngData\PROJECT_Bioplastics\Renjie_Pan\05-Raw_Data\Lab_results\[LabSamples2025_Bioplastic_extra.xlsx]extra_Bioplastic'!F649)," ",'Q:\Abteilungsprojekte\Eng\EngData\PROJECT_Bioplastics\Renjie_Pan\05-Raw_Data\Lab_results\[LabSamples2025_Bioplastic_extra.xlsx]extra_Bioplastic'!F649)</f>
        <v/>
      </c>
      <c r="G649">
        <f>IF(ISBLANK('Q:\Abteilungsprojekte\Eng\EngData\PROJECT_Bioplastics\Renjie_Pan\05-Raw_Data\Lab_results\[LabSamples2025_Bioplastic_extra.xlsx]extra_Bioplastic'!G649)," ",'Q:\Abteilungsprojekte\Eng\EngData\PROJECT_Bioplastics\Renjie_Pan\05-Raw_Data\Lab_results\[LabSamples2025_Bioplastic_extra.xlsx]extra_Bioplastic'!G649)</f>
        <v/>
      </c>
      <c r="H649">
        <f>IF(ISBLANK('Q:\Abteilungsprojekte\Eng\EngData\PROJECT_Bioplastics\Renjie_Pan\05-Raw_Data\Lab_results\[LabSamples2025_Bioplastic_extra.xlsx]extra_Bioplastic'!H649)," ",'Q:\Abteilungsprojekte\Eng\EngData\PROJECT_Bioplastics\Renjie_Pan\05-Raw_Data\Lab_results\[LabSamples2025_Bioplastic_extra.xlsx]extra_Bioplastic'!H649)</f>
        <v/>
      </c>
    </row>
    <row r="650">
      <c r="A650">
        <f>IF(ISBLANK('Q:\Abteilungsprojekte\Eng\EngData\PROJECT_Bioplastics\Renjie_Pan\05-Raw_Data\Lab_results\[LabSamples2025_Bioplastic_extra.xlsx]extra_Bioplastic'!A650)," ",'Q:\Abteilungsprojekte\Eng\EngData\PROJECT_Bioplastics\Renjie_Pan\05-Raw_Data\Lab_results\[LabSamples2025_Bioplastic_extra.xlsx]extra_Bioplastic'!A650)</f>
        <v/>
      </c>
      <c r="B650">
        <f>IF(ISBLANK('Q:\Abteilungsprojekte\Eng\EngData\PROJECT_Bioplastics\Renjie_Pan\05-Raw_Data\Lab_results\[LabSamples2025_Bioplastic_extra.xlsx]extra_Bioplastic'!B650)," ",'Q:\Abteilungsprojekte\Eng\EngData\PROJECT_Bioplastics\Renjie_Pan\05-Raw_Data\Lab_results\[LabSamples2025_Bioplastic_extra.xlsx]extra_Bioplastic'!B650)</f>
        <v/>
      </c>
      <c r="C650">
        <f>IF(ISBLANK('Q:\Abteilungsprojekte\Eng\EngData\PROJECT_Bioplastics\Renjie_Pan\05-Raw_Data\Lab_results\[LabSamples2025_Bioplastic_extra.xlsx]extra_Bioplastic'!C650)," ",'Q:\Abteilungsprojekte\Eng\EngData\PROJECT_Bioplastics\Renjie_Pan\05-Raw_Data\Lab_results\[LabSamples2025_Bioplastic_extra.xlsx]extra_Bioplastic'!C650)</f>
        <v/>
      </c>
      <c r="D650">
        <f>IF(ISBLANK('Q:\Abteilungsprojekte\Eng\EngData\PROJECT_Bioplastics\Renjie_Pan\05-Raw_Data\Lab_results\[LabSamples2025_Bioplastic_extra.xlsx]extra_Bioplastic'!D650)," ",'Q:\Abteilungsprojekte\Eng\EngData\PROJECT_Bioplastics\Renjie_Pan\05-Raw_Data\Lab_results\[LabSamples2025_Bioplastic_extra.xlsx]extra_Bioplastic'!D650)</f>
        <v/>
      </c>
      <c r="E650">
        <f>IF(ISBLANK('Q:\Abteilungsprojekte\Eng\EngData\PROJECT_Bioplastics\Renjie_Pan\05-Raw_Data\Lab_results\[LabSamples2025_Bioplastic_extra.xlsx]extra_Bioplastic'!E650)," ",'Q:\Abteilungsprojekte\Eng\EngData\PROJECT_Bioplastics\Renjie_Pan\05-Raw_Data\Lab_results\[LabSamples2025_Bioplastic_extra.xlsx]extra_Bioplastic'!E650)</f>
        <v/>
      </c>
      <c r="F650">
        <f>IF(ISBLANK('Q:\Abteilungsprojekte\Eng\EngData\PROJECT_Bioplastics\Renjie_Pan\05-Raw_Data\Lab_results\[LabSamples2025_Bioplastic_extra.xlsx]extra_Bioplastic'!F650)," ",'Q:\Abteilungsprojekte\Eng\EngData\PROJECT_Bioplastics\Renjie_Pan\05-Raw_Data\Lab_results\[LabSamples2025_Bioplastic_extra.xlsx]extra_Bioplastic'!F650)</f>
        <v/>
      </c>
      <c r="G650">
        <f>IF(ISBLANK('Q:\Abteilungsprojekte\Eng\EngData\PROJECT_Bioplastics\Renjie_Pan\05-Raw_Data\Lab_results\[LabSamples2025_Bioplastic_extra.xlsx]extra_Bioplastic'!G650)," ",'Q:\Abteilungsprojekte\Eng\EngData\PROJECT_Bioplastics\Renjie_Pan\05-Raw_Data\Lab_results\[LabSamples2025_Bioplastic_extra.xlsx]extra_Bioplastic'!G650)</f>
        <v/>
      </c>
      <c r="H650">
        <f>IF(ISBLANK('Q:\Abteilungsprojekte\Eng\EngData\PROJECT_Bioplastics\Renjie_Pan\05-Raw_Data\Lab_results\[LabSamples2025_Bioplastic_extra.xlsx]extra_Bioplastic'!H650)," ",'Q:\Abteilungsprojekte\Eng\EngData\PROJECT_Bioplastics\Renjie_Pan\05-Raw_Data\Lab_results\[LabSamples2025_Bioplastic_extra.xlsx]extra_Bioplastic'!H650)</f>
        <v/>
      </c>
    </row>
    <row r="651">
      <c r="A651">
        <f>IF(ISBLANK('Q:\Abteilungsprojekte\Eng\EngData\PROJECT_Bioplastics\Renjie_Pan\05-Raw_Data\Lab_results\[LabSamples2025_Bioplastic_extra.xlsx]extra_Bioplastic'!A651)," ",'Q:\Abteilungsprojekte\Eng\EngData\PROJECT_Bioplastics\Renjie_Pan\05-Raw_Data\Lab_results\[LabSamples2025_Bioplastic_extra.xlsx]extra_Bioplastic'!A651)</f>
        <v/>
      </c>
      <c r="B651">
        <f>IF(ISBLANK('Q:\Abteilungsprojekte\Eng\EngData\PROJECT_Bioplastics\Renjie_Pan\05-Raw_Data\Lab_results\[LabSamples2025_Bioplastic_extra.xlsx]extra_Bioplastic'!B651)," ",'Q:\Abteilungsprojekte\Eng\EngData\PROJECT_Bioplastics\Renjie_Pan\05-Raw_Data\Lab_results\[LabSamples2025_Bioplastic_extra.xlsx]extra_Bioplastic'!B651)</f>
        <v/>
      </c>
      <c r="C651">
        <f>IF(ISBLANK('Q:\Abteilungsprojekte\Eng\EngData\PROJECT_Bioplastics\Renjie_Pan\05-Raw_Data\Lab_results\[LabSamples2025_Bioplastic_extra.xlsx]extra_Bioplastic'!C651)," ",'Q:\Abteilungsprojekte\Eng\EngData\PROJECT_Bioplastics\Renjie_Pan\05-Raw_Data\Lab_results\[LabSamples2025_Bioplastic_extra.xlsx]extra_Bioplastic'!C651)</f>
        <v/>
      </c>
      <c r="D651">
        <f>IF(ISBLANK('Q:\Abteilungsprojekte\Eng\EngData\PROJECT_Bioplastics\Renjie_Pan\05-Raw_Data\Lab_results\[LabSamples2025_Bioplastic_extra.xlsx]extra_Bioplastic'!D651)," ",'Q:\Abteilungsprojekte\Eng\EngData\PROJECT_Bioplastics\Renjie_Pan\05-Raw_Data\Lab_results\[LabSamples2025_Bioplastic_extra.xlsx]extra_Bioplastic'!D651)</f>
        <v/>
      </c>
      <c r="E651">
        <f>IF(ISBLANK('Q:\Abteilungsprojekte\Eng\EngData\PROJECT_Bioplastics\Renjie_Pan\05-Raw_Data\Lab_results\[LabSamples2025_Bioplastic_extra.xlsx]extra_Bioplastic'!E651)," ",'Q:\Abteilungsprojekte\Eng\EngData\PROJECT_Bioplastics\Renjie_Pan\05-Raw_Data\Lab_results\[LabSamples2025_Bioplastic_extra.xlsx]extra_Bioplastic'!E651)</f>
        <v/>
      </c>
      <c r="F651">
        <f>IF(ISBLANK('Q:\Abteilungsprojekte\Eng\EngData\PROJECT_Bioplastics\Renjie_Pan\05-Raw_Data\Lab_results\[LabSamples2025_Bioplastic_extra.xlsx]extra_Bioplastic'!F651)," ",'Q:\Abteilungsprojekte\Eng\EngData\PROJECT_Bioplastics\Renjie_Pan\05-Raw_Data\Lab_results\[LabSamples2025_Bioplastic_extra.xlsx]extra_Bioplastic'!F651)</f>
        <v/>
      </c>
      <c r="G651">
        <f>IF(ISBLANK('Q:\Abteilungsprojekte\Eng\EngData\PROJECT_Bioplastics\Renjie_Pan\05-Raw_Data\Lab_results\[LabSamples2025_Bioplastic_extra.xlsx]extra_Bioplastic'!G651)," ",'Q:\Abteilungsprojekte\Eng\EngData\PROJECT_Bioplastics\Renjie_Pan\05-Raw_Data\Lab_results\[LabSamples2025_Bioplastic_extra.xlsx]extra_Bioplastic'!G651)</f>
        <v/>
      </c>
      <c r="H651">
        <f>IF(ISBLANK('Q:\Abteilungsprojekte\Eng\EngData\PROJECT_Bioplastics\Renjie_Pan\05-Raw_Data\Lab_results\[LabSamples2025_Bioplastic_extra.xlsx]extra_Bioplastic'!H651)," ",'Q:\Abteilungsprojekte\Eng\EngData\PROJECT_Bioplastics\Renjie_Pan\05-Raw_Data\Lab_results\[LabSamples2025_Bioplastic_extra.xlsx]extra_Bioplastic'!H651)</f>
        <v/>
      </c>
    </row>
    <row r="652">
      <c r="A652">
        <f>IF(ISBLANK('Q:\Abteilungsprojekte\Eng\EngData\PROJECT_Bioplastics\Renjie_Pan\05-Raw_Data\Lab_results\[LabSamples2025_Bioplastic_extra.xlsx]extra_Bioplastic'!A652)," ",'Q:\Abteilungsprojekte\Eng\EngData\PROJECT_Bioplastics\Renjie_Pan\05-Raw_Data\Lab_results\[LabSamples2025_Bioplastic_extra.xlsx]extra_Bioplastic'!A652)</f>
        <v/>
      </c>
      <c r="B652">
        <f>IF(ISBLANK('Q:\Abteilungsprojekte\Eng\EngData\PROJECT_Bioplastics\Renjie_Pan\05-Raw_Data\Lab_results\[LabSamples2025_Bioplastic_extra.xlsx]extra_Bioplastic'!B652)," ",'Q:\Abteilungsprojekte\Eng\EngData\PROJECT_Bioplastics\Renjie_Pan\05-Raw_Data\Lab_results\[LabSamples2025_Bioplastic_extra.xlsx]extra_Bioplastic'!B652)</f>
        <v/>
      </c>
      <c r="C652">
        <f>IF(ISBLANK('Q:\Abteilungsprojekte\Eng\EngData\PROJECT_Bioplastics\Renjie_Pan\05-Raw_Data\Lab_results\[LabSamples2025_Bioplastic_extra.xlsx]extra_Bioplastic'!C652)," ",'Q:\Abteilungsprojekte\Eng\EngData\PROJECT_Bioplastics\Renjie_Pan\05-Raw_Data\Lab_results\[LabSamples2025_Bioplastic_extra.xlsx]extra_Bioplastic'!C652)</f>
        <v/>
      </c>
      <c r="D652">
        <f>IF(ISBLANK('Q:\Abteilungsprojekte\Eng\EngData\PROJECT_Bioplastics\Renjie_Pan\05-Raw_Data\Lab_results\[LabSamples2025_Bioplastic_extra.xlsx]extra_Bioplastic'!D652)," ",'Q:\Abteilungsprojekte\Eng\EngData\PROJECT_Bioplastics\Renjie_Pan\05-Raw_Data\Lab_results\[LabSamples2025_Bioplastic_extra.xlsx]extra_Bioplastic'!D652)</f>
        <v/>
      </c>
      <c r="E652">
        <f>IF(ISBLANK('Q:\Abteilungsprojekte\Eng\EngData\PROJECT_Bioplastics\Renjie_Pan\05-Raw_Data\Lab_results\[LabSamples2025_Bioplastic_extra.xlsx]extra_Bioplastic'!E652)," ",'Q:\Abteilungsprojekte\Eng\EngData\PROJECT_Bioplastics\Renjie_Pan\05-Raw_Data\Lab_results\[LabSamples2025_Bioplastic_extra.xlsx]extra_Bioplastic'!E652)</f>
        <v/>
      </c>
      <c r="F652">
        <f>IF(ISBLANK('Q:\Abteilungsprojekte\Eng\EngData\PROJECT_Bioplastics\Renjie_Pan\05-Raw_Data\Lab_results\[LabSamples2025_Bioplastic_extra.xlsx]extra_Bioplastic'!F652)," ",'Q:\Abteilungsprojekte\Eng\EngData\PROJECT_Bioplastics\Renjie_Pan\05-Raw_Data\Lab_results\[LabSamples2025_Bioplastic_extra.xlsx]extra_Bioplastic'!F652)</f>
        <v/>
      </c>
      <c r="G652">
        <f>IF(ISBLANK('Q:\Abteilungsprojekte\Eng\EngData\PROJECT_Bioplastics\Renjie_Pan\05-Raw_Data\Lab_results\[LabSamples2025_Bioplastic_extra.xlsx]extra_Bioplastic'!G652)," ",'Q:\Abteilungsprojekte\Eng\EngData\PROJECT_Bioplastics\Renjie_Pan\05-Raw_Data\Lab_results\[LabSamples2025_Bioplastic_extra.xlsx]extra_Bioplastic'!G652)</f>
        <v/>
      </c>
      <c r="H652">
        <f>IF(ISBLANK('Q:\Abteilungsprojekte\Eng\EngData\PROJECT_Bioplastics\Renjie_Pan\05-Raw_Data\Lab_results\[LabSamples2025_Bioplastic_extra.xlsx]extra_Bioplastic'!H652)," ",'Q:\Abteilungsprojekte\Eng\EngData\PROJECT_Bioplastics\Renjie_Pan\05-Raw_Data\Lab_results\[LabSamples2025_Bioplastic_extra.xlsx]extra_Bioplastic'!H652)</f>
        <v/>
      </c>
    </row>
    <row r="653">
      <c r="A653">
        <f>IF(ISBLANK('Q:\Abteilungsprojekte\Eng\EngData\PROJECT_Bioplastics\Renjie_Pan\05-Raw_Data\Lab_results\[LabSamples2025_Bioplastic_extra.xlsx]extra_Bioplastic'!A653)," ",'Q:\Abteilungsprojekte\Eng\EngData\PROJECT_Bioplastics\Renjie_Pan\05-Raw_Data\Lab_results\[LabSamples2025_Bioplastic_extra.xlsx]extra_Bioplastic'!A653)</f>
        <v/>
      </c>
      <c r="B653">
        <f>IF(ISBLANK('Q:\Abteilungsprojekte\Eng\EngData\PROJECT_Bioplastics\Renjie_Pan\05-Raw_Data\Lab_results\[LabSamples2025_Bioplastic_extra.xlsx]extra_Bioplastic'!B653)," ",'Q:\Abteilungsprojekte\Eng\EngData\PROJECT_Bioplastics\Renjie_Pan\05-Raw_Data\Lab_results\[LabSamples2025_Bioplastic_extra.xlsx]extra_Bioplastic'!B653)</f>
        <v/>
      </c>
      <c r="C653">
        <f>IF(ISBLANK('Q:\Abteilungsprojekte\Eng\EngData\PROJECT_Bioplastics\Renjie_Pan\05-Raw_Data\Lab_results\[LabSamples2025_Bioplastic_extra.xlsx]extra_Bioplastic'!C653)," ",'Q:\Abteilungsprojekte\Eng\EngData\PROJECT_Bioplastics\Renjie_Pan\05-Raw_Data\Lab_results\[LabSamples2025_Bioplastic_extra.xlsx]extra_Bioplastic'!C653)</f>
        <v/>
      </c>
      <c r="D653">
        <f>IF(ISBLANK('Q:\Abteilungsprojekte\Eng\EngData\PROJECT_Bioplastics\Renjie_Pan\05-Raw_Data\Lab_results\[LabSamples2025_Bioplastic_extra.xlsx]extra_Bioplastic'!D653)," ",'Q:\Abteilungsprojekte\Eng\EngData\PROJECT_Bioplastics\Renjie_Pan\05-Raw_Data\Lab_results\[LabSamples2025_Bioplastic_extra.xlsx]extra_Bioplastic'!D653)</f>
        <v/>
      </c>
      <c r="E653">
        <f>IF(ISBLANK('Q:\Abteilungsprojekte\Eng\EngData\PROJECT_Bioplastics\Renjie_Pan\05-Raw_Data\Lab_results\[LabSamples2025_Bioplastic_extra.xlsx]extra_Bioplastic'!E653)," ",'Q:\Abteilungsprojekte\Eng\EngData\PROJECT_Bioplastics\Renjie_Pan\05-Raw_Data\Lab_results\[LabSamples2025_Bioplastic_extra.xlsx]extra_Bioplastic'!E653)</f>
        <v/>
      </c>
      <c r="F653">
        <f>IF(ISBLANK('Q:\Abteilungsprojekte\Eng\EngData\PROJECT_Bioplastics\Renjie_Pan\05-Raw_Data\Lab_results\[LabSamples2025_Bioplastic_extra.xlsx]extra_Bioplastic'!F653)," ",'Q:\Abteilungsprojekte\Eng\EngData\PROJECT_Bioplastics\Renjie_Pan\05-Raw_Data\Lab_results\[LabSamples2025_Bioplastic_extra.xlsx]extra_Bioplastic'!F653)</f>
        <v/>
      </c>
      <c r="G653">
        <f>IF(ISBLANK('Q:\Abteilungsprojekte\Eng\EngData\PROJECT_Bioplastics\Renjie_Pan\05-Raw_Data\Lab_results\[LabSamples2025_Bioplastic_extra.xlsx]extra_Bioplastic'!G653)," ",'Q:\Abteilungsprojekte\Eng\EngData\PROJECT_Bioplastics\Renjie_Pan\05-Raw_Data\Lab_results\[LabSamples2025_Bioplastic_extra.xlsx]extra_Bioplastic'!G653)</f>
        <v/>
      </c>
      <c r="H653">
        <f>IF(ISBLANK('Q:\Abteilungsprojekte\Eng\EngData\PROJECT_Bioplastics\Renjie_Pan\05-Raw_Data\Lab_results\[LabSamples2025_Bioplastic_extra.xlsx]extra_Bioplastic'!H653)," ",'Q:\Abteilungsprojekte\Eng\EngData\PROJECT_Bioplastics\Renjie_Pan\05-Raw_Data\Lab_results\[LabSamples2025_Bioplastic_extra.xlsx]extra_Bioplastic'!H653)</f>
        <v/>
      </c>
    </row>
    <row r="654">
      <c r="A654">
        <f>IF(ISBLANK('Q:\Abteilungsprojekte\Eng\EngData\PROJECT_Bioplastics\Renjie_Pan\05-Raw_Data\Lab_results\[LabSamples2025_Bioplastic_extra.xlsx]extra_Bioplastic'!A654)," ",'Q:\Abteilungsprojekte\Eng\EngData\PROJECT_Bioplastics\Renjie_Pan\05-Raw_Data\Lab_results\[LabSamples2025_Bioplastic_extra.xlsx]extra_Bioplastic'!A654)</f>
        <v/>
      </c>
      <c r="B654">
        <f>IF(ISBLANK('Q:\Abteilungsprojekte\Eng\EngData\PROJECT_Bioplastics\Renjie_Pan\05-Raw_Data\Lab_results\[LabSamples2025_Bioplastic_extra.xlsx]extra_Bioplastic'!B654)," ",'Q:\Abteilungsprojekte\Eng\EngData\PROJECT_Bioplastics\Renjie_Pan\05-Raw_Data\Lab_results\[LabSamples2025_Bioplastic_extra.xlsx]extra_Bioplastic'!B654)</f>
        <v/>
      </c>
      <c r="C654">
        <f>IF(ISBLANK('Q:\Abteilungsprojekte\Eng\EngData\PROJECT_Bioplastics\Renjie_Pan\05-Raw_Data\Lab_results\[LabSamples2025_Bioplastic_extra.xlsx]extra_Bioplastic'!C654)," ",'Q:\Abteilungsprojekte\Eng\EngData\PROJECT_Bioplastics\Renjie_Pan\05-Raw_Data\Lab_results\[LabSamples2025_Bioplastic_extra.xlsx]extra_Bioplastic'!C654)</f>
        <v/>
      </c>
      <c r="D654">
        <f>IF(ISBLANK('Q:\Abteilungsprojekte\Eng\EngData\PROJECT_Bioplastics\Renjie_Pan\05-Raw_Data\Lab_results\[LabSamples2025_Bioplastic_extra.xlsx]extra_Bioplastic'!D654)," ",'Q:\Abteilungsprojekte\Eng\EngData\PROJECT_Bioplastics\Renjie_Pan\05-Raw_Data\Lab_results\[LabSamples2025_Bioplastic_extra.xlsx]extra_Bioplastic'!D654)</f>
        <v/>
      </c>
      <c r="E654">
        <f>IF(ISBLANK('Q:\Abteilungsprojekte\Eng\EngData\PROJECT_Bioplastics\Renjie_Pan\05-Raw_Data\Lab_results\[LabSamples2025_Bioplastic_extra.xlsx]extra_Bioplastic'!E654)," ",'Q:\Abteilungsprojekte\Eng\EngData\PROJECT_Bioplastics\Renjie_Pan\05-Raw_Data\Lab_results\[LabSamples2025_Bioplastic_extra.xlsx]extra_Bioplastic'!E654)</f>
        <v/>
      </c>
      <c r="F654">
        <f>IF(ISBLANK('Q:\Abteilungsprojekte\Eng\EngData\PROJECT_Bioplastics\Renjie_Pan\05-Raw_Data\Lab_results\[LabSamples2025_Bioplastic_extra.xlsx]extra_Bioplastic'!F654)," ",'Q:\Abteilungsprojekte\Eng\EngData\PROJECT_Bioplastics\Renjie_Pan\05-Raw_Data\Lab_results\[LabSamples2025_Bioplastic_extra.xlsx]extra_Bioplastic'!F654)</f>
        <v/>
      </c>
      <c r="G654">
        <f>IF(ISBLANK('Q:\Abteilungsprojekte\Eng\EngData\PROJECT_Bioplastics\Renjie_Pan\05-Raw_Data\Lab_results\[LabSamples2025_Bioplastic_extra.xlsx]extra_Bioplastic'!G654)," ",'Q:\Abteilungsprojekte\Eng\EngData\PROJECT_Bioplastics\Renjie_Pan\05-Raw_Data\Lab_results\[LabSamples2025_Bioplastic_extra.xlsx]extra_Bioplastic'!G654)</f>
        <v/>
      </c>
      <c r="H654">
        <f>IF(ISBLANK('Q:\Abteilungsprojekte\Eng\EngData\PROJECT_Bioplastics\Renjie_Pan\05-Raw_Data\Lab_results\[LabSamples2025_Bioplastic_extra.xlsx]extra_Bioplastic'!H654)," ",'Q:\Abteilungsprojekte\Eng\EngData\PROJECT_Bioplastics\Renjie_Pan\05-Raw_Data\Lab_results\[LabSamples2025_Bioplastic_extra.xlsx]extra_Bioplastic'!H654)</f>
        <v/>
      </c>
    </row>
    <row r="655">
      <c r="A655">
        <f>IF(ISBLANK('Q:\Abteilungsprojekte\Eng\EngData\PROJECT_Bioplastics\Renjie_Pan\05-Raw_Data\Lab_results\[LabSamples2025_Bioplastic_extra.xlsx]extra_Bioplastic'!A655)," ",'Q:\Abteilungsprojekte\Eng\EngData\PROJECT_Bioplastics\Renjie_Pan\05-Raw_Data\Lab_results\[LabSamples2025_Bioplastic_extra.xlsx]extra_Bioplastic'!A655)</f>
        <v/>
      </c>
      <c r="B655">
        <f>IF(ISBLANK('Q:\Abteilungsprojekte\Eng\EngData\PROJECT_Bioplastics\Renjie_Pan\05-Raw_Data\Lab_results\[LabSamples2025_Bioplastic_extra.xlsx]extra_Bioplastic'!B655)," ",'Q:\Abteilungsprojekte\Eng\EngData\PROJECT_Bioplastics\Renjie_Pan\05-Raw_Data\Lab_results\[LabSamples2025_Bioplastic_extra.xlsx]extra_Bioplastic'!B655)</f>
        <v/>
      </c>
      <c r="C655">
        <f>IF(ISBLANK('Q:\Abteilungsprojekte\Eng\EngData\PROJECT_Bioplastics\Renjie_Pan\05-Raw_Data\Lab_results\[LabSamples2025_Bioplastic_extra.xlsx]extra_Bioplastic'!C655)," ",'Q:\Abteilungsprojekte\Eng\EngData\PROJECT_Bioplastics\Renjie_Pan\05-Raw_Data\Lab_results\[LabSamples2025_Bioplastic_extra.xlsx]extra_Bioplastic'!C655)</f>
        <v/>
      </c>
      <c r="D655">
        <f>IF(ISBLANK('Q:\Abteilungsprojekte\Eng\EngData\PROJECT_Bioplastics\Renjie_Pan\05-Raw_Data\Lab_results\[LabSamples2025_Bioplastic_extra.xlsx]extra_Bioplastic'!D655)," ",'Q:\Abteilungsprojekte\Eng\EngData\PROJECT_Bioplastics\Renjie_Pan\05-Raw_Data\Lab_results\[LabSamples2025_Bioplastic_extra.xlsx]extra_Bioplastic'!D655)</f>
        <v/>
      </c>
      <c r="E655">
        <f>IF(ISBLANK('Q:\Abteilungsprojekte\Eng\EngData\PROJECT_Bioplastics\Renjie_Pan\05-Raw_Data\Lab_results\[LabSamples2025_Bioplastic_extra.xlsx]extra_Bioplastic'!E655)," ",'Q:\Abteilungsprojekte\Eng\EngData\PROJECT_Bioplastics\Renjie_Pan\05-Raw_Data\Lab_results\[LabSamples2025_Bioplastic_extra.xlsx]extra_Bioplastic'!E655)</f>
        <v/>
      </c>
      <c r="F655">
        <f>IF(ISBLANK('Q:\Abteilungsprojekte\Eng\EngData\PROJECT_Bioplastics\Renjie_Pan\05-Raw_Data\Lab_results\[LabSamples2025_Bioplastic_extra.xlsx]extra_Bioplastic'!F655)," ",'Q:\Abteilungsprojekte\Eng\EngData\PROJECT_Bioplastics\Renjie_Pan\05-Raw_Data\Lab_results\[LabSamples2025_Bioplastic_extra.xlsx]extra_Bioplastic'!F655)</f>
        <v/>
      </c>
      <c r="G655">
        <f>IF(ISBLANK('Q:\Abteilungsprojekte\Eng\EngData\PROJECT_Bioplastics\Renjie_Pan\05-Raw_Data\Lab_results\[LabSamples2025_Bioplastic_extra.xlsx]extra_Bioplastic'!G655)," ",'Q:\Abteilungsprojekte\Eng\EngData\PROJECT_Bioplastics\Renjie_Pan\05-Raw_Data\Lab_results\[LabSamples2025_Bioplastic_extra.xlsx]extra_Bioplastic'!G655)</f>
        <v/>
      </c>
      <c r="H655">
        <f>IF(ISBLANK('Q:\Abteilungsprojekte\Eng\EngData\PROJECT_Bioplastics\Renjie_Pan\05-Raw_Data\Lab_results\[LabSamples2025_Bioplastic_extra.xlsx]extra_Bioplastic'!H655)," ",'Q:\Abteilungsprojekte\Eng\EngData\PROJECT_Bioplastics\Renjie_Pan\05-Raw_Data\Lab_results\[LabSamples2025_Bioplastic_extra.xlsx]extra_Bioplastic'!H655)</f>
        <v/>
      </c>
    </row>
    <row r="656">
      <c r="A656">
        <f>IF(ISBLANK('Q:\Abteilungsprojekte\Eng\EngData\PROJECT_Bioplastics\Renjie_Pan\05-Raw_Data\Lab_results\[LabSamples2025_Bioplastic_extra.xlsx]extra_Bioplastic'!A656)," ",'Q:\Abteilungsprojekte\Eng\EngData\PROJECT_Bioplastics\Renjie_Pan\05-Raw_Data\Lab_results\[LabSamples2025_Bioplastic_extra.xlsx]extra_Bioplastic'!A656)</f>
        <v/>
      </c>
      <c r="B656">
        <f>IF(ISBLANK('Q:\Abteilungsprojekte\Eng\EngData\PROJECT_Bioplastics\Renjie_Pan\05-Raw_Data\Lab_results\[LabSamples2025_Bioplastic_extra.xlsx]extra_Bioplastic'!B656)," ",'Q:\Abteilungsprojekte\Eng\EngData\PROJECT_Bioplastics\Renjie_Pan\05-Raw_Data\Lab_results\[LabSamples2025_Bioplastic_extra.xlsx]extra_Bioplastic'!B656)</f>
        <v/>
      </c>
      <c r="C656">
        <f>IF(ISBLANK('Q:\Abteilungsprojekte\Eng\EngData\PROJECT_Bioplastics\Renjie_Pan\05-Raw_Data\Lab_results\[LabSamples2025_Bioplastic_extra.xlsx]extra_Bioplastic'!C656)," ",'Q:\Abteilungsprojekte\Eng\EngData\PROJECT_Bioplastics\Renjie_Pan\05-Raw_Data\Lab_results\[LabSamples2025_Bioplastic_extra.xlsx]extra_Bioplastic'!C656)</f>
        <v/>
      </c>
      <c r="D656">
        <f>IF(ISBLANK('Q:\Abteilungsprojekte\Eng\EngData\PROJECT_Bioplastics\Renjie_Pan\05-Raw_Data\Lab_results\[LabSamples2025_Bioplastic_extra.xlsx]extra_Bioplastic'!D656)," ",'Q:\Abteilungsprojekte\Eng\EngData\PROJECT_Bioplastics\Renjie_Pan\05-Raw_Data\Lab_results\[LabSamples2025_Bioplastic_extra.xlsx]extra_Bioplastic'!D656)</f>
        <v/>
      </c>
      <c r="E656">
        <f>IF(ISBLANK('Q:\Abteilungsprojekte\Eng\EngData\PROJECT_Bioplastics\Renjie_Pan\05-Raw_Data\Lab_results\[LabSamples2025_Bioplastic_extra.xlsx]extra_Bioplastic'!E656)," ",'Q:\Abteilungsprojekte\Eng\EngData\PROJECT_Bioplastics\Renjie_Pan\05-Raw_Data\Lab_results\[LabSamples2025_Bioplastic_extra.xlsx]extra_Bioplastic'!E656)</f>
        <v/>
      </c>
      <c r="F656">
        <f>IF(ISBLANK('Q:\Abteilungsprojekte\Eng\EngData\PROJECT_Bioplastics\Renjie_Pan\05-Raw_Data\Lab_results\[LabSamples2025_Bioplastic_extra.xlsx]extra_Bioplastic'!F656)," ",'Q:\Abteilungsprojekte\Eng\EngData\PROJECT_Bioplastics\Renjie_Pan\05-Raw_Data\Lab_results\[LabSamples2025_Bioplastic_extra.xlsx]extra_Bioplastic'!F656)</f>
        <v/>
      </c>
      <c r="G656">
        <f>IF(ISBLANK('Q:\Abteilungsprojekte\Eng\EngData\PROJECT_Bioplastics\Renjie_Pan\05-Raw_Data\Lab_results\[LabSamples2025_Bioplastic_extra.xlsx]extra_Bioplastic'!G656)," ",'Q:\Abteilungsprojekte\Eng\EngData\PROJECT_Bioplastics\Renjie_Pan\05-Raw_Data\Lab_results\[LabSamples2025_Bioplastic_extra.xlsx]extra_Bioplastic'!G656)</f>
        <v/>
      </c>
      <c r="H656">
        <f>IF(ISBLANK('Q:\Abteilungsprojekte\Eng\EngData\PROJECT_Bioplastics\Renjie_Pan\05-Raw_Data\Lab_results\[LabSamples2025_Bioplastic_extra.xlsx]extra_Bioplastic'!H656)," ",'Q:\Abteilungsprojekte\Eng\EngData\PROJECT_Bioplastics\Renjie_Pan\05-Raw_Data\Lab_results\[LabSamples2025_Bioplastic_extra.xlsx]extra_Bioplastic'!H656)</f>
        <v/>
      </c>
    </row>
    <row r="657">
      <c r="A657">
        <f>IF(ISBLANK('Q:\Abteilungsprojekte\Eng\EngData\PROJECT_Bioplastics\Renjie_Pan\05-Raw_Data\Lab_results\[LabSamples2025_Bioplastic_extra.xlsx]extra_Bioplastic'!A657)," ",'Q:\Abteilungsprojekte\Eng\EngData\PROJECT_Bioplastics\Renjie_Pan\05-Raw_Data\Lab_results\[LabSamples2025_Bioplastic_extra.xlsx]extra_Bioplastic'!A657)</f>
        <v/>
      </c>
      <c r="B657">
        <f>IF(ISBLANK('Q:\Abteilungsprojekte\Eng\EngData\PROJECT_Bioplastics\Renjie_Pan\05-Raw_Data\Lab_results\[LabSamples2025_Bioplastic_extra.xlsx]extra_Bioplastic'!B657)," ",'Q:\Abteilungsprojekte\Eng\EngData\PROJECT_Bioplastics\Renjie_Pan\05-Raw_Data\Lab_results\[LabSamples2025_Bioplastic_extra.xlsx]extra_Bioplastic'!B657)</f>
        <v/>
      </c>
      <c r="C657">
        <f>IF(ISBLANK('Q:\Abteilungsprojekte\Eng\EngData\PROJECT_Bioplastics\Renjie_Pan\05-Raw_Data\Lab_results\[LabSamples2025_Bioplastic_extra.xlsx]extra_Bioplastic'!C657)," ",'Q:\Abteilungsprojekte\Eng\EngData\PROJECT_Bioplastics\Renjie_Pan\05-Raw_Data\Lab_results\[LabSamples2025_Bioplastic_extra.xlsx]extra_Bioplastic'!C657)</f>
        <v/>
      </c>
      <c r="D657">
        <f>IF(ISBLANK('Q:\Abteilungsprojekte\Eng\EngData\PROJECT_Bioplastics\Renjie_Pan\05-Raw_Data\Lab_results\[LabSamples2025_Bioplastic_extra.xlsx]extra_Bioplastic'!D657)," ",'Q:\Abteilungsprojekte\Eng\EngData\PROJECT_Bioplastics\Renjie_Pan\05-Raw_Data\Lab_results\[LabSamples2025_Bioplastic_extra.xlsx]extra_Bioplastic'!D657)</f>
        <v/>
      </c>
      <c r="E657">
        <f>IF(ISBLANK('Q:\Abteilungsprojekte\Eng\EngData\PROJECT_Bioplastics\Renjie_Pan\05-Raw_Data\Lab_results\[LabSamples2025_Bioplastic_extra.xlsx]extra_Bioplastic'!E657)," ",'Q:\Abteilungsprojekte\Eng\EngData\PROJECT_Bioplastics\Renjie_Pan\05-Raw_Data\Lab_results\[LabSamples2025_Bioplastic_extra.xlsx]extra_Bioplastic'!E657)</f>
        <v/>
      </c>
      <c r="F657">
        <f>IF(ISBLANK('Q:\Abteilungsprojekte\Eng\EngData\PROJECT_Bioplastics\Renjie_Pan\05-Raw_Data\Lab_results\[LabSamples2025_Bioplastic_extra.xlsx]extra_Bioplastic'!F657)," ",'Q:\Abteilungsprojekte\Eng\EngData\PROJECT_Bioplastics\Renjie_Pan\05-Raw_Data\Lab_results\[LabSamples2025_Bioplastic_extra.xlsx]extra_Bioplastic'!F657)</f>
        <v/>
      </c>
      <c r="G657">
        <f>IF(ISBLANK('Q:\Abteilungsprojekte\Eng\EngData\PROJECT_Bioplastics\Renjie_Pan\05-Raw_Data\Lab_results\[LabSamples2025_Bioplastic_extra.xlsx]extra_Bioplastic'!G657)," ",'Q:\Abteilungsprojekte\Eng\EngData\PROJECT_Bioplastics\Renjie_Pan\05-Raw_Data\Lab_results\[LabSamples2025_Bioplastic_extra.xlsx]extra_Bioplastic'!G657)</f>
        <v/>
      </c>
      <c r="H657">
        <f>IF(ISBLANK('Q:\Abteilungsprojekte\Eng\EngData\PROJECT_Bioplastics\Renjie_Pan\05-Raw_Data\Lab_results\[LabSamples2025_Bioplastic_extra.xlsx]extra_Bioplastic'!H657)," ",'Q:\Abteilungsprojekte\Eng\EngData\PROJECT_Bioplastics\Renjie_Pan\05-Raw_Data\Lab_results\[LabSamples2025_Bioplastic_extra.xlsx]extra_Bioplastic'!H657)</f>
        <v/>
      </c>
    </row>
    <row r="658">
      <c r="A658">
        <f>IF(ISBLANK('Q:\Abteilungsprojekte\Eng\EngData\PROJECT_Bioplastics\Renjie_Pan\05-Raw_Data\Lab_results\[LabSamples2025_Bioplastic_extra.xlsx]extra_Bioplastic'!A658)," ",'Q:\Abteilungsprojekte\Eng\EngData\PROJECT_Bioplastics\Renjie_Pan\05-Raw_Data\Lab_results\[LabSamples2025_Bioplastic_extra.xlsx]extra_Bioplastic'!A658)</f>
        <v/>
      </c>
      <c r="B658">
        <f>IF(ISBLANK('Q:\Abteilungsprojekte\Eng\EngData\PROJECT_Bioplastics\Renjie_Pan\05-Raw_Data\Lab_results\[LabSamples2025_Bioplastic_extra.xlsx]extra_Bioplastic'!B658)," ",'Q:\Abteilungsprojekte\Eng\EngData\PROJECT_Bioplastics\Renjie_Pan\05-Raw_Data\Lab_results\[LabSamples2025_Bioplastic_extra.xlsx]extra_Bioplastic'!B658)</f>
        <v/>
      </c>
      <c r="C658">
        <f>IF(ISBLANK('Q:\Abteilungsprojekte\Eng\EngData\PROJECT_Bioplastics\Renjie_Pan\05-Raw_Data\Lab_results\[LabSamples2025_Bioplastic_extra.xlsx]extra_Bioplastic'!C658)," ",'Q:\Abteilungsprojekte\Eng\EngData\PROJECT_Bioplastics\Renjie_Pan\05-Raw_Data\Lab_results\[LabSamples2025_Bioplastic_extra.xlsx]extra_Bioplastic'!C658)</f>
        <v/>
      </c>
      <c r="D658">
        <f>IF(ISBLANK('Q:\Abteilungsprojekte\Eng\EngData\PROJECT_Bioplastics\Renjie_Pan\05-Raw_Data\Lab_results\[LabSamples2025_Bioplastic_extra.xlsx]extra_Bioplastic'!D658)," ",'Q:\Abteilungsprojekte\Eng\EngData\PROJECT_Bioplastics\Renjie_Pan\05-Raw_Data\Lab_results\[LabSamples2025_Bioplastic_extra.xlsx]extra_Bioplastic'!D658)</f>
        <v/>
      </c>
      <c r="E658">
        <f>IF(ISBLANK('Q:\Abteilungsprojekte\Eng\EngData\PROJECT_Bioplastics\Renjie_Pan\05-Raw_Data\Lab_results\[LabSamples2025_Bioplastic_extra.xlsx]extra_Bioplastic'!E658)," ",'Q:\Abteilungsprojekte\Eng\EngData\PROJECT_Bioplastics\Renjie_Pan\05-Raw_Data\Lab_results\[LabSamples2025_Bioplastic_extra.xlsx]extra_Bioplastic'!E658)</f>
        <v/>
      </c>
      <c r="F658">
        <f>IF(ISBLANK('Q:\Abteilungsprojekte\Eng\EngData\PROJECT_Bioplastics\Renjie_Pan\05-Raw_Data\Lab_results\[LabSamples2025_Bioplastic_extra.xlsx]extra_Bioplastic'!F658)," ",'Q:\Abteilungsprojekte\Eng\EngData\PROJECT_Bioplastics\Renjie_Pan\05-Raw_Data\Lab_results\[LabSamples2025_Bioplastic_extra.xlsx]extra_Bioplastic'!F658)</f>
        <v/>
      </c>
      <c r="G658">
        <f>IF(ISBLANK('Q:\Abteilungsprojekte\Eng\EngData\PROJECT_Bioplastics\Renjie_Pan\05-Raw_Data\Lab_results\[LabSamples2025_Bioplastic_extra.xlsx]extra_Bioplastic'!G658)," ",'Q:\Abteilungsprojekte\Eng\EngData\PROJECT_Bioplastics\Renjie_Pan\05-Raw_Data\Lab_results\[LabSamples2025_Bioplastic_extra.xlsx]extra_Bioplastic'!G658)</f>
        <v/>
      </c>
      <c r="H658">
        <f>IF(ISBLANK('Q:\Abteilungsprojekte\Eng\EngData\PROJECT_Bioplastics\Renjie_Pan\05-Raw_Data\Lab_results\[LabSamples2025_Bioplastic_extra.xlsx]extra_Bioplastic'!H658)," ",'Q:\Abteilungsprojekte\Eng\EngData\PROJECT_Bioplastics\Renjie_Pan\05-Raw_Data\Lab_results\[LabSamples2025_Bioplastic_extra.xlsx]extra_Bioplastic'!H658)</f>
        <v/>
      </c>
    </row>
    <row r="659">
      <c r="A659">
        <f>IF(ISBLANK('Q:\Abteilungsprojekte\Eng\EngData\PROJECT_Bioplastics\Renjie_Pan\05-Raw_Data\Lab_results\[LabSamples2025_Bioplastic_extra.xlsx]extra_Bioplastic'!A659)," ",'Q:\Abteilungsprojekte\Eng\EngData\PROJECT_Bioplastics\Renjie_Pan\05-Raw_Data\Lab_results\[LabSamples2025_Bioplastic_extra.xlsx]extra_Bioplastic'!A659)</f>
        <v/>
      </c>
      <c r="B659">
        <f>IF(ISBLANK('Q:\Abteilungsprojekte\Eng\EngData\PROJECT_Bioplastics\Renjie_Pan\05-Raw_Data\Lab_results\[LabSamples2025_Bioplastic_extra.xlsx]extra_Bioplastic'!B659)," ",'Q:\Abteilungsprojekte\Eng\EngData\PROJECT_Bioplastics\Renjie_Pan\05-Raw_Data\Lab_results\[LabSamples2025_Bioplastic_extra.xlsx]extra_Bioplastic'!B659)</f>
        <v/>
      </c>
      <c r="C659">
        <f>IF(ISBLANK('Q:\Abteilungsprojekte\Eng\EngData\PROJECT_Bioplastics\Renjie_Pan\05-Raw_Data\Lab_results\[LabSamples2025_Bioplastic_extra.xlsx]extra_Bioplastic'!C659)," ",'Q:\Abteilungsprojekte\Eng\EngData\PROJECT_Bioplastics\Renjie_Pan\05-Raw_Data\Lab_results\[LabSamples2025_Bioplastic_extra.xlsx]extra_Bioplastic'!C659)</f>
        <v/>
      </c>
      <c r="D659">
        <f>IF(ISBLANK('Q:\Abteilungsprojekte\Eng\EngData\PROJECT_Bioplastics\Renjie_Pan\05-Raw_Data\Lab_results\[LabSamples2025_Bioplastic_extra.xlsx]extra_Bioplastic'!D659)," ",'Q:\Abteilungsprojekte\Eng\EngData\PROJECT_Bioplastics\Renjie_Pan\05-Raw_Data\Lab_results\[LabSamples2025_Bioplastic_extra.xlsx]extra_Bioplastic'!D659)</f>
        <v/>
      </c>
      <c r="E659">
        <f>IF(ISBLANK('Q:\Abteilungsprojekte\Eng\EngData\PROJECT_Bioplastics\Renjie_Pan\05-Raw_Data\Lab_results\[LabSamples2025_Bioplastic_extra.xlsx]extra_Bioplastic'!E659)," ",'Q:\Abteilungsprojekte\Eng\EngData\PROJECT_Bioplastics\Renjie_Pan\05-Raw_Data\Lab_results\[LabSamples2025_Bioplastic_extra.xlsx]extra_Bioplastic'!E659)</f>
        <v/>
      </c>
      <c r="F659">
        <f>IF(ISBLANK('Q:\Abteilungsprojekte\Eng\EngData\PROJECT_Bioplastics\Renjie_Pan\05-Raw_Data\Lab_results\[LabSamples2025_Bioplastic_extra.xlsx]extra_Bioplastic'!F659)," ",'Q:\Abteilungsprojekte\Eng\EngData\PROJECT_Bioplastics\Renjie_Pan\05-Raw_Data\Lab_results\[LabSamples2025_Bioplastic_extra.xlsx]extra_Bioplastic'!F659)</f>
        <v/>
      </c>
      <c r="G659">
        <f>IF(ISBLANK('Q:\Abteilungsprojekte\Eng\EngData\PROJECT_Bioplastics\Renjie_Pan\05-Raw_Data\Lab_results\[LabSamples2025_Bioplastic_extra.xlsx]extra_Bioplastic'!G659)," ",'Q:\Abteilungsprojekte\Eng\EngData\PROJECT_Bioplastics\Renjie_Pan\05-Raw_Data\Lab_results\[LabSamples2025_Bioplastic_extra.xlsx]extra_Bioplastic'!G659)</f>
        <v/>
      </c>
      <c r="H659">
        <f>IF(ISBLANK('Q:\Abteilungsprojekte\Eng\EngData\PROJECT_Bioplastics\Renjie_Pan\05-Raw_Data\Lab_results\[LabSamples2025_Bioplastic_extra.xlsx]extra_Bioplastic'!H659)," ",'Q:\Abteilungsprojekte\Eng\EngData\PROJECT_Bioplastics\Renjie_Pan\05-Raw_Data\Lab_results\[LabSamples2025_Bioplastic_extra.xlsx]extra_Bioplastic'!H659)</f>
        <v/>
      </c>
    </row>
    <row r="660">
      <c r="A660">
        <f>IF(ISBLANK('Q:\Abteilungsprojekte\Eng\EngData\PROJECT_Bioplastics\Renjie_Pan\05-Raw_Data\Lab_results\[LabSamples2025_Bioplastic_extra.xlsx]extra_Bioplastic'!A660)," ",'Q:\Abteilungsprojekte\Eng\EngData\PROJECT_Bioplastics\Renjie_Pan\05-Raw_Data\Lab_results\[LabSamples2025_Bioplastic_extra.xlsx]extra_Bioplastic'!A660)</f>
        <v/>
      </c>
      <c r="B660">
        <f>IF(ISBLANK('Q:\Abteilungsprojekte\Eng\EngData\PROJECT_Bioplastics\Renjie_Pan\05-Raw_Data\Lab_results\[LabSamples2025_Bioplastic_extra.xlsx]extra_Bioplastic'!B660)," ",'Q:\Abteilungsprojekte\Eng\EngData\PROJECT_Bioplastics\Renjie_Pan\05-Raw_Data\Lab_results\[LabSamples2025_Bioplastic_extra.xlsx]extra_Bioplastic'!B660)</f>
        <v/>
      </c>
      <c r="C660">
        <f>IF(ISBLANK('Q:\Abteilungsprojekte\Eng\EngData\PROJECT_Bioplastics\Renjie_Pan\05-Raw_Data\Lab_results\[LabSamples2025_Bioplastic_extra.xlsx]extra_Bioplastic'!C660)," ",'Q:\Abteilungsprojekte\Eng\EngData\PROJECT_Bioplastics\Renjie_Pan\05-Raw_Data\Lab_results\[LabSamples2025_Bioplastic_extra.xlsx]extra_Bioplastic'!C660)</f>
        <v/>
      </c>
      <c r="D660">
        <f>IF(ISBLANK('Q:\Abteilungsprojekte\Eng\EngData\PROJECT_Bioplastics\Renjie_Pan\05-Raw_Data\Lab_results\[LabSamples2025_Bioplastic_extra.xlsx]extra_Bioplastic'!D660)," ",'Q:\Abteilungsprojekte\Eng\EngData\PROJECT_Bioplastics\Renjie_Pan\05-Raw_Data\Lab_results\[LabSamples2025_Bioplastic_extra.xlsx]extra_Bioplastic'!D660)</f>
        <v/>
      </c>
      <c r="E660">
        <f>IF(ISBLANK('Q:\Abteilungsprojekte\Eng\EngData\PROJECT_Bioplastics\Renjie_Pan\05-Raw_Data\Lab_results\[LabSamples2025_Bioplastic_extra.xlsx]extra_Bioplastic'!E660)," ",'Q:\Abteilungsprojekte\Eng\EngData\PROJECT_Bioplastics\Renjie_Pan\05-Raw_Data\Lab_results\[LabSamples2025_Bioplastic_extra.xlsx]extra_Bioplastic'!E660)</f>
        <v/>
      </c>
      <c r="F660">
        <f>IF(ISBLANK('Q:\Abteilungsprojekte\Eng\EngData\PROJECT_Bioplastics\Renjie_Pan\05-Raw_Data\Lab_results\[LabSamples2025_Bioplastic_extra.xlsx]extra_Bioplastic'!F660)," ",'Q:\Abteilungsprojekte\Eng\EngData\PROJECT_Bioplastics\Renjie_Pan\05-Raw_Data\Lab_results\[LabSamples2025_Bioplastic_extra.xlsx]extra_Bioplastic'!F660)</f>
        <v/>
      </c>
      <c r="G660">
        <f>IF(ISBLANK('Q:\Abteilungsprojekte\Eng\EngData\PROJECT_Bioplastics\Renjie_Pan\05-Raw_Data\Lab_results\[LabSamples2025_Bioplastic_extra.xlsx]extra_Bioplastic'!G660)," ",'Q:\Abteilungsprojekte\Eng\EngData\PROJECT_Bioplastics\Renjie_Pan\05-Raw_Data\Lab_results\[LabSamples2025_Bioplastic_extra.xlsx]extra_Bioplastic'!G660)</f>
        <v/>
      </c>
      <c r="H660">
        <f>IF(ISBLANK('Q:\Abteilungsprojekte\Eng\EngData\PROJECT_Bioplastics\Renjie_Pan\05-Raw_Data\Lab_results\[LabSamples2025_Bioplastic_extra.xlsx]extra_Bioplastic'!H660)," ",'Q:\Abteilungsprojekte\Eng\EngData\PROJECT_Bioplastics\Renjie_Pan\05-Raw_Data\Lab_results\[LabSamples2025_Bioplastic_extra.xlsx]extra_Bioplastic'!H660)</f>
        <v/>
      </c>
    </row>
    <row r="661">
      <c r="A661">
        <f>IF(ISBLANK('Q:\Abteilungsprojekte\Eng\EngData\PROJECT_Bioplastics\Renjie_Pan\05-Raw_Data\Lab_results\[LabSamples2025_Bioplastic_extra.xlsx]extra_Bioplastic'!A661)," ",'Q:\Abteilungsprojekte\Eng\EngData\PROJECT_Bioplastics\Renjie_Pan\05-Raw_Data\Lab_results\[LabSamples2025_Bioplastic_extra.xlsx]extra_Bioplastic'!A661)</f>
        <v/>
      </c>
      <c r="B661">
        <f>IF(ISBLANK('Q:\Abteilungsprojekte\Eng\EngData\PROJECT_Bioplastics\Renjie_Pan\05-Raw_Data\Lab_results\[LabSamples2025_Bioplastic_extra.xlsx]extra_Bioplastic'!B661)," ",'Q:\Abteilungsprojekte\Eng\EngData\PROJECT_Bioplastics\Renjie_Pan\05-Raw_Data\Lab_results\[LabSamples2025_Bioplastic_extra.xlsx]extra_Bioplastic'!B661)</f>
        <v/>
      </c>
      <c r="C661">
        <f>IF(ISBLANK('Q:\Abteilungsprojekte\Eng\EngData\PROJECT_Bioplastics\Renjie_Pan\05-Raw_Data\Lab_results\[LabSamples2025_Bioplastic_extra.xlsx]extra_Bioplastic'!C661)," ",'Q:\Abteilungsprojekte\Eng\EngData\PROJECT_Bioplastics\Renjie_Pan\05-Raw_Data\Lab_results\[LabSamples2025_Bioplastic_extra.xlsx]extra_Bioplastic'!C661)</f>
        <v/>
      </c>
      <c r="D661">
        <f>IF(ISBLANK('Q:\Abteilungsprojekte\Eng\EngData\PROJECT_Bioplastics\Renjie_Pan\05-Raw_Data\Lab_results\[LabSamples2025_Bioplastic_extra.xlsx]extra_Bioplastic'!D661)," ",'Q:\Abteilungsprojekte\Eng\EngData\PROJECT_Bioplastics\Renjie_Pan\05-Raw_Data\Lab_results\[LabSamples2025_Bioplastic_extra.xlsx]extra_Bioplastic'!D661)</f>
        <v/>
      </c>
      <c r="E661">
        <f>IF(ISBLANK('Q:\Abteilungsprojekte\Eng\EngData\PROJECT_Bioplastics\Renjie_Pan\05-Raw_Data\Lab_results\[LabSamples2025_Bioplastic_extra.xlsx]extra_Bioplastic'!E661)," ",'Q:\Abteilungsprojekte\Eng\EngData\PROJECT_Bioplastics\Renjie_Pan\05-Raw_Data\Lab_results\[LabSamples2025_Bioplastic_extra.xlsx]extra_Bioplastic'!E661)</f>
        <v/>
      </c>
      <c r="F661">
        <f>IF(ISBLANK('Q:\Abteilungsprojekte\Eng\EngData\PROJECT_Bioplastics\Renjie_Pan\05-Raw_Data\Lab_results\[LabSamples2025_Bioplastic_extra.xlsx]extra_Bioplastic'!F661)," ",'Q:\Abteilungsprojekte\Eng\EngData\PROJECT_Bioplastics\Renjie_Pan\05-Raw_Data\Lab_results\[LabSamples2025_Bioplastic_extra.xlsx]extra_Bioplastic'!F661)</f>
        <v/>
      </c>
      <c r="G661">
        <f>IF(ISBLANK('Q:\Abteilungsprojekte\Eng\EngData\PROJECT_Bioplastics\Renjie_Pan\05-Raw_Data\Lab_results\[LabSamples2025_Bioplastic_extra.xlsx]extra_Bioplastic'!G661)," ",'Q:\Abteilungsprojekte\Eng\EngData\PROJECT_Bioplastics\Renjie_Pan\05-Raw_Data\Lab_results\[LabSamples2025_Bioplastic_extra.xlsx]extra_Bioplastic'!G661)</f>
        <v/>
      </c>
      <c r="H661">
        <f>IF(ISBLANK('Q:\Abteilungsprojekte\Eng\EngData\PROJECT_Bioplastics\Renjie_Pan\05-Raw_Data\Lab_results\[LabSamples2025_Bioplastic_extra.xlsx]extra_Bioplastic'!H661)," ",'Q:\Abteilungsprojekte\Eng\EngData\PROJECT_Bioplastics\Renjie_Pan\05-Raw_Data\Lab_results\[LabSamples2025_Bioplastic_extra.xlsx]extra_Bioplastic'!H661)</f>
        <v/>
      </c>
    </row>
    <row r="662">
      <c r="A662">
        <f>IF(ISBLANK('Q:\Abteilungsprojekte\Eng\EngData\PROJECT_Bioplastics\Renjie_Pan\05-Raw_Data\Lab_results\[LabSamples2025_Bioplastic_extra.xlsx]extra_Bioplastic'!A662)," ",'Q:\Abteilungsprojekte\Eng\EngData\PROJECT_Bioplastics\Renjie_Pan\05-Raw_Data\Lab_results\[LabSamples2025_Bioplastic_extra.xlsx]extra_Bioplastic'!A662)</f>
        <v/>
      </c>
      <c r="B662">
        <f>IF(ISBLANK('Q:\Abteilungsprojekte\Eng\EngData\PROJECT_Bioplastics\Renjie_Pan\05-Raw_Data\Lab_results\[LabSamples2025_Bioplastic_extra.xlsx]extra_Bioplastic'!B662)," ",'Q:\Abteilungsprojekte\Eng\EngData\PROJECT_Bioplastics\Renjie_Pan\05-Raw_Data\Lab_results\[LabSamples2025_Bioplastic_extra.xlsx]extra_Bioplastic'!B662)</f>
        <v/>
      </c>
      <c r="C662">
        <f>IF(ISBLANK('Q:\Abteilungsprojekte\Eng\EngData\PROJECT_Bioplastics\Renjie_Pan\05-Raw_Data\Lab_results\[LabSamples2025_Bioplastic_extra.xlsx]extra_Bioplastic'!C662)," ",'Q:\Abteilungsprojekte\Eng\EngData\PROJECT_Bioplastics\Renjie_Pan\05-Raw_Data\Lab_results\[LabSamples2025_Bioplastic_extra.xlsx]extra_Bioplastic'!C662)</f>
        <v/>
      </c>
      <c r="D662">
        <f>IF(ISBLANK('Q:\Abteilungsprojekte\Eng\EngData\PROJECT_Bioplastics\Renjie_Pan\05-Raw_Data\Lab_results\[LabSamples2025_Bioplastic_extra.xlsx]extra_Bioplastic'!D662)," ",'Q:\Abteilungsprojekte\Eng\EngData\PROJECT_Bioplastics\Renjie_Pan\05-Raw_Data\Lab_results\[LabSamples2025_Bioplastic_extra.xlsx]extra_Bioplastic'!D662)</f>
        <v/>
      </c>
      <c r="E662">
        <f>IF(ISBLANK('Q:\Abteilungsprojekte\Eng\EngData\PROJECT_Bioplastics\Renjie_Pan\05-Raw_Data\Lab_results\[LabSamples2025_Bioplastic_extra.xlsx]extra_Bioplastic'!E662)," ",'Q:\Abteilungsprojekte\Eng\EngData\PROJECT_Bioplastics\Renjie_Pan\05-Raw_Data\Lab_results\[LabSamples2025_Bioplastic_extra.xlsx]extra_Bioplastic'!E662)</f>
        <v/>
      </c>
      <c r="F662">
        <f>IF(ISBLANK('Q:\Abteilungsprojekte\Eng\EngData\PROJECT_Bioplastics\Renjie_Pan\05-Raw_Data\Lab_results\[LabSamples2025_Bioplastic_extra.xlsx]extra_Bioplastic'!F662)," ",'Q:\Abteilungsprojekte\Eng\EngData\PROJECT_Bioplastics\Renjie_Pan\05-Raw_Data\Lab_results\[LabSamples2025_Bioplastic_extra.xlsx]extra_Bioplastic'!F662)</f>
        <v/>
      </c>
      <c r="G662">
        <f>IF(ISBLANK('Q:\Abteilungsprojekte\Eng\EngData\PROJECT_Bioplastics\Renjie_Pan\05-Raw_Data\Lab_results\[LabSamples2025_Bioplastic_extra.xlsx]extra_Bioplastic'!G662)," ",'Q:\Abteilungsprojekte\Eng\EngData\PROJECT_Bioplastics\Renjie_Pan\05-Raw_Data\Lab_results\[LabSamples2025_Bioplastic_extra.xlsx]extra_Bioplastic'!G662)</f>
        <v/>
      </c>
      <c r="H662">
        <f>IF(ISBLANK('Q:\Abteilungsprojekte\Eng\EngData\PROJECT_Bioplastics\Renjie_Pan\05-Raw_Data\Lab_results\[LabSamples2025_Bioplastic_extra.xlsx]extra_Bioplastic'!H662)," ",'Q:\Abteilungsprojekte\Eng\EngData\PROJECT_Bioplastics\Renjie_Pan\05-Raw_Data\Lab_results\[LabSamples2025_Bioplastic_extra.xlsx]extra_Bioplastic'!H662)</f>
        <v/>
      </c>
    </row>
    <row r="663">
      <c r="A663">
        <f>IF(ISBLANK('Q:\Abteilungsprojekte\Eng\EngData\PROJECT_Bioplastics\Renjie_Pan\05-Raw_Data\Lab_results\[LabSamples2025_Bioplastic_extra.xlsx]extra_Bioplastic'!A663)," ",'Q:\Abteilungsprojekte\Eng\EngData\PROJECT_Bioplastics\Renjie_Pan\05-Raw_Data\Lab_results\[LabSamples2025_Bioplastic_extra.xlsx]extra_Bioplastic'!A663)</f>
        <v/>
      </c>
      <c r="B663">
        <f>IF(ISBLANK('Q:\Abteilungsprojekte\Eng\EngData\PROJECT_Bioplastics\Renjie_Pan\05-Raw_Data\Lab_results\[LabSamples2025_Bioplastic_extra.xlsx]extra_Bioplastic'!B663)," ",'Q:\Abteilungsprojekte\Eng\EngData\PROJECT_Bioplastics\Renjie_Pan\05-Raw_Data\Lab_results\[LabSamples2025_Bioplastic_extra.xlsx]extra_Bioplastic'!B663)</f>
        <v/>
      </c>
      <c r="C663">
        <f>IF(ISBLANK('Q:\Abteilungsprojekte\Eng\EngData\PROJECT_Bioplastics\Renjie_Pan\05-Raw_Data\Lab_results\[LabSamples2025_Bioplastic_extra.xlsx]extra_Bioplastic'!C663)," ",'Q:\Abteilungsprojekte\Eng\EngData\PROJECT_Bioplastics\Renjie_Pan\05-Raw_Data\Lab_results\[LabSamples2025_Bioplastic_extra.xlsx]extra_Bioplastic'!C663)</f>
        <v/>
      </c>
      <c r="D663">
        <f>IF(ISBLANK('Q:\Abteilungsprojekte\Eng\EngData\PROJECT_Bioplastics\Renjie_Pan\05-Raw_Data\Lab_results\[LabSamples2025_Bioplastic_extra.xlsx]extra_Bioplastic'!D663)," ",'Q:\Abteilungsprojekte\Eng\EngData\PROJECT_Bioplastics\Renjie_Pan\05-Raw_Data\Lab_results\[LabSamples2025_Bioplastic_extra.xlsx]extra_Bioplastic'!D663)</f>
        <v/>
      </c>
      <c r="E663">
        <f>IF(ISBLANK('Q:\Abteilungsprojekte\Eng\EngData\PROJECT_Bioplastics\Renjie_Pan\05-Raw_Data\Lab_results\[LabSamples2025_Bioplastic_extra.xlsx]extra_Bioplastic'!E663)," ",'Q:\Abteilungsprojekte\Eng\EngData\PROJECT_Bioplastics\Renjie_Pan\05-Raw_Data\Lab_results\[LabSamples2025_Bioplastic_extra.xlsx]extra_Bioplastic'!E663)</f>
        <v/>
      </c>
      <c r="F663">
        <f>IF(ISBLANK('Q:\Abteilungsprojekte\Eng\EngData\PROJECT_Bioplastics\Renjie_Pan\05-Raw_Data\Lab_results\[LabSamples2025_Bioplastic_extra.xlsx]extra_Bioplastic'!F663)," ",'Q:\Abteilungsprojekte\Eng\EngData\PROJECT_Bioplastics\Renjie_Pan\05-Raw_Data\Lab_results\[LabSamples2025_Bioplastic_extra.xlsx]extra_Bioplastic'!F663)</f>
        <v/>
      </c>
      <c r="G663">
        <f>IF(ISBLANK('Q:\Abteilungsprojekte\Eng\EngData\PROJECT_Bioplastics\Renjie_Pan\05-Raw_Data\Lab_results\[LabSamples2025_Bioplastic_extra.xlsx]extra_Bioplastic'!G663)," ",'Q:\Abteilungsprojekte\Eng\EngData\PROJECT_Bioplastics\Renjie_Pan\05-Raw_Data\Lab_results\[LabSamples2025_Bioplastic_extra.xlsx]extra_Bioplastic'!G663)</f>
        <v/>
      </c>
      <c r="H663">
        <f>IF(ISBLANK('Q:\Abteilungsprojekte\Eng\EngData\PROJECT_Bioplastics\Renjie_Pan\05-Raw_Data\Lab_results\[LabSamples2025_Bioplastic_extra.xlsx]extra_Bioplastic'!H663)," ",'Q:\Abteilungsprojekte\Eng\EngData\PROJECT_Bioplastics\Renjie_Pan\05-Raw_Data\Lab_results\[LabSamples2025_Bioplastic_extra.xlsx]extra_Bioplastic'!H663)</f>
        <v/>
      </c>
    </row>
    <row r="664">
      <c r="A664">
        <f>IF(ISBLANK('Q:\Abteilungsprojekte\Eng\EngData\PROJECT_Bioplastics\Renjie_Pan\05-Raw_Data\Lab_results\[LabSamples2025_Bioplastic_extra.xlsx]extra_Bioplastic'!A664)," ",'Q:\Abteilungsprojekte\Eng\EngData\PROJECT_Bioplastics\Renjie_Pan\05-Raw_Data\Lab_results\[LabSamples2025_Bioplastic_extra.xlsx]extra_Bioplastic'!A664)</f>
        <v/>
      </c>
      <c r="B664">
        <f>IF(ISBLANK('Q:\Abteilungsprojekte\Eng\EngData\PROJECT_Bioplastics\Renjie_Pan\05-Raw_Data\Lab_results\[LabSamples2025_Bioplastic_extra.xlsx]extra_Bioplastic'!B664)," ",'Q:\Abteilungsprojekte\Eng\EngData\PROJECT_Bioplastics\Renjie_Pan\05-Raw_Data\Lab_results\[LabSamples2025_Bioplastic_extra.xlsx]extra_Bioplastic'!B664)</f>
        <v/>
      </c>
      <c r="C664">
        <f>IF(ISBLANK('Q:\Abteilungsprojekte\Eng\EngData\PROJECT_Bioplastics\Renjie_Pan\05-Raw_Data\Lab_results\[LabSamples2025_Bioplastic_extra.xlsx]extra_Bioplastic'!C664)," ",'Q:\Abteilungsprojekte\Eng\EngData\PROJECT_Bioplastics\Renjie_Pan\05-Raw_Data\Lab_results\[LabSamples2025_Bioplastic_extra.xlsx]extra_Bioplastic'!C664)</f>
        <v/>
      </c>
      <c r="D664">
        <f>IF(ISBLANK('Q:\Abteilungsprojekte\Eng\EngData\PROJECT_Bioplastics\Renjie_Pan\05-Raw_Data\Lab_results\[LabSamples2025_Bioplastic_extra.xlsx]extra_Bioplastic'!D664)," ",'Q:\Abteilungsprojekte\Eng\EngData\PROJECT_Bioplastics\Renjie_Pan\05-Raw_Data\Lab_results\[LabSamples2025_Bioplastic_extra.xlsx]extra_Bioplastic'!D664)</f>
        <v/>
      </c>
      <c r="E664">
        <f>IF(ISBLANK('Q:\Abteilungsprojekte\Eng\EngData\PROJECT_Bioplastics\Renjie_Pan\05-Raw_Data\Lab_results\[LabSamples2025_Bioplastic_extra.xlsx]extra_Bioplastic'!E664)," ",'Q:\Abteilungsprojekte\Eng\EngData\PROJECT_Bioplastics\Renjie_Pan\05-Raw_Data\Lab_results\[LabSamples2025_Bioplastic_extra.xlsx]extra_Bioplastic'!E664)</f>
        <v/>
      </c>
      <c r="F664">
        <f>IF(ISBLANK('Q:\Abteilungsprojekte\Eng\EngData\PROJECT_Bioplastics\Renjie_Pan\05-Raw_Data\Lab_results\[LabSamples2025_Bioplastic_extra.xlsx]extra_Bioplastic'!F664)," ",'Q:\Abteilungsprojekte\Eng\EngData\PROJECT_Bioplastics\Renjie_Pan\05-Raw_Data\Lab_results\[LabSamples2025_Bioplastic_extra.xlsx]extra_Bioplastic'!F664)</f>
        <v/>
      </c>
      <c r="G664">
        <f>IF(ISBLANK('Q:\Abteilungsprojekte\Eng\EngData\PROJECT_Bioplastics\Renjie_Pan\05-Raw_Data\Lab_results\[LabSamples2025_Bioplastic_extra.xlsx]extra_Bioplastic'!G664)," ",'Q:\Abteilungsprojekte\Eng\EngData\PROJECT_Bioplastics\Renjie_Pan\05-Raw_Data\Lab_results\[LabSamples2025_Bioplastic_extra.xlsx]extra_Bioplastic'!G664)</f>
        <v/>
      </c>
      <c r="H664">
        <f>IF(ISBLANK('Q:\Abteilungsprojekte\Eng\EngData\PROJECT_Bioplastics\Renjie_Pan\05-Raw_Data\Lab_results\[LabSamples2025_Bioplastic_extra.xlsx]extra_Bioplastic'!H664)," ",'Q:\Abteilungsprojekte\Eng\EngData\PROJECT_Bioplastics\Renjie_Pan\05-Raw_Data\Lab_results\[LabSamples2025_Bioplastic_extra.xlsx]extra_Bioplastic'!H664)</f>
        <v/>
      </c>
    </row>
    <row r="665">
      <c r="A665">
        <f>IF(ISBLANK('Q:\Abteilungsprojekte\Eng\EngData\PROJECT_Bioplastics\Renjie_Pan\05-Raw_Data\Lab_results\[LabSamples2025_Bioplastic_extra.xlsx]extra_Bioplastic'!A665)," ",'Q:\Abteilungsprojekte\Eng\EngData\PROJECT_Bioplastics\Renjie_Pan\05-Raw_Data\Lab_results\[LabSamples2025_Bioplastic_extra.xlsx]extra_Bioplastic'!A665)</f>
        <v/>
      </c>
      <c r="B665">
        <f>IF(ISBLANK('Q:\Abteilungsprojekte\Eng\EngData\PROJECT_Bioplastics\Renjie_Pan\05-Raw_Data\Lab_results\[LabSamples2025_Bioplastic_extra.xlsx]extra_Bioplastic'!B665)," ",'Q:\Abteilungsprojekte\Eng\EngData\PROJECT_Bioplastics\Renjie_Pan\05-Raw_Data\Lab_results\[LabSamples2025_Bioplastic_extra.xlsx]extra_Bioplastic'!B665)</f>
        <v/>
      </c>
      <c r="C665">
        <f>IF(ISBLANK('Q:\Abteilungsprojekte\Eng\EngData\PROJECT_Bioplastics\Renjie_Pan\05-Raw_Data\Lab_results\[LabSamples2025_Bioplastic_extra.xlsx]extra_Bioplastic'!C665)," ",'Q:\Abteilungsprojekte\Eng\EngData\PROJECT_Bioplastics\Renjie_Pan\05-Raw_Data\Lab_results\[LabSamples2025_Bioplastic_extra.xlsx]extra_Bioplastic'!C665)</f>
        <v/>
      </c>
      <c r="D665">
        <f>IF(ISBLANK('Q:\Abteilungsprojekte\Eng\EngData\PROJECT_Bioplastics\Renjie_Pan\05-Raw_Data\Lab_results\[LabSamples2025_Bioplastic_extra.xlsx]extra_Bioplastic'!D665)," ",'Q:\Abteilungsprojekte\Eng\EngData\PROJECT_Bioplastics\Renjie_Pan\05-Raw_Data\Lab_results\[LabSamples2025_Bioplastic_extra.xlsx]extra_Bioplastic'!D665)</f>
        <v/>
      </c>
      <c r="E665">
        <f>IF(ISBLANK('Q:\Abteilungsprojekte\Eng\EngData\PROJECT_Bioplastics\Renjie_Pan\05-Raw_Data\Lab_results\[LabSamples2025_Bioplastic_extra.xlsx]extra_Bioplastic'!E665)," ",'Q:\Abteilungsprojekte\Eng\EngData\PROJECT_Bioplastics\Renjie_Pan\05-Raw_Data\Lab_results\[LabSamples2025_Bioplastic_extra.xlsx]extra_Bioplastic'!E665)</f>
        <v/>
      </c>
      <c r="F665">
        <f>IF(ISBLANK('Q:\Abteilungsprojekte\Eng\EngData\PROJECT_Bioplastics\Renjie_Pan\05-Raw_Data\Lab_results\[LabSamples2025_Bioplastic_extra.xlsx]extra_Bioplastic'!F665)," ",'Q:\Abteilungsprojekte\Eng\EngData\PROJECT_Bioplastics\Renjie_Pan\05-Raw_Data\Lab_results\[LabSamples2025_Bioplastic_extra.xlsx]extra_Bioplastic'!F665)</f>
        <v/>
      </c>
      <c r="G665">
        <f>IF(ISBLANK('Q:\Abteilungsprojekte\Eng\EngData\PROJECT_Bioplastics\Renjie_Pan\05-Raw_Data\Lab_results\[LabSamples2025_Bioplastic_extra.xlsx]extra_Bioplastic'!G665)," ",'Q:\Abteilungsprojekte\Eng\EngData\PROJECT_Bioplastics\Renjie_Pan\05-Raw_Data\Lab_results\[LabSamples2025_Bioplastic_extra.xlsx]extra_Bioplastic'!G665)</f>
        <v/>
      </c>
      <c r="H665">
        <f>IF(ISBLANK('Q:\Abteilungsprojekte\Eng\EngData\PROJECT_Bioplastics\Renjie_Pan\05-Raw_Data\Lab_results\[LabSamples2025_Bioplastic_extra.xlsx]extra_Bioplastic'!H665)," ",'Q:\Abteilungsprojekte\Eng\EngData\PROJECT_Bioplastics\Renjie_Pan\05-Raw_Data\Lab_results\[LabSamples2025_Bioplastic_extra.xlsx]extra_Bioplastic'!H665)</f>
        <v/>
      </c>
    </row>
    <row r="666">
      <c r="A666">
        <f>IF(ISBLANK('Q:\Abteilungsprojekte\Eng\EngData\PROJECT_Bioplastics\Renjie_Pan\05-Raw_Data\Lab_results\[LabSamples2025_Bioplastic_extra.xlsx]extra_Bioplastic'!A666)," ",'Q:\Abteilungsprojekte\Eng\EngData\PROJECT_Bioplastics\Renjie_Pan\05-Raw_Data\Lab_results\[LabSamples2025_Bioplastic_extra.xlsx]extra_Bioplastic'!A666)</f>
        <v/>
      </c>
      <c r="B666">
        <f>IF(ISBLANK('Q:\Abteilungsprojekte\Eng\EngData\PROJECT_Bioplastics\Renjie_Pan\05-Raw_Data\Lab_results\[LabSamples2025_Bioplastic_extra.xlsx]extra_Bioplastic'!B666)," ",'Q:\Abteilungsprojekte\Eng\EngData\PROJECT_Bioplastics\Renjie_Pan\05-Raw_Data\Lab_results\[LabSamples2025_Bioplastic_extra.xlsx]extra_Bioplastic'!B666)</f>
        <v/>
      </c>
      <c r="C666">
        <f>IF(ISBLANK('Q:\Abteilungsprojekte\Eng\EngData\PROJECT_Bioplastics\Renjie_Pan\05-Raw_Data\Lab_results\[LabSamples2025_Bioplastic_extra.xlsx]extra_Bioplastic'!C666)," ",'Q:\Abteilungsprojekte\Eng\EngData\PROJECT_Bioplastics\Renjie_Pan\05-Raw_Data\Lab_results\[LabSamples2025_Bioplastic_extra.xlsx]extra_Bioplastic'!C666)</f>
        <v/>
      </c>
      <c r="D666">
        <f>IF(ISBLANK('Q:\Abteilungsprojekte\Eng\EngData\PROJECT_Bioplastics\Renjie_Pan\05-Raw_Data\Lab_results\[LabSamples2025_Bioplastic_extra.xlsx]extra_Bioplastic'!D666)," ",'Q:\Abteilungsprojekte\Eng\EngData\PROJECT_Bioplastics\Renjie_Pan\05-Raw_Data\Lab_results\[LabSamples2025_Bioplastic_extra.xlsx]extra_Bioplastic'!D666)</f>
        <v/>
      </c>
      <c r="E666">
        <f>IF(ISBLANK('Q:\Abteilungsprojekte\Eng\EngData\PROJECT_Bioplastics\Renjie_Pan\05-Raw_Data\Lab_results\[LabSamples2025_Bioplastic_extra.xlsx]extra_Bioplastic'!E666)," ",'Q:\Abteilungsprojekte\Eng\EngData\PROJECT_Bioplastics\Renjie_Pan\05-Raw_Data\Lab_results\[LabSamples2025_Bioplastic_extra.xlsx]extra_Bioplastic'!E666)</f>
        <v/>
      </c>
      <c r="F666">
        <f>IF(ISBLANK('Q:\Abteilungsprojekte\Eng\EngData\PROJECT_Bioplastics\Renjie_Pan\05-Raw_Data\Lab_results\[LabSamples2025_Bioplastic_extra.xlsx]extra_Bioplastic'!F666)," ",'Q:\Abteilungsprojekte\Eng\EngData\PROJECT_Bioplastics\Renjie_Pan\05-Raw_Data\Lab_results\[LabSamples2025_Bioplastic_extra.xlsx]extra_Bioplastic'!F666)</f>
        <v/>
      </c>
      <c r="G666">
        <f>IF(ISBLANK('Q:\Abteilungsprojekte\Eng\EngData\PROJECT_Bioplastics\Renjie_Pan\05-Raw_Data\Lab_results\[LabSamples2025_Bioplastic_extra.xlsx]extra_Bioplastic'!G666)," ",'Q:\Abteilungsprojekte\Eng\EngData\PROJECT_Bioplastics\Renjie_Pan\05-Raw_Data\Lab_results\[LabSamples2025_Bioplastic_extra.xlsx]extra_Bioplastic'!G666)</f>
        <v/>
      </c>
      <c r="H666">
        <f>IF(ISBLANK('Q:\Abteilungsprojekte\Eng\EngData\PROJECT_Bioplastics\Renjie_Pan\05-Raw_Data\Lab_results\[LabSamples2025_Bioplastic_extra.xlsx]extra_Bioplastic'!H666)," ",'Q:\Abteilungsprojekte\Eng\EngData\PROJECT_Bioplastics\Renjie_Pan\05-Raw_Data\Lab_results\[LabSamples2025_Bioplastic_extra.xlsx]extra_Bioplastic'!H666)</f>
        <v/>
      </c>
    </row>
    <row r="667">
      <c r="A667">
        <f>IF(ISBLANK('Q:\Abteilungsprojekte\Eng\EngData\PROJECT_Bioplastics\Renjie_Pan\05-Raw_Data\Lab_results\[LabSamples2025_Bioplastic_extra.xlsx]extra_Bioplastic'!A667)," ",'Q:\Abteilungsprojekte\Eng\EngData\PROJECT_Bioplastics\Renjie_Pan\05-Raw_Data\Lab_results\[LabSamples2025_Bioplastic_extra.xlsx]extra_Bioplastic'!A667)</f>
        <v/>
      </c>
      <c r="B667">
        <f>IF(ISBLANK('Q:\Abteilungsprojekte\Eng\EngData\PROJECT_Bioplastics\Renjie_Pan\05-Raw_Data\Lab_results\[LabSamples2025_Bioplastic_extra.xlsx]extra_Bioplastic'!B667)," ",'Q:\Abteilungsprojekte\Eng\EngData\PROJECT_Bioplastics\Renjie_Pan\05-Raw_Data\Lab_results\[LabSamples2025_Bioplastic_extra.xlsx]extra_Bioplastic'!B667)</f>
        <v/>
      </c>
      <c r="C667">
        <f>IF(ISBLANK('Q:\Abteilungsprojekte\Eng\EngData\PROJECT_Bioplastics\Renjie_Pan\05-Raw_Data\Lab_results\[LabSamples2025_Bioplastic_extra.xlsx]extra_Bioplastic'!C667)," ",'Q:\Abteilungsprojekte\Eng\EngData\PROJECT_Bioplastics\Renjie_Pan\05-Raw_Data\Lab_results\[LabSamples2025_Bioplastic_extra.xlsx]extra_Bioplastic'!C667)</f>
        <v/>
      </c>
      <c r="D667">
        <f>IF(ISBLANK('Q:\Abteilungsprojekte\Eng\EngData\PROJECT_Bioplastics\Renjie_Pan\05-Raw_Data\Lab_results\[LabSamples2025_Bioplastic_extra.xlsx]extra_Bioplastic'!D667)," ",'Q:\Abteilungsprojekte\Eng\EngData\PROJECT_Bioplastics\Renjie_Pan\05-Raw_Data\Lab_results\[LabSamples2025_Bioplastic_extra.xlsx]extra_Bioplastic'!D667)</f>
        <v/>
      </c>
      <c r="E667">
        <f>IF(ISBLANK('Q:\Abteilungsprojekte\Eng\EngData\PROJECT_Bioplastics\Renjie_Pan\05-Raw_Data\Lab_results\[LabSamples2025_Bioplastic_extra.xlsx]extra_Bioplastic'!E667)," ",'Q:\Abteilungsprojekte\Eng\EngData\PROJECT_Bioplastics\Renjie_Pan\05-Raw_Data\Lab_results\[LabSamples2025_Bioplastic_extra.xlsx]extra_Bioplastic'!E667)</f>
        <v/>
      </c>
      <c r="F667">
        <f>IF(ISBLANK('Q:\Abteilungsprojekte\Eng\EngData\PROJECT_Bioplastics\Renjie_Pan\05-Raw_Data\Lab_results\[LabSamples2025_Bioplastic_extra.xlsx]extra_Bioplastic'!F667)," ",'Q:\Abteilungsprojekte\Eng\EngData\PROJECT_Bioplastics\Renjie_Pan\05-Raw_Data\Lab_results\[LabSamples2025_Bioplastic_extra.xlsx]extra_Bioplastic'!F667)</f>
        <v/>
      </c>
      <c r="G667">
        <f>IF(ISBLANK('Q:\Abteilungsprojekte\Eng\EngData\PROJECT_Bioplastics\Renjie_Pan\05-Raw_Data\Lab_results\[LabSamples2025_Bioplastic_extra.xlsx]extra_Bioplastic'!G667)," ",'Q:\Abteilungsprojekte\Eng\EngData\PROJECT_Bioplastics\Renjie_Pan\05-Raw_Data\Lab_results\[LabSamples2025_Bioplastic_extra.xlsx]extra_Bioplastic'!G667)</f>
        <v/>
      </c>
      <c r="H667">
        <f>IF(ISBLANK('Q:\Abteilungsprojekte\Eng\EngData\PROJECT_Bioplastics\Renjie_Pan\05-Raw_Data\Lab_results\[LabSamples2025_Bioplastic_extra.xlsx]extra_Bioplastic'!H667)," ",'Q:\Abteilungsprojekte\Eng\EngData\PROJECT_Bioplastics\Renjie_Pan\05-Raw_Data\Lab_results\[LabSamples2025_Bioplastic_extra.xlsx]extra_Bioplastic'!H667)</f>
        <v/>
      </c>
    </row>
    <row r="668">
      <c r="A668">
        <f>IF(ISBLANK('Q:\Abteilungsprojekte\Eng\EngData\PROJECT_Bioplastics\Renjie_Pan\05-Raw_Data\Lab_results\[LabSamples2025_Bioplastic_extra.xlsx]extra_Bioplastic'!A668)," ",'Q:\Abteilungsprojekte\Eng\EngData\PROJECT_Bioplastics\Renjie_Pan\05-Raw_Data\Lab_results\[LabSamples2025_Bioplastic_extra.xlsx]extra_Bioplastic'!A668)</f>
        <v/>
      </c>
      <c r="B668">
        <f>IF(ISBLANK('Q:\Abteilungsprojekte\Eng\EngData\PROJECT_Bioplastics\Renjie_Pan\05-Raw_Data\Lab_results\[LabSamples2025_Bioplastic_extra.xlsx]extra_Bioplastic'!B668)," ",'Q:\Abteilungsprojekte\Eng\EngData\PROJECT_Bioplastics\Renjie_Pan\05-Raw_Data\Lab_results\[LabSamples2025_Bioplastic_extra.xlsx]extra_Bioplastic'!B668)</f>
        <v/>
      </c>
      <c r="C668">
        <f>IF(ISBLANK('Q:\Abteilungsprojekte\Eng\EngData\PROJECT_Bioplastics\Renjie_Pan\05-Raw_Data\Lab_results\[LabSamples2025_Bioplastic_extra.xlsx]extra_Bioplastic'!C668)," ",'Q:\Abteilungsprojekte\Eng\EngData\PROJECT_Bioplastics\Renjie_Pan\05-Raw_Data\Lab_results\[LabSamples2025_Bioplastic_extra.xlsx]extra_Bioplastic'!C668)</f>
        <v/>
      </c>
      <c r="D668">
        <f>IF(ISBLANK('Q:\Abteilungsprojekte\Eng\EngData\PROJECT_Bioplastics\Renjie_Pan\05-Raw_Data\Lab_results\[LabSamples2025_Bioplastic_extra.xlsx]extra_Bioplastic'!D668)," ",'Q:\Abteilungsprojekte\Eng\EngData\PROJECT_Bioplastics\Renjie_Pan\05-Raw_Data\Lab_results\[LabSamples2025_Bioplastic_extra.xlsx]extra_Bioplastic'!D668)</f>
        <v/>
      </c>
      <c r="E668">
        <f>IF(ISBLANK('Q:\Abteilungsprojekte\Eng\EngData\PROJECT_Bioplastics\Renjie_Pan\05-Raw_Data\Lab_results\[LabSamples2025_Bioplastic_extra.xlsx]extra_Bioplastic'!E668)," ",'Q:\Abteilungsprojekte\Eng\EngData\PROJECT_Bioplastics\Renjie_Pan\05-Raw_Data\Lab_results\[LabSamples2025_Bioplastic_extra.xlsx]extra_Bioplastic'!E668)</f>
        <v/>
      </c>
      <c r="F668">
        <f>IF(ISBLANK('Q:\Abteilungsprojekte\Eng\EngData\PROJECT_Bioplastics\Renjie_Pan\05-Raw_Data\Lab_results\[LabSamples2025_Bioplastic_extra.xlsx]extra_Bioplastic'!F668)," ",'Q:\Abteilungsprojekte\Eng\EngData\PROJECT_Bioplastics\Renjie_Pan\05-Raw_Data\Lab_results\[LabSamples2025_Bioplastic_extra.xlsx]extra_Bioplastic'!F668)</f>
        <v/>
      </c>
      <c r="G668">
        <f>IF(ISBLANK('Q:\Abteilungsprojekte\Eng\EngData\PROJECT_Bioplastics\Renjie_Pan\05-Raw_Data\Lab_results\[LabSamples2025_Bioplastic_extra.xlsx]extra_Bioplastic'!G668)," ",'Q:\Abteilungsprojekte\Eng\EngData\PROJECT_Bioplastics\Renjie_Pan\05-Raw_Data\Lab_results\[LabSamples2025_Bioplastic_extra.xlsx]extra_Bioplastic'!G668)</f>
        <v/>
      </c>
      <c r="H668">
        <f>IF(ISBLANK('Q:\Abteilungsprojekte\Eng\EngData\PROJECT_Bioplastics\Renjie_Pan\05-Raw_Data\Lab_results\[LabSamples2025_Bioplastic_extra.xlsx]extra_Bioplastic'!H668)," ",'Q:\Abteilungsprojekte\Eng\EngData\PROJECT_Bioplastics\Renjie_Pan\05-Raw_Data\Lab_results\[LabSamples2025_Bioplastic_extra.xlsx]extra_Bioplastic'!H668)</f>
        <v/>
      </c>
    </row>
    <row r="669">
      <c r="A669">
        <f>IF(ISBLANK('Q:\Abteilungsprojekte\Eng\EngData\PROJECT_Bioplastics\Renjie_Pan\05-Raw_Data\Lab_results\[LabSamples2025_Bioplastic_extra.xlsx]extra_Bioplastic'!A669)," ",'Q:\Abteilungsprojekte\Eng\EngData\PROJECT_Bioplastics\Renjie_Pan\05-Raw_Data\Lab_results\[LabSamples2025_Bioplastic_extra.xlsx]extra_Bioplastic'!A669)</f>
        <v/>
      </c>
      <c r="B669">
        <f>IF(ISBLANK('Q:\Abteilungsprojekte\Eng\EngData\PROJECT_Bioplastics\Renjie_Pan\05-Raw_Data\Lab_results\[LabSamples2025_Bioplastic_extra.xlsx]extra_Bioplastic'!B669)," ",'Q:\Abteilungsprojekte\Eng\EngData\PROJECT_Bioplastics\Renjie_Pan\05-Raw_Data\Lab_results\[LabSamples2025_Bioplastic_extra.xlsx]extra_Bioplastic'!B669)</f>
        <v/>
      </c>
      <c r="C669">
        <f>IF(ISBLANK('Q:\Abteilungsprojekte\Eng\EngData\PROJECT_Bioplastics\Renjie_Pan\05-Raw_Data\Lab_results\[LabSamples2025_Bioplastic_extra.xlsx]extra_Bioplastic'!C669)," ",'Q:\Abteilungsprojekte\Eng\EngData\PROJECT_Bioplastics\Renjie_Pan\05-Raw_Data\Lab_results\[LabSamples2025_Bioplastic_extra.xlsx]extra_Bioplastic'!C669)</f>
        <v/>
      </c>
      <c r="D669">
        <f>IF(ISBLANK('Q:\Abteilungsprojekte\Eng\EngData\PROJECT_Bioplastics\Renjie_Pan\05-Raw_Data\Lab_results\[LabSamples2025_Bioplastic_extra.xlsx]extra_Bioplastic'!D669)," ",'Q:\Abteilungsprojekte\Eng\EngData\PROJECT_Bioplastics\Renjie_Pan\05-Raw_Data\Lab_results\[LabSamples2025_Bioplastic_extra.xlsx]extra_Bioplastic'!D669)</f>
        <v/>
      </c>
      <c r="E669">
        <f>IF(ISBLANK('Q:\Abteilungsprojekte\Eng\EngData\PROJECT_Bioplastics\Renjie_Pan\05-Raw_Data\Lab_results\[LabSamples2025_Bioplastic_extra.xlsx]extra_Bioplastic'!E669)," ",'Q:\Abteilungsprojekte\Eng\EngData\PROJECT_Bioplastics\Renjie_Pan\05-Raw_Data\Lab_results\[LabSamples2025_Bioplastic_extra.xlsx]extra_Bioplastic'!E669)</f>
        <v/>
      </c>
      <c r="F669">
        <f>IF(ISBLANK('Q:\Abteilungsprojekte\Eng\EngData\PROJECT_Bioplastics\Renjie_Pan\05-Raw_Data\Lab_results\[LabSamples2025_Bioplastic_extra.xlsx]extra_Bioplastic'!F669)," ",'Q:\Abteilungsprojekte\Eng\EngData\PROJECT_Bioplastics\Renjie_Pan\05-Raw_Data\Lab_results\[LabSamples2025_Bioplastic_extra.xlsx]extra_Bioplastic'!F669)</f>
        <v/>
      </c>
      <c r="G669">
        <f>IF(ISBLANK('Q:\Abteilungsprojekte\Eng\EngData\PROJECT_Bioplastics\Renjie_Pan\05-Raw_Data\Lab_results\[LabSamples2025_Bioplastic_extra.xlsx]extra_Bioplastic'!G669)," ",'Q:\Abteilungsprojekte\Eng\EngData\PROJECT_Bioplastics\Renjie_Pan\05-Raw_Data\Lab_results\[LabSamples2025_Bioplastic_extra.xlsx]extra_Bioplastic'!G669)</f>
        <v/>
      </c>
      <c r="H669">
        <f>IF(ISBLANK('Q:\Abteilungsprojekte\Eng\EngData\PROJECT_Bioplastics\Renjie_Pan\05-Raw_Data\Lab_results\[LabSamples2025_Bioplastic_extra.xlsx]extra_Bioplastic'!H669)," ",'Q:\Abteilungsprojekte\Eng\EngData\PROJECT_Bioplastics\Renjie_Pan\05-Raw_Data\Lab_results\[LabSamples2025_Bioplastic_extra.xlsx]extra_Bioplastic'!H669)</f>
        <v/>
      </c>
    </row>
    <row r="670">
      <c r="A670">
        <f>IF(ISBLANK('Q:\Abteilungsprojekte\Eng\EngData\PROJECT_Bioplastics\Renjie_Pan\05-Raw_Data\Lab_results\[LabSamples2025_Bioplastic_extra.xlsx]extra_Bioplastic'!A670)," ",'Q:\Abteilungsprojekte\Eng\EngData\PROJECT_Bioplastics\Renjie_Pan\05-Raw_Data\Lab_results\[LabSamples2025_Bioplastic_extra.xlsx]extra_Bioplastic'!A670)</f>
        <v/>
      </c>
      <c r="B670">
        <f>IF(ISBLANK('Q:\Abteilungsprojekte\Eng\EngData\PROJECT_Bioplastics\Renjie_Pan\05-Raw_Data\Lab_results\[LabSamples2025_Bioplastic_extra.xlsx]extra_Bioplastic'!B670)," ",'Q:\Abteilungsprojekte\Eng\EngData\PROJECT_Bioplastics\Renjie_Pan\05-Raw_Data\Lab_results\[LabSamples2025_Bioplastic_extra.xlsx]extra_Bioplastic'!B670)</f>
        <v/>
      </c>
      <c r="C670">
        <f>IF(ISBLANK('Q:\Abteilungsprojekte\Eng\EngData\PROJECT_Bioplastics\Renjie_Pan\05-Raw_Data\Lab_results\[LabSamples2025_Bioplastic_extra.xlsx]extra_Bioplastic'!C670)," ",'Q:\Abteilungsprojekte\Eng\EngData\PROJECT_Bioplastics\Renjie_Pan\05-Raw_Data\Lab_results\[LabSamples2025_Bioplastic_extra.xlsx]extra_Bioplastic'!C670)</f>
        <v/>
      </c>
      <c r="D670">
        <f>IF(ISBLANK('Q:\Abteilungsprojekte\Eng\EngData\PROJECT_Bioplastics\Renjie_Pan\05-Raw_Data\Lab_results\[LabSamples2025_Bioplastic_extra.xlsx]extra_Bioplastic'!D670)," ",'Q:\Abteilungsprojekte\Eng\EngData\PROJECT_Bioplastics\Renjie_Pan\05-Raw_Data\Lab_results\[LabSamples2025_Bioplastic_extra.xlsx]extra_Bioplastic'!D670)</f>
        <v/>
      </c>
      <c r="E670">
        <f>IF(ISBLANK('Q:\Abteilungsprojekte\Eng\EngData\PROJECT_Bioplastics\Renjie_Pan\05-Raw_Data\Lab_results\[LabSamples2025_Bioplastic_extra.xlsx]extra_Bioplastic'!E670)," ",'Q:\Abteilungsprojekte\Eng\EngData\PROJECT_Bioplastics\Renjie_Pan\05-Raw_Data\Lab_results\[LabSamples2025_Bioplastic_extra.xlsx]extra_Bioplastic'!E670)</f>
        <v/>
      </c>
      <c r="F670">
        <f>IF(ISBLANK('Q:\Abteilungsprojekte\Eng\EngData\PROJECT_Bioplastics\Renjie_Pan\05-Raw_Data\Lab_results\[LabSamples2025_Bioplastic_extra.xlsx]extra_Bioplastic'!F670)," ",'Q:\Abteilungsprojekte\Eng\EngData\PROJECT_Bioplastics\Renjie_Pan\05-Raw_Data\Lab_results\[LabSamples2025_Bioplastic_extra.xlsx]extra_Bioplastic'!F670)</f>
        <v/>
      </c>
      <c r="G670">
        <f>IF(ISBLANK('Q:\Abteilungsprojekte\Eng\EngData\PROJECT_Bioplastics\Renjie_Pan\05-Raw_Data\Lab_results\[LabSamples2025_Bioplastic_extra.xlsx]extra_Bioplastic'!G670)," ",'Q:\Abteilungsprojekte\Eng\EngData\PROJECT_Bioplastics\Renjie_Pan\05-Raw_Data\Lab_results\[LabSamples2025_Bioplastic_extra.xlsx]extra_Bioplastic'!G670)</f>
        <v/>
      </c>
      <c r="H670">
        <f>IF(ISBLANK('Q:\Abteilungsprojekte\Eng\EngData\PROJECT_Bioplastics\Renjie_Pan\05-Raw_Data\Lab_results\[LabSamples2025_Bioplastic_extra.xlsx]extra_Bioplastic'!H670)," ",'Q:\Abteilungsprojekte\Eng\EngData\PROJECT_Bioplastics\Renjie_Pan\05-Raw_Data\Lab_results\[LabSamples2025_Bioplastic_extra.xlsx]extra_Bioplastic'!H670)</f>
        <v/>
      </c>
    </row>
    <row r="671">
      <c r="A671">
        <f>IF(ISBLANK('Q:\Abteilungsprojekte\Eng\EngData\PROJECT_Bioplastics\Renjie_Pan\05-Raw_Data\Lab_results\[LabSamples2025_Bioplastic_extra.xlsx]extra_Bioplastic'!A671)," ",'Q:\Abteilungsprojekte\Eng\EngData\PROJECT_Bioplastics\Renjie_Pan\05-Raw_Data\Lab_results\[LabSamples2025_Bioplastic_extra.xlsx]extra_Bioplastic'!A671)</f>
        <v/>
      </c>
      <c r="B671">
        <f>IF(ISBLANK('Q:\Abteilungsprojekte\Eng\EngData\PROJECT_Bioplastics\Renjie_Pan\05-Raw_Data\Lab_results\[LabSamples2025_Bioplastic_extra.xlsx]extra_Bioplastic'!B671)," ",'Q:\Abteilungsprojekte\Eng\EngData\PROJECT_Bioplastics\Renjie_Pan\05-Raw_Data\Lab_results\[LabSamples2025_Bioplastic_extra.xlsx]extra_Bioplastic'!B671)</f>
        <v/>
      </c>
      <c r="C671">
        <f>IF(ISBLANK('Q:\Abteilungsprojekte\Eng\EngData\PROJECT_Bioplastics\Renjie_Pan\05-Raw_Data\Lab_results\[LabSamples2025_Bioplastic_extra.xlsx]extra_Bioplastic'!C671)," ",'Q:\Abteilungsprojekte\Eng\EngData\PROJECT_Bioplastics\Renjie_Pan\05-Raw_Data\Lab_results\[LabSamples2025_Bioplastic_extra.xlsx]extra_Bioplastic'!C671)</f>
        <v/>
      </c>
      <c r="D671">
        <f>IF(ISBLANK('Q:\Abteilungsprojekte\Eng\EngData\PROJECT_Bioplastics\Renjie_Pan\05-Raw_Data\Lab_results\[LabSamples2025_Bioplastic_extra.xlsx]extra_Bioplastic'!D671)," ",'Q:\Abteilungsprojekte\Eng\EngData\PROJECT_Bioplastics\Renjie_Pan\05-Raw_Data\Lab_results\[LabSamples2025_Bioplastic_extra.xlsx]extra_Bioplastic'!D671)</f>
        <v/>
      </c>
      <c r="E671">
        <f>IF(ISBLANK('Q:\Abteilungsprojekte\Eng\EngData\PROJECT_Bioplastics\Renjie_Pan\05-Raw_Data\Lab_results\[LabSamples2025_Bioplastic_extra.xlsx]extra_Bioplastic'!E671)," ",'Q:\Abteilungsprojekte\Eng\EngData\PROJECT_Bioplastics\Renjie_Pan\05-Raw_Data\Lab_results\[LabSamples2025_Bioplastic_extra.xlsx]extra_Bioplastic'!E671)</f>
        <v/>
      </c>
      <c r="F671">
        <f>IF(ISBLANK('Q:\Abteilungsprojekte\Eng\EngData\PROJECT_Bioplastics\Renjie_Pan\05-Raw_Data\Lab_results\[LabSamples2025_Bioplastic_extra.xlsx]extra_Bioplastic'!F671)," ",'Q:\Abteilungsprojekte\Eng\EngData\PROJECT_Bioplastics\Renjie_Pan\05-Raw_Data\Lab_results\[LabSamples2025_Bioplastic_extra.xlsx]extra_Bioplastic'!F671)</f>
        <v/>
      </c>
      <c r="G671">
        <f>IF(ISBLANK('Q:\Abteilungsprojekte\Eng\EngData\PROJECT_Bioplastics\Renjie_Pan\05-Raw_Data\Lab_results\[LabSamples2025_Bioplastic_extra.xlsx]extra_Bioplastic'!G671)," ",'Q:\Abteilungsprojekte\Eng\EngData\PROJECT_Bioplastics\Renjie_Pan\05-Raw_Data\Lab_results\[LabSamples2025_Bioplastic_extra.xlsx]extra_Bioplastic'!G671)</f>
        <v/>
      </c>
      <c r="H671">
        <f>IF(ISBLANK('Q:\Abteilungsprojekte\Eng\EngData\PROJECT_Bioplastics\Renjie_Pan\05-Raw_Data\Lab_results\[LabSamples2025_Bioplastic_extra.xlsx]extra_Bioplastic'!H671)," ",'Q:\Abteilungsprojekte\Eng\EngData\PROJECT_Bioplastics\Renjie_Pan\05-Raw_Data\Lab_results\[LabSamples2025_Bioplastic_extra.xlsx]extra_Bioplastic'!H671)</f>
        <v/>
      </c>
    </row>
    <row r="672">
      <c r="A672">
        <f>IF(ISBLANK('Q:\Abteilungsprojekte\Eng\EngData\PROJECT_Bioplastics\Renjie_Pan\05-Raw_Data\Lab_results\[LabSamples2025_Bioplastic_extra.xlsx]extra_Bioplastic'!A672)," ",'Q:\Abteilungsprojekte\Eng\EngData\PROJECT_Bioplastics\Renjie_Pan\05-Raw_Data\Lab_results\[LabSamples2025_Bioplastic_extra.xlsx]extra_Bioplastic'!A672)</f>
        <v/>
      </c>
      <c r="B672">
        <f>IF(ISBLANK('Q:\Abteilungsprojekte\Eng\EngData\PROJECT_Bioplastics\Renjie_Pan\05-Raw_Data\Lab_results\[LabSamples2025_Bioplastic_extra.xlsx]extra_Bioplastic'!B672)," ",'Q:\Abteilungsprojekte\Eng\EngData\PROJECT_Bioplastics\Renjie_Pan\05-Raw_Data\Lab_results\[LabSamples2025_Bioplastic_extra.xlsx]extra_Bioplastic'!B672)</f>
        <v/>
      </c>
      <c r="C672">
        <f>IF(ISBLANK('Q:\Abteilungsprojekte\Eng\EngData\PROJECT_Bioplastics\Renjie_Pan\05-Raw_Data\Lab_results\[LabSamples2025_Bioplastic_extra.xlsx]extra_Bioplastic'!C672)," ",'Q:\Abteilungsprojekte\Eng\EngData\PROJECT_Bioplastics\Renjie_Pan\05-Raw_Data\Lab_results\[LabSamples2025_Bioplastic_extra.xlsx]extra_Bioplastic'!C672)</f>
        <v/>
      </c>
      <c r="D672">
        <f>IF(ISBLANK('Q:\Abteilungsprojekte\Eng\EngData\PROJECT_Bioplastics\Renjie_Pan\05-Raw_Data\Lab_results\[LabSamples2025_Bioplastic_extra.xlsx]extra_Bioplastic'!D672)," ",'Q:\Abteilungsprojekte\Eng\EngData\PROJECT_Bioplastics\Renjie_Pan\05-Raw_Data\Lab_results\[LabSamples2025_Bioplastic_extra.xlsx]extra_Bioplastic'!D672)</f>
        <v/>
      </c>
      <c r="E672">
        <f>IF(ISBLANK('Q:\Abteilungsprojekte\Eng\EngData\PROJECT_Bioplastics\Renjie_Pan\05-Raw_Data\Lab_results\[LabSamples2025_Bioplastic_extra.xlsx]extra_Bioplastic'!E672)," ",'Q:\Abteilungsprojekte\Eng\EngData\PROJECT_Bioplastics\Renjie_Pan\05-Raw_Data\Lab_results\[LabSamples2025_Bioplastic_extra.xlsx]extra_Bioplastic'!E672)</f>
        <v/>
      </c>
      <c r="F672">
        <f>IF(ISBLANK('Q:\Abteilungsprojekte\Eng\EngData\PROJECT_Bioplastics\Renjie_Pan\05-Raw_Data\Lab_results\[LabSamples2025_Bioplastic_extra.xlsx]extra_Bioplastic'!F672)," ",'Q:\Abteilungsprojekte\Eng\EngData\PROJECT_Bioplastics\Renjie_Pan\05-Raw_Data\Lab_results\[LabSamples2025_Bioplastic_extra.xlsx]extra_Bioplastic'!F672)</f>
        <v/>
      </c>
      <c r="G672">
        <f>IF(ISBLANK('Q:\Abteilungsprojekte\Eng\EngData\PROJECT_Bioplastics\Renjie_Pan\05-Raw_Data\Lab_results\[LabSamples2025_Bioplastic_extra.xlsx]extra_Bioplastic'!G672)," ",'Q:\Abteilungsprojekte\Eng\EngData\PROJECT_Bioplastics\Renjie_Pan\05-Raw_Data\Lab_results\[LabSamples2025_Bioplastic_extra.xlsx]extra_Bioplastic'!G672)</f>
        <v/>
      </c>
      <c r="H672">
        <f>IF(ISBLANK('Q:\Abteilungsprojekte\Eng\EngData\PROJECT_Bioplastics\Renjie_Pan\05-Raw_Data\Lab_results\[LabSamples2025_Bioplastic_extra.xlsx]extra_Bioplastic'!H672)," ",'Q:\Abteilungsprojekte\Eng\EngData\PROJECT_Bioplastics\Renjie_Pan\05-Raw_Data\Lab_results\[LabSamples2025_Bioplastic_extra.xlsx]extra_Bioplastic'!H672)</f>
        <v/>
      </c>
    </row>
    <row r="673">
      <c r="A673">
        <f>IF(ISBLANK('Q:\Abteilungsprojekte\Eng\EngData\PROJECT_Bioplastics\Renjie_Pan\05-Raw_Data\Lab_results\[LabSamples2025_Bioplastic_extra.xlsx]extra_Bioplastic'!A673)," ",'Q:\Abteilungsprojekte\Eng\EngData\PROJECT_Bioplastics\Renjie_Pan\05-Raw_Data\Lab_results\[LabSamples2025_Bioplastic_extra.xlsx]extra_Bioplastic'!A673)</f>
        <v/>
      </c>
      <c r="B673">
        <f>IF(ISBLANK('Q:\Abteilungsprojekte\Eng\EngData\PROJECT_Bioplastics\Renjie_Pan\05-Raw_Data\Lab_results\[LabSamples2025_Bioplastic_extra.xlsx]extra_Bioplastic'!B673)," ",'Q:\Abteilungsprojekte\Eng\EngData\PROJECT_Bioplastics\Renjie_Pan\05-Raw_Data\Lab_results\[LabSamples2025_Bioplastic_extra.xlsx]extra_Bioplastic'!B673)</f>
        <v/>
      </c>
      <c r="C673">
        <f>IF(ISBLANK('Q:\Abteilungsprojekte\Eng\EngData\PROJECT_Bioplastics\Renjie_Pan\05-Raw_Data\Lab_results\[LabSamples2025_Bioplastic_extra.xlsx]extra_Bioplastic'!C673)," ",'Q:\Abteilungsprojekte\Eng\EngData\PROJECT_Bioplastics\Renjie_Pan\05-Raw_Data\Lab_results\[LabSamples2025_Bioplastic_extra.xlsx]extra_Bioplastic'!C673)</f>
        <v/>
      </c>
      <c r="D673">
        <f>IF(ISBLANK('Q:\Abteilungsprojekte\Eng\EngData\PROJECT_Bioplastics\Renjie_Pan\05-Raw_Data\Lab_results\[LabSamples2025_Bioplastic_extra.xlsx]extra_Bioplastic'!D673)," ",'Q:\Abteilungsprojekte\Eng\EngData\PROJECT_Bioplastics\Renjie_Pan\05-Raw_Data\Lab_results\[LabSamples2025_Bioplastic_extra.xlsx]extra_Bioplastic'!D673)</f>
        <v/>
      </c>
      <c r="E673">
        <f>IF(ISBLANK('Q:\Abteilungsprojekte\Eng\EngData\PROJECT_Bioplastics\Renjie_Pan\05-Raw_Data\Lab_results\[LabSamples2025_Bioplastic_extra.xlsx]extra_Bioplastic'!E673)," ",'Q:\Abteilungsprojekte\Eng\EngData\PROJECT_Bioplastics\Renjie_Pan\05-Raw_Data\Lab_results\[LabSamples2025_Bioplastic_extra.xlsx]extra_Bioplastic'!E673)</f>
        <v/>
      </c>
      <c r="F673">
        <f>IF(ISBLANK('Q:\Abteilungsprojekte\Eng\EngData\PROJECT_Bioplastics\Renjie_Pan\05-Raw_Data\Lab_results\[LabSamples2025_Bioplastic_extra.xlsx]extra_Bioplastic'!F673)," ",'Q:\Abteilungsprojekte\Eng\EngData\PROJECT_Bioplastics\Renjie_Pan\05-Raw_Data\Lab_results\[LabSamples2025_Bioplastic_extra.xlsx]extra_Bioplastic'!F673)</f>
        <v/>
      </c>
      <c r="G673">
        <f>IF(ISBLANK('Q:\Abteilungsprojekte\Eng\EngData\PROJECT_Bioplastics\Renjie_Pan\05-Raw_Data\Lab_results\[LabSamples2025_Bioplastic_extra.xlsx]extra_Bioplastic'!G673)," ",'Q:\Abteilungsprojekte\Eng\EngData\PROJECT_Bioplastics\Renjie_Pan\05-Raw_Data\Lab_results\[LabSamples2025_Bioplastic_extra.xlsx]extra_Bioplastic'!G673)</f>
        <v/>
      </c>
      <c r="H673">
        <f>IF(ISBLANK('Q:\Abteilungsprojekte\Eng\EngData\PROJECT_Bioplastics\Renjie_Pan\05-Raw_Data\Lab_results\[LabSamples2025_Bioplastic_extra.xlsx]extra_Bioplastic'!H673)," ",'Q:\Abteilungsprojekte\Eng\EngData\PROJECT_Bioplastics\Renjie_Pan\05-Raw_Data\Lab_results\[LabSamples2025_Bioplastic_extra.xlsx]extra_Bioplastic'!H673)</f>
        <v/>
      </c>
    </row>
    <row r="674">
      <c r="A674">
        <f>IF(ISBLANK('Q:\Abteilungsprojekte\Eng\EngData\PROJECT_Bioplastics\Renjie_Pan\05-Raw_Data\Lab_results\[LabSamples2025_Bioplastic_extra.xlsx]extra_Bioplastic'!A674)," ",'Q:\Abteilungsprojekte\Eng\EngData\PROJECT_Bioplastics\Renjie_Pan\05-Raw_Data\Lab_results\[LabSamples2025_Bioplastic_extra.xlsx]extra_Bioplastic'!A674)</f>
        <v/>
      </c>
      <c r="B674">
        <f>IF(ISBLANK('Q:\Abteilungsprojekte\Eng\EngData\PROJECT_Bioplastics\Renjie_Pan\05-Raw_Data\Lab_results\[LabSamples2025_Bioplastic_extra.xlsx]extra_Bioplastic'!B674)," ",'Q:\Abteilungsprojekte\Eng\EngData\PROJECT_Bioplastics\Renjie_Pan\05-Raw_Data\Lab_results\[LabSamples2025_Bioplastic_extra.xlsx]extra_Bioplastic'!B674)</f>
        <v/>
      </c>
      <c r="C674">
        <f>IF(ISBLANK('Q:\Abteilungsprojekte\Eng\EngData\PROJECT_Bioplastics\Renjie_Pan\05-Raw_Data\Lab_results\[LabSamples2025_Bioplastic_extra.xlsx]extra_Bioplastic'!C674)," ",'Q:\Abteilungsprojekte\Eng\EngData\PROJECT_Bioplastics\Renjie_Pan\05-Raw_Data\Lab_results\[LabSamples2025_Bioplastic_extra.xlsx]extra_Bioplastic'!C674)</f>
        <v/>
      </c>
      <c r="D674">
        <f>IF(ISBLANK('Q:\Abteilungsprojekte\Eng\EngData\PROJECT_Bioplastics\Renjie_Pan\05-Raw_Data\Lab_results\[LabSamples2025_Bioplastic_extra.xlsx]extra_Bioplastic'!D674)," ",'Q:\Abteilungsprojekte\Eng\EngData\PROJECT_Bioplastics\Renjie_Pan\05-Raw_Data\Lab_results\[LabSamples2025_Bioplastic_extra.xlsx]extra_Bioplastic'!D674)</f>
        <v/>
      </c>
      <c r="E674">
        <f>IF(ISBLANK('Q:\Abteilungsprojekte\Eng\EngData\PROJECT_Bioplastics\Renjie_Pan\05-Raw_Data\Lab_results\[LabSamples2025_Bioplastic_extra.xlsx]extra_Bioplastic'!E674)," ",'Q:\Abteilungsprojekte\Eng\EngData\PROJECT_Bioplastics\Renjie_Pan\05-Raw_Data\Lab_results\[LabSamples2025_Bioplastic_extra.xlsx]extra_Bioplastic'!E674)</f>
        <v/>
      </c>
      <c r="F674">
        <f>IF(ISBLANK('Q:\Abteilungsprojekte\Eng\EngData\PROJECT_Bioplastics\Renjie_Pan\05-Raw_Data\Lab_results\[LabSamples2025_Bioplastic_extra.xlsx]extra_Bioplastic'!F674)," ",'Q:\Abteilungsprojekte\Eng\EngData\PROJECT_Bioplastics\Renjie_Pan\05-Raw_Data\Lab_results\[LabSamples2025_Bioplastic_extra.xlsx]extra_Bioplastic'!F674)</f>
        <v/>
      </c>
      <c r="G674">
        <f>IF(ISBLANK('Q:\Abteilungsprojekte\Eng\EngData\PROJECT_Bioplastics\Renjie_Pan\05-Raw_Data\Lab_results\[LabSamples2025_Bioplastic_extra.xlsx]extra_Bioplastic'!G674)," ",'Q:\Abteilungsprojekte\Eng\EngData\PROJECT_Bioplastics\Renjie_Pan\05-Raw_Data\Lab_results\[LabSamples2025_Bioplastic_extra.xlsx]extra_Bioplastic'!G674)</f>
        <v/>
      </c>
      <c r="H674">
        <f>IF(ISBLANK('Q:\Abteilungsprojekte\Eng\EngData\PROJECT_Bioplastics\Renjie_Pan\05-Raw_Data\Lab_results\[LabSamples2025_Bioplastic_extra.xlsx]extra_Bioplastic'!H674)," ",'Q:\Abteilungsprojekte\Eng\EngData\PROJECT_Bioplastics\Renjie_Pan\05-Raw_Data\Lab_results\[LabSamples2025_Bioplastic_extra.xlsx]extra_Bioplastic'!H674)</f>
        <v/>
      </c>
    </row>
    <row r="675">
      <c r="A675">
        <f>IF(ISBLANK('Q:\Abteilungsprojekte\Eng\EngData\PROJECT_Bioplastics\Renjie_Pan\05-Raw_Data\Lab_results\[LabSamples2025_Bioplastic_extra.xlsx]extra_Bioplastic'!A675)," ",'Q:\Abteilungsprojekte\Eng\EngData\PROJECT_Bioplastics\Renjie_Pan\05-Raw_Data\Lab_results\[LabSamples2025_Bioplastic_extra.xlsx]extra_Bioplastic'!A675)</f>
        <v/>
      </c>
      <c r="B675">
        <f>IF(ISBLANK('Q:\Abteilungsprojekte\Eng\EngData\PROJECT_Bioplastics\Renjie_Pan\05-Raw_Data\Lab_results\[LabSamples2025_Bioplastic_extra.xlsx]extra_Bioplastic'!B675)," ",'Q:\Abteilungsprojekte\Eng\EngData\PROJECT_Bioplastics\Renjie_Pan\05-Raw_Data\Lab_results\[LabSamples2025_Bioplastic_extra.xlsx]extra_Bioplastic'!B675)</f>
        <v/>
      </c>
      <c r="C675">
        <f>IF(ISBLANK('Q:\Abteilungsprojekte\Eng\EngData\PROJECT_Bioplastics\Renjie_Pan\05-Raw_Data\Lab_results\[LabSamples2025_Bioplastic_extra.xlsx]extra_Bioplastic'!C675)," ",'Q:\Abteilungsprojekte\Eng\EngData\PROJECT_Bioplastics\Renjie_Pan\05-Raw_Data\Lab_results\[LabSamples2025_Bioplastic_extra.xlsx]extra_Bioplastic'!C675)</f>
        <v/>
      </c>
      <c r="D675">
        <f>IF(ISBLANK('Q:\Abteilungsprojekte\Eng\EngData\PROJECT_Bioplastics\Renjie_Pan\05-Raw_Data\Lab_results\[LabSamples2025_Bioplastic_extra.xlsx]extra_Bioplastic'!D675)," ",'Q:\Abteilungsprojekte\Eng\EngData\PROJECT_Bioplastics\Renjie_Pan\05-Raw_Data\Lab_results\[LabSamples2025_Bioplastic_extra.xlsx]extra_Bioplastic'!D675)</f>
        <v/>
      </c>
      <c r="E675">
        <f>IF(ISBLANK('Q:\Abteilungsprojekte\Eng\EngData\PROJECT_Bioplastics\Renjie_Pan\05-Raw_Data\Lab_results\[LabSamples2025_Bioplastic_extra.xlsx]extra_Bioplastic'!E675)," ",'Q:\Abteilungsprojekte\Eng\EngData\PROJECT_Bioplastics\Renjie_Pan\05-Raw_Data\Lab_results\[LabSamples2025_Bioplastic_extra.xlsx]extra_Bioplastic'!E675)</f>
        <v/>
      </c>
      <c r="F675">
        <f>IF(ISBLANK('Q:\Abteilungsprojekte\Eng\EngData\PROJECT_Bioplastics\Renjie_Pan\05-Raw_Data\Lab_results\[LabSamples2025_Bioplastic_extra.xlsx]extra_Bioplastic'!F675)," ",'Q:\Abteilungsprojekte\Eng\EngData\PROJECT_Bioplastics\Renjie_Pan\05-Raw_Data\Lab_results\[LabSamples2025_Bioplastic_extra.xlsx]extra_Bioplastic'!F675)</f>
        <v/>
      </c>
      <c r="G675">
        <f>IF(ISBLANK('Q:\Abteilungsprojekte\Eng\EngData\PROJECT_Bioplastics\Renjie_Pan\05-Raw_Data\Lab_results\[LabSamples2025_Bioplastic_extra.xlsx]extra_Bioplastic'!G675)," ",'Q:\Abteilungsprojekte\Eng\EngData\PROJECT_Bioplastics\Renjie_Pan\05-Raw_Data\Lab_results\[LabSamples2025_Bioplastic_extra.xlsx]extra_Bioplastic'!G675)</f>
        <v/>
      </c>
      <c r="H675">
        <f>IF(ISBLANK('Q:\Abteilungsprojekte\Eng\EngData\PROJECT_Bioplastics\Renjie_Pan\05-Raw_Data\Lab_results\[LabSamples2025_Bioplastic_extra.xlsx]extra_Bioplastic'!H675)," ",'Q:\Abteilungsprojekte\Eng\EngData\PROJECT_Bioplastics\Renjie_Pan\05-Raw_Data\Lab_results\[LabSamples2025_Bioplastic_extra.xlsx]extra_Bioplastic'!H675)</f>
        <v/>
      </c>
    </row>
    <row r="676">
      <c r="A676">
        <f>IF(ISBLANK('Q:\Abteilungsprojekte\Eng\EngData\PROJECT_Bioplastics\Renjie_Pan\05-Raw_Data\Lab_results\[LabSamples2025_Bioplastic_extra.xlsx]extra_Bioplastic'!A676)," ",'Q:\Abteilungsprojekte\Eng\EngData\PROJECT_Bioplastics\Renjie_Pan\05-Raw_Data\Lab_results\[LabSamples2025_Bioplastic_extra.xlsx]extra_Bioplastic'!A676)</f>
        <v/>
      </c>
      <c r="B676">
        <f>IF(ISBLANK('Q:\Abteilungsprojekte\Eng\EngData\PROJECT_Bioplastics\Renjie_Pan\05-Raw_Data\Lab_results\[LabSamples2025_Bioplastic_extra.xlsx]extra_Bioplastic'!B676)," ",'Q:\Abteilungsprojekte\Eng\EngData\PROJECT_Bioplastics\Renjie_Pan\05-Raw_Data\Lab_results\[LabSamples2025_Bioplastic_extra.xlsx]extra_Bioplastic'!B676)</f>
        <v/>
      </c>
      <c r="C676">
        <f>IF(ISBLANK('Q:\Abteilungsprojekte\Eng\EngData\PROJECT_Bioplastics\Renjie_Pan\05-Raw_Data\Lab_results\[LabSamples2025_Bioplastic_extra.xlsx]extra_Bioplastic'!C676)," ",'Q:\Abteilungsprojekte\Eng\EngData\PROJECT_Bioplastics\Renjie_Pan\05-Raw_Data\Lab_results\[LabSamples2025_Bioplastic_extra.xlsx]extra_Bioplastic'!C676)</f>
        <v/>
      </c>
      <c r="D676">
        <f>IF(ISBLANK('Q:\Abteilungsprojekte\Eng\EngData\PROJECT_Bioplastics\Renjie_Pan\05-Raw_Data\Lab_results\[LabSamples2025_Bioplastic_extra.xlsx]extra_Bioplastic'!D676)," ",'Q:\Abteilungsprojekte\Eng\EngData\PROJECT_Bioplastics\Renjie_Pan\05-Raw_Data\Lab_results\[LabSamples2025_Bioplastic_extra.xlsx]extra_Bioplastic'!D676)</f>
        <v/>
      </c>
      <c r="E676">
        <f>IF(ISBLANK('Q:\Abteilungsprojekte\Eng\EngData\PROJECT_Bioplastics\Renjie_Pan\05-Raw_Data\Lab_results\[LabSamples2025_Bioplastic_extra.xlsx]extra_Bioplastic'!E676)," ",'Q:\Abteilungsprojekte\Eng\EngData\PROJECT_Bioplastics\Renjie_Pan\05-Raw_Data\Lab_results\[LabSamples2025_Bioplastic_extra.xlsx]extra_Bioplastic'!E676)</f>
        <v/>
      </c>
      <c r="F676">
        <f>IF(ISBLANK('Q:\Abteilungsprojekte\Eng\EngData\PROJECT_Bioplastics\Renjie_Pan\05-Raw_Data\Lab_results\[LabSamples2025_Bioplastic_extra.xlsx]extra_Bioplastic'!F676)," ",'Q:\Abteilungsprojekte\Eng\EngData\PROJECT_Bioplastics\Renjie_Pan\05-Raw_Data\Lab_results\[LabSamples2025_Bioplastic_extra.xlsx]extra_Bioplastic'!F676)</f>
        <v/>
      </c>
      <c r="G676">
        <f>IF(ISBLANK('Q:\Abteilungsprojekte\Eng\EngData\PROJECT_Bioplastics\Renjie_Pan\05-Raw_Data\Lab_results\[LabSamples2025_Bioplastic_extra.xlsx]extra_Bioplastic'!G676)," ",'Q:\Abteilungsprojekte\Eng\EngData\PROJECT_Bioplastics\Renjie_Pan\05-Raw_Data\Lab_results\[LabSamples2025_Bioplastic_extra.xlsx]extra_Bioplastic'!G676)</f>
        <v/>
      </c>
      <c r="H676">
        <f>IF(ISBLANK('Q:\Abteilungsprojekte\Eng\EngData\PROJECT_Bioplastics\Renjie_Pan\05-Raw_Data\Lab_results\[LabSamples2025_Bioplastic_extra.xlsx]extra_Bioplastic'!H676)," ",'Q:\Abteilungsprojekte\Eng\EngData\PROJECT_Bioplastics\Renjie_Pan\05-Raw_Data\Lab_results\[LabSamples2025_Bioplastic_extra.xlsx]extra_Bioplastic'!H676)</f>
        <v/>
      </c>
    </row>
    <row r="677">
      <c r="A677">
        <f>IF(ISBLANK('Q:\Abteilungsprojekte\Eng\EngData\PROJECT_Bioplastics\Renjie_Pan\05-Raw_Data\Lab_results\[LabSamples2025_Bioplastic_extra.xlsx]extra_Bioplastic'!A677)," ",'Q:\Abteilungsprojekte\Eng\EngData\PROJECT_Bioplastics\Renjie_Pan\05-Raw_Data\Lab_results\[LabSamples2025_Bioplastic_extra.xlsx]extra_Bioplastic'!A677)</f>
        <v/>
      </c>
      <c r="B677">
        <f>IF(ISBLANK('Q:\Abteilungsprojekte\Eng\EngData\PROJECT_Bioplastics\Renjie_Pan\05-Raw_Data\Lab_results\[LabSamples2025_Bioplastic_extra.xlsx]extra_Bioplastic'!B677)," ",'Q:\Abteilungsprojekte\Eng\EngData\PROJECT_Bioplastics\Renjie_Pan\05-Raw_Data\Lab_results\[LabSamples2025_Bioplastic_extra.xlsx]extra_Bioplastic'!B677)</f>
        <v/>
      </c>
      <c r="C677">
        <f>IF(ISBLANK('Q:\Abteilungsprojekte\Eng\EngData\PROJECT_Bioplastics\Renjie_Pan\05-Raw_Data\Lab_results\[LabSamples2025_Bioplastic_extra.xlsx]extra_Bioplastic'!C677)," ",'Q:\Abteilungsprojekte\Eng\EngData\PROJECT_Bioplastics\Renjie_Pan\05-Raw_Data\Lab_results\[LabSamples2025_Bioplastic_extra.xlsx]extra_Bioplastic'!C677)</f>
        <v/>
      </c>
      <c r="D677">
        <f>IF(ISBLANK('Q:\Abteilungsprojekte\Eng\EngData\PROJECT_Bioplastics\Renjie_Pan\05-Raw_Data\Lab_results\[LabSamples2025_Bioplastic_extra.xlsx]extra_Bioplastic'!D677)," ",'Q:\Abteilungsprojekte\Eng\EngData\PROJECT_Bioplastics\Renjie_Pan\05-Raw_Data\Lab_results\[LabSamples2025_Bioplastic_extra.xlsx]extra_Bioplastic'!D677)</f>
        <v/>
      </c>
      <c r="E677">
        <f>IF(ISBLANK('Q:\Abteilungsprojekte\Eng\EngData\PROJECT_Bioplastics\Renjie_Pan\05-Raw_Data\Lab_results\[LabSamples2025_Bioplastic_extra.xlsx]extra_Bioplastic'!E677)," ",'Q:\Abteilungsprojekte\Eng\EngData\PROJECT_Bioplastics\Renjie_Pan\05-Raw_Data\Lab_results\[LabSamples2025_Bioplastic_extra.xlsx]extra_Bioplastic'!E677)</f>
        <v/>
      </c>
      <c r="F677">
        <f>IF(ISBLANK('Q:\Abteilungsprojekte\Eng\EngData\PROJECT_Bioplastics\Renjie_Pan\05-Raw_Data\Lab_results\[LabSamples2025_Bioplastic_extra.xlsx]extra_Bioplastic'!F677)," ",'Q:\Abteilungsprojekte\Eng\EngData\PROJECT_Bioplastics\Renjie_Pan\05-Raw_Data\Lab_results\[LabSamples2025_Bioplastic_extra.xlsx]extra_Bioplastic'!F677)</f>
        <v/>
      </c>
      <c r="G677">
        <f>IF(ISBLANK('Q:\Abteilungsprojekte\Eng\EngData\PROJECT_Bioplastics\Renjie_Pan\05-Raw_Data\Lab_results\[LabSamples2025_Bioplastic_extra.xlsx]extra_Bioplastic'!G677)," ",'Q:\Abteilungsprojekte\Eng\EngData\PROJECT_Bioplastics\Renjie_Pan\05-Raw_Data\Lab_results\[LabSamples2025_Bioplastic_extra.xlsx]extra_Bioplastic'!G677)</f>
        <v/>
      </c>
      <c r="H677">
        <f>IF(ISBLANK('Q:\Abteilungsprojekte\Eng\EngData\PROJECT_Bioplastics\Renjie_Pan\05-Raw_Data\Lab_results\[LabSamples2025_Bioplastic_extra.xlsx]extra_Bioplastic'!H677)," ",'Q:\Abteilungsprojekte\Eng\EngData\PROJECT_Bioplastics\Renjie_Pan\05-Raw_Data\Lab_results\[LabSamples2025_Bioplastic_extra.xlsx]extra_Bioplastic'!H677)</f>
        <v/>
      </c>
    </row>
    <row r="678">
      <c r="A678">
        <f>IF(ISBLANK('Q:\Abteilungsprojekte\Eng\EngData\PROJECT_Bioplastics\Renjie_Pan\05-Raw_Data\Lab_results\[LabSamples2025_Bioplastic_extra.xlsx]extra_Bioplastic'!A678)," ",'Q:\Abteilungsprojekte\Eng\EngData\PROJECT_Bioplastics\Renjie_Pan\05-Raw_Data\Lab_results\[LabSamples2025_Bioplastic_extra.xlsx]extra_Bioplastic'!A678)</f>
        <v/>
      </c>
      <c r="B678">
        <f>IF(ISBLANK('Q:\Abteilungsprojekte\Eng\EngData\PROJECT_Bioplastics\Renjie_Pan\05-Raw_Data\Lab_results\[LabSamples2025_Bioplastic_extra.xlsx]extra_Bioplastic'!B678)," ",'Q:\Abteilungsprojekte\Eng\EngData\PROJECT_Bioplastics\Renjie_Pan\05-Raw_Data\Lab_results\[LabSamples2025_Bioplastic_extra.xlsx]extra_Bioplastic'!B678)</f>
        <v/>
      </c>
      <c r="C678">
        <f>IF(ISBLANK('Q:\Abteilungsprojekte\Eng\EngData\PROJECT_Bioplastics\Renjie_Pan\05-Raw_Data\Lab_results\[LabSamples2025_Bioplastic_extra.xlsx]extra_Bioplastic'!C678)," ",'Q:\Abteilungsprojekte\Eng\EngData\PROJECT_Bioplastics\Renjie_Pan\05-Raw_Data\Lab_results\[LabSamples2025_Bioplastic_extra.xlsx]extra_Bioplastic'!C678)</f>
        <v/>
      </c>
      <c r="D678">
        <f>IF(ISBLANK('Q:\Abteilungsprojekte\Eng\EngData\PROJECT_Bioplastics\Renjie_Pan\05-Raw_Data\Lab_results\[LabSamples2025_Bioplastic_extra.xlsx]extra_Bioplastic'!D678)," ",'Q:\Abteilungsprojekte\Eng\EngData\PROJECT_Bioplastics\Renjie_Pan\05-Raw_Data\Lab_results\[LabSamples2025_Bioplastic_extra.xlsx]extra_Bioplastic'!D678)</f>
        <v/>
      </c>
      <c r="E678">
        <f>IF(ISBLANK('Q:\Abteilungsprojekte\Eng\EngData\PROJECT_Bioplastics\Renjie_Pan\05-Raw_Data\Lab_results\[LabSamples2025_Bioplastic_extra.xlsx]extra_Bioplastic'!E678)," ",'Q:\Abteilungsprojekte\Eng\EngData\PROJECT_Bioplastics\Renjie_Pan\05-Raw_Data\Lab_results\[LabSamples2025_Bioplastic_extra.xlsx]extra_Bioplastic'!E678)</f>
        <v/>
      </c>
      <c r="F678">
        <f>IF(ISBLANK('Q:\Abteilungsprojekte\Eng\EngData\PROJECT_Bioplastics\Renjie_Pan\05-Raw_Data\Lab_results\[LabSamples2025_Bioplastic_extra.xlsx]extra_Bioplastic'!F678)," ",'Q:\Abteilungsprojekte\Eng\EngData\PROJECT_Bioplastics\Renjie_Pan\05-Raw_Data\Lab_results\[LabSamples2025_Bioplastic_extra.xlsx]extra_Bioplastic'!F678)</f>
        <v/>
      </c>
      <c r="G678">
        <f>IF(ISBLANK('Q:\Abteilungsprojekte\Eng\EngData\PROJECT_Bioplastics\Renjie_Pan\05-Raw_Data\Lab_results\[LabSamples2025_Bioplastic_extra.xlsx]extra_Bioplastic'!G678)," ",'Q:\Abteilungsprojekte\Eng\EngData\PROJECT_Bioplastics\Renjie_Pan\05-Raw_Data\Lab_results\[LabSamples2025_Bioplastic_extra.xlsx]extra_Bioplastic'!G678)</f>
        <v/>
      </c>
      <c r="H678">
        <f>IF(ISBLANK('Q:\Abteilungsprojekte\Eng\EngData\PROJECT_Bioplastics\Renjie_Pan\05-Raw_Data\Lab_results\[LabSamples2025_Bioplastic_extra.xlsx]extra_Bioplastic'!H678)," ",'Q:\Abteilungsprojekte\Eng\EngData\PROJECT_Bioplastics\Renjie_Pan\05-Raw_Data\Lab_results\[LabSamples2025_Bioplastic_extra.xlsx]extra_Bioplastic'!H678)</f>
        <v/>
      </c>
    </row>
    <row r="679">
      <c r="A679">
        <f>IF(ISBLANK('Q:\Abteilungsprojekte\Eng\EngData\PROJECT_Bioplastics\Renjie_Pan\05-Raw_Data\Lab_results\[LabSamples2025_Bioplastic_extra.xlsx]extra_Bioplastic'!A679)," ",'Q:\Abteilungsprojekte\Eng\EngData\PROJECT_Bioplastics\Renjie_Pan\05-Raw_Data\Lab_results\[LabSamples2025_Bioplastic_extra.xlsx]extra_Bioplastic'!A679)</f>
        <v/>
      </c>
      <c r="B679">
        <f>IF(ISBLANK('Q:\Abteilungsprojekte\Eng\EngData\PROJECT_Bioplastics\Renjie_Pan\05-Raw_Data\Lab_results\[LabSamples2025_Bioplastic_extra.xlsx]extra_Bioplastic'!B679)," ",'Q:\Abteilungsprojekte\Eng\EngData\PROJECT_Bioplastics\Renjie_Pan\05-Raw_Data\Lab_results\[LabSamples2025_Bioplastic_extra.xlsx]extra_Bioplastic'!B679)</f>
        <v/>
      </c>
      <c r="C679">
        <f>IF(ISBLANK('Q:\Abteilungsprojekte\Eng\EngData\PROJECT_Bioplastics\Renjie_Pan\05-Raw_Data\Lab_results\[LabSamples2025_Bioplastic_extra.xlsx]extra_Bioplastic'!C679)," ",'Q:\Abteilungsprojekte\Eng\EngData\PROJECT_Bioplastics\Renjie_Pan\05-Raw_Data\Lab_results\[LabSamples2025_Bioplastic_extra.xlsx]extra_Bioplastic'!C679)</f>
        <v/>
      </c>
      <c r="D679">
        <f>IF(ISBLANK('Q:\Abteilungsprojekte\Eng\EngData\PROJECT_Bioplastics\Renjie_Pan\05-Raw_Data\Lab_results\[LabSamples2025_Bioplastic_extra.xlsx]extra_Bioplastic'!D679)," ",'Q:\Abteilungsprojekte\Eng\EngData\PROJECT_Bioplastics\Renjie_Pan\05-Raw_Data\Lab_results\[LabSamples2025_Bioplastic_extra.xlsx]extra_Bioplastic'!D679)</f>
        <v/>
      </c>
      <c r="E679">
        <f>IF(ISBLANK('Q:\Abteilungsprojekte\Eng\EngData\PROJECT_Bioplastics\Renjie_Pan\05-Raw_Data\Lab_results\[LabSamples2025_Bioplastic_extra.xlsx]extra_Bioplastic'!E679)," ",'Q:\Abteilungsprojekte\Eng\EngData\PROJECT_Bioplastics\Renjie_Pan\05-Raw_Data\Lab_results\[LabSamples2025_Bioplastic_extra.xlsx]extra_Bioplastic'!E679)</f>
        <v/>
      </c>
      <c r="F679">
        <f>IF(ISBLANK('Q:\Abteilungsprojekte\Eng\EngData\PROJECT_Bioplastics\Renjie_Pan\05-Raw_Data\Lab_results\[LabSamples2025_Bioplastic_extra.xlsx]extra_Bioplastic'!F679)," ",'Q:\Abteilungsprojekte\Eng\EngData\PROJECT_Bioplastics\Renjie_Pan\05-Raw_Data\Lab_results\[LabSamples2025_Bioplastic_extra.xlsx]extra_Bioplastic'!F679)</f>
        <v/>
      </c>
      <c r="G679">
        <f>IF(ISBLANK('Q:\Abteilungsprojekte\Eng\EngData\PROJECT_Bioplastics\Renjie_Pan\05-Raw_Data\Lab_results\[LabSamples2025_Bioplastic_extra.xlsx]extra_Bioplastic'!G679)," ",'Q:\Abteilungsprojekte\Eng\EngData\PROJECT_Bioplastics\Renjie_Pan\05-Raw_Data\Lab_results\[LabSamples2025_Bioplastic_extra.xlsx]extra_Bioplastic'!G679)</f>
        <v/>
      </c>
      <c r="H679">
        <f>IF(ISBLANK('Q:\Abteilungsprojekte\Eng\EngData\PROJECT_Bioplastics\Renjie_Pan\05-Raw_Data\Lab_results\[LabSamples2025_Bioplastic_extra.xlsx]extra_Bioplastic'!H679)," ",'Q:\Abteilungsprojekte\Eng\EngData\PROJECT_Bioplastics\Renjie_Pan\05-Raw_Data\Lab_results\[LabSamples2025_Bioplastic_extra.xlsx]extra_Bioplastic'!H679)</f>
        <v/>
      </c>
    </row>
    <row r="680">
      <c r="A680">
        <f>IF(ISBLANK('Q:\Abteilungsprojekte\Eng\EngData\PROJECT_Bioplastics\Renjie_Pan\05-Raw_Data\Lab_results\[LabSamples2025_Bioplastic_extra.xlsx]extra_Bioplastic'!A680)," ",'Q:\Abteilungsprojekte\Eng\EngData\PROJECT_Bioplastics\Renjie_Pan\05-Raw_Data\Lab_results\[LabSamples2025_Bioplastic_extra.xlsx]extra_Bioplastic'!A680)</f>
        <v/>
      </c>
      <c r="B680">
        <f>IF(ISBLANK('Q:\Abteilungsprojekte\Eng\EngData\PROJECT_Bioplastics\Renjie_Pan\05-Raw_Data\Lab_results\[LabSamples2025_Bioplastic_extra.xlsx]extra_Bioplastic'!B680)," ",'Q:\Abteilungsprojekte\Eng\EngData\PROJECT_Bioplastics\Renjie_Pan\05-Raw_Data\Lab_results\[LabSamples2025_Bioplastic_extra.xlsx]extra_Bioplastic'!B680)</f>
        <v/>
      </c>
      <c r="C680">
        <f>IF(ISBLANK('Q:\Abteilungsprojekte\Eng\EngData\PROJECT_Bioplastics\Renjie_Pan\05-Raw_Data\Lab_results\[LabSamples2025_Bioplastic_extra.xlsx]extra_Bioplastic'!C680)," ",'Q:\Abteilungsprojekte\Eng\EngData\PROJECT_Bioplastics\Renjie_Pan\05-Raw_Data\Lab_results\[LabSamples2025_Bioplastic_extra.xlsx]extra_Bioplastic'!C680)</f>
        <v/>
      </c>
      <c r="D680">
        <f>IF(ISBLANK('Q:\Abteilungsprojekte\Eng\EngData\PROJECT_Bioplastics\Renjie_Pan\05-Raw_Data\Lab_results\[LabSamples2025_Bioplastic_extra.xlsx]extra_Bioplastic'!D680)," ",'Q:\Abteilungsprojekte\Eng\EngData\PROJECT_Bioplastics\Renjie_Pan\05-Raw_Data\Lab_results\[LabSamples2025_Bioplastic_extra.xlsx]extra_Bioplastic'!D680)</f>
        <v/>
      </c>
      <c r="E680">
        <f>IF(ISBLANK('Q:\Abteilungsprojekte\Eng\EngData\PROJECT_Bioplastics\Renjie_Pan\05-Raw_Data\Lab_results\[LabSamples2025_Bioplastic_extra.xlsx]extra_Bioplastic'!E680)," ",'Q:\Abteilungsprojekte\Eng\EngData\PROJECT_Bioplastics\Renjie_Pan\05-Raw_Data\Lab_results\[LabSamples2025_Bioplastic_extra.xlsx]extra_Bioplastic'!E680)</f>
        <v/>
      </c>
      <c r="F680">
        <f>IF(ISBLANK('Q:\Abteilungsprojekte\Eng\EngData\PROJECT_Bioplastics\Renjie_Pan\05-Raw_Data\Lab_results\[LabSamples2025_Bioplastic_extra.xlsx]extra_Bioplastic'!F680)," ",'Q:\Abteilungsprojekte\Eng\EngData\PROJECT_Bioplastics\Renjie_Pan\05-Raw_Data\Lab_results\[LabSamples2025_Bioplastic_extra.xlsx]extra_Bioplastic'!F680)</f>
        <v/>
      </c>
      <c r="G680">
        <f>IF(ISBLANK('Q:\Abteilungsprojekte\Eng\EngData\PROJECT_Bioplastics\Renjie_Pan\05-Raw_Data\Lab_results\[LabSamples2025_Bioplastic_extra.xlsx]extra_Bioplastic'!G680)," ",'Q:\Abteilungsprojekte\Eng\EngData\PROJECT_Bioplastics\Renjie_Pan\05-Raw_Data\Lab_results\[LabSamples2025_Bioplastic_extra.xlsx]extra_Bioplastic'!G680)</f>
        <v/>
      </c>
      <c r="H680">
        <f>IF(ISBLANK('Q:\Abteilungsprojekte\Eng\EngData\PROJECT_Bioplastics\Renjie_Pan\05-Raw_Data\Lab_results\[LabSamples2025_Bioplastic_extra.xlsx]extra_Bioplastic'!H680)," ",'Q:\Abteilungsprojekte\Eng\EngData\PROJECT_Bioplastics\Renjie_Pan\05-Raw_Data\Lab_results\[LabSamples2025_Bioplastic_extra.xlsx]extra_Bioplastic'!H680)</f>
        <v/>
      </c>
    </row>
    <row r="681">
      <c r="A681">
        <f>IF(ISBLANK('Q:\Abteilungsprojekte\Eng\EngData\PROJECT_Bioplastics\Renjie_Pan\05-Raw_Data\Lab_results\[LabSamples2025_Bioplastic_extra.xlsx]extra_Bioplastic'!A681)," ",'Q:\Abteilungsprojekte\Eng\EngData\PROJECT_Bioplastics\Renjie_Pan\05-Raw_Data\Lab_results\[LabSamples2025_Bioplastic_extra.xlsx]extra_Bioplastic'!A681)</f>
        <v/>
      </c>
      <c r="B681">
        <f>IF(ISBLANK('Q:\Abteilungsprojekte\Eng\EngData\PROJECT_Bioplastics\Renjie_Pan\05-Raw_Data\Lab_results\[LabSamples2025_Bioplastic_extra.xlsx]extra_Bioplastic'!B681)," ",'Q:\Abteilungsprojekte\Eng\EngData\PROJECT_Bioplastics\Renjie_Pan\05-Raw_Data\Lab_results\[LabSamples2025_Bioplastic_extra.xlsx]extra_Bioplastic'!B681)</f>
        <v/>
      </c>
      <c r="C681">
        <f>IF(ISBLANK('Q:\Abteilungsprojekte\Eng\EngData\PROJECT_Bioplastics\Renjie_Pan\05-Raw_Data\Lab_results\[LabSamples2025_Bioplastic_extra.xlsx]extra_Bioplastic'!C681)," ",'Q:\Abteilungsprojekte\Eng\EngData\PROJECT_Bioplastics\Renjie_Pan\05-Raw_Data\Lab_results\[LabSamples2025_Bioplastic_extra.xlsx]extra_Bioplastic'!C681)</f>
        <v/>
      </c>
      <c r="D681">
        <f>IF(ISBLANK('Q:\Abteilungsprojekte\Eng\EngData\PROJECT_Bioplastics\Renjie_Pan\05-Raw_Data\Lab_results\[LabSamples2025_Bioplastic_extra.xlsx]extra_Bioplastic'!D681)," ",'Q:\Abteilungsprojekte\Eng\EngData\PROJECT_Bioplastics\Renjie_Pan\05-Raw_Data\Lab_results\[LabSamples2025_Bioplastic_extra.xlsx]extra_Bioplastic'!D681)</f>
        <v/>
      </c>
      <c r="E681">
        <f>IF(ISBLANK('Q:\Abteilungsprojekte\Eng\EngData\PROJECT_Bioplastics\Renjie_Pan\05-Raw_Data\Lab_results\[LabSamples2025_Bioplastic_extra.xlsx]extra_Bioplastic'!E681)," ",'Q:\Abteilungsprojekte\Eng\EngData\PROJECT_Bioplastics\Renjie_Pan\05-Raw_Data\Lab_results\[LabSamples2025_Bioplastic_extra.xlsx]extra_Bioplastic'!E681)</f>
        <v/>
      </c>
      <c r="F681">
        <f>IF(ISBLANK('Q:\Abteilungsprojekte\Eng\EngData\PROJECT_Bioplastics\Renjie_Pan\05-Raw_Data\Lab_results\[LabSamples2025_Bioplastic_extra.xlsx]extra_Bioplastic'!F681)," ",'Q:\Abteilungsprojekte\Eng\EngData\PROJECT_Bioplastics\Renjie_Pan\05-Raw_Data\Lab_results\[LabSamples2025_Bioplastic_extra.xlsx]extra_Bioplastic'!F681)</f>
        <v/>
      </c>
      <c r="G681">
        <f>IF(ISBLANK('Q:\Abteilungsprojekte\Eng\EngData\PROJECT_Bioplastics\Renjie_Pan\05-Raw_Data\Lab_results\[LabSamples2025_Bioplastic_extra.xlsx]extra_Bioplastic'!G681)," ",'Q:\Abteilungsprojekte\Eng\EngData\PROJECT_Bioplastics\Renjie_Pan\05-Raw_Data\Lab_results\[LabSamples2025_Bioplastic_extra.xlsx]extra_Bioplastic'!G681)</f>
        <v/>
      </c>
      <c r="H681">
        <f>IF(ISBLANK('Q:\Abteilungsprojekte\Eng\EngData\PROJECT_Bioplastics\Renjie_Pan\05-Raw_Data\Lab_results\[LabSamples2025_Bioplastic_extra.xlsx]extra_Bioplastic'!H681)," ",'Q:\Abteilungsprojekte\Eng\EngData\PROJECT_Bioplastics\Renjie_Pan\05-Raw_Data\Lab_results\[LabSamples2025_Bioplastic_extra.xlsx]extra_Bioplastic'!H681)</f>
        <v/>
      </c>
    </row>
    <row r="682">
      <c r="A682">
        <f>IF(ISBLANK('Q:\Abteilungsprojekte\Eng\EngData\PROJECT_Bioplastics\Renjie_Pan\05-Raw_Data\Lab_results\[LabSamples2025_Bioplastic_extra.xlsx]extra_Bioplastic'!A682)," ",'Q:\Abteilungsprojekte\Eng\EngData\PROJECT_Bioplastics\Renjie_Pan\05-Raw_Data\Lab_results\[LabSamples2025_Bioplastic_extra.xlsx]extra_Bioplastic'!A682)</f>
        <v/>
      </c>
      <c r="B682">
        <f>IF(ISBLANK('Q:\Abteilungsprojekte\Eng\EngData\PROJECT_Bioplastics\Renjie_Pan\05-Raw_Data\Lab_results\[LabSamples2025_Bioplastic_extra.xlsx]extra_Bioplastic'!B682)," ",'Q:\Abteilungsprojekte\Eng\EngData\PROJECT_Bioplastics\Renjie_Pan\05-Raw_Data\Lab_results\[LabSamples2025_Bioplastic_extra.xlsx]extra_Bioplastic'!B682)</f>
        <v/>
      </c>
      <c r="C682">
        <f>IF(ISBLANK('Q:\Abteilungsprojekte\Eng\EngData\PROJECT_Bioplastics\Renjie_Pan\05-Raw_Data\Lab_results\[LabSamples2025_Bioplastic_extra.xlsx]extra_Bioplastic'!C682)," ",'Q:\Abteilungsprojekte\Eng\EngData\PROJECT_Bioplastics\Renjie_Pan\05-Raw_Data\Lab_results\[LabSamples2025_Bioplastic_extra.xlsx]extra_Bioplastic'!C682)</f>
        <v/>
      </c>
      <c r="D682">
        <f>IF(ISBLANK('Q:\Abteilungsprojekte\Eng\EngData\PROJECT_Bioplastics\Renjie_Pan\05-Raw_Data\Lab_results\[LabSamples2025_Bioplastic_extra.xlsx]extra_Bioplastic'!D682)," ",'Q:\Abteilungsprojekte\Eng\EngData\PROJECT_Bioplastics\Renjie_Pan\05-Raw_Data\Lab_results\[LabSamples2025_Bioplastic_extra.xlsx]extra_Bioplastic'!D682)</f>
        <v/>
      </c>
      <c r="E682">
        <f>IF(ISBLANK('Q:\Abteilungsprojekte\Eng\EngData\PROJECT_Bioplastics\Renjie_Pan\05-Raw_Data\Lab_results\[LabSamples2025_Bioplastic_extra.xlsx]extra_Bioplastic'!E682)," ",'Q:\Abteilungsprojekte\Eng\EngData\PROJECT_Bioplastics\Renjie_Pan\05-Raw_Data\Lab_results\[LabSamples2025_Bioplastic_extra.xlsx]extra_Bioplastic'!E682)</f>
        <v/>
      </c>
      <c r="F682">
        <f>IF(ISBLANK('Q:\Abteilungsprojekte\Eng\EngData\PROJECT_Bioplastics\Renjie_Pan\05-Raw_Data\Lab_results\[LabSamples2025_Bioplastic_extra.xlsx]extra_Bioplastic'!F682)," ",'Q:\Abteilungsprojekte\Eng\EngData\PROJECT_Bioplastics\Renjie_Pan\05-Raw_Data\Lab_results\[LabSamples2025_Bioplastic_extra.xlsx]extra_Bioplastic'!F682)</f>
        <v/>
      </c>
      <c r="G682">
        <f>IF(ISBLANK('Q:\Abteilungsprojekte\Eng\EngData\PROJECT_Bioplastics\Renjie_Pan\05-Raw_Data\Lab_results\[LabSamples2025_Bioplastic_extra.xlsx]extra_Bioplastic'!G682)," ",'Q:\Abteilungsprojekte\Eng\EngData\PROJECT_Bioplastics\Renjie_Pan\05-Raw_Data\Lab_results\[LabSamples2025_Bioplastic_extra.xlsx]extra_Bioplastic'!G682)</f>
        <v/>
      </c>
      <c r="H682">
        <f>IF(ISBLANK('Q:\Abteilungsprojekte\Eng\EngData\PROJECT_Bioplastics\Renjie_Pan\05-Raw_Data\Lab_results\[LabSamples2025_Bioplastic_extra.xlsx]extra_Bioplastic'!H682)," ",'Q:\Abteilungsprojekte\Eng\EngData\PROJECT_Bioplastics\Renjie_Pan\05-Raw_Data\Lab_results\[LabSamples2025_Bioplastic_extra.xlsx]extra_Bioplastic'!H682)</f>
        <v/>
      </c>
    </row>
    <row r="683">
      <c r="A683">
        <f>IF(ISBLANK('Q:\Abteilungsprojekte\Eng\EngData\PROJECT_Bioplastics\Renjie_Pan\05-Raw_Data\Lab_results\[LabSamples2025_Bioplastic_extra.xlsx]extra_Bioplastic'!A683)," ",'Q:\Abteilungsprojekte\Eng\EngData\PROJECT_Bioplastics\Renjie_Pan\05-Raw_Data\Lab_results\[LabSamples2025_Bioplastic_extra.xlsx]extra_Bioplastic'!A683)</f>
        <v/>
      </c>
      <c r="B683">
        <f>IF(ISBLANK('Q:\Abteilungsprojekte\Eng\EngData\PROJECT_Bioplastics\Renjie_Pan\05-Raw_Data\Lab_results\[LabSamples2025_Bioplastic_extra.xlsx]extra_Bioplastic'!B683)," ",'Q:\Abteilungsprojekte\Eng\EngData\PROJECT_Bioplastics\Renjie_Pan\05-Raw_Data\Lab_results\[LabSamples2025_Bioplastic_extra.xlsx]extra_Bioplastic'!B683)</f>
        <v/>
      </c>
      <c r="C683">
        <f>IF(ISBLANK('Q:\Abteilungsprojekte\Eng\EngData\PROJECT_Bioplastics\Renjie_Pan\05-Raw_Data\Lab_results\[LabSamples2025_Bioplastic_extra.xlsx]extra_Bioplastic'!C683)," ",'Q:\Abteilungsprojekte\Eng\EngData\PROJECT_Bioplastics\Renjie_Pan\05-Raw_Data\Lab_results\[LabSamples2025_Bioplastic_extra.xlsx]extra_Bioplastic'!C683)</f>
        <v/>
      </c>
      <c r="D683">
        <f>IF(ISBLANK('Q:\Abteilungsprojekte\Eng\EngData\PROJECT_Bioplastics\Renjie_Pan\05-Raw_Data\Lab_results\[LabSamples2025_Bioplastic_extra.xlsx]extra_Bioplastic'!D683)," ",'Q:\Abteilungsprojekte\Eng\EngData\PROJECT_Bioplastics\Renjie_Pan\05-Raw_Data\Lab_results\[LabSamples2025_Bioplastic_extra.xlsx]extra_Bioplastic'!D683)</f>
        <v/>
      </c>
      <c r="E683">
        <f>IF(ISBLANK('Q:\Abteilungsprojekte\Eng\EngData\PROJECT_Bioplastics\Renjie_Pan\05-Raw_Data\Lab_results\[LabSamples2025_Bioplastic_extra.xlsx]extra_Bioplastic'!E683)," ",'Q:\Abteilungsprojekte\Eng\EngData\PROJECT_Bioplastics\Renjie_Pan\05-Raw_Data\Lab_results\[LabSamples2025_Bioplastic_extra.xlsx]extra_Bioplastic'!E683)</f>
        <v/>
      </c>
      <c r="F683">
        <f>IF(ISBLANK('Q:\Abteilungsprojekte\Eng\EngData\PROJECT_Bioplastics\Renjie_Pan\05-Raw_Data\Lab_results\[LabSamples2025_Bioplastic_extra.xlsx]extra_Bioplastic'!F683)," ",'Q:\Abteilungsprojekte\Eng\EngData\PROJECT_Bioplastics\Renjie_Pan\05-Raw_Data\Lab_results\[LabSamples2025_Bioplastic_extra.xlsx]extra_Bioplastic'!F683)</f>
        <v/>
      </c>
      <c r="G683">
        <f>IF(ISBLANK('Q:\Abteilungsprojekte\Eng\EngData\PROJECT_Bioplastics\Renjie_Pan\05-Raw_Data\Lab_results\[LabSamples2025_Bioplastic_extra.xlsx]extra_Bioplastic'!G683)," ",'Q:\Abteilungsprojekte\Eng\EngData\PROJECT_Bioplastics\Renjie_Pan\05-Raw_Data\Lab_results\[LabSamples2025_Bioplastic_extra.xlsx]extra_Bioplastic'!G683)</f>
        <v/>
      </c>
      <c r="H683">
        <f>IF(ISBLANK('Q:\Abteilungsprojekte\Eng\EngData\PROJECT_Bioplastics\Renjie_Pan\05-Raw_Data\Lab_results\[LabSamples2025_Bioplastic_extra.xlsx]extra_Bioplastic'!H683)," ",'Q:\Abteilungsprojekte\Eng\EngData\PROJECT_Bioplastics\Renjie_Pan\05-Raw_Data\Lab_results\[LabSamples2025_Bioplastic_extra.xlsx]extra_Bioplastic'!H683)</f>
        <v/>
      </c>
    </row>
    <row r="684">
      <c r="A684">
        <f>IF(ISBLANK('Q:\Abteilungsprojekte\Eng\EngData\PROJECT_Bioplastics\Renjie_Pan\05-Raw_Data\Lab_results\[LabSamples2025_Bioplastic_extra.xlsx]extra_Bioplastic'!A684)," ",'Q:\Abteilungsprojekte\Eng\EngData\PROJECT_Bioplastics\Renjie_Pan\05-Raw_Data\Lab_results\[LabSamples2025_Bioplastic_extra.xlsx]extra_Bioplastic'!A684)</f>
        <v/>
      </c>
      <c r="B684">
        <f>IF(ISBLANK('Q:\Abteilungsprojekte\Eng\EngData\PROJECT_Bioplastics\Renjie_Pan\05-Raw_Data\Lab_results\[LabSamples2025_Bioplastic_extra.xlsx]extra_Bioplastic'!B684)," ",'Q:\Abteilungsprojekte\Eng\EngData\PROJECT_Bioplastics\Renjie_Pan\05-Raw_Data\Lab_results\[LabSamples2025_Bioplastic_extra.xlsx]extra_Bioplastic'!B684)</f>
        <v/>
      </c>
      <c r="C684">
        <f>IF(ISBLANK('Q:\Abteilungsprojekte\Eng\EngData\PROJECT_Bioplastics\Renjie_Pan\05-Raw_Data\Lab_results\[LabSamples2025_Bioplastic_extra.xlsx]extra_Bioplastic'!C684)," ",'Q:\Abteilungsprojekte\Eng\EngData\PROJECT_Bioplastics\Renjie_Pan\05-Raw_Data\Lab_results\[LabSamples2025_Bioplastic_extra.xlsx]extra_Bioplastic'!C684)</f>
        <v/>
      </c>
      <c r="D684">
        <f>IF(ISBLANK('Q:\Abteilungsprojekte\Eng\EngData\PROJECT_Bioplastics\Renjie_Pan\05-Raw_Data\Lab_results\[LabSamples2025_Bioplastic_extra.xlsx]extra_Bioplastic'!D684)," ",'Q:\Abteilungsprojekte\Eng\EngData\PROJECT_Bioplastics\Renjie_Pan\05-Raw_Data\Lab_results\[LabSamples2025_Bioplastic_extra.xlsx]extra_Bioplastic'!D684)</f>
        <v/>
      </c>
      <c r="E684">
        <f>IF(ISBLANK('Q:\Abteilungsprojekte\Eng\EngData\PROJECT_Bioplastics\Renjie_Pan\05-Raw_Data\Lab_results\[LabSamples2025_Bioplastic_extra.xlsx]extra_Bioplastic'!E684)," ",'Q:\Abteilungsprojekte\Eng\EngData\PROJECT_Bioplastics\Renjie_Pan\05-Raw_Data\Lab_results\[LabSamples2025_Bioplastic_extra.xlsx]extra_Bioplastic'!E684)</f>
        <v/>
      </c>
      <c r="F684">
        <f>IF(ISBLANK('Q:\Abteilungsprojekte\Eng\EngData\PROJECT_Bioplastics\Renjie_Pan\05-Raw_Data\Lab_results\[LabSamples2025_Bioplastic_extra.xlsx]extra_Bioplastic'!F684)," ",'Q:\Abteilungsprojekte\Eng\EngData\PROJECT_Bioplastics\Renjie_Pan\05-Raw_Data\Lab_results\[LabSamples2025_Bioplastic_extra.xlsx]extra_Bioplastic'!F684)</f>
        <v/>
      </c>
      <c r="G684">
        <f>IF(ISBLANK('Q:\Abteilungsprojekte\Eng\EngData\PROJECT_Bioplastics\Renjie_Pan\05-Raw_Data\Lab_results\[LabSamples2025_Bioplastic_extra.xlsx]extra_Bioplastic'!G684)," ",'Q:\Abteilungsprojekte\Eng\EngData\PROJECT_Bioplastics\Renjie_Pan\05-Raw_Data\Lab_results\[LabSamples2025_Bioplastic_extra.xlsx]extra_Bioplastic'!G684)</f>
        <v/>
      </c>
      <c r="H684">
        <f>IF(ISBLANK('Q:\Abteilungsprojekte\Eng\EngData\PROJECT_Bioplastics\Renjie_Pan\05-Raw_Data\Lab_results\[LabSamples2025_Bioplastic_extra.xlsx]extra_Bioplastic'!H684)," ",'Q:\Abteilungsprojekte\Eng\EngData\PROJECT_Bioplastics\Renjie_Pan\05-Raw_Data\Lab_results\[LabSamples2025_Bioplastic_extra.xlsx]extra_Bioplastic'!H684)</f>
        <v/>
      </c>
    </row>
    <row r="685">
      <c r="A685">
        <f>IF(ISBLANK('Q:\Abteilungsprojekte\Eng\EngData\PROJECT_Bioplastics\Renjie_Pan\05-Raw_Data\Lab_results\[LabSamples2025_Bioplastic_extra.xlsx]extra_Bioplastic'!A685)," ",'Q:\Abteilungsprojekte\Eng\EngData\PROJECT_Bioplastics\Renjie_Pan\05-Raw_Data\Lab_results\[LabSamples2025_Bioplastic_extra.xlsx]extra_Bioplastic'!A685)</f>
        <v/>
      </c>
      <c r="B685">
        <f>IF(ISBLANK('Q:\Abteilungsprojekte\Eng\EngData\PROJECT_Bioplastics\Renjie_Pan\05-Raw_Data\Lab_results\[LabSamples2025_Bioplastic_extra.xlsx]extra_Bioplastic'!B685)," ",'Q:\Abteilungsprojekte\Eng\EngData\PROJECT_Bioplastics\Renjie_Pan\05-Raw_Data\Lab_results\[LabSamples2025_Bioplastic_extra.xlsx]extra_Bioplastic'!B685)</f>
        <v/>
      </c>
      <c r="C685">
        <f>IF(ISBLANK('Q:\Abteilungsprojekte\Eng\EngData\PROJECT_Bioplastics\Renjie_Pan\05-Raw_Data\Lab_results\[LabSamples2025_Bioplastic_extra.xlsx]extra_Bioplastic'!C685)," ",'Q:\Abteilungsprojekte\Eng\EngData\PROJECT_Bioplastics\Renjie_Pan\05-Raw_Data\Lab_results\[LabSamples2025_Bioplastic_extra.xlsx]extra_Bioplastic'!C685)</f>
        <v/>
      </c>
      <c r="D685">
        <f>IF(ISBLANK('Q:\Abteilungsprojekte\Eng\EngData\PROJECT_Bioplastics\Renjie_Pan\05-Raw_Data\Lab_results\[LabSamples2025_Bioplastic_extra.xlsx]extra_Bioplastic'!D685)," ",'Q:\Abteilungsprojekte\Eng\EngData\PROJECT_Bioplastics\Renjie_Pan\05-Raw_Data\Lab_results\[LabSamples2025_Bioplastic_extra.xlsx]extra_Bioplastic'!D685)</f>
        <v/>
      </c>
      <c r="E685">
        <f>IF(ISBLANK('Q:\Abteilungsprojekte\Eng\EngData\PROJECT_Bioplastics\Renjie_Pan\05-Raw_Data\Lab_results\[LabSamples2025_Bioplastic_extra.xlsx]extra_Bioplastic'!E685)," ",'Q:\Abteilungsprojekte\Eng\EngData\PROJECT_Bioplastics\Renjie_Pan\05-Raw_Data\Lab_results\[LabSamples2025_Bioplastic_extra.xlsx]extra_Bioplastic'!E685)</f>
        <v/>
      </c>
      <c r="F685">
        <f>IF(ISBLANK('Q:\Abteilungsprojekte\Eng\EngData\PROJECT_Bioplastics\Renjie_Pan\05-Raw_Data\Lab_results\[LabSamples2025_Bioplastic_extra.xlsx]extra_Bioplastic'!F685)," ",'Q:\Abteilungsprojekte\Eng\EngData\PROJECT_Bioplastics\Renjie_Pan\05-Raw_Data\Lab_results\[LabSamples2025_Bioplastic_extra.xlsx]extra_Bioplastic'!F685)</f>
        <v/>
      </c>
      <c r="G685">
        <f>IF(ISBLANK('Q:\Abteilungsprojekte\Eng\EngData\PROJECT_Bioplastics\Renjie_Pan\05-Raw_Data\Lab_results\[LabSamples2025_Bioplastic_extra.xlsx]extra_Bioplastic'!G685)," ",'Q:\Abteilungsprojekte\Eng\EngData\PROJECT_Bioplastics\Renjie_Pan\05-Raw_Data\Lab_results\[LabSamples2025_Bioplastic_extra.xlsx]extra_Bioplastic'!G685)</f>
        <v/>
      </c>
      <c r="H685">
        <f>IF(ISBLANK('Q:\Abteilungsprojekte\Eng\EngData\PROJECT_Bioplastics\Renjie_Pan\05-Raw_Data\Lab_results\[LabSamples2025_Bioplastic_extra.xlsx]extra_Bioplastic'!H685)," ",'Q:\Abteilungsprojekte\Eng\EngData\PROJECT_Bioplastics\Renjie_Pan\05-Raw_Data\Lab_results\[LabSamples2025_Bioplastic_extra.xlsx]extra_Bioplastic'!H685)</f>
        <v/>
      </c>
    </row>
    <row r="686">
      <c r="A686">
        <f>IF(ISBLANK('Q:\Abteilungsprojekte\Eng\EngData\PROJECT_Bioplastics\Renjie_Pan\05-Raw_Data\Lab_results\[LabSamples2025_Bioplastic_extra.xlsx]extra_Bioplastic'!A686)," ",'Q:\Abteilungsprojekte\Eng\EngData\PROJECT_Bioplastics\Renjie_Pan\05-Raw_Data\Lab_results\[LabSamples2025_Bioplastic_extra.xlsx]extra_Bioplastic'!A686)</f>
        <v/>
      </c>
      <c r="B686">
        <f>IF(ISBLANK('Q:\Abteilungsprojekte\Eng\EngData\PROJECT_Bioplastics\Renjie_Pan\05-Raw_Data\Lab_results\[LabSamples2025_Bioplastic_extra.xlsx]extra_Bioplastic'!B686)," ",'Q:\Abteilungsprojekte\Eng\EngData\PROJECT_Bioplastics\Renjie_Pan\05-Raw_Data\Lab_results\[LabSamples2025_Bioplastic_extra.xlsx]extra_Bioplastic'!B686)</f>
        <v/>
      </c>
      <c r="C686">
        <f>IF(ISBLANK('Q:\Abteilungsprojekte\Eng\EngData\PROJECT_Bioplastics\Renjie_Pan\05-Raw_Data\Lab_results\[LabSamples2025_Bioplastic_extra.xlsx]extra_Bioplastic'!C686)," ",'Q:\Abteilungsprojekte\Eng\EngData\PROJECT_Bioplastics\Renjie_Pan\05-Raw_Data\Lab_results\[LabSamples2025_Bioplastic_extra.xlsx]extra_Bioplastic'!C686)</f>
        <v/>
      </c>
      <c r="D686">
        <f>IF(ISBLANK('Q:\Abteilungsprojekte\Eng\EngData\PROJECT_Bioplastics\Renjie_Pan\05-Raw_Data\Lab_results\[LabSamples2025_Bioplastic_extra.xlsx]extra_Bioplastic'!D686)," ",'Q:\Abteilungsprojekte\Eng\EngData\PROJECT_Bioplastics\Renjie_Pan\05-Raw_Data\Lab_results\[LabSamples2025_Bioplastic_extra.xlsx]extra_Bioplastic'!D686)</f>
        <v/>
      </c>
      <c r="E686">
        <f>IF(ISBLANK('Q:\Abteilungsprojekte\Eng\EngData\PROJECT_Bioplastics\Renjie_Pan\05-Raw_Data\Lab_results\[LabSamples2025_Bioplastic_extra.xlsx]extra_Bioplastic'!E686)," ",'Q:\Abteilungsprojekte\Eng\EngData\PROJECT_Bioplastics\Renjie_Pan\05-Raw_Data\Lab_results\[LabSamples2025_Bioplastic_extra.xlsx]extra_Bioplastic'!E686)</f>
        <v/>
      </c>
      <c r="F686">
        <f>IF(ISBLANK('Q:\Abteilungsprojekte\Eng\EngData\PROJECT_Bioplastics\Renjie_Pan\05-Raw_Data\Lab_results\[LabSamples2025_Bioplastic_extra.xlsx]extra_Bioplastic'!F686)," ",'Q:\Abteilungsprojekte\Eng\EngData\PROJECT_Bioplastics\Renjie_Pan\05-Raw_Data\Lab_results\[LabSamples2025_Bioplastic_extra.xlsx]extra_Bioplastic'!F686)</f>
        <v/>
      </c>
      <c r="G686">
        <f>IF(ISBLANK('Q:\Abteilungsprojekte\Eng\EngData\PROJECT_Bioplastics\Renjie_Pan\05-Raw_Data\Lab_results\[LabSamples2025_Bioplastic_extra.xlsx]extra_Bioplastic'!G686)," ",'Q:\Abteilungsprojekte\Eng\EngData\PROJECT_Bioplastics\Renjie_Pan\05-Raw_Data\Lab_results\[LabSamples2025_Bioplastic_extra.xlsx]extra_Bioplastic'!G686)</f>
        <v/>
      </c>
      <c r="H686">
        <f>IF(ISBLANK('Q:\Abteilungsprojekte\Eng\EngData\PROJECT_Bioplastics\Renjie_Pan\05-Raw_Data\Lab_results\[LabSamples2025_Bioplastic_extra.xlsx]extra_Bioplastic'!H686)," ",'Q:\Abteilungsprojekte\Eng\EngData\PROJECT_Bioplastics\Renjie_Pan\05-Raw_Data\Lab_results\[LabSamples2025_Bioplastic_extra.xlsx]extra_Bioplastic'!H686)</f>
        <v/>
      </c>
    </row>
    <row r="687">
      <c r="A687">
        <f>IF(ISBLANK('Q:\Abteilungsprojekte\Eng\EngData\PROJECT_Bioplastics\Renjie_Pan\05-Raw_Data\Lab_results\[LabSamples2025_Bioplastic_extra.xlsx]extra_Bioplastic'!A687)," ",'Q:\Abteilungsprojekte\Eng\EngData\PROJECT_Bioplastics\Renjie_Pan\05-Raw_Data\Lab_results\[LabSamples2025_Bioplastic_extra.xlsx]extra_Bioplastic'!A687)</f>
        <v/>
      </c>
      <c r="B687">
        <f>IF(ISBLANK('Q:\Abteilungsprojekte\Eng\EngData\PROJECT_Bioplastics\Renjie_Pan\05-Raw_Data\Lab_results\[LabSamples2025_Bioplastic_extra.xlsx]extra_Bioplastic'!B687)," ",'Q:\Abteilungsprojekte\Eng\EngData\PROJECT_Bioplastics\Renjie_Pan\05-Raw_Data\Lab_results\[LabSamples2025_Bioplastic_extra.xlsx]extra_Bioplastic'!B687)</f>
        <v/>
      </c>
      <c r="C687">
        <f>IF(ISBLANK('Q:\Abteilungsprojekte\Eng\EngData\PROJECT_Bioplastics\Renjie_Pan\05-Raw_Data\Lab_results\[LabSamples2025_Bioplastic_extra.xlsx]extra_Bioplastic'!C687)," ",'Q:\Abteilungsprojekte\Eng\EngData\PROJECT_Bioplastics\Renjie_Pan\05-Raw_Data\Lab_results\[LabSamples2025_Bioplastic_extra.xlsx]extra_Bioplastic'!C687)</f>
        <v/>
      </c>
      <c r="D687">
        <f>IF(ISBLANK('Q:\Abteilungsprojekte\Eng\EngData\PROJECT_Bioplastics\Renjie_Pan\05-Raw_Data\Lab_results\[LabSamples2025_Bioplastic_extra.xlsx]extra_Bioplastic'!D687)," ",'Q:\Abteilungsprojekte\Eng\EngData\PROJECT_Bioplastics\Renjie_Pan\05-Raw_Data\Lab_results\[LabSamples2025_Bioplastic_extra.xlsx]extra_Bioplastic'!D687)</f>
        <v/>
      </c>
      <c r="E687">
        <f>IF(ISBLANK('Q:\Abteilungsprojekte\Eng\EngData\PROJECT_Bioplastics\Renjie_Pan\05-Raw_Data\Lab_results\[LabSamples2025_Bioplastic_extra.xlsx]extra_Bioplastic'!E687)," ",'Q:\Abteilungsprojekte\Eng\EngData\PROJECT_Bioplastics\Renjie_Pan\05-Raw_Data\Lab_results\[LabSamples2025_Bioplastic_extra.xlsx]extra_Bioplastic'!E687)</f>
        <v/>
      </c>
      <c r="F687">
        <f>IF(ISBLANK('Q:\Abteilungsprojekte\Eng\EngData\PROJECT_Bioplastics\Renjie_Pan\05-Raw_Data\Lab_results\[LabSamples2025_Bioplastic_extra.xlsx]extra_Bioplastic'!F687)," ",'Q:\Abteilungsprojekte\Eng\EngData\PROJECT_Bioplastics\Renjie_Pan\05-Raw_Data\Lab_results\[LabSamples2025_Bioplastic_extra.xlsx]extra_Bioplastic'!F687)</f>
        <v/>
      </c>
      <c r="G687">
        <f>IF(ISBLANK('Q:\Abteilungsprojekte\Eng\EngData\PROJECT_Bioplastics\Renjie_Pan\05-Raw_Data\Lab_results\[LabSamples2025_Bioplastic_extra.xlsx]extra_Bioplastic'!G687)," ",'Q:\Abteilungsprojekte\Eng\EngData\PROJECT_Bioplastics\Renjie_Pan\05-Raw_Data\Lab_results\[LabSamples2025_Bioplastic_extra.xlsx]extra_Bioplastic'!G687)</f>
        <v/>
      </c>
      <c r="H687">
        <f>IF(ISBLANK('Q:\Abteilungsprojekte\Eng\EngData\PROJECT_Bioplastics\Renjie_Pan\05-Raw_Data\Lab_results\[LabSamples2025_Bioplastic_extra.xlsx]extra_Bioplastic'!H687)," ",'Q:\Abteilungsprojekte\Eng\EngData\PROJECT_Bioplastics\Renjie_Pan\05-Raw_Data\Lab_results\[LabSamples2025_Bioplastic_extra.xlsx]extra_Bioplastic'!H687)</f>
        <v/>
      </c>
    </row>
    <row r="688">
      <c r="A688">
        <f>IF(ISBLANK('Q:\Abteilungsprojekte\Eng\EngData\PROJECT_Bioplastics\Renjie_Pan\05-Raw_Data\Lab_results\[LabSamples2025_Bioplastic_extra.xlsx]extra_Bioplastic'!A688)," ",'Q:\Abteilungsprojekte\Eng\EngData\PROJECT_Bioplastics\Renjie_Pan\05-Raw_Data\Lab_results\[LabSamples2025_Bioplastic_extra.xlsx]extra_Bioplastic'!A688)</f>
        <v/>
      </c>
      <c r="B688">
        <f>IF(ISBLANK('Q:\Abteilungsprojekte\Eng\EngData\PROJECT_Bioplastics\Renjie_Pan\05-Raw_Data\Lab_results\[LabSamples2025_Bioplastic_extra.xlsx]extra_Bioplastic'!B688)," ",'Q:\Abteilungsprojekte\Eng\EngData\PROJECT_Bioplastics\Renjie_Pan\05-Raw_Data\Lab_results\[LabSamples2025_Bioplastic_extra.xlsx]extra_Bioplastic'!B688)</f>
        <v/>
      </c>
      <c r="C688">
        <f>IF(ISBLANK('Q:\Abteilungsprojekte\Eng\EngData\PROJECT_Bioplastics\Renjie_Pan\05-Raw_Data\Lab_results\[LabSamples2025_Bioplastic_extra.xlsx]extra_Bioplastic'!C688)," ",'Q:\Abteilungsprojekte\Eng\EngData\PROJECT_Bioplastics\Renjie_Pan\05-Raw_Data\Lab_results\[LabSamples2025_Bioplastic_extra.xlsx]extra_Bioplastic'!C688)</f>
        <v/>
      </c>
      <c r="D688">
        <f>IF(ISBLANK('Q:\Abteilungsprojekte\Eng\EngData\PROJECT_Bioplastics\Renjie_Pan\05-Raw_Data\Lab_results\[LabSamples2025_Bioplastic_extra.xlsx]extra_Bioplastic'!D688)," ",'Q:\Abteilungsprojekte\Eng\EngData\PROJECT_Bioplastics\Renjie_Pan\05-Raw_Data\Lab_results\[LabSamples2025_Bioplastic_extra.xlsx]extra_Bioplastic'!D688)</f>
        <v/>
      </c>
      <c r="E688">
        <f>IF(ISBLANK('Q:\Abteilungsprojekte\Eng\EngData\PROJECT_Bioplastics\Renjie_Pan\05-Raw_Data\Lab_results\[LabSamples2025_Bioplastic_extra.xlsx]extra_Bioplastic'!E688)," ",'Q:\Abteilungsprojekte\Eng\EngData\PROJECT_Bioplastics\Renjie_Pan\05-Raw_Data\Lab_results\[LabSamples2025_Bioplastic_extra.xlsx]extra_Bioplastic'!E688)</f>
        <v/>
      </c>
      <c r="F688">
        <f>IF(ISBLANK('Q:\Abteilungsprojekte\Eng\EngData\PROJECT_Bioplastics\Renjie_Pan\05-Raw_Data\Lab_results\[LabSamples2025_Bioplastic_extra.xlsx]extra_Bioplastic'!F688)," ",'Q:\Abteilungsprojekte\Eng\EngData\PROJECT_Bioplastics\Renjie_Pan\05-Raw_Data\Lab_results\[LabSamples2025_Bioplastic_extra.xlsx]extra_Bioplastic'!F688)</f>
        <v/>
      </c>
      <c r="G688">
        <f>IF(ISBLANK('Q:\Abteilungsprojekte\Eng\EngData\PROJECT_Bioplastics\Renjie_Pan\05-Raw_Data\Lab_results\[LabSamples2025_Bioplastic_extra.xlsx]extra_Bioplastic'!G688)," ",'Q:\Abteilungsprojekte\Eng\EngData\PROJECT_Bioplastics\Renjie_Pan\05-Raw_Data\Lab_results\[LabSamples2025_Bioplastic_extra.xlsx]extra_Bioplastic'!G688)</f>
        <v/>
      </c>
      <c r="H688">
        <f>IF(ISBLANK('Q:\Abteilungsprojekte\Eng\EngData\PROJECT_Bioplastics\Renjie_Pan\05-Raw_Data\Lab_results\[LabSamples2025_Bioplastic_extra.xlsx]extra_Bioplastic'!H688)," ",'Q:\Abteilungsprojekte\Eng\EngData\PROJECT_Bioplastics\Renjie_Pan\05-Raw_Data\Lab_results\[LabSamples2025_Bioplastic_extra.xlsx]extra_Bioplastic'!H688)</f>
        <v/>
      </c>
    </row>
    <row r="689">
      <c r="A689">
        <f>IF(ISBLANK('Q:\Abteilungsprojekte\Eng\EngData\PROJECT_Bioplastics\Renjie_Pan\05-Raw_Data\Lab_results\[LabSamples2025_Bioplastic_extra.xlsx]extra_Bioplastic'!A689)," ",'Q:\Abteilungsprojekte\Eng\EngData\PROJECT_Bioplastics\Renjie_Pan\05-Raw_Data\Lab_results\[LabSamples2025_Bioplastic_extra.xlsx]extra_Bioplastic'!A689)</f>
        <v/>
      </c>
      <c r="B689">
        <f>IF(ISBLANK('Q:\Abteilungsprojekte\Eng\EngData\PROJECT_Bioplastics\Renjie_Pan\05-Raw_Data\Lab_results\[LabSamples2025_Bioplastic_extra.xlsx]extra_Bioplastic'!B689)," ",'Q:\Abteilungsprojekte\Eng\EngData\PROJECT_Bioplastics\Renjie_Pan\05-Raw_Data\Lab_results\[LabSamples2025_Bioplastic_extra.xlsx]extra_Bioplastic'!B689)</f>
        <v/>
      </c>
      <c r="C689">
        <f>IF(ISBLANK('Q:\Abteilungsprojekte\Eng\EngData\PROJECT_Bioplastics\Renjie_Pan\05-Raw_Data\Lab_results\[LabSamples2025_Bioplastic_extra.xlsx]extra_Bioplastic'!C689)," ",'Q:\Abteilungsprojekte\Eng\EngData\PROJECT_Bioplastics\Renjie_Pan\05-Raw_Data\Lab_results\[LabSamples2025_Bioplastic_extra.xlsx]extra_Bioplastic'!C689)</f>
        <v/>
      </c>
      <c r="D689">
        <f>IF(ISBLANK('Q:\Abteilungsprojekte\Eng\EngData\PROJECT_Bioplastics\Renjie_Pan\05-Raw_Data\Lab_results\[LabSamples2025_Bioplastic_extra.xlsx]extra_Bioplastic'!D689)," ",'Q:\Abteilungsprojekte\Eng\EngData\PROJECT_Bioplastics\Renjie_Pan\05-Raw_Data\Lab_results\[LabSamples2025_Bioplastic_extra.xlsx]extra_Bioplastic'!D689)</f>
        <v/>
      </c>
      <c r="E689">
        <f>IF(ISBLANK('Q:\Abteilungsprojekte\Eng\EngData\PROJECT_Bioplastics\Renjie_Pan\05-Raw_Data\Lab_results\[LabSamples2025_Bioplastic_extra.xlsx]extra_Bioplastic'!E689)," ",'Q:\Abteilungsprojekte\Eng\EngData\PROJECT_Bioplastics\Renjie_Pan\05-Raw_Data\Lab_results\[LabSamples2025_Bioplastic_extra.xlsx]extra_Bioplastic'!E689)</f>
        <v/>
      </c>
      <c r="F689">
        <f>IF(ISBLANK('Q:\Abteilungsprojekte\Eng\EngData\PROJECT_Bioplastics\Renjie_Pan\05-Raw_Data\Lab_results\[LabSamples2025_Bioplastic_extra.xlsx]extra_Bioplastic'!F689)," ",'Q:\Abteilungsprojekte\Eng\EngData\PROJECT_Bioplastics\Renjie_Pan\05-Raw_Data\Lab_results\[LabSamples2025_Bioplastic_extra.xlsx]extra_Bioplastic'!F689)</f>
        <v/>
      </c>
      <c r="G689">
        <f>IF(ISBLANK('Q:\Abteilungsprojekte\Eng\EngData\PROJECT_Bioplastics\Renjie_Pan\05-Raw_Data\Lab_results\[LabSamples2025_Bioplastic_extra.xlsx]extra_Bioplastic'!G689)," ",'Q:\Abteilungsprojekte\Eng\EngData\PROJECT_Bioplastics\Renjie_Pan\05-Raw_Data\Lab_results\[LabSamples2025_Bioplastic_extra.xlsx]extra_Bioplastic'!G689)</f>
        <v/>
      </c>
      <c r="H689">
        <f>IF(ISBLANK('Q:\Abteilungsprojekte\Eng\EngData\PROJECT_Bioplastics\Renjie_Pan\05-Raw_Data\Lab_results\[LabSamples2025_Bioplastic_extra.xlsx]extra_Bioplastic'!H689)," ",'Q:\Abteilungsprojekte\Eng\EngData\PROJECT_Bioplastics\Renjie_Pan\05-Raw_Data\Lab_results\[LabSamples2025_Bioplastic_extra.xlsx]extra_Bioplastic'!H689)</f>
        <v/>
      </c>
    </row>
    <row r="690">
      <c r="A690">
        <f>IF(ISBLANK('Q:\Abteilungsprojekte\Eng\EngData\PROJECT_Bioplastics\Renjie_Pan\05-Raw_Data\Lab_results\[LabSamples2025_Bioplastic_extra.xlsx]extra_Bioplastic'!A690)," ",'Q:\Abteilungsprojekte\Eng\EngData\PROJECT_Bioplastics\Renjie_Pan\05-Raw_Data\Lab_results\[LabSamples2025_Bioplastic_extra.xlsx]extra_Bioplastic'!A690)</f>
        <v/>
      </c>
      <c r="B690">
        <f>IF(ISBLANK('Q:\Abteilungsprojekte\Eng\EngData\PROJECT_Bioplastics\Renjie_Pan\05-Raw_Data\Lab_results\[LabSamples2025_Bioplastic_extra.xlsx]extra_Bioplastic'!B690)," ",'Q:\Abteilungsprojekte\Eng\EngData\PROJECT_Bioplastics\Renjie_Pan\05-Raw_Data\Lab_results\[LabSamples2025_Bioplastic_extra.xlsx]extra_Bioplastic'!B690)</f>
        <v/>
      </c>
      <c r="C690">
        <f>IF(ISBLANK('Q:\Abteilungsprojekte\Eng\EngData\PROJECT_Bioplastics\Renjie_Pan\05-Raw_Data\Lab_results\[LabSamples2025_Bioplastic_extra.xlsx]extra_Bioplastic'!C690)," ",'Q:\Abteilungsprojekte\Eng\EngData\PROJECT_Bioplastics\Renjie_Pan\05-Raw_Data\Lab_results\[LabSamples2025_Bioplastic_extra.xlsx]extra_Bioplastic'!C690)</f>
        <v/>
      </c>
      <c r="D690">
        <f>IF(ISBLANK('Q:\Abteilungsprojekte\Eng\EngData\PROJECT_Bioplastics\Renjie_Pan\05-Raw_Data\Lab_results\[LabSamples2025_Bioplastic_extra.xlsx]extra_Bioplastic'!D690)," ",'Q:\Abteilungsprojekte\Eng\EngData\PROJECT_Bioplastics\Renjie_Pan\05-Raw_Data\Lab_results\[LabSamples2025_Bioplastic_extra.xlsx]extra_Bioplastic'!D690)</f>
        <v/>
      </c>
      <c r="E690">
        <f>IF(ISBLANK('Q:\Abteilungsprojekte\Eng\EngData\PROJECT_Bioplastics\Renjie_Pan\05-Raw_Data\Lab_results\[LabSamples2025_Bioplastic_extra.xlsx]extra_Bioplastic'!E690)," ",'Q:\Abteilungsprojekte\Eng\EngData\PROJECT_Bioplastics\Renjie_Pan\05-Raw_Data\Lab_results\[LabSamples2025_Bioplastic_extra.xlsx]extra_Bioplastic'!E690)</f>
        <v/>
      </c>
      <c r="F690">
        <f>IF(ISBLANK('Q:\Abteilungsprojekte\Eng\EngData\PROJECT_Bioplastics\Renjie_Pan\05-Raw_Data\Lab_results\[LabSamples2025_Bioplastic_extra.xlsx]extra_Bioplastic'!F690)," ",'Q:\Abteilungsprojekte\Eng\EngData\PROJECT_Bioplastics\Renjie_Pan\05-Raw_Data\Lab_results\[LabSamples2025_Bioplastic_extra.xlsx]extra_Bioplastic'!F690)</f>
        <v/>
      </c>
      <c r="G690">
        <f>IF(ISBLANK('Q:\Abteilungsprojekte\Eng\EngData\PROJECT_Bioplastics\Renjie_Pan\05-Raw_Data\Lab_results\[LabSamples2025_Bioplastic_extra.xlsx]extra_Bioplastic'!G690)," ",'Q:\Abteilungsprojekte\Eng\EngData\PROJECT_Bioplastics\Renjie_Pan\05-Raw_Data\Lab_results\[LabSamples2025_Bioplastic_extra.xlsx]extra_Bioplastic'!G690)</f>
        <v/>
      </c>
      <c r="H690">
        <f>IF(ISBLANK('Q:\Abteilungsprojekte\Eng\EngData\PROJECT_Bioplastics\Renjie_Pan\05-Raw_Data\Lab_results\[LabSamples2025_Bioplastic_extra.xlsx]extra_Bioplastic'!H690)," ",'Q:\Abteilungsprojekte\Eng\EngData\PROJECT_Bioplastics\Renjie_Pan\05-Raw_Data\Lab_results\[LabSamples2025_Bioplastic_extra.xlsx]extra_Bioplastic'!H690)</f>
        <v/>
      </c>
    </row>
    <row r="691">
      <c r="A691">
        <f>IF(ISBLANK('Q:\Abteilungsprojekte\Eng\EngData\PROJECT_Bioplastics\Renjie_Pan\05-Raw_Data\Lab_results\[LabSamples2025_Bioplastic_extra.xlsx]extra_Bioplastic'!A691)," ",'Q:\Abteilungsprojekte\Eng\EngData\PROJECT_Bioplastics\Renjie_Pan\05-Raw_Data\Lab_results\[LabSamples2025_Bioplastic_extra.xlsx]extra_Bioplastic'!A691)</f>
        <v/>
      </c>
      <c r="B691">
        <f>IF(ISBLANK('Q:\Abteilungsprojekte\Eng\EngData\PROJECT_Bioplastics\Renjie_Pan\05-Raw_Data\Lab_results\[LabSamples2025_Bioplastic_extra.xlsx]extra_Bioplastic'!B691)," ",'Q:\Abteilungsprojekte\Eng\EngData\PROJECT_Bioplastics\Renjie_Pan\05-Raw_Data\Lab_results\[LabSamples2025_Bioplastic_extra.xlsx]extra_Bioplastic'!B691)</f>
        <v/>
      </c>
      <c r="C691">
        <f>IF(ISBLANK('Q:\Abteilungsprojekte\Eng\EngData\PROJECT_Bioplastics\Renjie_Pan\05-Raw_Data\Lab_results\[LabSamples2025_Bioplastic_extra.xlsx]extra_Bioplastic'!C691)," ",'Q:\Abteilungsprojekte\Eng\EngData\PROJECT_Bioplastics\Renjie_Pan\05-Raw_Data\Lab_results\[LabSamples2025_Bioplastic_extra.xlsx]extra_Bioplastic'!C691)</f>
        <v/>
      </c>
      <c r="D691">
        <f>IF(ISBLANK('Q:\Abteilungsprojekte\Eng\EngData\PROJECT_Bioplastics\Renjie_Pan\05-Raw_Data\Lab_results\[LabSamples2025_Bioplastic_extra.xlsx]extra_Bioplastic'!D691)," ",'Q:\Abteilungsprojekte\Eng\EngData\PROJECT_Bioplastics\Renjie_Pan\05-Raw_Data\Lab_results\[LabSamples2025_Bioplastic_extra.xlsx]extra_Bioplastic'!D691)</f>
        <v/>
      </c>
      <c r="E691">
        <f>IF(ISBLANK('Q:\Abteilungsprojekte\Eng\EngData\PROJECT_Bioplastics\Renjie_Pan\05-Raw_Data\Lab_results\[LabSamples2025_Bioplastic_extra.xlsx]extra_Bioplastic'!E691)," ",'Q:\Abteilungsprojekte\Eng\EngData\PROJECT_Bioplastics\Renjie_Pan\05-Raw_Data\Lab_results\[LabSamples2025_Bioplastic_extra.xlsx]extra_Bioplastic'!E691)</f>
        <v/>
      </c>
      <c r="F691">
        <f>IF(ISBLANK('Q:\Abteilungsprojekte\Eng\EngData\PROJECT_Bioplastics\Renjie_Pan\05-Raw_Data\Lab_results\[LabSamples2025_Bioplastic_extra.xlsx]extra_Bioplastic'!F691)," ",'Q:\Abteilungsprojekte\Eng\EngData\PROJECT_Bioplastics\Renjie_Pan\05-Raw_Data\Lab_results\[LabSamples2025_Bioplastic_extra.xlsx]extra_Bioplastic'!F691)</f>
        <v/>
      </c>
      <c r="G691">
        <f>IF(ISBLANK('Q:\Abteilungsprojekte\Eng\EngData\PROJECT_Bioplastics\Renjie_Pan\05-Raw_Data\Lab_results\[LabSamples2025_Bioplastic_extra.xlsx]extra_Bioplastic'!G691)," ",'Q:\Abteilungsprojekte\Eng\EngData\PROJECT_Bioplastics\Renjie_Pan\05-Raw_Data\Lab_results\[LabSamples2025_Bioplastic_extra.xlsx]extra_Bioplastic'!G691)</f>
        <v/>
      </c>
      <c r="H691">
        <f>IF(ISBLANK('Q:\Abteilungsprojekte\Eng\EngData\PROJECT_Bioplastics\Renjie_Pan\05-Raw_Data\Lab_results\[LabSamples2025_Bioplastic_extra.xlsx]extra_Bioplastic'!H691)," ",'Q:\Abteilungsprojekte\Eng\EngData\PROJECT_Bioplastics\Renjie_Pan\05-Raw_Data\Lab_results\[LabSamples2025_Bioplastic_extra.xlsx]extra_Bioplastic'!H691)</f>
        <v/>
      </c>
    </row>
    <row r="692">
      <c r="A692">
        <f>IF(ISBLANK('Q:\Abteilungsprojekte\Eng\EngData\PROJECT_Bioplastics\Renjie_Pan\05-Raw_Data\Lab_results\[LabSamples2025_Bioplastic_extra.xlsx]extra_Bioplastic'!A692)," ",'Q:\Abteilungsprojekte\Eng\EngData\PROJECT_Bioplastics\Renjie_Pan\05-Raw_Data\Lab_results\[LabSamples2025_Bioplastic_extra.xlsx]extra_Bioplastic'!A692)</f>
        <v/>
      </c>
      <c r="B692">
        <f>IF(ISBLANK('Q:\Abteilungsprojekte\Eng\EngData\PROJECT_Bioplastics\Renjie_Pan\05-Raw_Data\Lab_results\[LabSamples2025_Bioplastic_extra.xlsx]extra_Bioplastic'!B692)," ",'Q:\Abteilungsprojekte\Eng\EngData\PROJECT_Bioplastics\Renjie_Pan\05-Raw_Data\Lab_results\[LabSamples2025_Bioplastic_extra.xlsx]extra_Bioplastic'!B692)</f>
        <v/>
      </c>
      <c r="C692">
        <f>IF(ISBLANK('Q:\Abteilungsprojekte\Eng\EngData\PROJECT_Bioplastics\Renjie_Pan\05-Raw_Data\Lab_results\[LabSamples2025_Bioplastic_extra.xlsx]extra_Bioplastic'!C692)," ",'Q:\Abteilungsprojekte\Eng\EngData\PROJECT_Bioplastics\Renjie_Pan\05-Raw_Data\Lab_results\[LabSamples2025_Bioplastic_extra.xlsx]extra_Bioplastic'!C692)</f>
        <v/>
      </c>
      <c r="D692">
        <f>IF(ISBLANK('Q:\Abteilungsprojekte\Eng\EngData\PROJECT_Bioplastics\Renjie_Pan\05-Raw_Data\Lab_results\[LabSamples2025_Bioplastic_extra.xlsx]extra_Bioplastic'!D692)," ",'Q:\Abteilungsprojekte\Eng\EngData\PROJECT_Bioplastics\Renjie_Pan\05-Raw_Data\Lab_results\[LabSamples2025_Bioplastic_extra.xlsx]extra_Bioplastic'!D692)</f>
        <v/>
      </c>
      <c r="E692">
        <f>IF(ISBLANK('Q:\Abteilungsprojekte\Eng\EngData\PROJECT_Bioplastics\Renjie_Pan\05-Raw_Data\Lab_results\[LabSamples2025_Bioplastic_extra.xlsx]extra_Bioplastic'!E692)," ",'Q:\Abteilungsprojekte\Eng\EngData\PROJECT_Bioplastics\Renjie_Pan\05-Raw_Data\Lab_results\[LabSamples2025_Bioplastic_extra.xlsx]extra_Bioplastic'!E692)</f>
        <v/>
      </c>
      <c r="F692">
        <f>IF(ISBLANK('Q:\Abteilungsprojekte\Eng\EngData\PROJECT_Bioplastics\Renjie_Pan\05-Raw_Data\Lab_results\[LabSamples2025_Bioplastic_extra.xlsx]extra_Bioplastic'!F692)," ",'Q:\Abteilungsprojekte\Eng\EngData\PROJECT_Bioplastics\Renjie_Pan\05-Raw_Data\Lab_results\[LabSamples2025_Bioplastic_extra.xlsx]extra_Bioplastic'!F692)</f>
        <v/>
      </c>
      <c r="G692">
        <f>IF(ISBLANK('Q:\Abteilungsprojekte\Eng\EngData\PROJECT_Bioplastics\Renjie_Pan\05-Raw_Data\Lab_results\[LabSamples2025_Bioplastic_extra.xlsx]extra_Bioplastic'!G692)," ",'Q:\Abteilungsprojekte\Eng\EngData\PROJECT_Bioplastics\Renjie_Pan\05-Raw_Data\Lab_results\[LabSamples2025_Bioplastic_extra.xlsx]extra_Bioplastic'!G692)</f>
        <v/>
      </c>
      <c r="H692">
        <f>IF(ISBLANK('Q:\Abteilungsprojekte\Eng\EngData\PROJECT_Bioplastics\Renjie_Pan\05-Raw_Data\Lab_results\[LabSamples2025_Bioplastic_extra.xlsx]extra_Bioplastic'!H692)," ",'Q:\Abteilungsprojekte\Eng\EngData\PROJECT_Bioplastics\Renjie_Pan\05-Raw_Data\Lab_results\[LabSamples2025_Bioplastic_extra.xlsx]extra_Bioplastic'!H692)</f>
        <v/>
      </c>
    </row>
    <row r="693">
      <c r="A693">
        <f>IF(ISBLANK('Q:\Abteilungsprojekte\Eng\EngData\PROJECT_Bioplastics\Renjie_Pan\05-Raw_Data\Lab_results\[LabSamples2025_Bioplastic_extra.xlsx]extra_Bioplastic'!A693)," ",'Q:\Abteilungsprojekte\Eng\EngData\PROJECT_Bioplastics\Renjie_Pan\05-Raw_Data\Lab_results\[LabSamples2025_Bioplastic_extra.xlsx]extra_Bioplastic'!A693)</f>
        <v/>
      </c>
      <c r="B693">
        <f>IF(ISBLANK('Q:\Abteilungsprojekte\Eng\EngData\PROJECT_Bioplastics\Renjie_Pan\05-Raw_Data\Lab_results\[LabSamples2025_Bioplastic_extra.xlsx]extra_Bioplastic'!B693)," ",'Q:\Abteilungsprojekte\Eng\EngData\PROJECT_Bioplastics\Renjie_Pan\05-Raw_Data\Lab_results\[LabSamples2025_Bioplastic_extra.xlsx]extra_Bioplastic'!B693)</f>
        <v/>
      </c>
      <c r="C693">
        <f>IF(ISBLANK('Q:\Abteilungsprojekte\Eng\EngData\PROJECT_Bioplastics\Renjie_Pan\05-Raw_Data\Lab_results\[LabSamples2025_Bioplastic_extra.xlsx]extra_Bioplastic'!C693)," ",'Q:\Abteilungsprojekte\Eng\EngData\PROJECT_Bioplastics\Renjie_Pan\05-Raw_Data\Lab_results\[LabSamples2025_Bioplastic_extra.xlsx]extra_Bioplastic'!C693)</f>
        <v/>
      </c>
      <c r="D693">
        <f>IF(ISBLANK('Q:\Abteilungsprojekte\Eng\EngData\PROJECT_Bioplastics\Renjie_Pan\05-Raw_Data\Lab_results\[LabSamples2025_Bioplastic_extra.xlsx]extra_Bioplastic'!D693)," ",'Q:\Abteilungsprojekte\Eng\EngData\PROJECT_Bioplastics\Renjie_Pan\05-Raw_Data\Lab_results\[LabSamples2025_Bioplastic_extra.xlsx]extra_Bioplastic'!D693)</f>
        <v/>
      </c>
      <c r="E693">
        <f>IF(ISBLANK('Q:\Abteilungsprojekte\Eng\EngData\PROJECT_Bioplastics\Renjie_Pan\05-Raw_Data\Lab_results\[LabSamples2025_Bioplastic_extra.xlsx]extra_Bioplastic'!E693)," ",'Q:\Abteilungsprojekte\Eng\EngData\PROJECT_Bioplastics\Renjie_Pan\05-Raw_Data\Lab_results\[LabSamples2025_Bioplastic_extra.xlsx]extra_Bioplastic'!E693)</f>
        <v/>
      </c>
      <c r="F693">
        <f>IF(ISBLANK('Q:\Abteilungsprojekte\Eng\EngData\PROJECT_Bioplastics\Renjie_Pan\05-Raw_Data\Lab_results\[LabSamples2025_Bioplastic_extra.xlsx]extra_Bioplastic'!F693)," ",'Q:\Abteilungsprojekte\Eng\EngData\PROJECT_Bioplastics\Renjie_Pan\05-Raw_Data\Lab_results\[LabSamples2025_Bioplastic_extra.xlsx]extra_Bioplastic'!F693)</f>
        <v/>
      </c>
      <c r="G693">
        <f>IF(ISBLANK('Q:\Abteilungsprojekte\Eng\EngData\PROJECT_Bioplastics\Renjie_Pan\05-Raw_Data\Lab_results\[LabSamples2025_Bioplastic_extra.xlsx]extra_Bioplastic'!G693)," ",'Q:\Abteilungsprojekte\Eng\EngData\PROJECT_Bioplastics\Renjie_Pan\05-Raw_Data\Lab_results\[LabSamples2025_Bioplastic_extra.xlsx]extra_Bioplastic'!G693)</f>
        <v/>
      </c>
      <c r="H693">
        <f>IF(ISBLANK('Q:\Abteilungsprojekte\Eng\EngData\PROJECT_Bioplastics\Renjie_Pan\05-Raw_Data\Lab_results\[LabSamples2025_Bioplastic_extra.xlsx]extra_Bioplastic'!H693)," ",'Q:\Abteilungsprojekte\Eng\EngData\PROJECT_Bioplastics\Renjie_Pan\05-Raw_Data\Lab_results\[LabSamples2025_Bioplastic_extra.xlsx]extra_Bioplastic'!H693)</f>
        <v/>
      </c>
    </row>
    <row r="694">
      <c r="A694">
        <f>IF(ISBLANK('Q:\Abteilungsprojekte\Eng\EngData\PROJECT_Bioplastics\Renjie_Pan\05-Raw_Data\Lab_results\[LabSamples2025_Bioplastic_extra.xlsx]extra_Bioplastic'!A694)," ",'Q:\Abteilungsprojekte\Eng\EngData\PROJECT_Bioplastics\Renjie_Pan\05-Raw_Data\Lab_results\[LabSamples2025_Bioplastic_extra.xlsx]extra_Bioplastic'!A694)</f>
        <v/>
      </c>
      <c r="B694">
        <f>IF(ISBLANK('Q:\Abteilungsprojekte\Eng\EngData\PROJECT_Bioplastics\Renjie_Pan\05-Raw_Data\Lab_results\[LabSamples2025_Bioplastic_extra.xlsx]extra_Bioplastic'!B694)," ",'Q:\Abteilungsprojekte\Eng\EngData\PROJECT_Bioplastics\Renjie_Pan\05-Raw_Data\Lab_results\[LabSamples2025_Bioplastic_extra.xlsx]extra_Bioplastic'!B694)</f>
        <v/>
      </c>
      <c r="C694">
        <f>IF(ISBLANK('Q:\Abteilungsprojekte\Eng\EngData\PROJECT_Bioplastics\Renjie_Pan\05-Raw_Data\Lab_results\[LabSamples2025_Bioplastic_extra.xlsx]extra_Bioplastic'!C694)," ",'Q:\Abteilungsprojekte\Eng\EngData\PROJECT_Bioplastics\Renjie_Pan\05-Raw_Data\Lab_results\[LabSamples2025_Bioplastic_extra.xlsx]extra_Bioplastic'!C694)</f>
        <v/>
      </c>
      <c r="D694">
        <f>IF(ISBLANK('Q:\Abteilungsprojekte\Eng\EngData\PROJECT_Bioplastics\Renjie_Pan\05-Raw_Data\Lab_results\[LabSamples2025_Bioplastic_extra.xlsx]extra_Bioplastic'!D694)," ",'Q:\Abteilungsprojekte\Eng\EngData\PROJECT_Bioplastics\Renjie_Pan\05-Raw_Data\Lab_results\[LabSamples2025_Bioplastic_extra.xlsx]extra_Bioplastic'!D694)</f>
        <v/>
      </c>
      <c r="E694">
        <f>IF(ISBLANK('Q:\Abteilungsprojekte\Eng\EngData\PROJECT_Bioplastics\Renjie_Pan\05-Raw_Data\Lab_results\[LabSamples2025_Bioplastic_extra.xlsx]extra_Bioplastic'!E694)," ",'Q:\Abteilungsprojekte\Eng\EngData\PROJECT_Bioplastics\Renjie_Pan\05-Raw_Data\Lab_results\[LabSamples2025_Bioplastic_extra.xlsx]extra_Bioplastic'!E694)</f>
        <v/>
      </c>
      <c r="F694">
        <f>IF(ISBLANK('Q:\Abteilungsprojekte\Eng\EngData\PROJECT_Bioplastics\Renjie_Pan\05-Raw_Data\Lab_results\[LabSamples2025_Bioplastic_extra.xlsx]extra_Bioplastic'!F694)," ",'Q:\Abteilungsprojekte\Eng\EngData\PROJECT_Bioplastics\Renjie_Pan\05-Raw_Data\Lab_results\[LabSamples2025_Bioplastic_extra.xlsx]extra_Bioplastic'!F694)</f>
        <v/>
      </c>
      <c r="G694">
        <f>IF(ISBLANK('Q:\Abteilungsprojekte\Eng\EngData\PROJECT_Bioplastics\Renjie_Pan\05-Raw_Data\Lab_results\[LabSamples2025_Bioplastic_extra.xlsx]extra_Bioplastic'!G694)," ",'Q:\Abteilungsprojekte\Eng\EngData\PROJECT_Bioplastics\Renjie_Pan\05-Raw_Data\Lab_results\[LabSamples2025_Bioplastic_extra.xlsx]extra_Bioplastic'!G694)</f>
        <v/>
      </c>
      <c r="H694">
        <f>IF(ISBLANK('Q:\Abteilungsprojekte\Eng\EngData\PROJECT_Bioplastics\Renjie_Pan\05-Raw_Data\Lab_results\[LabSamples2025_Bioplastic_extra.xlsx]extra_Bioplastic'!H694)," ",'Q:\Abteilungsprojekte\Eng\EngData\PROJECT_Bioplastics\Renjie_Pan\05-Raw_Data\Lab_results\[LabSamples2025_Bioplastic_extra.xlsx]extra_Bioplastic'!H694)</f>
        <v/>
      </c>
    </row>
    <row r="695">
      <c r="A695">
        <f>IF(ISBLANK('Q:\Abteilungsprojekte\Eng\EngData\PROJECT_Bioplastics\Renjie_Pan\05-Raw_Data\Lab_results\[LabSamples2025_Bioplastic_extra.xlsx]extra_Bioplastic'!A695)," ",'Q:\Abteilungsprojekte\Eng\EngData\PROJECT_Bioplastics\Renjie_Pan\05-Raw_Data\Lab_results\[LabSamples2025_Bioplastic_extra.xlsx]extra_Bioplastic'!A695)</f>
        <v/>
      </c>
      <c r="B695">
        <f>IF(ISBLANK('Q:\Abteilungsprojekte\Eng\EngData\PROJECT_Bioplastics\Renjie_Pan\05-Raw_Data\Lab_results\[LabSamples2025_Bioplastic_extra.xlsx]extra_Bioplastic'!B695)," ",'Q:\Abteilungsprojekte\Eng\EngData\PROJECT_Bioplastics\Renjie_Pan\05-Raw_Data\Lab_results\[LabSamples2025_Bioplastic_extra.xlsx]extra_Bioplastic'!B695)</f>
        <v/>
      </c>
      <c r="C695">
        <f>IF(ISBLANK('Q:\Abteilungsprojekte\Eng\EngData\PROJECT_Bioplastics\Renjie_Pan\05-Raw_Data\Lab_results\[LabSamples2025_Bioplastic_extra.xlsx]extra_Bioplastic'!C695)," ",'Q:\Abteilungsprojekte\Eng\EngData\PROJECT_Bioplastics\Renjie_Pan\05-Raw_Data\Lab_results\[LabSamples2025_Bioplastic_extra.xlsx]extra_Bioplastic'!C695)</f>
        <v/>
      </c>
      <c r="D695">
        <f>IF(ISBLANK('Q:\Abteilungsprojekte\Eng\EngData\PROJECT_Bioplastics\Renjie_Pan\05-Raw_Data\Lab_results\[LabSamples2025_Bioplastic_extra.xlsx]extra_Bioplastic'!D695)," ",'Q:\Abteilungsprojekte\Eng\EngData\PROJECT_Bioplastics\Renjie_Pan\05-Raw_Data\Lab_results\[LabSamples2025_Bioplastic_extra.xlsx]extra_Bioplastic'!D695)</f>
        <v/>
      </c>
      <c r="E695">
        <f>IF(ISBLANK('Q:\Abteilungsprojekte\Eng\EngData\PROJECT_Bioplastics\Renjie_Pan\05-Raw_Data\Lab_results\[LabSamples2025_Bioplastic_extra.xlsx]extra_Bioplastic'!E695)," ",'Q:\Abteilungsprojekte\Eng\EngData\PROJECT_Bioplastics\Renjie_Pan\05-Raw_Data\Lab_results\[LabSamples2025_Bioplastic_extra.xlsx]extra_Bioplastic'!E695)</f>
        <v/>
      </c>
      <c r="F695">
        <f>IF(ISBLANK('Q:\Abteilungsprojekte\Eng\EngData\PROJECT_Bioplastics\Renjie_Pan\05-Raw_Data\Lab_results\[LabSamples2025_Bioplastic_extra.xlsx]extra_Bioplastic'!F695)," ",'Q:\Abteilungsprojekte\Eng\EngData\PROJECT_Bioplastics\Renjie_Pan\05-Raw_Data\Lab_results\[LabSamples2025_Bioplastic_extra.xlsx]extra_Bioplastic'!F695)</f>
        <v/>
      </c>
      <c r="G695">
        <f>IF(ISBLANK('Q:\Abteilungsprojekte\Eng\EngData\PROJECT_Bioplastics\Renjie_Pan\05-Raw_Data\Lab_results\[LabSamples2025_Bioplastic_extra.xlsx]extra_Bioplastic'!G695)," ",'Q:\Abteilungsprojekte\Eng\EngData\PROJECT_Bioplastics\Renjie_Pan\05-Raw_Data\Lab_results\[LabSamples2025_Bioplastic_extra.xlsx]extra_Bioplastic'!G695)</f>
        <v/>
      </c>
      <c r="H695">
        <f>IF(ISBLANK('Q:\Abteilungsprojekte\Eng\EngData\PROJECT_Bioplastics\Renjie_Pan\05-Raw_Data\Lab_results\[LabSamples2025_Bioplastic_extra.xlsx]extra_Bioplastic'!H695)," ",'Q:\Abteilungsprojekte\Eng\EngData\PROJECT_Bioplastics\Renjie_Pan\05-Raw_Data\Lab_results\[LabSamples2025_Bioplastic_extra.xlsx]extra_Bioplastic'!H695)</f>
        <v/>
      </c>
    </row>
    <row r="696">
      <c r="A696">
        <f>IF(ISBLANK('Q:\Abteilungsprojekte\Eng\EngData\PROJECT_Bioplastics\Renjie_Pan\05-Raw_Data\Lab_results\[LabSamples2025_Bioplastic_extra.xlsx]extra_Bioplastic'!A696)," ",'Q:\Abteilungsprojekte\Eng\EngData\PROJECT_Bioplastics\Renjie_Pan\05-Raw_Data\Lab_results\[LabSamples2025_Bioplastic_extra.xlsx]extra_Bioplastic'!A696)</f>
        <v/>
      </c>
      <c r="B696">
        <f>IF(ISBLANK('Q:\Abteilungsprojekte\Eng\EngData\PROJECT_Bioplastics\Renjie_Pan\05-Raw_Data\Lab_results\[LabSamples2025_Bioplastic_extra.xlsx]extra_Bioplastic'!B696)," ",'Q:\Abteilungsprojekte\Eng\EngData\PROJECT_Bioplastics\Renjie_Pan\05-Raw_Data\Lab_results\[LabSamples2025_Bioplastic_extra.xlsx]extra_Bioplastic'!B696)</f>
        <v/>
      </c>
      <c r="C696">
        <f>IF(ISBLANK('Q:\Abteilungsprojekte\Eng\EngData\PROJECT_Bioplastics\Renjie_Pan\05-Raw_Data\Lab_results\[LabSamples2025_Bioplastic_extra.xlsx]extra_Bioplastic'!C696)," ",'Q:\Abteilungsprojekte\Eng\EngData\PROJECT_Bioplastics\Renjie_Pan\05-Raw_Data\Lab_results\[LabSamples2025_Bioplastic_extra.xlsx]extra_Bioplastic'!C696)</f>
        <v/>
      </c>
      <c r="D696">
        <f>IF(ISBLANK('Q:\Abteilungsprojekte\Eng\EngData\PROJECT_Bioplastics\Renjie_Pan\05-Raw_Data\Lab_results\[LabSamples2025_Bioplastic_extra.xlsx]extra_Bioplastic'!D696)," ",'Q:\Abteilungsprojekte\Eng\EngData\PROJECT_Bioplastics\Renjie_Pan\05-Raw_Data\Lab_results\[LabSamples2025_Bioplastic_extra.xlsx]extra_Bioplastic'!D696)</f>
        <v/>
      </c>
      <c r="E696">
        <f>IF(ISBLANK('Q:\Abteilungsprojekte\Eng\EngData\PROJECT_Bioplastics\Renjie_Pan\05-Raw_Data\Lab_results\[LabSamples2025_Bioplastic_extra.xlsx]extra_Bioplastic'!E696)," ",'Q:\Abteilungsprojekte\Eng\EngData\PROJECT_Bioplastics\Renjie_Pan\05-Raw_Data\Lab_results\[LabSamples2025_Bioplastic_extra.xlsx]extra_Bioplastic'!E696)</f>
        <v/>
      </c>
      <c r="F696">
        <f>IF(ISBLANK('Q:\Abteilungsprojekte\Eng\EngData\PROJECT_Bioplastics\Renjie_Pan\05-Raw_Data\Lab_results\[LabSamples2025_Bioplastic_extra.xlsx]extra_Bioplastic'!F696)," ",'Q:\Abteilungsprojekte\Eng\EngData\PROJECT_Bioplastics\Renjie_Pan\05-Raw_Data\Lab_results\[LabSamples2025_Bioplastic_extra.xlsx]extra_Bioplastic'!F696)</f>
        <v/>
      </c>
      <c r="G696">
        <f>IF(ISBLANK('Q:\Abteilungsprojekte\Eng\EngData\PROJECT_Bioplastics\Renjie_Pan\05-Raw_Data\Lab_results\[LabSamples2025_Bioplastic_extra.xlsx]extra_Bioplastic'!G696)," ",'Q:\Abteilungsprojekte\Eng\EngData\PROJECT_Bioplastics\Renjie_Pan\05-Raw_Data\Lab_results\[LabSamples2025_Bioplastic_extra.xlsx]extra_Bioplastic'!G696)</f>
        <v/>
      </c>
      <c r="H696">
        <f>IF(ISBLANK('Q:\Abteilungsprojekte\Eng\EngData\PROJECT_Bioplastics\Renjie_Pan\05-Raw_Data\Lab_results\[LabSamples2025_Bioplastic_extra.xlsx]extra_Bioplastic'!H696)," ",'Q:\Abteilungsprojekte\Eng\EngData\PROJECT_Bioplastics\Renjie_Pan\05-Raw_Data\Lab_results\[LabSamples2025_Bioplastic_extra.xlsx]extra_Bioplastic'!H696)</f>
        <v/>
      </c>
    </row>
    <row r="697">
      <c r="A697">
        <f>IF(ISBLANK('Q:\Abteilungsprojekte\Eng\EngData\PROJECT_Bioplastics\Renjie_Pan\05-Raw_Data\Lab_results\[LabSamples2025_Bioplastic_extra.xlsx]extra_Bioplastic'!A697)," ",'Q:\Abteilungsprojekte\Eng\EngData\PROJECT_Bioplastics\Renjie_Pan\05-Raw_Data\Lab_results\[LabSamples2025_Bioplastic_extra.xlsx]extra_Bioplastic'!A697)</f>
        <v/>
      </c>
      <c r="B697">
        <f>IF(ISBLANK('Q:\Abteilungsprojekte\Eng\EngData\PROJECT_Bioplastics\Renjie_Pan\05-Raw_Data\Lab_results\[LabSamples2025_Bioplastic_extra.xlsx]extra_Bioplastic'!B697)," ",'Q:\Abteilungsprojekte\Eng\EngData\PROJECT_Bioplastics\Renjie_Pan\05-Raw_Data\Lab_results\[LabSamples2025_Bioplastic_extra.xlsx]extra_Bioplastic'!B697)</f>
        <v/>
      </c>
      <c r="C697">
        <f>IF(ISBLANK('Q:\Abteilungsprojekte\Eng\EngData\PROJECT_Bioplastics\Renjie_Pan\05-Raw_Data\Lab_results\[LabSamples2025_Bioplastic_extra.xlsx]extra_Bioplastic'!C697)," ",'Q:\Abteilungsprojekte\Eng\EngData\PROJECT_Bioplastics\Renjie_Pan\05-Raw_Data\Lab_results\[LabSamples2025_Bioplastic_extra.xlsx]extra_Bioplastic'!C697)</f>
        <v/>
      </c>
      <c r="D697">
        <f>IF(ISBLANK('Q:\Abteilungsprojekte\Eng\EngData\PROJECT_Bioplastics\Renjie_Pan\05-Raw_Data\Lab_results\[LabSamples2025_Bioplastic_extra.xlsx]extra_Bioplastic'!D697)," ",'Q:\Abteilungsprojekte\Eng\EngData\PROJECT_Bioplastics\Renjie_Pan\05-Raw_Data\Lab_results\[LabSamples2025_Bioplastic_extra.xlsx]extra_Bioplastic'!D697)</f>
        <v/>
      </c>
      <c r="E697">
        <f>IF(ISBLANK('Q:\Abteilungsprojekte\Eng\EngData\PROJECT_Bioplastics\Renjie_Pan\05-Raw_Data\Lab_results\[LabSamples2025_Bioplastic_extra.xlsx]extra_Bioplastic'!E697)," ",'Q:\Abteilungsprojekte\Eng\EngData\PROJECT_Bioplastics\Renjie_Pan\05-Raw_Data\Lab_results\[LabSamples2025_Bioplastic_extra.xlsx]extra_Bioplastic'!E697)</f>
        <v/>
      </c>
      <c r="F697">
        <f>IF(ISBLANK('Q:\Abteilungsprojekte\Eng\EngData\PROJECT_Bioplastics\Renjie_Pan\05-Raw_Data\Lab_results\[LabSamples2025_Bioplastic_extra.xlsx]extra_Bioplastic'!F697)," ",'Q:\Abteilungsprojekte\Eng\EngData\PROJECT_Bioplastics\Renjie_Pan\05-Raw_Data\Lab_results\[LabSamples2025_Bioplastic_extra.xlsx]extra_Bioplastic'!F697)</f>
        <v/>
      </c>
      <c r="G697">
        <f>IF(ISBLANK('Q:\Abteilungsprojekte\Eng\EngData\PROJECT_Bioplastics\Renjie_Pan\05-Raw_Data\Lab_results\[LabSamples2025_Bioplastic_extra.xlsx]extra_Bioplastic'!G697)," ",'Q:\Abteilungsprojekte\Eng\EngData\PROJECT_Bioplastics\Renjie_Pan\05-Raw_Data\Lab_results\[LabSamples2025_Bioplastic_extra.xlsx]extra_Bioplastic'!G697)</f>
        <v/>
      </c>
      <c r="H697">
        <f>IF(ISBLANK('Q:\Abteilungsprojekte\Eng\EngData\PROJECT_Bioplastics\Renjie_Pan\05-Raw_Data\Lab_results\[LabSamples2025_Bioplastic_extra.xlsx]extra_Bioplastic'!H697)," ",'Q:\Abteilungsprojekte\Eng\EngData\PROJECT_Bioplastics\Renjie_Pan\05-Raw_Data\Lab_results\[LabSamples2025_Bioplastic_extra.xlsx]extra_Bioplastic'!H697)</f>
        <v/>
      </c>
    </row>
    <row r="698">
      <c r="A698">
        <f>IF(ISBLANK('Q:\Abteilungsprojekte\Eng\EngData\PROJECT_Bioplastics\Renjie_Pan\05-Raw_Data\Lab_results\[LabSamples2025_Bioplastic_extra.xlsx]extra_Bioplastic'!A698)," ",'Q:\Abteilungsprojekte\Eng\EngData\PROJECT_Bioplastics\Renjie_Pan\05-Raw_Data\Lab_results\[LabSamples2025_Bioplastic_extra.xlsx]extra_Bioplastic'!A698)</f>
        <v/>
      </c>
      <c r="B698">
        <f>IF(ISBLANK('Q:\Abteilungsprojekte\Eng\EngData\PROJECT_Bioplastics\Renjie_Pan\05-Raw_Data\Lab_results\[LabSamples2025_Bioplastic_extra.xlsx]extra_Bioplastic'!B698)," ",'Q:\Abteilungsprojekte\Eng\EngData\PROJECT_Bioplastics\Renjie_Pan\05-Raw_Data\Lab_results\[LabSamples2025_Bioplastic_extra.xlsx]extra_Bioplastic'!B698)</f>
        <v/>
      </c>
      <c r="C698">
        <f>IF(ISBLANK('Q:\Abteilungsprojekte\Eng\EngData\PROJECT_Bioplastics\Renjie_Pan\05-Raw_Data\Lab_results\[LabSamples2025_Bioplastic_extra.xlsx]extra_Bioplastic'!C698)," ",'Q:\Abteilungsprojekte\Eng\EngData\PROJECT_Bioplastics\Renjie_Pan\05-Raw_Data\Lab_results\[LabSamples2025_Bioplastic_extra.xlsx]extra_Bioplastic'!C698)</f>
        <v/>
      </c>
      <c r="D698">
        <f>IF(ISBLANK('Q:\Abteilungsprojekte\Eng\EngData\PROJECT_Bioplastics\Renjie_Pan\05-Raw_Data\Lab_results\[LabSamples2025_Bioplastic_extra.xlsx]extra_Bioplastic'!D698)," ",'Q:\Abteilungsprojekte\Eng\EngData\PROJECT_Bioplastics\Renjie_Pan\05-Raw_Data\Lab_results\[LabSamples2025_Bioplastic_extra.xlsx]extra_Bioplastic'!D698)</f>
        <v/>
      </c>
      <c r="E698">
        <f>IF(ISBLANK('Q:\Abteilungsprojekte\Eng\EngData\PROJECT_Bioplastics\Renjie_Pan\05-Raw_Data\Lab_results\[LabSamples2025_Bioplastic_extra.xlsx]extra_Bioplastic'!E698)," ",'Q:\Abteilungsprojekte\Eng\EngData\PROJECT_Bioplastics\Renjie_Pan\05-Raw_Data\Lab_results\[LabSamples2025_Bioplastic_extra.xlsx]extra_Bioplastic'!E698)</f>
        <v/>
      </c>
      <c r="F698">
        <f>IF(ISBLANK('Q:\Abteilungsprojekte\Eng\EngData\PROJECT_Bioplastics\Renjie_Pan\05-Raw_Data\Lab_results\[LabSamples2025_Bioplastic_extra.xlsx]extra_Bioplastic'!F698)," ",'Q:\Abteilungsprojekte\Eng\EngData\PROJECT_Bioplastics\Renjie_Pan\05-Raw_Data\Lab_results\[LabSamples2025_Bioplastic_extra.xlsx]extra_Bioplastic'!F698)</f>
        <v/>
      </c>
      <c r="G698">
        <f>IF(ISBLANK('Q:\Abteilungsprojekte\Eng\EngData\PROJECT_Bioplastics\Renjie_Pan\05-Raw_Data\Lab_results\[LabSamples2025_Bioplastic_extra.xlsx]extra_Bioplastic'!G698)," ",'Q:\Abteilungsprojekte\Eng\EngData\PROJECT_Bioplastics\Renjie_Pan\05-Raw_Data\Lab_results\[LabSamples2025_Bioplastic_extra.xlsx]extra_Bioplastic'!G698)</f>
        <v/>
      </c>
      <c r="H698">
        <f>IF(ISBLANK('Q:\Abteilungsprojekte\Eng\EngData\PROJECT_Bioplastics\Renjie_Pan\05-Raw_Data\Lab_results\[LabSamples2025_Bioplastic_extra.xlsx]extra_Bioplastic'!H698)," ",'Q:\Abteilungsprojekte\Eng\EngData\PROJECT_Bioplastics\Renjie_Pan\05-Raw_Data\Lab_results\[LabSamples2025_Bioplastic_extra.xlsx]extra_Bioplastic'!H698)</f>
        <v/>
      </c>
    </row>
    <row r="699">
      <c r="A699">
        <f>IF(ISBLANK('Q:\Abteilungsprojekte\Eng\EngData\PROJECT_Bioplastics\Renjie_Pan\05-Raw_Data\Lab_results\[LabSamples2025_Bioplastic_extra.xlsx]extra_Bioplastic'!A699)," ",'Q:\Abteilungsprojekte\Eng\EngData\PROJECT_Bioplastics\Renjie_Pan\05-Raw_Data\Lab_results\[LabSamples2025_Bioplastic_extra.xlsx]extra_Bioplastic'!A699)</f>
        <v/>
      </c>
      <c r="B699">
        <f>IF(ISBLANK('Q:\Abteilungsprojekte\Eng\EngData\PROJECT_Bioplastics\Renjie_Pan\05-Raw_Data\Lab_results\[LabSamples2025_Bioplastic_extra.xlsx]extra_Bioplastic'!B699)," ",'Q:\Abteilungsprojekte\Eng\EngData\PROJECT_Bioplastics\Renjie_Pan\05-Raw_Data\Lab_results\[LabSamples2025_Bioplastic_extra.xlsx]extra_Bioplastic'!B699)</f>
        <v/>
      </c>
      <c r="C699">
        <f>IF(ISBLANK('Q:\Abteilungsprojekte\Eng\EngData\PROJECT_Bioplastics\Renjie_Pan\05-Raw_Data\Lab_results\[LabSamples2025_Bioplastic_extra.xlsx]extra_Bioplastic'!C699)," ",'Q:\Abteilungsprojekte\Eng\EngData\PROJECT_Bioplastics\Renjie_Pan\05-Raw_Data\Lab_results\[LabSamples2025_Bioplastic_extra.xlsx]extra_Bioplastic'!C699)</f>
        <v/>
      </c>
      <c r="D699">
        <f>IF(ISBLANK('Q:\Abteilungsprojekte\Eng\EngData\PROJECT_Bioplastics\Renjie_Pan\05-Raw_Data\Lab_results\[LabSamples2025_Bioplastic_extra.xlsx]extra_Bioplastic'!D699)," ",'Q:\Abteilungsprojekte\Eng\EngData\PROJECT_Bioplastics\Renjie_Pan\05-Raw_Data\Lab_results\[LabSamples2025_Bioplastic_extra.xlsx]extra_Bioplastic'!D699)</f>
        <v/>
      </c>
      <c r="E699">
        <f>IF(ISBLANK('Q:\Abteilungsprojekte\Eng\EngData\PROJECT_Bioplastics\Renjie_Pan\05-Raw_Data\Lab_results\[LabSamples2025_Bioplastic_extra.xlsx]extra_Bioplastic'!E699)," ",'Q:\Abteilungsprojekte\Eng\EngData\PROJECT_Bioplastics\Renjie_Pan\05-Raw_Data\Lab_results\[LabSamples2025_Bioplastic_extra.xlsx]extra_Bioplastic'!E699)</f>
        <v/>
      </c>
      <c r="F699">
        <f>IF(ISBLANK('Q:\Abteilungsprojekte\Eng\EngData\PROJECT_Bioplastics\Renjie_Pan\05-Raw_Data\Lab_results\[LabSamples2025_Bioplastic_extra.xlsx]extra_Bioplastic'!F699)," ",'Q:\Abteilungsprojekte\Eng\EngData\PROJECT_Bioplastics\Renjie_Pan\05-Raw_Data\Lab_results\[LabSamples2025_Bioplastic_extra.xlsx]extra_Bioplastic'!F699)</f>
        <v/>
      </c>
      <c r="G699">
        <f>IF(ISBLANK('Q:\Abteilungsprojekte\Eng\EngData\PROJECT_Bioplastics\Renjie_Pan\05-Raw_Data\Lab_results\[LabSamples2025_Bioplastic_extra.xlsx]extra_Bioplastic'!G699)," ",'Q:\Abteilungsprojekte\Eng\EngData\PROJECT_Bioplastics\Renjie_Pan\05-Raw_Data\Lab_results\[LabSamples2025_Bioplastic_extra.xlsx]extra_Bioplastic'!G699)</f>
        <v/>
      </c>
      <c r="H699">
        <f>IF(ISBLANK('Q:\Abteilungsprojekte\Eng\EngData\PROJECT_Bioplastics\Renjie_Pan\05-Raw_Data\Lab_results\[LabSamples2025_Bioplastic_extra.xlsx]extra_Bioplastic'!H699)," ",'Q:\Abteilungsprojekte\Eng\EngData\PROJECT_Bioplastics\Renjie_Pan\05-Raw_Data\Lab_results\[LabSamples2025_Bioplastic_extra.xlsx]extra_Bioplastic'!H699)</f>
        <v/>
      </c>
    </row>
    <row r="700">
      <c r="A700">
        <f>IF(ISBLANK('Q:\Abteilungsprojekte\Eng\EngData\PROJECT_Bioplastics\Renjie_Pan\05-Raw_Data\Lab_results\[LabSamples2025_Bioplastic_extra.xlsx]extra_Bioplastic'!A700)," ",'Q:\Abteilungsprojekte\Eng\EngData\PROJECT_Bioplastics\Renjie_Pan\05-Raw_Data\Lab_results\[LabSamples2025_Bioplastic_extra.xlsx]extra_Bioplastic'!A700)</f>
        <v/>
      </c>
      <c r="B700">
        <f>IF(ISBLANK('Q:\Abteilungsprojekte\Eng\EngData\PROJECT_Bioplastics\Renjie_Pan\05-Raw_Data\Lab_results\[LabSamples2025_Bioplastic_extra.xlsx]extra_Bioplastic'!B700)," ",'Q:\Abteilungsprojekte\Eng\EngData\PROJECT_Bioplastics\Renjie_Pan\05-Raw_Data\Lab_results\[LabSamples2025_Bioplastic_extra.xlsx]extra_Bioplastic'!B700)</f>
        <v/>
      </c>
      <c r="C700">
        <f>IF(ISBLANK('Q:\Abteilungsprojekte\Eng\EngData\PROJECT_Bioplastics\Renjie_Pan\05-Raw_Data\Lab_results\[LabSamples2025_Bioplastic_extra.xlsx]extra_Bioplastic'!C700)," ",'Q:\Abteilungsprojekte\Eng\EngData\PROJECT_Bioplastics\Renjie_Pan\05-Raw_Data\Lab_results\[LabSamples2025_Bioplastic_extra.xlsx]extra_Bioplastic'!C700)</f>
        <v/>
      </c>
      <c r="D700">
        <f>IF(ISBLANK('Q:\Abteilungsprojekte\Eng\EngData\PROJECT_Bioplastics\Renjie_Pan\05-Raw_Data\Lab_results\[LabSamples2025_Bioplastic_extra.xlsx]extra_Bioplastic'!D700)," ",'Q:\Abteilungsprojekte\Eng\EngData\PROJECT_Bioplastics\Renjie_Pan\05-Raw_Data\Lab_results\[LabSamples2025_Bioplastic_extra.xlsx]extra_Bioplastic'!D700)</f>
        <v/>
      </c>
      <c r="E700">
        <f>IF(ISBLANK('Q:\Abteilungsprojekte\Eng\EngData\PROJECT_Bioplastics\Renjie_Pan\05-Raw_Data\Lab_results\[LabSamples2025_Bioplastic_extra.xlsx]extra_Bioplastic'!E700)," ",'Q:\Abteilungsprojekte\Eng\EngData\PROJECT_Bioplastics\Renjie_Pan\05-Raw_Data\Lab_results\[LabSamples2025_Bioplastic_extra.xlsx]extra_Bioplastic'!E700)</f>
        <v/>
      </c>
      <c r="F700">
        <f>IF(ISBLANK('Q:\Abteilungsprojekte\Eng\EngData\PROJECT_Bioplastics\Renjie_Pan\05-Raw_Data\Lab_results\[LabSamples2025_Bioplastic_extra.xlsx]extra_Bioplastic'!F700)," ",'Q:\Abteilungsprojekte\Eng\EngData\PROJECT_Bioplastics\Renjie_Pan\05-Raw_Data\Lab_results\[LabSamples2025_Bioplastic_extra.xlsx]extra_Bioplastic'!F700)</f>
        <v/>
      </c>
      <c r="G700">
        <f>IF(ISBLANK('Q:\Abteilungsprojekte\Eng\EngData\PROJECT_Bioplastics\Renjie_Pan\05-Raw_Data\Lab_results\[LabSamples2025_Bioplastic_extra.xlsx]extra_Bioplastic'!G700)," ",'Q:\Abteilungsprojekte\Eng\EngData\PROJECT_Bioplastics\Renjie_Pan\05-Raw_Data\Lab_results\[LabSamples2025_Bioplastic_extra.xlsx]extra_Bioplastic'!G700)</f>
        <v/>
      </c>
      <c r="H700">
        <f>IF(ISBLANK('Q:\Abteilungsprojekte\Eng\EngData\PROJECT_Bioplastics\Renjie_Pan\05-Raw_Data\Lab_results\[LabSamples2025_Bioplastic_extra.xlsx]extra_Bioplastic'!H700)," ",'Q:\Abteilungsprojekte\Eng\EngData\PROJECT_Bioplastics\Renjie_Pan\05-Raw_Data\Lab_results\[LabSamples2025_Bioplastic_extra.xlsx]extra_Bioplastic'!H700)</f>
        <v/>
      </c>
    </row>
    <row r="701">
      <c r="A701">
        <f>IF(ISBLANK('Q:\Abteilungsprojekte\Eng\EngData\PROJECT_Bioplastics\Renjie_Pan\05-Raw_Data\Lab_results\[LabSamples2025_Bioplastic_extra.xlsx]extra_Bioplastic'!A701)," ",'Q:\Abteilungsprojekte\Eng\EngData\PROJECT_Bioplastics\Renjie_Pan\05-Raw_Data\Lab_results\[LabSamples2025_Bioplastic_extra.xlsx]extra_Bioplastic'!A701)</f>
        <v/>
      </c>
      <c r="B701">
        <f>IF(ISBLANK('Q:\Abteilungsprojekte\Eng\EngData\PROJECT_Bioplastics\Renjie_Pan\05-Raw_Data\Lab_results\[LabSamples2025_Bioplastic_extra.xlsx]extra_Bioplastic'!B701)," ",'Q:\Abteilungsprojekte\Eng\EngData\PROJECT_Bioplastics\Renjie_Pan\05-Raw_Data\Lab_results\[LabSamples2025_Bioplastic_extra.xlsx]extra_Bioplastic'!B701)</f>
        <v/>
      </c>
      <c r="C701">
        <f>IF(ISBLANK('Q:\Abteilungsprojekte\Eng\EngData\PROJECT_Bioplastics\Renjie_Pan\05-Raw_Data\Lab_results\[LabSamples2025_Bioplastic_extra.xlsx]extra_Bioplastic'!C701)," ",'Q:\Abteilungsprojekte\Eng\EngData\PROJECT_Bioplastics\Renjie_Pan\05-Raw_Data\Lab_results\[LabSamples2025_Bioplastic_extra.xlsx]extra_Bioplastic'!C701)</f>
        <v/>
      </c>
      <c r="D701">
        <f>IF(ISBLANK('Q:\Abteilungsprojekte\Eng\EngData\PROJECT_Bioplastics\Renjie_Pan\05-Raw_Data\Lab_results\[LabSamples2025_Bioplastic_extra.xlsx]extra_Bioplastic'!D701)," ",'Q:\Abteilungsprojekte\Eng\EngData\PROJECT_Bioplastics\Renjie_Pan\05-Raw_Data\Lab_results\[LabSamples2025_Bioplastic_extra.xlsx]extra_Bioplastic'!D701)</f>
        <v/>
      </c>
      <c r="E701">
        <f>IF(ISBLANK('Q:\Abteilungsprojekte\Eng\EngData\PROJECT_Bioplastics\Renjie_Pan\05-Raw_Data\Lab_results\[LabSamples2025_Bioplastic_extra.xlsx]extra_Bioplastic'!E701)," ",'Q:\Abteilungsprojekte\Eng\EngData\PROJECT_Bioplastics\Renjie_Pan\05-Raw_Data\Lab_results\[LabSamples2025_Bioplastic_extra.xlsx]extra_Bioplastic'!E701)</f>
        <v/>
      </c>
      <c r="F701">
        <f>IF(ISBLANK('Q:\Abteilungsprojekte\Eng\EngData\PROJECT_Bioplastics\Renjie_Pan\05-Raw_Data\Lab_results\[LabSamples2025_Bioplastic_extra.xlsx]extra_Bioplastic'!F701)," ",'Q:\Abteilungsprojekte\Eng\EngData\PROJECT_Bioplastics\Renjie_Pan\05-Raw_Data\Lab_results\[LabSamples2025_Bioplastic_extra.xlsx]extra_Bioplastic'!F701)</f>
        <v/>
      </c>
      <c r="G701">
        <f>IF(ISBLANK('Q:\Abteilungsprojekte\Eng\EngData\PROJECT_Bioplastics\Renjie_Pan\05-Raw_Data\Lab_results\[LabSamples2025_Bioplastic_extra.xlsx]extra_Bioplastic'!G701)," ",'Q:\Abteilungsprojekte\Eng\EngData\PROJECT_Bioplastics\Renjie_Pan\05-Raw_Data\Lab_results\[LabSamples2025_Bioplastic_extra.xlsx]extra_Bioplastic'!G701)</f>
        <v/>
      </c>
      <c r="H701">
        <f>IF(ISBLANK('Q:\Abteilungsprojekte\Eng\EngData\PROJECT_Bioplastics\Renjie_Pan\05-Raw_Data\Lab_results\[LabSamples2025_Bioplastic_extra.xlsx]extra_Bioplastic'!H701)," ",'Q:\Abteilungsprojekte\Eng\EngData\PROJECT_Bioplastics\Renjie_Pan\05-Raw_Data\Lab_results\[LabSamples2025_Bioplastic_extra.xlsx]extra_Bioplastic'!H701)</f>
        <v/>
      </c>
    </row>
    <row r="702">
      <c r="A702">
        <f>IF(ISBLANK('Q:\Abteilungsprojekte\Eng\EngData\PROJECT_Bioplastics\Renjie_Pan\05-Raw_Data\Lab_results\[LabSamples2025_Bioplastic_extra.xlsx]extra_Bioplastic'!A702)," ",'Q:\Abteilungsprojekte\Eng\EngData\PROJECT_Bioplastics\Renjie_Pan\05-Raw_Data\Lab_results\[LabSamples2025_Bioplastic_extra.xlsx]extra_Bioplastic'!A702)</f>
        <v/>
      </c>
      <c r="B702">
        <f>IF(ISBLANK('Q:\Abteilungsprojekte\Eng\EngData\PROJECT_Bioplastics\Renjie_Pan\05-Raw_Data\Lab_results\[LabSamples2025_Bioplastic_extra.xlsx]extra_Bioplastic'!B702)," ",'Q:\Abteilungsprojekte\Eng\EngData\PROJECT_Bioplastics\Renjie_Pan\05-Raw_Data\Lab_results\[LabSamples2025_Bioplastic_extra.xlsx]extra_Bioplastic'!B702)</f>
        <v/>
      </c>
      <c r="C702">
        <f>IF(ISBLANK('Q:\Abteilungsprojekte\Eng\EngData\PROJECT_Bioplastics\Renjie_Pan\05-Raw_Data\Lab_results\[LabSamples2025_Bioplastic_extra.xlsx]extra_Bioplastic'!C702)," ",'Q:\Abteilungsprojekte\Eng\EngData\PROJECT_Bioplastics\Renjie_Pan\05-Raw_Data\Lab_results\[LabSamples2025_Bioplastic_extra.xlsx]extra_Bioplastic'!C702)</f>
        <v/>
      </c>
      <c r="D702">
        <f>IF(ISBLANK('Q:\Abteilungsprojekte\Eng\EngData\PROJECT_Bioplastics\Renjie_Pan\05-Raw_Data\Lab_results\[LabSamples2025_Bioplastic_extra.xlsx]extra_Bioplastic'!D702)," ",'Q:\Abteilungsprojekte\Eng\EngData\PROJECT_Bioplastics\Renjie_Pan\05-Raw_Data\Lab_results\[LabSamples2025_Bioplastic_extra.xlsx]extra_Bioplastic'!D702)</f>
        <v/>
      </c>
      <c r="E702">
        <f>IF(ISBLANK('Q:\Abteilungsprojekte\Eng\EngData\PROJECT_Bioplastics\Renjie_Pan\05-Raw_Data\Lab_results\[LabSamples2025_Bioplastic_extra.xlsx]extra_Bioplastic'!E702)," ",'Q:\Abteilungsprojekte\Eng\EngData\PROJECT_Bioplastics\Renjie_Pan\05-Raw_Data\Lab_results\[LabSamples2025_Bioplastic_extra.xlsx]extra_Bioplastic'!E702)</f>
        <v/>
      </c>
      <c r="F702">
        <f>IF(ISBLANK('Q:\Abteilungsprojekte\Eng\EngData\PROJECT_Bioplastics\Renjie_Pan\05-Raw_Data\Lab_results\[LabSamples2025_Bioplastic_extra.xlsx]extra_Bioplastic'!F702)," ",'Q:\Abteilungsprojekte\Eng\EngData\PROJECT_Bioplastics\Renjie_Pan\05-Raw_Data\Lab_results\[LabSamples2025_Bioplastic_extra.xlsx]extra_Bioplastic'!F702)</f>
        <v/>
      </c>
      <c r="G702">
        <f>IF(ISBLANK('Q:\Abteilungsprojekte\Eng\EngData\PROJECT_Bioplastics\Renjie_Pan\05-Raw_Data\Lab_results\[LabSamples2025_Bioplastic_extra.xlsx]extra_Bioplastic'!G702)," ",'Q:\Abteilungsprojekte\Eng\EngData\PROJECT_Bioplastics\Renjie_Pan\05-Raw_Data\Lab_results\[LabSamples2025_Bioplastic_extra.xlsx]extra_Bioplastic'!G702)</f>
        <v/>
      </c>
      <c r="H702">
        <f>IF(ISBLANK('Q:\Abteilungsprojekte\Eng\EngData\PROJECT_Bioplastics\Renjie_Pan\05-Raw_Data\Lab_results\[LabSamples2025_Bioplastic_extra.xlsx]extra_Bioplastic'!H702)," ",'Q:\Abteilungsprojekte\Eng\EngData\PROJECT_Bioplastics\Renjie_Pan\05-Raw_Data\Lab_results\[LabSamples2025_Bioplastic_extra.xlsx]extra_Bioplastic'!H702)</f>
        <v/>
      </c>
    </row>
    <row r="703">
      <c r="A703">
        <f>IF(ISBLANK('Q:\Abteilungsprojekte\Eng\EngData\PROJECT_Bioplastics\Renjie_Pan\05-Raw_Data\Lab_results\[LabSamples2025_Bioplastic_extra.xlsx]extra_Bioplastic'!A703)," ",'Q:\Abteilungsprojekte\Eng\EngData\PROJECT_Bioplastics\Renjie_Pan\05-Raw_Data\Lab_results\[LabSamples2025_Bioplastic_extra.xlsx]extra_Bioplastic'!A703)</f>
        <v/>
      </c>
      <c r="B703">
        <f>IF(ISBLANK('Q:\Abteilungsprojekte\Eng\EngData\PROJECT_Bioplastics\Renjie_Pan\05-Raw_Data\Lab_results\[LabSamples2025_Bioplastic_extra.xlsx]extra_Bioplastic'!B703)," ",'Q:\Abteilungsprojekte\Eng\EngData\PROJECT_Bioplastics\Renjie_Pan\05-Raw_Data\Lab_results\[LabSamples2025_Bioplastic_extra.xlsx]extra_Bioplastic'!B703)</f>
        <v/>
      </c>
      <c r="C703">
        <f>IF(ISBLANK('Q:\Abteilungsprojekte\Eng\EngData\PROJECT_Bioplastics\Renjie_Pan\05-Raw_Data\Lab_results\[LabSamples2025_Bioplastic_extra.xlsx]extra_Bioplastic'!C703)," ",'Q:\Abteilungsprojekte\Eng\EngData\PROJECT_Bioplastics\Renjie_Pan\05-Raw_Data\Lab_results\[LabSamples2025_Bioplastic_extra.xlsx]extra_Bioplastic'!C703)</f>
        <v/>
      </c>
      <c r="D703">
        <f>IF(ISBLANK('Q:\Abteilungsprojekte\Eng\EngData\PROJECT_Bioplastics\Renjie_Pan\05-Raw_Data\Lab_results\[LabSamples2025_Bioplastic_extra.xlsx]extra_Bioplastic'!D703)," ",'Q:\Abteilungsprojekte\Eng\EngData\PROJECT_Bioplastics\Renjie_Pan\05-Raw_Data\Lab_results\[LabSamples2025_Bioplastic_extra.xlsx]extra_Bioplastic'!D703)</f>
        <v/>
      </c>
      <c r="E703">
        <f>IF(ISBLANK('Q:\Abteilungsprojekte\Eng\EngData\PROJECT_Bioplastics\Renjie_Pan\05-Raw_Data\Lab_results\[LabSamples2025_Bioplastic_extra.xlsx]extra_Bioplastic'!E703)," ",'Q:\Abteilungsprojekte\Eng\EngData\PROJECT_Bioplastics\Renjie_Pan\05-Raw_Data\Lab_results\[LabSamples2025_Bioplastic_extra.xlsx]extra_Bioplastic'!E703)</f>
        <v/>
      </c>
      <c r="F703">
        <f>IF(ISBLANK('Q:\Abteilungsprojekte\Eng\EngData\PROJECT_Bioplastics\Renjie_Pan\05-Raw_Data\Lab_results\[LabSamples2025_Bioplastic_extra.xlsx]extra_Bioplastic'!F703)," ",'Q:\Abteilungsprojekte\Eng\EngData\PROJECT_Bioplastics\Renjie_Pan\05-Raw_Data\Lab_results\[LabSamples2025_Bioplastic_extra.xlsx]extra_Bioplastic'!F703)</f>
        <v/>
      </c>
      <c r="G703">
        <f>IF(ISBLANK('Q:\Abteilungsprojekte\Eng\EngData\PROJECT_Bioplastics\Renjie_Pan\05-Raw_Data\Lab_results\[LabSamples2025_Bioplastic_extra.xlsx]extra_Bioplastic'!G703)," ",'Q:\Abteilungsprojekte\Eng\EngData\PROJECT_Bioplastics\Renjie_Pan\05-Raw_Data\Lab_results\[LabSamples2025_Bioplastic_extra.xlsx]extra_Bioplastic'!G703)</f>
        <v/>
      </c>
      <c r="H703">
        <f>IF(ISBLANK('Q:\Abteilungsprojekte\Eng\EngData\PROJECT_Bioplastics\Renjie_Pan\05-Raw_Data\Lab_results\[LabSamples2025_Bioplastic_extra.xlsx]extra_Bioplastic'!H703)," ",'Q:\Abteilungsprojekte\Eng\EngData\PROJECT_Bioplastics\Renjie_Pan\05-Raw_Data\Lab_results\[LabSamples2025_Bioplastic_extra.xlsx]extra_Bioplastic'!H703)</f>
        <v/>
      </c>
    </row>
    <row r="704">
      <c r="A704">
        <f>IF(ISBLANK('Q:\Abteilungsprojekte\Eng\EngData\PROJECT_Bioplastics\Renjie_Pan\05-Raw_Data\Lab_results\[LabSamples2025_Bioplastic_extra.xlsx]extra_Bioplastic'!A704)," ",'Q:\Abteilungsprojekte\Eng\EngData\PROJECT_Bioplastics\Renjie_Pan\05-Raw_Data\Lab_results\[LabSamples2025_Bioplastic_extra.xlsx]extra_Bioplastic'!A704)</f>
        <v/>
      </c>
      <c r="B704">
        <f>IF(ISBLANK('Q:\Abteilungsprojekte\Eng\EngData\PROJECT_Bioplastics\Renjie_Pan\05-Raw_Data\Lab_results\[LabSamples2025_Bioplastic_extra.xlsx]extra_Bioplastic'!B704)," ",'Q:\Abteilungsprojekte\Eng\EngData\PROJECT_Bioplastics\Renjie_Pan\05-Raw_Data\Lab_results\[LabSamples2025_Bioplastic_extra.xlsx]extra_Bioplastic'!B704)</f>
        <v/>
      </c>
      <c r="C704">
        <f>IF(ISBLANK('Q:\Abteilungsprojekte\Eng\EngData\PROJECT_Bioplastics\Renjie_Pan\05-Raw_Data\Lab_results\[LabSamples2025_Bioplastic_extra.xlsx]extra_Bioplastic'!C704)," ",'Q:\Abteilungsprojekte\Eng\EngData\PROJECT_Bioplastics\Renjie_Pan\05-Raw_Data\Lab_results\[LabSamples2025_Bioplastic_extra.xlsx]extra_Bioplastic'!C704)</f>
        <v/>
      </c>
      <c r="D704">
        <f>IF(ISBLANK('Q:\Abteilungsprojekte\Eng\EngData\PROJECT_Bioplastics\Renjie_Pan\05-Raw_Data\Lab_results\[LabSamples2025_Bioplastic_extra.xlsx]extra_Bioplastic'!D704)," ",'Q:\Abteilungsprojekte\Eng\EngData\PROJECT_Bioplastics\Renjie_Pan\05-Raw_Data\Lab_results\[LabSamples2025_Bioplastic_extra.xlsx]extra_Bioplastic'!D704)</f>
        <v/>
      </c>
      <c r="E704">
        <f>IF(ISBLANK('Q:\Abteilungsprojekte\Eng\EngData\PROJECT_Bioplastics\Renjie_Pan\05-Raw_Data\Lab_results\[LabSamples2025_Bioplastic_extra.xlsx]extra_Bioplastic'!E704)," ",'Q:\Abteilungsprojekte\Eng\EngData\PROJECT_Bioplastics\Renjie_Pan\05-Raw_Data\Lab_results\[LabSamples2025_Bioplastic_extra.xlsx]extra_Bioplastic'!E704)</f>
        <v/>
      </c>
      <c r="F704">
        <f>IF(ISBLANK('Q:\Abteilungsprojekte\Eng\EngData\PROJECT_Bioplastics\Renjie_Pan\05-Raw_Data\Lab_results\[LabSamples2025_Bioplastic_extra.xlsx]extra_Bioplastic'!F704)," ",'Q:\Abteilungsprojekte\Eng\EngData\PROJECT_Bioplastics\Renjie_Pan\05-Raw_Data\Lab_results\[LabSamples2025_Bioplastic_extra.xlsx]extra_Bioplastic'!F704)</f>
        <v/>
      </c>
      <c r="G704">
        <f>IF(ISBLANK('Q:\Abteilungsprojekte\Eng\EngData\PROJECT_Bioplastics\Renjie_Pan\05-Raw_Data\Lab_results\[LabSamples2025_Bioplastic_extra.xlsx]extra_Bioplastic'!G704)," ",'Q:\Abteilungsprojekte\Eng\EngData\PROJECT_Bioplastics\Renjie_Pan\05-Raw_Data\Lab_results\[LabSamples2025_Bioplastic_extra.xlsx]extra_Bioplastic'!G704)</f>
        <v/>
      </c>
      <c r="H704">
        <f>IF(ISBLANK('Q:\Abteilungsprojekte\Eng\EngData\PROJECT_Bioplastics\Renjie_Pan\05-Raw_Data\Lab_results\[LabSamples2025_Bioplastic_extra.xlsx]extra_Bioplastic'!H704)," ",'Q:\Abteilungsprojekte\Eng\EngData\PROJECT_Bioplastics\Renjie_Pan\05-Raw_Data\Lab_results\[LabSamples2025_Bioplastic_extra.xlsx]extra_Bioplastic'!H704)</f>
        <v/>
      </c>
    </row>
    <row r="705">
      <c r="A705">
        <f>IF(ISBLANK('Q:\Abteilungsprojekte\Eng\EngData\PROJECT_Bioplastics\Renjie_Pan\05-Raw_Data\Lab_results\[LabSamples2025_Bioplastic_extra.xlsx]extra_Bioplastic'!A705)," ",'Q:\Abteilungsprojekte\Eng\EngData\PROJECT_Bioplastics\Renjie_Pan\05-Raw_Data\Lab_results\[LabSamples2025_Bioplastic_extra.xlsx]extra_Bioplastic'!A705)</f>
        <v/>
      </c>
      <c r="B705">
        <f>IF(ISBLANK('Q:\Abteilungsprojekte\Eng\EngData\PROJECT_Bioplastics\Renjie_Pan\05-Raw_Data\Lab_results\[LabSamples2025_Bioplastic_extra.xlsx]extra_Bioplastic'!B705)," ",'Q:\Abteilungsprojekte\Eng\EngData\PROJECT_Bioplastics\Renjie_Pan\05-Raw_Data\Lab_results\[LabSamples2025_Bioplastic_extra.xlsx]extra_Bioplastic'!B705)</f>
        <v/>
      </c>
      <c r="C705">
        <f>IF(ISBLANK('Q:\Abteilungsprojekte\Eng\EngData\PROJECT_Bioplastics\Renjie_Pan\05-Raw_Data\Lab_results\[LabSamples2025_Bioplastic_extra.xlsx]extra_Bioplastic'!C705)," ",'Q:\Abteilungsprojekte\Eng\EngData\PROJECT_Bioplastics\Renjie_Pan\05-Raw_Data\Lab_results\[LabSamples2025_Bioplastic_extra.xlsx]extra_Bioplastic'!C705)</f>
        <v/>
      </c>
      <c r="D705">
        <f>IF(ISBLANK('Q:\Abteilungsprojekte\Eng\EngData\PROJECT_Bioplastics\Renjie_Pan\05-Raw_Data\Lab_results\[LabSamples2025_Bioplastic_extra.xlsx]extra_Bioplastic'!D705)," ",'Q:\Abteilungsprojekte\Eng\EngData\PROJECT_Bioplastics\Renjie_Pan\05-Raw_Data\Lab_results\[LabSamples2025_Bioplastic_extra.xlsx]extra_Bioplastic'!D705)</f>
        <v/>
      </c>
      <c r="E705">
        <f>IF(ISBLANK('Q:\Abteilungsprojekte\Eng\EngData\PROJECT_Bioplastics\Renjie_Pan\05-Raw_Data\Lab_results\[LabSamples2025_Bioplastic_extra.xlsx]extra_Bioplastic'!E705)," ",'Q:\Abteilungsprojekte\Eng\EngData\PROJECT_Bioplastics\Renjie_Pan\05-Raw_Data\Lab_results\[LabSamples2025_Bioplastic_extra.xlsx]extra_Bioplastic'!E705)</f>
        <v/>
      </c>
      <c r="F705">
        <f>IF(ISBLANK('Q:\Abteilungsprojekte\Eng\EngData\PROJECT_Bioplastics\Renjie_Pan\05-Raw_Data\Lab_results\[LabSamples2025_Bioplastic_extra.xlsx]extra_Bioplastic'!F705)," ",'Q:\Abteilungsprojekte\Eng\EngData\PROJECT_Bioplastics\Renjie_Pan\05-Raw_Data\Lab_results\[LabSamples2025_Bioplastic_extra.xlsx]extra_Bioplastic'!F705)</f>
        <v/>
      </c>
      <c r="G705">
        <f>IF(ISBLANK('Q:\Abteilungsprojekte\Eng\EngData\PROJECT_Bioplastics\Renjie_Pan\05-Raw_Data\Lab_results\[LabSamples2025_Bioplastic_extra.xlsx]extra_Bioplastic'!G705)," ",'Q:\Abteilungsprojekte\Eng\EngData\PROJECT_Bioplastics\Renjie_Pan\05-Raw_Data\Lab_results\[LabSamples2025_Bioplastic_extra.xlsx]extra_Bioplastic'!G705)</f>
        <v/>
      </c>
      <c r="H705">
        <f>IF(ISBLANK('Q:\Abteilungsprojekte\Eng\EngData\PROJECT_Bioplastics\Renjie_Pan\05-Raw_Data\Lab_results\[LabSamples2025_Bioplastic_extra.xlsx]extra_Bioplastic'!H705)," ",'Q:\Abteilungsprojekte\Eng\EngData\PROJECT_Bioplastics\Renjie_Pan\05-Raw_Data\Lab_results\[LabSamples2025_Bioplastic_extra.xlsx]extra_Bioplastic'!H705)</f>
        <v/>
      </c>
    </row>
    <row r="706">
      <c r="A706">
        <f>IF(ISBLANK('Q:\Abteilungsprojekte\Eng\EngData\PROJECT_Bioplastics\Renjie_Pan\05-Raw_Data\Lab_results\[LabSamples2025_Bioplastic_extra.xlsx]extra_Bioplastic'!A706)," ",'Q:\Abteilungsprojekte\Eng\EngData\PROJECT_Bioplastics\Renjie_Pan\05-Raw_Data\Lab_results\[LabSamples2025_Bioplastic_extra.xlsx]extra_Bioplastic'!A706)</f>
        <v/>
      </c>
      <c r="B706">
        <f>IF(ISBLANK('Q:\Abteilungsprojekte\Eng\EngData\PROJECT_Bioplastics\Renjie_Pan\05-Raw_Data\Lab_results\[LabSamples2025_Bioplastic_extra.xlsx]extra_Bioplastic'!B706)," ",'Q:\Abteilungsprojekte\Eng\EngData\PROJECT_Bioplastics\Renjie_Pan\05-Raw_Data\Lab_results\[LabSamples2025_Bioplastic_extra.xlsx]extra_Bioplastic'!B706)</f>
        <v/>
      </c>
      <c r="C706">
        <f>IF(ISBLANK('Q:\Abteilungsprojekte\Eng\EngData\PROJECT_Bioplastics\Renjie_Pan\05-Raw_Data\Lab_results\[LabSamples2025_Bioplastic_extra.xlsx]extra_Bioplastic'!C706)," ",'Q:\Abteilungsprojekte\Eng\EngData\PROJECT_Bioplastics\Renjie_Pan\05-Raw_Data\Lab_results\[LabSamples2025_Bioplastic_extra.xlsx]extra_Bioplastic'!C706)</f>
        <v/>
      </c>
      <c r="D706">
        <f>IF(ISBLANK('Q:\Abteilungsprojekte\Eng\EngData\PROJECT_Bioplastics\Renjie_Pan\05-Raw_Data\Lab_results\[LabSamples2025_Bioplastic_extra.xlsx]extra_Bioplastic'!D706)," ",'Q:\Abteilungsprojekte\Eng\EngData\PROJECT_Bioplastics\Renjie_Pan\05-Raw_Data\Lab_results\[LabSamples2025_Bioplastic_extra.xlsx]extra_Bioplastic'!D706)</f>
        <v/>
      </c>
      <c r="E706">
        <f>IF(ISBLANK('Q:\Abteilungsprojekte\Eng\EngData\PROJECT_Bioplastics\Renjie_Pan\05-Raw_Data\Lab_results\[LabSamples2025_Bioplastic_extra.xlsx]extra_Bioplastic'!E706)," ",'Q:\Abteilungsprojekte\Eng\EngData\PROJECT_Bioplastics\Renjie_Pan\05-Raw_Data\Lab_results\[LabSamples2025_Bioplastic_extra.xlsx]extra_Bioplastic'!E706)</f>
        <v/>
      </c>
      <c r="F706">
        <f>IF(ISBLANK('Q:\Abteilungsprojekte\Eng\EngData\PROJECT_Bioplastics\Renjie_Pan\05-Raw_Data\Lab_results\[LabSamples2025_Bioplastic_extra.xlsx]extra_Bioplastic'!F706)," ",'Q:\Abteilungsprojekte\Eng\EngData\PROJECT_Bioplastics\Renjie_Pan\05-Raw_Data\Lab_results\[LabSamples2025_Bioplastic_extra.xlsx]extra_Bioplastic'!F706)</f>
        <v/>
      </c>
      <c r="G706">
        <f>IF(ISBLANK('Q:\Abteilungsprojekte\Eng\EngData\PROJECT_Bioplastics\Renjie_Pan\05-Raw_Data\Lab_results\[LabSamples2025_Bioplastic_extra.xlsx]extra_Bioplastic'!G706)," ",'Q:\Abteilungsprojekte\Eng\EngData\PROJECT_Bioplastics\Renjie_Pan\05-Raw_Data\Lab_results\[LabSamples2025_Bioplastic_extra.xlsx]extra_Bioplastic'!G706)</f>
        <v/>
      </c>
      <c r="H706">
        <f>IF(ISBLANK('Q:\Abteilungsprojekte\Eng\EngData\PROJECT_Bioplastics\Renjie_Pan\05-Raw_Data\Lab_results\[LabSamples2025_Bioplastic_extra.xlsx]extra_Bioplastic'!H706)," ",'Q:\Abteilungsprojekte\Eng\EngData\PROJECT_Bioplastics\Renjie_Pan\05-Raw_Data\Lab_results\[LabSamples2025_Bioplastic_extra.xlsx]extra_Bioplastic'!H706)</f>
        <v/>
      </c>
    </row>
    <row r="707">
      <c r="A707">
        <f>IF(ISBLANK('Q:\Abteilungsprojekte\Eng\EngData\PROJECT_Bioplastics\Renjie_Pan\05-Raw_Data\Lab_results\[LabSamples2025_Bioplastic_extra.xlsx]extra_Bioplastic'!A707)," ",'Q:\Abteilungsprojekte\Eng\EngData\PROJECT_Bioplastics\Renjie_Pan\05-Raw_Data\Lab_results\[LabSamples2025_Bioplastic_extra.xlsx]extra_Bioplastic'!A707)</f>
        <v/>
      </c>
      <c r="B707">
        <f>IF(ISBLANK('Q:\Abteilungsprojekte\Eng\EngData\PROJECT_Bioplastics\Renjie_Pan\05-Raw_Data\Lab_results\[LabSamples2025_Bioplastic_extra.xlsx]extra_Bioplastic'!B707)," ",'Q:\Abteilungsprojekte\Eng\EngData\PROJECT_Bioplastics\Renjie_Pan\05-Raw_Data\Lab_results\[LabSamples2025_Bioplastic_extra.xlsx]extra_Bioplastic'!B707)</f>
        <v/>
      </c>
      <c r="C707">
        <f>IF(ISBLANK('Q:\Abteilungsprojekte\Eng\EngData\PROJECT_Bioplastics\Renjie_Pan\05-Raw_Data\Lab_results\[LabSamples2025_Bioplastic_extra.xlsx]extra_Bioplastic'!C707)," ",'Q:\Abteilungsprojekte\Eng\EngData\PROJECT_Bioplastics\Renjie_Pan\05-Raw_Data\Lab_results\[LabSamples2025_Bioplastic_extra.xlsx]extra_Bioplastic'!C707)</f>
        <v/>
      </c>
      <c r="D707">
        <f>IF(ISBLANK('Q:\Abteilungsprojekte\Eng\EngData\PROJECT_Bioplastics\Renjie_Pan\05-Raw_Data\Lab_results\[LabSamples2025_Bioplastic_extra.xlsx]extra_Bioplastic'!D707)," ",'Q:\Abteilungsprojekte\Eng\EngData\PROJECT_Bioplastics\Renjie_Pan\05-Raw_Data\Lab_results\[LabSamples2025_Bioplastic_extra.xlsx]extra_Bioplastic'!D707)</f>
        <v/>
      </c>
      <c r="E707">
        <f>IF(ISBLANK('Q:\Abteilungsprojekte\Eng\EngData\PROJECT_Bioplastics\Renjie_Pan\05-Raw_Data\Lab_results\[LabSamples2025_Bioplastic_extra.xlsx]extra_Bioplastic'!E707)," ",'Q:\Abteilungsprojekte\Eng\EngData\PROJECT_Bioplastics\Renjie_Pan\05-Raw_Data\Lab_results\[LabSamples2025_Bioplastic_extra.xlsx]extra_Bioplastic'!E707)</f>
        <v/>
      </c>
      <c r="F707">
        <f>IF(ISBLANK('Q:\Abteilungsprojekte\Eng\EngData\PROJECT_Bioplastics\Renjie_Pan\05-Raw_Data\Lab_results\[LabSamples2025_Bioplastic_extra.xlsx]extra_Bioplastic'!F707)," ",'Q:\Abteilungsprojekte\Eng\EngData\PROJECT_Bioplastics\Renjie_Pan\05-Raw_Data\Lab_results\[LabSamples2025_Bioplastic_extra.xlsx]extra_Bioplastic'!F707)</f>
        <v/>
      </c>
      <c r="G707">
        <f>IF(ISBLANK('Q:\Abteilungsprojekte\Eng\EngData\PROJECT_Bioplastics\Renjie_Pan\05-Raw_Data\Lab_results\[LabSamples2025_Bioplastic_extra.xlsx]extra_Bioplastic'!G707)," ",'Q:\Abteilungsprojekte\Eng\EngData\PROJECT_Bioplastics\Renjie_Pan\05-Raw_Data\Lab_results\[LabSamples2025_Bioplastic_extra.xlsx]extra_Bioplastic'!G707)</f>
        <v/>
      </c>
      <c r="H707">
        <f>IF(ISBLANK('Q:\Abteilungsprojekte\Eng\EngData\PROJECT_Bioplastics\Renjie_Pan\05-Raw_Data\Lab_results\[LabSamples2025_Bioplastic_extra.xlsx]extra_Bioplastic'!H707)," ",'Q:\Abteilungsprojekte\Eng\EngData\PROJECT_Bioplastics\Renjie_Pan\05-Raw_Data\Lab_results\[LabSamples2025_Bioplastic_extra.xlsx]extra_Bioplastic'!H707)</f>
        <v/>
      </c>
    </row>
    <row r="708">
      <c r="A708">
        <f>IF(ISBLANK('Q:\Abteilungsprojekte\Eng\EngData\PROJECT_Bioplastics\Renjie_Pan\05-Raw_Data\Lab_results\[LabSamples2025_Bioplastic_extra.xlsx]extra_Bioplastic'!A708)," ",'Q:\Abteilungsprojekte\Eng\EngData\PROJECT_Bioplastics\Renjie_Pan\05-Raw_Data\Lab_results\[LabSamples2025_Bioplastic_extra.xlsx]extra_Bioplastic'!A708)</f>
        <v/>
      </c>
      <c r="B708">
        <f>IF(ISBLANK('Q:\Abteilungsprojekte\Eng\EngData\PROJECT_Bioplastics\Renjie_Pan\05-Raw_Data\Lab_results\[LabSamples2025_Bioplastic_extra.xlsx]extra_Bioplastic'!B708)," ",'Q:\Abteilungsprojekte\Eng\EngData\PROJECT_Bioplastics\Renjie_Pan\05-Raw_Data\Lab_results\[LabSamples2025_Bioplastic_extra.xlsx]extra_Bioplastic'!B708)</f>
        <v/>
      </c>
      <c r="C708">
        <f>IF(ISBLANK('Q:\Abteilungsprojekte\Eng\EngData\PROJECT_Bioplastics\Renjie_Pan\05-Raw_Data\Lab_results\[LabSamples2025_Bioplastic_extra.xlsx]extra_Bioplastic'!C708)," ",'Q:\Abteilungsprojekte\Eng\EngData\PROJECT_Bioplastics\Renjie_Pan\05-Raw_Data\Lab_results\[LabSamples2025_Bioplastic_extra.xlsx]extra_Bioplastic'!C708)</f>
        <v/>
      </c>
      <c r="D708">
        <f>IF(ISBLANK('Q:\Abteilungsprojekte\Eng\EngData\PROJECT_Bioplastics\Renjie_Pan\05-Raw_Data\Lab_results\[LabSamples2025_Bioplastic_extra.xlsx]extra_Bioplastic'!D708)," ",'Q:\Abteilungsprojekte\Eng\EngData\PROJECT_Bioplastics\Renjie_Pan\05-Raw_Data\Lab_results\[LabSamples2025_Bioplastic_extra.xlsx]extra_Bioplastic'!D708)</f>
        <v/>
      </c>
      <c r="E708">
        <f>IF(ISBLANK('Q:\Abteilungsprojekte\Eng\EngData\PROJECT_Bioplastics\Renjie_Pan\05-Raw_Data\Lab_results\[LabSamples2025_Bioplastic_extra.xlsx]extra_Bioplastic'!E708)," ",'Q:\Abteilungsprojekte\Eng\EngData\PROJECT_Bioplastics\Renjie_Pan\05-Raw_Data\Lab_results\[LabSamples2025_Bioplastic_extra.xlsx]extra_Bioplastic'!E708)</f>
        <v/>
      </c>
      <c r="F708">
        <f>IF(ISBLANK('Q:\Abteilungsprojekte\Eng\EngData\PROJECT_Bioplastics\Renjie_Pan\05-Raw_Data\Lab_results\[LabSamples2025_Bioplastic_extra.xlsx]extra_Bioplastic'!F708)," ",'Q:\Abteilungsprojekte\Eng\EngData\PROJECT_Bioplastics\Renjie_Pan\05-Raw_Data\Lab_results\[LabSamples2025_Bioplastic_extra.xlsx]extra_Bioplastic'!F708)</f>
        <v/>
      </c>
      <c r="G708">
        <f>IF(ISBLANK('Q:\Abteilungsprojekte\Eng\EngData\PROJECT_Bioplastics\Renjie_Pan\05-Raw_Data\Lab_results\[LabSamples2025_Bioplastic_extra.xlsx]extra_Bioplastic'!G708)," ",'Q:\Abteilungsprojekte\Eng\EngData\PROJECT_Bioplastics\Renjie_Pan\05-Raw_Data\Lab_results\[LabSamples2025_Bioplastic_extra.xlsx]extra_Bioplastic'!G708)</f>
        <v/>
      </c>
      <c r="H708">
        <f>IF(ISBLANK('Q:\Abteilungsprojekte\Eng\EngData\PROJECT_Bioplastics\Renjie_Pan\05-Raw_Data\Lab_results\[LabSamples2025_Bioplastic_extra.xlsx]extra_Bioplastic'!H708)," ",'Q:\Abteilungsprojekte\Eng\EngData\PROJECT_Bioplastics\Renjie_Pan\05-Raw_Data\Lab_results\[LabSamples2025_Bioplastic_extra.xlsx]extra_Bioplastic'!H708)</f>
        <v/>
      </c>
    </row>
    <row r="709">
      <c r="A709">
        <f>IF(ISBLANK('Q:\Abteilungsprojekte\Eng\EngData\PROJECT_Bioplastics\Renjie_Pan\05-Raw_Data\Lab_results\[LabSamples2025_Bioplastic_extra.xlsx]extra_Bioplastic'!A709)," ",'Q:\Abteilungsprojekte\Eng\EngData\PROJECT_Bioplastics\Renjie_Pan\05-Raw_Data\Lab_results\[LabSamples2025_Bioplastic_extra.xlsx]extra_Bioplastic'!A709)</f>
        <v/>
      </c>
      <c r="B709">
        <f>IF(ISBLANK('Q:\Abteilungsprojekte\Eng\EngData\PROJECT_Bioplastics\Renjie_Pan\05-Raw_Data\Lab_results\[LabSamples2025_Bioplastic_extra.xlsx]extra_Bioplastic'!B709)," ",'Q:\Abteilungsprojekte\Eng\EngData\PROJECT_Bioplastics\Renjie_Pan\05-Raw_Data\Lab_results\[LabSamples2025_Bioplastic_extra.xlsx]extra_Bioplastic'!B709)</f>
        <v/>
      </c>
      <c r="C709">
        <f>IF(ISBLANK('Q:\Abteilungsprojekte\Eng\EngData\PROJECT_Bioplastics\Renjie_Pan\05-Raw_Data\Lab_results\[LabSamples2025_Bioplastic_extra.xlsx]extra_Bioplastic'!C709)," ",'Q:\Abteilungsprojekte\Eng\EngData\PROJECT_Bioplastics\Renjie_Pan\05-Raw_Data\Lab_results\[LabSamples2025_Bioplastic_extra.xlsx]extra_Bioplastic'!C709)</f>
        <v/>
      </c>
      <c r="D709">
        <f>IF(ISBLANK('Q:\Abteilungsprojekte\Eng\EngData\PROJECT_Bioplastics\Renjie_Pan\05-Raw_Data\Lab_results\[LabSamples2025_Bioplastic_extra.xlsx]extra_Bioplastic'!D709)," ",'Q:\Abteilungsprojekte\Eng\EngData\PROJECT_Bioplastics\Renjie_Pan\05-Raw_Data\Lab_results\[LabSamples2025_Bioplastic_extra.xlsx]extra_Bioplastic'!D709)</f>
        <v/>
      </c>
      <c r="E709">
        <f>IF(ISBLANK('Q:\Abteilungsprojekte\Eng\EngData\PROJECT_Bioplastics\Renjie_Pan\05-Raw_Data\Lab_results\[LabSamples2025_Bioplastic_extra.xlsx]extra_Bioplastic'!E709)," ",'Q:\Abteilungsprojekte\Eng\EngData\PROJECT_Bioplastics\Renjie_Pan\05-Raw_Data\Lab_results\[LabSamples2025_Bioplastic_extra.xlsx]extra_Bioplastic'!E709)</f>
        <v/>
      </c>
      <c r="F709">
        <f>IF(ISBLANK('Q:\Abteilungsprojekte\Eng\EngData\PROJECT_Bioplastics\Renjie_Pan\05-Raw_Data\Lab_results\[LabSamples2025_Bioplastic_extra.xlsx]extra_Bioplastic'!F709)," ",'Q:\Abteilungsprojekte\Eng\EngData\PROJECT_Bioplastics\Renjie_Pan\05-Raw_Data\Lab_results\[LabSamples2025_Bioplastic_extra.xlsx]extra_Bioplastic'!F709)</f>
        <v/>
      </c>
      <c r="G709">
        <f>IF(ISBLANK('Q:\Abteilungsprojekte\Eng\EngData\PROJECT_Bioplastics\Renjie_Pan\05-Raw_Data\Lab_results\[LabSamples2025_Bioplastic_extra.xlsx]extra_Bioplastic'!G709)," ",'Q:\Abteilungsprojekte\Eng\EngData\PROJECT_Bioplastics\Renjie_Pan\05-Raw_Data\Lab_results\[LabSamples2025_Bioplastic_extra.xlsx]extra_Bioplastic'!G709)</f>
        <v/>
      </c>
      <c r="H709">
        <f>IF(ISBLANK('Q:\Abteilungsprojekte\Eng\EngData\PROJECT_Bioplastics\Renjie_Pan\05-Raw_Data\Lab_results\[LabSamples2025_Bioplastic_extra.xlsx]extra_Bioplastic'!H709)," ",'Q:\Abteilungsprojekte\Eng\EngData\PROJECT_Bioplastics\Renjie_Pan\05-Raw_Data\Lab_results\[LabSamples2025_Bioplastic_extra.xlsx]extra_Bioplastic'!H709)</f>
        <v/>
      </c>
    </row>
    <row r="710">
      <c r="A710">
        <f>IF(ISBLANK('Q:\Abteilungsprojekte\Eng\EngData\PROJECT_Bioplastics\Renjie_Pan\05-Raw_Data\Lab_results\[LabSamples2025_Bioplastic_extra.xlsx]extra_Bioplastic'!A710)," ",'Q:\Abteilungsprojekte\Eng\EngData\PROJECT_Bioplastics\Renjie_Pan\05-Raw_Data\Lab_results\[LabSamples2025_Bioplastic_extra.xlsx]extra_Bioplastic'!A710)</f>
        <v/>
      </c>
      <c r="B710">
        <f>IF(ISBLANK('Q:\Abteilungsprojekte\Eng\EngData\PROJECT_Bioplastics\Renjie_Pan\05-Raw_Data\Lab_results\[LabSamples2025_Bioplastic_extra.xlsx]extra_Bioplastic'!B710)," ",'Q:\Abteilungsprojekte\Eng\EngData\PROJECT_Bioplastics\Renjie_Pan\05-Raw_Data\Lab_results\[LabSamples2025_Bioplastic_extra.xlsx]extra_Bioplastic'!B710)</f>
        <v/>
      </c>
      <c r="C710">
        <f>IF(ISBLANK('Q:\Abteilungsprojekte\Eng\EngData\PROJECT_Bioplastics\Renjie_Pan\05-Raw_Data\Lab_results\[LabSamples2025_Bioplastic_extra.xlsx]extra_Bioplastic'!C710)," ",'Q:\Abteilungsprojekte\Eng\EngData\PROJECT_Bioplastics\Renjie_Pan\05-Raw_Data\Lab_results\[LabSamples2025_Bioplastic_extra.xlsx]extra_Bioplastic'!C710)</f>
        <v/>
      </c>
      <c r="D710">
        <f>IF(ISBLANK('Q:\Abteilungsprojekte\Eng\EngData\PROJECT_Bioplastics\Renjie_Pan\05-Raw_Data\Lab_results\[LabSamples2025_Bioplastic_extra.xlsx]extra_Bioplastic'!D710)," ",'Q:\Abteilungsprojekte\Eng\EngData\PROJECT_Bioplastics\Renjie_Pan\05-Raw_Data\Lab_results\[LabSamples2025_Bioplastic_extra.xlsx]extra_Bioplastic'!D710)</f>
        <v/>
      </c>
      <c r="E710">
        <f>IF(ISBLANK('Q:\Abteilungsprojekte\Eng\EngData\PROJECT_Bioplastics\Renjie_Pan\05-Raw_Data\Lab_results\[LabSamples2025_Bioplastic_extra.xlsx]extra_Bioplastic'!E710)," ",'Q:\Abteilungsprojekte\Eng\EngData\PROJECT_Bioplastics\Renjie_Pan\05-Raw_Data\Lab_results\[LabSamples2025_Bioplastic_extra.xlsx]extra_Bioplastic'!E710)</f>
        <v/>
      </c>
      <c r="F710">
        <f>IF(ISBLANK('Q:\Abteilungsprojekte\Eng\EngData\PROJECT_Bioplastics\Renjie_Pan\05-Raw_Data\Lab_results\[LabSamples2025_Bioplastic_extra.xlsx]extra_Bioplastic'!F710)," ",'Q:\Abteilungsprojekte\Eng\EngData\PROJECT_Bioplastics\Renjie_Pan\05-Raw_Data\Lab_results\[LabSamples2025_Bioplastic_extra.xlsx]extra_Bioplastic'!F710)</f>
        <v/>
      </c>
      <c r="G710">
        <f>IF(ISBLANK('Q:\Abteilungsprojekte\Eng\EngData\PROJECT_Bioplastics\Renjie_Pan\05-Raw_Data\Lab_results\[LabSamples2025_Bioplastic_extra.xlsx]extra_Bioplastic'!G710)," ",'Q:\Abteilungsprojekte\Eng\EngData\PROJECT_Bioplastics\Renjie_Pan\05-Raw_Data\Lab_results\[LabSamples2025_Bioplastic_extra.xlsx]extra_Bioplastic'!G710)</f>
        <v/>
      </c>
      <c r="H710">
        <f>IF(ISBLANK('Q:\Abteilungsprojekte\Eng\EngData\PROJECT_Bioplastics\Renjie_Pan\05-Raw_Data\Lab_results\[LabSamples2025_Bioplastic_extra.xlsx]extra_Bioplastic'!H710)," ",'Q:\Abteilungsprojekte\Eng\EngData\PROJECT_Bioplastics\Renjie_Pan\05-Raw_Data\Lab_results\[LabSamples2025_Bioplastic_extra.xlsx]extra_Bioplastic'!H710)</f>
        <v/>
      </c>
    </row>
    <row r="711">
      <c r="A711">
        <f>IF(ISBLANK('Q:\Abteilungsprojekte\Eng\EngData\PROJECT_Bioplastics\Renjie_Pan\05-Raw_Data\Lab_results\[LabSamples2025_Bioplastic_extra.xlsx]extra_Bioplastic'!A711)," ",'Q:\Abteilungsprojekte\Eng\EngData\PROJECT_Bioplastics\Renjie_Pan\05-Raw_Data\Lab_results\[LabSamples2025_Bioplastic_extra.xlsx]extra_Bioplastic'!A711)</f>
        <v/>
      </c>
      <c r="B711">
        <f>IF(ISBLANK('Q:\Abteilungsprojekte\Eng\EngData\PROJECT_Bioplastics\Renjie_Pan\05-Raw_Data\Lab_results\[LabSamples2025_Bioplastic_extra.xlsx]extra_Bioplastic'!B711)," ",'Q:\Abteilungsprojekte\Eng\EngData\PROJECT_Bioplastics\Renjie_Pan\05-Raw_Data\Lab_results\[LabSamples2025_Bioplastic_extra.xlsx]extra_Bioplastic'!B711)</f>
        <v/>
      </c>
      <c r="C711">
        <f>IF(ISBLANK('Q:\Abteilungsprojekte\Eng\EngData\PROJECT_Bioplastics\Renjie_Pan\05-Raw_Data\Lab_results\[LabSamples2025_Bioplastic_extra.xlsx]extra_Bioplastic'!C711)," ",'Q:\Abteilungsprojekte\Eng\EngData\PROJECT_Bioplastics\Renjie_Pan\05-Raw_Data\Lab_results\[LabSamples2025_Bioplastic_extra.xlsx]extra_Bioplastic'!C711)</f>
        <v/>
      </c>
      <c r="D711">
        <f>IF(ISBLANK('Q:\Abteilungsprojekte\Eng\EngData\PROJECT_Bioplastics\Renjie_Pan\05-Raw_Data\Lab_results\[LabSamples2025_Bioplastic_extra.xlsx]extra_Bioplastic'!D711)," ",'Q:\Abteilungsprojekte\Eng\EngData\PROJECT_Bioplastics\Renjie_Pan\05-Raw_Data\Lab_results\[LabSamples2025_Bioplastic_extra.xlsx]extra_Bioplastic'!D711)</f>
        <v/>
      </c>
      <c r="E711">
        <f>IF(ISBLANK('Q:\Abteilungsprojekte\Eng\EngData\PROJECT_Bioplastics\Renjie_Pan\05-Raw_Data\Lab_results\[LabSamples2025_Bioplastic_extra.xlsx]extra_Bioplastic'!E711)," ",'Q:\Abteilungsprojekte\Eng\EngData\PROJECT_Bioplastics\Renjie_Pan\05-Raw_Data\Lab_results\[LabSamples2025_Bioplastic_extra.xlsx]extra_Bioplastic'!E711)</f>
        <v/>
      </c>
      <c r="F711">
        <f>IF(ISBLANK('Q:\Abteilungsprojekte\Eng\EngData\PROJECT_Bioplastics\Renjie_Pan\05-Raw_Data\Lab_results\[LabSamples2025_Bioplastic_extra.xlsx]extra_Bioplastic'!F711)," ",'Q:\Abteilungsprojekte\Eng\EngData\PROJECT_Bioplastics\Renjie_Pan\05-Raw_Data\Lab_results\[LabSamples2025_Bioplastic_extra.xlsx]extra_Bioplastic'!F711)</f>
        <v/>
      </c>
      <c r="G711">
        <f>IF(ISBLANK('Q:\Abteilungsprojekte\Eng\EngData\PROJECT_Bioplastics\Renjie_Pan\05-Raw_Data\Lab_results\[LabSamples2025_Bioplastic_extra.xlsx]extra_Bioplastic'!G711)," ",'Q:\Abteilungsprojekte\Eng\EngData\PROJECT_Bioplastics\Renjie_Pan\05-Raw_Data\Lab_results\[LabSamples2025_Bioplastic_extra.xlsx]extra_Bioplastic'!G711)</f>
        <v/>
      </c>
      <c r="H711">
        <f>IF(ISBLANK('Q:\Abteilungsprojekte\Eng\EngData\PROJECT_Bioplastics\Renjie_Pan\05-Raw_Data\Lab_results\[LabSamples2025_Bioplastic_extra.xlsx]extra_Bioplastic'!H711)," ",'Q:\Abteilungsprojekte\Eng\EngData\PROJECT_Bioplastics\Renjie_Pan\05-Raw_Data\Lab_results\[LabSamples2025_Bioplastic_extra.xlsx]extra_Bioplastic'!H711)</f>
        <v/>
      </c>
    </row>
    <row r="712">
      <c r="A712">
        <f>IF(ISBLANK('Q:\Abteilungsprojekte\Eng\EngData\PROJECT_Bioplastics\Renjie_Pan\05-Raw_Data\Lab_results\[LabSamples2025_Bioplastic_extra.xlsx]extra_Bioplastic'!A712)," ",'Q:\Abteilungsprojekte\Eng\EngData\PROJECT_Bioplastics\Renjie_Pan\05-Raw_Data\Lab_results\[LabSamples2025_Bioplastic_extra.xlsx]extra_Bioplastic'!A712)</f>
        <v/>
      </c>
      <c r="B712">
        <f>IF(ISBLANK('Q:\Abteilungsprojekte\Eng\EngData\PROJECT_Bioplastics\Renjie_Pan\05-Raw_Data\Lab_results\[LabSamples2025_Bioplastic_extra.xlsx]extra_Bioplastic'!B712)," ",'Q:\Abteilungsprojekte\Eng\EngData\PROJECT_Bioplastics\Renjie_Pan\05-Raw_Data\Lab_results\[LabSamples2025_Bioplastic_extra.xlsx]extra_Bioplastic'!B712)</f>
        <v/>
      </c>
      <c r="C712">
        <f>IF(ISBLANK('Q:\Abteilungsprojekte\Eng\EngData\PROJECT_Bioplastics\Renjie_Pan\05-Raw_Data\Lab_results\[LabSamples2025_Bioplastic_extra.xlsx]extra_Bioplastic'!C712)," ",'Q:\Abteilungsprojekte\Eng\EngData\PROJECT_Bioplastics\Renjie_Pan\05-Raw_Data\Lab_results\[LabSamples2025_Bioplastic_extra.xlsx]extra_Bioplastic'!C712)</f>
        <v/>
      </c>
      <c r="D712">
        <f>IF(ISBLANK('Q:\Abteilungsprojekte\Eng\EngData\PROJECT_Bioplastics\Renjie_Pan\05-Raw_Data\Lab_results\[LabSamples2025_Bioplastic_extra.xlsx]extra_Bioplastic'!D712)," ",'Q:\Abteilungsprojekte\Eng\EngData\PROJECT_Bioplastics\Renjie_Pan\05-Raw_Data\Lab_results\[LabSamples2025_Bioplastic_extra.xlsx]extra_Bioplastic'!D712)</f>
        <v/>
      </c>
      <c r="E712">
        <f>IF(ISBLANK('Q:\Abteilungsprojekte\Eng\EngData\PROJECT_Bioplastics\Renjie_Pan\05-Raw_Data\Lab_results\[LabSamples2025_Bioplastic_extra.xlsx]extra_Bioplastic'!E712)," ",'Q:\Abteilungsprojekte\Eng\EngData\PROJECT_Bioplastics\Renjie_Pan\05-Raw_Data\Lab_results\[LabSamples2025_Bioplastic_extra.xlsx]extra_Bioplastic'!E712)</f>
        <v/>
      </c>
      <c r="F712">
        <f>IF(ISBLANK('Q:\Abteilungsprojekte\Eng\EngData\PROJECT_Bioplastics\Renjie_Pan\05-Raw_Data\Lab_results\[LabSamples2025_Bioplastic_extra.xlsx]extra_Bioplastic'!F712)," ",'Q:\Abteilungsprojekte\Eng\EngData\PROJECT_Bioplastics\Renjie_Pan\05-Raw_Data\Lab_results\[LabSamples2025_Bioplastic_extra.xlsx]extra_Bioplastic'!F712)</f>
        <v/>
      </c>
      <c r="G712">
        <f>IF(ISBLANK('Q:\Abteilungsprojekte\Eng\EngData\PROJECT_Bioplastics\Renjie_Pan\05-Raw_Data\Lab_results\[LabSamples2025_Bioplastic_extra.xlsx]extra_Bioplastic'!G712)," ",'Q:\Abteilungsprojekte\Eng\EngData\PROJECT_Bioplastics\Renjie_Pan\05-Raw_Data\Lab_results\[LabSamples2025_Bioplastic_extra.xlsx]extra_Bioplastic'!G712)</f>
        <v/>
      </c>
      <c r="H712">
        <f>IF(ISBLANK('Q:\Abteilungsprojekte\Eng\EngData\PROJECT_Bioplastics\Renjie_Pan\05-Raw_Data\Lab_results\[LabSamples2025_Bioplastic_extra.xlsx]extra_Bioplastic'!H712)," ",'Q:\Abteilungsprojekte\Eng\EngData\PROJECT_Bioplastics\Renjie_Pan\05-Raw_Data\Lab_results\[LabSamples2025_Bioplastic_extra.xlsx]extra_Bioplastic'!H712)</f>
        <v/>
      </c>
    </row>
    <row r="713">
      <c r="A713">
        <f>IF(ISBLANK('Q:\Abteilungsprojekte\Eng\EngData\PROJECT_Bioplastics\Renjie_Pan\05-Raw_Data\Lab_results\[LabSamples2025_Bioplastic_extra.xlsx]extra_Bioplastic'!A713)," ",'Q:\Abteilungsprojekte\Eng\EngData\PROJECT_Bioplastics\Renjie_Pan\05-Raw_Data\Lab_results\[LabSamples2025_Bioplastic_extra.xlsx]extra_Bioplastic'!A713)</f>
        <v/>
      </c>
      <c r="B713">
        <f>IF(ISBLANK('Q:\Abteilungsprojekte\Eng\EngData\PROJECT_Bioplastics\Renjie_Pan\05-Raw_Data\Lab_results\[LabSamples2025_Bioplastic_extra.xlsx]extra_Bioplastic'!B713)," ",'Q:\Abteilungsprojekte\Eng\EngData\PROJECT_Bioplastics\Renjie_Pan\05-Raw_Data\Lab_results\[LabSamples2025_Bioplastic_extra.xlsx]extra_Bioplastic'!B713)</f>
        <v/>
      </c>
      <c r="C713">
        <f>IF(ISBLANK('Q:\Abteilungsprojekte\Eng\EngData\PROJECT_Bioplastics\Renjie_Pan\05-Raw_Data\Lab_results\[LabSamples2025_Bioplastic_extra.xlsx]extra_Bioplastic'!C713)," ",'Q:\Abteilungsprojekte\Eng\EngData\PROJECT_Bioplastics\Renjie_Pan\05-Raw_Data\Lab_results\[LabSamples2025_Bioplastic_extra.xlsx]extra_Bioplastic'!C713)</f>
        <v/>
      </c>
      <c r="D713">
        <f>IF(ISBLANK('Q:\Abteilungsprojekte\Eng\EngData\PROJECT_Bioplastics\Renjie_Pan\05-Raw_Data\Lab_results\[LabSamples2025_Bioplastic_extra.xlsx]extra_Bioplastic'!D713)," ",'Q:\Abteilungsprojekte\Eng\EngData\PROJECT_Bioplastics\Renjie_Pan\05-Raw_Data\Lab_results\[LabSamples2025_Bioplastic_extra.xlsx]extra_Bioplastic'!D713)</f>
        <v/>
      </c>
      <c r="E713">
        <f>IF(ISBLANK('Q:\Abteilungsprojekte\Eng\EngData\PROJECT_Bioplastics\Renjie_Pan\05-Raw_Data\Lab_results\[LabSamples2025_Bioplastic_extra.xlsx]extra_Bioplastic'!E713)," ",'Q:\Abteilungsprojekte\Eng\EngData\PROJECT_Bioplastics\Renjie_Pan\05-Raw_Data\Lab_results\[LabSamples2025_Bioplastic_extra.xlsx]extra_Bioplastic'!E713)</f>
        <v/>
      </c>
      <c r="F713">
        <f>IF(ISBLANK('Q:\Abteilungsprojekte\Eng\EngData\PROJECT_Bioplastics\Renjie_Pan\05-Raw_Data\Lab_results\[LabSamples2025_Bioplastic_extra.xlsx]extra_Bioplastic'!F713)," ",'Q:\Abteilungsprojekte\Eng\EngData\PROJECT_Bioplastics\Renjie_Pan\05-Raw_Data\Lab_results\[LabSamples2025_Bioplastic_extra.xlsx]extra_Bioplastic'!F713)</f>
        <v/>
      </c>
      <c r="G713">
        <f>IF(ISBLANK('Q:\Abteilungsprojekte\Eng\EngData\PROJECT_Bioplastics\Renjie_Pan\05-Raw_Data\Lab_results\[LabSamples2025_Bioplastic_extra.xlsx]extra_Bioplastic'!G713)," ",'Q:\Abteilungsprojekte\Eng\EngData\PROJECT_Bioplastics\Renjie_Pan\05-Raw_Data\Lab_results\[LabSamples2025_Bioplastic_extra.xlsx]extra_Bioplastic'!G713)</f>
        <v/>
      </c>
      <c r="H713">
        <f>IF(ISBLANK('Q:\Abteilungsprojekte\Eng\EngData\PROJECT_Bioplastics\Renjie_Pan\05-Raw_Data\Lab_results\[LabSamples2025_Bioplastic_extra.xlsx]extra_Bioplastic'!H713)," ",'Q:\Abteilungsprojekte\Eng\EngData\PROJECT_Bioplastics\Renjie_Pan\05-Raw_Data\Lab_results\[LabSamples2025_Bioplastic_extra.xlsx]extra_Bioplastic'!H713)</f>
        <v/>
      </c>
    </row>
    <row r="714">
      <c r="A714">
        <f>IF(ISBLANK('Q:\Abteilungsprojekte\Eng\EngData\PROJECT_Bioplastics\Renjie_Pan\05-Raw_Data\Lab_results\[LabSamples2025_Bioplastic_extra.xlsx]extra_Bioplastic'!A714)," ",'Q:\Abteilungsprojekte\Eng\EngData\PROJECT_Bioplastics\Renjie_Pan\05-Raw_Data\Lab_results\[LabSamples2025_Bioplastic_extra.xlsx]extra_Bioplastic'!A714)</f>
        <v/>
      </c>
      <c r="B714">
        <f>IF(ISBLANK('Q:\Abteilungsprojekte\Eng\EngData\PROJECT_Bioplastics\Renjie_Pan\05-Raw_Data\Lab_results\[LabSamples2025_Bioplastic_extra.xlsx]extra_Bioplastic'!B714)," ",'Q:\Abteilungsprojekte\Eng\EngData\PROJECT_Bioplastics\Renjie_Pan\05-Raw_Data\Lab_results\[LabSamples2025_Bioplastic_extra.xlsx]extra_Bioplastic'!B714)</f>
        <v/>
      </c>
      <c r="C714">
        <f>IF(ISBLANK('Q:\Abteilungsprojekte\Eng\EngData\PROJECT_Bioplastics\Renjie_Pan\05-Raw_Data\Lab_results\[LabSamples2025_Bioplastic_extra.xlsx]extra_Bioplastic'!C714)," ",'Q:\Abteilungsprojekte\Eng\EngData\PROJECT_Bioplastics\Renjie_Pan\05-Raw_Data\Lab_results\[LabSamples2025_Bioplastic_extra.xlsx]extra_Bioplastic'!C714)</f>
        <v/>
      </c>
      <c r="D714">
        <f>IF(ISBLANK('Q:\Abteilungsprojekte\Eng\EngData\PROJECT_Bioplastics\Renjie_Pan\05-Raw_Data\Lab_results\[LabSamples2025_Bioplastic_extra.xlsx]extra_Bioplastic'!D714)," ",'Q:\Abteilungsprojekte\Eng\EngData\PROJECT_Bioplastics\Renjie_Pan\05-Raw_Data\Lab_results\[LabSamples2025_Bioplastic_extra.xlsx]extra_Bioplastic'!D714)</f>
        <v/>
      </c>
      <c r="E714">
        <f>IF(ISBLANK('Q:\Abteilungsprojekte\Eng\EngData\PROJECT_Bioplastics\Renjie_Pan\05-Raw_Data\Lab_results\[LabSamples2025_Bioplastic_extra.xlsx]extra_Bioplastic'!E714)," ",'Q:\Abteilungsprojekte\Eng\EngData\PROJECT_Bioplastics\Renjie_Pan\05-Raw_Data\Lab_results\[LabSamples2025_Bioplastic_extra.xlsx]extra_Bioplastic'!E714)</f>
        <v/>
      </c>
      <c r="F714">
        <f>IF(ISBLANK('Q:\Abteilungsprojekte\Eng\EngData\PROJECT_Bioplastics\Renjie_Pan\05-Raw_Data\Lab_results\[LabSamples2025_Bioplastic_extra.xlsx]extra_Bioplastic'!F714)," ",'Q:\Abteilungsprojekte\Eng\EngData\PROJECT_Bioplastics\Renjie_Pan\05-Raw_Data\Lab_results\[LabSamples2025_Bioplastic_extra.xlsx]extra_Bioplastic'!F714)</f>
        <v/>
      </c>
      <c r="G714">
        <f>IF(ISBLANK('Q:\Abteilungsprojekte\Eng\EngData\PROJECT_Bioplastics\Renjie_Pan\05-Raw_Data\Lab_results\[LabSamples2025_Bioplastic_extra.xlsx]extra_Bioplastic'!G714)," ",'Q:\Abteilungsprojekte\Eng\EngData\PROJECT_Bioplastics\Renjie_Pan\05-Raw_Data\Lab_results\[LabSamples2025_Bioplastic_extra.xlsx]extra_Bioplastic'!G714)</f>
        <v/>
      </c>
      <c r="H714">
        <f>IF(ISBLANK('Q:\Abteilungsprojekte\Eng\EngData\PROJECT_Bioplastics\Renjie_Pan\05-Raw_Data\Lab_results\[LabSamples2025_Bioplastic_extra.xlsx]extra_Bioplastic'!H714)," ",'Q:\Abteilungsprojekte\Eng\EngData\PROJECT_Bioplastics\Renjie_Pan\05-Raw_Data\Lab_results\[LabSamples2025_Bioplastic_extra.xlsx]extra_Bioplastic'!H714)</f>
        <v/>
      </c>
    </row>
    <row r="715">
      <c r="A715">
        <f>IF(ISBLANK('Q:\Abteilungsprojekte\Eng\EngData\PROJECT_Bioplastics\Renjie_Pan\05-Raw_Data\Lab_results\[LabSamples2025_Bioplastic_extra.xlsx]extra_Bioplastic'!A715)," ",'Q:\Abteilungsprojekte\Eng\EngData\PROJECT_Bioplastics\Renjie_Pan\05-Raw_Data\Lab_results\[LabSamples2025_Bioplastic_extra.xlsx]extra_Bioplastic'!A715)</f>
        <v/>
      </c>
      <c r="B715">
        <f>IF(ISBLANK('Q:\Abteilungsprojekte\Eng\EngData\PROJECT_Bioplastics\Renjie_Pan\05-Raw_Data\Lab_results\[LabSamples2025_Bioplastic_extra.xlsx]extra_Bioplastic'!B715)," ",'Q:\Abteilungsprojekte\Eng\EngData\PROJECT_Bioplastics\Renjie_Pan\05-Raw_Data\Lab_results\[LabSamples2025_Bioplastic_extra.xlsx]extra_Bioplastic'!B715)</f>
        <v/>
      </c>
      <c r="C715">
        <f>IF(ISBLANK('Q:\Abteilungsprojekte\Eng\EngData\PROJECT_Bioplastics\Renjie_Pan\05-Raw_Data\Lab_results\[LabSamples2025_Bioplastic_extra.xlsx]extra_Bioplastic'!C715)," ",'Q:\Abteilungsprojekte\Eng\EngData\PROJECT_Bioplastics\Renjie_Pan\05-Raw_Data\Lab_results\[LabSamples2025_Bioplastic_extra.xlsx]extra_Bioplastic'!C715)</f>
        <v/>
      </c>
      <c r="D715">
        <f>IF(ISBLANK('Q:\Abteilungsprojekte\Eng\EngData\PROJECT_Bioplastics\Renjie_Pan\05-Raw_Data\Lab_results\[LabSamples2025_Bioplastic_extra.xlsx]extra_Bioplastic'!D715)," ",'Q:\Abteilungsprojekte\Eng\EngData\PROJECT_Bioplastics\Renjie_Pan\05-Raw_Data\Lab_results\[LabSamples2025_Bioplastic_extra.xlsx]extra_Bioplastic'!D715)</f>
        <v/>
      </c>
      <c r="E715">
        <f>IF(ISBLANK('Q:\Abteilungsprojekte\Eng\EngData\PROJECT_Bioplastics\Renjie_Pan\05-Raw_Data\Lab_results\[LabSamples2025_Bioplastic_extra.xlsx]extra_Bioplastic'!E715)," ",'Q:\Abteilungsprojekte\Eng\EngData\PROJECT_Bioplastics\Renjie_Pan\05-Raw_Data\Lab_results\[LabSamples2025_Bioplastic_extra.xlsx]extra_Bioplastic'!E715)</f>
        <v/>
      </c>
      <c r="F715">
        <f>IF(ISBLANK('Q:\Abteilungsprojekte\Eng\EngData\PROJECT_Bioplastics\Renjie_Pan\05-Raw_Data\Lab_results\[LabSamples2025_Bioplastic_extra.xlsx]extra_Bioplastic'!F715)," ",'Q:\Abteilungsprojekte\Eng\EngData\PROJECT_Bioplastics\Renjie_Pan\05-Raw_Data\Lab_results\[LabSamples2025_Bioplastic_extra.xlsx]extra_Bioplastic'!F715)</f>
        <v/>
      </c>
      <c r="G715">
        <f>IF(ISBLANK('Q:\Abteilungsprojekte\Eng\EngData\PROJECT_Bioplastics\Renjie_Pan\05-Raw_Data\Lab_results\[LabSamples2025_Bioplastic_extra.xlsx]extra_Bioplastic'!G715)," ",'Q:\Abteilungsprojekte\Eng\EngData\PROJECT_Bioplastics\Renjie_Pan\05-Raw_Data\Lab_results\[LabSamples2025_Bioplastic_extra.xlsx]extra_Bioplastic'!G715)</f>
        <v/>
      </c>
      <c r="H715">
        <f>IF(ISBLANK('Q:\Abteilungsprojekte\Eng\EngData\PROJECT_Bioplastics\Renjie_Pan\05-Raw_Data\Lab_results\[LabSamples2025_Bioplastic_extra.xlsx]extra_Bioplastic'!H715)," ",'Q:\Abteilungsprojekte\Eng\EngData\PROJECT_Bioplastics\Renjie_Pan\05-Raw_Data\Lab_results\[LabSamples2025_Bioplastic_extra.xlsx]extra_Bioplastic'!H715)</f>
        <v/>
      </c>
    </row>
    <row r="716">
      <c r="A716">
        <f>IF(ISBLANK('Q:\Abteilungsprojekte\Eng\EngData\PROJECT_Bioplastics\Renjie_Pan\05-Raw_Data\Lab_results\[LabSamples2025_Bioplastic_extra.xlsx]extra_Bioplastic'!A716)," ",'Q:\Abteilungsprojekte\Eng\EngData\PROJECT_Bioplastics\Renjie_Pan\05-Raw_Data\Lab_results\[LabSamples2025_Bioplastic_extra.xlsx]extra_Bioplastic'!A716)</f>
        <v/>
      </c>
      <c r="B716">
        <f>IF(ISBLANK('Q:\Abteilungsprojekte\Eng\EngData\PROJECT_Bioplastics\Renjie_Pan\05-Raw_Data\Lab_results\[LabSamples2025_Bioplastic_extra.xlsx]extra_Bioplastic'!B716)," ",'Q:\Abteilungsprojekte\Eng\EngData\PROJECT_Bioplastics\Renjie_Pan\05-Raw_Data\Lab_results\[LabSamples2025_Bioplastic_extra.xlsx]extra_Bioplastic'!B716)</f>
        <v/>
      </c>
      <c r="C716">
        <f>IF(ISBLANK('Q:\Abteilungsprojekte\Eng\EngData\PROJECT_Bioplastics\Renjie_Pan\05-Raw_Data\Lab_results\[LabSamples2025_Bioplastic_extra.xlsx]extra_Bioplastic'!C716)," ",'Q:\Abteilungsprojekte\Eng\EngData\PROJECT_Bioplastics\Renjie_Pan\05-Raw_Data\Lab_results\[LabSamples2025_Bioplastic_extra.xlsx]extra_Bioplastic'!C716)</f>
        <v/>
      </c>
      <c r="D716">
        <f>IF(ISBLANK('Q:\Abteilungsprojekte\Eng\EngData\PROJECT_Bioplastics\Renjie_Pan\05-Raw_Data\Lab_results\[LabSamples2025_Bioplastic_extra.xlsx]extra_Bioplastic'!D716)," ",'Q:\Abteilungsprojekte\Eng\EngData\PROJECT_Bioplastics\Renjie_Pan\05-Raw_Data\Lab_results\[LabSamples2025_Bioplastic_extra.xlsx]extra_Bioplastic'!D716)</f>
        <v/>
      </c>
      <c r="E716">
        <f>IF(ISBLANK('Q:\Abteilungsprojekte\Eng\EngData\PROJECT_Bioplastics\Renjie_Pan\05-Raw_Data\Lab_results\[LabSamples2025_Bioplastic_extra.xlsx]extra_Bioplastic'!E716)," ",'Q:\Abteilungsprojekte\Eng\EngData\PROJECT_Bioplastics\Renjie_Pan\05-Raw_Data\Lab_results\[LabSamples2025_Bioplastic_extra.xlsx]extra_Bioplastic'!E716)</f>
        <v/>
      </c>
      <c r="F716">
        <f>IF(ISBLANK('Q:\Abteilungsprojekte\Eng\EngData\PROJECT_Bioplastics\Renjie_Pan\05-Raw_Data\Lab_results\[LabSamples2025_Bioplastic_extra.xlsx]extra_Bioplastic'!F716)," ",'Q:\Abteilungsprojekte\Eng\EngData\PROJECT_Bioplastics\Renjie_Pan\05-Raw_Data\Lab_results\[LabSamples2025_Bioplastic_extra.xlsx]extra_Bioplastic'!F716)</f>
        <v/>
      </c>
      <c r="G716">
        <f>IF(ISBLANK('Q:\Abteilungsprojekte\Eng\EngData\PROJECT_Bioplastics\Renjie_Pan\05-Raw_Data\Lab_results\[LabSamples2025_Bioplastic_extra.xlsx]extra_Bioplastic'!G716)," ",'Q:\Abteilungsprojekte\Eng\EngData\PROJECT_Bioplastics\Renjie_Pan\05-Raw_Data\Lab_results\[LabSamples2025_Bioplastic_extra.xlsx]extra_Bioplastic'!G716)</f>
        <v/>
      </c>
      <c r="H716">
        <f>IF(ISBLANK('Q:\Abteilungsprojekte\Eng\EngData\PROJECT_Bioplastics\Renjie_Pan\05-Raw_Data\Lab_results\[LabSamples2025_Bioplastic_extra.xlsx]extra_Bioplastic'!H716)," ",'Q:\Abteilungsprojekte\Eng\EngData\PROJECT_Bioplastics\Renjie_Pan\05-Raw_Data\Lab_results\[LabSamples2025_Bioplastic_extra.xlsx]extra_Bioplastic'!H716)</f>
        <v/>
      </c>
    </row>
    <row r="717">
      <c r="A717">
        <f>IF(ISBLANK('Q:\Abteilungsprojekte\Eng\EngData\PROJECT_Bioplastics\Renjie_Pan\05-Raw_Data\Lab_results\[LabSamples2025_Bioplastic_extra.xlsx]extra_Bioplastic'!A717)," ",'Q:\Abteilungsprojekte\Eng\EngData\PROJECT_Bioplastics\Renjie_Pan\05-Raw_Data\Lab_results\[LabSamples2025_Bioplastic_extra.xlsx]extra_Bioplastic'!A717)</f>
        <v/>
      </c>
      <c r="B717">
        <f>IF(ISBLANK('Q:\Abteilungsprojekte\Eng\EngData\PROJECT_Bioplastics\Renjie_Pan\05-Raw_Data\Lab_results\[LabSamples2025_Bioplastic_extra.xlsx]extra_Bioplastic'!B717)," ",'Q:\Abteilungsprojekte\Eng\EngData\PROJECT_Bioplastics\Renjie_Pan\05-Raw_Data\Lab_results\[LabSamples2025_Bioplastic_extra.xlsx]extra_Bioplastic'!B717)</f>
        <v/>
      </c>
      <c r="C717">
        <f>IF(ISBLANK('Q:\Abteilungsprojekte\Eng\EngData\PROJECT_Bioplastics\Renjie_Pan\05-Raw_Data\Lab_results\[LabSamples2025_Bioplastic_extra.xlsx]extra_Bioplastic'!C717)," ",'Q:\Abteilungsprojekte\Eng\EngData\PROJECT_Bioplastics\Renjie_Pan\05-Raw_Data\Lab_results\[LabSamples2025_Bioplastic_extra.xlsx]extra_Bioplastic'!C717)</f>
        <v/>
      </c>
      <c r="D717">
        <f>IF(ISBLANK('Q:\Abteilungsprojekte\Eng\EngData\PROJECT_Bioplastics\Renjie_Pan\05-Raw_Data\Lab_results\[LabSamples2025_Bioplastic_extra.xlsx]extra_Bioplastic'!D717)," ",'Q:\Abteilungsprojekte\Eng\EngData\PROJECT_Bioplastics\Renjie_Pan\05-Raw_Data\Lab_results\[LabSamples2025_Bioplastic_extra.xlsx]extra_Bioplastic'!D717)</f>
        <v/>
      </c>
      <c r="E717">
        <f>IF(ISBLANK('Q:\Abteilungsprojekte\Eng\EngData\PROJECT_Bioplastics\Renjie_Pan\05-Raw_Data\Lab_results\[LabSamples2025_Bioplastic_extra.xlsx]extra_Bioplastic'!E717)," ",'Q:\Abteilungsprojekte\Eng\EngData\PROJECT_Bioplastics\Renjie_Pan\05-Raw_Data\Lab_results\[LabSamples2025_Bioplastic_extra.xlsx]extra_Bioplastic'!E717)</f>
        <v/>
      </c>
      <c r="F717">
        <f>IF(ISBLANK('Q:\Abteilungsprojekte\Eng\EngData\PROJECT_Bioplastics\Renjie_Pan\05-Raw_Data\Lab_results\[LabSamples2025_Bioplastic_extra.xlsx]extra_Bioplastic'!F717)," ",'Q:\Abteilungsprojekte\Eng\EngData\PROJECT_Bioplastics\Renjie_Pan\05-Raw_Data\Lab_results\[LabSamples2025_Bioplastic_extra.xlsx]extra_Bioplastic'!F717)</f>
        <v/>
      </c>
      <c r="G717">
        <f>IF(ISBLANK('Q:\Abteilungsprojekte\Eng\EngData\PROJECT_Bioplastics\Renjie_Pan\05-Raw_Data\Lab_results\[LabSamples2025_Bioplastic_extra.xlsx]extra_Bioplastic'!G717)," ",'Q:\Abteilungsprojekte\Eng\EngData\PROJECT_Bioplastics\Renjie_Pan\05-Raw_Data\Lab_results\[LabSamples2025_Bioplastic_extra.xlsx]extra_Bioplastic'!G717)</f>
        <v/>
      </c>
      <c r="H717">
        <f>IF(ISBLANK('Q:\Abteilungsprojekte\Eng\EngData\PROJECT_Bioplastics\Renjie_Pan\05-Raw_Data\Lab_results\[LabSamples2025_Bioplastic_extra.xlsx]extra_Bioplastic'!H717)," ",'Q:\Abteilungsprojekte\Eng\EngData\PROJECT_Bioplastics\Renjie_Pan\05-Raw_Data\Lab_results\[LabSamples2025_Bioplastic_extra.xlsx]extra_Bioplastic'!H717)</f>
        <v/>
      </c>
    </row>
    <row r="718">
      <c r="A718">
        <f>IF(ISBLANK('Q:\Abteilungsprojekte\Eng\EngData\PROJECT_Bioplastics\Renjie_Pan\05-Raw_Data\Lab_results\[LabSamples2025_Bioplastic_extra.xlsx]extra_Bioplastic'!A718)," ",'Q:\Abteilungsprojekte\Eng\EngData\PROJECT_Bioplastics\Renjie_Pan\05-Raw_Data\Lab_results\[LabSamples2025_Bioplastic_extra.xlsx]extra_Bioplastic'!A718)</f>
        <v/>
      </c>
      <c r="B718">
        <f>IF(ISBLANK('Q:\Abteilungsprojekte\Eng\EngData\PROJECT_Bioplastics\Renjie_Pan\05-Raw_Data\Lab_results\[LabSamples2025_Bioplastic_extra.xlsx]extra_Bioplastic'!B718)," ",'Q:\Abteilungsprojekte\Eng\EngData\PROJECT_Bioplastics\Renjie_Pan\05-Raw_Data\Lab_results\[LabSamples2025_Bioplastic_extra.xlsx]extra_Bioplastic'!B718)</f>
        <v/>
      </c>
      <c r="C718">
        <f>IF(ISBLANK('Q:\Abteilungsprojekte\Eng\EngData\PROJECT_Bioplastics\Renjie_Pan\05-Raw_Data\Lab_results\[LabSamples2025_Bioplastic_extra.xlsx]extra_Bioplastic'!C718)," ",'Q:\Abteilungsprojekte\Eng\EngData\PROJECT_Bioplastics\Renjie_Pan\05-Raw_Data\Lab_results\[LabSamples2025_Bioplastic_extra.xlsx]extra_Bioplastic'!C718)</f>
        <v/>
      </c>
      <c r="D718">
        <f>IF(ISBLANK('Q:\Abteilungsprojekte\Eng\EngData\PROJECT_Bioplastics\Renjie_Pan\05-Raw_Data\Lab_results\[LabSamples2025_Bioplastic_extra.xlsx]extra_Bioplastic'!D718)," ",'Q:\Abteilungsprojekte\Eng\EngData\PROJECT_Bioplastics\Renjie_Pan\05-Raw_Data\Lab_results\[LabSamples2025_Bioplastic_extra.xlsx]extra_Bioplastic'!D718)</f>
        <v/>
      </c>
      <c r="E718">
        <f>IF(ISBLANK('Q:\Abteilungsprojekte\Eng\EngData\PROJECT_Bioplastics\Renjie_Pan\05-Raw_Data\Lab_results\[LabSamples2025_Bioplastic_extra.xlsx]extra_Bioplastic'!E718)," ",'Q:\Abteilungsprojekte\Eng\EngData\PROJECT_Bioplastics\Renjie_Pan\05-Raw_Data\Lab_results\[LabSamples2025_Bioplastic_extra.xlsx]extra_Bioplastic'!E718)</f>
        <v/>
      </c>
      <c r="F718">
        <f>IF(ISBLANK('Q:\Abteilungsprojekte\Eng\EngData\PROJECT_Bioplastics\Renjie_Pan\05-Raw_Data\Lab_results\[LabSamples2025_Bioplastic_extra.xlsx]extra_Bioplastic'!F718)," ",'Q:\Abteilungsprojekte\Eng\EngData\PROJECT_Bioplastics\Renjie_Pan\05-Raw_Data\Lab_results\[LabSamples2025_Bioplastic_extra.xlsx]extra_Bioplastic'!F718)</f>
        <v/>
      </c>
      <c r="G718">
        <f>IF(ISBLANK('Q:\Abteilungsprojekte\Eng\EngData\PROJECT_Bioplastics\Renjie_Pan\05-Raw_Data\Lab_results\[LabSamples2025_Bioplastic_extra.xlsx]extra_Bioplastic'!G718)," ",'Q:\Abteilungsprojekte\Eng\EngData\PROJECT_Bioplastics\Renjie_Pan\05-Raw_Data\Lab_results\[LabSamples2025_Bioplastic_extra.xlsx]extra_Bioplastic'!G718)</f>
        <v/>
      </c>
      <c r="H718">
        <f>IF(ISBLANK('Q:\Abteilungsprojekte\Eng\EngData\PROJECT_Bioplastics\Renjie_Pan\05-Raw_Data\Lab_results\[LabSamples2025_Bioplastic_extra.xlsx]extra_Bioplastic'!H718)," ",'Q:\Abteilungsprojekte\Eng\EngData\PROJECT_Bioplastics\Renjie_Pan\05-Raw_Data\Lab_results\[LabSamples2025_Bioplastic_extra.xlsx]extra_Bioplastic'!H718)</f>
        <v/>
      </c>
    </row>
    <row r="719">
      <c r="A719">
        <f>IF(ISBLANK('Q:\Abteilungsprojekte\Eng\EngData\PROJECT_Bioplastics\Renjie_Pan\05-Raw_Data\Lab_results\[LabSamples2025_Bioplastic_extra.xlsx]extra_Bioplastic'!A719)," ",'Q:\Abteilungsprojekte\Eng\EngData\PROJECT_Bioplastics\Renjie_Pan\05-Raw_Data\Lab_results\[LabSamples2025_Bioplastic_extra.xlsx]extra_Bioplastic'!A719)</f>
        <v/>
      </c>
      <c r="B719">
        <f>IF(ISBLANK('Q:\Abteilungsprojekte\Eng\EngData\PROJECT_Bioplastics\Renjie_Pan\05-Raw_Data\Lab_results\[LabSamples2025_Bioplastic_extra.xlsx]extra_Bioplastic'!B719)," ",'Q:\Abteilungsprojekte\Eng\EngData\PROJECT_Bioplastics\Renjie_Pan\05-Raw_Data\Lab_results\[LabSamples2025_Bioplastic_extra.xlsx]extra_Bioplastic'!B719)</f>
        <v/>
      </c>
      <c r="C719">
        <f>IF(ISBLANK('Q:\Abteilungsprojekte\Eng\EngData\PROJECT_Bioplastics\Renjie_Pan\05-Raw_Data\Lab_results\[LabSamples2025_Bioplastic_extra.xlsx]extra_Bioplastic'!C719)," ",'Q:\Abteilungsprojekte\Eng\EngData\PROJECT_Bioplastics\Renjie_Pan\05-Raw_Data\Lab_results\[LabSamples2025_Bioplastic_extra.xlsx]extra_Bioplastic'!C719)</f>
        <v/>
      </c>
      <c r="D719">
        <f>IF(ISBLANK('Q:\Abteilungsprojekte\Eng\EngData\PROJECT_Bioplastics\Renjie_Pan\05-Raw_Data\Lab_results\[LabSamples2025_Bioplastic_extra.xlsx]extra_Bioplastic'!D719)," ",'Q:\Abteilungsprojekte\Eng\EngData\PROJECT_Bioplastics\Renjie_Pan\05-Raw_Data\Lab_results\[LabSamples2025_Bioplastic_extra.xlsx]extra_Bioplastic'!D719)</f>
        <v/>
      </c>
      <c r="E719">
        <f>IF(ISBLANK('Q:\Abteilungsprojekte\Eng\EngData\PROJECT_Bioplastics\Renjie_Pan\05-Raw_Data\Lab_results\[LabSamples2025_Bioplastic_extra.xlsx]extra_Bioplastic'!E719)," ",'Q:\Abteilungsprojekte\Eng\EngData\PROJECT_Bioplastics\Renjie_Pan\05-Raw_Data\Lab_results\[LabSamples2025_Bioplastic_extra.xlsx]extra_Bioplastic'!E719)</f>
        <v/>
      </c>
      <c r="F719">
        <f>IF(ISBLANK('Q:\Abteilungsprojekte\Eng\EngData\PROJECT_Bioplastics\Renjie_Pan\05-Raw_Data\Lab_results\[LabSamples2025_Bioplastic_extra.xlsx]extra_Bioplastic'!F719)," ",'Q:\Abteilungsprojekte\Eng\EngData\PROJECT_Bioplastics\Renjie_Pan\05-Raw_Data\Lab_results\[LabSamples2025_Bioplastic_extra.xlsx]extra_Bioplastic'!F719)</f>
        <v/>
      </c>
      <c r="G719">
        <f>IF(ISBLANK('Q:\Abteilungsprojekte\Eng\EngData\PROJECT_Bioplastics\Renjie_Pan\05-Raw_Data\Lab_results\[LabSamples2025_Bioplastic_extra.xlsx]extra_Bioplastic'!G719)," ",'Q:\Abteilungsprojekte\Eng\EngData\PROJECT_Bioplastics\Renjie_Pan\05-Raw_Data\Lab_results\[LabSamples2025_Bioplastic_extra.xlsx]extra_Bioplastic'!G719)</f>
        <v/>
      </c>
      <c r="H719">
        <f>IF(ISBLANK('Q:\Abteilungsprojekte\Eng\EngData\PROJECT_Bioplastics\Renjie_Pan\05-Raw_Data\Lab_results\[LabSamples2025_Bioplastic_extra.xlsx]extra_Bioplastic'!H719)," ",'Q:\Abteilungsprojekte\Eng\EngData\PROJECT_Bioplastics\Renjie_Pan\05-Raw_Data\Lab_results\[LabSamples2025_Bioplastic_extra.xlsx]extra_Bioplastic'!H719)</f>
        <v/>
      </c>
    </row>
    <row r="720">
      <c r="A720">
        <f>IF(ISBLANK('Q:\Abteilungsprojekte\Eng\EngData\PROJECT_Bioplastics\Renjie_Pan\05-Raw_Data\Lab_results\[LabSamples2025_Bioplastic_extra.xlsx]extra_Bioplastic'!A720)," ",'Q:\Abteilungsprojekte\Eng\EngData\PROJECT_Bioplastics\Renjie_Pan\05-Raw_Data\Lab_results\[LabSamples2025_Bioplastic_extra.xlsx]extra_Bioplastic'!A720)</f>
        <v/>
      </c>
      <c r="B720">
        <f>IF(ISBLANK('Q:\Abteilungsprojekte\Eng\EngData\PROJECT_Bioplastics\Renjie_Pan\05-Raw_Data\Lab_results\[LabSamples2025_Bioplastic_extra.xlsx]extra_Bioplastic'!B720)," ",'Q:\Abteilungsprojekte\Eng\EngData\PROJECT_Bioplastics\Renjie_Pan\05-Raw_Data\Lab_results\[LabSamples2025_Bioplastic_extra.xlsx]extra_Bioplastic'!B720)</f>
        <v/>
      </c>
      <c r="C720">
        <f>IF(ISBLANK('Q:\Abteilungsprojekte\Eng\EngData\PROJECT_Bioplastics\Renjie_Pan\05-Raw_Data\Lab_results\[LabSamples2025_Bioplastic_extra.xlsx]extra_Bioplastic'!C720)," ",'Q:\Abteilungsprojekte\Eng\EngData\PROJECT_Bioplastics\Renjie_Pan\05-Raw_Data\Lab_results\[LabSamples2025_Bioplastic_extra.xlsx]extra_Bioplastic'!C720)</f>
        <v/>
      </c>
      <c r="D720">
        <f>IF(ISBLANK('Q:\Abteilungsprojekte\Eng\EngData\PROJECT_Bioplastics\Renjie_Pan\05-Raw_Data\Lab_results\[LabSamples2025_Bioplastic_extra.xlsx]extra_Bioplastic'!D720)," ",'Q:\Abteilungsprojekte\Eng\EngData\PROJECT_Bioplastics\Renjie_Pan\05-Raw_Data\Lab_results\[LabSamples2025_Bioplastic_extra.xlsx]extra_Bioplastic'!D720)</f>
        <v/>
      </c>
      <c r="E720">
        <f>IF(ISBLANK('Q:\Abteilungsprojekte\Eng\EngData\PROJECT_Bioplastics\Renjie_Pan\05-Raw_Data\Lab_results\[LabSamples2025_Bioplastic_extra.xlsx]extra_Bioplastic'!E720)," ",'Q:\Abteilungsprojekte\Eng\EngData\PROJECT_Bioplastics\Renjie_Pan\05-Raw_Data\Lab_results\[LabSamples2025_Bioplastic_extra.xlsx]extra_Bioplastic'!E720)</f>
        <v/>
      </c>
      <c r="F720">
        <f>IF(ISBLANK('Q:\Abteilungsprojekte\Eng\EngData\PROJECT_Bioplastics\Renjie_Pan\05-Raw_Data\Lab_results\[LabSamples2025_Bioplastic_extra.xlsx]extra_Bioplastic'!F720)," ",'Q:\Abteilungsprojekte\Eng\EngData\PROJECT_Bioplastics\Renjie_Pan\05-Raw_Data\Lab_results\[LabSamples2025_Bioplastic_extra.xlsx]extra_Bioplastic'!F720)</f>
        <v/>
      </c>
      <c r="G720">
        <f>IF(ISBLANK('Q:\Abteilungsprojekte\Eng\EngData\PROJECT_Bioplastics\Renjie_Pan\05-Raw_Data\Lab_results\[LabSamples2025_Bioplastic_extra.xlsx]extra_Bioplastic'!G720)," ",'Q:\Abteilungsprojekte\Eng\EngData\PROJECT_Bioplastics\Renjie_Pan\05-Raw_Data\Lab_results\[LabSamples2025_Bioplastic_extra.xlsx]extra_Bioplastic'!G720)</f>
        <v/>
      </c>
      <c r="H720">
        <f>IF(ISBLANK('Q:\Abteilungsprojekte\Eng\EngData\PROJECT_Bioplastics\Renjie_Pan\05-Raw_Data\Lab_results\[LabSamples2025_Bioplastic_extra.xlsx]extra_Bioplastic'!H720)," ",'Q:\Abteilungsprojekte\Eng\EngData\PROJECT_Bioplastics\Renjie_Pan\05-Raw_Data\Lab_results\[LabSamples2025_Bioplastic_extra.xlsx]extra_Bioplastic'!H720)</f>
        <v/>
      </c>
    </row>
    <row r="721">
      <c r="A721">
        <f>IF(ISBLANK('Q:\Abteilungsprojekte\Eng\EngData\PROJECT_Bioplastics\Renjie_Pan\05-Raw_Data\Lab_results\[LabSamples2025_Bioplastic_extra.xlsx]extra_Bioplastic'!A721)," ",'Q:\Abteilungsprojekte\Eng\EngData\PROJECT_Bioplastics\Renjie_Pan\05-Raw_Data\Lab_results\[LabSamples2025_Bioplastic_extra.xlsx]extra_Bioplastic'!A721)</f>
        <v/>
      </c>
      <c r="B721">
        <f>IF(ISBLANK('Q:\Abteilungsprojekte\Eng\EngData\PROJECT_Bioplastics\Renjie_Pan\05-Raw_Data\Lab_results\[LabSamples2025_Bioplastic_extra.xlsx]extra_Bioplastic'!B721)," ",'Q:\Abteilungsprojekte\Eng\EngData\PROJECT_Bioplastics\Renjie_Pan\05-Raw_Data\Lab_results\[LabSamples2025_Bioplastic_extra.xlsx]extra_Bioplastic'!B721)</f>
        <v/>
      </c>
      <c r="C721">
        <f>IF(ISBLANK('Q:\Abteilungsprojekte\Eng\EngData\PROJECT_Bioplastics\Renjie_Pan\05-Raw_Data\Lab_results\[LabSamples2025_Bioplastic_extra.xlsx]extra_Bioplastic'!C721)," ",'Q:\Abteilungsprojekte\Eng\EngData\PROJECT_Bioplastics\Renjie_Pan\05-Raw_Data\Lab_results\[LabSamples2025_Bioplastic_extra.xlsx]extra_Bioplastic'!C721)</f>
        <v/>
      </c>
      <c r="D721">
        <f>IF(ISBLANK('Q:\Abteilungsprojekte\Eng\EngData\PROJECT_Bioplastics\Renjie_Pan\05-Raw_Data\Lab_results\[LabSamples2025_Bioplastic_extra.xlsx]extra_Bioplastic'!D721)," ",'Q:\Abteilungsprojekte\Eng\EngData\PROJECT_Bioplastics\Renjie_Pan\05-Raw_Data\Lab_results\[LabSamples2025_Bioplastic_extra.xlsx]extra_Bioplastic'!D721)</f>
        <v/>
      </c>
      <c r="E721">
        <f>IF(ISBLANK('Q:\Abteilungsprojekte\Eng\EngData\PROJECT_Bioplastics\Renjie_Pan\05-Raw_Data\Lab_results\[LabSamples2025_Bioplastic_extra.xlsx]extra_Bioplastic'!E721)," ",'Q:\Abteilungsprojekte\Eng\EngData\PROJECT_Bioplastics\Renjie_Pan\05-Raw_Data\Lab_results\[LabSamples2025_Bioplastic_extra.xlsx]extra_Bioplastic'!E721)</f>
        <v/>
      </c>
      <c r="F721">
        <f>IF(ISBLANK('Q:\Abteilungsprojekte\Eng\EngData\PROJECT_Bioplastics\Renjie_Pan\05-Raw_Data\Lab_results\[LabSamples2025_Bioplastic_extra.xlsx]extra_Bioplastic'!F721)," ",'Q:\Abteilungsprojekte\Eng\EngData\PROJECT_Bioplastics\Renjie_Pan\05-Raw_Data\Lab_results\[LabSamples2025_Bioplastic_extra.xlsx]extra_Bioplastic'!F721)</f>
        <v/>
      </c>
      <c r="G721">
        <f>IF(ISBLANK('Q:\Abteilungsprojekte\Eng\EngData\PROJECT_Bioplastics\Renjie_Pan\05-Raw_Data\Lab_results\[LabSamples2025_Bioplastic_extra.xlsx]extra_Bioplastic'!G721)," ",'Q:\Abteilungsprojekte\Eng\EngData\PROJECT_Bioplastics\Renjie_Pan\05-Raw_Data\Lab_results\[LabSamples2025_Bioplastic_extra.xlsx]extra_Bioplastic'!G721)</f>
        <v/>
      </c>
      <c r="H721">
        <f>IF(ISBLANK('Q:\Abteilungsprojekte\Eng\EngData\PROJECT_Bioplastics\Renjie_Pan\05-Raw_Data\Lab_results\[LabSamples2025_Bioplastic_extra.xlsx]extra_Bioplastic'!H721)," ",'Q:\Abteilungsprojekte\Eng\EngData\PROJECT_Bioplastics\Renjie_Pan\05-Raw_Data\Lab_results\[LabSamples2025_Bioplastic_extra.xlsx]extra_Bioplastic'!H721)</f>
        <v/>
      </c>
    </row>
    <row r="722">
      <c r="A722">
        <f>IF(ISBLANK('Q:\Abteilungsprojekte\Eng\EngData\PROJECT_Bioplastics\Renjie_Pan\05-Raw_Data\Lab_results\[LabSamples2025_Bioplastic_extra.xlsx]extra_Bioplastic'!A722)," ",'Q:\Abteilungsprojekte\Eng\EngData\PROJECT_Bioplastics\Renjie_Pan\05-Raw_Data\Lab_results\[LabSamples2025_Bioplastic_extra.xlsx]extra_Bioplastic'!A722)</f>
        <v/>
      </c>
      <c r="B722">
        <f>IF(ISBLANK('Q:\Abteilungsprojekte\Eng\EngData\PROJECT_Bioplastics\Renjie_Pan\05-Raw_Data\Lab_results\[LabSamples2025_Bioplastic_extra.xlsx]extra_Bioplastic'!B722)," ",'Q:\Abteilungsprojekte\Eng\EngData\PROJECT_Bioplastics\Renjie_Pan\05-Raw_Data\Lab_results\[LabSamples2025_Bioplastic_extra.xlsx]extra_Bioplastic'!B722)</f>
        <v/>
      </c>
      <c r="C722">
        <f>IF(ISBLANK('Q:\Abteilungsprojekte\Eng\EngData\PROJECT_Bioplastics\Renjie_Pan\05-Raw_Data\Lab_results\[LabSamples2025_Bioplastic_extra.xlsx]extra_Bioplastic'!C722)," ",'Q:\Abteilungsprojekte\Eng\EngData\PROJECT_Bioplastics\Renjie_Pan\05-Raw_Data\Lab_results\[LabSamples2025_Bioplastic_extra.xlsx]extra_Bioplastic'!C722)</f>
        <v/>
      </c>
      <c r="D722">
        <f>IF(ISBLANK('Q:\Abteilungsprojekte\Eng\EngData\PROJECT_Bioplastics\Renjie_Pan\05-Raw_Data\Lab_results\[LabSamples2025_Bioplastic_extra.xlsx]extra_Bioplastic'!D722)," ",'Q:\Abteilungsprojekte\Eng\EngData\PROJECT_Bioplastics\Renjie_Pan\05-Raw_Data\Lab_results\[LabSamples2025_Bioplastic_extra.xlsx]extra_Bioplastic'!D722)</f>
        <v/>
      </c>
      <c r="E722">
        <f>IF(ISBLANK('Q:\Abteilungsprojekte\Eng\EngData\PROJECT_Bioplastics\Renjie_Pan\05-Raw_Data\Lab_results\[LabSamples2025_Bioplastic_extra.xlsx]extra_Bioplastic'!E722)," ",'Q:\Abteilungsprojekte\Eng\EngData\PROJECT_Bioplastics\Renjie_Pan\05-Raw_Data\Lab_results\[LabSamples2025_Bioplastic_extra.xlsx]extra_Bioplastic'!E722)</f>
        <v/>
      </c>
      <c r="F722">
        <f>IF(ISBLANK('Q:\Abteilungsprojekte\Eng\EngData\PROJECT_Bioplastics\Renjie_Pan\05-Raw_Data\Lab_results\[LabSamples2025_Bioplastic_extra.xlsx]extra_Bioplastic'!F722)," ",'Q:\Abteilungsprojekte\Eng\EngData\PROJECT_Bioplastics\Renjie_Pan\05-Raw_Data\Lab_results\[LabSamples2025_Bioplastic_extra.xlsx]extra_Bioplastic'!F722)</f>
        <v/>
      </c>
      <c r="G722">
        <f>IF(ISBLANK('Q:\Abteilungsprojekte\Eng\EngData\PROJECT_Bioplastics\Renjie_Pan\05-Raw_Data\Lab_results\[LabSamples2025_Bioplastic_extra.xlsx]extra_Bioplastic'!G722)," ",'Q:\Abteilungsprojekte\Eng\EngData\PROJECT_Bioplastics\Renjie_Pan\05-Raw_Data\Lab_results\[LabSamples2025_Bioplastic_extra.xlsx]extra_Bioplastic'!G722)</f>
        <v/>
      </c>
      <c r="H722">
        <f>IF(ISBLANK('Q:\Abteilungsprojekte\Eng\EngData\PROJECT_Bioplastics\Renjie_Pan\05-Raw_Data\Lab_results\[LabSamples2025_Bioplastic_extra.xlsx]extra_Bioplastic'!H722)," ",'Q:\Abteilungsprojekte\Eng\EngData\PROJECT_Bioplastics\Renjie_Pan\05-Raw_Data\Lab_results\[LabSamples2025_Bioplastic_extra.xlsx]extra_Bioplastic'!H722)</f>
        <v/>
      </c>
    </row>
    <row r="723">
      <c r="A723">
        <f>IF(ISBLANK('Q:\Abteilungsprojekte\Eng\EngData\PROJECT_Bioplastics\Renjie_Pan\05-Raw_Data\Lab_results\[LabSamples2025_Bioplastic_extra.xlsx]extra_Bioplastic'!A723)," ",'Q:\Abteilungsprojekte\Eng\EngData\PROJECT_Bioplastics\Renjie_Pan\05-Raw_Data\Lab_results\[LabSamples2025_Bioplastic_extra.xlsx]extra_Bioplastic'!A723)</f>
        <v/>
      </c>
      <c r="B723">
        <f>IF(ISBLANK('Q:\Abteilungsprojekte\Eng\EngData\PROJECT_Bioplastics\Renjie_Pan\05-Raw_Data\Lab_results\[LabSamples2025_Bioplastic_extra.xlsx]extra_Bioplastic'!B723)," ",'Q:\Abteilungsprojekte\Eng\EngData\PROJECT_Bioplastics\Renjie_Pan\05-Raw_Data\Lab_results\[LabSamples2025_Bioplastic_extra.xlsx]extra_Bioplastic'!B723)</f>
        <v/>
      </c>
      <c r="C723">
        <f>IF(ISBLANK('Q:\Abteilungsprojekte\Eng\EngData\PROJECT_Bioplastics\Renjie_Pan\05-Raw_Data\Lab_results\[LabSamples2025_Bioplastic_extra.xlsx]extra_Bioplastic'!C723)," ",'Q:\Abteilungsprojekte\Eng\EngData\PROJECT_Bioplastics\Renjie_Pan\05-Raw_Data\Lab_results\[LabSamples2025_Bioplastic_extra.xlsx]extra_Bioplastic'!C723)</f>
        <v/>
      </c>
      <c r="D723">
        <f>IF(ISBLANK('Q:\Abteilungsprojekte\Eng\EngData\PROJECT_Bioplastics\Renjie_Pan\05-Raw_Data\Lab_results\[LabSamples2025_Bioplastic_extra.xlsx]extra_Bioplastic'!D723)," ",'Q:\Abteilungsprojekte\Eng\EngData\PROJECT_Bioplastics\Renjie_Pan\05-Raw_Data\Lab_results\[LabSamples2025_Bioplastic_extra.xlsx]extra_Bioplastic'!D723)</f>
        <v/>
      </c>
      <c r="E723">
        <f>IF(ISBLANK('Q:\Abteilungsprojekte\Eng\EngData\PROJECT_Bioplastics\Renjie_Pan\05-Raw_Data\Lab_results\[LabSamples2025_Bioplastic_extra.xlsx]extra_Bioplastic'!E723)," ",'Q:\Abteilungsprojekte\Eng\EngData\PROJECT_Bioplastics\Renjie_Pan\05-Raw_Data\Lab_results\[LabSamples2025_Bioplastic_extra.xlsx]extra_Bioplastic'!E723)</f>
        <v/>
      </c>
      <c r="F723">
        <f>IF(ISBLANK('Q:\Abteilungsprojekte\Eng\EngData\PROJECT_Bioplastics\Renjie_Pan\05-Raw_Data\Lab_results\[LabSamples2025_Bioplastic_extra.xlsx]extra_Bioplastic'!F723)," ",'Q:\Abteilungsprojekte\Eng\EngData\PROJECT_Bioplastics\Renjie_Pan\05-Raw_Data\Lab_results\[LabSamples2025_Bioplastic_extra.xlsx]extra_Bioplastic'!F723)</f>
        <v/>
      </c>
      <c r="G723">
        <f>IF(ISBLANK('Q:\Abteilungsprojekte\Eng\EngData\PROJECT_Bioplastics\Renjie_Pan\05-Raw_Data\Lab_results\[LabSamples2025_Bioplastic_extra.xlsx]extra_Bioplastic'!G723)," ",'Q:\Abteilungsprojekte\Eng\EngData\PROJECT_Bioplastics\Renjie_Pan\05-Raw_Data\Lab_results\[LabSamples2025_Bioplastic_extra.xlsx]extra_Bioplastic'!G723)</f>
        <v/>
      </c>
      <c r="H723">
        <f>IF(ISBLANK('Q:\Abteilungsprojekte\Eng\EngData\PROJECT_Bioplastics\Renjie_Pan\05-Raw_Data\Lab_results\[LabSamples2025_Bioplastic_extra.xlsx]extra_Bioplastic'!H723)," ",'Q:\Abteilungsprojekte\Eng\EngData\PROJECT_Bioplastics\Renjie_Pan\05-Raw_Data\Lab_results\[LabSamples2025_Bioplastic_extra.xlsx]extra_Bioplastic'!H723)</f>
        <v/>
      </c>
    </row>
    <row r="724">
      <c r="A724">
        <f>IF(ISBLANK('Q:\Abteilungsprojekte\Eng\EngData\PROJECT_Bioplastics\Renjie_Pan\05-Raw_Data\Lab_results\[LabSamples2025_Bioplastic_extra.xlsx]extra_Bioplastic'!A724)," ",'Q:\Abteilungsprojekte\Eng\EngData\PROJECT_Bioplastics\Renjie_Pan\05-Raw_Data\Lab_results\[LabSamples2025_Bioplastic_extra.xlsx]extra_Bioplastic'!A724)</f>
        <v/>
      </c>
      <c r="B724">
        <f>IF(ISBLANK('Q:\Abteilungsprojekte\Eng\EngData\PROJECT_Bioplastics\Renjie_Pan\05-Raw_Data\Lab_results\[LabSamples2025_Bioplastic_extra.xlsx]extra_Bioplastic'!B724)," ",'Q:\Abteilungsprojekte\Eng\EngData\PROJECT_Bioplastics\Renjie_Pan\05-Raw_Data\Lab_results\[LabSamples2025_Bioplastic_extra.xlsx]extra_Bioplastic'!B724)</f>
        <v/>
      </c>
      <c r="C724">
        <f>IF(ISBLANK('Q:\Abteilungsprojekte\Eng\EngData\PROJECT_Bioplastics\Renjie_Pan\05-Raw_Data\Lab_results\[LabSamples2025_Bioplastic_extra.xlsx]extra_Bioplastic'!C724)," ",'Q:\Abteilungsprojekte\Eng\EngData\PROJECT_Bioplastics\Renjie_Pan\05-Raw_Data\Lab_results\[LabSamples2025_Bioplastic_extra.xlsx]extra_Bioplastic'!C724)</f>
        <v/>
      </c>
      <c r="D724">
        <f>IF(ISBLANK('Q:\Abteilungsprojekte\Eng\EngData\PROJECT_Bioplastics\Renjie_Pan\05-Raw_Data\Lab_results\[LabSamples2025_Bioplastic_extra.xlsx]extra_Bioplastic'!D724)," ",'Q:\Abteilungsprojekte\Eng\EngData\PROJECT_Bioplastics\Renjie_Pan\05-Raw_Data\Lab_results\[LabSamples2025_Bioplastic_extra.xlsx]extra_Bioplastic'!D724)</f>
        <v/>
      </c>
      <c r="E724">
        <f>IF(ISBLANK('Q:\Abteilungsprojekte\Eng\EngData\PROJECT_Bioplastics\Renjie_Pan\05-Raw_Data\Lab_results\[LabSamples2025_Bioplastic_extra.xlsx]extra_Bioplastic'!E724)," ",'Q:\Abteilungsprojekte\Eng\EngData\PROJECT_Bioplastics\Renjie_Pan\05-Raw_Data\Lab_results\[LabSamples2025_Bioplastic_extra.xlsx]extra_Bioplastic'!E724)</f>
        <v/>
      </c>
      <c r="F724">
        <f>IF(ISBLANK('Q:\Abteilungsprojekte\Eng\EngData\PROJECT_Bioplastics\Renjie_Pan\05-Raw_Data\Lab_results\[LabSamples2025_Bioplastic_extra.xlsx]extra_Bioplastic'!F724)," ",'Q:\Abteilungsprojekte\Eng\EngData\PROJECT_Bioplastics\Renjie_Pan\05-Raw_Data\Lab_results\[LabSamples2025_Bioplastic_extra.xlsx]extra_Bioplastic'!F724)</f>
        <v/>
      </c>
      <c r="G724">
        <f>IF(ISBLANK('Q:\Abteilungsprojekte\Eng\EngData\PROJECT_Bioplastics\Renjie_Pan\05-Raw_Data\Lab_results\[LabSamples2025_Bioplastic_extra.xlsx]extra_Bioplastic'!G724)," ",'Q:\Abteilungsprojekte\Eng\EngData\PROJECT_Bioplastics\Renjie_Pan\05-Raw_Data\Lab_results\[LabSamples2025_Bioplastic_extra.xlsx]extra_Bioplastic'!G724)</f>
        <v/>
      </c>
      <c r="H724">
        <f>IF(ISBLANK('Q:\Abteilungsprojekte\Eng\EngData\PROJECT_Bioplastics\Renjie_Pan\05-Raw_Data\Lab_results\[LabSamples2025_Bioplastic_extra.xlsx]extra_Bioplastic'!H724)," ",'Q:\Abteilungsprojekte\Eng\EngData\PROJECT_Bioplastics\Renjie_Pan\05-Raw_Data\Lab_results\[LabSamples2025_Bioplastic_extra.xlsx]extra_Bioplastic'!H724)</f>
        <v/>
      </c>
    </row>
    <row r="725">
      <c r="A725">
        <f>IF(ISBLANK('Q:\Abteilungsprojekte\Eng\EngData\PROJECT_Bioplastics\Renjie_Pan\05-Raw_Data\Lab_results\[LabSamples2025_Bioplastic_extra.xlsx]extra_Bioplastic'!A725)," ",'Q:\Abteilungsprojekte\Eng\EngData\PROJECT_Bioplastics\Renjie_Pan\05-Raw_Data\Lab_results\[LabSamples2025_Bioplastic_extra.xlsx]extra_Bioplastic'!A725)</f>
        <v/>
      </c>
      <c r="B725">
        <f>IF(ISBLANK('Q:\Abteilungsprojekte\Eng\EngData\PROJECT_Bioplastics\Renjie_Pan\05-Raw_Data\Lab_results\[LabSamples2025_Bioplastic_extra.xlsx]extra_Bioplastic'!B725)," ",'Q:\Abteilungsprojekte\Eng\EngData\PROJECT_Bioplastics\Renjie_Pan\05-Raw_Data\Lab_results\[LabSamples2025_Bioplastic_extra.xlsx]extra_Bioplastic'!B725)</f>
        <v/>
      </c>
      <c r="C725">
        <f>IF(ISBLANK('Q:\Abteilungsprojekte\Eng\EngData\PROJECT_Bioplastics\Renjie_Pan\05-Raw_Data\Lab_results\[LabSamples2025_Bioplastic_extra.xlsx]extra_Bioplastic'!C725)," ",'Q:\Abteilungsprojekte\Eng\EngData\PROJECT_Bioplastics\Renjie_Pan\05-Raw_Data\Lab_results\[LabSamples2025_Bioplastic_extra.xlsx]extra_Bioplastic'!C725)</f>
        <v/>
      </c>
      <c r="D725">
        <f>IF(ISBLANK('Q:\Abteilungsprojekte\Eng\EngData\PROJECT_Bioplastics\Renjie_Pan\05-Raw_Data\Lab_results\[LabSamples2025_Bioplastic_extra.xlsx]extra_Bioplastic'!D725)," ",'Q:\Abteilungsprojekte\Eng\EngData\PROJECT_Bioplastics\Renjie_Pan\05-Raw_Data\Lab_results\[LabSamples2025_Bioplastic_extra.xlsx]extra_Bioplastic'!D725)</f>
        <v/>
      </c>
      <c r="E725">
        <f>IF(ISBLANK('Q:\Abteilungsprojekte\Eng\EngData\PROJECT_Bioplastics\Renjie_Pan\05-Raw_Data\Lab_results\[LabSamples2025_Bioplastic_extra.xlsx]extra_Bioplastic'!E725)," ",'Q:\Abteilungsprojekte\Eng\EngData\PROJECT_Bioplastics\Renjie_Pan\05-Raw_Data\Lab_results\[LabSamples2025_Bioplastic_extra.xlsx]extra_Bioplastic'!E725)</f>
        <v/>
      </c>
      <c r="F725">
        <f>IF(ISBLANK('Q:\Abteilungsprojekte\Eng\EngData\PROJECT_Bioplastics\Renjie_Pan\05-Raw_Data\Lab_results\[LabSamples2025_Bioplastic_extra.xlsx]extra_Bioplastic'!F725)," ",'Q:\Abteilungsprojekte\Eng\EngData\PROJECT_Bioplastics\Renjie_Pan\05-Raw_Data\Lab_results\[LabSamples2025_Bioplastic_extra.xlsx]extra_Bioplastic'!F725)</f>
        <v/>
      </c>
      <c r="G725">
        <f>IF(ISBLANK('Q:\Abteilungsprojekte\Eng\EngData\PROJECT_Bioplastics\Renjie_Pan\05-Raw_Data\Lab_results\[LabSamples2025_Bioplastic_extra.xlsx]extra_Bioplastic'!G725)," ",'Q:\Abteilungsprojekte\Eng\EngData\PROJECT_Bioplastics\Renjie_Pan\05-Raw_Data\Lab_results\[LabSamples2025_Bioplastic_extra.xlsx]extra_Bioplastic'!G725)</f>
        <v/>
      </c>
      <c r="H725">
        <f>IF(ISBLANK('Q:\Abteilungsprojekte\Eng\EngData\PROJECT_Bioplastics\Renjie_Pan\05-Raw_Data\Lab_results\[LabSamples2025_Bioplastic_extra.xlsx]extra_Bioplastic'!H725)," ",'Q:\Abteilungsprojekte\Eng\EngData\PROJECT_Bioplastics\Renjie_Pan\05-Raw_Data\Lab_results\[LabSamples2025_Bioplastic_extra.xlsx]extra_Bioplastic'!H725)</f>
        <v/>
      </c>
    </row>
    <row r="726">
      <c r="A726">
        <f>IF(ISBLANK('Q:\Abteilungsprojekte\Eng\EngData\PROJECT_Bioplastics\Renjie_Pan\05-Raw_Data\Lab_results\[LabSamples2025_Bioplastic_extra.xlsx]extra_Bioplastic'!A726)," ",'Q:\Abteilungsprojekte\Eng\EngData\PROJECT_Bioplastics\Renjie_Pan\05-Raw_Data\Lab_results\[LabSamples2025_Bioplastic_extra.xlsx]extra_Bioplastic'!A726)</f>
        <v/>
      </c>
      <c r="B726">
        <f>IF(ISBLANK('Q:\Abteilungsprojekte\Eng\EngData\PROJECT_Bioplastics\Renjie_Pan\05-Raw_Data\Lab_results\[LabSamples2025_Bioplastic_extra.xlsx]extra_Bioplastic'!B726)," ",'Q:\Abteilungsprojekte\Eng\EngData\PROJECT_Bioplastics\Renjie_Pan\05-Raw_Data\Lab_results\[LabSamples2025_Bioplastic_extra.xlsx]extra_Bioplastic'!B726)</f>
        <v/>
      </c>
      <c r="C726">
        <f>IF(ISBLANK('Q:\Abteilungsprojekte\Eng\EngData\PROJECT_Bioplastics\Renjie_Pan\05-Raw_Data\Lab_results\[LabSamples2025_Bioplastic_extra.xlsx]extra_Bioplastic'!C726)," ",'Q:\Abteilungsprojekte\Eng\EngData\PROJECT_Bioplastics\Renjie_Pan\05-Raw_Data\Lab_results\[LabSamples2025_Bioplastic_extra.xlsx]extra_Bioplastic'!C726)</f>
        <v/>
      </c>
      <c r="D726">
        <f>IF(ISBLANK('Q:\Abteilungsprojekte\Eng\EngData\PROJECT_Bioplastics\Renjie_Pan\05-Raw_Data\Lab_results\[LabSamples2025_Bioplastic_extra.xlsx]extra_Bioplastic'!D726)," ",'Q:\Abteilungsprojekte\Eng\EngData\PROJECT_Bioplastics\Renjie_Pan\05-Raw_Data\Lab_results\[LabSamples2025_Bioplastic_extra.xlsx]extra_Bioplastic'!D726)</f>
        <v/>
      </c>
      <c r="E726">
        <f>IF(ISBLANK('Q:\Abteilungsprojekte\Eng\EngData\PROJECT_Bioplastics\Renjie_Pan\05-Raw_Data\Lab_results\[LabSamples2025_Bioplastic_extra.xlsx]extra_Bioplastic'!E726)," ",'Q:\Abteilungsprojekte\Eng\EngData\PROJECT_Bioplastics\Renjie_Pan\05-Raw_Data\Lab_results\[LabSamples2025_Bioplastic_extra.xlsx]extra_Bioplastic'!E726)</f>
        <v/>
      </c>
      <c r="F726">
        <f>IF(ISBLANK('Q:\Abteilungsprojekte\Eng\EngData\PROJECT_Bioplastics\Renjie_Pan\05-Raw_Data\Lab_results\[LabSamples2025_Bioplastic_extra.xlsx]extra_Bioplastic'!F726)," ",'Q:\Abteilungsprojekte\Eng\EngData\PROJECT_Bioplastics\Renjie_Pan\05-Raw_Data\Lab_results\[LabSamples2025_Bioplastic_extra.xlsx]extra_Bioplastic'!F726)</f>
        <v/>
      </c>
      <c r="G726">
        <f>IF(ISBLANK('Q:\Abteilungsprojekte\Eng\EngData\PROJECT_Bioplastics\Renjie_Pan\05-Raw_Data\Lab_results\[LabSamples2025_Bioplastic_extra.xlsx]extra_Bioplastic'!G726)," ",'Q:\Abteilungsprojekte\Eng\EngData\PROJECT_Bioplastics\Renjie_Pan\05-Raw_Data\Lab_results\[LabSamples2025_Bioplastic_extra.xlsx]extra_Bioplastic'!G726)</f>
        <v/>
      </c>
      <c r="H726">
        <f>IF(ISBLANK('Q:\Abteilungsprojekte\Eng\EngData\PROJECT_Bioplastics\Renjie_Pan\05-Raw_Data\Lab_results\[LabSamples2025_Bioplastic_extra.xlsx]extra_Bioplastic'!H726)," ",'Q:\Abteilungsprojekte\Eng\EngData\PROJECT_Bioplastics\Renjie_Pan\05-Raw_Data\Lab_results\[LabSamples2025_Bioplastic_extra.xlsx]extra_Bioplastic'!H726)</f>
        <v/>
      </c>
    </row>
    <row r="727">
      <c r="A727">
        <f>IF(ISBLANK('Q:\Abteilungsprojekte\Eng\EngData\PROJECT_Bioplastics\Renjie_Pan\05-Raw_Data\Lab_results\[LabSamples2025_Bioplastic_extra.xlsx]extra_Bioplastic'!A727)," ",'Q:\Abteilungsprojekte\Eng\EngData\PROJECT_Bioplastics\Renjie_Pan\05-Raw_Data\Lab_results\[LabSamples2025_Bioplastic_extra.xlsx]extra_Bioplastic'!A727)</f>
        <v/>
      </c>
      <c r="B727">
        <f>IF(ISBLANK('Q:\Abteilungsprojekte\Eng\EngData\PROJECT_Bioplastics\Renjie_Pan\05-Raw_Data\Lab_results\[LabSamples2025_Bioplastic_extra.xlsx]extra_Bioplastic'!B727)," ",'Q:\Abteilungsprojekte\Eng\EngData\PROJECT_Bioplastics\Renjie_Pan\05-Raw_Data\Lab_results\[LabSamples2025_Bioplastic_extra.xlsx]extra_Bioplastic'!B727)</f>
        <v/>
      </c>
      <c r="C727">
        <f>IF(ISBLANK('Q:\Abteilungsprojekte\Eng\EngData\PROJECT_Bioplastics\Renjie_Pan\05-Raw_Data\Lab_results\[LabSamples2025_Bioplastic_extra.xlsx]extra_Bioplastic'!C727)," ",'Q:\Abteilungsprojekte\Eng\EngData\PROJECT_Bioplastics\Renjie_Pan\05-Raw_Data\Lab_results\[LabSamples2025_Bioplastic_extra.xlsx]extra_Bioplastic'!C727)</f>
        <v/>
      </c>
      <c r="D727">
        <f>IF(ISBLANK('Q:\Abteilungsprojekte\Eng\EngData\PROJECT_Bioplastics\Renjie_Pan\05-Raw_Data\Lab_results\[LabSamples2025_Bioplastic_extra.xlsx]extra_Bioplastic'!D727)," ",'Q:\Abteilungsprojekte\Eng\EngData\PROJECT_Bioplastics\Renjie_Pan\05-Raw_Data\Lab_results\[LabSamples2025_Bioplastic_extra.xlsx]extra_Bioplastic'!D727)</f>
        <v/>
      </c>
      <c r="E727">
        <f>IF(ISBLANK('Q:\Abteilungsprojekte\Eng\EngData\PROJECT_Bioplastics\Renjie_Pan\05-Raw_Data\Lab_results\[LabSamples2025_Bioplastic_extra.xlsx]extra_Bioplastic'!E727)," ",'Q:\Abteilungsprojekte\Eng\EngData\PROJECT_Bioplastics\Renjie_Pan\05-Raw_Data\Lab_results\[LabSamples2025_Bioplastic_extra.xlsx]extra_Bioplastic'!E727)</f>
        <v/>
      </c>
      <c r="F727">
        <f>IF(ISBLANK('Q:\Abteilungsprojekte\Eng\EngData\PROJECT_Bioplastics\Renjie_Pan\05-Raw_Data\Lab_results\[LabSamples2025_Bioplastic_extra.xlsx]extra_Bioplastic'!F727)," ",'Q:\Abteilungsprojekte\Eng\EngData\PROJECT_Bioplastics\Renjie_Pan\05-Raw_Data\Lab_results\[LabSamples2025_Bioplastic_extra.xlsx]extra_Bioplastic'!F727)</f>
        <v/>
      </c>
      <c r="G727">
        <f>IF(ISBLANK('Q:\Abteilungsprojekte\Eng\EngData\PROJECT_Bioplastics\Renjie_Pan\05-Raw_Data\Lab_results\[LabSamples2025_Bioplastic_extra.xlsx]extra_Bioplastic'!G727)," ",'Q:\Abteilungsprojekte\Eng\EngData\PROJECT_Bioplastics\Renjie_Pan\05-Raw_Data\Lab_results\[LabSamples2025_Bioplastic_extra.xlsx]extra_Bioplastic'!G727)</f>
        <v/>
      </c>
      <c r="H727">
        <f>IF(ISBLANK('Q:\Abteilungsprojekte\Eng\EngData\PROJECT_Bioplastics\Renjie_Pan\05-Raw_Data\Lab_results\[LabSamples2025_Bioplastic_extra.xlsx]extra_Bioplastic'!H727)," ",'Q:\Abteilungsprojekte\Eng\EngData\PROJECT_Bioplastics\Renjie_Pan\05-Raw_Data\Lab_results\[LabSamples2025_Bioplastic_extra.xlsx]extra_Bioplastic'!H727)</f>
        <v/>
      </c>
    </row>
    <row r="728">
      <c r="A728">
        <f>IF(ISBLANK('Q:\Abteilungsprojekte\Eng\EngData\PROJECT_Bioplastics\Renjie_Pan\05-Raw_Data\Lab_results\[LabSamples2025_Bioplastic_extra.xlsx]extra_Bioplastic'!A728)," ",'Q:\Abteilungsprojekte\Eng\EngData\PROJECT_Bioplastics\Renjie_Pan\05-Raw_Data\Lab_results\[LabSamples2025_Bioplastic_extra.xlsx]extra_Bioplastic'!A728)</f>
        <v/>
      </c>
      <c r="B728">
        <f>IF(ISBLANK('Q:\Abteilungsprojekte\Eng\EngData\PROJECT_Bioplastics\Renjie_Pan\05-Raw_Data\Lab_results\[LabSamples2025_Bioplastic_extra.xlsx]extra_Bioplastic'!B728)," ",'Q:\Abteilungsprojekte\Eng\EngData\PROJECT_Bioplastics\Renjie_Pan\05-Raw_Data\Lab_results\[LabSamples2025_Bioplastic_extra.xlsx]extra_Bioplastic'!B728)</f>
        <v/>
      </c>
      <c r="C728">
        <f>IF(ISBLANK('Q:\Abteilungsprojekte\Eng\EngData\PROJECT_Bioplastics\Renjie_Pan\05-Raw_Data\Lab_results\[LabSamples2025_Bioplastic_extra.xlsx]extra_Bioplastic'!C728)," ",'Q:\Abteilungsprojekte\Eng\EngData\PROJECT_Bioplastics\Renjie_Pan\05-Raw_Data\Lab_results\[LabSamples2025_Bioplastic_extra.xlsx]extra_Bioplastic'!C728)</f>
        <v/>
      </c>
      <c r="D728">
        <f>IF(ISBLANK('Q:\Abteilungsprojekte\Eng\EngData\PROJECT_Bioplastics\Renjie_Pan\05-Raw_Data\Lab_results\[LabSamples2025_Bioplastic_extra.xlsx]extra_Bioplastic'!D728)," ",'Q:\Abteilungsprojekte\Eng\EngData\PROJECT_Bioplastics\Renjie_Pan\05-Raw_Data\Lab_results\[LabSamples2025_Bioplastic_extra.xlsx]extra_Bioplastic'!D728)</f>
        <v/>
      </c>
      <c r="E728">
        <f>IF(ISBLANK('Q:\Abteilungsprojekte\Eng\EngData\PROJECT_Bioplastics\Renjie_Pan\05-Raw_Data\Lab_results\[LabSamples2025_Bioplastic_extra.xlsx]extra_Bioplastic'!E728)," ",'Q:\Abteilungsprojekte\Eng\EngData\PROJECT_Bioplastics\Renjie_Pan\05-Raw_Data\Lab_results\[LabSamples2025_Bioplastic_extra.xlsx]extra_Bioplastic'!E728)</f>
        <v/>
      </c>
      <c r="F728">
        <f>IF(ISBLANK('Q:\Abteilungsprojekte\Eng\EngData\PROJECT_Bioplastics\Renjie_Pan\05-Raw_Data\Lab_results\[LabSamples2025_Bioplastic_extra.xlsx]extra_Bioplastic'!F728)," ",'Q:\Abteilungsprojekte\Eng\EngData\PROJECT_Bioplastics\Renjie_Pan\05-Raw_Data\Lab_results\[LabSamples2025_Bioplastic_extra.xlsx]extra_Bioplastic'!F728)</f>
        <v/>
      </c>
      <c r="G728">
        <f>IF(ISBLANK('Q:\Abteilungsprojekte\Eng\EngData\PROJECT_Bioplastics\Renjie_Pan\05-Raw_Data\Lab_results\[LabSamples2025_Bioplastic_extra.xlsx]extra_Bioplastic'!G728)," ",'Q:\Abteilungsprojekte\Eng\EngData\PROJECT_Bioplastics\Renjie_Pan\05-Raw_Data\Lab_results\[LabSamples2025_Bioplastic_extra.xlsx]extra_Bioplastic'!G728)</f>
        <v/>
      </c>
      <c r="H728">
        <f>IF(ISBLANK('Q:\Abteilungsprojekte\Eng\EngData\PROJECT_Bioplastics\Renjie_Pan\05-Raw_Data\Lab_results\[LabSamples2025_Bioplastic_extra.xlsx]extra_Bioplastic'!H728)," ",'Q:\Abteilungsprojekte\Eng\EngData\PROJECT_Bioplastics\Renjie_Pan\05-Raw_Data\Lab_results\[LabSamples2025_Bioplastic_extra.xlsx]extra_Bioplastic'!H728)</f>
        <v/>
      </c>
    </row>
    <row r="729">
      <c r="A729">
        <f>IF(ISBLANK('Q:\Abteilungsprojekte\Eng\EngData\PROJECT_Bioplastics\Renjie_Pan\05-Raw_Data\Lab_results\[LabSamples2025_Bioplastic_extra.xlsx]extra_Bioplastic'!A729)," ",'Q:\Abteilungsprojekte\Eng\EngData\PROJECT_Bioplastics\Renjie_Pan\05-Raw_Data\Lab_results\[LabSamples2025_Bioplastic_extra.xlsx]extra_Bioplastic'!A729)</f>
        <v/>
      </c>
      <c r="B729">
        <f>IF(ISBLANK('Q:\Abteilungsprojekte\Eng\EngData\PROJECT_Bioplastics\Renjie_Pan\05-Raw_Data\Lab_results\[LabSamples2025_Bioplastic_extra.xlsx]extra_Bioplastic'!B729)," ",'Q:\Abteilungsprojekte\Eng\EngData\PROJECT_Bioplastics\Renjie_Pan\05-Raw_Data\Lab_results\[LabSamples2025_Bioplastic_extra.xlsx]extra_Bioplastic'!B729)</f>
        <v/>
      </c>
      <c r="C729">
        <f>IF(ISBLANK('Q:\Abteilungsprojekte\Eng\EngData\PROJECT_Bioplastics\Renjie_Pan\05-Raw_Data\Lab_results\[LabSamples2025_Bioplastic_extra.xlsx]extra_Bioplastic'!C729)," ",'Q:\Abteilungsprojekte\Eng\EngData\PROJECT_Bioplastics\Renjie_Pan\05-Raw_Data\Lab_results\[LabSamples2025_Bioplastic_extra.xlsx]extra_Bioplastic'!C729)</f>
        <v/>
      </c>
      <c r="D729">
        <f>IF(ISBLANK('Q:\Abteilungsprojekte\Eng\EngData\PROJECT_Bioplastics\Renjie_Pan\05-Raw_Data\Lab_results\[LabSamples2025_Bioplastic_extra.xlsx]extra_Bioplastic'!D729)," ",'Q:\Abteilungsprojekte\Eng\EngData\PROJECT_Bioplastics\Renjie_Pan\05-Raw_Data\Lab_results\[LabSamples2025_Bioplastic_extra.xlsx]extra_Bioplastic'!D729)</f>
        <v/>
      </c>
      <c r="E729">
        <f>IF(ISBLANK('Q:\Abteilungsprojekte\Eng\EngData\PROJECT_Bioplastics\Renjie_Pan\05-Raw_Data\Lab_results\[LabSamples2025_Bioplastic_extra.xlsx]extra_Bioplastic'!E729)," ",'Q:\Abteilungsprojekte\Eng\EngData\PROJECT_Bioplastics\Renjie_Pan\05-Raw_Data\Lab_results\[LabSamples2025_Bioplastic_extra.xlsx]extra_Bioplastic'!E729)</f>
        <v/>
      </c>
      <c r="F729">
        <f>IF(ISBLANK('Q:\Abteilungsprojekte\Eng\EngData\PROJECT_Bioplastics\Renjie_Pan\05-Raw_Data\Lab_results\[LabSamples2025_Bioplastic_extra.xlsx]extra_Bioplastic'!F729)," ",'Q:\Abteilungsprojekte\Eng\EngData\PROJECT_Bioplastics\Renjie_Pan\05-Raw_Data\Lab_results\[LabSamples2025_Bioplastic_extra.xlsx]extra_Bioplastic'!F729)</f>
        <v/>
      </c>
      <c r="G729">
        <f>IF(ISBLANK('Q:\Abteilungsprojekte\Eng\EngData\PROJECT_Bioplastics\Renjie_Pan\05-Raw_Data\Lab_results\[LabSamples2025_Bioplastic_extra.xlsx]extra_Bioplastic'!G729)," ",'Q:\Abteilungsprojekte\Eng\EngData\PROJECT_Bioplastics\Renjie_Pan\05-Raw_Data\Lab_results\[LabSamples2025_Bioplastic_extra.xlsx]extra_Bioplastic'!G729)</f>
        <v/>
      </c>
      <c r="H729">
        <f>IF(ISBLANK('Q:\Abteilungsprojekte\Eng\EngData\PROJECT_Bioplastics\Renjie_Pan\05-Raw_Data\Lab_results\[LabSamples2025_Bioplastic_extra.xlsx]extra_Bioplastic'!H729)," ",'Q:\Abteilungsprojekte\Eng\EngData\PROJECT_Bioplastics\Renjie_Pan\05-Raw_Data\Lab_results\[LabSamples2025_Bioplastic_extra.xlsx]extra_Bioplastic'!H729)</f>
        <v/>
      </c>
    </row>
    <row r="730">
      <c r="A730">
        <f>IF(ISBLANK('Q:\Abteilungsprojekte\Eng\EngData\PROJECT_Bioplastics\Renjie_Pan\05-Raw_Data\Lab_results\[LabSamples2025_Bioplastic_extra.xlsx]extra_Bioplastic'!A730)," ",'Q:\Abteilungsprojekte\Eng\EngData\PROJECT_Bioplastics\Renjie_Pan\05-Raw_Data\Lab_results\[LabSamples2025_Bioplastic_extra.xlsx]extra_Bioplastic'!A730)</f>
        <v/>
      </c>
      <c r="B730">
        <f>IF(ISBLANK('Q:\Abteilungsprojekte\Eng\EngData\PROJECT_Bioplastics\Renjie_Pan\05-Raw_Data\Lab_results\[LabSamples2025_Bioplastic_extra.xlsx]extra_Bioplastic'!B730)," ",'Q:\Abteilungsprojekte\Eng\EngData\PROJECT_Bioplastics\Renjie_Pan\05-Raw_Data\Lab_results\[LabSamples2025_Bioplastic_extra.xlsx]extra_Bioplastic'!B730)</f>
        <v/>
      </c>
      <c r="C730">
        <f>IF(ISBLANK('Q:\Abteilungsprojekte\Eng\EngData\PROJECT_Bioplastics\Renjie_Pan\05-Raw_Data\Lab_results\[LabSamples2025_Bioplastic_extra.xlsx]extra_Bioplastic'!C730)," ",'Q:\Abteilungsprojekte\Eng\EngData\PROJECT_Bioplastics\Renjie_Pan\05-Raw_Data\Lab_results\[LabSamples2025_Bioplastic_extra.xlsx]extra_Bioplastic'!C730)</f>
        <v/>
      </c>
      <c r="D730">
        <f>IF(ISBLANK('Q:\Abteilungsprojekte\Eng\EngData\PROJECT_Bioplastics\Renjie_Pan\05-Raw_Data\Lab_results\[LabSamples2025_Bioplastic_extra.xlsx]extra_Bioplastic'!D730)," ",'Q:\Abteilungsprojekte\Eng\EngData\PROJECT_Bioplastics\Renjie_Pan\05-Raw_Data\Lab_results\[LabSamples2025_Bioplastic_extra.xlsx]extra_Bioplastic'!D730)</f>
        <v/>
      </c>
      <c r="E730">
        <f>IF(ISBLANK('Q:\Abteilungsprojekte\Eng\EngData\PROJECT_Bioplastics\Renjie_Pan\05-Raw_Data\Lab_results\[LabSamples2025_Bioplastic_extra.xlsx]extra_Bioplastic'!E730)," ",'Q:\Abteilungsprojekte\Eng\EngData\PROJECT_Bioplastics\Renjie_Pan\05-Raw_Data\Lab_results\[LabSamples2025_Bioplastic_extra.xlsx]extra_Bioplastic'!E730)</f>
        <v/>
      </c>
      <c r="F730">
        <f>IF(ISBLANK('Q:\Abteilungsprojekte\Eng\EngData\PROJECT_Bioplastics\Renjie_Pan\05-Raw_Data\Lab_results\[LabSamples2025_Bioplastic_extra.xlsx]extra_Bioplastic'!F730)," ",'Q:\Abteilungsprojekte\Eng\EngData\PROJECT_Bioplastics\Renjie_Pan\05-Raw_Data\Lab_results\[LabSamples2025_Bioplastic_extra.xlsx]extra_Bioplastic'!F730)</f>
        <v/>
      </c>
      <c r="G730">
        <f>IF(ISBLANK('Q:\Abteilungsprojekte\Eng\EngData\PROJECT_Bioplastics\Renjie_Pan\05-Raw_Data\Lab_results\[LabSamples2025_Bioplastic_extra.xlsx]extra_Bioplastic'!G730)," ",'Q:\Abteilungsprojekte\Eng\EngData\PROJECT_Bioplastics\Renjie_Pan\05-Raw_Data\Lab_results\[LabSamples2025_Bioplastic_extra.xlsx]extra_Bioplastic'!G730)</f>
        <v/>
      </c>
      <c r="H730">
        <f>IF(ISBLANK('Q:\Abteilungsprojekte\Eng\EngData\PROJECT_Bioplastics\Renjie_Pan\05-Raw_Data\Lab_results\[LabSamples2025_Bioplastic_extra.xlsx]extra_Bioplastic'!H730)," ",'Q:\Abteilungsprojekte\Eng\EngData\PROJECT_Bioplastics\Renjie_Pan\05-Raw_Data\Lab_results\[LabSamples2025_Bioplastic_extra.xlsx]extra_Bioplastic'!H730)</f>
        <v/>
      </c>
    </row>
    <row r="731">
      <c r="A731">
        <f>IF(ISBLANK('Q:\Abteilungsprojekte\Eng\EngData\PROJECT_Bioplastics\Renjie_Pan\05-Raw_Data\Lab_results\[LabSamples2025_Bioplastic_extra.xlsx]extra_Bioplastic'!A731)," ",'Q:\Abteilungsprojekte\Eng\EngData\PROJECT_Bioplastics\Renjie_Pan\05-Raw_Data\Lab_results\[LabSamples2025_Bioplastic_extra.xlsx]extra_Bioplastic'!A731)</f>
        <v/>
      </c>
      <c r="B731">
        <f>IF(ISBLANK('Q:\Abteilungsprojekte\Eng\EngData\PROJECT_Bioplastics\Renjie_Pan\05-Raw_Data\Lab_results\[LabSamples2025_Bioplastic_extra.xlsx]extra_Bioplastic'!B731)," ",'Q:\Abteilungsprojekte\Eng\EngData\PROJECT_Bioplastics\Renjie_Pan\05-Raw_Data\Lab_results\[LabSamples2025_Bioplastic_extra.xlsx]extra_Bioplastic'!B731)</f>
        <v/>
      </c>
      <c r="C731">
        <f>IF(ISBLANK('Q:\Abteilungsprojekte\Eng\EngData\PROJECT_Bioplastics\Renjie_Pan\05-Raw_Data\Lab_results\[LabSamples2025_Bioplastic_extra.xlsx]extra_Bioplastic'!C731)," ",'Q:\Abteilungsprojekte\Eng\EngData\PROJECT_Bioplastics\Renjie_Pan\05-Raw_Data\Lab_results\[LabSamples2025_Bioplastic_extra.xlsx]extra_Bioplastic'!C731)</f>
        <v/>
      </c>
      <c r="D731">
        <f>IF(ISBLANK('Q:\Abteilungsprojekte\Eng\EngData\PROJECT_Bioplastics\Renjie_Pan\05-Raw_Data\Lab_results\[LabSamples2025_Bioplastic_extra.xlsx]extra_Bioplastic'!D731)," ",'Q:\Abteilungsprojekte\Eng\EngData\PROJECT_Bioplastics\Renjie_Pan\05-Raw_Data\Lab_results\[LabSamples2025_Bioplastic_extra.xlsx]extra_Bioplastic'!D731)</f>
        <v/>
      </c>
      <c r="E731">
        <f>IF(ISBLANK('Q:\Abteilungsprojekte\Eng\EngData\PROJECT_Bioplastics\Renjie_Pan\05-Raw_Data\Lab_results\[LabSamples2025_Bioplastic_extra.xlsx]extra_Bioplastic'!E731)," ",'Q:\Abteilungsprojekte\Eng\EngData\PROJECT_Bioplastics\Renjie_Pan\05-Raw_Data\Lab_results\[LabSamples2025_Bioplastic_extra.xlsx]extra_Bioplastic'!E731)</f>
        <v/>
      </c>
      <c r="F731">
        <f>IF(ISBLANK('Q:\Abteilungsprojekte\Eng\EngData\PROJECT_Bioplastics\Renjie_Pan\05-Raw_Data\Lab_results\[LabSamples2025_Bioplastic_extra.xlsx]extra_Bioplastic'!F731)," ",'Q:\Abteilungsprojekte\Eng\EngData\PROJECT_Bioplastics\Renjie_Pan\05-Raw_Data\Lab_results\[LabSamples2025_Bioplastic_extra.xlsx]extra_Bioplastic'!F731)</f>
        <v/>
      </c>
      <c r="G731">
        <f>IF(ISBLANK('Q:\Abteilungsprojekte\Eng\EngData\PROJECT_Bioplastics\Renjie_Pan\05-Raw_Data\Lab_results\[LabSamples2025_Bioplastic_extra.xlsx]extra_Bioplastic'!G731)," ",'Q:\Abteilungsprojekte\Eng\EngData\PROJECT_Bioplastics\Renjie_Pan\05-Raw_Data\Lab_results\[LabSamples2025_Bioplastic_extra.xlsx]extra_Bioplastic'!G731)</f>
        <v/>
      </c>
      <c r="H731">
        <f>IF(ISBLANK('Q:\Abteilungsprojekte\Eng\EngData\PROJECT_Bioplastics\Renjie_Pan\05-Raw_Data\Lab_results\[LabSamples2025_Bioplastic_extra.xlsx]extra_Bioplastic'!H731)," ",'Q:\Abteilungsprojekte\Eng\EngData\PROJECT_Bioplastics\Renjie_Pan\05-Raw_Data\Lab_results\[LabSamples2025_Bioplastic_extra.xlsx]extra_Bioplastic'!H731)</f>
        <v/>
      </c>
    </row>
    <row r="732">
      <c r="A732">
        <f>IF(ISBLANK('Q:\Abteilungsprojekte\Eng\EngData\PROJECT_Bioplastics\Renjie_Pan\05-Raw_Data\Lab_results\[LabSamples2025_Bioplastic_extra.xlsx]extra_Bioplastic'!A732)," ",'Q:\Abteilungsprojekte\Eng\EngData\PROJECT_Bioplastics\Renjie_Pan\05-Raw_Data\Lab_results\[LabSamples2025_Bioplastic_extra.xlsx]extra_Bioplastic'!A732)</f>
        <v/>
      </c>
      <c r="B732">
        <f>IF(ISBLANK('Q:\Abteilungsprojekte\Eng\EngData\PROJECT_Bioplastics\Renjie_Pan\05-Raw_Data\Lab_results\[LabSamples2025_Bioplastic_extra.xlsx]extra_Bioplastic'!B732)," ",'Q:\Abteilungsprojekte\Eng\EngData\PROJECT_Bioplastics\Renjie_Pan\05-Raw_Data\Lab_results\[LabSamples2025_Bioplastic_extra.xlsx]extra_Bioplastic'!B732)</f>
        <v/>
      </c>
      <c r="C732">
        <f>IF(ISBLANK('Q:\Abteilungsprojekte\Eng\EngData\PROJECT_Bioplastics\Renjie_Pan\05-Raw_Data\Lab_results\[LabSamples2025_Bioplastic_extra.xlsx]extra_Bioplastic'!C732)," ",'Q:\Abteilungsprojekte\Eng\EngData\PROJECT_Bioplastics\Renjie_Pan\05-Raw_Data\Lab_results\[LabSamples2025_Bioplastic_extra.xlsx]extra_Bioplastic'!C732)</f>
        <v/>
      </c>
      <c r="D732">
        <f>IF(ISBLANK('Q:\Abteilungsprojekte\Eng\EngData\PROJECT_Bioplastics\Renjie_Pan\05-Raw_Data\Lab_results\[LabSamples2025_Bioplastic_extra.xlsx]extra_Bioplastic'!D732)," ",'Q:\Abteilungsprojekte\Eng\EngData\PROJECT_Bioplastics\Renjie_Pan\05-Raw_Data\Lab_results\[LabSamples2025_Bioplastic_extra.xlsx]extra_Bioplastic'!D732)</f>
        <v/>
      </c>
      <c r="E732">
        <f>IF(ISBLANK('Q:\Abteilungsprojekte\Eng\EngData\PROJECT_Bioplastics\Renjie_Pan\05-Raw_Data\Lab_results\[LabSamples2025_Bioplastic_extra.xlsx]extra_Bioplastic'!E732)," ",'Q:\Abteilungsprojekte\Eng\EngData\PROJECT_Bioplastics\Renjie_Pan\05-Raw_Data\Lab_results\[LabSamples2025_Bioplastic_extra.xlsx]extra_Bioplastic'!E732)</f>
        <v/>
      </c>
      <c r="F732">
        <f>IF(ISBLANK('Q:\Abteilungsprojekte\Eng\EngData\PROJECT_Bioplastics\Renjie_Pan\05-Raw_Data\Lab_results\[LabSamples2025_Bioplastic_extra.xlsx]extra_Bioplastic'!F732)," ",'Q:\Abteilungsprojekte\Eng\EngData\PROJECT_Bioplastics\Renjie_Pan\05-Raw_Data\Lab_results\[LabSamples2025_Bioplastic_extra.xlsx]extra_Bioplastic'!F732)</f>
        <v/>
      </c>
      <c r="G732">
        <f>IF(ISBLANK('Q:\Abteilungsprojekte\Eng\EngData\PROJECT_Bioplastics\Renjie_Pan\05-Raw_Data\Lab_results\[LabSamples2025_Bioplastic_extra.xlsx]extra_Bioplastic'!G732)," ",'Q:\Abteilungsprojekte\Eng\EngData\PROJECT_Bioplastics\Renjie_Pan\05-Raw_Data\Lab_results\[LabSamples2025_Bioplastic_extra.xlsx]extra_Bioplastic'!G732)</f>
        <v/>
      </c>
      <c r="H732">
        <f>IF(ISBLANK('Q:\Abteilungsprojekte\Eng\EngData\PROJECT_Bioplastics\Renjie_Pan\05-Raw_Data\Lab_results\[LabSamples2025_Bioplastic_extra.xlsx]extra_Bioplastic'!H732)," ",'Q:\Abteilungsprojekte\Eng\EngData\PROJECT_Bioplastics\Renjie_Pan\05-Raw_Data\Lab_results\[LabSamples2025_Bioplastic_extra.xlsx]extra_Bioplastic'!H732)</f>
        <v/>
      </c>
    </row>
    <row r="733">
      <c r="A733">
        <f>IF(ISBLANK('Q:\Abteilungsprojekte\Eng\EngData\PROJECT_Bioplastics\Renjie_Pan\05-Raw_Data\Lab_results\[LabSamples2025_Bioplastic_extra.xlsx]extra_Bioplastic'!A733)," ",'Q:\Abteilungsprojekte\Eng\EngData\PROJECT_Bioplastics\Renjie_Pan\05-Raw_Data\Lab_results\[LabSamples2025_Bioplastic_extra.xlsx]extra_Bioplastic'!A733)</f>
        <v/>
      </c>
      <c r="B733">
        <f>IF(ISBLANK('Q:\Abteilungsprojekte\Eng\EngData\PROJECT_Bioplastics\Renjie_Pan\05-Raw_Data\Lab_results\[LabSamples2025_Bioplastic_extra.xlsx]extra_Bioplastic'!B733)," ",'Q:\Abteilungsprojekte\Eng\EngData\PROJECT_Bioplastics\Renjie_Pan\05-Raw_Data\Lab_results\[LabSamples2025_Bioplastic_extra.xlsx]extra_Bioplastic'!B733)</f>
        <v/>
      </c>
      <c r="C733">
        <f>IF(ISBLANK('Q:\Abteilungsprojekte\Eng\EngData\PROJECT_Bioplastics\Renjie_Pan\05-Raw_Data\Lab_results\[LabSamples2025_Bioplastic_extra.xlsx]extra_Bioplastic'!C733)," ",'Q:\Abteilungsprojekte\Eng\EngData\PROJECT_Bioplastics\Renjie_Pan\05-Raw_Data\Lab_results\[LabSamples2025_Bioplastic_extra.xlsx]extra_Bioplastic'!C733)</f>
        <v/>
      </c>
      <c r="D733">
        <f>IF(ISBLANK('Q:\Abteilungsprojekte\Eng\EngData\PROJECT_Bioplastics\Renjie_Pan\05-Raw_Data\Lab_results\[LabSamples2025_Bioplastic_extra.xlsx]extra_Bioplastic'!D733)," ",'Q:\Abteilungsprojekte\Eng\EngData\PROJECT_Bioplastics\Renjie_Pan\05-Raw_Data\Lab_results\[LabSamples2025_Bioplastic_extra.xlsx]extra_Bioplastic'!D733)</f>
        <v/>
      </c>
      <c r="E733">
        <f>IF(ISBLANK('Q:\Abteilungsprojekte\Eng\EngData\PROJECT_Bioplastics\Renjie_Pan\05-Raw_Data\Lab_results\[LabSamples2025_Bioplastic_extra.xlsx]extra_Bioplastic'!E733)," ",'Q:\Abteilungsprojekte\Eng\EngData\PROJECT_Bioplastics\Renjie_Pan\05-Raw_Data\Lab_results\[LabSamples2025_Bioplastic_extra.xlsx]extra_Bioplastic'!E733)</f>
        <v/>
      </c>
      <c r="F733">
        <f>IF(ISBLANK('Q:\Abteilungsprojekte\Eng\EngData\PROJECT_Bioplastics\Renjie_Pan\05-Raw_Data\Lab_results\[LabSamples2025_Bioplastic_extra.xlsx]extra_Bioplastic'!F733)," ",'Q:\Abteilungsprojekte\Eng\EngData\PROJECT_Bioplastics\Renjie_Pan\05-Raw_Data\Lab_results\[LabSamples2025_Bioplastic_extra.xlsx]extra_Bioplastic'!F733)</f>
        <v/>
      </c>
      <c r="G733">
        <f>IF(ISBLANK('Q:\Abteilungsprojekte\Eng\EngData\PROJECT_Bioplastics\Renjie_Pan\05-Raw_Data\Lab_results\[LabSamples2025_Bioplastic_extra.xlsx]extra_Bioplastic'!G733)," ",'Q:\Abteilungsprojekte\Eng\EngData\PROJECT_Bioplastics\Renjie_Pan\05-Raw_Data\Lab_results\[LabSamples2025_Bioplastic_extra.xlsx]extra_Bioplastic'!G733)</f>
        <v/>
      </c>
      <c r="H733">
        <f>IF(ISBLANK('Q:\Abteilungsprojekte\Eng\EngData\PROJECT_Bioplastics\Renjie_Pan\05-Raw_Data\Lab_results\[LabSamples2025_Bioplastic_extra.xlsx]extra_Bioplastic'!H733)," ",'Q:\Abteilungsprojekte\Eng\EngData\PROJECT_Bioplastics\Renjie_Pan\05-Raw_Data\Lab_results\[LabSamples2025_Bioplastic_extra.xlsx]extra_Bioplastic'!H733)</f>
        <v/>
      </c>
    </row>
    <row r="734">
      <c r="A734">
        <f>IF(ISBLANK('Q:\Abteilungsprojekte\Eng\EngData\PROJECT_Bioplastics\Renjie_Pan\05-Raw_Data\Lab_results\[LabSamples2025_Bioplastic_extra.xlsx]extra_Bioplastic'!A734)," ",'Q:\Abteilungsprojekte\Eng\EngData\PROJECT_Bioplastics\Renjie_Pan\05-Raw_Data\Lab_results\[LabSamples2025_Bioplastic_extra.xlsx]extra_Bioplastic'!A734)</f>
        <v/>
      </c>
      <c r="B734">
        <f>IF(ISBLANK('Q:\Abteilungsprojekte\Eng\EngData\PROJECT_Bioplastics\Renjie_Pan\05-Raw_Data\Lab_results\[LabSamples2025_Bioplastic_extra.xlsx]extra_Bioplastic'!B734)," ",'Q:\Abteilungsprojekte\Eng\EngData\PROJECT_Bioplastics\Renjie_Pan\05-Raw_Data\Lab_results\[LabSamples2025_Bioplastic_extra.xlsx]extra_Bioplastic'!B734)</f>
        <v/>
      </c>
      <c r="C734">
        <f>IF(ISBLANK('Q:\Abteilungsprojekte\Eng\EngData\PROJECT_Bioplastics\Renjie_Pan\05-Raw_Data\Lab_results\[LabSamples2025_Bioplastic_extra.xlsx]extra_Bioplastic'!C734)," ",'Q:\Abteilungsprojekte\Eng\EngData\PROJECT_Bioplastics\Renjie_Pan\05-Raw_Data\Lab_results\[LabSamples2025_Bioplastic_extra.xlsx]extra_Bioplastic'!C734)</f>
        <v/>
      </c>
      <c r="D734">
        <f>IF(ISBLANK('Q:\Abteilungsprojekte\Eng\EngData\PROJECT_Bioplastics\Renjie_Pan\05-Raw_Data\Lab_results\[LabSamples2025_Bioplastic_extra.xlsx]extra_Bioplastic'!D734)," ",'Q:\Abteilungsprojekte\Eng\EngData\PROJECT_Bioplastics\Renjie_Pan\05-Raw_Data\Lab_results\[LabSamples2025_Bioplastic_extra.xlsx]extra_Bioplastic'!D734)</f>
        <v/>
      </c>
      <c r="E734">
        <f>IF(ISBLANK('Q:\Abteilungsprojekte\Eng\EngData\PROJECT_Bioplastics\Renjie_Pan\05-Raw_Data\Lab_results\[LabSamples2025_Bioplastic_extra.xlsx]extra_Bioplastic'!E734)," ",'Q:\Abteilungsprojekte\Eng\EngData\PROJECT_Bioplastics\Renjie_Pan\05-Raw_Data\Lab_results\[LabSamples2025_Bioplastic_extra.xlsx]extra_Bioplastic'!E734)</f>
        <v/>
      </c>
      <c r="F734">
        <f>IF(ISBLANK('Q:\Abteilungsprojekte\Eng\EngData\PROJECT_Bioplastics\Renjie_Pan\05-Raw_Data\Lab_results\[LabSamples2025_Bioplastic_extra.xlsx]extra_Bioplastic'!F734)," ",'Q:\Abteilungsprojekte\Eng\EngData\PROJECT_Bioplastics\Renjie_Pan\05-Raw_Data\Lab_results\[LabSamples2025_Bioplastic_extra.xlsx]extra_Bioplastic'!F734)</f>
        <v/>
      </c>
      <c r="G734">
        <f>IF(ISBLANK('Q:\Abteilungsprojekte\Eng\EngData\PROJECT_Bioplastics\Renjie_Pan\05-Raw_Data\Lab_results\[LabSamples2025_Bioplastic_extra.xlsx]extra_Bioplastic'!G734)," ",'Q:\Abteilungsprojekte\Eng\EngData\PROJECT_Bioplastics\Renjie_Pan\05-Raw_Data\Lab_results\[LabSamples2025_Bioplastic_extra.xlsx]extra_Bioplastic'!G734)</f>
        <v/>
      </c>
      <c r="H734">
        <f>IF(ISBLANK('Q:\Abteilungsprojekte\Eng\EngData\PROJECT_Bioplastics\Renjie_Pan\05-Raw_Data\Lab_results\[LabSamples2025_Bioplastic_extra.xlsx]extra_Bioplastic'!H734)," ",'Q:\Abteilungsprojekte\Eng\EngData\PROJECT_Bioplastics\Renjie_Pan\05-Raw_Data\Lab_results\[LabSamples2025_Bioplastic_extra.xlsx]extra_Bioplastic'!H734)</f>
        <v/>
      </c>
    </row>
    <row r="735">
      <c r="A735">
        <f>IF(ISBLANK('Q:\Abteilungsprojekte\Eng\EngData\PROJECT_Bioplastics\Renjie_Pan\05-Raw_Data\Lab_results\[LabSamples2025_Bioplastic_extra.xlsx]extra_Bioplastic'!A735)," ",'Q:\Abteilungsprojekte\Eng\EngData\PROJECT_Bioplastics\Renjie_Pan\05-Raw_Data\Lab_results\[LabSamples2025_Bioplastic_extra.xlsx]extra_Bioplastic'!A735)</f>
        <v/>
      </c>
      <c r="B735">
        <f>IF(ISBLANK('Q:\Abteilungsprojekte\Eng\EngData\PROJECT_Bioplastics\Renjie_Pan\05-Raw_Data\Lab_results\[LabSamples2025_Bioplastic_extra.xlsx]extra_Bioplastic'!B735)," ",'Q:\Abteilungsprojekte\Eng\EngData\PROJECT_Bioplastics\Renjie_Pan\05-Raw_Data\Lab_results\[LabSamples2025_Bioplastic_extra.xlsx]extra_Bioplastic'!B735)</f>
        <v/>
      </c>
      <c r="C735">
        <f>IF(ISBLANK('Q:\Abteilungsprojekte\Eng\EngData\PROJECT_Bioplastics\Renjie_Pan\05-Raw_Data\Lab_results\[LabSamples2025_Bioplastic_extra.xlsx]extra_Bioplastic'!C735)," ",'Q:\Abteilungsprojekte\Eng\EngData\PROJECT_Bioplastics\Renjie_Pan\05-Raw_Data\Lab_results\[LabSamples2025_Bioplastic_extra.xlsx]extra_Bioplastic'!C735)</f>
        <v/>
      </c>
      <c r="D735">
        <f>IF(ISBLANK('Q:\Abteilungsprojekte\Eng\EngData\PROJECT_Bioplastics\Renjie_Pan\05-Raw_Data\Lab_results\[LabSamples2025_Bioplastic_extra.xlsx]extra_Bioplastic'!D735)," ",'Q:\Abteilungsprojekte\Eng\EngData\PROJECT_Bioplastics\Renjie_Pan\05-Raw_Data\Lab_results\[LabSamples2025_Bioplastic_extra.xlsx]extra_Bioplastic'!D735)</f>
        <v/>
      </c>
      <c r="E735">
        <f>IF(ISBLANK('Q:\Abteilungsprojekte\Eng\EngData\PROJECT_Bioplastics\Renjie_Pan\05-Raw_Data\Lab_results\[LabSamples2025_Bioplastic_extra.xlsx]extra_Bioplastic'!E735)," ",'Q:\Abteilungsprojekte\Eng\EngData\PROJECT_Bioplastics\Renjie_Pan\05-Raw_Data\Lab_results\[LabSamples2025_Bioplastic_extra.xlsx]extra_Bioplastic'!E735)</f>
        <v/>
      </c>
      <c r="F735">
        <f>IF(ISBLANK('Q:\Abteilungsprojekte\Eng\EngData\PROJECT_Bioplastics\Renjie_Pan\05-Raw_Data\Lab_results\[LabSamples2025_Bioplastic_extra.xlsx]extra_Bioplastic'!F735)," ",'Q:\Abteilungsprojekte\Eng\EngData\PROJECT_Bioplastics\Renjie_Pan\05-Raw_Data\Lab_results\[LabSamples2025_Bioplastic_extra.xlsx]extra_Bioplastic'!F735)</f>
        <v/>
      </c>
      <c r="G735">
        <f>IF(ISBLANK('Q:\Abteilungsprojekte\Eng\EngData\PROJECT_Bioplastics\Renjie_Pan\05-Raw_Data\Lab_results\[LabSamples2025_Bioplastic_extra.xlsx]extra_Bioplastic'!G735)," ",'Q:\Abteilungsprojekte\Eng\EngData\PROJECT_Bioplastics\Renjie_Pan\05-Raw_Data\Lab_results\[LabSamples2025_Bioplastic_extra.xlsx]extra_Bioplastic'!G735)</f>
        <v/>
      </c>
      <c r="H735">
        <f>IF(ISBLANK('Q:\Abteilungsprojekte\Eng\EngData\PROJECT_Bioplastics\Renjie_Pan\05-Raw_Data\Lab_results\[LabSamples2025_Bioplastic_extra.xlsx]extra_Bioplastic'!H735)," ",'Q:\Abteilungsprojekte\Eng\EngData\PROJECT_Bioplastics\Renjie_Pan\05-Raw_Data\Lab_results\[LabSamples2025_Bioplastic_extra.xlsx]extra_Bioplastic'!H735)</f>
        <v/>
      </c>
    </row>
    <row r="736">
      <c r="A736">
        <f>IF(ISBLANK('Q:\Abteilungsprojekte\Eng\EngData\PROJECT_Bioplastics\Renjie_Pan\05-Raw_Data\Lab_results\[LabSamples2025_Bioplastic_extra.xlsx]extra_Bioplastic'!A736)," ",'Q:\Abteilungsprojekte\Eng\EngData\PROJECT_Bioplastics\Renjie_Pan\05-Raw_Data\Lab_results\[LabSamples2025_Bioplastic_extra.xlsx]extra_Bioplastic'!A736)</f>
        <v/>
      </c>
      <c r="B736">
        <f>IF(ISBLANK('Q:\Abteilungsprojekte\Eng\EngData\PROJECT_Bioplastics\Renjie_Pan\05-Raw_Data\Lab_results\[LabSamples2025_Bioplastic_extra.xlsx]extra_Bioplastic'!B736)," ",'Q:\Abteilungsprojekte\Eng\EngData\PROJECT_Bioplastics\Renjie_Pan\05-Raw_Data\Lab_results\[LabSamples2025_Bioplastic_extra.xlsx]extra_Bioplastic'!B736)</f>
        <v/>
      </c>
      <c r="C736">
        <f>IF(ISBLANK('Q:\Abteilungsprojekte\Eng\EngData\PROJECT_Bioplastics\Renjie_Pan\05-Raw_Data\Lab_results\[LabSamples2025_Bioplastic_extra.xlsx]extra_Bioplastic'!C736)," ",'Q:\Abteilungsprojekte\Eng\EngData\PROJECT_Bioplastics\Renjie_Pan\05-Raw_Data\Lab_results\[LabSamples2025_Bioplastic_extra.xlsx]extra_Bioplastic'!C736)</f>
        <v/>
      </c>
      <c r="D736">
        <f>IF(ISBLANK('Q:\Abteilungsprojekte\Eng\EngData\PROJECT_Bioplastics\Renjie_Pan\05-Raw_Data\Lab_results\[LabSamples2025_Bioplastic_extra.xlsx]extra_Bioplastic'!D736)," ",'Q:\Abteilungsprojekte\Eng\EngData\PROJECT_Bioplastics\Renjie_Pan\05-Raw_Data\Lab_results\[LabSamples2025_Bioplastic_extra.xlsx]extra_Bioplastic'!D736)</f>
        <v/>
      </c>
      <c r="E736">
        <f>IF(ISBLANK('Q:\Abteilungsprojekte\Eng\EngData\PROJECT_Bioplastics\Renjie_Pan\05-Raw_Data\Lab_results\[LabSamples2025_Bioplastic_extra.xlsx]extra_Bioplastic'!E736)," ",'Q:\Abteilungsprojekte\Eng\EngData\PROJECT_Bioplastics\Renjie_Pan\05-Raw_Data\Lab_results\[LabSamples2025_Bioplastic_extra.xlsx]extra_Bioplastic'!E736)</f>
        <v/>
      </c>
      <c r="F736">
        <f>IF(ISBLANK('Q:\Abteilungsprojekte\Eng\EngData\PROJECT_Bioplastics\Renjie_Pan\05-Raw_Data\Lab_results\[LabSamples2025_Bioplastic_extra.xlsx]extra_Bioplastic'!F736)," ",'Q:\Abteilungsprojekte\Eng\EngData\PROJECT_Bioplastics\Renjie_Pan\05-Raw_Data\Lab_results\[LabSamples2025_Bioplastic_extra.xlsx]extra_Bioplastic'!F736)</f>
        <v/>
      </c>
      <c r="G736">
        <f>IF(ISBLANK('Q:\Abteilungsprojekte\Eng\EngData\PROJECT_Bioplastics\Renjie_Pan\05-Raw_Data\Lab_results\[LabSamples2025_Bioplastic_extra.xlsx]extra_Bioplastic'!G736)," ",'Q:\Abteilungsprojekte\Eng\EngData\PROJECT_Bioplastics\Renjie_Pan\05-Raw_Data\Lab_results\[LabSamples2025_Bioplastic_extra.xlsx]extra_Bioplastic'!G736)</f>
        <v/>
      </c>
      <c r="H736">
        <f>IF(ISBLANK('Q:\Abteilungsprojekte\Eng\EngData\PROJECT_Bioplastics\Renjie_Pan\05-Raw_Data\Lab_results\[LabSamples2025_Bioplastic_extra.xlsx]extra_Bioplastic'!H736)," ",'Q:\Abteilungsprojekte\Eng\EngData\PROJECT_Bioplastics\Renjie_Pan\05-Raw_Data\Lab_results\[LabSamples2025_Bioplastic_extra.xlsx]extra_Bioplastic'!H736)</f>
        <v/>
      </c>
    </row>
    <row r="737">
      <c r="A737">
        <f>IF(ISBLANK('Q:\Abteilungsprojekte\Eng\EngData\PROJECT_Bioplastics\Renjie_Pan\05-Raw_Data\Lab_results\[LabSamples2025_Bioplastic_extra.xlsx]extra_Bioplastic'!A737)," ",'Q:\Abteilungsprojekte\Eng\EngData\PROJECT_Bioplastics\Renjie_Pan\05-Raw_Data\Lab_results\[LabSamples2025_Bioplastic_extra.xlsx]extra_Bioplastic'!A737)</f>
        <v/>
      </c>
      <c r="B737">
        <f>IF(ISBLANK('Q:\Abteilungsprojekte\Eng\EngData\PROJECT_Bioplastics\Renjie_Pan\05-Raw_Data\Lab_results\[LabSamples2025_Bioplastic_extra.xlsx]extra_Bioplastic'!B737)," ",'Q:\Abteilungsprojekte\Eng\EngData\PROJECT_Bioplastics\Renjie_Pan\05-Raw_Data\Lab_results\[LabSamples2025_Bioplastic_extra.xlsx]extra_Bioplastic'!B737)</f>
        <v/>
      </c>
      <c r="C737">
        <f>IF(ISBLANK('Q:\Abteilungsprojekte\Eng\EngData\PROJECT_Bioplastics\Renjie_Pan\05-Raw_Data\Lab_results\[LabSamples2025_Bioplastic_extra.xlsx]extra_Bioplastic'!C737)," ",'Q:\Abteilungsprojekte\Eng\EngData\PROJECT_Bioplastics\Renjie_Pan\05-Raw_Data\Lab_results\[LabSamples2025_Bioplastic_extra.xlsx]extra_Bioplastic'!C737)</f>
        <v/>
      </c>
      <c r="D737">
        <f>IF(ISBLANK('Q:\Abteilungsprojekte\Eng\EngData\PROJECT_Bioplastics\Renjie_Pan\05-Raw_Data\Lab_results\[LabSamples2025_Bioplastic_extra.xlsx]extra_Bioplastic'!D737)," ",'Q:\Abteilungsprojekte\Eng\EngData\PROJECT_Bioplastics\Renjie_Pan\05-Raw_Data\Lab_results\[LabSamples2025_Bioplastic_extra.xlsx]extra_Bioplastic'!D737)</f>
        <v/>
      </c>
      <c r="E737">
        <f>IF(ISBLANK('Q:\Abteilungsprojekte\Eng\EngData\PROJECT_Bioplastics\Renjie_Pan\05-Raw_Data\Lab_results\[LabSamples2025_Bioplastic_extra.xlsx]extra_Bioplastic'!E737)," ",'Q:\Abteilungsprojekte\Eng\EngData\PROJECT_Bioplastics\Renjie_Pan\05-Raw_Data\Lab_results\[LabSamples2025_Bioplastic_extra.xlsx]extra_Bioplastic'!E737)</f>
        <v/>
      </c>
      <c r="F737">
        <f>IF(ISBLANK('Q:\Abteilungsprojekte\Eng\EngData\PROJECT_Bioplastics\Renjie_Pan\05-Raw_Data\Lab_results\[LabSamples2025_Bioplastic_extra.xlsx]extra_Bioplastic'!F737)," ",'Q:\Abteilungsprojekte\Eng\EngData\PROJECT_Bioplastics\Renjie_Pan\05-Raw_Data\Lab_results\[LabSamples2025_Bioplastic_extra.xlsx]extra_Bioplastic'!F737)</f>
        <v/>
      </c>
      <c r="G737">
        <f>IF(ISBLANK('Q:\Abteilungsprojekte\Eng\EngData\PROJECT_Bioplastics\Renjie_Pan\05-Raw_Data\Lab_results\[LabSamples2025_Bioplastic_extra.xlsx]extra_Bioplastic'!G737)," ",'Q:\Abteilungsprojekte\Eng\EngData\PROJECT_Bioplastics\Renjie_Pan\05-Raw_Data\Lab_results\[LabSamples2025_Bioplastic_extra.xlsx]extra_Bioplastic'!G737)</f>
        <v/>
      </c>
      <c r="H737">
        <f>IF(ISBLANK('Q:\Abteilungsprojekte\Eng\EngData\PROJECT_Bioplastics\Renjie_Pan\05-Raw_Data\Lab_results\[LabSamples2025_Bioplastic_extra.xlsx]extra_Bioplastic'!H737)," ",'Q:\Abteilungsprojekte\Eng\EngData\PROJECT_Bioplastics\Renjie_Pan\05-Raw_Data\Lab_results\[LabSamples2025_Bioplastic_extra.xlsx]extra_Bioplastic'!H737)</f>
        <v/>
      </c>
    </row>
    <row r="738">
      <c r="A738">
        <f>IF(ISBLANK('Q:\Abteilungsprojekte\Eng\EngData\PROJECT_Bioplastics\Renjie_Pan\05-Raw_Data\Lab_results\[LabSamples2025_Bioplastic_extra.xlsx]extra_Bioplastic'!A738)," ",'Q:\Abteilungsprojekte\Eng\EngData\PROJECT_Bioplastics\Renjie_Pan\05-Raw_Data\Lab_results\[LabSamples2025_Bioplastic_extra.xlsx]extra_Bioplastic'!A738)</f>
        <v/>
      </c>
      <c r="B738">
        <f>IF(ISBLANK('Q:\Abteilungsprojekte\Eng\EngData\PROJECT_Bioplastics\Renjie_Pan\05-Raw_Data\Lab_results\[LabSamples2025_Bioplastic_extra.xlsx]extra_Bioplastic'!B738)," ",'Q:\Abteilungsprojekte\Eng\EngData\PROJECT_Bioplastics\Renjie_Pan\05-Raw_Data\Lab_results\[LabSamples2025_Bioplastic_extra.xlsx]extra_Bioplastic'!B738)</f>
        <v/>
      </c>
      <c r="C738">
        <f>IF(ISBLANK('Q:\Abteilungsprojekte\Eng\EngData\PROJECT_Bioplastics\Renjie_Pan\05-Raw_Data\Lab_results\[LabSamples2025_Bioplastic_extra.xlsx]extra_Bioplastic'!C738)," ",'Q:\Abteilungsprojekte\Eng\EngData\PROJECT_Bioplastics\Renjie_Pan\05-Raw_Data\Lab_results\[LabSamples2025_Bioplastic_extra.xlsx]extra_Bioplastic'!C738)</f>
        <v/>
      </c>
      <c r="D738">
        <f>IF(ISBLANK('Q:\Abteilungsprojekte\Eng\EngData\PROJECT_Bioplastics\Renjie_Pan\05-Raw_Data\Lab_results\[LabSamples2025_Bioplastic_extra.xlsx]extra_Bioplastic'!D738)," ",'Q:\Abteilungsprojekte\Eng\EngData\PROJECT_Bioplastics\Renjie_Pan\05-Raw_Data\Lab_results\[LabSamples2025_Bioplastic_extra.xlsx]extra_Bioplastic'!D738)</f>
        <v/>
      </c>
      <c r="E738">
        <f>IF(ISBLANK('Q:\Abteilungsprojekte\Eng\EngData\PROJECT_Bioplastics\Renjie_Pan\05-Raw_Data\Lab_results\[LabSamples2025_Bioplastic_extra.xlsx]extra_Bioplastic'!E738)," ",'Q:\Abteilungsprojekte\Eng\EngData\PROJECT_Bioplastics\Renjie_Pan\05-Raw_Data\Lab_results\[LabSamples2025_Bioplastic_extra.xlsx]extra_Bioplastic'!E738)</f>
        <v/>
      </c>
      <c r="F738">
        <f>IF(ISBLANK('Q:\Abteilungsprojekte\Eng\EngData\PROJECT_Bioplastics\Renjie_Pan\05-Raw_Data\Lab_results\[LabSamples2025_Bioplastic_extra.xlsx]extra_Bioplastic'!F738)," ",'Q:\Abteilungsprojekte\Eng\EngData\PROJECT_Bioplastics\Renjie_Pan\05-Raw_Data\Lab_results\[LabSamples2025_Bioplastic_extra.xlsx]extra_Bioplastic'!F738)</f>
        <v/>
      </c>
      <c r="G738">
        <f>IF(ISBLANK('Q:\Abteilungsprojekte\Eng\EngData\PROJECT_Bioplastics\Renjie_Pan\05-Raw_Data\Lab_results\[LabSamples2025_Bioplastic_extra.xlsx]extra_Bioplastic'!G738)," ",'Q:\Abteilungsprojekte\Eng\EngData\PROJECT_Bioplastics\Renjie_Pan\05-Raw_Data\Lab_results\[LabSamples2025_Bioplastic_extra.xlsx]extra_Bioplastic'!G738)</f>
        <v/>
      </c>
      <c r="H738">
        <f>IF(ISBLANK('Q:\Abteilungsprojekte\Eng\EngData\PROJECT_Bioplastics\Renjie_Pan\05-Raw_Data\Lab_results\[LabSamples2025_Bioplastic_extra.xlsx]extra_Bioplastic'!H738)," ",'Q:\Abteilungsprojekte\Eng\EngData\PROJECT_Bioplastics\Renjie_Pan\05-Raw_Data\Lab_results\[LabSamples2025_Bioplastic_extra.xlsx]extra_Bioplastic'!H738)</f>
        <v/>
      </c>
    </row>
    <row r="739">
      <c r="A739">
        <f>IF(ISBLANK('Q:\Abteilungsprojekte\Eng\EngData\PROJECT_Bioplastics\Renjie_Pan\05-Raw_Data\Lab_results\[LabSamples2025_Bioplastic_extra.xlsx]extra_Bioplastic'!A739)," ",'Q:\Abteilungsprojekte\Eng\EngData\PROJECT_Bioplastics\Renjie_Pan\05-Raw_Data\Lab_results\[LabSamples2025_Bioplastic_extra.xlsx]extra_Bioplastic'!A739)</f>
        <v/>
      </c>
      <c r="B739">
        <f>IF(ISBLANK('Q:\Abteilungsprojekte\Eng\EngData\PROJECT_Bioplastics\Renjie_Pan\05-Raw_Data\Lab_results\[LabSamples2025_Bioplastic_extra.xlsx]extra_Bioplastic'!B739)," ",'Q:\Abteilungsprojekte\Eng\EngData\PROJECT_Bioplastics\Renjie_Pan\05-Raw_Data\Lab_results\[LabSamples2025_Bioplastic_extra.xlsx]extra_Bioplastic'!B739)</f>
        <v/>
      </c>
      <c r="C739">
        <f>IF(ISBLANK('Q:\Abteilungsprojekte\Eng\EngData\PROJECT_Bioplastics\Renjie_Pan\05-Raw_Data\Lab_results\[LabSamples2025_Bioplastic_extra.xlsx]extra_Bioplastic'!C739)," ",'Q:\Abteilungsprojekte\Eng\EngData\PROJECT_Bioplastics\Renjie_Pan\05-Raw_Data\Lab_results\[LabSamples2025_Bioplastic_extra.xlsx]extra_Bioplastic'!C739)</f>
        <v/>
      </c>
      <c r="D739">
        <f>IF(ISBLANK('Q:\Abteilungsprojekte\Eng\EngData\PROJECT_Bioplastics\Renjie_Pan\05-Raw_Data\Lab_results\[LabSamples2025_Bioplastic_extra.xlsx]extra_Bioplastic'!D739)," ",'Q:\Abteilungsprojekte\Eng\EngData\PROJECT_Bioplastics\Renjie_Pan\05-Raw_Data\Lab_results\[LabSamples2025_Bioplastic_extra.xlsx]extra_Bioplastic'!D739)</f>
        <v/>
      </c>
      <c r="E739">
        <f>IF(ISBLANK('Q:\Abteilungsprojekte\Eng\EngData\PROJECT_Bioplastics\Renjie_Pan\05-Raw_Data\Lab_results\[LabSamples2025_Bioplastic_extra.xlsx]extra_Bioplastic'!E739)," ",'Q:\Abteilungsprojekte\Eng\EngData\PROJECT_Bioplastics\Renjie_Pan\05-Raw_Data\Lab_results\[LabSamples2025_Bioplastic_extra.xlsx]extra_Bioplastic'!E739)</f>
        <v/>
      </c>
      <c r="F739">
        <f>IF(ISBLANK('Q:\Abteilungsprojekte\Eng\EngData\PROJECT_Bioplastics\Renjie_Pan\05-Raw_Data\Lab_results\[LabSamples2025_Bioplastic_extra.xlsx]extra_Bioplastic'!F739)," ",'Q:\Abteilungsprojekte\Eng\EngData\PROJECT_Bioplastics\Renjie_Pan\05-Raw_Data\Lab_results\[LabSamples2025_Bioplastic_extra.xlsx]extra_Bioplastic'!F739)</f>
        <v/>
      </c>
      <c r="G739">
        <f>IF(ISBLANK('Q:\Abteilungsprojekte\Eng\EngData\PROJECT_Bioplastics\Renjie_Pan\05-Raw_Data\Lab_results\[LabSamples2025_Bioplastic_extra.xlsx]extra_Bioplastic'!G739)," ",'Q:\Abteilungsprojekte\Eng\EngData\PROJECT_Bioplastics\Renjie_Pan\05-Raw_Data\Lab_results\[LabSamples2025_Bioplastic_extra.xlsx]extra_Bioplastic'!G739)</f>
        <v/>
      </c>
      <c r="H739">
        <f>IF(ISBLANK('Q:\Abteilungsprojekte\Eng\EngData\PROJECT_Bioplastics\Renjie_Pan\05-Raw_Data\Lab_results\[LabSamples2025_Bioplastic_extra.xlsx]extra_Bioplastic'!H739)," ",'Q:\Abteilungsprojekte\Eng\EngData\PROJECT_Bioplastics\Renjie_Pan\05-Raw_Data\Lab_results\[LabSamples2025_Bioplastic_extra.xlsx]extra_Bioplastic'!H739)</f>
        <v/>
      </c>
    </row>
    <row r="740">
      <c r="A740">
        <f>IF(ISBLANK('Q:\Abteilungsprojekte\Eng\EngData\PROJECT_Bioplastics\Renjie_Pan\05-Raw_Data\Lab_results\[LabSamples2025_Bioplastic_extra.xlsx]extra_Bioplastic'!A740)," ",'Q:\Abteilungsprojekte\Eng\EngData\PROJECT_Bioplastics\Renjie_Pan\05-Raw_Data\Lab_results\[LabSamples2025_Bioplastic_extra.xlsx]extra_Bioplastic'!A740)</f>
        <v/>
      </c>
      <c r="B740">
        <f>IF(ISBLANK('Q:\Abteilungsprojekte\Eng\EngData\PROJECT_Bioplastics\Renjie_Pan\05-Raw_Data\Lab_results\[LabSamples2025_Bioplastic_extra.xlsx]extra_Bioplastic'!B740)," ",'Q:\Abteilungsprojekte\Eng\EngData\PROJECT_Bioplastics\Renjie_Pan\05-Raw_Data\Lab_results\[LabSamples2025_Bioplastic_extra.xlsx]extra_Bioplastic'!B740)</f>
        <v/>
      </c>
      <c r="C740">
        <f>IF(ISBLANK('Q:\Abteilungsprojekte\Eng\EngData\PROJECT_Bioplastics\Renjie_Pan\05-Raw_Data\Lab_results\[LabSamples2025_Bioplastic_extra.xlsx]extra_Bioplastic'!C740)," ",'Q:\Abteilungsprojekte\Eng\EngData\PROJECT_Bioplastics\Renjie_Pan\05-Raw_Data\Lab_results\[LabSamples2025_Bioplastic_extra.xlsx]extra_Bioplastic'!C740)</f>
        <v/>
      </c>
      <c r="D740">
        <f>IF(ISBLANK('Q:\Abteilungsprojekte\Eng\EngData\PROJECT_Bioplastics\Renjie_Pan\05-Raw_Data\Lab_results\[LabSamples2025_Bioplastic_extra.xlsx]extra_Bioplastic'!D740)," ",'Q:\Abteilungsprojekte\Eng\EngData\PROJECT_Bioplastics\Renjie_Pan\05-Raw_Data\Lab_results\[LabSamples2025_Bioplastic_extra.xlsx]extra_Bioplastic'!D740)</f>
        <v/>
      </c>
      <c r="E740">
        <f>IF(ISBLANK('Q:\Abteilungsprojekte\Eng\EngData\PROJECT_Bioplastics\Renjie_Pan\05-Raw_Data\Lab_results\[LabSamples2025_Bioplastic_extra.xlsx]extra_Bioplastic'!E740)," ",'Q:\Abteilungsprojekte\Eng\EngData\PROJECT_Bioplastics\Renjie_Pan\05-Raw_Data\Lab_results\[LabSamples2025_Bioplastic_extra.xlsx]extra_Bioplastic'!E740)</f>
        <v/>
      </c>
      <c r="F740">
        <f>IF(ISBLANK('Q:\Abteilungsprojekte\Eng\EngData\PROJECT_Bioplastics\Renjie_Pan\05-Raw_Data\Lab_results\[LabSamples2025_Bioplastic_extra.xlsx]extra_Bioplastic'!F740)," ",'Q:\Abteilungsprojekte\Eng\EngData\PROJECT_Bioplastics\Renjie_Pan\05-Raw_Data\Lab_results\[LabSamples2025_Bioplastic_extra.xlsx]extra_Bioplastic'!F740)</f>
        <v/>
      </c>
      <c r="G740">
        <f>IF(ISBLANK('Q:\Abteilungsprojekte\Eng\EngData\PROJECT_Bioplastics\Renjie_Pan\05-Raw_Data\Lab_results\[LabSamples2025_Bioplastic_extra.xlsx]extra_Bioplastic'!G740)," ",'Q:\Abteilungsprojekte\Eng\EngData\PROJECT_Bioplastics\Renjie_Pan\05-Raw_Data\Lab_results\[LabSamples2025_Bioplastic_extra.xlsx]extra_Bioplastic'!G740)</f>
        <v/>
      </c>
      <c r="H740">
        <f>IF(ISBLANK('Q:\Abteilungsprojekte\Eng\EngData\PROJECT_Bioplastics\Renjie_Pan\05-Raw_Data\Lab_results\[LabSamples2025_Bioplastic_extra.xlsx]extra_Bioplastic'!H740)," ",'Q:\Abteilungsprojekte\Eng\EngData\PROJECT_Bioplastics\Renjie_Pan\05-Raw_Data\Lab_results\[LabSamples2025_Bioplastic_extra.xlsx]extra_Bioplastic'!H740)</f>
        <v/>
      </c>
    </row>
    <row r="741">
      <c r="A741">
        <f>IF(ISBLANK('Q:\Abteilungsprojekte\Eng\EngData\PROJECT_Bioplastics\Renjie_Pan\05-Raw_Data\Lab_results\[LabSamples2025_Bioplastic_extra.xlsx]extra_Bioplastic'!A741)," ",'Q:\Abteilungsprojekte\Eng\EngData\PROJECT_Bioplastics\Renjie_Pan\05-Raw_Data\Lab_results\[LabSamples2025_Bioplastic_extra.xlsx]extra_Bioplastic'!A741)</f>
        <v/>
      </c>
      <c r="B741">
        <f>IF(ISBLANK('Q:\Abteilungsprojekte\Eng\EngData\PROJECT_Bioplastics\Renjie_Pan\05-Raw_Data\Lab_results\[LabSamples2025_Bioplastic_extra.xlsx]extra_Bioplastic'!B741)," ",'Q:\Abteilungsprojekte\Eng\EngData\PROJECT_Bioplastics\Renjie_Pan\05-Raw_Data\Lab_results\[LabSamples2025_Bioplastic_extra.xlsx]extra_Bioplastic'!B741)</f>
        <v/>
      </c>
      <c r="C741">
        <f>IF(ISBLANK('Q:\Abteilungsprojekte\Eng\EngData\PROJECT_Bioplastics\Renjie_Pan\05-Raw_Data\Lab_results\[LabSamples2025_Bioplastic_extra.xlsx]extra_Bioplastic'!C741)," ",'Q:\Abteilungsprojekte\Eng\EngData\PROJECT_Bioplastics\Renjie_Pan\05-Raw_Data\Lab_results\[LabSamples2025_Bioplastic_extra.xlsx]extra_Bioplastic'!C741)</f>
        <v/>
      </c>
      <c r="D741">
        <f>IF(ISBLANK('Q:\Abteilungsprojekte\Eng\EngData\PROJECT_Bioplastics\Renjie_Pan\05-Raw_Data\Lab_results\[LabSamples2025_Bioplastic_extra.xlsx]extra_Bioplastic'!D741)," ",'Q:\Abteilungsprojekte\Eng\EngData\PROJECT_Bioplastics\Renjie_Pan\05-Raw_Data\Lab_results\[LabSamples2025_Bioplastic_extra.xlsx]extra_Bioplastic'!D741)</f>
        <v/>
      </c>
      <c r="E741">
        <f>IF(ISBLANK('Q:\Abteilungsprojekte\Eng\EngData\PROJECT_Bioplastics\Renjie_Pan\05-Raw_Data\Lab_results\[LabSamples2025_Bioplastic_extra.xlsx]extra_Bioplastic'!E741)," ",'Q:\Abteilungsprojekte\Eng\EngData\PROJECT_Bioplastics\Renjie_Pan\05-Raw_Data\Lab_results\[LabSamples2025_Bioplastic_extra.xlsx]extra_Bioplastic'!E741)</f>
        <v/>
      </c>
      <c r="F741">
        <f>IF(ISBLANK('Q:\Abteilungsprojekte\Eng\EngData\PROJECT_Bioplastics\Renjie_Pan\05-Raw_Data\Lab_results\[LabSamples2025_Bioplastic_extra.xlsx]extra_Bioplastic'!F741)," ",'Q:\Abteilungsprojekte\Eng\EngData\PROJECT_Bioplastics\Renjie_Pan\05-Raw_Data\Lab_results\[LabSamples2025_Bioplastic_extra.xlsx]extra_Bioplastic'!F741)</f>
        <v/>
      </c>
      <c r="G741">
        <f>IF(ISBLANK('Q:\Abteilungsprojekte\Eng\EngData\PROJECT_Bioplastics\Renjie_Pan\05-Raw_Data\Lab_results\[LabSamples2025_Bioplastic_extra.xlsx]extra_Bioplastic'!G741)," ",'Q:\Abteilungsprojekte\Eng\EngData\PROJECT_Bioplastics\Renjie_Pan\05-Raw_Data\Lab_results\[LabSamples2025_Bioplastic_extra.xlsx]extra_Bioplastic'!G741)</f>
        <v/>
      </c>
      <c r="H741">
        <f>IF(ISBLANK('Q:\Abteilungsprojekte\Eng\EngData\PROJECT_Bioplastics\Renjie_Pan\05-Raw_Data\Lab_results\[LabSamples2025_Bioplastic_extra.xlsx]extra_Bioplastic'!H741)," ",'Q:\Abteilungsprojekte\Eng\EngData\PROJECT_Bioplastics\Renjie_Pan\05-Raw_Data\Lab_results\[LabSamples2025_Bioplastic_extra.xlsx]extra_Bioplastic'!H741)</f>
        <v/>
      </c>
    </row>
    <row r="742">
      <c r="A742">
        <f>IF(ISBLANK('Q:\Abteilungsprojekte\Eng\EngData\PROJECT_Bioplastics\Renjie_Pan\05-Raw_Data\Lab_results\[LabSamples2025_Bioplastic_extra.xlsx]extra_Bioplastic'!A742)," ",'Q:\Abteilungsprojekte\Eng\EngData\PROJECT_Bioplastics\Renjie_Pan\05-Raw_Data\Lab_results\[LabSamples2025_Bioplastic_extra.xlsx]extra_Bioplastic'!A742)</f>
        <v/>
      </c>
      <c r="B742">
        <f>IF(ISBLANK('Q:\Abteilungsprojekte\Eng\EngData\PROJECT_Bioplastics\Renjie_Pan\05-Raw_Data\Lab_results\[LabSamples2025_Bioplastic_extra.xlsx]extra_Bioplastic'!B742)," ",'Q:\Abteilungsprojekte\Eng\EngData\PROJECT_Bioplastics\Renjie_Pan\05-Raw_Data\Lab_results\[LabSamples2025_Bioplastic_extra.xlsx]extra_Bioplastic'!B742)</f>
        <v/>
      </c>
      <c r="C742">
        <f>IF(ISBLANK('Q:\Abteilungsprojekte\Eng\EngData\PROJECT_Bioplastics\Renjie_Pan\05-Raw_Data\Lab_results\[LabSamples2025_Bioplastic_extra.xlsx]extra_Bioplastic'!C742)," ",'Q:\Abteilungsprojekte\Eng\EngData\PROJECT_Bioplastics\Renjie_Pan\05-Raw_Data\Lab_results\[LabSamples2025_Bioplastic_extra.xlsx]extra_Bioplastic'!C742)</f>
        <v/>
      </c>
      <c r="D742">
        <f>IF(ISBLANK('Q:\Abteilungsprojekte\Eng\EngData\PROJECT_Bioplastics\Renjie_Pan\05-Raw_Data\Lab_results\[LabSamples2025_Bioplastic_extra.xlsx]extra_Bioplastic'!D742)," ",'Q:\Abteilungsprojekte\Eng\EngData\PROJECT_Bioplastics\Renjie_Pan\05-Raw_Data\Lab_results\[LabSamples2025_Bioplastic_extra.xlsx]extra_Bioplastic'!D742)</f>
        <v/>
      </c>
      <c r="E742">
        <f>IF(ISBLANK('Q:\Abteilungsprojekte\Eng\EngData\PROJECT_Bioplastics\Renjie_Pan\05-Raw_Data\Lab_results\[LabSamples2025_Bioplastic_extra.xlsx]extra_Bioplastic'!E742)," ",'Q:\Abteilungsprojekte\Eng\EngData\PROJECT_Bioplastics\Renjie_Pan\05-Raw_Data\Lab_results\[LabSamples2025_Bioplastic_extra.xlsx]extra_Bioplastic'!E742)</f>
        <v/>
      </c>
      <c r="F742">
        <f>IF(ISBLANK('Q:\Abteilungsprojekte\Eng\EngData\PROJECT_Bioplastics\Renjie_Pan\05-Raw_Data\Lab_results\[LabSamples2025_Bioplastic_extra.xlsx]extra_Bioplastic'!F742)," ",'Q:\Abteilungsprojekte\Eng\EngData\PROJECT_Bioplastics\Renjie_Pan\05-Raw_Data\Lab_results\[LabSamples2025_Bioplastic_extra.xlsx]extra_Bioplastic'!F742)</f>
        <v/>
      </c>
      <c r="G742">
        <f>IF(ISBLANK('Q:\Abteilungsprojekte\Eng\EngData\PROJECT_Bioplastics\Renjie_Pan\05-Raw_Data\Lab_results\[LabSamples2025_Bioplastic_extra.xlsx]extra_Bioplastic'!G742)," ",'Q:\Abteilungsprojekte\Eng\EngData\PROJECT_Bioplastics\Renjie_Pan\05-Raw_Data\Lab_results\[LabSamples2025_Bioplastic_extra.xlsx]extra_Bioplastic'!G742)</f>
        <v/>
      </c>
      <c r="H742">
        <f>IF(ISBLANK('Q:\Abteilungsprojekte\Eng\EngData\PROJECT_Bioplastics\Renjie_Pan\05-Raw_Data\Lab_results\[LabSamples2025_Bioplastic_extra.xlsx]extra_Bioplastic'!H742)," ",'Q:\Abteilungsprojekte\Eng\EngData\PROJECT_Bioplastics\Renjie_Pan\05-Raw_Data\Lab_results\[LabSamples2025_Bioplastic_extra.xlsx]extra_Bioplastic'!H742)</f>
        <v/>
      </c>
    </row>
    <row r="743">
      <c r="A743">
        <f>IF(ISBLANK('Q:\Abteilungsprojekte\Eng\EngData\PROJECT_Bioplastics\Renjie_Pan\05-Raw_Data\Lab_results\[LabSamples2025_Bioplastic_extra.xlsx]extra_Bioplastic'!A743)," ",'Q:\Abteilungsprojekte\Eng\EngData\PROJECT_Bioplastics\Renjie_Pan\05-Raw_Data\Lab_results\[LabSamples2025_Bioplastic_extra.xlsx]extra_Bioplastic'!A743)</f>
        <v/>
      </c>
      <c r="B743">
        <f>IF(ISBLANK('Q:\Abteilungsprojekte\Eng\EngData\PROJECT_Bioplastics\Renjie_Pan\05-Raw_Data\Lab_results\[LabSamples2025_Bioplastic_extra.xlsx]extra_Bioplastic'!B743)," ",'Q:\Abteilungsprojekte\Eng\EngData\PROJECT_Bioplastics\Renjie_Pan\05-Raw_Data\Lab_results\[LabSamples2025_Bioplastic_extra.xlsx]extra_Bioplastic'!B743)</f>
        <v/>
      </c>
      <c r="C743">
        <f>IF(ISBLANK('Q:\Abteilungsprojekte\Eng\EngData\PROJECT_Bioplastics\Renjie_Pan\05-Raw_Data\Lab_results\[LabSamples2025_Bioplastic_extra.xlsx]extra_Bioplastic'!C743)," ",'Q:\Abteilungsprojekte\Eng\EngData\PROJECT_Bioplastics\Renjie_Pan\05-Raw_Data\Lab_results\[LabSamples2025_Bioplastic_extra.xlsx]extra_Bioplastic'!C743)</f>
        <v/>
      </c>
      <c r="D743">
        <f>IF(ISBLANK('Q:\Abteilungsprojekte\Eng\EngData\PROJECT_Bioplastics\Renjie_Pan\05-Raw_Data\Lab_results\[LabSamples2025_Bioplastic_extra.xlsx]extra_Bioplastic'!D743)," ",'Q:\Abteilungsprojekte\Eng\EngData\PROJECT_Bioplastics\Renjie_Pan\05-Raw_Data\Lab_results\[LabSamples2025_Bioplastic_extra.xlsx]extra_Bioplastic'!D743)</f>
        <v/>
      </c>
      <c r="E743">
        <f>IF(ISBLANK('Q:\Abteilungsprojekte\Eng\EngData\PROJECT_Bioplastics\Renjie_Pan\05-Raw_Data\Lab_results\[LabSamples2025_Bioplastic_extra.xlsx]extra_Bioplastic'!E743)," ",'Q:\Abteilungsprojekte\Eng\EngData\PROJECT_Bioplastics\Renjie_Pan\05-Raw_Data\Lab_results\[LabSamples2025_Bioplastic_extra.xlsx]extra_Bioplastic'!E743)</f>
        <v/>
      </c>
      <c r="F743">
        <f>IF(ISBLANK('Q:\Abteilungsprojekte\Eng\EngData\PROJECT_Bioplastics\Renjie_Pan\05-Raw_Data\Lab_results\[LabSamples2025_Bioplastic_extra.xlsx]extra_Bioplastic'!F743)," ",'Q:\Abteilungsprojekte\Eng\EngData\PROJECT_Bioplastics\Renjie_Pan\05-Raw_Data\Lab_results\[LabSamples2025_Bioplastic_extra.xlsx]extra_Bioplastic'!F743)</f>
        <v/>
      </c>
      <c r="G743">
        <f>IF(ISBLANK('Q:\Abteilungsprojekte\Eng\EngData\PROJECT_Bioplastics\Renjie_Pan\05-Raw_Data\Lab_results\[LabSamples2025_Bioplastic_extra.xlsx]extra_Bioplastic'!G743)," ",'Q:\Abteilungsprojekte\Eng\EngData\PROJECT_Bioplastics\Renjie_Pan\05-Raw_Data\Lab_results\[LabSamples2025_Bioplastic_extra.xlsx]extra_Bioplastic'!G743)</f>
        <v/>
      </c>
      <c r="H743">
        <f>IF(ISBLANK('Q:\Abteilungsprojekte\Eng\EngData\PROJECT_Bioplastics\Renjie_Pan\05-Raw_Data\Lab_results\[LabSamples2025_Bioplastic_extra.xlsx]extra_Bioplastic'!H743)," ",'Q:\Abteilungsprojekte\Eng\EngData\PROJECT_Bioplastics\Renjie_Pan\05-Raw_Data\Lab_results\[LabSamples2025_Bioplastic_extra.xlsx]extra_Bioplastic'!H743)</f>
        <v/>
      </c>
    </row>
    <row r="744">
      <c r="A744">
        <f>IF(ISBLANK('Q:\Abteilungsprojekte\Eng\EngData\PROJECT_Bioplastics\Renjie_Pan\05-Raw_Data\Lab_results\[LabSamples2025_Bioplastic_extra.xlsx]extra_Bioplastic'!A744)," ",'Q:\Abteilungsprojekte\Eng\EngData\PROJECT_Bioplastics\Renjie_Pan\05-Raw_Data\Lab_results\[LabSamples2025_Bioplastic_extra.xlsx]extra_Bioplastic'!A744)</f>
        <v/>
      </c>
      <c r="B744">
        <f>IF(ISBLANK('Q:\Abteilungsprojekte\Eng\EngData\PROJECT_Bioplastics\Renjie_Pan\05-Raw_Data\Lab_results\[LabSamples2025_Bioplastic_extra.xlsx]extra_Bioplastic'!B744)," ",'Q:\Abteilungsprojekte\Eng\EngData\PROJECT_Bioplastics\Renjie_Pan\05-Raw_Data\Lab_results\[LabSamples2025_Bioplastic_extra.xlsx]extra_Bioplastic'!B744)</f>
        <v/>
      </c>
      <c r="C744">
        <f>IF(ISBLANK('Q:\Abteilungsprojekte\Eng\EngData\PROJECT_Bioplastics\Renjie_Pan\05-Raw_Data\Lab_results\[LabSamples2025_Bioplastic_extra.xlsx]extra_Bioplastic'!C744)," ",'Q:\Abteilungsprojekte\Eng\EngData\PROJECT_Bioplastics\Renjie_Pan\05-Raw_Data\Lab_results\[LabSamples2025_Bioplastic_extra.xlsx]extra_Bioplastic'!C744)</f>
        <v/>
      </c>
      <c r="D744">
        <f>IF(ISBLANK('Q:\Abteilungsprojekte\Eng\EngData\PROJECT_Bioplastics\Renjie_Pan\05-Raw_Data\Lab_results\[LabSamples2025_Bioplastic_extra.xlsx]extra_Bioplastic'!D744)," ",'Q:\Abteilungsprojekte\Eng\EngData\PROJECT_Bioplastics\Renjie_Pan\05-Raw_Data\Lab_results\[LabSamples2025_Bioplastic_extra.xlsx]extra_Bioplastic'!D744)</f>
        <v/>
      </c>
      <c r="E744">
        <f>IF(ISBLANK('Q:\Abteilungsprojekte\Eng\EngData\PROJECT_Bioplastics\Renjie_Pan\05-Raw_Data\Lab_results\[LabSamples2025_Bioplastic_extra.xlsx]extra_Bioplastic'!E744)," ",'Q:\Abteilungsprojekte\Eng\EngData\PROJECT_Bioplastics\Renjie_Pan\05-Raw_Data\Lab_results\[LabSamples2025_Bioplastic_extra.xlsx]extra_Bioplastic'!E744)</f>
        <v/>
      </c>
      <c r="F744">
        <f>IF(ISBLANK('Q:\Abteilungsprojekte\Eng\EngData\PROJECT_Bioplastics\Renjie_Pan\05-Raw_Data\Lab_results\[LabSamples2025_Bioplastic_extra.xlsx]extra_Bioplastic'!F744)," ",'Q:\Abteilungsprojekte\Eng\EngData\PROJECT_Bioplastics\Renjie_Pan\05-Raw_Data\Lab_results\[LabSamples2025_Bioplastic_extra.xlsx]extra_Bioplastic'!F744)</f>
        <v/>
      </c>
      <c r="G744">
        <f>IF(ISBLANK('Q:\Abteilungsprojekte\Eng\EngData\PROJECT_Bioplastics\Renjie_Pan\05-Raw_Data\Lab_results\[LabSamples2025_Bioplastic_extra.xlsx]extra_Bioplastic'!G744)," ",'Q:\Abteilungsprojekte\Eng\EngData\PROJECT_Bioplastics\Renjie_Pan\05-Raw_Data\Lab_results\[LabSamples2025_Bioplastic_extra.xlsx]extra_Bioplastic'!G744)</f>
        <v/>
      </c>
      <c r="H744">
        <f>IF(ISBLANK('Q:\Abteilungsprojekte\Eng\EngData\PROJECT_Bioplastics\Renjie_Pan\05-Raw_Data\Lab_results\[LabSamples2025_Bioplastic_extra.xlsx]extra_Bioplastic'!H744)," ",'Q:\Abteilungsprojekte\Eng\EngData\PROJECT_Bioplastics\Renjie_Pan\05-Raw_Data\Lab_results\[LabSamples2025_Bioplastic_extra.xlsx]extra_Bioplastic'!H744)</f>
        <v/>
      </c>
    </row>
    <row r="745">
      <c r="A745">
        <f>IF(ISBLANK('Q:\Abteilungsprojekte\Eng\EngData\PROJECT_Bioplastics\Renjie_Pan\05-Raw_Data\Lab_results\[LabSamples2025_Bioplastic_extra.xlsx]extra_Bioplastic'!A745)," ",'Q:\Abteilungsprojekte\Eng\EngData\PROJECT_Bioplastics\Renjie_Pan\05-Raw_Data\Lab_results\[LabSamples2025_Bioplastic_extra.xlsx]extra_Bioplastic'!A745)</f>
        <v/>
      </c>
      <c r="B745">
        <f>IF(ISBLANK('Q:\Abteilungsprojekte\Eng\EngData\PROJECT_Bioplastics\Renjie_Pan\05-Raw_Data\Lab_results\[LabSamples2025_Bioplastic_extra.xlsx]extra_Bioplastic'!B745)," ",'Q:\Abteilungsprojekte\Eng\EngData\PROJECT_Bioplastics\Renjie_Pan\05-Raw_Data\Lab_results\[LabSamples2025_Bioplastic_extra.xlsx]extra_Bioplastic'!B745)</f>
        <v/>
      </c>
      <c r="C745">
        <f>IF(ISBLANK('Q:\Abteilungsprojekte\Eng\EngData\PROJECT_Bioplastics\Renjie_Pan\05-Raw_Data\Lab_results\[LabSamples2025_Bioplastic_extra.xlsx]extra_Bioplastic'!C745)," ",'Q:\Abteilungsprojekte\Eng\EngData\PROJECT_Bioplastics\Renjie_Pan\05-Raw_Data\Lab_results\[LabSamples2025_Bioplastic_extra.xlsx]extra_Bioplastic'!C745)</f>
        <v/>
      </c>
      <c r="D745">
        <f>IF(ISBLANK('Q:\Abteilungsprojekte\Eng\EngData\PROJECT_Bioplastics\Renjie_Pan\05-Raw_Data\Lab_results\[LabSamples2025_Bioplastic_extra.xlsx]extra_Bioplastic'!D745)," ",'Q:\Abteilungsprojekte\Eng\EngData\PROJECT_Bioplastics\Renjie_Pan\05-Raw_Data\Lab_results\[LabSamples2025_Bioplastic_extra.xlsx]extra_Bioplastic'!D745)</f>
        <v/>
      </c>
      <c r="E745">
        <f>IF(ISBLANK('Q:\Abteilungsprojekte\Eng\EngData\PROJECT_Bioplastics\Renjie_Pan\05-Raw_Data\Lab_results\[LabSamples2025_Bioplastic_extra.xlsx]extra_Bioplastic'!E745)," ",'Q:\Abteilungsprojekte\Eng\EngData\PROJECT_Bioplastics\Renjie_Pan\05-Raw_Data\Lab_results\[LabSamples2025_Bioplastic_extra.xlsx]extra_Bioplastic'!E745)</f>
        <v/>
      </c>
      <c r="F745">
        <f>IF(ISBLANK('Q:\Abteilungsprojekte\Eng\EngData\PROJECT_Bioplastics\Renjie_Pan\05-Raw_Data\Lab_results\[LabSamples2025_Bioplastic_extra.xlsx]extra_Bioplastic'!F745)," ",'Q:\Abteilungsprojekte\Eng\EngData\PROJECT_Bioplastics\Renjie_Pan\05-Raw_Data\Lab_results\[LabSamples2025_Bioplastic_extra.xlsx]extra_Bioplastic'!F745)</f>
        <v/>
      </c>
      <c r="G745">
        <f>IF(ISBLANK('Q:\Abteilungsprojekte\Eng\EngData\PROJECT_Bioplastics\Renjie_Pan\05-Raw_Data\Lab_results\[LabSamples2025_Bioplastic_extra.xlsx]extra_Bioplastic'!G745)," ",'Q:\Abteilungsprojekte\Eng\EngData\PROJECT_Bioplastics\Renjie_Pan\05-Raw_Data\Lab_results\[LabSamples2025_Bioplastic_extra.xlsx]extra_Bioplastic'!G745)</f>
        <v/>
      </c>
      <c r="H745">
        <f>IF(ISBLANK('Q:\Abteilungsprojekte\Eng\EngData\PROJECT_Bioplastics\Renjie_Pan\05-Raw_Data\Lab_results\[LabSamples2025_Bioplastic_extra.xlsx]extra_Bioplastic'!H745)," ",'Q:\Abteilungsprojekte\Eng\EngData\PROJECT_Bioplastics\Renjie_Pan\05-Raw_Data\Lab_results\[LabSamples2025_Bioplastic_extra.xlsx]extra_Bioplastic'!H745)</f>
        <v/>
      </c>
    </row>
    <row r="746">
      <c r="A746">
        <f>IF(ISBLANK('Q:\Abteilungsprojekte\Eng\EngData\PROJECT_Bioplastics\Renjie_Pan\05-Raw_Data\Lab_results\[LabSamples2025_Bioplastic_extra.xlsx]extra_Bioplastic'!A746)," ",'Q:\Abteilungsprojekte\Eng\EngData\PROJECT_Bioplastics\Renjie_Pan\05-Raw_Data\Lab_results\[LabSamples2025_Bioplastic_extra.xlsx]extra_Bioplastic'!A746)</f>
        <v/>
      </c>
      <c r="B746">
        <f>IF(ISBLANK('Q:\Abteilungsprojekte\Eng\EngData\PROJECT_Bioplastics\Renjie_Pan\05-Raw_Data\Lab_results\[LabSamples2025_Bioplastic_extra.xlsx]extra_Bioplastic'!B746)," ",'Q:\Abteilungsprojekte\Eng\EngData\PROJECT_Bioplastics\Renjie_Pan\05-Raw_Data\Lab_results\[LabSamples2025_Bioplastic_extra.xlsx]extra_Bioplastic'!B746)</f>
        <v/>
      </c>
      <c r="C746">
        <f>IF(ISBLANK('Q:\Abteilungsprojekte\Eng\EngData\PROJECT_Bioplastics\Renjie_Pan\05-Raw_Data\Lab_results\[LabSamples2025_Bioplastic_extra.xlsx]extra_Bioplastic'!C746)," ",'Q:\Abteilungsprojekte\Eng\EngData\PROJECT_Bioplastics\Renjie_Pan\05-Raw_Data\Lab_results\[LabSamples2025_Bioplastic_extra.xlsx]extra_Bioplastic'!C746)</f>
        <v/>
      </c>
      <c r="D746">
        <f>IF(ISBLANK('Q:\Abteilungsprojekte\Eng\EngData\PROJECT_Bioplastics\Renjie_Pan\05-Raw_Data\Lab_results\[LabSamples2025_Bioplastic_extra.xlsx]extra_Bioplastic'!D746)," ",'Q:\Abteilungsprojekte\Eng\EngData\PROJECT_Bioplastics\Renjie_Pan\05-Raw_Data\Lab_results\[LabSamples2025_Bioplastic_extra.xlsx]extra_Bioplastic'!D746)</f>
        <v/>
      </c>
      <c r="E746">
        <f>IF(ISBLANK('Q:\Abteilungsprojekte\Eng\EngData\PROJECT_Bioplastics\Renjie_Pan\05-Raw_Data\Lab_results\[LabSamples2025_Bioplastic_extra.xlsx]extra_Bioplastic'!E746)," ",'Q:\Abteilungsprojekte\Eng\EngData\PROJECT_Bioplastics\Renjie_Pan\05-Raw_Data\Lab_results\[LabSamples2025_Bioplastic_extra.xlsx]extra_Bioplastic'!E746)</f>
        <v/>
      </c>
      <c r="F746">
        <f>IF(ISBLANK('Q:\Abteilungsprojekte\Eng\EngData\PROJECT_Bioplastics\Renjie_Pan\05-Raw_Data\Lab_results\[LabSamples2025_Bioplastic_extra.xlsx]extra_Bioplastic'!F746)," ",'Q:\Abteilungsprojekte\Eng\EngData\PROJECT_Bioplastics\Renjie_Pan\05-Raw_Data\Lab_results\[LabSamples2025_Bioplastic_extra.xlsx]extra_Bioplastic'!F746)</f>
        <v/>
      </c>
      <c r="G746">
        <f>IF(ISBLANK('Q:\Abteilungsprojekte\Eng\EngData\PROJECT_Bioplastics\Renjie_Pan\05-Raw_Data\Lab_results\[LabSamples2025_Bioplastic_extra.xlsx]extra_Bioplastic'!G746)," ",'Q:\Abteilungsprojekte\Eng\EngData\PROJECT_Bioplastics\Renjie_Pan\05-Raw_Data\Lab_results\[LabSamples2025_Bioplastic_extra.xlsx]extra_Bioplastic'!G746)</f>
        <v/>
      </c>
      <c r="H746">
        <f>IF(ISBLANK('Q:\Abteilungsprojekte\Eng\EngData\PROJECT_Bioplastics\Renjie_Pan\05-Raw_Data\Lab_results\[LabSamples2025_Bioplastic_extra.xlsx]extra_Bioplastic'!H746)," ",'Q:\Abteilungsprojekte\Eng\EngData\PROJECT_Bioplastics\Renjie_Pan\05-Raw_Data\Lab_results\[LabSamples2025_Bioplastic_extra.xlsx]extra_Bioplastic'!H746)</f>
        <v/>
      </c>
    </row>
    <row r="747">
      <c r="A747">
        <f>IF(ISBLANK('Q:\Abteilungsprojekte\Eng\EngData\PROJECT_Bioplastics\Renjie_Pan\05-Raw_Data\Lab_results\[LabSamples2025_Bioplastic_extra.xlsx]extra_Bioplastic'!A747)," ",'Q:\Abteilungsprojekte\Eng\EngData\PROJECT_Bioplastics\Renjie_Pan\05-Raw_Data\Lab_results\[LabSamples2025_Bioplastic_extra.xlsx]extra_Bioplastic'!A747)</f>
        <v/>
      </c>
      <c r="B747">
        <f>IF(ISBLANK('Q:\Abteilungsprojekte\Eng\EngData\PROJECT_Bioplastics\Renjie_Pan\05-Raw_Data\Lab_results\[LabSamples2025_Bioplastic_extra.xlsx]extra_Bioplastic'!B747)," ",'Q:\Abteilungsprojekte\Eng\EngData\PROJECT_Bioplastics\Renjie_Pan\05-Raw_Data\Lab_results\[LabSamples2025_Bioplastic_extra.xlsx]extra_Bioplastic'!B747)</f>
        <v/>
      </c>
      <c r="C747">
        <f>IF(ISBLANK('Q:\Abteilungsprojekte\Eng\EngData\PROJECT_Bioplastics\Renjie_Pan\05-Raw_Data\Lab_results\[LabSamples2025_Bioplastic_extra.xlsx]extra_Bioplastic'!C747)," ",'Q:\Abteilungsprojekte\Eng\EngData\PROJECT_Bioplastics\Renjie_Pan\05-Raw_Data\Lab_results\[LabSamples2025_Bioplastic_extra.xlsx]extra_Bioplastic'!C747)</f>
        <v/>
      </c>
      <c r="D747">
        <f>IF(ISBLANK('Q:\Abteilungsprojekte\Eng\EngData\PROJECT_Bioplastics\Renjie_Pan\05-Raw_Data\Lab_results\[LabSamples2025_Bioplastic_extra.xlsx]extra_Bioplastic'!D747)," ",'Q:\Abteilungsprojekte\Eng\EngData\PROJECT_Bioplastics\Renjie_Pan\05-Raw_Data\Lab_results\[LabSamples2025_Bioplastic_extra.xlsx]extra_Bioplastic'!D747)</f>
        <v/>
      </c>
      <c r="E747">
        <f>IF(ISBLANK('Q:\Abteilungsprojekte\Eng\EngData\PROJECT_Bioplastics\Renjie_Pan\05-Raw_Data\Lab_results\[LabSamples2025_Bioplastic_extra.xlsx]extra_Bioplastic'!E747)," ",'Q:\Abteilungsprojekte\Eng\EngData\PROJECT_Bioplastics\Renjie_Pan\05-Raw_Data\Lab_results\[LabSamples2025_Bioplastic_extra.xlsx]extra_Bioplastic'!E747)</f>
        <v/>
      </c>
      <c r="F747">
        <f>IF(ISBLANK('Q:\Abteilungsprojekte\Eng\EngData\PROJECT_Bioplastics\Renjie_Pan\05-Raw_Data\Lab_results\[LabSamples2025_Bioplastic_extra.xlsx]extra_Bioplastic'!F747)," ",'Q:\Abteilungsprojekte\Eng\EngData\PROJECT_Bioplastics\Renjie_Pan\05-Raw_Data\Lab_results\[LabSamples2025_Bioplastic_extra.xlsx]extra_Bioplastic'!F747)</f>
        <v/>
      </c>
      <c r="G747">
        <f>IF(ISBLANK('Q:\Abteilungsprojekte\Eng\EngData\PROJECT_Bioplastics\Renjie_Pan\05-Raw_Data\Lab_results\[LabSamples2025_Bioplastic_extra.xlsx]extra_Bioplastic'!G747)," ",'Q:\Abteilungsprojekte\Eng\EngData\PROJECT_Bioplastics\Renjie_Pan\05-Raw_Data\Lab_results\[LabSamples2025_Bioplastic_extra.xlsx]extra_Bioplastic'!G747)</f>
        <v/>
      </c>
      <c r="H747">
        <f>IF(ISBLANK('Q:\Abteilungsprojekte\Eng\EngData\PROJECT_Bioplastics\Renjie_Pan\05-Raw_Data\Lab_results\[LabSamples2025_Bioplastic_extra.xlsx]extra_Bioplastic'!H747)," ",'Q:\Abteilungsprojekte\Eng\EngData\PROJECT_Bioplastics\Renjie_Pan\05-Raw_Data\Lab_results\[LabSamples2025_Bioplastic_extra.xlsx]extra_Bioplastic'!H747)</f>
        <v/>
      </c>
    </row>
    <row r="748">
      <c r="A748">
        <f>IF(ISBLANK('Q:\Abteilungsprojekte\Eng\EngData\PROJECT_Bioplastics\Renjie_Pan\05-Raw_Data\Lab_results\[LabSamples2025_Bioplastic_extra.xlsx]extra_Bioplastic'!A748)," ",'Q:\Abteilungsprojekte\Eng\EngData\PROJECT_Bioplastics\Renjie_Pan\05-Raw_Data\Lab_results\[LabSamples2025_Bioplastic_extra.xlsx]extra_Bioplastic'!A748)</f>
        <v/>
      </c>
      <c r="B748">
        <f>IF(ISBLANK('Q:\Abteilungsprojekte\Eng\EngData\PROJECT_Bioplastics\Renjie_Pan\05-Raw_Data\Lab_results\[LabSamples2025_Bioplastic_extra.xlsx]extra_Bioplastic'!B748)," ",'Q:\Abteilungsprojekte\Eng\EngData\PROJECT_Bioplastics\Renjie_Pan\05-Raw_Data\Lab_results\[LabSamples2025_Bioplastic_extra.xlsx]extra_Bioplastic'!B748)</f>
        <v/>
      </c>
      <c r="C748">
        <f>IF(ISBLANK('Q:\Abteilungsprojekte\Eng\EngData\PROJECT_Bioplastics\Renjie_Pan\05-Raw_Data\Lab_results\[LabSamples2025_Bioplastic_extra.xlsx]extra_Bioplastic'!C748)," ",'Q:\Abteilungsprojekte\Eng\EngData\PROJECT_Bioplastics\Renjie_Pan\05-Raw_Data\Lab_results\[LabSamples2025_Bioplastic_extra.xlsx]extra_Bioplastic'!C748)</f>
        <v/>
      </c>
      <c r="D748">
        <f>IF(ISBLANK('Q:\Abteilungsprojekte\Eng\EngData\PROJECT_Bioplastics\Renjie_Pan\05-Raw_Data\Lab_results\[LabSamples2025_Bioplastic_extra.xlsx]extra_Bioplastic'!D748)," ",'Q:\Abteilungsprojekte\Eng\EngData\PROJECT_Bioplastics\Renjie_Pan\05-Raw_Data\Lab_results\[LabSamples2025_Bioplastic_extra.xlsx]extra_Bioplastic'!D748)</f>
        <v/>
      </c>
      <c r="E748">
        <f>IF(ISBLANK('Q:\Abteilungsprojekte\Eng\EngData\PROJECT_Bioplastics\Renjie_Pan\05-Raw_Data\Lab_results\[LabSamples2025_Bioplastic_extra.xlsx]extra_Bioplastic'!E748)," ",'Q:\Abteilungsprojekte\Eng\EngData\PROJECT_Bioplastics\Renjie_Pan\05-Raw_Data\Lab_results\[LabSamples2025_Bioplastic_extra.xlsx]extra_Bioplastic'!E748)</f>
        <v/>
      </c>
      <c r="F748">
        <f>IF(ISBLANK('Q:\Abteilungsprojekte\Eng\EngData\PROJECT_Bioplastics\Renjie_Pan\05-Raw_Data\Lab_results\[LabSamples2025_Bioplastic_extra.xlsx]extra_Bioplastic'!F748)," ",'Q:\Abteilungsprojekte\Eng\EngData\PROJECT_Bioplastics\Renjie_Pan\05-Raw_Data\Lab_results\[LabSamples2025_Bioplastic_extra.xlsx]extra_Bioplastic'!F748)</f>
        <v/>
      </c>
      <c r="G748">
        <f>IF(ISBLANK('Q:\Abteilungsprojekte\Eng\EngData\PROJECT_Bioplastics\Renjie_Pan\05-Raw_Data\Lab_results\[LabSamples2025_Bioplastic_extra.xlsx]extra_Bioplastic'!G748)," ",'Q:\Abteilungsprojekte\Eng\EngData\PROJECT_Bioplastics\Renjie_Pan\05-Raw_Data\Lab_results\[LabSamples2025_Bioplastic_extra.xlsx]extra_Bioplastic'!G748)</f>
        <v/>
      </c>
      <c r="H748">
        <f>IF(ISBLANK('Q:\Abteilungsprojekte\Eng\EngData\PROJECT_Bioplastics\Renjie_Pan\05-Raw_Data\Lab_results\[LabSamples2025_Bioplastic_extra.xlsx]extra_Bioplastic'!H748)," ",'Q:\Abteilungsprojekte\Eng\EngData\PROJECT_Bioplastics\Renjie_Pan\05-Raw_Data\Lab_results\[LabSamples2025_Bioplastic_extra.xlsx]extra_Bioplastic'!H748)</f>
        <v/>
      </c>
    </row>
    <row r="749">
      <c r="A749">
        <f>IF(ISBLANK('Q:\Abteilungsprojekte\Eng\EngData\PROJECT_Bioplastics\Renjie_Pan\05-Raw_Data\Lab_results\[LabSamples2025_Bioplastic_extra.xlsx]extra_Bioplastic'!A749)," ",'Q:\Abteilungsprojekte\Eng\EngData\PROJECT_Bioplastics\Renjie_Pan\05-Raw_Data\Lab_results\[LabSamples2025_Bioplastic_extra.xlsx]extra_Bioplastic'!A749)</f>
        <v/>
      </c>
      <c r="B749">
        <f>IF(ISBLANK('Q:\Abteilungsprojekte\Eng\EngData\PROJECT_Bioplastics\Renjie_Pan\05-Raw_Data\Lab_results\[LabSamples2025_Bioplastic_extra.xlsx]extra_Bioplastic'!B749)," ",'Q:\Abteilungsprojekte\Eng\EngData\PROJECT_Bioplastics\Renjie_Pan\05-Raw_Data\Lab_results\[LabSamples2025_Bioplastic_extra.xlsx]extra_Bioplastic'!B749)</f>
        <v/>
      </c>
      <c r="C749">
        <f>IF(ISBLANK('Q:\Abteilungsprojekte\Eng\EngData\PROJECT_Bioplastics\Renjie_Pan\05-Raw_Data\Lab_results\[LabSamples2025_Bioplastic_extra.xlsx]extra_Bioplastic'!C749)," ",'Q:\Abteilungsprojekte\Eng\EngData\PROJECT_Bioplastics\Renjie_Pan\05-Raw_Data\Lab_results\[LabSamples2025_Bioplastic_extra.xlsx]extra_Bioplastic'!C749)</f>
        <v/>
      </c>
      <c r="D749">
        <f>IF(ISBLANK('Q:\Abteilungsprojekte\Eng\EngData\PROJECT_Bioplastics\Renjie_Pan\05-Raw_Data\Lab_results\[LabSamples2025_Bioplastic_extra.xlsx]extra_Bioplastic'!D749)," ",'Q:\Abteilungsprojekte\Eng\EngData\PROJECT_Bioplastics\Renjie_Pan\05-Raw_Data\Lab_results\[LabSamples2025_Bioplastic_extra.xlsx]extra_Bioplastic'!D749)</f>
        <v/>
      </c>
      <c r="E749">
        <f>IF(ISBLANK('Q:\Abteilungsprojekte\Eng\EngData\PROJECT_Bioplastics\Renjie_Pan\05-Raw_Data\Lab_results\[LabSamples2025_Bioplastic_extra.xlsx]extra_Bioplastic'!E749)," ",'Q:\Abteilungsprojekte\Eng\EngData\PROJECT_Bioplastics\Renjie_Pan\05-Raw_Data\Lab_results\[LabSamples2025_Bioplastic_extra.xlsx]extra_Bioplastic'!E749)</f>
        <v/>
      </c>
      <c r="F749">
        <f>IF(ISBLANK('Q:\Abteilungsprojekte\Eng\EngData\PROJECT_Bioplastics\Renjie_Pan\05-Raw_Data\Lab_results\[LabSamples2025_Bioplastic_extra.xlsx]extra_Bioplastic'!F749)," ",'Q:\Abteilungsprojekte\Eng\EngData\PROJECT_Bioplastics\Renjie_Pan\05-Raw_Data\Lab_results\[LabSamples2025_Bioplastic_extra.xlsx]extra_Bioplastic'!F749)</f>
        <v/>
      </c>
      <c r="G749">
        <f>IF(ISBLANK('Q:\Abteilungsprojekte\Eng\EngData\PROJECT_Bioplastics\Renjie_Pan\05-Raw_Data\Lab_results\[LabSamples2025_Bioplastic_extra.xlsx]extra_Bioplastic'!G749)," ",'Q:\Abteilungsprojekte\Eng\EngData\PROJECT_Bioplastics\Renjie_Pan\05-Raw_Data\Lab_results\[LabSamples2025_Bioplastic_extra.xlsx]extra_Bioplastic'!G749)</f>
        <v/>
      </c>
      <c r="H749">
        <f>IF(ISBLANK('Q:\Abteilungsprojekte\Eng\EngData\PROJECT_Bioplastics\Renjie_Pan\05-Raw_Data\Lab_results\[LabSamples2025_Bioplastic_extra.xlsx]extra_Bioplastic'!H749)," ",'Q:\Abteilungsprojekte\Eng\EngData\PROJECT_Bioplastics\Renjie_Pan\05-Raw_Data\Lab_results\[LabSamples2025_Bioplastic_extra.xlsx]extra_Bioplastic'!H749)</f>
        <v/>
      </c>
    </row>
    <row r="750">
      <c r="A750">
        <f>IF(ISBLANK('Q:\Abteilungsprojekte\Eng\EngData\PROJECT_Bioplastics\Renjie_Pan\05-Raw_Data\Lab_results\[LabSamples2025_Bioplastic_extra.xlsx]extra_Bioplastic'!A750)," ",'Q:\Abteilungsprojekte\Eng\EngData\PROJECT_Bioplastics\Renjie_Pan\05-Raw_Data\Lab_results\[LabSamples2025_Bioplastic_extra.xlsx]extra_Bioplastic'!A750)</f>
        <v/>
      </c>
      <c r="B750">
        <f>IF(ISBLANK('Q:\Abteilungsprojekte\Eng\EngData\PROJECT_Bioplastics\Renjie_Pan\05-Raw_Data\Lab_results\[LabSamples2025_Bioplastic_extra.xlsx]extra_Bioplastic'!B750)," ",'Q:\Abteilungsprojekte\Eng\EngData\PROJECT_Bioplastics\Renjie_Pan\05-Raw_Data\Lab_results\[LabSamples2025_Bioplastic_extra.xlsx]extra_Bioplastic'!B750)</f>
        <v/>
      </c>
      <c r="C750">
        <f>IF(ISBLANK('Q:\Abteilungsprojekte\Eng\EngData\PROJECT_Bioplastics\Renjie_Pan\05-Raw_Data\Lab_results\[LabSamples2025_Bioplastic_extra.xlsx]extra_Bioplastic'!C750)," ",'Q:\Abteilungsprojekte\Eng\EngData\PROJECT_Bioplastics\Renjie_Pan\05-Raw_Data\Lab_results\[LabSamples2025_Bioplastic_extra.xlsx]extra_Bioplastic'!C750)</f>
        <v/>
      </c>
      <c r="D750">
        <f>IF(ISBLANK('Q:\Abteilungsprojekte\Eng\EngData\PROJECT_Bioplastics\Renjie_Pan\05-Raw_Data\Lab_results\[LabSamples2025_Bioplastic_extra.xlsx]extra_Bioplastic'!D750)," ",'Q:\Abteilungsprojekte\Eng\EngData\PROJECT_Bioplastics\Renjie_Pan\05-Raw_Data\Lab_results\[LabSamples2025_Bioplastic_extra.xlsx]extra_Bioplastic'!D750)</f>
        <v/>
      </c>
      <c r="E750">
        <f>IF(ISBLANK('Q:\Abteilungsprojekte\Eng\EngData\PROJECT_Bioplastics\Renjie_Pan\05-Raw_Data\Lab_results\[LabSamples2025_Bioplastic_extra.xlsx]extra_Bioplastic'!E750)," ",'Q:\Abteilungsprojekte\Eng\EngData\PROJECT_Bioplastics\Renjie_Pan\05-Raw_Data\Lab_results\[LabSamples2025_Bioplastic_extra.xlsx]extra_Bioplastic'!E750)</f>
        <v/>
      </c>
      <c r="F750">
        <f>IF(ISBLANK('Q:\Abteilungsprojekte\Eng\EngData\PROJECT_Bioplastics\Renjie_Pan\05-Raw_Data\Lab_results\[LabSamples2025_Bioplastic_extra.xlsx]extra_Bioplastic'!F750)," ",'Q:\Abteilungsprojekte\Eng\EngData\PROJECT_Bioplastics\Renjie_Pan\05-Raw_Data\Lab_results\[LabSamples2025_Bioplastic_extra.xlsx]extra_Bioplastic'!F750)</f>
        <v/>
      </c>
      <c r="G750">
        <f>IF(ISBLANK('Q:\Abteilungsprojekte\Eng\EngData\PROJECT_Bioplastics\Renjie_Pan\05-Raw_Data\Lab_results\[LabSamples2025_Bioplastic_extra.xlsx]extra_Bioplastic'!G750)," ",'Q:\Abteilungsprojekte\Eng\EngData\PROJECT_Bioplastics\Renjie_Pan\05-Raw_Data\Lab_results\[LabSamples2025_Bioplastic_extra.xlsx]extra_Bioplastic'!G750)</f>
        <v/>
      </c>
      <c r="H750">
        <f>IF(ISBLANK('Q:\Abteilungsprojekte\Eng\EngData\PROJECT_Bioplastics\Renjie_Pan\05-Raw_Data\Lab_results\[LabSamples2025_Bioplastic_extra.xlsx]extra_Bioplastic'!H750)," ",'Q:\Abteilungsprojekte\Eng\EngData\PROJECT_Bioplastics\Renjie_Pan\05-Raw_Data\Lab_results\[LabSamples2025_Bioplastic_extra.xlsx]extra_Bioplastic'!H750)</f>
        <v/>
      </c>
    </row>
    <row r="751">
      <c r="A751">
        <f>IF(ISBLANK('Q:\Abteilungsprojekte\Eng\EngData\PROJECT_Bioplastics\Renjie_Pan\05-Raw_Data\Lab_results\[LabSamples2025_Bioplastic_extra.xlsx]extra_Bioplastic'!A751)," ",'Q:\Abteilungsprojekte\Eng\EngData\PROJECT_Bioplastics\Renjie_Pan\05-Raw_Data\Lab_results\[LabSamples2025_Bioplastic_extra.xlsx]extra_Bioplastic'!A751)</f>
        <v/>
      </c>
      <c r="B751">
        <f>IF(ISBLANK('Q:\Abteilungsprojekte\Eng\EngData\PROJECT_Bioplastics\Renjie_Pan\05-Raw_Data\Lab_results\[LabSamples2025_Bioplastic_extra.xlsx]extra_Bioplastic'!B751)," ",'Q:\Abteilungsprojekte\Eng\EngData\PROJECT_Bioplastics\Renjie_Pan\05-Raw_Data\Lab_results\[LabSamples2025_Bioplastic_extra.xlsx]extra_Bioplastic'!B751)</f>
        <v/>
      </c>
      <c r="C751">
        <f>IF(ISBLANK('Q:\Abteilungsprojekte\Eng\EngData\PROJECT_Bioplastics\Renjie_Pan\05-Raw_Data\Lab_results\[LabSamples2025_Bioplastic_extra.xlsx]extra_Bioplastic'!C751)," ",'Q:\Abteilungsprojekte\Eng\EngData\PROJECT_Bioplastics\Renjie_Pan\05-Raw_Data\Lab_results\[LabSamples2025_Bioplastic_extra.xlsx]extra_Bioplastic'!C751)</f>
        <v/>
      </c>
      <c r="D751">
        <f>IF(ISBLANK('Q:\Abteilungsprojekte\Eng\EngData\PROJECT_Bioplastics\Renjie_Pan\05-Raw_Data\Lab_results\[LabSamples2025_Bioplastic_extra.xlsx]extra_Bioplastic'!D751)," ",'Q:\Abteilungsprojekte\Eng\EngData\PROJECT_Bioplastics\Renjie_Pan\05-Raw_Data\Lab_results\[LabSamples2025_Bioplastic_extra.xlsx]extra_Bioplastic'!D751)</f>
        <v/>
      </c>
      <c r="E751">
        <f>IF(ISBLANK('Q:\Abteilungsprojekte\Eng\EngData\PROJECT_Bioplastics\Renjie_Pan\05-Raw_Data\Lab_results\[LabSamples2025_Bioplastic_extra.xlsx]extra_Bioplastic'!E751)," ",'Q:\Abteilungsprojekte\Eng\EngData\PROJECT_Bioplastics\Renjie_Pan\05-Raw_Data\Lab_results\[LabSamples2025_Bioplastic_extra.xlsx]extra_Bioplastic'!E751)</f>
        <v/>
      </c>
      <c r="F751">
        <f>IF(ISBLANK('Q:\Abteilungsprojekte\Eng\EngData\PROJECT_Bioplastics\Renjie_Pan\05-Raw_Data\Lab_results\[LabSamples2025_Bioplastic_extra.xlsx]extra_Bioplastic'!F751)," ",'Q:\Abteilungsprojekte\Eng\EngData\PROJECT_Bioplastics\Renjie_Pan\05-Raw_Data\Lab_results\[LabSamples2025_Bioplastic_extra.xlsx]extra_Bioplastic'!F751)</f>
        <v/>
      </c>
      <c r="G751">
        <f>IF(ISBLANK('Q:\Abteilungsprojekte\Eng\EngData\PROJECT_Bioplastics\Renjie_Pan\05-Raw_Data\Lab_results\[LabSamples2025_Bioplastic_extra.xlsx]extra_Bioplastic'!G751)," ",'Q:\Abteilungsprojekte\Eng\EngData\PROJECT_Bioplastics\Renjie_Pan\05-Raw_Data\Lab_results\[LabSamples2025_Bioplastic_extra.xlsx]extra_Bioplastic'!G751)</f>
        <v/>
      </c>
      <c r="H751">
        <f>IF(ISBLANK('Q:\Abteilungsprojekte\Eng\EngData\PROJECT_Bioplastics\Renjie_Pan\05-Raw_Data\Lab_results\[LabSamples2025_Bioplastic_extra.xlsx]extra_Bioplastic'!H751)," ",'Q:\Abteilungsprojekte\Eng\EngData\PROJECT_Bioplastics\Renjie_Pan\05-Raw_Data\Lab_results\[LabSamples2025_Bioplastic_extra.xlsx]extra_Bioplastic'!H751)</f>
        <v/>
      </c>
    </row>
    <row r="752">
      <c r="A752">
        <f>IF(ISBLANK('Q:\Abteilungsprojekte\Eng\EngData\PROJECT_Bioplastics\Renjie_Pan\05-Raw_Data\Lab_results\[LabSamples2025_Bioplastic_extra.xlsx]extra_Bioplastic'!A752)," ",'Q:\Abteilungsprojekte\Eng\EngData\PROJECT_Bioplastics\Renjie_Pan\05-Raw_Data\Lab_results\[LabSamples2025_Bioplastic_extra.xlsx]extra_Bioplastic'!A752)</f>
        <v/>
      </c>
      <c r="B752">
        <f>IF(ISBLANK('Q:\Abteilungsprojekte\Eng\EngData\PROJECT_Bioplastics\Renjie_Pan\05-Raw_Data\Lab_results\[LabSamples2025_Bioplastic_extra.xlsx]extra_Bioplastic'!B752)," ",'Q:\Abteilungsprojekte\Eng\EngData\PROJECT_Bioplastics\Renjie_Pan\05-Raw_Data\Lab_results\[LabSamples2025_Bioplastic_extra.xlsx]extra_Bioplastic'!B752)</f>
        <v/>
      </c>
      <c r="C752">
        <f>IF(ISBLANK('Q:\Abteilungsprojekte\Eng\EngData\PROJECT_Bioplastics\Renjie_Pan\05-Raw_Data\Lab_results\[LabSamples2025_Bioplastic_extra.xlsx]extra_Bioplastic'!C752)," ",'Q:\Abteilungsprojekte\Eng\EngData\PROJECT_Bioplastics\Renjie_Pan\05-Raw_Data\Lab_results\[LabSamples2025_Bioplastic_extra.xlsx]extra_Bioplastic'!C752)</f>
        <v/>
      </c>
      <c r="D752">
        <f>IF(ISBLANK('Q:\Abteilungsprojekte\Eng\EngData\PROJECT_Bioplastics\Renjie_Pan\05-Raw_Data\Lab_results\[LabSamples2025_Bioplastic_extra.xlsx]extra_Bioplastic'!D752)," ",'Q:\Abteilungsprojekte\Eng\EngData\PROJECT_Bioplastics\Renjie_Pan\05-Raw_Data\Lab_results\[LabSamples2025_Bioplastic_extra.xlsx]extra_Bioplastic'!D752)</f>
        <v/>
      </c>
      <c r="E752">
        <f>IF(ISBLANK('Q:\Abteilungsprojekte\Eng\EngData\PROJECT_Bioplastics\Renjie_Pan\05-Raw_Data\Lab_results\[LabSamples2025_Bioplastic_extra.xlsx]extra_Bioplastic'!E752)," ",'Q:\Abteilungsprojekte\Eng\EngData\PROJECT_Bioplastics\Renjie_Pan\05-Raw_Data\Lab_results\[LabSamples2025_Bioplastic_extra.xlsx]extra_Bioplastic'!E752)</f>
        <v/>
      </c>
      <c r="F752">
        <f>IF(ISBLANK('Q:\Abteilungsprojekte\Eng\EngData\PROJECT_Bioplastics\Renjie_Pan\05-Raw_Data\Lab_results\[LabSamples2025_Bioplastic_extra.xlsx]extra_Bioplastic'!F752)," ",'Q:\Abteilungsprojekte\Eng\EngData\PROJECT_Bioplastics\Renjie_Pan\05-Raw_Data\Lab_results\[LabSamples2025_Bioplastic_extra.xlsx]extra_Bioplastic'!F752)</f>
        <v/>
      </c>
      <c r="G752">
        <f>IF(ISBLANK('Q:\Abteilungsprojekte\Eng\EngData\PROJECT_Bioplastics\Renjie_Pan\05-Raw_Data\Lab_results\[LabSamples2025_Bioplastic_extra.xlsx]extra_Bioplastic'!G752)," ",'Q:\Abteilungsprojekte\Eng\EngData\PROJECT_Bioplastics\Renjie_Pan\05-Raw_Data\Lab_results\[LabSamples2025_Bioplastic_extra.xlsx]extra_Bioplastic'!G752)</f>
        <v/>
      </c>
      <c r="H752">
        <f>IF(ISBLANK('Q:\Abteilungsprojekte\Eng\EngData\PROJECT_Bioplastics\Renjie_Pan\05-Raw_Data\Lab_results\[LabSamples2025_Bioplastic_extra.xlsx]extra_Bioplastic'!H752)," ",'Q:\Abteilungsprojekte\Eng\EngData\PROJECT_Bioplastics\Renjie_Pan\05-Raw_Data\Lab_results\[LabSamples2025_Bioplastic_extra.xlsx]extra_Bioplastic'!H752)</f>
        <v/>
      </c>
    </row>
    <row r="753">
      <c r="A753">
        <f>IF(ISBLANK('Q:\Abteilungsprojekte\Eng\EngData\PROJECT_Bioplastics\Renjie_Pan\05-Raw_Data\Lab_results\[LabSamples2025_Bioplastic_extra.xlsx]extra_Bioplastic'!A753)," ",'Q:\Abteilungsprojekte\Eng\EngData\PROJECT_Bioplastics\Renjie_Pan\05-Raw_Data\Lab_results\[LabSamples2025_Bioplastic_extra.xlsx]extra_Bioplastic'!A753)</f>
        <v/>
      </c>
      <c r="B753">
        <f>IF(ISBLANK('Q:\Abteilungsprojekte\Eng\EngData\PROJECT_Bioplastics\Renjie_Pan\05-Raw_Data\Lab_results\[LabSamples2025_Bioplastic_extra.xlsx]extra_Bioplastic'!B753)," ",'Q:\Abteilungsprojekte\Eng\EngData\PROJECT_Bioplastics\Renjie_Pan\05-Raw_Data\Lab_results\[LabSamples2025_Bioplastic_extra.xlsx]extra_Bioplastic'!B753)</f>
        <v/>
      </c>
      <c r="C753">
        <f>IF(ISBLANK('Q:\Abteilungsprojekte\Eng\EngData\PROJECT_Bioplastics\Renjie_Pan\05-Raw_Data\Lab_results\[LabSamples2025_Bioplastic_extra.xlsx]extra_Bioplastic'!C753)," ",'Q:\Abteilungsprojekte\Eng\EngData\PROJECT_Bioplastics\Renjie_Pan\05-Raw_Data\Lab_results\[LabSamples2025_Bioplastic_extra.xlsx]extra_Bioplastic'!C753)</f>
        <v/>
      </c>
      <c r="D753">
        <f>IF(ISBLANK('Q:\Abteilungsprojekte\Eng\EngData\PROJECT_Bioplastics\Renjie_Pan\05-Raw_Data\Lab_results\[LabSamples2025_Bioplastic_extra.xlsx]extra_Bioplastic'!D753)," ",'Q:\Abteilungsprojekte\Eng\EngData\PROJECT_Bioplastics\Renjie_Pan\05-Raw_Data\Lab_results\[LabSamples2025_Bioplastic_extra.xlsx]extra_Bioplastic'!D753)</f>
        <v/>
      </c>
      <c r="E753">
        <f>IF(ISBLANK('Q:\Abteilungsprojekte\Eng\EngData\PROJECT_Bioplastics\Renjie_Pan\05-Raw_Data\Lab_results\[LabSamples2025_Bioplastic_extra.xlsx]extra_Bioplastic'!E753)," ",'Q:\Abteilungsprojekte\Eng\EngData\PROJECT_Bioplastics\Renjie_Pan\05-Raw_Data\Lab_results\[LabSamples2025_Bioplastic_extra.xlsx]extra_Bioplastic'!E753)</f>
        <v/>
      </c>
      <c r="F753">
        <f>IF(ISBLANK('Q:\Abteilungsprojekte\Eng\EngData\PROJECT_Bioplastics\Renjie_Pan\05-Raw_Data\Lab_results\[LabSamples2025_Bioplastic_extra.xlsx]extra_Bioplastic'!F753)," ",'Q:\Abteilungsprojekte\Eng\EngData\PROJECT_Bioplastics\Renjie_Pan\05-Raw_Data\Lab_results\[LabSamples2025_Bioplastic_extra.xlsx]extra_Bioplastic'!F753)</f>
        <v/>
      </c>
      <c r="G753">
        <f>IF(ISBLANK('Q:\Abteilungsprojekte\Eng\EngData\PROJECT_Bioplastics\Renjie_Pan\05-Raw_Data\Lab_results\[LabSamples2025_Bioplastic_extra.xlsx]extra_Bioplastic'!G753)," ",'Q:\Abteilungsprojekte\Eng\EngData\PROJECT_Bioplastics\Renjie_Pan\05-Raw_Data\Lab_results\[LabSamples2025_Bioplastic_extra.xlsx]extra_Bioplastic'!G753)</f>
        <v/>
      </c>
      <c r="H753">
        <f>IF(ISBLANK('Q:\Abteilungsprojekte\Eng\EngData\PROJECT_Bioplastics\Renjie_Pan\05-Raw_Data\Lab_results\[LabSamples2025_Bioplastic_extra.xlsx]extra_Bioplastic'!H753)," ",'Q:\Abteilungsprojekte\Eng\EngData\PROJECT_Bioplastics\Renjie_Pan\05-Raw_Data\Lab_results\[LabSamples2025_Bioplastic_extra.xlsx]extra_Bioplastic'!H753)</f>
        <v/>
      </c>
    </row>
    <row r="754">
      <c r="A754">
        <f>IF(ISBLANK('Q:\Abteilungsprojekte\Eng\EngData\PROJECT_Bioplastics\Renjie_Pan\05-Raw_Data\Lab_results\[LabSamples2025_Bioplastic_extra.xlsx]extra_Bioplastic'!A754)," ",'Q:\Abteilungsprojekte\Eng\EngData\PROJECT_Bioplastics\Renjie_Pan\05-Raw_Data\Lab_results\[LabSamples2025_Bioplastic_extra.xlsx]extra_Bioplastic'!A754)</f>
        <v/>
      </c>
      <c r="B754">
        <f>IF(ISBLANK('Q:\Abteilungsprojekte\Eng\EngData\PROJECT_Bioplastics\Renjie_Pan\05-Raw_Data\Lab_results\[LabSamples2025_Bioplastic_extra.xlsx]extra_Bioplastic'!B754)," ",'Q:\Abteilungsprojekte\Eng\EngData\PROJECT_Bioplastics\Renjie_Pan\05-Raw_Data\Lab_results\[LabSamples2025_Bioplastic_extra.xlsx]extra_Bioplastic'!B754)</f>
        <v/>
      </c>
      <c r="C754">
        <f>IF(ISBLANK('Q:\Abteilungsprojekte\Eng\EngData\PROJECT_Bioplastics\Renjie_Pan\05-Raw_Data\Lab_results\[LabSamples2025_Bioplastic_extra.xlsx]extra_Bioplastic'!C754)," ",'Q:\Abteilungsprojekte\Eng\EngData\PROJECT_Bioplastics\Renjie_Pan\05-Raw_Data\Lab_results\[LabSamples2025_Bioplastic_extra.xlsx]extra_Bioplastic'!C754)</f>
        <v/>
      </c>
      <c r="D754">
        <f>IF(ISBLANK('Q:\Abteilungsprojekte\Eng\EngData\PROJECT_Bioplastics\Renjie_Pan\05-Raw_Data\Lab_results\[LabSamples2025_Bioplastic_extra.xlsx]extra_Bioplastic'!D754)," ",'Q:\Abteilungsprojekte\Eng\EngData\PROJECT_Bioplastics\Renjie_Pan\05-Raw_Data\Lab_results\[LabSamples2025_Bioplastic_extra.xlsx]extra_Bioplastic'!D754)</f>
        <v/>
      </c>
      <c r="E754">
        <f>IF(ISBLANK('Q:\Abteilungsprojekte\Eng\EngData\PROJECT_Bioplastics\Renjie_Pan\05-Raw_Data\Lab_results\[LabSamples2025_Bioplastic_extra.xlsx]extra_Bioplastic'!E754)," ",'Q:\Abteilungsprojekte\Eng\EngData\PROJECT_Bioplastics\Renjie_Pan\05-Raw_Data\Lab_results\[LabSamples2025_Bioplastic_extra.xlsx]extra_Bioplastic'!E754)</f>
        <v/>
      </c>
      <c r="F754">
        <f>IF(ISBLANK('Q:\Abteilungsprojekte\Eng\EngData\PROJECT_Bioplastics\Renjie_Pan\05-Raw_Data\Lab_results\[LabSamples2025_Bioplastic_extra.xlsx]extra_Bioplastic'!F754)," ",'Q:\Abteilungsprojekte\Eng\EngData\PROJECT_Bioplastics\Renjie_Pan\05-Raw_Data\Lab_results\[LabSamples2025_Bioplastic_extra.xlsx]extra_Bioplastic'!F754)</f>
        <v/>
      </c>
      <c r="G754">
        <f>IF(ISBLANK('Q:\Abteilungsprojekte\Eng\EngData\PROJECT_Bioplastics\Renjie_Pan\05-Raw_Data\Lab_results\[LabSamples2025_Bioplastic_extra.xlsx]extra_Bioplastic'!G754)," ",'Q:\Abteilungsprojekte\Eng\EngData\PROJECT_Bioplastics\Renjie_Pan\05-Raw_Data\Lab_results\[LabSamples2025_Bioplastic_extra.xlsx]extra_Bioplastic'!G754)</f>
        <v/>
      </c>
      <c r="H754">
        <f>IF(ISBLANK('Q:\Abteilungsprojekte\Eng\EngData\PROJECT_Bioplastics\Renjie_Pan\05-Raw_Data\Lab_results\[LabSamples2025_Bioplastic_extra.xlsx]extra_Bioplastic'!H754)," ",'Q:\Abteilungsprojekte\Eng\EngData\PROJECT_Bioplastics\Renjie_Pan\05-Raw_Data\Lab_results\[LabSamples2025_Bioplastic_extra.xlsx]extra_Bioplastic'!H754)</f>
        <v/>
      </c>
    </row>
    <row r="755">
      <c r="A755">
        <f>IF(ISBLANK('Q:\Abteilungsprojekte\Eng\EngData\PROJECT_Bioplastics\Renjie_Pan\05-Raw_Data\Lab_results\[LabSamples2025_Bioplastic_extra.xlsx]extra_Bioplastic'!A755)," ",'Q:\Abteilungsprojekte\Eng\EngData\PROJECT_Bioplastics\Renjie_Pan\05-Raw_Data\Lab_results\[LabSamples2025_Bioplastic_extra.xlsx]extra_Bioplastic'!A755)</f>
        <v/>
      </c>
      <c r="B755">
        <f>IF(ISBLANK('Q:\Abteilungsprojekte\Eng\EngData\PROJECT_Bioplastics\Renjie_Pan\05-Raw_Data\Lab_results\[LabSamples2025_Bioplastic_extra.xlsx]extra_Bioplastic'!B755)," ",'Q:\Abteilungsprojekte\Eng\EngData\PROJECT_Bioplastics\Renjie_Pan\05-Raw_Data\Lab_results\[LabSamples2025_Bioplastic_extra.xlsx]extra_Bioplastic'!B755)</f>
        <v/>
      </c>
      <c r="C755">
        <f>IF(ISBLANK('Q:\Abteilungsprojekte\Eng\EngData\PROJECT_Bioplastics\Renjie_Pan\05-Raw_Data\Lab_results\[LabSamples2025_Bioplastic_extra.xlsx]extra_Bioplastic'!C755)," ",'Q:\Abteilungsprojekte\Eng\EngData\PROJECT_Bioplastics\Renjie_Pan\05-Raw_Data\Lab_results\[LabSamples2025_Bioplastic_extra.xlsx]extra_Bioplastic'!C755)</f>
        <v/>
      </c>
      <c r="D755">
        <f>IF(ISBLANK('Q:\Abteilungsprojekte\Eng\EngData\PROJECT_Bioplastics\Renjie_Pan\05-Raw_Data\Lab_results\[LabSamples2025_Bioplastic_extra.xlsx]extra_Bioplastic'!D755)," ",'Q:\Abteilungsprojekte\Eng\EngData\PROJECT_Bioplastics\Renjie_Pan\05-Raw_Data\Lab_results\[LabSamples2025_Bioplastic_extra.xlsx]extra_Bioplastic'!D755)</f>
        <v/>
      </c>
      <c r="E755">
        <f>IF(ISBLANK('Q:\Abteilungsprojekte\Eng\EngData\PROJECT_Bioplastics\Renjie_Pan\05-Raw_Data\Lab_results\[LabSamples2025_Bioplastic_extra.xlsx]extra_Bioplastic'!E755)," ",'Q:\Abteilungsprojekte\Eng\EngData\PROJECT_Bioplastics\Renjie_Pan\05-Raw_Data\Lab_results\[LabSamples2025_Bioplastic_extra.xlsx]extra_Bioplastic'!E755)</f>
        <v/>
      </c>
      <c r="F755">
        <f>IF(ISBLANK('Q:\Abteilungsprojekte\Eng\EngData\PROJECT_Bioplastics\Renjie_Pan\05-Raw_Data\Lab_results\[LabSamples2025_Bioplastic_extra.xlsx]extra_Bioplastic'!F755)," ",'Q:\Abteilungsprojekte\Eng\EngData\PROJECT_Bioplastics\Renjie_Pan\05-Raw_Data\Lab_results\[LabSamples2025_Bioplastic_extra.xlsx]extra_Bioplastic'!F755)</f>
        <v/>
      </c>
      <c r="G755">
        <f>IF(ISBLANK('Q:\Abteilungsprojekte\Eng\EngData\PROJECT_Bioplastics\Renjie_Pan\05-Raw_Data\Lab_results\[LabSamples2025_Bioplastic_extra.xlsx]extra_Bioplastic'!G755)," ",'Q:\Abteilungsprojekte\Eng\EngData\PROJECT_Bioplastics\Renjie_Pan\05-Raw_Data\Lab_results\[LabSamples2025_Bioplastic_extra.xlsx]extra_Bioplastic'!G755)</f>
        <v/>
      </c>
      <c r="H755">
        <f>IF(ISBLANK('Q:\Abteilungsprojekte\Eng\EngData\PROJECT_Bioplastics\Renjie_Pan\05-Raw_Data\Lab_results\[LabSamples2025_Bioplastic_extra.xlsx]extra_Bioplastic'!H755)," ",'Q:\Abteilungsprojekte\Eng\EngData\PROJECT_Bioplastics\Renjie_Pan\05-Raw_Data\Lab_results\[LabSamples2025_Bioplastic_extra.xlsx]extra_Bioplastic'!H755)</f>
        <v/>
      </c>
    </row>
    <row r="756">
      <c r="A756">
        <f>IF(ISBLANK('Q:\Abteilungsprojekte\Eng\EngData\PROJECT_Bioplastics\Renjie_Pan\05-Raw_Data\Lab_results\[LabSamples2025_Bioplastic_extra.xlsx]extra_Bioplastic'!A756)," ",'Q:\Abteilungsprojekte\Eng\EngData\PROJECT_Bioplastics\Renjie_Pan\05-Raw_Data\Lab_results\[LabSamples2025_Bioplastic_extra.xlsx]extra_Bioplastic'!A756)</f>
        <v/>
      </c>
      <c r="B756">
        <f>IF(ISBLANK('Q:\Abteilungsprojekte\Eng\EngData\PROJECT_Bioplastics\Renjie_Pan\05-Raw_Data\Lab_results\[LabSamples2025_Bioplastic_extra.xlsx]extra_Bioplastic'!B756)," ",'Q:\Abteilungsprojekte\Eng\EngData\PROJECT_Bioplastics\Renjie_Pan\05-Raw_Data\Lab_results\[LabSamples2025_Bioplastic_extra.xlsx]extra_Bioplastic'!B756)</f>
        <v/>
      </c>
      <c r="C756">
        <f>IF(ISBLANK('Q:\Abteilungsprojekte\Eng\EngData\PROJECT_Bioplastics\Renjie_Pan\05-Raw_Data\Lab_results\[LabSamples2025_Bioplastic_extra.xlsx]extra_Bioplastic'!C756)," ",'Q:\Abteilungsprojekte\Eng\EngData\PROJECT_Bioplastics\Renjie_Pan\05-Raw_Data\Lab_results\[LabSamples2025_Bioplastic_extra.xlsx]extra_Bioplastic'!C756)</f>
        <v/>
      </c>
      <c r="D756">
        <f>IF(ISBLANK('Q:\Abteilungsprojekte\Eng\EngData\PROJECT_Bioplastics\Renjie_Pan\05-Raw_Data\Lab_results\[LabSamples2025_Bioplastic_extra.xlsx]extra_Bioplastic'!D756)," ",'Q:\Abteilungsprojekte\Eng\EngData\PROJECT_Bioplastics\Renjie_Pan\05-Raw_Data\Lab_results\[LabSamples2025_Bioplastic_extra.xlsx]extra_Bioplastic'!D756)</f>
        <v/>
      </c>
      <c r="E756">
        <f>IF(ISBLANK('Q:\Abteilungsprojekte\Eng\EngData\PROJECT_Bioplastics\Renjie_Pan\05-Raw_Data\Lab_results\[LabSamples2025_Bioplastic_extra.xlsx]extra_Bioplastic'!E756)," ",'Q:\Abteilungsprojekte\Eng\EngData\PROJECT_Bioplastics\Renjie_Pan\05-Raw_Data\Lab_results\[LabSamples2025_Bioplastic_extra.xlsx]extra_Bioplastic'!E756)</f>
        <v/>
      </c>
      <c r="F756">
        <f>IF(ISBLANK('Q:\Abteilungsprojekte\Eng\EngData\PROJECT_Bioplastics\Renjie_Pan\05-Raw_Data\Lab_results\[LabSamples2025_Bioplastic_extra.xlsx]extra_Bioplastic'!F756)," ",'Q:\Abteilungsprojekte\Eng\EngData\PROJECT_Bioplastics\Renjie_Pan\05-Raw_Data\Lab_results\[LabSamples2025_Bioplastic_extra.xlsx]extra_Bioplastic'!F756)</f>
        <v/>
      </c>
      <c r="G756">
        <f>IF(ISBLANK('Q:\Abteilungsprojekte\Eng\EngData\PROJECT_Bioplastics\Renjie_Pan\05-Raw_Data\Lab_results\[LabSamples2025_Bioplastic_extra.xlsx]extra_Bioplastic'!G756)," ",'Q:\Abteilungsprojekte\Eng\EngData\PROJECT_Bioplastics\Renjie_Pan\05-Raw_Data\Lab_results\[LabSamples2025_Bioplastic_extra.xlsx]extra_Bioplastic'!G756)</f>
        <v/>
      </c>
      <c r="H756">
        <f>IF(ISBLANK('Q:\Abteilungsprojekte\Eng\EngData\PROJECT_Bioplastics\Renjie_Pan\05-Raw_Data\Lab_results\[LabSamples2025_Bioplastic_extra.xlsx]extra_Bioplastic'!H756)," ",'Q:\Abteilungsprojekte\Eng\EngData\PROJECT_Bioplastics\Renjie_Pan\05-Raw_Data\Lab_results\[LabSamples2025_Bioplastic_extra.xlsx]extra_Bioplastic'!H756)</f>
        <v/>
      </c>
    </row>
    <row r="757">
      <c r="A757">
        <f>IF(ISBLANK('Q:\Abteilungsprojekte\Eng\EngData\PROJECT_Bioplastics\Renjie_Pan\05-Raw_Data\Lab_results\[LabSamples2025_Bioplastic_extra.xlsx]extra_Bioplastic'!A757)," ",'Q:\Abteilungsprojekte\Eng\EngData\PROJECT_Bioplastics\Renjie_Pan\05-Raw_Data\Lab_results\[LabSamples2025_Bioplastic_extra.xlsx]extra_Bioplastic'!A757)</f>
        <v/>
      </c>
      <c r="B757">
        <f>IF(ISBLANK('Q:\Abteilungsprojekte\Eng\EngData\PROJECT_Bioplastics\Renjie_Pan\05-Raw_Data\Lab_results\[LabSamples2025_Bioplastic_extra.xlsx]extra_Bioplastic'!B757)," ",'Q:\Abteilungsprojekte\Eng\EngData\PROJECT_Bioplastics\Renjie_Pan\05-Raw_Data\Lab_results\[LabSamples2025_Bioplastic_extra.xlsx]extra_Bioplastic'!B757)</f>
        <v/>
      </c>
      <c r="C757">
        <f>IF(ISBLANK('Q:\Abteilungsprojekte\Eng\EngData\PROJECT_Bioplastics\Renjie_Pan\05-Raw_Data\Lab_results\[LabSamples2025_Bioplastic_extra.xlsx]extra_Bioplastic'!C757)," ",'Q:\Abteilungsprojekte\Eng\EngData\PROJECT_Bioplastics\Renjie_Pan\05-Raw_Data\Lab_results\[LabSamples2025_Bioplastic_extra.xlsx]extra_Bioplastic'!C757)</f>
        <v/>
      </c>
      <c r="D757">
        <f>IF(ISBLANK('Q:\Abteilungsprojekte\Eng\EngData\PROJECT_Bioplastics\Renjie_Pan\05-Raw_Data\Lab_results\[LabSamples2025_Bioplastic_extra.xlsx]extra_Bioplastic'!D757)," ",'Q:\Abteilungsprojekte\Eng\EngData\PROJECT_Bioplastics\Renjie_Pan\05-Raw_Data\Lab_results\[LabSamples2025_Bioplastic_extra.xlsx]extra_Bioplastic'!D757)</f>
        <v/>
      </c>
      <c r="E757">
        <f>IF(ISBLANK('Q:\Abteilungsprojekte\Eng\EngData\PROJECT_Bioplastics\Renjie_Pan\05-Raw_Data\Lab_results\[LabSamples2025_Bioplastic_extra.xlsx]extra_Bioplastic'!E757)," ",'Q:\Abteilungsprojekte\Eng\EngData\PROJECT_Bioplastics\Renjie_Pan\05-Raw_Data\Lab_results\[LabSamples2025_Bioplastic_extra.xlsx]extra_Bioplastic'!E757)</f>
        <v/>
      </c>
      <c r="F757">
        <f>IF(ISBLANK('Q:\Abteilungsprojekte\Eng\EngData\PROJECT_Bioplastics\Renjie_Pan\05-Raw_Data\Lab_results\[LabSamples2025_Bioplastic_extra.xlsx]extra_Bioplastic'!F757)," ",'Q:\Abteilungsprojekte\Eng\EngData\PROJECT_Bioplastics\Renjie_Pan\05-Raw_Data\Lab_results\[LabSamples2025_Bioplastic_extra.xlsx]extra_Bioplastic'!F757)</f>
        <v/>
      </c>
      <c r="G757">
        <f>IF(ISBLANK('Q:\Abteilungsprojekte\Eng\EngData\PROJECT_Bioplastics\Renjie_Pan\05-Raw_Data\Lab_results\[LabSamples2025_Bioplastic_extra.xlsx]extra_Bioplastic'!G757)," ",'Q:\Abteilungsprojekte\Eng\EngData\PROJECT_Bioplastics\Renjie_Pan\05-Raw_Data\Lab_results\[LabSamples2025_Bioplastic_extra.xlsx]extra_Bioplastic'!G757)</f>
        <v/>
      </c>
      <c r="H757">
        <f>IF(ISBLANK('Q:\Abteilungsprojekte\Eng\EngData\PROJECT_Bioplastics\Renjie_Pan\05-Raw_Data\Lab_results\[LabSamples2025_Bioplastic_extra.xlsx]extra_Bioplastic'!H757)," ",'Q:\Abteilungsprojekte\Eng\EngData\PROJECT_Bioplastics\Renjie_Pan\05-Raw_Data\Lab_results\[LabSamples2025_Bioplastic_extra.xlsx]extra_Bioplastic'!H757)</f>
        <v/>
      </c>
    </row>
    <row r="758">
      <c r="A758">
        <f>IF(ISBLANK('Q:\Abteilungsprojekte\Eng\EngData\PROJECT_Bioplastics\Renjie_Pan\05-Raw_Data\Lab_results\[LabSamples2025_Bioplastic_extra.xlsx]extra_Bioplastic'!A758)," ",'Q:\Abteilungsprojekte\Eng\EngData\PROJECT_Bioplastics\Renjie_Pan\05-Raw_Data\Lab_results\[LabSamples2025_Bioplastic_extra.xlsx]extra_Bioplastic'!A758)</f>
        <v/>
      </c>
      <c r="B758">
        <f>IF(ISBLANK('Q:\Abteilungsprojekte\Eng\EngData\PROJECT_Bioplastics\Renjie_Pan\05-Raw_Data\Lab_results\[LabSamples2025_Bioplastic_extra.xlsx]extra_Bioplastic'!B758)," ",'Q:\Abteilungsprojekte\Eng\EngData\PROJECT_Bioplastics\Renjie_Pan\05-Raw_Data\Lab_results\[LabSamples2025_Bioplastic_extra.xlsx]extra_Bioplastic'!B758)</f>
        <v/>
      </c>
      <c r="C758">
        <f>IF(ISBLANK('Q:\Abteilungsprojekte\Eng\EngData\PROJECT_Bioplastics\Renjie_Pan\05-Raw_Data\Lab_results\[LabSamples2025_Bioplastic_extra.xlsx]extra_Bioplastic'!C758)," ",'Q:\Abteilungsprojekte\Eng\EngData\PROJECT_Bioplastics\Renjie_Pan\05-Raw_Data\Lab_results\[LabSamples2025_Bioplastic_extra.xlsx]extra_Bioplastic'!C758)</f>
        <v/>
      </c>
      <c r="D758">
        <f>IF(ISBLANK('Q:\Abteilungsprojekte\Eng\EngData\PROJECT_Bioplastics\Renjie_Pan\05-Raw_Data\Lab_results\[LabSamples2025_Bioplastic_extra.xlsx]extra_Bioplastic'!D758)," ",'Q:\Abteilungsprojekte\Eng\EngData\PROJECT_Bioplastics\Renjie_Pan\05-Raw_Data\Lab_results\[LabSamples2025_Bioplastic_extra.xlsx]extra_Bioplastic'!D758)</f>
        <v/>
      </c>
      <c r="E758">
        <f>IF(ISBLANK('Q:\Abteilungsprojekte\Eng\EngData\PROJECT_Bioplastics\Renjie_Pan\05-Raw_Data\Lab_results\[LabSamples2025_Bioplastic_extra.xlsx]extra_Bioplastic'!E758)," ",'Q:\Abteilungsprojekte\Eng\EngData\PROJECT_Bioplastics\Renjie_Pan\05-Raw_Data\Lab_results\[LabSamples2025_Bioplastic_extra.xlsx]extra_Bioplastic'!E758)</f>
        <v/>
      </c>
      <c r="F758">
        <f>IF(ISBLANK('Q:\Abteilungsprojekte\Eng\EngData\PROJECT_Bioplastics\Renjie_Pan\05-Raw_Data\Lab_results\[LabSamples2025_Bioplastic_extra.xlsx]extra_Bioplastic'!F758)," ",'Q:\Abteilungsprojekte\Eng\EngData\PROJECT_Bioplastics\Renjie_Pan\05-Raw_Data\Lab_results\[LabSamples2025_Bioplastic_extra.xlsx]extra_Bioplastic'!F758)</f>
        <v/>
      </c>
      <c r="G758">
        <f>IF(ISBLANK('Q:\Abteilungsprojekte\Eng\EngData\PROJECT_Bioplastics\Renjie_Pan\05-Raw_Data\Lab_results\[LabSamples2025_Bioplastic_extra.xlsx]extra_Bioplastic'!G758)," ",'Q:\Abteilungsprojekte\Eng\EngData\PROJECT_Bioplastics\Renjie_Pan\05-Raw_Data\Lab_results\[LabSamples2025_Bioplastic_extra.xlsx]extra_Bioplastic'!G758)</f>
        <v/>
      </c>
      <c r="H758">
        <f>IF(ISBLANK('Q:\Abteilungsprojekte\Eng\EngData\PROJECT_Bioplastics\Renjie_Pan\05-Raw_Data\Lab_results\[LabSamples2025_Bioplastic_extra.xlsx]extra_Bioplastic'!H758)," ",'Q:\Abteilungsprojekte\Eng\EngData\PROJECT_Bioplastics\Renjie_Pan\05-Raw_Data\Lab_results\[LabSamples2025_Bioplastic_extra.xlsx]extra_Bioplastic'!H758)</f>
        <v/>
      </c>
    </row>
    <row r="759">
      <c r="A759">
        <f>IF(ISBLANK('Q:\Abteilungsprojekte\Eng\EngData\PROJECT_Bioplastics\Renjie_Pan\05-Raw_Data\Lab_results\[LabSamples2025_Bioplastic_extra.xlsx]extra_Bioplastic'!A759)," ",'Q:\Abteilungsprojekte\Eng\EngData\PROJECT_Bioplastics\Renjie_Pan\05-Raw_Data\Lab_results\[LabSamples2025_Bioplastic_extra.xlsx]extra_Bioplastic'!A759)</f>
        <v/>
      </c>
      <c r="B759">
        <f>IF(ISBLANK('Q:\Abteilungsprojekte\Eng\EngData\PROJECT_Bioplastics\Renjie_Pan\05-Raw_Data\Lab_results\[LabSamples2025_Bioplastic_extra.xlsx]extra_Bioplastic'!B759)," ",'Q:\Abteilungsprojekte\Eng\EngData\PROJECT_Bioplastics\Renjie_Pan\05-Raw_Data\Lab_results\[LabSamples2025_Bioplastic_extra.xlsx]extra_Bioplastic'!B759)</f>
        <v/>
      </c>
      <c r="C759">
        <f>IF(ISBLANK('Q:\Abteilungsprojekte\Eng\EngData\PROJECT_Bioplastics\Renjie_Pan\05-Raw_Data\Lab_results\[LabSamples2025_Bioplastic_extra.xlsx]extra_Bioplastic'!C759)," ",'Q:\Abteilungsprojekte\Eng\EngData\PROJECT_Bioplastics\Renjie_Pan\05-Raw_Data\Lab_results\[LabSamples2025_Bioplastic_extra.xlsx]extra_Bioplastic'!C759)</f>
        <v/>
      </c>
      <c r="D759">
        <f>IF(ISBLANK('Q:\Abteilungsprojekte\Eng\EngData\PROJECT_Bioplastics\Renjie_Pan\05-Raw_Data\Lab_results\[LabSamples2025_Bioplastic_extra.xlsx]extra_Bioplastic'!D759)," ",'Q:\Abteilungsprojekte\Eng\EngData\PROJECT_Bioplastics\Renjie_Pan\05-Raw_Data\Lab_results\[LabSamples2025_Bioplastic_extra.xlsx]extra_Bioplastic'!D759)</f>
        <v/>
      </c>
      <c r="E759">
        <f>IF(ISBLANK('Q:\Abteilungsprojekte\Eng\EngData\PROJECT_Bioplastics\Renjie_Pan\05-Raw_Data\Lab_results\[LabSamples2025_Bioplastic_extra.xlsx]extra_Bioplastic'!E759)," ",'Q:\Abteilungsprojekte\Eng\EngData\PROJECT_Bioplastics\Renjie_Pan\05-Raw_Data\Lab_results\[LabSamples2025_Bioplastic_extra.xlsx]extra_Bioplastic'!E759)</f>
        <v/>
      </c>
      <c r="F759">
        <f>IF(ISBLANK('Q:\Abteilungsprojekte\Eng\EngData\PROJECT_Bioplastics\Renjie_Pan\05-Raw_Data\Lab_results\[LabSamples2025_Bioplastic_extra.xlsx]extra_Bioplastic'!F759)," ",'Q:\Abteilungsprojekte\Eng\EngData\PROJECT_Bioplastics\Renjie_Pan\05-Raw_Data\Lab_results\[LabSamples2025_Bioplastic_extra.xlsx]extra_Bioplastic'!F759)</f>
        <v/>
      </c>
      <c r="G759">
        <f>IF(ISBLANK('Q:\Abteilungsprojekte\Eng\EngData\PROJECT_Bioplastics\Renjie_Pan\05-Raw_Data\Lab_results\[LabSamples2025_Bioplastic_extra.xlsx]extra_Bioplastic'!G759)," ",'Q:\Abteilungsprojekte\Eng\EngData\PROJECT_Bioplastics\Renjie_Pan\05-Raw_Data\Lab_results\[LabSamples2025_Bioplastic_extra.xlsx]extra_Bioplastic'!G759)</f>
        <v/>
      </c>
      <c r="H759">
        <f>IF(ISBLANK('Q:\Abteilungsprojekte\Eng\EngData\PROJECT_Bioplastics\Renjie_Pan\05-Raw_Data\Lab_results\[LabSamples2025_Bioplastic_extra.xlsx]extra_Bioplastic'!H759)," ",'Q:\Abteilungsprojekte\Eng\EngData\PROJECT_Bioplastics\Renjie_Pan\05-Raw_Data\Lab_results\[LabSamples2025_Bioplastic_extra.xlsx]extra_Bioplastic'!H759)</f>
        <v/>
      </c>
    </row>
    <row r="760">
      <c r="A760">
        <f>IF(ISBLANK('Q:\Abteilungsprojekte\Eng\EngData\PROJECT_Bioplastics\Renjie_Pan\05-Raw_Data\Lab_results\[LabSamples2025_Bioplastic_extra.xlsx]extra_Bioplastic'!A760)," ",'Q:\Abteilungsprojekte\Eng\EngData\PROJECT_Bioplastics\Renjie_Pan\05-Raw_Data\Lab_results\[LabSamples2025_Bioplastic_extra.xlsx]extra_Bioplastic'!A760)</f>
        <v/>
      </c>
      <c r="B760">
        <f>IF(ISBLANK('Q:\Abteilungsprojekte\Eng\EngData\PROJECT_Bioplastics\Renjie_Pan\05-Raw_Data\Lab_results\[LabSamples2025_Bioplastic_extra.xlsx]extra_Bioplastic'!B760)," ",'Q:\Abteilungsprojekte\Eng\EngData\PROJECT_Bioplastics\Renjie_Pan\05-Raw_Data\Lab_results\[LabSamples2025_Bioplastic_extra.xlsx]extra_Bioplastic'!B760)</f>
        <v/>
      </c>
      <c r="C760">
        <f>IF(ISBLANK('Q:\Abteilungsprojekte\Eng\EngData\PROJECT_Bioplastics\Renjie_Pan\05-Raw_Data\Lab_results\[LabSamples2025_Bioplastic_extra.xlsx]extra_Bioplastic'!C760)," ",'Q:\Abteilungsprojekte\Eng\EngData\PROJECT_Bioplastics\Renjie_Pan\05-Raw_Data\Lab_results\[LabSamples2025_Bioplastic_extra.xlsx]extra_Bioplastic'!C760)</f>
        <v/>
      </c>
      <c r="D760">
        <f>IF(ISBLANK('Q:\Abteilungsprojekte\Eng\EngData\PROJECT_Bioplastics\Renjie_Pan\05-Raw_Data\Lab_results\[LabSamples2025_Bioplastic_extra.xlsx]extra_Bioplastic'!D760)," ",'Q:\Abteilungsprojekte\Eng\EngData\PROJECT_Bioplastics\Renjie_Pan\05-Raw_Data\Lab_results\[LabSamples2025_Bioplastic_extra.xlsx]extra_Bioplastic'!D760)</f>
        <v/>
      </c>
      <c r="E760">
        <f>IF(ISBLANK('Q:\Abteilungsprojekte\Eng\EngData\PROJECT_Bioplastics\Renjie_Pan\05-Raw_Data\Lab_results\[LabSamples2025_Bioplastic_extra.xlsx]extra_Bioplastic'!E760)," ",'Q:\Abteilungsprojekte\Eng\EngData\PROJECT_Bioplastics\Renjie_Pan\05-Raw_Data\Lab_results\[LabSamples2025_Bioplastic_extra.xlsx]extra_Bioplastic'!E760)</f>
        <v/>
      </c>
      <c r="F760">
        <f>IF(ISBLANK('Q:\Abteilungsprojekte\Eng\EngData\PROJECT_Bioplastics\Renjie_Pan\05-Raw_Data\Lab_results\[LabSamples2025_Bioplastic_extra.xlsx]extra_Bioplastic'!F760)," ",'Q:\Abteilungsprojekte\Eng\EngData\PROJECT_Bioplastics\Renjie_Pan\05-Raw_Data\Lab_results\[LabSamples2025_Bioplastic_extra.xlsx]extra_Bioplastic'!F760)</f>
        <v/>
      </c>
      <c r="G760">
        <f>IF(ISBLANK('Q:\Abteilungsprojekte\Eng\EngData\PROJECT_Bioplastics\Renjie_Pan\05-Raw_Data\Lab_results\[LabSamples2025_Bioplastic_extra.xlsx]extra_Bioplastic'!G760)," ",'Q:\Abteilungsprojekte\Eng\EngData\PROJECT_Bioplastics\Renjie_Pan\05-Raw_Data\Lab_results\[LabSamples2025_Bioplastic_extra.xlsx]extra_Bioplastic'!G760)</f>
        <v/>
      </c>
      <c r="H760">
        <f>IF(ISBLANK('Q:\Abteilungsprojekte\Eng\EngData\PROJECT_Bioplastics\Renjie_Pan\05-Raw_Data\Lab_results\[LabSamples2025_Bioplastic_extra.xlsx]extra_Bioplastic'!H760)," ",'Q:\Abteilungsprojekte\Eng\EngData\PROJECT_Bioplastics\Renjie_Pan\05-Raw_Data\Lab_results\[LabSamples2025_Bioplastic_extra.xlsx]extra_Bioplastic'!H760)</f>
        <v/>
      </c>
    </row>
    <row r="761">
      <c r="A761">
        <f>IF(ISBLANK('Q:\Abteilungsprojekte\Eng\EngData\PROJECT_Bioplastics\Renjie_Pan\05-Raw_Data\Lab_results\[LabSamples2025_Bioplastic_extra.xlsx]extra_Bioplastic'!A761)," ",'Q:\Abteilungsprojekte\Eng\EngData\PROJECT_Bioplastics\Renjie_Pan\05-Raw_Data\Lab_results\[LabSamples2025_Bioplastic_extra.xlsx]extra_Bioplastic'!A761)</f>
        <v/>
      </c>
      <c r="B761">
        <f>IF(ISBLANK('Q:\Abteilungsprojekte\Eng\EngData\PROJECT_Bioplastics\Renjie_Pan\05-Raw_Data\Lab_results\[LabSamples2025_Bioplastic_extra.xlsx]extra_Bioplastic'!B761)," ",'Q:\Abteilungsprojekte\Eng\EngData\PROJECT_Bioplastics\Renjie_Pan\05-Raw_Data\Lab_results\[LabSamples2025_Bioplastic_extra.xlsx]extra_Bioplastic'!B761)</f>
        <v/>
      </c>
      <c r="C761">
        <f>IF(ISBLANK('Q:\Abteilungsprojekte\Eng\EngData\PROJECT_Bioplastics\Renjie_Pan\05-Raw_Data\Lab_results\[LabSamples2025_Bioplastic_extra.xlsx]extra_Bioplastic'!C761)," ",'Q:\Abteilungsprojekte\Eng\EngData\PROJECT_Bioplastics\Renjie_Pan\05-Raw_Data\Lab_results\[LabSamples2025_Bioplastic_extra.xlsx]extra_Bioplastic'!C761)</f>
        <v/>
      </c>
      <c r="D761">
        <f>IF(ISBLANK('Q:\Abteilungsprojekte\Eng\EngData\PROJECT_Bioplastics\Renjie_Pan\05-Raw_Data\Lab_results\[LabSamples2025_Bioplastic_extra.xlsx]extra_Bioplastic'!D761)," ",'Q:\Abteilungsprojekte\Eng\EngData\PROJECT_Bioplastics\Renjie_Pan\05-Raw_Data\Lab_results\[LabSamples2025_Bioplastic_extra.xlsx]extra_Bioplastic'!D761)</f>
        <v/>
      </c>
      <c r="E761">
        <f>IF(ISBLANK('Q:\Abteilungsprojekte\Eng\EngData\PROJECT_Bioplastics\Renjie_Pan\05-Raw_Data\Lab_results\[LabSamples2025_Bioplastic_extra.xlsx]extra_Bioplastic'!E761)," ",'Q:\Abteilungsprojekte\Eng\EngData\PROJECT_Bioplastics\Renjie_Pan\05-Raw_Data\Lab_results\[LabSamples2025_Bioplastic_extra.xlsx]extra_Bioplastic'!E761)</f>
        <v/>
      </c>
      <c r="F761">
        <f>IF(ISBLANK('Q:\Abteilungsprojekte\Eng\EngData\PROJECT_Bioplastics\Renjie_Pan\05-Raw_Data\Lab_results\[LabSamples2025_Bioplastic_extra.xlsx]extra_Bioplastic'!F761)," ",'Q:\Abteilungsprojekte\Eng\EngData\PROJECT_Bioplastics\Renjie_Pan\05-Raw_Data\Lab_results\[LabSamples2025_Bioplastic_extra.xlsx]extra_Bioplastic'!F761)</f>
        <v/>
      </c>
      <c r="G761">
        <f>IF(ISBLANK('Q:\Abteilungsprojekte\Eng\EngData\PROJECT_Bioplastics\Renjie_Pan\05-Raw_Data\Lab_results\[LabSamples2025_Bioplastic_extra.xlsx]extra_Bioplastic'!G761)," ",'Q:\Abteilungsprojekte\Eng\EngData\PROJECT_Bioplastics\Renjie_Pan\05-Raw_Data\Lab_results\[LabSamples2025_Bioplastic_extra.xlsx]extra_Bioplastic'!G761)</f>
        <v/>
      </c>
      <c r="H761">
        <f>IF(ISBLANK('Q:\Abteilungsprojekte\Eng\EngData\PROJECT_Bioplastics\Renjie_Pan\05-Raw_Data\Lab_results\[LabSamples2025_Bioplastic_extra.xlsx]extra_Bioplastic'!H761)," ",'Q:\Abteilungsprojekte\Eng\EngData\PROJECT_Bioplastics\Renjie_Pan\05-Raw_Data\Lab_results\[LabSamples2025_Bioplastic_extra.xlsx]extra_Bioplastic'!H761)</f>
        <v/>
      </c>
    </row>
    <row r="762">
      <c r="A762">
        <f>IF(ISBLANK('Q:\Abteilungsprojekte\Eng\EngData\PROJECT_Bioplastics\Renjie_Pan\05-Raw_Data\Lab_results\[LabSamples2025_Bioplastic_extra.xlsx]extra_Bioplastic'!A762)," ",'Q:\Abteilungsprojekte\Eng\EngData\PROJECT_Bioplastics\Renjie_Pan\05-Raw_Data\Lab_results\[LabSamples2025_Bioplastic_extra.xlsx]extra_Bioplastic'!A762)</f>
        <v/>
      </c>
      <c r="B762">
        <f>IF(ISBLANK('Q:\Abteilungsprojekte\Eng\EngData\PROJECT_Bioplastics\Renjie_Pan\05-Raw_Data\Lab_results\[LabSamples2025_Bioplastic_extra.xlsx]extra_Bioplastic'!B762)," ",'Q:\Abteilungsprojekte\Eng\EngData\PROJECT_Bioplastics\Renjie_Pan\05-Raw_Data\Lab_results\[LabSamples2025_Bioplastic_extra.xlsx]extra_Bioplastic'!B762)</f>
        <v/>
      </c>
      <c r="C762">
        <f>IF(ISBLANK('Q:\Abteilungsprojekte\Eng\EngData\PROJECT_Bioplastics\Renjie_Pan\05-Raw_Data\Lab_results\[LabSamples2025_Bioplastic_extra.xlsx]extra_Bioplastic'!C762)," ",'Q:\Abteilungsprojekte\Eng\EngData\PROJECT_Bioplastics\Renjie_Pan\05-Raw_Data\Lab_results\[LabSamples2025_Bioplastic_extra.xlsx]extra_Bioplastic'!C762)</f>
        <v/>
      </c>
      <c r="D762">
        <f>IF(ISBLANK('Q:\Abteilungsprojekte\Eng\EngData\PROJECT_Bioplastics\Renjie_Pan\05-Raw_Data\Lab_results\[LabSamples2025_Bioplastic_extra.xlsx]extra_Bioplastic'!D762)," ",'Q:\Abteilungsprojekte\Eng\EngData\PROJECT_Bioplastics\Renjie_Pan\05-Raw_Data\Lab_results\[LabSamples2025_Bioplastic_extra.xlsx]extra_Bioplastic'!D762)</f>
        <v/>
      </c>
      <c r="E762">
        <f>IF(ISBLANK('Q:\Abteilungsprojekte\Eng\EngData\PROJECT_Bioplastics\Renjie_Pan\05-Raw_Data\Lab_results\[LabSamples2025_Bioplastic_extra.xlsx]extra_Bioplastic'!E762)," ",'Q:\Abteilungsprojekte\Eng\EngData\PROJECT_Bioplastics\Renjie_Pan\05-Raw_Data\Lab_results\[LabSamples2025_Bioplastic_extra.xlsx]extra_Bioplastic'!E762)</f>
        <v/>
      </c>
      <c r="F762">
        <f>IF(ISBLANK('Q:\Abteilungsprojekte\Eng\EngData\PROJECT_Bioplastics\Renjie_Pan\05-Raw_Data\Lab_results\[LabSamples2025_Bioplastic_extra.xlsx]extra_Bioplastic'!F762)," ",'Q:\Abteilungsprojekte\Eng\EngData\PROJECT_Bioplastics\Renjie_Pan\05-Raw_Data\Lab_results\[LabSamples2025_Bioplastic_extra.xlsx]extra_Bioplastic'!F762)</f>
        <v/>
      </c>
      <c r="G762">
        <f>IF(ISBLANK('Q:\Abteilungsprojekte\Eng\EngData\PROJECT_Bioplastics\Renjie_Pan\05-Raw_Data\Lab_results\[LabSamples2025_Bioplastic_extra.xlsx]extra_Bioplastic'!G762)," ",'Q:\Abteilungsprojekte\Eng\EngData\PROJECT_Bioplastics\Renjie_Pan\05-Raw_Data\Lab_results\[LabSamples2025_Bioplastic_extra.xlsx]extra_Bioplastic'!G762)</f>
        <v/>
      </c>
      <c r="H762">
        <f>IF(ISBLANK('Q:\Abteilungsprojekte\Eng\EngData\PROJECT_Bioplastics\Renjie_Pan\05-Raw_Data\Lab_results\[LabSamples2025_Bioplastic_extra.xlsx]extra_Bioplastic'!H762)," ",'Q:\Abteilungsprojekte\Eng\EngData\PROJECT_Bioplastics\Renjie_Pan\05-Raw_Data\Lab_results\[LabSamples2025_Bioplastic_extra.xlsx]extra_Bioplastic'!H762)</f>
        <v/>
      </c>
    </row>
    <row r="763">
      <c r="A763">
        <f>IF(ISBLANK('Q:\Abteilungsprojekte\Eng\EngData\PROJECT_Bioplastics\Renjie_Pan\05-Raw_Data\Lab_results\[LabSamples2025_Bioplastic_extra.xlsx]extra_Bioplastic'!A763)," ",'Q:\Abteilungsprojekte\Eng\EngData\PROJECT_Bioplastics\Renjie_Pan\05-Raw_Data\Lab_results\[LabSamples2025_Bioplastic_extra.xlsx]extra_Bioplastic'!A763)</f>
        <v/>
      </c>
      <c r="B763">
        <f>IF(ISBLANK('Q:\Abteilungsprojekte\Eng\EngData\PROJECT_Bioplastics\Renjie_Pan\05-Raw_Data\Lab_results\[LabSamples2025_Bioplastic_extra.xlsx]extra_Bioplastic'!B763)," ",'Q:\Abteilungsprojekte\Eng\EngData\PROJECT_Bioplastics\Renjie_Pan\05-Raw_Data\Lab_results\[LabSamples2025_Bioplastic_extra.xlsx]extra_Bioplastic'!B763)</f>
        <v/>
      </c>
      <c r="C763">
        <f>IF(ISBLANK('Q:\Abteilungsprojekte\Eng\EngData\PROJECT_Bioplastics\Renjie_Pan\05-Raw_Data\Lab_results\[LabSamples2025_Bioplastic_extra.xlsx]extra_Bioplastic'!C763)," ",'Q:\Abteilungsprojekte\Eng\EngData\PROJECT_Bioplastics\Renjie_Pan\05-Raw_Data\Lab_results\[LabSamples2025_Bioplastic_extra.xlsx]extra_Bioplastic'!C763)</f>
        <v/>
      </c>
      <c r="D763">
        <f>IF(ISBLANK('Q:\Abteilungsprojekte\Eng\EngData\PROJECT_Bioplastics\Renjie_Pan\05-Raw_Data\Lab_results\[LabSamples2025_Bioplastic_extra.xlsx]extra_Bioplastic'!D763)," ",'Q:\Abteilungsprojekte\Eng\EngData\PROJECT_Bioplastics\Renjie_Pan\05-Raw_Data\Lab_results\[LabSamples2025_Bioplastic_extra.xlsx]extra_Bioplastic'!D763)</f>
        <v/>
      </c>
      <c r="E763">
        <f>IF(ISBLANK('Q:\Abteilungsprojekte\Eng\EngData\PROJECT_Bioplastics\Renjie_Pan\05-Raw_Data\Lab_results\[LabSamples2025_Bioplastic_extra.xlsx]extra_Bioplastic'!E763)," ",'Q:\Abteilungsprojekte\Eng\EngData\PROJECT_Bioplastics\Renjie_Pan\05-Raw_Data\Lab_results\[LabSamples2025_Bioplastic_extra.xlsx]extra_Bioplastic'!E763)</f>
        <v/>
      </c>
      <c r="F763">
        <f>IF(ISBLANK('Q:\Abteilungsprojekte\Eng\EngData\PROJECT_Bioplastics\Renjie_Pan\05-Raw_Data\Lab_results\[LabSamples2025_Bioplastic_extra.xlsx]extra_Bioplastic'!F763)," ",'Q:\Abteilungsprojekte\Eng\EngData\PROJECT_Bioplastics\Renjie_Pan\05-Raw_Data\Lab_results\[LabSamples2025_Bioplastic_extra.xlsx]extra_Bioplastic'!F763)</f>
        <v/>
      </c>
      <c r="G763">
        <f>IF(ISBLANK('Q:\Abteilungsprojekte\Eng\EngData\PROJECT_Bioplastics\Renjie_Pan\05-Raw_Data\Lab_results\[LabSamples2025_Bioplastic_extra.xlsx]extra_Bioplastic'!G763)," ",'Q:\Abteilungsprojekte\Eng\EngData\PROJECT_Bioplastics\Renjie_Pan\05-Raw_Data\Lab_results\[LabSamples2025_Bioplastic_extra.xlsx]extra_Bioplastic'!G763)</f>
        <v/>
      </c>
      <c r="H763">
        <f>IF(ISBLANK('Q:\Abteilungsprojekte\Eng\EngData\PROJECT_Bioplastics\Renjie_Pan\05-Raw_Data\Lab_results\[LabSamples2025_Bioplastic_extra.xlsx]extra_Bioplastic'!H763)," ",'Q:\Abteilungsprojekte\Eng\EngData\PROJECT_Bioplastics\Renjie_Pan\05-Raw_Data\Lab_results\[LabSamples2025_Bioplastic_extra.xlsx]extra_Bioplastic'!H763)</f>
        <v/>
      </c>
    </row>
    <row r="764">
      <c r="A764">
        <f>IF(ISBLANK('Q:\Abteilungsprojekte\Eng\EngData\PROJECT_Bioplastics\Renjie_Pan\05-Raw_Data\Lab_results\[LabSamples2025_Bioplastic_extra.xlsx]extra_Bioplastic'!A764)," ",'Q:\Abteilungsprojekte\Eng\EngData\PROJECT_Bioplastics\Renjie_Pan\05-Raw_Data\Lab_results\[LabSamples2025_Bioplastic_extra.xlsx]extra_Bioplastic'!A764)</f>
        <v/>
      </c>
      <c r="B764">
        <f>IF(ISBLANK('Q:\Abteilungsprojekte\Eng\EngData\PROJECT_Bioplastics\Renjie_Pan\05-Raw_Data\Lab_results\[LabSamples2025_Bioplastic_extra.xlsx]extra_Bioplastic'!B764)," ",'Q:\Abteilungsprojekte\Eng\EngData\PROJECT_Bioplastics\Renjie_Pan\05-Raw_Data\Lab_results\[LabSamples2025_Bioplastic_extra.xlsx]extra_Bioplastic'!B764)</f>
        <v/>
      </c>
      <c r="C764">
        <f>IF(ISBLANK('Q:\Abteilungsprojekte\Eng\EngData\PROJECT_Bioplastics\Renjie_Pan\05-Raw_Data\Lab_results\[LabSamples2025_Bioplastic_extra.xlsx]extra_Bioplastic'!C764)," ",'Q:\Abteilungsprojekte\Eng\EngData\PROJECT_Bioplastics\Renjie_Pan\05-Raw_Data\Lab_results\[LabSamples2025_Bioplastic_extra.xlsx]extra_Bioplastic'!C764)</f>
        <v/>
      </c>
      <c r="D764">
        <f>IF(ISBLANK('Q:\Abteilungsprojekte\Eng\EngData\PROJECT_Bioplastics\Renjie_Pan\05-Raw_Data\Lab_results\[LabSamples2025_Bioplastic_extra.xlsx]extra_Bioplastic'!D764)," ",'Q:\Abteilungsprojekte\Eng\EngData\PROJECT_Bioplastics\Renjie_Pan\05-Raw_Data\Lab_results\[LabSamples2025_Bioplastic_extra.xlsx]extra_Bioplastic'!D764)</f>
        <v/>
      </c>
      <c r="E764">
        <f>IF(ISBLANK('Q:\Abteilungsprojekte\Eng\EngData\PROJECT_Bioplastics\Renjie_Pan\05-Raw_Data\Lab_results\[LabSamples2025_Bioplastic_extra.xlsx]extra_Bioplastic'!E764)," ",'Q:\Abteilungsprojekte\Eng\EngData\PROJECT_Bioplastics\Renjie_Pan\05-Raw_Data\Lab_results\[LabSamples2025_Bioplastic_extra.xlsx]extra_Bioplastic'!E764)</f>
        <v/>
      </c>
      <c r="F764">
        <f>IF(ISBLANK('Q:\Abteilungsprojekte\Eng\EngData\PROJECT_Bioplastics\Renjie_Pan\05-Raw_Data\Lab_results\[LabSamples2025_Bioplastic_extra.xlsx]extra_Bioplastic'!F764)," ",'Q:\Abteilungsprojekte\Eng\EngData\PROJECT_Bioplastics\Renjie_Pan\05-Raw_Data\Lab_results\[LabSamples2025_Bioplastic_extra.xlsx]extra_Bioplastic'!F764)</f>
        <v/>
      </c>
      <c r="G764">
        <f>IF(ISBLANK('Q:\Abteilungsprojekte\Eng\EngData\PROJECT_Bioplastics\Renjie_Pan\05-Raw_Data\Lab_results\[LabSamples2025_Bioplastic_extra.xlsx]extra_Bioplastic'!G764)," ",'Q:\Abteilungsprojekte\Eng\EngData\PROJECT_Bioplastics\Renjie_Pan\05-Raw_Data\Lab_results\[LabSamples2025_Bioplastic_extra.xlsx]extra_Bioplastic'!G764)</f>
        <v/>
      </c>
      <c r="H764">
        <f>IF(ISBLANK('Q:\Abteilungsprojekte\Eng\EngData\PROJECT_Bioplastics\Renjie_Pan\05-Raw_Data\Lab_results\[LabSamples2025_Bioplastic_extra.xlsx]extra_Bioplastic'!H764)," ",'Q:\Abteilungsprojekte\Eng\EngData\PROJECT_Bioplastics\Renjie_Pan\05-Raw_Data\Lab_results\[LabSamples2025_Bioplastic_extra.xlsx]extra_Bioplastic'!H764)</f>
        <v/>
      </c>
    </row>
    <row r="765">
      <c r="A765">
        <f>IF(ISBLANK('Q:\Abteilungsprojekte\Eng\EngData\PROJECT_Bioplastics\Renjie_Pan\05-Raw_Data\Lab_results\[LabSamples2025_Bioplastic_extra.xlsx]extra_Bioplastic'!A765)," ",'Q:\Abteilungsprojekte\Eng\EngData\PROJECT_Bioplastics\Renjie_Pan\05-Raw_Data\Lab_results\[LabSamples2025_Bioplastic_extra.xlsx]extra_Bioplastic'!A765)</f>
        <v/>
      </c>
      <c r="B765">
        <f>IF(ISBLANK('Q:\Abteilungsprojekte\Eng\EngData\PROJECT_Bioplastics\Renjie_Pan\05-Raw_Data\Lab_results\[LabSamples2025_Bioplastic_extra.xlsx]extra_Bioplastic'!B765)," ",'Q:\Abteilungsprojekte\Eng\EngData\PROJECT_Bioplastics\Renjie_Pan\05-Raw_Data\Lab_results\[LabSamples2025_Bioplastic_extra.xlsx]extra_Bioplastic'!B765)</f>
        <v/>
      </c>
      <c r="C765">
        <f>IF(ISBLANK('Q:\Abteilungsprojekte\Eng\EngData\PROJECT_Bioplastics\Renjie_Pan\05-Raw_Data\Lab_results\[LabSamples2025_Bioplastic_extra.xlsx]extra_Bioplastic'!C765)," ",'Q:\Abteilungsprojekte\Eng\EngData\PROJECT_Bioplastics\Renjie_Pan\05-Raw_Data\Lab_results\[LabSamples2025_Bioplastic_extra.xlsx]extra_Bioplastic'!C765)</f>
        <v/>
      </c>
      <c r="D765">
        <f>IF(ISBLANK('Q:\Abteilungsprojekte\Eng\EngData\PROJECT_Bioplastics\Renjie_Pan\05-Raw_Data\Lab_results\[LabSamples2025_Bioplastic_extra.xlsx]extra_Bioplastic'!D765)," ",'Q:\Abteilungsprojekte\Eng\EngData\PROJECT_Bioplastics\Renjie_Pan\05-Raw_Data\Lab_results\[LabSamples2025_Bioplastic_extra.xlsx]extra_Bioplastic'!D765)</f>
        <v/>
      </c>
      <c r="E765">
        <f>IF(ISBLANK('Q:\Abteilungsprojekte\Eng\EngData\PROJECT_Bioplastics\Renjie_Pan\05-Raw_Data\Lab_results\[LabSamples2025_Bioplastic_extra.xlsx]extra_Bioplastic'!E765)," ",'Q:\Abteilungsprojekte\Eng\EngData\PROJECT_Bioplastics\Renjie_Pan\05-Raw_Data\Lab_results\[LabSamples2025_Bioplastic_extra.xlsx]extra_Bioplastic'!E765)</f>
        <v/>
      </c>
      <c r="F765">
        <f>IF(ISBLANK('Q:\Abteilungsprojekte\Eng\EngData\PROJECT_Bioplastics\Renjie_Pan\05-Raw_Data\Lab_results\[LabSamples2025_Bioplastic_extra.xlsx]extra_Bioplastic'!F765)," ",'Q:\Abteilungsprojekte\Eng\EngData\PROJECT_Bioplastics\Renjie_Pan\05-Raw_Data\Lab_results\[LabSamples2025_Bioplastic_extra.xlsx]extra_Bioplastic'!F765)</f>
        <v/>
      </c>
      <c r="G765">
        <f>IF(ISBLANK('Q:\Abteilungsprojekte\Eng\EngData\PROJECT_Bioplastics\Renjie_Pan\05-Raw_Data\Lab_results\[LabSamples2025_Bioplastic_extra.xlsx]extra_Bioplastic'!G765)," ",'Q:\Abteilungsprojekte\Eng\EngData\PROJECT_Bioplastics\Renjie_Pan\05-Raw_Data\Lab_results\[LabSamples2025_Bioplastic_extra.xlsx]extra_Bioplastic'!G765)</f>
        <v/>
      </c>
      <c r="H765">
        <f>IF(ISBLANK('Q:\Abteilungsprojekte\Eng\EngData\PROJECT_Bioplastics\Renjie_Pan\05-Raw_Data\Lab_results\[LabSamples2025_Bioplastic_extra.xlsx]extra_Bioplastic'!H765)," ",'Q:\Abteilungsprojekte\Eng\EngData\PROJECT_Bioplastics\Renjie_Pan\05-Raw_Data\Lab_results\[LabSamples2025_Bioplastic_extra.xlsx]extra_Bioplastic'!H765)</f>
        <v/>
      </c>
    </row>
    <row r="766">
      <c r="A766">
        <f>IF(ISBLANK('Q:\Abteilungsprojekte\Eng\EngData\PROJECT_Bioplastics\Renjie_Pan\05-Raw_Data\Lab_results\[LabSamples2025_Bioplastic_extra.xlsx]extra_Bioplastic'!A766)," ",'Q:\Abteilungsprojekte\Eng\EngData\PROJECT_Bioplastics\Renjie_Pan\05-Raw_Data\Lab_results\[LabSamples2025_Bioplastic_extra.xlsx]extra_Bioplastic'!A766)</f>
        <v/>
      </c>
      <c r="B766">
        <f>IF(ISBLANK('Q:\Abteilungsprojekte\Eng\EngData\PROJECT_Bioplastics\Renjie_Pan\05-Raw_Data\Lab_results\[LabSamples2025_Bioplastic_extra.xlsx]extra_Bioplastic'!B766)," ",'Q:\Abteilungsprojekte\Eng\EngData\PROJECT_Bioplastics\Renjie_Pan\05-Raw_Data\Lab_results\[LabSamples2025_Bioplastic_extra.xlsx]extra_Bioplastic'!B766)</f>
        <v/>
      </c>
      <c r="C766">
        <f>IF(ISBLANK('Q:\Abteilungsprojekte\Eng\EngData\PROJECT_Bioplastics\Renjie_Pan\05-Raw_Data\Lab_results\[LabSamples2025_Bioplastic_extra.xlsx]extra_Bioplastic'!C766)," ",'Q:\Abteilungsprojekte\Eng\EngData\PROJECT_Bioplastics\Renjie_Pan\05-Raw_Data\Lab_results\[LabSamples2025_Bioplastic_extra.xlsx]extra_Bioplastic'!C766)</f>
        <v/>
      </c>
      <c r="D766">
        <f>IF(ISBLANK('Q:\Abteilungsprojekte\Eng\EngData\PROJECT_Bioplastics\Renjie_Pan\05-Raw_Data\Lab_results\[LabSamples2025_Bioplastic_extra.xlsx]extra_Bioplastic'!D766)," ",'Q:\Abteilungsprojekte\Eng\EngData\PROJECT_Bioplastics\Renjie_Pan\05-Raw_Data\Lab_results\[LabSamples2025_Bioplastic_extra.xlsx]extra_Bioplastic'!D766)</f>
        <v/>
      </c>
      <c r="E766">
        <f>IF(ISBLANK('Q:\Abteilungsprojekte\Eng\EngData\PROJECT_Bioplastics\Renjie_Pan\05-Raw_Data\Lab_results\[LabSamples2025_Bioplastic_extra.xlsx]extra_Bioplastic'!E766)," ",'Q:\Abteilungsprojekte\Eng\EngData\PROJECT_Bioplastics\Renjie_Pan\05-Raw_Data\Lab_results\[LabSamples2025_Bioplastic_extra.xlsx]extra_Bioplastic'!E766)</f>
        <v/>
      </c>
      <c r="F766">
        <f>IF(ISBLANK('Q:\Abteilungsprojekte\Eng\EngData\PROJECT_Bioplastics\Renjie_Pan\05-Raw_Data\Lab_results\[LabSamples2025_Bioplastic_extra.xlsx]extra_Bioplastic'!F766)," ",'Q:\Abteilungsprojekte\Eng\EngData\PROJECT_Bioplastics\Renjie_Pan\05-Raw_Data\Lab_results\[LabSamples2025_Bioplastic_extra.xlsx]extra_Bioplastic'!F766)</f>
        <v/>
      </c>
      <c r="G766">
        <f>IF(ISBLANK('Q:\Abteilungsprojekte\Eng\EngData\PROJECT_Bioplastics\Renjie_Pan\05-Raw_Data\Lab_results\[LabSamples2025_Bioplastic_extra.xlsx]extra_Bioplastic'!G766)," ",'Q:\Abteilungsprojekte\Eng\EngData\PROJECT_Bioplastics\Renjie_Pan\05-Raw_Data\Lab_results\[LabSamples2025_Bioplastic_extra.xlsx]extra_Bioplastic'!G766)</f>
        <v/>
      </c>
      <c r="H766">
        <f>IF(ISBLANK('Q:\Abteilungsprojekte\Eng\EngData\PROJECT_Bioplastics\Renjie_Pan\05-Raw_Data\Lab_results\[LabSamples2025_Bioplastic_extra.xlsx]extra_Bioplastic'!H766)," ",'Q:\Abteilungsprojekte\Eng\EngData\PROJECT_Bioplastics\Renjie_Pan\05-Raw_Data\Lab_results\[LabSamples2025_Bioplastic_extra.xlsx]extra_Bioplastic'!H766)</f>
        <v/>
      </c>
    </row>
    <row r="767">
      <c r="A767">
        <f>IF(ISBLANK('Q:\Abteilungsprojekte\Eng\EngData\PROJECT_Bioplastics\Renjie_Pan\05-Raw_Data\Lab_results\[LabSamples2025_Bioplastic_extra.xlsx]extra_Bioplastic'!A767)," ",'Q:\Abteilungsprojekte\Eng\EngData\PROJECT_Bioplastics\Renjie_Pan\05-Raw_Data\Lab_results\[LabSamples2025_Bioplastic_extra.xlsx]extra_Bioplastic'!A767)</f>
        <v/>
      </c>
      <c r="B767">
        <f>IF(ISBLANK('Q:\Abteilungsprojekte\Eng\EngData\PROJECT_Bioplastics\Renjie_Pan\05-Raw_Data\Lab_results\[LabSamples2025_Bioplastic_extra.xlsx]extra_Bioplastic'!B767)," ",'Q:\Abteilungsprojekte\Eng\EngData\PROJECT_Bioplastics\Renjie_Pan\05-Raw_Data\Lab_results\[LabSamples2025_Bioplastic_extra.xlsx]extra_Bioplastic'!B767)</f>
        <v/>
      </c>
      <c r="C767">
        <f>IF(ISBLANK('Q:\Abteilungsprojekte\Eng\EngData\PROJECT_Bioplastics\Renjie_Pan\05-Raw_Data\Lab_results\[LabSamples2025_Bioplastic_extra.xlsx]extra_Bioplastic'!C767)," ",'Q:\Abteilungsprojekte\Eng\EngData\PROJECT_Bioplastics\Renjie_Pan\05-Raw_Data\Lab_results\[LabSamples2025_Bioplastic_extra.xlsx]extra_Bioplastic'!C767)</f>
        <v/>
      </c>
      <c r="D767">
        <f>IF(ISBLANK('Q:\Abteilungsprojekte\Eng\EngData\PROJECT_Bioplastics\Renjie_Pan\05-Raw_Data\Lab_results\[LabSamples2025_Bioplastic_extra.xlsx]extra_Bioplastic'!D767)," ",'Q:\Abteilungsprojekte\Eng\EngData\PROJECT_Bioplastics\Renjie_Pan\05-Raw_Data\Lab_results\[LabSamples2025_Bioplastic_extra.xlsx]extra_Bioplastic'!D767)</f>
        <v/>
      </c>
      <c r="E767">
        <f>IF(ISBLANK('Q:\Abteilungsprojekte\Eng\EngData\PROJECT_Bioplastics\Renjie_Pan\05-Raw_Data\Lab_results\[LabSamples2025_Bioplastic_extra.xlsx]extra_Bioplastic'!E767)," ",'Q:\Abteilungsprojekte\Eng\EngData\PROJECT_Bioplastics\Renjie_Pan\05-Raw_Data\Lab_results\[LabSamples2025_Bioplastic_extra.xlsx]extra_Bioplastic'!E767)</f>
        <v/>
      </c>
      <c r="F767">
        <f>IF(ISBLANK('Q:\Abteilungsprojekte\Eng\EngData\PROJECT_Bioplastics\Renjie_Pan\05-Raw_Data\Lab_results\[LabSamples2025_Bioplastic_extra.xlsx]extra_Bioplastic'!F767)," ",'Q:\Abteilungsprojekte\Eng\EngData\PROJECT_Bioplastics\Renjie_Pan\05-Raw_Data\Lab_results\[LabSamples2025_Bioplastic_extra.xlsx]extra_Bioplastic'!F767)</f>
        <v/>
      </c>
      <c r="G767">
        <f>IF(ISBLANK('Q:\Abteilungsprojekte\Eng\EngData\PROJECT_Bioplastics\Renjie_Pan\05-Raw_Data\Lab_results\[LabSamples2025_Bioplastic_extra.xlsx]extra_Bioplastic'!G767)," ",'Q:\Abteilungsprojekte\Eng\EngData\PROJECT_Bioplastics\Renjie_Pan\05-Raw_Data\Lab_results\[LabSamples2025_Bioplastic_extra.xlsx]extra_Bioplastic'!G767)</f>
        <v/>
      </c>
      <c r="H767">
        <f>IF(ISBLANK('Q:\Abteilungsprojekte\Eng\EngData\PROJECT_Bioplastics\Renjie_Pan\05-Raw_Data\Lab_results\[LabSamples2025_Bioplastic_extra.xlsx]extra_Bioplastic'!H767)," ",'Q:\Abteilungsprojekte\Eng\EngData\PROJECT_Bioplastics\Renjie_Pan\05-Raw_Data\Lab_results\[LabSamples2025_Bioplastic_extra.xlsx]extra_Bioplastic'!H767)</f>
        <v/>
      </c>
    </row>
    <row r="768">
      <c r="A768">
        <f>IF(ISBLANK('Q:\Abteilungsprojekte\Eng\EngData\PROJECT_Bioplastics\Renjie_Pan\05-Raw_Data\Lab_results\[LabSamples2025_Bioplastic_extra.xlsx]extra_Bioplastic'!A768)," ",'Q:\Abteilungsprojekte\Eng\EngData\PROJECT_Bioplastics\Renjie_Pan\05-Raw_Data\Lab_results\[LabSamples2025_Bioplastic_extra.xlsx]extra_Bioplastic'!A768)</f>
        <v/>
      </c>
      <c r="B768">
        <f>IF(ISBLANK('Q:\Abteilungsprojekte\Eng\EngData\PROJECT_Bioplastics\Renjie_Pan\05-Raw_Data\Lab_results\[LabSamples2025_Bioplastic_extra.xlsx]extra_Bioplastic'!B768)," ",'Q:\Abteilungsprojekte\Eng\EngData\PROJECT_Bioplastics\Renjie_Pan\05-Raw_Data\Lab_results\[LabSamples2025_Bioplastic_extra.xlsx]extra_Bioplastic'!B768)</f>
        <v/>
      </c>
      <c r="C768">
        <f>IF(ISBLANK('Q:\Abteilungsprojekte\Eng\EngData\PROJECT_Bioplastics\Renjie_Pan\05-Raw_Data\Lab_results\[LabSamples2025_Bioplastic_extra.xlsx]extra_Bioplastic'!C768)," ",'Q:\Abteilungsprojekte\Eng\EngData\PROJECT_Bioplastics\Renjie_Pan\05-Raw_Data\Lab_results\[LabSamples2025_Bioplastic_extra.xlsx]extra_Bioplastic'!C768)</f>
        <v/>
      </c>
      <c r="D768">
        <f>IF(ISBLANK('Q:\Abteilungsprojekte\Eng\EngData\PROJECT_Bioplastics\Renjie_Pan\05-Raw_Data\Lab_results\[LabSamples2025_Bioplastic_extra.xlsx]extra_Bioplastic'!D768)," ",'Q:\Abteilungsprojekte\Eng\EngData\PROJECT_Bioplastics\Renjie_Pan\05-Raw_Data\Lab_results\[LabSamples2025_Bioplastic_extra.xlsx]extra_Bioplastic'!D768)</f>
        <v/>
      </c>
      <c r="E768">
        <f>IF(ISBLANK('Q:\Abteilungsprojekte\Eng\EngData\PROJECT_Bioplastics\Renjie_Pan\05-Raw_Data\Lab_results\[LabSamples2025_Bioplastic_extra.xlsx]extra_Bioplastic'!E768)," ",'Q:\Abteilungsprojekte\Eng\EngData\PROJECT_Bioplastics\Renjie_Pan\05-Raw_Data\Lab_results\[LabSamples2025_Bioplastic_extra.xlsx]extra_Bioplastic'!E768)</f>
        <v/>
      </c>
      <c r="F768">
        <f>IF(ISBLANK('Q:\Abteilungsprojekte\Eng\EngData\PROJECT_Bioplastics\Renjie_Pan\05-Raw_Data\Lab_results\[LabSamples2025_Bioplastic_extra.xlsx]extra_Bioplastic'!F768)," ",'Q:\Abteilungsprojekte\Eng\EngData\PROJECT_Bioplastics\Renjie_Pan\05-Raw_Data\Lab_results\[LabSamples2025_Bioplastic_extra.xlsx]extra_Bioplastic'!F768)</f>
        <v/>
      </c>
      <c r="G768">
        <f>IF(ISBLANK('Q:\Abteilungsprojekte\Eng\EngData\PROJECT_Bioplastics\Renjie_Pan\05-Raw_Data\Lab_results\[LabSamples2025_Bioplastic_extra.xlsx]extra_Bioplastic'!G768)," ",'Q:\Abteilungsprojekte\Eng\EngData\PROJECT_Bioplastics\Renjie_Pan\05-Raw_Data\Lab_results\[LabSamples2025_Bioplastic_extra.xlsx]extra_Bioplastic'!G768)</f>
        <v/>
      </c>
      <c r="H768">
        <f>IF(ISBLANK('Q:\Abteilungsprojekte\Eng\EngData\PROJECT_Bioplastics\Renjie_Pan\05-Raw_Data\Lab_results\[LabSamples2025_Bioplastic_extra.xlsx]extra_Bioplastic'!H768)," ",'Q:\Abteilungsprojekte\Eng\EngData\PROJECT_Bioplastics\Renjie_Pan\05-Raw_Data\Lab_results\[LabSamples2025_Bioplastic_extra.xlsx]extra_Bioplastic'!H768)</f>
        <v/>
      </c>
    </row>
    <row r="769">
      <c r="A769">
        <f>IF(ISBLANK('Q:\Abteilungsprojekte\Eng\EngData\PROJECT_Bioplastics\Renjie_Pan\05-Raw_Data\Lab_results\[LabSamples2025_Bioplastic_extra.xlsx]extra_Bioplastic'!A769)," ",'Q:\Abteilungsprojekte\Eng\EngData\PROJECT_Bioplastics\Renjie_Pan\05-Raw_Data\Lab_results\[LabSamples2025_Bioplastic_extra.xlsx]extra_Bioplastic'!A769)</f>
        <v/>
      </c>
      <c r="B769">
        <f>IF(ISBLANK('Q:\Abteilungsprojekte\Eng\EngData\PROJECT_Bioplastics\Renjie_Pan\05-Raw_Data\Lab_results\[LabSamples2025_Bioplastic_extra.xlsx]extra_Bioplastic'!B769)," ",'Q:\Abteilungsprojekte\Eng\EngData\PROJECT_Bioplastics\Renjie_Pan\05-Raw_Data\Lab_results\[LabSamples2025_Bioplastic_extra.xlsx]extra_Bioplastic'!B769)</f>
        <v/>
      </c>
      <c r="C769">
        <f>IF(ISBLANK('Q:\Abteilungsprojekte\Eng\EngData\PROJECT_Bioplastics\Renjie_Pan\05-Raw_Data\Lab_results\[LabSamples2025_Bioplastic_extra.xlsx]extra_Bioplastic'!C769)," ",'Q:\Abteilungsprojekte\Eng\EngData\PROJECT_Bioplastics\Renjie_Pan\05-Raw_Data\Lab_results\[LabSamples2025_Bioplastic_extra.xlsx]extra_Bioplastic'!C769)</f>
        <v/>
      </c>
      <c r="D769">
        <f>IF(ISBLANK('Q:\Abteilungsprojekte\Eng\EngData\PROJECT_Bioplastics\Renjie_Pan\05-Raw_Data\Lab_results\[LabSamples2025_Bioplastic_extra.xlsx]extra_Bioplastic'!D769)," ",'Q:\Abteilungsprojekte\Eng\EngData\PROJECT_Bioplastics\Renjie_Pan\05-Raw_Data\Lab_results\[LabSamples2025_Bioplastic_extra.xlsx]extra_Bioplastic'!D769)</f>
        <v/>
      </c>
      <c r="E769">
        <f>IF(ISBLANK('Q:\Abteilungsprojekte\Eng\EngData\PROJECT_Bioplastics\Renjie_Pan\05-Raw_Data\Lab_results\[LabSamples2025_Bioplastic_extra.xlsx]extra_Bioplastic'!E769)," ",'Q:\Abteilungsprojekte\Eng\EngData\PROJECT_Bioplastics\Renjie_Pan\05-Raw_Data\Lab_results\[LabSamples2025_Bioplastic_extra.xlsx]extra_Bioplastic'!E769)</f>
        <v/>
      </c>
      <c r="F769">
        <f>IF(ISBLANK('Q:\Abteilungsprojekte\Eng\EngData\PROJECT_Bioplastics\Renjie_Pan\05-Raw_Data\Lab_results\[LabSamples2025_Bioplastic_extra.xlsx]extra_Bioplastic'!F769)," ",'Q:\Abteilungsprojekte\Eng\EngData\PROJECT_Bioplastics\Renjie_Pan\05-Raw_Data\Lab_results\[LabSamples2025_Bioplastic_extra.xlsx]extra_Bioplastic'!F769)</f>
        <v/>
      </c>
      <c r="G769">
        <f>IF(ISBLANK('Q:\Abteilungsprojekte\Eng\EngData\PROJECT_Bioplastics\Renjie_Pan\05-Raw_Data\Lab_results\[LabSamples2025_Bioplastic_extra.xlsx]extra_Bioplastic'!G769)," ",'Q:\Abteilungsprojekte\Eng\EngData\PROJECT_Bioplastics\Renjie_Pan\05-Raw_Data\Lab_results\[LabSamples2025_Bioplastic_extra.xlsx]extra_Bioplastic'!G769)</f>
        <v/>
      </c>
      <c r="H769">
        <f>IF(ISBLANK('Q:\Abteilungsprojekte\Eng\EngData\PROJECT_Bioplastics\Renjie_Pan\05-Raw_Data\Lab_results\[LabSamples2025_Bioplastic_extra.xlsx]extra_Bioplastic'!H769)," ",'Q:\Abteilungsprojekte\Eng\EngData\PROJECT_Bioplastics\Renjie_Pan\05-Raw_Data\Lab_results\[LabSamples2025_Bioplastic_extra.xlsx]extra_Bioplastic'!H769)</f>
        <v/>
      </c>
    </row>
    <row r="770">
      <c r="A770">
        <f>IF(ISBLANK('Q:\Abteilungsprojekte\Eng\EngData\PROJECT_Bioplastics\Renjie_Pan\05-Raw_Data\Lab_results\[LabSamples2025_Bioplastic_extra.xlsx]extra_Bioplastic'!A770)," ",'Q:\Abteilungsprojekte\Eng\EngData\PROJECT_Bioplastics\Renjie_Pan\05-Raw_Data\Lab_results\[LabSamples2025_Bioplastic_extra.xlsx]extra_Bioplastic'!A770)</f>
        <v/>
      </c>
      <c r="B770">
        <f>IF(ISBLANK('Q:\Abteilungsprojekte\Eng\EngData\PROJECT_Bioplastics\Renjie_Pan\05-Raw_Data\Lab_results\[LabSamples2025_Bioplastic_extra.xlsx]extra_Bioplastic'!B770)," ",'Q:\Abteilungsprojekte\Eng\EngData\PROJECT_Bioplastics\Renjie_Pan\05-Raw_Data\Lab_results\[LabSamples2025_Bioplastic_extra.xlsx]extra_Bioplastic'!B770)</f>
        <v/>
      </c>
      <c r="C770">
        <f>IF(ISBLANK('Q:\Abteilungsprojekte\Eng\EngData\PROJECT_Bioplastics\Renjie_Pan\05-Raw_Data\Lab_results\[LabSamples2025_Bioplastic_extra.xlsx]extra_Bioplastic'!C770)," ",'Q:\Abteilungsprojekte\Eng\EngData\PROJECT_Bioplastics\Renjie_Pan\05-Raw_Data\Lab_results\[LabSamples2025_Bioplastic_extra.xlsx]extra_Bioplastic'!C770)</f>
        <v/>
      </c>
      <c r="D770">
        <f>IF(ISBLANK('Q:\Abteilungsprojekte\Eng\EngData\PROJECT_Bioplastics\Renjie_Pan\05-Raw_Data\Lab_results\[LabSamples2025_Bioplastic_extra.xlsx]extra_Bioplastic'!D770)," ",'Q:\Abteilungsprojekte\Eng\EngData\PROJECT_Bioplastics\Renjie_Pan\05-Raw_Data\Lab_results\[LabSamples2025_Bioplastic_extra.xlsx]extra_Bioplastic'!D770)</f>
        <v/>
      </c>
      <c r="E770">
        <f>IF(ISBLANK('Q:\Abteilungsprojekte\Eng\EngData\PROJECT_Bioplastics\Renjie_Pan\05-Raw_Data\Lab_results\[LabSamples2025_Bioplastic_extra.xlsx]extra_Bioplastic'!E770)," ",'Q:\Abteilungsprojekte\Eng\EngData\PROJECT_Bioplastics\Renjie_Pan\05-Raw_Data\Lab_results\[LabSamples2025_Bioplastic_extra.xlsx]extra_Bioplastic'!E770)</f>
        <v/>
      </c>
      <c r="F770">
        <f>IF(ISBLANK('Q:\Abteilungsprojekte\Eng\EngData\PROJECT_Bioplastics\Renjie_Pan\05-Raw_Data\Lab_results\[LabSamples2025_Bioplastic_extra.xlsx]extra_Bioplastic'!F770)," ",'Q:\Abteilungsprojekte\Eng\EngData\PROJECT_Bioplastics\Renjie_Pan\05-Raw_Data\Lab_results\[LabSamples2025_Bioplastic_extra.xlsx]extra_Bioplastic'!F770)</f>
        <v/>
      </c>
      <c r="G770">
        <f>IF(ISBLANK('Q:\Abteilungsprojekte\Eng\EngData\PROJECT_Bioplastics\Renjie_Pan\05-Raw_Data\Lab_results\[LabSamples2025_Bioplastic_extra.xlsx]extra_Bioplastic'!G770)," ",'Q:\Abteilungsprojekte\Eng\EngData\PROJECT_Bioplastics\Renjie_Pan\05-Raw_Data\Lab_results\[LabSamples2025_Bioplastic_extra.xlsx]extra_Bioplastic'!G770)</f>
        <v/>
      </c>
      <c r="H770">
        <f>IF(ISBLANK('Q:\Abteilungsprojekte\Eng\EngData\PROJECT_Bioplastics\Renjie_Pan\05-Raw_Data\Lab_results\[LabSamples2025_Bioplastic_extra.xlsx]extra_Bioplastic'!H770)," ",'Q:\Abteilungsprojekte\Eng\EngData\PROJECT_Bioplastics\Renjie_Pan\05-Raw_Data\Lab_results\[LabSamples2025_Bioplastic_extra.xlsx]extra_Bioplastic'!H770)</f>
        <v/>
      </c>
    </row>
    <row r="771">
      <c r="A771">
        <f>IF(ISBLANK('Q:\Abteilungsprojekte\Eng\EngData\PROJECT_Bioplastics\Renjie_Pan\05-Raw_Data\Lab_results\[LabSamples2025_Bioplastic_extra.xlsx]extra_Bioplastic'!A771)," ",'Q:\Abteilungsprojekte\Eng\EngData\PROJECT_Bioplastics\Renjie_Pan\05-Raw_Data\Lab_results\[LabSamples2025_Bioplastic_extra.xlsx]extra_Bioplastic'!A771)</f>
        <v/>
      </c>
      <c r="B771">
        <f>IF(ISBLANK('Q:\Abteilungsprojekte\Eng\EngData\PROJECT_Bioplastics\Renjie_Pan\05-Raw_Data\Lab_results\[LabSamples2025_Bioplastic_extra.xlsx]extra_Bioplastic'!B771)," ",'Q:\Abteilungsprojekte\Eng\EngData\PROJECT_Bioplastics\Renjie_Pan\05-Raw_Data\Lab_results\[LabSamples2025_Bioplastic_extra.xlsx]extra_Bioplastic'!B771)</f>
        <v/>
      </c>
      <c r="C771">
        <f>IF(ISBLANK('Q:\Abteilungsprojekte\Eng\EngData\PROJECT_Bioplastics\Renjie_Pan\05-Raw_Data\Lab_results\[LabSamples2025_Bioplastic_extra.xlsx]extra_Bioplastic'!C771)," ",'Q:\Abteilungsprojekte\Eng\EngData\PROJECT_Bioplastics\Renjie_Pan\05-Raw_Data\Lab_results\[LabSamples2025_Bioplastic_extra.xlsx]extra_Bioplastic'!C771)</f>
        <v/>
      </c>
      <c r="D771">
        <f>IF(ISBLANK('Q:\Abteilungsprojekte\Eng\EngData\PROJECT_Bioplastics\Renjie_Pan\05-Raw_Data\Lab_results\[LabSamples2025_Bioplastic_extra.xlsx]extra_Bioplastic'!D771)," ",'Q:\Abteilungsprojekte\Eng\EngData\PROJECT_Bioplastics\Renjie_Pan\05-Raw_Data\Lab_results\[LabSamples2025_Bioplastic_extra.xlsx]extra_Bioplastic'!D771)</f>
        <v/>
      </c>
      <c r="E771">
        <f>IF(ISBLANK('Q:\Abteilungsprojekte\Eng\EngData\PROJECT_Bioplastics\Renjie_Pan\05-Raw_Data\Lab_results\[LabSamples2025_Bioplastic_extra.xlsx]extra_Bioplastic'!E771)," ",'Q:\Abteilungsprojekte\Eng\EngData\PROJECT_Bioplastics\Renjie_Pan\05-Raw_Data\Lab_results\[LabSamples2025_Bioplastic_extra.xlsx]extra_Bioplastic'!E771)</f>
        <v/>
      </c>
      <c r="F771">
        <f>IF(ISBLANK('Q:\Abteilungsprojekte\Eng\EngData\PROJECT_Bioplastics\Renjie_Pan\05-Raw_Data\Lab_results\[LabSamples2025_Bioplastic_extra.xlsx]extra_Bioplastic'!F771)," ",'Q:\Abteilungsprojekte\Eng\EngData\PROJECT_Bioplastics\Renjie_Pan\05-Raw_Data\Lab_results\[LabSamples2025_Bioplastic_extra.xlsx]extra_Bioplastic'!F771)</f>
        <v/>
      </c>
      <c r="G771">
        <f>IF(ISBLANK('Q:\Abteilungsprojekte\Eng\EngData\PROJECT_Bioplastics\Renjie_Pan\05-Raw_Data\Lab_results\[LabSamples2025_Bioplastic_extra.xlsx]extra_Bioplastic'!G771)," ",'Q:\Abteilungsprojekte\Eng\EngData\PROJECT_Bioplastics\Renjie_Pan\05-Raw_Data\Lab_results\[LabSamples2025_Bioplastic_extra.xlsx]extra_Bioplastic'!G771)</f>
        <v/>
      </c>
      <c r="H771">
        <f>IF(ISBLANK('Q:\Abteilungsprojekte\Eng\EngData\PROJECT_Bioplastics\Renjie_Pan\05-Raw_Data\Lab_results\[LabSamples2025_Bioplastic_extra.xlsx]extra_Bioplastic'!H771)," ",'Q:\Abteilungsprojekte\Eng\EngData\PROJECT_Bioplastics\Renjie_Pan\05-Raw_Data\Lab_results\[LabSamples2025_Bioplastic_extra.xlsx]extra_Bioplastic'!H771)</f>
        <v/>
      </c>
    </row>
    <row r="772">
      <c r="A772">
        <f>IF(ISBLANK('Q:\Abteilungsprojekte\Eng\EngData\PROJECT_Bioplastics\Renjie_Pan\05-Raw_Data\Lab_results\[LabSamples2025_Bioplastic_extra.xlsx]extra_Bioplastic'!A772)," ",'Q:\Abteilungsprojekte\Eng\EngData\PROJECT_Bioplastics\Renjie_Pan\05-Raw_Data\Lab_results\[LabSamples2025_Bioplastic_extra.xlsx]extra_Bioplastic'!A772)</f>
        <v/>
      </c>
      <c r="B772">
        <f>IF(ISBLANK('Q:\Abteilungsprojekte\Eng\EngData\PROJECT_Bioplastics\Renjie_Pan\05-Raw_Data\Lab_results\[LabSamples2025_Bioplastic_extra.xlsx]extra_Bioplastic'!B772)," ",'Q:\Abteilungsprojekte\Eng\EngData\PROJECT_Bioplastics\Renjie_Pan\05-Raw_Data\Lab_results\[LabSamples2025_Bioplastic_extra.xlsx]extra_Bioplastic'!B772)</f>
        <v/>
      </c>
      <c r="C772">
        <f>IF(ISBLANK('Q:\Abteilungsprojekte\Eng\EngData\PROJECT_Bioplastics\Renjie_Pan\05-Raw_Data\Lab_results\[LabSamples2025_Bioplastic_extra.xlsx]extra_Bioplastic'!C772)," ",'Q:\Abteilungsprojekte\Eng\EngData\PROJECT_Bioplastics\Renjie_Pan\05-Raw_Data\Lab_results\[LabSamples2025_Bioplastic_extra.xlsx]extra_Bioplastic'!C772)</f>
        <v/>
      </c>
      <c r="D772">
        <f>IF(ISBLANK('Q:\Abteilungsprojekte\Eng\EngData\PROJECT_Bioplastics\Renjie_Pan\05-Raw_Data\Lab_results\[LabSamples2025_Bioplastic_extra.xlsx]extra_Bioplastic'!D772)," ",'Q:\Abteilungsprojekte\Eng\EngData\PROJECT_Bioplastics\Renjie_Pan\05-Raw_Data\Lab_results\[LabSamples2025_Bioplastic_extra.xlsx]extra_Bioplastic'!D772)</f>
        <v/>
      </c>
      <c r="E772">
        <f>IF(ISBLANK('Q:\Abteilungsprojekte\Eng\EngData\PROJECT_Bioplastics\Renjie_Pan\05-Raw_Data\Lab_results\[LabSamples2025_Bioplastic_extra.xlsx]extra_Bioplastic'!E772)," ",'Q:\Abteilungsprojekte\Eng\EngData\PROJECT_Bioplastics\Renjie_Pan\05-Raw_Data\Lab_results\[LabSamples2025_Bioplastic_extra.xlsx]extra_Bioplastic'!E772)</f>
        <v/>
      </c>
      <c r="F772">
        <f>IF(ISBLANK('Q:\Abteilungsprojekte\Eng\EngData\PROJECT_Bioplastics\Renjie_Pan\05-Raw_Data\Lab_results\[LabSamples2025_Bioplastic_extra.xlsx]extra_Bioplastic'!F772)," ",'Q:\Abteilungsprojekte\Eng\EngData\PROJECT_Bioplastics\Renjie_Pan\05-Raw_Data\Lab_results\[LabSamples2025_Bioplastic_extra.xlsx]extra_Bioplastic'!F772)</f>
        <v/>
      </c>
      <c r="G772">
        <f>IF(ISBLANK('Q:\Abteilungsprojekte\Eng\EngData\PROJECT_Bioplastics\Renjie_Pan\05-Raw_Data\Lab_results\[LabSamples2025_Bioplastic_extra.xlsx]extra_Bioplastic'!G772)," ",'Q:\Abteilungsprojekte\Eng\EngData\PROJECT_Bioplastics\Renjie_Pan\05-Raw_Data\Lab_results\[LabSamples2025_Bioplastic_extra.xlsx]extra_Bioplastic'!G772)</f>
        <v/>
      </c>
      <c r="H772">
        <f>IF(ISBLANK('Q:\Abteilungsprojekte\Eng\EngData\PROJECT_Bioplastics\Renjie_Pan\05-Raw_Data\Lab_results\[LabSamples2025_Bioplastic_extra.xlsx]extra_Bioplastic'!H772)," ",'Q:\Abteilungsprojekte\Eng\EngData\PROJECT_Bioplastics\Renjie_Pan\05-Raw_Data\Lab_results\[LabSamples2025_Bioplastic_extra.xlsx]extra_Bioplastic'!H772)</f>
        <v/>
      </c>
    </row>
    <row r="773">
      <c r="A773">
        <f>IF(ISBLANK('Q:\Abteilungsprojekte\Eng\EngData\PROJECT_Bioplastics\Renjie_Pan\05-Raw_Data\Lab_results\[LabSamples2025_Bioplastic_extra.xlsx]extra_Bioplastic'!A773)," ",'Q:\Abteilungsprojekte\Eng\EngData\PROJECT_Bioplastics\Renjie_Pan\05-Raw_Data\Lab_results\[LabSamples2025_Bioplastic_extra.xlsx]extra_Bioplastic'!A773)</f>
        <v/>
      </c>
      <c r="B773">
        <f>IF(ISBLANK('Q:\Abteilungsprojekte\Eng\EngData\PROJECT_Bioplastics\Renjie_Pan\05-Raw_Data\Lab_results\[LabSamples2025_Bioplastic_extra.xlsx]extra_Bioplastic'!B773)," ",'Q:\Abteilungsprojekte\Eng\EngData\PROJECT_Bioplastics\Renjie_Pan\05-Raw_Data\Lab_results\[LabSamples2025_Bioplastic_extra.xlsx]extra_Bioplastic'!B773)</f>
        <v/>
      </c>
      <c r="C773">
        <f>IF(ISBLANK('Q:\Abteilungsprojekte\Eng\EngData\PROJECT_Bioplastics\Renjie_Pan\05-Raw_Data\Lab_results\[LabSamples2025_Bioplastic_extra.xlsx]extra_Bioplastic'!C773)," ",'Q:\Abteilungsprojekte\Eng\EngData\PROJECT_Bioplastics\Renjie_Pan\05-Raw_Data\Lab_results\[LabSamples2025_Bioplastic_extra.xlsx]extra_Bioplastic'!C773)</f>
        <v/>
      </c>
      <c r="D773">
        <f>IF(ISBLANK('Q:\Abteilungsprojekte\Eng\EngData\PROJECT_Bioplastics\Renjie_Pan\05-Raw_Data\Lab_results\[LabSamples2025_Bioplastic_extra.xlsx]extra_Bioplastic'!D773)," ",'Q:\Abteilungsprojekte\Eng\EngData\PROJECT_Bioplastics\Renjie_Pan\05-Raw_Data\Lab_results\[LabSamples2025_Bioplastic_extra.xlsx]extra_Bioplastic'!D773)</f>
        <v/>
      </c>
      <c r="E773">
        <f>IF(ISBLANK('Q:\Abteilungsprojekte\Eng\EngData\PROJECT_Bioplastics\Renjie_Pan\05-Raw_Data\Lab_results\[LabSamples2025_Bioplastic_extra.xlsx]extra_Bioplastic'!E773)," ",'Q:\Abteilungsprojekte\Eng\EngData\PROJECT_Bioplastics\Renjie_Pan\05-Raw_Data\Lab_results\[LabSamples2025_Bioplastic_extra.xlsx]extra_Bioplastic'!E773)</f>
        <v/>
      </c>
      <c r="F773">
        <f>IF(ISBLANK('Q:\Abteilungsprojekte\Eng\EngData\PROJECT_Bioplastics\Renjie_Pan\05-Raw_Data\Lab_results\[LabSamples2025_Bioplastic_extra.xlsx]extra_Bioplastic'!F773)," ",'Q:\Abteilungsprojekte\Eng\EngData\PROJECT_Bioplastics\Renjie_Pan\05-Raw_Data\Lab_results\[LabSamples2025_Bioplastic_extra.xlsx]extra_Bioplastic'!F773)</f>
        <v/>
      </c>
      <c r="G773">
        <f>IF(ISBLANK('Q:\Abteilungsprojekte\Eng\EngData\PROJECT_Bioplastics\Renjie_Pan\05-Raw_Data\Lab_results\[LabSamples2025_Bioplastic_extra.xlsx]extra_Bioplastic'!G773)," ",'Q:\Abteilungsprojekte\Eng\EngData\PROJECT_Bioplastics\Renjie_Pan\05-Raw_Data\Lab_results\[LabSamples2025_Bioplastic_extra.xlsx]extra_Bioplastic'!G773)</f>
        <v/>
      </c>
      <c r="H773">
        <f>IF(ISBLANK('Q:\Abteilungsprojekte\Eng\EngData\PROJECT_Bioplastics\Renjie_Pan\05-Raw_Data\Lab_results\[LabSamples2025_Bioplastic_extra.xlsx]extra_Bioplastic'!H773)," ",'Q:\Abteilungsprojekte\Eng\EngData\PROJECT_Bioplastics\Renjie_Pan\05-Raw_Data\Lab_results\[LabSamples2025_Bioplastic_extra.xlsx]extra_Bioplastic'!H773)</f>
        <v/>
      </c>
    </row>
    <row r="774">
      <c r="A774">
        <f>IF(ISBLANK('Q:\Abteilungsprojekte\Eng\EngData\PROJECT_Bioplastics\Renjie_Pan\05-Raw_Data\Lab_results\[LabSamples2025_Bioplastic_extra.xlsx]extra_Bioplastic'!A774)," ",'Q:\Abteilungsprojekte\Eng\EngData\PROJECT_Bioplastics\Renjie_Pan\05-Raw_Data\Lab_results\[LabSamples2025_Bioplastic_extra.xlsx]extra_Bioplastic'!A774)</f>
        <v/>
      </c>
      <c r="B774">
        <f>IF(ISBLANK('Q:\Abteilungsprojekte\Eng\EngData\PROJECT_Bioplastics\Renjie_Pan\05-Raw_Data\Lab_results\[LabSamples2025_Bioplastic_extra.xlsx]extra_Bioplastic'!B774)," ",'Q:\Abteilungsprojekte\Eng\EngData\PROJECT_Bioplastics\Renjie_Pan\05-Raw_Data\Lab_results\[LabSamples2025_Bioplastic_extra.xlsx]extra_Bioplastic'!B774)</f>
        <v/>
      </c>
      <c r="C774">
        <f>IF(ISBLANK('Q:\Abteilungsprojekte\Eng\EngData\PROJECT_Bioplastics\Renjie_Pan\05-Raw_Data\Lab_results\[LabSamples2025_Bioplastic_extra.xlsx]extra_Bioplastic'!C774)," ",'Q:\Abteilungsprojekte\Eng\EngData\PROJECT_Bioplastics\Renjie_Pan\05-Raw_Data\Lab_results\[LabSamples2025_Bioplastic_extra.xlsx]extra_Bioplastic'!C774)</f>
        <v/>
      </c>
      <c r="D774">
        <f>IF(ISBLANK('Q:\Abteilungsprojekte\Eng\EngData\PROJECT_Bioplastics\Renjie_Pan\05-Raw_Data\Lab_results\[LabSamples2025_Bioplastic_extra.xlsx]extra_Bioplastic'!D774)," ",'Q:\Abteilungsprojekte\Eng\EngData\PROJECT_Bioplastics\Renjie_Pan\05-Raw_Data\Lab_results\[LabSamples2025_Bioplastic_extra.xlsx]extra_Bioplastic'!D774)</f>
        <v/>
      </c>
      <c r="E774">
        <f>IF(ISBLANK('Q:\Abteilungsprojekte\Eng\EngData\PROJECT_Bioplastics\Renjie_Pan\05-Raw_Data\Lab_results\[LabSamples2025_Bioplastic_extra.xlsx]extra_Bioplastic'!E774)," ",'Q:\Abteilungsprojekte\Eng\EngData\PROJECT_Bioplastics\Renjie_Pan\05-Raw_Data\Lab_results\[LabSamples2025_Bioplastic_extra.xlsx]extra_Bioplastic'!E774)</f>
        <v/>
      </c>
      <c r="F774">
        <f>IF(ISBLANK('Q:\Abteilungsprojekte\Eng\EngData\PROJECT_Bioplastics\Renjie_Pan\05-Raw_Data\Lab_results\[LabSamples2025_Bioplastic_extra.xlsx]extra_Bioplastic'!F774)," ",'Q:\Abteilungsprojekte\Eng\EngData\PROJECT_Bioplastics\Renjie_Pan\05-Raw_Data\Lab_results\[LabSamples2025_Bioplastic_extra.xlsx]extra_Bioplastic'!F774)</f>
        <v/>
      </c>
      <c r="G774">
        <f>IF(ISBLANK('Q:\Abteilungsprojekte\Eng\EngData\PROJECT_Bioplastics\Renjie_Pan\05-Raw_Data\Lab_results\[LabSamples2025_Bioplastic_extra.xlsx]extra_Bioplastic'!G774)," ",'Q:\Abteilungsprojekte\Eng\EngData\PROJECT_Bioplastics\Renjie_Pan\05-Raw_Data\Lab_results\[LabSamples2025_Bioplastic_extra.xlsx]extra_Bioplastic'!G774)</f>
        <v/>
      </c>
      <c r="H774">
        <f>IF(ISBLANK('Q:\Abteilungsprojekte\Eng\EngData\PROJECT_Bioplastics\Renjie_Pan\05-Raw_Data\Lab_results\[LabSamples2025_Bioplastic_extra.xlsx]extra_Bioplastic'!H774)," ",'Q:\Abteilungsprojekte\Eng\EngData\PROJECT_Bioplastics\Renjie_Pan\05-Raw_Data\Lab_results\[LabSamples2025_Bioplastic_extra.xlsx]extra_Bioplastic'!H774)</f>
        <v/>
      </c>
    </row>
    <row r="775">
      <c r="A775">
        <f>IF(ISBLANK('Q:\Abteilungsprojekte\Eng\EngData\PROJECT_Bioplastics\Renjie_Pan\05-Raw_Data\Lab_results\[LabSamples2025_Bioplastic_extra.xlsx]extra_Bioplastic'!A775)," ",'Q:\Abteilungsprojekte\Eng\EngData\PROJECT_Bioplastics\Renjie_Pan\05-Raw_Data\Lab_results\[LabSamples2025_Bioplastic_extra.xlsx]extra_Bioplastic'!A775)</f>
        <v/>
      </c>
      <c r="B775">
        <f>IF(ISBLANK('Q:\Abteilungsprojekte\Eng\EngData\PROJECT_Bioplastics\Renjie_Pan\05-Raw_Data\Lab_results\[LabSamples2025_Bioplastic_extra.xlsx]extra_Bioplastic'!B775)," ",'Q:\Abteilungsprojekte\Eng\EngData\PROJECT_Bioplastics\Renjie_Pan\05-Raw_Data\Lab_results\[LabSamples2025_Bioplastic_extra.xlsx]extra_Bioplastic'!B775)</f>
        <v/>
      </c>
      <c r="C775">
        <f>IF(ISBLANK('Q:\Abteilungsprojekte\Eng\EngData\PROJECT_Bioplastics\Renjie_Pan\05-Raw_Data\Lab_results\[LabSamples2025_Bioplastic_extra.xlsx]extra_Bioplastic'!C775)," ",'Q:\Abteilungsprojekte\Eng\EngData\PROJECT_Bioplastics\Renjie_Pan\05-Raw_Data\Lab_results\[LabSamples2025_Bioplastic_extra.xlsx]extra_Bioplastic'!C775)</f>
        <v/>
      </c>
      <c r="D775">
        <f>IF(ISBLANK('Q:\Abteilungsprojekte\Eng\EngData\PROJECT_Bioplastics\Renjie_Pan\05-Raw_Data\Lab_results\[LabSamples2025_Bioplastic_extra.xlsx]extra_Bioplastic'!D775)," ",'Q:\Abteilungsprojekte\Eng\EngData\PROJECT_Bioplastics\Renjie_Pan\05-Raw_Data\Lab_results\[LabSamples2025_Bioplastic_extra.xlsx]extra_Bioplastic'!D775)</f>
        <v/>
      </c>
      <c r="E775">
        <f>IF(ISBLANK('Q:\Abteilungsprojekte\Eng\EngData\PROJECT_Bioplastics\Renjie_Pan\05-Raw_Data\Lab_results\[LabSamples2025_Bioplastic_extra.xlsx]extra_Bioplastic'!E775)," ",'Q:\Abteilungsprojekte\Eng\EngData\PROJECT_Bioplastics\Renjie_Pan\05-Raw_Data\Lab_results\[LabSamples2025_Bioplastic_extra.xlsx]extra_Bioplastic'!E775)</f>
        <v/>
      </c>
      <c r="F775">
        <f>IF(ISBLANK('Q:\Abteilungsprojekte\Eng\EngData\PROJECT_Bioplastics\Renjie_Pan\05-Raw_Data\Lab_results\[LabSamples2025_Bioplastic_extra.xlsx]extra_Bioplastic'!F775)," ",'Q:\Abteilungsprojekte\Eng\EngData\PROJECT_Bioplastics\Renjie_Pan\05-Raw_Data\Lab_results\[LabSamples2025_Bioplastic_extra.xlsx]extra_Bioplastic'!F775)</f>
        <v/>
      </c>
      <c r="G775">
        <f>IF(ISBLANK('Q:\Abteilungsprojekte\Eng\EngData\PROJECT_Bioplastics\Renjie_Pan\05-Raw_Data\Lab_results\[LabSamples2025_Bioplastic_extra.xlsx]extra_Bioplastic'!G775)," ",'Q:\Abteilungsprojekte\Eng\EngData\PROJECT_Bioplastics\Renjie_Pan\05-Raw_Data\Lab_results\[LabSamples2025_Bioplastic_extra.xlsx]extra_Bioplastic'!G775)</f>
        <v/>
      </c>
      <c r="H775">
        <f>IF(ISBLANK('Q:\Abteilungsprojekte\Eng\EngData\PROJECT_Bioplastics\Renjie_Pan\05-Raw_Data\Lab_results\[LabSamples2025_Bioplastic_extra.xlsx]extra_Bioplastic'!H775)," ",'Q:\Abteilungsprojekte\Eng\EngData\PROJECT_Bioplastics\Renjie_Pan\05-Raw_Data\Lab_results\[LabSamples2025_Bioplastic_extra.xlsx]extra_Bioplastic'!H775)</f>
        <v/>
      </c>
    </row>
    <row r="776">
      <c r="A776">
        <f>IF(ISBLANK('Q:\Abteilungsprojekte\Eng\EngData\PROJECT_Bioplastics\Renjie_Pan\05-Raw_Data\Lab_results\[LabSamples2025_Bioplastic_extra.xlsx]extra_Bioplastic'!A776)," ",'Q:\Abteilungsprojekte\Eng\EngData\PROJECT_Bioplastics\Renjie_Pan\05-Raw_Data\Lab_results\[LabSamples2025_Bioplastic_extra.xlsx]extra_Bioplastic'!A776)</f>
        <v/>
      </c>
      <c r="B776">
        <f>IF(ISBLANK('Q:\Abteilungsprojekte\Eng\EngData\PROJECT_Bioplastics\Renjie_Pan\05-Raw_Data\Lab_results\[LabSamples2025_Bioplastic_extra.xlsx]extra_Bioplastic'!B776)," ",'Q:\Abteilungsprojekte\Eng\EngData\PROJECT_Bioplastics\Renjie_Pan\05-Raw_Data\Lab_results\[LabSamples2025_Bioplastic_extra.xlsx]extra_Bioplastic'!B776)</f>
        <v/>
      </c>
      <c r="C776">
        <f>IF(ISBLANK('Q:\Abteilungsprojekte\Eng\EngData\PROJECT_Bioplastics\Renjie_Pan\05-Raw_Data\Lab_results\[LabSamples2025_Bioplastic_extra.xlsx]extra_Bioplastic'!C776)," ",'Q:\Abteilungsprojekte\Eng\EngData\PROJECT_Bioplastics\Renjie_Pan\05-Raw_Data\Lab_results\[LabSamples2025_Bioplastic_extra.xlsx]extra_Bioplastic'!C776)</f>
        <v/>
      </c>
      <c r="D776">
        <f>IF(ISBLANK('Q:\Abteilungsprojekte\Eng\EngData\PROJECT_Bioplastics\Renjie_Pan\05-Raw_Data\Lab_results\[LabSamples2025_Bioplastic_extra.xlsx]extra_Bioplastic'!D776)," ",'Q:\Abteilungsprojekte\Eng\EngData\PROJECT_Bioplastics\Renjie_Pan\05-Raw_Data\Lab_results\[LabSamples2025_Bioplastic_extra.xlsx]extra_Bioplastic'!D776)</f>
        <v/>
      </c>
      <c r="E776">
        <f>IF(ISBLANK('Q:\Abteilungsprojekte\Eng\EngData\PROJECT_Bioplastics\Renjie_Pan\05-Raw_Data\Lab_results\[LabSamples2025_Bioplastic_extra.xlsx]extra_Bioplastic'!E776)," ",'Q:\Abteilungsprojekte\Eng\EngData\PROJECT_Bioplastics\Renjie_Pan\05-Raw_Data\Lab_results\[LabSamples2025_Bioplastic_extra.xlsx]extra_Bioplastic'!E776)</f>
        <v/>
      </c>
      <c r="F776">
        <f>IF(ISBLANK('Q:\Abteilungsprojekte\Eng\EngData\PROJECT_Bioplastics\Renjie_Pan\05-Raw_Data\Lab_results\[LabSamples2025_Bioplastic_extra.xlsx]extra_Bioplastic'!F776)," ",'Q:\Abteilungsprojekte\Eng\EngData\PROJECT_Bioplastics\Renjie_Pan\05-Raw_Data\Lab_results\[LabSamples2025_Bioplastic_extra.xlsx]extra_Bioplastic'!F776)</f>
        <v/>
      </c>
      <c r="G776">
        <f>IF(ISBLANK('Q:\Abteilungsprojekte\Eng\EngData\PROJECT_Bioplastics\Renjie_Pan\05-Raw_Data\Lab_results\[LabSamples2025_Bioplastic_extra.xlsx]extra_Bioplastic'!G776)," ",'Q:\Abteilungsprojekte\Eng\EngData\PROJECT_Bioplastics\Renjie_Pan\05-Raw_Data\Lab_results\[LabSamples2025_Bioplastic_extra.xlsx]extra_Bioplastic'!G776)</f>
        <v/>
      </c>
      <c r="H776">
        <f>IF(ISBLANK('Q:\Abteilungsprojekte\Eng\EngData\PROJECT_Bioplastics\Renjie_Pan\05-Raw_Data\Lab_results\[LabSamples2025_Bioplastic_extra.xlsx]extra_Bioplastic'!H776)," ",'Q:\Abteilungsprojekte\Eng\EngData\PROJECT_Bioplastics\Renjie_Pan\05-Raw_Data\Lab_results\[LabSamples2025_Bioplastic_extra.xlsx]extra_Bioplastic'!H776)</f>
        <v/>
      </c>
    </row>
    <row r="777">
      <c r="A777">
        <f>IF(ISBLANK('Q:\Abteilungsprojekte\Eng\EngData\PROJECT_Bioplastics\Renjie_Pan\05-Raw_Data\Lab_results\[LabSamples2025_Bioplastic_extra.xlsx]extra_Bioplastic'!A777)," ",'Q:\Abteilungsprojekte\Eng\EngData\PROJECT_Bioplastics\Renjie_Pan\05-Raw_Data\Lab_results\[LabSamples2025_Bioplastic_extra.xlsx]extra_Bioplastic'!A777)</f>
        <v/>
      </c>
      <c r="B777">
        <f>IF(ISBLANK('Q:\Abteilungsprojekte\Eng\EngData\PROJECT_Bioplastics\Renjie_Pan\05-Raw_Data\Lab_results\[LabSamples2025_Bioplastic_extra.xlsx]extra_Bioplastic'!B777)," ",'Q:\Abteilungsprojekte\Eng\EngData\PROJECT_Bioplastics\Renjie_Pan\05-Raw_Data\Lab_results\[LabSamples2025_Bioplastic_extra.xlsx]extra_Bioplastic'!B777)</f>
        <v/>
      </c>
      <c r="C777">
        <f>IF(ISBLANK('Q:\Abteilungsprojekte\Eng\EngData\PROJECT_Bioplastics\Renjie_Pan\05-Raw_Data\Lab_results\[LabSamples2025_Bioplastic_extra.xlsx]extra_Bioplastic'!C777)," ",'Q:\Abteilungsprojekte\Eng\EngData\PROJECT_Bioplastics\Renjie_Pan\05-Raw_Data\Lab_results\[LabSamples2025_Bioplastic_extra.xlsx]extra_Bioplastic'!C777)</f>
        <v/>
      </c>
      <c r="D777">
        <f>IF(ISBLANK('Q:\Abteilungsprojekte\Eng\EngData\PROJECT_Bioplastics\Renjie_Pan\05-Raw_Data\Lab_results\[LabSamples2025_Bioplastic_extra.xlsx]extra_Bioplastic'!D777)," ",'Q:\Abteilungsprojekte\Eng\EngData\PROJECT_Bioplastics\Renjie_Pan\05-Raw_Data\Lab_results\[LabSamples2025_Bioplastic_extra.xlsx]extra_Bioplastic'!D777)</f>
        <v/>
      </c>
      <c r="E777">
        <f>IF(ISBLANK('Q:\Abteilungsprojekte\Eng\EngData\PROJECT_Bioplastics\Renjie_Pan\05-Raw_Data\Lab_results\[LabSamples2025_Bioplastic_extra.xlsx]extra_Bioplastic'!E777)," ",'Q:\Abteilungsprojekte\Eng\EngData\PROJECT_Bioplastics\Renjie_Pan\05-Raw_Data\Lab_results\[LabSamples2025_Bioplastic_extra.xlsx]extra_Bioplastic'!E777)</f>
        <v/>
      </c>
      <c r="F777">
        <f>IF(ISBLANK('Q:\Abteilungsprojekte\Eng\EngData\PROJECT_Bioplastics\Renjie_Pan\05-Raw_Data\Lab_results\[LabSamples2025_Bioplastic_extra.xlsx]extra_Bioplastic'!F777)," ",'Q:\Abteilungsprojekte\Eng\EngData\PROJECT_Bioplastics\Renjie_Pan\05-Raw_Data\Lab_results\[LabSamples2025_Bioplastic_extra.xlsx]extra_Bioplastic'!F777)</f>
        <v/>
      </c>
      <c r="G777">
        <f>IF(ISBLANK('Q:\Abteilungsprojekte\Eng\EngData\PROJECT_Bioplastics\Renjie_Pan\05-Raw_Data\Lab_results\[LabSamples2025_Bioplastic_extra.xlsx]extra_Bioplastic'!G777)," ",'Q:\Abteilungsprojekte\Eng\EngData\PROJECT_Bioplastics\Renjie_Pan\05-Raw_Data\Lab_results\[LabSamples2025_Bioplastic_extra.xlsx]extra_Bioplastic'!G777)</f>
        <v/>
      </c>
      <c r="H777">
        <f>IF(ISBLANK('Q:\Abteilungsprojekte\Eng\EngData\PROJECT_Bioplastics\Renjie_Pan\05-Raw_Data\Lab_results\[LabSamples2025_Bioplastic_extra.xlsx]extra_Bioplastic'!H777)," ",'Q:\Abteilungsprojekte\Eng\EngData\PROJECT_Bioplastics\Renjie_Pan\05-Raw_Data\Lab_results\[LabSamples2025_Bioplastic_extra.xlsx]extra_Bioplastic'!H777)</f>
        <v/>
      </c>
    </row>
    <row r="778">
      <c r="A778">
        <f>IF(ISBLANK('Q:\Abteilungsprojekte\Eng\EngData\PROJECT_Bioplastics\Renjie_Pan\05-Raw_Data\Lab_results\[LabSamples2025_Bioplastic_extra.xlsx]extra_Bioplastic'!A778)," ",'Q:\Abteilungsprojekte\Eng\EngData\PROJECT_Bioplastics\Renjie_Pan\05-Raw_Data\Lab_results\[LabSamples2025_Bioplastic_extra.xlsx]extra_Bioplastic'!A778)</f>
        <v/>
      </c>
      <c r="B778">
        <f>IF(ISBLANK('Q:\Abteilungsprojekte\Eng\EngData\PROJECT_Bioplastics\Renjie_Pan\05-Raw_Data\Lab_results\[LabSamples2025_Bioplastic_extra.xlsx]extra_Bioplastic'!B778)," ",'Q:\Abteilungsprojekte\Eng\EngData\PROJECT_Bioplastics\Renjie_Pan\05-Raw_Data\Lab_results\[LabSamples2025_Bioplastic_extra.xlsx]extra_Bioplastic'!B778)</f>
        <v/>
      </c>
      <c r="C778">
        <f>IF(ISBLANK('Q:\Abteilungsprojekte\Eng\EngData\PROJECT_Bioplastics\Renjie_Pan\05-Raw_Data\Lab_results\[LabSamples2025_Bioplastic_extra.xlsx]extra_Bioplastic'!C778)," ",'Q:\Abteilungsprojekte\Eng\EngData\PROJECT_Bioplastics\Renjie_Pan\05-Raw_Data\Lab_results\[LabSamples2025_Bioplastic_extra.xlsx]extra_Bioplastic'!C778)</f>
        <v/>
      </c>
      <c r="D778">
        <f>IF(ISBLANK('Q:\Abteilungsprojekte\Eng\EngData\PROJECT_Bioplastics\Renjie_Pan\05-Raw_Data\Lab_results\[LabSamples2025_Bioplastic_extra.xlsx]extra_Bioplastic'!D778)," ",'Q:\Abteilungsprojekte\Eng\EngData\PROJECT_Bioplastics\Renjie_Pan\05-Raw_Data\Lab_results\[LabSamples2025_Bioplastic_extra.xlsx]extra_Bioplastic'!D778)</f>
        <v/>
      </c>
      <c r="E778">
        <f>IF(ISBLANK('Q:\Abteilungsprojekte\Eng\EngData\PROJECT_Bioplastics\Renjie_Pan\05-Raw_Data\Lab_results\[LabSamples2025_Bioplastic_extra.xlsx]extra_Bioplastic'!E778)," ",'Q:\Abteilungsprojekte\Eng\EngData\PROJECT_Bioplastics\Renjie_Pan\05-Raw_Data\Lab_results\[LabSamples2025_Bioplastic_extra.xlsx]extra_Bioplastic'!E778)</f>
        <v/>
      </c>
      <c r="F778">
        <f>IF(ISBLANK('Q:\Abteilungsprojekte\Eng\EngData\PROJECT_Bioplastics\Renjie_Pan\05-Raw_Data\Lab_results\[LabSamples2025_Bioplastic_extra.xlsx]extra_Bioplastic'!F778)," ",'Q:\Abteilungsprojekte\Eng\EngData\PROJECT_Bioplastics\Renjie_Pan\05-Raw_Data\Lab_results\[LabSamples2025_Bioplastic_extra.xlsx]extra_Bioplastic'!F778)</f>
        <v/>
      </c>
      <c r="G778">
        <f>IF(ISBLANK('Q:\Abteilungsprojekte\Eng\EngData\PROJECT_Bioplastics\Renjie_Pan\05-Raw_Data\Lab_results\[LabSamples2025_Bioplastic_extra.xlsx]extra_Bioplastic'!G778)," ",'Q:\Abteilungsprojekte\Eng\EngData\PROJECT_Bioplastics\Renjie_Pan\05-Raw_Data\Lab_results\[LabSamples2025_Bioplastic_extra.xlsx]extra_Bioplastic'!G778)</f>
        <v/>
      </c>
      <c r="H778">
        <f>IF(ISBLANK('Q:\Abteilungsprojekte\Eng\EngData\PROJECT_Bioplastics\Renjie_Pan\05-Raw_Data\Lab_results\[LabSamples2025_Bioplastic_extra.xlsx]extra_Bioplastic'!H778)," ",'Q:\Abteilungsprojekte\Eng\EngData\PROJECT_Bioplastics\Renjie_Pan\05-Raw_Data\Lab_results\[LabSamples2025_Bioplastic_extra.xlsx]extra_Bioplastic'!H778)</f>
        <v/>
      </c>
    </row>
    <row r="779">
      <c r="A779">
        <f>IF(ISBLANK('Q:\Abteilungsprojekte\Eng\EngData\PROJECT_Bioplastics\Renjie_Pan\05-Raw_Data\Lab_results\[LabSamples2025_Bioplastic_extra.xlsx]extra_Bioplastic'!A779)," ",'Q:\Abteilungsprojekte\Eng\EngData\PROJECT_Bioplastics\Renjie_Pan\05-Raw_Data\Lab_results\[LabSamples2025_Bioplastic_extra.xlsx]extra_Bioplastic'!A779)</f>
        <v/>
      </c>
      <c r="B779">
        <f>IF(ISBLANK('Q:\Abteilungsprojekte\Eng\EngData\PROJECT_Bioplastics\Renjie_Pan\05-Raw_Data\Lab_results\[LabSamples2025_Bioplastic_extra.xlsx]extra_Bioplastic'!B779)," ",'Q:\Abteilungsprojekte\Eng\EngData\PROJECT_Bioplastics\Renjie_Pan\05-Raw_Data\Lab_results\[LabSamples2025_Bioplastic_extra.xlsx]extra_Bioplastic'!B779)</f>
        <v/>
      </c>
      <c r="C779">
        <f>IF(ISBLANK('Q:\Abteilungsprojekte\Eng\EngData\PROJECT_Bioplastics\Renjie_Pan\05-Raw_Data\Lab_results\[LabSamples2025_Bioplastic_extra.xlsx]extra_Bioplastic'!C779)," ",'Q:\Abteilungsprojekte\Eng\EngData\PROJECT_Bioplastics\Renjie_Pan\05-Raw_Data\Lab_results\[LabSamples2025_Bioplastic_extra.xlsx]extra_Bioplastic'!C779)</f>
        <v/>
      </c>
      <c r="D779">
        <f>IF(ISBLANK('Q:\Abteilungsprojekte\Eng\EngData\PROJECT_Bioplastics\Renjie_Pan\05-Raw_Data\Lab_results\[LabSamples2025_Bioplastic_extra.xlsx]extra_Bioplastic'!D779)," ",'Q:\Abteilungsprojekte\Eng\EngData\PROJECT_Bioplastics\Renjie_Pan\05-Raw_Data\Lab_results\[LabSamples2025_Bioplastic_extra.xlsx]extra_Bioplastic'!D779)</f>
        <v/>
      </c>
      <c r="E779">
        <f>IF(ISBLANK('Q:\Abteilungsprojekte\Eng\EngData\PROJECT_Bioplastics\Renjie_Pan\05-Raw_Data\Lab_results\[LabSamples2025_Bioplastic_extra.xlsx]extra_Bioplastic'!E779)," ",'Q:\Abteilungsprojekte\Eng\EngData\PROJECT_Bioplastics\Renjie_Pan\05-Raw_Data\Lab_results\[LabSamples2025_Bioplastic_extra.xlsx]extra_Bioplastic'!E779)</f>
        <v/>
      </c>
      <c r="F779">
        <f>IF(ISBLANK('Q:\Abteilungsprojekte\Eng\EngData\PROJECT_Bioplastics\Renjie_Pan\05-Raw_Data\Lab_results\[LabSamples2025_Bioplastic_extra.xlsx]extra_Bioplastic'!F779)," ",'Q:\Abteilungsprojekte\Eng\EngData\PROJECT_Bioplastics\Renjie_Pan\05-Raw_Data\Lab_results\[LabSamples2025_Bioplastic_extra.xlsx]extra_Bioplastic'!F779)</f>
        <v/>
      </c>
      <c r="G779">
        <f>IF(ISBLANK('Q:\Abteilungsprojekte\Eng\EngData\PROJECT_Bioplastics\Renjie_Pan\05-Raw_Data\Lab_results\[LabSamples2025_Bioplastic_extra.xlsx]extra_Bioplastic'!G779)," ",'Q:\Abteilungsprojekte\Eng\EngData\PROJECT_Bioplastics\Renjie_Pan\05-Raw_Data\Lab_results\[LabSamples2025_Bioplastic_extra.xlsx]extra_Bioplastic'!G779)</f>
        <v/>
      </c>
      <c r="H779">
        <f>IF(ISBLANK('Q:\Abteilungsprojekte\Eng\EngData\PROJECT_Bioplastics\Renjie_Pan\05-Raw_Data\Lab_results\[LabSamples2025_Bioplastic_extra.xlsx]extra_Bioplastic'!H779)," ",'Q:\Abteilungsprojekte\Eng\EngData\PROJECT_Bioplastics\Renjie_Pan\05-Raw_Data\Lab_results\[LabSamples2025_Bioplastic_extra.xlsx]extra_Bioplastic'!H779)</f>
        <v/>
      </c>
    </row>
    <row r="780">
      <c r="A780">
        <f>IF(ISBLANK('Q:\Abteilungsprojekte\Eng\EngData\PROJECT_Bioplastics\Renjie_Pan\05-Raw_Data\Lab_results\[LabSamples2025_Bioplastic_extra.xlsx]extra_Bioplastic'!A780)," ",'Q:\Abteilungsprojekte\Eng\EngData\PROJECT_Bioplastics\Renjie_Pan\05-Raw_Data\Lab_results\[LabSamples2025_Bioplastic_extra.xlsx]extra_Bioplastic'!A780)</f>
        <v/>
      </c>
      <c r="B780">
        <f>IF(ISBLANK('Q:\Abteilungsprojekte\Eng\EngData\PROJECT_Bioplastics\Renjie_Pan\05-Raw_Data\Lab_results\[LabSamples2025_Bioplastic_extra.xlsx]extra_Bioplastic'!B780)," ",'Q:\Abteilungsprojekte\Eng\EngData\PROJECT_Bioplastics\Renjie_Pan\05-Raw_Data\Lab_results\[LabSamples2025_Bioplastic_extra.xlsx]extra_Bioplastic'!B780)</f>
        <v/>
      </c>
      <c r="C780">
        <f>IF(ISBLANK('Q:\Abteilungsprojekte\Eng\EngData\PROJECT_Bioplastics\Renjie_Pan\05-Raw_Data\Lab_results\[LabSamples2025_Bioplastic_extra.xlsx]extra_Bioplastic'!C780)," ",'Q:\Abteilungsprojekte\Eng\EngData\PROJECT_Bioplastics\Renjie_Pan\05-Raw_Data\Lab_results\[LabSamples2025_Bioplastic_extra.xlsx]extra_Bioplastic'!C780)</f>
        <v/>
      </c>
      <c r="D780">
        <f>IF(ISBLANK('Q:\Abteilungsprojekte\Eng\EngData\PROJECT_Bioplastics\Renjie_Pan\05-Raw_Data\Lab_results\[LabSamples2025_Bioplastic_extra.xlsx]extra_Bioplastic'!D780)," ",'Q:\Abteilungsprojekte\Eng\EngData\PROJECT_Bioplastics\Renjie_Pan\05-Raw_Data\Lab_results\[LabSamples2025_Bioplastic_extra.xlsx]extra_Bioplastic'!D780)</f>
        <v/>
      </c>
      <c r="E780">
        <f>IF(ISBLANK('Q:\Abteilungsprojekte\Eng\EngData\PROJECT_Bioplastics\Renjie_Pan\05-Raw_Data\Lab_results\[LabSamples2025_Bioplastic_extra.xlsx]extra_Bioplastic'!E780)," ",'Q:\Abteilungsprojekte\Eng\EngData\PROJECT_Bioplastics\Renjie_Pan\05-Raw_Data\Lab_results\[LabSamples2025_Bioplastic_extra.xlsx]extra_Bioplastic'!E780)</f>
        <v/>
      </c>
      <c r="F780">
        <f>IF(ISBLANK('Q:\Abteilungsprojekte\Eng\EngData\PROJECT_Bioplastics\Renjie_Pan\05-Raw_Data\Lab_results\[LabSamples2025_Bioplastic_extra.xlsx]extra_Bioplastic'!F780)," ",'Q:\Abteilungsprojekte\Eng\EngData\PROJECT_Bioplastics\Renjie_Pan\05-Raw_Data\Lab_results\[LabSamples2025_Bioplastic_extra.xlsx]extra_Bioplastic'!F780)</f>
        <v/>
      </c>
      <c r="G780">
        <f>IF(ISBLANK('Q:\Abteilungsprojekte\Eng\EngData\PROJECT_Bioplastics\Renjie_Pan\05-Raw_Data\Lab_results\[LabSamples2025_Bioplastic_extra.xlsx]extra_Bioplastic'!G780)," ",'Q:\Abteilungsprojekte\Eng\EngData\PROJECT_Bioplastics\Renjie_Pan\05-Raw_Data\Lab_results\[LabSamples2025_Bioplastic_extra.xlsx]extra_Bioplastic'!G780)</f>
        <v/>
      </c>
      <c r="H780">
        <f>IF(ISBLANK('Q:\Abteilungsprojekte\Eng\EngData\PROJECT_Bioplastics\Renjie_Pan\05-Raw_Data\Lab_results\[LabSamples2025_Bioplastic_extra.xlsx]extra_Bioplastic'!H780)," ",'Q:\Abteilungsprojekte\Eng\EngData\PROJECT_Bioplastics\Renjie_Pan\05-Raw_Data\Lab_results\[LabSamples2025_Bioplastic_extra.xlsx]extra_Bioplastic'!H780)</f>
        <v/>
      </c>
    </row>
    <row r="781">
      <c r="A781">
        <f>IF(ISBLANK('Q:\Abteilungsprojekte\Eng\EngData\PROJECT_Bioplastics\Renjie_Pan\05-Raw_Data\Lab_results\[LabSamples2025_Bioplastic_extra.xlsx]extra_Bioplastic'!A781)," ",'Q:\Abteilungsprojekte\Eng\EngData\PROJECT_Bioplastics\Renjie_Pan\05-Raw_Data\Lab_results\[LabSamples2025_Bioplastic_extra.xlsx]extra_Bioplastic'!A781)</f>
        <v/>
      </c>
      <c r="B781">
        <f>IF(ISBLANK('Q:\Abteilungsprojekte\Eng\EngData\PROJECT_Bioplastics\Renjie_Pan\05-Raw_Data\Lab_results\[LabSamples2025_Bioplastic_extra.xlsx]extra_Bioplastic'!B781)," ",'Q:\Abteilungsprojekte\Eng\EngData\PROJECT_Bioplastics\Renjie_Pan\05-Raw_Data\Lab_results\[LabSamples2025_Bioplastic_extra.xlsx]extra_Bioplastic'!B781)</f>
        <v/>
      </c>
      <c r="C781">
        <f>IF(ISBLANK('Q:\Abteilungsprojekte\Eng\EngData\PROJECT_Bioplastics\Renjie_Pan\05-Raw_Data\Lab_results\[LabSamples2025_Bioplastic_extra.xlsx]extra_Bioplastic'!C781)," ",'Q:\Abteilungsprojekte\Eng\EngData\PROJECT_Bioplastics\Renjie_Pan\05-Raw_Data\Lab_results\[LabSamples2025_Bioplastic_extra.xlsx]extra_Bioplastic'!C781)</f>
        <v/>
      </c>
      <c r="D781">
        <f>IF(ISBLANK('Q:\Abteilungsprojekte\Eng\EngData\PROJECT_Bioplastics\Renjie_Pan\05-Raw_Data\Lab_results\[LabSamples2025_Bioplastic_extra.xlsx]extra_Bioplastic'!D781)," ",'Q:\Abteilungsprojekte\Eng\EngData\PROJECT_Bioplastics\Renjie_Pan\05-Raw_Data\Lab_results\[LabSamples2025_Bioplastic_extra.xlsx]extra_Bioplastic'!D781)</f>
        <v/>
      </c>
      <c r="E781">
        <f>IF(ISBLANK('Q:\Abteilungsprojekte\Eng\EngData\PROJECT_Bioplastics\Renjie_Pan\05-Raw_Data\Lab_results\[LabSamples2025_Bioplastic_extra.xlsx]extra_Bioplastic'!E781)," ",'Q:\Abteilungsprojekte\Eng\EngData\PROJECT_Bioplastics\Renjie_Pan\05-Raw_Data\Lab_results\[LabSamples2025_Bioplastic_extra.xlsx]extra_Bioplastic'!E781)</f>
        <v/>
      </c>
      <c r="F781">
        <f>IF(ISBLANK('Q:\Abteilungsprojekte\Eng\EngData\PROJECT_Bioplastics\Renjie_Pan\05-Raw_Data\Lab_results\[LabSamples2025_Bioplastic_extra.xlsx]extra_Bioplastic'!F781)," ",'Q:\Abteilungsprojekte\Eng\EngData\PROJECT_Bioplastics\Renjie_Pan\05-Raw_Data\Lab_results\[LabSamples2025_Bioplastic_extra.xlsx]extra_Bioplastic'!F781)</f>
        <v/>
      </c>
      <c r="G781">
        <f>IF(ISBLANK('Q:\Abteilungsprojekte\Eng\EngData\PROJECT_Bioplastics\Renjie_Pan\05-Raw_Data\Lab_results\[LabSamples2025_Bioplastic_extra.xlsx]extra_Bioplastic'!G781)," ",'Q:\Abteilungsprojekte\Eng\EngData\PROJECT_Bioplastics\Renjie_Pan\05-Raw_Data\Lab_results\[LabSamples2025_Bioplastic_extra.xlsx]extra_Bioplastic'!G781)</f>
        <v/>
      </c>
      <c r="H781">
        <f>IF(ISBLANK('Q:\Abteilungsprojekte\Eng\EngData\PROJECT_Bioplastics\Renjie_Pan\05-Raw_Data\Lab_results\[LabSamples2025_Bioplastic_extra.xlsx]extra_Bioplastic'!H781)," ",'Q:\Abteilungsprojekte\Eng\EngData\PROJECT_Bioplastics\Renjie_Pan\05-Raw_Data\Lab_results\[LabSamples2025_Bioplastic_extra.xlsx]extra_Bioplastic'!H781)</f>
        <v/>
      </c>
    </row>
    <row r="782">
      <c r="A782">
        <f>IF(ISBLANK('Q:\Abteilungsprojekte\Eng\EngData\PROJECT_Bioplastics\Renjie_Pan\05-Raw_Data\Lab_results\[LabSamples2025_Bioplastic_extra.xlsx]extra_Bioplastic'!A782)," ",'Q:\Abteilungsprojekte\Eng\EngData\PROJECT_Bioplastics\Renjie_Pan\05-Raw_Data\Lab_results\[LabSamples2025_Bioplastic_extra.xlsx]extra_Bioplastic'!A782)</f>
        <v/>
      </c>
      <c r="B782">
        <f>IF(ISBLANK('Q:\Abteilungsprojekte\Eng\EngData\PROJECT_Bioplastics\Renjie_Pan\05-Raw_Data\Lab_results\[LabSamples2025_Bioplastic_extra.xlsx]extra_Bioplastic'!B782)," ",'Q:\Abteilungsprojekte\Eng\EngData\PROJECT_Bioplastics\Renjie_Pan\05-Raw_Data\Lab_results\[LabSamples2025_Bioplastic_extra.xlsx]extra_Bioplastic'!B782)</f>
        <v/>
      </c>
      <c r="C782">
        <f>IF(ISBLANK('Q:\Abteilungsprojekte\Eng\EngData\PROJECT_Bioplastics\Renjie_Pan\05-Raw_Data\Lab_results\[LabSamples2025_Bioplastic_extra.xlsx]extra_Bioplastic'!C782)," ",'Q:\Abteilungsprojekte\Eng\EngData\PROJECT_Bioplastics\Renjie_Pan\05-Raw_Data\Lab_results\[LabSamples2025_Bioplastic_extra.xlsx]extra_Bioplastic'!C782)</f>
        <v/>
      </c>
      <c r="D782">
        <f>IF(ISBLANK('Q:\Abteilungsprojekte\Eng\EngData\PROJECT_Bioplastics\Renjie_Pan\05-Raw_Data\Lab_results\[LabSamples2025_Bioplastic_extra.xlsx]extra_Bioplastic'!D782)," ",'Q:\Abteilungsprojekte\Eng\EngData\PROJECT_Bioplastics\Renjie_Pan\05-Raw_Data\Lab_results\[LabSamples2025_Bioplastic_extra.xlsx]extra_Bioplastic'!D782)</f>
        <v/>
      </c>
      <c r="E782">
        <f>IF(ISBLANK('Q:\Abteilungsprojekte\Eng\EngData\PROJECT_Bioplastics\Renjie_Pan\05-Raw_Data\Lab_results\[LabSamples2025_Bioplastic_extra.xlsx]extra_Bioplastic'!E782)," ",'Q:\Abteilungsprojekte\Eng\EngData\PROJECT_Bioplastics\Renjie_Pan\05-Raw_Data\Lab_results\[LabSamples2025_Bioplastic_extra.xlsx]extra_Bioplastic'!E782)</f>
        <v/>
      </c>
      <c r="F782">
        <f>IF(ISBLANK('Q:\Abteilungsprojekte\Eng\EngData\PROJECT_Bioplastics\Renjie_Pan\05-Raw_Data\Lab_results\[LabSamples2025_Bioplastic_extra.xlsx]extra_Bioplastic'!F782)," ",'Q:\Abteilungsprojekte\Eng\EngData\PROJECT_Bioplastics\Renjie_Pan\05-Raw_Data\Lab_results\[LabSamples2025_Bioplastic_extra.xlsx]extra_Bioplastic'!F782)</f>
        <v/>
      </c>
      <c r="G782">
        <f>IF(ISBLANK('Q:\Abteilungsprojekte\Eng\EngData\PROJECT_Bioplastics\Renjie_Pan\05-Raw_Data\Lab_results\[LabSamples2025_Bioplastic_extra.xlsx]extra_Bioplastic'!G782)," ",'Q:\Abteilungsprojekte\Eng\EngData\PROJECT_Bioplastics\Renjie_Pan\05-Raw_Data\Lab_results\[LabSamples2025_Bioplastic_extra.xlsx]extra_Bioplastic'!G782)</f>
        <v/>
      </c>
      <c r="H782">
        <f>IF(ISBLANK('Q:\Abteilungsprojekte\Eng\EngData\PROJECT_Bioplastics\Renjie_Pan\05-Raw_Data\Lab_results\[LabSamples2025_Bioplastic_extra.xlsx]extra_Bioplastic'!H782)," ",'Q:\Abteilungsprojekte\Eng\EngData\PROJECT_Bioplastics\Renjie_Pan\05-Raw_Data\Lab_results\[LabSamples2025_Bioplastic_extra.xlsx]extra_Bioplastic'!H782)</f>
        <v/>
      </c>
    </row>
    <row r="783">
      <c r="A783">
        <f>IF(ISBLANK('Q:\Abteilungsprojekte\Eng\EngData\PROJECT_Bioplastics\Renjie_Pan\05-Raw_Data\Lab_results\[LabSamples2025_Bioplastic_extra.xlsx]extra_Bioplastic'!A783)," ",'Q:\Abteilungsprojekte\Eng\EngData\PROJECT_Bioplastics\Renjie_Pan\05-Raw_Data\Lab_results\[LabSamples2025_Bioplastic_extra.xlsx]extra_Bioplastic'!A783)</f>
        <v/>
      </c>
      <c r="B783">
        <f>IF(ISBLANK('Q:\Abteilungsprojekte\Eng\EngData\PROJECT_Bioplastics\Renjie_Pan\05-Raw_Data\Lab_results\[LabSamples2025_Bioplastic_extra.xlsx]extra_Bioplastic'!B783)," ",'Q:\Abteilungsprojekte\Eng\EngData\PROJECT_Bioplastics\Renjie_Pan\05-Raw_Data\Lab_results\[LabSamples2025_Bioplastic_extra.xlsx]extra_Bioplastic'!B783)</f>
        <v/>
      </c>
      <c r="C783">
        <f>IF(ISBLANK('Q:\Abteilungsprojekte\Eng\EngData\PROJECT_Bioplastics\Renjie_Pan\05-Raw_Data\Lab_results\[LabSamples2025_Bioplastic_extra.xlsx]extra_Bioplastic'!C783)," ",'Q:\Abteilungsprojekte\Eng\EngData\PROJECT_Bioplastics\Renjie_Pan\05-Raw_Data\Lab_results\[LabSamples2025_Bioplastic_extra.xlsx]extra_Bioplastic'!C783)</f>
        <v/>
      </c>
      <c r="D783">
        <f>IF(ISBLANK('Q:\Abteilungsprojekte\Eng\EngData\PROJECT_Bioplastics\Renjie_Pan\05-Raw_Data\Lab_results\[LabSamples2025_Bioplastic_extra.xlsx]extra_Bioplastic'!D783)," ",'Q:\Abteilungsprojekte\Eng\EngData\PROJECT_Bioplastics\Renjie_Pan\05-Raw_Data\Lab_results\[LabSamples2025_Bioplastic_extra.xlsx]extra_Bioplastic'!D783)</f>
        <v/>
      </c>
      <c r="E783">
        <f>IF(ISBLANK('Q:\Abteilungsprojekte\Eng\EngData\PROJECT_Bioplastics\Renjie_Pan\05-Raw_Data\Lab_results\[LabSamples2025_Bioplastic_extra.xlsx]extra_Bioplastic'!E783)," ",'Q:\Abteilungsprojekte\Eng\EngData\PROJECT_Bioplastics\Renjie_Pan\05-Raw_Data\Lab_results\[LabSamples2025_Bioplastic_extra.xlsx]extra_Bioplastic'!E783)</f>
        <v/>
      </c>
      <c r="F783">
        <f>IF(ISBLANK('Q:\Abteilungsprojekte\Eng\EngData\PROJECT_Bioplastics\Renjie_Pan\05-Raw_Data\Lab_results\[LabSamples2025_Bioplastic_extra.xlsx]extra_Bioplastic'!F783)," ",'Q:\Abteilungsprojekte\Eng\EngData\PROJECT_Bioplastics\Renjie_Pan\05-Raw_Data\Lab_results\[LabSamples2025_Bioplastic_extra.xlsx]extra_Bioplastic'!F783)</f>
        <v/>
      </c>
      <c r="G783">
        <f>IF(ISBLANK('Q:\Abteilungsprojekte\Eng\EngData\PROJECT_Bioplastics\Renjie_Pan\05-Raw_Data\Lab_results\[LabSamples2025_Bioplastic_extra.xlsx]extra_Bioplastic'!G783)," ",'Q:\Abteilungsprojekte\Eng\EngData\PROJECT_Bioplastics\Renjie_Pan\05-Raw_Data\Lab_results\[LabSamples2025_Bioplastic_extra.xlsx]extra_Bioplastic'!G783)</f>
        <v/>
      </c>
      <c r="H783">
        <f>IF(ISBLANK('Q:\Abteilungsprojekte\Eng\EngData\PROJECT_Bioplastics\Renjie_Pan\05-Raw_Data\Lab_results\[LabSamples2025_Bioplastic_extra.xlsx]extra_Bioplastic'!H783)," ",'Q:\Abteilungsprojekte\Eng\EngData\PROJECT_Bioplastics\Renjie_Pan\05-Raw_Data\Lab_results\[LabSamples2025_Bioplastic_extra.xlsx]extra_Bioplastic'!H783)</f>
        <v/>
      </c>
    </row>
    <row r="784">
      <c r="A784">
        <f>IF(ISBLANK('Q:\Abteilungsprojekte\Eng\EngData\PROJECT_Bioplastics\Renjie_Pan\05-Raw_Data\Lab_results\[LabSamples2025_Bioplastic_extra.xlsx]extra_Bioplastic'!A784)," ",'Q:\Abteilungsprojekte\Eng\EngData\PROJECT_Bioplastics\Renjie_Pan\05-Raw_Data\Lab_results\[LabSamples2025_Bioplastic_extra.xlsx]extra_Bioplastic'!A784)</f>
        <v/>
      </c>
      <c r="B784">
        <f>IF(ISBLANK('Q:\Abteilungsprojekte\Eng\EngData\PROJECT_Bioplastics\Renjie_Pan\05-Raw_Data\Lab_results\[LabSamples2025_Bioplastic_extra.xlsx]extra_Bioplastic'!B784)," ",'Q:\Abteilungsprojekte\Eng\EngData\PROJECT_Bioplastics\Renjie_Pan\05-Raw_Data\Lab_results\[LabSamples2025_Bioplastic_extra.xlsx]extra_Bioplastic'!B784)</f>
        <v/>
      </c>
      <c r="C784">
        <f>IF(ISBLANK('Q:\Abteilungsprojekte\Eng\EngData\PROJECT_Bioplastics\Renjie_Pan\05-Raw_Data\Lab_results\[LabSamples2025_Bioplastic_extra.xlsx]extra_Bioplastic'!C784)," ",'Q:\Abteilungsprojekte\Eng\EngData\PROJECT_Bioplastics\Renjie_Pan\05-Raw_Data\Lab_results\[LabSamples2025_Bioplastic_extra.xlsx]extra_Bioplastic'!C784)</f>
        <v/>
      </c>
      <c r="D784">
        <f>IF(ISBLANK('Q:\Abteilungsprojekte\Eng\EngData\PROJECT_Bioplastics\Renjie_Pan\05-Raw_Data\Lab_results\[LabSamples2025_Bioplastic_extra.xlsx]extra_Bioplastic'!D784)," ",'Q:\Abteilungsprojekte\Eng\EngData\PROJECT_Bioplastics\Renjie_Pan\05-Raw_Data\Lab_results\[LabSamples2025_Bioplastic_extra.xlsx]extra_Bioplastic'!D784)</f>
        <v/>
      </c>
      <c r="E784">
        <f>IF(ISBLANK('Q:\Abteilungsprojekte\Eng\EngData\PROJECT_Bioplastics\Renjie_Pan\05-Raw_Data\Lab_results\[LabSamples2025_Bioplastic_extra.xlsx]extra_Bioplastic'!E784)," ",'Q:\Abteilungsprojekte\Eng\EngData\PROJECT_Bioplastics\Renjie_Pan\05-Raw_Data\Lab_results\[LabSamples2025_Bioplastic_extra.xlsx]extra_Bioplastic'!E784)</f>
        <v/>
      </c>
      <c r="F784">
        <f>IF(ISBLANK('Q:\Abteilungsprojekte\Eng\EngData\PROJECT_Bioplastics\Renjie_Pan\05-Raw_Data\Lab_results\[LabSamples2025_Bioplastic_extra.xlsx]extra_Bioplastic'!F784)," ",'Q:\Abteilungsprojekte\Eng\EngData\PROJECT_Bioplastics\Renjie_Pan\05-Raw_Data\Lab_results\[LabSamples2025_Bioplastic_extra.xlsx]extra_Bioplastic'!F784)</f>
        <v/>
      </c>
      <c r="G784">
        <f>IF(ISBLANK('Q:\Abteilungsprojekte\Eng\EngData\PROJECT_Bioplastics\Renjie_Pan\05-Raw_Data\Lab_results\[LabSamples2025_Bioplastic_extra.xlsx]extra_Bioplastic'!G784)," ",'Q:\Abteilungsprojekte\Eng\EngData\PROJECT_Bioplastics\Renjie_Pan\05-Raw_Data\Lab_results\[LabSamples2025_Bioplastic_extra.xlsx]extra_Bioplastic'!G784)</f>
        <v/>
      </c>
      <c r="H784">
        <f>IF(ISBLANK('Q:\Abteilungsprojekte\Eng\EngData\PROJECT_Bioplastics\Renjie_Pan\05-Raw_Data\Lab_results\[LabSamples2025_Bioplastic_extra.xlsx]extra_Bioplastic'!H784)," ",'Q:\Abteilungsprojekte\Eng\EngData\PROJECT_Bioplastics\Renjie_Pan\05-Raw_Data\Lab_results\[LabSamples2025_Bioplastic_extra.xlsx]extra_Bioplastic'!H784)</f>
        <v/>
      </c>
    </row>
    <row r="785">
      <c r="A785">
        <f>IF(ISBLANK('Q:\Abteilungsprojekte\Eng\EngData\PROJECT_Bioplastics\Renjie_Pan\05-Raw_Data\Lab_results\[LabSamples2025_Bioplastic_extra.xlsx]extra_Bioplastic'!A785)," ",'Q:\Abteilungsprojekte\Eng\EngData\PROJECT_Bioplastics\Renjie_Pan\05-Raw_Data\Lab_results\[LabSamples2025_Bioplastic_extra.xlsx]extra_Bioplastic'!A785)</f>
        <v/>
      </c>
      <c r="B785">
        <f>IF(ISBLANK('Q:\Abteilungsprojekte\Eng\EngData\PROJECT_Bioplastics\Renjie_Pan\05-Raw_Data\Lab_results\[LabSamples2025_Bioplastic_extra.xlsx]extra_Bioplastic'!B785)," ",'Q:\Abteilungsprojekte\Eng\EngData\PROJECT_Bioplastics\Renjie_Pan\05-Raw_Data\Lab_results\[LabSamples2025_Bioplastic_extra.xlsx]extra_Bioplastic'!B785)</f>
        <v/>
      </c>
      <c r="C785">
        <f>IF(ISBLANK('Q:\Abteilungsprojekte\Eng\EngData\PROJECT_Bioplastics\Renjie_Pan\05-Raw_Data\Lab_results\[LabSamples2025_Bioplastic_extra.xlsx]extra_Bioplastic'!C785)," ",'Q:\Abteilungsprojekte\Eng\EngData\PROJECT_Bioplastics\Renjie_Pan\05-Raw_Data\Lab_results\[LabSamples2025_Bioplastic_extra.xlsx]extra_Bioplastic'!C785)</f>
        <v/>
      </c>
      <c r="D785">
        <f>IF(ISBLANK('Q:\Abteilungsprojekte\Eng\EngData\PROJECT_Bioplastics\Renjie_Pan\05-Raw_Data\Lab_results\[LabSamples2025_Bioplastic_extra.xlsx]extra_Bioplastic'!D785)," ",'Q:\Abteilungsprojekte\Eng\EngData\PROJECT_Bioplastics\Renjie_Pan\05-Raw_Data\Lab_results\[LabSamples2025_Bioplastic_extra.xlsx]extra_Bioplastic'!D785)</f>
        <v/>
      </c>
      <c r="E785">
        <f>IF(ISBLANK('Q:\Abteilungsprojekte\Eng\EngData\PROJECT_Bioplastics\Renjie_Pan\05-Raw_Data\Lab_results\[LabSamples2025_Bioplastic_extra.xlsx]extra_Bioplastic'!E785)," ",'Q:\Abteilungsprojekte\Eng\EngData\PROJECT_Bioplastics\Renjie_Pan\05-Raw_Data\Lab_results\[LabSamples2025_Bioplastic_extra.xlsx]extra_Bioplastic'!E785)</f>
        <v/>
      </c>
      <c r="F785">
        <f>IF(ISBLANK('Q:\Abteilungsprojekte\Eng\EngData\PROJECT_Bioplastics\Renjie_Pan\05-Raw_Data\Lab_results\[LabSamples2025_Bioplastic_extra.xlsx]extra_Bioplastic'!F785)," ",'Q:\Abteilungsprojekte\Eng\EngData\PROJECT_Bioplastics\Renjie_Pan\05-Raw_Data\Lab_results\[LabSamples2025_Bioplastic_extra.xlsx]extra_Bioplastic'!F785)</f>
        <v/>
      </c>
      <c r="G785">
        <f>IF(ISBLANK('Q:\Abteilungsprojekte\Eng\EngData\PROJECT_Bioplastics\Renjie_Pan\05-Raw_Data\Lab_results\[LabSamples2025_Bioplastic_extra.xlsx]extra_Bioplastic'!G785)," ",'Q:\Abteilungsprojekte\Eng\EngData\PROJECT_Bioplastics\Renjie_Pan\05-Raw_Data\Lab_results\[LabSamples2025_Bioplastic_extra.xlsx]extra_Bioplastic'!G785)</f>
        <v/>
      </c>
      <c r="H785">
        <f>IF(ISBLANK('Q:\Abteilungsprojekte\Eng\EngData\PROJECT_Bioplastics\Renjie_Pan\05-Raw_Data\Lab_results\[LabSamples2025_Bioplastic_extra.xlsx]extra_Bioplastic'!H785)," ",'Q:\Abteilungsprojekte\Eng\EngData\PROJECT_Bioplastics\Renjie_Pan\05-Raw_Data\Lab_results\[LabSamples2025_Bioplastic_extra.xlsx]extra_Bioplastic'!H785)</f>
        <v/>
      </c>
    </row>
    <row r="786">
      <c r="A786">
        <f>IF(ISBLANK('Q:\Abteilungsprojekte\Eng\EngData\PROJECT_Bioplastics\Renjie_Pan\05-Raw_Data\Lab_results\[LabSamples2025_Bioplastic_extra.xlsx]extra_Bioplastic'!A786)," ",'Q:\Abteilungsprojekte\Eng\EngData\PROJECT_Bioplastics\Renjie_Pan\05-Raw_Data\Lab_results\[LabSamples2025_Bioplastic_extra.xlsx]extra_Bioplastic'!A786)</f>
        <v/>
      </c>
      <c r="B786">
        <f>IF(ISBLANK('Q:\Abteilungsprojekte\Eng\EngData\PROJECT_Bioplastics\Renjie_Pan\05-Raw_Data\Lab_results\[LabSamples2025_Bioplastic_extra.xlsx]extra_Bioplastic'!B786)," ",'Q:\Abteilungsprojekte\Eng\EngData\PROJECT_Bioplastics\Renjie_Pan\05-Raw_Data\Lab_results\[LabSamples2025_Bioplastic_extra.xlsx]extra_Bioplastic'!B786)</f>
        <v/>
      </c>
      <c r="C786">
        <f>IF(ISBLANK('Q:\Abteilungsprojekte\Eng\EngData\PROJECT_Bioplastics\Renjie_Pan\05-Raw_Data\Lab_results\[LabSamples2025_Bioplastic_extra.xlsx]extra_Bioplastic'!C786)," ",'Q:\Abteilungsprojekte\Eng\EngData\PROJECT_Bioplastics\Renjie_Pan\05-Raw_Data\Lab_results\[LabSamples2025_Bioplastic_extra.xlsx]extra_Bioplastic'!C786)</f>
        <v/>
      </c>
      <c r="D786">
        <f>IF(ISBLANK('Q:\Abteilungsprojekte\Eng\EngData\PROJECT_Bioplastics\Renjie_Pan\05-Raw_Data\Lab_results\[LabSamples2025_Bioplastic_extra.xlsx]extra_Bioplastic'!D786)," ",'Q:\Abteilungsprojekte\Eng\EngData\PROJECT_Bioplastics\Renjie_Pan\05-Raw_Data\Lab_results\[LabSamples2025_Bioplastic_extra.xlsx]extra_Bioplastic'!D786)</f>
        <v/>
      </c>
      <c r="E786">
        <f>IF(ISBLANK('Q:\Abteilungsprojekte\Eng\EngData\PROJECT_Bioplastics\Renjie_Pan\05-Raw_Data\Lab_results\[LabSamples2025_Bioplastic_extra.xlsx]extra_Bioplastic'!E786)," ",'Q:\Abteilungsprojekte\Eng\EngData\PROJECT_Bioplastics\Renjie_Pan\05-Raw_Data\Lab_results\[LabSamples2025_Bioplastic_extra.xlsx]extra_Bioplastic'!E786)</f>
        <v/>
      </c>
      <c r="F786">
        <f>IF(ISBLANK('Q:\Abteilungsprojekte\Eng\EngData\PROJECT_Bioplastics\Renjie_Pan\05-Raw_Data\Lab_results\[LabSamples2025_Bioplastic_extra.xlsx]extra_Bioplastic'!F786)," ",'Q:\Abteilungsprojekte\Eng\EngData\PROJECT_Bioplastics\Renjie_Pan\05-Raw_Data\Lab_results\[LabSamples2025_Bioplastic_extra.xlsx]extra_Bioplastic'!F786)</f>
        <v/>
      </c>
      <c r="G786">
        <f>IF(ISBLANK('Q:\Abteilungsprojekte\Eng\EngData\PROJECT_Bioplastics\Renjie_Pan\05-Raw_Data\Lab_results\[LabSamples2025_Bioplastic_extra.xlsx]extra_Bioplastic'!G786)," ",'Q:\Abteilungsprojekte\Eng\EngData\PROJECT_Bioplastics\Renjie_Pan\05-Raw_Data\Lab_results\[LabSamples2025_Bioplastic_extra.xlsx]extra_Bioplastic'!G786)</f>
        <v/>
      </c>
      <c r="H786">
        <f>IF(ISBLANK('Q:\Abteilungsprojekte\Eng\EngData\PROJECT_Bioplastics\Renjie_Pan\05-Raw_Data\Lab_results\[LabSamples2025_Bioplastic_extra.xlsx]extra_Bioplastic'!H786)," ",'Q:\Abteilungsprojekte\Eng\EngData\PROJECT_Bioplastics\Renjie_Pan\05-Raw_Data\Lab_results\[LabSamples2025_Bioplastic_extra.xlsx]extra_Bioplastic'!H786)</f>
        <v/>
      </c>
    </row>
    <row r="787">
      <c r="A787">
        <f>IF(ISBLANK('Q:\Abteilungsprojekte\Eng\EngData\PROJECT_Bioplastics\Renjie_Pan\05-Raw_Data\Lab_results\[LabSamples2025_Bioplastic_extra.xlsx]extra_Bioplastic'!A787)," ",'Q:\Abteilungsprojekte\Eng\EngData\PROJECT_Bioplastics\Renjie_Pan\05-Raw_Data\Lab_results\[LabSamples2025_Bioplastic_extra.xlsx]extra_Bioplastic'!A787)</f>
        <v/>
      </c>
      <c r="B787">
        <f>IF(ISBLANK('Q:\Abteilungsprojekte\Eng\EngData\PROJECT_Bioplastics\Renjie_Pan\05-Raw_Data\Lab_results\[LabSamples2025_Bioplastic_extra.xlsx]extra_Bioplastic'!B787)," ",'Q:\Abteilungsprojekte\Eng\EngData\PROJECT_Bioplastics\Renjie_Pan\05-Raw_Data\Lab_results\[LabSamples2025_Bioplastic_extra.xlsx]extra_Bioplastic'!B787)</f>
        <v/>
      </c>
      <c r="C787">
        <f>IF(ISBLANK('Q:\Abteilungsprojekte\Eng\EngData\PROJECT_Bioplastics\Renjie_Pan\05-Raw_Data\Lab_results\[LabSamples2025_Bioplastic_extra.xlsx]extra_Bioplastic'!C787)," ",'Q:\Abteilungsprojekte\Eng\EngData\PROJECT_Bioplastics\Renjie_Pan\05-Raw_Data\Lab_results\[LabSamples2025_Bioplastic_extra.xlsx]extra_Bioplastic'!C787)</f>
        <v/>
      </c>
      <c r="D787">
        <f>IF(ISBLANK('Q:\Abteilungsprojekte\Eng\EngData\PROJECT_Bioplastics\Renjie_Pan\05-Raw_Data\Lab_results\[LabSamples2025_Bioplastic_extra.xlsx]extra_Bioplastic'!D787)," ",'Q:\Abteilungsprojekte\Eng\EngData\PROJECT_Bioplastics\Renjie_Pan\05-Raw_Data\Lab_results\[LabSamples2025_Bioplastic_extra.xlsx]extra_Bioplastic'!D787)</f>
        <v/>
      </c>
      <c r="E787">
        <f>IF(ISBLANK('Q:\Abteilungsprojekte\Eng\EngData\PROJECT_Bioplastics\Renjie_Pan\05-Raw_Data\Lab_results\[LabSamples2025_Bioplastic_extra.xlsx]extra_Bioplastic'!E787)," ",'Q:\Abteilungsprojekte\Eng\EngData\PROJECT_Bioplastics\Renjie_Pan\05-Raw_Data\Lab_results\[LabSamples2025_Bioplastic_extra.xlsx]extra_Bioplastic'!E787)</f>
        <v/>
      </c>
      <c r="F787">
        <f>IF(ISBLANK('Q:\Abteilungsprojekte\Eng\EngData\PROJECT_Bioplastics\Renjie_Pan\05-Raw_Data\Lab_results\[LabSamples2025_Bioplastic_extra.xlsx]extra_Bioplastic'!F787)," ",'Q:\Abteilungsprojekte\Eng\EngData\PROJECT_Bioplastics\Renjie_Pan\05-Raw_Data\Lab_results\[LabSamples2025_Bioplastic_extra.xlsx]extra_Bioplastic'!F787)</f>
        <v/>
      </c>
      <c r="G787">
        <f>IF(ISBLANK('Q:\Abteilungsprojekte\Eng\EngData\PROJECT_Bioplastics\Renjie_Pan\05-Raw_Data\Lab_results\[LabSamples2025_Bioplastic_extra.xlsx]extra_Bioplastic'!G787)," ",'Q:\Abteilungsprojekte\Eng\EngData\PROJECT_Bioplastics\Renjie_Pan\05-Raw_Data\Lab_results\[LabSamples2025_Bioplastic_extra.xlsx]extra_Bioplastic'!G787)</f>
        <v/>
      </c>
      <c r="H787">
        <f>IF(ISBLANK('Q:\Abteilungsprojekte\Eng\EngData\PROJECT_Bioplastics\Renjie_Pan\05-Raw_Data\Lab_results\[LabSamples2025_Bioplastic_extra.xlsx]extra_Bioplastic'!H787)," ",'Q:\Abteilungsprojekte\Eng\EngData\PROJECT_Bioplastics\Renjie_Pan\05-Raw_Data\Lab_results\[LabSamples2025_Bioplastic_extra.xlsx]extra_Bioplastic'!H787)</f>
        <v/>
      </c>
    </row>
    <row r="788">
      <c r="A788">
        <f>IF(ISBLANK('Q:\Abteilungsprojekte\Eng\EngData\PROJECT_Bioplastics\Renjie_Pan\05-Raw_Data\Lab_results\[LabSamples2025_Bioplastic_extra.xlsx]extra_Bioplastic'!A788)," ",'Q:\Abteilungsprojekte\Eng\EngData\PROJECT_Bioplastics\Renjie_Pan\05-Raw_Data\Lab_results\[LabSamples2025_Bioplastic_extra.xlsx]extra_Bioplastic'!A788)</f>
        <v/>
      </c>
      <c r="B788">
        <f>IF(ISBLANK('Q:\Abteilungsprojekte\Eng\EngData\PROJECT_Bioplastics\Renjie_Pan\05-Raw_Data\Lab_results\[LabSamples2025_Bioplastic_extra.xlsx]extra_Bioplastic'!B788)," ",'Q:\Abteilungsprojekte\Eng\EngData\PROJECT_Bioplastics\Renjie_Pan\05-Raw_Data\Lab_results\[LabSamples2025_Bioplastic_extra.xlsx]extra_Bioplastic'!B788)</f>
        <v/>
      </c>
      <c r="C788">
        <f>IF(ISBLANK('Q:\Abteilungsprojekte\Eng\EngData\PROJECT_Bioplastics\Renjie_Pan\05-Raw_Data\Lab_results\[LabSamples2025_Bioplastic_extra.xlsx]extra_Bioplastic'!C788)," ",'Q:\Abteilungsprojekte\Eng\EngData\PROJECT_Bioplastics\Renjie_Pan\05-Raw_Data\Lab_results\[LabSamples2025_Bioplastic_extra.xlsx]extra_Bioplastic'!C788)</f>
        <v/>
      </c>
      <c r="D788">
        <f>IF(ISBLANK('Q:\Abteilungsprojekte\Eng\EngData\PROJECT_Bioplastics\Renjie_Pan\05-Raw_Data\Lab_results\[LabSamples2025_Bioplastic_extra.xlsx]extra_Bioplastic'!D788)," ",'Q:\Abteilungsprojekte\Eng\EngData\PROJECT_Bioplastics\Renjie_Pan\05-Raw_Data\Lab_results\[LabSamples2025_Bioplastic_extra.xlsx]extra_Bioplastic'!D788)</f>
        <v/>
      </c>
      <c r="E788">
        <f>IF(ISBLANK('Q:\Abteilungsprojekte\Eng\EngData\PROJECT_Bioplastics\Renjie_Pan\05-Raw_Data\Lab_results\[LabSamples2025_Bioplastic_extra.xlsx]extra_Bioplastic'!E788)," ",'Q:\Abteilungsprojekte\Eng\EngData\PROJECT_Bioplastics\Renjie_Pan\05-Raw_Data\Lab_results\[LabSamples2025_Bioplastic_extra.xlsx]extra_Bioplastic'!E788)</f>
        <v/>
      </c>
      <c r="F788">
        <f>IF(ISBLANK('Q:\Abteilungsprojekte\Eng\EngData\PROJECT_Bioplastics\Renjie_Pan\05-Raw_Data\Lab_results\[LabSamples2025_Bioplastic_extra.xlsx]extra_Bioplastic'!F788)," ",'Q:\Abteilungsprojekte\Eng\EngData\PROJECT_Bioplastics\Renjie_Pan\05-Raw_Data\Lab_results\[LabSamples2025_Bioplastic_extra.xlsx]extra_Bioplastic'!F788)</f>
        <v/>
      </c>
      <c r="G788">
        <f>IF(ISBLANK('Q:\Abteilungsprojekte\Eng\EngData\PROJECT_Bioplastics\Renjie_Pan\05-Raw_Data\Lab_results\[LabSamples2025_Bioplastic_extra.xlsx]extra_Bioplastic'!G788)," ",'Q:\Abteilungsprojekte\Eng\EngData\PROJECT_Bioplastics\Renjie_Pan\05-Raw_Data\Lab_results\[LabSamples2025_Bioplastic_extra.xlsx]extra_Bioplastic'!G788)</f>
        <v/>
      </c>
      <c r="H788">
        <f>IF(ISBLANK('Q:\Abteilungsprojekte\Eng\EngData\PROJECT_Bioplastics\Renjie_Pan\05-Raw_Data\Lab_results\[LabSamples2025_Bioplastic_extra.xlsx]extra_Bioplastic'!H788)," ",'Q:\Abteilungsprojekte\Eng\EngData\PROJECT_Bioplastics\Renjie_Pan\05-Raw_Data\Lab_results\[LabSamples2025_Bioplastic_extra.xlsx]extra_Bioplastic'!H788)</f>
        <v/>
      </c>
    </row>
    <row r="789">
      <c r="A789">
        <f>IF(ISBLANK('Q:\Abteilungsprojekte\Eng\EngData\PROJECT_Bioplastics\Renjie_Pan\05-Raw_Data\Lab_results\[LabSamples2025_Bioplastic_extra.xlsx]extra_Bioplastic'!A789)," ",'Q:\Abteilungsprojekte\Eng\EngData\PROJECT_Bioplastics\Renjie_Pan\05-Raw_Data\Lab_results\[LabSamples2025_Bioplastic_extra.xlsx]extra_Bioplastic'!A789)</f>
        <v/>
      </c>
      <c r="B789">
        <f>IF(ISBLANK('Q:\Abteilungsprojekte\Eng\EngData\PROJECT_Bioplastics\Renjie_Pan\05-Raw_Data\Lab_results\[LabSamples2025_Bioplastic_extra.xlsx]extra_Bioplastic'!B789)," ",'Q:\Abteilungsprojekte\Eng\EngData\PROJECT_Bioplastics\Renjie_Pan\05-Raw_Data\Lab_results\[LabSamples2025_Bioplastic_extra.xlsx]extra_Bioplastic'!B789)</f>
        <v/>
      </c>
      <c r="C789">
        <f>IF(ISBLANK('Q:\Abteilungsprojekte\Eng\EngData\PROJECT_Bioplastics\Renjie_Pan\05-Raw_Data\Lab_results\[LabSamples2025_Bioplastic_extra.xlsx]extra_Bioplastic'!C789)," ",'Q:\Abteilungsprojekte\Eng\EngData\PROJECT_Bioplastics\Renjie_Pan\05-Raw_Data\Lab_results\[LabSamples2025_Bioplastic_extra.xlsx]extra_Bioplastic'!C789)</f>
        <v/>
      </c>
      <c r="D789">
        <f>IF(ISBLANK('Q:\Abteilungsprojekte\Eng\EngData\PROJECT_Bioplastics\Renjie_Pan\05-Raw_Data\Lab_results\[LabSamples2025_Bioplastic_extra.xlsx]extra_Bioplastic'!D789)," ",'Q:\Abteilungsprojekte\Eng\EngData\PROJECT_Bioplastics\Renjie_Pan\05-Raw_Data\Lab_results\[LabSamples2025_Bioplastic_extra.xlsx]extra_Bioplastic'!D789)</f>
        <v/>
      </c>
      <c r="E789">
        <f>IF(ISBLANK('Q:\Abteilungsprojekte\Eng\EngData\PROJECT_Bioplastics\Renjie_Pan\05-Raw_Data\Lab_results\[LabSamples2025_Bioplastic_extra.xlsx]extra_Bioplastic'!E789)," ",'Q:\Abteilungsprojekte\Eng\EngData\PROJECT_Bioplastics\Renjie_Pan\05-Raw_Data\Lab_results\[LabSamples2025_Bioplastic_extra.xlsx]extra_Bioplastic'!E789)</f>
        <v/>
      </c>
      <c r="F789">
        <f>IF(ISBLANK('Q:\Abteilungsprojekte\Eng\EngData\PROJECT_Bioplastics\Renjie_Pan\05-Raw_Data\Lab_results\[LabSamples2025_Bioplastic_extra.xlsx]extra_Bioplastic'!F789)," ",'Q:\Abteilungsprojekte\Eng\EngData\PROJECT_Bioplastics\Renjie_Pan\05-Raw_Data\Lab_results\[LabSamples2025_Bioplastic_extra.xlsx]extra_Bioplastic'!F789)</f>
        <v/>
      </c>
      <c r="G789">
        <f>IF(ISBLANK('Q:\Abteilungsprojekte\Eng\EngData\PROJECT_Bioplastics\Renjie_Pan\05-Raw_Data\Lab_results\[LabSamples2025_Bioplastic_extra.xlsx]extra_Bioplastic'!G789)," ",'Q:\Abteilungsprojekte\Eng\EngData\PROJECT_Bioplastics\Renjie_Pan\05-Raw_Data\Lab_results\[LabSamples2025_Bioplastic_extra.xlsx]extra_Bioplastic'!G789)</f>
        <v/>
      </c>
      <c r="H789">
        <f>IF(ISBLANK('Q:\Abteilungsprojekte\Eng\EngData\PROJECT_Bioplastics\Renjie_Pan\05-Raw_Data\Lab_results\[LabSamples2025_Bioplastic_extra.xlsx]extra_Bioplastic'!H789)," ",'Q:\Abteilungsprojekte\Eng\EngData\PROJECT_Bioplastics\Renjie_Pan\05-Raw_Data\Lab_results\[LabSamples2025_Bioplastic_extra.xlsx]extra_Bioplastic'!H789)</f>
        <v/>
      </c>
    </row>
    <row r="790">
      <c r="A790">
        <f>IF(ISBLANK('Q:\Abteilungsprojekte\Eng\EngData\PROJECT_Bioplastics\Renjie_Pan\05-Raw_Data\Lab_results\[LabSamples2025_Bioplastic_extra.xlsx]extra_Bioplastic'!A790)," ",'Q:\Abteilungsprojekte\Eng\EngData\PROJECT_Bioplastics\Renjie_Pan\05-Raw_Data\Lab_results\[LabSamples2025_Bioplastic_extra.xlsx]extra_Bioplastic'!A790)</f>
        <v/>
      </c>
      <c r="B790">
        <f>IF(ISBLANK('Q:\Abteilungsprojekte\Eng\EngData\PROJECT_Bioplastics\Renjie_Pan\05-Raw_Data\Lab_results\[LabSamples2025_Bioplastic_extra.xlsx]extra_Bioplastic'!B790)," ",'Q:\Abteilungsprojekte\Eng\EngData\PROJECT_Bioplastics\Renjie_Pan\05-Raw_Data\Lab_results\[LabSamples2025_Bioplastic_extra.xlsx]extra_Bioplastic'!B790)</f>
        <v/>
      </c>
      <c r="C790">
        <f>IF(ISBLANK('Q:\Abteilungsprojekte\Eng\EngData\PROJECT_Bioplastics\Renjie_Pan\05-Raw_Data\Lab_results\[LabSamples2025_Bioplastic_extra.xlsx]extra_Bioplastic'!C790)," ",'Q:\Abteilungsprojekte\Eng\EngData\PROJECT_Bioplastics\Renjie_Pan\05-Raw_Data\Lab_results\[LabSamples2025_Bioplastic_extra.xlsx]extra_Bioplastic'!C790)</f>
        <v/>
      </c>
      <c r="D790">
        <f>IF(ISBLANK('Q:\Abteilungsprojekte\Eng\EngData\PROJECT_Bioplastics\Renjie_Pan\05-Raw_Data\Lab_results\[LabSamples2025_Bioplastic_extra.xlsx]extra_Bioplastic'!D790)," ",'Q:\Abteilungsprojekte\Eng\EngData\PROJECT_Bioplastics\Renjie_Pan\05-Raw_Data\Lab_results\[LabSamples2025_Bioplastic_extra.xlsx]extra_Bioplastic'!D790)</f>
        <v/>
      </c>
      <c r="E790">
        <f>IF(ISBLANK('Q:\Abteilungsprojekte\Eng\EngData\PROJECT_Bioplastics\Renjie_Pan\05-Raw_Data\Lab_results\[LabSamples2025_Bioplastic_extra.xlsx]extra_Bioplastic'!E790)," ",'Q:\Abteilungsprojekte\Eng\EngData\PROJECT_Bioplastics\Renjie_Pan\05-Raw_Data\Lab_results\[LabSamples2025_Bioplastic_extra.xlsx]extra_Bioplastic'!E790)</f>
        <v/>
      </c>
      <c r="F790">
        <f>IF(ISBLANK('Q:\Abteilungsprojekte\Eng\EngData\PROJECT_Bioplastics\Renjie_Pan\05-Raw_Data\Lab_results\[LabSamples2025_Bioplastic_extra.xlsx]extra_Bioplastic'!F790)," ",'Q:\Abteilungsprojekte\Eng\EngData\PROJECT_Bioplastics\Renjie_Pan\05-Raw_Data\Lab_results\[LabSamples2025_Bioplastic_extra.xlsx]extra_Bioplastic'!F790)</f>
        <v/>
      </c>
      <c r="G790">
        <f>IF(ISBLANK('Q:\Abteilungsprojekte\Eng\EngData\PROJECT_Bioplastics\Renjie_Pan\05-Raw_Data\Lab_results\[LabSamples2025_Bioplastic_extra.xlsx]extra_Bioplastic'!G790)," ",'Q:\Abteilungsprojekte\Eng\EngData\PROJECT_Bioplastics\Renjie_Pan\05-Raw_Data\Lab_results\[LabSamples2025_Bioplastic_extra.xlsx]extra_Bioplastic'!G790)</f>
        <v/>
      </c>
      <c r="H790">
        <f>IF(ISBLANK('Q:\Abteilungsprojekte\Eng\EngData\PROJECT_Bioplastics\Renjie_Pan\05-Raw_Data\Lab_results\[LabSamples2025_Bioplastic_extra.xlsx]extra_Bioplastic'!H790)," ",'Q:\Abteilungsprojekte\Eng\EngData\PROJECT_Bioplastics\Renjie_Pan\05-Raw_Data\Lab_results\[LabSamples2025_Bioplastic_extra.xlsx]extra_Bioplastic'!H790)</f>
        <v/>
      </c>
    </row>
    <row r="791">
      <c r="A791">
        <f>IF(ISBLANK('Q:\Abteilungsprojekte\Eng\EngData\PROJECT_Bioplastics\Renjie_Pan\05-Raw_Data\Lab_results\[LabSamples2025_Bioplastic_extra.xlsx]extra_Bioplastic'!A791)," ",'Q:\Abteilungsprojekte\Eng\EngData\PROJECT_Bioplastics\Renjie_Pan\05-Raw_Data\Lab_results\[LabSamples2025_Bioplastic_extra.xlsx]extra_Bioplastic'!A791)</f>
        <v/>
      </c>
      <c r="B791">
        <f>IF(ISBLANK('Q:\Abteilungsprojekte\Eng\EngData\PROJECT_Bioplastics\Renjie_Pan\05-Raw_Data\Lab_results\[LabSamples2025_Bioplastic_extra.xlsx]extra_Bioplastic'!B791)," ",'Q:\Abteilungsprojekte\Eng\EngData\PROJECT_Bioplastics\Renjie_Pan\05-Raw_Data\Lab_results\[LabSamples2025_Bioplastic_extra.xlsx]extra_Bioplastic'!B791)</f>
        <v/>
      </c>
      <c r="C791">
        <f>IF(ISBLANK('Q:\Abteilungsprojekte\Eng\EngData\PROJECT_Bioplastics\Renjie_Pan\05-Raw_Data\Lab_results\[LabSamples2025_Bioplastic_extra.xlsx]extra_Bioplastic'!C791)," ",'Q:\Abteilungsprojekte\Eng\EngData\PROJECT_Bioplastics\Renjie_Pan\05-Raw_Data\Lab_results\[LabSamples2025_Bioplastic_extra.xlsx]extra_Bioplastic'!C791)</f>
        <v/>
      </c>
      <c r="D791">
        <f>IF(ISBLANK('Q:\Abteilungsprojekte\Eng\EngData\PROJECT_Bioplastics\Renjie_Pan\05-Raw_Data\Lab_results\[LabSamples2025_Bioplastic_extra.xlsx]extra_Bioplastic'!D791)," ",'Q:\Abteilungsprojekte\Eng\EngData\PROJECT_Bioplastics\Renjie_Pan\05-Raw_Data\Lab_results\[LabSamples2025_Bioplastic_extra.xlsx]extra_Bioplastic'!D791)</f>
        <v/>
      </c>
      <c r="E791">
        <f>IF(ISBLANK('Q:\Abteilungsprojekte\Eng\EngData\PROJECT_Bioplastics\Renjie_Pan\05-Raw_Data\Lab_results\[LabSamples2025_Bioplastic_extra.xlsx]extra_Bioplastic'!E791)," ",'Q:\Abteilungsprojekte\Eng\EngData\PROJECT_Bioplastics\Renjie_Pan\05-Raw_Data\Lab_results\[LabSamples2025_Bioplastic_extra.xlsx]extra_Bioplastic'!E791)</f>
        <v/>
      </c>
      <c r="F791">
        <f>IF(ISBLANK('Q:\Abteilungsprojekte\Eng\EngData\PROJECT_Bioplastics\Renjie_Pan\05-Raw_Data\Lab_results\[LabSamples2025_Bioplastic_extra.xlsx]extra_Bioplastic'!F791)," ",'Q:\Abteilungsprojekte\Eng\EngData\PROJECT_Bioplastics\Renjie_Pan\05-Raw_Data\Lab_results\[LabSamples2025_Bioplastic_extra.xlsx]extra_Bioplastic'!F791)</f>
        <v/>
      </c>
      <c r="G791">
        <f>IF(ISBLANK('Q:\Abteilungsprojekte\Eng\EngData\PROJECT_Bioplastics\Renjie_Pan\05-Raw_Data\Lab_results\[LabSamples2025_Bioplastic_extra.xlsx]extra_Bioplastic'!G791)," ",'Q:\Abteilungsprojekte\Eng\EngData\PROJECT_Bioplastics\Renjie_Pan\05-Raw_Data\Lab_results\[LabSamples2025_Bioplastic_extra.xlsx]extra_Bioplastic'!G791)</f>
        <v/>
      </c>
      <c r="H791">
        <f>IF(ISBLANK('Q:\Abteilungsprojekte\Eng\EngData\PROJECT_Bioplastics\Renjie_Pan\05-Raw_Data\Lab_results\[LabSamples2025_Bioplastic_extra.xlsx]extra_Bioplastic'!H791)," ",'Q:\Abteilungsprojekte\Eng\EngData\PROJECT_Bioplastics\Renjie_Pan\05-Raw_Data\Lab_results\[LabSamples2025_Bioplastic_extra.xlsx]extra_Bioplastic'!H791)</f>
        <v/>
      </c>
    </row>
    <row r="792">
      <c r="A792">
        <f>IF(ISBLANK('Q:\Abteilungsprojekte\Eng\EngData\PROJECT_Bioplastics\Renjie_Pan\05-Raw_Data\Lab_results\[LabSamples2025_Bioplastic_extra.xlsx]extra_Bioplastic'!A792)," ",'Q:\Abteilungsprojekte\Eng\EngData\PROJECT_Bioplastics\Renjie_Pan\05-Raw_Data\Lab_results\[LabSamples2025_Bioplastic_extra.xlsx]extra_Bioplastic'!A792)</f>
        <v/>
      </c>
      <c r="B792">
        <f>IF(ISBLANK('Q:\Abteilungsprojekte\Eng\EngData\PROJECT_Bioplastics\Renjie_Pan\05-Raw_Data\Lab_results\[LabSamples2025_Bioplastic_extra.xlsx]extra_Bioplastic'!B792)," ",'Q:\Abteilungsprojekte\Eng\EngData\PROJECT_Bioplastics\Renjie_Pan\05-Raw_Data\Lab_results\[LabSamples2025_Bioplastic_extra.xlsx]extra_Bioplastic'!B792)</f>
        <v/>
      </c>
      <c r="C792">
        <f>IF(ISBLANK('Q:\Abteilungsprojekte\Eng\EngData\PROJECT_Bioplastics\Renjie_Pan\05-Raw_Data\Lab_results\[LabSamples2025_Bioplastic_extra.xlsx]extra_Bioplastic'!C792)," ",'Q:\Abteilungsprojekte\Eng\EngData\PROJECT_Bioplastics\Renjie_Pan\05-Raw_Data\Lab_results\[LabSamples2025_Bioplastic_extra.xlsx]extra_Bioplastic'!C792)</f>
        <v/>
      </c>
      <c r="D792">
        <f>IF(ISBLANK('Q:\Abteilungsprojekte\Eng\EngData\PROJECT_Bioplastics\Renjie_Pan\05-Raw_Data\Lab_results\[LabSamples2025_Bioplastic_extra.xlsx]extra_Bioplastic'!D792)," ",'Q:\Abteilungsprojekte\Eng\EngData\PROJECT_Bioplastics\Renjie_Pan\05-Raw_Data\Lab_results\[LabSamples2025_Bioplastic_extra.xlsx]extra_Bioplastic'!D792)</f>
        <v/>
      </c>
      <c r="E792">
        <f>IF(ISBLANK('Q:\Abteilungsprojekte\Eng\EngData\PROJECT_Bioplastics\Renjie_Pan\05-Raw_Data\Lab_results\[LabSamples2025_Bioplastic_extra.xlsx]extra_Bioplastic'!E792)," ",'Q:\Abteilungsprojekte\Eng\EngData\PROJECT_Bioplastics\Renjie_Pan\05-Raw_Data\Lab_results\[LabSamples2025_Bioplastic_extra.xlsx]extra_Bioplastic'!E792)</f>
        <v/>
      </c>
      <c r="F792">
        <f>IF(ISBLANK('Q:\Abteilungsprojekte\Eng\EngData\PROJECT_Bioplastics\Renjie_Pan\05-Raw_Data\Lab_results\[LabSamples2025_Bioplastic_extra.xlsx]extra_Bioplastic'!F792)," ",'Q:\Abteilungsprojekte\Eng\EngData\PROJECT_Bioplastics\Renjie_Pan\05-Raw_Data\Lab_results\[LabSamples2025_Bioplastic_extra.xlsx]extra_Bioplastic'!F792)</f>
        <v/>
      </c>
      <c r="G792">
        <f>IF(ISBLANK('Q:\Abteilungsprojekte\Eng\EngData\PROJECT_Bioplastics\Renjie_Pan\05-Raw_Data\Lab_results\[LabSamples2025_Bioplastic_extra.xlsx]extra_Bioplastic'!G792)," ",'Q:\Abteilungsprojekte\Eng\EngData\PROJECT_Bioplastics\Renjie_Pan\05-Raw_Data\Lab_results\[LabSamples2025_Bioplastic_extra.xlsx]extra_Bioplastic'!G792)</f>
        <v/>
      </c>
      <c r="H792">
        <f>IF(ISBLANK('Q:\Abteilungsprojekte\Eng\EngData\PROJECT_Bioplastics\Renjie_Pan\05-Raw_Data\Lab_results\[LabSamples2025_Bioplastic_extra.xlsx]extra_Bioplastic'!H792)," ",'Q:\Abteilungsprojekte\Eng\EngData\PROJECT_Bioplastics\Renjie_Pan\05-Raw_Data\Lab_results\[LabSamples2025_Bioplastic_extra.xlsx]extra_Bioplastic'!H792)</f>
        <v/>
      </c>
    </row>
    <row r="793">
      <c r="A793">
        <f>IF(ISBLANK('Q:\Abteilungsprojekte\Eng\EngData\PROJECT_Bioplastics\Renjie_Pan\05-Raw_Data\Lab_results\[LabSamples2025_Bioplastic_extra.xlsx]extra_Bioplastic'!A793)," ",'Q:\Abteilungsprojekte\Eng\EngData\PROJECT_Bioplastics\Renjie_Pan\05-Raw_Data\Lab_results\[LabSamples2025_Bioplastic_extra.xlsx]extra_Bioplastic'!A793)</f>
        <v/>
      </c>
      <c r="B793">
        <f>IF(ISBLANK('Q:\Abteilungsprojekte\Eng\EngData\PROJECT_Bioplastics\Renjie_Pan\05-Raw_Data\Lab_results\[LabSamples2025_Bioplastic_extra.xlsx]extra_Bioplastic'!B793)," ",'Q:\Abteilungsprojekte\Eng\EngData\PROJECT_Bioplastics\Renjie_Pan\05-Raw_Data\Lab_results\[LabSamples2025_Bioplastic_extra.xlsx]extra_Bioplastic'!B793)</f>
        <v/>
      </c>
      <c r="C793">
        <f>IF(ISBLANK('Q:\Abteilungsprojekte\Eng\EngData\PROJECT_Bioplastics\Renjie_Pan\05-Raw_Data\Lab_results\[LabSamples2025_Bioplastic_extra.xlsx]extra_Bioplastic'!C793)," ",'Q:\Abteilungsprojekte\Eng\EngData\PROJECT_Bioplastics\Renjie_Pan\05-Raw_Data\Lab_results\[LabSamples2025_Bioplastic_extra.xlsx]extra_Bioplastic'!C793)</f>
        <v/>
      </c>
      <c r="D793">
        <f>IF(ISBLANK('Q:\Abteilungsprojekte\Eng\EngData\PROJECT_Bioplastics\Renjie_Pan\05-Raw_Data\Lab_results\[LabSamples2025_Bioplastic_extra.xlsx]extra_Bioplastic'!D793)," ",'Q:\Abteilungsprojekte\Eng\EngData\PROJECT_Bioplastics\Renjie_Pan\05-Raw_Data\Lab_results\[LabSamples2025_Bioplastic_extra.xlsx]extra_Bioplastic'!D793)</f>
        <v/>
      </c>
      <c r="E793">
        <f>IF(ISBLANK('Q:\Abteilungsprojekte\Eng\EngData\PROJECT_Bioplastics\Renjie_Pan\05-Raw_Data\Lab_results\[LabSamples2025_Bioplastic_extra.xlsx]extra_Bioplastic'!E793)," ",'Q:\Abteilungsprojekte\Eng\EngData\PROJECT_Bioplastics\Renjie_Pan\05-Raw_Data\Lab_results\[LabSamples2025_Bioplastic_extra.xlsx]extra_Bioplastic'!E793)</f>
        <v/>
      </c>
      <c r="F793">
        <f>IF(ISBLANK('Q:\Abteilungsprojekte\Eng\EngData\PROJECT_Bioplastics\Renjie_Pan\05-Raw_Data\Lab_results\[LabSamples2025_Bioplastic_extra.xlsx]extra_Bioplastic'!F793)," ",'Q:\Abteilungsprojekte\Eng\EngData\PROJECT_Bioplastics\Renjie_Pan\05-Raw_Data\Lab_results\[LabSamples2025_Bioplastic_extra.xlsx]extra_Bioplastic'!F793)</f>
        <v/>
      </c>
      <c r="G793">
        <f>IF(ISBLANK('Q:\Abteilungsprojekte\Eng\EngData\PROJECT_Bioplastics\Renjie_Pan\05-Raw_Data\Lab_results\[LabSamples2025_Bioplastic_extra.xlsx]extra_Bioplastic'!G793)," ",'Q:\Abteilungsprojekte\Eng\EngData\PROJECT_Bioplastics\Renjie_Pan\05-Raw_Data\Lab_results\[LabSamples2025_Bioplastic_extra.xlsx]extra_Bioplastic'!G793)</f>
        <v/>
      </c>
      <c r="H793">
        <f>IF(ISBLANK('Q:\Abteilungsprojekte\Eng\EngData\PROJECT_Bioplastics\Renjie_Pan\05-Raw_Data\Lab_results\[LabSamples2025_Bioplastic_extra.xlsx]extra_Bioplastic'!H793)," ",'Q:\Abteilungsprojekte\Eng\EngData\PROJECT_Bioplastics\Renjie_Pan\05-Raw_Data\Lab_results\[LabSamples2025_Bioplastic_extra.xlsx]extra_Bioplastic'!H793)</f>
        <v/>
      </c>
    </row>
    <row r="794">
      <c r="A794">
        <f>IF(ISBLANK('Q:\Abteilungsprojekte\Eng\EngData\PROJECT_Bioplastics\Renjie_Pan\05-Raw_Data\Lab_results\[LabSamples2025_Bioplastic_extra.xlsx]extra_Bioplastic'!A794)," ",'Q:\Abteilungsprojekte\Eng\EngData\PROJECT_Bioplastics\Renjie_Pan\05-Raw_Data\Lab_results\[LabSamples2025_Bioplastic_extra.xlsx]extra_Bioplastic'!A794)</f>
        <v/>
      </c>
      <c r="B794">
        <f>IF(ISBLANK('Q:\Abteilungsprojekte\Eng\EngData\PROJECT_Bioplastics\Renjie_Pan\05-Raw_Data\Lab_results\[LabSamples2025_Bioplastic_extra.xlsx]extra_Bioplastic'!B794)," ",'Q:\Abteilungsprojekte\Eng\EngData\PROJECT_Bioplastics\Renjie_Pan\05-Raw_Data\Lab_results\[LabSamples2025_Bioplastic_extra.xlsx]extra_Bioplastic'!B794)</f>
        <v/>
      </c>
      <c r="C794">
        <f>IF(ISBLANK('Q:\Abteilungsprojekte\Eng\EngData\PROJECT_Bioplastics\Renjie_Pan\05-Raw_Data\Lab_results\[LabSamples2025_Bioplastic_extra.xlsx]extra_Bioplastic'!C794)," ",'Q:\Abteilungsprojekte\Eng\EngData\PROJECT_Bioplastics\Renjie_Pan\05-Raw_Data\Lab_results\[LabSamples2025_Bioplastic_extra.xlsx]extra_Bioplastic'!C794)</f>
        <v/>
      </c>
      <c r="D794">
        <f>IF(ISBLANK('Q:\Abteilungsprojekte\Eng\EngData\PROJECT_Bioplastics\Renjie_Pan\05-Raw_Data\Lab_results\[LabSamples2025_Bioplastic_extra.xlsx]extra_Bioplastic'!D794)," ",'Q:\Abteilungsprojekte\Eng\EngData\PROJECT_Bioplastics\Renjie_Pan\05-Raw_Data\Lab_results\[LabSamples2025_Bioplastic_extra.xlsx]extra_Bioplastic'!D794)</f>
        <v/>
      </c>
      <c r="E794">
        <f>IF(ISBLANK('Q:\Abteilungsprojekte\Eng\EngData\PROJECT_Bioplastics\Renjie_Pan\05-Raw_Data\Lab_results\[LabSamples2025_Bioplastic_extra.xlsx]extra_Bioplastic'!E794)," ",'Q:\Abteilungsprojekte\Eng\EngData\PROJECT_Bioplastics\Renjie_Pan\05-Raw_Data\Lab_results\[LabSamples2025_Bioplastic_extra.xlsx]extra_Bioplastic'!E794)</f>
        <v/>
      </c>
      <c r="F794">
        <f>IF(ISBLANK('Q:\Abteilungsprojekte\Eng\EngData\PROJECT_Bioplastics\Renjie_Pan\05-Raw_Data\Lab_results\[LabSamples2025_Bioplastic_extra.xlsx]extra_Bioplastic'!F794)," ",'Q:\Abteilungsprojekte\Eng\EngData\PROJECT_Bioplastics\Renjie_Pan\05-Raw_Data\Lab_results\[LabSamples2025_Bioplastic_extra.xlsx]extra_Bioplastic'!F794)</f>
        <v/>
      </c>
      <c r="G794">
        <f>IF(ISBLANK('Q:\Abteilungsprojekte\Eng\EngData\PROJECT_Bioplastics\Renjie_Pan\05-Raw_Data\Lab_results\[LabSamples2025_Bioplastic_extra.xlsx]extra_Bioplastic'!G794)," ",'Q:\Abteilungsprojekte\Eng\EngData\PROJECT_Bioplastics\Renjie_Pan\05-Raw_Data\Lab_results\[LabSamples2025_Bioplastic_extra.xlsx]extra_Bioplastic'!G794)</f>
        <v/>
      </c>
      <c r="H794">
        <f>IF(ISBLANK('Q:\Abteilungsprojekte\Eng\EngData\PROJECT_Bioplastics\Renjie_Pan\05-Raw_Data\Lab_results\[LabSamples2025_Bioplastic_extra.xlsx]extra_Bioplastic'!H794)," ",'Q:\Abteilungsprojekte\Eng\EngData\PROJECT_Bioplastics\Renjie_Pan\05-Raw_Data\Lab_results\[LabSamples2025_Bioplastic_extra.xlsx]extra_Bioplastic'!H794)</f>
        <v/>
      </c>
    </row>
    <row r="795">
      <c r="A795">
        <f>IF(ISBLANK('Q:\Abteilungsprojekte\Eng\EngData\PROJECT_Bioplastics\Renjie_Pan\05-Raw_Data\Lab_results\[LabSamples2025_Bioplastic_extra.xlsx]extra_Bioplastic'!A795)," ",'Q:\Abteilungsprojekte\Eng\EngData\PROJECT_Bioplastics\Renjie_Pan\05-Raw_Data\Lab_results\[LabSamples2025_Bioplastic_extra.xlsx]extra_Bioplastic'!A795)</f>
        <v/>
      </c>
      <c r="B795">
        <f>IF(ISBLANK('Q:\Abteilungsprojekte\Eng\EngData\PROJECT_Bioplastics\Renjie_Pan\05-Raw_Data\Lab_results\[LabSamples2025_Bioplastic_extra.xlsx]extra_Bioplastic'!B795)," ",'Q:\Abteilungsprojekte\Eng\EngData\PROJECT_Bioplastics\Renjie_Pan\05-Raw_Data\Lab_results\[LabSamples2025_Bioplastic_extra.xlsx]extra_Bioplastic'!B795)</f>
        <v/>
      </c>
      <c r="C795">
        <f>IF(ISBLANK('Q:\Abteilungsprojekte\Eng\EngData\PROJECT_Bioplastics\Renjie_Pan\05-Raw_Data\Lab_results\[LabSamples2025_Bioplastic_extra.xlsx]extra_Bioplastic'!C795)," ",'Q:\Abteilungsprojekte\Eng\EngData\PROJECT_Bioplastics\Renjie_Pan\05-Raw_Data\Lab_results\[LabSamples2025_Bioplastic_extra.xlsx]extra_Bioplastic'!C795)</f>
        <v/>
      </c>
      <c r="D795">
        <f>IF(ISBLANK('Q:\Abteilungsprojekte\Eng\EngData\PROJECT_Bioplastics\Renjie_Pan\05-Raw_Data\Lab_results\[LabSamples2025_Bioplastic_extra.xlsx]extra_Bioplastic'!D795)," ",'Q:\Abteilungsprojekte\Eng\EngData\PROJECT_Bioplastics\Renjie_Pan\05-Raw_Data\Lab_results\[LabSamples2025_Bioplastic_extra.xlsx]extra_Bioplastic'!D795)</f>
        <v/>
      </c>
      <c r="E795">
        <f>IF(ISBLANK('Q:\Abteilungsprojekte\Eng\EngData\PROJECT_Bioplastics\Renjie_Pan\05-Raw_Data\Lab_results\[LabSamples2025_Bioplastic_extra.xlsx]extra_Bioplastic'!E795)," ",'Q:\Abteilungsprojekte\Eng\EngData\PROJECT_Bioplastics\Renjie_Pan\05-Raw_Data\Lab_results\[LabSamples2025_Bioplastic_extra.xlsx]extra_Bioplastic'!E795)</f>
        <v/>
      </c>
      <c r="F795">
        <f>IF(ISBLANK('Q:\Abteilungsprojekte\Eng\EngData\PROJECT_Bioplastics\Renjie_Pan\05-Raw_Data\Lab_results\[LabSamples2025_Bioplastic_extra.xlsx]extra_Bioplastic'!F795)," ",'Q:\Abteilungsprojekte\Eng\EngData\PROJECT_Bioplastics\Renjie_Pan\05-Raw_Data\Lab_results\[LabSamples2025_Bioplastic_extra.xlsx]extra_Bioplastic'!F795)</f>
        <v/>
      </c>
      <c r="G795">
        <f>IF(ISBLANK('Q:\Abteilungsprojekte\Eng\EngData\PROJECT_Bioplastics\Renjie_Pan\05-Raw_Data\Lab_results\[LabSamples2025_Bioplastic_extra.xlsx]extra_Bioplastic'!G795)," ",'Q:\Abteilungsprojekte\Eng\EngData\PROJECT_Bioplastics\Renjie_Pan\05-Raw_Data\Lab_results\[LabSamples2025_Bioplastic_extra.xlsx]extra_Bioplastic'!G795)</f>
        <v/>
      </c>
      <c r="H795">
        <f>IF(ISBLANK('Q:\Abteilungsprojekte\Eng\EngData\PROJECT_Bioplastics\Renjie_Pan\05-Raw_Data\Lab_results\[LabSamples2025_Bioplastic_extra.xlsx]extra_Bioplastic'!H795)," ",'Q:\Abteilungsprojekte\Eng\EngData\PROJECT_Bioplastics\Renjie_Pan\05-Raw_Data\Lab_results\[LabSamples2025_Bioplastic_extra.xlsx]extra_Bioplastic'!H795)</f>
        <v/>
      </c>
    </row>
    <row r="796">
      <c r="A796">
        <f>IF(ISBLANK('Q:\Abteilungsprojekte\Eng\EngData\PROJECT_Bioplastics\Renjie_Pan\05-Raw_Data\Lab_results\[LabSamples2025_Bioplastic_extra.xlsx]extra_Bioplastic'!A796)," ",'Q:\Abteilungsprojekte\Eng\EngData\PROJECT_Bioplastics\Renjie_Pan\05-Raw_Data\Lab_results\[LabSamples2025_Bioplastic_extra.xlsx]extra_Bioplastic'!A796)</f>
        <v/>
      </c>
      <c r="B796">
        <f>IF(ISBLANK('Q:\Abteilungsprojekte\Eng\EngData\PROJECT_Bioplastics\Renjie_Pan\05-Raw_Data\Lab_results\[LabSamples2025_Bioplastic_extra.xlsx]extra_Bioplastic'!B796)," ",'Q:\Abteilungsprojekte\Eng\EngData\PROJECT_Bioplastics\Renjie_Pan\05-Raw_Data\Lab_results\[LabSamples2025_Bioplastic_extra.xlsx]extra_Bioplastic'!B796)</f>
        <v/>
      </c>
      <c r="C796">
        <f>IF(ISBLANK('Q:\Abteilungsprojekte\Eng\EngData\PROJECT_Bioplastics\Renjie_Pan\05-Raw_Data\Lab_results\[LabSamples2025_Bioplastic_extra.xlsx]extra_Bioplastic'!C796)," ",'Q:\Abteilungsprojekte\Eng\EngData\PROJECT_Bioplastics\Renjie_Pan\05-Raw_Data\Lab_results\[LabSamples2025_Bioplastic_extra.xlsx]extra_Bioplastic'!C796)</f>
        <v/>
      </c>
      <c r="D796">
        <f>IF(ISBLANK('Q:\Abteilungsprojekte\Eng\EngData\PROJECT_Bioplastics\Renjie_Pan\05-Raw_Data\Lab_results\[LabSamples2025_Bioplastic_extra.xlsx]extra_Bioplastic'!D796)," ",'Q:\Abteilungsprojekte\Eng\EngData\PROJECT_Bioplastics\Renjie_Pan\05-Raw_Data\Lab_results\[LabSamples2025_Bioplastic_extra.xlsx]extra_Bioplastic'!D796)</f>
        <v/>
      </c>
      <c r="E796">
        <f>IF(ISBLANK('Q:\Abteilungsprojekte\Eng\EngData\PROJECT_Bioplastics\Renjie_Pan\05-Raw_Data\Lab_results\[LabSamples2025_Bioplastic_extra.xlsx]extra_Bioplastic'!E796)," ",'Q:\Abteilungsprojekte\Eng\EngData\PROJECT_Bioplastics\Renjie_Pan\05-Raw_Data\Lab_results\[LabSamples2025_Bioplastic_extra.xlsx]extra_Bioplastic'!E796)</f>
        <v/>
      </c>
      <c r="F796">
        <f>IF(ISBLANK('Q:\Abteilungsprojekte\Eng\EngData\PROJECT_Bioplastics\Renjie_Pan\05-Raw_Data\Lab_results\[LabSamples2025_Bioplastic_extra.xlsx]extra_Bioplastic'!F796)," ",'Q:\Abteilungsprojekte\Eng\EngData\PROJECT_Bioplastics\Renjie_Pan\05-Raw_Data\Lab_results\[LabSamples2025_Bioplastic_extra.xlsx]extra_Bioplastic'!F796)</f>
        <v/>
      </c>
      <c r="G796">
        <f>IF(ISBLANK('Q:\Abteilungsprojekte\Eng\EngData\PROJECT_Bioplastics\Renjie_Pan\05-Raw_Data\Lab_results\[LabSamples2025_Bioplastic_extra.xlsx]extra_Bioplastic'!G796)," ",'Q:\Abteilungsprojekte\Eng\EngData\PROJECT_Bioplastics\Renjie_Pan\05-Raw_Data\Lab_results\[LabSamples2025_Bioplastic_extra.xlsx]extra_Bioplastic'!G796)</f>
        <v/>
      </c>
      <c r="H796">
        <f>IF(ISBLANK('Q:\Abteilungsprojekte\Eng\EngData\PROJECT_Bioplastics\Renjie_Pan\05-Raw_Data\Lab_results\[LabSamples2025_Bioplastic_extra.xlsx]extra_Bioplastic'!H796)," ",'Q:\Abteilungsprojekte\Eng\EngData\PROJECT_Bioplastics\Renjie_Pan\05-Raw_Data\Lab_results\[LabSamples2025_Bioplastic_extra.xlsx]extra_Bioplastic'!H796)</f>
        <v/>
      </c>
    </row>
    <row r="797">
      <c r="A797">
        <f>IF(ISBLANK('Q:\Abteilungsprojekte\Eng\EngData\PROJECT_Bioplastics\Renjie_Pan\05-Raw_Data\Lab_results\[LabSamples2025_Bioplastic_extra.xlsx]extra_Bioplastic'!A797)," ",'Q:\Abteilungsprojekte\Eng\EngData\PROJECT_Bioplastics\Renjie_Pan\05-Raw_Data\Lab_results\[LabSamples2025_Bioplastic_extra.xlsx]extra_Bioplastic'!A797)</f>
        <v/>
      </c>
      <c r="B797">
        <f>IF(ISBLANK('Q:\Abteilungsprojekte\Eng\EngData\PROJECT_Bioplastics\Renjie_Pan\05-Raw_Data\Lab_results\[LabSamples2025_Bioplastic_extra.xlsx]extra_Bioplastic'!B797)," ",'Q:\Abteilungsprojekte\Eng\EngData\PROJECT_Bioplastics\Renjie_Pan\05-Raw_Data\Lab_results\[LabSamples2025_Bioplastic_extra.xlsx]extra_Bioplastic'!B797)</f>
        <v/>
      </c>
      <c r="C797">
        <f>IF(ISBLANK('Q:\Abteilungsprojekte\Eng\EngData\PROJECT_Bioplastics\Renjie_Pan\05-Raw_Data\Lab_results\[LabSamples2025_Bioplastic_extra.xlsx]extra_Bioplastic'!C797)," ",'Q:\Abteilungsprojekte\Eng\EngData\PROJECT_Bioplastics\Renjie_Pan\05-Raw_Data\Lab_results\[LabSamples2025_Bioplastic_extra.xlsx]extra_Bioplastic'!C797)</f>
        <v/>
      </c>
      <c r="D797">
        <f>IF(ISBLANK('Q:\Abteilungsprojekte\Eng\EngData\PROJECT_Bioplastics\Renjie_Pan\05-Raw_Data\Lab_results\[LabSamples2025_Bioplastic_extra.xlsx]extra_Bioplastic'!D797)," ",'Q:\Abteilungsprojekte\Eng\EngData\PROJECT_Bioplastics\Renjie_Pan\05-Raw_Data\Lab_results\[LabSamples2025_Bioplastic_extra.xlsx]extra_Bioplastic'!D797)</f>
        <v/>
      </c>
      <c r="E797">
        <f>IF(ISBLANK('Q:\Abteilungsprojekte\Eng\EngData\PROJECT_Bioplastics\Renjie_Pan\05-Raw_Data\Lab_results\[LabSamples2025_Bioplastic_extra.xlsx]extra_Bioplastic'!E797)," ",'Q:\Abteilungsprojekte\Eng\EngData\PROJECT_Bioplastics\Renjie_Pan\05-Raw_Data\Lab_results\[LabSamples2025_Bioplastic_extra.xlsx]extra_Bioplastic'!E797)</f>
        <v/>
      </c>
      <c r="F797">
        <f>IF(ISBLANK('Q:\Abteilungsprojekte\Eng\EngData\PROJECT_Bioplastics\Renjie_Pan\05-Raw_Data\Lab_results\[LabSamples2025_Bioplastic_extra.xlsx]extra_Bioplastic'!F797)," ",'Q:\Abteilungsprojekte\Eng\EngData\PROJECT_Bioplastics\Renjie_Pan\05-Raw_Data\Lab_results\[LabSamples2025_Bioplastic_extra.xlsx]extra_Bioplastic'!F797)</f>
        <v/>
      </c>
      <c r="G797">
        <f>IF(ISBLANK('Q:\Abteilungsprojekte\Eng\EngData\PROJECT_Bioplastics\Renjie_Pan\05-Raw_Data\Lab_results\[LabSamples2025_Bioplastic_extra.xlsx]extra_Bioplastic'!G797)," ",'Q:\Abteilungsprojekte\Eng\EngData\PROJECT_Bioplastics\Renjie_Pan\05-Raw_Data\Lab_results\[LabSamples2025_Bioplastic_extra.xlsx]extra_Bioplastic'!G797)</f>
        <v/>
      </c>
      <c r="H797">
        <f>IF(ISBLANK('Q:\Abteilungsprojekte\Eng\EngData\PROJECT_Bioplastics\Renjie_Pan\05-Raw_Data\Lab_results\[LabSamples2025_Bioplastic_extra.xlsx]extra_Bioplastic'!H797)," ",'Q:\Abteilungsprojekte\Eng\EngData\PROJECT_Bioplastics\Renjie_Pan\05-Raw_Data\Lab_results\[LabSamples2025_Bioplastic_extra.xlsx]extra_Bioplastic'!H797)</f>
        <v/>
      </c>
    </row>
    <row r="798">
      <c r="A798">
        <f>IF(ISBLANK('Q:\Abteilungsprojekte\Eng\EngData\PROJECT_Bioplastics\Renjie_Pan\05-Raw_Data\Lab_results\[LabSamples2025_Bioplastic_extra.xlsx]extra_Bioplastic'!A798)," ",'Q:\Abteilungsprojekte\Eng\EngData\PROJECT_Bioplastics\Renjie_Pan\05-Raw_Data\Lab_results\[LabSamples2025_Bioplastic_extra.xlsx]extra_Bioplastic'!A798)</f>
        <v/>
      </c>
      <c r="B798">
        <f>IF(ISBLANK('Q:\Abteilungsprojekte\Eng\EngData\PROJECT_Bioplastics\Renjie_Pan\05-Raw_Data\Lab_results\[LabSamples2025_Bioplastic_extra.xlsx]extra_Bioplastic'!B798)," ",'Q:\Abteilungsprojekte\Eng\EngData\PROJECT_Bioplastics\Renjie_Pan\05-Raw_Data\Lab_results\[LabSamples2025_Bioplastic_extra.xlsx]extra_Bioplastic'!B798)</f>
        <v/>
      </c>
      <c r="C798">
        <f>IF(ISBLANK('Q:\Abteilungsprojekte\Eng\EngData\PROJECT_Bioplastics\Renjie_Pan\05-Raw_Data\Lab_results\[LabSamples2025_Bioplastic_extra.xlsx]extra_Bioplastic'!C798)," ",'Q:\Abteilungsprojekte\Eng\EngData\PROJECT_Bioplastics\Renjie_Pan\05-Raw_Data\Lab_results\[LabSamples2025_Bioplastic_extra.xlsx]extra_Bioplastic'!C798)</f>
        <v/>
      </c>
      <c r="D798">
        <f>IF(ISBLANK('Q:\Abteilungsprojekte\Eng\EngData\PROJECT_Bioplastics\Renjie_Pan\05-Raw_Data\Lab_results\[LabSamples2025_Bioplastic_extra.xlsx]extra_Bioplastic'!D798)," ",'Q:\Abteilungsprojekte\Eng\EngData\PROJECT_Bioplastics\Renjie_Pan\05-Raw_Data\Lab_results\[LabSamples2025_Bioplastic_extra.xlsx]extra_Bioplastic'!D798)</f>
        <v/>
      </c>
      <c r="E798">
        <f>IF(ISBLANK('Q:\Abteilungsprojekte\Eng\EngData\PROJECT_Bioplastics\Renjie_Pan\05-Raw_Data\Lab_results\[LabSamples2025_Bioplastic_extra.xlsx]extra_Bioplastic'!E798)," ",'Q:\Abteilungsprojekte\Eng\EngData\PROJECT_Bioplastics\Renjie_Pan\05-Raw_Data\Lab_results\[LabSamples2025_Bioplastic_extra.xlsx]extra_Bioplastic'!E798)</f>
        <v/>
      </c>
      <c r="F798">
        <f>IF(ISBLANK('Q:\Abteilungsprojekte\Eng\EngData\PROJECT_Bioplastics\Renjie_Pan\05-Raw_Data\Lab_results\[LabSamples2025_Bioplastic_extra.xlsx]extra_Bioplastic'!F798)," ",'Q:\Abteilungsprojekte\Eng\EngData\PROJECT_Bioplastics\Renjie_Pan\05-Raw_Data\Lab_results\[LabSamples2025_Bioplastic_extra.xlsx]extra_Bioplastic'!F798)</f>
        <v/>
      </c>
      <c r="G798">
        <f>IF(ISBLANK('Q:\Abteilungsprojekte\Eng\EngData\PROJECT_Bioplastics\Renjie_Pan\05-Raw_Data\Lab_results\[LabSamples2025_Bioplastic_extra.xlsx]extra_Bioplastic'!G798)," ",'Q:\Abteilungsprojekte\Eng\EngData\PROJECT_Bioplastics\Renjie_Pan\05-Raw_Data\Lab_results\[LabSamples2025_Bioplastic_extra.xlsx]extra_Bioplastic'!G798)</f>
        <v/>
      </c>
      <c r="H798">
        <f>IF(ISBLANK('Q:\Abteilungsprojekte\Eng\EngData\PROJECT_Bioplastics\Renjie_Pan\05-Raw_Data\Lab_results\[LabSamples2025_Bioplastic_extra.xlsx]extra_Bioplastic'!H798)," ",'Q:\Abteilungsprojekte\Eng\EngData\PROJECT_Bioplastics\Renjie_Pan\05-Raw_Data\Lab_results\[LabSamples2025_Bioplastic_extra.xlsx]extra_Bioplastic'!H798)</f>
        <v/>
      </c>
    </row>
    <row r="799">
      <c r="A799">
        <f>IF(ISBLANK('Q:\Abteilungsprojekte\Eng\EngData\PROJECT_Bioplastics\Renjie_Pan\05-Raw_Data\Lab_results\[LabSamples2025_Bioplastic_extra.xlsx]extra_Bioplastic'!A799)," ",'Q:\Abteilungsprojekte\Eng\EngData\PROJECT_Bioplastics\Renjie_Pan\05-Raw_Data\Lab_results\[LabSamples2025_Bioplastic_extra.xlsx]extra_Bioplastic'!A799)</f>
        <v/>
      </c>
      <c r="B799">
        <f>IF(ISBLANK('Q:\Abteilungsprojekte\Eng\EngData\PROJECT_Bioplastics\Renjie_Pan\05-Raw_Data\Lab_results\[LabSamples2025_Bioplastic_extra.xlsx]extra_Bioplastic'!B799)," ",'Q:\Abteilungsprojekte\Eng\EngData\PROJECT_Bioplastics\Renjie_Pan\05-Raw_Data\Lab_results\[LabSamples2025_Bioplastic_extra.xlsx]extra_Bioplastic'!B799)</f>
        <v/>
      </c>
      <c r="C799">
        <f>IF(ISBLANK('Q:\Abteilungsprojekte\Eng\EngData\PROJECT_Bioplastics\Renjie_Pan\05-Raw_Data\Lab_results\[LabSamples2025_Bioplastic_extra.xlsx]extra_Bioplastic'!C799)," ",'Q:\Abteilungsprojekte\Eng\EngData\PROJECT_Bioplastics\Renjie_Pan\05-Raw_Data\Lab_results\[LabSamples2025_Bioplastic_extra.xlsx]extra_Bioplastic'!C799)</f>
        <v/>
      </c>
      <c r="D799">
        <f>IF(ISBLANK('Q:\Abteilungsprojekte\Eng\EngData\PROJECT_Bioplastics\Renjie_Pan\05-Raw_Data\Lab_results\[LabSamples2025_Bioplastic_extra.xlsx]extra_Bioplastic'!D799)," ",'Q:\Abteilungsprojekte\Eng\EngData\PROJECT_Bioplastics\Renjie_Pan\05-Raw_Data\Lab_results\[LabSamples2025_Bioplastic_extra.xlsx]extra_Bioplastic'!D799)</f>
        <v/>
      </c>
      <c r="E799">
        <f>IF(ISBLANK('Q:\Abteilungsprojekte\Eng\EngData\PROJECT_Bioplastics\Renjie_Pan\05-Raw_Data\Lab_results\[LabSamples2025_Bioplastic_extra.xlsx]extra_Bioplastic'!E799)," ",'Q:\Abteilungsprojekte\Eng\EngData\PROJECT_Bioplastics\Renjie_Pan\05-Raw_Data\Lab_results\[LabSamples2025_Bioplastic_extra.xlsx]extra_Bioplastic'!E799)</f>
        <v/>
      </c>
      <c r="F799">
        <f>IF(ISBLANK('Q:\Abteilungsprojekte\Eng\EngData\PROJECT_Bioplastics\Renjie_Pan\05-Raw_Data\Lab_results\[LabSamples2025_Bioplastic_extra.xlsx]extra_Bioplastic'!F799)," ",'Q:\Abteilungsprojekte\Eng\EngData\PROJECT_Bioplastics\Renjie_Pan\05-Raw_Data\Lab_results\[LabSamples2025_Bioplastic_extra.xlsx]extra_Bioplastic'!F799)</f>
        <v/>
      </c>
      <c r="G799">
        <f>IF(ISBLANK('Q:\Abteilungsprojekte\Eng\EngData\PROJECT_Bioplastics\Renjie_Pan\05-Raw_Data\Lab_results\[LabSamples2025_Bioplastic_extra.xlsx]extra_Bioplastic'!G799)," ",'Q:\Abteilungsprojekte\Eng\EngData\PROJECT_Bioplastics\Renjie_Pan\05-Raw_Data\Lab_results\[LabSamples2025_Bioplastic_extra.xlsx]extra_Bioplastic'!G799)</f>
        <v/>
      </c>
      <c r="H799">
        <f>IF(ISBLANK('Q:\Abteilungsprojekte\Eng\EngData\PROJECT_Bioplastics\Renjie_Pan\05-Raw_Data\Lab_results\[LabSamples2025_Bioplastic_extra.xlsx]extra_Bioplastic'!H799)," ",'Q:\Abteilungsprojekte\Eng\EngData\PROJECT_Bioplastics\Renjie_Pan\05-Raw_Data\Lab_results\[LabSamples2025_Bioplastic_extra.xlsx]extra_Bioplastic'!H799)</f>
        <v/>
      </c>
    </row>
    <row r="800">
      <c r="A800">
        <f>IF(ISBLANK('Q:\Abteilungsprojekte\Eng\EngData\PROJECT_Bioplastics\Renjie_Pan\05-Raw_Data\Lab_results\[LabSamples2025_Bioplastic_extra.xlsx]extra_Bioplastic'!A800)," ",'Q:\Abteilungsprojekte\Eng\EngData\PROJECT_Bioplastics\Renjie_Pan\05-Raw_Data\Lab_results\[LabSamples2025_Bioplastic_extra.xlsx]extra_Bioplastic'!A800)</f>
        <v/>
      </c>
      <c r="B800">
        <f>IF(ISBLANK('Q:\Abteilungsprojekte\Eng\EngData\PROJECT_Bioplastics\Renjie_Pan\05-Raw_Data\Lab_results\[LabSamples2025_Bioplastic_extra.xlsx]extra_Bioplastic'!B800)," ",'Q:\Abteilungsprojekte\Eng\EngData\PROJECT_Bioplastics\Renjie_Pan\05-Raw_Data\Lab_results\[LabSamples2025_Bioplastic_extra.xlsx]extra_Bioplastic'!B800)</f>
        <v/>
      </c>
      <c r="C800">
        <f>IF(ISBLANK('Q:\Abteilungsprojekte\Eng\EngData\PROJECT_Bioplastics\Renjie_Pan\05-Raw_Data\Lab_results\[LabSamples2025_Bioplastic_extra.xlsx]extra_Bioplastic'!C800)," ",'Q:\Abteilungsprojekte\Eng\EngData\PROJECT_Bioplastics\Renjie_Pan\05-Raw_Data\Lab_results\[LabSamples2025_Bioplastic_extra.xlsx]extra_Bioplastic'!C800)</f>
        <v/>
      </c>
      <c r="D800">
        <f>IF(ISBLANK('Q:\Abteilungsprojekte\Eng\EngData\PROJECT_Bioplastics\Renjie_Pan\05-Raw_Data\Lab_results\[LabSamples2025_Bioplastic_extra.xlsx]extra_Bioplastic'!D800)," ",'Q:\Abteilungsprojekte\Eng\EngData\PROJECT_Bioplastics\Renjie_Pan\05-Raw_Data\Lab_results\[LabSamples2025_Bioplastic_extra.xlsx]extra_Bioplastic'!D800)</f>
        <v/>
      </c>
      <c r="E800">
        <f>IF(ISBLANK('Q:\Abteilungsprojekte\Eng\EngData\PROJECT_Bioplastics\Renjie_Pan\05-Raw_Data\Lab_results\[LabSamples2025_Bioplastic_extra.xlsx]extra_Bioplastic'!E800)," ",'Q:\Abteilungsprojekte\Eng\EngData\PROJECT_Bioplastics\Renjie_Pan\05-Raw_Data\Lab_results\[LabSamples2025_Bioplastic_extra.xlsx]extra_Bioplastic'!E800)</f>
        <v/>
      </c>
      <c r="F800">
        <f>IF(ISBLANK('Q:\Abteilungsprojekte\Eng\EngData\PROJECT_Bioplastics\Renjie_Pan\05-Raw_Data\Lab_results\[LabSamples2025_Bioplastic_extra.xlsx]extra_Bioplastic'!F800)," ",'Q:\Abteilungsprojekte\Eng\EngData\PROJECT_Bioplastics\Renjie_Pan\05-Raw_Data\Lab_results\[LabSamples2025_Bioplastic_extra.xlsx]extra_Bioplastic'!F800)</f>
        <v/>
      </c>
      <c r="G800">
        <f>IF(ISBLANK('Q:\Abteilungsprojekte\Eng\EngData\PROJECT_Bioplastics\Renjie_Pan\05-Raw_Data\Lab_results\[LabSamples2025_Bioplastic_extra.xlsx]extra_Bioplastic'!G800)," ",'Q:\Abteilungsprojekte\Eng\EngData\PROJECT_Bioplastics\Renjie_Pan\05-Raw_Data\Lab_results\[LabSamples2025_Bioplastic_extra.xlsx]extra_Bioplastic'!G800)</f>
        <v/>
      </c>
      <c r="H800">
        <f>IF(ISBLANK('Q:\Abteilungsprojekte\Eng\EngData\PROJECT_Bioplastics\Renjie_Pan\05-Raw_Data\Lab_results\[LabSamples2025_Bioplastic_extra.xlsx]extra_Bioplastic'!H800)," ",'Q:\Abteilungsprojekte\Eng\EngData\PROJECT_Bioplastics\Renjie_Pan\05-Raw_Data\Lab_results\[LabSamples2025_Bioplastic_extra.xlsx]extra_Bioplastic'!H800)</f>
        <v/>
      </c>
    </row>
    <row r="801">
      <c r="A801">
        <f>IF(ISBLANK('Q:\Abteilungsprojekte\Eng\EngData\PROJECT_Bioplastics\Renjie_Pan\05-Raw_Data\Lab_results\[LabSamples2025_Bioplastic_extra.xlsx]extra_Bioplastic'!A801)," ",'Q:\Abteilungsprojekte\Eng\EngData\PROJECT_Bioplastics\Renjie_Pan\05-Raw_Data\Lab_results\[LabSamples2025_Bioplastic_extra.xlsx]extra_Bioplastic'!A801)</f>
        <v/>
      </c>
      <c r="B801">
        <f>IF(ISBLANK('Q:\Abteilungsprojekte\Eng\EngData\PROJECT_Bioplastics\Renjie_Pan\05-Raw_Data\Lab_results\[LabSamples2025_Bioplastic_extra.xlsx]extra_Bioplastic'!B801)," ",'Q:\Abteilungsprojekte\Eng\EngData\PROJECT_Bioplastics\Renjie_Pan\05-Raw_Data\Lab_results\[LabSamples2025_Bioplastic_extra.xlsx]extra_Bioplastic'!B801)</f>
        <v/>
      </c>
      <c r="C801">
        <f>IF(ISBLANK('Q:\Abteilungsprojekte\Eng\EngData\PROJECT_Bioplastics\Renjie_Pan\05-Raw_Data\Lab_results\[LabSamples2025_Bioplastic_extra.xlsx]extra_Bioplastic'!C801)," ",'Q:\Abteilungsprojekte\Eng\EngData\PROJECT_Bioplastics\Renjie_Pan\05-Raw_Data\Lab_results\[LabSamples2025_Bioplastic_extra.xlsx]extra_Bioplastic'!C801)</f>
        <v/>
      </c>
      <c r="D801">
        <f>IF(ISBLANK('Q:\Abteilungsprojekte\Eng\EngData\PROJECT_Bioplastics\Renjie_Pan\05-Raw_Data\Lab_results\[LabSamples2025_Bioplastic_extra.xlsx]extra_Bioplastic'!D801)," ",'Q:\Abteilungsprojekte\Eng\EngData\PROJECT_Bioplastics\Renjie_Pan\05-Raw_Data\Lab_results\[LabSamples2025_Bioplastic_extra.xlsx]extra_Bioplastic'!D801)</f>
        <v/>
      </c>
      <c r="E801">
        <f>IF(ISBLANK('Q:\Abteilungsprojekte\Eng\EngData\PROJECT_Bioplastics\Renjie_Pan\05-Raw_Data\Lab_results\[LabSamples2025_Bioplastic_extra.xlsx]extra_Bioplastic'!E801)," ",'Q:\Abteilungsprojekte\Eng\EngData\PROJECT_Bioplastics\Renjie_Pan\05-Raw_Data\Lab_results\[LabSamples2025_Bioplastic_extra.xlsx]extra_Bioplastic'!E801)</f>
        <v/>
      </c>
      <c r="F801">
        <f>IF(ISBLANK('Q:\Abteilungsprojekte\Eng\EngData\PROJECT_Bioplastics\Renjie_Pan\05-Raw_Data\Lab_results\[LabSamples2025_Bioplastic_extra.xlsx]extra_Bioplastic'!F801)," ",'Q:\Abteilungsprojekte\Eng\EngData\PROJECT_Bioplastics\Renjie_Pan\05-Raw_Data\Lab_results\[LabSamples2025_Bioplastic_extra.xlsx]extra_Bioplastic'!F801)</f>
        <v/>
      </c>
      <c r="G801">
        <f>IF(ISBLANK('Q:\Abteilungsprojekte\Eng\EngData\PROJECT_Bioplastics\Renjie_Pan\05-Raw_Data\Lab_results\[LabSamples2025_Bioplastic_extra.xlsx]extra_Bioplastic'!G801)," ",'Q:\Abteilungsprojekte\Eng\EngData\PROJECT_Bioplastics\Renjie_Pan\05-Raw_Data\Lab_results\[LabSamples2025_Bioplastic_extra.xlsx]extra_Bioplastic'!G801)</f>
        <v/>
      </c>
      <c r="H801">
        <f>IF(ISBLANK('Q:\Abteilungsprojekte\Eng\EngData\PROJECT_Bioplastics\Renjie_Pan\05-Raw_Data\Lab_results\[LabSamples2025_Bioplastic_extra.xlsx]extra_Bioplastic'!H801)," ",'Q:\Abteilungsprojekte\Eng\EngData\PROJECT_Bioplastics\Renjie_Pan\05-Raw_Data\Lab_results\[LabSamples2025_Bioplastic_extra.xlsx]extra_Bioplastic'!H801)</f>
        <v/>
      </c>
    </row>
    <row r="802">
      <c r="A802">
        <f>IF(ISBLANK('Q:\Abteilungsprojekte\Eng\EngData\PROJECT_Bioplastics\Renjie_Pan\05-Raw_Data\Lab_results\[LabSamples2025_Bioplastic_extra.xlsx]extra_Bioplastic'!A802)," ",'Q:\Abteilungsprojekte\Eng\EngData\PROJECT_Bioplastics\Renjie_Pan\05-Raw_Data\Lab_results\[LabSamples2025_Bioplastic_extra.xlsx]extra_Bioplastic'!A802)</f>
        <v/>
      </c>
      <c r="B802">
        <f>IF(ISBLANK('Q:\Abteilungsprojekte\Eng\EngData\PROJECT_Bioplastics\Renjie_Pan\05-Raw_Data\Lab_results\[LabSamples2025_Bioplastic_extra.xlsx]extra_Bioplastic'!B802)," ",'Q:\Abteilungsprojekte\Eng\EngData\PROJECT_Bioplastics\Renjie_Pan\05-Raw_Data\Lab_results\[LabSamples2025_Bioplastic_extra.xlsx]extra_Bioplastic'!B802)</f>
        <v/>
      </c>
      <c r="C802">
        <f>IF(ISBLANK('Q:\Abteilungsprojekte\Eng\EngData\PROJECT_Bioplastics\Renjie_Pan\05-Raw_Data\Lab_results\[LabSamples2025_Bioplastic_extra.xlsx]extra_Bioplastic'!C802)," ",'Q:\Abteilungsprojekte\Eng\EngData\PROJECT_Bioplastics\Renjie_Pan\05-Raw_Data\Lab_results\[LabSamples2025_Bioplastic_extra.xlsx]extra_Bioplastic'!C802)</f>
        <v/>
      </c>
      <c r="D802">
        <f>IF(ISBLANK('Q:\Abteilungsprojekte\Eng\EngData\PROJECT_Bioplastics\Renjie_Pan\05-Raw_Data\Lab_results\[LabSamples2025_Bioplastic_extra.xlsx]extra_Bioplastic'!D802)," ",'Q:\Abteilungsprojekte\Eng\EngData\PROJECT_Bioplastics\Renjie_Pan\05-Raw_Data\Lab_results\[LabSamples2025_Bioplastic_extra.xlsx]extra_Bioplastic'!D802)</f>
        <v/>
      </c>
      <c r="E802">
        <f>IF(ISBLANK('Q:\Abteilungsprojekte\Eng\EngData\PROJECT_Bioplastics\Renjie_Pan\05-Raw_Data\Lab_results\[LabSamples2025_Bioplastic_extra.xlsx]extra_Bioplastic'!E802)," ",'Q:\Abteilungsprojekte\Eng\EngData\PROJECT_Bioplastics\Renjie_Pan\05-Raw_Data\Lab_results\[LabSamples2025_Bioplastic_extra.xlsx]extra_Bioplastic'!E802)</f>
        <v/>
      </c>
      <c r="F802">
        <f>IF(ISBLANK('Q:\Abteilungsprojekte\Eng\EngData\PROJECT_Bioplastics\Renjie_Pan\05-Raw_Data\Lab_results\[LabSamples2025_Bioplastic_extra.xlsx]extra_Bioplastic'!F802)," ",'Q:\Abteilungsprojekte\Eng\EngData\PROJECT_Bioplastics\Renjie_Pan\05-Raw_Data\Lab_results\[LabSamples2025_Bioplastic_extra.xlsx]extra_Bioplastic'!F802)</f>
        <v/>
      </c>
      <c r="G802">
        <f>IF(ISBLANK('Q:\Abteilungsprojekte\Eng\EngData\PROJECT_Bioplastics\Renjie_Pan\05-Raw_Data\Lab_results\[LabSamples2025_Bioplastic_extra.xlsx]extra_Bioplastic'!G802)," ",'Q:\Abteilungsprojekte\Eng\EngData\PROJECT_Bioplastics\Renjie_Pan\05-Raw_Data\Lab_results\[LabSamples2025_Bioplastic_extra.xlsx]extra_Bioplastic'!G802)</f>
        <v/>
      </c>
      <c r="H802">
        <f>IF(ISBLANK('Q:\Abteilungsprojekte\Eng\EngData\PROJECT_Bioplastics\Renjie_Pan\05-Raw_Data\Lab_results\[LabSamples2025_Bioplastic_extra.xlsx]extra_Bioplastic'!H802)," ",'Q:\Abteilungsprojekte\Eng\EngData\PROJECT_Bioplastics\Renjie_Pan\05-Raw_Data\Lab_results\[LabSamples2025_Bioplastic_extra.xlsx]extra_Bioplastic'!H802)</f>
        <v/>
      </c>
    </row>
    <row r="803">
      <c r="A803">
        <f>IF(ISBLANK('Q:\Abteilungsprojekte\Eng\EngData\PROJECT_Bioplastics\Renjie_Pan\05-Raw_Data\Lab_results\[LabSamples2025_Bioplastic_extra.xlsx]extra_Bioplastic'!A803)," ",'Q:\Abteilungsprojekte\Eng\EngData\PROJECT_Bioplastics\Renjie_Pan\05-Raw_Data\Lab_results\[LabSamples2025_Bioplastic_extra.xlsx]extra_Bioplastic'!A803)</f>
        <v/>
      </c>
      <c r="B803">
        <f>IF(ISBLANK('Q:\Abteilungsprojekte\Eng\EngData\PROJECT_Bioplastics\Renjie_Pan\05-Raw_Data\Lab_results\[LabSamples2025_Bioplastic_extra.xlsx]extra_Bioplastic'!B803)," ",'Q:\Abteilungsprojekte\Eng\EngData\PROJECT_Bioplastics\Renjie_Pan\05-Raw_Data\Lab_results\[LabSamples2025_Bioplastic_extra.xlsx]extra_Bioplastic'!B803)</f>
        <v/>
      </c>
      <c r="C803">
        <f>IF(ISBLANK('Q:\Abteilungsprojekte\Eng\EngData\PROJECT_Bioplastics\Renjie_Pan\05-Raw_Data\Lab_results\[LabSamples2025_Bioplastic_extra.xlsx]extra_Bioplastic'!C803)," ",'Q:\Abteilungsprojekte\Eng\EngData\PROJECT_Bioplastics\Renjie_Pan\05-Raw_Data\Lab_results\[LabSamples2025_Bioplastic_extra.xlsx]extra_Bioplastic'!C803)</f>
        <v/>
      </c>
      <c r="D803">
        <f>IF(ISBLANK('Q:\Abteilungsprojekte\Eng\EngData\PROJECT_Bioplastics\Renjie_Pan\05-Raw_Data\Lab_results\[LabSamples2025_Bioplastic_extra.xlsx]extra_Bioplastic'!D803)," ",'Q:\Abteilungsprojekte\Eng\EngData\PROJECT_Bioplastics\Renjie_Pan\05-Raw_Data\Lab_results\[LabSamples2025_Bioplastic_extra.xlsx]extra_Bioplastic'!D803)</f>
        <v/>
      </c>
      <c r="E803">
        <f>IF(ISBLANK('Q:\Abteilungsprojekte\Eng\EngData\PROJECT_Bioplastics\Renjie_Pan\05-Raw_Data\Lab_results\[LabSamples2025_Bioplastic_extra.xlsx]extra_Bioplastic'!E803)," ",'Q:\Abteilungsprojekte\Eng\EngData\PROJECT_Bioplastics\Renjie_Pan\05-Raw_Data\Lab_results\[LabSamples2025_Bioplastic_extra.xlsx]extra_Bioplastic'!E803)</f>
        <v/>
      </c>
      <c r="F803">
        <f>IF(ISBLANK('Q:\Abteilungsprojekte\Eng\EngData\PROJECT_Bioplastics\Renjie_Pan\05-Raw_Data\Lab_results\[LabSamples2025_Bioplastic_extra.xlsx]extra_Bioplastic'!F803)," ",'Q:\Abteilungsprojekte\Eng\EngData\PROJECT_Bioplastics\Renjie_Pan\05-Raw_Data\Lab_results\[LabSamples2025_Bioplastic_extra.xlsx]extra_Bioplastic'!F803)</f>
        <v/>
      </c>
      <c r="G803">
        <f>IF(ISBLANK('Q:\Abteilungsprojekte\Eng\EngData\PROJECT_Bioplastics\Renjie_Pan\05-Raw_Data\Lab_results\[LabSamples2025_Bioplastic_extra.xlsx]extra_Bioplastic'!G803)," ",'Q:\Abteilungsprojekte\Eng\EngData\PROJECT_Bioplastics\Renjie_Pan\05-Raw_Data\Lab_results\[LabSamples2025_Bioplastic_extra.xlsx]extra_Bioplastic'!G803)</f>
        <v/>
      </c>
      <c r="H803">
        <f>IF(ISBLANK('Q:\Abteilungsprojekte\Eng\EngData\PROJECT_Bioplastics\Renjie_Pan\05-Raw_Data\Lab_results\[LabSamples2025_Bioplastic_extra.xlsx]extra_Bioplastic'!H803)," ",'Q:\Abteilungsprojekte\Eng\EngData\PROJECT_Bioplastics\Renjie_Pan\05-Raw_Data\Lab_results\[LabSamples2025_Bioplastic_extra.xlsx]extra_Bioplastic'!H803)</f>
        <v/>
      </c>
    </row>
    <row r="804">
      <c r="A804">
        <f>IF(ISBLANK('Q:\Abteilungsprojekte\Eng\EngData\PROJECT_Bioplastics\Renjie_Pan\05-Raw_Data\Lab_results\[LabSamples2025_Bioplastic_extra.xlsx]extra_Bioplastic'!A804)," ",'Q:\Abteilungsprojekte\Eng\EngData\PROJECT_Bioplastics\Renjie_Pan\05-Raw_Data\Lab_results\[LabSamples2025_Bioplastic_extra.xlsx]extra_Bioplastic'!A804)</f>
        <v/>
      </c>
      <c r="B804">
        <f>IF(ISBLANK('Q:\Abteilungsprojekte\Eng\EngData\PROJECT_Bioplastics\Renjie_Pan\05-Raw_Data\Lab_results\[LabSamples2025_Bioplastic_extra.xlsx]extra_Bioplastic'!B804)," ",'Q:\Abteilungsprojekte\Eng\EngData\PROJECT_Bioplastics\Renjie_Pan\05-Raw_Data\Lab_results\[LabSamples2025_Bioplastic_extra.xlsx]extra_Bioplastic'!B804)</f>
        <v/>
      </c>
      <c r="C804">
        <f>IF(ISBLANK('Q:\Abteilungsprojekte\Eng\EngData\PROJECT_Bioplastics\Renjie_Pan\05-Raw_Data\Lab_results\[LabSamples2025_Bioplastic_extra.xlsx]extra_Bioplastic'!C804)," ",'Q:\Abteilungsprojekte\Eng\EngData\PROJECT_Bioplastics\Renjie_Pan\05-Raw_Data\Lab_results\[LabSamples2025_Bioplastic_extra.xlsx]extra_Bioplastic'!C804)</f>
        <v/>
      </c>
      <c r="D804">
        <f>IF(ISBLANK('Q:\Abteilungsprojekte\Eng\EngData\PROJECT_Bioplastics\Renjie_Pan\05-Raw_Data\Lab_results\[LabSamples2025_Bioplastic_extra.xlsx]extra_Bioplastic'!D804)," ",'Q:\Abteilungsprojekte\Eng\EngData\PROJECT_Bioplastics\Renjie_Pan\05-Raw_Data\Lab_results\[LabSamples2025_Bioplastic_extra.xlsx]extra_Bioplastic'!D804)</f>
        <v/>
      </c>
      <c r="E804">
        <f>IF(ISBLANK('Q:\Abteilungsprojekte\Eng\EngData\PROJECT_Bioplastics\Renjie_Pan\05-Raw_Data\Lab_results\[LabSamples2025_Bioplastic_extra.xlsx]extra_Bioplastic'!E804)," ",'Q:\Abteilungsprojekte\Eng\EngData\PROJECT_Bioplastics\Renjie_Pan\05-Raw_Data\Lab_results\[LabSamples2025_Bioplastic_extra.xlsx]extra_Bioplastic'!E804)</f>
        <v/>
      </c>
      <c r="F804">
        <f>IF(ISBLANK('Q:\Abteilungsprojekte\Eng\EngData\PROJECT_Bioplastics\Renjie_Pan\05-Raw_Data\Lab_results\[LabSamples2025_Bioplastic_extra.xlsx]extra_Bioplastic'!F804)," ",'Q:\Abteilungsprojekte\Eng\EngData\PROJECT_Bioplastics\Renjie_Pan\05-Raw_Data\Lab_results\[LabSamples2025_Bioplastic_extra.xlsx]extra_Bioplastic'!F804)</f>
        <v/>
      </c>
      <c r="G804">
        <f>IF(ISBLANK('Q:\Abteilungsprojekte\Eng\EngData\PROJECT_Bioplastics\Renjie_Pan\05-Raw_Data\Lab_results\[LabSamples2025_Bioplastic_extra.xlsx]extra_Bioplastic'!G804)," ",'Q:\Abteilungsprojekte\Eng\EngData\PROJECT_Bioplastics\Renjie_Pan\05-Raw_Data\Lab_results\[LabSamples2025_Bioplastic_extra.xlsx]extra_Bioplastic'!G804)</f>
        <v/>
      </c>
      <c r="H804">
        <f>IF(ISBLANK('Q:\Abteilungsprojekte\Eng\EngData\PROJECT_Bioplastics\Renjie_Pan\05-Raw_Data\Lab_results\[LabSamples2025_Bioplastic_extra.xlsx]extra_Bioplastic'!H804)," ",'Q:\Abteilungsprojekte\Eng\EngData\PROJECT_Bioplastics\Renjie_Pan\05-Raw_Data\Lab_results\[LabSamples2025_Bioplastic_extra.xlsx]extra_Bioplastic'!H804)</f>
        <v/>
      </c>
    </row>
    <row r="805">
      <c r="A805">
        <f>IF(ISBLANK('Q:\Abteilungsprojekte\Eng\EngData\PROJECT_Bioplastics\Renjie_Pan\05-Raw_Data\Lab_results\[LabSamples2025_Bioplastic_extra.xlsx]extra_Bioplastic'!A805)," ",'Q:\Abteilungsprojekte\Eng\EngData\PROJECT_Bioplastics\Renjie_Pan\05-Raw_Data\Lab_results\[LabSamples2025_Bioplastic_extra.xlsx]extra_Bioplastic'!A805)</f>
        <v/>
      </c>
      <c r="B805">
        <f>IF(ISBLANK('Q:\Abteilungsprojekte\Eng\EngData\PROJECT_Bioplastics\Renjie_Pan\05-Raw_Data\Lab_results\[LabSamples2025_Bioplastic_extra.xlsx]extra_Bioplastic'!B805)," ",'Q:\Abteilungsprojekte\Eng\EngData\PROJECT_Bioplastics\Renjie_Pan\05-Raw_Data\Lab_results\[LabSamples2025_Bioplastic_extra.xlsx]extra_Bioplastic'!B805)</f>
        <v/>
      </c>
      <c r="C805">
        <f>IF(ISBLANK('Q:\Abteilungsprojekte\Eng\EngData\PROJECT_Bioplastics\Renjie_Pan\05-Raw_Data\Lab_results\[LabSamples2025_Bioplastic_extra.xlsx]extra_Bioplastic'!C805)," ",'Q:\Abteilungsprojekte\Eng\EngData\PROJECT_Bioplastics\Renjie_Pan\05-Raw_Data\Lab_results\[LabSamples2025_Bioplastic_extra.xlsx]extra_Bioplastic'!C805)</f>
        <v/>
      </c>
      <c r="D805">
        <f>IF(ISBLANK('Q:\Abteilungsprojekte\Eng\EngData\PROJECT_Bioplastics\Renjie_Pan\05-Raw_Data\Lab_results\[LabSamples2025_Bioplastic_extra.xlsx]extra_Bioplastic'!D805)," ",'Q:\Abteilungsprojekte\Eng\EngData\PROJECT_Bioplastics\Renjie_Pan\05-Raw_Data\Lab_results\[LabSamples2025_Bioplastic_extra.xlsx]extra_Bioplastic'!D805)</f>
        <v/>
      </c>
      <c r="E805">
        <f>IF(ISBLANK('Q:\Abteilungsprojekte\Eng\EngData\PROJECT_Bioplastics\Renjie_Pan\05-Raw_Data\Lab_results\[LabSamples2025_Bioplastic_extra.xlsx]extra_Bioplastic'!E805)," ",'Q:\Abteilungsprojekte\Eng\EngData\PROJECT_Bioplastics\Renjie_Pan\05-Raw_Data\Lab_results\[LabSamples2025_Bioplastic_extra.xlsx]extra_Bioplastic'!E805)</f>
        <v/>
      </c>
      <c r="F805">
        <f>IF(ISBLANK('Q:\Abteilungsprojekte\Eng\EngData\PROJECT_Bioplastics\Renjie_Pan\05-Raw_Data\Lab_results\[LabSamples2025_Bioplastic_extra.xlsx]extra_Bioplastic'!F805)," ",'Q:\Abteilungsprojekte\Eng\EngData\PROJECT_Bioplastics\Renjie_Pan\05-Raw_Data\Lab_results\[LabSamples2025_Bioplastic_extra.xlsx]extra_Bioplastic'!F805)</f>
        <v/>
      </c>
      <c r="G805">
        <f>IF(ISBLANK('Q:\Abteilungsprojekte\Eng\EngData\PROJECT_Bioplastics\Renjie_Pan\05-Raw_Data\Lab_results\[LabSamples2025_Bioplastic_extra.xlsx]extra_Bioplastic'!G805)," ",'Q:\Abteilungsprojekte\Eng\EngData\PROJECT_Bioplastics\Renjie_Pan\05-Raw_Data\Lab_results\[LabSamples2025_Bioplastic_extra.xlsx]extra_Bioplastic'!G805)</f>
        <v/>
      </c>
      <c r="H805">
        <f>IF(ISBLANK('Q:\Abteilungsprojekte\Eng\EngData\PROJECT_Bioplastics\Renjie_Pan\05-Raw_Data\Lab_results\[LabSamples2025_Bioplastic_extra.xlsx]extra_Bioplastic'!H805)," ",'Q:\Abteilungsprojekte\Eng\EngData\PROJECT_Bioplastics\Renjie_Pan\05-Raw_Data\Lab_results\[LabSamples2025_Bioplastic_extra.xlsx]extra_Bioplastic'!H805)</f>
        <v/>
      </c>
    </row>
    <row r="806">
      <c r="A806">
        <f>IF(ISBLANK('Q:\Abteilungsprojekte\Eng\EngData\PROJECT_Bioplastics\Renjie_Pan\05-Raw_Data\Lab_results\[LabSamples2025_Bioplastic_extra.xlsx]extra_Bioplastic'!A806)," ",'Q:\Abteilungsprojekte\Eng\EngData\PROJECT_Bioplastics\Renjie_Pan\05-Raw_Data\Lab_results\[LabSamples2025_Bioplastic_extra.xlsx]extra_Bioplastic'!A806)</f>
        <v/>
      </c>
      <c r="B806">
        <f>IF(ISBLANK('Q:\Abteilungsprojekte\Eng\EngData\PROJECT_Bioplastics\Renjie_Pan\05-Raw_Data\Lab_results\[LabSamples2025_Bioplastic_extra.xlsx]extra_Bioplastic'!B806)," ",'Q:\Abteilungsprojekte\Eng\EngData\PROJECT_Bioplastics\Renjie_Pan\05-Raw_Data\Lab_results\[LabSamples2025_Bioplastic_extra.xlsx]extra_Bioplastic'!B806)</f>
        <v/>
      </c>
      <c r="C806">
        <f>IF(ISBLANK('Q:\Abteilungsprojekte\Eng\EngData\PROJECT_Bioplastics\Renjie_Pan\05-Raw_Data\Lab_results\[LabSamples2025_Bioplastic_extra.xlsx]extra_Bioplastic'!C806)," ",'Q:\Abteilungsprojekte\Eng\EngData\PROJECT_Bioplastics\Renjie_Pan\05-Raw_Data\Lab_results\[LabSamples2025_Bioplastic_extra.xlsx]extra_Bioplastic'!C806)</f>
        <v/>
      </c>
      <c r="D806">
        <f>IF(ISBLANK('Q:\Abteilungsprojekte\Eng\EngData\PROJECT_Bioplastics\Renjie_Pan\05-Raw_Data\Lab_results\[LabSamples2025_Bioplastic_extra.xlsx]extra_Bioplastic'!D806)," ",'Q:\Abteilungsprojekte\Eng\EngData\PROJECT_Bioplastics\Renjie_Pan\05-Raw_Data\Lab_results\[LabSamples2025_Bioplastic_extra.xlsx]extra_Bioplastic'!D806)</f>
        <v/>
      </c>
      <c r="E806">
        <f>IF(ISBLANK('Q:\Abteilungsprojekte\Eng\EngData\PROJECT_Bioplastics\Renjie_Pan\05-Raw_Data\Lab_results\[LabSamples2025_Bioplastic_extra.xlsx]extra_Bioplastic'!E806)," ",'Q:\Abteilungsprojekte\Eng\EngData\PROJECT_Bioplastics\Renjie_Pan\05-Raw_Data\Lab_results\[LabSamples2025_Bioplastic_extra.xlsx]extra_Bioplastic'!E806)</f>
        <v/>
      </c>
      <c r="F806">
        <f>IF(ISBLANK('Q:\Abteilungsprojekte\Eng\EngData\PROJECT_Bioplastics\Renjie_Pan\05-Raw_Data\Lab_results\[LabSamples2025_Bioplastic_extra.xlsx]extra_Bioplastic'!F806)," ",'Q:\Abteilungsprojekte\Eng\EngData\PROJECT_Bioplastics\Renjie_Pan\05-Raw_Data\Lab_results\[LabSamples2025_Bioplastic_extra.xlsx]extra_Bioplastic'!F806)</f>
        <v/>
      </c>
      <c r="G806">
        <f>IF(ISBLANK('Q:\Abteilungsprojekte\Eng\EngData\PROJECT_Bioplastics\Renjie_Pan\05-Raw_Data\Lab_results\[LabSamples2025_Bioplastic_extra.xlsx]extra_Bioplastic'!G806)," ",'Q:\Abteilungsprojekte\Eng\EngData\PROJECT_Bioplastics\Renjie_Pan\05-Raw_Data\Lab_results\[LabSamples2025_Bioplastic_extra.xlsx]extra_Bioplastic'!G806)</f>
        <v/>
      </c>
      <c r="H806">
        <f>IF(ISBLANK('Q:\Abteilungsprojekte\Eng\EngData\PROJECT_Bioplastics\Renjie_Pan\05-Raw_Data\Lab_results\[LabSamples2025_Bioplastic_extra.xlsx]extra_Bioplastic'!H806)," ",'Q:\Abteilungsprojekte\Eng\EngData\PROJECT_Bioplastics\Renjie_Pan\05-Raw_Data\Lab_results\[LabSamples2025_Bioplastic_extra.xlsx]extra_Bioplastic'!H806)</f>
        <v/>
      </c>
    </row>
    <row r="807">
      <c r="A807">
        <f>IF(ISBLANK('Q:\Abteilungsprojekte\Eng\EngData\PROJECT_Bioplastics\Renjie_Pan\05-Raw_Data\Lab_results\[LabSamples2025_Bioplastic_extra.xlsx]extra_Bioplastic'!A807)," ",'Q:\Abteilungsprojekte\Eng\EngData\PROJECT_Bioplastics\Renjie_Pan\05-Raw_Data\Lab_results\[LabSamples2025_Bioplastic_extra.xlsx]extra_Bioplastic'!A807)</f>
        <v/>
      </c>
      <c r="B807">
        <f>IF(ISBLANK('Q:\Abteilungsprojekte\Eng\EngData\PROJECT_Bioplastics\Renjie_Pan\05-Raw_Data\Lab_results\[LabSamples2025_Bioplastic_extra.xlsx]extra_Bioplastic'!B807)," ",'Q:\Abteilungsprojekte\Eng\EngData\PROJECT_Bioplastics\Renjie_Pan\05-Raw_Data\Lab_results\[LabSamples2025_Bioplastic_extra.xlsx]extra_Bioplastic'!B807)</f>
        <v/>
      </c>
      <c r="C807">
        <f>IF(ISBLANK('Q:\Abteilungsprojekte\Eng\EngData\PROJECT_Bioplastics\Renjie_Pan\05-Raw_Data\Lab_results\[LabSamples2025_Bioplastic_extra.xlsx]extra_Bioplastic'!C807)," ",'Q:\Abteilungsprojekte\Eng\EngData\PROJECT_Bioplastics\Renjie_Pan\05-Raw_Data\Lab_results\[LabSamples2025_Bioplastic_extra.xlsx]extra_Bioplastic'!C807)</f>
        <v/>
      </c>
      <c r="D807">
        <f>IF(ISBLANK('Q:\Abteilungsprojekte\Eng\EngData\PROJECT_Bioplastics\Renjie_Pan\05-Raw_Data\Lab_results\[LabSamples2025_Bioplastic_extra.xlsx]extra_Bioplastic'!D807)," ",'Q:\Abteilungsprojekte\Eng\EngData\PROJECT_Bioplastics\Renjie_Pan\05-Raw_Data\Lab_results\[LabSamples2025_Bioplastic_extra.xlsx]extra_Bioplastic'!D807)</f>
        <v/>
      </c>
      <c r="E807">
        <f>IF(ISBLANK('Q:\Abteilungsprojekte\Eng\EngData\PROJECT_Bioplastics\Renjie_Pan\05-Raw_Data\Lab_results\[LabSamples2025_Bioplastic_extra.xlsx]extra_Bioplastic'!E807)," ",'Q:\Abteilungsprojekte\Eng\EngData\PROJECT_Bioplastics\Renjie_Pan\05-Raw_Data\Lab_results\[LabSamples2025_Bioplastic_extra.xlsx]extra_Bioplastic'!E807)</f>
        <v/>
      </c>
      <c r="F807">
        <f>IF(ISBLANK('Q:\Abteilungsprojekte\Eng\EngData\PROJECT_Bioplastics\Renjie_Pan\05-Raw_Data\Lab_results\[LabSamples2025_Bioplastic_extra.xlsx]extra_Bioplastic'!F807)," ",'Q:\Abteilungsprojekte\Eng\EngData\PROJECT_Bioplastics\Renjie_Pan\05-Raw_Data\Lab_results\[LabSamples2025_Bioplastic_extra.xlsx]extra_Bioplastic'!F807)</f>
        <v/>
      </c>
      <c r="G807">
        <f>IF(ISBLANK('Q:\Abteilungsprojekte\Eng\EngData\PROJECT_Bioplastics\Renjie_Pan\05-Raw_Data\Lab_results\[LabSamples2025_Bioplastic_extra.xlsx]extra_Bioplastic'!G807)," ",'Q:\Abteilungsprojekte\Eng\EngData\PROJECT_Bioplastics\Renjie_Pan\05-Raw_Data\Lab_results\[LabSamples2025_Bioplastic_extra.xlsx]extra_Bioplastic'!G807)</f>
        <v/>
      </c>
      <c r="H807">
        <f>IF(ISBLANK('Q:\Abteilungsprojekte\Eng\EngData\PROJECT_Bioplastics\Renjie_Pan\05-Raw_Data\Lab_results\[LabSamples2025_Bioplastic_extra.xlsx]extra_Bioplastic'!H807)," ",'Q:\Abteilungsprojekte\Eng\EngData\PROJECT_Bioplastics\Renjie_Pan\05-Raw_Data\Lab_results\[LabSamples2025_Bioplastic_extra.xlsx]extra_Bioplastic'!H807)</f>
        <v/>
      </c>
    </row>
    <row r="808">
      <c r="A808">
        <f>IF(ISBLANK('Q:\Abteilungsprojekte\Eng\EngData\PROJECT_Bioplastics\Renjie_Pan\05-Raw_Data\Lab_results\[LabSamples2025_Bioplastic_extra.xlsx]extra_Bioplastic'!A808)," ",'Q:\Abteilungsprojekte\Eng\EngData\PROJECT_Bioplastics\Renjie_Pan\05-Raw_Data\Lab_results\[LabSamples2025_Bioplastic_extra.xlsx]extra_Bioplastic'!A808)</f>
        <v/>
      </c>
      <c r="B808">
        <f>IF(ISBLANK('Q:\Abteilungsprojekte\Eng\EngData\PROJECT_Bioplastics\Renjie_Pan\05-Raw_Data\Lab_results\[LabSamples2025_Bioplastic_extra.xlsx]extra_Bioplastic'!B808)," ",'Q:\Abteilungsprojekte\Eng\EngData\PROJECT_Bioplastics\Renjie_Pan\05-Raw_Data\Lab_results\[LabSamples2025_Bioplastic_extra.xlsx]extra_Bioplastic'!B808)</f>
        <v/>
      </c>
      <c r="C808">
        <f>IF(ISBLANK('Q:\Abteilungsprojekte\Eng\EngData\PROJECT_Bioplastics\Renjie_Pan\05-Raw_Data\Lab_results\[LabSamples2025_Bioplastic_extra.xlsx]extra_Bioplastic'!C808)," ",'Q:\Abteilungsprojekte\Eng\EngData\PROJECT_Bioplastics\Renjie_Pan\05-Raw_Data\Lab_results\[LabSamples2025_Bioplastic_extra.xlsx]extra_Bioplastic'!C808)</f>
        <v/>
      </c>
      <c r="D808">
        <f>IF(ISBLANK('Q:\Abteilungsprojekte\Eng\EngData\PROJECT_Bioplastics\Renjie_Pan\05-Raw_Data\Lab_results\[LabSamples2025_Bioplastic_extra.xlsx]extra_Bioplastic'!D808)," ",'Q:\Abteilungsprojekte\Eng\EngData\PROJECT_Bioplastics\Renjie_Pan\05-Raw_Data\Lab_results\[LabSamples2025_Bioplastic_extra.xlsx]extra_Bioplastic'!D808)</f>
        <v/>
      </c>
      <c r="E808">
        <f>IF(ISBLANK('Q:\Abteilungsprojekte\Eng\EngData\PROJECT_Bioplastics\Renjie_Pan\05-Raw_Data\Lab_results\[LabSamples2025_Bioplastic_extra.xlsx]extra_Bioplastic'!E808)," ",'Q:\Abteilungsprojekte\Eng\EngData\PROJECT_Bioplastics\Renjie_Pan\05-Raw_Data\Lab_results\[LabSamples2025_Bioplastic_extra.xlsx]extra_Bioplastic'!E808)</f>
        <v/>
      </c>
      <c r="F808">
        <f>IF(ISBLANK('Q:\Abteilungsprojekte\Eng\EngData\PROJECT_Bioplastics\Renjie_Pan\05-Raw_Data\Lab_results\[LabSamples2025_Bioplastic_extra.xlsx]extra_Bioplastic'!F808)," ",'Q:\Abteilungsprojekte\Eng\EngData\PROJECT_Bioplastics\Renjie_Pan\05-Raw_Data\Lab_results\[LabSamples2025_Bioplastic_extra.xlsx]extra_Bioplastic'!F808)</f>
        <v/>
      </c>
      <c r="G808">
        <f>IF(ISBLANK('Q:\Abteilungsprojekte\Eng\EngData\PROJECT_Bioplastics\Renjie_Pan\05-Raw_Data\Lab_results\[LabSamples2025_Bioplastic_extra.xlsx]extra_Bioplastic'!G808)," ",'Q:\Abteilungsprojekte\Eng\EngData\PROJECT_Bioplastics\Renjie_Pan\05-Raw_Data\Lab_results\[LabSamples2025_Bioplastic_extra.xlsx]extra_Bioplastic'!G808)</f>
        <v/>
      </c>
      <c r="H808">
        <f>IF(ISBLANK('Q:\Abteilungsprojekte\Eng\EngData\PROJECT_Bioplastics\Renjie_Pan\05-Raw_Data\Lab_results\[LabSamples2025_Bioplastic_extra.xlsx]extra_Bioplastic'!H808)," ",'Q:\Abteilungsprojekte\Eng\EngData\PROJECT_Bioplastics\Renjie_Pan\05-Raw_Data\Lab_results\[LabSamples2025_Bioplastic_extra.xlsx]extra_Bioplastic'!H808)</f>
        <v/>
      </c>
    </row>
    <row r="809">
      <c r="A809">
        <f>IF(ISBLANK('Q:\Abteilungsprojekte\Eng\EngData\PROJECT_Bioplastics\Renjie_Pan\05-Raw_Data\Lab_results\[LabSamples2025_Bioplastic_extra.xlsx]extra_Bioplastic'!A809)," ",'Q:\Abteilungsprojekte\Eng\EngData\PROJECT_Bioplastics\Renjie_Pan\05-Raw_Data\Lab_results\[LabSamples2025_Bioplastic_extra.xlsx]extra_Bioplastic'!A809)</f>
        <v/>
      </c>
      <c r="B809">
        <f>IF(ISBLANK('Q:\Abteilungsprojekte\Eng\EngData\PROJECT_Bioplastics\Renjie_Pan\05-Raw_Data\Lab_results\[LabSamples2025_Bioplastic_extra.xlsx]extra_Bioplastic'!B809)," ",'Q:\Abteilungsprojekte\Eng\EngData\PROJECT_Bioplastics\Renjie_Pan\05-Raw_Data\Lab_results\[LabSamples2025_Bioplastic_extra.xlsx]extra_Bioplastic'!B809)</f>
        <v/>
      </c>
      <c r="C809">
        <f>IF(ISBLANK('Q:\Abteilungsprojekte\Eng\EngData\PROJECT_Bioplastics\Renjie_Pan\05-Raw_Data\Lab_results\[LabSamples2025_Bioplastic_extra.xlsx]extra_Bioplastic'!C809)," ",'Q:\Abteilungsprojekte\Eng\EngData\PROJECT_Bioplastics\Renjie_Pan\05-Raw_Data\Lab_results\[LabSamples2025_Bioplastic_extra.xlsx]extra_Bioplastic'!C809)</f>
        <v/>
      </c>
      <c r="D809">
        <f>IF(ISBLANK('Q:\Abteilungsprojekte\Eng\EngData\PROJECT_Bioplastics\Renjie_Pan\05-Raw_Data\Lab_results\[LabSamples2025_Bioplastic_extra.xlsx]extra_Bioplastic'!D809)," ",'Q:\Abteilungsprojekte\Eng\EngData\PROJECT_Bioplastics\Renjie_Pan\05-Raw_Data\Lab_results\[LabSamples2025_Bioplastic_extra.xlsx]extra_Bioplastic'!D809)</f>
        <v/>
      </c>
      <c r="E809">
        <f>IF(ISBLANK('Q:\Abteilungsprojekte\Eng\EngData\PROJECT_Bioplastics\Renjie_Pan\05-Raw_Data\Lab_results\[LabSamples2025_Bioplastic_extra.xlsx]extra_Bioplastic'!E809)," ",'Q:\Abteilungsprojekte\Eng\EngData\PROJECT_Bioplastics\Renjie_Pan\05-Raw_Data\Lab_results\[LabSamples2025_Bioplastic_extra.xlsx]extra_Bioplastic'!E809)</f>
        <v/>
      </c>
      <c r="F809">
        <f>IF(ISBLANK('Q:\Abteilungsprojekte\Eng\EngData\PROJECT_Bioplastics\Renjie_Pan\05-Raw_Data\Lab_results\[LabSamples2025_Bioplastic_extra.xlsx]extra_Bioplastic'!F809)," ",'Q:\Abteilungsprojekte\Eng\EngData\PROJECT_Bioplastics\Renjie_Pan\05-Raw_Data\Lab_results\[LabSamples2025_Bioplastic_extra.xlsx]extra_Bioplastic'!F809)</f>
        <v/>
      </c>
      <c r="G809">
        <f>IF(ISBLANK('Q:\Abteilungsprojekte\Eng\EngData\PROJECT_Bioplastics\Renjie_Pan\05-Raw_Data\Lab_results\[LabSamples2025_Bioplastic_extra.xlsx]extra_Bioplastic'!G809)," ",'Q:\Abteilungsprojekte\Eng\EngData\PROJECT_Bioplastics\Renjie_Pan\05-Raw_Data\Lab_results\[LabSamples2025_Bioplastic_extra.xlsx]extra_Bioplastic'!G809)</f>
        <v/>
      </c>
      <c r="H809">
        <f>IF(ISBLANK('Q:\Abteilungsprojekte\Eng\EngData\PROJECT_Bioplastics\Renjie_Pan\05-Raw_Data\Lab_results\[LabSamples2025_Bioplastic_extra.xlsx]extra_Bioplastic'!H809)," ",'Q:\Abteilungsprojekte\Eng\EngData\PROJECT_Bioplastics\Renjie_Pan\05-Raw_Data\Lab_results\[LabSamples2025_Bioplastic_extra.xlsx]extra_Bioplastic'!H809)</f>
        <v/>
      </c>
    </row>
    <row r="810">
      <c r="A810">
        <f>IF(ISBLANK('Q:\Abteilungsprojekte\Eng\EngData\PROJECT_Bioplastics\Renjie_Pan\05-Raw_Data\Lab_results\[LabSamples2025_Bioplastic_extra.xlsx]extra_Bioplastic'!A810)," ",'Q:\Abteilungsprojekte\Eng\EngData\PROJECT_Bioplastics\Renjie_Pan\05-Raw_Data\Lab_results\[LabSamples2025_Bioplastic_extra.xlsx]extra_Bioplastic'!A810)</f>
        <v/>
      </c>
      <c r="B810">
        <f>IF(ISBLANK('Q:\Abteilungsprojekte\Eng\EngData\PROJECT_Bioplastics\Renjie_Pan\05-Raw_Data\Lab_results\[LabSamples2025_Bioplastic_extra.xlsx]extra_Bioplastic'!B810)," ",'Q:\Abteilungsprojekte\Eng\EngData\PROJECT_Bioplastics\Renjie_Pan\05-Raw_Data\Lab_results\[LabSamples2025_Bioplastic_extra.xlsx]extra_Bioplastic'!B810)</f>
        <v/>
      </c>
      <c r="C810">
        <f>IF(ISBLANK('Q:\Abteilungsprojekte\Eng\EngData\PROJECT_Bioplastics\Renjie_Pan\05-Raw_Data\Lab_results\[LabSamples2025_Bioplastic_extra.xlsx]extra_Bioplastic'!C810)," ",'Q:\Abteilungsprojekte\Eng\EngData\PROJECT_Bioplastics\Renjie_Pan\05-Raw_Data\Lab_results\[LabSamples2025_Bioplastic_extra.xlsx]extra_Bioplastic'!C810)</f>
        <v/>
      </c>
      <c r="D810">
        <f>IF(ISBLANK('Q:\Abteilungsprojekte\Eng\EngData\PROJECT_Bioplastics\Renjie_Pan\05-Raw_Data\Lab_results\[LabSamples2025_Bioplastic_extra.xlsx]extra_Bioplastic'!D810)," ",'Q:\Abteilungsprojekte\Eng\EngData\PROJECT_Bioplastics\Renjie_Pan\05-Raw_Data\Lab_results\[LabSamples2025_Bioplastic_extra.xlsx]extra_Bioplastic'!D810)</f>
        <v/>
      </c>
      <c r="E810">
        <f>IF(ISBLANK('Q:\Abteilungsprojekte\Eng\EngData\PROJECT_Bioplastics\Renjie_Pan\05-Raw_Data\Lab_results\[LabSamples2025_Bioplastic_extra.xlsx]extra_Bioplastic'!E810)," ",'Q:\Abteilungsprojekte\Eng\EngData\PROJECT_Bioplastics\Renjie_Pan\05-Raw_Data\Lab_results\[LabSamples2025_Bioplastic_extra.xlsx]extra_Bioplastic'!E810)</f>
        <v/>
      </c>
      <c r="F810">
        <f>IF(ISBLANK('Q:\Abteilungsprojekte\Eng\EngData\PROJECT_Bioplastics\Renjie_Pan\05-Raw_Data\Lab_results\[LabSamples2025_Bioplastic_extra.xlsx]extra_Bioplastic'!F810)," ",'Q:\Abteilungsprojekte\Eng\EngData\PROJECT_Bioplastics\Renjie_Pan\05-Raw_Data\Lab_results\[LabSamples2025_Bioplastic_extra.xlsx]extra_Bioplastic'!F810)</f>
        <v/>
      </c>
      <c r="G810">
        <f>IF(ISBLANK('Q:\Abteilungsprojekte\Eng\EngData\PROJECT_Bioplastics\Renjie_Pan\05-Raw_Data\Lab_results\[LabSamples2025_Bioplastic_extra.xlsx]extra_Bioplastic'!G810)," ",'Q:\Abteilungsprojekte\Eng\EngData\PROJECT_Bioplastics\Renjie_Pan\05-Raw_Data\Lab_results\[LabSamples2025_Bioplastic_extra.xlsx]extra_Bioplastic'!G810)</f>
        <v/>
      </c>
      <c r="H810">
        <f>IF(ISBLANK('Q:\Abteilungsprojekte\Eng\EngData\PROJECT_Bioplastics\Renjie_Pan\05-Raw_Data\Lab_results\[LabSamples2025_Bioplastic_extra.xlsx]extra_Bioplastic'!H810)," ",'Q:\Abteilungsprojekte\Eng\EngData\PROJECT_Bioplastics\Renjie_Pan\05-Raw_Data\Lab_results\[LabSamples2025_Bioplastic_extra.xlsx]extra_Bioplastic'!H810)</f>
        <v/>
      </c>
    </row>
    <row r="811">
      <c r="A811">
        <f>IF(ISBLANK('Q:\Abteilungsprojekte\Eng\EngData\PROJECT_Bioplastics\Renjie_Pan\05-Raw_Data\Lab_results\[LabSamples2025_Bioplastic_extra.xlsx]extra_Bioplastic'!A811)," ",'Q:\Abteilungsprojekte\Eng\EngData\PROJECT_Bioplastics\Renjie_Pan\05-Raw_Data\Lab_results\[LabSamples2025_Bioplastic_extra.xlsx]extra_Bioplastic'!A811)</f>
        <v/>
      </c>
      <c r="B811">
        <f>IF(ISBLANK('Q:\Abteilungsprojekte\Eng\EngData\PROJECT_Bioplastics\Renjie_Pan\05-Raw_Data\Lab_results\[LabSamples2025_Bioplastic_extra.xlsx]extra_Bioplastic'!B811)," ",'Q:\Abteilungsprojekte\Eng\EngData\PROJECT_Bioplastics\Renjie_Pan\05-Raw_Data\Lab_results\[LabSamples2025_Bioplastic_extra.xlsx]extra_Bioplastic'!B811)</f>
        <v/>
      </c>
      <c r="C811">
        <f>IF(ISBLANK('Q:\Abteilungsprojekte\Eng\EngData\PROJECT_Bioplastics\Renjie_Pan\05-Raw_Data\Lab_results\[LabSamples2025_Bioplastic_extra.xlsx]extra_Bioplastic'!C811)," ",'Q:\Abteilungsprojekte\Eng\EngData\PROJECT_Bioplastics\Renjie_Pan\05-Raw_Data\Lab_results\[LabSamples2025_Bioplastic_extra.xlsx]extra_Bioplastic'!C811)</f>
        <v/>
      </c>
      <c r="D811">
        <f>IF(ISBLANK('Q:\Abteilungsprojekte\Eng\EngData\PROJECT_Bioplastics\Renjie_Pan\05-Raw_Data\Lab_results\[LabSamples2025_Bioplastic_extra.xlsx]extra_Bioplastic'!D811)," ",'Q:\Abteilungsprojekte\Eng\EngData\PROJECT_Bioplastics\Renjie_Pan\05-Raw_Data\Lab_results\[LabSamples2025_Bioplastic_extra.xlsx]extra_Bioplastic'!D811)</f>
        <v/>
      </c>
      <c r="E811">
        <f>IF(ISBLANK('Q:\Abteilungsprojekte\Eng\EngData\PROJECT_Bioplastics\Renjie_Pan\05-Raw_Data\Lab_results\[LabSamples2025_Bioplastic_extra.xlsx]extra_Bioplastic'!E811)," ",'Q:\Abteilungsprojekte\Eng\EngData\PROJECT_Bioplastics\Renjie_Pan\05-Raw_Data\Lab_results\[LabSamples2025_Bioplastic_extra.xlsx]extra_Bioplastic'!E811)</f>
        <v/>
      </c>
      <c r="F811">
        <f>IF(ISBLANK('Q:\Abteilungsprojekte\Eng\EngData\PROJECT_Bioplastics\Renjie_Pan\05-Raw_Data\Lab_results\[LabSamples2025_Bioplastic_extra.xlsx]extra_Bioplastic'!F811)," ",'Q:\Abteilungsprojekte\Eng\EngData\PROJECT_Bioplastics\Renjie_Pan\05-Raw_Data\Lab_results\[LabSamples2025_Bioplastic_extra.xlsx]extra_Bioplastic'!F811)</f>
        <v/>
      </c>
      <c r="G811">
        <f>IF(ISBLANK('Q:\Abteilungsprojekte\Eng\EngData\PROJECT_Bioplastics\Renjie_Pan\05-Raw_Data\Lab_results\[LabSamples2025_Bioplastic_extra.xlsx]extra_Bioplastic'!G811)," ",'Q:\Abteilungsprojekte\Eng\EngData\PROJECT_Bioplastics\Renjie_Pan\05-Raw_Data\Lab_results\[LabSamples2025_Bioplastic_extra.xlsx]extra_Bioplastic'!G811)</f>
        <v/>
      </c>
      <c r="H811">
        <f>IF(ISBLANK('Q:\Abteilungsprojekte\Eng\EngData\PROJECT_Bioplastics\Renjie_Pan\05-Raw_Data\Lab_results\[LabSamples2025_Bioplastic_extra.xlsx]extra_Bioplastic'!H811)," ",'Q:\Abteilungsprojekte\Eng\EngData\PROJECT_Bioplastics\Renjie_Pan\05-Raw_Data\Lab_results\[LabSamples2025_Bioplastic_extra.xlsx]extra_Bioplastic'!H811)</f>
        <v/>
      </c>
    </row>
    <row r="812">
      <c r="A812">
        <f>IF(ISBLANK('Q:\Abteilungsprojekte\Eng\EngData\PROJECT_Bioplastics\Renjie_Pan\05-Raw_Data\Lab_results\[LabSamples2025_Bioplastic_extra.xlsx]extra_Bioplastic'!A812)," ",'Q:\Abteilungsprojekte\Eng\EngData\PROJECT_Bioplastics\Renjie_Pan\05-Raw_Data\Lab_results\[LabSamples2025_Bioplastic_extra.xlsx]extra_Bioplastic'!A812)</f>
        <v/>
      </c>
      <c r="B812">
        <f>IF(ISBLANK('Q:\Abteilungsprojekte\Eng\EngData\PROJECT_Bioplastics\Renjie_Pan\05-Raw_Data\Lab_results\[LabSamples2025_Bioplastic_extra.xlsx]extra_Bioplastic'!B812)," ",'Q:\Abteilungsprojekte\Eng\EngData\PROJECT_Bioplastics\Renjie_Pan\05-Raw_Data\Lab_results\[LabSamples2025_Bioplastic_extra.xlsx]extra_Bioplastic'!B812)</f>
        <v/>
      </c>
      <c r="C812">
        <f>IF(ISBLANK('Q:\Abteilungsprojekte\Eng\EngData\PROJECT_Bioplastics\Renjie_Pan\05-Raw_Data\Lab_results\[LabSamples2025_Bioplastic_extra.xlsx]extra_Bioplastic'!C812)," ",'Q:\Abteilungsprojekte\Eng\EngData\PROJECT_Bioplastics\Renjie_Pan\05-Raw_Data\Lab_results\[LabSamples2025_Bioplastic_extra.xlsx]extra_Bioplastic'!C812)</f>
        <v/>
      </c>
      <c r="D812">
        <f>IF(ISBLANK('Q:\Abteilungsprojekte\Eng\EngData\PROJECT_Bioplastics\Renjie_Pan\05-Raw_Data\Lab_results\[LabSamples2025_Bioplastic_extra.xlsx]extra_Bioplastic'!D812)," ",'Q:\Abteilungsprojekte\Eng\EngData\PROJECT_Bioplastics\Renjie_Pan\05-Raw_Data\Lab_results\[LabSamples2025_Bioplastic_extra.xlsx]extra_Bioplastic'!D812)</f>
        <v/>
      </c>
      <c r="E812">
        <f>IF(ISBLANK('Q:\Abteilungsprojekte\Eng\EngData\PROJECT_Bioplastics\Renjie_Pan\05-Raw_Data\Lab_results\[LabSamples2025_Bioplastic_extra.xlsx]extra_Bioplastic'!E812)," ",'Q:\Abteilungsprojekte\Eng\EngData\PROJECT_Bioplastics\Renjie_Pan\05-Raw_Data\Lab_results\[LabSamples2025_Bioplastic_extra.xlsx]extra_Bioplastic'!E812)</f>
        <v/>
      </c>
      <c r="F812">
        <f>IF(ISBLANK('Q:\Abteilungsprojekte\Eng\EngData\PROJECT_Bioplastics\Renjie_Pan\05-Raw_Data\Lab_results\[LabSamples2025_Bioplastic_extra.xlsx]extra_Bioplastic'!F812)," ",'Q:\Abteilungsprojekte\Eng\EngData\PROJECT_Bioplastics\Renjie_Pan\05-Raw_Data\Lab_results\[LabSamples2025_Bioplastic_extra.xlsx]extra_Bioplastic'!F812)</f>
        <v/>
      </c>
      <c r="G812">
        <f>IF(ISBLANK('Q:\Abteilungsprojekte\Eng\EngData\PROJECT_Bioplastics\Renjie_Pan\05-Raw_Data\Lab_results\[LabSamples2025_Bioplastic_extra.xlsx]extra_Bioplastic'!G812)," ",'Q:\Abteilungsprojekte\Eng\EngData\PROJECT_Bioplastics\Renjie_Pan\05-Raw_Data\Lab_results\[LabSamples2025_Bioplastic_extra.xlsx]extra_Bioplastic'!G812)</f>
        <v/>
      </c>
      <c r="H812">
        <f>IF(ISBLANK('Q:\Abteilungsprojekte\Eng\EngData\PROJECT_Bioplastics\Renjie_Pan\05-Raw_Data\Lab_results\[LabSamples2025_Bioplastic_extra.xlsx]extra_Bioplastic'!H812)," ",'Q:\Abteilungsprojekte\Eng\EngData\PROJECT_Bioplastics\Renjie_Pan\05-Raw_Data\Lab_results\[LabSamples2025_Bioplastic_extra.xlsx]extra_Bioplastic'!H812)</f>
        <v/>
      </c>
    </row>
    <row r="813">
      <c r="A813">
        <f>IF(ISBLANK('Q:\Abteilungsprojekte\Eng\EngData\PROJECT_Bioplastics\Renjie_Pan\05-Raw_Data\Lab_results\[LabSamples2025_Bioplastic_extra.xlsx]extra_Bioplastic'!A813)," ",'Q:\Abteilungsprojekte\Eng\EngData\PROJECT_Bioplastics\Renjie_Pan\05-Raw_Data\Lab_results\[LabSamples2025_Bioplastic_extra.xlsx]extra_Bioplastic'!A813)</f>
        <v/>
      </c>
      <c r="B813">
        <f>IF(ISBLANK('Q:\Abteilungsprojekte\Eng\EngData\PROJECT_Bioplastics\Renjie_Pan\05-Raw_Data\Lab_results\[LabSamples2025_Bioplastic_extra.xlsx]extra_Bioplastic'!B813)," ",'Q:\Abteilungsprojekte\Eng\EngData\PROJECT_Bioplastics\Renjie_Pan\05-Raw_Data\Lab_results\[LabSamples2025_Bioplastic_extra.xlsx]extra_Bioplastic'!B813)</f>
        <v/>
      </c>
      <c r="C813">
        <f>IF(ISBLANK('Q:\Abteilungsprojekte\Eng\EngData\PROJECT_Bioplastics\Renjie_Pan\05-Raw_Data\Lab_results\[LabSamples2025_Bioplastic_extra.xlsx]extra_Bioplastic'!C813)," ",'Q:\Abteilungsprojekte\Eng\EngData\PROJECT_Bioplastics\Renjie_Pan\05-Raw_Data\Lab_results\[LabSamples2025_Bioplastic_extra.xlsx]extra_Bioplastic'!C813)</f>
        <v/>
      </c>
      <c r="D813">
        <f>IF(ISBLANK('Q:\Abteilungsprojekte\Eng\EngData\PROJECT_Bioplastics\Renjie_Pan\05-Raw_Data\Lab_results\[LabSamples2025_Bioplastic_extra.xlsx]extra_Bioplastic'!D813)," ",'Q:\Abteilungsprojekte\Eng\EngData\PROJECT_Bioplastics\Renjie_Pan\05-Raw_Data\Lab_results\[LabSamples2025_Bioplastic_extra.xlsx]extra_Bioplastic'!D813)</f>
        <v/>
      </c>
      <c r="E813">
        <f>IF(ISBLANK('Q:\Abteilungsprojekte\Eng\EngData\PROJECT_Bioplastics\Renjie_Pan\05-Raw_Data\Lab_results\[LabSamples2025_Bioplastic_extra.xlsx]extra_Bioplastic'!E813)," ",'Q:\Abteilungsprojekte\Eng\EngData\PROJECT_Bioplastics\Renjie_Pan\05-Raw_Data\Lab_results\[LabSamples2025_Bioplastic_extra.xlsx]extra_Bioplastic'!E813)</f>
        <v/>
      </c>
      <c r="F813">
        <f>IF(ISBLANK('Q:\Abteilungsprojekte\Eng\EngData\PROJECT_Bioplastics\Renjie_Pan\05-Raw_Data\Lab_results\[LabSamples2025_Bioplastic_extra.xlsx]extra_Bioplastic'!F813)," ",'Q:\Abteilungsprojekte\Eng\EngData\PROJECT_Bioplastics\Renjie_Pan\05-Raw_Data\Lab_results\[LabSamples2025_Bioplastic_extra.xlsx]extra_Bioplastic'!F813)</f>
        <v/>
      </c>
      <c r="G813">
        <f>IF(ISBLANK('Q:\Abteilungsprojekte\Eng\EngData\PROJECT_Bioplastics\Renjie_Pan\05-Raw_Data\Lab_results\[LabSamples2025_Bioplastic_extra.xlsx]extra_Bioplastic'!G813)," ",'Q:\Abteilungsprojekte\Eng\EngData\PROJECT_Bioplastics\Renjie_Pan\05-Raw_Data\Lab_results\[LabSamples2025_Bioplastic_extra.xlsx]extra_Bioplastic'!G813)</f>
        <v/>
      </c>
      <c r="H813">
        <f>IF(ISBLANK('Q:\Abteilungsprojekte\Eng\EngData\PROJECT_Bioplastics\Renjie_Pan\05-Raw_Data\Lab_results\[LabSamples2025_Bioplastic_extra.xlsx]extra_Bioplastic'!H813)," ",'Q:\Abteilungsprojekte\Eng\EngData\PROJECT_Bioplastics\Renjie_Pan\05-Raw_Data\Lab_results\[LabSamples2025_Bioplastic_extra.xlsx]extra_Bioplastic'!H813)</f>
        <v/>
      </c>
    </row>
    <row r="814">
      <c r="A814">
        <f>IF(ISBLANK('Q:\Abteilungsprojekte\Eng\EngData\PROJECT_Bioplastics\Renjie_Pan\05-Raw_Data\Lab_results\[LabSamples2025_Bioplastic_extra.xlsx]extra_Bioplastic'!A814)," ",'Q:\Abteilungsprojekte\Eng\EngData\PROJECT_Bioplastics\Renjie_Pan\05-Raw_Data\Lab_results\[LabSamples2025_Bioplastic_extra.xlsx]extra_Bioplastic'!A814)</f>
        <v/>
      </c>
      <c r="B814">
        <f>IF(ISBLANK('Q:\Abteilungsprojekte\Eng\EngData\PROJECT_Bioplastics\Renjie_Pan\05-Raw_Data\Lab_results\[LabSamples2025_Bioplastic_extra.xlsx]extra_Bioplastic'!B814)," ",'Q:\Abteilungsprojekte\Eng\EngData\PROJECT_Bioplastics\Renjie_Pan\05-Raw_Data\Lab_results\[LabSamples2025_Bioplastic_extra.xlsx]extra_Bioplastic'!B814)</f>
        <v/>
      </c>
      <c r="C814">
        <f>IF(ISBLANK('Q:\Abteilungsprojekte\Eng\EngData\PROJECT_Bioplastics\Renjie_Pan\05-Raw_Data\Lab_results\[LabSamples2025_Bioplastic_extra.xlsx]extra_Bioplastic'!C814)," ",'Q:\Abteilungsprojekte\Eng\EngData\PROJECT_Bioplastics\Renjie_Pan\05-Raw_Data\Lab_results\[LabSamples2025_Bioplastic_extra.xlsx]extra_Bioplastic'!C814)</f>
        <v/>
      </c>
      <c r="D814">
        <f>IF(ISBLANK('Q:\Abteilungsprojekte\Eng\EngData\PROJECT_Bioplastics\Renjie_Pan\05-Raw_Data\Lab_results\[LabSamples2025_Bioplastic_extra.xlsx]extra_Bioplastic'!D814)," ",'Q:\Abteilungsprojekte\Eng\EngData\PROJECT_Bioplastics\Renjie_Pan\05-Raw_Data\Lab_results\[LabSamples2025_Bioplastic_extra.xlsx]extra_Bioplastic'!D814)</f>
        <v/>
      </c>
      <c r="E814">
        <f>IF(ISBLANK('Q:\Abteilungsprojekte\Eng\EngData\PROJECT_Bioplastics\Renjie_Pan\05-Raw_Data\Lab_results\[LabSamples2025_Bioplastic_extra.xlsx]extra_Bioplastic'!E814)," ",'Q:\Abteilungsprojekte\Eng\EngData\PROJECT_Bioplastics\Renjie_Pan\05-Raw_Data\Lab_results\[LabSamples2025_Bioplastic_extra.xlsx]extra_Bioplastic'!E814)</f>
        <v/>
      </c>
      <c r="F814">
        <f>IF(ISBLANK('Q:\Abteilungsprojekte\Eng\EngData\PROJECT_Bioplastics\Renjie_Pan\05-Raw_Data\Lab_results\[LabSamples2025_Bioplastic_extra.xlsx]extra_Bioplastic'!F814)," ",'Q:\Abteilungsprojekte\Eng\EngData\PROJECT_Bioplastics\Renjie_Pan\05-Raw_Data\Lab_results\[LabSamples2025_Bioplastic_extra.xlsx]extra_Bioplastic'!F814)</f>
        <v/>
      </c>
      <c r="G814">
        <f>IF(ISBLANK('Q:\Abteilungsprojekte\Eng\EngData\PROJECT_Bioplastics\Renjie_Pan\05-Raw_Data\Lab_results\[LabSamples2025_Bioplastic_extra.xlsx]extra_Bioplastic'!G814)," ",'Q:\Abteilungsprojekte\Eng\EngData\PROJECT_Bioplastics\Renjie_Pan\05-Raw_Data\Lab_results\[LabSamples2025_Bioplastic_extra.xlsx]extra_Bioplastic'!G814)</f>
        <v/>
      </c>
      <c r="H814">
        <f>IF(ISBLANK('Q:\Abteilungsprojekte\Eng\EngData\PROJECT_Bioplastics\Renjie_Pan\05-Raw_Data\Lab_results\[LabSamples2025_Bioplastic_extra.xlsx]extra_Bioplastic'!H814)," ",'Q:\Abteilungsprojekte\Eng\EngData\PROJECT_Bioplastics\Renjie_Pan\05-Raw_Data\Lab_results\[LabSamples2025_Bioplastic_extra.xlsx]extra_Bioplastic'!H814)</f>
        <v/>
      </c>
    </row>
    <row r="815">
      <c r="A815">
        <f>IF(ISBLANK('Q:\Abteilungsprojekte\Eng\EngData\PROJECT_Bioplastics\Renjie_Pan\05-Raw_Data\Lab_results\[LabSamples2025_Bioplastic_extra.xlsx]extra_Bioplastic'!A815)," ",'Q:\Abteilungsprojekte\Eng\EngData\PROJECT_Bioplastics\Renjie_Pan\05-Raw_Data\Lab_results\[LabSamples2025_Bioplastic_extra.xlsx]extra_Bioplastic'!A815)</f>
        <v/>
      </c>
      <c r="B815">
        <f>IF(ISBLANK('Q:\Abteilungsprojekte\Eng\EngData\PROJECT_Bioplastics\Renjie_Pan\05-Raw_Data\Lab_results\[LabSamples2025_Bioplastic_extra.xlsx]extra_Bioplastic'!B815)," ",'Q:\Abteilungsprojekte\Eng\EngData\PROJECT_Bioplastics\Renjie_Pan\05-Raw_Data\Lab_results\[LabSamples2025_Bioplastic_extra.xlsx]extra_Bioplastic'!B815)</f>
        <v/>
      </c>
      <c r="C815">
        <f>IF(ISBLANK('Q:\Abteilungsprojekte\Eng\EngData\PROJECT_Bioplastics\Renjie_Pan\05-Raw_Data\Lab_results\[LabSamples2025_Bioplastic_extra.xlsx]extra_Bioplastic'!C815)," ",'Q:\Abteilungsprojekte\Eng\EngData\PROJECT_Bioplastics\Renjie_Pan\05-Raw_Data\Lab_results\[LabSamples2025_Bioplastic_extra.xlsx]extra_Bioplastic'!C815)</f>
        <v/>
      </c>
      <c r="D815">
        <f>IF(ISBLANK('Q:\Abteilungsprojekte\Eng\EngData\PROJECT_Bioplastics\Renjie_Pan\05-Raw_Data\Lab_results\[LabSamples2025_Bioplastic_extra.xlsx]extra_Bioplastic'!D815)," ",'Q:\Abteilungsprojekte\Eng\EngData\PROJECT_Bioplastics\Renjie_Pan\05-Raw_Data\Lab_results\[LabSamples2025_Bioplastic_extra.xlsx]extra_Bioplastic'!D815)</f>
        <v/>
      </c>
      <c r="E815">
        <f>IF(ISBLANK('Q:\Abteilungsprojekte\Eng\EngData\PROJECT_Bioplastics\Renjie_Pan\05-Raw_Data\Lab_results\[LabSamples2025_Bioplastic_extra.xlsx]extra_Bioplastic'!E815)," ",'Q:\Abteilungsprojekte\Eng\EngData\PROJECT_Bioplastics\Renjie_Pan\05-Raw_Data\Lab_results\[LabSamples2025_Bioplastic_extra.xlsx]extra_Bioplastic'!E815)</f>
        <v/>
      </c>
      <c r="F815">
        <f>IF(ISBLANK('Q:\Abteilungsprojekte\Eng\EngData\PROJECT_Bioplastics\Renjie_Pan\05-Raw_Data\Lab_results\[LabSamples2025_Bioplastic_extra.xlsx]extra_Bioplastic'!F815)," ",'Q:\Abteilungsprojekte\Eng\EngData\PROJECT_Bioplastics\Renjie_Pan\05-Raw_Data\Lab_results\[LabSamples2025_Bioplastic_extra.xlsx]extra_Bioplastic'!F815)</f>
        <v/>
      </c>
      <c r="G815">
        <f>IF(ISBLANK('Q:\Abteilungsprojekte\Eng\EngData\PROJECT_Bioplastics\Renjie_Pan\05-Raw_Data\Lab_results\[LabSamples2025_Bioplastic_extra.xlsx]extra_Bioplastic'!G815)," ",'Q:\Abteilungsprojekte\Eng\EngData\PROJECT_Bioplastics\Renjie_Pan\05-Raw_Data\Lab_results\[LabSamples2025_Bioplastic_extra.xlsx]extra_Bioplastic'!G815)</f>
        <v/>
      </c>
      <c r="H815">
        <f>IF(ISBLANK('Q:\Abteilungsprojekte\Eng\EngData\PROJECT_Bioplastics\Renjie_Pan\05-Raw_Data\Lab_results\[LabSamples2025_Bioplastic_extra.xlsx]extra_Bioplastic'!H815)," ",'Q:\Abteilungsprojekte\Eng\EngData\PROJECT_Bioplastics\Renjie_Pan\05-Raw_Data\Lab_results\[LabSamples2025_Bioplastic_extra.xlsx]extra_Bioplastic'!H815)</f>
        <v/>
      </c>
    </row>
    <row r="816">
      <c r="A816">
        <f>IF(ISBLANK('Q:\Abteilungsprojekte\Eng\EngData\PROJECT_Bioplastics\Renjie_Pan\05-Raw_Data\Lab_results\[LabSamples2025_Bioplastic_extra.xlsx]extra_Bioplastic'!A816)," ",'Q:\Abteilungsprojekte\Eng\EngData\PROJECT_Bioplastics\Renjie_Pan\05-Raw_Data\Lab_results\[LabSamples2025_Bioplastic_extra.xlsx]extra_Bioplastic'!A816)</f>
        <v/>
      </c>
      <c r="B816">
        <f>IF(ISBLANK('Q:\Abteilungsprojekte\Eng\EngData\PROJECT_Bioplastics\Renjie_Pan\05-Raw_Data\Lab_results\[LabSamples2025_Bioplastic_extra.xlsx]extra_Bioplastic'!B816)," ",'Q:\Abteilungsprojekte\Eng\EngData\PROJECT_Bioplastics\Renjie_Pan\05-Raw_Data\Lab_results\[LabSamples2025_Bioplastic_extra.xlsx]extra_Bioplastic'!B816)</f>
        <v/>
      </c>
      <c r="C816">
        <f>IF(ISBLANK('Q:\Abteilungsprojekte\Eng\EngData\PROJECT_Bioplastics\Renjie_Pan\05-Raw_Data\Lab_results\[LabSamples2025_Bioplastic_extra.xlsx]extra_Bioplastic'!C816)," ",'Q:\Abteilungsprojekte\Eng\EngData\PROJECT_Bioplastics\Renjie_Pan\05-Raw_Data\Lab_results\[LabSamples2025_Bioplastic_extra.xlsx]extra_Bioplastic'!C816)</f>
        <v/>
      </c>
      <c r="D816">
        <f>IF(ISBLANK('Q:\Abteilungsprojekte\Eng\EngData\PROJECT_Bioplastics\Renjie_Pan\05-Raw_Data\Lab_results\[LabSamples2025_Bioplastic_extra.xlsx]extra_Bioplastic'!D816)," ",'Q:\Abteilungsprojekte\Eng\EngData\PROJECT_Bioplastics\Renjie_Pan\05-Raw_Data\Lab_results\[LabSamples2025_Bioplastic_extra.xlsx]extra_Bioplastic'!D816)</f>
        <v/>
      </c>
      <c r="E816">
        <f>IF(ISBLANK('Q:\Abteilungsprojekte\Eng\EngData\PROJECT_Bioplastics\Renjie_Pan\05-Raw_Data\Lab_results\[LabSamples2025_Bioplastic_extra.xlsx]extra_Bioplastic'!E816)," ",'Q:\Abteilungsprojekte\Eng\EngData\PROJECT_Bioplastics\Renjie_Pan\05-Raw_Data\Lab_results\[LabSamples2025_Bioplastic_extra.xlsx]extra_Bioplastic'!E816)</f>
        <v/>
      </c>
      <c r="F816">
        <f>IF(ISBLANK('Q:\Abteilungsprojekte\Eng\EngData\PROJECT_Bioplastics\Renjie_Pan\05-Raw_Data\Lab_results\[LabSamples2025_Bioplastic_extra.xlsx]extra_Bioplastic'!F816)," ",'Q:\Abteilungsprojekte\Eng\EngData\PROJECT_Bioplastics\Renjie_Pan\05-Raw_Data\Lab_results\[LabSamples2025_Bioplastic_extra.xlsx]extra_Bioplastic'!F816)</f>
        <v/>
      </c>
      <c r="G816">
        <f>IF(ISBLANK('Q:\Abteilungsprojekte\Eng\EngData\PROJECT_Bioplastics\Renjie_Pan\05-Raw_Data\Lab_results\[LabSamples2025_Bioplastic_extra.xlsx]extra_Bioplastic'!G816)," ",'Q:\Abteilungsprojekte\Eng\EngData\PROJECT_Bioplastics\Renjie_Pan\05-Raw_Data\Lab_results\[LabSamples2025_Bioplastic_extra.xlsx]extra_Bioplastic'!G816)</f>
        <v/>
      </c>
      <c r="H816">
        <f>IF(ISBLANK('Q:\Abteilungsprojekte\Eng\EngData\PROJECT_Bioplastics\Renjie_Pan\05-Raw_Data\Lab_results\[LabSamples2025_Bioplastic_extra.xlsx]extra_Bioplastic'!H816)," ",'Q:\Abteilungsprojekte\Eng\EngData\PROJECT_Bioplastics\Renjie_Pan\05-Raw_Data\Lab_results\[LabSamples2025_Bioplastic_extra.xlsx]extra_Bioplastic'!H816)</f>
        <v/>
      </c>
    </row>
    <row r="817">
      <c r="A817">
        <f>IF(ISBLANK('Q:\Abteilungsprojekte\Eng\EngData\PROJECT_Bioplastics\Renjie_Pan\05-Raw_Data\Lab_results\[LabSamples2025_Bioplastic_extra.xlsx]extra_Bioplastic'!A817)," ",'Q:\Abteilungsprojekte\Eng\EngData\PROJECT_Bioplastics\Renjie_Pan\05-Raw_Data\Lab_results\[LabSamples2025_Bioplastic_extra.xlsx]extra_Bioplastic'!A817)</f>
        <v/>
      </c>
      <c r="B817">
        <f>IF(ISBLANK('Q:\Abteilungsprojekte\Eng\EngData\PROJECT_Bioplastics\Renjie_Pan\05-Raw_Data\Lab_results\[LabSamples2025_Bioplastic_extra.xlsx]extra_Bioplastic'!B817)," ",'Q:\Abteilungsprojekte\Eng\EngData\PROJECT_Bioplastics\Renjie_Pan\05-Raw_Data\Lab_results\[LabSamples2025_Bioplastic_extra.xlsx]extra_Bioplastic'!B817)</f>
        <v/>
      </c>
      <c r="C817">
        <f>IF(ISBLANK('Q:\Abteilungsprojekte\Eng\EngData\PROJECT_Bioplastics\Renjie_Pan\05-Raw_Data\Lab_results\[LabSamples2025_Bioplastic_extra.xlsx]extra_Bioplastic'!C817)," ",'Q:\Abteilungsprojekte\Eng\EngData\PROJECT_Bioplastics\Renjie_Pan\05-Raw_Data\Lab_results\[LabSamples2025_Bioplastic_extra.xlsx]extra_Bioplastic'!C817)</f>
        <v/>
      </c>
      <c r="D817">
        <f>IF(ISBLANK('Q:\Abteilungsprojekte\Eng\EngData\PROJECT_Bioplastics\Renjie_Pan\05-Raw_Data\Lab_results\[LabSamples2025_Bioplastic_extra.xlsx]extra_Bioplastic'!D817)," ",'Q:\Abteilungsprojekte\Eng\EngData\PROJECT_Bioplastics\Renjie_Pan\05-Raw_Data\Lab_results\[LabSamples2025_Bioplastic_extra.xlsx]extra_Bioplastic'!D817)</f>
        <v/>
      </c>
      <c r="E817">
        <f>IF(ISBLANK('Q:\Abteilungsprojekte\Eng\EngData\PROJECT_Bioplastics\Renjie_Pan\05-Raw_Data\Lab_results\[LabSamples2025_Bioplastic_extra.xlsx]extra_Bioplastic'!E817)," ",'Q:\Abteilungsprojekte\Eng\EngData\PROJECT_Bioplastics\Renjie_Pan\05-Raw_Data\Lab_results\[LabSamples2025_Bioplastic_extra.xlsx]extra_Bioplastic'!E817)</f>
        <v/>
      </c>
      <c r="F817">
        <f>IF(ISBLANK('Q:\Abteilungsprojekte\Eng\EngData\PROJECT_Bioplastics\Renjie_Pan\05-Raw_Data\Lab_results\[LabSamples2025_Bioplastic_extra.xlsx]extra_Bioplastic'!F817)," ",'Q:\Abteilungsprojekte\Eng\EngData\PROJECT_Bioplastics\Renjie_Pan\05-Raw_Data\Lab_results\[LabSamples2025_Bioplastic_extra.xlsx]extra_Bioplastic'!F817)</f>
        <v/>
      </c>
      <c r="G817">
        <f>IF(ISBLANK('Q:\Abteilungsprojekte\Eng\EngData\PROJECT_Bioplastics\Renjie_Pan\05-Raw_Data\Lab_results\[LabSamples2025_Bioplastic_extra.xlsx]extra_Bioplastic'!G817)," ",'Q:\Abteilungsprojekte\Eng\EngData\PROJECT_Bioplastics\Renjie_Pan\05-Raw_Data\Lab_results\[LabSamples2025_Bioplastic_extra.xlsx]extra_Bioplastic'!G817)</f>
        <v/>
      </c>
      <c r="H817">
        <f>IF(ISBLANK('Q:\Abteilungsprojekte\Eng\EngData\PROJECT_Bioplastics\Renjie_Pan\05-Raw_Data\Lab_results\[LabSamples2025_Bioplastic_extra.xlsx]extra_Bioplastic'!H817)," ",'Q:\Abteilungsprojekte\Eng\EngData\PROJECT_Bioplastics\Renjie_Pan\05-Raw_Data\Lab_results\[LabSamples2025_Bioplastic_extra.xlsx]extra_Bioplastic'!H817)</f>
        <v/>
      </c>
    </row>
    <row r="818">
      <c r="A818">
        <f>IF(ISBLANK('Q:\Abteilungsprojekte\Eng\EngData\PROJECT_Bioplastics\Renjie_Pan\05-Raw_Data\Lab_results\[LabSamples2025_Bioplastic_extra.xlsx]extra_Bioplastic'!A818)," ",'Q:\Abteilungsprojekte\Eng\EngData\PROJECT_Bioplastics\Renjie_Pan\05-Raw_Data\Lab_results\[LabSamples2025_Bioplastic_extra.xlsx]extra_Bioplastic'!A818)</f>
        <v/>
      </c>
      <c r="B818">
        <f>IF(ISBLANK('Q:\Abteilungsprojekte\Eng\EngData\PROJECT_Bioplastics\Renjie_Pan\05-Raw_Data\Lab_results\[LabSamples2025_Bioplastic_extra.xlsx]extra_Bioplastic'!B818)," ",'Q:\Abteilungsprojekte\Eng\EngData\PROJECT_Bioplastics\Renjie_Pan\05-Raw_Data\Lab_results\[LabSamples2025_Bioplastic_extra.xlsx]extra_Bioplastic'!B818)</f>
        <v/>
      </c>
      <c r="C818">
        <f>IF(ISBLANK('Q:\Abteilungsprojekte\Eng\EngData\PROJECT_Bioplastics\Renjie_Pan\05-Raw_Data\Lab_results\[LabSamples2025_Bioplastic_extra.xlsx]extra_Bioplastic'!C818)," ",'Q:\Abteilungsprojekte\Eng\EngData\PROJECT_Bioplastics\Renjie_Pan\05-Raw_Data\Lab_results\[LabSamples2025_Bioplastic_extra.xlsx]extra_Bioplastic'!C818)</f>
        <v/>
      </c>
      <c r="D818">
        <f>IF(ISBLANK('Q:\Abteilungsprojekte\Eng\EngData\PROJECT_Bioplastics\Renjie_Pan\05-Raw_Data\Lab_results\[LabSamples2025_Bioplastic_extra.xlsx]extra_Bioplastic'!D818)," ",'Q:\Abteilungsprojekte\Eng\EngData\PROJECT_Bioplastics\Renjie_Pan\05-Raw_Data\Lab_results\[LabSamples2025_Bioplastic_extra.xlsx]extra_Bioplastic'!D818)</f>
        <v/>
      </c>
      <c r="E818">
        <f>IF(ISBLANK('Q:\Abteilungsprojekte\Eng\EngData\PROJECT_Bioplastics\Renjie_Pan\05-Raw_Data\Lab_results\[LabSamples2025_Bioplastic_extra.xlsx]extra_Bioplastic'!E818)," ",'Q:\Abteilungsprojekte\Eng\EngData\PROJECT_Bioplastics\Renjie_Pan\05-Raw_Data\Lab_results\[LabSamples2025_Bioplastic_extra.xlsx]extra_Bioplastic'!E818)</f>
        <v/>
      </c>
      <c r="F818">
        <f>IF(ISBLANK('Q:\Abteilungsprojekte\Eng\EngData\PROJECT_Bioplastics\Renjie_Pan\05-Raw_Data\Lab_results\[LabSamples2025_Bioplastic_extra.xlsx]extra_Bioplastic'!F818)," ",'Q:\Abteilungsprojekte\Eng\EngData\PROJECT_Bioplastics\Renjie_Pan\05-Raw_Data\Lab_results\[LabSamples2025_Bioplastic_extra.xlsx]extra_Bioplastic'!F818)</f>
        <v/>
      </c>
      <c r="G818">
        <f>IF(ISBLANK('Q:\Abteilungsprojekte\Eng\EngData\PROJECT_Bioplastics\Renjie_Pan\05-Raw_Data\Lab_results\[LabSamples2025_Bioplastic_extra.xlsx]extra_Bioplastic'!G818)," ",'Q:\Abteilungsprojekte\Eng\EngData\PROJECT_Bioplastics\Renjie_Pan\05-Raw_Data\Lab_results\[LabSamples2025_Bioplastic_extra.xlsx]extra_Bioplastic'!G818)</f>
        <v/>
      </c>
      <c r="H818">
        <f>IF(ISBLANK('Q:\Abteilungsprojekte\Eng\EngData\PROJECT_Bioplastics\Renjie_Pan\05-Raw_Data\Lab_results\[LabSamples2025_Bioplastic_extra.xlsx]extra_Bioplastic'!H818)," ",'Q:\Abteilungsprojekte\Eng\EngData\PROJECT_Bioplastics\Renjie_Pan\05-Raw_Data\Lab_results\[LabSamples2025_Bioplastic_extra.xlsx]extra_Bioplastic'!H818)</f>
        <v/>
      </c>
    </row>
    <row r="819">
      <c r="A819">
        <f>IF(ISBLANK('Q:\Abteilungsprojekte\Eng\EngData\PROJECT_Bioplastics\Renjie_Pan\05-Raw_Data\Lab_results\[LabSamples2025_Bioplastic_extra.xlsx]extra_Bioplastic'!A819)," ",'Q:\Abteilungsprojekte\Eng\EngData\PROJECT_Bioplastics\Renjie_Pan\05-Raw_Data\Lab_results\[LabSamples2025_Bioplastic_extra.xlsx]extra_Bioplastic'!A819)</f>
        <v/>
      </c>
      <c r="B819">
        <f>IF(ISBLANK('Q:\Abteilungsprojekte\Eng\EngData\PROJECT_Bioplastics\Renjie_Pan\05-Raw_Data\Lab_results\[LabSamples2025_Bioplastic_extra.xlsx]extra_Bioplastic'!B819)," ",'Q:\Abteilungsprojekte\Eng\EngData\PROJECT_Bioplastics\Renjie_Pan\05-Raw_Data\Lab_results\[LabSamples2025_Bioplastic_extra.xlsx]extra_Bioplastic'!B819)</f>
        <v/>
      </c>
      <c r="C819">
        <f>IF(ISBLANK('Q:\Abteilungsprojekte\Eng\EngData\PROJECT_Bioplastics\Renjie_Pan\05-Raw_Data\Lab_results\[LabSamples2025_Bioplastic_extra.xlsx]extra_Bioplastic'!C819)," ",'Q:\Abteilungsprojekte\Eng\EngData\PROJECT_Bioplastics\Renjie_Pan\05-Raw_Data\Lab_results\[LabSamples2025_Bioplastic_extra.xlsx]extra_Bioplastic'!C819)</f>
        <v/>
      </c>
      <c r="D819">
        <f>IF(ISBLANK('Q:\Abteilungsprojekte\Eng\EngData\PROJECT_Bioplastics\Renjie_Pan\05-Raw_Data\Lab_results\[LabSamples2025_Bioplastic_extra.xlsx]extra_Bioplastic'!D819)," ",'Q:\Abteilungsprojekte\Eng\EngData\PROJECT_Bioplastics\Renjie_Pan\05-Raw_Data\Lab_results\[LabSamples2025_Bioplastic_extra.xlsx]extra_Bioplastic'!D819)</f>
        <v/>
      </c>
      <c r="E819">
        <f>IF(ISBLANK('Q:\Abteilungsprojekte\Eng\EngData\PROJECT_Bioplastics\Renjie_Pan\05-Raw_Data\Lab_results\[LabSamples2025_Bioplastic_extra.xlsx]extra_Bioplastic'!E819)," ",'Q:\Abteilungsprojekte\Eng\EngData\PROJECT_Bioplastics\Renjie_Pan\05-Raw_Data\Lab_results\[LabSamples2025_Bioplastic_extra.xlsx]extra_Bioplastic'!E819)</f>
        <v/>
      </c>
      <c r="F819">
        <f>IF(ISBLANK('Q:\Abteilungsprojekte\Eng\EngData\PROJECT_Bioplastics\Renjie_Pan\05-Raw_Data\Lab_results\[LabSamples2025_Bioplastic_extra.xlsx]extra_Bioplastic'!F819)," ",'Q:\Abteilungsprojekte\Eng\EngData\PROJECT_Bioplastics\Renjie_Pan\05-Raw_Data\Lab_results\[LabSamples2025_Bioplastic_extra.xlsx]extra_Bioplastic'!F819)</f>
        <v/>
      </c>
      <c r="G819">
        <f>IF(ISBLANK('Q:\Abteilungsprojekte\Eng\EngData\PROJECT_Bioplastics\Renjie_Pan\05-Raw_Data\Lab_results\[LabSamples2025_Bioplastic_extra.xlsx]extra_Bioplastic'!G819)," ",'Q:\Abteilungsprojekte\Eng\EngData\PROJECT_Bioplastics\Renjie_Pan\05-Raw_Data\Lab_results\[LabSamples2025_Bioplastic_extra.xlsx]extra_Bioplastic'!G819)</f>
        <v/>
      </c>
      <c r="H819">
        <f>IF(ISBLANK('Q:\Abteilungsprojekte\Eng\EngData\PROJECT_Bioplastics\Renjie_Pan\05-Raw_Data\Lab_results\[LabSamples2025_Bioplastic_extra.xlsx]extra_Bioplastic'!H819)," ",'Q:\Abteilungsprojekte\Eng\EngData\PROJECT_Bioplastics\Renjie_Pan\05-Raw_Data\Lab_results\[LabSamples2025_Bioplastic_extra.xlsx]extra_Bioplastic'!H819)</f>
        <v/>
      </c>
    </row>
    <row r="820">
      <c r="A820">
        <f>IF(ISBLANK('Q:\Abteilungsprojekte\Eng\EngData\PROJECT_Bioplastics\Renjie_Pan\05-Raw_Data\Lab_results\[LabSamples2025_Bioplastic_extra.xlsx]extra_Bioplastic'!A820)," ",'Q:\Abteilungsprojekte\Eng\EngData\PROJECT_Bioplastics\Renjie_Pan\05-Raw_Data\Lab_results\[LabSamples2025_Bioplastic_extra.xlsx]extra_Bioplastic'!A820)</f>
        <v/>
      </c>
      <c r="B820">
        <f>IF(ISBLANK('Q:\Abteilungsprojekte\Eng\EngData\PROJECT_Bioplastics\Renjie_Pan\05-Raw_Data\Lab_results\[LabSamples2025_Bioplastic_extra.xlsx]extra_Bioplastic'!B820)," ",'Q:\Abteilungsprojekte\Eng\EngData\PROJECT_Bioplastics\Renjie_Pan\05-Raw_Data\Lab_results\[LabSamples2025_Bioplastic_extra.xlsx]extra_Bioplastic'!B820)</f>
        <v/>
      </c>
      <c r="C820">
        <f>IF(ISBLANK('Q:\Abteilungsprojekte\Eng\EngData\PROJECT_Bioplastics\Renjie_Pan\05-Raw_Data\Lab_results\[LabSamples2025_Bioplastic_extra.xlsx]extra_Bioplastic'!C820)," ",'Q:\Abteilungsprojekte\Eng\EngData\PROJECT_Bioplastics\Renjie_Pan\05-Raw_Data\Lab_results\[LabSamples2025_Bioplastic_extra.xlsx]extra_Bioplastic'!C820)</f>
        <v/>
      </c>
      <c r="D820">
        <f>IF(ISBLANK('Q:\Abteilungsprojekte\Eng\EngData\PROJECT_Bioplastics\Renjie_Pan\05-Raw_Data\Lab_results\[LabSamples2025_Bioplastic_extra.xlsx]extra_Bioplastic'!D820)," ",'Q:\Abteilungsprojekte\Eng\EngData\PROJECT_Bioplastics\Renjie_Pan\05-Raw_Data\Lab_results\[LabSamples2025_Bioplastic_extra.xlsx]extra_Bioplastic'!D820)</f>
        <v/>
      </c>
      <c r="E820">
        <f>IF(ISBLANK('Q:\Abteilungsprojekte\Eng\EngData\PROJECT_Bioplastics\Renjie_Pan\05-Raw_Data\Lab_results\[LabSamples2025_Bioplastic_extra.xlsx]extra_Bioplastic'!E820)," ",'Q:\Abteilungsprojekte\Eng\EngData\PROJECT_Bioplastics\Renjie_Pan\05-Raw_Data\Lab_results\[LabSamples2025_Bioplastic_extra.xlsx]extra_Bioplastic'!E820)</f>
        <v/>
      </c>
      <c r="F820">
        <f>IF(ISBLANK('Q:\Abteilungsprojekte\Eng\EngData\PROJECT_Bioplastics\Renjie_Pan\05-Raw_Data\Lab_results\[LabSamples2025_Bioplastic_extra.xlsx]extra_Bioplastic'!F820)," ",'Q:\Abteilungsprojekte\Eng\EngData\PROJECT_Bioplastics\Renjie_Pan\05-Raw_Data\Lab_results\[LabSamples2025_Bioplastic_extra.xlsx]extra_Bioplastic'!F820)</f>
        <v/>
      </c>
      <c r="G820">
        <f>IF(ISBLANK('Q:\Abteilungsprojekte\Eng\EngData\PROJECT_Bioplastics\Renjie_Pan\05-Raw_Data\Lab_results\[LabSamples2025_Bioplastic_extra.xlsx]extra_Bioplastic'!G820)," ",'Q:\Abteilungsprojekte\Eng\EngData\PROJECT_Bioplastics\Renjie_Pan\05-Raw_Data\Lab_results\[LabSamples2025_Bioplastic_extra.xlsx]extra_Bioplastic'!G820)</f>
        <v/>
      </c>
      <c r="H820">
        <f>IF(ISBLANK('Q:\Abteilungsprojekte\Eng\EngData\PROJECT_Bioplastics\Renjie_Pan\05-Raw_Data\Lab_results\[LabSamples2025_Bioplastic_extra.xlsx]extra_Bioplastic'!H820)," ",'Q:\Abteilungsprojekte\Eng\EngData\PROJECT_Bioplastics\Renjie_Pan\05-Raw_Data\Lab_results\[LabSamples2025_Bioplastic_extra.xlsx]extra_Bioplastic'!H820)</f>
        <v/>
      </c>
    </row>
    <row r="821">
      <c r="A821">
        <f>IF(ISBLANK('Q:\Abteilungsprojekte\Eng\EngData\PROJECT_Bioplastics\Renjie_Pan\05-Raw_Data\Lab_results\[LabSamples2025_Bioplastic_extra.xlsx]extra_Bioplastic'!A821)," ",'Q:\Abteilungsprojekte\Eng\EngData\PROJECT_Bioplastics\Renjie_Pan\05-Raw_Data\Lab_results\[LabSamples2025_Bioplastic_extra.xlsx]extra_Bioplastic'!A821)</f>
        <v/>
      </c>
      <c r="B821">
        <f>IF(ISBLANK('Q:\Abteilungsprojekte\Eng\EngData\PROJECT_Bioplastics\Renjie_Pan\05-Raw_Data\Lab_results\[LabSamples2025_Bioplastic_extra.xlsx]extra_Bioplastic'!B821)," ",'Q:\Abteilungsprojekte\Eng\EngData\PROJECT_Bioplastics\Renjie_Pan\05-Raw_Data\Lab_results\[LabSamples2025_Bioplastic_extra.xlsx]extra_Bioplastic'!B821)</f>
        <v/>
      </c>
      <c r="C821">
        <f>IF(ISBLANK('Q:\Abteilungsprojekte\Eng\EngData\PROJECT_Bioplastics\Renjie_Pan\05-Raw_Data\Lab_results\[LabSamples2025_Bioplastic_extra.xlsx]extra_Bioplastic'!C821)," ",'Q:\Abteilungsprojekte\Eng\EngData\PROJECT_Bioplastics\Renjie_Pan\05-Raw_Data\Lab_results\[LabSamples2025_Bioplastic_extra.xlsx]extra_Bioplastic'!C821)</f>
        <v/>
      </c>
      <c r="D821">
        <f>IF(ISBLANK('Q:\Abteilungsprojekte\Eng\EngData\PROJECT_Bioplastics\Renjie_Pan\05-Raw_Data\Lab_results\[LabSamples2025_Bioplastic_extra.xlsx]extra_Bioplastic'!D821)," ",'Q:\Abteilungsprojekte\Eng\EngData\PROJECT_Bioplastics\Renjie_Pan\05-Raw_Data\Lab_results\[LabSamples2025_Bioplastic_extra.xlsx]extra_Bioplastic'!D821)</f>
        <v/>
      </c>
      <c r="E821">
        <f>IF(ISBLANK('Q:\Abteilungsprojekte\Eng\EngData\PROJECT_Bioplastics\Renjie_Pan\05-Raw_Data\Lab_results\[LabSamples2025_Bioplastic_extra.xlsx]extra_Bioplastic'!E821)," ",'Q:\Abteilungsprojekte\Eng\EngData\PROJECT_Bioplastics\Renjie_Pan\05-Raw_Data\Lab_results\[LabSamples2025_Bioplastic_extra.xlsx]extra_Bioplastic'!E821)</f>
        <v/>
      </c>
      <c r="F821">
        <f>IF(ISBLANK('Q:\Abteilungsprojekte\Eng\EngData\PROJECT_Bioplastics\Renjie_Pan\05-Raw_Data\Lab_results\[LabSamples2025_Bioplastic_extra.xlsx]extra_Bioplastic'!F821)," ",'Q:\Abteilungsprojekte\Eng\EngData\PROJECT_Bioplastics\Renjie_Pan\05-Raw_Data\Lab_results\[LabSamples2025_Bioplastic_extra.xlsx]extra_Bioplastic'!F821)</f>
        <v/>
      </c>
      <c r="G821">
        <f>IF(ISBLANK('Q:\Abteilungsprojekte\Eng\EngData\PROJECT_Bioplastics\Renjie_Pan\05-Raw_Data\Lab_results\[LabSamples2025_Bioplastic_extra.xlsx]extra_Bioplastic'!G821)," ",'Q:\Abteilungsprojekte\Eng\EngData\PROJECT_Bioplastics\Renjie_Pan\05-Raw_Data\Lab_results\[LabSamples2025_Bioplastic_extra.xlsx]extra_Bioplastic'!G821)</f>
        <v/>
      </c>
      <c r="H821">
        <f>IF(ISBLANK('Q:\Abteilungsprojekte\Eng\EngData\PROJECT_Bioplastics\Renjie_Pan\05-Raw_Data\Lab_results\[LabSamples2025_Bioplastic_extra.xlsx]extra_Bioplastic'!H821)," ",'Q:\Abteilungsprojekte\Eng\EngData\PROJECT_Bioplastics\Renjie_Pan\05-Raw_Data\Lab_results\[LabSamples2025_Bioplastic_extra.xlsx]extra_Bioplastic'!H821)</f>
        <v/>
      </c>
    </row>
    <row r="822">
      <c r="A822">
        <f>IF(ISBLANK('Q:\Abteilungsprojekte\Eng\EngData\PROJECT_Bioplastics\Renjie_Pan\05-Raw_Data\Lab_results\[LabSamples2025_Bioplastic_extra.xlsx]extra_Bioplastic'!A822)," ",'Q:\Abteilungsprojekte\Eng\EngData\PROJECT_Bioplastics\Renjie_Pan\05-Raw_Data\Lab_results\[LabSamples2025_Bioplastic_extra.xlsx]extra_Bioplastic'!A822)</f>
        <v/>
      </c>
      <c r="B822">
        <f>IF(ISBLANK('Q:\Abteilungsprojekte\Eng\EngData\PROJECT_Bioplastics\Renjie_Pan\05-Raw_Data\Lab_results\[LabSamples2025_Bioplastic_extra.xlsx]extra_Bioplastic'!B822)," ",'Q:\Abteilungsprojekte\Eng\EngData\PROJECT_Bioplastics\Renjie_Pan\05-Raw_Data\Lab_results\[LabSamples2025_Bioplastic_extra.xlsx]extra_Bioplastic'!B822)</f>
        <v/>
      </c>
      <c r="C822">
        <f>IF(ISBLANK('Q:\Abteilungsprojekte\Eng\EngData\PROJECT_Bioplastics\Renjie_Pan\05-Raw_Data\Lab_results\[LabSamples2025_Bioplastic_extra.xlsx]extra_Bioplastic'!C822)," ",'Q:\Abteilungsprojekte\Eng\EngData\PROJECT_Bioplastics\Renjie_Pan\05-Raw_Data\Lab_results\[LabSamples2025_Bioplastic_extra.xlsx]extra_Bioplastic'!C822)</f>
        <v/>
      </c>
      <c r="D822">
        <f>IF(ISBLANK('Q:\Abteilungsprojekte\Eng\EngData\PROJECT_Bioplastics\Renjie_Pan\05-Raw_Data\Lab_results\[LabSamples2025_Bioplastic_extra.xlsx]extra_Bioplastic'!D822)," ",'Q:\Abteilungsprojekte\Eng\EngData\PROJECT_Bioplastics\Renjie_Pan\05-Raw_Data\Lab_results\[LabSamples2025_Bioplastic_extra.xlsx]extra_Bioplastic'!D822)</f>
        <v/>
      </c>
      <c r="E822">
        <f>IF(ISBLANK('Q:\Abteilungsprojekte\Eng\EngData\PROJECT_Bioplastics\Renjie_Pan\05-Raw_Data\Lab_results\[LabSamples2025_Bioplastic_extra.xlsx]extra_Bioplastic'!E822)," ",'Q:\Abteilungsprojekte\Eng\EngData\PROJECT_Bioplastics\Renjie_Pan\05-Raw_Data\Lab_results\[LabSamples2025_Bioplastic_extra.xlsx]extra_Bioplastic'!E822)</f>
        <v/>
      </c>
      <c r="F822">
        <f>IF(ISBLANK('Q:\Abteilungsprojekte\Eng\EngData\PROJECT_Bioplastics\Renjie_Pan\05-Raw_Data\Lab_results\[LabSamples2025_Bioplastic_extra.xlsx]extra_Bioplastic'!F822)," ",'Q:\Abteilungsprojekte\Eng\EngData\PROJECT_Bioplastics\Renjie_Pan\05-Raw_Data\Lab_results\[LabSamples2025_Bioplastic_extra.xlsx]extra_Bioplastic'!F822)</f>
        <v/>
      </c>
      <c r="G822">
        <f>IF(ISBLANK('Q:\Abteilungsprojekte\Eng\EngData\PROJECT_Bioplastics\Renjie_Pan\05-Raw_Data\Lab_results\[LabSamples2025_Bioplastic_extra.xlsx]extra_Bioplastic'!G822)," ",'Q:\Abteilungsprojekte\Eng\EngData\PROJECT_Bioplastics\Renjie_Pan\05-Raw_Data\Lab_results\[LabSamples2025_Bioplastic_extra.xlsx]extra_Bioplastic'!G822)</f>
        <v/>
      </c>
      <c r="H822">
        <f>IF(ISBLANK('Q:\Abteilungsprojekte\Eng\EngData\PROJECT_Bioplastics\Renjie_Pan\05-Raw_Data\Lab_results\[LabSamples2025_Bioplastic_extra.xlsx]extra_Bioplastic'!H822)," ",'Q:\Abteilungsprojekte\Eng\EngData\PROJECT_Bioplastics\Renjie_Pan\05-Raw_Data\Lab_results\[LabSamples2025_Bioplastic_extra.xlsx]extra_Bioplastic'!H822)</f>
        <v/>
      </c>
    </row>
    <row r="823">
      <c r="A823">
        <f>IF(ISBLANK('Q:\Abteilungsprojekte\Eng\EngData\PROJECT_Bioplastics\Renjie_Pan\05-Raw_Data\Lab_results\[LabSamples2025_Bioplastic_extra.xlsx]extra_Bioplastic'!A823)," ",'Q:\Abteilungsprojekte\Eng\EngData\PROJECT_Bioplastics\Renjie_Pan\05-Raw_Data\Lab_results\[LabSamples2025_Bioplastic_extra.xlsx]extra_Bioplastic'!A823)</f>
        <v/>
      </c>
      <c r="B823">
        <f>IF(ISBLANK('Q:\Abteilungsprojekte\Eng\EngData\PROJECT_Bioplastics\Renjie_Pan\05-Raw_Data\Lab_results\[LabSamples2025_Bioplastic_extra.xlsx]extra_Bioplastic'!B823)," ",'Q:\Abteilungsprojekte\Eng\EngData\PROJECT_Bioplastics\Renjie_Pan\05-Raw_Data\Lab_results\[LabSamples2025_Bioplastic_extra.xlsx]extra_Bioplastic'!B823)</f>
        <v/>
      </c>
      <c r="C823">
        <f>IF(ISBLANK('Q:\Abteilungsprojekte\Eng\EngData\PROJECT_Bioplastics\Renjie_Pan\05-Raw_Data\Lab_results\[LabSamples2025_Bioplastic_extra.xlsx]extra_Bioplastic'!C823)," ",'Q:\Abteilungsprojekte\Eng\EngData\PROJECT_Bioplastics\Renjie_Pan\05-Raw_Data\Lab_results\[LabSamples2025_Bioplastic_extra.xlsx]extra_Bioplastic'!C823)</f>
        <v/>
      </c>
      <c r="D823">
        <f>IF(ISBLANK('Q:\Abteilungsprojekte\Eng\EngData\PROJECT_Bioplastics\Renjie_Pan\05-Raw_Data\Lab_results\[LabSamples2025_Bioplastic_extra.xlsx]extra_Bioplastic'!D823)," ",'Q:\Abteilungsprojekte\Eng\EngData\PROJECT_Bioplastics\Renjie_Pan\05-Raw_Data\Lab_results\[LabSamples2025_Bioplastic_extra.xlsx]extra_Bioplastic'!D823)</f>
        <v/>
      </c>
      <c r="E823">
        <f>IF(ISBLANK('Q:\Abteilungsprojekte\Eng\EngData\PROJECT_Bioplastics\Renjie_Pan\05-Raw_Data\Lab_results\[LabSamples2025_Bioplastic_extra.xlsx]extra_Bioplastic'!E823)," ",'Q:\Abteilungsprojekte\Eng\EngData\PROJECT_Bioplastics\Renjie_Pan\05-Raw_Data\Lab_results\[LabSamples2025_Bioplastic_extra.xlsx]extra_Bioplastic'!E823)</f>
        <v/>
      </c>
      <c r="F823">
        <f>IF(ISBLANK('Q:\Abteilungsprojekte\Eng\EngData\PROJECT_Bioplastics\Renjie_Pan\05-Raw_Data\Lab_results\[LabSamples2025_Bioplastic_extra.xlsx]extra_Bioplastic'!F823)," ",'Q:\Abteilungsprojekte\Eng\EngData\PROJECT_Bioplastics\Renjie_Pan\05-Raw_Data\Lab_results\[LabSamples2025_Bioplastic_extra.xlsx]extra_Bioplastic'!F823)</f>
        <v/>
      </c>
      <c r="G823">
        <f>IF(ISBLANK('Q:\Abteilungsprojekte\Eng\EngData\PROJECT_Bioplastics\Renjie_Pan\05-Raw_Data\Lab_results\[LabSamples2025_Bioplastic_extra.xlsx]extra_Bioplastic'!G823)," ",'Q:\Abteilungsprojekte\Eng\EngData\PROJECT_Bioplastics\Renjie_Pan\05-Raw_Data\Lab_results\[LabSamples2025_Bioplastic_extra.xlsx]extra_Bioplastic'!G823)</f>
        <v/>
      </c>
      <c r="H823">
        <f>IF(ISBLANK('Q:\Abteilungsprojekte\Eng\EngData\PROJECT_Bioplastics\Renjie_Pan\05-Raw_Data\Lab_results\[LabSamples2025_Bioplastic_extra.xlsx]extra_Bioplastic'!H823)," ",'Q:\Abteilungsprojekte\Eng\EngData\PROJECT_Bioplastics\Renjie_Pan\05-Raw_Data\Lab_results\[LabSamples2025_Bioplastic_extra.xlsx]extra_Bioplastic'!H823)</f>
        <v/>
      </c>
    </row>
    <row r="824">
      <c r="A824">
        <f>IF(ISBLANK('Q:\Abteilungsprojekte\Eng\EngData\PROJECT_Bioplastics\Renjie_Pan\05-Raw_Data\Lab_results\[LabSamples2025_Bioplastic_extra.xlsx]extra_Bioplastic'!A824)," ",'Q:\Abteilungsprojekte\Eng\EngData\PROJECT_Bioplastics\Renjie_Pan\05-Raw_Data\Lab_results\[LabSamples2025_Bioplastic_extra.xlsx]extra_Bioplastic'!A824)</f>
        <v/>
      </c>
      <c r="B824">
        <f>IF(ISBLANK('Q:\Abteilungsprojekte\Eng\EngData\PROJECT_Bioplastics\Renjie_Pan\05-Raw_Data\Lab_results\[LabSamples2025_Bioplastic_extra.xlsx]extra_Bioplastic'!B824)," ",'Q:\Abteilungsprojekte\Eng\EngData\PROJECT_Bioplastics\Renjie_Pan\05-Raw_Data\Lab_results\[LabSamples2025_Bioplastic_extra.xlsx]extra_Bioplastic'!B824)</f>
        <v/>
      </c>
      <c r="C824">
        <f>IF(ISBLANK('Q:\Abteilungsprojekte\Eng\EngData\PROJECT_Bioplastics\Renjie_Pan\05-Raw_Data\Lab_results\[LabSamples2025_Bioplastic_extra.xlsx]extra_Bioplastic'!C824)," ",'Q:\Abteilungsprojekte\Eng\EngData\PROJECT_Bioplastics\Renjie_Pan\05-Raw_Data\Lab_results\[LabSamples2025_Bioplastic_extra.xlsx]extra_Bioplastic'!C824)</f>
        <v/>
      </c>
      <c r="D824">
        <f>IF(ISBLANK('Q:\Abteilungsprojekte\Eng\EngData\PROJECT_Bioplastics\Renjie_Pan\05-Raw_Data\Lab_results\[LabSamples2025_Bioplastic_extra.xlsx]extra_Bioplastic'!D824)," ",'Q:\Abteilungsprojekte\Eng\EngData\PROJECT_Bioplastics\Renjie_Pan\05-Raw_Data\Lab_results\[LabSamples2025_Bioplastic_extra.xlsx]extra_Bioplastic'!D824)</f>
        <v/>
      </c>
      <c r="E824">
        <f>IF(ISBLANK('Q:\Abteilungsprojekte\Eng\EngData\PROJECT_Bioplastics\Renjie_Pan\05-Raw_Data\Lab_results\[LabSamples2025_Bioplastic_extra.xlsx]extra_Bioplastic'!E824)," ",'Q:\Abteilungsprojekte\Eng\EngData\PROJECT_Bioplastics\Renjie_Pan\05-Raw_Data\Lab_results\[LabSamples2025_Bioplastic_extra.xlsx]extra_Bioplastic'!E824)</f>
        <v/>
      </c>
      <c r="F824">
        <f>IF(ISBLANK('Q:\Abteilungsprojekte\Eng\EngData\PROJECT_Bioplastics\Renjie_Pan\05-Raw_Data\Lab_results\[LabSamples2025_Bioplastic_extra.xlsx]extra_Bioplastic'!F824)," ",'Q:\Abteilungsprojekte\Eng\EngData\PROJECT_Bioplastics\Renjie_Pan\05-Raw_Data\Lab_results\[LabSamples2025_Bioplastic_extra.xlsx]extra_Bioplastic'!F824)</f>
        <v/>
      </c>
      <c r="G824">
        <f>IF(ISBLANK('Q:\Abteilungsprojekte\Eng\EngData\PROJECT_Bioplastics\Renjie_Pan\05-Raw_Data\Lab_results\[LabSamples2025_Bioplastic_extra.xlsx]extra_Bioplastic'!G824)," ",'Q:\Abteilungsprojekte\Eng\EngData\PROJECT_Bioplastics\Renjie_Pan\05-Raw_Data\Lab_results\[LabSamples2025_Bioplastic_extra.xlsx]extra_Bioplastic'!G824)</f>
        <v/>
      </c>
      <c r="H824">
        <f>IF(ISBLANK('Q:\Abteilungsprojekte\Eng\EngData\PROJECT_Bioplastics\Renjie_Pan\05-Raw_Data\Lab_results\[LabSamples2025_Bioplastic_extra.xlsx]extra_Bioplastic'!H824)," ",'Q:\Abteilungsprojekte\Eng\EngData\PROJECT_Bioplastics\Renjie_Pan\05-Raw_Data\Lab_results\[LabSamples2025_Bioplastic_extra.xlsx]extra_Bioplastic'!H824)</f>
        <v/>
      </c>
    </row>
    <row r="825">
      <c r="A825">
        <f>IF(ISBLANK('Q:\Abteilungsprojekte\Eng\EngData\PROJECT_Bioplastics\Renjie_Pan\05-Raw_Data\Lab_results\[LabSamples2025_Bioplastic_extra.xlsx]extra_Bioplastic'!A825)," ",'Q:\Abteilungsprojekte\Eng\EngData\PROJECT_Bioplastics\Renjie_Pan\05-Raw_Data\Lab_results\[LabSamples2025_Bioplastic_extra.xlsx]extra_Bioplastic'!A825)</f>
        <v/>
      </c>
      <c r="B825">
        <f>IF(ISBLANK('Q:\Abteilungsprojekte\Eng\EngData\PROJECT_Bioplastics\Renjie_Pan\05-Raw_Data\Lab_results\[LabSamples2025_Bioplastic_extra.xlsx]extra_Bioplastic'!B825)," ",'Q:\Abteilungsprojekte\Eng\EngData\PROJECT_Bioplastics\Renjie_Pan\05-Raw_Data\Lab_results\[LabSamples2025_Bioplastic_extra.xlsx]extra_Bioplastic'!B825)</f>
        <v/>
      </c>
      <c r="C825">
        <f>IF(ISBLANK('Q:\Abteilungsprojekte\Eng\EngData\PROJECT_Bioplastics\Renjie_Pan\05-Raw_Data\Lab_results\[LabSamples2025_Bioplastic_extra.xlsx]extra_Bioplastic'!C825)," ",'Q:\Abteilungsprojekte\Eng\EngData\PROJECT_Bioplastics\Renjie_Pan\05-Raw_Data\Lab_results\[LabSamples2025_Bioplastic_extra.xlsx]extra_Bioplastic'!C825)</f>
        <v/>
      </c>
      <c r="D825">
        <f>IF(ISBLANK('Q:\Abteilungsprojekte\Eng\EngData\PROJECT_Bioplastics\Renjie_Pan\05-Raw_Data\Lab_results\[LabSamples2025_Bioplastic_extra.xlsx]extra_Bioplastic'!D825)," ",'Q:\Abteilungsprojekte\Eng\EngData\PROJECT_Bioplastics\Renjie_Pan\05-Raw_Data\Lab_results\[LabSamples2025_Bioplastic_extra.xlsx]extra_Bioplastic'!D825)</f>
        <v/>
      </c>
      <c r="E825">
        <f>IF(ISBLANK('Q:\Abteilungsprojekte\Eng\EngData\PROJECT_Bioplastics\Renjie_Pan\05-Raw_Data\Lab_results\[LabSamples2025_Bioplastic_extra.xlsx]extra_Bioplastic'!E825)," ",'Q:\Abteilungsprojekte\Eng\EngData\PROJECT_Bioplastics\Renjie_Pan\05-Raw_Data\Lab_results\[LabSamples2025_Bioplastic_extra.xlsx]extra_Bioplastic'!E825)</f>
        <v/>
      </c>
      <c r="F825">
        <f>IF(ISBLANK('Q:\Abteilungsprojekte\Eng\EngData\PROJECT_Bioplastics\Renjie_Pan\05-Raw_Data\Lab_results\[LabSamples2025_Bioplastic_extra.xlsx]extra_Bioplastic'!F825)," ",'Q:\Abteilungsprojekte\Eng\EngData\PROJECT_Bioplastics\Renjie_Pan\05-Raw_Data\Lab_results\[LabSamples2025_Bioplastic_extra.xlsx]extra_Bioplastic'!F825)</f>
        <v/>
      </c>
      <c r="G825">
        <f>IF(ISBLANK('Q:\Abteilungsprojekte\Eng\EngData\PROJECT_Bioplastics\Renjie_Pan\05-Raw_Data\Lab_results\[LabSamples2025_Bioplastic_extra.xlsx]extra_Bioplastic'!G825)," ",'Q:\Abteilungsprojekte\Eng\EngData\PROJECT_Bioplastics\Renjie_Pan\05-Raw_Data\Lab_results\[LabSamples2025_Bioplastic_extra.xlsx]extra_Bioplastic'!G825)</f>
        <v/>
      </c>
      <c r="H825">
        <f>IF(ISBLANK('Q:\Abteilungsprojekte\Eng\EngData\PROJECT_Bioplastics\Renjie_Pan\05-Raw_Data\Lab_results\[LabSamples2025_Bioplastic_extra.xlsx]extra_Bioplastic'!H825)," ",'Q:\Abteilungsprojekte\Eng\EngData\PROJECT_Bioplastics\Renjie_Pan\05-Raw_Data\Lab_results\[LabSamples2025_Bioplastic_extra.xlsx]extra_Bioplastic'!H825)</f>
        <v/>
      </c>
    </row>
    <row r="826">
      <c r="A826">
        <f>IF(ISBLANK('Q:\Abteilungsprojekte\Eng\EngData\PROJECT_Bioplastics\Renjie_Pan\05-Raw_Data\Lab_results\[LabSamples2025_Bioplastic_extra.xlsx]extra_Bioplastic'!A826)," ",'Q:\Abteilungsprojekte\Eng\EngData\PROJECT_Bioplastics\Renjie_Pan\05-Raw_Data\Lab_results\[LabSamples2025_Bioplastic_extra.xlsx]extra_Bioplastic'!A826)</f>
        <v/>
      </c>
      <c r="B826">
        <f>IF(ISBLANK('Q:\Abteilungsprojekte\Eng\EngData\PROJECT_Bioplastics\Renjie_Pan\05-Raw_Data\Lab_results\[LabSamples2025_Bioplastic_extra.xlsx]extra_Bioplastic'!B826)," ",'Q:\Abteilungsprojekte\Eng\EngData\PROJECT_Bioplastics\Renjie_Pan\05-Raw_Data\Lab_results\[LabSamples2025_Bioplastic_extra.xlsx]extra_Bioplastic'!B826)</f>
        <v/>
      </c>
      <c r="C826">
        <f>IF(ISBLANK('Q:\Abteilungsprojekte\Eng\EngData\PROJECT_Bioplastics\Renjie_Pan\05-Raw_Data\Lab_results\[LabSamples2025_Bioplastic_extra.xlsx]extra_Bioplastic'!C826)," ",'Q:\Abteilungsprojekte\Eng\EngData\PROJECT_Bioplastics\Renjie_Pan\05-Raw_Data\Lab_results\[LabSamples2025_Bioplastic_extra.xlsx]extra_Bioplastic'!C826)</f>
        <v/>
      </c>
      <c r="D826">
        <f>IF(ISBLANK('Q:\Abteilungsprojekte\Eng\EngData\PROJECT_Bioplastics\Renjie_Pan\05-Raw_Data\Lab_results\[LabSamples2025_Bioplastic_extra.xlsx]extra_Bioplastic'!D826)," ",'Q:\Abteilungsprojekte\Eng\EngData\PROJECT_Bioplastics\Renjie_Pan\05-Raw_Data\Lab_results\[LabSamples2025_Bioplastic_extra.xlsx]extra_Bioplastic'!D826)</f>
        <v/>
      </c>
      <c r="E826">
        <f>IF(ISBLANK('Q:\Abteilungsprojekte\Eng\EngData\PROJECT_Bioplastics\Renjie_Pan\05-Raw_Data\Lab_results\[LabSamples2025_Bioplastic_extra.xlsx]extra_Bioplastic'!E826)," ",'Q:\Abteilungsprojekte\Eng\EngData\PROJECT_Bioplastics\Renjie_Pan\05-Raw_Data\Lab_results\[LabSamples2025_Bioplastic_extra.xlsx]extra_Bioplastic'!E826)</f>
        <v/>
      </c>
      <c r="F826">
        <f>IF(ISBLANK('Q:\Abteilungsprojekte\Eng\EngData\PROJECT_Bioplastics\Renjie_Pan\05-Raw_Data\Lab_results\[LabSamples2025_Bioplastic_extra.xlsx]extra_Bioplastic'!F826)," ",'Q:\Abteilungsprojekte\Eng\EngData\PROJECT_Bioplastics\Renjie_Pan\05-Raw_Data\Lab_results\[LabSamples2025_Bioplastic_extra.xlsx]extra_Bioplastic'!F826)</f>
        <v/>
      </c>
      <c r="G826">
        <f>IF(ISBLANK('Q:\Abteilungsprojekte\Eng\EngData\PROJECT_Bioplastics\Renjie_Pan\05-Raw_Data\Lab_results\[LabSamples2025_Bioplastic_extra.xlsx]extra_Bioplastic'!G826)," ",'Q:\Abteilungsprojekte\Eng\EngData\PROJECT_Bioplastics\Renjie_Pan\05-Raw_Data\Lab_results\[LabSamples2025_Bioplastic_extra.xlsx]extra_Bioplastic'!G826)</f>
        <v/>
      </c>
      <c r="H826">
        <f>IF(ISBLANK('Q:\Abteilungsprojekte\Eng\EngData\PROJECT_Bioplastics\Renjie_Pan\05-Raw_Data\Lab_results\[LabSamples2025_Bioplastic_extra.xlsx]extra_Bioplastic'!H826)," ",'Q:\Abteilungsprojekte\Eng\EngData\PROJECT_Bioplastics\Renjie_Pan\05-Raw_Data\Lab_results\[LabSamples2025_Bioplastic_extra.xlsx]extra_Bioplastic'!H826)</f>
        <v/>
      </c>
    </row>
    <row r="827">
      <c r="A827">
        <f>IF(ISBLANK('Q:\Abteilungsprojekte\Eng\EngData\PROJECT_Bioplastics\Renjie_Pan\05-Raw_Data\Lab_results\[LabSamples2025_Bioplastic_extra.xlsx]extra_Bioplastic'!A827)," ",'Q:\Abteilungsprojekte\Eng\EngData\PROJECT_Bioplastics\Renjie_Pan\05-Raw_Data\Lab_results\[LabSamples2025_Bioplastic_extra.xlsx]extra_Bioplastic'!A827)</f>
        <v/>
      </c>
      <c r="B827">
        <f>IF(ISBLANK('Q:\Abteilungsprojekte\Eng\EngData\PROJECT_Bioplastics\Renjie_Pan\05-Raw_Data\Lab_results\[LabSamples2025_Bioplastic_extra.xlsx]extra_Bioplastic'!B827)," ",'Q:\Abteilungsprojekte\Eng\EngData\PROJECT_Bioplastics\Renjie_Pan\05-Raw_Data\Lab_results\[LabSamples2025_Bioplastic_extra.xlsx]extra_Bioplastic'!B827)</f>
        <v/>
      </c>
      <c r="C827">
        <f>IF(ISBLANK('Q:\Abteilungsprojekte\Eng\EngData\PROJECT_Bioplastics\Renjie_Pan\05-Raw_Data\Lab_results\[LabSamples2025_Bioplastic_extra.xlsx]extra_Bioplastic'!C827)," ",'Q:\Abteilungsprojekte\Eng\EngData\PROJECT_Bioplastics\Renjie_Pan\05-Raw_Data\Lab_results\[LabSamples2025_Bioplastic_extra.xlsx]extra_Bioplastic'!C827)</f>
        <v/>
      </c>
      <c r="D827">
        <f>IF(ISBLANK('Q:\Abteilungsprojekte\Eng\EngData\PROJECT_Bioplastics\Renjie_Pan\05-Raw_Data\Lab_results\[LabSamples2025_Bioplastic_extra.xlsx]extra_Bioplastic'!D827)," ",'Q:\Abteilungsprojekte\Eng\EngData\PROJECT_Bioplastics\Renjie_Pan\05-Raw_Data\Lab_results\[LabSamples2025_Bioplastic_extra.xlsx]extra_Bioplastic'!D827)</f>
        <v/>
      </c>
      <c r="E827">
        <f>IF(ISBLANK('Q:\Abteilungsprojekte\Eng\EngData\PROJECT_Bioplastics\Renjie_Pan\05-Raw_Data\Lab_results\[LabSamples2025_Bioplastic_extra.xlsx]extra_Bioplastic'!E827)," ",'Q:\Abteilungsprojekte\Eng\EngData\PROJECT_Bioplastics\Renjie_Pan\05-Raw_Data\Lab_results\[LabSamples2025_Bioplastic_extra.xlsx]extra_Bioplastic'!E827)</f>
        <v/>
      </c>
      <c r="F827">
        <f>IF(ISBLANK('Q:\Abteilungsprojekte\Eng\EngData\PROJECT_Bioplastics\Renjie_Pan\05-Raw_Data\Lab_results\[LabSamples2025_Bioplastic_extra.xlsx]extra_Bioplastic'!F827)," ",'Q:\Abteilungsprojekte\Eng\EngData\PROJECT_Bioplastics\Renjie_Pan\05-Raw_Data\Lab_results\[LabSamples2025_Bioplastic_extra.xlsx]extra_Bioplastic'!F827)</f>
        <v/>
      </c>
      <c r="G827">
        <f>IF(ISBLANK('Q:\Abteilungsprojekte\Eng\EngData\PROJECT_Bioplastics\Renjie_Pan\05-Raw_Data\Lab_results\[LabSamples2025_Bioplastic_extra.xlsx]extra_Bioplastic'!G827)," ",'Q:\Abteilungsprojekte\Eng\EngData\PROJECT_Bioplastics\Renjie_Pan\05-Raw_Data\Lab_results\[LabSamples2025_Bioplastic_extra.xlsx]extra_Bioplastic'!G827)</f>
        <v/>
      </c>
      <c r="H827">
        <f>IF(ISBLANK('Q:\Abteilungsprojekte\Eng\EngData\PROJECT_Bioplastics\Renjie_Pan\05-Raw_Data\Lab_results\[LabSamples2025_Bioplastic_extra.xlsx]extra_Bioplastic'!H827)," ",'Q:\Abteilungsprojekte\Eng\EngData\PROJECT_Bioplastics\Renjie_Pan\05-Raw_Data\Lab_results\[LabSamples2025_Bioplastic_extra.xlsx]extra_Bioplastic'!H827)</f>
        <v/>
      </c>
    </row>
    <row r="828">
      <c r="A828">
        <f>IF(ISBLANK('Q:\Abteilungsprojekte\Eng\EngData\PROJECT_Bioplastics\Renjie_Pan\05-Raw_Data\Lab_results\[LabSamples2025_Bioplastic_extra.xlsx]extra_Bioplastic'!A828)," ",'Q:\Abteilungsprojekte\Eng\EngData\PROJECT_Bioplastics\Renjie_Pan\05-Raw_Data\Lab_results\[LabSamples2025_Bioplastic_extra.xlsx]extra_Bioplastic'!A828)</f>
        <v/>
      </c>
      <c r="B828">
        <f>IF(ISBLANK('Q:\Abteilungsprojekte\Eng\EngData\PROJECT_Bioplastics\Renjie_Pan\05-Raw_Data\Lab_results\[LabSamples2025_Bioplastic_extra.xlsx]extra_Bioplastic'!B828)," ",'Q:\Abteilungsprojekte\Eng\EngData\PROJECT_Bioplastics\Renjie_Pan\05-Raw_Data\Lab_results\[LabSamples2025_Bioplastic_extra.xlsx]extra_Bioplastic'!B828)</f>
        <v/>
      </c>
      <c r="C828">
        <f>IF(ISBLANK('Q:\Abteilungsprojekte\Eng\EngData\PROJECT_Bioplastics\Renjie_Pan\05-Raw_Data\Lab_results\[LabSamples2025_Bioplastic_extra.xlsx]extra_Bioplastic'!C828)," ",'Q:\Abteilungsprojekte\Eng\EngData\PROJECT_Bioplastics\Renjie_Pan\05-Raw_Data\Lab_results\[LabSamples2025_Bioplastic_extra.xlsx]extra_Bioplastic'!C828)</f>
        <v/>
      </c>
      <c r="D828">
        <f>IF(ISBLANK('Q:\Abteilungsprojekte\Eng\EngData\PROJECT_Bioplastics\Renjie_Pan\05-Raw_Data\Lab_results\[LabSamples2025_Bioplastic_extra.xlsx]extra_Bioplastic'!D828)," ",'Q:\Abteilungsprojekte\Eng\EngData\PROJECT_Bioplastics\Renjie_Pan\05-Raw_Data\Lab_results\[LabSamples2025_Bioplastic_extra.xlsx]extra_Bioplastic'!D828)</f>
        <v/>
      </c>
      <c r="E828">
        <f>IF(ISBLANK('Q:\Abteilungsprojekte\Eng\EngData\PROJECT_Bioplastics\Renjie_Pan\05-Raw_Data\Lab_results\[LabSamples2025_Bioplastic_extra.xlsx]extra_Bioplastic'!E828)," ",'Q:\Abteilungsprojekte\Eng\EngData\PROJECT_Bioplastics\Renjie_Pan\05-Raw_Data\Lab_results\[LabSamples2025_Bioplastic_extra.xlsx]extra_Bioplastic'!E828)</f>
        <v/>
      </c>
      <c r="F828">
        <f>IF(ISBLANK('Q:\Abteilungsprojekte\Eng\EngData\PROJECT_Bioplastics\Renjie_Pan\05-Raw_Data\Lab_results\[LabSamples2025_Bioplastic_extra.xlsx]extra_Bioplastic'!F828)," ",'Q:\Abteilungsprojekte\Eng\EngData\PROJECT_Bioplastics\Renjie_Pan\05-Raw_Data\Lab_results\[LabSamples2025_Bioplastic_extra.xlsx]extra_Bioplastic'!F828)</f>
        <v/>
      </c>
      <c r="G828">
        <f>IF(ISBLANK('Q:\Abteilungsprojekte\Eng\EngData\PROJECT_Bioplastics\Renjie_Pan\05-Raw_Data\Lab_results\[LabSamples2025_Bioplastic_extra.xlsx]extra_Bioplastic'!G828)," ",'Q:\Abteilungsprojekte\Eng\EngData\PROJECT_Bioplastics\Renjie_Pan\05-Raw_Data\Lab_results\[LabSamples2025_Bioplastic_extra.xlsx]extra_Bioplastic'!G828)</f>
        <v/>
      </c>
      <c r="H828">
        <f>IF(ISBLANK('Q:\Abteilungsprojekte\Eng\EngData\PROJECT_Bioplastics\Renjie_Pan\05-Raw_Data\Lab_results\[LabSamples2025_Bioplastic_extra.xlsx]extra_Bioplastic'!H828)," ",'Q:\Abteilungsprojekte\Eng\EngData\PROJECT_Bioplastics\Renjie_Pan\05-Raw_Data\Lab_results\[LabSamples2025_Bioplastic_extra.xlsx]extra_Bioplastic'!H828)</f>
        <v/>
      </c>
    </row>
    <row r="829">
      <c r="A829">
        <f>IF(ISBLANK('Q:\Abteilungsprojekte\Eng\EngData\PROJECT_Bioplastics\Renjie_Pan\05-Raw_Data\Lab_results\[LabSamples2025_Bioplastic_extra.xlsx]extra_Bioplastic'!A829)," ",'Q:\Abteilungsprojekte\Eng\EngData\PROJECT_Bioplastics\Renjie_Pan\05-Raw_Data\Lab_results\[LabSamples2025_Bioplastic_extra.xlsx]extra_Bioplastic'!A829)</f>
        <v/>
      </c>
      <c r="B829">
        <f>IF(ISBLANK('Q:\Abteilungsprojekte\Eng\EngData\PROJECT_Bioplastics\Renjie_Pan\05-Raw_Data\Lab_results\[LabSamples2025_Bioplastic_extra.xlsx]extra_Bioplastic'!B829)," ",'Q:\Abteilungsprojekte\Eng\EngData\PROJECT_Bioplastics\Renjie_Pan\05-Raw_Data\Lab_results\[LabSamples2025_Bioplastic_extra.xlsx]extra_Bioplastic'!B829)</f>
        <v/>
      </c>
      <c r="C829">
        <f>IF(ISBLANK('Q:\Abteilungsprojekte\Eng\EngData\PROJECT_Bioplastics\Renjie_Pan\05-Raw_Data\Lab_results\[LabSamples2025_Bioplastic_extra.xlsx]extra_Bioplastic'!C829)," ",'Q:\Abteilungsprojekte\Eng\EngData\PROJECT_Bioplastics\Renjie_Pan\05-Raw_Data\Lab_results\[LabSamples2025_Bioplastic_extra.xlsx]extra_Bioplastic'!C829)</f>
        <v/>
      </c>
      <c r="D829">
        <f>IF(ISBLANK('Q:\Abteilungsprojekte\Eng\EngData\PROJECT_Bioplastics\Renjie_Pan\05-Raw_Data\Lab_results\[LabSamples2025_Bioplastic_extra.xlsx]extra_Bioplastic'!D829)," ",'Q:\Abteilungsprojekte\Eng\EngData\PROJECT_Bioplastics\Renjie_Pan\05-Raw_Data\Lab_results\[LabSamples2025_Bioplastic_extra.xlsx]extra_Bioplastic'!D829)</f>
        <v/>
      </c>
      <c r="E829">
        <f>IF(ISBLANK('Q:\Abteilungsprojekte\Eng\EngData\PROJECT_Bioplastics\Renjie_Pan\05-Raw_Data\Lab_results\[LabSamples2025_Bioplastic_extra.xlsx]extra_Bioplastic'!E829)," ",'Q:\Abteilungsprojekte\Eng\EngData\PROJECT_Bioplastics\Renjie_Pan\05-Raw_Data\Lab_results\[LabSamples2025_Bioplastic_extra.xlsx]extra_Bioplastic'!E829)</f>
        <v/>
      </c>
      <c r="F829">
        <f>IF(ISBLANK('Q:\Abteilungsprojekte\Eng\EngData\PROJECT_Bioplastics\Renjie_Pan\05-Raw_Data\Lab_results\[LabSamples2025_Bioplastic_extra.xlsx]extra_Bioplastic'!F829)," ",'Q:\Abteilungsprojekte\Eng\EngData\PROJECT_Bioplastics\Renjie_Pan\05-Raw_Data\Lab_results\[LabSamples2025_Bioplastic_extra.xlsx]extra_Bioplastic'!F829)</f>
        <v/>
      </c>
      <c r="G829">
        <f>IF(ISBLANK('Q:\Abteilungsprojekte\Eng\EngData\PROJECT_Bioplastics\Renjie_Pan\05-Raw_Data\Lab_results\[LabSamples2025_Bioplastic_extra.xlsx]extra_Bioplastic'!G829)," ",'Q:\Abteilungsprojekte\Eng\EngData\PROJECT_Bioplastics\Renjie_Pan\05-Raw_Data\Lab_results\[LabSamples2025_Bioplastic_extra.xlsx]extra_Bioplastic'!G829)</f>
        <v/>
      </c>
      <c r="H829">
        <f>IF(ISBLANK('Q:\Abteilungsprojekte\Eng\EngData\PROJECT_Bioplastics\Renjie_Pan\05-Raw_Data\Lab_results\[LabSamples2025_Bioplastic_extra.xlsx]extra_Bioplastic'!H829)," ",'Q:\Abteilungsprojekte\Eng\EngData\PROJECT_Bioplastics\Renjie_Pan\05-Raw_Data\Lab_results\[LabSamples2025_Bioplastic_extra.xlsx]extra_Bioplastic'!H829)</f>
        <v/>
      </c>
    </row>
    <row r="830">
      <c r="A830">
        <f>IF(ISBLANK('Q:\Abteilungsprojekte\Eng\EngData\PROJECT_Bioplastics\Renjie_Pan\05-Raw_Data\Lab_results\[LabSamples2025_Bioplastic_extra.xlsx]extra_Bioplastic'!A830)," ",'Q:\Abteilungsprojekte\Eng\EngData\PROJECT_Bioplastics\Renjie_Pan\05-Raw_Data\Lab_results\[LabSamples2025_Bioplastic_extra.xlsx]extra_Bioplastic'!A830)</f>
        <v/>
      </c>
      <c r="B830">
        <f>IF(ISBLANK('Q:\Abteilungsprojekte\Eng\EngData\PROJECT_Bioplastics\Renjie_Pan\05-Raw_Data\Lab_results\[LabSamples2025_Bioplastic_extra.xlsx]extra_Bioplastic'!B830)," ",'Q:\Abteilungsprojekte\Eng\EngData\PROJECT_Bioplastics\Renjie_Pan\05-Raw_Data\Lab_results\[LabSamples2025_Bioplastic_extra.xlsx]extra_Bioplastic'!B830)</f>
        <v/>
      </c>
      <c r="C830">
        <f>IF(ISBLANK('Q:\Abteilungsprojekte\Eng\EngData\PROJECT_Bioplastics\Renjie_Pan\05-Raw_Data\Lab_results\[LabSamples2025_Bioplastic_extra.xlsx]extra_Bioplastic'!C830)," ",'Q:\Abteilungsprojekte\Eng\EngData\PROJECT_Bioplastics\Renjie_Pan\05-Raw_Data\Lab_results\[LabSamples2025_Bioplastic_extra.xlsx]extra_Bioplastic'!C830)</f>
        <v/>
      </c>
      <c r="D830">
        <f>IF(ISBLANK('Q:\Abteilungsprojekte\Eng\EngData\PROJECT_Bioplastics\Renjie_Pan\05-Raw_Data\Lab_results\[LabSamples2025_Bioplastic_extra.xlsx]extra_Bioplastic'!D830)," ",'Q:\Abteilungsprojekte\Eng\EngData\PROJECT_Bioplastics\Renjie_Pan\05-Raw_Data\Lab_results\[LabSamples2025_Bioplastic_extra.xlsx]extra_Bioplastic'!D830)</f>
        <v/>
      </c>
      <c r="E830">
        <f>IF(ISBLANK('Q:\Abteilungsprojekte\Eng\EngData\PROJECT_Bioplastics\Renjie_Pan\05-Raw_Data\Lab_results\[LabSamples2025_Bioplastic_extra.xlsx]extra_Bioplastic'!E830)," ",'Q:\Abteilungsprojekte\Eng\EngData\PROJECT_Bioplastics\Renjie_Pan\05-Raw_Data\Lab_results\[LabSamples2025_Bioplastic_extra.xlsx]extra_Bioplastic'!E830)</f>
        <v/>
      </c>
      <c r="F830">
        <f>IF(ISBLANK('Q:\Abteilungsprojekte\Eng\EngData\PROJECT_Bioplastics\Renjie_Pan\05-Raw_Data\Lab_results\[LabSamples2025_Bioplastic_extra.xlsx]extra_Bioplastic'!F830)," ",'Q:\Abteilungsprojekte\Eng\EngData\PROJECT_Bioplastics\Renjie_Pan\05-Raw_Data\Lab_results\[LabSamples2025_Bioplastic_extra.xlsx]extra_Bioplastic'!F830)</f>
        <v/>
      </c>
      <c r="G830">
        <f>IF(ISBLANK('Q:\Abteilungsprojekte\Eng\EngData\PROJECT_Bioplastics\Renjie_Pan\05-Raw_Data\Lab_results\[LabSamples2025_Bioplastic_extra.xlsx]extra_Bioplastic'!G830)," ",'Q:\Abteilungsprojekte\Eng\EngData\PROJECT_Bioplastics\Renjie_Pan\05-Raw_Data\Lab_results\[LabSamples2025_Bioplastic_extra.xlsx]extra_Bioplastic'!G830)</f>
        <v/>
      </c>
      <c r="H830">
        <f>IF(ISBLANK('Q:\Abteilungsprojekte\Eng\EngData\PROJECT_Bioplastics\Renjie_Pan\05-Raw_Data\Lab_results\[LabSamples2025_Bioplastic_extra.xlsx]extra_Bioplastic'!H830)," ",'Q:\Abteilungsprojekte\Eng\EngData\PROJECT_Bioplastics\Renjie_Pan\05-Raw_Data\Lab_results\[LabSamples2025_Bioplastic_extra.xlsx]extra_Bioplastic'!H830)</f>
        <v/>
      </c>
    </row>
    <row r="831">
      <c r="A831">
        <f>IF(ISBLANK('Q:\Abteilungsprojekte\Eng\EngData\PROJECT_Bioplastics\Renjie_Pan\05-Raw_Data\Lab_results\[LabSamples2025_Bioplastic_extra.xlsx]extra_Bioplastic'!A831)," ",'Q:\Abteilungsprojekte\Eng\EngData\PROJECT_Bioplastics\Renjie_Pan\05-Raw_Data\Lab_results\[LabSamples2025_Bioplastic_extra.xlsx]extra_Bioplastic'!A831)</f>
        <v/>
      </c>
      <c r="B831">
        <f>IF(ISBLANK('Q:\Abteilungsprojekte\Eng\EngData\PROJECT_Bioplastics\Renjie_Pan\05-Raw_Data\Lab_results\[LabSamples2025_Bioplastic_extra.xlsx]extra_Bioplastic'!B831)," ",'Q:\Abteilungsprojekte\Eng\EngData\PROJECT_Bioplastics\Renjie_Pan\05-Raw_Data\Lab_results\[LabSamples2025_Bioplastic_extra.xlsx]extra_Bioplastic'!B831)</f>
        <v/>
      </c>
      <c r="C831">
        <f>IF(ISBLANK('Q:\Abteilungsprojekte\Eng\EngData\PROJECT_Bioplastics\Renjie_Pan\05-Raw_Data\Lab_results\[LabSamples2025_Bioplastic_extra.xlsx]extra_Bioplastic'!C831)," ",'Q:\Abteilungsprojekte\Eng\EngData\PROJECT_Bioplastics\Renjie_Pan\05-Raw_Data\Lab_results\[LabSamples2025_Bioplastic_extra.xlsx]extra_Bioplastic'!C831)</f>
        <v/>
      </c>
      <c r="D831">
        <f>IF(ISBLANK('Q:\Abteilungsprojekte\Eng\EngData\PROJECT_Bioplastics\Renjie_Pan\05-Raw_Data\Lab_results\[LabSamples2025_Bioplastic_extra.xlsx]extra_Bioplastic'!D831)," ",'Q:\Abteilungsprojekte\Eng\EngData\PROJECT_Bioplastics\Renjie_Pan\05-Raw_Data\Lab_results\[LabSamples2025_Bioplastic_extra.xlsx]extra_Bioplastic'!D831)</f>
        <v/>
      </c>
      <c r="E831">
        <f>IF(ISBLANK('Q:\Abteilungsprojekte\Eng\EngData\PROJECT_Bioplastics\Renjie_Pan\05-Raw_Data\Lab_results\[LabSamples2025_Bioplastic_extra.xlsx]extra_Bioplastic'!E831)," ",'Q:\Abteilungsprojekte\Eng\EngData\PROJECT_Bioplastics\Renjie_Pan\05-Raw_Data\Lab_results\[LabSamples2025_Bioplastic_extra.xlsx]extra_Bioplastic'!E831)</f>
        <v/>
      </c>
      <c r="F831">
        <f>IF(ISBLANK('Q:\Abteilungsprojekte\Eng\EngData\PROJECT_Bioplastics\Renjie_Pan\05-Raw_Data\Lab_results\[LabSamples2025_Bioplastic_extra.xlsx]extra_Bioplastic'!F831)," ",'Q:\Abteilungsprojekte\Eng\EngData\PROJECT_Bioplastics\Renjie_Pan\05-Raw_Data\Lab_results\[LabSamples2025_Bioplastic_extra.xlsx]extra_Bioplastic'!F831)</f>
        <v/>
      </c>
      <c r="G831">
        <f>IF(ISBLANK('Q:\Abteilungsprojekte\Eng\EngData\PROJECT_Bioplastics\Renjie_Pan\05-Raw_Data\Lab_results\[LabSamples2025_Bioplastic_extra.xlsx]extra_Bioplastic'!G831)," ",'Q:\Abteilungsprojekte\Eng\EngData\PROJECT_Bioplastics\Renjie_Pan\05-Raw_Data\Lab_results\[LabSamples2025_Bioplastic_extra.xlsx]extra_Bioplastic'!G831)</f>
        <v/>
      </c>
      <c r="H831">
        <f>IF(ISBLANK('Q:\Abteilungsprojekte\Eng\EngData\PROJECT_Bioplastics\Renjie_Pan\05-Raw_Data\Lab_results\[LabSamples2025_Bioplastic_extra.xlsx]extra_Bioplastic'!H831)," ",'Q:\Abteilungsprojekte\Eng\EngData\PROJECT_Bioplastics\Renjie_Pan\05-Raw_Data\Lab_results\[LabSamples2025_Bioplastic_extra.xlsx]extra_Bioplastic'!H831)</f>
        <v/>
      </c>
    </row>
    <row r="832">
      <c r="A832">
        <f>IF(ISBLANK('Q:\Abteilungsprojekte\Eng\EngData\PROJECT_Bioplastics\Renjie_Pan\05-Raw_Data\Lab_results\[LabSamples2025_Bioplastic_extra.xlsx]extra_Bioplastic'!A832)," ",'Q:\Abteilungsprojekte\Eng\EngData\PROJECT_Bioplastics\Renjie_Pan\05-Raw_Data\Lab_results\[LabSamples2025_Bioplastic_extra.xlsx]extra_Bioplastic'!A832)</f>
        <v/>
      </c>
      <c r="B832">
        <f>IF(ISBLANK('Q:\Abteilungsprojekte\Eng\EngData\PROJECT_Bioplastics\Renjie_Pan\05-Raw_Data\Lab_results\[LabSamples2025_Bioplastic_extra.xlsx]extra_Bioplastic'!B832)," ",'Q:\Abteilungsprojekte\Eng\EngData\PROJECT_Bioplastics\Renjie_Pan\05-Raw_Data\Lab_results\[LabSamples2025_Bioplastic_extra.xlsx]extra_Bioplastic'!B832)</f>
        <v/>
      </c>
      <c r="C832">
        <f>IF(ISBLANK('Q:\Abteilungsprojekte\Eng\EngData\PROJECT_Bioplastics\Renjie_Pan\05-Raw_Data\Lab_results\[LabSamples2025_Bioplastic_extra.xlsx]extra_Bioplastic'!C832)," ",'Q:\Abteilungsprojekte\Eng\EngData\PROJECT_Bioplastics\Renjie_Pan\05-Raw_Data\Lab_results\[LabSamples2025_Bioplastic_extra.xlsx]extra_Bioplastic'!C832)</f>
        <v/>
      </c>
      <c r="D832">
        <f>IF(ISBLANK('Q:\Abteilungsprojekte\Eng\EngData\PROJECT_Bioplastics\Renjie_Pan\05-Raw_Data\Lab_results\[LabSamples2025_Bioplastic_extra.xlsx]extra_Bioplastic'!D832)," ",'Q:\Abteilungsprojekte\Eng\EngData\PROJECT_Bioplastics\Renjie_Pan\05-Raw_Data\Lab_results\[LabSamples2025_Bioplastic_extra.xlsx]extra_Bioplastic'!D832)</f>
        <v/>
      </c>
      <c r="E832">
        <f>IF(ISBLANK('Q:\Abteilungsprojekte\Eng\EngData\PROJECT_Bioplastics\Renjie_Pan\05-Raw_Data\Lab_results\[LabSamples2025_Bioplastic_extra.xlsx]extra_Bioplastic'!E832)," ",'Q:\Abteilungsprojekte\Eng\EngData\PROJECT_Bioplastics\Renjie_Pan\05-Raw_Data\Lab_results\[LabSamples2025_Bioplastic_extra.xlsx]extra_Bioplastic'!E832)</f>
        <v/>
      </c>
      <c r="F832">
        <f>IF(ISBLANK('Q:\Abteilungsprojekte\Eng\EngData\PROJECT_Bioplastics\Renjie_Pan\05-Raw_Data\Lab_results\[LabSamples2025_Bioplastic_extra.xlsx]extra_Bioplastic'!F832)," ",'Q:\Abteilungsprojekte\Eng\EngData\PROJECT_Bioplastics\Renjie_Pan\05-Raw_Data\Lab_results\[LabSamples2025_Bioplastic_extra.xlsx]extra_Bioplastic'!F832)</f>
        <v/>
      </c>
      <c r="G832">
        <f>IF(ISBLANK('Q:\Abteilungsprojekte\Eng\EngData\PROJECT_Bioplastics\Renjie_Pan\05-Raw_Data\Lab_results\[LabSamples2025_Bioplastic_extra.xlsx]extra_Bioplastic'!G832)," ",'Q:\Abteilungsprojekte\Eng\EngData\PROJECT_Bioplastics\Renjie_Pan\05-Raw_Data\Lab_results\[LabSamples2025_Bioplastic_extra.xlsx]extra_Bioplastic'!G832)</f>
        <v/>
      </c>
      <c r="H832">
        <f>IF(ISBLANK('Q:\Abteilungsprojekte\Eng\EngData\PROJECT_Bioplastics\Renjie_Pan\05-Raw_Data\Lab_results\[LabSamples2025_Bioplastic_extra.xlsx]extra_Bioplastic'!H832)," ",'Q:\Abteilungsprojekte\Eng\EngData\PROJECT_Bioplastics\Renjie_Pan\05-Raw_Data\Lab_results\[LabSamples2025_Bioplastic_extra.xlsx]extra_Bioplastic'!H832)</f>
        <v/>
      </c>
    </row>
    <row r="833">
      <c r="A833">
        <f>IF(ISBLANK('Q:\Abteilungsprojekte\Eng\EngData\PROJECT_Bioplastics\Renjie_Pan\05-Raw_Data\Lab_results\[LabSamples2025_Bioplastic_extra.xlsx]extra_Bioplastic'!A833)," ",'Q:\Abteilungsprojekte\Eng\EngData\PROJECT_Bioplastics\Renjie_Pan\05-Raw_Data\Lab_results\[LabSamples2025_Bioplastic_extra.xlsx]extra_Bioplastic'!A833)</f>
        <v/>
      </c>
      <c r="B833">
        <f>IF(ISBLANK('Q:\Abteilungsprojekte\Eng\EngData\PROJECT_Bioplastics\Renjie_Pan\05-Raw_Data\Lab_results\[LabSamples2025_Bioplastic_extra.xlsx]extra_Bioplastic'!B833)," ",'Q:\Abteilungsprojekte\Eng\EngData\PROJECT_Bioplastics\Renjie_Pan\05-Raw_Data\Lab_results\[LabSamples2025_Bioplastic_extra.xlsx]extra_Bioplastic'!B833)</f>
        <v/>
      </c>
      <c r="C833">
        <f>IF(ISBLANK('Q:\Abteilungsprojekte\Eng\EngData\PROJECT_Bioplastics\Renjie_Pan\05-Raw_Data\Lab_results\[LabSamples2025_Bioplastic_extra.xlsx]extra_Bioplastic'!C833)," ",'Q:\Abteilungsprojekte\Eng\EngData\PROJECT_Bioplastics\Renjie_Pan\05-Raw_Data\Lab_results\[LabSamples2025_Bioplastic_extra.xlsx]extra_Bioplastic'!C833)</f>
        <v/>
      </c>
      <c r="D833">
        <f>IF(ISBLANK('Q:\Abteilungsprojekte\Eng\EngData\PROJECT_Bioplastics\Renjie_Pan\05-Raw_Data\Lab_results\[LabSamples2025_Bioplastic_extra.xlsx]extra_Bioplastic'!D833)," ",'Q:\Abteilungsprojekte\Eng\EngData\PROJECT_Bioplastics\Renjie_Pan\05-Raw_Data\Lab_results\[LabSamples2025_Bioplastic_extra.xlsx]extra_Bioplastic'!D833)</f>
        <v/>
      </c>
      <c r="E833">
        <f>IF(ISBLANK('Q:\Abteilungsprojekte\Eng\EngData\PROJECT_Bioplastics\Renjie_Pan\05-Raw_Data\Lab_results\[LabSamples2025_Bioplastic_extra.xlsx]extra_Bioplastic'!E833)," ",'Q:\Abteilungsprojekte\Eng\EngData\PROJECT_Bioplastics\Renjie_Pan\05-Raw_Data\Lab_results\[LabSamples2025_Bioplastic_extra.xlsx]extra_Bioplastic'!E833)</f>
        <v/>
      </c>
      <c r="F833">
        <f>IF(ISBLANK('Q:\Abteilungsprojekte\Eng\EngData\PROJECT_Bioplastics\Renjie_Pan\05-Raw_Data\Lab_results\[LabSamples2025_Bioplastic_extra.xlsx]extra_Bioplastic'!F833)," ",'Q:\Abteilungsprojekte\Eng\EngData\PROJECT_Bioplastics\Renjie_Pan\05-Raw_Data\Lab_results\[LabSamples2025_Bioplastic_extra.xlsx]extra_Bioplastic'!F833)</f>
        <v/>
      </c>
      <c r="G833">
        <f>IF(ISBLANK('Q:\Abteilungsprojekte\Eng\EngData\PROJECT_Bioplastics\Renjie_Pan\05-Raw_Data\Lab_results\[LabSamples2025_Bioplastic_extra.xlsx]extra_Bioplastic'!G833)," ",'Q:\Abteilungsprojekte\Eng\EngData\PROJECT_Bioplastics\Renjie_Pan\05-Raw_Data\Lab_results\[LabSamples2025_Bioplastic_extra.xlsx]extra_Bioplastic'!G833)</f>
        <v/>
      </c>
      <c r="H833">
        <f>IF(ISBLANK('Q:\Abteilungsprojekte\Eng\EngData\PROJECT_Bioplastics\Renjie_Pan\05-Raw_Data\Lab_results\[LabSamples2025_Bioplastic_extra.xlsx]extra_Bioplastic'!H833)," ",'Q:\Abteilungsprojekte\Eng\EngData\PROJECT_Bioplastics\Renjie_Pan\05-Raw_Data\Lab_results\[LabSamples2025_Bioplastic_extra.xlsx]extra_Bioplastic'!H833)</f>
        <v/>
      </c>
    </row>
    <row r="834">
      <c r="A834">
        <f>IF(ISBLANK('Q:\Abteilungsprojekte\Eng\EngData\PROJECT_Bioplastics\Renjie_Pan\05-Raw_Data\Lab_results\[LabSamples2025_Bioplastic_extra.xlsx]extra_Bioplastic'!A834)," ",'Q:\Abteilungsprojekte\Eng\EngData\PROJECT_Bioplastics\Renjie_Pan\05-Raw_Data\Lab_results\[LabSamples2025_Bioplastic_extra.xlsx]extra_Bioplastic'!A834)</f>
        <v/>
      </c>
      <c r="B834">
        <f>IF(ISBLANK('Q:\Abteilungsprojekte\Eng\EngData\PROJECT_Bioplastics\Renjie_Pan\05-Raw_Data\Lab_results\[LabSamples2025_Bioplastic_extra.xlsx]extra_Bioplastic'!B834)," ",'Q:\Abteilungsprojekte\Eng\EngData\PROJECT_Bioplastics\Renjie_Pan\05-Raw_Data\Lab_results\[LabSamples2025_Bioplastic_extra.xlsx]extra_Bioplastic'!B834)</f>
        <v/>
      </c>
      <c r="C834">
        <f>IF(ISBLANK('Q:\Abteilungsprojekte\Eng\EngData\PROJECT_Bioplastics\Renjie_Pan\05-Raw_Data\Lab_results\[LabSamples2025_Bioplastic_extra.xlsx]extra_Bioplastic'!C834)," ",'Q:\Abteilungsprojekte\Eng\EngData\PROJECT_Bioplastics\Renjie_Pan\05-Raw_Data\Lab_results\[LabSamples2025_Bioplastic_extra.xlsx]extra_Bioplastic'!C834)</f>
        <v/>
      </c>
      <c r="D834">
        <f>IF(ISBLANK('Q:\Abteilungsprojekte\Eng\EngData\PROJECT_Bioplastics\Renjie_Pan\05-Raw_Data\Lab_results\[LabSamples2025_Bioplastic_extra.xlsx]extra_Bioplastic'!D834)," ",'Q:\Abteilungsprojekte\Eng\EngData\PROJECT_Bioplastics\Renjie_Pan\05-Raw_Data\Lab_results\[LabSamples2025_Bioplastic_extra.xlsx]extra_Bioplastic'!D834)</f>
        <v/>
      </c>
      <c r="E834">
        <f>IF(ISBLANK('Q:\Abteilungsprojekte\Eng\EngData\PROJECT_Bioplastics\Renjie_Pan\05-Raw_Data\Lab_results\[LabSamples2025_Bioplastic_extra.xlsx]extra_Bioplastic'!E834)," ",'Q:\Abteilungsprojekte\Eng\EngData\PROJECT_Bioplastics\Renjie_Pan\05-Raw_Data\Lab_results\[LabSamples2025_Bioplastic_extra.xlsx]extra_Bioplastic'!E834)</f>
        <v/>
      </c>
      <c r="F834">
        <f>IF(ISBLANK('Q:\Abteilungsprojekte\Eng\EngData\PROJECT_Bioplastics\Renjie_Pan\05-Raw_Data\Lab_results\[LabSamples2025_Bioplastic_extra.xlsx]extra_Bioplastic'!F834)," ",'Q:\Abteilungsprojekte\Eng\EngData\PROJECT_Bioplastics\Renjie_Pan\05-Raw_Data\Lab_results\[LabSamples2025_Bioplastic_extra.xlsx]extra_Bioplastic'!F834)</f>
        <v/>
      </c>
      <c r="G834">
        <f>IF(ISBLANK('Q:\Abteilungsprojekte\Eng\EngData\PROJECT_Bioplastics\Renjie_Pan\05-Raw_Data\Lab_results\[LabSamples2025_Bioplastic_extra.xlsx]extra_Bioplastic'!G834)," ",'Q:\Abteilungsprojekte\Eng\EngData\PROJECT_Bioplastics\Renjie_Pan\05-Raw_Data\Lab_results\[LabSamples2025_Bioplastic_extra.xlsx]extra_Bioplastic'!G834)</f>
        <v/>
      </c>
      <c r="H834">
        <f>IF(ISBLANK('Q:\Abteilungsprojekte\Eng\EngData\PROJECT_Bioplastics\Renjie_Pan\05-Raw_Data\Lab_results\[LabSamples2025_Bioplastic_extra.xlsx]extra_Bioplastic'!H834)," ",'Q:\Abteilungsprojekte\Eng\EngData\PROJECT_Bioplastics\Renjie_Pan\05-Raw_Data\Lab_results\[LabSamples2025_Bioplastic_extra.xlsx]extra_Bioplastic'!H834)</f>
        <v/>
      </c>
    </row>
    <row r="835">
      <c r="A835">
        <f>IF(ISBLANK('Q:\Abteilungsprojekte\Eng\EngData\PROJECT_Bioplastics\Renjie_Pan\05-Raw_Data\Lab_results\[LabSamples2025_Bioplastic_extra.xlsx]extra_Bioplastic'!A835)," ",'Q:\Abteilungsprojekte\Eng\EngData\PROJECT_Bioplastics\Renjie_Pan\05-Raw_Data\Lab_results\[LabSamples2025_Bioplastic_extra.xlsx]extra_Bioplastic'!A835)</f>
        <v/>
      </c>
      <c r="B835">
        <f>IF(ISBLANK('Q:\Abteilungsprojekte\Eng\EngData\PROJECT_Bioplastics\Renjie_Pan\05-Raw_Data\Lab_results\[LabSamples2025_Bioplastic_extra.xlsx]extra_Bioplastic'!B835)," ",'Q:\Abteilungsprojekte\Eng\EngData\PROJECT_Bioplastics\Renjie_Pan\05-Raw_Data\Lab_results\[LabSamples2025_Bioplastic_extra.xlsx]extra_Bioplastic'!B835)</f>
        <v/>
      </c>
      <c r="C835">
        <f>IF(ISBLANK('Q:\Abteilungsprojekte\Eng\EngData\PROJECT_Bioplastics\Renjie_Pan\05-Raw_Data\Lab_results\[LabSamples2025_Bioplastic_extra.xlsx]extra_Bioplastic'!C835)," ",'Q:\Abteilungsprojekte\Eng\EngData\PROJECT_Bioplastics\Renjie_Pan\05-Raw_Data\Lab_results\[LabSamples2025_Bioplastic_extra.xlsx]extra_Bioplastic'!C835)</f>
        <v/>
      </c>
      <c r="D835">
        <f>IF(ISBLANK('Q:\Abteilungsprojekte\Eng\EngData\PROJECT_Bioplastics\Renjie_Pan\05-Raw_Data\Lab_results\[LabSamples2025_Bioplastic_extra.xlsx]extra_Bioplastic'!D835)," ",'Q:\Abteilungsprojekte\Eng\EngData\PROJECT_Bioplastics\Renjie_Pan\05-Raw_Data\Lab_results\[LabSamples2025_Bioplastic_extra.xlsx]extra_Bioplastic'!D835)</f>
        <v/>
      </c>
      <c r="E835">
        <f>IF(ISBLANK('Q:\Abteilungsprojekte\Eng\EngData\PROJECT_Bioplastics\Renjie_Pan\05-Raw_Data\Lab_results\[LabSamples2025_Bioplastic_extra.xlsx]extra_Bioplastic'!E835)," ",'Q:\Abteilungsprojekte\Eng\EngData\PROJECT_Bioplastics\Renjie_Pan\05-Raw_Data\Lab_results\[LabSamples2025_Bioplastic_extra.xlsx]extra_Bioplastic'!E835)</f>
        <v/>
      </c>
      <c r="F835">
        <f>IF(ISBLANK('Q:\Abteilungsprojekte\Eng\EngData\PROJECT_Bioplastics\Renjie_Pan\05-Raw_Data\Lab_results\[LabSamples2025_Bioplastic_extra.xlsx]extra_Bioplastic'!F835)," ",'Q:\Abteilungsprojekte\Eng\EngData\PROJECT_Bioplastics\Renjie_Pan\05-Raw_Data\Lab_results\[LabSamples2025_Bioplastic_extra.xlsx]extra_Bioplastic'!F835)</f>
        <v/>
      </c>
      <c r="G835">
        <f>IF(ISBLANK('Q:\Abteilungsprojekte\Eng\EngData\PROJECT_Bioplastics\Renjie_Pan\05-Raw_Data\Lab_results\[LabSamples2025_Bioplastic_extra.xlsx]extra_Bioplastic'!G835)," ",'Q:\Abteilungsprojekte\Eng\EngData\PROJECT_Bioplastics\Renjie_Pan\05-Raw_Data\Lab_results\[LabSamples2025_Bioplastic_extra.xlsx]extra_Bioplastic'!G835)</f>
        <v/>
      </c>
      <c r="H835">
        <f>IF(ISBLANK('Q:\Abteilungsprojekte\Eng\EngData\PROJECT_Bioplastics\Renjie_Pan\05-Raw_Data\Lab_results\[LabSamples2025_Bioplastic_extra.xlsx]extra_Bioplastic'!H835)," ",'Q:\Abteilungsprojekte\Eng\EngData\PROJECT_Bioplastics\Renjie_Pan\05-Raw_Data\Lab_results\[LabSamples2025_Bioplastic_extra.xlsx]extra_Bioplastic'!H835)</f>
        <v/>
      </c>
    </row>
    <row r="836">
      <c r="A836">
        <f>IF(ISBLANK('Q:\Abteilungsprojekte\Eng\EngData\PROJECT_Bioplastics\Renjie_Pan\05-Raw_Data\Lab_results\[LabSamples2025_Bioplastic_extra.xlsx]extra_Bioplastic'!A836)," ",'Q:\Abteilungsprojekte\Eng\EngData\PROJECT_Bioplastics\Renjie_Pan\05-Raw_Data\Lab_results\[LabSamples2025_Bioplastic_extra.xlsx]extra_Bioplastic'!A836)</f>
        <v/>
      </c>
      <c r="B836">
        <f>IF(ISBLANK('Q:\Abteilungsprojekte\Eng\EngData\PROJECT_Bioplastics\Renjie_Pan\05-Raw_Data\Lab_results\[LabSamples2025_Bioplastic_extra.xlsx]extra_Bioplastic'!B836)," ",'Q:\Abteilungsprojekte\Eng\EngData\PROJECT_Bioplastics\Renjie_Pan\05-Raw_Data\Lab_results\[LabSamples2025_Bioplastic_extra.xlsx]extra_Bioplastic'!B836)</f>
        <v/>
      </c>
      <c r="C836">
        <f>IF(ISBLANK('Q:\Abteilungsprojekte\Eng\EngData\PROJECT_Bioplastics\Renjie_Pan\05-Raw_Data\Lab_results\[LabSamples2025_Bioplastic_extra.xlsx]extra_Bioplastic'!C836)," ",'Q:\Abteilungsprojekte\Eng\EngData\PROJECT_Bioplastics\Renjie_Pan\05-Raw_Data\Lab_results\[LabSamples2025_Bioplastic_extra.xlsx]extra_Bioplastic'!C836)</f>
        <v/>
      </c>
      <c r="D836">
        <f>IF(ISBLANK('Q:\Abteilungsprojekte\Eng\EngData\PROJECT_Bioplastics\Renjie_Pan\05-Raw_Data\Lab_results\[LabSamples2025_Bioplastic_extra.xlsx]extra_Bioplastic'!D836)," ",'Q:\Abteilungsprojekte\Eng\EngData\PROJECT_Bioplastics\Renjie_Pan\05-Raw_Data\Lab_results\[LabSamples2025_Bioplastic_extra.xlsx]extra_Bioplastic'!D836)</f>
        <v/>
      </c>
      <c r="E836">
        <f>IF(ISBLANK('Q:\Abteilungsprojekte\Eng\EngData\PROJECT_Bioplastics\Renjie_Pan\05-Raw_Data\Lab_results\[LabSamples2025_Bioplastic_extra.xlsx]extra_Bioplastic'!E836)," ",'Q:\Abteilungsprojekte\Eng\EngData\PROJECT_Bioplastics\Renjie_Pan\05-Raw_Data\Lab_results\[LabSamples2025_Bioplastic_extra.xlsx]extra_Bioplastic'!E836)</f>
        <v/>
      </c>
      <c r="F836">
        <f>IF(ISBLANK('Q:\Abteilungsprojekte\Eng\EngData\PROJECT_Bioplastics\Renjie_Pan\05-Raw_Data\Lab_results\[LabSamples2025_Bioplastic_extra.xlsx]extra_Bioplastic'!F836)," ",'Q:\Abteilungsprojekte\Eng\EngData\PROJECT_Bioplastics\Renjie_Pan\05-Raw_Data\Lab_results\[LabSamples2025_Bioplastic_extra.xlsx]extra_Bioplastic'!F836)</f>
        <v/>
      </c>
      <c r="G836">
        <f>IF(ISBLANK('Q:\Abteilungsprojekte\Eng\EngData\PROJECT_Bioplastics\Renjie_Pan\05-Raw_Data\Lab_results\[LabSamples2025_Bioplastic_extra.xlsx]extra_Bioplastic'!G836)," ",'Q:\Abteilungsprojekte\Eng\EngData\PROJECT_Bioplastics\Renjie_Pan\05-Raw_Data\Lab_results\[LabSamples2025_Bioplastic_extra.xlsx]extra_Bioplastic'!G836)</f>
        <v/>
      </c>
      <c r="H836">
        <f>IF(ISBLANK('Q:\Abteilungsprojekte\Eng\EngData\PROJECT_Bioplastics\Renjie_Pan\05-Raw_Data\Lab_results\[LabSamples2025_Bioplastic_extra.xlsx]extra_Bioplastic'!H836)," ",'Q:\Abteilungsprojekte\Eng\EngData\PROJECT_Bioplastics\Renjie_Pan\05-Raw_Data\Lab_results\[LabSamples2025_Bioplastic_extra.xlsx]extra_Bioplastic'!H836)</f>
        <v/>
      </c>
    </row>
    <row r="837">
      <c r="A837">
        <f>IF(ISBLANK('Q:\Abteilungsprojekte\Eng\EngData\PROJECT_Bioplastics\Renjie_Pan\05-Raw_Data\Lab_results\[LabSamples2025_Bioplastic_extra.xlsx]extra_Bioplastic'!A837)," ",'Q:\Abteilungsprojekte\Eng\EngData\PROJECT_Bioplastics\Renjie_Pan\05-Raw_Data\Lab_results\[LabSamples2025_Bioplastic_extra.xlsx]extra_Bioplastic'!A837)</f>
        <v/>
      </c>
      <c r="B837">
        <f>IF(ISBLANK('Q:\Abteilungsprojekte\Eng\EngData\PROJECT_Bioplastics\Renjie_Pan\05-Raw_Data\Lab_results\[LabSamples2025_Bioplastic_extra.xlsx]extra_Bioplastic'!B837)," ",'Q:\Abteilungsprojekte\Eng\EngData\PROJECT_Bioplastics\Renjie_Pan\05-Raw_Data\Lab_results\[LabSamples2025_Bioplastic_extra.xlsx]extra_Bioplastic'!B837)</f>
        <v/>
      </c>
      <c r="C837">
        <f>IF(ISBLANK('Q:\Abteilungsprojekte\Eng\EngData\PROJECT_Bioplastics\Renjie_Pan\05-Raw_Data\Lab_results\[LabSamples2025_Bioplastic_extra.xlsx]extra_Bioplastic'!C837)," ",'Q:\Abteilungsprojekte\Eng\EngData\PROJECT_Bioplastics\Renjie_Pan\05-Raw_Data\Lab_results\[LabSamples2025_Bioplastic_extra.xlsx]extra_Bioplastic'!C837)</f>
        <v/>
      </c>
      <c r="D837">
        <f>IF(ISBLANK('Q:\Abteilungsprojekte\Eng\EngData\PROJECT_Bioplastics\Renjie_Pan\05-Raw_Data\Lab_results\[LabSamples2025_Bioplastic_extra.xlsx]extra_Bioplastic'!D837)," ",'Q:\Abteilungsprojekte\Eng\EngData\PROJECT_Bioplastics\Renjie_Pan\05-Raw_Data\Lab_results\[LabSamples2025_Bioplastic_extra.xlsx]extra_Bioplastic'!D837)</f>
        <v/>
      </c>
      <c r="E837">
        <f>IF(ISBLANK('Q:\Abteilungsprojekte\Eng\EngData\PROJECT_Bioplastics\Renjie_Pan\05-Raw_Data\Lab_results\[LabSamples2025_Bioplastic_extra.xlsx]extra_Bioplastic'!E837)," ",'Q:\Abteilungsprojekte\Eng\EngData\PROJECT_Bioplastics\Renjie_Pan\05-Raw_Data\Lab_results\[LabSamples2025_Bioplastic_extra.xlsx]extra_Bioplastic'!E837)</f>
        <v/>
      </c>
      <c r="F837">
        <f>IF(ISBLANK('Q:\Abteilungsprojekte\Eng\EngData\PROJECT_Bioplastics\Renjie_Pan\05-Raw_Data\Lab_results\[LabSamples2025_Bioplastic_extra.xlsx]extra_Bioplastic'!F837)," ",'Q:\Abteilungsprojekte\Eng\EngData\PROJECT_Bioplastics\Renjie_Pan\05-Raw_Data\Lab_results\[LabSamples2025_Bioplastic_extra.xlsx]extra_Bioplastic'!F837)</f>
        <v/>
      </c>
      <c r="G837">
        <f>IF(ISBLANK('Q:\Abteilungsprojekte\Eng\EngData\PROJECT_Bioplastics\Renjie_Pan\05-Raw_Data\Lab_results\[LabSamples2025_Bioplastic_extra.xlsx]extra_Bioplastic'!G837)," ",'Q:\Abteilungsprojekte\Eng\EngData\PROJECT_Bioplastics\Renjie_Pan\05-Raw_Data\Lab_results\[LabSamples2025_Bioplastic_extra.xlsx]extra_Bioplastic'!G837)</f>
        <v/>
      </c>
      <c r="H837">
        <f>IF(ISBLANK('Q:\Abteilungsprojekte\Eng\EngData\PROJECT_Bioplastics\Renjie_Pan\05-Raw_Data\Lab_results\[LabSamples2025_Bioplastic_extra.xlsx]extra_Bioplastic'!H837)," ",'Q:\Abteilungsprojekte\Eng\EngData\PROJECT_Bioplastics\Renjie_Pan\05-Raw_Data\Lab_results\[LabSamples2025_Bioplastic_extra.xlsx]extra_Bioplastic'!H837)</f>
        <v/>
      </c>
    </row>
    <row r="838">
      <c r="A838">
        <f>IF(ISBLANK('Q:\Abteilungsprojekte\Eng\EngData\PROJECT_Bioplastics\Renjie_Pan\05-Raw_Data\Lab_results\[LabSamples2025_Bioplastic_extra.xlsx]extra_Bioplastic'!A838)," ",'Q:\Abteilungsprojekte\Eng\EngData\PROJECT_Bioplastics\Renjie_Pan\05-Raw_Data\Lab_results\[LabSamples2025_Bioplastic_extra.xlsx]extra_Bioplastic'!A838)</f>
        <v/>
      </c>
      <c r="B838">
        <f>IF(ISBLANK('Q:\Abteilungsprojekte\Eng\EngData\PROJECT_Bioplastics\Renjie_Pan\05-Raw_Data\Lab_results\[LabSamples2025_Bioplastic_extra.xlsx]extra_Bioplastic'!B838)," ",'Q:\Abteilungsprojekte\Eng\EngData\PROJECT_Bioplastics\Renjie_Pan\05-Raw_Data\Lab_results\[LabSamples2025_Bioplastic_extra.xlsx]extra_Bioplastic'!B838)</f>
        <v/>
      </c>
      <c r="C838">
        <f>IF(ISBLANK('Q:\Abteilungsprojekte\Eng\EngData\PROJECT_Bioplastics\Renjie_Pan\05-Raw_Data\Lab_results\[LabSamples2025_Bioplastic_extra.xlsx]extra_Bioplastic'!C838)," ",'Q:\Abteilungsprojekte\Eng\EngData\PROJECT_Bioplastics\Renjie_Pan\05-Raw_Data\Lab_results\[LabSamples2025_Bioplastic_extra.xlsx]extra_Bioplastic'!C838)</f>
        <v/>
      </c>
      <c r="D838">
        <f>IF(ISBLANK('Q:\Abteilungsprojekte\Eng\EngData\PROJECT_Bioplastics\Renjie_Pan\05-Raw_Data\Lab_results\[LabSamples2025_Bioplastic_extra.xlsx]extra_Bioplastic'!D838)," ",'Q:\Abteilungsprojekte\Eng\EngData\PROJECT_Bioplastics\Renjie_Pan\05-Raw_Data\Lab_results\[LabSamples2025_Bioplastic_extra.xlsx]extra_Bioplastic'!D838)</f>
        <v/>
      </c>
      <c r="E838">
        <f>IF(ISBLANK('Q:\Abteilungsprojekte\Eng\EngData\PROJECT_Bioplastics\Renjie_Pan\05-Raw_Data\Lab_results\[LabSamples2025_Bioplastic_extra.xlsx]extra_Bioplastic'!E838)," ",'Q:\Abteilungsprojekte\Eng\EngData\PROJECT_Bioplastics\Renjie_Pan\05-Raw_Data\Lab_results\[LabSamples2025_Bioplastic_extra.xlsx]extra_Bioplastic'!E838)</f>
        <v/>
      </c>
      <c r="F838">
        <f>IF(ISBLANK('Q:\Abteilungsprojekte\Eng\EngData\PROJECT_Bioplastics\Renjie_Pan\05-Raw_Data\Lab_results\[LabSamples2025_Bioplastic_extra.xlsx]extra_Bioplastic'!F838)," ",'Q:\Abteilungsprojekte\Eng\EngData\PROJECT_Bioplastics\Renjie_Pan\05-Raw_Data\Lab_results\[LabSamples2025_Bioplastic_extra.xlsx]extra_Bioplastic'!F838)</f>
        <v/>
      </c>
      <c r="G838">
        <f>IF(ISBLANK('Q:\Abteilungsprojekte\Eng\EngData\PROJECT_Bioplastics\Renjie_Pan\05-Raw_Data\Lab_results\[LabSamples2025_Bioplastic_extra.xlsx]extra_Bioplastic'!G838)," ",'Q:\Abteilungsprojekte\Eng\EngData\PROJECT_Bioplastics\Renjie_Pan\05-Raw_Data\Lab_results\[LabSamples2025_Bioplastic_extra.xlsx]extra_Bioplastic'!G838)</f>
        <v/>
      </c>
      <c r="H838">
        <f>IF(ISBLANK('Q:\Abteilungsprojekte\Eng\EngData\PROJECT_Bioplastics\Renjie_Pan\05-Raw_Data\Lab_results\[LabSamples2025_Bioplastic_extra.xlsx]extra_Bioplastic'!H838)," ",'Q:\Abteilungsprojekte\Eng\EngData\PROJECT_Bioplastics\Renjie_Pan\05-Raw_Data\Lab_results\[LabSamples2025_Bioplastic_extra.xlsx]extra_Bioplastic'!H838)</f>
        <v/>
      </c>
    </row>
    <row r="839">
      <c r="A839">
        <f>IF(ISBLANK('Q:\Abteilungsprojekte\Eng\EngData\PROJECT_Bioplastics\Renjie_Pan\05-Raw_Data\Lab_results\[LabSamples2025_Bioplastic_extra.xlsx]extra_Bioplastic'!A839)," ",'Q:\Abteilungsprojekte\Eng\EngData\PROJECT_Bioplastics\Renjie_Pan\05-Raw_Data\Lab_results\[LabSamples2025_Bioplastic_extra.xlsx]extra_Bioplastic'!A839)</f>
        <v/>
      </c>
      <c r="B839">
        <f>IF(ISBLANK('Q:\Abteilungsprojekte\Eng\EngData\PROJECT_Bioplastics\Renjie_Pan\05-Raw_Data\Lab_results\[LabSamples2025_Bioplastic_extra.xlsx]extra_Bioplastic'!B839)," ",'Q:\Abteilungsprojekte\Eng\EngData\PROJECT_Bioplastics\Renjie_Pan\05-Raw_Data\Lab_results\[LabSamples2025_Bioplastic_extra.xlsx]extra_Bioplastic'!B839)</f>
        <v/>
      </c>
      <c r="C839">
        <f>IF(ISBLANK('Q:\Abteilungsprojekte\Eng\EngData\PROJECT_Bioplastics\Renjie_Pan\05-Raw_Data\Lab_results\[LabSamples2025_Bioplastic_extra.xlsx]extra_Bioplastic'!C839)," ",'Q:\Abteilungsprojekte\Eng\EngData\PROJECT_Bioplastics\Renjie_Pan\05-Raw_Data\Lab_results\[LabSamples2025_Bioplastic_extra.xlsx]extra_Bioplastic'!C839)</f>
        <v/>
      </c>
      <c r="D839">
        <f>IF(ISBLANK('Q:\Abteilungsprojekte\Eng\EngData\PROJECT_Bioplastics\Renjie_Pan\05-Raw_Data\Lab_results\[LabSamples2025_Bioplastic_extra.xlsx]extra_Bioplastic'!D839)," ",'Q:\Abteilungsprojekte\Eng\EngData\PROJECT_Bioplastics\Renjie_Pan\05-Raw_Data\Lab_results\[LabSamples2025_Bioplastic_extra.xlsx]extra_Bioplastic'!D839)</f>
        <v/>
      </c>
      <c r="E839">
        <f>IF(ISBLANK('Q:\Abteilungsprojekte\Eng\EngData\PROJECT_Bioplastics\Renjie_Pan\05-Raw_Data\Lab_results\[LabSamples2025_Bioplastic_extra.xlsx]extra_Bioplastic'!E839)," ",'Q:\Abteilungsprojekte\Eng\EngData\PROJECT_Bioplastics\Renjie_Pan\05-Raw_Data\Lab_results\[LabSamples2025_Bioplastic_extra.xlsx]extra_Bioplastic'!E839)</f>
        <v/>
      </c>
      <c r="F839">
        <f>IF(ISBLANK('Q:\Abteilungsprojekte\Eng\EngData\PROJECT_Bioplastics\Renjie_Pan\05-Raw_Data\Lab_results\[LabSamples2025_Bioplastic_extra.xlsx]extra_Bioplastic'!F839)," ",'Q:\Abteilungsprojekte\Eng\EngData\PROJECT_Bioplastics\Renjie_Pan\05-Raw_Data\Lab_results\[LabSamples2025_Bioplastic_extra.xlsx]extra_Bioplastic'!F839)</f>
        <v/>
      </c>
      <c r="G839">
        <f>IF(ISBLANK('Q:\Abteilungsprojekte\Eng\EngData\PROJECT_Bioplastics\Renjie_Pan\05-Raw_Data\Lab_results\[LabSamples2025_Bioplastic_extra.xlsx]extra_Bioplastic'!G839)," ",'Q:\Abteilungsprojekte\Eng\EngData\PROJECT_Bioplastics\Renjie_Pan\05-Raw_Data\Lab_results\[LabSamples2025_Bioplastic_extra.xlsx]extra_Bioplastic'!G839)</f>
        <v/>
      </c>
      <c r="H839">
        <f>IF(ISBLANK('Q:\Abteilungsprojekte\Eng\EngData\PROJECT_Bioplastics\Renjie_Pan\05-Raw_Data\Lab_results\[LabSamples2025_Bioplastic_extra.xlsx]extra_Bioplastic'!H839)," ",'Q:\Abteilungsprojekte\Eng\EngData\PROJECT_Bioplastics\Renjie_Pan\05-Raw_Data\Lab_results\[LabSamples2025_Bioplastic_extra.xlsx]extra_Bioplastic'!H839)</f>
        <v/>
      </c>
    </row>
    <row r="840">
      <c r="A840">
        <f>IF(ISBLANK('Q:\Abteilungsprojekte\Eng\EngData\PROJECT_Bioplastics\Renjie_Pan\05-Raw_Data\Lab_results\[LabSamples2025_Bioplastic_extra.xlsx]extra_Bioplastic'!A840)," ",'Q:\Abteilungsprojekte\Eng\EngData\PROJECT_Bioplastics\Renjie_Pan\05-Raw_Data\Lab_results\[LabSamples2025_Bioplastic_extra.xlsx]extra_Bioplastic'!A840)</f>
        <v/>
      </c>
      <c r="B840">
        <f>IF(ISBLANK('Q:\Abteilungsprojekte\Eng\EngData\PROJECT_Bioplastics\Renjie_Pan\05-Raw_Data\Lab_results\[LabSamples2025_Bioplastic_extra.xlsx]extra_Bioplastic'!B840)," ",'Q:\Abteilungsprojekte\Eng\EngData\PROJECT_Bioplastics\Renjie_Pan\05-Raw_Data\Lab_results\[LabSamples2025_Bioplastic_extra.xlsx]extra_Bioplastic'!B840)</f>
        <v/>
      </c>
      <c r="C840">
        <f>IF(ISBLANK('Q:\Abteilungsprojekte\Eng\EngData\PROJECT_Bioplastics\Renjie_Pan\05-Raw_Data\Lab_results\[LabSamples2025_Bioplastic_extra.xlsx]extra_Bioplastic'!C840)," ",'Q:\Abteilungsprojekte\Eng\EngData\PROJECT_Bioplastics\Renjie_Pan\05-Raw_Data\Lab_results\[LabSamples2025_Bioplastic_extra.xlsx]extra_Bioplastic'!C840)</f>
        <v/>
      </c>
      <c r="D840">
        <f>IF(ISBLANK('Q:\Abteilungsprojekte\Eng\EngData\PROJECT_Bioplastics\Renjie_Pan\05-Raw_Data\Lab_results\[LabSamples2025_Bioplastic_extra.xlsx]extra_Bioplastic'!D840)," ",'Q:\Abteilungsprojekte\Eng\EngData\PROJECT_Bioplastics\Renjie_Pan\05-Raw_Data\Lab_results\[LabSamples2025_Bioplastic_extra.xlsx]extra_Bioplastic'!D840)</f>
        <v/>
      </c>
      <c r="E840">
        <f>IF(ISBLANK('Q:\Abteilungsprojekte\Eng\EngData\PROJECT_Bioplastics\Renjie_Pan\05-Raw_Data\Lab_results\[LabSamples2025_Bioplastic_extra.xlsx]extra_Bioplastic'!E840)," ",'Q:\Abteilungsprojekte\Eng\EngData\PROJECT_Bioplastics\Renjie_Pan\05-Raw_Data\Lab_results\[LabSamples2025_Bioplastic_extra.xlsx]extra_Bioplastic'!E840)</f>
        <v/>
      </c>
      <c r="F840">
        <f>IF(ISBLANK('Q:\Abteilungsprojekte\Eng\EngData\PROJECT_Bioplastics\Renjie_Pan\05-Raw_Data\Lab_results\[LabSamples2025_Bioplastic_extra.xlsx]extra_Bioplastic'!F840)," ",'Q:\Abteilungsprojekte\Eng\EngData\PROJECT_Bioplastics\Renjie_Pan\05-Raw_Data\Lab_results\[LabSamples2025_Bioplastic_extra.xlsx]extra_Bioplastic'!F840)</f>
        <v/>
      </c>
      <c r="G840">
        <f>IF(ISBLANK('Q:\Abteilungsprojekte\Eng\EngData\PROJECT_Bioplastics\Renjie_Pan\05-Raw_Data\Lab_results\[LabSamples2025_Bioplastic_extra.xlsx]extra_Bioplastic'!G840)," ",'Q:\Abteilungsprojekte\Eng\EngData\PROJECT_Bioplastics\Renjie_Pan\05-Raw_Data\Lab_results\[LabSamples2025_Bioplastic_extra.xlsx]extra_Bioplastic'!G840)</f>
        <v/>
      </c>
      <c r="H840">
        <f>IF(ISBLANK('Q:\Abteilungsprojekte\Eng\EngData\PROJECT_Bioplastics\Renjie_Pan\05-Raw_Data\Lab_results\[LabSamples2025_Bioplastic_extra.xlsx]extra_Bioplastic'!H840)," ",'Q:\Abteilungsprojekte\Eng\EngData\PROJECT_Bioplastics\Renjie_Pan\05-Raw_Data\Lab_results\[LabSamples2025_Bioplastic_extra.xlsx]extra_Bioplastic'!H840)</f>
        <v/>
      </c>
    </row>
    <row r="841">
      <c r="A841">
        <f>IF(ISBLANK('Q:\Abteilungsprojekte\Eng\EngData\PROJECT_Bioplastics\Renjie_Pan\05-Raw_Data\Lab_results\[LabSamples2025_Bioplastic_extra.xlsx]extra_Bioplastic'!A841)," ",'Q:\Abteilungsprojekte\Eng\EngData\PROJECT_Bioplastics\Renjie_Pan\05-Raw_Data\Lab_results\[LabSamples2025_Bioplastic_extra.xlsx]extra_Bioplastic'!A841)</f>
        <v/>
      </c>
      <c r="B841">
        <f>IF(ISBLANK('Q:\Abteilungsprojekte\Eng\EngData\PROJECT_Bioplastics\Renjie_Pan\05-Raw_Data\Lab_results\[LabSamples2025_Bioplastic_extra.xlsx]extra_Bioplastic'!B841)," ",'Q:\Abteilungsprojekte\Eng\EngData\PROJECT_Bioplastics\Renjie_Pan\05-Raw_Data\Lab_results\[LabSamples2025_Bioplastic_extra.xlsx]extra_Bioplastic'!B841)</f>
        <v/>
      </c>
      <c r="C841">
        <f>IF(ISBLANK('Q:\Abteilungsprojekte\Eng\EngData\PROJECT_Bioplastics\Renjie_Pan\05-Raw_Data\Lab_results\[LabSamples2025_Bioplastic_extra.xlsx]extra_Bioplastic'!C841)," ",'Q:\Abteilungsprojekte\Eng\EngData\PROJECT_Bioplastics\Renjie_Pan\05-Raw_Data\Lab_results\[LabSamples2025_Bioplastic_extra.xlsx]extra_Bioplastic'!C841)</f>
        <v/>
      </c>
      <c r="D841">
        <f>IF(ISBLANK('Q:\Abteilungsprojekte\Eng\EngData\PROJECT_Bioplastics\Renjie_Pan\05-Raw_Data\Lab_results\[LabSamples2025_Bioplastic_extra.xlsx]extra_Bioplastic'!D841)," ",'Q:\Abteilungsprojekte\Eng\EngData\PROJECT_Bioplastics\Renjie_Pan\05-Raw_Data\Lab_results\[LabSamples2025_Bioplastic_extra.xlsx]extra_Bioplastic'!D841)</f>
        <v/>
      </c>
      <c r="E841">
        <f>IF(ISBLANK('Q:\Abteilungsprojekte\Eng\EngData\PROJECT_Bioplastics\Renjie_Pan\05-Raw_Data\Lab_results\[LabSamples2025_Bioplastic_extra.xlsx]extra_Bioplastic'!E841)," ",'Q:\Abteilungsprojekte\Eng\EngData\PROJECT_Bioplastics\Renjie_Pan\05-Raw_Data\Lab_results\[LabSamples2025_Bioplastic_extra.xlsx]extra_Bioplastic'!E841)</f>
        <v/>
      </c>
      <c r="F841">
        <f>IF(ISBLANK('Q:\Abteilungsprojekte\Eng\EngData\PROJECT_Bioplastics\Renjie_Pan\05-Raw_Data\Lab_results\[LabSamples2025_Bioplastic_extra.xlsx]extra_Bioplastic'!F841)," ",'Q:\Abteilungsprojekte\Eng\EngData\PROJECT_Bioplastics\Renjie_Pan\05-Raw_Data\Lab_results\[LabSamples2025_Bioplastic_extra.xlsx]extra_Bioplastic'!F841)</f>
        <v/>
      </c>
      <c r="G841">
        <f>IF(ISBLANK('Q:\Abteilungsprojekte\Eng\EngData\PROJECT_Bioplastics\Renjie_Pan\05-Raw_Data\Lab_results\[LabSamples2025_Bioplastic_extra.xlsx]extra_Bioplastic'!G841)," ",'Q:\Abteilungsprojekte\Eng\EngData\PROJECT_Bioplastics\Renjie_Pan\05-Raw_Data\Lab_results\[LabSamples2025_Bioplastic_extra.xlsx]extra_Bioplastic'!G841)</f>
        <v/>
      </c>
      <c r="H841">
        <f>IF(ISBLANK('Q:\Abteilungsprojekte\Eng\EngData\PROJECT_Bioplastics\Renjie_Pan\05-Raw_Data\Lab_results\[LabSamples2025_Bioplastic_extra.xlsx]extra_Bioplastic'!H841)," ",'Q:\Abteilungsprojekte\Eng\EngData\PROJECT_Bioplastics\Renjie_Pan\05-Raw_Data\Lab_results\[LabSamples2025_Bioplastic_extra.xlsx]extra_Bioplastic'!H841)</f>
        <v/>
      </c>
    </row>
    <row r="842">
      <c r="A842">
        <f>IF(ISBLANK('Q:\Abteilungsprojekte\Eng\EngData\PROJECT_Bioplastics\Renjie_Pan\05-Raw_Data\Lab_results\[LabSamples2025_Bioplastic_extra.xlsx]extra_Bioplastic'!A842)," ",'Q:\Abteilungsprojekte\Eng\EngData\PROJECT_Bioplastics\Renjie_Pan\05-Raw_Data\Lab_results\[LabSamples2025_Bioplastic_extra.xlsx]extra_Bioplastic'!A842)</f>
        <v/>
      </c>
      <c r="B842">
        <f>IF(ISBLANK('Q:\Abteilungsprojekte\Eng\EngData\PROJECT_Bioplastics\Renjie_Pan\05-Raw_Data\Lab_results\[LabSamples2025_Bioplastic_extra.xlsx]extra_Bioplastic'!B842)," ",'Q:\Abteilungsprojekte\Eng\EngData\PROJECT_Bioplastics\Renjie_Pan\05-Raw_Data\Lab_results\[LabSamples2025_Bioplastic_extra.xlsx]extra_Bioplastic'!B842)</f>
        <v/>
      </c>
      <c r="C842">
        <f>IF(ISBLANK('Q:\Abteilungsprojekte\Eng\EngData\PROJECT_Bioplastics\Renjie_Pan\05-Raw_Data\Lab_results\[LabSamples2025_Bioplastic_extra.xlsx]extra_Bioplastic'!C842)," ",'Q:\Abteilungsprojekte\Eng\EngData\PROJECT_Bioplastics\Renjie_Pan\05-Raw_Data\Lab_results\[LabSamples2025_Bioplastic_extra.xlsx]extra_Bioplastic'!C842)</f>
        <v/>
      </c>
      <c r="D842">
        <f>IF(ISBLANK('Q:\Abteilungsprojekte\Eng\EngData\PROJECT_Bioplastics\Renjie_Pan\05-Raw_Data\Lab_results\[LabSamples2025_Bioplastic_extra.xlsx]extra_Bioplastic'!D842)," ",'Q:\Abteilungsprojekte\Eng\EngData\PROJECT_Bioplastics\Renjie_Pan\05-Raw_Data\Lab_results\[LabSamples2025_Bioplastic_extra.xlsx]extra_Bioplastic'!D842)</f>
        <v/>
      </c>
      <c r="E842">
        <f>IF(ISBLANK('Q:\Abteilungsprojekte\Eng\EngData\PROJECT_Bioplastics\Renjie_Pan\05-Raw_Data\Lab_results\[LabSamples2025_Bioplastic_extra.xlsx]extra_Bioplastic'!E842)," ",'Q:\Abteilungsprojekte\Eng\EngData\PROJECT_Bioplastics\Renjie_Pan\05-Raw_Data\Lab_results\[LabSamples2025_Bioplastic_extra.xlsx]extra_Bioplastic'!E842)</f>
        <v/>
      </c>
      <c r="F842">
        <f>IF(ISBLANK('Q:\Abteilungsprojekte\Eng\EngData\PROJECT_Bioplastics\Renjie_Pan\05-Raw_Data\Lab_results\[LabSamples2025_Bioplastic_extra.xlsx]extra_Bioplastic'!F842)," ",'Q:\Abteilungsprojekte\Eng\EngData\PROJECT_Bioplastics\Renjie_Pan\05-Raw_Data\Lab_results\[LabSamples2025_Bioplastic_extra.xlsx]extra_Bioplastic'!F842)</f>
        <v/>
      </c>
      <c r="G842">
        <f>IF(ISBLANK('Q:\Abteilungsprojekte\Eng\EngData\PROJECT_Bioplastics\Renjie_Pan\05-Raw_Data\Lab_results\[LabSamples2025_Bioplastic_extra.xlsx]extra_Bioplastic'!G842)," ",'Q:\Abteilungsprojekte\Eng\EngData\PROJECT_Bioplastics\Renjie_Pan\05-Raw_Data\Lab_results\[LabSamples2025_Bioplastic_extra.xlsx]extra_Bioplastic'!G842)</f>
        <v/>
      </c>
      <c r="H842">
        <f>IF(ISBLANK('Q:\Abteilungsprojekte\Eng\EngData\PROJECT_Bioplastics\Renjie_Pan\05-Raw_Data\Lab_results\[LabSamples2025_Bioplastic_extra.xlsx]extra_Bioplastic'!H842)," ",'Q:\Abteilungsprojekte\Eng\EngData\PROJECT_Bioplastics\Renjie_Pan\05-Raw_Data\Lab_results\[LabSamples2025_Bioplastic_extra.xlsx]extra_Bioplastic'!H842)</f>
        <v/>
      </c>
    </row>
    <row r="843">
      <c r="A843">
        <f>IF(ISBLANK('Q:\Abteilungsprojekte\Eng\EngData\PROJECT_Bioplastics\Renjie_Pan\05-Raw_Data\Lab_results\[LabSamples2025_Bioplastic_extra.xlsx]extra_Bioplastic'!A843)," ",'Q:\Abteilungsprojekte\Eng\EngData\PROJECT_Bioplastics\Renjie_Pan\05-Raw_Data\Lab_results\[LabSamples2025_Bioplastic_extra.xlsx]extra_Bioplastic'!A843)</f>
        <v/>
      </c>
      <c r="B843">
        <f>IF(ISBLANK('Q:\Abteilungsprojekte\Eng\EngData\PROJECT_Bioplastics\Renjie_Pan\05-Raw_Data\Lab_results\[LabSamples2025_Bioplastic_extra.xlsx]extra_Bioplastic'!B843)," ",'Q:\Abteilungsprojekte\Eng\EngData\PROJECT_Bioplastics\Renjie_Pan\05-Raw_Data\Lab_results\[LabSamples2025_Bioplastic_extra.xlsx]extra_Bioplastic'!B843)</f>
        <v/>
      </c>
      <c r="C843">
        <f>IF(ISBLANK('Q:\Abteilungsprojekte\Eng\EngData\PROJECT_Bioplastics\Renjie_Pan\05-Raw_Data\Lab_results\[LabSamples2025_Bioplastic_extra.xlsx]extra_Bioplastic'!C843)," ",'Q:\Abteilungsprojekte\Eng\EngData\PROJECT_Bioplastics\Renjie_Pan\05-Raw_Data\Lab_results\[LabSamples2025_Bioplastic_extra.xlsx]extra_Bioplastic'!C843)</f>
        <v/>
      </c>
      <c r="D843">
        <f>IF(ISBLANK('Q:\Abteilungsprojekte\Eng\EngData\PROJECT_Bioplastics\Renjie_Pan\05-Raw_Data\Lab_results\[LabSamples2025_Bioplastic_extra.xlsx]extra_Bioplastic'!D843)," ",'Q:\Abteilungsprojekte\Eng\EngData\PROJECT_Bioplastics\Renjie_Pan\05-Raw_Data\Lab_results\[LabSamples2025_Bioplastic_extra.xlsx]extra_Bioplastic'!D843)</f>
        <v/>
      </c>
      <c r="E843">
        <f>IF(ISBLANK('Q:\Abteilungsprojekte\Eng\EngData\PROJECT_Bioplastics\Renjie_Pan\05-Raw_Data\Lab_results\[LabSamples2025_Bioplastic_extra.xlsx]extra_Bioplastic'!E843)," ",'Q:\Abteilungsprojekte\Eng\EngData\PROJECT_Bioplastics\Renjie_Pan\05-Raw_Data\Lab_results\[LabSamples2025_Bioplastic_extra.xlsx]extra_Bioplastic'!E843)</f>
        <v/>
      </c>
      <c r="F843">
        <f>IF(ISBLANK('Q:\Abteilungsprojekte\Eng\EngData\PROJECT_Bioplastics\Renjie_Pan\05-Raw_Data\Lab_results\[LabSamples2025_Bioplastic_extra.xlsx]extra_Bioplastic'!F843)," ",'Q:\Abteilungsprojekte\Eng\EngData\PROJECT_Bioplastics\Renjie_Pan\05-Raw_Data\Lab_results\[LabSamples2025_Bioplastic_extra.xlsx]extra_Bioplastic'!F843)</f>
        <v/>
      </c>
      <c r="G843">
        <f>IF(ISBLANK('Q:\Abteilungsprojekte\Eng\EngData\PROJECT_Bioplastics\Renjie_Pan\05-Raw_Data\Lab_results\[LabSamples2025_Bioplastic_extra.xlsx]extra_Bioplastic'!G843)," ",'Q:\Abteilungsprojekte\Eng\EngData\PROJECT_Bioplastics\Renjie_Pan\05-Raw_Data\Lab_results\[LabSamples2025_Bioplastic_extra.xlsx]extra_Bioplastic'!G843)</f>
        <v/>
      </c>
      <c r="H843">
        <f>IF(ISBLANK('Q:\Abteilungsprojekte\Eng\EngData\PROJECT_Bioplastics\Renjie_Pan\05-Raw_Data\Lab_results\[LabSamples2025_Bioplastic_extra.xlsx]extra_Bioplastic'!H843)," ",'Q:\Abteilungsprojekte\Eng\EngData\PROJECT_Bioplastics\Renjie_Pan\05-Raw_Data\Lab_results\[LabSamples2025_Bioplastic_extra.xlsx]extra_Bioplastic'!H843)</f>
        <v/>
      </c>
    </row>
    <row r="844">
      <c r="A844">
        <f>IF(ISBLANK('Q:\Abteilungsprojekte\Eng\EngData\PROJECT_Bioplastics\Renjie_Pan\05-Raw_Data\Lab_results\[LabSamples2025_Bioplastic_extra.xlsx]extra_Bioplastic'!A844)," ",'Q:\Abteilungsprojekte\Eng\EngData\PROJECT_Bioplastics\Renjie_Pan\05-Raw_Data\Lab_results\[LabSamples2025_Bioplastic_extra.xlsx]extra_Bioplastic'!A844)</f>
        <v/>
      </c>
      <c r="B844">
        <f>IF(ISBLANK('Q:\Abteilungsprojekte\Eng\EngData\PROJECT_Bioplastics\Renjie_Pan\05-Raw_Data\Lab_results\[LabSamples2025_Bioplastic_extra.xlsx]extra_Bioplastic'!B844)," ",'Q:\Abteilungsprojekte\Eng\EngData\PROJECT_Bioplastics\Renjie_Pan\05-Raw_Data\Lab_results\[LabSamples2025_Bioplastic_extra.xlsx]extra_Bioplastic'!B844)</f>
        <v/>
      </c>
      <c r="C844">
        <f>IF(ISBLANK('Q:\Abteilungsprojekte\Eng\EngData\PROJECT_Bioplastics\Renjie_Pan\05-Raw_Data\Lab_results\[LabSamples2025_Bioplastic_extra.xlsx]extra_Bioplastic'!C844)," ",'Q:\Abteilungsprojekte\Eng\EngData\PROJECT_Bioplastics\Renjie_Pan\05-Raw_Data\Lab_results\[LabSamples2025_Bioplastic_extra.xlsx]extra_Bioplastic'!C844)</f>
        <v/>
      </c>
      <c r="D844">
        <f>IF(ISBLANK('Q:\Abteilungsprojekte\Eng\EngData\PROJECT_Bioplastics\Renjie_Pan\05-Raw_Data\Lab_results\[LabSamples2025_Bioplastic_extra.xlsx]extra_Bioplastic'!D844)," ",'Q:\Abteilungsprojekte\Eng\EngData\PROJECT_Bioplastics\Renjie_Pan\05-Raw_Data\Lab_results\[LabSamples2025_Bioplastic_extra.xlsx]extra_Bioplastic'!D844)</f>
        <v/>
      </c>
      <c r="E844">
        <f>IF(ISBLANK('Q:\Abteilungsprojekte\Eng\EngData\PROJECT_Bioplastics\Renjie_Pan\05-Raw_Data\Lab_results\[LabSamples2025_Bioplastic_extra.xlsx]extra_Bioplastic'!E844)," ",'Q:\Abteilungsprojekte\Eng\EngData\PROJECT_Bioplastics\Renjie_Pan\05-Raw_Data\Lab_results\[LabSamples2025_Bioplastic_extra.xlsx]extra_Bioplastic'!E844)</f>
        <v/>
      </c>
      <c r="F844">
        <f>IF(ISBLANK('Q:\Abteilungsprojekte\Eng\EngData\PROJECT_Bioplastics\Renjie_Pan\05-Raw_Data\Lab_results\[LabSamples2025_Bioplastic_extra.xlsx]extra_Bioplastic'!F844)," ",'Q:\Abteilungsprojekte\Eng\EngData\PROJECT_Bioplastics\Renjie_Pan\05-Raw_Data\Lab_results\[LabSamples2025_Bioplastic_extra.xlsx]extra_Bioplastic'!F844)</f>
        <v/>
      </c>
      <c r="G844">
        <f>IF(ISBLANK('Q:\Abteilungsprojekte\Eng\EngData\PROJECT_Bioplastics\Renjie_Pan\05-Raw_Data\Lab_results\[LabSamples2025_Bioplastic_extra.xlsx]extra_Bioplastic'!G844)," ",'Q:\Abteilungsprojekte\Eng\EngData\PROJECT_Bioplastics\Renjie_Pan\05-Raw_Data\Lab_results\[LabSamples2025_Bioplastic_extra.xlsx]extra_Bioplastic'!G844)</f>
        <v/>
      </c>
      <c r="H844">
        <f>IF(ISBLANK('Q:\Abteilungsprojekte\Eng\EngData\PROJECT_Bioplastics\Renjie_Pan\05-Raw_Data\Lab_results\[LabSamples2025_Bioplastic_extra.xlsx]extra_Bioplastic'!H844)," ",'Q:\Abteilungsprojekte\Eng\EngData\PROJECT_Bioplastics\Renjie_Pan\05-Raw_Data\Lab_results\[LabSamples2025_Bioplastic_extra.xlsx]extra_Bioplastic'!H844)</f>
        <v/>
      </c>
    </row>
    <row r="845">
      <c r="A845">
        <f>IF(ISBLANK('Q:\Abteilungsprojekte\Eng\EngData\PROJECT_Bioplastics\Renjie_Pan\05-Raw_Data\Lab_results\[LabSamples2025_Bioplastic_extra.xlsx]extra_Bioplastic'!A845)," ",'Q:\Abteilungsprojekte\Eng\EngData\PROJECT_Bioplastics\Renjie_Pan\05-Raw_Data\Lab_results\[LabSamples2025_Bioplastic_extra.xlsx]extra_Bioplastic'!A845)</f>
        <v/>
      </c>
      <c r="B845">
        <f>IF(ISBLANK('Q:\Abteilungsprojekte\Eng\EngData\PROJECT_Bioplastics\Renjie_Pan\05-Raw_Data\Lab_results\[LabSamples2025_Bioplastic_extra.xlsx]extra_Bioplastic'!B845)," ",'Q:\Abteilungsprojekte\Eng\EngData\PROJECT_Bioplastics\Renjie_Pan\05-Raw_Data\Lab_results\[LabSamples2025_Bioplastic_extra.xlsx]extra_Bioplastic'!B845)</f>
        <v/>
      </c>
      <c r="C845">
        <f>IF(ISBLANK('Q:\Abteilungsprojekte\Eng\EngData\PROJECT_Bioplastics\Renjie_Pan\05-Raw_Data\Lab_results\[LabSamples2025_Bioplastic_extra.xlsx]extra_Bioplastic'!C845)," ",'Q:\Abteilungsprojekte\Eng\EngData\PROJECT_Bioplastics\Renjie_Pan\05-Raw_Data\Lab_results\[LabSamples2025_Bioplastic_extra.xlsx]extra_Bioplastic'!C845)</f>
        <v/>
      </c>
      <c r="D845">
        <f>IF(ISBLANK('Q:\Abteilungsprojekte\Eng\EngData\PROJECT_Bioplastics\Renjie_Pan\05-Raw_Data\Lab_results\[LabSamples2025_Bioplastic_extra.xlsx]extra_Bioplastic'!D845)," ",'Q:\Abteilungsprojekte\Eng\EngData\PROJECT_Bioplastics\Renjie_Pan\05-Raw_Data\Lab_results\[LabSamples2025_Bioplastic_extra.xlsx]extra_Bioplastic'!D845)</f>
        <v/>
      </c>
      <c r="E845">
        <f>IF(ISBLANK('Q:\Abteilungsprojekte\Eng\EngData\PROJECT_Bioplastics\Renjie_Pan\05-Raw_Data\Lab_results\[LabSamples2025_Bioplastic_extra.xlsx]extra_Bioplastic'!E845)," ",'Q:\Abteilungsprojekte\Eng\EngData\PROJECT_Bioplastics\Renjie_Pan\05-Raw_Data\Lab_results\[LabSamples2025_Bioplastic_extra.xlsx]extra_Bioplastic'!E845)</f>
        <v/>
      </c>
      <c r="F845">
        <f>IF(ISBLANK('Q:\Abteilungsprojekte\Eng\EngData\PROJECT_Bioplastics\Renjie_Pan\05-Raw_Data\Lab_results\[LabSamples2025_Bioplastic_extra.xlsx]extra_Bioplastic'!F845)," ",'Q:\Abteilungsprojekte\Eng\EngData\PROJECT_Bioplastics\Renjie_Pan\05-Raw_Data\Lab_results\[LabSamples2025_Bioplastic_extra.xlsx]extra_Bioplastic'!F845)</f>
        <v/>
      </c>
      <c r="G845">
        <f>IF(ISBLANK('Q:\Abteilungsprojekte\Eng\EngData\PROJECT_Bioplastics\Renjie_Pan\05-Raw_Data\Lab_results\[LabSamples2025_Bioplastic_extra.xlsx]extra_Bioplastic'!G845)," ",'Q:\Abteilungsprojekte\Eng\EngData\PROJECT_Bioplastics\Renjie_Pan\05-Raw_Data\Lab_results\[LabSamples2025_Bioplastic_extra.xlsx]extra_Bioplastic'!G845)</f>
        <v/>
      </c>
      <c r="H845">
        <f>IF(ISBLANK('Q:\Abteilungsprojekte\Eng\EngData\PROJECT_Bioplastics\Renjie_Pan\05-Raw_Data\Lab_results\[LabSamples2025_Bioplastic_extra.xlsx]extra_Bioplastic'!H845)," ",'Q:\Abteilungsprojekte\Eng\EngData\PROJECT_Bioplastics\Renjie_Pan\05-Raw_Data\Lab_results\[LabSamples2025_Bioplastic_extra.xlsx]extra_Bioplastic'!H845)</f>
        <v/>
      </c>
    </row>
    <row r="846">
      <c r="A846">
        <f>IF(ISBLANK('Q:\Abteilungsprojekte\Eng\EngData\PROJECT_Bioplastics\Renjie_Pan\05-Raw_Data\Lab_results\[LabSamples2025_Bioplastic_extra.xlsx]extra_Bioplastic'!A846)," ",'Q:\Abteilungsprojekte\Eng\EngData\PROJECT_Bioplastics\Renjie_Pan\05-Raw_Data\Lab_results\[LabSamples2025_Bioplastic_extra.xlsx]extra_Bioplastic'!A846)</f>
        <v/>
      </c>
      <c r="B846">
        <f>IF(ISBLANK('Q:\Abteilungsprojekte\Eng\EngData\PROJECT_Bioplastics\Renjie_Pan\05-Raw_Data\Lab_results\[LabSamples2025_Bioplastic_extra.xlsx]extra_Bioplastic'!B846)," ",'Q:\Abteilungsprojekte\Eng\EngData\PROJECT_Bioplastics\Renjie_Pan\05-Raw_Data\Lab_results\[LabSamples2025_Bioplastic_extra.xlsx]extra_Bioplastic'!B846)</f>
        <v/>
      </c>
      <c r="C846">
        <f>IF(ISBLANK('Q:\Abteilungsprojekte\Eng\EngData\PROJECT_Bioplastics\Renjie_Pan\05-Raw_Data\Lab_results\[LabSamples2025_Bioplastic_extra.xlsx]extra_Bioplastic'!C846)," ",'Q:\Abteilungsprojekte\Eng\EngData\PROJECT_Bioplastics\Renjie_Pan\05-Raw_Data\Lab_results\[LabSamples2025_Bioplastic_extra.xlsx]extra_Bioplastic'!C846)</f>
        <v/>
      </c>
      <c r="D846">
        <f>IF(ISBLANK('Q:\Abteilungsprojekte\Eng\EngData\PROJECT_Bioplastics\Renjie_Pan\05-Raw_Data\Lab_results\[LabSamples2025_Bioplastic_extra.xlsx]extra_Bioplastic'!D846)," ",'Q:\Abteilungsprojekte\Eng\EngData\PROJECT_Bioplastics\Renjie_Pan\05-Raw_Data\Lab_results\[LabSamples2025_Bioplastic_extra.xlsx]extra_Bioplastic'!D846)</f>
        <v/>
      </c>
      <c r="E846">
        <f>IF(ISBLANK('Q:\Abteilungsprojekte\Eng\EngData\PROJECT_Bioplastics\Renjie_Pan\05-Raw_Data\Lab_results\[LabSamples2025_Bioplastic_extra.xlsx]extra_Bioplastic'!E846)," ",'Q:\Abteilungsprojekte\Eng\EngData\PROJECT_Bioplastics\Renjie_Pan\05-Raw_Data\Lab_results\[LabSamples2025_Bioplastic_extra.xlsx]extra_Bioplastic'!E846)</f>
        <v/>
      </c>
      <c r="F846">
        <f>IF(ISBLANK('Q:\Abteilungsprojekte\Eng\EngData\PROJECT_Bioplastics\Renjie_Pan\05-Raw_Data\Lab_results\[LabSamples2025_Bioplastic_extra.xlsx]extra_Bioplastic'!F846)," ",'Q:\Abteilungsprojekte\Eng\EngData\PROJECT_Bioplastics\Renjie_Pan\05-Raw_Data\Lab_results\[LabSamples2025_Bioplastic_extra.xlsx]extra_Bioplastic'!F846)</f>
        <v/>
      </c>
      <c r="G846">
        <f>IF(ISBLANK('Q:\Abteilungsprojekte\Eng\EngData\PROJECT_Bioplastics\Renjie_Pan\05-Raw_Data\Lab_results\[LabSamples2025_Bioplastic_extra.xlsx]extra_Bioplastic'!G846)," ",'Q:\Abteilungsprojekte\Eng\EngData\PROJECT_Bioplastics\Renjie_Pan\05-Raw_Data\Lab_results\[LabSamples2025_Bioplastic_extra.xlsx]extra_Bioplastic'!G846)</f>
        <v/>
      </c>
      <c r="H846">
        <f>IF(ISBLANK('Q:\Abteilungsprojekte\Eng\EngData\PROJECT_Bioplastics\Renjie_Pan\05-Raw_Data\Lab_results\[LabSamples2025_Bioplastic_extra.xlsx]extra_Bioplastic'!H846)," ",'Q:\Abteilungsprojekte\Eng\EngData\PROJECT_Bioplastics\Renjie_Pan\05-Raw_Data\Lab_results\[LabSamples2025_Bioplastic_extra.xlsx]extra_Bioplastic'!H846)</f>
        <v/>
      </c>
    </row>
    <row r="847">
      <c r="A847">
        <f>IF(ISBLANK('Q:\Abteilungsprojekte\Eng\EngData\PROJECT_Bioplastics\Renjie_Pan\05-Raw_Data\Lab_results\[LabSamples2025_Bioplastic_extra.xlsx]extra_Bioplastic'!A847)," ",'Q:\Abteilungsprojekte\Eng\EngData\PROJECT_Bioplastics\Renjie_Pan\05-Raw_Data\Lab_results\[LabSamples2025_Bioplastic_extra.xlsx]extra_Bioplastic'!A847)</f>
        <v/>
      </c>
      <c r="B847">
        <f>IF(ISBLANK('Q:\Abteilungsprojekte\Eng\EngData\PROJECT_Bioplastics\Renjie_Pan\05-Raw_Data\Lab_results\[LabSamples2025_Bioplastic_extra.xlsx]extra_Bioplastic'!B847)," ",'Q:\Abteilungsprojekte\Eng\EngData\PROJECT_Bioplastics\Renjie_Pan\05-Raw_Data\Lab_results\[LabSamples2025_Bioplastic_extra.xlsx]extra_Bioplastic'!B847)</f>
        <v/>
      </c>
      <c r="C847">
        <f>IF(ISBLANK('Q:\Abteilungsprojekte\Eng\EngData\PROJECT_Bioplastics\Renjie_Pan\05-Raw_Data\Lab_results\[LabSamples2025_Bioplastic_extra.xlsx]extra_Bioplastic'!C847)," ",'Q:\Abteilungsprojekte\Eng\EngData\PROJECT_Bioplastics\Renjie_Pan\05-Raw_Data\Lab_results\[LabSamples2025_Bioplastic_extra.xlsx]extra_Bioplastic'!C847)</f>
        <v/>
      </c>
      <c r="D847">
        <f>IF(ISBLANK('Q:\Abteilungsprojekte\Eng\EngData\PROJECT_Bioplastics\Renjie_Pan\05-Raw_Data\Lab_results\[LabSamples2025_Bioplastic_extra.xlsx]extra_Bioplastic'!D847)," ",'Q:\Abteilungsprojekte\Eng\EngData\PROJECT_Bioplastics\Renjie_Pan\05-Raw_Data\Lab_results\[LabSamples2025_Bioplastic_extra.xlsx]extra_Bioplastic'!D847)</f>
        <v/>
      </c>
      <c r="E847">
        <f>IF(ISBLANK('Q:\Abteilungsprojekte\Eng\EngData\PROJECT_Bioplastics\Renjie_Pan\05-Raw_Data\Lab_results\[LabSamples2025_Bioplastic_extra.xlsx]extra_Bioplastic'!E847)," ",'Q:\Abteilungsprojekte\Eng\EngData\PROJECT_Bioplastics\Renjie_Pan\05-Raw_Data\Lab_results\[LabSamples2025_Bioplastic_extra.xlsx]extra_Bioplastic'!E847)</f>
        <v/>
      </c>
      <c r="F847">
        <f>IF(ISBLANK('Q:\Abteilungsprojekte\Eng\EngData\PROJECT_Bioplastics\Renjie_Pan\05-Raw_Data\Lab_results\[LabSamples2025_Bioplastic_extra.xlsx]extra_Bioplastic'!F847)," ",'Q:\Abteilungsprojekte\Eng\EngData\PROJECT_Bioplastics\Renjie_Pan\05-Raw_Data\Lab_results\[LabSamples2025_Bioplastic_extra.xlsx]extra_Bioplastic'!F847)</f>
        <v/>
      </c>
      <c r="G847">
        <f>IF(ISBLANK('Q:\Abteilungsprojekte\Eng\EngData\PROJECT_Bioplastics\Renjie_Pan\05-Raw_Data\Lab_results\[LabSamples2025_Bioplastic_extra.xlsx]extra_Bioplastic'!G847)," ",'Q:\Abteilungsprojekte\Eng\EngData\PROJECT_Bioplastics\Renjie_Pan\05-Raw_Data\Lab_results\[LabSamples2025_Bioplastic_extra.xlsx]extra_Bioplastic'!G847)</f>
        <v/>
      </c>
      <c r="H847">
        <f>IF(ISBLANK('Q:\Abteilungsprojekte\Eng\EngData\PROJECT_Bioplastics\Renjie_Pan\05-Raw_Data\Lab_results\[LabSamples2025_Bioplastic_extra.xlsx]extra_Bioplastic'!H847)," ",'Q:\Abteilungsprojekte\Eng\EngData\PROJECT_Bioplastics\Renjie_Pan\05-Raw_Data\Lab_results\[LabSamples2025_Bioplastic_extra.xlsx]extra_Bioplastic'!H847)</f>
        <v/>
      </c>
    </row>
    <row r="848">
      <c r="A848">
        <f>IF(ISBLANK('Q:\Abteilungsprojekte\Eng\EngData\PROJECT_Bioplastics\Renjie_Pan\05-Raw_Data\Lab_results\[LabSamples2025_Bioplastic_extra.xlsx]extra_Bioplastic'!A848)," ",'Q:\Abteilungsprojekte\Eng\EngData\PROJECT_Bioplastics\Renjie_Pan\05-Raw_Data\Lab_results\[LabSamples2025_Bioplastic_extra.xlsx]extra_Bioplastic'!A848)</f>
        <v/>
      </c>
      <c r="B848">
        <f>IF(ISBLANK('Q:\Abteilungsprojekte\Eng\EngData\PROJECT_Bioplastics\Renjie_Pan\05-Raw_Data\Lab_results\[LabSamples2025_Bioplastic_extra.xlsx]extra_Bioplastic'!B848)," ",'Q:\Abteilungsprojekte\Eng\EngData\PROJECT_Bioplastics\Renjie_Pan\05-Raw_Data\Lab_results\[LabSamples2025_Bioplastic_extra.xlsx]extra_Bioplastic'!B848)</f>
        <v/>
      </c>
      <c r="C848">
        <f>IF(ISBLANK('Q:\Abteilungsprojekte\Eng\EngData\PROJECT_Bioplastics\Renjie_Pan\05-Raw_Data\Lab_results\[LabSamples2025_Bioplastic_extra.xlsx]extra_Bioplastic'!C848)," ",'Q:\Abteilungsprojekte\Eng\EngData\PROJECT_Bioplastics\Renjie_Pan\05-Raw_Data\Lab_results\[LabSamples2025_Bioplastic_extra.xlsx]extra_Bioplastic'!C848)</f>
        <v/>
      </c>
      <c r="D848">
        <f>IF(ISBLANK('Q:\Abteilungsprojekte\Eng\EngData\PROJECT_Bioplastics\Renjie_Pan\05-Raw_Data\Lab_results\[LabSamples2025_Bioplastic_extra.xlsx]extra_Bioplastic'!D848)," ",'Q:\Abteilungsprojekte\Eng\EngData\PROJECT_Bioplastics\Renjie_Pan\05-Raw_Data\Lab_results\[LabSamples2025_Bioplastic_extra.xlsx]extra_Bioplastic'!D848)</f>
        <v/>
      </c>
      <c r="E848">
        <f>IF(ISBLANK('Q:\Abteilungsprojekte\Eng\EngData\PROJECT_Bioplastics\Renjie_Pan\05-Raw_Data\Lab_results\[LabSamples2025_Bioplastic_extra.xlsx]extra_Bioplastic'!E848)," ",'Q:\Abteilungsprojekte\Eng\EngData\PROJECT_Bioplastics\Renjie_Pan\05-Raw_Data\Lab_results\[LabSamples2025_Bioplastic_extra.xlsx]extra_Bioplastic'!E848)</f>
        <v/>
      </c>
      <c r="F848">
        <f>IF(ISBLANK('Q:\Abteilungsprojekte\Eng\EngData\PROJECT_Bioplastics\Renjie_Pan\05-Raw_Data\Lab_results\[LabSamples2025_Bioplastic_extra.xlsx]extra_Bioplastic'!F848)," ",'Q:\Abteilungsprojekte\Eng\EngData\PROJECT_Bioplastics\Renjie_Pan\05-Raw_Data\Lab_results\[LabSamples2025_Bioplastic_extra.xlsx]extra_Bioplastic'!F848)</f>
        <v/>
      </c>
      <c r="G848">
        <f>IF(ISBLANK('Q:\Abteilungsprojekte\Eng\EngData\PROJECT_Bioplastics\Renjie_Pan\05-Raw_Data\Lab_results\[LabSamples2025_Bioplastic_extra.xlsx]extra_Bioplastic'!G848)," ",'Q:\Abteilungsprojekte\Eng\EngData\PROJECT_Bioplastics\Renjie_Pan\05-Raw_Data\Lab_results\[LabSamples2025_Bioplastic_extra.xlsx]extra_Bioplastic'!G848)</f>
        <v/>
      </c>
      <c r="H848">
        <f>IF(ISBLANK('Q:\Abteilungsprojekte\Eng\EngData\PROJECT_Bioplastics\Renjie_Pan\05-Raw_Data\Lab_results\[LabSamples2025_Bioplastic_extra.xlsx]extra_Bioplastic'!H848)," ",'Q:\Abteilungsprojekte\Eng\EngData\PROJECT_Bioplastics\Renjie_Pan\05-Raw_Data\Lab_results\[LabSamples2025_Bioplastic_extra.xlsx]extra_Bioplastic'!H848)</f>
        <v/>
      </c>
    </row>
    <row r="849">
      <c r="A849">
        <f>IF(ISBLANK('Q:\Abteilungsprojekte\Eng\EngData\PROJECT_Bioplastics\Renjie_Pan\05-Raw_Data\Lab_results\[LabSamples2025_Bioplastic_extra.xlsx]extra_Bioplastic'!A849)," ",'Q:\Abteilungsprojekte\Eng\EngData\PROJECT_Bioplastics\Renjie_Pan\05-Raw_Data\Lab_results\[LabSamples2025_Bioplastic_extra.xlsx]extra_Bioplastic'!A849)</f>
        <v/>
      </c>
      <c r="B849">
        <f>IF(ISBLANK('Q:\Abteilungsprojekte\Eng\EngData\PROJECT_Bioplastics\Renjie_Pan\05-Raw_Data\Lab_results\[LabSamples2025_Bioplastic_extra.xlsx]extra_Bioplastic'!B849)," ",'Q:\Abteilungsprojekte\Eng\EngData\PROJECT_Bioplastics\Renjie_Pan\05-Raw_Data\Lab_results\[LabSamples2025_Bioplastic_extra.xlsx]extra_Bioplastic'!B849)</f>
        <v/>
      </c>
      <c r="C849">
        <f>IF(ISBLANK('Q:\Abteilungsprojekte\Eng\EngData\PROJECT_Bioplastics\Renjie_Pan\05-Raw_Data\Lab_results\[LabSamples2025_Bioplastic_extra.xlsx]extra_Bioplastic'!C849)," ",'Q:\Abteilungsprojekte\Eng\EngData\PROJECT_Bioplastics\Renjie_Pan\05-Raw_Data\Lab_results\[LabSamples2025_Bioplastic_extra.xlsx]extra_Bioplastic'!C849)</f>
        <v/>
      </c>
      <c r="D849">
        <f>IF(ISBLANK('Q:\Abteilungsprojekte\Eng\EngData\PROJECT_Bioplastics\Renjie_Pan\05-Raw_Data\Lab_results\[LabSamples2025_Bioplastic_extra.xlsx]extra_Bioplastic'!D849)," ",'Q:\Abteilungsprojekte\Eng\EngData\PROJECT_Bioplastics\Renjie_Pan\05-Raw_Data\Lab_results\[LabSamples2025_Bioplastic_extra.xlsx]extra_Bioplastic'!D849)</f>
        <v/>
      </c>
      <c r="E849">
        <f>IF(ISBLANK('Q:\Abteilungsprojekte\Eng\EngData\PROJECT_Bioplastics\Renjie_Pan\05-Raw_Data\Lab_results\[LabSamples2025_Bioplastic_extra.xlsx]extra_Bioplastic'!E849)," ",'Q:\Abteilungsprojekte\Eng\EngData\PROJECT_Bioplastics\Renjie_Pan\05-Raw_Data\Lab_results\[LabSamples2025_Bioplastic_extra.xlsx]extra_Bioplastic'!E849)</f>
        <v/>
      </c>
      <c r="F849">
        <f>IF(ISBLANK('Q:\Abteilungsprojekte\Eng\EngData\PROJECT_Bioplastics\Renjie_Pan\05-Raw_Data\Lab_results\[LabSamples2025_Bioplastic_extra.xlsx]extra_Bioplastic'!F849)," ",'Q:\Abteilungsprojekte\Eng\EngData\PROJECT_Bioplastics\Renjie_Pan\05-Raw_Data\Lab_results\[LabSamples2025_Bioplastic_extra.xlsx]extra_Bioplastic'!F849)</f>
        <v/>
      </c>
      <c r="G849">
        <f>IF(ISBLANK('Q:\Abteilungsprojekte\Eng\EngData\PROJECT_Bioplastics\Renjie_Pan\05-Raw_Data\Lab_results\[LabSamples2025_Bioplastic_extra.xlsx]extra_Bioplastic'!G849)," ",'Q:\Abteilungsprojekte\Eng\EngData\PROJECT_Bioplastics\Renjie_Pan\05-Raw_Data\Lab_results\[LabSamples2025_Bioplastic_extra.xlsx]extra_Bioplastic'!G849)</f>
        <v/>
      </c>
      <c r="H849">
        <f>IF(ISBLANK('Q:\Abteilungsprojekte\Eng\EngData\PROJECT_Bioplastics\Renjie_Pan\05-Raw_Data\Lab_results\[LabSamples2025_Bioplastic_extra.xlsx]extra_Bioplastic'!H849)," ",'Q:\Abteilungsprojekte\Eng\EngData\PROJECT_Bioplastics\Renjie_Pan\05-Raw_Data\Lab_results\[LabSamples2025_Bioplastic_extra.xlsx]extra_Bioplastic'!H849)</f>
        <v/>
      </c>
    </row>
    <row r="850">
      <c r="A850">
        <f>IF(ISBLANK('Q:\Abteilungsprojekte\Eng\EngData\PROJECT_Bioplastics\Renjie_Pan\05-Raw_Data\Lab_results\[LabSamples2025_Bioplastic_extra.xlsx]extra_Bioplastic'!A850)," ",'Q:\Abteilungsprojekte\Eng\EngData\PROJECT_Bioplastics\Renjie_Pan\05-Raw_Data\Lab_results\[LabSamples2025_Bioplastic_extra.xlsx]extra_Bioplastic'!A850)</f>
        <v/>
      </c>
      <c r="B850">
        <f>IF(ISBLANK('Q:\Abteilungsprojekte\Eng\EngData\PROJECT_Bioplastics\Renjie_Pan\05-Raw_Data\Lab_results\[LabSamples2025_Bioplastic_extra.xlsx]extra_Bioplastic'!B850)," ",'Q:\Abteilungsprojekte\Eng\EngData\PROJECT_Bioplastics\Renjie_Pan\05-Raw_Data\Lab_results\[LabSamples2025_Bioplastic_extra.xlsx]extra_Bioplastic'!B850)</f>
        <v/>
      </c>
      <c r="C850">
        <f>IF(ISBLANK('Q:\Abteilungsprojekte\Eng\EngData\PROJECT_Bioplastics\Renjie_Pan\05-Raw_Data\Lab_results\[LabSamples2025_Bioplastic_extra.xlsx]extra_Bioplastic'!C850)," ",'Q:\Abteilungsprojekte\Eng\EngData\PROJECT_Bioplastics\Renjie_Pan\05-Raw_Data\Lab_results\[LabSamples2025_Bioplastic_extra.xlsx]extra_Bioplastic'!C850)</f>
        <v/>
      </c>
      <c r="D850">
        <f>IF(ISBLANK('Q:\Abteilungsprojekte\Eng\EngData\PROJECT_Bioplastics\Renjie_Pan\05-Raw_Data\Lab_results\[LabSamples2025_Bioplastic_extra.xlsx]extra_Bioplastic'!D850)," ",'Q:\Abteilungsprojekte\Eng\EngData\PROJECT_Bioplastics\Renjie_Pan\05-Raw_Data\Lab_results\[LabSamples2025_Bioplastic_extra.xlsx]extra_Bioplastic'!D850)</f>
        <v/>
      </c>
      <c r="E850">
        <f>IF(ISBLANK('Q:\Abteilungsprojekte\Eng\EngData\PROJECT_Bioplastics\Renjie_Pan\05-Raw_Data\Lab_results\[LabSamples2025_Bioplastic_extra.xlsx]extra_Bioplastic'!E850)," ",'Q:\Abteilungsprojekte\Eng\EngData\PROJECT_Bioplastics\Renjie_Pan\05-Raw_Data\Lab_results\[LabSamples2025_Bioplastic_extra.xlsx]extra_Bioplastic'!E850)</f>
        <v/>
      </c>
      <c r="F850">
        <f>IF(ISBLANK('Q:\Abteilungsprojekte\Eng\EngData\PROJECT_Bioplastics\Renjie_Pan\05-Raw_Data\Lab_results\[LabSamples2025_Bioplastic_extra.xlsx]extra_Bioplastic'!F850)," ",'Q:\Abteilungsprojekte\Eng\EngData\PROJECT_Bioplastics\Renjie_Pan\05-Raw_Data\Lab_results\[LabSamples2025_Bioplastic_extra.xlsx]extra_Bioplastic'!F850)</f>
        <v/>
      </c>
      <c r="G850">
        <f>IF(ISBLANK('Q:\Abteilungsprojekte\Eng\EngData\PROJECT_Bioplastics\Renjie_Pan\05-Raw_Data\Lab_results\[LabSamples2025_Bioplastic_extra.xlsx]extra_Bioplastic'!G850)," ",'Q:\Abteilungsprojekte\Eng\EngData\PROJECT_Bioplastics\Renjie_Pan\05-Raw_Data\Lab_results\[LabSamples2025_Bioplastic_extra.xlsx]extra_Bioplastic'!G850)</f>
        <v/>
      </c>
      <c r="H850">
        <f>IF(ISBLANK('Q:\Abteilungsprojekte\Eng\EngData\PROJECT_Bioplastics\Renjie_Pan\05-Raw_Data\Lab_results\[LabSamples2025_Bioplastic_extra.xlsx]extra_Bioplastic'!H850)," ",'Q:\Abteilungsprojekte\Eng\EngData\PROJECT_Bioplastics\Renjie_Pan\05-Raw_Data\Lab_results\[LabSamples2025_Bioplastic_extra.xlsx]extra_Bioplastic'!H850)</f>
        <v/>
      </c>
    </row>
    <row r="851">
      <c r="A851">
        <f>IF(ISBLANK('Q:\Abteilungsprojekte\Eng\EngData\PROJECT_Bioplastics\Renjie_Pan\05-Raw_Data\Lab_results\[LabSamples2025_Bioplastic_extra.xlsx]extra_Bioplastic'!A851)," ",'Q:\Abteilungsprojekte\Eng\EngData\PROJECT_Bioplastics\Renjie_Pan\05-Raw_Data\Lab_results\[LabSamples2025_Bioplastic_extra.xlsx]extra_Bioplastic'!A851)</f>
        <v/>
      </c>
      <c r="B851">
        <f>IF(ISBLANK('Q:\Abteilungsprojekte\Eng\EngData\PROJECT_Bioplastics\Renjie_Pan\05-Raw_Data\Lab_results\[LabSamples2025_Bioplastic_extra.xlsx]extra_Bioplastic'!B851)," ",'Q:\Abteilungsprojekte\Eng\EngData\PROJECT_Bioplastics\Renjie_Pan\05-Raw_Data\Lab_results\[LabSamples2025_Bioplastic_extra.xlsx]extra_Bioplastic'!B851)</f>
        <v/>
      </c>
      <c r="C851">
        <f>IF(ISBLANK('Q:\Abteilungsprojekte\Eng\EngData\PROJECT_Bioplastics\Renjie_Pan\05-Raw_Data\Lab_results\[LabSamples2025_Bioplastic_extra.xlsx]extra_Bioplastic'!C851)," ",'Q:\Abteilungsprojekte\Eng\EngData\PROJECT_Bioplastics\Renjie_Pan\05-Raw_Data\Lab_results\[LabSamples2025_Bioplastic_extra.xlsx]extra_Bioplastic'!C851)</f>
        <v/>
      </c>
      <c r="D851">
        <f>IF(ISBLANK('Q:\Abteilungsprojekte\Eng\EngData\PROJECT_Bioplastics\Renjie_Pan\05-Raw_Data\Lab_results\[LabSamples2025_Bioplastic_extra.xlsx]extra_Bioplastic'!D851)," ",'Q:\Abteilungsprojekte\Eng\EngData\PROJECT_Bioplastics\Renjie_Pan\05-Raw_Data\Lab_results\[LabSamples2025_Bioplastic_extra.xlsx]extra_Bioplastic'!D851)</f>
        <v/>
      </c>
      <c r="E851">
        <f>IF(ISBLANK('Q:\Abteilungsprojekte\Eng\EngData\PROJECT_Bioplastics\Renjie_Pan\05-Raw_Data\Lab_results\[LabSamples2025_Bioplastic_extra.xlsx]extra_Bioplastic'!E851)," ",'Q:\Abteilungsprojekte\Eng\EngData\PROJECT_Bioplastics\Renjie_Pan\05-Raw_Data\Lab_results\[LabSamples2025_Bioplastic_extra.xlsx]extra_Bioplastic'!E851)</f>
        <v/>
      </c>
      <c r="F851">
        <f>IF(ISBLANK('Q:\Abteilungsprojekte\Eng\EngData\PROJECT_Bioplastics\Renjie_Pan\05-Raw_Data\Lab_results\[LabSamples2025_Bioplastic_extra.xlsx]extra_Bioplastic'!F851)," ",'Q:\Abteilungsprojekte\Eng\EngData\PROJECT_Bioplastics\Renjie_Pan\05-Raw_Data\Lab_results\[LabSamples2025_Bioplastic_extra.xlsx]extra_Bioplastic'!F851)</f>
        <v/>
      </c>
      <c r="G851">
        <f>IF(ISBLANK('Q:\Abteilungsprojekte\Eng\EngData\PROJECT_Bioplastics\Renjie_Pan\05-Raw_Data\Lab_results\[LabSamples2025_Bioplastic_extra.xlsx]extra_Bioplastic'!G851)," ",'Q:\Abteilungsprojekte\Eng\EngData\PROJECT_Bioplastics\Renjie_Pan\05-Raw_Data\Lab_results\[LabSamples2025_Bioplastic_extra.xlsx]extra_Bioplastic'!G851)</f>
        <v/>
      </c>
      <c r="H851">
        <f>IF(ISBLANK('Q:\Abteilungsprojekte\Eng\EngData\PROJECT_Bioplastics\Renjie_Pan\05-Raw_Data\Lab_results\[LabSamples2025_Bioplastic_extra.xlsx]extra_Bioplastic'!H851)," ",'Q:\Abteilungsprojekte\Eng\EngData\PROJECT_Bioplastics\Renjie_Pan\05-Raw_Data\Lab_results\[LabSamples2025_Bioplastic_extra.xlsx]extra_Bioplastic'!H851)</f>
        <v/>
      </c>
    </row>
    <row r="852">
      <c r="A852">
        <f>IF(ISBLANK('Q:\Abteilungsprojekte\Eng\EngData\PROJECT_Bioplastics\Renjie_Pan\05-Raw_Data\Lab_results\[LabSamples2025_Bioplastic_extra.xlsx]extra_Bioplastic'!A852)," ",'Q:\Abteilungsprojekte\Eng\EngData\PROJECT_Bioplastics\Renjie_Pan\05-Raw_Data\Lab_results\[LabSamples2025_Bioplastic_extra.xlsx]extra_Bioplastic'!A852)</f>
        <v/>
      </c>
      <c r="B852">
        <f>IF(ISBLANK('Q:\Abteilungsprojekte\Eng\EngData\PROJECT_Bioplastics\Renjie_Pan\05-Raw_Data\Lab_results\[LabSamples2025_Bioplastic_extra.xlsx]extra_Bioplastic'!B852)," ",'Q:\Abteilungsprojekte\Eng\EngData\PROJECT_Bioplastics\Renjie_Pan\05-Raw_Data\Lab_results\[LabSamples2025_Bioplastic_extra.xlsx]extra_Bioplastic'!B852)</f>
        <v/>
      </c>
      <c r="C852">
        <f>IF(ISBLANK('Q:\Abteilungsprojekte\Eng\EngData\PROJECT_Bioplastics\Renjie_Pan\05-Raw_Data\Lab_results\[LabSamples2025_Bioplastic_extra.xlsx]extra_Bioplastic'!C852)," ",'Q:\Abteilungsprojekte\Eng\EngData\PROJECT_Bioplastics\Renjie_Pan\05-Raw_Data\Lab_results\[LabSamples2025_Bioplastic_extra.xlsx]extra_Bioplastic'!C852)</f>
        <v/>
      </c>
      <c r="D852">
        <f>IF(ISBLANK('Q:\Abteilungsprojekte\Eng\EngData\PROJECT_Bioplastics\Renjie_Pan\05-Raw_Data\Lab_results\[LabSamples2025_Bioplastic_extra.xlsx]extra_Bioplastic'!D852)," ",'Q:\Abteilungsprojekte\Eng\EngData\PROJECT_Bioplastics\Renjie_Pan\05-Raw_Data\Lab_results\[LabSamples2025_Bioplastic_extra.xlsx]extra_Bioplastic'!D852)</f>
        <v/>
      </c>
      <c r="E852">
        <f>IF(ISBLANK('Q:\Abteilungsprojekte\Eng\EngData\PROJECT_Bioplastics\Renjie_Pan\05-Raw_Data\Lab_results\[LabSamples2025_Bioplastic_extra.xlsx]extra_Bioplastic'!E852)," ",'Q:\Abteilungsprojekte\Eng\EngData\PROJECT_Bioplastics\Renjie_Pan\05-Raw_Data\Lab_results\[LabSamples2025_Bioplastic_extra.xlsx]extra_Bioplastic'!E852)</f>
        <v/>
      </c>
      <c r="F852">
        <f>IF(ISBLANK('Q:\Abteilungsprojekte\Eng\EngData\PROJECT_Bioplastics\Renjie_Pan\05-Raw_Data\Lab_results\[LabSamples2025_Bioplastic_extra.xlsx]extra_Bioplastic'!F852)," ",'Q:\Abteilungsprojekte\Eng\EngData\PROJECT_Bioplastics\Renjie_Pan\05-Raw_Data\Lab_results\[LabSamples2025_Bioplastic_extra.xlsx]extra_Bioplastic'!F852)</f>
        <v/>
      </c>
      <c r="G852">
        <f>IF(ISBLANK('Q:\Abteilungsprojekte\Eng\EngData\PROJECT_Bioplastics\Renjie_Pan\05-Raw_Data\Lab_results\[LabSamples2025_Bioplastic_extra.xlsx]extra_Bioplastic'!G852)," ",'Q:\Abteilungsprojekte\Eng\EngData\PROJECT_Bioplastics\Renjie_Pan\05-Raw_Data\Lab_results\[LabSamples2025_Bioplastic_extra.xlsx]extra_Bioplastic'!G852)</f>
        <v/>
      </c>
      <c r="H852">
        <f>IF(ISBLANK('Q:\Abteilungsprojekte\Eng\EngData\PROJECT_Bioplastics\Renjie_Pan\05-Raw_Data\Lab_results\[LabSamples2025_Bioplastic_extra.xlsx]extra_Bioplastic'!H852)," ",'Q:\Abteilungsprojekte\Eng\EngData\PROJECT_Bioplastics\Renjie_Pan\05-Raw_Data\Lab_results\[LabSamples2025_Bioplastic_extra.xlsx]extra_Bioplastic'!H852)</f>
        <v/>
      </c>
    </row>
    <row r="853">
      <c r="A853">
        <f>IF(ISBLANK('Q:\Abteilungsprojekte\Eng\EngData\PROJECT_Bioplastics\Renjie_Pan\05-Raw_Data\Lab_results\[LabSamples2025_Bioplastic_extra.xlsx]extra_Bioplastic'!A853)," ",'Q:\Abteilungsprojekte\Eng\EngData\PROJECT_Bioplastics\Renjie_Pan\05-Raw_Data\Lab_results\[LabSamples2025_Bioplastic_extra.xlsx]extra_Bioplastic'!A853)</f>
        <v/>
      </c>
      <c r="B853">
        <f>IF(ISBLANK('Q:\Abteilungsprojekte\Eng\EngData\PROJECT_Bioplastics\Renjie_Pan\05-Raw_Data\Lab_results\[LabSamples2025_Bioplastic_extra.xlsx]extra_Bioplastic'!B853)," ",'Q:\Abteilungsprojekte\Eng\EngData\PROJECT_Bioplastics\Renjie_Pan\05-Raw_Data\Lab_results\[LabSamples2025_Bioplastic_extra.xlsx]extra_Bioplastic'!B853)</f>
        <v/>
      </c>
      <c r="C853">
        <f>IF(ISBLANK('Q:\Abteilungsprojekte\Eng\EngData\PROJECT_Bioplastics\Renjie_Pan\05-Raw_Data\Lab_results\[LabSamples2025_Bioplastic_extra.xlsx]extra_Bioplastic'!C853)," ",'Q:\Abteilungsprojekte\Eng\EngData\PROJECT_Bioplastics\Renjie_Pan\05-Raw_Data\Lab_results\[LabSamples2025_Bioplastic_extra.xlsx]extra_Bioplastic'!C853)</f>
        <v/>
      </c>
      <c r="D853">
        <f>IF(ISBLANK('Q:\Abteilungsprojekte\Eng\EngData\PROJECT_Bioplastics\Renjie_Pan\05-Raw_Data\Lab_results\[LabSamples2025_Bioplastic_extra.xlsx]extra_Bioplastic'!D853)," ",'Q:\Abteilungsprojekte\Eng\EngData\PROJECT_Bioplastics\Renjie_Pan\05-Raw_Data\Lab_results\[LabSamples2025_Bioplastic_extra.xlsx]extra_Bioplastic'!D853)</f>
        <v/>
      </c>
      <c r="E853">
        <f>IF(ISBLANK('Q:\Abteilungsprojekte\Eng\EngData\PROJECT_Bioplastics\Renjie_Pan\05-Raw_Data\Lab_results\[LabSamples2025_Bioplastic_extra.xlsx]extra_Bioplastic'!E853)," ",'Q:\Abteilungsprojekte\Eng\EngData\PROJECT_Bioplastics\Renjie_Pan\05-Raw_Data\Lab_results\[LabSamples2025_Bioplastic_extra.xlsx]extra_Bioplastic'!E853)</f>
        <v/>
      </c>
      <c r="F853">
        <f>IF(ISBLANK('Q:\Abteilungsprojekte\Eng\EngData\PROJECT_Bioplastics\Renjie_Pan\05-Raw_Data\Lab_results\[LabSamples2025_Bioplastic_extra.xlsx]extra_Bioplastic'!F853)," ",'Q:\Abteilungsprojekte\Eng\EngData\PROJECT_Bioplastics\Renjie_Pan\05-Raw_Data\Lab_results\[LabSamples2025_Bioplastic_extra.xlsx]extra_Bioplastic'!F853)</f>
        <v/>
      </c>
      <c r="G853">
        <f>IF(ISBLANK('Q:\Abteilungsprojekte\Eng\EngData\PROJECT_Bioplastics\Renjie_Pan\05-Raw_Data\Lab_results\[LabSamples2025_Bioplastic_extra.xlsx]extra_Bioplastic'!G853)," ",'Q:\Abteilungsprojekte\Eng\EngData\PROJECT_Bioplastics\Renjie_Pan\05-Raw_Data\Lab_results\[LabSamples2025_Bioplastic_extra.xlsx]extra_Bioplastic'!G853)</f>
        <v/>
      </c>
      <c r="H853">
        <f>IF(ISBLANK('Q:\Abteilungsprojekte\Eng\EngData\PROJECT_Bioplastics\Renjie_Pan\05-Raw_Data\Lab_results\[LabSamples2025_Bioplastic_extra.xlsx]extra_Bioplastic'!H853)," ",'Q:\Abteilungsprojekte\Eng\EngData\PROJECT_Bioplastics\Renjie_Pan\05-Raw_Data\Lab_results\[LabSamples2025_Bioplastic_extra.xlsx]extra_Bioplastic'!H853)</f>
        <v/>
      </c>
    </row>
    <row r="854">
      <c r="A854">
        <f>IF(ISBLANK('Q:\Abteilungsprojekte\Eng\EngData\PROJECT_Bioplastics\Renjie_Pan\05-Raw_Data\Lab_results\[LabSamples2025_Bioplastic_extra.xlsx]extra_Bioplastic'!A854)," ",'Q:\Abteilungsprojekte\Eng\EngData\PROJECT_Bioplastics\Renjie_Pan\05-Raw_Data\Lab_results\[LabSamples2025_Bioplastic_extra.xlsx]extra_Bioplastic'!A854)</f>
        <v/>
      </c>
      <c r="B854">
        <f>IF(ISBLANK('Q:\Abteilungsprojekte\Eng\EngData\PROJECT_Bioplastics\Renjie_Pan\05-Raw_Data\Lab_results\[LabSamples2025_Bioplastic_extra.xlsx]extra_Bioplastic'!B854)," ",'Q:\Abteilungsprojekte\Eng\EngData\PROJECT_Bioplastics\Renjie_Pan\05-Raw_Data\Lab_results\[LabSamples2025_Bioplastic_extra.xlsx]extra_Bioplastic'!B854)</f>
        <v/>
      </c>
      <c r="C854">
        <f>IF(ISBLANK('Q:\Abteilungsprojekte\Eng\EngData\PROJECT_Bioplastics\Renjie_Pan\05-Raw_Data\Lab_results\[LabSamples2025_Bioplastic_extra.xlsx]extra_Bioplastic'!C854)," ",'Q:\Abteilungsprojekte\Eng\EngData\PROJECT_Bioplastics\Renjie_Pan\05-Raw_Data\Lab_results\[LabSamples2025_Bioplastic_extra.xlsx]extra_Bioplastic'!C854)</f>
        <v/>
      </c>
      <c r="D854">
        <f>IF(ISBLANK('Q:\Abteilungsprojekte\Eng\EngData\PROJECT_Bioplastics\Renjie_Pan\05-Raw_Data\Lab_results\[LabSamples2025_Bioplastic_extra.xlsx]extra_Bioplastic'!D854)," ",'Q:\Abteilungsprojekte\Eng\EngData\PROJECT_Bioplastics\Renjie_Pan\05-Raw_Data\Lab_results\[LabSamples2025_Bioplastic_extra.xlsx]extra_Bioplastic'!D854)</f>
        <v/>
      </c>
      <c r="E854">
        <f>IF(ISBLANK('Q:\Abteilungsprojekte\Eng\EngData\PROJECT_Bioplastics\Renjie_Pan\05-Raw_Data\Lab_results\[LabSamples2025_Bioplastic_extra.xlsx]extra_Bioplastic'!E854)," ",'Q:\Abteilungsprojekte\Eng\EngData\PROJECT_Bioplastics\Renjie_Pan\05-Raw_Data\Lab_results\[LabSamples2025_Bioplastic_extra.xlsx]extra_Bioplastic'!E854)</f>
        <v/>
      </c>
      <c r="F854">
        <f>IF(ISBLANK('Q:\Abteilungsprojekte\Eng\EngData\PROJECT_Bioplastics\Renjie_Pan\05-Raw_Data\Lab_results\[LabSamples2025_Bioplastic_extra.xlsx]extra_Bioplastic'!F854)," ",'Q:\Abteilungsprojekte\Eng\EngData\PROJECT_Bioplastics\Renjie_Pan\05-Raw_Data\Lab_results\[LabSamples2025_Bioplastic_extra.xlsx]extra_Bioplastic'!F854)</f>
        <v/>
      </c>
      <c r="G854">
        <f>IF(ISBLANK('Q:\Abteilungsprojekte\Eng\EngData\PROJECT_Bioplastics\Renjie_Pan\05-Raw_Data\Lab_results\[LabSamples2025_Bioplastic_extra.xlsx]extra_Bioplastic'!G854)," ",'Q:\Abteilungsprojekte\Eng\EngData\PROJECT_Bioplastics\Renjie_Pan\05-Raw_Data\Lab_results\[LabSamples2025_Bioplastic_extra.xlsx]extra_Bioplastic'!G854)</f>
        <v/>
      </c>
      <c r="H854">
        <f>IF(ISBLANK('Q:\Abteilungsprojekte\Eng\EngData\PROJECT_Bioplastics\Renjie_Pan\05-Raw_Data\Lab_results\[LabSamples2025_Bioplastic_extra.xlsx]extra_Bioplastic'!H854)," ",'Q:\Abteilungsprojekte\Eng\EngData\PROJECT_Bioplastics\Renjie_Pan\05-Raw_Data\Lab_results\[LabSamples2025_Bioplastic_extra.xlsx]extra_Bioplastic'!H854)</f>
        <v/>
      </c>
    </row>
    <row r="855">
      <c r="A855">
        <f>IF(ISBLANK('Q:\Abteilungsprojekte\Eng\EngData\PROJECT_Bioplastics\Renjie_Pan\05-Raw_Data\Lab_results\[LabSamples2025_Bioplastic_extra.xlsx]extra_Bioplastic'!A855)," ",'Q:\Abteilungsprojekte\Eng\EngData\PROJECT_Bioplastics\Renjie_Pan\05-Raw_Data\Lab_results\[LabSamples2025_Bioplastic_extra.xlsx]extra_Bioplastic'!A855)</f>
        <v/>
      </c>
      <c r="B855">
        <f>IF(ISBLANK('Q:\Abteilungsprojekte\Eng\EngData\PROJECT_Bioplastics\Renjie_Pan\05-Raw_Data\Lab_results\[LabSamples2025_Bioplastic_extra.xlsx]extra_Bioplastic'!B855)," ",'Q:\Abteilungsprojekte\Eng\EngData\PROJECT_Bioplastics\Renjie_Pan\05-Raw_Data\Lab_results\[LabSamples2025_Bioplastic_extra.xlsx]extra_Bioplastic'!B855)</f>
        <v/>
      </c>
      <c r="C855">
        <f>IF(ISBLANK('Q:\Abteilungsprojekte\Eng\EngData\PROJECT_Bioplastics\Renjie_Pan\05-Raw_Data\Lab_results\[LabSamples2025_Bioplastic_extra.xlsx]extra_Bioplastic'!C855)," ",'Q:\Abteilungsprojekte\Eng\EngData\PROJECT_Bioplastics\Renjie_Pan\05-Raw_Data\Lab_results\[LabSamples2025_Bioplastic_extra.xlsx]extra_Bioplastic'!C855)</f>
        <v/>
      </c>
      <c r="D855">
        <f>IF(ISBLANK('Q:\Abteilungsprojekte\Eng\EngData\PROJECT_Bioplastics\Renjie_Pan\05-Raw_Data\Lab_results\[LabSamples2025_Bioplastic_extra.xlsx]extra_Bioplastic'!D855)," ",'Q:\Abteilungsprojekte\Eng\EngData\PROJECT_Bioplastics\Renjie_Pan\05-Raw_Data\Lab_results\[LabSamples2025_Bioplastic_extra.xlsx]extra_Bioplastic'!D855)</f>
        <v/>
      </c>
      <c r="E855">
        <f>IF(ISBLANK('Q:\Abteilungsprojekte\Eng\EngData\PROJECT_Bioplastics\Renjie_Pan\05-Raw_Data\Lab_results\[LabSamples2025_Bioplastic_extra.xlsx]extra_Bioplastic'!E855)," ",'Q:\Abteilungsprojekte\Eng\EngData\PROJECT_Bioplastics\Renjie_Pan\05-Raw_Data\Lab_results\[LabSamples2025_Bioplastic_extra.xlsx]extra_Bioplastic'!E855)</f>
        <v/>
      </c>
      <c r="F855">
        <f>IF(ISBLANK('Q:\Abteilungsprojekte\Eng\EngData\PROJECT_Bioplastics\Renjie_Pan\05-Raw_Data\Lab_results\[LabSamples2025_Bioplastic_extra.xlsx]extra_Bioplastic'!F855)," ",'Q:\Abteilungsprojekte\Eng\EngData\PROJECT_Bioplastics\Renjie_Pan\05-Raw_Data\Lab_results\[LabSamples2025_Bioplastic_extra.xlsx]extra_Bioplastic'!F855)</f>
        <v/>
      </c>
      <c r="G855">
        <f>IF(ISBLANK('Q:\Abteilungsprojekte\Eng\EngData\PROJECT_Bioplastics\Renjie_Pan\05-Raw_Data\Lab_results\[LabSamples2025_Bioplastic_extra.xlsx]extra_Bioplastic'!G855)," ",'Q:\Abteilungsprojekte\Eng\EngData\PROJECT_Bioplastics\Renjie_Pan\05-Raw_Data\Lab_results\[LabSamples2025_Bioplastic_extra.xlsx]extra_Bioplastic'!G855)</f>
        <v/>
      </c>
      <c r="H855">
        <f>IF(ISBLANK('Q:\Abteilungsprojekte\Eng\EngData\PROJECT_Bioplastics\Renjie_Pan\05-Raw_Data\Lab_results\[LabSamples2025_Bioplastic_extra.xlsx]extra_Bioplastic'!H855)," ",'Q:\Abteilungsprojekte\Eng\EngData\PROJECT_Bioplastics\Renjie_Pan\05-Raw_Data\Lab_results\[LabSamples2025_Bioplastic_extra.xlsx]extra_Bioplastic'!H855)</f>
        <v/>
      </c>
    </row>
    <row r="856">
      <c r="A856">
        <f>IF(ISBLANK('Q:\Abteilungsprojekte\Eng\EngData\PROJECT_Bioplastics\Renjie_Pan\05-Raw_Data\Lab_results\[LabSamples2025_Bioplastic_extra.xlsx]extra_Bioplastic'!A856)," ",'Q:\Abteilungsprojekte\Eng\EngData\PROJECT_Bioplastics\Renjie_Pan\05-Raw_Data\Lab_results\[LabSamples2025_Bioplastic_extra.xlsx]extra_Bioplastic'!A856)</f>
        <v/>
      </c>
      <c r="B856">
        <f>IF(ISBLANK('Q:\Abteilungsprojekte\Eng\EngData\PROJECT_Bioplastics\Renjie_Pan\05-Raw_Data\Lab_results\[LabSamples2025_Bioplastic_extra.xlsx]extra_Bioplastic'!B856)," ",'Q:\Abteilungsprojekte\Eng\EngData\PROJECT_Bioplastics\Renjie_Pan\05-Raw_Data\Lab_results\[LabSamples2025_Bioplastic_extra.xlsx]extra_Bioplastic'!B856)</f>
        <v/>
      </c>
      <c r="C856">
        <f>IF(ISBLANK('Q:\Abteilungsprojekte\Eng\EngData\PROJECT_Bioplastics\Renjie_Pan\05-Raw_Data\Lab_results\[LabSamples2025_Bioplastic_extra.xlsx]extra_Bioplastic'!C856)," ",'Q:\Abteilungsprojekte\Eng\EngData\PROJECT_Bioplastics\Renjie_Pan\05-Raw_Data\Lab_results\[LabSamples2025_Bioplastic_extra.xlsx]extra_Bioplastic'!C856)</f>
        <v/>
      </c>
      <c r="D856">
        <f>IF(ISBLANK('Q:\Abteilungsprojekte\Eng\EngData\PROJECT_Bioplastics\Renjie_Pan\05-Raw_Data\Lab_results\[LabSamples2025_Bioplastic_extra.xlsx]extra_Bioplastic'!D856)," ",'Q:\Abteilungsprojekte\Eng\EngData\PROJECT_Bioplastics\Renjie_Pan\05-Raw_Data\Lab_results\[LabSamples2025_Bioplastic_extra.xlsx]extra_Bioplastic'!D856)</f>
        <v/>
      </c>
      <c r="E856">
        <f>IF(ISBLANK('Q:\Abteilungsprojekte\Eng\EngData\PROJECT_Bioplastics\Renjie_Pan\05-Raw_Data\Lab_results\[LabSamples2025_Bioplastic_extra.xlsx]extra_Bioplastic'!E856)," ",'Q:\Abteilungsprojekte\Eng\EngData\PROJECT_Bioplastics\Renjie_Pan\05-Raw_Data\Lab_results\[LabSamples2025_Bioplastic_extra.xlsx]extra_Bioplastic'!E856)</f>
        <v/>
      </c>
      <c r="F856">
        <f>IF(ISBLANK('Q:\Abteilungsprojekte\Eng\EngData\PROJECT_Bioplastics\Renjie_Pan\05-Raw_Data\Lab_results\[LabSamples2025_Bioplastic_extra.xlsx]extra_Bioplastic'!F856)," ",'Q:\Abteilungsprojekte\Eng\EngData\PROJECT_Bioplastics\Renjie_Pan\05-Raw_Data\Lab_results\[LabSamples2025_Bioplastic_extra.xlsx]extra_Bioplastic'!F856)</f>
        <v/>
      </c>
      <c r="G856">
        <f>IF(ISBLANK('Q:\Abteilungsprojekte\Eng\EngData\PROJECT_Bioplastics\Renjie_Pan\05-Raw_Data\Lab_results\[LabSamples2025_Bioplastic_extra.xlsx]extra_Bioplastic'!G856)," ",'Q:\Abteilungsprojekte\Eng\EngData\PROJECT_Bioplastics\Renjie_Pan\05-Raw_Data\Lab_results\[LabSamples2025_Bioplastic_extra.xlsx]extra_Bioplastic'!G856)</f>
        <v/>
      </c>
      <c r="H856">
        <f>IF(ISBLANK('Q:\Abteilungsprojekte\Eng\EngData\PROJECT_Bioplastics\Renjie_Pan\05-Raw_Data\Lab_results\[LabSamples2025_Bioplastic_extra.xlsx]extra_Bioplastic'!H856)," ",'Q:\Abteilungsprojekte\Eng\EngData\PROJECT_Bioplastics\Renjie_Pan\05-Raw_Data\Lab_results\[LabSamples2025_Bioplastic_extra.xlsx]extra_Bioplastic'!H856)</f>
        <v/>
      </c>
    </row>
    <row r="857">
      <c r="A857">
        <f>IF(ISBLANK('Q:\Abteilungsprojekte\Eng\EngData\PROJECT_Bioplastics\Renjie_Pan\05-Raw_Data\Lab_results\[LabSamples2025_Bioplastic_extra.xlsx]extra_Bioplastic'!A857)," ",'Q:\Abteilungsprojekte\Eng\EngData\PROJECT_Bioplastics\Renjie_Pan\05-Raw_Data\Lab_results\[LabSamples2025_Bioplastic_extra.xlsx]extra_Bioplastic'!A857)</f>
        <v/>
      </c>
      <c r="B857">
        <f>IF(ISBLANK('Q:\Abteilungsprojekte\Eng\EngData\PROJECT_Bioplastics\Renjie_Pan\05-Raw_Data\Lab_results\[LabSamples2025_Bioplastic_extra.xlsx]extra_Bioplastic'!B857)," ",'Q:\Abteilungsprojekte\Eng\EngData\PROJECT_Bioplastics\Renjie_Pan\05-Raw_Data\Lab_results\[LabSamples2025_Bioplastic_extra.xlsx]extra_Bioplastic'!B857)</f>
        <v/>
      </c>
      <c r="C857">
        <f>IF(ISBLANK('Q:\Abteilungsprojekte\Eng\EngData\PROJECT_Bioplastics\Renjie_Pan\05-Raw_Data\Lab_results\[LabSamples2025_Bioplastic_extra.xlsx]extra_Bioplastic'!C857)," ",'Q:\Abteilungsprojekte\Eng\EngData\PROJECT_Bioplastics\Renjie_Pan\05-Raw_Data\Lab_results\[LabSamples2025_Bioplastic_extra.xlsx]extra_Bioplastic'!C857)</f>
        <v/>
      </c>
      <c r="D857">
        <f>IF(ISBLANK('Q:\Abteilungsprojekte\Eng\EngData\PROJECT_Bioplastics\Renjie_Pan\05-Raw_Data\Lab_results\[LabSamples2025_Bioplastic_extra.xlsx]extra_Bioplastic'!D857)," ",'Q:\Abteilungsprojekte\Eng\EngData\PROJECT_Bioplastics\Renjie_Pan\05-Raw_Data\Lab_results\[LabSamples2025_Bioplastic_extra.xlsx]extra_Bioplastic'!D857)</f>
        <v/>
      </c>
      <c r="E857">
        <f>IF(ISBLANK('Q:\Abteilungsprojekte\Eng\EngData\PROJECT_Bioplastics\Renjie_Pan\05-Raw_Data\Lab_results\[LabSamples2025_Bioplastic_extra.xlsx]extra_Bioplastic'!E857)," ",'Q:\Abteilungsprojekte\Eng\EngData\PROJECT_Bioplastics\Renjie_Pan\05-Raw_Data\Lab_results\[LabSamples2025_Bioplastic_extra.xlsx]extra_Bioplastic'!E857)</f>
        <v/>
      </c>
      <c r="F857">
        <f>IF(ISBLANK('Q:\Abteilungsprojekte\Eng\EngData\PROJECT_Bioplastics\Renjie_Pan\05-Raw_Data\Lab_results\[LabSamples2025_Bioplastic_extra.xlsx]extra_Bioplastic'!F857)," ",'Q:\Abteilungsprojekte\Eng\EngData\PROJECT_Bioplastics\Renjie_Pan\05-Raw_Data\Lab_results\[LabSamples2025_Bioplastic_extra.xlsx]extra_Bioplastic'!F857)</f>
        <v/>
      </c>
      <c r="G857">
        <f>IF(ISBLANK('Q:\Abteilungsprojekte\Eng\EngData\PROJECT_Bioplastics\Renjie_Pan\05-Raw_Data\Lab_results\[LabSamples2025_Bioplastic_extra.xlsx]extra_Bioplastic'!G857)," ",'Q:\Abteilungsprojekte\Eng\EngData\PROJECT_Bioplastics\Renjie_Pan\05-Raw_Data\Lab_results\[LabSamples2025_Bioplastic_extra.xlsx]extra_Bioplastic'!G857)</f>
        <v/>
      </c>
      <c r="H857">
        <f>IF(ISBLANK('Q:\Abteilungsprojekte\Eng\EngData\PROJECT_Bioplastics\Renjie_Pan\05-Raw_Data\Lab_results\[LabSamples2025_Bioplastic_extra.xlsx]extra_Bioplastic'!H857)," ",'Q:\Abteilungsprojekte\Eng\EngData\PROJECT_Bioplastics\Renjie_Pan\05-Raw_Data\Lab_results\[LabSamples2025_Bioplastic_extra.xlsx]extra_Bioplastic'!H857)</f>
        <v/>
      </c>
    </row>
    <row r="858">
      <c r="A858">
        <f>IF(ISBLANK('Q:\Abteilungsprojekte\Eng\EngData\PROJECT_Bioplastics\Renjie_Pan\05-Raw_Data\Lab_results\[LabSamples2025_Bioplastic_extra.xlsx]extra_Bioplastic'!A858)," ",'Q:\Abteilungsprojekte\Eng\EngData\PROJECT_Bioplastics\Renjie_Pan\05-Raw_Data\Lab_results\[LabSamples2025_Bioplastic_extra.xlsx]extra_Bioplastic'!A858)</f>
        <v/>
      </c>
      <c r="B858">
        <f>IF(ISBLANK('Q:\Abteilungsprojekte\Eng\EngData\PROJECT_Bioplastics\Renjie_Pan\05-Raw_Data\Lab_results\[LabSamples2025_Bioplastic_extra.xlsx]extra_Bioplastic'!B858)," ",'Q:\Abteilungsprojekte\Eng\EngData\PROJECT_Bioplastics\Renjie_Pan\05-Raw_Data\Lab_results\[LabSamples2025_Bioplastic_extra.xlsx]extra_Bioplastic'!B858)</f>
        <v/>
      </c>
      <c r="C858">
        <f>IF(ISBLANK('Q:\Abteilungsprojekte\Eng\EngData\PROJECT_Bioplastics\Renjie_Pan\05-Raw_Data\Lab_results\[LabSamples2025_Bioplastic_extra.xlsx]extra_Bioplastic'!C858)," ",'Q:\Abteilungsprojekte\Eng\EngData\PROJECT_Bioplastics\Renjie_Pan\05-Raw_Data\Lab_results\[LabSamples2025_Bioplastic_extra.xlsx]extra_Bioplastic'!C858)</f>
        <v/>
      </c>
      <c r="D858">
        <f>IF(ISBLANK('Q:\Abteilungsprojekte\Eng\EngData\PROJECT_Bioplastics\Renjie_Pan\05-Raw_Data\Lab_results\[LabSamples2025_Bioplastic_extra.xlsx]extra_Bioplastic'!D858)," ",'Q:\Abteilungsprojekte\Eng\EngData\PROJECT_Bioplastics\Renjie_Pan\05-Raw_Data\Lab_results\[LabSamples2025_Bioplastic_extra.xlsx]extra_Bioplastic'!D858)</f>
        <v/>
      </c>
      <c r="E858">
        <f>IF(ISBLANK('Q:\Abteilungsprojekte\Eng\EngData\PROJECT_Bioplastics\Renjie_Pan\05-Raw_Data\Lab_results\[LabSamples2025_Bioplastic_extra.xlsx]extra_Bioplastic'!E858)," ",'Q:\Abteilungsprojekte\Eng\EngData\PROJECT_Bioplastics\Renjie_Pan\05-Raw_Data\Lab_results\[LabSamples2025_Bioplastic_extra.xlsx]extra_Bioplastic'!E858)</f>
        <v/>
      </c>
      <c r="F858">
        <f>IF(ISBLANK('Q:\Abteilungsprojekte\Eng\EngData\PROJECT_Bioplastics\Renjie_Pan\05-Raw_Data\Lab_results\[LabSamples2025_Bioplastic_extra.xlsx]extra_Bioplastic'!F858)," ",'Q:\Abteilungsprojekte\Eng\EngData\PROJECT_Bioplastics\Renjie_Pan\05-Raw_Data\Lab_results\[LabSamples2025_Bioplastic_extra.xlsx]extra_Bioplastic'!F858)</f>
        <v/>
      </c>
      <c r="G858">
        <f>IF(ISBLANK('Q:\Abteilungsprojekte\Eng\EngData\PROJECT_Bioplastics\Renjie_Pan\05-Raw_Data\Lab_results\[LabSamples2025_Bioplastic_extra.xlsx]extra_Bioplastic'!G858)," ",'Q:\Abteilungsprojekte\Eng\EngData\PROJECT_Bioplastics\Renjie_Pan\05-Raw_Data\Lab_results\[LabSamples2025_Bioplastic_extra.xlsx]extra_Bioplastic'!G858)</f>
        <v/>
      </c>
      <c r="H858">
        <f>IF(ISBLANK('Q:\Abteilungsprojekte\Eng\EngData\PROJECT_Bioplastics\Renjie_Pan\05-Raw_Data\Lab_results\[LabSamples2025_Bioplastic_extra.xlsx]extra_Bioplastic'!H858)," ",'Q:\Abteilungsprojekte\Eng\EngData\PROJECT_Bioplastics\Renjie_Pan\05-Raw_Data\Lab_results\[LabSamples2025_Bioplastic_extra.xlsx]extra_Bioplastic'!H858)</f>
        <v/>
      </c>
    </row>
    <row r="859">
      <c r="A859">
        <f>IF(ISBLANK('Q:\Abteilungsprojekte\Eng\EngData\PROJECT_Bioplastics\Renjie_Pan\05-Raw_Data\Lab_results\[LabSamples2025_Bioplastic_extra.xlsx]extra_Bioplastic'!A859)," ",'Q:\Abteilungsprojekte\Eng\EngData\PROJECT_Bioplastics\Renjie_Pan\05-Raw_Data\Lab_results\[LabSamples2025_Bioplastic_extra.xlsx]extra_Bioplastic'!A859)</f>
        <v/>
      </c>
      <c r="B859">
        <f>IF(ISBLANK('Q:\Abteilungsprojekte\Eng\EngData\PROJECT_Bioplastics\Renjie_Pan\05-Raw_Data\Lab_results\[LabSamples2025_Bioplastic_extra.xlsx]extra_Bioplastic'!B859)," ",'Q:\Abteilungsprojekte\Eng\EngData\PROJECT_Bioplastics\Renjie_Pan\05-Raw_Data\Lab_results\[LabSamples2025_Bioplastic_extra.xlsx]extra_Bioplastic'!B859)</f>
        <v/>
      </c>
      <c r="C859">
        <f>IF(ISBLANK('Q:\Abteilungsprojekte\Eng\EngData\PROJECT_Bioplastics\Renjie_Pan\05-Raw_Data\Lab_results\[LabSamples2025_Bioplastic_extra.xlsx]extra_Bioplastic'!C859)," ",'Q:\Abteilungsprojekte\Eng\EngData\PROJECT_Bioplastics\Renjie_Pan\05-Raw_Data\Lab_results\[LabSamples2025_Bioplastic_extra.xlsx]extra_Bioplastic'!C859)</f>
        <v/>
      </c>
      <c r="D859">
        <f>IF(ISBLANK('Q:\Abteilungsprojekte\Eng\EngData\PROJECT_Bioplastics\Renjie_Pan\05-Raw_Data\Lab_results\[LabSamples2025_Bioplastic_extra.xlsx]extra_Bioplastic'!D859)," ",'Q:\Abteilungsprojekte\Eng\EngData\PROJECT_Bioplastics\Renjie_Pan\05-Raw_Data\Lab_results\[LabSamples2025_Bioplastic_extra.xlsx]extra_Bioplastic'!D859)</f>
        <v/>
      </c>
      <c r="E859">
        <f>IF(ISBLANK('Q:\Abteilungsprojekte\Eng\EngData\PROJECT_Bioplastics\Renjie_Pan\05-Raw_Data\Lab_results\[LabSamples2025_Bioplastic_extra.xlsx]extra_Bioplastic'!E859)," ",'Q:\Abteilungsprojekte\Eng\EngData\PROJECT_Bioplastics\Renjie_Pan\05-Raw_Data\Lab_results\[LabSamples2025_Bioplastic_extra.xlsx]extra_Bioplastic'!E859)</f>
        <v/>
      </c>
      <c r="F859">
        <f>IF(ISBLANK('Q:\Abteilungsprojekte\Eng\EngData\PROJECT_Bioplastics\Renjie_Pan\05-Raw_Data\Lab_results\[LabSamples2025_Bioplastic_extra.xlsx]extra_Bioplastic'!F859)," ",'Q:\Abteilungsprojekte\Eng\EngData\PROJECT_Bioplastics\Renjie_Pan\05-Raw_Data\Lab_results\[LabSamples2025_Bioplastic_extra.xlsx]extra_Bioplastic'!F859)</f>
        <v/>
      </c>
      <c r="G859">
        <f>IF(ISBLANK('Q:\Abteilungsprojekte\Eng\EngData\PROJECT_Bioplastics\Renjie_Pan\05-Raw_Data\Lab_results\[LabSamples2025_Bioplastic_extra.xlsx]extra_Bioplastic'!G859)," ",'Q:\Abteilungsprojekte\Eng\EngData\PROJECT_Bioplastics\Renjie_Pan\05-Raw_Data\Lab_results\[LabSamples2025_Bioplastic_extra.xlsx]extra_Bioplastic'!G859)</f>
        <v/>
      </c>
      <c r="H859">
        <f>IF(ISBLANK('Q:\Abteilungsprojekte\Eng\EngData\PROJECT_Bioplastics\Renjie_Pan\05-Raw_Data\Lab_results\[LabSamples2025_Bioplastic_extra.xlsx]extra_Bioplastic'!H859)," ",'Q:\Abteilungsprojekte\Eng\EngData\PROJECT_Bioplastics\Renjie_Pan\05-Raw_Data\Lab_results\[LabSamples2025_Bioplastic_extra.xlsx]extra_Bioplastic'!H859)</f>
        <v/>
      </c>
    </row>
    <row r="860">
      <c r="A860">
        <f>IF(ISBLANK('Q:\Abteilungsprojekte\Eng\EngData\PROJECT_Bioplastics\Renjie_Pan\05-Raw_Data\Lab_results\[LabSamples2025_Bioplastic_extra.xlsx]extra_Bioplastic'!A860)," ",'Q:\Abteilungsprojekte\Eng\EngData\PROJECT_Bioplastics\Renjie_Pan\05-Raw_Data\Lab_results\[LabSamples2025_Bioplastic_extra.xlsx]extra_Bioplastic'!A860)</f>
        <v/>
      </c>
      <c r="B860">
        <f>IF(ISBLANK('Q:\Abteilungsprojekte\Eng\EngData\PROJECT_Bioplastics\Renjie_Pan\05-Raw_Data\Lab_results\[LabSamples2025_Bioplastic_extra.xlsx]extra_Bioplastic'!B860)," ",'Q:\Abteilungsprojekte\Eng\EngData\PROJECT_Bioplastics\Renjie_Pan\05-Raw_Data\Lab_results\[LabSamples2025_Bioplastic_extra.xlsx]extra_Bioplastic'!B860)</f>
        <v/>
      </c>
      <c r="C860">
        <f>IF(ISBLANK('Q:\Abteilungsprojekte\Eng\EngData\PROJECT_Bioplastics\Renjie_Pan\05-Raw_Data\Lab_results\[LabSamples2025_Bioplastic_extra.xlsx]extra_Bioplastic'!C860)," ",'Q:\Abteilungsprojekte\Eng\EngData\PROJECT_Bioplastics\Renjie_Pan\05-Raw_Data\Lab_results\[LabSamples2025_Bioplastic_extra.xlsx]extra_Bioplastic'!C860)</f>
        <v/>
      </c>
      <c r="D860">
        <f>IF(ISBLANK('Q:\Abteilungsprojekte\Eng\EngData\PROJECT_Bioplastics\Renjie_Pan\05-Raw_Data\Lab_results\[LabSamples2025_Bioplastic_extra.xlsx]extra_Bioplastic'!D860)," ",'Q:\Abteilungsprojekte\Eng\EngData\PROJECT_Bioplastics\Renjie_Pan\05-Raw_Data\Lab_results\[LabSamples2025_Bioplastic_extra.xlsx]extra_Bioplastic'!D860)</f>
        <v/>
      </c>
      <c r="E860">
        <f>IF(ISBLANK('Q:\Abteilungsprojekte\Eng\EngData\PROJECT_Bioplastics\Renjie_Pan\05-Raw_Data\Lab_results\[LabSamples2025_Bioplastic_extra.xlsx]extra_Bioplastic'!E860)," ",'Q:\Abteilungsprojekte\Eng\EngData\PROJECT_Bioplastics\Renjie_Pan\05-Raw_Data\Lab_results\[LabSamples2025_Bioplastic_extra.xlsx]extra_Bioplastic'!E860)</f>
        <v/>
      </c>
      <c r="F860">
        <f>IF(ISBLANK('Q:\Abteilungsprojekte\Eng\EngData\PROJECT_Bioplastics\Renjie_Pan\05-Raw_Data\Lab_results\[LabSamples2025_Bioplastic_extra.xlsx]extra_Bioplastic'!F860)," ",'Q:\Abteilungsprojekte\Eng\EngData\PROJECT_Bioplastics\Renjie_Pan\05-Raw_Data\Lab_results\[LabSamples2025_Bioplastic_extra.xlsx]extra_Bioplastic'!F860)</f>
        <v/>
      </c>
      <c r="G860">
        <f>IF(ISBLANK('Q:\Abteilungsprojekte\Eng\EngData\PROJECT_Bioplastics\Renjie_Pan\05-Raw_Data\Lab_results\[LabSamples2025_Bioplastic_extra.xlsx]extra_Bioplastic'!G860)," ",'Q:\Abteilungsprojekte\Eng\EngData\PROJECT_Bioplastics\Renjie_Pan\05-Raw_Data\Lab_results\[LabSamples2025_Bioplastic_extra.xlsx]extra_Bioplastic'!G860)</f>
        <v/>
      </c>
      <c r="H860">
        <f>IF(ISBLANK('Q:\Abteilungsprojekte\Eng\EngData\PROJECT_Bioplastics\Renjie_Pan\05-Raw_Data\Lab_results\[LabSamples2025_Bioplastic_extra.xlsx]extra_Bioplastic'!H860)," ",'Q:\Abteilungsprojekte\Eng\EngData\PROJECT_Bioplastics\Renjie_Pan\05-Raw_Data\Lab_results\[LabSamples2025_Bioplastic_extra.xlsx]extra_Bioplastic'!H860)</f>
        <v/>
      </c>
    </row>
    <row r="861">
      <c r="A861">
        <f>IF(ISBLANK('Q:\Abteilungsprojekte\Eng\EngData\PROJECT_Bioplastics\Renjie_Pan\05-Raw_Data\Lab_results\[LabSamples2025_Bioplastic_extra.xlsx]extra_Bioplastic'!A861)," ",'Q:\Abteilungsprojekte\Eng\EngData\PROJECT_Bioplastics\Renjie_Pan\05-Raw_Data\Lab_results\[LabSamples2025_Bioplastic_extra.xlsx]extra_Bioplastic'!A861)</f>
        <v/>
      </c>
      <c r="B861">
        <f>IF(ISBLANK('Q:\Abteilungsprojekte\Eng\EngData\PROJECT_Bioplastics\Renjie_Pan\05-Raw_Data\Lab_results\[LabSamples2025_Bioplastic_extra.xlsx]extra_Bioplastic'!B861)," ",'Q:\Abteilungsprojekte\Eng\EngData\PROJECT_Bioplastics\Renjie_Pan\05-Raw_Data\Lab_results\[LabSamples2025_Bioplastic_extra.xlsx]extra_Bioplastic'!B861)</f>
        <v/>
      </c>
      <c r="C861">
        <f>IF(ISBLANK('Q:\Abteilungsprojekte\Eng\EngData\PROJECT_Bioplastics\Renjie_Pan\05-Raw_Data\Lab_results\[LabSamples2025_Bioplastic_extra.xlsx]extra_Bioplastic'!C861)," ",'Q:\Abteilungsprojekte\Eng\EngData\PROJECT_Bioplastics\Renjie_Pan\05-Raw_Data\Lab_results\[LabSamples2025_Bioplastic_extra.xlsx]extra_Bioplastic'!C861)</f>
        <v/>
      </c>
      <c r="D861">
        <f>IF(ISBLANK('Q:\Abteilungsprojekte\Eng\EngData\PROJECT_Bioplastics\Renjie_Pan\05-Raw_Data\Lab_results\[LabSamples2025_Bioplastic_extra.xlsx]extra_Bioplastic'!D861)," ",'Q:\Abteilungsprojekte\Eng\EngData\PROJECT_Bioplastics\Renjie_Pan\05-Raw_Data\Lab_results\[LabSamples2025_Bioplastic_extra.xlsx]extra_Bioplastic'!D861)</f>
        <v/>
      </c>
      <c r="E861">
        <f>IF(ISBLANK('Q:\Abteilungsprojekte\Eng\EngData\PROJECT_Bioplastics\Renjie_Pan\05-Raw_Data\Lab_results\[LabSamples2025_Bioplastic_extra.xlsx]extra_Bioplastic'!E861)," ",'Q:\Abteilungsprojekte\Eng\EngData\PROJECT_Bioplastics\Renjie_Pan\05-Raw_Data\Lab_results\[LabSamples2025_Bioplastic_extra.xlsx]extra_Bioplastic'!E861)</f>
        <v/>
      </c>
      <c r="F861">
        <f>IF(ISBLANK('Q:\Abteilungsprojekte\Eng\EngData\PROJECT_Bioplastics\Renjie_Pan\05-Raw_Data\Lab_results\[LabSamples2025_Bioplastic_extra.xlsx]extra_Bioplastic'!F861)," ",'Q:\Abteilungsprojekte\Eng\EngData\PROJECT_Bioplastics\Renjie_Pan\05-Raw_Data\Lab_results\[LabSamples2025_Bioplastic_extra.xlsx]extra_Bioplastic'!F861)</f>
        <v/>
      </c>
      <c r="G861">
        <f>IF(ISBLANK('Q:\Abteilungsprojekte\Eng\EngData\PROJECT_Bioplastics\Renjie_Pan\05-Raw_Data\Lab_results\[LabSamples2025_Bioplastic_extra.xlsx]extra_Bioplastic'!G861)," ",'Q:\Abteilungsprojekte\Eng\EngData\PROJECT_Bioplastics\Renjie_Pan\05-Raw_Data\Lab_results\[LabSamples2025_Bioplastic_extra.xlsx]extra_Bioplastic'!G861)</f>
        <v/>
      </c>
      <c r="H861">
        <f>IF(ISBLANK('Q:\Abteilungsprojekte\Eng\EngData\PROJECT_Bioplastics\Renjie_Pan\05-Raw_Data\Lab_results\[LabSamples2025_Bioplastic_extra.xlsx]extra_Bioplastic'!H861)," ",'Q:\Abteilungsprojekte\Eng\EngData\PROJECT_Bioplastics\Renjie_Pan\05-Raw_Data\Lab_results\[LabSamples2025_Bioplastic_extra.xlsx]extra_Bioplastic'!H861)</f>
        <v/>
      </c>
    </row>
    <row r="862">
      <c r="A862">
        <f>IF(ISBLANK('Q:\Abteilungsprojekte\Eng\EngData\PROJECT_Bioplastics\Renjie_Pan\05-Raw_Data\Lab_results\[LabSamples2025_Bioplastic_extra.xlsx]extra_Bioplastic'!A862)," ",'Q:\Abteilungsprojekte\Eng\EngData\PROJECT_Bioplastics\Renjie_Pan\05-Raw_Data\Lab_results\[LabSamples2025_Bioplastic_extra.xlsx]extra_Bioplastic'!A862)</f>
        <v/>
      </c>
      <c r="B862">
        <f>IF(ISBLANK('Q:\Abteilungsprojekte\Eng\EngData\PROJECT_Bioplastics\Renjie_Pan\05-Raw_Data\Lab_results\[LabSamples2025_Bioplastic_extra.xlsx]extra_Bioplastic'!B862)," ",'Q:\Abteilungsprojekte\Eng\EngData\PROJECT_Bioplastics\Renjie_Pan\05-Raw_Data\Lab_results\[LabSamples2025_Bioplastic_extra.xlsx]extra_Bioplastic'!B862)</f>
        <v/>
      </c>
      <c r="C862">
        <f>IF(ISBLANK('Q:\Abteilungsprojekte\Eng\EngData\PROJECT_Bioplastics\Renjie_Pan\05-Raw_Data\Lab_results\[LabSamples2025_Bioplastic_extra.xlsx]extra_Bioplastic'!C862)," ",'Q:\Abteilungsprojekte\Eng\EngData\PROJECT_Bioplastics\Renjie_Pan\05-Raw_Data\Lab_results\[LabSamples2025_Bioplastic_extra.xlsx]extra_Bioplastic'!C862)</f>
        <v/>
      </c>
      <c r="D862">
        <f>IF(ISBLANK('Q:\Abteilungsprojekte\Eng\EngData\PROJECT_Bioplastics\Renjie_Pan\05-Raw_Data\Lab_results\[LabSamples2025_Bioplastic_extra.xlsx]extra_Bioplastic'!D862)," ",'Q:\Abteilungsprojekte\Eng\EngData\PROJECT_Bioplastics\Renjie_Pan\05-Raw_Data\Lab_results\[LabSamples2025_Bioplastic_extra.xlsx]extra_Bioplastic'!D862)</f>
        <v/>
      </c>
      <c r="E862">
        <f>IF(ISBLANK('Q:\Abteilungsprojekte\Eng\EngData\PROJECT_Bioplastics\Renjie_Pan\05-Raw_Data\Lab_results\[LabSamples2025_Bioplastic_extra.xlsx]extra_Bioplastic'!E862)," ",'Q:\Abteilungsprojekte\Eng\EngData\PROJECT_Bioplastics\Renjie_Pan\05-Raw_Data\Lab_results\[LabSamples2025_Bioplastic_extra.xlsx]extra_Bioplastic'!E862)</f>
        <v/>
      </c>
      <c r="F862">
        <f>IF(ISBLANK('Q:\Abteilungsprojekte\Eng\EngData\PROJECT_Bioplastics\Renjie_Pan\05-Raw_Data\Lab_results\[LabSamples2025_Bioplastic_extra.xlsx]extra_Bioplastic'!F862)," ",'Q:\Abteilungsprojekte\Eng\EngData\PROJECT_Bioplastics\Renjie_Pan\05-Raw_Data\Lab_results\[LabSamples2025_Bioplastic_extra.xlsx]extra_Bioplastic'!F862)</f>
        <v/>
      </c>
      <c r="G862">
        <f>IF(ISBLANK('Q:\Abteilungsprojekte\Eng\EngData\PROJECT_Bioplastics\Renjie_Pan\05-Raw_Data\Lab_results\[LabSamples2025_Bioplastic_extra.xlsx]extra_Bioplastic'!G862)," ",'Q:\Abteilungsprojekte\Eng\EngData\PROJECT_Bioplastics\Renjie_Pan\05-Raw_Data\Lab_results\[LabSamples2025_Bioplastic_extra.xlsx]extra_Bioplastic'!G862)</f>
        <v/>
      </c>
      <c r="H862">
        <f>IF(ISBLANK('Q:\Abteilungsprojekte\Eng\EngData\PROJECT_Bioplastics\Renjie_Pan\05-Raw_Data\Lab_results\[LabSamples2025_Bioplastic_extra.xlsx]extra_Bioplastic'!H862)," ",'Q:\Abteilungsprojekte\Eng\EngData\PROJECT_Bioplastics\Renjie_Pan\05-Raw_Data\Lab_results\[LabSamples2025_Bioplastic_extra.xlsx]extra_Bioplastic'!H862)</f>
        <v/>
      </c>
    </row>
    <row r="863">
      <c r="A863">
        <f>IF(ISBLANK('Q:\Abteilungsprojekte\Eng\EngData\PROJECT_Bioplastics\Renjie_Pan\05-Raw_Data\Lab_results\[LabSamples2025_Bioplastic_extra.xlsx]extra_Bioplastic'!A863)," ",'Q:\Abteilungsprojekte\Eng\EngData\PROJECT_Bioplastics\Renjie_Pan\05-Raw_Data\Lab_results\[LabSamples2025_Bioplastic_extra.xlsx]extra_Bioplastic'!A863)</f>
        <v/>
      </c>
      <c r="B863">
        <f>IF(ISBLANK('Q:\Abteilungsprojekte\Eng\EngData\PROJECT_Bioplastics\Renjie_Pan\05-Raw_Data\Lab_results\[LabSamples2025_Bioplastic_extra.xlsx]extra_Bioplastic'!B863)," ",'Q:\Abteilungsprojekte\Eng\EngData\PROJECT_Bioplastics\Renjie_Pan\05-Raw_Data\Lab_results\[LabSamples2025_Bioplastic_extra.xlsx]extra_Bioplastic'!B863)</f>
        <v/>
      </c>
      <c r="C863">
        <f>IF(ISBLANK('Q:\Abteilungsprojekte\Eng\EngData\PROJECT_Bioplastics\Renjie_Pan\05-Raw_Data\Lab_results\[LabSamples2025_Bioplastic_extra.xlsx]extra_Bioplastic'!C863)," ",'Q:\Abteilungsprojekte\Eng\EngData\PROJECT_Bioplastics\Renjie_Pan\05-Raw_Data\Lab_results\[LabSamples2025_Bioplastic_extra.xlsx]extra_Bioplastic'!C863)</f>
        <v/>
      </c>
      <c r="D863">
        <f>IF(ISBLANK('Q:\Abteilungsprojekte\Eng\EngData\PROJECT_Bioplastics\Renjie_Pan\05-Raw_Data\Lab_results\[LabSamples2025_Bioplastic_extra.xlsx]extra_Bioplastic'!D863)," ",'Q:\Abteilungsprojekte\Eng\EngData\PROJECT_Bioplastics\Renjie_Pan\05-Raw_Data\Lab_results\[LabSamples2025_Bioplastic_extra.xlsx]extra_Bioplastic'!D863)</f>
        <v/>
      </c>
      <c r="E863">
        <f>IF(ISBLANK('Q:\Abteilungsprojekte\Eng\EngData\PROJECT_Bioplastics\Renjie_Pan\05-Raw_Data\Lab_results\[LabSamples2025_Bioplastic_extra.xlsx]extra_Bioplastic'!E863)," ",'Q:\Abteilungsprojekte\Eng\EngData\PROJECT_Bioplastics\Renjie_Pan\05-Raw_Data\Lab_results\[LabSamples2025_Bioplastic_extra.xlsx]extra_Bioplastic'!E863)</f>
        <v/>
      </c>
      <c r="F863">
        <f>IF(ISBLANK('Q:\Abteilungsprojekte\Eng\EngData\PROJECT_Bioplastics\Renjie_Pan\05-Raw_Data\Lab_results\[LabSamples2025_Bioplastic_extra.xlsx]extra_Bioplastic'!F863)," ",'Q:\Abteilungsprojekte\Eng\EngData\PROJECT_Bioplastics\Renjie_Pan\05-Raw_Data\Lab_results\[LabSamples2025_Bioplastic_extra.xlsx]extra_Bioplastic'!F863)</f>
        <v/>
      </c>
      <c r="G863">
        <f>IF(ISBLANK('Q:\Abteilungsprojekte\Eng\EngData\PROJECT_Bioplastics\Renjie_Pan\05-Raw_Data\Lab_results\[LabSamples2025_Bioplastic_extra.xlsx]extra_Bioplastic'!G863)," ",'Q:\Abteilungsprojekte\Eng\EngData\PROJECT_Bioplastics\Renjie_Pan\05-Raw_Data\Lab_results\[LabSamples2025_Bioplastic_extra.xlsx]extra_Bioplastic'!G863)</f>
        <v/>
      </c>
      <c r="H863">
        <f>IF(ISBLANK('Q:\Abteilungsprojekte\Eng\EngData\PROJECT_Bioplastics\Renjie_Pan\05-Raw_Data\Lab_results\[LabSamples2025_Bioplastic_extra.xlsx]extra_Bioplastic'!H863)," ",'Q:\Abteilungsprojekte\Eng\EngData\PROJECT_Bioplastics\Renjie_Pan\05-Raw_Data\Lab_results\[LabSamples2025_Bioplastic_extra.xlsx]extra_Bioplastic'!H863)</f>
        <v/>
      </c>
    </row>
    <row r="864">
      <c r="A864">
        <f>IF(ISBLANK('Q:\Abteilungsprojekte\Eng\EngData\PROJECT_Bioplastics\Renjie_Pan\05-Raw_Data\Lab_results\[LabSamples2025_Bioplastic_extra.xlsx]extra_Bioplastic'!A864)," ",'Q:\Abteilungsprojekte\Eng\EngData\PROJECT_Bioplastics\Renjie_Pan\05-Raw_Data\Lab_results\[LabSamples2025_Bioplastic_extra.xlsx]extra_Bioplastic'!A864)</f>
        <v/>
      </c>
      <c r="B864">
        <f>IF(ISBLANK('Q:\Abteilungsprojekte\Eng\EngData\PROJECT_Bioplastics\Renjie_Pan\05-Raw_Data\Lab_results\[LabSamples2025_Bioplastic_extra.xlsx]extra_Bioplastic'!B864)," ",'Q:\Abteilungsprojekte\Eng\EngData\PROJECT_Bioplastics\Renjie_Pan\05-Raw_Data\Lab_results\[LabSamples2025_Bioplastic_extra.xlsx]extra_Bioplastic'!B864)</f>
        <v/>
      </c>
      <c r="C864">
        <f>IF(ISBLANK('Q:\Abteilungsprojekte\Eng\EngData\PROJECT_Bioplastics\Renjie_Pan\05-Raw_Data\Lab_results\[LabSamples2025_Bioplastic_extra.xlsx]extra_Bioplastic'!C864)," ",'Q:\Abteilungsprojekte\Eng\EngData\PROJECT_Bioplastics\Renjie_Pan\05-Raw_Data\Lab_results\[LabSamples2025_Bioplastic_extra.xlsx]extra_Bioplastic'!C864)</f>
        <v/>
      </c>
      <c r="D864">
        <f>IF(ISBLANK('Q:\Abteilungsprojekte\Eng\EngData\PROJECT_Bioplastics\Renjie_Pan\05-Raw_Data\Lab_results\[LabSamples2025_Bioplastic_extra.xlsx]extra_Bioplastic'!D864)," ",'Q:\Abteilungsprojekte\Eng\EngData\PROJECT_Bioplastics\Renjie_Pan\05-Raw_Data\Lab_results\[LabSamples2025_Bioplastic_extra.xlsx]extra_Bioplastic'!D864)</f>
        <v/>
      </c>
      <c r="E864">
        <f>IF(ISBLANK('Q:\Abteilungsprojekte\Eng\EngData\PROJECT_Bioplastics\Renjie_Pan\05-Raw_Data\Lab_results\[LabSamples2025_Bioplastic_extra.xlsx]extra_Bioplastic'!E864)," ",'Q:\Abteilungsprojekte\Eng\EngData\PROJECT_Bioplastics\Renjie_Pan\05-Raw_Data\Lab_results\[LabSamples2025_Bioplastic_extra.xlsx]extra_Bioplastic'!E864)</f>
        <v/>
      </c>
      <c r="F864">
        <f>IF(ISBLANK('Q:\Abteilungsprojekte\Eng\EngData\PROJECT_Bioplastics\Renjie_Pan\05-Raw_Data\Lab_results\[LabSamples2025_Bioplastic_extra.xlsx]extra_Bioplastic'!F864)," ",'Q:\Abteilungsprojekte\Eng\EngData\PROJECT_Bioplastics\Renjie_Pan\05-Raw_Data\Lab_results\[LabSamples2025_Bioplastic_extra.xlsx]extra_Bioplastic'!F864)</f>
        <v/>
      </c>
      <c r="G864">
        <f>IF(ISBLANK('Q:\Abteilungsprojekte\Eng\EngData\PROJECT_Bioplastics\Renjie_Pan\05-Raw_Data\Lab_results\[LabSamples2025_Bioplastic_extra.xlsx]extra_Bioplastic'!G864)," ",'Q:\Abteilungsprojekte\Eng\EngData\PROJECT_Bioplastics\Renjie_Pan\05-Raw_Data\Lab_results\[LabSamples2025_Bioplastic_extra.xlsx]extra_Bioplastic'!G864)</f>
        <v/>
      </c>
      <c r="H864">
        <f>IF(ISBLANK('Q:\Abteilungsprojekte\Eng\EngData\PROJECT_Bioplastics\Renjie_Pan\05-Raw_Data\Lab_results\[LabSamples2025_Bioplastic_extra.xlsx]extra_Bioplastic'!H864)," ",'Q:\Abteilungsprojekte\Eng\EngData\PROJECT_Bioplastics\Renjie_Pan\05-Raw_Data\Lab_results\[LabSamples2025_Bioplastic_extra.xlsx]extra_Bioplastic'!H864)</f>
        <v/>
      </c>
    </row>
    <row r="865">
      <c r="A865">
        <f>IF(ISBLANK('Q:\Abteilungsprojekte\Eng\EngData\PROJECT_Bioplastics\Renjie_Pan\05-Raw_Data\Lab_results\[LabSamples2025_Bioplastic_extra.xlsx]extra_Bioplastic'!A865)," ",'Q:\Abteilungsprojekte\Eng\EngData\PROJECT_Bioplastics\Renjie_Pan\05-Raw_Data\Lab_results\[LabSamples2025_Bioplastic_extra.xlsx]extra_Bioplastic'!A865)</f>
        <v/>
      </c>
      <c r="B865">
        <f>IF(ISBLANK('Q:\Abteilungsprojekte\Eng\EngData\PROJECT_Bioplastics\Renjie_Pan\05-Raw_Data\Lab_results\[LabSamples2025_Bioplastic_extra.xlsx]extra_Bioplastic'!B865)," ",'Q:\Abteilungsprojekte\Eng\EngData\PROJECT_Bioplastics\Renjie_Pan\05-Raw_Data\Lab_results\[LabSamples2025_Bioplastic_extra.xlsx]extra_Bioplastic'!B865)</f>
        <v/>
      </c>
      <c r="C865">
        <f>IF(ISBLANK('Q:\Abteilungsprojekte\Eng\EngData\PROJECT_Bioplastics\Renjie_Pan\05-Raw_Data\Lab_results\[LabSamples2025_Bioplastic_extra.xlsx]extra_Bioplastic'!C865)," ",'Q:\Abteilungsprojekte\Eng\EngData\PROJECT_Bioplastics\Renjie_Pan\05-Raw_Data\Lab_results\[LabSamples2025_Bioplastic_extra.xlsx]extra_Bioplastic'!C865)</f>
        <v/>
      </c>
      <c r="D865">
        <f>IF(ISBLANK('Q:\Abteilungsprojekte\Eng\EngData\PROJECT_Bioplastics\Renjie_Pan\05-Raw_Data\Lab_results\[LabSamples2025_Bioplastic_extra.xlsx]extra_Bioplastic'!D865)," ",'Q:\Abteilungsprojekte\Eng\EngData\PROJECT_Bioplastics\Renjie_Pan\05-Raw_Data\Lab_results\[LabSamples2025_Bioplastic_extra.xlsx]extra_Bioplastic'!D865)</f>
        <v/>
      </c>
      <c r="E865">
        <f>IF(ISBLANK('Q:\Abteilungsprojekte\Eng\EngData\PROJECT_Bioplastics\Renjie_Pan\05-Raw_Data\Lab_results\[LabSamples2025_Bioplastic_extra.xlsx]extra_Bioplastic'!E865)," ",'Q:\Abteilungsprojekte\Eng\EngData\PROJECT_Bioplastics\Renjie_Pan\05-Raw_Data\Lab_results\[LabSamples2025_Bioplastic_extra.xlsx]extra_Bioplastic'!E865)</f>
        <v/>
      </c>
      <c r="F865">
        <f>IF(ISBLANK('Q:\Abteilungsprojekte\Eng\EngData\PROJECT_Bioplastics\Renjie_Pan\05-Raw_Data\Lab_results\[LabSamples2025_Bioplastic_extra.xlsx]extra_Bioplastic'!F865)," ",'Q:\Abteilungsprojekte\Eng\EngData\PROJECT_Bioplastics\Renjie_Pan\05-Raw_Data\Lab_results\[LabSamples2025_Bioplastic_extra.xlsx]extra_Bioplastic'!F865)</f>
        <v/>
      </c>
      <c r="G865">
        <f>IF(ISBLANK('Q:\Abteilungsprojekte\Eng\EngData\PROJECT_Bioplastics\Renjie_Pan\05-Raw_Data\Lab_results\[LabSamples2025_Bioplastic_extra.xlsx]extra_Bioplastic'!G865)," ",'Q:\Abteilungsprojekte\Eng\EngData\PROJECT_Bioplastics\Renjie_Pan\05-Raw_Data\Lab_results\[LabSamples2025_Bioplastic_extra.xlsx]extra_Bioplastic'!G865)</f>
        <v/>
      </c>
      <c r="H865">
        <f>IF(ISBLANK('Q:\Abteilungsprojekte\Eng\EngData\PROJECT_Bioplastics\Renjie_Pan\05-Raw_Data\Lab_results\[LabSamples2025_Bioplastic_extra.xlsx]extra_Bioplastic'!H865)," ",'Q:\Abteilungsprojekte\Eng\EngData\PROJECT_Bioplastics\Renjie_Pan\05-Raw_Data\Lab_results\[LabSamples2025_Bioplastic_extra.xlsx]extra_Bioplastic'!H865)</f>
        <v/>
      </c>
    </row>
    <row r="866">
      <c r="A866">
        <f>IF(ISBLANK('Q:\Abteilungsprojekte\Eng\EngData\PROJECT_Bioplastics\Renjie_Pan\05-Raw_Data\Lab_results\[LabSamples2025_Bioplastic_extra.xlsx]extra_Bioplastic'!A866)," ",'Q:\Abteilungsprojekte\Eng\EngData\PROJECT_Bioplastics\Renjie_Pan\05-Raw_Data\Lab_results\[LabSamples2025_Bioplastic_extra.xlsx]extra_Bioplastic'!A866)</f>
        <v/>
      </c>
      <c r="B866">
        <f>IF(ISBLANK('Q:\Abteilungsprojekte\Eng\EngData\PROJECT_Bioplastics\Renjie_Pan\05-Raw_Data\Lab_results\[LabSamples2025_Bioplastic_extra.xlsx]extra_Bioplastic'!B866)," ",'Q:\Abteilungsprojekte\Eng\EngData\PROJECT_Bioplastics\Renjie_Pan\05-Raw_Data\Lab_results\[LabSamples2025_Bioplastic_extra.xlsx]extra_Bioplastic'!B866)</f>
        <v/>
      </c>
      <c r="C866">
        <f>IF(ISBLANK('Q:\Abteilungsprojekte\Eng\EngData\PROJECT_Bioplastics\Renjie_Pan\05-Raw_Data\Lab_results\[LabSamples2025_Bioplastic_extra.xlsx]extra_Bioplastic'!C866)," ",'Q:\Abteilungsprojekte\Eng\EngData\PROJECT_Bioplastics\Renjie_Pan\05-Raw_Data\Lab_results\[LabSamples2025_Bioplastic_extra.xlsx]extra_Bioplastic'!C866)</f>
        <v/>
      </c>
      <c r="D866">
        <f>IF(ISBLANK('Q:\Abteilungsprojekte\Eng\EngData\PROJECT_Bioplastics\Renjie_Pan\05-Raw_Data\Lab_results\[LabSamples2025_Bioplastic_extra.xlsx]extra_Bioplastic'!D866)," ",'Q:\Abteilungsprojekte\Eng\EngData\PROJECT_Bioplastics\Renjie_Pan\05-Raw_Data\Lab_results\[LabSamples2025_Bioplastic_extra.xlsx]extra_Bioplastic'!D866)</f>
        <v/>
      </c>
      <c r="E866">
        <f>IF(ISBLANK('Q:\Abteilungsprojekte\Eng\EngData\PROJECT_Bioplastics\Renjie_Pan\05-Raw_Data\Lab_results\[LabSamples2025_Bioplastic_extra.xlsx]extra_Bioplastic'!E866)," ",'Q:\Abteilungsprojekte\Eng\EngData\PROJECT_Bioplastics\Renjie_Pan\05-Raw_Data\Lab_results\[LabSamples2025_Bioplastic_extra.xlsx]extra_Bioplastic'!E866)</f>
        <v/>
      </c>
      <c r="F866">
        <f>IF(ISBLANK('Q:\Abteilungsprojekte\Eng\EngData\PROJECT_Bioplastics\Renjie_Pan\05-Raw_Data\Lab_results\[LabSamples2025_Bioplastic_extra.xlsx]extra_Bioplastic'!F866)," ",'Q:\Abteilungsprojekte\Eng\EngData\PROJECT_Bioplastics\Renjie_Pan\05-Raw_Data\Lab_results\[LabSamples2025_Bioplastic_extra.xlsx]extra_Bioplastic'!F866)</f>
        <v/>
      </c>
      <c r="G866">
        <f>IF(ISBLANK('Q:\Abteilungsprojekte\Eng\EngData\PROJECT_Bioplastics\Renjie_Pan\05-Raw_Data\Lab_results\[LabSamples2025_Bioplastic_extra.xlsx]extra_Bioplastic'!G866)," ",'Q:\Abteilungsprojekte\Eng\EngData\PROJECT_Bioplastics\Renjie_Pan\05-Raw_Data\Lab_results\[LabSamples2025_Bioplastic_extra.xlsx]extra_Bioplastic'!G866)</f>
        <v/>
      </c>
      <c r="H866">
        <f>IF(ISBLANK('Q:\Abteilungsprojekte\Eng\EngData\PROJECT_Bioplastics\Renjie_Pan\05-Raw_Data\Lab_results\[LabSamples2025_Bioplastic_extra.xlsx]extra_Bioplastic'!H866)," ",'Q:\Abteilungsprojekte\Eng\EngData\PROJECT_Bioplastics\Renjie_Pan\05-Raw_Data\Lab_results\[LabSamples2025_Bioplastic_extra.xlsx]extra_Bioplastic'!H866)</f>
        <v/>
      </c>
    </row>
    <row r="867">
      <c r="A867">
        <f>IF(ISBLANK('Q:\Abteilungsprojekte\Eng\EngData\PROJECT_Bioplastics\Renjie_Pan\05-Raw_Data\Lab_results\[LabSamples2025_Bioplastic_extra.xlsx]extra_Bioplastic'!A867)," ",'Q:\Abteilungsprojekte\Eng\EngData\PROJECT_Bioplastics\Renjie_Pan\05-Raw_Data\Lab_results\[LabSamples2025_Bioplastic_extra.xlsx]extra_Bioplastic'!A867)</f>
        <v/>
      </c>
      <c r="B867">
        <f>IF(ISBLANK('Q:\Abteilungsprojekte\Eng\EngData\PROJECT_Bioplastics\Renjie_Pan\05-Raw_Data\Lab_results\[LabSamples2025_Bioplastic_extra.xlsx]extra_Bioplastic'!B867)," ",'Q:\Abteilungsprojekte\Eng\EngData\PROJECT_Bioplastics\Renjie_Pan\05-Raw_Data\Lab_results\[LabSamples2025_Bioplastic_extra.xlsx]extra_Bioplastic'!B867)</f>
        <v/>
      </c>
      <c r="C867">
        <f>IF(ISBLANK('Q:\Abteilungsprojekte\Eng\EngData\PROJECT_Bioplastics\Renjie_Pan\05-Raw_Data\Lab_results\[LabSamples2025_Bioplastic_extra.xlsx]extra_Bioplastic'!C867)," ",'Q:\Abteilungsprojekte\Eng\EngData\PROJECT_Bioplastics\Renjie_Pan\05-Raw_Data\Lab_results\[LabSamples2025_Bioplastic_extra.xlsx]extra_Bioplastic'!C867)</f>
        <v/>
      </c>
      <c r="D867">
        <f>IF(ISBLANK('Q:\Abteilungsprojekte\Eng\EngData\PROJECT_Bioplastics\Renjie_Pan\05-Raw_Data\Lab_results\[LabSamples2025_Bioplastic_extra.xlsx]extra_Bioplastic'!D867)," ",'Q:\Abteilungsprojekte\Eng\EngData\PROJECT_Bioplastics\Renjie_Pan\05-Raw_Data\Lab_results\[LabSamples2025_Bioplastic_extra.xlsx]extra_Bioplastic'!D867)</f>
        <v/>
      </c>
      <c r="E867">
        <f>IF(ISBLANK('Q:\Abteilungsprojekte\Eng\EngData\PROJECT_Bioplastics\Renjie_Pan\05-Raw_Data\Lab_results\[LabSamples2025_Bioplastic_extra.xlsx]extra_Bioplastic'!E867)," ",'Q:\Abteilungsprojekte\Eng\EngData\PROJECT_Bioplastics\Renjie_Pan\05-Raw_Data\Lab_results\[LabSamples2025_Bioplastic_extra.xlsx]extra_Bioplastic'!E867)</f>
        <v/>
      </c>
      <c r="F867">
        <f>IF(ISBLANK('Q:\Abteilungsprojekte\Eng\EngData\PROJECT_Bioplastics\Renjie_Pan\05-Raw_Data\Lab_results\[LabSamples2025_Bioplastic_extra.xlsx]extra_Bioplastic'!F867)," ",'Q:\Abteilungsprojekte\Eng\EngData\PROJECT_Bioplastics\Renjie_Pan\05-Raw_Data\Lab_results\[LabSamples2025_Bioplastic_extra.xlsx]extra_Bioplastic'!F867)</f>
        <v/>
      </c>
      <c r="G867">
        <f>IF(ISBLANK('Q:\Abteilungsprojekte\Eng\EngData\PROJECT_Bioplastics\Renjie_Pan\05-Raw_Data\Lab_results\[LabSamples2025_Bioplastic_extra.xlsx]extra_Bioplastic'!G867)," ",'Q:\Abteilungsprojekte\Eng\EngData\PROJECT_Bioplastics\Renjie_Pan\05-Raw_Data\Lab_results\[LabSamples2025_Bioplastic_extra.xlsx]extra_Bioplastic'!G867)</f>
        <v/>
      </c>
      <c r="H867">
        <f>IF(ISBLANK('Q:\Abteilungsprojekte\Eng\EngData\PROJECT_Bioplastics\Renjie_Pan\05-Raw_Data\Lab_results\[LabSamples2025_Bioplastic_extra.xlsx]extra_Bioplastic'!H867)," ",'Q:\Abteilungsprojekte\Eng\EngData\PROJECT_Bioplastics\Renjie_Pan\05-Raw_Data\Lab_results\[LabSamples2025_Bioplastic_extra.xlsx]extra_Bioplastic'!H867)</f>
        <v/>
      </c>
    </row>
    <row r="868">
      <c r="A868">
        <f>IF(ISBLANK('Q:\Abteilungsprojekte\Eng\EngData\PROJECT_Bioplastics\Renjie_Pan\05-Raw_Data\Lab_results\[LabSamples2025_Bioplastic_extra.xlsx]extra_Bioplastic'!A868)," ",'Q:\Abteilungsprojekte\Eng\EngData\PROJECT_Bioplastics\Renjie_Pan\05-Raw_Data\Lab_results\[LabSamples2025_Bioplastic_extra.xlsx]extra_Bioplastic'!A868)</f>
        <v/>
      </c>
      <c r="B868">
        <f>IF(ISBLANK('Q:\Abteilungsprojekte\Eng\EngData\PROJECT_Bioplastics\Renjie_Pan\05-Raw_Data\Lab_results\[LabSamples2025_Bioplastic_extra.xlsx]extra_Bioplastic'!B868)," ",'Q:\Abteilungsprojekte\Eng\EngData\PROJECT_Bioplastics\Renjie_Pan\05-Raw_Data\Lab_results\[LabSamples2025_Bioplastic_extra.xlsx]extra_Bioplastic'!B868)</f>
        <v/>
      </c>
      <c r="C868">
        <f>IF(ISBLANK('Q:\Abteilungsprojekte\Eng\EngData\PROJECT_Bioplastics\Renjie_Pan\05-Raw_Data\Lab_results\[LabSamples2025_Bioplastic_extra.xlsx]extra_Bioplastic'!C868)," ",'Q:\Abteilungsprojekte\Eng\EngData\PROJECT_Bioplastics\Renjie_Pan\05-Raw_Data\Lab_results\[LabSamples2025_Bioplastic_extra.xlsx]extra_Bioplastic'!C868)</f>
        <v/>
      </c>
      <c r="D868">
        <f>IF(ISBLANK('Q:\Abteilungsprojekte\Eng\EngData\PROJECT_Bioplastics\Renjie_Pan\05-Raw_Data\Lab_results\[LabSamples2025_Bioplastic_extra.xlsx]extra_Bioplastic'!D868)," ",'Q:\Abteilungsprojekte\Eng\EngData\PROJECT_Bioplastics\Renjie_Pan\05-Raw_Data\Lab_results\[LabSamples2025_Bioplastic_extra.xlsx]extra_Bioplastic'!D868)</f>
        <v/>
      </c>
      <c r="E868">
        <f>IF(ISBLANK('Q:\Abteilungsprojekte\Eng\EngData\PROJECT_Bioplastics\Renjie_Pan\05-Raw_Data\Lab_results\[LabSamples2025_Bioplastic_extra.xlsx]extra_Bioplastic'!E868)," ",'Q:\Abteilungsprojekte\Eng\EngData\PROJECT_Bioplastics\Renjie_Pan\05-Raw_Data\Lab_results\[LabSamples2025_Bioplastic_extra.xlsx]extra_Bioplastic'!E868)</f>
        <v/>
      </c>
      <c r="F868">
        <f>IF(ISBLANK('Q:\Abteilungsprojekte\Eng\EngData\PROJECT_Bioplastics\Renjie_Pan\05-Raw_Data\Lab_results\[LabSamples2025_Bioplastic_extra.xlsx]extra_Bioplastic'!F868)," ",'Q:\Abteilungsprojekte\Eng\EngData\PROJECT_Bioplastics\Renjie_Pan\05-Raw_Data\Lab_results\[LabSamples2025_Bioplastic_extra.xlsx]extra_Bioplastic'!F868)</f>
        <v/>
      </c>
      <c r="G868">
        <f>IF(ISBLANK('Q:\Abteilungsprojekte\Eng\EngData\PROJECT_Bioplastics\Renjie_Pan\05-Raw_Data\Lab_results\[LabSamples2025_Bioplastic_extra.xlsx]extra_Bioplastic'!G868)," ",'Q:\Abteilungsprojekte\Eng\EngData\PROJECT_Bioplastics\Renjie_Pan\05-Raw_Data\Lab_results\[LabSamples2025_Bioplastic_extra.xlsx]extra_Bioplastic'!G868)</f>
        <v/>
      </c>
      <c r="H868">
        <f>IF(ISBLANK('Q:\Abteilungsprojekte\Eng\EngData\PROJECT_Bioplastics\Renjie_Pan\05-Raw_Data\Lab_results\[LabSamples2025_Bioplastic_extra.xlsx]extra_Bioplastic'!H868)," ",'Q:\Abteilungsprojekte\Eng\EngData\PROJECT_Bioplastics\Renjie_Pan\05-Raw_Data\Lab_results\[LabSamples2025_Bioplastic_extra.xlsx]extra_Bioplastic'!H868)</f>
        <v/>
      </c>
    </row>
    <row r="869">
      <c r="A869">
        <f>IF(ISBLANK('Q:\Abteilungsprojekte\Eng\EngData\PROJECT_Bioplastics\Renjie_Pan\05-Raw_Data\Lab_results\[LabSamples2025_Bioplastic_extra.xlsx]extra_Bioplastic'!A869)," ",'Q:\Abteilungsprojekte\Eng\EngData\PROJECT_Bioplastics\Renjie_Pan\05-Raw_Data\Lab_results\[LabSamples2025_Bioplastic_extra.xlsx]extra_Bioplastic'!A869)</f>
        <v/>
      </c>
      <c r="B869">
        <f>IF(ISBLANK('Q:\Abteilungsprojekte\Eng\EngData\PROJECT_Bioplastics\Renjie_Pan\05-Raw_Data\Lab_results\[LabSamples2025_Bioplastic_extra.xlsx]extra_Bioplastic'!B869)," ",'Q:\Abteilungsprojekte\Eng\EngData\PROJECT_Bioplastics\Renjie_Pan\05-Raw_Data\Lab_results\[LabSamples2025_Bioplastic_extra.xlsx]extra_Bioplastic'!B869)</f>
        <v/>
      </c>
      <c r="C869">
        <f>IF(ISBLANK('Q:\Abteilungsprojekte\Eng\EngData\PROJECT_Bioplastics\Renjie_Pan\05-Raw_Data\Lab_results\[LabSamples2025_Bioplastic_extra.xlsx]extra_Bioplastic'!C869)," ",'Q:\Abteilungsprojekte\Eng\EngData\PROJECT_Bioplastics\Renjie_Pan\05-Raw_Data\Lab_results\[LabSamples2025_Bioplastic_extra.xlsx]extra_Bioplastic'!C869)</f>
        <v/>
      </c>
      <c r="D869">
        <f>IF(ISBLANK('Q:\Abteilungsprojekte\Eng\EngData\PROJECT_Bioplastics\Renjie_Pan\05-Raw_Data\Lab_results\[LabSamples2025_Bioplastic_extra.xlsx]extra_Bioplastic'!D869)," ",'Q:\Abteilungsprojekte\Eng\EngData\PROJECT_Bioplastics\Renjie_Pan\05-Raw_Data\Lab_results\[LabSamples2025_Bioplastic_extra.xlsx]extra_Bioplastic'!D869)</f>
        <v/>
      </c>
      <c r="E869">
        <f>IF(ISBLANK('Q:\Abteilungsprojekte\Eng\EngData\PROJECT_Bioplastics\Renjie_Pan\05-Raw_Data\Lab_results\[LabSamples2025_Bioplastic_extra.xlsx]extra_Bioplastic'!E869)," ",'Q:\Abteilungsprojekte\Eng\EngData\PROJECT_Bioplastics\Renjie_Pan\05-Raw_Data\Lab_results\[LabSamples2025_Bioplastic_extra.xlsx]extra_Bioplastic'!E869)</f>
        <v/>
      </c>
      <c r="F869">
        <f>IF(ISBLANK('Q:\Abteilungsprojekte\Eng\EngData\PROJECT_Bioplastics\Renjie_Pan\05-Raw_Data\Lab_results\[LabSamples2025_Bioplastic_extra.xlsx]extra_Bioplastic'!F869)," ",'Q:\Abteilungsprojekte\Eng\EngData\PROJECT_Bioplastics\Renjie_Pan\05-Raw_Data\Lab_results\[LabSamples2025_Bioplastic_extra.xlsx]extra_Bioplastic'!F869)</f>
        <v/>
      </c>
      <c r="G869">
        <f>IF(ISBLANK('Q:\Abteilungsprojekte\Eng\EngData\PROJECT_Bioplastics\Renjie_Pan\05-Raw_Data\Lab_results\[LabSamples2025_Bioplastic_extra.xlsx]extra_Bioplastic'!G869)," ",'Q:\Abteilungsprojekte\Eng\EngData\PROJECT_Bioplastics\Renjie_Pan\05-Raw_Data\Lab_results\[LabSamples2025_Bioplastic_extra.xlsx]extra_Bioplastic'!G869)</f>
        <v/>
      </c>
      <c r="H869">
        <f>IF(ISBLANK('Q:\Abteilungsprojekte\Eng\EngData\PROJECT_Bioplastics\Renjie_Pan\05-Raw_Data\Lab_results\[LabSamples2025_Bioplastic_extra.xlsx]extra_Bioplastic'!H869)," ",'Q:\Abteilungsprojekte\Eng\EngData\PROJECT_Bioplastics\Renjie_Pan\05-Raw_Data\Lab_results\[LabSamples2025_Bioplastic_extra.xlsx]extra_Bioplastic'!H869)</f>
        <v/>
      </c>
    </row>
    <row r="870">
      <c r="A870">
        <f>IF(ISBLANK('Q:\Abteilungsprojekte\Eng\EngData\PROJECT_Bioplastics\Renjie_Pan\05-Raw_Data\Lab_results\[LabSamples2025_Bioplastic_extra.xlsx]extra_Bioplastic'!A870)," ",'Q:\Abteilungsprojekte\Eng\EngData\PROJECT_Bioplastics\Renjie_Pan\05-Raw_Data\Lab_results\[LabSamples2025_Bioplastic_extra.xlsx]extra_Bioplastic'!A870)</f>
        <v/>
      </c>
      <c r="B870">
        <f>IF(ISBLANK('Q:\Abteilungsprojekte\Eng\EngData\PROJECT_Bioplastics\Renjie_Pan\05-Raw_Data\Lab_results\[LabSamples2025_Bioplastic_extra.xlsx]extra_Bioplastic'!B870)," ",'Q:\Abteilungsprojekte\Eng\EngData\PROJECT_Bioplastics\Renjie_Pan\05-Raw_Data\Lab_results\[LabSamples2025_Bioplastic_extra.xlsx]extra_Bioplastic'!B870)</f>
        <v/>
      </c>
      <c r="C870">
        <f>IF(ISBLANK('Q:\Abteilungsprojekte\Eng\EngData\PROJECT_Bioplastics\Renjie_Pan\05-Raw_Data\Lab_results\[LabSamples2025_Bioplastic_extra.xlsx]extra_Bioplastic'!C870)," ",'Q:\Abteilungsprojekte\Eng\EngData\PROJECT_Bioplastics\Renjie_Pan\05-Raw_Data\Lab_results\[LabSamples2025_Bioplastic_extra.xlsx]extra_Bioplastic'!C870)</f>
        <v/>
      </c>
      <c r="D870">
        <f>IF(ISBLANK('Q:\Abteilungsprojekte\Eng\EngData\PROJECT_Bioplastics\Renjie_Pan\05-Raw_Data\Lab_results\[LabSamples2025_Bioplastic_extra.xlsx]extra_Bioplastic'!D870)," ",'Q:\Abteilungsprojekte\Eng\EngData\PROJECT_Bioplastics\Renjie_Pan\05-Raw_Data\Lab_results\[LabSamples2025_Bioplastic_extra.xlsx]extra_Bioplastic'!D870)</f>
        <v/>
      </c>
      <c r="E870">
        <f>IF(ISBLANK('Q:\Abteilungsprojekte\Eng\EngData\PROJECT_Bioplastics\Renjie_Pan\05-Raw_Data\Lab_results\[LabSamples2025_Bioplastic_extra.xlsx]extra_Bioplastic'!E870)," ",'Q:\Abteilungsprojekte\Eng\EngData\PROJECT_Bioplastics\Renjie_Pan\05-Raw_Data\Lab_results\[LabSamples2025_Bioplastic_extra.xlsx]extra_Bioplastic'!E870)</f>
        <v/>
      </c>
      <c r="F870">
        <f>IF(ISBLANK('Q:\Abteilungsprojekte\Eng\EngData\PROJECT_Bioplastics\Renjie_Pan\05-Raw_Data\Lab_results\[LabSamples2025_Bioplastic_extra.xlsx]extra_Bioplastic'!F870)," ",'Q:\Abteilungsprojekte\Eng\EngData\PROJECT_Bioplastics\Renjie_Pan\05-Raw_Data\Lab_results\[LabSamples2025_Bioplastic_extra.xlsx]extra_Bioplastic'!F870)</f>
        <v/>
      </c>
      <c r="G870">
        <f>IF(ISBLANK('Q:\Abteilungsprojekte\Eng\EngData\PROJECT_Bioplastics\Renjie_Pan\05-Raw_Data\Lab_results\[LabSamples2025_Bioplastic_extra.xlsx]extra_Bioplastic'!G870)," ",'Q:\Abteilungsprojekte\Eng\EngData\PROJECT_Bioplastics\Renjie_Pan\05-Raw_Data\Lab_results\[LabSamples2025_Bioplastic_extra.xlsx]extra_Bioplastic'!G870)</f>
        <v/>
      </c>
      <c r="H870">
        <f>IF(ISBLANK('Q:\Abteilungsprojekte\Eng\EngData\PROJECT_Bioplastics\Renjie_Pan\05-Raw_Data\Lab_results\[LabSamples2025_Bioplastic_extra.xlsx]extra_Bioplastic'!H870)," ",'Q:\Abteilungsprojekte\Eng\EngData\PROJECT_Bioplastics\Renjie_Pan\05-Raw_Data\Lab_results\[LabSamples2025_Bioplastic_extra.xlsx]extra_Bioplastic'!H870)</f>
        <v/>
      </c>
    </row>
    <row r="871">
      <c r="A871">
        <f>IF(ISBLANK('Q:\Abteilungsprojekte\Eng\EngData\PROJECT_Bioplastics\Renjie_Pan\05-Raw_Data\Lab_results\[LabSamples2025_Bioplastic_extra.xlsx]extra_Bioplastic'!A871)," ",'Q:\Abteilungsprojekte\Eng\EngData\PROJECT_Bioplastics\Renjie_Pan\05-Raw_Data\Lab_results\[LabSamples2025_Bioplastic_extra.xlsx]extra_Bioplastic'!A871)</f>
        <v/>
      </c>
      <c r="B871">
        <f>IF(ISBLANK('Q:\Abteilungsprojekte\Eng\EngData\PROJECT_Bioplastics\Renjie_Pan\05-Raw_Data\Lab_results\[LabSamples2025_Bioplastic_extra.xlsx]extra_Bioplastic'!B871)," ",'Q:\Abteilungsprojekte\Eng\EngData\PROJECT_Bioplastics\Renjie_Pan\05-Raw_Data\Lab_results\[LabSamples2025_Bioplastic_extra.xlsx]extra_Bioplastic'!B871)</f>
        <v/>
      </c>
      <c r="C871">
        <f>IF(ISBLANK('Q:\Abteilungsprojekte\Eng\EngData\PROJECT_Bioplastics\Renjie_Pan\05-Raw_Data\Lab_results\[LabSamples2025_Bioplastic_extra.xlsx]extra_Bioplastic'!C871)," ",'Q:\Abteilungsprojekte\Eng\EngData\PROJECT_Bioplastics\Renjie_Pan\05-Raw_Data\Lab_results\[LabSamples2025_Bioplastic_extra.xlsx]extra_Bioplastic'!C871)</f>
        <v/>
      </c>
      <c r="D871">
        <f>IF(ISBLANK('Q:\Abteilungsprojekte\Eng\EngData\PROJECT_Bioplastics\Renjie_Pan\05-Raw_Data\Lab_results\[LabSamples2025_Bioplastic_extra.xlsx]extra_Bioplastic'!D871)," ",'Q:\Abteilungsprojekte\Eng\EngData\PROJECT_Bioplastics\Renjie_Pan\05-Raw_Data\Lab_results\[LabSamples2025_Bioplastic_extra.xlsx]extra_Bioplastic'!D871)</f>
        <v/>
      </c>
      <c r="E871">
        <f>IF(ISBLANK('Q:\Abteilungsprojekte\Eng\EngData\PROJECT_Bioplastics\Renjie_Pan\05-Raw_Data\Lab_results\[LabSamples2025_Bioplastic_extra.xlsx]extra_Bioplastic'!E871)," ",'Q:\Abteilungsprojekte\Eng\EngData\PROJECT_Bioplastics\Renjie_Pan\05-Raw_Data\Lab_results\[LabSamples2025_Bioplastic_extra.xlsx]extra_Bioplastic'!E871)</f>
        <v/>
      </c>
      <c r="F871">
        <f>IF(ISBLANK('Q:\Abteilungsprojekte\Eng\EngData\PROJECT_Bioplastics\Renjie_Pan\05-Raw_Data\Lab_results\[LabSamples2025_Bioplastic_extra.xlsx]extra_Bioplastic'!F871)," ",'Q:\Abteilungsprojekte\Eng\EngData\PROJECT_Bioplastics\Renjie_Pan\05-Raw_Data\Lab_results\[LabSamples2025_Bioplastic_extra.xlsx]extra_Bioplastic'!F871)</f>
        <v/>
      </c>
      <c r="G871">
        <f>IF(ISBLANK('Q:\Abteilungsprojekte\Eng\EngData\PROJECT_Bioplastics\Renjie_Pan\05-Raw_Data\Lab_results\[LabSamples2025_Bioplastic_extra.xlsx]extra_Bioplastic'!G871)," ",'Q:\Abteilungsprojekte\Eng\EngData\PROJECT_Bioplastics\Renjie_Pan\05-Raw_Data\Lab_results\[LabSamples2025_Bioplastic_extra.xlsx]extra_Bioplastic'!G871)</f>
        <v/>
      </c>
      <c r="H871">
        <f>IF(ISBLANK('Q:\Abteilungsprojekte\Eng\EngData\PROJECT_Bioplastics\Renjie_Pan\05-Raw_Data\Lab_results\[LabSamples2025_Bioplastic_extra.xlsx]extra_Bioplastic'!H871)," ",'Q:\Abteilungsprojekte\Eng\EngData\PROJECT_Bioplastics\Renjie_Pan\05-Raw_Data\Lab_results\[LabSamples2025_Bioplastic_extra.xlsx]extra_Bioplastic'!H871)</f>
        <v/>
      </c>
    </row>
    <row r="872">
      <c r="A872">
        <f>IF(ISBLANK('Q:\Abteilungsprojekte\Eng\EngData\PROJECT_Bioplastics\Renjie_Pan\05-Raw_Data\Lab_results\[LabSamples2025_Bioplastic_extra.xlsx]extra_Bioplastic'!A872)," ",'Q:\Abteilungsprojekte\Eng\EngData\PROJECT_Bioplastics\Renjie_Pan\05-Raw_Data\Lab_results\[LabSamples2025_Bioplastic_extra.xlsx]extra_Bioplastic'!A872)</f>
        <v/>
      </c>
      <c r="B872">
        <f>IF(ISBLANK('Q:\Abteilungsprojekte\Eng\EngData\PROJECT_Bioplastics\Renjie_Pan\05-Raw_Data\Lab_results\[LabSamples2025_Bioplastic_extra.xlsx]extra_Bioplastic'!B872)," ",'Q:\Abteilungsprojekte\Eng\EngData\PROJECT_Bioplastics\Renjie_Pan\05-Raw_Data\Lab_results\[LabSamples2025_Bioplastic_extra.xlsx]extra_Bioplastic'!B872)</f>
        <v/>
      </c>
      <c r="C872">
        <f>IF(ISBLANK('Q:\Abteilungsprojekte\Eng\EngData\PROJECT_Bioplastics\Renjie_Pan\05-Raw_Data\Lab_results\[LabSamples2025_Bioplastic_extra.xlsx]extra_Bioplastic'!C872)," ",'Q:\Abteilungsprojekte\Eng\EngData\PROJECT_Bioplastics\Renjie_Pan\05-Raw_Data\Lab_results\[LabSamples2025_Bioplastic_extra.xlsx]extra_Bioplastic'!C872)</f>
        <v/>
      </c>
      <c r="D872">
        <f>IF(ISBLANK('Q:\Abteilungsprojekte\Eng\EngData\PROJECT_Bioplastics\Renjie_Pan\05-Raw_Data\Lab_results\[LabSamples2025_Bioplastic_extra.xlsx]extra_Bioplastic'!D872)," ",'Q:\Abteilungsprojekte\Eng\EngData\PROJECT_Bioplastics\Renjie_Pan\05-Raw_Data\Lab_results\[LabSamples2025_Bioplastic_extra.xlsx]extra_Bioplastic'!D872)</f>
        <v/>
      </c>
      <c r="E872">
        <f>IF(ISBLANK('Q:\Abteilungsprojekte\Eng\EngData\PROJECT_Bioplastics\Renjie_Pan\05-Raw_Data\Lab_results\[LabSamples2025_Bioplastic_extra.xlsx]extra_Bioplastic'!E872)," ",'Q:\Abteilungsprojekte\Eng\EngData\PROJECT_Bioplastics\Renjie_Pan\05-Raw_Data\Lab_results\[LabSamples2025_Bioplastic_extra.xlsx]extra_Bioplastic'!E872)</f>
        <v/>
      </c>
      <c r="F872">
        <f>IF(ISBLANK('Q:\Abteilungsprojekte\Eng\EngData\PROJECT_Bioplastics\Renjie_Pan\05-Raw_Data\Lab_results\[LabSamples2025_Bioplastic_extra.xlsx]extra_Bioplastic'!F872)," ",'Q:\Abteilungsprojekte\Eng\EngData\PROJECT_Bioplastics\Renjie_Pan\05-Raw_Data\Lab_results\[LabSamples2025_Bioplastic_extra.xlsx]extra_Bioplastic'!F872)</f>
        <v/>
      </c>
      <c r="G872">
        <f>IF(ISBLANK('Q:\Abteilungsprojekte\Eng\EngData\PROJECT_Bioplastics\Renjie_Pan\05-Raw_Data\Lab_results\[LabSamples2025_Bioplastic_extra.xlsx]extra_Bioplastic'!G872)," ",'Q:\Abteilungsprojekte\Eng\EngData\PROJECT_Bioplastics\Renjie_Pan\05-Raw_Data\Lab_results\[LabSamples2025_Bioplastic_extra.xlsx]extra_Bioplastic'!G872)</f>
        <v/>
      </c>
      <c r="H872">
        <f>IF(ISBLANK('Q:\Abteilungsprojekte\Eng\EngData\PROJECT_Bioplastics\Renjie_Pan\05-Raw_Data\Lab_results\[LabSamples2025_Bioplastic_extra.xlsx]extra_Bioplastic'!H872)," ",'Q:\Abteilungsprojekte\Eng\EngData\PROJECT_Bioplastics\Renjie_Pan\05-Raw_Data\Lab_results\[LabSamples2025_Bioplastic_extra.xlsx]extra_Bioplastic'!H872)</f>
        <v/>
      </c>
    </row>
    <row r="873">
      <c r="A873">
        <f>IF(ISBLANK('Q:\Abteilungsprojekte\Eng\EngData\PROJECT_Bioplastics\Renjie_Pan\05-Raw_Data\Lab_results\[LabSamples2025_Bioplastic_extra.xlsx]extra_Bioplastic'!A873)," ",'Q:\Abteilungsprojekte\Eng\EngData\PROJECT_Bioplastics\Renjie_Pan\05-Raw_Data\Lab_results\[LabSamples2025_Bioplastic_extra.xlsx]extra_Bioplastic'!A873)</f>
        <v/>
      </c>
      <c r="B873">
        <f>IF(ISBLANK('Q:\Abteilungsprojekte\Eng\EngData\PROJECT_Bioplastics\Renjie_Pan\05-Raw_Data\Lab_results\[LabSamples2025_Bioplastic_extra.xlsx]extra_Bioplastic'!B873)," ",'Q:\Abteilungsprojekte\Eng\EngData\PROJECT_Bioplastics\Renjie_Pan\05-Raw_Data\Lab_results\[LabSamples2025_Bioplastic_extra.xlsx]extra_Bioplastic'!B873)</f>
        <v/>
      </c>
      <c r="C873">
        <f>IF(ISBLANK('Q:\Abteilungsprojekte\Eng\EngData\PROJECT_Bioplastics\Renjie_Pan\05-Raw_Data\Lab_results\[LabSamples2025_Bioplastic_extra.xlsx]extra_Bioplastic'!C873)," ",'Q:\Abteilungsprojekte\Eng\EngData\PROJECT_Bioplastics\Renjie_Pan\05-Raw_Data\Lab_results\[LabSamples2025_Bioplastic_extra.xlsx]extra_Bioplastic'!C873)</f>
        <v/>
      </c>
      <c r="D873">
        <f>IF(ISBLANK('Q:\Abteilungsprojekte\Eng\EngData\PROJECT_Bioplastics\Renjie_Pan\05-Raw_Data\Lab_results\[LabSamples2025_Bioplastic_extra.xlsx]extra_Bioplastic'!D873)," ",'Q:\Abteilungsprojekte\Eng\EngData\PROJECT_Bioplastics\Renjie_Pan\05-Raw_Data\Lab_results\[LabSamples2025_Bioplastic_extra.xlsx]extra_Bioplastic'!D873)</f>
        <v/>
      </c>
      <c r="E873">
        <f>IF(ISBLANK('Q:\Abteilungsprojekte\Eng\EngData\PROJECT_Bioplastics\Renjie_Pan\05-Raw_Data\Lab_results\[LabSamples2025_Bioplastic_extra.xlsx]extra_Bioplastic'!E873)," ",'Q:\Abteilungsprojekte\Eng\EngData\PROJECT_Bioplastics\Renjie_Pan\05-Raw_Data\Lab_results\[LabSamples2025_Bioplastic_extra.xlsx]extra_Bioplastic'!E873)</f>
        <v/>
      </c>
      <c r="F873">
        <f>IF(ISBLANK('Q:\Abteilungsprojekte\Eng\EngData\PROJECT_Bioplastics\Renjie_Pan\05-Raw_Data\Lab_results\[LabSamples2025_Bioplastic_extra.xlsx]extra_Bioplastic'!F873)," ",'Q:\Abteilungsprojekte\Eng\EngData\PROJECT_Bioplastics\Renjie_Pan\05-Raw_Data\Lab_results\[LabSamples2025_Bioplastic_extra.xlsx]extra_Bioplastic'!F873)</f>
        <v/>
      </c>
      <c r="G873">
        <f>IF(ISBLANK('Q:\Abteilungsprojekte\Eng\EngData\PROJECT_Bioplastics\Renjie_Pan\05-Raw_Data\Lab_results\[LabSamples2025_Bioplastic_extra.xlsx]extra_Bioplastic'!G873)," ",'Q:\Abteilungsprojekte\Eng\EngData\PROJECT_Bioplastics\Renjie_Pan\05-Raw_Data\Lab_results\[LabSamples2025_Bioplastic_extra.xlsx]extra_Bioplastic'!G873)</f>
        <v/>
      </c>
      <c r="H873">
        <f>IF(ISBLANK('Q:\Abteilungsprojekte\Eng\EngData\PROJECT_Bioplastics\Renjie_Pan\05-Raw_Data\Lab_results\[LabSamples2025_Bioplastic_extra.xlsx]extra_Bioplastic'!H873)," ",'Q:\Abteilungsprojekte\Eng\EngData\PROJECT_Bioplastics\Renjie_Pan\05-Raw_Data\Lab_results\[LabSamples2025_Bioplastic_extra.xlsx]extra_Bioplastic'!H873)</f>
        <v/>
      </c>
    </row>
    <row r="874">
      <c r="A874">
        <f>IF(ISBLANK('Q:\Abteilungsprojekte\Eng\EngData\PROJECT_Bioplastics\Renjie_Pan\05-Raw_Data\Lab_results\[LabSamples2025_Bioplastic_extra.xlsx]extra_Bioplastic'!A874)," ",'Q:\Abteilungsprojekte\Eng\EngData\PROJECT_Bioplastics\Renjie_Pan\05-Raw_Data\Lab_results\[LabSamples2025_Bioplastic_extra.xlsx]extra_Bioplastic'!A874)</f>
        <v/>
      </c>
      <c r="B874">
        <f>IF(ISBLANK('Q:\Abteilungsprojekte\Eng\EngData\PROJECT_Bioplastics\Renjie_Pan\05-Raw_Data\Lab_results\[LabSamples2025_Bioplastic_extra.xlsx]extra_Bioplastic'!B874)," ",'Q:\Abteilungsprojekte\Eng\EngData\PROJECT_Bioplastics\Renjie_Pan\05-Raw_Data\Lab_results\[LabSamples2025_Bioplastic_extra.xlsx]extra_Bioplastic'!B874)</f>
        <v/>
      </c>
      <c r="C874">
        <f>IF(ISBLANK('Q:\Abteilungsprojekte\Eng\EngData\PROJECT_Bioplastics\Renjie_Pan\05-Raw_Data\Lab_results\[LabSamples2025_Bioplastic_extra.xlsx]extra_Bioplastic'!C874)," ",'Q:\Abteilungsprojekte\Eng\EngData\PROJECT_Bioplastics\Renjie_Pan\05-Raw_Data\Lab_results\[LabSamples2025_Bioplastic_extra.xlsx]extra_Bioplastic'!C874)</f>
        <v/>
      </c>
      <c r="D874">
        <f>IF(ISBLANK('Q:\Abteilungsprojekte\Eng\EngData\PROJECT_Bioplastics\Renjie_Pan\05-Raw_Data\Lab_results\[LabSamples2025_Bioplastic_extra.xlsx]extra_Bioplastic'!D874)," ",'Q:\Abteilungsprojekte\Eng\EngData\PROJECT_Bioplastics\Renjie_Pan\05-Raw_Data\Lab_results\[LabSamples2025_Bioplastic_extra.xlsx]extra_Bioplastic'!D874)</f>
        <v/>
      </c>
      <c r="E874">
        <f>IF(ISBLANK('Q:\Abteilungsprojekte\Eng\EngData\PROJECT_Bioplastics\Renjie_Pan\05-Raw_Data\Lab_results\[LabSamples2025_Bioplastic_extra.xlsx]extra_Bioplastic'!E874)," ",'Q:\Abteilungsprojekte\Eng\EngData\PROJECT_Bioplastics\Renjie_Pan\05-Raw_Data\Lab_results\[LabSamples2025_Bioplastic_extra.xlsx]extra_Bioplastic'!E874)</f>
        <v/>
      </c>
      <c r="F874">
        <f>IF(ISBLANK('Q:\Abteilungsprojekte\Eng\EngData\PROJECT_Bioplastics\Renjie_Pan\05-Raw_Data\Lab_results\[LabSamples2025_Bioplastic_extra.xlsx]extra_Bioplastic'!F874)," ",'Q:\Abteilungsprojekte\Eng\EngData\PROJECT_Bioplastics\Renjie_Pan\05-Raw_Data\Lab_results\[LabSamples2025_Bioplastic_extra.xlsx]extra_Bioplastic'!F874)</f>
        <v/>
      </c>
      <c r="G874">
        <f>IF(ISBLANK('Q:\Abteilungsprojekte\Eng\EngData\PROJECT_Bioplastics\Renjie_Pan\05-Raw_Data\Lab_results\[LabSamples2025_Bioplastic_extra.xlsx]extra_Bioplastic'!G874)," ",'Q:\Abteilungsprojekte\Eng\EngData\PROJECT_Bioplastics\Renjie_Pan\05-Raw_Data\Lab_results\[LabSamples2025_Bioplastic_extra.xlsx]extra_Bioplastic'!G874)</f>
        <v/>
      </c>
      <c r="H874">
        <f>IF(ISBLANK('Q:\Abteilungsprojekte\Eng\EngData\PROJECT_Bioplastics\Renjie_Pan\05-Raw_Data\Lab_results\[LabSamples2025_Bioplastic_extra.xlsx]extra_Bioplastic'!H874)," ",'Q:\Abteilungsprojekte\Eng\EngData\PROJECT_Bioplastics\Renjie_Pan\05-Raw_Data\Lab_results\[LabSamples2025_Bioplastic_extra.xlsx]extra_Bioplastic'!H874)</f>
        <v/>
      </c>
    </row>
    <row r="875">
      <c r="A875">
        <f>IF(ISBLANK('Q:\Abteilungsprojekte\Eng\EngData\PROJECT_Bioplastics\Renjie_Pan\05-Raw_Data\Lab_results\[LabSamples2025_Bioplastic_extra.xlsx]extra_Bioplastic'!A875)," ",'Q:\Abteilungsprojekte\Eng\EngData\PROJECT_Bioplastics\Renjie_Pan\05-Raw_Data\Lab_results\[LabSamples2025_Bioplastic_extra.xlsx]extra_Bioplastic'!A875)</f>
        <v/>
      </c>
      <c r="B875">
        <f>IF(ISBLANK('Q:\Abteilungsprojekte\Eng\EngData\PROJECT_Bioplastics\Renjie_Pan\05-Raw_Data\Lab_results\[LabSamples2025_Bioplastic_extra.xlsx]extra_Bioplastic'!B875)," ",'Q:\Abteilungsprojekte\Eng\EngData\PROJECT_Bioplastics\Renjie_Pan\05-Raw_Data\Lab_results\[LabSamples2025_Bioplastic_extra.xlsx]extra_Bioplastic'!B875)</f>
        <v/>
      </c>
      <c r="C875">
        <f>IF(ISBLANK('Q:\Abteilungsprojekte\Eng\EngData\PROJECT_Bioplastics\Renjie_Pan\05-Raw_Data\Lab_results\[LabSamples2025_Bioplastic_extra.xlsx]extra_Bioplastic'!C875)," ",'Q:\Abteilungsprojekte\Eng\EngData\PROJECT_Bioplastics\Renjie_Pan\05-Raw_Data\Lab_results\[LabSamples2025_Bioplastic_extra.xlsx]extra_Bioplastic'!C875)</f>
        <v/>
      </c>
      <c r="D875">
        <f>IF(ISBLANK('Q:\Abteilungsprojekte\Eng\EngData\PROJECT_Bioplastics\Renjie_Pan\05-Raw_Data\Lab_results\[LabSamples2025_Bioplastic_extra.xlsx]extra_Bioplastic'!D875)," ",'Q:\Abteilungsprojekte\Eng\EngData\PROJECT_Bioplastics\Renjie_Pan\05-Raw_Data\Lab_results\[LabSamples2025_Bioplastic_extra.xlsx]extra_Bioplastic'!D875)</f>
        <v/>
      </c>
      <c r="E875">
        <f>IF(ISBLANK('Q:\Abteilungsprojekte\Eng\EngData\PROJECT_Bioplastics\Renjie_Pan\05-Raw_Data\Lab_results\[LabSamples2025_Bioplastic_extra.xlsx]extra_Bioplastic'!E875)," ",'Q:\Abteilungsprojekte\Eng\EngData\PROJECT_Bioplastics\Renjie_Pan\05-Raw_Data\Lab_results\[LabSamples2025_Bioplastic_extra.xlsx]extra_Bioplastic'!E875)</f>
        <v/>
      </c>
      <c r="F875">
        <f>IF(ISBLANK('Q:\Abteilungsprojekte\Eng\EngData\PROJECT_Bioplastics\Renjie_Pan\05-Raw_Data\Lab_results\[LabSamples2025_Bioplastic_extra.xlsx]extra_Bioplastic'!F875)," ",'Q:\Abteilungsprojekte\Eng\EngData\PROJECT_Bioplastics\Renjie_Pan\05-Raw_Data\Lab_results\[LabSamples2025_Bioplastic_extra.xlsx]extra_Bioplastic'!F875)</f>
        <v/>
      </c>
      <c r="G875">
        <f>IF(ISBLANK('Q:\Abteilungsprojekte\Eng\EngData\PROJECT_Bioplastics\Renjie_Pan\05-Raw_Data\Lab_results\[LabSamples2025_Bioplastic_extra.xlsx]extra_Bioplastic'!G875)," ",'Q:\Abteilungsprojekte\Eng\EngData\PROJECT_Bioplastics\Renjie_Pan\05-Raw_Data\Lab_results\[LabSamples2025_Bioplastic_extra.xlsx]extra_Bioplastic'!G875)</f>
        <v/>
      </c>
      <c r="H875">
        <f>IF(ISBLANK('Q:\Abteilungsprojekte\Eng\EngData\PROJECT_Bioplastics\Renjie_Pan\05-Raw_Data\Lab_results\[LabSamples2025_Bioplastic_extra.xlsx]extra_Bioplastic'!H875)," ",'Q:\Abteilungsprojekte\Eng\EngData\PROJECT_Bioplastics\Renjie_Pan\05-Raw_Data\Lab_results\[LabSamples2025_Bioplastic_extra.xlsx]extra_Bioplastic'!H875)</f>
        <v/>
      </c>
    </row>
    <row r="876">
      <c r="A876">
        <f>IF(ISBLANK('Q:\Abteilungsprojekte\Eng\EngData\PROJECT_Bioplastics\Renjie_Pan\05-Raw_Data\Lab_results\[LabSamples2025_Bioplastic_extra.xlsx]extra_Bioplastic'!A876)," ",'Q:\Abteilungsprojekte\Eng\EngData\PROJECT_Bioplastics\Renjie_Pan\05-Raw_Data\Lab_results\[LabSamples2025_Bioplastic_extra.xlsx]extra_Bioplastic'!A876)</f>
        <v/>
      </c>
      <c r="B876">
        <f>IF(ISBLANK('Q:\Abteilungsprojekte\Eng\EngData\PROJECT_Bioplastics\Renjie_Pan\05-Raw_Data\Lab_results\[LabSamples2025_Bioplastic_extra.xlsx]extra_Bioplastic'!B876)," ",'Q:\Abteilungsprojekte\Eng\EngData\PROJECT_Bioplastics\Renjie_Pan\05-Raw_Data\Lab_results\[LabSamples2025_Bioplastic_extra.xlsx]extra_Bioplastic'!B876)</f>
        <v/>
      </c>
      <c r="C876">
        <f>IF(ISBLANK('Q:\Abteilungsprojekte\Eng\EngData\PROJECT_Bioplastics\Renjie_Pan\05-Raw_Data\Lab_results\[LabSamples2025_Bioplastic_extra.xlsx]extra_Bioplastic'!C876)," ",'Q:\Abteilungsprojekte\Eng\EngData\PROJECT_Bioplastics\Renjie_Pan\05-Raw_Data\Lab_results\[LabSamples2025_Bioplastic_extra.xlsx]extra_Bioplastic'!C876)</f>
        <v/>
      </c>
      <c r="D876">
        <f>IF(ISBLANK('Q:\Abteilungsprojekte\Eng\EngData\PROJECT_Bioplastics\Renjie_Pan\05-Raw_Data\Lab_results\[LabSamples2025_Bioplastic_extra.xlsx]extra_Bioplastic'!D876)," ",'Q:\Abteilungsprojekte\Eng\EngData\PROJECT_Bioplastics\Renjie_Pan\05-Raw_Data\Lab_results\[LabSamples2025_Bioplastic_extra.xlsx]extra_Bioplastic'!D876)</f>
        <v/>
      </c>
      <c r="E876">
        <f>IF(ISBLANK('Q:\Abteilungsprojekte\Eng\EngData\PROJECT_Bioplastics\Renjie_Pan\05-Raw_Data\Lab_results\[LabSamples2025_Bioplastic_extra.xlsx]extra_Bioplastic'!E876)," ",'Q:\Abteilungsprojekte\Eng\EngData\PROJECT_Bioplastics\Renjie_Pan\05-Raw_Data\Lab_results\[LabSamples2025_Bioplastic_extra.xlsx]extra_Bioplastic'!E876)</f>
        <v/>
      </c>
      <c r="F876">
        <f>IF(ISBLANK('Q:\Abteilungsprojekte\Eng\EngData\PROJECT_Bioplastics\Renjie_Pan\05-Raw_Data\Lab_results\[LabSamples2025_Bioplastic_extra.xlsx]extra_Bioplastic'!F876)," ",'Q:\Abteilungsprojekte\Eng\EngData\PROJECT_Bioplastics\Renjie_Pan\05-Raw_Data\Lab_results\[LabSamples2025_Bioplastic_extra.xlsx]extra_Bioplastic'!F876)</f>
        <v/>
      </c>
      <c r="G876">
        <f>IF(ISBLANK('Q:\Abteilungsprojekte\Eng\EngData\PROJECT_Bioplastics\Renjie_Pan\05-Raw_Data\Lab_results\[LabSamples2025_Bioplastic_extra.xlsx]extra_Bioplastic'!G876)," ",'Q:\Abteilungsprojekte\Eng\EngData\PROJECT_Bioplastics\Renjie_Pan\05-Raw_Data\Lab_results\[LabSamples2025_Bioplastic_extra.xlsx]extra_Bioplastic'!G876)</f>
        <v/>
      </c>
      <c r="H876">
        <f>IF(ISBLANK('Q:\Abteilungsprojekte\Eng\EngData\PROJECT_Bioplastics\Renjie_Pan\05-Raw_Data\Lab_results\[LabSamples2025_Bioplastic_extra.xlsx]extra_Bioplastic'!H876)," ",'Q:\Abteilungsprojekte\Eng\EngData\PROJECT_Bioplastics\Renjie_Pan\05-Raw_Data\Lab_results\[LabSamples2025_Bioplastic_extra.xlsx]extra_Bioplastic'!H876)</f>
        <v/>
      </c>
    </row>
    <row r="877">
      <c r="A877">
        <f>IF(ISBLANK('Q:\Abteilungsprojekte\Eng\EngData\PROJECT_Bioplastics\Renjie_Pan\05-Raw_Data\Lab_results\[LabSamples2025_Bioplastic_extra.xlsx]extra_Bioplastic'!A877)," ",'Q:\Abteilungsprojekte\Eng\EngData\PROJECT_Bioplastics\Renjie_Pan\05-Raw_Data\Lab_results\[LabSamples2025_Bioplastic_extra.xlsx]extra_Bioplastic'!A877)</f>
        <v/>
      </c>
      <c r="B877">
        <f>IF(ISBLANK('Q:\Abteilungsprojekte\Eng\EngData\PROJECT_Bioplastics\Renjie_Pan\05-Raw_Data\Lab_results\[LabSamples2025_Bioplastic_extra.xlsx]extra_Bioplastic'!B877)," ",'Q:\Abteilungsprojekte\Eng\EngData\PROJECT_Bioplastics\Renjie_Pan\05-Raw_Data\Lab_results\[LabSamples2025_Bioplastic_extra.xlsx]extra_Bioplastic'!B877)</f>
        <v/>
      </c>
      <c r="C877">
        <f>IF(ISBLANK('Q:\Abteilungsprojekte\Eng\EngData\PROJECT_Bioplastics\Renjie_Pan\05-Raw_Data\Lab_results\[LabSamples2025_Bioplastic_extra.xlsx]extra_Bioplastic'!C877)," ",'Q:\Abteilungsprojekte\Eng\EngData\PROJECT_Bioplastics\Renjie_Pan\05-Raw_Data\Lab_results\[LabSamples2025_Bioplastic_extra.xlsx]extra_Bioplastic'!C877)</f>
        <v/>
      </c>
      <c r="D877">
        <f>IF(ISBLANK('Q:\Abteilungsprojekte\Eng\EngData\PROJECT_Bioplastics\Renjie_Pan\05-Raw_Data\Lab_results\[LabSamples2025_Bioplastic_extra.xlsx]extra_Bioplastic'!D877)," ",'Q:\Abteilungsprojekte\Eng\EngData\PROJECT_Bioplastics\Renjie_Pan\05-Raw_Data\Lab_results\[LabSamples2025_Bioplastic_extra.xlsx]extra_Bioplastic'!D877)</f>
        <v/>
      </c>
      <c r="E877">
        <f>IF(ISBLANK('Q:\Abteilungsprojekte\Eng\EngData\PROJECT_Bioplastics\Renjie_Pan\05-Raw_Data\Lab_results\[LabSamples2025_Bioplastic_extra.xlsx]extra_Bioplastic'!E877)," ",'Q:\Abteilungsprojekte\Eng\EngData\PROJECT_Bioplastics\Renjie_Pan\05-Raw_Data\Lab_results\[LabSamples2025_Bioplastic_extra.xlsx]extra_Bioplastic'!E877)</f>
        <v/>
      </c>
      <c r="F877">
        <f>IF(ISBLANK('Q:\Abteilungsprojekte\Eng\EngData\PROJECT_Bioplastics\Renjie_Pan\05-Raw_Data\Lab_results\[LabSamples2025_Bioplastic_extra.xlsx]extra_Bioplastic'!F877)," ",'Q:\Abteilungsprojekte\Eng\EngData\PROJECT_Bioplastics\Renjie_Pan\05-Raw_Data\Lab_results\[LabSamples2025_Bioplastic_extra.xlsx]extra_Bioplastic'!F877)</f>
        <v/>
      </c>
      <c r="G877">
        <f>IF(ISBLANK('Q:\Abteilungsprojekte\Eng\EngData\PROJECT_Bioplastics\Renjie_Pan\05-Raw_Data\Lab_results\[LabSamples2025_Bioplastic_extra.xlsx]extra_Bioplastic'!G877)," ",'Q:\Abteilungsprojekte\Eng\EngData\PROJECT_Bioplastics\Renjie_Pan\05-Raw_Data\Lab_results\[LabSamples2025_Bioplastic_extra.xlsx]extra_Bioplastic'!G877)</f>
        <v/>
      </c>
      <c r="H877">
        <f>IF(ISBLANK('Q:\Abteilungsprojekte\Eng\EngData\PROJECT_Bioplastics\Renjie_Pan\05-Raw_Data\Lab_results\[LabSamples2025_Bioplastic_extra.xlsx]extra_Bioplastic'!H877)," ",'Q:\Abteilungsprojekte\Eng\EngData\PROJECT_Bioplastics\Renjie_Pan\05-Raw_Data\Lab_results\[LabSamples2025_Bioplastic_extra.xlsx]extra_Bioplastic'!H877)</f>
        <v/>
      </c>
    </row>
    <row r="878">
      <c r="A878">
        <f>IF(ISBLANK('Q:\Abteilungsprojekte\Eng\EngData\PROJECT_Bioplastics\Renjie_Pan\05-Raw_Data\Lab_results\[LabSamples2025_Bioplastic_extra.xlsx]extra_Bioplastic'!A878)," ",'Q:\Abteilungsprojekte\Eng\EngData\PROJECT_Bioplastics\Renjie_Pan\05-Raw_Data\Lab_results\[LabSamples2025_Bioplastic_extra.xlsx]extra_Bioplastic'!A878)</f>
        <v/>
      </c>
      <c r="B878">
        <f>IF(ISBLANK('Q:\Abteilungsprojekte\Eng\EngData\PROJECT_Bioplastics\Renjie_Pan\05-Raw_Data\Lab_results\[LabSamples2025_Bioplastic_extra.xlsx]extra_Bioplastic'!B878)," ",'Q:\Abteilungsprojekte\Eng\EngData\PROJECT_Bioplastics\Renjie_Pan\05-Raw_Data\Lab_results\[LabSamples2025_Bioplastic_extra.xlsx]extra_Bioplastic'!B878)</f>
        <v/>
      </c>
      <c r="C878">
        <f>IF(ISBLANK('Q:\Abteilungsprojekte\Eng\EngData\PROJECT_Bioplastics\Renjie_Pan\05-Raw_Data\Lab_results\[LabSamples2025_Bioplastic_extra.xlsx]extra_Bioplastic'!C878)," ",'Q:\Abteilungsprojekte\Eng\EngData\PROJECT_Bioplastics\Renjie_Pan\05-Raw_Data\Lab_results\[LabSamples2025_Bioplastic_extra.xlsx]extra_Bioplastic'!C878)</f>
        <v/>
      </c>
      <c r="D878">
        <f>IF(ISBLANK('Q:\Abteilungsprojekte\Eng\EngData\PROJECT_Bioplastics\Renjie_Pan\05-Raw_Data\Lab_results\[LabSamples2025_Bioplastic_extra.xlsx]extra_Bioplastic'!D878)," ",'Q:\Abteilungsprojekte\Eng\EngData\PROJECT_Bioplastics\Renjie_Pan\05-Raw_Data\Lab_results\[LabSamples2025_Bioplastic_extra.xlsx]extra_Bioplastic'!D878)</f>
        <v/>
      </c>
      <c r="E878">
        <f>IF(ISBLANK('Q:\Abteilungsprojekte\Eng\EngData\PROJECT_Bioplastics\Renjie_Pan\05-Raw_Data\Lab_results\[LabSamples2025_Bioplastic_extra.xlsx]extra_Bioplastic'!E878)," ",'Q:\Abteilungsprojekte\Eng\EngData\PROJECT_Bioplastics\Renjie_Pan\05-Raw_Data\Lab_results\[LabSamples2025_Bioplastic_extra.xlsx]extra_Bioplastic'!E878)</f>
        <v/>
      </c>
      <c r="F878">
        <f>IF(ISBLANK('Q:\Abteilungsprojekte\Eng\EngData\PROJECT_Bioplastics\Renjie_Pan\05-Raw_Data\Lab_results\[LabSamples2025_Bioplastic_extra.xlsx]extra_Bioplastic'!F878)," ",'Q:\Abteilungsprojekte\Eng\EngData\PROJECT_Bioplastics\Renjie_Pan\05-Raw_Data\Lab_results\[LabSamples2025_Bioplastic_extra.xlsx]extra_Bioplastic'!F878)</f>
        <v/>
      </c>
      <c r="G878">
        <f>IF(ISBLANK('Q:\Abteilungsprojekte\Eng\EngData\PROJECT_Bioplastics\Renjie_Pan\05-Raw_Data\Lab_results\[LabSamples2025_Bioplastic_extra.xlsx]extra_Bioplastic'!G878)," ",'Q:\Abteilungsprojekte\Eng\EngData\PROJECT_Bioplastics\Renjie_Pan\05-Raw_Data\Lab_results\[LabSamples2025_Bioplastic_extra.xlsx]extra_Bioplastic'!G878)</f>
        <v/>
      </c>
      <c r="H878">
        <f>IF(ISBLANK('Q:\Abteilungsprojekte\Eng\EngData\PROJECT_Bioplastics\Renjie_Pan\05-Raw_Data\Lab_results\[LabSamples2025_Bioplastic_extra.xlsx]extra_Bioplastic'!H878)," ",'Q:\Abteilungsprojekte\Eng\EngData\PROJECT_Bioplastics\Renjie_Pan\05-Raw_Data\Lab_results\[LabSamples2025_Bioplastic_extra.xlsx]extra_Bioplastic'!H878)</f>
        <v/>
      </c>
    </row>
    <row r="879">
      <c r="A879">
        <f>IF(ISBLANK('Q:\Abteilungsprojekte\Eng\EngData\PROJECT_Bioplastics\Renjie_Pan\05-Raw_Data\Lab_results\[LabSamples2025_Bioplastic_extra.xlsx]extra_Bioplastic'!A879)," ",'Q:\Abteilungsprojekte\Eng\EngData\PROJECT_Bioplastics\Renjie_Pan\05-Raw_Data\Lab_results\[LabSamples2025_Bioplastic_extra.xlsx]extra_Bioplastic'!A879)</f>
        <v/>
      </c>
      <c r="B879">
        <f>IF(ISBLANK('Q:\Abteilungsprojekte\Eng\EngData\PROJECT_Bioplastics\Renjie_Pan\05-Raw_Data\Lab_results\[LabSamples2025_Bioplastic_extra.xlsx]extra_Bioplastic'!B879)," ",'Q:\Abteilungsprojekte\Eng\EngData\PROJECT_Bioplastics\Renjie_Pan\05-Raw_Data\Lab_results\[LabSamples2025_Bioplastic_extra.xlsx]extra_Bioplastic'!B879)</f>
        <v/>
      </c>
      <c r="C879">
        <f>IF(ISBLANK('Q:\Abteilungsprojekte\Eng\EngData\PROJECT_Bioplastics\Renjie_Pan\05-Raw_Data\Lab_results\[LabSamples2025_Bioplastic_extra.xlsx]extra_Bioplastic'!C879)," ",'Q:\Abteilungsprojekte\Eng\EngData\PROJECT_Bioplastics\Renjie_Pan\05-Raw_Data\Lab_results\[LabSamples2025_Bioplastic_extra.xlsx]extra_Bioplastic'!C879)</f>
        <v/>
      </c>
      <c r="D879">
        <f>IF(ISBLANK('Q:\Abteilungsprojekte\Eng\EngData\PROJECT_Bioplastics\Renjie_Pan\05-Raw_Data\Lab_results\[LabSamples2025_Bioplastic_extra.xlsx]extra_Bioplastic'!D879)," ",'Q:\Abteilungsprojekte\Eng\EngData\PROJECT_Bioplastics\Renjie_Pan\05-Raw_Data\Lab_results\[LabSamples2025_Bioplastic_extra.xlsx]extra_Bioplastic'!D879)</f>
        <v/>
      </c>
      <c r="E879">
        <f>IF(ISBLANK('Q:\Abteilungsprojekte\Eng\EngData\PROJECT_Bioplastics\Renjie_Pan\05-Raw_Data\Lab_results\[LabSamples2025_Bioplastic_extra.xlsx]extra_Bioplastic'!E879)," ",'Q:\Abteilungsprojekte\Eng\EngData\PROJECT_Bioplastics\Renjie_Pan\05-Raw_Data\Lab_results\[LabSamples2025_Bioplastic_extra.xlsx]extra_Bioplastic'!E879)</f>
        <v/>
      </c>
      <c r="F879">
        <f>IF(ISBLANK('Q:\Abteilungsprojekte\Eng\EngData\PROJECT_Bioplastics\Renjie_Pan\05-Raw_Data\Lab_results\[LabSamples2025_Bioplastic_extra.xlsx]extra_Bioplastic'!F879)," ",'Q:\Abteilungsprojekte\Eng\EngData\PROJECT_Bioplastics\Renjie_Pan\05-Raw_Data\Lab_results\[LabSamples2025_Bioplastic_extra.xlsx]extra_Bioplastic'!F879)</f>
        <v/>
      </c>
      <c r="G879">
        <f>IF(ISBLANK('Q:\Abteilungsprojekte\Eng\EngData\PROJECT_Bioplastics\Renjie_Pan\05-Raw_Data\Lab_results\[LabSamples2025_Bioplastic_extra.xlsx]extra_Bioplastic'!G879)," ",'Q:\Abteilungsprojekte\Eng\EngData\PROJECT_Bioplastics\Renjie_Pan\05-Raw_Data\Lab_results\[LabSamples2025_Bioplastic_extra.xlsx]extra_Bioplastic'!G879)</f>
        <v/>
      </c>
      <c r="H879">
        <f>IF(ISBLANK('Q:\Abteilungsprojekte\Eng\EngData\PROJECT_Bioplastics\Renjie_Pan\05-Raw_Data\Lab_results\[LabSamples2025_Bioplastic_extra.xlsx]extra_Bioplastic'!H879)," ",'Q:\Abteilungsprojekte\Eng\EngData\PROJECT_Bioplastics\Renjie_Pan\05-Raw_Data\Lab_results\[LabSamples2025_Bioplastic_extra.xlsx]extra_Bioplastic'!H879)</f>
        <v/>
      </c>
    </row>
    <row r="880">
      <c r="A880">
        <f>IF(ISBLANK('Q:\Abteilungsprojekte\Eng\EngData\PROJECT_Bioplastics\Renjie_Pan\05-Raw_Data\Lab_results\[LabSamples2025_Bioplastic_extra.xlsx]extra_Bioplastic'!A880)," ",'Q:\Abteilungsprojekte\Eng\EngData\PROJECT_Bioplastics\Renjie_Pan\05-Raw_Data\Lab_results\[LabSamples2025_Bioplastic_extra.xlsx]extra_Bioplastic'!A880)</f>
        <v/>
      </c>
      <c r="B880">
        <f>IF(ISBLANK('Q:\Abteilungsprojekte\Eng\EngData\PROJECT_Bioplastics\Renjie_Pan\05-Raw_Data\Lab_results\[LabSamples2025_Bioplastic_extra.xlsx]extra_Bioplastic'!B880)," ",'Q:\Abteilungsprojekte\Eng\EngData\PROJECT_Bioplastics\Renjie_Pan\05-Raw_Data\Lab_results\[LabSamples2025_Bioplastic_extra.xlsx]extra_Bioplastic'!B880)</f>
        <v/>
      </c>
      <c r="C880">
        <f>IF(ISBLANK('Q:\Abteilungsprojekte\Eng\EngData\PROJECT_Bioplastics\Renjie_Pan\05-Raw_Data\Lab_results\[LabSamples2025_Bioplastic_extra.xlsx]extra_Bioplastic'!C880)," ",'Q:\Abteilungsprojekte\Eng\EngData\PROJECT_Bioplastics\Renjie_Pan\05-Raw_Data\Lab_results\[LabSamples2025_Bioplastic_extra.xlsx]extra_Bioplastic'!C880)</f>
        <v/>
      </c>
      <c r="D880">
        <f>IF(ISBLANK('Q:\Abteilungsprojekte\Eng\EngData\PROJECT_Bioplastics\Renjie_Pan\05-Raw_Data\Lab_results\[LabSamples2025_Bioplastic_extra.xlsx]extra_Bioplastic'!D880)," ",'Q:\Abteilungsprojekte\Eng\EngData\PROJECT_Bioplastics\Renjie_Pan\05-Raw_Data\Lab_results\[LabSamples2025_Bioplastic_extra.xlsx]extra_Bioplastic'!D880)</f>
        <v/>
      </c>
      <c r="E880">
        <f>IF(ISBLANK('Q:\Abteilungsprojekte\Eng\EngData\PROJECT_Bioplastics\Renjie_Pan\05-Raw_Data\Lab_results\[LabSamples2025_Bioplastic_extra.xlsx]extra_Bioplastic'!E880)," ",'Q:\Abteilungsprojekte\Eng\EngData\PROJECT_Bioplastics\Renjie_Pan\05-Raw_Data\Lab_results\[LabSamples2025_Bioplastic_extra.xlsx]extra_Bioplastic'!E880)</f>
        <v/>
      </c>
      <c r="F880">
        <f>IF(ISBLANK('Q:\Abteilungsprojekte\Eng\EngData\PROJECT_Bioplastics\Renjie_Pan\05-Raw_Data\Lab_results\[LabSamples2025_Bioplastic_extra.xlsx]extra_Bioplastic'!F880)," ",'Q:\Abteilungsprojekte\Eng\EngData\PROJECT_Bioplastics\Renjie_Pan\05-Raw_Data\Lab_results\[LabSamples2025_Bioplastic_extra.xlsx]extra_Bioplastic'!F880)</f>
        <v/>
      </c>
      <c r="G880">
        <f>IF(ISBLANK('Q:\Abteilungsprojekte\Eng\EngData\PROJECT_Bioplastics\Renjie_Pan\05-Raw_Data\Lab_results\[LabSamples2025_Bioplastic_extra.xlsx]extra_Bioplastic'!G880)," ",'Q:\Abteilungsprojekte\Eng\EngData\PROJECT_Bioplastics\Renjie_Pan\05-Raw_Data\Lab_results\[LabSamples2025_Bioplastic_extra.xlsx]extra_Bioplastic'!G880)</f>
        <v/>
      </c>
      <c r="H880">
        <f>IF(ISBLANK('Q:\Abteilungsprojekte\Eng\EngData\PROJECT_Bioplastics\Renjie_Pan\05-Raw_Data\Lab_results\[LabSamples2025_Bioplastic_extra.xlsx]extra_Bioplastic'!H880)," ",'Q:\Abteilungsprojekte\Eng\EngData\PROJECT_Bioplastics\Renjie_Pan\05-Raw_Data\Lab_results\[LabSamples2025_Bioplastic_extra.xlsx]extra_Bioplastic'!H880)</f>
        <v/>
      </c>
    </row>
    <row r="881">
      <c r="A881">
        <f>IF(ISBLANK('Q:\Abteilungsprojekte\Eng\EngData\PROJECT_Bioplastics\Renjie_Pan\05-Raw_Data\Lab_results\[LabSamples2025_Bioplastic_extra.xlsx]extra_Bioplastic'!A881)," ",'Q:\Abteilungsprojekte\Eng\EngData\PROJECT_Bioplastics\Renjie_Pan\05-Raw_Data\Lab_results\[LabSamples2025_Bioplastic_extra.xlsx]extra_Bioplastic'!A881)</f>
        <v/>
      </c>
      <c r="B881">
        <f>IF(ISBLANK('Q:\Abteilungsprojekte\Eng\EngData\PROJECT_Bioplastics\Renjie_Pan\05-Raw_Data\Lab_results\[LabSamples2025_Bioplastic_extra.xlsx]extra_Bioplastic'!B881)," ",'Q:\Abteilungsprojekte\Eng\EngData\PROJECT_Bioplastics\Renjie_Pan\05-Raw_Data\Lab_results\[LabSamples2025_Bioplastic_extra.xlsx]extra_Bioplastic'!B881)</f>
        <v/>
      </c>
      <c r="C881">
        <f>IF(ISBLANK('Q:\Abteilungsprojekte\Eng\EngData\PROJECT_Bioplastics\Renjie_Pan\05-Raw_Data\Lab_results\[LabSamples2025_Bioplastic_extra.xlsx]extra_Bioplastic'!C881)," ",'Q:\Abteilungsprojekte\Eng\EngData\PROJECT_Bioplastics\Renjie_Pan\05-Raw_Data\Lab_results\[LabSamples2025_Bioplastic_extra.xlsx]extra_Bioplastic'!C881)</f>
        <v/>
      </c>
      <c r="D881">
        <f>IF(ISBLANK('Q:\Abteilungsprojekte\Eng\EngData\PROJECT_Bioplastics\Renjie_Pan\05-Raw_Data\Lab_results\[LabSamples2025_Bioplastic_extra.xlsx]extra_Bioplastic'!D881)," ",'Q:\Abteilungsprojekte\Eng\EngData\PROJECT_Bioplastics\Renjie_Pan\05-Raw_Data\Lab_results\[LabSamples2025_Bioplastic_extra.xlsx]extra_Bioplastic'!D881)</f>
        <v/>
      </c>
      <c r="E881">
        <f>IF(ISBLANK('Q:\Abteilungsprojekte\Eng\EngData\PROJECT_Bioplastics\Renjie_Pan\05-Raw_Data\Lab_results\[LabSamples2025_Bioplastic_extra.xlsx]extra_Bioplastic'!E881)," ",'Q:\Abteilungsprojekte\Eng\EngData\PROJECT_Bioplastics\Renjie_Pan\05-Raw_Data\Lab_results\[LabSamples2025_Bioplastic_extra.xlsx]extra_Bioplastic'!E881)</f>
        <v/>
      </c>
      <c r="F881">
        <f>IF(ISBLANK('Q:\Abteilungsprojekte\Eng\EngData\PROJECT_Bioplastics\Renjie_Pan\05-Raw_Data\Lab_results\[LabSamples2025_Bioplastic_extra.xlsx]extra_Bioplastic'!F881)," ",'Q:\Abteilungsprojekte\Eng\EngData\PROJECT_Bioplastics\Renjie_Pan\05-Raw_Data\Lab_results\[LabSamples2025_Bioplastic_extra.xlsx]extra_Bioplastic'!F881)</f>
        <v/>
      </c>
      <c r="G881">
        <f>IF(ISBLANK('Q:\Abteilungsprojekte\Eng\EngData\PROJECT_Bioplastics\Renjie_Pan\05-Raw_Data\Lab_results\[LabSamples2025_Bioplastic_extra.xlsx]extra_Bioplastic'!G881)," ",'Q:\Abteilungsprojekte\Eng\EngData\PROJECT_Bioplastics\Renjie_Pan\05-Raw_Data\Lab_results\[LabSamples2025_Bioplastic_extra.xlsx]extra_Bioplastic'!G881)</f>
        <v/>
      </c>
      <c r="H881">
        <f>IF(ISBLANK('Q:\Abteilungsprojekte\Eng\EngData\PROJECT_Bioplastics\Renjie_Pan\05-Raw_Data\Lab_results\[LabSamples2025_Bioplastic_extra.xlsx]extra_Bioplastic'!H881)," ",'Q:\Abteilungsprojekte\Eng\EngData\PROJECT_Bioplastics\Renjie_Pan\05-Raw_Data\Lab_results\[LabSamples2025_Bioplastic_extra.xlsx]extra_Bioplastic'!H881)</f>
        <v/>
      </c>
    </row>
    <row r="882">
      <c r="A882">
        <f>IF(ISBLANK('Q:\Abteilungsprojekte\Eng\EngData\PROJECT_Bioplastics\Renjie_Pan\05-Raw_Data\Lab_results\[LabSamples2025_Bioplastic_extra.xlsx]extra_Bioplastic'!A882)," ",'Q:\Abteilungsprojekte\Eng\EngData\PROJECT_Bioplastics\Renjie_Pan\05-Raw_Data\Lab_results\[LabSamples2025_Bioplastic_extra.xlsx]extra_Bioplastic'!A882)</f>
        <v/>
      </c>
      <c r="B882">
        <f>IF(ISBLANK('Q:\Abteilungsprojekte\Eng\EngData\PROJECT_Bioplastics\Renjie_Pan\05-Raw_Data\Lab_results\[LabSamples2025_Bioplastic_extra.xlsx]extra_Bioplastic'!B882)," ",'Q:\Abteilungsprojekte\Eng\EngData\PROJECT_Bioplastics\Renjie_Pan\05-Raw_Data\Lab_results\[LabSamples2025_Bioplastic_extra.xlsx]extra_Bioplastic'!B882)</f>
        <v/>
      </c>
      <c r="C882">
        <f>IF(ISBLANK('Q:\Abteilungsprojekte\Eng\EngData\PROJECT_Bioplastics\Renjie_Pan\05-Raw_Data\Lab_results\[LabSamples2025_Bioplastic_extra.xlsx]extra_Bioplastic'!C882)," ",'Q:\Abteilungsprojekte\Eng\EngData\PROJECT_Bioplastics\Renjie_Pan\05-Raw_Data\Lab_results\[LabSamples2025_Bioplastic_extra.xlsx]extra_Bioplastic'!C882)</f>
        <v/>
      </c>
      <c r="D882">
        <f>IF(ISBLANK('Q:\Abteilungsprojekte\Eng\EngData\PROJECT_Bioplastics\Renjie_Pan\05-Raw_Data\Lab_results\[LabSamples2025_Bioplastic_extra.xlsx]extra_Bioplastic'!D882)," ",'Q:\Abteilungsprojekte\Eng\EngData\PROJECT_Bioplastics\Renjie_Pan\05-Raw_Data\Lab_results\[LabSamples2025_Bioplastic_extra.xlsx]extra_Bioplastic'!D882)</f>
        <v/>
      </c>
      <c r="E882">
        <f>IF(ISBLANK('Q:\Abteilungsprojekte\Eng\EngData\PROJECT_Bioplastics\Renjie_Pan\05-Raw_Data\Lab_results\[LabSamples2025_Bioplastic_extra.xlsx]extra_Bioplastic'!E882)," ",'Q:\Abteilungsprojekte\Eng\EngData\PROJECT_Bioplastics\Renjie_Pan\05-Raw_Data\Lab_results\[LabSamples2025_Bioplastic_extra.xlsx]extra_Bioplastic'!E882)</f>
        <v/>
      </c>
      <c r="F882">
        <f>IF(ISBLANK('Q:\Abteilungsprojekte\Eng\EngData\PROJECT_Bioplastics\Renjie_Pan\05-Raw_Data\Lab_results\[LabSamples2025_Bioplastic_extra.xlsx]extra_Bioplastic'!F882)," ",'Q:\Abteilungsprojekte\Eng\EngData\PROJECT_Bioplastics\Renjie_Pan\05-Raw_Data\Lab_results\[LabSamples2025_Bioplastic_extra.xlsx]extra_Bioplastic'!F882)</f>
        <v/>
      </c>
      <c r="G882">
        <f>IF(ISBLANK('Q:\Abteilungsprojekte\Eng\EngData\PROJECT_Bioplastics\Renjie_Pan\05-Raw_Data\Lab_results\[LabSamples2025_Bioplastic_extra.xlsx]extra_Bioplastic'!G882)," ",'Q:\Abteilungsprojekte\Eng\EngData\PROJECT_Bioplastics\Renjie_Pan\05-Raw_Data\Lab_results\[LabSamples2025_Bioplastic_extra.xlsx]extra_Bioplastic'!G882)</f>
        <v/>
      </c>
      <c r="H882">
        <f>IF(ISBLANK('Q:\Abteilungsprojekte\Eng\EngData\PROJECT_Bioplastics\Renjie_Pan\05-Raw_Data\Lab_results\[LabSamples2025_Bioplastic_extra.xlsx]extra_Bioplastic'!H882)," ",'Q:\Abteilungsprojekte\Eng\EngData\PROJECT_Bioplastics\Renjie_Pan\05-Raw_Data\Lab_results\[LabSamples2025_Bioplastic_extra.xlsx]extra_Bioplastic'!H882)</f>
        <v/>
      </c>
    </row>
    <row r="883">
      <c r="A883">
        <f>IF(ISBLANK('Q:\Abteilungsprojekte\Eng\EngData\PROJECT_Bioplastics\Renjie_Pan\05-Raw_Data\Lab_results\[LabSamples2025_Bioplastic_extra.xlsx]extra_Bioplastic'!A883)," ",'Q:\Abteilungsprojekte\Eng\EngData\PROJECT_Bioplastics\Renjie_Pan\05-Raw_Data\Lab_results\[LabSamples2025_Bioplastic_extra.xlsx]extra_Bioplastic'!A883)</f>
        <v/>
      </c>
      <c r="B883">
        <f>IF(ISBLANK('Q:\Abteilungsprojekte\Eng\EngData\PROJECT_Bioplastics\Renjie_Pan\05-Raw_Data\Lab_results\[LabSamples2025_Bioplastic_extra.xlsx]extra_Bioplastic'!B883)," ",'Q:\Abteilungsprojekte\Eng\EngData\PROJECT_Bioplastics\Renjie_Pan\05-Raw_Data\Lab_results\[LabSamples2025_Bioplastic_extra.xlsx]extra_Bioplastic'!B883)</f>
        <v/>
      </c>
      <c r="C883">
        <f>IF(ISBLANK('Q:\Abteilungsprojekte\Eng\EngData\PROJECT_Bioplastics\Renjie_Pan\05-Raw_Data\Lab_results\[LabSamples2025_Bioplastic_extra.xlsx]extra_Bioplastic'!C883)," ",'Q:\Abteilungsprojekte\Eng\EngData\PROJECT_Bioplastics\Renjie_Pan\05-Raw_Data\Lab_results\[LabSamples2025_Bioplastic_extra.xlsx]extra_Bioplastic'!C883)</f>
        <v/>
      </c>
      <c r="D883">
        <f>IF(ISBLANK('Q:\Abteilungsprojekte\Eng\EngData\PROJECT_Bioplastics\Renjie_Pan\05-Raw_Data\Lab_results\[LabSamples2025_Bioplastic_extra.xlsx]extra_Bioplastic'!D883)," ",'Q:\Abteilungsprojekte\Eng\EngData\PROJECT_Bioplastics\Renjie_Pan\05-Raw_Data\Lab_results\[LabSamples2025_Bioplastic_extra.xlsx]extra_Bioplastic'!D883)</f>
        <v/>
      </c>
      <c r="E883">
        <f>IF(ISBLANK('Q:\Abteilungsprojekte\Eng\EngData\PROJECT_Bioplastics\Renjie_Pan\05-Raw_Data\Lab_results\[LabSamples2025_Bioplastic_extra.xlsx]extra_Bioplastic'!E883)," ",'Q:\Abteilungsprojekte\Eng\EngData\PROJECT_Bioplastics\Renjie_Pan\05-Raw_Data\Lab_results\[LabSamples2025_Bioplastic_extra.xlsx]extra_Bioplastic'!E883)</f>
        <v/>
      </c>
      <c r="F883">
        <f>IF(ISBLANK('Q:\Abteilungsprojekte\Eng\EngData\PROJECT_Bioplastics\Renjie_Pan\05-Raw_Data\Lab_results\[LabSamples2025_Bioplastic_extra.xlsx]extra_Bioplastic'!F883)," ",'Q:\Abteilungsprojekte\Eng\EngData\PROJECT_Bioplastics\Renjie_Pan\05-Raw_Data\Lab_results\[LabSamples2025_Bioplastic_extra.xlsx]extra_Bioplastic'!F883)</f>
        <v/>
      </c>
      <c r="G883">
        <f>IF(ISBLANK('Q:\Abteilungsprojekte\Eng\EngData\PROJECT_Bioplastics\Renjie_Pan\05-Raw_Data\Lab_results\[LabSamples2025_Bioplastic_extra.xlsx]extra_Bioplastic'!G883)," ",'Q:\Abteilungsprojekte\Eng\EngData\PROJECT_Bioplastics\Renjie_Pan\05-Raw_Data\Lab_results\[LabSamples2025_Bioplastic_extra.xlsx]extra_Bioplastic'!G883)</f>
        <v/>
      </c>
      <c r="H883">
        <f>IF(ISBLANK('Q:\Abteilungsprojekte\Eng\EngData\PROJECT_Bioplastics\Renjie_Pan\05-Raw_Data\Lab_results\[LabSamples2025_Bioplastic_extra.xlsx]extra_Bioplastic'!H883)," ",'Q:\Abteilungsprojekte\Eng\EngData\PROJECT_Bioplastics\Renjie_Pan\05-Raw_Data\Lab_results\[LabSamples2025_Bioplastic_extra.xlsx]extra_Bioplastic'!H883)</f>
        <v/>
      </c>
    </row>
    <row r="884">
      <c r="A884">
        <f>IF(ISBLANK('Q:\Abteilungsprojekte\Eng\EngData\PROJECT_Bioplastics\Renjie_Pan\05-Raw_Data\Lab_results\[LabSamples2025_Bioplastic_extra.xlsx]extra_Bioplastic'!A884)," ",'Q:\Abteilungsprojekte\Eng\EngData\PROJECT_Bioplastics\Renjie_Pan\05-Raw_Data\Lab_results\[LabSamples2025_Bioplastic_extra.xlsx]extra_Bioplastic'!A884)</f>
        <v/>
      </c>
      <c r="B884">
        <f>IF(ISBLANK('Q:\Abteilungsprojekte\Eng\EngData\PROJECT_Bioplastics\Renjie_Pan\05-Raw_Data\Lab_results\[LabSamples2025_Bioplastic_extra.xlsx]extra_Bioplastic'!B884)," ",'Q:\Abteilungsprojekte\Eng\EngData\PROJECT_Bioplastics\Renjie_Pan\05-Raw_Data\Lab_results\[LabSamples2025_Bioplastic_extra.xlsx]extra_Bioplastic'!B884)</f>
        <v/>
      </c>
      <c r="C884">
        <f>IF(ISBLANK('Q:\Abteilungsprojekte\Eng\EngData\PROJECT_Bioplastics\Renjie_Pan\05-Raw_Data\Lab_results\[LabSamples2025_Bioplastic_extra.xlsx]extra_Bioplastic'!C884)," ",'Q:\Abteilungsprojekte\Eng\EngData\PROJECT_Bioplastics\Renjie_Pan\05-Raw_Data\Lab_results\[LabSamples2025_Bioplastic_extra.xlsx]extra_Bioplastic'!C884)</f>
        <v/>
      </c>
      <c r="D884">
        <f>IF(ISBLANK('Q:\Abteilungsprojekte\Eng\EngData\PROJECT_Bioplastics\Renjie_Pan\05-Raw_Data\Lab_results\[LabSamples2025_Bioplastic_extra.xlsx]extra_Bioplastic'!D884)," ",'Q:\Abteilungsprojekte\Eng\EngData\PROJECT_Bioplastics\Renjie_Pan\05-Raw_Data\Lab_results\[LabSamples2025_Bioplastic_extra.xlsx]extra_Bioplastic'!D884)</f>
        <v/>
      </c>
      <c r="E884">
        <f>IF(ISBLANK('Q:\Abteilungsprojekte\Eng\EngData\PROJECT_Bioplastics\Renjie_Pan\05-Raw_Data\Lab_results\[LabSamples2025_Bioplastic_extra.xlsx]extra_Bioplastic'!E884)," ",'Q:\Abteilungsprojekte\Eng\EngData\PROJECT_Bioplastics\Renjie_Pan\05-Raw_Data\Lab_results\[LabSamples2025_Bioplastic_extra.xlsx]extra_Bioplastic'!E884)</f>
        <v/>
      </c>
      <c r="F884">
        <f>IF(ISBLANK('Q:\Abteilungsprojekte\Eng\EngData\PROJECT_Bioplastics\Renjie_Pan\05-Raw_Data\Lab_results\[LabSamples2025_Bioplastic_extra.xlsx]extra_Bioplastic'!F884)," ",'Q:\Abteilungsprojekte\Eng\EngData\PROJECT_Bioplastics\Renjie_Pan\05-Raw_Data\Lab_results\[LabSamples2025_Bioplastic_extra.xlsx]extra_Bioplastic'!F884)</f>
        <v/>
      </c>
      <c r="G884">
        <f>IF(ISBLANK('Q:\Abteilungsprojekte\Eng\EngData\PROJECT_Bioplastics\Renjie_Pan\05-Raw_Data\Lab_results\[LabSamples2025_Bioplastic_extra.xlsx]extra_Bioplastic'!G884)," ",'Q:\Abteilungsprojekte\Eng\EngData\PROJECT_Bioplastics\Renjie_Pan\05-Raw_Data\Lab_results\[LabSamples2025_Bioplastic_extra.xlsx]extra_Bioplastic'!G884)</f>
        <v/>
      </c>
      <c r="H884">
        <f>IF(ISBLANK('Q:\Abteilungsprojekte\Eng\EngData\PROJECT_Bioplastics\Renjie_Pan\05-Raw_Data\Lab_results\[LabSamples2025_Bioplastic_extra.xlsx]extra_Bioplastic'!H884)," ",'Q:\Abteilungsprojekte\Eng\EngData\PROJECT_Bioplastics\Renjie_Pan\05-Raw_Data\Lab_results\[LabSamples2025_Bioplastic_extra.xlsx]extra_Bioplastic'!H884)</f>
        <v/>
      </c>
    </row>
    <row r="885">
      <c r="A885">
        <f>IF(ISBLANK('Q:\Abteilungsprojekte\Eng\EngData\PROJECT_Bioplastics\Renjie_Pan\05-Raw_Data\Lab_results\[LabSamples2025_Bioplastic_extra.xlsx]extra_Bioplastic'!A885)," ",'Q:\Abteilungsprojekte\Eng\EngData\PROJECT_Bioplastics\Renjie_Pan\05-Raw_Data\Lab_results\[LabSamples2025_Bioplastic_extra.xlsx]extra_Bioplastic'!A885)</f>
        <v/>
      </c>
      <c r="B885">
        <f>IF(ISBLANK('Q:\Abteilungsprojekte\Eng\EngData\PROJECT_Bioplastics\Renjie_Pan\05-Raw_Data\Lab_results\[LabSamples2025_Bioplastic_extra.xlsx]extra_Bioplastic'!B885)," ",'Q:\Abteilungsprojekte\Eng\EngData\PROJECT_Bioplastics\Renjie_Pan\05-Raw_Data\Lab_results\[LabSamples2025_Bioplastic_extra.xlsx]extra_Bioplastic'!B885)</f>
        <v/>
      </c>
      <c r="C885">
        <f>IF(ISBLANK('Q:\Abteilungsprojekte\Eng\EngData\PROJECT_Bioplastics\Renjie_Pan\05-Raw_Data\Lab_results\[LabSamples2025_Bioplastic_extra.xlsx]extra_Bioplastic'!C885)," ",'Q:\Abteilungsprojekte\Eng\EngData\PROJECT_Bioplastics\Renjie_Pan\05-Raw_Data\Lab_results\[LabSamples2025_Bioplastic_extra.xlsx]extra_Bioplastic'!C885)</f>
        <v/>
      </c>
      <c r="D885">
        <f>IF(ISBLANK('Q:\Abteilungsprojekte\Eng\EngData\PROJECT_Bioplastics\Renjie_Pan\05-Raw_Data\Lab_results\[LabSamples2025_Bioplastic_extra.xlsx]extra_Bioplastic'!D885)," ",'Q:\Abteilungsprojekte\Eng\EngData\PROJECT_Bioplastics\Renjie_Pan\05-Raw_Data\Lab_results\[LabSamples2025_Bioplastic_extra.xlsx]extra_Bioplastic'!D885)</f>
        <v/>
      </c>
      <c r="E885">
        <f>IF(ISBLANK('Q:\Abteilungsprojekte\Eng\EngData\PROJECT_Bioplastics\Renjie_Pan\05-Raw_Data\Lab_results\[LabSamples2025_Bioplastic_extra.xlsx]extra_Bioplastic'!E885)," ",'Q:\Abteilungsprojekte\Eng\EngData\PROJECT_Bioplastics\Renjie_Pan\05-Raw_Data\Lab_results\[LabSamples2025_Bioplastic_extra.xlsx]extra_Bioplastic'!E885)</f>
        <v/>
      </c>
      <c r="F885">
        <f>IF(ISBLANK('Q:\Abteilungsprojekte\Eng\EngData\PROJECT_Bioplastics\Renjie_Pan\05-Raw_Data\Lab_results\[LabSamples2025_Bioplastic_extra.xlsx]extra_Bioplastic'!F885)," ",'Q:\Abteilungsprojekte\Eng\EngData\PROJECT_Bioplastics\Renjie_Pan\05-Raw_Data\Lab_results\[LabSamples2025_Bioplastic_extra.xlsx]extra_Bioplastic'!F885)</f>
        <v/>
      </c>
      <c r="G885">
        <f>IF(ISBLANK('Q:\Abteilungsprojekte\Eng\EngData\PROJECT_Bioplastics\Renjie_Pan\05-Raw_Data\Lab_results\[LabSamples2025_Bioplastic_extra.xlsx]extra_Bioplastic'!G885)," ",'Q:\Abteilungsprojekte\Eng\EngData\PROJECT_Bioplastics\Renjie_Pan\05-Raw_Data\Lab_results\[LabSamples2025_Bioplastic_extra.xlsx]extra_Bioplastic'!G885)</f>
        <v/>
      </c>
      <c r="H885">
        <f>IF(ISBLANK('Q:\Abteilungsprojekte\Eng\EngData\PROJECT_Bioplastics\Renjie_Pan\05-Raw_Data\Lab_results\[LabSamples2025_Bioplastic_extra.xlsx]extra_Bioplastic'!H885)," ",'Q:\Abteilungsprojekte\Eng\EngData\PROJECT_Bioplastics\Renjie_Pan\05-Raw_Data\Lab_results\[LabSamples2025_Bioplastic_extra.xlsx]extra_Bioplastic'!H885)</f>
        <v/>
      </c>
    </row>
    <row r="886">
      <c r="A886">
        <f>IF(ISBLANK('Q:\Abteilungsprojekte\Eng\EngData\PROJECT_Bioplastics\Renjie_Pan\05-Raw_Data\Lab_results\[LabSamples2025_Bioplastic_extra.xlsx]extra_Bioplastic'!A886)," ",'Q:\Abteilungsprojekte\Eng\EngData\PROJECT_Bioplastics\Renjie_Pan\05-Raw_Data\Lab_results\[LabSamples2025_Bioplastic_extra.xlsx]extra_Bioplastic'!A886)</f>
        <v/>
      </c>
      <c r="B886">
        <f>IF(ISBLANK('Q:\Abteilungsprojekte\Eng\EngData\PROJECT_Bioplastics\Renjie_Pan\05-Raw_Data\Lab_results\[LabSamples2025_Bioplastic_extra.xlsx]extra_Bioplastic'!B886)," ",'Q:\Abteilungsprojekte\Eng\EngData\PROJECT_Bioplastics\Renjie_Pan\05-Raw_Data\Lab_results\[LabSamples2025_Bioplastic_extra.xlsx]extra_Bioplastic'!B886)</f>
        <v/>
      </c>
      <c r="C886">
        <f>IF(ISBLANK('Q:\Abteilungsprojekte\Eng\EngData\PROJECT_Bioplastics\Renjie_Pan\05-Raw_Data\Lab_results\[LabSamples2025_Bioplastic_extra.xlsx]extra_Bioplastic'!C886)," ",'Q:\Abteilungsprojekte\Eng\EngData\PROJECT_Bioplastics\Renjie_Pan\05-Raw_Data\Lab_results\[LabSamples2025_Bioplastic_extra.xlsx]extra_Bioplastic'!C886)</f>
        <v/>
      </c>
      <c r="D886">
        <f>IF(ISBLANK('Q:\Abteilungsprojekte\Eng\EngData\PROJECT_Bioplastics\Renjie_Pan\05-Raw_Data\Lab_results\[LabSamples2025_Bioplastic_extra.xlsx]extra_Bioplastic'!D886)," ",'Q:\Abteilungsprojekte\Eng\EngData\PROJECT_Bioplastics\Renjie_Pan\05-Raw_Data\Lab_results\[LabSamples2025_Bioplastic_extra.xlsx]extra_Bioplastic'!D886)</f>
        <v/>
      </c>
      <c r="E886">
        <f>IF(ISBLANK('Q:\Abteilungsprojekte\Eng\EngData\PROJECT_Bioplastics\Renjie_Pan\05-Raw_Data\Lab_results\[LabSamples2025_Bioplastic_extra.xlsx]extra_Bioplastic'!E886)," ",'Q:\Abteilungsprojekte\Eng\EngData\PROJECT_Bioplastics\Renjie_Pan\05-Raw_Data\Lab_results\[LabSamples2025_Bioplastic_extra.xlsx]extra_Bioplastic'!E886)</f>
        <v/>
      </c>
      <c r="F886">
        <f>IF(ISBLANK('Q:\Abteilungsprojekte\Eng\EngData\PROJECT_Bioplastics\Renjie_Pan\05-Raw_Data\Lab_results\[LabSamples2025_Bioplastic_extra.xlsx]extra_Bioplastic'!F886)," ",'Q:\Abteilungsprojekte\Eng\EngData\PROJECT_Bioplastics\Renjie_Pan\05-Raw_Data\Lab_results\[LabSamples2025_Bioplastic_extra.xlsx]extra_Bioplastic'!F886)</f>
        <v/>
      </c>
      <c r="G886">
        <f>IF(ISBLANK('Q:\Abteilungsprojekte\Eng\EngData\PROJECT_Bioplastics\Renjie_Pan\05-Raw_Data\Lab_results\[LabSamples2025_Bioplastic_extra.xlsx]extra_Bioplastic'!G886)," ",'Q:\Abteilungsprojekte\Eng\EngData\PROJECT_Bioplastics\Renjie_Pan\05-Raw_Data\Lab_results\[LabSamples2025_Bioplastic_extra.xlsx]extra_Bioplastic'!G886)</f>
        <v/>
      </c>
      <c r="H886">
        <f>IF(ISBLANK('Q:\Abteilungsprojekte\Eng\EngData\PROJECT_Bioplastics\Renjie_Pan\05-Raw_Data\Lab_results\[LabSamples2025_Bioplastic_extra.xlsx]extra_Bioplastic'!H886)," ",'Q:\Abteilungsprojekte\Eng\EngData\PROJECT_Bioplastics\Renjie_Pan\05-Raw_Data\Lab_results\[LabSamples2025_Bioplastic_extra.xlsx]extra_Bioplastic'!H886)</f>
        <v/>
      </c>
    </row>
    <row r="887">
      <c r="A887">
        <f>IF(ISBLANK('Q:\Abteilungsprojekte\Eng\EngData\PROJECT_Bioplastics\Renjie_Pan\05-Raw_Data\Lab_results\[LabSamples2025_Bioplastic_extra.xlsx]extra_Bioplastic'!A887)," ",'Q:\Abteilungsprojekte\Eng\EngData\PROJECT_Bioplastics\Renjie_Pan\05-Raw_Data\Lab_results\[LabSamples2025_Bioplastic_extra.xlsx]extra_Bioplastic'!A887)</f>
        <v/>
      </c>
      <c r="B887">
        <f>IF(ISBLANK('Q:\Abteilungsprojekte\Eng\EngData\PROJECT_Bioplastics\Renjie_Pan\05-Raw_Data\Lab_results\[LabSamples2025_Bioplastic_extra.xlsx]extra_Bioplastic'!B887)," ",'Q:\Abteilungsprojekte\Eng\EngData\PROJECT_Bioplastics\Renjie_Pan\05-Raw_Data\Lab_results\[LabSamples2025_Bioplastic_extra.xlsx]extra_Bioplastic'!B887)</f>
        <v/>
      </c>
      <c r="C887">
        <f>IF(ISBLANK('Q:\Abteilungsprojekte\Eng\EngData\PROJECT_Bioplastics\Renjie_Pan\05-Raw_Data\Lab_results\[LabSamples2025_Bioplastic_extra.xlsx]extra_Bioplastic'!C887)," ",'Q:\Abteilungsprojekte\Eng\EngData\PROJECT_Bioplastics\Renjie_Pan\05-Raw_Data\Lab_results\[LabSamples2025_Bioplastic_extra.xlsx]extra_Bioplastic'!C887)</f>
        <v/>
      </c>
      <c r="D887">
        <f>IF(ISBLANK('Q:\Abteilungsprojekte\Eng\EngData\PROJECT_Bioplastics\Renjie_Pan\05-Raw_Data\Lab_results\[LabSamples2025_Bioplastic_extra.xlsx]extra_Bioplastic'!D887)," ",'Q:\Abteilungsprojekte\Eng\EngData\PROJECT_Bioplastics\Renjie_Pan\05-Raw_Data\Lab_results\[LabSamples2025_Bioplastic_extra.xlsx]extra_Bioplastic'!D887)</f>
        <v/>
      </c>
      <c r="E887">
        <f>IF(ISBLANK('Q:\Abteilungsprojekte\Eng\EngData\PROJECT_Bioplastics\Renjie_Pan\05-Raw_Data\Lab_results\[LabSamples2025_Bioplastic_extra.xlsx]extra_Bioplastic'!E887)," ",'Q:\Abteilungsprojekte\Eng\EngData\PROJECT_Bioplastics\Renjie_Pan\05-Raw_Data\Lab_results\[LabSamples2025_Bioplastic_extra.xlsx]extra_Bioplastic'!E887)</f>
        <v/>
      </c>
      <c r="F887">
        <f>IF(ISBLANK('Q:\Abteilungsprojekte\Eng\EngData\PROJECT_Bioplastics\Renjie_Pan\05-Raw_Data\Lab_results\[LabSamples2025_Bioplastic_extra.xlsx]extra_Bioplastic'!F887)," ",'Q:\Abteilungsprojekte\Eng\EngData\PROJECT_Bioplastics\Renjie_Pan\05-Raw_Data\Lab_results\[LabSamples2025_Bioplastic_extra.xlsx]extra_Bioplastic'!F887)</f>
        <v/>
      </c>
      <c r="G887">
        <f>IF(ISBLANK('Q:\Abteilungsprojekte\Eng\EngData\PROJECT_Bioplastics\Renjie_Pan\05-Raw_Data\Lab_results\[LabSamples2025_Bioplastic_extra.xlsx]extra_Bioplastic'!G887)," ",'Q:\Abteilungsprojekte\Eng\EngData\PROJECT_Bioplastics\Renjie_Pan\05-Raw_Data\Lab_results\[LabSamples2025_Bioplastic_extra.xlsx]extra_Bioplastic'!G887)</f>
        <v/>
      </c>
      <c r="H887">
        <f>IF(ISBLANK('Q:\Abteilungsprojekte\Eng\EngData\PROJECT_Bioplastics\Renjie_Pan\05-Raw_Data\Lab_results\[LabSamples2025_Bioplastic_extra.xlsx]extra_Bioplastic'!H887)," ",'Q:\Abteilungsprojekte\Eng\EngData\PROJECT_Bioplastics\Renjie_Pan\05-Raw_Data\Lab_results\[LabSamples2025_Bioplastic_extra.xlsx]extra_Bioplastic'!H887)</f>
        <v/>
      </c>
    </row>
    <row r="888">
      <c r="A888">
        <f>IF(ISBLANK('Q:\Abteilungsprojekte\Eng\EngData\PROJECT_Bioplastics\Renjie_Pan\05-Raw_Data\Lab_results\[LabSamples2025_Bioplastic_extra.xlsx]extra_Bioplastic'!A888)," ",'Q:\Abteilungsprojekte\Eng\EngData\PROJECT_Bioplastics\Renjie_Pan\05-Raw_Data\Lab_results\[LabSamples2025_Bioplastic_extra.xlsx]extra_Bioplastic'!A888)</f>
        <v/>
      </c>
      <c r="B888">
        <f>IF(ISBLANK('Q:\Abteilungsprojekte\Eng\EngData\PROJECT_Bioplastics\Renjie_Pan\05-Raw_Data\Lab_results\[LabSamples2025_Bioplastic_extra.xlsx]extra_Bioplastic'!B888)," ",'Q:\Abteilungsprojekte\Eng\EngData\PROJECT_Bioplastics\Renjie_Pan\05-Raw_Data\Lab_results\[LabSamples2025_Bioplastic_extra.xlsx]extra_Bioplastic'!B888)</f>
        <v/>
      </c>
      <c r="C888">
        <f>IF(ISBLANK('Q:\Abteilungsprojekte\Eng\EngData\PROJECT_Bioplastics\Renjie_Pan\05-Raw_Data\Lab_results\[LabSamples2025_Bioplastic_extra.xlsx]extra_Bioplastic'!C888)," ",'Q:\Abteilungsprojekte\Eng\EngData\PROJECT_Bioplastics\Renjie_Pan\05-Raw_Data\Lab_results\[LabSamples2025_Bioplastic_extra.xlsx]extra_Bioplastic'!C888)</f>
        <v/>
      </c>
      <c r="D888">
        <f>IF(ISBLANK('Q:\Abteilungsprojekte\Eng\EngData\PROJECT_Bioplastics\Renjie_Pan\05-Raw_Data\Lab_results\[LabSamples2025_Bioplastic_extra.xlsx]extra_Bioplastic'!D888)," ",'Q:\Abteilungsprojekte\Eng\EngData\PROJECT_Bioplastics\Renjie_Pan\05-Raw_Data\Lab_results\[LabSamples2025_Bioplastic_extra.xlsx]extra_Bioplastic'!D888)</f>
        <v/>
      </c>
      <c r="E888">
        <f>IF(ISBLANK('Q:\Abteilungsprojekte\Eng\EngData\PROJECT_Bioplastics\Renjie_Pan\05-Raw_Data\Lab_results\[LabSamples2025_Bioplastic_extra.xlsx]extra_Bioplastic'!E888)," ",'Q:\Abteilungsprojekte\Eng\EngData\PROJECT_Bioplastics\Renjie_Pan\05-Raw_Data\Lab_results\[LabSamples2025_Bioplastic_extra.xlsx]extra_Bioplastic'!E888)</f>
        <v/>
      </c>
      <c r="F888">
        <f>IF(ISBLANK('Q:\Abteilungsprojekte\Eng\EngData\PROJECT_Bioplastics\Renjie_Pan\05-Raw_Data\Lab_results\[LabSamples2025_Bioplastic_extra.xlsx]extra_Bioplastic'!F888)," ",'Q:\Abteilungsprojekte\Eng\EngData\PROJECT_Bioplastics\Renjie_Pan\05-Raw_Data\Lab_results\[LabSamples2025_Bioplastic_extra.xlsx]extra_Bioplastic'!F888)</f>
        <v/>
      </c>
      <c r="G888">
        <f>IF(ISBLANK('Q:\Abteilungsprojekte\Eng\EngData\PROJECT_Bioplastics\Renjie_Pan\05-Raw_Data\Lab_results\[LabSamples2025_Bioplastic_extra.xlsx]extra_Bioplastic'!G888)," ",'Q:\Abteilungsprojekte\Eng\EngData\PROJECT_Bioplastics\Renjie_Pan\05-Raw_Data\Lab_results\[LabSamples2025_Bioplastic_extra.xlsx]extra_Bioplastic'!G888)</f>
        <v/>
      </c>
      <c r="H888">
        <f>IF(ISBLANK('Q:\Abteilungsprojekte\Eng\EngData\PROJECT_Bioplastics\Renjie_Pan\05-Raw_Data\Lab_results\[LabSamples2025_Bioplastic_extra.xlsx]extra_Bioplastic'!H888)," ",'Q:\Abteilungsprojekte\Eng\EngData\PROJECT_Bioplastics\Renjie_Pan\05-Raw_Data\Lab_results\[LabSamples2025_Bioplastic_extra.xlsx]extra_Bioplastic'!H888)</f>
        <v/>
      </c>
    </row>
    <row r="889">
      <c r="A889">
        <f>IF(ISBLANK('Q:\Abteilungsprojekte\Eng\EngData\PROJECT_Bioplastics\Renjie_Pan\05-Raw_Data\Lab_results\[LabSamples2025_Bioplastic_extra.xlsx]extra_Bioplastic'!A889)," ",'Q:\Abteilungsprojekte\Eng\EngData\PROJECT_Bioplastics\Renjie_Pan\05-Raw_Data\Lab_results\[LabSamples2025_Bioplastic_extra.xlsx]extra_Bioplastic'!A889)</f>
        <v/>
      </c>
      <c r="B889">
        <f>IF(ISBLANK('Q:\Abteilungsprojekte\Eng\EngData\PROJECT_Bioplastics\Renjie_Pan\05-Raw_Data\Lab_results\[LabSamples2025_Bioplastic_extra.xlsx]extra_Bioplastic'!B889)," ",'Q:\Abteilungsprojekte\Eng\EngData\PROJECT_Bioplastics\Renjie_Pan\05-Raw_Data\Lab_results\[LabSamples2025_Bioplastic_extra.xlsx]extra_Bioplastic'!B889)</f>
        <v/>
      </c>
      <c r="C889">
        <f>IF(ISBLANK('Q:\Abteilungsprojekte\Eng\EngData\PROJECT_Bioplastics\Renjie_Pan\05-Raw_Data\Lab_results\[LabSamples2025_Bioplastic_extra.xlsx]extra_Bioplastic'!C889)," ",'Q:\Abteilungsprojekte\Eng\EngData\PROJECT_Bioplastics\Renjie_Pan\05-Raw_Data\Lab_results\[LabSamples2025_Bioplastic_extra.xlsx]extra_Bioplastic'!C889)</f>
        <v/>
      </c>
      <c r="D889">
        <f>IF(ISBLANK('Q:\Abteilungsprojekte\Eng\EngData\PROJECT_Bioplastics\Renjie_Pan\05-Raw_Data\Lab_results\[LabSamples2025_Bioplastic_extra.xlsx]extra_Bioplastic'!D889)," ",'Q:\Abteilungsprojekte\Eng\EngData\PROJECT_Bioplastics\Renjie_Pan\05-Raw_Data\Lab_results\[LabSamples2025_Bioplastic_extra.xlsx]extra_Bioplastic'!D889)</f>
        <v/>
      </c>
      <c r="E889">
        <f>IF(ISBLANK('Q:\Abteilungsprojekte\Eng\EngData\PROJECT_Bioplastics\Renjie_Pan\05-Raw_Data\Lab_results\[LabSamples2025_Bioplastic_extra.xlsx]extra_Bioplastic'!E889)," ",'Q:\Abteilungsprojekte\Eng\EngData\PROJECT_Bioplastics\Renjie_Pan\05-Raw_Data\Lab_results\[LabSamples2025_Bioplastic_extra.xlsx]extra_Bioplastic'!E889)</f>
        <v/>
      </c>
      <c r="F889">
        <f>IF(ISBLANK('Q:\Abteilungsprojekte\Eng\EngData\PROJECT_Bioplastics\Renjie_Pan\05-Raw_Data\Lab_results\[LabSamples2025_Bioplastic_extra.xlsx]extra_Bioplastic'!F889)," ",'Q:\Abteilungsprojekte\Eng\EngData\PROJECT_Bioplastics\Renjie_Pan\05-Raw_Data\Lab_results\[LabSamples2025_Bioplastic_extra.xlsx]extra_Bioplastic'!F889)</f>
        <v/>
      </c>
      <c r="G889">
        <f>IF(ISBLANK('Q:\Abteilungsprojekte\Eng\EngData\PROJECT_Bioplastics\Renjie_Pan\05-Raw_Data\Lab_results\[LabSamples2025_Bioplastic_extra.xlsx]extra_Bioplastic'!G889)," ",'Q:\Abteilungsprojekte\Eng\EngData\PROJECT_Bioplastics\Renjie_Pan\05-Raw_Data\Lab_results\[LabSamples2025_Bioplastic_extra.xlsx]extra_Bioplastic'!G889)</f>
        <v/>
      </c>
      <c r="H889">
        <f>IF(ISBLANK('Q:\Abteilungsprojekte\Eng\EngData\PROJECT_Bioplastics\Renjie_Pan\05-Raw_Data\Lab_results\[LabSamples2025_Bioplastic_extra.xlsx]extra_Bioplastic'!H889)," ",'Q:\Abteilungsprojekte\Eng\EngData\PROJECT_Bioplastics\Renjie_Pan\05-Raw_Data\Lab_results\[LabSamples2025_Bioplastic_extra.xlsx]extra_Bioplastic'!H889)</f>
        <v/>
      </c>
    </row>
    <row r="890">
      <c r="A890">
        <f>IF(ISBLANK('Q:\Abteilungsprojekte\Eng\EngData\PROJECT_Bioplastics\Renjie_Pan\05-Raw_Data\Lab_results\[LabSamples2025_Bioplastic_extra.xlsx]extra_Bioplastic'!A890)," ",'Q:\Abteilungsprojekte\Eng\EngData\PROJECT_Bioplastics\Renjie_Pan\05-Raw_Data\Lab_results\[LabSamples2025_Bioplastic_extra.xlsx]extra_Bioplastic'!A890)</f>
        <v/>
      </c>
      <c r="B890">
        <f>IF(ISBLANK('Q:\Abteilungsprojekte\Eng\EngData\PROJECT_Bioplastics\Renjie_Pan\05-Raw_Data\Lab_results\[LabSamples2025_Bioplastic_extra.xlsx]extra_Bioplastic'!B890)," ",'Q:\Abteilungsprojekte\Eng\EngData\PROJECT_Bioplastics\Renjie_Pan\05-Raw_Data\Lab_results\[LabSamples2025_Bioplastic_extra.xlsx]extra_Bioplastic'!B890)</f>
        <v/>
      </c>
      <c r="C890">
        <f>IF(ISBLANK('Q:\Abteilungsprojekte\Eng\EngData\PROJECT_Bioplastics\Renjie_Pan\05-Raw_Data\Lab_results\[LabSamples2025_Bioplastic_extra.xlsx]extra_Bioplastic'!C890)," ",'Q:\Abteilungsprojekte\Eng\EngData\PROJECT_Bioplastics\Renjie_Pan\05-Raw_Data\Lab_results\[LabSamples2025_Bioplastic_extra.xlsx]extra_Bioplastic'!C890)</f>
        <v/>
      </c>
      <c r="D890">
        <f>IF(ISBLANK('Q:\Abteilungsprojekte\Eng\EngData\PROJECT_Bioplastics\Renjie_Pan\05-Raw_Data\Lab_results\[LabSamples2025_Bioplastic_extra.xlsx]extra_Bioplastic'!D890)," ",'Q:\Abteilungsprojekte\Eng\EngData\PROJECT_Bioplastics\Renjie_Pan\05-Raw_Data\Lab_results\[LabSamples2025_Bioplastic_extra.xlsx]extra_Bioplastic'!D890)</f>
        <v/>
      </c>
      <c r="E890">
        <f>IF(ISBLANK('Q:\Abteilungsprojekte\Eng\EngData\PROJECT_Bioplastics\Renjie_Pan\05-Raw_Data\Lab_results\[LabSamples2025_Bioplastic_extra.xlsx]extra_Bioplastic'!E890)," ",'Q:\Abteilungsprojekte\Eng\EngData\PROJECT_Bioplastics\Renjie_Pan\05-Raw_Data\Lab_results\[LabSamples2025_Bioplastic_extra.xlsx]extra_Bioplastic'!E890)</f>
        <v/>
      </c>
      <c r="F890">
        <f>IF(ISBLANK('Q:\Abteilungsprojekte\Eng\EngData\PROJECT_Bioplastics\Renjie_Pan\05-Raw_Data\Lab_results\[LabSamples2025_Bioplastic_extra.xlsx]extra_Bioplastic'!F890)," ",'Q:\Abteilungsprojekte\Eng\EngData\PROJECT_Bioplastics\Renjie_Pan\05-Raw_Data\Lab_results\[LabSamples2025_Bioplastic_extra.xlsx]extra_Bioplastic'!F890)</f>
        <v/>
      </c>
      <c r="G890">
        <f>IF(ISBLANK('Q:\Abteilungsprojekte\Eng\EngData\PROJECT_Bioplastics\Renjie_Pan\05-Raw_Data\Lab_results\[LabSamples2025_Bioplastic_extra.xlsx]extra_Bioplastic'!G890)," ",'Q:\Abteilungsprojekte\Eng\EngData\PROJECT_Bioplastics\Renjie_Pan\05-Raw_Data\Lab_results\[LabSamples2025_Bioplastic_extra.xlsx]extra_Bioplastic'!G890)</f>
        <v/>
      </c>
      <c r="H890">
        <f>IF(ISBLANK('Q:\Abteilungsprojekte\Eng\EngData\PROJECT_Bioplastics\Renjie_Pan\05-Raw_Data\Lab_results\[LabSamples2025_Bioplastic_extra.xlsx]extra_Bioplastic'!H890)," ",'Q:\Abteilungsprojekte\Eng\EngData\PROJECT_Bioplastics\Renjie_Pan\05-Raw_Data\Lab_results\[LabSamples2025_Bioplastic_extra.xlsx]extra_Bioplastic'!H890)</f>
        <v/>
      </c>
    </row>
    <row r="891">
      <c r="A891">
        <f>IF(ISBLANK('Q:\Abteilungsprojekte\Eng\EngData\PROJECT_Bioplastics\Renjie_Pan\05-Raw_Data\Lab_results\[LabSamples2025_Bioplastic_extra.xlsx]extra_Bioplastic'!A891)," ",'Q:\Abteilungsprojekte\Eng\EngData\PROJECT_Bioplastics\Renjie_Pan\05-Raw_Data\Lab_results\[LabSamples2025_Bioplastic_extra.xlsx]extra_Bioplastic'!A891)</f>
        <v/>
      </c>
      <c r="B891">
        <f>IF(ISBLANK('Q:\Abteilungsprojekte\Eng\EngData\PROJECT_Bioplastics\Renjie_Pan\05-Raw_Data\Lab_results\[LabSamples2025_Bioplastic_extra.xlsx]extra_Bioplastic'!B891)," ",'Q:\Abteilungsprojekte\Eng\EngData\PROJECT_Bioplastics\Renjie_Pan\05-Raw_Data\Lab_results\[LabSamples2025_Bioplastic_extra.xlsx]extra_Bioplastic'!B891)</f>
        <v/>
      </c>
      <c r="C891">
        <f>IF(ISBLANK('Q:\Abteilungsprojekte\Eng\EngData\PROJECT_Bioplastics\Renjie_Pan\05-Raw_Data\Lab_results\[LabSamples2025_Bioplastic_extra.xlsx]extra_Bioplastic'!C891)," ",'Q:\Abteilungsprojekte\Eng\EngData\PROJECT_Bioplastics\Renjie_Pan\05-Raw_Data\Lab_results\[LabSamples2025_Bioplastic_extra.xlsx]extra_Bioplastic'!C891)</f>
        <v/>
      </c>
      <c r="D891">
        <f>IF(ISBLANK('Q:\Abteilungsprojekte\Eng\EngData\PROJECT_Bioplastics\Renjie_Pan\05-Raw_Data\Lab_results\[LabSamples2025_Bioplastic_extra.xlsx]extra_Bioplastic'!D891)," ",'Q:\Abteilungsprojekte\Eng\EngData\PROJECT_Bioplastics\Renjie_Pan\05-Raw_Data\Lab_results\[LabSamples2025_Bioplastic_extra.xlsx]extra_Bioplastic'!D891)</f>
        <v/>
      </c>
      <c r="E891">
        <f>IF(ISBLANK('Q:\Abteilungsprojekte\Eng\EngData\PROJECT_Bioplastics\Renjie_Pan\05-Raw_Data\Lab_results\[LabSamples2025_Bioplastic_extra.xlsx]extra_Bioplastic'!E891)," ",'Q:\Abteilungsprojekte\Eng\EngData\PROJECT_Bioplastics\Renjie_Pan\05-Raw_Data\Lab_results\[LabSamples2025_Bioplastic_extra.xlsx]extra_Bioplastic'!E891)</f>
        <v/>
      </c>
      <c r="F891">
        <f>IF(ISBLANK('Q:\Abteilungsprojekte\Eng\EngData\PROJECT_Bioplastics\Renjie_Pan\05-Raw_Data\Lab_results\[LabSamples2025_Bioplastic_extra.xlsx]extra_Bioplastic'!F891)," ",'Q:\Abteilungsprojekte\Eng\EngData\PROJECT_Bioplastics\Renjie_Pan\05-Raw_Data\Lab_results\[LabSamples2025_Bioplastic_extra.xlsx]extra_Bioplastic'!F891)</f>
        <v/>
      </c>
      <c r="G891">
        <f>IF(ISBLANK('Q:\Abteilungsprojekte\Eng\EngData\PROJECT_Bioplastics\Renjie_Pan\05-Raw_Data\Lab_results\[LabSamples2025_Bioplastic_extra.xlsx]extra_Bioplastic'!G891)," ",'Q:\Abteilungsprojekte\Eng\EngData\PROJECT_Bioplastics\Renjie_Pan\05-Raw_Data\Lab_results\[LabSamples2025_Bioplastic_extra.xlsx]extra_Bioplastic'!G891)</f>
        <v/>
      </c>
      <c r="H891">
        <f>IF(ISBLANK('Q:\Abteilungsprojekte\Eng\EngData\PROJECT_Bioplastics\Renjie_Pan\05-Raw_Data\Lab_results\[LabSamples2025_Bioplastic_extra.xlsx]extra_Bioplastic'!H891)," ",'Q:\Abteilungsprojekte\Eng\EngData\PROJECT_Bioplastics\Renjie_Pan\05-Raw_Data\Lab_results\[LabSamples2025_Bioplastic_extra.xlsx]extra_Bioplastic'!H891)</f>
        <v/>
      </c>
    </row>
    <row r="892">
      <c r="A892">
        <f>IF(ISBLANK('Q:\Abteilungsprojekte\Eng\EngData\PROJECT_Bioplastics\Renjie_Pan\05-Raw_Data\Lab_results\[LabSamples2025_Bioplastic_extra.xlsx]extra_Bioplastic'!A892)," ",'Q:\Abteilungsprojekte\Eng\EngData\PROJECT_Bioplastics\Renjie_Pan\05-Raw_Data\Lab_results\[LabSamples2025_Bioplastic_extra.xlsx]extra_Bioplastic'!A892)</f>
        <v/>
      </c>
      <c r="B892">
        <f>IF(ISBLANK('Q:\Abteilungsprojekte\Eng\EngData\PROJECT_Bioplastics\Renjie_Pan\05-Raw_Data\Lab_results\[LabSamples2025_Bioplastic_extra.xlsx]extra_Bioplastic'!B892)," ",'Q:\Abteilungsprojekte\Eng\EngData\PROJECT_Bioplastics\Renjie_Pan\05-Raw_Data\Lab_results\[LabSamples2025_Bioplastic_extra.xlsx]extra_Bioplastic'!B892)</f>
        <v/>
      </c>
      <c r="C892">
        <f>IF(ISBLANK('Q:\Abteilungsprojekte\Eng\EngData\PROJECT_Bioplastics\Renjie_Pan\05-Raw_Data\Lab_results\[LabSamples2025_Bioplastic_extra.xlsx]extra_Bioplastic'!C892)," ",'Q:\Abteilungsprojekte\Eng\EngData\PROJECT_Bioplastics\Renjie_Pan\05-Raw_Data\Lab_results\[LabSamples2025_Bioplastic_extra.xlsx]extra_Bioplastic'!C892)</f>
        <v/>
      </c>
      <c r="D892">
        <f>IF(ISBLANK('Q:\Abteilungsprojekte\Eng\EngData\PROJECT_Bioplastics\Renjie_Pan\05-Raw_Data\Lab_results\[LabSamples2025_Bioplastic_extra.xlsx]extra_Bioplastic'!D892)," ",'Q:\Abteilungsprojekte\Eng\EngData\PROJECT_Bioplastics\Renjie_Pan\05-Raw_Data\Lab_results\[LabSamples2025_Bioplastic_extra.xlsx]extra_Bioplastic'!D892)</f>
        <v/>
      </c>
      <c r="E892">
        <f>IF(ISBLANK('Q:\Abteilungsprojekte\Eng\EngData\PROJECT_Bioplastics\Renjie_Pan\05-Raw_Data\Lab_results\[LabSamples2025_Bioplastic_extra.xlsx]extra_Bioplastic'!E892)," ",'Q:\Abteilungsprojekte\Eng\EngData\PROJECT_Bioplastics\Renjie_Pan\05-Raw_Data\Lab_results\[LabSamples2025_Bioplastic_extra.xlsx]extra_Bioplastic'!E892)</f>
        <v/>
      </c>
      <c r="F892">
        <f>IF(ISBLANK('Q:\Abteilungsprojekte\Eng\EngData\PROJECT_Bioplastics\Renjie_Pan\05-Raw_Data\Lab_results\[LabSamples2025_Bioplastic_extra.xlsx]extra_Bioplastic'!F892)," ",'Q:\Abteilungsprojekte\Eng\EngData\PROJECT_Bioplastics\Renjie_Pan\05-Raw_Data\Lab_results\[LabSamples2025_Bioplastic_extra.xlsx]extra_Bioplastic'!F892)</f>
        <v/>
      </c>
      <c r="G892">
        <f>IF(ISBLANK('Q:\Abteilungsprojekte\Eng\EngData\PROJECT_Bioplastics\Renjie_Pan\05-Raw_Data\Lab_results\[LabSamples2025_Bioplastic_extra.xlsx]extra_Bioplastic'!G892)," ",'Q:\Abteilungsprojekte\Eng\EngData\PROJECT_Bioplastics\Renjie_Pan\05-Raw_Data\Lab_results\[LabSamples2025_Bioplastic_extra.xlsx]extra_Bioplastic'!G892)</f>
        <v/>
      </c>
      <c r="H892">
        <f>IF(ISBLANK('Q:\Abteilungsprojekte\Eng\EngData\PROJECT_Bioplastics\Renjie_Pan\05-Raw_Data\Lab_results\[LabSamples2025_Bioplastic_extra.xlsx]extra_Bioplastic'!H892)," ",'Q:\Abteilungsprojekte\Eng\EngData\PROJECT_Bioplastics\Renjie_Pan\05-Raw_Data\Lab_results\[LabSamples2025_Bioplastic_extra.xlsx]extra_Bioplastic'!H892)</f>
        <v/>
      </c>
    </row>
    <row r="893">
      <c r="A893">
        <f>IF(ISBLANK('Q:\Abteilungsprojekte\Eng\EngData\PROJECT_Bioplastics\Renjie_Pan\05-Raw_Data\Lab_results\[LabSamples2025_Bioplastic_extra.xlsx]extra_Bioplastic'!A893)," ",'Q:\Abteilungsprojekte\Eng\EngData\PROJECT_Bioplastics\Renjie_Pan\05-Raw_Data\Lab_results\[LabSamples2025_Bioplastic_extra.xlsx]extra_Bioplastic'!A893)</f>
        <v/>
      </c>
      <c r="B893">
        <f>IF(ISBLANK('Q:\Abteilungsprojekte\Eng\EngData\PROJECT_Bioplastics\Renjie_Pan\05-Raw_Data\Lab_results\[LabSamples2025_Bioplastic_extra.xlsx]extra_Bioplastic'!B893)," ",'Q:\Abteilungsprojekte\Eng\EngData\PROJECT_Bioplastics\Renjie_Pan\05-Raw_Data\Lab_results\[LabSamples2025_Bioplastic_extra.xlsx]extra_Bioplastic'!B893)</f>
        <v/>
      </c>
      <c r="C893">
        <f>IF(ISBLANK('Q:\Abteilungsprojekte\Eng\EngData\PROJECT_Bioplastics\Renjie_Pan\05-Raw_Data\Lab_results\[LabSamples2025_Bioplastic_extra.xlsx]extra_Bioplastic'!C893)," ",'Q:\Abteilungsprojekte\Eng\EngData\PROJECT_Bioplastics\Renjie_Pan\05-Raw_Data\Lab_results\[LabSamples2025_Bioplastic_extra.xlsx]extra_Bioplastic'!C893)</f>
        <v/>
      </c>
      <c r="D893">
        <f>IF(ISBLANK('Q:\Abteilungsprojekte\Eng\EngData\PROJECT_Bioplastics\Renjie_Pan\05-Raw_Data\Lab_results\[LabSamples2025_Bioplastic_extra.xlsx]extra_Bioplastic'!D893)," ",'Q:\Abteilungsprojekte\Eng\EngData\PROJECT_Bioplastics\Renjie_Pan\05-Raw_Data\Lab_results\[LabSamples2025_Bioplastic_extra.xlsx]extra_Bioplastic'!D893)</f>
        <v/>
      </c>
      <c r="E893">
        <f>IF(ISBLANK('Q:\Abteilungsprojekte\Eng\EngData\PROJECT_Bioplastics\Renjie_Pan\05-Raw_Data\Lab_results\[LabSamples2025_Bioplastic_extra.xlsx]extra_Bioplastic'!E893)," ",'Q:\Abteilungsprojekte\Eng\EngData\PROJECT_Bioplastics\Renjie_Pan\05-Raw_Data\Lab_results\[LabSamples2025_Bioplastic_extra.xlsx]extra_Bioplastic'!E893)</f>
        <v/>
      </c>
      <c r="F893">
        <f>IF(ISBLANK('Q:\Abteilungsprojekte\Eng\EngData\PROJECT_Bioplastics\Renjie_Pan\05-Raw_Data\Lab_results\[LabSamples2025_Bioplastic_extra.xlsx]extra_Bioplastic'!F893)," ",'Q:\Abteilungsprojekte\Eng\EngData\PROJECT_Bioplastics\Renjie_Pan\05-Raw_Data\Lab_results\[LabSamples2025_Bioplastic_extra.xlsx]extra_Bioplastic'!F893)</f>
        <v/>
      </c>
      <c r="G893">
        <f>IF(ISBLANK('Q:\Abteilungsprojekte\Eng\EngData\PROJECT_Bioplastics\Renjie_Pan\05-Raw_Data\Lab_results\[LabSamples2025_Bioplastic_extra.xlsx]extra_Bioplastic'!G893)," ",'Q:\Abteilungsprojekte\Eng\EngData\PROJECT_Bioplastics\Renjie_Pan\05-Raw_Data\Lab_results\[LabSamples2025_Bioplastic_extra.xlsx]extra_Bioplastic'!G893)</f>
        <v/>
      </c>
      <c r="H893">
        <f>IF(ISBLANK('Q:\Abteilungsprojekte\Eng\EngData\PROJECT_Bioplastics\Renjie_Pan\05-Raw_Data\Lab_results\[LabSamples2025_Bioplastic_extra.xlsx]extra_Bioplastic'!H893)," ",'Q:\Abteilungsprojekte\Eng\EngData\PROJECT_Bioplastics\Renjie_Pan\05-Raw_Data\Lab_results\[LabSamples2025_Bioplastic_extra.xlsx]extra_Bioplastic'!H893)</f>
        <v/>
      </c>
    </row>
    <row r="894">
      <c r="A894">
        <f>IF(ISBLANK('Q:\Abteilungsprojekte\Eng\EngData\PROJECT_Bioplastics\Renjie_Pan\05-Raw_Data\Lab_results\[LabSamples2025_Bioplastic_extra.xlsx]extra_Bioplastic'!A894)," ",'Q:\Abteilungsprojekte\Eng\EngData\PROJECT_Bioplastics\Renjie_Pan\05-Raw_Data\Lab_results\[LabSamples2025_Bioplastic_extra.xlsx]extra_Bioplastic'!A894)</f>
        <v/>
      </c>
      <c r="B894">
        <f>IF(ISBLANK('Q:\Abteilungsprojekte\Eng\EngData\PROJECT_Bioplastics\Renjie_Pan\05-Raw_Data\Lab_results\[LabSamples2025_Bioplastic_extra.xlsx]extra_Bioplastic'!B894)," ",'Q:\Abteilungsprojekte\Eng\EngData\PROJECT_Bioplastics\Renjie_Pan\05-Raw_Data\Lab_results\[LabSamples2025_Bioplastic_extra.xlsx]extra_Bioplastic'!B894)</f>
        <v/>
      </c>
      <c r="C894">
        <f>IF(ISBLANK('Q:\Abteilungsprojekte\Eng\EngData\PROJECT_Bioplastics\Renjie_Pan\05-Raw_Data\Lab_results\[LabSamples2025_Bioplastic_extra.xlsx]extra_Bioplastic'!C894)," ",'Q:\Abteilungsprojekte\Eng\EngData\PROJECT_Bioplastics\Renjie_Pan\05-Raw_Data\Lab_results\[LabSamples2025_Bioplastic_extra.xlsx]extra_Bioplastic'!C894)</f>
        <v/>
      </c>
      <c r="D894">
        <f>IF(ISBLANK('Q:\Abteilungsprojekte\Eng\EngData\PROJECT_Bioplastics\Renjie_Pan\05-Raw_Data\Lab_results\[LabSamples2025_Bioplastic_extra.xlsx]extra_Bioplastic'!D894)," ",'Q:\Abteilungsprojekte\Eng\EngData\PROJECT_Bioplastics\Renjie_Pan\05-Raw_Data\Lab_results\[LabSamples2025_Bioplastic_extra.xlsx]extra_Bioplastic'!D894)</f>
        <v/>
      </c>
      <c r="E894">
        <f>IF(ISBLANK('Q:\Abteilungsprojekte\Eng\EngData\PROJECT_Bioplastics\Renjie_Pan\05-Raw_Data\Lab_results\[LabSamples2025_Bioplastic_extra.xlsx]extra_Bioplastic'!E894)," ",'Q:\Abteilungsprojekte\Eng\EngData\PROJECT_Bioplastics\Renjie_Pan\05-Raw_Data\Lab_results\[LabSamples2025_Bioplastic_extra.xlsx]extra_Bioplastic'!E894)</f>
        <v/>
      </c>
      <c r="F894">
        <f>IF(ISBLANK('Q:\Abteilungsprojekte\Eng\EngData\PROJECT_Bioplastics\Renjie_Pan\05-Raw_Data\Lab_results\[LabSamples2025_Bioplastic_extra.xlsx]extra_Bioplastic'!F894)," ",'Q:\Abteilungsprojekte\Eng\EngData\PROJECT_Bioplastics\Renjie_Pan\05-Raw_Data\Lab_results\[LabSamples2025_Bioplastic_extra.xlsx]extra_Bioplastic'!F894)</f>
        <v/>
      </c>
      <c r="G894">
        <f>IF(ISBLANK('Q:\Abteilungsprojekte\Eng\EngData\PROJECT_Bioplastics\Renjie_Pan\05-Raw_Data\Lab_results\[LabSamples2025_Bioplastic_extra.xlsx]extra_Bioplastic'!G894)," ",'Q:\Abteilungsprojekte\Eng\EngData\PROJECT_Bioplastics\Renjie_Pan\05-Raw_Data\Lab_results\[LabSamples2025_Bioplastic_extra.xlsx]extra_Bioplastic'!G894)</f>
        <v/>
      </c>
      <c r="H894">
        <f>IF(ISBLANK('Q:\Abteilungsprojekte\Eng\EngData\PROJECT_Bioplastics\Renjie_Pan\05-Raw_Data\Lab_results\[LabSamples2025_Bioplastic_extra.xlsx]extra_Bioplastic'!H894)," ",'Q:\Abteilungsprojekte\Eng\EngData\PROJECT_Bioplastics\Renjie_Pan\05-Raw_Data\Lab_results\[LabSamples2025_Bioplastic_extra.xlsx]extra_Bioplastic'!H894)</f>
        <v/>
      </c>
    </row>
    <row r="895">
      <c r="A895">
        <f>IF(ISBLANK('Q:\Abteilungsprojekte\Eng\EngData\PROJECT_Bioplastics\Renjie_Pan\05-Raw_Data\Lab_results\[LabSamples2025_Bioplastic_extra.xlsx]extra_Bioplastic'!A895)," ",'Q:\Abteilungsprojekte\Eng\EngData\PROJECT_Bioplastics\Renjie_Pan\05-Raw_Data\Lab_results\[LabSamples2025_Bioplastic_extra.xlsx]extra_Bioplastic'!A895)</f>
        <v/>
      </c>
      <c r="B895">
        <f>IF(ISBLANK('Q:\Abteilungsprojekte\Eng\EngData\PROJECT_Bioplastics\Renjie_Pan\05-Raw_Data\Lab_results\[LabSamples2025_Bioplastic_extra.xlsx]extra_Bioplastic'!B895)," ",'Q:\Abteilungsprojekte\Eng\EngData\PROJECT_Bioplastics\Renjie_Pan\05-Raw_Data\Lab_results\[LabSamples2025_Bioplastic_extra.xlsx]extra_Bioplastic'!B895)</f>
        <v/>
      </c>
      <c r="C895">
        <f>IF(ISBLANK('Q:\Abteilungsprojekte\Eng\EngData\PROJECT_Bioplastics\Renjie_Pan\05-Raw_Data\Lab_results\[LabSamples2025_Bioplastic_extra.xlsx]extra_Bioplastic'!C895)," ",'Q:\Abteilungsprojekte\Eng\EngData\PROJECT_Bioplastics\Renjie_Pan\05-Raw_Data\Lab_results\[LabSamples2025_Bioplastic_extra.xlsx]extra_Bioplastic'!C895)</f>
        <v/>
      </c>
      <c r="D895">
        <f>IF(ISBLANK('Q:\Abteilungsprojekte\Eng\EngData\PROJECT_Bioplastics\Renjie_Pan\05-Raw_Data\Lab_results\[LabSamples2025_Bioplastic_extra.xlsx]extra_Bioplastic'!D895)," ",'Q:\Abteilungsprojekte\Eng\EngData\PROJECT_Bioplastics\Renjie_Pan\05-Raw_Data\Lab_results\[LabSamples2025_Bioplastic_extra.xlsx]extra_Bioplastic'!D895)</f>
        <v/>
      </c>
      <c r="E895">
        <f>IF(ISBLANK('Q:\Abteilungsprojekte\Eng\EngData\PROJECT_Bioplastics\Renjie_Pan\05-Raw_Data\Lab_results\[LabSamples2025_Bioplastic_extra.xlsx]extra_Bioplastic'!E895)," ",'Q:\Abteilungsprojekte\Eng\EngData\PROJECT_Bioplastics\Renjie_Pan\05-Raw_Data\Lab_results\[LabSamples2025_Bioplastic_extra.xlsx]extra_Bioplastic'!E895)</f>
        <v/>
      </c>
      <c r="F895">
        <f>IF(ISBLANK('Q:\Abteilungsprojekte\Eng\EngData\PROJECT_Bioplastics\Renjie_Pan\05-Raw_Data\Lab_results\[LabSamples2025_Bioplastic_extra.xlsx]extra_Bioplastic'!F895)," ",'Q:\Abteilungsprojekte\Eng\EngData\PROJECT_Bioplastics\Renjie_Pan\05-Raw_Data\Lab_results\[LabSamples2025_Bioplastic_extra.xlsx]extra_Bioplastic'!F895)</f>
        <v/>
      </c>
      <c r="G895">
        <f>IF(ISBLANK('Q:\Abteilungsprojekte\Eng\EngData\PROJECT_Bioplastics\Renjie_Pan\05-Raw_Data\Lab_results\[LabSamples2025_Bioplastic_extra.xlsx]extra_Bioplastic'!G895)," ",'Q:\Abteilungsprojekte\Eng\EngData\PROJECT_Bioplastics\Renjie_Pan\05-Raw_Data\Lab_results\[LabSamples2025_Bioplastic_extra.xlsx]extra_Bioplastic'!G895)</f>
        <v/>
      </c>
      <c r="H895">
        <f>IF(ISBLANK('Q:\Abteilungsprojekte\Eng\EngData\PROJECT_Bioplastics\Renjie_Pan\05-Raw_Data\Lab_results\[LabSamples2025_Bioplastic_extra.xlsx]extra_Bioplastic'!H895)," ",'Q:\Abteilungsprojekte\Eng\EngData\PROJECT_Bioplastics\Renjie_Pan\05-Raw_Data\Lab_results\[LabSamples2025_Bioplastic_extra.xlsx]extra_Bioplastic'!H895)</f>
        <v/>
      </c>
    </row>
    <row r="896">
      <c r="A896">
        <f>IF(ISBLANK('Q:\Abteilungsprojekte\Eng\EngData\PROJECT_Bioplastics\Renjie_Pan\05-Raw_Data\Lab_results\[LabSamples2025_Bioplastic_extra.xlsx]extra_Bioplastic'!A896)," ",'Q:\Abteilungsprojekte\Eng\EngData\PROJECT_Bioplastics\Renjie_Pan\05-Raw_Data\Lab_results\[LabSamples2025_Bioplastic_extra.xlsx]extra_Bioplastic'!A896)</f>
        <v/>
      </c>
      <c r="B896">
        <f>IF(ISBLANK('Q:\Abteilungsprojekte\Eng\EngData\PROJECT_Bioplastics\Renjie_Pan\05-Raw_Data\Lab_results\[LabSamples2025_Bioplastic_extra.xlsx]extra_Bioplastic'!B896)," ",'Q:\Abteilungsprojekte\Eng\EngData\PROJECT_Bioplastics\Renjie_Pan\05-Raw_Data\Lab_results\[LabSamples2025_Bioplastic_extra.xlsx]extra_Bioplastic'!B896)</f>
        <v/>
      </c>
      <c r="C896">
        <f>IF(ISBLANK('Q:\Abteilungsprojekte\Eng\EngData\PROJECT_Bioplastics\Renjie_Pan\05-Raw_Data\Lab_results\[LabSamples2025_Bioplastic_extra.xlsx]extra_Bioplastic'!C896)," ",'Q:\Abteilungsprojekte\Eng\EngData\PROJECT_Bioplastics\Renjie_Pan\05-Raw_Data\Lab_results\[LabSamples2025_Bioplastic_extra.xlsx]extra_Bioplastic'!C896)</f>
        <v/>
      </c>
      <c r="D896">
        <f>IF(ISBLANK('Q:\Abteilungsprojekte\Eng\EngData\PROJECT_Bioplastics\Renjie_Pan\05-Raw_Data\Lab_results\[LabSamples2025_Bioplastic_extra.xlsx]extra_Bioplastic'!D896)," ",'Q:\Abteilungsprojekte\Eng\EngData\PROJECT_Bioplastics\Renjie_Pan\05-Raw_Data\Lab_results\[LabSamples2025_Bioplastic_extra.xlsx]extra_Bioplastic'!D896)</f>
        <v/>
      </c>
      <c r="E896">
        <f>IF(ISBLANK('Q:\Abteilungsprojekte\Eng\EngData\PROJECT_Bioplastics\Renjie_Pan\05-Raw_Data\Lab_results\[LabSamples2025_Bioplastic_extra.xlsx]extra_Bioplastic'!E896)," ",'Q:\Abteilungsprojekte\Eng\EngData\PROJECT_Bioplastics\Renjie_Pan\05-Raw_Data\Lab_results\[LabSamples2025_Bioplastic_extra.xlsx]extra_Bioplastic'!E896)</f>
        <v/>
      </c>
      <c r="F896">
        <f>IF(ISBLANK('Q:\Abteilungsprojekte\Eng\EngData\PROJECT_Bioplastics\Renjie_Pan\05-Raw_Data\Lab_results\[LabSamples2025_Bioplastic_extra.xlsx]extra_Bioplastic'!F896)," ",'Q:\Abteilungsprojekte\Eng\EngData\PROJECT_Bioplastics\Renjie_Pan\05-Raw_Data\Lab_results\[LabSamples2025_Bioplastic_extra.xlsx]extra_Bioplastic'!F896)</f>
        <v/>
      </c>
      <c r="G896">
        <f>IF(ISBLANK('Q:\Abteilungsprojekte\Eng\EngData\PROJECT_Bioplastics\Renjie_Pan\05-Raw_Data\Lab_results\[LabSamples2025_Bioplastic_extra.xlsx]extra_Bioplastic'!G896)," ",'Q:\Abteilungsprojekte\Eng\EngData\PROJECT_Bioplastics\Renjie_Pan\05-Raw_Data\Lab_results\[LabSamples2025_Bioplastic_extra.xlsx]extra_Bioplastic'!G896)</f>
        <v/>
      </c>
      <c r="H896">
        <f>IF(ISBLANK('Q:\Abteilungsprojekte\Eng\EngData\PROJECT_Bioplastics\Renjie_Pan\05-Raw_Data\Lab_results\[LabSamples2025_Bioplastic_extra.xlsx]extra_Bioplastic'!H896)," ",'Q:\Abteilungsprojekte\Eng\EngData\PROJECT_Bioplastics\Renjie_Pan\05-Raw_Data\Lab_results\[LabSamples2025_Bioplastic_extra.xlsx]extra_Bioplastic'!H896)</f>
        <v/>
      </c>
    </row>
    <row r="897">
      <c r="A897">
        <f>IF(ISBLANK('Q:\Abteilungsprojekte\Eng\EngData\PROJECT_Bioplastics\Renjie_Pan\05-Raw_Data\Lab_results\[LabSamples2025_Bioplastic_extra.xlsx]extra_Bioplastic'!A897)," ",'Q:\Abteilungsprojekte\Eng\EngData\PROJECT_Bioplastics\Renjie_Pan\05-Raw_Data\Lab_results\[LabSamples2025_Bioplastic_extra.xlsx]extra_Bioplastic'!A897)</f>
        <v/>
      </c>
      <c r="B897">
        <f>IF(ISBLANK('Q:\Abteilungsprojekte\Eng\EngData\PROJECT_Bioplastics\Renjie_Pan\05-Raw_Data\Lab_results\[LabSamples2025_Bioplastic_extra.xlsx]extra_Bioplastic'!B897)," ",'Q:\Abteilungsprojekte\Eng\EngData\PROJECT_Bioplastics\Renjie_Pan\05-Raw_Data\Lab_results\[LabSamples2025_Bioplastic_extra.xlsx]extra_Bioplastic'!B897)</f>
        <v/>
      </c>
      <c r="C897">
        <f>IF(ISBLANK('Q:\Abteilungsprojekte\Eng\EngData\PROJECT_Bioplastics\Renjie_Pan\05-Raw_Data\Lab_results\[LabSamples2025_Bioplastic_extra.xlsx]extra_Bioplastic'!C897)," ",'Q:\Abteilungsprojekte\Eng\EngData\PROJECT_Bioplastics\Renjie_Pan\05-Raw_Data\Lab_results\[LabSamples2025_Bioplastic_extra.xlsx]extra_Bioplastic'!C897)</f>
        <v/>
      </c>
      <c r="D897">
        <f>IF(ISBLANK('Q:\Abteilungsprojekte\Eng\EngData\PROJECT_Bioplastics\Renjie_Pan\05-Raw_Data\Lab_results\[LabSamples2025_Bioplastic_extra.xlsx]extra_Bioplastic'!D897)," ",'Q:\Abteilungsprojekte\Eng\EngData\PROJECT_Bioplastics\Renjie_Pan\05-Raw_Data\Lab_results\[LabSamples2025_Bioplastic_extra.xlsx]extra_Bioplastic'!D897)</f>
        <v/>
      </c>
      <c r="E897">
        <f>IF(ISBLANK('Q:\Abteilungsprojekte\Eng\EngData\PROJECT_Bioplastics\Renjie_Pan\05-Raw_Data\Lab_results\[LabSamples2025_Bioplastic_extra.xlsx]extra_Bioplastic'!E897)," ",'Q:\Abteilungsprojekte\Eng\EngData\PROJECT_Bioplastics\Renjie_Pan\05-Raw_Data\Lab_results\[LabSamples2025_Bioplastic_extra.xlsx]extra_Bioplastic'!E897)</f>
        <v/>
      </c>
      <c r="F897">
        <f>IF(ISBLANK('Q:\Abteilungsprojekte\Eng\EngData\PROJECT_Bioplastics\Renjie_Pan\05-Raw_Data\Lab_results\[LabSamples2025_Bioplastic_extra.xlsx]extra_Bioplastic'!F897)," ",'Q:\Abteilungsprojekte\Eng\EngData\PROJECT_Bioplastics\Renjie_Pan\05-Raw_Data\Lab_results\[LabSamples2025_Bioplastic_extra.xlsx]extra_Bioplastic'!F897)</f>
        <v/>
      </c>
      <c r="G897">
        <f>IF(ISBLANK('Q:\Abteilungsprojekte\Eng\EngData\PROJECT_Bioplastics\Renjie_Pan\05-Raw_Data\Lab_results\[LabSamples2025_Bioplastic_extra.xlsx]extra_Bioplastic'!G897)," ",'Q:\Abteilungsprojekte\Eng\EngData\PROJECT_Bioplastics\Renjie_Pan\05-Raw_Data\Lab_results\[LabSamples2025_Bioplastic_extra.xlsx]extra_Bioplastic'!G897)</f>
        <v/>
      </c>
      <c r="H897">
        <f>IF(ISBLANK('Q:\Abteilungsprojekte\Eng\EngData\PROJECT_Bioplastics\Renjie_Pan\05-Raw_Data\Lab_results\[LabSamples2025_Bioplastic_extra.xlsx]extra_Bioplastic'!H897)," ",'Q:\Abteilungsprojekte\Eng\EngData\PROJECT_Bioplastics\Renjie_Pan\05-Raw_Data\Lab_results\[LabSamples2025_Bioplastic_extra.xlsx]extra_Bioplastic'!H897)</f>
        <v/>
      </c>
    </row>
    <row r="898">
      <c r="A898">
        <f>IF(ISBLANK('Q:\Abteilungsprojekte\Eng\EngData\PROJECT_Bioplastics\Renjie_Pan\05-Raw_Data\Lab_results\[LabSamples2025_Bioplastic_extra.xlsx]extra_Bioplastic'!A898)," ",'Q:\Abteilungsprojekte\Eng\EngData\PROJECT_Bioplastics\Renjie_Pan\05-Raw_Data\Lab_results\[LabSamples2025_Bioplastic_extra.xlsx]extra_Bioplastic'!A898)</f>
        <v/>
      </c>
      <c r="B898">
        <f>IF(ISBLANK('Q:\Abteilungsprojekte\Eng\EngData\PROJECT_Bioplastics\Renjie_Pan\05-Raw_Data\Lab_results\[LabSamples2025_Bioplastic_extra.xlsx]extra_Bioplastic'!B898)," ",'Q:\Abteilungsprojekte\Eng\EngData\PROJECT_Bioplastics\Renjie_Pan\05-Raw_Data\Lab_results\[LabSamples2025_Bioplastic_extra.xlsx]extra_Bioplastic'!B898)</f>
        <v/>
      </c>
      <c r="C898">
        <f>IF(ISBLANK('Q:\Abteilungsprojekte\Eng\EngData\PROJECT_Bioplastics\Renjie_Pan\05-Raw_Data\Lab_results\[LabSamples2025_Bioplastic_extra.xlsx]extra_Bioplastic'!C898)," ",'Q:\Abteilungsprojekte\Eng\EngData\PROJECT_Bioplastics\Renjie_Pan\05-Raw_Data\Lab_results\[LabSamples2025_Bioplastic_extra.xlsx]extra_Bioplastic'!C898)</f>
        <v/>
      </c>
      <c r="D898">
        <f>IF(ISBLANK('Q:\Abteilungsprojekte\Eng\EngData\PROJECT_Bioplastics\Renjie_Pan\05-Raw_Data\Lab_results\[LabSamples2025_Bioplastic_extra.xlsx]extra_Bioplastic'!D898)," ",'Q:\Abteilungsprojekte\Eng\EngData\PROJECT_Bioplastics\Renjie_Pan\05-Raw_Data\Lab_results\[LabSamples2025_Bioplastic_extra.xlsx]extra_Bioplastic'!D898)</f>
        <v/>
      </c>
      <c r="E898">
        <f>IF(ISBLANK('Q:\Abteilungsprojekte\Eng\EngData\PROJECT_Bioplastics\Renjie_Pan\05-Raw_Data\Lab_results\[LabSamples2025_Bioplastic_extra.xlsx]extra_Bioplastic'!E898)," ",'Q:\Abteilungsprojekte\Eng\EngData\PROJECT_Bioplastics\Renjie_Pan\05-Raw_Data\Lab_results\[LabSamples2025_Bioplastic_extra.xlsx]extra_Bioplastic'!E898)</f>
        <v/>
      </c>
      <c r="F898">
        <f>IF(ISBLANK('Q:\Abteilungsprojekte\Eng\EngData\PROJECT_Bioplastics\Renjie_Pan\05-Raw_Data\Lab_results\[LabSamples2025_Bioplastic_extra.xlsx]extra_Bioplastic'!F898)," ",'Q:\Abteilungsprojekte\Eng\EngData\PROJECT_Bioplastics\Renjie_Pan\05-Raw_Data\Lab_results\[LabSamples2025_Bioplastic_extra.xlsx]extra_Bioplastic'!F898)</f>
        <v/>
      </c>
      <c r="G898">
        <f>IF(ISBLANK('Q:\Abteilungsprojekte\Eng\EngData\PROJECT_Bioplastics\Renjie_Pan\05-Raw_Data\Lab_results\[LabSamples2025_Bioplastic_extra.xlsx]extra_Bioplastic'!G898)," ",'Q:\Abteilungsprojekte\Eng\EngData\PROJECT_Bioplastics\Renjie_Pan\05-Raw_Data\Lab_results\[LabSamples2025_Bioplastic_extra.xlsx]extra_Bioplastic'!G898)</f>
        <v/>
      </c>
      <c r="H898">
        <f>IF(ISBLANK('Q:\Abteilungsprojekte\Eng\EngData\PROJECT_Bioplastics\Renjie_Pan\05-Raw_Data\Lab_results\[LabSamples2025_Bioplastic_extra.xlsx]extra_Bioplastic'!H898)," ",'Q:\Abteilungsprojekte\Eng\EngData\PROJECT_Bioplastics\Renjie_Pan\05-Raw_Data\Lab_results\[LabSamples2025_Bioplastic_extra.xlsx]extra_Bioplastic'!H898)</f>
        <v/>
      </c>
    </row>
    <row r="899">
      <c r="A899">
        <f>IF(ISBLANK('Q:\Abteilungsprojekte\Eng\EngData\PROJECT_Bioplastics\Renjie_Pan\05-Raw_Data\Lab_results\[LabSamples2025_Bioplastic_extra.xlsx]extra_Bioplastic'!A899)," ",'Q:\Abteilungsprojekte\Eng\EngData\PROJECT_Bioplastics\Renjie_Pan\05-Raw_Data\Lab_results\[LabSamples2025_Bioplastic_extra.xlsx]extra_Bioplastic'!A899)</f>
        <v/>
      </c>
      <c r="B899">
        <f>IF(ISBLANK('Q:\Abteilungsprojekte\Eng\EngData\PROJECT_Bioplastics\Renjie_Pan\05-Raw_Data\Lab_results\[LabSamples2025_Bioplastic_extra.xlsx]extra_Bioplastic'!B899)," ",'Q:\Abteilungsprojekte\Eng\EngData\PROJECT_Bioplastics\Renjie_Pan\05-Raw_Data\Lab_results\[LabSamples2025_Bioplastic_extra.xlsx]extra_Bioplastic'!B899)</f>
        <v/>
      </c>
      <c r="C899">
        <f>IF(ISBLANK('Q:\Abteilungsprojekte\Eng\EngData\PROJECT_Bioplastics\Renjie_Pan\05-Raw_Data\Lab_results\[LabSamples2025_Bioplastic_extra.xlsx]extra_Bioplastic'!C899)," ",'Q:\Abteilungsprojekte\Eng\EngData\PROJECT_Bioplastics\Renjie_Pan\05-Raw_Data\Lab_results\[LabSamples2025_Bioplastic_extra.xlsx]extra_Bioplastic'!C899)</f>
        <v/>
      </c>
      <c r="D899">
        <f>IF(ISBLANK('Q:\Abteilungsprojekte\Eng\EngData\PROJECT_Bioplastics\Renjie_Pan\05-Raw_Data\Lab_results\[LabSamples2025_Bioplastic_extra.xlsx]extra_Bioplastic'!D899)," ",'Q:\Abteilungsprojekte\Eng\EngData\PROJECT_Bioplastics\Renjie_Pan\05-Raw_Data\Lab_results\[LabSamples2025_Bioplastic_extra.xlsx]extra_Bioplastic'!D899)</f>
        <v/>
      </c>
      <c r="E899">
        <f>IF(ISBLANK('Q:\Abteilungsprojekte\Eng\EngData\PROJECT_Bioplastics\Renjie_Pan\05-Raw_Data\Lab_results\[LabSamples2025_Bioplastic_extra.xlsx]extra_Bioplastic'!E899)," ",'Q:\Abteilungsprojekte\Eng\EngData\PROJECT_Bioplastics\Renjie_Pan\05-Raw_Data\Lab_results\[LabSamples2025_Bioplastic_extra.xlsx]extra_Bioplastic'!E899)</f>
        <v/>
      </c>
      <c r="F899">
        <f>IF(ISBLANK('Q:\Abteilungsprojekte\Eng\EngData\PROJECT_Bioplastics\Renjie_Pan\05-Raw_Data\Lab_results\[LabSamples2025_Bioplastic_extra.xlsx]extra_Bioplastic'!F899)," ",'Q:\Abteilungsprojekte\Eng\EngData\PROJECT_Bioplastics\Renjie_Pan\05-Raw_Data\Lab_results\[LabSamples2025_Bioplastic_extra.xlsx]extra_Bioplastic'!F899)</f>
        <v/>
      </c>
      <c r="G899">
        <f>IF(ISBLANK('Q:\Abteilungsprojekte\Eng\EngData\PROJECT_Bioplastics\Renjie_Pan\05-Raw_Data\Lab_results\[LabSamples2025_Bioplastic_extra.xlsx]extra_Bioplastic'!G899)," ",'Q:\Abteilungsprojekte\Eng\EngData\PROJECT_Bioplastics\Renjie_Pan\05-Raw_Data\Lab_results\[LabSamples2025_Bioplastic_extra.xlsx]extra_Bioplastic'!G899)</f>
        <v/>
      </c>
      <c r="H899">
        <f>IF(ISBLANK('Q:\Abteilungsprojekte\Eng\EngData\PROJECT_Bioplastics\Renjie_Pan\05-Raw_Data\Lab_results\[LabSamples2025_Bioplastic_extra.xlsx]extra_Bioplastic'!H899)," ",'Q:\Abteilungsprojekte\Eng\EngData\PROJECT_Bioplastics\Renjie_Pan\05-Raw_Data\Lab_results\[LabSamples2025_Bioplastic_extra.xlsx]extra_Bioplastic'!H899)</f>
        <v/>
      </c>
    </row>
    <row r="900">
      <c r="A900">
        <f>IF(ISBLANK('Q:\Abteilungsprojekte\Eng\EngData\PROJECT_Bioplastics\Renjie_Pan\05-Raw_Data\Lab_results\[LabSamples2025_Bioplastic_extra.xlsx]extra_Bioplastic'!A900)," ",'Q:\Abteilungsprojekte\Eng\EngData\PROJECT_Bioplastics\Renjie_Pan\05-Raw_Data\Lab_results\[LabSamples2025_Bioplastic_extra.xlsx]extra_Bioplastic'!A900)</f>
        <v/>
      </c>
      <c r="B900">
        <f>IF(ISBLANK('Q:\Abteilungsprojekte\Eng\EngData\PROJECT_Bioplastics\Renjie_Pan\05-Raw_Data\Lab_results\[LabSamples2025_Bioplastic_extra.xlsx]extra_Bioplastic'!B900)," ",'Q:\Abteilungsprojekte\Eng\EngData\PROJECT_Bioplastics\Renjie_Pan\05-Raw_Data\Lab_results\[LabSamples2025_Bioplastic_extra.xlsx]extra_Bioplastic'!B900)</f>
        <v/>
      </c>
      <c r="C900">
        <f>IF(ISBLANK('Q:\Abteilungsprojekte\Eng\EngData\PROJECT_Bioplastics\Renjie_Pan\05-Raw_Data\Lab_results\[LabSamples2025_Bioplastic_extra.xlsx]extra_Bioplastic'!C900)," ",'Q:\Abteilungsprojekte\Eng\EngData\PROJECT_Bioplastics\Renjie_Pan\05-Raw_Data\Lab_results\[LabSamples2025_Bioplastic_extra.xlsx]extra_Bioplastic'!C900)</f>
        <v/>
      </c>
      <c r="D900">
        <f>IF(ISBLANK('Q:\Abteilungsprojekte\Eng\EngData\PROJECT_Bioplastics\Renjie_Pan\05-Raw_Data\Lab_results\[LabSamples2025_Bioplastic_extra.xlsx]extra_Bioplastic'!D900)," ",'Q:\Abteilungsprojekte\Eng\EngData\PROJECT_Bioplastics\Renjie_Pan\05-Raw_Data\Lab_results\[LabSamples2025_Bioplastic_extra.xlsx]extra_Bioplastic'!D900)</f>
        <v/>
      </c>
      <c r="E900">
        <f>IF(ISBLANK('Q:\Abteilungsprojekte\Eng\EngData\PROJECT_Bioplastics\Renjie_Pan\05-Raw_Data\Lab_results\[LabSamples2025_Bioplastic_extra.xlsx]extra_Bioplastic'!E900)," ",'Q:\Abteilungsprojekte\Eng\EngData\PROJECT_Bioplastics\Renjie_Pan\05-Raw_Data\Lab_results\[LabSamples2025_Bioplastic_extra.xlsx]extra_Bioplastic'!E900)</f>
        <v/>
      </c>
      <c r="F900">
        <f>IF(ISBLANK('Q:\Abteilungsprojekte\Eng\EngData\PROJECT_Bioplastics\Renjie_Pan\05-Raw_Data\Lab_results\[LabSamples2025_Bioplastic_extra.xlsx]extra_Bioplastic'!F900)," ",'Q:\Abteilungsprojekte\Eng\EngData\PROJECT_Bioplastics\Renjie_Pan\05-Raw_Data\Lab_results\[LabSamples2025_Bioplastic_extra.xlsx]extra_Bioplastic'!F900)</f>
        <v/>
      </c>
      <c r="G900">
        <f>IF(ISBLANK('Q:\Abteilungsprojekte\Eng\EngData\PROJECT_Bioplastics\Renjie_Pan\05-Raw_Data\Lab_results\[LabSamples2025_Bioplastic_extra.xlsx]extra_Bioplastic'!G900)," ",'Q:\Abteilungsprojekte\Eng\EngData\PROJECT_Bioplastics\Renjie_Pan\05-Raw_Data\Lab_results\[LabSamples2025_Bioplastic_extra.xlsx]extra_Bioplastic'!G900)</f>
        <v/>
      </c>
      <c r="H900">
        <f>IF(ISBLANK('Q:\Abteilungsprojekte\Eng\EngData\PROJECT_Bioplastics\Renjie_Pan\05-Raw_Data\Lab_results\[LabSamples2025_Bioplastic_extra.xlsx]extra_Bioplastic'!H900)," ",'Q:\Abteilungsprojekte\Eng\EngData\PROJECT_Bioplastics\Renjie_Pan\05-Raw_Data\Lab_results\[LabSamples2025_Bioplastic_extra.xlsx]extra_Bioplastic'!H900)</f>
        <v/>
      </c>
    </row>
    <row r="901">
      <c r="A901">
        <f>IF(ISBLANK('Q:\Abteilungsprojekte\Eng\EngData\PROJECT_Bioplastics\Renjie_Pan\05-Raw_Data\Lab_results\[LabSamples2025_Bioplastic_extra.xlsx]extra_Bioplastic'!A901)," ",'Q:\Abteilungsprojekte\Eng\EngData\PROJECT_Bioplastics\Renjie_Pan\05-Raw_Data\Lab_results\[LabSamples2025_Bioplastic_extra.xlsx]extra_Bioplastic'!A901)</f>
        <v/>
      </c>
      <c r="B901">
        <f>IF(ISBLANK('Q:\Abteilungsprojekte\Eng\EngData\PROJECT_Bioplastics\Renjie_Pan\05-Raw_Data\Lab_results\[LabSamples2025_Bioplastic_extra.xlsx]extra_Bioplastic'!B901)," ",'Q:\Abteilungsprojekte\Eng\EngData\PROJECT_Bioplastics\Renjie_Pan\05-Raw_Data\Lab_results\[LabSamples2025_Bioplastic_extra.xlsx]extra_Bioplastic'!B901)</f>
        <v/>
      </c>
      <c r="C901">
        <f>IF(ISBLANK('Q:\Abteilungsprojekte\Eng\EngData\PROJECT_Bioplastics\Renjie_Pan\05-Raw_Data\Lab_results\[LabSamples2025_Bioplastic_extra.xlsx]extra_Bioplastic'!C901)," ",'Q:\Abteilungsprojekte\Eng\EngData\PROJECT_Bioplastics\Renjie_Pan\05-Raw_Data\Lab_results\[LabSamples2025_Bioplastic_extra.xlsx]extra_Bioplastic'!C901)</f>
        <v/>
      </c>
      <c r="D901">
        <f>IF(ISBLANK('Q:\Abteilungsprojekte\Eng\EngData\PROJECT_Bioplastics\Renjie_Pan\05-Raw_Data\Lab_results\[LabSamples2025_Bioplastic_extra.xlsx]extra_Bioplastic'!D901)," ",'Q:\Abteilungsprojekte\Eng\EngData\PROJECT_Bioplastics\Renjie_Pan\05-Raw_Data\Lab_results\[LabSamples2025_Bioplastic_extra.xlsx]extra_Bioplastic'!D901)</f>
        <v/>
      </c>
      <c r="E901">
        <f>IF(ISBLANK('Q:\Abteilungsprojekte\Eng\EngData\PROJECT_Bioplastics\Renjie_Pan\05-Raw_Data\Lab_results\[LabSamples2025_Bioplastic_extra.xlsx]extra_Bioplastic'!E901)," ",'Q:\Abteilungsprojekte\Eng\EngData\PROJECT_Bioplastics\Renjie_Pan\05-Raw_Data\Lab_results\[LabSamples2025_Bioplastic_extra.xlsx]extra_Bioplastic'!E901)</f>
        <v/>
      </c>
      <c r="F901">
        <f>IF(ISBLANK('Q:\Abteilungsprojekte\Eng\EngData\PROJECT_Bioplastics\Renjie_Pan\05-Raw_Data\Lab_results\[LabSamples2025_Bioplastic_extra.xlsx]extra_Bioplastic'!F901)," ",'Q:\Abteilungsprojekte\Eng\EngData\PROJECT_Bioplastics\Renjie_Pan\05-Raw_Data\Lab_results\[LabSamples2025_Bioplastic_extra.xlsx]extra_Bioplastic'!F901)</f>
        <v/>
      </c>
      <c r="G901">
        <f>IF(ISBLANK('Q:\Abteilungsprojekte\Eng\EngData\PROJECT_Bioplastics\Renjie_Pan\05-Raw_Data\Lab_results\[LabSamples2025_Bioplastic_extra.xlsx]extra_Bioplastic'!G901)," ",'Q:\Abteilungsprojekte\Eng\EngData\PROJECT_Bioplastics\Renjie_Pan\05-Raw_Data\Lab_results\[LabSamples2025_Bioplastic_extra.xlsx]extra_Bioplastic'!G901)</f>
        <v/>
      </c>
      <c r="H901">
        <f>IF(ISBLANK('Q:\Abteilungsprojekte\Eng\EngData\PROJECT_Bioplastics\Renjie_Pan\05-Raw_Data\Lab_results\[LabSamples2025_Bioplastic_extra.xlsx]extra_Bioplastic'!H901)," ",'Q:\Abteilungsprojekte\Eng\EngData\PROJECT_Bioplastics\Renjie_Pan\05-Raw_Data\Lab_results\[LabSamples2025_Bioplastic_extra.xlsx]extra_Bioplastic'!H901)</f>
        <v/>
      </c>
    </row>
    <row r="902">
      <c r="A902">
        <f>IF(ISBLANK('Q:\Abteilungsprojekte\Eng\EngData\PROJECT_Bioplastics\Renjie_Pan\05-Raw_Data\Lab_results\[LabSamples2025_Bioplastic_extra.xlsx]extra_Bioplastic'!A902)," ",'Q:\Abteilungsprojekte\Eng\EngData\PROJECT_Bioplastics\Renjie_Pan\05-Raw_Data\Lab_results\[LabSamples2025_Bioplastic_extra.xlsx]extra_Bioplastic'!A902)</f>
        <v/>
      </c>
      <c r="B902">
        <f>IF(ISBLANK('Q:\Abteilungsprojekte\Eng\EngData\PROJECT_Bioplastics\Renjie_Pan\05-Raw_Data\Lab_results\[LabSamples2025_Bioplastic_extra.xlsx]extra_Bioplastic'!B902)," ",'Q:\Abteilungsprojekte\Eng\EngData\PROJECT_Bioplastics\Renjie_Pan\05-Raw_Data\Lab_results\[LabSamples2025_Bioplastic_extra.xlsx]extra_Bioplastic'!B902)</f>
        <v/>
      </c>
      <c r="C902">
        <f>IF(ISBLANK('Q:\Abteilungsprojekte\Eng\EngData\PROJECT_Bioplastics\Renjie_Pan\05-Raw_Data\Lab_results\[LabSamples2025_Bioplastic_extra.xlsx]extra_Bioplastic'!C902)," ",'Q:\Abteilungsprojekte\Eng\EngData\PROJECT_Bioplastics\Renjie_Pan\05-Raw_Data\Lab_results\[LabSamples2025_Bioplastic_extra.xlsx]extra_Bioplastic'!C902)</f>
        <v/>
      </c>
      <c r="D902">
        <f>IF(ISBLANK('Q:\Abteilungsprojekte\Eng\EngData\PROJECT_Bioplastics\Renjie_Pan\05-Raw_Data\Lab_results\[LabSamples2025_Bioplastic_extra.xlsx]extra_Bioplastic'!D902)," ",'Q:\Abteilungsprojekte\Eng\EngData\PROJECT_Bioplastics\Renjie_Pan\05-Raw_Data\Lab_results\[LabSamples2025_Bioplastic_extra.xlsx]extra_Bioplastic'!D902)</f>
        <v/>
      </c>
      <c r="E902">
        <f>IF(ISBLANK('Q:\Abteilungsprojekte\Eng\EngData\PROJECT_Bioplastics\Renjie_Pan\05-Raw_Data\Lab_results\[LabSamples2025_Bioplastic_extra.xlsx]extra_Bioplastic'!E902)," ",'Q:\Abteilungsprojekte\Eng\EngData\PROJECT_Bioplastics\Renjie_Pan\05-Raw_Data\Lab_results\[LabSamples2025_Bioplastic_extra.xlsx]extra_Bioplastic'!E902)</f>
        <v/>
      </c>
      <c r="F902">
        <f>IF(ISBLANK('Q:\Abteilungsprojekte\Eng\EngData\PROJECT_Bioplastics\Renjie_Pan\05-Raw_Data\Lab_results\[LabSamples2025_Bioplastic_extra.xlsx]extra_Bioplastic'!F902)," ",'Q:\Abteilungsprojekte\Eng\EngData\PROJECT_Bioplastics\Renjie_Pan\05-Raw_Data\Lab_results\[LabSamples2025_Bioplastic_extra.xlsx]extra_Bioplastic'!F902)</f>
        <v/>
      </c>
      <c r="G902">
        <f>IF(ISBLANK('Q:\Abteilungsprojekte\Eng\EngData\PROJECT_Bioplastics\Renjie_Pan\05-Raw_Data\Lab_results\[LabSamples2025_Bioplastic_extra.xlsx]extra_Bioplastic'!G902)," ",'Q:\Abteilungsprojekte\Eng\EngData\PROJECT_Bioplastics\Renjie_Pan\05-Raw_Data\Lab_results\[LabSamples2025_Bioplastic_extra.xlsx]extra_Bioplastic'!G902)</f>
        <v/>
      </c>
      <c r="H902">
        <f>IF(ISBLANK('Q:\Abteilungsprojekte\Eng\EngData\PROJECT_Bioplastics\Renjie_Pan\05-Raw_Data\Lab_results\[LabSamples2025_Bioplastic_extra.xlsx]extra_Bioplastic'!H902)," ",'Q:\Abteilungsprojekte\Eng\EngData\PROJECT_Bioplastics\Renjie_Pan\05-Raw_Data\Lab_results\[LabSamples2025_Bioplastic_extra.xlsx]extra_Bioplastic'!H902)</f>
        <v/>
      </c>
    </row>
    <row r="903">
      <c r="A903">
        <f>IF(ISBLANK('Q:\Abteilungsprojekte\Eng\EngData\PROJECT_Bioplastics\Renjie_Pan\05-Raw_Data\Lab_results\[LabSamples2025_Bioplastic_extra.xlsx]extra_Bioplastic'!A903)," ",'Q:\Abteilungsprojekte\Eng\EngData\PROJECT_Bioplastics\Renjie_Pan\05-Raw_Data\Lab_results\[LabSamples2025_Bioplastic_extra.xlsx]extra_Bioplastic'!A903)</f>
        <v/>
      </c>
      <c r="B903">
        <f>IF(ISBLANK('Q:\Abteilungsprojekte\Eng\EngData\PROJECT_Bioplastics\Renjie_Pan\05-Raw_Data\Lab_results\[LabSamples2025_Bioplastic_extra.xlsx]extra_Bioplastic'!B903)," ",'Q:\Abteilungsprojekte\Eng\EngData\PROJECT_Bioplastics\Renjie_Pan\05-Raw_Data\Lab_results\[LabSamples2025_Bioplastic_extra.xlsx]extra_Bioplastic'!B903)</f>
        <v/>
      </c>
      <c r="C903">
        <f>IF(ISBLANK('Q:\Abteilungsprojekte\Eng\EngData\PROJECT_Bioplastics\Renjie_Pan\05-Raw_Data\Lab_results\[LabSamples2025_Bioplastic_extra.xlsx]extra_Bioplastic'!C903)," ",'Q:\Abteilungsprojekte\Eng\EngData\PROJECT_Bioplastics\Renjie_Pan\05-Raw_Data\Lab_results\[LabSamples2025_Bioplastic_extra.xlsx]extra_Bioplastic'!C903)</f>
        <v/>
      </c>
      <c r="D903">
        <f>IF(ISBLANK('Q:\Abteilungsprojekte\Eng\EngData\PROJECT_Bioplastics\Renjie_Pan\05-Raw_Data\Lab_results\[LabSamples2025_Bioplastic_extra.xlsx]extra_Bioplastic'!D903)," ",'Q:\Abteilungsprojekte\Eng\EngData\PROJECT_Bioplastics\Renjie_Pan\05-Raw_Data\Lab_results\[LabSamples2025_Bioplastic_extra.xlsx]extra_Bioplastic'!D903)</f>
        <v/>
      </c>
      <c r="E903">
        <f>IF(ISBLANK('Q:\Abteilungsprojekte\Eng\EngData\PROJECT_Bioplastics\Renjie_Pan\05-Raw_Data\Lab_results\[LabSamples2025_Bioplastic_extra.xlsx]extra_Bioplastic'!E903)," ",'Q:\Abteilungsprojekte\Eng\EngData\PROJECT_Bioplastics\Renjie_Pan\05-Raw_Data\Lab_results\[LabSamples2025_Bioplastic_extra.xlsx]extra_Bioplastic'!E903)</f>
        <v/>
      </c>
      <c r="F903">
        <f>IF(ISBLANK('Q:\Abteilungsprojekte\Eng\EngData\PROJECT_Bioplastics\Renjie_Pan\05-Raw_Data\Lab_results\[LabSamples2025_Bioplastic_extra.xlsx]extra_Bioplastic'!F903)," ",'Q:\Abteilungsprojekte\Eng\EngData\PROJECT_Bioplastics\Renjie_Pan\05-Raw_Data\Lab_results\[LabSamples2025_Bioplastic_extra.xlsx]extra_Bioplastic'!F903)</f>
        <v/>
      </c>
      <c r="G903">
        <f>IF(ISBLANK('Q:\Abteilungsprojekte\Eng\EngData\PROJECT_Bioplastics\Renjie_Pan\05-Raw_Data\Lab_results\[LabSamples2025_Bioplastic_extra.xlsx]extra_Bioplastic'!G903)," ",'Q:\Abteilungsprojekte\Eng\EngData\PROJECT_Bioplastics\Renjie_Pan\05-Raw_Data\Lab_results\[LabSamples2025_Bioplastic_extra.xlsx]extra_Bioplastic'!G903)</f>
        <v/>
      </c>
      <c r="H903">
        <f>IF(ISBLANK('Q:\Abteilungsprojekte\Eng\EngData\PROJECT_Bioplastics\Renjie_Pan\05-Raw_Data\Lab_results\[LabSamples2025_Bioplastic_extra.xlsx]extra_Bioplastic'!H903)," ",'Q:\Abteilungsprojekte\Eng\EngData\PROJECT_Bioplastics\Renjie_Pan\05-Raw_Data\Lab_results\[LabSamples2025_Bioplastic_extra.xlsx]extra_Bioplastic'!H903)</f>
        <v/>
      </c>
    </row>
    <row r="904">
      <c r="A904">
        <f>IF(ISBLANK('Q:\Abteilungsprojekte\Eng\EngData\PROJECT_Bioplastics\Renjie_Pan\05-Raw_Data\Lab_results\[LabSamples2025_Bioplastic_extra.xlsx]extra_Bioplastic'!A904)," ",'Q:\Abteilungsprojekte\Eng\EngData\PROJECT_Bioplastics\Renjie_Pan\05-Raw_Data\Lab_results\[LabSamples2025_Bioplastic_extra.xlsx]extra_Bioplastic'!A904)</f>
        <v/>
      </c>
      <c r="B904">
        <f>IF(ISBLANK('Q:\Abteilungsprojekte\Eng\EngData\PROJECT_Bioplastics\Renjie_Pan\05-Raw_Data\Lab_results\[LabSamples2025_Bioplastic_extra.xlsx]extra_Bioplastic'!B904)," ",'Q:\Abteilungsprojekte\Eng\EngData\PROJECT_Bioplastics\Renjie_Pan\05-Raw_Data\Lab_results\[LabSamples2025_Bioplastic_extra.xlsx]extra_Bioplastic'!B904)</f>
        <v/>
      </c>
      <c r="C904">
        <f>IF(ISBLANK('Q:\Abteilungsprojekte\Eng\EngData\PROJECT_Bioplastics\Renjie_Pan\05-Raw_Data\Lab_results\[LabSamples2025_Bioplastic_extra.xlsx]extra_Bioplastic'!C904)," ",'Q:\Abteilungsprojekte\Eng\EngData\PROJECT_Bioplastics\Renjie_Pan\05-Raw_Data\Lab_results\[LabSamples2025_Bioplastic_extra.xlsx]extra_Bioplastic'!C904)</f>
        <v/>
      </c>
      <c r="D904">
        <f>IF(ISBLANK('Q:\Abteilungsprojekte\Eng\EngData\PROJECT_Bioplastics\Renjie_Pan\05-Raw_Data\Lab_results\[LabSamples2025_Bioplastic_extra.xlsx]extra_Bioplastic'!D904)," ",'Q:\Abteilungsprojekte\Eng\EngData\PROJECT_Bioplastics\Renjie_Pan\05-Raw_Data\Lab_results\[LabSamples2025_Bioplastic_extra.xlsx]extra_Bioplastic'!D904)</f>
        <v/>
      </c>
      <c r="E904">
        <f>IF(ISBLANK('Q:\Abteilungsprojekte\Eng\EngData\PROJECT_Bioplastics\Renjie_Pan\05-Raw_Data\Lab_results\[LabSamples2025_Bioplastic_extra.xlsx]extra_Bioplastic'!E904)," ",'Q:\Abteilungsprojekte\Eng\EngData\PROJECT_Bioplastics\Renjie_Pan\05-Raw_Data\Lab_results\[LabSamples2025_Bioplastic_extra.xlsx]extra_Bioplastic'!E904)</f>
        <v/>
      </c>
      <c r="F904">
        <f>IF(ISBLANK('Q:\Abteilungsprojekte\Eng\EngData\PROJECT_Bioplastics\Renjie_Pan\05-Raw_Data\Lab_results\[LabSamples2025_Bioplastic_extra.xlsx]extra_Bioplastic'!F904)," ",'Q:\Abteilungsprojekte\Eng\EngData\PROJECT_Bioplastics\Renjie_Pan\05-Raw_Data\Lab_results\[LabSamples2025_Bioplastic_extra.xlsx]extra_Bioplastic'!F904)</f>
        <v/>
      </c>
      <c r="G904">
        <f>IF(ISBLANK('Q:\Abteilungsprojekte\Eng\EngData\PROJECT_Bioplastics\Renjie_Pan\05-Raw_Data\Lab_results\[LabSamples2025_Bioplastic_extra.xlsx]extra_Bioplastic'!G904)," ",'Q:\Abteilungsprojekte\Eng\EngData\PROJECT_Bioplastics\Renjie_Pan\05-Raw_Data\Lab_results\[LabSamples2025_Bioplastic_extra.xlsx]extra_Bioplastic'!G904)</f>
        <v/>
      </c>
      <c r="H904">
        <f>IF(ISBLANK('Q:\Abteilungsprojekte\Eng\EngData\PROJECT_Bioplastics\Renjie_Pan\05-Raw_Data\Lab_results\[LabSamples2025_Bioplastic_extra.xlsx]extra_Bioplastic'!H904)," ",'Q:\Abteilungsprojekte\Eng\EngData\PROJECT_Bioplastics\Renjie_Pan\05-Raw_Data\Lab_results\[LabSamples2025_Bioplastic_extra.xlsx]extra_Bioplastic'!H904)</f>
        <v/>
      </c>
    </row>
    <row r="905">
      <c r="A905">
        <f>IF(ISBLANK('Q:\Abteilungsprojekte\Eng\EngData\PROJECT_Bioplastics\Renjie_Pan\05-Raw_Data\Lab_results\[LabSamples2025_Bioplastic_extra.xlsx]extra_Bioplastic'!A905)," ",'Q:\Abteilungsprojekte\Eng\EngData\PROJECT_Bioplastics\Renjie_Pan\05-Raw_Data\Lab_results\[LabSamples2025_Bioplastic_extra.xlsx]extra_Bioplastic'!A905)</f>
        <v/>
      </c>
      <c r="B905">
        <f>IF(ISBLANK('Q:\Abteilungsprojekte\Eng\EngData\PROJECT_Bioplastics\Renjie_Pan\05-Raw_Data\Lab_results\[LabSamples2025_Bioplastic_extra.xlsx]extra_Bioplastic'!B905)," ",'Q:\Abteilungsprojekte\Eng\EngData\PROJECT_Bioplastics\Renjie_Pan\05-Raw_Data\Lab_results\[LabSamples2025_Bioplastic_extra.xlsx]extra_Bioplastic'!B905)</f>
        <v/>
      </c>
      <c r="C905">
        <f>IF(ISBLANK('Q:\Abteilungsprojekte\Eng\EngData\PROJECT_Bioplastics\Renjie_Pan\05-Raw_Data\Lab_results\[LabSamples2025_Bioplastic_extra.xlsx]extra_Bioplastic'!C905)," ",'Q:\Abteilungsprojekte\Eng\EngData\PROJECT_Bioplastics\Renjie_Pan\05-Raw_Data\Lab_results\[LabSamples2025_Bioplastic_extra.xlsx]extra_Bioplastic'!C905)</f>
        <v/>
      </c>
      <c r="D905">
        <f>IF(ISBLANK('Q:\Abteilungsprojekte\Eng\EngData\PROJECT_Bioplastics\Renjie_Pan\05-Raw_Data\Lab_results\[LabSamples2025_Bioplastic_extra.xlsx]extra_Bioplastic'!D905)," ",'Q:\Abteilungsprojekte\Eng\EngData\PROJECT_Bioplastics\Renjie_Pan\05-Raw_Data\Lab_results\[LabSamples2025_Bioplastic_extra.xlsx]extra_Bioplastic'!D905)</f>
        <v/>
      </c>
      <c r="E905">
        <f>IF(ISBLANK('Q:\Abteilungsprojekte\Eng\EngData\PROJECT_Bioplastics\Renjie_Pan\05-Raw_Data\Lab_results\[LabSamples2025_Bioplastic_extra.xlsx]extra_Bioplastic'!E905)," ",'Q:\Abteilungsprojekte\Eng\EngData\PROJECT_Bioplastics\Renjie_Pan\05-Raw_Data\Lab_results\[LabSamples2025_Bioplastic_extra.xlsx]extra_Bioplastic'!E905)</f>
        <v/>
      </c>
      <c r="F905">
        <f>IF(ISBLANK('Q:\Abteilungsprojekte\Eng\EngData\PROJECT_Bioplastics\Renjie_Pan\05-Raw_Data\Lab_results\[LabSamples2025_Bioplastic_extra.xlsx]extra_Bioplastic'!F905)," ",'Q:\Abteilungsprojekte\Eng\EngData\PROJECT_Bioplastics\Renjie_Pan\05-Raw_Data\Lab_results\[LabSamples2025_Bioplastic_extra.xlsx]extra_Bioplastic'!F905)</f>
        <v/>
      </c>
      <c r="G905">
        <f>IF(ISBLANK('Q:\Abteilungsprojekte\Eng\EngData\PROJECT_Bioplastics\Renjie_Pan\05-Raw_Data\Lab_results\[LabSamples2025_Bioplastic_extra.xlsx]extra_Bioplastic'!G905)," ",'Q:\Abteilungsprojekte\Eng\EngData\PROJECT_Bioplastics\Renjie_Pan\05-Raw_Data\Lab_results\[LabSamples2025_Bioplastic_extra.xlsx]extra_Bioplastic'!G905)</f>
        <v/>
      </c>
      <c r="H905">
        <f>IF(ISBLANK('Q:\Abteilungsprojekte\Eng\EngData\PROJECT_Bioplastics\Renjie_Pan\05-Raw_Data\Lab_results\[LabSamples2025_Bioplastic_extra.xlsx]extra_Bioplastic'!H905)," ",'Q:\Abteilungsprojekte\Eng\EngData\PROJECT_Bioplastics\Renjie_Pan\05-Raw_Data\Lab_results\[LabSamples2025_Bioplastic_extra.xlsx]extra_Bioplastic'!H905)</f>
        <v/>
      </c>
    </row>
    <row r="906">
      <c r="A906">
        <f>IF(ISBLANK('Q:\Abteilungsprojekte\Eng\EngData\PROJECT_Bioplastics\Renjie_Pan\05-Raw_Data\Lab_results\[LabSamples2025_Bioplastic_extra.xlsx]extra_Bioplastic'!A906)," ",'Q:\Abteilungsprojekte\Eng\EngData\PROJECT_Bioplastics\Renjie_Pan\05-Raw_Data\Lab_results\[LabSamples2025_Bioplastic_extra.xlsx]extra_Bioplastic'!A906)</f>
        <v/>
      </c>
      <c r="B906">
        <f>IF(ISBLANK('Q:\Abteilungsprojekte\Eng\EngData\PROJECT_Bioplastics\Renjie_Pan\05-Raw_Data\Lab_results\[LabSamples2025_Bioplastic_extra.xlsx]extra_Bioplastic'!B906)," ",'Q:\Abteilungsprojekte\Eng\EngData\PROJECT_Bioplastics\Renjie_Pan\05-Raw_Data\Lab_results\[LabSamples2025_Bioplastic_extra.xlsx]extra_Bioplastic'!B906)</f>
        <v/>
      </c>
      <c r="C906">
        <f>IF(ISBLANK('Q:\Abteilungsprojekte\Eng\EngData\PROJECT_Bioplastics\Renjie_Pan\05-Raw_Data\Lab_results\[LabSamples2025_Bioplastic_extra.xlsx]extra_Bioplastic'!C906)," ",'Q:\Abteilungsprojekte\Eng\EngData\PROJECT_Bioplastics\Renjie_Pan\05-Raw_Data\Lab_results\[LabSamples2025_Bioplastic_extra.xlsx]extra_Bioplastic'!C906)</f>
        <v/>
      </c>
      <c r="D906">
        <f>IF(ISBLANK('Q:\Abteilungsprojekte\Eng\EngData\PROJECT_Bioplastics\Renjie_Pan\05-Raw_Data\Lab_results\[LabSamples2025_Bioplastic_extra.xlsx]extra_Bioplastic'!D906)," ",'Q:\Abteilungsprojekte\Eng\EngData\PROJECT_Bioplastics\Renjie_Pan\05-Raw_Data\Lab_results\[LabSamples2025_Bioplastic_extra.xlsx]extra_Bioplastic'!D906)</f>
        <v/>
      </c>
      <c r="E906">
        <f>IF(ISBLANK('Q:\Abteilungsprojekte\Eng\EngData\PROJECT_Bioplastics\Renjie_Pan\05-Raw_Data\Lab_results\[LabSamples2025_Bioplastic_extra.xlsx]extra_Bioplastic'!E906)," ",'Q:\Abteilungsprojekte\Eng\EngData\PROJECT_Bioplastics\Renjie_Pan\05-Raw_Data\Lab_results\[LabSamples2025_Bioplastic_extra.xlsx]extra_Bioplastic'!E906)</f>
        <v/>
      </c>
      <c r="F906">
        <f>IF(ISBLANK('Q:\Abteilungsprojekte\Eng\EngData\PROJECT_Bioplastics\Renjie_Pan\05-Raw_Data\Lab_results\[LabSamples2025_Bioplastic_extra.xlsx]extra_Bioplastic'!F906)," ",'Q:\Abteilungsprojekte\Eng\EngData\PROJECT_Bioplastics\Renjie_Pan\05-Raw_Data\Lab_results\[LabSamples2025_Bioplastic_extra.xlsx]extra_Bioplastic'!F906)</f>
        <v/>
      </c>
      <c r="G906">
        <f>IF(ISBLANK('Q:\Abteilungsprojekte\Eng\EngData\PROJECT_Bioplastics\Renjie_Pan\05-Raw_Data\Lab_results\[LabSamples2025_Bioplastic_extra.xlsx]extra_Bioplastic'!G906)," ",'Q:\Abteilungsprojekte\Eng\EngData\PROJECT_Bioplastics\Renjie_Pan\05-Raw_Data\Lab_results\[LabSamples2025_Bioplastic_extra.xlsx]extra_Bioplastic'!G906)</f>
        <v/>
      </c>
      <c r="H906">
        <f>IF(ISBLANK('Q:\Abteilungsprojekte\Eng\EngData\PROJECT_Bioplastics\Renjie_Pan\05-Raw_Data\Lab_results\[LabSamples2025_Bioplastic_extra.xlsx]extra_Bioplastic'!H906)," ",'Q:\Abteilungsprojekte\Eng\EngData\PROJECT_Bioplastics\Renjie_Pan\05-Raw_Data\Lab_results\[LabSamples2025_Bioplastic_extra.xlsx]extra_Bioplastic'!H906)</f>
        <v/>
      </c>
    </row>
    <row r="907">
      <c r="A907">
        <f>IF(ISBLANK('Q:\Abteilungsprojekte\Eng\EngData\PROJECT_Bioplastics\Renjie_Pan\05-Raw_Data\Lab_results\[LabSamples2025_Bioplastic_extra.xlsx]extra_Bioplastic'!A907)," ",'Q:\Abteilungsprojekte\Eng\EngData\PROJECT_Bioplastics\Renjie_Pan\05-Raw_Data\Lab_results\[LabSamples2025_Bioplastic_extra.xlsx]extra_Bioplastic'!A907)</f>
        <v/>
      </c>
      <c r="B907">
        <f>IF(ISBLANK('Q:\Abteilungsprojekte\Eng\EngData\PROJECT_Bioplastics\Renjie_Pan\05-Raw_Data\Lab_results\[LabSamples2025_Bioplastic_extra.xlsx]extra_Bioplastic'!B907)," ",'Q:\Abteilungsprojekte\Eng\EngData\PROJECT_Bioplastics\Renjie_Pan\05-Raw_Data\Lab_results\[LabSamples2025_Bioplastic_extra.xlsx]extra_Bioplastic'!B907)</f>
        <v/>
      </c>
      <c r="C907">
        <f>IF(ISBLANK('Q:\Abteilungsprojekte\Eng\EngData\PROJECT_Bioplastics\Renjie_Pan\05-Raw_Data\Lab_results\[LabSamples2025_Bioplastic_extra.xlsx]extra_Bioplastic'!C907)," ",'Q:\Abteilungsprojekte\Eng\EngData\PROJECT_Bioplastics\Renjie_Pan\05-Raw_Data\Lab_results\[LabSamples2025_Bioplastic_extra.xlsx]extra_Bioplastic'!C907)</f>
        <v/>
      </c>
      <c r="D907">
        <f>IF(ISBLANK('Q:\Abteilungsprojekte\Eng\EngData\PROJECT_Bioplastics\Renjie_Pan\05-Raw_Data\Lab_results\[LabSamples2025_Bioplastic_extra.xlsx]extra_Bioplastic'!D907)," ",'Q:\Abteilungsprojekte\Eng\EngData\PROJECT_Bioplastics\Renjie_Pan\05-Raw_Data\Lab_results\[LabSamples2025_Bioplastic_extra.xlsx]extra_Bioplastic'!D907)</f>
        <v/>
      </c>
      <c r="E907">
        <f>IF(ISBLANK('Q:\Abteilungsprojekte\Eng\EngData\PROJECT_Bioplastics\Renjie_Pan\05-Raw_Data\Lab_results\[LabSamples2025_Bioplastic_extra.xlsx]extra_Bioplastic'!E907)," ",'Q:\Abteilungsprojekte\Eng\EngData\PROJECT_Bioplastics\Renjie_Pan\05-Raw_Data\Lab_results\[LabSamples2025_Bioplastic_extra.xlsx]extra_Bioplastic'!E907)</f>
        <v/>
      </c>
      <c r="F907">
        <f>IF(ISBLANK('Q:\Abteilungsprojekte\Eng\EngData\PROJECT_Bioplastics\Renjie_Pan\05-Raw_Data\Lab_results\[LabSamples2025_Bioplastic_extra.xlsx]extra_Bioplastic'!F907)," ",'Q:\Abteilungsprojekte\Eng\EngData\PROJECT_Bioplastics\Renjie_Pan\05-Raw_Data\Lab_results\[LabSamples2025_Bioplastic_extra.xlsx]extra_Bioplastic'!F907)</f>
        <v/>
      </c>
      <c r="G907">
        <f>IF(ISBLANK('Q:\Abteilungsprojekte\Eng\EngData\PROJECT_Bioplastics\Renjie_Pan\05-Raw_Data\Lab_results\[LabSamples2025_Bioplastic_extra.xlsx]extra_Bioplastic'!G907)," ",'Q:\Abteilungsprojekte\Eng\EngData\PROJECT_Bioplastics\Renjie_Pan\05-Raw_Data\Lab_results\[LabSamples2025_Bioplastic_extra.xlsx]extra_Bioplastic'!G907)</f>
        <v/>
      </c>
      <c r="H907">
        <f>IF(ISBLANK('Q:\Abteilungsprojekte\Eng\EngData\PROJECT_Bioplastics\Renjie_Pan\05-Raw_Data\Lab_results\[LabSamples2025_Bioplastic_extra.xlsx]extra_Bioplastic'!H907)," ",'Q:\Abteilungsprojekte\Eng\EngData\PROJECT_Bioplastics\Renjie_Pan\05-Raw_Data\Lab_results\[LabSamples2025_Bioplastic_extra.xlsx]extra_Bioplastic'!H907)</f>
        <v/>
      </c>
    </row>
    <row r="908">
      <c r="A908">
        <f>IF(ISBLANK('Q:\Abteilungsprojekte\Eng\EngData\PROJECT_Bioplastics\Renjie_Pan\05-Raw_Data\Lab_results\[LabSamples2025_Bioplastic_extra.xlsx]extra_Bioplastic'!A908)," ",'Q:\Abteilungsprojekte\Eng\EngData\PROJECT_Bioplastics\Renjie_Pan\05-Raw_Data\Lab_results\[LabSamples2025_Bioplastic_extra.xlsx]extra_Bioplastic'!A908)</f>
        <v/>
      </c>
      <c r="B908">
        <f>IF(ISBLANK('Q:\Abteilungsprojekte\Eng\EngData\PROJECT_Bioplastics\Renjie_Pan\05-Raw_Data\Lab_results\[LabSamples2025_Bioplastic_extra.xlsx]extra_Bioplastic'!B908)," ",'Q:\Abteilungsprojekte\Eng\EngData\PROJECT_Bioplastics\Renjie_Pan\05-Raw_Data\Lab_results\[LabSamples2025_Bioplastic_extra.xlsx]extra_Bioplastic'!B908)</f>
        <v/>
      </c>
      <c r="C908">
        <f>IF(ISBLANK('Q:\Abteilungsprojekte\Eng\EngData\PROJECT_Bioplastics\Renjie_Pan\05-Raw_Data\Lab_results\[LabSamples2025_Bioplastic_extra.xlsx]extra_Bioplastic'!C908)," ",'Q:\Abteilungsprojekte\Eng\EngData\PROJECT_Bioplastics\Renjie_Pan\05-Raw_Data\Lab_results\[LabSamples2025_Bioplastic_extra.xlsx]extra_Bioplastic'!C908)</f>
        <v/>
      </c>
      <c r="D908">
        <f>IF(ISBLANK('Q:\Abteilungsprojekte\Eng\EngData\PROJECT_Bioplastics\Renjie_Pan\05-Raw_Data\Lab_results\[LabSamples2025_Bioplastic_extra.xlsx]extra_Bioplastic'!D908)," ",'Q:\Abteilungsprojekte\Eng\EngData\PROJECT_Bioplastics\Renjie_Pan\05-Raw_Data\Lab_results\[LabSamples2025_Bioplastic_extra.xlsx]extra_Bioplastic'!D908)</f>
        <v/>
      </c>
      <c r="E908">
        <f>IF(ISBLANK('Q:\Abteilungsprojekte\Eng\EngData\PROJECT_Bioplastics\Renjie_Pan\05-Raw_Data\Lab_results\[LabSamples2025_Bioplastic_extra.xlsx]extra_Bioplastic'!E908)," ",'Q:\Abteilungsprojekte\Eng\EngData\PROJECT_Bioplastics\Renjie_Pan\05-Raw_Data\Lab_results\[LabSamples2025_Bioplastic_extra.xlsx]extra_Bioplastic'!E908)</f>
        <v/>
      </c>
      <c r="F908">
        <f>IF(ISBLANK('Q:\Abteilungsprojekte\Eng\EngData\PROJECT_Bioplastics\Renjie_Pan\05-Raw_Data\Lab_results\[LabSamples2025_Bioplastic_extra.xlsx]extra_Bioplastic'!F908)," ",'Q:\Abteilungsprojekte\Eng\EngData\PROJECT_Bioplastics\Renjie_Pan\05-Raw_Data\Lab_results\[LabSamples2025_Bioplastic_extra.xlsx]extra_Bioplastic'!F908)</f>
        <v/>
      </c>
      <c r="G908">
        <f>IF(ISBLANK('Q:\Abteilungsprojekte\Eng\EngData\PROJECT_Bioplastics\Renjie_Pan\05-Raw_Data\Lab_results\[LabSamples2025_Bioplastic_extra.xlsx]extra_Bioplastic'!G908)," ",'Q:\Abteilungsprojekte\Eng\EngData\PROJECT_Bioplastics\Renjie_Pan\05-Raw_Data\Lab_results\[LabSamples2025_Bioplastic_extra.xlsx]extra_Bioplastic'!G908)</f>
        <v/>
      </c>
      <c r="H908">
        <f>IF(ISBLANK('Q:\Abteilungsprojekte\Eng\EngData\PROJECT_Bioplastics\Renjie_Pan\05-Raw_Data\Lab_results\[LabSamples2025_Bioplastic_extra.xlsx]extra_Bioplastic'!H908)," ",'Q:\Abteilungsprojekte\Eng\EngData\PROJECT_Bioplastics\Renjie_Pan\05-Raw_Data\Lab_results\[LabSamples2025_Bioplastic_extra.xlsx]extra_Bioplastic'!H908)</f>
        <v/>
      </c>
    </row>
    <row r="909">
      <c r="A909">
        <f>IF(ISBLANK('Q:\Abteilungsprojekte\Eng\EngData\PROJECT_Bioplastics\Renjie_Pan\05-Raw_Data\Lab_results\[LabSamples2025_Bioplastic_extra.xlsx]extra_Bioplastic'!A909)," ",'Q:\Abteilungsprojekte\Eng\EngData\PROJECT_Bioplastics\Renjie_Pan\05-Raw_Data\Lab_results\[LabSamples2025_Bioplastic_extra.xlsx]extra_Bioplastic'!A909)</f>
        <v/>
      </c>
      <c r="B909">
        <f>IF(ISBLANK('Q:\Abteilungsprojekte\Eng\EngData\PROJECT_Bioplastics\Renjie_Pan\05-Raw_Data\Lab_results\[LabSamples2025_Bioplastic_extra.xlsx]extra_Bioplastic'!B909)," ",'Q:\Abteilungsprojekte\Eng\EngData\PROJECT_Bioplastics\Renjie_Pan\05-Raw_Data\Lab_results\[LabSamples2025_Bioplastic_extra.xlsx]extra_Bioplastic'!B909)</f>
        <v/>
      </c>
      <c r="C909">
        <f>IF(ISBLANK('Q:\Abteilungsprojekte\Eng\EngData\PROJECT_Bioplastics\Renjie_Pan\05-Raw_Data\Lab_results\[LabSamples2025_Bioplastic_extra.xlsx]extra_Bioplastic'!C909)," ",'Q:\Abteilungsprojekte\Eng\EngData\PROJECT_Bioplastics\Renjie_Pan\05-Raw_Data\Lab_results\[LabSamples2025_Bioplastic_extra.xlsx]extra_Bioplastic'!C909)</f>
        <v/>
      </c>
      <c r="D909">
        <f>IF(ISBLANK('Q:\Abteilungsprojekte\Eng\EngData\PROJECT_Bioplastics\Renjie_Pan\05-Raw_Data\Lab_results\[LabSamples2025_Bioplastic_extra.xlsx]extra_Bioplastic'!D909)," ",'Q:\Abteilungsprojekte\Eng\EngData\PROJECT_Bioplastics\Renjie_Pan\05-Raw_Data\Lab_results\[LabSamples2025_Bioplastic_extra.xlsx]extra_Bioplastic'!D909)</f>
        <v/>
      </c>
      <c r="E909">
        <f>IF(ISBLANK('Q:\Abteilungsprojekte\Eng\EngData\PROJECT_Bioplastics\Renjie_Pan\05-Raw_Data\Lab_results\[LabSamples2025_Bioplastic_extra.xlsx]extra_Bioplastic'!E909)," ",'Q:\Abteilungsprojekte\Eng\EngData\PROJECT_Bioplastics\Renjie_Pan\05-Raw_Data\Lab_results\[LabSamples2025_Bioplastic_extra.xlsx]extra_Bioplastic'!E909)</f>
        <v/>
      </c>
      <c r="F909">
        <f>IF(ISBLANK('Q:\Abteilungsprojekte\Eng\EngData\PROJECT_Bioplastics\Renjie_Pan\05-Raw_Data\Lab_results\[LabSamples2025_Bioplastic_extra.xlsx]extra_Bioplastic'!F909)," ",'Q:\Abteilungsprojekte\Eng\EngData\PROJECT_Bioplastics\Renjie_Pan\05-Raw_Data\Lab_results\[LabSamples2025_Bioplastic_extra.xlsx]extra_Bioplastic'!F909)</f>
        <v/>
      </c>
      <c r="G909">
        <f>IF(ISBLANK('Q:\Abteilungsprojekte\Eng\EngData\PROJECT_Bioplastics\Renjie_Pan\05-Raw_Data\Lab_results\[LabSamples2025_Bioplastic_extra.xlsx]extra_Bioplastic'!G909)," ",'Q:\Abteilungsprojekte\Eng\EngData\PROJECT_Bioplastics\Renjie_Pan\05-Raw_Data\Lab_results\[LabSamples2025_Bioplastic_extra.xlsx]extra_Bioplastic'!G909)</f>
        <v/>
      </c>
      <c r="H909">
        <f>IF(ISBLANK('Q:\Abteilungsprojekte\Eng\EngData\PROJECT_Bioplastics\Renjie_Pan\05-Raw_Data\Lab_results\[LabSamples2025_Bioplastic_extra.xlsx]extra_Bioplastic'!H909)," ",'Q:\Abteilungsprojekte\Eng\EngData\PROJECT_Bioplastics\Renjie_Pan\05-Raw_Data\Lab_results\[LabSamples2025_Bioplastic_extra.xlsx]extra_Bioplastic'!H909)</f>
        <v/>
      </c>
    </row>
    <row r="910">
      <c r="A910">
        <f>IF(ISBLANK('Q:\Abteilungsprojekte\Eng\EngData\PROJECT_Bioplastics\Renjie_Pan\05-Raw_Data\Lab_results\[LabSamples2025_Bioplastic_extra.xlsx]extra_Bioplastic'!A910)," ",'Q:\Abteilungsprojekte\Eng\EngData\PROJECT_Bioplastics\Renjie_Pan\05-Raw_Data\Lab_results\[LabSamples2025_Bioplastic_extra.xlsx]extra_Bioplastic'!A910)</f>
        <v/>
      </c>
      <c r="B910">
        <f>IF(ISBLANK('Q:\Abteilungsprojekte\Eng\EngData\PROJECT_Bioplastics\Renjie_Pan\05-Raw_Data\Lab_results\[LabSamples2025_Bioplastic_extra.xlsx]extra_Bioplastic'!B910)," ",'Q:\Abteilungsprojekte\Eng\EngData\PROJECT_Bioplastics\Renjie_Pan\05-Raw_Data\Lab_results\[LabSamples2025_Bioplastic_extra.xlsx]extra_Bioplastic'!B910)</f>
        <v/>
      </c>
      <c r="C910">
        <f>IF(ISBLANK('Q:\Abteilungsprojekte\Eng\EngData\PROJECT_Bioplastics\Renjie_Pan\05-Raw_Data\Lab_results\[LabSamples2025_Bioplastic_extra.xlsx]extra_Bioplastic'!C910)," ",'Q:\Abteilungsprojekte\Eng\EngData\PROJECT_Bioplastics\Renjie_Pan\05-Raw_Data\Lab_results\[LabSamples2025_Bioplastic_extra.xlsx]extra_Bioplastic'!C910)</f>
        <v/>
      </c>
      <c r="D910">
        <f>IF(ISBLANK('Q:\Abteilungsprojekte\Eng\EngData\PROJECT_Bioplastics\Renjie_Pan\05-Raw_Data\Lab_results\[LabSamples2025_Bioplastic_extra.xlsx]extra_Bioplastic'!D910)," ",'Q:\Abteilungsprojekte\Eng\EngData\PROJECT_Bioplastics\Renjie_Pan\05-Raw_Data\Lab_results\[LabSamples2025_Bioplastic_extra.xlsx]extra_Bioplastic'!D910)</f>
        <v/>
      </c>
      <c r="E910">
        <f>IF(ISBLANK('Q:\Abteilungsprojekte\Eng\EngData\PROJECT_Bioplastics\Renjie_Pan\05-Raw_Data\Lab_results\[LabSamples2025_Bioplastic_extra.xlsx]extra_Bioplastic'!E910)," ",'Q:\Abteilungsprojekte\Eng\EngData\PROJECT_Bioplastics\Renjie_Pan\05-Raw_Data\Lab_results\[LabSamples2025_Bioplastic_extra.xlsx]extra_Bioplastic'!E910)</f>
        <v/>
      </c>
      <c r="F910">
        <f>IF(ISBLANK('Q:\Abteilungsprojekte\Eng\EngData\PROJECT_Bioplastics\Renjie_Pan\05-Raw_Data\Lab_results\[LabSamples2025_Bioplastic_extra.xlsx]extra_Bioplastic'!F910)," ",'Q:\Abteilungsprojekte\Eng\EngData\PROJECT_Bioplastics\Renjie_Pan\05-Raw_Data\Lab_results\[LabSamples2025_Bioplastic_extra.xlsx]extra_Bioplastic'!F910)</f>
        <v/>
      </c>
      <c r="G910">
        <f>IF(ISBLANK('Q:\Abteilungsprojekte\Eng\EngData\PROJECT_Bioplastics\Renjie_Pan\05-Raw_Data\Lab_results\[LabSamples2025_Bioplastic_extra.xlsx]extra_Bioplastic'!G910)," ",'Q:\Abteilungsprojekte\Eng\EngData\PROJECT_Bioplastics\Renjie_Pan\05-Raw_Data\Lab_results\[LabSamples2025_Bioplastic_extra.xlsx]extra_Bioplastic'!G910)</f>
        <v/>
      </c>
      <c r="H910">
        <f>IF(ISBLANK('Q:\Abteilungsprojekte\Eng\EngData\PROJECT_Bioplastics\Renjie_Pan\05-Raw_Data\Lab_results\[LabSamples2025_Bioplastic_extra.xlsx]extra_Bioplastic'!H910)," ",'Q:\Abteilungsprojekte\Eng\EngData\PROJECT_Bioplastics\Renjie_Pan\05-Raw_Data\Lab_results\[LabSamples2025_Bioplastic_extra.xlsx]extra_Bioplastic'!H910)</f>
        <v/>
      </c>
    </row>
    <row r="911">
      <c r="A911">
        <f>IF(ISBLANK('Q:\Abteilungsprojekte\Eng\EngData\PROJECT_Bioplastics\Renjie_Pan\05-Raw_Data\Lab_results\[LabSamples2025_Bioplastic_extra.xlsx]extra_Bioplastic'!A911)," ",'Q:\Abteilungsprojekte\Eng\EngData\PROJECT_Bioplastics\Renjie_Pan\05-Raw_Data\Lab_results\[LabSamples2025_Bioplastic_extra.xlsx]extra_Bioplastic'!A911)</f>
        <v/>
      </c>
      <c r="B911">
        <f>IF(ISBLANK('Q:\Abteilungsprojekte\Eng\EngData\PROJECT_Bioplastics\Renjie_Pan\05-Raw_Data\Lab_results\[LabSamples2025_Bioplastic_extra.xlsx]extra_Bioplastic'!B911)," ",'Q:\Abteilungsprojekte\Eng\EngData\PROJECT_Bioplastics\Renjie_Pan\05-Raw_Data\Lab_results\[LabSamples2025_Bioplastic_extra.xlsx]extra_Bioplastic'!B911)</f>
        <v/>
      </c>
      <c r="C911">
        <f>IF(ISBLANK('Q:\Abteilungsprojekte\Eng\EngData\PROJECT_Bioplastics\Renjie_Pan\05-Raw_Data\Lab_results\[LabSamples2025_Bioplastic_extra.xlsx]extra_Bioplastic'!C911)," ",'Q:\Abteilungsprojekte\Eng\EngData\PROJECT_Bioplastics\Renjie_Pan\05-Raw_Data\Lab_results\[LabSamples2025_Bioplastic_extra.xlsx]extra_Bioplastic'!C911)</f>
        <v/>
      </c>
      <c r="D911">
        <f>IF(ISBLANK('Q:\Abteilungsprojekte\Eng\EngData\PROJECT_Bioplastics\Renjie_Pan\05-Raw_Data\Lab_results\[LabSamples2025_Bioplastic_extra.xlsx]extra_Bioplastic'!D911)," ",'Q:\Abteilungsprojekte\Eng\EngData\PROJECT_Bioplastics\Renjie_Pan\05-Raw_Data\Lab_results\[LabSamples2025_Bioplastic_extra.xlsx]extra_Bioplastic'!D911)</f>
        <v/>
      </c>
      <c r="E911">
        <f>IF(ISBLANK('Q:\Abteilungsprojekte\Eng\EngData\PROJECT_Bioplastics\Renjie_Pan\05-Raw_Data\Lab_results\[LabSamples2025_Bioplastic_extra.xlsx]extra_Bioplastic'!E911)," ",'Q:\Abteilungsprojekte\Eng\EngData\PROJECT_Bioplastics\Renjie_Pan\05-Raw_Data\Lab_results\[LabSamples2025_Bioplastic_extra.xlsx]extra_Bioplastic'!E911)</f>
        <v/>
      </c>
      <c r="F911">
        <f>IF(ISBLANK('Q:\Abteilungsprojekte\Eng\EngData\PROJECT_Bioplastics\Renjie_Pan\05-Raw_Data\Lab_results\[LabSamples2025_Bioplastic_extra.xlsx]extra_Bioplastic'!F911)," ",'Q:\Abteilungsprojekte\Eng\EngData\PROJECT_Bioplastics\Renjie_Pan\05-Raw_Data\Lab_results\[LabSamples2025_Bioplastic_extra.xlsx]extra_Bioplastic'!F911)</f>
        <v/>
      </c>
      <c r="G911">
        <f>IF(ISBLANK('Q:\Abteilungsprojekte\Eng\EngData\PROJECT_Bioplastics\Renjie_Pan\05-Raw_Data\Lab_results\[LabSamples2025_Bioplastic_extra.xlsx]extra_Bioplastic'!G911)," ",'Q:\Abteilungsprojekte\Eng\EngData\PROJECT_Bioplastics\Renjie_Pan\05-Raw_Data\Lab_results\[LabSamples2025_Bioplastic_extra.xlsx]extra_Bioplastic'!G911)</f>
        <v/>
      </c>
      <c r="H911">
        <f>IF(ISBLANK('Q:\Abteilungsprojekte\Eng\EngData\PROJECT_Bioplastics\Renjie_Pan\05-Raw_Data\Lab_results\[LabSamples2025_Bioplastic_extra.xlsx]extra_Bioplastic'!H911)," ",'Q:\Abteilungsprojekte\Eng\EngData\PROJECT_Bioplastics\Renjie_Pan\05-Raw_Data\Lab_results\[LabSamples2025_Bioplastic_extra.xlsx]extra_Bioplastic'!H911)</f>
        <v/>
      </c>
    </row>
    <row r="912">
      <c r="A912">
        <f>IF(ISBLANK('Q:\Abteilungsprojekte\Eng\EngData\PROJECT_Bioplastics\Renjie_Pan\05-Raw_Data\Lab_results\[LabSamples2025_Bioplastic_extra.xlsx]extra_Bioplastic'!A912)," ",'Q:\Abteilungsprojekte\Eng\EngData\PROJECT_Bioplastics\Renjie_Pan\05-Raw_Data\Lab_results\[LabSamples2025_Bioplastic_extra.xlsx]extra_Bioplastic'!A912)</f>
        <v/>
      </c>
      <c r="B912">
        <f>IF(ISBLANK('Q:\Abteilungsprojekte\Eng\EngData\PROJECT_Bioplastics\Renjie_Pan\05-Raw_Data\Lab_results\[LabSamples2025_Bioplastic_extra.xlsx]extra_Bioplastic'!B912)," ",'Q:\Abteilungsprojekte\Eng\EngData\PROJECT_Bioplastics\Renjie_Pan\05-Raw_Data\Lab_results\[LabSamples2025_Bioplastic_extra.xlsx]extra_Bioplastic'!B912)</f>
        <v/>
      </c>
      <c r="C912">
        <f>IF(ISBLANK('Q:\Abteilungsprojekte\Eng\EngData\PROJECT_Bioplastics\Renjie_Pan\05-Raw_Data\Lab_results\[LabSamples2025_Bioplastic_extra.xlsx]extra_Bioplastic'!C912)," ",'Q:\Abteilungsprojekte\Eng\EngData\PROJECT_Bioplastics\Renjie_Pan\05-Raw_Data\Lab_results\[LabSamples2025_Bioplastic_extra.xlsx]extra_Bioplastic'!C912)</f>
        <v/>
      </c>
      <c r="D912">
        <f>IF(ISBLANK('Q:\Abteilungsprojekte\Eng\EngData\PROJECT_Bioplastics\Renjie_Pan\05-Raw_Data\Lab_results\[LabSamples2025_Bioplastic_extra.xlsx]extra_Bioplastic'!D912)," ",'Q:\Abteilungsprojekte\Eng\EngData\PROJECT_Bioplastics\Renjie_Pan\05-Raw_Data\Lab_results\[LabSamples2025_Bioplastic_extra.xlsx]extra_Bioplastic'!D912)</f>
        <v/>
      </c>
      <c r="E912">
        <f>IF(ISBLANK('Q:\Abteilungsprojekte\Eng\EngData\PROJECT_Bioplastics\Renjie_Pan\05-Raw_Data\Lab_results\[LabSamples2025_Bioplastic_extra.xlsx]extra_Bioplastic'!E912)," ",'Q:\Abteilungsprojekte\Eng\EngData\PROJECT_Bioplastics\Renjie_Pan\05-Raw_Data\Lab_results\[LabSamples2025_Bioplastic_extra.xlsx]extra_Bioplastic'!E912)</f>
        <v/>
      </c>
      <c r="F912">
        <f>IF(ISBLANK('Q:\Abteilungsprojekte\Eng\EngData\PROJECT_Bioplastics\Renjie_Pan\05-Raw_Data\Lab_results\[LabSamples2025_Bioplastic_extra.xlsx]extra_Bioplastic'!F912)," ",'Q:\Abteilungsprojekte\Eng\EngData\PROJECT_Bioplastics\Renjie_Pan\05-Raw_Data\Lab_results\[LabSamples2025_Bioplastic_extra.xlsx]extra_Bioplastic'!F912)</f>
        <v/>
      </c>
      <c r="G912">
        <f>IF(ISBLANK('Q:\Abteilungsprojekte\Eng\EngData\PROJECT_Bioplastics\Renjie_Pan\05-Raw_Data\Lab_results\[LabSamples2025_Bioplastic_extra.xlsx]extra_Bioplastic'!G912)," ",'Q:\Abteilungsprojekte\Eng\EngData\PROJECT_Bioplastics\Renjie_Pan\05-Raw_Data\Lab_results\[LabSamples2025_Bioplastic_extra.xlsx]extra_Bioplastic'!G912)</f>
        <v/>
      </c>
      <c r="H912">
        <f>IF(ISBLANK('Q:\Abteilungsprojekte\Eng\EngData\PROJECT_Bioplastics\Renjie_Pan\05-Raw_Data\Lab_results\[LabSamples2025_Bioplastic_extra.xlsx]extra_Bioplastic'!H912)," ",'Q:\Abteilungsprojekte\Eng\EngData\PROJECT_Bioplastics\Renjie_Pan\05-Raw_Data\Lab_results\[LabSamples2025_Bioplastic_extra.xlsx]extra_Bioplastic'!H912)</f>
        <v/>
      </c>
    </row>
    <row r="913">
      <c r="A913">
        <f>IF(ISBLANK('Q:\Abteilungsprojekte\Eng\EngData\PROJECT_Bioplastics\Renjie_Pan\05-Raw_Data\Lab_results\[LabSamples2025_Bioplastic_extra.xlsx]extra_Bioplastic'!A913)," ",'Q:\Abteilungsprojekte\Eng\EngData\PROJECT_Bioplastics\Renjie_Pan\05-Raw_Data\Lab_results\[LabSamples2025_Bioplastic_extra.xlsx]extra_Bioplastic'!A913)</f>
        <v/>
      </c>
      <c r="B913">
        <f>IF(ISBLANK('Q:\Abteilungsprojekte\Eng\EngData\PROJECT_Bioplastics\Renjie_Pan\05-Raw_Data\Lab_results\[LabSamples2025_Bioplastic_extra.xlsx]extra_Bioplastic'!B913)," ",'Q:\Abteilungsprojekte\Eng\EngData\PROJECT_Bioplastics\Renjie_Pan\05-Raw_Data\Lab_results\[LabSamples2025_Bioplastic_extra.xlsx]extra_Bioplastic'!B913)</f>
        <v/>
      </c>
      <c r="C913">
        <f>IF(ISBLANK('Q:\Abteilungsprojekte\Eng\EngData\PROJECT_Bioplastics\Renjie_Pan\05-Raw_Data\Lab_results\[LabSamples2025_Bioplastic_extra.xlsx]extra_Bioplastic'!C913)," ",'Q:\Abteilungsprojekte\Eng\EngData\PROJECT_Bioplastics\Renjie_Pan\05-Raw_Data\Lab_results\[LabSamples2025_Bioplastic_extra.xlsx]extra_Bioplastic'!C913)</f>
        <v/>
      </c>
      <c r="D913">
        <f>IF(ISBLANK('Q:\Abteilungsprojekte\Eng\EngData\PROJECT_Bioplastics\Renjie_Pan\05-Raw_Data\Lab_results\[LabSamples2025_Bioplastic_extra.xlsx]extra_Bioplastic'!D913)," ",'Q:\Abteilungsprojekte\Eng\EngData\PROJECT_Bioplastics\Renjie_Pan\05-Raw_Data\Lab_results\[LabSamples2025_Bioplastic_extra.xlsx]extra_Bioplastic'!D913)</f>
        <v/>
      </c>
      <c r="E913">
        <f>IF(ISBLANK('Q:\Abteilungsprojekte\Eng\EngData\PROJECT_Bioplastics\Renjie_Pan\05-Raw_Data\Lab_results\[LabSamples2025_Bioplastic_extra.xlsx]extra_Bioplastic'!E913)," ",'Q:\Abteilungsprojekte\Eng\EngData\PROJECT_Bioplastics\Renjie_Pan\05-Raw_Data\Lab_results\[LabSamples2025_Bioplastic_extra.xlsx]extra_Bioplastic'!E913)</f>
        <v/>
      </c>
      <c r="F913">
        <f>IF(ISBLANK('Q:\Abteilungsprojekte\Eng\EngData\PROJECT_Bioplastics\Renjie_Pan\05-Raw_Data\Lab_results\[LabSamples2025_Bioplastic_extra.xlsx]extra_Bioplastic'!F913)," ",'Q:\Abteilungsprojekte\Eng\EngData\PROJECT_Bioplastics\Renjie_Pan\05-Raw_Data\Lab_results\[LabSamples2025_Bioplastic_extra.xlsx]extra_Bioplastic'!F913)</f>
        <v/>
      </c>
      <c r="G913">
        <f>IF(ISBLANK('Q:\Abteilungsprojekte\Eng\EngData\PROJECT_Bioplastics\Renjie_Pan\05-Raw_Data\Lab_results\[LabSamples2025_Bioplastic_extra.xlsx]extra_Bioplastic'!G913)," ",'Q:\Abteilungsprojekte\Eng\EngData\PROJECT_Bioplastics\Renjie_Pan\05-Raw_Data\Lab_results\[LabSamples2025_Bioplastic_extra.xlsx]extra_Bioplastic'!G913)</f>
        <v/>
      </c>
      <c r="H913">
        <f>IF(ISBLANK('Q:\Abteilungsprojekte\Eng\EngData\PROJECT_Bioplastics\Renjie_Pan\05-Raw_Data\Lab_results\[LabSamples2025_Bioplastic_extra.xlsx]extra_Bioplastic'!H913)," ",'Q:\Abteilungsprojekte\Eng\EngData\PROJECT_Bioplastics\Renjie_Pan\05-Raw_Data\Lab_results\[LabSamples2025_Bioplastic_extra.xlsx]extra_Bioplastic'!H913)</f>
        <v/>
      </c>
    </row>
    <row r="914">
      <c r="A914">
        <f>IF(ISBLANK('Q:\Abteilungsprojekte\Eng\EngData\PROJECT_Bioplastics\Renjie_Pan\05-Raw_Data\Lab_results\[LabSamples2025_Bioplastic_extra.xlsx]extra_Bioplastic'!A914)," ",'Q:\Abteilungsprojekte\Eng\EngData\PROJECT_Bioplastics\Renjie_Pan\05-Raw_Data\Lab_results\[LabSamples2025_Bioplastic_extra.xlsx]extra_Bioplastic'!A914)</f>
        <v/>
      </c>
      <c r="B914">
        <f>IF(ISBLANK('Q:\Abteilungsprojekte\Eng\EngData\PROJECT_Bioplastics\Renjie_Pan\05-Raw_Data\Lab_results\[LabSamples2025_Bioplastic_extra.xlsx]extra_Bioplastic'!B914)," ",'Q:\Abteilungsprojekte\Eng\EngData\PROJECT_Bioplastics\Renjie_Pan\05-Raw_Data\Lab_results\[LabSamples2025_Bioplastic_extra.xlsx]extra_Bioplastic'!B914)</f>
        <v/>
      </c>
      <c r="C914">
        <f>IF(ISBLANK('Q:\Abteilungsprojekte\Eng\EngData\PROJECT_Bioplastics\Renjie_Pan\05-Raw_Data\Lab_results\[LabSamples2025_Bioplastic_extra.xlsx]extra_Bioplastic'!C914)," ",'Q:\Abteilungsprojekte\Eng\EngData\PROJECT_Bioplastics\Renjie_Pan\05-Raw_Data\Lab_results\[LabSamples2025_Bioplastic_extra.xlsx]extra_Bioplastic'!C914)</f>
        <v/>
      </c>
      <c r="D914">
        <f>IF(ISBLANK('Q:\Abteilungsprojekte\Eng\EngData\PROJECT_Bioplastics\Renjie_Pan\05-Raw_Data\Lab_results\[LabSamples2025_Bioplastic_extra.xlsx]extra_Bioplastic'!D914)," ",'Q:\Abteilungsprojekte\Eng\EngData\PROJECT_Bioplastics\Renjie_Pan\05-Raw_Data\Lab_results\[LabSamples2025_Bioplastic_extra.xlsx]extra_Bioplastic'!D914)</f>
        <v/>
      </c>
      <c r="E914">
        <f>IF(ISBLANK('Q:\Abteilungsprojekte\Eng\EngData\PROJECT_Bioplastics\Renjie_Pan\05-Raw_Data\Lab_results\[LabSamples2025_Bioplastic_extra.xlsx]extra_Bioplastic'!E914)," ",'Q:\Abteilungsprojekte\Eng\EngData\PROJECT_Bioplastics\Renjie_Pan\05-Raw_Data\Lab_results\[LabSamples2025_Bioplastic_extra.xlsx]extra_Bioplastic'!E914)</f>
        <v/>
      </c>
      <c r="F914">
        <f>IF(ISBLANK('Q:\Abteilungsprojekte\Eng\EngData\PROJECT_Bioplastics\Renjie_Pan\05-Raw_Data\Lab_results\[LabSamples2025_Bioplastic_extra.xlsx]extra_Bioplastic'!F914)," ",'Q:\Abteilungsprojekte\Eng\EngData\PROJECT_Bioplastics\Renjie_Pan\05-Raw_Data\Lab_results\[LabSamples2025_Bioplastic_extra.xlsx]extra_Bioplastic'!F914)</f>
        <v/>
      </c>
      <c r="G914">
        <f>IF(ISBLANK('Q:\Abteilungsprojekte\Eng\EngData\PROJECT_Bioplastics\Renjie_Pan\05-Raw_Data\Lab_results\[LabSamples2025_Bioplastic_extra.xlsx]extra_Bioplastic'!G914)," ",'Q:\Abteilungsprojekte\Eng\EngData\PROJECT_Bioplastics\Renjie_Pan\05-Raw_Data\Lab_results\[LabSamples2025_Bioplastic_extra.xlsx]extra_Bioplastic'!G914)</f>
        <v/>
      </c>
      <c r="H914">
        <f>IF(ISBLANK('Q:\Abteilungsprojekte\Eng\EngData\PROJECT_Bioplastics\Renjie_Pan\05-Raw_Data\Lab_results\[LabSamples2025_Bioplastic_extra.xlsx]extra_Bioplastic'!H914)," ",'Q:\Abteilungsprojekte\Eng\EngData\PROJECT_Bioplastics\Renjie_Pan\05-Raw_Data\Lab_results\[LabSamples2025_Bioplastic_extra.xlsx]extra_Bioplastic'!H914)</f>
        <v/>
      </c>
    </row>
    <row r="915">
      <c r="A915">
        <f>IF(ISBLANK('Q:\Abteilungsprojekte\Eng\EngData\PROJECT_Bioplastics\Renjie_Pan\05-Raw_Data\Lab_results\[LabSamples2025_Bioplastic_extra.xlsx]extra_Bioplastic'!A915)," ",'Q:\Abteilungsprojekte\Eng\EngData\PROJECT_Bioplastics\Renjie_Pan\05-Raw_Data\Lab_results\[LabSamples2025_Bioplastic_extra.xlsx]extra_Bioplastic'!A915)</f>
        <v/>
      </c>
      <c r="B915">
        <f>IF(ISBLANK('Q:\Abteilungsprojekte\Eng\EngData\PROJECT_Bioplastics\Renjie_Pan\05-Raw_Data\Lab_results\[LabSamples2025_Bioplastic_extra.xlsx]extra_Bioplastic'!B915)," ",'Q:\Abteilungsprojekte\Eng\EngData\PROJECT_Bioplastics\Renjie_Pan\05-Raw_Data\Lab_results\[LabSamples2025_Bioplastic_extra.xlsx]extra_Bioplastic'!B915)</f>
        <v/>
      </c>
      <c r="C915">
        <f>IF(ISBLANK('Q:\Abteilungsprojekte\Eng\EngData\PROJECT_Bioplastics\Renjie_Pan\05-Raw_Data\Lab_results\[LabSamples2025_Bioplastic_extra.xlsx]extra_Bioplastic'!C915)," ",'Q:\Abteilungsprojekte\Eng\EngData\PROJECT_Bioplastics\Renjie_Pan\05-Raw_Data\Lab_results\[LabSamples2025_Bioplastic_extra.xlsx]extra_Bioplastic'!C915)</f>
        <v/>
      </c>
      <c r="D915">
        <f>IF(ISBLANK('Q:\Abteilungsprojekte\Eng\EngData\PROJECT_Bioplastics\Renjie_Pan\05-Raw_Data\Lab_results\[LabSamples2025_Bioplastic_extra.xlsx]extra_Bioplastic'!D915)," ",'Q:\Abteilungsprojekte\Eng\EngData\PROJECT_Bioplastics\Renjie_Pan\05-Raw_Data\Lab_results\[LabSamples2025_Bioplastic_extra.xlsx]extra_Bioplastic'!D915)</f>
        <v/>
      </c>
      <c r="E915">
        <f>IF(ISBLANK('Q:\Abteilungsprojekte\Eng\EngData\PROJECT_Bioplastics\Renjie_Pan\05-Raw_Data\Lab_results\[LabSamples2025_Bioplastic_extra.xlsx]extra_Bioplastic'!E915)," ",'Q:\Abteilungsprojekte\Eng\EngData\PROJECT_Bioplastics\Renjie_Pan\05-Raw_Data\Lab_results\[LabSamples2025_Bioplastic_extra.xlsx]extra_Bioplastic'!E915)</f>
        <v/>
      </c>
      <c r="F915">
        <f>IF(ISBLANK('Q:\Abteilungsprojekte\Eng\EngData\PROJECT_Bioplastics\Renjie_Pan\05-Raw_Data\Lab_results\[LabSamples2025_Bioplastic_extra.xlsx]extra_Bioplastic'!F915)," ",'Q:\Abteilungsprojekte\Eng\EngData\PROJECT_Bioplastics\Renjie_Pan\05-Raw_Data\Lab_results\[LabSamples2025_Bioplastic_extra.xlsx]extra_Bioplastic'!F915)</f>
        <v/>
      </c>
      <c r="G915">
        <f>IF(ISBLANK('Q:\Abteilungsprojekte\Eng\EngData\PROJECT_Bioplastics\Renjie_Pan\05-Raw_Data\Lab_results\[LabSamples2025_Bioplastic_extra.xlsx]extra_Bioplastic'!G915)," ",'Q:\Abteilungsprojekte\Eng\EngData\PROJECT_Bioplastics\Renjie_Pan\05-Raw_Data\Lab_results\[LabSamples2025_Bioplastic_extra.xlsx]extra_Bioplastic'!G915)</f>
        <v/>
      </c>
      <c r="H915">
        <f>IF(ISBLANK('Q:\Abteilungsprojekte\Eng\EngData\PROJECT_Bioplastics\Renjie_Pan\05-Raw_Data\Lab_results\[LabSamples2025_Bioplastic_extra.xlsx]extra_Bioplastic'!H915)," ",'Q:\Abteilungsprojekte\Eng\EngData\PROJECT_Bioplastics\Renjie_Pan\05-Raw_Data\Lab_results\[LabSamples2025_Bioplastic_extra.xlsx]extra_Bioplastic'!H915)</f>
        <v/>
      </c>
    </row>
    <row r="916">
      <c r="A916">
        <f>IF(ISBLANK('Q:\Abteilungsprojekte\Eng\EngData\PROJECT_Bioplastics\Renjie_Pan\05-Raw_Data\Lab_results\[LabSamples2025_Bioplastic_extra.xlsx]extra_Bioplastic'!A916)," ",'Q:\Abteilungsprojekte\Eng\EngData\PROJECT_Bioplastics\Renjie_Pan\05-Raw_Data\Lab_results\[LabSamples2025_Bioplastic_extra.xlsx]extra_Bioplastic'!A916)</f>
        <v/>
      </c>
      <c r="B916">
        <f>IF(ISBLANK('Q:\Abteilungsprojekte\Eng\EngData\PROJECT_Bioplastics\Renjie_Pan\05-Raw_Data\Lab_results\[LabSamples2025_Bioplastic_extra.xlsx]extra_Bioplastic'!B916)," ",'Q:\Abteilungsprojekte\Eng\EngData\PROJECT_Bioplastics\Renjie_Pan\05-Raw_Data\Lab_results\[LabSamples2025_Bioplastic_extra.xlsx]extra_Bioplastic'!B916)</f>
        <v/>
      </c>
      <c r="C916">
        <f>IF(ISBLANK('Q:\Abteilungsprojekte\Eng\EngData\PROJECT_Bioplastics\Renjie_Pan\05-Raw_Data\Lab_results\[LabSamples2025_Bioplastic_extra.xlsx]extra_Bioplastic'!C916)," ",'Q:\Abteilungsprojekte\Eng\EngData\PROJECT_Bioplastics\Renjie_Pan\05-Raw_Data\Lab_results\[LabSamples2025_Bioplastic_extra.xlsx]extra_Bioplastic'!C916)</f>
        <v/>
      </c>
      <c r="D916">
        <f>IF(ISBLANK('Q:\Abteilungsprojekte\Eng\EngData\PROJECT_Bioplastics\Renjie_Pan\05-Raw_Data\Lab_results\[LabSamples2025_Bioplastic_extra.xlsx]extra_Bioplastic'!D916)," ",'Q:\Abteilungsprojekte\Eng\EngData\PROJECT_Bioplastics\Renjie_Pan\05-Raw_Data\Lab_results\[LabSamples2025_Bioplastic_extra.xlsx]extra_Bioplastic'!D916)</f>
        <v/>
      </c>
      <c r="E916">
        <f>IF(ISBLANK('Q:\Abteilungsprojekte\Eng\EngData\PROJECT_Bioplastics\Renjie_Pan\05-Raw_Data\Lab_results\[LabSamples2025_Bioplastic_extra.xlsx]extra_Bioplastic'!E916)," ",'Q:\Abteilungsprojekte\Eng\EngData\PROJECT_Bioplastics\Renjie_Pan\05-Raw_Data\Lab_results\[LabSamples2025_Bioplastic_extra.xlsx]extra_Bioplastic'!E916)</f>
        <v/>
      </c>
      <c r="F916">
        <f>IF(ISBLANK('Q:\Abteilungsprojekte\Eng\EngData\PROJECT_Bioplastics\Renjie_Pan\05-Raw_Data\Lab_results\[LabSamples2025_Bioplastic_extra.xlsx]extra_Bioplastic'!F916)," ",'Q:\Abteilungsprojekte\Eng\EngData\PROJECT_Bioplastics\Renjie_Pan\05-Raw_Data\Lab_results\[LabSamples2025_Bioplastic_extra.xlsx]extra_Bioplastic'!F916)</f>
        <v/>
      </c>
      <c r="G916">
        <f>IF(ISBLANK('Q:\Abteilungsprojekte\Eng\EngData\PROJECT_Bioplastics\Renjie_Pan\05-Raw_Data\Lab_results\[LabSamples2025_Bioplastic_extra.xlsx]extra_Bioplastic'!G916)," ",'Q:\Abteilungsprojekte\Eng\EngData\PROJECT_Bioplastics\Renjie_Pan\05-Raw_Data\Lab_results\[LabSamples2025_Bioplastic_extra.xlsx]extra_Bioplastic'!G916)</f>
        <v/>
      </c>
      <c r="H916">
        <f>IF(ISBLANK('Q:\Abteilungsprojekte\Eng\EngData\PROJECT_Bioplastics\Renjie_Pan\05-Raw_Data\Lab_results\[LabSamples2025_Bioplastic_extra.xlsx]extra_Bioplastic'!H916)," ",'Q:\Abteilungsprojekte\Eng\EngData\PROJECT_Bioplastics\Renjie_Pan\05-Raw_Data\Lab_results\[LabSamples2025_Bioplastic_extra.xlsx]extra_Bioplastic'!H916)</f>
        <v/>
      </c>
    </row>
    <row r="917">
      <c r="A917">
        <f>IF(ISBLANK('Q:\Abteilungsprojekte\Eng\EngData\PROJECT_Bioplastics\Renjie_Pan\05-Raw_Data\Lab_results\[LabSamples2025_Bioplastic_extra.xlsx]extra_Bioplastic'!A917)," ",'Q:\Abteilungsprojekte\Eng\EngData\PROJECT_Bioplastics\Renjie_Pan\05-Raw_Data\Lab_results\[LabSamples2025_Bioplastic_extra.xlsx]extra_Bioplastic'!A917)</f>
        <v/>
      </c>
      <c r="B917">
        <f>IF(ISBLANK('Q:\Abteilungsprojekte\Eng\EngData\PROJECT_Bioplastics\Renjie_Pan\05-Raw_Data\Lab_results\[LabSamples2025_Bioplastic_extra.xlsx]extra_Bioplastic'!B917)," ",'Q:\Abteilungsprojekte\Eng\EngData\PROJECT_Bioplastics\Renjie_Pan\05-Raw_Data\Lab_results\[LabSamples2025_Bioplastic_extra.xlsx]extra_Bioplastic'!B917)</f>
        <v/>
      </c>
      <c r="C917">
        <f>IF(ISBLANK('Q:\Abteilungsprojekte\Eng\EngData\PROJECT_Bioplastics\Renjie_Pan\05-Raw_Data\Lab_results\[LabSamples2025_Bioplastic_extra.xlsx]extra_Bioplastic'!C917)," ",'Q:\Abteilungsprojekte\Eng\EngData\PROJECT_Bioplastics\Renjie_Pan\05-Raw_Data\Lab_results\[LabSamples2025_Bioplastic_extra.xlsx]extra_Bioplastic'!C917)</f>
        <v/>
      </c>
      <c r="D917">
        <f>IF(ISBLANK('Q:\Abteilungsprojekte\Eng\EngData\PROJECT_Bioplastics\Renjie_Pan\05-Raw_Data\Lab_results\[LabSamples2025_Bioplastic_extra.xlsx]extra_Bioplastic'!D917)," ",'Q:\Abteilungsprojekte\Eng\EngData\PROJECT_Bioplastics\Renjie_Pan\05-Raw_Data\Lab_results\[LabSamples2025_Bioplastic_extra.xlsx]extra_Bioplastic'!D917)</f>
        <v/>
      </c>
      <c r="E917">
        <f>IF(ISBLANK('Q:\Abteilungsprojekte\Eng\EngData\PROJECT_Bioplastics\Renjie_Pan\05-Raw_Data\Lab_results\[LabSamples2025_Bioplastic_extra.xlsx]extra_Bioplastic'!E917)," ",'Q:\Abteilungsprojekte\Eng\EngData\PROJECT_Bioplastics\Renjie_Pan\05-Raw_Data\Lab_results\[LabSamples2025_Bioplastic_extra.xlsx]extra_Bioplastic'!E917)</f>
        <v/>
      </c>
      <c r="F917">
        <f>IF(ISBLANK('Q:\Abteilungsprojekte\Eng\EngData\PROJECT_Bioplastics\Renjie_Pan\05-Raw_Data\Lab_results\[LabSamples2025_Bioplastic_extra.xlsx]extra_Bioplastic'!F917)," ",'Q:\Abteilungsprojekte\Eng\EngData\PROJECT_Bioplastics\Renjie_Pan\05-Raw_Data\Lab_results\[LabSamples2025_Bioplastic_extra.xlsx]extra_Bioplastic'!F917)</f>
        <v/>
      </c>
      <c r="G917">
        <f>IF(ISBLANK('Q:\Abteilungsprojekte\Eng\EngData\PROJECT_Bioplastics\Renjie_Pan\05-Raw_Data\Lab_results\[LabSamples2025_Bioplastic_extra.xlsx]extra_Bioplastic'!G917)," ",'Q:\Abteilungsprojekte\Eng\EngData\PROJECT_Bioplastics\Renjie_Pan\05-Raw_Data\Lab_results\[LabSamples2025_Bioplastic_extra.xlsx]extra_Bioplastic'!G917)</f>
        <v/>
      </c>
      <c r="H917">
        <f>IF(ISBLANK('Q:\Abteilungsprojekte\Eng\EngData\PROJECT_Bioplastics\Renjie_Pan\05-Raw_Data\Lab_results\[LabSamples2025_Bioplastic_extra.xlsx]extra_Bioplastic'!H917)," ",'Q:\Abteilungsprojekte\Eng\EngData\PROJECT_Bioplastics\Renjie_Pan\05-Raw_Data\Lab_results\[LabSamples2025_Bioplastic_extra.xlsx]extra_Bioplastic'!H917)</f>
        <v/>
      </c>
    </row>
    <row r="918">
      <c r="A918">
        <f>IF(ISBLANK('Q:\Abteilungsprojekte\Eng\EngData\PROJECT_Bioplastics\Renjie_Pan\05-Raw_Data\Lab_results\[LabSamples2025_Bioplastic_extra.xlsx]extra_Bioplastic'!A918)," ",'Q:\Abteilungsprojekte\Eng\EngData\PROJECT_Bioplastics\Renjie_Pan\05-Raw_Data\Lab_results\[LabSamples2025_Bioplastic_extra.xlsx]extra_Bioplastic'!A918)</f>
        <v/>
      </c>
      <c r="B918">
        <f>IF(ISBLANK('Q:\Abteilungsprojekte\Eng\EngData\PROJECT_Bioplastics\Renjie_Pan\05-Raw_Data\Lab_results\[LabSamples2025_Bioplastic_extra.xlsx]extra_Bioplastic'!B918)," ",'Q:\Abteilungsprojekte\Eng\EngData\PROJECT_Bioplastics\Renjie_Pan\05-Raw_Data\Lab_results\[LabSamples2025_Bioplastic_extra.xlsx]extra_Bioplastic'!B918)</f>
        <v/>
      </c>
      <c r="C918">
        <f>IF(ISBLANK('Q:\Abteilungsprojekte\Eng\EngData\PROJECT_Bioplastics\Renjie_Pan\05-Raw_Data\Lab_results\[LabSamples2025_Bioplastic_extra.xlsx]extra_Bioplastic'!C918)," ",'Q:\Abteilungsprojekte\Eng\EngData\PROJECT_Bioplastics\Renjie_Pan\05-Raw_Data\Lab_results\[LabSamples2025_Bioplastic_extra.xlsx]extra_Bioplastic'!C918)</f>
        <v/>
      </c>
      <c r="D918">
        <f>IF(ISBLANK('Q:\Abteilungsprojekte\Eng\EngData\PROJECT_Bioplastics\Renjie_Pan\05-Raw_Data\Lab_results\[LabSamples2025_Bioplastic_extra.xlsx]extra_Bioplastic'!D918)," ",'Q:\Abteilungsprojekte\Eng\EngData\PROJECT_Bioplastics\Renjie_Pan\05-Raw_Data\Lab_results\[LabSamples2025_Bioplastic_extra.xlsx]extra_Bioplastic'!D918)</f>
        <v/>
      </c>
      <c r="E918">
        <f>IF(ISBLANK('Q:\Abteilungsprojekte\Eng\EngData\PROJECT_Bioplastics\Renjie_Pan\05-Raw_Data\Lab_results\[LabSamples2025_Bioplastic_extra.xlsx]extra_Bioplastic'!E918)," ",'Q:\Abteilungsprojekte\Eng\EngData\PROJECT_Bioplastics\Renjie_Pan\05-Raw_Data\Lab_results\[LabSamples2025_Bioplastic_extra.xlsx]extra_Bioplastic'!E918)</f>
        <v/>
      </c>
      <c r="F918">
        <f>IF(ISBLANK('Q:\Abteilungsprojekte\Eng\EngData\PROJECT_Bioplastics\Renjie_Pan\05-Raw_Data\Lab_results\[LabSamples2025_Bioplastic_extra.xlsx]extra_Bioplastic'!F918)," ",'Q:\Abteilungsprojekte\Eng\EngData\PROJECT_Bioplastics\Renjie_Pan\05-Raw_Data\Lab_results\[LabSamples2025_Bioplastic_extra.xlsx]extra_Bioplastic'!F918)</f>
        <v/>
      </c>
      <c r="G918">
        <f>IF(ISBLANK('Q:\Abteilungsprojekte\Eng\EngData\PROJECT_Bioplastics\Renjie_Pan\05-Raw_Data\Lab_results\[LabSamples2025_Bioplastic_extra.xlsx]extra_Bioplastic'!G918)," ",'Q:\Abteilungsprojekte\Eng\EngData\PROJECT_Bioplastics\Renjie_Pan\05-Raw_Data\Lab_results\[LabSamples2025_Bioplastic_extra.xlsx]extra_Bioplastic'!G918)</f>
        <v/>
      </c>
      <c r="H918">
        <f>IF(ISBLANK('Q:\Abteilungsprojekte\Eng\EngData\PROJECT_Bioplastics\Renjie_Pan\05-Raw_Data\Lab_results\[LabSamples2025_Bioplastic_extra.xlsx]extra_Bioplastic'!H918)," ",'Q:\Abteilungsprojekte\Eng\EngData\PROJECT_Bioplastics\Renjie_Pan\05-Raw_Data\Lab_results\[LabSamples2025_Bioplastic_extra.xlsx]extra_Bioplastic'!H918)</f>
        <v/>
      </c>
    </row>
    <row r="919">
      <c r="A919">
        <f>IF(ISBLANK('Q:\Abteilungsprojekte\Eng\EngData\PROJECT_Bioplastics\Renjie_Pan\05-Raw_Data\Lab_results\[LabSamples2025_Bioplastic_extra.xlsx]extra_Bioplastic'!A919)," ",'Q:\Abteilungsprojekte\Eng\EngData\PROJECT_Bioplastics\Renjie_Pan\05-Raw_Data\Lab_results\[LabSamples2025_Bioplastic_extra.xlsx]extra_Bioplastic'!A919)</f>
        <v/>
      </c>
      <c r="B919">
        <f>IF(ISBLANK('Q:\Abteilungsprojekte\Eng\EngData\PROJECT_Bioplastics\Renjie_Pan\05-Raw_Data\Lab_results\[LabSamples2025_Bioplastic_extra.xlsx]extra_Bioplastic'!B919)," ",'Q:\Abteilungsprojekte\Eng\EngData\PROJECT_Bioplastics\Renjie_Pan\05-Raw_Data\Lab_results\[LabSamples2025_Bioplastic_extra.xlsx]extra_Bioplastic'!B919)</f>
        <v/>
      </c>
      <c r="C919">
        <f>IF(ISBLANK('Q:\Abteilungsprojekte\Eng\EngData\PROJECT_Bioplastics\Renjie_Pan\05-Raw_Data\Lab_results\[LabSamples2025_Bioplastic_extra.xlsx]extra_Bioplastic'!C919)," ",'Q:\Abteilungsprojekte\Eng\EngData\PROJECT_Bioplastics\Renjie_Pan\05-Raw_Data\Lab_results\[LabSamples2025_Bioplastic_extra.xlsx]extra_Bioplastic'!C919)</f>
        <v/>
      </c>
      <c r="D919">
        <f>IF(ISBLANK('Q:\Abteilungsprojekte\Eng\EngData\PROJECT_Bioplastics\Renjie_Pan\05-Raw_Data\Lab_results\[LabSamples2025_Bioplastic_extra.xlsx]extra_Bioplastic'!D919)," ",'Q:\Abteilungsprojekte\Eng\EngData\PROJECT_Bioplastics\Renjie_Pan\05-Raw_Data\Lab_results\[LabSamples2025_Bioplastic_extra.xlsx]extra_Bioplastic'!D919)</f>
        <v/>
      </c>
      <c r="E919">
        <f>IF(ISBLANK('Q:\Abteilungsprojekte\Eng\EngData\PROJECT_Bioplastics\Renjie_Pan\05-Raw_Data\Lab_results\[LabSamples2025_Bioplastic_extra.xlsx]extra_Bioplastic'!E919)," ",'Q:\Abteilungsprojekte\Eng\EngData\PROJECT_Bioplastics\Renjie_Pan\05-Raw_Data\Lab_results\[LabSamples2025_Bioplastic_extra.xlsx]extra_Bioplastic'!E919)</f>
        <v/>
      </c>
      <c r="F919">
        <f>IF(ISBLANK('Q:\Abteilungsprojekte\Eng\EngData\PROJECT_Bioplastics\Renjie_Pan\05-Raw_Data\Lab_results\[LabSamples2025_Bioplastic_extra.xlsx]extra_Bioplastic'!F919)," ",'Q:\Abteilungsprojekte\Eng\EngData\PROJECT_Bioplastics\Renjie_Pan\05-Raw_Data\Lab_results\[LabSamples2025_Bioplastic_extra.xlsx]extra_Bioplastic'!F919)</f>
        <v/>
      </c>
      <c r="G919">
        <f>IF(ISBLANK('Q:\Abteilungsprojekte\Eng\EngData\PROJECT_Bioplastics\Renjie_Pan\05-Raw_Data\Lab_results\[LabSamples2025_Bioplastic_extra.xlsx]extra_Bioplastic'!G919)," ",'Q:\Abteilungsprojekte\Eng\EngData\PROJECT_Bioplastics\Renjie_Pan\05-Raw_Data\Lab_results\[LabSamples2025_Bioplastic_extra.xlsx]extra_Bioplastic'!G919)</f>
        <v/>
      </c>
      <c r="H919">
        <f>IF(ISBLANK('Q:\Abteilungsprojekte\Eng\EngData\PROJECT_Bioplastics\Renjie_Pan\05-Raw_Data\Lab_results\[LabSamples2025_Bioplastic_extra.xlsx]extra_Bioplastic'!H919)," ",'Q:\Abteilungsprojekte\Eng\EngData\PROJECT_Bioplastics\Renjie_Pan\05-Raw_Data\Lab_results\[LabSamples2025_Bioplastic_extra.xlsx]extra_Bioplastic'!H919)</f>
        <v/>
      </c>
    </row>
    <row r="920">
      <c r="A920">
        <f>IF(ISBLANK('Q:\Abteilungsprojekte\Eng\EngData\PROJECT_Bioplastics\Renjie_Pan\05-Raw_Data\Lab_results\[LabSamples2025_Bioplastic_extra.xlsx]extra_Bioplastic'!A920)," ",'Q:\Abteilungsprojekte\Eng\EngData\PROJECT_Bioplastics\Renjie_Pan\05-Raw_Data\Lab_results\[LabSamples2025_Bioplastic_extra.xlsx]extra_Bioplastic'!A920)</f>
        <v/>
      </c>
      <c r="B920">
        <f>IF(ISBLANK('Q:\Abteilungsprojekte\Eng\EngData\PROJECT_Bioplastics\Renjie_Pan\05-Raw_Data\Lab_results\[LabSamples2025_Bioplastic_extra.xlsx]extra_Bioplastic'!B920)," ",'Q:\Abteilungsprojekte\Eng\EngData\PROJECT_Bioplastics\Renjie_Pan\05-Raw_Data\Lab_results\[LabSamples2025_Bioplastic_extra.xlsx]extra_Bioplastic'!B920)</f>
        <v/>
      </c>
      <c r="C920">
        <f>IF(ISBLANK('Q:\Abteilungsprojekte\Eng\EngData\PROJECT_Bioplastics\Renjie_Pan\05-Raw_Data\Lab_results\[LabSamples2025_Bioplastic_extra.xlsx]extra_Bioplastic'!C920)," ",'Q:\Abteilungsprojekte\Eng\EngData\PROJECT_Bioplastics\Renjie_Pan\05-Raw_Data\Lab_results\[LabSamples2025_Bioplastic_extra.xlsx]extra_Bioplastic'!C920)</f>
        <v/>
      </c>
      <c r="D920">
        <f>IF(ISBLANK('Q:\Abteilungsprojekte\Eng\EngData\PROJECT_Bioplastics\Renjie_Pan\05-Raw_Data\Lab_results\[LabSamples2025_Bioplastic_extra.xlsx]extra_Bioplastic'!D920)," ",'Q:\Abteilungsprojekte\Eng\EngData\PROJECT_Bioplastics\Renjie_Pan\05-Raw_Data\Lab_results\[LabSamples2025_Bioplastic_extra.xlsx]extra_Bioplastic'!D920)</f>
        <v/>
      </c>
      <c r="E920">
        <f>IF(ISBLANK('Q:\Abteilungsprojekte\Eng\EngData\PROJECT_Bioplastics\Renjie_Pan\05-Raw_Data\Lab_results\[LabSamples2025_Bioplastic_extra.xlsx]extra_Bioplastic'!E920)," ",'Q:\Abteilungsprojekte\Eng\EngData\PROJECT_Bioplastics\Renjie_Pan\05-Raw_Data\Lab_results\[LabSamples2025_Bioplastic_extra.xlsx]extra_Bioplastic'!E920)</f>
        <v/>
      </c>
      <c r="F920">
        <f>IF(ISBLANK('Q:\Abteilungsprojekte\Eng\EngData\PROJECT_Bioplastics\Renjie_Pan\05-Raw_Data\Lab_results\[LabSamples2025_Bioplastic_extra.xlsx]extra_Bioplastic'!F920)," ",'Q:\Abteilungsprojekte\Eng\EngData\PROJECT_Bioplastics\Renjie_Pan\05-Raw_Data\Lab_results\[LabSamples2025_Bioplastic_extra.xlsx]extra_Bioplastic'!F920)</f>
        <v/>
      </c>
      <c r="G920">
        <f>IF(ISBLANK('Q:\Abteilungsprojekte\Eng\EngData\PROJECT_Bioplastics\Renjie_Pan\05-Raw_Data\Lab_results\[LabSamples2025_Bioplastic_extra.xlsx]extra_Bioplastic'!G920)," ",'Q:\Abteilungsprojekte\Eng\EngData\PROJECT_Bioplastics\Renjie_Pan\05-Raw_Data\Lab_results\[LabSamples2025_Bioplastic_extra.xlsx]extra_Bioplastic'!G920)</f>
        <v/>
      </c>
      <c r="H920">
        <f>IF(ISBLANK('Q:\Abteilungsprojekte\Eng\EngData\PROJECT_Bioplastics\Renjie_Pan\05-Raw_Data\Lab_results\[LabSamples2025_Bioplastic_extra.xlsx]extra_Bioplastic'!H920)," ",'Q:\Abteilungsprojekte\Eng\EngData\PROJECT_Bioplastics\Renjie_Pan\05-Raw_Data\Lab_results\[LabSamples2025_Bioplastic_extra.xlsx]extra_Bioplastic'!H920)</f>
        <v/>
      </c>
    </row>
    <row r="921">
      <c r="A921">
        <f>IF(ISBLANK('Q:\Abteilungsprojekte\Eng\EngData\PROJECT_Bioplastics\Renjie_Pan\05-Raw_Data\Lab_results\[LabSamples2025_Bioplastic_extra.xlsx]extra_Bioplastic'!A921)," ",'Q:\Abteilungsprojekte\Eng\EngData\PROJECT_Bioplastics\Renjie_Pan\05-Raw_Data\Lab_results\[LabSamples2025_Bioplastic_extra.xlsx]extra_Bioplastic'!A921)</f>
        <v/>
      </c>
      <c r="B921">
        <f>IF(ISBLANK('Q:\Abteilungsprojekte\Eng\EngData\PROJECT_Bioplastics\Renjie_Pan\05-Raw_Data\Lab_results\[LabSamples2025_Bioplastic_extra.xlsx]extra_Bioplastic'!B921)," ",'Q:\Abteilungsprojekte\Eng\EngData\PROJECT_Bioplastics\Renjie_Pan\05-Raw_Data\Lab_results\[LabSamples2025_Bioplastic_extra.xlsx]extra_Bioplastic'!B921)</f>
        <v/>
      </c>
      <c r="C921">
        <f>IF(ISBLANK('Q:\Abteilungsprojekte\Eng\EngData\PROJECT_Bioplastics\Renjie_Pan\05-Raw_Data\Lab_results\[LabSamples2025_Bioplastic_extra.xlsx]extra_Bioplastic'!C921)," ",'Q:\Abteilungsprojekte\Eng\EngData\PROJECT_Bioplastics\Renjie_Pan\05-Raw_Data\Lab_results\[LabSamples2025_Bioplastic_extra.xlsx]extra_Bioplastic'!C921)</f>
        <v/>
      </c>
      <c r="D921">
        <f>IF(ISBLANK('Q:\Abteilungsprojekte\Eng\EngData\PROJECT_Bioplastics\Renjie_Pan\05-Raw_Data\Lab_results\[LabSamples2025_Bioplastic_extra.xlsx]extra_Bioplastic'!D921)," ",'Q:\Abteilungsprojekte\Eng\EngData\PROJECT_Bioplastics\Renjie_Pan\05-Raw_Data\Lab_results\[LabSamples2025_Bioplastic_extra.xlsx]extra_Bioplastic'!D921)</f>
        <v/>
      </c>
      <c r="E921">
        <f>IF(ISBLANK('Q:\Abteilungsprojekte\Eng\EngData\PROJECT_Bioplastics\Renjie_Pan\05-Raw_Data\Lab_results\[LabSamples2025_Bioplastic_extra.xlsx]extra_Bioplastic'!E921)," ",'Q:\Abteilungsprojekte\Eng\EngData\PROJECT_Bioplastics\Renjie_Pan\05-Raw_Data\Lab_results\[LabSamples2025_Bioplastic_extra.xlsx]extra_Bioplastic'!E921)</f>
        <v/>
      </c>
      <c r="F921">
        <f>IF(ISBLANK('Q:\Abteilungsprojekte\Eng\EngData\PROJECT_Bioplastics\Renjie_Pan\05-Raw_Data\Lab_results\[LabSamples2025_Bioplastic_extra.xlsx]extra_Bioplastic'!F921)," ",'Q:\Abteilungsprojekte\Eng\EngData\PROJECT_Bioplastics\Renjie_Pan\05-Raw_Data\Lab_results\[LabSamples2025_Bioplastic_extra.xlsx]extra_Bioplastic'!F921)</f>
        <v/>
      </c>
      <c r="G921">
        <f>IF(ISBLANK('Q:\Abteilungsprojekte\Eng\EngData\PROJECT_Bioplastics\Renjie_Pan\05-Raw_Data\Lab_results\[LabSamples2025_Bioplastic_extra.xlsx]extra_Bioplastic'!G921)," ",'Q:\Abteilungsprojekte\Eng\EngData\PROJECT_Bioplastics\Renjie_Pan\05-Raw_Data\Lab_results\[LabSamples2025_Bioplastic_extra.xlsx]extra_Bioplastic'!G921)</f>
        <v/>
      </c>
      <c r="H921">
        <f>IF(ISBLANK('Q:\Abteilungsprojekte\Eng\EngData\PROJECT_Bioplastics\Renjie_Pan\05-Raw_Data\Lab_results\[LabSamples2025_Bioplastic_extra.xlsx]extra_Bioplastic'!H921)," ",'Q:\Abteilungsprojekte\Eng\EngData\PROJECT_Bioplastics\Renjie_Pan\05-Raw_Data\Lab_results\[LabSamples2025_Bioplastic_extra.xlsx]extra_Bioplastic'!H921)</f>
        <v/>
      </c>
    </row>
    <row r="922">
      <c r="A922">
        <f>IF(ISBLANK('Q:\Abteilungsprojekte\Eng\EngData\PROJECT_Bioplastics\Renjie_Pan\05-Raw_Data\Lab_results\[LabSamples2025_Bioplastic_extra.xlsx]extra_Bioplastic'!A922)," ",'Q:\Abteilungsprojekte\Eng\EngData\PROJECT_Bioplastics\Renjie_Pan\05-Raw_Data\Lab_results\[LabSamples2025_Bioplastic_extra.xlsx]extra_Bioplastic'!A922)</f>
        <v/>
      </c>
      <c r="B922">
        <f>IF(ISBLANK('Q:\Abteilungsprojekte\Eng\EngData\PROJECT_Bioplastics\Renjie_Pan\05-Raw_Data\Lab_results\[LabSamples2025_Bioplastic_extra.xlsx]extra_Bioplastic'!B922)," ",'Q:\Abteilungsprojekte\Eng\EngData\PROJECT_Bioplastics\Renjie_Pan\05-Raw_Data\Lab_results\[LabSamples2025_Bioplastic_extra.xlsx]extra_Bioplastic'!B922)</f>
        <v/>
      </c>
      <c r="C922">
        <f>IF(ISBLANK('Q:\Abteilungsprojekte\Eng\EngData\PROJECT_Bioplastics\Renjie_Pan\05-Raw_Data\Lab_results\[LabSamples2025_Bioplastic_extra.xlsx]extra_Bioplastic'!C922)," ",'Q:\Abteilungsprojekte\Eng\EngData\PROJECT_Bioplastics\Renjie_Pan\05-Raw_Data\Lab_results\[LabSamples2025_Bioplastic_extra.xlsx]extra_Bioplastic'!C922)</f>
        <v/>
      </c>
      <c r="D922">
        <f>IF(ISBLANK('Q:\Abteilungsprojekte\Eng\EngData\PROJECT_Bioplastics\Renjie_Pan\05-Raw_Data\Lab_results\[LabSamples2025_Bioplastic_extra.xlsx]extra_Bioplastic'!D922)," ",'Q:\Abteilungsprojekte\Eng\EngData\PROJECT_Bioplastics\Renjie_Pan\05-Raw_Data\Lab_results\[LabSamples2025_Bioplastic_extra.xlsx]extra_Bioplastic'!D922)</f>
        <v/>
      </c>
      <c r="E922">
        <f>IF(ISBLANK('Q:\Abteilungsprojekte\Eng\EngData\PROJECT_Bioplastics\Renjie_Pan\05-Raw_Data\Lab_results\[LabSamples2025_Bioplastic_extra.xlsx]extra_Bioplastic'!E922)," ",'Q:\Abteilungsprojekte\Eng\EngData\PROJECT_Bioplastics\Renjie_Pan\05-Raw_Data\Lab_results\[LabSamples2025_Bioplastic_extra.xlsx]extra_Bioplastic'!E922)</f>
        <v/>
      </c>
      <c r="F922">
        <f>IF(ISBLANK('Q:\Abteilungsprojekte\Eng\EngData\PROJECT_Bioplastics\Renjie_Pan\05-Raw_Data\Lab_results\[LabSamples2025_Bioplastic_extra.xlsx]extra_Bioplastic'!F922)," ",'Q:\Abteilungsprojekte\Eng\EngData\PROJECT_Bioplastics\Renjie_Pan\05-Raw_Data\Lab_results\[LabSamples2025_Bioplastic_extra.xlsx]extra_Bioplastic'!F922)</f>
        <v/>
      </c>
      <c r="G922">
        <f>IF(ISBLANK('Q:\Abteilungsprojekte\Eng\EngData\PROJECT_Bioplastics\Renjie_Pan\05-Raw_Data\Lab_results\[LabSamples2025_Bioplastic_extra.xlsx]extra_Bioplastic'!G922)," ",'Q:\Abteilungsprojekte\Eng\EngData\PROJECT_Bioplastics\Renjie_Pan\05-Raw_Data\Lab_results\[LabSamples2025_Bioplastic_extra.xlsx]extra_Bioplastic'!G922)</f>
        <v/>
      </c>
      <c r="H922">
        <f>IF(ISBLANK('Q:\Abteilungsprojekte\Eng\EngData\PROJECT_Bioplastics\Renjie_Pan\05-Raw_Data\Lab_results\[LabSamples2025_Bioplastic_extra.xlsx]extra_Bioplastic'!H922)," ",'Q:\Abteilungsprojekte\Eng\EngData\PROJECT_Bioplastics\Renjie_Pan\05-Raw_Data\Lab_results\[LabSamples2025_Bioplastic_extra.xlsx]extra_Bioplastic'!H922)</f>
        <v/>
      </c>
    </row>
    <row r="923">
      <c r="A923">
        <f>IF(ISBLANK('Q:\Abteilungsprojekte\Eng\EngData\PROJECT_Bioplastics\Renjie_Pan\05-Raw_Data\Lab_results\[LabSamples2025_Bioplastic_extra.xlsx]extra_Bioplastic'!A923)," ",'Q:\Abteilungsprojekte\Eng\EngData\PROJECT_Bioplastics\Renjie_Pan\05-Raw_Data\Lab_results\[LabSamples2025_Bioplastic_extra.xlsx]extra_Bioplastic'!A923)</f>
        <v/>
      </c>
      <c r="B923">
        <f>IF(ISBLANK('Q:\Abteilungsprojekte\Eng\EngData\PROJECT_Bioplastics\Renjie_Pan\05-Raw_Data\Lab_results\[LabSamples2025_Bioplastic_extra.xlsx]extra_Bioplastic'!B923)," ",'Q:\Abteilungsprojekte\Eng\EngData\PROJECT_Bioplastics\Renjie_Pan\05-Raw_Data\Lab_results\[LabSamples2025_Bioplastic_extra.xlsx]extra_Bioplastic'!B923)</f>
        <v/>
      </c>
      <c r="C923">
        <f>IF(ISBLANK('Q:\Abteilungsprojekte\Eng\EngData\PROJECT_Bioplastics\Renjie_Pan\05-Raw_Data\Lab_results\[LabSamples2025_Bioplastic_extra.xlsx]extra_Bioplastic'!C923)," ",'Q:\Abteilungsprojekte\Eng\EngData\PROJECT_Bioplastics\Renjie_Pan\05-Raw_Data\Lab_results\[LabSamples2025_Bioplastic_extra.xlsx]extra_Bioplastic'!C923)</f>
        <v/>
      </c>
      <c r="D923">
        <f>IF(ISBLANK('Q:\Abteilungsprojekte\Eng\EngData\PROJECT_Bioplastics\Renjie_Pan\05-Raw_Data\Lab_results\[LabSamples2025_Bioplastic_extra.xlsx]extra_Bioplastic'!D923)," ",'Q:\Abteilungsprojekte\Eng\EngData\PROJECT_Bioplastics\Renjie_Pan\05-Raw_Data\Lab_results\[LabSamples2025_Bioplastic_extra.xlsx]extra_Bioplastic'!D923)</f>
        <v/>
      </c>
      <c r="E923">
        <f>IF(ISBLANK('Q:\Abteilungsprojekte\Eng\EngData\PROJECT_Bioplastics\Renjie_Pan\05-Raw_Data\Lab_results\[LabSamples2025_Bioplastic_extra.xlsx]extra_Bioplastic'!E923)," ",'Q:\Abteilungsprojekte\Eng\EngData\PROJECT_Bioplastics\Renjie_Pan\05-Raw_Data\Lab_results\[LabSamples2025_Bioplastic_extra.xlsx]extra_Bioplastic'!E923)</f>
        <v/>
      </c>
      <c r="F923">
        <f>IF(ISBLANK('Q:\Abteilungsprojekte\Eng\EngData\PROJECT_Bioplastics\Renjie_Pan\05-Raw_Data\Lab_results\[LabSamples2025_Bioplastic_extra.xlsx]extra_Bioplastic'!F923)," ",'Q:\Abteilungsprojekte\Eng\EngData\PROJECT_Bioplastics\Renjie_Pan\05-Raw_Data\Lab_results\[LabSamples2025_Bioplastic_extra.xlsx]extra_Bioplastic'!F923)</f>
        <v/>
      </c>
      <c r="G923">
        <f>IF(ISBLANK('Q:\Abteilungsprojekte\Eng\EngData\PROJECT_Bioplastics\Renjie_Pan\05-Raw_Data\Lab_results\[LabSamples2025_Bioplastic_extra.xlsx]extra_Bioplastic'!G923)," ",'Q:\Abteilungsprojekte\Eng\EngData\PROJECT_Bioplastics\Renjie_Pan\05-Raw_Data\Lab_results\[LabSamples2025_Bioplastic_extra.xlsx]extra_Bioplastic'!G923)</f>
        <v/>
      </c>
      <c r="H923">
        <f>IF(ISBLANK('Q:\Abteilungsprojekte\Eng\EngData\PROJECT_Bioplastics\Renjie_Pan\05-Raw_Data\Lab_results\[LabSamples2025_Bioplastic_extra.xlsx]extra_Bioplastic'!H923)," ",'Q:\Abteilungsprojekte\Eng\EngData\PROJECT_Bioplastics\Renjie_Pan\05-Raw_Data\Lab_results\[LabSamples2025_Bioplastic_extra.xlsx]extra_Bioplastic'!H923)</f>
        <v/>
      </c>
    </row>
    <row r="924">
      <c r="A924">
        <f>IF(ISBLANK('Q:\Abteilungsprojekte\Eng\EngData\PROJECT_Bioplastics\Renjie_Pan\05-Raw_Data\Lab_results\[LabSamples2025_Bioplastic_extra.xlsx]extra_Bioplastic'!A924)," ",'Q:\Abteilungsprojekte\Eng\EngData\PROJECT_Bioplastics\Renjie_Pan\05-Raw_Data\Lab_results\[LabSamples2025_Bioplastic_extra.xlsx]extra_Bioplastic'!A924)</f>
        <v/>
      </c>
      <c r="B924">
        <f>IF(ISBLANK('Q:\Abteilungsprojekte\Eng\EngData\PROJECT_Bioplastics\Renjie_Pan\05-Raw_Data\Lab_results\[LabSamples2025_Bioplastic_extra.xlsx]extra_Bioplastic'!B924)," ",'Q:\Abteilungsprojekte\Eng\EngData\PROJECT_Bioplastics\Renjie_Pan\05-Raw_Data\Lab_results\[LabSamples2025_Bioplastic_extra.xlsx]extra_Bioplastic'!B924)</f>
        <v/>
      </c>
      <c r="C924">
        <f>IF(ISBLANK('Q:\Abteilungsprojekte\Eng\EngData\PROJECT_Bioplastics\Renjie_Pan\05-Raw_Data\Lab_results\[LabSamples2025_Bioplastic_extra.xlsx]extra_Bioplastic'!C924)," ",'Q:\Abteilungsprojekte\Eng\EngData\PROJECT_Bioplastics\Renjie_Pan\05-Raw_Data\Lab_results\[LabSamples2025_Bioplastic_extra.xlsx]extra_Bioplastic'!C924)</f>
        <v/>
      </c>
      <c r="D924">
        <f>IF(ISBLANK('Q:\Abteilungsprojekte\Eng\EngData\PROJECT_Bioplastics\Renjie_Pan\05-Raw_Data\Lab_results\[LabSamples2025_Bioplastic_extra.xlsx]extra_Bioplastic'!D924)," ",'Q:\Abteilungsprojekte\Eng\EngData\PROJECT_Bioplastics\Renjie_Pan\05-Raw_Data\Lab_results\[LabSamples2025_Bioplastic_extra.xlsx]extra_Bioplastic'!D924)</f>
        <v/>
      </c>
      <c r="E924">
        <f>IF(ISBLANK('Q:\Abteilungsprojekte\Eng\EngData\PROJECT_Bioplastics\Renjie_Pan\05-Raw_Data\Lab_results\[LabSamples2025_Bioplastic_extra.xlsx]extra_Bioplastic'!E924)," ",'Q:\Abteilungsprojekte\Eng\EngData\PROJECT_Bioplastics\Renjie_Pan\05-Raw_Data\Lab_results\[LabSamples2025_Bioplastic_extra.xlsx]extra_Bioplastic'!E924)</f>
        <v/>
      </c>
      <c r="F924">
        <f>IF(ISBLANK('Q:\Abteilungsprojekte\Eng\EngData\PROJECT_Bioplastics\Renjie_Pan\05-Raw_Data\Lab_results\[LabSamples2025_Bioplastic_extra.xlsx]extra_Bioplastic'!F924)," ",'Q:\Abteilungsprojekte\Eng\EngData\PROJECT_Bioplastics\Renjie_Pan\05-Raw_Data\Lab_results\[LabSamples2025_Bioplastic_extra.xlsx]extra_Bioplastic'!F924)</f>
        <v/>
      </c>
      <c r="G924">
        <f>IF(ISBLANK('Q:\Abteilungsprojekte\Eng\EngData\PROJECT_Bioplastics\Renjie_Pan\05-Raw_Data\Lab_results\[LabSamples2025_Bioplastic_extra.xlsx]extra_Bioplastic'!G924)," ",'Q:\Abteilungsprojekte\Eng\EngData\PROJECT_Bioplastics\Renjie_Pan\05-Raw_Data\Lab_results\[LabSamples2025_Bioplastic_extra.xlsx]extra_Bioplastic'!G924)</f>
        <v/>
      </c>
      <c r="H924">
        <f>IF(ISBLANK('Q:\Abteilungsprojekte\Eng\EngData\PROJECT_Bioplastics\Renjie_Pan\05-Raw_Data\Lab_results\[LabSamples2025_Bioplastic_extra.xlsx]extra_Bioplastic'!H924)," ",'Q:\Abteilungsprojekte\Eng\EngData\PROJECT_Bioplastics\Renjie_Pan\05-Raw_Data\Lab_results\[LabSamples2025_Bioplastic_extra.xlsx]extra_Bioplastic'!H924)</f>
        <v/>
      </c>
    </row>
    <row r="925">
      <c r="A925">
        <f>IF(ISBLANK('Q:\Abteilungsprojekte\Eng\EngData\PROJECT_Bioplastics\Renjie_Pan\05-Raw_Data\Lab_results\[LabSamples2025_Bioplastic_extra.xlsx]extra_Bioplastic'!A925)," ",'Q:\Abteilungsprojekte\Eng\EngData\PROJECT_Bioplastics\Renjie_Pan\05-Raw_Data\Lab_results\[LabSamples2025_Bioplastic_extra.xlsx]extra_Bioplastic'!A925)</f>
        <v/>
      </c>
      <c r="B925">
        <f>IF(ISBLANK('Q:\Abteilungsprojekte\Eng\EngData\PROJECT_Bioplastics\Renjie_Pan\05-Raw_Data\Lab_results\[LabSamples2025_Bioplastic_extra.xlsx]extra_Bioplastic'!B925)," ",'Q:\Abteilungsprojekte\Eng\EngData\PROJECT_Bioplastics\Renjie_Pan\05-Raw_Data\Lab_results\[LabSamples2025_Bioplastic_extra.xlsx]extra_Bioplastic'!B925)</f>
        <v/>
      </c>
      <c r="C925">
        <f>IF(ISBLANK('Q:\Abteilungsprojekte\Eng\EngData\PROJECT_Bioplastics\Renjie_Pan\05-Raw_Data\Lab_results\[LabSamples2025_Bioplastic_extra.xlsx]extra_Bioplastic'!C925)," ",'Q:\Abteilungsprojekte\Eng\EngData\PROJECT_Bioplastics\Renjie_Pan\05-Raw_Data\Lab_results\[LabSamples2025_Bioplastic_extra.xlsx]extra_Bioplastic'!C925)</f>
        <v/>
      </c>
      <c r="D925">
        <f>IF(ISBLANK('Q:\Abteilungsprojekte\Eng\EngData\PROJECT_Bioplastics\Renjie_Pan\05-Raw_Data\Lab_results\[LabSamples2025_Bioplastic_extra.xlsx]extra_Bioplastic'!D925)," ",'Q:\Abteilungsprojekte\Eng\EngData\PROJECT_Bioplastics\Renjie_Pan\05-Raw_Data\Lab_results\[LabSamples2025_Bioplastic_extra.xlsx]extra_Bioplastic'!D925)</f>
        <v/>
      </c>
      <c r="E925">
        <f>IF(ISBLANK('Q:\Abteilungsprojekte\Eng\EngData\PROJECT_Bioplastics\Renjie_Pan\05-Raw_Data\Lab_results\[LabSamples2025_Bioplastic_extra.xlsx]extra_Bioplastic'!E925)," ",'Q:\Abteilungsprojekte\Eng\EngData\PROJECT_Bioplastics\Renjie_Pan\05-Raw_Data\Lab_results\[LabSamples2025_Bioplastic_extra.xlsx]extra_Bioplastic'!E925)</f>
        <v/>
      </c>
      <c r="F925">
        <f>IF(ISBLANK('Q:\Abteilungsprojekte\Eng\EngData\PROJECT_Bioplastics\Renjie_Pan\05-Raw_Data\Lab_results\[LabSamples2025_Bioplastic_extra.xlsx]extra_Bioplastic'!F925)," ",'Q:\Abteilungsprojekte\Eng\EngData\PROJECT_Bioplastics\Renjie_Pan\05-Raw_Data\Lab_results\[LabSamples2025_Bioplastic_extra.xlsx]extra_Bioplastic'!F925)</f>
        <v/>
      </c>
      <c r="G925">
        <f>IF(ISBLANK('Q:\Abteilungsprojekte\Eng\EngData\PROJECT_Bioplastics\Renjie_Pan\05-Raw_Data\Lab_results\[LabSamples2025_Bioplastic_extra.xlsx]extra_Bioplastic'!G925)," ",'Q:\Abteilungsprojekte\Eng\EngData\PROJECT_Bioplastics\Renjie_Pan\05-Raw_Data\Lab_results\[LabSamples2025_Bioplastic_extra.xlsx]extra_Bioplastic'!G925)</f>
        <v/>
      </c>
      <c r="H925">
        <f>IF(ISBLANK('Q:\Abteilungsprojekte\Eng\EngData\PROJECT_Bioplastics\Renjie_Pan\05-Raw_Data\Lab_results\[LabSamples2025_Bioplastic_extra.xlsx]extra_Bioplastic'!H925)," ",'Q:\Abteilungsprojekte\Eng\EngData\PROJECT_Bioplastics\Renjie_Pan\05-Raw_Data\Lab_results\[LabSamples2025_Bioplastic_extra.xlsx]extra_Bioplastic'!H925)</f>
        <v/>
      </c>
    </row>
    <row r="926">
      <c r="A926">
        <f>IF(ISBLANK('Q:\Abteilungsprojekte\Eng\EngData\PROJECT_Bioplastics\Renjie_Pan\05-Raw_Data\Lab_results\[LabSamples2025_Bioplastic_extra.xlsx]extra_Bioplastic'!A926)," ",'Q:\Abteilungsprojekte\Eng\EngData\PROJECT_Bioplastics\Renjie_Pan\05-Raw_Data\Lab_results\[LabSamples2025_Bioplastic_extra.xlsx]extra_Bioplastic'!A926)</f>
        <v/>
      </c>
      <c r="B926">
        <f>IF(ISBLANK('Q:\Abteilungsprojekte\Eng\EngData\PROJECT_Bioplastics\Renjie_Pan\05-Raw_Data\Lab_results\[LabSamples2025_Bioplastic_extra.xlsx]extra_Bioplastic'!B926)," ",'Q:\Abteilungsprojekte\Eng\EngData\PROJECT_Bioplastics\Renjie_Pan\05-Raw_Data\Lab_results\[LabSamples2025_Bioplastic_extra.xlsx]extra_Bioplastic'!B926)</f>
        <v/>
      </c>
      <c r="C926">
        <f>IF(ISBLANK('Q:\Abteilungsprojekte\Eng\EngData\PROJECT_Bioplastics\Renjie_Pan\05-Raw_Data\Lab_results\[LabSamples2025_Bioplastic_extra.xlsx]extra_Bioplastic'!C926)," ",'Q:\Abteilungsprojekte\Eng\EngData\PROJECT_Bioplastics\Renjie_Pan\05-Raw_Data\Lab_results\[LabSamples2025_Bioplastic_extra.xlsx]extra_Bioplastic'!C926)</f>
        <v/>
      </c>
      <c r="D926">
        <f>IF(ISBLANK('Q:\Abteilungsprojekte\Eng\EngData\PROJECT_Bioplastics\Renjie_Pan\05-Raw_Data\Lab_results\[LabSamples2025_Bioplastic_extra.xlsx]extra_Bioplastic'!D926)," ",'Q:\Abteilungsprojekte\Eng\EngData\PROJECT_Bioplastics\Renjie_Pan\05-Raw_Data\Lab_results\[LabSamples2025_Bioplastic_extra.xlsx]extra_Bioplastic'!D926)</f>
        <v/>
      </c>
      <c r="E926">
        <f>IF(ISBLANK('Q:\Abteilungsprojekte\Eng\EngData\PROJECT_Bioplastics\Renjie_Pan\05-Raw_Data\Lab_results\[LabSamples2025_Bioplastic_extra.xlsx]extra_Bioplastic'!E926)," ",'Q:\Abteilungsprojekte\Eng\EngData\PROJECT_Bioplastics\Renjie_Pan\05-Raw_Data\Lab_results\[LabSamples2025_Bioplastic_extra.xlsx]extra_Bioplastic'!E926)</f>
        <v/>
      </c>
      <c r="F926">
        <f>IF(ISBLANK('Q:\Abteilungsprojekte\Eng\EngData\PROJECT_Bioplastics\Renjie_Pan\05-Raw_Data\Lab_results\[LabSamples2025_Bioplastic_extra.xlsx]extra_Bioplastic'!F926)," ",'Q:\Abteilungsprojekte\Eng\EngData\PROJECT_Bioplastics\Renjie_Pan\05-Raw_Data\Lab_results\[LabSamples2025_Bioplastic_extra.xlsx]extra_Bioplastic'!F926)</f>
        <v/>
      </c>
      <c r="G926">
        <f>IF(ISBLANK('Q:\Abteilungsprojekte\Eng\EngData\PROJECT_Bioplastics\Renjie_Pan\05-Raw_Data\Lab_results\[LabSamples2025_Bioplastic_extra.xlsx]extra_Bioplastic'!G926)," ",'Q:\Abteilungsprojekte\Eng\EngData\PROJECT_Bioplastics\Renjie_Pan\05-Raw_Data\Lab_results\[LabSamples2025_Bioplastic_extra.xlsx]extra_Bioplastic'!G926)</f>
        <v/>
      </c>
      <c r="H926">
        <f>IF(ISBLANK('Q:\Abteilungsprojekte\Eng\EngData\PROJECT_Bioplastics\Renjie_Pan\05-Raw_Data\Lab_results\[LabSamples2025_Bioplastic_extra.xlsx]extra_Bioplastic'!H926)," ",'Q:\Abteilungsprojekte\Eng\EngData\PROJECT_Bioplastics\Renjie_Pan\05-Raw_Data\Lab_results\[LabSamples2025_Bioplastic_extra.xlsx]extra_Bioplastic'!H926)</f>
        <v/>
      </c>
    </row>
    <row r="927">
      <c r="A927">
        <f>IF(ISBLANK('Q:\Abteilungsprojekte\Eng\EngData\PROJECT_Bioplastics\Renjie_Pan\05-Raw_Data\Lab_results\[LabSamples2025_Bioplastic_extra.xlsx]extra_Bioplastic'!A927)," ",'Q:\Abteilungsprojekte\Eng\EngData\PROJECT_Bioplastics\Renjie_Pan\05-Raw_Data\Lab_results\[LabSamples2025_Bioplastic_extra.xlsx]extra_Bioplastic'!A927)</f>
        <v/>
      </c>
      <c r="B927">
        <f>IF(ISBLANK('Q:\Abteilungsprojekte\Eng\EngData\PROJECT_Bioplastics\Renjie_Pan\05-Raw_Data\Lab_results\[LabSamples2025_Bioplastic_extra.xlsx]extra_Bioplastic'!B927)," ",'Q:\Abteilungsprojekte\Eng\EngData\PROJECT_Bioplastics\Renjie_Pan\05-Raw_Data\Lab_results\[LabSamples2025_Bioplastic_extra.xlsx]extra_Bioplastic'!B927)</f>
        <v/>
      </c>
      <c r="C927">
        <f>IF(ISBLANK('Q:\Abteilungsprojekte\Eng\EngData\PROJECT_Bioplastics\Renjie_Pan\05-Raw_Data\Lab_results\[LabSamples2025_Bioplastic_extra.xlsx]extra_Bioplastic'!C927)," ",'Q:\Abteilungsprojekte\Eng\EngData\PROJECT_Bioplastics\Renjie_Pan\05-Raw_Data\Lab_results\[LabSamples2025_Bioplastic_extra.xlsx]extra_Bioplastic'!C927)</f>
        <v/>
      </c>
      <c r="D927">
        <f>IF(ISBLANK('Q:\Abteilungsprojekte\Eng\EngData\PROJECT_Bioplastics\Renjie_Pan\05-Raw_Data\Lab_results\[LabSamples2025_Bioplastic_extra.xlsx]extra_Bioplastic'!D927)," ",'Q:\Abteilungsprojekte\Eng\EngData\PROJECT_Bioplastics\Renjie_Pan\05-Raw_Data\Lab_results\[LabSamples2025_Bioplastic_extra.xlsx]extra_Bioplastic'!D927)</f>
        <v/>
      </c>
      <c r="E927">
        <f>IF(ISBLANK('Q:\Abteilungsprojekte\Eng\EngData\PROJECT_Bioplastics\Renjie_Pan\05-Raw_Data\Lab_results\[LabSamples2025_Bioplastic_extra.xlsx]extra_Bioplastic'!E927)," ",'Q:\Abteilungsprojekte\Eng\EngData\PROJECT_Bioplastics\Renjie_Pan\05-Raw_Data\Lab_results\[LabSamples2025_Bioplastic_extra.xlsx]extra_Bioplastic'!E927)</f>
        <v/>
      </c>
      <c r="F927">
        <f>IF(ISBLANK('Q:\Abteilungsprojekte\Eng\EngData\PROJECT_Bioplastics\Renjie_Pan\05-Raw_Data\Lab_results\[LabSamples2025_Bioplastic_extra.xlsx]extra_Bioplastic'!F927)," ",'Q:\Abteilungsprojekte\Eng\EngData\PROJECT_Bioplastics\Renjie_Pan\05-Raw_Data\Lab_results\[LabSamples2025_Bioplastic_extra.xlsx]extra_Bioplastic'!F927)</f>
        <v/>
      </c>
      <c r="G927">
        <f>IF(ISBLANK('Q:\Abteilungsprojekte\Eng\EngData\PROJECT_Bioplastics\Renjie_Pan\05-Raw_Data\Lab_results\[LabSamples2025_Bioplastic_extra.xlsx]extra_Bioplastic'!G927)," ",'Q:\Abteilungsprojekte\Eng\EngData\PROJECT_Bioplastics\Renjie_Pan\05-Raw_Data\Lab_results\[LabSamples2025_Bioplastic_extra.xlsx]extra_Bioplastic'!G927)</f>
        <v/>
      </c>
      <c r="H927">
        <f>IF(ISBLANK('Q:\Abteilungsprojekte\Eng\EngData\PROJECT_Bioplastics\Renjie_Pan\05-Raw_Data\Lab_results\[LabSamples2025_Bioplastic_extra.xlsx]extra_Bioplastic'!H927)," ",'Q:\Abteilungsprojekte\Eng\EngData\PROJECT_Bioplastics\Renjie_Pan\05-Raw_Data\Lab_results\[LabSamples2025_Bioplastic_extra.xlsx]extra_Bioplastic'!H927)</f>
        <v/>
      </c>
    </row>
    <row r="928">
      <c r="A928">
        <f>IF(ISBLANK('Q:\Abteilungsprojekte\Eng\EngData\PROJECT_Bioplastics\Renjie_Pan\05-Raw_Data\Lab_results\[LabSamples2025_Bioplastic_extra.xlsx]extra_Bioplastic'!A928)," ",'Q:\Abteilungsprojekte\Eng\EngData\PROJECT_Bioplastics\Renjie_Pan\05-Raw_Data\Lab_results\[LabSamples2025_Bioplastic_extra.xlsx]extra_Bioplastic'!A928)</f>
        <v/>
      </c>
      <c r="B928">
        <f>IF(ISBLANK('Q:\Abteilungsprojekte\Eng\EngData\PROJECT_Bioplastics\Renjie_Pan\05-Raw_Data\Lab_results\[LabSamples2025_Bioplastic_extra.xlsx]extra_Bioplastic'!B928)," ",'Q:\Abteilungsprojekte\Eng\EngData\PROJECT_Bioplastics\Renjie_Pan\05-Raw_Data\Lab_results\[LabSamples2025_Bioplastic_extra.xlsx]extra_Bioplastic'!B928)</f>
        <v/>
      </c>
      <c r="C928">
        <f>IF(ISBLANK('Q:\Abteilungsprojekte\Eng\EngData\PROJECT_Bioplastics\Renjie_Pan\05-Raw_Data\Lab_results\[LabSamples2025_Bioplastic_extra.xlsx]extra_Bioplastic'!C928)," ",'Q:\Abteilungsprojekte\Eng\EngData\PROJECT_Bioplastics\Renjie_Pan\05-Raw_Data\Lab_results\[LabSamples2025_Bioplastic_extra.xlsx]extra_Bioplastic'!C928)</f>
        <v/>
      </c>
      <c r="D928">
        <f>IF(ISBLANK('Q:\Abteilungsprojekte\Eng\EngData\PROJECT_Bioplastics\Renjie_Pan\05-Raw_Data\Lab_results\[LabSamples2025_Bioplastic_extra.xlsx]extra_Bioplastic'!D928)," ",'Q:\Abteilungsprojekte\Eng\EngData\PROJECT_Bioplastics\Renjie_Pan\05-Raw_Data\Lab_results\[LabSamples2025_Bioplastic_extra.xlsx]extra_Bioplastic'!D928)</f>
        <v/>
      </c>
      <c r="E928">
        <f>IF(ISBLANK('Q:\Abteilungsprojekte\Eng\EngData\PROJECT_Bioplastics\Renjie_Pan\05-Raw_Data\Lab_results\[LabSamples2025_Bioplastic_extra.xlsx]extra_Bioplastic'!E928)," ",'Q:\Abteilungsprojekte\Eng\EngData\PROJECT_Bioplastics\Renjie_Pan\05-Raw_Data\Lab_results\[LabSamples2025_Bioplastic_extra.xlsx]extra_Bioplastic'!E928)</f>
        <v/>
      </c>
      <c r="F928">
        <f>IF(ISBLANK('Q:\Abteilungsprojekte\Eng\EngData\PROJECT_Bioplastics\Renjie_Pan\05-Raw_Data\Lab_results\[LabSamples2025_Bioplastic_extra.xlsx]extra_Bioplastic'!F928)," ",'Q:\Abteilungsprojekte\Eng\EngData\PROJECT_Bioplastics\Renjie_Pan\05-Raw_Data\Lab_results\[LabSamples2025_Bioplastic_extra.xlsx]extra_Bioplastic'!F928)</f>
        <v/>
      </c>
      <c r="G928">
        <f>IF(ISBLANK('Q:\Abteilungsprojekte\Eng\EngData\PROJECT_Bioplastics\Renjie_Pan\05-Raw_Data\Lab_results\[LabSamples2025_Bioplastic_extra.xlsx]extra_Bioplastic'!G928)," ",'Q:\Abteilungsprojekte\Eng\EngData\PROJECT_Bioplastics\Renjie_Pan\05-Raw_Data\Lab_results\[LabSamples2025_Bioplastic_extra.xlsx]extra_Bioplastic'!G928)</f>
        <v/>
      </c>
      <c r="H928">
        <f>IF(ISBLANK('Q:\Abteilungsprojekte\Eng\EngData\PROJECT_Bioplastics\Renjie_Pan\05-Raw_Data\Lab_results\[LabSamples2025_Bioplastic_extra.xlsx]extra_Bioplastic'!H928)," ",'Q:\Abteilungsprojekte\Eng\EngData\PROJECT_Bioplastics\Renjie_Pan\05-Raw_Data\Lab_results\[LabSamples2025_Bioplastic_extra.xlsx]extra_Bioplastic'!H928)</f>
        <v/>
      </c>
    </row>
    <row r="929">
      <c r="A929">
        <f>IF(ISBLANK('Q:\Abteilungsprojekte\Eng\EngData\PROJECT_Bioplastics\Renjie_Pan\05-Raw_Data\Lab_results\[LabSamples2025_Bioplastic_extra.xlsx]extra_Bioplastic'!A929)," ",'Q:\Abteilungsprojekte\Eng\EngData\PROJECT_Bioplastics\Renjie_Pan\05-Raw_Data\Lab_results\[LabSamples2025_Bioplastic_extra.xlsx]extra_Bioplastic'!A929)</f>
        <v/>
      </c>
      <c r="B929">
        <f>IF(ISBLANK('Q:\Abteilungsprojekte\Eng\EngData\PROJECT_Bioplastics\Renjie_Pan\05-Raw_Data\Lab_results\[LabSamples2025_Bioplastic_extra.xlsx]extra_Bioplastic'!B929)," ",'Q:\Abteilungsprojekte\Eng\EngData\PROJECT_Bioplastics\Renjie_Pan\05-Raw_Data\Lab_results\[LabSamples2025_Bioplastic_extra.xlsx]extra_Bioplastic'!B929)</f>
        <v/>
      </c>
      <c r="C929">
        <f>IF(ISBLANK('Q:\Abteilungsprojekte\Eng\EngData\PROJECT_Bioplastics\Renjie_Pan\05-Raw_Data\Lab_results\[LabSamples2025_Bioplastic_extra.xlsx]extra_Bioplastic'!C929)," ",'Q:\Abteilungsprojekte\Eng\EngData\PROJECT_Bioplastics\Renjie_Pan\05-Raw_Data\Lab_results\[LabSamples2025_Bioplastic_extra.xlsx]extra_Bioplastic'!C929)</f>
        <v/>
      </c>
      <c r="D929">
        <f>IF(ISBLANK('Q:\Abteilungsprojekte\Eng\EngData\PROJECT_Bioplastics\Renjie_Pan\05-Raw_Data\Lab_results\[LabSamples2025_Bioplastic_extra.xlsx]extra_Bioplastic'!D929)," ",'Q:\Abteilungsprojekte\Eng\EngData\PROJECT_Bioplastics\Renjie_Pan\05-Raw_Data\Lab_results\[LabSamples2025_Bioplastic_extra.xlsx]extra_Bioplastic'!D929)</f>
        <v/>
      </c>
      <c r="E929">
        <f>IF(ISBLANK('Q:\Abteilungsprojekte\Eng\EngData\PROJECT_Bioplastics\Renjie_Pan\05-Raw_Data\Lab_results\[LabSamples2025_Bioplastic_extra.xlsx]extra_Bioplastic'!E929)," ",'Q:\Abteilungsprojekte\Eng\EngData\PROJECT_Bioplastics\Renjie_Pan\05-Raw_Data\Lab_results\[LabSamples2025_Bioplastic_extra.xlsx]extra_Bioplastic'!E929)</f>
        <v/>
      </c>
      <c r="F929">
        <f>IF(ISBLANK('Q:\Abteilungsprojekte\Eng\EngData\PROJECT_Bioplastics\Renjie_Pan\05-Raw_Data\Lab_results\[LabSamples2025_Bioplastic_extra.xlsx]extra_Bioplastic'!F929)," ",'Q:\Abteilungsprojekte\Eng\EngData\PROJECT_Bioplastics\Renjie_Pan\05-Raw_Data\Lab_results\[LabSamples2025_Bioplastic_extra.xlsx]extra_Bioplastic'!F929)</f>
        <v/>
      </c>
      <c r="G929">
        <f>IF(ISBLANK('Q:\Abteilungsprojekte\Eng\EngData\PROJECT_Bioplastics\Renjie_Pan\05-Raw_Data\Lab_results\[LabSamples2025_Bioplastic_extra.xlsx]extra_Bioplastic'!G929)," ",'Q:\Abteilungsprojekte\Eng\EngData\PROJECT_Bioplastics\Renjie_Pan\05-Raw_Data\Lab_results\[LabSamples2025_Bioplastic_extra.xlsx]extra_Bioplastic'!G929)</f>
        <v/>
      </c>
      <c r="H929">
        <f>IF(ISBLANK('Q:\Abteilungsprojekte\Eng\EngData\PROJECT_Bioplastics\Renjie_Pan\05-Raw_Data\Lab_results\[LabSamples2025_Bioplastic_extra.xlsx]extra_Bioplastic'!H929)," ",'Q:\Abteilungsprojekte\Eng\EngData\PROJECT_Bioplastics\Renjie_Pan\05-Raw_Data\Lab_results\[LabSamples2025_Bioplastic_extra.xlsx]extra_Bioplastic'!H929)</f>
        <v/>
      </c>
    </row>
    <row r="930">
      <c r="A930">
        <f>IF(ISBLANK('Q:\Abteilungsprojekte\Eng\EngData\PROJECT_Bioplastics\Renjie_Pan\05-Raw_Data\Lab_results\[LabSamples2025_Bioplastic_extra.xlsx]extra_Bioplastic'!A930)," ",'Q:\Abteilungsprojekte\Eng\EngData\PROJECT_Bioplastics\Renjie_Pan\05-Raw_Data\Lab_results\[LabSamples2025_Bioplastic_extra.xlsx]extra_Bioplastic'!A930)</f>
        <v/>
      </c>
      <c r="B930">
        <f>IF(ISBLANK('Q:\Abteilungsprojekte\Eng\EngData\PROJECT_Bioplastics\Renjie_Pan\05-Raw_Data\Lab_results\[LabSamples2025_Bioplastic_extra.xlsx]extra_Bioplastic'!B930)," ",'Q:\Abteilungsprojekte\Eng\EngData\PROJECT_Bioplastics\Renjie_Pan\05-Raw_Data\Lab_results\[LabSamples2025_Bioplastic_extra.xlsx]extra_Bioplastic'!B930)</f>
        <v/>
      </c>
      <c r="C930">
        <f>IF(ISBLANK('Q:\Abteilungsprojekte\Eng\EngData\PROJECT_Bioplastics\Renjie_Pan\05-Raw_Data\Lab_results\[LabSamples2025_Bioplastic_extra.xlsx]extra_Bioplastic'!C930)," ",'Q:\Abteilungsprojekte\Eng\EngData\PROJECT_Bioplastics\Renjie_Pan\05-Raw_Data\Lab_results\[LabSamples2025_Bioplastic_extra.xlsx]extra_Bioplastic'!C930)</f>
        <v/>
      </c>
      <c r="D930">
        <f>IF(ISBLANK('Q:\Abteilungsprojekte\Eng\EngData\PROJECT_Bioplastics\Renjie_Pan\05-Raw_Data\Lab_results\[LabSamples2025_Bioplastic_extra.xlsx]extra_Bioplastic'!D930)," ",'Q:\Abteilungsprojekte\Eng\EngData\PROJECT_Bioplastics\Renjie_Pan\05-Raw_Data\Lab_results\[LabSamples2025_Bioplastic_extra.xlsx]extra_Bioplastic'!D930)</f>
        <v/>
      </c>
      <c r="E930">
        <f>IF(ISBLANK('Q:\Abteilungsprojekte\Eng\EngData\PROJECT_Bioplastics\Renjie_Pan\05-Raw_Data\Lab_results\[LabSamples2025_Bioplastic_extra.xlsx]extra_Bioplastic'!E930)," ",'Q:\Abteilungsprojekte\Eng\EngData\PROJECT_Bioplastics\Renjie_Pan\05-Raw_Data\Lab_results\[LabSamples2025_Bioplastic_extra.xlsx]extra_Bioplastic'!E930)</f>
        <v/>
      </c>
      <c r="F930">
        <f>IF(ISBLANK('Q:\Abteilungsprojekte\Eng\EngData\PROJECT_Bioplastics\Renjie_Pan\05-Raw_Data\Lab_results\[LabSamples2025_Bioplastic_extra.xlsx]extra_Bioplastic'!F930)," ",'Q:\Abteilungsprojekte\Eng\EngData\PROJECT_Bioplastics\Renjie_Pan\05-Raw_Data\Lab_results\[LabSamples2025_Bioplastic_extra.xlsx]extra_Bioplastic'!F930)</f>
        <v/>
      </c>
      <c r="G930">
        <f>IF(ISBLANK('Q:\Abteilungsprojekte\Eng\EngData\PROJECT_Bioplastics\Renjie_Pan\05-Raw_Data\Lab_results\[LabSamples2025_Bioplastic_extra.xlsx]extra_Bioplastic'!G930)," ",'Q:\Abteilungsprojekte\Eng\EngData\PROJECT_Bioplastics\Renjie_Pan\05-Raw_Data\Lab_results\[LabSamples2025_Bioplastic_extra.xlsx]extra_Bioplastic'!G930)</f>
        <v/>
      </c>
      <c r="H930">
        <f>IF(ISBLANK('Q:\Abteilungsprojekte\Eng\EngData\PROJECT_Bioplastics\Renjie_Pan\05-Raw_Data\Lab_results\[LabSamples2025_Bioplastic_extra.xlsx]extra_Bioplastic'!H930)," ",'Q:\Abteilungsprojekte\Eng\EngData\PROJECT_Bioplastics\Renjie_Pan\05-Raw_Data\Lab_results\[LabSamples2025_Bioplastic_extra.xlsx]extra_Bioplastic'!H930)</f>
        <v/>
      </c>
    </row>
    <row r="931">
      <c r="A931">
        <f>IF(ISBLANK('Q:\Abteilungsprojekte\Eng\EngData\PROJECT_Bioplastics\Renjie_Pan\05-Raw_Data\Lab_results\[LabSamples2025_Bioplastic_extra.xlsx]extra_Bioplastic'!A931)," ",'Q:\Abteilungsprojekte\Eng\EngData\PROJECT_Bioplastics\Renjie_Pan\05-Raw_Data\Lab_results\[LabSamples2025_Bioplastic_extra.xlsx]extra_Bioplastic'!A931)</f>
        <v/>
      </c>
      <c r="B931">
        <f>IF(ISBLANK('Q:\Abteilungsprojekte\Eng\EngData\PROJECT_Bioplastics\Renjie_Pan\05-Raw_Data\Lab_results\[LabSamples2025_Bioplastic_extra.xlsx]extra_Bioplastic'!B931)," ",'Q:\Abteilungsprojekte\Eng\EngData\PROJECT_Bioplastics\Renjie_Pan\05-Raw_Data\Lab_results\[LabSamples2025_Bioplastic_extra.xlsx]extra_Bioplastic'!B931)</f>
        <v/>
      </c>
      <c r="C931">
        <f>IF(ISBLANK('Q:\Abteilungsprojekte\Eng\EngData\PROJECT_Bioplastics\Renjie_Pan\05-Raw_Data\Lab_results\[LabSamples2025_Bioplastic_extra.xlsx]extra_Bioplastic'!C931)," ",'Q:\Abteilungsprojekte\Eng\EngData\PROJECT_Bioplastics\Renjie_Pan\05-Raw_Data\Lab_results\[LabSamples2025_Bioplastic_extra.xlsx]extra_Bioplastic'!C931)</f>
        <v/>
      </c>
      <c r="D931">
        <f>IF(ISBLANK('Q:\Abteilungsprojekte\Eng\EngData\PROJECT_Bioplastics\Renjie_Pan\05-Raw_Data\Lab_results\[LabSamples2025_Bioplastic_extra.xlsx]extra_Bioplastic'!D931)," ",'Q:\Abteilungsprojekte\Eng\EngData\PROJECT_Bioplastics\Renjie_Pan\05-Raw_Data\Lab_results\[LabSamples2025_Bioplastic_extra.xlsx]extra_Bioplastic'!D931)</f>
        <v/>
      </c>
      <c r="E931">
        <f>IF(ISBLANK('Q:\Abteilungsprojekte\Eng\EngData\PROJECT_Bioplastics\Renjie_Pan\05-Raw_Data\Lab_results\[LabSamples2025_Bioplastic_extra.xlsx]extra_Bioplastic'!E931)," ",'Q:\Abteilungsprojekte\Eng\EngData\PROJECT_Bioplastics\Renjie_Pan\05-Raw_Data\Lab_results\[LabSamples2025_Bioplastic_extra.xlsx]extra_Bioplastic'!E931)</f>
        <v/>
      </c>
      <c r="F931">
        <f>IF(ISBLANK('Q:\Abteilungsprojekte\Eng\EngData\PROJECT_Bioplastics\Renjie_Pan\05-Raw_Data\Lab_results\[LabSamples2025_Bioplastic_extra.xlsx]extra_Bioplastic'!F931)," ",'Q:\Abteilungsprojekte\Eng\EngData\PROJECT_Bioplastics\Renjie_Pan\05-Raw_Data\Lab_results\[LabSamples2025_Bioplastic_extra.xlsx]extra_Bioplastic'!F931)</f>
        <v/>
      </c>
      <c r="G931">
        <f>IF(ISBLANK('Q:\Abteilungsprojekte\Eng\EngData\PROJECT_Bioplastics\Renjie_Pan\05-Raw_Data\Lab_results\[LabSamples2025_Bioplastic_extra.xlsx]extra_Bioplastic'!G931)," ",'Q:\Abteilungsprojekte\Eng\EngData\PROJECT_Bioplastics\Renjie_Pan\05-Raw_Data\Lab_results\[LabSamples2025_Bioplastic_extra.xlsx]extra_Bioplastic'!G931)</f>
        <v/>
      </c>
      <c r="H931">
        <f>IF(ISBLANK('Q:\Abteilungsprojekte\Eng\EngData\PROJECT_Bioplastics\Renjie_Pan\05-Raw_Data\Lab_results\[LabSamples2025_Bioplastic_extra.xlsx]extra_Bioplastic'!H931)," ",'Q:\Abteilungsprojekte\Eng\EngData\PROJECT_Bioplastics\Renjie_Pan\05-Raw_Data\Lab_results\[LabSamples2025_Bioplastic_extra.xlsx]extra_Bioplastic'!H931)</f>
        <v/>
      </c>
    </row>
    <row r="932">
      <c r="A932">
        <f>IF(ISBLANK('Q:\Abteilungsprojekte\Eng\EngData\PROJECT_Bioplastics\Renjie_Pan\05-Raw_Data\Lab_results\[LabSamples2025_Bioplastic_extra.xlsx]extra_Bioplastic'!A932)," ",'Q:\Abteilungsprojekte\Eng\EngData\PROJECT_Bioplastics\Renjie_Pan\05-Raw_Data\Lab_results\[LabSamples2025_Bioplastic_extra.xlsx]extra_Bioplastic'!A932)</f>
        <v/>
      </c>
      <c r="B932">
        <f>IF(ISBLANK('Q:\Abteilungsprojekte\Eng\EngData\PROJECT_Bioplastics\Renjie_Pan\05-Raw_Data\Lab_results\[LabSamples2025_Bioplastic_extra.xlsx]extra_Bioplastic'!B932)," ",'Q:\Abteilungsprojekte\Eng\EngData\PROJECT_Bioplastics\Renjie_Pan\05-Raw_Data\Lab_results\[LabSamples2025_Bioplastic_extra.xlsx]extra_Bioplastic'!B932)</f>
        <v/>
      </c>
      <c r="C932">
        <f>IF(ISBLANK('Q:\Abteilungsprojekte\Eng\EngData\PROJECT_Bioplastics\Renjie_Pan\05-Raw_Data\Lab_results\[LabSamples2025_Bioplastic_extra.xlsx]extra_Bioplastic'!C932)," ",'Q:\Abteilungsprojekte\Eng\EngData\PROJECT_Bioplastics\Renjie_Pan\05-Raw_Data\Lab_results\[LabSamples2025_Bioplastic_extra.xlsx]extra_Bioplastic'!C932)</f>
        <v/>
      </c>
      <c r="D932">
        <f>IF(ISBLANK('Q:\Abteilungsprojekte\Eng\EngData\PROJECT_Bioplastics\Renjie_Pan\05-Raw_Data\Lab_results\[LabSamples2025_Bioplastic_extra.xlsx]extra_Bioplastic'!D932)," ",'Q:\Abteilungsprojekte\Eng\EngData\PROJECT_Bioplastics\Renjie_Pan\05-Raw_Data\Lab_results\[LabSamples2025_Bioplastic_extra.xlsx]extra_Bioplastic'!D932)</f>
        <v/>
      </c>
      <c r="E932">
        <f>IF(ISBLANK('Q:\Abteilungsprojekte\Eng\EngData\PROJECT_Bioplastics\Renjie_Pan\05-Raw_Data\Lab_results\[LabSamples2025_Bioplastic_extra.xlsx]extra_Bioplastic'!E932)," ",'Q:\Abteilungsprojekte\Eng\EngData\PROJECT_Bioplastics\Renjie_Pan\05-Raw_Data\Lab_results\[LabSamples2025_Bioplastic_extra.xlsx]extra_Bioplastic'!E932)</f>
        <v/>
      </c>
      <c r="F932">
        <f>IF(ISBLANK('Q:\Abteilungsprojekte\Eng\EngData\PROJECT_Bioplastics\Renjie_Pan\05-Raw_Data\Lab_results\[LabSamples2025_Bioplastic_extra.xlsx]extra_Bioplastic'!F932)," ",'Q:\Abteilungsprojekte\Eng\EngData\PROJECT_Bioplastics\Renjie_Pan\05-Raw_Data\Lab_results\[LabSamples2025_Bioplastic_extra.xlsx]extra_Bioplastic'!F932)</f>
        <v/>
      </c>
      <c r="G932">
        <f>IF(ISBLANK('Q:\Abteilungsprojekte\Eng\EngData\PROJECT_Bioplastics\Renjie_Pan\05-Raw_Data\Lab_results\[LabSamples2025_Bioplastic_extra.xlsx]extra_Bioplastic'!G932)," ",'Q:\Abteilungsprojekte\Eng\EngData\PROJECT_Bioplastics\Renjie_Pan\05-Raw_Data\Lab_results\[LabSamples2025_Bioplastic_extra.xlsx]extra_Bioplastic'!G932)</f>
        <v/>
      </c>
      <c r="H932">
        <f>IF(ISBLANK('Q:\Abteilungsprojekte\Eng\EngData\PROJECT_Bioplastics\Renjie_Pan\05-Raw_Data\Lab_results\[LabSamples2025_Bioplastic_extra.xlsx]extra_Bioplastic'!H932)," ",'Q:\Abteilungsprojekte\Eng\EngData\PROJECT_Bioplastics\Renjie_Pan\05-Raw_Data\Lab_results\[LabSamples2025_Bioplastic_extra.xlsx]extra_Bioplastic'!H932)</f>
        <v/>
      </c>
    </row>
    <row r="933">
      <c r="A933">
        <f>IF(ISBLANK('Q:\Abteilungsprojekte\Eng\EngData\PROJECT_Bioplastics\Renjie_Pan\05-Raw_Data\Lab_results\[LabSamples2025_Bioplastic_extra.xlsx]extra_Bioplastic'!A933)," ",'Q:\Abteilungsprojekte\Eng\EngData\PROJECT_Bioplastics\Renjie_Pan\05-Raw_Data\Lab_results\[LabSamples2025_Bioplastic_extra.xlsx]extra_Bioplastic'!A933)</f>
        <v/>
      </c>
      <c r="B933">
        <f>IF(ISBLANK('Q:\Abteilungsprojekte\Eng\EngData\PROJECT_Bioplastics\Renjie_Pan\05-Raw_Data\Lab_results\[LabSamples2025_Bioplastic_extra.xlsx]extra_Bioplastic'!B933)," ",'Q:\Abteilungsprojekte\Eng\EngData\PROJECT_Bioplastics\Renjie_Pan\05-Raw_Data\Lab_results\[LabSamples2025_Bioplastic_extra.xlsx]extra_Bioplastic'!B933)</f>
        <v/>
      </c>
      <c r="C933">
        <f>IF(ISBLANK('Q:\Abteilungsprojekte\Eng\EngData\PROJECT_Bioplastics\Renjie_Pan\05-Raw_Data\Lab_results\[LabSamples2025_Bioplastic_extra.xlsx]extra_Bioplastic'!C933)," ",'Q:\Abteilungsprojekte\Eng\EngData\PROJECT_Bioplastics\Renjie_Pan\05-Raw_Data\Lab_results\[LabSamples2025_Bioplastic_extra.xlsx]extra_Bioplastic'!C933)</f>
        <v/>
      </c>
      <c r="D933">
        <f>IF(ISBLANK('Q:\Abteilungsprojekte\Eng\EngData\PROJECT_Bioplastics\Renjie_Pan\05-Raw_Data\Lab_results\[LabSamples2025_Bioplastic_extra.xlsx]extra_Bioplastic'!D933)," ",'Q:\Abteilungsprojekte\Eng\EngData\PROJECT_Bioplastics\Renjie_Pan\05-Raw_Data\Lab_results\[LabSamples2025_Bioplastic_extra.xlsx]extra_Bioplastic'!D933)</f>
        <v/>
      </c>
      <c r="E933">
        <f>IF(ISBLANK('Q:\Abteilungsprojekte\Eng\EngData\PROJECT_Bioplastics\Renjie_Pan\05-Raw_Data\Lab_results\[LabSamples2025_Bioplastic_extra.xlsx]extra_Bioplastic'!E933)," ",'Q:\Abteilungsprojekte\Eng\EngData\PROJECT_Bioplastics\Renjie_Pan\05-Raw_Data\Lab_results\[LabSamples2025_Bioplastic_extra.xlsx]extra_Bioplastic'!E933)</f>
        <v/>
      </c>
      <c r="F933">
        <f>IF(ISBLANK('Q:\Abteilungsprojekte\Eng\EngData\PROJECT_Bioplastics\Renjie_Pan\05-Raw_Data\Lab_results\[LabSamples2025_Bioplastic_extra.xlsx]extra_Bioplastic'!F933)," ",'Q:\Abteilungsprojekte\Eng\EngData\PROJECT_Bioplastics\Renjie_Pan\05-Raw_Data\Lab_results\[LabSamples2025_Bioplastic_extra.xlsx]extra_Bioplastic'!F933)</f>
        <v/>
      </c>
      <c r="G933">
        <f>IF(ISBLANK('Q:\Abteilungsprojekte\Eng\EngData\PROJECT_Bioplastics\Renjie_Pan\05-Raw_Data\Lab_results\[LabSamples2025_Bioplastic_extra.xlsx]extra_Bioplastic'!G933)," ",'Q:\Abteilungsprojekte\Eng\EngData\PROJECT_Bioplastics\Renjie_Pan\05-Raw_Data\Lab_results\[LabSamples2025_Bioplastic_extra.xlsx]extra_Bioplastic'!G933)</f>
        <v/>
      </c>
      <c r="H933">
        <f>IF(ISBLANK('Q:\Abteilungsprojekte\Eng\EngData\PROJECT_Bioplastics\Renjie_Pan\05-Raw_Data\Lab_results\[LabSamples2025_Bioplastic_extra.xlsx]extra_Bioplastic'!H933)," ",'Q:\Abteilungsprojekte\Eng\EngData\PROJECT_Bioplastics\Renjie_Pan\05-Raw_Data\Lab_results\[LabSamples2025_Bioplastic_extra.xlsx]extra_Bioplastic'!H933)</f>
        <v/>
      </c>
    </row>
    <row r="934">
      <c r="A934">
        <f>IF(ISBLANK('Q:\Abteilungsprojekte\Eng\EngData\PROJECT_Bioplastics\Renjie_Pan\05-Raw_Data\Lab_results\[LabSamples2025_Bioplastic_extra.xlsx]extra_Bioplastic'!A934)," ",'Q:\Abteilungsprojekte\Eng\EngData\PROJECT_Bioplastics\Renjie_Pan\05-Raw_Data\Lab_results\[LabSamples2025_Bioplastic_extra.xlsx]extra_Bioplastic'!A934)</f>
        <v/>
      </c>
      <c r="B934">
        <f>IF(ISBLANK('Q:\Abteilungsprojekte\Eng\EngData\PROJECT_Bioplastics\Renjie_Pan\05-Raw_Data\Lab_results\[LabSamples2025_Bioplastic_extra.xlsx]extra_Bioplastic'!B934)," ",'Q:\Abteilungsprojekte\Eng\EngData\PROJECT_Bioplastics\Renjie_Pan\05-Raw_Data\Lab_results\[LabSamples2025_Bioplastic_extra.xlsx]extra_Bioplastic'!B934)</f>
        <v/>
      </c>
      <c r="C934">
        <f>IF(ISBLANK('Q:\Abteilungsprojekte\Eng\EngData\PROJECT_Bioplastics\Renjie_Pan\05-Raw_Data\Lab_results\[LabSamples2025_Bioplastic_extra.xlsx]extra_Bioplastic'!C934)," ",'Q:\Abteilungsprojekte\Eng\EngData\PROJECT_Bioplastics\Renjie_Pan\05-Raw_Data\Lab_results\[LabSamples2025_Bioplastic_extra.xlsx]extra_Bioplastic'!C934)</f>
        <v/>
      </c>
      <c r="D934">
        <f>IF(ISBLANK('Q:\Abteilungsprojekte\Eng\EngData\PROJECT_Bioplastics\Renjie_Pan\05-Raw_Data\Lab_results\[LabSamples2025_Bioplastic_extra.xlsx]extra_Bioplastic'!D934)," ",'Q:\Abteilungsprojekte\Eng\EngData\PROJECT_Bioplastics\Renjie_Pan\05-Raw_Data\Lab_results\[LabSamples2025_Bioplastic_extra.xlsx]extra_Bioplastic'!D934)</f>
        <v/>
      </c>
      <c r="E934">
        <f>IF(ISBLANK('Q:\Abteilungsprojekte\Eng\EngData\PROJECT_Bioplastics\Renjie_Pan\05-Raw_Data\Lab_results\[LabSamples2025_Bioplastic_extra.xlsx]extra_Bioplastic'!E934)," ",'Q:\Abteilungsprojekte\Eng\EngData\PROJECT_Bioplastics\Renjie_Pan\05-Raw_Data\Lab_results\[LabSamples2025_Bioplastic_extra.xlsx]extra_Bioplastic'!E934)</f>
        <v/>
      </c>
      <c r="F934">
        <f>IF(ISBLANK('Q:\Abteilungsprojekte\Eng\EngData\PROJECT_Bioplastics\Renjie_Pan\05-Raw_Data\Lab_results\[LabSamples2025_Bioplastic_extra.xlsx]extra_Bioplastic'!F934)," ",'Q:\Abteilungsprojekte\Eng\EngData\PROJECT_Bioplastics\Renjie_Pan\05-Raw_Data\Lab_results\[LabSamples2025_Bioplastic_extra.xlsx]extra_Bioplastic'!F934)</f>
        <v/>
      </c>
      <c r="G934">
        <f>IF(ISBLANK('Q:\Abteilungsprojekte\Eng\EngData\PROJECT_Bioplastics\Renjie_Pan\05-Raw_Data\Lab_results\[LabSamples2025_Bioplastic_extra.xlsx]extra_Bioplastic'!G934)," ",'Q:\Abteilungsprojekte\Eng\EngData\PROJECT_Bioplastics\Renjie_Pan\05-Raw_Data\Lab_results\[LabSamples2025_Bioplastic_extra.xlsx]extra_Bioplastic'!G934)</f>
        <v/>
      </c>
      <c r="H934">
        <f>IF(ISBLANK('Q:\Abteilungsprojekte\Eng\EngData\PROJECT_Bioplastics\Renjie_Pan\05-Raw_Data\Lab_results\[LabSamples2025_Bioplastic_extra.xlsx]extra_Bioplastic'!H934)," ",'Q:\Abteilungsprojekte\Eng\EngData\PROJECT_Bioplastics\Renjie_Pan\05-Raw_Data\Lab_results\[LabSamples2025_Bioplastic_extra.xlsx]extra_Bioplastic'!H934)</f>
        <v/>
      </c>
    </row>
    <row r="935">
      <c r="A935">
        <f>IF(ISBLANK('Q:\Abteilungsprojekte\Eng\EngData\PROJECT_Bioplastics\Renjie_Pan\05-Raw_Data\Lab_results\[LabSamples2025_Bioplastic_extra.xlsx]extra_Bioplastic'!A935)," ",'Q:\Abteilungsprojekte\Eng\EngData\PROJECT_Bioplastics\Renjie_Pan\05-Raw_Data\Lab_results\[LabSamples2025_Bioplastic_extra.xlsx]extra_Bioplastic'!A935)</f>
        <v/>
      </c>
      <c r="B935">
        <f>IF(ISBLANK('Q:\Abteilungsprojekte\Eng\EngData\PROJECT_Bioplastics\Renjie_Pan\05-Raw_Data\Lab_results\[LabSamples2025_Bioplastic_extra.xlsx]extra_Bioplastic'!B935)," ",'Q:\Abteilungsprojekte\Eng\EngData\PROJECT_Bioplastics\Renjie_Pan\05-Raw_Data\Lab_results\[LabSamples2025_Bioplastic_extra.xlsx]extra_Bioplastic'!B935)</f>
        <v/>
      </c>
      <c r="C935">
        <f>IF(ISBLANK('Q:\Abteilungsprojekte\Eng\EngData\PROJECT_Bioplastics\Renjie_Pan\05-Raw_Data\Lab_results\[LabSamples2025_Bioplastic_extra.xlsx]extra_Bioplastic'!C935)," ",'Q:\Abteilungsprojekte\Eng\EngData\PROJECT_Bioplastics\Renjie_Pan\05-Raw_Data\Lab_results\[LabSamples2025_Bioplastic_extra.xlsx]extra_Bioplastic'!C935)</f>
        <v/>
      </c>
      <c r="D935">
        <f>IF(ISBLANK('Q:\Abteilungsprojekte\Eng\EngData\PROJECT_Bioplastics\Renjie_Pan\05-Raw_Data\Lab_results\[LabSamples2025_Bioplastic_extra.xlsx]extra_Bioplastic'!D935)," ",'Q:\Abteilungsprojekte\Eng\EngData\PROJECT_Bioplastics\Renjie_Pan\05-Raw_Data\Lab_results\[LabSamples2025_Bioplastic_extra.xlsx]extra_Bioplastic'!D935)</f>
        <v/>
      </c>
      <c r="E935">
        <f>IF(ISBLANK('Q:\Abteilungsprojekte\Eng\EngData\PROJECT_Bioplastics\Renjie_Pan\05-Raw_Data\Lab_results\[LabSamples2025_Bioplastic_extra.xlsx]extra_Bioplastic'!E935)," ",'Q:\Abteilungsprojekte\Eng\EngData\PROJECT_Bioplastics\Renjie_Pan\05-Raw_Data\Lab_results\[LabSamples2025_Bioplastic_extra.xlsx]extra_Bioplastic'!E935)</f>
        <v/>
      </c>
      <c r="F935">
        <f>IF(ISBLANK('Q:\Abteilungsprojekte\Eng\EngData\PROJECT_Bioplastics\Renjie_Pan\05-Raw_Data\Lab_results\[LabSamples2025_Bioplastic_extra.xlsx]extra_Bioplastic'!F935)," ",'Q:\Abteilungsprojekte\Eng\EngData\PROJECT_Bioplastics\Renjie_Pan\05-Raw_Data\Lab_results\[LabSamples2025_Bioplastic_extra.xlsx]extra_Bioplastic'!F935)</f>
        <v/>
      </c>
      <c r="G935">
        <f>IF(ISBLANK('Q:\Abteilungsprojekte\Eng\EngData\PROJECT_Bioplastics\Renjie_Pan\05-Raw_Data\Lab_results\[LabSamples2025_Bioplastic_extra.xlsx]extra_Bioplastic'!G935)," ",'Q:\Abteilungsprojekte\Eng\EngData\PROJECT_Bioplastics\Renjie_Pan\05-Raw_Data\Lab_results\[LabSamples2025_Bioplastic_extra.xlsx]extra_Bioplastic'!G935)</f>
        <v/>
      </c>
      <c r="H935">
        <f>IF(ISBLANK('Q:\Abteilungsprojekte\Eng\EngData\PROJECT_Bioplastics\Renjie_Pan\05-Raw_Data\Lab_results\[LabSamples2025_Bioplastic_extra.xlsx]extra_Bioplastic'!H935)," ",'Q:\Abteilungsprojekte\Eng\EngData\PROJECT_Bioplastics\Renjie_Pan\05-Raw_Data\Lab_results\[LabSamples2025_Bioplastic_extra.xlsx]extra_Bioplastic'!H935)</f>
        <v/>
      </c>
    </row>
    <row r="936">
      <c r="A936">
        <f>IF(ISBLANK('Q:\Abteilungsprojekte\Eng\EngData\PROJECT_Bioplastics\Renjie_Pan\05-Raw_Data\Lab_results\[LabSamples2025_Bioplastic_extra.xlsx]extra_Bioplastic'!A936)," ",'Q:\Abteilungsprojekte\Eng\EngData\PROJECT_Bioplastics\Renjie_Pan\05-Raw_Data\Lab_results\[LabSamples2025_Bioplastic_extra.xlsx]extra_Bioplastic'!A936)</f>
        <v/>
      </c>
      <c r="B936">
        <f>IF(ISBLANK('Q:\Abteilungsprojekte\Eng\EngData\PROJECT_Bioplastics\Renjie_Pan\05-Raw_Data\Lab_results\[LabSamples2025_Bioplastic_extra.xlsx]extra_Bioplastic'!B936)," ",'Q:\Abteilungsprojekte\Eng\EngData\PROJECT_Bioplastics\Renjie_Pan\05-Raw_Data\Lab_results\[LabSamples2025_Bioplastic_extra.xlsx]extra_Bioplastic'!B936)</f>
        <v/>
      </c>
      <c r="C936">
        <f>IF(ISBLANK('Q:\Abteilungsprojekte\Eng\EngData\PROJECT_Bioplastics\Renjie_Pan\05-Raw_Data\Lab_results\[LabSamples2025_Bioplastic_extra.xlsx]extra_Bioplastic'!C936)," ",'Q:\Abteilungsprojekte\Eng\EngData\PROJECT_Bioplastics\Renjie_Pan\05-Raw_Data\Lab_results\[LabSamples2025_Bioplastic_extra.xlsx]extra_Bioplastic'!C936)</f>
        <v/>
      </c>
      <c r="D936">
        <f>IF(ISBLANK('Q:\Abteilungsprojekte\Eng\EngData\PROJECT_Bioplastics\Renjie_Pan\05-Raw_Data\Lab_results\[LabSamples2025_Bioplastic_extra.xlsx]extra_Bioplastic'!D936)," ",'Q:\Abteilungsprojekte\Eng\EngData\PROJECT_Bioplastics\Renjie_Pan\05-Raw_Data\Lab_results\[LabSamples2025_Bioplastic_extra.xlsx]extra_Bioplastic'!D936)</f>
        <v/>
      </c>
      <c r="E936">
        <f>IF(ISBLANK('Q:\Abteilungsprojekte\Eng\EngData\PROJECT_Bioplastics\Renjie_Pan\05-Raw_Data\Lab_results\[LabSamples2025_Bioplastic_extra.xlsx]extra_Bioplastic'!E936)," ",'Q:\Abteilungsprojekte\Eng\EngData\PROJECT_Bioplastics\Renjie_Pan\05-Raw_Data\Lab_results\[LabSamples2025_Bioplastic_extra.xlsx]extra_Bioplastic'!E936)</f>
        <v/>
      </c>
      <c r="F936">
        <f>IF(ISBLANK('Q:\Abteilungsprojekte\Eng\EngData\PROJECT_Bioplastics\Renjie_Pan\05-Raw_Data\Lab_results\[LabSamples2025_Bioplastic_extra.xlsx]extra_Bioplastic'!F936)," ",'Q:\Abteilungsprojekte\Eng\EngData\PROJECT_Bioplastics\Renjie_Pan\05-Raw_Data\Lab_results\[LabSamples2025_Bioplastic_extra.xlsx]extra_Bioplastic'!F936)</f>
        <v/>
      </c>
      <c r="G936">
        <f>IF(ISBLANK('Q:\Abteilungsprojekte\Eng\EngData\PROJECT_Bioplastics\Renjie_Pan\05-Raw_Data\Lab_results\[LabSamples2025_Bioplastic_extra.xlsx]extra_Bioplastic'!G936)," ",'Q:\Abteilungsprojekte\Eng\EngData\PROJECT_Bioplastics\Renjie_Pan\05-Raw_Data\Lab_results\[LabSamples2025_Bioplastic_extra.xlsx]extra_Bioplastic'!G936)</f>
        <v/>
      </c>
      <c r="H936">
        <f>IF(ISBLANK('Q:\Abteilungsprojekte\Eng\EngData\PROJECT_Bioplastics\Renjie_Pan\05-Raw_Data\Lab_results\[LabSamples2025_Bioplastic_extra.xlsx]extra_Bioplastic'!H936)," ",'Q:\Abteilungsprojekte\Eng\EngData\PROJECT_Bioplastics\Renjie_Pan\05-Raw_Data\Lab_results\[LabSamples2025_Bioplastic_extra.xlsx]extra_Bioplastic'!H936)</f>
        <v/>
      </c>
    </row>
    <row r="937">
      <c r="A937">
        <f>IF(ISBLANK('Q:\Abteilungsprojekte\Eng\EngData\PROJECT_Bioplastics\Renjie_Pan\05-Raw_Data\Lab_results\[LabSamples2025_Bioplastic_extra.xlsx]extra_Bioplastic'!A937)," ",'Q:\Abteilungsprojekte\Eng\EngData\PROJECT_Bioplastics\Renjie_Pan\05-Raw_Data\Lab_results\[LabSamples2025_Bioplastic_extra.xlsx]extra_Bioplastic'!A937)</f>
        <v/>
      </c>
      <c r="B937">
        <f>IF(ISBLANK('Q:\Abteilungsprojekte\Eng\EngData\PROJECT_Bioplastics\Renjie_Pan\05-Raw_Data\Lab_results\[LabSamples2025_Bioplastic_extra.xlsx]extra_Bioplastic'!B937)," ",'Q:\Abteilungsprojekte\Eng\EngData\PROJECT_Bioplastics\Renjie_Pan\05-Raw_Data\Lab_results\[LabSamples2025_Bioplastic_extra.xlsx]extra_Bioplastic'!B937)</f>
        <v/>
      </c>
      <c r="C937">
        <f>IF(ISBLANK('Q:\Abteilungsprojekte\Eng\EngData\PROJECT_Bioplastics\Renjie_Pan\05-Raw_Data\Lab_results\[LabSamples2025_Bioplastic_extra.xlsx]extra_Bioplastic'!C937)," ",'Q:\Abteilungsprojekte\Eng\EngData\PROJECT_Bioplastics\Renjie_Pan\05-Raw_Data\Lab_results\[LabSamples2025_Bioplastic_extra.xlsx]extra_Bioplastic'!C937)</f>
        <v/>
      </c>
      <c r="D937">
        <f>IF(ISBLANK('Q:\Abteilungsprojekte\Eng\EngData\PROJECT_Bioplastics\Renjie_Pan\05-Raw_Data\Lab_results\[LabSamples2025_Bioplastic_extra.xlsx]extra_Bioplastic'!D937)," ",'Q:\Abteilungsprojekte\Eng\EngData\PROJECT_Bioplastics\Renjie_Pan\05-Raw_Data\Lab_results\[LabSamples2025_Bioplastic_extra.xlsx]extra_Bioplastic'!D937)</f>
        <v/>
      </c>
      <c r="E937">
        <f>IF(ISBLANK('Q:\Abteilungsprojekte\Eng\EngData\PROJECT_Bioplastics\Renjie_Pan\05-Raw_Data\Lab_results\[LabSamples2025_Bioplastic_extra.xlsx]extra_Bioplastic'!E937)," ",'Q:\Abteilungsprojekte\Eng\EngData\PROJECT_Bioplastics\Renjie_Pan\05-Raw_Data\Lab_results\[LabSamples2025_Bioplastic_extra.xlsx]extra_Bioplastic'!E937)</f>
        <v/>
      </c>
      <c r="F937">
        <f>IF(ISBLANK('Q:\Abteilungsprojekte\Eng\EngData\PROJECT_Bioplastics\Renjie_Pan\05-Raw_Data\Lab_results\[LabSamples2025_Bioplastic_extra.xlsx]extra_Bioplastic'!F937)," ",'Q:\Abteilungsprojekte\Eng\EngData\PROJECT_Bioplastics\Renjie_Pan\05-Raw_Data\Lab_results\[LabSamples2025_Bioplastic_extra.xlsx]extra_Bioplastic'!F937)</f>
        <v/>
      </c>
      <c r="G937">
        <f>IF(ISBLANK('Q:\Abteilungsprojekte\Eng\EngData\PROJECT_Bioplastics\Renjie_Pan\05-Raw_Data\Lab_results\[LabSamples2025_Bioplastic_extra.xlsx]extra_Bioplastic'!G937)," ",'Q:\Abteilungsprojekte\Eng\EngData\PROJECT_Bioplastics\Renjie_Pan\05-Raw_Data\Lab_results\[LabSamples2025_Bioplastic_extra.xlsx]extra_Bioplastic'!G937)</f>
        <v/>
      </c>
      <c r="H937">
        <f>IF(ISBLANK('Q:\Abteilungsprojekte\Eng\EngData\PROJECT_Bioplastics\Renjie_Pan\05-Raw_Data\Lab_results\[LabSamples2025_Bioplastic_extra.xlsx]extra_Bioplastic'!H937)," ",'Q:\Abteilungsprojekte\Eng\EngData\PROJECT_Bioplastics\Renjie_Pan\05-Raw_Data\Lab_results\[LabSamples2025_Bioplastic_extra.xlsx]extra_Bioplastic'!H937)</f>
        <v/>
      </c>
    </row>
    <row r="938">
      <c r="A938">
        <f>IF(ISBLANK('Q:\Abteilungsprojekte\Eng\EngData\PROJECT_Bioplastics\Renjie_Pan\05-Raw_Data\Lab_results\[LabSamples2025_Bioplastic_extra.xlsx]extra_Bioplastic'!A938)," ",'Q:\Abteilungsprojekte\Eng\EngData\PROJECT_Bioplastics\Renjie_Pan\05-Raw_Data\Lab_results\[LabSamples2025_Bioplastic_extra.xlsx]extra_Bioplastic'!A938)</f>
        <v/>
      </c>
      <c r="B938">
        <f>IF(ISBLANK('Q:\Abteilungsprojekte\Eng\EngData\PROJECT_Bioplastics\Renjie_Pan\05-Raw_Data\Lab_results\[LabSamples2025_Bioplastic_extra.xlsx]extra_Bioplastic'!B938)," ",'Q:\Abteilungsprojekte\Eng\EngData\PROJECT_Bioplastics\Renjie_Pan\05-Raw_Data\Lab_results\[LabSamples2025_Bioplastic_extra.xlsx]extra_Bioplastic'!B938)</f>
        <v/>
      </c>
      <c r="C938">
        <f>IF(ISBLANK('Q:\Abteilungsprojekte\Eng\EngData\PROJECT_Bioplastics\Renjie_Pan\05-Raw_Data\Lab_results\[LabSamples2025_Bioplastic_extra.xlsx]extra_Bioplastic'!C938)," ",'Q:\Abteilungsprojekte\Eng\EngData\PROJECT_Bioplastics\Renjie_Pan\05-Raw_Data\Lab_results\[LabSamples2025_Bioplastic_extra.xlsx]extra_Bioplastic'!C938)</f>
        <v/>
      </c>
      <c r="D938">
        <f>IF(ISBLANK('Q:\Abteilungsprojekte\Eng\EngData\PROJECT_Bioplastics\Renjie_Pan\05-Raw_Data\Lab_results\[LabSamples2025_Bioplastic_extra.xlsx]extra_Bioplastic'!D938)," ",'Q:\Abteilungsprojekte\Eng\EngData\PROJECT_Bioplastics\Renjie_Pan\05-Raw_Data\Lab_results\[LabSamples2025_Bioplastic_extra.xlsx]extra_Bioplastic'!D938)</f>
        <v/>
      </c>
      <c r="E938">
        <f>IF(ISBLANK('Q:\Abteilungsprojekte\Eng\EngData\PROJECT_Bioplastics\Renjie_Pan\05-Raw_Data\Lab_results\[LabSamples2025_Bioplastic_extra.xlsx]extra_Bioplastic'!E938)," ",'Q:\Abteilungsprojekte\Eng\EngData\PROJECT_Bioplastics\Renjie_Pan\05-Raw_Data\Lab_results\[LabSamples2025_Bioplastic_extra.xlsx]extra_Bioplastic'!E938)</f>
        <v/>
      </c>
      <c r="F938">
        <f>IF(ISBLANK('Q:\Abteilungsprojekte\Eng\EngData\PROJECT_Bioplastics\Renjie_Pan\05-Raw_Data\Lab_results\[LabSamples2025_Bioplastic_extra.xlsx]extra_Bioplastic'!F938)," ",'Q:\Abteilungsprojekte\Eng\EngData\PROJECT_Bioplastics\Renjie_Pan\05-Raw_Data\Lab_results\[LabSamples2025_Bioplastic_extra.xlsx]extra_Bioplastic'!F938)</f>
        <v/>
      </c>
      <c r="G938">
        <f>IF(ISBLANK('Q:\Abteilungsprojekte\Eng\EngData\PROJECT_Bioplastics\Renjie_Pan\05-Raw_Data\Lab_results\[LabSamples2025_Bioplastic_extra.xlsx]extra_Bioplastic'!G938)," ",'Q:\Abteilungsprojekte\Eng\EngData\PROJECT_Bioplastics\Renjie_Pan\05-Raw_Data\Lab_results\[LabSamples2025_Bioplastic_extra.xlsx]extra_Bioplastic'!G938)</f>
        <v/>
      </c>
      <c r="H938">
        <f>IF(ISBLANK('Q:\Abteilungsprojekte\Eng\EngData\PROJECT_Bioplastics\Renjie_Pan\05-Raw_Data\Lab_results\[LabSamples2025_Bioplastic_extra.xlsx]extra_Bioplastic'!H938)," ",'Q:\Abteilungsprojekte\Eng\EngData\PROJECT_Bioplastics\Renjie_Pan\05-Raw_Data\Lab_results\[LabSamples2025_Bioplastic_extra.xlsx]extra_Bioplastic'!H938)</f>
        <v/>
      </c>
    </row>
    <row r="939">
      <c r="A939">
        <f>IF(ISBLANK('Q:\Abteilungsprojekte\Eng\EngData\PROJECT_Bioplastics\Renjie_Pan\05-Raw_Data\Lab_results\[LabSamples2025_Bioplastic_extra.xlsx]extra_Bioplastic'!A939)," ",'Q:\Abteilungsprojekte\Eng\EngData\PROJECT_Bioplastics\Renjie_Pan\05-Raw_Data\Lab_results\[LabSamples2025_Bioplastic_extra.xlsx]extra_Bioplastic'!A939)</f>
        <v/>
      </c>
      <c r="B939">
        <f>IF(ISBLANK('Q:\Abteilungsprojekte\Eng\EngData\PROJECT_Bioplastics\Renjie_Pan\05-Raw_Data\Lab_results\[LabSamples2025_Bioplastic_extra.xlsx]extra_Bioplastic'!B939)," ",'Q:\Abteilungsprojekte\Eng\EngData\PROJECT_Bioplastics\Renjie_Pan\05-Raw_Data\Lab_results\[LabSamples2025_Bioplastic_extra.xlsx]extra_Bioplastic'!B939)</f>
        <v/>
      </c>
      <c r="C939">
        <f>IF(ISBLANK('Q:\Abteilungsprojekte\Eng\EngData\PROJECT_Bioplastics\Renjie_Pan\05-Raw_Data\Lab_results\[LabSamples2025_Bioplastic_extra.xlsx]extra_Bioplastic'!C939)," ",'Q:\Abteilungsprojekte\Eng\EngData\PROJECT_Bioplastics\Renjie_Pan\05-Raw_Data\Lab_results\[LabSamples2025_Bioplastic_extra.xlsx]extra_Bioplastic'!C939)</f>
        <v/>
      </c>
      <c r="D939">
        <f>IF(ISBLANK('Q:\Abteilungsprojekte\Eng\EngData\PROJECT_Bioplastics\Renjie_Pan\05-Raw_Data\Lab_results\[LabSamples2025_Bioplastic_extra.xlsx]extra_Bioplastic'!D939)," ",'Q:\Abteilungsprojekte\Eng\EngData\PROJECT_Bioplastics\Renjie_Pan\05-Raw_Data\Lab_results\[LabSamples2025_Bioplastic_extra.xlsx]extra_Bioplastic'!D939)</f>
        <v/>
      </c>
      <c r="E939">
        <f>IF(ISBLANK('Q:\Abteilungsprojekte\Eng\EngData\PROJECT_Bioplastics\Renjie_Pan\05-Raw_Data\Lab_results\[LabSamples2025_Bioplastic_extra.xlsx]extra_Bioplastic'!E939)," ",'Q:\Abteilungsprojekte\Eng\EngData\PROJECT_Bioplastics\Renjie_Pan\05-Raw_Data\Lab_results\[LabSamples2025_Bioplastic_extra.xlsx]extra_Bioplastic'!E939)</f>
        <v/>
      </c>
      <c r="F939">
        <f>IF(ISBLANK('Q:\Abteilungsprojekte\Eng\EngData\PROJECT_Bioplastics\Renjie_Pan\05-Raw_Data\Lab_results\[LabSamples2025_Bioplastic_extra.xlsx]extra_Bioplastic'!F939)," ",'Q:\Abteilungsprojekte\Eng\EngData\PROJECT_Bioplastics\Renjie_Pan\05-Raw_Data\Lab_results\[LabSamples2025_Bioplastic_extra.xlsx]extra_Bioplastic'!F939)</f>
        <v/>
      </c>
      <c r="G939">
        <f>IF(ISBLANK('Q:\Abteilungsprojekte\Eng\EngData\PROJECT_Bioplastics\Renjie_Pan\05-Raw_Data\Lab_results\[LabSamples2025_Bioplastic_extra.xlsx]extra_Bioplastic'!G939)," ",'Q:\Abteilungsprojekte\Eng\EngData\PROJECT_Bioplastics\Renjie_Pan\05-Raw_Data\Lab_results\[LabSamples2025_Bioplastic_extra.xlsx]extra_Bioplastic'!G939)</f>
        <v/>
      </c>
      <c r="H939">
        <f>IF(ISBLANK('Q:\Abteilungsprojekte\Eng\EngData\PROJECT_Bioplastics\Renjie_Pan\05-Raw_Data\Lab_results\[LabSamples2025_Bioplastic_extra.xlsx]extra_Bioplastic'!H939)," ",'Q:\Abteilungsprojekte\Eng\EngData\PROJECT_Bioplastics\Renjie_Pan\05-Raw_Data\Lab_results\[LabSamples2025_Bioplastic_extra.xlsx]extra_Bioplastic'!H939)</f>
        <v/>
      </c>
    </row>
    <row r="940">
      <c r="A940">
        <f>IF(ISBLANK('Q:\Abteilungsprojekte\Eng\EngData\PROJECT_Bioplastics\Renjie_Pan\05-Raw_Data\Lab_results\[LabSamples2025_Bioplastic_extra.xlsx]extra_Bioplastic'!A940)," ",'Q:\Abteilungsprojekte\Eng\EngData\PROJECT_Bioplastics\Renjie_Pan\05-Raw_Data\Lab_results\[LabSamples2025_Bioplastic_extra.xlsx]extra_Bioplastic'!A940)</f>
        <v/>
      </c>
      <c r="B940">
        <f>IF(ISBLANK('Q:\Abteilungsprojekte\Eng\EngData\PROJECT_Bioplastics\Renjie_Pan\05-Raw_Data\Lab_results\[LabSamples2025_Bioplastic_extra.xlsx]extra_Bioplastic'!B940)," ",'Q:\Abteilungsprojekte\Eng\EngData\PROJECT_Bioplastics\Renjie_Pan\05-Raw_Data\Lab_results\[LabSamples2025_Bioplastic_extra.xlsx]extra_Bioplastic'!B940)</f>
        <v/>
      </c>
      <c r="C940">
        <f>IF(ISBLANK('Q:\Abteilungsprojekte\Eng\EngData\PROJECT_Bioplastics\Renjie_Pan\05-Raw_Data\Lab_results\[LabSamples2025_Bioplastic_extra.xlsx]extra_Bioplastic'!C940)," ",'Q:\Abteilungsprojekte\Eng\EngData\PROJECT_Bioplastics\Renjie_Pan\05-Raw_Data\Lab_results\[LabSamples2025_Bioplastic_extra.xlsx]extra_Bioplastic'!C940)</f>
        <v/>
      </c>
      <c r="D940">
        <f>IF(ISBLANK('Q:\Abteilungsprojekte\Eng\EngData\PROJECT_Bioplastics\Renjie_Pan\05-Raw_Data\Lab_results\[LabSamples2025_Bioplastic_extra.xlsx]extra_Bioplastic'!D940)," ",'Q:\Abteilungsprojekte\Eng\EngData\PROJECT_Bioplastics\Renjie_Pan\05-Raw_Data\Lab_results\[LabSamples2025_Bioplastic_extra.xlsx]extra_Bioplastic'!D940)</f>
        <v/>
      </c>
      <c r="E940">
        <f>IF(ISBLANK('Q:\Abteilungsprojekte\Eng\EngData\PROJECT_Bioplastics\Renjie_Pan\05-Raw_Data\Lab_results\[LabSamples2025_Bioplastic_extra.xlsx]extra_Bioplastic'!E940)," ",'Q:\Abteilungsprojekte\Eng\EngData\PROJECT_Bioplastics\Renjie_Pan\05-Raw_Data\Lab_results\[LabSamples2025_Bioplastic_extra.xlsx]extra_Bioplastic'!E940)</f>
        <v/>
      </c>
      <c r="F940">
        <f>IF(ISBLANK('Q:\Abteilungsprojekte\Eng\EngData\PROJECT_Bioplastics\Renjie_Pan\05-Raw_Data\Lab_results\[LabSamples2025_Bioplastic_extra.xlsx]extra_Bioplastic'!F940)," ",'Q:\Abteilungsprojekte\Eng\EngData\PROJECT_Bioplastics\Renjie_Pan\05-Raw_Data\Lab_results\[LabSamples2025_Bioplastic_extra.xlsx]extra_Bioplastic'!F940)</f>
        <v/>
      </c>
      <c r="G940">
        <f>IF(ISBLANK('Q:\Abteilungsprojekte\Eng\EngData\PROJECT_Bioplastics\Renjie_Pan\05-Raw_Data\Lab_results\[LabSamples2025_Bioplastic_extra.xlsx]extra_Bioplastic'!G940)," ",'Q:\Abteilungsprojekte\Eng\EngData\PROJECT_Bioplastics\Renjie_Pan\05-Raw_Data\Lab_results\[LabSamples2025_Bioplastic_extra.xlsx]extra_Bioplastic'!G940)</f>
        <v/>
      </c>
      <c r="H940">
        <f>IF(ISBLANK('Q:\Abteilungsprojekte\Eng\EngData\PROJECT_Bioplastics\Renjie_Pan\05-Raw_Data\Lab_results\[LabSamples2025_Bioplastic_extra.xlsx]extra_Bioplastic'!H940)," ",'Q:\Abteilungsprojekte\Eng\EngData\PROJECT_Bioplastics\Renjie_Pan\05-Raw_Data\Lab_results\[LabSamples2025_Bioplastic_extra.xlsx]extra_Bioplastic'!H940)</f>
        <v/>
      </c>
    </row>
    <row r="941">
      <c r="A941">
        <f>IF(ISBLANK('Q:\Abteilungsprojekte\Eng\EngData\PROJECT_Bioplastics\Renjie_Pan\05-Raw_Data\Lab_results\[LabSamples2025_Bioplastic_extra.xlsx]extra_Bioplastic'!A941)," ",'Q:\Abteilungsprojekte\Eng\EngData\PROJECT_Bioplastics\Renjie_Pan\05-Raw_Data\Lab_results\[LabSamples2025_Bioplastic_extra.xlsx]extra_Bioplastic'!A941)</f>
        <v/>
      </c>
      <c r="B941">
        <f>IF(ISBLANK('Q:\Abteilungsprojekte\Eng\EngData\PROJECT_Bioplastics\Renjie_Pan\05-Raw_Data\Lab_results\[LabSamples2025_Bioplastic_extra.xlsx]extra_Bioplastic'!B941)," ",'Q:\Abteilungsprojekte\Eng\EngData\PROJECT_Bioplastics\Renjie_Pan\05-Raw_Data\Lab_results\[LabSamples2025_Bioplastic_extra.xlsx]extra_Bioplastic'!B941)</f>
        <v/>
      </c>
      <c r="C941">
        <f>IF(ISBLANK('Q:\Abteilungsprojekte\Eng\EngData\PROJECT_Bioplastics\Renjie_Pan\05-Raw_Data\Lab_results\[LabSamples2025_Bioplastic_extra.xlsx]extra_Bioplastic'!C941)," ",'Q:\Abteilungsprojekte\Eng\EngData\PROJECT_Bioplastics\Renjie_Pan\05-Raw_Data\Lab_results\[LabSamples2025_Bioplastic_extra.xlsx]extra_Bioplastic'!C941)</f>
        <v/>
      </c>
      <c r="D941">
        <f>IF(ISBLANK('Q:\Abteilungsprojekte\Eng\EngData\PROJECT_Bioplastics\Renjie_Pan\05-Raw_Data\Lab_results\[LabSamples2025_Bioplastic_extra.xlsx]extra_Bioplastic'!D941)," ",'Q:\Abteilungsprojekte\Eng\EngData\PROJECT_Bioplastics\Renjie_Pan\05-Raw_Data\Lab_results\[LabSamples2025_Bioplastic_extra.xlsx]extra_Bioplastic'!D941)</f>
        <v/>
      </c>
      <c r="E941">
        <f>IF(ISBLANK('Q:\Abteilungsprojekte\Eng\EngData\PROJECT_Bioplastics\Renjie_Pan\05-Raw_Data\Lab_results\[LabSamples2025_Bioplastic_extra.xlsx]extra_Bioplastic'!E941)," ",'Q:\Abteilungsprojekte\Eng\EngData\PROJECT_Bioplastics\Renjie_Pan\05-Raw_Data\Lab_results\[LabSamples2025_Bioplastic_extra.xlsx]extra_Bioplastic'!E941)</f>
        <v/>
      </c>
      <c r="F941">
        <f>IF(ISBLANK('Q:\Abteilungsprojekte\Eng\EngData\PROJECT_Bioplastics\Renjie_Pan\05-Raw_Data\Lab_results\[LabSamples2025_Bioplastic_extra.xlsx]extra_Bioplastic'!F941)," ",'Q:\Abteilungsprojekte\Eng\EngData\PROJECT_Bioplastics\Renjie_Pan\05-Raw_Data\Lab_results\[LabSamples2025_Bioplastic_extra.xlsx]extra_Bioplastic'!F941)</f>
        <v/>
      </c>
      <c r="G941">
        <f>IF(ISBLANK('Q:\Abteilungsprojekte\Eng\EngData\PROJECT_Bioplastics\Renjie_Pan\05-Raw_Data\Lab_results\[LabSamples2025_Bioplastic_extra.xlsx]extra_Bioplastic'!G941)," ",'Q:\Abteilungsprojekte\Eng\EngData\PROJECT_Bioplastics\Renjie_Pan\05-Raw_Data\Lab_results\[LabSamples2025_Bioplastic_extra.xlsx]extra_Bioplastic'!G941)</f>
        <v/>
      </c>
      <c r="H941">
        <f>IF(ISBLANK('Q:\Abteilungsprojekte\Eng\EngData\PROJECT_Bioplastics\Renjie_Pan\05-Raw_Data\Lab_results\[LabSamples2025_Bioplastic_extra.xlsx]extra_Bioplastic'!H941)," ",'Q:\Abteilungsprojekte\Eng\EngData\PROJECT_Bioplastics\Renjie_Pan\05-Raw_Data\Lab_results\[LabSamples2025_Bioplastic_extra.xlsx]extra_Bioplastic'!H941)</f>
        <v/>
      </c>
    </row>
    <row r="942">
      <c r="A942">
        <f>IF(ISBLANK('Q:\Abteilungsprojekte\Eng\EngData\PROJECT_Bioplastics\Renjie_Pan\05-Raw_Data\Lab_results\[LabSamples2025_Bioplastic_extra.xlsx]extra_Bioplastic'!A942)," ",'Q:\Abteilungsprojekte\Eng\EngData\PROJECT_Bioplastics\Renjie_Pan\05-Raw_Data\Lab_results\[LabSamples2025_Bioplastic_extra.xlsx]extra_Bioplastic'!A942)</f>
        <v/>
      </c>
      <c r="B942">
        <f>IF(ISBLANK('Q:\Abteilungsprojekte\Eng\EngData\PROJECT_Bioplastics\Renjie_Pan\05-Raw_Data\Lab_results\[LabSamples2025_Bioplastic_extra.xlsx]extra_Bioplastic'!B942)," ",'Q:\Abteilungsprojekte\Eng\EngData\PROJECT_Bioplastics\Renjie_Pan\05-Raw_Data\Lab_results\[LabSamples2025_Bioplastic_extra.xlsx]extra_Bioplastic'!B942)</f>
        <v/>
      </c>
      <c r="C942">
        <f>IF(ISBLANK('Q:\Abteilungsprojekte\Eng\EngData\PROJECT_Bioplastics\Renjie_Pan\05-Raw_Data\Lab_results\[LabSamples2025_Bioplastic_extra.xlsx]extra_Bioplastic'!C942)," ",'Q:\Abteilungsprojekte\Eng\EngData\PROJECT_Bioplastics\Renjie_Pan\05-Raw_Data\Lab_results\[LabSamples2025_Bioplastic_extra.xlsx]extra_Bioplastic'!C942)</f>
        <v/>
      </c>
      <c r="D942">
        <f>IF(ISBLANK('Q:\Abteilungsprojekte\Eng\EngData\PROJECT_Bioplastics\Renjie_Pan\05-Raw_Data\Lab_results\[LabSamples2025_Bioplastic_extra.xlsx]extra_Bioplastic'!D942)," ",'Q:\Abteilungsprojekte\Eng\EngData\PROJECT_Bioplastics\Renjie_Pan\05-Raw_Data\Lab_results\[LabSamples2025_Bioplastic_extra.xlsx]extra_Bioplastic'!D942)</f>
        <v/>
      </c>
      <c r="E942">
        <f>IF(ISBLANK('Q:\Abteilungsprojekte\Eng\EngData\PROJECT_Bioplastics\Renjie_Pan\05-Raw_Data\Lab_results\[LabSamples2025_Bioplastic_extra.xlsx]extra_Bioplastic'!E942)," ",'Q:\Abteilungsprojekte\Eng\EngData\PROJECT_Bioplastics\Renjie_Pan\05-Raw_Data\Lab_results\[LabSamples2025_Bioplastic_extra.xlsx]extra_Bioplastic'!E942)</f>
        <v/>
      </c>
      <c r="F942">
        <f>IF(ISBLANK('Q:\Abteilungsprojekte\Eng\EngData\PROJECT_Bioplastics\Renjie_Pan\05-Raw_Data\Lab_results\[LabSamples2025_Bioplastic_extra.xlsx]extra_Bioplastic'!F942)," ",'Q:\Abteilungsprojekte\Eng\EngData\PROJECT_Bioplastics\Renjie_Pan\05-Raw_Data\Lab_results\[LabSamples2025_Bioplastic_extra.xlsx]extra_Bioplastic'!F942)</f>
        <v/>
      </c>
      <c r="G942">
        <f>IF(ISBLANK('Q:\Abteilungsprojekte\Eng\EngData\PROJECT_Bioplastics\Renjie_Pan\05-Raw_Data\Lab_results\[LabSamples2025_Bioplastic_extra.xlsx]extra_Bioplastic'!G942)," ",'Q:\Abteilungsprojekte\Eng\EngData\PROJECT_Bioplastics\Renjie_Pan\05-Raw_Data\Lab_results\[LabSamples2025_Bioplastic_extra.xlsx]extra_Bioplastic'!G942)</f>
        <v/>
      </c>
      <c r="H942">
        <f>IF(ISBLANK('Q:\Abteilungsprojekte\Eng\EngData\PROJECT_Bioplastics\Renjie_Pan\05-Raw_Data\Lab_results\[LabSamples2025_Bioplastic_extra.xlsx]extra_Bioplastic'!H942)," ",'Q:\Abteilungsprojekte\Eng\EngData\PROJECT_Bioplastics\Renjie_Pan\05-Raw_Data\Lab_results\[LabSamples2025_Bioplastic_extra.xlsx]extra_Bioplastic'!H942)</f>
        <v/>
      </c>
    </row>
    <row r="943">
      <c r="A943">
        <f>IF(ISBLANK('Q:\Abteilungsprojekte\Eng\EngData\PROJECT_Bioplastics\Renjie_Pan\05-Raw_Data\Lab_results\[LabSamples2025_Bioplastic_extra.xlsx]extra_Bioplastic'!A943)," ",'Q:\Abteilungsprojekte\Eng\EngData\PROJECT_Bioplastics\Renjie_Pan\05-Raw_Data\Lab_results\[LabSamples2025_Bioplastic_extra.xlsx]extra_Bioplastic'!A943)</f>
        <v/>
      </c>
      <c r="B943">
        <f>IF(ISBLANK('Q:\Abteilungsprojekte\Eng\EngData\PROJECT_Bioplastics\Renjie_Pan\05-Raw_Data\Lab_results\[LabSamples2025_Bioplastic_extra.xlsx]extra_Bioplastic'!B943)," ",'Q:\Abteilungsprojekte\Eng\EngData\PROJECT_Bioplastics\Renjie_Pan\05-Raw_Data\Lab_results\[LabSamples2025_Bioplastic_extra.xlsx]extra_Bioplastic'!B943)</f>
        <v/>
      </c>
      <c r="C943">
        <f>IF(ISBLANK('Q:\Abteilungsprojekte\Eng\EngData\PROJECT_Bioplastics\Renjie_Pan\05-Raw_Data\Lab_results\[LabSamples2025_Bioplastic_extra.xlsx]extra_Bioplastic'!C943)," ",'Q:\Abteilungsprojekte\Eng\EngData\PROJECT_Bioplastics\Renjie_Pan\05-Raw_Data\Lab_results\[LabSamples2025_Bioplastic_extra.xlsx]extra_Bioplastic'!C943)</f>
        <v/>
      </c>
      <c r="D943">
        <f>IF(ISBLANK('Q:\Abteilungsprojekte\Eng\EngData\PROJECT_Bioplastics\Renjie_Pan\05-Raw_Data\Lab_results\[LabSamples2025_Bioplastic_extra.xlsx]extra_Bioplastic'!D943)," ",'Q:\Abteilungsprojekte\Eng\EngData\PROJECT_Bioplastics\Renjie_Pan\05-Raw_Data\Lab_results\[LabSamples2025_Bioplastic_extra.xlsx]extra_Bioplastic'!D943)</f>
        <v/>
      </c>
      <c r="E943">
        <f>IF(ISBLANK('Q:\Abteilungsprojekte\Eng\EngData\PROJECT_Bioplastics\Renjie_Pan\05-Raw_Data\Lab_results\[LabSamples2025_Bioplastic_extra.xlsx]extra_Bioplastic'!E943)," ",'Q:\Abteilungsprojekte\Eng\EngData\PROJECT_Bioplastics\Renjie_Pan\05-Raw_Data\Lab_results\[LabSamples2025_Bioplastic_extra.xlsx]extra_Bioplastic'!E943)</f>
        <v/>
      </c>
      <c r="F943">
        <f>IF(ISBLANK('Q:\Abteilungsprojekte\Eng\EngData\PROJECT_Bioplastics\Renjie_Pan\05-Raw_Data\Lab_results\[LabSamples2025_Bioplastic_extra.xlsx]extra_Bioplastic'!F943)," ",'Q:\Abteilungsprojekte\Eng\EngData\PROJECT_Bioplastics\Renjie_Pan\05-Raw_Data\Lab_results\[LabSamples2025_Bioplastic_extra.xlsx]extra_Bioplastic'!F943)</f>
        <v/>
      </c>
      <c r="G943">
        <f>IF(ISBLANK('Q:\Abteilungsprojekte\Eng\EngData\PROJECT_Bioplastics\Renjie_Pan\05-Raw_Data\Lab_results\[LabSamples2025_Bioplastic_extra.xlsx]extra_Bioplastic'!G943)," ",'Q:\Abteilungsprojekte\Eng\EngData\PROJECT_Bioplastics\Renjie_Pan\05-Raw_Data\Lab_results\[LabSamples2025_Bioplastic_extra.xlsx]extra_Bioplastic'!G943)</f>
        <v/>
      </c>
      <c r="H943">
        <f>IF(ISBLANK('Q:\Abteilungsprojekte\Eng\EngData\PROJECT_Bioplastics\Renjie_Pan\05-Raw_Data\Lab_results\[LabSamples2025_Bioplastic_extra.xlsx]extra_Bioplastic'!H943)," ",'Q:\Abteilungsprojekte\Eng\EngData\PROJECT_Bioplastics\Renjie_Pan\05-Raw_Data\Lab_results\[LabSamples2025_Bioplastic_extra.xlsx]extra_Bioplastic'!H943)</f>
        <v/>
      </c>
    </row>
    <row r="944">
      <c r="A944">
        <f>IF(ISBLANK('Q:\Abteilungsprojekte\Eng\EngData\PROJECT_Bioplastics\Renjie_Pan\05-Raw_Data\Lab_results\[LabSamples2025_Bioplastic_extra.xlsx]extra_Bioplastic'!A944)," ",'Q:\Abteilungsprojekte\Eng\EngData\PROJECT_Bioplastics\Renjie_Pan\05-Raw_Data\Lab_results\[LabSamples2025_Bioplastic_extra.xlsx]extra_Bioplastic'!A944)</f>
        <v/>
      </c>
      <c r="B944">
        <f>IF(ISBLANK('Q:\Abteilungsprojekte\Eng\EngData\PROJECT_Bioplastics\Renjie_Pan\05-Raw_Data\Lab_results\[LabSamples2025_Bioplastic_extra.xlsx]extra_Bioplastic'!B944)," ",'Q:\Abteilungsprojekte\Eng\EngData\PROJECT_Bioplastics\Renjie_Pan\05-Raw_Data\Lab_results\[LabSamples2025_Bioplastic_extra.xlsx]extra_Bioplastic'!B944)</f>
        <v/>
      </c>
      <c r="C944">
        <f>IF(ISBLANK('Q:\Abteilungsprojekte\Eng\EngData\PROJECT_Bioplastics\Renjie_Pan\05-Raw_Data\Lab_results\[LabSamples2025_Bioplastic_extra.xlsx]extra_Bioplastic'!C944)," ",'Q:\Abteilungsprojekte\Eng\EngData\PROJECT_Bioplastics\Renjie_Pan\05-Raw_Data\Lab_results\[LabSamples2025_Bioplastic_extra.xlsx]extra_Bioplastic'!C944)</f>
        <v/>
      </c>
      <c r="D944">
        <f>IF(ISBLANK('Q:\Abteilungsprojekte\Eng\EngData\PROJECT_Bioplastics\Renjie_Pan\05-Raw_Data\Lab_results\[LabSamples2025_Bioplastic_extra.xlsx]extra_Bioplastic'!D944)," ",'Q:\Abteilungsprojekte\Eng\EngData\PROJECT_Bioplastics\Renjie_Pan\05-Raw_Data\Lab_results\[LabSamples2025_Bioplastic_extra.xlsx]extra_Bioplastic'!D944)</f>
        <v/>
      </c>
      <c r="E944">
        <f>IF(ISBLANK('Q:\Abteilungsprojekte\Eng\EngData\PROJECT_Bioplastics\Renjie_Pan\05-Raw_Data\Lab_results\[LabSamples2025_Bioplastic_extra.xlsx]extra_Bioplastic'!E944)," ",'Q:\Abteilungsprojekte\Eng\EngData\PROJECT_Bioplastics\Renjie_Pan\05-Raw_Data\Lab_results\[LabSamples2025_Bioplastic_extra.xlsx]extra_Bioplastic'!E944)</f>
        <v/>
      </c>
      <c r="F944">
        <f>IF(ISBLANK('Q:\Abteilungsprojekte\Eng\EngData\PROJECT_Bioplastics\Renjie_Pan\05-Raw_Data\Lab_results\[LabSamples2025_Bioplastic_extra.xlsx]extra_Bioplastic'!F944)," ",'Q:\Abteilungsprojekte\Eng\EngData\PROJECT_Bioplastics\Renjie_Pan\05-Raw_Data\Lab_results\[LabSamples2025_Bioplastic_extra.xlsx]extra_Bioplastic'!F944)</f>
        <v/>
      </c>
      <c r="G944">
        <f>IF(ISBLANK('Q:\Abteilungsprojekte\Eng\EngData\PROJECT_Bioplastics\Renjie_Pan\05-Raw_Data\Lab_results\[LabSamples2025_Bioplastic_extra.xlsx]extra_Bioplastic'!G944)," ",'Q:\Abteilungsprojekte\Eng\EngData\PROJECT_Bioplastics\Renjie_Pan\05-Raw_Data\Lab_results\[LabSamples2025_Bioplastic_extra.xlsx]extra_Bioplastic'!G944)</f>
        <v/>
      </c>
      <c r="H944">
        <f>IF(ISBLANK('Q:\Abteilungsprojekte\Eng\EngData\PROJECT_Bioplastics\Renjie_Pan\05-Raw_Data\Lab_results\[LabSamples2025_Bioplastic_extra.xlsx]extra_Bioplastic'!H944)," ",'Q:\Abteilungsprojekte\Eng\EngData\PROJECT_Bioplastics\Renjie_Pan\05-Raw_Data\Lab_results\[LabSamples2025_Bioplastic_extra.xlsx]extra_Bioplastic'!H944)</f>
        <v/>
      </c>
    </row>
    <row r="945">
      <c r="A945">
        <f>IF(ISBLANK('Q:\Abteilungsprojekte\Eng\EngData\PROJECT_Bioplastics\Renjie_Pan\05-Raw_Data\Lab_results\[LabSamples2025_Bioplastic_extra.xlsx]extra_Bioplastic'!A945)," ",'Q:\Abteilungsprojekte\Eng\EngData\PROJECT_Bioplastics\Renjie_Pan\05-Raw_Data\Lab_results\[LabSamples2025_Bioplastic_extra.xlsx]extra_Bioplastic'!A945)</f>
        <v/>
      </c>
      <c r="B945">
        <f>IF(ISBLANK('Q:\Abteilungsprojekte\Eng\EngData\PROJECT_Bioplastics\Renjie_Pan\05-Raw_Data\Lab_results\[LabSamples2025_Bioplastic_extra.xlsx]extra_Bioplastic'!B945)," ",'Q:\Abteilungsprojekte\Eng\EngData\PROJECT_Bioplastics\Renjie_Pan\05-Raw_Data\Lab_results\[LabSamples2025_Bioplastic_extra.xlsx]extra_Bioplastic'!B945)</f>
        <v/>
      </c>
      <c r="C945">
        <f>IF(ISBLANK('Q:\Abteilungsprojekte\Eng\EngData\PROJECT_Bioplastics\Renjie_Pan\05-Raw_Data\Lab_results\[LabSamples2025_Bioplastic_extra.xlsx]extra_Bioplastic'!C945)," ",'Q:\Abteilungsprojekte\Eng\EngData\PROJECT_Bioplastics\Renjie_Pan\05-Raw_Data\Lab_results\[LabSamples2025_Bioplastic_extra.xlsx]extra_Bioplastic'!C945)</f>
        <v/>
      </c>
      <c r="D945">
        <f>IF(ISBLANK('Q:\Abteilungsprojekte\Eng\EngData\PROJECT_Bioplastics\Renjie_Pan\05-Raw_Data\Lab_results\[LabSamples2025_Bioplastic_extra.xlsx]extra_Bioplastic'!D945)," ",'Q:\Abteilungsprojekte\Eng\EngData\PROJECT_Bioplastics\Renjie_Pan\05-Raw_Data\Lab_results\[LabSamples2025_Bioplastic_extra.xlsx]extra_Bioplastic'!D945)</f>
        <v/>
      </c>
      <c r="E945">
        <f>IF(ISBLANK('Q:\Abteilungsprojekte\Eng\EngData\PROJECT_Bioplastics\Renjie_Pan\05-Raw_Data\Lab_results\[LabSamples2025_Bioplastic_extra.xlsx]extra_Bioplastic'!E945)," ",'Q:\Abteilungsprojekte\Eng\EngData\PROJECT_Bioplastics\Renjie_Pan\05-Raw_Data\Lab_results\[LabSamples2025_Bioplastic_extra.xlsx]extra_Bioplastic'!E945)</f>
        <v/>
      </c>
      <c r="F945">
        <f>IF(ISBLANK('Q:\Abteilungsprojekte\Eng\EngData\PROJECT_Bioplastics\Renjie_Pan\05-Raw_Data\Lab_results\[LabSamples2025_Bioplastic_extra.xlsx]extra_Bioplastic'!F945)," ",'Q:\Abteilungsprojekte\Eng\EngData\PROJECT_Bioplastics\Renjie_Pan\05-Raw_Data\Lab_results\[LabSamples2025_Bioplastic_extra.xlsx]extra_Bioplastic'!F945)</f>
        <v/>
      </c>
      <c r="G945">
        <f>IF(ISBLANK('Q:\Abteilungsprojekte\Eng\EngData\PROJECT_Bioplastics\Renjie_Pan\05-Raw_Data\Lab_results\[LabSamples2025_Bioplastic_extra.xlsx]extra_Bioplastic'!G945)," ",'Q:\Abteilungsprojekte\Eng\EngData\PROJECT_Bioplastics\Renjie_Pan\05-Raw_Data\Lab_results\[LabSamples2025_Bioplastic_extra.xlsx]extra_Bioplastic'!G945)</f>
        <v/>
      </c>
      <c r="H945">
        <f>IF(ISBLANK('Q:\Abteilungsprojekte\Eng\EngData\PROJECT_Bioplastics\Renjie_Pan\05-Raw_Data\Lab_results\[LabSamples2025_Bioplastic_extra.xlsx]extra_Bioplastic'!H945)," ",'Q:\Abteilungsprojekte\Eng\EngData\PROJECT_Bioplastics\Renjie_Pan\05-Raw_Data\Lab_results\[LabSamples2025_Bioplastic_extra.xlsx]extra_Bioplastic'!H945)</f>
        <v/>
      </c>
    </row>
    <row r="946">
      <c r="A946">
        <f>IF(ISBLANK('Q:\Abteilungsprojekte\Eng\EngData\PROJECT_Bioplastics\Renjie_Pan\05-Raw_Data\Lab_results\[LabSamples2025_Bioplastic_extra.xlsx]extra_Bioplastic'!A946)," ",'Q:\Abteilungsprojekte\Eng\EngData\PROJECT_Bioplastics\Renjie_Pan\05-Raw_Data\Lab_results\[LabSamples2025_Bioplastic_extra.xlsx]extra_Bioplastic'!A946)</f>
        <v/>
      </c>
      <c r="B946">
        <f>IF(ISBLANK('Q:\Abteilungsprojekte\Eng\EngData\PROJECT_Bioplastics\Renjie_Pan\05-Raw_Data\Lab_results\[LabSamples2025_Bioplastic_extra.xlsx]extra_Bioplastic'!B946)," ",'Q:\Abteilungsprojekte\Eng\EngData\PROJECT_Bioplastics\Renjie_Pan\05-Raw_Data\Lab_results\[LabSamples2025_Bioplastic_extra.xlsx]extra_Bioplastic'!B946)</f>
        <v/>
      </c>
      <c r="C946">
        <f>IF(ISBLANK('Q:\Abteilungsprojekte\Eng\EngData\PROJECT_Bioplastics\Renjie_Pan\05-Raw_Data\Lab_results\[LabSamples2025_Bioplastic_extra.xlsx]extra_Bioplastic'!C946)," ",'Q:\Abteilungsprojekte\Eng\EngData\PROJECT_Bioplastics\Renjie_Pan\05-Raw_Data\Lab_results\[LabSamples2025_Bioplastic_extra.xlsx]extra_Bioplastic'!C946)</f>
        <v/>
      </c>
      <c r="D946">
        <f>IF(ISBLANK('Q:\Abteilungsprojekte\Eng\EngData\PROJECT_Bioplastics\Renjie_Pan\05-Raw_Data\Lab_results\[LabSamples2025_Bioplastic_extra.xlsx]extra_Bioplastic'!D946)," ",'Q:\Abteilungsprojekte\Eng\EngData\PROJECT_Bioplastics\Renjie_Pan\05-Raw_Data\Lab_results\[LabSamples2025_Bioplastic_extra.xlsx]extra_Bioplastic'!D946)</f>
        <v/>
      </c>
      <c r="E946">
        <f>IF(ISBLANK('Q:\Abteilungsprojekte\Eng\EngData\PROJECT_Bioplastics\Renjie_Pan\05-Raw_Data\Lab_results\[LabSamples2025_Bioplastic_extra.xlsx]extra_Bioplastic'!E946)," ",'Q:\Abteilungsprojekte\Eng\EngData\PROJECT_Bioplastics\Renjie_Pan\05-Raw_Data\Lab_results\[LabSamples2025_Bioplastic_extra.xlsx]extra_Bioplastic'!E946)</f>
        <v/>
      </c>
      <c r="F946">
        <f>IF(ISBLANK('Q:\Abteilungsprojekte\Eng\EngData\PROJECT_Bioplastics\Renjie_Pan\05-Raw_Data\Lab_results\[LabSamples2025_Bioplastic_extra.xlsx]extra_Bioplastic'!F946)," ",'Q:\Abteilungsprojekte\Eng\EngData\PROJECT_Bioplastics\Renjie_Pan\05-Raw_Data\Lab_results\[LabSamples2025_Bioplastic_extra.xlsx]extra_Bioplastic'!F946)</f>
        <v/>
      </c>
      <c r="G946">
        <f>IF(ISBLANK('Q:\Abteilungsprojekte\Eng\EngData\PROJECT_Bioplastics\Renjie_Pan\05-Raw_Data\Lab_results\[LabSamples2025_Bioplastic_extra.xlsx]extra_Bioplastic'!G946)," ",'Q:\Abteilungsprojekte\Eng\EngData\PROJECT_Bioplastics\Renjie_Pan\05-Raw_Data\Lab_results\[LabSamples2025_Bioplastic_extra.xlsx]extra_Bioplastic'!G946)</f>
        <v/>
      </c>
      <c r="H946">
        <f>IF(ISBLANK('Q:\Abteilungsprojekte\Eng\EngData\PROJECT_Bioplastics\Renjie_Pan\05-Raw_Data\Lab_results\[LabSamples2025_Bioplastic_extra.xlsx]extra_Bioplastic'!H946)," ",'Q:\Abteilungsprojekte\Eng\EngData\PROJECT_Bioplastics\Renjie_Pan\05-Raw_Data\Lab_results\[LabSamples2025_Bioplastic_extra.xlsx]extra_Bioplastic'!H946)</f>
        <v/>
      </c>
    </row>
    <row r="947">
      <c r="A947">
        <f>IF(ISBLANK('Q:\Abteilungsprojekte\Eng\EngData\PROJECT_Bioplastics\Renjie_Pan\05-Raw_Data\Lab_results\[LabSamples2025_Bioplastic_extra.xlsx]extra_Bioplastic'!A947)," ",'Q:\Abteilungsprojekte\Eng\EngData\PROJECT_Bioplastics\Renjie_Pan\05-Raw_Data\Lab_results\[LabSamples2025_Bioplastic_extra.xlsx]extra_Bioplastic'!A947)</f>
        <v/>
      </c>
      <c r="B947">
        <f>IF(ISBLANK('Q:\Abteilungsprojekte\Eng\EngData\PROJECT_Bioplastics\Renjie_Pan\05-Raw_Data\Lab_results\[LabSamples2025_Bioplastic_extra.xlsx]extra_Bioplastic'!B947)," ",'Q:\Abteilungsprojekte\Eng\EngData\PROJECT_Bioplastics\Renjie_Pan\05-Raw_Data\Lab_results\[LabSamples2025_Bioplastic_extra.xlsx]extra_Bioplastic'!B947)</f>
        <v/>
      </c>
      <c r="C947">
        <f>IF(ISBLANK('Q:\Abteilungsprojekte\Eng\EngData\PROJECT_Bioplastics\Renjie_Pan\05-Raw_Data\Lab_results\[LabSamples2025_Bioplastic_extra.xlsx]extra_Bioplastic'!C947)," ",'Q:\Abteilungsprojekte\Eng\EngData\PROJECT_Bioplastics\Renjie_Pan\05-Raw_Data\Lab_results\[LabSamples2025_Bioplastic_extra.xlsx]extra_Bioplastic'!C947)</f>
        <v/>
      </c>
      <c r="D947">
        <f>IF(ISBLANK('Q:\Abteilungsprojekte\Eng\EngData\PROJECT_Bioplastics\Renjie_Pan\05-Raw_Data\Lab_results\[LabSamples2025_Bioplastic_extra.xlsx]extra_Bioplastic'!D947)," ",'Q:\Abteilungsprojekte\Eng\EngData\PROJECT_Bioplastics\Renjie_Pan\05-Raw_Data\Lab_results\[LabSamples2025_Bioplastic_extra.xlsx]extra_Bioplastic'!D947)</f>
        <v/>
      </c>
      <c r="E947">
        <f>IF(ISBLANK('Q:\Abteilungsprojekte\Eng\EngData\PROJECT_Bioplastics\Renjie_Pan\05-Raw_Data\Lab_results\[LabSamples2025_Bioplastic_extra.xlsx]extra_Bioplastic'!E947)," ",'Q:\Abteilungsprojekte\Eng\EngData\PROJECT_Bioplastics\Renjie_Pan\05-Raw_Data\Lab_results\[LabSamples2025_Bioplastic_extra.xlsx]extra_Bioplastic'!E947)</f>
        <v/>
      </c>
      <c r="F947">
        <f>IF(ISBLANK('Q:\Abteilungsprojekte\Eng\EngData\PROJECT_Bioplastics\Renjie_Pan\05-Raw_Data\Lab_results\[LabSamples2025_Bioplastic_extra.xlsx]extra_Bioplastic'!F947)," ",'Q:\Abteilungsprojekte\Eng\EngData\PROJECT_Bioplastics\Renjie_Pan\05-Raw_Data\Lab_results\[LabSamples2025_Bioplastic_extra.xlsx]extra_Bioplastic'!F947)</f>
        <v/>
      </c>
      <c r="G947">
        <f>IF(ISBLANK('Q:\Abteilungsprojekte\Eng\EngData\PROJECT_Bioplastics\Renjie_Pan\05-Raw_Data\Lab_results\[LabSamples2025_Bioplastic_extra.xlsx]extra_Bioplastic'!G947)," ",'Q:\Abteilungsprojekte\Eng\EngData\PROJECT_Bioplastics\Renjie_Pan\05-Raw_Data\Lab_results\[LabSamples2025_Bioplastic_extra.xlsx]extra_Bioplastic'!G947)</f>
        <v/>
      </c>
      <c r="H947">
        <f>IF(ISBLANK('Q:\Abteilungsprojekte\Eng\EngData\PROJECT_Bioplastics\Renjie_Pan\05-Raw_Data\Lab_results\[LabSamples2025_Bioplastic_extra.xlsx]extra_Bioplastic'!H947)," ",'Q:\Abteilungsprojekte\Eng\EngData\PROJECT_Bioplastics\Renjie_Pan\05-Raw_Data\Lab_results\[LabSamples2025_Bioplastic_extra.xlsx]extra_Bioplastic'!H947)</f>
        <v/>
      </c>
    </row>
    <row r="948">
      <c r="A948">
        <f>IF(ISBLANK('Q:\Abteilungsprojekte\Eng\EngData\PROJECT_Bioplastics\Renjie_Pan\05-Raw_Data\Lab_results\[LabSamples2025_Bioplastic_extra.xlsx]extra_Bioplastic'!A948)," ",'Q:\Abteilungsprojekte\Eng\EngData\PROJECT_Bioplastics\Renjie_Pan\05-Raw_Data\Lab_results\[LabSamples2025_Bioplastic_extra.xlsx]extra_Bioplastic'!A948)</f>
        <v/>
      </c>
      <c r="B948">
        <f>IF(ISBLANK('Q:\Abteilungsprojekte\Eng\EngData\PROJECT_Bioplastics\Renjie_Pan\05-Raw_Data\Lab_results\[LabSamples2025_Bioplastic_extra.xlsx]extra_Bioplastic'!B948)," ",'Q:\Abteilungsprojekte\Eng\EngData\PROJECT_Bioplastics\Renjie_Pan\05-Raw_Data\Lab_results\[LabSamples2025_Bioplastic_extra.xlsx]extra_Bioplastic'!B948)</f>
        <v/>
      </c>
      <c r="C948">
        <f>IF(ISBLANK('Q:\Abteilungsprojekte\Eng\EngData\PROJECT_Bioplastics\Renjie_Pan\05-Raw_Data\Lab_results\[LabSamples2025_Bioplastic_extra.xlsx]extra_Bioplastic'!C948)," ",'Q:\Abteilungsprojekte\Eng\EngData\PROJECT_Bioplastics\Renjie_Pan\05-Raw_Data\Lab_results\[LabSamples2025_Bioplastic_extra.xlsx]extra_Bioplastic'!C948)</f>
        <v/>
      </c>
      <c r="D948">
        <f>IF(ISBLANK('Q:\Abteilungsprojekte\Eng\EngData\PROJECT_Bioplastics\Renjie_Pan\05-Raw_Data\Lab_results\[LabSamples2025_Bioplastic_extra.xlsx]extra_Bioplastic'!D948)," ",'Q:\Abteilungsprojekte\Eng\EngData\PROJECT_Bioplastics\Renjie_Pan\05-Raw_Data\Lab_results\[LabSamples2025_Bioplastic_extra.xlsx]extra_Bioplastic'!D948)</f>
        <v/>
      </c>
      <c r="E948">
        <f>IF(ISBLANK('Q:\Abteilungsprojekte\Eng\EngData\PROJECT_Bioplastics\Renjie_Pan\05-Raw_Data\Lab_results\[LabSamples2025_Bioplastic_extra.xlsx]extra_Bioplastic'!E948)," ",'Q:\Abteilungsprojekte\Eng\EngData\PROJECT_Bioplastics\Renjie_Pan\05-Raw_Data\Lab_results\[LabSamples2025_Bioplastic_extra.xlsx]extra_Bioplastic'!E948)</f>
        <v/>
      </c>
      <c r="F948">
        <f>IF(ISBLANK('Q:\Abteilungsprojekte\Eng\EngData\PROJECT_Bioplastics\Renjie_Pan\05-Raw_Data\Lab_results\[LabSamples2025_Bioplastic_extra.xlsx]extra_Bioplastic'!F948)," ",'Q:\Abteilungsprojekte\Eng\EngData\PROJECT_Bioplastics\Renjie_Pan\05-Raw_Data\Lab_results\[LabSamples2025_Bioplastic_extra.xlsx]extra_Bioplastic'!F948)</f>
        <v/>
      </c>
      <c r="G948">
        <f>IF(ISBLANK('Q:\Abteilungsprojekte\Eng\EngData\PROJECT_Bioplastics\Renjie_Pan\05-Raw_Data\Lab_results\[LabSamples2025_Bioplastic_extra.xlsx]extra_Bioplastic'!G948)," ",'Q:\Abteilungsprojekte\Eng\EngData\PROJECT_Bioplastics\Renjie_Pan\05-Raw_Data\Lab_results\[LabSamples2025_Bioplastic_extra.xlsx]extra_Bioplastic'!G948)</f>
        <v/>
      </c>
      <c r="H948">
        <f>IF(ISBLANK('Q:\Abteilungsprojekte\Eng\EngData\PROJECT_Bioplastics\Renjie_Pan\05-Raw_Data\Lab_results\[LabSamples2025_Bioplastic_extra.xlsx]extra_Bioplastic'!H948)," ",'Q:\Abteilungsprojekte\Eng\EngData\PROJECT_Bioplastics\Renjie_Pan\05-Raw_Data\Lab_results\[LabSamples2025_Bioplastic_extra.xlsx]extra_Bioplastic'!H948)</f>
        <v/>
      </c>
    </row>
    <row r="949">
      <c r="A949">
        <f>IF(ISBLANK('Q:\Abteilungsprojekte\Eng\EngData\PROJECT_Bioplastics\Renjie_Pan\05-Raw_Data\Lab_results\[LabSamples2025_Bioplastic_extra.xlsx]extra_Bioplastic'!A949)," ",'Q:\Abteilungsprojekte\Eng\EngData\PROJECT_Bioplastics\Renjie_Pan\05-Raw_Data\Lab_results\[LabSamples2025_Bioplastic_extra.xlsx]extra_Bioplastic'!A949)</f>
        <v/>
      </c>
      <c r="B949">
        <f>IF(ISBLANK('Q:\Abteilungsprojekte\Eng\EngData\PROJECT_Bioplastics\Renjie_Pan\05-Raw_Data\Lab_results\[LabSamples2025_Bioplastic_extra.xlsx]extra_Bioplastic'!B949)," ",'Q:\Abteilungsprojekte\Eng\EngData\PROJECT_Bioplastics\Renjie_Pan\05-Raw_Data\Lab_results\[LabSamples2025_Bioplastic_extra.xlsx]extra_Bioplastic'!B949)</f>
        <v/>
      </c>
      <c r="C949">
        <f>IF(ISBLANK('Q:\Abteilungsprojekte\Eng\EngData\PROJECT_Bioplastics\Renjie_Pan\05-Raw_Data\Lab_results\[LabSamples2025_Bioplastic_extra.xlsx]extra_Bioplastic'!C949)," ",'Q:\Abteilungsprojekte\Eng\EngData\PROJECT_Bioplastics\Renjie_Pan\05-Raw_Data\Lab_results\[LabSamples2025_Bioplastic_extra.xlsx]extra_Bioplastic'!C949)</f>
        <v/>
      </c>
      <c r="D949">
        <f>IF(ISBLANK('Q:\Abteilungsprojekte\Eng\EngData\PROJECT_Bioplastics\Renjie_Pan\05-Raw_Data\Lab_results\[LabSamples2025_Bioplastic_extra.xlsx]extra_Bioplastic'!D949)," ",'Q:\Abteilungsprojekte\Eng\EngData\PROJECT_Bioplastics\Renjie_Pan\05-Raw_Data\Lab_results\[LabSamples2025_Bioplastic_extra.xlsx]extra_Bioplastic'!D949)</f>
        <v/>
      </c>
      <c r="E949">
        <f>IF(ISBLANK('Q:\Abteilungsprojekte\Eng\EngData\PROJECT_Bioplastics\Renjie_Pan\05-Raw_Data\Lab_results\[LabSamples2025_Bioplastic_extra.xlsx]extra_Bioplastic'!E949)," ",'Q:\Abteilungsprojekte\Eng\EngData\PROJECT_Bioplastics\Renjie_Pan\05-Raw_Data\Lab_results\[LabSamples2025_Bioplastic_extra.xlsx]extra_Bioplastic'!E949)</f>
        <v/>
      </c>
      <c r="F949">
        <f>IF(ISBLANK('Q:\Abteilungsprojekte\Eng\EngData\PROJECT_Bioplastics\Renjie_Pan\05-Raw_Data\Lab_results\[LabSamples2025_Bioplastic_extra.xlsx]extra_Bioplastic'!F949)," ",'Q:\Abteilungsprojekte\Eng\EngData\PROJECT_Bioplastics\Renjie_Pan\05-Raw_Data\Lab_results\[LabSamples2025_Bioplastic_extra.xlsx]extra_Bioplastic'!F949)</f>
        <v/>
      </c>
      <c r="G949">
        <f>IF(ISBLANK('Q:\Abteilungsprojekte\Eng\EngData\PROJECT_Bioplastics\Renjie_Pan\05-Raw_Data\Lab_results\[LabSamples2025_Bioplastic_extra.xlsx]extra_Bioplastic'!G949)," ",'Q:\Abteilungsprojekte\Eng\EngData\PROJECT_Bioplastics\Renjie_Pan\05-Raw_Data\Lab_results\[LabSamples2025_Bioplastic_extra.xlsx]extra_Bioplastic'!G949)</f>
        <v/>
      </c>
      <c r="H949">
        <f>IF(ISBLANK('Q:\Abteilungsprojekte\Eng\EngData\PROJECT_Bioplastics\Renjie_Pan\05-Raw_Data\Lab_results\[LabSamples2025_Bioplastic_extra.xlsx]extra_Bioplastic'!H949)," ",'Q:\Abteilungsprojekte\Eng\EngData\PROJECT_Bioplastics\Renjie_Pan\05-Raw_Data\Lab_results\[LabSamples2025_Bioplastic_extra.xlsx]extra_Bioplastic'!H949)</f>
        <v/>
      </c>
    </row>
    <row r="950">
      <c r="A950">
        <f>IF(ISBLANK('Q:\Abteilungsprojekte\Eng\EngData\PROJECT_Bioplastics\Renjie_Pan\05-Raw_Data\Lab_results\[LabSamples2025_Bioplastic_extra.xlsx]extra_Bioplastic'!A950)," ",'Q:\Abteilungsprojekte\Eng\EngData\PROJECT_Bioplastics\Renjie_Pan\05-Raw_Data\Lab_results\[LabSamples2025_Bioplastic_extra.xlsx]extra_Bioplastic'!A950)</f>
        <v/>
      </c>
      <c r="B950">
        <f>IF(ISBLANK('Q:\Abteilungsprojekte\Eng\EngData\PROJECT_Bioplastics\Renjie_Pan\05-Raw_Data\Lab_results\[LabSamples2025_Bioplastic_extra.xlsx]extra_Bioplastic'!B950)," ",'Q:\Abteilungsprojekte\Eng\EngData\PROJECT_Bioplastics\Renjie_Pan\05-Raw_Data\Lab_results\[LabSamples2025_Bioplastic_extra.xlsx]extra_Bioplastic'!B950)</f>
        <v/>
      </c>
      <c r="C950">
        <f>IF(ISBLANK('Q:\Abteilungsprojekte\Eng\EngData\PROJECT_Bioplastics\Renjie_Pan\05-Raw_Data\Lab_results\[LabSamples2025_Bioplastic_extra.xlsx]extra_Bioplastic'!C950)," ",'Q:\Abteilungsprojekte\Eng\EngData\PROJECT_Bioplastics\Renjie_Pan\05-Raw_Data\Lab_results\[LabSamples2025_Bioplastic_extra.xlsx]extra_Bioplastic'!C950)</f>
        <v/>
      </c>
      <c r="D950">
        <f>IF(ISBLANK('Q:\Abteilungsprojekte\Eng\EngData\PROJECT_Bioplastics\Renjie_Pan\05-Raw_Data\Lab_results\[LabSamples2025_Bioplastic_extra.xlsx]extra_Bioplastic'!D950)," ",'Q:\Abteilungsprojekte\Eng\EngData\PROJECT_Bioplastics\Renjie_Pan\05-Raw_Data\Lab_results\[LabSamples2025_Bioplastic_extra.xlsx]extra_Bioplastic'!D950)</f>
        <v/>
      </c>
      <c r="E950">
        <f>IF(ISBLANK('Q:\Abteilungsprojekte\Eng\EngData\PROJECT_Bioplastics\Renjie_Pan\05-Raw_Data\Lab_results\[LabSamples2025_Bioplastic_extra.xlsx]extra_Bioplastic'!E950)," ",'Q:\Abteilungsprojekte\Eng\EngData\PROJECT_Bioplastics\Renjie_Pan\05-Raw_Data\Lab_results\[LabSamples2025_Bioplastic_extra.xlsx]extra_Bioplastic'!E950)</f>
        <v/>
      </c>
      <c r="F950">
        <f>IF(ISBLANK('Q:\Abteilungsprojekte\Eng\EngData\PROJECT_Bioplastics\Renjie_Pan\05-Raw_Data\Lab_results\[LabSamples2025_Bioplastic_extra.xlsx]extra_Bioplastic'!F950)," ",'Q:\Abteilungsprojekte\Eng\EngData\PROJECT_Bioplastics\Renjie_Pan\05-Raw_Data\Lab_results\[LabSamples2025_Bioplastic_extra.xlsx]extra_Bioplastic'!F950)</f>
        <v/>
      </c>
      <c r="G950">
        <f>IF(ISBLANK('Q:\Abteilungsprojekte\Eng\EngData\PROJECT_Bioplastics\Renjie_Pan\05-Raw_Data\Lab_results\[LabSamples2025_Bioplastic_extra.xlsx]extra_Bioplastic'!G950)," ",'Q:\Abteilungsprojekte\Eng\EngData\PROJECT_Bioplastics\Renjie_Pan\05-Raw_Data\Lab_results\[LabSamples2025_Bioplastic_extra.xlsx]extra_Bioplastic'!G950)</f>
        <v/>
      </c>
      <c r="H950">
        <f>IF(ISBLANK('Q:\Abteilungsprojekte\Eng\EngData\PROJECT_Bioplastics\Renjie_Pan\05-Raw_Data\Lab_results\[LabSamples2025_Bioplastic_extra.xlsx]extra_Bioplastic'!H950)," ",'Q:\Abteilungsprojekte\Eng\EngData\PROJECT_Bioplastics\Renjie_Pan\05-Raw_Data\Lab_results\[LabSamples2025_Bioplastic_extra.xlsx]extra_Bioplastic'!H950)</f>
        <v/>
      </c>
    </row>
    <row r="951">
      <c r="A951">
        <f>IF(ISBLANK('Q:\Abteilungsprojekte\Eng\EngData\PROJECT_Bioplastics\Renjie_Pan\05-Raw_Data\Lab_results\[LabSamples2025_Bioplastic_extra.xlsx]extra_Bioplastic'!A951)," ",'Q:\Abteilungsprojekte\Eng\EngData\PROJECT_Bioplastics\Renjie_Pan\05-Raw_Data\Lab_results\[LabSamples2025_Bioplastic_extra.xlsx]extra_Bioplastic'!A951)</f>
        <v/>
      </c>
      <c r="B951">
        <f>IF(ISBLANK('Q:\Abteilungsprojekte\Eng\EngData\PROJECT_Bioplastics\Renjie_Pan\05-Raw_Data\Lab_results\[LabSamples2025_Bioplastic_extra.xlsx]extra_Bioplastic'!B951)," ",'Q:\Abteilungsprojekte\Eng\EngData\PROJECT_Bioplastics\Renjie_Pan\05-Raw_Data\Lab_results\[LabSamples2025_Bioplastic_extra.xlsx]extra_Bioplastic'!B951)</f>
        <v/>
      </c>
      <c r="C951">
        <f>IF(ISBLANK('Q:\Abteilungsprojekte\Eng\EngData\PROJECT_Bioplastics\Renjie_Pan\05-Raw_Data\Lab_results\[LabSamples2025_Bioplastic_extra.xlsx]extra_Bioplastic'!C951)," ",'Q:\Abteilungsprojekte\Eng\EngData\PROJECT_Bioplastics\Renjie_Pan\05-Raw_Data\Lab_results\[LabSamples2025_Bioplastic_extra.xlsx]extra_Bioplastic'!C951)</f>
        <v/>
      </c>
      <c r="D951">
        <f>IF(ISBLANK('Q:\Abteilungsprojekte\Eng\EngData\PROJECT_Bioplastics\Renjie_Pan\05-Raw_Data\Lab_results\[LabSamples2025_Bioplastic_extra.xlsx]extra_Bioplastic'!D951)," ",'Q:\Abteilungsprojekte\Eng\EngData\PROJECT_Bioplastics\Renjie_Pan\05-Raw_Data\Lab_results\[LabSamples2025_Bioplastic_extra.xlsx]extra_Bioplastic'!D951)</f>
        <v/>
      </c>
      <c r="E951">
        <f>IF(ISBLANK('Q:\Abteilungsprojekte\Eng\EngData\PROJECT_Bioplastics\Renjie_Pan\05-Raw_Data\Lab_results\[LabSamples2025_Bioplastic_extra.xlsx]extra_Bioplastic'!E951)," ",'Q:\Abteilungsprojekte\Eng\EngData\PROJECT_Bioplastics\Renjie_Pan\05-Raw_Data\Lab_results\[LabSamples2025_Bioplastic_extra.xlsx]extra_Bioplastic'!E951)</f>
        <v/>
      </c>
      <c r="F951">
        <f>IF(ISBLANK('Q:\Abteilungsprojekte\Eng\EngData\PROJECT_Bioplastics\Renjie_Pan\05-Raw_Data\Lab_results\[LabSamples2025_Bioplastic_extra.xlsx]extra_Bioplastic'!F951)," ",'Q:\Abteilungsprojekte\Eng\EngData\PROJECT_Bioplastics\Renjie_Pan\05-Raw_Data\Lab_results\[LabSamples2025_Bioplastic_extra.xlsx]extra_Bioplastic'!F951)</f>
        <v/>
      </c>
      <c r="G951">
        <f>IF(ISBLANK('Q:\Abteilungsprojekte\Eng\EngData\PROJECT_Bioplastics\Renjie_Pan\05-Raw_Data\Lab_results\[LabSamples2025_Bioplastic_extra.xlsx]extra_Bioplastic'!G951)," ",'Q:\Abteilungsprojekte\Eng\EngData\PROJECT_Bioplastics\Renjie_Pan\05-Raw_Data\Lab_results\[LabSamples2025_Bioplastic_extra.xlsx]extra_Bioplastic'!G951)</f>
        <v/>
      </c>
      <c r="H951">
        <f>IF(ISBLANK('Q:\Abteilungsprojekte\Eng\EngData\PROJECT_Bioplastics\Renjie_Pan\05-Raw_Data\Lab_results\[LabSamples2025_Bioplastic_extra.xlsx]extra_Bioplastic'!H951)," ",'Q:\Abteilungsprojekte\Eng\EngData\PROJECT_Bioplastics\Renjie_Pan\05-Raw_Data\Lab_results\[LabSamples2025_Bioplastic_extra.xlsx]extra_Bioplastic'!H951)</f>
        <v/>
      </c>
    </row>
    <row r="952">
      <c r="A952">
        <f>IF(ISBLANK('Q:\Abteilungsprojekte\Eng\EngData\PROJECT_Bioplastics\Renjie_Pan\05-Raw_Data\Lab_results\[LabSamples2025_Bioplastic_extra.xlsx]extra_Bioplastic'!A952)," ",'Q:\Abteilungsprojekte\Eng\EngData\PROJECT_Bioplastics\Renjie_Pan\05-Raw_Data\Lab_results\[LabSamples2025_Bioplastic_extra.xlsx]extra_Bioplastic'!A952)</f>
        <v/>
      </c>
      <c r="B952">
        <f>IF(ISBLANK('Q:\Abteilungsprojekte\Eng\EngData\PROJECT_Bioplastics\Renjie_Pan\05-Raw_Data\Lab_results\[LabSamples2025_Bioplastic_extra.xlsx]extra_Bioplastic'!B952)," ",'Q:\Abteilungsprojekte\Eng\EngData\PROJECT_Bioplastics\Renjie_Pan\05-Raw_Data\Lab_results\[LabSamples2025_Bioplastic_extra.xlsx]extra_Bioplastic'!B952)</f>
        <v/>
      </c>
      <c r="C952">
        <f>IF(ISBLANK('Q:\Abteilungsprojekte\Eng\EngData\PROJECT_Bioplastics\Renjie_Pan\05-Raw_Data\Lab_results\[LabSamples2025_Bioplastic_extra.xlsx]extra_Bioplastic'!C952)," ",'Q:\Abteilungsprojekte\Eng\EngData\PROJECT_Bioplastics\Renjie_Pan\05-Raw_Data\Lab_results\[LabSamples2025_Bioplastic_extra.xlsx]extra_Bioplastic'!C952)</f>
        <v/>
      </c>
      <c r="D952">
        <f>IF(ISBLANK('Q:\Abteilungsprojekte\Eng\EngData\PROJECT_Bioplastics\Renjie_Pan\05-Raw_Data\Lab_results\[LabSamples2025_Bioplastic_extra.xlsx]extra_Bioplastic'!D952)," ",'Q:\Abteilungsprojekte\Eng\EngData\PROJECT_Bioplastics\Renjie_Pan\05-Raw_Data\Lab_results\[LabSamples2025_Bioplastic_extra.xlsx]extra_Bioplastic'!D952)</f>
        <v/>
      </c>
      <c r="E952">
        <f>IF(ISBLANK('Q:\Abteilungsprojekte\Eng\EngData\PROJECT_Bioplastics\Renjie_Pan\05-Raw_Data\Lab_results\[LabSamples2025_Bioplastic_extra.xlsx]extra_Bioplastic'!E952)," ",'Q:\Abteilungsprojekte\Eng\EngData\PROJECT_Bioplastics\Renjie_Pan\05-Raw_Data\Lab_results\[LabSamples2025_Bioplastic_extra.xlsx]extra_Bioplastic'!E952)</f>
        <v/>
      </c>
      <c r="F952">
        <f>IF(ISBLANK('Q:\Abteilungsprojekte\Eng\EngData\PROJECT_Bioplastics\Renjie_Pan\05-Raw_Data\Lab_results\[LabSamples2025_Bioplastic_extra.xlsx]extra_Bioplastic'!F952)," ",'Q:\Abteilungsprojekte\Eng\EngData\PROJECT_Bioplastics\Renjie_Pan\05-Raw_Data\Lab_results\[LabSamples2025_Bioplastic_extra.xlsx]extra_Bioplastic'!F952)</f>
        <v/>
      </c>
      <c r="G952">
        <f>IF(ISBLANK('Q:\Abteilungsprojekte\Eng\EngData\PROJECT_Bioplastics\Renjie_Pan\05-Raw_Data\Lab_results\[LabSamples2025_Bioplastic_extra.xlsx]extra_Bioplastic'!G952)," ",'Q:\Abteilungsprojekte\Eng\EngData\PROJECT_Bioplastics\Renjie_Pan\05-Raw_Data\Lab_results\[LabSamples2025_Bioplastic_extra.xlsx]extra_Bioplastic'!G952)</f>
        <v/>
      </c>
      <c r="H952">
        <f>IF(ISBLANK('Q:\Abteilungsprojekte\Eng\EngData\PROJECT_Bioplastics\Renjie_Pan\05-Raw_Data\Lab_results\[LabSamples2025_Bioplastic_extra.xlsx]extra_Bioplastic'!H952)," ",'Q:\Abteilungsprojekte\Eng\EngData\PROJECT_Bioplastics\Renjie_Pan\05-Raw_Data\Lab_results\[LabSamples2025_Bioplastic_extra.xlsx]extra_Bioplastic'!H952)</f>
        <v/>
      </c>
    </row>
    <row r="953">
      <c r="A953">
        <f>IF(ISBLANK('Q:\Abteilungsprojekte\Eng\EngData\PROJECT_Bioplastics\Renjie_Pan\05-Raw_Data\Lab_results\[LabSamples2025_Bioplastic_extra.xlsx]extra_Bioplastic'!A953)," ",'Q:\Abteilungsprojekte\Eng\EngData\PROJECT_Bioplastics\Renjie_Pan\05-Raw_Data\Lab_results\[LabSamples2025_Bioplastic_extra.xlsx]extra_Bioplastic'!A953)</f>
        <v/>
      </c>
      <c r="B953">
        <f>IF(ISBLANK('Q:\Abteilungsprojekte\Eng\EngData\PROJECT_Bioplastics\Renjie_Pan\05-Raw_Data\Lab_results\[LabSamples2025_Bioplastic_extra.xlsx]extra_Bioplastic'!B953)," ",'Q:\Abteilungsprojekte\Eng\EngData\PROJECT_Bioplastics\Renjie_Pan\05-Raw_Data\Lab_results\[LabSamples2025_Bioplastic_extra.xlsx]extra_Bioplastic'!B953)</f>
        <v/>
      </c>
      <c r="C953">
        <f>IF(ISBLANK('Q:\Abteilungsprojekte\Eng\EngData\PROJECT_Bioplastics\Renjie_Pan\05-Raw_Data\Lab_results\[LabSamples2025_Bioplastic_extra.xlsx]extra_Bioplastic'!C953)," ",'Q:\Abteilungsprojekte\Eng\EngData\PROJECT_Bioplastics\Renjie_Pan\05-Raw_Data\Lab_results\[LabSamples2025_Bioplastic_extra.xlsx]extra_Bioplastic'!C953)</f>
        <v/>
      </c>
      <c r="D953">
        <f>IF(ISBLANK('Q:\Abteilungsprojekte\Eng\EngData\PROJECT_Bioplastics\Renjie_Pan\05-Raw_Data\Lab_results\[LabSamples2025_Bioplastic_extra.xlsx]extra_Bioplastic'!D953)," ",'Q:\Abteilungsprojekte\Eng\EngData\PROJECT_Bioplastics\Renjie_Pan\05-Raw_Data\Lab_results\[LabSamples2025_Bioplastic_extra.xlsx]extra_Bioplastic'!D953)</f>
        <v/>
      </c>
      <c r="E953">
        <f>IF(ISBLANK('Q:\Abteilungsprojekte\Eng\EngData\PROJECT_Bioplastics\Renjie_Pan\05-Raw_Data\Lab_results\[LabSamples2025_Bioplastic_extra.xlsx]extra_Bioplastic'!E953)," ",'Q:\Abteilungsprojekte\Eng\EngData\PROJECT_Bioplastics\Renjie_Pan\05-Raw_Data\Lab_results\[LabSamples2025_Bioplastic_extra.xlsx]extra_Bioplastic'!E953)</f>
        <v/>
      </c>
      <c r="F953">
        <f>IF(ISBLANK('Q:\Abteilungsprojekte\Eng\EngData\PROJECT_Bioplastics\Renjie_Pan\05-Raw_Data\Lab_results\[LabSamples2025_Bioplastic_extra.xlsx]extra_Bioplastic'!F953)," ",'Q:\Abteilungsprojekte\Eng\EngData\PROJECT_Bioplastics\Renjie_Pan\05-Raw_Data\Lab_results\[LabSamples2025_Bioplastic_extra.xlsx]extra_Bioplastic'!F953)</f>
        <v/>
      </c>
      <c r="G953">
        <f>IF(ISBLANK('Q:\Abteilungsprojekte\Eng\EngData\PROJECT_Bioplastics\Renjie_Pan\05-Raw_Data\Lab_results\[LabSamples2025_Bioplastic_extra.xlsx]extra_Bioplastic'!G953)," ",'Q:\Abteilungsprojekte\Eng\EngData\PROJECT_Bioplastics\Renjie_Pan\05-Raw_Data\Lab_results\[LabSamples2025_Bioplastic_extra.xlsx]extra_Bioplastic'!G953)</f>
        <v/>
      </c>
      <c r="H953">
        <f>IF(ISBLANK('Q:\Abteilungsprojekte\Eng\EngData\PROJECT_Bioplastics\Renjie_Pan\05-Raw_Data\Lab_results\[LabSamples2025_Bioplastic_extra.xlsx]extra_Bioplastic'!H953)," ",'Q:\Abteilungsprojekte\Eng\EngData\PROJECT_Bioplastics\Renjie_Pan\05-Raw_Data\Lab_results\[LabSamples2025_Bioplastic_extra.xlsx]extra_Bioplastic'!H953)</f>
        <v/>
      </c>
    </row>
    <row r="954">
      <c r="A954">
        <f>IF(ISBLANK('Q:\Abteilungsprojekte\Eng\EngData\PROJECT_Bioplastics\Renjie_Pan\05-Raw_Data\Lab_results\[LabSamples2025_Bioplastic_extra.xlsx]extra_Bioplastic'!A954)," ",'Q:\Abteilungsprojekte\Eng\EngData\PROJECT_Bioplastics\Renjie_Pan\05-Raw_Data\Lab_results\[LabSamples2025_Bioplastic_extra.xlsx]extra_Bioplastic'!A954)</f>
        <v/>
      </c>
      <c r="B954">
        <f>IF(ISBLANK('Q:\Abteilungsprojekte\Eng\EngData\PROJECT_Bioplastics\Renjie_Pan\05-Raw_Data\Lab_results\[LabSamples2025_Bioplastic_extra.xlsx]extra_Bioplastic'!B954)," ",'Q:\Abteilungsprojekte\Eng\EngData\PROJECT_Bioplastics\Renjie_Pan\05-Raw_Data\Lab_results\[LabSamples2025_Bioplastic_extra.xlsx]extra_Bioplastic'!B954)</f>
        <v/>
      </c>
      <c r="C954">
        <f>IF(ISBLANK('Q:\Abteilungsprojekte\Eng\EngData\PROJECT_Bioplastics\Renjie_Pan\05-Raw_Data\Lab_results\[LabSamples2025_Bioplastic_extra.xlsx]extra_Bioplastic'!C954)," ",'Q:\Abteilungsprojekte\Eng\EngData\PROJECT_Bioplastics\Renjie_Pan\05-Raw_Data\Lab_results\[LabSamples2025_Bioplastic_extra.xlsx]extra_Bioplastic'!C954)</f>
        <v/>
      </c>
      <c r="D954">
        <f>IF(ISBLANK('Q:\Abteilungsprojekte\Eng\EngData\PROJECT_Bioplastics\Renjie_Pan\05-Raw_Data\Lab_results\[LabSamples2025_Bioplastic_extra.xlsx]extra_Bioplastic'!D954)," ",'Q:\Abteilungsprojekte\Eng\EngData\PROJECT_Bioplastics\Renjie_Pan\05-Raw_Data\Lab_results\[LabSamples2025_Bioplastic_extra.xlsx]extra_Bioplastic'!D954)</f>
        <v/>
      </c>
      <c r="E954">
        <f>IF(ISBLANK('Q:\Abteilungsprojekte\Eng\EngData\PROJECT_Bioplastics\Renjie_Pan\05-Raw_Data\Lab_results\[LabSamples2025_Bioplastic_extra.xlsx]extra_Bioplastic'!E954)," ",'Q:\Abteilungsprojekte\Eng\EngData\PROJECT_Bioplastics\Renjie_Pan\05-Raw_Data\Lab_results\[LabSamples2025_Bioplastic_extra.xlsx]extra_Bioplastic'!E954)</f>
        <v/>
      </c>
      <c r="F954">
        <f>IF(ISBLANK('Q:\Abteilungsprojekte\Eng\EngData\PROJECT_Bioplastics\Renjie_Pan\05-Raw_Data\Lab_results\[LabSamples2025_Bioplastic_extra.xlsx]extra_Bioplastic'!F954)," ",'Q:\Abteilungsprojekte\Eng\EngData\PROJECT_Bioplastics\Renjie_Pan\05-Raw_Data\Lab_results\[LabSamples2025_Bioplastic_extra.xlsx]extra_Bioplastic'!F954)</f>
        <v/>
      </c>
      <c r="G954">
        <f>IF(ISBLANK('Q:\Abteilungsprojekte\Eng\EngData\PROJECT_Bioplastics\Renjie_Pan\05-Raw_Data\Lab_results\[LabSamples2025_Bioplastic_extra.xlsx]extra_Bioplastic'!G954)," ",'Q:\Abteilungsprojekte\Eng\EngData\PROJECT_Bioplastics\Renjie_Pan\05-Raw_Data\Lab_results\[LabSamples2025_Bioplastic_extra.xlsx]extra_Bioplastic'!G954)</f>
        <v/>
      </c>
      <c r="H954">
        <f>IF(ISBLANK('Q:\Abteilungsprojekte\Eng\EngData\PROJECT_Bioplastics\Renjie_Pan\05-Raw_Data\Lab_results\[LabSamples2025_Bioplastic_extra.xlsx]extra_Bioplastic'!H954)," ",'Q:\Abteilungsprojekte\Eng\EngData\PROJECT_Bioplastics\Renjie_Pan\05-Raw_Data\Lab_results\[LabSamples2025_Bioplastic_extra.xlsx]extra_Bioplastic'!H954)</f>
        <v/>
      </c>
    </row>
    <row r="955">
      <c r="A955">
        <f>IF(ISBLANK('Q:\Abteilungsprojekte\Eng\EngData\PROJECT_Bioplastics\Renjie_Pan\05-Raw_Data\Lab_results\[LabSamples2025_Bioplastic_extra.xlsx]extra_Bioplastic'!A955)," ",'Q:\Abteilungsprojekte\Eng\EngData\PROJECT_Bioplastics\Renjie_Pan\05-Raw_Data\Lab_results\[LabSamples2025_Bioplastic_extra.xlsx]extra_Bioplastic'!A955)</f>
        <v/>
      </c>
      <c r="B955">
        <f>IF(ISBLANK('Q:\Abteilungsprojekte\Eng\EngData\PROJECT_Bioplastics\Renjie_Pan\05-Raw_Data\Lab_results\[LabSamples2025_Bioplastic_extra.xlsx]extra_Bioplastic'!B955)," ",'Q:\Abteilungsprojekte\Eng\EngData\PROJECT_Bioplastics\Renjie_Pan\05-Raw_Data\Lab_results\[LabSamples2025_Bioplastic_extra.xlsx]extra_Bioplastic'!B955)</f>
        <v/>
      </c>
      <c r="C955">
        <f>IF(ISBLANK('Q:\Abteilungsprojekte\Eng\EngData\PROJECT_Bioplastics\Renjie_Pan\05-Raw_Data\Lab_results\[LabSamples2025_Bioplastic_extra.xlsx]extra_Bioplastic'!C955)," ",'Q:\Abteilungsprojekte\Eng\EngData\PROJECT_Bioplastics\Renjie_Pan\05-Raw_Data\Lab_results\[LabSamples2025_Bioplastic_extra.xlsx]extra_Bioplastic'!C955)</f>
        <v/>
      </c>
      <c r="D955">
        <f>IF(ISBLANK('Q:\Abteilungsprojekte\Eng\EngData\PROJECT_Bioplastics\Renjie_Pan\05-Raw_Data\Lab_results\[LabSamples2025_Bioplastic_extra.xlsx]extra_Bioplastic'!D955)," ",'Q:\Abteilungsprojekte\Eng\EngData\PROJECT_Bioplastics\Renjie_Pan\05-Raw_Data\Lab_results\[LabSamples2025_Bioplastic_extra.xlsx]extra_Bioplastic'!D955)</f>
        <v/>
      </c>
      <c r="E955">
        <f>IF(ISBLANK('Q:\Abteilungsprojekte\Eng\EngData\PROJECT_Bioplastics\Renjie_Pan\05-Raw_Data\Lab_results\[LabSamples2025_Bioplastic_extra.xlsx]extra_Bioplastic'!E955)," ",'Q:\Abteilungsprojekte\Eng\EngData\PROJECT_Bioplastics\Renjie_Pan\05-Raw_Data\Lab_results\[LabSamples2025_Bioplastic_extra.xlsx]extra_Bioplastic'!E955)</f>
        <v/>
      </c>
      <c r="F955">
        <f>IF(ISBLANK('Q:\Abteilungsprojekte\Eng\EngData\PROJECT_Bioplastics\Renjie_Pan\05-Raw_Data\Lab_results\[LabSamples2025_Bioplastic_extra.xlsx]extra_Bioplastic'!F955)," ",'Q:\Abteilungsprojekte\Eng\EngData\PROJECT_Bioplastics\Renjie_Pan\05-Raw_Data\Lab_results\[LabSamples2025_Bioplastic_extra.xlsx]extra_Bioplastic'!F955)</f>
        <v/>
      </c>
      <c r="G955">
        <f>IF(ISBLANK('Q:\Abteilungsprojekte\Eng\EngData\PROJECT_Bioplastics\Renjie_Pan\05-Raw_Data\Lab_results\[LabSamples2025_Bioplastic_extra.xlsx]extra_Bioplastic'!G955)," ",'Q:\Abteilungsprojekte\Eng\EngData\PROJECT_Bioplastics\Renjie_Pan\05-Raw_Data\Lab_results\[LabSamples2025_Bioplastic_extra.xlsx]extra_Bioplastic'!G955)</f>
        <v/>
      </c>
      <c r="H955">
        <f>IF(ISBLANK('Q:\Abteilungsprojekte\Eng\EngData\PROJECT_Bioplastics\Renjie_Pan\05-Raw_Data\Lab_results\[LabSamples2025_Bioplastic_extra.xlsx]extra_Bioplastic'!H955)," ",'Q:\Abteilungsprojekte\Eng\EngData\PROJECT_Bioplastics\Renjie_Pan\05-Raw_Data\Lab_results\[LabSamples2025_Bioplastic_extra.xlsx]extra_Bioplastic'!H955)</f>
        <v/>
      </c>
    </row>
    <row r="956">
      <c r="A956">
        <f>IF(ISBLANK('Q:\Abteilungsprojekte\Eng\EngData\PROJECT_Bioplastics\Renjie_Pan\05-Raw_Data\Lab_results\[LabSamples2025_Bioplastic_extra.xlsx]extra_Bioplastic'!A956)," ",'Q:\Abteilungsprojekte\Eng\EngData\PROJECT_Bioplastics\Renjie_Pan\05-Raw_Data\Lab_results\[LabSamples2025_Bioplastic_extra.xlsx]extra_Bioplastic'!A956)</f>
        <v/>
      </c>
      <c r="B956">
        <f>IF(ISBLANK('Q:\Abteilungsprojekte\Eng\EngData\PROJECT_Bioplastics\Renjie_Pan\05-Raw_Data\Lab_results\[LabSamples2025_Bioplastic_extra.xlsx]extra_Bioplastic'!B956)," ",'Q:\Abteilungsprojekte\Eng\EngData\PROJECT_Bioplastics\Renjie_Pan\05-Raw_Data\Lab_results\[LabSamples2025_Bioplastic_extra.xlsx]extra_Bioplastic'!B956)</f>
        <v/>
      </c>
      <c r="C956">
        <f>IF(ISBLANK('Q:\Abteilungsprojekte\Eng\EngData\PROJECT_Bioplastics\Renjie_Pan\05-Raw_Data\Lab_results\[LabSamples2025_Bioplastic_extra.xlsx]extra_Bioplastic'!C956)," ",'Q:\Abteilungsprojekte\Eng\EngData\PROJECT_Bioplastics\Renjie_Pan\05-Raw_Data\Lab_results\[LabSamples2025_Bioplastic_extra.xlsx]extra_Bioplastic'!C956)</f>
        <v/>
      </c>
      <c r="D956">
        <f>IF(ISBLANK('Q:\Abteilungsprojekte\Eng\EngData\PROJECT_Bioplastics\Renjie_Pan\05-Raw_Data\Lab_results\[LabSamples2025_Bioplastic_extra.xlsx]extra_Bioplastic'!D956)," ",'Q:\Abteilungsprojekte\Eng\EngData\PROJECT_Bioplastics\Renjie_Pan\05-Raw_Data\Lab_results\[LabSamples2025_Bioplastic_extra.xlsx]extra_Bioplastic'!D956)</f>
        <v/>
      </c>
      <c r="E956">
        <f>IF(ISBLANK('Q:\Abteilungsprojekte\Eng\EngData\PROJECT_Bioplastics\Renjie_Pan\05-Raw_Data\Lab_results\[LabSamples2025_Bioplastic_extra.xlsx]extra_Bioplastic'!E956)," ",'Q:\Abteilungsprojekte\Eng\EngData\PROJECT_Bioplastics\Renjie_Pan\05-Raw_Data\Lab_results\[LabSamples2025_Bioplastic_extra.xlsx]extra_Bioplastic'!E956)</f>
        <v/>
      </c>
      <c r="F956">
        <f>IF(ISBLANK('Q:\Abteilungsprojekte\Eng\EngData\PROJECT_Bioplastics\Renjie_Pan\05-Raw_Data\Lab_results\[LabSamples2025_Bioplastic_extra.xlsx]extra_Bioplastic'!F956)," ",'Q:\Abteilungsprojekte\Eng\EngData\PROJECT_Bioplastics\Renjie_Pan\05-Raw_Data\Lab_results\[LabSamples2025_Bioplastic_extra.xlsx]extra_Bioplastic'!F956)</f>
        <v/>
      </c>
      <c r="G956">
        <f>IF(ISBLANK('Q:\Abteilungsprojekte\Eng\EngData\PROJECT_Bioplastics\Renjie_Pan\05-Raw_Data\Lab_results\[LabSamples2025_Bioplastic_extra.xlsx]extra_Bioplastic'!G956)," ",'Q:\Abteilungsprojekte\Eng\EngData\PROJECT_Bioplastics\Renjie_Pan\05-Raw_Data\Lab_results\[LabSamples2025_Bioplastic_extra.xlsx]extra_Bioplastic'!G956)</f>
        <v/>
      </c>
      <c r="H956">
        <f>IF(ISBLANK('Q:\Abteilungsprojekte\Eng\EngData\PROJECT_Bioplastics\Renjie_Pan\05-Raw_Data\Lab_results\[LabSamples2025_Bioplastic_extra.xlsx]extra_Bioplastic'!H956)," ",'Q:\Abteilungsprojekte\Eng\EngData\PROJECT_Bioplastics\Renjie_Pan\05-Raw_Data\Lab_results\[LabSamples2025_Bioplastic_extra.xlsx]extra_Bioplastic'!H956)</f>
        <v/>
      </c>
    </row>
    <row r="957">
      <c r="A957">
        <f>IF(ISBLANK('Q:\Abteilungsprojekte\Eng\EngData\PROJECT_Bioplastics\Renjie_Pan\05-Raw_Data\Lab_results\[LabSamples2025_Bioplastic_extra.xlsx]extra_Bioplastic'!A957)," ",'Q:\Abteilungsprojekte\Eng\EngData\PROJECT_Bioplastics\Renjie_Pan\05-Raw_Data\Lab_results\[LabSamples2025_Bioplastic_extra.xlsx]extra_Bioplastic'!A957)</f>
        <v/>
      </c>
      <c r="B957">
        <f>IF(ISBLANK('Q:\Abteilungsprojekte\Eng\EngData\PROJECT_Bioplastics\Renjie_Pan\05-Raw_Data\Lab_results\[LabSamples2025_Bioplastic_extra.xlsx]extra_Bioplastic'!B957)," ",'Q:\Abteilungsprojekte\Eng\EngData\PROJECT_Bioplastics\Renjie_Pan\05-Raw_Data\Lab_results\[LabSamples2025_Bioplastic_extra.xlsx]extra_Bioplastic'!B957)</f>
        <v/>
      </c>
      <c r="C957">
        <f>IF(ISBLANK('Q:\Abteilungsprojekte\Eng\EngData\PROJECT_Bioplastics\Renjie_Pan\05-Raw_Data\Lab_results\[LabSamples2025_Bioplastic_extra.xlsx]extra_Bioplastic'!C957)," ",'Q:\Abteilungsprojekte\Eng\EngData\PROJECT_Bioplastics\Renjie_Pan\05-Raw_Data\Lab_results\[LabSamples2025_Bioplastic_extra.xlsx]extra_Bioplastic'!C957)</f>
        <v/>
      </c>
      <c r="D957">
        <f>IF(ISBLANK('Q:\Abteilungsprojekte\Eng\EngData\PROJECT_Bioplastics\Renjie_Pan\05-Raw_Data\Lab_results\[LabSamples2025_Bioplastic_extra.xlsx]extra_Bioplastic'!D957)," ",'Q:\Abteilungsprojekte\Eng\EngData\PROJECT_Bioplastics\Renjie_Pan\05-Raw_Data\Lab_results\[LabSamples2025_Bioplastic_extra.xlsx]extra_Bioplastic'!D957)</f>
        <v/>
      </c>
      <c r="E957">
        <f>IF(ISBLANK('Q:\Abteilungsprojekte\Eng\EngData\PROJECT_Bioplastics\Renjie_Pan\05-Raw_Data\Lab_results\[LabSamples2025_Bioplastic_extra.xlsx]extra_Bioplastic'!E957)," ",'Q:\Abteilungsprojekte\Eng\EngData\PROJECT_Bioplastics\Renjie_Pan\05-Raw_Data\Lab_results\[LabSamples2025_Bioplastic_extra.xlsx]extra_Bioplastic'!E957)</f>
        <v/>
      </c>
      <c r="F957">
        <f>IF(ISBLANK('Q:\Abteilungsprojekte\Eng\EngData\PROJECT_Bioplastics\Renjie_Pan\05-Raw_Data\Lab_results\[LabSamples2025_Bioplastic_extra.xlsx]extra_Bioplastic'!F957)," ",'Q:\Abteilungsprojekte\Eng\EngData\PROJECT_Bioplastics\Renjie_Pan\05-Raw_Data\Lab_results\[LabSamples2025_Bioplastic_extra.xlsx]extra_Bioplastic'!F957)</f>
        <v/>
      </c>
      <c r="G957">
        <f>IF(ISBLANK('Q:\Abteilungsprojekte\Eng\EngData\PROJECT_Bioplastics\Renjie_Pan\05-Raw_Data\Lab_results\[LabSamples2025_Bioplastic_extra.xlsx]extra_Bioplastic'!G957)," ",'Q:\Abteilungsprojekte\Eng\EngData\PROJECT_Bioplastics\Renjie_Pan\05-Raw_Data\Lab_results\[LabSamples2025_Bioplastic_extra.xlsx]extra_Bioplastic'!G957)</f>
        <v/>
      </c>
      <c r="H957">
        <f>IF(ISBLANK('Q:\Abteilungsprojekte\Eng\EngData\PROJECT_Bioplastics\Renjie_Pan\05-Raw_Data\Lab_results\[LabSamples2025_Bioplastic_extra.xlsx]extra_Bioplastic'!H957)," ",'Q:\Abteilungsprojekte\Eng\EngData\PROJECT_Bioplastics\Renjie_Pan\05-Raw_Data\Lab_results\[LabSamples2025_Bioplastic_extra.xlsx]extra_Bioplastic'!H957)</f>
        <v/>
      </c>
    </row>
    <row r="958">
      <c r="A958">
        <f>IF(ISBLANK('Q:\Abteilungsprojekte\Eng\EngData\PROJECT_Bioplastics\Renjie_Pan\05-Raw_Data\Lab_results\[LabSamples2025_Bioplastic_extra.xlsx]extra_Bioplastic'!A958)," ",'Q:\Abteilungsprojekte\Eng\EngData\PROJECT_Bioplastics\Renjie_Pan\05-Raw_Data\Lab_results\[LabSamples2025_Bioplastic_extra.xlsx]extra_Bioplastic'!A958)</f>
        <v/>
      </c>
      <c r="B958">
        <f>IF(ISBLANK('Q:\Abteilungsprojekte\Eng\EngData\PROJECT_Bioplastics\Renjie_Pan\05-Raw_Data\Lab_results\[LabSamples2025_Bioplastic_extra.xlsx]extra_Bioplastic'!B958)," ",'Q:\Abteilungsprojekte\Eng\EngData\PROJECT_Bioplastics\Renjie_Pan\05-Raw_Data\Lab_results\[LabSamples2025_Bioplastic_extra.xlsx]extra_Bioplastic'!B958)</f>
        <v/>
      </c>
      <c r="C958">
        <f>IF(ISBLANK('Q:\Abteilungsprojekte\Eng\EngData\PROJECT_Bioplastics\Renjie_Pan\05-Raw_Data\Lab_results\[LabSamples2025_Bioplastic_extra.xlsx]extra_Bioplastic'!C958)," ",'Q:\Abteilungsprojekte\Eng\EngData\PROJECT_Bioplastics\Renjie_Pan\05-Raw_Data\Lab_results\[LabSamples2025_Bioplastic_extra.xlsx]extra_Bioplastic'!C958)</f>
        <v/>
      </c>
      <c r="D958">
        <f>IF(ISBLANK('Q:\Abteilungsprojekte\Eng\EngData\PROJECT_Bioplastics\Renjie_Pan\05-Raw_Data\Lab_results\[LabSamples2025_Bioplastic_extra.xlsx]extra_Bioplastic'!D958)," ",'Q:\Abteilungsprojekte\Eng\EngData\PROJECT_Bioplastics\Renjie_Pan\05-Raw_Data\Lab_results\[LabSamples2025_Bioplastic_extra.xlsx]extra_Bioplastic'!D958)</f>
        <v/>
      </c>
      <c r="E958">
        <f>IF(ISBLANK('Q:\Abteilungsprojekte\Eng\EngData\PROJECT_Bioplastics\Renjie_Pan\05-Raw_Data\Lab_results\[LabSamples2025_Bioplastic_extra.xlsx]extra_Bioplastic'!E958)," ",'Q:\Abteilungsprojekte\Eng\EngData\PROJECT_Bioplastics\Renjie_Pan\05-Raw_Data\Lab_results\[LabSamples2025_Bioplastic_extra.xlsx]extra_Bioplastic'!E958)</f>
        <v/>
      </c>
      <c r="F958">
        <f>IF(ISBLANK('Q:\Abteilungsprojekte\Eng\EngData\PROJECT_Bioplastics\Renjie_Pan\05-Raw_Data\Lab_results\[LabSamples2025_Bioplastic_extra.xlsx]extra_Bioplastic'!F958)," ",'Q:\Abteilungsprojekte\Eng\EngData\PROJECT_Bioplastics\Renjie_Pan\05-Raw_Data\Lab_results\[LabSamples2025_Bioplastic_extra.xlsx]extra_Bioplastic'!F958)</f>
        <v/>
      </c>
      <c r="G958">
        <f>IF(ISBLANK('Q:\Abteilungsprojekte\Eng\EngData\PROJECT_Bioplastics\Renjie_Pan\05-Raw_Data\Lab_results\[LabSamples2025_Bioplastic_extra.xlsx]extra_Bioplastic'!G958)," ",'Q:\Abteilungsprojekte\Eng\EngData\PROJECT_Bioplastics\Renjie_Pan\05-Raw_Data\Lab_results\[LabSamples2025_Bioplastic_extra.xlsx]extra_Bioplastic'!G958)</f>
        <v/>
      </c>
      <c r="H958">
        <f>IF(ISBLANK('Q:\Abteilungsprojekte\Eng\EngData\PROJECT_Bioplastics\Renjie_Pan\05-Raw_Data\Lab_results\[LabSamples2025_Bioplastic_extra.xlsx]extra_Bioplastic'!H958)," ",'Q:\Abteilungsprojekte\Eng\EngData\PROJECT_Bioplastics\Renjie_Pan\05-Raw_Data\Lab_results\[LabSamples2025_Bioplastic_extra.xlsx]extra_Bioplastic'!H958)</f>
        <v/>
      </c>
    </row>
    <row r="959">
      <c r="A959">
        <f>IF(ISBLANK('Q:\Abteilungsprojekte\Eng\EngData\PROJECT_Bioplastics\Renjie_Pan\05-Raw_Data\Lab_results\[LabSamples2025_Bioplastic_extra.xlsx]extra_Bioplastic'!A959)," ",'Q:\Abteilungsprojekte\Eng\EngData\PROJECT_Bioplastics\Renjie_Pan\05-Raw_Data\Lab_results\[LabSamples2025_Bioplastic_extra.xlsx]extra_Bioplastic'!A959)</f>
        <v/>
      </c>
      <c r="B959">
        <f>IF(ISBLANK('Q:\Abteilungsprojekte\Eng\EngData\PROJECT_Bioplastics\Renjie_Pan\05-Raw_Data\Lab_results\[LabSamples2025_Bioplastic_extra.xlsx]extra_Bioplastic'!B959)," ",'Q:\Abteilungsprojekte\Eng\EngData\PROJECT_Bioplastics\Renjie_Pan\05-Raw_Data\Lab_results\[LabSamples2025_Bioplastic_extra.xlsx]extra_Bioplastic'!B959)</f>
        <v/>
      </c>
      <c r="C959">
        <f>IF(ISBLANK('Q:\Abteilungsprojekte\Eng\EngData\PROJECT_Bioplastics\Renjie_Pan\05-Raw_Data\Lab_results\[LabSamples2025_Bioplastic_extra.xlsx]extra_Bioplastic'!C959)," ",'Q:\Abteilungsprojekte\Eng\EngData\PROJECT_Bioplastics\Renjie_Pan\05-Raw_Data\Lab_results\[LabSamples2025_Bioplastic_extra.xlsx]extra_Bioplastic'!C959)</f>
        <v/>
      </c>
      <c r="D959">
        <f>IF(ISBLANK('Q:\Abteilungsprojekte\Eng\EngData\PROJECT_Bioplastics\Renjie_Pan\05-Raw_Data\Lab_results\[LabSamples2025_Bioplastic_extra.xlsx]extra_Bioplastic'!D959)," ",'Q:\Abteilungsprojekte\Eng\EngData\PROJECT_Bioplastics\Renjie_Pan\05-Raw_Data\Lab_results\[LabSamples2025_Bioplastic_extra.xlsx]extra_Bioplastic'!D959)</f>
        <v/>
      </c>
      <c r="E959">
        <f>IF(ISBLANK('Q:\Abteilungsprojekte\Eng\EngData\PROJECT_Bioplastics\Renjie_Pan\05-Raw_Data\Lab_results\[LabSamples2025_Bioplastic_extra.xlsx]extra_Bioplastic'!E959)," ",'Q:\Abteilungsprojekte\Eng\EngData\PROJECT_Bioplastics\Renjie_Pan\05-Raw_Data\Lab_results\[LabSamples2025_Bioplastic_extra.xlsx]extra_Bioplastic'!E959)</f>
        <v/>
      </c>
      <c r="F959">
        <f>IF(ISBLANK('Q:\Abteilungsprojekte\Eng\EngData\PROJECT_Bioplastics\Renjie_Pan\05-Raw_Data\Lab_results\[LabSamples2025_Bioplastic_extra.xlsx]extra_Bioplastic'!F959)," ",'Q:\Abteilungsprojekte\Eng\EngData\PROJECT_Bioplastics\Renjie_Pan\05-Raw_Data\Lab_results\[LabSamples2025_Bioplastic_extra.xlsx]extra_Bioplastic'!F959)</f>
        <v/>
      </c>
      <c r="G959">
        <f>IF(ISBLANK('Q:\Abteilungsprojekte\Eng\EngData\PROJECT_Bioplastics\Renjie_Pan\05-Raw_Data\Lab_results\[LabSamples2025_Bioplastic_extra.xlsx]extra_Bioplastic'!G959)," ",'Q:\Abteilungsprojekte\Eng\EngData\PROJECT_Bioplastics\Renjie_Pan\05-Raw_Data\Lab_results\[LabSamples2025_Bioplastic_extra.xlsx]extra_Bioplastic'!G959)</f>
        <v/>
      </c>
      <c r="H959">
        <f>IF(ISBLANK('Q:\Abteilungsprojekte\Eng\EngData\PROJECT_Bioplastics\Renjie_Pan\05-Raw_Data\Lab_results\[LabSamples2025_Bioplastic_extra.xlsx]extra_Bioplastic'!H959)," ",'Q:\Abteilungsprojekte\Eng\EngData\PROJECT_Bioplastics\Renjie_Pan\05-Raw_Data\Lab_results\[LabSamples2025_Bioplastic_extra.xlsx]extra_Bioplastic'!H959)</f>
        <v/>
      </c>
    </row>
    <row r="960">
      <c r="A960">
        <f>IF(ISBLANK('Q:\Abteilungsprojekte\Eng\EngData\PROJECT_Bioplastics\Renjie_Pan\05-Raw_Data\Lab_results\[LabSamples2025_Bioplastic_extra.xlsx]extra_Bioplastic'!A960)," ",'Q:\Abteilungsprojekte\Eng\EngData\PROJECT_Bioplastics\Renjie_Pan\05-Raw_Data\Lab_results\[LabSamples2025_Bioplastic_extra.xlsx]extra_Bioplastic'!A960)</f>
        <v/>
      </c>
      <c r="B960">
        <f>IF(ISBLANK('Q:\Abteilungsprojekte\Eng\EngData\PROJECT_Bioplastics\Renjie_Pan\05-Raw_Data\Lab_results\[LabSamples2025_Bioplastic_extra.xlsx]extra_Bioplastic'!B960)," ",'Q:\Abteilungsprojekte\Eng\EngData\PROJECT_Bioplastics\Renjie_Pan\05-Raw_Data\Lab_results\[LabSamples2025_Bioplastic_extra.xlsx]extra_Bioplastic'!B960)</f>
        <v/>
      </c>
      <c r="C960">
        <f>IF(ISBLANK('Q:\Abteilungsprojekte\Eng\EngData\PROJECT_Bioplastics\Renjie_Pan\05-Raw_Data\Lab_results\[LabSamples2025_Bioplastic_extra.xlsx]extra_Bioplastic'!C960)," ",'Q:\Abteilungsprojekte\Eng\EngData\PROJECT_Bioplastics\Renjie_Pan\05-Raw_Data\Lab_results\[LabSamples2025_Bioplastic_extra.xlsx]extra_Bioplastic'!C960)</f>
        <v/>
      </c>
      <c r="D960">
        <f>IF(ISBLANK('Q:\Abteilungsprojekte\Eng\EngData\PROJECT_Bioplastics\Renjie_Pan\05-Raw_Data\Lab_results\[LabSamples2025_Bioplastic_extra.xlsx]extra_Bioplastic'!D960)," ",'Q:\Abteilungsprojekte\Eng\EngData\PROJECT_Bioplastics\Renjie_Pan\05-Raw_Data\Lab_results\[LabSamples2025_Bioplastic_extra.xlsx]extra_Bioplastic'!D960)</f>
        <v/>
      </c>
      <c r="E960">
        <f>IF(ISBLANK('Q:\Abteilungsprojekte\Eng\EngData\PROJECT_Bioplastics\Renjie_Pan\05-Raw_Data\Lab_results\[LabSamples2025_Bioplastic_extra.xlsx]extra_Bioplastic'!E960)," ",'Q:\Abteilungsprojekte\Eng\EngData\PROJECT_Bioplastics\Renjie_Pan\05-Raw_Data\Lab_results\[LabSamples2025_Bioplastic_extra.xlsx]extra_Bioplastic'!E960)</f>
        <v/>
      </c>
      <c r="F960">
        <f>IF(ISBLANK('Q:\Abteilungsprojekte\Eng\EngData\PROJECT_Bioplastics\Renjie_Pan\05-Raw_Data\Lab_results\[LabSamples2025_Bioplastic_extra.xlsx]extra_Bioplastic'!F960)," ",'Q:\Abteilungsprojekte\Eng\EngData\PROJECT_Bioplastics\Renjie_Pan\05-Raw_Data\Lab_results\[LabSamples2025_Bioplastic_extra.xlsx]extra_Bioplastic'!F960)</f>
        <v/>
      </c>
      <c r="G960">
        <f>IF(ISBLANK('Q:\Abteilungsprojekte\Eng\EngData\PROJECT_Bioplastics\Renjie_Pan\05-Raw_Data\Lab_results\[LabSamples2025_Bioplastic_extra.xlsx]extra_Bioplastic'!G960)," ",'Q:\Abteilungsprojekte\Eng\EngData\PROJECT_Bioplastics\Renjie_Pan\05-Raw_Data\Lab_results\[LabSamples2025_Bioplastic_extra.xlsx]extra_Bioplastic'!G960)</f>
        <v/>
      </c>
      <c r="H960">
        <f>IF(ISBLANK('Q:\Abteilungsprojekte\Eng\EngData\PROJECT_Bioplastics\Renjie_Pan\05-Raw_Data\Lab_results\[LabSamples2025_Bioplastic_extra.xlsx]extra_Bioplastic'!H960)," ",'Q:\Abteilungsprojekte\Eng\EngData\PROJECT_Bioplastics\Renjie_Pan\05-Raw_Data\Lab_results\[LabSamples2025_Bioplastic_extra.xlsx]extra_Bioplastic'!H960)</f>
        <v/>
      </c>
    </row>
    <row r="961">
      <c r="A961">
        <f>IF(ISBLANK('Q:\Abteilungsprojekte\Eng\EngData\PROJECT_Bioplastics\Renjie_Pan\05-Raw_Data\Lab_results\[LabSamples2025_Bioplastic_extra.xlsx]extra_Bioplastic'!A961)," ",'Q:\Abteilungsprojekte\Eng\EngData\PROJECT_Bioplastics\Renjie_Pan\05-Raw_Data\Lab_results\[LabSamples2025_Bioplastic_extra.xlsx]extra_Bioplastic'!A961)</f>
        <v/>
      </c>
      <c r="B961">
        <f>IF(ISBLANK('Q:\Abteilungsprojekte\Eng\EngData\PROJECT_Bioplastics\Renjie_Pan\05-Raw_Data\Lab_results\[LabSamples2025_Bioplastic_extra.xlsx]extra_Bioplastic'!B961)," ",'Q:\Abteilungsprojekte\Eng\EngData\PROJECT_Bioplastics\Renjie_Pan\05-Raw_Data\Lab_results\[LabSamples2025_Bioplastic_extra.xlsx]extra_Bioplastic'!B961)</f>
        <v/>
      </c>
      <c r="C961">
        <f>IF(ISBLANK('Q:\Abteilungsprojekte\Eng\EngData\PROJECT_Bioplastics\Renjie_Pan\05-Raw_Data\Lab_results\[LabSamples2025_Bioplastic_extra.xlsx]extra_Bioplastic'!C961)," ",'Q:\Abteilungsprojekte\Eng\EngData\PROJECT_Bioplastics\Renjie_Pan\05-Raw_Data\Lab_results\[LabSamples2025_Bioplastic_extra.xlsx]extra_Bioplastic'!C961)</f>
        <v/>
      </c>
      <c r="D961">
        <f>IF(ISBLANK('Q:\Abteilungsprojekte\Eng\EngData\PROJECT_Bioplastics\Renjie_Pan\05-Raw_Data\Lab_results\[LabSamples2025_Bioplastic_extra.xlsx]extra_Bioplastic'!D961)," ",'Q:\Abteilungsprojekte\Eng\EngData\PROJECT_Bioplastics\Renjie_Pan\05-Raw_Data\Lab_results\[LabSamples2025_Bioplastic_extra.xlsx]extra_Bioplastic'!D961)</f>
        <v/>
      </c>
      <c r="E961">
        <f>IF(ISBLANK('Q:\Abteilungsprojekte\Eng\EngData\PROJECT_Bioplastics\Renjie_Pan\05-Raw_Data\Lab_results\[LabSamples2025_Bioplastic_extra.xlsx]extra_Bioplastic'!E961)," ",'Q:\Abteilungsprojekte\Eng\EngData\PROJECT_Bioplastics\Renjie_Pan\05-Raw_Data\Lab_results\[LabSamples2025_Bioplastic_extra.xlsx]extra_Bioplastic'!E961)</f>
        <v/>
      </c>
      <c r="F961">
        <f>IF(ISBLANK('Q:\Abteilungsprojekte\Eng\EngData\PROJECT_Bioplastics\Renjie_Pan\05-Raw_Data\Lab_results\[LabSamples2025_Bioplastic_extra.xlsx]extra_Bioplastic'!F961)," ",'Q:\Abteilungsprojekte\Eng\EngData\PROJECT_Bioplastics\Renjie_Pan\05-Raw_Data\Lab_results\[LabSamples2025_Bioplastic_extra.xlsx]extra_Bioplastic'!F961)</f>
        <v/>
      </c>
      <c r="G961">
        <f>IF(ISBLANK('Q:\Abteilungsprojekte\Eng\EngData\PROJECT_Bioplastics\Renjie_Pan\05-Raw_Data\Lab_results\[LabSamples2025_Bioplastic_extra.xlsx]extra_Bioplastic'!G961)," ",'Q:\Abteilungsprojekte\Eng\EngData\PROJECT_Bioplastics\Renjie_Pan\05-Raw_Data\Lab_results\[LabSamples2025_Bioplastic_extra.xlsx]extra_Bioplastic'!G961)</f>
        <v/>
      </c>
      <c r="H961">
        <f>IF(ISBLANK('Q:\Abteilungsprojekte\Eng\EngData\PROJECT_Bioplastics\Renjie_Pan\05-Raw_Data\Lab_results\[LabSamples2025_Bioplastic_extra.xlsx]extra_Bioplastic'!H961)," ",'Q:\Abteilungsprojekte\Eng\EngData\PROJECT_Bioplastics\Renjie_Pan\05-Raw_Data\Lab_results\[LabSamples2025_Bioplastic_extra.xlsx]extra_Bioplastic'!H961)</f>
        <v/>
      </c>
    </row>
    <row r="962">
      <c r="A962">
        <f>IF(ISBLANK('Q:\Abteilungsprojekte\Eng\EngData\PROJECT_Bioplastics\Renjie_Pan\05-Raw_Data\Lab_results\[LabSamples2025_Bioplastic_extra.xlsx]extra_Bioplastic'!A962)," ",'Q:\Abteilungsprojekte\Eng\EngData\PROJECT_Bioplastics\Renjie_Pan\05-Raw_Data\Lab_results\[LabSamples2025_Bioplastic_extra.xlsx]extra_Bioplastic'!A962)</f>
        <v/>
      </c>
      <c r="B962">
        <f>IF(ISBLANK('Q:\Abteilungsprojekte\Eng\EngData\PROJECT_Bioplastics\Renjie_Pan\05-Raw_Data\Lab_results\[LabSamples2025_Bioplastic_extra.xlsx]extra_Bioplastic'!B962)," ",'Q:\Abteilungsprojekte\Eng\EngData\PROJECT_Bioplastics\Renjie_Pan\05-Raw_Data\Lab_results\[LabSamples2025_Bioplastic_extra.xlsx]extra_Bioplastic'!B962)</f>
        <v/>
      </c>
      <c r="C962">
        <f>IF(ISBLANK('Q:\Abteilungsprojekte\Eng\EngData\PROJECT_Bioplastics\Renjie_Pan\05-Raw_Data\Lab_results\[LabSamples2025_Bioplastic_extra.xlsx]extra_Bioplastic'!C962)," ",'Q:\Abteilungsprojekte\Eng\EngData\PROJECT_Bioplastics\Renjie_Pan\05-Raw_Data\Lab_results\[LabSamples2025_Bioplastic_extra.xlsx]extra_Bioplastic'!C962)</f>
        <v/>
      </c>
      <c r="D962">
        <f>IF(ISBLANK('Q:\Abteilungsprojekte\Eng\EngData\PROJECT_Bioplastics\Renjie_Pan\05-Raw_Data\Lab_results\[LabSamples2025_Bioplastic_extra.xlsx]extra_Bioplastic'!D962)," ",'Q:\Abteilungsprojekte\Eng\EngData\PROJECT_Bioplastics\Renjie_Pan\05-Raw_Data\Lab_results\[LabSamples2025_Bioplastic_extra.xlsx]extra_Bioplastic'!D962)</f>
        <v/>
      </c>
      <c r="E962">
        <f>IF(ISBLANK('Q:\Abteilungsprojekte\Eng\EngData\PROJECT_Bioplastics\Renjie_Pan\05-Raw_Data\Lab_results\[LabSamples2025_Bioplastic_extra.xlsx]extra_Bioplastic'!E962)," ",'Q:\Abteilungsprojekte\Eng\EngData\PROJECT_Bioplastics\Renjie_Pan\05-Raw_Data\Lab_results\[LabSamples2025_Bioplastic_extra.xlsx]extra_Bioplastic'!E962)</f>
        <v/>
      </c>
      <c r="F962">
        <f>IF(ISBLANK('Q:\Abteilungsprojekte\Eng\EngData\PROJECT_Bioplastics\Renjie_Pan\05-Raw_Data\Lab_results\[LabSamples2025_Bioplastic_extra.xlsx]extra_Bioplastic'!F962)," ",'Q:\Abteilungsprojekte\Eng\EngData\PROJECT_Bioplastics\Renjie_Pan\05-Raw_Data\Lab_results\[LabSamples2025_Bioplastic_extra.xlsx]extra_Bioplastic'!F962)</f>
        <v/>
      </c>
      <c r="G962">
        <f>IF(ISBLANK('Q:\Abteilungsprojekte\Eng\EngData\PROJECT_Bioplastics\Renjie_Pan\05-Raw_Data\Lab_results\[LabSamples2025_Bioplastic_extra.xlsx]extra_Bioplastic'!G962)," ",'Q:\Abteilungsprojekte\Eng\EngData\PROJECT_Bioplastics\Renjie_Pan\05-Raw_Data\Lab_results\[LabSamples2025_Bioplastic_extra.xlsx]extra_Bioplastic'!G962)</f>
        <v/>
      </c>
      <c r="H962">
        <f>IF(ISBLANK('Q:\Abteilungsprojekte\Eng\EngData\PROJECT_Bioplastics\Renjie_Pan\05-Raw_Data\Lab_results\[LabSamples2025_Bioplastic_extra.xlsx]extra_Bioplastic'!H962)," ",'Q:\Abteilungsprojekte\Eng\EngData\PROJECT_Bioplastics\Renjie_Pan\05-Raw_Data\Lab_results\[LabSamples2025_Bioplastic_extra.xlsx]extra_Bioplastic'!H962)</f>
        <v/>
      </c>
    </row>
    <row r="963">
      <c r="A963">
        <f>IF(ISBLANK('Q:\Abteilungsprojekte\Eng\EngData\PROJECT_Bioplastics\Renjie_Pan\05-Raw_Data\Lab_results\[LabSamples2025_Bioplastic_extra.xlsx]extra_Bioplastic'!A963)," ",'Q:\Abteilungsprojekte\Eng\EngData\PROJECT_Bioplastics\Renjie_Pan\05-Raw_Data\Lab_results\[LabSamples2025_Bioplastic_extra.xlsx]extra_Bioplastic'!A963)</f>
        <v/>
      </c>
      <c r="B963">
        <f>IF(ISBLANK('Q:\Abteilungsprojekte\Eng\EngData\PROJECT_Bioplastics\Renjie_Pan\05-Raw_Data\Lab_results\[LabSamples2025_Bioplastic_extra.xlsx]extra_Bioplastic'!B963)," ",'Q:\Abteilungsprojekte\Eng\EngData\PROJECT_Bioplastics\Renjie_Pan\05-Raw_Data\Lab_results\[LabSamples2025_Bioplastic_extra.xlsx]extra_Bioplastic'!B963)</f>
        <v/>
      </c>
      <c r="C963">
        <f>IF(ISBLANK('Q:\Abteilungsprojekte\Eng\EngData\PROJECT_Bioplastics\Renjie_Pan\05-Raw_Data\Lab_results\[LabSamples2025_Bioplastic_extra.xlsx]extra_Bioplastic'!C963)," ",'Q:\Abteilungsprojekte\Eng\EngData\PROJECT_Bioplastics\Renjie_Pan\05-Raw_Data\Lab_results\[LabSamples2025_Bioplastic_extra.xlsx]extra_Bioplastic'!C963)</f>
        <v/>
      </c>
      <c r="D963">
        <f>IF(ISBLANK('Q:\Abteilungsprojekte\Eng\EngData\PROJECT_Bioplastics\Renjie_Pan\05-Raw_Data\Lab_results\[LabSamples2025_Bioplastic_extra.xlsx]extra_Bioplastic'!D963)," ",'Q:\Abteilungsprojekte\Eng\EngData\PROJECT_Bioplastics\Renjie_Pan\05-Raw_Data\Lab_results\[LabSamples2025_Bioplastic_extra.xlsx]extra_Bioplastic'!D963)</f>
        <v/>
      </c>
      <c r="E963">
        <f>IF(ISBLANK('Q:\Abteilungsprojekte\Eng\EngData\PROJECT_Bioplastics\Renjie_Pan\05-Raw_Data\Lab_results\[LabSamples2025_Bioplastic_extra.xlsx]extra_Bioplastic'!E963)," ",'Q:\Abteilungsprojekte\Eng\EngData\PROJECT_Bioplastics\Renjie_Pan\05-Raw_Data\Lab_results\[LabSamples2025_Bioplastic_extra.xlsx]extra_Bioplastic'!E963)</f>
        <v/>
      </c>
      <c r="F963">
        <f>IF(ISBLANK('Q:\Abteilungsprojekte\Eng\EngData\PROJECT_Bioplastics\Renjie_Pan\05-Raw_Data\Lab_results\[LabSamples2025_Bioplastic_extra.xlsx]extra_Bioplastic'!F963)," ",'Q:\Abteilungsprojekte\Eng\EngData\PROJECT_Bioplastics\Renjie_Pan\05-Raw_Data\Lab_results\[LabSamples2025_Bioplastic_extra.xlsx]extra_Bioplastic'!F963)</f>
        <v/>
      </c>
      <c r="G963">
        <f>IF(ISBLANK('Q:\Abteilungsprojekte\Eng\EngData\PROJECT_Bioplastics\Renjie_Pan\05-Raw_Data\Lab_results\[LabSamples2025_Bioplastic_extra.xlsx]extra_Bioplastic'!G963)," ",'Q:\Abteilungsprojekte\Eng\EngData\PROJECT_Bioplastics\Renjie_Pan\05-Raw_Data\Lab_results\[LabSamples2025_Bioplastic_extra.xlsx]extra_Bioplastic'!G963)</f>
        <v/>
      </c>
      <c r="H963">
        <f>IF(ISBLANK('Q:\Abteilungsprojekte\Eng\EngData\PROJECT_Bioplastics\Renjie_Pan\05-Raw_Data\Lab_results\[LabSamples2025_Bioplastic_extra.xlsx]extra_Bioplastic'!H963)," ",'Q:\Abteilungsprojekte\Eng\EngData\PROJECT_Bioplastics\Renjie_Pan\05-Raw_Data\Lab_results\[LabSamples2025_Bioplastic_extra.xlsx]extra_Bioplastic'!H963)</f>
        <v/>
      </c>
    </row>
    <row r="964">
      <c r="A964">
        <f>IF(ISBLANK('Q:\Abteilungsprojekte\Eng\EngData\PROJECT_Bioplastics\Renjie_Pan\05-Raw_Data\Lab_results\[LabSamples2025_Bioplastic_extra.xlsx]extra_Bioplastic'!A964)," ",'Q:\Abteilungsprojekte\Eng\EngData\PROJECT_Bioplastics\Renjie_Pan\05-Raw_Data\Lab_results\[LabSamples2025_Bioplastic_extra.xlsx]extra_Bioplastic'!A964)</f>
        <v/>
      </c>
      <c r="B964">
        <f>IF(ISBLANK('Q:\Abteilungsprojekte\Eng\EngData\PROJECT_Bioplastics\Renjie_Pan\05-Raw_Data\Lab_results\[LabSamples2025_Bioplastic_extra.xlsx]extra_Bioplastic'!B964)," ",'Q:\Abteilungsprojekte\Eng\EngData\PROJECT_Bioplastics\Renjie_Pan\05-Raw_Data\Lab_results\[LabSamples2025_Bioplastic_extra.xlsx]extra_Bioplastic'!B964)</f>
        <v/>
      </c>
      <c r="C964">
        <f>IF(ISBLANK('Q:\Abteilungsprojekte\Eng\EngData\PROJECT_Bioplastics\Renjie_Pan\05-Raw_Data\Lab_results\[LabSamples2025_Bioplastic_extra.xlsx]extra_Bioplastic'!C964)," ",'Q:\Abteilungsprojekte\Eng\EngData\PROJECT_Bioplastics\Renjie_Pan\05-Raw_Data\Lab_results\[LabSamples2025_Bioplastic_extra.xlsx]extra_Bioplastic'!C964)</f>
        <v/>
      </c>
      <c r="D964">
        <f>IF(ISBLANK('Q:\Abteilungsprojekte\Eng\EngData\PROJECT_Bioplastics\Renjie_Pan\05-Raw_Data\Lab_results\[LabSamples2025_Bioplastic_extra.xlsx]extra_Bioplastic'!D964)," ",'Q:\Abteilungsprojekte\Eng\EngData\PROJECT_Bioplastics\Renjie_Pan\05-Raw_Data\Lab_results\[LabSamples2025_Bioplastic_extra.xlsx]extra_Bioplastic'!D964)</f>
        <v/>
      </c>
      <c r="E964">
        <f>IF(ISBLANK('Q:\Abteilungsprojekte\Eng\EngData\PROJECT_Bioplastics\Renjie_Pan\05-Raw_Data\Lab_results\[LabSamples2025_Bioplastic_extra.xlsx]extra_Bioplastic'!E964)," ",'Q:\Abteilungsprojekte\Eng\EngData\PROJECT_Bioplastics\Renjie_Pan\05-Raw_Data\Lab_results\[LabSamples2025_Bioplastic_extra.xlsx]extra_Bioplastic'!E964)</f>
        <v/>
      </c>
      <c r="F964">
        <f>IF(ISBLANK('Q:\Abteilungsprojekte\Eng\EngData\PROJECT_Bioplastics\Renjie_Pan\05-Raw_Data\Lab_results\[LabSamples2025_Bioplastic_extra.xlsx]extra_Bioplastic'!F964)," ",'Q:\Abteilungsprojekte\Eng\EngData\PROJECT_Bioplastics\Renjie_Pan\05-Raw_Data\Lab_results\[LabSamples2025_Bioplastic_extra.xlsx]extra_Bioplastic'!F964)</f>
        <v/>
      </c>
      <c r="G964">
        <f>IF(ISBLANK('Q:\Abteilungsprojekte\Eng\EngData\PROJECT_Bioplastics\Renjie_Pan\05-Raw_Data\Lab_results\[LabSamples2025_Bioplastic_extra.xlsx]extra_Bioplastic'!G964)," ",'Q:\Abteilungsprojekte\Eng\EngData\PROJECT_Bioplastics\Renjie_Pan\05-Raw_Data\Lab_results\[LabSamples2025_Bioplastic_extra.xlsx]extra_Bioplastic'!G964)</f>
        <v/>
      </c>
      <c r="H964">
        <f>IF(ISBLANK('Q:\Abteilungsprojekte\Eng\EngData\PROJECT_Bioplastics\Renjie_Pan\05-Raw_Data\Lab_results\[LabSamples2025_Bioplastic_extra.xlsx]extra_Bioplastic'!H964)," ",'Q:\Abteilungsprojekte\Eng\EngData\PROJECT_Bioplastics\Renjie_Pan\05-Raw_Data\Lab_results\[LabSamples2025_Bioplastic_extra.xlsx]extra_Bioplastic'!H964)</f>
        <v/>
      </c>
    </row>
    <row r="965">
      <c r="A965">
        <f>IF(ISBLANK('Q:\Abteilungsprojekte\Eng\EngData\PROJECT_Bioplastics\Renjie_Pan\05-Raw_Data\Lab_results\[LabSamples2025_Bioplastic_extra.xlsx]extra_Bioplastic'!A965)," ",'Q:\Abteilungsprojekte\Eng\EngData\PROJECT_Bioplastics\Renjie_Pan\05-Raw_Data\Lab_results\[LabSamples2025_Bioplastic_extra.xlsx]extra_Bioplastic'!A965)</f>
        <v/>
      </c>
      <c r="B965">
        <f>IF(ISBLANK('Q:\Abteilungsprojekte\Eng\EngData\PROJECT_Bioplastics\Renjie_Pan\05-Raw_Data\Lab_results\[LabSamples2025_Bioplastic_extra.xlsx]extra_Bioplastic'!B965)," ",'Q:\Abteilungsprojekte\Eng\EngData\PROJECT_Bioplastics\Renjie_Pan\05-Raw_Data\Lab_results\[LabSamples2025_Bioplastic_extra.xlsx]extra_Bioplastic'!B965)</f>
        <v/>
      </c>
      <c r="C965">
        <f>IF(ISBLANK('Q:\Abteilungsprojekte\Eng\EngData\PROJECT_Bioplastics\Renjie_Pan\05-Raw_Data\Lab_results\[LabSamples2025_Bioplastic_extra.xlsx]extra_Bioplastic'!C965)," ",'Q:\Abteilungsprojekte\Eng\EngData\PROJECT_Bioplastics\Renjie_Pan\05-Raw_Data\Lab_results\[LabSamples2025_Bioplastic_extra.xlsx]extra_Bioplastic'!C965)</f>
        <v/>
      </c>
      <c r="D965">
        <f>IF(ISBLANK('Q:\Abteilungsprojekte\Eng\EngData\PROJECT_Bioplastics\Renjie_Pan\05-Raw_Data\Lab_results\[LabSamples2025_Bioplastic_extra.xlsx]extra_Bioplastic'!D965)," ",'Q:\Abteilungsprojekte\Eng\EngData\PROJECT_Bioplastics\Renjie_Pan\05-Raw_Data\Lab_results\[LabSamples2025_Bioplastic_extra.xlsx]extra_Bioplastic'!D965)</f>
        <v/>
      </c>
      <c r="E965">
        <f>IF(ISBLANK('Q:\Abteilungsprojekte\Eng\EngData\PROJECT_Bioplastics\Renjie_Pan\05-Raw_Data\Lab_results\[LabSamples2025_Bioplastic_extra.xlsx]extra_Bioplastic'!E965)," ",'Q:\Abteilungsprojekte\Eng\EngData\PROJECT_Bioplastics\Renjie_Pan\05-Raw_Data\Lab_results\[LabSamples2025_Bioplastic_extra.xlsx]extra_Bioplastic'!E965)</f>
        <v/>
      </c>
      <c r="F965">
        <f>IF(ISBLANK('Q:\Abteilungsprojekte\Eng\EngData\PROJECT_Bioplastics\Renjie_Pan\05-Raw_Data\Lab_results\[LabSamples2025_Bioplastic_extra.xlsx]extra_Bioplastic'!F965)," ",'Q:\Abteilungsprojekte\Eng\EngData\PROJECT_Bioplastics\Renjie_Pan\05-Raw_Data\Lab_results\[LabSamples2025_Bioplastic_extra.xlsx]extra_Bioplastic'!F965)</f>
        <v/>
      </c>
      <c r="G965">
        <f>IF(ISBLANK('Q:\Abteilungsprojekte\Eng\EngData\PROJECT_Bioplastics\Renjie_Pan\05-Raw_Data\Lab_results\[LabSamples2025_Bioplastic_extra.xlsx]extra_Bioplastic'!G965)," ",'Q:\Abteilungsprojekte\Eng\EngData\PROJECT_Bioplastics\Renjie_Pan\05-Raw_Data\Lab_results\[LabSamples2025_Bioplastic_extra.xlsx]extra_Bioplastic'!G965)</f>
        <v/>
      </c>
      <c r="H965">
        <f>IF(ISBLANK('Q:\Abteilungsprojekte\Eng\EngData\PROJECT_Bioplastics\Renjie_Pan\05-Raw_Data\Lab_results\[LabSamples2025_Bioplastic_extra.xlsx]extra_Bioplastic'!H965)," ",'Q:\Abteilungsprojekte\Eng\EngData\PROJECT_Bioplastics\Renjie_Pan\05-Raw_Data\Lab_results\[LabSamples2025_Bioplastic_extra.xlsx]extra_Bioplastic'!H965)</f>
        <v/>
      </c>
    </row>
    <row r="966">
      <c r="A966">
        <f>IF(ISBLANK('Q:\Abteilungsprojekte\Eng\EngData\PROJECT_Bioplastics\Renjie_Pan\05-Raw_Data\Lab_results\[LabSamples2025_Bioplastic_extra.xlsx]extra_Bioplastic'!A966)," ",'Q:\Abteilungsprojekte\Eng\EngData\PROJECT_Bioplastics\Renjie_Pan\05-Raw_Data\Lab_results\[LabSamples2025_Bioplastic_extra.xlsx]extra_Bioplastic'!A966)</f>
        <v/>
      </c>
      <c r="B966">
        <f>IF(ISBLANK('Q:\Abteilungsprojekte\Eng\EngData\PROJECT_Bioplastics\Renjie_Pan\05-Raw_Data\Lab_results\[LabSamples2025_Bioplastic_extra.xlsx]extra_Bioplastic'!B966)," ",'Q:\Abteilungsprojekte\Eng\EngData\PROJECT_Bioplastics\Renjie_Pan\05-Raw_Data\Lab_results\[LabSamples2025_Bioplastic_extra.xlsx]extra_Bioplastic'!B966)</f>
        <v/>
      </c>
      <c r="C966">
        <f>IF(ISBLANK('Q:\Abteilungsprojekte\Eng\EngData\PROJECT_Bioplastics\Renjie_Pan\05-Raw_Data\Lab_results\[LabSamples2025_Bioplastic_extra.xlsx]extra_Bioplastic'!C966)," ",'Q:\Abteilungsprojekte\Eng\EngData\PROJECT_Bioplastics\Renjie_Pan\05-Raw_Data\Lab_results\[LabSamples2025_Bioplastic_extra.xlsx]extra_Bioplastic'!C966)</f>
        <v/>
      </c>
      <c r="D966">
        <f>IF(ISBLANK('Q:\Abteilungsprojekte\Eng\EngData\PROJECT_Bioplastics\Renjie_Pan\05-Raw_Data\Lab_results\[LabSamples2025_Bioplastic_extra.xlsx]extra_Bioplastic'!D966)," ",'Q:\Abteilungsprojekte\Eng\EngData\PROJECT_Bioplastics\Renjie_Pan\05-Raw_Data\Lab_results\[LabSamples2025_Bioplastic_extra.xlsx]extra_Bioplastic'!D966)</f>
        <v/>
      </c>
      <c r="E966">
        <f>IF(ISBLANK('Q:\Abteilungsprojekte\Eng\EngData\PROJECT_Bioplastics\Renjie_Pan\05-Raw_Data\Lab_results\[LabSamples2025_Bioplastic_extra.xlsx]extra_Bioplastic'!E966)," ",'Q:\Abteilungsprojekte\Eng\EngData\PROJECT_Bioplastics\Renjie_Pan\05-Raw_Data\Lab_results\[LabSamples2025_Bioplastic_extra.xlsx]extra_Bioplastic'!E966)</f>
        <v/>
      </c>
      <c r="F966">
        <f>IF(ISBLANK('Q:\Abteilungsprojekte\Eng\EngData\PROJECT_Bioplastics\Renjie_Pan\05-Raw_Data\Lab_results\[LabSamples2025_Bioplastic_extra.xlsx]extra_Bioplastic'!F966)," ",'Q:\Abteilungsprojekte\Eng\EngData\PROJECT_Bioplastics\Renjie_Pan\05-Raw_Data\Lab_results\[LabSamples2025_Bioplastic_extra.xlsx]extra_Bioplastic'!F966)</f>
        <v/>
      </c>
      <c r="G966">
        <f>IF(ISBLANK('Q:\Abteilungsprojekte\Eng\EngData\PROJECT_Bioplastics\Renjie_Pan\05-Raw_Data\Lab_results\[LabSamples2025_Bioplastic_extra.xlsx]extra_Bioplastic'!G966)," ",'Q:\Abteilungsprojekte\Eng\EngData\PROJECT_Bioplastics\Renjie_Pan\05-Raw_Data\Lab_results\[LabSamples2025_Bioplastic_extra.xlsx]extra_Bioplastic'!G966)</f>
        <v/>
      </c>
      <c r="H966">
        <f>IF(ISBLANK('Q:\Abteilungsprojekte\Eng\EngData\PROJECT_Bioplastics\Renjie_Pan\05-Raw_Data\Lab_results\[LabSamples2025_Bioplastic_extra.xlsx]extra_Bioplastic'!H966)," ",'Q:\Abteilungsprojekte\Eng\EngData\PROJECT_Bioplastics\Renjie_Pan\05-Raw_Data\Lab_results\[LabSamples2025_Bioplastic_extra.xlsx]extra_Bioplastic'!H966)</f>
        <v/>
      </c>
    </row>
    <row r="967">
      <c r="A967">
        <f>IF(ISBLANK('Q:\Abteilungsprojekte\Eng\EngData\PROJECT_Bioplastics\Renjie_Pan\05-Raw_Data\Lab_results\[LabSamples2025_Bioplastic_extra.xlsx]extra_Bioplastic'!A967)," ",'Q:\Abteilungsprojekte\Eng\EngData\PROJECT_Bioplastics\Renjie_Pan\05-Raw_Data\Lab_results\[LabSamples2025_Bioplastic_extra.xlsx]extra_Bioplastic'!A967)</f>
        <v/>
      </c>
      <c r="B967">
        <f>IF(ISBLANK('Q:\Abteilungsprojekte\Eng\EngData\PROJECT_Bioplastics\Renjie_Pan\05-Raw_Data\Lab_results\[LabSamples2025_Bioplastic_extra.xlsx]extra_Bioplastic'!B967)," ",'Q:\Abteilungsprojekte\Eng\EngData\PROJECT_Bioplastics\Renjie_Pan\05-Raw_Data\Lab_results\[LabSamples2025_Bioplastic_extra.xlsx]extra_Bioplastic'!B967)</f>
        <v/>
      </c>
      <c r="C967">
        <f>IF(ISBLANK('Q:\Abteilungsprojekte\Eng\EngData\PROJECT_Bioplastics\Renjie_Pan\05-Raw_Data\Lab_results\[LabSamples2025_Bioplastic_extra.xlsx]extra_Bioplastic'!C967)," ",'Q:\Abteilungsprojekte\Eng\EngData\PROJECT_Bioplastics\Renjie_Pan\05-Raw_Data\Lab_results\[LabSamples2025_Bioplastic_extra.xlsx]extra_Bioplastic'!C967)</f>
        <v/>
      </c>
      <c r="D967">
        <f>IF(ISBLANK('Q:\Abteilungsprojekte\Eng\EngData\PROJECT_Bioplastics\Renjie_Pan\05-Raw_Data\Lab_results\[LabSamples2025_Bioplastic_extra.xlsx]extra_Bioplastic'!D967)," ",'Q:\Abteilungsprojekte\Eng\EngData\PROJECT_Bioplastics\Renjie_Pan\05-Raw_Data\Lab_results\[LabSamples2025_Bioplastic_extra.xlsx]extra_Bioplastic'!D967)</f>
        <v/>
      </c>
      <c r="E967">
        <f>IF(ISBLANK('Q:\Abteilungsprojekte\Eng\EngData\PROJECT_Bioplastics\Renjie_Pan\05-Raw_Data\Lab_results\[LabSamples2025_Bioplastic_extra.xlsx]extra_Bioplastic'!E967)," ",'Q:\Abteilungsprojekte\Eng\EngData\PROJECT_Bioplastics\Renjie_Pan\05-Raw_Data\Lab_results\[LabSamples2025_Bioplastic_extra.xlsx]extra_Bioplastic'!E967)</f>
        <v/>
      </c>
      <c r="F967">
        <f>IF(ISBLANK('Q:\Abteilungsprojekte\Eng\EngData\PROJECT_Bioplastics\Renjie_Pan\05-Raw_Data\Lab_results\[LabSamples2025_Bioplastic_extra.xlsx]extra_Bioplastic'!F967)," ",'Q:\Abteilungsprojekte\Eng\EngData\PROJECT_Bioplastics\Renjie_Pan\05-Raw_Data\Lab_results\[LabSamples2025_Bioplastic_extra.xlsx]extra_Bioplastic'!F967)</f>
        <v/>
      </c>
      <c r="G967">
        <f>IF(ISBLANK('Q:\Abteilungsprojekte\Eng\EngData\PROJECT_Bioplastics\Renjie_Pan\05-Raw_Data\Lab_results\[LabSamples2025_Bioplastic_extra.xlsx]extra_Bioplastic'!G967)," ",'Q:\Abteilungsprojekte\Eng\EngData\PROJECT_Bioplastics\Renjie_Pan\05-Raw_Data\Lab_results\[LabSamples2025_Bioplastic_extra.xlsx]extra_Bioplastic'!G967)</f>
        <v/>
      </c>
      <c r="H967">
        <f>IF(ISBLANK('Q:\Abteilungsprojekte\Eng\EngData\PROJECT_Bioplastics\Renjie_Pan\05-Raw_Data\Lab_results\[LabSamples2025_Bioplastic_extra.xlsx]extra_Bioplastic'!H967)," ",'Q:\Abteilungsprojekte\Eng\EngData\PROJECT_Bioplastics\Renjie_Pan\05-Raw_Data\Lab_results\[LabSamples2025_Bioplastic_extra.xlsx]extra_Bioplastic'!H967)</f>
        <v/>
      </c>
    </row>
    <row r="968">
      <c r="A968">
        <f>IF(ISBLANK('Q:\Abteilungsprojekte\Eng\EngData\PROJECT_Bioplastics\Renjie_Pan\05-Raw_Data\Lab_results\[LabSamples2025_Bioplastic_extra.xlsx]extra_Bioplastic'!A968)," ",'Q:\Abteilungsprojekte\Eng\EngData\PROJECT_Bioplastics\Renjie_Pan\05-Raw_Data\Lab_results\[LabSamples2025_Bioplastic_extra.xlsx]extra_Bioplastic'!A968)</f>
        <v/>
      </c>
      <c r="B968">
        <f>IF(ISBLANK('Q:\Abteilungsprojekte\Eng\EngData\PROJECT_Bioplastics\Renjie_Pan\05-Raw_Data\Lab_results\[LabSamples2025_Bioplastic_extra.xlsx]extra_Bioplastic'!B968)," ",'Q:\Abteilungsprojekte\Eng\EngData\PROJECT_Bioplastics\Renjie_Pan\05-Raw_Data\Lab_results\[LabSamples2025_Bioplastic_extra.xlsx]extra_Bioplastic'!B968)</f>
        <v/>
      </c>
      <c r="C968">
        <f>IF(ISBLANK('Q:\Abteilungsprojekte\Eng\EngData\PROJECT_Bioplastics\Renjie_Pan\05-Raw_Data\Lab_results\[LabSamples2025_Bioplastic_extra.xlsx]extra_Bioplastic'!C968)," ",'Q:\Abteilungsprojekte\Eng\EngData\PROJECT_Bioplastics\Renjie_Pan\05-Raw_Data\Lab_results\[LabSamples2025_Bioplastic_extra.xlsx]extra_Bioplastic'!C968)</f>
        <v/>
      </c>
      <c r="D968">
        <f>IF(ISBLANK('Q:\Abteilungsprojekte\Eng\EngData\PROJECT_Bioplastics\Renjie_Pan\05-Raw_Data\Lab_results\[LabSamples2025_Bioplastic_extra.xlsx]extra_Bioplastic'!D968)," ",'Q:\Abteilungsprojekte\Eng\EngData\PROJECT_Bioplastics\Renjie_Pan\05-Raw_Data\Lab_results\[LabSamples2025_Bioplastic_extra.xlsx]extra_Bioplastic'!D968)</f>
        <v/>
      </c>
      <c r="E968">
        <f>IF(ISBLANK('Q:\Abteilungsprojekte\Eng\EngData\PROJECT_Bioplastics\Renjie_Pan\05-Raw_Data\Lab_results\[LabSamples2025_Bioplastic_extra.xlsx]extra_Bioplastic'!E968)," ",'Q:\Abteilungsprojekte\Eng\EngData\PROJECT_Bioplastics\Renjie_Pan\05-Raw_Data\Lab_results\[LabSamples2025_Bioplastic_extra.xlsx]extra_Bioplastic'!E968)</f>
        <v/>
      </c>
      <c r="F968">
        <f>IF(ISBLANK('Q:\Abteilungsprojekte\Eng\EngData\PROJECT_Bioplastics\Renjie_Pan\05-Raw_Data\Lab_results\[LabSamples2025_Bioplastic_extra.xlsx]extra_Bioplastic'!F968)," ",'Q:\Abteilungsprojekte\Eng\EngData\PROJECT_Bioplastics\Renjie_Pan\05-Raw_Data\Lab_results\[LabSamples2025_Bioplastic_extra.xlsx]extra_Bioplastic'!F968)</f>
        <v/>
      </c>
      <c r="G968">
        <f>IF(ISBLANK('Q:\Abteilungsprojekte\Eng\EngData\PROJECT_Bioplastics\Renjie_Pan\05-Raw_Data\Lab_results\[LabSamples2025_Bioplastic_extra.xlsx]extra_Bioplastic'!G968)," ",'Q:\Abteilungsprojekte\Eng\EngData\PROJECT_Bioplastics\Renjie_Pan\05-Raw_Data\Lab_results\[LabSamples2025_Bioplastic_extra.xlsx]extra_Bioplastic'!G968)</f>
        <v/>
      </c>
      <c r="H968">
        <f>IF(ISBLANK('Q:\Abteilungsprojekte\Eng\EngData\PROJECT_Bioplastics\Renjie_Pan\05-Raw_Data\Lab_results\[LabSamples2025_Bioplastic_extra.xlsx]extra_Bioplastic'!H968)," ",'Q:\Abteilungsprojekte\Eng\EngData\PROJECT_Bioplastics\Renjie_Pan\05-Raw_Data\Lab_results\[LabSamples2025_Bioplastic_extra.xlsx]extra_Bioplastic'!H968)</f>
        <v/>
      </c>
    </row>
    <row r="969">
      <c r="A969">
        <f>IF(ISBLANK('Q:\Abteilungsprojekte\Eng\EngData\PROJECT_Bioplastics\Renjie_Pan\05-Raw_Data\Lab_results\[LabSamples2025_Bioplastic_extra.xlsx]extra_Bioplastic'!A969)," ",'Q:\Abteilungsprojekte\Eng\EngData\PROJECT_Bioplastics\Renjie_Pan\05-Raw_Data\Lab_results\[LabSamples2025_Bioplastic_extra.xlsx]extra_Bioplastic'!A969)</f>
        <v/>
      </c>
      <c r="B969">
        <f>IF(ISBLANK('Q:\Abteilungsprojekte\Eng\EngData\PROJECT_Bioplastics\Renjie_Pan\05-Raw_Data\Lab_results\[LabSamples2025_Bioplastic_extra.xlsx]extra_Bioplastic'!B969)," ",'Q:\Abteilungsprojekte\Eng\EngData\PROJECT_Bioplastics\Renjie_Pan\05-Raw_Data\Lab_results\[LabSamples2025_Bioplastic_extra.xlsx]extra_Bioplastic'!B969)</f>
        <v/>
      </c>
      <c r="C969">
        <f>IF(ISBLANK('Q:\Abteilungsprojekte\Eng\EngData\PROJECT_Bioplastics\Renjie_Pan\05-Raw_Data\Lab_results\[LabSamples2025_Bioplastic_extra.xlsx]extra_Bioplastic'!C969)," ",'Q:\Abteilungsprojekte\Eng\EngData\PROJECT_Bioplastics\Renjie_Pan\05-Raw_Data\Lab_results\[LabSamples2025_Bioplastic_extra.xlsx]extra_Bioplastic'!C969)</f>
        <v/>
      </c>
      <c r="D969">
        <f>IF(ISBLANK('Q:\Abteilungsprojekte\Eng\EngData\PROJECT_Bioplastics\Renjie_Pan\05-Raw_Data\Lab_results\[LabSamples2025_Bioplastic_extra.xlsx]extra_Bioplastic'!D969)," ",'Q:\Abteilungsprojekte\Eng\EngData\PROJECT_Bioplastics\Renjie_Pan\05-Raw_Data\Lab_results\[LabSamples2025_Bioplastic_extra.xlsx]extra_Bioplastic'!D969)</f>
        <v/>
      </c>
      <c r="E969">
        <f>IF(ISBLANK('Q:\Abteilungsprojekte\Eng\EngData\PROJECT_Bioplastics\Renjie_Pan\05-Raw_Data\Lab_results\[LabSamples2025_Bioplastic_extra.xlsx]extra_Bioplastic'!E969)," ",'Q:\Abteilungsprojekte\Eng\EngData\PROJECT_Bioplastics\Renjie_Pan\05-Raw_Data\Lab_results\[LabSamples2025_Bioplastic_extra.xlsx]extra_Bioplastic'!E969)</f>
        <v/>
      </c>
      <c r="F969">
        <f>IF(ISBLANK('Q:\Abteilungsprojekte\Eng\EngData\PROJECT_Bioplastics\Renjie_Pan\05-Raw_Data\Lab_results\[LabSamples2025_Bioplastic_extra.xlsx]extra_Bioplastic'!F969)," ",'Q:\Abteilungsprojekte\Eng\EngData\PROJECT_Bioplastics\Renjie_Pan\05-Raw_Data\Lab_results\[LabSamples2025_Bioplastic_extra.xlsx]extra_Bioplastic'!F969)</f>
        <v/>
      </c>
      <c r="G969">
        <f>IF(ISBLANK('Q:\Abteilungsprojekte\Eng\EngData\PROJECT_Bioplastics\Renjie_Pan\05-Raw_Data\Lab_results\[LabSamples2025_Bioplastic_extra.xlsx]extra_Bioplastic'!G969)," ",'Q:\Abteilungsprojekte\Eng\EngData\PROJECT_Bioplastics\Renjie_Pan\05-Raw_Data\Lab_results\[LabSamples2025_Bioplastic_extra.xlsx]extra_Bioplastic'!G969)</f>
        <v/>
      </c>
      <c r="H969">
        <f>IF(ISBLANK('Q:\Abteilungsprojekte\Eng\EngData\PROJECT_Bioplastics\Renjie_Pan\05-Raw_Data\Lab_results\[LabSamples2025_Bioplastic_extra.xlsx]extra_Bioplastic'!H969)," ",'Q:\Abteilungsprojekte\Eng\EngData\PROJECT_Bioplastics\Renjie_Pan\05-Raw_Data\Lab_results\[LabSamples2025_Bioplastic_extra.xlsx]extra_Bioplastic'!H969)</f>
        <v/>
      </c>
    </row>
    <row r="970">
      <c r="A970">
        <f>IF(ISBLANK('Q:\Abteilungsprojekte\Eng\EngData\PROJECT_Bioplastics\Renjie_Pan\05-Raw_Data\Lab_results\[LabSamples2025_Bioplastic_extra.xlsx]extra_Bioplastic'!A970)," ",'Q:\Abteilungsprojekte\Eng\EngData\PROJECT_Bioplastics\Renjie_Pan\05-Raw_Data\Lab_results\[LabSamples2025_Bioplastic_extra.xlsx]extra_Bioplastic'!A970)</f>
        <v/>
      </c>
      <c r="B970">
        <f>IF(ISBLANK('Q:\Abteilungsprojekte\Eng\EngData\PROJECT_Bioplastics\Renjie_Pan\05-Raw_Data\Lab_results\[LabSamples2025_Bioplastic_extra.xlsx]extra_Bioplastic'!B970)," ",'Q:\Abteilungsprojekte\Eng\EngData\PROJECT_Bioplastics\Renjie_Pan\05-Raw_Data\Lab_results\[LabSamples2025_Bioplastic_extra.xlsx]extra_Bioplastic'!B970)</f>
        <v/>
      </c>
      <c r="C970">
        <f>IF(ISBLANK('Q:\Abteilungsprojekte\Eng\EngData\PROJECT_Bioplastics\Renjie_Pan\05-Raw_Data\Lab_results\[LabSamples2025_Bioplastic_extra.xlsx]extra_Bioplastic'!C970)," ",'Q:\Abteilungsprojekte\Eng\EngData\PROJECT_Bioplastics\Renjie_Pan\05-Raw_Data\Lab_results\[LabSamples2025_Bioplastic_extra.xlsx]extra_Bioplastic'!C970)</f>
        <v/>
      </c>
      <c r="D970">
        <f>IF(ISBLANK('Q:\Abteilungsprojekte\Eng\EngData\PROJECT_Bioplastics\Renjie_Pan\05-Raw_Data\Lab_results\[LabSamples2025_Bioplastic_extra.xlsx]extra_Bioplastic'!D970)," ",'Q:\Abteilungsprojekte\Eng\EngData\PROJECT_Bioplastics\Renjie_Pan\05-Raw_Data\Lab_results\[LabSamples2025_Bioplastic_extra.xlsx]extra_Bioplastic'!D970)</f>
        <v/>
      </c>
      <c r="E970">
        <f>IF(ISBLANK('Q:\Abteilungsprojekte\Eng\EngData\PROJECT_Bioplastics\Renjie_Pan\05-Raw_Data\Lab_results\[LabSamples2025_Bioplastic_extra.xlsx]extra_Bioplastic'!E970)," ",'Q:\Abteilungsprojekte\Eng\EngData\PROJECT_Bioplastics\Renjie_Pan\05-Raw_Data\Lab_results\[LabSamples2025_Bioplastic_extra.xlsx]extra_Bioplastic'!E970)</f>
        <v/>
      </c>
      <c r="F970">
        <f>IF(ISBLANK('Q:\Abteilungsprojekte\Eng\EngData\PROJECT_Bioplastics\Renjie_Pan\05-Raw_Data\Lab_results\[LabSamples2025_Bioplastic_extra.xlsx]extra_Bioplastic'!F970)," ",'Q:\Abteilungsprojekte\Eng\EngData\PROJECT_Bioplastics\Renjie_Pan\05-Raw_Data\Lab_results\[LabSamples2025_Bioplastic_extra.xlsx]extra_Bioplastic'!F970)</f>
        <v/>
      </c>
      <c r="G970">
        <f>IF(ISBLANK('Q:\Abteilungsprojekte\Eng\EngData\PROJECT_Bioplastics\Renjie_Pan\05-Raw_Data\Lab_results\[LabSamples2025_Bioplastic_extra.xlsx]extra_Bioplastic'!G970)," ",'Q:\Abteilungsprojekte\Eng\EngData\PROJECT_Bioplastics\Renjie_Pan\05-Raw_Data\Lab_results\[LabSamples2025_Bioplastic_extra.xlsx]extra_Bioplastic'!G970)</f>
        <v/>
      </c>
      <c r="H970">
        <f>IF(ISBLANK('Q:\Abteilungsprojekte\Eng\EngData\PROJECT_Bioplastics\Renjie_Pan\05-Raw_Data\Lab_results\[LabSamples2025_Bioplastic_extra.xlsx]extra_Bioplastic'!H970)," ",'Q:\Abteilungsprojekte\Eng\EngData\PROJECT_Bioplastics\Renjie_Pan\05-Raw_Data\Lab_results\[LabSamples2025_Bioplastic_extra.xlsx]extra_Bioplastic'!H970)</f>
        <v/>
      </c>
    </row>
    <row r="971">
      <c r="A971">
        <f>IF(ISBLANK('Q:\Abteilungsprojekte\Eng\EngData\PROJECT_Bioplastics\Renjie_Pan\05-Raw_Data\Lab_results\[LabSamples2025_Bioplastic_extra.xlsx]extra_Bioplastic'!A971)," ",'Q:\Abteilungsprojekte\Eng\EngData\PROJECT_Bioplastics\Renjie_Pan\05-Raw_Data\Lab_results\[LabSamples2025_Bioplastic_extra.xlsx]extra_Bioplastic'!A971)</f>
        <v/>
      </c>
      <c r="B971">
        <f>IF(ISBLANK('Q:\Abteilungsprojekte\Eng\EngData\PROJECT_Bioplastics\Renjie_Pan\05-Raw_Data\Lab_results\[LabSamples2025_Bioplastic_extra.xlsx]extra_Bioplastic'!B971)," ",'Q:\Abteilungsprojekte\Eng\EngData\PROJECT_Bioplastics\Renjie_Pan\05-Raw_Data\Lab_results\[LabSamples2025_Bioplastic_extra.xlsx]extra_Bioplastic'!B971)</f>
        <v/>
      </c>
      <c r="C971">
        <f>IF(ISBLANK('Q:\Abteilungsprojekte\Eng\EngData\PROJECT_Bioplastics\Renjie_Pan\05-Raw_Data\Lab_results\[LabSamples2025_Bioplastic_extra.xlsx]extra_Bioplastic'!C971)," ",'Q:\Abteilungsprojekte\Eng\EngData\PROJECT_Bioplastics\Renjie_Pan\05-Raw_Data\Lab_results\[LabSamples2025_Bioplastic_extra.xlsx]extra_Bioplastic'!C971)</f>
        <v/>
      </c>
      <c r="D971">
        <f>IF(ISBLANK('Q:\Abteilungsprojekte\Eng\EngData\PROJECT_Bioplastics\Renjie_Pan\05-Raw_Data\Lab_results\[LabSamples2025_Bioplastic_extra.xlsx]extra_Bioplastic'!D971)," ",'Q:\Abteilungsprojekte\Eng\EngData\PROJECT_Bioplastics\Renjie_Pan\05-Raw_Data\Lab_results\[LabSamples2025_Bioplastic_extra.xlsx]extra_Bioplastic'!D971)</f>
        <v/>
      </c>
      <c r="E971">
        <f>IF(ISBLANK('Q:\Abteilungsprojekte\Eng\EngData\PROJECT_Bioplastics\Renjie_Pan\05-Raw_Data\Lab_results\[LabSamples2025_Bioplastic_extra.xlsx]extra_Bioplastic'!E971)," ",'Q:\Abteilungsprojekte\Eng\EngData\PROJECT_Bioplastics\Renjie_Pan\05-Raw_Data\Lab_results\[LabSamples2025_Bioplastic_extra.xlsx]extra_Bioplastic'!E971)</f>
        <v/>
      </c>
      <c r="F971">
        <f>IF(ISBLANK('Q:\Abteilungsprojekte\Eng\EngData\PROJECT_Bioplastics\Renjie_Pan\05-Raw_Data\Lab_results\[LabSamples2025_Bioplastic_extra.xlsx]extra_Bioplastic'!F971)," ",'Q:\Abteilungsprojekte\Eng\EngData\PROJECT_Bioplastics\Renjie_Pan\05-Raw_Data\Lab_results\[LabSamples2025_Bioplastic_extra.xlsx]extra_Bioplastic'!F971)</f>
        <v/>
      </c>
      <c r="G971">
        <f>IF(ISBLANK('Q:\Abteilungsprojekte\Eng\EngData\PROJECT_Bioplastics\Renjie_Pan\05-Raw_Data\Lab_results\[LabSamples2025_Bioplastic_extra.xlsx]extra_Bioplastic'!G971)," ",'Q:\Abteilungsprojekte\Eng\EngData\PROJECT_Bioplastics\Renjie_Pan\05-Raw_Data\Lab_results\[LabSamples2025_Bioplastic_extra.xlsx]extra_Bioplastic'!G971)</f>
        <v/>
      </c>
      <c r="H971">
        <f>IF(ISBLANK('Q:\Abteilungsprojekte\Eng\EngData\PROJECT_Bioplastics\Renjie_Pan\05-Raw_Data\Lab_results\[LabSamples2025_Bioplastic_extra.xlsx]extra_Bioplastic'!H971)," ",'Q:\Abteilungsprojekte\Eng\EngData\PROJECT_Bioplastics\Renjie_Pan\05-Raw_Data\Lab_results\[LabSamples2025_Bioplastic_extra.xlsx]extra_Bioplastic'!H971)</f>
        <v/>
      </c>
    </row>
    <row r="972">
      <c r="A972">
        <f>IF(ISBLANK('Q:\Abteilungsprojekte\Eng\EngData\PROJECT_Bioplastics\Renjie_Pan\05-Raw_Data\Lab_results\[LabSamples2025_Bioplastic_extra.xlsx]extra_Bioplastic'!A972)," ",'Q:\Abteilungsprojekte\Eng\EngData\PROJECT_Bioplastics\Renjie_Pan\05-Raw_Data\Lab_results\[LabSamples2025_Bioplastic_extra.xlsx]extra_Bioplastic'!A972)</f>
        <v/>
      </c>
      <c r="B972">
        <f>IF(ISBLANK('Q:\Abteilungsprojekte\Eng\EngData\PROJECT_Bioplastics\Renjie_Pan\05-Raw_Data\Lab_results\[LabSamples2025_Bioplastic_extra.xlsx]extra_Bioplastic'!B972)," ",'Q:\Abteilungsprojekte\Eng\EngData\PROJECT_Bioplastics\Renjie_Pan\05-Raw_Data\Lab_results\[LabSamples2025_Bioplastic_extra.xlsx]extra_Bioplastic'!B972)</f>
        <v/>
      </c>
      <c r="C972">
        <f>IF(ISBLANK('Q:\Abteilungsprojekte\Eng\EngData\PROJECT_Bioplastics\Renjie_Pan\05-Raw_Data\Lab_results\[LabSamples2025_Bioplastic_extra.xlsx]extra_Bioplastic'!C972)," ",'Q:\Abteilungsprojekte\Eng\EngData\PROJECT_Bioplastics\Renjie_Pan\05-Raw_Data\Lab_results\[LabSamples2025_Bioplastic_extra.xlsx]extra_Bioplastic'!C972)</f>
        <v/>
      </c>
      <c r="D972">
        <f>IF(ISBLANK('Q:\Abteilungsprojekte\Eng\EngData\PROJECT_Bioplastics\Renjie_Pan\05-Raw_Data\Lab_results\[LabSamples2025_Bioplastic_extra.xlsx]extra_Bioplastic'!D972)," ",'Q:\Abteilungsprojekte\Eng\EngData\PROJECT_Bioplastics\Renjie_Pan\05-Raw_Data\Lab_results\[LabSamples2025_Bioplastic_extra.xlsx]extra_Bioplastic'!D972)</f>
        <v/>
      </c>
      <c r="E972">
        <f>IF(ISBLANK('Q:\Abteilungsprojekte\Eng\EngData\PROJECT_Bioplastics\Renjie_Pan\05-Raw_Data\Lab_results\[LabSamples2025_Bioplastic_extra.xlsx]extra_Bioplastic'!E972)," ",'Q:\Abteilungsprojekte\Eng\EngData\PROJECT_Bioplastics\Renjie_Pan\05-Raw_Data\Lab_results\[LabSamples2025_Bioplastic_extra.xlsx]extra_Bioplastic'!E972)</f>
        <v/>
      </c>
      <c r="F972">
        <f>IF(ISBLANK('Q:\Abteilungsprojekte\Eng\EngData\PROJECT_Bioplastics\Renjie_Pan\05-Raw_Data\Lab_results\[LabSamples2025_Bioplastic_extra.xlsx]extra_Bioplastic'!F972)," ",'Q:\Abteilungsprojekte\Eng\EngData\PROJECT_Bioplastics\Renjie_Pan\05-Raw_Data\Lab_results\[LabSamples2025_Bioplastic_extra.xlsx]extra_Bioplastic'!F972)</f>
        <v/>
      </c>
      <c r="G972">
        <f>IF(ISBLANK('Q:\Abteilungsprojekte\Eng\EngData\PROJECT_Bioplastics\Renjie_Pan\05-Raw_Data\Lab_results\[LabSamples2025_Bioplastic_extra.xlsx]extra_Bioplastic'!G972)," ",'Q:\Abteilungsprojekte\Eng\EngData\PROJECT_Bioplastics\Renjie_Pan\05-Raw_Data\Lab_results\[LabSamples2025_Bioplastic_extra.xlsx]extra_Bioplastic'!G972)</f>
        <v/>
      </c>
      <c r="H972">
        <f>IF(ISBLANK('Q:\Abteilungsprojekte\Eng\EngData\PROJECT_Bioplastics\Renjie_Pan\05-Raw_Data\Lab_results\[LabSamples2025_Bioplastic_extra.xlsx]extra_Bioplastic'!H972)," ",'Q:\Abteilungsprojekte\Eng\EngData\PROJECT_Bioplastics\Renjie_Pan\05-Raw_Data\Lab_results\[LabSamples2025_Bioplastic_extra.xlsx]extra_Bioplastic'!H972)</f>
        <v/>
      </c>
    </row>
    <row r="973">
      <c r="A973">
        <f>IF(ISBLANK('Q:\Abteilungsprojekte\Eng\EngData\PROJECT_Bioplastics\Renjie_Pan\05-Raw_Data\Lab_results\[LabSamples2025_Bioplastic_extra.xlsx]extra_Bioplastic'!A973)," ",'Q:\Abteilungsprojekte\Eng\EngData\PROJECT_Bioplastics\Renjie_Pan\05-Raw_Data\Lab_results\[LabSamples2025_Bioplastic_extra.xlsx]extra_Bioplastic'!A973)</f>
        <v/>
      </c>
      <c r="B973">
        <f>IF(ISBLANK('Q:\Abteilungsprojekte\Eng\EngData\PROJECT_Bioplastics\Renjie_Pan\05-Raw_Data\Lab_results\[LabSamples2025_Bioplastic_extra.xlsx]extra_Bioplastic'!B973)," ",'Q:\Abteilungsprojekte\Eng\EngData\PROJECT_Bioplastics\Renjie_Pan\05-Raw_Data\Lab_results\[LabSamples2025_Bioplastic_extra.xlsx]extra_Bioplastic'!B973)</f>
        <v/>
      </c>
      <c r="C973">
        <f>IF(ISBLANK('Q:\Abteilungsprojekte\Eng\EngData\PROJECT_Bioplastics\Renjie_Pan\05-Raw_Data\Lab_results\[LabSamples2025_Bioplastic_extra.xlsx]extra_Bioplastic'!C973)," ",'Q:\Abteilungsprojekte\Eng\EngData\PROJECT_Bioplastics\Renjie_Pan\05-Raw_Data\Lab_results\[LabSamples2025_Bioplastic_extra.xlsx]extra_Bioplastic'!C973)</f>
        <v/>
      </c>
      <c r="D973">
        <f>IF(ISBLANK('Q:\Abteilungsprojekte\Eng\EngData\PROJECT_Bioplastics\Renjie_Pan\05-Raw_Data\Lab_results\[LabSamples2025_Bioplastic_extra.xlsx]extra_Bioplastic'!D973)," ",'Q:\Abteilungsprojekte\Eng\EngData\PROJECT_Bioplastics\Renjie_Pan\05-Raw_Data\Lab_results\[LabSamples2025_Bioplastic_extra.xlsx]extra_Bioplastic'!D973)</f>
        <v/>
      </c>
      <c r="E973">
        <f>IF(ISBLANK('Q:\Abteilungsprojekte\Eng\EngData\PROJECT_Bioplastics\Renjie_Pan\05-Raw_Data\Lab_results\[LabSamples2025_Bioplastic_extra.xlsx]extra_Bioplastic'!E973)," ",'Q:\Abteilungsprojekte\Eng\EngData\PROJECT_Bioplastics\Renjie_Pan\05-Raw_Data\Lab_results\[LabSamples2025_Bioplastic_extra.xlsx]extra_Bioplastic'!E973)</f>
        <v/>
      </c>
      <c r="F973">
        <f>IF(ISBLANK('Q:\Abteilungsprojekte\Eng\EngData\PROJECT_Bioplastics\Renjie_Pan\05-Raw_Data\Lab_results\[LabSamples2025_Bioplastic_extra.xlsx]extra_Bioplastic'!F973)," ",'Q:\Abteilungsprojekte\Eng\EngData\PROJECT_Bioplastics\Renjie_Pan\05-Raw_Data\Lab_results\[LabSamples2025_Bioplastic_extra.xlsx]extra_Bioplastic'!F973)</f>
        <v/>
      </c>
      <c r="G973">
        <f>IF(ISBLANK('Q:\Abteilungsprojekte\Eng\EngData\PROJECT_Bioplastics\Renjie_Pan\05-Raw_Data\Lab_results\[LabSamples2025_Bioplastic_extra.xlsx]extra_Bioplastic'!G973)," ",'Q:\Abteilungsprojekte\Eng\EngData\PROJECT_Bioplastics\Renjie_Pan\05-Raw_Data\Lab_results\[LabSamples2025_Bioplastic_extra.xlsx]extra_Bioplastic'!G973)</f>
        <v/>
      </c>
      <c r="H973">
        <f>IF(ISBLANK('Q:\Abteilungsprojekte\Eng\EngData\PROJECT_Bioplastics\Renjie_Pan\05-Raw_Data\Lab_results\[LabSamples2025_Bioplastic_extra.xlsx]extra_Bioplastic'!H973)," ",'Q:\Abteilungsprojekte\Eng\EngData\PROJECT_Bioplastics\Renjie_Pan\05-Raw_Data\Lab_results\[LabSamples2025_Bioplastic_extra.xlsx]extra_Bioplastic'!H973)</f>
        <v/>
      </c>
    </row>
    <row r="974">
      <c r="A974">
        <f>IF(ISBLANK('Q:\Abteilungsprojekte\Eng\EngData\PROJECT_Bioplastics\Renjie_Pan\05-Raw_Data\Lab_results\[LabSamples2025_Bioplastic_extra.xlsx]extra_Bioplastic'!A974)," ",'Q:\Abteilungsprojekte\Eng\EngData\PROJECT_Bioplastics\Renjie_Pan\05-Raw_Data\Lab_results\[LabSamples2025_Bioplastic_extra.xlsx]extra_Bioplastic'!A974)</f>
        <v/>
      </c>
      <c r="B974">
        <f>IF(ISBLANK('Q:\Abteilungsprojekte\Eng\EngData\PROJECT_Bioplastics\Renjie_Pan\05-Raw_Data\Lab_results\[LabSamples2025_Bioplastic_extra.xlsx]extra_Bioplastic'!B974)," ",'Q:\Abteilungsprojekte\Eng\EngData\PROJECT_Bioplastics\Renjie_Pan\05-Raw_Data\Lab_results\[LabSamples2025_Bioplastic_extra.xlsx]extra_Bioplastic'!B974)</f>
        <v/>
      </c>
      <c r="C974">
        <f>IF(ISBLANK('Q:\Abteilungsprojekte\Eng\EngData\PROJECT_Bioplastics\Renjie_Pan\05-Raw_Data\Lab_results\[LabSamples2025_Bioplastic_extra.xlsx]extra_Bioplastic'!C974)," ",'Q:\Abteilungsprojekte\Eng\EngData\PROJECT_Bioplastics\Renjie_Pan\05-Raw_Data\Lab_results\[LabSamples2025_Bioplastic_extra.xlsx]extra_Bioplastic'!C974)</f>
        <v/>
      </c>
      <c r="D974">
        <f>IF(ISBLANK('Q:\Abteilungsprojekte\Eng\EngData\PROJECT_Bioplastics\Renjie_Pan\05-Raw_Data\Lab_results\[LabSamples2025_Bioplastic_extra.xlsx]extra_Bioplastic'!D974)," ",'Q:\Abteilungsprojekte\Eng\EngData\PROJECT_Bioplastics\Renjie_Pan\05-Raw_Data\Lab_results\[LabSamples2025_Bioplastic_extra.xlsx]extra_Bioplastic'!D974)</f>
        <v/>
      </c>
      <c r="E974">
        <f>IF(ISBLANK('Q:\Abteilungsprojekte\Eng\EngData\PROJECT_Bioplastics\Renjie_Pan\05-Raw_Data\Lab_results\[LabSamples2025_Bioplastic_extra.xlsx]extra_Bioplastic'!E974)," ",'Q:\Abteilungsprojekte\Eng\EngData\PROJECT_Bioplastics\Renjie_Pan\05-Raw_Data\Lab_results\[LabSamples2025_Bioplastic_extra.xlsx]extra_Bioplastic'!E974)</f>
        <v/>
      </c>
      <c r="F974">
        <f>IF(ISBLANK('Q:\Abteilungsprojekte\Eng\EngData\PROJECT_Bioplastics\Renjie_Pan\05-Raw_Data\Lab_results\[LabSamples2025_Bioplastic_extra.xlsx]extra_Bioplastic'!F974)," ",'Q:\Abteilungsprojekte\Eng\EngData\PROJECT_Bioplastics\Renjie_Pan\05-Raw_Data\Lab_results\[LabSamples2025_Bioplastic_extra.xlsx]extra_Bioplastic'!F974)</f>
        <v/>
      </c>
      <c r="G974">
        <f>IF(ISBLANK('Q:\Abteilungsprojekte\Eng\EngData\PROJECT_Bioplastics\Renjie_Pan\05-Raw_Data\Lab_results\[LabSamples2025_Bioplastic_extra.xlsx]extra_Bioplastic'!G974)," ",'Q:\Abteilungsprojekte\Eng\EngData\PROJECT_Bioplastics\Renjie_Pan\05-Raw_Data\Lab_results\[LabSamples2025_Bioplastic_extra.xlsx]extra_Bioplastic'!G974)</f>
        <v/>
      </c>
      <c r="H974">
        <f>IF(ISBLANK('Q:\Abteilungsprojekte\Eng\EngData\PROJECT_Bioplastics\Renjie_Pan\05-Raw_Data\Lab_results\[LabSamples2025_Bioplastic_extra.xlsx]extra_Bioplastic'!H974)," ",'Q:\Abteilungsprojekte\Eng\EngData\PROJECT_Bioplastics\Renjie_Pan\05-Raw_Data\Lab_results\[LabSamples2025_Bioplastic_extra.xlsx]extra_Bioplastic'!H974)</f>
        <v/>
      </c>
    </row>
    <row r="975">
      <c r="A975">
        <f>IF(ISBLANK('Q:\Abteilungsprojekte\Eng\EngData\PROJECT_Bioplastics\Renjie_Pan\05-Raw_Data\Lab_results\[LabSamples2025_Bioplastic_extra.xlsx]extra_Bioplastic'!A975)," ",'Q:\Abteilungsprojekte\Eng\EngData\PROJECT_Bioplastics\Renjie_Pan\05-Raw_Data\Lab_results\[LabSamples2025_Bioplastic_extra.xlsx]extra_Bioplastic'!A975)</f>
        <v/>
      </c>
      <c r="B975">
        <f>IF(ISBLANK('Q:\Abteilungsprojekte\Eng\EngData\PROJECT_Bioplastics\Renjie_Pan\05-Raw_Data\Lab_results\[LabSamples2025_Bioplastic_extra.xlsx]extra_Bioplastic'!B975)," ",'Q:\Abteilungsprojekte\Eng\EngData\PROJECT_Bioplastics\Renjie_Pan\05-Raw_Data\Lab_results\[LabSamples2025_Bioplastic_extra.xlsx]extra_Bioplastic'!B975)</f>
        <v/>
      </c>
      <c r="C975">
        <f>IF(ISBLANK('Q:\Abteilungsprojekte\Eng\EngData\PROJECT_Bioplastics\Renjie_Pan\05-Raw_Data\Lab_results\[LabSamples2025_Bioplastic_extra.xlsx]extra_Bioplastic'!C975)," ",'Q:\Abteilungsprojekte\Eng\EngData\PROJECT_Bioplastics\Renjie_Pan\05-Raw_Data\Lab_results\[LabSamples2025_Bioplastic_extra.xlsx]extra_Bioplastic'!C975)</f>
        <v/>
      </c>
      <c r="D975">
        <f>IF(ISBLANK('Q:\Abteilungsprojekte\Eng\EngData\PROJECT_Bioplastics\Renjie_Pan\05-Raw_Data\Lab_results\[LabSamples2025_Bioplastic_extra.xlsx]extra_Bioplastic'!D975)," ",'Q:\Abteilungsprojekte\Eng\EngData\PROJECT_Bioplastics\Renjie_Pan\05-Raw_Data\Lab_results\[LabSamples2025_Bioplastic_extra.xlsx]extra_Bioplastic'!D975)</f>
        <v/>
      </c>
      <c r="E975">
        <f>IF(ISBLANK('Q:\Abteilungsprojekte\Eng\EngData\PROJECT_Bioplastics\Renjie_Pan\05-Raw_Data\Lab_results\[LabSamples2025_Bioplastic_extra.xlsx]extra_Bioplastic'!E975)," ",'Q:\Abteilungsprojekte\Eng\EngData\PROJECT_Bioplastics\Renjie_Pan\05-Raw_Data\Lab_results\[LabSamples2025_Bioplastic_extra.xlsx]extra_Bioplastic'!E975)</f>
        <v/>
      </c>
      <c r="F975">
        <f>IF(ISBLANK('Q:\Abteilungsprojekte\Eng\EngData\PROJECT_Bioplastics\Renjie_Pan\05-Raw_Data\Lab_results\[LabSamples2025_Bioplastic_extra.xlsx]extra_Bioplastic'!F975)," ",'Q:\Abteilungsprojekte\Eng\EngData\PROJECT_Bioplastics\Renjie_Pan\05-Raw_Data\Lab_results\[LabSamples2025_Bioplastic_extra.xlsx]extra_Bioplastic'!F975)</f>
        <v/>
      </c>
      <c r="G975">
        <f>IF(ISBLANK('Q:\Abteilungsprojekte\Eng\EngData\PROJECT_Bioplastics\Renjie_Pan\05-Raw_Data\Lab_results\[LabSamples2025_Bioplastic_extra.xlsx]extra_Bioplastic'!G975)," ",'Q:\Abteilungsprojekte\Eng\EngData\PROJECT_Bioplastics\Renjie_Pan\05-Raw_Data\Lab_results\[LabSamples2025_Bioplastic_extra.xlsx]extra_Bioplastic'!G975)</f>
        <v/>
      </c>
      <c r="H975">
        <f>IF(ISBLANK('Q:\Abteilungsprojekte\Eng\EngData\PROJECT_Bioplastics\Renjie_Pan\05-Raw_Data\Lab_results\[LabSamples2025_Bioplastic_extra.xlsx]extra_Bioplastic'!H975)," ",'Q:\Abteilungsprojekte\Eng\EngData\PROJECT_Bioplastics\Renjie_Pan\05-Raw_Data\Lab_results\[LabSamples2025_Bioplastic_extra.xlsx]extra_Bioplastic'!H975)</f>
        <v/>
      </c>
    </row>
    <row r="976">
      <c r="A976">
        <f>IF(ISBLANK('Q:\Abteilungsprojekte\Eng\EngData\PROJECT_Bioplastics\Renjie_Pan\05-Raw_Data\Lab_results\[LabSamples2025_Bioplastic_extra.xlsx]extra_Bioplastic'!A976)," ",'Q:\Abteilungsprojekte\Eng\EngData\PROJECT_Bioplastics\Renjie_Pan\05-Raw_Data\Lab_results\[LabSamples2025_Bioplastic_extra.xlsx]extra_Bioplastic'!A976)</f>
        <v/>
      </c>
      <c r="B976">
        <f>IF(ISBLANK('Q:\Abteilungsprojekte\Eng\EngData\PROJECT_Bioplastics\Renjie_Pan\05-Raw_Data\Lab_results\[LabSamples2025_Bioplastic_extra.xlsx]extra_Bioplastic'!B976)," ",'Q:\Abteilungsprojekte\Eng\EngData\PROJECT_Bioplastics\Renjie_Pan\05-Raw_Data\Lab_results\[LabSamples2025_Bioplastic_extra.xlsx]extra_Bioplastic'!B976)</f>
        <v/>
      </c>
      <c r="C976">
        <f>IF(ISBLANK('Q:\Abteilungsprojekte\Eng\EngData\PROJECT_Bioplastics\Renjie_Pan\05-Raw_Data\Lab_results\[LabSamples2025_Bioplastic_extra.xlsx]extra_Bioplastic'!C976)," ",'Q:\Abteilungsprojekte\Eng\EngData\PROJECT_Bioplastics\Renjie_Pan\05-Raw_Data\Lab_results\[LabSamples2025_Bioplastic_extra.xlsx]extra_Bioplastic'!C976)</f>
        <v/>
      </c>
      <c r="D976">
        <f>IF(ISBLANK('Q:\Abteilungsprojekte\Eng\EngData\PROJECT_Bioplastics\Renjie_Pan\05-Raw_Data\Lab_results\[LabSamples2025_Bioplastic_extra.xlsx]extra_Bioplastic'!D976)," ",'Q:\Abteilungsprojekte\Eng\EngData\PROJECT_Bioplastics\Renjie_Pan\05-Raw_Data\Lab_results\[LabSamples2025_Bioplastic_extra.xlsx]extra_Bioplastic'!D976)</f>
        <v/>
      </c>
      <c r="E976">
        <f>IF(ISBLANK('Q:\Abteilungsprojekte\Eng\EngData\PROJECT_Bioplastics\Renjie_Pan\05-Raw_Data\Lab_results\[LabSamples2025_Bioplastic_extra.xlsx]extra_Bioplastic'!E976)," ",'Q:\Abteilungsprojekte\Eng\EngData\PROJECT_Bioplastics\Renjie_Pan\05-Raw_Data\Lab_results\[LabSamples2025_Bioplastic_extra.xlsx]extra_Bioplastic'!E976)</f>
        <v/>
      </c>
      <c r="F976">
        <f>IF(ISBLANK('Q:\Abteilungsprojekte\Eng\EngData\PROJECT_Bioplastics\Renjie_Pan\05-Raw_Data\Lab_results\[LabSamples2025_Bioplastic_extra.xlsx]extra_Bioplastic'!F976)," ",'Q:\Abteilungsprojekte\Eng\EngData\PROJECT_Bioplastics\Renjie_Pan\05-Raw_Data\Lab_results\[LabSamples2025_Bioplastic_extra.xlsx]extra_Bioplastic'!F976)</f>
        <v/>
      </c>
      <c r="G976">
        <f>IF(ISBLANK('Q:\Abteilungsprojekte\Eng\EngData\PROJECT_Bioplastics\Renjie_Pan\05-Raw_Data\Lab_results\[LabSamples2025_Bioplastic_extra.xlsx]extra_Bioplastic'!G976)," ",'Q:\Abteilungsprojekte\Eng\EngData\PROJECT_Bioplastics\Renjie_Pan\05-Raw_Data\Lab_results\[LabSamples2025_Bioplastic_extra.xlsx]extra_Bioplastic'!G976)</f>
        <v/>
      </c>
      <c r="H976">
        <f>IF(ISBLANK('Q:\Abteilungsprojekte\Eng\EngData\PROJECT_Bioplastics\Renjie_Pan\05-Raw_Data\Lab_results\[LabSamples2025_Bioplastic_extra.xlsx]extra_Bioplastic'!H976)," ",'Q:\Abteilungsprojekte\Eng\EngData\PROJECT_Bioplastics\Renjie_Pan\05-Raw_Data\Lab_results\[LabSamples2025_Bioplastic_extra.xlsx]extra_Bioplastic'!H976)</f>
        <v/>
      </c>
    </row>
    <row r="977">
      <c r="A977">
        <f>IF(ISBLANK('Q:\Abteilungsprojekte\Eng\EngData\PROJECT_Bioplastics\Renjie_Pan\05-Raw_Data\Lab_results\[LabSamples2025_Bioplastic_extra.xlsx]extra_Bioplastic'!A977)," ",'Q:\Abteilungsprojekte\Eng\EngData\PROJECT_Bioplastics\Renjie_Pan\05-Raw_Data\Lab_results\[LabSamples2025_Bioplastic_extra.xlsx]extra_Bioplastic'!A977)</f>
        <v/>
      </c>
      <c r="B977">
        <f>IF(ISBLANK('Q:\Abteilungsprojekte\Eng\EngData\PROJECT_Bioplastics\Renjie_Pan\05-Raw_Data\Lab_results\[LabSamples2025_Bioplastic_extra.xlsx]extra_Bioplastic'!B977)," ",'Q:\Abteilungsprojekte\Eng\EngData\PROJECT_Bioplastics\Renjie_Pan\05-Raw_Data\Lab_results\[LabSamples2025_Bioplastic_extra.xlsx]extra_Bioplastic'!B977)</f>
        <v/>
      </c>
      <c r="C977">
        <f>IF(ISBLANK('Q:\Abteilungsprojekte\Eng\EngData\PROJECT_Bioplastics\Renjie_Pan\05-Raw_Data\Lab_results\[LabSamples2025_Bioplastic_extra.xlsx]extra_Bioplastic'!C977)," ",'Q:\Abteilungsprojekte\Eng\EngData\PROJECT_Bioplastics\Renjie_Pan\05-Raw_Data\Lab_results\[LabSamples2025_Bioplastic_extra.xlsx]extra_Bioplastic'!C977)</f>
        <v/>
      </c>
      <c r="D977">
        <f>IF(ISBLANK('Q:\Abteilungsprojekte\Eng\EngData\PROJECT_Bioplastics\Renjie_Pan\05-Raw_Data\Lab_results\[LabSamples2025_Bioplastic_extra.xlsx]extra_Bioplastic'!D977)," ",'Q:\Abteilungsprojekte\Eng\EngData\PROJECT_Bioplastics\Renjie_Pan\05-Raw_Data\Lab_results\[LabSamples2025_Bioplastic_extra.xlsx]extra_Bioplastic'!D977)</f>
        <v/>
      </c>
      <c r="E977">
        <f>IF(ISBLANK('Q:\Abteilungsprojekte\Eng\EngData\PROJECT_Bioplastics\Renjie_Pan\05-Raw_Data\Lab_results\[LabSamples2025_Bioplastic_extra.xlsx]extra_Bioplastic'!E977)," ",'Q:\Abteilungsprojekte\Eng\EngData\PROJECT_Bioplastics\Renjie_Pan\05-Raw_Data\Lab_results\[LabSamples2025_Bioplastic_extra.xlsx]extra_Bioplastic'!E977)</f>
        <v/>
      </c>
      <c r="F977">
        <f>IF(ISBLANK('Q:\Abteilungsprojekte\Eng\EngData\PROJECT_Bioplastics\Renjie_Pan\05-Raw_Data\Lab_results\[LabSamples2025_Bioplastic_extra.xlsx]extra_Bioplastic'!F977)," ",'Q:\Abteilungsprojekte\Eng\EngData\PROJECT_Bioplastics\Renjie_Pan\05-Raw_Data\Lab_results\[LabSamples2025_Bioplastic_extra.xlsx]extra_Bioplastic'!F977)</f>
        <v/>
      </c>
      <c r="G977">
        <f>IF(ISBLANK('Q:\Abteilungsprojekte\Eng\EngData\PROJECT_Bioplastics\Renjie_Pan\05-Raw_Data\Lab_results\[LabSamples2025_Bioplastic_extra.xlsx]extra_Bioplastic'!G977)," ",'Q:\Abteilungsprojekte\Eng\EngData\PROJECT_Bioplastics\Renjie_Pan\05-Raw_Data\Lab_results\[LabSamples2025_Bioplastic_extra.xlsx]extra_Bioplastic'!G977)</f>
        <v/>
      </c>
      <c r="H977">
        <f>IF(ISBLANK('Q:\Abteilungsprojekte\Eng\EngData\PROJECT_Bioplastics\Renjie_Pan\05-Raw_Data\Lab_results\[LabSamples2025_Bioplastic_extra.xlsx]extra_Bioplastic'!H977)," ",'Q:\Abteilungsprojekte\Eng\EngData\PROJECT_Bioplastics\Renjie_Pan\05-Raw_Data\Lab_results\[LabSamples2025_Bioplastic_extra.xlsx]extra_Bioplastic'!H977)</f>
        <v/>
      </c>
    </row>
    <row r="978">
      <c r="A978">
        <f>IF(ISBLANK('Q:\Abteilungsprojekte\Eng\EngData\PROJECT_Bioplastics\Renjie_Pan\05-Raw_Data\Lab_results\[LabSamples2025_Bioplastic_extra.xlsx]extra_Bioplastic'!A978)," ",'Q:\Abteilungsprojekte\Eng\EngData\PROJECT_Bioplastics\Renjie_Pan\05-Raw_Data\Lab_results\[LabSamples2025_Bioplastic_extra.xlsx]extra_Bioplastic'!A978)</f>
        <v/>
      </c>
      <c r="B978">
        <f>IF(ISBLANK('Q:\Abteilungsprojekte\Eng\EngData\PROJECT_Bioplastics\Renjie_Pan\05-Raw_Data\Lab_results\[LabSamples2025_Bioplastic_extra.xlsx]extra_Bioplastic'!B978)," ",'Q:\Abteilungsprojekte\Eng\EngData\PROJECT_Bioplastics\Renjie_Pan\05-Raw_Data\Lab_results\[LabSamples2025_Bioplastic_extra.xlsx]extra_Bioplastic'!B978)</f>
        <v/>
      </c>
      <c r="C978">
        <f>IF(ISBLANK('Q:\Abteilungsprojekte\Eng\EngData\PROJECT_Bioplastics\Renjie_Pan\05-Raw_Data\Lab_results\[LabSamples2025_Bioplastic_extra.xlsx]extra_Bioplastic'!C978)," ",'Q:\Abteilungsprojekte\Eng\EngData\PROJECT_Bioplastics\Renjie_Pan\05-Raw_Data\Lab_results\[LabSamples2025_Bioplastic_extra.xlsx]extra_Bioplastic'!C978)</f>
        <v/>
      </c>
      <c r="D978">
        <f>IF(ISBLANK('Q:\Abteilungsprojekte\Eng\EngData\PROJECT_Bioplastics\Renjie_Pan\05-Raw_Data\Lab_results\[LabSamples2025_Bioplastic_extra.xlsx]extra_Bioplastic'!D978)," ",'Q:\Abteilungsprojekte\Eng\EngData\PROJECT_Bioplastics\Renjie_Pan\05-Raw_Data\Lab_results\[LabSamples2025_Bioplastic_extra.xlsx]extra_Bioplastic'!D978)</f>
        <v/>
      </c>
      <c r="E978">
        <f>IF(ISBLANK('Q:\Abteilungsprojekte\Eng\EngData\PROJECT_Bioplastics\Renjie_Pan\05-Raw_Data\Lab_results\[LabSamples2025_Bioplastic_extra.xlsx]extra_Bioplastic'!E978)," ",'Q:\Abteilungsprojekte\Eng\EngData\PROJECT_Bioplastics\Renjie_Pan\05-Raw_Data\Lab_results\[LabSamples2025_Bioplastic_extra.xlsx]extra_Bioplastic'!E978)</f>
        <v/>
      </c>
      <c r="F978">
        <f>IF(ISBLANK('Q:\Abteilungsprojekte\Eng\EngData\PROJECT_Bioplastics\Renjie_Pan\05-Raw_Data\Lab_results\[LabSamples2025_Bioplastic_extra.xlsx]extra_Bioplastic'!F978)," ",'Q:\Abteilungsprojekte\Eng\EngData\PROJECT_Bioplastics\Renjie_Pan\05-Raw_Data\Lab_results\[LabSamples2025_Bioplastic_extra.xlsx]extra_Bioplastic'!F978)</f>
        <v/>
      </c>
      <c r="G978">
        <f>IF(ISBLANK('Q:\Abteilungsprojekte\Eng\EngData\PROJECT_Bioplastics\Renjie_Pan\05-Raw_Data\Lab_results\[LabSamples2025_Bioplastic_extra.xlsx]extra_Bioplastic'!G978)," ",'Q:\Abteilungsprojekte\Eng\EngData\PROJECT_Bioplastics\Renjie_Pan\05-Raw_Data\Lab_results\[LabSamples2025_Bioplastic_extra.xlsx]extra_Bioplastic'!G978)</f>
        <v/>
      </c>
      <c r="H978">
        <f>IF(ISBLANK('Q:\Abteilungsprojekte\Eng\EngData\PROJECT_Bioplastics\Renjie_Pan\05-Raw_Data\Lab_results\[LabSamples2025_Bioplastic_extra.xlsx]extra_Bioplastic'!H978)," ",'Q:\Abteilungsprojekte\Eng\EngData\PROJECT_Bioplastics\Renjie_Pan\05-Raw_Data\Lab_results\[LabSamples2025_Bioplastic_extra.xlsx]extra_Bioplastic'!H978)</f>
        <v/>
      </c>
    </row>
    <row r="979">
      <c r="A979">
        <f>IF(ISBLANK('Q:\Abteilungsprojekte\Eng\EngData\PROJECT_Bioplastics\Renjie_Pan\05-Raw_Data\Lab_results\[LabSamples2025_Bioplastic_extra.xlsx]extra_Bioplastic'!A979)," ",'Q:\Abteilungsprojekte\Eng\EngData\PROJECT_Bioplastics\Renjie_Pan\05-Raw_Data\Lab_results\[LabSamples2025_Bioplastic_extra.xlsx]extra_Bioplastic'!A979)</f>
        <v/>
      </c>
      <c r="B979">
        <f>IF(ISBLANK('Q:\Abteilungsprojekte\Eng\EngData\PROJECT_Bioplastics\Renjie_Pan\05-Raw_Data\Lab_results\[LabSamples2025_Bioplastic_extra.xlsx]extra_Bioplastic'!B979)," ",'Q:\Abteilungsprojekte\Eng\EngData\PROJECT_Bioplastics\Renjie_Pan\05-Raw_Data\Lab_results\[LabSamples2025_Bioplastic_extra.xlsx]extra_Bioplastic'!B979)</f>
        <v/>
      </c>
      <c r="C979">
        <f>IF(ISBLANK('Q:\Abteilungsprojekte\Eng\EngData\PROJECT_Bioplastics\Renjie_Pan\05-Raw_Data\Lab_results\[LabSamples2025_Bioplastic_extra.xlsx]extra_Bioplastic'!C979)," ",'Q:\Abteilungsprojekte\Eng\EngData\PROJECT_Bioplastics\Renjie_Pan\05-Raw_Data\Lab_results\[LabSamples2025_Bioplastic_extra.xlsx]extra_Bioplastic'!C979)</f>
        <v/>
      </c>
      <c r="D979">
        <f>IF(ISBLANK('Q:\Abteilungsprojekte\Eng\EngData\PROJECT_Bioplastics\Renjie_Pan\05-Raw_Data\Lab_results\[LabSamples2025_Bioplastic_extra.xlsx]extra_Bioplastic'!D979)," ",'Q:\Abteilungsprojekte\Eng\EngData\PROJECT_Bioplastics\Renjie_Pan\05-Raw_Data\Lab_results\[LabSamples2025_Bioplastic_extra.xlsx]extra_Bioplastic'!D979)</f>
        <v/>
      </c>
      <c r="E979">
        <f>IF(ISBLANK('Q:\Abteilungsprojekte\Eng\EngData\PROJECT_Bioplastics\Renjie_Pan\05-Raw_Data\Lab_results\[LabSamples2025_Bioplastic_extra.xlsx]extra_Bioplastic'!E979)," ",'Q:\Abteilungsprojekte\Eng\EngData\PROJECT_Bioplastics\Renjie_Pan\05-Raw_Data\Lab_results\[LabSamples2025_Bioplastic_extra.xlsx]extra_Bioplastic'!E979)</f>
        <v/>
      </c>
      <c r="F979">
        <f>IF(ISBLANK('Q:\Abteilungsprojekte\Eng\EngData\PROJECT_Bioplastics\Renjie_Pan\05-Raw_Data\Lab_results\[LabSamples2025_Bioplastic_extra.xlsx]extra_Bioplastic'!F979)," ",'Q:\Abteilungsprojekte\Eng\EngData\PROJECT_Bioplastics\Renjie_Pan\05-Raw_Data\Lab_results\[LabSamples2025_Bioplastic_extra.xlsx]extra_Bioplastic'!F979)</f>
        <v/>
      </c>
      <c r="G979">
        <f>IF(ISBLANK('Q:\Abteilungsprojekte\Eng\EngData\PROJECT_Bioplastics\Renjie_Pan\05-Raw_Data\Lab_results\[LabSamples2025_Bioplastic_extra.xlsx]extra_Bioplastic'!G979)," ",'Q:\Abteilungsprojekte\Eng\EngData\PROJECT_Bioplastics\Renjie_Pan\05-Raw_Data\Lab_results\[LabSamples2025_Bioplastic_extra.xlsx]extra_Bioplastic'!G979)</f>
        <v/>
      </c>
      <c r="H979">
        <f>IF(ISBLANK('Q:\Abteilungsprojekte\Eng\EngData\PROJECT_Bioplastics\Renjie_Pan\05-Raw_Data\Lab_results\[LabSamples2025_Bioplastic_extra.xlsx]extra_Bioplastic'!H979)," ",'Q:\Abteilungsprojekte\Eng\EngData\PROJECT_Bioplastics\Renjie_Pan\05-Raw_Data\Lab_results\[LabSamples2025_Bioplastic_extra.xlsx]extra_Bioplastic'!H979)</f>
        <v/>
      </c>
    </row>
    <row r="980">
      <c r="A980">
        <f>IF(ISBLANK('Q:\Abteilungsprojekte\Eng\EngData\PROJECT_Bioplastics\Renjie_Pan\05-Raw_Data\Lab_results\[LabSamples2025_Bioplastic_extra.xlsx]extra_Bioplastic'!A980)," ",'Q:\Abteilungsprojekte\Eng\EngData\PROJECT_Bioplastics\Renjie_Pan\05-Raw_Data\Lab_results\[LabSamples2025_Bioplastic_extra.xlsx]extra_Bioplastic'!A980)</f>
        <v/>
      </c>
      <c r="B980">
        <f>IF(ISBLANK('Q:\Abteilungsprojekte\Eng\EngData\PROJECT_Bioplastics\Renjie_Pan\05-Raw_Data\Lab_results\[LabSamples2025_Bioplastic_extra.xlsx]extra_Bioplastic'!B980)," ",'Q:\Abteilungsprojekte\Eng\EngData\PROJECT_Bioplastics\Renjie_Pan\05-Raw_Data\Lab_results\[LabSamples2025_Bioplastic_extra.xlsx]extra_Bioplastic'!B980)</f>
        <v/>
      </c>
      <c r="C980">
        <f>IF(ISBLANK('Q:\Abteilungsprojekte\Eng\EngData\PROJECT_Bioplastics\Renjie_Pan\05-Raw_Data\Lab_results\[LabSamples2025_Bioplastic_extra.xlsx]extra_Bioplastic'!C980)," ",'Q:\Abteilungsprojekte\Eng\EngData\PROJECT_Bioplastics\Renjie_Pan\05-Raw_Data\Lab_results\[LabSamples2025_Bioplastic_extra.xlsx]extra_Bioplastic'!C980)</f>
        <v/>
      </c>
      <c r="D980">
        <f>IF(ISBLANK('Q:\Abteilungsprojekte\Eng\EngData\PROJECT_Bioplastics\Renjie_Pan\05-Raw_Data\Lab_results\[LabSamples2025_Bioplastic_extra.xlsx]extra_Bioplastic'!D980)," ",'Q:\Abteilungsprojekte\Eng\EngData\PROJECT_Bioplastics\Renjie_Pan\05-Raw_Data\Lab_results\[LabSamples2025_Bioplastic_extra.xlsx]extra_Bioplastic'!D980)</f>
        <v/>
      </c>
      <c r="E980">
        <f>IF(ISBLANK('Q:\Abteilungsprojekte\Eng\EngData\PROJECT_Bioplastics\Renjie_Pan\05-Raw_Data\Lab_results\[LabSamples2025_Bioplastic_extra.xlsx]extra_Bioplastic'!E980)," ",'Q:\Abteilungsprojekte\Eng\EngData\PROJECT_Bioplastics\Renjie_Pan\05-Raw_Data\Lab_results\[LabSamples2025_Bioplastic_extra.xlsx]extra_Bioplastic'!E980)</f>
        <v/>
      </c>
      <c r="F980">
        <f>IF(ISBLANK('Q:\Abteilungsprojekte\Eng\EngData\PROJECT_Bioplastics\Renjie_Pan\05-Raw_Data\Lab_results\[LabSamples2025_Bioplastic_extra.xlsx]extra_Bioplastic'!F980)," ",'Q:\Abteilungsprojekte\Eng\EngData\PROJECT_Bioplastics\Renjie_Pan\05-Raw_Data\Lab_results\[LabSamples2025_Bioplastic_extra.xlsx]extra_Bioplastic'!F980)</f>
        <v/>
      </c>
      <c r="G980">
        <f>IF(ISBLANK('Q:\Abteilungsprojekte\Eng\EngData\PROJECT_Bioplastics\Renjie_Pan\05-Raw_Data\Lab_results\[LabSamples2025_Bioplastic_extra.xlsx]extra_Bioplastic'!G980)," ",'Q:\Abteilungsprojekte\Eng\EngData\PROJECT_Bioplastics\Renjie_Pan\05-Raw_Data\Lab_results\[LabSamples2025_Bioplastic_extra.xlsx]extra_Bioplastic'!G980)</f>
        <v/>
      </c>
      <c r="H980">
        <f>IF(ISBLANK('Q:\Abteilungsprojekte\Eng\EngData\PROJECT_Bioplastics\Renjie_Pan\05-Raw_Data\Lab_results\[LabSamples2025_Bioplastic_extra.xlsx]extra_Bioplastic'!H980)," ",'Q:\Abteilungsprojekte\Eng\EngData\PROJECT_Bioplastics\Renjie_Pan\05-Raw_Data\Lab_results\[LabSamples2025_Bioplastic_extra.xlsx]extra_Bioplastic'!H980)</f>
        <v/>
      </c>
    </row>
    <row r="981">
      <c r="A981">
        <f>IF(ISBLANK('Q:\Abteilungsprojekte\Eng\EngData\PROJECT_Bioplastics\Renjie_Pan\05-Raw_Data\Lab_results\[LabSamples2025_Bioplastic_extra.xlsx]extra_Bioplastic'!A981)," ",'Q:\Abteilungsprojekte\Eng\EngData\PROJECT_Bioplastics\Renjie_Pan\05-Raw_Data\Lab_results\[LabSamples2025_Bioplastic_extra.xlsx]extra_Bioplastic'!A981)</f>
        <v/>
      </c>
      <c r="B981">
        <f>IF(ISBLANK('Q:\Abteilungsprojekte\Eng\EngData\PROJECT_Bioplastics\Renjie_Pan\05-Raw_Data\Lab_results\[LabSamples2025_Bioplastic_extra.xlsx]extra_Bioplastic'!B981)," ",'Q:\Abteilungsprojekte\Eng\EngData\PROJECT_Bioplastics\Renjie_Pan\05-Raw_Data\Lab_results\[LabSamples2025_Bioplastic_extra.xlsx]extra_Bioplastic'!B981)</f>
        <v/>
      </c>
      <c r="C981">
        <f>IF(ISBLANK('Q:\Abteilungsprojekte\Eng\EngData\PROJECT_Bioplastics\Renjie_Pan\05-Raw_Data\Lab_results\[LabSamples2025_Bioplastic_extra.xlsx]extra_Bioplastic'!C981)," ",'Q:\Abteilungsprojekte\Eng\EngData\PROJECT_Bioplastics\Renjie_Pan\05-Raw_Data\Lab_results\[LabSamples2025_Bioplastic_extra.xlsx]extra_Bioplastic'!C981)</f>
        <v/>
      </c>
      <c r="D981">
        <f>IF(ISBLANK('Q:\Abteilungsprojekte\Eng\EngData\PROJECT_Bioplastics\Renjie_Pan\05-Raw_Data\Lab_results\[LabSamples2025_Bioplastic_extra.xlsx]extra_Bioplastic'!D981)," ",'Q:\Abteilungsprojekte\Eng\EngData\PROJECT_Bioplastics\Renjie_Pan\05-Raw_Data\Lab_results\[LabSamples2025_Bioplastic_extra.xlsx]extra_Bioplastic'!D981)</f>
        <v/>
      </c>
      <c r="E981">
        <f>IF(ISBLANK('Q:\Abteilungsprojekte\Eng\EngData\PROJECT_Bioplastics\Renjie_Pan\05-Raw_Data\Lab_results\[LabSamples2025_Bioplastic_extra.xlsx]extra_Bioplastic'!E981)," ",'Q:\Abteilungsprojekte\Eng\EngData\PROJECT_Bioplastics\Renjie_Pan\05-Raw_Data\Lab_results\[LabSamples2025_Bioplastic_extra.xlsx]extra_Bioplastic'!E981)</f>
        <v/>
      </c>
      <c r="F981">
        <f>IF(ISBLANK('Q:\Abteilungsprojekte\Eng\EngData\PROJECT_Bioplastics\Renjie_Pan\05-Raw_Data\Lab_results\[LabSamples2025_Bioplastic_extra.xlsx]extra_Bioplastic'!F981)," ",'Q:\Abteilungsprojekte\Eng\EngData\PROJECT_Bioplastics\Renjie_Pan\05-Raw_Data\Lab_results\[LabSamples2025_Bioplastic_extra.xlsx]extra_Bioplastic'!F981)</f>
        <v/>
      </c>
      <c r="G981">
        <f>IF(ISBLANK('Q:\Abteilungsprojekte\Eng\EngData\PROJECT_Bioplastics\Renjie_Pan\05-Raw_Data\Lab_results\[LabSamples2025_Bioplastic_extra.xlsx]extra_Bioplastic'!G981)," ",'Q:\Abteilungsprojekte\Eng\EngData\PROJECT_Bioplastics\Renjie_Pan\05-Raw_Data\Lab_results\[LabSamples2025_Bioplastic_extra.xlsx]extra_Bioplastic'!G981)</f>
        <v/>
      </c>
      <c r="H981">
        <f>IF(ISBLANK('Q:\Abteilungsprojekte\Eng\EngData\PROJECT_Bioplastics\Renjie_Pan\05-Raw_Data\Lab_results\[LabSamples2025_Bioplastic_extra.xlsx]extra_Bioplastic'!H981)," ",'Q:\Abteilungsprojekte\Eng\EngData\PROJECT_Bioplastics\Renjie_Pan\05-Raw_Data\Lab_results\[LabSamples2025_Bioplastic_extra.xlsx]extra_Bioplastic'!H981)</f>
        <v/>
      </c>
    </row>
    <row r="982">
      <c r="A982">
        <f>IF(ISBLANK('Q:\Abteilungsprojekte\Eng\EngData\PROJECT_Bioplastics\Renjie_Pan\05-Raw_Data\Lab_results\[LabSamples2025_Bioplastic_extra.xlsx]extra_Bioplastic'!A982)," ",'Q:\Abteilungsprojekte\Eng\EngData\PROJECT_Bioplastics\Renjie_Pan\05-Raw_Data\Lab_results\[LabSamples2025_Bioplastic_extra.xlsx]extra_Bioplastic'!A982)</f>
        <v/>
      </c>
      <c r="B982">
        <f>IF(ISBLANK('Q:\Abteilungsprojekte\Eng\EngData\PROJECT_Bioplastics\Renjie_Pan\05-Raw_Data\Lab_results\[LabSamples2025_Bioplastic_extra.xlsx]extra_Bioplastic'!B982)," ",'Q:\Abteilungsprojekte\Eng\EngData\PROJECT_Bioplastics\Renjie_Pan\05-Raw_Data\Lab_results\[LabSamples2025_Bioplastic_extra.xlsx]extra_Bioplastic'!B982)</f>
        <v/>
      </c>
      <c r="C982">
        <f>IF(ISBLANK('Q:\Abteilungsprojekte\Eng\EngData\PROJECT_Bioplastics\Renjie_Pan\05-Raw_Data\Lab_results\[LabSamples2025_Bioplastic_extra.xlsx]extra_Bioplastic'!C982)," ",'Q:\Abteilungsprojekte\Eng\EngData\PROJECT_Bioplastics\Renjie_Pan\05-Raw_Data\Lab_results\[LabSamples2025_Bioplastic_extra.xlsx]extra_Bioplastic'!C982)</f>
        <v/>
      </c>
      <c r="D982">
        <f>IF(ISBLANK('Q:\Abteilungsprojekte\Eng\EngData\PROJECT_Bioplastics\Renjie_Pan\05-Raw_Data\Lab_results\[LabSamples2025_Bioplastic_extra.xlsx]extra_Bioplastic'!D982)," ",'Q:\Abteilungsprojekte\Eng\EngData\PROJECT_Bioplastics\Renjie_Pan\05-Raw_Data\Lab_results\[LabSamples2025_Bioplastic_extra.xlsx]extra_Bioplastic'!D982)</f>
        <v/>
      </c>
      <c r="E982">
        <f>IF(ISBLANK('Q:\Abteilungsprojekte\Eng\EngData\PROJECT_Bioplastics\Renjie_Pan\05-Raw_Data\Lab_results\[LabSamples2025_Bioplastic_extra.xlsx]extra_Bioplastic'!E982)," ",'Q:\Abteilungsprojekte\Eng\EngData\PROJECT_Bioplastics\Renjie_Pan\05-Raw_Data\Lab_results\[LabSamples2025_Bioplastic_extra.xlsx]extra_Bioplastic'!E982)</f>
        <v/>
      </c>
      <c r="F982">
        <f>IF(ISBLANK('Q:\Abteilungsprojekte\Eng\EngData\PROJECT_Bioplastics\Renjie_Pan\05-Raw_Data\Lab_results\[LabSamples2025_Bioplastic_extra.xlsx]extra_Bioplastic'!F982)," ",'Q:\Abteilungsprojekte\Eng\EngData\PROJECT_Bioplastics\Renjie_Pan\05-Raw_Data\Lab_results\[LabSamples2025_Bioplastic_extra.xlsx]extra_Bioplastic'!F982)</f>
        <v/>
      </c>
      <c r="G982">
        <f>IF(ISBLANK('Q:\Abteilungsprojekte\Eng\EngData\PROJECT_Bioplastics\Renjie_Pan\05-Raw_Data\Lab_results\[LabSamples2025_Bioplastic_extra.xlsx]extra_Bioplastic'!G982)," ",'Q:\Abteilungsprojekte\Eng\EngData\PROJECT_Bioplastics\Renjie_Pan\05-Raw_Data\Lab_results\[LabSamples2025_Bioplastic_extra.xlsx]extra_Bioplastic'!G982)</f>
        <v/>
      </c>
      <c r="H982">
        <f>IF(ISBLANK('Q:\Abteilungsprojekte\Eng\EngData\PROJECT_Bioplastics\Renjie_Pan\05-Raw_Data\Lab_results\[LabSamples2025_Bioplastic_extra.xlsx]extra_Bioplastic'!H982)," ",'Q:\Abteilungsprojekte\Eng\EngData\PROJECT_Bioplastics\Renjie_Pan\05-Raw_Data\Lab_results\[LabSamples2025_Bioplastic_extra.xlsx]extra_Bioplastic'!H982)</f>
        <v/>
      </c>
    </row>
    <row r="983">
      <c r="A983">
        <f>IF(ISBLANK('Q:\Abteilungsprojekte\Eng\EngData\PROJECT_Bioplastics\Renjie_Pan\05-Raw_Data\Lab_results\[LabSamples2025_Bioplastic_extra.xlsx]extra_Bioplastic'!A983)," ",'Q:\Abteilungsprojekte\Eng\EngData\PROJECT_Bioplastics\Renjie_Pan\05-Raw_Data\Lab_results\[LabSamples2025_Bioplastic_extra.xlsx]extra_Bioplastic'!A983)</f>
        <v/>
      </c>
      <c r="B983">
        <f>IF(ISBLANK('Q:\Abteilungsprojekte\Eng\EngData\PROJECT_Bioplastics\Renjie_Pan\05-Raw_Data\Lab_results\[LabSamples2025_Bioplastic_extra.xlsx]extra_Bioplastic'!B983)," ",'Q:\Abteilungsprojekte\Eng\EngData\PROJECT_Bioplastics\Renjie_Pan\05-Raw_Data\Lab_results\[LabSamples2025_Bioplastic_extra.xlsx]extra_Bioplastic'!B983)</f>
        <v/>
      </c>
      <c r="C983">
        <f>IF(ISBLANK('Q:\Abteilungsprojekte\Eng\EngData\PROJECT_Bioplastics\Renjie_Pan\05-Raw_Data\Lab_results\[LabSamples2025_Bioplastic_extra.xlsx]extra_Bioplastic'!C983)," ",'Q:\Abteilungsprojekte\Eng\EngData\PROJECT_Bioplastics\Renjie_Pan\05-Raw_Data\Lab_results\[LabSamples2025_Bioplastic_extra.xlsx]extra_Bioplastic'!C983)</f>
        <v/>
      </c>
      <c r="D983">
        <f>IF(ISBLANK('Q:\Abteilungsprojekte\Eng\EngData\PROJECT_Bioplastics\Renjie_Pan\05-Raw_Data\Lab_results\[LabSamples2025_Bioplastic_extra.xlsx]extra_Bioplastic'!D983)," ",'Q:\Abteilungsprojekte\Eng\EngData\PROJECT_Bioplastics\Renjie_Pan\05-Raw_Data\Lab_results\[LabSamples2025_Bioplastic_extra.xlsx]extra_Bioplastic'!D983)</f>
        <v/>
      </c>
      <c r="E983">
        <f>IF(ISBLANK('Q:\Abteilungsprojekte\Eng\EngData\PROJECT_Bioplastics\Renjie_Pan\05-Raw_Data\Lab_results\[LabSamples2025_Bioplastic_extra.xlsx]extra_Bioplastic'!E983)," ",'Q:\Abteilungsprojekte\Eng\EngData\PROJECT_Bioplastics\Renjie_Pan\05-Raw_Data\Lab_results\[LabSamples2025_Bioplastic_extra.xlsx]extra_Bioplastic'!E983)</f>
        <v/>
      </c>
      <c r="F983">
        <f>IF(ISBLANK('Q:\Abteilungsprojekte\Eng\EngData\PROJECT_Bioplastics\Renjie_Pan\05-Raw_Data\Lab_results\[LabSamples2025_Bioplastic_extra.xlsx]extra_Bioplastic'!F983)," ",'Q:\Abteilungsprojekte\Eng\EngData\PROJECT_Bioplastics\Renjie_Pan\05-Raw_Data\Lab_results\[LabSamples2025_Bioplastic_extra.xlsx]extra_Bioplastic'!F983)</f>
        <v/>
      </c>
      <c r="G983">
        <f>IF(ISBLANK('Q:\Abteilungsprojekte\Eng\EngData\PROJECT_Bioplastics\Renjie_Pan\05-Raw_Data\Lab_results\[LabSamples2025_Bioplastic_extra.xlsx]extra_Bioplastic'!G983)," ",'Q:\Abteilungsprojekte\Eng\EngData\PROJECT_Bioplastics\Renjie_Pan\05-Raw_Data\Lab_results\[LabSamples2025_Bioplastic_extra.xlsx]extra_Bioplastic'!G983)</f>
        <v/>
      </c>
      <c r="H983">
        <f>IF(ISBLANK('Q:\Abteilungsprojekte\Eng\EngData\PROJECT_Bioplastics\Renjie_Pan\05-Raw_Data\Lab_results\[LabSamples2025_Bioplastic_extra.xlsx]extra_Bioplastic'!H983)," ",'Q:\Abteilungsprojekte\Eng\EngData\PROJECT_Bioplastics\Renjie_Pan\05-Raw_Data\Lab_results\[LabSamples2025_Bioplastic_extra.xlsx]extra_Bioplastic'!H983)</f>
        <v/>
      </c>
    </row>
    <row r="984">
      <c r="A984">
        <f>IF(ISBLANK('Q:\Abteilungsprojekte\Eng\EngData\PROJECT_Bioplastics\Renjie_Pan\05-Raw_Data\Lab_results\[LabSamples2025_Bioplastic_extra.xlsx]extra_Bioplastic'!A984)," ",'Q:\Abteilungsprojekte\Eng\EngData\PROJECT_Bioplastics\Renjie_Pan\05-Raw_Data\Lab_results\[LabSamples2025_Bioplastic_extra.xlsx]extra_Bioplastic'!A984)</f>
        <v/>
      </c>
      <c r="B984">
        <f>IF(ISBLANK('Q:\Abteilungsprojekte\Eng\EngData\PROJECT_Bioplastics\Renjie_Pan\05-Raw_Data\Lab_results\[LabSamples2025_Bioplastic_extra.xlsx]extra_Bioplastic'!B984)," ",'Q:\Abteilungsprojekte\Eng\EngData\PROJECT_Bioplastics\Renjie_Pan\05-Raw_Data\Lab_results\[LabSamples2025_Bioplastic_extra.xlsx]extra_Bioplastic'!B984)</f>
        <v/>
      </c>
      <c r="C984">
        <f>IF(ISBLANK('Q:\Abteilungsprojekte\Eng\EngData\PROJECT_Bioplastics\Renjie_Pan\05-Raw_Data\Lab_results\[LabSamples2025_Bioplastic_extra.xlsx]extra_Bioplastic'!C984)," ",'Q:\Abteilungsprojekte\Eng\EngData\PROJECT_Bioplastics\Renjie_Pan\05-Raw_Data\Lab_results\[LabSamples2025_Bioplastic_extra.xlsx]extra_Bioplastic'!C984)</f>
        <v/>
      </c>
      <c r="D984">
        <f>IF(ISBLANK('Q:\Abteilungsprojekte\Eng\EngData\PROJECT_Bioplastics\Renjie_Pan\05-Raw_Data\Lab_results\[LabSamples2025_Bioplastic_extra.xlsx]extra_Bioplastic'!D984)," ",'Q:\Abteilungsprojekte\Eng\EngData\PROJECT_Bioplastics\Renjie_Pan\05-Raw_Data\Lab_results\[LabSamples2025_Bioplastic_extra.xlsx]extra_Bioplastic'!D984)</f>
        <v/>
      </c>
      <c r="E984">
        <f>IF(ISBLANK('Q:\Abteilungsprojekte\Eng\EngData\PROJECT_Bioplastics\Renjie_Pan\05-Raw_Data\Lab_results\[LabSamples2025_Bioplastic_extra.xlsx]extra_Bioplastic'!E984)," ",'Q:\Abteilungsprojekte\Eng\EngData\PROJECT_Bioplastics\Renjie_Pan\05-Raw_Data\Lab_results\[LabSamples2025_Bioplastic_extra.xlsx]extra_Bioplastic'!E984)</f>
        <v/>
      </c>
      <c r="F984">
        <f>IF(ISBLANK('Q:\Abteilungsprojekte\Eng\EngData\PROJECT_Bioplastics\Renjie_Pan\05-Raw_Data\Lab_results\[LabSamples2025_Bioplastic_extra.xlsx]extra_Bioplastic'!F984)," ",'Q:\Abteilungsprojekte\Eng\EngData\PROJECT_Bioplastics\Renjie_Pan\05-Raw_Data\Lab_results\[LabSamples2025_Bioplastic_extra.xlsx]extra_Bioplastic'!F984)</f>
        <v/>
      </c>
      <c r="G984">
        <f>IF(ISBLANK('Q:\Abteilungsprojekte\Eng\EngData\PROJECT_Bioplastics\Renjie_Pan\05-Raw_Data\Lab_results\[LabSamples2025_Bioplastic_extra.xlsx]extra_Bioplastic'!G984)," ",'Q:\Abteilungsprojekte\Eng\EngData\PROJECT_Bioplastics\Renjie_Pan\05-Raw_Data\Lab_results\[LabSamples2025_Bioplastic_extra.xlsx]extra_Bioplastic'!G984)</f>
        <v/>
      </c>
      <c r="H984">
        <f>IF(ISBLANK('Q:\Abteilungsprojekte\Eng\EngData\PROJECT_Bioplastics\Renjie_Pan\05-Raw_Data\Lab_results\[LabSamples2025_Bioplastic_extra.xlsx]extra_Bioplastic'!H984)," ",'Q:\Abteilungsprojekte\Eng\EngData\PROJECT_Bioplastics\Renjie_Pan\05-Raw_Data\Lab_results\[LabSamples2025_Bioplastic_extra.xlsx]extra_Bioplastic'!H984)</f>
        <v/>
      </c>
    </row>
    <row r="985">
      <c r="A985">
        <f>IF(ISBLANK('Q:\Abteilungsprojekte\Eng\EngData\PROJECT_Bioplastics\Renjie_Pan\05-Raw_Data\Lab_results\[LabSamples2025_Bioplastic_extra.xlsx]extra_Bioplastic'!A985)," ",'Q:\Abteilungsprojekte\Eng\EngData\PROJECT_Bioplastics\Renjie_Pan\05-Raw_Data\Lab_results\[LabSamples2025_Bioplastic_extra.xlsx]extra_Bioplastic'!A985)</f>
        <v/>
      </c>
      <c r="B985">
        <f>IF(ISBLANK('Q:\Abteilungsprojekte\Eng\EngData\PROJECT_Bioplastics\Renjie_Pan\05-Raw_Data\Lab_results\[LabSamples2025_Bioplastic_extra.xlsx]extra_Bioplastic'!B985)," ",'Q:\Abteilungsprojekte\Eng\EngData\PROJECT_Bioplastics\Renjie_Pan\05-Raw_Data\Lab_results\[LabSamples2025_Bioplastic_extra.xlsx]extra_Bioplastic'!B985)</f>
        <v/>
      </c>
      <c r="C985">
        <f>IF(ISBLANK('Q:\Abteilungsprojekte\Eng\EngData\PROJECT_Bioplastics\Renjie_Pan\05-Raw_Data\Lab_results\[LabSamples2025_Bioplastic_extra.xlsx]extra_Bioplastic'!C985)," ",'Q:\Abteilungsprojekte\Eng\EngData\PROJECT_Bioplastics\Renjie_Pan\05-Raw_Data\Lab_results\[LabSamples2025_Bioplastic_extra.xlsx]extra_Bioplastic'!C985)</f>
        <v/>
      </c>
      <c r="D985">
        <f>IF(ISBLANK('Q:\Abteilungsprojekte\Eng\EngData\PROJECT_Bioplastics\Renjie_Pan\05-Raw_Data\Lab_results\[LabSamples2025_Bioplastic_extra.xlsx]extra_Bioplastic'!D985)," ",'Q:\Abteilungsprojekte\Eng\EngData\PROJECT_Bioplastics\Renjie_Pan\05-Raw_Data\Lab_results\[LabSamples2025_Bioplastic_extra.xlsx]extra_Bioplastic'!D985)</f>
        <v/>
      </c>
      <c r="E985">
        <f>IF(ISBLANK('Q:\Abteilungsprojekte\Eng\EngData\PROJECT_Bioplastics\Renjie_Pan\05-Raw_Data\Lab_results\[LabSamples2025_Bioplastic_extra.xlsx]extra_Bioplastic'!E985)," ",'Q:\Abteilungsprojekte\Eng\EngData\PROJECT_Bioplastics\Renjie_Pan\05-Raw_Data\Lab_results\[LabSamples2025_Bioplastic_extra.xlsx]extra_Bioplastic'!E985)</f>
        <v/>
      </c>
      <c r="F985">
        <f>IF(ISBLANK('Q:\Abteilungsprojekte\Eng\EngData\PROJECT_Bioplastics\Renjie_Pan\05-Raw_Data\Lab_results\[LabSamples2025_Bioplastic_extra.xlsx]extra_Bioplastic'!F985)," ",'Q:\Abteilungsprojekte\Eng\EngData\PROJECT_Bioplastics\Renjie_Pan\05-Raw_Data\Lab_results\[LabSamples2025_Bioplastic_extra.xlsx]extra_Bioplastic'!F985)</f>
        <v/>
      </c>
      <c r="G985">
        <f>IF(ISBLANK('Q:\Abteilungsprojekte\Eng\EngData\PROJECT_Bioplastics\Renjie_Pan\05-Raw_Data\Lab_results\[LabSamples2025_Bioplastic_extra.xlsx]extra_Bioplastic'!G985)," ",'Q:\Abteilungsprojekte\Eng\EngData\PROJECT_Bioplastics\Renjie_Pan\05-Raw_Data\Lab_results\[LabSamples2025_Bioplastic_extra.xlsx]extra_Bioplastic'!G985)</f>
        <v/>
      </c>
      <c r="H985">
        <f>IF(ISBLANK('Q:\Abteilungsprojekte\Eng\EngData\PROJECT_Bioplastics\Renjie_Pan\05-Raw_Data\Lab_results\[LabSamples2025_Bioplastic_extra.xlsx]extra_Bioplastic'!H985)," ",'Q:\Abteilungsprojekte\Eng\EngData\PROJECT_Bioplastics\Renjie_Pan\05-Raw_Data\Lab_results\[LabSamples2025_Bioplastic_extra.xlsx]extra_Bioplastic'!H985)</f>
        <v/>
      </c>
    </row>
    <row r="986">
      <c r="A986">
        <f>IF(ISBLANK('Q:\Abteilungsprojekte\Eng\EngData\PROJECT_Bioplastics\Renjie_Pan\05-Raw_Data\Lab_results\[LabSamples2025_Bioplastic_extra.xlsx]extra_Bioplastic'!A986)," ",'Q:\Abteilungsprojekte\Eng\EngData\PROJECT_Bioplastics\Renjie_Pan\05-Raw_Data\Lab_results\[LabSamples2025_Bioplastic_extra.xlsx]extra_Bioplastic'!A986)</f>
        <v/>
      </c>
      <c r="B986">
        <f>IF(ISBLANK('Q:\Abteilungsprojekte\Eng\EngData\PROJECT_Bioplastics\Renjie_Pan\05-Raw_Data\Lab_results\[LabSamples2025_Bioplastic_extra.xlsx]extra_Bioplastic'!B986)," ",'Q:\Abteilungsprojekte\Eng\EngData\PROJECT_Bioplastics\Renjie_Pan\05-Raw_Data\Lab_results\[LabSamples2025_Bioplastic_extra.xlsx]extra_Bioplastic'!B986)</f>
        <v/>
      </c>
      <c r="C986">
        <f>IF(ISBLANK('Q:\Abteilungsprojekte\Eng\EngData\PROJECT_Bioplastics\Renjie_Pan\05-Raw_Data\Lab_results\[LabSamples2025_Bioplastic_extra.xlsx]extra_Bioplastic'!C986)," ",'Q:\Abteilungsprojekte\Eng\EngData\PROJECT_Bioplastics\Renjie_Pan\05-Raw_Data\Lab_results\[LabSamples2025_Bioplastic_extra.xlsx]extra_Bioplastic'!C986)</f>
        <v/>
      </c>
      <c r="D986">
        <f>IF(ISBLANK('Q:\Abteilungsprojekte\Eng\EngData\PROJECT_Bioplastics\Renjie_Pan\05-Raw_Data\Lab_results\[LabSamples2025_Bioplastic_extra.xlsx]extra_Bioplastic'!D986)," ",'Q:\Abteilungsprojekte\Eng\EngData\PROJECT_Bioplastics\Renjie_Pan\05-Raw_Data\Lab_results\[LabSamples2025_Bioplastic_extra.xlsx]extra_Bioplastic'!D986)</f>
        <v/>
      </c>
      <c r="E986">
        <f>IF(ISBLANK('Q:\Abteilungsprojekte\Eng\EngData\PROJECT_Bioplastics\Renjie_Pan\05-Raw_Data\Lab_results\[LabSamples2025_Bioplastic_extra.xlsx]extra_Bioplastic'!E986)," ",'Q:\Abteilungsprojekte\Eng\EngData\PROJECT_Bioplastics\Renjie_Pan\05-Raw_Data\Lab_results\[LabSamples2025_Bioplastic_extra.xlsx]extra_Bioplastic'!E986)</f>
        <v/>
      </c>
      <c r="F986">
        <f>IF(ISBLANK('Q:\Abteilungsprojekte\Eng\EngData\PROJECT_Bioplastics\Renjie_Pan\05-Raw_Data\Lab_results\[LabSamples2025_Bioplastic_extra.xlsx]extra_Bioplastic'!F986)," ",'Q:\Abteilungsprojekte\Eng\EngData\PROJECT_Bioplastics\Renjie_Pan\05-Raw_Data\Lab_results\[LabSamples2025_Bioplastic_extra.xlsx]extra_Bioplastic'!F986)</f>
        <v/>
      </c>
      <c r="G986">
        <f>IF(ISBLANK('Q:\Abteilungsprojekte\Eng\EngData\PROJECT_Bioplastics\Renjie_Pan\05-Raw_Data\Lab_results\[LabSamples2025_Bioplastic_extra.xlsx]extra_Bioplastic'!G986)," ",'Q:\Abteilungsprojekte\Eng\EngData\PROJECT_Bioplastics\Renjie_Pan\05-Raw_Data\Lab_results\[LabSamples2025_Bioplastic_extra.xlsx]extra_Bioplastic'!G986)</f>
        <v/>
      </c>
      <c r="H986">
        <f>IF(ISBLANK('Q:\Abteilungsprojekte\Eng\EngData\PROJECT_Bioplastics\Renjie_Pan\05-Raw_Data\Lab_results\[LabSamples2025_Bioplastic_extra.xlsx]extra_Bioplastic'!H986)," ",'Q:\Abteilungsprojekte\Eng\EngData\PROJECT_Bioplastics\Renjie_Pan\05-Raw_Data\Lab_results\[LabSamples2025_Bioplastic_extra.xlsx]extra_Bioplastic'!H986)</f>
        <v/>
      </c>
    </row>
    <row r="987">
      <c r="A987">
        <f>IF(ISBLANK('Q:\Abteilungsprojekte\Eng\EngData\PROJECT_Bioplastics\Renjie_Pan\05-Raw_Data\Lab_results\[LabSamples2025_Bioplastic_extra.xlsx]extra_Bioplastic'!A987)," ",'Q:\Abteilungsprojekte\Eng\EngData\PROJECT_Bioplastics\Renjie_Pan\05-Raw_Data\Lab_results\[LabSamples2025_Bioplastic_extra.xlsx]extra_Bioplastic'!A987)</f>
        <v/>
      </c>
      <c r="B987">
        <f>IF(ISBLANK('Q:\Abteilungsprojekte\Eng\EngData\PROJECT_Bioplastics\Renjie_Pan\05-Raw_Data\Lab_results\[LabSamples2025_Bioplastic_extra.xlsx]extra_Bioplastic'!B987)," ",'Q:\Abteilungsprojekte\Eng\EngData\PROJECT_Bioplastics\Renjie_Pan\05-Raw_Data\Lab_results\[LabSamples2025_Bioplastic_extra.xlsx]extra_Bioplastic'!B987)</f>
        <v/>
      </c>
      <c r="C987">
        <f>IF(ISBLANK('Q:\Abteilungsprojekte\Eng\EngData\PROJECT_Bioplastics\Renjie_Pan\05-Raw_Data\Lab_results\[LabSamples2025_Bioplastic_extra.xlsx]extra_Bioplastic'!C987)," ",'Q:\Abteilungsprojekte\Eng\EngData\PROJECT_Bioplastics\Renjie_Pan\05-Raw_Data\Lab_results\[LabSamples2025_Bioplastic_extra.xlsx]extra_Bioplastic'!C987)</f>
        <v/>
      </c>
      <c r="D987">
        <f>IF(ISBLANK('Q:\Abteilungsprojekte\Eng\EngData\PROJECT_Bioplastics\Renjie_Pan\05-Raw_Data\Lab_results\[LabSamples2025_Bioplastic_extra.xlsx]extra_Bioplastic'!D987)," ",'Q:\Abteilungsprojekte\Eng\EngData\PROJECT_Bioplastics\Renjie_Pan\05-Raw_Data\Lab_results\[LabSamples2025_Bioplastic_extra.xlsx]extra_Bioplastic'!D987)</f>
        <v/>
      </c>
      <c r="E987">
        <f>IF(ISBLANK('Q:\Abteilungsprojekte\Eng\EngData\PROJECT_Bioplastics\Renjie_Pan\05-Raw_Data\Lab_results\[LabSamples2025_Bioplastic_extra.xlsx]extra_Bioplastic'!E987)," ",'Q:\Abteilungsprojekte\Eng\EngData\PROJECT_Bioplastics\Renjie_Pan\05-Raw_Data\Lab_results\[LabSamples2025_Bioplastic_extra.xlsx]extra_Bioplastic'!E987)</f>
        <v/>
      </c>
      <c r="F987">
        <f>IF(ISBLANK('Q:\Abteilungsprojekte\Eng\EngData\PROJECT_Bioplastics\Renjie_Pan\05-Raw_Data\Lab_results\[LabSamples2025_Bioplastic_extra.xlsx]extra_Bioplastic'!F987)," ",'Q:\Abteilungsprojekte\Eng\EngData\PROJECT_Bioplastics\Renjie_Pan\05-Raw_Data\Lab_results\[LabSamples2025_Bioplastic_extra.xlsx]extra_Bioplastic'!F987)</f>
        <v/>
      </c>
      <c r="G987">
        <f>IF(ISBLANK('Q:\Abteilungsprojekte\Eng\EngData\PROJECT_Bioplastics\Renjie_Pan\05-Raw_Data\Lab_results\[LabSamples2025_Bioplastic_extra.xlsx]extra_Bioplastic'!G987)," ",'Q:\Abteilungsprojekte\Eng\EngData\PROJECT_Bioplastics\Renjie_Pan\05-Raw_Data\Lab_results\[LabSamples2025_Bioplastic_extra.xlsx]extra_Bioplastic'!G987)</f>
        <v/>
      </c>
      <c r="H987">
        <f>IF(ISBLANK('Q:\Abteilungsprojekte\Eng\EngData\PROJECT_Bioplastics\Renjie_Pan\05-Raw_Data\Lab_results\[LabSamples2025_Bioplastic_extra.xlsx]extra_Bioplastic'!H987)," ",'Q:\Abteilungsprojekte\Eng\EngData\PROJECT_Bioplastics\Renjie_Pan\05-Raw_Data\Lab_results\[LabSamples2025_Bioplastic_extra.xlsx]extra_Bioplastic'!H987)</f>
        <v/>
      </c>
    </row>
    <row r="988">
      <c r="A988">
        <f>IF(ISBLANK('Q:\Abteilungsprojekte\Eng\EngData\PROJECT_Bioplastics\Renjie_Pan\05-Raw_Data\Lab_results\[LabSamples2025_Bioplastic_extra.xlsx]extra_Bioplastic'!A988)," ",'Q:\Abteilungsprojekte\Eng\EngData\PROJECT_Bioplastics\Renjie_Pan\05-Raw_Data\Lab_results\[LabSamples2025_Bioplastic_extra.xlsx]extra_Bioplastic'!A988)</f>
        <v/>
      </c>
      <c r="B988">
        <f>IF(ISBLANK('Q:\Abteilungsprojekte\Eng\EngData\PROJECT_Bioplastics\Renjie_Pan\05-Raw_Data\Lab_results\[LabSamples2025_Bioplastic_extra.xlsx]extra_Bioplastic'!B988)," ",'Q:\Abteilungsprojekte\Eng\EngData\PROJECT_Bioplastics\Renjie_Pan\05-Raw_Data\Lab_results\[LabSamples2025_Bioplastic_extra.xlsx]extra_Bioplastic'!B988)</f>
        <v/>
      </c>
      <c r="C988">
        <f>IF(ISBLANK('Q:\Abteilungsprojekte\Eng\EngData\PROJECT_Bioplastics\Renjie_Pan\05-Raw_Data\Lab_results\[LabSamples2025_Bioplastic_extra.xlsx]extra_Bioplastic'!C988)," ",'Q:\Abteilungsprojekte\Eng\EngData\PROJECT_Bioplastics\Renjie_Pan\05-Raw_Data\Lab_results\[LabSamples2025_Bioplastic_extra.xlsx]extra_Bioplastic'!C988)</f>
        <v/>
      </c>
      <c r="D988">
        <f>IF(ISBLANK('Q:\Abteilungsprojekte\Eng\EngData\PROJECT_Bioplastics\Renjie_Pan\05-Raw_Data\Lab_results\[LabSamples2025_Bioplastic_extra.xlsx]extra_Bioplastic'!D988)," ",'Q:\Abteilungsprojekte\Eng\EngData\PROJECT_Bioplastics\Renjie_Pan\05-Raw_Data\Lab_results\[LabSamples2025_Bioplastic_extra.xlsx]extra_Bioplastic'!D988)</f>
        <v/>
      </c>
      <c r="E988">
        <f>IF(ISBLANK('Q:\Abteilungsprojekte\Eng\EngData\PROJECT_Bioplastics\Renjie_Pan\05-Raw_Data\Lab_results\[LabSamples2025_Bioplastic_extra.xlsx]extra_Bioplastic'!E988)," ",'Q:\Abteilungsprojekte\Eng\EngData\PROJECT_Bioplastics\Renjie_Pan\05-Raw_Data\Lab_results\[LabSamples2025_Bioplastic_extra.xlsx]extra_Bioplastic'!E988)</f>
        <v/>
      </c>
      <c r="F988">
        <f>IF(ISBLANK('Q:\Abteilungsprojekte\Eng\EngData\PROJECT_Bioplastics\Renjie_Pan\05-Raw_Data\Lab_results\[LabSamples2025_Bioplastic_extra.xlsx]extra_Bioplastic'!F988)," ",'Q:\Abteilungsprojekte\Eng\EngData\PROJECT_Bioplastics\Renjie_Pan\05-Raw_Data\Lab_results\[LabSamples2025_Bioplastic_extra.xlsx]extra_Bioplastic'!F988)</f>
        <v/>
      </c>
      <c r="G988">
        <f>IF(ISBLANK('Q:\Abteilungsprojekte\Eng\EngData\PROJECT_Bioplastics\Renjie_Pan\05-Raw_Data\Lab_results\[LabSamples2025_Bioplastic_extra.xlsx]extra_Bioplastic'!G988)," ",'Q:\Abteilungsprojekte\Eng\EngData\PROJECT_Bioplastics\Renjie_Pan\05-Raw_Data\Lab_results\[LabSamples2025_Bioplastic_extra.xlsx]extra_Bioplastic'!G988)</f>
        <v/>
      </c>
      <c r="H988">
        <f>IF(ISBLANK('Q:\Abteilungsprojekte\Eng\EngData\PROJECT_Bioplastics\Renjie_Pan\05-Raw_Data\Lab_results\[LabSamples2025_Bioplastic_extra.xlsx]extra_Bioplastic'!H988)," ",'Q:\Abteilungsprojekte\Eng\EngData\PROJECT_Bioplastics\Renjie_Pan\05-Raw_Data\Lab_results\[LabSamples2025_Bioplastic_extra.xlsx]extra_Bioplastic'!H988)</f>
        <v/>
      </c>
    </row>
    <row r="989">
      <c r="A989">
        <f>IF(ISBLANK('Q:\Abteilungsprojekte\Eng\EngData\PROJECT_Bioplastics\Renjie_Pan\05-Raw_Data\Lab_results\[LabSamples2025_Bioplastic_extra.xlsx]extra_Bioplastic'!A989)," ",'Q:\Abteilungsprojekte\Eng\EngData\PROJECT_Bioplastics\Renjie_Pan\05-Raw_Data\Lab_results\[LabSamples2025_Bioplastic_extra.xlsx]extra_Bioplastic'!A989)</f>
        <v/>
      </c>
      <c r="B989">
        <f>IF(ISBLANK('Q:\Abteilungsprojekte\Eng\EngData\PROJECT_Bioplastics\Renjie_Pan\05-Raw_Data\Lab_results\[LabSamples2025_Bioplastic_extra.xlsx]extra_Bioplastic'!B989)," ",'Q:\Abteilungsprojekte\Eng\EngData\PROJECT_Bioplastics\Renjie_Pan\05-Raw_Data\Lab_results\[LabSamples2025_Bioplastic_extra.xlsx]extra_Bioplastic'!B989)</f>
        <v/>
      </c>
      <c r="C989">
        <f>IF(ISBLANK('Q:\Abteilungsprojekte\Eng\EngData\PROJECT_Bioplastics\Renjie_Pan\05-Raw_Data\Lab_results\[LabSamples2025_Bioplastic_extra.xlsx]extra_Bioplastic'!C989)," ",'Q:\Abteilungsprojekte\Eng\EngData\PROJECT_Bioplastics\Renjie_Pan\05-Raw_Data\Lab_results\[LabSamples2025_Bioplastic_extra.xlsx]extra_Bioplastic'!C989)</f>
        <v/>
      </c>
      <c r="D989">
        <f>IF(ISBLANK('Q:\Abteilungsprojekte\Eng\EngData\PROJECT_Bioplastics\Renjie_Pan\05-Raw_Data\Lab_results\[LabSamples2025_Bioplastic_extra.xlsx]extra_Bioplastic'!D989)," ",'Q:\Abteilungsprojekte\Eng\EngData\PROJECT_Bioplastics\Renjie_Pan\05-Raw_Data\Lab_results\[LabSamples2025_Bioplastic_extra.xlsx]extra_Bioplastic'!D989)</f>
        <v/>
      </c>
      <c r="E989">
        <f>IF(ISBLANK('Q:\Abteilungsprojekte\Eng\EngData\PROJECT_Bioplastics\Renjie_Pan\05-Raw_Data\Lab_results\[LabSamples2025_Bioplastic_extra.xlsx]extra_Bioplastic'!E989)," ",'Q:\Abteilungsprojekte\Eng\EngData\PROJECT_Bioplastics\Renjie_Pan\05-Raw_Data\Lab_results\[LabSamples2025_Bioplastic_extra.xlsx]extra_Bioplastic'!E989)</f>
        <v/>
      </c>
      <c r="F989">
        <f>IF(ISBLANK('Q:\Abteilungsprojekte\Eng\EngData\PROJECT_Bioplastics\Renjie_Pan\05-Raw_Data\Lab_results\[LabSamples2025_Bioplastic_extra.xlsx]extra_Bioplastic'!F989)," ",'Q:\Abteilungsprojekte\Eng\EngData\PROJECT_Bioplastics\Renjie_Pan\05-Raw_Data\Lab_results\[LabSamples2025_Bioplastic_extra.xlsx]extra_Bioplastic'!F989)</f>
        <v/>
      </c>
      <c r="G989">
        <f>IF(ISBLANK('Q:\Abteilungsprojekte\Eng\EngData\PROJECT_Bioplastics\Renjie_Pan\05-Raw_Data\Lab_results\[LabSamples2025_Bioplastic_extra.xlsx]extra_Bioplastic'!G989)," ",'Q:\Abteilungsprojekte\Eng\EngData\PROJECT_Bioplastics\Renjie_Pan\05-Raw_Data\Lab_results\[LabSamples2025_Bioplastic_extra.xlsx]extra_Bioplastic'!G989)</f>
        <v/>
      </c>
      <c r="H989">
        <f>IF(ISBLANK('Q:\Abteilungsprojekte\Eng\EngData\PROJECT_Bioplastics\Renjie_Pan\05-Raw_Data\Lab_results\[LabSamples2025_Bioplastic_extra.xlsx]extra_Bioplastic'!H989)," ",'Q:\Abteilungsprojekte\Eng\EngData\PROJECT_Bioplastics\Renjie_Pan\05-Raw_Data\Lab_results\[LabSamples2025_Bioplastic_extra.xlsx]extra_Bioplastic'!H989)</f>
        <v/>
      </c>
    </row>
    <row r="990">
      <c r="A990">
        <f>IF(ISBLANK('Q:\Abteilungsprojekte\Eng\EngData\PROJECT_Bioplastics\Renjie_Pan\05-Raw_Data\Lab_results\[LabSamples2025_Bioplastic_extra.xlsx]extra_Bioplastic'!A990)," ",'Q:\Abteilungsprojekte\Eng\EngData\PROJECT_Bioplastics\Renjie_Pan\05-Raw_Data\Lab_results\[LabSamples2025_Bioplastic_extra.xlsx]extra_Bioplastic'!A990)</f>
        <v/>
      </c>
      <c r="B990">
        <f>IF(ISBLANK('Q:\Abteilungsprojekte\Eng\EngData\PROJECT_Bioplastics\Renjie_Pan\05-Raw_Data\Lab_results\[LabSamples2025_Bioplastic_extra.xlsx]extra_Bioplastic'!B990)," ",'Q:\Abteilungsprojekte\Eng\EngData\PROJECT_Bioplastics\Renjie_Pan\05-Raw_Data\Lab_results\[LabSamples2025_Bioplastic_extra.xlsx]extra_Bioplastic'!B990)</f>
        <v/>
      </c>
      <c r="C990">
        <f>IF(ISBLANK('Q:\Abteilungsprojekte\Eng\EngData\PROJECT_Bioplastics\Renjie_Pan\05-Raw_Data\Lab_results\[LabSamples2025_Bioplastic_extra.xlsx]extra_Bioplastic'!C990)," ",'Q:\Abteilungsprojekte\Eng\EngData\PROJECT_Bioplastics\Renjie_Pan\05-Raw_Data\Lab_results\[LabSamples2025_Bioplastic_extra.xlsx]extra_Bioplastic'!C990)</f>
        <v/>
      </c>
      <c r="D990">
        <f>IF(ISBLANK('Q:\Abteilungsprojekte\Eng\EngData\PROJECT_Bioplastics\Renjie_Pan\05-Raw_Data\Lab_results\[LabSamples2025_Bioplastic_extra.xlsx]extra_Bioplastic'!D990)," ",'Q:\Abteilungsprojekte\Eng\EngData\PROJECT_Bioplastics\Renjie_Pan\05-Raw_Data\Lab_results\[LabSamples2025_Bioplastic_extra.xlsx]extra_Bioplastic'!D990)</f>
        <v/>
      </c>
      <c r="E990">
        <f>IF(ISBLANK('Q:\Abteilungsprojekte\Eng\EngData\PROJECT_Bioplastics\Renjie_Pan\05-Raw_Data\Lab_results\[LabSamples2025_Bioplastic_extra.xlsx]extra_Bioplastic'!E990)," ",'Q:\Abteilungsprojekte\Eng\EngData\PROJECT_Bioplastics\Renjie_Pan\05-Raw_Data\Lab_results\[LabSamples2025_Bioplastic_extra.xlsx]extra_Bioplastic'!E990)</f>
        <v/>
      </c>
      <c r="F990">
        <f>IF(ISBLANK('Q:\Abteilungsprojekte\Eng\EngData\PROJECT_Bioplastics\Renjie_Pan\05-Raw_Data\Lab_results\[LabSamples2025_Bioplastic_extra.xlsx]extra_Bioplastic'!F990)," ",'Q:\Abteilungsprojekte\Eng\EngData\PROJECT_Bioplastics\Renjie_Pan\05-Raw_Data\Lab_results\[LabSamples2025_Bioplastic_extra.xlsx]extra_Bioplastic'!F990)</f>
        <v/>
      </c>
      <c r="G990">
        <f>IF(ISBLANK('Q:\Abteilungsprojekte\Eng\EngData\PROJECT_Bioplastics\Renjie_Pan\05-Raw_Data\Lab_results\[LabSamples2025_Bioplastic_extra.xlsx]extra_Bioplastic'!G990)," ",'Q:\Abteilungsprojekte\Eng\EngData\PROJECT_Bioplastics\Renjie_Pan\05-Raw_Data\Lab_results\[LabSamples2025_Bioplastic_extra.xlsx]extra_Bioplastic'!G990)</f>
        <v/>
      </c>
      <c r="H990">
        <f>IF(ISBLANK('Q:\Abteilungsprojekte\Eng\EngData\PROJECT_Bioplastics\Renjie_Pan\05-Raw_Data\Lab_results\[LabSamples2025_Bioplastic_extra.xlsx]extra_Bioplastic'!H990)," ",'Q:\Abteilungsprojekte\Eng\EngData\PROJECT_Bioplastics\Renjie_Pan\05-Raw_Data\Lab_results\[LabSamples2025_Bioplastic_extra.xlsx]extra_Bioplastic'!H990)</f>
        <v/>
      </c>
    </row>
    <row r="991">
      <c r="A991">
        <f>IF(ISBLANK('Q:\Abteilungsprojekte\Eng\EngData\PROJECT_Bioplastics\Renjie_Pan\05-Raw_Data\Lab_results\[LabSamples2025_Bioplastic_extra.xlsx]extra_Bioplastic'!A991)," ",'Q:\Abteilungsprojekte\Eng\EngData\PROJECT_Bioplastics\Renjie_Pan\05-Raw_Data\Lab_results\[LabSamples2025_Bioplastic_extra.xlsx]extra_Bioplastic'!A991)</f>
        <v/>
      </c>
      <c r="B991">
        <f>IF(ISBLANK('Q:\Abteilungsprojekte\Eng\EngData\PROJECT_Bioplastics\Renjie_Pan\05-Raw_Data\Lab_results\[LabSamples2025_Bioplastic_extra.xlsx]extra_Bioplastic'!B991)," ",'Q:\Abteilungsprojekte\Eng\EngData\PROJECT_Bioplastics\Renjie_Pan\05-Raw_Data\Lab_results\[LabSamples2025_Bioplastic_extra.xlsx]extra_Bioplastic'!B991)</f>
        <v/>
      </c>
      <c r="C991">
        <f>IF(ISBLANK('Q:\Abteilungsprojekte\Eng\EngData\PROJECT_Bioplastics\Renjie_Pan\05-Raw_Data\Lab_results\[LabSamples2025_Bioplastic_extra.xlsx]extra_Bioplastic'!C991)," ",'Q:\Abteilungsprojekte\Eng\EngData\PROJECT_Bioplastics\Renjie_Pan\05-Raw_Data\Lab_results\[LabSamples2025_Bioplastic_extra.xlsx]extra_Bioplastic'!C991)</f>
        <v/>
      </c>
      <c r="D991">
        <f>IF(ISBLANK('Q:\Abteilungsprojekte\Eng\EngData\PROJECT_Bioplastics\Renjie_Pan\05-Raw_Data\Lab_results\[LabSamples2025_Bioplastic_extra.xlsx]extra_Bioplastic'!D991)," ",'Q:\Abteilungsprojekte\Eng\EngData\PROJECT_Bioplastics\Renjie_Pan\05-Raw_Data\Lab_results\[LabSamples2025_Bioplastic_extra.xlsx]extra_Bioplastic'!D991)</f>
        <v/>
      </c>
      <c r="E991">
        <f>IF(ISBLANK('Q:\Abteilungsprojekte\Eng\EngData\PROJECT_Bioplastics\Renjie_Pan\05-Raw_Data\Lab_results\[LabSamples2025_Bioplastic_extra.xlsx]extra_Bioplastic'!E991)," ",'Q:\Abteilungsprojekte\Eng\EngData\PROJECT_Bioplastics\Renjie_Pan\05-Raw_Data\Lab_results\[LabSamples2025_Bioplastic_extra.xlsx]extra_Bioplastic'!E991)</f>
        <v/>
      </c>
      <c r="F991">
        <f>IF(ISBLANK('Q:\Abteilungsprojekte\Eng\EngData\PROJECT_Bioplastics\Renjie_Pan\05-Raw_Data\Lab_results\[LabSamples2025_Bioplastic_extra.xlsx]extra_Bioplastic'!F991)," ",'Q:\Abteilungsprojekte\Eng\EngData\PROJECT_Bioplastics\Renjie_Pan\05-Raw_Data\Lab_results\[LabSamples2025_Bioplastic_extra.xlsx]extra_Bioplastic'!F991)</f>
        <v/>
      </c>
      <c r="G991">
        <f>IF(ISBLANK('Q:\Abteilungsprojekte\Eng\EngData\PROJECT_Bioplastics\Renjie_Pan\05-Raw_Data\Lab_results\[LabSamples2025_Bioplastic_extra.xlsx]extra_Bioplastic'!G991)," ",'Q:\Abteilungsprojekte\Eng\EngData\PROJECT_Bioplastics\Renjie_Pan\05-Raw_Data\Lab_results\[LabSamples2025_Bioplastic_extra.xlsx]extra_Bioplastic'!G991)</f>
        <v/>
      </c>
      <c r="H991">
        <f>IF(ISBLANK('Q:\Abteilungsprojekte\Eng\EngData\PROJECT_Bioplastics\Renjie_Pan\05-Raw_Data\Lab_results\[LabSamples2025_Bioplastic_extra.xlsx]extra_Bioplastic'!H991)," ",'Q:\Abteilungsprojekte\Eng\EngData\PROJECT_Bioplastics\Renjie_Pan\05-Raw_Data\Lab_results\[LabSamples2025_Bioplastic_extra.xlsx]extra_Bioplastic'!H991)</f>
        <v/>
      </c>
    </row>
    <row r="992">
      <c r="A992">
        <f>IF(ISBLANK('Q:\Abteilungsprojekte\Eng\EngData\PROJECT_Bioplastics\Renjie_Pan\05-Raw_Data\Lab_results\[LabSamples2025_Bioplastic_extra.xlsx]extra_Bioplastic'!A992)," ",'Q:\Abteilungsprojekte\Eng\EngData\PROJECT_Bioplastics\Renjie_Pan\05-Raw_Data\Lab_results\[LabSamples2025_Bioplastic_extra.xlsx]extra_Bioplastic'!A992)</f>
        <v/>
      </c>
      <c r="B992">
        <f>IF(ISBLANK('Q:\Abteilungsprojekte\Eng\EngData\PROJECT_Bioplastics\Renjie_Pan\05-Raw_Data\Lab_results\[LabSamples2025_Bioplastic_extra.xlsx]extra_Bioplastic'!B992)," ",'Q:\Abteilungsprojekte\Eng\EngData\PROJECT_Bioplastics\Renjie_Pan\05-Raw_Data\Lab_results\[LabSamples2025_Bioplastic_extra.xlsx]extra_Bioplastic'!B992)</f>
        <v/>
      </c>
      <c r="C992">
        <f>IF(ISBLANK('Q:\Abteilungsprojekte\Eng\EngData\PROJECT_Bioplastics\Renjie_Pan\05-Raw_Data\Lab_results\[LabSamples2025_Bioplastic_extra.xlsx]extra_Bioplastic'!C992)," ",'Q:\Abteilungsprojekte\Eng\EngData\PROJECT_Bioplastics\Renjie_Pan\05-Raw_Data\Lab_results\[LabSamples2025_Bioplastic_extra.xlsx]extra_Bioplastic'!C992)</f>
        <v/>
      </c>
      <c r="D992">
        <f>IF(ISBLANK('Q:\Abteilungsprojekte\Eng\EngData\PROJECT_Bioplastics\Renjie_Pan\05-Raw_Data\Lab_results\[LabSamples2025_Bioplastic_extra.xlsx]extra_Bioplastic'!D992)," ",'Q:\Abteilungsprojekte\Eng\EngData\PROJECT_Bioplastics\Renjie_Pan\05-Raw_Data\Lab_results\[LabSamples2025_Bioplastic_extra.xlsx]extra_Bioplastic'!D992)</f>
        <v/>
      </c>
      <c r="E992">
        <f>IF(ISBLANK('Q:\Abteilungsprojekte\Eng\EngData\PROJECT_Bioplastics\Renjie_Pan\05-Raw_Data\Lab_results\[LabSamples2025_Bioplastic_extra.xlsx]extra_Bioplastic'!E992)," ",'Q:\Abteilungsprojekte\Eng\EngData\PROJECT_Bioplastics\Renjie_Pan\05-Raw_Data\Lab_results\[LabSamples2025_Bioplastic_extra.xlsx]extra_Bioplastic'!E992)</f>
        <v/>
      </c>
      <c r="F992">
        <f>IF(ISBLANK('Q:\Abteilungsprojekte\Eng\EngData\PROJECT_Bioplastics\Renjie_Pan\05-Raw_Data\Lab_results\[LabSamples2025_Bioplastic_extra.xlsx]extra_Bioplastic'!F992)," ",'Q:\Abteilungsprojekte\Eng\EngData\PROJECT_Bioplastics\Renjie_Pan\05-Raw_Data\Lab_results\[LabSamples2025_Bioplastic_extra.xlsx]extra_Bioplastic'!F992)</f>
        <v/>
      </c>
      <c r="G992">
        <f>IF(ISBLANK('Q:\Abteilungsprojekte\Eng\EngData\PROJECT_Bioplastics\Renjie_Pan\05-Raw_Data\Lab_results\[LabSamples2025_Bioplastic_extra.xlsx]extra_Bioplastic'!G992)," ",'Q:\Abteilungsprojekte\Eng\EngData\PROJECT_Bioplastics\Renjie_Pan\05-Raw_Data\Lab_results\[LabSamples2025_Bioplastic_extra.xlsx]extra_Bioplastic'!G992)</f>
        <v/>
      </c>
      <c r="H992">
        <f>IF(ISBLANK('Q:\Abteilungsprojekte\Eng\EngData\PROJECT_Bioplastics\Renjie_Pan\05-Raw_Data\Lab_results\[LabSamples2025_Bioplastic_extra.xlsx]extra_Bioplastic'!H992)," ",'Q:\Abteilungsprojekte\Eng\EngData\PROJECT_Bioplastics\Renjie_Pan\05-Raw_Data\Lab_results\[LabSamples2025_Bioplastic_extra.xlsx]extra_Bioplastic'!H992)</f>
        <v/>
      </c>
    </row>
    <row r="993">
      <c r="A993">
        <f>IF(ISBLANK('Q:\Abteilungsprojekte\Eng\EngData\PROJECT_Bioplastics\Renjie_Pan\05-Raw_Data\Lab_results\[LabSamples2025_Bioplastic_extra.xlsx]extra_Bioplastic'!A993)," ",'Q:\Abteilungsprojekte\Eng\EngData\PROJECT_Bioplastics\Renjie_Pan\05-Raw_Data\Lab_results\[LabSamples2025_Bioplastic_extra.xlsx]extra_Bioplastic'!A993)</f>
        <v/>
      </c>
      <c r="B993">
        <f>IF(ISBLANK('Q:\Abteilungsprojekte\Eng\EngData\PROJECT_Bioplastics\Renjie_Pan\05-Raw_Data\Lab_results\[LabSamples2025_Bioplastic_extra.xlsx]extra_Bioplastic'!B993)," ",'Q:\Abteilungsprojekte\Eng\EngData\PROJECT_Bioplastics\Renjie_Pan\05-Raw_Data\Lab_results\[LabSamples2025_Bioplastic_extra.xlsx]extra_Bioplastic'!B993)</f>
        <v/>
      </c>
      <c r="C993">
        <f>IF(ISBLANK('Q:\Abteilungsprojekte\Eng\EngData\PROJECT_Bioplastics\Renjie_Pan\05-Raw_Data\Lab_results\[LabSamples2025_Bioplastic_extra.xlsx]extra_Bioplastic'!C993)," ",'Q:\Abteilungsprojekte\Eng\EngData\PROJECT_Bioplastics\Renjie_Pan\05-Raw_Data\Lab_results\[LabSamples2025_Bioplastic_extra.xlsx]extra_Bioplastic'!C993)</f>
        <v/>
      </c>
      <c r="D993">
        <f>IF(ISBLANK('Q:\Abteilungsprojekte\Eng\EngData\PROJECT_Bioplastics\Renjie_Pan\05-Raw_Data\Lab_results\[LabSamples2025_Bioplastic_extra.xlsx]extra_Bioplastic'!D993)," ",'Q:\Abteilungsprojekte\Eng\EngData\PROJECT_Bioplastics\Renjie_Pan\05-Raw_Data\Lab_results\[LabSamples2025_Bioplastic_extra.xlsx]extra_Bioplastic'!D993)</f>
        <v/>
      </c>
      <c r="E993">
        <f>IF(ISBLANK('Q:\Abteilungsprojekte\Eng\EngData\PROJECT_Bioplastics\Renjie_Pan\05-Raw_Data\Lab_results\[LabSamples2025_Bioplastic_extra.xlsx]extra_Bioplastic'!E993)," ",'Q:\Abteilungsprojekte\Eng\EngData\PROJECT_Bioplastics\Renjie_Pan\05-Raw_Data\Lab_results\[LabSamples2025_Bioplastic_extra.xlsx]extra_Bioplastic'!E993)</f>
        <v/>
      </c>
      <c r="F993">
        <f>IF(ISBLANK('Q:\Abteilungsprojekte\Eng\EngData\PROJECT_Bioplastics\Renjie_Pan\05-Raw_Data\Lab_results\[LabSamples2025_Bioplastic_extra.xlsx]extra_Bioplastic'!F993)," ",'Q:\Abteilungsprojekte\Eng\EngData\PROJECT_Bioplastics\Renjie_Pan\05-Raw_Data\Lab_results\[LabSamples2025_Bioplastic_extra.xlsx]extra_Bioplastic'!F993)</f>
        <v/>
      </c>
      <c r="G993">
        <f>IF(ISBLANK('Q:\Abteilungsprojekte\Eng\EngData\PROJECT_Bioplastics\Renjie_Pan\05-Raw_Data\Lab_results\[LabSamples2025_Bioplastic_extra.xlsx]extra_Bioplastic'!G993)," ",'Q:\Abteilungsprojekte\Eng\EngData\PROJECT_Bioplastics\Renjie_Pan\05-Raw_Data\Lab_results\[LabSamples2025_Bioplastic_extra.xlsx]extra_Bioplastic'!G993)</f>
        <v/>
      </c>
      <c r="H993">
        <f>IF(ISBLANK('Q:\Abteilungsprojekte\Eng\EngData\PROJECT_Bioplastics\Renjie_Pan\05-Raw_Data\Lab_results\[LabSamples2025_Bioplastic_extra.xlsx]extra_Bioplastic'!H993)," ",'Q:\Abteilungsprojekte\Eng\EngData\PROJECT_Bioplastics\Renjie_Pan\05-Raw_Data\Lab_results\[LabSamples2025_Bioplastic_extra.xlsx]extra_Bioplastic'!H993)</f>
        <v/>
      </c>
    </row>
    <row r="994">
      <c r="A994">
        <f>IF(ISBLANK('Q:\Abteilungsprojekte\Eng\EngData\PROJECT_Bioplastics\Renjie_Pan\05-Raw_Data\Lab_results\[LabSamples2025_Bioplastic_extra.xlsx]extra_Bioplastic'!A994)," ",'Q:\Abteilungsprojekte\Eng\EngData\PROJECT_Bioplastics\Renjie_Pan\05-Raw_Data\Lab_results\[LabSamples2025_Bioplastic_extra.xlsx]extra_Bioplastic'!A994)</f>
        <v/>
      </c>
      <c r="B994">
        <f>IF(ISBLANK('Q:\Abteilungsprojekte\Eng\EngData\PROJECT_Bioplastics\Renjie_Pan\05-Raw_Data\Lab_results\[LabSamples2025_Bioplastic_extra.xlsx]extra_Bioplastic'!B994)," ",'Q:\Abteilungsprojekte\Eng\EngData\PROJECT_Bioplastics\Renjie_Pan\05-Raw_Data\Lab_results\[LabSamples2025_Bioplastic_extra.xlsx]extra_Bioplastic'!B994)</f>
        <v/>
      </c>
      <c r="C994">
        <f>IF(ISBLANK('Q:\Abteilungsprojekte\Eng\EngData\PROJECT_Bioplastics\Renjie_Pan\05-Raw_Data\Lab_results\[LabSamples2025_Bioplastic_extra.xlsx]extra_Bioplastic'!C994)," ",'Q:\Abteilungsprojekte\Eng\EngData\PROJECT_Bioplastics\Renjie_Pan\05-Raw_Data\Lab_results\[LabSamples2025_Bioplastic_extra.xlsx]extra_Bioplastic'!C994)</f>
        <v/>
      </c>
      <c r="D994">
        <f>IF(ISBLANK('Q:\Abteilungsprojekte\Eng\EngData\PROJECT_Bioplastics\Renjie_Pan\05-Raw_Data\Lab_results\[LabSamples2025_Bioplastic_extra.xlsx]extra_Bioplastic'!D994)," ",'Q:\Abteilungsprojekte\Eng\EngData\PROJECT_Bioplastics\Renjie_Pan\05-Raw_Data\Lab_results\[LabSamples2025_Bioplastic_extra.xlsx]extra_Bioplastic'!D994)</f>
        <v/>
      </c>
      <c r="E994">
        <f>IF(ISBLANK('Q:\Abteilungsprojekte\Eng\EngData\PROJECT_Bioplastics\Renjie_Pan\05-Raw_Data\Lab_results\[LabSamples2025_Bioplastic_extra.xlsx]extra_Bioplastic'!E994)," ",'Q:\Abteilungsprojekte\Eng\EngData\PROJECT_Bioplastics\Renjie_Pan\05-Raw_Data\Lab_results\[LabSamples2025_Bioplastic_extra.xlsx]extra_Bioplastic'!E994)</f>
        <v/>
      </c>
      <c r="F994">
        <f>IF(ISBLANK('Q:\Abteilungsprojekte\Eng\EngData\PROJECT_Bioplastics\Renjie_Pan\05-Raw_Data\Lab_results\[LabSamples2025_Bioplastic_extra.xlsx]extra_Bioplastic'!F994)," ",'Q:\Abteilungsprojekte\Eng\EngData\PROJECT_Bioplastics\Renjie_Pan\05-Raw_Data\Lab_results\[LabSamples2025_Bioplastic_extra.xlsx]extra_Bioplastic'!F994)</f>
        <v/>
      </c>
      <c r="G994">
        <f>IF(ISBLANK('Q:\Abteilungsprojekte\Eng\EngData\PROJECT_Bioplastics\Renjie_Pan\05-Raw_Data\Lab_results\[LabSamples2025_Bioplastic_extra.xlsx]extra_Bioplastic'!G994)," ",'Q:\Abteilungsprojekte\Eng\EngData\PROJECT_Bioplastics\Renjie_Pan\05-Raw_Data\Lab_results\[LabSamples2025_Bioplastic_extra.xlsx]extra_Bioplastic'!G994)</f>
        <v/>
      </c>
      <c r="H994">
        <f>IF(ISBLANK('Q:\Abteilungsprojekte\Eng\EngData\PROJECT_Bioplastics\Renjie_Pan\05-Raw_Data\Lab_results\[LabSamples2025_Bioplastic_extra.xlsx]extra_Bioplastic'!H994)," ",'Q:\Abteilungsprojekte\Eng\EngData\PROJECT_Bioplastics\Renjie_Pan\05-Raw_Data\Lab_results\[LabSamples2025_Bioplastic_extra.xlsx]extra_Bioplastic'!H994)</f>
        <v/>
      </c>
    </row>
    <row r="995">
      <c r="A995">
        <f>IF(ISBLANK('Q:\Abteilungsprojekte\Eng\EngData\PROJECT_Bioplastics\Renjie_Pan\05-Raw_Data\Lab_results\[LabSamples2025_Bioplastic_extra.xlsx]extra_Bioplastic'!A995)," ",'Q:\Abteilungsprojekte\Eng\EngData\PROJECT_Bioplastics\Renjie_Pan\05-Raw_Data\Lab_results\[LabSamples2025_Bioplastic_extra.xlsx]extra_Bioplastic'!A995)</f>
        <v/>
      </c>
      <c r="B995">
        <f>IF(ISBLANK('Q:\Abteilungsprojekte\Eng\EngData\PROJECT_Bioplastics\Renjie_Pan\05-Raw_Data\Lab_results\[LabSamples2025_Bioplastic_extra.xlsx]extra_Bioplastic'!B995)," ",'Q:\Abteilungsprojekte\Eng\EngData\PROJECT_Bioplastics\Renjie_Pan\05-Raw_Data\Lab_results\[LabSamples2025_Bioplastic_extra.xlsx]extra_Bioplastic'!B995)</f>
        <v/>
      </c>
      <c r="C995">
        <f>IF(ISBLANK('Q:\Abteilungsprojekte\Eng\EngData\PROJECT_Bioplastics\Renjie_Pan\05-Raw_Data\Lab_results\[LabSamples2025_Bioplastic_extra.xlsx]extra_Bioplastic'!C995)," ",'Q:\Abteilungsprojekte\Eng\EngData\PROJECT_Bioplastics\Renjie_Pan\05-Raw_Data\Lab_results\[LabSamples2025_Bioplastic_extra.xlsx]extra_Bioplastic'!C995)</f>
        <v/>
      </c>
      <c r="D995">
        <f>IF(ISBLANK('Q:\Abteilungsprojekte\Eng\EngData\PROJECT_Bioplastics\Renjie_Pan\05-Raw_Data\Lab_results\[LabSamples2025_Bioplastic_extra.xlsx]extra_Bioplastic'!D995)," ",'Q:\Abteilungsprojekte\Eng\EngData\PROJECT_Bioplastics\Renjie_Pan\05-Raw_Data\Lab_results\[LabSamples2025_Bioplastic_extra.xlsx]extra_Bioplastic'!D995)</f>
        <v/>
      </c>
      <c r="E995">
        <f>IF(ISBLANK('Q:\Abteilungsprojekte\Eng\EngData\PROJECT_Bioplastics\Renjie_Pan\05-Raw_Data\Lab_results\[LabSamples2025_Bioplastic_extra.xlsx]extra_Bioplastic'!E995)," ",'Q:\Abteilungsprojekte\Eng\EngData\PROJECT_Bioplastics\Renjie_Pan\05-Raw_Data\Lab_results\[LabSamples2025_Bioplastic_extra.xlsx]extra_Bioplastic'!E995)</f>
        <v/>
      </c>
      <c r="F995">
        <f>IF(ISBLANK('Q:\Abteilungsprojekte\Eng\EngData\PROJECT_Bioplastics\Renjie_Pan\05-Raw_Data\Lab_results\[LabSamples2025_Bioplastic_extra.xlsx]extra_Bioplastic'!F995)," ",'Q:\Abteilungsprojekte\Eng\EngData\PROJECT_Bioplastics\Renjie_Pan\05-Raw_Data\Lab_results\[LabSamples2025_Bioplastic_extra.xlsx]extra_Bioplastic'!F995)</f>
        <v/>
      </c>
      <c r="G995">
        <f>IF(ISBLANK('Q:\Abteilungsprojekte\Eng\EngData\PROJECT_Bioplastics\Renjie_Pan\05-Raw_Data\Lab_results\[LabSamples2025_Bioplastic_extra.xlsx]extra_Bioplastic'!G995)," ",'Q:\Abteilungsprojekte\Eng\EngData\PROJECT_Bioplastics\Renjie_Pan\05-Raw_Data\Lab_results\[LabSamples2025_Bioplastic_extra.xlsx]extra_Bioplastic'!G995)</f>
        <v/>
      </c>
      <c r="H995">
        <f>IF(ISBLANK('Q:\Abteilungsprojekte\Eng\EngData\PROJECT_Bioplastics\Renjie_Pan\05-Raw_Data\Lab_results\[LabSamples2025_Bioplastic_extra.xlsx]extra_Bioplastic'!H995)," ",'Q:\Abteilungsprojekte\Eng\EngData\PROJECT_Bioplastics\Renjie_Pan\05-Raw_Data\Lab_results\[LabSamples2025_Bioplastic_extra.xlsx]extra_Bioplastic'!H995)</f>
        <v/>
      </c>
    </row>
    <row r="996">
      <c r="A996">
        <f>IF(ISBLANK('Q:\Abteilungsprojekte\Eng\EngData\PROJECT_Bioplastics\Renjie_Pan\05-Raw_Data\Lab_results\[LabSamples2025_Bioplastic_extra.xlsx]extra_Bioplastic'!A996)," ",'Q:\Abteilungsprojekte\Eng\EngData\PROJECT_Bioplastics\Renjie_Pan\05-Raw_Data\Lab_results\[LabSamples2025_Bioplastic_extra.xlsx]extra_Bioplastic'!A996)</f>
        <v/>
      </c>
      <c r="B996">
        <f>IF(ISBLANK('Q:\Abteilungsprojekte\Eng\EngData\PROJECT_Bioplastics\Renjie_Pan\05-Raw_Data\Lab_results\[LabSamples2025_Bioplastic_extra.xlsx]extra_Bioplastic'!B996)," ",'Q:\Abteilungsprojekte\Eng\EngData\PROJECT_Bioplastics\Renjie_Pan\05-Raw_Data\Lab_results\[LabSamples2025_Bioplastic_extra.xlsx]extra_Bioplastic'!B996)</f>
        <v/>
      </c>
      <c r="C996">
        <f>IF(ISBLANK('Q:\Abteilungsprojekte\Eng\EngData\PROJECT_Bioplastics\Renjie_Pan\05-Raw_Data\Lab_results\[LabSamples2025_Bioplastic_extra.xlsx]extra_Bioplastic'!C996)," ",'Q:\Abteilungsprojekte\Eng\EngData\PROJECT_Bioplastics\Renjie_Pan\05-Raw_Data\Lab_results\[LabSamples2025_Bioplastic_extra.xlsx]extra_Bioplastic'!C996)</f>
        <v/>
      </c>
      <c r="D996">
        <f>IF(ISBLANK('Q:\Abteilungsprojekte\Eng\EngData\PROJECT_Bioplastics\Renjie_Pan\05-Raw_Data\Lab_results\[LabSamples2025_Bioplastic_extra.xlsx]extra_Bioplastic'!D996)," ",'Q:\Abteilungsprojekte\Eng\EngData\PROJECT_Bioplastics\Renjie_Pan\05-Raw_Data\Lab_results\[LabSamples2025_Bioplastic_extra.xlsx]extra_Bioplastic'!D996)</f>
        <v/>
      </c>
      <c r="E996">
        <f>IF(ISBLANK('Q:\Abteilungsprojekte\Eng\EngData\PROJECT_Bioplastics\Renjie_Pan\05-Raw_Data\Lab_results\[LabSamples2025_Bioplastic_extra.xlsx]extra_Bioplastic'!E996)," ",'Q:\Abteilungsprojekte\Eng\EngData\PROJECT_Bioplastics\Renjie_Pan\05-Raw_Data\Lab_results\[LabSamples2025_Bioplastic_extra.xlsx]extra_Bioplastic'!E996)</f>
        <v/>
      </c>
      <c r="F996">
        <f>IF(ISBLANK('Q:\Abteilungsprojekte\Eng\EngData\PROJECT_Bioplastics\Renjie_Pan\05-Raw_Data\Lab_results\[LabSamples2025_Bioplastic_extra.xlsx]extra_Bioplastic'!F996)," ",'Q:\Abteilungsprojekte\Eng\EngData\PROJECT_Bioplastics\Renjie_Pan\05-Raw_Data\Lab_results\[LabSamples2025_Bioplastic_extra.xlsx]extra_Bioplastic'!F996)</f>
        <v/>
      </c>
      <c r="G996">
        <f>IF(ISBLANK('Q:\Abteilungsprojekte\Eng\EngData\PROJECT_Bioplastics\Renjie_Pan\05-Raw_Data\Lab_results\[LabSamples2025_Bioplastic_extra.xlsx]extra_Bioplastic'!G996)," ",'Q:\Abteilungsprojekte\Eng\EngData\PROJECT_Bioplastics\Renjie_Pan\05-Raw_Data\Lab_results\[LabSamples2025_Bioplastic_extra.xlsx]extra_Bioplastic'!G996)</f>
        <v/>
      </c>
      <c r="H996">
        <f>IF(ISBLANK('Q:\Abteilungsprojekte\Eng\EngData\PROJECT_Bioplastics\Renjie_Pan\05-Raw_Data\Lab_results\[LabSamples2025_Bioplastic_extra.xlsx]extra_Bioplastic'!H996)," ",'Q:\Abteilungsprojekte\Eng\EngData\PROJECT_Bioplastics\Renjie_Pan\05-Raw_Data\Lab_results\[LabSamples2025_Bioplastic_extra.xlsx]extra_Bioplastic'!H996)</f>
        <v/>
      </c>
    </row>
    <row r="997">
      <c r="A997">
        <f>IF(ISBLANK('Q:\Abteilungsprojekte\Eng\EngData\PROJECT_Bioplastics\Renjie_Pan\05-Raw_Data\Lab_results\[LabSamples2025_Bioplastic_extra.xlsx]extra_Bioplastic'!A997)," ",'Q:\Abteilungsprojekte\Eng\EngData\PROJECT_Bioplastics\Renjie_Pan\05-Raw_Data\Lab_results\[LabSamples2025_Bioplastic_extra.xlsx]extra_Bioplastic'!A997)</f>
        <v/>
      </c>
      <c r="B997">
        <f>IF(ISBLANK('Q:\Abteilungsprojekte\Eng\EngData\PROJECT_Bioplastics\Renjie_Pan\05-Raw_Data\Lab_results\[LabSamples2025_Bioplastic_extra.xlsx]extra_Bioplastic'!B997)," ",'Q:\Abteilungsprojekte\Eng\EngData\PROJECT_Bioplastics\Renjie_Pan\05-Raw_Data\Lab_results\[LabSamples2025_Bioplastic_extra.xlsx]extra_Bioplastic'!B997)</f>
        <v/>
      </c>
      <c r="C997">
        <f>IF(ISBLANK('Q:\Abteilungsprojekte\Eng\EngData\PROJECT_Bioplastics\Renjie_Pan\05-Raw_Data\Lab_results\[LabSamples2025_Bioplastic_extra.xlsx]extra_Bioplastic'!C997)," ",'Q:\Abteilungsprojekte\Eng\EngData\PROJECT_Bioplastics\Renjie_Pan\05-Raw_Data\Lab_results\[LabSamples2025_Bioplastic_extra.xlsx]extra_Bioplastic'!C997)</f>
        <v/>
      </c>
      <c r="D997">
        <f>IF(ISBLANK('Q:\Abteilungsprojekte\Eng\EngData\PROJECT_Bioplastics\Renjie_Pan\05-Raw_Data\Lab_results\[LabSamples2025_Bioplastic_extra.xlsx]extra_Bioplastic'!D997)," ",'Q:\Abteilungsprojekte\Eng\EngData\PROJECT_Bioplastics\Renjie_Pan\05-Raw_Data\Lab_results\[LabSamples2025_Bioplastic_extra.xlsx]extra_Bioplastic'!D997)</f>
        <v/>
      </c>
      <c r="E997">
        <f>IF(ISBLANK('Q:\Abteilungsprojekte\Eng\EngData\PROJECT_Bioplastics\Renjie_Pan\05-Raw_Data\Lab_results\[LabSamples2025_Bioplastic_extra.xlsx]extra_Bioplastic'!E997)," ",'Q:\Abteilungsprojekte\Eng\EngData\PROJECT_Bioplastics\Renjie_Pan\05-Raw_Data\Lab_results\[LabSamples2025_Bioplastic_extra.xlsx]extra_Bioplastic'!E997)</f>
        <v/>
      </c>
      <c r="F997">
        <f>IF(ISBLANK('Q:\Abteilungsprojekte\Eng\EngData\PROJECT_Bioplastics\Renjie_Pan\05-Raw_Data\Lab_results\[LabSamples2025_Bioplastic_extra.xlsx]extra_Bioplastic'!F997)," ",'Q:\Abteilungsprojekte\Eng\EngData\PROJECT_Bioplastics\Renjie_Pan\05-Raw_Data\Lab_results\[LabSamples2025_Bioplastic_extra.xlsx]extra_Bioplastic'!F997)</f>
        <v/>
      </c>
      <c r="G997">
        <f>IF(ISBLANK('Q:\Abteilungsprojekte\Eng\EngData\PROJECT_Bioplastics\Renjie_Pan\05-Raw_Data\Lab_results\[LabSamples2025_Bioplastic_extra.xlsx]extra_Bioplastic'!G997)," ",'Q:\Abteilungsprojekte\Eng\EngData\PROJECT_Bioplastics\Renjie_Pan\05-Raw_Data\Lab_results\[LabSamples2025_Bioplastic_extra.xlsx]extra_Bioplastic'!G997)</f>
        <v/>
      </c>
      <c r="H997">
        <f>IF(ISBLANK('Q:\Abteilungsprojekte\Eng\EngData\PROJECT_Bioplastics\Renjie_Pan\05-Raw_Data\Lab_results\[LabSamples2025_Bioplastic_extra.xlsx]extra_Bioplastic'!H997)," ",'Q:\Abteilungsprojekte\Eng\EngData\PROJECT_Bioplastics\Renjie_Pan\05-Raw_Data\Lab_results\[LabSamples2025_Bioplastic_extra.xlsx]extra_Bioplastic'!H997)</f>
        <v/>
      </c>
    </row>
    <row r="998">
      <c r="A998">
        <f>IF(ISBLANK('Q:\Abteilungsprojekte\Eng\EngData\PROJECT_Bioplastics\Renjie_Pan\05-Raw_Data\Lab_results\[LabSamples2025_Bioplastic_extra.xlsx]extra_Bioplastic'!A998)," ",'Q:\Abteilungsprojekte\Eng\EngData\PROJECT_Bioplastics\Renjie_Pan\05-Raw_Data\Lab_results\[LabSamples2025_Bioplastic_extra.xlsx]extra_Bioplastic'!A998)</f>
        <v/>
      </c>
      <c r="B998">
        <f>IF(ISBLANK('Q:\Abteilungsprojekte\Eng\EngData\PROJECT_Bioplastics\Renjie_Pan\05-Raw_Data\Lab_results\[LabSamples2025_Bioplastic_extra.xlsx]extra_Bioplastic'!B998)," ",'Q:\Abteilungsprojekte\Eng\EngData\PROJECT_Bioplastics\Renjie_Pan\05-Raw_Data\Lab_results\[LabSamples2025_Bioplastic_extra.xlsx]extra_Bioplastic'!B998)</f>
        <v/>
      </c>
      <c r="C998">
        <f>IF(ISBLANK('Q:\Abteilungsprojekte\Eng\EngData\PROJECT_Bioplastics\Renjie_Pan\05-Raw_Data\Lab_results\[LabSamples2025_Bioplastic_extra.xlsx]extra_Bioplastic'!C998)," ",'Q:\Abteilungsprojekte\Eng\EngData\PROJECT_Bioplastics\Renjie_Pan\05-Raw_Data\Lab_results\[LabSamples2025_Bioplastic_extra.xlsx]extra_Bioplastic'!C998)</f>
        <v/>
      </c>
      <c r="D998">
        <f>IF(ISBLANK('Q:\Abteilungsprojekte\Eng\EngData\PROJECT_Bioplastics\Renjie_Pan\05-Raw_Data\Lab_results\[LabSamples2025_Bioplastic_extra.xlsx]extra_Bioplastic'!D998)," ",'Q:\Abteilungsprojekte\Eng\EngData\PROJECT_Bioplastics\Renjie_Pan\05-Raw_Data\Lab_results\[LabSamples2025_Bioplastic_extra.xlsx]extra_Bioplastic'!D998)</f>
        <v/>
      </c>
      <c r="E998">
        <f>IF(ISBLANK('Q:\Abteilungsprojekte\Eng\EngData\PROJECT_Bioplastics\Renjie_Pan\05-Raw_Data\Lab_results\[LabSamples2025_Bioplastic_extra.xlsx]extra_Bioplastic'!E998)," ",'Q:\Abteilungsprojekte\Eng\EngData\PROJECT_Bioplastics\Renjie_Pan\05-Raw_Data\Lab_results\[LabSamples2025_Bioplastic_extra.xlsx]extra_Bioplastic'!E998)</f>
        <v/>
      </c>
      <c r="F998">
        <f>IF(ISBLANK('Q:\Abteilungsprojekte\Eng\EngData\PROJECT_Bioplastics\Renjie_Pan\05-Raw_Data\Lab_results\[LabSamples2025_Bioplastic_extra.xlsx]extra_Bioplastic'!F998)," ",'Q:\Abteilungsprojekte\Eng\EngData\PROJECT_Bioplastics\Renjie_Pan\05-Raw_Data\Lab_results\[LabSamples2025_Bioplastic_extra.xlsx]extra_Bioplastic'!F998)</f>
        <v/>
      </c>
      <c r="G998">
        <f>IF(ISBLANK('Q:\Abteilungsprojekte\Eng\EngData\PROJECT_Bioplastics\Renjie_Pan\05-Raw_Data\Lab_results\[LabSamples2025_Bioplastic_extra.xlsx]extra_Bioplastic'!G998)," ",'Q:\Abteilungsprojekte\Eng\EngData\PROJECT_Bioplastics\Renjie_Pan\05-Raw_Data\Lab_results\[LabSamples2025_Bioplastic_extra.xlsx]extra_Bioplastic'!G998)</f>
        <v/>
      </c>
      <c r="H998">
        <f>IF(ISBLANK('Q:\Abteilungsprojekte\Eng\EngData\PROJECT_Bioplastics\Renjie_Pan\05-Raw_Data\Lab_results\[LabSamples2025_Bioplastic_extra.xlsx]extra_Bioplastic'!H998)," ",'Q:\Abteilungsprojekte\Eng\EngData\PROJECT_Bioplastics\Renjie_Pan\05-Raw_Data\Lab_results\[LabSamples2025_Bioplastic_extra.xlsx]extra_Bioplastic'!H998)</f>
        <v/>
      </c>
    </row>
    <row r="999">
      <c r="A999">
        <f>IF(ISBLANK('Q:\Abteilungsprojekte\Eng\EngData\PROJECT_Bioplastics\Renjie_Pan\05-Raw_Data\Lab_results\[LabSamples2025_Bioplastic_extra.xlsx]extra_Bioplastic'!A999)," ",'Q:\Abteilungsprojekte\Eng\EngData\PROJECT_Bioplastics\Renjie_Pan\05-Raw_Data\Lab_results\[LabSamples2025_Bioplastic_extra.xlsx]extra_Bioplastic'!A999)</f>
        <v/>
      </c>
      <c r="B999">
        <f>IF(ISBLANK('Q:\Abteilungsprojekte\Eng\EngData\PROJECT_Bioplastics\Renjie_Pan\05-Raw_Data\Lab_results\[LabSamples2025_Bioplastic_extra.xlsx]extra_Bioplastic'!B999)," ",'Q:\Abteilungsprojekte\Eng\EngData\PROJECT_Bioplastics\Renjie_Pan\05-Raw_Data\Lab_results\[LabSamples2025_Bioplastic_extra.xlsx]extra_Bioplastic'!B999)</f>
        <v/>
      </c>
      <c r="C999">
        <f>IF(ISBLANK('Q:\Abteilungsprojekte\Eng\EngData\PROJECT_Bioplastics\Renjie_Pan\05-Raw_Data\Lab_results\[LabSamples2025_Bioplastic_extra.xlsx]extra_Bioplastic'!C999)," ",'Q:\Abteilungsprojekte\Eng\EngData\PROJECT_Bioplastics\Renjie_Pan\05-Raw_Data\Lab_results\[LabSamples2025_Bioplastic_extra.xlsx]extra_Bioplastic'!C999)</f>
        <v/>
      </c>
      <c r="D999">
        <f>IF(ISBLANK('Q:\Abteilungsprojekte\Eng\EngData\PROJECT_Bioplastics\Renjie_Pan\05-Raw_Data\Lab_results\[LabSamples2025_Bioplastic_extra.xlsx]extra_Bioplastic'!D999)," ",'Q:\Abteilungsprojekte\Eng\EngData\PROJECT_Bioplastics\Renjie_Pan\05-Raw_Data\Lab_results\[LabSamples2025_Bioplastic_extra.xlsx]extra_Bioplastic'!D999)</f>
        <v/>
      </c>
      <c r="E999">
        <f>IF(ISBLANK('Q:\Abteilungsprojekte\Eng\EngData\PROJECT_Bioplastics\Renjie_Pan\05-Raw_Data\Lab_results\[LabSamples2025_Bioplastic_extra.xlsx]extra_Bioplastic'!E999)," ",'Q:\Abteilungsprojekte\Eng\EngData\PROJECT_Bioplastics\Renjie_Pan\05-Raw_Data\Lab_results\[LabSamples2025_Bioplastic_extra.xlsx]extra_Bioplastic'!E999)</f>
        <v/>
      </c>
      <c r="F999">
        <f>IF(ISBLANK('Q:\Abteilungsprojekte\Eng\EngData\PROJECT_Bioplastics\Renjie_Pan\05-Raw_Data\Lab_results\[LabSamples2025_Bioplastic_extra.xlsx]extra_Bioplastic'!F999)," ",'Q:\Abteilungsprojekte\Eng\EngData\PROJECT_Bioplastics\Renjie_Pan\05-Raw_Data\Lab_results\[LabSamples2025_Bioplastic_extra.xlsx]extra_Bioplastic'!F999)</f>
        <v/>
      </c>
      <c r="G999">
        <f>IF(ISBLANK('Q:\Abteilungsprojekte\Eng\EngData\PROJECT_Bioplastics\Renjie_Pan\05-Raw_Data\Lab_results\[LabSamples2025_Bioplastic_extra.xlsx]extra_Bioplastic'!G999)," ",'Q:\Abteilungsprojekte\Eng\EngData\PROJECT_Bioplastics\Renjie_Pan\05-Raw_Data\Lab_results\[LabSamples2025_Bioplastic_extra.xlsx]extra_Bioplastic'!G999)</f>
        <v/>
      </c>
      <c r="H999">
        <f>IF(ISBLANK('Q:\Abteilungsprojekte\Eng\EngData\PROJECT_Bioplastics\Renjie_Pan\05-Raw_Data\Lab_results\[LabSamples2025_Bioplastic_extra.xlsx]extra_Bioplastic'!H999)," ",'Q:\Abteilungsprojekte\Eng\EngData\PROJECT_Bioplastics\Renjie_Pan\05-Raw_Data\Lab_results\[LabSamples2025_Bioplastic_extra.xlsx]extra_Bioplastic'!H999)</f>
        <v/>
      </c>
    </row>
    <row r="1000">
      <c r="A1000">
        <f>IF(ISBLANK('Q:\Abteilungsprojekte\Eng\EngData\PROJECT_Bioplastics\Renjie_Pan\05-Raw_Data\Lab_results\[LabSamples2025_Bioplastic_extra.xlsx]extra_Bioplastic'!A1000)," ",'Q:\Abteilungsprojekte\Eng\EngData\PROJECT_Bioplastics\Renjie_Pan\05-Raw_Data\Lab_results\[LabSamples2025_Bioplastic_extra.xlsx]extra_Bioplastic'!A1000)</f>
        <v/>
      </c>
      <c r="B1000">
        <f>IF(ISBLANK('Q:\Abteilungsprojekte\Eng\EngData\PROJECT_Bioplastics\Renjie_Pan\05-Raw_Data\Lab_results\[LabSamples2025_Bioplastic_extra.xlsx]extra_Bioplastic'!B1000)," ",'Q:\Abteilungsprojekte\Eng\EngData\PROJECT_Bioplastics\Renjie_Pan\05-Raw_Data\Lab_results\[LabSamples2025_Bioplastic_extra.xlsx]extra_Bioplastic'!B1000)</f>
        <v/>
      </c>
      <c r="C1000">
        <f>IF(ISBLANK('Q:\Abteilungsprojekte\Eng\EngData\PROJECT_Bioplastics\Renjie_Pan\05-Raw_Data\Lab_results\[LabSamples2025_Bioplastic_extra.xlsx]extra_Bioplastic'!C1000)," ",'Q:\Abteilungsprojekte\Eng\EngData\PROJECT_Bioplastics\Renjie_Pan\05-Raw_Data\Lab_results\[LabSamples2025_Bioplastic_extra.xlsx]extra_Bioplastic'!C1000)</f>
        <v/>
      </c>
      <c r="D1000">
        <f>IF(ISBLANK('Q:\Abteilungsprojekte\Eng\EngData\PROJECT_Bioplastics\Renjie_Pan\05-Raw_Data\Lab_results\[LabSamples2025_Bioplastic_extra.xlsx]extra_Bioplastic'!D1000)," ",'Q:\Abteilungsprojekte\Eng\EngData\PROJECT_Bioplastics\Renjie_Pan\05-Raw_Data\Lab_results\[LabSamples2025_Bioplastic_extra.xlsx]extra_Bioplastic'!D1000)</f>
        <v/>
      </c>
      <c r="E1000">
        <f>IF(ISBLANK('Q:\Abteilungsprojekte\Eng\EngData\PROJECT_Bioplastics\Renjie_Pan\05-Raw_Data\Lab_results\[LabSamples2025_Bioplastic_extra.xlsx]extra_Bioplastic'!E1000)," ",'Q:\Abteilungsprojekte\Eng\EngData\PROJECT_Bioplastics\Renjie_Pan\05-Raw_Data\Lab_results\[LabSamples2025_Bioplastic_extra.xlsx]extra_Bioplastic'!E1000)</f>
        <v/>
      </c>
      <c r="F1000">
        <f>IF(ISBLANK('Q:\Abteilungsprojekte\Eng\EngData\PROJECT_Bioplastics\Renjie_Pan\05-Raw_Data\Lab_results\[LabSamples2025_Bioplastic_extra.xlsx]extra_Bioplastic'!F1000)," ",'Q:\Abteilungsprojekte\Eng\EngData\PROJECT_Bioplastics\Renjie_Pan\05-Raw_Data\Lab_results\[LabSamples2025_Bioplastic_extra.xlsx]extra_Bioplastic'!F1000)</f>
        <v/>
      </c>
      <c r="G1000">
        <f>IF(ISBLANK('Q:\Abteilungsprojekte\Eng\EngData\PROJECT_Bioplastics\Renjie_Pan\05-Raw_Data\Lab_results\[LabSamples2025_Bioplastic_extra.xlsx]extra_Bioplastic'!G1000)," ",'Q:\Abteilungsprojekte\Eng\EngData\PROJECT_Bioplastics\Renjie_Pan\05-Raw_Data\Lab_results\[LabSamples2025_Bioplastic_extra.xlsx]extra_Bioplastic'!G1000)</f>
        <v/>
      </c>
      <c r="H1000">
        <f>IF(ISBLANK('Q:\Abteilungsprojekte\Eng\EngData\PROJECT_Bioplastics\Renjie_Pan\05-Raw_Data\Lab_results\[LabSamples2025_Bioplastic_extra.xlsx]extra_Bioplastic'!H1000)," ",'Q:\Abteilungsprojekte\Eng\EngData\PROJECT_Bioplastics\Renjie_Pan\05-Raw_Data\Lab_results\[LabSamples2025_Bioplastic_extra.xlsx]extra_Bioplastic'!H1000)</f>
        <v/>
      </c>
    </row>
    <row r="1001">
      <c r="A1001">
        <f>IF(ISBLANK('Q:\Abteilungsprojekte\Eng\EngData\PROJECT_Bioplastics\Renjie_Pan\05-Raw_Data\Lab_results\[LabSamples2025_Bioplastic_extra.xlsx]extra_Bioplastic'!A1001)," ",'Q:\Abteilungsprojekte\Eng\EngData\PROJECT_Bioplastics\Renjie_Pan\05-Raw_Data\Lab_results\[LabSamples2025_Bioplastic_extra.xlsx]extra_Bioplastic'!A1001)</f>
        <v/>
      </c>
      <c r="B1001">
        <f>IF(ISBLANK('Q:\Abteilungsprojekte\Eng\EngData\PROJECT_Bioplastics\Renjie_Pan\05-Raw_Data\Lab_results\[LabSamples2025_Bioplastic_extra.xlsx]extra_Bioplastic'!B1001)," ",'Q:\Abteilungsprojekte\Eng\EngData\PROJECT_Bioplastics\Renjie_Pan\05-Raw_Data\Lab_results\[LabSamples2025_Bioplastic_extra.xlsx]extra_Bioplastic'!B1001)</f>
        <v/>
      </c>
      <c r="C1001">
        <f>IF(ISBLANK('Q:\Abteilungsprojekte\Eng\EngData\PROJECT_Bioplastics\Renjie_Pan\05-Raw_Data\Lab_results\[LabSamples2025_Bioplastic_extra.xlsx]extra_Bioplastic'!C1001)," ",'Q:\Abteilungsprojekte\Eng\EngData\PROJECT_Bioplastics\Renjie_Pan\05-Raw_Data\Lab_results\[LabSamples2025_Bioplastic_extra.xlsx]extra_Bioplastic'!C1001)</f>
        <v/>
      </c>
      <c r="D1001">
        <f>IF(ISBLANK('Q:\Abteilungsprojekte\Eng\EngData\PROJECT_Bioplastics\Renjie_Pan\05-Raw_Data\Lab_results\[LabSamples2025_Bioplastic_extra.xlsx]extra_Bioplastic'!D1001)," ",'Q:\Abteilungsprojekte\Eng\EngData\PROJECT_Bioplastics\Renjie_Pan\05-Raw_Data\Lab_results\[LabSamples2025_Bioplastic_extra.xlsx]extra_Bioplastic'!D1001)</f>
        <v/>
      </c>
      <c r="E1001">
        <f>IF(ISBLANK('Q:\Abteilungsprojekte\Eng\EngData\PROJECT_Bioplastics\Renjie_Pan\05-Raw_Data\Lab_results\[LabSamples2025_Bioplastic_extra.xlsx]extra_Bioplastic'!E1001)," ",'Q:\Abteilungsprojekte\Eng\EngData\PROJECT_Bioplastics\Renjie_Pan\05-Raw_Data\Lab_results\[LabSamples2025_Bioplastic_extra.xlsx]extra_Bioplastic'!E1001)</f>
        <v/>
      </c>
      <c r="F1001">
        <f>IF(ISBLANK('Q:\Abteilungsprojekte\Eng\EngData\PROJECT_Bioplastics\Renjie_Pan\05-Raw_Data\Lab_results\[LabSamples2025_Bioplastic_extra.xlsx]extra_Bioplastic'!F1001)," ",'Q:\Abteilungsprojekte\Eng\EngData\PROJECT_Bioplastics\Renjie_Pan\05-Raw_Data\Lab_results\[LabSamples2025_Bioplastic_extra.xlsx]extra_Bioplastic'!F1001)</f>
        <v/>
      </c>
      <c r="G1001">
        <f>IF(ISBLANK('Q:\Abteilungsprojekte\Eng\EngData\PROJECT_Bioplastics\Renjie_Pan\05-Raw_Data\Lab_results\[LabSamples2025_Bioplastic_extra.xlsx]extra_Bioplastic'!G1001)," ",'Q:\Abteilungsprojekte\Eng\EngData\PROJECT_Bioplastics\Renjie_Pan\05-Raw_Data\Lab_results\[LabSamples2025_Bioplastic_extra.xlsx]extra_Bioplastic'!G1001)</f>
        <v/>
      </c>
      <c r="H1001">
        <f>IF(ISBLANK('Q:\Abteilungsprojekte\Eng\EngData\PROJECT_Bioplastics\Renjie_Pan\05-Raw_Data\Lab_results\[LabSamples2025_Bioplastic_extra.xlsx]extra_Bioplastic'!H1001)," ",'Q:\Abteilungsprojekte\Eng\EngData\PROJECT_Bioplastics\Renjie_Pan\05-Raw_Data\Lab_results\[LabSamples2025_Bioplastic_extra.xlsx]extra_Bioplastic'!H1001)</f>
        <v/>
      </c>
    </row>
    <row r="1002">
      <c r="A1002">
        <f>IF(ISBLANK('Q:\Abteilungsprojekte\Eng\EngData\PROJECT_Bioplastics\Renjie_Pan\05-Raw_Data\Lab_results\[LabSamples2025_Bioplastic_extra.xlsx]extra_Bioplastic'!A1002)," ",'Q:\Abteilungsprojekte\Eng\EngData\PROJECT_Bioplastics\Renjie_Pan\05-Raw_Data\Lab_results\[LabSamples2025_Bioplastic_extra.xlsx]extra_Bioplastic'!A1002)</f>
        <v/>
      </c>
      <c r="B1002">
        <f>IF(ISBLANK('Q:\Abteilungsprojekte\Eng\EngData\PROJECT_Bioplastics\Renjie_Pan\05-Raw_Data\Lab_results\[LabSamples2025_Bioplastic_extra.xlsx]extra_Bioplastic'!B1002)," ",'Q:\Abteilungsprojekte\Eng\EngData\PROJECT_Bioplastics\Renjie_Pan\05-Raw_Data\Lab_results\[LabSamples2025_Bioplastic_extra.xlsx]extra_Bioplastic'!B1002)</f>
        <v/>
      </c>
      <c r="C1002">
        <f>IF(ISBLANK('Q:\Abteilungsprojekte\Eng\EngData\PROJECT_Bioplastics\Renjie_Pan\05-Raw_Data\Lab_results\[LabSamples2025_Bioplastic_extra.xlsx]extra_Bioplastic'!C1002)," ",'Q:\Abteilungsprojekte\Eng\EngData\PROJECT_Bioplastics\Renjie_Pan\05-Raw_Data\Lab_results\[LabSamples2025_Bioplastic_extra.xlsx]extra_Bioplastic'!C1002)</f>
        <v/>
      </c>
      <c r="D1002">
        <f>IF(ISBLANK('Q:\Abteilungsprojekte\Eng\EngData\PROJECT_Bioplastics\Renjie_Pan\05-Raw_Data\Lab_results\[LabSamples2025_Bioplastic_extra.xlsx]extra_Bioplastic'!D1002)," ",'Q:\Abteilungsprojekte\Eng\EngData\PROJECT_Bioplastics\Renjie_Pan\05-Raw_Data\Lab_results\[LabSamples2025_Bioplastic_extra.xlsx]extra_Bioplastic'!D1002)</f>
        <v/>
      </c>
      <c r="E1002">
        <f>IF(ISBLANK('Q:\Abteilungsprojekte\Eng\EngData\PROJECT_Bioplastics\Renjie_Pan\05-Raw_Data\Lab_results\[LabSamples2025_Bioplastic_extra.xlsx]extra_Bioplastic'!E1002)," ",'Q:\Abteilungsprojekte\Eng\EngData\PROJECT_Bioplastics\Renjie_Pan\05-Raw_Data\Lab_results\[LabSamples2025_Bioplastic_extra.xlsx]extra_Bioplastic'!E1002)</f>
        <v/>
      </c>
      <c r="F1002">
        <f>IF(ISBLANK('Q:\Abteilungsprojekte\Eng\EngData\PROJECT_Bioplastics\Renjie_Pan\05-Raw_Data\Lab_results\[LabSamples2025_Bioplastic_extra.xlsx]extra_Bioplastic'!F1002)," ",'Q:\Abteilungsprojekte\Eng\EngData\PROJECT_Bioplastics\Renjie_Pan\05-Raw_Data\Lab_results\[LabSamples2025_Bioplastic_extra.xlsx]extra_Bioplastic'!F1002)</f>
        <v/>
      </c>
      <c r="G1002">
        <f>IF(ISBLANK('Q:\Abteilungsprojekte\Eng\EngData\PROJECT_Bioplastics\Renjie_Pan\05-Raw_Data\Lab_results\[LabSamples2025_Bioplastic_extra.xlsx]extra_Bioplastic'!G1002)," ",'Q:\Abteilungsprojekte\Eng\EngData\PROJECT_Bioplastics\Renjie_Pan\05-Raw_Data\Lab_results\[LabSamples2025_Bioplastic_extra.xlsx]extra_Bioplastic'!G1002)</f>
        <v/>
      </c>
      <c r="H1002">
        <f>IF(ISBLANK('Q:\Abteilungsprojekte\Eng\EngData\PROJECT_Bioplastics\Renjie_Pan\05-Raw_Data\Lab_results\[LabSamples2025_Bioplastic_extra.xlsx]extra_Bioplastic'!H1002)," ",'Q:\Abteilungsprojekte\Eng\EngData\PROJECT_Bioplastics\Renjie_Pan\05-Raw_Data\Lab_results\[LabSamples2025_Bioplastic_extra.xlsx]extra_Bioplastic'!H1002)</f>
        <v/>
      </c>
    </row>
    <row r="1003">
      <c r="A1003">
        <f>IF(ISBLANK('Q:\Abteilungsprojekte\Eng\EngData\PROJECT_Bioplastics\Renjie_Pan\05-Raw_Data\Lab_results\[LabSamples2025_Bioplastic_extra.xlsx]extra_Bioplastic'!A1003)," ",'Q:\Abteilungsprojekte\Eng\EngData\PROJECT_Bioplastics\Renjie_Pan\05-Raw_Data\Lab_results\[LabSamples2025_Bioplastic_extra.xlsx]extra_Bioplastic'!A1003)</f>
        <v/>
      </c>
      <c r="B1003">
        <f>IF(ISBLANK('Q:\Abteilungsprojekte\Eng\EngData\PROJECT_Bioplastics\Renjie_Pan\05-Raw_Data\Lab_results\[LabSamples2025_Bioplastic_extra.xlsx]extra_Bioplastic'!B1003)," ",'Q:\Abteilungsprojekte\Eng\EngData\PROJECT_Bioplastics\Renjie_Pan\05-Raw_Data\Lab_results\[LabSamples2025_Bioplastic_extra.xlsx]extra_Bioplastic'!B1003)</f>
        <v/>
      </c>
      <c r="C1003">
        <f>IF(ISBLANK('Q:\Abteilungsprojekte\Eng\EngData\PROJECT_Bioplastics\Renjie_Pan\05-Raw_Data\Lab_results\[LabSamples2025_Bioplastic_extra.xlsx]extra_Bioplastic'!C1003)," ",'Q:\Abteilungsprojekte\Eng\EngData\PROJECT_Bioplastics\Renjie_Pan\05-Raw_Data\Lab_results\[LabSamples2025_Bioplastic_extra.xlsx]extra_Bioplastic'!C1003)</f>
        <v/>
      </c>
      <c r="D1003">
        <f>IF(ISBLANK('Q:\Abteilungsprojekte\Eng\EngData\PROJECT_Bioplastics\Renjie_Pan\05-Raw_Data\Lab_results\[LabSamples2025_Bioplastic_extra.xlsx]extra_Bioplastic'!D1003)," ",'Q:\Abteilungsprojekte\Eng\EngData\PROJECT_Bioplastics\Renjie_Pan\05-Raw_Data\Lab_results\[LabSamples2025_Bioplastic_extra.xlsx]extra_Bioplastic'!D1003)</f>
        <v/>
      </c>
      <c r="E1003">
        <f>IF(ISBLANK('Q:\Abteilungsprojekte\Eng\EngData\PROJECT_Bioplastics\Renjie_Pan\05-Raw_Data\Lab_results\[LabSamples2025_Bioplastic_extra.xlsx]extra_Bioplastic'!E1003)," ",'Q:\Abteilungsprojekte\Eng\EngData\PROJECT_Bioplastics\Renjie_Pan\05-Raw_Data\Lab_results\[LabSamples2025_Bioplastic_extra.xlsx]extra_Bioplastic'!E1003)</f>
        <v/>
      </c>
      <c r="F1003">
        <f>IF(ISBLANK('Q:\Abteilungsprojekte\Eng\EngData\PROJECT_Bioplastics\Renjie_Pan\05-Raw_Data\Lab_results\[LabSamples2025_Bioplastic_extra.xlsx]extra_Bioplastic'!F1003)," ",'Q:\Abteilungsprojekte\Eng\EngData\PROJECT_Bioplastics\Renjie_Pan\05-Raw_Data\Lab_results\[LabSamples2025_Bioplastic_extra.xlsx]extra_Bioplastic'!F1003)</f>
        <v/>
      </c>
      <c r="G1003">
        <f>IF(ISBLANK('Q:\Abteilungsprojekte\Eng\EngData\PROJECT_Bioplastics\Renjie_Pan\05-Raw_Data\Lab_results\[LabSamples2025_Bioplastic_extra.xlsx]extra_Bioplastic'!G1003)," ",'Q:\Abteilungsprojekte\Eng\EngData\PROJECT_Bioplastics\Renjie_Pan\05-Raw_Data\Lab_results\[LabSamples2025_Bioplastic_extra.xlsx]extra_Bioplastic'!G1003)</f>
        <v/>
      </c>
      <c r="H1003">
        <f>IF(ISBLANK('Q:\Abteilungsprojekte\Eng\EngData\PROJECT_Bioplastics\Renjie_Pan\05-Raw_Data\Lab_results\[LabSamples2025_Bioplastic_extra.xlsx]extra_Bioplastic'!H1003)," ",'Q:\Abteilungsprojekte\Eng\EngData\PROJECT_Bioplastics\Renjie_Pan\05-Raw_Data\Lab_results\[LabSamples2025_Bioplastic_extra.xlsx]extra_Bioplastic'!H1003)</f>
        <v/>
      </c>
    </row>
    <row r="1004">
      <c r="A1004">
        <f>IF(ISBLANK('Q:\Abteilungsprojekte\Eng\EngData\PROJECT_Bioplastics\Renjie_Pan\05-Raw_Data\Lab_results\[LabSamples2025_Bioplastic_extra.xlsx]extra_Bioplastic'!A1004)," ",'Q:\Abteilungsprojekte\Eng\EngData\PROJECT_Bioplastics\Renjie_Pan\05-Raw_Data\Lab_results\[LabSamples2025_Bioplastic_extra.xlsx]extra_Bioplastic'!A1004)</f>
        <v/>
      </c>
      <c r="B1004">
        <f>IF(ISBLANK('Q:\Abteilungsprojekte\Eng\EngData\PROJECT_Bioplastics\Renjie_Pan\05-Raw_Data\Lab_results\[LabSamples2025_Bioplastic_extra.xlsx]extra_Bioplastic'!B1004)," ",'Q:\Abteilungsprojekte\Eng\EngData\PROJECT_Bioplastics\Renjie_Pan\05-Raw_Data\Lab_results\[LabSamples2025_Bioplastic_extra.xlsx]extra_Bioplastic'!B1004)</f>
        <v/>
      </c>
      <c r="C1004">
        <f>IF(ISBLANK('Q:\Abteilungsprojekte\Eng\EngData\PROJECT_Bioplastics\Renjie_Pan\05-Raw_Data\Lab_results\[LabSamples2025_Bioplastic_extra.xlsx]extra_Bioplastic'!C1004)," ",'Q:\Abteilungsprojekte\Eng\EngData\PROJECT_Bioplastics\Renjie_Pan\05-Raw_Data\Lab_results\[LabSamples2025_Bioplastic_extra.xlsx]extra_Bioplastic'!C1004)</f>
        <v/>
      </c>
      <c r="D1004">
        <f>IF(ISBLANK('Q:\Abteilungsprojekte\Eng\EngData\PROJECT_Bioplastics\Renjie_Pan\05-Raw_Data\Lab_results\[LabSamples2025_Bioplastic_extra.xlsx]extra_Bioplastic'!D1004)," ",'Q:\Abteilungsprojekte\Eng\EngData\PROJECT_Bioplastics\Renjie_Pan\05-Raw_Data\Lab_results\[LabSamples2025_Bioplastic_extra.xlsx]extra_Bioplastic'!D1004)</f>
        <v/>
      </c>
      <c r="E1004">
        <f>IF(ISBLANK('Q:\Abteilungsprojekte\Eng\EngData\PROJECT_Bioplastics\Renjie_Pan\05-Raw_Data\Lab_results\[LabSamples2025_Bioplastic_extra.xlsx]extra_Bioplastic'!E1004)," ",'Q:\Abteilungsprojekte\Eng\EngData\PROJECT_Bioplastics\Renjie_Pan\05-Raw_Data\Lab_results\[LabSamples2025_Bioplastic_extra.xlsx]extra_Bioplastic'!E1004)</f>
        <v/>
      </c>
      <c r="F1004">
        <f>IF(ISBLANK('Q:\Abteilungsprojekte\Eng\EngData\PROJECT_Bioplastics\Renjie_Pan\05-Raw_Data\Lab_results\[LabSamples2025_Bioplastic_extra.xlsx]extra_Bioplastic'!F1004)," ",'Q:\Abteilungsprojekte\Eng\EngData\PROJECT_Bioplastics\Renjie_Pan\05-Raw_Data\Lab_results\[LabSamples2025_Bioplastic_extra.xlsx]extra_Bioplastic'!F1004)</f>
        <v/>
      </c>
      <c r="G1004">
        <f>IF(ISBLANK('Q:\Abteilungsprojekte\Eng\EngData\PROJECT_Bioplastics\Renjie_Pan\05-Raw_Data\Lab_results\[LabSamples2025_Bioplastic_extra.xlsx]extra_Bioplastic'!G1004)," ",'Q:\Abteilungsprojekte\Eng\EngData\PROJECT_Bioplastics\Renjie_Pan\05-Raw_Data\Lab_results\[LabSamples2025_Bioplastic_extra.xlsx]extra_Bioplastic'!G1004)</f>
        <v/>
      </c>
      <c r="H1004">
        <f>IF(ISBLANK('Q:\Abteilungsprojekte\Eng\EngData\PROJECT_Bioplastics\Renjie_Pan\05-Raw_Data\Lab_results\[LabSamples2025_Bioplastic_extra.xlsx]extra_Bioplastic'!H1004)," ",'Q:\Abteilungsprojekte\Eng\EngData\PROJECT_Bioplastics\Renjie_Pan\05-Raw_Data\Lab_results\[LabSamples2025_Bioplastic_extra.xlsx]extra_Bioplastic'!H1004)</f>
        <v/>
      </c>
    </row>
    <row r="1005">
      <c r="A1005">
        <f>IF(ISBLANK('Q:\Abteilungsprojekte\Eng\EngData\PROJECT_Bioplastics\Renjie_Pan\05-Raw_Data\Lab_results\[LabSamples2025_Bioplastic_extra.xlsx]extra_Bioplastic'!A1005)," ",'Q:\Abteilungsprojekte\Eng\EngData\PROJECT_Bioplastics\Renjie_Pan\05-Raw_Data\Lab_results\[LabSamples2025_Bioplastic_extra.xlsx]extra_Bioplastic'!A1005)</f>
        <v/>
      </c>
      <c r="B1005">
        <f>IF(ISBLANK('Q:\Abteilungsprojekte\Eng\EngData\PROJECT_Bioplastics\Renjie_Pan\05-Raw_Data\Lab_results\[LabSamples2025_Bioplastic_extra.xlsx]extra_Bioplastic'!B1005)," ",'Q:\Abteilungsprojekte\Eng\EngData\PROJECT_Bioplastics\Renjie_Pan\05-Raw_Data\Lab_results\[LabSamples2025_Bioplastic_extra.xlsx]extra_Bioplastic'!B1005)</f>
        <v/>
      </c>
      <c r="C1005">
        <f>IF(ISBLANK('Q:\Abteilungsprojekte\Eng\EngData\PROJECT_Bioplastics\Renjie_Pan\05-Raw_Data\Lab_results\[LabSamples2025_Bioplastic_extra.xlsx]extra_Bioplastic'!C1005)," ",'Q:\Abteilungsprojekte\Eng\EngData\PROJECT_Bioplastics\Renjie_Pan\05-Raw_Data\Lab_results\[LabSamples2025_Bioplastic_extra.xlsx]extra_Bioplastic'!C1005)</f>
        <v/>
      </c>
      <c r="D1005">
        <f>IF(ISBLANK('Q:\Abteilungsprojekte\Eng\EngData\PROJECT_Bioplastics\Renjie_Pan\05-Raw_Data\Lab_results\[LabSamples2025_Bioplastic_extra.xlsx]extra_Bioplastic'!D1005)," ",'Q:\Abteilungsprojekte\Eng\EngData\PROJECT_Bioplastics\Renjie_Pan\05-Raw_Data\Lab_results\[LabSamples2025_Bioplastic_extra.xlsx]extra_Bioplastic'!D1005)</f>
        <v/>
      </c>
      <c r="E1005">
        <f>IF(ISBLANK('Q:\Abteilungsprojekte\Eng\EngData\PROJECT_Bioplastics\Renjie_Pan\05-Raw_Data\Lab_results\[LabSamples2025_Bioplastic_extra.xlsx]extra_Bioplastic'!E1005)," ",'Q:\Abteilungsprojekte\Eng\EngData\PROJECT_Bioplastics\Renjie_Pan\05-Raw_Data\Lab_results\[LabSamples2025_Bioplastic_extra.xlsx]extra_Bioplastic'!E1005)</f>
        <v/>
      </c>
      <c r="F1005">
        <f>IF(ISBLANK('Q:\Abteilungsprojekte\Eng\EngData\PROJECT_Bioplastics\Renjie_Pan\05-Raw_Data\Lab_results\[LabSamples2025_Bioplastic_extra.xlsx]extra_Bioplastic'!F1005)," ",'Q:\Abteilungsprojekte\Eng\EngData\PROJECT_Bioplastics\Renjie_Pan\05-Raw_Data\Lab_results\[LabSamples2025_Bioplastic_extra.xlsx]extra_Bioplastic'!F1005)</f>
        <v/>
      </c>
      <c r="G1005">
        <f>IF(ISBLANK('Q:\Abteilungsprojekte\Eng\EngData\PROJECT_Bioplastics\Renjie_Pan\05-Raw_Data\Lab_results\[LabSamples2025_Bioplastic_extra.xlsx]extra_Bioplastic'!G1005)," ",'Q:\Abteilungsprojekte\Eng\EngData\PROJECT_Bioplastics\Renjie_Pan\05-Raw_Data\Lab_results\[LabSamples2025_Bioplastic_extra.xlsx]extra_Bioplastic'!G1005)</f>
        <v/>
      </c>
      <c r="H1005">
        <f>IF(ISBLANK('Q:\Abteilungsprojekte\Eng\EngData\PROJECT_Bioplastics\Renjie_Pan\05-Raw_Data\Lab_results\[LabSamples2025_Bioplastic_extra.xlsx]extra_Bioplastic'!H1005)," ",'Q:\Abteilungsprojekte\Eng\EngData\PROJECT_Bioplastics\Renjie_Pan\05-Raw_Data\Lab_results\[LabSamples2025_Bioplastic_extra.xlsx]extra_Bioplastic'!H1005)</f>
        <v/>
      </c>
    </row>
    <row r="1006">
      <c r="A1006">
        <f>IF(ISBLANK('Q:\Abteilungsprojekte\Eng\EngData\PROJECT_Bioplastics\Renjie_Pan\05-Raw_Data\Lab_results\[LabSamples2025_Bioplastic_extra.xlsx]extra_Bioplastic'!A1006)," ",'Q:\Abteilungsprojekte\Eng\EngData\PROJECT_Bioplastics\Renjie_Pan\05-Raw_Data\Lab_results\[LabSamples2025_Bioplastic_extra.xlsx]extra_Bioplastic'!A1006)</f>
        <v/>
      </c>
      <c r="B1006">
        <f>IF(ISBLANK('Q:\Abteilungsprojekte\Eng\EngData\PROJECT_Bioplastics\Renjie_Pan\05-Raw_Data\Lab_results\[LabSamples2025_Bioplastic_extra.xlsx]extra_Bioplastic'!B1006)," ",'Q:\Abteilungsprojekte\Eng\EngData\PROJECT_Bioplastics\Renjie_Pan\05-Raw_Data\Lab_results\[LabSamples2025_Bioplastic_extra.xlsx]extra_Bioplastic'!B1006)</f>
        <v/>
      </c>
      <c r="C1006">
        <f>IF(ISBLANK('Q:\Abteilungsprojekte\Eng\EngData\PROJECT_Bioplastics\Renjie_Pan\05-Raw_Data\Lab_results\[LabSamples2025_Bioplastic_extra.xlsx]extra_Bioplastic'!C1006)," ",'Q:\Abteilungsprojekte\Eng\EngData\PROJECT_Bioplastics\Renjie_Pan\05-Raw_Data\Lab_results\[LabSamples2025_Bioplastic_extra.xlsx]extra_Bioplastic'!C1006)</f>
        <v/>
      </c>
      <c r="D1006">
        <f>IF(ISBLANK('Q:\Abteilungsprojekte\Eng\EngData\PROJECT_Bioplastics\Renjie_Pan\05-Raw_Data\Lab_results\[LabSamples2025_Bioplastic_extra.xlsx]extra_Bioplastic'!D1006)," ",'Q:\Abteilungsprojekte\Eng\EngData\PROJECT_Bioplastics\Renjie_Pan\05-Raw_Data\Lab_results\[LabSamples2025_Bioplastic_extra.xlsx]extra_Bioplastic'!D1006)</f>
        <v/>
      </c>
      <c r="E1006">
        <f>IF(ISBLANK('Q:\Abteilungsprojekte\Eng\EngData\PROJECT_Bioplastics\Renjie_Pan\05-Raw_Data\Lab_results\[LabSamples2025_Bioplastic_extra.xlsx]extra_Bioplastic'!E1006)," ",'Q:\Abteilungsprojekte\Eng\EngData\PROJECT_Bioplastics\Renjie_Pan\05-Raw_Data\Lab_results\[LabSamples2025_Bioplastic_extra.xlsx]extra_Bioplastic'!E1006)</f>
        <v/>
      </c>
      <c r="F1006">
        <f>IF(ISBLANK('Q:\Abteilungsprojekte\Eng\EngData\PROJECT_Bioplastics\Renjie_Pan\05-Raw_Data\Lab_results\[LabSamples2025_Bioplastic_extra.xlsx]extra_Bioplastic'!F1006)," ",'Q:\Abteilungsprojekte\Eng\EngData\PROJECT_Bioplastics\Renjie_Pan\05-Raw_Data\Lab_results\[LabSamples2025_Bioplastic_extra.xlsx]extra_Bioplastic'!F1006)</f>
        <v/>
      </c>
      <c r="G1006">
        <f>IF(ISBLANK('Q:\Abteilungsprojekte\Eng\EngData\PROJECT_Bioplastics\Renjie_Pan\05-Raw_Data\Lab_results\[LabSamples2025_Bioplastic_extra.xlsx]extra_Bioplastic'!G1006)," ",'Q:\Abteilungsprojekte\Eng\EngData\PROJECT_Bioplastics\Renjie_Pan\05-Raw_Data\Lab_results\[LabSamples2025_Bioplastic_extra.xlsx]extra_Bioplastic'!G1006)</f>
        <v/>
      </c>
      <c r="H1006">
        <f>IF(ISBLANK('Q:\Abteilungsprojekte\Eng\EngData\PROJECT_Bioplastics\Renjie_Pan\05-Raw_Data\Lab_results\[LabSamples2025_Bioplastic_extra.xlsx]extra_Bioplastic'!H1006)," ",'Q:\Abteilungsprojekte\Eng\EngData\PROJECT_Bioplastics\Renjie_Pan\05-Raw_Data\Lab_results\[LabSamples2025_Bioplastic_extra.xlsx]extra_Bioplastic'!H1006)</f>
        <v/>
      </c>
    </row>
    <row r="1007">
      <c r="A1007">
        <f>IF(ISBLANK('Q:\Abteilungsprojekte\Eng\EngData\PROJECT_Bioplastics\Renjie_Pan\05-Raw_Data\Lab_results\[LabSamples2025_Bioplastic_extra.xlsx]extra_Bioplastic'!A1007)," ",'Q:\Abteilungsprojekte\Eng\EngData\PROJECT_Bioplastics\Renjie_Pan\05-Raw_Data\Lab_results\[LabSamples2025_Bioplastic_extra.xlsx]extra_Bioplastic'!A1007)</f>
        <v/>
      </c>
      <c r="B1007">
        <f>IF(ISBLANK('Q:\Abteilungsprojekte\Eng\EngData\PROJECT_Bioplastics\Renjie_Pan\05-Raw_Data\Lab_results\[LabSamples2025_Bioplastic_extra.xlsx]extra_Bioplastic'!B1007)," ",'Q:\Abteilungsprojekte\Eng\EngData\PROJECT_Bioplastics\Renjie_Pan\05-Raw_Data\Lab_results\[LabSamples2025_Bioplastic_extra.xlsx]extra_Bioplastic'!B1007)</f>
        <v/>
      </c>
      <c r="C1007">
        <f>IF(ISBLANK('Q:\Abteilungsprojekte\Eng\EngData\PROJECT_Bioplastics\Renjie_Pan\05-Raw_Data\Lab_results\[LabSamples2025_Bioplastic_extra.xlsx]extra_Bioplastic'!C1007)," ",'Q:\Abteilungsprojekte\Eng\EngData\PROJECT_Bioplastics\Renjie_Pan\05-Raw_Data\Lab_results\[LabSamples2025_Bioplastic_extra.xlsx]extra_Bioplastic'!C1007)</f>
        <v/>
      </c>
      <c r="D1007">
        <f>IF(ISBLANK('Q:\Abteilungsprojekte\Eng\EngData\PROJECT_Bioplastics\Renjie_Pan\05-Raw_Data\Lab_results\[LabSamples2025_Bioplastic_extra.xlsx]extra_Bioplastic'!D1007)," ",'Q:\Abteilungsprojekte\Eng\EngData\PROJECT_Bioplastics\Renjie_Pan\05-Raw_Data\Lab_results\[LabSamples2025_Bioplastic_extra.xlsx]extra_Bioplastic'!D1007)</f>
        <v/>
      </c>
      <c r="E1007">
        <f>IF(ISBLANK('Q:\Abteilungsprojekte\Eng\EngData\PROJECT_Bioplastics\Renjie_Pan\05-Raw_Data\Lab_results\[LabSamples2025_Bioplastic_extra.xlsx]extra_Bioplastic'!E1007)," ",'Q:\Abteilungsprojekte\Eng\EngData\PROJECT_Bioplastics\Renjie_Pan\05-Raw_Data\Lab_results\[LabSamples2025_Bioplastic_extra.xlsx]extra_Bioplastic'!E1007)</f>
        <v/>
      </c>
      <c r="F1007">
        <f>IF(ISBLANK('Q:\Abteilungsprojekte\Eng\EngData\PROJECT_Bioplastics\Renjie_Pan\05-Raw_Data\Lab_results\[LabSamples2025_Bioplastic_extra.xlsx]extra_Bioplastic'!F1007)," ",'Q:\Abteilungsprojekte\Eng\EngData\PROJECT_Bioplastics\Renjie_Pan\05-Raw_Data\Lab_results\[LabSamples2025_Bioplastic_extra.xlsx]extra_Bioplastic'!F1007)</f>
        <v/>
      </c>
      <c r="G1007">
        <f>IF(ISBLANK('Q:\Abteilungsprojekte\Eng\EngData\PROJECT_Bioplastics\Renjie_Pan\05-Raw_Data\Lab_results\[LabSamples2025_Bioplastic_extra.xlsx]extra_Bioplastic'!G1007)," ",'Q:\Abteilungsprojekte\Eng\EngData\PROJECT_Bioplastics\Renjie_Pan\05-Raw_Data\Lab_results\[LabSamples2025_Bioplastic_extra.xlsx]extra_Bioplastic'!G1007)</f>
        <v/>
      </c>
      <c r="H1007">
        <f>IF(ISBLANK('Q:\Abteilungsprojekte\Eng\EngData\PROJECT_Bioplastics\Renjie_Pan\05-Raw_Data\Lab_results\[LabSamples2025_Bioplastic_extra.xlsx]extra_Bioplastic'!H1007)," ",'Q:\Abteilungsprojekte\Eng\EngData\PROJECT_Bioplastics\Renjie_Pan\05-Raw_Data\Lab_results\[LabSamples2025_Bioplastic_extra.xlsx]extra_Bioplastic'!H1007)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2025-10-06T07:48:17Z</dcterms:created>
  <dcterms:modified xmlns:dcterms="http://purl.org/dc/terms/" xmlns:xsi="http://www.w3.org/2001/XMLSchema-instance" xsi:type="dcterms:W3CDTF">2025-10-06T07:48:17Z</dcterms:modified>
</cp:coreProperties>
</file>